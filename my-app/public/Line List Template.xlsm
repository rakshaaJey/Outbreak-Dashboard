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2.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7A2D7E96-6E34-419A-AE5F-296B3A7E7977}"/>
  <workbookPr codeName="ThisWorkbook" hidePivotFieldList="1"/>
  <mc:AlternateContent xmlns:mc="http://schemas.openxmlformats.org/markup-compatibility/2006">
    <mc:Choice Requires="x15">
      <x15ac:absPath xmlns:x15ac="http://schemas.microsoft.com/office/spreadsheetml/2010/11/ac" url="G:\HLH\C19 CCC OMT\Workgroup folders\Data Management\Line List\"/>
    </mc:Choice>
  </mc:AlternateContent>
  <xr:revisionPtr revIDLastSave="0" documentId="8_{0D0287B3-F684-47FD-89A4-7F09728C7FEC}" xr6:coauthVersionLast="47" xr6:coauthVersionMax="47" xr10:uidLastSave="{00000000-0000-0000-0000-000000000000}"/>
  <bookViews>
    <workbookView xWindow="-108" yWindow="-108" windowWidth="23256" windowHeight="13896" tabRatio="891" activeTab="1" xr2:uid="{00000000-000D-0000-FFFF-FFFF00000000}"/>
  </bookViews>
  <sheets>
    <sheet name="Cover Sheet" sheetId="1" r:id="rId1"/>
    <sheet name="Data entry" sheetId="3" r:id="rId2"/>
    <sheet name="Data Validation" sheetId="8" state="hidden" r:id="rId3"/>
    <sheet name="Premise Instructions" sheetId="13" state="hidden" r:id="rId4"/>
    <sheet name="Summary Data" sheetId="4" r:id="rId5"/>
    <sheet name="AD Consult Epi-Curve" sheetId="17" r:id="rId6"/>
    <sheet name="Epi-Curves" sheetId="25" r:id="rId7"/>
    <sheet name="Epi Curve-FuncArea,Shift" sheetId="16" r:id="rId8"/>
    <sheet name="New Epi-C_data" sheetId="24" state="hidden" r:id="rId9"/>
    <sheet name="Transmission Chart" sheetId="12" r:id="rId10"/>
    <sheet name="POA_POC" sheetId="9" r:id="rId11"/>
    <sheet name="Summary of changes V6.2" sheetId="2" r:id="rId12"/>
  </sheets>
  <definedNames>
    <definedName name="_xlnm._FilterDatabase" localSheetId="1" hidden="1">'Data entry'!$A$5:$BN$5</definedName>
    <definedName name="_xlcn.WorksheetConnection_EpiC_dataA1F2001" hidden="1">'New Epi-C_data'!$A$1:$F$200</definedName>
    <definedName name="Slicer_Functional_Area">#N/A</definedName>
    <definedName name="Slicer_Role_at_Premise">#N/A</definedName>
    <definedName name="Slicer_Shift">#N/A</definedName>
    <definedName name="Z_7727E8E6_E0B6_42AE_8DBD_1DC2381344CA_.wvu.Cols" localSheetId="1" hidden="1">'Data entry'!$AY:$BA,'Data entry'!#REF!</definedName>
    <definedName name="Z_7727E8E6_E0B6_42AE_8DBD_1DC2381344CA_.wvu.FilterData" localSheetId="1" hidden="1">'Data entry'!$A$5:$BM$5</definedName>
    <definedName name="Z_7727E8E6_E0B6_42AE_8DBD_1DC2381344CA_.wvu.Rows" localSheetId="0" hidden="1">'Cover Sheet'!#REF!,'Cover Sheet'!#REF!</definedName>
    <definedName name="Z_7727E8E6_E0B6_42AE_8DBD_1DC2381344CA_.wvu.Rows" localSheetId="1" hidden="1">'Data entry'!$2:$4</definedName>
  </definedNames>
  <calcPr calcId="191029"/>
  <customWorkbookViews>
    <customWorkbookView name="Nishani Mariaseelan - Personal View" guid="{21F58C15-6313-423F-9D12-2E487906811F}" mergeInterval="0" personalView="1" maximized="1" xWindow="1358" yWindow="82" windowWidth="1936" windowHeight="1056" activeSheetId="1"/>
    <customWorkbookView name="Emily Lester - Personal View" guid="{FB81D803-9D09-46A7-A5B2-C9F4F0CEDC7C}" mergeInterval="0" personalView="1" maximized="1" xWindow="-8" yWindow="-8" windowWidth="1382" windowHeight="744" activeSheetId="1"/>
    <customWorkbookView name="Kathleen Buchanan - Personal View" guid="{594415E9-3644-498A-B880-2D83B01C1810}" mergeInterval="0" personalView="1" maximized="1" xWindow="-11" yWindow="-11" windowWidth="2182" windowHeight="1402" activeSheetId="1" showComments="commIndAndComment"/>
    <customWorkbookView name="Erica Fernandes - Personal View" guid="{340A88C0-0805-4618-B3A5-7BF3633A3AEA}" mergeInterval="0" personalView="1" maximized="1" xWindow="-11" yWindow="-11" windowWidth="1942" windowHeight="1042" activeSheetId="1"/>
    <customWorkbookView name="Stephanie Kemke - Personal View" guid="{B9A516E5-EA02-4043-90C3-403C2CFFE03F}" mergeInterval="0" personalView="1" maximized="1" xWindow="2391" yWindow="-9" windowWidth="2418" windowHeight="1331" activeSheetId="1"/>
    <customWorkbookView name="Marivi Barrios - Personal View" guid="{2752CB42-9C2D-43A2-9392-2F6BBB2944DE}" mergeInterval="0" personalView="1" maximized="1" xWindow="-11" yWindow="-11" windowWidth="1942" windowHeight="1042" activeSheetId="1"/>
    <customWorkbookView name="Stella Loparco - Personal View" guid="{7FDF156E-CF59-46EE-9EC7-97E325158CE7}" mergeInterval="0" personalView="1" maximized="1" xWindow="-11" yWindow="-11" windowWidth="1942" windowHeight="1042" activeSheetId="1"/>
    <customWorkbookView name="Sharleen Lewis - Personal View" guid="{555D58CA-F298-474F-B845-01B3016F88B1}" mergeInterval="0" personalView="1" maximized="1" xWindow="-11" yWindow="-11" windowWidth="1942" windowHeight="1042" activeSheetId="1"/>
    <customWorkbookView name="Nisha Stephens - Personal View" guid="{7232DD49-8750-44FF-A42B-04CFDC460B2C}" mergeInterval="0" personalView="1" maximized="1" xWindow="1358" yWindow="-8" windowWidth="1936" windowHeight="1056" activeSheetId="1"/>
    <customWorkbookView name="Natalie Kwan - Personal View" guid="{7C7A9D43-DEE4-45A7-9A51-51C03432DE31}" autoUpdate="1" mergeInterval="15" personalView="1" maximized="1" xWindow="1358" yWindow="-8" windowWidth="1376" windowHeight="744" activeSheetId="1"/>
  </customWorkbookViews>
  <extLst>
    <ext xmlns:x14="http://schemas.microsoft.com/office/spreadsheetml/2009/9/main" uri="{876F7934-8845-4945-9796-88D515C7AA90}">
      <x14:pivotCaches>
        <pivotCache cacheId="0"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1" r:id="rId17"/>
      </x15:pivotCaches>
    </ext>
    <ext xmlns:x15="http://schemas.microsoft.com/office/spreadsheetml/2010/11/main" uri="{983426D0-5260-488c-9760-48F4B6AC55F4}">
      <x15:pivotTableReferences>
        <x15:pivotTableReference r:id="rId18"/>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a79acebb-88fc-4c37-a5ac-6f1301cf5e8a" name="Range" connection="WorksheetConnection_Epi-C_data!$A$1:$F$20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3" l="1"/>
  <c r="F6" i="3"/>
  <c r="BN6" i="3"/>
  <c r="E7" i="3"/>
  <c r="F7" i="3"/>
  <c r="BN7" i="3"/>
  <c r="E8" i="3"/>
  <c r="F8" i="3"/>
  <c r="BN8" i="3"/>
  <c r="E9" i="3"/>
  <c r="F9" i="3"/>
  <c r="BN9" i="3"/>
  <c r="E10" i="3"/>
  <c r="F10" i="3"/>
  <c r="BN10" i="3"/>
  <c r="E11" i="3"/>
  <c r="F11" i="3"/>
  <c r="BN11" i="3"/>
  <c r="E12" i="3"/>
  <c r="F12" i="3"/>
  <c r="BN12" i="3"/>
  <c r="E13" i="3"/>
  <c r="F13" i="3"/>
  <c r="BN13" i="3"/>
  <c r="E14" i="3"/>
  <c r="F14" i="3"/>
  <c r="BN14" i="3"/>
  <c r="E15" i="3"/>
  <c r="F15" i="3"/>
  <c r="BN15" i="3"/>
  <c r="E16" i="3"/>
  <c r="F16" i="3"/>
  <c r="BN16" i="3"/>
  <c r="E17" i="3"/>
  <c r="F17" i="3"/>
  <c r="BN17" i="3"/>
  <c r="E18" i="3"/>
  <c r="F18" i="3"/>
  <c r="BN18" i="3"/>
  <c r="E19" i="3"/>
  <c r="F19" i="3"/>
  <c r="BN19" i="3"/>
  <c r="E20" i="3"/>
  <c r="F20" i="3"/>
  <c r="BN20" i="3"/>
  <c r="E21" i="3"/>
  <c r="F21" i="3"/>
  <c r="BN21" i="3"/>
  <c r="E22" i="3"/>
  <c r="F22" i="3"/>
  <c r="BN22" i="3"/>
  <c r="E23" i="3"/>
  <c r="F23" i="3"/>
  <c r="BN23" i="3"/>
  <c r="E24" i="3"/>
  <c r="F24" i="3"/>
  <c r="BN24" i="3"/>
  <c r="E25" i="3"/>
  <c r="F25" i="3"/>
  <c r="BN25" i="3"/>
  <c r="E26" i="3"/>
  <c r="F26" i="3"/>
  <c r="BN26" i="3"/>
  <c r="E27" i="3"/>
  <c r="F27" i="3"/>
  <c r="BN27" i="3"/>
  <c r="E28" i="3"/>
  <c r="F28" i="3"/>
  <c r="BN28" i="3"/>
  <c r="E29" i="3"/>
  <c r="F29" i="3"/>
  <c r="BN29" i="3"/>
  <c r="E30" i="3"/>
  <c r="F30" i="3"/>
  <c r="BN30" i="3"/>
  <c r="E31" i="3"/>
  <c r="F31" i="3"/>
  <c r="BN31" i="3"/>
  <c r="C35" i="24" l="1"/>
  <c r="K17" i="17" l="1"/>
  <c r="L17" i="17" s="1"/>
  <c r="E18" i="1" l="1"/>
  <c r="R14" i="1" l="1"/>
  <c r="R13" i="1" l="1"/>
  <c r="Q4" i="4" l="1"/>
  <c r="E32" i="3" l="1"/>
  <c r="F32" i="3"/>
  <c r="E33" i="3"/>
  <c r="F33" i="3"/>
  <c r="E34" i="3"/>
  <c r="F34" i="3"/>
  <c r="E35" i="3" l="1"/>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J197" i="24" l="1"/>
  <c r="L197" i="24"/>
  <c r="M197" i="24"/>
  <c r="N197" i="24"/>
  <c r="O197" i="24"/>
  <c r="I198" i="24"/>
  <c r="J198" i="24"/>
  <c r="K198" i="24"/>
  <c r="L198" i="24"/>
  <c r="O198" i="24"/>
  <c r="I199" i="24"/>
  <c r="J199" i="24"/>
  <c r="K199" i="24"/>
  <c r="O199" i="24"/>
  <c r="P199" i="24"/>
  <c r="H200" i="24"/>
  <c r="K200" i="24"/>
  <c r="M200" i="24"/>
  <c r="N200" i="24"/>
  <c r="O200" i="24"/>
  <c r="P200" i="24"/>
  <c r="F3" i="24"/>
  <c r="F4" i="24"/>
  <c r="F5" i="24"/>
  <c r="F6" i="24"/>
  <c r="F7" i="24"/>
  <c r="F8" i="24"/>
  <c r="F9" i="24"/>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104" i="24"/>
  <c r="F105" i="24"/>
  <c r="F106" i="24"/>
  <c r="F107" i="24"/>
  <c r="F108" i="24"/>
  <c r="F109" i="24"/>
  <c r="F110" i="24"/>
  <c r="F111" i="24"/>
  <c r="F112" i="24"/>
  <c r="F113" i="24"/>
  <c r="F114" i="24"/>
  <c r="F115" i="24"/>
  <c r="F116" i="24"/>
  <c r="F117" i="24"/>
  <c r="F118" i="24"/>
  <c r="F119" i="24"/>
  <c r="F120" i="24"/>
  <c r="F121" i="24"/>
  <c r="F122" i="24"/>
  <c r="F123" i="24"/>
  <c r="F124" i="24"/>
  <c r="F125" i="24"/>
  <c r="F126" i="24"/>
  <c r="F127" i="24"/>
  <c r="F128" i="24"/>
  <c r="F129" i="24"/>
  <c r="F130" i="24"/>
  <c r="F131" i="24"/>
  <c r="F132" i="24"/>
  <c r="F133" i="24"/>
  <c r="F134" i="24"/>
  <c r="F135" i="24"/>
  <c r="F136" i="24"/>
  <c r="F137" i="24"/>
  <c r="F138" i="24"/>
  <c r="F139" i="24"/>
  <c r="F140" i="24"/>
  <c r="F141" i="24"/>
  <c r="F142" i="24"/>
  <c r="F143" i="24"/>
  <c r="F144" i="24"/>
  <c r="F145" i="24"/>
  <c r="F146" i="24"/>
  <c r="F147" i="24"/>
  <c r="F148" i="24"/>
  <c r="F149" i="24"/>
  <c r="F150" i="24"/>
  <c r="F151" i="24"/>
  <c r="F152" i="24"/>
  <c r="F153" i="24"/>
  <c r="F154" i="24"/>
  <c r="F155" i="24"/>
  <c r="F156" i="24"/>
  <c r="F157" i="24"/>
  <c r="F158" i="24"/>
  <c r="F159" i="24"/>
  <c r="F160" i="24"/>
  <c r="F161" i="24"/>
  <c r="F162" i="24"/>
  <c r="F163" i="24"/>
  <c r="F164" i="24"/>
  <c r="F165" i="24"/>
  <c r="F166" i="24"/>
  <c r="F167" i="24"/>
  <c r="F168" i="24"/>
  <c r="F169" i="24"/>
  <c r="F170" i="24"/>
  <c r="F171" i="24"/>
  <c r="F172" i="24"/>
  <c r="F173" i="24"/>
  <c r="F174" i="24"/>
  <c r="F175" i="24"/>
  <c r="F176" i="24"/>
  <c r="F177" i="24"/>
  <c r="F178" i="24"/>
  <c r="F179" i="24"/>
  <c r="F180" i="24"/>
  <c r="F181" i="24"/>
  <c r="F182" i="24"/>
  <c r="F183" i="24"/>
  <c r="F184" i="24"/>
  <c r="F185" i="24"/>
  <c r="F186" i="24"/>
  <c r="F187" i="24"/>
  <c r="F188" i="24"/>
  <c r="F189" i="24"/>
  <c r="F190" i="24"/>
  <c r="F191" i="24"/>
  <c r="F192" i="24"/>
  <c r="F193" i="24"/>
  <c r="F194" i="24"/>
  <c r="F195" i="24"/>
  <c r="F196" i="24"/>
  <c r="F197" i="24"/>
  <c r="F198" i="24"/>
  <c r="F199" i="24"/>
  <c r="F200" i="24"/>
  <c r="F2" i="24"/>
  <c r="A3" i="24"/>
  <c r="A4"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119" i="24"/>
  <c r="A120" i="24"/>
  <c r="A121" i="24"/>
  <c r="A122" i="24"/>
  <c r="A123" i="24"/>
  <c r="A124" i="24"/>
  <c r="A125" i="24"/>
  <c r="A126" i="24"/>
  <c r="A127" i="24"/>
  <c r="A128" i="24"/>
  <c r="A129" i="24"/>
  <c r="A130" i="24"/>
  <c r="A131" i="24"/>
  <c r="A132" i="24"/>
  <c r="A133" i="24"/>
  <c r="A134" i="24"/>
  <c r="A135" i="24"/>
  <c r="A136" i="24"/>
  <c r="A137" i="24"/>
  <c r="A138" i="24"/>
  <c r="A139" i="24"/>
  <c r="A140" i="24"/>
  <c r="A141" i="24"/>
  <c r="A142" i="24"/>
  <c r="A143" i="24"/>
  <c r="A144" i="24"/>
  <c r="A145" i="24"/>
  <c r="A146" i="24"/>
  <c r="A147" i="24"/>
  <c r="A148" i="24"/>
  <c r="A149" i="24"/>
  <c r="A150" i="24"/>
  <c r="A151" i="24"/>
  <c r="A152" i="24"/>
  <c r="A153" i="24"/>
  <c r="A154" i="24"/>
  <c r="A155" i="24"/>
  <c r="A156" i="24"/>
  <c r="A157" i="24"/>
  <c r="A158" i="24"/>
  <c r="A159" i="24"/>
  <c r="A160" i="24"/>
  <c r="A161" i="24"/>
  <c r="A162" i="24"/>
  <c r="A163" i="24"/>
  <c r="A164" i="24"/>
  <c r="A165" i="24"/>
  <c r="A166" i="24"/>
  <c r="A167" i="24"/>
  <c r="A168" i="24"/>
  <c r="A169" i="24"/>
  <c r="A170" i="24"/>
  <c r="A171" i="24"/>
  <c r="A172" i="24"/>
  <c r="A173" i="24"/>
  <c r="A174" i="24"/>
  <c r="A175" i="24"/>
  <c r="A176" i="24"/>
  <c r="A177" i="24"/>
  <c r="A178" i="24"/>
  <c r="A179" i="24"/>
  <c r="A180" i="24"/>
  <c r="A181" i="24"/>
  <c r="A182" i="24"/>
  <c r="A183" i="24"/>
  <c r="A184" i="24"/>
  <c r="A185" i="24"/>
  <c r="A186" i="24"/>
  <c r="A187" i="24"/>
  <c r="A188" i="24"/>
  <c r="A189" i="24"/>
  <c r="A190" i="24"/>
  <c r="A191" i="24"/>
  <c r="A192" i="24"/>
  <c r="A193" i="24"/>
  <c r="A194" i="24"/>
  <c r="A195" i="24"/>
  <c r="A196" i="24"/>
  <c r="A197" i="24"/>
  <c r="A198" i="24"/>
  <c r="A199" i="24"/>
  <c r="A200" i="24"/>
  <c r="A2" i="24"/>
  <c r="B3" i="24"/>
  <c r="B4" i="24"/>
  <c r="B5" i="24"/>
  <c r="B6" i="24"/>
  <c r="B7" i="24"/>
  <c r="B8" i="24"/>
  <c r="B9" i="24"/>
  <c r="B10" i="24"/>
  <c r="B11" i="24"/>
  <c r="B12" i="24"/>
  <c r="B13" i="24"/>
  <c r="B14" i="24"/>
  <c r="B15" i="24"/>
  <c r="B16" i="24"/>
  <c r="B17" i="24"/>
  <c r="B18" i="24"/>
  <c r="B19" i="24"/>
  <c r="B20" i="24"/>
  <c r="B21" i="24"/>
  <c r="B22" i="24"/>
  <c r="B23" i="24"/>
  <c r="B24" i="24"/>
  <c r="B25" i="24"/>
  <c r="B26" i="24"/>
  <c r="B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57" i="24"/>
  <c r="B58" i="24"/>
  <c r="B59" i="24"/>
  <c r="B60" i="24"/>
  <c r="B61" i="24"/>
  <c r="B62" i="24"/>
  <c r="B63" i="24"/>
  <c r="B64" i="24"/>
  <c r="B65" i="24"/>
  <c r="B66" i="24"/>
  <c r="B67" i="24"/>
  <c r="B68" i="24"/>
  <c r="B69" i="24"/>
  <c r="B70" i="24"/>
  <c r="B71" i="24"/>
  <c r="B72" i="24"/>
  <c r="B73" i="24"/>
  <c r="B74" i="24"/>
  <c r="B75" i="24"/>
  <c r="B76" i="24"/>
  <c r="B77" i="24"/>
  <c r="B78" i="24"/>
  <c r="B79" i="24"/>
  <c r="B80" i="24"/>
  <c r="B81" i="24"/>
  <c r="B82" i="24"/>
  <c r="B83" i="24"/>
  <c r="B84" i="24"/>
  <c r="B85" i="24"/>
  <c r="B86" i="24"/>
  <c r="B87" i="24"/>
  <c r="B88" i="24"/>
  <c r="B89" i="24"/>
  <c r="B90" i="24"/>
  <c r="B91" i="24"/>
  <c r="B92" i="24"/>
  <c r="B93" i="24"/>
  <c r="B94" i="24"/>
  <c r="B95" i="24"/>
  <c r="B96" i="24"/>
  <c r="B97" i="24"/>
  <c r="B98" i="24"/>
  <c r="B99" i="24"/>
  <c r="B100" i="24"/>
  <c r="B101" i="24"/>
  <c r="B102" i="24"/>
  <c r="B103" i="24"/>
  <c r="B104" i="24"/>
  <c r="B105" i="24"/>
  <c r="B106" i="24"/>
  <c r="B107" i="24"/>
  <c r="B108" i="24"/>
  <c r="B109" i="24"/>
  <c r="B110" i="24"/>
  <c r="B111" i="24"/>
  <c r="B112" i="24"/>
  <c r="B113" i="24"/>
  <c r="B114" i="24"/>
  <c r="B115" i="24"/>
  <c r="B116" i="24"/>
  <c r="B117" i="24"/>
  <c r="B118" i="24"/>
  <c r="B119" i="24"/>
  <c r="B120" i="24"/>
  <c r="B121" i="24"/>
  <c r="B122" i="24"/>
  <c r="B123" i="24"/>
  <c r="B124" i="24"/>
  <c r="B125" i="24"/>
  <c r="B126" i="24"/>
  <c r="B127" i="24"/>
  <c r="B128" i="24"/>
  <c r="B129" i="24"/>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B166" i="24"/>
  <c r="B167" i="24"/>
  <c r="B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 i="24"/>
  <c r="C3" i="24"/>
  <c r="C4" i="24"/>
  <c r="C5" i="24"/>
  <c r="C6" i="24"/>
  <c r="C7" i="24"/>
  <c r="C8" i="24"/>
  <c r="C9" i="24"/>
  <c r="C10" i="24"/>
  <c r="C11" i="24"/>
  <c r="C12" i="24"/>
  <c r="C13" i="24"/>
  <c r="C14" i="24"/>
  <c r="C15" i="24"/>
  <c r="C16" i="24"/>
  <c r="C17" i="24"/>
  <c r="C18" i="24"/>
  <c r="C19" i="24"/>
  <c r="C20" i="24"/>
  <c r="C21" i="24"/>
  <c r="C22" i="24"/>
  <c r="C23" i="24"/>
  <c r="C24" i="24"/>
  <c r="C25" i="24"/>
  <c r="C26" i="24"/>
  <c r="C27" i="24"/>
  <c r="C28" i="24"/>
  <c r="C29" i="24"/>
  <c r="C30" i="24"/>
  <c r="C31" i="24"/>
  <c r="M31" i="24" s="1"/>
  <c r="C32" i="24"/>
  <c r="C33" i="24"/>
  <c r="C34" i="24"/>
  <c r="O34" i="24" s="1"/>
  <c r="C36" i="24"/>
  <c r="C37" i="24"/>
  <c r="C38" i="24"/>
  <c r="C39" i="24"/>
  <c r="G39" i="24" s="1"/>
  <c r="C40" i="24"/>
  <c r="C41" i="24"/>
  <c r="P41" i="24" s="1"/>
  <c r="C42" i="24"/>
  <c r="H42" i="24" s="1"/>
  <c r="C43" i="24"/>
  <c r="C44" i="24"/>
  <c r="C45" i="24"/>
  <c r="G45" i="24" s="1"/>
  <c r="C46" i="24"/>
  <c r="C47" i="24"/>
  <c r="G47" i="24" s="1"/>
  <c r="C48" i="24"/>
  <c r="C49" i="24"/>
  <c r="G49" i="24" s="1"/>
  <c r="C50" i="24"/>
  <c r="G50" i="24" s="1"/>
  <c r="C51" i="24"/>
  <c r="C52" i="24"/>
  <c r="C53" i="24"/>
  <c r="C54" i="24"/>
  <c r="G54" i="24" s="1"/>
  <c r="C55" i="24"/>
  <c r="G55" i="24" s="1"/>
  <c r="C56" i="24"/>
  <c r="I56" i="24" s="1"/>
  <c r="C57" i="24"/>
  <c r="G57" i="24" s="1"/>
  <c r="C58" i="24"/>
  <c r="C59" i="24"/>
  <c r="C60" i="24"/>
  <c r="C61" i="24"/>
  <c r="O61" i="24" s="1"/>
  <c r="C62" i="24"/>
  <c r="C63" i="24"/>
  <c r="G63" i="24" s="1"/>
  <c r="C64" i="24"/>
  <c r="C65" i="24"/>
  <c r="P65" i="24" s="1"/>
  <c r="C66" i="24"/>
  <c r="H66" i="24" s="1"/>
  <c r="C67" i="24"/>
  <c r="G67" i="24" s="1"/>
  <c r="C68" i="24"/>
  <c r="C69" i="24"/>
  <c r="P69" i="24" s="1"/>
  <c r="C70" i="24"/>
  <c r="H70" i="24" s="1"/>
  <c r="C71" i="24"/>
  <c r="G71" i="24" s="1"/>
  <c r="C72" i="24"/>
  <c r="C73" i="24"/>
  <c r="C74" i="24"/>
  <c r="H74" i="24" s="1"/>
  <c r="C75" i="24"/>
  <c r="C76" i="24"/>
  <c r="C77" i="24"/>
  <c r="G77" i="24" s="1"/>
  <c r="C78" i="24"/>
  <c r="H78" i="24" s="1"/>
  <c r="C79" i="24"/>
  <c r="G79" i="24" s="1"/>
  <c r="C80" i="24"/>
  <c r="C81" i="24"/>
  <c r="G81" i="24" s="1"/>
  <c r="C82" i="24"/>
  <c r="H82" i="24" s="1"/>
  <c r="C83" i="24"/>
  <c r="G83" i="24" s="1"/>
  <c r="C84" i="24"/>
  <c r="C85" i="24"/>
  <c r="M85" i="24" s="1"/>
  <c r="C86" i="24"/>
  <c r="C87" i="24"/>
  <c r="G87" i="24" s="1"/>
  <c r="C88" i="24"/>
  <c r="C89" i="24"/>
  <c r="L89" i="24" s="1"/>
  <c r="C90" i="24"/>
  <c r="C91" i="24"/>
  <c r="C92" i="24"/>
  <c r="N92" i="24" s="1"/>
  <c r="C93" i="24"/>
  <c r="C94" i="24"/>
  <c r="C95" i="24"/>
  <c r="G95" i="24" s="1"/>
  <c r="C96" i="24"/>
  <c r="J96" i="24" s="1"/>
  <c r="C97" i="24"/>
  <c r="G97" i="24" s="1"/>
  <c r="C98" i="24"/>
  <c r="G98" i="24" s="1"/>
  <c r="C99" i="24"/>
  <c r="O99" i="24" s="1"/>
  <c r="C100" i="24"/>
  <c r="C101" i="24"/>
  <c r="C102" i="24"/>
  <c r="C103" i="24"/>
  <c r="G103" i="24" s="1"/>
  <c r="C104" i="24"/>
  <c r="C105" i="24"/>
  <c r="C106" i="24"/>
  <c r="P106" i="24" s="1"/>
  <c r="C107" i="24"/>
  <c r="H107" i="24" s="1"/>
  <c r="C108" i="24"/>
  <c r="C109" i="24"/>
  <c r="G109" i="24" s="1"/>
  <c r="C110" i="24"/>
  <c r="O110" i="24" s="1"/>
  <c r="C111" i="24"/>
  <c r="G111" i="24" s="1"/>
  <c r="C112" i="24"/>
  <c r="C113" i="24"/>
  <c r="G113" i="24" s="1"/>
  <c r="C114" i="24"/>
  <c r="K114" i="24" s="1"/>
  <c r="C115" i="24"/>
  <c r="C116" i="24"/>
  <c r="C117" i="24"/>
  <c r="O117" i="24" s="1"/>
  <c r="C118" i="24"/>
  <c r="C119" i="24"/>
  <c r="O119" i="24" s="1"/>
  <c r="C120" i="24"/>
  <c r="C121" i="24"/>
  <c r="P121" i="24" s="1"/>
  <c r="C122" i="24"/>
  <c r="C123" i="24"/>
  <c r="K123" i="24" s="1"/>
  <c r="C124" i="24"/>
  <c r="C125" i="24"/>
  <c r="K125" i="24" s="1"/>
  <c r="C126" i="24"/>
  <c r="P126" i="24" s="1"/>
  <c r="C127" i="24"/>
  <c r="H127" i="24" s="1"/>
  <c r="C128" i="24"/>
  <c r="C129" i="24"/>
  <c r="G129" i="24" s="1"/>
  <c r="C130" i="24"/>
  <c r="O130" i="24" s="1"/>
  <c r="C131" i="24"/>
  <c r="C132" i="24"/>
  <c r="K132" i="24" s="1"/>
  <c r="C133" i="24"/>
  <c r="C134" i="24"/>
  <c r="H134" i="24" s="1"/>
  <c r="C135" i="24"/>
  <c r="G135" i="24" s="1"/>
  <c r="C136" i="24"/>
  <c r="H136" i="24" s="1"/>
  <c r="C137" i="24"/>
  <c r="M137" i="24" s="1"/>
  <c r="C138" i="24"/>
  <c r="G138" i="24" s="1"/>
  <c r="C139" i="24"/>
  <c r="K139" i="24" s="1"/>
  <c r="C140" i="24"/>
  <c r="C141" i="24"/>
  <c r="I141" i="24" s="1"/>
  <c r="C142" i="24"/>
  <c r="C143" i="24"/>
  <c r="G143" i="24" s="1"/>
  <c r="C144" i="24"/>
  <c r="N144" i="24" s="1"/>
  <c r="C145" i="24"/>
  <c r="C146" i="24"/>
  <c r="L146" i="24" s="1"/>
  <c r="C147" i="24"/>
  <c r="G147" i="24" s="1"/>
  <c r="C148" i="24"/>
  <c r="K148" i="24" s="1"/>
  <c r="C149" i="24"/>
  <c r="C150" i="24"/>
  <c r="K150" i="24" s="1"/>
  <c r="C151" i="24"/>
  <c r="O151" i="24" s="1"/>
  <c r="C152" i="24"/>
  <c r="C153" i="24"/>
  <c r="P153" i="24" s="1"/>
  <c r="C154" i="24"/>
  <c r="G154" i="24" s="1"/>
  <c r="C155" i="24"/>
  <c r="K155" i="24" s="1"/>
  <c r="C156" i="24"/>
  <c r="O156" i="24" s="1"/>
  <c r="C157" i="24"/>
  <c r="I157" i="24" s="1"/>
  <c r="C158" i="24"/>
  <c r="H158" i="24" s="1"/>
  <c r="C159" i="24"/>
  <c r="O159" i="24" s="1"/>
  <c r="C160" i="24"/>
  <c r="N160" i="24" s="1"/>
  <c r="C161" i="24"/>
  <c r="G161" i="24" s="1"/>
  <c r="C162" i="24"/>
  <c r="K162" i="24" s="1"/>
  <c r="C163" i="24"/>
  <c r="J163" i="24" s="1"/>
  <c r="C164" i="24"/>
  <c r="J164" i="24" s="1"/>
  <c r="C165" i="24"/>
  <c r="H165" i="24" s="1"/>
  <c r="C166" i="24"/>
  <c r="J166" i="24" s="1"/>
  <c r="C167" i="24"/>
  <c r="G167" i="24" s="1"/>
  <c r="C168" i="24"/>
  <c r="M168" i="24" s="1"/>
  <c r="C169" i="24"/>
  <c r="C170" i="24"/>
  <c r="N170" i="24" s="1"/>
  <c r="C171" i="24"/>
  <c r="J171" i="24" s="1"/>
  <c r="C172" i="24"/>
  <c r="I172" i="24" s="1"/>
  <c r="C173" i="24"/>
  <c r="J173" i="24" s="1"/>
  <c r="C174" i="24"/>
  <c r="H174" i="24" s="1"/>
  <c r="C175" i="24"/>
  <c r="N175" i="24" s="1"/>
  <c r="C176" i="24"/>
  <c r="H176" i="24" s="1"/>
  <c r="C177" i="24"/>
  <c r="L177" i="24" s="1"/>
  <c r="C178" i="24"/>
  <c r="K178" i="24" s="1"/>
  <c r="C179" i="24"/>
  <c r="J179" i="24" s="1"/>
  <c r="C180" i="24"/>
  <c r="J180" i="24" s="1"/>
  <c r="C181" i="24"/>
  <c r="H181" i="24" s="1"/>
  <c r="C182" i="24"/>
  <c r="J182" i="24" s="1"/>
  <c r="C183" i="24"/>
  <c r="C184" i="24"/>
  <c r="H184" i="24" s="1"/>
  <c r="C185" i="24"/>
  <c r="L185" i="24" s="1"/>
  <c r="C186" i="24"/>
  <c r="N186" i="24" s="1"/>
  <c r="C187" i="24"/>
  <c r="J187" i="24" s="1"/>
  <c r="C188" i="24"/>
  <c r="I188" i="24" s="1"/>
  <c r="C189" i="24"/>
  <c r="J189" i="24" s="1"/>
  <c r="C190" i="24"/>
  <c r="H190" i="24" s="1"/>
  <c r="C191" i="24"/>
  <c r="N191" i="24" s="1"/>
  <c r="C192" i="24"/>
  <c r="C193" i="24"/>
  <c r="C194" i="24"/>
  <c r="K194" i="24" s="1"/>
  <c r="C195" i="24"/>
  <c r="H195" i="24" s="1"/>
  <c r="C196" i="24"/>
  <c r="G196" i="24" s="1"/>
  <c r="C197" i="24"/>
  <c r="H197" i="24" s="1"/>
  <c r="C198" i="24"/>
  <c r="M198" i="24" s="1"/>
  <c r="C199" i="24"/>
  <c r="G199" i="24" s="1"/>
  <c r="C200" i="24"/>
  <c r="G200" i="24" s="1"/>
  <c r="C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 i="24"/>
  <c r="E3" i="24"/>
  <c r="E4"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134"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61" i="24"/>
  <c r="E162" i="24"/>
  <c r="E163" i="24"/>
  <c r="E164" i="24"/>
  <c r="E165" i="24"/>
  <c r="E166" i="24"/>
  <c r="E167" i="24"/>
  <c r="E168" i="24"/>
  <c r="E169" i="24"/>
  <c r="E170" i="24"/>
  <c r="E171" i="24"/>
  <c r="E172" i="24"/>
  <c r="E173" i="24"/>
  <c r="E174" i="24"/>
  <c r="E175" i="24"/>
  <c r="E176" i="24"/>
  <c r="E177" i="24"/>
  <c r="E178" i="24"/>
  <c r="E179" i="24"/>
  <c r="E180" i="24"/>
  <c r="E181" i="24"/>
  <c r="E182" i="24"/>
  <c r="E183" i="24"/>
  <c r="E184" i="24"/>
  <c r="E185" i="24"/>
  <c r="E186" i="24"/>
  <c r="E187" i="24"/>
  <c r="E188" i="24"/>
  <c r="E189" i="24"/>
  <c r="E190" i="24"/>
  <c r="E191" i="24"/>
  <c r="E192" i="24"/>
  <c r="E193" i="24"/>
  <c r="E194" i="24"/>
  <c r="E195" i="24"/>
  <c r="E196" i="24"/>
  <c r="E197" i="24"/>
  <c r="E198" i="24"/>
  <c r="E199" i="24"/>
  <c r="E200" i="24"/>
  <c r="E2" i="24"/>
  <c r="G35" i="24"/>
  <c r="G37" i="24"/>
  <c r="G38" i="24"/>
  <c r="G43" i="24"/>
  <c r="G46" i="24"/>
  <c r="G51" i="24"/>
  <c r="G53" i="24"/>
  <c r="G58" i="24"/>
  <c r="G59" i="24"/>
  <c r="G61" i="24"/>
  <c r="G62" i="24"/>
  <c r="G66" i="24"/>
  <c r="G74" i="24"/>
  <c r="G75" i="24"/>
  <c r="G82" i="24"/>
  <c r="G85" i="24"/>
  <c r="G86" i="24"/>
  <c r="G90" i="24"/>
  <c r="G91" i="24"/>
  <c r="G93" i="24"/>
  <c r="G94" i="24"/>
  <c r="G99" i="24"/>
  <c r="G101" i="24"/>
  <c r="G102" i="24"/>
  <c r="G107" i="24"/>
  <c r="G114" i="24"/>
  <c r="G115" i="24"/>
  <c r="G117" i="24"/>
  <c r="G118" i="24"/>
  <c r="G122" i="24"/>
  <c r="G130" i="24"/>
  <c r="G131" i="24"/>
  <c r="G133" i="24"/>
  <c r="G134" i="24"/>
  <c r="G141" i="24"/>
  <c r="G142" i="24"/>
  <c r="G145" i="24"/>
  <c r="G146" i="24"/>
  <c r="G149" i="24"/>
  <c r="G150" i="24"/>
  <c r="G155" i="24"/>
  <c r="G157" i="24"/>
  <c r="G158" i="24"/>
  <c r="G162" i="24"/>
  <c r="G163" i="24"/>
  <c r="G170" i="24"/>
  <c r="G171" i="24"/>
  <c r="G173" i="24"/>
  <c r="G178" i="24"/>
  <c r="G179" i="24"/>
  <c r="G183" i="24"/>
  <c r="G186" i="24"/>
  <c r="G187" i="24"/>
  <c r="G197" i="24"/>
  <c r="G198" i="24"/>
  <c r="G195" i="24" l="1"/>
  <c r="G34" i="24"/>
  <c r="G194" i="24"/>
  <c r="G165" i="24"/>
  <c r="G110" i="24"/>
  <c r="M199" i="24"/>
  <c r="H198" i="24"/>
  <c r="G166" i="24"/>
  <c r="N199" i="24"/>
  <c r="G190" i="24"/>
  <c r="G139" i="24"/>
  <c r="G189" i="24"/>
  <c r="L199" i="24"/>
  <c r="P197" i="24"/>
  <c r="G106" i="24"/>
  <c r="G182" i="24"/>
  <c r="H199" i="24"/>
  <c r="G181" i="24"/>
  <c r="G126" i="24"/>
  <c r="L200" i="24"/>
  <c r="P198" i="24"/>
  <c r="K197" i="24"/>
  <c r="G123" i="24"/>
  <c r="G69" i="24"/>
  <c r="J200" i="24"/>
  <c r="N198" i="24"/>
  <c r="I197" i="24"/>
  <c r="G78" i="24"/>
  <c r="G125" i="24"/>
  <c r="G70" i="24"/>
  <c r="G42" i="24"/>
  <c r="G174" i="24"/>
  <c r="I200" i="24"/>
  <c r="G159" i="24"/>
  <c r="G119" i="24"/>
  <c r="G191" i="24"/>
  <c r="G151" i="24"/>
  <c r="G127" i="24"/>
  <c r="G175" i="24"/>
  <c r="K186" i="24"/>
  <c r="O175" i="24"/>
  <c r="N168" i="24"/>
  <c r="N159" i="24"/>
  <c r="J148" i="24"/>
  <c r="O195" i="24"/>
  <c r="I78" i="24"/>
  <c r="O191" i="24"/>
  <c r="N184" i="24"/>
  <c r="P166" i="24"/>
  <c r="O144" i="24"/>
  <c r="P182" i="24"/>
  <c r="O166" i="24"/>
  <c r="O157" i="24"/>
  <c r="J141" i="24"/>
  <c r="L123" i="24"/>
  <c r="P99" i="24"/>
  <c r="G177" i="24"/>
  <c r="O182" i="24"/>
  <c r="P173" i="24"/>
  <c r="I165" i="24"/>
  <c r="L155" i="24"/>
  <c r="P189" i="24"/>
  <c r="I181" i="24"/>
  <c r="J172" i="24"/>
  <c r="I134" i="24"/>
  <c r="P119" i="24"/>
  <c r="O92" i="24"/>
  <c r="P61" i="24"/>
  <c r="J188" i="24"/>
  <c r="K163" i="24"/>
  <c r="P151" i="24"/>
  <c r="K179" i="24"/>
  <c r="L170" i="24"/>
  <c r="M130" i="24"/>
  <c r="I114" i="24"/>
  <c r="N85" i="24"/>
  <c r="P34" i="24"/>
  <c r="L186" i="24"/>
  <c r="K170" i="24"/>
  <c r="L130" i="24"/>
  <c r="H114" i="24"/>
  <c r="H193" i="24"/>
  <c r="P193" i="24"/>
  <c r="I193" i="24"/>
  <c r="J193" i="24"/>
  <c r="K193" i="24"/>
  <c r="H169" i="24"/>
  <c r="P169" i="24"/>
  <c r="I169" i="24"/>
  <c r="J169" i="24"/>
  <c r="K169" i="24"/>
  <c r="I145" i="24"/>
  <c r="J145" i="24"/>
  <c r="K145" i="24"/>
  <c r="L145" i="24"/>
  <c r="M145" i="24"/>
  <c r="N145" i="24"/>
  <c r="O145" i="24"/>
  <c r="P145" i="24"/>
  <c r="M113" i="24"/>
  <c r="N113" i="24"/>
  <c r="O113" i="24"/>
  <c r="H113" i="24"/>
  <c r="P113" i="24"/>
  <c r="I113" i="24"/>
  <c r="J113" i="24"/>
  <c r="K113" i="24"/>
  <c r="L113" i="24"/>
  <c r="J73" i="24"/>
  <c r="L73" i="24"/>
  <c r="M73" i="24"/>
  <c r="N73" i="24"/>
  <c r="O73" i="24"/>
  <c r="H73" i="24"/>
  <c r="I73" i="24"/>
  <c r="K73" i="24"/>
  <c r="G192" i="24"/>
  <c r="I192" i="24"/>
  <c r="J192" i="24"/>
  <c r="K192" i="24"/>
  <c r="L192" i="24"/>
  <c r="G152" i="24"/>
  <c r="J152" i="24"/>
  <c r="K152" i="24"/>
  <c r="L152" i="24"/>
  <c r="M152" i="24"/>
  <c r="N152" i="24"/>
  <c r="O152" i="24"/>
  <c r="P152" i="24"/>
  <c r="G120" i="24"/>
  <c r="J120" i="24"/>
  <c r="K120" i="24"/>
  <c r="L120" i="24"/>
  <c r="M120" i="24"/>
  <c r="N120" i="24"/>
  <c r="O120" i="24"/>
  <c r="P120" i="24"/>
  <c r="G80" i="24"/>
  <c r="K80" i="24"/>
  <c r="M80" i="24"/>
  <c r="N80" i="24"/>
  <c r="O80" i="24"/>
  <c r="P80" i="24"/>
  <c r="H80" i="24"/>
  <c r="I80" i="24"/>
  <c r="J80" i="24"/>
  <c r="L80" i="24"/>
  <c r="G48" i="24"/>
  <c r="O48" i="24"/>
  <c r="H48" i="24"/>
  <c r="P48" i="24"/>
  <c r="K48" i="24"/>
  <c r="M48" i="24"/>
  <c r="I48" i="24"/>
  <c r="J48" i="24"/>
  <c r="L48" i="24"/>
  <c r="N48" i="24"/>
  <c r="L161" i="24"/>
  <c r="G185" i="24"/>
  <c r="G153" i="24"/>
  <c r="G121" i="24"/>
  <c r="G89" i="24"/>
  <c r="J191" i="24"/>
  <c r="K191" i="24"/>
  <c r="L191" i="24"/>
  <c r="M191" i="24"/>
  <c r="J183" i="24"/>
  <c r="K183" i="24"/>
  <c r="L183" i="24"/>
  <c r="M183" i="24"/>
  <c r="J175" i="24"/>
  <c r="K175" i="24"/>
  <c r="L175" i="24"/>
  <c r="M175" i="24"/>
  <c r="J167" i="24"/>
  <c r="K167" i="24"/>
  <c r="L167" i="24"/>
  <c r="M167" i="24"/>
  <c r="J159" i="24"/>
  <c r="K159" i="24"/>
  <c r="L159" i="24"/>
  <c r="M159" i="24"/>
  <c r="K151" i="24"/>
  <c r="L151" i="24"/>
  <c r="M151" i="24"/>
  <c r="N151" i="24"/>
  <c r="H151" i="24"/>
  <c r="I151" i="24"/>
  <c r="J151" i="24"/>
  <c r="K143" i="24"/>
  <c r="L143" i="24"/>
  <c r="M143" i="24"/>
  <c r="N143" i="24"/>
  <c r="O143" i="24"/>
  <c r="P143" i="24"/>
  <c r="K135" i="24"/>
  <c r="L135" i="24"/>
  <c r="M135" i="24"/>
  <c r="N135" i="24"/>
  <c r="H135" i="24"/>
  <c r="I135" i="24"/>
  <c r="J135" i="24"/>
  <c r="K127" i="24"/>
  <c r="L127" i="24"/>
  <c r="M127" i="24"/>
  <c r="N127" i="24"/>
  <c r="O127" i="24"/>
  <c r="P127" i="24"/>
  <c r="K119" i="24"/>
  <c r="L119" i="24"/>
  <c r="M119" i="24"/>
  <c r="N119" i="24"/>
  <c r="H119" i="24"/>
  <c r="I119" i="24"/>
  <c r="J119" i="24"/>
  <c r="O111" i="24"/>
  <c r="H111" i="24"/>
  <c r="P111" i="24"/>
  <c r="I111" i="24"/>
  <c r="J111" i="24"/>
  <c r="K111" i="24"/>
  <c r="L111" i="24"/>
  <c r="M111" i="24"/>
  <c r="N111" i="24"/>
  <c r="O103" i="24"/>
  <c r="H103" i="24"/>
  <c r="P103" i="24"/>
  <c r="I103" i="24"/>
  <c r="J103" i="24"/>
  <c r="O95" i="24"/>
  <c r="H95" i="24"/>
  <c r="P95" i="24"/>
  <c r="I95" i="24"/>
  <c r="J95" i="24"/>
  <c r="K95" i="24"/>
  <c r="L95" i="24"/>
  <c r="M95" i="24"/>
  <c r="N95" i="24"/>
  <c r="O87" i="24"/>
  <c r="H87" i="24"/>
  <c r="P87" i="24"/>
  <c r="I87" i="24"/>
  <c r="J87" i="24"/>
  <c r="K87" i="24"/>
  <c r="L87" i="24"/>
  <c r="M87" i="24"/>
  <c r="N87" i="24"/>
  <c r="L79" i="24"/>
  <c r="M79" i="24"/>
  <c r="N79" i="24"/>
  <c r="O79" i="24"/>
  <c r="P79" i="24"/>
  <c r="H79" i="24"/>
  <c r="I79" i="24"/>
  <c r="J79" i="24"/>
  <c r="K79" i="24"/>
  <c r="L71" i="24"/>
  <c r="K71" i="24"/>
  <c r="M71" i="24"/>
  <c r="N71" i="24"/>
  <c r="O71" i="24"/>
  <c r="H71" i="24"/>
  <c r="I71" i="24"/>
  <c r="J71" i="24"/>
  <c r="P71" i="24"/>
  <c r="L63" i="24"/>
  <c r="J63" i="24"/>
  <c r="K63" i="24"/>
  <c r="M63" i="24"/>
  <c r="N63" i="24"/>
  <c r="H63" i="24"/>
  <c r="I63" i="24"/>
  <c r="O63" i="24"/>
  <c r="P63" i="24"/>
  <c r="H55" i="24"/>
  <c r="P55" i="24"/>
  <c r="I55" i="24"/>
  <c r="L55" i="24"/>
  <c r="N55" i="24"/>
  <c r="J55" i="24"/>
  <c r="K55" i="24"/>
  <c r="M55" i="24"/>
  <c r="O55" i="24"/>
  <c r="H47" i="24"/>
  <c r="P47" i="24"/>
  <c r="I47" i="24"/>
  <c r="L47" i="24"/>
  <c r="N47" i="24"/>
  <c r="J47" i="24"/>
  <c r="K47" i="24"/>
  <c r="M47" i="24"/>
  <c r="O47" i="24"/>
  <c r="H39" i="24"/>
  <c r="P39" i="24"/>
  <c r="I39" i="24"/>
  <c r="L39" i="24"/>
  <c r="N39" i="24"/>
  <c r="J39" i="24"/>
  <c r="K39" i="24"/>
  <c r="M39" i="24"/>
  <c r="O39" i="24"/>
  <c r="N194" i="24"/>
  <c r="P192" i="24"/>
  <c r="I191" i="24"/>
  <c r="K189" i="24"/>
  <c r="M187" i="24"/>
  <c r="O185" i="24"/>
  <c r="L180" i="24"/>
  <c r="N178" i="24"/>
  <c r="P176" i="24"/>
  <c r="I175" i="24"/>
  <c r="K173" i="24"/>
  <c r="M171" i="24"/>
  <c r="O169" i="24"/>
  <c r="H168" i="24"/>
  <c r="L164" i="24"/>
  <c r="N162" i="24"/>
  <c r="P160" i="24"/>
  <c r="I159" i="24"/>
  <c r="O146" i="24"/>
  <c r="J143" i="24"/>
  <c r="N139" i="24"/>
  <c r="I136" i="24"/>
  <c r="M132" i="24"/>
  <c r="H129" i="24"/>
  <c r="L125" i="24"/>
  <c r="P117" i="24"/>
  <c r="N103" i="24"/>
  <c r="M96" i="24"/>
  <c r="K82" i="24"/>
  <c r="K74" i="24"/>
  <c r="J66" i="24"/>
  <c r="N56" i="24"/>
  <c r="L42" i="24"/>
  <c r="I153" i="24"/>
  <c r="J153" i="24"/>
  <c r="K153" i="24"/>
  <c r="L153" i="24"/>
  <c r="H153" i="24"/>
  <c r="I121" i="24"/>
  <c r="J121" i="24"/>
  <c r="K121" i="24"/>
  <c r="L121" i="24"/>
  <c r="H121" i="24"/>
  <c r="M89" i="24"/>
  <c r="N89" i="24"/>
  <c r="O89" i="24"/>
  <c r="H89" i="24"/>
  <c r="P89" i="24"/>
  <c r="N49" i="24"/>
  <c r="O49" i="24"/>
  <c r="J49" i="24"/>
  <c r="L49" i="24"/>
  <c r="P49" i="24"/>
  <c r="N33" i="24"/>
  <c r="O33" i="24"/>
  <c r="J33" i="24"/>
  <c r="L33" i="24"/>
  <c r="P33" i="24"/>
  <c r="H33" i="24"/>
  <c r="I33" i="24"/>
  <c r="K33" i="24"/>
  <c r="M33" i="24"/>
  <c r="G184" i="24"/>
  <c r="I184" i="24"/>
  <c r="J184" i="24"/>
  <c r="K184" i="24"/>
  <c r="L184" i="24"/>
  <c r="G128" i="24"/>
  <c r="J128" i="24"/>
  <c r="K128" i="24"/>
  <c r="L128" i="24"/>
  <c r="M128" i="24"/>
  <c r="H128" i="24"/>
  <c r="I128" i="24"/>
  <c r="G32" i="24"/>
  <c r="O32" i="24"/>
  <c r="H32" i="24"/>
  <c r="P32" i="24"/>
  <c r="K32" i="24"/>
  <c r="M32" i="24"/>
  <c r="I32" i="24"/>
  <c r="J32" i="24"/>
  <c r="L32" i="24"/>
  <c r="N32" i="24"/>
  <c r="L193" i="24"/>
  <c r="M184" i="24"/>
  <c r="H49" i="24"/>
  <c r="K190" i="24"/>
  <c r="L190" i="24"/>
  <c r="M190" i="24"/>
  <c r="N190" i="24"/>
  <c r="K182" i="24"/>
  <c r="L182" i="24"/>
  <c r="M182" i="24"/>
  <c r="N182" i="24"/>
  <c r="K174" i="24"/>
  <c r="L174" i="24"/>
  <c r="M174" i="24"/>
  <c r="N174" i="24"/>
  <c r="K166" i="24"/>
  <c r="L166" i="24"/>
  <c r="M166" i="24"/>
  <c r="N166" i="24"/>
  <c r="K158" i="24"/>
  <c r="L158" i="24"/>
  <c r="M158" i="24"/>
  <c r="N158" i="24"/>
  <c r="L150" i="24"/>
  <c r="M150" i="24"/>
  <c r="N150" i="24"/>
  <c r="O150" i="24"/>
  <c r="P150" i="24"/>
  <c r="L142" i="24"/>
  <c r="M142" i="24"/>
  <c r="N142" i="24"/>
  <c r="O142" i="24"/>
  <c r="H142" i="24"/>
  <c r="I142" i="24"/>
  <c r="J142" i="24"/>
  <c r="K142" i="24"/>
  <c r="L134" i="24"/>
  <c r="M134" i="24"/>
  <c r="N134" i="24"/>
  <c r="O134" i="24"/>
  <c r="P134" i="24"/>
  <c r="L126" i="24"/>
  <c r="M126" i="24"/>
  <c r="N126" i="24"/>
  <c r="O126" i="24"/>
  <c r="H126" i="24"/>
  <c r="I126" i="24"/>
  <c r="J126" i="24"/>
  <c r="K126" i="24"/>
  <c r="H118" i="24"/>
  <c r="I118" i="24"/>
  <c r="J118" i="24"/>
  <c r="K118" i="24"/>
  <c r="L118" i="24"/>
  <c r="M118" i="24"/>
  <c r="N118" i="24"/>
  <c r="O118" i="24"/>
  <c r="P118" i="24"/>
  <c r="H110" i="24"/>
  <c r="P110" i="24"/>
  <c r="I110" i="24"/>
  <c r="J110" i="24"/>
  <c r="K110" i="24"/>
  <c r="H102" i="24"/>
  <c r="P102" i="24"/>
  <c r="I102" i="24"/>
  <c r="J102" i="24"/>
  <c r="K102" i="24"/>
  <c r="L102" i="24"/>
  <c r="M102" i="24"/>
  <c r="N102" i="24"/>
  <c r="O102" i="24"/>
  <c r="H94" i="24"/>
  <c r="P94" i="24"/>
  <c r="I94" i="24"/>
  <c r="J94" i="24"/>
  <c r="K94" i="24"/>
  <c r="L94" i="24"/>
  <c r="M94" i="24"/>
  <c r="N94" i="24"/>
  <c r="O94" i="24"/>
  <c r="H86" i="24"/>
  <c r="P86" i="24"/>
  <c r="I86" i="24"/>
  <c r="J86" i="24"/>
  <c r="K86" i="24"/>
  <c r="L86" i="24"/>
  <c r="M86" i="24"/>
  <c r="N86" i="24"/>
  <c r="O86" i="24"/>
  <c r="M78" i="24"/>
  <c r="L78" i="24"/>
  <c r="N78" i="24"/>
  <c r="O78" i="24"/>
  <c r="P78" i="24"/>
  <c r="M70" i="24"/>
  <c r="K70" i="24"/>
  <c r="L70" i="24"/>
  <c r="N70" i="24"/>
  <c r="O70" i="24"/>
  <c r="P70" i="24"/>
  <c r="M62" i="24"/>
  <c r="J62" i="24"/>
  <c r="K62" i="24"/>
  <c r="L62" i="24"/>
  <c r="N62" i="24"/>
  <c r="O62" i="24"/>
  <c r="P62" i="24"/>
  <c r="I54" i="24"/>
  <c r="J54" i="24"/>
  <c r="M54" i="24"/>
  <c r="O54" i="24"/>
  <c r="H54" i="24"/>
  <c r="K54" i="24"/>
  <c r="L54" i="24"/>
  <c r="N54" i="24"/>
  <c r="P54" i="24"/>
  <c r="I46" i="24"/>
  <c r="J46" i="24"/>
  <c r="M46" i="24"/>
  <c r="O46" i="24"/>
  <c r="K46" i="24"/>
  <c r="L46" i="24"/>
  <c r="N46" i="24"/>
  <c r="P46" i="24"/>
  <c r="H46" i="24"/>
  <c r="I38" i="24"/>
  <c r="J38" i="24"/>
  <c r="M38" i="24"/>
  <c r="O38" i="24"/>
  <c r="H38" i="24"/>
  <c r="K38" i="24"/>
  <c r="L38" i="24"/>
  <c r="N38" i="24"/>
  <c r="P38" i="24"/>
  <c r="M194" i="24"/>
  <c r="O192" i="24"/>
  <c r="H191" i="24"/>
  <c r="L187" i="24"/>
  <c r="N185" i="24"/>
  <c r="P183" i="24"/>
  <c r="I182" i="24"/>
  <c r="K180" i="24"/>
  <c r="M178" i="24"/>
  <c r="O176" i="24"/>
  <c r="H175" i="24"/>
  <c r="L171" i="24"/>
  <c r="N169" i="24"/>
  <c r="P167" i="24"/>
  <c r="I166" i="24"/>
  <c r="K164" i="24"/>
  <c r="M162" i="24"/>
  <c r="O160" i="24"/>
  <c r="H159" i="24"/>
  <c r="P156" i="24"/>
  <c r="O153" i="24"/>
  <c r="J150" i="24"/>
  <c r="N146" i="24"/>
  <c r="I143" i="24"/>
  <c r="M139" i="24"/>
  <c r="L132" i="24"/>
  <c r="P128" i="24"/>
  <c r="O121" i="24"/>
  <c r="N110" i="24"/>
  <c r="M103" i="24"/>
  <c r="L96" i="24"/>
  <c r="K89" i="24"/>
  <c r="J82" i="24"/>
  <c r="J74" i="24"/>
  <c r="L56" i="24"/>
  <c r="J42" i="24"/>
  <c r="M161" i="24"/>
  <c r="G88" i="24"/>
  <c r="N88" i="24"/>
  <c r="O88" i="24"/>
  <c r="H88" i="24"/>
  <c r="P88" i="24"/>
  <c r="I88" i="24"/>
  <c r="J88" i="24"/>
  <c r="K88" i="24"/>
  <c r="L88" i="24"/>
  <c r="M88" i="24"/>
  <c r="G65" i="24"/>
  <c r="L189" i="24"/>
  <c r="M189" i="24"/>
  <c r="N189" i="24"/>
  <c r="O189" i="24"/>
  <c r="L181" i="24"/>
  <c r="M181" i="24"/>
  <c r="N181" i="24"/>
  <c r="O181" i="24"/>
  <c r="L173" i="24"/>
  <c r="M173" i="24"/>
  <c r="N173" i="24"/>
  <c r="O173" i="24"/>
  <c r="L165" i="24"/>
  <c r="M165" i="24"/>
  <c r="N165" i="24"/>
  <c r="O165" i="24"/>
  <c r="M157" i="24"/>
  <c r="H157" i="24"/>
  <c r="P157" i="24"/>
  <c r="J157" i="24"/>
  <c r="K157" i="24"/>
  <c r="L157" i="24"/>
  <c r="N157" i="24"/>
  <c r="M149" i="24"/>
  <c r="N149" i="24"/>
  <c r="O149" i="24"/>
  <c r="H149" i="24"/>
  <c r="P149" i="24"/>
  <c r="I149" i="24"/>
  <c r="J149" i="24"/>
  <c r="K149" i="24"/>
  <c r="L149" i="24"/>
  <c r="M141" i="24"/>
  <c r="N141" i="24"/>
  <c r="O141" i="24"/>
  <c r="H141" i="24"/>
  <c r="P141" i="24"/>
  <c r="M133" i="24"/>
  <c r="N133" i="24"/>
  <c r="O133" i="24"/>
  <c r="H133" i="24"/>
  <c r="P133" i="24"/>
  <c r="I133" i="24"/>
  <c r="J133" i="24"/>
  <c r="K133" i="24"/>
  <c r="L133" i="24"/>
  <c r="M125" i="24"/>
  <c r="N125" i="24"/>
  <c r="O125" i="24"/>
  <c r="H125" i="24"/>
  <c r="P125" i="24"/>
  <c r="I117" i="24"/>
  <c r="J117" i="24"/>
  <c r="K117" i="24"/>
  <c r="L117" i="24"/>
  <c r="H117" i="24"/>
  <c r="I109" i="24"/>
  <c r="J109" i="24"/>
  <c r="K109" i="24"/>
  <c r="L109" i="24"/>
  <c r="M109" i="24"/>
  <c r="N109" i="24"/>
  <c r="O109" i="24"/>
  <c r="P109" i="24"/>
  <c r="H109" i="24"/>
  <c r="I101" i="24"/>
  <c r="J101" i="24"/>
  <c r="K101" i="24"/>
  <c r="L101" i="24"/>
  <c r="H101" i="24"/>
  <c r="M101" i="24"/>
  <c r="N101" i="24"/>
  <c r="O101" i="24"/>
  <c r="P101" i="24"/>
  <c r="I93" i="24"/>
  <c r="J93" i="24"/>
  <c r="K93" i="24"/>
  <c r="L93" i="24"/>
  <c r="M93" i="24"/>
  <c r="N93" i="24"/>
  <c r="O93" i="24"/>
  <c r="P93" i="24"/>
  <c r="I85" i="24"/>
  <c r="J85" i="24"/>
  <c r="K85" i="24"/>
  <c r="L85" i="24"/>
  <c r="H85" i="24"/>
  <c r="N77" i="24"/>
  <c r="L77" i="24"/>
  <c r="M77" i="24"/>
  <c r="O77" i="24"/>
  <c r="P77" i="24"/>
  <c r="H77" i="24"/>
  <c r="I77" i="24"/>
  <c r="J77" i="24"/>
  <c r="K77" i="24"/>
  <c r="N69" i="24"/>
  <c r="K69" i="24"/>
  <c r="L69" i="24"/>
  <c r="M69" i="24"/>
  <c r="O69" i="24"/>
  <c r="H69" i="24"/>
  <c r="I69" i="24"/>
  <c r="J69" i="24"/>
  <c r="K61" i="24"/>
  <c r="N61" i="24"/>
  <c r="H61" i="24"/>
  <c r="I61" i="24"/>
  <c r="J61" i="24"/>
  <c r="L61" i="24"/>
  <c r="M61" i="24"/>
  <c r="J53" i="24"/>
  <c r="K53" i="24"/>
  <c r="N53" i="24"/>
  <c r="H53" i="24"/>
  <c r="P53" i="24"/>
  <c r="L53" i="24"/>
  <c r="M53" i="24"/>
  <c r="O53" i="24"/>
  <c r="I53" i="24"/>
  <c r="J45" i="24"/>
  <c r="K45" i="24"/>
  <c r="N45" i="24"/>
  <c r="H45" i="24"/>
  <c r="P45" i="24"/>
  <c r="I45" i="24"/>
  <c r="L45" i="24"/>
  <c r="M45" i="24"/>
  <c r="O45" i="24"/>
  <c r="J37" i="24"/>
  <c r="K37" i="24"/>
  <c r="N37" i="24"/>
  <c r="H37" i="24"/>
  <c r="P37" i="24"/>
  <c r="L37" i="24"/>
  <c r="M37" i="24"/>
  <c r="O37" i="24"/>
  <c r="I37" i="24"/>
  <c r="L194" i="24"/>
  <c r="N192" i="24"/>
  <c r="P190" i="24"/>
  <c r="I189" i="24"/>
  <c r="K187" i="24"/>
  <c r="M185" i="24"/>
  <c r="O183" i="24"/>
  <c r="H182" i="24"/>
  <c r="L178" i="24"/>
  <c r="N176" i="24"/>
  <c r="P174" i="24"/>
  <c r="I173" i="24"/>
  <c r="K171" i="24"/>
  <c r="M169" i="24"/>
  <c r="O167" i="24"/>
  <c r="H166" i="24"/>
  <c r="L162" i="24"/>
  <c r="P158" i="24"/>
  <c r="N153" i="24"/>
  <c r="I150" i="24"/>
  <c r="M146" i="24"/>
  <c r="H143" i="24"/>
  <c r="L139" i="24"/>
  <c r="P135" i="24"/>
  <c r="O128" i="24"/>
  <c r="J125" i="24"/>
  <c r="N121" i="24"/>
  <c r="N117" i="24"/>
  <c r="M110" i="24"/>
  <c r="L103" i="24"/>
  <c r="K96" i="24"/>
  <c r="J89" i="24"/>
  <c r="I82" i="24"/>
  <c r="J56" i="24"/>
  <c r="H177" i="24"/>
  <c r="P177" i="24"/>
  <c r="I177" i="24"/>
  <c r="J177" i="24"/>
  <c r="K177" i="24"/>
  <c r="I137" i="24"/>
  <c r="J137" i="24"/>
  <c r="K137" i="24"/>
  <c r="L137" i="24"/>
  <c r="H137" i="24"/>
  <c r="M105" i="24"/>
  <c r="N105" i="24"/>
  <c r="O105" i="24"/>
  <c r="H105" i="24"/>
  <c r="P105" i="24"/>
  <c r="I105" i="24"/>
  <c r="J105" i="24"/>
  <c r="K105" i="24"/>
  <c r="L105" i="24"/>
  <c r="J65" i="24"/>
  <c r="K65" i="24"/>
  <c r="L65" i="24"/>
  <c r="M65" i="24"/>
  <c r="N65" i="24"/>
  <c r="H65" i="24"/>
  <c r="I65" i="24"/>
  <c r="M193" i="24"/>
  <c r="M177" i="24"/>
  <c r="N137" i="24"/>
  <c r="I49" i="24"/>
  <c r="G160" i="24"/>
  <c r="I160" i="24"/>
  <c r="J160" i="24"/>
  <c r="K160" i="24"/>
  <c r="L160" i="24"/>
  <c r="G112" i="24"/>
  <c r="N112" i="24"/>
  <c r="O112" i="24"/>
  <c r="H112" i="24"/>
  <c r="P112" i="24"/>
  <c r="I112" i="24"/>
  <c r="J112" i="24"/>
  <c r="K112" i="24"/>
  <c r="L112" i="24"/>
  <c r="M112" i="24"/>
  <c r="G72" i="24"/>
  <c r="K72" i="24"/>
  <c r="L72" i="24"/>
  <c r="M72" i="24"/>
  <c r="N72" i="24"/>
  <c r="O72" i="24"/>
  <c r="P72" i="24"/>
  <c r="H72" i="24"/>
  <c r="I72" i="24"/>
  <c r="J72" i="24"/>
  <c r="G40" i="24"/>
  <c r="O40" i="24"/>
  <c r="H40" i="24"/>
  <c r="P40" i="24"/>
  <c r="K40" i="24"/>
  <c r="M40" i="24"/>
  <c r="I40" i="24"/>
  <c r="J40" i="24"/>
  <c r="L40" i="24"/>
  <c r="N40" i="24"/>
  <c r="G193" i="24"/>
  <c r="G33" i="24"/>
  <c r="G188" i="24"/>
  <c r="M188" i="24"/>
  <c r="N188" i="24"/>
  <c r="O188" i="24"/>
  <c r="H188" i="24"/>
  <c r="P188" i="24"/>
  <c r="G180" i="24"/>
  <c r="M180" i="24"/>
  <c r="N180" i="24"/>
  <c r="O180" i="24"/>
  <c r="H180" i="24"/>
  <c r="P180" i="24"/>
  <c r="G172" i="24"/>
  <c r="M172" i="24"/>
  <c r="N172" i="24"/>
  <c r="O172" i="24"/>
  <c r="H172" i="24"/>
  <c r="P172" i="24"/>
  <c r="G164" i="24"/>
  <c r="M164" i="24"/>
  <c r="N164" i="24"/>
  <c r="O164" i="24"/>
  <c r="H164" i="24"/>
  <c r="P164" i="24"/>
  <c r="G156" i="24"/>
  <c r="N156" i="24"/>
  <c r="I156" i="24"/>
  <c r="H156" i="24"/>
  <c r="J156" i="24"/>
  <c r="K156" i="24"/>
  <c r="L156" i="24"/>
  <c r="G148" i="24"/>
  <c r="N148" i="24"/>
  <c r="O148" i="24"/>
  <c r="H148" i="24"/>
  <c r="P148" i="24"/>
  <c r="I148" i="24"/>
  <c r="G140" i="24"/>
  <c r="N140" i="24"/>
  <c r="O140" i="24"/>
  <c r="H140" i="24"/>
  <c r="P140" i="24"/>
  <c r="I140" i="24"/>
  <c r="J140" i="24"/>
  <c r="K140" i="24"/>
  <c r="L140" i="24"/>
  <c r="M140" i="24"/>
  <c r="G132" i="24"/>
  <c r="N132" i="24"/>
  <c r="O132" i="24"/>
  <c r="H132" i="24"/>
  <c r="P132" i="24"/>
  <c r="I132" i="24"/>
  <c r="G124" i="24"/>
  <c r="N124" i="24"/>
  <c r="O124" i="24"/>
  <c r="H124" i="24"/>
  <c r="P124" i="24"/>
  <c r="I124" i="24"/>
  <c r="J124" i="24"/>
  <c r="K124" i="24"/>
  <c r="L124" i="24"/>
  <c r="M124" i="24"/>
  <c r="G116" i="24"/>
  <c r="J116" i="24"/>
  <c r="K116" i="24"/>
  <c r="L116" i="24"/>
  <c r="M116" i="24"/>
  <c r="N116" i="24"/>
  <c r="O116" i="24"/>
  <c r="P116" i="24"/>
  <c r="H116" i="24"/>
  <c r="I116" i="24"/>
  <c r="G108" i="24"/>
  <c r="J108" i="24"/>
  <c r="K108" i="24"/>
  <c r="L108" i="24"/>
  <c r="M108" i="24"/>
  <c r="H108" i="24"/>
  <c r="I108" i="24"/>
  <c r="N108" i="24"/>
  <c r="O108" i="24"/>
  <c r="P108" i="24"/>
  <c r="G100" i="24"/>
  <c r="J100" i="24"/>
  <c r="K100" i="24"/>
  <c r="L100" i="24"/>
  <c r="M100" i="24"/>
  <c r="N100" i="24"/>
  <c r="O100" i="24"/>
  <c r="P100" i="24"/>
  <c r="G92" i="24"/>
  <c r="J92" i="24"/>
  <c r="K92" i="24"/>
  <c r="L92" i="24"/>
  <c r="M92" i="24"/>
  <c r="H92" i="24"/>
  <c r="I92" i="24"/>
  <c r="G84" i="24"/>
  <c r="J84" i="24"/>
  <c r="K84" i="24"/>
  <c r="L84" i="24"/>
  <c r="M84" i="24"/>
  <c r="N84" i="24"/>
  <c r="O84" i="24"/>
  <c r="P84" i="24"/>
  <c r="H84" i="24"/>
  <c r="I84" i="24"/>
  <c r="G76" i="24"/>
  <c r="O76" i="24"/>
  <c r="L76" i="24"/>
  <c r="M76" i="24"/>
  <c r="N76" i="24"/>
  <c r="P76" i="24"/>
  <c r="H76" i="24"/>
  <c r="I76" i="24"/>
  <c r="J76" i="24"/>
  <c r="K76" i="24"/>
  <c r="G68" i="24"/>
  <c r="O68" i="24"/>
  <c r="K68" i="24"/>
  <c r="L68" i="24"/>
  <c r="M68" i="24"/>
  <c r="N68" i="24"/>
  <c r="P68" i="24"/>
  <c r="H68" i="24"/>
  <c r="I68" i="24"/>
  <c r="J68" i="24"/>
  <c r="G60" i="24"/>
  <c r="L60" i="24"/>
  <c r="O60" i="24"/>
  <c r="I60" i="24"/>
  <c r="H60" i="24"/>
  <c r="J60" i="24"/>
  <c r="K60" i="24"/>
  <c r="M60" i="24"/>
  <c r="N60" i="24"/>
  <c r="P60" i="24"/>
  <c r="G52" i="24"/>
  <c r="K52" i="24"/>
  <c r="L52" i="24"/>
  <c r="O52" i="24"/>
  <c r="I52" i="24"/>
  <c r="H52" i="24"/>
  <c r="J52" i="24"/>
  <c r="M52" i="24"/>
  <c r="N52" i="24"/>
  <c r="P52" i="24"/>
  <c r="G44" i="24"/>
  <c r="K44" i="24"/>
  <c r="L44" i="24"/>
  <c r="O44" i="24"/>
  <c r="I44" i="24"/>
  <c r="M44" i="24"/>
  <c r="N44" i="24"/>
  <c r="P44" i="24"/>
  <c r="H44" i="24"/>
  <c r="J44" i="24"/>
  <c r="G36" i="24"/>
  <c r="K36" i="24"/>
  <c r="L36" i="24"/>
  <c r="O36" i="24"/>
  <c r="I36" i="24"/>
  <c r="H36" i="24"/>
  <c r="J36" i="24"/>
  <c r="M36" i="24"/>
  <c r="N36" i="24"/>
  <c r="P36" i="24"/>
  <c r="M192" i="24"/>
  <c r="O190" i="24"/>
  <c r="H189" i="24"/>
  <c r="N183" i="24"/>
  <c r="P181" i="24"/>
  <c r="I180" i="24"/>
  <c r="M176" i="24"/>
  <c r="O174" i="24"/>
  <c r="H173" i="24"/>
  <c r="L169" i="24"/>
  <c r="N167" i="24"/>
  <c r="P165" i="24"/>
  <c r="I164" i="24"/>
  <c r="M160" i="24"/>
  <c r="O158" i="24"/>
  <c r="M156" i="24"/>
  <c r="M153" i="24"/>
  <c r="H150" i="24"/>
  <c r="P142" i="24"/>
  <c r="O135" i="24"/>
  <c r="J132" i="24"/>
  <c r="N128" i="24"/>
  <c r="I125" i="24"/>
  <c r="M121" i="24"/>
  <c r="M117" i="24"/>
  <c r="L110" i="24"/>
  <c r="K103" i="24"/>
  <c r="I89" i="24"/>
  <c r="P73" i="24"/>
  <c r="O65" i="24"/>
  <c r="H161" i="24"/>
  <c r="P161" i="24"/>
  <c r="I161" i="24"/>
  <c r="J161" i="24"/>
  <c r="K161" i="24"/>
  <c r="J81" i="24"/>
  <c r="M81" i="24"/>
  <c r="N81" i="24"/>
  <c r="O81" i="24"/>
  <c r="P81" i="24"/>
  <c r="H81" i="24"/>
  <c r="I81" i="24"/>
  <c r="K81" i="24"/>
  <c r="L81" i="24"/>
  <c r="O57" i="24"/>
  <c r="J57" i="24"/>
  <c r="L57" i="24"/>
  <c r="H57" i="24"/>
  <c r="I57" i="24"/>
  <c r="K57" i="24"/>
  <c r="M57" i="24"/>
  <c r="N57" i="24"/>
  <c r="P57" i="24"/>
  <c r="N41" i="24"/>
  <c r="O41" i="24"/>
  <c r="J41" i="24"/>
  <c r="L41" i="24"/>
  <c r="H41" i="24"/>
  <c r="I41" i="24"/>
  <c r="K41" i="24"/>
  <c r="M41" i="24"/>
  <c r="G168" i="24"/>
  <c r="I168" i="24"/>
  <c r="J168" i="24"/>
  <c r="K168" i="24"/>
  <c r="L168" i="24"/>
  <c r="G144" i="24"/>
  <c r="J144" i="24"/>
  <c r="K144" i="24"/>
  <c r="L144" i="24"/>
  <c r="M144" i="24"/>
  <c r="H144" i="24"/>
  <c r="I144" i="24"/>
  <c r="G104" i="24"/>
  <c r="N104" i="24"/>
  <c r="O104" i="24"/>
  <c r="H104" i="24"/>
  <c r="P104" i="24"/>
  <c r="I104" i="24"/>
  <c r="J104" i="24"/>
  <c r="K104" i="24"/>
  <c r="L104" i="24"/>
  <c r="M104" i="24"/>
  <c r="G56" i="24"/>
  <c r="H56" i="24"/>
  <c r="P56" i="24"/>
  <c r="K56" i="24"/>
  <c r="M56" i="24"/>
  <c r="O56" i="24"/>
  <c r="N187" i="24"/>
  <c r="O187" i="24"/>
  <c r="H187" i="24"/>
  <c r="P187" i="24"/>
  <c r="I187" i="24"/>
  <c r="N179" i="24"/>
  <c r="O179" i="24"/>
  <c r="H179" i="24"/>
  <c r="P179" i="24"/>
  <c r="I179" i="24"/>
  <c r="N171" i="24"/>
  <c r="O171" i="24"/>
  <c r="H171" i="24"/>
  <c r="P171" i="24"/>
  <c r="I171" i="24"/>
  <c r="N163" i="24"/>
  <c r="O163" i="24"/>
  <c r="H163" i="24"/>
  <c r="P163" i="24"/>
  <c r="I163" i="24"/>
  <c r="O155" i="24"/>
  <c r="H155" i="24"/>
  <c r="P155" i="24"/>
  <c r="I155" i="24"/>
  <c r="J155" i="24"/>
  <c r="O147" i="24"/>
  <c r="H147" i="24"/>
  <c r="P147" i="24"/>
  <c r="I147" i="24"/>
  <c r="J147" i="24"/>
  <c r="K147" i="24"/>
  <c r="L147" i="24"/>
  <c r="M147" i="24"/>
  <c r="N147" i="24"/>
  <c r="O139" i="24"/>
  <c r="H139" i="24"/>
  <c r="P139" i="24"/>
  <c r="I139" i="24"/>
  <c r="J139" i="24"/>
  <c r="O131" i="24"/>
  <c r="H131" i="24"/>
  <c r="P131" i="24"/>
  <c r="I131" i="24"/>
  <c r="J131" i="24"/>
  <c r="K131" i="24"/>
  <c r="L131" i="24"/>
  <c r="M131" i="24"/>
  <c r="N131" i="24"/>
  <c r="O123" i="24"/>
  <c r="H123" i="24"/>
  <c r="P123" i="24"/>
  <c r="I123" i="24"/>
  <c r="J123" i="24"/>
  <c r="K115" i="24"/>
  <c r="L115" i="24"/>
  <c r="M115" i="24"/>
  <c r="N115" i="24"/>
  <c r="H115" i="24"/>
  <c r="I115" i="24"/>
  <c r="J115" i="24"/>
  <c r="O115" i="24"/>
  <c r="P115" i="24"/>
  <c r="K107" i="24"/>
  <c r="L107" i="24"/>
  <c r="M107" i="24"/>
  <c r="N107" i="24"/>
  <c r="O107" i="24"/>
  <c r="P107" i="24"/>
  <c r="K99" i="24"/>
  <c r="L99" i="24"/>
  <c r="M99" i="24"/>
  <c r="N99" i="24"/>
  <c r="H99" i="24"/>
  <c r="I99" i="24"/>
  <c r="J99" i="24"/>
  <c r="K91" i="24"/>
  <c r="L91" i="24"/>
  <c r="M91" i="24"/>
  <c r="N91" i="24"/>
  <c r="O91" i="24"/>
  <c r="P91" i="24"/>
  <c r="H91" i="24"/>
  <c r="I91" i="24"/>
  <c r="J91" i="24"/>
  <c r="K83" i="24"/>
  <c r="L83" i="24"/>
  <c r="M83" i="24"/>
  <c r="N83" i="24"/>
  <c r="H83" i="24"/>
  <c r="I83" i="24"/>
  <c r="J83" i="24"/>
  <c r="O83" i="24"/>
  <c r="P83" i="24"/>
  <c r="H75" i="24"/>
  <c r="P75" i="24"/>
  <c r="L75" i="24"/>
  <c r="M75" i="24"/>
  <c r="N75" i="24"/>
  <c r="O75" i="24"/>
  <c r="I75" i="24"/>
  <c r="J75" i="24"/>
  <c r="K75" i="24"/>
  <c r="H67" i="24"/>
  <c r="P67" i="24"/>
  <c r="K67" i="24"/>
  <c r="L67" i="24"/>
  <c r="M67" i="24"/>
  <c r="N67" i="24"/>
  <c r="I67" i="24"/>
  <c r="J67" i="24"/>
  <c r="O67" i="24"/>
  <c r="M59" i="24"/>
  <c r="H59" i="24"/>
  <c r="P59" i="24"/>
  <c r="J59" i="24"/>
  <c r="N59" i="24"/>
  <c r="O59" i="24"/>
  <c r="I59" i="24"/>
  <c r="K59" i="24"/>
  <c r="L59" i="24"/>
  <c r="L51" i="24"/>
  <c r="M51" i="24"/>
  <c r="H51" i="24"/>
  <c r="P51" i="24"/>
  <c r="J51" i="24"/>
  <c r="N51" i="24"/>
  <c r="O51" i="24"/>
  <c r="I51" i="24"/>
  <c r="K51" i="24"/>
  <c r="L43" i="24"/>
  <c r="M43" i="24"/>
  <c r="H43" i="24"/>
  <c r="P43" i="24"/>
  <c r="J43" i="24"/>
  <c r="I43" i="24"/>
  <c r="K43" i="24"/>
  <c r="N43" i="24"/>
  <c r="O43" i="24"/>
  <c r="L35" i="24"/>
  <c r="M35" i="24"/>
  <c r="H35" i="24"/>
  <c r="P35" i="24"/>
  <c r="J35" i="24"/>
  <c r="N35" i="24"/>
  <c r="O35" i="24"/>
  <c r="O193" i="24"/>
  <c r="H192" i="24"/>
  <c r="J190" i="24"/>
  <c r="L188" i="24"/>
  <c r="P184" i="24"/>
  <c r="I183" i="24"/>
  <c r="K181" i="24"/>
  <c r="M179" i="24"/>
  <c r="O177" i="24"/>
  <c r="J174" i="24"/>
  <c r="L172" i="24"/>
  <c r="P168" i="24"/>
  <c r="I167" i="24"/>
  <c r="K165" i="24"/>
  <c r="M163" i="24"/>
  <c r="O161" i="24"/>
  <c r="H160" i="24"/>
  <c r="J158" i="24"/>
  <c r="N155" i="24"/>
  <c r="I152" i="24"/>
  <c r="M148" i="24"/>
  <c r="H145" i="24"/>
  <c r="L141" i="24"/>
  <c r="P137" i="24"/>
  <c r="K134" i="24"/>
  <c r="J127" i="24"/>
  <c r="N123" i="24"/>
  <c r="I120" i="24"/>
  <c r="J107" i="24"/>
  <c r="I100" i="24"/>
  <c r="H93" i="24"/>
  <c r="P85" i="24"/>
  <c r="K78" i="24"/>
  <c r="J70" i="24"/>
  <c r="I62" i="24"/>
  <c r="M49" i="24"/>
  <c r="K35" i="24"/>
  <c r="H185" i="24"/>
  <c r="P185" i="24"/>
  <c r="I185" i="24"/>
  <c r="J185" i="24"/>
  <c r="K185" i="24"/>
  <c r="I129" i="24"/>
  <c r="J129" i="24"/>
  <c r="K129" i="24"/>
  <c r="L129" i="24"/>
  <c r="M129" i="24"/>
  <c r="N129" i="24"/>
  <c r="O129" i="24"/>
  <c r="P129" i="24"/>
  <c r="M97" i="24"/>
  <c r="N97" i="24"/>
  <c r="O97" i="24"/>
  <c r="H97" i="24"/>
  <c r="P97" i="24"/>
  <c r="I97" i="24"/>
  <c r="J97" i="24"/>
  <c r="K97" i="24"/>
  <c r="L97" i="24"/>
  <c r="G176" i="24"/>
  <c r="I176" i="24"/>
  <c r="J176" i="24"/>
  <c r="K176" i="24"/>
  <c r="L176" i="24"/>
  <c r="G136" i="24"/>
  <c r="J136" i="24"/>
  <c r="K136" i="24"/>
  <c r="L136" i="24"/>
  <c r="M136" i="24"/>
  <c r="N136" i="24"/>
  <c r="O136" i="24"/>
  <c r="P136" i="24"/>
  <c r="G96" i="24"/>
  <c r="N96" i="24"/>
  <c r="O96" i="24"/>
  <c r="H96" i="24"/>
  <c r="P96" i="24"/>
  <c r="I96" i="24"/>
  <c r="G64" i="24"/>
  <c r="K64" i="24"/>
  <c r="J64" i="24"/>
  <c r="L64" i="24"/>
  <c r="M64" i="24"/>
  <c r="N64" i="24"/>
  <c r="O64" i="24"/>
  <c r="P64" i="24"/>
  <c r="H64" i="24"/>
  <c r="I64" i="24"/>
  <c r="G169" i="24"/>
  <c r="G137" i="24"/>
  <c r="G105" i="24"/>
  <c r="G73" i="24"/>
  <c r="G41" i="24"/>
  <c r="O194" i="24"/>
  <c r="H194" i="24"/>
  <c r="P194" i="24"/>
  <c r="I194" i="24"/>
  <c r="J194" i="24"/>
  <c r="O186" i="24"/>
  <c r="H186" i="24"/>
  <c r="P186" i="24"/>
  <c r="I186" i="24"/>
  <c r="J186" i="24"/>
  <c r="O178" i="24"/>
  <c r="H178" i="24"/>
  <c r="P178" i="24"/>
  <c r="I178" i="24"/>
  <c r="J178" i="24"/>
  <c r="O170" i="24"/>
  <c r="H170" i="24"/>
  <c r="P170" i="24"/>
  <c r="I170" i="24"/>
  <c r="J170" i="24"/>
  <c r="O162" i="24"/>
  <c r="H162" i="24"/>
  <c r="P162" i="24"/>
  <c r="I162" i="24"/>
  <c r="J162" i="24"/>
  <c r="H154" i="24"/>
  <c r="P154" i="24"/>
  <c r="I154" i="24"/>
  <c r="J154" i="24"/>
  <c r="K154" i="24"/>
  <c r="L154" i="24"/>
  <c r="M154" i="24"/>
  <c r="N154" i="24"/>
  <c r="O154" i="24"/>
  <c r="H146" i="24"/>
  <c r="P146" i="24"/>
  <c r="I146" i="24"/>
  <c r="J146" i="24"/>
  <c r="K146" i="24"/>
  <c r="H138" i="24"/>
  <c r="P138" i="24"/>
  <c r="I138" i="24"/>
  <c r="J138" i="24"/>
  <c r="K138" i="24"/>
  <c r="L138" i="24"/>
  <c r="M138" i="24"/>
  <c r="N138" i="24"/>
  <c r="O138" i="24"/>
  <c r="H130" i="24"/>
  <c r="P130" i="24"/>
  <c r="I130" i="24"/>
  <c r="J130" i="24"/>
  <c r="K130" i="24"/>
  <c r="H122" i="24"/>
  <c r="P122" i="24"/>
  <c r="I122" i="24"/>
  <c r="J122" i="24"/>
  <c r="K122" i="24"/>
  <c r="L122" i="24"/>
  <c r="M122" i="24"/>
  <c r="N122" i="24"/>
  <c r="O122" i="24"/>
  <c r="L114" i="24"/>
  <c r="M114" i="24"/>
  <c r="N114" i="24"/>
  <c r="O114" i="24"/>
  <c r="P114" i="24"/>
  <c r="L106" i="24"/>
  <c r="M106" i="24"/>
  <c r="N106" i="24"/>
  <c r="O106" i="24"/>
  <c r="H106" i="24"/>
  <c r="I106" i="24"/>
  <c r="J106" i="24"/>
  <c r="K106" i="24"/>
  <c r="L98" i="24"/>
  <c r="M98" i="24"/>
  <c r="N98" i="24"/>
  <c r="O98" i="24"/>
  <c r="P98" i="24"/>
  <c r="H98" i="24"/>
  <c r="I98" i="24"/>
  <c r="J98" i="24"/>
  <c r="K98" i="24"/>
  <c r="L90" i="24"/>
  <c r="M90" i="24"/>
  <c r="N90" i="24"/>
  <c r="O90" i="24"/>
  <c r="H90" i="24"/>
  <c r="I90" i="24"/>
  <c r="J90" i="24"/>
  <c r="K90" i="24"/>
  <c r="P90" i="24"/>
  <c r="L82" i="24"/>
  <c r="M82" i="24"/>
  <c r="N82" i="24"/>
  <c r="O82" i="24"/>
  <c r="P82" i="24"/>
  <c r="I74" i="24"/>
  <c r="L74" i="24"/>
  <c r="M74" i="24"/>
  <c r="N74" i="24"/>
  <c r="O74" i="24"/>
  <c r="P74" i="24"/>
  <c r="I66" i="24"/>
  <c r="K66" i="24"/>
  <c r="L66" i="24"/>
  <c r="M66" i="24"/>
  <c r="N66" i="24"/>
  <c r="O66" i="24"/>
  <c r="P66" i="24"/>
  <c r="N58" i="24"/>
  <c r="I58" i="24"/>
  <c r="K58" i="24"/>
  <c r="J58" i="24"/>
  <c r="L58" i="24"/>
  <c r="M58" i="24"/>
  <c r="O58" i="24"/>
  <c r="H58" i="24"/>
  <c r="P58" i="24"/>
  <c r="M50" i="24"/>
  <c r="N50" i="24"/>
  <c r="I50" i="24"/>
  <c r="K50" i="24"/>
  <c r="H50" i="24"/>
  <c r="J50" i="24"/>
  <c r="L50" i="24"/>
  <c r="O50" i="24"/>
  <c r="P50" i="24"/>
  <c r="M42" i="24"/>
  <c r="N42" i="24"/>
  <c r="I42" i="24"/>
  <c r="K42" i="24"/>
  <c r="O42" i="24"/>
  <c r="P42" i="24"/>
  <c r="M34" i="24"/>
  <c r="N34" i="24"/>
  <c r="I34" i="24"/>
  <c r="K34" i="24"/>
  <c r="H34" i="24"/>
  <c r="J34" i="24"/>
  <c r="L34" i="24"/>
  <c r="N193" i="24"/>
  <c r="P191" i="24"/>
  <c r="I190" i="24"/>
  <c r="K188" i="24"/>
  <c r="M186" i="24"/>
  <c r="O184" i="24"/>
  <c r="H183" i="24"/>
  <c r="J181" i="24"/>
  <c r="L179" i="24"/>
  <c r="N177" i="24"/>
  <c r="P175" i="24"/>
  <c r="I174" i="24"/>
  <c r="K172" i="24"/>
  <c r="M170" i="24"/>
  <c r="O168" i="24"/>
  <c r="H167" i="24"/>
  <c r="J165" i="24"/>
  <c r="L163" i="24"/>
  <c r="N161" i="24"/>
  <c r="P159" i="24"/>
  <c r="I158" i="24"/>
  <c r="M155" i="24"/>
  <c r="H152" i="24"/>
  <c r="L148" i="24"/>
  <c r="P144" i="24"/>
  <c r="K141" i="24"/>
  <c r="O137" i="24"/>
  <c r="J134" i="24"/>
  <c r="N130" i="24"/>
  <c r="I127" i="24"/>
  <c r="M123" i="24"/>
  <c r="H120" i="24"/>
  <c r="J114" i="24"/>
  <c r="I107" i="24"/>
  <c r="H100" i="24"/>
  <c r="P92" i="24"/>
  <c r="O85" i="24"/>
  <c r="J78" i="24"/>
  <c r="I70" i="24"/>
  <c r="H62" i="24"/>
  <c r="K49" i="24"/>
  <c r="I35" i="24"/>
  <c r="L31" i="24"/>
  <c r="G31" i="24"/>
  <c r="I31" i="24"/>
  <c r="P31" i="24"/>
  <c r="H31" i="24"/>
  <c r="K31" i="24"/>
  <c r="O31" i="24"/>
  <c r="J31" i="24"/>
  <c r="N31" i="24"/>
  <c r="N196" i="24"/>
  <c r="M196" i="24"/>
  <c r="L196" i="24"/>
  <c r="K196" i="24"/>
  <c r="J196" i="24"/>
  <c r="I196" i="24"/>
  <c r="P196" i="24"/>
  <c r="H196" i="24"/>
  <c r="O196" i="24"/>
  <c r="N195" i="24"/>
  <c r="M195" i="24"/>
  <c r="L195" i="24"/>
  <c r="K195" i="24"/>
  <c r="J195" i="24"/>
  <c r="I195" i="24"/>
  <c r="P195" i="24"/>
  <c r="B37" i="17"/>
  <c r="B38" i="17"/>
  <c r="O8" i="17" l="1"/>
  <c r="O7" i="17"/>
  <c r="G9" i="17"/>
  <c r="G8" i="17"/>
  <c r="G7" i="17"/>
  <c r="A8" i="17"/>
  <c r="K15" i="17" l="1"/>
  <c r="L15" i="17" s="1"/>
  <c r="C11" i="17"/>
  <c r="BN32" i="3" l="1"/>
  <c r="BN33" i="3"/>
  <c r="BN34" i="3"/>
  <c r="BN35" i="3"/>
  <c r="BN36" i="3"/>
  <c r="BN37" i="3"/>
  <c r="BN38" i="3"/>
  <c r="BN39" i="3"/>
  <c r="BN40" i="3"/>
  <c r="BN41" i="3"/>
  <c r="BN42" i="3"/>
  <c r="BN43" i="3"/>
  <c r="BN44" i="3"/>
  <c r="BN45" i="3"/>
  <c r="BN46" i="3"/>
  <c r="BN47" i="3"/>
  <c r="BN48" i="3"/>
  <c r="BN49" i="3"/>
  <c r="BN50" i="3"/>
  <c r="BN51" i="3"/>
  <c r="BN52" i="3"/>
  <c r="BN53" i="3"/>
  <c r="BN54" i="3"/>
  <c r="BN55" i="3"/>
  <c r="BN56" i="3"/>
  <c r="BN57" i="3"/>
  <c r="BN58" i="3"/>
  <c r="BN59" i="3"/>
  <c r="BN60" i="3"/>
  <c r="BN61" i="3"/>
  <c r="BN62" i="3"/>
  <c r="BN63" i="3"/>
  <c r="BN64" i="3"/>
  <c r="BN65" i="3"/>
  <c r="BN66" i="3"/>
  <c r="BN67" i="3"/>
  <c r="BN68" i="3"/>
  <c r="BN69" i="3"/>
  <c r="BN70" i="3"/>
  <c r="BN71" i="3"/>
  <c r="BN72" i="3"/>
  <c r="BN73" i="3"/>
  <c r="BN74" i="3"/>
  <c r="BN75" i="3"/>
  <c r="BN76" i="3"/>
  <c r="BN77" i="3"/>
  <c r="BN78" i="3"/>
  <c r="BN79" i="3"/>
  <c r="BN80" i="3"/>
  <c r="BN81" i="3"/>
  <c r="BN82" i="3"/>
  <c r="BN83" i="3"/>
  <c r="BN84" i="3"/>
  <c r="BN85" i="3"/>
  <c r="BN86" i="3"/>
  <c r="BN87" i="3"/>
  <c r="BN88" i="3"/>
  <c r="BN89" i="3"/>
  <c r="BN90" i="3"/>
  <c r="BN91" i="3"/>
  <c r="BN92" i="3"/>
  <c r="BN93" i="3"/>
  <c r="BN94" i="3"/>
  <c r="BN95" i="3"/>
  <c r="BN96" i="3"/>
  <c r="BN97" i="3"/>
  <c r="BN98" i="3"/>
  <c r="BN99" i="3"/>
  <c r="BN100" i="3"/>
  <c r="BN101" i="3"/>
  <c r="BN102" i="3"/>
  <c r="BN103" i="3"/>
  <c r="BN104" i="3"/>
  <c r="BN105" i="3"/>
  <c r="BN106" i="3"/>
  <c r="BN107" i="3"/>
  <c r="BN108" i="3"/>
  <c r="BN109" i="3"/>
  <c r="BN110" i="3"/>
  <c r="BN111" i="3"/>
  <c r="BN112" i="3"/>
  <c r="BN113" i="3"/>
  <c r="BN114" i="3"/>
  <c r="BN115" i="3"/>
  <c r="BN116" i="3"/>
  <c r="BN117" i="3"/>
  <c r="BN118" i="3"/>
  <c r="BN119" i="3"/>
  <c r="BN120" i="3"/>
  <c r="BN121" i="3"/>
  <c r="BN122" i="3"/>
  <c r="BN123" i="3"/>
  <c r="BN124" i="3"/>
  <c r="BN125" i="3"/>
  <c r="BN126" i="3"/>
  <c r="BN127" i="3"/>
  <c r="BN128" i="3"/>
  <c r="BN129" i="3"/>
  <c r="BN130" i="3"/>
  <c r="BN131" i="3"/>
  <c r="BN132" i="3"/>
  <c r="BN133" i="3"/>
  <c r="BN134" i="3"/>
  <c r="BN135" i="3"/>
  <c r="BN136" i="3"/>
  <c r="BN137" i="3"/>
  <c r="BN138" i="3"/>
  <c r="BN139" i="3"/>
  <c r="BN140" i="3"/>
  <c r="BN141" i="3"/>
  <c r="BN142" i="3"/>
  <c r="BN143" i="3"/>
  <c r="BN144" i="3"/>
  <c r="BN145" i="3"/>
  <c r="BN146" i="3"/>
  <c r="BN147" i="3"/>
  <c r="BN148" i="3"/>
  <c r="BN149" i="3"/>
  <c r="BN150" i="3"/>
  <c r="BN151" i="3"/>
  <c r="BN152" i="3"/>
  <c r="BN153" i="3"/>
  <c r="BN154" i="3"/>
  <c r="BN155" i="3"/>
  <c r="BN156" i="3"/>
  <c r="BN157" i="3"/>
  <c r="BN158" i="3"/>
  <c r="BN159" i="3"/>
  <c r="BN160" i="3"/>
  <c r="BN161" i="3"/>
  <c r="BN162" i="3"/>
  <c r="BN163" i="3"/>
  <c r="BN164" i="3"/>
  <c r="BN165" i="3"/>
  <c r="BN166" i="3"/>
  <c r="BN167" i="3"/>
  <c r="BN168" i="3"/>
  <c r="BN169" i="3"/>
  <c r="BN170" i="3"/>
  <c r="BN171" i="3"/>
  <c r="BN172" i="3"/>
  <c r="BN173" i="3"/>
  <c r="BN174" i="3"/>
  <c r="BN175" i="3"/>
  <c r="BN176" i="3"/>
  <c r="BN177" i="3"/>
  <c r="BN178" i="3"/>
  <c r="BN179" i="3"/>
  <c r="BN180" i="3"/>
  <c r="BN181" i="3"/>
  <c r="BN182" i="3"/>
  <c r="BN183" i="3"/>
  <c r="BN184" i="3"/>
  <c r="BN185" i="3"/>
  <c r="BN186" i="3"/>
  <c r="BN187" i="3"/>
  <c r="BN188" i="3"/>
  <c r="BN189" i="3"/>
  <c r="BN190" i="3"/>
  <c r="BN191" i="3"/>
  <c r="BN192" i="3"/>
  <c r="BN193" i="3"/>
  <c r="BN194" i="3"/>
  <c r="BN195" i="3"/>
  <c r="BN196" i="3"/>
  <c r="BN197" i="3"/>
  <c r="BN198" i="3"/>
  <c r="BN199" i="3"/>
  <c r="BN200" i="3"/>
  <c r="N61" i="1" l="1"/>
  <c r="N62" i="1"/>
  <c r="R62" i="1" s="1"/>
  <c r="N63" i="1"/>
  <c r="N64" i="1"/>
  <c r="N65" i="1"/>
  <c r="N66" i="1"/>
  <c r="N67" i="1"/>
  <c r="N68" i="1"/>
  <c r="N60" i="1"/>
  <c r="R67" i="1" l="1"/>
  <c r="P67" i="1"/>
  <c r="S67" i="1"/>
  <c r="O67" i="1"/>
  <c r="Q67" i="1"/>
  <c r="S68" i="1"/>
  <c r="O68" i="1"/>
  <c r="R68" i="1"/>
  <c r="Q68" i="1"/>
  <c r="P68" i="1"/>
  <c r="P66" i="1"/>
  <c r="Q66" i="1"/>
  <c r="S66" i="1"/>
  <c r="O66" i="1"/>
  <c r="R66" i="1"/>
  <c r="S65" i="1"/>
  <c r="R65" i="1"/>
  <c r="O65" i="1"/>
  <c r="P65" i="1"/>
  <c r="Q65" i="1"/>
  <c r="Q64" i="1"/>
  <c r="O64" i="1"/>
  <c r="P64" i="1"/>
  <c r="R64" i="1"/>
  <c r="S64" i="1"/>
  <c r="Q63" i="1"/>
  <c r="S63" i="1"/>
  <c r="O63" i="1"/>
  <c r="R63" i="1"/>
  <c r="P63" i="1"/>
  <c r="R60" i="1"/>
  <c r="P60" i="1"/>
  <c r="Q60" i="1"/>
  <c r="S60" i="1"/>
  <c r="O60" i="1"/>
  <c r="R61" i="1"/>
  <c r="O61" i="1"/>
  <c r="P61" i="1"/>
  <c r="Q61" i="1"/>
  <c r="S61" i="1"/>
  <c r="Q62" i="1"/>
  <c r="S62" i="1"/>
  <c r="O62" i="1"/>
  <c r="P62" i="1"/>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E92" i="3"/>
  <c r="F92" i="3"/>
  <c r="E93" i="3"/>
  <c r="F93" i="3"/>
  <c r="E94" i="3"/>
  <c r="F94" i="3"/>
  <c r="E95" i="3"/>
  <c r="F95" i="3"/>
  <c r="E96" i="3"/>
  <c r="F96" i="3"/>
  <c r="E97" i="3"/>
  <c r="F97" i="3"/>
  <c r="E98" i="3"/>
  <c r="F98" i="3"/>
  <c r="E99" i="3"/>
  <c r="F99" i="3"/>
  <c r="E100" i="3"/>
  <c r="F100" i="3"/>
  <c r="E101" i="3"/>
  <c r="F101" i="3"/>
  <c r="E102" i="3"/>
  <c r="F102" i="3"/>
  <c r="E103" i="3"/>
  <c r="F103" i="3"/>
  <c r="E104" i="3"/>
  <c r="F104" i="3"/>
  <c r="E105" i="3"/>
  <c r="F105" i="3"/>
  <c r="E106" i="3"/>
  <c r="F106" i="3"/>
  <c r="E107" i="3"/>
  <c r="F107" i="3"/>
  <c r="E108" i="3"/>
  <c r="F108" i="3"/>
  <c r="E109" i="3"/>
  <c r="F109" i="3"/>
  <c r="E110" i="3"/>
  <c r="F110" i="3"/>
  <c r="E111" i="3"/>
  <c r="F111" i="3"/>
  <c r="E112" i="3"/>
  <c r="F112" i="3"/>
  <c r="E113" i="3"/>
  <c r="F113" i="3"/>
  <c r="E114" i="3"/>
  <c r="F114" i="3"/>
  <c r="E115" i="3"/>
  <c r="F115" i="3"/>
  <c r="E116" i="3"/>
  <c r="F116" i="3"/>
  <c r="E117" i="3"/>
  <c r="F117" i="3"/>
  <c r="E118" i="3"/>
  <c r="F118" i="3"/>
  <c r="E119" i="3"/>
  <c r="F119" i="3"/>
  <c r="E120" i="3"/>
  <c r="F120" i="3"/>
  <c r="E121" i="3"/>
  <c r="F121" i="3"/>
  <c r="E122" i="3"/>
  <c r="F122" i="3"/>
  <c r="E123" i="3"/>
  <c r="F123" i="3"/>
  <c r="E124" i="3"/>
  <c r="F124" i="3"/>
  <c r="E125" i="3"/>
  <c r="F125" i="3"/>
  <c r="E126" i="3"/>
  <c r="F126" i="3"/>
  <c r="E127" i="3"/>
  <c r="F127" i="3"/>
  <c r="E128" i="3"/>
  <c r="F128" i="3"/>
  <c r="E129" i="3"/>
  <c r="F129" i="3"/>
  <c r="E130" i="3"/>
  <c r="F130" i="3"/>
  <c r="E131" i="3"/>
  <c r="F131" i="3"/>
  <c r="E132" i="3"/>
  <c r="F132" i="3"/>
  <c r="E133" i="3"/>
  <c r="F133" i="3"/>
  <c r="E134" i="3"/>
  <c r="F134" i="3"/>
  <c r="E135" i="3"/>
  <c r="F135" i="3"/>
  <c r="E136" i="3"/>
  <c r="F136" i="3"/>
  <c r="E137" i="3"/>
  <c r="F137" i="3"/>
  <c r="E138" i="3"/>
  <c r="F138" i="3"/>
  <c r="E139" i="3"/>
  <c r="F139" i="3"/>
  <c r="E140" i="3"/>
  <c r="F140" i="3"/>
  <c r="E141" i="3"/>
  <c r="F141" i="3"/>
  <c r="E142" i="3"/>
  <c r="F142" i="3"/>
  <c r="E143" i="3"/>
  <c r="F143" i="3"/>
  <c r="E144" i="3"/>
  <c r="F144" i="3"/>
  <c r="E145" i="3"/>
  <c r="F145" i="3"/>
  <c r="E146" i="3"/>
  <c r="F146" i="3"/>
  <c r="E147" i="3"/>
  <c r="F147" i="3"/>
  <c r="E148" i="3"/>
  <c r="F148" i="3"/>
  <c r="E149" i="3"/>
  <c r="F149" i="3"/>
  <c r="E150" i="3"/>
  <c r="F150" i="3"/>
  <c r="E151" i="3"/>
  <c r="F151" i="3"/>
  <c r="E152" i="3"/>
  <c r="F152" i="3"/>
  <c r="E153" i="3"/>
  <c r="F153" i="3"/>
  <c r="E154" i="3"/>
  <c r="F154" i="3"/>
  <c r="E155" i="3"/>
  <c r="F155" i="3"/>
  <c r="E156" i="3"/>
  <c r="F156" i="3"/>
  <c r="E157" i="3"/>
  <c r="F157" i="3"/>
  <c r="E158" i="3"/>
  <c r="F158" i="3"/>
  <c r="E159" i="3"/>
  <c r="F159" i="3"/>
  <c r="E160" i="3"/>
  <c r="F160" i="3"/>
  <c r="E161" i="3"/>
  <c r="F161" i="3"/>
  <c r="E162" i="3"/>
  <c r="F162" i="3"/>
  <c r="E163" i="3"/>
  <c r="F163" i="3"/>
  <c r="E164" i="3"/>
  <c r="F164" i="3"/>
  <c r="E165" i="3"/>
  <c r="F165" i="3"/>
  <c r="E166" i="3"/>
  <c r="F166" i="3"/>
  <c r="R69" i="1" l="1"/>
  <c r="O69" i="1"/>
  <c r="Q69" i="1"/>
  <c r="P69" i="1"/>
  <c r="S69" i="1"/>
  <c r="D97" i="1"/>
  <c r="G97" i="1" s="1"/>
  <c r="F97" i="1" l="1"/>
  <c r="D129" i="1"/>
  <c r="F129" i="1" s="1"/>
  <c r="E97" i="1"/>
  <c r="H97" i="1"/>
  <c r="H79" i="1"/>
  <c r="H78" i="1"/>
  <c r="G79" i="1"/>
  <c r="G78" i="1"/>
  <c r="F79" i="1"/>
  <c r="E79" i="1"/>
  <c r="E78" i="1"/>
  <c r="F78" i="1"/>
  <c r="E129" i="1" l="1"/>
  <c r="G129" i="1"/>
  <c r="H129" i="1"/>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Q28" i="1" l="1"/>
  <c r="H5" i="12" l="1"/>
  <c r="H125" i="1" l="1"/>
  <c r="H93" i="1"/>
  <c r="H91" i="1"/>
  <c r="H123" i="1"/>
  <c r="E42" i="1"/>
  <c r="P22" i="1" l="1"/>
  <c r="P21" i="1"/>
  <c r="H120" i="1"/>
  <c r="H118" i="1"/>
  <c r="E62" i="1"/>
  <c r="E21" i="1"/>
  <c r="E22" i="1"/>
  <c r="D115" i="1"/>
  <c r="D114" i="1"/>
  <c r="D99" i="1"/>
  <c r="D100" i="1"/>
  <c r="D101" i="1"/>
  <c r="D102" i="1"/>
  <c r="D103" i="1"/>
  <c r="D104" i="1"/>
  <c r="D105" i="1"/>
  <c r="D106" i="1"/>
  <c r="D107" i="1"/>
  <c r="D108" i="1"/>
  <c r="D109" i="1"/>
  <c r="D110" i="1"/>
  <c r="D111" i="1"/>
  <c r="D112" i="1"/>
  <c r="D113" i="1"/>
  <c r="D98" i="1"/>
  <c r="H87" i="1"/>
  <c r="H85" i="1"/>
  <c r="R34" i="1"/>
  <c r="E81" i="1"/>
  <c r="F81" i="1"/>
  <c r="G81" i="1"/>
  <c r="H81" i="1"/>
  <c r="H80" i="1"/>
  <c r="G80" i="1"/>
  <c r="F80" i="1"/>
  <c r="E80" i="1"/>
  <c r="E75" i="1"/>
  <c r="E74" i="1"/>
  <c r="G108" i="1" l="1"/>
  <c r="H108" i="1"/>
  <c r="F108" i="1"/>
  <c r="E108" i="1"/>
  <c r="G100" i="1"/>
  <c r="H100" i="1"/>
  <c r="E100" i="1"/>
  <c r="F100" i="1"/>
  <c r="E109" i="1"/>
  <c r="F109" i="1"/>
  <c r="G109" i="1"/>
  <c r="H109" i="1"/>
  <c r="E107" i="1"/>
  <c r="F107" i="1"/>
  <c r="G107" i="1"/>
  <c r="H107" i="1"/>
  <c r="E99" i="1"/>
  <c r="F99" i="1"/>
  <c r="G99" i="1"/>
  <c r="H99" i="1"/>
  <c r="G98" i="1"/>
  <c r="F98" i="1"/>
  <c r="H98" i="1"/>
  <c r="G106" i="1"/>
  <c r="H106" i="1"/>
  <c r="F106" i="1"/>
  <c r="E106" i="1"/>
  <c r="G114" i="1"/>
  <c r="H114" i="1"/>
  <c r="F114" i="1"/>
  <c r="E114" i="1"/>
  <c r="G113" i="1"/>
  <c r="E113" i="1"/>
  <c r="F113" i="1"/>
  <c r="H113" i="1"/>
  <c r="E105" i="1"/>
  <c r="F105" i="1"/>
  <c r="G105" i="1"/>
  <c r="H105" i="1"/>
  <c r="E115" i="1"/>
  <c r="F115" i="1"/>
  <c r="G115" i="1"/>
  <c r="H115" i="1"/>
  <c r="G112" i="1"/>
  <c r="H112" i="1"/>
  <c r="F112" i="1"/>
  <c r="E112" i="1"/>
  <c r="G104" i="1"/>
  <c r="H104" i="1"/>
  <c r="E104" i="1"/>
  <c r="F104" i="1"/>
  <c r="D147" i="1"/>
  <c r="E101" i="1"/>
  <c r="F101" i="1"/>
  <c r="G101" i="1"/>
  <c r="H101" i="1"/>
  <c r="E111" i="1"/>
  <c r="F111" i="1"/>
  <c r="G111" i="1"/>
  <c r="H111" i="1"/>
  <c r="E103" i="1"/>
  <c r="F103" i="1"/>
  <c r="G103" i="1"/>
  <c r="H103" i="1"/>
  <c r="D146" i="1"/>
  <c r="G110" i="1"/>
  <c r="H110" i="1"/>
  <c r="F110" i="1"/>
  <c r="E110" i="1"/>
  <c r="G102" i="1"/>
  <c r="H102" i="1"/>
  <c r="F102" i="1"/>
  <c r="E102" i="1"/>
  <c r="E98" i="1"/>
  <c r="E84" i="1" l="1"/>
  <c r="E83" i="1"/>
  <c r="E89" i="1"/>
  <c r="E92" i="1"/>
  <c r="E86" i="1"/>
  <c r="E90" i="1"/>
  <c r="E147" i="1"/>
  <c r="F147" i="1"/>
  <c r="G147" i="1"/>
  <c r="H147" i="1"/>
  <c r="E146" i="1"/>
  <c r="F146" i="1"/>
  <c r="G146" i="1"/>
  <c r="H146" i="1"/>
  <c r="E61" i="1"/>
  <c r="E60" i="1"/>
  <c r="E43" i="1"/>
  <c r="L2" i="3" l="1"/>
  <c r="S28" i="1" l="1"/>
  <c r="E73" i="1" l="1"/>
  <c r="E41" i="1"/>
  <c r="E40" i="1"/>
  <c r="E39" i="1"/>
  <c r="R15" i="1" l="1"/>
  <c r="R16" i="1" s="1"/>
  <c r="N11" i="17" s="1"/>
  <c r="R35" i="1" l="1"/>
  <c r="R36" i="1"/>
  <c r="R37" i="1"/>
  <c r="V3" i="8" l="1"/>
  <c r="V4" i="8"/>
  <c r="V5" i="8"/>
  <c r="V6" i="8"/>
  <c r="V7" i="8"/>
  <c r="V8" i="8"/>
  <c r="V9" i="8"/>
  <c r="V10" i="8"/>
  <c r="V11" i="8"/>
  <c r="V2" i="8"/>
  <c r="U3" i="8"/>
  <c r="U4" i="8"/>
  <c r="U5" i="8"/>
  <c r="U6" i="8"/>
  <c r="U2" i="8"/>
  <c r="K24" i="24" l="1"/>
  <c r="P28" i="24"/>
  <c r="P20" i="24"/>
  <c r="P12" i="24"/>
  <c r="P4" i="24"/>
  <c r="K16" i="24"/>
  <c r="K22" i="24"/>
  <c r="P2" i="24"/>
  <c r="P27" i="24"/>
  <c r="P11" i="24"/>
  <c r="P18" i="24"/>
  <c r="P10" i="24"/>
  <c r="K29" i="24"/>
  <c r="K18" i="24"/>
  <c r="K14" i="24"/>
  <c r="K6" i="24"/>
  <c r="P21" i="24"/>
  <c r="P13" i="24"/>
  <c r="P5" i="24"/>
  <c r="P17" i="24"/>
  <c r="P19" i="24"/>
  <c r="P30" i="24"/>
  <c r="K12" i="24"/>
  <c r="K4" i="24"/>
  <c r="K2" i="24"/>
  <c r="K26" i="24"/>
  <c r="P29" i="24"/>
  <c r="P9" i="24"/>
  <c r="P8" i="24"/>
  <c r="P15" i="24"/>
  <c r="P7" i="24"/>
  <c r="K21" i="24"/>
  <c r="K28" i="24"/>
  <c r="K10" i="24"/>
  <c r="K23" i="24"/>
  <c r="K13" i="24"/>
  <c r="K5" i="24"/>
  <c r="P25" i="24"/>
  <c r="K20" i="24"/>
  <c r="K17" i="24"/>
  <c r="P16" i="24"/>
  <c r="K19" i="24"/>
  <c r="K11" i="24"/>
  <c r="K3" i="24"/>
  <c r="P24" i="24"/>
  <c r="K9" i="24"/>
  <c r="K8" i="24"/>
  <c r="P23" i="24"/>
  <c r="K15" i="24"/>
  <c r="K7" i="24"/>
  <c r="P22" i="24"/>
  <c r="P14" i="24"/>
  <c r="P6" i="24"/>
  <c r="K25" i="24"/>
  <c r="K27" i="24"/>
  <c r="P3" i="24"/>
  <c r="P26" i="24"/>
  <c r="K30" i="24"/>
  <c r="J22" i="24"/>
  <c r="O21" i="24"/>
  <c r="O13" i="24"/>
  <c r="O5" i="24"/>
  <c r="O25" i="24"/>
  <c r="O17" i="24"/>
  <c r="O19" i="24"/>
  <c r="O11" i="24"/>
  <c r="O3" i="24"/>
  <c r="J30" i="24"/>
  <c r="J25" i="24"/>
  <c r="J14" i="24"/>
  <c r="J6" i="24"/>
  <c r="O24" i="24"/>
  <c r="J2" i="24"/>
  <c r="J27" i="24"/>
  <c r="O30" i="24"/>
  <c r="O4" i="24"/>
  <c r="O9" i="24"/>
  <c r="O8" i="24"/>
  <c r="O23" i="24"/>
  <c r="O15" i="24"/>
  <c r="O7" i="24"/>
  <c r="J20" i="24"/>
  <c r="J12" i="24"/>
  <c r="J4" i="24"/>
  <c r="O26" i="24"/>
  <c r="J29" i="24"/>
  <c r="J19" i="24"/>
  <c r="O20" i="24"/>
  <c r="J28" i="24"/>
  <c r="O16" i="24"/>
  <c r="J26" i="24"/>
  <c r="J18" i="24"/>
  <c r="J10" i="24"/>
  <c r="J17" i="24"/>
  <c r="J11" i="24"/>
  <c r="J21" i="24"/>
  <c r="O28" i="24"/>
  <c r="J23" i="24"/>
  <c r="O2" i="24"/>
  <c r="J13" i="24"/>
  <c r="J5" i="24"/>
  <c r="J3" i="24"/>
  <c r="O27" i="24"/>
  <c r="O22" i="24"/>
  <c r="O14" i="24"/>
  <c r="O6" i="24"/>
  <c r="J9" i="24"/>
  <c r="J8" i="24"/>
  <c r="J15" i="24"/>
  <c r="J7" i="24"/>
  <c r="O12" i="24"/>
  <c r="J16" i="24"/>
  <c r="J24" i="24"/>
  <c r="O18" i="24"/>
  <c r="O10" i="24"/>
  <c r="O29" i="24"/>
  <c r="N2" i="24"/>
  <c r="I14" i="24"/>
  <c r="I6" i="24"/>
  <c r="N27" i="24"/>
  <c r="I26" i="24"/>
  <c r="N9" i="24"/>
  <c r="N8" i="24"/>
  <c r="N23" i="24"/>
  <c r="N15" i="24"/>
  <c r="N7" i="24"/>
  <c r="I28" i="24"/>
  <c r="I20" i="24"/>
  <c r="I12" i="24"/>
  <c r="I4" i="24"/>
  <c r="I30" i="24"/>
  <c r="I25" i="24"/>
  <c r="N28" i="24"/>
  <c r="N16" i="24"/>
  <c r="I18" i="24"/>
  <c r="I10" i="24"/>
  <c r="N10" i="24"/>
  <c r="N29" i="24"/>
  <c r="I23" i="24"/>
  <c r="I22" i="24"/>
  <c r="I21" i="24"/>
  <c r="I13" i="24"/>
  <c r="I5" i="24"/>
  <c r="I17" i="24"/>
  <c r="I27" i="24"/>
  <c r="I19" i="24"/>
  <c r="I11" i="24"/>
  <c r="I3" i="24"/>
  <c r="I29" i="24"/>
  <c r="N18" i="24"/>
  <c r="N22" i="24"/>
  <c r="N14" i="24"/>
  <c r="N6" i="24"/>
  <c r="N24" i="24"/>
  <c r="N25" i="24"/>
  <c r="N20" i="24"/>
  <c r="I16" i="24"/>
  <c r="I24" i="24"/>
  <c r="I9" i="24"/>
  <c r="I8" i="24"/>
  <c r="I15" i="24"/>
  <c r="I7" i="24"/>
  <c r="N12" i="24"/>
  <c r="N4" i="24"/>
  <c r="N26" i="24"/>
  <c r="N30" i="24"/>
  <c r="N21" i="24"/>
  <c r="N13" i="24"/>
  <c r="N5" i="24"/>
  <c r="I2" i="24"/>
  <c r="N17" i="24"/>
  <c r="N19" i="24"/>
  <c r="N11" i="24"/>
  <c r="N3" i="24"/>
  <c r="M9" i="24"/>
  <c r="M8" i="24"/>
  <c r="M23" i="24"/>
  <c r="M15" i="24"/>
  <c r="M7" i="24"/>
  <c r="H2" i="24"/>
  <c r="H10" i="24"/>
  <c r="M29" i="24"/>
  <c r="H21" i="24"/>
  <c r="H13" i="24"/>
  <c r="H5" i="24"/>
  <c r="H25" i="24"/>
  <c r="H17" i="24"/>
  <c r="M16" i="24"/>
  <c r="M2" i="24"/>
  <c r="H19" i="24"/>
  <c r="M26" i="24"/>
  <c r="H22" i="24"/>
  <c r="M11" i="24"/>
  <c r="M30" i="24"/>
  <c r="M22" i="24"/>
  <c r="H27" i="24"/>
  <c r="H11" i="24"/>
  <c r="H30" i="24"/>
  <c r="H24" i="24"/>
  <c r="M13" i="24"/>
  <c r="M17" i="24"/>
  <c r="M19" i="24"/>
  <c r="H3" i="24"/>
  <c r="H9" i="24"/>
  <c r="H8" i="24"/>
  <c r="H15" i="24"/>
  <c r="H7" i="24"/>
  <c r="M14" i="24"/>
  <c r="M6" i="24"/>
  <c r="M25" i="24"/>
  <c r="M20" i="24"/>
  <c r="M24" i="24"/>
  <c r="H6" i="24"/>
  <c r="M12" i="24"/>
  <c r="M4" i="24"/>
  <c r="H16" i="24"/>
  <c r="H14" i="24"/>
  <c r="M5" i="24"/>
  <c r="M21" i="24"/>
  <c r="M28" i="24"/>
  <c r="M27" i="24"/>
  <c r="M18" i="24"/>
  <c r="M10" i="24"/>
  <c r="H29" i="24"/>
  <c r="H23" i="24"/>
  <c r="M3" i="24"/>
  <c r="H26" i="24"/>
  <c r="H28" i="24"/>
  <c r="H20" i="24"/>
  <c r="H12" i="24"/>
  <c r="H4" i="24"/>
  <c r="H18" i="24"/>
  <c r="G7" i="24"/>
  <c r="G21" i="24"/>
  <c r="G10" i="24"/>
  <c r="G22" i="24"/>
  <c r="G19" i="24"/>
  <c r="G11" i="24"/>
  <c r="G23" i="24"/>
  <c r="G13" i="24"/>
  <c r="G26" i="24"/>
  <c r="G14" i="24"/>
  <c r="G27" i="24"/>
  <c r="G3" i="24"/>
  <c r="G15" i="24"/>
  <c r="G29" i="24"/>
  <c r="G5" i="24"/>
  <c r="G18" i="24"/>
  <c r="G30" i="24"/>
  <c r="G6" i="24"/>
  <c r="G2" i="24"/>
  <c r="L6" i="24"/>
  <c r="L2" i="24"/>
  <c r="L28" i="24"/>
  <c r="G12" i="24"/>
  <c r="L4" i="24"/>
  <c r="L16" i="24"/>
  <c r="L27" i="24"/>
  <c r="L11" i="24"/>
  <c r="L24" i="24"/>
  <c r="L15" i="24"/>
  <c r="L25" i="24"/>
  <c r="L3" i="24"/>
  <c r="L30" i="24"/>
  <c r="L18" i="24"/>
  <c r="L7" i="24"/>
  <c r="G4" i="24"/>
  <c r="L21" i="24"/>
  <c r="G9" i="24"/>
  <c r="L20" i="24"/>
  <c r="L17" i="24"/>
  <c r="L19" i="24"/>
  <c r="G17" i="24"/>
  <c r="L29" i="24"/>
  <c r="L10" i="24"/>
  <c r="G28" i="24"/>
  <c r="L13" i="24"/>
  <c r="G8" i="24"/>
  <c r="L5" i="24"/>
  <c r="L12" i="24"/>
  <c r="L9" i="24"/>
  <c r="L22" i="24"/>
  <c r="G25" i="24"/>
  <c r="L8" i="24"/>
  <c r="L23" i="24"/>
  <c r="L14" i="24"/>
  <c r="G16" i="24"/>
  <c r="G24" i="24"/>
  <c r="L26" i="24"/>
  <c r="G20" i="24"/>
  <c r="BW10" i="4"/>
  <c r="AX1" i="24" s="1"/>
  <c r="BS10" i="4"/>
  <c r="AT1" i="24" s="1"/>
  <c r="AG10" i="4"/>
  <c r="H1" i="24" s="1"/>
  <c r="BM10" i="4"/>
  <c r="AN1" i="24" s="1"/>
  <c r="AT10" i="4"/>
  <c r="U1" i="24" s="1"/>
  <c r="CC10" i="4"/>
  <c r="BD1" i="24" s="1"/>
  <c r="AM10" i="4"/>
  <c r="N1" i="24" s="1"/>
  <c r="BU10" i="4"/>
  <c r="AV1" i="24" s="1"/>
  <c r="BD10" i="4"/>
  <c r="AE1" i="24" s="1"/>
  <c r="BB10" i="4"/>
  <c r="AC1" i="24" s="1"/>
  <c r="BQ10" i="4"/>
  <c r="AR1" i="24" s="1"/>
  <c r="AV10" i="4"/>
  <c r="W1" i="24" s="1"/>
  <c r="BO10" i="4"/>
  <c r="AP1" i="24" s="1"/>
  <c r="Z10" i="4"/>
  <c r="AE10" i="4"/>
  <c r="AN10" i="4"/>
  <c r="O1" i="24" s="1"/>
  <c r="AW10" i="4"/>
  <c r="X1" i="24" s="1"/>
  <c r="BA10" i="4"/>
  <c r="AB1" i="24" s="1"/>
  <c r="BJ10" i="4"/>
  <c r="AK1" i="24" s="1"/>
  <c r="BN10" i="4"/>
  <c r="AO1" i="24" s="1"/>
  <c r="BR10" i="4"/>
  <c r="AS1" i="24" s="1"/>
  <c r="BV10" i="4"/>
  <c r="AW1" i="24" s="1"/>
  <c r="BZ10" i="4"/>
  <c r="BA1" i="24" s="1"/>
  <c r="CA10" i="4"/>
  <c r="BB1" i="24" s="1"/>
  <c r="W10" i="4"/>
  <c r="AC10" i="4"/>
  <c r="AL10" i="4"/>
  <c r="M1" i="24" s="1"/>
  <c r="AU10" i="4"/>
  <c r="V1" i="24" s="1"/>
  <c r="AY10" i="4"/>
  <c r="Z1" i="24" s="1"/>
  <c r="BC10" i="4"/>
  <c r="AD1" i="24" s="1"/>
  <c r="BL10" i="4"/>
  <c r="AM1" i="24" s="1"/>
  <c r="BP10" i="4"/>
  <c r="AQ1" i="24" s="1"/>
  <c r="BT10" i="4"/>
  <c r="AU1" i="24" s="1"/>
  <c r="BX10" i="4"/>
  <c r="AY1" i="24" s="1"/>
  <c r="CB10" i="4"/>
  <c r="BC1" i="24" s="1"/>
  <c r="BI10" i="4"/>
  <c r="AJ1" i="24" s="1"/>
  <c r="AB10" i="4"/>
  <c r="AK10" i="4"/>
  <c r="L1" i="24" s="1"/>
  <c r="AO10" i="4"/>
  <c r="P1" i="24" s="1"/>
  <c r="AX10" i="4"/>
  <c r="Y1" i="24" s="1"/>
  <c r="BK10" i="4"/>
  <c r="AL1" i="24" s="1"/>
  <c r="Y10" i="4"/>
  <c r="AD10" i="4"/>
  <c r="AZ10" i="4"/>
  <c r="AA1" i="24" s="1"/>
  <c r="BY10" i="4"/>
  <c r="AZ1" i="24" s="1"/>
  <c r="BF10" i="4"/>
  <c r="AG1" i="24" s="1"/>
  <c r="BG10" i="4"/>
  <c r="AH1" i="24" s="1"/>
  <c r="BH10" i="4"/>
  <c r="AI1" i="24" s="1"/>
  <c r="AA10" i="4"/>
  <c r="BE10" i="4"/>
  <c r="AF1" i="24" s="1"/>
  <c r="AQ10" i="4"/>
  <c r="R1" i="24" s="1"/>
  <c r="AP10" i="4"/>
  <c r="Q1" i="24" s="1"/>
  <c r="AR10" i="4"/>
  <c r="S1" i="24" s="1"/>
  <c r="X10" i="4"/>
  <c r="AS10" i="4"/>
  <c r="T1" i="24" s="1"/>
  <c r="AI10" i="4"/>
  <c r="J1" i="24" s="1"/>
  <c r="AH10" i="4"/>
  <c r="I1" i="24" s="1"/>
  <c r="AJ10" i="4"/>
  <c r="K1" i="24" s="1"/>
  <c r="V10" i="4"/>
  <c r="AF10" i="4"/>
  <c r="G1" i="24" s="1"/>
  <c r="A67" i="2"/>
  <c r="A68" i="2" s="1"/>
  <c r="A69" i="2" s="1"/>
  <c r="A70" i="2" s="1"/>
  <c r="A71" i="2" s="1"/>
  <c r="A72" i="2" s="1"/>
  <c r="A73" i="2" s="1"/>
  <c r="A74" i="2" s="1"/>
  <c r="A77" i="2" s="1"/>
  <c r="A78" i="2" s="1"/>
  <c r="A81" i="2" s="1"/>
  <c r="A82" i="2" s="1"/>
  <c r="A83" i="2" s="1"/>
  <c r="A84" i="2" s="1"/>
  <c r="U10" i="4" l="1"/>
  <c r="T10" i="4"/>
  <c r="S10" i="4"/>
  <c r="R10" i="4"/>
  <c r="Q10" i="4"/>
  <c r="N47" i="1" l="1"/>
  <c r="N48" i="1"/>
  <c r="N49" i="1"/>
  <c r="N50" i="1"/>
  <c r="N51" i="1"/>
  <c r="N52" i="1"/>
  <c r="N53" i="1"/>
  <c r="N54" i="1"/>
  <c r="N46" i="1"/>
  <c r="B191" i="1"/>
  <c r="B192" i="1"/>
  <c r="B193" i="1"/>
  <c r="B194" i="1"/>
  <c r="B195" i="1"/>
  <c r="B196" i="1"/>
  <c r="B197" i="1"/>
  <c r="B198" i="1"/>
  <c r="B190" i="1"/>
  <c r="R48" i="1" l="1"/>
  <c r="R47" i="1"/>
  <c r="R51" i="1"/>
  <c r="R50" i="1"/>
  <c r="R49" i="1"/>
  <c r="R46" i="1"/>
  <c r="P46" i="1"/>
  <c r="Q54" i="1"/>
  <c r="R54" i="1"/>
  <c r="P53" i="1"/>
  <c r="R53" i="1"/>
  <c r="W50" i="1"/>
  <c r="R52" i="1"/>
  <c r="Q53" i="1"/>
  <c r="Q46" i="1"/>
  <c r="P47" i="1"/>
  <c r="Q50" i="1"/>
  <c r="W48" i="1"/>
  <c r="P51" i="1"/>
  <c r="P50" i="1"/>
  <c r="W49" i="1"/>
  <c r="P52" i="1"/>
  <c r="W52" i="1"/>
  <c r="Q51" i="1"/>
  <c r="Q52" i="1"/>
  <c r="P54" i="1"/>
  <c r="W44" i="1"/>
  <c r="W45" i="1"/>
  <c r="W47" i="1"/>
  <c r="Q47" i="1"/>
  <c r="P48" i="1"/>
  <c r="Q48" i="1"/>
  <c r="P49" i="1"/>
  <c r="Q49" i="1"/>
  <c r="W46" i="1"/>
  <c r="W51" i="1"/>
  <c r="D140" i="1"/>
  <c r="D131" i="1"/>
  <c r="D132" i="1"/>
  <c r="D133" i="1"/>
  <c r="D134" i="1"/>
  <c r="D135" i="1"/>
  <c r="D136" i="1"/>
  <c r="D137" i="1"/>
  <c r="D138" i="1"/>
  <c r="D139" i="1"/>
  <c r="D141" i="1"/>
  <c r="D142" i="1"/>
  <c r="D143" i="1"/>
  <c r="G137" i="1" l="1"/>
  <c r="E137" i="1"/>
  <c r="H137" i="1"/>
  <c r="F137" i="1"/>
  <c r="E135" i="1"/>
  <c r="F135" i="1"/>
  <c r="G135" i="1"/>
  <c r="H135" i="1"/>
  <c r="H134" i="1"/>
  <c r="E134" i="1"/>
  <c r="F134" i="1"/>
  <c r="G134" i="1"/>
  <c r="F133" i="1"/>
  <c r="G133" i="1"/>
  <c r="E133" i="1"/>
  <c r="H133" i="1"/>
  <c r="F132" i="1"/>
  <c r="G132" i="1"/>
  <c r="H132" i="1"/>
  <c r="E132" i="1"/>
  <c r="E139" i="1"/>
  <c r="F139" i="1"/>
  <c r="G139" i="1"/>
  <c r="H139" i="1"/>
  <c r="H131" i="1"/>
  <c r="E131" i="1"/>
  <c r="F131" i="1"/>
  <c r="G131" i="1"/>
  <c r="E136" i="1"/>
  <c r="F136" i="1"/>
  <c r="G136" i="1"/>
  <c r="H136" i="1"/>
  <c r="E143" i="1"/>
  <c r="F143" i="1"/>
  <c r="G143" i="1"/>
  <c r="H143" i="1"/>
  <c r="H142" i="1"/>
  <c r="E142" i="1"/>
  <c r="F142" i="1"/>
  <c r="G142" i="1"/>
  <c r="F141" i="1"/>
  <c r="G141" i="1"/>
  <c r="E141" i="1"/>
  <c r="H141" i="1"/>
  <c r="E138" i="1"/>
  <c r="F138" i="1"/>
  <c r="G138" i="1"/>
  <c r="H138" i="1"/>
  <c r="F140" i="1"/>
  <c r="G140" i="1"/>
  <c r="H140" i="1"/>
  <c r="E140" i="1"/>
  <c r="R55" i="1"/>
  <c r="P55" i="1"/>
  <c r="Q55" i="1"/>
  <c r="D130" i="1"/>
  <c r="D145" i="1"/>
  <c r="D144" i="1"/>
  <c r="W53" i="1"/>
  <c r="Q3" i="4"/>
  <c r="D15" i="17" s="1"/>
  <c r="Q2" i="4"/>
  <c r="D14" i="17" s="1"/>
  <c r="H130" i="1" l="1"/>
  <c r="F130" i="1"/>
  <c r="E122" i="1" s="1"/>
  <c r="E130" i="1"/>
  <c r="E117" i="1" s="1"/>
  <c r="G130" i="1"/>
  <c r="G145" i="1"/>
  <c r="E145" i="1"/>
  <c r="H145" i="1"/>
  <c r="F145" i="1"/>
  <c r="E144" i="1"/>
  <c r="F144" i="1"/>
  <c r="G144" i="1"/>
  <c r="H144" i="1"/>
  <c r="E72" i="1"/>
  <c r="E158" i="1"/>
  <c r="Q22" i="1"/>
  <c r="Q21" i="1"/>
  <c r="E20" i="1"/>
  <c r="E116" i="1" l="1"/>
  <c r="E121" i="1"/>
  <c r="E119" i="1"/>
  <c r="O22" i="1"/>
  <c r="O21" i="1"/>
  <c r="E64" i="1"/>
  <c r="P29" i="1" l="1"/>
  <c r="P42" i="1" l="1"/>
  <c r="E163" i="1"/>
  <c r="E162" i="1"/>
  <c r="E159" i="1"/>
  <c r="Q42" i="1" l="1"/>
  <c r="O42" i="1" s="1"/>
  <c r="A15" i="2" l="1"/>
  <c r="A19" i="2" s="1"/>
  <c r="A20" i="2" s="1"/>
  <c r="A12" i="4" l="1"/>
  <c r="AM12" i="4" s="1"/>
  <c r="Q6" i="4"/>
  <c r="AF12" i="4" l="1"/>
  <c r="AO12" i="4"/>
  <c r="AW12" i="4"/>
  <c r="BE12" i="4"/>
  <c r="BM12" i="4"/>
  <c r="BU12" i="4"/>
  <c r="CC12" i="4"/>
  <c r="AG12" i="4"/>
  <c r="AP12" i="4"/>
  <c r="AX12" i="4"/>
  <c r="BF12" i="4"/>
  <c r="BN12" i="4"/>
  <c r="BV12" i="4"/>
  <c r="AH12" i="4"/>
  <c r="AQ12" i="4"/>
  <c r="AY12" i="4"/>
  <c r="BG12" i="4"/>
  <c r="BO12" i="4"/>
  <c r="BW12" i="4"/>
  <c r="AI12" i="4"/>
  <c r="AR12" i="4"/>
  <c r="AZ12" i="4"/>
  <c r="BH12" i="4"/>
  <c r="BP12" i="4"/>
  <c r="BX12" i="4"/>
  <c r="AJ12" i="4"/>
  <c r="AS12" i="4"/>
  <c r="BA12" i="4"/>
  <c r="BI12" i="4"/>
  <c r="BQ12" i="4"/>
  <c r="BY12" i="4"/>
  <c r="AK12" i="4"/>
  <c r="AT12" i="4"/>
  <c r="BB12" i="4"/>
  <c r="BJ12" i="4"/>
  <c r="BR12" i="4"/>
  <c r="BZ12" i="4"/>
  <c r="AL12" i="4"/>
  <c r="AU12" i="4"/>
  <c r="BC12" i="4"/>
  <c r="BK12" i="4"/>
  <c r="BS12" i="4"/>
  <c r="CA12" i="4"/>
  <c r="AN12" i="4"/>
  <c r="BD12" i="4"/>
  <c r="BL12" i="4"/>
  <c r="CB12" i="4"/>
  <c r="AV12" i="4"/>
  <c r="BT12" i="4"/>
  <c r="W12" i="4"/>
  <c r="AE12" i="4"/>
  <c r="X12" i="4"/>
  <c r="Y12" i="4"/>
  <c r="Z12" i="4"/>
  <c r="AA12" i="4"/>
  <c r="AB12" i="4"/>
  <c r="AC12" i="4"/>
  <c r="Q12" i="4"/>
  <c r="S12" i="4"/>
  <c r="V12" i="4"/>
  <c r="T12" i="4"/>
  <c r="AD12" i="4"/>
  <c r="U12" i="4"/>
  <c r="R12" i="4"/>
  <c r="D12" i="4"/>
  <c r="E12" i="4"/>
  <c r="C12" i="4"/>
  <c r="A11" i="4"/>
  <c r="AM11" i="4" s="1"/>
  <c r="N10" i="4"/>
  <c r="N12" i="4" s="1"/>
  <c r="M10" i="4"/>
  <c r="M12" i="4" s="1"/>
  <c r="L10" i="4"/>
  <c r="L12" i="4" s="1"/>
  <c r="H10" i="4"/>
  <c r="H12" i="4" s="1"/>
  <c r="J10" i="4"/>
  <c r="J12" i="4" s="1"/>
  <c r="K10" i="4"/>
  <c r="K12" i="4" s="1"/>
  <c r="I10" i="4"/>
  <c r="I12" i="4" s="1"/>
  <c r="G10" i="4"/>
  <c r="G12" i="4" s="1"/>
  <c r="F10" i="4"/>
  <c r="F12" i="4" s="1"/>
  <c r="CA11" i="4" l="1"/>
  <c r="BS11" i="4"/>
  <c r="BO11" i="4"/>
  <c r="BC11" i="4"/>
  <c r="AU11" i="4"/>
  <c r="AL11" i="4"/>
  <c r="BZ11" i="4"/>
  <c r="BR11" i="4"/>
  <c r="BJ11" i="4"/>
  <c r="AY11" i="4"/>
  <c r="AT11" i="4"/>
  <c r="AK11" i="4"/>
  <c r="BY11" i="4"/>
  <c r="BQ11" i="4"/>
  <c r="BI11" i="4"/>
  <c r="BB11" i="4"/>
  <c r="AS11" i="4"/>
  <c r="AJ11" i="4"/>
  <c r="BX11" i="4"/>
  <c r="BP11" i="4"/>
  <c r="BH11" i="4"/>
  <c r="BA11" i="4"/>
  <c r="AR11" i="4"/>
  <c r="AI11" i="4"/>
  <c r="BW11" i="4"/>
  <c r="BN11" i="4"/>
  <c r="BG11" i="4"/>
  <c r="AZ11" i="4"/>
  <c r="AQ11" i="4"/>
  <c r="AH11" i="4"/>
  <c r="BV11" i="4"/>
  <c r="BM11" i="4"/>
  <c r="BF11" i="4"/>
  <c r="AX11" i="4"/>
  <c r="AP11" i="4"/>
  <c r="AG11" i="4"/>
  <c r="CC11" i="4"/>
  <c r="BU11" i="4"/>
  <c r="BL11" i="4"/>
  <c r="BE11" i="4"/>
  <c r="AW11" i="4"/>
  <c r="AO11" i="4"/>
  <c r="AF11" i="4"/>
  <c r="BD11" i="4"/>
  <c r="AC11" i="4"/>
  <c r="AV11" i="4"/>
  <c r="AN11" i="4"/>
  <c r="AA11" i="4"/>
  <c r="Z11" i="4"/>
  <c r="Y11" i="4"/>
  <c r="CB11" i="4"/>
  <c r="X11" i="4"/>
  <c r="BT11" i="4"/>
  <c r="AE11" i="4"/>
  <c r="W11" i="4"/>
  <c r="BK11" i="4"/>
  <c r="AD11" i="4"/>
  <c r="V11" i="4"/>
  <c r="R11" i="4"/>
  <c r="Q11" i="4"/>
  <c r="U11" i="4"/>
  <c r="S11" i="4"/>
  <c r="AB11" i="4"/>
  <c r="T11" i="4"/>
  <c r="B12" i="4"/>
  <c r="O12" i="4"/>
  <c r="K11" i="4"/>
  <c r="F11" i="4"/>
  <c r="J11" i="4"/>
  <c r="N11" i="4"/>
  <c r="H11" i="4"/>
  <c r="G11" i="4"/>
  <c r="D11" i="4"/>
  <c r="M11" i="4"/>
  <c r="E11" i="4"/>
  <c r="L11" i="4"/>
  <c r="C11" i="4"/>
  <c r="I11" i="4"/>
  <c r="P12" i="4"/>
  <c r="D46" i="1"/>
  <c r="G46" i="1" s="1"/>
  <c r="D47" i="1"/>
  <c r="G47" i="1" s="1"/>
  <c r="D48" i="1"/>
  <c r="G48" i="1" s="1"/>
  <c r="D49" i="1"/>
  <c r="G49" i="1" s="1"/>
  <c r="D50" i="1"/>
  <c r="G50" i="1" s="1"/>
  <c r="D51" i="1"/>
  <c r="G51" i="1" s="1"/>
  <c r="D52" i="1"/>
  <c r="G52" i="1" s="1"/>
  <c r="D53" i="1"/>
  <c r="G53" i="1" s="1"/>
  <c r="D54" i="1"/>
  <c r="G54" i="1" s="1"/>
  <c r="E54" i="1" l="1"/>
  <c r="F54" i="1"/>
  <c r="E52" i="1"/>
  <c r="F52" i="1"/>
  <c r="E53" i="1"/>
  <c r="F53" i="1"/>
  <c r="E49" i="1"/>
  <c r="F49" i="1"/>
  <c r="E48" i="1"/>
  <c r="F48" i="1"/>
  <c r="E51" i="1"/>
  <c r="F51" i="1"/>
  <c r="E50" i="1"/>
  <c r="F50" i="1"/>
  <c r="E47" i="1"/>
  <c r="F47" i="1"/>
  <c r="F46" i="1"/>
  <c r="E46" i="1"/>
  <c r="B11" i="4"/>
  <c r="E65" i="1"/>
  <c r="D25" i="1"/>
  <c r="G25" i="1" s="1"/>
  <c r="D32" i="1"/>
  <c r="G32" i="1" s="1"/>
  <c r="D33" i="1"/>
  <c r="G33" i="1" s="1"/>
  <c r="D30" i="1"/>
  <c r="G30" i="1" s="1"/>
  <c r="D31" i="1"/>
  <c r="G31" i="1" s="1"/>
  <c r="D29" i="1"/>
  <c r="G29" i="1" s="1"/>
  <c r="D28" i="1"/>
  <c r="G28" i="1" s="1"/>
  <c r="D27" i="1"/>
  <c r="G27" i="1" s="1"/>
  <c r="D26" i="1"/>
  <c r="G26" i="1" s="1"/>
  <c r="N2" i="3"/>
  <c r="M2" i="3"/>
  <c r="O2" i="3"/>
  <c r="P2" i="3"/>
  <c r="Q2" i="3"/>
  <c r="K2" i="3"/>
  <c r="J2" i="3"/>
  <c r="I2" i="3"/>
  <c r="G57" i="1" l="1"/>
  <c r="H149" i="1" s="1"/>
  <c r="F57" i="1"/>
  <c r="E57" i="1"/>
  <c r="H57" i="1"/>
  <c r="F25" i="1"/>
  <c r="E25" i="1"/>
  <c r="E30" i="1"/>
  <c r="F30" i="1"/>
  <c r="E33" i="1"/>
  <c r="F33" i="1"/>
  <c r="E26" i="1"/>
  <c r="F26" i="1"/>
  <c r="E27" i="1"/>
  <c r="F27" i="1"/>
  <c r="F31" i="1"/>
  <c r="E31" i="1"/>
  <c r="E32" i="1"/>
  <c r="F32" i="1"/>
  <c r="E28" i="1"/>
  <c r="F28" i="1"/>
  <c r="F29" i="1"/>
  <c r="E29" i="1"/>
  <c r="V51" i="1"/>
  <c r="T53" i="1" s="1"/>
  <c r="S54" i="1"/>
  <c r="S52" i="1"/>
  <c r="V50" i="1"/>
  <c r="T52" i="1" s="1"/>
  <c r="S47" i="1"/>
  <c r="V44" i="1"/>
  <c r="T46" i="1" s="1"/>
  <c r="V47" i="1"/>
  <c r="T49" i="1" s="1"/>
  <c r="S50" i="1"/>
  <c r="V46" i="1"/>
  <c r="T48" i="1" s="1"/>
  <c r="S51" i="1"/>
  <c r="V52" i="1"/>
  <c r="T54" i="1" s="1"/>
  <c r="S53" i="1"/>
  <c r="V48" i="1"/>
  <c r="T50" i="1" s="1"/>
  <c r="S48" i="1"/>
  <c r="V49" i="1"/>
  <c r="T51" i="1" s="1"/>
  <c r="V45" i="1"/>
  <c r="T47" i="1" s="1"/>
  <c r="S49" i="1"/>
  <c r="S46" i="1"/>
  <c r="E196" i="1"/>
  <c r="D196" i="1"/>
  <c r="F196" i="1"/>
  <c r="D195" i="1"/>
  <c r="F195" i="1"/>
  <c r="E195" i="1"/>
  <c r="F192" i="1"/>
  <c r="E192" i="1"/>
  <c r="D192" i="1"/>
  <c r="F191" i="1"/>
  <c r="E191" i="1"/>
  <c r="D191" i="1"/>
  <c r="F190" i="1"/>
  <c r="E190" i="1"/>
  <c r="D190" i="1"/>
  <c r="F198" i="1"/>
  <c r="E198" i="1"/>
  <c r="D198" i="1"/>
  <c r="E194" i="1"/>
  <c r="F194" i="1"/>
  <c r="D194" i="1"/>
  <c r="F193" i="1"/>
  <c r="D193" i="1"/>
  <c r="E193" i="1"/>
  <c r="F197" i="1"/>
  <c r="E197" i="1"/>
  <c r="D197" i="1"/>
  <c r="J191" i="1"/>
  <c r="J196" i="1"/>
  <c r="J195" i="1"/>
  <c r="J193" i="1"/>
  <c r="J197" i="1"/>
  <c r="J194" i="1"/>
  <c r="J192" i="1"/>
  <c r="J190" i="1"/>
  <c r="J198" i="1"/>
  <c r="I195" i="1"/>
  <c r="G195" i="1" s="1"/>
  <c r="I191" i="1"/>
  <c r="G191" i="1" s="1"/>
  <c r="I197" i="1"/>
  <c r="G197" i="1" s="1"/>
  <c r="I193" i="1"/>
  <c r="G193" i="1" s="1"/>
  <c r="F58" i="1"/>
  <c r="H58" i="1"/>
  <c r="E58" i="1"/>
  <c r="G58" i="1"/>
  <c r="I190" i="1"/>
  <c r="G190" i="1" s="1"/>
  <c r="H190" i="1"/>
  <c r="H192" i="1"/>
  <c r="H194" i="1"/>
  <c r="H196" i="1"/>
  <c r="H198" i="1"/>
  <c r="I192" i="1"/>
  <c r="G192" i="1" s="1"/>
  <c r="I194" i="1"/>
  <c r="G194" i="1" s="1"/>
  <c r="I196" i="1"/>
  <c r="G196" i="1" s="1"/>
  <c r="I198" i="1"/>
  <c r="G198" i="1" s="1"/>
  <c r="H191" i="1"/>
  <c r="H193" i="1"/>
  <c r="H195" i="1"/>
  <c r="H197" i="1"/>
  <c r="F36" i="1" l="1"/>
  <c r="R22" i="1" s="1"/>
  <c r="E36" i="1"/>
  <c r="E67" i="1" s="1"/>
  <c r="G36" i="1"/>
  <c r="H36" i="1"/>
  <c r="E37" i="1"/>
  <c r="F37" i="1"/>
  <c r="S22" i="1" s="1"/>
  <c r="G37" i="1"/>
  <c r="H37" i="1"/>
  <c r="F59" i="1"/>
  <c r="Q23" i="1"/>
  <c r="Q24" i="1"/>
  <c r="O50" i="1"/>
  <c r="C194" i="1"/>
  <c r="V53" i="1"/>
  <c r="T55" i="1"/>
  <c r="O54" i="1"/>
  <c r="C198" i="1"/>
  <c r="O49" i="1"/>
  <c r="C193" i="1"/>
  <c r="O47" i="1"/>
  <c r="C191" i="1"/>
  <c r="O52" i="1"/>
  <c r="C196" i="1"/>
  <c r="C197" i="1"/>
  <c r="O53" i="1"/>
  <c r="O48" i="1"/>
  <c r="C192" i="1"/>
  <c r="O51" i="1"/>
  <c r="C195" i="1"/>
  <c r="S55" i="1"/>
  <c r="O46" i="1"/>
  <c r="C190" i="1"/>
  <c r="H76" i="1"/>
  <c r="H59" i="1"/>
  <c r="H77" i="1"/>
  <c r="G59" i="1"/>
  <c r="Q25" i="1" s="1"/>
  <c r="H150" i="1"/>
  <c r="E59" i="1"/>
  <c r="E199" i="1"/>
  <c r="H199" i="1"/>
  <c r="H38" i="1" l="1"/>
  <c r="O55" i="1"/>
  <c r="G38" i="1"/>
  <c r="E38" i="1"/>
  <c r="F38" i="1"/>
  <c r="E68" i="1"/>
  <c r="S25" i="1"/>
  <c r="R25" i="1"/>
  <c r="R21" i="1"/>
  <c r="P23" i="1"/>
  <c r="O23" i="1" s="1"/>
  <c r="S21" i="1"/>
  <c r="P24" i="1"/>
  <c r="O24" i="1" s="1"/>
  <c r="G76" i="1"/>
  <c r="E76" i="1" s="1"/>
  <c r="G150" i="1"/>
  <c r="E150" i="1" s="1"/>
  <c r="E70" i="1"/>
  <c r="E69" i="1"/>
  <c r="E156" i="1"/>
  <c r="G77" i="1"/>
  <c r="G149" i="1"/>
  <c r="E155" i="1"/>
  <c r="P41" i="1" l="1"/>
  <c r="P25" i="1"/>
  <c r="O25" i="1"/>
  <c r="E124" i="1"/>
  <c r="A21" i="2"/>
  <c r="Q41" i="1" l="1"/>
  <c r="O41" i="1" s="1"/>
  <c r="A22" i="2"/>
  <c r="A25" i="2" s="1"/>
  <c r="A26" i="2" s="1"/>
  <c r="A27" i="2" s="1"/>
  <c r="A28" i="2" s="1"/>
  <c r="A34" i="2" s="1"/>
  <c r="A35" i="2" s="1"/>
  <c r="A39" i="2" s="1"/>
  <c r="A43" i="2" s="1"/>
  <c r="A46" i="2" s="1"/>
  <c r="A47" i="2" s="1"/>
  <c r="A51" i="2" s="1"/>
  <c r="A60" i="2" l="1"/>
  <c r="A61" i="2" s="1"/>
  <c r="A62" i="2" s="1"/>
  <c r="A63" i="2" s="1"/>
  <c r="A55" i="2"/>
  <c r="A56" i="2" s="1"/>
  <c r="A57" i="2" s="1"/>
  <c r="A58" i="2" s="1"/>
  <c r="E63" i="1"/>
  <c r="A5" i="9"/>
  <c r="D5" i="12" l="1"/>
  <c r="I5" i="12"/>
  <c r="F5" i="12"/>
  <c r="G5" i="12"/>
  <c r="J5" i="12"/>
  <c r="C5" i="12"/>
  <c r="A200" i="12" l="1"/>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201" i="12"/>
  <c r="E5" i="12"/>
  <c r="B5" i="12"/>
  <c r="H7" i="12" l="1"/>
  <c r="H8" i="12"/>
  <c r="H16" i="12"/>
  <c r="H24" i="12"/>
  <c r="H32" i="12"/>
  <c r="H40" i="12"/>
  <c r="H48" i="12"/>
  <c r="H56" i="12"/>
  <c r="H64" i="12"/>
  <c r="H72" i="12"/>
  <c r="H80" i="12"/>
  <c r="H88" i="12"/>
  <c r="H96" i="12"/>
  <c r="H104" i="12"/>
  <c r="H112" i="12"/>
  <c r="H120" i="12"/>
  <c r="H128" i="12"/>
  <c r="H136" i="12"/>
  <c r="H144" i="12"/>
  <c r="H152" i="12"/>
  <c r="H160" i="12"/>
  <c r="H168" i="12"/>
  <c r="H176" i="12"/>
  <c r="H184" i="12"/>
  <c r="H192" i="12"/>
  <c r="H200" i="12"/>
  <c r="H19" i="12"/>
  <c r="H43" i="12"/>
  <c r="H67" i="12"/>
  <c r="H83" i="12"/>
  <c r="H107" i="12"/>
  <c r="H131" i="12"/>
  <c r="H147" i="12"/>
  <c r="H163" i="12"/>
  <c r="H187" i="12"/>
  <c r="H36" i="12"/>
  <c r="H68" i="12"/>
  <c r="H92" i="12"/>
  <c r="H116" i="12"/>
  <c r="H140" i="12"/>
  <c r="H164" i="12"/>
  <c r="H188" i="12"/>
  <c r="H15" i="12"/>
  <c r="H63" i="12"/>
  <c r="H79" i="12"/>
  <c r="H111" i="12"/>
  <c r="H143" i="12"/>
  <c r="H167" i="12"/>
  <c r="H199" i="12"/>
  <c r="H9" i="12"/>
  <c r="H17" i="12"/>
  <c r="H25" i="12"/>
  <c r="H33" i="12"/>
  <c r="H41" i="12"/>
  <c r="H49" i="12"/>
  <c r="H57" i="12"/>
  <c r="H65" i="12"/>
  <c r="H73" i="12"/>
  <c r="H81" i="12"/>
  <c r="H89" i="12"/>
  <c r="H97" i="12"/>
  <c r="H105" i="12"/>
  <c r="H113" i="12"/>
  <c r="H121" i="12"/>
  <c r="H129" i="12"/>
  <c r="H137" i="12"/>
  <c r="H145" i="12"/>
  <c r="H153" i="12"/>
  <c r="H161" i="12"/>
  <c r="H169" i="12"/>
  <c r="H177" i="12"/>
  <c r="H185" i="12"/>
  <c r="H193" i="12"/>
  <c r="H6" i="12"/>
  <c r="H27" i="12"/>
  <c r="H35" i="12"/>
  <c r="H59" i="12"/>
  <c r="H91" i="12"/>
  <c r="H115" i="12"/>
  <c r="H155" i="12"/>
  <c r="H179" i="12"/>
  <c r="H20" i="12"/>
  <c r="H44" i="12"/>
  <c r="H52" i="12"/>
  <c r="H60" i="12"/>
  <c r="H76" i="12"/>
  <c r="H100" i="12"/>
  <c r="H124" i="12"/>
  <c r="H148" i="12"/>
  <c r="H180" i="12"/>
  <c r="H23" i="12"/>
  <c r="H55" i="12"/>
  <c r="H87" i="12"/>
  <c r="H119" i="12"/>
  <c r="H151" i="12"/>
  <c r="H183" i="12"/>
  <c r="H10" i="12"/>
  <c r="H18" i="12"/>
  <c r="H26" i="12"/>
  <c r="H34" i="12"/>
  <c r="H42" i="12"/>
  <c r="H50" i="12"/>
  <c r="H58" i="12"/>
  <c r="H66" i="12"/>
  <c r="H74" i="12"/>
  <c r="H82" i="12"/>
  <c r="H90" i="12"/>
  <c r="H98" i="12"/>
  <c r="H106" i="12"/>
  <c r="H114" i="12"/>
  <c r="H122" i="12"/>
  <c r="H130" i="12"/>
  <c r="H138" i="12"/>
  <c r="H146" i="12"/>
  <c r="H154" i="12"/>
  <c r="H162" i="12"/>
  <c r="H170" i="12"/>
  <c r="H178" i="12"/>
  <c r="H186" i="12"/>
  <c r="H194" i="12"/>
  <c r="H11" i="12"/>
  <c r="H51" i="12"/>
  <c r="H75" i="12"/>
  <c r="H99" i="12"/>
  <c r="H123" i="12"/>
  <c r="H139" i="12"/>
  <c r="H171" i="12"/>
  <c r="H195" i="12"/>
  <c r="H28" i="12"/>
  <c r="H84" i="12"/>
  <c r="H108" i="12"/>
  <c r="H132" i="12"/>
  <c r="H156" i="12"/>
  <c r="H172" i="12"/>
  <c r="H196" i="12"/>
  <c r="H31" i="12"/>
  <c r="H95" i="12"/>
  <c r="H135" i="12"/>
  <c r="H175" i="12"/>
  <c r="H12" i="12"/>
  <c r="H13" i="12"/>
  <c r="H21" i="12"/>
  <c r="H29" i="12"/>
  <c r="H37" i="12"/>
  <c r="H45" i="12"/>
  <c r="H53" i="12"/>
  <c r="H61" i="12"/>
  <c r="H69" i="12"/>
  <c r="H77" i="12"/>
  <c r="H85" i="12"/>
  <c r="H93" i="12"/>
  <c r="H101" i="12"/>
  <c r="H109" i="12"/>
  <c r="H117" i="12"/>
  <c r="H125" i="12"/>
  <c r="H133" i="12"/>
  <c r="H141" i="12"/>
  <c r="H149" i="12"/>
  <c r="H157" i="12"/>
  <c r="H165" i="12"/>
  <c r="H173" i="12"/>
  <c r="H181" i="12"/>
  <c r="H189" i="12"/>
  <c r="H197" i="12"/>
  <c r="H14" i="12"/>
  <c r="H22" i="12"/>
  <c r="H30" i="12"/>
  <c r="H38" i="12"/>
  <c r="H46" i="12"/>
  <c r="H54" i="12"/>
  <c r="H62" i="12"/>
  <c r="H70" i="12"/>
  <c r="H78" i="12"/>
  <c r="H86" i="12"/>
  <c r="H94" i="12"/>
  <c r="H102" i="12"/>
  <c r="H110" i="12"/>
  <c r="H118" i="12"/>
  <c r="H126" i="12"/>
  <c r="H134" i="12"/>
  <c r="H142" i="12"/>
  <c r="H150" i="12"/>
  <c r="H158" i="12"/>
  <c r="H166" i="12"/>
  <c r="H174" i="12"/>
  <c r="H182" i="12"/>
  <c r="H190" i="12"/>
  <c r="H198" i="12"/>
  <c r="H39" i="12"/>
  <c r="H47" i="12"/>
  <c r="H71" i="12"/>
  <c r="H103" i="12"/>
  <c r="H127" i="12"/>
  <c r="H159" i="12"/>
  <c r="H191" i="12"/>
  <c r="D25" i="12"/>
  <c r="F200" i="12"/>
  <c r="D200" i="12"/>
  <c r="F199" i="12"/>
  <c r="D199" i="12"/>
  <c r="F198" i="12"/>
  <c r="D198" i="12"/>
  <c r="F197" i="12"/>
  <c r="D197" i="12"/>
  <c r="F196" i="12"/>
  <c r="D196" i="12"/>
  <c r="F195" i="12"/>
  <c r="D195" i="12"/>
  <c r="F194" i="12"/>
  <c r="D194" i="12"/>
  <c r="F193" i="12"/>
  <c r="D193" i="12"/>
  <c r="F192" i="12"/>
  <c r="D192" i="12"/>
  <c r="F191" i="12"/>
  <c r="D191" i="12"/>
  <c r="F190" i="12"/>
  <c r="D190" i="12"/>
  <c r="F189" i="12"/>
  <c r="D189" i="12"/>
  <c r="F188" i="12"/>
  <c r="D188" i="12"/>
  <c r="F187" i="12"/>
  <c r="D187" i="12"/>
  <c r="F186" i="12"/>
  <c r="D186" i="12"/>
  <c r="F185" i="12"/>
  <c r="D185" i="12"/>
  <c r="F184" i="12"/>
  <c r="D184" i="12"/>
  <c r="F183" i="12"/>
  <c r="D183" i="12"/>
  <c r="F182" i="12"/>
  <c r="D182" i="12"/>
  <c r="F181" i="12"/>
  <c r="D181" i="12"/>
  <c r="F180" i="12"/>
  <c r="D180" i="12"/>
  <c r="F179" i="12"/>
  <c r="D179" i="12"/>
  <c r="J200" i="12"/>
  <c r="C200" i="12"/>
  <c r="J199" i="12"/>
  <c r="C199" i="12"/>
  <c r="J198" i="12"/>
  <c r="C198" i="12"/>
  <c r="J197" i="12"/>
  <c r="C197" i="12"/>
  <c r="J196" i="12"/>
  <c r="C196" i="12"/>
  <c r="J195" i="12"/>
  <c r="C195" i="12"/>
  <c r="J194" i="12"/>
  <c r="C194" i="12"/>
  <c r="J193" i="12"/>
  <c r="C193" i="12"/>
  <c r="J192" i="12"/>
  <c r="C192" i="12"/>
  <c r="J191" i="12"/>
  <c r="C191" i="12"/>
  <c r="J190" i="12"/>
  <c r="C190" i="12"/>
  <c r="J189" i="12"/>
  <c r="C189" i="12"/>
  <c r="J188" i="12"/>
  <c r="C188" i="12"/>
  <c r="J187" i="12"/>
  <c r="C187" i="12"/>
  <c r="J186" i="12"/>
  <c r="C186" i="12"/>
  <c r="J185" i="12"/>
  <c r="C185" i="12"/>
  <c r="J184" i="12"/>
  <c r="C184" i="12"/>
  <c r="J183" i="12"/>
  <c r="C183" i="12"/>
  <c r="J182" i="12"/>
  <c r="C182" i="12"/>
  <c r="J181" i="12"/>
  <c r="C181" i="12"/>
  <c r="J180" i="12"/>
  <c r="C180" i="12"/>
  <c r="J179" i="12"/>
  <c r="C179" i="12"/>
  <c r="I200" i="12"/>
  <c r="I199" i="12"/>
  <c r="I198" i="12"/>
  <c r="I197" i="12"/>
  <c r="I196" i="12"/>
  <c r="I195" i="12"/>
  <c r="I194" i="12"/>
  <c r="I193" i="12"/>
  <c r="I192" i="12"/>
  <c r="I191" i="12"/>
  <c r="I190" i="12"/>
  <c r="I189" i="12"/>
  <c r="I188" i="12"/>
  <c r="I187" i="12"/>
  <c r="I186" i="12"/>
  <c r="I185" i="12"/>
  <c r="I184" i="12"/>
  <c r="I183" i="12"/>
  <c r="I182" i="12"/>
  <c r="I181" i="12"/>
  <c r="I180" i="12"/>
  <c r="I179" i="12"/>
  <c r="J178" i="12"/>
  <c r="C178" i="12"/>
  <c r="J177" i="12"/>
  <c r="C177" i="12"/>
  <c r="J176" i="12"/>
  <c r="C176" i="12"/>
  <c r="J175" i="12"/>
  <c r="C175" i="12"/>
  <c r="J174" i="12"/>
  <c r="C174" i="12"/>
  <c r="J173" i="12"/>
  <c r="C173" i="12"/>
  <c r="J172" i="12"/>
  <c r="C172" i="12"/>
  <c r="J171" i="12"/>
  <c r="C171" i="12"/>
  <c r="J170" i="12"/>
  <c r="C170" i="12"/>
  <c r="J169" i="12"/>
  <c r="C169" i="12"/>
  <c r="J168" i="12"/>
  <c r="C168" i="12"/>
  <c r="J167" i="12"/>
  <c r="C167" i="12"/>
  <c r="J166" i="12"/>
  <c r="C166" i="12"/>
  <c r="J165" i="12"/>
  <c r="C165" i="12"/>
  <c r="J164" i="12"/>
  <c r="C164" i="12"/>
  <c r="J163" i="12"/>
  <c r="C163" i="12"/>
  <c r="J162" i="12"/>
  <c r="C162" i="12"/>
  <c r="J161" i="12"/>
  <c r="C161" i="12"/>
  <c r="J160" i="12"/>
  <c r="C160" i="12"/>
  <c r="J159" i="12"/>
  <c r="C159" i="12"/>
  <c r="J158" i="12"/>
  <c r="C158" i="12"/>
  <c r="J157" i="12"/>
  <c r="C157" i="12"/>
  <c r="J156" i="12"/>
  <c r="C156" i="12"/>
  <c r="J155" i="12"/>
  <c r="C155" i="12"/>
  <c r="J154" i="12"/>
  <c r="C154" i="12"/>
  <c r="J153" i="12"/>
  <c r="C153" i="12"/>
  <c r="J152" i="12"/>
  <c r="C152" i="12"/>
  <c r="J151" i="12"/>
  <c r="C151" i="12"/>
  <c r="J150" i="12"/>
  <c r="C150" i="12"/>
  <c r="J149" i="12"/>
  <c r="C149" i="12"/>
  <c r="J148" i="12"/>
  <c r="C148" i="12"/>
  <c r="J147" i="12"/>
  <c r="C147" i="12"/>
  <c r="J146" i="12"/>
  <c r="C146" i="12"/>
  <c r="J145" i="12"/>
  <c r="C145" i="12"/>
  <c r="J144" i="12"/>
  <c r="C144" i="12"/>
  <c r="J143" i="12"/>
  <c r="C143" i="12"/>
  <c r="J142" i="12"/>
  <c r="C142" i="12"/>
  <c r="J141" i="12"/>
  <c r="C141" i="12"/>
  <c r="J140" i="12"/>
  <c r="C140" i="12"/>
  <c r="J139" i="12"/>
  <c r="C139" i="12"/>
  <c r="J138" i="12"/>
  <c r="C138" i="12"/>
  <c r="J137" i="12"/>
  <c r="C137" i="12"/>
  <c r="J136" i="12"/>
  <c r="C136" i="12"/>
  <c r="J135" i="12"/>
  <c r="C135" i="12"/>
  <c r="J134" i="12"/>
  <c r="C134" i="12"/>
  <c r="J133" i="12"/>
  <c r="C133" i="12"/>
  <c r="J132" i="12"/>
  <c r="C132" i="12"/>
  <c r="J131" i="12"/>
  <c r="C131" i="12"/>
  <c r="J130" i="12"/>
  <c r="C130" i="12"/>
  <c r="J129" i="12"/>
  <c r="C129" i="12"/>
  <c r="J128" i="12"/>
  <c r="C128" i="12"/>
  <c r="J127" i="12"/>
  <c r="C127" i="12"/>
  <c r="J126" i="12"/>
  <c r="C126" i="12"/>
  <c r="J125" i="12"/>
  <c r="C125" i="12"/>
  <c r="J124" i="12"/>
  <c r="C124" i="12"/>
  <c r="J123" i="12"/>
  <c r="C123" i="12"/>
  <c r="J122" i="12"/>
  <c r="C122" i="12"/>
  <c r="J121" i="12"/>
  <c r="C121" i="12"/>
  <c r="J120" i="12"/>
  <c r="C120" i="12"/>
  <c r="J119" i="12"/>
  <c r="C119" i="12"/>
  <c r="J118" i="12"/>
  <c r="C118" i="12"/>
  <c r="J117" i="12"/>
  <c r="C117" i="12"/>
  <c r="J116" i="12"/>
  <c r="C116" i="12"/>
  <c r="J115" i="12"/>
  <c r="C115" i="12"/>
  <c r="J114" i="12"/>
  <c r="C114" i="12"/>
  <c r="J113" i="12"/>
  <c r="C113" i="12"/>
  <c r="J112" i="12"/>
  <c r="C112" i="12"/>
  <c r="J111" i="12"/>
  <c r="C111" i="12"/>
  <c r="J110" i="12"/>
  <c r="C110" i="12"/>
  <c r="J109" i="12"/>
  <c r="C109" i="12"/>
  <c r="J108" i="12"/>
  <c r="C108" i="12"/>
  <c r="J107" i="12"/>
  <c r="C107" i="12"/>
  <c r="J106" i="12"/>
  <c r="C106" i="12"/>
  <c r="J105" i="12"/>
  <c r="C105" i="12"/>
  <c r="J104" i="12"/>
  <c r="C104" i="12"/>
  <c r="J103" i="12"/>
  <c r="C103" i="12"/>
  <c r="J102" i="12"/>
  <c r="C102" i="12"/>
  <c r="J101" i="12"/>
  <c r="C101" i="12"/>
  <c r="J100" i="12"/>
  <c r="C100" i="12"/>
  <c r="J99" i="12"/>
  <c r="C99" i="12"/>
  <c r="J98" i="12"/>
  <c r="C98" i="12"/>
  <c r="J97" i="12"/>
  <c r="C97" i="12"/>
  <c r="J96" i="12"/>
  <c r="C96" i="12"/>
  <c r="J95" i="12"/>
  <c r="C95" i="12"/>
  <c r="J94" i="12"/>
  <c r="C94" i="12"/>
  <c r="J93" i="12"/>
  <c r="C93" i="12"/>
  <c r="J92" i="12"/>
  <c r="C92" i="12"/>
  <c r="J91" i="12"/>
  <c r="C91" i="12"/>
  <c r="J90" i="12"/>
  <c r="C90" i="12"/>
  <c r="J89" i="12"/>
  <c r="C89" i="12"/>
  <c r="J88" i="12"/>
  <c r="C88" i="12"/>
  <c r="J87" i="12"/>
  <c r="C87" i="12"/>
  <c r="J86" i="12"/>
  <c r="C86" i="12"/>
  <c r="J85" i="12"/>
  <c r="C85" i="12"/>
  <c r="J84" i="12"/>
  <c r="C84" i="12"/>
  <c r="J83" i="12"/>
  <c r="C83" i="12"/>
  <c r="J82" i="12"/>
  <c r="C82" i="12"/>
  <c r="J81" i="12"/>
  <c r="C81" i="12"/>
  <c r="J80" i="12"/>
  <c r="C80" i="12"/>
  <c r="J79" i="12"/>
  <c r="C79" i="12"/>
  <c r="J78" i="12"/>
  <c r="C78" i="12"/>
  <c r="J77" i="12"/>
  <c r="C77" i="12"/>
  <c r="J76" i="12"/>
  <c r="C76" i="12"/>
  <c r="J75" i="12"/>
  <c r="C75" i="12"/>
  <c r="J74" i="12"/>
  <c r="C74" i="12"/>
  <c r="J73" i="12"/>
  <c r="C73" i="12"/>
  <c r="J72" i="12"/>
  <c r="C72" i="12"/>
  <c r="J71" i="12"/>
  <c r="C71" i="12"/>
  <c r="J70" i="12"/>
  <c r="C70" i="12"/>
  <c r="J69" i="12"/>
  <c r="C69" i="12"/>
  <c r="J68" i="12"/>
  <c r="C68" i="12"/>
  <c r="J67" i="12"/>
  <c r="C67" i="12"/>
  <c r="J66" i="12"/>
  <c r="C66" i="12"/>
  <c r="J65" i="12"/>
  <c r="C65" i="12"/>
  <c r="J64" i="12"/>
  <c r="C64" i="12"/>
  <c r="J63" i="12"/>
  <c r="C63" i="12"/>
  <c r="J62" i="12"/>
  <c r="C62" i="12"/>
  <c r="J61" i="12"/>
  <c r="C61" i="12"/>
  <c r="J60" i="12"/>
  <c r="C60" i="12"/>
  <c r="J59" i="12"/>
  <c r="C59" i="12"/>
  <c r="J58" i="12"/>
  <c r="C58" i="12"/>
  <c r="J57" i="12"/>
  <c r="C57" i="12"/>
  <c r="J56" i="12"/>
  <c r="C56" i="12"/>
  <c r="J55" i="12"/>
  <c r="C55" i="12"/>
  <c r="J54" i="12"/>
  <c r="C54" i="12"/>
  <c r="J53" i="12"/>
  <c r="C53" i="12"/>
  <c r="J52" i="12"/>
  <c r="C52" i="12"/>
  <c r="J51" i="12"/>
  <c r="C51" i="12"/>
  <c r="J50" i="12"/>
  <c r="C50" i="12"/>
  <c r="J49" i="12"/>
  <c r="C49" i="12"/>
  <c r="J48" i="12"/>
  <c r="E178" i="12"/>
  <c r="E177" i="12"/>
  <c r="E176" i="12"/>
  <c r="E175" i="12"/>
  <c r="E174" i="12"/>
  <c r="E173" i="12"/>
  <c r="E172" i="12"/>
  <c r="E171" i="12"/>
  <c r="E170" i="12"/>
  <c r="E169" i="12"/>
  <c r="E168"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G200" i="12"/>
  <c r="G199" i="12"/>
  <c r="G198" i="12"/>
  <c r="G197" i="12"/>
  <c r="G196" i="12"/>
  <c r="G195" i="12"/>
  <c r="G194" i="12"/>
  <c r="G193" i="12"/>
  <c r="G192" i="12"/>
  <c r="G191" i="12"/>
  <c r="G190" i="12"/>
  <c r="G189" i="12"/>
  <c r="G188" i="12"/>
  <c r="G187" i="12"/>
  <c r="G186" i="12"/>
  <c r="G185" i="12"/>
  <c r="G184" i="12"/>
  <c r="G183" i="12"/>
  <c r="G182" i="12"/>
  <c r="G181" i="12"/>
  <c r="G180" i="12"/>
  <c r="G179" i="12"/>
  <c r="G178" i="12"/>
  <c r="I178" i="12"/>
  <c r="G177" i="12"/>
  <c r="I177" i="12"/>
  <c r="G176" i="12"/>
  <c r="I176" i="12"/>
  <c r="G175" i="12"/>
  <c r="I175" i="12"/>
  <c r="G174" i="12"/>
  <c r="I174" i="12"/>
  <c r="G173" i="12"/>
  <c r="I173" i="12"/>
  <c r="G172" i="12"/>
  <c r="I172" i="12"/>
  <c r="G171" i="12"/>
  <c r="I171" i="12"/>
  <c r="G170" i="12"/>
  <c r="I170" i="12"/>
  <c r="G169" i="12"/>
  <c r="I169" i="12"/>
  <c r="G168" i="12"/>
  <c r="I168" i="12"/>
  <c r="G167" i="12"/>
  <c r="I167" i="12"/>
  <c r="G166" i="12"/>
  <c r="I166" i="12"/>
  <c r="G165" i="12"/>
  <c r="I165" i="12"/>
  <c r="G164" i="12"/>
  <c r="I164" i="12"/>
  <c r="G163" i="12"/>
  <c r="I163" i="12"/>
  <c r="G162" i="12"/>
  <c r="I162" i="12"/>
  <c r="G161" i="12"/>
  <c r="I161" i="12"/>
  <c r="G160" i="12"/>
  <c r="I160" i="12"/>
  <c r="G159" i="12"/>
  <c r="I159" i="12"/>
  <c r="G158" i="12"/>
  <c r="I158" i="12"/>
  <c r="G157" i="12"/>
  <c r="I157" i="12"/>
  <c r="G156" i="12"/>
  <c r="I156" i="12"/>
  <c r="G155" i="12"/>
  <c r="I155" i="12"/>
  <c r="G154" i="12"/>
  <c r="I154" i="12"/>
  <c r="G153" i="12"/>
  <c r="I153" i="12"/>
  <c r="G152" i="12"/>
  <c r="I152" i="12"/>
  <c r="G151" i="12"/>
  <c r="I151" i="12"/>
  <c r="G150" i="12"/>
  <c r="I150" i="12"/>
  <c r="G149" i="12"/>
  <c r="I149" i="12"/>
  <c r="G148" i="12"/>
  <c r="I148" i="12"/>
  <c r="G147" i="12"/>
  <c r="I147" i="12"/>
  <c r="G146" i="12"/>
  <c r="I146" i="12"/>
  <c r="G145" i="12"/>
  <c r="I145" i="12"/>
  <c r="G144" i="12"/>
  <c r="I144" i="12"/>
  <c r="G143" i="12"/>
  <c r="I143" i="12"/>
  <c r="G142" i="12"/>
  <c r="I142" i="12"/>
  <c r="G141" i="12"/>
  <c r="I141" i="12"/>
  <c r="G140" i="12"/>
  <c r="I140" i="12"/>
  <c r="G139" i="12"/>
  <c r="I139" i="12"/>
  <c r="G138" i="12"/>
  <c r="I138" i="12"/>
  <c r="G137" i="12"/>
  <c r="I137" i="12"/>
  <c r="G136" i="12"/>
  <c r="I136" i="12"/>
  <c r="G135" i="12"/>
  <c r="I135" i="12"/>
  <c r="G134" i="12"/>
  <c r="I134" i="12"/>
  <c r="G133" i="12"/>
  <c r="I133" i="12"/>
  <c r="G132" i="12"/>
  <c r="I132" i="12"/>
  <c r="G131" i="12"/>
  <c r="I131" i="12"/>
  <c r="G130" i="12"/>
  <c r="I130" i="12"/>
  <c r="G129" i="12"/>
  <c r="I129" i="12"/>
  <c r="G128" i="12"/>
  <c r="I128" i="12"/>
  <c r="G127" i="12"/>
  <c r="I127" i="12"/>
  <c r="G126" i="12"/>
  <c r="I126" i="12"/>
  <c r="G125" i="12"/>
  <c r="I125" i="12"/>
  <c r="G124" i="12"/>
  <c r="I124" i="12"/>
  <c r="G123" i="12"/>
  <c r="I123" i="12"/>
  <c r="G122" i="12"/>
  <c r="I122" i="12"/>
  <c r="G121" i="12"/>
  <c r="I121" i="12"/>
  <c r="G120" i="12"/>
  <c r="I120" i="12"/>
  <c r="G119" i="12"/>
  <c r="I119" i="12"/>
  <c r="G118" i="12"/>
  <c r="I118" i="12"/>
  <c r="G117" i="12"/>
  <c r="I117" i="12"/>
  <c r="G116" i="12"/>
  <c r="I116" i="12"/>
  <c r="G115" i="12"/>
  <c r="I115" i="12"/>
  <c r="G114" i="12"/>
  <c r="I114" i="12"/>
  <c r="G113" i="12"/>
  <c r="I113" i="12"/>
  <c r="G112" i="12"/>
  <c r="I112" i="12"/>
  <c r="G111" i="12"/>
  <c r="I111" i="12"/>
  <c r="G110" i="12"/>
  <c r="I110" i="12"/>
  <c r="G109" i="12"/>
  <c r="I109" i="12"/>
  <c r="G108" i="12"/>
  <c r="I108" i="12"/>
  <c r="G107" i="12"/>
  <c r="I107" i="12"/>
  <c r="G106" i="12"/>
  <c r="I106" i="12"/>
  <c r="G105" i="12"/>
  <c r="I105" i="12"/>
  <c r="G104" i="12"/>
  <c r="I104" i="12"/>
  <c r="G103" i="12"/>
  <c r="I103" i="12"/>
  <c r="G102" i="12"/>
  <c r="I102" i="12"/>
  <c r="G101" i="12"/>
  <c r="I101" i="12"/>
  <c r="G100" i="12"/>
  <c r="I100" i="12"/>
  <c r="G99" i="12"/>
  <c r="I99" i="12"/>
  <c r="G98" i="12"/>
  <c r="I98" i="12"/>
  <c r="G97" i="12"/>
  <c r="I97" i="12"/>
  <c r="G96" i="12"/>
  <c r="I96" i="12"/>
  <c r="G95" i="12"/>
  <c r="I95" i="12"/>
  <c r="G94" i="12"/>
  <c r="I94" i="12"/>
  <c r="G93" i="12"/>
  <c r="I93" i="12"/>
  <c r="G92" i="12"/>
  <c r="I92" i="12"/>
  <c r="G91" i="12"/>
  <c r="I91" i="12"/>
  <c r="G90" i="12"/>
  <c r="I90" i="12"/>
  <c r="G89" i="12"/>
  <c r="I89" i="12"/>
  <c r="G88" i="12"/>
  <c r="I88" i="12"/>
  <c r="G87" i="12"/>
  <c r="I87" i="12"/>
  <c r="G86" i="12"/>
  <c r="I86" i="12"/>
  <c r="G85" i="12"/>
  <c r="I85" i="12"/>
  <c r="G84" i="12"/>
  <c r="I84" i="12"/>
  <c r="G83" i="12"/>
  <c r="I83" i="12"/>
  <c r="G82" i="12"/>
  <c r="I82" i="12"/>
  <c r="G81" i="12"/>
  <c r="I81" i="12"/>
  <c r="G80" i="12"/>
  <c r="I80" i="12"/>
  <c r="G79" i="12"/>
  <c r="I79" i="12"/>
  <c r="G78" i="12"/>
  <c r="I78" i="12"/>
  <c r="G77" i="12"/>
  <c r="I77" i="12"/>
  <c r="G76" i="12"/>
  <c r="I76" i="12"/>
  <c r="G75" i="12"/>
  <c r="I75" i="12"/>
  <c r="G74" i="12"/>
  <c r="I74" i="12"/>
  <c r="G73" i="12"/>
  <c r="I73" i="12"/>
  <c r="G72" i="12"/>
  <c r="I72" i="12"/>
  <c r="G71" i="12"/>
  <c r="I71" i="12"/>
  <c r="G70" i="12"/>
  <c r="I70" i="12"/>
  <c r="G69" i="12"/>
  <c r="I69" i="12"/>
  <c r="G68" i="12"/>
  <c r="I68" i="12"/>
  <c r="G67" i="12"/>
  <c r="I67" i="12"/>
  <c r="G66" i="12"/>
  <c r="I66" i="12"/>
  <c r="G65" i="12"/>
  <c r="I65" i="12"/>
  <c r="G64" i="12"/>
  <c r="I64" i="12"/>
  <c r="G63" i="12"/>
  <c r="I63" i="12"/>
  <c r="G62" i="12"/>
  <c r="I62" i="12"/>
  <c r="G61" i="12"/>
  <c r="I61" i="12"/>
  <c r="G60" i="12"/>
  <c r="I60" i="12"/>
  <c r="G59" i="12"/>
  <c r="I59" i="12"/>
  <c r="G58" i="12"/>
  <c r="I58" i="12"/>
  <c r="G57" i="12"/>
  <c r="I57" i="12"/>
  <c r="G56" i="12"/>
  <c r="I56" i="12"/>
  <c r="G55" i="12"/>
  <c r="I55" i="12"/>
  <c r="G54" i="12"/>
  <c r="I54" i="12"/>
  <c r="G53" i="12"/>
  <c r="I53" i="12"/>
  <c r="G52" i="12"/>
  <c r="I52" i="12"/>
  <c r="G51" i="12"/>
  <c r="I51" i="12"/>
  <c r="G50" i="12"/>
  <c r="I50" i="12"/>
  <c r="G49" i="12"/>
  <c r="I49" i="12"/>
  <c r="G48" i="12"/>
  <c r="I48" i="12"/>
  <c r="G47" i="12"/>
  <c r="I47" i="12"/>
  <c r="G46" i="12"/>
  <c r="I46" i="12"/>
  <c r="G45" i="12"/>
  <c r="I45" i="12"/>
  <c r="G44" i="12"/>
  <c r="I44" i="12"/>
  <c r="G43" i="12"/>
  <c r="I43" i="12"/>
  <c r="G42" i="12"/>
  <c r="I42" i="12"/>
  <c r="G41" i="12"/>
  <c r="I41" i="12"/>
  <c r="G40" i="12"/>
  <c r="I40" i="12"/>
  <c r="G39" i="12"/>
  <c r="I39" i="12"/>
  <c r="G38" i="12"/>
  <c r="I38" i="12"/>
  <c r="G37" i="12"/>
  <c r="I37" i="12"/>
  <c r="G36" i="12"/>
  <c r="I36" i="12"/>
  <c r="G35" i="12"/>
  <c r="I35" i="12"/>
  <c r="G34" i="12"/>
  <c r="I34" i="12"/>
  <c r="G33" i="12"/>
  <c r="I33" i="12"/>
  <c r="G32" i="12"/>
  <c r="I32" i="12"/>
  <c r="G31" i="12"/>
  <c r="I31" i="12"/>
  <c r="G30" i="12"/>
  <c r="I30" i="12"/>
  <c r="G29" i="12"/>
  <c r="I29" i="12"/>
  <c r="E200" i="12"/>
  <c r="E199" i="12"/>
  <c r="E198" i="12"/>
  <c r="E197" i="12"/>
  <c r="E196" i="12"/>
  <c r="E195" i="12"/>
  <c r="E194" i="12"/>
  <c r="E193" i="12"/>
  <c r="E192" i="12"/>
  <c r="E191" i="12"/>
  <c r="E190" i="12"/>
  <c r="E189" i="12"/>
  <c r="E188" i="12"/>
  <c r="E187" i="12"/>
  <c r="E186" i="12"/>
  <c r="E185" i="12"/>
  <c r="E184" i="12"/>
  <c r="E183" i="12"/>
  <c r="E182" i="12"/>
  <c r="E181" i="12"/>
  <c r="E180" i="12"/>
  <c r="E179" i="12"/>
  <c r="F178" i="12"/>
  <c r="D178" i="12"/>
  <c r="F177" i="12"/>
  <c r="D177" i="12"/>
  <c r="F176" i="12"/>
  <c r="D176" i="12"/>
  <c r="F175" i="12"/>
  <c r="D175" i="12"/>
  <c r="F174" i="12"/>
  <c r="D174" i="12"/>
  <c r="F173" i="12"/>
  <c r="D173" i="12"/>
  <c r="F172" i="12"/>
  <c r="D172" i="12"/>
  <c r="F171" i="12"/>
  <c r="D171" i="12"/>
  <c r="F170" i="12"/>
  <c r="D170" i="12"/>
  <c r="F169" i="12"/>
  <c r="D169" i="12"/>
  <c r="F168" i="12"/>
  <c r="D168" i="12"/>
  <c r="F167" i="12"/>
  <c r="D167" i="12"/>
  <c r="F166" i="12"/>
  <c r="D166" i="12"/>
  <c r="F165" i="12"/>
  <c r="D165" i="12"/>
  <c r="F164" i="12"/>
  <c r="D164" i="12"/>
  <c r="F163" i="12"/>
  <c r="D163" i="12"/>
  <c r="F162" i="12"/>
  <c r="D162" i="12"/>
  <c r="F161" i="12"/>
  <c r="D161" i="12"/>
  <c r="F160" i="12"/>
  <c r="D160" i="12"/>
  <c r="F159" i="12"/>
  <c r="D159" i="12"/>
  <c r="F158" i="12"/>
  <c r="D158" i="12"/>
  <c r="F157" i="12"/>
  <c r="D157" i="12"/>
  <c r="F156" i="12"/>
  <c r="D156" i="12"/>
  <c r="F155" i="12"/>
  <c r="D155" i="12"/>
  <c r="F154" i="12"/>
  <c r="D154" i="12"/>
  <c r="F153" i="12"/>
  <c r="D153" i="12"/>
  <c r="F152" i="12"/>
  <c r="D152" i="12"/>
  <c r="F151" i="12"/>
  <c r="D151" i="12"/>
  <c r="F150" i="12"/>
  <c r="D150" i="12"/>
  <c r="F149" i="12"/>
  <c r="D149" i="12"/>
  <c r="F148" i="12"/>
  <c r="D148" i="12"/>
  <c r="F147" i="12"/>
  <c r="D147" i="12"/>
  <c r="F146" i="12"/>
  <c r="D146" i="12"/>
  <c r="F145" i="12"/>
  <c r="D145" i="12"/>
  <c r="F144" i="12"/>
  <c r="D144" i="12"/>
  <c r="F143" i="12"/>
  <c r="D143" i="12"/>
  <c r="F142" i="12"/>
  <c r="D142" i="12"/>
  <c r="F141" i="12"/>
  <c r="D141" i="12"/>
  <c r="F140" i="12"/>
  <c r="D140" i="12"/>
  <c r="F139" i="12"/>
  <c r="D139" i="12"/>
  <c r="F138" i="12"/>
  <c r="D138" i="12"/>
  <c r="F137" i="12"/>
  <c r="D137" i="12"/>
  <c r="F136" i="12"/>
  <c r="D136" i="12"/>
  <c r="F135" i="12"/>
  <c r="D135" i="12"/>
  <c r="F134" i="12"/>
  <c r="D134" i="12"/>
  <c r="F133" i="12"/>
  <c r="D133" i="12"/>
  <c r="F132" i="12"/>
  <c r="D132" i="12"/>
  <c r="F131" i="12"/>
  <c r="D131" i="12"/>
  <c r="F130" i="12"/>
  <c r="D130" i="12"/>
  <c r="F129" i="12"/>
  <c r="D129" i="12"/>
  <c r="F128" i="12"/>
  <c r="D128" i="12"/>
  <c r="F127" i="12"/>
  <c r="D127" i="12"/>
  <c r="F126" i="12"/>
  <c r="D126" i="12"/>
  <c r="F125" i="12"/>
  <c r="D125" i="12"/>
  <c r="F124" i="12"/>
  <c r="D124" i="12"/>
  <c r="F123" i="12"/>
  <c r="D123" i="12"/>
  <c r="F122" i="12"/>
  <c r="D122" i="12"/>
  <c r="F121" i="12"/>
  <c r="D121" i="12"/>
  <c r="F120" i="12"/>
  <c r="D120" i="12"/>
  <c r="F119" i="12"/>
  <c r="D119" i="12"/>
  <c r="F118" i="12"/>
  <c r="D118" i="12"/>
  <c r="F117" i="12"/>
  <c r="D117" i="12"/>
  <c r="F116" i="12"/>
  <c r="D116" i="12"/>
  <c r="F115" i="12"/>
  <c r="D115" i="12"/>
  <c r="F114" i="12"/>
  <c r="D114" i="12"/>
  <c r="F113" i="12"/>
  <c r="D113" i="12"/>
  <c r="F112" i="12"/>
  <c r="D112" i="12"/>
  <c r="F111" i="12"/>
  <c r="D111" i="12"/>
  <c r="F110" i="12"/>
  <c r="D110" i="12"/>
  <c r="F109" i="12"/>
  <c r="D109" i="12"/>
  <c r="F108" i="12"/>
  <c r="D108" i="12"/>
  <c r="F107" i="12"/>
  <c r="D107" i="12"/>
  <c r="F106" i="12"/>
  <c r="D106" i="12"/>
  <c r="F105" i="12"/>
  <c r="D105" i="12"/>
  <c r="F104" i="12"/>
  <c r="D104" i="12"/>
  <c r="F103" i="12"/>
  <c r="D103" i="12"/>
  <c r="F102" i="12"/>
  <c r="D102" i="12"/>
  <c r="F101" i="12"/>
  <c r="D101" i="12"/>
  <c r="F100" i="12"/>
  <c r="D100" i="12"/>
  <c r="F99" i="12"/>
  <c r="D99" i="12"/>
  <c r="F98" i="12"/>
  <c r="D98" i="12"/>
  <c r="F97" i="12"/>
  <c r="D97" i="12"/>
  <c r="F96" i="12"/>
  <c r="D96" i="12"/>
  <c r="F95" i="12"/>
  <c r="D95" i="12"/>
  <c r="F94" i="12"/>
  <c r="D94" i="12"/>
  <c r="F93" i="12"/>
  <c r="D93" i="12"/>
  <c r="F92" i="12"/>
  <c r="D92" i="12"/>
  <c r="F91" i="12"/>
  <c r="D91" i="12"/>
  <c r="F90" i="12"/>
  <c r="D90" i="12"/>
  <c r="F89" i="12"/>
  <c r="D89" i="12"/>
  <c r="F88" i="12"/>
  <c r="D88" i="12"/>
  <c r="F87" i="12"/>
  <c r="D87" i="12"/>
  <c r="F86" i="12"/>
  <c r="D86" i="12"/>
  <c r="F85" i="12"/>
  <c r="D85" i="12"/>
  <c r="F84" i="12"/>
  <c r="D84" i="12"/>
  <c r="F83" i="12"/>
  <c r="D83" i="12"/>
  <c r="F82" i="12"/>
  <c r="D82" i="12"/>
  <c r="F81" i="12"/>
  <c r="D81" i="12"/>
  <c r="F80" i="12"/>
  <c r="D80" i="12"/>
  <c r="F79" i="12"/>
  <c r="D79" i="12"/>
  <c r="F78" i="12"/>
  <c r="D78" i="12"/>
  <c r="F77" i="12"/>
  <c r="D77" i="12"/>
  <c r="F76" i="12"/>
  <c r="D76" i="12"/>
  <c r="F75" i="12"/>
  <c r="D75" i="12"/>
  <c r="F74" i="12"/>
  <c r="D74" i="12"/>
  <c r="F73" i="12"/>
  <c r="D73" i="12"/>
  <c r="F72" i="12"/>
  <c r="D72" i="12"/>
  <c r="F71" i="12"/>
  <c r="D71" i="12"/>
  <c r="F70" i="12"/>
  <c r="D70" i="12"/>
  <c r="F69" i="12"/>
  <c r="D69" i="12"/>
  <c r="F68" i="12"/>
  <c r="D68" i="12"/>
  <c r="F67" i="12"/>
  <c r="D67" i="12"/>
  <c r="F66" i="12"/>
  <c r="D66" i="12"/>
  <c r="F65" i="12"/>
  <c r="D65" i="12"/>
  <c r="F64" i="12"/>
  <c r="D64" i="12"/>
  <c r="F63" i="12"/>
  <c r="D63" i="12"/>
  <c r="F62" i="12"/>
  <c r="D62" i="12"/>
  <c r="F61" i="12"/>
  <c r="D61" i="12"/>
  <c r="F60" i="12"/>
  <c r="D60" i="12"/>
  <c r="F59" i="12"/>
  <c r="D59" i="12"/>
  <c r="F58" i="12"/>
  <c r="D58" i="12"/>
  <c r="F57" i="12"/>
  <c r="D57" i="12"/>
  <c r="F56" i="12"/>
  <c r="D56" i="12"/>
  <c r="F55" i="12"/>
  <c r="D55" i="12"/>
  <c r="F54" i="12"/>
  <c r="D54" i="12"/>
  <c r="F53" i="12"/>
  <c r="D53" i="12"/>
  <c r="F52" i="12"/>
  <c r="D52" i="12"/>
  <c r="F51" i="12"/>
  <c r="D51" i="12"/>
  <c r="F50" i="12"/>
  <c r="D50" i="12"/>
  <c r="F49" i="12"/>
  <c r="D49" i="12"/>
  <c r="F48" i="12"/>
  <c r="D48" i="12"/>
  <c r="F47" i="12"/>
  <c r="D47" i="12"/>
  <c r="F46" i="12"/>
  <c r="D46" i="12"/>
  <c r="F45" i="12"/>
  <c r="D45" i="12"/>
  <c r="F44" i="12"/>
  <c r="D44" i="12"/>
  <c r="F43" i="12"/>
  <c r="D43" i="12"/>
  <c r="F42" i="12"/>
  <c r="D42" i="12"/>
  <c r="F41" i="12"/>
  <c r="D41" i="12"/>
  <c r="F40" i="12"/>
  <c r="D40" i="12"/>
  <c r="F39" i="12"/>
  <c r="D39" i="12"/>
  <c r="F38" i="12"/>
  <c r="D38" i="12"/>
  <c r="F37" i="12"/>
  <c r="D37" i="12"/>
  <c r="F36" i="12"/>
  <c r="D36" i="12"/>
  <c r="F35" i="12"/>
  <c r="D35" i="12"/>
  <c r="F34" i="12"/>
  <c r="D34" i="12"/>
  <c r="F33" i="12"/>
  <c r="D33" i="12"/>
  <c r="F32" i="12"/>
  <c r="D32" i="12"/>
  <c r="F31" i="12"/>
  <c r="D31" i="12"/>
  <c r="F30" i="12"/>
  <c r="D30" i="12"/>
  <c r="F29" i="12"/>
  <c r="J47" i="12"/>
  <c r="J46" i="12"/>
  <c r="J45" i="12"/>
  <c r="J44" i="12"/>
  <c r="J43" i="12"/>
  <c r="J42" i="12"/>
  <c r="J41" i="12"/>
  <c r="J40" i="12"/>
  <c r="J39" i="12"/>
  <c r="J38" i="12"/>
  <c r="J37" i="12"/>
  <c r="J36" i="12"/>
  <c r="J35" i="12"/>
  <c r="J34" i="12"/>
  <c r="J33" i="12"/>
  <c r="J32" i="12"/>
  <c r="J31" i="12"/>
  <c r="J30" i="12"/>
  <c r="J29" i="12"/>
  <c r="E28" i="12"/>
  <c r="E27" i="12"/>
  <c r="E26" i="12"/>
  <c r="E25" i="12"/>
  <c r="E24" i="12"/>
  <c r="E23" i="12"/>
  <c r="E22" i="12"/>
  <c r="E21" i="12"/>
  <c r="E20" i="12"/>
  <c r="E19" i="12"/>
  <c r="E18" i="12"/>
  <c r="E17" i="12"/>
  <c r="E16" i="12"/>
  <c r="E15" i="12"/>
  <c r="E14" i="12"/>
  <c r="E13" i="12"/>
  <c r="E12" i="12"/>
  <c r="E11" i="12"/>
  <c r="E10" i="12"/>
  <c r="E9" i="12"/>
  <c r="E8" i="12"/>
  <c r="E7" i="12"/>
  <c r="E47" i="12"/>
  <c r="E46" i="12"/>
  <c r="E45" i="12"/>
  <c r="E44" i="12"/>
  <c r="E43" i="12"/>
  <c r="E42" i="12"/>
  <c r="E41" i="12"/>
  <c r="E40" i="12"/>
  <c r="E39" i="12"/>
  <c r="E38" i="12"/>
  <c r="E37" i="12"/>
  <c r="E36" i="12"/>
  <c r="E35" i="12"/>
  <c r="E34" i="12"/>
  <c r="E33" i="12"/>
  <c r="E32" i="12"/>
  <c r="E31" i="12"/>
  <c r="E30" i="12"/>
  <c r="E29" i="12"/>
  <c r="G28" i="12"/>
  <c r="I28" i="12"/>
  <c r="G27" i="12"/>
  <c r="I27" i="12"/>
  <c r="G26" i="12"/>
  <c r="I26" i="12"/>
  <c r="G25" i="12"/>
  <c r="I25" i="12"/>
  <c r="G24" i="12"/>
  <c r="I24" i="12"/>
  <c r="G23" i="12"/>
  <c r="I23" i="12"/>
  <c r="G22" i="12"/>
  <c r="I22" i="12"/>
  <c r="G21" i="12"/>
  <c r="I21" i="12"/>
  <c r="G20" i="12"/>
  <c r="I20" i="12"/>
  <c r="G19" i="12"/>
  <c r="I19" i="12"/>
  <c r="G18" i="12"/>
  <c r="I18" i="12"/>
  <c r="G17" i="12"/>
  <c r="I17" i="12"/>
  <c r="G16" i="12"/>
  <c r="I16" i="12"/>
  <c r="G15" i="12"/>
  <c r="I15" i="12"/>
  <c r="G14" i="12"/>
  <c r="I14" i="12"/>
  <c r="G13" i="12"/>
  <c r="I13" i="12"/>
  <c r="G12" i="12"/>
  <c r="I12" i="12"/>
  <c r="G11" i="12"/>
  <c r="I11" i="12"/>
  <c r="G10" i="12"/>
  <c r="I10" i="12"/>
  <c r="G9" i="12"/>
  <c r="I9" i="12"/>
  <c r="G8" i="12"/>
  <c r="I8" i="12"/>
  <c r="G7" i="12"/>
  <c r="I7" i="12"/>
  <c r="C47" i="12"/>
  <c r="C46" i="12"/>
  <c r="C45" i="12"/>
  <c r="C44" i="12"/>
  <c r="C43" i="12"/>
  <c r="C42" i="12"/>
  <c r="C41" i="12"/>
  <c r="C40" i="12"/>
  <c r="C39" i="12"/>
  <c r="C38" i="12"/>
  <c r="C37" i="12"/>
  <c r="C36" i="12"/>
  <c r="C35" i="12"/>
  <c r="C34" i="12"/>
  <c r="C33" i="12"/>
  <c r="C32" i="12"/>
  <c r="C31" i="12"/>
  <c r="C30" i="12"/>
  <c r="D29" i="12"/>
  <c r="F28" i="12"/>
  <c r="D28" i="12"/>
  <c r="F27" i="12"/>
  <c r="D27" i="12"/>
  <c r="F26" i="12"/>
  <c r="D26" i="12"/>
  <c r="F25" i="12"/>
  <c r="F24" i="12"/>
  <c r="D24" i="12"/>
  <c r="F23" i="12"/>
  <c r="D23" i="12"/>
  <c r="F22" i="12"/>
  <c r="D22" i="12"/>
  <c r="F21" i="12"/>
  <c r="D21" i="12"/>
  <c r="F20" i="12"/>
  <c r="D20" i="12"/>
  <c r="F19" i="12"/>
  <c r="D19" i="12"/>
  <c r="F18" i="12"/>
  <c r="D18" i="12"/>
  <c r="F17" i="12"/>
  <c r="D17" i="12"/>
  <c r="F16" i="12"/>
  <c r="D16" i="12"/>
  <c r="F15" i="12"/>
  <c r="D15" i="12"/>
  <c r="F14" i="12"/>
  <c r="D14" i="12"/>
  <c r="F13" i="12"/>
  <c r="D13" i="12"/>
  <c r="F12" i="12"/>
  <c r="D12" i="12"/>
  <c r="F11" i="12"/>
  <c r="D11" i="12"/>
  <c r="F10" i="12"/>
  <c r="D10" i="12"/>
  <c r="F9" i="12"/>
  <c r="D9" i="12"/>
  <c r="F8" i="12"/>
  <c r="D8" i="12"/>
  <c r="F7" i="12"/>
  <c r="D7" i="12"/>
  <c r="C48" i="12"/>
  <c r="C29" i="12"/>
  <c r="J28" i="12"/>
  <c r="C28" i="12"/>
  <c r="J27" i="12"/>
  <c r="C27" i="12"/>
  <c r="J26" i="12"/>
  <c r="C26" i="12"/>
  <c r="J25" i="12"/>
  <c r="C25" i="12"/>
  <c r="J24" i="12"/>
  <c r="C24" i="12"/>
  <c r="J23" i="12"/>
  <c r="C23" i="12"/>
  <c r="J22" i="12"/>
  <c r="C22" i="12"/>
  <c r="J21" i="12"/>
  <c r="C21" i="12"/>
  <c r="J20" i="12"/>
  <c r="C20" i="12"/>
  <c r="J19" i="12"/>
  <c r="C19" i="12"/>
  <c r="J18" i="12"/>
  <c r="C18" i="12"/>
  <c r="J17" i="12"/>
  <c r="C17" i="12"/>
  <c r="J16" i="12"/>
  <c r="C16" i="12"/>
  <c r="J15" i="12"/>
  <c r="C15" i="12"/>
  <c r="J14" i="12"/>
  <c r="C14" i="12"/>
  <c r="J13" i="12"/>
  <c r="C13" i="12"/>
  <c r="J12" i="12"/>
  <c r="C12" i="12"/>
  <c r="J11" i="12"/>
  <c r="C11" i="12"/>
  <c r="J10" i="12"/>
  <c r="C10" i="12"/>
  <c r="J9" i="12"/>
  <c r="C9" i="12"/>
  <c r="J8" i="12"/>
  <c r="C8" i="12"/>
  <c r="J7" i="12"/>
  <c r="C7" i="12"/>
  <c r="G6" i="12"/>
  <c r="C6" i="12"/>
  <c r="D6" i="12"/>
  <c r="I6" i="12"/>
  <c r="E6" i="12"/>
  <c r="F6" i="12"/>
  <c r="J6"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7" i="12"/>
  <c r="B156" i="12"/>
  <c r="B160" i="12"/>
  <c r="B164" i="12"/>
  <c r="B168" i="12"/>
  <c r="B172" i="12"/>
  <c r="B176" i="12"/>
  <c r="B180" i="12"/>
  <c r="B184" i="12"/>
  <c r="B188" i="12"/>
  <c r="B192" i="12"/>
  <c r="B196" i="12"/>
  <c r="B200" i="12"/>
  <c r="B161" i="12"/>
  <c r="B165" i="12"/>
  <c r="B169" i="12"/>
  <c r="B173" i="12"/>
  <c r="B177" i="12"/>
  <c r="B181" i="12"/>
  <c r="B185" i="12"/>
  <c r="B189" i="12"/>
  <c r="B193" i="12"/>
  <c r="B197" i="12"/>
  <c r="B158" i="12"/>
  <c r="B162" i="12"/>
  <c r="B166" i="12"/>
  <c r="B170" i="12"/>
  <c r="B174" i="12"/>
  <c r="B178" i="12"/>
  <c r="B182" i="12"/>
  <c r="B186" i="12"/>
  <c r="B190" i="12"/>
  <c r="B194" i="12"/>
  <c r="B198" i="12"/>
  <c r="B171" i="12"/>
  <c r="B187" i="12"/>
  <c r="B159" i="12"/>
  <c r="B175" i="12"/>
  <c r="B191" i="12"/>
  <c r="B163" i="12"/>
  <c r="B179" i="12"/>
  <c r="B195" i="12"/>
  <c r="B167" i="12"/>
  <c r="B183" i="12"/>
  <c r="B199" i="12"/>
  <c r="E165" i="1"/>
  <c r="D199" i="1" l="1"/>
  <c r="I199" i="1"/>
  <c r="F199" i="1"/>
  <c r="E66" i="1" l="1"/>
  <c r="E71" i="1" s="1"/>
  <c r="E157" i="1" s="1"/>
  <c r="G199" i="1"/>
  <c r="E149" i="1"/>
  <c r="J199" i="1"/>
  <c r="C199" i="1"/>
  <c r="E77" i="1" l="1"/>
  <c r="A32" i="9"/>
  <c r="A29" i="9"/>
  <c r="A26" i="9"/>
  <c r="A23" i="9"/>
  <c r="A20" i="9"/>
  <c r="A17" i="9"/>
  <c r="A14" i="9"/>
  <c r="A11" i="9"/>
  <c r="A8" i="9"/>
  <c r="A216" i="9" l="1"/>
  <c r="A215" i="9"/>
  <c r="A213" i="9"/>
  <c r="A212" i="9"/>
  <c r="A210" i="9"/>
  <c r="A209" i="9"/>
  <c r="A207" i="9"/>
  <c r="A206" i="9"/>
  <c r="A204" i="9"/>
  <c r="A203" i="9"/>
  <c r="A201" i="9"/>
  <c r="A200" i="9"/>
  <c r="A198" i="9"/>
  <c r="A197" i="9"/>
  <c r="A195" i="9"/>
  <c r="A194" i="9"/>
  <c r="A192" i="9"/>
  <c r="A191" i="9"/>
  <c r="A189" i="9"/>
  <c r="A188" i="9"/>
  <c r="A186" i="9"/>
  <c r="A185" i="9"/>
  <c r="A183" i="9"/>
  <c r="A182" i="9"/>
  <c r="A180" i="9"/>
  <c r="A179" i="9"/>
  <c r="A177" i="9"/>
  <c r="A176" i="9"/>
  <c r="A174" i="9"/>
  <c r="A173" i="9"/>
  <c r="A171" i="9"/>
  <c r="A170" i="9"/>
  <c r="A168" i="9"/>
  <c r="A167" i="9"/>
  <c r="A165" i="9"/>
  <c r="A164" i="9"/>
  <c r="A162" i="9"/>
  <c r="A161" i="9"/>
  <c r="A159" i="9"/>
  <c r="A158" i="9"/>
  <c r="A156" i="9"/>
  <c r="A155" i="9"/>
  <c r="A153" i="9"/>
  <c r="A152" i="9"/>
  <c r="A150" i="9"/>
  <c r="A149" i="9"/>
  <c r="A147" i="9"/>
  <c r="A146" i="9"/>
  <c r="A144" i="9"/>
  <c r="A143" i="9"/>
  <c r="A141" i="9"/>
  <c r="A140" i="9"/>
  <c r="A138" i="9"/>
  <c r="A137" i="9"/>
  <c r="A135" i="9"/>
  <c r="A134" i="9"/>
  <c r="A132" i="9"/>
  <c r="A131" i="9"/>
  <c r="A129" i="9"/>
  <c r="A128" i="9"/>
  <c r="A126" i="9"/>
  <c r="A125" i="9"/>
  <c r="A123" i="9"/>
  <c r="A122" i="9"/>
  <c r="A120" i="9"/>
  <c r="A119" i="9"/>
  <c r="A117" i="9"/>
  <c r="A116" i="9"/>
  <c r="A114" i="9"/>
  <c r="A113" i="9"/>
  <c r="A111" i="9" l="1"/>
  <c r="A110" i="9"/>
  <c r="A108" i="9"/>
  <c r="A107" i="9"/>
  <c r="A105" i="9"/>
  <c r="A104" i="9"/>
  <c r="A102" i="9"/>
  <c r="A101" i="9"/>
  <c r="A99" i="9"/>
  <c r="A98" i="9"/>
  <c r="A96" i="9"/>
  <c r="A95" i="9"/>
  <c r="A93" i="9"/>
  <c r="A92" i="9"/>
  <c r="A90" i="9"/>
  <c r="A89" i="9"/>
  <c r="A87" i="9"/>
  <c r="A86" i="9"/>
  <c r="A84" i="9"/>
  <c r="A83" i="9"/>
  <c r="A81" i="9"/>
  <c r="A80" i="9"/>
  <c r="A78" i="9"/>
  <c r="A77" i="9"/>
  <c r="A75" i="9"/>
  <c r="A74" i="9"/>
  <c r="A72" i="9"/>
  <c r="A71" i="9"/>
  <c r="A69" i="9"/>
  <c r="A68" i="9"/>
  <c r="A66" i="9"/>
  <c r="A65" i="9"/>
  <c r="A63" i="9"/>
  <c r="A62" i="9"/>
  <c r="A60" i="9"/>
  <c r="A59" i="9"/>
  <c r="A57" i="9"/>
  <c r="A56" i="9"/>
  <c r="A54" i="9"/>
  <c r="A53" i="9"/>
  <c r="A51" i="9"/>
  <c r="A50" i="9"/>
  <c r="A48" i="9"/>
  <c r="A47" i="9"/>
  <c r="A45" i="9"/>
  <c r="A44" i="9"/>
  <c r="A42" i="9"/>
  <c r="A41" i="9"/>
  <c r="A39" i="9"/>
  <c r="A38" i="9"/>
  <c r="A36" i="9"/>
  <c r="A35" i="9"/>
  <c r="A33" i="9"/>
  <c r="A30" i="9"/>
  <c r="A27" i="9"/>
  <c r="A24" i="9"/>
  <c r="A21" i="9"/>
  <c r="A18" i="9"/>
  <c r="A15" i="9"/>
  <c r="A12" i="9"/>
  <c r="A9" i="9"/>
  <c r="A6" i="9" l="1"/>
  <c r="C2" i="9" l="1"/>
  <c r="C4" i="9" s="1"/>
  <c r="C3" i="9" l="1"/>
  <c r="D4" i="9"/>
  <c r="E4" i="9" l="1"/>
  <c r="D3" i="9"/>
  <c r="D2" i="9"/>
  <c r="E3" i="9" l="1"/>
  <c r="F4" i="9"/>
  <c r="E2" i="9"/>
  <c r="G4" i="9" l="1"/>
  <c r="F3" i="9"/>
  <c r="F2" i="9"/>
  <c r="G3" i="9" l="1"/>
  <c r="H4" i="9"/>
  <c r="G2" i="9"/>
  <c r="I4" i="9" l="1"/>
  <c r="H2" i="9"/>
  <c r="H3" i="9"/>
  <c r="I3" i="9" l="1"/>
  <c r="J4" i="9"/>
  <c r="I2" i="9"/>
  <c r="K4" i="9" l="1"/>
  <c r="J3" i="9"/>
  <c r="J2" i="9"/>
  <c r="K3" i="9" l="1"/>
  <c r="L4" i="9"/>
  <c r="K2" i="9"/>
  <c r="M4" i="9" l="1"/>
  <c r="L3" i="9"/>
  <c r="L2" i="9"/>
  <c r="M3" i="9" l="1"/>
  <c r="N4" i="9"/>
  <c r="M2" i="9"/>
  <c r="O4" i="9" l="1"/>
  <c r="N3" i="9"/>
  <c r="N2" i="9"/>
  <c r="O3" i="9" l="1"/>
  <c r="P4" i="9"/>
  <c r="O2" i="9"/>
  <c r="Q4" i="9" l="1"/>
  <c r="P2" i="9"/>
  <c r="P3" i="9"/>
  <c r="Q6" i="9" l="1"/>
  <c r="Q216" i="9"/>
  <c r="Q204" i="9"/>
  <c r="Q192" i="9"/>
  <c r="Q180" i="9"/>
  <c r="Q168" i="9"/>
  <c r="Q156" i="9"/>
  <c r="Q144" i="9"/>
  <c r="Q132" i="9"/>
  <c r="Q120" i="9"/>
  <c r="Q108" i="9"/>
  <c r="Q96" i="9"/>
  <c r="Q84" i="9"/>
  <c r="Q72" i="9"/>
  <c r="Q60" i="9"/>
  <c r="Q48" i="9"/>
  <c r="Q36" i="9"/>
  <c r="Q24" i="9"/>
  <c r="Q12" i="9"/>
  <c r="Q213" i="9"/>
  <c r="Q201" i="9"/>
  <c r="Q153" i="9"/>
  <c r="Q141" i="9"/>
  <c r="Q105" i="9"/>
  <c r="Q81" i="9"/>
  <c r="Q57" i="9"/>
  <c r="Q45" i="9"/>
  <c r="Q21" i="9"/>
  <c r="Q9" i="9"/>
  <c r="Q189" i="9"/>
  <c r="Q177" i="9"/>
  <c r="Q165" i="9"/>
  <c r="Q129" i="9"/>
  <c r="Q117" i="9"/>
  <c r="Q93" i="9"/>
  <c r="Q69" i="9"/>
  <c r="Q33" i="9"/>
  <c r="Q207" i="9"/>
  <c r="Q183" i="9"/>
  <c r="Q159" i="9"/>
  <c r="Q135" i="9"/>
  <c r="Q111" i="9"/>
  <c r="Q87" i="9"/>
  <c r="Q63" i="9"/>
  <c r="Q39" i="9"/>
  <c r="Q15" i="9"/>
  <c r="Q210" i="9"/>
  <c r="Q198" i="9"/>
  <c r="Q186" i="9"/>
  <c r="Q174" i="9"/>
  <c r="Q162" i="9"/>
  <c r="Q150" i="9"/>
  <c r="Q138" i="9"/>
  <c r="Q126" i="9"/>
  <c r="Q114" i="9"/>
  <c r="Q102" i="9"/>
  <c r="Q90" i="9"/>
  <c r="Q78" i="9"/>
  <c r="Q66" i="9"/>
  <c r="Q54" i="9"/>
  <c r="Q42" i="9"/>
  <c r="Q30" i="9"/>
  <c r="Q18" i="9"/>
  <c r="Q195" i="9"/>
  <c r="Q171" i="9"/>
  <c r="Q147" i="9"/>
  <c r="Q123" i="9"/>
  <c r="Q99" i="9"/>
  <c r="Q75" i="9"/>
  <c r="Q51" i="9"/>
  <c r="Q27" i="9"/>
  <c r="Q3" i="9"/>
  <c r="R4" i="9"/>
  <c r="R6" i="9" s="1"/>
  <c r="Q2" i="9"/>
  <c r="R210" i="9" l="1"/>
  <c r="R198" i="9"/>
  <c r="R186" i="9"/>
  <c r="R174" i="9"/>
  <c r="R162" i="9"/>
  <c r="R150" i="9"/>
  <c r="R138" i="9"/>
  <c r="R126" i="9"/>
  <c r="R114" i="9"/>
  <c r="R102" i="9"/>
  <c r="R90" i="9"/>
  <c r="R78" i="9"/>
  <c r="R66" i="9"/>
  <c r="R54" i="9"/>
  <c r="R42" i="9"/>
  <c r="R30" i="9"/>
  <c r="R18" i="9"/>
  <c r="R39" i="9"/>
  <c r="R207" i="9"/>
  <c r="R195" i="9"/>
  <c r="R183" i="9"/>
  <c r="R171" i="9"/>
  <c r="R159" i="9"/>
  <c r="R147" i="9"/>
  <c r="R135" i="9"/>
  <c r="R123" i="9"/>
  <c r="R111" i="9"/>
  <c r="R99" i="9"/>
  <c r="R87" i="9"/>
  <c r="R75" i="9"/>
  <c r="R63" i="9"/>
  <c r="R51" i="9"/>
  <c r="R27" i="9"/>
  <c r="R15" i="9"/>
  <c r="R213" i="9"/>
  <c r="R189" i="9"/>
  <c r="R165" i="9"/>
  <c r="R153" i="9"/>
  <c r="R129" i="9"/>
  <c r="R105" i="9"/>
  <c r="R93" i="9"/>
  <c r="R69" i="9"/>
  <c r="R45" i="9"/>
  <c r="R21" i="9"/>
  <c r="R216" i="9"/>
  <c r="R204" i="9"/>
  <c r="R192" i="9"/>
  <c r="R180" i="9"/>
  <c r="R168" i="9"/>
  <c r="R156" i="9"/>
  <c r="R144" i="9"/>
  <c r="R132" i="9"/>
  <c r="R120" i="9"/>
  <c r="R108" i="9"/>
  <c r="R96" i="9"/>
  <c r="R84" i="9"/>
  <c r="R72" i="9"/>
  <c r="R60" i="9"/>
  <c r="R48" i="9"/>
  <c r="R36" i="9"/>
  <c r="R24" i="9"/>
  <c r="R12" i="9"/>
  <c r="R201" i="9"/>
  <c r="R177" i="9"/>
  <c r="R141" i="9"/>
  <c r="R117" i="9"/>
  <c r="R81" i="9"/>
  <c r="R57" i="9"/>
  <c r="R33" i="9"/>
  <c r="R9" i="9"/>
  <c r="S4" i="9"/>
  <c r="R3" i="9"/>
  <c r="R2" i="9"/>
  <c r="S6" i="9" l="1"/>
  <c r="S216" i="9"/>
  <c r="S204" i="9"/>
  <c r="S192" i="9"/>
  <c r="S180" i="9"/>
  <c r="S168" i="9"/>
  <c r="S156" i="9"/>
  <c r="S144" i="9"/>
  <c r="S132" i="9"/>
  <c r="S120" i="9"/>
  <c r="S108" i="9"/>
  <c r="S96" i="9"/>
  <c r="S84" i="9"/>
  <c r="S72" i="9"/>
  <c r="S60" i="9"/>
  <c r="S48" i="9"/>
  <c r="S36" i="9"/>
  <c r="S24" i="9"/>
  <c r="S12" i="9"/>
  <c r="S213" i="9"/>
  <c r="S201" i="9"/>
  <c r="S189" i="9"/>
  <c r="S177" i="9"/>
  <c r="S165" i="9"/>
  <c r="S153" i="9"/>
  <c r="S141" i="9"/>
  <c r="S129" i="9"/>
  <c r="S117" i="9"/>
  <c r="S105" i="9"/>
  <c r="S93" i="9"/>
  <c r="S81" i="9"/>
  <c r="S69" i="9"/>
  <c r="S57" i="9"/>
  <c r="S45" i="9"/>
  <c r="S33" i="9"/>
  <c r="S21" i="9"/>
  <c r="S9" i="9"/>
  <c r="S207" i="9"/>
  <c r="S183" i="9"/>
  <c r="S159" i="9"/>
  <c r="S135" i="9"/>
  <c r="S111" i="9"/>
  <c r="S87" i="9"/>
  <c r="S75" i="9"/>
  <c r="S51" i="9"/>
  <c r="S27" i="9"/>
  <c r="S210" i="9"/>
  <c r="S198" i="9"/>
  <c r="S186" i="9"/>
  <c r="S174" i="9"/>
  <c r="S162" i="9"/>
  <c r="S150" i="9"/>
  <c r="S138" i="9"/>
  <c r="S126" i="9"/>
  <c r="S114" i="9"/>
  <c r="S102" i="9"/>
  <c r="S90" i="9"/>
  <c r="S78" i="9"/>
  <c r="S66" i="9"/>
  <c r="S54" i="9"/>
  <c r="S42" i="9"/>
  <c r="S30" i="9"/>
  <c r="S18" i="9"/>
  <c r="S195" i="9"/>
  <c r="S171" i="9"/>
  <c r="S147" i="9"/>
  <c r="S123" i="9"/>
  <c r="S99" i="9"/>
  <c r="S63" i="9"/>
  <c r="S39" i="9"/>
  <c r="S15" i="9"/>
  <c r="S3" i="9"/>
  <c r="S2" i="9"/>
  <c r="T4" i="9"/>
  <c r="T213" i="9" l="1"/>
  <c r="T201" i="9"/>
  <c r="T189" i="9"/>
  <c r="T177" i="9"/>
  <c r="T165" i="9"/>
  <c r="T153" i="9"/>
  <c r="T141" i="9"/>
  <c r="T129" i="9"/>
  <c r="T117" i="9"/>
  <c r="T105" i="9"/>
  <c r="T93" i="9"/>
  <c r="T81" i="9"/>
  <c r="T69" i="9"/>
  <c r="T57" i="9"/>
  <c r="T45" i="9"/>
  <c r="T33" i="9"/>
  <c r="T21" i="9"/>
  <c r="T210" i="9"/>
  <c r="T198" i="9"/>
  <c r="T186" i="9"/>
  <c r="T174" i="9"/>
  <c r="T162" i="9"/>
  <c r="T150" i="9"/>
  <c r="T138" i="9"/>
  <c r="T126" i="9"/>
  <c r="T114" i="9"/>
  <c r="T102" i="9"/>
  <c r="T90" i="9"/>
  <c r="T78" i="9"/>
  <c r="T66" i="9"/>
  <c r="T54" i="9"/>
  <c r="T42" i="9"/>
  <c r="T30" i="9"/>
  <c r="T18" i="9"/>
  <c r="T216" i="9"/>
  <c r="T192" i="9"/>
  <c r="T168" i="9"/>
  <c r="T144" i="9"/>
  <c r="T120" i="9"/>
  <c r="T96" i="9"/>
  <c r="T72" i="9"/>
  <c r="T48" i="9"/>
  <c r="T24" i="9"/>
  <c r="T207" i="9"/>
  <c r="T195" i="9"/>
  <c r="T183" i="9"/>
  <c r="T171" i="9"/>
  <c r="T159" i="9"/>
  <c r="T147" i="9"/>
  <c r="T135" i="9"/>
  <c r="T123" i="9"/>
  <c r="T111" i="9"/>
  <c r="T99" i="9"/>
  <c r="T87" i="9"/>
  <c r="T75" i="9"/>
  <c r="T63" i="9"/>
  <c r="T51" i="9"/>
  <c r="T39" i="9"/>
  <c r="T27" i="9"/>
  <c r="T15" i="9"/>
  <c r="T204" i="9"/>
  <c r="T180" i="9"/>
  <c r="T156" i="9"/>
  <c r="T132" i="9"/>
  <c r="T108" i="9"/>
  <c r="T84" i="9"/>
  <c r="T60" i="9"/>
  <c r="T36" i="9"/>
  <c r="T12" i="9"/>
  <c r="T6" i="9"/>
  <c r="T9" i="9"/>
  <c r="U4" i="9"/>
  <c r="T3" i="9"/>
  <c r="T2" i="9"/>
  <c r="U6" i="9" l="1"/>
  <c r="U207" i="9"/>
  <c r="U195" i="9"/>
  <c r="U183" i="9"/>
  <c r="U171" i="9"/>
  <c r="U159" i="9"/>
  <c r="U147" i="9"/>
  <c r="U135" i="9"/>
  <c r="U123" i="9"/>
  <c r="U111" i="9"/>
  <c r="U99" i="9"/>
  <c r="U87" i="9"/>
  <c r="U75" i="9"/>
  <c r="U63" i="9"/>
  <c r="U51" i="9"/>
  <c r="U39" i="9"/>
  <c r="U27" i="9"/>
  <c r="U15" i="9"/>
  <c r="U216" i="9"/>
  <c r="U204" i="9"/>
  <c r="U192" i="9"/>
  <c r="U180" i="9"/>
  <c r="U168" i="9"/>
  <c r="U156" i="9"/>
  <c r="U144" i="9"/>
  <c r="U132" i="9"/>
  <c r="U120" i="9"/>
  <c r="U108" i="9"/>
  <c r="U96" i="9"/>
  <c r="U84" i="9"/>
  <c r="U72" i="9"/>
  <c r="U60" i="9"/>
  <c r="U48" i="9"/>
  <c r="U36" i="9"/>
  <c r="U24" i="9"/>
  <c r="U12" i="9"/>
  <c r="U210" i="9"/>
  <c r="U186" i="9"/>
  <c r="U150" i="9"/>
  <c r="U114" i="9"/>
  <c r="U90" i="9"/>
  <c r="U66" i="9"/>
  <c r="U42" i="9"/>
  <c r="U30" i="9"/>
  <c r="U213" i="9"/>
  <c r="U201" i="9"/>
  <c r="U189" i="9"/>
  <c r="U177" i="9"/>
  <c r="U165" i="9"/>
  <c r="U153" i="9"/>
  <c r="U141" i="9"/>
  <c r="U129" i="9"/>
  <c r="U117" i="9"/>
  <c r="U105" i="9"/>
  <c r="U93" i="9"/>
  <c r="U81" i="9"/>
  <c r="U69" i="9"/>
  <c r="U57" i="9"/>
  <c r="U45" i="9"/>
  <c r="U33" i="9"/>
  <c r="U21" i="9"/>
  <c r="U9" i="9"/>
  <c r="U198" i="9"/>
  <c r="U174" i="9"/>
  <c r="U162" i="9"/>
  <c r="U138" i="9"/>
  <c r="U126" i="9"/>
  <c r="U102" i="9"/>
  <c r="U78" i="9"/>
  <c r="U54" i="9"/>
  <c r="U18" i="9"/>
  <c r="U3" i="9"/>
  <c r="V4" i="9"/>
  <c r="U2" i="9"/>
  <c r="V6" i="9" l="1"/>
  <c r="V213" i="9"/>
  <c r="V201" i="9"/>
  <c r="V189" i="9"/>
  <c r="V177" i="9"/>
  <c r="V165" i="9"/>
  <c r="V153" i="9"/>
  <c r="V141" i="9"/>
  <c r="V129" i="9"/>
  <c r="V117" i="9"/>
  <c r="V105" i="9"/>
  <c r="V93" i="9"/>
  <c r="V81" i="9"/>
  <c r="V69" i="9"/>
  <c r="V57" i="9"/>
  <c r="V45" i="9"/>
  <c r="V33" i="9"/>
  <c r="V21" i="9"/>
  <c r="V9" i="9"/>
  <c r="V210" i="9"/>
  <c r="V198" i="9"/>
  <c r="V186" i="9"/>
  <c r="V174" i="9"/>
  <c r="V162" i="9"/>
  <c r="V150" i="9"/>
  <c r="V138" i="9"/>
  <c r="V126" i="9"/>
  <c r="V114" i="9"/>
  <c r="V102" i="9"/>
  <c r="V90" i="9"/>
  <c r="V78" i="9"/>
  <c r="V66" i="9"/>
  <c r="V54" i="9"/>
  <c r="V42" i="9"/>
  <c r="V30" i="9"/>
  <c r="V18" i="9"/>
  <c r="V216" i="9"/>
  <c r="V192" i="9"/>
  <c r="V180" i="9"/>
  <c r="V156" i="9"/>
  <c r="V132" i="9"/>
  <c r="V120" i="9"/>
  <c r="V96" i="9"/>
  <c r="V72" i="9"/>
  <c r="V48" i="9"/>
  <c r="V24" i="9"/>
  <c r="V207" i="9"/>
  <c r="V195" i="9"/>
  <c r="V183" i="9"/>
  <c r="V171" i="9"/>
  <c r="V159" i="9"/>
  <c r="V147" i="9"/>
  <c r="V135" i="9"/>
  <c r="V123" i="9"/>
  <c r="V111" i="9"/>
  <c r="V99" i="9"/>
  <c r="V87" i="9"/>
  <c r="V75" i="9"/>
  <c r="V63" i="9"/>
  <c r="V51" i="9"/>
  <c r="V39" i="9"/>
  <c r="V27" i="9"/>
  <c r="V15" i="9"/>
  <c r="V204" i="9"/>
  <c r="V168" i="9"/>
  <c r="V144" i="9"/>
  <c r="V108" i="9"/>
  <c r="V84" i="9"/>
  <c r="V60" i="9"/>
  <c r="V36" i="9"/>
  <c r="V12" i="9"/>
  <c r="W4" i="9"/>
  <c r="V3" i="9"/>
  <c r="V2" i="9"/>
  <c r="W6" i="9" l="1"/>
  <c r="W207" i="9"/>
  <c r="W195" i="9"/>
  <c r="W183" i="9"/>
  <c r="W171" i="9"/>
  <c r="W159" i="9"/>
  <c r="W147" i="9"/>
  <c r="W135" i="9"/>
  <c r="W123" i="9"/>
  <c r="W111" i="9"/>
  <c r="W99" i="9"/>
  <c r="W87" i="9"/>
  <c r="W75" i="9"/>
  <c r="W63" i="9"/>
  <c r="W51" i="9"/>
  <c r="W39" i="9"/>
  <c r="W27" i="9"/>
  <c r="W15" i="9"/>
  <c r="W186" i="9"/>
  <c r="W150" i="9"/>
  <c r="W114" i="9"/>
  <c r="W78" i="9"/>
  <c r="W216" i="9"/>
  <c r="W204" i="9"/>
  <c r="W192" i="9"/>
  <c r="W180" i="9"/>
  <c r="W168" i="9"/>
  <c r="W156" i="9"/>
  <c r="W144" i="9"/>
  <c r="W132" i="9"/>
  <c r="W120" i="9"/>
  <c r="W108" i="9"/>
  <c r="W96" i="9"/>
  <c r="W84" i="9"/>
  <c r="W72" i="9"/>
  <c r="W60" i="9"/>
  <c r="W48" i="9"/>
  <c r="W36" i="9"/>
  <c r="W24" i="9"/>
  <c r="W12" i="9"/>
  <c r="W210" i="9"/>
  <c r="W162" i="9"/>
  <c r="W126" i="9"/>
  <c r="W90" i="9"/>
  <c r="W54" i="9"/>
  <c r="W30" i="9"/>
  <c r="W213" i="9"/>
  <c r="W201" i="9"/>
  <c r="W189" i="9"/>
  <c r="W177" i="9"/>
  <c r="W165" i="9"/>
  <c r="W153" i="9"/>
  <c r="W141" i="9"/>
  <c r="W129" i="9"/>
  <c r="W117" i="9"/>
  <c r="W105" i="9"/>
  <c r="W93" i="9"/>
  <c r="W81" i="9"/>
  <c r="W69" i="9"/>
  <c r="W57" i="9"/>
  <c r="W45" i="9"/>
  <c r="W33" i="9"/>
  <c r="W21" i="9"/>
  <c r="W9" i="9"/>
  <c r="W198" i="9"/>
  <c r="W174" i="9"/>
  <c r="W138" i="9"/>
  <c r="W102" i="9"/>
  <c r="W66" i="9"/>
  <c r="W42" i="9"/>
  <c r="W18" i="9"/>
  <c r="W3" i="9"/>
  <c r="X4" i="9"/>
  <c r="W2" i="9"/>
  <c r="X6" i="9" l="1"/>
  <c r="X213" i="9"/>
  <c r="X201" i="9"/>
  <c r="X189" i="9"/>
  <c r="X177" i="9"/>
  <c r="X165" i="9"/>
  <c r="X153" i="9"/>
  <c r="X141" i="9"/>
  <c r="X129" i="9"/>
  <c r="X117" i="9"/>
  <c r="X105" i="9"/>
  <c r="X93" i="9"/>
  <c r="X81" i="9"/>
  <c r="X69" i="9"/>
  <c r="X57" i="9"/>
  <c r="X45" i="9"/>
  <c r="X33" i="9"/>
  <c r="X21" i="9"/>
  <c r="X9" i="9"/>
  <c r="X180" i="9"/>
  <c r="X144" i="9"/>
  <c r="X108" i="9"/>
  <c r="X72" i="9"/>
  <c r="X48" i="9"/>
  <c r="X12" i="9"/>
  <c r="X210" i="9"/>
  <c r="X198" i="9"/>
  <c r="X186" i="9"/>
  <c r="X174" i="9"/>
  <c r="X162" i="9"/>
  <c r="X150" i="9"/>
  <c r="X138" i="9"/>
  <c r="X126" i="9"/>
  <c r="X114" i="9"/>
  <c r="X102" i="9"/>
  <c r="X90" i="9"/>
  <c r="X78" i="9"/>
  <c r="X66" i="9"/>
  <c r="X54" i="9"/>
  <c r="X42" i="9"/>
  <c r="X30" i="9"/>
  <c r="X18" i="9"/>
  <c r="X204" i="9"/>
  <c r="X156" i="9"/>
  <c r="X120" i="9"/>
  <c r="X84" i="9"/>
  <c r="X36" i="9"/>
  <c r="X207" i="9"/>
  <c r="X195" i="9"/>
  <c r="X183" i="9"/>
  <c r="X171" i="9"/>
  <c r="X159" i="9"/>
  <c r="X147" i="9"/>
  <c r="X135" i="9"/>
  <c r="X123" i="9"/>
  <c r="X111" i="9"/>
  <c r="X99" i="9"/>
  <c r="X87" i="9"/>
  <c r="X75" i="9"/>
  <c r="X63" i="9"/>
  <c r="X51" i="9"/>
  <c r="X39" i="9"/>
  <c r="X27" i="9"/>
  <c r="X15" i="9"/>
  <c r="X216" i="9"/>
  <c r="X192" i="9"/>
  <c r="X168" i="9"/>
  <c r="X132" i="9"/>
  <c r="X96" i="9"/>
  <c r="X60" i="9"/>
  <c r="X24" i="9"/>
  <c r="Y4" i="9"/>
  <c r="X2" i="9"/>
  <c r="X3" i="9"/>
  <c r="Y6" i="9" l="1"/>
  <c r="Y207" i="9"/>
  <c r="Y195" i="9"/>
  <c r="Y183" i="9"/>
  <c r="Y171" i="9"/>
  <c r="Y159" i="9"/>
  <c r="Y147" i="9"/>
  <c r="Y135" i="9"/>
  <c r="Y123" i="9"/>
  <c r="Y111" i="9"/>
  <c r="Y99" i="9"/>
  <c r="Y87" i="9"/>
  <c r="Y75" i="9"/>
  <c r="Y63" i="9"/>
  <c r="Y51" i="9"/>
  <c r="Y39" i="9"/>
  <c r="Y27" i="9"/>
  <c r="Y15" i="9"/>
  <c r="Y198" i="9"/>
  <c r="Y162" i="9"/>
  <c r="Y126" i="9"/>
  <c r="Y90" i="9"/>
  <c r="Y54" i="9"/>
  <c r="Y18" i="9"/>
  <c r="Y216" i="9"/>
  <c r="Y204" i="9"/>
  <c r="Y192" i="9"/>
  <c r="Y180" i="9"/>
  <c r="Y168" i="9"/>
  <c r="Y156" i="9"/>
  <c r="Y144" i="9"/>
  <c r="Y132" i="9"/>
  <c r="Y120" i="9"/>
  <c r="Y108" i="9"/>
  <c r="Y96" i="9"/>
  <c r="Y84" i="9"/>
  <c r="Y72" i="9"/>
  <c r="Y60" i="9"/>
  <c r="Y48" i="9"/>
  <c r="Y36" i="9"/>
  <c r="Y24" i="9"/>
  <c r="Y12" i="9"/>
  <c r="Y210" i="9"/>
  <c r="Y174" i="9"/>
  <c r="Y138" i="9"/>
  <c r="Y102" i="9"/>
  <c r="Y66" i="9"/>
  <c r="Y30" i="9"/>
  <c r="Y213" i="9"/>
  <c r="Y201" i="9"/>
  <c r="Y189" i="9"/>
  <c r="Y177" i="9"/>
  <c r="Y165" i="9"/>
  <c r="Y153" i="9"/>
  <c r="Y141" i="9"/>
  <c r="Y129" i="9"/>
  <c r="Y117" i="9"/>
  <c r="Y105" i="9"/>
  <c r="Y93" i="9"/>
  <c r="Y81" i="9"/>
  <c r="Y69" i="9"/>
  <c r="Y57" i="9"/>
  <c r="Y45" i="9"/>
  <c r="Y33" i="9"/>
  <c r="Y21" i="9"/>
  <c r="Y9" i="9"/>
  <c r="Y186" i="9"/>
  <c r="Y150" i="9"/>
  <c r="Y114" i="9"/>
  <c r="Y78" i="9"/>
  <c r="Y42" i="9"/>
  <c r="Y3" i="9"/>
  <c r="Z4" i="9"/>
  <c r="Y2" i="9"/>
  <c r="Z6" i="9" l="1"/>
  <c r="Z207" i="9"/>
  <c r="Z195" i="9"/>
  <c r="Z183" i="9"/>
  <c r="Z171" i="9"/>
  <c r="Z159" i="9"/>
  <c r="Z147" i="9"/>
  <c r="Z135" i="9"/>
  <c r="Z123" i="9"/>
  <c r="Z111" i="9"/>
  <c r="Z99" i="9"/>
  <c r="Z87" i="9"/>
  <c r="Z75" i="9"/>
  <c r="Z63" i="9"/>
  <c r="Z51" i="9"/>
  <c r="Z39" i="9"/>
  <c r="Z216" i="9"/>
  <c r="Z204" i="9"/>
  <c r="Z192" i="9"/>
  <c r="Z180" i="9"/>
  <c r="Z168" i="9"/>
  <c r="Z156" i="9"/>
  <c r="Z144" i="9"/>
  <c r="Z132" i="9"/>
  <c r="Z120" i="9"/>
  <c r="Z108" i="9"/>
  <c r="Z96" i="9"/>
  <c r="Z84" i="9"/>
  <c r="Z72" i="9"/>
  <c r="Z60" i="9"/>
  <c r="Z48" i="9"/>
  <c r="Z36" i="9"/>
  <c r="Z213" i="9"/>
  <c r="Z201" i="9"/>
  <c r="Z189" i="9"/>
  <c r="Z177" i="9"/>
  <c r="Z165" i="9"/>
  <c r="Z153" i="9"/>
  <c r="Z141" i="9"/>
  <c r="Z129" i="9"/>
  <c r="Z117" i="9"/>
  <c r="Z105" i="9"/>
  <c r="Z93" i="9"/>
  <c r="Z81" i="9"/>
  <c r="Z69" i="9"/>
  <c r="Z57" i="9"/>
  <c r="Z45" i="9"/>
  <c r="Z33" i="9"/>
  <c r="Z186" i="9"/>
  <c r="Z138" i="9"/>
  <c r="Z90" i="9"/>
  <c r="Z42" i="9"/>
  <c r="Z21" i="9"/>
  <c r="Z9" i="9"/>
  <c r="Z150" i="9"/>
  <c r="Z24" i="9"/>
  <c r="Z174" i="9"/>
  <c r="Z126" i="9"/>
  <c r="Z78" i="9"/>
  <c r="Z30" i="9"/>
  <c r="Z18" i="9"/>
  <c r="Z198" i="9"/>
  <c r="Z54" i="9"/>
  <c r="Z210" i="9"/>
  <c r="Z162" i="9"/>
  <c r="Z114" i="9"/>
  <c r="Z66" i="9"/>
  <c r="Z27" i="9"/>
  <c r="Z15" i="9"/>
  <c r="Z102" i="9"/>
  <c r="Z12" i="9"/>
  <c r="AA4" i="9"/>
  <c r="Z2" i="9"/>
  <c r="Z3" i="9"/>
  <c r="AB4" i="9" l="1"/>
  <c r="AA18" i="9"/>
  <c r="AA30" i="9"/>
  <c r="AA42" i="9"/>
  <c r="AA54" i="9"/>
  <c r="AA66" i="9"/>
  <c r="AA78" i="9"/>
  <c r="AA90" i="9"/>
  <c r="AA102" i="9"/>
  <c r="AA114" i="9"/>
  <c r="AA126" i="9"/>
  <c r="AA138" i="9"/>
  <c r="AA150" i="9"/>
  <c r="AA162" i="9"/>
  <c r="AA174" i="9"/>
  <c r="AA186" i="9"/>
  <c r="AA198" i="9"/>
  <c r="AA210" i="9"/>
  <c r="AA21" i="9"/>
  <c r="AA45" i="9"/>
  <c r="AA69" i="9"/>
  <c r="AA105" i="9"/>
  <c r="AA117" i="9"/>
  <c r="AA141" i="9"/>
  <c r="AA153" i="9"/>
  <c r="AA189" i="9"/>
  <c r="AA201" i="9"/>
  <c r="AA213" i="9"/>
  <c r="AA33" i="9"/>
  <c r="AA57" i="9"/>
  <c r="AA81" i="9"/>
  <c r="AA93" i="9"/>
  <c r="AA129" i="9"/>
  <c r="AA165" i="9"/>
  <c r="AA177" i="9"/>
  <c r="AA27" i="9"/>
  <c r="AA39" i="9"/>
  <c r="AA63" i="9"/>
  <c r="AA87" i="9"/>
  <c r="AA111" i="9"/>
  <c r="AA123" i="9"/>
  <c r="AA147" i="9"/>
  <c r="AA171" i="9"/>
  <c r="AA195" i="9"/>
  <c r="AA12" i="9"/>
  <c r="AA24" i="9"/>
  <c r="AA36" i="9"/>
  <c r="AA48" i="9"/>
  <c r="AA60" i="9"/>
  <c r="AA72" i="9"/>
  <c r="AA84" i="9"/>
  <c r="AA96" i="9"/>
  <c r="AA108" i="9"/>
  <c r="AA120" i="9"/>
  <c r="AA132" i="9"/>
  <c r="AA144" i="9"/>
  <c r="AA156" i="9"/>
  <c r="AA168" i="9"/>
  <c r="AA180" i="9"/>
  <c r="AA192" i="9"/>
  <c r="AA204" i="9"/>
  <c r="AA216" i="9"/>
  <c r="AA15" i="9"/>
  <c r="AA51" i="9"/>
  <c r="AA75" i="9"/>
  <c r="AA99" i="9"/>
  <c r="AA135" i="9"/>
  <c r="AA159" i="9"/>
  <c r="AA183" i="9"/>
  <c r="AA207" i="9"/>
  <c r="AA9" i="9"/>
  <c r="AA6" i="9"/>
  <c r="AA3" i="9"/>
  <c r="AA2" i="9"/>
  <c r="AB207" i="9" l="1"/>
  <c r="AB195" i="9"/>
  <c r="AB183" i="9"/>
  <c r="AB171" i="9"/>
  <c r="AB159" i="9"/>
  <c r="AB147" i="9"/>
  <c r="AB135" i="9"/>
  <c r="AB123" i="9"/>
  <c r="AB111" i="9"/>
  <c r="AB99" i="9"/>
  <c r="AB87" i="9"/>
  <c r="AB75" i="9"/>
  <c r="AB63" i="9"/>
  <c r="AB51" i="9"/>
  <c r="AB39" i="9"/>
  <c r="AB27" i="9"/>
  <c r="AB15" i="9"/>
  <c r="AB216" i="9"/>
  <c r="AB204" i="9"/>
  <c r="AB192" i="9"/>
  <c r="AB180" i="9"/>
  <c r="AB168" i="9"/>
  <c r="AB156" i="9"/>
  <c r="AB144" i="9"/>
  <c r="AB132" i="9"/>
  <c r="AB120" i="9"/>
  <c r="AB108" i="9"/>
  <c r="AB96" i="9"/>
  <c r="AB84" i="9"/>
  <c r="AB72" i="9"/>
  <c r="AB60" i="9"/>
  <c r="AB48" i="9"/>
  <c r="AB36" i="9"/>
  <c r="AB24" i="9"/>
  <c r="AB12" i="9"/>
  <c r="AB213" i="9"/>
  <c r="AB201" i="9"/>
  <c r="AB189" i="9"/>
  <c r="AB177" i="9"/>
  <c r="AB165" i="9"/>
  <c r="AB153" i="9"/>
  <c r="AB141" i="9"/>
  <c r="AB129" i="9"/>
  <c r="AB117" i="9"/>
  <c r="AB105" i="9"/>
  <c r="AB93" i="9"/>
  <c r="AB81" i="9"/>
  <c r="AB69" i="9"/>
  <c r="AB57" i="9"/>
  <c r="AB45" i="9"/>
  <c r="AB33" i="9"/>
  <c r="AB21" i="9"/>
  <c r="AB9" i="9"/>
  <c r="AB210" i="9"/>
  <c r="AB162" i="9"/>
  <c r="AB114" i="9"/>
  <c r="AB66" i="9"/>
  <c r="AB18" i="9"/>
  <c r="AB78" i="9"/>
  <c r="AB198" i="9"/>
  <c r="AB150" i="9"/>
  <c r="AB102" i="9"/>
  <c r="AB54" i="9"/>
  <c r="AB6" i="9"/>
  <c r="AB126" i="9"/>
  <c r="AB186" i="9"/>
  <c r="AB138" i="9"/>
  <c r="AB90" i="9"/>
  <c r="AB42" i="9"/>
  <c r="AB174" i="9"/>
  <c r="AB30" i="9"/>
  <c r="E166" i="1" l="1"/>
  <c r="A6" i="2"/>
  <c r="A7" i="2" l="1"/>
  <c r="A8" i="2" s="1"/>
  <c r="A9" i="2" l="1"/>
  <c r="A10" i="2" s="1"/>
  <c r="A13" i="4" l="1"/>
  <c r="AM13" i="4" s="1"/>
  <c r="AN13" i="4" l="1"/>
  <c r="AV13" i="4"/>
  <c r="BD13" i="4"/>
  <c r="BL13" i="4"/>
  <c r="BT13" i="4"/>
  <c r="CB13" i="4"/>
  <c r="AF13" i="4"/>
  <c r="AO13" i="4"/>
  <c r="AW13" i="4"/>
  <c r="BE13" i="4"/>
  <c r="BM13" i="4"/>
  <c r="BU13" i="4"/>
  <c r="CC13" i="4"/>
  <c r="AG13" i="4"/>
  <c r="AP13" i="4"/>
  <c r="AX13" i="4"/>
  <c r="BF13" i="4"/>
  <c r="BN13" i="4"/>
  <c r="BV13" i="4"/>
  <c r="AH13" i="4"/>
  <c r="AQ13" i="4"/>
  <c r="AY13" i="4"/>
  <c r="BG13" i="4"/>
  <c r="BO13" i="4"/>
  <c r="BW13" i="4"/>
  <c r="AI13" i="4"/>
  <c r="AR13" i="4"/>
  <c r="AZ13" i="4"/>
  <c r="BH13" i="4"/>
  <c r="BP13" i="4"/>
  <c r="BX13" i="4"/>
  <c r="AJ13" i="4"/>
  <c r="AS13" i="4"/>
  <c r="BA13" i="4"/>
  <c r="BI13" i="4"/>
  <c r="BQ13" i="4"/>
  <c r="BY13" i="4"/>
  <c r="AK13" i="4"/>
  <c r="AT13" i="4"/>
  <c r="BB13" i="4"/>
  <c r="BJ13" i="4"/>
  <c r="BR13" i="4"/>
  <c r="BZ13" i="4"/>
  <c r="BC13" i="4"/>
  <c r="BS13" i="4"/>
  <c r="CA13" i="4"/>
  <c r="AL13" i="4"/>
  <c r="AU13" i="4"/>
  <c r="BK13" i="4"/>
  <c r="AC13" i="4"/>
  <c r="V13" i="4"/>
  <c r="AD13" i="4"/>
  <c r="W13" i="4"/>
  <c r="AE13" i="4"/>
  <c r="X13" i="4"/>
  <c r="Y13" i="4"/>
  <c r="Z13" i="4"/>
  <c r="AA13" i="4"/>
  <c r="T13" i="4"/>
  <c r="AB13" i="4"/>
  <c r="Q13" i="4"/>
  <c r="R13" i="4"/>
  <c r="S13" i="4"/>
  <c r="U13" i="4"/>
  <c r="E13" i="4"/>
  <c r="M13" i="4"/>
  <c r="G13" i="4"/>
  <c r="H13" i="4"/>
  <c r="I13" i="4"/>
  <c r="J13" i="4"/>
  <c r="C13" i="4"/>
  <c r="K13" i="4"/>
  <c r="D13" i="4"/>
  <c r="L13" i="4"/>
  <c r="F13" i="4"/>
  <c r="N13" i="4"/>
  <c r="A14" i="4"/>
  <c r="AM14" i="4" s="1"/>
  <c r="AL14" i="4" l="1"/>
  <c r="AU14" i="4"/>
  <c r="BC14" i="4"/>
  <c r="BK14" i="4"/>
  <c r="BS14" i="4"/>
  <c r="CA14" i="4"/>
  <c r="AN14" i="4"/>
  <c r="AV14" i="4"/>
  <c r="BD14" i="4"/>
  <c r="BL14" i="4"/>
  <c r="BT14" i="4"/>
  <c r="CB14" i="4"/>
  <c r="AF14" i="4"/>
  <c r="AO14" i="4"/>
  <c r="AW14" i="4"/>
  <c r="BE14" i="4"/>
  <c r="BM14" i="4"/>
  <c r="BU14" i="4"/>
  <c r="CC14" i="4"/>
  <c r="AG14" i="4"/>
  <c r="AP14" i="4"/>
  <c r="AX14" i="4"/>
  <c r="BF14" i="4"/>
  <c r="BN14" i="4"/>
  <c r="BV14" i="4"/>
  <c r="AH14" i="4"/>
  <c r="AQ14" i="4"/>
  <c r="AY14" i="4"/>
  <c r="BG14" i="4"/>
  <c r="BO14" i="4"/>
  <c r="BW14" i="4"/>
  <c r="AI14" i="4"/>
  <c r="AR14" i="4"/>
  <c r="AZ14" i="4"/>
  <c r="BH14" i="4"/>
  <c r="BP14" i="4"/>
  <c r="BX14" i="4"/>
  <c r="AJ14" i="4"/>
  <c r="AS14" i="4"/>
  <c r="BA14" i="4"/>
  <c r="BI14" i="4"/>
  <c r="BQ14" i="4"/>
  <c r="BY14" i="4"/>
  <c r="BR14" i="4"/>
  <c r="AT14" i="4"/>
  <c r="BB14" i="4"/>
  <c r="AK14" i="4"/>
  <c r="BJ14" i="4"/>
  <c r="BZ14" i="4"/>
  <c r="AA14" i="4"/>
  <c r="AB14" i="4"/>
  <c r="AC14" i="4"/>
  <c r="V14" i="4"/>
  <c r="AD14" i="4"/>
  <c r="W14" i="4"/>
  <c r="AE14" i="4"/>
  <c r="X14" i="4"/>
  <c r="Y14" i="4"/>
  <c r="Q14" i="4"/>
  <c r="R14" i="4"/>
  <c r="S14" i="4"/>
  <c r="T14" i="4"/>
  <c r="Z14" i="4"/>
  <c r="U14" i="4"/>
  <c r="O13" i="4"/>
  <c r="B13" i="4"/>
  <c r="P13" i="4"/>
  <c r="I14" i="4"/>
  <c r="C14" i="4"/>
  <c r="K14" i="4"/>
  <c r="D14" i="4"/>
  <c r="L14" i="4"/>
  <c r="E14" i="4"/>
  <c r="M14" i="4"/>
  <c r="F14" i="4"/>
  <c r="N14" i="4"/>
  <c r="G14" i="4"/>
  <c r="H14" i="4"/>
  <c r="J14" i="4"/>
  <c r="A15" i="4"/>
  <c r="AM15" i="4" s="1"/>
  <c r="AK15" i="4" l="1"/>
  <c r="AT15" i="4"/>
  <c r="BB15" i="4"/>
  <c r="BJ15" i="4"/>
  <c r="BR15" i="4"/>
  <c r="BZ15" i="4"/>
  <c r="AL15" i="4"/>
  <c r="AU15" i="4"/>
  <c r="BC15" i="4"/>
  <c r="BK15" i="4"/>
  <c r="BS15" i="4"/>
  <c r="CA15" i="4"/>
  <c r="AN15" i="4"/>
  <c r="AV15" i="4"/>
  <c r="BD15" i="4"/>
  <c r="BL15" i="4"/>
  <c r="BT15" i="4"/>
  <c r="CB15" i="4"/>
  <c r="AF15" i="4"/>
  <c r="AO15" i="4"/>
  <c r="AW15" i="4"/>
  <c r="BE15" i="4"/>
  <c r="BM15" i="4"/>
  <c r="BU15" i="4"/>
  <c r="CC15" i="4"/>
  <c r="AG15" i="4"/>
  <c r="AP15" i="4"/>
  <c r="AX15" i="4"/>
  <c r="BF15" i="4"/>
  <c r="BN15" i="4"/>
  <c r="BV15" i="4"/>
  <c r="AH15" i="4"/>
  <c r="AQ15" i="4"/>
  <c r="AY15" i="4"/>
  <c r="BG15" i="4"/>
  <c r="BO15" i="4"/>
  <c r="BW15" i="4"/>
  <c r="AI15" i="4"/>
  <c r="AR15" i="4"/>
  <c r="AZ15" i="4"/>
  <c r="BH15" i="4"/>
  <c r="BP15" i="4"/>
  <c r="BX15" i="4"/>
  <c r="AJ15" i="4"/>
  <c r="AS15" i="4"/>
  <c r="BI15" i="4"/>
  <c r="BQ15" i="4"/>
  <c r="BY15" i="4"/>
  <c r="BA15" i="4"/>
  <c r="Y15" i="4"/>
  <c r="Z15" i="4"/>
  <c r="AA15" i="4"/>
  <c r="AB15" i="4"/>
  <c r="AC15" i="4"/>
  <c r="V15" i="4"/>
  <c r="AD15" i="4"/>
  <c r="W15" i="4"/>
  <c r="AE15" i="4"/>
  <c r="R15" i="4"/>
  <c r="T15" i="4"/>
  <c r="U15" i="4"/>
  <c r="X15" i="4"/>
  <c r="Q15" i="4"/>
  <c r="S15" i="4"/>
  <c r="O14" i="4"/>
  <c r="P14" i="4"/>
  <c r="B14" i="4"/>
  <c r="D15" i="4"/>
  <c r="L15" i="4"/>
  <c r="F15" i="4"/>
  <c r="N15" i="4"/>
  <c r="G15" i="4"/>
  <c r="H15" i="4"/>
  <c r="I15" i="4"/>
  <c r="J15" i="4"/>
  <c r="C15" i="4"/>
  <c r="K15" i="4"/>
  <c r="M15" i="4"/>
  <c r="E15" i="4"/>
  <c r="P11" i="4"/>
  <c r="O11" i="4"/>
  <c r="A16" i="4"/>
  <c r="AM16" i="4" s="1"/>
  <c r="B15" i="4" l="1"/>
  <c r="AJ16" i="4"/>
  <c r="AS16" i="4"/>
  <c r="BA16" i="4"/>
  <c r="BI16" i="4"/>
  <c r="BQ16" i="4"/>
  <c r="BY16" i="4"/>
  <c r="AK16" i="4"/>
  <c r="AT16" i="4"/>
  <c r="BB16" i="4"/>
  <c r="BJ16" i="4"/>
  <c r="BR16" i="4"/>
  <c r="BZ16" i="4"/>
  <c r="AL16" i="4"/>
  <c r="AU16" i="4"/>
  <c r="BC16" i="4"/>
  <c r="BK16" i="4"/>
  <c r="BS16" i="4"/>
  <c r="CA16" i="4"/>
  <c r="AN16" i="4"/>
  <c r="AV16" i="4"/>
  <c r="BD16" i="4"/>
  <c r="BL16" i="4"/>
  <c r="BT16" i="4"/>
  <c r="CB16" i="4"/>
  <c r="AF16" i="4"/>
  <c r="AO16" i="4"/>
  <c r="AW16" i="4"/>
  <c r="BE16" i="4"/>
  <c r="BM16" i="4"/>
  <c r="BU16" i="4"/>
  <c r="CC16" i="4"/>
  <c r="AG16" i="4"/>
  <c r="AP16" i="4"/>
  <c r="AX16" i="4"/>
  <c r="BF16" i="4"/>
  <c r="BN16" i="4"/>
  <c r="BV16" i="4"/>
  <c r="AH16" i="4"/>
  <c r="AQ16" i="4"/>
  <c r="AY16" i="4"/>
  <c r="BG16" i="4"/>
  <c r="BO16" i="4"/>
  <c r="BW16" i="4"/>
  <c r="AI16" i="4"/>
  <c r="AZ16" i="4"/>
  <c r="BH16" i="4"/>
  <c r="BX16" i="4"/>
  <c r="BP16" i="4"/>
  <c r="AR16" i="4"/>
  <c r="W16" i="4"/>
  <c r="AE16" i="4"/>
  <c r="X16" i="4"/>
  <c r="Y16" i="4"/>
  <c r="Z16" i="4"/>
  <c r="AA16" i="4"/>
  <c r="AB16" i="4"/>
  <c r="AC16" i="4"/>
  <c r="V16" i="4"/>
  <c r="U16" i="4"/>
  <c r="AD16" i="4"/>
  <c r="Q16" i="4"/>
  <c r="R16" i="4"/>
  <c r="S16" i="4"/>
  <c r="T16" i="4"/>
  <c r="P15" i="4"/>
  <c r="O15" i="4"/>
  <c r="F16" i="4"/>
  <c r="N16" i="4"/>
  <c r="H16" i="4"/>
  <c r="I16" i="4"/>
  <c r="J16" i="4"/>
  <c r="C16" i="4"/>
  <c r="K16" i="4"/>
  <c r="D16" i="4"/>
  <c r="L16" i="4"/>
  <c r="E16" i="4"/>
  <c r="M16" i="4"/>
  <c r="G16" i="4"/>
  <c r="A17" i="4"/>
  <c r="AM17" i="4" s="1"/>
  <c r="AI17" i="4" l="1"/>
  <c r="AR17" i="4"/>
  <c r="AZ17" i="4"/>
  <c r="BH17" i="4"/>
  <c r="BP17" i="4"/>
  <c r="BX17" i="4"/>
  <c r="AJ17" i="4"/>
  <c r="AS17" i="4"/>
  <c r="BA17" i="4"/>
  <c r="BI17" i="4"/>
  <c r="BQ17" i="4"/>
  <c r="BY17" i="4"/>
  <c r="AK17" i="4"/>
  <c r="AT17" i="4"/>
  <c r="BB17" i="4"/>
  <c r="BJ17" i="4"/>
  <c r="BR17" i="4"/>
  <c r="BZ17" i="4"/>
  <c r="AL17" i="4"/>
  <c r="AU17" i="4"/>
  <c r="BC17" i="4"/>
  <c r="BK17" i="4"/>
  <c r="BS17" i="4"/>
  <c r="CA17" i="4"/>
  <c r="AN17" i="4"/>
  <c r="AV17" i="4"/>
  <c r="BD17" i="4"/>
  <c r="BL17" i="4"/>
  <c r="BT17" i="4"/>
  <c r="CB17" i="4"/>
  <c r="AF17" i="4"/>
  <c r="AO17" i="4"/>
  <c r="AW17" i="4"/>
  <c r="BE17" i="4"/>
  <c r="BM17" i="4"/>
  <c r="BU17" i="4"/>
  <c r="CC17" i="4"/>
  <c r="AG17" i="4"/>
  <c r="AP17" i="4"/>
  <c r="AX17" i="4"/>
  <c r="BF17" i="4"/>
  <c r="BN17" i="4"/>
  <c r="BV17" i="4"/>
  <c r="AY17" i="4"/>
  <c r="BO17" i="4"/>
  <c r="BW17" i="4"/>
  <c r="AH17" i="4"/>
  <c r="AQ17" i="4"/>
  <c r="BG17" i="4"/>
  <c r="AC17" i="4"/>
  <c r="V17" i="4"/>
  <c r="AD17" i="4"/>
  <c r="W17" i="4"/>
  <c r="AE17" i="4"/>
  <c r="X17" i="4"/>
  <c r="Y17" i="4"/>
  <c r="Z17" i="4"/>
  <c r="AA17" i="4"/>
  <c r="AB17" i="4"/>
  <c r="R17" i="4"/>
  <c r="S17" i="4"/>
  <c r="T17" i="4"/>
  <c r="U17" i="4"/>
  <c r="Q17" i="4"/>
  <c r="P16" i="4"/>
  <c r="B16" i="4"/>
  <c r="O16" i="4"/>
  <c r="J17" i="4"/>
  <c r="D17" i="4"/>
  <c r="L17" i="4"/>
  <c r="E17" i="4"/>
  <c r="M17" i="4"/>
  <c r="F17" i="4"/>
  <c r="N17" i="4"/>
  <c r="G17" i="4"/>
  <c r="H17" i="4"/>
  <c r="I17" i="4"/>
  <c r="C17" i="4"/>
  <c r="K17" i="4"/>
  <c r="A18" i="4"/>
  <c r="AM18" i="4" s="1"/>
  <c r="B17" i="4" l="1"/>
  <c r="AH18" i="4"/>
  <c r="AQ18" i="4"/>
  <c r="AY18" i="4"/>
  <c r="BG18" i="4"/>
  <c r="BO18" i="4"/>
  <c r="BW18" i="4"/>
  <c r="AI18" i="4"/>
  <c r="AR18" i="4"/>
  <c r="AZ18" i="4"/>
  <c r="BH18" i="4"/>
  <c r="BP18" i="4"/>
  <c r="BX18" i="4"/>
  <c r="AJ18" i="4"/>
  <c r="AS18" i="4"/>
  <c r="BA18" i="4"/>
  <c r="BI18" i="4"/>
  <c r="BQ18" i="4"/>
  <c r="BY18" i="4"/>
  <c r="AK18" i="4"/>
  <c r="AT18" i="4"/>
  <c r="BB18" i="4"/>
  <c r="BJ18" i="4"/>
  <c r="BR18" i="4"/>
  <c r="BZ18" i="4"/>
  <c r="AL18" i="4"/>
  <c r="AU18" i="4"/>
  <c r="BC18" i="4"/>
  <c r="BK18" i="4"/>
  <c r="BS18" i="4"/>
  <c r="CA18" i="4"/>
  <c r="AN18" i="4"/>
  <c r="AV18" i="4"/>
  <c r="BD18" i="4"/>
  <c r="BL18" i="4"/>
  <c r="BT18" i="4"/>
  <c r="CB18" i="4"/>
  <c r="AF18" i="4"/>
  <c r="AO18" i="4"/>
  <c r="AW18" i="4"/>
  <c r="BE18" i="4"/>
  <c r="BM18" i="4"/>
  <c r="BU18" i="4"/>
  <c r="CC18" i="4"/>
  <c r="BN18" i="4"/>
  <c r="AP18" i="4"/>
  <c r="AX18" i="4"/>
  <c r="AG18" i="4"/>
  <c r="BF18" i="4"/>
  <c r="BV18" i="4"/>
  <c r="AA18" i="4"/>
  <c r="AB18" i="4"/>
  <c r="AC18" i="4"/>
  <c r="V18" i="4"/>
  <c r="AD18" i="4"/>
  <c r="W18" i="4"/>
  <c r="AE18" i="4"/>
  <c r="X18" i="4"/>
  <c r="Y18" i="4"/>
  <c r="S18" i="4"/>
  <c r="U18" i="4"/>
  <c r="Z18" i="4"/>
  <c r="Q18" i="4"/>
  <c r="R18" i="4"/>
  <c r="T18" i="4"/>
  <c r="P17" i="4"/>
  <c r="E18" i="4"/>
  <c r="M18" i="4"/>
  <c r="G18" i="4"/>
  <c r="H18" i="4"/>
  <c r="I18" i="4"/>
  <c r="J18" i="4"/>
  <c r="C18" i="4"/>
  <c r="K18" i="4"/>
  <c r="D18" i="4"/>
  <c r="L18" i="4"/>
  <c r="F18" i="4"/>
  <c r="N18" i="4"/>
  <c r="O17" i="4"/>
  <c r="A19" i="4"/>
  <c r="AM19" i="4" s="1"/>
  <c r="AG19" i="4" l="1"/>
  <c r="AP19" i="4"/>
  <c r="AX19" i="4"/>
  <c r="BF19" i="4"/>
  <c r="BN19" i="4"/>
  <c r="BV19" i="4"/>
  <c r="AH19" i="4"/>
  <c r="AQ19" i="4"/>
  <c r="AY19" i="4"/>
  <c r="BG19" i="4"/>
  <c r="BO19" i="4"/>
  <c r="BW19" i="4"/>
  <c r="AI19" i="4"/>
  <c r="AR19" i="4"/>
  <c r="AZ19" i="4"/>
  <c r="BH19" i="4"/>
  <c r="BP19" i="4"/>
  <c r="BX19" i="4"/>
  <c r="AJ19" i="4"/>
  <c r="AS19" i="4"/>
  <c r="BA19" i="4"/>
  <c r="BI19" i="4"/>
  <c r="BQ19" i="4"/>
  <c r="BY19" i="4"/>
  <c r="AK19" i="4"/>
  <c r="AT19" i="4"/>
  <c r="BB19" i="4"/>
  <c r="BJ19" i="4"/>
  <c r="BR19" i="4"/>
  <c r="BZ19" i="4"/>
  <c r="AL19" i="4"/>
  <c r="AU19" i="4"/>
  <c r="BC19" i="4"/>
  <c r="BK19" i="4"/>
  <c r="BS19" i="4"/>
  <c r="CA19" i="4"/>
  <c r="AN19" i="4"/>
  <c r="AV19" i="4"/>
  <c r="BD19" i="4"/>
  <c r="BL19" i="4"/>
  <c r="BT19" i="4"/>
  <c r="CB19" i="4"/>
  <c r="CC19" i="4"/>
  <c r="AF19" i="4"/>
  <c r="AO19" i="4"/>
  <c r="BE19" i="4"/>
  <c r="BM19" i="4"/>
  <c r="AW19" i="4"/>
  <c r="BU19" i="4"/>
  <c r="Y19" i="4"/>
  <c r="Z19" i="4"/>
  <c r="AA19" i="4"/>
  <c r="AB19" i="4"/>
  <c r="AC19" i="4"/>
  <c r="V19" i="4"/>
  <c r="AD19" i="4"/>
  <c r="W19" i="4"/>
  <c r="AE19" i="4"/>
  <c r="Q19" i="4"/>
  <c r="X19" i="4"/>
  <c r="R19" i="4"/>
  <c r="S19" i="4"/>
  <c r="T19" i="4"/>
  <c r="U19" i="4"/>
  <c r="O18" i="4"/>
  <c r="G19" i="4"/>
  <c r="I19" i="4"/>
  <c r="J19" i="4"/>
  <c r="C19" i="4"/>
  <c r="K19" i="4"/>
  <c r="D19" i="4"/>
  <c r="L19" i="4"/>
  <c r="E19" i="4"/>
  <c r="M19" i="4"/>
  <c r="F19" i="4"/>
  <c r="N19" i="4"/>
  <c r="H19" i="4"/>
  <c r="P18" i="4"/>
  <c r="B18" i="4"/>
  <c r="A20" i="4"/>
  <c r="AM20" i="4" s="1"/>
  <c r="AF20" i="4" l="1"/>
  <c r="AO20" i="4"/>
  <c r="AW20" i="4"/>
  <c r="BE20" i="4"/>
  <c r="BM20" i="4"/>
  <c r="BU20" i="4"/>
  <c r="CC20" i="4"/>
  <c r="AG20" i="4"/>
  <c r="AP20" i="4"/>
  <c r="AX20" i="4"/>
  <c r="BF20" i="4"/>
  <c r="BN20" i="4"/>
  <c r="BV20" i="4"/>
  <c r="AH20" i="4"/>
  <c r="AQ20" i="4"/>
  <c r="AY20" i="4"/>
  <c r="BG20" i="4"/>
  <c r="BO20" i="4"/>
  <c r="BW20" i="4"/>
  <c r="AI20" i="4"/>
  <c r="AR20" i="4"/>
  <c r="AZ20" i="4"/>
  <c r="BH20" i="4"/>
  <c r="BP20" i="4"/>
  <c r="BX20" i="4"/>
  <c r="AJ20" i="4"/>
  <c r="AS20" i="4"/>
  <c r="BA20" i="4"/>
  <c r="BI20" i="4"/>
  <c r="BQ20" i="4"/>
  <c r="BY20" i="4"/>
  <c r="AK20" i="4"/>
  <c r="AT20" i="4"/>
  <c r="BB20" i="4"/>
  <c r="BJ20" i="4"/>
  <c r="BR20" i="4"/>
  <c r="BZ20" i="4"/>
  <c r="AL20" i="4"/>
  <c r="AU20" i="4"/>
  <c r="BC20" i="4"/>
  <c r="BK20" i="4"/>
  <c r="BS20" i="4"/>
  <c r="CA20" i="4"/>
  <c r="AV20" i="4"/>
  <c r="BD20" i="4"/>
  <c r="BT20" i="4"/>
  <c r="CB20" i="4"/>
  <c r="AN20" i="4"/>
  <c r="BL20" i="4"/>
  <c r="W20" i="4"/>
  <c r="AE20" i="4"/>
  <c r="X20" i="4"/>
  <c r="Y20" i="4"/>
  <c r="Z20" i="4"/>
  <c r="AA20" i="4"/>
  <c r="AB20" i="4"/>
  <c r="AC20" i="4"/>
  <c r="Q20" i="4"/>
  <c r="S20" i="4"/>
  <c r="T20" i="4"/>
  <c r="U20" i="4"/>
  <c r="V20" i="4"/>
  <c r="AD20" i="4"/>
  <c r="R20" i="4"/>
  <c r="P19" i="4"/>
  <c r="J20" i="4"/>
  <c r="D20" i="4"/>
  <c r="L20" i="4"/>
  <c r="E20" i="4"/>
  <c r="M20" i="4"/>
  <c r="F20" i="4"/>
  <c r="N20" i="4"/>
  <c r="G20" i="4"/>
  <c r="H20" i="4"/>
  <c r="I20" i="4"/>
  <c r="K20" i="4"/>
  <c r="C20" i="4"/>
  <c r="B19" i="4"/>
  <c r="O19" i="4"/>
  <c r="A21" i="4"/>
  <c r="AM21" i="4" s="1"/>
  <c r="AN21" i="4" l="1"/>
  <c r="AV21" i="4"/>
  <c r="BD21" i="4"/>
  <c r="BL21" i="4"/>
  <c r="BT21" i="4"/>
  <c r="CB21" i="4"/>
  <c r="AF21" i="4"/>
  <c r="AO21" i="4"/>
  <c r="AW21" i="4"/>
  <c r="BE21" i="4"/>
  <c r="BM21" i="4"/>
  <c r="BU21" i="4"/>
  <c r="CC21" i="4"/>
  <c r="AG21" i="4"/>
  <c r="AP21" i="4"/>
  <c r="AX21" i="4"/>
  <c r="BF21" i="4"/>
  <c r="BN21" i="4"/>
  <c r="BV21" i="4"/>
  <c r="AH21" i="4"/>
  <c r="AQ21" i="4"/>
  <c r="AY21" i="4"/>
  <c r="BG21" i="4"/>
  <c r="BO21" i="4"/>
  <c r="BW21" i="4"/>
  <c r="AI21" i="4"/>
  <c r="AR21" i="4"/>
  <c r="AZ21" i="4"/>
  <c r="BH21" i="4"/>
  <c r="BP21" i="4"/>
  <c r="BX21" i="4"/>
  <c r="AJ21" i="4"/>
  <c r="AS21" i="4"/>
  <c r="BA21" i="4"/>
  <c r="BI21" i="4"/>
  <c r="BQ21" i="4"/>
  <c r="BY21" i="4"/>
  <c r="AK21" i="4"/>
  <c r="AT21" i="4"/>
  <c r="BB21" i="4"/>
  <c r="BJ21" i="4"/>
  <c r="BR21" i="4"/>
  <c r="BZ21" i="4"/>
  <c r="AU21" i="4"/>
  <c r="BK21" i="4"/>
  <c r="BS21" i="4"/>
  <c r="AL21" i="4"/>
  <c r="BC21" i="4"/>
  <c r="CA21" i="4"/>
  <c r="AC21" i="4"/>
  <c r="V21" i="4"/>
  <c r="AD21" i="4"/>
  <c r="W21" i="4"/>
  <c r="AE21" i="4"/>
  <c r="X21" i="4"/>
  <c r="Y21" i="4"/>
  <c r="Z21" i="4"/>
  <c r="AA21" i="4"/>
  <c r="T21" i="4"/>
  <c r="Q21" i="4"/>
  <c r="R21" i="4"/>
  <c r="AB21" i="4"/>
  <c r="S21" i="4"/>
  <c r="U21" i="4"/>
  <c r="B20" i="4"/>
  <c r="O20" i="4"/>
  <c r="P20" i="4"/>
  <c r="E21" i="4"/>
  <c r="M21" i="4"/>
  <c r="G21" i="4"/>
  <c r="H21" i="4"/>
  <c r="I21" i="4"/>
  <c r="J21" i="4"/>
  <c r="C21" i="4"/>
  <c r="K21" i="4"/>
  <c r="D21" i="4"/>
  <c r="L21" i="4"/>
  <c r="F21" i="4"/>
  <c r="N21" i="4"/>
  <c r="A22" i="4"/>
  <c r="AM22" i="4" s="1"/>
  <c r="AL22" i="4" l="1"/>
  <c r="AU22" i="4"/>
  <c r="BC22" i="4"/>
  <c r="BK22" i="4"/>
  <c r="BS22" i="4"/>
  <c r="CA22" i="4"/>
  <c r="AN22" i="4"/>
  <c r="AV22" i="4"/>
  <c r="BD22" i="4"/>
  <c r="BL22" i="4"/>
  <c r="BT22" i="4"/>
  <c r="CB22" i="4"/>
  <c r="AF22" i="4"/>
  <c r="AO22" i="4"/>
  <c r="AW22" i="4"/>
  <c r="BE22" i="4"/>
  <c r="BM22" i="4"/>
  <c r="BU22" i="4"/>
  <c r="CC22" i="4"/>
  <c r="AG22" i="4"/>
  <c r="AP22" i="4"/>
  <c r="AX22" i="4"/>
  <c r="BF22" i="4"/>
  <c r="BN22" i="4"/>
  <c r="BV22" i="4"/>
  <c r="AH22" i="4"/>
  <c r="AQ22" i="4"/>
  <c r="AY22" i="4"/>
  <c r="BG22" i="4"/>
  <c r="BO22" i="4"/>
  <c r="BW22" i="4"/>
  <c r="AI22" i="4"/>
  <c r="AR22" i="4"/>
  <c r="AZ22" i="4"/>
  <c r="BH22" i="4"/>
  <c r="BP22" i="4"/>
  <c r="BX22" i="4"/>
  <c r="AJ22" i="4"/>
  <c r="AS22" i="4"/>
  <c r="BA22" i="4"/>
  <c r="BI22" i="4"/>
  <c r="BQ22" i="4"/>
  <c r="BY22" i="4"/>
  <c r="BJ22" i="4"/>
  <c r="BZ22" i="4"/>
  <c r="AK22" i="4"/>
  <c r="AT22" i="4"/>
  <c r="BR22" i="4"/>
  <c r="BB22" i="4"/>
  <c r="AA22" i="4"/>
  <c r="AB22" i="4"/>
  <c r="AC22" i="4"/>
  <c r="V22" i="4"/>
  <c r="AD22" i="4"/>
  <c r="W22" i="4"/>
  <c r="AE22" i="4"/>
  <c r="X22" i="4"/>
  <c r="Y22" i="4"/>
  <c r="Z22" i="4"/>
  <c r="Q22" i="4"/>
  <c r="R22" i="4"/>
  <c r="S22" i="4"/>
  <c r="T22" i="4"/>
  <c r="U22" i="4"/>
  <c r="O21" i="4"/>
  <c r="P21" i="4"/>
  <c r="B21" i="4"/>
  <c r="I22" i="4"/>
  <c r="C22" i="4"/>
  <c r="K22" i="4"/>
  <c r="D22" i="4"/>
  <c r="L22" i="4"/>
  <c r="E22" i="4"/>
  <c r="M22" i="4"/>
  <c r="F22" i="4"/>
  <c r="N22" i="4"/>
  <c r="G22" i="4"/>
  <c r="H22" i="4"/>
  <c r="J22" i="4"/>
  <c r="A23" i="4"/>
  <c r="AM23" i="4" s="1"/>
  <c r="AK23" i="4" l="1"/>
  <c r="AT23" i="4"/>
  <c r="BB23" i="4"/>
  <c r="BJ23" i="4"/>
  <c r="BR23" i="4"/>
  <c r="BZ23" i="4"/>
  <c r="AL23" i="4"/>
  <c r="AU23" i="4"/>
  <c r="BC23" i="4"/>
  <c r="BK23" i="4"/>
  <c r="BS23" i="4"/>
  <c r="CA23" i="4"/>
  <c r="AN23" i="4"/>
  <c r="AV23" i="4"/>
  <c r="BD23" i="4"/>
  <c r="BL23" i="4"/>
  <c r="BT23" i="4"/>
  <c r="CB23" i="4"/>
  <c r="AF23" i="4"/>
  <c r="AO23" i="4"/>
  <c r="AW23" i="4"/>
  <c r="BE23" i="4"/>
  <c r="BM23" i="4"/>
  <c r="BU23" i="4"/>
  <c r="CC23" i="4"/>
  <c r="AG23" i="4"/>
  <c r="AP23" i="4"/>
  <c r="AX23" i="4"/>
  <c r="BF23" i="4"/>
  <c r="BN23" i="4"/>
  <c r="BV23" i="4"/>
  <c r="AH23" i="4"/>
  <c r="AQ23" i="4"/>
  <c r="AY23" i="4"/>
  <c r="BG23" i="4"/>
  <c r="BO23" i="4"/>
  <c r="BW23" i="4"/>
  <c r="AI23" i="4"/>
  <c r="AR23" i="4"/>
  <c r="AZ23" i="4"/>
  <c r="BH23" i="4"/>
  <c r="BP23" i="4"/>
  <c r="BX23" i="4"/>
  <c r="BY23" i="4"/>
  <c r="AJ23" i="4"/>
  <c r="BA23" i="4"/>
  <c r="BI23" i="4"/>
  <c r="BQ23" i="4"/>
  <c r="AS23" i="4"/>
  <c r="Y23" i="4"/>
  <c r="Z23" i="4"/>
  <c r="AA23" i="4"/>
  <c r="AB23" i="4"/>
  <c r="AC23" i="4"/>
  <c r="V23" i="4"/>
  <c r="AD23" i="4"/>
  <c r="W23" i="4"/>
  <c r="AE23" i="4"/>
  <c r="R23" i="4"/>
  <c r="X23" i="4"/>
  <c r="T23" i="4"/>
  <c r="U23" i="4"/>
  <c r="Q23" i="4"/>
  <c r="S23" i="4"/>
  <c r="B22" i="4"/>
  <c r="O22" i="4"/>
  <c r="P22" i="4"/>
  <c r="E23" i="4"/>
  <c r="M23" i="4"/>
  <c r="G23" i="4"/>
  <c r="H23" i="4"/>
  <c r="I23" i="4"/>
  <c r="J23" i="4"/>
  <c r="C23" i="4"/>
  <c r="K23" i="4"/>
  <c r="D23" i="4"/>
  <c r="L23" i="4"/>
  <c r="F23" i="4"/>
  <c r="N23" i="4"/>
  <c r="A24" i="4"/>
  <c r="AM24" i="4" s="1"/>
  <c r="AJ24" i="4" l="1"/>
  <c r="AS24" i="4"/>
  <c r="BA24" i="4"/>
  <c r="BI24" i="4"/>
  <c r="AK24" i="4"/>
  <c r="AT24" i="4"/>
  <c r="BB24" i="4"/>
  <c r="AL24" i="4"/>
  <c r="AU24" i="4"/>
  <c r="BC24" i="4"/>
  <c r="BK24" i="4"/>
  <c r="BS24" i="4"/>
  <c r="CA24" i="4"/>
  <c r="AN24" i="4"/>
  <c r="AV24" i="4"/>
  <c r="BD24" i="4"/>
  <c r="BL24" i="4"/>
  <c r="BT24" i="4"/>
  <c r="CB24" i="4"/>
  <c r="AF24" i="4"/>
  <c r="AO24" i="4"/>
  <c r="AW24" i="4"/>
  <c r="BE24" i="4"/>
  <c r="BM24" i="4"/>
  <c r="BU24" i="4"/>
  <c r="CC24" i="4"/>
  <c r="AG24" i="4"/>
  <c r="AP24" i="4"/>
  <c r="AX24" i="4"/>
  <c r="BF24" i="4"/>
  <c r="BN24" i="4"/>
  <c r="BV24" i="4"/>
  <c r="AH24" i="4"/>
  <c r="AQ24" i="4"/>
  <c r="AY24" i="4"/>
  <c r="BG24" i="4"/>
  <c r="BQ24" i="4"/>
  <c r="AR24" i="4"/>
  <c r="BW24" i="4"/>
  <c r="AZ24" i="4"/>
  <c r="BX24" i="4"/>
  <c r="BJ24" i="4"/>
  <c r="BZ24" i="4"/>
  <c r="BO24" i="4"/>
  <c r="AI24" i="4"/>
  <c r="BH24" i="4"/>
  <c r="BP24" i="4"/>
  <c r="BR24" i="4"/>
  <c r="BY24" i="4"/>
  <c r="W24" i="4"/>
  <c r="AE24" i="4"/>
  <c r="X24" i="4"/>
  <c r="Y24" i="4"/>
  <c r="Z24" i="4"/>
  <c r="AA24" i="4"/>
  <c r="AB24" i="4"/>
  <c r="AC24" i="4"/>
  <c r="U24" i="4"/>
  <c r="V24" i="4"/>
  <c r="AD24" i="4"/>
  <c r="Q24" i="4"/>
  <c r="R24" i="4"/>
  <c r="S24" i="4"/>
  <c r="T24" i="4"/>
  <c r="P23" i="4"/>
  <c r="O23" i="4"/>
  <c r="G24" i="4"/>
  <c r="I24" i="4"/>
  <c r="J24" i="4"/>
  <c r="C24" i="4"/>
  <c r="K24" i="4"/>
  <c r="D24" i="4"/>
  <c r="L24" i="4"/>
  <c r="E24" i="4"/>
  <c r="M24" i="4"/>
  <c r="F24" i="4"/>
  <c r="N24" i="4"/>
  <c r="H24" i="4"/>
  <c r="B23" i="4"/>
  <c r="A25" i="4"/>
  <c r="AM25" i="4" s="1"/>
  <c r="AK25" i="4" l="1"/>
  <c r="AT25" i="4"/>
  <c r="BB25" i="4"/>
  <c r="BJ25" i="4"/>
  <c r="BR25" i="4"/>
  <c r="AL25" i="4"/>
  <c r="AU25" i="4"/>
  <c r="BC25" i="4"/>
  <c r="BK25" i="4"/>
  <c r="BS25" i="4"/>
  <c r="AN25" i="4"/>
  <c r="AV25" i="4"/>
  <c r="BD25" i="4"/>
  <c r="BL25" i="4"/>
  <c r="BT25" i="4"/>
  <c r="AF25" i="4"/>
  <c r="AO25" i="4"/>
  <c r="AW25" i="4"/>
  <c r="BE25" i="4"/>
  <c r="BM25" i="4"/>
  <c r="BU25" i="4"/>
  <c r="AI25" i="4"/>
  <c r="AZ25" i="4"/>
  <c r="BP25" i="4"/>
  <c r="CB25" i="4"/>
  <c r="AP25" i="4"/>
  <c r="BF25" i="4"/>
  <c r="BV25" i="4"/>
  <c r="AQ25" i="4"/>
  <c r="BG25" i="4"/>
  <c r="BW25" i="4"/>
  <c r="AS25" i="4"/>
  <c r="BI25" i="4"/>
  <c r="BY25" i="4"/>
  <c r="AG25" i="4"/>
  <c r="AX25" i="4"/>
  <c r="BN25" i="4"/>
  <c r="BZ25" i="4"/>
  <c r="AH25" i="4"/>
  <c r="BX25" i="4"/>
  <c r="AR25" i="4"/>
  <c r="CC25" i="4"/>
  <c r="AY25" i="4"/>
  <c r="BA25" i="4"/>
  <c r="BH25" i="4"/>
  <c r="BO25" i="4"/>
  <c r="AJ25" i="4"/>
  <c r="BQ25" i="4"/>
  <c r="CA25" i="4"/>
  <c r="AC25" i="4"/>
  <c r="V25" i="4"/>
  <c r="AD25" i="4"/>
  <c r="W25" i="4"/>
  <c r="AE25" i="4"/>
  <c r="X25" i="4"/>
  <c r="Y25" i="4"/>
  <c r="Z25" i="4"/>
  <c r="AA25" i="4"/>
  <c r="R25" i="4"/>
  <c r="S25" i="4"/>
  <c r="AB25" i="4"/>
  <c r="T25" i="4"/>
  <c r="U25" i="4"/>
  <c r="Q25" i="4"/>
  <c r="O24" i="4"/>
  <c r="B24" i="4"/>
  <c r="C25" i="4"/>
  <c r="K25" i="4"/>
  <c r="E25" i="4"/>
  <c r="M25" i="4"/>
  <c r="F25" i="4"/>
  <c r="N25" i="4"/>
  <c r="G25" i="4"/>
  <c r="H25" i="4"/>
  <c r="I25" i="4"/>
  <c r="J25" i="4"/>
  <c r="L25" i="4"/>
  <c r="D25" i="4"/>
  <c r="P24" i="4"/>
  <c r="A26" i="4"/>
  <c r="AM26" i="4" s="1"/>
  <c r="AL26" i="4" l="1"/>
  <c r="AU26" i="4"/>
  <c r="BC26" i="4"/>
  <c r="BK26" i="4"/>
  <c r="BS26" i="4"/>
  <c r="CA26" i="4"/>
  <c r="AF26" i="4"/>
  <c r="AO26" i="4"/>
  <c r="AW26" i="4"/>
  <c r="BE26" i="4"/>
  <c r="BM26" i="4"/>
  <c r="BU26" i="4"/>
  <c r="CC26" i="4"/>
  <c r="AG26" i="4"/>
  <c r="AP26" i="4"/>
  <c r="AX26" i="4"/>
  <c r="BF26" i="4"/>
  <c r="BN26" i="4"/>
  <c r="BV26" i="4"/>
  <c r="AI26" i="4"/>
  <c r="AR26" i="4"/>
  <c r="AZ26" i="4"/>
  <c r="BH26" i="4"/>
  <c r="BP26" i="4"/>
  <c r="BX26" i="4"/>
  <c r="AJ26" i="4"/>
  <c r="AS26" i="4"/>
  <c r="BA26" i="4"/>
  <c r="BI26" i="4"/>
  <c r="BQ26" i="4"/>
  <c r="BY26" i="4"/>
  <c r="AV26" i="4"/>
  <c r="BR26" i="4"/>
  <c r="BB26" i="4"/>
  <c r="BW26" i="4"/>
  <c r="AH26" i="4"/>
  <c r="BD26" i="4"/>
  <c r="BZ26" i="4"/>
  <c r="AN26" i="4"/>
  <c r="BJ26" i="4"/>
  <c r="AQ26" i="4"/>
  <c r="BL26" i="4"/>
  <c r="BT26" i="4"/>
  <c r="CB26" i="4"/>
  <c r="AK26" i="4"/>
  <c r="AY26" i="4"/>
  <c r="BG26" i="4"/>
  <c r="AT26" i="4"/>
  <c r="BO26" i="4"/>
  <c r="AA26" i="4"/>
  <c r="AB26" i="4"/>
  <c r="AC26" i="4"/>
  <c r="V26" i="4"/>
  <c r="AD26" i="4"/>
  <c r="W26" i="4"/>
  <c r="AE26" i="4"/>
  <c r="X26" i="4"/>
  <c r="Y26" i="4"/>
  <c r="S26" i="4"/>
  <c r="U26" i="4"/>
  <c r="Z26" i="4"/>
  <c r="Q26" i="4"/>
  <c r="R26" i="4"/>
  <c r="T26" i="4"/>
  <c r="O25" i="4"/>
  <c r="F26" i="4"/>
  <c r="N26" i="4"/>
  <c r="H26" i="4"/>
  <c r="I26" i="4"/>
  <c r="J26" i="4"/>
  <c r="C26" i="4"/>
  <c r="K26" i="4"/>
  <c r="D26" i="4"/>
  <c r="L26" i="4"/>
  <c r="E26" i="4"/>
  <c r="M26" i="4"/>
  <c r="G26" i="4"/>
  <c r="P25" i="4"/>
  <c r="B25" i="4"/>
  <c r="A27" i="4"/>
  <c r="AM27" i="4" s="1"/>
  <c r="AK27" i="4" l="1"/>
  <c r="AT27" i="4"/>
  <c r="BB27" i="4"/>
  <c r="BJ27" i="4"/>
  <c r="BR27" i="4"/>
  <c r="BZ27" i="4"/>
  <c r="AN27" i="4"/>
  <c r="AV27" i="4"/>
  <c r="BD27" i="4"/>
  <c r="BL27" i="4"/>
  <c r="BT27" i="4"/>
  <c r="CB27" i="4"/>
  <c r="AF27" i="4"/>
  <c r="AO27" i="4"/>
  <c r="AW27" i="4"/>
  <c r="BE27" i="4"/>
  <c r="BM27" i="4"/>
  <c r="BU27" i="4"/>
  <c r="CC27" i="4"/>
  <c r="AH27" i="4"/>
  <c r="AQ27" i="4"/>
  <c r="AY27" i="4"/>
  <c r="BG27" i="4"/>
  <c r="BO27" i="4"/>
  <c r="BW27" i="4"/>
  <c r="AI27" i="4"/>
  <c r="AR27" i="4"/>
  <c r="AZ27" i="4"/>
  <c r="BH27" i="4"/>
  <c r="BP27" i="4"/>
  <c r="BX27" i="4"/>
  <c r="AP27" i="4"/>
  <c r="BK27" i="4"/>
  <c r="AU27" i="4"/>
  <c r="BQ27" i="4"/>
  <c r="AX27" i="4"/>
  <c r="BS27" i="4"/>
  <c r="AG27" i="4"/>
  <c r="BC27" i="4"/>
  <c r="BY27" i="4"/>
  <c r="AJ27" i="4"/>
  <c r="BF27" i="4"/>
  <c r="CA27" i="4"/>
  <c r="AL27" i="4"/>
  <c r="AS27" i="4"/>
  <c r="BI27" i="4"/>
  <c r="BN27" i="4"/>
  <c r="BV27" i="4"/>
  <c r="BA27" i="4"/>
  <c r="Y27" i="4"/>
  <c r="Z27" i="4"/>
  <c r="AA27" i="4"/>
  <c r="AB27" i="4"/>
  <c r="AC27" i="4"/>
  <c r="V27" i="4"/>
  <c r="AD27" i="4"/>
  <c r="W27" i="4"/>
  <c r="AE27" i="4"/>
  <c r="Q27" i="4"/>
  <c r="R27" i="4"/>
  <c r="X27" i="4"/>
  <c r="T27" i="4"/>
  <c r="U27" i="4"/>
  <c r="S27" i="4"/>
  <c r="B26" i="4"/>
  <c r="P26" i="4"/>
  <c r="I27" i="4"/>
  <c r="C27" i="4"/>
  <c r="K27" i="4"/>
  <c r="D27" i="4"/>
  <c r="L27" i="4"/>
  <c r="E27" i="4"/>
  <c r="M27" i="4"/>
  <c r="F27" i="4"/>
  <c r="N27" i="4"/>
  <c r="G27" i="4"/>
  <c r="H27" i="4"/>
  <c r="J27" i="4"/>
  <c r="O26" i="4"/>
  <c r="A28" i="4"/>
  <c r="AM28" i="4" s="1"/>
  <c r="AJ28" i="4" l="1"/>
  <c r="AS28" i="4"/>
  <c r="BA28" i="4"/>
  <c r="BI28" i="4"/>
  <c r="BQ28" i="4"/>
  <c r="BY28" i="4"/>
  <c r="AL28" i="4"/>
  <c r="AU28" i="4"/>
  <c r="BC28" i="4"/>
  <c r="BK28" i="4"/>
  <c r="BS28" i="4"/>
  <c r="CA28" i="4"/>
  <c r="AN28" i="4"/>
  <c r="AV28" i="4"/>
  <c r="BD28" i="4"/>
  <c r="BL28" i="4"/>
  <c r="BT28" i="4"/>
  <c r="CB28" i="4"/>
  <c r="AG28" i="4"/>
  <c r="AP28" i="4"/>
  <c r="AX28" i="4"/>
  <c r="BF28" i="4"/>
  <c r="BN28" i="4"/>
  <c r="BV28" i="4"/>
  <c r="AH28" i="4"/>
  <c r="AQ28" i="4"/>
  <c r="AY28" i="4"/>
  <c r="BG28" i="4"/>
  <c r="BO28" i="4"/>
  <c r="BW28" i="4"/>
  <c r="AI28" i="4"/>
  <c r="BE28" i="4"/>
  <c r="BZ28" i="4"/>
  <c r="AO28" i="4"/>
  <c r="BJ28" i="4"/>
  <c r="AR28" i="4"/>
  <c r="BM28" i="4"/>
  <c r="AW28" i="4"/>
  <c r="BR28" i="4"/>
  <c r="AZ28" i="4"/>
  <c r="BU28" i="4"/>
  <c r="AF28" i="4"/>
  <c r="AK28" i="4"/>
  <c r="AT28" i="4"/>
  <c r="BB28" i="4"/>
  <c r="BP28" i="4"/>
  <c r="BX28" i="4"/>
  <c r="BH28" i="4"/>
  <c r="CC28" i="4"/>
  <c r="W28" i="4"/>
  <c r="AE28" i="4"/>
  <c r="X28" i="4"/>
  <c r="Y28" i="4"/>
  <c r="Z28" i="4"/>
  <c r="AA28" i="4"/>
  <c r="AB28" i="4"/>
  <c r="AC28" i="4"/>
  <c r="AD28" i="4"/>
  <c r="Q28" i="4"/>
  <c r="S28" i="4"/>
  <c r="T28" i="4"/>
  <c r="U28" i="4"/>
  <c r="V28" i="4"/>
  <c r="R28" i="4"/>
  <c r="P27" i="4"/>
  <c r="O27" i="4"/>
  <c r="D28" i="4"/>
  <c r="L28" i="4"/>
  <c r="F28" i="4"/>
  <c r="N28" i="4"/>
  <c r="G28" i="4"/>
  <c r="H28" i="4"/>
  <c r="I28" i="4"/>
  <c r="J28" i="4"/>
  <c r="C28" i="4"/>
  <c r="K28" i="4"/>
  <c r="E28" i="4"/>
  <c r="M28" i="4"/>
  <c r="B27" i="4"/>
  <c r="A29" i="4"/>
  <c r="AM29" i="4" s="1"/>
  <c r="B28" i="4" l="1"/>
  <c r="AI29" i="4"/>
  <c r="AR29" i="4"/>
  <c r="AZ29" i="4"/>
  <c r="BH29" i="4"/>
  <c r="BP29" i="4"/>
  <c r="BX29" i="4"/>
  <c r="AK29" i="4"/>
  <c r="AT29" i="4"/>
  <c r="BB29" i="4"/>
  <c r="BJ29" i="4"/>
  <c r="BR29" i="4"/>
  <c r="BZ29" i="4"/>
  <c r="AL29" i="4"/>
  <c r="AU29" i="4"/>
  <c r="BC29" i="4"/>
  <c r="BK29" i="4"/>
  <c r="BS29" i="4"/>
  <c r="CA29" i="4"/>
  <c r="AF29" i="4"/>
  <c r="AO29" i="4"/>
  <c r="AW29" i="4"/>
  <c r="BE29" i="4"/>
  <c r="BM29" i="4"/>
  <c r="BU29" i="4"/>
  <c r="CC29" i="4"/>
  <c r="AG29" i="4"/>
  <c r="AP29" i="4"/>
  <c r="AX29" i="4"/>
  <c r="BF29" i="4"/>
  <c r="BN29" i="4"/>
  <c r="BV29" i="4"/>
  <c r="AY29" i="4"/>
  <c r="BT29" i="4"/>
  <c r="AH29" i="4"/>
  <c r="BD29" i="4"/>
  <c r="BY29" i="4"/>
  <c r="AJ29" i="4"/>
  <c r="BG29" i="4"/>
  <c r="CB29" i="4"/>
  <c r="AQ29" i="4"/>
  <c r="BL29" i="4"/>
  <c r="AS29" i="4"/>
  <c r="BO29" i="4"/>
  <c r="AN29" i="4"/>
  <c r="AV29" i="4"/>
  <c r="BA29" i="4"/>
  <c r="BI29" i="4"/>
  <c r="BW29" i="4"/>
  <c r="BQ29" i="4"/>
  <c r="AC29" i="4"/>
  <c r="W29" i="4"/>
  <c r="AE29" i="4"/>
  <c r="X29" i="4"/>
  <c r="Y29" i="4"/>
  <c r="Z29" i="4"/>
  <c r="AA29" i="4"/>
  <c r="T29" i="4"/>
  <c r="V29" i="4"/>
  <c r="AB29" i="4"/>
  <c r="AD29" i="4"/>
  <c r="R29" i="4"/>
  <c r="S29" i="4"/>
  <c r="Q29" i="4"/>
  <c r="U29" i="4"/>
  <c r="P28" i="4"/>
  <c r="F29" i="4"/>
  <c r="N29" i="4"/>
  <c r="H29" i="4"/>
  <c r="I29" i="4"/>
  <c r="J29" i="4"/>
  <c r="C29" i="4"/>
  <c r="K29" i="4"/>
  <c r="D29" i="4"/>
  <c r="L29" i="4"/>
  <c r="E29" i="4"/>
  <c r="M29" i="4"/>
  <c r="G29" i="4"/>
  <c r="O28" i="4"/>
  <c r="A30" i="4"/>
  <c r="AM30" i="4" s="1"/>
  <c r="AH30" i="4" l="1"/>
  <c r="AQ30" i="4"/>
  <c r="AY30" i="4"/>
  <c r="BG30" i="4"/>
  <c r="BO30" i="4"/>
  <c r="BW30" i="4"/>
  <c r="AJ30" i="4"/>
  <c r="AS30" i="4"/>
  <c r="BA30" i="4"/>
  <c r="BI30" i="4"/>
  <c r="BQ30" i="4"/>
  <c r="BY30" i="4"/>
  <c r="AK30" i="4"/>
  <c r="AT30" i="4"/>
  <c r="BB30" i="4"/>
  <c r="BJ30" i="4"/>
  <c r="BR30" i="4"/>
  <c r="BZ30" i="4"/>
  <c r="AN30" i="4"/>
  <c r="AV30" i="4"/>
  <c r="BD30" i="4"/>
  <c r="BL30" i="4"/>
  <c r="BT30" i="4"/>
  <c r="CB30" i="4"/>
  <c r="AF30" i="4"/>
  <c r="AO30" i="4"/>
  <c r="AW30" i="4"/>
  <c r="BE30" i="4"/>
  <c r="BM30" i="4"/>
  <c r="BU30" i="4"/>
  <c r="CC30" i="4"/>
  <c r="AR30" i="4"/>
  <c r="BN30" i="4"/>
  <c r="AX30" i="4"/>
  <c r="BS30" i="4"/>
  <c r="AZ30" i="4"/>
  <c r="BV30" i="4"/>
  <c r="AI30" i="4"/>
  <c r="BF30" i="4"/>
  <c r="CA30" i="4"/>
  <c r="AL30" i="4"/>
  <c r="BH30" i="4"/>
  <c r="AU30" i="4"/>
  <c r="BC30" i="4"/>
  <c r="BK30" i="4"/>
  <c r="BP30" i="4"/>
  <c r="AG30" i="4"/>
  <c r="AP30" i="4"/>
  <c r="BX30" i="4"/>
  <c r="AA30" i="4"/>
  <c r="AC30" i="4"/>
  <c r="V30" i="4"/>
  <c r="AD30" i="4"/>
  <c r="W30" i="4"/>
  <c r="AE30" i="4"/>
  <c r="X30" i="4"/>
  <c r="Y30" i="4"/>
  <c r="Q30" i="4"/>
  <c r="R30" i="4"/>
  <c r="Z30" i="4"/>
  <c r="S30" i="4"/>
  <c r="AB30" i="4"/>
  <c r="T30" i="4"/>
  <c r="U30" i="4"/>
  <c r="B29" i="4"/>
  <c r="P29" i="4"/>
  <c r="J30" i="4"/>
  <c r="D30" i="4"/>
  <c r="L30" i="4"/>
  <c r="E30" i="4"/>
  <c r="M30" i="4"/>
  <c r="F30" i="4"/>
  <c r="N30" i="4"/>
  <c r="G30" i="4"/>
  <c r="H30" i="4"/>
  <c r="I30" i="4"/>
  <c r="K30" i="4"/>
  <c r="C30" i="4"/>
  <c r="O29" i="4"/>
  <c r="A31" i="4"/>
  <c r="AM31" i="4" s="1"/>
  <c r="AG31" i="4" l="1"/>
  <c r="AP31" i="4"/>
  <c r="AX31" i="4"/>
  <c r="BF31" i="4"/>
  <c r="BN31" i="4"/>
  <c r="BV31" i="4"/>
  <c r="AI31" i="4"/>
  <c r="AR31" i="4"/>
  <c r="AZ31" i="4"/>
  <c r="BH31" i="4"/>
  <c r="BP31" i="4"/>
  <c r="BX31" i="4"/>
  <c r="AJ31" i="4"/>
  <c r="AS31" i="4"/>
  <c r="BA31" i="4"/>
  <c r="BI31" i="4"/>
  <c r="BQ31" i="4"/>
  <c r="BY31" i="4"/>
  <c r="AL31" i="4"/>
  <c r="AU31" i="4"/>
  <c r="BC31" i="4"/>
  <c r="BK31" i="4"/>
  <c r="BS31" i="4"/>
  <c r="CA31" i="4"/>
  <c r="AN31" i="4"/>
  <c r="AV31" i="4"/>
  <c r="BD31" i="4"/>
  <c r="BL31" i="4"/>
  <c r="BT31" i="4"/>
  <c r="CB31" i="4"/>
  <c r="AK31" i="4"/>
  <c r="BG31" i="4"/>
  <c r="CC31" i="4"/>
  <c r="AQ31" i="4"/>
  <c r="BM31" i="4"/>
  <c r="AT31" i="4"/>
  <c r="BO31" i="4"/>
  <c r="AY31" i="4"/>
  <c r="BU31" i="4"/>
  <c r="AF31" i="4"/>
  <c r="BB31" i="4"/>
  <c r="BW31" i="4"/>
  <c r="BE31" i="4"/>
  <c r="BJ31" i="4"/>
  <c r="BR31" i="4"/>
  <c r="BZ31" i="4"/>
  <c r="AH31" i="4"/>
  <c r="AO31" i="4"/>
  <c r="AW31" i="4"/>
  <c r="Y31" i="4"/>
  <c r="AA31" i="4"/>
  <c r="AC31" i="4"/>
  <c r="V31" i="4"/>
  <c r="AD31" i="4"/>
  <c r="W31" i="4"/>
  <c r="AE31" i="4"/>
  <c r="AB31" i="4"/>
  <c r="X31" i="4"/>
  <c r="Z31" i="4"/>
  <c r="Q31" i="4"/>
  <c r="R31" i="4"/>
  <c r="S31" i="4"/>
  <c r="T31" i="4"/>
  <c r="U31" i="4"/>
  <c r="B30" i="4"/>
  <c r="O30" i="4"/>
  <c r="P30" i="4"/>
  <c r="F31" i="4"/>
  <c r="N31" i="4"/>
  <c r="H31" i="4"/>
  <c r="I31" i="4"/>
  <c r="J31" i="4"/>
  <c r="C31" i="4"/>
  <c r="K31" i="4"/>
  <c r="D31" i="4"/>
  <c r="L31" i="4"/>
  <c r="E31" i="4"/>
  <c r="M31" i="4"/>
  <c r="G31" i="4"/>
  <c r="A32" i="4"/>
  <c r="AM32" i="4" s="1"/>
  <c r="AF32" i="4" l="1"/>
  <c r="AO32" i="4"/>
  <c r="AW32" i="4"/>
  <c r="BE32" i="4"/>
  <c r="BM32" i="4"/>
  <c r="BU32" i="4"/>
  <c r="CC32" i="4"/>
  <c r="AH32" i="4"/>
  <c r="AQ32" i="4"/>
  <c r="AY32" i="4"/>
  <c r="BG32" i="4"/>
  <c r="BO32" i="4"/>
  <c r="BW32" i="4"/>
  <c r="AI32" i="4"/>
  <c r="AR32" i="4"/>
  <c r="AZ32" i="4"/>
  <c r="BH32" i="4"/>
  <c r="BP32" i="4"/>
  <c r="BX32" i="4"/>
  <c r="AK32" i="4"/>
  <c r="AT32" i="4"/>
  <c r="BB32" i="4"/>
  <c r="BJ32" i="4"/>
  <c r="BR32" i="4"/>
  <c r="BZ32" i="4"/>
  <c r="AL32" i="4"/>
  <c r="AU32" i="4"/>
  <c r="BC32" i="4"/>
  <c r="BK32" i="4"/>
  <c r="BS32" i="4"/>
  <c r="CA32" i="4"/>
  <c r="BA32" i="4"/>
  <c r="BV32" i="4"/>
  <c r="AJ32" i="4"/>
  <c r="BF32" i="4"/>
  <c r="CB32" i="4"/>
  <c r="AN32" i="4"/>
  <c r="BI32" i="4"/>
  <c r="AS32" i="4"/>
  <c r="BN32" i="4"/>
  <c r="AV32" i="4"/>
  <c r="BQ32" i="4"/>
  <c r="BL32" i="4"/>
  <c r="BT32" i="4"/>
  <c r="BY32" i="4"/>
  <c r="AP32" i="4"/>
  <c r="AX32" i="4"/>
  <c r="BD32" i="4"/>
  <c r="AG32" i="4"/>
  <c r="W32" i="4"/>
  <c r="AE32" i="4"/>
  <c r="Y32" i="4"/>
  <c r="AA32" i="4"/>
  <c r="AB32" i="4"/>
  <c r="AC32" i="4"/>
  <c r="V32" i="4"/>
  <c r="X32" i="4"/>
  <c r="Z32" i="4"/>
  <c r="AD32" i="4"/>
  <c r="T32" i="4"/>
  <c r="U32" i="4"/>
  <c r="Q32" i="4"/>
  <c r="R32" i="4"/>
  <c r="S32" i="4"/>
  <c r="B31" i="4"/>
  <c r="O31" i="4"/>
  <c r="H32" i="4"/>
  <c r="J32" i="4"/>
  <c r="C32" i="4"/>
  <c r="K32" i="4"/>
  <c r="D32" i="4"/>
  <c r="L32" i="4"/>
  <c r="E32" i="4"/>
  <c r="M32" i="4"/>
  <c r="F32" i="4"/>
  <c r="N32" i="4"/>
  <c r="G32" i="4"/>
  <c r="I32" i="4"/>
  <c r="P31" i="4"/>
  <c r="A33" i="4"/>
  <c r="AM33" i="4" s="1"/>
  <c r="AN33" i="4" l="1"/>
  <c r="AV33" i="4"/>
  <c r="BD33" i="4"/>
  <c r="BL33" i="4"/>
  <c r="BT33" i="4"/>
  <c r="CB33" i="4"/>
  <c r="AG33" i="4"/>
  <c r="AP33" i="4"/>
  <c r="AX33" i="4"/>
  <c r="BF33" i="4"/>
  <c r="BN33" i="4"/>
  <c r="BV33" i="4"/>
  <c r="AH33" i="4"/>
  <c r="AQ33" i="4"/>
  <c r="AY33" i="4"/>
  <c r="BG33" i="4"/>
  <c r="BO33" i="4"/>
  <c r="BW33" i="4"/>
  <c r="AJ33" i="4"/>
  <c r="AS33" i="4"/>
  <c r="BA33" i="4"/>
  <c r="BI33" i="4"/>
  <c r="BQ33" i="4"/>
  <c r="BY33" i="4"/>
  <c r="AK33" i="4"/>
  <c r="AT33" i="4"/>
  <c r="BB33" i="4"/>
  <c r="BJ33" i="4"/>
  <c r="BR33" i="4"/>
  <c r="BZ33" i="4"/>
  <c r="AU33" i="4"/>
  <c r="BP33" i="4"/>
  <c r="AZ33" i="4"/>
  <c r="BU33" i="4"/>
  <c r="AF33" i="4"/>
  <c r="BC33" i="4"/>
  <c r="BX33" i="4"/>
  <c r="AL33" i="4"/>
  <c r="BH33" i="4"/>
  <c r="CC33" i="4"/>
  <c r="AO33" i="4"/>
  <c r="BK33" i="4"/>
  <c r="BS33" i="4"/>
  <c r="CA33" i="4"/>
  <c r="AI33" i="4"/>
  <c r="AW33" i="4"/>
  <c r="BE33" i="4"/>
  <c r="AR33" i="4"/>
  <c r="BM33" i="4"/>
  <c r="AC33" i="4"/>
  <c r="W33" i="4"/>
  <c r="AE33" i="4"/>
  <c r="Y33" i="4"/>
  <c r="Z33" i="4"/>
  <c r="AA33" i="4"/>
  <c r="AD33" i="4"/>
  <c r="V33" i="4"/>
  <c r="X33" i="4"/>
  <c r="AB33" i="4"/>
  <c r="Q33" i="4"/>
  <c r="R33" i="4"/>
  <c r="S33" i="4"/>
  <c r="T33" i="4"/>
  <c r="U33" i="4"/>
  <c r="D33" i="4"/>
  <c r="L33" i="4"/>
  <c r="F33" i="4"/>
  <c r="N33" i="4"/>
  <c r="G33" i="4"/>
  <c r="H33" i="4"/>
  <c r="I33" i="4"/>
  <c r="J33" i="4"/>
  <c r="C33" i="4"/>
  <c r="K33" i="4"/>
  <c r="E33" i="4"/>
  <c r="M33" i="4"/>
  <c r="P32" i="4"/>
  <c r="B32" i="4"/>
  <c r="O32" i="4"/>
  <c r="A34" i="4"/>
  <c r="AM34" i="4" s="1"/>
  <c r="B33" i="4" l="1"/>
  <c r="AL34" i="4"/>
  <c r="AU34" i="4"/>
  <c r="BC34" i="4"/>
  <c r="BK34" i="4"/>
  <c r="BS34" i="4"/>
  <c r="CA34" i="4"/>
  <c r="AF34" i="4"/>
  <c r="AO34" i="4"/>
  <c r="AW34" i="4"/>
  <c r="BE34" i="4"/>
  <c r="BM34" i="4"/>
  <c r="BU34" i="4"/>
  <c r="CC34" i="4"/>
  <c r="AG34" i="4"/>
  <c r="AP34" i="4"/>
  <c r="AX34" i="4"/>
  <c r="BF34" i="4"/>
  <c r="BN34" i="4"/>
  <c r="BV34" i="4"/>
  <c r="AI34" i="4"/>
  <c r="AR34" i="4"/>
  <c r="AZ34" i="4"/>
  <c r="BH34" i="4"/>
  <c r="BP34" i="4"/>
  <c r="BX34" i="4"/>
  <c r="AJ34" i="4"/>
  <c r="AS34" i="4"/>
  <c r="BA34" i="4"/>
  <c r="BI34" i="4"/>
  <c r="BQ34" i="4"/>
  <c r="BY34" i="4"/>
  <c r="AN34" i="4"/>
  <c r="BJ34" i="4"/>
  <c r="AT34" i="4"/>
  <c r="BO34" i="4"/>
  <c r="AV34" i="4"/>
  <c r="BR34" i="4"/>
  <c r="BB34" i="4"/>
  <c r="BW34" i="4"/>
  <c r="AH34" i="4"/>
  <c r="BD34" i="4"/>
  <c r="BZ34" i="4"/>
  <c r="CB34" i="4"/>
  <c r="AK34" i="4"/>
  <c r="AQ34" i="4"/>
  <c r="BG34" i="4"/>
  <c r="BL34" i="4"/>
  <c r="AY34" i="4"/>
  <c r="BT34" i="4"/>
  <c r="AA34" i="4"/>
  <c r="AC34" i="4"/>
  <c r="W34" i="4"/>
  <c r="AE34" i="4"/>
  <c r="X34" i="4"/>
  <c r="Y34" i="4"/>
  <c r="V34" i="4"/>
  <c r="Z34" i="4"/>
  <c r="AB34" i="4"/>
  <c r="AD34" i="4"/>
  <c r="R34" i="4"/>
  <c r="S34" i="4"/>
  <c r="T34" i="4"/>
  <c r="U34" i="4"/>
  <c r="Q34" i="4"/>
  <c r="O33" i="4"/>
  <c r="G34" i="4"/>
  <c r="I34" i="4"/>
  <c r="J34" i="4"/>
  <c r="C34" i="4"/>
  <c r="K34" i="4"/>
  <c r="D34" i="4"/>
  <c r="L34" i="4"/>
  <c r="E34" i="4"/>
  <c r="M34" i="4"/>
  <c r="F34" i="4"/>
  <c r="N34" i="4"/>
  <c r="H34" i="4"/>
  <c r="P33" i="4"/>
  <c r="A35" i="4"/>
  <c r="AM35" i="4" s="1"/>
  <c r="AK35" i="4" l="1"/>
  <c r="AT35" i="4"/>
  <c r="BB35" i="4"/>
  <c r="BJ35" i="4"/>
  <c r="BR35" i="4"/>
  <c r="BZ35" i="4"/>
  <c r="AN35" i="4"/>
  <c r="AV35" i="4"/>
  <c r="BD35" i="4"/>
  <c r="BL35" i="4"/>
  <c r="BT35" i="4"/>
  <c r="CB35" i="4"/>
  <c r="AF35" i="4"/>
  <c r="AO35" i="4"/>
  <c r="AW35" i="4"/>
  <c r="BE35" i="4"/>
  <c r="BM35" i="4"/>
  <c r="BU35" i="4"/>
  <c r="CC35" i="4"/>
  <c r="AH35" i="4"/>
  <c r="AQ35" i="4"/>
  <c r="AY35" i="4"/>
  <c r="BG35" i="4"/>
  <c r="BO35" i="4"/>
  <c r="BW35" i="4"/>
  <c r="AI35" i="4"/>
  <c r="AR35" i="4"/>
  <c r="AZ35" i="4"/>
  <c r="BH35" i="4"/>
  <c r="BP35" i="4"/>
  <c r="BX35" i="4"/>
  <c r="AG35" i="4"/>
  <c r="BC35" i="4"/>
  <c r="BY35" i="4"/>
  <c r="AL35" i="4"/>
  <c r="BI35" i="4"/>
  <c r="AP35" i="4"/>
  <c r="BK35" i="4"/>
  <c r="AU35" i="4"/>
  <c r="BQ35" i="4"/>
  <c r="AX35" i="4"/>
  <c r="BS35" i="4"/>
  <c r="AJ35" i="4"/>
  <c r="AS35" i="4"/>
  <c r="BA35" i="4"/>
  <c r="BN35" i="4"/>
  <c r="BV35" i="4"/>
  <c r="BF35" i="4"/>
  <c r="CA35" i="4"/>
  <c r="Y35" i="4"/>
  <c r="AA35" i="4"/>
  <c r="AC35" i="4"/>
  <c r="V35" i="4"/>
  <c r="AD35" i="4"/>
  <c r="W35" i="4"/>
  <c r="AE35" i="4"/>
  <c r="X35" i="4"/>
  <c r="Z35" i="4"/>
  <c r="AB35" i="4"/>
  <c r="U35" i="4"/>
  <c r="Q35" i="4"/>
  <c r="R35" i="4"/>
  <c r="T35" i="4"/>
  <c r="S35" i="4"/>
  <c r="B34" i="4"/>
  <c r="D35" i="4"/>
  <c r="L35" i="4"/>
  <c r="E35" i="4"/>
  <c r="M35" i="4"/>
  <c r="F35" i="4"/>
  <c r="N35" i="4"/>
  <c r="G35" i="4"/>
  <c r="H35" i="4"/>
  <c r="I35" i="4"/>
  <c r="J35" i="4"/>
  <c r="K35" i="4"/>
  <c r="C35" i="4"/>
  <c r="O34" i="4"/>
  <c r="P34" i="4"/>
  <c r="A36" i="4"/>
  <c r="AM36" i="4" s="1"/>
  <c r="AJ36" i="4" l="1"/>
  <c r="AS36" i="4"/>
  <c r="BA36" i="4"/>
  <c r="BI36" i="4"/>
  <c r="BQ36" i="4"/>
  <c r="BY36" i="4"/>
  <c r="AL36" i="4"/>
  <c r="AU36" i="4"/>
  <c r="BC36" i="4"/>
  <c r="BK36" i="4"/>
  <c r="BS36" i="4"/>
  <c r="CA36" i="4"/>
  <c r="AN36" i="4"/>
  <c r="AV36" i="4"/>
  <c r="BD36" i="4"/>
  <c r="BL36" i="4"/>
  <c r="BT36" i="4"/>
  <c r="CB36" i="4"/>
  <c r="AG36" i="4"/>
  <c r="AP36" i="4"/>
  <c r="AX36" i="4"/>
  <c r="BF36" i="4"/>
  <c r="BN36" i="4"/>
  <c r="BV36" i="4"/>
  <c r="AH36" i="4"/>
  <c r="AQ36" i="4"/>
  <c r="AY36" i="4"/>
  <c r="BG36" i="4"/>
  <c r="BO36" i="4"/>
  <c r="BW36" i="4"/>
  <c r="AW36" i="4"/>
  <c r="BR36" i="4"/>
  <c r="AF36" i="4"/>
  <c r="BB36" i="4"/>
  <c r="BX36" i="4"/>
  <c r="AI36" i="4"/>
  <c r="BE36" i="4"/>
  <c r="BZ36" i="4"/>
  <c r="AO36" i="4"/>
  <c r="BJ36" i="4"/>
  <c r="AR36" i="4"/>
  <c r="BM36" i="4"/>
  <c r="AK36" i="4"/>
  <c r="AT36" i="4"/>
  <c r="AZ36" i="4"/>
  <c r="BH36" i="4"/>
  <c r="BU36" i="4"/>
  <c r="CC36" i="4"/>
  <c r="BP36" i="4"/>
  <c r="W36" i="4"/>
  <c r="Y36" i="4"/>
  <c r="V36" i="4"/>
  <c r="X36" i="4"/>
  <c r="Z36" i="4"/>
  <c r="AA36" i="4"/>
  <c r="AB36" i="4"/>
  <c r="AC36" i="4"/>
  <c r="AD36" i="4"/>
  <c r="AE36" i="4"/>
  <c r="Q36" i="4"/>
  <c r="R36" i="4"/>
  <c r="S36" i="4"/>
  <c r="T36" i="4"/>
  <c r="U36" i="4"/>
  <c r="B35" i="4"/>
  <c r="O35" i="4"/>
  <c r="F36" i="4"/>
  <c r="N36" i="4"/>
  <c r="G36" i="4"/>
  <c r="H36" i="4"/>
  <c r="I36" i="4"/>
  <c r="J36" i="4"/>
  <c r="C36" i="4"/>
  <c r="K36" i="4"/>
  <c r="D36" i="4"/>
  <c r="E36" i="4"/>
  <c r="L36" i="4"/>
  <c r="M36" i="4"/>
  <c r="P35" i="4"/>
  <c r="A37" i="4"/>
  <c r="AM37" i="4" s="1"/>
  <c r="AI37" i="4" l="1"/>
  <c r="AR37" i="4"/>
  <c r="AZ37" i="4"/>
  <c r="AK37" i="4"/>
  <c r="AT37" i="4"/>
  <c r="BB37" i="4"/>
  <c r="BJ37" i="4"/>
  <c r="AL37" i="4"/>
  <c r="AU37" i="4"/>
  <c r="BC37" i="4"/>
  <c r="BK37" i="4"/>
  <c r="AF37" i="4"/>
  <c r="AO37" i="4"/>
  <c r="AW37" i="4"/>
  <c r="BE37" i="4"/>
  <c r="AG37" i="4"/>
  <c r="AP37" i="4"/>
  <c r="AX37" i="4"/>
  <c r="BF37" i="4"/>
  <c r="AQ37" i="4"/>
  <c r="BI37" i="4"/>
  <c r="BS37" i="4"/>
  <c r="CA37" i="4"/>
  <c r="AV37" i="4"/>
  <c r="BM37" i="4"/>
  <c r="BU37" i="4"/>
  <c r="CC37" i="4"/>
  <c r="AY37" i="4"/>
  <c r="BN37" i="4"/>
  <c r="BV37" i="4"/>
  <c r="AH37" i="4"/>
  <c r="BD37" i="4"/>
  <c r="BP37" i="4"/>
  <c r="BX37" i="4"/>
  <c r="AJ37" i="4"/>
  <c r="BG37" i="4"/>
  <c r="BQ37" i="4"/>
  <c r="BY37" i="4"/>
  <c r="AS37" i="4"/>
  <c r="BZ37" i="4"/>
  <c r="BA37" i="4"/>
  <c r="CB37" i="4"/>
  <c r="BH37" i="4"/>
  <c r="BL37" i="4"/>
  <c r="BR37" i="4"/>
  <c r="BT37" i="4"/>
  <c r="AN37" i="4"/>
  <c r="BO37" i="4"/>
  <c r="BW37" i="4"/>
  <c r="V37" i="4"/>
  <c r="AD37" i="4"/>
  <c r="W37" i="4"/>
  <c r="AE37" i="4"/>
  <c r="X37" i="4"/>
  <c r="Y37" i="4"/>
  <c r="Z37" i="4"/>
  <c r="AA37" i="4"/>
  <c r="AB37" i="4"/>
  <c r="AC37" i="4"/>
  <c r="S37" i="4"/>
  <c r="T37" i="4"/>
  <c r="U37" i="4"/>
  <c r="Q37" i="4"/>
  <c r="R37" i="4"/>
  <c r="B36" i="4"/>
  <c r="O36" i="4"/>
  <c r="P36" i="4"/>
  <c r="H37" i="4"/>
  <c r="I37" i="4"/>
  <c r="J37" i="4"/>
  <c r="C37" i="4"/>
  <c r="K37" i="4"/>
  <c r="D37" i="4"/>
  <c r="L37" i="4"/>
  <c r="E37" i="4"/>
  <c r="M37" i="4"/>
  <c r="N37" i="4"/>
  <c r="G37" i="4"/>
  <c r="F37" i="4"/>
  <c r="A38" i="4"/>
  <c r="AM38" i="4" s="1"/>
  <c r="AK38" i="4" l="1"/>
  <c r="AT38" i="4"/>
  <c r="BB38" i="4"/>
  <c r="BJ38" i="4"/>
  <c r="BR38" i="4"/>
  <c r="BZ38" i="4"/>
  <c r="AN38" i="4"/>
  <c r="AV38" i="4"/>
  <c r="BD38" i="4"/>
  <c r="BL38" i="4"/>
  <c r="BT38" i="4"/>
  <c r="CB38" i="4"/>
  <c r="AF38" i="4"/>
  <c r="AO38" i="4"/>
  <c r="AW38" i="4"/>
  <c r="BE38" i="4"/>
  <c r="BM38" i="4"/>
  <c r="BU38" i="4"/>
  <c r="CC38" i="4"/>
  <c r="AH38" i="4"/>
  <c r="AQ38" i="4"/>
  <c r="AY38" i="4"/>
  <c r="BG38" i="4"/>
  <c r="BO38" i="4"/>
  <c r="BW38" i="4"/>
  <c r="AI38" i="4"/>
  <c r="AR38" i="4"/>
  <c r="AZ38" i="4"/>
  <c r="BH38" i="4"/>
  <c r="BP38" i="4"/>
  <c r="BX38" i="4"/>
  <c r="AX38" i="4"/>
  <c r="BS38" i="4"/>
  <c r="BA38" i="4"/>
  <c r="BV38" i="4"/>
  <c r="AG38" i="4"/>
  <c r="BC38" i="4"/>
  <c r="BY38" i="4"/>
  <c r="AJ38" i="4"/>
  <c r="BF38" i="4"/>
  <c r="CA38" i="4"/>
  <c r="AP38" i="4"/>
  <c r="BK38" i="4"/>
  <c r="AS38" i="4"/>
  <c r="BN38" i="4"/>
  <c r="AL38" i="4"/>
  <c r="AU38" i="4"/>
  <c r="BI38" i="4"/>
  <c r="BQ38" i="4"/>
  <c r="AB38" i="4"/>
  <c r="AC38" i="4"/>
  <c r="V38" i="4"/>
  <c r="AD38" i="4"/>
  <c r="W38" i="4"/>
  <c r="AE38" i="4"/>
  <c r="X38" i="4"/>
  <c r="Y38" i="4"/>
  <c r="Z38" i="4"/>
  <c r="AA38" i="4"/>
  <c r="Q38" i="4"/>
  <c r="R38" i="4"/>
  <c r="U38" i="4"/>
  <c r="S38" i="4"/>
  <c r="T38" i="4"/>
  <c r="B37" i="4"/>
  <c r="O37" i="4"/>
  <c r="D38" i="4"/>
  <c r="L38" i="4"/>
  <c r="E38" i="4"/>
  <c r="M38" i="4"/>
  <c r="F38" i="4"/>
  <c r="N38" i="4"/>
  <c r="G38" i="4"/>
  <c r="H38" i="4"/>
  <c r="I38" i="4"/>
  <c r="C38" i="4"/>
  <c r="J38" i="4"/>
  <c r="K38" i="4"/>
  <c r="P37" i="4"/>
  <c r="A39" i="4"/>
  <c r="AM39" i="4" s="1"/>
  <c r="B38" i="4" l="1"/>
  <c r="AJ39" i="4"/>
  <c r="AS39" i="4"/>
  <c r="BA39" i="4"/>
  <c r="BI39" i="4"/>
  <c r="BQ39" i="4"/>
  <c r="BY39" i="4"/>
  <c r="AL39" i="4"/>
  <c r="AU39" i="4"/>
  <c r="BC39" i="4"/>
  <c r="BK39" i="4"/>
  <c r="BS39" i="4"/>
  <c r="CA39" i="4"/>
  <c r="AN39" i="4"/>
  <c r="AV39" i="4"/>
  <c r="BD39" i="4"/>
  <c r="BL39" i="4"/>
  <c r="BT39" i="4"/>
  <c r="CB39" i="4"/>
  <c r="AG39" i="4"/>
  <c r="AP39" i="4"/>
  <c r="AX39" i="4"/>
  <c r="BF39" i="4"/>
  <c r="BN39" i="4"/>
  <c r="BV39" i="4"/>
  <c r="AH39" i="4"/>
  <c r="AQ39" i="4"/>
  <c r="AY39" i="4"/>
  <c r="BG39" i="4"/>
  <c r="BO39" i="4"/>
  <c r="BW39" i="4"/>
  <c r="AR39" i="4"/>
  <c r="BM39" i="4"/>
  <c r="AT39" i="4"/>
  <c r="AW39" i="4"/>
  <c r="BR39" i="4"/>
  <c r="AZ39" i="4"/>
  <c r="BU39" i="4"/>
  <c r="AI39" i="4"/>
  <c r="BE39" i="4"/>
  <c r="BZ39" i="4"/>
  <c r="AK39" i="4"/>
  <c r="BH39" i="4"/>
  <c r="CC39" i="4"/>
  <c r="BP39" i="4"/>
  <c r="BX39" i="4"/>
  <c r="AO39" i="4"/>
  <c r="BB39" i="4"/>
  <c r="AF39" i="4"/>
  <c r="BJ39" i="4"/>
  <c r="Z39" i="4"/>
  <c r="AA39" i="4"/>
  <c r="AB39" i="4"/>
  <c r="AC39" i="4"/>
  <c r="V39" i="4"/>
  <c r="AD39" i="4"/>
  <c r="W39" i="4"/>
  <c r="AE39" i="4"/>
  <c r="X39" i="4"/>
  <c r="Y39" i="4"/>
  <c r="Q39" i="4"/>
  <c r="R39" i="4"/>
  <c r="S39" i="4"/>
  <c r="T39" i="4"/>
  <c r="U39" i="4"/>
  <c r="O38" i="4"/>
  <c r="P38" i="4"/>
  <c r="H39" i="4"/>
  <c r="I39" i="4"/>
  <c r="J39" i="4"/>
  <c r="C39" i="4"/>
  <c r="K39" i="4"/>
  <c r="D39" i="4"/>
  <c r="L39" i="4"/>
  <c r="E39" i="4"/>
  <c r="M39" i="4"/>
  <c r="F39" i="4"/>
  <c r="G39" i="4"/>
  <c r="N39" i="4"/>
  <c r="A40" i="4"/>
  <c r="AM40" i="4" s="1"/>
  <c r="AI40" i="4" l="1"/>
  <c r="AR40" i="4"/>
  <c r="AZ40" i="4"/>
  <c r="BH40" i="4"/>
  <c r="BP40" i="4"/>
  <c r="BX40" i="4"/>
  <c r="AK40" i="4"/>
  <c r="AT40" i="4"/>
  <c r="BB40" i="4"/>
  <c r="BJ40" i="4"/>
  <c r="BR40" i="4"/>
  <c r="BZ40" i="4"/>
  <c r="AL40" i="4"/>
  <c r="AU40" i="4"/>
  <c r="BC40" i="4"/>
  <c r="BK40" i="4"/>
  <c r="BS40" i="4"/>
  <c r="CA40" i="4"/>
  <c r="AF40" i="4"/>
  <c r="AO40" i="4"/>
  <c r="AW40" i="4"/>
  <c r="BE40" i="4"/>
  <c r="BM40" i="4"/>
  <c r="BU40" i="4"/>
  <c r="CC40" i="4"/>
  <c r="AG40" i="4"/>
  <c r="AP40" i="4"/>
  <c r="AX40" i="4"/>
  <c r="BF40" i="4"/>
  <c r="BN40" i="4"/>
  <c r="BV40" i="4"/>
  <c r="AJ40" i="4"/>
  <c r="BG40" i="4"/>
  <c r="CB40" i="4"/>
  <c r="AQ40" i="4"/>
  <c r="BL40" i="4"/>
  <c r="AS40" i="4"/>
  <c r="BO40" i="4"/>
  <c r="AY40" i="4"/>
  <c r="BT40" i="4"/>
  <c r="BA40" i="4"/>
  <c r="BW40" i="4"/>
  <c r="BY40" i="4"/>
  <c r="AH40" i="4"/>
  <c r="AN40" i="4"/>
  <c r="BD40" i="4"/>
  <c r="BI40" i="4"/>
  <c r="AV40" i="4"/>
  <c r="BQ40" i="4"/>
  <c r="X40" i="4"/>
  <c r="Y40" i="4"/>
  <c r="Z40" i="4"/>
  <c r="AA40" i="4"/>
  <c r="AB40" i="4"/>
  <c r="AC40" i="4"/>
  <c r="V40" i="4"/>
  <c r="AD40" i="4"/>
  <c r="W40" i="4"/>
  <c r="AE40" i="4"/>
  <c r="T40" i="4"/>
  <c r="U40" i="4"/>
  <c r="Q40" i="4"/>
  <c r="S40" i="4"/>
  <c r="R40" i="4"/>
  <c r="P39" i="4"/>
  <c r="C40" i="4"/>
  <c r="K40" i="4"/>
  <c r="D40" i="4"/>
  <c r="L40" i="4"/>
  <c r="E40" i="4"/>
  <c r="M40" i="4"/>
  <c r="F40" i="4"/>
  <c r="N40" i="4"/>
  <c r="G40" i="4"/>
  <c r="H40" i="4"/>
  <c r="I40" i="4"/>
  <c r="J40" i="4"/>
  <c r="B39" i="4"/>
  <c r="O39" i="4"/>
  <c r="A41" i="4"/>
  <c r="AM41" i="4" s="1"/>
  <c r="AH41" i="4" l="1"/>
  <c r="AQ41" i="4"/>
  <c r="AY41" i="4"/>
  <c r="BG41" i="4"/>
  <c r="BO41" i="4"/>
  <c r="BW41" i="4"/>
  <c r="AJ41" i="4"/>
  <c r="AS41" i="4"/>
  <c r="BA41" i="4"/>
  <c r="BI41" i="4"/>
  <c r="BQ41" i="4"/>
  <c r="BY41" i="4"/>
  <c r="AK41" i="4"/>
  <c r="AT41" i="4"/>
  <c r="BB41" i="4"/>
  <c r="BJ41" i="4"/>
  <c r="BR41" i="4"/>
  <c r="BZ41" i="4"/>
  <c r="AN41" i="4"/>
  <c r="AV41" i="4"/>
  <c r="BD41" i="4"/>
  <c r="BL41" i="4"/>
  <c r="BT41" i="4"/>
  <c r="CB41" i="4"/>
  <c r="AF41" i="4"/>
  <c r="AO41" i="4"/>
  <c r="AW41" i="4"/>
  <c r="BE41" i="4"/>
  <c r="BM41" i="4"/>
  <c r="BU41" i="4"/>
  <c r="CC41" i="4"/>
  <c r="AZ41" i="4"/>
  <c r="BV41" i="4"/>
  <c r="AI41" i="4"/>
  <c r="BF41" i="4"/>
  <c r="CA41" i="4"/>
  <c r="AL41" i="4"/>
  <c r="BH41" i="4"/>
  <c r="AR41" i="4"/>
  <c r="BN41" i="4"/>
  <c r="AU41" i="4"/>
  <c r="BP41" i="4"/>
  <c r="AG41" i="4"/>
  <c r="AP41" i="4"/>
  <c r="AX41" i="4"/>
  <c r="BK41" i="4"/>
  <c r="BS41" i="4"/>
  <c r="BC41" i="4"/>
  <c r="BX41" i="4"/>
  <c r="V41" i="4"/>
  <c r="AD41" i="4"/>
  <c r="W41" i="4"/>
  <c r="AE41" i="4"/>
  <c r="X41" i="4"/>
  <c r="Y41" i="4"/>
  <c r="Z41" i="4"/>
  <c r="AA41" i="4"/>
  <c r="AB41" i="4"/>
  <c r="AC41" i="4"/>
  <c r="Q41" i="4"/>
  <c r="R41" i="4"/>
  <c r="S41" i="4"/>
  <c r="T41" i="4"/>
  <c r="U41" i="4"/>
  <c r="O40" i="4"/>
  <c r="B40" i="4"/>
  <c r="G41" i="4"/>
  <c r="H41" i="4"/>
  <c r="I41" i="4"/>
  <c r="J41" i="4"/>
  <c r="C41" i="4"/>
  <c r="K41" i="4"/>
  <c r="D41" i="4"/>
  <c r="L41" i="4"/>
  <c r="E41" i="4"/>
  <c r="F41" i="4"/>
  <c r="M41" i="4"/>
  <c r="N41" i="4"/>
  <c r="P40" i="4"/>
  <c r="A42" i="4"/>
  <c r="AM42" i="4" s="1"/>
  <c r="AG42" i="4" l="1"/>
  <c r="AP42" i="4"/>
  <c r="AX42" i="4"/>
  <c r="BF42" i="4"/>
  <c r="BN42" i="4"/>
  <c r="BV42" i="4"/>
  <c r="AI42" i="4"/>
  <c r="AR42" i="4"/>
  <c r="AZ42" i="4"/>
  <c r="BH42" i="4"/>
  <c r="BP42" i="4"/>
  <c r="BX42" i="4"/>
  <c r="AJ42" i="4"/>
  <c r="AS42" i="4"/>
  <c r="BA42" i="4"/>
  <c r="BI42" i="4"/>
  <c r="BQ42" i="4"/>
  <c r="BY42" i="4"/>
  <c r="AL42" i="4"/>
  <c r="AU42" i="4"/>
  <c r="BC42" i="4"/>
  <c r="BK42" i="4"/>
  <c r="BS42" i="4"/>
  <c r="CA42" i="4"/>
  <c r="AN42" i="4"/>
  <c r="AV42" i="4"/>
  <c r="BD42" i="4"/>
  <c r="BL42" i="4"/>
  <c r="BT42" i="4"/>
  <c r="CB42" i="4"/>
  <c r="AT42" i="4"/>
  <c r="BO42" i="4"/>
  <c r="AY42" i="4"/>
  <c r="BU42" i="4"/>
  <c r="AF42" i="4"/>
  <c r="BB42" i="4"/>
  <c r="BW42" i="4"/>
  <c r="AK42" i="4"/>
  <c r="BG42" i="4"/>
  <c r="CC42" i="4"/>
  <c r="AO42" i="4"/>
  <c r="BJ42" i="4"/>
  <c r="AH42" i="4"/>
  <c r="AQ42" i="4"/>
  <c r="AW42" i="4"/>
  <c r="BE42" i="4"/>
  <c r="BR42" i="4"/>
  <c r="BZ42" i="4"/>
  <c r="BM42" i="4"/>
  <c r="AB42" i="4"/>
  <c r="AC42" i="4"/>
  <c r="V42" i="4"/>
  <c r="AD42" i="4"/>
  <c r="W42" i="4"/>
  <c r="AE42" i="4"/>
  <c r="X42" i="4"/>
  <c r="Y42" i="4"/>
  <c r="Z42" i="4"/>
  <c r="AA42" i="4"/>
  <c r="R42" i="4"/>
  <c r="S42" i="4"/>
  <c r="T42" i="4"/>
  <c r="U42" i="4"/>
  <c r="Q42" i="4"/>
  <c r="O41" i="4"/>
  <c r="P41" i="4"/>
  <c r="C42" i="4"/>
  <c r="K42" i="4"/>
  <c r="D42" i="4"/>
  <c r="L42" i="4"/>
  <c r="E42" i="4"/>
  <c r="M42" i="4"/>
  <c r="F42" i="4"/>
  <c r="N42" i="4"/>
  <c r="G42" i="4"/>
  <c r="H42" i="4"/>
  <c r="J42" i="4"/>
  <c r="I42" i="4"/>
  <c r="B41" i="4"/>
  <c r="A43" i="4"/>
  <c r="AM43" i="4" s="1"/>
  <c r="AF43" i="4" l="1"/>
  <c r="AO43" i="4"/>
  <c r="AW43" i="4"/>
  <c r="BE43" i="4"/>
  <c r="BM43" i="4"/>
  <c r="BU43" i="4"/>
  <c r="CC43" i="4"/>
  <c r="AH43" i="4"/>
  <c r="AQ43" i="4"/>
  <c r="AY43" i="4"/>
  <c r="BG43" i="4"/>
  <c r="BO43" i="4"/>
  <c r="BW43" i="4"/>
  <c r="AI43" i="4"/>
  <c r="AR43" i="4"/>
  <c r="AZ43" i="4"/>
  <c r="BH43" i="4"/>
  <c r="BP43" i="4"/>
  <c r="BX43" i="4"/>
  <c r="AK43" i="4"/>
  <c r="AT43" i="4"/>
  <c r="BB43" i="4"/>
  <c r="BJ43" i="4"/>
  <c r="BR43" i="4"/>
  <c r="BZ43" i="4"/>
  <c r="AL43" i="4"/>
  <c r="AU43" i="4"/>
  <c r="BC43" i="4"/>
  <c r="BK43" i="4"/>
  <c r="BS43" i="4"/>
  <c r="CA43" i="4"/>
  <c r="AN43" i="4"/>
  <c r="BI43" i="4"/>
  <c r="AS43" i="4"/>
  <c r="BN43" i="4"/>
  <c r="AV43" i="4"/>
  <c r="BQ43" i="4"/>
  <c r="BA43" i="4"/>
  <c r="BV43" i="4"/>
  <c r="AG43" i="4"/>
  <c r="BD43" i="4"/>
  <c r="BY43" i="4"/>
  <c r="AP43" i="4"/>
  <c r="AX43" i="4"/>
  <c r="BF43" i="4"/>
  <c r="BL43" i="4"/>
  <c r="CB43" i="4"/>
  <c r="AJ43" i="4"/>
  <c r="BT43" i="4"/>
  <c r="Z43" i="4"/>
  <c r="AA43" i="4"/>
  <c r="AB43" i="4"/>
  <c r="AC43" i="4"/>
  <c r="V43" i="4"/>
  <c r="AD43" i="4"/>
  <c r="W43" i="4"/>
  <c r="AE43" i="4"/>
  <c r="X43" i="4"/>
  <c r="Y43" i="4"/>
  <c r="U43" i="4"/>
  <c r="Q43" i="4"/>
  <c r="T43" i="4"/>
  <c r="R43" i="4"/>
  <c r="S43" i="4"/>
  <c r="B42" i="4"/>
  <c r="O42" i="4"/>
  <c r="P42" i="4"/>
  <c r="F43" i="4"/>
  <c r="N43" i="4"/>
  <c r="G43" i="4"/>
  <c r="H43" i="4"/>
  <c r="I43" i="4"/>
  <c r="J43" i="4"/>
  <c r="C43" i="4"/>
  <c r="K43" i="4"/>
  <c r="D43" i="4"/>
  <c r="E43" i="4"/>
  <c r="L43" i="4"/>
  <c r="M43" i="4"/>
  <c r="A44" i="4"/>
  <c r="AM44" i="4" s="1"/>
  <c r="AN44" i="4" l="1"/>
  <c r="AV44" i="4"/>
  <c r="BD44" i="4"/>
  <c r="BL44" i="4"/>
  <c r="BT44" i="4"/>
  <c r="CB44" i="4"/>
  <c r="AG44" i="4"/>
  <c r="AP44" i="4"/>
  <c r="AX44" i="4"/>
  <c r="BF44" i="4"/>
  <c r="BN44" i="4"/>
  <c r="BV44" i="4"/>
  <c r="AH44" i="4"/>
  <c r="AQ44" i="4"/>
  <c r="AY44" i="4"/>
  <c r="BG44" i="4"/>
  <c r="BO44" i="4"/>
  <c r="BW44" i="4"/>
  <c r="AJ44" i="4"/>
  <c r="AS44" i="4"/>
  <c r="BA44" i="4"/>
  <c r="BI44" i="4"/>
  <c r="BQ44" i="4"/>
  <c r="BY44" i="4"/>
  <c r="AK44" i="4"/>
  <c r="AT44" i="4"/>
  <c r="BB44" i="4"/>
  <c r="BJ44" i="4"/>
  <c r="BR44" i="4"/>
  <c r="BZ44" i="4"/>
  <c r="AF44" i="4"/>
  <c r="BC44" i="4"/>
  <c r="BX44" i="4"/>
  <c r="AL44" i="4"/>
  <c r="BH44" i="4"/>
  <c r="CC44" i="4"/>
  <c r="AO44" i="4"/>
  <c r="BK44" i="4"/>
  <c r="AU44" i="4"/>
  <c r="BP44" i="4"/>
  <c r="AW44" i="4"/>
  <c r="BS44" i="4"/>
  <c r="AZ44" i="4"/>
  <c r="BE44" i="4"/>
  <c r="BM44" i="4"/>
  <c r="BU44" i="4"/>
  <c r="AI44" i="4"/>
  <c r="CA44" i="4"/>
  <c r="AR44" i="4"/>
  <c r="X44" i="4"/>
  <c r="Y44" i="4"/>
  <c r="Z44" i="4"/>
  <c r="AA44" i="4"/>
  <c r="AB44" i="4"/>
  <c r="AC44" i="4"/>
  <c r="V44" i="4"/>
  <c r="AD44" i="4"/>
  <c r="W44" i="4"/>
  <c r="AE44" i="4"/>
  <c r="Q44" i="4"/>
  <c r="R44" i="4"/>
  <c r="S44" i="4"/>
  <c r="T44" i="4"/>
  <c r="U44" i="4"/>
  <c r="B43" i="4"/>
  <c r="O43" i="4"/>
  <c r="H44" i="4"/>
  <c r="I44" i="4"/>
  <c r="J44" i="4"/>
  <c r="C44" i="4"/>
  <c r="K44" i="4"/>
  <c r="D44" i="4"/>
  <c r="L44" i="4"/>
  <c r="E44" i="4"/>
  <c r="M44" i="4"/>
  <c r="F44" i="4"/>
  <c r="G44" i="4"/>
  <c r="N44" i="4"/>
  <c r="P43" i="4"/>
  <c r="A45" i="4"/>
  <c r="AM45" i="4" s="1"/>
  <c r="AL45" i="4" l="1"/>
  <c r="AU45" i="4"/>
  <c r="BC45" i="4"/>
  <c r="BK45" i="4"/>
  <c r="BS45" i="4"/>
  <c r="CA45" i="4"/>
  <c r="AF45" i="4"/>
  <c r="AO45" i="4"/>
  <c r="AW45" i="4"/>
  <c r="BE45" i="4"/>
  <c r="BM45" i="4"/>
  <c r="BU45" i="4"/>
  <c r="CC45" i="4"/>
  <c r="AG45" i="4"/>
  <c r="AP45" i="4"/>
  <c r="AX45" i="4"/>
  <c r="BF45" i="4"/>
  <c r="BN45" i="4"/>
  <c r="BV45" i="4"/>
  <c r="AI45" i="4"/>
  <c r="AR45" i="4"/>
  <c r="AZ45" i="4"/>
  <c r="BH45" i="4"/>
  <c r="BP45" i="4"/>
  <c r="BX45" i="4"/>
  <c r="AJ45" i="4"/>
  <c r="AS45" i="4"/>
  <c r="BA45" i="4"/>
  <c r="BI45" i="4"/>
  <c r="BQ45" i="4"/>
  <c r="BY45" i="4"/>
  <c r="AV45" i="4"/>
  <c r="BR45" i="4"/>
  <c r="BB45" i="4"/>
  <c r="BW45" i="4"/>
  <c r="AH45" i="4"/>
  <c r="BD45" i="4"/>
  <c r="BZ45" i="4"/>
  <c r="AN45" i="4"/>
  <c r="BJ45" i="4"/>
  <c r="AQ45" i="4"/>
  <c r="BL45" i="4"/>
  <c r="BG45" i="4"/>
  <c r="BO45" i="4"/>
  <c r="BT45" i="4"/>
  <c r="CB45" i="4"/>
  <c r="AK45" i="4"/>
  <c r="AT45" i="4"/>
  <c r="AY45" i="4"/>
  <c r="V45" i="4"/>
  <c r="AD45" i="4"/>
  <c r="W45" i="4"/>
  <c r="AE45" i="4"/>
  <c r="X45" i="4"/>
  <c r="Y45" i="4"/>
  <c r="Z45" i="4"/>
  <c r="AA45" i="4"/>
  <c r="AB45" i="4"/>
  <c r="AC45" i="4"/>
  <c r="S45" i="4"/>
  <c r="T45" i="4"/>
  <c r="U45" i="4"/>
  <c r="R45" i="4"/>
  <c r="Q45" i="4"/>
  <c r="J45" i="4"/>
  <c r="C45" i="4"/>
  <c r="K45" i="4"/>
  <c r="D45" i="4"/>
  <c r="L45" i="4"/>
  <c r="E45" i="4"/>
  <c r="M45" i="4"/>
  <c r="F45" i="4"/>
  <c r="N45" i="4"/>
  <c r="G45" i="4"/>
  <c r="H45" i="4"/>
  <c r="I45" i="4"/>
  <c r="B44" i="4"/>
  <c r="O44" i="4"/>
  <c r="P44" i="4"/>
  <c r="A46" i="4"/>
  <c r="AM46" i="4" s="1"/>
  <c r="AK46" i="4" l="1"/>
  <c r="AT46" i="4"/>
  <c r="BB46" i="4"/>
  <c r="AN46" i="4"/>
  <c r="AV46" i="4"/>
  <c r="AF46" i="4"/>
  <c r="AO46" i="4"/>
  <c r="AW46" i="4"/>
  <c r="AH46" i="4"/>
  <c r="AQ46" i="4"/>
  <c r="AI46" i="4"/>
  <c r="AR46" i="4"/>
  <c r="AP46" i="4"/>
  <c r="BD46" i="4"/>
  <c r="BL46" i="4"/>
  <c r="BT46" i="4"/>
  <c r="CB46" i="4"/>
  <c r="AU46" i="4"/>
  <c r="BF46" i="4"/>
  <c r="BN46" i="4"/>
  <c r="BV46" i="4"/>
  <c r="AX46" i="4"/>
  <c r="BG46" i="4"/>
  <c r="BO46" i="4"/>
  <c r="BW46" i="4"/>
  <c r="AG46" i="4"/>
  <c r="AZ46" i="4"/>
  <c r="BI46" i="4"/>
  <c r="BQ46" i="4"/>
  <c r="BY46" i="4"/>
  <c r="AJ46" i="4"/>
  <c r="BA46" i="4"/>
  <c r="BJ46" i="4"/>
  <c r="BR46" i="4"/>
  <c r="BZ46" i="4"/>
  <c r="BE46" i="4"/>
  <c r="CA46" i="4"/>
  <c r="BH46" i="4"/>
  <c r="CC46" i="4"/>
  <c r="BK46" i="4"/>
  <c r="BM46" i="4"/>
  <c r="AS46" i="4"/>
  <c r="BS46" i="4"/>
  <c r="AY46" i="4"/>
  <c r="BU46" i="4"/>
  <c r="AL46" i="4"/>
  <c r="BC46" i="4"/>
  <c r="BP46" i="4"/>
  <c r="BX46" i="4"/>
  <c r="AB46" i="4"/>
  <c r="AC46" i="4"/>
  <c r="V46" i="4"/>
  <c r="AD46" i="4"/>
  <c r="W46" i="4"/>
  <c r="AE46" i="4"/>
  <c r="X46" i="4"/>
  <c r="Y46" i="4"/>
  <c r="Z46" i="4"/>
  <c r="AA46" i="4"/>
  <c r="Q46" i="4"/>
  <c r="R46" i="4"/>
  <c r="U46" i="4"/>
  <c r="S46" i="4"/>
  <c r="T46" i="4"/>
  <c r="F46" i="4"/>
  <c r="N46" i="4"/>
  <c r="G46" i="4"/>
  <c r="H46" i="4"/>
  <c r="I46" i="4"/>
  <c r="J46" i="4"/>
  <c r="C46" i="4"/>
  <c r="K46" i="4"/>
  <c r="D46" i="4"/>
  <c r="E46" i="4"/>
  <c r="L46" i="4"/>
  <c r="M46" i="4"/>
  <c r="P45" i="4"/>
  <c r="B45" i="4"/>
  <c r="O45" i="4"/>
  <c r="A47" i="4"/>
  <c r="AM47" i="4" s="1"/>
  <c r="AL47" i="4" l="1"/>
  <c r="AU47" i="4"/>
  <c r="BC47" i="4"/>
  <c r="BK47" i="4"/>
  <c r="BS47" i="4"/>
  <c r="CA47" i="4"/>
  <c r="AF47" i="4"/>
  <c r="AO47" i="4"/>
  <c r="AW47" i="4"/>
  <c r="BE47" i="4"/>
  <c r="BM47" i="4"/>
  <c r="BU47" i="4"/>
  <c r="CC47" i="4"/>
  <c r="AG47" i="4"/>
  <c r="AP47" i="4"/>
  <c r="AX47" i="4"/>
  <c r="BF47" i="4"/>
  <c r="BN47" i="4"/>
  <c r="BV47" i="4"/>
  <c r="AI47" i="4"/>
  <c r="AR47" i="4"/>
  <c r="AZ47" i="4"/>
  <c r="BH47" i="4"/>
  <c r="BP47" i="4"/>
  <c r="BX47" i="4"/>
  <c r="AJ47" i="4"/>
  <c r="AS47" i="4"/>
  <c r="BA47" i="4"/>
  <c r="BI47" i="4"/>
  <c r="BQ47" i="4"/>
  <c r="BY47" i="4"/>
  <c r="AY47" i="4"/>
  <c r="BT47" i="4"/>
  <c r="BB47" i="4"/>
  <c r="BW47" i="4"/>
  <c r="AH47" i="4"/>
  <c r="BD47" i="4"/>
  <c r="BZ47" i="4"/>
  <c r="AK47" i="4"/>
  <c r="BG47" i="4"/>
  <c r="CB47" i="4"/>
  <c r="AQ47" i="4"/>
  <c r="BL47" i="4"/>
  <c r="AT47" i="4"/>
  <c r="BO47" i="4"/>
  <c r="BJ47" i="4"/>
  <c r="BR47" i="4"/>
  <c r="AN47" i="4"/>
  <c r="AV47" i="4"/>
  <c r="Z47" i="4"/>
  <c r="AA47" i="4"/>
  <c r="AB47" i="4"/>
  <c r="AC47" i="4"/>
  <c r="V47" i="4"/>
  <c r="AD47" i="4"/>
  <c r="W47" i="4"/>
  <c r="AE47" i="4"/>
  <c r="X47" i="4"/>
  <c r="Y47" i="4"/>
  <c r="Q47" i="4"/>
  <c r="R47" i="4"/>
  <c r="S47" i="4"/>
  <c r="T47" i="4"/>
  <c r="U47" i="4"/>
  <c r="P46" i="4"/>
  <c r="J47" i="4"/>
  <c r="C47" i="4"/>
  <c r="K47" i="4"/>
  <c r="D47" i="4"/>
  <c r="L47" i="4"/>
  <c r="E47" i="4"/>
  <c r="M47" i="4"/>
  <c r="F47" i="4"/>
  <c r="N47" i="4"/>
  <c r="G47" i="4"/>
  <c r="I47" i="4"/>
  <c r="H47" i="4"/>
  <c r="B46" i="4"/>
  <c r="O46" i="4"/>
  <c r="A48" i="4"/>
  <c r="AM48" i="4" s="1"/>
  <c r="AK48" i="4" l="1"/>
  <c r="AT48" i="4"/>
  <c r="BB48" i="4"/>
  <c r="BJ48" i="4"/>
  <c r="BR48" i="4"/>
  <c r="BZ48" i="4"/>
  <c r="AN48" i="4"/>
  <c r="AV48" i="4"/>
  <c r="BD48" i="4"/>
  <c r="BL48" i="4"/>
  <c r="BT48" i="4"/>
  <c r="CB48" i="4"/>
  <c r="AF48" i="4"/>
  <c r="AO48" i="4"/>
  <c r="AW48" i="4"/>
  <c r="BE48" i="4"/>
  <c r="BM48" i="4"/>
  <c r="BU48" i="4"/>
  <c r="CC48" i="4"/>
  <c r="AH48" i="4"/>
  <c r="AQ48" i="4"/>
  <c r="AY48" i="4"/>
  <c r="BG48" i="4"/>
  <c r="BO48" i="4"/>
  <c r="BW48" i="4"/>
  <c r="AI48" i="4"/>
  <c r="AR48" i="4"/>
  <c r="AZ48" i="4"/>
  <c r="BH48" i="4"/>
  <c r="BP48" i="4"/>
  <c r="BX48" i="4"/>
  <c r="AS48" i="4"/>
  <c r="BN48" i="4"/>
  <c r="AU48" i="4"/>
  <c r="BQ48" i="4"/>
  <c r="AX48" i="4"/>
  <c r="BS48" i="4"/>
  <c r="BA48" i="4"/>
  <c r="BV48" i="4"/>
  <c r="AJ48" i="4"/>
  <c r="BF48" i="4"/>
  <c r="CA48" i="4"/>
  <c r="AL48" i="4"/>
  <c r="BI48" i="4"/>
  <c r="AG48" i="4"/>
  <c r="AP48" i="4"/>
  <c r="BC48" i="4"/>
  <c r="BK48" i="4"/>
  <c r="BY48" i="4"/>
  <c r="X48" i="4"/>
  <c r="Y48" i="4"/>
  <c r="Z48" i="4"/>
  <c r="AA48" i="4"/>
  <c r="AB48" i="4"/>
  <c r="AC48" i="4"/>
  <c r="V48" i="4"/>
  <c r="AD48" i="4"/>
  <c r="W48" i="4"/>
  <c r="AE48" i="4"/>
  <c r="T48" i="4"/>
  <c r="U48" i="4"/>
  <c r="Q48" i="4"/>
  <c r="R48" i="4"/>
  <c r="S48" i="4"/>
  <c r="B47" i="4"/>
  <c r="E48" i="4"/>
  <c r="F48" i="4"/>
  <c r="N48" i="4"/>
  <c r="G48" i="4"/>
  <c r="I48" i="4"/>
  <c r="J48" i="4"/>
  <c r="C48" i="4"/>
  <c r="D48" i="4"/>
  <c r="H48" i="4"/>
  <c r="K48" i="4"/>
  <c r="L48" i="4"/>
  <c r="M48" i="4"/>
  <c r="O47" i="4"/>
  <c r="P47" i="4"/>
  <c r="A49" i="4"/>
  <c r="AM49" i="4" s="1"/>
  <c r="AJ49" i="4" l="1"/>
  <c r="AS49" i="4"/>
  <c r="BA49" i="4"/>
  <c r="BI49" i="4"/>
  <c r="BQ49" i="4"/>
  <c r="BY49" i="4"/>
  <c r="AL49" i="4"/>
  <c r="AU49" i="4"/>
  <c r="BC49" i="4"/>
  <c r="BK49" i="4"/>
  <c r="BS49" i="4"/>
  <c r="CA49" i="4"/>
  <c r="AN49" i="4"/>
  <c r="AV49" i="4"/>
  <c r="BD49" i="4"/>
  <c r="BL49" i="4"/>
  <c r="BT49" i="4"/>
  <c r="CB49" i="4"/>
  <c r="AG49" i="4"/>
  <c r="AP49" i="4"/>
  <c r="AX49" i="4"/>
  <c r="BF49" i="4"/>
  <c r="BN49" i="4"/>
  <c r="BV49" i="4"/>
  <c r="AH49" i="4"/>
  <c r="AQ49" i="4"/>
  <c r="AY49" i="4"/>
  <c r="BG49" i="4"/>
  <c r="BO49" i="4"/>
  <c r="BW49" i="4"/>
  <c r="AK49" i="4"/>
  <c r="BH49" i="4"/>
  <c r="CC49" i="4"/>
  <c r="AO49" i="4"/>
  <c r="BJ49" i="4"/>
  <c r="AR49" i="4"/>
  <c r="BM49" i="4"/>
  <c r="AT49" i="4"/>
  <c r="BP49" i="4"/>
  <c r="AZ49" i="4"/>
  <c r="BU49" i="4"/>
  <c r="AF49" i="4"/>
  <c r="BB49" i="4"/>
  <c r="BX49" i="4"/>
  <c r="AW49" i="4"/>
  <c r="BE49" i="4"/>
  <c r="BR49" i="4"/>
  <c r="BZ49" i="4"/>
  <c r="AI49" i="4"/>
  <c r="V49" i="4"/>
  <c r="AD49" i="4"/>
  <c r="W49" i="4"/>
  <c r="AE49" i="4"/>
  <c r="X49" i="4"/>
  <c r="Y49" i="4"/>
  <c r="Z49" i="4"/>
  <c r="AA49" i="4"/>
  <c r="AB49" i="4"/>
  <c r="AC49" i="4"/>
  <c r="Q49" i="4"/>
  <c r="R49" i="4"/>
  <c r="S49" i="4"/>
  <c r="T49" i="4"/>
  <c r="U49" i="4"/>
  <c r="P48" i="4"/>
  <c r="B48" i="4"/>
  <c r="J49" i="4"/>
  <c r="E49" i="4"/>
  <c r="M49" i="4"/>
  <c r="F49" i="4"/>
  <c r="N49" i="4"/>
  <c r="G49" i="4"/>
  <c r="H49" i="4"/>
  <c r="I49" i="4"/>
  <c r="K49" i="4"/>
  <c r="L49" i="4"/>
  <c r="D49" i="4"/>
  <c r="C49" i="4"/>
  <c r="O48" i="4"/>
  <c r="A50" i="4"/>
  <c r="AM50" i="4" s="1"/>
  <c r="AI50" i="4" l="1"/>
  <c r="AR50" i="4"/>
  <c r="AZ50" i="4"/>
  <c r="BH50" i="4"/>
  <c r="BP50" i="4"/>
  <c r="BX50" i="4"/>
  <c r="AK50" i="4"/>
  <c r="AT50" i="4"/>
  <c r="BB50" i="4"/>
  <c r="BJ50" i="4"/>
  <c r="BR50" i="4"/>
  <c r="BZ50" i="4"/>
  <c r="AL50" i="4"/>
  <c r="AU50" i="4"/>
  <c r="BC50" i="4"/>
  <c r="BK50" i="4"/>
  <c r="BS50" i="4"/>
  <c r="CA50" i="4"/>
  <c r="AF50" i="4"/>
  <c r="AO50" i="4"/>
  <c r="AW50" i="4"/>
  <c r="BE50" i="4"/>
  <c r="BM50" i="4"/>
  <c r="BU50" i="4"/>
  <c r="CC50" i="4"/>
  <c r="AG50" i="4"/>
  <c r="AP50" i="4"/>
  <c r="AX50" i="4"/>
  <c r="BF50" i="4"/>
  <c r="BN50" i="4"/>
  <c r="BV50" i="4"/>
  <c r="BA50" i="4"/>
  <c r="BW50" i="4"/>
  <c r="AH50" i="4"/>
  <c r="BD50" i="4"/>
  <c r="BY50" i="4"/>
  <c r="AJ50" i="4"/>
  <c r="BG50" i="4"/>
  <c r="CB50" i="4"/>
  <c r="AN50" i="4"/>
  <c r="BI50" i="4"/>
  <c r="AS50" i="4"/>
  <c r="BO50" i="4"/>
  <c r="AV50" i="4"/>
  <c r="BQ50" i="4"/>
  <c r="AQ50" i="4"/>
  <c r="AY50" i="4"/>
  <c r="BL50" i="4"/>
  <c r="BT50" i="4"/>
  <c r="AB50" i="4"/>
  <c r="AC50" i="4"/>
  <c r="V50" i="4"/>
  <c r="AD50" i="4"/>
  <c r="W50" i="4"/>
  <c r="AE50" i="4"/>
  <c r="X50" i="4"/>
  <c r="Y50" i="4"/>
  <c r="Z50" i="4"/>
  <c r="AA50" i="4"/>
  <c r="R50" i="4"/>
  <c r="S50" i="4"/>
  <c r="T50" i="4"/>
  <c r="U50" i="4"/>
  <c r="Q50" i="4"/>
  <c r="O49" i="4"/>
  <c r="I50" i="4"/>
  <c r="J50" i="4"/>
  <c r="F50" i="4"/>
  <c r="G50" i="4"/>
  <c r="H50" i="4"/>
  <c r="K50" i="4"/>
  <c r="L50" i="4"/>
  <c r="C50" i="4"/>
  <c r="M50" i="4"/>
  <c r="E50" i="4"/>
  <c r="D50" i="4"/>
  <c r="N50" i="4"/>
  <c r="B49" i="4"/>
  <c r="P49" i="4"/>
  <c r="A51" i="4"/>
  <c r="AM51" i="4" s="1"/>
  <c r="AH51" i="4" l="1"/>
  <c r="AQ51" i="4"/>
  <c r="AY51" i="4"/>
  <c r="BG51" i="4"/>
  <c r="BO51" i="4"/>
  <c r="BW51" i="4"/>
  <c r="AJ51" i="4"/>
  <c r="AS51" i="4"/>
  <c r="BA51" i="4"/>
  <c r="BI51" i="4"/>
  <c r="BQ51" i="4"/>
  <c r="BY51" i="4"/>
  <c r="AK51" i="4"/>
  <c r="AT51" i="4"/>
  <c r="BB51" i="4"/>
  <c r="BJ51" i="4"/>
  <c r="BR51" i="4"/>
  <c r="BZ51" i="4"/>
  <c r="AN51" i="4"/>
  <c r="AV51" i="4"/>
  <c r="BD51" i="4"/>
  <c r="BL51" i="4"/>
  <c r="BT51" i="4"/>
  <c r="CB51" i="4"/>
  <c r="AF51" i="4"/>
  <c r="AO51" i="4"/>
  <c r="AW51" i="4"/>
  <c r="BE51" i="4"/>
  <c r="BM51" i="4"/>
  <c r="BU51" i="4"/>
  <c r="CC51" i="4"/>
  <c r="AU51" i="4"/>
  <c r="BP51" i="4"/>
  <c r="AX51" i="4"/>
  <c r="BS51" i="4"/>
  <c r="AZ51" i="4"/>
  <c r="BV51" i="4"/>
  <c r="AG51" i="4"/>
  <c r="BC51" i="4"/>
  <c r="BX51" i="4"/>
  <c r="AL51" i="4"/>
  <c r="BH51" i="4"/>
  <c r="AP51" i="4"/>
  <c r="BK51" i="4"/>
  <c r="AI51" i="4"/>
  <c r="AR51" i="4"/>
  <c r="BF51" i="4"/>
  <c r="BN51" i="4"/>
  <c r="CA51" i="4"/>
  <c r="Z51" i="4"/>
  <c r="AA51" i="4"/>
  <c r="AB51" i="4"/>
  <c r="AC51" i="4"/>
  <c r="V51" i="4"/>
  <c r="AD51" i="4"/>
  <c r="W51" i="4"/>
  <c r="AE51" i="4"/>
  <c r="X51" i="4"/>
  <c r="Y51" i="4"/>
  <c r="U51" i="4"/>
  <c r="Q51" i="4"/>
  <c r="R51" i="4"/>
  <c r="T51" i="4"/>
  <c r="S51" i="4"/>
  <c r="B50" i="4"/>
  <c r="D51" i="4"/>
  <c r="L51" i="4"/>
  <c r="E51" i="4"/>
  <c r="M51" i="4"/>
  <c r="C51" i="4"/>
  <c r="F51" i="4"/>
  <c r="G51" i="4"/>
  <c r="H51" i="4"/>
  <c r="I51" i="4"/>
  <c r="J51" i="4"/>
  <c r="N51" i="4"/>
  <c r="K51" i="4"/>
  <c r="P50" i="4"/>
  <c r="O50" i="4"/>
  <c r="A52" i="4"/>
  <c r="AM52" i="4" s="1"/>
  <c r="AG52" i="4" l="1"/>
  <c r="AP52" i="4"/>
  <c r="AX52" i="4"/>
  <c r="BF52" i="4"/>
  <c r="BN52" i="4"/>
  <c r="BV52" i="4"/>
  <c r="AI52" i="4"/>
  <c r="AR52" i="4"/>
  <c r="AZ52" i="4"/>
  <c r="BH52" i="4"/>
  <c r="BP52" i="4"/>
  <c r="BX52" i="4"/>
  <c r="AJ52" i="4"/>
  <c r="AS52" i="4"/>
  <c r="BA52" i="4"/>
  <c r="BI52" i="4"/>
  <c r="BQ52" i="4"/>
  <c r="BY52" i="4"/>
  <c r="AL52" i="4"/>
  <c r="AU52" i="4"/>
  <c r="BC52" i="4"/>
  <c r="BK52" i="4"/>
  <c r="BS52" i="4"/>
  <c r="CA52" i="4"/>
  <c r="AN52" i="4"/>
  <c r="AV52" i="4"/>
  <c r="BD52" i="4"/>
  <c r="BL52" i="4"/>
  <c r="BT52" i="4"/>
  <c r="CB52" i="4"/>
  <c r="AO52" i="4"/>
  <c r="BJ52" i="4"/>
  <c r="AQ52" i="4"/>
  <c r="BM52" i="4"/>
  <c r="AT52" i="4"/>
  <c r="BO52" i="4"/>
  <c r="AW52" i="4"/>
  <c r="BR52" i="4"/>
  <c r="AF52" i="4"/>
  <c r="BB52" i="4"/>
  <c r="BW52" i="4"/>
  <c r="AH52" i="4"/>
  <c r="BE52" i="4"/>
  <c r="BZ52" i="4"/>
  <c r="BU52" i="4"/>
  <c r="CC52" i="4"/>
  <c r="AK52" i="4"/>
  <c r="AY52" i="4"/>
  <c r="BG52" i="4"/>
  <c r="X52" i="4"/>
  <c r="Y52" i="4"/>
  <c r="Z52" i="4"/>
  <c r="AA52" i="4"/>
  <c r="AB52" i="4"/>
  <c r="AC52" i="4"/>
  <c r="V52" i="4"/>
  <c r="AD52" i="4"/>
  <c r="W52" i="4"/>
  <c r="AE52" i="4"/>
  <c r="Q52" i="4"/>
  <c r="R52" i="4"/>
  <c r="S52" i="4"/>
  <c r="T52" i="4"/>
  <c r="U52" i="4"/>
  <c r="B51" i="4"/>
  <c r="O51" i="4"/>
  <c r="P51" i="4"/>
  <c r="F52" i="4"/>
  <c r="N52" i="4"/>
  <c r="G52" i="4"/>
  <c r="K52" i="4"/>
  <c r="L52" i="4"/>
  <c r="C52" i="4"/>
  <c r="M52" i="4"/>
  <c r="D52" i="4"/>
  <c r="E52" i="4"/>
  <c r="H52" i="4"/>
  <c r="J52" i="4"/>
  <c r="I52" i="4"/>
  <c r="A53" i="4"/>
  <c r="AM53" i="4" s="1"/>
  <c r="O52" i="4" l="1"/>
  <c r="AF53" i="4"/>
  <c r="AO53" i="4"/>
  <c r="AW53" i="4"/>
  <c r="BE53" i="4"/>
  <c r="BM53" i="4"/>
  <c r="BU53" i="4"/>
  <c r="CC53" i="4"/>
  <c r="AH53" i="4"/>
  <c r="AQ53" i="4"/>
  <c r="AY53" i="4"/>
  <c r="BG53" i="4"/>
  <c r="BO53" i="4"/>
  <c r="BW53" i="4"/>
  <c r="AI53" i="4"/>
  <c r="AR53" i="4"/>
  <c r="AZ53" i="4"/>
  <c r="BH53" i="4"/>
  <c r="BP53" i="4"/>
  <c r="BX53" i="4"/>
  <c r="AK53" i="4"/>
  <c r="AT53" i="4"/>
  <c r="BB53" i="4"/>
  <c r="BJ53" i="4"/>
  <c r="BR53" i="4"/>
  <c r="BZ53" i="4"/>
  <c r="AL53" i="4"/>
  <c r="AU53" i="4"/>
  <c r="BC53" i="4"/>
  <c r="BK53" i="4"/>
  <c r="BS53" i="4"/>
  <c r="CA53" i="4"/>
  <c r="AG53" i="4"/>
  <c r="BD53" i="4"/>
  <c r="BY53" i="4"/>
  <c r="AJ53" i="4"/>
  <c r="BF53" i="4"/>
  <c r="CB53" i="4"/>
  <c r="AN53" i="4"/>
  <c r="BI53" i="4"/>
  <c r="AP53" i="4"/>
  <c r="BL53" i="4"/>
  <c r="AV53" i="4"/>
  <c r="BQ53" i="4"/>
  <c r="AX53" i="4"/>
  <c r="BT53" i="4"/>
  <c r="AS53" i="4"/>
  <c r="BA53" i="4"/>
  <c r="BN53" i="4"/>
  <c r="BV53" i="4"/>
  <c r="V53" i="4"/>
  <c r="AD53" i="4"/>
  <c r="W53" i="4"/>
  <c r="AE53" i="4"/>
  <c r="X53" i="4"/>
  <c r="Y53" i="4"/>
  <c r="Z53" i="4"/>
  <c r="AA53" i="4"/>
  <c r="AB53" i="4"/>
  <c r="AC53" i="4"/>
  <c r="S53" i="4"/>
  <c r="T53" i="4"/>
  <c r="U53" i="4"/>
  <c r="Q53" i="4"/>
  <c r="R53" i="4"/>
  <c r="B52" i="4"/>
  <c r="H53" i="4"/>
  <c r="I53" i="4"/>
  <c r="G53" i="4"/>
  <c r="J53" i="4"/>
  <c r="K53" i="4"/>
  <c r="L53" i="4"/>
  <c r="C53" i="4"/>
  <c r="M53" i="4"/>
  <c r="D53" i="4"/>
  <c r="N53" i="4"/>
  <c r="F53" i="4"/>
  <c r="E53" i="4"/>
  <c r="P52" i="4"/>
  <c r="A54" i="4"/>
  <c r="AM54" i="4" s="1"/>
  <c r="AN54" i="4" l="1"/>
  <c r="AV54" i="4"/>
  <c r="BD54" i="4"/>
  <c r="BL54" i="4"/>
  <c r="BT54" i="4"/>
  <c r="CB54" i="4"/>
  <c r="AG54" i="4"/>
  <c r="AP54" i="4"/>
  <c r="AX54" i="4"/>
  <c r="BF54" i="4"/>
  <c r="AH54" i="4"/>
  <c r="AQ54" i="4"/>
  <c r="AY54" i="4"/>
  <c r="BG54" i="4"/>
  <c r="BO54" i="4"/>
  <c r="BW54" i="4"/>
  <c r="AJ54" i="4"/>
  <c r="AS54" i="4"/>
  <c r="BA54" i="4"/>
  <c r="BI54" i="4"/>
  <c r="BQ54" i="4"/>
  <c r="BY54" i="4"/>
  <c r="AK54" i="4"/>
  <c r="AT54" i="4"/>
  <c r="BB54" i="4"/>
  <c r="BJ54" i="4"/>
  <c r="BR54" i="4"/>
  <c r="BZ54" i="4"/>
  <c r="AW54" i="4"/>
  <c r="BP54" i="4"/>
  <c r="AZ54" i="4"/>
  <c r="BS54" i="4"/>
  <c r="AF54" i="4"/>
  <c r="BC54" i="4"/>
  <c r="BU54" i="4"/>
  <c r="AI54" i="4"/>
  <c r="BE54" i="4"/>
  <c r="BV54" i="4"/>
  <c r="AO54" i="4"/>
  <c r="BK54" i="4"/>
  <c r="CA54" i="4"/>
  <c r="AR54" i="4"/>
  <c r="BM54" i="4"/>
  <c r="CC54" i="4"/>
  <c r="BH54" i="4"/>
  <c r="BN54" i="4"/>
  <c r="BX54" i="4"/>
  <c r="AL54" i="4"/>
  <c r="AU54" i="4"/>
  <c r="AB54" i="4"/>
  <c r="AC54" i="4"/>
  <c r="V54" i="4"/>
  <c r="AD54" i="4"/>
  <c r="W54" i="4"/>
  <c r="AE54" i="4"/>
  <c r="X54" i="4"/>
  <c r="Y54" i="4"/>
  <c r="Z54" i="4"/>
  <c r="AA54" i="4"/>
  <c r="Q54" i="4"/>
  <c r="R54" i="4"/>
  <c r="S54" i="4"/>
  <c r="U54" i="4"/>
  <c r="T54" i="4"/>
  <c r="B53" i="4"/>
  <c r="O53" i="4"/>
  <c r="D54" i="4"/>
  <c r="L54" i="4"/>
  <c r="E54" i="4"/>
  <c r="M54" i="4"/>
  <c r="G54" i="4"/>
  <c r="H54" i="4"/>
  <c r="I54" i="4"/>
  <c r="J54" i="4"/>
  <c r="K54" i="4"/>
  <c r="N54" i="4"/>
  <c r="F54" i="4"/>
  <c r="C54" i="4"/>
  <c r="P53" i="4"/>
  <c r="A55" i="4"/>
  <c r="AM55" i="4" s="1"/>
  <c r="AL55" i="4" l="1"/>
  <c r="AG55" i="4"/>
  <c r="AP55" i="4"/>
  <c r="AI55" i="4"/>
  <c r="AR55" i="4"/>
  <c r="AJ55" i="4"/>
  <c r="AH55" i="4"/>
  <c r="AV55" i="4"/>
  <c r="BD55" i="4"/>
  <c r="BL55" i="4"/>
  <c r="BT55" i="4"/>
  <c r="CB55" i="4"/>
  <c r="AK55" i="4"/>
  <c r="AW55" i="4"/>
  <c r="BE55" i="4"/>
  <c r="BM55" i="4"/>
  <c r="BU55" i="4"/>
  <c r="CC55" i="4"/>
  <c r="AN55" i="4"/>
  <c r="AX55" i="4"/>
  <c r="BF55" i="4"/>
  <c r="BN55" i="4"/>
  <c r="BV55" i="4"/>
  <c r="AO55" i="4"/>
  <c r="AY55" i="4"/>
  <c r="BG55" i="4"/>
  <c r="BO55" i="4"/>
  <c r="BW55" i="4"/>
  <c r="AS55" i="4"/>
  <c r="BA55" i="4"/>
  <c r="BI55" i="4"/>
  <c r="BQ55" i="4"/>
  <c r="BY55" i="4"/>
  <c r="AT55" i="4"/>
  <c r="BB55" i="4"/>
  <c r="BJ55" i="4"/>
  <c r="BR55" i="4"/>
  <c r="BZ55" i="4"/>
  <c r="BH55" i="4"/>
  <c r="BK55" i="4"/>
  <c r="BP55" i="4"/>
  <c r="AF55" i="4"/>
  <c r="BS55" i="4"/>
  <c r="AQ55" i="4"/>
  <c r="BX55" i="4"/>
  <c r="AU55" i="4"/>
  <c r="CA55" i="4"/>
  <c r="AZ55" i="4"/>
  <c r="BC55" i="4"/>
  <c r="Z55" i="4"/>
  <c r="AA55" i="4"/>
  <c r="AB55" i="4"/>
  <c r="AC55" i="4"/>
  <c r="V55" i="4"/>
  <c r="AD55" i="4"/>
  <c r="W55" i="4"/>
  <c r="AE55" i="4"/>
  <c r="X55" i="4"/>
  <c r="Y55" i="4"/>
  <c r="Q55" i="4"/>
  <c r="R55" i="4"/>
  <c r="S55" i="4"/>
  <c r="T55" i="4"/>
  <c r="U55" i="4"/>
  <c r="B54" i="4"/>
  <c r="H55" i="4"/>
  <c r="I55" i="4"/>
  <c r="E55" i="4"/>
  <c r="F55" i="4"/>
  <c r="G55" i="4"/>
  <c r="J55" i="4"/>
  <c r="K55" i="4"/>
  <c r="L55" i="4"/>
  <c r="D55" i="4"/>
  <c r="N55" i="4"/>
  <c r="C55" i="4"/>
  <c r="M55" i="4"/>
  <c r="P54" i="4"/>
  <c r="O54" i="4"/>
  <c r="A56" i="4"/>
  <c r="AM56" i="4" s="1"/>
  <c r="AL56" i="4" l="1"/>
  <c r="AU56" i="4"/>
  <c r="BC56" i="4"/>
  <c r="BK56" i="4"/>
  <c r="BS56" i="4"/>
  <c r="CA56" i="4"/>
  <c r="AN56" i="4"/>
  <c r="AV56" i="4"/>
  <c r="BD56" i="4"/>
  <c r="BL56" i="4"/>
  <c r="BT56" i="4"/>
  <c r="CB56" i="4"/>
  <c r="AF56" i="4"/>
  <c r="AO56" i="4"/>
  <c r="AW56" i="4"/>
  <c r="BE56" i="4"/>
  <c r="BM56" i="4"/>
  <c r="BU56" i="4"/>
  <c r="CC56" i="4"/>
  <c r="AG56" i="4"/>
  <c r="AP56" i="4"/>
  <c r="AX56" i="4"/>
  <c r="BF56" i="4"/>
  <c r="BN56" i="4"/>
  <c r="BV56" i="4"/>
  <c r="AI56" i="4"/>
  <c r="AR56" i="4"/>
  <c r="AZ56" i="4"/>
  <c r="BH56" i="4"/>
  <c r="BP56" i="4"/>
  <c r="BX56" i="4"/>
  <c r="AJ56" i="4"/>
  <c r="AS56" i="4"/>
  <c r="BA56" i="4"/>
  <c r="BI56" i="4"/>
  <c r="BQ56" i="4"/>
  <c r="BY56" i="4"/>
  <c r="AQ56" i="4"/>
  <c r="BW56" i="4"/>
  <c r="AT56" i="4"/>
  <c r="BZ56" i="4"/>
  <c r="AY56" i="4"/>
  <c r="BB56" i="4"/>
  <c r="BG56" i="4"/>
  <c r="BJ56" i="4"/>
  <c r="AH56" i="4"/>
  <c r="BO56" i="4"/>
  <c r="AK56" i="4"/>
  <c r="BR56" i="4"/>
  <c r="X56" i="4"/>
  <c r="Y56" i="4"/>
  <c r="Z56" i="4"/>
  <c r="AA56" i="4"/>
  <c r="AB56" i="4"/>
  <c r="AC56" i="4"/>
  <c r="V56" i="4"/>
  <c r="AD56" i="4"/>
  <c r="W56" i="4"/>
  <c r="AE56" i="4"/>
  <c r="T56" i="4"/>
  <c r="U56" i="4"/>
  <c r="S56" i="4"/>
  <c r="Q56" i="4"/>
  <c r="R56" i="4"/>
  <c r="O55" i="4"/>
  <c r="C56" i="4"/>
  <c r="K56" i="4"/>
  <c r="D56" i="4"/>
  <c r="L56" i="4"/>
  <c r="N56" i="4"/>
  <c r="E56" i="4"/>
  <c r="F56" i="4"/>
  <c r="G56" i="4"/>
  <c r="H56" i="4"/>
  <c r="I56" i="4"/>
  <c r="M56" i="4"/>
  <c r="J56" i="4"/>
  <c r="P55" i="4"/>
  <c r="B55" i="4"/>
  <c r="A57" i="4"/>
  <c r="AM57" i="4" s="1"/>
  <c r="AK57" i="4" l="1"/>
  <c r="AT57" i="4"/>
  <c r="BB57" i="4"/>
  <c r="BJ57" i="4"/>
  <c r="BR57" i="4"/>
  <c r="BZ57" i="4"/>
  <c r="AL57" i="4"/>
  <c r="AU57" i="4"/>
  <c r="BC57" i="4"/>
  <c r="BK57" i="4"/>
  <c r="BS57" i="4"/>
  <c r="CA57" i="4"/>
  <c r="AN57" i="4"/>
  <c r="AV57" i="4"/>
  <c r="BD57" i="4"/>
  <c r="BL57" i="4"/>
  <c r="BT57" i="4"/>
  <c r="CB57" i="4"/>
  <c r="AF57" i="4"/>
  <c r="AO57" i="4"/>
  <c r="AW57" i="4"/>
  <c r="BE57" i="4"/>
  <c r="BM57" i="4"/>
  <c r="BU57" i="4"/>
  <c r="CC57" i="4"/>
  <c r="AH57" i="4"/>
  <c r="AQ57" i="4"/>
  <c r="AY57" i="4"/>
  <c r="BG57" i="4"/>
  <c r="BO57" i="4"/>
  <c r="BW57" i="4"/>
  <c r="AI57" i="4"/>
  <c r="AR57" i="4"/>
  <c r="AZ57" i="4"/>
  <c r="BH57" i="4"/>
  <c r="BP57" i="4"/>
  <c r="BX57" i="4"/>
  <c r="BF57" i="4"/>
  <c r="BI57" i="4"/>
  <c r="AG57" i="4"/>
  <c r="BN57" i="4"/>
  <c r="AJ57" i="4"/>
  <c r="BQ57" i="4"/>
  <c r="AP57" i="4"/>
  <c r="BV57" i="4"/>
  <c r="AS57" i="4"/>
  <c r="BY57" i="4"/>
  <c r="AX57" i="4"/>
  <c r="BA57" i="4"/>
  <c r="V57" i="4"/>
  <c r="AD57" i="4"/>
  <c r="W57" i="4"/>
  <c r="AE57" i="4"/>
  <c r="X57" i="4"/>
  <c r="Y57" i="4"/>
  <c r="Z57" i="4"/>
  <c r="AA57" i="4"/>
  <c r="AB57" i="4"/>
  <c r="AC57" i="4"/>
  <c r="Q57" i="4"/>
  <c r="R57" i="4"/>
  <c r="S57" i="4"/>
  <c r="T57" i="4"/>
  <c r="U57" i="4"/>
  <c r="B56" i="4"/>
  <c r="O56" i="4"/>
  <c r="G57" i="4"/>
  <c r="H57" i="4"/>
  <c r="L57" i="4"/>
  <c r="C57" i="4"/>
  <c r="M57" i="4"/>
  <c r="D57" i="4"/>
  <c r="N57" i="4"/>
  <c r="E57" i="4"/>
  <c r="F57" i="4"/>
  <c r="I57" i="4"/>
  <c r="K57" i="4"/>
  <c r="J57" i="4"/>
  <c r="P56" i="4"/>
  <c r="A58" i="4"/>
  <c r="AM58" i="4" s="1"/>
  <c r="AJ58" i="4" l="1"/>
  <c r="AS58" i="4"/>
  <c r="BA58" i="4"/>
  <c r="BI58" i="4"/>
  <c r="BQ58" i="4"/>
  <c r="BY58" i="4"/>
  <c r="AK58" i="4"/>
  <c r="AT58" i="4"/>
  <c r="BB58" i="4"/>
  <c r="BJ58" i="4"/>
  <c r="BR58" i="4"/>
  <c r="BZ58" i="4"/>
  <c r="AL58" i="4"/>
  <c r="AU58" i="4"/>
  <c r="BC58" i="4"/>
  <c r="BK58" i="4"/>
  <c r="BS58" i="4"/>
  <c r="CA58" i="4"/>
  <c r="AN58" i="4"/>
  <c r="AV58" i="4"/>
  <c r="BD58" i="4"/>
  <c r="BL58" i="4"/>
  <c r="BT58" i="4"/>
  <c r="CB58" i="4"/>
  <c r="AG58" i="4"/>
  <c r="AP58" i="4"/>
  <c r="AX58" i="4"/>
  <c r="BF58" i="4"/>
  <c r="BN58" i="4"/>
  <c r="BV58" i="4"/>
  <c r="AH58" i="4"/>
  <c r="AQ58" i="4"/>
  <c r="AY58" i="4"/>
  <c r="BG58" i="4"/>
  <c r="BO58" i="4"/>
  <c r="BW58" i="4"/>
  <c r="AO58" i="4"/>
  <c r="BU58" i="4"/>
  <c r="AR58" i="4"/>
  <c r="BX58" i="4"/>
  <c r="AW58" i="4"/>
  <c r="CC58" i="4"/>
  <c r="AZ58" i="4"/>
  <c r="BE58" i="4"/>
  <c r="BH58" i="4"/>
  <c r="AF58" i="4"/>
  <c r="BM58" i="4"/>
  <c r="AI58" i="4"/>
  <c r="BP58" i="4"/>
  <c r="AB58" i="4"/>
  <c r="AC58" i="4"/>
  <c r="V58" i="4"/>
  <c r="AD58" i="4"/>
  <c r="W58" i="4"/>
  <c r="AE58" i="4"/>
  <c r="X58" i="4"/>
  <c r="Y58" i="4"/>
  <c r="Z58" i="4"/>
  <c r="AA58" i="4"/>
  <c r="R58" i="4"/>
  <c r="S58" i="4"/>
  <c r="T58" i="4"/>
  <c r="U58" i="4"/>
  <c r="Q58" i="4"/>
  <c r="P57" i="4"/>
  <c r="C58" i="4"/>
  <c r="K58" i="4"/>
  <c r="D58" i="4"/>
  <c r="L58" i="4"/>
  <c r="J58" i="4"/>
  <c r="M58" i="4"/>
  <c r="N58" i="4"/>
  <c r="E58" i="4"/>
  <c r="F58" i="4"/>
  <c r="G58" i="4"/>
  <c r="I58" i="4"/>
  <c r="H58" i="4"/>
  <c r="O57" i="4"/>
  <c r="B57" i="4"/>
  <c r="A59" i="4"/>
  <c r="AM59" i="4" s="1"/>
  <c r="AI59" i="4" l="1"/>
  <c r="AR59" i="4"/>
  <c r="AZ59" i="4"/>
  <c r="BH59" i="4"/>
  <c r="BP59" i="4"/>
  <c r="BX59" i="4"/>
  <c r="AJ59" i="4"/>
  <c r="AS59" i="4"/>
  <c r="BA59" i="4"/>
  <c r="BI59" i="4"/>
  <c r="BQ59" i="4"/>
  <c r="BY59" i="4"/>
  <c r="AK59" i="4"/>
  <c r="AT59" i="4"/>
  <c r="BB59" i="4"/>
  <c r="BJ59" i="4"/>
  <c r="BR59" i="4"/>
  <c r="BZ59" i="4"/>
  <c r="AL59" i="4"/>
  <c r="AU59" i="4"/>
  <c r="BC59" i="4"/>
  <c r="BK59" i="4"/>
  <c r="BS59" i="4"/>
  <c r="CA59" i="4"/>
  <c r="AF59" i="4"/>
  <c r="AO59" i="4"/>
  <c r="AW59" i="4"/>
  <c r="BE59" i="4"/>
  <c r="BM59" i="4"/>
  <c r="BU59" i="4"/>
  <c r="CC59" i="4"/>
  <c r="AG59" i="4"/>
  <c r="AP59" i="4"/>
  <c r="AX59" i="4"/>
  <c r="BF59" i="4"/>
  <c r="BN59" i="4"/>
  <c r="BV59" i="4"/>
  <c r="BD59" i="4"/>
  <c r="BG59" i="4"/>
  <c r="BL59" i="4"/>
  <c r="AH59" i="4"/>
  <c r="BO59" i="4"/>
  <c r="AN59" i="4"/>
  <c r="BT59" i="4"/>
  <c r="AQ59" i="4"/>
  <c r="BW59" i="4"/>
  <c r="AV59" i="4"/>
  <c r="CB59" i="4"/>
  <c r="AY59" i="4"/>
  <c r="Z59" i="4"/>
  <c r="AA59" i="4"/>
  <c r="AB59" i="4"/>
  <c r="AC59" i="4"/>
  <c r="V59" i="4"/>
  <c r="AD59" i="4"/>
  <c r="W59" i="4"/>
  <c r="AE59" i="4"/>
  <c r="X59" i="4"/>
  <c r="Y59" i="4"/>
  <c r="U59" i="4"/>
  <c r="Q59" i="4"/>
  <c r="R59" i="4"/>
  <c r="T59" i="4"/>
  <c r="S59" i="4"/>
  <c r="B58" i="4"/>
  <c r="F59" i="4"/>
  <c r="N59" i="4"/>
  <c r="G59" i="4"/>
  <c r="I59" i="4"/>
  <c r="J59" i="4"/>
  <c r="K59" i="4"/>
  <c r="L59" i="4"/>
  <c r="C59" i="4"/>
  <c r="M59" i="4"/>
  <c r="D59" i="4"/>
  <c r="H59" i="4"/>
  <c r="E59" i="4"/>
  <c r="O58" i="4"/>
  <c r="P58" i="4"/>
  <c r="A60" i="4"/>
  <c r="AM60" i="4" s="1"/>
  <c r="AH60" i="4" l="1"/>
  <c r="AQ60" i="4"/>
  <c r="AY60" i="4"/>
  <c r="BG60" i="4"/>
  <c r="BO60" i="4"/>
  <c r="BW60" i="4"/>
  <c r="AI60" i="4"/>
  <c r="AR60" i="4"/>
  <c r="AZ60" i="4"/>
  <c r="BH60" i="4"/>
  <c r="BP60" i="4"/>
  <c r="BX60" i="4"/>
  <c r="AJ60" i="4"/>
  <c r="AS60" i="4"/>
  <c r="BA60" i="4"/>
  <c r="BI60" i="4"/>
  <c r="BQ60" i="4"/>
  <c r="BY60" i="4"/>
  <c r="AK60" i="4"/>
  <c r="AT60" i="4"/>
  <c r="BB60" i="4"/>
  <c r="BJ60" i="4"/>
  <c r="BR60" i="4"/>
  <c r="BZ60" i="4"/>
  <c r="AN60" i="4"/>
  <c r="AV60" i="4"/>
  <c r="BD60" i="4"/>
  <c r="BL60" i="4"/>
  <c r="BT60" i="4"/>
  <c r="CB60" i="4"/>
  <c r="AF60" i="4"/>
  <c r="AO60" i="4"/>
  <c r="AW60" i="4"/>
  <c r="BE60" i="4"/>
  <c r="BM60" i="4"/>
  <c r="BU60" i="4"/>
  <c r="CC60" i="4"/>
  <c r="AL60" i="4"/>
  <c r="BS60" i="4"/>
  <c r="AP60" i="4"/>
  <c r="BV60" i="4"/>
  <c r="AU60" i="4"/>
  <c r="CA60" i="4"/>
  <c r="AX60" i="4"/>
  <c r="BC60" i="4"/>
  <c r="BF60" i="4"/>
  <c r="BK60" i="4"/>
  <c r="AG60" i="4"/>
  <c r="BN60" i="4"/>
  <c r="X60" i="4"/>
  <c r="Y60" i="4"/>
  <c r="Z60" i="4"/>
  <c r="AA60" i="4"/>
  <c r="AB60" i="4"/>
  <c r="AC60" i="4"/>
  <c r="V60" i="4"/>
  <c r="AD60" i="4"/>
  <c r="W60" i="4"/>
  <c r="AE60" i="4"/>
  <c r="Q60" i="4"/>
  <c r="R60" i="4"/>
  <c r="S60" i="4"/>
  <c r="T60" i="4"/>
  <c r="U60" i="4"/>
  <c r="B59" i="4"/>
  <c r="H60" i="4"/>
  <c r="I60" i="4"/>
  <c r="E60" i="4"/>
  <c r="F60" i="4"/>
  <c r="G60" i="4"/>
  <c r="J60" i="4"/>
  <c r="K60" i="4"/>
  <c r="L60" i="4"/>
  <c r="D60" i="4"/>
  <c r="N60" i="4"/>
  <c r="C60" i="4"/>
  <c r="M60" i="4"/>
  <c r="O59" i="4"/>
  <c r="P59" i="4"/>
  <c r="A61" i="4"/>
  <c r="AM61" i="4" s="1"/>
  <c r="AG61" i="4" l="1"/>
  <c r="AP61" i="4"/>
  <c r="AX61" i="4"/>
  <c r="BF61" i="4"/>
  <c r="BN61" i="4"/>
  <c r="BV61" i="4"/>
  <c r="AH61" i="4"/>
  <c r="AQ61" i="4"/>
  <c r="AY61" i="4"/>
  <c r="BG61" i="4"/>
  <c r="BO61" i="4"/>
  <c r="BW61" i="4"/>
  <c r="AI61" i="4"/>
  <c r="AR61" i="4"/>
  <c r="AZ61" i="4"/>
  <c r="BH61" i="4"/>
  <c r="BP61" i="4"/>
  <c r="BX61" i="4"/>
  <c r="AJ61" i="4"/>
  <c r="AS61" i="4"/>
  <c r="BA61" i="4"/>
  <c r="BI61" i="4"/>
  <c r="BQ61" i="4"/>
  <c r="BY61" i="4"/>
  <c r="AL61" i="4"/>
  <c r="AU61" i="4"/>
  <c r="BC61" i="4"/>
  <c r="BK61" i="4"/>
  <c r="BS61" i="4"/>
  <c r="CA61" i="4"/>
  <c r="AN61" i="4"/>
  <c r="AV61" i="4"/>
  <c r="BD61" i="4"/>
  <c r="BL61" i="4"/>
  <c r="BT61" i="4"/>
  <c r="CB61" i="4"/>
  <c r="BB61" i="4"/>
  <c r="BE61" i="4"/>
  <c r="BJ61" i="4"/>
  <c r="AF61" i="4"/>
  <c r="BM61" i="4"/>
  <c r="AK61" i="4"/>
  <c r="BR61" i="4"/>
  <c r="AO61" i="4"/>
  <c r="BU61" i="4"/>
  <c r="AT61" i="4"/>
  <c r="BZ61" i="4"/>
  <c r="AW61" i="4"/>
  <c r="CC61" i="4"/>
  <c r="V61" i="4"/>
  <c r="AD61" i="4"/>
  <c r="W61" i="4"/>
  <c r="AE61" i="4"/>
  <c r="X61" i="4"/>
  <c r="Y61" i="4"/>
  <c r="Z61" i="4"/>
  <c r="AA61" i="4"/>
  <c r="AB61" i="4"/>
  <c r="AC61" i="4"/>
  <c r="S61" i="4"/>
  <c r="T61" i="4"/>
  <c r="U61" i="4"/>
  <c r="R61" i="4"/>
  <c r="Q61" i="4"/>
  <c r="O60" i="4"/>
  <c r="B60" i="4"/>
  <c r="J61" i="4"/>
  <c r="C61" i="4"/>
  <c r="K61" i="4"/>
  <c r="M61" i="4"/>
  <c r="D61" i="4"/>
  <c r="N61" i="4"/>
  <c r="E61" i="4"/>
  <c r="F61" i="4"/>
  <c r="G61" i="4"/>
  <c r="H61" i="4"/>
  <c r="L61" i="4"/>
  <c r="I61" i="4"/>
  <c r="P60" i="4"/>
  <c r="A62" i="4"/>
  <c r="AM62" i="4" s="1"/>
  <c r="AF62" i="4" l="1"/>
  <c r="AO62" i="4"/>
  <c r="AW62" i="4"/>
  <c r="BE62" i="4"/>
  <c r="BM62" i="4"/>
  <c r="BU62" i="4"/>
  <c r="CC62" i="4"/>
  <c r="AG62" i="4"/>
  <c r="AP62" i="4"/>
  <c r="AX62" i="4"/>
  <c r="BF62" i="4"/>
  <c r="BN62" i="4"/>
  <c r="BV62" i="4"/>
  <c r="AH62" i="4"/>
  <c r="AQ62" i="4"/>
  <c r="AY62" i="4"/>
  <c r="BG62" i="4"/>
  <c r="BO62" i="4"/>
  <c r="BW62" i="4"/>
  <c r="AI62" i="4"/>
  <c r="AR62" i="4"/>
  <c r="AZ62" i="4"/>
  <c r="BH62" i="4"/>
  <c r="BP62" i="4"/>
  <c r="BX62" i="4"/>
  <c r="AK62" i="4"/>
  <c r="AT62" i="4"/>
  <c r="BB62" i="4"/>
  <c r="BJ62" i="4"/>
  <c r="BR62" i="4"/>
  <c r="BZ62" i="4"/>
  <c r="AL62" i="4"/>
  <c r="AU62" i="4"/>
  <c r="BC62" i="4"/>
  <c r="BK62" i="4"/>
  <c r="BS62" i="4"/>
  <c r="CA62" i="4"/>
  <c r="AJ62" i="4"/>
  <c r="BQ62" i="4"/>
  <c r="AN62" i="4"/>
  <c r="BT62" i="4"/>
  <c r="AS62" i="4"/>
  <c r="BY62" i="4"/>
  <c r="AV62" i="4"/>
  <c r="CB62" i="4"/>
  <c r="BA62" i="4"/>
  <c r="BD62" i="4"/>
  <c r="BI62" i="4"/>
  <c r="BL62" i="4"/>
  <c r="AB62" i="4"/>
  <c r="AC62" i="4"/>
  <c r="V62" i="4"/>
  <c r="AD62" i="4"/>
  <c r="W62" i="4"/>
  <c r="AE62" i="4"/>
  <c r="X62" i="4"/>
  <c r="Y62" i="4"/>
  <c r="Z62" i="4"/>
  <c r="AA62" i="4"/>
  <c r="Q62" i="4"/>
  <c r="R62" i="4"/>
  <c r="S62" i="4"/>
  <c r="T62" i="4"/>
  <c r="U62" i="4"/>
  <c r="F62" i="4"/>
  <c r="N62" i="4"/>
  <c r="G62" i="4"/>
  <c r="K62" i="4"/>
  <c r="L62" i="4"/>
  <c r="C62" i="4"/>
  <c r="M62" i="4"/>
  <c r="D62" i="4"/>
  <c r="E62" i="4"/>
  <c r="H62" i="4"/>
  <c r="J62" i="4"/>
  <c r="I62" i="4"/>
  <c r="B61" i="4"/>
  <c r="O61" i="4"/>
  <c r="P61" i="4"/>
  <c r="A63" i="4"/>
  <c r="AM63" i="4" s="1"/>
  <c r="AN63" i="4" l="1"/>
  <c r="AV63" i="4"/>
  <c r="BD63" i="4"/>
  <c r="BL63" i="4"/>
  <c r="BT63" i="4"/>
  <c r="CB63" i="4"/>
  <c r="AF63" i="4"/>
  <c r="AO63" i="4"/>
  <c r="AW63" i="4"/>
  <c r="BE63" i="4"/>
  <c r="BM63" i="4"/>
  <c r="BU63" i="4"/>
  <c r="CC63" i="4"/>
  <c r="AG63" i="4"/>
  <c r="AP63" i="4"/>
  <c r="AX63" i="4"/>
  <c r="BF63" i="4"/>
  <c r="BN63" i="4"/>
  <c r="BV63" i="4"/>
  <c r="AH63" i="4"/>
  <c r="AQ63" i="4"/>
  <c r="AY63" i="4"/>
  <c r="BG63" i="4"/>
  <c r="BO63" i="4"/>
  <c r="BW63" i="4"/>
  <c r="AJ63" i="4"/>
  <c r="AS63" i="4"/>
  <c r="BA63" i="4"/>
  <c r="BI63" i="4"/>
  <c r="BQ63" i="4"/>
  <c r="BY63" i="4"/>
  <c r="AK63" i="4"/>
  <c r="AT63" i="4"/>
  <c r="BB63" i="4"/>
  <c r="BJ63" i="4"/>
  <c r="BR63" i="4"/>
  <c r="BZ63" i="4"/>
  <c r="AZ63" i="4"/>
  <c r="BC63" i="4"/>
  <c r="BH63" i="4"/>
  <c r="BK63" i="4"/>
  <c r="AI63" i="4"/>
  <c r="BP63" i="4"/>
  <c r="AL63" i="4"/>
  <c r="BS63" i="4"/>
  <c r="AR63" i="4"/>
  <c r="BX63" i="4"/>
  <c r="AU63" i="4"/>
  <c r="CA63" i="4"/>
  <c r="Z63" i="4"/>
  <c r="AA63" i="4"/>
  <c r="AB63" i="4"/>
  <c r="AC63" i="4"/>
  <c r="V63" i="4"/>
  <c r="AD63" i="4"/>
  <c r="W63" i="4"/>
  <c r="AE63" i="4"/>
  <c r="X63" i="4"/>
  <c r="Y63" i="4"/>
  <c r="Q63" i="4"/>
  <c r="R63" i="4"/>
  <c r="S63" i="4"/>
  <c r="T63" i="4"/>
  <c r="U63" i="4"/>
  <c r="O62" i="4"/>
  <c r="J63" i="4"/>
  <c r="C63" i="4"/>
  <c r="K63" i="4"/>
  <c r="I63" i="4"/>
  <c r="L63" i="4"/>
  <c r="M63" i="4"/>
  <c r="D63" i="4"/>
  <c r="N63" i="4"/>
  <c r="E63" i="4"/>
  <c r="F63" i="4"/>
  <c r="H63" i="4"/>
  <c r="G63" i="4"/>
  <c r="B62" i="4"/>
  <c r="P62" i="4"/>
  <c r="A64" i="4"/>
  <c r="AM64" i="4" s="1"/>
  <c r="AL64" i="4" l="1"/>
  <c r="AU64" i="4"/>
  <c r="BC64" i="4"/>
  <c r="BK64" i="4"/>
  <c r="BS64" i="4"/>
  <c r="CA64" i="4"/>
  <c r="AF64" i="4"/>
  <c r="AO64" i="4"/>
  <c r="AW64" i="4"/>
  <c r="BE64" i="4"/>
  <c r="AG64" i="4"/>
  <c r="AP64" i="4"/>
  <c r="AX64" i="4"/>
  <c r="BF64" i="4"/>
  <c r="BN64" i="4"/>
  <c r="BV64" i="4"/>
  <c r="AI64" i="4"/>
  <c r="AR64" i="4"/>
  <c r="AZ64" i="4"/>
  <c r="BH64" i="4"/>
  <c r="BP64" i="4"/>
  <c r="BX64" i="4"/>
  <c r="AJ64" i="4"/>
  <c r="AS64" i="4"/>
  <c r="BA64" i="4"/>
  <c r="BI64" i="4"/>
  <c r="BQ64" i="4"/>
  <c r="BY64" i="4"/>
  <c r="AH64" i="4"/>
  <c r="BD64" i="4"/>
  <c r="BU64" i="4"/>
  <c r="AK64" i="4"/>
  <c r="BG64" i="4"/>
  <c r="BW64" i="4"/>
  <c r="AN64" i="4"/>
  <c r="BJ64" i="4"/>
  <c r="BZ64" i="4"/>
  <c r="AQ64" i="4"/>
  <c r="BL64" i="4"/>
  <c r="CB64" i="4"/>
  <c r="AT64" i="4"/>
  <c r="BM64" i="4"/>
  <c r="CC64" i="4"/>
  <c r="AV64" i="4"/>
  <c r="BO64" i="4"/>
  <c r="AY64" i="4"/>
  <c r="BR64" i="4"/>
  <c r="BB64" i="4"/>
  <c r="BT64" i="4"/>
  <c r="X64" i="4"/>
  <c r="Y64" i="4"/>
  <c r="Z64" i="4"/>
  <c r="AA64" i="4"/>
  <c r="AB64" i="4"/>
  <c r="AC64" i="4"/>
  <c r="V64" i="4"/>
  <c r="AD64" i="4"/>
  <c r="W64" i="4"/>
  <c r="AE64" i="4"/>
  <c r="T64" i="4"/>
  <c r="U64" i="4"/>
  <c r="Q64" i="4"/>
  <c r="S64" i="4"/>
  <c r="R64" i="4"/>
  <c r="F64" i="4"/>
  <c r="N64" i="4"/>
  <c r="G64" i="4"/>
  <c r="H64" i="4"/>
  <c r="I64" i="4"/>
  <c r="J64" i="4"/>
  <c r="K64" i="4"/>
  <c r="C64" i="4"/>
  <c r="L64" i="4"/>
  <c r="E64" i="4"/>
  <c r="D64" i="4"/>
  <c r="M64" i="4"/>
  <c r="P63" i="4"/>
  <c r="B63" i="4"/>
  <c r="O63" i="4"/>
  <c r="A65" i="4"/>
  <c r="AM65" i="4" s="1"/>
  <c r="AF65" i="4" l="1"/>
  <c r="AH65" i="4"/>
  <c r="AI65" i="4"/>
  <c r="AL65" i="4"/>
  <c r="AU65" i="4"/>
  <c r="BC65" i="4"/>
  <c r="BK65" i="4"/>
  <c r="BS65" i="4"/>
  <c r="CA65" i="4"/>
  <c r="AN65" i="4"/>
  <c r="AV65" i="4"/>
  <c r="BD65" i="4"/>
  <c r="BL65" i="4"/>
  <c r="BT65" i="4"/>
  <c r="CB65" i="4"/>
  <c r="AO65" i="4"/>
  <c r="AW65" i="4"/>
  <c r="BE65" i="4"/>
  <c r="BM65" i="4"/>
  <c r="BU65" i="4"/>
  <c r="CC65" i="4"/>
  <c r="AP65" i="4"/>
  <c r="AX65" i="4"/>
  <c r="BF65" i="4"/>
  <c r="BN65" i="4"/>
  <c r="BV65" i="4"/>
  <c r="AQ65" i="4"/>
  <c r="AY65" i="4"/>
  <c r="BG65" i="4"/>
  <c r="BO65" i="4"/>
  <c r="BW65" i="4"/>
  <c r="AG65" i="4"/>
  <c r="AR65" i="4"/>
  <c r="AZ65" i="4"/>
  <c r="BH65" i="4"/>
  <c r="BP65" i="4"/>
  <c r="BX65" i="4"/>
  <c r="AJ65" i="4"/>
  <c r="AS65" i="4"/>
  <c r="BA65" i="4"/>
  <c r="BI65" i="4"/>
  <c r="BQ65" i="4"/>
  <c r="BY65" i="4"/>
  <c r="AK65" i="4"/>
  <c r="AT65" i="4"/>
  <c r="BB65" i="4"/>
  <c r="BJ65" i="4"/>
  <c r="BR65" i="4"/>
  <c r="BZ65" i="4"/>
  <c r="V65" i="4"/>
  <c r="AD65" i="4"/>
  <c r="W65" i="4"/>
  <c r="AE65" i="4"/>
  <c r="X65" i="4"/>
  <c r="Y65" i="4"/>
  <c r="Z65" i="4"/>
  <c r="AA65" i="4"/>
  <c r="AB65" i="4"/>
  <c r="AC65" i="4"/>
  <c r="Q65" i="4"/>
  <c r="R65" i="4"/>
  <c r="S65" i="4"/>
  <c r="T65" i="4"/>
  <c r="U65" i="4"/>
  <c r="P64" i="4"/>
  <c r="B64" i="4"/>
  <c r="D65" i="4"/>
  <c r="L65" i="4"/>
  <c r="E65" i="4"/>
  <c r="M65" i="4"/>
  <c r="F65" i="4"/>
  <c r="N65" i="4"/>
  <c r="G65" i="4"/>
  <c r="H65" i="4"/>
  <c r="I65" i="4"/>
  <c r="C65" i="4"/>
  <c r="K65" i="4"/>
  <c r="J65" i="4"/>
  <c r="O64" i="4"/>
  <c r="A66" i="4"/>
  <c r="AM66" i="4" s="1"/>
  <c r="B65" i="4" l="1"/>
  <c r="AK66" i="4"/>
  <c r="AT66" i="4"/>
  <c r="BB66" i="4"/>
  <c r="BJ66" i="4"/>
  <c r="BR66" i="4"/>
  <c r="BZ66" i="4"/>
  <c r="AL66" i="4"/>
  <c r="AU66" i="4"/>
  <c r="AN66" i="4"/>
  <c r="AV66" i="4"/>
  <c r="BD66" i="4"/>
  <c r="BL66" i="4"/>
  <c r="BT66" i="4"/>
  <c r="CB66" i="4"/>
  <c r="AF66" i="4"/>
  <c r="AO66" i="4"/>
  <c r="AW66" i="4"/>
  <c r="BE66" i="4"/>
  <c r="AG66" i="4"/>
  <c r="AP66" i="4"/>
  <c r="AX66" i="4"/>
  <c r="BF66" i="4"/>
  <c r="BN66" i="4"/>
  <c r="BV66" i="4"/>
  <c r="AH66" i="4"/>
  <c r="AQ66" i="4"/>
  <c r="AY66" i="4"/>
  <c r="BG66" i="4"/>
  <c r="BO66" i="4"/>
  <c r="BW66" i="4"/>
  <c r="AI66" i="4"/>
  <c r="AR66" i="4"/>
  <c r="AZ66" i="4"/>
  <c r="BH66" i="4"/>
  <c r="BP66" i="4"/>
  <c r="BX66" i="4"/>
  <c r="AJ66" i="4"/>
  <c r="AS66" i="4"/>
  <c r="BA66" i="4"/>
  <c r="BI66" i="4"/>
  <c r="BQ66" i="4"/>
  <c r="BY66" i="4"/>
  <c r="BC66" i="4"/>
  <c r="BK66" i="4"/>
  <c r="BM66" i="4"/>
  <c r="BS66" i="4"/>
  <c r="BU66" i="4"/>
  <c r="CA66" i="4"/>
  <c r="CC66" i="4"/>
  <c r="AB66" i="4"/>
  <c r="AC66" i="4"/>
  <c r="V66" i="4"/>
  <c r="AD66" i="4"/>
  <c r="W66" i="4"/>
  <c r="AE66" i="4"/>
  <c r="X66" i="4"/>
  <c r="Y66" i="4"/>
  <c r="Z66" i="4"/>
  <c r="AA66" i="4"/>
  <c r="R66" i="4"/>
  <c r="S66" i="4"/>
  <c r="T66" i="4"/>
  <c r="U66" i="4"/>
  <c r="Q66" i="4"/>
  <c r="H66" i="4"/>
  <c r="I66" i="4"/>
  <c r="J66" i="4"/>
  <c r="C66" i="4"/>
  <c r="K66" i="4"/>
  <c r="D66" i="4"/>
  <c r="L66" i="4"/>
  <c r="E66" i="4"/>
  <c r="M66" i="4"/>
  <c r="G66" i="4"/>
  <c r="F66" i="4"/>
  <c r="N66" i="4"/>
  <c r="P65" i="4"/>
  <c r="O65" i="4"/>
  <c r="A67" i="4"/>
  <c r="AM67" i="4" s="1"/>
  <c r="AJ67" i="4" l="1"/>
  <c r="AS67" i="4"/>
  <c r="BA67" i="4"/>
  <c r="BI67" i="4"/>
  <c r="BQ67" i="4"/>
  <c r="BY67" i="4"/>
  <c r="AL67" i="4"/>
  <c r="AU67" i="4"/>
  <c r="BC67" i="4"/>
  <c r="BK67" i="4"/>
  <c r="BS67" i="4"/>
  <c r="CA67" i="4"/>
  <c r="AF67" i="4"/>
  <c r="AO67" i="4"/>
  <c r="AW67" i="4"/>
  <c r="BE67" i="4"/>
  <c r="BM67" i="4"/>
  <c r="BU67" i="4"/>
  <c r="CC67" i="4"/>
  <c r="AG67" i="4"/>
  <c r="AP67" i="4"/>
  <c r="AX67" i="4"/>
  <c r="BF67" i="4"/>
  <c r="BN67" i="4"/>
  <c r="BV67" i="4"/>
  <c r="AH67" i="4"/>
  <c r="AQ67" i="4"/>
  <c r="AY67" i="4"/>
  <c r="BG67" i="4"/>
  <c r="BO67" i="4"/>
  <c r="BW67" i="4"/>
  <c r="AI67" i="4"/>
  <c r="AR67" i="4"/>
  <c r="AZ67" i="4"/>
  <c r="BH67" i="4"/>
  <c r="BP67" i="4"/>
  <c r="BX67" i="4"/>
  <c r="AN67" i="4"/>
  <c r="BT67" i="4"/>
  <c r="AT67" i="4"/>
  <c r="BZ67" i="4"/>
  <c r="AV67" i="4"/>
  <c r="CB67" i="4"/>
  <c r="BB67" i="4"/>
  <c r="BD67" i="4"/>
  <c r="BJ67" i="4"/>
  <c r="BL67" i="4"/>
  <c r="AK67" i="4"/>
  <c r="BR67" i="4"/>
  <c r="Z67" i="4"/>
  <c r="AA67" i="4"/>
  <c r="AB67" i="4"/>
  <c r="AC67" i="4"/>
  <c r="V67" i="4"/>
  <c r="AD67" i="4"/>
  <c r="W67" i="4"/>
  <c r="AE67" i="4"/>
  <c r="X67" i="4"/>
  <c r="Y67" i="4"/>
  <c r="U67" i="4"/>
  <c r="Q67" i="4"/>
  <c r="R67" i="4"/>
  <c r="S67" i="4"/>
  <c r="T67" i="4"/>
  <c r="B66" i="4"/>
  <c r="P66" i="4"/>
  <c r="C67" i="4"/>
  <c r="K67" i="4"/>
  <c r="D67" i="4"/>
  <c r="L67" i="4"/>
  <c r="E67" i="4"/>
  <c r="M67" i="4"/>
  <c r="F67" i="4"/>
  <c r="N67" i="4"/>
  <c r="G67" i="4"/>
  <c r="H67" i="4"/>
  <c r="J67" i="4"/>
  <c r="I67" i="4"/>
  <c r="O66" i="4"/>
  <c r="A68" i="4"/>
  <c r="AM68" i="4" s="1"/>
  <c r="AI68" i="4" l="1"/>
  <c r="AR68" i="4"/>
  <c r="AZ68" i="4"/>
  <c r="BH68" i="4"/>
  <c r="BP68" i="4"/>
  <c r="BX68" i="4"/>
  <c r="AK68" i="4"/>
  <c r="AT68" i="4"/>
  <c r="BB68" i="4"/>
  <c r="BJ68" i="4"/>
  <c r="BR68" i="4"/>
  <c r="BZ68" i="4"/>
  <c r="AN68" i="4"/>
  <c r="AV68" i="4"/>
  <c r="BD68" i="4"/>
  <c r="BL68" i="4"/>
  <c r="BT68" i="4"/>
  <c r="CB68" i="4"/>
  <c r="AF68" i="4"/>
  <c r="AO68" i="4"/>
  <c r="AW68" i="4"/>
  <c r="BE68" i="4"/>
  <c r="BM68" i="4"/>
  <c r="BU68" i="4"/>
  <c r="CC68" i="4"/>
  <c r="AG68" i="4"/>
  <c r="AP68" i="4"/>
  <c r="AX68" i="4"/>
  <c r="BF68" i="4"/>
  <c r="BN68" i="4"/>
  <c r="BV68" i="4"/>
  <c r="AH68" i="4"/>
  <c r="AQ68" i="4"/>
  <c r="AY68" i="4"/>
  <c r="BG68" i="4"/>
  <c r="BO68" i="4"/>
  <c r="BW68" i="4"/>
  <c r="BC68" i="4"/>
  <c r="BI68" i="4"/>
  <c r="BK68" i="4"/>
  <c r="AJ68" i="4"/>
  <c r="BQ68" i="4"/>
  <c r="AL68" i="4"/>
  <c r="BS68" i="4"/>
  <c r="AS68" i="4"/>
  <c r="BY68" i="4"/>
  <c r="AU68" i="4"/>
  <c r="CA68" i="4"/>
  <c r="BA68" i="4"/>
  <c r="X68" i="4"/>
  <c r="Y68" i="4"/>
  <c r="Z68" i="4"/>
  <c r="AA68" i="4"/>
  <c r="AB68" i="4"/>
  <c r="AC68" i="4"/>
  <c r="V68" i="4"/>
  <c r="AD68" i="4"/>
  <c r="W68" i="4"/>
  <c r="AE68" i="4"/>
  <c r="Q68" i="4"/>
  <c r="R68" i="4"/>
  <c r="S68" i="4"/>
  <c r="T68" i="4"/>
  <c r="U68" i="4"/>
  <c r="O67" i="4"/>
  <c r="P67" i="4"/>
  <c r="F68" i="4"/>
  <c r="N68" i="4"/>
  <c r="G68" i="4"/>
  <c r="H68" i="4"/>
  <c r="I68" i="4"/>
  <c r="J68" i="4"/>
  <c r="C68" i="4"/>
  <c r="K68" i="4"/>
  <c r="E68" i="4"/>
  <c r="M68" i="4"/>
  <c r="L68" i="4"/>
  <c r="D68" i="4"/>
  <c r="B67" i="4"/>
  <c r="A69" i="4"/>
  <c r="AM69" i="4" s="1"/>
  <c r="AH69" i="4" l="1"/>
  <c r="AQ69" i="4"/>
  <c r="AY69" i="4"/>
  <c r="BG69" i="4"/>
  <c r="BO69" i="4"/>
  <c r="BW69" i="4"/>
  <c r="AJ69" i="4"/>
  <c r="AS69" i="4"/>
  <c r="BA69" i="4"/>
  <c r="BI69" i="4"/>
  <c r="BQ69" i="4"/>
  <c r="BY69" i="4"/>
  <c r="AL69" i="4"/>
  <c r="AU69" i="4"/>
  <c r="BC69" i="4"/>
  <c r="BK69" i="4"/>
  <c r="BS69" i="4"/>
  <c r="CA69" i="4"/>
  <c r="AN69" i="4"/>
  <c r="AV69" i="4"/>
  <c r="BD69" i="4"/>
  <c r="BL69" i="4"/>
  <c r="BT69" i="4"/>
  <c r="CB69" i="4"/>
  <c r="AF69" i="4"/>
  <c r="AO69" i="4"/>
  <c r="AW69" i="4"/>
  <c r="BE69" i="4"/>
  <c r="BM69" i="4"/>
  <c r="BU69" i="4"/>
  <c r="CC69" i="4"/>
  <c r="AG69" i="4"/>
  <c r="AP69" i="4"/>
  <c r="AX69" i="4"/>
  <c r="BF69" i="4"/>
  <c r="BN69" i="4"/>
  <c r="BV69" i="4"/>
  <c r="AK69" i="4"/>
  <c r="BR69" i="4"/>
  <c r="AR69" i="4"/>
  <c r="BX69" i="4"/>
  <c r="AT69" i="4"/>
  <c r="BZ69" i="4"/>
  <c r="AZ69" i="4"/>
  <c r="BB69" i="4"/>
  <c r="BH69" i="4"/>
  <c r="BJ69" i="4"/>
  <c r="AI69" i="4"/>
  <c r="BP69" i="4"/>
  <c r="V69" i="4"/>
  <c r="AD69" i="4"/>
  <c r="W69" i="4"/>
  <c r="AE69" i="4"/>
  <c r="X69" i="4"/>
  <c r="Y69" i="4"/>
  <c r="Z69" i="4"/>
  <c r="AA69" i="4"/>
  <c r="AB69" i="4"/>
  <c r="AC69" i="4"/>
  <c r="S69" i="4"/>
  <c r="T69" i="4"/>
  <c r="U69" i="4"/>
  <c r="R69" i="4"/>
  <c r="Q69" i="4"/>
  <c r="B68" i="4"/>
  <c r="O68" i="4"/>
  <c r="P68" i="4"/>
  <c r="H69" i="4"/>
  <c r="I69" i="4"/>
  <c r="J69" i="4"/>
  <c r="C69" i="4"/>
  <c r="K69" i="4"/>
  <c r="D69" i="4"/>
  <c r="L69" i="4"/>
  <c r="E69" i="4"/>
  <c r="M69" i="4"/>
  <c r="G69" i="4"/>
  <c r="F69" i="4"/>
  <c r="N69" i="4"/>
  <c r="A70" i="4"/>
  <c r="AM70" i="4" s="1"/>
  <c r="AG70" i="4" l="1"/>
  <c r="AP70" i="4"/>
  <c r="AX70" i="4"/>
  <c r="BF70" i="4"/>
  <c r="BN70" i="4"/>
  <c r="BV70" i="4"/>
  <c r="AI70" i="4"/>
  <c r="AR70" i="4"/>
  <c r="AZ70" i="4"/>
  <c r="BH70" i="4"/>
  <c r="BP70" i="4"/>
  <c r="BX70" i="4"/>
  <c r="AK70" i="4"/>
  <c r="AT70" i="4"/>
  <c r="BB70" i="4"/>
  <c r="BJ70" i="4"/>
  <c r="BR70" i="4"/>
  <c r="BZ70" i="4"/>
  <c r="AL70" i="4"/>
  <c r="AU70" i="4"/>
  <c r="BC70" i="4"/>
  <c r="BK70" i="4"/>
  <c r="BS70" i="4"/>
  <c r="CA70" i="4"/>
  <c r="AN70" i="4"/>
  <c r="AV70" i="4"/>
  <c r="BD70" i="4"/>
  <c r="BL70" i="4"/>
  <c r="BT70" i="4"/>
  <c r="CB70" i="4"/>
  <c r="AF70" i="4"/>
  <c r="AO70" i="4"/>
  <c r="AW70" i="4"/>
  <c r="BE70" i="4"/>
  <c r="BM70" i="4"/>
  <c r="BU70" i="4"/>
  <c r="CC70" i="4"/>
  <c r="BA70" i="4"/>
  <c r="BG70" i="4"/>
  <c r="BI70" i="4"/>
  <c r="AH70" i="4"/>
  <c r="BO70" i="4"/>
  <c r="AJ70" i="4"/>
  <c r="BQ70" i="4"/>
  <c r="AQ70" i="4"/>
  <c r="BW70" i="4"/>
  <c r="AS70" i="4"/>
  <c r="BY70" i="4"/>
  <c r="AY70" i="4"/>
  <c r="AB70" i="4"/>
  <c r="AC70" i="4"/>
  <c r="V70" i="4"/>
  <c r="AD70" i="4"/>
  <c r="W70" i="4"/>
  <c r="AE70" i="4"/>
  <c r="X70" i="4"/>
  <c r="Y70" i="4"/>
  <c r="Z70" i="4"/>
  <c r="AA70" i="4"/>
  <c r="Q70" i="4"/>
  <c r="R70" i="4"/>
  <c r="S70" i="4"/>
  <c r="T70" i="4"/>
  <c r="U70" i="4"/>
  <c r="B69" i="4"/>
  <c r="O69" i="4"/>
  <c r="D70" i="4"/>
  <c r="L70" i="4"/>
  <c r="E70" i="4"/>
  <c r="M70" i="4"/>
  <c r="F70" i="4"/>
  <c r="N70" i="4"/>
  <c r="G70" i="4"/>
  <c r="H70" i="4"/>
  <c r="I70" i="4"/>
  <c r="C70" i="4"/>
  <c r="K70" i="4"/>
  <c r="J70" i="4"/>
  <c r="P69" i="4"/>
  <c r="A71" i="4"/>
  <c r="AM71" i="4" s="1"/>
  <c r="O70" i="4" l="1"/>
  <c r="B70" i="4"/>
  <c r="AF71" i="4"/>
  <c r="AO71" i="4"/>
  <c r="AW71" i="4"/>
  <c r="BE71" i="4"/>
  <c r="BM71" i="4"/>
  <c r="BU71" i="4"/>
  <c r="CC71" i="4"/>
  <c r="AH71" i="4"/>
  <c r="AQ71" i="4"/>
  <c r="AY71" i="4"/>
  <c r="BG71" i="4"/>
  <c r="BO71" i="4"/>
  <c r="BW71" i="4"/>
  <c r="AJ71" i="4"/>
  <c r="AS71" i="4"/>
  <c r="BA71" i="4"/>
  <c r="BI71" i="4"/>
  <c r="BQ71" i="4"/>
  <c r="BY71" i="4"/>
  <c r="AK71" i="4"/>
  <c r="AT71" i="4"/>
  <c r="BB71" i="4"/>
  <c r="BJ71" i="4"/>
  <c r="BR71" i="4"/>
  <c r="BZ71" i="4"/>
  <c r="AL71" i="4"/>
  <c r="AU71" i="4"/>
  <c r="BC71" i="4"/>
  <c r="BK71" i="4"/>
  <c r="BS71" i="4"/>
  <c r="CA71" i="4"/>
  <c r="AN71" i="4"/>
  <c r="AV71" i="4"/>
  <c r="BD71" i="4"/>
  <c r="BL71" i="4"/>
  <c r="BT71" i="4"/>
  <c r="CB71" i="4"/>
  <c r="AI71" i="4"/>
  <c r="BP71" i="4"/>
  <c r="AP71" i="4"/>
  <c r="BV71" i="4"/>
  <c r="AR71" i="4"/>
  <c r="BX71" i="4"/>
  <c r="AX71" i="4"/>
  <c r="AZ71" i="4"/>
  <c r="BF71" i="4"/>
  <c r="BH71" i="4"/>
  <c r="AG71" i="4"/>
  <c r="BN71" i="4"/>
  <c r="Z71" i="4"/>
  <c r="AA71" i="4"/>
  <c r="AB71" i="4"/>
  <c r="AC71" i="4"/>
  <c r="V71" i="4"/>
  <c r="AD71" i="4"/>
  <c r="W71" i="4"/>
  <c r="AE71" i="4"/>
  <c r="X71" i="4"/>
  <c r="Y71" i="4"/>
  <c r="Q71" i="4"/>
  <c r="R71" i="4"/>
  <c r="S71" i="4"/>
  <c r="T71" i="4"/>
  <c r="U71" i="4"/>
  <c r="P70" i="4"/>
  <c r="H71" i="4"/>
  <c r="J71" i="4"/>
  <c r="C71" i="4"/>
  <c r="K71" i="4"/>
  <c r="D71" i="4"/>
  <c r="L71" i="4"/>
  <c r="E71" i="4"/>
  <c r="M71" i="4"/>
  <c r="G71" i="4"/>
  <c r="F71" i="4"/>
  <c r="N71" i="4"/>
  <c r="I71" i="4"/>
  <c r="A72" i="4"/>
  <c r="AM72" i="4" s="1"/>
  <c r="AN72" i="4" l="1"/>
  <c r="AV72" i="4"/>
  <c r="BD72" i="4"/>
  <c r="BL72" i="4"/>
  <c r="BT72" i="4"/>
  <c r="CB72" i="4"/>
  <c r="AG72" i="4"/>
  <c r="AP72" i="4"/>
  <c r="AX72" i="4"/>
  <c r="BF72" i="4"/>
  <c r="BN72" i="4"/>
  <c r="BV72" i="4"/>
  <c r="AI72" i="4"/>
  <c r="AR72" i="4"/>
  <c r="AZ72" i="4"/>
  <c r="BH72" i="4"/>
  <c r="BP72" i="4"/>
  <c r="BX72" i="4"/>
  <c r="AJ72" i="4"/>
  <c r="AS72" i="4"/>
  <c r="BA72" i="4"/>
  <c r="BI72" i="4"/>
  <c r="BQ72" i="4"/>
  <c r="BY72" i="4"/>
  <c r="AK72" i="4"/>
  <c r="AT72" i="4"/>
  <c r="BB72" i="4"/>
  <c r="BJ72" i="4"/>
  <c r="BR72" i="4"/>
  <c r="BZ72" i="4"/>
  <c r="AL72" i="4"/>
  <c r="AU72" i="4"/>
  <c r="BC72" i="4"/>
  <c r="BK72" i="4"/>
  <c r="BS72" i="4"/>
  <c r="CA72" i="4"/>
  <c r="AY72" i="4"/>
  <c r="BE72" i="4"/>
  <c r="BG72" i="4"/>
  <c r="AF72" i="4"/>
  <c r="BM72" i="4"/>
  <c r="AH72" i="4"/>
  <c r="BO72" i="4"/>
  <c r="AO72" i="4"/>
  <c r="BU72" i="4"/>
  <c r="AQ72" i="4"/>
  <c r="BW72" i="4"/>
  <c r="AW72" i="4"/>
  <c r="CC72" i="4"/>
  <c r="X72" i="4"/>
  <c r="Y72" i="4"/>
  <c r="Z72" i="4"/>
  <c r="AA72" i="4"/>
  <c r="AB72" i="4"/>
  <c r="AC72" i="4"/>
  <c r="V72" i="4"/>
  <c r="AD72" i="4"/>
  <c r="W72" i="4"/>
  <c r="AE72" i="4"/>
  <c r="T72" i="4"/>
  <c r="U72" i="4"/>
  <c r="S72" i="4"/>
  <c r="Q72" i="4"/>
  <c r="R72" i="4"/>
  <c r="P71" i="4"/>
  <c r="C72" i="4"/>
  <c r="K72" i="4"/>
  <c r="E72" i="4"/>
  <c r="M72" i="4"/>
  <c r="F72" i="4"/>
  <c r="N72" i="4"/>
  <c r="G72" i="4"/>
  <c r="H72" i="4"/>
  <c r="J72" i="4"/>
  <c r="I72" i="4"/>
  <c r="L72" i="4"/>
  <c r="D72" i="4"/>
  <c r="B71" i="4"/>
  <c r="O71" i="4"/>
  <c r="A73" i="4"/>
  <c r="AM73" i="4" s="1"/>
  <c r="B72" i="4" l="1"/>
  <c r="AL73" i="4"/>
  <c r="AU73" i="4"/>
  <c r="BC73" i="4"/>
  <c r="BK73" i="4"/>
  <c r="BS73" i="4"/>
  <c r="CA73" i="4"/>
  <c r="AF73" i="4"/>
  <c r="AO73" i="4"/>
  <c r="AW73" i="4"/>
  <c r="BE73" i="4"/>
  <c r="BM73" i="4"/>
  <c r="BU73" i="4"/>
  <c r="CC73" i="4"/>
  <c r="AH73" i="4"/>
  <c r="AQ73" i="4"/>
  <c r="AY73" i="4"/>
  <c r="BG73" i="4"/>
  <c r="BO73" i="4"/>
  <c r="BW73" i="4"/>
  <c r="AI73" i="4"/>
  <c r="AR73" i="4"/>
  <c r="AZ73" i="4"/>
  <c r="BH73" i="4"/>
  <c r="BP73" i="4"/>
  <c r="BX73" i="4"/>
  <c r="AJ73" i="4"/>
  <c r="AS73" i="4"/>
  <c r="BA73" i="4"/>
  <c r="BI73" i="4"/>
  <c r="BQ73" i="4"/>
  <c r="BY73" i="4"/>
  <c r="AK73" i="4"/>
  <c r="AT73" i="4"/>
  <c r="BB73" i="4"/>
  <c r="BJ73" i="4"/>
  <c r="BR73" i="4"/>
  <c r="BZ73" i="4"/>
  <c r="AG73" i="4"/>
  <c r="BN73" i="4"/>
  <c r="AN73" i="4"/>
  <c r="BT73" i="4"/>
  <c r="AP73" i="4"/>
  <c r="BV73" i="4"/>
  <c r="AV73" i="4"/>
  <c r="CB73" i="4"/>
  <c r="AX73" i="4"/>
  <c r="BD73" i="4"/>
  <c r="BF73" i="4"/>
  <c r="BL73" i="4"/>
  <c r="V73" i="4"/>
  <c r="AD73" i="4"/>
  <c r="W73" i="4"/>
  <c r="AE73" i="4"/>
  <c r="X73" i="4"/>
  <c r="Y73" i="4"/>
  <c r="Z73" i="4"/>
  <c r="AA73" i="4"/>
  <c r="AB73" i="4"/>
  <c r="AC73" i="4"/>
  <c r="Q73" i="4"/>
  <c r="R73" i="4"/>
  <c r="S73" i="4"/>
  <c r="T73" i="4"/>
  <c r="U73" i="4"/>
  <c r="O72" i="4"/>
  <c r="G73" i="4"/>
  <c r="I73" i="4"/>
  <c r="J73" i="4"/>
  <c r="C73" i="4"/>
  <c r="K73" i="4"/>
  <c r="D73" i="4"/>
  <c r="L73" i="4"/>
  <c r="F73" i="4"/>
  <c r="N73" i="4"/>
  <c r="M73" i="4"/>
  <c r="H73" i="4"/>
  <c r="E73" i="4"/>
  <c r="P72" i="4"/>
  <c r="A74" i="4"/>
  <c r="AM74" i="4" s="1"/>
  <c r="AK74" i="4" l="1"/>
  <c r="AT74" i="4"/>
  <c r="BB74" i="4"/>
  <c r="BJ74" i="4"/>
  <c r="BR74" i="4"/>
  <c r="BZ74" i="4"/>
  <c r="AN74" i="4"/>
  <c r="AV74" i="4"/>
  <c r="BD74" i="4"/>
  <c r="BL74" i="4"/>
  <c r="BT74" i="4"/>
  <c r="CB74" i="4"/>
  <c r="AG74" i="4"/>
  <c r="AP74" i="4"/>
  <c r="AX74" i="4"/>
  <c r="BF74" i="4"/>
  <c r="BN74" i="4"/>
  <c r="BV74" i="4"/>
  <c r="AH74" i="4"/>
  <c r="AQ74" i="4"/>
  <c r="AY74" i="4"/>
  <c r="BG74" i="4"/>
  <c r="BO74" i="4"/>
  <c r="BW74" i="4"/>
  <c r="AI74" i="4"/>
  <c r="AR74" i="4"/>
  <c r="AZ74" i="4"/>
  <c r="BH74" i="4"/>
  <c r="BP74" i="4"/>
  <c r="BX74" i="4"/>
  <c r="AJ74" i="4"/>
  <c r="AS74" i="4"/>
  <c r="BA74" i="4"/>
  <c r="BI74" i="4"/>
  <c r="BQ74" i="4"/>
  <c r="BY74" i="4"/>
  <c r="AW74" i="4"/>
  <c r="CC74" i="4"/>
  <c r="BC74" i="4"/>
  <c r="BE74" i="4"/>
  <c r="BK74" i="4"/>
  <c r="AF74" i="4"/>
  <c r="BM74" i="4"/>
  <c r="AL74" i="4"/>
  <c r="BS74" i="4"/>
  <c r="AO74" i="4"/>
  <c r="BU74" i="4"/>
  <c r="AU74" i="4"/>
  <c r="CA74" i="4"/>
  <c r="AB74" i="4"/>
  <c r="AC74" i="4"/>
  <c r="V74" i="4"/>
  <c r="AD74" i="4"/>
  <c r="W74" i="4"/>
  <c r="AE74" i="4"/>
  <c r="X74" i="4"/>
  <c r="Y74" i="4"/>
  <c r="Z74" i="4"/>
  <c r="AA74" i="4"/>
  <c r="R74" i="4"/>
  <c r="S74" i="4"/>
  <c r="T74" i="4"/>
  <c r="U74" i="4"/>
  <c r="Q74" i="4"/>
  <c r="O73" i="4"/>
  <c r="P73" i="4"/>
  <c r="C74" i="4"/>
  <c r="K74" i="4"/>
  <c r="E74" i="4"/>
  <c r="M74" i="4"/>
  <c r="F74" i="4"/>
  <c r="N74" i="4"/>
  <c r="G74" i="4"/>
  <c r="H74" i="4"/>
  <c r="J74" i="4"/>
  <c r="I74" i="4"/>
  <c r="D74" i="4"/>
  <c r="L74" i="4"/>
  <c r="B73" i="4"/>
  <c r="A75" i="4"/>
  <c r="AM75" i="4" s="1"/>
  <c r="B74" i="4" l="1"/>
  <c r="AJ75" i="4"/>
  <c r="AS75" i="4"/>
  <c r="AL75" i="4"/>
  <c r="AU75" i="4"/>
  <c r="AF75" i="4"/>
  <c r="AO75" i="4"/>
  <c r="AG75" i="4"/>
  <c r="AP75" i="4"/>
  <c r="AH75" i="4"/>
  <c r="AQ75" i="4"/>
  <c r="AI75" i="4"/>
  <c r="AY75" i="4"/>
  <c r="BG75" i="4"/>
  <c r="BO75" i="4"/>
  <c r="BW75" i="4"/>
  <c r="AK75" i="4"/>
  <c r="AZ75" i="4"/>
  <c r="BH75" i="4"/>
  <c r="BP75" i="4"/>
  <c r="BX75" i="4"/>
  <c r="AN75" i="4"/>
  <c r="BA75" i="4"/>
  <c r="BI75" i="4"/>
  <c r="BQ75" i="4"/>
  <c r="BY75" i="4"/>
  <c r="AR75" i="4"/>
  <c r="BB75" i="4"/>
  <c r="BJ75" i="4"/>
  <c r="BR75" i="4"/>
  <c r="BZ75" i="4"/>
  <c r="AT75" i="4"/>
  <c r="BC75" i="4"/>
  <c r="BK75" i="4"/>
  <c r="BS75" i="4"/>
  <c r="CA75" i="4"/>
  <c r="AV75" i="4"/>
  <c r="BD75" i="4"/>
  <c r="BL75" i="4"/>
  <c r="BT75" i="4"/>
  <c r="CB75" i="4"/>
  <c r="AW75" i="4"/>
  <c r="BE75" i="4"/>
  <c r="BM75" i="4"/>
  <c r="BU75" i="4"/>
  <c r="CC75" i="4"/>
  <c r="AX75" i="4"/>
  <c r="BF75" i="4"/>
  <c r="BN75" i="4"/>
  <c r="BV75" i="4"/>
  <c r="Z75" i="4"/>
  <c r="AA75" i="4"/>
  <c r="AB75" i="4"/>
  <c r="AC75" i="4"/>
  <c r="V75" i="4"/>
  <c r="AD75" i="4"/>
  <c r="W75" i="4"/>
  <c r="AE75" i="4"/>
  <c r="X75" i="4"/>
  <c r="Y75" i="4"/>
  <c r="U75" i="4"/>
  <c r="Q75" i="4"/>
  <c r="R75" i="4"/>
  <c r="S75" i="4"/>
  <c r="T75" i="4"/>
  <c r="O74" i="4"/>
  <c r="P74" i="4"/>
  <c r="F75" i="4"/>
  <c r="N75" i="4"/>
  <c r="H75" i="4"/>
  <c r="I75" i="4"/>
  <c r="J75" i="4"/>
  <c r="C75" i="4"/>
  <c r="K75" i="4"/>
  <c r="E75" i="4"/>
  <c r="M75" i="4"/>
  <c r="D75" i="4"/>
  <c r="G75" i="4"/>
  <c r="L75" i="4"/>
  <c r="A76" i="4"/>
  <c r="AM76" i="4" s="1"/>
  <c r="A77" i="4" l="1"/>
  <c r="AM77" i="4" s="1"/>
  <c r="AG76" i="4"/>
  <c r="AP76" i="4"/>
  <c r="AX76" i="4"/>
  <c r="BF76" i="4"/>
  <c r="BN76" i="4"/>
  <c r="BV76" i="4"/>
  <c r="AH76" i="4"/>
  <c r="AQ76" i="4"/>
  <c r="AY76" i="4"/>
  <c r="BG76" i="4"/>
  <c r="BO76" i="4"/>
  <c r="BW76" i="4"/>
  <c r="AI76" i="4"/>
  <c r="AR76" i="4"/>
  <c r="AZ76" i="4"/>
  <c r="BH76" i="4"/>
  <c r="BP76" i="4"/>
  <c r="BX76" i="4"/>
  <c r="AJ76" i="4"/>
  <c r="AS76" i="4"/>
  <c r="BA76" i="4"/>
  <c r="BI76" i="4"/>
  <c r="BQ76" i="4"/>
  <c r="BY76" i="4"/>
  <c r="AK76" i="4"/>
  <c r="AT76" i="4"/>
  <c r="BB76" i="4"/>
  <c r="BJ76" i="4"/>
  <c r="BR76" i="4"/>
  <c r="BZ76" i="4"/>
  <c r="AL76" i="4"/>
  <c r="AU76" i="4"/>
  <c r="BC76" i="4"/>
  <c r="BK76" i="4"/>
  <c r="BS76" i="4"/>
  <c r="CA76" i="4"/>
  <c r="AN76" i="4"/>
  <c r="AV76" i="4"/>
  <c r="BD76" i="4"/>
  <c r="BL76" i="4"/>
  <c r="BT76" i="4"/>
  <c r="CB76" i="4"/>
  <c r="AF76" i="4"/>
  <c r="AO76" i="4"/>
  <c r="AW76" i="4"/>
  <c r="BE76" i="4"/>
  <c r="BM76" i="4"/>
  <c r="BU76" i="4"/>
  <c r="CC76" i="4"/>
  <c r="X76" i="4"/>
  <c r="Y76" i="4"/>
  <c r="Z76" i="4"/>
  <c r="AA76" i="4"/>
  <c r="AB76" i="4"/>
  <c r="AC76" i="4"/>
  <c r="V76" i="4"/>
  <c r="AD76" i="4"/>
  <c r="W76" i="4"/>
  <c r="AE76" i="4"/>
  <c r="Q76" i="4"/>
  <c r="R76" i="4"/>
  <c r="S76" i="4"/>
  <c r="T76" i="4"/>
  <c r="U76" i="4"/>
  <c r="C77" i="4"/>
  <c r="K77" i="4"/>
  <c r="E77" i="4"/>
  <c r="M77" i="4"/>
  <c r="F77" i="4"/>
  <c r="N77" i="4"/>
  <c r="H77" i="4"/>
  <c r="J77" i="4"/>
  <c r="G77" i="4"/>
  <c r="I77" i="4"/>
  <c r="D77" i="4"/>
  <c r="L77" i="4"/>
  <c r="B75" i="4"/>
  <c r="O75" i="4"/>
  <c r="I76" i="4"/>
  <c r="C76" i="4"/>
  <c r="K76" i="4"/>
  <c r="D76" i="4"/>
  <c r="L76" i="4"/>
  <c r="E76" i="4"/>
  <c r="M76" i="4"/>
  <c r="F76" i="4"/>
  <c r="N76" i="4"/>
  <c r="H76" i="4"/>
  <c r="G76" i="4"/>
  <c r="J76" i="4"/>
  <c r="P75" i="4"/>
  <c r="A78" i="4"/>
  <c r="AM78" i="4" s="1"/>
  <c r="AN78" i="4" l="1"/>
  <c r="AV78" i="4"/>
  <c r="BD78" i="4"/>
  <c r="BL78" i="4"/>
  <c r="BT78" i="4"/>
  <c r="CB78" i="4"/>
  <c r="AF78" i="4"/>
  <c r="AO78" i="4"/>
  <c r="AW78" i="4"/>
  <c r="BE78" i="4"/>
  <c r="BM78" i="4"/>
  <c r="BU78" i="4"/>
  <c r="CC78" i="4"/>
  <c r="AG78" i="4"/>
  <c r="AP78" i="4"/>
  <c r="AX78" i="4"/>
  <c r="BF78" i="4"/>
  <c r="BN78" i="4"/>
  <c r="BV78" i="4"/>
  <c r="AH78" i="4"/>
  <c r="AQ78" i="4"/>
  <c r="AY78" i="4"/>
  <c r="BG78" i="4"/>
  <c r="BO78" i="4"/>
  <c r="BW78" i="4"/>
  <c r="AI78" i="4"/>
  <c r="AR78" i="4"/>
  <c r="AZ78" i="4"/>
  <c r="BH78" i="4"/>
  <c r="BP78" i="4"/>
  <c r="BX78" i="4"/>
  <c r="AJ78" i="4"/>
  <c r="AS78" i="4"/>
  <c r="BA78" i="4"/>
  <c r="BI78" i="4"/>
  <c r="BQ78" i="4"/>
  <c r="BY78" i="4"/>
  <c r="AK78" i="4"/>
  <c r="AT78" i="4"/>
  <c r="BB78" i="4"/>
  <c r="BJ78" i="4"/>
  <c r="BR78" i="4"/>
  <c r="BZ78" i="4"/>
  <c r="AL78" i="4"/>
  <c r="AU78" i="4"/>
  <c r="BC78" i="4"/>
  <c r="BK78" i="4"/>
  <c r="BS78" i="4"/>
  <c r="CA78" i="4"/>
  <c r="AB78" i="4"/>
  <c r="AC78" i="4"/>
  <c r="V78" i="4"/>
  <c r="AD78" i="4"/>
  <c r="W78" i="4"/>
  <c r="AE78" i="4"/>
  <c r="X78" i="4"/>
  <c r="Y78" i="4"/>
  <c r="Z78" i="4"/>
  <c r="AA78" i="4"/>
  <c r="Q78" i="4"/>
  <c r="R78" i="4"/>
  <c r="U78" i="4"/>
  <c r="S78" i="4"/>
  <c r="T78" i="4"/>
  <c r="AF77" i="4"/>
  <c r="AO77" i="4"/>
  <c r="AW77" i="4"/>
  <c r="BE77" i="4"/>
  <c r="BM77" i="4"/>
  <c r="BU77" i="4"/>
  <c r="CC77" i="4"/>
  <c r="AG77" i="4"/>
  <c r="AP77" i="4"/>
  <c r="AX77" i="4"/>
  <c r="BF77" i="4"/>
  <c r="BN77" i="4"/>
  <c r="BV77" i="4"/>
  <c r="AH77" i="4"/>
  <c r="AQ77" i="4"/>
  <c r="AY77" i="4"/>
  <c r="BG77" i="4"/>
  <c r="BO77" i="4"/>
  <c r="BW77" i="4"/>
  <c r="AI77" i="4"/>
  <c r="AR77" i="4"/>
  <c r="AZ77" i="4"/>
  <c r="BH77" i="4"/>
  <c r="BP77" i="4"/>
  <c r="BX77" i="4"/>
  <c r="AJ77" i="4"/>
  <c r="AS77" i="4"/>
  <c r="BA77" i="4"/>
  <c r="BI77" i="4"/>
  <c r="BQ77" i="4"/>
  <c r="BY77" i="4"/>
  <c r="AK77" i="4"/>
  <c r="AT77" i="4"/>
  <c r="BB77" i="4"/>
  <c r="BJ77" i="4"/>
  <c r="BR77" i="4"/>
  <c r="BZ77" i="4"/>
  <c r="AL77" i="4"/>
  <c r="AU77" i="4"/>
  <c r="BC77" i="4"/>
  <c r="BK77" i="4"/>
  <c r="BS77" i="4"/>
  <c r="CA77" i="4"/>
  <c r="AN77" i="4"/>
  <c r="AV77" i="4"/>
  <c r="BD77" i="4"/>
  <c r="BL77" i="4"/>
  <c r="BT77" i="4"/>
  <c r="CB77" i="4"/>
  <c r="V77" i="4"/>
  <c r="AD77" i="4"/>
  <c r="W77" i="4"/>
  <c r="AE77" i="4"/>
  <c r="X77" i="4"/>
  <c r="Y77" i="4"/>
  <c r="Z77" i="4"/>
  <c r="AA77" i="4"/>
  <c r="AB77" i="4"/>
  <c r="AC77" i="4"/>
  <c r="S77" i="4"/>
  <c r="T77" i="4"/>
  <c r="U77" i="4"/>
  <c r="R77" i="4"/>
  <c r="Q77" i="4"/>
  <c r="O76" i="4"/>
  <c r="O77" i="4"/>
  <c r="B76" i="4"/>
  <c r="P76" i="4"/>
  <c r="G78" i="4"/>
  <c r="I78" i="4"/>
  <c r="J78" i="4"/>
  <c r="D78" i="4"/>
  <c r="L78" i="4"/>
  <c r="F78" i="4"/>
  <c r="N78" i="4"/>
  <c r="K78" i="4"/>
  <c r="C78" i="4"/>
  <c r="E78" i="4"/>
  <c r="H78" i="4"/>
  <c r="M78" i="4"/>
  <c r="P77" i="4"/>
  <c r="B77" i="4"/>
  <c r="A79" i="4"/>
  <c r="AM79" i="4" s="1"/>
  <c r="AL79" i="4" l="1"/>
  <c r="AU79" i="4"/>
  <c r="BC79" i="4"/>
  <c r="BK79" i="4"/>
  <c r="BS79" i="4"/>
  <c r="CA79" i="4"/>
  <c r="AN79" i="4"/>
  <c r="AV79" i="4"/>
  <c r="BD79" i="4"/>
  <c r="AF79" i="4"/>
  <c r="AO79" i="4"/>
  <c r="AW79" i="4"/>
  <c r="BE79" i="4"/>
  <c r="BM79" i="4"/>
  <c r="BU79" i="4"/>
  <c r="CC79" i="4"/>
  <c r="AG79" i="4"/>
  <c r="AP79" i="4"/>
  <c r="AX79" i="4"/>
  <c r="BF79" i="4"/>
  <c r="BN79" i="4"/>
  <c r="BV79" i="4"/>
  <c r="AH79" i="4"/>
  <c r="AQ79" i="4"/>
  <c r="AY79" i="4"/>
  <c r="BG79" i="4"/>
  <c r="BO79" i="4"/>
  <c r="BW79" i="4"/>
  <c r="AI79" i="4"/>
  <c r="AR79" i="4"/>
  <c r="AZ79" i="4"/>
  <c r="BH79" i="4"/>
  <c r="BP79" i="4"/>
  <c r="BX79" i="4"/>
  <c r="AJ79" i="4"/>
  <c r="AS79" i="4"/>
  <c r="BA79" i="4"/>
  <c r="BI79" i="4"/>
  <c r="BQ79" i="4"/>
  <c r="BY79" i="4"/>
  <c r="AK79" i="4"/>
  <c r="AT79" i="4"/>
  <c r="BB79" i="4"/>
  <c r="BJ79" i="4"/>
  <c r="BR79" i="4"/>
  <c r="BZ79" i="4"/>
  <c r="BL79" i="4"/>
  <c r="BT79" i="4"/>
  <c r="CB79" i="4"/>
  <c r="Z79" i="4"/>
  <c r="AA79" i="4"/>
  <c r="AB79" i="4"/>
  <c r="AC79" i="4"/>
  <c r="V79" i="4"/>
  <c r="AD79" i="4"/>
  <c r="W79" i="4"/>
  <c r="AE79" i="4"/>
  <c r="X79" i="4"/>
  <c r="Y79" i="4"/>
  <c r="Q79" i="4"/>
  <c r="R79" i="4"/>
  <c r="S79" i="4"/>
  <c r="T79" i="4"/>
  <c r="U79" i="4"/>
  <c r="B78" i="4"/>
  <c r="O78" i="4"/>
  <c r="P78" i="4"/>
  <c r="C79" i="4"/>
  <c r="K79" i="4"/>
  <c r="E79" i="4"/>
  <c r="M79" i="4"/>
  <c r="F79" i="4"/>
  <c r="N79" i="4"/>
  <c r="H79" i="4"/>
  <c r="J79" i="4"/>
  <c r="D79" i="4"/>
  <c r="L79" i="4"/>
  <c r="G79" i="4"/>
  <c r="I79" i="4"/>
  <c r="A80" i="4"/>
  <c r="AM80" i="4" s="1"/>
  <c r="AK80" i="4" l="1"/>
  <c r="AT80" i="4"/>
  <c r="BB80" i="4"/>
  <c r="BJ80" i="4"/>
  <c r="BR80" i="4"/>
  <c r="BZ80" i="4"/>
  <c r="AN80" i="4"/>
  <c r="AV80" i="4"/>
  <c r="BD80" i="4"/>
  <c r="BL80" i="4"/>
  <c r="BT80" i="4"/>
  <c r="CB80" i="4"/>
  <c r="AF80" i="4"/>
  <c r="AO80" i="4"/>
  <c r="AW80" i="4"/>
  <c r="BE80" i="4"/>
  <c r="BM80" i="4"/>
  <c r="BU80" i="4"/>
  <c r="CC80" i="4"/>
  <c r="AG80" i="4"/>
  <c r="AP80" i="4"/>
  <c r="AX80" i="4"/>
  <c r="BF80" i="4"/>
  <c r="BN80" i="4"/>
  <c r="BV80" i="4"/>
  <c r="AH80" i="4"/>
  <c r="AQ80" i="4"/>
  <c r="AY80" i="4"/>
  <c r="BG80" i="4"/>
  <c r="BO80" i="4"/>
  <c r="BW80" i="4"/>
  <c r="AI80" i="4"/>
  <c r="AR80" i="4"/>
  <c r="AZ80" i="4"/>
  <c r="BH80" i="4"/>
  <c r="BP80" i="4"/>
  <c r="BX80" i="4"/>
  <c r="AJ80" i="4"/>
  <c r="AS80" i="4"/>
  <c r="BA80" i="4"/>
  <c r="BI80" i="4"/>
  <c r="BQ80" i="4"/>
  <c r="BY80" i="4"/>
  <c r="CA80" i="4"/>
  <c r="AL80" i="4"/>
  <c r="AU80" i="4"/>
  <c r="BC80" i="4"/>
  <c r="BK80" i="4"/>
  <c r="BS80" i="4"/>
  <c r="X80" i="4"/>
  <c r="Y80" i="4"/>
  <c r="Z80" i="4"/>
  <c r="AA80" i="4"/>
  <c r="AB80" i="4"/>
  <c r="AC80" i="4"/>
  <c r="V80" i="4"/>
  <c r="AD80" i="4"/>
  <c r="W80" i="4"/>
  <c r="AE80" i="4"/>
  <c r="T80" i="4"/>
  <c r="U80" i="4"/>
  <c r="Q80" i="4"/>
  <c r="R80" i="4"/>
  <c r="S80" i="4"/>
  <c r="P79" i="4"/>
  <c r="F80" i="4"/>
  <c r="N80" i="4"/>
  <c r="H80" i="4"/>
  <c r="I80" i="4"/>
  <c r="C80" i="4"/>
  <c r="K80" i="4"/>
  <c r="E80" i="4"/>
  <c r="M80" i="4"/>
  <c r="G80" i="4"/>
  <c r="L80" i="4"/>
  <c r="D80" i="4"/>
  <c r="J80" i="4"/>
  <c r="B79" i="4"/>
  <c r="O79" i="4"/>
  <c r="A81" i="4"/>
  <c r="AM81" i="4" s="1"/>
  <c r="AB3" i="9"/>
  <c r="AB2" i="9"/>
  <c r="AC4" i="9"/>
  <c r="AC192" i="9" s="1"/>
  <c r="O80" i="4" l="1"/>
  <c r="B80" i="4"/>
  <c r="AJ81" i="4"/>
  <c r="AS81" i="4"/>
  <c r="BA81" i="4"/>
  <c r="BI81" i="4"/>
  <c r="BQ81" i="4"/>
  <c r="BY81" i="4"/>
  <c r="AL81" i="4"/>
  <c r="AU81" i="4"/>
  <c r="BC81" i="4"/>
  <c r="BK81" i="4"/>
  <c r="BS81" i="4"/>
  <c r="CA81" i="4"/>
  <c r="AN81" i="4"/>
  <c r="AV81" i="4"/>
  <c r="BD81" i="4"/>
  <c r="BL81" i="4"/>
  <c r="BT81" i="4"/>
  <c r="CB81" i="4"/>
  <c r="AF81" i="4"/>
  <c r="AO81" i="4"/>
  <c r="AW81" i="4"/>
  <c r="BE81" i="4"/>
  <c r="BM81" i="4"/>
  <c r="BU81" i="4"/>
  <c r="CC81" i="4"/>
  <c r="AG81" i="4"/>
  <c r="AP81" i="4"/>
  <c r="AX81" i="4"/>
  <c r="BF81" i="4"/>
  <c r="BN81" i="4"/>
  <c r="BV81" i="4"/>
  <c r="AH81" i="4"/>
  <c r="AQ81" i="4"/>
  <c r="AY81" i="4"/>
  <c r="BG81" i="4"/>
  <c r="BO81" i="4"/>
  <c r="BW81" i="4"/>
  <c r="AI81" i="4"/>
  <c r="AR81" i="4"/>
  <c r="AZ81" i="4"/>
  <c r="BH81" i="4"/>
  <c r="BP81" i="4"/>
  <c r="BX81" i="4"/>
  <c r="AK81" i="4"/>
  <c r="AT81" i="4"/>
  <c r="BB81" i="4"/>
  <c r="BJ81" i="4"/>
  <c r="BR81" i="4"/>
  <c r="BZ81" i="4"/>
  <c r="V81" i="4"/>
  <c r="AD81" i="4"/>
  <c r="W81" i="4"/>
  <c r="AE81" i="4"/>
  <c r="X81" i="4"/>
  <c r="Y81" i="4"/>
  <c r="Z81" i="4"/>
  <c r="AA81" i="4"/>
  <c r="AB81" i="4"/>
  <c r="AC81" i="4"/>
  <c r="Q81" i="4"/>
  <c r="R81" i="4"/>
  <c r="S81" i="4"/>
  <c r="T81" i="4"/>
  <c r="U81" i="4"/>
  <c r="J81" i="4"/>
  <c r="D81" i="4"/>
  <c r="L81" i="4"/>
  <c r="E81" i="4"/>
  <c r="M81" i="4"/>
  <c r="G81" i="4"/>
  <c r="I81" i="4"/>
  <c r="H81" i="4"/>
  <c r="C81" i="4"/>
  <c r="K81" i="4"/>
  <c r="F81" i="4"/>
  <c r="N81" i="4"/>
  <c r="P80" i="4"/>
  <c r="A82" i="4"/>
  <c r="AM82" i="4" s="1"/>
  <c r="AC126" i="9"/>
  <c r="AC3" i="9"/>
  <c r="AC204" i="9"/>
  <c r="AD4" i="9"/>
  <c r="AD2" i="9" s="1"/>
  <c r="AC207" i="9"/>
  <c r="AC96" i="9"/>
  <c r="AC129" i="9"/>
  <c r="AC186" i="9"/>
  <c r="AC54" i="9"/>
  <c r="AC66" i="9"/>
  <c r="AC87" i="9"/>
  <c r="AC105" i="9"/>
  <c r="AC111" i="9"/>
  <c r="AC45" i="9"/>
  <c r="AC159" i="9"/>
  <c r="AC63" i="9"/>
  <c r="AC168" i="9"/>
  <c r="AC36" i="9"/>
  <c r="AC165" i="9"/>
  <c r="AC156" i="9"/>
  <c r="AC12" i="9"/>
  <c r="AC210" i="9"/>
  <c r="AC39" i="9"/>
  <c r="AC108" i="9"/>
  <c r="AC78" i="9"/>
  <c r="AC171" i="9"/>
  <c r="AC189" i="9"/>
  <c r="AC120" i="9"/>
  <c r="AC99" i="9"/>
  <c r="AC138" i="9"/>
  <c r="AC57" i="9"/>
  <c r="AC135" i="9"/>
  <c r="AC180" i="9"/>
  <c r="AC6" i="9"/>
  <c r="AC198" i="9"/>
  <c r="AC117" i="9"/>
  <c r="AC48" i="9"/>
  <c r="AC162" i="9"/>
  <c r="AC33" i="9"/>
  <c r="AC60" i="9"/>
  <c r="AC147" i="9"/>
  <c r="AC195" i="9"/>
  <c r="AC174" i="9"/>
  <c r="AC93" i="9"/>
  <c r="AC24" i="9"/>
  <c r="AC216" i="9"/>
  <c r="AC42" i="9"/>
  <c r="AC75" i="9"/>
  <c r="AC153" i="9"/>
  <c r="AC84" i="9"/>
  <c r="AC15" i="9"/>
  <c r="AC102" i="9"/>
  <c r="AC21" i="9"/>
  <c r="AC213" i="9"/>
  <c r="AC144" i="9"/>
  <c r="AC114" i="9"/>
  <c r="AC81" i="9"/>
  <c r="AC18" i="9"/>
  <c r="AC51" i="9"/>
  <c r="AC177" i="9"/>
  <c r="AC30" i="9"/>
  <c r="AC27" i="9"/>
  <c r="AC141" i="9"/>
  <c r="AC72" i="9"/>
  <c r="AC2" i="9"/>
  <c r="AC90" i="9"/>
  <c r="AC9" i="9"/>
  <c r="AC201" i="9"/>
  <c r="AC132" i="9"/>
  <c r="AC123" i="9"/>
  <c r="AC150" i="9"/>
  <c r="AC69" i="9"/>
  <c r="AC183" i="9"/>
  <c r="AI82" i="4" l="1"/>
  <c r="AR82" i="4"/>
  <c r="AZ82" i="4"/>
  <c r="BH82" i="4"/>
  <c r="BP82" i="4"/>
  <c r="BX82" i="4"/>
  <c r="AK82" i="4"/>
  <c r="AT82" i="4"/>
  <c r="BB82" i="4"/>
  <c r="BJ82" i="4"/>
  <c r="BR82" i="4"/>
  <c r="BZ82" i="4"/>
  <c r="AL82" i="4"/>
  <c r="AU82" i="4"/>
  <c r="BC82" i="4"/>
  <c r="BK82" i="4"/>
  <c r="BS82" i="4"/>
  <c r="CA82" i="4"/>
  <c r="AN82" i="4"/>
  <c r="AV82" i="4"/>
  <c r="BD82" i="4"/>
  <c r="BL82" i="4"/>
  <c r="BT82" i="4"/>
  <c r="CB82" i="4"/>
  <c r="AF82" i="4"/>
  <c r="AO82" i="4"/>
  <c r="AW82" i="4"/>
  <c r="BE82" i="4"/>
  <c r="BM82" i="4"/>
  <c r="BU82" i="4"/>
  <c r="CC82" i="4"/>
  <c r="AG82" i="4"/>
  <c r="AP82" i="4"/>
  <c r="AX82" i="4"/>
  <c r="BF82" i="4"/>
  <c r="BN82" i="4"/>
  <c r="BV82" i="4"/>
  <c r="AH82" i="4"/>
  <c r="AQ82" i="4"/>
  <c r="AY82" i="4"/>
  <c r="BG82" i="4"/>
  <c r="BO82" i="4"/>
  <c r="BW82" i="4"/>
  <c r="AS82" i="4"/>
  <c r="BA82" i="4"/>
  <c r="BI82" i="4"/>
  <c r="BQ82" i="4"/>
  <c r="BY82" i="4"/>
  <c r="AJ82" i="4"/>
  <c r="AB82" i="4"/>
  <c r="AC82" i="4"/>
  <c r="V82" i="4"/>
  <c r="AD82" i="4"/>
  <c r="W82" i="4"/>
  <c r="AE82" i="4"/>
  <c r="X82" i="4"/>
  <c r="Y82" i="4"/>
  <c r="Z82" i="4"/>
  <c r="AA82" i="4"/>
  <c r="R82" i="4"/>
  <c r="S82" i="4"/>
  <c r="T82" i="4"/>
  <c r="U82" i="4"/>
  <c r="Q82" i="4"/>
  <c r="O81" i="4"/>
  <c r="P81" i="4"/>
  <c r="B81" i="4"/>
  <c r="F82" i="4"/>
  <c r="N82" i="4"/>
  <c r="H82" i="4"/>
  <c r="I82" i="4"/>
  <c r="C82" i="4"/>
  <c r="K82" i="4"/>
  <c r="E82" i="4"/>
  <c r="M82" i="4"/>
  <c r="D82" i="4"/>
  <c r="J82" i="4"/>
  <c r="L82" i="4"/>
  <c r="G82" i="4"/>
  <c r="A83" i="4"/>
  <c r="AM83" i="4" s="1"/>
  <c r="AD144" i="9"/>
  <c r="AD123" i="9"/>
  <c r="AD102" i="9"/>
  <c r="AD153" i="9"/>
  <c r="AD201" i="9"/>
  <c r="AD189" i="9"/>
  <c r="AD192" i="9"/>
  <c r="AD171" i="9"/>
  <c r="AD150" i="9"/>
  <c r="AD165" i="9"/>
  <c r="AD48" i="9"/>
  <c r="AD27" i="9"/>
  <c r="AD6" i="9"/>
  <c r="AD198" i="9"/>
  <c r="AD81" i="9"/>
  <c r="AD96" i="9"/>
  <c r="AD75" i="9"/>
  <c r="AD54" i="9"/>
  <c r="AE4" i="9"/>
  <c r="AE189" i="9" s="1"/>
  <c r="AD21" i="9"/>
  <c r="AD213" i="9"/>
  <c r="AD129" i="9"/>
  <c r="AD45" i="9"/>
  <c r="AD12" i="9"/>
  <c r="AD60" i="9"/>
  <c r="AD108" i="9"/>
  <c r="AD156" i="9"/>
  <c r="AD204" i="9"/>
  <c r="AD39" i="9"/>
  <c r="AD87" i="9"/>
  <c r="AD135" i="9"/>
  <c r="AD183" i="9"/>
  <c r="AD18" i="9"/>
  <c r="AD66" i="9"/>
  <c r="AD114" i="9"/>
  <c r="AD162" i="9"/>
  <c r="AD210" i="9"/>
  <c r="AD69" i="9"/>
  <c r="AD105" i="9"/>
  <c r="AD177" i="9"/>
  <c r="AD93" i="9"/>
  <c r="AD24" i="9"/>
  <c r="AD72" i="9"/>
  <c r="AD120" i="9"/>
  <c r="AD168" i="9"/>
  <c r="AD216" i="9"/>
  <c r="AD51" i="9"/>
  <c r="AD99" i="9"/>
  <c r="AD147" i="9"/>
  <c r="AD195" i="9"/>
  <c r="AD30" i="9"/>
  <c r="AD78" i="9"/>
  <c r="AD126" i="9"/>
  <c r="AD174" i="9"/>
  <c r="AD3" i="9"/>
  <c r="AD57" i="9"/>
  <c r="AD117" i="9"/>
  <c r="AD33" i="9"/>
  <c r="AD9" i="9"/>
  <c r="AD141" i="9"/>
  <c r="AD36" i="9"/>
  <c r="AD84" i="9"/>
  <c r="AD132" i="9"/>
  <c r="AD180" i="9"/>
  <c r="AD15" i="9"/>
  <c r="AD63" i="9"/>
  <c r="AD111" i="9"/>
  <c r="AD159" i="9"/>
  <c r="AD207" i="9"/>
  <c r="AD42" i="9"/>
  <c r="AD90" i="9"/>
  <c r="AD138" i="9"/>
  <c r="AD186" i="9"/>
  <c r="AH83" i="4" l="1"/>
  <c r="AQ83" i="4"/>
  <c r="AY83" i="4"/>
  <c r="BG83" i="4"/>
  <c r="BO83" i="4"/>
  <c r="BW83" i="4"/>
  <c r="AJ83" i="4"/>
  <c r="AS83" i="4"/>
  <c r="BA83" i="4"/>
  <c r="BI83" i="4"/>
  <c r="BQ83" i="4"/>
  <c r="BY83" i="4"/>
  <c r="AK83" i="4"/>
  <c r="AT83" i="4"/>
  <c r="BB83" i="4"/>
  <c r="BJ83" i="4"/>
  <c r="BR83" i="4"/>
  <c r="BZ83" i="4"/>
  <c r="AL83" i="4"/>
  <c r="AU83" i="4"/>
  <c r="BC83" i="4"/>
  <c r="BK83" i="4"/>
  <c r="BS83" i="4"/>
  <c r="CA83" i="4"/>
  <c r="AN83" i="4"/>
  <c r="AV83" i="4"/>
  <c r="BD83" i="4"/>
  <c r="BL83" i="4"/>
  <c r="BT83" i="4"/>
  <c r="CB83" i="4"/>
  <c r="AF83" i="4"/>
  <c r="AO83" i="4"/>
  <c r="AW83" i="4"/>
  <c r="BE83" i="4"/>
  <c r="BM83" i="4"/>
  <c r="BU83" i="4"/>
  <c r="CC83" i="4"/>
  <c r="AG83" i="4"/>
  <c r="AP83" i="4"/>
  <c r="AX83" i="4"/>
  <c r="BF83" i="4"/>
  <c r="BN83" i="4"/>
  <c r="BV83" i="4"/>
  <c r="BH83" i="4"/>
  <c r="BP83" i="4"/>
  <c r="BX83" i="4"/>
  <c r="AI83" i="4"/>
  <c r="AR83" i="4"/>
  <c r="AZ83" i="4"/>
  <c r="Z83" i="4"/>
  <c r="AA83" i="4"/>
  <c r="AB83" i="4"/>
  <c r="AC83" i="4"/>
  <c r="V83" i="4"/>
  <c r="AD83" i="4"/>
  <c r="W83" i="4"/>
  <c r="AE83" i="4"/>
  <c r="X83" i="4"/>
  <c r="Y83" i="4"/>
  <c r="U83" i="4"/>
  <c r="Q83" i="4"/>
  <c r="T83" i="4"/>
  <c r="R83" i="4"/>
  <c r="S83" i="4"/>
  <c r="O82" i="4"/>
  <c r="B82" i="4"/>
  <c r="C83" i="4"/>
  <c r="K83" i="4"/>
  <c r="D83" i="4"/>
  <c r="L83" i="4"/>
  <c r="H83" i="4"/>
  <c r="I83" i="4"/>
  <c r="M83" i="4"/>
  <c r="E83" i="4"/>
  <c r="F83" i="4"/>
  <c r="G83" i="4"/>
  <c r="J83" i="4"/>
  <c r="N83" i="4"/>
  <c r="P82" i="4"/>
  <c r="A84" i="4"/>
  <c r="AM84" i="4" s="1"/>
  <c r="AE15" i="9"/>
  <c r="AE186" i="9"/>
  <c r="AE159" i="9"/>
  <c r="AE117" i="9"/>
  <c r="AE165" i="9"/>
  <c r="AE96" i="9"/>
  <c r="AE207" i="9"/>
  <c r="AE72" i="9"/>
  <c r="AE138" i="9"/>
  <c r="AE12" i="9"/>
  <c r="AE63" i="9"/>
  <c r="AE42" i="9"/>
  <c r="AE21" i="9"/>
  <c r="AE213" i="9"/>
  <c r="AE204" i="9"/>
  <c r="AE111" i="9"/>
  <c r="AE90" i="9"/>
  <c r="AE69" i="9"/>
  <c r="AE60" i="9"/>
  <c r="AE120" i="9"/>
  <c r="AE75" i="9"/>
  <c r="AE171" i="9"/>
  <c r="AE102" i="9"/>
  <c r="AE48" i="9"/>
  <c r="AE132" i="9"/>
  <c r="AE156" i="9"/>
  <c r="AE24" i="9"/>
  <c r="AE216" i="9"/>
  <c r="AE51" i="9"/>
  <c r="AE99" i="9"/>
  <c r="AE147" i="9"/>
  <c r="AE195" i="9"/>
  <c r="AE30" i="9"/>
  <c r="AE78" i="9"/>
  <c r="AE126" i="9"/>
  <c r="AE174" i="9"/>
  <c r="AE9" i="9"/>
  <c r="AE57" i="9"/>
  <c r="AE105" i="9"/>
  <c r="AE153" i="9"/>
  <c r="AE201" i="9"/>
  <c r="AE144" i="9"/>
  <c r="AE54" i="9"/>
  <c r="AE177" i="9"/>
  <c r="AE36" i="9"/>
  <c r="AE27" i="9"/>
  <c r="AE123" i="9"/>
  <c r="AE6" i="9"/>
  <c r="AE150" i="9"/>
  <c r="AE198" i="9"/>
  <c r="AE33" i="9"/>
  <c r="AE81" i="9"/>
  <c r="AE129" i="9"/>
  <c r="AE3" i="9"/>
  <c r="AE84" i="9"/>
  <c r="AE192" i="9"/>
  <c r="AE108" i="9"/>
  <c r="AE180" i="9"/>
  <c r="AE168" i="9"/>
  <c r="AE39" i="9"/>
  <c r="AE87" i="9"/>
  <c r="AE135" i="9"/>
  <c r="AE183" i="9"/>
  <c r="AE18" i="9"/>
  <c r="AE66" i="9"/>
  <c r="AE114" i="9"/>
  <c r="AE162" i="9"/>
  <c r="AE210" i="9"/>
  <c r="AE45" i="9"/>
  <c r="AE93" i="9"/>
  <c r="AE141" i="9"/>
  <c r="AF4" i="9"/>
  <c r="AE2" i="9"/>
  <c r="AG84" i="4" l="1"/>
  <c r="AP84" i="4"/>
  <c r="AX84" i="4"/>
  <c r="BF84" i="4"/>
  <c r="BN84" i="4"/>
  <c r="BV84" i="4"/>
  <c r="AI84" i="4"/>
  <c r="AR84" i="4"/>
  <c r="AZ84" i="4"/>
  <c r="BH84" i="4"/>
  <c r="BP84" i="4"/>
  <c r="BX84" i="4"/>
  <c r="AJ84" i="4"/>
  <c r="AS84" i="4"/>
  <c r="BA84" i="4"/>
  <c r="BI84" i="4"/>
  <c r="BQ84" i="4"/>
  <c r="BY84" i="4"/>
  <c r="AK84" i="4"/>
  <c r="AT84" i="4"/>
  <c r="BB84" i="4"/>
  <c r="BJ84" i="4"/>
  <c r="BR84" i="4"/>
  <c r="BZ84" i="4"/>
  <c r="AL84" i="4"/>
  <c r="AU84" i="4"/>
  <c r="BC84" i="4"/>
  <c r="BK84" i="4"/>
  <c r="BS84" i="4"/>
  <c r="CA84" i="4"/>
  <c r="AN84" i="4"/>
  <c r="AV84" i="4"/>
  <c r="BD84" i="4"/>
  <c r="BL84" i="4"/>
  <c r="BT84" i="4"/>
  <c r="CB84" i="4"/>
  <c r="AF84" i="4"/>
  <c r="AO84" i="4"/>
  <c r="AW84" i="4"/>
  <c r="BE84" i="4"/>
  <c r="BM84" i="4"/>
  <c r="BU84" i="4"/>
  <c r="CC84" i="4"/>
  <c r="BW84" i="4"/>
  <c r="AH84" i="4"/>
  <c r="AQ84" i="4"/>
  <c r="AY84" i="4"/>
  <c r="BG84" i="4"/>
  <c r="BO84" i="4"/>
  <c r="X84" i="4"/>
  <c r="Y84" i="4"/>
  <c r="Z84" i="4"/>
  <c r="AA84" i="4"/>
  <c r="AB84" i="4"/>
  <c r="AC84" i="4"/>
  <c r="V84" i="4"/>
  <c r="AD84" i="4"/>
  <c r="W84" i="4"/>
  <c r="AE84" i="4"/>
  <c r="Q84" i="4"/>
  <c r="R84" i="4"/>
  <c r="S84" i="4"/>
  <c r="T84" i="4"/>
  <c r="U84" i="4"/>
  <c r="O83" i="4"/>
  <c r="F84" i="4"/>
  <c r="N84" i="4"/>
  <c r="G84" i="4"/>
  <c r="C84" i="4"/>
  <c r="K84" i="4"/>
  <c r="I84" i="4"/>
  <c r="L84" i="4"/>
  <c r="D84" i="4"/>
  <c r="J84" i="4"/>
  <c r="M84" i="4"/>
  <c r="H84" i="4"/>
  <c r="E84" i="4"/>
  <c r="P83" i="4"/>
  <c r="B83" i="4"/>
  <c r="A85" i="4"/>
  <c r="AM85" i="4" s="1"/>
  <c r="AF192" i="9"/>
  <c r="AF144" i="9"/>
  <c r="AF96" i="9"/>
  <c r="AF48" i="9"/>
  <c r="AF213" i="9"/>
  <c r="AF165" i="9"/>
  <c r="AF117" i="9"/>
  <c r="AF69" i="9"/>
  <c r="AF21" i="9"/>
  <c r="AF186" i="9"/>
  <c r="AF138" i="9"/>
  <c r="AF90" i="9"/>
  <c r="AF42" i="9"/>
  <c r="AF195" i="9"/>
  <c r="AF207" i="9"/>
  <c r="AF87" i="9"/>
  <c r="AF123" i="9"/>
  <c r="AF15" i="9"/>
  <c r="AF180" i="9"/>
  <c r="AF132" i="9"/>
  <c r="AF84" i="9"/>
  <c r="AF36" i="9"/>
  <c r="AF201" i="9"/>
  <c r="AF153" i="9"/>
  <c r="AF105" i="9"/>
  <c r="AF57" i="9"/>
  <c r="AF9" i="9"/>
  <c r="AF174" i="9"/>
  <c r="AF126" i="9"/>
  <c r="AF78" i="9"/>
  <c r="AF30" i="9"/>
  <c r="AF147" i="9"/>
  <c r="AF63" i="9"/>
  <c r="AF39" i="9"/>
  <c r="AF75" i="9"/>
  <c r="AF2" i="9"/>
  <c r="AF156" i="9"/>
  <c r="AF60" i="9"/>
  <c r="AF177" i="9"/>
  <c r="AF81" i="9"/>
  <c r="AF198" i="9"/>
  <c r="AF102" i="9"/>
  <c r="AF6" i="9"/>
  <c r="AF135" i="9"/>
  <c r="AF3" i="9"/>
  <c r="AF216" i="9"/>
  <c r="AF168" i="9"/>
  <c r="AF120" i="9"/>
  <c r="AF72" i="9"/>
  <c r="AF24" i="9"/>
  <c r="AF189" i="9"/>
  <c r="AF141" i="9"/>
  <c r="AF93" i="9"/>
  <c r="AF45" i="9"/>
  <c r="AF210" i="9"/>
  <c r="AF162" i="9"/>
  <c r="AF114" i="9"/>
  <c r="AF66" i="9"/>
  <c r="AF18" i="9"/>
  <c r="AF99" i="9"/>
  <c r="AF183" i="9"/>
  <c r="AF111" i="9"/>
  <c r="AF27" i="9"/>
  <c r="AG4" i="9"/>
  <c r="AF204" i="9"/>
  <c r="AF108" i="9"/>
  <c r="AF12" i="9"/>
  <c r="AF129" i="9"/>
  <c r="AF33" i="9"/>
  <c r="AF150" i="9"/>
  <c r="AF54" i="9"/>
  <c r="AF51" i="9"/>
  <c r="AF171" i="9"/>
  <c r="AF159" i="9"/>
  <c r="AF85" i="4" l="1"/>
  <c r="AO85" i="4"/>
  <c r="AW85" i="4"/>
  <c r="BE85" i="4"/>
  <c r="BM85" i="4"/>
  <c r="BU85" i="4"/>
  <c r="CC85" i="4"/>
  <c r="AH85" i="4"/>
  <c r="AQ85" i="4"/>
  <c r="AY85" i="4"/>
  <c r="BG85" i="4"/>
  <c r="BO85" i="4"/>
  <c r="BW85" i="4"/>
  <c r="AI85" i="4"/>
  <c r="AR85" i="4"/>
  <c r="AZ85" i="4"/>
  <c r="BH85" i="4"/>
  <c r="BP85" i="4"/>
  <c r="BX85" i="4"/>
  <c r="AJ85" i="4"/>
  <c r="AS85" i="4"/>
  <c r="BA85" i="4"/>
  <c r="BI85" i="4"/>
  <c r="BQ85" i="4"/>
  <c r="BY85" i="4"/>
  <c r="AK85" i="4"/>
  <c r="AT85" i="4"/>
  <c r="BB85" i="4"/>
  <c r="BJ85" i="4"/>
  <c r="BR85" i="4"/>
  <c r="BZ85" i="4"/>
  <c r="AL85" i="4"/>
  <c r="AU85" i="4"/>
  <c r="BC85" i="4"/>
  <c r="BK85" i="4"/>
  <c r="BS85" i="4"/>
  <c r="CA85" i="4"/>
  <c r="AN85" i="4"/>
  <c r="AV85" i="4"/>
  <c r="BD85" i="4"/>
  <c r="BL85" i="4"/>
  <c r="BT85" i="4"/>
  <c r="CB85" i="4"/>
  <c r="AG85" i="4"/>
  <c r="AP85" i="4"/>
  <c r="AX85" i="4"/>
  <c r="BF85" i="4"/>
  <c r="BN85" i="4"/>
  <c r="BV85" i="4"/>
  <c r="V85" i="4"/>
  <c r="AD85" i="4"/>
  <c r="W85" i="4"/>
  <c r="AE85" i="4"/>
  <c r="X85" i="4"/>
  <c r="Y85" i="4"/>
  <c r="Z85" i="4"/>
  <c r="AA85" i="4"/>
  <c r="AB85" i="4"/>
  <c r="AC85" i="4"/>
  <c r="S85" i="4"/>
  <c r="T85" i="4"/>
  <c r="U85" i="4"/>
  <c r="Q85" i="4"/>
  <c r="R85" i="4"/>
  <c r="H85" i="4"/>
  <c r="I85" i="4"/>
  <c r="E85" i="4"/>
  <c r="M85" i="4"/>
  <c r="G85" i="4"/>
  <c r="K85" i="4"/>
  <c r="C85" i="4"/>
  <c r="F85" i="4"/>
  <c r="D85" i="4"/>
  <c r="J85" i="4"/>
  <c r="N85" i="4"/>
  <c r="L85" i="4"/>
  <c r="P84" i="4"/>
  <c r="B84" i="4"/>
  <c r="O84" i="4"/>
  <c r="A86" i="4"/>
  <c r="AM86" i="4" s="1"/>
  <c r="AG183" i="9"/>
  <c r="AG135" i="9"/>
  <c r="AG87" i="9"/>
  <c r="AG39" i="9"/>
  <c r="AG204" i="9"/>
  <c r="AG156" i="9"/>
  <c r="AG108" i="9"/>
  <c r="AG60" i="9"/>
  <c r="AG12" i="9"/>
  <c r="AG177" i="9"/>
  <c r="AG129" i="9"/>
  <c r="AG81" i="9"/>
  <c r="AG33" i="9"/>
  <c r="AG126" i="9"/>
  <c r="AG210" i="9"/>
  <c r="AG18" i="9"/>
  <c r="AG150" i="9"/>
  <c r="AG90" i="9"/>
  <c r="AG78" i="9"/>
  <c r="AG186" i="9"/>
  <c r="AG102" i="9"/>
  <c r="AG57" i="9"/>
  <c r="AG30" i="9"/>
  <c r="AG54" i="9"/>
  <c r="AG195" i="9"/>
  <c r="AG51" i="9"/>
  <c r="AG120" i="9"/>
  <c r="AG189" i="9"/>
  <c r="AG174" i="9"/>
  <c r="AG198" i="9"/>
  <c r="AH4" i="9"/>
  <c r="AG171" i="9"/>
  <c r="AG123" i="9"/>
  <c r="AG75" i="9"/>
  <c r="AG27" i="9"/>
  <c r="AG192" i="9"/>
  <c r="AG144" i="9"/>
  <c r="AG96" i="9"/>
  <c r="AG48" i="9"/>
  <c r="AG213" i="9"/>
  <c r="AG165" i="9"/>
  <c r="AG117" i="9"/>
  <c r="AG69" i="9"/>
  <c r="AG21" i="9"/>
  <c r="AG162" i="9"/>
  <c r="AG2" i="9"/>
  <c r="AG42" i="9"/>
  <c r="AG147" i="9"/>
  <c r="AG216" i="9"/>
  <c r="AG72" i="9"/>
  <c r="AG93" i="9"/>
  <c r="AG138" i="9"/>
  <c r="AG207" i="9"/>
  <c r="AG159" i="9"/>
  <c r="AG111" i="9"/>
  <c r="AG63" i="9"/>
  <c r="AG15" i="9"/>
  <c r="AG180" i="9"/>
  <c r="AG132" i="9"/>
  <c r="AG84" i="9"/>
  <c r="AG36" i="9"/>
  <c r="AG201" i="9"/>
  <c r="AG153" i="9"/>
  <c r="AG105" i="9"/>
  <c r="AG9" i="9"/>
  <c r="AG114" i="9"/>
  <c r="AG3" i="9"/>
  <c r="AG99" i="9"/>
  <c r="AG168" i="9"/>
  <c r="AG24" i="9"/>
  <c r="AG141" i="9"/>
  <c r="AG45" i="9"/>
  <c r="AG66" i="9"/>
  <c r="AG6" i="9"/>
  <c r="AN86" i="4" l="1"/>
  <c r="AV86" i="4"/>
  <c r="BD86" i="4"/>
  <c r="BL86" i="4"/>
  <c r="BT86" i="4"/>
  <c r="CB86" i="4"/>
  <c r="AG86" i="4"/>
  <c r="AP86" i="4"/>
  <c r="AX86" i="4"/>
  <c r="BF86" i="4"/>
  <c r="BN86" i="4"/>
  <c r="BV86" i="4"/>
  <c r="AH86" i="4"/>
  <c r="AQ86" i="4"/>
  <c r="AY86" i="4"/>
  <c r="BG86" i="4"/>
  <c r="BO86" i="4"/>
  <c r="BW86" i="4"/>
  <c r="AI86" i="4"/>
  <c r="AR86" i="4"/>
  <c r="AZ86" i="4"/>
  <c r="BH86" i="4"/>
  <c r="BP86" i="4"/>
  <c r="BX86" i="4"/>
  <c r="AJ86" i="4"/>
  <c r="AS86" i="4"/>
  <c r="BA86" i="4"/>
  <c r="BI86" i="4"/>
  <c r="BQ86" i="4"/>
  <c r="BY86" i="4"/>
  <c r="AK86" i="4"/>
  <c r="AT86" i="4"/>
  <c r="BB86" i="4"/>
  <c r="BJ86" i="4"/>
  <c r="BR86" i="4"/>
  <c r="BZ86" i="4"/>
  <c r="AL86" i="4"/>
  <c r="AU86" i="4"/>
  <c r="BC86" i="4"/>
  <c r="BK86" i="4"/>
  <c r="BS86" i="4"/>
  <c r="CA86" i="4"/>
  <c r="AO86" i="4"/>
  <c r="AW86" i="4"/>
  <c r="BE86" i="4"/>
  <c r="BM86" i="4"/>
  <c r="BU86" i="4"/>
  <c r="CC86" i="4"/>
  <c r="AF86" i="4"/>
  <c r="AB86" i="4"/>
  <c r="AC86" i="4"/>
  <c r="V86" i="4"/>
  <c r="AD86" i="4"/>
  <c r="W86" i="4"/>
  <c r="AE86" i="4"/>
  <c r="X86" i="4"/>
  <c r="Y86" i="4"/>
  <c r="Z86" i="4"/>
  <c r="AA86" i="4"/>
  <c r="Q86" i="4"/>
  <c r="R86" i="4"/>
  <c r="S86" i="4"/>
  <c r="U86" i="4"/>
  <c r="T86" i="4"/>
  <c r="O85" i="4"/>
  <c r="D86" i="4"/>
  <c r="L86" i="4"/>
  <c r="E86" i="4"/>
  <c r="M86" i="4"/>
  <c r="I86" i="4"/>
  <c r="H86" i="4"/>
  <c r="K86" i="4"/>
  <c r="C86" i="4"/>
  <c r="F86" i="4"/>
  <c r="G86" i="4"/>
  <c r="J86" i="4"/>
  <c r="N86" i="4"/>
  <c r="B85" i="4"/>
  <c r="P85" i="4"/>
  <c r="A87" i="4"/>
  <c r="AM87" i="4" s="1"/>
  <c r="AH186" i="9"/>
  <c r="AH138" i="9"/>
  <c r="AH90" i="9"/>
  <c r="AH42" i="9"/>
  <c r="AH207" i="9"/>
  <c r="AH159" i="9"/>
  <c r="AH111" i="9"/>
  <c r="AH63" i="9"/>
  <c r="AH15" i="9"/>
  <c r="AH180" i="9"/>
  <c r="AH132" i="9"/>
  <c r="AH84" i="9"/>
  <c r="AH36" i="9"/>
  <c r="AH153" i="9"/>
  <c r="AH213" i="9"/>
  <c r="AH93" i="9"/>
  <c r="AH129" i="9"/>
  <c r="AH21" i="9"/>
  <c r="AH174" i="9"/>
  <c r="AH78" i="9"/>
  <c r="AH30" i="9"/>
  <c r="AH195" i="9"/>
  <c r="AH147" i="9"/>
  <c r="AH51" i="9"/>
  <c r="AH216" i="9"/>
  <c r="AH120" i="9"/>
  <c r="AH72" i="9"/>
  <c r="AH105" i="9"/>
  <c r="AH69" i="9"/>
  <c r="AH81" i="9"/>
  <c r="AH9" i="9"/>
  <c r="AH3" i="9"/>
  <c r="AH126" i="9"/>
  <c r="AH99" i="9"/>
  <c r="AH168" i="9"/>
  <c r="AH24" i="9"/>
  <c r="AH45" i="9"/>
  <c r="AH2" i="9"/>
  <c r="AH177" i="9"/>
  <c r="AH210" i="9"/>
  <c r="AH162" i="9"/>
  <c r="AH114" i="9"/>
  <c r="AH66" i="9"/>
  <c r="AH18" i="9"/>
  <c r="AH183" i="9"/>
  <c r="AH135" i="9"/>
  <c r="AH87" i="9"/>
  <c r="AH39" i="9"/>
  <c r="AH204" i="9"/>
  <c r="AH156" i="9"/>
  <c r="AH108" i="9"/>
  <c r="AH60" i="9"/>
  <c r="AH12" i="9"/>
  <c r="AH57" i="9"/>
  <c r="AH189" i="9"/>
  <c r="AH117" i="9"/>
  <c r="AH33" i="9"/>
  <c r="AI4" i="9"/>
  <c r="AH198" i="9"/>
  <c r="AH102" i="9"/>
  <c r="AH54" i="9"/>
  <c r="AH171" i="9"/>
  <c r="AH123" i="9"/>
  <c r="AH27" i="9"/>
  <c r="AH192" i="9"/>
  <c r="AH96" i="9"/>
  <c r="AH48" i="9"/>
  <c r="AH141" i="9"/>
  <c r="AH150" i="9"/>
  <c r="AH6" i="9"/>
  <c r="AH75" i="9"/>
  <c r="AH144" i="9"/>
  <c r="AH201" i="9"/>
  <c r="AH165" i="9"/>
  <c r="AL87" i="4" l="1"/>
  <c r="AU87" i="4"/>
  <c r="BC87" i="4"/>
  <c r="BK87" i="4"/>
  <c r="BS87" i="4"/>
  <c r="CA87" i="4"/>
  <c r="AF87" i="4"/>
  <c r="AO87" i="4"/>
  <c r="AW87" i="4"/>
  <c r="BE87" i="4"/>
  <c r="BM87" i="4"/>
  <c r="BU87" i="4"/>
  <c r="CC87" i="4"/>
  <c r="AG87" i="4"/>
  <c r="AP87" i="4"/>
  <c r="AX87" i="4"/>
  <c r="BF87" i="4"/>
  <c r="BN87" i="4"/>
  <c r="BV87" i="4"/>
  <c r="AH87" i="4"/>
  <c r="AQ87" i="4"/>
  <c r="AY87" i="4"/>
  <c r="BG87" i="4"/>
  <c r="BO87" i="4"/>
  <c r="BW87" i="4"/>
  <c r="AI87" i="4"/>
  <c r="AR87" i="4"/>
  <c r="AZ87" i="4"/>
  <c r="BH87" i="4"/>
  <c r="BP87" i="4"/>
  <c r="BX87" i="4"/>
  <c r="AJ87" i="4"/>
  <c r="AS87" i="4"/>
  <c r="BA87" i="4"/>
  <c r="BI87" i="4"/>
  <c r="BQ87" i="4"/>
  <c r="BY87" i="4"/>
  <c r="AK87" i="4"/>
  <c r="AT87" i="4"/>
  <c r="BB87" i="4"/>
  <c r="BJ87" i="4"/>
  <c r="BR87" i="4"/>
  <c r="BZ87" i="4"/>
  <c r="BD87" i="4"/>
  <c r="BL87" i="4"/>
  <c r="BT87" i="4"/>
  <c r="CB87" i="4"/>
  <c r="AN87" i="4"/>
  <c r="AV87" i="4"/>
  <c r="Z87" i="4"/>
  <c r="AA87" i="4"/>
  <c r="AB87" i="4"/>
  <c r="AC87" i="4"/>
  <c r="V87" i="4"/>
  <c r="AD87" i="4"/>
  <c r="W87" i="4"/>
  <c r="AE87" i="4"/>
  <c r="X87" i="4"/>
  <c r="Y87" i="4"/>
  <c r="Q87" i="4"/>
  <c r="R87" i="4"/>
  <c r="S87" i="4"/>
  <c r="T87" i="4"/>
  <c r="U87" i="4"/>
  <c r="O86" i="4"/>
  <c r="B86" i="4"/>
  <c r="H87" i="4"/>
  <c r="I87" i="4"/>
  <c r="E87" i="4"/>
  <c r="M87" i="4"/>
  <c r="J87" i="4"/>
  <c r="L87" i="4"/>
  <c r="D87" i="4"/>
  <c r="N87" i="4"/>
  <c r="C87" i="4"/>
  <c r="F87" i="4"/>
  <c r="K87" i="4"/>
  <c r="G87" i="4"/>
  <c r="P86" i="4"/>
  <c r="A88" i="4"/>
  <c r="AM88" i="4" s="1"/>
  <c r="AI177" i="9"/>
  <c r="AI129" i="9"/>
  <c r="AI81" i="9"/>
  <c r="AI33" i="9"/>
  <c r="AI198" i="9"/>
  <c r="AI150" i="9"/>
  <c r="AI102" i="9"/>
  <c r="AI54" i="9"/>
  <c r="AI6" i="9"/>
  <c r="AI171" i="9"/>
  <c r="AI123" i="9"/>
  <c r="AI75" i="9"/>
  <c r="AI27" i="9"/>
  <c r="AI84" i="9"/>
  <c r="AI168" i="9"/>
  <c r="AI96" i="9"/>
  <c r="AI60" i="9"/>
  <c r="AJ4" i="9"/>
  <c r="AI66" i="9"/>
  <c r="AI87" i="9"/>
  <c r="AI216" i="9"/>
  <c r="AI48" i="9"/>
  <c r="AI213" i="9"/>
  <c r="AI165" i="9"/>
  <c r="AI117" i="9"/>
  <c r="AI69" i="9"/>
  <c r="AI21" i="9"/>
  <c r="AI186" i="9"/>
  <c r="AI138" i="9"/>
  <c r="AI90" i="9"/>
  <c r="AI42" i="9"/>
  <c r="AI207" i="9"/>
  <c r="AI159" i="9"/>
  <c r="AI111" i="9"/>
  <c r="AI63" i="9"/>
  <c r="AI15" i="9"/>
  <c r="AI36" i="9"/>
  <c r="AI120" i="9"/>
  <c r="AI204" i="9"/>
  <c r="AI12" i="9"/>
  <c r="AI2" i="9"/>
  <c r="AI3" i="9"/>
  <c r="AI189" i="9"/>
  <c r="AI141" i="9"/>
  <c r="AI93" i="9"/>
  <c r="AI45" i="9"/>
  <c r="AI210" i="9"/>
  <c r="AI162" i="9"/>
  <c r="AI18" i="9"/>
  <c r="AI135" i="9"/>
  <c r="AI132" i="9"/>
  <c r="AI24" i="9"/>
  <c r="AI201" i="9"/>
  <c r="AI153" i="9"/>
  <c r="AI105" i="9"/>
  <c r="AI57" i="9"/>
  <c r="AI9" i="9"/>
  <c r="AI174" i="9"/>
  <c r="AI126" i="9"/>
  <c r="AI78" i="9"/>
  <c r="AI30" i="9"/>
  <c r="AI195" i="9"/>
  <c r="AI147" i="9"/>
  <c r="AI99" i="9"/>
  <c r="AI51" i="9"/>
  <c r="AI180" i="9"/>
  <c r="AI144" i="9"/>
  <c r="AI72" i="9"/>
  <c r="AI156" i="9"/>
  <c r="AI192" i="9"/>
  <c r="AI114" i="9"/>
  <c r="AI183" i="9"/>
  <c r="AI39" i="9"/>
  <c r="AI108" i="9"/>
  <c r="AK88" i="4" l="1"/>
  <c r="AT88" i="4"/>
  <c r="BB88" i="4"/>
  <c r="BJ88" i="4"/>
  <c r="BR88" i="4"/>
  <c r="BZ88" i="4"/>
  <c r="AN88" i="4"/>
  <c r="AV88" i="4"/>
  <c r="BD88" i="4"/>
  <c r="BL88" i="4"/>
  <c r="BT88" i="4"/>
  <c r="CB88" i="4"/>
  <c r="AF88" i="4"/>
  <c r="AO88" i="4"/>
  <c r="AW88" i="4"/>
  <c r="BE88" i="4"/>
  <c r="BM88" i="4"/>
  <c r="BU88" i="4"/>
  <c r="CC88" i="4"/>
  <c r="AG88" i="4"/>
  <c r="AP88" i="4"/>
  <c r="AX88" i="4"/>
  <c r="BF88" i="4"/>
  <c r="BN88" i="4"/>
  <c r="BV88" i="4"/>
  <c r="AH88" i="4"/>
  <c r="AQ88" i="4"/>
  <c r="AY88" i="4"/>
  <c r="BG88" i="4"/>
  <c r="BO88" i="4"/>
  <c r="BW88" i="4"/>
  <c r="AI88" i="4"/>
  <c r="AR88" i="4"/>
  <c r="AZ88" i="4"/>
  <c r="BH88" i="4"/>
  <c r="BP88" i="4"/>
  <c r="BX88" i="4"/>
  <c r="AJ88" i="4"/>
  <c r="AS88" i="4"/>
  <c r="BA88" i="4"/>
  <c r="BI88" i="4"/>
  <c r="BQ88" i="4"/>
  <c r="BY88" i="4"/>
  <c r="BS88" i="4"/>
  <c r="CA88" i="4"/>
  <c r="AL88" i="4"/>
  <c r="AU88" i="4"/>
  <c r="BC88" i="4"/>
  <c r="BK88" i="4"/>
  <c r="X88" i="4"/>
  <c r="Y88" i="4"/>
  <c r="Z88" i="4"/>
  <c r="AA88" i="4"/>
  <c r="AB88" i="4"/>
  <c r="AC88" i="4"/>
  <c r="V88" i="4"/>
  <c r="AD88" i="4"/>
  <c r="W88" i="4"/>
  <c r="AE88" i="4"/>
  <c r="T88" i="4"/>
  <c r="U88" i="4"/>
  <c r="S88" i="4"/>
  <c r="Q88" i="4"/>
  <c r="R88" i="4"/>
  <c r="B87" i="4"/>
  <c r="O87" i="4"/>
  <c r="C88" i="4"/>
  <c r="K88" i="4"/>
  <c r="D88" i="4"/>
  <c r="L88" i="4"/>
  <c r="H88" i="4"/>
  <c r="I88" i="4"/>
  <c r="M88" i="4"/>
  <c r="E88" i="4"/>
  <c r="F88" i="4"/>
  <c r="G88" i="4"/>
  <c r="J88" i="4"/>
  <c r="N88" i="4"/>
  <c r="P87" i="4"/>
  <c r="A89" i="4"/>
  <c r="AM89" i="4" s="1"/>
  <c r="AJ192" i="9"/>
  <c r="AJ144" i="9"/>
  <c r="AJ96" i="9"/>
  <c r="AJ48" i="9"/>
  <c r="AJ213" i="9"/>
  <c r="AJ165" i="9"/>
  <c r="AJ117" i="9"/>
  <c r="AJ69" i="9"/>
  <c r="AJ21" i="9"/>
  <c r="AJ186" i="9"/>
  <c r="AJ138" i="9"/>
  <c r="AJ90" i="9"/>
  <c r="AJ42" i="9"/>
  <c r="AJ207" i="9"/>
  <c r="AJ15" i="9"/>
  <c r="AJ147" i="9"/>
  <c r="AJ183" i="9"/>
  <c r="AJ123" i="9"/>
  <c r="AJ159" i="9"/>
  <c r="AJ135" i="9"/>
  <c r="AJ120" i="9"/>
  <c r="AJ189" i="9"/>
  <c r="AJ141" i="9"/>
  <c r="AJ45" i="9"/>
  <c r="AJ162" i="9"/>
  <c r="AJ66" i="9"/>
  <c r="AJ111" i="9"/>
  <c r="AJ51" i="9"/>
  <c r="AK4" i="9"/>
  <c r="AJ81" i="9"/>
  <c r="AJ102" i="9"/>
  <c r="AJ63" i="9"/>
  <c r="AJ27" i="9"/>
  <c r="AJ2" i="9"/>
  <c r="AJ180" i="9"/>
  <c r="AJ132" i="9"/>
  <c r="AJ84" i="9"/>
  <c r="AJ36" i="9"/>
  <c r="AJ201" i="9"/>
  <c r="AJ153" i="9"/>
  <c r="AJ105" i="9"/>
  <c r="AJ57" i="9"/>
  <c r="AJ9" i="9"/>
  <c r="AJ174" i="9"/>
  <c r="AJ126" i="9"/>
  <c r="AJ78" i="9"/>
  <c r="AJ30" i="9"/>
  <c r="AJ171" i="9"/>
  <c r="AJ99" i="9"/>
  <c r="AJ3" i="9"/>
  <c r="AJ168" i="9"/>
  <c r="AJ72" i="9"/>
  <c r="AJ24" i="9"/>
  <c r="AJ93" i="9"/>
  <c r="AJ210" i="9"/>
  <c r="AJ114" i="9"/>
  <c r="AJ18" i="9"/>
  <c r="AJ75" i="9"/>
  <c r="AJ87" i="9"/>
  <c r="AJ204" i="9"/>
  <c r="AJ156" i="9"/>
  <c r="AJ60" i="9"/>
  <c r="AJ177" i="9"/>
  <c r="AJ33" i="9"/>
  <c r="AJ150" i="9"/>
  <c r="AJ6" i="9"/>
  <c r="AJ195" i="9"/>
  <c r="AJ39" i="9"/>
  <c r="AJ216" i="9"/>
  <c r="AJ108" i="9"/>
  <c r="AJ129" i="9"/>
  <c r="AJ198" i="9"/>
  <c r="AJ54" i="9"/>
  <c r="AJ12" i="9"/>
  <c r="AJ89" i="4" l="1"/>
  <c r="AS89" i="4"/>
  <c r="BA89" i="4"/>
  <c r="BI89" i="4"/>
  <c r="BQ89" i="4"/>
  <c r="BY89" i="4"/>
  <c r="AL89" i="4"/>
  <c r="AU89" i="4"/>
  <c r="BC89" i="4"/>
  <c r="BK89" i="4"/>
  <c r="BS89" i="4"/>
  <c r="CA89" i="4"/>
  <c r="AN89" i="4"/>
  <c r="AV89" i="4"/>
  <c r="BD89" i="4"/>
  <c r="BL89" i="4"/>
  <c r="BT89" i="4"/>
  <c r="CB89" i="4"/>
  <c r="AF89" i="4"/>
  <c r="AO89" i="4"/>
  <c r="AW89" i="4"/>
  <c r="BE89" i="4"/>
  <c r="BM89" i="4"/>
  <c r="BU89" i="4"/>
  <c r="CC89" i="4"/>
  <c r="AG89" i="4"/>
  <c r="AP89" i="4"/>
  <c r="AX89" i="4"/>
  <c r="BF89" i="4"/>
  <c r="BN89" i="4"/>
  <c r="BV89" i="4"/>
  <c r="AH89" i="4"/>
  <c r="AQ89" i="4"/>
  <c r="AY89" i="4"/>
  <c r="BG89" i="4"/>
  <c r="BO89" i="4"/>
  <c r="BW89" i="4"/>
  <c r="AI89" i="4"/>
  <c r="AR89" i="4"/>
  <c r="AZ89" i="4"/>
  <c r="BH89" i="4"/>
  <c r="BP89" i="4"/>
  <c r="BX89" i="4"/>
  <c r="AK89" i="4"/>
  <c r="AT89" i="4"/>
  <c r="BB89" i="4"/>
  <c r="BJ89" i="4"/>
  <c r="BR89" i="4"/>
  <c r="BZ89" i="4"/>
  <c r="V89" i="4"/>
  <c r="AD89" i="4"/>
  <c r="W89" i="4"/>
  <c r="AE89" i="4"/>
  <c r="X89" i="4"/>
  <c r="Y89" i="4"/>
  <c r="Z89" i="4"/>
  <c r="AA89" i="4"/>
  <c r="AB89" i="4"/>
  <c r="AC89" i="4"/>
  <c r="Q89" i="4"/>
  <c r="R89" i="4"/>
  <c r="S89" i="4"/>
  <c r="T89" i="4"/>
  <c r="U89" i="4"/>
  <c r="B88" i="4"/>
  <c r="O88" i="4"/>
  <c r="G89" i="4"/>
  <c r="H89" i="4"/>
  <c r="D89" i="4"/>
  <c r="L89" i="4"/>
  <c r="J89" i="4"/>
  <c r="M89" i="4"/>
  <c r="E89" i="4"/>
  <c r="I89" i="4"/>
  <c r="K89" i="4"/>
  <c r="N89" i="4"/>
  <c r="F89" i="4"/>
  <c r="C89" i="4"/>
  <c r="P88" i="4"/>
  <c r="A90" i="4"/>
  <c r="AM90" i="4" s="1"/>
  <c r="AK135" i="9"/>
  <c r="AK81" i="9"/>
  <c r="AK171" i="9"/>
  <c r="AK75" i="9"/>
  <c r="AK123" i="9"/>
  <c r="AK27" i="9"/>
  <c r="AK165" i="9"/>
  <c r="AK90" i="9"/>
  <c r="AK126" i="9"/>
  <c r="AK6" i="9"/>
  <c r="AK207" i="9"/>
  <c r="AK159" i="9"/>
  <c r="AK111" i="9"/>
  <c r="AK63" i="9"/>
  <c r="AK15" i="9"/>
  <c r="AK180" i="9"/>
  <c r="AK132" i="9"/>
  <c r="AK84" i="9"/>
  <c r="AK36" i="9"/>
  <c r="AK201" i="9"/>
  <c r="AK153" i="9"/>
  <c r="AK105" i="9"/>
  <c r="AK57" i="9"/>
  <c r="AK9" i="9"/>
  <c r="AK42" i="9"/>
  <c r="AK78" i="9"/>
  <c r="AK210" i="9"/>
  <c r="AK18" i="9"/>
  <c r="AK3" i="9"/>
  <c r="AK183" i="9"/>
  <c r="AK87" i="9"/>
  <c r="AK204" i="9"/>
  <c r="AK108" i="9"/>
  <c r="AK12" i="9"/>
  <c r="AK129" i="9"/>
  <c r="AK138" i="9"/>
  <c r="AK150" i="9"/>
  <c r="AK54" i="9"/>
  <c r="AK192" i="9"/>
  <c r="AK96" i="9"/>
  <c r="AK213" i="9"/>
  <c r="AK117" i="9"/>
  <c r="AK21" i="9"/>
  <c r="AK66" i="9"/>
  <c r="AK195" i="9"/>
  <c r="AK147" i="9"/>
  <c r="AK99" i="9"/>
  <c r="AK51" i="9"/>
  <c r="AK216" i="9"/>
  <c r="AK168" i="9"/>
  <c r="AK120" i="9"/>
  <c r="AK72" i="9"/>
  <c r="AK24" i="9"/>
  <c r="AK189" i="9"/>
  <c r="AK141" i="9"/>
  <c r="AK93" i="9"/>
  <c r="AK45" i="9"/>
  <c r="AK186" i="9"/>
  <c r="AK102" i="9"/>
  <c r="AK30" i="9"/>
  <c r="AK162" i="9"/>
  <c r="AK198" i="9"/>
  <c r="AL4" i="9"/>
  <c r="AK39" i="9"/>
  <c r="AK156" i="9"/>
  <c r="AK60" i="9"/>
  <c r="AK177" i="9"/>
  <c r="AK33" i="9"/>
  <c r="AK174" i="9"/>
  <c r="AK114" i="9"/>
  <c r="AK144" i="9"/>
  <c r="AK48" i="9"/>
  <c r="AK69" i="9"/>
  <c r="AK2" i="9"/>
  <c r="AI90" i="4" l="1"/>
  <c r="AR90" i="4"/>
  <c r="AZ90" i="4"/>
  <c r="BH90" i="4"/>
  <c r="BP90" i="4"/>
  <c r="BX90" i="4"/>
  <c r="AK90" i="4"/>
  <c r="AT90" i="4"/>
  <c r="BB90" i="4"/>
  <c r="BJ90" i="4"/>
  <c r="BR90" i="4"/>
  <c r="BZ90" i="4"/>
  <c r="AL90" i="4"/>
  <c r="AU90" i="4"/>
  <c r="BC90" i="4"/>
  <c r="BK90" i="4"/>
  <c r="BS90" i="4"/>
  <c r="CA90" i="4"/>
  <c r="AN90" i="4"/>
  <c r="AV90" i="4"/>
  <c r="BD90" i="4"/>
  <c r="BL90" i="4"/>
  <c r="BT90" i="4"/>
  <c r="CB90" i="4"/>
  <c r="AF90" i="4"/>
  <c r="AO90" i="4"/>
  <c r="AW90" i="4"/>
  <c r="BE90" i="4"/>
  <c r="BM90" i="4"/>
  <c r="BU90" i="4"/>
  <c r="CC90" i="4"/>
  <c r="AG90" i="4"/>
  <c r="AP90" i="4"/>
  <c r="AX90" i="4"/>
  <c r="BF90" i="4"/>
  <c r="BN90" i="4"/>
  <c r="BV90" i="4"/>
  <c r="AH90" i="4"/>
  <c r="AQ90" i="4"/>
  <c r="AY90" i="4"/>
  <c r="BG90" i="4"/>
  <c r="BO90" i="4"/>
  <c r="BW90" i="4"/>
  <c r="AJ90" i="4"/>
  <c r="AS90" i="4"/>
  <c r="BA90" i="4"/>
  <c r="BI90" i="4"/>
  <c r="BQ90" i="4"/>
  <c r="BY90" i="4"/>
  <c r="AB90" i="4"/>
  <c r="AC90" i="4"/>
  <c r="V90" i="4"/>
  <c r="AD90" i="4"/>
  <c r="W90" i="4"/>
  <c r="AE90" i="4"/>
  <c r="X90" i="4"/>
  <c r="Y90" i="4"/>
  <c r="Z90" i="4"/>
  <c r="AA90" i="4"/>
  <c r="R90" i="4"/>
  <c r="S90" i="4"/>
  <c r="T90" i="4"/>
  <c r="U90" i="4"/>
  <c r="Q90" i="4"/>
  <c r="O89" i="4"/>
  <c r="B89" i="4"/>
  <c r="C90" i="4"/>
  <c r="K90" i="4"/>
  <c r="D90" i="4"/>
  <c r="L90" i="4"/>
  <c r="H90" i="4"/>
  <c r="J90" i="4"/>
  <c r="N90" i="4"/>
  <c r="F90" i="4"/>
  <c r="G90" i="4"/>
  <c r="E90" i="4"/>
  <c r="I90" i="4"/>
  <c r="M90" i="4"/>
  <c r="P89" i="4"/>
  <c r="A91" i="4"/>
  <c r="AM91" i="4" s="1"/>
  <c r="AL186" i="9"/>
  <c r="AL138" i="9"/>
  <c r="AL90" i="9"/>
  <c r="AL42" i="9"/>
  <c r="AL207" i="9"/>
  <c r="AL159" i="9"/>
  <c r="AL111" i="9"/>
  <c r="AL63" i="9"/>
  <c r="AL15" i="9"/>
  <c r="AL180" i="9"/>
  <c r="AL132" i="9"/>
  <c r="AL84" i="9"/>
  <c r="AL36" i="9"/>
  <c r="AL165" i="9"/>
  <c r="AL177" i="9"/>
  <c r="AL105" i="9"/>
  <c r="AL189" i="9"/>
  <c r="AL81" i="9"/>
  <c r="AL126" i="9"/>
  <c r="AL78" i="9"/>
  <c r="AL30" i="9"/>
  <c r="AL195" i="9"/>
  <c r="AL99" i="9"/>
  <c r="AL168" i="9"/>
  <c r="AL72" i="9"/>
  <c r="AL117" i="9"/>
  <c r="AL57" i="9"/>
  <c r="AL141" i="9"/>
  <c r="AL162" i="9"/>
  <c r="AL18" i="9"/>
  <c r="AL135" i="9"/>
  <c r="AL156" i="9"/>
  <c r="AL60" i="9"/>
  <c r="AL12" i="9"/>
  <c r="AL9" i="9"/>
  <c r="AL75" i="9"/>
  <c r="AL21" i="9"/>
  <c r="AL174" i="9"/>
  <c r="AL147" i="9"/>
  <c r="AL51" i="9"/>
  <c r="AL216" i="9"/>
  <c r="AL120" i="9"/>
  <c r="AL24" i="9"/>
  <c r="AL33" i="9"/>
  <c r="AL2" i="9"/>
  <c r="AL210" i="9"/>
  <c r="AL114" i="9"/>
  <c r="AL66" i="9"/>
  <c r="AL183" i="9"/>
  <c r="AL87" i="9"/>
  <c r="AL204" i="9"/>
  <c r="AL108" i="9"/>
  <c r="AL69" i="9"/>
  <c r="AL93" i="9"/>
  <c r="AL198" i="9"/>
  <c r="AL150" i="9"/>
  <c r="AL6" i="9"/>
  <c r="AL171" i="9"/>
  <c r="AL192" i="9"/>
  <c r="AL96" i="9"/>
  <c r="AL153" i="9"/>
  <c r="AL45" i="9"/>
  <c r="AL39" i="9"/>
  <c r="AL201" i="9"/>
  <c r="AL3" i="9"/>
  <c r="AL54" i="9"/>
  <c r="AL27" i="9"/>
  <c r="AL48" i="9"/>
  <c r="AL129" i="9"/>
  <c r="AL102" i="9"/>
  <c r="AL123" i="9"/>
  <c r="AL144" i="9"/>
  <c r="AL213" i="9"/>
  <c r="AM4" i="9"/>
  <c r="AH91" i="4" l="1"/>
  <c r="AQ91" i="4"/>
  <c r="AY91" i="4"/>
  <c r="BG91" i="4"/>
  <c r="BO91" i="4"/>
  <c r="BW91" i="4"/>
  <c r="AJ91" i="4"/>
  <c r="AS91" i="4"/>
  <c r="BA91" i="4"/>
  <c r="BI91" i="4"/>
  <c r="BQ91" i="4"/>
  <c r="BY91" i="4"/>
  <c r="AK91" i="4"/>
  <c r="AT91" i="4"/>
  <c r="BB91" i="4"/>
  <c r="BJ91" i="4"/>
  <c r="BR91" i="4"/>
  <c r="BZ91" i="4"/>
  <c r="AL91" i="4"/>
  <c r="AU91" i="4"/>
  <c r="BC91" i="4"/>
  <c r="BK91" i="4"/>
  <c r="BS91" i="4"/>
  <c r="CA91" i="4"/>
  <c r="AN91" i="4"/>
  <c r="AV91" i="4"/>
  <c r="BD91" i="4"/>
  <c r="BL91" i="4"/>
  <c r="BT91" i="4"/>
  <c r="CB91" i="4"/>
  <c r="AF91" i="4"/>
  <c r="AO91" i="4"/>
  <c r="AW91" i="4"/>
  <c r="BE91" i="4"/>
  <c r="BM91" i="4"/>
  <c r="BU91" i="4"/>
  <c r="CC91" i="4"/>
  <c r="AG91" i="4"/>
  <c r="AP91" i="4"/>
  <c r="AX91" i="4"/>
  <c r="BF91" i="4"/>
  <c r="BN91" i="4"/>
  <c r="BV91" i="4"/>
  <c r="AZ91" i="4"/>
  <c r="BH91" i="4"/>
  <c r="BP91" i="4"/>
  <c r="BX91" i="4"/>
  <c r="AI91" i="4"/>
  <c r="AR91" i="4"/>
  <c r="Z91" i="4"/>
  <c r="AA91" i="4"/>
  <c r="AB91" i="4"/>
  <c r="AC91" i="4"/>
  <c r="V91" i="4"/>
  <c r="AD91" i="4"/>
  <c r="W91" i="4"/>
  <c r="AE91" i="4"/>
  <c r="X91" i="4"/>
  <c r="Y91" i="4"/>
  <c r="U91" i="4"/>
  <c r="Q91" i="4"/>
  <c r="R91" i="4"/>
  <c r="T91" i="4"/>
  <c r="S91" i="4"/>
  <c r="B90" i="4"/>
  <c r="P90" i="4"/>
  <c r="F91" i="4"/>
  <c r="N91" i="4"/>
  <c r="G91" i="4"/>
  <c r="C91" i="4"/>
  <c r="K91" i="4"/>
  <c r="J91" i="4"/>
  <c r="M91" i="4"/>
  <c r="E91" i="4"/>
  <c r="D91" i="4"/>
  <c r="H91" i="4"/>
  <c r="I91" i="4"/>
  <c r="L91" i="4"/>
  <c r="O90" i="4"/>
  <c r="A92" i="4"/>
  <c r="AM92" i="4" s="1"/>
  <c r="AM141" i="9"/>
  <c r="AM45" i="9"/>
  <c r="AM114" i="9"/>
  <c r="AM183" i="9"/>
  <c r="AM87" i="9"/>
  <c r="AM39" i="9"/>
  <c r="AM180" i="9"/>
  <c r="AM156" i="9"/>
  <c r="AM177" i="9"/>
  <c r="AM129" i="9"/>
  <c r="AM81" i="9"/>
  <c r="AM33" i="9"/>
  <c r="AM198" i="9"/>
  <c r="AM150" i="9"/>
  <c r="AM102" i="9"/>
  <c r="AM54" i="9"/>
  <c r="AM6" i="9"/>
  <c r="AM171" i="9"/>
  <c r="AM123" i="9"/>
  <c r="AM75" i="9"/>
  <c r="AM27" i="9"/>
  <c r="AM96" i="9"/>
  <c r="AM132" i="9"/>
  <c r="AM12" i="9"/>
  <c r="AM72" i="9"/>
  <c r="AN4" i="9"/>
  <c r="AM117" i="9"/>
  <c r="AM69" i="9"/>
  <c r="AM186" i="9"/>
  <c r="AM138" i="9"/>
  <c r="AM42" i="9"/>
  <c r="AM207" i="9"/>
  <c r="AM111" i="9"/>
  <c r="AM63" i="9"/>
  <c r="AM48" i="9"/>
  <c r="AM84" i="9"/>
  <c r="AM24" i="9"/>
  <c r="AM2" i="9"/>
  <c r="AM60" i="9"/>
  <c r="AM213" i="9"/>
  <c r="AM165" i="9"/>
  <c r="AM21" i="9"/>
  <c r="AM90" i="9"/>
  <c r="AM159" i="9"/>
  <c r="AM15" i="9"/>
  <c r="AM216" i="9"/>
  <c r="AM120" i="9"/>
  <c r="AM201" i="9"/>
  <c r="AM153" i="9"/>
  <c r="AM105" i="9"/>
  <c r="AM57" i="9"/>
  <c r="AM9" i="9"/>
  <c r="AM174" i="9"/>
  <c r="AM126" i="9"/>
  <c r="AM78" i="9"/>
  <c r="AM30" i="9"/>
  <c r="AM195" i="9"/>
  <c r="AM147" i="9"/>
  <c r="AM99" i="9"/>
  <c r="AM51" i="9"/>
  <c r="AM192" i="9"/>
  <c r="AM108" i="9"/>
  <c r="AM36" i="9"/>
  <c r="AM168" i="9"/>
  <c r="AM204" i="9"/>
  <c r="AM3" i="9"/>
  <c r="AM189" i="9"/>
  <c r="AM93" i="9"/>
  <c r="AM210" i="9"/>
  <c r="AM162" i="9"/>
  <c r="AM66" i="9"/>
  <c r="AM18" i="9"/>
  <c r="AM135" i="9"/>
  <c r="AM144" i="9"/>
  <c r="AG92" i="4" l="1"/>
  <c r="AP92" i="4"/>
  <c r="AX92" i="4"/>
  <c r="BF92" i="4"/>
  <c r="BN92" i="4"/>
  <c r="BV92" i="4"/>
  <c r="AI92" i="4"/>
  <c r="AR92" i="4"/>
  <c r="AZ92" i="4"/>
  <c r="BH92" i="4"/>
  <c r="BP92" i="4"/>
  <c r="BX92" i="4"/>
  <c r="AJ92" i="4"/>
  <c r="AS92" i="4"/>
  <c r="BA92" i="4"/>
  <c r="BI92" i="4"/>
  <c r="BQ92" i="4"/>
  <c r="BY92" i="4"/>
  <c r="AK92" i="4"/>
  <c r="AT92" i="4"/>
  <c r="BB92" i="4"/>
  <c r="BJ92" i="4"/>
  <c r="BR92" i="4"/>
  <c r="BZ92" i="4"/>
  <c r="AL92" i="4"/>
  <c r="AU92" i="4"/>
  <c r="BC92" i="4"/>
  <c r="BK92" i="4"/>
  <c r="BS92" i="4"/>
  <c r="CA92" i="4"/>
  <c r="AN92" i="4"/>
  <c r="AV92" i="4"/>
  <c r="BD92" i="4"/>
  <c r="BL92" i="4"/>
  <c r="BT92" i="4"/>
  <c r="CB92" i="4"/>
  <c r="AF92" i="4"/>
  <c r="AO92" i="4"/>
  <c r="AW92" i="4"/>
  <c r="BE92" i="4"/>
  <c r="BM92" i="4"/>
  <c r="BU92" i="4"/>
  <c r="CC92" i="4"/>
  <c r="BO92" i="4"/>
  <c r="BW92" i="4"/>
  <c r="AH92" i="4"/>
  <c r="AQ92" i="4"/>
  <c r="AY92" i="4"/>
  <c r="BG92" i="4"/>
  <c r="X92" i="4"/>
  <c r="Y92" i="4"/>
  <c r="Z92" i="4"/>
  <c r="AA92" i="4"/>
  <c r="AB92" i="4"/>
  <c r="AC92" i="4"/>
  <c r="V92" i="4"/>
  <c r="AD92" i="4"/>
  <c r="W92" i="4"/>
  <c r="AE92" i="4"/>
  <c r="Q92" i="4"/>
  <c r="R92" i="4"/>
  <c r="S92" i="4"/>
  <c r="T92" i="4"/>
  <c r="U92" i="4"/>
  <c r="P91" i="4"/>
  <c r="I92" i="4"/>
  <c r="J92" i="4"/>
  <c r="F92" i="4"/>
  <c r="N92" i="4"/>
  <c r="K92" i="4"/>
  <c r="M92" i="4"/>
  <c r="E92" i="4"/>
  <c r="L92" i="4"/>
  <c r="C92" i="4"/>
  <c r="D92" i="4"/>
  <c r="H92" i="4"/>
  <c r="G92" i="4"/>
  <c r="O91" i="4"/>
  <c r="B91" i="4"/>
  <c r="A93" i="4"/>
  <c r="AM93" i="4" s="1"/>
  <c r="AN96" i="9"/>
  <c r="AN165" i="9"/>
  <c r="AN117" i="9"/>
  <c r="AN21" i="9"/>
  <c r="AN138" i="9"/>
  <c r="AN42" i="9"/>
  <c r="AN171" i="9"/>
  <c r="AN111" i="9"/>
  <c r="AN135" i="9"/>
  <c r="AN180" i="9"/>
  <c r="AN132" i="9"/>
  <c r="AN84" i="9"/>
  <c r="AN36" i="9"/>
  <c r="AN201" i="9"/>
  <c r="AN153" i="9"/>
  <c r="AN105" i="9"/>
  <c r="AN57" i="9"/>
  <c r="AN9" i="9"/>
  <c r="AN174" i="9"/>
  <c r="AN126" i="9"/>
  <c r="AN78" i="9"/>
  <c r="AN30" i="9"/>
  <c r="AN123" i="9"/>
  <c r="AN39" i="9"/>
  <c r="AN63" i="9"/>
  <c r="AN147" i="9"/>
  <c r="AN2" i="9"/>
  <c r="AN168" i="9"/>
  <c r="AN120" i="9"/>
  <c r="AN72" i="9"/>
  <c r="AN141" i="9"/>
  <c r="AN45" i="9"/>
  <c r="AN162" i="9"/>
  <c r="AN114" i="9"/>
  <c r="AN18" i="9"/>
  <c r="AN75" i="9"/>
  <c r="AN207" i="9"/>
  <c r="AN99" i="9"/>
  <c r="AN216" i="9"/>
  <c r="AN24" i="9"/>
  <c r="AN189" i="9"/>
  <c r="AN93" i="9"/>
  <c r="AN210" i="9"/>
  <c r="AN66" i="9"/>
  <c r="AN15" i="9"/>
  <c r="AN204" i="9"/>
  <c r="AN156" i="9"/>
  <c r="AN108" i="9"/>
  <c r="AN60" i="9"/>
  <c r="AN12" i="9"/>
  <c r="AN177" i="9"/>
  <c r="AN129" i="9"/>
  <c r="AN81" i="9"/>
  <c r="AN33" i="9"/>
  <c r="AN198" i="9"/>
  <c r="AN150" i="9"/>
  <c r="AN102" i="9"/>
  <c r="AN54" i="9"/>
  <c r="AN6" i="9"/>
  <c r="AN27" i="9"/>
  <c r="AN159" i="9"/>
  <c r="AN87" i="9"/>
  <c r="AN51" i="9"/>
  <c r="AN3" i="9"/>
  <c r="AN192" i="9"/>
  <c r="AN144" i="9"/>
  <c r="AN48" i="9"/>
  <c r="AN213" i="9"/>
  <c r="AN69" i="9"/>
  <c r="AN186" i="9"/>
  <c r="AN90" i="9"/>
  <c r="AN183" i="9"/>
  <c r="AN195" i="9"/>
  <c r="AO4" i="9"/>
  <c r="AF93" i="4" l="1"/>
  <c r="AO93" i="4"/>
  <c r="AW93" i="4"/>
  <c r="BE93" i="4"/>
  <c r="BM93" i="4"/>
  <c r="BU93" i="4"/>
  <c r="CC93" i="4"/>
  <c r="AH93" i="4"/>
  <c r="AQ93" i="4"/>
  <c r="AY93" i="4"/>
  <c r="BG93" i="4"/>
  <c r="BO93" i="4"/>
  <c r="BW93" i="4"/>
  <c r="AI93" i="4"/>
  <c r="AR93" i="4"/>
  <c r="AZ93" i="4"/>
  <c r="BH93" i="4"/>
  <c r="BP93" i="4"/>
  <c r="BX93" i="4"/>
  <c r="AJ93" i="4"/>
  <c r="AS93" i="4"/>
  <c r="BA93" i="4"/>
  <c r="BI93" i="4"/>
  <c r="BQ93" i="4"/>
  <c r="BY93" i="4"/>
  <c r="AK93" i="4"/>
  <c r="AT93" i="4"/>
  <c r="BB93" i="4"/>
  <c r="BJ93" i="4"/>
  <c r="BR93" i="4"/>
  <c r="BZ93" i="4"/>
  <c r="AL93" i="4"/>
  <c r="AU93" i="4"/>
  <c r="BC93" i="4"/>
  <c r="BK93" i="4"/>
  <c r="BS93" i="4"/>
  <c r="CA93" i="4"/>
  <c r="AN93" i="4"/>
  <c r="AV93" i="4"/>
  <c r="BD93" i="4"/>
  <c r="BL93" i="4"/>
  <c r="BT93" i="4"/>
  <c r="CB93" i="4"/>
  <c r="AG93" i="4"/>
  <c r="AP93" i="4"/>
  <c r="AX93" i="4"/>
  <c r="BF93" i="4"/>
  <c r="BN93" i="4"/>
  <c r="BV93" i="4"/>
  <c r="V93" i="4"/>
  <c r="AD93" i="4"/>
  <c r="W93" i="4"/>
  <c r="AE93" i="4"/>
  <c r="X93" i="4"/>
  <c r="Y93" i="4"/>
  <c r="Z93" i="4"/>
  <c r="AA93" i="4"/>
  <c r="AB93" i="4"/>
  <c r="AC93" i="4"/>
  <c r="S93" i="4"/>
  <c r="T93" i="4"/>
  <c r="U93" i="4"/>
  <c r="Q93" i="4"/>
  <c r="R93" i="4"/>
  <c r="C93" i="4"/>
  <c r="K93" i="4"/>
  <c r="D93" i="4"/>
  <c r="L93" i="4"/>
  <c r="H93" i="4"/>
  <c r="I93" i="4"/>
  <c r="M93" i="4"/>
  <c r="E93" i="4"/>
  <c r="F93" i="4"/>
  <c r="G93" i="4"/>
  <c r="J93" i="4"/>
  <c r="N93" i="4"/>
  <c r="O92" i="4"/>
  <c r="B92" i="4"/>
  <c r="P92" i="4"/>
  <c r="A94" i="4"/>
  <c r="AM94" i="4" s="1"/>
  <c r="AO183" i="9"/>
  <c r="AO135" i="9"/>
  <c r="AO87" i="9"/>
  <c r="AO39" i="9"/>
  <c r="AO204" i="9"/>
  <c r="AO156" i="9"/>
  <c r="AO108" i="9"/>
  <c r="AO60" i="9"/>
  <c r="AO12" i="9"/>
  <c r="AO177" i="9"/>
  <c r="AO129" i="9"/>
  <c r="AO81" i="9"/>
  <c r="AO33" i="9"/>
  <c r="AO150" i="9"/>
  <c r="AO162" i="9"/>
  <c r="AO90" i="9"/>
  <c r="AO174" i="9"/>
  <c r="AO114" i="9"/>
  <c r="AO207" i="9"/>
  <c r="AO159" i="9"/>
  <c r="AO111" i="9"/>
  <c r="AO63" i="9"/>
  <c r="AO15" i="9"/>
  <c r="AO180" i="9"/>
  <c r="AO84" i="9"/>
  <c r="AO36" i="9"/>
  <c r="AO153" i="9"/>
  <c r="AO57" i="9"/>
  <c r="AO186" i="9"/>
  <c r="AO147" i="9"/>
  <c r="AO216" i="9"/>
  <c r="AO72" i="9"/>
  <c r="AO45" i="9"/>
  <c r="AO138" i="9"/>
  <c r="AP4" i="9"/>
  <c r="AO171" i="9"/>
  <c r="AO123" i="9"/>
  <c r="AO75" i="9"/>
  <c r="AO27" i="9"/>
  <c r="AO192" i="9"/>
  <c r="AO144" i="9"/>
  <c r="AO96" i="9"/>
  <c r="AO48" i="9"/>
  <c r="AO213" i="9"/>
  <c r="AO165" i="9"/>
  <c r="AO117" i="9"/>
  <c r="AO69" i="9"/>
  <c r="AO21" i="9"/>
  <c r="AO102" i="9"/>
  <c r="AO66" i="9"/>
  <c r="AO42" i="9"/>
  <c r="AO126" i="9"/>
  <c r="AO2" i="9"/>
  <c r="AO132" i="9"/>
  <c r="AO201" i="9"/>
  <c r="AO105" i="9"/>
  <c r="AO9" i="9"/>
  <c r="AO54" i="9"/>
  <c r="AO210" i="9"/>
  <c r="AO3" i="9"/>
  <c r="AO120" i="9"/>
  <c r="AO141" i="9"/>
  <c r="AO198" i="9"/>
  <c r="AO18" i="9"/>
  <c r="AO78" i="9"/>
  <c r="AO195" i="9"/>
  <c r="AO99" i="9"/>
  <c r="AO168" i="9"/>
  <c r="AO24" i="9"/>
  <c r="AO93" i="9"/>
  <c r="AO6" i="9"/>
  <c r="AO30" i="9"/>
  <c r="AO51" i="9"/>
  <c r="AO189" i="9"/>
  <c r="AN94" i="4" l="1"/>
  <c r="AV94" i="4"/>
  <c r="BD94" i="4"/>
  <c r="BL94" i="4"/>
  <c r="BT94" i="4"/>
  <c r="CB94" i="4"/>
  <c r="AG94" i="4"/>
  <c r="AP94" i="4"/>
  <c r="AX94" i="4"/>
  <c r="BF94" i="4"/>
  <c r="BN94" i="4"/>
  <c r="BV94" i="4"/>
  <c r="AH94" i="4"/>
  <c r="AQ94" i="4"/>
  <c r="AY94" i="4"/>
  <c r="BG94" i="4"/>
  <c r="BO94" i="4"/>
  <c r="BW94" i="4"/>
  <c r="AI94" i="4"/>
  <c r="AR94" i="4"/>
  <c r="AZ94" i="4"/>
  <c r="BH94" i="4"/>
  <c r="BP94" i="4"/>
  <c r="BX94" i="4"/>
  <c r="AJ94" i="4"/>
  <c r="AS94" i="4"/>
  <c r="BA94" i="4"/>
  <c r="BI94" i="4"/>
  <c r="BQ94" i="4"/>
  <c r="BY94" i="4"/>
  <c r="AK94" i="4"/>
  <c r="AT94" i="4"/>
  <c r="BB94" i="4"/>
  <c r="BJ94" i="4"/>
  <c r="BR94" i="4"/>
  <c r="BZ94" i="4"/>
  <c r="AL94" i="4"/>
  <c r="AU94" i="4"/>
  <c r="BC94" i="4"/>
  <c r="BK94" i="4"/>
  <c r="BS94" i="4"/>
  <c r="CA94" i="4"/>
  <c r="AF94" i="4"/>
  <c r="AO94" i="4"/>
  <c r="AW94" i="4"/>
  <c r="BE94" i="4"/>
  <c r="BM94" i="4"/>
  <c r="BU94" i="4"/>
  <c r="CC94" i="4"/>
  <c r="AB94" i="4"/>
  <c r="AC94" i="4"/>
  <c r="V94" i="4"/>
  <c r="AD94" i="4"/>
  <c r="W94" i="4"/>
  <c r="AE94" i="4"/>
  <c r="X94" i="4"/>
  <c r="Y94" i="4"/>
  <c r="Z94" i="4"/>
  <c r="AA94" i="4"/>
  <c r="Q94" i="4"/>
  <c r="R94" i="4"/>
  <c r="U94" i="4"/>
  <c r="S94" i="4"/>
  <c r="T94" i="4"/>
  <c r="O93" i="4"/>
  <c r="G94" i="4"/>
  <c r="H94" i="4"/>
  <c r="D94" i="4"/>
  <c r="L94" i="4"/>
  <c r="J94" i="4"/>
  <c r="M94" i="4"/>
  <c r="E94" i="4"/>
  <c r="F94" i="4"/>
  <c r="I94" i="4"/>
  <c r="K94" i="4"/>
  <c r="N94" i="4"/>
  <c r="C94" i="4"/>
  <c r="P93" i="4"/>
  <c r="B93" i="4"/>
  <c r="A95" i="4"/>
  <c r="AM95" i="4" s="1"/>
  <c r="AP42" i="9"/>
  <c r="AP36" i="9"/>
  <c r="AP126" i="9"/>
  <c r="AP195" i="9"/>
  <c r="AP216" i="9"/>
  <c r="AP24" i="9"/>
  <c r="AP189" i="9"/>
  <c r="AP174" i="9"/>
  <c r="AP30" i="9"/>
  <c r="AP99" i="9"/>
  <c r="AP120" i="9"/>
  <c r="AP165" i="9"/>
  <c r="AP210" i="9"/>
  <c r="AP162" i="9"/>
  <c r="AP114" i="9"/>
  <c r="AP66" i="9"/>
  <c r="AP18" i="9"/>
  <c r="AP183" i="9"/>
  <c r="AP135" i="9"/>
  <c r="AP87" i="9"/>
  <c r="AP39" i="9"/>
  <c r="AP204" i="9"/>
  <c r="AP156" i="9"/>
  <c r="AP108" i="9"/>
  <c r="AP60" i="9"/>
  <c r="AP12" i="9"/>
  <c r="AP33" i="9"/>
  <c r="AP117" i="9"/>
  <c r="AP201" i="9"/>
  <c r="AP9" i="9"/>
  <c r="AQ4" i="9"/>
  <c r="AP90" i="9"/>
  <c r="AP159" i="9"/>
  <c r="AP63" i="9"/>
  <c r="AP180" i="9"/>
  <c r="AP84" i="9"/>
  <c r="AP213" i="9"/>
  <c r="AP105" i="9"/>
  <c r="AP78" i="9"/>
  <c r="AP147" i="9"/>
  <c r="AP168" i="9"/>
  <c r="AP81" i="9"/>
  <c r="AP2" i="9"/>
  <c r="AP198" i="9"/>
  <c r="AP150" i="9"/>
  <c r="AP102" i="9"/>
  <c r="AP54" i="9"/>
  <c r="AP6" i="9"/>
  <c r="AP171" i="9"/>
  <c r="AP123" i="9"/>
  <c r="AP75" i="9"/>
  <c r="AP27" i="9"/>
  <c r="AP192" i="9"/>
  <c r="AP144" i="9"/>
  <c r="AP96" i="9"/>
  <c r="AP48" i="9"/>
  <c r="AP177" i="9"/>
  <c r="AP93" i="9"/>
  <c r="AP69" i="9"/>
  <c r="AP153" i="9"/>
  <c r="AP141" i="9"/>
  <c r="AP3" i="9"/>
  <c r="AP186" i="9"/>
  <c r="AP138" i="9"/>
  <c r="AP207" i="9"/>
  <c r="AP111" i="9"/>
  <c r="AP15" i="9"/>
  <c r="AP132" i="9"/>
  <c r="AP129" i="9"/>
  <c r="AP21" i="9"/>
  <c r="AP45" i="9"/>
  <c r="AP51" i="9"/>
  <c r="AP72" i="9"/>
  <c r="AP57" i="9"/>
  <c r="AL95" i="4" l="1"/>
  <c r="AU95" i="4"/>
  <c r="BC95" i="4"/>
  <c r="BK95" i="4"/>
  <c r="BS95" i="4"/>
  <c r="CA95" i="4"/>
  <c r="AF95" i="4"/>
  <c r="AO95" i="4"/>
  <c r="AW95" i="4"/>
  <c r="BE95" i="4"/>
  <c r="BM95" i="4"/>
  <c r="BU95" i="4"/>
  <c r="CC95" i="4"/>
  <c r="AG95" i="4"/>
  <c r="AP95" i="4"/>
  <c r="AX95" i="4"/>
  <c r="BF95" i="4"/>
  <c r="BN95" i="4"/>
  <c r="BV95" i="4"/>
  <c r="AH95" i="4"/>
  <c r="AQ95" i="4"/>
  <c r="AY95" i="4"/>
  <c r="BG95" i="4"/>
  <c r="BO95" i="4"/>
  <c r="BW95" i="4"/>
  <c r="AI95" i="4"/>
  <c r="AR95" i="4"/>
  <c r="AZ95" i="4"/>
  <c r="BH95" i="4"/>
  <c r="BP95" i="4"/>
  <c r="BX95" i="4"/>
  <c r="AJ95" i="4"/>
  <c r="AS95" i="4"/>
  <c r="BA95" i="4"/>
  <c r="BI95" i="4"/>
  <c r="BQ95" i="4"/>
  <c r="BY95" i="4"/>
  <c r="AK95" i="4"/>
  <c r="AT95" i="4"/>
  <c r="BB95" i="4"/>
  <c r="BJ95" i="4"/>
  <c r="BR95" i="4"/>
  <c r="BZ95" i="4"/>
  <c r="AV95" i="4"/>
  <c r="BD95" i="4"/>
  <c r="BL95" i="4"/>
  <c r="BT95" i="4"/>
  <c r="CB95" i="4"/>
  <c r="AN95" i="4"/>
  <c r="Z95" i="4"/>
  <c r="AA95" i="4"/>
  <c r="AB95" i="4"/>
  <c r="AC95" i="4"/>
  <c r="V95" i="4"/>
  <c r="AD95" i="4"/>
  <c r="W95" i="4"/>
  <c r="AE95" i="4"/>
  <c r="X95" i="4"/>
  <c r="Y95" i="4"/>
  <c r="Q95" i="4"/>
  <c r="R95" i="4"/>
  <c r="S95" i="4"/>
  <c r="T95" i="4"/>
  <c r="U95" i="4"/>
  <c r="B94" i="4"/>
  <c r="C95" i="4"/>
  <c r="K95" i="4"/>
  <c r="D95" i="4"/>
  <c r="L95" i="4"/>
  <c r="H95" i="4"/>
  <c r="J95" i="4"/>
  <c r="N95" i="4"/>
  <c r="F95" i="4"/>
  <c r="E95" i="4"/>
  <c r="G95" i="4"/>
  <c r="M95" i="4"/>
  <c r="I95" i="4"/>
  <c r="O94" i="4"/>
  <c r="P94" i="4"/>
  <c r="A96" i="4"/>
  <c r="AM96" i="4" s="1"/>
  <c r="AQ189" i="9"/>
  <c r="AQ141" i="9"/>
  <c r="AQ93" i="9"/>
  <c r="AQ45" i="9"/>
  <c r="AQ210" i="9"/>
  <c r="AQ162" i="9"/>
  <c r="AQ114" i="9"/>
  <c r="AQ66" i="9"/>
  <c r="AQ18" i="9"/>
  <c r="AQ183" i="9"/>
  <c r="AQ135" i="9"/>
  <c r="AQ87" i="9"/>
  <c r="AQ39" i="9"/>
  <c r="AQ156" i="9"/>
  <c r="AQ216" i="9"/>
  <c r="AQ96" i="9"/>
  <c r="AQ132" i="9"/>
  <c r="AQ24" i="9"/>
  <c r="AQ213" i="9"/>
  <c r="AQ165" i="9"/>
  <c r="AQ117" i="9"/>
  <c r="AQ21" i="9"/>
  <c r="AQ186" i="9"/>
  <c r="AQ138" i="9"/>
  <c r="AQ90" i="9"/>
  <c r="AQ42" i="9"/>
  <c r="AQ207" i="9"/>
  <c r="AQ159" i="9"/>
  <c r="AQ111" i="9"/>
  <c r="AQ63" i="9"/>
  <c r="AQ60" i="9"/>
  <c r="AQ192" i="9"/>
  <c r="AQ120" i="9"/>
  <c r="AQ36" i="9"/>
  <c r="AQ201" i="9"/>
  <c r="AQ30" i="9"/>
  <c r="AQ99" i="9"/>
  <c r="AQ204" i="9"/>
  <c r="AQ144" i="9"/>
  <c r="AQ180" i="9"/>
  <c r="AQ177" i="9"/>
  <c r="AQ129" i="9"/>
  <c r="AQ81" i="9"/>
  <c r="AQ33" i="9"/>
  <c r="AQ198" i="9"/>
  <c r="AQ150" i="9"/>
  <c r="AQ102" i="9"/>
  <c r="AQ54" i="9"/>
  <c r="AQ6" i="9"/>
  <c r="AQ171" i="9"/>
  <c r="AQ123" i="9"/>
  <c r="AQ75" i="9"/>
  <c r="AQ27" i="9"/>
  <c r="AQ108" i="9"/>
  <c r="AQ72" i="9"/>
  <c r="AQ48" i="9"/>
  <c r="AQ84" i="9"/>
  <c r="AR4" i="9"/>
  <c r="AQ69" i="9"/>
  <c r="AQ15" i="9"/>
  <c r="AQ2" i="9"/>
  <c r="AQ105" i="9"/>
  <c r="AQ57" i="9"/>
  <c r="AQ126" i="9"/>
  <c r="AQ195" i="9"/>
  <c r="AQ12" i="9"/>
  <c r="AQ153" i="9"/>
  <c r="AQ174" i="9"/>
  <c r="AQ78" i="9"/>
  <c r="AQ147" i="9"/>
  <c r="AQ51" i="9"/>
  <c r="AQ168" i="9"/>
  <c r="AQ9" i="9"/>
  <c r="AQ3" i="9"/>
  <c r="AK96" i="4" l="1"/>
  <c r="AT96" i="4"/>
  <c r="BB96" i="4"/>
  <c r="BJ96" i="4"/>
  <c r="BR96" i="4"/>
  <c r="BZ96" i="4"/>
  <c r="AN96" i="4"/>
  <c r="AV96" i="4"/>
  <c r="BD96" i="4"/>
  <c r="BL96" i="4"/>
  <c r="BT96" i="4"/>
  <c r="CB96" i="4"/>
  <c r="AF96" i="4"/>
  <c r="AO96" i="4"/>
  <c r="AW96" i="4"/>
  <c r="BE96" i="4"/>
  <c r="BM96" i="4"/>
  <c r="BU96" i="4"/>
  <c r="AG96" i="4"/>
  <c r="AP96" i="4"/>
  <c r="AX96" i="4"/>
  <c r="BF96" i="4"/>
  <c r="BN96" i="4"/>
  <c r="BV96" i="4"/>
  <c r="AH96" i="4"/>
  <c r="AQ96" i="4"/>
  <c r="AY96" i="4"/>
  <c r="BG96" i="4"/>
  <c r="BO96" i="4"/>
  <c r="BW96" i="4"/>
  <c r="AI96" i="4"/>
  <c r="AR96" i="4"/>
  <c r="AZ96" i="4"/>
  <c r="BH96" i="4"/>
  <c r="BP96" i="4"/>
  <c r="BX96" i="4"/>
  <c r="AJ96" i="4"/>
  <c r="AS96" i="4"/>
  <c r="BA96" i="4"/>
  <c r="BI96" i="4"/>
  <c r="BQ96" i="4"/>
  <c r="BY96" i="4"/>
  <c r="BK96" i="4"/>
  <c r="BS96" i="4"/>
  <c r="CA96" i="4"/>
  <c r="CC96" i="4"/>
  <c r="AL96" i="4"/>
  <c r="AU96" i="4"/>
  <c r="BC96" i="4"/>
  <c r="X96" i="4"/>
  <c r="Y96" i="4"/>
  <c r="Z96" i="4"/>
  <c r="AA96" i="4"/>
  <c r="AB96" i="4"/>
  <c r="AC96" i="4"/>
  <c r="V96" i="4"/>
  <c r="AD96" i="4"/>
  <c r="W96" i="4"/>
  <c r="AE96" i="4"/>
  <c r="T96" i="4"/>
  <c r="U96" i="4"/>
  <c r="Q96" i="4"/>
  <c r="S96" i="4"/>
  <c r="R96" i="4"/>
  <c r="P95" i="4"/>
  <c r="F96" i="4"/>
  <c r="N96" i="4"/>
  <c r="G96" i="4"/>
  <c r="C96" i="4"/>
  <c r="K96" i="4"/>
  <c r="J96" i="4"/>
  <c r="M96" i="4"/>
  <c r="E96" i="4"/>
  <c r="D96" i="4"/>
  <c r="H96" i="4"/>
  <c r="I96" i="4"/>
  <c r="L96" i="4"/>
  <c r="O95" i="4"/>
  <c r="B95" i="4"/>
  <c r="A97" i="4"/>
  <c r="AM97" i="4" s="1"/>
  <c r="AR192" i="9"/>
  <c r="AR144" i="9"/>
  <c r="AR96" i="9"/>
  <c r="AR48" i="9"/>
  <c r="AR213" i="9"/>
  <c r="AR165" i="9"/>
  <c r="AR117" i="9"/>
  <c r="AR69" i="9"/>
  <c r="AR21" i="9"/>
  <c r="AR186" i="9"/>
  <c r="AR138" i="9"/>
  <c r="AR90" i="9"/>
  <c r="AR42" i="9"/>
  <c r="AR183" i="9"/>
  <c r="AR147" i="9"/>
  <c r="AR27" i="9"/>
  <c r="AR159" i="9"/>
  <c r="AR99" i="9"/>
  <c r="AR105" i="9"/>
  <c r="AR174" i="9"/>
  <c r="AR135" i="9"/>
  <c r="AR111" i="9"/>
  <c r="AR3" i="9"/>
  <c r="AR216" i="9"/>
  <c r="AR168" i="9"/>
  <c r="AR120" i="9"/>
  <c r="AR72" i="9"/>
  <c r="AR24" i="9"/>
  <c r="AR189" i="9"/>
  <c r="AR141" i="9"/>
  <c r="AR93" i="9"/>
  <c r="AR45" i="9"/>
  <c r="AR210" i="9"/>
  <c r="AR162" i="9"/>
  <c r="AR114" i="9"/>
  <c r="AR66" i="9"/>
  <c r="AR18" i="9"/>
  <c r="AR87" i="9"/>
  <c r="AR123" i="9"/>
  <c r="AR51" i="9"/>
  <c r="AR63" i="9"/>
  <c r="AS4" i="9"/>
  <c r="AR156" i="9"/>
  <c r="AR60" i="9"/>
  <c r="AR12" i="9"/>
  <c r="AR129" i="9"/>
  <c r="AR81" i="9"/>
  <c r="AR198" i="9"/>
  <c r="AR102" i="9"/>
  <c r="AR6" i="9"/>
  <c r="AR39" i="9"/>
  <c r="AR207" i="9"/>
  <c r="AR15" i="9"/>
  <c r="AR132" i="9"/>
  <c r="AR36" i="9"/>
  <c r="AR201" i="9"/>
  <c r="AR57" i="9"/>
  <c r="AR126" i="9"/>
  <c r="AR30" i="9"/>
  <c r="AR171" i="9"/>
  <c r="AR204" i="9"/>
  <c r="AR108" i="9"/>
  <c r="AR177" i="9"/>
  <c r="AR33" i="9"/>
  <c r="AR150" i="9"/>
  <c r="AR54" i="9"/>
  <c r="AR75" i="9"/>
  <c r="AR2" i="9"/>
  <c r="AR180" i="9"/>
  <c r="AR84" i="9"/>
  <c r="AR153" i="9"/>
  <c r="AR9" i="9"/>
  <c r="AR78" i="9"/>
  <c r="AR195" i="9"/>
  <c r="AJ97" i="4" l="1"/>
  <c r="AS97" i="4"/>
  <c r="BA97" i="4"/>
  <c r="BI97" i="4"/>
  <c r="BQ97" i="4"/>
  <c r="BY97" i="4"/>
  <c r="AL97" i="4"/>
  <c r="AU97" i="4"/>
  <c r="BC97" i="4"/>
  <c r="BK97" i="4"/>
  <c r="BS97" i="4"/>
  <c r="CA97" i="4"/>
  <c r="AF97" i="4"/>
  <c r="AO97" i="4"/>
  <c r="AW97" i="4"/>
  <c r="BE97" i="4"/>
  <c r="BM97" i="4"/>
  <c r="BU97" i="4"/>
  <c r="CC97" i="4"/>
  <c r="AG97" i="4"/>
  <c r="AP97" i="4"/>
  <c r="AX97" i="4"/>
  <c r="BF97" i="4"/>
  <c r="BN97" i="4"/>
  <c r="BV97" i="4"/>
  <c r="AH97" i="4"/>
  <c r="AQ97" i="4"/>
  <c r="AY97" i="4"/>
  <c r="BG97" i="4"/>
  <c r="BO97" i="4"/>
  <c r="BW97" i="4"/>
  <c r="AI97" i="4"/>
  <c r="AR97" i="4"/>
  <c r="AZ97" i="4"/>
  <c r="BH97" i="4"/>
  <c r="BP97" i="4"/>
  <c r="BX97" i="4"/>
  <c r="BB97" i="4"/>
  <c r="BD97" i="4"/>
  <c r="BJ97" i="4"/>
  <c r="BL97" i="4"/>
  <c r="AK97" i="4"/>
  <c r="BR97" i="4"/>
  <c r="AN97" i="4"/>
  <c r="BT97" i="4"/>
  <c r="AT97" i="4"/>
  <c r="BZ97" i="4"/>
  <c r="AV97" i="4"/>
  <c r="CB97" i="4"/>
  <c r="V97" i="4"/>
  <c r="AD97" i="4"/>
  <c r="W97" i="4"/>
  <c r="AE97" i="4"/>
  <c r="X97" i="4"/>
  <c r="Y97" i="4"/>
  <c r="Z97" i="4"/>
  <c r="AA97" i="4"/>
  <c r="AB97" i="4"/>
  <c r="AC97" i="4"/>
  <c r="Q97" i="4"/>
  <c r="R97" i="4"/>
  <c r="S97" i="4"/>
  <c r="T97" i="4"/>
  <c r="U97" i="4"/>
  <c r="O96" i="4"/>
  <c r="B96" i="4"/>
  <c r="J97" i="4"/>
  <c r="C97" i="4"/>
  <c r="K97" i="4"/>
  <c r="G97" i="4"/>
  <c r="L97" i="4"/>
  <c r="N97" i="4"/>
  <c r="F97" i="4"/>
  <c r="I97" i="4"/>
  <c r="M97" i="4"/>
  <c r="D97" i="4"/>
  <c r="H97" i="4"/>
  <c r="E97" i="4"/>
  <c r="P96" i="4"/>
  <c r="A98" i="4"/>
  <c r="AM98" i="4" s="1"/>
  <c r="AS183" i="9"/>
  <c r="AS135" i="9"/>
  <c r="AS87" i="9"/>
  <c r="AS39" i="9"/>
  <c r="AS204" i="9"/>
  <c r="AS156" i="9"/>
  <c r="AS108" i="9"/>
  <c r="AS60" i="9"/>
  <c r="AS12" i="9"/>
  <c r="AS177" i="9"/>
  <c r="AS129" i="9"/>
  <c r="AS81" i="9"/>
  <c r="AS33" i="9"/>
  <c r="AS162" i="9"/>
  <c r="AS78" i="9"/>
  <c r="AS54" i="9"/>
  <c r="AS138" i="9"/>
  <c r="AS30" i="9"/>
  <c r="AS171" i="9"/>
  <c r="AS123" i="9"/>
  <c r="AS27" i="9"/>
  <c r="AS144" i="9"/>
  <c r="AS48" i="9"/>
  <c r="AS165" i="9"/>
  <c r="AS117" i="9"/>
  <c r="AS21" i="9"/>
  <c r="AS198" i="9"/>
  <c r="AS90" i="9"/>
  <c r="AS207" i="9"/>
  <c r="AS111" i="9"/>
  <c r="AS63" i="9"/>
  <c r="AS132" i="9"/>
  <c r="AS36" i="9"/>
  <c r="AS153" i="9"/>
  <c r="AS9" i="9"/>
  <c r="AS150" i="9"/>
  <c r="AS2" i="9"/>
  <c r="AS24" i="9"/>
  <c r="AS93" i="9"/>
  <c r="AS18" i="9"/>
  <c r="AT4" i="9"/>
  <c r="AS75" i="9"/>
  <c r="AS192" i="9"/>
  <c r="AS96" i="9"/>
  <c r="AS213" i="9"/>
  <c r="AS69" i="9"/>
  <c r="AS114" i="9"/>
  <c r="AS6" i="9"/>
  <c r="AS3" i="9"/>
  <c r="AS180" i="9"/>
  <c r="AS201" i="9"/>
  <c r="AS57" i="9"/>
  <c r="AS66" i="9"/>
  <c r="AS126" i="9"/>
  <c r="AS72" i="9"/>
  <c r="AS45" i="9"/>
  <c r="AS174" i="9"/>
  <c r="AS159" i="9"/>
  <c r="AS15" i="9"/>
  <c r="AS84" i="9"/>
  <c r="AS105" i="9"/>
  <c r="AS42" i="9"/>
  <c r="AS141" i="9"/>
  <c r="AS102" i="9"/>
  <c r="AS195" i="9"/>
  <c r="AS147" i="9"/>
  <c r="AS99" i="9"/>
  <c r="AS51" i="9"/>
  <c r="AS216" i="9"/>
  <c r="AS168" i="9"/>
  <c r="AS120" i="9"/>
  <c r="AS189" i="9"/>
  <c r="AS210" i="9"/>
  <c r="AS186" i="9"/>
  <c r="O97" i="4" l="1"/>
  <c r="AI98" i="4"/>
  <c r="AR98" i="4"/>
  <c r="AZ98" i="4"/>
  <c r="BH98" i="4"/>
  <c r="BP98" i="4"/>
  <c r="BX98" i="4"/>
  <c r="AK98" i="4"/>
  <c r="AT98" i="4"/>
  <c r="BB98" i="4"/>
  <c r="BJ98" i="4"/>
  <c r="BR98" i="4"/>
  <c r="BZ98" i="4"/>
  <c r="AN98" i="4"/>
  <c r="AV98" i="4"/>
  <c r="BD98" i="4"/>
  <c r="BL98" i="4"/>
  <c r="BT98" i="4"/>
  <c r="CB98" i="4"/>
  <c r="AF98" i="4"/>
  <c r="AO98" i="4"/>
  <c r="AW98" i="4"/>
  <c r="BE98" i="4"/>
  <c r="BM98" i="4"/>
  <c r="BU98" i="4"/>
  <c r="CC98" i="4"/>
  <c r="AG98" i="4"/>
  <c r="AP98" i="4"/>
  <c r="AX98" i="4"/>
  <c r="BF98" i="4"/>
  <c r="BN98" i="4"/>
  <c r="BV98" i="4"/>
  <c r="AH98" i="4"/>
  <c r="AQ98" i="4"/>
  <c r="AY98" i="4"/>
  <c r="BG98" i="4"/>
  <c r="BO98" i="4"/>
  <c r="BW98" i="4"/>
  <c r="AJ98" i="4"/>
  <c r="BQ98" i="4"/>
  <c r="AL98" i="4"/>
  <c r="BS98" i="4"/>
  <c r="AS98" i="4"/>
  <c r="BY98" i="4"/>
  <c r="AU98" i="4"/>
  <c r="CA98" i="4"/>
  <c r="BA98" i="4"/>
  <c r="BC98" i="4"/>
  <c r="BI98" i="4"/>
  <c r="BK98" i="4"/>
  <c r="AB98" i="4"/>
  <c r="AC98" i="4"/>
  <c r="V98" i="4"/>
  <c r="AD98" i="4"/>
  <c r="W98" i="4"/>
  <c r="AE98" i="4"/>
  <c r="X98" i="4"/>
  <c r="Y98" i="4"/>
  <c r="Z98" i="4"/>
  <c r="AA98" i="4"/>
  <c r="R98" i="4"/>
  <c r="S98" i="4"/>
  <c r="T98" i="4"/>
  <c r="U98" i="4"/>
  <c r="Q98" i="4"/>
  <c r="P97" i="4"/>
  <c r="F98" i="4"/>
  <c r="N98" i="4"/>
  <c r="G98" i="4"/>
  <c r="C98" i="4"/>
  <c r="K98" i="4"/>
  <c r="L98" i="4"/>
  <c r="H98" i="4"/>
  <c r="D98" i="4"/>
  <c r="I98" i="4"/>
  <c r="E98" i="4"/>
  <c r="J98" i="4"/>
  <c r="M98" i="4"/>
  <c r="B97" i="4"/>
  <c r="A99" i="4"/>
  <c r="AM99" i="4" s="1"/>
  <c r="AT174" i="9"/>
  <c r="AT126" i="9"/>
  <c r="AT78" i="9"/>
  <c r="AT30" i="9"/>
  <c r="AT195" i="9"/>
  <c r="AT147" i="9"/>
  <c r="AT99" i="9"/>
  <c r="AT51" i="9"/>
  <c r="AT216" i="9"/>
  <c r="AT168" i="9"/>
  <c r="AT120" i="9"/>
  <c r="AT72" i="9"/>
  <c r="AT24" i="9"/>
  <c r="AT201" i="9"/>
  <c r="AT210" i="9"/>
  <c r="AT162" i="9"/>
  <c r="AT114" i="9"/>
  <c r="AT66" i="9"/>
  <c r="AT18" i="9"/>
  <c r="AT183" i="9"/>
  <c r="AT135" i="9"/>
  <c r="AT87" i="9"/>
  <c r="AT39" i="9"/>
  <c r="AT204" i="9"/>
  <c r="AT156" i="9"/>
  <c r="AT108" i="9"/>
  <c r="AT60" i="9"/>
  <c r="AT12" i="9"/>
  <c r="AT45" i="9"/>
  <c r="AT129" i="9"/>
  <c r="AT57" i="9"/>
  <c r="AT69" i="9"/>
  <c r="AT2" i="9"/>
  <c r="AU4" i="9"/>
  <c r="AT186" i="9"/>
  <c r="AT138" i="9"/>
  <c r="AT90" i="9"/>
  <c r="AT42" i="9"/>
  <c r="AT159" i="9"/>
  <c r="AT111" i="9"/>
  <c r="AT15" i="9"/>
  <c r="AT132" i="9"/>
  <c r="AT36" i="9"/>
  <c r="AT9" i="9"/>
  <c r="AT177" i="9"/>
  <c r="AT3" i="9"/>
  <c r="AT198" i="9"/>
  <c r="AT150" i="9"/>
  <c r="AT102" i="9"/>
  <c r="AT54" i="9"/>
  <c r="AT6" i="9"/>
  <c r="AT171" i="9"/>
  <c r="AT123" i="9"/>
  <c r="AT75" i="9"/>
  <c r="AT27" i="9"/>
  <c r="AT192" i="9"/>
  <c r="AT144" i="9"/>
  <c r="AT96" i="9"/>
  <c r="AT48" i="9"/>
  <c r="AT189" i="9"/>
  <c r="AT153" i="9"/>
  <c r="AT81" i="9"/>
  <c r="AT213" i="9"/>
  <c r="AT21" i="9"/>
  <c r="AT207" i="9"/>
  <c r="AT63" i="9"/>
  <c r="AT180" i="9"/>
  <c r="AT84" i="9"/>
  <c r="AT141" i="9"/>
  <c r="AT33" i="9"/>
  <c r="AT165" i="9"/>
  <c r="AT105" i="9"/>
  <c r="AT93" i="9"/>
  <c r="AT117" i="9"/>
  <c r="AH99" i="4" l="1"/>
  <c r="AQ99" i="4"/>
  <c r="AY99" i="4"/>
  <c r="BG99" i="4"/>
  <c r="BO99" i="4"/>
  <c r="BW99" i="4"/>
  <c r="AJ99" i="4"/>
  <c r="AS99" i="4"/>
  <c r="BA99" i="4"/>
  <c r="BI99" i="4"/>
  <c r="BQ99" i="4"/>
  <c r="BY99" i="4"/>
  <c r="AL99" i="4"/>
  <c r="AU99" i="4"/>
  <c r="BC99" i="4"/>
  <c r="BK99" i="4"/>
  <c r="BS99" i="4"/>
  <c r="CA99" i="4"/>
  <c r="AN99" i="4"/>
  <c r="AV99" i="4"/>
  <c r="BD99" i="4"/>
  <c r="BL99" i="4"/>
  <c r="BT99" i="4"/>
  <c r="CB99" i="4"/>
  <c r="AF99" i="4"/>
  <c r="AO99" i="4"/>
  <c r="AW99" i="4"/>
  <c r="BE99" i="4"/>
  <c r="BM99" i="4"/>
  <c r="BU99" i="4"/>
  <c r="CC99" i="4"/>
  <c r="AG99" i="4"/>
  <c r="AP99" i="4"/>
  <c r="AX99" i="4"/>
  <c r="BF99" i="4"/>
  <c r="BN99" i="4"/>
  <c r="BV99" i="4"/>
  <c r="AZ99" i="4"/>
  <c r="BB99" i="4"/>
  <c r="BH99" i="4"/>
  <c r="BJ99" i="4"/>
  <c r="AI99" i="4"/>
  <c r="BP99" i="4"/>
  <c r="AK99" i="4"/>
  <c r="BR99" i="4"/>
  <c r="AR99" i="4"/>
  <c r="BX99" i="4"/>
  <c r="AT99" i="4"/>
  <c r="BZ99" i="4"/>
  <c r="Z99" i="4"/>
  <c r="AA99" i="4"/>
  <c r="AB99" i="4"/>
  <c r="AC99" i="4"/>
  <c r="V99" i="4"/>
  <c r="AD99" i="4"/>
  <c r="W99" i="4"/>
  <c r="AE99" i="4"/>
  <c r="X99" i="4"/>
  <c r="Y99" i="4"/>
  <c r="U99" i="4"/>
  <c r="Q99" i="4"/>
  <c r="R99" i="4"/>
  <c r="T99" i="4"/>
  <c r="S99" i="4"/>
  <c r="O98" i="4"/>
  <c r="I99" i="4"/>
  <c r="J99" i="4"/>
  <c r="F99" i="4"/>
  <c r="N99" i="4"/>
  <c r="L99" i="4"/>
  <c r="C99" i="4"/>
  <c r="G99" i="4"/>
  <c r="E99" i="4"/>
  <c r="H99" i="4"/>
  <c r="K99" i="4"/>
  <c r="M99" i="4"/>
  <c r="D99" i="4"/>
  <c r="P98" i="4"/>
  <c r="B98" i="4"/>
  <c r="A100" i="4"/>
  <c r="AM100" i="4" s="1"/>
  <c r="AU189" i="9"/>
  <c r="AU141" i="9"/>
  <c r="AU93" i="9"/>
  <c r="AU45" i="9"/>
  <c r="AU210" i="9"/>
  <c r="AU162" i="9"/>
  <c r="AU114" i="9"/>
  <c r="AU66" i="9"/>
  <c r="AU18" i="9"/>
  <c r="AU183" i="9"/>
  <c r="AU135" i="9"/>
  <c r="AU87" i="9"/>
  <c r="AU39" i="9"/>
  <c r="AU168" i="9"/>
  <c r="AU180" i="9"/>
  <c r="AU108" i="9"/>
  <c r="AU192" i="9"/>
  <c r="AU84" i="9"/>
  <c r="AU117" i="9"/>
  <c r="AU21" i="9"/>
  <c r="AU138" i="9"/>
  <c r="AU42" i="9"/>
  <c r="AU159" i="9"/>
  <c r="AU111" i="9"/>
  <c r="AU15" i="9"/>
  <c r="AU204" i="9"/>
  <c r="AU2" i="9"/>
  <c r="AU201" i="9"/>
  <c r="AU153" i="9"/>
  <c r="AU105" i="9"/>
  <c r="AU57" i="9"/>
  <c r="AU174" i="9"/>
  <c r="AU126" i="9"/>
  <c r="AU30" i="9"/>
  <c r="AU147" i="9"/>
  <c r="AU51" i="9"/>
  <c r="AU24" i="9"/>
  <c r="AU132" i="9"/>
  <c r="AU3" i="9"/>
  <c r="AU177" i="9"/>
  <c r="AU129" i="9"/>
  <c r="AU81" i="9"/>
  <c r="AU33" i="9"/>
  <c r="AU198" i="9"/>
  <c r="AU150" i="9"/>
  <c r="AU102" i="9"/>
  <c r="AU54" i="9"/>
  <c r="AU6" i="9"/>
  <c r="AU171" i="9"/>
  <c r="AU123" i="9"/>
  <c r="AU75" i="9"/>
  <c r="AU27" i="9"/>
  <c r="AU120" i="9"/>
  <c r="AU36" i="9"/>
  <c r="AU60" i="9"/>
  <c r="AU144" i="9"/>
  <c r="AV4" i="9"/>
  <c r="AU213" i="9"/>
  <c r="AU165" i="9"/>
  <c r="AU69" i="9"/>
  <c r="AU186" i="9"/>
  <c r="AU90" i="9"/>
  <c r="AU207" i="9"/>
  <c r="AU63" i="9"/>
  <c r="AU72" i="9"/>
  <c r="AU12" i="9"/>
  <c r="AU96" i="9"/>
  <c r="AU9" i="9"/>
  <c r="AU78" i="9"/>
  <c r="AU195" i="9"/>
  <c r="AU99" i="9"/>
  <c r="AU216" i="9"/>
  <c r="AU156" i="9"/>
  <c r="AU48" i="9"/>
  <c r="AG100" i="4" l="1"/>
  <c r="AP100" i="4"/>
  <c r="AX100" i="4"/>
  <c r="BF100" i="4"/>
  <c r="BN100" i="4"/>
  <c r="AI100" i="4"/>
  <c r="AR100" i="4"/>
  <c r="AZ100" i="4"/>
  <c r="BH100" i="4"/>
  <c r="BP100" i="4"/>
  <c r="AK100" i="4"/>
  <c r="AT100" i="4"/>
  <c r="BB100" i="4"/>
  <c r="BJ100" i="4"/>
  <c r="BR100" i="4"/>
  <c r="AL100" i="4"/>
  <c r="AU100" i="4"/>
  <c r="BC100" i="4"/>
  <c r="BK100" i="4"/>
  <c r="BS100" i="4"/>
  <c r="AN100" i="4"/>
  <c r="AV100" i="4"/>
  <c r="BD100" i="4"/>
  <c r="BL100" i="4"/>
  <c r="BT100" i="4"/>
  <c r="AF100" i="4"/>
  <c r="AO100" i="4"/>
  <c r="AW100" i="4"/>
  <c r="BE100" i="4"/>
  <c r="BM100" i="4"/>
  <c r="BU100" i="4"/>
  <c r="AH100" i="4"/>
  <c r="BO100" i="4"/>
  <c r="CB100" i="4"/>
  <c r="AJ100" i="4"/>
  <c r="BQ100" i="4"/>
  <c r="CC100" i="4"/>
  <c r="AQ100" i="4"/>
  <c r="BV100" i="4"/>
  <c r="AS100" i="4"/>
  <c r="BW100" i="4"/>
  <c r="AY100" i="4"/>
  <c r="BX100" i="4"/>
  <c r="BA100" i="4"/>
  <c r="BY100" i="4"/>
  <c r="BG100" i="4"/>
  <c r="BZ100" i="4"/>
  <c r="BI100" i="4"/>
  <c r="CA100" i="4"/>
  <c r="X100" i="4"/>
  <c r="Y100" i="4"/>
  <c r="Z100" i="4"/>
  <c r="AA100" i="4"/>
  <c r="AB100" i="4"/>
  <c r="AC100" i="4"/>
  <c r="V100" i="4"/>
  <c r="AD100" i="4"/>
  <c r="W100" i="4"/>
  <c r="AE100" i="4"/>
  <c r="Q100" i="4"/>
  <c r="R100" i="4"/>
  <c r="S100" i="4"/>
  <c r="T100" i="4"/>
  <c r="U100" i="4"/>
  <c r="H100" i="4"/>
  <c r="J100" i="4"/>
  <c r="E100" i="4"/>
  <c r="M100" i="4"/>
  <c r="I100" i="4"/>
  <c r="K100" i="4"/>
  <c r="L100" i="4"/>
  <c r="C100" i="4"/>
  <c r="N100" i="4"/>
  <c r="D100" i="4"/>
  <c r="G100" i="4"/>
  <c r="F100" i="4"/>
  <c r="B99" i="4"/>
  <c r="O99" i="4"/>
  <c r="P99" i="4"/>
  <c r="A101" i="4"/>
  <c r="AM101" i="4" s="1"/>
  <c r="AV192" i="9"/>
  <c r="AV144" i="9"/>
  <c r="AV96" i="9"/>
  <c r="AV48" i="9"/>
  <c r="AV213" i="9"/>
  <c r="AV165" i="9"/>
  <c r="AV117" i="9"/>
  <c r="AV69" i="9"/>
  <c r="AV21" i="9"/>
  <c r="AV186" i="9"/>
  <c r="AV138" i="9"/>
  <c r="AV90" i="9"/>
  <c r="AV42" i="9"/>
  <c r="AV195" i="9"/>
  <c r="AV207" i="9"/>
  <c r="AV39" i="9"/>
  <c r="AV123" i="9"/>
  <c r="AV15" i="9"/>
  <c r="AV180" i="9"/>
  <c r="AV84" i="9"/>
  <c r="AV201" i="9"/>
  <c r="AV153" i="9"/>
  <c r="AV57" i="9"/>
  <c r="AV174" i="9"/>
  <c r="AV78" i="9"/>
  <c r="AV147" i="9"/>
  <c r="AV183" i="9"/>
  <c r="AV111" i="9"/>
  <c r="AV75" i="9"/>
  <c r="AV132" i="9"/>
  <c r="AV36" i="9"/>
  <c r="AV105" i="9"/>
  <c r="AV9" i="9"/>
  <c r="AV126" i="9"/>
  <c r="AV30" i="9"/>
  <c r="AV3" i="9"/>
  <c r="AV216" i="9"/>
  <c r="AV168" i="9"/>
  <c r="AV120" i="9"/>
  <c r="AV72" i="9"/>
  <c r="AV24" i="9"/>
  <c r="AV189" i="9"/>
  <c r="AV141" i="9"/>
  <c r="AV93" i="9"/>
  <c r="AV45" i="9"/>
  <c r="AV210" i="9"/>
  <c r="AV162" i="9"/>
  <c r="AV114" i="9"/>
  <c r="AV66" i="9"/>
  <c r="AV18" i="9"/>
  <c r="AV99" i="9"/>
  <c r="AV135" i="9"/>
  <c r="AV63" i="9"/>
  <c r="AV27" i="9"/>
  <c r="AW4" i="9"/>
  <c r="AV204" i="9"/>
  <c r="AV156" i="9"/>
  <c r="AV60" i="9"/>
  <c r="AV12" i="9"/>
  <c r="AV129" i="9"/>
  <c r="AV33" i="9"/>
  <c r="AV150" i="9"/>
  <c r="AV102" i="9"/>
  <c r="AV51" i="9"/>
  <c r="AV171" i="9"/>
  <c r="AV2" i="9"/>
  <c r="AV108" i="9"/>
  <c r="AV177" i="9"/>
  <c r="AV81" i="9"/>
  <c r="AV198" i="9"/>
  <c r="AV54" i="9"/>
  <c r="AV6" i="9"/>
  <c r="AV87" i="9"/>
  <c r="AV159" i="9"/>
  <c r="AL101" i="4" l="1"/>
  <c r="AU101" i="4"/>
  <c r="BC101" i="4"/>
  <c r="BK101" i="4"/>
  <c r="BS101" i="4"/>
  <c r="CA101" i="4"/>
  <c r="AN101" i="4"/>
  <c r="AV101" i="4"/>
  <c r="BD101" i="4"/>
  <c r="BL101" i="4"/>
  <c r="BT101" i="4"/>
  <c r="CB101" i="4"/>
  <c r="AF101" i="4"/>
  <c r="AO101" i="4"/>
  <c r="AW101" i="4"/>
  <c r="BE101" i="4"/>
  <c r="BM101" i="4"/>
  <c r="BU101" i="4"/>
  <c r="CC101" i="4"/>
  <c r="AG101" i="4"/>
  <c r="AP101" i="4"/>
  <c r="AX101" i="4"/>
  <c r="BF101" i="4"/>
  <c r="BN101" i="4"/>
  <c r="BV101" i="4"/>
  <c r="AH101" i="4"/>
  <c r="AQ101" i="4"/>
  <c r="AY101" i="4"/>
  <c r="BG101" i="4"/>
  <c r="BO101" i="4"/>
  <c r="BW101" i="4"/>
  <c r="AI101" i="4"/>
  <c r="AR101" i="4"/>
  <c r="AZ101" i="4"/>
  <c r="BH101" i="4"/>
  <c r="BP101" i="4"/>
  <c r="BX101" i="4"/>
  <c r="AJ101" i="4"/>
  <c r="AS101" i="4"/>
  <c r="BA101" i="4"/>
  <c r="BI101" i="4"/>
  <c r="BQ101" i="4"/>
  <c r="BY101" i="4"/>
  <c r="AK101" i="4"/>
  <c r="AT101" i="4"/>
  <c r="BB101" i="4"/>
  <c r="BJ101" i="4"/>
  <c r="BR101" i="4"/>
  <c r="BZ101" i="4"/>
  <c r="V101" i="4"/>
  <c r="AD101" i="4"/>
  <c r="W101" i="4"/>
  <c r="AE101" i="4"/>
  <c r="X101" i="4"/>
  <c r="Y101" i="4"/>
  <c r="Z101" i="4"/>
  <c r="AA101" i="4"/>
  <c r="AB101" i="4"/>
  <c r="AC101" i="4"/>
  <c r="S101" i="4"/>
  <c r="T101" i="4"/>
  <c r="U101" i="4"/>
  <c r="R101" i="4"/>
  <c r="Q101" i="4"/>
  <c r="J101" i="4"/>
  <c r="D101" i="4"/>
  <c r="L101" i="4"/>
  <c r="G101" i="4"/>
  <c r="H101" i="4"/>
  <c r="I101" i="4"/>
  <c r="K101" i="4"/>
  <c r="N101" i="4"/>
  <c r="M101" i="4"/>
  <c r="C101" i="4"/>
  <c r="F101" i="4"/>
  <c r="E101" i="4"/>
  <c r="B100" i="4"/>
  <c r="P100" i="4"/>
  <c r="O100" i="4"/>
  <c r="A102" i="4"/>
  <c r="AM102" i="4" s="1"/>
  <c r="AW183" i="9"/>
  <c r="AW135" i="9"/>
  <c r="AW87" i="9"/>
  <c r="AW39" i="9"/>
  <c r="AW204" i="9"/>
  <c r="AW156" i="9"/>
  <c r="AW108" i="9"/>
  <c r="AW60" i="9"/>
  <c r="AW12" i="9"/>
  <c r="AW81" i="9"/>
  <c r="AW162" i="9"/>
  <c r="AW186" i="9"/>
  <c r="AW102" i="9"/>
  <c r="AW171" i="9"/>
  <c r="AW123" i="9"/>
  <c r="AW75" i="9"/>
  <c r="AW27" i="9"/>
  <c r="AW192" i="9"/>
  <c r="AW144" i="9"/>
  <c r="AW96" i="9"/>
  <c r="AW48" i="9"/>
  <c r="AW213" i="9"/>
  <c r="AW165" i="9"/>
  <c r="AW117" i="9"/>
  <c r="AW69" i="9"/>
  <c r="AW21" i="9"/>
  <c r="AW90" i="9"/>
  <c r="AW207" i="9"/>
  <c r="AW159" i="9"/>
  <c r="AW111" i="9"/>
  <c r="AW63" i="9"/>
  <c r="AW15" i="9"/>
  <c r="AW180" i="9"/>
  <c r="AW132" i="9"/>
  <c r="AW84" i="9"/>
  <c r="AW36" i="9"/>
  <c r="AW201" i="9"/>
  <c r="AW153" i="9"/>
  <c r="AW105" i="9"/>
  <c r="AW57" i="9"/>
  <c r="AW9" i="9"/>
  <c r="AW30" i="9"/>
  <c r="AW66" i="9"/>
  <c r="AW42" i="9"/>
  <c r="AW54" i="9"/>
  <c r="AW3" i="9"/>
  <c r="AW177" i="9"/>
  <c r="AW126" i="9"/>
  <c r="AW150" i="9"/>
  <c r="AW78" i="9"/>
  <c r="AW2" i="9"/>
  <c r="AW195" i="9"/>
  <c r="AW147" i="9"/>
  <c r="AW99" i="9"/>
  <c r="AW51" i="9"/>
  <c r="AW216" i="9"/>
  <c r="AW168" i="9"/>
  <c r="AW120" i="9"/>
  <c r="AW72" i="9"/>
  <c r="AW24" i="9"/>
  <c r="AW189" i="9"/>
  <c r="AW141" i="9"/>
  <c r="AW93" i="9"/>
  <c r="AW45" i="9"/>
  <c r="AW174" i="9"/>
  <c r="AW210" i="9"/>
  <c r="AW18" i="9"/>
  <c r="AW198" i="9"/>
  <c r="AW6" i="9"/>
  <c r="AX4" i="9"/>
  <c r="AW129" i="9"/>
  <c r="AW33" i="9"/>
  <c r="AW138" i="9"/>
  <c r="AW114" i="9"/>
  <c r="B101" i="4" l="1"/>
  <c r="AK102" i="4"/>
  <c r="AT102" i="4"/>
  <c r="BB102" i="4"/>
  <c r="BJ102" i="4"/>
  <c r="BR102" i="4"/>
  <c r="BZ102" i="4"/>
  <c r="AL102" i="4"/>
  <c r="AU102" i="4"/>
  <c r="BC102" i="4"/>
  <c r="BK102" i="4"/>
  <c r="BS102" i="4"/>
  <c r="CA102" i="4"/>
  <c r="AN102" i="4"/>
  <c r="AV102" i="4"/>
  <c r="BD102" i="4"/>
  <c r="BL102" i="4"/>
  <c r="BT102" i="4"/>
  <c r="CB102" i="4"/>
  <c r="AF102" i="4"/>
  <c r="AO102" i="4"/>
  <c r="AW102" i="4"/>
  <c r="BE102" i="4"/>
  <c r="BM102" i="4"/>
  <c r="BU102" i="4"/>
  <c r="CC102" i="4"/>
  <c r="AG102" i="4"/>
  <c r="AP102" i="4"/>
  <c r="AX102" i="4"/>
  <c r="BF102" i="4"/>
  <c r="BN102" i="4"/>
  <c r="BV102" i="4"/>
  <c r="AH102" i="4"/>
  <c r="AQ102" i="4"/>
  <c r="AY102" i="4"/>
  <c r="BG102" i="4"/>
  <c r="BO102" i="4"/>
  <c r="BW102" i="4"/>
  <c r="AI102" i="4"/>
  <c r="AR102" i="4"/>
  <c r="AZ102" i="4"/>
  <c r="BH102" i="4"/>
  <c r="BP102" i="4"/>
  <c r="BX102" i="4"/>
  <c r="AJ102" i="4"/>
  <c r="AS102" i="4"/>
  <c r="BA102" i="4"/>
  <c r="BI102" i="4"/>
  <c r="BQ102" i="4"/>
  <c r="BY102" i="4"/>
  <c r="AB102" i="4"/>
  <c r="AC102" i="4"/>
  <c r="V102" i="4"/>
  <c r="AD102" i="4"/>
  <c r="W102" i="4"/>
  <c r="AE102" i="4"/>
  <c r="X102" i="4"/>
  <c r="Y102" i="4"/>
  <c r="Z102" i="4"/>
  <c r="AA102" i="4"/>
  <c r="Q102" i="4"/>
  <c r="R102" i="4"/>
  <c r="S102" i="4"/>
  <c r="T102" i="4"/>
  <c r="U102" i="4"/>
  <c r="F102" i="4"/>
  <c r="N102" i="4"/>
  <c r="H102" i="4"/>
  <c r="C102" i="4"/>
  <c r="K102" i="4"/>
  <c r="L102" i="4"/>
  <c r="M102" i="4"/>
  <c r="G102" i="4"/>
  <c r="D102" i="4"/>
  <c r="E102" i="4"/>
  <c r="I102" i="4"/>
  <c r="J102" i="4"/>
  <c r="P101" i="4"/>
  <c r="O101" i="4"/>
  <c r="A103" i="4"/>
  <c r="AM103" i="4" s="1"/>
  <c r="AX138" i="9"/>
  <c r="AX159" i="9"/>
  <c r="AX15" i="9"/>
  <c r="AX36" i="9"/>
  <c r="AX177" i="9"/>
  <c r="AX51" i="9"/>
  <c r="AX24" i="9"/>
  <c r="AX129" i="9"/>
  <c r="AX174" i="9"/>
  <c r="AX126" i="9"/>
  <c r="AX78" i="9"/>
  <c r="AX30" i="9"/>
  <c r="AX99" i="9"/>
  <c r="AX168" i="9"/>
  <c r="AX105" i="9"/>
  <c r="AX210" i="9"/>
  <c r="AX162" i="9"/>
  <c r="AX114" i="9"/>
  <c r="AX66" i="9"/>
  <c r="AX18" i="9"/>
  <c r="AX183" i="9"/>
  <c r="AX135" i="9"/>
  <c r="AX87" i="9"/>
  <c r="AX39" i="9"/>
  <c r="AX204" i="9"/>
  <c r="AX156" i="9"/>
  <c r="AX108" i="9"/>
  <c r="AX60" i="9"/>
  <c r="AX12" i="9"/>
  <c r="AX57" i="9"/>
  <c r="AX189" i="9"/>
  <c r="AX117" i="9"/>
  <c r="AX81" i="9"/>
  <c r="AY4" i="9"/>
  <c r="AX186" i="9"/>
  <c r="AX90" i="9"/>
  <c r="AX42" i="9"/>
  <c r="AX207" i="9"/>
  <c r="AX111" i="9"/>
  <c r="AX180" i="9"/>
  <c r="AX132" i="9"/>
  <c r="AX153" i="9"/>
  <c r="AX93" i="9"/>
  <c r="AX195" i="9"/>
  <c r="AX216" i="9"/>
  <c r="AX72" i="9"/>
  <c r="AX45" i="9"/>
  <c r="AX198" i="9"/>
  <c r="AX150" i="9"/>
  <c r="AX102" i="9"/>
  <c r="AX54" i="9"/>
  <c r="AX6" i="9"/>
  <c r="AX171" i="9"/>
  <c r="AX123" i="9"/>
  <c r="AX75" i="9"/>
  <c r="AX27" i="9"/>
  <c r="AX192" i="9"/>
  <c r="AX144" i="9"/>
  <c r="AX96" i="9"/>
  <c r="AX48" i="9"/>
  <c r="AX201" i="9"/>
  <c r="AX9" i="9"/>
  <c r="AX141" i="9"/>
  <c r="AX69" i="9"/>
  <c r="AX33" i="9"/>
  <c r="AX3" i="9"/>
  <c r="AX63" i="9"/>
  <c r="AX84" i="9"/>
  <c r="AX213" i="9"/>
  <c r="AX165" i="9"/>
  <c r="AX147" i="9"/>
  <c r="AX120" i="9"/>
  <c r="AX21" i="9"/>
  <c r="AX2" i="9"/>
  <c r="AJ103" i="4" l="1"/>
  <c r="AS103" i="4"/>
  <c r="BA103" i="4"/>
  <c r="BI103" i="4"/>
  <c r="BQ103" i="4"/>
  <c r="BY103" i="4"/>
  <c r="AK103" i="4"/>
  <c r="AT103" i="4"/>
  <c r="BB103" i="4"/>
  <c r="BJ103" i="4"/>
  <c r="BR103" i="4"/>
  <c r="BZ103" i="4"/>
  <c r="AL103" i="4"/>
  <c r="AU103" i="4"/>
  <c r="BC103" i="4"/>
  <c r="BK103" i="4"/>
  <c r="BS103" i="4"/>
  <c r="CA103" i="4"/>
  <c r="AN103" i="4"/>
  <c r="AV103" i="4"/>
  <c r="BD103" i="4"/>
  <c r="BL103" i="4"/>
  <c r="BT103" i="4"/>
  <c r="CB103" i="4"/>
  <c r="AF103" i="4"/>
  <c r="AO103" i="4"/>
  <c r="AW103" i="4"/>
  <c r="BE103" i="4"/>
  <c r="BM103" i="4"/>
  <c r="BU103" i="4"/>
  <c r="CC103" i="4"/>
  <c r="AG103" i="4"/>
  <c r="AP103" i="4"/>
  <c r="AX103" i="4"/>
  <c r="BF103" i="4"/>
  <c r="BN103" i="4"/>
  <c r="BV103" i="4"/>
  <c r="AH103" i="4"/>
  <c r="AQ103" i="4"/>
  <c r="AY103" i="4"/>
  <c r="BG103" i="4"/>
  <c r="BO103" i="4"/>
  <c r="BW103" i="4"/>
  <c r="AI103" i="4"/>
  <c r="AR103" i="4"/>
  <c r="AZ103" i="4"/>
  <c r="BH103" i="4"/>
  <c r="BP103" i="4"/>
  <c r="BX103" i="4"/>
  <c r="Z103" i="4"/>
  <c r="AA103" i="4"/>
  <c r="AB103" i="4"/>
  <c r="AC103" i="4"/>
  <c r="V103" i="4"/>
  <c r="AD103" i="4"/>
  <c r="W103" i="4"/>
  <c r="AE103" i="4"/>
  <c r="X103" i="4"/>
  <c r="Y103" i="4"/>
  <c r="Q103" i="4"/>
  <c r="R103" i="4"/>
  <c r="S103" i="4"/>
  <c r="T103" i="4"/>
  <c r="U103" i="4"/>
  <c r="O102" i="4"/>
  <c r="J103" i="4"/>
  <c r="D103" i="4"/>
  <c r="L103" i="4"/>
  <c r="G103" i="4"/>
  <c r="M103" i="4"/>
  <c r="C103" i="4"/>
  <c r="N103" i="4"/>
  <c r="H103" i="4"/>
  <c r="K103" i="4"/>
  <c r="E103" i="4"/>
  <c r="F103" i="4"/>
  <c r="I103" i="4"/>
  <c r="P102" i="4"/>
  <c r="B102" i="4"/>
  <c r="A104" i="4"/>
  <c r="AM104" i="4" s="1"/>
  <c r="AY177" i="9"/>
  <c r="AY129" i="9"/>
  <c r="AY81" i="9"/>
  <c r="AY33" i="9"/>
  <c r="AY198" i="9"/>
  <c r="AY150" i="9"/>
  <c r="AY102" i="9"/>
  <c r="AY54" i="9"/>
  <c r="AY6" i="9"/>
  <c r="AY171" i="9"/>
  <c r="AY123" i="9"/>
  <c r="AY75" i="9"/>
  <c r="AY27" i="9"/>
  <c r="AY84" i="9"/>
  <c r="AY168" i="9"/>
  <c r="AY192" i="9"/>
  <c r="AY108" i="9"/>
  <c r="AZ4" i="9"/>
  <c r="AY96" i="9"/>
  <c r="AY2" i="9"/>
  <c r="AY153" i="9"/>
  <c r="AY57" i="9"/>
  <c r="AY9" i="9"/>
  <c r="AY126" i="9"/>
  <c r="AY30" i="9"/>
  <c r="AY147" i="9"/>
  <c r="AY51" i="9"/>
  <c r="AY144" i="9"/>
  <c r="AY204" i="9"/>
  <c r="AY3" i="9"/>
  <c r="AY189" i="9"/>
  <c r="AY93" i="9"/>
  <c r="AY210" i="9"/>
  <c r="AY114" i="9"/>
  <c r="AY18" i="9"/>
  <c r="AY135" i="9"/>
  <c r="AY39" i="9"/>
  <c r="AY216" i="9"/>
  <c r="AY24" i="9"/>
  <c r="AY48" i="9"/>
  <c r="AY213" i="9"/>
  <c r="AY165" i="9"/>
  <c r="AY117" i="9"/>
  <c r="AY69" i="9"/>
  <c r="AY21" i="9"/>
  <c r="AY186" i="9"/>
  <c r="AY138" i="9"/>
  <c r="AY90" i="9"/>
  <c r="AY42" i="9"/>
  <c r="AY207" i="9"/>
  <c r="AY159" i="9"/>
  <c r="AY111" i="9"/>
  <c r="AY63" i="9"/>
  <c r="AY15" i="9"/>
  <c r="AY36" i="9"/>
  <c r="AY120" i="9"/>
  <c r="AY60" i="9"/>
  <c r="AY201" i="9"/>
  <c r="AY105" i="9"/>
  <c r="AY174" i="9"/>
  <c r="AY78" i="9"/>
  <c r="AY195" i="9"/>
  <c r="AY99" i="9"/>
  <c r="AY180" i="9"/>
  <c r="AY72" i="9"/>
  <c r="AY12" i="9"/>
  <c r="AY141" i="9"/>
  <c r="AY45" i="9"/>
  <c r="AY162" i="9"/>
  <c r="AY66" i="9"/>
  <c r="AY183" i="9"/>
  <c r="AY87" i="9"/>
  <c r="AY132" i="9"/>
  <c r="AY156" i="9"/>
  <c r="AI104" i="4" l="1"/>
  <c r="AR104" i="4"/>
  <c r="AZ104" i="4"/>
  <c r="BH104" i="4"/>
  <c r="BP104" i="4"/>
  <c r="BX104" i="4"/>
  <c r="AJ104" i="4"/>
  <c r="AS104" i="4"/>
  <c r="BA104" i="4"/>
  <c r="BI104" i="4"/>
  <c r="BQ104" i="4"/>
  <c r="BY104" i="4"/>
  <c r="AK104" i="4"/>
  <c r="AT104" i="4"/>
  <c r="BB104" i="4"/>
  <c r="BJ104" i="4"/>
  <c r="BR104" i="4"/>
  <c r="BZ104" i="4"/>
  <c r="AL104" i="4"/>
  <c r="AU104" i="4"/>
  <c r="BC104" i="4"/>
  <c r="BK104" i="4"/>
  <c r="BS104" i="4"/>
  <c r="CA104" i="4"/>
  <c r="AN104" i="4"/>
  <c r="AV104" i="4"/>
  <c r="BD104" i="4"/>
  <c r="BL104" i="4"/>
  <c r="BT104" i="4"/>
  <c r="CB104" i="4"/>
  <c r="AF104" i="4"/>
  <c r="AO104" i="4"/>
  <c r="AW104" i="4"/>
  <c r="BE104" i="4"/>
  <c r="BM104" i="4"/>
  <c r="BU104" i="4"/>
  <c r="CC104" i="4"/>
  <c r="AG104" i="4"/>
  <c r="AP104" i="4"/>
  <c r="AX104" i="4"/>
  <c r="BF104" i="4"/>
  <c r="BN104" i="4"/>
  <c r="BV104" i="4"/>
  <c r="AH104" i="4"/>
  <c r="AQ104" i="4"/>
  <c r="AY104" i="4"/>
  <c r="BG104" i="4"/>
  <c r="BO104" i="4"/>
  <c r="BW104" i="4"/>
  <c r="X104" i="4"/>
  <c r="Y104" i="4"/>
  <c r="Z104" i="4"/>
  <c r="AA104" i="4"/>
  <c r="AB104" i="4"/>
  <c r="AC104" i="4"/>
  <c r="V104" i="4"/>
  <c r="AD104" i="4"/>
  <c r="W104" i="4"/>
  <c r="AE104" i="4"/>
  <c r="T104" i="4"/>
  <c r="U104" i="4"/>
  <c r="Q104" i="4"/>
  <c r="S104" i="4"/>
  <c r="R104" i="4"/>
  <c r="B103" i="4"/>
  <c r="P103" i="4"/>
  <c r="E104" i="4"/>
  <c r="M104" i="4"/>
  <c r="G104" i="4"/>
  <c r="J104" i="4"/>
  <c r="L104" i="4"/>
  <c r="C104" i="4"/>
  <c r="N104" i="4"/>
  <c r="H104" i="4"/>
  <c r="D104" i="4"/>
  <c r="F104" i="4"/>
  <c r="I104" i="4"/>
  <c r="K104" i="4"/>
  <c r="O103" i="4"/>
  <c r="A105" i="4"/>
  <c r="AM105" i="4" s="1"/>
  <c r="AZ192" i="9"/>
  <c r="AZ144" i="9"/>
  <c r="AZ96" i="9"/>
  <c r="AZ48" i="9"/>
  <c r="AZ213" i="9"/>
  <c r="AZ165" i="9"/>
  <c r="AZ117" i="9"/>
  <c r="AZ69" i="9"/>
  <c r="AZ21" i="9"/>
  <c r="AZ186" i="9"/>
  <c r="AZ138" i="9"/>
  <c r="AZ90" i="9"/>
  <c r="AZ42" i="9"/>
  <c r="AZ207" i="9"/>
  <c r="AZ15" i="9"/>
  <c r="AZ99" i="9"/>
  <c r="AZ183" i="9"/>
  <c r="AZ27" i="9"/>
  <c r="AZ153" i="9"/>
  <c r="AZ9" i="9"/>
  <c r="AZ126" i="9"/>
  <c r="AZ78" i="9"/>
  <c r="AZ159" i="9"/>
  <c r="AZ51" i="9"/>
  <c r="AZ3" i="9"/>
  <c r="AZ210" i="9"/>
  <c r="AZ66" i="9"/>
  <c r="AZ195" i="9"/>
  <c r="BA4" i="9"/>
  <c r="AZ60" i="9"/>
  <c r="AZ129" i="9"/>
  <c r="AZ198" i="9"/>
  <c r="AZ54" i="9"/>
  <c r="AZ147" i="9"/>
  <c r="AZ2" i="9"/>
  <c r="AZ180" i="9"/>
  <c r="AZ132" i="9"/>
  <c r="AZ84" i="9"/>
  <c r="AZ36" i="9"/>
  <c r="AZ201" i="9"/>
  <c r="AZ105" i="9"/>
  <c r="AZ57" i="9"/>
  <c r="AZ174" i="9"/>
  <c r="AZ30" i="9"/>
  <c r="AZ75" i="9"/>
  <c r="AZ135" i="9"/>
  <c r="AZ162" i="9"/>
  <c r="AZ18" i="9"/>
  <c r="AZ171" i="9"/>
  <c r="AZ204" i="9"/>
  <c r="AZ108" i="9"/>
  <c r="AZ12" i="9"/>
  <c r="AZ33" i="9"/>
  <c r="AZ102" i="9"/>
  <c r="AZ6" i="9"/>
  <c r="AZ123" i="9"/>
  <c r="AZ216" i="9"/>
  <c r="AZ168" i="9"/>
  <c r="AZ120" i="9"/>
  <c r="AZ72" i="9"/>
  <c r="AZ24" i="9"/>
  <c r="AZ189" i="9"/>
  <c r="AZ141" i="9"/>
  <c r="AZ93" i="9"/>
  <c r="AZ45" i="9"/>
  <c r="AZ114" i="9"/>
  <c r="AZ111" i="9"/>
  <c r="AZ87" i="9"/>
  <c r="AZ156" i="9"/>
  <c r="AZ177" i="9"/>
  <c r="AZ81" i="9"/>
  <c r="AZ150" i="9"/>
  <c r="AZ63" i="9"/>
  <c r="AZ39" i="9"/>
  <c r="AH105" i="4" l="1"/>
  <c r="AQ105" i="4"/>
  <c r="AY105" i="4"/>
  <c r="BG105" i="4"/>
  <c r="BO105" i="4"/>
  <c r="BW105" i="4"/>
  <c r="AI105" i="4"/>
  <c r="AR105" i="4"/>
  <c r="AZ105" i="4"/>
  <c r="BH105" i="4"/>
  <c r="BP105" i="4"/>
  <c r="BX105" i="4"/>
  <c r="AJ105" i="4"/>
  <c r="AS105" i="4"/>
  <c r="BA105" i="4"/>
  <c r="BI105" i="4"/>
  <c r="BQ105" i="4"/>
  <c r="BY105" i="4"/>
  <c r="AK105" i="4"/>
  <c r="AT105" i="4"/>
  <c r="BB105" i="4"/>
  <c r="BJ105" i="4"/>
  <c r="BR105" i="4"/>
  <c r="BZ105" i="4"/>
  <c r="AL105" i="4"/>
  <c r="AU105" i="4"/>
  <c r="BC105" i="4"/>
  <c r="BK105" i="4"/>
  <c r="BS105" i="4"/>
  <c r="CA105" i="4"/>
  <c r="AN105" i="4"/>
  <c r="AV105" i="4"/>
  <c r="BD105" i="4"/>
  <c r="BL105" i="4"/>
  <c r="BT105" i="4"/>
  <c r="CB105" i="4"/>
  <c r="AF105" i="4"/>
  <c r="AO105" i="4"/>
  <c r="AW105" i="4"/>
  <c r="BE105" i="4"/>
  <c r="BM105" i="4"/>
  <c r="BU105" i="4"/>
  <c r="CC105" i="4"/>
  <c r="AG105" i="4"/>
  <c r="AP105" i="4"/>
  <c r="AX105" i="4"/>
  <c r="BF105" i="4"/>
  <c r="BN105" i="4"/>
  <c r="BV105" i="4"/>
  <c r="V105" i="4"/>
  <c r="AD105" i="4"/>
  <c r="W105" i="4"/>
  <c r="AE105" i="4"/>
  <c r="X105" i="4"/>
  <c r="Y105" i="4"/>
  <c r="Z105" i="4"/>
  <c r="AA105" i="4"/>
  <c r="AB105" i="4"/>
  <c r="AC105" i="4"/>
  <c r="Q105" i="4"/>
  <c r="R105" i="4"/>
  <c r="S105" i="4"/>
  <c r="T105" i="4"/>
  <c r="U105" i="4"/>
  <c r="B104" i="4"/>
  <c r="O104" i="4"/>
  <c r="I105" i="4"/>
  <c r="C105" i="4"/>
  <c r="K105" i="4"/>
  <c r="F105" i="4"/>
  <c r="N105" i="4"/>
  <c r="M105" i="4"/>
  <c r="D105" i="4"/>
  <c r="H105" i="4"/>
  <c r="L105" i="4"/>
  <c r="G105" i="4"/>
  <c r="E105" i="4"/>
  <c r="J105" i="4"/>
  <c r="P104" i="4"/>
  <c r="A106" i="4"/>
  <c r="AM106" i="4" s="1"/>
  <c r="BA183" i="9"/>
  <c r="BA135" i="9"/>
  <c r="BA87" i="9"/>
  <c r="BA39" i="9"/>
  <c r="BA204" i="9"/>
  <c r="BA156" i="9"/>
  <c r="BA108" i="9"/>
  <c r="BA60" i="9"/>
  <c r="BA12" i="9"/>
  <c r="BA177" i="9"/>
  <c r="BA129" i="9"/>
  <c r="BA81" i="9"/>
  <c r="BA33" i="9"/>
  <c r="BA138" i="9"/>
  <c r="BA6" i="9"/>
  <c r="BA30" i="9"/>
  <c r="BA114" i="9"/>
  <c r="BA54" i="9"/>
  <c r="BA171" i="9"/>
  <c r="BA123" i="9"/>
  <c r="BA75" i="9"/>
  <c r="BA192" i="9"/>
  <c r="BA144" i="9"/>
  <c r="BA96" i="9"/>
  <c r="BA213" i="9"/>
  <c r="BA165" i="9"/>
  <c r="BA69" i="9"/>
  <c r="BA90" i="9"/>
  <c r="BA174" i="9"/>
  <c r="BA66" i="9"/>
  <c r="BA84" i="9"/>
  <c r="BA105" i="9"/>
  <c r="BA42" i="9"/>
  <c r="BA18" i="9"/>
  <c r="BA72" i="9"/>
  <c r="BA141" i="9"/>
  <c r="BA45" i="9"/>
  <c r="BA78" i="9"/>
  <c r="BB4" i="9"/>
  <c r="BA27" i="9"/>
  <c r="BA48" i="9"/>
  <c r="BA117" i="9"/>
  <c r="BA21" i="9"/>
  <c r="BA150" i="9"/>
  <c r="BA2" i="9"/>
  <c r="BA207" i="9"/>
  <c r="BA63" i="9"/>
  <c r="BA180" i="9"/>
  <c r="BA201" i="9"/>
  <c r="BA9" i="9"/>
  <c r="BA126" i="9"/>
  <c r="BA3" i="9"/>
  <c r="BA51" i="9"/>
  <c r="BA120" i="9"/>
  <c r="BA189" i="9"/>
  <c r="BA186" i="9"/>
  <c r="BA198" i="9"/>
  <c r="BA159" i="9"/>
  <c r="BA111" i="9"/>
  <c r="BA15" i="9"/>
  <c r="BA132" i="9"/>
  <c r="BA36" i="9"/>
  <c r="BA153" i="9"/>
  <c r="BA57" i="9"/>
  <c r="BA210" i="9"/>
  <c r="BA195" i="9"/>
  <c r="BA147" i="9"/>
  <c r="BA99" i="9"/>
  <c r="BA216" i="9"/>
  <c r="BA168" i="9"/>
  <c r="BA24" i="9"/>
  <c r="BA93" i="9"/>
  <c r="BA102" i="9"/>
  <c r="BA162" i="9"/>
  <c r="AG106" i="4" l="1"/>
  <c r="AP106" i="4"/>
  <c r="AX106" i="4"/>
  <c r="BF106" i="4"/>
  <c r="BN106" i="4"/>
  <c r="BV106" i="4"/>
  <c r="AH106" i="4"/>
  <c r="AQ106" i="4"/>
  <c r="AY106" i="4"/>
  <c r="BG106" i="4"/>
  <c r="BO106" i="4"/>
  <c r="BW106" i="4"/>
  <c r="AI106" i="4"/>
  <c r="AR106" i="4"/>
  <c r="AZ106" i="4"/>
  <c r="BH106" i="4"/>
  <c r="BP106" i="4"/>
  <c r="BX106" i="4"/>
  <c r="AJ106" i="4"/>
  <c r="AS106" i="4"/>
  <c r="BA106" i="4"/>
  <c r="BI106" i="4"/>
  <c r="BQ106" i="4"/>
  <c r="BY106" i="4"/>
  <c r="AK106" i="4"/>
  <c r="AT106" i="4"/>
  <c r="BB106" i="4"/>
  <c r="BJ106" i="4"/>
  <c r="BR106" i="4"/>
  <c r="BZ106" i="4"/>
  <c r="AL106" i="4"/>
  <c r="AU106" i="4"/>
  <c r="BC106" i="4"/>
  <c r="BK106" i="4"/>
  <c r="BS106" i="4"/>
  <c r="CA106" i="4"/>
  <c r="AN106" i="4"/>
  <c r="AV106" i="4"/>
  <c r="BD106" i="4"/>
  <c r="BL106" i="4"/>
  <c r="BT106" i="4"/>
  <c r="CB106" i="4"/>
  <c r="AF106" i="4"/>
  <c r="AO106" i="4"/>
  <c r="AW106" i="4"/>
  <c r="BE106" i="4"/>
  <c r="BM106" i="4"/>
  <c r="BU106" i="4"/>
  <c r="CC106" i="4"/>
  <c r="AB106" i="4"/>
  <c r="AC106" i="4"/>
  <c r="V106" i="4"/>
  <c r="AD106" i="4"/>
  <c r="W106" i="4"/>
  <c r="AE106" i="4"/>
  <c r="X106" i="4"/>
  <c r="Y106" i="4"/>
  <c r="Z106" i="4"/>
  <c r="AA106" i="4"/>
  <c r="R106" i="4"/>
  <c r="S106" i="4"/>
  <c r="T106" i="4"/>
  <c r="U106" i="4"/>
  <c r="Q106" i="4"/>
  <c r="E106" i="4"/>
  <c r="M106" i="4"/>
  <c r="G106" i="4"/>
  <c r="J106" i="4"/>
  <c r="N106" i="4"/>
  <c r="D106" i="4"/>
  <c r="C106" i="4"/>
  <c r="I106" i="4"/>
  <c r="F106" i="4"/>
  <c r="H106" i="4"/>
  <c r="K106" i="4"/>
  <c r="L106" i="4"/>
  <c r="O105" i="4"/>
  <c r="P105" i="4"/>
  <c r="B105" i="4"/>
  <c r="A107" i="4"/>
  <c r="AM107" i="4" s="1"/>
  <c r="BB186" i="9"/>
  <c r="BB138" i="9"/>
  <c r="BB90" i="9"/>
  <c r="BB42" i="9"/>
  <c r="BB207" i="9"/>
  <c r="BB159" i="9"/>
  <c r="BB111" i="9"/>
  <c r="BB63" i="9"/>
  <c r="BB15" i="9"/>
  <c r="BB180" i="9"/>
  <c r="BB132" i="9"/>
  <c r="BB84" i="9"/>
  <c r="BB36" i="9"/>
  <c r="BB165" i="9"/>
  <c r="BB129" i="9"/>
  <c r="BB105" i="9"/>
  <c r="BB189" i="9"/>
  <c r="BB81" i="9"/>
  <c r="BB30" i="9"/>
  <c r="BB99" i="9"/>
  <c r="BB216" i="9"/>
  <c r="BB120" i="9"/>
  <c r="BB24" i="9"/>
  <c r="BB117" i="9"/>
  <c r="BB57" i="9"/>
  <c r="BB2" i="9"/>
  <c r="BB6" i="9"/>
  <c r="BB192" i="9"/>
  <c r="BB48" i="9"/>
  <c r="BB153" i="9"/>
  <c r="BB45" i="9"/>
  <c r="BB174" i="9"/>
  <c r="BB126" i="9"/>
  <c r="BB78" i="9"/>
  <c r="BB195" i="9"/>
  <c r="BB147" i="9"/>
  <c r="BB51" i="9"/>
  <c r="BB168" i="9"/>
  <c r="BB72" i="9"/>
  <c r="BB33" i="9"/>
  <c r="BB141" i="9"/>
  <c r="BB54" i="9"/>
  <c r="BB123" i="9"/>
  <c r="BB75" i="9"/>
  <c r="BB144" i="9"/>
  <c r="BB21" i="9"/>
  <c r="BB210" i="9"/>
  <c r="BB162" i="9"/>
  <c r="BB114" i="9"/>
  <c r="BB66" i="9"/>
  <c r="BB18" i="9"/>
  <c r="BB183" i="9"/>
  <c r="BB135" i="9"/>
  <c r="BB87" i="9"/>
  <c r="BB39" i="9"/>
  <c r="BB204" i="9"/>
  <c r="BB156" i="9"/>
  <c r="BB108" i="9"/>
  <c r="BB60" i="9"/>
  <c r="BB12" i="9"/>
  <c r="BB69" i="9"/>
  <c r="BB201" i="9"/>
  <c r="BB9" i="9"/>
  <c r="BB93" i="9"/>
  <c r="BB3" i="9"/>
  <c r="BB198" i="9"/>
  <c r="BB150" i="9"/>
  <c r="BB102" i="9"/>
  <c r="BB171" i="9"/>
  <c r="BB27" i="9"/>
  <c r="BB96" i="9"/>
  <c r="BB213" i="9"/>
  <c r="BB177" i="9"/>
  <c r="BC4" i="9"/>
  <c r="AF107" i="4" l="1"/>
  <c r="AO107" i="4"/>
  <c r="AW107" i="4"/>
  <c r="BE107" i="4"/>
  <c r="BM107" i="4"/>
  <c r="BU107" i="4"/>
  <c r="CC107" i="4"/>
  <c r="AG107" i="4"/>
  <c r="AP107" i="4"/>
  <c r="AX107" i="4"/>
  <c r="BF107" i="4"/>
  <c r="BN107" i="4"/>
  <c r="BV107" i="4"/>
  <c r="AH107" i="4"/>
  <c r="AQ107" i="4"/>
  <c r="AY107" i="4"/>
  <c r="BG107" i="4"/>
  <c r="BO107" i="4"/>
  <c r="BW107" i="4"/>
  <c r="AI107" i="4"/>
  <c r="AR107" i="4"/>
  <c r="AZ107" i="4"/>
  <c r="BH107" i="4"/>
  <c r="BP107" i="4"/>
  <c r="BX107" i="4"/>
  <c r="AJ107" i="4"/>
  <c r="AS107" i="4"/>
  <c r="BA107" i="4"/>
  <c r="BI107" i="4"/>
  <c r="BQ107" i="4"/>
  <c r="BY107" i="4"/>
  <c r="AK107" i="4"/>
  <c r="AT107" i="4"/>
  <c r="BB107" i="4"/>
  <c r="BJ107" i="4"/>
  <c r="BR107" i="4"/>
  <c r="BZ107" i="4"/>
  <c r="AL107" i="4"/>
  <c r="AU107" i="4"/>
  <c r="BC107" i="4"/>
  <c r="BK107" i="4"/>
  <c r="BS107" i="4"/>
  <c r="CA107" i="4"/>
  <c r="AN107" i="4"/>
  <c r="AV107" i="4"/>
  <c r="BD107" i="4"/>
  <c r="BL107" i="4"/>
  <c r="BT107" i="4"/>
  <c r="CB107" i="4"/>
  <c r="Z107" i="4"/>
  <c r="AA107" i="4"/>
  <c r="AB107" i="4"/>
  <c r="AC107" i="4"/>
  <c r="V107" i="4"/>
  <c r="AD107" i="4"/>
  <c r="W107" i="4"/>
  <c r="AE107" i="4"/>
  <c r="X107" i="4"/>
  <c r="Y107" i="4"/>
  <c r="U107" i="4"/>
  <c r="Q107" i="4"/>
  <c r="R107" i="4"/>
  <c r="S107" i="4"/>
  <c r="T107" i="4"/>
  <c r="O106" i="4"/>
  <c r="H107" i="4"/>
  <c r="J107" i="4"/>
  <c r="E107" i="4"/>
  <c r="M107" i="4"/>
  <c r="N107" i="4"/>
  <c r="C107" i="4"/>
  <c r="D107" i="4"/>
  <c r="I107" i="4"/>
  <c r="L107" i="4"/>
  <c r="G107" i="4"/>
  <c r="F107" i="4"/>
  <c r="K107" i="4"/>
  <c r="B106" i="4"/>
  <c r="P106" i="4"/>
  <c r="A108" i="4"/>
  <c r="AM108" i="4" s="1"/>
  <c r="BC189" i="9"/>
  <c r="BC141" i="9"/>
  <c r="BC93" i="9"/>
  <c r="BC45" i="9"/>
  <c r="BC210" i="9"/>
  <c r="BC162" i="9"/>
  <c r="BC114" i="9"/>
  <c r="BC66" i="9"/>
  <c r="BC18" i="9"/>
  <c r="BC183" i="9"/>
  <c r="BC135" i="9"/>
  <c r="BC87" i="9"/>
  <c r="BC39" i="9"/>
  <c r="BC144" i="9"/>
  <c r="BC108" i="9"/>
  <c r="BC84" i="9"/>
  <c r="BC168" i="9"/>
  <c r="BC204" i="9"/>
  <c r="BC198" i="9"/>
  <c r="BC102" i="9"/>
  <c r="BC6" i="9"/>
  <c r="BC123" i="9"/>
  <c r="BC27" i="9"/>
  <c r="BC12" i="9"/>
  <c r="BD4" i="9"/>
  <c r="BC138" i="9"/>
  <c r="BC159" i="9"/>
  <c r="BC48" i="9"/>
  <c r="BC72" i="9"/>
  <c r="BC177" i="9"/>
  <c r="BC129" i="9"/>
  <c r="BC81" i="9"/>
  <c r="BC33" i="9"/>
  <c r="BC150" i="9"/>
  <c r="BC54" i="9"/>
  <c r="BC171" i="9"/>
  <c r="BC75" i="9"/>
  <c r="BC96" i="9"/>
  <c r="BC36" i="9"/>
  <c r="BC120" i="9"/>
  <c r="BC90" i="9"/>
  <c r="BC63" i="9"/>
  <c r="BC180" i="9"/>
  <c r="BC213" i="9"/>
  <c r="BC165" i="9"/>
  <c r="BC117" i="9"/>
  <c r="BC69" i="9"/>
  <c r="BC21" i="9"/>
  <c r="BC186" i="9"/>
  <c r="BC42" i="9"/>
  <c r="BC207" i="9"/>
  <c r="BC15" i="9"/>
  <c r="BC2" i="9"/>
  <c r="BC201" i="9"/>
  <c r="BC153" i="9"/>
  <c r="BC105" i="9"/>
  <c r="BC57" i="9"/>
  <c r="BC9" i="9"/>
  <c r="BC174" i="9"/>
  <c r="BC126" i="9"/>
  <c r="BC78" i="9"/>
  <c r="BC30" i="9"/>
  <c r="BC195" i="9"/>
  <c r="BC147" i="9"/>
  <c r="BC99" i="9"/>
  <c r="BC51" i="9"/>
  <c r="BC192" i="9"/>
  <c r="BC156" i="9"/>
  <c r="BC132" i="9"/>
  <c r="BC216" i="9"/>
  <c r="BC24" i="9"/>
  <c r="BC3" i="9"/>
  <c r="BC111" i="9"/>
  <c r="BC60" i="9"/>
  <c r="AN108" i="4" l="1"/>
  <c r="AV108" i="4"/>
  <c r="BD108" i="4"/>
  <c r="BL108" i="4"/>
  <c r="BT108" i="4"/>
  <c r="CB108" i="4"/>
  <c r="AF108" i="4"/>
  <c r="AO108" i="4"/>
  <c r="AW108" i="4"/>
  <c r="BE108" i="4"/>
  <c r="BM108" i="4"/>
  <c r="BU108" i="4"/>
  <c r="CC108" i="4"/>
  <c r="AG108" i="4"/>
  <c r="AP108" i="4"/>
  <c r="AX108" i="4"/>
  <c r="BF108" i="4"/>
  <c r="BN108" i="4"/>
  <c r="BV108" i="4"/>
  <c r="AH108" i="4"/>
  <c r="AQ108" i="4"/>
  <c r="AY108" i="4"/>
  <c r="BG108" i="4"/>
  <c r="BO108" i="4"/>
  <c r="BW108" i="4"/>
  <c r="AI108" i="4"/>
  <c r="AR108" i="4"/>
  <c r="AZ108" i="4"/>
  <c r="BH108" i="4"/>
  <c r="BP108" i="4"/>
  <c r="BX108" i="4"/>
  <c r="AJ108" i="4"/>
  <c r="AS108" i="4"/>
  <c r="BA108" i="4"/>
  <c r="BI108" i="4"/>
  <c r="BQ108" i="4"/>
  <c r="BY108" i="4"/>
  <c r="AK108" i="4"/>
  <c r="AT108" i="4"/>
  <c r="BB108" i="4"/>
  <c r="BJ108" i="4"/>
  <c r="BR108" i="4"/>
  <c r="BZ108" i="4"/>
  <c r="AL108" i="4"/>
  <c r="AU108" i="4"/>
  <c r="BC108" i="4"/>
  <c r="BK108" i="4"/>
  <c r="BS108" i="4"/>
  <c r="CA108" i="4"/>
  <c r="X108" i="4"/>
  <c r="Y108" i="4"/>
  <c r="Z108" i="4"/>
  <c r="AA108" i="4"/>
  <c r="AB108" i="4"/>
  <c r="AC108" i="4"/>
  <c r="V108" i="4"/>
  <c r="AD108" i="4"/>
  <c r="W108" i="4"/>
  <c r="AE108" i="4"/>
  <c r="Q108" i="4"/>
  <c r="R108" i="4"/>
  <c r="S108" i="4"/>
  <c r="T108" i="4"/>
  <c r="U108" i="4"/>
  <c r="C108" i="4"/>
  <c r="K108" i="4"/>
  <c r="E108" i="4"/>
  <c r="M108" i="4"/>
  <c r="H108" i="4"/>
  <c r="N108" i="4"/>
  <c r="D108" i="4"/>
  <c r="I108" i="4"/>
  <c r="F108" i="4"/>
  <c r="G108" i="4"/>
  <c r="J108" i="4"/>
  <c r="L108" i="4"/>
  <c r="B107" i="4"/>
  <c r="O107" i="4"/>
  <c r="P107" i="4"/>
  <c r="A109" i="4"/>
  <c r="AM109" i="4" s="1"/>
  <c r="BD192" i="9"/>
  <c r="BD69" i="9"/>
  <c r="BD183" i="9"/>
  <c r="BD132" i="9"/>
  <c r="BD84" i="9"/>
  <c r="BD153" i="9"/>
  <c r="BD9" i="9"/>
  <c r="BD30" i="9"/>
  <c r="BD3" i="9"/>
  <c r="BD180" i="9"/>
  <c r="BD105" i="9"/>
  <c r="BD126" i="9"/>
  <c r="BD39" i="9"/>
  <c r="BD216" i="9"/>
  <c r="BD168" i="9"/>
  <c r="BD120" i="9"/>
  <c r="BD72" i="9"/>
  <c r="BD24" i="9"/>
  <c r="BD189" i="9"/>
  <c r="BD141" i="9"/>
  <c r="BD93" i="9"/>
  <c r="BD45" i="9"/>
  <c r="BD210" i="9"/>
  <c r="BD162" i="9"/>
  <c r="BD114" i="9"/>
  <c r="BD66" i="9"/>
  <c r="BD18" i="9"/>
  <c r="BD75" i="9"/>
  <c r="BD207" i="9"/>
  <c r="BD15" i="9"/>
  <c r="BD99" i="9"/>
  <c r="BE4" i="9"/>
  <c r="BD48" i="9"/>
  <c r="BD165" i="9"/>
  <c r="BD186" i="9"/>
  <c r="BD90" i="9"/>
  <c r="BD171" i="9"/>
  <c r="BD195" i="9"/>
  <c r="BD201" i="9"/>
  <c r="BD174" i="9"/>
  <c r="BD123" i="9"/>
  <c r="BD147" i="9"/>
  <c r="BD204" i="9"/>
  <c r="BD156" i="9"/>
  <c r="BD108" i="9"/>
  <c r="BD60" i="9"/>
  <c r="BD12" i="9"/>
  <c r="BD177" i="9"/>
  <c r="BD129" i="9"/>
  <c r="BD81" i="9"/>
  <c r="BD33" i="9"/>
  <c r="BD198" i="9"/>
  <c r="BD150" i="9"/>
  <c r="BD102" i="9"/>
  <c r="BD54" i="9"/>
  <c r="BD6" i="9"/>
  <c r="BD27" i="9"/>
  <c r="BD159" i="9"/>
  <c r="BD135" i="9"/>
  <c r="BD51" i="9"/>
  <c r="BD2" i="9"/>
  <c r="BD144" i="9"/>
  <c r="BD96" i="9"/>
  <c r="BD213" i="9"/>
  <c r="BD117" i="9"/>
  <c r="BD21" i="9"/>
  <c r="BD138" i="9"/>
  <c r="BD42" i="9"/>
  <c r="BD111" i="9"/>
  <c r="BD87" i="9"/>
  <c r="BD36" i="9"/>
  <c r="BD57" i="9"/>
  <c r="BD78" i="9"/>
  <c r="BD63" i="9"/>
  <c r="AL109" i="4" l="1"/>
  <c r="AU109" i="4"/>
  <c r="BC109" i="4"/>
  <c r="BK109" i="4"/>
  <c r="BS109" i="4"/>
  <c r="CA109" i="4"/>
  <c r="AN109" i="4"/>
  <c r="AV109" i="4"/>
  <c r="BD109" i="4"/>
  <c r="BL109" i="4"/>
  <c r="BT109" i="4"/>
  <c r="CB109" i="4"/>
  <c r="AF109" i="4"/>
  <c r="AO109" i="4"/>
  <c r="AW109" i="4"/>
  <c r="BE109" i="4"/>
  <c r="BM109" i="4"/>
  <c r="BU109" i="4"/>
  <c r="CC109" i="4"/>
  <c r="AG109" i="4"/>
  <c r="AP109" i="4"/>
  <c r="AX109" i="4"/>
  <c r="BF109" i="4"/>
  <c r="BN109" i="4"/>
  <c r="BV109" i="4"/>
  <c r="AH109" i="4"/>
  <c r="AQ109" i="4"/>
  <c r="AY109" i="4"/>
  <c r="BG109" i="4"/>
  <c r="BO109" i="4"/>
  <c r="BW109" i="4"/>
  <c r="AI109" i="4"/>
  <c r="AR109" i="4"/>
  <c r="AZ109" i="4"/>
  <c r="BH109" i="4"/>
  <c r="BP109" i="4"/>
  <c r="BX109" i="4"/>
  <c r="AJ109" i="4"/>
  <c r="AS109" i="4"/>
  <c r="BA109" i="4"/>
  <c r="BI109" i="4"/>
  <c r="BQ109" i="4"/>
  <c r="BY109" i="4"/>
  <c r="AK109" i="4"/>
  <c r="AT109" i="4"/>
  <c r="BB109" i="4"/>
  <c r="BJ109" i="4"/>
  <c r="BR109" i="4"/>
  <c r="BZ109" i="4"/>
  <c r="V109" i="4"/>
  <c r="AD109" i="4"/>
  <c r="W109" i="4"/>
  <c r="AE109" i="4"/>
  <c r="X109" i="4"/>
  <c r="Y109" i="4"/>
  <c r="Z109" i="4"/>
  <c r="AA109" i="4"/>
  <c r="AB109" i="4"/>
  <c r="AC109" i="4"/>
  <c r="S109" i="4"/>
  <c r="T109" i="4"/>
  <c r="U109" i="4"/>
  <c r="R109" i="4"/>
  <c r="Q109" i="4"/>
  <c r="O108" i="4"/>
  <c r="E109" i="4"/>
  <c r="M109" i="4"/>
  <c r="G109" i="4"/>
  <c r="J109" i="4"/>
  <c r="L109" i="4"/>
  <c r="N109" i="4"/>
  <c r="H109" i="4"/>
  <c r="I109" i="4"/>
  <c r="K109" i="4"/>
  <c r="D109" i="4"/>
  <c r="C109" i="4"/>
  <c r="F109" i="4"/>
  <c r="P108" i="4"/>
  <c r="B108" i="4"/>
  <c r="A110" i="4"/>
  <c r="AM110" i="4" s="1"/>
  <c r="BE183" i="9"/>
  <c r="BE135" i="9"/>
  <c r="BE87" i="9"/>
  <c r="BE39" i="9"/>
  <c r="BE204" i="9"/>
  <c r="BE156" i="9"/>
  <c r="BE108" i="9"/>
  <c r="BE60" i="9"/>
  <c r="BE12" i="9"/>
  <c r="BE177" i="9"/>
  <c r="BE129" i="9"/>
  <c r="BE81" i="9"/>
  <c r="BE33" i="9"/>
  <c r="BE150" i="9"/>
  <c r="BE114" i="9"/>
  <c r="BE42" i="9"/>
  <c r="BE126" i="9"/>
  <c r="BE66" i="9"/>
  <c r="BE78" i="9"/>
  <c r="BE171" i="9"/>
  <c r="BE123" i="9"/>
  <c r="BE75" i="9"/>
  <c r="BE27" i="9"/>
  <c r="BE192" i="9"/>
  <c r="BE144" i="9"/>
  <c r="BE96" i="9"/>
  <c r="BE48" i="9"/>
  <c r="BE213" i="9"/>
  <c r="BE165" i="9"/>
  <c r="BE117" i="9"/>
  <c r="BE69" i="9"/>
  <c r="BE21" i="9"/>
  <c r="BE102" i="9"/>
  <c r="BE186" i="9"/>
  <c r="BE162" i="9"/>
  <c r="BE207" i="9"/>
  <c r="BE159" i="9"/>
  <c r="BE111" i="9"/>
  <c r="BE63" i="9"/>
  <c r="BE15" i="9"/>
  <c r="BE180" i="9"/>
  <c r="BE132" i="9"/>
  <c r="BE84" i="9"/>
  <c r="BE36" i="9"/>
  <c r="BE201" i="9"/>
  <c r="BE153" i="9"/>
  <c r="BE105" i="9"/>
  <c r="BE57" i="9"/>
  <c r="BE9" i="9"/>
  <c r="BE54" i="9"/>
  <c r="BE138" i="9"/>
  <c r="BE18" i="9"/>
  <c r="BE30" i="9"/>
  <c r="BE3" i="9"/>
  <c r="BE195" i="9"/>
  <c r="BE147" i="9"/>
  <c r="BE99" i="9"/>
  <c r="BE51" i="9"/>
  <c r="BE216" i="9"/>
  <c r="BE168" i="9"/>
  <c r="BE120" i="9"/>
  <c r="BE72" i="9"/>
  <c r="BE24" i="9"/>
  <c r="BE189" i="9"/>
  <c r="BE141" i="9"/>
  <c r="BE93" i="9"/>
  <c r="BE45" i="9"/>
  <c r="BE198" i="9"/>
  <c r="BE6" i="9"/>
  <c r="BE90" i="9"/>
  <c r="BE174" i="9"/>
  <c r="BE210" i="9"/>
  <c r="BF4" i="9"/>
  <c r="BE2" i="9"/>
  <c r="AK110" i="4" l="1"/>
  <c r="AT110" i="4"/>
  <c r="BB110" i="4"/>
  <c r="BJ110" i="4"/>
  <c r="BR110" i="4"/>
  <c r="BZ110" i="4"/>
  <c r="AL110" i="4"/>
  <c r="AU110" i="4"/>
  <c r="BC110" i="4"/>
  <c r="BK110" i="4"/>
  <c r="BS110" i="4"/>
  <c r="CA110" i="4"/>
  <c r="AN110" i="4"/>
  <c r="AV110" i="4"/>
  <c r="BD110" i="4"/>
  <c r="BL110" i="4"/>
  <c r="BT110" i="4"/>
  <c r="CB110" i="4"/>
  <c r="AF110" i="4"/>
  <c r="AO110" i="4"/>
  <c r="AW110" i="4"/>
  <c r="BE110" i="4"/>
  <c r="BM110" i="4"/>
  <c r="BU110" i="4"/>
  <c r="CC110" i="4"/>
  <c r="AG110" i="4"/>
  <c r="AP110" i="4"/>
  <c r="AX110" i="4"/>
  <c r="BF110" i="4"/>
  <c r="BN110" i="4"/>
  <c r="BV110" i="4"/>
  <c r="AH110" i="4"/>
  <c r="AQ110" i="4"/>
  <c r="AY110" i="4"/>
  <c r="BG110" i="4"/>
  <c r="BO110" i="4"/>
  <c r="BW110" i="4"/>
  <c r="AI110" i="4"/>
  <c r="AR110" i="4"/>
  <c r="AZ110" i="4"/>
  <c r="BH110" i="4"/>
  <c r="BP110" i="4"/>
  <c r="BX110" i="4"/>
  <c r="AJ110" i="4"/>
  <c r="AS110" i="4"/>
  <c r="BA110" i="4"/>
  <c r="BI110" i="4"/>
  <c r="BQ110" i="4"/>
  <c r="BY110" i="4"/>
  <c r="AB110" i="4"/>
  <c r="AC110" i="4"/>
  <c r="V110" i="4"/>
  <c r="AD110" i="4"/>
  <c r="W110" i="4"/>
  <c r="AE110" i="4"/>
  <c r="X110" i="4"/>
  <c r="Y110" i="4"/>
  <c r="Z110" i="4"/>
  <c r="AA110" i="4"/>
  <c r="Q110" i="4"/>
  <c r="R110" i="4"/>
  <c r="S110" i="4"/>
  <c r="T110" i="4"/>
  <c r="U110" i="4"/>
  <c r="O109" i="4"/>
  <c r="B109" i="4"/>
  <c r="I110" i="4"/>
  <c r="C110" i="4"/>
  <c r="K110" i="4"/>
  <c r="F110" i="4"/>
  <c r="N110" i="4"/>
  <c r="M110" i="4"/>
  <c r="H110" i="4"/>
  <c r="D110" i="4"/>
  <c r="E110" i="4"/>
  <c r="L110" i="4"/>
  <c r="J110" i="4"/>
  <c r="G110" i="4"/>
  <c r="P109" i="4"/>
  <c r="A111" i="4"/>
  <c r="AM111" i="4" s="1"/>
  <c r="BF186" i="9"/>
  <c r="BF138" i="9"/>
  <c r="BF90" i="9"/>
  <c r="BF42" i="9"/>
  <c r="BF207" i="9"/>
  <c r="BF159" i="9"/>
  <c r="BF111" i="9"/>
  <c r="BF63" i="9"/>
  <c r="BF15" i="9"/>
  <c r="BF180" i="9"/>
  <c r="BF132" i="9"/>
  <c r="BF84" i="9"/>
  <c r="BF36" i="9"/>
  <c r="BF129" i="9"/>
  <c r="BF213" i="9"/>
  <c r="BF21" i="9"/>
  <c r="BF153" i="9"/>
  <c r="BF93" i="9"/>
  <c r="BF126" i="9"/>
  <c r="BF195" i="9"/>
  <c r="BF99" i="9"/>
  <c r="BF216" i="9"/>
  <c r="BF72" i="9"/>
  <c r="BF81" i="9"/>
  <c r="BF165" i="9"/>
  <c r="BF105" i="9"/>
  <c r="BF2" i="9"/>
  <c r="BF162" i="9"/>
  <c r="BF18" i="9"/>
  <c r="BF87" i="9"/>
  <c r="BF108" i="9"/>
  <c r="BF117" i="9"/>
  <c r="BG4" i="9"/>
  <c r="BF123" i="9"/>
  <c r="BF96" i="9"/>
  <c r="BF69" i="9"/>
  <c r="BF174" i="9"/>
  <c r="BF78" i="9"/>
  <c r="BF30" i="9"/>
  <c r="BF147" i="9"/>
  <c r="BF51" i="9"/>
  <c r="BF168" i="9"/>
  <c r="BF120" i="9"/>
  <c r="BF24" i="9"/>
  <c r="BF141" i="9"/>
  <c r="BF210" i="9"/>
  <c r="BF66" i="9"/>
  <c r="BF183" i="9"/>
  <c r="BF39" i="9"/>
  <c r="BF156" i="9"/>
  <c r="BF60" i="9"/>
  <c r="BF33" i="9"/>
  <c r="BF45" i="9"/>
  <c r="BF198" i="9"/>
  <c r="BF150" i="9"/>
  <c r="BF54" i="9"/>
  <c r="BF6" i="9"/>
  <c r="BF75" i="9"/>
  <c r="BF192" i="9"/>
  <c r="BF48" i="9"/>
  <c r="BF177" i="9"/>
  <c r="BF201" i="9"/>
  <c r="BF3" i="9"/>
  <c r="BF114" i="9"/>
  <c r="BF135" i="9"/>
  <c r="BF204" i="9"/>
  <c r="BF12" i="9"/>
  <c r="BF57" i="9"/>
  <c r="BF102" i="9"/>
  <c r="BF171" i="9"/>
  <c r="BF27" i="9"/>
  <c r="BF144" i="9"/>
  <c r="BF189" i="9"/>
  <c r="BF9" i="9"/>
  <c r="AJ111" i="4" l="1"/>
  <c r="AS111" i="4"/>
  <c r="BA111" i="4"/>
  <c r="BI111" i="4"/>
  <c r="BQ111" i="4"/>
  <c r="BY111" i="4"/>
  <c r="AK111" i="4"/>
  <c r="AT111" i="4"/>
  <c r="BB111" i="4"/>
  <c r="BJ111" i="4"/>
  <c r="BR111" i="4"/>
  <c r="BZ111" i="4"/>
  <c r="AL111" i="4"/>
  <c r="AU111" i="4"/>
  <c r="BC111" i="4"/>
  <c r="BK111" i="4"/>
  <c r="BS111" i="4"/>
  <c r="CA111" i="4"/>
  <c r="AN111" i="4"/>
  <c r="AV111" i="4"/>
  <c r="BD111" i="4"/>
  <c r="BL111" i="4"/>
  <c r="BT111" i="4"/>
  <c r="CB111" i="4"/>
  <c r="AF111" i="4"/>
  <c r="AO111" i="4"/>
  <c r="AW111" i="4"/>
  <c r="BE111" i="4"/>
  <c r="BM111" i="4"/>
  <c r="BU111" i="4"/>
  <c r="CC111" i="4"/>
  <c r="AG111" i="4"/>
  <c r="AP111" i="4"/>
  <c r="AX111" i="4"/>
  <c r="BF111" i="4"/>
  <c r="BN111" i="4"/>
  <c r="BV111" i="4"/>
  <c r="AH111" i="4"/>
  <c r="AQ111" i="4"/>
  <c r="AY111" i="4"/>
  <c r="BG111" i="4"/>
  <c r="BO111" i="4"/>
  <c r="BW111" i="4"/>
  <c r="AI111" i="4"/>
  <c r="AR111" i="4"/>
  <c r="AZ111" i="4"/>
  <c r="BH111" i="4"/>
  <c r="BP111" i="4"/>
  <c r="BX111" i="4"/>
  <c r="Z111" i="4"/>
  <c r="AA111" i="4"/>
  <c r="AB111" i="4"/>
  <c r="AC111" i="4"/>
  <c r="V111" i="4"/>
  <c r="AD111" i="4"/>
  <c r="W111" i="4"/>
  <c r="AE111" i="4"/>
  <c r="X111" i="4"/>
  <c r="Y111" i="4"/>
  <c r="Q111" i="4"/>
  <c r="R111" i="4"/>
  <c r="S111" i="4"/>
  <c r="T111" i="4"/>
  <c r="U111" i="4"/>
  <c r="O110" i="4"/>
  <c r="E111" i="4"/>
  <c r="M111" i="4"/>
  <c r="G111" i="4"/>
  <c r="J111" i="4"/>
  <c r="N111" i="4"/>
  <c r="C111" i="4"/>
  <c r="I111" i="4"/>
  <c r="F111" i="4"/>
  <c r="H111" i="4"/>
  <c r="K111" i="4"/>
  <c r="L111" i="4"/>
  <c r="D111" i="4"/>
  <c r="P110" i="4"/>
  <c r="B110" i="4"/>
  <c r="A112" i="4"/>
  <c r="AM112" i="4" s="1"/>
  <c r="BG177" i="9"/>
  <c r="BG69" i="9"/>
  <c r="BG174" i="9"/>
  <c r="BG78" i="9"/>
  <c r="BG186" i="9"/>
  <c r="BG87" i="9"/>
  <c r="BG156" i="9"/>
  <c r="BG144" i="9"/>
  <c r="BH4" i="9"/>
  <c r="BG213" i="9"/>
  <c r="BG210" i="9"/>
  <c r="BG153" i="9"/>
  <c r="BG105" i="9"/>
  <c r="BG57" i="9"/>
  <c r="BG9" i="9"/>
  <c r="BG162" i="9"/>
  <c r="BG114" i="9"/>
  <c r="BG66" i="9"/>
  <c r="BG18" i="9"/>
  <c r="BG171" i="9"/>
  <c r="BG123" i="9"/>
  <c r="BG75" i="9"/>
  <c r="BG27" i="9"/>
  <c r="BG108" i="9"/>
  <c r="BG72" i="9"/>
  <c r="BG96" i="9"/>
  <c r="BG84" i="9"/>
  <c r="BG2" i="9"/>
  <c r="BG201" i="9"/>
  <c r="BG195" i="9"/>
  <c r="BG141" i="9"/>
  <c r="BG93" i="9"/>
  <c r="BG45" i="9"/>
  <c r="BG207" i="9"/>
  <c r="BG150" i="9"/>
  <c r="BG102" i="9"/>
  <c r="BG54" i="9"/>
  <c r="BG6" i="9"/>
  <c r="BG159" i="9"/>
  <c r="BG111" i="9"/>
  <c r="BG63" i="9"/>
  <c r="BG15" i="9"/>
  <c r="BG60" i="9"/>
  <c r="BG24" i="9"/>
  <c r="BG48" i="9"/>
  <c r="BG36" i="9"/>
  <c r="BG3" i="9"/>
  <c r="BG189" i="9"/>
  <c r="BG180" i="9"/>
  <c r="BG129" i="9"/>
  <c r="BG81" i="9"/>
  <c r="BG33" i="9"/>
  <c r="BG192" i="9"/>
  <c r="BG138" i="9"/>
  <c r="BG90" i="9"/>
  <c r="BG42" i="9"/>
  <c r="BG204" i="9"/>
  <c r="BG147" i="9"/>
  <c r="BG99" i="9"/>
  <c r="BG51" i="9"/>
  <c r="BG216" i="9"/>
  <c r="BG12" i="9"/>
  <c r="BG198" i="9"/>
  <c r="BG183" i="9"/>
  <c r="BG168" i="9"/>
  <c r="BG165" i="9"/>
  <c r="BG117" i="9"/>
  <c r="BG21" i="9"/>
  <c r="BG126" i="9"/>
  <c r="BG30" i="9"/>
  <c r="BG135" i="9"/>
  <c r="BG39" i="9"/>
  <c r="BG120" i="9"/>
  <c r="BG132" i="9"/>
  <c r="AI112" i="4" l="1"/>
  <c r="AR112" i="4"/>
  <c r="AZ112" i="4"/>
  <c r="AJ112" i="4"/>
  <c r="AS112" i="4"/>
  <c r="BA112" i="4"/>
  <c r="BI112" i="4"/>
  <c r="BQ112" i="4"/>
  <c r="BY112" i="4"/>
  <c r="AK112" i="4"/>
  <c r="AT112" i="4"/>
  <c r="BB112" i="4"/>
  <c r="BJ112" i="4"/>
  <c r="BR112" i="4"/>
  <c r="BZ112" i="4"/>
  <c r="AL112" i="4"/>
  <c r="AU112" i="4"/>
  <c r="BC112" i="4"/>
  <c r="BK112" i="4"/>
  <c r="BS112" i="4"/>
  <c r="CA112" i="4"/>
  <c r="AN112" i="4"/>
  <c r="AV112" i="4"/>
  <c r="BD112" i="4"/>
  <c r="BL112" i="4"/>
  <c r="BT112" i="4"/>
  <c r="CB112" i="4"/>
  <c r="AF112" i="4"/>
  <c r="AO112" i="4"/>
  <c r="AW112" i="4"/>
  <c r="BE112" i="4"/>
  <c r="BM112" i="4"/>
  <c r="BU112" i="4"/>
  <c r="CC112" i="4"/>
  <c r="AG112" i="4"/>
  <c r="AP112" i="4"/>
  <c r="AX112" i="4"/>
  <c r="BF112" i="4"/>
  <c r="BN112" i="4"/>
  <c r="BV112" i="4"/>
  <c r="AH112" i="4"/>
  <c r="AQ112" i="4"/>
  <c r="AY112" i="4"/>
  <c r="BG112" i="4"/>
  <c r="BO112" i="4"/>
  <c r="BW112" i="4"/>
  <c r="BH112" i="4"/>
  <c r="BP112" i="4"/>
  <c r="BX112" i="4"/>
  <c r="X112" i="4"/>
  <c r="Y112" i="4"/>
  <c r="Z112" i="4"/>
  <c r="AA112" i="4"/>
  <c r="AB112" i="4"/>
  <c r="AC112" i="4"/>
  <c r="V112" i="4"/>
  <c r="AD112" i="4"/>
  <c r="W112" i="4"/>
  <c r="AE112" i="4"/>
  <c r="T112" i="4"/>
  <c r="U112" i="4"/>
  <c r="S112" i="4"/>
  <c r="Q112" i="4"/>
  <c r="R112" i="4"/>
  <c r="O111" i="4"/>
  <c r="P111" i="4"/>
  <c r="H112" i="4"/>
  <c r="J112" i="4"/>
  <c r="E112" i="4"/>
  <c r="M112" i="4"/>
  <c r="N112" i="4"/>
  <c r="C112" i="4"/>
  <c r="I112" i="4"/>
  <c r="L112" i="4"/>
  <c r="G112" i="4"/>
  <c r="D112" i="4"/>
  <c r="F112" i="4"/>
  <c r="K112" i="4"/>
  <c r="B111" i="4"/>
  <c r="A113" i="4"/>
  <c r="AM113" i="4" s="1"/>
  <c r="BH192" i="9"/>
  <c r="BH144" i="9"/>
  <c r="BH96" i="9"/>
  <c r="BH48" i="9"/>
  <c r="BH207" i="9"/>
  <c r="BH141" i="9"/>
  <c r="BH78" i="9"/>
  <c r="BH15" i="9"/>
  <c r="BH153" i="9"/>
  <c r="BH90" i="9"/>
  <c r="BH27" i="9"/>
  <c r="BH183" i="9"/>
  <c r="BH117" i="9"/>
  <c r="BH54" i="9"/>
  <c r="BH195" i="9"/>
  <c r="BH177" i="9"/>
  <c r="BH99" i="9"/>
  <c r="BH81" i="9"/>
  <c r="BH180" i="9"/>
  <c r="BH132" i="9"/>
  <c r="BH84" i="9"/>
  <c r="BH36" i="9"/>
  <c r="BH189" i="9"/>
  <c r="BH126" i="9"/>
  <c r="BH63" i="9"/>
  <c r="BH201" i="9"/>
  <c r="BH138" i="9"/>
  <c r="BH75" i="9"/>
  <c r="BH9" i="9"/>
  <c r="BH165" i="9"/>
  <c r="BH102" i="9"/>
  <c r="BH39" i="9"/>
  <c r="BH129" i="9"/>
  <c r="BH114" i="9"/>
  <c r="BH33" i="9"/>
  <c r="BH3" i="9"/>
  <c r="BH204" i="9"/>
  <c r="BH156" i="9"/>
  <c r="BH60" i="9"/>
  <c r="BH12" i="9"/>
  <c r="BH93" i="9"/>
  <c r="BH105" i="9"/>
  <c r="BH198" i="9"/>
  <c r="BH135" i="9"/>
  <c r="BH6" i="9"/>
  <c r="BH18" i="9"/>
  <c r="BH162" i="9"/>
  <c r="BI4" i="9"/>
  <c r="BH216" i="9"/>
  <c r="BH168" i="9"/>
  <c r="BH120" i="9"/>
  <c r="BH72" i="9"/>
  <c r="BH24" i="9"/>
  <c r="BH174" i="9"/>
  <c r="BH111" i="9"/>
  <c r="BH45" i="9"/>
  <c r="BH186" i="9"/>
  <c r="BH123" i="9"/>
  <c r="BH57" i="9"/>
  <c r="BH213" i="9"/>
  <c r="BH150" i="9"/>
  <c r="BH87" i="9"/>
  <c r="BH21" i="9"/>
  <c r="BH66" i="9"/>
  <c r="BH51" i="9"/>
  <c r="BH210" i="9"/>
  <c r="BH2" i="9"/>
  <c r="BH108" i="9"/>
  <c r="BH159" i="9"/>
  <c r="BH30" i="9"/>
  <c r="BH171" i="9"/>
  <c r="BH42" i="9"/>
  <c r="BH69" i="9"/>
  <c r="BH147" i="9"/>
  <c r="AI113" i="4" l="1"/>
  <c r="AR113" i="4"/>
  <c r="AZ113" i="4"/>
  <c r="BH113" i="4"/>
  <c r="BP113" i="4"/>
  <c r="BX113" i="4"/>
  <c r="AJ113" i="4"/>
  <c r="AS113" i="4"/>
  <c r="BA113" i="4"/>
  <c r="BI113" i="4"/>
  <c r="BQ113" i="4"/>
  <c r="BY113" i="4"/>
  <c r="AK113" i="4"/>
  <c r="AT113" i="4"/>
  <c r="BB113" i="4"/>
  <c r="BJ113" i="4"/>
  <c r="BR113" i="4"/>
  <c r="BZ113" i="4"/>
  <c r="AL113" i="4"/>
  <c r="AU113" i="4"/>
  <c r="BC113" i="4"/>
  <c r="BK113" i="4"/>
  <c r="BS113" i="4"/>
  <c r="CA113" i="4"/>
  <c r="AN113" i="4"/>
  <c r="AV113" i="4"/>
  <c r="BD113" i="4"/>
  <c r="BL113" i="4"/>
  <c r="BT113" i="4"/>
  <c r="CB113" i="4"/>
  <c r="AF113" i="4"/>
  <c r="AO113" i="4"/>
  <c r="AW113" i="4"/>
  <c r="BE113" i="4"/>
  <c r="BM113" i="4"/>
  <c r="BU113" i="4"/>
  <c r="CC113" i="4"/>
  <c r="AG113" i="4"/>
  <c r="AP113" i="4"/>
  <c r="AX113" i="4"/>
  <c r="BF113" i="4"/>
  <c r="BN113" i="4"/>
  <c r="BV113" i="4"/>
  <c r="BW113" i="4"/>
  <c r="AH113" i="4"/>
  <c r="AQ113" i="4"/>
  <c r="AY113" i="4"/>
  <c r="BG113" i="4"/>
  <c r="BO113" i="4"/>
  <c r="V113" i="4"/>
  <c r="AD113" i="4"/>
  <c r="W113" i="4"/>
  <c r="AE113" i="4"/>
  <c r="X113" i="4"/>
  <c r="Y113" i="4"/>
  <c r="Z113" i="4"/>
  <c r="AA113" i="4"/>
  <c r="AB113" i="4"/>
  <c r="AC113" i="4"/>
  <c r="Q113" i="4"/>
  <c r="R113" i="4"/>
  <c r="S113" i="4"/>
  <c r="T113" i="4"/>
  <c r="U113" i="4"/>
  <c r="B112" i="4"/>
  <c r="D113" i="4"/>
  <c r="L113" i="4"/>
  <c r="F113" i="4"/>
  <c r="N113" i="4"/>
  <c r="I113" i="4"/>
  <c r="C113" i="4"/>
  <c r="J113" i="4"/>
  <c r="E113" i="4"/>
  <c r="G113" i="4"/>
  <c r="H113" i="4"/>
  <c r="K113" i="4"/>
  <c r="M113" i="4"/>
  <c r="O112" i="4"/>
  <c r="P112" i="4"/>
  <c r="A114" i="4"/>
  <c r="AM114" i="4" s="1"/>
  <c r="BI183" i="9"/>
  <c r="BI135" i="9"/>
  <c r="BI87" i="9"/>
  <c r="BI39" i="9"/>
  <c r="BI201" i="9"/>
  <c r="BI138" i="9"/>
  <c r="BI72" i="9"/>
  <c r="BI9" i="9"/>
  <c r="BI165" i="9"/>
  <c r="BI102" i="9"/>
  <c r="BI36" i="9"/>
  <c r="BI192" i="9"/>
  <c r="BI129" i="9"/>
  <c r="BI66" i="9"/>
  <c r="BI174" i="9"/>
  <c r="BI93" i="9"/>
  <c r="BI78" i="9"/>
  <c r="BI60" i="9"/>
  <c r="BI171" i="9"/>
  <c r="BI123" i="9"/>
  <c r="BI75" i="9"/>
  <c r="BI27" i="9"/>
  <c r="BI120" i="9"/>
  <c r="BI57" i="9"/>
  <c r="BI213" i="9"/>
  <c r="BI150" i="9"/>
  <c r="BI21" i="9"/>
  <c r="BI177" i="9"/>
  <c r="BI114" i="9"/>
  <c r="BI48" i="9"/>
  <c r="BI30" i="9"/>
  <c r="BI12" i="9"/>
  <c r="BI2" i="9"/>
  <c r="BI90" i="9"/>
  <c r="BI54" i="9"/>
  <c r="BI81" i="9"/>
  <c r="BI141" i="9"/>
  <c r="BI186" i="9"/>
  <c r="BI84" i="9"/>
  <c r="BI108" i="9"/>
  <c r="BI99" i="9"/>
  <c r="BI216" i="9"/>
  <c r="BI180" i="9"/>
  <c r="BI144" i="9"/>
  <c r="BI156" i="9"/>
  <c r="BJ4" i="9"/>
  <c r="BI207" i="9"/>
  <c r="BI159" i="9"/>
  <c r="BI111" i="9"/>
  <c r="BI63" i="9"/>
  <c r="BI15" i="9"/>
  <c r="BI168" i="9"/>
  <c r="BI105" i="9"/>
  <c r="BI42" i="9"/>
  <c r="BI198" i="9"/>
  <c r="BI132" i="9"/>
  <c r="BI69" i="9"/>
  <c r="BI6" i="9"/>
  <c r="BI162" i="9"/>
  <c r="BI96" i="9"/>
  <c r="BI33" i="9"/>
  <c r="BI45" i="9"/>
  <c r="BI204" i="9"/>
  <c r="BI189" i="9"/>
  <c r="BI3" i="9"/>
  <c r="BI195" i="9"/>
  <c r="BI147" i="9"/>
  <c r="BI51" i="9"/>
  <c r="BI153" i="9"/>
  <c r="BI24" i="9"/>
  <c r="BI117" i="9"/>
  <c r="BI210" i="9"/>
  <c r="BI18" i="9"/>
  <c r="BI126" i="9"/>
  <c r="AH114" i="4" l="1"/>
  <c r="AQ114" i="4"/>
  <c r="AY114" i="4"/>
  <c r="BG114" i="4"/>
  <c r="BO114" i="4"/>
  <c r="BW114" i="4"/>
  <c r="AI114" i="4"/>
  <c r="AR114" i="4"/>
  <c r="AZ114" i="4"/>
  <c r="BH114" i="4"/>
  <c r="BP114" i="4"/>
  <c r="BX114" i="4"/>
  <c r="AJ114" i="4"/>
  <c r="AS114" i="4"/>
  <c r="BA114" i="4"/>
  <c r="BI114" i="4"/>
  <c r="BQ114" i="4"/>
  <c r="BY114" i="4"/>
  <c r="AK114" i="4"/>
  <c r="AT114" i="4"/>
  <c r="BB114" i="4"/>
  <c r="BJ114" i="4"/>
  <c r="BR114" i="4"/>
  <c r="BZ114" i="4"/>
  <c r="AL114" i="4"/>
  <c r="AU114" i="4"/>
  <c r="BC114" i="4"/>
  <c r="BK114" i="4"/>
  <c r="BS114" i="4"/>
  <c r="CA114" i="4"/>
  <c r="AN114" i="4"/>
  <c r="AV114" i="4"/>
  <c r="BD114" i="4"/>
  <c r="BL114" i="4"/>
  <c r="BT114" i="4"/>
  <c r="CB114" i="4"/>
  <c r="AF114" i="4"/>
  <c r="AO114" i="4"/>
  <c r="AW114" i="4"/>
  <c r="BE114" i="4"/>
  <c r="BM114" i="4"/>
  <c r="BU114" i="4"/>
  <c r="CC114" i="4"/>
  <c r="AG114" i="4"/>
  <c r="AP114" i="4"/>
  <c r="AX114" i="4"/>
  <c r="BF114" i="4"/>
  <c r="BN114" i="4"/>
  <c r="BV114" i="4"/>
  <c r="AB114" i="4"/>
  <c r="AC114" i="4"/>
  <c r="V114" i="4"/>
  <c r="AD114" i="4"/>
  <c r="W114" i="4"/>
  <c r="AE114" i="4"/>
  <c r="X114" i="4"/>
  <c r="Y114" i="4"/>
  <c r="Z114" i="4"/>
  <c r="AA114" i="4"/>
  <c r="R114" i="4"/>
  <c r="S114" i="4"/>
  <c r="T114" i="4"/>
  <c r="U114" i="4"/>
  <c r="Q114" i="4"/>
  <c r="B113" i="4"/>
  <c r="O113" i="4"/>
  <c r="H114" i="4"/>
  <c r="J114" i="4"/>
  <c r="E114" i="4"/>
  <c r="M114" i="4"/>
  <c r="C114" i="4"/>
  <c r="D114" i="4"/>
  <c r="K114" i="4"/>
  <c r="I114" i="4"/>
  <c r="L114" i="4"/>
  <c r="N114" i="4"/>
  <c r="F114" i="4"/>
  <c r="G114" i="4"/>
  <c r="P113" i="4"/>
  <c r="A115" i="4"/>
  <c r="AM115" i="4" s="1"/>
  <c r="BJ192" i="9"/>
  <c r="BJ144" i="9"/>
  <c r="BJ96" i="9"/>
  <c r="BJ186" i="9"/>
  <c r="BJ138" i="9"/>
  <c r="BJ90" i="9"/>
  <c r="BJ42" i="9"/>
  <c r="BJ207" i="9"/>
  <c r="BJ111" i="9"/>
  <c r="BJ36" i="9"/>
  <c r="BJ153" i="9"/>
  <c r="BJ63" i="9"/>
  <c r="BJ195" i="9"/>
  <c r="BJ99" i="9"/>
  <c r="BJ27" i="9"/>
  <c r="BJ24" i="9"/>
  <c r="BJ141" i="9"/>
  <c r="BJ39" i="9"/>
  <c r="BJ132" i="9"/>
  <c r="BJ174" i="9"/>
  <c r="BJ126" i="9"/>
  <c r="BJ30" i="9"/>
  <c r="BJ183" i="9"/>
  <c r="BJ21" i="9"/>
  <c r="BJ129" i="9"/>
  <c r="BJ48" i="9"/>
  <c r="BJ75" i="9"/>
  <c r="BJ12" i="9"/>
  <c r="BJ165" i="9"/>
  <c r="BJ3" i="9"/>
  <c r="BJ156" i="9"/>
  <c r="BJ198" i="9"/>
  <c r="BJ150" i="9"/>
  <c r="BJ6" i="9"/>
  <c r="BJ177" i="9"/>
  <c r="BJ93" i="9"/>
  <c r="BJ117" i="9"/>
  <c r="BJ180" i="9"/>
  <c r="BJ84" i="9"/>
  <c r="BJ78" i="9"/>
  <c r="BJ87" i="9"/>
  <c r="BJ171" i="9"/>
  <c r="BJ57" i="9"/>
  <c r="BJ204" i="9"/>
  <c r="BJ102" i="9"/>
  <c r="BJ51" i="9"/>
  <c r="BJ123" i="9"/>
  <c r="BK4" i="9"/>
  <c r="BJ216" i="9"/>
  <c r="BJ168" i="9"/>
  <c r="BJ120" i="9"/>
  <c r="BJ210" i="9"/>
  <c r="BJ162" i="9"/>
  <c r="BJ114" i="9"/>
  <c r="BJ66" i="9"/>
  <c r="BJ18" i="9"/>
  <c r="BJ159" i="9"/>
  <c r="BJ69" i="9"/>
  <c r="BJ201" i="9"/>
  <c r="BJ105" i="9"/>
  <c r="BJ33" i="9"/>
  <c r="BJ147" i="9"/>
  <c r="BJ60" i="9"/>
  <c r="BJ189" i="9"/>
  <c r="BJ72" i="9"/>
  <c r="BJ213" i="9"/>
  <c r="BJ2" i="9"/>
  <c r="BJ108" i="9"/>
  <c r="BJ54" i="9"/>
  <c r="BJ135" i="9"/>
  <c r="BJ81" i="9"/>
  <c r="BJ15" i="9"/>
  <c r="BJ45" i="9"/>
  <c r="BJ9" i="9"/>
  <c r="AG115" i="4" l="1"/>
  <c r="AP115" i="4"/>
  <c r="AX115" i="4"/>
  <c r="BF115" i="4"/>
  <c r="BN115" i="4"/>
  <c r="BV115" i="4"/>
  <c r="AH115" i="4"/>
  <c r="AQ115" i="4"/>
  <c r="AY115" i="4"/>
  <c r="BG115" i="4"/>
  <c r="BO115" i="4"/>
  <c r="BW115" i="4"/>
  <c r="AI115" i="4"/>
  <c r="AR115" i="4"/>
  <c r="AZ115" i="4"/>
  <c r="BH115" i="4"/>
  <c r="BP115" i="4"/>
  <c r="BX115" i="4"/>
  <c r="AJ115" i="4"/>
  <c r="AS115" i="4"/>
  <c r="BA115" i="4"/>
  <c r="BI115" i="4"/>
  <c r="BQ115" i="4"/>
  <c r="BY115" i="4"/>
  <c r="AK115" i="4"/>
  <c r="AT115" i="4"/>
  <c r="BB115" i="4"/>
  <c r="BJ115" i="4"/>
  <c r="BR115" i="4"/>
  <c r="BZ115" i="4"/>
  <c r="AL115" i="4"/>
  <c r="AU115" i="4"/>
  <c r="BC115" i="4"/>
  <c r="BK115" i="4"/>
  <c r="BS115" i="4"/>
  <c r="CA115" i="4"/>
  <c r="AN115" i="4"/>
  <c r="AV115" i="4"/>
  <c r="BD115" i="4"/>
  <c r="BL115" i="4"/>
  <c r="BT115" i="4"/>
  <c r="CB115" i="4"/>
  <c r="AO115" i="4"/>
  <c r="AW115" i="4"/>
  <c r="BE115" i="4"/>
  <c r="BM115" i="4"/>
  <c r="BU115" i="4"/>
  <c r="CC115" i="4"/>
  <c r="Z115" i="4"/>
  <c r="AF115" i="4"/>
  <c r="AA115" i="4"/>
  <c r="AB115" i="4"/>
  <c r="AC115" i="4"/>
  <c r="V115" i="4"/>
  <c r="AD115" i="4"/>
  <c r="W115" i="4"/>
  <c r="AE115" i="4"/>
  <c r="X115" i="4"/>
  <c r="Y115" i="4"/>
  <c r="U115" i="4"/>
  <c r="Q115" i="4"/>
  <c r="R115" i="4"/>
  <c r="T115" i="4"/>
  <c r="S115" i="4"/>
  <c r="B114" i="4"/>
  <c r="C115" i="4"/>
  <c r="K115" i="4"/>
  <c r="E115" i="4"/>
  <c r="M115" i="4"/>
  <c r="H115" i="4"/>
  <c r="D115" i="4"/>
  <c r="J115" i="4"/>
  <c r="F115" i="4"/>
  <c r="L115" i="4"/>
  <c r="I115" i="4"/>
  <c r="G115" i="4"/>
  <c r="N115" i="4"/>
  <c r="P114" i="4"/>
  <c r="O114" i="4"/>
  <c r="A116" i="4"/>
  <c r="AM116" i="4" s="1"/>
  <c r="BK183" i="9"/>
  <c r="BK135" i="9"/>
  <c r="BK87" i="9"/>
  <c r="BK39" i="9"/>
  <c r="BK201" i="9"/>
  <c r="BK153" i="9"/>
  <c r="BK105" i="9"/>
  <c r="BK57" i="9"/>
  <c r="BK9" i="9"/>
  <c r="BK138" i="9"/>
  <c r="BK42" i="9"/>
  <c r="BK156" i="9"/>
  <c r="BK60" i="9"/>
  <c r="BK174" i="9"/>
  <c r="BK78" i="9"/>
  <c r="BK168" i="9"/>
  <c r="BK216" i="9"/>
  <c r="BK96" i="9"/>
  <c r="BK63" i="9"/>
  <c r="BK177" i="9"/>
  <c r="BK81" i="9"/>
  <c r="BK90" i="9"/>
  <c r="BK108" i="9"/>
  <c r="BK126" i="9"/>
  <c r="BK144" i="9"/>
  <c r="BK2" i="9"/>
  <c r="BK195" i="9"/>
  <c r="BK99" i="9"/>
  <c r="BK51" i="9"/>
  <c r="BK213" i="9"/>
  <c r="BK117" i="9"/>
  <c r="BK21" i="9"/>
  <c r="BK66" i="9"/>
  <c r="BK84" i="9"/>
  <c r="BK102" i="9"/>
  <c r="BK48" i="9"/>
  <c r="BK192" i="9"/>
  <c r="BK171" i="9"/>
  <c r="BK123" i="9"/>
  <c r="BK75" i="9"/>
  <c r="BK27" i="9"/>
  <c r="BK189" i="9"/>
  <c r="BK141" i="9"/>
  <c r="BK93" i="9"/>
  <c r="BK45" i="9"/>
  <c r="BK210" i="9"/>
  <c r="BK114" i="9"/>
  <c r="BK18" i="9"/>
  <c r="BK132" i="9"/>
  <c r="BK36" i="9"/>
  <c r="BK150" i="9"/>
  <c r="BK54" i="9"/>
  <c r="BK72" i="9"/>
  <c r="BK120" i="9"/>
  <c r="BL4" i="9"/>
  <c r="BK207" i="9"/>
  <c r="BK159" i="9"/>
  <c r="BK111" i="9"/>
  <c r="BK15" i="9"/>
  <c r="BK129" i="9"/>
  <c r="BK33" i="9"/>
  <c r="BK186" i="9"/>
  <c r="BK204" i="9"/>
  <c r="BK12" i="9"/>
  <c r="BK30" i="9"/>
  <c r="BK24" i="9"/>
  <c r="BK147" i="9"/>
  <c r="BK165" i="9"/>
  <c r="BK69" i="9"/>
  <c r="BK162" i="9"/>
  <c r="BK180" i="9"/>
  <c r="BK198" i="9"/>
  <c r="BK6" i="9"/>
  <c r="BK3" i="9"/>
  <c r="AF116" i="4" l="1"/>
  <c r="AO116" i="4"/>
  <c r="AW116" i="4"/>
  <c r="BE116" i="4"/>
  <c r="BM116" i="4"/>
  <c r="BU116" i="4"/>
  <c r="CC116" i="4"/>
  <c r="AG116" i="4"/>
  <c r="AP116" i="4"/>
  <c r="AX116" i="4"/>
  <c r="BF116" i="4"/>
  <c r="BN116" i="4"/>
  <c r="BV116" i="4"/>
  <c r="AH116" i="4"/>
  <c r="AQ116" i="4"/>
  <c r="AY116" i="4"/>
  <c r="BG116" i="4"/>
  <c r="BO116" i="4"/>
  <c r="BW116" i="4"/>
  <c r="AI116" i="4"/>
  <c r="AR116" i="4"/>
  <c r="AZ116" i="4"/>
  <c r="BH116" i="4"/>
  <c r="BP116" i="4"/>
  <c r="BX116" i="4"/>
  <c r="AJ116" i="4"/>
  <c r="AS116" i="4"/>
  <c r="BA116" i="4"/>
  <c r="BI116" i="4"/>
  <c r="BQ116" i="4"/>
  <c r="BY116" i="4"/>
  <c r="AK116" i="4"/>
  <c r="AT116" i="4"/>
  <c r="BB116" i="4"/>
  <c r="BJ116" i="4"/>
  <c r="BR116" i="4"/>
  <c r="BZ116" i="4"/>
  <c r="AL116" i="4"/>
  <c r="AU116" i="4"/>
  <c r="BC116" i="4"/>
  <c r="BK116" i="4"/>
  <c r="BS116" i="4"/>
  <c r="CA116" i="4"/>
  <c r="BD116" i="4"/>
  <c r="BL116" i="4"/>
  <c r="BT116" i="4"/>
  <c r="CB116" i="4"/>
  <c r="AN116" i="4"/>
  <c r="X116" i="4"/>
  <c r="Y116" i="4"/>
  <c r="AV116" i="4"/>
  <c r="Z116" i="4"/>
  <c r="AA116" i="4"/>
  <c r="AB116" i="4"/>
  <c r="AC116" i="4"/>
  <c r="V116" i="4"/>
  <c r="AD116" i="4"/>
  <c r="W116" i="4"/>
  <c r="AE116" i="4"/>
  <c r="Q116" i="4"/>
  <c r="R116" i="4"/>
  <c r="S116" i="4"/>
  <c r="T116" i="4"/>
  <c r="U116" i="4"/>
  <c r="O115" i="4"/>
  <c r="F116" i="4"/>
  <c r="N116" i="4"/>
  <c r="H116" i="4"/>
  <c r="C116" i="4"/>
  <c r="K116" i="4"/>
  <c r="D116" i="4"/>
  <c r="J116" i="4"/>
  <c r="E116" i="4"/>
  <c r="G116" i="4"/>
  <c r="I116" i="4"/>
  <c r="L116" i="4"/>
  <c r="M116" i="4"/>
  <c r="P115" i="4"/>
  <c r="B115" i="4"/>
  <c r="A117" i="4"/>
  <c r="AM117" i="4" s="1"/>
  <c r="BL186" i="9"/>
  <c r="BL138" i="9"/>
  <c r="BL90" i="9"/>
  <c r="BL42" i="9"/>
  <c r="BL216" i="9"/>
  <c r="BL168" i="9"/>
  <c r="BL120" i="9"/>
  <c r="BL72" i="9"/>
  <c r="BL24" i="9"/>
  <c r="BL165" i="9"/>
  <c r="BL69" i="9"/>
  <c r="BL183" i="9"/>
  <c r="BL87" i="9"/>
  <c r="BL201" i="9"/>
  <c r="BL105" i="9"/>
  <c r="BL9" i="9"/>
  <c r="BL27" i="9"/>
  <c r="BL75" i="9"/>
  <c r="BL126" i="9"/>
  <c r="BL78" i="9"/>
  <c r="BL156" i="9"/>
  <c r="BL108" i="9"/>
  <c r="BL60" i="9"/>
  <c r="BL141" i="9"/>
  <c r="BL45" i="9"/>
  <c r="BL63" i="9"/>
  <c r="BL177" i="9"/>
  <c r="BL147" i="9"/>
  <c r="BL195" i="9"/>
  <c r="BL6" i="9"/>
  <c r="BL36" i="9"/>
  <c r="BL93" i="9"/>
  <c r="BL111" i="9"/>
  <c r="BL33" i="9"/>
  <c r="BL171" i="9"/>
  <c r="BL174" i="9"/>
  <c r="BL30" i="9"/>
  <c r="BL204" i="9"/>
  <c r="BL12" i="9"/>
  <c r="BL159" i="9"/>
  <c r="BL81" i="9"/>
  <c r="BL3" i="9"/>
  <c r="BL198" i="9"/>
  <c r="BL150" i="9"/>
  <c r="BL54" i="9"/>
  <c r="BL132" i="9"/>
  <c r="BL129" i="9"/>
  <c r="BL210" i="9"/>
  <c r="BL162" i="9"/>
  <c r="BL114" i="9"/>
  <c r="BL66" i="9"/>
  <c r="BL18" i="9"/>
  <c r="BL192" i="9"/>
  <c r="BL144" i="9"/>
  <c r="BL96" i="9"/>
  <c r="BL48" i="9"/>
  <c r="BL213" i="9"/>
  <c r="BL117" i="9"/>
  <c r="BL21" i="9"/>
  <c r="BL135" i="9"/>
  <c r="BL39" i="9"/>
  <c r="BL153" i="9"/>
  <c r="BL57" i="9"/>
  <c r="BL51" i="9"/>
  <c r="BL99" i="9"/>
  <c r="BL2" i="9"/>
  <c r="BL102" i="9"/>
  <c r="BL180" i="9"/>
  <c r="BL84" i="9"/>
  <c r="BL189" i="9"/>
  <c r="BL207" i="9"/>
  <c r="BL15" i="9"/>
  <c r="BL123" i="9"/>
  <c r="BM4" i="9"/>
  <c r="AN117" i="4" l="1"/>
  <c r="AV117" i="4"/>
  <c r="BD117" i="4"/>
  <c r="BL117" i="4"/>
  <c r="BT117" i="4"/>
  <c r="CB117" i="4"/>
  <c r="AF117" i="4"/>
  <c r="AO117" i="4"/>
  <c r="AW117" i="4"/>
  <c r="BE117" i="4"/>
  <c r="BM117" i="4"/>
  <c r="BU117" i="4"/>
  <c r="CC117" i="4"/>
  <c r="AG117" i="4"/>
  <c r="AP117" i="4"/>
  <c r="AX117" i="4"/>
  <c r="BF117" i="4"/>
  <c r="BN117" i="4"/>
  <c r="BV117" i="4"/>
  <c r="AH117" i="4"/>
  <c r="AQ117" i="4"/>
  <c r="AY117" i="4"/>
  <c r="BG117" i="4"/>
  <c r="BO117" i="4"/>
  <c r="BW117" i="4"/>
  <c r="AI117" i="4"/>
  <c r="AR117" i="4"/>
  <c r="AZ117" i="4"/>
  <c r="BH117" i="4"/>
  <c r="BP117" i="4"/>
  <c r="BX117" i="4"/>
  <c r="AK117" i="4"/>
  <c r="AT117" i="4"/>
  <c r="BB117" i="4"/>
  <c r="BJ117" i="4"/>
  <c r="BR117" i="4"/>
  <c r="BZ117" i="4"/>
  <c r="BA117" i="4"/>
  <c r="BC117" i="4"/>
  <c r="BI117" i="4"/>
  <c r="BK117" i="4"/>
  <c r="AJ117" i="4"/>
  <c r="BQ117" i="4"/>
  <c r="AL117" i="4"/>
  <c r="BS117" i="4"/>
  <c r="AS117" i="4"/>
  <c r="BY117" i="4"/>
  <c r="V117" i="4"/>
  <c r="AD117" i="4"/>
  <c r="W117" i="4"/>
  <c r="AE117" i="4"/>
  <c r="X117" i="4"/>
  <c r="AU117" i="4"/>
  <c r="Y117" i="4"/>
  <c r="CA117" i="4"/>
  <c r="Z117" i="4"/>
  <c r="AA117" i="4"/>
  <c r="AB117" i="4"/>
  <c r="AC117" i="4"/>
  <c r="S117" i="4"/>
  <c r="T117" i="4"/>
  <c r="U117" i="4"/>
  <c r="R117" i="4"/>
  <c r="Q117" i="4"/>
  <c r="H117" i="4"/>
  <c r="J117" i="4"/>
  <c r="E117" i="4"/>
  <c r="M117" i="4"/>
  <c r="N117" i="4"/>
  <c r="C117" i="4"/>
  <c r="I117" i="4"/>
  <c r="K117" i="4"/>
  <c r="L117" i="4"/>
  <c r="F117" i="4"/>
  <c r="D117" i="4"/>
  <c r="G117" i="4"/>
  <c r="O116" i="4"/>
  <c r="B116" i="4"/>
  <c r="P116" i="4"/>
  <c r="A118" i="4"/>
  <c r="AM118" i="4" s="1"/>
  <c r="BM189" i="9"/>
  <c r="BM141" i="9"/>
  <c r="BM93" i="9"/>
  <c r="BM45" i="9"/>
  <c r="BM210" i="9"/>
  <c r="BM162" i="9"/>
  <c r="BM114" i="9"/>
  <c r="BM66" i="9"/>
  <c r="BM18" i="9"/>
  <c r="BM183" i="9"/>
  <c r="BM135" i="9"/>
  <c r="BM87" i="9"/>
  <c r="BM39" i="9"/>
  <c r="BM144" i="9"/>
  <c r="BM132" i="9"/>
  <c r="BM168" i="9"/>
  <c r="BM60" i="9"/>
  <c r="BM108" i="9"/>
  <c r="BM129" i="9"/>
  <c r="BM81" i="9"/>
  <c r="BM198" i="9"/>
  <c r="BM150" i="9"/>
  <c r="BM54" i="9"/>
  <c r="BM6" i="9"/>
  <c r="BM171" i="9"/>
  <c r="BM75" i="9"/>
  <c r="BM27" i="9"/>
  <c r="BM96" i="9"/>
  <c r="BM120" i="9"/>
  <c r="BM204" i="9"/>
  <c r="BM2" i="9"/>
  <c r="BM201" i="9"/>
  <c r="BM153" i="9"/>
  <c r="BM105" i="9"/>
  <c r="BM9" i="9"/>
  <c r="BM174" i="9"/>
  <c r="BM78" i="9"/>
  <c r="BM195" i="9"/>
  <c r="BM192" i="9"/>
  <c r="BM24" i="9"/>
  <c r="BN4" i="9"/>
  <c r="BM177" i="9"/>
  <c r="BM33" i="9"/>
  <c r="BM102" i="9"/>
  <c r="BM123" i="9"/>
  <c r="BM84" i="9"/>
  <c r="BM213" i="9"/>
  <c r="BM165" i="9"/>
  <c r="BM117" i="9"/>
  <c r="BM69" i="9"/>
  <c r="BM21" i="9"/>
  <c r="BM186" i="9"/>
  <c r="BM138" i="9"/>
  <c r="BM90" i="9"/>
  <c r="BM42" i="9"/>
  <c r="BM207" i="9"/>
  <c r="BM159" i="9"/>
  <c r="BM111" i="9"/>
  <c r="BM63" i="9"/>
  <c r="BM15" i="9"/>
  <c r="BM48" i="9"/>
  <c r="BM36" i="9"/>
  <c r="BM72" i="9"/>
  <c r="BM12" i="9"/>
  <c r="BM3" i="9"/>
  <c r="BM57" i="9"/>
  <c r="BM126" i="9"/>
  <c r="BM30" i="9"/>
  <c r="BM147" i="9"/>
  <c r="BM99" i="9"/>
  <c r="BM51" i="9"/>
  <c r="BM180" i="9"/>
  <c r="BM216" i="9"/>
  <c r="BM156" i="9"/>
  <c r="AL118" i="4" l="1"/>
  <c r="AU118" i="4"/>
  <c r="BC118" i="4"/>
  <c r="BK118" i="4"/>
  <c r="BS118" i="4"/>
  <c r="CA118" i="4"/>
  <c r="AN118" i="4"/>
  <c r="AV118" i="4"/>
  <c r="BD118" i="4"/>
  <c r="BL118" i="4"/>
  <c r="BT118" i="4"/>
  <c r="CB118" i="4"/>
  <c r="AF118" i="4"/>
  <c r="AO118" i="4"/>
  <c r="AW118" i="4"/>
  <c r="BE118" i="4"/>
  <c r="BM118" i="4"/>
  <c r="BU118" i="4"/>
  <c r="CC118" i="4"/>
  <c r="AG118" i="4"/>
  <c r="AP118" i="4"/>
  <c r="AX118" i="4"/>
  <c r="BF118" i="4"/>
  <c r="BN118" i="4"/>
  <c r="BV118" i="4"/>
  <c r="AH118" i="4"/>
  <c r="AQ118" i="4"/>
  <c r="AY118" i="4"/>
  <c r="BG118" i="4"/>
  <c r="BO118" i="4"/>
  <c r="BW118" i="4"/>
  <c r="AJ118" i="4"/>
  <c r="AS118" i="4"/>
  <c r="BA118" i="4"/>
  <c r="BI118" i="4"/>
  <c r="BQ118" i="4"/>
  <c r="BY118" i="4"/>
  <c r="AI118" i="4"/>
  <c r="BP118" i="4"/>
  <c r="AK118" i="4"/>
  <c r="BR118" i="4"/>
  <c r="AR118" i="4"/>
  <c r="BX118" i="4"/>
  <c r="AT118" i="4"/>
  <c r="BZ118" i="4"/>
  <c r="AZ118" i="4"/>
  <c r="BB118" i="4"/>
  <c r="BH118" i="4"/>
  <c r="AB118" i="4"/>
  <c r="AC118" i="4"/>
  <c r="V118" i="4"/>
  <c r="AD118" i="4"/>
  <c r="W118" i="4"/>
  <c r="AE118" i="4"/>
  <c r="X118" i="4"/>
  <c r="BJ118" i="4"/>
  <c r="Y118" i="4"/>
  <c r="Z118" i="4"/>
  <c r="AA118" i="4"/>
  <c r="Q118" i="4"/>
  <c r="R118" i="4"/>
  <c r="S118" i="4"/>
  <c r="T118" i="4"/>
  <c r="U118" i="4"/>
  <c r="P117" i="4"/>
  <c r="D118" i="4"/>
  <c r="L118" i="4"/>
  <c r="F118" i="4"/>
  <c r="N118" i="4"/>
  <c r="I118" i="4"/>
  <c r="C118" i="4"/>
  <c r="J118" i="4"/>
  <c r="E118" i="4"/>
  <c r="G118" i="4"/>
  <c r="K118" i="4"/>
  <c r="M118" i="4"/>
  <c r="H118" i="4"/>
  <c r="B117" i="4"/>
  <c r="O117" i="4"/>
  <c r="A119" i="4"/>
  <c r="AM119" i="4" s="1"/>
  <c r="BN192" i="9"/>
  <c r="BN144" i="9"/>
  <c r="BN96" i="9"/>
  <c r="BN48" i="9"/>
  <c r="BN213" i="9"/>
  <c r="BN165" i="9"/>
  <c r="BN117" i="9"/>
  <c r="BN69" i="9"/>
  <c r="BN21" i="9"/>
  <c r="BN186" i="9"/>
  <c r="BN138" i="9"/>
  <c r="BN90" i="9"/>
  <c r="BN42" i="9"/>
  <c r="BN171" i="9"/>
  <c r="BN207" i="9"/>
  <c r="BN15" i="9"/>
  <c r="BN51" i="9"/>
  <c r="BN87" i="9"/>
  <c r="BN132" i="9"/>
  <c r="BN84" i="9"/>
  <c r="BN36" i="9"/>
  <c r="BN153" i="9"/>
  <c r="BN105" i="9"/>
  <c r="BN57" i="9"/>
  <c r="BN174" i="9"/>
  <c r="BN126" i="9"/>
  <c r="BN30" i="9"/>
  <c r="BN123" i="9"/>
  <c r="BN159" i="9"/>
  <c r="BN195" i="9"/>
  <c r="BN2" i="9"/>
  <c r="BN108" i="9"/>
  <c r="BN177" i="9"/>
  <c r="BN81" i="9"/>
  <c r="BN150" i="9"/>
  <c r="BN102" i="9"/>
  <c r="BN27" i="9"/>
  <c r="BN99" i="9"/>
  <c r="BN3" i="9"/>
  <c r="BN180" i="9"/>
  <c r="BN201" i="9"/>
  <c r="BN9" i="9"/>
  <c r="BN78" i="9"/>
  <c r="BN39" i="9"/>
  <c r="BN60" i="9"/>
  <c r="BN33" i="9"/>
  <c r="BN6" i="9"/>
  <c r="BN216" i="9"/>
  <c r="BN168" i="9"/>
  <c r="BN120" i="9"/>
  <c r="BN72" i="9"/>
  <c r="BN24" i="9"/>
  <c r="BN189" i="9"/>
  <c r="BN141" i="9"/>
  <c r="BN93" i="9"/>
  <c r="BN45" i="9"/>
  <c r="BN210" i="9"/>
  <c r="BN162" i="9"/>
  <c r="BN114" i="9"/>
  <c r="BN66" i="9"/>
  <c r="BN18" i="9"/>
  <c r="BN75" i="9"/>
  <c r="BN111" i="9"/>
  <c r="BN147" i="9"/>
  <c r="BN183" i="9"/>
  <c r="BO4" i="9"/>
  <c r="BN204" i="9"/>
  <c r="BN156" i="9"/>
  <c r="BN12" i="9"/>
  <c r="BN129" i="9"/>
  <c r="BN198" i="9"/>
  <c r="BN54" i="9"/>
  <c r="BN63" i="9"/>
  <c r="BN135" i="9"/>
  <c r="AK119" i="4" l="1"/>
  <c r="AT119" i="4"/>
  <c r="BB119" i="4"/>
  <c r="BJ119" i="4"/>
  <c r="BR119" i="4"/>
  <c r="BZ119" i="4"/>
  <c r="AL119" i="4"/>
  <c r="AU119" i="4"/>
  <c r="BC119" i="4"/>
  <c r="BK119" i="4"/>
  <c r="BS119" i="4"/>
  <c r="CA119" i="4"/>
  <c r="AN119" i="4"/>
  <c r="AV119" i="4"/>
  <c r="BD119" i="4"/>
  <c r="BL119" i="4"/>
  <c r="BT119" i="4"/>
  <c r="CB119" i="4"/>
  <c r="AF119" i="4"/>
  <c r="AO119" i="4"/>
  <c r="AW119" i="4"/>
  <c r="BE119" i="4"/>
  <c r="BM119" i="4"/>
  <c r="BU119" i="4"/>
  <c r="CC119" i="4"/>
  <c r="AG119" i="4"/>
  <c r="AP119" i="4"/>
  <c r="AX119" i="4"/>
  <c r="BF119" i="4"/>
  <c r="BN119" i="4"/>
  <c r="BV119" i="4"/>
  <c r="AI119" i="4"/>
  <c r="AR119" i="4"/>
  <c r="AZ119" i="4"/>
  <c r="BH119" i="4"/>
  <c r="BP119" i="4"/>
  <c r="BX119" i="4"/>
  <c r="AY119" i="4"/>
  <c r="BA119" i="4"/>
  <c r="BG119" i="4"/>
  <c r="BI119" i="4"/>
  <c r="AH119" i="4"/>
  <c r="BO119" i="4"/>
  <c r="AJ119" i="4"/>
  <c r="BQ119" i="4"/>
  <c r="AQ119" i="4"/>
  <c r="BW119" i="4"/>
  <c r="Z119" i="4"/>
  <c r="AA119" i="4"/>
  <c r="AB119" i="4"/>
  <c r="AC119" i="4"/>
  <c r="V119" i="4"/>
  <c r="AD119" i="4"/>
  <c r="W119" i="4"/>
  <c r="AE119" i="4"/>
  <c r="AS119" i="4"/>
  <c r="X119" i="4"/>
  <c r="BY119" i="4"/>
  <c r="Y119" i="4"/>
  <c r="Q119" i="4"/>
  <c r="R119" i="4"/>
  <c r="S119" i="4"/>
  <c r="T119" i="4"/>
  <c r="U119" i="4"/>
  <c r="B118" i="4"/>
  <c r="H119" i="4"/>
  <c r="J119" i="4"/>
  <c r="E119" i="4"/>
  <c r="M119" i="4"/>
  <c r="C119" i="4"/>
  <c r="D119" i="4"/>
  <c r="K119" i="4"/>
  <c r="G119" i="4"/>
  <c r="I119" i="4"/>
  <c r="L119" i="4"/>
  <c r="N119" i="4"/>
  <c r="F119" i="4"/>
  <c r="O118" i="4"/>
  <c r="P118" i="4"/>
  <c r="A120" i="4"/>
  <c r="AM120" i="4" s="1"/>
  <c r="BO183" i="9"/>
  <c r="BO135" i="9"/>
  <c r="BO87" i="9"/>
  <c r="BO39" i="9"/>
  <c r="BO204" i="9"/>
  <c r="BO156" i="9"/>
  <c r="BO108" i="9"/>
  <c r="BO60" i="9"/>
  <c r="BO12" i="9"/>
  <c r="BO177" i="9"/>
  <c r="BO129" i="9"/>
  <c r="BO81" i="9"/>
  <c r="BO33" i="9"/>
  <c r="BO150" i="9"/>
  <c r="BO186" i="9"/>
  <c r="BO174" i="9"/>
  <c r="BO210" i="9"/>
  <c r="BO66" i="9"/>
  <c r="BO171" i="9"/>
  <c r="BO123" i="9"/>
  <c r="BO75" i="9"/>
  <c r="BO27" i="9"/>
  <c r="BO192" i="9"/>
  <c r="BO144" i="9"/>
  <c r="BO96" i="9"/>
  <c r="BO48" i="9"/>
  <c r="BO213" i="9"/>
  <c r="BO165" i="9"/>
  <c r="BO117" i="9"/>
  <c r="BO69" i="9"/>
  <c r="BO21" i="9"/>
  <c r="BO102" i="9"/>
  <c r="BO138" i="9"/>
  <c r="BO126" i="9"/>
  <c r="BO18" i="9"/>
  <c r="BP4" i="9"/>
  <c r="BO198" i="9"/>
  <c r="BO42" i="9"/>
  <c r="BO30" i="9"/>
  <c r="BO3" i="9"/>
  <c r="BO207" i="9"/>
  <c r="BO159" i="9"/>
  <c r="BO111" i="9"/>
  <c r="BO63" i="9"/>
  <c r="BO15" i="9"/>
  <c r="BO180" i="9"/>
  <c r="BO132" i="9"/>
  <c r="BO84" i="9"/>
  <c r="BO36" i="9"/>
  <c r="BO201" i="9"/>
  <c r="BO153" i="9"/>
  <c r="BO105" i="9"/>
  <c r="BO57" i="9"/>
  <c r="BO9" i="9"/>
  <c r="BO54" i="9"/>
  <c r="BO90" i="9"/>
  <c r="BO78" i="9"/>
  <c r="BO162" i="9"/>
  <c r="BO2" i="9"/>
  <c r="BO195" i="9"/>
  <c r="BO147" i="9"/>
  <c r="BO99" i="9"/>
  <c r="BO51" i="9"/>
  <c r="BO216" i="9"/>
  <c r="BO168" i="9"/>
  <c r="BO120" i="9"/>
  <c r="BO72" i="9"/>
  <c r="BO24" i="9"/>
  <c r="BO189" i="9"/>
  <c r="BO141" i="9"/>
  <c r="BO93" i="9"/>
  <c r="BO45" i="9"/>
  <c r="BO6" i="9"/>
  <c r="BO114" i="9"/>
  <c r="AJ120" i="4" l="1"/>
  <c r="AS120" i="4"/>
  <c r="BA120" i="4"/>
  <c r="BI120" i="4"/>
  <c r="BQ120" i="4"/>
  <c r="BY120" i="4"/>
  <c r="AK120" i="4"/>
  <c r="AT120" i="4"/>
  <c r="BB120" i="4"/>
  <c r="BJ120" i="4"/>
  <c r="BR120" i="4"/>
  <c r="BZ120" i="4"/>
  <c r="AL120" i="4"/>
  <c r="AU120" i="4"/>
  <c r="BC120" i="4"/>
  <c r="BK120" i="4"/>
  <c r="BS120" i="4"/>
  <c r="CA120" i="4"/>
  <c r="AN120" i="4"/>
  <c r="AV120" i="4"/>
  <c r="BD120" i="4"/>
  <c r="BL120" i="4"/>
  <c r="BT120" i="4"/>
  <c r="CB120" i="4"/>
  <c r="AF120" i="4"/>
  <c r="AO120" i="4"/>
  <c r="AW120" i="4"/>
  <c r="BE120" i="4"/>
  <c r="BM120" i="4"/>
  <c r="BU120" i="4"/>
  <c r="CC120" i="4"/>
  <c r="AH120" i="4"/>
  <c r="AQ120" i="4"/>
  <c r="AY120" i="4"/>
  <c r="AG120" i="4"/>
  <c r="BH120" i="4"/>
  <c r="AI120" i="4"/>
  <c r="BN120" i="4"/>
  <c r="AP120" i="4"/>
  <c r="BO120" i="4"/>
  <c r="AR120" i="4"/>
  <c r="BP120" i="4"/>
  <c r="AX120" i="4"/>
  <c r="BV120" i="4"/>
  <c r="AZ120" i="4"/>
  <c r="BW120" i="4"/>
  <c r="BF120" i="4"/>
  <c r="BX120" i="4"/>
  <c r="BG120" i="4"/>
  <c r="X120" i="4"/>
  <c r="Y120" i="4"/>
  <c r="Z120" i="4"/>
  <c r="AA120" i="4"/>
  <c r="AB120" i="4"/>
  <c r="AC120" i="4"/>
  <c r="V120" i="4"/>
  <c r="AD120" i="4"/>
  <c r="W120" i="4"/>
  <c r="AE120" i="4"/>
  <c r="T120" i="4"/>
  <c r="U120" i="4"/>
  <c r="Q120" i="4"/>
  <c r="S120" i="4"/>
  <c r="R120" i="4"/>
  <c r="P119" i="4"/>
  <c r="C120" i="4"/>
  <c r="K120" i="4"/>
  <c r="E120" i="4"/>
  <c r="M120" i="4"/>
  <c r="H120" i="4"/>
  <c r="D120" i="4"/>
  <c r="J120" i="4"/>
  <c r="N120" i="4"/>
  <c r="G120" i="4"/>
  <c r="I120" i="4"/>
  <c r="F120" i="4"/>
  <c r="L120" i="4"/>
  <c r="B119" i="4"/>
  <c r="O119" i="4"/>
  <c r="A121" i="4"/>
  <c r="AM121" i="4" s="1"/>
  <c r="BP186" i="9"/>
  <c r="BP138" i="9"/>
  <c r="BP90" i="9"/>
  <c r="BP42" i="9"/>
  <c r="BP207" i="9"/>
  <c r="BP159" i="9"/>
  <c r="BP111" i="9"/>
  <c r="BP63" i="9"/>
  <c r="BP15" i="9"/>
  <c r="BP180" i="9"/>
  <c r="BP132" i="9"/>
  <c r="BP84" i="9"/>
  <c r="BP36" i="9"/>
  <c r="BP129" i="9"/>
  <c r="BP165" i="9"/>
  <c r="BP201" i="9"/>
  <c r="BP9" i="9"/>
  <c r="BP45" i="9"/>
  <c r="BP189" i="9"/>
  <c r="BP210" i="9"/>
  <c r="BP114" i="9"/>
  <c r="BP18" i="9"/>
  <c r="BP135" i="9"/>
  <c r="BP39" i="9"/>
  <c r="BP156" i="9"/>
  <c r="BP60" i="9"/>
  <c r="BP33" i="9"/>
  <c r="BP141" i="9"/>
  <c r="BP150" i="9"/>
  <c r="BP54" i="9"/>
  <c r="BP171" i="9"/>
  <c r="BP123" i="9"/>
  <c r="BP27" i="9"/>
  <c r="BP144" i="9"/>
  <c r="BP48" i="9"/>
  <c r="BP213" i="9"/>
  <c r="BP21" i="9"/>
  <c r="BP93" i="9"/>
  <c r="BP174" i="9"/>
  <c r="BP126" i="9"/>
  <c r="BP78" i="9"/>
  <c r="BP30" i="9"/>
  <c r="BP195" i="9"/>
  <c r="BP147" i="9"/>
  <c r="BP99" i="9"/>
  <c r="BP51" i="9"/>
  <c r="BP216" i="9"/>
  <c r="BP168" i="9"/>
  <c r="BP120" i="9"/>
  <c r="BP72" i="9"/>
  <c r="BP24" i="9"/>
  <c r="BP81" i="9"/>
  <c r="BP117" i="9"/>
  <c r="BP153" i="9"/>
  <c r="BP3" i="9"/>
  <c r="BP162" i="9"/>
  <c r="BP66" i="9"/>
  <c r="BP183" i="9"/>
  <c r="BP87" i="9"/>
  <c r="BP204" i="9"/>
  <c r="BP108" i="9"/>
  <c r="BP12" i="9"/>
  <c r="BP69" i="9"/>
  <c r="BP105" i="9"/>
  <c r="BP2" i="9"/>
  <c r="BP198" i="9"/>
  <c r="BP102" i="9"/>
  <c r="BP6" i="9"/>
  <c r="BP75" i="9"/>
  <c r="BP192" i="9"/>
  <c r="BP96" i="9"/>
  <c r="BP177" i="9"/>
  <c r="BP57" i="9"/>
  <c r="BQ4" i="9"/>
  <c r="AI121" i="4" l="1"/>
  <c r="AR121" i="4"/>
  <c r="AZ121" i="4"/>
  <c r="BH121" i="4"/>
  <c r="BP121" i="4"/>
  <c r="BX121" i="4"/>
  <c r="AJ121" i="4"/>
  <c r="AS121" i="4"/>
  <c r="BA121" i="4"/>
  <c r="BI121" i="4"/>
  <c r="BQ121" i="4"/>
  <c r="BY121" i="4"/>
  <c r="AK121" i="4"/>
  <c r="AT121" i="4"/>
  <c r="BB121" i="4"/>
  <c r="BJ121" i="4"/>
  <c r="BR121" i="4"/>
  <c r="BZ121" i="4"/>
  <c r="AL121" i="4"/>
  <c r="AU121" i="4"/>
  <c r="BC121" i="4"/>
  <c r="BK121" i="4"/>
  <c r="BS121" i="4"/>
  <c r="CA121" i="4"/>
  <c r="AN121" i="4"/>
  <c r="AV121" i="4"/>
  <c r="BD121" i="4"/>
  <c r="BL121" i="4"/>
  <c r="BT121" i="4"/>
  <c r="CB121" i="4"/>
  <c r="AG121" i="4"/>
  <c r="BE121" i="4"/>
  <c r="BW121" i="4"/>
  <c r="AH121" i="4"/>
  <c r="BF121" i="4"/>
  <c r="CC121" i="4"/>
  <c r="AO121" i="4"/>
  <c r="BG121" i="4"/>
  <c r="AP121" i="4"/>
  <c r="BM121" i="4"/>
  <c r="AQ121" i="4"/>
  <c r="BN121" i="4"/>
  <c r="AW121" i="4"/>
  <c r="BO121" i="4"/>
  <c r="AX121" i="4"/>
  <c r="BU121" i="4"/>
  <c r="V121" i="4"/>
  <c r="AD121" i="4"/>
  <c r="AF121" i="4"/>
  <c r="W121" i="4"/>
  <c r="AE121" i="4"/>
  <c r="AY121" i="4"/>
  <c r="X121" i="4"/>
  <c r="BV121" i="4"/>
  <c r="Y121" i="4"/>
  <c r="Z121" i="4"/>
  <c r="AA121" i="4"/>
  <c r="AB121" i="4"/>
  <c r="AC121" i="4"/>
  <c r="Q121" i="4"/>
  <c r="R121" i="4"/>
  <c r="S121" i="4"/>
  <c r="T121" i="4"/>
  <c r="U121" i="4"/>
  <c r="O120" i="4"/>
  <c r="B120" i="4"/>
  <c r="G121" i="4"/>
  <c r="I121" i="4"/>
  <c r="D121" i="4"/>
  <c r="L121" i="4"/>
  <c r="C121" i="4"/>
  <c r="E121" i="4"/>
  <c r="K121" i="4"/>
  <c r="F121" i="4"/>
  <c r="H121" i="4"/>
  <c r="J121" i="4"/>
  <c r="M121" i="4"/>
  <c r="N121" i="4"/>
  <c r="P120" i="4"/>
  <c r="A122" i="4"/>
  <c r="AM122" i="4" s="1"/>
  <c r="BQ189" i="9"/>
  <c r="BQ141" i="9"/>
  <c r="BQ93" i="9"/>
  <c r="BQ45" i="9"/>
  <c r="BQ210" i="9"/>
  <c r="BQ162" i="9"/>
  <c r="BQ114" i="9"/>
  <c r="BQ66" i="9"/>
  <c r="BQ18" i="9"/>
  <c r="BQ183" i="9"/>
  <c r="BQ135" i="9"/>
  <c r="BQ87" i="9"/>
  <c r="BQ39" i="9"/>
  <c r="BQ156" i="9"/>
  <c r="BQ192" i="9"/>
  <c r="BQ180" i="9"/>
  <c r="BQ168" i="9"/>
  <c r="BQ24" i="9"/>
  <c r="BQ2" i="9"/>
  <c r="BQ213" i="9"/>
  <c r="BQ165" i="9"/>
  <c r="BQ117" i="9"/>
  <c r="BQ69" i="9"/>
  <c r="BQ21" i="9"/>
  <c r="BQ186" i="9"/>
  <c r="BQ138" i="9"/>
  <c r="BQ90" i="9"/>
  <c r="BQ42" i="9"/>
  <c r="BQ159" i="9"/>
  <c r="BQ111" i="9"/>
  <c r="BQ63" i="9"/>
  <c r="BQ15" i="9"/>
  <c r="BQ60" i="9"/>
  <c r="BQ84" i="9"/>
  <c r="BQ72" i="9"/>
  <c r="BQ201" i="9"/>
  <c r="BQ153" i="9"/>
  <c r="BQ177" i="9"/>
  <c r="BQ129" i="9"/>
  <c r="BQ81" i="9"/>
  <c r="BQ33" i="9"/>
  <c r="BQ198" i="9"/>
  <c r="BQ150" i="9"/>
  <c r="BQ102" i="9"/>
  <c r="BQ54" i="9"/>
  <c r="BQ6" i="9"/>
  <c r="BQ171" i="9"/>
  <c r="BQ123" i="9"/>
  <c r="BQ75" i="9"/>
  <c r="BQ27" i="9"/>
  <c r="BQ108" i="9"/>
  <c r="BQ144" i="9"/>
  <c r="BQ132" i="9"/>
  <c r="BQ120" i="9"/>
  <c r="BQ207" i="9"/>
  <c r="BQ96" i="9"/>
  <c r="BQ3" i="9"/>
  <c r="BQ105" i="9"/>
  <c r="BQ57" i="9"/>
  <c r="BQ9" i="9"/>
  <c r="BQ174" i="9"/>
  <c r="BQ126" i="9"/>
  <c r="BQ78" i="9"/>
  <c r="BQ30" i="9"/>
  <c r="BQ195" i="9"/>
  <c r="BQ147" i="9"/>
  <c r="BQ99" i="9"/>
  <c r="BQ51" i="9"/>
  <c r="BQ204" i="9"/>
  <c r="BQ12" i="9"/>
  <c r="BQ48" i="9"/>
  <c r="BQ36" i="9"/>
  <c r="BQ216" i="9"/>
  <c r="BR4" i="9"/>
  <c r="BS4" i="9" s="1"/>
  <c r="AH122" i="4" l="1"/>
  <c r="AQ122" i="4"/>
  <c r="AY122" i="4"/>
  <c r="BG122" i="4"/>
  <c r="BO122" i="4"/>
  <c r="BW122" i="4"/>
  <c r="AI122" i="4"/>
  <c r="AR122" i="4"/>
  <c r="AZ122" i="4"/>
  <c r="BH122" i="4"/>
  <c r="BP122" i="4"/>
  <c r="BX122" i="4"/>
  <c r="AJ122" i="4"/>
  <c r="AS122" i="4"/>
  <c r="BA122" i="4"/>
  <c r="BI122" i="4"/>
  <c r="BQ122" i="4"/>
  <c r="BY122" i="4"/>
  <c r="AK122" i="4"/>
  <c r="AT122" i="4"/>
  <c r="BB122" i="4"/>
  <c r="BJ122" i="4"/>
  <c r="BR122" i="4"/>
  <c r="BZ122" i="4"/>
  <c r="AL122" i="4"/>
  <c r="AU122" i="4"/>
  <c r="BC122" i="4"/>
  <c r="BK122" i="4"/>
  <c r="BS122" i="4"/>
  <c r="CA122" i="4"/>
  <c r="AW122" i="4"/>
  <c r="BT122" i="4"/>
  <c r="AX122" i="4"/>
  <c r="BU122" i="4"/>
  <c r="AF122" i="4"/>
  <c r="BD122" i="4"/>
  <c r="BV122" i="4"/>
  <c r="AG122" i="4"/>
  <c r="BE122" i="4"/>
  <c r="CB122" i="4"/>
  <c r="AN122" i="4"/>
  <c r="BF122" i="4"/>
  <c r="CC122" i="4"/>
  <c r="AO122" i="4"/>
  <c r="BL122" i="4"/>
  <c r="AP122" i="4"/>
  <c r="BM122" i="4"/>
  <c r="AB122" i="4"/>
  <c r="AC122" i="4"/>
  <c r="V122" i="4"/>
  <c r="AD122" i="4"/>
  <c r="W122" i="4"/>
  <c r="AE122" i="4"/>
  <c r="AV122" i="4"/>
  <c r="X122" i="4"/>
  <c r="BN122" i="4"/>
  <c r="Y122" i="4"/>
  <c r="Z122" i="4"/>
  <c r="AA122" i="4"/>
  <c r="R122" i="4"/>
  <c r="S122" i="4"/>
  <c r="T122" i="4"/>
  <c r="U122" i="4"/>
  <c r="Q122" i="4"/>
  <c r="B121" i="4"/>
  <c r="P121" i="4"/>
  <c r="C122" i="4"/>
  <c r="K122" i="4"/>
  <c r="E122" i="4"/>
  <c r="M122" i="4"/>
  <c r="H122" i="4"/>
  <c r="D122" i="4"/>
  <c r="F122" i="4"/>
  <c r="L122" i="4"/>
  <c r="J122" i="4"/>
  <c r="N122" i="4"/>
  <c r="G122" i="4"/>
  <c r="I122" i="4"/>
  <c r="O121" i="4"/>
  <c r="A123" i="4"/>
  <c r="AM123" i="4" s="1"/>
  <c r="BS2" i="9"/>
  <c r="BS9" i="9"/>
  <c r="BS6" i="9"/>
  <c r="BS18" i="9"/>
  <c r="BS15" i="9"/>
  <c r="BS24" i="9"/>
  <c r="BS39" i="9"/>
  <c r="BS21" i="9"/>
  <c r="BS27" i="9"/>
  <c r="BS36" i="9"/>
  <c r="BS48" i="9"/>
  <c r="BS33" i="9"/>
  <c r="BS54" i="9"/>
  <c r="BS30" i="9"/>
  <c r="BS51" i="9"/>
  <c r="BS63" i="9"/>
  <c r="BS12" i="9"/>
  <c r="BS60" i="9"/>
  <c r="BS75" i="9"/>
  <c r="BS87" i="9"/>
  <c r="BS99" i="9"/>
  <c r="BS111" i="9"/>
  <c r="BS3" i="9"/>
  <c r="BS57" i="9"/>
  <c r="BS72" i="9"/>
  <c r="BS84" i="9"/>
  <c r="BS96" i="9"/>
  <c r="BS108" i="9"/>
  <c r="BS69" i="9"/>
  <c r="BS93" i="9"/>
  <c r="BS117" i="9"/>
  <c r="BS129" i="9"/>
  <c r="BS141" i="9"/>
  <c r="BT4" i="9"/>
  <c r="BS66" i="9"/>
  <c r="BS90" i="9"/>
  <c r="BS114" i="9"/>
  <c r="BS126" i="9"/>
  <c r="BS138" i="9"/>
  <c r="BS81" i="9"/>
  <c r="BS135" i="9"/>
  <c r="BS153" i="9"/>
  <c r="BS165" i="9"/>
  <c r="BS177" i="9"/>
  <c r="BS78" i="9"/>
  <c r="BS132" i="9"/>
  <c r="BS150" i="9"/>
  <c r="BS162" i="9"/>
  <c r="BS174" i="9"/>
  <c r="BS186" i="9"/>
  <c r="BS198" i="9"/>
  <c r="BS210" i="9"/>
  <c r="BS147" i="9"/>
  <c r="BS159" i="9"/>
  <c r="BS45" i="9"/>
  <c r="BS105" i="9"/>
  <c r="BS123" i="9"/>
  <c r="BS102" i="9"/>
  <c r="BS171" i="9"/>
  <c r="BS192" i="9"/>
  <c r="BS207" i="9"/>
  <c r="BS168" i="9"/>
  <c r="BS189" i="9"/>
  <c r="BS204" i="9"/>
  <c r="BS144" i="9"/>
  <c r="BS156" i="9"/>
  <c r="BS183" i="9"/>
  <c r="BS201" i="9"/>
  <c r="BS216" i="9"/>
  <c r="BS42" i="9"/>
  <c r="BS120" i="9"/>
  <c r="BS180" i="9"/>
  <c r="BS195" i="9"/>
  <c r="BS213" i="9"/>
  <c r="BR192" i="9"/>
  <c r="BR144" i="9"/>
  <c r="BR96" i="9"/>
  <c r="BR48" i="9"/>
  <c r="BR213" i="9"/>
  <c r="BR165" i="9"/>
  <c r="BR117" i="9"/>
  <c r="BR69" i="9"/>
  <c r="BR21" i="9"/>
  <c r="BR186" i="9"/>
  <c r="BR138" i="9"/>
  <c r="BR90" i="9"/>
  <c r="BR42" i="9"/>
  <c r="BR183" i="9"/>
  <c r="BR171" i="9"/>
  <c r="BR207" i="9"/>
  <c r="BR15" i="9"/>
  <c r="BR195" i="9"/>
  <c r="BR9" i="9"/>
  <c r="BR126" i="9"/>
  <c r="BR30" i="9"/>
  <c r="BR123" i="9"/>
  <c r="BR159" i="9"/>
  <c r="BR2" i="9"/>
  <c r="BR216" i="9"/>
  <c r="BR168" i="9"/>
  <c r="BR120" i="9"/>
  <c r="BR72" i="9"/>
  <c r="BR189" i="9"/>
  <c r="BR141" i="9"/>
  <c r="BR45" i="9"/>
  <c r="BR162" i="9"/>
  <c r="BR66" i="9"/>
  <c r="BR87" i="9"/>
  <c r="BR111" i="9"/>
  <c r="BR3" i="9"/>
  <c r="BR156" i="9"/>
  <c r="BR12" i="9"/>
  <c r="BR129" i="9"/>
  <c r="BR33" i="9"/>
  <c r="BR150" i="9"/>
  <c r="BR54" i="9"/>
  <c r="BR39" i="9"/>
  <c r="BR63" i="9"/>
  <c r="BR180" i="9"/>
  <c r="BR132" i="9"/>
  <c r="BR84" i="9"/>
  <c r="BR36" i="9"/>
  <c r="BR201" i="9"/>
  <c r="BR153" i="9"/>
  <c r="BR105" i="9"/>
  <c r="BR57" i="9"/>
  <c r="BR174" i="9"/>
  <c r="BR78" i="9"/>
  <c r="BR135" i="9"/>
  <c r="BR147" i="9"/>
  <c r="BR24" i="9"/>
  <c r="BR93" i="9"/>
  <c r="BR210" i="9"/>
  <c r="BR114" i="9"/>
  <c r="BR18" i="9"/>
  <c r="BR75" i="9"/>
  <c r="BR99" i="9"/>
  <c r="BR204" i="9"/>
  <c r="BR108" i="9"/>
  <c r="BR60" i="9"/>
  <c r="BR177" i="9"/>
  <c r="BR81" i="9"/>
  <c r="BR198" i="9"/>
  <c r="BR102" i="9"/>
  <c r="BR6" i="9"/>
  <c r="BR27" i="9"/>
  <c r="BR51" i="9"/>
  <c r="AG123" i="4" l="1"/>
  <c r="AP123" i="4"/>
  <c r="AX123" i="4"/>
  <c r="BF123" i="4"/>
  <c r="BN123" i="4"/>
  <c r="BV123" i="4"/>
  <c r="AH123" i="4"/>
  <c r="AQ123" i="4"/>
  <c r="AY123" i="4"/>
  <c r="BG123" i="4"/>
  <c r="BO123" i="4"/>
  <c r="BW123" i="4"/>
  <c r="AI123" i="4"/>
  <c r="AR123" i="4"/>
  <c r="AZ123" i="4"/>
  <c r="BH123" i="4"/>
  <c r="BP123" i="4"/>
  <c r="BX123" i="4"/>
  <c r="AJ123" i="4"/>
  <c r="AS123" i="4"/>
  <c r="BA123" i="4"/>
  <c r="BI123" i="4"/>
  <c r="BQ123" i="4"/>
  <c r="BY123" i="4"/>
  <c r="AK123" i="4"/>
  <c r="AT123" i="4"/>
  <c r="BB123" i="4"/>
  <c r="BJ123" i="4"/>
  <c r="BR123" i="4"/>
  <c r="BZ123" i="4"/>
  <c r="AO123" i="4"/>
  <c r="BL123" i="4"/>
  <c r="AU123" i="4"/>
  <c r="BM123" i="4"/>
  <c r="AV123" i="4"/>
  <c r="BS123" i="4"/>
  <c r="AW123" i="4"/>
  <c r="BT123" i="4"/>
  <c r="BC123" i="4"/>
  <c r="BU123" i="4"/>
  <c r="AF123" i="4"/>
  <c r="BD123" i="4"/>
  <c r="CA123" i="4"/>
  <c r="AL123" i="4"/>
  <c r="BE123" i="4"/>
  <c r="CB123" i="4"/>
  <c r="CC123" i="4"/>
  <c r="Z123" i="4"/>
  <c r="AA123" i="4"/>
  <c r="AB123" i="4"/>
  <c r="AC123" i="4"/>
  <c r="V123" i="4"/>
  <c r="AD123" i="4"/>
  <c r="W123" i="4"/>
  <c r="AE123" i="4"/>
  <c r="AN123" i="4"/>
  <c r="X123" i="4"/>
  <c r="BK123" i="4"/>
  <c r="Y123" i="4"/>
  <c r="U123" i="4"/>
  <c r="Q123" i="4"/>
  <c r="R123" i="4"/>
  <c r="S123" i="4"/>
  <c r="T123" i="4"/>
  <c r="B122" i="4"/>
  <c r="O122" i="4"/>
  <c r="P122" i="4"/>
  <c r="E123" i="4"/>
  <c r="M123" i="4"/>
  <c r="G123" i="4"/>
  <c r="J123" i="4"/>
  <c r="C123" i="4"/>
  <c r="D123" i="4"/>
  <c r="K123" i="4"/>
  <c r="F123" i="4"/>
  <c r="I123" i="4"/>
  <c r="L123" i="4"/>
  <c r="H123" i="4"/>
  <c r="N123" i="4"/>
  <c r="A124" i="4"/>
  <c r="AM124" i="4" s="1"/>
  <c r="BT3" i="9"/>
  <c r="BU4" i="9"/>
  <c r="BT12" i="9"/>
  <c r="BT2" i="9"/>
  <c r="BT9" i="9"/>
  <c r="BT6" i="9"/>
  <c r="BT21" i="9"/>
  <c r="BT18" i="9"/>
  <c r="BT30" i="9"/>
  <c r="BT42" i="9"/>
  <c r="BT24" i="9"/>
  <c r="BT39" i="9"/>
  <c r="BT36" i="9"/>
  <c r="BT57" i="9"/>
  <c r="BT33" i="9"/>
  <c r="BT54" i="9"/>
  <c r="BT27" i="9"/>
  <c r="BT63" i="9"/>
  <c r="BT66" i="9"/>
  <c r="BT78" i="9"/>
  <c r="BT90" i="9"/>
  <c r="BT102" i="9"/>
  <c r="BT114" i="9"/>
  <c r="BT60" i="9"/>
  <c r="BT75" i="9"/>
  <c r="BT87" i="9"/>
  <c r="BT99" i="9"/>
  <c r="BT111" i="9"/>
  <c r="BT72" i="9"/>
  <c r="BT96" i="9"/>
  <c r="BT120" i="9"/>
  <c r="BT132" i="9"/>
  <c r="BT144" i="9"/>
  <c r="BT69" i="9"/>
  <c r="BT93" i="9"/>
  <c r="BT117" i="9"/>
  <c r="BT129" i="9"/>
  <c r="BT141" i="9"/>
  <c r="BT51" i="9"/>
  <c r="BT84" i="9"/>
  <c r="BT138" i="9"/>
  <c r="BT156" i="9"/>
  <c r="BT168" i="9"/>
  <c r="BT180" i="9"/>
  <c r="BT81" i="9"/>
  <c r="BT135" i="9"/>
  <c r="BT153" i="9"/>
  <c r="BT165" i="9"/>
  <c r="BT177" i="9"/>
  <c r="BT189" i="9"/>
  <c r="BT201" i="9"/>
  <c r="BT213" i="9"/>
  <c r="BT150" i="9"/>
  <c r="BT162" i="9"/>
  <c r="BT15" i="9"/>
  <c r="BT48" i="9"/>
  <c r="BT108" i="9"/>
  <c r="BT126" i="9"/>
  <c r="BT45" i="9"/>
  <c r="BT105" i="9"/>
  <c r="BT174" i="9"/>
  <c r="BT195" i="9"/>
  <c r="BT210" i="9"/>
  <c r="BT171" i="9"/>
  <c r="BT192" i="9"/>
  <c r="BT207" i="9"/>
  <c r="BT159" i="9"/>
  <c r="BT186" i="9"/>
  <c r="BT204" i="9"/>
  <c r="BT123" i="9"/>
  <c r="BT147" i="9"/>
  <c r="BT183" i="9"/>
  <c r="BT198" i="9"/>
  <c r="BT216" i="9"/>
  <c r="AF124" i="4" l="1"/>
  <c r="AO124" i="4"/>
  <c r="AW124" i="4"/>
  <c r="BE124" i="4"/>
  <c r="BM124" i="4"/>
  <c r="BU124" i="4"/>
  <c r="CC124" i="4"/>
  <c r="AG124" i="4"/>
  <c r="AP124" i="4"/>
  <c r="AX124" i="4"/>
  <c r="BF124" i="4"/>
  <c r="BN124" i="4"/>
  <c r="BV124" i="4"/>
  <c r="AH124" i="4"/>
  <c r="AQ124" i="4"/>
  <c r="AY124" i="4"/>
  <c r="BG124" i="4"/>
  <c r="BO124" i="4"/>
  <c r="BW124" i="4"/>
  <c r="AI124" i="4"/>
  <c r="AR124" i="4"/>
  <c r="AZ124" i="4"/>
  <c r="BH124" i="4"/>
  <c r="BP124" i="4"/>
  <c r="BX124" i="4"/>
  <c r="AJ124" i="4"/>
  <c r="AS124" i="4"/>
  <c r="BA124" i="4"/>
  <c r="BI124" i="4"/>
  <c r="BQ124" i="4"/>
  <c r="BY124" i="4"/>
  <c r="AK124" i="4"/>
  <c r="BD124" i="4"/>
  <c r="CA124" i="4"/>
  <c r="AL124" i="4"/>
  <c r="BJ124" i="4"/>
  <c r="CB124" i="4"/>
  <c r="AN124" i="4"/>
  <c r="BK124" i="4"/>
  <c r="AT124" i="4"/>
  <c r="BL124" i="4"/>
  <c r="AU124" i="4"/>
  <c r="BR124" i="4"/>
  <c r="AV124" i="4"/>
  <c r="BS124" i="4"/>
  <c r="BB124" i="4"/>
  <c r="BT124" i="4"/>
  <c r="X124" i="4"/>
  <c r="BC124" i="4"/>
  <c r="Y124" i="4"/>
  <c r="BZ124" i="4"/>
  <c r="Z124" i="4"/>
  <c r="AA124" i="4"/>
  <c r="AB124" i="4"/>
  <c r="AC124" i="4"/>
  <c r="V124" i="4"/>
  <c r="AD124" i="4"/>
  <c r="W124" i="4"/>
  <c r="AE124" i="4"/>
  <c r="Q124" i="4"/>
  <c r="R124" i="4"/>
  <c r="S124" i="4"/>
  <c r="T124" i="4"/>
  <c r="U124" i="4"/>
  <c r="P123" i="4"/>
  <c r="H124" i="4"/>
  <c r="J124" i="4"/>
  <c r="E124" i="4"/>
  <c r="M124" i="4"/>
  <c r="C124" i="4"/>
  <c r="D124" i="4"/>
  <c r="K124" i="4"/>
  <c r="F124" i="4"/>
  <c r="G124" i="4"/>
  <c r="I124" i="4"/>
  <c r="L124" i="4"/>
  <c r="N124" i="4"/>
  <c r="B123" i="4"/>
  <c r="O123" i="4"/>
  <c r="A125" i="4"/>
  <c r="AM125" i="4" s="1"/>
  <c r="BU3" i="9"/>
  <c r="BV4" i="9"/>
  <c r="BU12" i="9"/>
  <c r="BU2" i="9"/>
  <c r="BU9" i="9"/>
  <c r="BU24" i="9"/>
  <c r="BU21" i="9"/>
  <c r="BU33" i="9"/>
  <c r="BU45" i="9"/>
  <c r="BU30" i="9"/>
  <c r="BU42" i="9"/>
  <c r="BU39" i="9"/>
  <c r="BU60" i="9"/>
  <c r="BU36" i="9"/>
  <c r="BU57" i="9"/>
  <c r="BU69" i="9"/>
  <c r="BU81" i="9"/>
  <c r="BU93" i="9"/>
  <c r="BU105" i="9"/>
  <c r="BU6" i="9"/>
  <c r="BU27" i="9"/>
  <c r="BU63" i="9"/>
  <c r="BU66" i="9"/>
  <c r="BU78" i="9"/>
  <c r="BU90" i="9"/>
  <c r="BU102" i="9"/>
  <c r="BU114" i="9"/>
  <c r="BU75" i="9"/>
  <c r="BU99" i="9"/>
  <c r="BU123" i="9"/>
  <c r="BU135" i="9"/>
  <c r="BU72" i="9"/>
  <c r="BU96" i="9"/>
  <c r="BU120" i="9"/>
  <c r="BU132" i="9"/>
  <c r="BU144" i="9"/>
  <c r="BU18" i="9"/>
  <c r="BU54" i="9"/>
  <c r="BU87" i="9"/>
  <c r="BU117" i="9"/>
  <c r="BU141" i="9"/>
  <c r="BU147" i="9"/>
  <c r="BU159" i="9"/>
  <c r="BU171" i="9"/>
  <c r="BU51" i="9"/>
  <c r="BU84" i="9"/>
  <c r="BU138" i="9"/>
  <c r="BU156" i="9"/>
  <c r="BU168" i="9"/>
  <c r="BU180" i="9"/>
  <c r="BU192" i="9"/>
  <c r="BU204" i="9"/>
  <c r="BU216" i="9"/>
  <c r="BU153" i="9"/>
  <c r="BU165" i="9"/>
  <c r="BU111" i="9"/>
  <c r="BU129" i="9"/>
  <c r="BU15" i="9"/>
  <c r="BU108" i="9"/>
  <c r="BU177" i="9"/>
  <c r="BU183" i="9"/>
  <c r="BU198" i="9"/>
  <c r="BU213" i="9"/>
  <c r="BU150" i="9"/>
  <c r="BU186" i="9"/>
  <c r="BU201" i="9"/>
  <c r="BU48" i="9"/>
  <c r="BU174" i="9"/>
  <c r="BU195" i="9"/>
  <c r="BU210" i="9"/>
  <c r="BU162" i="9"/>
  <c r="BU189" i="9"/>
  <c r="BU207" i="9"/>
  <c r="BU126" i="9"/>
  <c r="AN125" i="4" l="1"/>
  <c r="AV125" i="4"/>
  <c r="AF125" i="4"/>
  <c r="AO125" i="4"/>
  <c r="AW125" i="4"/>
  <c r="BE125" i="4"/>
  <c r="AG125" i="4"/>
  <c r="AP125" i="4"/>
  <c r="AX125" i="4"/>
  <c r="AH125" i="4"/>
  <c r="AQ125" i="4"/>
  <c r="AY125" i="4"/>
  <c r="AI125" i="4"/>
  <c r="AR125" i="4"/>
  <c r="AZ125" i="4"/>
  <c r="BA125" i="4"/>
  <c r="BJ125" i="4"/>
  <c r="BR125" i="4"/>
  <c r="BZ125" i="4"/>
  <c r="BB125" i="4"/>
  <c r="BK125" i="4"/>
  <c r="BS125" i="4"/>
  <c r="CA125" i="4"/>
  <c r="AJ125" i="4"/>
  <c r="BC125" i="4"/>
  <c r="BL125" i="4"/>
  <c r="BT125" i="4"/>
  <c r="CB125" i="4"/>
  <c r="AK125" i="4"/>
  <c r="BD125" i="4"/>
  <c r="BM125" i="4"/>
  <c r="BU125" i="4"/>
  <c r="CC125" i="4"/>
  <c r="AL125" i="4"/>
  <c r="BF125" i="4"/>
  <c r="BN125" i="4"/>
  <c r="BV125" i="4"/>
  <c r="AS125" i="4"/>
  <c r="BG125" i="4"/>
  <c r="BO125" i="4"/>
  <c r="BW125" i="4"/>
  <c r="AT125" i="4"/>
  <c r="BH125" i="4"/>
  <c r="BP125" i="4"/>
  <c r="BX125" i="4"/>
  <c r="V125" i="4"/>
  <c r="AD125" i="4"/>
  <c r="W125" i="4"/>
  <c r="AE125" i="4"/>
  <c r="X125" i="4"/>
  <c r="AU125" i="4"/>
  <c r="Y125" i="4"/>
  <c r="BI125" i="4"/>
  <c r="Z125" i="4"/>
  <c r="BQ125" i="4"/>
  <c r="AA125" i="4"/>
  <c r="BY125" i="4"/>
  <c r="AB125" i="4"/>
  <c r="AC125" i="4"/>
  <c r="S125" i="4"/>
  <c r="T125" i="4"/>
  <c r="U125" i="4"/>
  <c r="R125" i="4"/>
  <c r="Q125" i="4"/>
  <c r="J125" i="4"/>
  <c r="D125" i="4"/>
  <c r="L125" i="4"/>
  <c r="G125" i="4"/>
  <c r="N125" i="4"/>
  <c r="C125" i="4"/>
  <c r="I125" i="4"/>
  <c r="K125" i="4"/>
  <c r="M125" i="4"/>
  <c r="F125" i="4"/>
  <c r="E125" i="4"/>
  <c r="H125" i="4"/>
  <c r="B124" i="4"/>
  <c r="P124" i="4"/>
  <c r="O124" i="4"/>
  <c r="A126" i="4"/>
  <c r="AM126" i="4" s="1"/>
  <c r="BV6" i="9"/>
  <c r="BV3" i="9"/>
  <c r="BW4" i="9"/>
  <c r="BV12" i="9"/>
  <c r="BV2" i="9"/>
  <c r="BV15" i="9"/>
  <c r="BV27" i="9"/>
  <c r="BV24" i="9"/>
  <c r="BV36" i="9"/>
  <c r="BV48" i="9"/>
  <c r="BV33" i="9"/>
  <c r="BV45" i="9"/>
  <c r="BV42" i="9"/>
  <c r="BV51" i="9"/>
  <c r="BV63" i="9"/>
  <c r="BV39" i="9"/>
  <c r="BV60" i="9"/>
  <c r="BV30" i="9"/>
  <c r="BV72" i="9"/>
  <c r="BV84" i="9"/>
  <c r="BV96" i="9"/>
  <c r="BV108" i="9"/>
  <c r="BV69" i="9"/>
  <c r="BV81" i="9"/>
  <c r="BV93" i="9"/>
  <c r="BV105" i="9"/>
  <c r="BV78" i="9"/>
  <c r="BV102" i="9"/>
  <c r="BV126" i="9"/>
  <c r="BV138" i="9"/>
  <c r="BV75" i="9"/>
  <c r="BV99" i="9"/>
  <c r="BV123" i="9"/>
  <c r="BV135" i="9"/>
  <c r="BV57" i="9"/>
  <c r="BV90" i="9"/>
  <c r="BV120" i="9"/>
  <c r="BV144" i="9"/>
  <c r="BV150" i="9"/>
  <c r="BV162" i="9"/>
  <c r="BV174" i="9"/>
  <c r="BV9" i="9"/>
  <c r="BV18" i="9"/>
  <c r="BV54" i="9"/>
  <c r="BV87" i="9"/>
  <c r="BV117" i="9"/>
  <c r="BV141" i="9"/>
  <c r="BV147" i="9"/>
  <c r="BV159" i="9"/>
  <c r="BV171" i="9"/>
  <c r="BV183" i="9"/>
  <c r="BV195" i="9"/>
  <c r="BV207" i="9"/>
  <c r="BV156" i="9"/>
  <c r="BV21" i="9"/>
  <c r="BV66" i="9"/>
  <c r="BV114" i="9"/>
  <c r="BV132" i="9"/>
  <c r="BV111" i="9"/>
  <c r="BV180" i="9"/>
  <c r="BV186" i="9"/>
  <c r="BV201" i="9"/>
  <c r="BV216" i="9"/>
  <c r="BV153" i="9"/>
  <c r="BV204" i="9"/>
  <c r="BV177" i="9"/>
  <c r="BV198" i="9"/>
  <c r="BV213" i="9"/>
  <c r="BV165" i="9"/>
  <c r="BV168" i="9"/>
  <c r="BV192" i="9"/>
  <c r="BV210" i="9"/>
  <c r="BV129" i="9"/>
  <c r="BV189" i="9"/>
  <c r="O125" i="4" l="1"/>
  <c r="B125" i="4"/>
  <c r="AJ126" i="4"/>
  <c r="AS126" i="4"/>
  <c r="BA126" i="4"/>
  <c r="BI126" i="4"/>
  <c r="BQ126" i="4"/>
  <c r="BY126" i="4"/>
  <c r="AK126" i="4"/>
  <c r="AT126" i="4"/>
  <c r="BB126" i="4"/>
  <c r="BJ126" i="4"/>
  <c r="BR126" i="4"/>
  <c r="BZ126" i="4"/>
  <c r="AL126" i="4"/>
  <c r="AU126" i="4"/>
  <c r="BC126" i="4"/>
  <c r="BK126" i="4"/>
  <c r="BS126" i="4"/>
  <c r="CA126" i="4"/>
  <c r="AN126" i="4"/>
  <c r="AV126" i="4"/>
  <c r="BD126" i="4"/>
  <c r="BL126" i="4"/>
  <c r="BT126" i="4"/>
  <c r="CB126" i="4"/>
  <c r="AF126" i="4"/>
  <c r="AO126" i="4"/>
  <c r="AW126" i="4"/>
  <c r="BE126" i="4"/>
  <c r="BM126" i="4"/>
  <c r="BU126" i="4"/>
  <c r="CC126" i="4"/>
  <c r="AG126" i="4"/>
  <c r="AP126" i="4"/>
  <c r="AX126" i="4"/>
  <c r="BF126" i="4"/>
  <c r="BN126" i="4"/>
  <c r="BV126" i="4"/>
  <c r="AH126" i="4"/>
  <c r="AQ126" i="4"/>
  <c r="AY126" i="4"/>
  <c r="BG126" i="4"/>
  <c r="BO126" i="4"/>
  <c r="BW126" i="4"/>
  <c r="AR126" i="4"/>
  <c r="AB126" i="4"/>
  <c r="AZ126" i="4"/>
  <c r="AC126" i="4"/>
  <c r="BH126" i="4"/>
  <c r="V126" i="4"/>
  <c r="AD126" i="4"/>
  <c r="BP126" i="4"/>
  <c r="W126" i="4"/>
  <c r="AE126" i="4"/>
  <c r="BX126" i="4"/>
  <c r="X126" i="4"/>
  <c r="Y126" i="4"/>
  <c r="Z126" i="4"/>
  <c r="AI126" i="4"/>
  <c r="AA126" i="4"/>
  <c r="Q126" i="4"/>
  <c r="R126" i="4"/>
  <c r="U126" i="4"/>
  <c r="S126" i="4"/>
  <c r="T126" i="4"/>
  <c r="F126" i="4"/>
  <c r="N126" i="4"/>
  <c r="H126" i="4"/>
  <c r="C126" i="4"/>
  <c r="K126" i="4"/>
  <c r="D126" i="4"/>
  <c r="J126" i="4"/>
  <c r="E126" i="4"/>
  <c r="G126" i="4"/>
  <c r="M126" i="4"/>
  <c r="I126" i="4"/>
  <c r="L126" i="4"/>
  <c r="P125" i="4"/>
  <c r="A127" i="4"/>
  <c r="AM127" i="4" s="1"/>
  <c r="BW2" i="9"/>
  <c r="BW9" i="9"/>
  <c r="BW6" i="9"/>
  <c r="BW3" i="9"/>
  <c r="BX4" i="9"/>
  <c r="BW18" i="9"/>
  <c r="BW15" i="9"/>
  <c r="BW27" i="9"/>
  <c r="BW39" i="9"/>
  <c r="BW36" i="9"/>
  <c r="BW48" i="9"/>
  <c r="BW45" i="9"/>
  <c r="BW54" i="9"/>
  <c r="BW42" i="9"/>
  <c r="BW51" i="9"/>
  <c r="BW63" i="9"/>
  <c r="BW33" i="9"/>
  <c r="BW75" i="9"/>
  <c r="BW87" i="9"/>
  <c r="BW99" i="9"/>
  <c r="BW111" i="9"/>
  <c r="BW12" i="9"/>
  <c r="BW30" i="9"/>
  <c r="BW72" i="9"/>
  <c r="BW84" i="9"/>
  <c r="BW96" i="9"/>
  <c r="BW108" i="9"/>
  <c r="BW81" i="9"/>
  <c r="BW105" i="9"/>
  <c r="BW117" i="9"/>
  <c r="BW129" i="9"/>
  <c r="BW141" i="9"/>
  <c r="BW78" i="9"/>
  <c r="BW102" i="9"/>
  <c r="BW126" i="9"/>
  <c r="BW138" i="9"/>
  <c r="BW24" i="9"/>
  <c r="BW60" i="9"/>
  <c r="BW93" i="9"/>
  <c r="BW123" i="9"/>
  <c r="BW153" i="9"/>
  <c r="BW165" i="9"/>
  <c r="BW177" i="9"/>
  <c r="BW57" i="9"/>
  <c r="BW90" i="9"/>
  <c r="BW120" i="9"/>
  <c r="BW144" i="9"/>
  <c r="BW150" i="9"/>
  <c r="BW162" i="9"/>
  <c r="BW174" i="9"/>
  <c r="BW186" i="9"/>
  <c r="BW198" i="9"/>
  <c r="BW210" i="9"/>
  <c r="BW147" i="9"/>
  <c r="BW159" i="9"/>
  <c r="BW69" i="9"/>
  <c r="BW135" i="9"/>
  <c r="BW114" i="9"/>
  <c r="BW189" i="9"/>
  <c r="BW204" i="9"/>
  <c r="BW156" i="9"/>
  <c r="BW207" i="9"/>
  <c r="BW21" i="9"/>
  <c r="BW66" i="9"/>
  <c r="BW180" i="9"/>
  <c r="BW183" i="9"/>
  <c r="BW201" i="9"/>
  <c r="BW216" i="9"/>
  <c r="BW171" i="9"/>
  <c r="BW195" i="9"/>
  <c r="BW213" i="9"/>
  <c r="BW132" i="9"/>
  <c r="BW168" i="9"/>
  <c r="BW192" i="9"/>
  <c r="AI127" i="4" l="1"/>
  <c r="AR127" i="4"/>
  <c r="AZ127" i="4"/>
  <c r="BH127" i="4"/>
  <c r="BP127" i="4"/>
  <c r="BX127" i="4"/>
  <c r="AJ127" i="4"/>
  <c r="AS127" i="4"/>
  <c r="BA127" i="4"/>
  <c r="BI127" i="4"/>
  <c r="BQ127" i="4"/>
  <c r="BY127" i="4"/>
  <c r="AK127" i="4"/>
  <c r="AT127" i="4"/>
  <c r="BB127" i="4"/>
  <c r="BJ127" i="4"/>
  <c r="BR127" i="4"/>
  <c r="BZ127" i="4"/>
  <c r="AL127" i="4"/>
  <c r="AU127" i="4"/>
  <c r="BC127" i="4"/>
  <c r="BK127" i="4"/>
  <c r="BS127" i="4"/>
  <c r="CA127" i="4"/>
  <c r="AN127" i="4"/>
  <c r="AV127" i="4"/>
  <c r="BD127" i="4"/>
  <c r="BL127" i="4"/>
  <c r="BT127" i="4"/>
  <c r="CB127" i="4"/>
  <c r="AF127" i="4"/>
  <c r="AO127" i="4"/>
  <c r="AW127" i="4"/>
  <c r="BE127" i="4"/>
  <c r="BM127" i="4"/>
  <c r="BU127" i="4"/>
  <c r="CC127" i="4"/>
  <c r="AG127" i="4"/>
  <c r="AP127" i="4"/>
  <c r="AX127" i="4"/>
  <c r="BF127" i="4"/>
  <c r="BN127" i="4"/>
  <c r="BV127" i="4"/>
  <c r="BG127" i="4"/>
  <c r="Z127" i="4"/>
  <c r="BO127" i="4"/>
  <c r="AA127" i="4"/>
  <c r="BW127" i="4"/>
  <c r="AB127" i="4"/>
  <c r="AC127" i="4"/>
  <c r="V127" i="4"/>
  <c r="AD127" i="4"/>
  <c r="AH127" i="4"/>
  <c r="W127" i="4"/>
  <c r="AE127" i="4"/>
  <c r="AQ127" i="4"/>
  <c r="X127" i="4"/>
  <c r="AY127" i="4"/>
  <c r="Y127" i="4"/>
  <c r="Q127" i="4"/>
  <c r="R127" i="4"/>
  <c r="S127" i="4"/>
  <c r="T127" i="4"/>
  <c r="U127" i="4"/>
  <c r="J127" i="4"/>
  <c r="D127" i="4"/>
  <c r="L127" i="4"/>
  <c r="G127" i="4"/>
  <c r="C127" i="4"/>
  <c r="E127" i="4"/>
  <c r="K127" i="4"/>
  <c r="H127" i="4"/>
  <c r="I127" i="4"/>
  <c r="M127" i="4"/>
  <c r="N127" i="4"/>
  <c r="F127" i="4"/>
  <c r="O126" i="4"/>
  <c r="P126" i="4"/>
  <c r="B126" i="4"/>
  <c r="A128" i="4"/>
  <c r="AM128" i="4" s="1"/>
  <c r="BX3" i="9"/>
  <c r="BY4" i="9"/>
  <c r="BX12" i="9"/>
  <c r="BX2" i="9"/>
  <c r="BX9" i="9"/>
  <c r="BX6" i="9"/>
  <c r="BX21" i="9"/>
  <c r="BX18" i="9"/>
  <c r="BX15" i="9"/>
  <c r="BX30" i="9"/>
  <c r="BX42" i="9"/>
  <c r="BX27" i="9"/>
  <c r="BX39" i="9"/>
  <c r="BX48" i="9"/>
  <c r="BX57" i="9"/>
  <c r="BX45" i="9"/>
  <c r="BX54" i="9"/>
  <c r="BX36" i="9"/>
  <c r="BX51" i="9"/>
  <c r="BX66" i="9"/>
  <c r="BX78" i="9"/>
  <c r="BX90" i="9"/>
  <c r="BX102" i="9"/>
  <c r="BX114" i="9"/>
  <c r="BX33" i="9"/>
  <c r="BX75" i="9"/>
  <c r="BX87" i="9"/>
  <c r="BX99" i="9"/>
  <c r="BX111" i="9"/>
  <c r="BX84" i="9"/>
  <c r="BX108" i="9"/>
  <c r="BX120" i="9"/>
  <c r="BX132" i="9"/>
  <c r="BX144" i="9"/>
  <c r="BX81" i="9"/>
  <c r="BX105" i="9"/>
  <c r="BX117" i="9"/>
  <c r="BX129" i="9"/>
  <c r="BX141" i="9"/>
  <c r="BX63" i="9"/>
  <c r="BX96" i="9"/>
  <c r="BX126" i="9"/>
  <c r="BX156" i="9"/>
  <c r="BX168" i="9"/>
  <c r="BX180" i="9"/>
  <c r="BX24" i="9"/>
  <c r="BX60" i="9"/>
  <c r="BX93" i="9"/>
  <c r="BX123" i="9"/>
  <c r="BX153" i="9"/>
  <c r="BX165" i="9"/>
  <c r="BX177" i="9"/>
  <c r="BX189" i="9"/>
  <c r="BX201" i="9"/>
  <c r="BX213" i="9"/>
  <c r="BX138" i="9"/>
  <c r="BX150" i="9"/>
  <c r="BX162" i="9"/>
  <c r="BX72" i="9"/>
  <c r="BX147" i="9"/>
  <c r="BX192" i="9"/>
  <c r="BX207" i="9"/>
  <c r="BX216" i="9"/>
  <c r="BX159" i="9"/>
  <c r="BX171" i="9"/>
  <c r="BX195" i="9"/>
  <c r="BX210" i="9"/>
  <c r="BX69" i="9"/>
  <c r="BX186" i="9"/>
  <c r="BX204" i="9"/>
  <c r="BX174" i="9"/>
  <c r="BX183" i="9"/>
  <c r="BX198" i="9"/>
  <c r="BX135" i="9"/>
  <c r="AH128" i="4" l="1"/>
  <c r="AQ128" i="4"/>
  <c r="AY128" i="4"/>
  <c r="BG128" i="4"/>
  <c r="BO128" i="4"/>
  <c r="BW128" i="4"/>
  <c r="AI128" i="4"/>
  <c r="AR128" i="4"/>
  <c r="AZ128" i="4"/>
  <c r="BH128" i="4"/>
  <c r="BP128" i="4"/>
  <c r="BX128" i="4"/>
  <c r="AJ128" i="4"/>
  <c r="AS128" i="4"/>
  <c r="BA128" i="4"/>
  <c r="BI128" i="4"/>
  <c r="BQ128" i="4"/>
  <c r="BY128" i="4"/>
  <c r="AK128" i="4"/>
  <c r="AT128" i="4"/>
  <c r="BB128" i="4"/>
  <c r="BJ128" i="4"/>
  <c r="BR128" i="4"/>
  <c r="BZ128" i="4"/>
  <c r="AL128" i="4"/>
  <c r="AU128" i="4"/>
  <c r="BC128" i="4"/>
  <c r="BK128" i="4"/>
  <c r="BS128" i="4"/>
  <c r="CA128" i="4"/>
  <c r="AN128" i="4"/>
  <c r="AV128" i="4"/>
  <c r="BD128" i="4"/>
  <c r="BL128" i="4"/>
  <c r="BT128" i="4"/>
  <c r="CB128" i="4"/>
  <c r="AF128" i="4"/>
  <c r="AO128" i="4"/>
  <c r="AW128" i="4"/>
  <c r="BE128" i="4"/>
  <c r="BM128" i="4"/>
  <c r="BU128" i="4"/>
  <c r="CC128" i="4"/>
  <c r="BV128" i="4"/>
  <c r="X128" i="4"/>
  <c r="Y128" i="4"/>
  <c r="Z128" i="4"/>
  <c r="AG128" i="4"/>
  <c r="AA128" i="4"/>
  <c r="AP128" i="4"/>
  <c r="AB128" i="4"/>
  <c r="AX128" i="4"/>
  <c r="AC128" i="4"/>
  <c r="BF128" i="4"/>
  <c r="V128" i="4"/>
  <c r="AD128" i="4"/>
  <c r="BN128" i="4"/>
  <c r="W128" i="4"/>
  <c r="AE128" i="4"/>
  <c r="T128" i="4"/>
  <c r="U128" i="4"/>
  <c r="Q128" i="4"/>
  <c r="R128" i="4"/>
  <c r="S128" i="4"/>
  <c r="B127" i="4"/>
  <c r="P127" i="4"/>
  <c r="E128" i="4"/>
  <c r="M128" i="4"/>
  <c r="G128" i="4"/>
  <c r="J128" i="4"/>
  <c r="C128" i="4"/>
  <c r="D128" i="4"/>
  <c r="K128" i="4"/>
  <c r="N128" i="4"/>
  <c r="H128" i="4"/>
  <c r="I128" i="4"/>
  <c r="F128" i="4"/>
  <c r="L128" i="4"/>
  <c r="O127" i="4"/>
  <c r="A129" i="4"/>
  <c r="AM129" i="4" s="1"/>
  <c r="BY3" i="9"/>
  <c r="BZ4" i="9"/>
  <c r="BY12" i="9"/>
  <c r="BY2" i="9"/>
  <c r="BY9" i="9"/>
  <c r="BY6" i="9"/>
  <c r="BY24" i="9"/>
  <c r="BY21" i="9"/>
  <c r="BY18" i="9"/>
  <c r="BY33" i="9"/>
  <c r="BY45" i="9"/>
  <c r="BY15" i="9"/>
  <c r="BY30" i="9"/>
  <c r="BY42" i="9"/>
  <c r="BY27" i="9"/>
  <c r="BY60" i="9"/>
  <c r="BY48" i="9"/>
  <c r="BY57" i="9"/>
  <c r="BY39" i="9"/>
  <c r="BY54" i="9"/>
  <c r="BY69" i="9"/>
  <c r="BY81" i="9"/>
  <c r="BY93" i="9"/>
  <c r="BY105" i="9"/>
  <c r="BY36" i="9"/>
  <c r="BY51" i="9"/>
  <c r="BY66" i="9"/>
  <c r="BY78" i="9"/>
  <c r="BY90" i="9"/>
  <c r="BY102" i="9"/>
  <c r="BY114" i="9"/>
  <c r="BY87" i="9"/>
  <c r="BY111" i="9"/>
  <c r="BY123" i="9"/>
  <c r="BY135" i="9"/>
  <c r="BY84" i="9"/>
  <c r="BY108" i="9"/>
  <c r="BY120" i="9"/>
  <c r="BY132" i="9"/>
  <c r="BY144" i="9"/>
  <c r="BY99" i="9"/>
  <c r="BY129" i="9"/>
  <c r="BY147" i="9"/>
  <c r="BY159" i="9"/>
  <c r="BY171" i="9"/>
  <c r="BY63" i="9"/>
  <c r="BY96" i="9"/>
  <c r="BY126" i="9"/>
  <c r="BY156" i="9"/>
  <c r="BY168" i="9"/>
  <c r="BY180" i="9"/>
  <c r="BY192" i="9"/>
  <c r="BY204" i="9"/>
  <c r="BY216" i="9"/>
  <c r="BY141" i="9"/>
  <c r="BY153" i="9"/>
  <c r="BY165" i="9"/>
  <c r="BY75" i="9"/>
  <c r="BY117" i="9"/>
  <c r="BY150" i="9"/>
  <c r="BY195" i="9"/>
  <c r="BY210" i="9"/>
  <c r="BY162" i="9"/>
  <c r="BY183" i="9"/>
  <c r="BY198" i="9"/>
  <c r="BY213" i="9"/>
  <c r="BY72" i="9"/>
  <c r="BY189" i="9"/>
  <c r="BY207" i="9"/>
  <c r="BY177" i="9"/>
  <c r="BY186" i="9"/>
  <c r="BY201" i="9"/>
  <c r="BY138" i="9"/>
  <c r="BY174" i="9"/>
  <c r="AG129" i="4" l="1"/>
  <c r="AP129" i="4"/>
  <c r="AX129" i="4"/>
  <c r="BF129" i="4"/>
  <c r="BN129" i="4"/>
  <c r="BV129" i="4"/>
  <c r="AH129" i="4"/>
  <c r="AQ129" i="4"/>
  <c r="AY129" i="4"/>
  <c r="BG129" i="4"/>
  <c r="BO129" i="4"/>
  <c r="BW129" i="4"/>
  <c r="AI129" i="4"/>
  <c r="AR129" i="4"/>
  <c r="AZ129" i="4"/>
  <c r="BH129" i="4"/>
  <c r="BP129" i="4"/>
  <c r="BX129" i="4"/>
  <c r="AJ129" i="4"/>
  <c r="AS129" i="4"/>
  <c r="BA129" i="4"/>
  <c r="BI129" i="4"/>
  <c r="BQ129" i="4"/>
  <c r="BY129" i="4"/>
  <c r="AK129" i="4"/>
  <c r="AT129" i="4"/>
  <c r="BB129" i="4"/>
  <c r="BJ129" i="4"/>
  <c r="BR129" i="4"/>
  <c r="BZ129" i="4"/>
  <c r="AL129" i="4"/>
  <c r="AU129" i="4"/>
  <c r="BC129" i="4"/>
  <c r="BK129" i="4"/>
  <c r="BS129" i="4"/>
  <c r="CA129" i="4"/>
  <c r="AN129" i="4"/>
  <c r="AV129" i="4"/>
  <c r="BD129" i="4"/>
  <c r="BL129" i="4"/>
  <c r="BT129" i="4"/>
  <c r="CB129" i="4"/>
  <c r="V129" i="4"/>
  <c r="AD129" i="4"/>
  <c r="AF129" i="4"/>
  <c r="W129" i="4"/>
  <c r="AE129" i="4"/>
  <c r="AO129" i="4"/>
  <c r="X129" i="4"/>
  <c r="AW129" i="4"/>
  <c r="Y129" i="4"/>
  <c r="BE129" i="4"/>
  <c r="Z129" i="4"/>
  <c r="BM129" i="4"/>
  <c r="AA129" i="4"/>
  <c r="BU129" i="4"/>
  <c r="AB129" i="4"/>
  <c r="CC129" i="4"/>
  <c r="AC129" i="4"/>
  <c r="Q129" i="4"/>
  <c r="R129" i="4"/>
  <c r="S129" i="4"/>
  <c r="T129" i="4"/>
  <c r="U129" i="4"/>
  <c r="B128" i="4"/>
  <c r="I129" i="4"/>
  <c r="C129" i="4"/>
  <c r="K129" i="4"/>
  <c r="F129" i="4"/>
  <c r="N129" i="4"/>
  <c r="D129" i="4"/>
  <c r="E129" i="4"/>
  <c r="L129" i="4"/>
  <c r="G129" i="4"/>
  <c r="H129" i="4"/>
  <c r="J129" i="4"/>
  <c r="M129" i="4"/>
  <c r="P128" i="4"/>
  <c r="O128" i="4"/>
  <c r="A130" i="4"/>
  <c r="AM130" i="4" s="1"/>
  <c r="BZ6" i="9"/>
  <c r="BZ3" i="9"/>
  <c r="CA4" i="9"/>
  <c r="BZ12" i="9"/>
  <c r="BZ9" i="9"/>
  <c r="BZ15" i="9"/>
  <c r="BZ2" i="9"/>
  <c r="BZ24" i="9"/>
  <c r="BZ21" i="9"/>
  <c r="BZ36" i="9"/>
  <c r="BZ48" i="9"/>
  <c r="BZ18" i="9"/>
  <c r="BZ33" i="9"/>
  <c r="BZ45" i="9"/>
  <c r="BZ30" i="9"/>
  <c r="BZ51" i="9"/>
  <c r="BZ63" i="9"/>
  <c r="BZ27" i="9"/>
  <c r="BZ60" i="9"/>
  <c r="BZ42" i="9"/>
  <c r="BZ57" i="9"/>
  <c r="BZ72" i="9"/>
  <c r="BZ84" i="9"/>
  <c r="BZ96" i="9"/>
  <c r="BZ108" i="9"/>
  <c r="BZ39" i="9"/>
  <c r="BZ54" i="9"/>
  <c r="BZ69" i="9"/>
  <c r="BZ81" i="9"/>
  <c r="BZ93" i="9"/>
  <c r="BZ105" i="9"/>
  <c r="BZ66" i="9"/>
  <c r="BZ90" i="9"/>
  <c r="BZ114" i="9"/>
  <c r="BZ126" i="9"/>
  <c r="BZ138" i="9"/>
  <c r="BZ87" i="9"/>
  <c r="BZ111" i="9"/>
  <c r="BZ123" i="9"/>
  <c r="BZ135" i="9"/>
  <c r="BZ102" i="9"/>
  <c r="BZ132" i="9"/>
  <c r="BZ150" i="9"/>
  <c r="BZ162" i="9"/>
  <c r="BZ174" i="9"/>
  <c r="BZ99" i="9"/>
  <c r="BZ129" i="9"/>
  <c r="BZ147" i="9"/>
  <c r="BZ159" i="9"/>
  <c r="BZ171" i="9"/>
  <c r="BZ183" i="9"/>
  <c r="BZ195" i="9"/>
  <c r="BZ207" i="9"/>
  <c r="BZ144" i="9"/>
  <c r="BZ156" i="9"/>
  <c r="BZ78" i="9"/>
  <c r="BZ120" i="9"/>
  <c r="BZ117" i="9"/>
  <c r="BZ153" i="9"/>
  <c r="BZ168" i="9"/>
  <c r="BZ198" i="9"/>
  <c r="BZ213" i="9"/>
  <c r="BZ141" i="9"/>
  <c r="BZ177" i="9"/>
  <c r="BZ216" i="9"/>
  <c r="BZ75" i="9"/>
  <c r="BZ192" i="9"/>
  <c r="BZ210" i="9"/>
  <c r="BZ180" i="9"/>
  <c r="BZ189" i="9"/>
  <c r="BZ204" i="9"/>
  <c r="BZ165" i="9"/>
  <c r="BZ186" i="9"/>
  <c r="BZ201" i="9"/>
  <c r="AF130" i="4" l="1"/>
  <c r="AO130" i="4"/>
  <c r="AW130" i="4"/>
  <c r="BE130" i="4"/>
  <c r="BM130" i="4"/>
  <c r="BU130" i="4"/>
  <c r="CC130" i="4"/>
  <c r="AG130" i="4"/>
  <c r="AP130" i="4"/>
  <c r="AX130" i="4"/>
  <c r="BF130" i="4"/>
  <c r="BN130" i="4"/>
  <c r="BV130" i="4"/>
  <c r="AH130" i="4"/>
  <c r="AQ130" i="4"/>
  <c r="AY130" i="4"/>
  <c r="BG130" i="4"/>
  <c r="BO130" i="4"/>
  <c r="BW130" i="4"/>
  <c r="AI130" i="4"/>
  <c r="AR130" i="4"/>
  <c r="AZ130" i="4"/>
  <c r="BH130" i="4"/>
  <c r="BP130" i="4"/>
  <c r="BX130" i="4"/>
  <c r="AJ130" i="4"/>
  <c r="AS130" i="4"/>
  <c r="BA130" i="4"/>
  <c r="BI130" i="4"/>
  <c r="BQ130" i="4"/>
  <c r="BY130" i="4"/>
  <c r="AK130" i="4"/>
  <c r="AT130" i="4"/>
  <c r="BB130" i="4"/>
  <c r="BJ130" i="4"/>
  <c r="BR130" i="4"/>
  <c r="BZ130" i="4"/>
  <c r="AL130" i="4"/>
  <c r="AU130" i="4"/>
  <c r="BC130" i="4"/>
  <c r="BK130" i="4"/>
  <c r="BS130" i="4"/>
  <c r="CA130" i="4"/>
  <c r="AN130" i="4"/>
  <c r="AB130" i="4"/>
  <c r="AV130" i="4"/>
  <c r="AC130" i="4"/>
  <c r="BD130" i="4"/>
  <c r="V130" i="4"/>
  <c r="AD130" i="4"/>
  <c r="BL130" i="4"/>
  <c r="W130" i="4"/>
  <c r="AE130" i="4"/>
  <c r="BT130" i="4"/>
  <c r="X130" i="4"/>
  <c r="CB130" i="4"/>
  <c r="Y130" i="4"/>
  <c r="Z130" i="4"/>
  <c r="AA130" i="4"/>
  <c r="R130" i="4"/>
  <c r="S130" i="4"/>
  <c r="T130" i="4"/>
  <c r="Q130" i="4"/>
  <c r="U130" i="4"/>
  <c r="O129" i="4"/>
  <c r="E130" i="4"/>
  <c r="M130" i="4"/>
  <c r="G130" i="4"/>
  <c r="J130" i="4"/>
  <c r="D130" i="4"/>
  <c r="F130" i="4"/>
  <c r="L130" i="4"/>
  <c r="K130" i="4"/>
  <c r="N130" i="4"/>
  <c r="H130" i="4"/>
  <c r="C130" i="4"/>
  <c r="I130" i="4"/>
  <c r="P129" i="4"/>
  <c r="B129" i="4"/>
  <c r="A131" i="4"/>
  <c r="AM131" i="4" s="1"/>
  <c r="CA2" i="9"/>
  <c r="CA9" i="9"/>
  <c r="CA6" i="9"/>
  <c r="CA12" i="9"/>
  <c r="CA18" i="9"/>
  <c r="CA3" i="9"/>
  <c r="CB4" i="9"/>
  <c r="CA15" i="9"/>
  <c r="CA24" i="9"/>
  <c r="CA27" i="9"/>
  <c r="CA39" i="9"/>
  <c r="CA21" i="9"/>
  <c r="CA36" i="9"/>
  <c r="CA48" i="9"/>
  <c r="CA33" i="9"/>
  <c r="CA54" i="9"/>
  <c r="CA30" i="9"/>
  <c r="CA51" i="9"/>
  <c r="CA63" i="9"/>
  <c r="CA45" i="9"/>
  <c r="CA60" i="9"/>
  <c r="CA75" i="9"/>
  <c r="CA87" i="9"/>
  <c r="CA99" i="9"/>
  <c r="CA111" i="9"/>
  <c r="CA42" i="9"/>
  <c r="CA57" i="9"/>
  <c r="CA72" i="9"/>
  <c r="CA84" i="9"/>
  <c r="CA96" i="9"/>
  <c r="CA108" i="9"/>
  <c r="CA69" i="9"/>
  <c r="CA93" i="9"/>
  <c r="CA117" i="9"/>
  <c r="CA129" i="9"/>
  <c r="CA141" i="9"/>
  <c r="CA66" i="9"/>
  <c r="CA90" i="9"/>
  <c r="CA114" i="9"/>
  <c r="CA126" i="9"/>
  <c r="CA138" i="9"/>
  <c r="CA105" i="9"/>
  <c r="CA135" i="9"/>
  <c r="CA153" i="9"/>
  <c r="CA165" i="9"/>
  <c r="CA177" i="9"/>
  <c r="CA102" i="9"/>
  <c r="CA132" i="9"/>
  <c r="CA150" i="9"/>
  <c r="CA162" i="9"/>
  <c r="CA174" i="9"/>
  <c r="CA186" i="9"/>
  <c r="CA198" i="9"/>
  <c r="CA210" i="9"/>
  <c r="CA147" i="9"/>
  <c r="CA159" i="9"/>
  <c r="CA81" i="9"/>
  <c r="CA123" i="9"/>
  <c r="CA120" i="9"/>
  <c r="CA156" i="9"/>
  <c r="CA171" i="9"/>
  <c r="CA183" i="9"/>
  <c r="CA201" i="9"/>
  <c r="CA216" i="9"/>
  <c r="CA180" i="9"/>
  <c r="CA189" i="9"/>
  <c r="CA78" i="9"/>
  <c r="CA168" i="9"/>
  <c r="CA195" i="9"/>
  <c r="CA213" i="9"/>
  <c r="CA192" i="9"/>
  <c r="CA207" i="9"/>
  <c r="CA144" i="9"/>
  <c r="CA204" i="9"/>
  <c r="AN131" i="4" l="1"/>
  <c r="AV131" i="4"/>
  <c r="BD131" i="4"/>
  <c r="BL131" i="4"/>
  <c r="BT131" i="4"/>
  <c r="CB131" i="4"/>
  <c r="AF131" i="4"/>
  <c r="AO131" i="4"/>
  <c r="AW131" i="4"/>
  <c r="BE131" i="4"/>
  <c r="BM131" i="4"/>
  <c r="BU131" i="4"/>
  <c r="CC131" i="4"/>
  <c r="AG131" i="4"/>
  <c r="AP131" i="4"/>
  <c r="AX131" i="4"/>
  <c r="BF131" i="4"/>
  <c r="BN131" i="4"/>
  <c r="BV131" i="4"/>
  <c r="AH131" i="4"/>
  <c r="AQ131" i="4"/>
  <c r="AY131" i="4"/>
  <c r="BG131" i="4"/>
  <c r="BO131" i="4"/>
  <c r="BW131" i="4"/>
  <c r="AI131" i="4"/>
  <c r="AR131" i="4"/>
  <c r="AZ131" i="4"/>
  <c r="BH131" i="4"/>
  <c r="BP131" i="4"/>
  <c r="BX131" i="4"/>
  <c r="AJ131" i="4"/>
  <c r="AS131" i="4"/>
  <c r="BA131" i="4"/>
  <c r="BI131" i="4"/>
  <c r="BQ131" i="4"/>
  <c r="BY131" i="4"/>
  <c r="AK131" i="4"/>
  <c r="AT131" i="4"/>
  <c r="BB131" i="4"/>
  <c r="BJ131" i="4"/>
  <c r="BR131" i="4"/>
  <c r="BZ131" i="4"/>
  <c r="BC131" i="4"/>
  <c r="Z131" i="4"/>
  <c r="BK131" i="4"/>
  <c r="AA131" i="4"/>
  <c r="BS131" i="4"/>
  <c r="AB131" i="4"/>
  <c r="CA131" i="4"/>
  <c r="AC131" i="4"/>
  <c r="V131" i="4"/>
  <c r="AD131" i="4"/>
  <c r="W131" i="4"/>
  <c r="AE131" i="4"/>
  <c r="AL131" i="4"/>
  <c r="X131" i="4"/>
  <c r="AU131" i="4"/>
  <c r="Y131" i="4"/>
  <c r="U131" i="4"/>
  <c r="Q131" i="4"/>
  <c r="R131" i="4"/>
  <c r="T131" i="4"/>
  <c r="S131" i="4"/>
  <c r="O130" i="4"/>
  <c r="G131" i="4"/>
  <c r="I131" i="4"/>
  <c r="D131" i="4"/>
  <c r="L131" i="4"/>
  <c r="C131" i="4"/>
  <c r="E131" i="4"/>
  <c r="K131" i="4"/>
  <c r="F131" i="4"/>
  <c r="J131" i="4"/>
  <c r="M131" i="4"/>
  <c r="H131" i="4"/>
  <c r="N131" i="4"/>
  <c r="P130" i="4"/>
  <c r="B130" i="4"/>
  <c r="A132" i="4"/>
  <c r="AM132" i="4" s="1"/>
  <c r="CB3" i="9"/>
  <c r="CC4" i="9"/>
  <c r="CB12" i="9"/>
  <c r="CB2" i="9"/>
  <c r="CB9" i="9"/>
  <c r="CB6" i="9"/>
  <c r="CB21" i="9"/>
  <c r="CB18" i="9"/>
  <c r="CB30" i="9"/>
  <c r="CB42" i="9"/>
  <c r="CB24" i="9"/>
  <c r="CB27" i="9"/>
  <c r="CB39" i="9"/>
  <c r="CB15" i="9"/>
  <c r="CB36" i="9"/>
  <c r="CB57" i="9"/>
  <c r="CB33" i="9"/>
  <c r="CB54" i="9"/>
  <c r="CB48" i="9"/>
  <c r="CB63" i="9"/>
  <c r="CB66" i="9"/>
  <c r="CB78" i="9"/>
  <c r="CB90" i="9"/>
  <c r="CB102" i="9"/>
  <c r="CB45" i="9"/>
  <c r="CB60" i="9"/>
  <c r="CB75" i="9"/>
  <c r="CB87" i="9"/>
  <c r="CB99" i="9"/>
  <c r="CB111" i="9"/>
  <c r="CB51" i="9"/>
  <c r="CB72" i="9"/>
  <c r="CB96" i="9"/>
  <c r="CB120" i="9"/>
  <c r="CB132" i="9"/>
  <c r="CB144" i="9"/>
  <c r="CB69" i="9"/>
  <c r="CB93" i="9"/>
  <c r="CB117" i="9"/>
  <c r="CB129" i="9"/>
  <c r="CB141" i="9"/>
  <c r="CB108" i="9"/>
  <c r="CB114" i="9"/>
  <c r="CB138" i="9"/>
  <c r="CB156" i="9"/>
  <c r="CB168" i="9"/>
  <c r="CB180" i="9"/>
  <c r="CB105" i="9"/>
  <c r="CB135" i="9"/>
  <c r="CB153" i="9"/>
  <c r="CB165" i="9"/>
  <c r="CB177" i="9"/>
  <c r="CB189" i="9"/>
  <c r="CB201" i="9"/>
  <c r="CB213" i="9"/>
  <c r="CB150" i="9"/>
  <c r="CB162" i="9"/>
  <c r="CB84" i="9"/>
  <c r="CB126" i="9"/>
  <c r="CB123" i="9"/>
  <c r="CB159" i="9"/>
  <c r="CB174" i="9"/>
  <c r="CB186" i="9"/>
  <c r="CB204" i="9"/>
  <c r="CB192" i="9"/>
  <c r="CB81" i="9"/>
  <c r="CB147" i="9"/>
  <c r="CB171" i="9"/>
  <c r="CB183" i="9"/>
  <c r="CB198" i="9"/>
  <c r="CB216" i="9"/>
  <c r="CB195" i="9"/>
  <c r="CB210" i="9"/>
  <c r="CB207" i="9"/>
  <c r="AL132" i="4" l="1"/>
  <c r="AU132" i="4"/>
  <c r="BC132" i="4"/>
  <c r="BK132" i="4"/>
  <c r="BS132" i="4"/>
  <c r="CA132" i="4"/>
  <c r="AN132" i="4"/>
  <c r="AV132" i="4"/>
  <c r="BD132" i="4"/>
  <c r="BL132" i="4"/>
  <c r="BT132" i="4"/>
  <c r="CB132" i="4"/>
  <c r="AF132" i="4"/>
  <c r="AO132" i="4"/>
  <c r="AW132" i="4"/>
  <c r="BE132" i="4"/>
  <c r="BM132" i="4"/>
  <c r="BU132" i="4"/>
  <c r="CC132" i="4"/>
  <c r="AG132" i="4"/>
  <c r="AP132" i="4"/>
  <c r="AX132" i="4"/>
  <c r="BF132" i="4"/>
  <c r="BN132" i="4"/>
  <c r="BV132" i="4"/>
  <c r="AH132" i="4"/>
  <c r="AQ132" i="4"/>
  <c r="AY132" i="4"/>
  <c r="BG132" i="4"/>
  <c r="BO132" i="4"/>
  <c r="BW132" i="4"/>
  <c r="AI132" i="4"/>
  <c r="AR132" i="4"/>
  <c r="AZ132" i="4"/>
  <c r="BH132" i="4"/>
  <c r="BP132" i="4"/>
  <c r="BX132" i="4"/>
  <c r="AJ132" i="4"/>
  <c r="AS132" i="4"/>
  <c r="BA132" i="4"/>
  <c r="BI132" i="4"/>
  <c r="BQ132" i="4"/>
  <c r="BY132" i="4"/>
  <c r="BR132" i="4"/>
  <c r="X132" i="4"/>
  <c r="BZ132" i="4"/>
  <c r="Y132" i="4"/>
  <c r="Z132" i="4"/>
  <c r="AA132" i="4"/>
  <c r="AK132" i="4"/>
  <c r="AB132" i="4"/>
  <c r="AT132" i="4"/>
  <c r="AC132" i="4"/>
  <c r="BB132" i="4"/>
  <c r="V132" i="4"/>
  <c r="AD132" i="4"/>
  <c r="BJ132" i="4"/>
  <c r="W132" i="4"/>
  <c r="AE132" i="4"/>
  <c r="Q132" i="4"/>
  <c r="R132" i="4"/>
  <c r="S132" i="4"/>
  <c r="T132" i="4"/>
  <c r="U132" i="4"/>
  <c r="B131" i="4"/>
  <c r="J132" i="4"/>
  <c r="D132" i="4"/>
  <c r="L132" i="4"/>
  <c r="G132" i="4"/>
  <c r="C132" i="4"/>
  <c r="E132" i="4"/>
  <c r="K132" i="4"/>
  <c r="F132" i="4"/>
  <c r="H132" i="4"/>
  <c r="I132" i="4"/>
  <c r="M132" i="4"/>
  <c r="N132" i="4"/>
  <c r="P131" i="4"/>
  <c r="O131" i="4"/>
  <c r="A133" i="4"/>
  <c r="AM133" i="4" s="1"/>
  <c r="CC3" i="9"/>
  <c r="CC12" i="9"/>
  <c r="CC2" i="9"/>
  <c r="CC9" i="9"/>
  <c r="CC24" i="9"/>
  <c r="CC6" i="9"/>
  <c r="CC21" i="9"/>
  <c r="CC33" i="9"/>
  <c r="CC45" i="9"/>
  <c r="CC30" i="9"/>
  <c r="CC42" i="9"/>
  <c r="CC18" i="9"/>
  <c r="CC39" i="9"/>
  <c r="CC60" i="9"/>
  <c r="CC15" i="9"/>
  <c r="CC36" i="9"/>
  <c r="CC57" i="9"/>
  <c r="CC69" i="9"/>
  <c r="CC81" i="9"/>
  <c r="CC93" i="9"/>
  <c r="CC105" i="9"/>
  <c r="CC48" i="9"/>
  <c r="CC63" i="9"/>
  <c r="CC66" i="9"/>
  <c r="CC78" i="9"/>
  <c r="CC90" i="9"/>
  <c r="CC102" i="9"/>
  <c r="CC27" i="9"/>
  <c r="CC54" i="9"/>
  <c r="CC75" i="9"/>
  <c r="CC99" i="9"/>
  <c r="CC123" i="9"/>
  <c r="CC135" i="9"/>
  <c r="CC51" i="9"/>
  <c r="CC72" i="9"/>
  <c r="CC96" i="9"/>
  <c r="CC120" i="9"/>
  <c r="CC132" i="9"/>
  <c r="CC144" i="9"/>
  <c r="CC111" i="9"/>
  <c r="CC117" i="9"/>
  <c r="CC141" i="9"/>
  <c r="CC147" i="9"/>
  <c r="CC159" i="9"/>
  <c r="CC171" i="9"/>
  <c r="CC108" i="9"/>
  <c r="CC114" i="9"/>
  <c r="CC138" i="9"/>
  <c r="CC156" i="9"/>
  <c r="CC168" i="9"/>
  <c r="CC180" i="9"/>
  <c r="CC192" i="9"/>
  <c r="CC204" i="9"/>
  <c r="CC216" i="9"/>
  <c r="CC153" i="9"/>
  <c r="CC165" i="9"/>
  <c r="CC87" i="9"/>
  <c r="CC129" i="9"/>
  <c r="CC126" i="9"/>
  <c r="CC162" i="9"/>
  <c r="CC177" i="9"/>
  <c r="CC189" i="9"/>
  <c r="CC207" i="9"/>
  <c r="CC84" i="9"/>
  <c r="CC150" i="9"/>
  <c r="CC174" i="9"/>
  <c r="CC186" i="9"/>
  <c r="CC201" i="9"/>
  <c r="CC183" i="9"/>
  <c r="CC198" i="9"/>
  <c r="CC213" i="9"/>
  <c r="CC195" i="9"/>
  <c r="CC210" i="9"/>
  <c r="AK133" i="4" l="1"/>
  <c r="AT133" i="4"/>
  <c r="BB133" i="4"/>
  <c r="BJ133" i="4"/>
  <c r="BR133" i="4"/>
  <c r="BZ133" i="4"/>
  <c r="AL133" i="4"/>
  <c r="AU133" i="4"/>
  <c r="BC133" i="4"/>
  <c r="BK133" i="4"/>
  <c r="BS133" i="4"/>
  <c r="CA133" i="4"/>
  <c r="AN133" i="4"/>
  <c r="AV133" i="4"/>
  <c r="BD133" i="4"/>
  <c r="BL133" i="4"/>
  <c r="BT133" i="4"/>
  <c r="CB133" i="4"/>
  <c r="AF133" i="4"/>
  <c r="AO133" i="4"/>
  <c r="AW133" i="4"/>
  <c r="BE133" i="4"/>
  <c r="BM133" i="4"/>
  <c r="BU133" i="4"/>
  <c r="CC133" i="4"/>
  <c r="AG133" i="4"/>
  <c r="AP133" i="4"/>
  <c r="AX133" i="4"/>
  <c r="BF133" i="4"/>
  <c r="BN133" i="4"/>
  <c r="BV133" i="4"/>
  <c r="AH133" i="4"/>
  <c r="AQ133" i="4"/>
  <c r="AY133" i="4"/>
  <c r="BG133" i="4"/>
  <c r="BO133" i="4"/>
  <c r="BW133" i="4"/>
  <c r="AI133" i="4"/>
  <c r="AR133" i="4"/>
  <c r="AZ133" i="4"/>
  <c r="BH133" i="4"/>
  <c r="BP133" i="4"/>
  <c r="BX133" i="4"/>
  <c r="V133" i="4"/>
  <c r="AD133" i="4"/>
  <c r="AJ133" i="4"/>
  <c r="X133" i="4"/>
  <c r="AS133" i="4"/>
  <c r="Y133" i="4"/>
  <c r="BA133" i="4"/>
  <c r="Z133" i="4"/>
  <c r="BI133" i="4"/>
  <c r="AA133" i="4"/>
  <c r="BQ133" i="4"/>
  <c r="AB133" i="4"/>
  <c r="BY133" i="4"/>
  <c r="AC133" i="4"/>
  <c r="W133" i="4"/>
  <c r="S133" i="4"/>
  <c r="AE133" i="4"/>
  <c r="T133" i="4"/>
  <c r="U133" i="4"/>
  <c r="R133" i="4"/>
  <c r="Q133" i="4"/>
  <c r="B132" i="4"/>
  <c r="D133" i="4"/>
  <c r="L133" i="4"/>
  <c r="F133" i="4"/>
  <c r="N133" i="4"/>
  <c r="I133" i="4"/>
  <c r="C133" i="4"/>
  <c r="J133" i="4"/>
  <c r="K133" i="4"/>
  <c r="G133" i="4"/>
  <c r="M133" i="4"/>
  <c r="E133" i="4"/>
  <c r="H133" i="4"/>
  <c r="P132" i="4"/>
  <c r="O132" i="4"/>
  <c r="A134" i="4"/>
  <c r="AM134" i="4" s="1"/>
  <c r="AJ134" i="4" l="1"/>
  <c r="AS134" i="4"/>
  <c r="BA134" i="4"/>
  <c r="BI134" i="4"/>
  <c r="BQ134" i="4"/>
  <c r="BY134" i="4"/>
  <c r="AK134" i="4"/>
  <c r="AT134" i="4"/>
  <c r="BB134" i="4"/>
  <c r="BJ134" i="4"/>
  <c r="BR134" i="4"/>
  <c r="BZ134" i="4"/>
  <c r="AL134" i="4"/>
  <c r="AU134" i="4"/>
  <c r="BC134" i="4"/>
  <c r="BK134" i="4"/>
  <c r="BS134" i="4"/>
  <c r="CA134" i="4"/>
  <c r="AN134" i="4"/>
  <c r="AV134" i="4"/>
  <c r="BD134" i="4"/>
  <c r="BL134" i="4"/>
  <c r="BT134" i="4"/>
  <c r="CB134" i="4"/>
  <c r="AF134" i="4"/>
  <c r="AO134" i="4"/>
  <c r="AW134" i="4"/>
  <c r="BE134" i="4"/>
  <c r="BM134" i="4"/>
  <c r="BU134" i="4"/>
  <c r="CC134" i="4"/>
  <c r="AG134" i="4"/>
  <c r="AP134" i="4"/>
  <c r="AX134" i="4"/>
  <c r="BF134" i="4"/>
  <c r="BN134" i="4"/>
  <c r="BV134" i="4"/>
  <c r="AH134" i="4"/>
  <c r="AQ134" i="4"/>
  <c r="AY134" i="4"/>
  <c r="BG134" i="4"/>
  <c r="BO134" i="4"/>
  <c r="BW134" i="4"/>
  <c r="AI134" i="4"/>
  <c r="AB134" i="4"/>
  <c r="AR134" i="4"/>
  <c r="AZ134" i="4"/>
  <c r="V134" i="4"/>
  <c r="AD134" i="4"/>
  <c r="BH134" i="4"/>
  <c r="W134" i="4"/>
  <c r="AE134" i="4"/>
  <c r="BP134" i="4"/>
  <c r="X134" i="4"/>
  <c r="BX134" i="4"/>
  <c r="Y134" i="4"/>
  <c r="Z134" i="4"/>
  <c r="AA134" i="4"/>
  <c r="AC134" i="4"/>
  <c r="Q134" i="4"/>
  <c r="R134" i="4"/>
  <c r="S134" i="4"/>
  <c r="T134" i="4"/>
  <c r="U134" i="4"/>
  <c r="B133" i="4"/>
  <c r="O133" i="4"/>
  <c r="H134" i="4"/>
  <c r="J134" i="4"/>
  <c r="E134" i="4"/>
  <c r="M134" i="4"/>
  <c r="C134" i="4"/>
  <c r="D134" i="4"/>
  <c r="K134" i="4"/>
  <c r="F134" i="4"/>
  <c r="G134" i="4"/>
  <c r="L134" i="4"/>
  <c r="I134" i="4"/>
  <c r="N134" i="4"/>
  <c r="P133" i="4"/>
  <c r="A135" i="4"/>
  <c r="AM135" i="4" s="1"/>
  <c r="AI135" i="4" l="1"/>
  <c r="AR135" i="4"/>
  <c r="AZ135" i="4"/>
  <c r="BH135" i="4"/>
  <c r="BP135" i="4"/>
  <c r="BX135" i="4"/>
  <c r="AJ135" i="4"/>
  <c r="AS135" i="4"/>
  <c r="BA135" i="4"/>
  <c r="BI135" i="4"/>
  <c r="BQ135" i="4"/>
  <c r="BY135" i="4"/>
  <c r="AK135" i="4"/>
  <c r="AT135" i="4"/>
  <c r="BB135" i="4"/>
  <c r="BJ135" i="4"/>
  <c r="BR135" i="4"/>
  <c r="BZ135" i="4"/>
  <c r="AL135" i="4"/>
  <c r="AU135" i="4"/>
  <c r="BC135" i="4"/>
  <c r="BK135" i="4"/>
  <c r="BS135" i="4"/>
  <c r="CA135" i="4"/>
  <c r="AN135" i="4"/>
  <c r="AV135" i="4"/>
  <c r="BD135" i="4"/>
  <c r="BL135" i="4"/>
  <c r="BT135" i="4"/>
  <c r="CB135" i="4"/>
  <c r="AF135" i="4"/>
  <c r="AO135" i="4"/>
  <c r="AW135" i="4"/>
  <c r="BE135" i="4"/>
  <c r="BM135" i="4"/>
  <c r="BU135" i="4"/>
  <c r="CC135" i="4"/>
  <c r="AG135" i="4"/>
  <c r="AP135" i="4"/>
  <c r="AX135" i="4"/>
  <c r="BF135" i="4"/>
  <c r="BN135" i="4"/>
  <c r="BV135" i="4"/>
  <c r="AY135" i="4"/>
  <c r="Z135" i="4"/>
  <c r="BG135" i="4"/>
  <c r="BO135" i="4"/>
  <c r="AB135" i="4"/>
  <c r="BW135" i="4"/>
  <c r="AC135" i="4"/>
  <c r="V135" i="4"/>
  <c r="AD135" i="4"/>
  <c r="W135" i="4"/>
  <c r="AE135" i="4"/>
  <c r="AH135" i="4"/>
  <c r="X135" i="4"/>
  <c r="AQ135" i="4"/>
  <c r="Y135" i="4"/>
  <c r="Q135" i="4"/>
  <c r="R135" i="4"/>
  <c r="S135" i="4"/>
  <c r="T135" i="4"/>
  <c r="AA135" i="4"/>
  <c r="U135" i="4"/>
  <c r="P134" i="4"/>
  <c r="D135" i="4"/>
  <c r="L135" i="4"/>
  <c r="F135" i="4"/>
  <c r="N135" i="4"/>
  <c r="I135" i="4"/>
  <c r="C135" i="4"/>
  <c r="E135" i="4"/>
  <c r="K135" i="4"/>
  <c r="H135" i="4"/>
  <c r="J135" i="4"/>
  <c r="M135" i="4"/>
  <c r="G135" i="4"/>
  <c r="B134" i="4"/>
  <c r="O134" i="4"/>
  <c r="A136" i="4"/>
  <c r="AM136" i="4" s="1"/>
  <c r="AH136" i="4" l="1"/>
  <c r="AQ136" i="4"/>
  <c r="AY136" i="4"/>
  <c r="BG136" i="4"/>
  <c r="BO136" i="4"/>
  <c r="BW136" i="4"/>
  <c r="AI136" i="4"/>
  <c r="AR136" i="4"/>
  <c r="AZ136" i="4"/>
  <c r="BH136" i="4"/>
  <c r="BP136" i="4"/>
  <c r="BX136" i="4"/>
  <c r="AJ136" i="4"/>
  <c r="AS136" i="4"/>
  <c r="BA136" i="4"/>
  <c r="BI136" i="4"/>
  <c r="BQ136" i="4"/>
  <c r="BY136" i="4"/>
  <c r="AK136" i="4"/>
  <c r="AT136" i="4"/>
  <c r="BB136" i="4"/>
  <c r="BJ136" i="4"/>
  <c r="BR136" i="4"/>
  <c r="BZ136" i="4"/>
  <c r="AL136" i="4"/>
  <c r="AU136" i="4"/>
  <c r="BC136" i="4"/>
  <c r="BK136" i="4"/>
  <c r="BS136" i="4"/>
  <c r="CA136" i="4"/>
  <c r="AN136" i="4"/>
  <c r="AV136" i="4"/>
  <c r="BD136" i="4"/>
  <c r="BL136" i="4"/>
  <c r="BT136" i="4"/>
  <c r="CB136" i="4"/>
  <c r="AF136" i="4"/>
  <c r="AO136" i="4"/>
  <c r="AW136" i="4"/>
  <c r="BE136" i="4"/>
  <c r="BM136" i="4"/>
  <c r="BU136" i="4"/>
  <c r="CC136" i="4"/>
  <c r="BN136" i="4"/>
  <c r="X136" i="4"/>
  <c r="BV136" i="4"/>
  <c r="Z136" i="4"/>
  <c r="AA136" i="4"/>
  <c r="AG136" i="4"/>
  <c r="AB136" i="4"/>
  <c r="AP136" i="4"/>
  <c r="AC136" i="4"/>
  <c r="AX136" i="4"/>
  <c r="V136" i="4"/>
  <c r="AD136" i="4"/>
  <c r="BF136" i="4"/>
  <c r="W136" i="4"/>
  <c r="AE136" i="4"/>
  <c r="T136" i="4"/>
  <c r="U136" i="4"/>
  <c r="S136" i="4"/>
  <c r="Y136" i="4"/>
  <c r="Q136" i="4"/>
  <c r="R136" i="4"/>
  <c r="B135" i="4"/>
  <c r="O135" i="4"/>
  <c r="D136" i="4"/>
  <c r="C136" i="4"/>
  <c r="L136" i="4"/>
  <c r="E136" i="4"/>
  <c r="M136" i="4"/>
  <c r="I136" i="4"/>
  <c r="K136" i="4"/>
  <c r="N136" i="4"/>
  <c r="H136" i="4"/>
  <c r="G136" i="4"/>
  <c r="F136" i="4"/>
  <c r="J136" i="4"/>
  <c r="P135" i="4"/>
  <c r="A137" i="4"/>
  <c r="AM137" i="4" s="1"/>
  <c r="AG137" i="4" l="1"/>
  <c r="AP137" i="4"/>
  <c r="AX137" i="4"/>
  <c r="BF137" i="4"/>
  <c r="BN137" i="4"/>
  <c r="BV137" i="4"/>
  <c r="AH137" i="4"/>
  <c r="AQ137" i="4"/>
  <c r="AY137" i="4"/>
  <c r="BG137" i="4"/>
  <c r="BO137" i="4"/>
  <c r="BW137" i="4"/>
  <c r="AI137" i="4"/>
  <c r="AR137" i="4"/>
  <c r="AZ137" i="4"/>
  <c r="BH137" i="4"/>
  <c r="BP137" i="4"/>
  <c r="BX137" i="4"/>
  <c r="AJ137" i="4"/>
  <c r="AS137" i="4"/>
  <c r="BA137" i="4"/>
  <c r="BI137" i="4"/>
  <c r="BQ137" i="4"/>
  <c r="BY137" i="4"/>
  <c r="AK137" i="4"/>
  <c r="AT137" i="4"/>
  <c r="BB137" i="4"/>
  <c r="BJ137" i="4"/>
  <c r="BR137" i="4"/>
  <c r="BZ137" i="4"/>
  <c r="AL137" i="4"/>
  <c r="AU137" i="4"/>
  <c r="BC137" i="4"/>
  <c r="BK137" i="4"/>
  <c r="BS137" i="4"/>
  <c r="CA137" i="4"/>
  <c r="AN137" i="4"/>
  <c r="AV137" i="4"/>
  <c r="BD137" i="4"/>
  <c r="BL137" i="4"/>
  <c r="BT137" i="4"/>
  <c r="CB137" i="4"/>
  <c r="CC137" i="4"/>
  <c r="V137" i="4"/>
  <c r="AD137" i="4"/>
  <c r="AF137" i="4"/>
  <c r="X137" i="4"/>
  <c r="AO137" i="4"/>
  <c r="Y137" i="4"/>
  <c r="AW137" i="4"/>
  <c r="Z137" i="4"/>
  <c r="BE137" i="4"/>
  <c r="AA137" i="4"/>
  <c r="BM137" i="4"/>
  <c r="AB137" i="4"/>
  <c r="BU137" i="4"/>
  <c r="AC137" i="4"/>
  <c r="Q137" i="4"/>
  <c r="R137" i="4"/>
  <c r="S137" i="4"/>
  <c r="W137" i="4"/>
  <c r="T137" i="4"/>
  <c r="AE137" i="4"/>
  <c r="U137" i="4"/>
  <c r="O136" i="4"/>
  <c r="H137" i="4"/>
  <c r="I137" i="4"/>
  <c r="E137" i="4"/>
  <c r="M137" i="4"/>
  <c r="L137" i="4"/>
  <c r="N137" i="4"/>
  <c r="C137" i="4"/>
  <c r="D137" i="4"/>
  <c r="G137" i="4"/>
  <c r="J137" i="4"/>
  <c r="F137" i="4"/>
  <c r="K137" i="4"/>
  <c r="P136" i="4"/>
  <c r="B136" i="4"/>
  <c r="A138" i="4"/>
  <c r="AM138" i="4" s="1"/>
  <c r="AF138" i="4" l="1"/>
  <c r="AO138" i="4"/>
  <c r="AW138" i="4"/>
  <c r="BE138" i="4"/>
  <c r="BM138" i="4"/>
  <c r="BU138" i="4"/>
  <c r="CC138" i="4"/>
  <c r="AG138" i="4"/>
  <c r="AP138" i="4"/>
  <c r="AX138" i="4"/>
  <c r="BF138" i="4"/>
  <c r="BN138" i="4"/>
  <c r="BV138" i="4"/>
  <c r="AH138" i="4"/>
  <c r="AQ138" i="4"/>
  <c r="AY138" i="4"/>
  <c r="BG138" i="4"/>
  <c r="BO138" i="4"/>
  <c r="BW138" i="4"/>
  <c r="AI138" i="4"/>
  <c r="AR138" i="4"/>
  <c r="AZ138" i="4"/>
  <c r="BH138" i="4"/>
  <c r="BP138" i="4"/>
  <c r="BX138" i="4"/>
  <c r="AJ138" i="4"/>
  <c r="AS138" i="4"/>
  <c r="BA138" i="4"/>
  <c r="BI138" i="4"/>
  <c r="BQ138" i="4"/>
  <c r="BY138" i="4"/>
  <c r="AK138" i="4"/>
  <c r="AT138" i="4"/>
  <c r="BB138" i="4"/>
  <c r="BJ138" i="4"/>
  <c r="BR138" i="4"/>
  <c r="BZ138" i="4"/>
  <c r="AL138" i="4"/>
  <c r="AU138" i="4"/>
  <c r="BC138" i="4"/>
  <c r="BK138" i="4"/>
  <c r="BS138" i="4"/>
  <c r="CA138" i="4"/>
  <c r="AB138" i="4"/>
  <c r="AN138" i="4"/>
  <c r="AV138" i="4"/>
  <c r="V138" i="4"/>
  <c r="AD138" i="4"/>
  <c r="BD138" i="4"/>
  <c r="W138" i="4"/>
  <c r="AE138" i="4"/>
  <c r="BL138" i="4"/>
  <c r="X138" i="4"/>
  <c r="BT138" i="4"/>
  <c r="Y138" i="4"/>
  <c r="CB138" i="4"/>
  <c r="Z138" i="4"/>
  <c r="AA138" i="4"/>
  <c r="R138" i="4"/>
  <c r="S138" i="4"/>
  <c r="Q138" i="4"/>
  <c r="T138" i="4"/>
  <c r="U138" i="4"/>
  <c r="AC138" i="4"/>
  <c r="B137" i="4"/>
  <c r="D138" i="4"/>
  <c r="L138" i="4"/>
  <c r="E138" i="4"/>
  <c r="M138" i="4"/>
  <c r="I138" i="4"/>
  <c r="N138" i="4"/>
  <c r="C138" i="4"/>
  <c r="F138" i="4"/>
  <c r="G138" i="4"/>
  <c r="J138" i="4"/>
  <c r="H138" i="4"/>
  <c r="K138" i="4"/>
  <c r="O137" i="4"/>
  <c r="P137" i="4"/>
  <c r="A139" i="4"/>
  <c r="AM139" i="4" s="1"/>
  <c r="AN139" i="4" l="1"/>
  <c r="AV139" i="4"/>
  <c r="BD139" i="4"/>
  <c r="BL139" i="4"/>
  <c r="BT139" i="4"/>
  <c r="CB139" i="4"/>
  <c r="AF139" i="4"/>
  <c r="AO139" i="4"/>
  <c r="AW139" i="4"/>
  <c r="BE139" i="4"/>
  <c r="BM139" i="4"/>
  <c r="BU139" i="4"/>
  <c r="CC139" i="4"/>
  <c r="AG139" i="4"/>
  <c r="AP139" i="4"/>
  <c r="AX139" i="4"/>
  <c r="BF139" i="4"/>
  <c r="BN139" i="4"/>
  <c r="BV139" i="4"/>
  <c r="AH139" i="4"/>
  <c r="AQ139" i="4"/>
  <c r="AY139" i="4"/>
  <c r="BG139" i="4"/>
  <c r="BO139" i="4"/>
  <c r="BW139" i="4"/>
  <c r="AI139" i="4"/>
  <c r="AR139" i="4"/>
  <c r="AZ139" i="4"/>
  <c r="BH139" i="4"/>
  <c r="BP139" i="4"/>
  <c r="BX139" i="4"/>
  <c r="AJ139" i="4"/>
  <c r="AS139" i="4"/>
  <c r="BA139" i="4"/>
  <c r="BI139" i="4"/>
  <c r="BQ139" i="4"/>
  <c r="BY139" i="4"/>
  <c r="AK139" i="4"/>
  <c r="AT139" i="4"/>
  <c r="BB139" i="4"/>
  <c r="BJ139" i="4"/>
  <c r="BR139" i="4"/>
  <c r="BZ139" i="4"/>
  <c r="AU139" i="4"/>
  <c r="Z139" i="4"/>
  <c r="BC139" i="4"/>
  <c r="BK139" i="4"/>
  <c r="AB139" i="4"/>
  <c r="BS139" i="4"/>
  <c r="AC139" i="4"/>
  <c r="CA139" i="4"/>
  <c r="V139" i="4"/>
  <c r="AD139" i="4"/>
  <c r="W139" i="4"/>
  <c r="AE139" i="4"/>
  <c r="X139" i="4"/>
  <c r="AL139" i="4"/>
  <c r="Y139" i="4"/>
  <c r="AA139" i="4"/>
  <c r="U139" i="4"/>
  <c r="T139" i="4"/>
  <c r="Q139" i="4"/>
  <c r="R139" i="4"/>
  <c r="S139" i="4"/>
  <c r="O138" i="4"/>
  <c r="P138" i="4"/>
  <c r="F139" i="4"/>
  <c r="N139" i="4"/>
  <c r="G139" i="4"/>
  <c r="C139" i="4"/>
  <c r="K139" i="4"/>
  <c r="M139" i="4"/>
  <c r="D139" i="4"/>
  <c r="I139" i="4"/>
  <c r="H139" i="4"/>
  <c r="E139" i="4"/>
  <c r="J139" i="4"/>
  <c r="L139" i="4"/>
  <c r="B138" i="4"/>
  <c r="A140" i="4"/>
  <c r="AM140" i="4" s="1"/>
  <c r="AL140" i="4" l="1"/>
  <c r="AU140" i="4"/>
  <c r="BC140" i="4"/>
  <c r="BK140" i="4"/>
  <c r="BS140" i="4"/>
  <c r="CA140" i="4"/>
  <c r="AN140" i="4"/>
  <c r="AV140" i="4"/>
  <c r="BD140" i="4"/>
  <c r="BL140" i="4"/>
  <c r="BT140" i="4"/>
  <c r="CB140" i="4"/>
  <c r="AF140" i="4"/>
  <c r="AO140" i="4"/>
  <c r="AW140" i="4"/>
  <c r="BE140" i="4"/>
  <c r="BM140" i="4"/>
  <c r="BU140" i="4"/>
  <c r="CC140" i="4"/>
  <c r="AG140" i="4"/>
  <c r="AP140" i="4"/>
  <c r="AX140" i="4"/>
  <c r="BF140" i="4"/>
  <c r="BN140" i="4"/>
  <c r="BV140" i="4"/>
  <c r="AH140" i="4"/>
  <c r="AQ140" i="4"/>
  <c r="AY140" i="4"/>
  <c r="BG140" i="4"/>
  <c r="BO140" i="4"/>
  <c r="BW140" i="4"/>
  <c r="AI140" i="4"/>
  <c r="AR140" i="4"/>
  <c r="AZ140" i="4"/>
  <c r="BH140" i="4"/>
  <c r="BP140" i="4"/>
  <c r="BX140" i="4"/>
  <c r="AJ140" i="4"/>
  <c r="AS140" i="4"/>
  <c r="BA140" i="4"/>
  <c r="BI140" i="4"/>
  <c r="BQ140" i="4"/>
  <c r="BY140" i="4"/>
  <c r="BJ140" i="4"/>
  <c r="X140" i="4"/>
  <c r="BR140" i="4"/>
  <c r="BZ140" i="4"/>
  <c r="Z140" i="4"/>
  <c r="AA140" i="4"/>
  <c r="AB140" i="4"/>
  <c r="AK140" i="4"/>
  <c r="AC140" i="4"/>
  <c r="AT140" i="4"/>
  <c r="V140" i="4"/>
  <c r="AD140" i="4"/>
  <c r="BB140" i="4"/>
  <c r="W140" i="4"/>
  <c r="AE140" i="4"/>
  <c r="Y140" i="4"/>
  <c r="Q140" i="4"/>
  <c r="R140" i="4"/>
  <c r="S140" i="4"/>
  <c r="T140" i="4"/>
  <c r="U140" i="4"/>
  <c r="P139" i="4"/>
  <c r="O139" i="4"/>
  <c r="B139" i="4"/>
  <c r="I140" i="4"/>
  <c r="J140" i="4"/>
  <c r="F140" i="4"/>
  <c r="N140" i="4"/>
  <c r="L140" i="4"/>
  <c r="M140" i="4"/>
  <c r="C140" i="4"/>
  <c r="D140" i="4"/>
  <c r="G140" i="4"/>
  <c r="H140" i="4"/>
  <c r="E140" i="4"/>
  <c r="K140" i="4"/>
  <c r="A141" i="4"/>
  <c r="AM141" i="4" s="1"/>
  <c r="AK141" i="4" l="1"/>
  <c r="AT141" i="4"/>
  <c r="BB141" i="4"/>
  <c r="BJ141" i="4"/>
  <c r="BR141" i="4"/>
  <c r="BZ141" i="4"/>
  <c r="AL141" i="4"/>
  <c r="AU141" i="4"/>
  <c r="BC141" i="4"/>
  <c r="BK141" i="4"/>
  <c r="BS141" i="4"/>
  <c r="CA141" i="4"/>
  <c r="AN141" i="4"/>
  <c r="AV141" i="4"/>
  <c r="BD141" i="4"/>
  <c r="BL141" i="4"/>
  <c r="BT141" i="4"/>
  <c r="CB141" i="4"/>
  <c r="AF141" i="4"/>
  <c r="AO141" i="4"/>
  <c r="AW141" i="4"/>
  <c r="BE141" i="4"/>
  <c r="BM141" i="4"/>
  <c r="BU141" i="4"/>
  <c r="CC141" i="4"/>
  <c r="AG141" i="4"/>
  <c r="AP141" i="4"/>
  <c r="AX141" i="4"/>
  <c r="BF141" i="4"/>
  <c r="BN141" i="4"/>
  <c r="BV141" i="4"/>
  <c r="AH141" i="4"/>
  <c r="AQ141" i="4"/>
  <c r="AY141" i="4"/>
  <c r="BG141" i="4"/>
  <c r="BO141" i="4"/>
  <c r="BW141" i="4"/>
  <c r="AI141" i="4"/>
  <c r="AR141" i="4"/>
  <c r="AZ141" i="4"/>
  <c r="BH141" i="4"/>
  <c r="BP141" i="4"/>
  <c r="BX141" i="4"/>
  <c r="BY141" i="4"/>
  <c r="V141" i="4"/>
  <c r="AD141" i="4"/>
  <c r="X141" i="4"/>
  <c r="AJ141" i="4"/>
  <c r="Y141" i="4"/>
  <c r="AS141" i="4"/>
  <c r="Z141" i="4"/>
  <c r="BA141" i="4"/>
  <c r="AA141" i="4"/>
  <c r="BI141" i="4"/>
  <c r="AB141" i="4"/>
  <c r="BQ141" i="4"/>
  <c r="AC141" i="4"/>
  <c r="S141" i="4"/>
  <c r="T141" i="4"/>
  <c r="W141" i="4"/>
  <c r="U141" i="4"/>
  <c r="AE141" i="4"/>
  <c r="Q141" i="4"/>
  <c r="R141" i="4"/>
  <c r="B140" i="4"/>
  <c r="C141" i="4"/>
  <c r="K141" i="4"/>
  <c r="D141" i="4"/>
  <c r="L141" i="4"/>
  <c r="H141" i="4"/>
  <c r="J141" i="4"/>
  <c r="M141" i="4"/>
  <c r="G141" i="4"/>
  <c r="N141" i="4"/>
  <c r="F141" i="4"/>
  <c r="E141" i="4"/>
  <c r="I141" i="4"/>
  <c r="O140" i="4"/>
  <c r="P140" i="4"/>
  <c r="A142" i="4"/>
  <c r="AM142" i="4" s="1"/>
  <c r="AJ142" i="4" l="1"/>
  <c r="AS142" i="4"/>
  <c r="BA142" i="4"/>
  <c r="BI142" i="4"/>
  <c r="BQ142" i="4"/>
  <c r="BY142" i="4"/>
  <c r="AK142" i="4"/>
  <c r="AT142" i="4"/>
  <c r="BB142" i="4"/>
  <c r="BJ142" i="4"/>
  <c r="BR142" i="4"/>
  <c r="BZ142" i="4"/>
  <c r="AL142" i="4"/>
  <c r="AU142" i="4"/>
  <c r="BC142" i="4"/>
  <c r="BK142" i="4"/>
  <c r="BS142" i="4"/>
  <c r="CA142" i="4"/>
  <c r="AN142" i="4"/>
  <c r="AV142" i="4"/>
  <c r="BD142" i="4"/>
  <c r="BL142" i="4"/>
  <c r="BT142" i="4"/>
  <c r="CB142" i="4"/>
  <c r="AF142" i="4"/>
  <c r="AO142" i="4"/>
  <c r="AW142" i="4"/>
  <c r="BE142" i="4"/>
  <c r="BM142" i="4"/>
  <c r="BU142" i="4"/>
  <c r="CC142" i="4"/>
  <c r="AG142" i="4"/>
  <c r="AP142" i="4"/>
  <c r="AX142" i="4"/>
  <c r="BF142" i="4"/>
  <c r="BN142" i="4"/>
  <c r="BV142" i="4"/>
  <c r="AH142" i="4"/>
  <c r="AQ142" i="4"/>
  <c r="AY142" i="4"/>
  <c r="BG142" i="4"/>
  <c r="BO142" i="4"/>
  <c r="BW142" i="4"/>
  <c r="AB142" i="4"/>
  <c r="AI142" i="4"/>
  <c r="AR142" i="4"/>
  <c r="V142" i="4"/>
  <c r="AD142" i="4"/>
  <c r="AZ142" i="4"/>
  <c r="W142" i="4"/>
  <c r="AE142" i="4"/>
  <c r="BH142" i="4"/>
  <c r="X142" i="4"/>
  <c r="BP142" i="4"/>
  <c r="Y142" i="4"/>
  <c r="BX142" i="4"/>
  <c r="Z142" i="4"/>
  <c r="AA142" i="4"/>
  <c r="Q142" i="4"/>
  <c r="AC142" i="4"/>
  <c r="R142" i="4"/>
  <c r="U142" i="4"/>
  <c r="S142" i="4"/>
  <c r="T142" i="4"/>
  <c r="P141" i="4"/>
  <c r="O141" i="4"/>
  <c r="G142" i="4"/>
  <c r="H142" i="4"/>
  <c r="D142" i="4"/>
  <c r="L142" i="4"/>
  <c r="I142" i="4"/>
  <c r="M142" i="4"/>
  <c r="N142" i="4"/>
  <c r="C142" i="4"/>
  <c r="E142" i="4"/>
  <c r="F142" i="4"/>
  <c r="J142" i="4"/>
  <c r="K142" i="4"/>
  <c r="B141" i="4"/>
  <c r="A143" i="4"/>
  <c r="AM143" i="4" s="1"/>
  <c r="AM9" i="4" s="1"/>
  <c r="AI143" i="4" l="1"/>
  <c r="AI9" i="4" s="1"/>
  <c r="AR143" i="4"/>
  <c r="AR9" i="4" s="1"/>
  <c r="AZ143" i="4"/>
  <c r="AZ9" i="4" s="1"/>
  <c r="BH143" i="4"/>
  <c r="BH9" i="4" s="1"/>
  <c r="BP143" i="4"/>
  <c r="BP9" i="4" s="1"/>
  <c r="BX143" i="4"/>
  <c r="BX9" i="4" s="1"/>
  <c r="AJ143" i="4"/>
  <c r="AJ9" i="4" s="1"/>
  <c r="AS143" i="4"/>
  <c r="AS9" i="4" s="1"/>
  <c r="BA143" i="4"/>
  <c r="BA9" i="4" s="1"/>
  <c r="BI143" i="4"/>
  <c r="BI9" i="4" s="1"/>
  <c r="BQ143" i="4"/>
  <c r="BQ9" i="4" s="1"/>
  <c r="BY143" i="4"/>
  <c r="BY9" i="4" s="1"/>
  <c r="AK143" i="4"/>
  <c r="AK9" i="4" s="1"/>
  <c r="AT143" i="4"/>
  <c r="AT9" i="4" s="1"/>
  <c r="BB143" i="4"/>
  <c r="BB9" i="4" s="1"/>
  <c r="BJ143" i="4"/>
  <c r="BJ9" i="4" s="1"/>
  <c r="BR143" i="4"/>
  <c r="BR9" i="4" s="1"/>
  <c r="BZ143" i="4"/>
  <c r="BZ9" i="4" s="1"/>
  <c r="AL143" i="4"/>
  <c r="AL9" i="4" s="1"/>
  <c r="AU143" i="4"/>
  <c r="AU9" i="4" s="1"/>
  <c r="BC143" i="4"/>
  <c r="BC9" i="4" s="1"/>
  <c r="BK143" i="4"/>
  <c r="BK9" i="4" s="1"/>
  <c r="BS143" i="4"/>
  <c r="BS9" i="4" s="1"/>
  <c r="CA143" i="4"/>
  <c r="CA9" i="4" s="1"/>
  <c r="AN143" i="4"/>
  <c r="AN9" i="4" s="1"/>
  <c r="AV143" i="4"/>
  <c r="AV9" i="4" s="1"/>
  <c r="BD143" i="4"/>
  <c r="BD9" i="4" s="1"/>
  <c r="BL143" i="4"/>
  <c r="BL9" i="4" s="1"/>
  <c r="BT143" i="4"/>
  <c r="BT9" i="4" s="1"/>
  <c r="CB143" i="4"/>
  <c r="CB9" i="4" s="1"/>
  <c r="AF143" i="4"/>
  <c r="AF9" i="4" s="1"/>
  <c r="AO143" i="4"/>
  <c r="AO9" i="4" s="1"/>
  <c r="AW143" i="4"/>
  <c r="AW9" i="4" s="1"/>
  <c r="BE143" i="4"/>
  <c r="BE9" i="4" s="1"/>
  <c r="BM143" i="4"/>
  <c r="BM9" i="4" s="1"/>
  <c r="BU143" i="4"/>
  <c r="BU9" i="4" s="1"/>
  <c r="CC143" i="4"/>
  <c r="CC9" i="4" s="1"/>
  <c r="AG143" i="4"/>
  <c r="AG9" i="4" s="1"/>
  <c r="AP143" i="4"/>
  <c r="AP9" i="4" s="1"/>
  <c r="AX143" i="4"/>
  <c r="AX9" i="4" s="1"/>
  <c r="BF143" i="4"/>
  <c r="BF9" i="4" s="1"/>
  <c r="BN143" i="4"/>
  <c r="BN9" i="4" s="1"/>
  <c r="BV143" i="4"/>
  <c r="BV9" i="4" s="1"/>
  <c r="AQ143" i="4"/>
  <c r="AQ9" i="4" s="1"/>
  <c r="Z143" i="4"/>
  <c r="Z9" i="4" s="1"/>
  <c r="AY143" i="4"/>
  <c r="AY9" i="4" s="1"/>
  <c r="BG143" i="4"/>
  <c r="BG9" i="4" s="1"/>
  <c r="AB143" i="4"/>
  <c r="AB9" i="4" s="1"/>
  <c r="BO143" i="4"/>
  <c r="BO9" i="4" s="1"/>
  <c r="AC143" i="4"/>
  <c r="AC9" i="4" s="1"/>
  <c r="BW143" i="4"/>
  <c r="BW9" i="4" s="1"/>
  <c r="V143" i="4"/>
  <c r="V9" i="4" s="1"/>
  <c r="AD143" i="4"/>
  <c r="AD9" i="4" s="1"/>
  <c r="W143" i="4"/>
  <c r="W9" i="4" s="1"/>
  <c r="AE143" i="4"/>
  <c r="AE9" i="4" s="1"/>
  <c r="X143" i="4"/>
  <c r="X9" i="4" s="1"/>
  <c r="AH143" i="4"/>
  <c r="AH9" i="4" s="1"/>
  <c r="Y143" i="4"/>
  <c r="Y9" i="4" s="1"/>
  <c r="Q143" i="4"/>
  <c r="Q9" i="4" s="1"/>
  <c r="R143" i="4"/>
  <c r="R9" i="4" s="1"/>
  <c r="S143" i="4"/>
  <c r="S9" i="4" s="1"/>
  <c r="T143" i="4"/>
  <c r="T9" i="4" s="1"/>
  <c r="U143" i="4"/>
  <c r="U9" i="4" s="1"/>
  <c r="AA143" i="4"/>
  <c r="AA9" i="4" s="1"/>
  <c r="O142" i="4"/>
  <c r="C143" i="4"/>
  <c r="K143" i="4"/>
  <c r="K9" i="4" s="1"/>
  <c r="D143" i="4"/>
  <c r="L143" i="4"/>
  <c r="L9" i="4" s="1"/>
  <c r="H143" i="4"/>
  <c r="H9" i="4" s="1"/>
  <c r="M143" i="4"/>
  <c r="M9" i="4" s="1"/>
  <c r="N143" i="4"/>
  <c r="N9" i="4" s="1"/>
  <c r="E143" i="4"/>
  <c r="G143" i="4"/>
  <c r="G9" i="4" s="1"/>
  <c r="F143" i="4"/>
  <c r="J143" i="4"/>
  <c r="I143" i="4"/>
  <c r="I9" i="4" s="1"/>
  <c r="P142" i="4"/>
  <c r="B142" i="4"/>
  <c r="O143" i="4" l="1"/>
  <c r="O9" i="4" s="1"/>
  <c r="P143" i="4"/>
  <c r="P9" i="4" s="1"/>
  <c r="B143" i="4"/>
  <c r="J9" i="4"/>
  <c r="K16" i="17" s="1"/>
  <c r="F9" i="4"/>
  <c r="C9" i="4"/>
  <c r="L16" i="17" l="1"/>
  <c r="B9" i="4"/>
  <c r="D9" i="4"/>
  <c r="E9" i="4"/>
  <c r="C38" i="17" l="1"/>
  <c r="B20" i="17"/>
  <c r="C37" i="17"/>
  <c r="C20" i="17" l="1"/>
  <c r="C21" i="17" s="1"/>
  <c r="D38" i="17"/>
  <c r="B21" i="17"/>
  <c r="D37" i="17"/>
  <c r="B36" i="17" l="1"/>
  <c r="B35" i="17" s="1"/>
  <c r="B34" i="17" s="1"/>
  <c r="B33" i="17" s="1"/>
  <c r="B32" i="17" s="1"/>
  <c r="B31" i="17" s="1"/>
  <c r="B30" i="17" s="1"/>
  <c r="B29" i="17" s="1"/>
  <c r="B28" i="17" s="1"/>
  <c r="B27" i="17" s="1"/>
  <c r="B26" i="17" s="1"/>
  <c r="B25" i="17" s="1"/>
  <c r="B24" i="17" s="1"/>
  <c r="B23" i="17" s="1"/>
  <c r="C22" i="17"/>
  <c r="B22" i="17"/>
  <c r="E38" i="17"/>
  <c r="E37" i="17"/>
  <c r="D20" i="17"/>
  <c r="C36" i="17"/>
  <c r="C35" i="17" s="1"/>
  <c r="C34" i="17" s="1"/>
  <c r="D21" i="17" l="1"/>
  <c r="D36" i="17" s="1"/>
  <c r="C33" i="17"/>
  <c r="C32" i="17" s="1"/>
  <c r="C31" i="17" s="1"/>
  <c r="C30" i="17" s="1"/>
  <c r="C29" i="17" s="1"/>
  <c r="C28" i="17" s="1"/>
  <c r="C27" i="17" s="1"/>
  <c r="C26" i="17" s="1"/>
  <c r="C25" i="17" s="1"/>
  <c r="C24" i="17" s="1"/>
  <c r="C23" i="17" s="1"/>
  <c r="E20" i="17"/>
  <c r="F38" i="17"/>
  <c r="F37" i="17"/>
  <c r="D35" i="17" l="1"/>
  <c r="D34" i="17" s="1"/>
  <c r="D33" i="17" s="1"/>
  <c r="D32" i="17" s="1"/>
  <c r="D31" i="17" s="1"/>
  <c r="D30" i="17" s="1"/>
  <c r="D29" i="17" s="1"/>
  <c r="D28" i="17" s="1"/>
  <c r="D27" i="17" s="1"/>
  <c r="D26" i="17" s="1"/>
  <c r="D25" i="17" s="1"/>
  <c r="D24" i="17" s="1"/>
  <c r="D23" i="17" s="1"/>
  <c r="D22" i="17"/>
  <c r="E21" i="17"/>
  <c r="E22" i="17" s="1"/>
  <c r="G38" i="17"/>
  <c r="F20" i="17"/>
  <c r="G37" i="17"/>
  <c r="E36" i="17" l="1"/>
  <c r="E35" i="17" s="1"/>
  <c r="E34" i="17" s="1"/>
  <c r="E33" i="17" s="1"/>
  <c r="E32" i="17" s="1"/>
  <c r="E31" i="17" s="1"/>
  <c r="E30" i="17" s="1"/>
  <c r="E29" i="17" s="1"/>
  <c r="E28" i="17" s="1"/>
  <c r="E27" i="17" s="1"/>
  <c r="E26" i="17" s="1"/>
  <c r="E25" i="17" s="1"/>
  <c r="E24" i="17" s="1"/>
  <c r="E23" i="17" s="1"/>
  <c r="H38" i="17"/>
  <c r="G20" i="17"/>
  <c r="H37" i="17"/>
  <c r="F21" i="17"/>
  <c r="F22" i="17" s="1"/>
  <c r="G21" i="17" l="1"/>
  <c r="G22" i="17" s="1"/>
  <c r="F36" i="17"/>
  <c r="F35" i="17" s="1"/>
  <c r="F34" i="17" s="1"/>
  <c r="F33" i="17" s="1"/>
  <c r="F32" i="17" s="1"/>
  <c r="F31" i="17" s="1"/>
  <c r="F30" i="17" s="1"/>
  <c r="F29" i="17" s="1"/>
  <c r="F28" i="17" s="1"/>
  <c r="F27" i="17" s="1"/>
  <c r="F26" i="17" s="1"/>
  <c r="F25" i="17" s="1"/>
  <c r="F24" i="17" s="1"/>
  <c r="F23" i="17" s="1"/>
  <c r="I38" i="17"/>
  <c r="I37" i="17"/>
  <c r="H20" i="17"/>
  <c r="G36" i="17" l="1"/>
  <c r="G35" i="17" s="1"/>
  <c r="G34" i="17" s="1"/>
  <c r="G33" i="17" s="1"/>
  <c r="G32" i="17" s="1"/>
  <c r="G31" i="17" s="1"/>
  <c r="G30" i="17" s="1"/>
  <c r="G29" i="17" s="1"/>
  <c r="G28" i="17" s="1"/>
  <c r="G27" i="17" s="1"/>
  <c r="G26" i="17" s="1"/>
  <c r="G25" i="17" s="1"/>
  <c r="G24" i="17" s="1"/>
  <c r="G23" i="17" s="1"/>
  <c r="J38" i="17"/>
  <c r="I20" i="17"/>
  <c r="J37" i="17"/>
  <c r="H21" i="17"/>
  <c r="H22" i="17" s="1"/>
  <c r="I21" i="17" l="1"/>
  <c r="I22" i="17" s="1"/>
  <c r="J20" i="17"/>
  <c r="J21" i="17" s="1"/>
  <c r="K37" i="17"/>
  <c r="K38" i="17"/>
  <c r="H36" i="17"/>
  <c r="H35" i="17" s="1"/>
  <c r="H34" i="17" s="1"/>
  <c r="H33" i="17" s="1"/>
  <c r="H32" i="17" s="1"/>
  <c r="H31" i="17" s="1"/>
  <c r="H30" i="17" s="1"/>
  <c r="H29" i="17" s="1"/>
  <c r="H28" i="17" s="1"/>
  <c r="H27" i="17" s="1"/>
  <c r="H26" i="17" s="1"/>
  <c r="H25" i="17" s="1"/>
  <c r="H24" i="17" s="1"/>
  <c r="H23" i="17" s="1"/>
  <c r="I36" i="17" l="1"/>
  <c r="I35" i="17" s="1"/>
  <c r="I34" i="17" s="1"/>
  <c r="I33" i="17" s="1"/>
  <c r="I32" i="17" s="1"/>
  <c r="I31" i="17" s="1"/>
  <c r="I30" i="17" s="1"/>
  <c r="I29" i="17" s="1"/>
  <c r="I28" i="17" s="1"/>
  <c r="I27" i="17" s="1"/>
  <c r="I26" i="17" s="1"/>
  <c r="I25" i="17" s="1"/>
  <c r="I24" i="17" s="1"/>
  <c r="I23" i="17" s="1"/>
  <c r="J22" i="17"/>
  <c r="J36" i="17"/>
  <c r="J35" i="17" s="1"/>
  <c r="J34" i="17" s="1"/>
  <c r="J33" i="17" s="1"/>
  <c r="J32" i="17" s="1"/>
  <c r="J31" i="17" s="1"/>
  <c r="J30" i="17" s="1"/>
  <c r="J29" i="17" s="1"/>
  <c r="J28" i="17" s="1"/>
  <c r="J27" i="17" s="1"/>
  <c r="J26" i="17" s="1"/>
  <c r="J25" i="17" s="1"/>
  <c r="J24" i="17" s="1"/>
  <c r="J23" i="17" s="1"/>
  <c r="L38" i="17"/>
  <c r="K20" i="17"/>
  <c r="L37" i="17"/>
  <c r="K21" i="17" l="1"/>
  <c r="M38" i="17"/>
  <c r="L20" i="17"/>
  <c r="M37" i="17"/>
  <c r="K22" i="17" l="1"/>
  <c r="K36" i="17"/>
  <c r="K35" i="17" s="1"/>
  <c r="K34" i="17" s="1"/>
  <c r="K33" i="17" s="1"/>
  <c r="K32" i="17" s="1"/>
  <c r="K31" i="17" s="1"/>
  <c r="K30" i="17" s="1"/>
  <c r="K29" i="17" s="1"/>
  <c r="K28" i="17" s="1"/>
  <c r="K27" i="17" s="1"/>
  <c r="K26" i="17" s="1"/>
  <c r="K25" i="17" s="1"/>
  <c r="K24" i="17" s="1"/>
  <c r="K23" i="17" s="1"/>
  <c r="N38" i="17"/>
  <c r="M20" i="17"/>
  <c r="M21" i="17" s="1"/>
  <c r="N37" i="17"/>
  <c r="L21" i="17"/>
  <c r="L22" i="17" s="1"/>
  <c r="M22" i="17" l="1"/>
  <c r="L36" i="17"/>
  <c r="L35" i="17" s="1"/>
  <c r="L34" i="17" s="1"/>
  <c r="L33" i="17" s="1"/>
  <c r="L32" i="17" s="1"/>
  <c r="L31" i="17" s="1"/>
  <c r="L30" i="17" s="1"/>
  <c r="L29" i="17" s="1"/>
  <c r="L28" i="17" s="1"/>
  <c r="L27" i="17" s="1"/>
  <c r="L26" i="17" s="1"/>
  <c r="L25" i="17" s="1"/>
  <c r="L24" i="17" s="1"/>
  <c r="L23" i="17" s="1"/>
  <c r="N20" i="17"/>
  <c r="N21" i="17" s="1"/>
  <c r="O38" i="17"/>
  <c r="O37" i="17"/>
  <c r="M36" i="17"/>
  <c r="M35" i="17" s="1"/>
  <c r="M34" i="17" l="1"/>
  <c r="M33" i="17" s="1"/>
  <c r="M32" i="17" s="1"/>
  <c r="M31" i="17" s="1"/>
  <c r="M30" i="17" s="1"/>
  <c r="M29" i="17" s="1"/>
  <c r="M28" i="17" s="1"/>
  <c r="M27" i="17" s="1"/>
  <c r="M26" i="17" s="1"/>
  <c r="M25" i="17" s="1"/>
  <c r="M24" i="17" s="1"/>
  <c r="M23" i="17" s="1"/>
  <c r="N22" i="17"/>
  <c r="P38" i="17"/>
  <c r="O20" i="17"/>
  <c r="P37" i="17"/>
  <c r="N36" i="17"/>
  <c r="N35" i="17" s="1"/>
  <c r="N34" i="17" s="1"/>
  <c r="N33" i="17" s="1"/>
  <c r="N32" i="17" s="1"/>
  <c r="N31" i="17" s="1"/>
  <c r="N30" i="17" s="1"/>
  <c r="N29" i="17" s="1"/>
  <c r="N28" i="17" s="1"/>
  <c r="N27" i="17" s="1"/>
  <c r="N26" i="17" s="1"/>
  <c r="N25" i="17" s="1"/>
  <c r="N24" i="17" s="1"/>
  <c r="N23" i="17" s="1"/>
  <c r="P20" i="17" l="1"/>
  <c r="P21" i="17" s="1"/>
  <c r="Q38" i="17"/>
  <c r="Q37" i="17"/>
  <c r="O21" i="17"/>
  <c r="O22" i="17" s="1"/>
  <c r="P22" i="17" l="1"/>
  <c r="O36" i="17"/>
  <c r="O35" i="17" s="1"/>
  <c r="O34" i="17" s="1"/>
  <c r="O33" i="17" s="1"/>
  <c r="O32" i="17" s="1"/>
  <c r="O31" i="17" s="1"/>
  <c r="O30" i="17" s="1"/>
  <c r="O29" i="17" s="1"/>
  <c r="O28" i="17" s="1"/>
  <c r="O27" i="17" s="1"/>
  <c r="O26" i="17" s="1"/>
  <c r="O25" i="17" s="1"/>
  <c r="O24" i="17" s="1"/>
  <c r="O23" i="17" s="1"/>
  <c r="Q20" i="17"/>
  <c r="R38" i="17"/>
  <c r="R37" i="17"/>
  <c r="P36" i="17"/>
  <c r="P35" i="17" s="1"/>
  <c r="P34" i="17" s="1"/>
  <c r="P33" i="17" s="1"/>
  <c r="P32" i="17" s="1"/>
  <c r="P31" i="17" s="1"/>
  <c r="P30" i="17" s="1"/>
  <c r="P29" i="17" s="1"/>
  <c r="P28" i="17" s="1"/>
  <c r="P27" i="17" s="1"/>
  <c r="P26" i="17" s="1"/>
  <c r="P25" i="17" s="1"/>
  <c r="P24" i="17" s="1"/>
  <c r="P23" i="17" s="1"/>
  <c r="Q21" i="17" l="1"/>
  <c r="Q22" i="17" s="1"/>
  <c r="R20" i="17"/>
  <c r="S38" i="17"/>
  <c r="S37" i="17"/>
  <c r="Q36" i="17" l="1"/>
  <c r="Q35" i="17" s="1"/>
  <c r="Q34" i="17" s="1"/>
  <c r="Q33" i="17" s="1"/>
  <c r="Q32" i="17" s="1"/>
  <c r="Q31" i="17" s="1"/>
  <c r="Q30" i="17" s="1"/>
  <c r="Q29" i="17" s="1"/>
  <c r="Q28" i="17" s="1"/>
  <c r="Q27" i="17" s="1"/>
  <c r="Q26" i="17" s="1"/>
  <c r="Q25" i="17" s="1"/>
  <c r="Q24" i="17" s="1"/>
  <c r="Q23" i="17" s="1"/>
  <c r="R21" i="17"/>
  <c r="R22" i="17" s="1"/>
  <c r="T38" i="17"/>
  <c r="T37" i="17"/>
  <c r="S20" i="17"/>
  <c r="R36" i="17" l="1"/>
  <c r="R35" i="17" s="1"/>
  <c r="R34" i="17" s="1"/>
  <c r="R33" i="17" s="1"/>
  <c r="R32" i="17" s="1"/>
  <c r="R31" i="17" s="1"/>
  <c r="R30" i="17" s="1"/>
  <c r="R29" i="17" s="1"/>
  <c r="R28" i="17" s="1"/>
  <c r="R27" i="17" s="1"/>
  <c r="R26" i="17" s="1"/>
  <c r="R25" i="17" s="1"/>
  <c r="R24" i="17" s="1"/>
  <c r="R23" i="17" s="1"/>
  <c r="S21" i="17"/>
  <c r="S22" i="17" s="1"/>
  <c r="U38" i="17"/>
  <c r="T20" i="17"/>
  <c r="T21" i="17" s="1"/>
  <c r="U37" i="17"/>
  <c r="T22" i="17" l="1"/>
  <c r="S36" i="17"/>
  <c r="S35" i="17" s="1"/>
  <c r="S34" i="17" s="1"/>
  <c r="S33" i="17" s="1"/>
  <c r="S32" i="17" s="1"/>
  <c r="S31" i="17" s="1"/>
  <c r="S30" i="17" s="1"/>
  <c r="S29" i="17" s="1"/>
  <c r="S28" i="17" s="1"/>
  <c r="S27" i="17" s="1"/>
  <c r="S26" i="17" s="1"/>
  <c r="S25" i="17" s="1"/>
  <c r="S24" i="17" s="1"/>
  <c r="S23" i="17" s="1"/>
  <c r="T36" i="17"/>
  <c r="T35" i="17" s="1"/>
  <c r="T34" i="17" s="1"/>
  <c r="T33" i="17" s="1"/>
  <c r="T32" i="17" s="1"/>
  <c r="T31" i="17" s="1"/>
  <c r="T30" i="17" s="1"/>
  <c r="T29" i="17" s="1"/>
  <c r="T28" i="17" s="1"/>
  <c r="T27" i="17" s="1"/>
  <c r="T26" i="17" s="1"/>
  <c r="T25" i="17" s="1"/>
  <c r="T24" i="17" s="1"/>
  <c r="T23" i="17" s="1"/>
  <c r="V38" i="17"/>
  <c r="U20" i="17"/>
  <c r="U21" i="17" s="1"/>
  <c r="V37" i="17"/>
  <c r="U22" i="17" l="1"/>
  <c r="U36" i="17"/>
  <c r="U35" i="17" s="1"/>
  <c r="U34" i="17" s="1"/>
  <c r="U33" i="17" s="1"/>
  <c r="U32" i="17" s="1"/>
  <c r="U31" i="17" s="1"/>
  <c r="U30" i="17" s="1"/>
  <c r="U29" i="17" s="1"/>
  <c r="U28" i="17" s="1"/>
  <c r="U27" i="17" s="1"/>
  <c r="U26" i="17" s="1"/>
  <c r="U25" i="17" s="1"/>
  <c r="U24" i="17" s="1"/>
  <c r="U23" i="17" s="1"/>
  <c r="W38" i="17"/>
  <c r="W37" i="17"/>
  <c r="V20" i="17"/>
  <c r="V21" i="17" s="1"/>
  <c r="V22" i="17" l="1"/>
  <c r="X38" i="17"/>
  <c r="W20" i="17"/>
  <c r="W21" i="17" s="1"/>
  <c r="X37" i="17"/>
  <c r="V36" i="17"/>
  <c r="V35" i="17" s="1"/>
  <c r="V34" i="17" s="1"/>
  <c r="V33" i="17" s="1"/>
  <c r="V32" i="17" s="1"/>
  <c r="V31" i="17" s="1"/>
  <c r="V30" i="17" s="1"/>
  <c r="V29" i="17" s="1"/>
  <c r="V28" i="17" s="1"/>
  <c r="V27" i="17" s="1"/>
  <c r="V26" i="17" s="1"/>
  <c r="V25" i="17" s="1"/>
  <c r="V24" i="17" s="1"/>
  <c r="V23" i="17" s="1"/>
  <c r="W22" i="17" l="1"/>
  <c r="X20" i="17"/>
  <c r="X21" i="17" s="1"/>
  <c r="Y37" i="17"/>
  <c r="Y38" i="17"/>
  <c r="W36" i="17"/>
  <c r="W35" i="17" s="1"/>
  <c r="W34" i="17" s="1"/>
  <c r="W33" i="17" s="1"/>
  <c r="W32" i="17" s="1"/>
  <c r="W31" i="17" s="1"/>
  <c r="W30" i="17" s="1"/>
  <c r="W29" i="17" s="1"/>
  <c r="W28" i="17" s="1"/>
  <c r="W27" i="17" s="1"/>
  <c r="W26" i="17" s="1"/>
  <c r="W25" i="17" s="1"/>
  <c r="W24" i="17" s="1"/>
  <c r="W23" i="17" s="1"/>
  <c r="X22" i="17" l="1"/>
  <c r="Y20" i="17"/>
  <c r="Y21" i="17" s="1"/>
  <c r="Z38" i="17"/>
  <c r="Z37" i="17"/>
  <c r="X36" i="17"/>
  <c r="X35" i="17" s="1"/>
  <c r="X34" i="17" s="1"/>
  <c r="X33" i="17" s="1"/>
  <c r="X32" i="17" s="1"/>
  <c r="X31" i="17" s="1"/>
  <c r="X30" i="17" s="1"/>
  <c r="X29" i="17" s="1"/>
  <c r="X28" i="17" s="1"/>
  <c r="X27" i="17" s="1"/>
  <c r="X26" i="17" s="1"/>
  <c r="X25" i="17" s="1"/>
  <c r="X24" i="17" s="1"/>
  <c r="X23" i="17" s="1"/>
  <c r="Y22" i="17" l="1"/>
  <c r="AA38" i="17"/>
  <c r="Z20" i="17"/>
  <c r="AA37" i="17"/>
  <c r="Y36" i="17"/>
  <c r="Y35" i="17" s="1"/>
  <c r="Y34" i="17" s="1"/>
  <c r="Y33" i="17" s="1"/>
  <c r="Y32" i="17" s="1"/>
  <c r="Y31" i="17" s="1"/>
  <c r="Y30" i="17" s="1"/>
  <c r="Y29" i="17" s="1"/>
  <c r="Y28" i="17" s="1"/>
  <c r="Y27" i="17" s="1"/>
  <c r="Y26" i="17" s="1"/>
  <c r="Y25" i="17" s="1"/>
  <c r="Y24" i="17" s="1"/>
  <c r="Y23" i="17" s="1"/>
  <c r="Z21" i="17" l="1"/>
  <c r="Z36" i="17" s="1"/>
  <c r="Z35" i="17" s="1"/>
  <c r="Z34" i="17" s="1"/>
  <c r="Z33" i="17" s="1"/>
  <c r="Z32" i="17" s="1"/>
  <c r="Z31" i="17" s="1"/>
  <c r="Z30" i="17" s="1"/>
  <c r="Z29" i="17" s="1"/>
  <c r="Z28" i="17" s="1"/>
  <c r="Z27" i="17" s="1"/>
  <c r="Z26" i="17" s="1"/>
  <c r="Z25" i="17" s="1"/>
  <c r="Z24" i="17" s="1"/>
  <c r="Z23" i="17" s="1"/>
  <c r="AB38" i="17"/>
  <c r="AB37" i="17"/>
  <c r="AA20" i="17"/>
  <c r="AA21" i="17" s="1"/>
  <c r="AA22" i="17" l="1"/>
  <c r="Z22" i="17"/>
  <c r="AA36" i="17"/>
  <c r="AA35" i="17" s="1"/>
  <c r="AA34" i="17" s="1"/>
  <c r="AA33" i="17" s="1"/>
  <c r="AA32" i="17" s="1"/>
  <c r="AA31" i="17" s="1"/>
  <c r="AA30" i="17" s="1"/>
  <c r="AA29" i="17" s="1"/>
  <c r="AA28" i="17" s="1"/>
  <c r="AA27" i="17" s="1"/>
  <c r="AA26" i="17" s="1"/>
  <c r="AA25" i="17" s="1"/>
  <c r="AA24" i="17" s="1"/>
  <c r="AA23" i="17" s="1"/>
  <c r="AC38" i="17"/>
  <c r="AB20" i="17"/>
  <c r="AB21" i="17" s="1"/>
  <c r="AC37" i="17"/>
  <c r="AB22" i="17" l="1"/>
  <c r="AB36" i="17"/>
  <c r="AB35" i="17" s="1"/>
  <c r="AB34" i="17" s="1"/>
  <c r="AB33" i="17" s="1"/>
  <c r="AB32" i="17" s="1"/>
  <c r="AB31" i="17" s="1"/>
  <c r="AB30" i="17" s="1"/>
  <c r="AB29" i="17" s="1"/>
  <c r="AB28" i="17" s="1"/>
  <c r="AB27" i="17" s="1"/>
  <c r="AB26" i="17" s="1"/>
  <c r="AB25" i="17" s="1"/>
  <c r="AB24" i="17" s="1"/>
  <c r="AB23" i="17" s="1"/>
  <c r="AC20" i="17"/>
  <c r="AD38" i="17"/>
  <c r="AD37" i="17"/>
  <c r="AC21" i="17" l="1"/>
  <c r="AC22" i="17" s="1"/>
  <c r="AD20" i="17"/>
  <c r="AD21" i="17" s="1"/>
  <c r="AE37" i="17"/>
  <c r="AE38" i="17"/>
  <c r="AC36" i="17" l="1"/>
  <c r="AC35" i="17" s="1"/>
  <c r="AC34" i="17" s="1"/>
  <c r="AC33" i="17" s="1"/>
  <c r="AC32" i="17" s="1"/>
  <c r="AC31" i="17" s="1"/>
  <c r="AC30" i="17" s="1"/>
  <c r="AC29" i="17" s="1"/>
  <c r="AC28" i="17" s="1"/>
  <c r="AC27" i="17" s="1"/>
  <c r="AC26" i="17" s="1"/>
  <c r="AC25" i="17" s="1"/>
  <c r="AC24" i="17" s="1"/>
  <c r="AC23" i="17" s="1"/>
  <c r="AD22" i="17"/>
  <c r="AE20" i="17"/>
  <c r="AE21" i="17" s="1"/>
  <c r="AF38" i="17"/>
  <c r="AF37" i="17"/>
  <c r="AD36" i="17"/>
  <c r="AD35" i="17" s="1"/>
  <c r="AD34" i="17" s="1"/>
  <c r="AD33" i="17" s="1"/>
  <c r="AD32" i="17" s="1"/>
  <c r="AD31" i="17" s="1"/>
  <c r="AD30" i="17" s="1"/>
  <c r="AD29" i="17" s="1"/>
  <c r="AD28" i="17" s="1"/>
  <c r="AD27" i="17" s="1"/>
  <c r="AD26" i="17" s="1"/>
  <c r="AD25" i="17" s="1"/>
  <c r="AD24" i="17" s="1"/>
  <c r="AD23" i="17" s="1"/>
  <c r="AE22" i="17" l="1"/>
  <c r="AF20" i="17"/>
  <c r="AF21" i="17" s="1"/>
  <c r="AG38" i="17"/>
  <c r="AG37" i="17"/>
  <c r="AE36" i="17"/>
  <c r="AE35" i="17" s="1"/>
  <c r="AE34" i="17" s="1"/>
  <c r="AE33" i="17" s="1"/>
  <c r="AE32" i="17" s="1"/>
  <c r="AE31" i="17" s="1"/>
  <c r="AE30" i="17" s="1"/>
  <c r="AE29" i="17" s="1"/>
  <c r="AE28" i="17" s="1"/>
  <c r="AE27" i="17" s="1"/>
  <c r="AE26" i="17" s="1"/>
  <c r="AE25" i="17" s="1"/>
  <c r="AE24" i="17" s="1"/>
  <c r="AE23" i="17" s="1"/>
  <c r="AF22" i="17" l="1"/>
  <c r="AG20" i="17"/>
  <c r="AG21" i="17" s="1"/>
  <c r="AH38" i="17"/>
  <c r="AH37" i="17"/>
  <c r="AF36" i="17"/>
  <c r="AF35" i="17" s="1"/>
  <c r="AF34" i="17" s="1"/>
  <c r="AF33" i="17" s="1"/>
  <c r="AF32" i="17" s="1"/>
  <c r="AF31" i="17" s="1"/>
  <c r="AF30" i="17" s="1"/>
  <c r="AF29" i="17" s="1"/>
  <c r="AF28" i="17" s="1"/>
  <c r="AF27" i="17" s="1"/>
  <c r="AF26" i="17" s="1"/>
  <c r="AF25" i="17" s="1"/>
  <c r="AF24" i="17" s="1"/>
  <c r="AF23" i="17" s="1"/>
  <c r="AG22" i="17" l="1"/>
  <c r="AH20" i="17"/>
  <c r="AH21" i="17" s="1"/>
  <c r="AI38" i="17"/>
  <c r="AI37" i="17"/>
  <c r="AG36" i="17"/>
  <c r="AG35" i="17" s="1"/>
  <c r="AG34" i="17" s="1"/>
  <c r="AG33" i="17" s="1"/>
  <c r="AG32" i="17" s="1"/>
  <c r="AG31" i="17" s="1"/>
  <c r="AG30" i="17" s="1"/>
  <c r="AG29" i="17" s="1"/>
  <c r="AG28" i="17" s="1"/>
  <c r="AG27" i="17" s="1"/>
  <c r="AG26" i="17" s="1"/>
  <c r="AG25" i="17" s="1"/>
  <c r="AG24" i="17" s="1"/>
  <c r="AG23" i="17" s="1"/>
  <c r="AH22" i="17" l="1"/>
  <c r="AI20" i="17"/>
  <c r="AI21" i="17" s="1"/>
  <c r="AJ37" i="17"/>
  <c r="AJ38" i="17"/>
  <c r="AH36" i="17"/>
  <c r="AH35" i="17" s="1"/>
  <c r="AH34" i="17" s="1"/>
  <c r="AH33" i="17" s="1"/>
  <c r="AH32" i="17" s="1"/>
  <c r="AH31" i="17" s="1"/>
  <c r="AH30" i="17" s="1"/>
  <c r="AH29" i="17" s="1"/>
  <c r="AH28" i="17" s="1"/>
  <c r="AH27" i="17" s="1"/>
  <c r="AH26" i="17" s="1"/>
  <c r="AH25" i="17" s="1"/>
  <c r="AH24" i="17" s="1"/>
  <c r="AH23" i="17" s="1"/>
  <c r="AI22" i="17" l="1"/>
  <c r="AK38" i="17"/>
  <c r="AJ20" i="17"/>
  <c r="AK37" i="17"/>
  <c r="AI36" i="17"/>
  <c r="AI35" i="17" s="1"/>
  <c r="AI34" i="17" s="1"/>
  <c r="AI33" i="17" s="1"/>
  <c r="AI32" i="17" s="1"/>
  <c r="AI31" i="17" s="1"/>
  <c r="AI30" i="17" s="1"/>
  <c r="AI29" i="17" s="1"/>
  <c r="AI28" i="17" s="1"/>
  <c r="AI27" i="17" s="1"/>
  <c r="AI26" i="17" s="1"/>
  <c r="AI25" i="17" s="1"/>
  <c r="AI24" i="17" s="1"/>
  <c r="AI23" i="17" s="1"/>
  <c r="AJ21" i="17" l="1"/>
  <c r="AJ22" i="17" s="1"/>
  <c r="AK20" i="17"/>
  <c r="AK21" i="17" s="1"/>
  <c r="AL38" i="17"/>
  <c r="AL37" i="17"/>
  <c r="AJ36" i="17" l="1"/>
  <c r="AJ35" i="17" s="1"/>
  <c r="AJ34" i="17" s="1"/>
  <c r="AJ33" i="17" s="1"/>
  <c r="AJ32" i="17" s="1"/>
  <c r="AJ31" i="17" s="1"/>
  <c r="AJ30" i="17" s="1"/>
  <c r="AJ29" i="17" s="1"/>
  <c r="AJ28" i="17" s="1"/>
  <c r="AJ27" i="17" s="1"/>
  <c r="AJ26" i="17" s="1"/>
  <c r="AJ25" i="17" s="1"/>
  <c r="AJ24" i="17" s="1"/>
  <c r="AJ23" i="17" s="1"/>
  <c r="AK22" i="17"/>
  <c r="AM38" i="17"/>
  <c r="AL20" i="17"/>
  <c r="AL21" i="17" s="1"/>
  <c r="AM37" i="17"/>
  <c r="AK36" i="17"/>
  <c r="AK35" i="17" s="1"/>
  <c r="AK34" i="17" s="1"/>
  <c r="AK33" i="17" s="1"/>
  <c r="AK32" i="17" s="1"/>
  <c r="AK31" i="17" s="1"/>
  <c r="AK30" i="17" s="1"/>
  <c r="AK29" i="17" s="1"/>
  <c r="AK28" i="17" s="1"/>
  <c r="AK27" i="17" s="1"/>
  <c r="AK26" i="17" s="1"/>
  <c r="AK25" i="17" s="1"/>
  <c r="AK24" i="17" s="1"/>
  <c r="AK23" i="17" s="1"/>
  <c r="AL22" i="17" l="1"/>
  <c r="AN37" i="17"/>
  <c r="AM20" i="17"/>
  <c r="AN38" i="17"/>
  <c r="AL36" i="17"/>
  <c r="AL35" i="17" s="1"/>
  <c r="AL34" i="17" s="1"/>
  <c r="AL33" i="17" s="1"/>
  <c r="AL32" i="17" s="1"/>
  <c r="AL31" i="17" s="1"/>
  <c r="AL30" i="17" s="1"/>
  <c r="AL29" i="17" s="1"/>
  <c r="AL28" i="17" s="1"/>
  <c r="AL27" i="17" s="1"/>
  <c r="AL26" i="17" s="1"/>
  <c r="AL25" i="17" s="1"/>
  <c r="AL24" i="17" s="1"/>
  <c r="AL23" i="17" s="1"/>
  <c r="AM21" i="17" l="1"/>
  <c r="AM22" i="17" s="1"/>
  <c r="AN20" i="17"/>
  <c r="AN21" i="17" s="1"/>
  <c r="AO38" i="17"/>
  <c r="AO37" i="17"/>
  <c r="AN22" i="17" l="1"/>
  <c r="AM36" i="17"/>
  <c r="AM35" i="17" s="1"/>
  <c r="AM34" i="17" s="1"/>
  <c r="AM33" i="17" s="1"/>
  <c r="AM32" i="17" s="1"/>
  <c r="AM31" i="17" s="1"/>
  <c r="AM30" i="17" s="1"/>
  <c r="AM29" i="17" s="1"/>
  <c r="AM28" i="17" s="1"/>
  <c r="AM27" i="17" s="1"/>
  <c r="AM26" i="17" s="1"/>
  <c r="AM25" i="17" s="1"/>
  <c r="AM24" i="17" s="1"/>
  <c r="AM23" i="17" s="1"/>
  <c r="AO20" i="17"/>
  <c r="AO21" i="17" s="1"/>
  <c r="AP37" i="17"/>
  <c r="AP38" i="17"/>
  <c r="AN36" i="17"/>
  <c r="AN35" i="17" s="1"/>
  <c r="AN34" i="17" s="1"/>
  <c r="AN33" i="17" s="1"/>
  <c r="AN32" i="17" s="1"/>
  <c r="AN31" i="17" s="1"/>
  <c r="AN30" i="17" s="1"/>
  <c r="AN29" i="17" s="1"/>
  <c r="AN28" i="17" s="1"/>
  <c r="AN27" i="17" s="1"/>
  <c r="AN26" i="17" s="1"/>
  <c r="AN25" i="17" s="1"/>
  <c r="AN24" i="17" s="1"/>
  <c r="AN23" i="17" s="1"/>
  <c r="AO22" i="17" l="1"/>
  <c r="AP20" i="17"/>
  <c r="AO36" i="17"/>
  <c r="AO35" i="17" s="1"/>
  <c r="AO34" i="17" s="1"/>
  <c r="AO33" i="17" s="1"/>
  <c r="AO32" i="17" s="1"/>
  <c r="AO31" i="17" s="1"/>
  <c r="AO30" i="17" s="1"/>
  <c r="AO29" i="17" s="1"/>
  <c r="AO28" i="17" s="1"/>
  <c r="AO27" i="17" s="1"/>
  <c r="AO26" i="17" s="1"/>
  <c r="AO25" i="17" s="1"/>
  <c r="AO24" i="17" s="1"/>
  <c r="AO23" i="17" s="1"/>
  <c r="AP21" i="17" l="1"/>
  <c r="AP22" i="17" s="1"/>
  <c r="AP36" i="17" l="1"/>
  <c r="AP35" i="17" s="1"/>
  <c r="AP34" i="17" s="1"/>
  <c r="AP33" i="17" s="1"/>
  <c r="AP32" i="17" s="1"/>
  <c r="AP31" i="17" s="1"/>
  <c r="AP30" i="17" s="1"/>
  <c r="AP29" i="17" s="1"/>
  <c r="AP28" i="17" s="1"/>
  <c r="AP27" i="17" s="1"/>
  <c r="AP26" i="17" s="1"/>
  <c r="AP25" i="17" s="1"/>
  <c r="AP24" i="17" s="1"/>
  <c r="AP23"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Natalie Kwan</author>
    <author>Amy Howe</author>
    <author>Zia Islam</author>
  </authors>
  <commentList>
    <comment ref="A1" authorId="0" shapeId="0" xr:uid="{00000000-0006-0000-0000-000001000000}">
      <text>
        <r>
          <rPr>
            <b/>
            <sz val="9"/>
            <color indexed="81"/>
            <rFont val="Tahoma"/>
            <family val="2"/>
          </rPr>
          <t>Natalie Kwan:</t>
        </r>
        <r>
          <rPr>
            <sz val="9"/>
            <color indexed="81"/>
            <rFont val="Tahoma"/>
            <family val="2"/>
          </rPr>
          <t xml:space="preserve">
Items with </t>
        </r>
        <r>
          <rPr>
            <b/>
            <sz val="9"/>
            <color indexed="57"/>
            <rFont val="Tahoma"/>
            <family val="2"/>
          </rPr>
          <t>GREEN</t>
        </r>
        <r>
          <rPr>
            <sz val="9"/>
            <color indexed="81"/>
            <rFont val="Tahoma"/>
            <family val="2"/>
          </rPr>
          <t xml:space="preserve"> headers are automatically calculated/taken from the Data Entry tab</t>
        </r>
      </text>
    </comment>
    <comment ref="N1" authorId="0" shapeId="0" xr:uid="{00000000-0006-0000-0000-000002000000}">
      <text>
        <r>
          <rPr>
            <b/>
            <sz val="9"/>
            <color indexed="81"/>
            <rFont val="Tahoma"/>
            <family val="2"/>
          </rPr>
          <t>Natalie Kwan:</t>
        </r>
        <r>
          <rPr>
            <sz val="9"/>
            <color indexed="81"/>
            <rFont val="Tahoma"/>
            <family val="2"/>
          </rPr>
          <t xml:space="preserve">
</t>
        </r>
        <r>
          <rPr>
            <sz val="10"/>
            <color indexed="81"/>
            <rFont val="Tahoma"/>
            <family val="2"/>
          </rPr>
          <t xml:space="preserve">Items with </t>
        </r>
        <r>
          <rPr>
            <b/>
            <sz val="10"/>
            <color indexed="57"/>
            <rFont val="Tahoma"/>
            <family val="2"/>
          </rPr>
          <t>GREEN</t>
        </r>
        <r>
          <rPr>
            <sz val="10"/>
            <color indexed="81"/>
            <rFont val="Tahoma"/>
            <family val="2"/>
          </rPr>
          <t xml:space="preserve"> headers are automatically calculated or taken from the Data Entry tab</t>
        </r>
      </text>
    </comment>
    <comment ref="Y3" authorId="1" shapeId="0" xr:uid="{00000000-0006-0000-0000-000003000000}">
      <text>
        <r>
          <rPr>
            <b/>
            <sz val="10"/>
            <color indexed="81"/>
            <rFont val="Tahoma"/>
            <family val="2"/>
          </rPr>
          <t>Amy Howe:</t>
        </r>
        <r>
          <rPr>
            <sz val="10"/>
            <color indexed="81"/>
            <rFont val="Tahoma"/>
            <family val="2"/>
          </rPr>
          <t xml:space="preserve">
Update names of Functional Areas (e.g., Engineering Department), and Shifts (e.g., Morning, Evening). If there are more options than needed, leave others blank.
</t>
        </r>
        <r>
          <rPr>
            <b/>
            <sz val="10"/>
            <color indexed="81"/>
            <rFont val="Tahoma"/>
            <family val="2"/>
          </rPr>
          <t>Note:</t>
        </r>
        <r>
          <rPr>
            <sz val="10"/>
            <color indexed="81"/>
            <rFont val="Tahoma"/>
            <family val="2"/>
          </rPr>
          <t xml:space="preserve"> If Functional Area or Shift names are updated AFTER case/contact data is entered, columns AN and AO on the Data Entry tab must be manually updated with the new names</t>
        </r>
      </text>
    </comment>
    <comment ref="A4" authorId="0" shapeId="0" xr:uid="{00000000-0006-0000-0000-000004000000}">
      <text>
        <r>
          <rPr>
            <b/>
            <sz val="9"/>
            <color indexed="81"/>
            <rFont val="Tahoma"/>
            <family val="2"/>
          </rPr>
          <t>Natalie Kwan:</t>
        </r>
        <r>
          <rPr>
            <sz val="9"/>
            <color indexed="81"/>
            <rFont val="Tahoma"/>
            <family val="2"/>
          </rPr>
          <t xml:space="preserve">
Listing of setting types found on APEX</t>
        </r>
      </text>
    </comment>
    <comment ref="N27" authorId="2" shapeId="0" xr:uid="{00000000-0006-0000-0000-000005000000}">
      <text>
        <r>
          <rPr>
            <b/>
            <sz val="9"/>
            <color indexed="81"/>
            <rFont val="Tahoma"/>
            <family val="2"/>
          </rPr>
          <t>Zia Islam:</t>
        </r>
        <r>
          <rPr>
            <sz val="9"/>
            <color indexed="81"/>
            <rFont val="Tahoma"/>
            <family val="2"/>
          </rPr>
          <t xml:space="preserve">
CDIs to consult with their Managers and/or AMOH to determine when a case will not be linked to the OB (either confirmed or probable) - Cases within this OB with an SOI identified as different premise OB would be included in this (NOT linked) count.</t>
        </r>
      </text>
    </comment>
    <comment ref="P27" authorId="2" shapeId="0" xr:uid="{00000000-0006-0000-0000-000006000000}">
      <text>
        <r>
          <rPr>
            <sz val="9"/>
            <color indexed="81"/>
            <rFont val="Tahoma"/>
            <family val="2"/>
          </rPr>
          <t>Enter the number</t>
        </r>
      </text>
    </comment>
    <comment ref="Q27" authorId="2" shapeId="0" xr:uid="{00000000-0006-0000-0000-000007000000}">
      <text>
        <r>
          <rPr>
            <b/>
            <sz val="9"/>
            <color indexed="81"/>
            <rFont val="Tahoma"/>
            <family val="2"/>
          </rPr>
          <t>Zia Islam:</t>
        </r>
        <r>
          <rPr>
            <sz val="9"/>
            <color indexed="81"/>
            <rFont val="Tahoma"/>
            <family val="2"/>
          </rPr>
          <t xml:space="preserve">
CDIs to consult with their Managers and/or AMOH to determine when a case will not be linked to the OB (either confirmed or probable) - Cases within this OB with an SOI identified as different premise OB would be included in this (NOT linked) count.</t>
        </r>
      </text>
    </comment>
    <comment ref="S27" authorId="2" shapeId="0" xr:uid="{00000000-0006-0000-0000-000008000000}">
      <text>
        <r>
          <rPr>
            <b/>
            <sz val="9"/>
            <color indexed="81"/>
            <rFont val="Tahoma"/>
            <family val="2"/>
          </rPr>
          <t>Zia Islam:</t>
        </r>
        <r>
          <rPr>
            <sz val="9"/>
            <color indexed="81"/>
            <rFont val="Tahoma"/>
            <family val="2"/>
          </rPr>
          <t xml:space="preserve">
Enter number</t>
        </r>
      </text>
    </comment>
    <comment ref="O28" authorId="2" shapeId="0" xr:uid="{00000000-0006-0000-0000-000009000000}">
      <text>
        <r>
          <rPr>
            <b/>
            <sz val="9"/>
            <color indexed="81"/>
            <rFont val="Tahoma"/>
            <family val="2"/>
          </rPr>
          <t>Zia Islam:</t>
        </r>
        <r>
          <rPr>
            <sz val="9"/>
            <color indexed="81"/>
            <rFont val="Tahoma"/>
            <family val="2"/>
          </rPr>
          <t xml:space="preserve">
Enter the number of employees</t>
        </r>
      </text>
    </comment>
    <comment ref="R33" authorId="2" shapeId="0" xr:uid="{00000000-0006-0000-0000-00000A000000}">
      <text>
        <r>
          <rPr>
            <b/>
            <sz val="9"/>
            <color indexed="81"/>
            <rFont val="Tahoma"/>
            <family val="2"/>
          </rPr>
          <t xml:space="preserve">Zia Islam:
</t>
        </r>
        <r>
          <rPr>
            <sz val="9"/>
            <color indexed="81"/>
            <rFont val="Tahoma"/>
            <family val="2"/>
          </rPr>
          <t>TPH+OCL (Worker+Non-W)</t>
        </r>
        <r>
          <rPr>
            <b/>
            <sz val="9"/>
            <color indexed="81"/>
            <rFont val="Tahoma"/>
            <family val="2"/>
          </rPr>
          <t xml:space="preserve">
</t>
        </r>
      </text>
    </comment>
    <comment ref="E36" authorId="2" shapeId="0" xr:uid="{00000000-0006-0000-0000-00000B000000}">
      <text>
        <r>
          <rPr>
            <b/>
            <sz val="9"/>
            <color indexed="81"/>
            <rFont val="Tahoma"/>
            <family val="2"/>
          </rPr>
          <t>Zia Islam:</t>
        </r>
        <r>
          <rPr>
            <sz val="9"/>
            <color indexed="81"/>
            <rFont val="Tahoma"/>
            <family val="2"/>
          </rPr>
          <t xml:space="preserve">
Staff+volunteer</t>
        </r>
      </text>
    </comment>
    <comment ref="G76" authorId="2" shapeId="0" xr:uid="{00000000-0006-0000-0000-00000C000000}">
      <text>
        <r>
          <rPr>
            <b/>
            <sz val="9"/>
            <color indexed="81"/>
            <rFont val="Tahoma"/>
            <family val="2"/>
          </rPr>
          <t>Zia Islam:</t>
        </r>
        <r>
          <rPr>
            <sz val="9"/>
            <color indexed="81"/>
            <rFont val="Tahoma"/>
            <family val="2"/>
          </rPr>
          <t xml:space="preserve">
TPH workers</t>
        </r>
      </text>
    </comment>
    <comment ref="H76" authorId="2" shapeId="0" xr:uid="{00000000-0006-0000-0000-00000D000000}">
      <text>
        <r>
          <rPr>
            <b/>
            <sz val="9"/>
            <color indexed="81"/>
            <rFont val="Tahoma"/>
            <family val="2"/>
          </rPr>
          <t>Zia Islam:</t>
        </r>
        <r>
          <rPr>
            <sz val="9"/>
            <color indexed="81"/>
            <rFont val="Tahoma"/>
            <family val="2"/>
          </rPr>
          <t xml:space="preserve">
OCL workers</t>
        </r>
      </text>
    </comment>
    <comment ref="C85" authorId="0" shapeId="0" xr:uid="{00000000-0006-0000-0000-00000E000000}">
      <text>
        <r>
          <rPr>
            <b/>
            <sz val="9"/>
            <color indexed="81"/>
            <rFont val="Tahoma"/>
            <family val="2"/>
          </rPr>
          <t>Natalie Kwan:</t>
        </r>
        <r>
          <rPr>
            <sz val="9"/>
            <color indexed="81"/>
            <rFont val="Tahoma"/>
            <family val="2"/>
          </rPr>
          <t xml:space="preserve">
CDIs can view the exact breakdown of the # of TPH worker cases with a specific confirmed/screened VOC by using the drop down menu in the cell on right</t>
        </r>
      </text>
    </comment>
    <comment ref="H85" authorId="2" shapeId="0" xr:uid="{00000000-0006-0000-0000-00000F000000}">
      <text>
        <r>
          <rPr>
            <b/>
            <sz val="9"/>
            <color indexed="81"/>
            <rFont val="Tahoma"/>
            <family val="2"/>
          </rPr>
          <t>Zia Islam:</t>
        </r>
        <r>
          <rPr>
            <sz val="9"/>
            <color indexed="81"/>
            <rFont val="Tahoma"/>
            <family val="2"/>
          </rPr>
          <t xml:space="preserve">
TPH Worker VOC Cases</t>
        </r>
      </text>
    </comment>
    <comment ref="C87" authorId="0" shapeId="0" xr:uid="{00000000-0006-0000-0000-000010000000}">
      <text>
        <r>
          <rPr>
            <b/>
            <sz val="9"/>
            <color indexed="81"/>
            <rFont val="Tahoma"/>
            <family val="2"/>
          </rPr>
          <t>Natalie Kwan:</t>
        </r>
        <r>
          <rPr>
            <sz val="9"/>
            <color indexed="81"/>
            <rFont val="Tahoma"/>
            <family val="2"/>
          </rPr>
          <t xml:space="preserve">
CDIs can view the exact breakdown of the # of TPH worker contacts with a specific confirmed VOC by using the drop down menu in the cell on right</t>
        </r>
      </text>
    </comment>
    <comment ref="C91" authorId="0" shapeId="0" xr:uid="{00000000-0006-0000-0000-000011000000}">
      <text>
        <r>
          <rPr>
            <b/>
            <sz val="9"/>
            <color indexed="81"/>
            <rFont val="Tahoma"/>
            <family val="2"/>
          </rPr>
          <t>Natalie Kwan:</t>
        </r>
        <r>
          <rPr>
            <sz val="9"/>
            <color indexed="81"/>
            <rFont val="Tahoma"/>
            <family val="2"/>
          </rPr>
          <t xml:space="preserve">
CDIs can view the exact breakdown of the # of TPH non-worker cases with a specific confirmed/screened VOC by using the drop down menu</t>
        </r>
      </text>
    </comment>
    <comment ref="H91" authorId="2" shapeId="0" xr:uid="{00000000-0006-0000-0000-000012000000}">
      <text>
        <r>
          <rPr>
            <b/>
            <sz val="9"/>
            <color indexed="81"/>
            <rFont val="Tahoma"/>
            <family val="2"/>
          </rPr>
          <t>Zia Islam:</t>
        </r>
        <r>
          <rPr>
            <sz val="9"/>
            <color indexed="81"/>
            <rFont val="Tahoma"/>
            <family val="2"/>
          </rPr>
          <t xml:space="preserve">
TPH Non-Worker VOC Cases</t>
        </r>
      </text>
    </comment>
    <comment ref="C93" authorId="0" shapeId="0" xr:uid="{00000000-0006-0000-0000-000013000000}">
      <text>
        <r>
          <rPr>
            <b/>
            <sz val="9"/>
            <color indexed="81"/>
            <rFont val="Tahoma"/>
            <family val="2"/>
          </rPr>
          <t>Natalie Kwan:</t>
        </r>
        <r>
          <rPr>
            <sz val="9"/>
            <color indexed="81"/>
            <rFont val="Tahoma"/>
            <family val="2"/>
          </rPr>
          <t xml:space="preserve">
CDIs can view the exact breakdown of the # of TPH non-worker contacts with a specific confirmed VOC by using the drop down menu</t>
        </r>
      </text>
    </comment>
    <comment ref="D98" authorId="2" shapeId="0" xr:uid="{00000000-0006-0000-0000-000014000000}">
      <text>
        <r>
          <rPr>
            <b/>
            <sz val="9"/>
            <color indexed="81"/>
            <rFont val="Tahoma"/>
            <family val="2"/>
          </rPr>
          <t>Zia Islam:</t>
        </r>
        <r>
          <rPr>
            <sz val="9"/>
            <color indexed="81"/>
            <rFont val="Tahoma"/>
            <family val="2"/>
          </rPr>
          <t xml:space="preserve">
Update this list when a new Lineage/mutation is added in Data Validation</t>
        </r>
      </text>
    </comment>
    <comment ref="C118" authorId="0" shapeId="0" xr:uid="{00000000-0006-0000-0000-000015000000}">
      <text>
        <r>
          <rPr>
            <b/>
            <sz val="9"/>
            <color indexed="81"/>
            <rFont val="Tahoma"/>
            <family val="2"/>
          </rPr>
          <t>Natalie Kwan:</t>
        </r>
        <r>
          <rPr>
            <sz val="9"/>
            <color indexed="81"/>
            <rFont val="Tahoma"/>
            <family val="2"/>
          </rPr>
          <t xml:space="preserve">
CDIs can view the exact breakdown of the # of OCL worker cases with a specific confirmed/screened VOC by using the drop down menu in the cell on right</t>
        </r>
      </text>
    </comment>
    <comment ref="H118" authorId="2" shapeId="0" xr:uid="{00000000-0006-0000-0000-000016000000}">
      <text>
        <r>
          <rPr>
            <b/>
            <sz val="9"/>
            <color indexed="81"/>
            <rFont val="Tahoma"/>
            <family val="2"/>
          </rPr>
          <t>Zia Islam:</t>
        </r>
        <r>
          <rPr>
            <sz val="9"/>
            <color indexed="81"/>
            <rFont val="Tahoma"/>
            <family val="2"/>
          </rPr>
          <t xml:space="preserve">
OCL Worker VOC Cases</t>
        </r>
      </text>
    </comment>
    <comment ref="C120" authorId="0" shapeId="0" xr:uid="{00000000-0006-0000-0000-000017000000}">
      <text>
        <r>
          <rPr>
            <b/>
            <sz val="9"/>
            <color indexed="81"/>
            <rFont val="Tahoma"/>
            <family val="2"/>
          </rPr>
          <t>Natalie Kwan:</t>
        </r>
        <r>
          <rPr>
            <sz val="9"/>
            <color indexed="81"/>
            <rFont val="Tahoma"/>
            <family val="2"/>
          </rPr>
          <t xml:space="preserve">
CDIs can view the exact breakdown of the # of OCL worker contacts with a specific confirmed VOC by using the drop down menu in the cell on right</t>
        </r>
      </text>
    </comment>
    <comment ref="C123" authorId="0" shapeId="0" xr:uid="{00000000-0006-0000-0000-000018000000}">
      <text>
        <r>
          <rPr>
            <b/>
            <sz val="9"/>
            <color indexed="81"/>
            <rFont val="Tahoma"/>
            <family val="2"/>
          </rPr>
          <t>Natalie Kwan:</t>
        </r>
        <r>
          <rPr>
            <sz val="9"/>
            <color indexed="81"/>
            <rFont val="Tahoma"/>
            <family val="2"/>
          </rPr>
          <t xml:space="preserve">
CDIs can view the exact breakdown of the # of OCL non-worker cases with a specific confirmed/screened VOC by using the drop down menu</t>
        </r>
      </text>
    </comment>
    <comment ref="H123" authorId="2" shapeId="0" xr:uid="{00000000-0006-0000-0000-000019000000}">
      <text>
        <r>
          <rPr>
            <b/>
            <sz val="9"/>
            <color indexed="81"/>
            <rFont val="Tahoma"/>
            <family val="2"/>
          </rPr>
          <t xml:space="preserve">Zia Islam:
</t>
        </r>
        <r>
          <rPr>
            <sz val="9"/>
            <color indexed="81"/>
            <rFont val="Tahoma"/>
            <family val="2"/>
          </rPr>
          <t xml:space="preserve"> OCL Non-Worker VOC Cases</t>
        </r>
      </text>
    </comment>
    <comment ref="C125" authorId="0" shapeId="0" xr:uid="{00000000-0006-0000-0000-00001A000000}">
      <text>
        <r>
          <rPr>
            <b/>
            <sz val="9"/>
            <color indexed="81"/>
            <rFont val="Tahoma"/>
            <family val="2"/>
          </rPr>
          <t>Natalie Kwan:</t>
        </r>
        <r>
          <rPr>
            <sz val="9"/>
            <color indexed="81"/>
            <rFont val="Tahoma"/>
            <family val="2"/>
          </rPr>
          <t xml:space="preserve">
CDIs can view the exact breakdown of the # of OCL non-worker contacts with a specific confirmed VOC by using the drop down menu</t>
        </r>
      </text>
    </comment>
    <comment ref="H149" authorId="2" shapeId="0" xr:uid="{00000000-0006-0000-0000-00001B000000}">
      <text>
        <r>
          <rPr>
            <b/>
            <sz val="9"/>
            <color indexed="81"/>
            <rFont val="Tahoma"/>
            <family val="2"/>
          </rPr>
          <t>Zia Islam:</t>
        </r>
        <r>
          <rPr>
            <sz val="9"/>
            <color indexed="81"/>
            <rFont val="Tahoma"/>
            <family val="2"/>
          </rPr>
          <t xml:space="preserve">
HR-OCL
</t>
        </r>
      </text>
    </comment>
    <comment ref="G173" authorId="0" shapeId="0" xr:uid="{00000000-0006-0000-0000-00001C000000}">
      <text>
        <r>
          <rPr>
            <b/>
            <sz val="9"/>
            <color indexed="81"/>
            <rFont val="Tahoma"/>
            <family val="2"/>
          </rPr>
          <t>Natalie Kwan:</t>
        </r>
        <r>
          <rPr>
            <sz val="9"/>
            <color indexed="81"/>
            <rFont val="Tahoma"/>
            <family val="2"/>
          </rPr>
          <t xml:space="preserve">
Date of selected status</t>
        </r>
      </text>
    </comment>
    <comment ref="E176" authorId="0" shapeId="0" xr:uid="{00000000-0006-0000-0000-00001D000000}">
      <text>
        <r>
          <rPr>
            <b/>
            <sz val="9"/>
            <color indexed="81"/>
            <rFont val="Tahoma"/>
            <family val="2"/>
          </rPr>
          <t>Natalie Kwan:</t>
        </r>
        <r>
          <rPr>
            <sz val="9"/>
            <color indexed="81"/>
            <rFont val="Tahoma"/>
            <family val="2"/>
          </rPr>
          <t xml:space="preserve">
Date of Audit #1</t>
        </r>
      </text>
    </comment>
    <comment ref="G176" authorId="0" shapeId="0" xr:uid="{00000000-0006-0000-0000-00001E000000}">
      <text>
        <r>
          <rPr>
            <b/>
            <sz val="9"/>
            <color indexed="81"/>
            <rFont val="Tahoma"/>
            <family val="2"/>
          </rPr>
          <t>Natalie Kwan:</t>
        </r>
        <r>
          <rPr>
            <sz val="9"/>
            <color indexed="81"/>
            <rFont val="Tahoma"/>
            <family val="2"/>
          </rPr>
          <t xml:space="preserve">
IMS PHI to complete audit #1</t>
        </r>
      </text>
    </comment>
    <comment ref="G177" authorId="0" shapeId="0" xr:uid="{00000000-0006-0000-0000-00001F000000}">
      <text>
        <r>
          <rPr>
            <b/>
            <sz val="9"/>
            <color indexed="81"/>
            <rFont val="Tahoma"/>
            <family val="2"/>
          </rPr>
          <t>Natalie Kwan:</t>
        </r>
        <r>
          <rPr>
            <sz val="9"/>
            <color indexed="81"/>
            <rFont val="Tahoma"/>
            <family val="2"/>
          </rPr>
          <t xml:space="preserve">
Date of selected status</t>
        </r>
      </text>
    </comment>
    <comment ref="E178" authorId="0" shapeId="0" xr:uid="{00000000-0006-0000-0000-000020000000}">
      <text>
        <r>
          <rPr>
            <b/>
            <sz val="9"/>
            <color indexed="81"/>
            <rFont val="Tahoma"/>
            <family val="2"/>
          </rPr>
          <t>Natalie Kwan:</t>
        </r>
        <r>
          <rPr>
            <sz val="9"/>
            <color indexed="81"/>
            <rFont val="Tahoma"/>
            <family val="2"/>
          </rPr>
          <t xml:space="preserve">
Date of Audit #2</t>
        </r>
      </text>
    </comment>
    <comment ref="G178" authorId="0" shapeId="0" xr:uid="{00000000-0006-0000-0000-000021000000}">
      <text>
        <r>
          <rPr>
            <b/>
            <sz val="9"/>
            <color indexed="81"/>
            <rFont val="Tahoma"/>
            <family val="2"/>
          </rPr>
          <t>Natalie Kwan:</t>
        </r>
        <r>
          <rPr>
            <sz val="9"/>
            <color indexed="81"/>
            <rFont val="Tahoma"/>
            <family val="2"/>
          </rPr>
          <t xml:space="preserve">
IMS PHI to complete audit #2</t>
        </r>
      </text>
    </comment>
    <comment ref="G179" authorId="0" shapeId="0" xr:uid="{00000000-0006-0000-0000-000022000000}">
      <text>
        <r>
          <rPr>
            <b/>
            <sz val="9"/>
            <color indexed="81"/>
            <rFont val="Tahoma"/>
            <family val="2"/>
          </rPr>
          <t>Natalie Kwan:</t>
        </r>
        <r>
          <rPr>
            <sz val="9"/>
            <color indexed="81"/>
            <rFont val="Tahoma"/>
            <family val="2"/>
          </rPr>
          <t xml:space="preserve">
Date of selected status</t>
        </r>
      </text>
    </comment>
    <comment ref="G180" authorId="0" shapeId="0" xr:uid="{00000000-0006-0000-0000-000023000000}">
      <text>
        <r>
          <rPr>
            <b/>
            <sz val="9"/>
            <color indexed="81"/>
            <rFont val="Tahoma"/>
            <family val="2"/>
          </rPr>
          <t>Natalie Kwan:</t>
        </r>
        <r>
          <rPr>
            <sz val="9"/>
            <color indexed="81"/>
            <rFont val="Tahoma"/>
            <family val="2"/>
          </rPr>
          <t xml:space="preserve">
Date of selected status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Zia Islam</author>
    <author>Harpreet Grewal</author>
  </authors>
  <commentList>
    <comment ref="A5" authorId="0" shapeId="0" xr:uid="{00000000-0006-0000-0100-000001000000}">
      <text>
        <r>
          <rPr>
            <sz val="9"/>
            <color indexed="81"/>
            <rFont val="Tahoma"/>
            <family val="2"/>
          </rPr>
          <t>If no, please add comments in column 'BI'</t>
        </r>
      </text>
    </comment>
    <comment ref="S5" authorId="1" shapeId="0" xr:uid="{00000000-0006-0000-0100-000002000000}">
      <text>
        <r>
          <rPr>
            <sz val="9"/>
            <color indexed="81"/>
            <rFont val="Tahoma"/>
            <family val="2"/>
          </rPr>
          <t>For Resident cases, enter the date the case began self-isolating away from others at the premise.</t>
        </r>
      </text>
    </comment>
    <comment ref="BJ5" authorId="0" shapeId="0" xr:uid="{00000000-0006-0000-0100-000003000000}">
      <text>
        <r>
          <rPr>
            <b/>
            <sz val="9"/>
            <color indexed="81"/>
            <rFont val="Tahoma"/>
            <family val="2"/>
          </rPr>
          <t>Zia Islam:</t>
        </r>
        <r>
          <rPr>
            <sz val="9"/>
            <color indexed="81"/>
            <rFont val="Tahoma"/>
            <family val="2"/>
          </rPr>
          <t xml:space="preserve">
Do not use 'number' alone to assign TMI. You may use number with letters (e.g. W5)</t>
        </r>
      </text>
    </comment>
    <comment ref="BK5" authorId="0" shapeId="0" xr:uid="{00000000-0006-0000-0100-000004000000}">
      <text>
        <r>
          <rPr>
            <b/>
            <sz val="9"/>
            <color indexed="81"/>
            <rFont val="Tahoma"/>
            <family val="2"/>
          </rPr>
          <t>Zia Islam:</t>
        </r>
        <r>
          <rPr>
            <sz val="9"/>
            <color indexed="81"/>
            <rFont val="Tahoma"/>
            <family val="2"/>
          </rPr>
          <t xml:space="preserve">
example indicates that EX1 got the virus from EX2</t>
        </r>
      </text>
    </comment>
    <comment ref="BL5" authorId="0" shapeId="0" xr:uid="{00000000-0006-0000-0100-000005000000}">
      <text>
        <r>
          <rPr>
            <b/>
            <sz val="9"/>
            <color indexed="81"/>
            <rFont val="Tahoma"/>
            <family val="2"/>
          </rPr>
          <t xml:space="preserve">Zia Islam:
</t>
        </r>
        <r>
          <rPr>
            <sz val="9"/>
            <color indexed="81"/>
            <rFont val="Tahoma"/>
            <family val="2"/>
          </rPr>
          <t>the example indicates that EX1 passed the virus to EX3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Natalie Kwan</author>
  </authors>
  <commentList>
    <comment ref="A10" authorId="0" shapeId="0" xr:uid="{00000000-0006-0000-0400-000001000000}">
      <text>
        <r>
          <rPr>
            <b/>
            <sz val="9"/>
            <color indexed="81"/>
            <rFont val="Tahoma"/>
            <family val="2"/>
          </rPr>
          <t>Natalie Kwan:</t>
        </r>
        <r>
          <rPr>
            <sz val="9"/>
            <color indexed="81"/>
            <rFont val="Tahoma"/>
            <family val="2"/>
          </rPr>
          <t xml:space="preserve">
Sx onset will automatically populate based on dates entered in the Data Entry tab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Zia Islam</author>
  </authors>
  <commentList>
    <comment ref="AB7" authorId="0" shapeId="0" xr:uid="{00000000-0006-0000-0500-000001000000}">
      <text>
        <r>
          <rPr>
            <sz val="9"/>
            <color indexed="81"/>
            <rFont val="Tahoma"/>
            <family val="2"/>
          </rPr>
          <t>(e.g. first date investigation was brought forward at OB management huddle)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Natalie Kwan</author>
  </authors>
  <commentList>
    <comment ref="A4" authorId="0" shapeId="0" xr:uid="{00000000-0006-0000-0A00-000001000000}">
      <text>
        <r>
          <rPr>
            <b/>
            <sz val="9"/>
            <color indexed="81"/>
            <rFont val="Tahoma"/>
            <family val="2"/>
          </rPr>
          <t>Natalie Kwan:</t>
        </r>
        <r>
          <rPr>
            <sz val="9"/>
            <color indexed="81"/>
            <rFont val="Tahoma"/>
            <family val="2"/>
          </rPr>
          <t xml:space="preserve">
This information is automatically populated by the information completed in the data entry tab</t>
        </r>
      </text>
    </comment>
    <comment ref="C4" authorId="0" shapeId="0" xr:uid="{00000000-0006-0000-0A00-000002000000}">
      <text>
        <r>
          <rPr>
            <b/>
            <sz val="9"/>
            <color indexed="81"/>
            <rFont val="Tahoma"/>
            <family val="2"/>
          </rPr>
          <t>Natalie Kwan:</t>
        </r>
        <r>
          <rPr>
            <sz val="9"/>
            <color indexed="81"/>
            <rFont val="Tahoma"/>
            <family val="2"/>
          </rPr>
          <t xml:space="preserve">
This date will always be 15 days before the sx onset of the earliest case.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Epi-C_data!$A$1:$F$200" type="102" refreshedVersion="5" minRefreshableVersion="5">
    <extLst>
      <ext xmlns:x15="http://schemas.microsoft.com/office/spreadsheetml/2010/11/main" uri="{DE250136-89BD-433C-8126-D09CA5730AF9}">
        <x15:connection id="Range-a79acebb-88fc-4c37-a5ac-6f1301cf5e8a" autoDelete="1">
          <x15:rangePr sourceName="_xlcn.WorksheetConnection_EpiC_dataA1F2001"/>
        </x15:connection>
      </ext>
    </extLst>
  </connection>
</connections>
</file>

<file path=xl/sharedStrings.xml><?xml version="1.0" encoding="utf-8"?>
<sst xmlns="http://schemas.openxmlformats.org/spreadsheetml/2006/main" count="774" uniqueCount="605">
  <si>
    <t>Last Name</t>
  </si>
  <si>
    <t>First Name</t>
  </si>
  <si>
    <t>Address</t>
  </si>
  <si>
    <t>Genders</t>
  </si>
  <si>
    <t>Male</t>
  </si>
  <si>
    <t>Female</t>
  </si>
  <si>
    <t>Transgender</t>
  </si>
  <si>
    <t xml:space="preserve">Other </t>
  </si>
  <si>
    <t>Unknown</t>
  </si>
  <si>
    <t>Confirmed</t>
  </si>
  <si>
    <t>Probable</t>
  </si>
  <si>
    <t>Symptom onset date</t>
  </si>
  <si>
    <t>Lost to follow-up</t>
  </si>
  <si>
    <t xml:space="preserve">Testing Status </t>
  </si>
  <si>
    <t xml:space="preserve">Current Status </t>
  </si>
  <si>
    <t>Testing Result</t>
  </si>
  <si>
    <t xml:space="preserve">Comments </t>
  </si>
  <si>
    <t xml:space="preserve">LFTU </t>
  </si>
  <si>
    <t xml:space="preserve">Confirmed </t>
  </si>
  <si>
    <t>Declined</t>
  </si>
  <si>
    <t xml:space="preserve">Testing result </t>
  </si>
  <si>
    <t>Negative</t>
  </si>
  <si>
    <t>Indeterminate</t>
  </si>
  <si>
    <t>Complete</t>
  </si>
  <si>
    <t>Pending</t>
  </si>
  <si>
    <t>City</t>
  </si>
  <si>
    <t>Gender</t>
  </si>
  <si>
    <t xml:space="preserve">Email Address </t>
  </si>
  <si>
    <t>Building/ Floor/ Unit/ Team</t>
  </si>
  <si>
    <t xml:space="preserve">type of notification from tph </t>
  </si>
  <si>
    <t xml:space="preserve">telephone call </t>
  </si>
  <si>
    <t xml:space="preserve">text message </t>
  </si>
  <si>
    <t xml:space="preserve">email </t>
  </si>
  <si>
    <t xml:space="preserve">voice mail </t>
  </si>
  <si>
    <t>Notes 
(e.g. carpooling, lunch/smoking breaks, changerooms)</t>
  </si>
  <si>
    <t xml:space="preserve">Break down of cases </t>
  </si>
  <si>
    <t>Summary of Cases by Symptom Onset Date (Data for Epi Curves)</t>
  </si>
  <si>
    <t>Confirmed cases</t>
  </si>
  <si>
    <t>Probable cases</t>
  </si>
  <si>
    <t>QA Check</t>
  </si>
  <si>
    <t>Staff</t>
  </si>
  <si>
    <t>Resident</t>
  </si>
  <si>
    <t>Student</t>
  </si>
  <si>
    <t>By Classification</t>
  </si>
  <si>
    <t>Cancelled</t>
  </si>
  <si>
    <t>Does Not Meet Definition</t>
  </si>
  <si>
    <t>Home/Cell Phone Number</t>
  </si>
  <si>
    <t>Note:  Cases MUST have a symptom onset date (and classification/type, if appropriate) to be included in the respective epi curves</t>
  </si>
  <si>
    <t>See QA check below for case counts to ensure all cases have been captured accordingly</t>
  </si>
  <si>
    <t>Case</t>
  </si>
  <si>
    <t xml:space="preserve">Number of DNM (Does not meet definition) </t>
  </si>
  <si>
    <t>Total*</t>
  </si>
  <si>
    <t>By Role*</t>
  </si>
  <si>
    <t>Positive</t>
  </si>
  <si>
    <t>Number LTFU (Lost to Follow-Up)</t>
  </si>
  <si>
    <r>
      <t>*Includes confirmed cases and probable cases</t>
    </r>
    <r>
      <rPr>
        <sz val="11"/>
        <color rgb="FFFF0000"/>
        <rFont val="Calibri"/>
        <family val="2"/>
        <scheme val="minor"/>
      </rPr>
      <t xml:space="preserve"> (excludes cases with a negative test result)</t>
    </r>
  </si>
  <si>
    <t>Probable (any test result)</t>
  </si>
  <si>
    <t>DNM cases</t>
  </si>
  <si>
    <t xml:space="preserve">Community Setting  Representative and Contact info </t>
  </si>
  <si>
    <t xml:space="preserve">Community Setting Name and Address: </t>
  </si>
  <si>
    <t xml:space="preserve">Legend </t>
  </si>
  <si>
    <t xml:space="preserve">Probable </t>
  </si>
  <si>
    <t>Symptoms</t>
  </si>
  <si>
    <t>Fever</t>
  </si>
  <si>
    <t>Difficulty Breathing/SOB</t>
  </si>
  <si>
    <t>Cough</t>
  </si>
  <si>
    <t>Fatigue</t>
  </si>
  <si>
    <t>Headache</t>
  </si>
  <si>
    <t>Sore Throat</t>
  </si>
  <si>
    <t>Asx</t>
  </si>
  <si>
    <t>Other</t>
  </si>
  <si>
    <t>OLIS Look-up Results</t>
  </si>
  <si>
    <t>Results not found</t>
  </si>
  <si>
    <t>COVID 19 detected</t>
  </si>
  <si>
    <t>COVID 19 NOT detected</t>
  </si>
  <si>
    <t>Disposition</t>
  </si>
  <si>
    <t>Untraceable</t>
  </si>
  <si>
    <t>Entered in error</t>
  </si>
  <si>
    <t>Myalgia</t>
  </si>
  <si>
    <t>Chills</t>
  </si>
  <si>
    <t>Anosmia</t>
  </si>
  <si>
    <t>Ageusia</t>
  </si>
  <si>
    <t>Exposure #s</t>
  </si>
  <si>
    <t>Initial sx onset date</t>
  </si>
  <si>
    <t>Latest sx onset date</t>
  </si>
  <si>
    <t>Closure</t>
  </si>
  <si>
    <t>Voluntary</t>
  </si>
  <si>
    <t>Involuntary</t>
  </si>
  <si>
    <t># of Confirmed Cases w/ test date w/in 14 days of today</t>
  </si>
  <si>
    <t>Investigation Start Date  (mm/dd)</t>
  </si>
  <si>
    <t>Service provider engaged for mass testing (identify or N/A)</t>
  </si>
  <si>
    <t>HML</t>
  </si>
  <si>
    <t>Expected investigation closure date</t>
  </si>
  <si>
    <t>When OB declared (mm/dd)</t>
  </si>
  <si>
    <t>Was this Self-initiated or directed?</t>
  </si>
  <si>
    <t>When mass testing occurred (mm/yy or N/A):</t>
  </si>
  <si>
    <t>Mass testing</t>
  </si>
  <si>
    <t>Self-initiated</t>
  </si>
  <si>
    <t>Directed</t>
  </si>
  <si>
    <t>N/A</t>
  </si>
  <si>
    <t>Investigation Closure Date (Manual entry: mm/dd)</t>
  </si>
  <si>
    <t>Summary of Community Setting Investigation</t>
  </si>
  <si>
    <t>Secondary Employer</t>
  </si>
  <si>
    <t>Last Day at Secondary Employer</t>
  </si>
  <si>
    <t>2nd Emp Supporting Cluster CDI</t>
  </si>
  <si>
    <t>Overall file change.</t>
  </si>
  <si>
    <r>
      <t>Cover Sheet Tab -</t>
    </r>
    <r>
      <rPr>
        <i/>
        <sz val="12"/>
        <color theme="1"/>
        <rFont val="Arial"/>
        <family val="2"/>
      </rPr>
      <t xml:space="preserve"> this tab can be used to inform your daily tracker reports - items in </t>
    </r>
    <r>
      <rPr>
        <b/>
        <sz val="12"/>
        <color rgb="FF00B050"/>
        <rFont val="Arial"/>
        <family val="2"/>
      </rPr>
      <t>GREEN</t>
    </r>
    <r>
      <rPr>
        <i/>
        <sz val="12"/>
        <color theme="1"/>
        <rFont val="Arial"/>
        <family val="2"/>
      </rPr>
      <t xml:space="preserve"> are automatically taken from the data entry tab</t>
    </r>
  </si>
  <si>
    <t>Latest Exposure Date                         (Manual Entry)</t>
  </si>
  <si>
    <t>SOI</t>
  </si>
  <si>
    <t>Within this community setting</t>
  </si>
  <si>
    <t xml:space="preserve">External to this community setting </t>
  </si>
  <si>
    <t xml:space="preserve">Persistent positive </t>
  </si>
  <si>
    <t>When premise was reported to clusters (mm/dd)</t>
  </si>
  <si>
    <t xml:space="preserve">Line list file can now be used by more than one person at a time. i.e. for OBs or when CDIs need SA support during an active investigation. Prior to engaging this, </t>
  </si>
  <si>
    <t>Total Counts</t>
  </si>
  <si>
    <t>Total # deaths among cases</t>
  </si>
  <si>
    <t>Total # cases admitted to hospital</t>
  </si>
  <si>
    <t>Totals</t>
  </si>
  <si>
    <t>Total # at risk in affected area (All cases + HR + LR)</t>
  </si>
  <si>
    <t>Total # of LR in affected area</t>
  </si>
  <si>
    <t>Total # affected in facility during event</t>
  </si>
  <si>
    <t>DOB
(yyyy-mm-dd)</t>
  </si>
  <si>
    <t>Date Symptoms Reported 
(yyyy-mm-dd)</t>
  </si>
  <si>
    <t xml:space="preserve">Total # of Employees at Community Setting  </t>
  </si>
  <si>
    <t>Total # of Sites under investigation</t>
  </si>
  <si>
    <t xml:space="preserve">Incident/Exposure # </t>
  </si>
  <si>
    <t xml:space="preserve">iPHIS Outbreak # </t>
  </si>
  <si>
    <t xml:space="preserve">CCM Outbreak # </t>
  </si>
  <si>
    <t xml:space="preserve"># of Initial Cases </t>
  </si>
  <si>
    <t xml:space="preserve">Total # of Low Risk Contacts </t>
  </si>
  <si>
    <t>Total # of Individuals at Risk of Exposure</t>
  </si>
  <si>
    <t># of Asymptomatic Confirmed Cases</t>
  </si>
  <si>
    <t xml:space="preserve"># of Individuals Tested </t>
  </si>
  <si>
    <r>
      <rPr>
        <b/>
        <sz val="12"/>
        <color rgb="FF00B050"/>
        <rFont val="Calibri"/>
        <family val="2"/>
        <scheme val="minor"/>
      </rPr>
      <t>Total # of cases</t>
    </r>
    <r>
      <rPr>
        <sz val="12"/>
        <color rgb="FF00B050"/>
        <rFont val="Calibri"/>
        <family val="2"/>
        <scheme val="minor"/>
      </rPr>
      <t xml:space="preserve"> (TPH+OCL &amp; 
Confirmed + Probable)</t>
    </r>
  </si>
  <si>
    <r>
      <rPr>
        <b/>
        <sz val="12"/>
        <color rgb="FF00B050"/>
        <rFont val="Calibri"/>
        <family val="2"/>
        <scheme val="minor"/>
      </rPr>
      <t>Total # of LAB CONFIRMED cases</t>
    </r>
    <r>
      <rPr>
        <sz val="12"/>
        <color rgb="FF00B050"/>
        <rFont val="Calibri"/>
        <family val="2"/>
        <scheme val="minor"/>
      </rPr>
      <t xml:space="preserve"> (TPH +OCL)</t>
    </r>
  </si>
  <si>
    <t>IP</t>
  </si>
  <si>
    <t>POC</t>
  </si>
  <si>
    <t>Testing Date</t>
  </si>
  <si>
    <t xml:space="preserve">Total # DNM (Does not meet definition) </t>
  </si>
  <si>
    <t>Total # LTFU (Lost to Follow-Up)</t>
  </si>
  <si>
    <t>Type of Setting</t>
  </si>
  <si>
    <t>2.      Medical/Health Service</t>
  </si>
  <si>
    <t>2.1    Home Care Health Service Organization</t>
  </si>
  <si>
    <t>3.      Personal Service Settings</t>
  </si>
  <si>
    <t>4.      Residential</t>
  </si>
  <si>
    <t>4.1    TCHC</t>
  </si>
  <si>
    <t>5.      Recreational Fitness</t>
  </si>
  <si>
    <t>5.1    Group Fitness Class</t>
  </si>
  <si>
    <t>5.2    Team Sports</t>
  </si>
  <si>
    <t>6.      Retail</t>
  </si>
  <si>
    <t>7.1    Wedding</t>
  </si>
  <si>
    <t>7.2    Funeral</t>
  </si>
  <si>
    <t>7.3    Religious Service</t>
  </si>
  <si>
    <t>7.4    Entertainment and Event Venue</t>
  </si>
  <si>
    <t>7.5    Social Gathering</t>
  </si>
  <si>
    <t>1.      Bar/Restaurant/Nightclub</t>
  </si>
  <si>
    <t>7.      Other recreation</t>
  </si>
  <si>
    <t>On Premise</t>
  </si>
  <si>
    <t>Case/Contact</t>
  </si>
  <si>
    <t>Case #</t>
  </si>
  <si>
    <t>Other setting details</t>
  </si>
  <si>
    <t>Date of self disclosure contact (i.e. hotline call)</t>
  </si>
  <si>
    <t># case reported in self disclosure</t>
  </si>
  <si>
    <t>Total # of Probable Cases (Workers) (TPH &amp; OCL)</t>
  </si>
  <si>
    <t>Total # of Probable Cases (non-workers) (TPH &amp; OCL)</t>
  </si>
  <si>
    <t>Total # Hospitalizations Cases</t>
  </si>
  <si>
    <t>Total # Case Deaths</t>
  </si>
  <si>
    <t>AMOH Huddle Counts</t>
  </si>
  <si>
    <t>Total # of Non-Workers at Risk of Exposure</t>
  </si>
  <si>
    <t>Dates of interest</t>
  </si>
  <si>
    <t>Interventions</t>
  </si>
  <si>
    <t>Premise Closure (date, reason or n/a, and details)</t>
  </si>
  <si>
    <t>Ministry of Labour advisement date</t>
  </si>
  <si>
    <t>Date premise contacted Ministry of Labour</t>
  </si>
  <si>
    <t>Date MoL event # expected</t>
  </si>
  <si>
    <t>MoL event #</t>
  </si>
  <si>
    <t>MoL Report status (select status and enter date)</t>
  </si>
  <si>
    <t>WSIB advisement date</t>
  </si>
  <si>
    <t>IMS Site Audit requested</t>
  </si>
  <si>
    <t>IMS Site Audit #1 (Date, PHI)</t>
  </si>
  <si>
    <t>IMS Site Audit #1 Report (status, date)</t>
  </si>
  <si>
    <t>IMS Site Audit #2 (Date, PHI)</t>
  </si>
  <si>
    <t>IMS Site Audit #2 Report (status, date)</t>
  </si>
  <si>
    <t>Details of other service referrals (to whom, date)</t>
  </si>
  <si>
    <t>Report status</t>
  </si>
  <si>
    <t>Requested</t>
  </si>
  <si>
    <t>Received</t>
  </si>
  <si>
    <t>Reviewed</t>
  </si>
  <si>
    <t>Total # of Confirmed Cases (Workers) (TPH &amp; OCL)</t>
  </si>
  <si>
    <t>Total # of Confirmed Cases (non-workers) (TPH &amp; OCL)</t>
  </si>
  <si>
    <t xml:space="preserve">Transmission Map Comments </t>
  </si>
  <si>
    <t>COVID-19 Other variant</t>
  </si>
  <si>
    <t>Outbreak</t>
  </si>
  <si>
    <t>When premise informed OB declared (mm/dd)</t>
  </si>
  <si>
    <t>New date entry area for when CDI informed premise that OB has been declared.</t>
  </si>
  <si>
    <t>Outbreak section defined to assist CDIs to quickly find appropriate reporting information</t>
  </si>
  <si>
    <t>Premise COVID-19 Safety Plan (exists, status, date)</t>
  </si>
  <si>
    <t>VOC metrics, expanded number of VOCs that will be displayed.</t>
  </si>
  <si>
    <r>
      <rPr>
        <b/>
        <sz val="12"/>
        <color theme="1"/>
        <rFont val="Arial"/>
        <family val="2"/>
      </rPr>
      <t>Interventions Section</t>
    </r>
    <r>
      <rPr>
        <sz val="12"/>
        <color theme="1"/>
        <rFont val="Arial"/>
        <family val="2"/>
      </rPr>
      <t>: addition of field to enter if premise had an existing COVID-19 Safety Plan.</t>
    </r>
  </si>
  <si>
    <t>Columns R to AL - in the proprietor area, entry for the last 21 dates prior to the last day on premise</t>
  </si>
  <si>
    <t xml:space="preserve">Information is automatically taken from the Data Entry tab, and all cases (probable, and confirmed) are formatted to inform this chart. </t>
  </si>
  <si>
    <t>Data points used include:
- Sx onset date (for cases - Probable/Confirmed) - determining POA/POC
- When individual was on premise (dates from columns R to AL in the data entry area)
- When they sought testing</t>
  </si>
  <si>
    <t>TPH Totals</t>
  </si>
  <si>
    <t>OCL Totals</t>
  </si>
  <si>
    <t xml:space="preserve"># Confirmed Cases </t>
  </si>
  <si>
    <t xml:space="preserve"># Probable Cases </t>
  </si>
  <si>
    <t>Total # Contacts w/ VOC exposure (Type, Count)</t>
  </si>
  <si>
    <t>TPH Worker VOC</t>
  </si>
  <si>
    <t>OCL Worker VOC</t>
  </si>
  <si>
    <t>TPH Non-worker VOC</t>
  </si>
  <si>
    <t>OCL Non-worker VOC</t>
  </si>
  <si>
    <t>Contact Counts</t>
  </si>
  <si>
    <t>Exposure Risk</t>
  </si>
  <si>
    <t>Cases</t>
  </si>
  <si>
    <t>VOCs</t>
  </si>
  <si>
    <t>within the VOC metrics area, CDIs can use the dropdown menu available if they need to see the breakdown of cases/contact (TPH/OCL) of a specific VOC</t>
  </si>
  <si>
    <t>Total # Workers at Risk of Exposure</t>
  </si>
  <si>
    <t>Column F - in proprietor area - for them to identify the order of cases are they are disclosed.</t>
  </si>
  <si>
    <t>Automated Gantt chart to assist CDIs in visualizing/determining SOI and transmission for cases based on when the individual was on the premise, and how that might overlap with their POA_POC for up to 70 cases/ contacts over a 2 month period</t>
  </si>
  <si>
    <r>
      <t xml:space="preserve">POA_POC - </t>
    </r>
    <r>
      <rPr>
        <b/>
        <sz val="12"/>
        <color rgb="FFFF0000"/>
        <rFont val="Arial"/>
        <family val="2"/>
      </rPr>
      <t>NEW</t>
    </r>
  </si>
  <si>
    <r>
      <t xml:space="preserve">Transmission Chart  - </t>
    </r>
    <r>
      <rPr>
        <b/>
        <sz val="12"/>
        <color rgb="FFFF0000"/>
        <rFont val="Arial"/>
        <family val="2"/>
      </rPr>
      <t>NEW</t>
    </r>
  </si>
  <si>
    <t>This tool, the line list, will help workplaces to track/identify the COVID-19 cases amongst their workforce.</t>
  </si>
  <si>
    <t>Column</t>
  </si>
  <si>
    <t>Detail required</t>
  </si>
  <si>
    <t>G</t>
  </si>
  <si>
    <r>
      <t xml:space="preserve">Please enter the </t>
    </r>
    <r>
      <rPr>
        <b/>
        <sz val="12"/>
        <color theme="1"/>
        <rFont val="Arial"/>
        <family val="2"/>
      </rPr>
      <t>FULL LEGAL NAME</t>
    </r>
    <r>
      <rPr>
        <sz val="12"/>
        <color theme="1"/>
        <rFont val="Arial"/>
        <family val="2"/>
      </rPr>
      <t xml:space="preserve"> of the individuals to be identified on this list.</t>
    </r>
  </si>
  <si>
    <t>H</t>
  </si>
  <si>
    <t>I</t>
  </si>
  <si>
    <t>Gender that the listed individual self-identifies as.</t>
  </si>
  <si>
    <t>J</t>
  </si>
  <si>
    <t>DOB</t>
  </si>
  <si>
    <t>Date of birth (format: yyyy-mm-dd)</t>
  </si>
  <si>
    <t>K</t>
  </si>
  <si>
    <t>The residential address you have on file for this individual</t>
  </si>
  <si>
    <t>L</t>
  </si>
  <si>
    <t>The city the residential address is associated with</t>
  </si>
  <si>
    <t>M</t>
  </si>
  <si>
    <t>The postal code the residential address is associated with</t>
  </si>
  <si>
    <t>N</t>
  </si>
  <si>
    <t>Home/Cell phone Number</t>
  </si>
  <si>
    <t>An up-to-date contact phone number for the listed individual</t>
  </si>
  <si>
    <t>O</t>
  </si>
  <si>
    <t>Email address</t>
  </si>
  <si>
    <t>An up-to-date email address for the listed individual</t>
  </si>
  <si>
    <t>P</t>
  </si>
  <si>
    <t>For cases that report home from work, please provide when the individual started to feel unwell. If an individual sought out testing without any symptoms and have reported to you they are positive, please enter the date they went for testing.</t>
  </si>
  <si>
    <t>Q</t>
  </si>
  <si>
    <t>Last Day on Premise (if Case) OR Last day on Premise with Case (if Contact) 
(yyyy-mm-dd)*</t>
  </si>
  <si>
    <t>Please enter any pertinent information related to where the listed individual works on the premise.</t>
  </si>
  <si>
    <t xml:space="preserve">Any notes related to the common areas that the listed individual would have been in. Additionally, you can list who the case is that would be associated with a listed contact. </t>
  </si>
  <si>
    <t>Please enter the case number in the order in which they have been disclosed to you</t>
  </si>
  <si>
    <t>Dates case/contact was on premise prior to last day on premise (up to 21 dates)
Please enter individual dates (yyyy-mm-dd) per square*</t>
  </si>
  <si>
    <t>Please provide up to 21 days the listed individual was on the premise prior to their last day.</t>
  </si>
  <si>
    <t>AO</t>
  </si>
  <si>
    <t>This tab provides basic instructions to proprietors to assist with the completion of the proprietor area of the data entry Tab and will be visible in the premise version of the line list.</t>
  </si>
  <si>
    <t>All data is to be entered into the Data Entry Sheet</t>
  </si>
  <si>
    <t>Please do not insert new rows into the Data Entry Sheet. Use next available blank row for new individuals (rows are available from 6 - 600)</t>
  </si>
  <si>
    <t>Contacts</t>
  </si>
  <si>
    <t>Worker</t>
  </si>
  <si>
    <t>Non-worker</t>
  </si>
  <si>
    <t>Total #</t>
  </si>
  <si>
    <t>Total # contacts w/ confirmed VOC exposure (All VOCs)</t>
  </si>
  <si>
    <t>TPH counts</t>
  </si>
  <si>
    <r>
      <t xml:space="preserve">Premise Instructions Tab - </t>
    </r>
    <r>
      <rPr>
        <b/>
        <sz val="12"/>
        <color rgb="FFFF0000"/>
        <rFont val="Arial"/>
        <family val="2"/>
      </rPr>
      <t>NEW (Hidden in TPH version, visible in Premise version)</t>
    </r>
  </si>
  <si>
    <t>Investigation Closure - outcome</t>
  </si>
  <si>
    <t>Recovered</t>
  </si>
  <si>
    <t>Fatal</t>
  </si>
  <si>
    <t>Not reported</t>
  </si>
  <si>
    <t>Ill</t>
  </si>
  <si>
    <t>RES. Effect</t>
  </si>
  <si>
    <t>Does not meet</t>
  </si>
  <si>
    <t>Ignore</t>
  </si>
  <si>
    <t>Refered to FNIHB</t>
  </si>
  <si>
    <t>Table to inform Investigation Closure Survey (CCM Entry)</t>
  </si>
  <si>
    <t>Attendee</t>
  </si>
  <si>
    <t>Patient</t>
  </si>
  <si>
    <t>Volunteer</t>
  </si>
  <si>
    <t>Visitor</t>
  </si>
  <si>
    <t>NW</t>
  </si>
  <si>
    <t>W</t>
  </si>
  <si>
    <t>Total # cases with pneumonia</t>
  </si>
  <si>
    <t>Role</t>
  </si>
  <si>
    <t>Total # contacts w/ VOC exposure (All VOCs)</t>
  </si>
  <si>
    <t>Column AM: Role at premise - now aligns with categories found in CCM</t>
  </si>
  <si>
    <t>Role Type</t>
  </si>
  <si>
    <t># of cases (total)</t>
  </si>
  <si>
    <t>Workers</t>
  </si>
  <si>
    <t>Non-Workers</t>
  </si>
  <si>
    <t xml:space="preserve">Epi-Curves </t>
  </si>
  <si>
    <t>Summary data</t>
  </si>
  <si>
    <r>
      <t xml:space="preserve">Columns BL </t>
    </r>
    <r>
      <rPr>
        <sz val="12"/>
        <color rgb="FFFF0000"/>
        <rFont val="Arial"/>
        <family val="2"/>
      </rPr>
      <t>(NEW)</t>
    </r>
    <r>
      <rPr>
        <sz val="12"/>
        <color theme="1"/>
        <rFont val="Arial"/>
        <family val="2"/>
      </rPr>
      <t xml:space="preserve"> - Pneumonia dx as per CCM</t>
    </r>
  </si>
  <si>
    <t>Columns BM and BO aligning categories to those on CCM</t>
  </si>
  <si>
    <r>
      <t xml:space="preserve">Data Entry Tab - </t>
    </r>
    <r>
      <rPr>
        <sz val="12"/>
        <color theme="1"/>
        <rFont val="Arial"/>
        <family val="2"/>
      </rPr>
      <t>Column Titles with the</t>
    </r>
    <r>
      <rPr>
        <b/>
        <sz val="12"/>
        <color theme="1"/>
        <rFont val="Arial"/>
        <family val="2"/>
      </rPr>
      <t xml:space="preserve"> </t>
    </r>
    <r>
      <rPr>
        <b/>
        <sz val="12"/>
        <color rgb="FFFF0000"/>
        <rFont val="Arial"/>
        <family val="2"/>
      </rPr>
      <t>RED ASTERISK *</t>
    </r>
    <r>
      <rPr>
        <b/>
        <sz val="12"/>
        <color theme="1"/>
        <rFont val="Arial"/>
        <family val="2"/>
      </rPr>
      <t xml:space="preserve"> </t>
    </r>
    <r>
      <rPr>
        <sz val="12"/>
        <color theme="1"/>
        <rFont val="Arial"/>
        <family val="2"/>
      </rPr>
      <t xml:space="preserve">are required data entry points to inform the Cover Sheet Tab. </t>
    </r>
  </si>
  <si>
    <t>In column BF - Drop down choices that are to be used with cases being screened for VOCs will contain the Mutation information. (i.e.: Mutation…). Once a confirmed case has been screened and confirmed to have a specific variant, please change as per below (10b) - all contacts associated with that case will also need to have their associated VOC changed as appropriate. If no VOC is found with screening, delete data from this column for that specific case and their respective contacts.</t>
  </si>
  <si>
    <t>11a</t>
  </si>
  <si>
    <t>11b</t>
  </si>
  <si>
    <t>Columns BF and BG: Variant identifier - for all cases and contacts as applicable. As management of contacts will differ if VOCs are discovered</t>
  </si>
  <si>
    <t xml:space="preserve">In column BG - Drop down choices that are to be used with confirmed VOCs will contain the lineage information. (i.e.: Lineage…). </t>
  </si>
  <si>
    <t>updated Role categories to align with those that appear in CCM for Investigation Closure Survey</t>
  </si>
  <si>
    <t>Aligned case categories with those found in CCM as well as rolling up to two categories: Worker and non-worker</t>
  </si>
  <si>
    <t>Aligned case categories with those found in CCM - rolling up to two categories
Worker and non-worker</t>
  </si>
  <si>
    <t>Transmission chart export button included</t>
  </si>
  <si>
    <r>
      <t>Columns BQ to BT (</t>
    </r>
    <r>
      <rPr>
        <sz val="12"/>
        <color rgb="FFFF0000"/>
        <rFont val="Arial"/>
        <family val="2"/>
      </rPr>
      <t>NEW</t>
    </r>
    <r>
      <rPr>
        <sz val="12"/>
        <color theme="1"/>
        <rFont val="Arial"/>
        <family val="2"/>
      </rPr>
      <t>) to help inform transmission mapping details (determining potential SOI and transmission)</t>
    </r>
  </si>
  <si>
    <t>Column BT Transmission Map Comments - Additional information that might be pertinent to include in a potential transmission map</t>
  </si>
  <si>
    <t>For Transmission Map</t>
  </si>
  <si>
    <r>
      <t>#s from Premise Questionnaire</t>
    </r>
    <r>
      <rPr>
        <b/>
        <sz val="10"/>
        <color rgb="FFFF0000"/>
        <rFont val="Calibri"/>
        <family val="2"/>
        <scheme val="minor"/>
      </rPr>
      <t>*</t>
    </r>
  </si>
  <si>
    <r>
      <t>Current Classification Status</t>
    </r>
    <r>
      <rPr>
        <b/>
        <sz val="10"/>
        <color rgb="FFFF0000"/>
        <rFont val="Calibri"/>
        <family val="2"/>
        <scheme val="minor"/>
      </rPr>
      <t xml:space="preserve">*  </t>
    </r>
  </si>
  <si>
    <r>
      <t>Initial Classification Status</t>
    </r>
    <r>
      <rPr>
        <b/>
        <sz val="10"/>
        <color rgb="FFFF0000"/>
        <rFont val="Calibri"/>
        <family val="2"/>
        <scheme val="minor"/>
      </rPr>
      <t xml:space="preserve">*  </t>
    </r>
  </si>
  <si>
    <r>
      <t>For Cases: Symptom Onset Date or Testing Date if Asx 
(yyyy-mm-dd)</t>
    </r>
    <r>
      <rPr>
        <b/>
        <sz val="10"/>
        <color rgb="FFFF0000"/>
        <rFont val="Calibri"/>
        <family val="2"/>
        <scheme val="minor"/>
      </rPr>
      <t xml:space="preserve">*  </t>
    </r>
  </si>
  <si>
    <r>
      <t>Last Day on Premise (if Case) OR Last day on Premise with Case (if Contact) 
(yyyy-mm-dd)</t>
    </r>
    <r>
      <rPr>
        <b/>
        <sz val="10"/>
        <color rgb="FFFF0000"/>
        <rFont val="Calibri"/>
        <family val="2"/>
        <scheme val="minor"/>
      </rPr>
      <t>*</t>
    </r>
  </si>
  <si>
    <r>
      <t>Dates case/contact was on premise prior to last day on premise (up to 21 dates)
Please enter individual dates (yyyy-mm-dd) per square</t>
    </r>
    <r>
      <rPr>
        <b/>
        <sz val="10"/>
        <color rgb="FFFF0000"/>
        <rFont val="Calibri"/>
        <family val="2"/>
        <scheme val="minor"/>
      </rPr>
      <t>*</t>
    </r>
  </si>
  <si>
    <r>
      <t>Role at Premise</t>
    </r>
    <r>
      <rPr>
        <b/>
        <sz val="10"/>
        <color rgb="FFFF0000"/>
        <rFont val="Calibri"/>
        <family val="2"/>
        <scheme val="minor"/>
      </rPr>
      <t>*</t>
    </r>
    <r>
      <rPr>
        <b/>
        <sz val="10"/>
        <color theme="1"/>
        <rFont val="Calibri"/>
        <family val="2"/>
        <scheme val="minor"/>
      </rPr>
      <t xml:space="preserve">  </t>
    </r>
  </si>
  <si>
    <r>
      <t>For Cases, Possible Sites of Acquisition</t>
    </r>
    <r>
      <rPr>
        <b/>
        <sz val="10"/>
        <color rgb="FFFF0000"/>
        <rFont val="Calibri"/>
        <family val="2"/>
        <scheme val="minor"/>
      </rPr>
      <t>*</t>
    </r>
  </si>
  <si>
    <r>
      <t>Testing Status</t>
    </r>
    <r>
      <rPr>
        <b/>
        <sz val="10"/>
        <color rgb="FFFF0000"/>
        <rFont val="Calibri"/>
        <family val="2"/>
        <scheme val="minor"/>
      </rPr>
      <t xml:space="preserve">* </t>
    </r>
  </si>
  <si>
    <r>
      <t>Testing Date
(yyyy-mm-dd)</t>
    </r>
    <r>
      <rPr>
        <b/>
        <sz val="10"/>
        <color rgb="FFFF0000"/>
        <rFont val="Calibri"/>
        <family val="2"/>
        <scheme val="minor"/>
      </rPr>
      <t xml:space="preserve">*  </t>
    </r>
  </si>
  <si>
    <r>
      <t xml:space="preserve">Hospitalization </t>
    </r>
    <r>
      <rPr>
        <b/>
        <sz val="10"/>
        <color rgb="FFFF0000"/>
        <rFont val="Calibri"/>
        <family val="2"/>
        <scheme val="minor"/>
      </rPr>
      <t>*</t>
    </r>
  </si>
  <si>
    <r>
      <t xml:space="preserve">Pneumonia </t>
    </r>
    <r>
      <rPr>
        <b/>
        <sz val="10"/>
        <color rgb="FFFF0000"/>
        <rFont val="Calibri"/>
        <family val="2"/>
        <scheme val="minor"/>
      </rPr>
      <t>*</t>
    </r>
  </si>
  <si>
    <t>Is the case directly linked to the OB?
Y/N</t>
  </si>
  <si>
    <r>
      <t>New column "</t>
    </r>
    <r>
      <rPr>
        <b/>
        <sz val="12"/>
        <color theme="1"/>
        <rFont val="Arial"/>
        <family val="2"/>
      </rPr>
      <t>Is the case directly linked to the OB</t>
    </r>
    <r>
      <rPr>
        <sz val="12"/>
        <color theme="1"/>
        <rFont val="Arial"/>
        <family val="2"/>
      </rPr>
      <t>? Y/N" added at the very biggining in the 'Data entry' sheet</t>
    </r>
  </si>
  <si>
    <t>Enter Transmission receipient TMI, e.g. EX3- indicating EX1 passed on to EX3 (leave blank if none)</t>
  </si>
  <si>
    <t>Assign Transmission Map Identifier (TMI) for each case, e.g., EX1</t>
  </si>
  <si>
    <t>Enter TMI for potential SOI,  e.g., EX2- indicating EX2 is the source for EX1 (leave blank if none)</t>
  </si>
  <si>
    <t>Yes, Directly linked</t>
  </si>
  <si>
    <t>No, Indirectly linked</t>
  </si>
  <si>
    <t>Version 5.2; Mar 17, 2021</t>
  </si>
  <si>
    <t>Is the case directly linked to the OB?</t>
  </si>
  <si>
    <t xml:space="preserve">Changed drop down field for "Is the case directly linked to the OB?" (Cell A5). Drop down: Yes, Directled linked, No Indirectly linked; No, Not associated with any OB. 
Added conditions that if either "no" option is selected make comments field (column BP) red with text 'Enter comments'. </t>
  </si>
  <si>
    <t xml:space="preserve">Added following under VOC Subtype in column BF: 
Mutation E484K and N501Y 
Mutation E484K+ and N501Y- 
Mutation N501Y+ and E484K- 
</t>
  </si>
  <si>
    <t>Cover Sheet shows the case counts that are only directly linked to the OB</t>
  </si>
  <si>
    <t>Summary Data' Sheet shows the case counts that are only directly linked to the OB</t>
  </si>
  <si>
    <t>Lineage B.1.617</t>
  </si>
  <si>
    <t>Mutation not detected</t>
  </si>
  <si>
    <t>Case Counts</t>
  </si>
  <si>
    <t>Total (TPH + OCL)</t>
  </si>
  <si>
    <t>TPH</t>
  </si>
  <si>
    <t>OCL</t>
  </si>
  <si>
    <t>Worker Cases (TPH + OCL)</t>
  </si>
  <si>
    <t>Non-Worker Cases (TPH + OCL)</t>
  </si>
  <si>
    <t>Probable Cases</t>
  </si>
  <si>
    <t>Non-Worker Cases</t>
  </si>
  <si>
    <t>Total # Employees</t>
  </si>
  <si>
    <t>Total # of Hospitalized Cases</t>
  </si>
  <si>
    <t>Total # of Case Deaths</t>
  </si>
  <si>
    <t>VOC information</t>
  </si>
  <si>
    <t>Investigation Subtype</t>
  </si>
  <si>
    <t># cases</t>
  </si>
  <si>
    <t>Subtype #1</t>
  </si>
  <si>
    <t>Subtype #2</t>
  </si>
  <si>
    <t>Subtype #3</t>
  </si>
  <si>
    <t>Subtype #4</t>
  </si>
  <si>
    <t>Confirmed VOC Lineage</t>
  </si>
  <si>
    <t>Screened VOC Mutation</t>
  </si>
  <si>
    <t>Total #  Worker Cases</t>
  </si>
  <si>
    <t>Total #  Non-worker Cases</t>
  </si>
  <si>
    <t>Worker Cases</t>
  </si>
  <si>
    <t>Type of VOCs Confirmed</t>
  </si>
  <si>
    <t>Type of VOCs Screened</t>
  </si>
  <si>
    <t>OCL counts</t>
  </si>
  <si>
    <t xml:space="preserve">Total # High-Risk Contacts </t>
  </si>
  <si>
    <t>Total # of Confirmed Cases (TPH &amp; OCL)</t>
  </si>
  <si>
    <t>Total # of Probable Cases (TPH &amp; OCL)</t>
  </si>
  <si>
    <t>Total # of High Risk Contacts (TPH &amp; OCL)</t>
  </si>
  <si>
    <t>Total # of Individuals at Risk of Exposure (LR+HR)</t>
  </si>
  <si>
    <r>
      <t>Total #</t>
    </r>
    <r>
      <rPr>
        <b/>
        <sz val="12"/>
        <color rgb="FF7030A0"/>
        <rFont val="Calibri"/>
        <family val="2"/>
        <scheme val="minor"/>
      </rPr>
      <t xml:space="preserve"> Cases</t>
    </r>
    <r>
      <rPr>
        <b/>
        <sz val="12"/>
        <color rgb="FF00B050"/>
        <rFont val="Calibri"/>
        <family val="2"/>
        <scheme val="minor"/>
      </rPr>
      <t xml:space="preserve"> w/ VOC (confirmed/screened, Count)</t>
    </r>
  </si>
  <si>
    <r>
      <t xml:space="preserve">Total # </t>
    </r>
    <r>
      <rPr>
        <b/>
        <sz val="12"/>
        <color rgb="FF7030A0"/>
        <rFont val="Calibri"/>
        <family val="2"/>
        <scheme val="minor"/>
      </rPr>
      <t>contacts</t>
    </r>
    <r>
      <rPr>
        <b/>
        <sz val="12"/>
        <color rgb="FF00B050"/>
        <rFont val="Calibri"/>
        <family val="2"/>
        <scheme val="minor"/>
      </rPr>
      <t xml:space="preserve"> w/ VOC exposure (All VOCs)</t>
    </r>
  </si>
  <si>
    <r>
      <t xml:space="preserve">Total # </t>
    </r>
    <r>
      <rPr>
        <b/>
        <sz val="12"/>
        <color rgb="FF7030A0"/>
        <rFont val="Calibri"/>
        <family val="2"/>
        <scheme val="minor"/>
      </rPr>
      <t>Cases</t>
    </r>
    <r>
      <rPr>
        <b/>
        <sz val="12"/>
        <color rgb="FF00B050"/>
        <rFont val="Calibri"/>
        <family val="2"/>
        <scheme val="minor"/>
      </rPr>
      <t xml:space="preserve"> w/ VOC (confirmed/screened Count)</t>
    </r>
  </si>
  <si>
    <r>
      <t xml:space="preserve">Total # </t>
    </r>
    <r>
      <rPr>
        <b/>
        <sz val="12"/>
        <color rgb="FF7030A0"/>
        <rFont val="Calibri"/>
        <family val="2"/>
        <scheme val="minor"/>
      </rPr>
      <t>Cases</t>
    </r>
    <r>
      <rPr>
        <b/>
        <sz val="12"/>
        <color rgb="FF00B050"/>
        <rFont val="Calibri"/>
        <family val="2"/>
        <scheme val="minor"/>
      </rPr>
      <t xml:space="preserve"> w/ VOC (confirmed/screened, Count)</t>
    </r>
  </si>
  <si>
    <r>
      <t xml:space="preserve">Total # Cases </t>
    </r>
    <r>
      <rPr>
        <b/>
        <sz val="12"/>
        <color rgb="FF7030A0"/>
        <rFont val="Calibri"/>
        <family val="2"/>
        <scheme val="minor"/>
      </rPr>
      <t>screened</t>
    </r>
    <r>
      <rPr>
        <b/>
        <sz val="12"/>
        <color rgb="FF00B050"/>
        <rFont val="Calibri"/>
        <family val="2"/>
        <scheme val="minor"/>
      </rPr>
      <t xml:space="preserve"> for VOCs (all VOCs)</t>
    </r>
  </si>
  <si>
    <r>
      <t xml:space="preserve">Total # Cases </t>
    </r>
    <r>
      <rPr>
        <b/>
        <sz val="12"/>
        <color rgb="FF7030A0"/>
        <rFont val="Calibri"/>
        <family val="2"/>
        <scheme val="minor"/>
      </rPr>
      <t>confirmed</t>
    </r>
    <r>
      <rPr>
        <b/>
        <sz val="12"/>
        <color rgb="FF00B050"/>
        <rFont val="Calibri"/>
        <family val="2"/>
        <scheme val="minor"/>
      </rPr>
      <t xml:space="preserve"> with VOCs (all VOCs)</t>
    </r>
  </si>
  <si>
    <t>Confirmed Cases</t>
  </si>
  <si>
    <t>Total # Confirmed Cases NOT linked to OB</t>
  </si>
  <si>
    <t>Total # Probable Cases NOT linked to OB</t>
  </si>
  <si>
    <t xml:space="preserve"> </t>
  </si>
  <si>
    <t>8.      Manufacturing</t>
  </si>
  <si>
    <t>9. Workplace - Farm</t>
  </si>
  <si>
    <t>10. Workplace - Food Processing</t>
  </si>
  <si>
    <t>11. Other Workplace</t>
  </si>
  <si>
    <t>11.1 Office</t>
  </si>
  <si>
    <t>11.2 Construction</t>
  </si>
  <si>
    <t>11.3 Film/TV Production</t>
  </si>
  <si>
    <t>11.4 Financial Institution</t>
  </si>
  <si>
    <t>12. Other</t>
  </si>
  <si>
    <t>12.1 Bed &amp;Breakfast</t>
  </si>
  <si>
    <t>12.2 Hotel, Motel, Short-term Rental</t>
  </si>
  <si>
    <t>12.3 School - Elementary</t>
  </si>
  <si>
    <t>12.4 School - Post Secondary</t>
  </si>
  <si>
    <t>12.5 School - Before/After Care</t>
  </si>
  <si>
    <t>13. Unknown</t>
  </si>
  <si>
    <r>
      <t xml:space="preserve">Total # </t>
    </r>
    <r>
      <rPr>
        <b/>
        <sz val="12"/>
        <color rgb="FF7030A0"/>
        <rFont val="Calibri"/>
        <family val="2"/>
        <scheme val="minor"/>
      </rPr>
      <t>contacts</t>
    </r>
    <r>
      <rPr>
        <b/>
        <sz val="12"/>
        <color rgb="FF00B050"/>
        <rFont val="Calibri"/>
        <family val="2"/>
        <scheme val="minor"/>
      </rPr>
      <t xml:space="preserve"> w/ confirmed VOC exposure (All VOCs)</t>
    </r>
  </si>
  <si>
    <r>
      <t>Total #</t>
    </r>
    <r>
      <rPr>
        <b/>
        <sz val="12"/>
        <color rgb="FF7030A0"/>
        <rFont val="Calibri"/>
        <family val="2"/>
        <scheme val="minor"/>
      </rPr>
      <t xml:space="preserve"> Contacts</t>
    </r>
    <r>
      <rPr>
        <b/>
        <sz val="12"/>
        <color rgb="FF00B050"/>
        <rFont val="Calibri"/>
        <family val="2"/>
        <scheme val="minor"/>
      </rPr>
      <t xml:space="preserve"> w/ VOC exposure (Type, Count)</t>
    </r>
  </si>
  <si>
    <t>Version 5.3; May 26, 2021</t>
  </si>
  <si>
    <t>Removed column A "Is the case directly linked to the OB? Y/N" on 'Data entry' sheet</t>
  </si>
  <si>
    <t>Type of setting has been updated with the addition of subtype 12</t>
  </si>
  <si>
    <t xml:space="preserve">VOC subtype has been updated with the addition of 
Lineage B1.1.7 and E484K+
Mutation E484K and N501Y 
Mutation E484K+ and N501Y- 
Mutation N501Y+ and E484K- </t>
  </si>
  <si>
    <t>Cover sheet lay out has been updated so that it mirrors what CDIs will be seeing on the upcoming APEX update</t>
  </si>
  <si>
    <t>By Shift</t>
  </si>
  <si>
    <t>By Functional Area</t>
  </si>
  <si>
    <t>By Shift and Functional Area</t>
  </si>
  <si>
    <t>Functional Area Names</t>
  </si>
  <si>
    <t>Shift Names</t>
  </si>
  <si>
    <t>Shift</t>
  </si>
  <si>
    <t>Functional Area</t>
  </si>
  <si>
    <t>Created Epi Curve-Shift</t>
  </si>
  <si>
    <t>Created Epi Curve-FuncArea,Shift</t>
  </si>
  <si>
    <t>Created Epi Curve-FuncArea</t>
  </si>
  <si>
    <t>Added new columns V to AE (Functional Areas) in 'Summary Data'</t>
  </si>
  <si>
    <t>Added new columns AF to CC (Functional Areas &amp; Shifts) in 'Summary Data'</t>
  </si>
  <si>
    <t>Added new columns X (Functional Area) and Y (Shift) in 'Cover Sheet'</t>
  </si>
  <si>
    <t>Added new columns T (Shift) and U (Functional Area) in 'Data Validation' sheet</t>
  </si>
  <si>
    <t>Added new columns AN (Shift) and AO (Functional Area) in 'Data entry' sheet</t>
  </si>
  <si>
    <t>Added new columns Q to U (Shifts) in 'Summary Data' sheet</t>
  </si>
  <si>
    <t>Version 5.4; Jun 2, 2021</t>
  </si>
  <si>
    <r>
      <t>Shift</t>
    </r>
    <r>
      <rPr>
        <b/>
        <sz val="10"/>
        <color rgb="FFFF0000"/>
        <rFont val="Calibri"/>
        <family val="2"/>
        <scheme val="minor"/>
      </rPr>
      <t>*</t>
    </r>
  </si>
  <si>
    <r>
      <t>Functional Area</t>
    </r>
    <r>
      <rPr>
        <b/>
        <sz val="10"/>
        <color rgb="FFFF0000"/>
        <rFont val="Calibri"/>
        <family val="2"/>
        <scheme val="minor"/>
      </rPr>
      <t>*</t>
    </r>
  </si>
  <si>
    <t>Version 5.4; Jun 24, 2021</t>
  </si>
  <si>
    <t>Modified the 'cover sheet' as per request</t>
  </si>
  <si>
    <t>Latest Exposure Date</t>
  </si>
  <si>
    <r>
      <t xml:space="preserve">Made automatic display of 'Latest Exposure Date' on 'cover sheet' - </t>
    </r>
    <r>
      <rPr>
        <b/>
        <sz val="12"/>
        <color rgb="FFFF0000"/>
        <rFont val="Arial"/>
        <family val="2"/>
      </rPr>
      <t>NEW</t>
    </r>
  </si>
  <si>
    <t>AP</t>
  </si>
  <si>
    <t>AQ</t>
  </si>
  <si>
    <t>Please select an option from the drop down menu to identify a shift that would be applicable 
Please provide shift details in the Notes section (e.g. within Column AQ, Shift 1 = Dayshift, etc…)</t>
  </si>
  <si>
    <t>Please select an option from the drop down menu to identify a functional area that would be applicable.
Please provide shift details in the Notes section (e.g. within Column AQ: Functional Area 1 = Warehouse, etc...)</t>
  </si>
  <si>
    <t>Version 5.5; Oct 6, 2021</t>
  </si>
  <si>
    <t>Vaccination</t>
  </si>
  <si>
    <t>Exempted</t>
  </si>
  <si>
    <t xml:space="preserve">Removed columns: </t>
  </si>
  <si>
    <t>Sx</t>
  </si>
  <si>
    <r>
      <t>Fatal Outcome</t>
    </r>
    <r>
      <rPr>
        <b/>
        <sz val="10"/>
        <color rgb="FFFF0000"/>
        <rFont val="Calibri"/>
        <family val="2"/>
        <scheme val="minor"/>
      </rPr>
      <t>*</t>
    </r>
  </si>
  <si>
    <r>
      <t xml:space="preserve">Investigation Subtype (VOC) </t>
    </r>
    <r>
      <rPr>
        <b/>
        <sz val="10"/>
        <color rgb="FFFF0000"/>
        <rFont val="Calibri"/>
        <family val="2"/>
        <scheme val="minor"/>
      </rPr>
      <t>*</t>
    </r>
    <r>
      <rPr>
        <b/>
        <sz val="10"/>
        <color theme="1"/>
        <rFont val="Calibri"/>
        <family val="2"/>
        <scheme val="minor"/>
      </rPr>
      <t xml:space="preserve"> (confirmed/screened): For C</t>
    </r>
    <r>
      <rPr>
        <b/>
        <sz val="10"/>
        <color rgb="FF7030A0"/>
        <rFont val="Calibri"/>
        <family val="2"/>
        <scheme val="minor"/>
      </rPr>
      <t>ases</t>
    </r>
    <r>
      <rPr>
        <b/>
        <sz val="10"/>
        <color theme="1"/>
        <rFont val="Calibri"/>
        <family val="2"/>
        <scheme val="minor"/>
      </rPr>
      <t xml:space="preserve"> (based on testing requested) and </t>
    </r>
    <r>
      <rPr>
        <b/>
        <sz val="10"/>
        <color rgb="FF7030A0"/>
        <rFont val="Calibri"/>
        <family val="2"/>
        <scheme val="minor"/>
      </rPr>
      <t>Contacts</t>
    </r>
  </si>
  <si>
    <t># and types of previous investigations</t>
  </si>
  <si>
    <t>Outbreak Record #</t>
  </si>
  <si>
    <t>VOC Subtype</t>
  </si>
  <si>
    <t>Exposures</t>
  </si>
  <si>
    <t>Suspect OB</t>
  </si>
  <si>
    <t>Confirmed OB</t>
  </si>
  <si>
    <t>Total # of cases linked to OB</t>
  </si>
  <si>
    <t xml:space="preserve">Exposure Name </t>
  </si>
  <si>
    <r>
      <t>Postal Code</t>
    </r>
    <r>
      <rPr>
        <b/>
        <sz val="10"/>
        <color rgb="FFFF0000"/>
        <rFont val="Calibri"/>
        <family val="2"/>
        <scheme val="minor"/>
      </rPr>
      <t>*</t>
    </r>
  </si>
  <si>
    <r>
      <t>Symptomatic/Asymptomatic Status</t>
    </r>
    <r>
      <rPr>
        <b/>
        <sz val="10"/>
        <color rgb="FFFF0000"/>
        <rFont val="Calibri"/>
        <family val="2"/>
        <scheme val="minor"/>
      </rPr>
      <t>*</t>
    </r>
  </si>
  <si>
    <t>Symptomatic/ Asymptomatic Status</t>
  </si>
  <si>
    <t>Lineage B.1.1.7 (Alpha)</t>
  </si>
  <si>
    <t>Lineage B.1.351 (Beta)</t>
  </si>
  <si>
    <t>Lineage P.1 (Gamma)</t>
  </si>
  <si>
    <t>Lineage P.2 (Zeta)</t>
  </si>
  <si>
    <t>Mutation N501Y+; Mutation E484K-</t>
  </si>
  <si>
    <t>Mutation N501Y+; Mutation E484K+; Mutation K417N+</t>
  </si>
  <si>
    <t>Mutation N501Y+; Mutation E484K+; Mutation K417T+</t>
  </si>
  <si>
    <t>Mutation N501Y+; Mutation E484K+; Mutation K417N/T-</t>
  </si>
  <si>
    <t>Mutation E484K-; Mutation N501Y-; Mutation L452R+</t>
  </si>
  <si>
    <t>Mutation E484K+</t>
  </si>
  <si>
    <t>Lineage B.1.617.1 (Kappa)</t>
  </si>
  <si>
    <t>Lineage B.1.617.2 (Delta).</t>
  </si>
  <si>
    <t>Lineage B.1.617.3</t>
  </si>
  <si>
    <t>Lineage B.1.621</t>
  </si>
  <si>
    <t>Lineage AY.3</t>
  </si>
  <si>
    <t>Testing type</t>
  </si>
  <si>
    <t>Screened</t>
  </si>
  <si>
    <t>Dose 3</t>
  </si>
  <si>
    <t>Total # of Cases (Workers) (TPH &amp; OCL)</t>
  </si>
  <si>
    <t>Total # of Cases (non-workers) (TPH &amp; OCL)</t>
  </si>
  <si>
    <t>Initials</t>
  </si>
  <si>
    <t>Unvaccinated</t>
  </si>
  <si>
    <t>Dose 1 of 1</t>
  </si>
  <si>
    <t>Dose 1 of 2</t>
  </si>
  <si>
    <t>Dose 2 of 2</t>
  </si>
  <si>
    <t>Case investigation/ contact outreach number</t>
  </si>
  <si>
    <r>
      <t>Dose Date (yyyy-mm-dd)</t>
    </r>
    <r>
      <rPr>
        <b/>
        <sz val="10"/>
        <color rgb="FFFF0000"/>
        <rFont val="Calibri"/>
        <family val="2"/>
        <scheme val="minor"/>
      </rPr>
      <t>*</t>
    </r>
  </si>
  <si>
    <t>Initial Classification Status*</t>
  </si>
  <si>
    <t>Postal Code*</t>
  </si>
  <si>
    <t>R</t>
  </si>
  <si>
    <t xml:space="preserve">For Cases: Symptom Onset Date for cases or Testing Date if Asx 
(yyyy-mm-dd)*  </t>
  </si>
  <si>
    <t>S</t>
  </si>
  <si>
    <t>T - AN</t>
  </si>
  <si>
    <t>Role at premise*</t>
  </si>
  <si>
    <t>Shift*</t>
  </si>
  <si>
    <t>Functional Area*</t>
  </si>
  <si>
    <t>AR</t>
  </si>
  <si>
    <t>AS</t>
  </si>
  <si>
    <t>AT</t>
  </si>
  <si>
    <t>Dose Date (yyyy-mm-dd)*</t>
  </si>
  <si>
    <t xml:space="preserve">Please provide the date the client received their latest (most recent) dose (format: yyyy-mm-dd). </t>
  </si>
  <si>
    <t>AU</t>
  </si>
  <si>
    <r>
      <t>Data entry sheet-</t>
    </r>
    <r>
      <rPr>
        <b/>
        <sz val="12"/>
        <color rgb="FFFF0000"/>
        <rFont val="Arial"/>
        <family val="2"/>
      </rPr>
      <t>Added columns:</t>
    </r>
    <r>
      <rPr>
        <sz val="12"/>
        <color theme="1"/>
        <rFont val="Arial"/>
        <family val="2"/>
      </rPr>
      <t xml:space="preserve"> Enter POC Start Date(D), Age (E ), Vaccination (AS), Dose date (AT), </t>
    </r>
  </si>
  <si>
    <r>
      <t>Danta entry-</t>
    </r>
    <r>
      <rPr>
        <b/>
        <sz val="12"/>
        <color rgb="FFFF0000"/>
        <rFont val="Arial"/>
        <family val="2"/>
      </rPr>
      <t>Revised columns</t>
    </r>
    <r>
      <rPr>
        <sz val="12"/>
        <color theme="1"/>
        <rFont val="Arial"/>
        <family val="2"/>
      </rPr>
      <t>: Symptomatic/Asymptomatic status (AV), Fatal outcome (BH), Investigation Subtype (BE)</t>
    </r>
  </si>
  <si>
    <t>Lineage B.1.1.529 (Omicron)</t>
  </si>
  <si>
    <t>Added Omicron in the list of VOCs on Dec 7, 2021</t>
  </si>
  <si>
    <t>Total vaccination w/0 doses</t>
  </si>
  <si>
    <t>Unknown vaccination status</t>
  </si>
  <si>
    <t>Total vaccination w/2 doses</t>
  </si>
  <si>
    <t>Total vaccination w/3 doses</t>
  </si>
  <si>
    <t>Total Denominator</t>
  </si>
  <si>
    <t>Total vaccination w/1 doses</t>
  </si>
  <si>
    <t>Role at Premise</t>
  </si>
  <si>
    <t>Patron / Customer</t>
  </si>
  <si>
    <t>Denominators: Counts by immunization status for COVID-19 vaccination</t>
  </si>
  <si>
    <t>Transmission occurring in workplace?</t>
  </si>
  <si>
    <t>Ineligible</t>
  </si>
  <si>
    <t>Cover Sheet&gt;Expected Investigation closure date (R12)&gt; Revised formula to calculate +10 days from the Latest Exposure Date (R11)</t>
  </si>
  <si>
    <t xml:space="preserve">Data entry sheet&gt; Testing Status (Column BB)&gt; Added option: Ineligible </t>
  </si>
  <si>
    <t>Version 5.5; Jan 12, 2022</t>
  </si>
  <si>
    <t>Dose 4</t>
  </si>
  <si>
    <t>Lineage BA.1 (Omicron sub-lineage)</t>
  </si>
  <si>
    <t>Lineage BA.1.1 (Omicron sub-lineage)</t>
  </si>
  <si>
    <t>Lineage BA.2 (Omicron sub-lineage)</t>
  </si>
  <si>
    <t>Version 5.5.5; April 20, 2022</t>
  </si>
  <si>
    <t>Data entry sheet &gt; Vaccination &gt; Dose 4 added</t>
  </si>
  <si>
    <t>Data entry sheet &gt; VOC &gt; Omicron sub-lineages B.A.1, BA.1.1, BA.2 added</t>
  </si>
  <si>
    <t>Case Definition</t>
  </si>
  <si>
    <t>List of Symptoms of COVID-19</t>
  </si>
  <si>
    <r>
      <t xml:space="preserve">If known, please indicate the client's vaccination status at the time of the investigation using the drop down options. 
</t>
    </r>
    <r>
      <rPr>
        <b/>
        <sz val="12"/>
        <color theme="1"/>
        <rFont val="Arial"/>
        <family val="2"/>
      </rPr>
      <t xml:space="preserve">Unvaccinated </t>
    </r>
    <r>
      <rPr>
        <sz val="12"/>
        <color theme="1"/>
        <rFont val="Arial"/>
        <family val="2"/>
      </rPr>
      <t xml:space="preserve">- client has not received any dose of a COVID-19 vaccines series
</t>
    </r>
    <r>
      <rPr>
        <b/>
        <sz val="12"/>
        <color theme="1"/>
        <rFont val="Arial"/>
        <family val="2"/>
      </rPr>
      <t xml:space="preserve">Dose 1 of 1 - </t>
    </r>
    <r>
      <rPr>
        <sz val="12"/>
        <color theme="1"/>
        <rFont val="Arial"/>
        <family val="2"/>
      </rPr>
      <t xml:space="preserve">client received 1 dose of a 1-dose COVID-19 vaccines series
</t>
    </r>
    <r>
      <rPr>
        <b/>
        <sz val="12"/>
        <color theme="1"/>
        <rFont val="Arial"/>
        <family val="2"/>
      </rPr>
      <t>Dose 1 of 2 -</t>
    </r>
    <r>
      <rPr>
        <sz val="12"/>
        <color theme="1"/>
        <rFont val="Arial"/>
        <family val="2"/>
      </rPr>
      <t xml:space="preserve"> client has received their first dose of a multi-dose COVID-19 vaccines series
</t>
    </r>
    <r>
      <rPr>
        <b/>
        <sz val="12"/>
        <color theme="1"/>
        <rFont val="Arial"/>
        <family val="2"/>
      </rPr>
      <t xml:space="preserve">Dose 2 of 2 - </t>
    </r>
    <r>
      <rPr>
        <sz val="12"/>
        <color theme="1"/>
        <rFont val="Arial"/>
        <family val="2"/>
      </rPr>
      <t xml:space="preserve">client has received their second dose of a multi-dose COVID-19 vaccines series
</t>
    </r>
    <r>
      <rPr>
        <b/>
        <sz val="12"/>
        <color theme="1"/>
        <rFont val="Arial"/>
        <family val="2"/>
      </rPr>
      <t xml:space="preserve">Dose 3 - </t>
    </r>
    <r>
      <rPr>
        <sz val="12"/>
        <color theme="1"/>
        <rFont val="Arial"/>
        <family val="2"/>
      </rPr>
      <t xml:space="preserve">client has received their third dose of a multi-dose COVID-19 vaccines series
</t>
    </r>
    <r>
      <rPr>
        <b/>
        <sz val="12"/>
        <color theme="1"/>
        <rFont val="Arial"/>
        <family val="2"/>
      </rPr>
      <t>Dose 4</t>
    </r>
    <r>
      <rPr>
        <sz val="12"/>
        <color theme="1"/>
        <rFont val="Arial"/>
        <family val="2"/>
      </rPr>
      <t xml:space="preserve"> - client has received their fourth dose of a multi-dose COVID-19 vaccines series
</t>
    </r>
    <r>
      <rPr>
        <b/>
        <sz val="12"/>
        <color theme="1"/>
        <rFont val="Arial"/>
        <family val="2"/>
      </rPr>
      <t>Exempted -</t>
    </r>
    <r>
      <rPr>
        <sz val="12"/>
        <color theme="1"/>
        <rFont val="Arial"/>
        <family val="2"/>
      </rPr>
      <t xml:space="preserve"> client is medically exempt from the COVID-19 vaccine</t>
    </r>
  </si>
  <si>
    <t>Table to inform Aggregate Counts (CCM Entry)</t>
  </si>
  <si>
    <t>Last date of exposure</t>
  </si>
  <si>
    <t>For Cases/PUIs only</t>
  </si>
  <si>
    <t>Lineage BA.2.3 (Omicron sub-lineage)</t>
  </si>
  <si>
    <t>Lineage BA.2.9 (Omicron sub-lineage)</t>
  </si>
  <si>
    <t>Lineage BA.2.12 (Omicron sub-lineage)</t>
  </si>
  <si>
    <t>Lineage BA.2.12.1 (Omicron sub-lineage)</t>
  </si>
  <si>
    <t>Lineage BA.2.10 (Omicron sub-lineage)</t>
  </si>
  <si>
    <t>Lineage BA.1.1.10 (Omicron sub-lineage)</t>
  </si>
  <si>
    <t xml:space="preserve">Investigator: </t>
  </si>
  <si>
    <t xml:space="preserve">Supervisor: </t>
  </si>
  <si>
    <t>Exposure setting</t>
  </si>
  <si>
    <t xml:space="preserve">COVID-19 Outbreak Summary and Epi-Curve                                            </t>
  </si>
  <si>
    <t xml:space="preserve">Outbreak Number   </t>
  </si>
  <si>
    <t>Community Setting Name:</t>
  </si>
  <si>
    <t>Date OB Reported:</t>
  </si>
  <si>
    <t>Date AMOH / AD First Notified:</t>
  </si>
  <si>
    <t>Exposure Setting:</t>
  </si>
  <si>
    <t>Date CSR Notified OB declared:</t>
  </si>
  <si>
    <t xml:space="preserve">Lead Manager: </t>
  </si>
  <si>
    <t xml:space="preserve">Today's Date: </t>
  </si>
  <si>
    <t xml:space="preserve">Expected  OB Closing Date: </t>
  </si>
  <si>
    <r>
      <t>Case Definition</t>
    </r>
    <r>
      <rPr>
        <sz val="12"/>
        <color theme="1"/>
        <rFont val="Arial"/>
        <family val="2"/>
      </rPr>
      <t xml:space="preserve">: </t>
    </r>
  </si>
  <si>
    <t>Interventions &amp; Recommendations</t>
  </si>
  <si>
    <t xml:space="preserve">Staff = S       Patron = P  </t>
  </si>
  <si>
    <t>Description</t>
  </si>
  <si>
    <t>Date</t>
  </si>
  <si>
    <t>Population at risk (PAR)</t>
  </si>
  <si>
    <t>Total Number of Cases</t>
  </si>
  <si>
    <t>Total</t>
  </si>
  <si>
    <t>Number of Cases</t>
  </si>
  <si>
    <t>Date mmm/dd</t>
  </si>
  <si>
    <t>Comments:</t>
  </si>
  <si>
    <t>Supervisor</t>
  </si>
  <si>
    <t>Investigator</t>
  </si>
  <si>
    <t>Lead manager</t>
  </si>
  <si>
    <t>Type here</t>
  </si>
  <si>
    <t>Version 6.0 Jun 24, 2022</t>
  </si>
  <si>
    <t xml:space="preserve">The highlighted &amp; italicized sections only need to be filled out when the epi-curve is to be submitted for an AD/AMOH consult. All other sections of this template will be pulled from existing data in the TPH Line List Data Entry and Cover Sheet Tab. </t>
  </si>
  <si>
    <t>Current Classification Status*</t>
  </si>
  <si>
    <t>Postal Code</t>
  </si>
  <si>
    <t>Symptom Onset Date/ Testing Date</t>
  </si>
  <si>
    <t>New sheet ('AD Consult Epi-Curve') added</t>
  </si>
  <si>
    <t>New Epi-curves added</t>
  </si>
  <si>
    <t>On the 'Cover Sheet', exposure setting, investigator, supervisor, manager fields are added</t>
  </si>
  <si>
    <t>(SOD)/Testing Date</t>
  </si>
  <si>
    <t>Lineage BA.4 (Omicron sub-lineage)</t>
  </si>
  <si>
    <t>Lineage BA.5 (Omicron sub-lineage)</t>
  </si>
  <si>
    <t>Lineage BA.5.1 (Omicron sub-lineage)</t>
  </si>
  <si>
    <t>On 'Data Entry', comment added to Last Day on Premise Column S for what date to enter for Resident cases who live at the premise</t>
  </si>
  <si>
    <t>Please enter the last day a case would have been on the premise and for all contacts, the last day on the premise they would have had contact with a case.
For Resident cases, enter the date the case began self-isolating away from others at the premise.</t>
  </si>
  <si>
    <t>Close Contact</t>
  </si>
  <si>
    <t xml:space="preserve">Close Contact </t>
  </si>
  <si>
    <t>Total # of people in the entire facility</t>
  </si>
  <si>
    <t>Initial Classification Status</t>
  </si>
  <si>
    <t>Close contacts</t>
  </si>
  <si>
    <t>Total Number of Close Contacts</t>
  </si>
  <si>
    <t>Close Contacts</t>
  </si>
  <si>
    <t>Total # at risk in affected area (All cases + Close contacts  +  Total # of individuals that may have been exposed in the affected area(s) (excluding close contacts)</t>
  </si>
  <si>
    <r>
      <rPr>
        <b/>
        <sz val="12"/>
        <color theme="1"/>
        <rFont val="Arial"/>
        <family val="2"/>
      </rPr>
      <t xml:space="preserve">Case
</t>
    </r>
    <r>
      <rPr>
        <sz val="12"/>
        <color theme="1"/>
        <rFont val="Arial"/>
        <family val="2"/>
      </rPr>
      <t xml:space="preserve">An individual who has tested positive for COVID-19 (including on a Rapid Antigen Test) or has symptoms of COVID-19 (refer to links below for Symptoms of COVID-19 and Ministry Case definition)
</t>
    </r>
    <r>
      <rPr>
        <b/>
        <sz val="12"/>
        <color theme="1"/>
        <rFont val="Arial"/>
        <family val="2"/>
      </rPr>
      <t xml:space="preserve">
Close Contact</t>
    </r>
    <r>
      <rPr>
        <sz val="12"/>
        <color theme="1"/>
        <rFont val="Arial"/>
        <family val="2"/>
      </rPr>
      <t xml:space="preserve">
A close contact is defined as an individual who has a high-risk exposure to a confirmed positive COVID-19 case, an individual with COVID-19 symptoms, or an individual with a positive rapid antigen test result.
</t>
    </r>
    <r>
      <rPr>
        <sz val="12"/>
        <color theme="1"/>
        <rFont val="Arial"/>
        <family val="2"/>
      </rPr>
      <t xml:space="preserve">
An individual's classification may change based on further exploration with a Communicable Disease Investigator.
</t>
    </r>
    <r>
      <rPr>
        <b/>
        <sz val="12"/>
        <color theme="1"/>
        <rFont val="Arial"/>
        <family val="2"/>
      </rPr>
      <t/>
    </r>
  </si>
  <si>
    <t xml:space="preserve"># of Initial Close Contacts  </t>
  </si>
  <si>
    <t>Close C</t>
  </si>
  <si>
    <t>Total # worker Close contacts (TPH &amp; OCL)</t>
  </si>
  <si>
    <t>Total # non-worker Close Contacts (TPH &amp; OCL)</t>
  </si>
  <si>
    <t>Please select an option from the drop down menu</t>
  </si>
  <si>
    <t>Replaced High Risk wording on the Line List with Close Contact</t>
  </si>
  <si>
    <t>Removed Low Risk from Drop Down menus</t>
  </si>
  <si>
    <t>Definition of 'Close Contact' added in the 'Premise instruction' tab</t>
  </si>
  <si>
    <t>updated case definition hyperlink to the link in the 'Premise instruction' tab</t>
  </si>
  <si>
    <t>Removed example of High risk definition in the 'Premise instruction' tab</t>
  </si>
  <si>
    <t>Version 6.1 Nov 16, 2022</t>
  </si>
  <si>
    <r>
      <t>Total # of individuals that may have been exposed in the affected area(s) (excluding close contacts)</t>
    </r>
    <r>
      <rPr>
        <b/>
        <sz val="10"/>
        <color rgb="FFFF0000"/>
        <rFont val="Calibri"/>
        <family val="2"/>
        <scheme val="minor"/>
      </rPr>
      <t>*</t>
    </r>
  </si>
  <si>
    <r>
      <t>Total # of people in the entire facility</t>
    </r>
    <r>
      <rPr>
        <b/>
        <sz val="10"/>
        <color rgb="FFFF0000"/>
        <rFont val="Calibri"/>
        <family val="2"/>
        <scheme val="minor"/>
      </rPr>
      <t>*</t>
    </r>
  </si>
  <si>
    <t>In cell G3 of 'Date entry' sheet, text was updated to 'Total # of individuals that may have been exposed in the affected area(s) (excluding close contacts)*'</t>
  </si>
  <si>
    <t>In cell G4 of 'Date entry' sheet, text was updated to 'Total # of people in the entire facility*'</t>
  </si>
  <si>
    <t>Duplicate Check (Auto Calculation)</t>
  </si>
  <si>
    <r>
      <t xml:space="preserve">Enter POC Start Date (yyyy-mm-dd) 
</t>
    </r>
    <r>
      <rPr>
        <b/>
        <sz val="10"/>
        <color rgb="FFFF0000"/>
        <rFont val="Calibri"/>
        <family val="2"/>
        <scheme val="minor"/>
      </rPr>
      <t>for cases/PUIs only</t>
    </r>
  </si>
  <si>
    <t>Age (Yr) Auto Calculation</t>
  </si>
  <si>
    <t>Version 6.2 Jan 19, 2023</t>
  </si>
  <si>
    <t>File name renamed with v6.2</t>
  </si>
  <si>
    <t>Functional Area 1</t>
  </si>
  <si>
    <t>Functional Area 2</t>
  </si>
  <si>
    <t>Functional Area 3</t>
  </si>
  <si>
    <t>Functional Area 4</t>
  </si>
  <si>
    <t>Functional Area 5</t>
  </si>
  <si>
    <t>Functional Area 6</t>
  </si>
  <si>
    <t>Functional Area 7</t>
  </si>
  <si>
    <t>Functional Area 8</t>
  </si>
  <si>
    <t>Functional Area 9</t>
  </si>
  <si>
    <t>Functional Area 10</t>
  </si>
  <si>
    <t>Shift 1</t>
  </si>
  <si>
    <t>Shift 2</t>
  </si>
  <si>
    <t>Shift 3</t>
  </si>
  <si>
    <t>Shift 4</t>
  </si>
  <si>
    <t>Shift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</si>
</sst>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yyyy\-mm\-dd"/>
    <numFmt numFmtId="165" formatCode="yyyy\-mm\-dd;@"/>
    <numFmt numFmtId="166" formatCode="[&lt;=9999999]###\-####;###\-###\-####"/>
    <numFmt numFmtId="167" formatCode="[$-1009]d\-mmm\-yy;@"/>
    <numFmt numFmtId="168" formatCode="mmm"/>
    <numFmt numFmtId="169" formatCode="ddd"/>
    <numFmt numFmtId="170" formatCode="dd"/>
    <numFmt numFmtId="171" formatCode="mmm\ dd"/>
  </numFmts>
  <fonts count="54" x14ac:knownFonts="1">
    <font>
      <sz val="12"/>
      <color theme="1"/>
      <name val="Arial"/>
      <family val="2"/>
    </font>
    <font>
      <b/>
      <sz val="12"/>
      <color theme="1"/>
      <name val="Arial"/>
      <family val="2"/>
    </font>
    <font>
      <b/>
      <sz val="10"/>
      <color theme="1"/>
      <name val="Calibri"/>
      <family val="2"/>
      <scheme val="minor"/>
    </font>
    <font>
      <sz val="14"/>
      <color theme="1"/>
      <name val="Calibri"/>
      <family val="2"/>
      <scheme val="minor"/>
    </font>
    <font>
      <sz val="12"/>
      <color theme="1"/>
      <name val="Calibri"/>
      <family val="2"/>
      <scheme val="minor"/>
    </font>
    <font>
      <sz val="10"/>
      <color theme="1"/>
      <name val="Calibri"/>
      <family val="2"/>
      <scheme val="minor"/>
    </font>
    <font>
      <b/>
      <sz val="12"/>
      <color theme="1"/>
      <name val="Calibri"/>
      <family val="2"/>
      <scheme val="minor"/>
    </font>
    <font>
      <sz val="11"/>
      <color theme="1"/>
      <name val="Calibri"/>
      <family val="2"/>
      <scheme val="minor"/>
    </font>
    <font>
      <b/>
      <sz val="11"/>
      <color rgb="FFFF0000"/>
      <name val="Calibri"/>
      <family val="2"/>
      <scheme val="minor"/>
    </font>
    <font>
      <b/>
      <sz val="10"/>
      <color rgb="FFFF0000"/>
      <name val="Calibri"/>
      <family val="2"/>
      <scheme val="minor"/>
    </font>
    <font>
      <sz val="12"/>
      <color rgb="FFFF0000"/>
      <name val="Calibri"/>
      <family val="2"/>
      <scheme val="minor"/>
    </font>
    <font>
      <sz val="12"/>
      <name val="Calibri"/>
      <family val="2"/>
      <scheme val="minor"/>
    </font>
    <font>
      <sz val="11"/>
      <color rgb="FFFF0000"/>
      <name val="Calibri"/>
      <family val="2"/>
      <scheme val="minor"/>
    </font>
    <font>
      <sz val="9"/>
      <color indexed="81"/>
      <name val="Tahoma"/>
      <family val="2"/>
    </font>
    <font>
      <b/>
      <sz val="9"/>
      <color indexed="81"/>
      <name val="Tahoma"/>
      <family val="2"/>
    </font>
    <font>
      <u/>
      <sz val="12"/>
      <color theme="10"/>
      <name val="Arial"/>
      <family val="2"/>
    </font>
    <font>
      <b/>
      <sz val="12"/>
      <color rgb="FF00B050"/>
      <name val="Arial"/>
      <family val="2"/>
    </font>
    <font>
      <b/>
      <sz val="12"/>
      <color rgb="FF00B050"/>
      <name val="Calibri"/>
      <family val="2"/>
      <scheme val="minor"/>
    </font>
    <font>
      <i/>
      <sz val="12"/>
      <color theme="1"/>
      <name val="Arial"/>
      <family val="2"/>
    </font>
    <font>
      <b/>
      <sz val="12"/>
      <color theme="0"/>
      <name val="Arial"/>
      <family val="2"/>
    </font>
    <font>
      <b/>
      <sz val="9"/>
      <color indexed="57"/>
      <name val="Tahoma"/>
      <family val="2"/>
    </font>
    <font>
      <sz val="12"/>
      <name val="Arial"/>
      <family val="2"/>
    </font>
    <font>
      <sz val="11"/>
      <color theme="1"/>
      <name val="Arial"/>
      <family val="2"/>
    </font>
    <font>
      <sz val="12"/>
      <color rgb="FF00B050"/>
      <name val="Calibri"/>
      <family val="2"/>
      <scheme val="minor"/>
    </font>
    <font>
      <b/>
      <sz val="18"/>
      <color rgb="FF00B050"/>
      <name val="Calibri"/>
      <family val="2"/>
      <scheme val="minor"/>
    </font>
    <font>
      <b/>
      <sz val="12"/>
      <name val="Calibri"/>
      <family val="2"/>
      <scheme val="minor"/>
    </font>
    <font>
      <sz val="10"/>
      <color theme="1"/>
      <name val="Arial"/>
      <family val="2"/>
    </font>
    <font>
      <sz val="8"/>
      <color theme="1"/>
      <name val="Arial"/>
      <family val="2"/>
    </font>
    <font>
      <sz val="12"/>
      <color rgb="FF000000"/>
      <name val="Arial"/>
      <family val="2"/>
    </font>
    <font>
      <b/>
      <sz val="12"/>
      <color rgb="FFFF0000"/>
      <name val="Arial"/>
      <family val="2"/>
    </font>
    <font>
      <b/>
      <sz val="12"/>
      <color rgb="FFFF0000"/>
      <name val="Calibri"/>
      <family val="2"/>
      <scheme val="minor"/>
    </font>
    <font>
      <b/>
      <sz val="16"/>
      <color rgb="FFFF0000"/>
      <name val="Calibri"/>
      <family val="2"/>
      <scheme val="minor"/>
    </font>
    <font>
      <sz val="10"/>
      <color rgb="FFFF0000"/>
      <name val="Calibri"/>
      <family val="2"/>
      <scheme val="minor"/>
    </font>
    <font>
      <b/>
      <i/>
      <sz val="12"/>
      <color theme="1"/>
      <name val="Arial"/>
      <family val="2"/>
    </font>
    <font>
      <sz val="12"/>
      <color rgb="FFFF0000"/>
      <name val="Arial"/>
      <family val="2"/>
    </font>
    <font>
      <b/>
      <u/>
      <sz val="10"/>
      <color theme="1"/>
      <name val="Calibri"/>
      <family val="2"/>
      <scheme val="minor"/>
    </font>
    <font>
      <b/>
      <sz val="10"/>
      <name val="Calibri"/>
      <family val="2"/>
      <scheme val="minor"/>
    </font>
    <font>
      <u/>
      <sz val="10"/>
      <color theme="10"/>
      <name val="Arial"/>
      <family val="2"/>
    </font>
    <font>
      <b/>
      <sz val="10"/>
      <color theme="1"/>
      <name val="Arial"/>
      <family val="2"/>
    </font>
    <font>
      <b/>
      <sz val="10"/>
      <color rgb="FF7030A0"/>
      <name val="Calibri"/>
      <family val="2"/>
      <scheme val="minor"/>
    </font>
    <font>
      <b/>
      <sz val="12"/>
      <color rgb="FF7030A0"/>
      <name val="Calibri"/>
      <family val="2"/>
      <scheme val="minor"/>
    </font>
    <font>
      <sz val="10"/>
      <color indexed="81"/>
      <name val="Tahoma"/>
      <family val="2"/>
    </font>
    <font>
      <b/>
      <sz val="10"/>
      <color indexed="57"/>
      <name val="Tahoma"/>
      <family val="2"/>
    </font>
    <font>
      <b/>
      <sz val="12"/>
      <color theme="9" tint="-0.499984740745262"/>
      <name val="Arial"/>
      <family val="2"/>
    </font>
    <font>
      <b/>
      <sz val="16"/>
      <color theme="9" tint="-0.499984740745262"/>
      <name val="Arial"/>
      <family val="2"/>
    </font>
    <font>
      <b/>
      <sz val="12"/>
      <color theme="9" tint="-0.499984740745262"/>
      <name val="Calibri"/>
      <family val="2"/>
      <scheme val="minor"/>
    </font>
    <font>
      <sz val="9"/>
      <color theme="1"/>
      <name val="Calibri"/>
      <family val="2"/>
      <scheme val="minor"/>
    </font>
    <font>
      <b/>
      <sz val="10"/>
      <color indexed="81"/>
      <name val="Tahoma"/>
      <family val="2"/>
    </font>
    <font>
      <sz val="10"/>
      <color rgb="FF000000"/>
      <name val="Arial"/>
      <family val="2"/>
    </font>
    <font>
      <b/>
      <u/>
      <sz val="10"/>
      <color rgb="FF000000"/>
      <name val="Arial"/>
      <family val="2"/>
    </font>
    <font>
      <sz val="12"/>
      <color theme="1"/>
      <name val="Arial"/>
      <family val="2"/>
    </font>
    <font>
      <b/>
      <sz val="16"/>
      <color theme="1"/>
      <name val="Arial"/>
      <family val="2"/>
    </font>
    <font>
      <b/>
      <i/>
      <sz val="10"/>
      <color theme="1"/>
      <name val="Arial"/>
      <family val="2"/>
    </font>
    <font>
      <b/>
      <sz val="18"/>
      <color theme="1"/>
      <name val="Calibri"/>
      <family val="2"/>
      <scheme val="minor"/>
    </font>
  </fonts>
  <fills count="3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5"/>
        <bgColor indexed="64"/>
      </patternFill>
    </fill>
    <fill>
      <patternFill patternType="solid">
        <fgColor theme="7" tint="0.79998168889431442"/>
        <bgColor indexed="64"/>
      </patternFill>
    </fill>
    <fill>
      <patternFill patternType="solid">
        <fgColor theme="1"/>
        <bgColor theme="1"/>
      </patternFill>
    </fill>
    <fill>
      <patternFill patternType="solid">
        <fgColor rgb="FFFF0000"/>
        <bgColor indexed="64"/>
      </patternFill>
    </fill>
    <fill>
      <patternFill patternType="gray0625">
        <fgColor theme="5" tint="-0.24994659260841701"/>
        <bgColor indexed="65"/>
      </patternFill>
    </fill>
    <fill>
      <patternFill patternType="lightVertical">
        <fgColor rgb="FF00B0F0"/>
      </patternFill>
    </fill>
    <fill>
      <patternFill patternType="solid">
        <fgColor theme="4"/>
        <bgColor indexed="64"/>
      </patternFill>
    </fill>
    <fill>
      <patternFill patternType="solid">
        <fgColor theme="4" tint="0.39997558519241921"/>
        <bgColor indexed="64"/>
      </patternFill>
    </fill>
    <fill>
      <patternFill patternType="solid">
        <fgColor rgb="FFFFC000"/>
        <bgColor indexed="64"/>
      </patternFill>
    </fill>
    <fill>
      <patternFill patternType="solid">
        <fgColor rgb="FFFF9999"/>
        <bgColor indexed="64"/>
      </patternFill>
    </fill>
    <fill>
      <patternFill patternType="solid">
        <fgColor theme="9" tint="0.79998168889431442"/>
        <bgColor indexed="64"/>
      </patternFill>
    </fill>
    <fill>
      <patternFill patternType="lightUp">
        <bgColor theme="2"/>
      </patternFill>
    </fill>
    <fill>
      <patternFill patternType="solid">
        <fgColor theme="7" tint="0.39994506668294322"/>
        <bgColor indexed="64"/>
      </patternFill>
    </fill>
    <fill>
      <patternFill patternType="solid">
        <fgColor theme="3" tint="0.39994506668294322"/>
        <bgColor indexed="64"/>
      </patternFill>
    </fill>
    <fill>
      <patternFill patternType="solid">
        <fgColor theme="6" tint="0.39994506668294322"/>
        <bgColor indexed="64"/>
      </patternFill>
    </fill>
    <fill>
      <patternFill patternType="solid">
        <fgColor theme="7" tint="0.59996337778862885"/>
        <bgColor indexed="64"/>
      </patternFill>
    </fill>
    <fill>
      <patternFill patternType="solid">
        <fgColor theme="3" tint="0.59996337778862885"/>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rgb="FFF3F3F3"/>
        <bgColor indexed="64"/>
      </patternFill>
    </fill>
    <fill>
      <patternFill patternType="solid">
        <fgColor rgb="FFE0E0E0"/>
        <bgColor indexed="64"/>
      </patternFill>
    </fill>
    <fill>
      <patternFill patternType="solid">
        <fgColor rgb="FFFFFFFF"/>
        <bgColor indexed="64"/>
      </patternFill>
    </fill>
  </fills>
  <borders count="11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double">
        <color auto="1"/>
      </top>
      <bottom/>
      <diagonal/>
    </border>
    <border>
      <left/>
      <right/>
      <top/>
      <bottom style="double">
        <color auto="1"/>
      </bottom>
      <diagonal/>
    </border>
    <border>
      <left/>
      <right/>
      <top style="medium">
        <color indexed="64"/>
      </top>
      <bottom style="medium">
        <color indexed="64"/>
      </bottom>
      <diagonal/>
    </border>
    <border>
      <left/>
      <right style="double">
        <color auto="1"/>
      </right>
      <top/>
      <bottom style="double">
        <color auto="1"/>
      </bottom>
      <diagonal/>
    </border>
    <border>
      <left style="double">
        <color auto="1"/>
      </left>
      <right/>
      <top/>
      <bottom style="double">
        <color auto="1"/>
      </bottom>
      <diagonal/>
    </border>
    <border>
      <left style="double">
        <color auto="1"/>
      </left>
      <right/>
      <top/>
      <bottom/>
      <diagonal/>
    </border>
    <border>
      <left style="double">
        <color auto="1"/>
      </left>
      <right/>
      <top style="double">
        <color auto="1"/>
      </top>
      <bottom/>
      <diagonal/>
    </border>
    <border>
      <left style="thin">
        <color rgb="FF00B0F0"/>
      </left>
      <right style="thin">
        <color rgb="FF00B0F0"/>
      </right>
      <top style="thin">
        <color rgb="FF00B0F0"/>
      </top>
      <bottom style="thin">
        <color rgb="FF00B0F0"/>
      </bottom>
      <diagonal/>
    </border>
    <border>
      <left style="dotted">
        <color theme="5" tint="-0.24994659260841701"/>
      </left>
      <right style="dotted">
        <color theme="5" tint="-0.24994659260841701"/>
      </right>
      <top style="dotted">
        <color theme="5" tint="-0.24994659260841701"/>
      </top>
      <bottom style="dotted">
        <color theme="5" tint="-0.24994659260841701"/>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auto="1"/>
      </right>
      <top style="thin">
        <color theme="0"/>
      </top>
      <bottom style="thin">
        <color indexed="64"/>
      </bottom>
      <diagonal/>
    </border>
    <border>
      <left style="thin">
        <color auto="1"/>
      </left>
      <right style="thin">
        <color auto="1"/>
      </right>
      <top style="thin">
        <color theme="0"/>
      </top>
      <bottom style="thin">
        <color indexed="64"/>
      </bottom>
      <diagonal/>
    </border>
    <border>
      <left style="thin">
        <color auto="1"/>
      </left>
      <right style="thin">
        <color theme="0"/>
      </right>
      <top style="thin">
        <color theme="0"/>
      </top>
      <bottom style="thin">
        <color indexed="64"/>
      </bottom>
      <diagonal/>
    </border>
    <border>
      <left style="thin">
        <color auto="1"/>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auto="1"/>
      </left>
      <right style="thin">
        <color auto="1"/>
      </right>
      <top style="thin">
        <color auto="1"/>
      </top>
      <bottom style="thin">
        <color theme="0"/>
      </bottom>
      <diagonal/>
    </border>
    <border>
      <left/>
      <right style="thin">
        <color theme="0"/>
      </right>
      <top style="thin">
        <color theme="0"/>
      </top>
      <bottom style="thin">
        <color theme="0"/>
      </bottom>
      <diagonal/>
    </border>
    <border>
      <left style="thin">
        <color theme="0"/>
      </left>
      <right style="thin">
        <color auto="1"/>
      </right>
      <top style="thin">
        <color auto="1"/>
      </top>
      <bottom/>
      <diagonal/>
    </border>
    <border>
      <left style="thin">
        <color theme="0"/>
      </left>
      <right style="thin">
        <color auto="1"/>
      </right>
      <top/>
      <bottom style="thin">
        <color auto="1"/>
      </bottom>
      <diagonal/>
    </border>
    <border>
      <left style="thin">
        <color auto="1"/>
      </left>
      <right style="thin">
        <color theme="0"/>
      </right>
      <top style="thin">
        <color auto="1"/>
      </top>
      <bottom/>
      <diagonal/>
    </border>
    <border>
      <left style="thin">
        <color auto="1"/>
      </left>
      <right style="thin">
        <color theme="0"/>
      </right>
      <top/>
      <bottom style="thin">
        <color auto="1"/>
      </bottom>
      <diagonal/>
    </border>
    <border>
      <left style="thin">
        <color indexed="64"/>
      </left>
      <right/>
      <top style="medium">
        <color indexed="64"/>
      </top>
      <bottom/>
      <diagonal/>
    </border>
    <border>
      <left/>
      <right/>
      <top style="medium">
        <color indexed="64"/>
      </top>
      <bottom/>
      <diagonal/>
    </border>
    <border>
      <left/>
      <right style="medium">
        <color indexed="64"/>
      </right>
      <top style="thin">
        <color indexed="64"/>
      </top>
      <bottom/>
      <diagonal/>
    </border>
    <border>
      <left/>
      <right/>
      <top/>
      <bottom style="medium">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auto="1"/>
      </left>
      <right/>
      <top style="double">
        <color auto="1"/>
      </top>
      <bottom style="double">
        <color auto="1"/>
      </bottom>
      <diagonal/>
    </border>
    <border>
      <left/>
      <right style="thin">
        <color auto="1"/>
      </right>
      <top style="double">
        <color auto="1"/>
      </top>
      <bottom style="double">
        <color auto="1"/>
      </bottom>
      <diagonal/>
    </border>
    <border>
      <left/>
      <right style="thin">
        <color indexed="64"/>
      </right>
      <top style="medium">
        <color indexed="64"/>
      </top>
      <bottom/>
      <diagonal/>
    </border>
    <border>
      <left style="thin">
        <color indexed="64"/>
      </left>
      <right/>
      <top style="thin">
        <color indexed="64"/>
      </top>
      <bottom/>
      <diagonal/>
    </border>
    <border>
      <left style="double">
        <color auto="1"/>
      </left>
      <right/>
      <top style="double">
        <color auto="1"/>
      </top>
      <bottom style="double">
        <color auto="1"/>
      </bottom>
      <diagonal/>
    </border>
    <border>
      <left/>
      <right/>
      <top style="thin">
        <color indexed="64"/>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medium">
        <color rgb="FFA3A3A3"/>
      </left>
      <right style="medium">
        <color rgb="FFA3A3A3"/>
      </right>
      <top/>
      <bottom style="medium">
        <color rgb="FFA3A3A3"/>
      </bottom>
      <diagonal/>
    </border>
    <border>
      <left style="medium">
        <color rgb="FFA3A3A3"/>
      </left>
      <right style="medium">
        <color rgb="FFA3A3A3"/>
      </right>
      <top style="medium">
        <color rgb="FFA3A3A3"/>
      </top>
      <bottom style="medium">
        <color rgb="FFA3A3A3"/>
      </bottom>
      <diagonal/>
    </border>
    <border>
      <left style="thin">
        <color indexed="64"/>
      </left>
      <right style="double">
        <color rgb="FFFF0000"/>
      </right>
      <top style="medium">
        <color indexed="64"/>
      </top>
      <bottom style="thin">
        <color indexed="64"/>
      </bottom>
      <diagonal/>
    </border>
    <border>
      <left style="thin">
        <color indexed="64"/>
      </left>
      <right style="double">
        <color rgb="FFFF0000"/>
      </right>
      <top style="thin">
        <color indexed="64"/>
      </top>
      <bottom style="thin">
        <color indexed="64"/>
      </bottom>
      <diagonal/>
    </border>
    <border>
      <left style="thin">
        <color indexed="64"/>
      </left>
      <right style="double">
        <color rgb="FFFF0000"/>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auto="1"/>
      </left>
      <right style="thin">
        <color theme="0"/>
      </right>
      <top/>
      <bottom/>
      <diagonal/>
    </border>
    <border>
      <left style="thin">
        <color theme="0"/>
      </left>
      <right style="thin">
        <color auto="1"/>
      </right>
      <top/>
      <bottom/>
      <diagonal/>
    </border>
  </borders>
  <cellStyleXfs count="2">
    <xf numFmtId="0" fontId="0" fillId="0" borderId="0"/>
    <xf numFmtId="0" fontId="15" fillId="0" borderId="0" applyNumberFormat="0" applyFill="0" applyBorder="0" applyAlignment="0" applyProtection="0"/>
  </cellStyleXfs>
  <cellXfs count="675">
    <xf numFmtId="0" fontId="0" fillId="0" borderId="0" xfId="0"/>
    <xf numFmtId="0" fontId="0" fillId="0" borderId="0" xfId="0" applyAlignment="1">
      <alignment wrapText="1"/>
    </xf>
    <xf numFmtId="16" fontId="4" fillId="0" borderId="0" xfId="0" applyNumberFormat="1" applyFont="1"/>
    <xf numFmtId="0" fontId="11" fillId="8" borderId="2" xfId="0" applyFont="1" applyFill="1" applyBorder="1" applyAlignment="1">
      <alignment horizontal="center" vertical="center"/>
    </xf>
    <xf numFmtId="16" fontId="6" fillId="4" borderId="2" xfId="0" applyNumberFormat="1" applyFont="1" applyFill="1" applyBorder="1"/>
    <xf numFmtId="0" fontId="4" fillId="8" borderId="2" xfId="0" applyFont="1" applyFill="1" applyBorder="1" applyAlignment="1">
      <alignment horizontal="center" vertical="center"/>
    </xf>
    <xf numFmtId="0" fontId="4" fillId="10" borderId="2" xfId="0" applyFont="1" applyFill="1" applyBorder="1" applyAlignment="1">
      <alignment horizontal="center" vertical="center"/>
    </xf>
    <xf numFmtId="0" fontId="4" fillId="11" borderId="2" xfId="0" applyFont="1" applyFill="1" applyBorder="1" applyAlignment="1">
      <alignment horizontal="center" vertical="center"/>
    </xf>
    <xf numFmtId="16" fontId="4" fillId="12" borderId="2" xfId="0" applyNumberFormat="1" applyFont="1" applyFill="1" applyBorder="1" applyAlignment="1">
      <alignment horizontal="center" wrapText="1"/>
    </xf>
    <xf numFmtId="0" fontId="4" fillId="2" borderId="2" xfId="0" applyFont="1" applyFill="1" applyBorder="1" applyAlignment="1">
      <alignment horizontal="center" vertical="center" wrapText="1"/>
    </xf>
    <xf numFmtId="0" fontId="4" fillId="9" borderId="2" xfId="0" applyFont="1" applyFill="1" applyBorder="1" applyAlignment="1">
      <alignment horizontal="center" vertical="center" wrapText="1"/>
    </xf>
    <xf numFmtId="0" fontId="4" fillId="7" borderId="2" xfId="0" applyFont="1" applyFill="1" applyBorder="1" applyAlignment="1">
      <alignment horizontal="center" vertical="center" wrapText="1"/>
    </xf>
    <xf numFmtId="16" fontId="4" fillId="0" borderId="2" xfId="0" applyNumberFormat="1" applyFont="1" applyBorder="1" applyAlignment="1">
      <alignment horizontal="left"/>
    </xf>
    <xf numFmtId="0" fontId="4" fillId="0" borderId="2" xfId="0" applyFont="1" applyBorder="1" applyAlignment="1">
      <alignment horizontal="center" vertical="center"/>
    </xf>
    <xf numFmtId="0" fontId="4" fillId="0" borderId="0" xfId="0" applyFont="1"/>
    <xf numFmtId="0" fontId="4" fillId="0" borderId="2" xfId="0" applyFont="1" applyBorder="1"/>
    <xf numFmtId="0" fontId="17" fillId="12" borderId="3" xfId="0" applyFont="1" applyFill="1" applyBorder="1"/>
    <xf numFmtId="0" fontId="1" fillId="0" borderId="0" xfId="0" applyFont="1" applyAlignment="1">
      <alignment wrapText="1"/>
    </xf>
    <xf numFmtId="16" fontId="3" fillId="0" borderId="0" xfId="0" applyNumberFormat="1" applyFont="1"/>
    <xf numFmtId="0" fontId="4" fillId="0" borderId="0" xfId="0" applyFont="1" applyAlignment="1">
      <alignment horizontal="center" vertical="center"/>
    </xf>
    <xf numFmtId="16" fontId="7" fillId="0" borderId="0" xfId="0" applyNumberFormat="1" applyFont="1"/>
    <xf numFmtId="0" fontId="10" fillId="0" borderId="0" xfId="0" applyFont="1" applyAlignment="1">
      <alignment horizontal="left" vertical="center"/>
    </xf>
    <xf numFmtId="0" fontId="4" fillId="0" borderId="0" xfId="0" applyFont="1" applyAlignment="1">
      <alignment wrapText="1"/>
    </xf>
    <xf numFmtId="0" fontId="0" fillId="0" borderId="0" xfId="0" applyAlignment="1" applyProtection="1">
      <alignment vertical="center" wrapText="1"/>
      <protection locked="0"/>
    </xf>
    <xf numFmtId="0" fontId="17" fillId="12" borderId="21" xfId="0" applyFont="1" applyFill="1" applyBorder="1"/>
    <xf numFmtId="0" fontId="21" fillId="0" borderId="0" xfId="0" applyFont="1" applyAlignment="1">
      <alignment wrapText="1"/>
    </xf>
    <xf numFmtId="0" fontId="0" fillId="0" borderId="0" xfId="0" applyAlignment="1">
      <alignment vertical="center"/>
    </xf>
    <xf numFmtId="0" fontId="0" fillId="0" borderId="0" xfId="0" applyAlignment="1">
      <alignment horizontal="center" wrapText="1"/>
    </xf>
    <xf numFmtId="0" fontId="0" fillId="0" borderId="0" xfId="0" applyAlignment="1" applyProtection="1">
      <alignment wrapText="1"/>
      <protection locked="0"/>
    </xf>
    <xf numFmtId="0" fontId="0" fillId="0" borderId="0" xfId="0" applyAlignment="1" applyProtection="1">
      <alignment horizontal="center" vertical="center" wrapText="1"/>
      <protection locked="0"/>
    </xf>
    <xf numFmtId="1" fontId="0" fillId="0" borderId="0" xfId="0" applyNumberFormat="1" applyAlignment="1" applyProtection="1">
      <alignment vertical="center" wrapText="1"/>
      <protection locked="0"/>
    </xf>
    <xf numFmtId="167" fontId="0" fillId="0" borderId="0" xfId="0" applyNumberFormat="1" applyAlignment="1" applyProtection="1">
      <alignment vertical="center" wrapText="1"/>
      <protection locked="0"/>
    </xf>
    <xf numFmtId="166" fontId="22" fillId="0" borderId="0" xfId="0" applyNumberFormat="1" applyFont="1" applyAlignment="1" applyProtection="1">
      <alignment vertical="center" wrapText="1"/>
      <protection locked="0"/>
    </xf>
    <xf numFmtId="165" fontId="0" fillId="0" borderId="0" xfId="0" applyNumberFormat="1" applyAlignment="1" applyProtection="1">
      <alignment vertical="center" wrapText="1"/>
      <protection locked="0"/>
    </xf>
    <xf numFmtId="0" fontId="4" fillId="6" borderId="2" xfId="0" applyFont="1" applyFill="1" applyBorder="1"/>
    <xf numFmtId="0" fontId="10" fillId="0" borderId="2" xfId="0" applyFont="1" applyBorder="1"/>
    <xf numFmtId="0" fontId="4" fillId="0" borderId="12" xfId="0" applyFont="1" applyBorder="1"/>
    <xf numFmtId="0" fontId="17" fillId="12" borderId="36" xfId="0" applyFont="1" applyFill="1" applyBorder="1"/>
    <xf numFmtId="0" fontId="4" fillId="6" borderId="4" xfId="0" applyFont="1" applyFill="1" applyBorder="1"/>
    <xf numFmtId="0" fontId="10" fillId="0" borderId="4" xfId="0" applyFont="1" applyBorder="1"/>
    <xf numFmtId="0" fontId="4" fillId="0" borderId="4" xfId="0" applyFont="1" applyBorder="1"/>
    <xf numFmtId="0" fontId="4" fillId="0" borderId="23" xfId="0" applyFont="1" applyBorder="1"/>
    <xf numFmtId="0" fontId="17" fillId="12" borderId="37" xfId="0" applyFont="1" applyFill="1" applyBorder="1"/>
    <xf numFmtId="0" fontId="23" fillId="0" borderId="30" xfId="0" applyFont="1" applyBorder="1" applyAlignment="1">
      <alignment wrapText="1"/>
    </xf>
    <xf numFmtId="0" fontId="17" fillId="0" borderId="31" xfId="0" applyFont="1" applyBorder="1" applyAlignment="1">
      <alignment horizontal="center" vertical="center" wrapText="1"/>
    </xf>
    <xf numFmtId="0" fontId="17" fillId="0" borderId="11" xfId="0" applyFont="1" applyBorder="1" applyAlignment="1">
      <alignment horizontal="center" vertical="center" wrapText="1"/>
    </xf>
    <xf numFmtId="0" fontId="24" fillId="0" borderId="0" xfId="0" applyFont="1"/>
    <xf numFmtId="0" fontId="17" fillId="0" borderId="21" xfId="0" applyFont="1" applyBorder="1" applyAlignment="1">
      <alignment horizontal="center" vertical="center" wrapText="1"/>
    </xf>
    <xf numFmtId="0" fontId="23" fillId="0" borderId="31" xfId="0" applyFont="1" applyBorder="1" applyAlignment="1">
      <alignment horizontal="center" vertical="center" wrapText="1"/>
    </xf>
    <xf numFmtId="0" fontId="4" fillId="0" borderId="2" xfId="0" applyFont="1" applyBorder="1" applyAlignment="1">
      <alignment horizontal="center" vertical="center" wrapText="1"/>
    </xf>
    <xf numFmtId="1" fontId="4" fillId="0" borderId="12" xfId="0" applyNumberFormat="1" applyFont="1" applyBorder="1" applyAlignment="1">
      <alignment horizontal="center" vertical="center" wrapText="1"/>
    </xf>
    <xf numFmtId="0" fontId="4" fillId="0" borderId="13" xfId="0" applyFont="1" applyBorder="1" applyAlignment="1">
      <alignment horizontal="center" vertical="center"/>
    </xf>
    <xf numFmtId="1" fontId="4" fillId="0" borderId="2" xfId="0" applyNumberFormat="1" applyFont="1" applyBorder="1" applyAlignment="1">
      <alignment horizontal="center" vertical="center" wrapText="1"/>
    </xf>
    <xf numFmtId="165" fontId="22" fillId="0" borderId="0" xfId="0" applyNumberFormat="1" applyFont="1" applyAlignment="1" applyProtection="1">
      <alignment vertical="center" wrapText="1"/>
      <protection locked="0"/>
    </xf>
    <xf numFmtId="1" fontId="4" fillId="0" borderId="38" xfId="0" applyNumberFormat="1" applyFont="1" applyBorder="1" applyAlignment="1">
      <alignment horizontal="center" vertical="center" wrapText="1"/>
    </xf>
    <xf numFmtId="1" fontId="4" fillId="0" borderId="44" xfId="0" applyNumberFormat="1" applyFont="1" applyBorder="1" applyAlignment="1">
      <alignment horizontal="center" vertical="center"/>
    </xf>
    <xf numFmtId="0" fontId="0" fillId="3" borderId="55" xfId="0" applyFill="1" applyBorder="1"/>
    <xf numFmtId="0" fontId="0" fillId="18" borderId="0" xfId="0" applyFill="1"/>
    <xf numFmtId="0" fontId="22" fillId="0" borderId="0" xfId="0" applyFont="1"/>
    <xf numFmtId="168" fontId="22" fillId="0" borderId="0" xfId="0" applyNumberFormat="1" applyFont="1"/>
    <xf numFmtId="0" fontId="26" fillId="0" borderId="0" xfId="0" applyFont="1"/>
    <xf numFmtId="169" fontId="26" fillId="0" borderId="0" xfId="0" applyNumberFormat="1" applyFont="1" applyAlignment="1">
      <alignment horizontal="center"/>
    </xf>
    <xf numFmtId="170" fontId="0" fillId="0" borderId="0" xfId="0" applyNumberFormat="1"/>
    <xf numFmtId="0" fontId="0" fillId="0" borderId="55" xfId="0" applyBorder="1"/>
    <xf numFmtId="0" fontId="0" fillId="0" borderId="56" xfId="0" applyBorder="1"/>
    <xf numFmtId="169" fontId="26" fillId="0" borderId="60" xfId="0" applyNumberFormat="1" applyFont="1" applyBorder="1" applyAlignment="1">
      <alignment horizontal="center"/>
    </xf>
    <xf numFmtId="170" fontId="0" fillId="0" borderId="60" xfId="0" applyNumberFormat="1" applyBorder="1"/>
    <xf numFmtId="0" fontId="0" fillId="0" borderId="61" xfId="0" applyBorder="1"/>
    <xf numFmtId="0" fontId="0" fillId="0" borderId="60" xfId="0" applyBorder="1"/>
    <xf numFmtId="0" fontId="0" fillId="0" borderId="59" xfId="0" applyBorder="1"/>
    <xf numFmtId="0" fontId="1" fillId="20" borderId="62" xfId="0" applyFont="1" applyFill="1" applyBorder="1"/>
    <xf numFmtId="0" fontId="1" fillId="19" borderId="63" xfId="0" applyFont="1" applyFill="1" applyBorder="1"/>
    <xf numFmtId="15" fontId="4" fillId="6" borderId="2" xfId="0" applyNumberFormat="1" applyFont="1" applyFill="1" applyBorder="1" applyAlignment="1" applyProtection="1">
      <alignment horizontal="center" vertical="top" wrapText="1"/>
      <protection locked="0"/>
    </xf>
    <xf numFmtId="0" fontId="4" fillId="6" borderId="2" xfId="0" applyFont="1" applyFill="1" applyBorder="1" applyAlignment="1" applyProtection="1">
      <alignment horizontal="center" vertical="center"/>
      <protection locked="0"/>
    </xf>
    <xf numFmtId="0" fontId="17" fillId="13" borderId="22" xfId="0" applyFont="1" applyFill="1" applyBorder="1" applyAlignment="1">
      <alignment horizontal="left"/>
    </xf>
    <xf numFmtId="0" fontId="17" fillId="13" borderId="4" xfId="0" applyFont="1" applyFill="1" applyBorder="1" applyAlignment="1">
      <alignment horizontal="left"/>
    </xf>
    <xf numFmtId="0" fontId="28" fillId="0" borderId="0" xfId="0" applyFont="1" applyAlignment="1">
      <alignment vertical="center"/>
    </xf>
    <xf numFmtId="0" fontId="17" fillId="12" borderId="22" xfId="0" applyFont="1" applyFill="1" applyBorder="1"/>
    <xf numFmtId="15" fontId="4" fillId="0" borderId="0" xfId="0" applyNumberFormat="1" applyFont="1"/>
    <xf numFmtId="0" fontId="17" fillId="13" borderId="49" xfId="0" applyFont="1" applyFill="1" applyBorder="1" applyAlignment="1">
      <alignment horizontal="left" vertical="top"/>
    </xf>
    <xf numFmtId="0" fontId="17" fillId="13" borderId="34" xfId="0" applyFont="1" applyFill="1" applyBorder="1" applyAlignment="1">
      <alignment horizontal="left" vertical="top"/>
    </xf>
    <xf numFmtId="15" fontId="4" fillId="6" borderId="26" xfId="0" applyNumberFormat="1" applyFont="1" applyFill="1" applyBorder="1" applyAlignment="1" applyProtection="1">
      <alignment horizontal="center" vertical="top" wrapText="1"/>
      <protection locked="0"/>
    </xf>
    <xf numFmtId="15" fontId="4" fillId="6" borderId="1" xfId="0" applyNumberFormat="1" applyFont="1" applyFill="1" applyBorder="1" applyAlignment="1" applyProtection="1">
      <alignment horizontal="center" vertical="top" wrapText="1"/>
      <protection locked="0"/>
    </xf>
    <xf numFmtId="15" fontId="4" fillId="6" borderId="38" xfId="0" applyNumberFormat="1" applyFont="1" applyFill="1" applyBorder="1" applyAlignment="1" applyProtection="1">
      <alignment horizontal="center" vertical="top" wrapText="1"/>
      <protection locked="0"/>
    </xf>
    <xf numFmtId="0" fontId="4" fillId="6" borderId="26" xfId="0" applyFont="1" applyFill="1" applyBorder="1"/>
    <xf numFmtId="0" fontId="4" fillId="6" borderId="1" xfId="0" applyFont="1" applyFill="1" applyBorder="1"/>
    <xf numFmtId="0" fontId="4" fillId="6" borderId="38" xfId="0" applyFont="1" applyFill="1" applyBorder="1"/>
    <xf numFmtId="167" fontId="0" fillId="0" borderId="0" xfId="0" applyNumberFormat="1" applyAlignment="1">
      <alignment horizontal="center" wrapText="1"/>
    </xf>
    <xf numFmtId="168" fontId="22" fillId="3" borderId="0" xfId="0" applyNumberFormat="1" applyFont="1" applyFill="1"/>
    <xf numFmtId="0" fontId="4" fillId="0" borderId="0" xfId="0" applyFont="1" applyAlignment="1">
      <alignment horizontal="center"/>
    </xf>
    <xf numFmtId="0" fontId="5" fillId="6" borderId="7" xfId="0" applyFont="1" applyFill="1" applyBorder="1" applyAlignment="1">
      <alignment horizontal="center" vertical="center" wrapText="1"/>
    </xf>
    <xf numFmtId="15" fontId="4" fillId="6" borderId="2" xfId="0" applyNumberFormat="1" applyFont="1" applyFill="1" applyBorder="1" applyAlignment="1" applyProtection="1">
      <alignment vertical="top" wrapText="1"/>
      <protection locked="0"/>
    </xf>
    <xf numFmtId="0" fontId="4" fillId="6" borderId="31" xfId="0" applyFont="1" applyFill="1" applyBorder="1" applyAlignment="1">
      <alignment horizontal="center"/>
    </xf>
    <xf numFmtId="0" fontId="4" fillId="6" borderId="11" xfId="0" applyFont="1" applyFill="1" applyBorder="1" applyAlignment="1">
      <alignment horizontal="center"/>
    </xf>
    <xf numFmtId="0" fontId="4" fillId="6" borderId="2" xfId="0" applyFont="1" applyFill="1" applyBorder="1" applyAlignment="1">
      <alignment horizontal="center"/>
    </xf>
    <xf numFmtId="0" fontId="4" fillId="6" borderId="12" xfId="0" applyFont="1" applyFill="1" applyBorder="1" applyAlignment="1">
      <alignment horizontal="center"/>
    </xf>
    <xf numFmtId="0" fontId="17" fillId="13" borderId="36" xfId="0" applyFont="1" applyFill="1" applyBorder="1" applyAlignment="1">
      <alignment horizontal="left"/>
    </xf>
    <xf numFmtId="0" fontId="17" fillId="13" borderId="0" xfId="0" applyFont="1" applyFill="1" applyAlignment="1">
      <alignment vertical="center" textRotation="90"/>
    </xf>
    <xf numFmtId="0" fontId="17" fillId="13" borderId="0" xfId="0" applyFont="1" applyFill="1" applyAlignment="1">
      <alignment vertical="center"/>
    </xf>
    <xf numFmtId="0" fontId="17" fillId="13" borderId="6" xfId="0" applyFont="1" applyFill="1" applyBorder="1" applyAlignment="1">
      <alignment horizontal="left" vertical="top"/>
    </xf>
    <xf numFmtId="0" fontId="6" fillId="13" borderId="2" xfId="0" applyFont="1" applyFill="1" applyBorder="1"/>
    <xf numFmtId="0" fontId="6" fillId="13" borderId="3" xfId="0" applyFont="1" applyFill="1" applyBorder="1" applyAlignment="1">
      <alignment vertical="center" textRotation="90"/>
    </xf>
    <xf numFmtId="0" fontId="4" fillId="6" borderId="12" xfId="0" applyFont="1" applyFill="1" applyBorder="1" applyAlignment="1">
      <alignment horizontal="center" vertical="center"/>
    </xf>
    <xf numFmtId="0" fontId="17" fillId="12" borderId="49" xfId="0" applyFont="1" applyFill="1" applyBorder="1"/>
    <xf numFmtId="0" fontId="4" fillId="6" borderId="14" xfId="0" applyFont="1" applyFill="1" applyBorder="1" applyAlignment="1">
      <alignment horizontal="center" vertical="center"/>
    </xf>
    <xf numFmtId="0" fontId="4" fillId="6" borderId="23" xfId="0" applyFont="1" applyFill="1" applyBorder="1"/>
    <xf numFmtId="0" fontId="5" fillId="6" borderId="31" xfId="0" applyFont="1" applyFill="1" applyBorder="1" applyAlignment="1">
      <alignment horizontal="center" vertical="center" wrapText="1"/>
    </xf>
    <xf numFmtId="0" fontId="0" fillId="0" borderId="74" xfId="0" applyBorder="1" applyAlignment="1">
      <alignment wrapText="1"/>
    </xf>
    <xf numFmtId="0" fontId="0" fillId="0" borderId="74" xfId="0" applyBorder="1" applyAlignment="1">
      <alignment horizontal="center" wrapText="1"/>
    </xf>
    <xf numFmtId="0" fontId="33" fillId="0" borderId="77" xfId="0" applyFont="1" applyBorder="1" applyAlignment="1">
      <alignment wrapText="1"/>
    </xf>
    <xf numFmtId="0" fontId="0" fillId="0" borderId="81" xfId="0" applyBorder="1" applyAlignment="1">
      <alignment wrapText="1"/>
    </xf>
    <xf numFmtId="0" fontId="15" fillId="0" borderId="76" xfId="1" applyBorder="1" applyAlignment="1">
      <alignment vertical="center" wrapText="1"/>
    </xf>
    <xf numFmtId="0" fontId="0" fillId="0" borderId="78" xfId="0" applyBorder="1" applyAlignment="1">
      <alignment horizontal="right" vertical="center" wrapText="1"/>
    </xf>
    <xf numFmtId="0" fontId="0" fillId="0" borderId="79" xfId="0" applyBorder="1" applyAlignment="1">
      <alignment horizontal="center" vertical="center" wrapText="1"/>
    </xf>
    <xf numFmtId="0" fontId="0" fillId="0" borderId="2" xfId="0" applyBorder="1" applyAlignment="1">
      <alignment vertical="center" wrapText="1"/>
    </xf>
    <xf numFmtId="0" fontId="4" fillId="6" borderId="27" xfId="0" applyFont="1" applyFill="1" applyBorder="1" applyAlignment="1" applyProtection="1">
      <alignment horizontal="center"/>
      <protection locked="0"/>
    </xf>
    <xf numFmtId="0" fontId="4" fillId="6" borderId="0" xfId="0" applyFont="1" applyFill="1" applyAlignment="1" applyProtection="1">
      <alignment horizontal="center"/>
      <protection locked="0"/>
    </xf>
    <xf numFmtId="0" fontId="12" fillId="13" borderId="5" xfId="0" applyFont="1" applyFill="1" applyBorder="1" applyAlignment="1">
      <alignment horizontal="center" vertical="center" textRotation="90" wrapText="1"/>
    </xf>
    <xf numFmtId="0" fontId="17" fillId="12" borderId="5" xfId="0" applyFont="1" applyFill="1" applyBorder="1" applyAlignment="1">
      <alignment horizontal="center"/>
    </xf>
    <xf numFmtId="0" fontId="17" fillId="12" borderId="6" xfId="0" applyFont="1" applyFill="1" applyBorder="1" applyAlignment="1">
      <alignment horizontal="center"/>
    </xf>
    <xf numFmtId="0" fontId="4" fillId="6" borderId="70" xfId="0" applyFont="1" applyFill="1" applyBorder="1" applyAlignment="1">
      <alignment horizontal="center" vertical="center"/>
    </xf>
    <xf numFmtId="0" fontId="12" fillId="13" borderId="19" xfId="0" applyFont="1" applyFill="1" applyBorder="1" applyAlignment="1">
      <alignment vertical="center" textRotation="90" wrapText="1"/>
    </xf>
    <xf numFmtId="0" fontId="17" fillId="12" borderId="21" xfId="0" applyFont="1" applyFill="1" applyBorder="1" applyAlignment="1">
      <alignment horizontal="left"/>
    </xf>
    <xf numFmtId="0" fontId="17" fillId="12" borderId="3" xfId="0" applyFont="1" applyFill="1" applyBorder="1" applyAlignment="1">
      <alignment horizontal="left"/>
    </xf>
    <xf numFmtId="0" fontId="17" fillId="12" borderId="36" xfId="0" applyFont="1" applyFill="1" applyBorder="1" applyAlignment="1">
      <alignment horizontal="left"/>
    </xf>
    <xf numFmtId="0" fontId="0" fillId="0" borderId="0" xfId="0" applyAlignment="1">
      <alignment horizontal="right" vertical="center"/>
    </xf>
    <xf numFmtId="0" fontId="4" fillId="6" borderId="1" xfId="0" applyFont="1" applyFill="1" applyBorder="1" applyAlignment="1">
      <alignment horizontal="center"/>
    </xf>
    <xf numFmtId="0" fontId="4" fillId="6" borderId="38" xfId="0" applyFont="1" applyFill="1" applyBorder="1" applyAlignment="1">
      <alignment horizontal="center"/>
    </xf>
    <xf numFmtId="1" fontId="4" fillId="0" borderId="88" xfId="0" applyNumberFormat="1" applyFont="1" applyBorder="1" applyAlignment="1">
      <alignment horizontal="center" vertical="center" wrapText="1"/>
    </xf>
    <xf numFmtId="1" fontId="4" fillId="0" borderId="13" xfId="0" applyNumberFormat="1" applyFont="1" applyBorder="1" applyAlignment="1">
      <alignment horizontal="center" vertical="center"/>
    </xf>
    <xf numFmtId="0" fontId="17" fillId="23" borderId="41" xfId="0" applyFont="1" applyFill="1" applyBorder="1" applyAlignment="1">
      <alignment horizontal="center" vertical="center" wrapText="1"/>
    </xf>
    <xf numFmtId="0" fontId="23" fillId="23" borderId="31" xfId="0" applyFont="1" applyFill="1" applyBorder="1" applyAlignment="1">
      <alignment horizontal="center" vertical="center" wrapText="1"/>
    </xf>
    <xf numFmtId="0" fontId="17" fillId="12" borderId="3" xfId="0" applyFont="1" applyFill="1" applyBorder="1" applyAlignment="1">
      <alignment vertical="center"/>
    </xf>
    <xf numFmtId="0" fontId="17" fillId="12" borderId="50" xfId="0" applyFont="1" applyFill="1" applyBorder="1"/>
    <xf numFmtId="0" fontId="17" fillId="12" borderId="9" xfId="0" applyFont="1" applyFill="1" applyBorder="1"/>
    <xf numFmtId="0" fontId="12" fillId="13" borderId="50" xfId="0" applyFont="1" applyFill="1" applyBorder="1" applyAlignment="1">
      <alignment vertical="center" textRotation="90" wrapText="1"/>
    </xf>
    <xf numFmtId="0" fontId="17" fillId="12" borderId="8" xfId="0" applyFont="1" applyFill="1" applyBorder="1"/>
    <xf numFmtId="0" fontId="17" fillId="12" borderId="1" xfId="0" applyFont="1" applyFill="1" applyBorder="1" applyAlignment="1">
      <alignment vertical="center"/>
    </xf>
    <xf numFmtId="0" fontId="17" fillId="12" borderId="29" xfId="0" applyFont="1" applyFill="1" applyBorder="1" applyAlignment="1">
      <alignment horizontal="left" vertical="center"/>
    </xf>
    <xf numFmtId="0" fontId="4" fillId="6" borderId="26" xfId="0" applyFont="1" applyFill="1" applyBorder="1" applyAlignment="1">
      <alignment horizontal="center"/>
    </xf>
    <xf numFmtId="0" fontId="4" fillId="6" borderId="13" xfId="0" applyFont="1" applyFill="1" applyBorder="1" applyAlignment="1">
      <alignment horizontal="center"/>
    </xf>
    <xf numFmtId="0" fontId="4" fillId="6" borderId="14" xfId="0" applyFont="1" applyFill="1" applyBorder="1" applyAlignment="1">
      <alignment horizontal="center"/>
    </xf>
    <xf numFmtId="0" fontId="4" fillId="6" borderId="28" xfId="0" applyFont="1" applyFill="1" applyBorder="1" applyAlignment="1">
      <alignment horizontal="center"/>
    </xf>
    <xf numFmtId="0" fontId="4" fillId="6" borderId="73" xfId="0" applyFont="1" applyFill="1" applyBorder="1" applyAlignment="1">
      <alignment horizontal="center"/>
    </xf>
    <xf numFmtId="0" fontId="4" fillId="6" borderId="54" xfId="0" applyFont="1" applyFill="1" applyBorder="1" applyAlignment="1">
      <alignment horizontal="center"/>
    </xf>
    <xf numFmtId="0" fontId="17" fillId="12" borderId="73" xfId="0" applyFont="1" applyFill="1" applyBorder="1" applyAlignment="1">
      <alignment horizontal="left" vertical="center"/>
    </xf>
    <xf numFmtId="0" fontId="30" fillId="13" borderId="1" xfId="0" applyFont="1" applyFill="1" applyBorder="1" applyAlignment="1">
      <alignment horizontal="left" vertical="center" textRotation="90" wrapText="1"/>
    </xf>
    <xf numFmtId="0" fontId="0" fillId="0" borderId="0" xfId="0" applyAlignment="1">
      <alignment vertical="center" wrapText="1"/>
    </xf>
    <xf numFmtId="0" fontId="0" fillId="24" borderId="0" xfId="0" applyFill="1" applyAlignment="1">
      <alignment vertical="center"/>
    </xf>
    <xf numFmtId="0" fontId="19" fillId="17" borderId="0" xfId="0" applyFont="1" applyFill="1" applyAlignment="1">
      <alignment wrapText="1"/>
    </xf>
    <xf numFmtId="0" fontId="0" fillId="0" borderId="0" xfId="0" applyAlignment="1">
      <alignment vertical="top" wrapText="1"/>
    </xf>
    <xf numFmtId="0" fontId="19" fillId="17" borderId="0" xfId="0" applyFont="1" applyFill="1" applyAlignment="1">
      <alignment vertical="top" wrapText="1"/>
    </xf>
    <xf numFmtId="0" fontId="0" fillId="22" borderId="0" xfId="0" applyFill="1" applyAlignment="1">
      <alignment horizontal="center" wrapText="1"/>
    </xf>
    <xf numFmtId="0" fontId="0" fillId="22" borderId="2" xfId="0" applyFill="1" applyBorder="1" applyAlignment="1">
      <alignment horizontal="left" vertical="top" wrapText="1"/>
    </xf>
    <xf numFmtId="167" fontId="0" fillId="22" borderId="2" xfId="0" applyNumberFormat="1" applyFill="1" applyBorder="1" applyAlignment="1">
      <alignment horizontal="left" vertical="top" wrapText="1"/>
    </xf>
    <xf numFmtId="165" fontId="2" fillId="3" borderId="10" xfId="0" applyNumberFormat="1" applyFont="1" applyFill="1" applyBorder="1" applyAlignment="1">
      <alignment horizontal="center" vertical="center" wrapText="1"/>
    </xf>
    <xf numFmtId="0" fontId="0" fillId="3" borderId="0" xfId="0" applyFill="1" applyAlignment="1">
      <alignment wrapText="1"/>
    </xf>
    <xf numFmtId="0" fontId="0" fillId="0" borderId="0" xfId="0" quotePrefix="1" applyAlignment="1">
      <alignment vertical="top" wrapText="1"/>
    </xf>
    <xf numFmtId="0" fontId="17" fillId="12" borderId="3" xfId="0" applyFont="1" applyFill="1" applyBorder="1" applyAlignment="1">
      <alignment horizontal="right" vertical="center" indent="1"/>
    </xf>
    <xf numFmtId="0" fontId="17" fillId="3" borderId="25" xfId="0" applyFont="1" applyFill="1" applyBorder="1" applyAlignment="1">
      <alignment horizontal="center" vertical="center" wrapText="1"/>
    </xf>
    <xf numFmtId="0" fontId="4" fillId="29" borderId="1" xfId="0" applyFont="1" applyFill="1" applyBorder="1"/>
    <xf numFmtId="0" fontId="4" fillId="30" borderId="2" xfId="0" applyFont="1" applyFill="1" applyBorder="1" applyAlignment="1">
      <alignment horizontal="center" vertical="center"/>
    </xf>
    <xf numFmtId="0" fontId="4" fillId="28" borderId="2" xfId="0" applyFont="1" applyFill="1" applyBorder="1" applyAlignment="1">
      <alignment horizontal="center" vertical="center"/>
    </xf>
    <xf numFmtId="0" fontId="4" fillId="29" borderId="2" xfId="0" applyFont="1" applyFill="1" applyBorder="1" applyAlignment="1">
      <alignment horizontal="center" vertical="center"/>
    </xf>
    <xf numFmtId="0" fontId="4" fillId="29" borderId="7" xfId="0" applyFont="1" applyFill="1" applyBorder="1" applyAlignment="1">
      <alignment horizontal="center" vertical="center"/>
    </xf>
    <xf numFmtId="0" fontId="4" fillId="30" borderId="2" xfId="0" applyFont="1" applyFill="1" applyBorder="1" applyAlignment="1">
      <alignment horizontal="center" vertical="center" wrapText="1"/>
    </xf>
    <xf numFmtId="0" fontId="4" fillId="31" borderId="2" xfId="0" applyFont="1" applyFill="1" applyBorder="1" applyAlignment="1">
      <alignment horizontal="center" vertical="center" wrapText="1"/>
    </xf>
    <xf numFmtId="0" fontId="4" fillId="32" borderId="2" xfId="0" applyFont="1" applyFill="1" applyBorder="1" applyAlignment="1">
      <alignment horizontal="center" vertical="center" wrapText="1"/>
    </xf>
    <xf numFmtId="0" fontId="6" fillId="33" borderId="2" xfId="0" applyFont="1" applyFill="1" applyBorder="1" applyAlignment="1">
      <alignment horizontal="center" vertical="center" wrapText="1"/>
    </xf>
    <xf numFmtId="0" fontId="46" fillId="0" borderId="103" xfId="0" applyFont="1" applyBorder="1" applyAlignment="1">
      <alignment wrapText="1"/>
    </xf>
    <xf numFmtId="0" fontId="46" fillId="0" borderId="27" xfId="0" applyFont="1" applyBorder="1" applyAlignment="1">
      <alignment wrapText="1"/>
    </xf>
    <xf numFmtId="0" fontId="4" fillId="0" borderId="2" xfId="0" applyFont="1" applyBorder="1" applyProtection="1">
      <protection locked="0"/>
    </xf>
    <xf numFmtId="0" fontId="0" fillId="0" borderId="90" xfId="0" applyBorder="1" applyAlignment="1">
      <alignment wrapText="1"/>
    </xf>
    <xf numFmtId="0" fontId="43" fillId="0" borderId="91" xfId="0" applyFont="1" applyBorder="1" applyAlignment="1">
      <alignment horizontal="center" wrapText="1"/>
    </xf>
    <xf numFmtId="0" fontId="43" fillId="0" borderId="92" xfId="0" applyFont="1" applyBorder="1" applyAlignment="1">
      <alignment horizontal="center" wrapText="1"/>
    </xf>
    <xf numFmtId="0" fontId="43" fillId="0" borderId="93" xfId="0" applyFont="1" applyBorder="1" applyAlignment="1">
      <alignment wrapText="1"/>
    </xf>
    <xf numFmtId="0" fontId="0" fillId="0" borderId="2" xfId="0" applyBorder="1" applyAlignment="1">
      <alignment horizontal="center" wrapText="1"/>
    </xf>
    <xf numFmtId="0" fontId="0" fillId="0" borderId="94" xfId="0" applyBorder="1" applyAlignment="1">
      <alignment horizontal="center" wrapText="1"/>
    </xf>
    <xf numFmtId="0" fontId="0" fillId="26" borderId="2" xfId="0" applyFill="1" applyBorder="1" applyAlignment="1">
      <alignment horizontal="center" wrapText="1"/>
    </xf>
    <xf numFmtId="0" fontId="0" fillId="26" borderId="94" xfId="0" applyFill="1" applyBorder="1" applyAlignment="1">
      <alignment horizontal="center" wrapText="1"/>
    </xf>
    <xf numFmtId="0" fontId="43" fillId="0" borderId="95" xfId="0" applyFont="1" applyBorder="1" applyAlignment="1">
      <alignment wrapText="1"/>
    </xf>
    <xf numFmtId="0" fontId="0" fillId="0" borderId="96" xfId="0" applyBorder="1" applyAlignment="1">
      <alignment horizontal="center" wrapText="1"/>
    </xf>
    <xf numFmtId="0" fontId="0" fillId="26" borderId="96" xfId="0" applyFill="1" applyBorder="1" applyAlignment="1">
      <alignment horizontal="center" wrapText="1"/>
    </xf>
    <xf numFmtId="0" fontId="0" fillId="26" borderId="97" xfId="0" applyFill="1" applyBorder="1" applyAlignment="1">
      <alignment horizontal="center" wrapText="1"/>
    </xf>
    <xf numFmtId="0" fontId="43" fillId="0" borderId="98" xfId="0" applyFont="1" applyBorder="1" applyAlignment="1">
      <alignment vertical="center" wrapText="1"/>
    </xf>
    <xf numFmtId="0" fontId="0" fillId="0" borderId="99" xfId="0" applyBorder="1" applyAlignment="1">
      <alignment horizontal="left" vertical="center" wrapText="1"/>
    </xf>
    <xf numFmtId="0" fontId="0" fillId="0" borderId="99" xfId="0" applyBorder="1" applyAlignment="1">
      <alignment horizontal="center" vertical="center" wrapText="1"/>
    </xf>
    <xf numFmtId="0" fontId="0" fillId="0" borderId="0" xfId="0" applyAlignment="1">
      <alignment horizontal="left" wrapText="1"/>
    </xf>
    <xf numFmtId="0" fontId="43" fillId="0" borderId="93" xfId="0" applyFont="1" applyBorder="1" applyAlignment="1">
      <alignment horizontal="center" vertical="center" wrapText="1"/>
    </xf>
    <xf numFmtId="0" fontId="0" fillId="0" borderId="94" xfId="0" applyBorder="1" applyAlignment="1">
      <alignment horizontal="center" vertical="center" wrapText="1"/>
    </xf>
    <xf numFmtId="0" fontId="43" fillId="0" borderId="95" xfId="0" applyFont="1" applyBorder="1" applyAlignment="1">
      <alignment horizontal="center" vertical="center" wrapText="1"/>
    </xf>
    <xf numFmtId="0" fontId="0" fillId="0" borderId="97" xfId="0" applyBorder="1" applyAlignment="1">
      <alignment horizontal="center" vertical="center" wrapText="1"/>
    </xf>
    <xf numFmtId="0" fontId="0" fillId="0" borderId="2" xfId="0" applyBorder="1" applyAlignment="1">
      <alignment horizontal="center" vertical="center" wrapText="1"/>
    </xf>
    <xf numFmtId="0" fontId="0" fillId="0" borderId="96" xfId="0" applyBorder="1" applyAlignment="1">
      <alignment horizontal="center" vertical="center" wrapText="1"/>
    </xf>
    <xf numFmtId="171" fontId="27" fillId="0" borderId="0" xfId="0" applyNumberFormat="1" applyFont="1" applyAlignment="1" applyProtection="1">
      <alignment wrapText="1"/>
      <protection locked="0"/>
    </xf>
    <xf numFmtId="0" fontId="38" fillId="3" borderId="2" xfId="0" applyFont="1" applyFill="1" applyBorder="1" applyAlignment="1">
      <alignment vertical="center" wrapText="1"/>
    </xf>
    <xf numFmtId="0" fontId="2" fillId="3" borderId="9" xfId="0" applyFont="1" applyFill="1" applyBorder="1" applyAlignment="1">
      <alignment horizontal="center" vertical="center" wrapText="1"/>
    </xf>
    <xf numFmtId="0" fontId="2" fillId="5" borderId="10" xfId="0" applyFont="1" applyFill="1" applyBorder="1" applyAlignment="1">
      <alignment horizontal="center" vertical="center" wrapText="1"/>
    </xf>
    <xf numFmtId="167" fontId="2" fillId="5" borderId="10" xfId="0" applyNumberFormat="1" applyFont="1" applyFill="1" applyBorder="1" applyAlignment="1">
      <alignment horizontal="center" vertical="center" wrapText="1"/>
    </xf>
    <xf numFmtId="166" fontId="2" fillId="5" borderId="10" xfId="0" applyNumberFormat="1" applyFont="1" applyFill="1" applyBorder="1" applyAlignment="1">
      <alignment horizontal="center" vertical="center" wrapText="1"/>
    </xf>
    <xf numFmtId="165" fontId="2" fillId="25" borderId="10" xfId="0" applyNumberFormat="1" applyFont="1" applyFill="1" applyBorder="1" applyAlignment="1">
      <alignment horizontal="center" vertical="center" wrapText="1"/>
    </xf>
    <xf numFmtId="0" fontId="2" fillId="25" borderId="10" xfId="0" applyFont="1" applyFill="1" applyBorder="1" applyAlignment="1">
      <alignment horizontal="center" vertical="center" wrapText="1"/>
    </xf>
    <xf numFmtId="0" fontId="2" fillId="3" borderId="10" xfId="0" applyFont="1" applyFill="1" applyBorder="1" applyAlignment="1">
      <alignment horizontal="center" vertical="center" wrapText="1"/>
    </xf>
    <xf numFmtId="1" fontId="2" fillId="3" borderId="10" xfId="0" applyNumberFormat="1" applyFont="1" applyFill="1" applyBorder="1" applyAlignment="1">
      <alignment horizontal="center" vertical="center" wrapText="1"/>
    </xf>
    <xf numFmtId="0" fontId="2" fillId="3" borderId="33" xfId="0" applyFont="1" applyFill="1" applyBorder="1" applyAlignment="1">
      <alignment horizontal="center" vertical="center" wrapText="1"/>
    </xf>
    <xf numFmtId="0" fontId="36" fillId="21" borderId="33" xfId="0" applyFont="1" applyFill="1" applyBorder="1" applyAlignment="1">
      <alignment horizontal="center" vertical="center" wrapText="1"/>
    </xf>
    <xf numFmtId="0" fontId="36" fillId="21" borderId="47" xfId="0" applyFont="1" applyFill="1" applyBorder="1" applyAlignment="1">
      <alignment horizontal="center" vertical="center" wrapText="1"/>
    </xf>
    <xf numFmtId="0" fontId="26" fillId="0" borderId="7" xfId="0" applyFont="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36" fillId="3" borderId="10" xfId="0" applyFont="1" applyFill="1" applyBorder="1" applyAlignment="1">
      <alignment horizontal="center" vertical="center" wrapText="1"/>
    </xf>
    <xf numFmtId="0" fontId="36" fillId="3" borderId="47" xfId="0" applyFont="1" applyFill="1" applyBorder="1" applyAlignment="1">
      <alignment horizontal="center" vertical="center" wrapText="1"/>
    </xf>
    <xf numFmtId="0" fontId="21" fillId="0" borderId="98" xfId="0" applyFont="1" applyBorder="1" applyAlignment="1">
      <alignment horizontal="left" vertical="center" wrapText="1"/>
    </xf>
    <xf numFmtId="0" fontId="17" fillId="12" borderId="1" xfId="0" applyFont="1" applyFill="1" applyBorder="1" applyAlignment="1">
      <alignment horizontal="left" vertical="center"/>
    </xf>
    <xf numFmtId="0" fontId="48" fillId="0" borderId="110" xfId="0" applyFont="1" applyBorder="1" applyAlignment="1">
      <alignment vertical="center" wrapText="1"/>
    </xf>
    <xf numFmtId="0" fontId="48" fillId="0" borderId="111" xfId="0" applyFont="1" applyBorder="1" applyAlignment="1">
      <alignment vertical="center" wrapText="1"/>
    </xf>
    <xf numFmtId="0" fontId="49" fillId="0" borderId="111" xfId="0" applyFont="1" applyBorder="1" applyAlignment="1">
      <alignment vertical="center" wrapText="1"/>
    </xf>
    <xf numFmtId="0" fontId="17" fillId="12" borderId="2" xfId="0" applyFont="1" applyFill="1" applyBorder="1"/>
    <xf numFmtId="1" fontId="26" fillId="0" borderId="7" xfId="0" applyNumberFormat="1" applyFont="1" applyBorder="1" applyAlignment="1" applyProtection="1">
      <alignment horizontal="center" vertical="center" wrapText="1"/>
      <protection hidden="1"/>
    </xf>
    <xf numFmtId="0" fontId="2" fillId="14" borderId="11" xfId="0" applyFont="1" applyFill="1" applyBorder="1" applyAlignment="1">
      <alignment vertical="center" wrapText="1"/>
    </xf>
    <xf numFmtId="0" fontId="2" fillId="15" borderId="12" xfId="0" applyFont="1" applyFill="1" applyBorder="1" applyAlignment="1">
      <alignment vertical="center" wrapText="1"/>
    </xf>
    <xf numFmtId="0" fontId="2" fillId="16" borderId="14" xfId="0" applyFont="1" applyFill="1" applyBorder="1" applyAlignment="1">
      <alignment vertical="center" wrapText="1"/>
    </xf>
    <xf numFmtId="167" fontId="0" fillId="0" borderId="0" xfId="0" applyNumberFormat="1" applyAlignment="1">
      <alignment horizontal="center" vertical="center" wrapText="1"/>
    </xf>
    <xf numFmtId="0" fontId="36" fillId="3" borderId="9" xfId="0" applyFont="1" applyFill="1" applyBorder="1" applyAlignment="1">
      <alignment horizontal="center" vertical="center" wrapText="1"/>
    </xf>
    <xf numFmtId="0" fontId="17" fillId="0" borderId="112" xfId="0" applyFont="1" applyBorder="1" applyAlignment="1">
      <alignment horizontal="center" vertical="center" wrapText="1"/>
    </xf>
    <xf numFmtId="0" fontId="4" fillId="0" borderId="113" xfId="0" applyFont="1" applyBorder="1" applyAlignment="1">
      <alignment horizontal="center" vertical="center" wrapText="1"/>
    </xf>
    <xf numFmtId="0" fontId="4" fillId="0" borderId="114" xfId="0" applyFont="1" applyBorder="1" applyAlignment="1">
      <alignment horizontal="center" vertical="center"/>
    </xf>
    <xf numFmtId="0" fontId="26" fillId="0" borderId="0" xfId="0" applyFont="1" applyAlignment="1" applyProtection="1">
      <alignment vertical="center" wrapText="1"/>
      <protection locked="0"/>
    </xf>
    <xf numFmtId="0" fontId="26" fillId="0" borderId="0" xfId="0" applyFont="1" applyAlignment="1" applyProtection="1">
      <alignment horizontal="center" vertical="center" wrapText="1"/>
      <protection locked="0"/>
    </xf>
    <xf numFmtId="167" fontId="26" fillId="0" borderId="0" xfId="0" applyNumberFormat="1" applyFont="1" applyAlignment="1" applyProtection="1">
      <alignment vertical="center" wrapText="1"/>
      <protection locked="0"/>
    </xf>
    <xf numFmtId="166" fontId="26" fillId="0" borderId="0" xfId="0" applyNumberFormat="1" applyFont="1" applyAlignment="1" applyProtection="1">
      <alignment vertical="center" wrapText="1"/>
      <protection locked="0"/>
    </xf>
    <xf numFmtId="165" fontId="26" fillId="0" borderId="0" xfId="0" applyNumberFormat="1" applyFont="1" applyAlignment="1" applyProtection="1">
      <alignment vertical="center" wrapText="1"/>
      <protection locked="0"/>
    </xf>
    <xf numFmtId="171" fontId="2" fillId="0" borderId="0" xfId="0" applyNumberFormat="1" applyFont="1" applyAlignment="1" applyProtection="1">
      <alignment wrapText="1"/>
      <protection locked="0"/>
    </xf>
    <xf numFmtId="1" fontId="2" fillId="0" borderId="0" xfId="0" applyNumberFormat="1" applyFont="1" applyAlignment="1" applyProtection="1">
      <alignment wrapText="1"/>
      <protection locked="0"/>
    </xf>
    <xf numFmtId="1" fontId="26" fillId="0" borderId="0" xfId="0" applyNumberFormat="1" applyFont="1" applyAlignment="1" applyProtection="1">
      <alignment vertical="center" wrapText="1"/>
      <protection locked="0"/>
    </xf>
    <xf numFmtId="0" fontId="2" fillId="0" borderId="0" xfId="0" applyFont="1" applyAlignment="1" applyProtection="1">
      <alignment wrapText="1"/>
      <protection locked="0"/>
    </xf>
    <xf numFmtId="0" fontId="2" fillId="0" borderId="0" xfId="0" applyFont="1" applyAlignment="1" applyProtection="1">
      <alignment vertical="center" wrapText="1"/>
      <protection locked="0"/>
    </xf>
    <xf numFmtId="0" fontId="26" fillId="0" borderId="0" xfId="0" applyFont="1" applyAlignment="1" applyProtection="1">
      <alignment wrapText="1"/>
      <protection locked="0"/>
    </xf>
    <xf numFmtId="1" fontId="2" fillId="0" borderId="0" xfId="0" applyNumberFormat="1" applyFont="1" applyAlignment="1" applyProtection="1">
      <alignment horizontal="center" wrapText="1"/>
      <protection locked="0"/>
    </xf>
    <xf numFmtId="171" fontId="2" fillId="0" borderId="0" xfId="0" applyNumberFormat="1" applyFont="1" applyAlignment="1" applyProtection="1">
      <alignment horizontal="center" wrapText="1"/>
      <protection locked="0"/>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wrapText="1"/>
      <protection locked="0"/>
    </xf>
    <xf numFmtId="165" fontId="2" fillId="0" borderId="0" xfId="0" applyNumberFormat="1" applyFont="1" applyAlignment="1" applyProtection="1">
      <alignment horizontal="center" wrapText="1"/>
      <protection locked="0"/>
    </xf>
    <xf numFmtId="165" fontId="26" fillId="0" borderId="0" xfId="0" applyNumberFormat="1" applyFont="1" applyAlignment="1" applyProtection="1">
      <alignment wrapText="1"/>
      <protection locked="0"/>
    </xf>
    <xf numFmtId="0" fontId="5" fillId="0" borderId="0" xfId="0" applyFont="1" applyAlignment="1" applyProtection="1">
      <alignment wrapText="1"/>
      <protection locked="0"/>
    </xf>
    <xf numFmtId="1" fontId="5" fillId="0" borderId="30" xfId="0" applyNumberFormat="1" applyFont="1" applyBorder="1" applyAlignment="1" applyProtection="1">
      <alignment wrapText="1"/>
      <protection locked="0"/>
    </xf>
    <xf numFmtId="1" fontId="5" fillId="0" borderId="31" xfId="0" applyNumberFormat="1" applyFont="1" applyBorder="1" applyAlignment="1" applyProtection="1">
      <alignment wrapText="1"/>
      <protection locked="0"/>
    </xf>
    <xf numFmtId="0" fontId="26" fillId="0" borderId="31" xfId="0" applyFont="1" applyBorder="1" applyAlignment="1" applyProtection="1">
      <alignment wrapText="1"/>
      <protection locked="0"/>
    </xf>
    <xf numFmtId="0" fontId="26" fillId="0" borderId="11" xfId="0" applyFont="1" applyBorder="1" applyAlignment="1" applyProtection="1">
      <alignment wrapText="1"/>
      <protection locked="0"/>
    </xf>
    <xf numFmtId="165" fontId="2" fillId="0" borderId="0" xfId="0" applyNumberFormat="1" applyFont="1" applyAlignment="1" applyProtection="1">
      <alignment horizontal="center" vertical="center" wrapText="1"/>
      <protection locked="0"/>
    </xf>
    <xf numFmtId="165" fontId="2" fillId="0" borderId="0" xfId="0" applyNumberFormat="1" applyFont="1" applyAlignment="1" applyProtection="1">
      <alignment wrapText="1"/>
      <protection locked="0"/>
    </xf>
    <xf numFmtId="1" fontId="5" fillId="0" borderId="25" xfId="0" applyNumberFormat="1" applyFont="1" applyBorder="1" applyAlignment="1" applyProtection="1">
      <alignment wrapText="1"/>
      <protection locked="0"/>
    </xf>
    <xf numFmtId="1" fontId="5" fillId="0" borderId="13" xfId="0" applyNumberFormat="1" applyFont="1" applyBorder="1" applyAlignment="1" applyProtection="1">
      <alignment wrapText="1"/>
      <protection locked="0"/>
    </xf>
    <xf numFmtId="0" fontId="26" fillId="0" borderId="13" xfId="0" applyFont="1" applyBorder="1" applyAlignment="1" applyProtection="1">
      <alignment wrapText="1"/>
      <protection locked="0"/>
    </xf>
    <xf numFmtId="0" fontId="26" fillId="0" borderId="14" xfId="0" applyFont="1" applyBorder="1" applyAlignment="1" applyProtection="1">
      <alignment wrapText="1"/>
      <protection locked="0"/>
    </xf>
    <xf numFmtId="0" fontId="2" fillId="3" borderId="35" xfId="0" applyFont="1" applyFill="1" applyBorder="1" applyAlignment="1" applyProtection="1">
      <alignment horizontal="center" wrapText="1"/>
      <protection locked="0"/>
    </xf>
    <xf numFmtId="0" fontId="26" fillId="0" borderId="2" xfId="0" applyFont="1" applyBorder="1" applyAlignment="1" applyProtection="1">
      <alignment vertical="center" wrapText="1"/>
      <protection locked="0"/>
    </xf>
    <xf numFmtId="0" fontId="26" fillId="0" borderId="7" xfId="0" applyFont="1" applyBorder="1" applyAlignment="1" applyProtection="1">
      <alignment vertical="center" wrapText="1"/>
      <protection locked="0"/>
    </xf>
    <xf numFmtId="0" fontId="26" fillId="0" borderId="7" xfId="0" applyFont="1" applyBorder="1" applyAlignment="1" applyProtection="1">
      <alignment horizontal="center" vertical="center" wrapText="1"/>
      <protection locked="0"/>
    </xf>
    <xf numFmtId="165" fontId="26" fillId="0" borderId="7" xfId="0" applyNumberFormat="1" applyFont="1" applyBorder="1" applyAlignment="1" applyProtection="1">
      <alignment vertical="center" wrapText="1"/>
      <protection locked="0"/>
    </xf>
    <xf numFmtId="164" fontId="26" fillId="0" borderId="7" xfId="0" applyNumberFormat="1" applyFont="1" applyBorder="1" applyAlignment="1" applyProtection="1">
      <alignment vertical="center" wrapText="1"/>
      <protection locked="0"/>
    </xf>
    <xf numFmtId="166" fontId="26" fillId="0" borderId="7" xfId="0" applyNumberFormat="1" applyFont="1" applyBorder="1" applyAlignment="1" applyProtection="1">
      <alignment vertical="center" wrapText="1"/>
      <protection locked="0"/>
    </xf>
    <xf numFmtId="0" fontId="37" fillId="0" borderId="7" xfId="1" applyNumberFormat="1" applyFont="1" applyBorder="1" applyAlignment="1" applyProtection="1">
      <alignment vertical="center" wrapText="1"/>
      <protection locked="0"/>
    </xf>
    <xf numFmtId="171" fontId="26" fillId="0" borderId="2" xfId="0" applyNumberFormat="1" applyFont="1" applyBorder="1" applyAlignment="1" applyProtection="1">
      <alignment wrapText="1"/>
      <protection locked="0"/>
    </xf>
    <xf numFmtId="0" fontId="5" fillId="0" borderId="7" xfId="0" applyFont="1" applyBorder="1" applyAlignment="1" applyProtection="1">
      <alignment horizontal="center" vertical="center" wrapText="1"/>
      <protection locked="0"/>
    </xf>
    <xf numFmtId="0" fontId="5" fillId="0" borderId="7" xfId="0" applyFont="1" applyBorder="1" applyAlignment="1" applyProtection="1">
      <alignment vertical="center" wrapText="1"/>
      <protection locked="0"/>
    </xf>
    <xf numFmtId="1" fontId="26" fillId="0" borderId="7" xfId="0" applyNumberFormat="1" applyFont="1" applyBorder="1" applyAlignment="1" applyProtection="1">
      <alignment vertical="center" wrapText="1"/>
      <protection locked="0"/>
    </xf>
    <xf numFmtId="49" fontId="26" fillId="0" borderId="7" xfId="0" applyNumberFormat="1" applyFont="1" applyBorder="1" applyAlignment="1" applyProtection="1">
      <alignment vertical="center" wrapText="1"/>
      <protection locked="0"/>
    </xf>
    <xf numFmtId="165" fontId="5" fillId="0" borderId="7" xfId="0" applyNumberFormat="1" applyFont="1" applyBorder="1" applyAlignment="1" applyProtection="1">
      <alignment vertical="center" wrapText="1"/>
      <protection locked="0"/>
    </xf>
    <xf numFmtId="1" fontId="4" fillId="0" borderId="26"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14" xfId="0" applyNumberFormat="1" applyFont="1" applyBorder="1" applyAlignment="1">
      <alignment horizontal="center" vertical="center"/>
    </xf>
    <xf numFmtId="0" fontId="2" fillId="21" borderId="33" xfId="0" applyFont="1" applyFill="1" applyBorder="1" applyAlignment="1">
      <alignment horizontal="center" vertical="center" wrapText="1"/>
    </xf>
    <xf numFmtId="0" fontId="26" fillId="0" borderId="28" xfId="0" applyFont="1" applyBorder="1" applyAlignment="1" applyProtection="1">
      <alignment vertical="center" wrapText="1"/>
      <protection locked="0"/>
    </xf>
    <xf numFmtId="0" fontId="0" fillId="22" borderId="2" xfId="0" applyFill="1" applyBorder="1" applyAlignment="1">
      <alignment vertical="center" wrapText="1"/>
    </xf>
    <xf numFmtId="0" fontId="36" fillId="3" borderId="33" xfId="0" applyFont="1" applyFill="1" applyBorder="1" applyAlignment="1">
      <alignment vertical="center" wrapText="1"/>
    </xf>
    <xf numFmtId="1" fontId="5" fillId="0" borderId="39" xfId="0" applyNumberFormat="1" applyFont="1" applyBorder="1" applyAlignment="1" applyProtection="1">
      <alignment wrapText="1"/>
      <protection locked="0"/>
    </xf>
    <xf numFmtId="1" fontId="5" fillId="0" borderId="42" xfId="0" applyNumberFormat="1" applyFont="1" applyBorder="1" applyAlignment="1" applyProtection="1">
      <alignment wrapText="1"/>
      <protection locked="0"/>
    </xf>
    <xf numFmtId="1" fontId="5" fillId="0" borderId="68" xfId="0" applyNumberFormat="1" applyFont="1" applyBorder="1" applyAlignment="1" applyProtection="1">
      <alignment wrapText="1"/>
      <protection locked="0"/>
    </xf>
    <xf numFmtId="167" fontId="26" fillId="0" borderId="0" xfId="0" applyNumberFormat="1" applyFont="1" applyAlignment="1" applyProtection="1">
      <alignment horizontal="center" vertical="center" wrapText="1"/>
      <protection locked="0"/>
    </xf>
    <xf numFmtId="1" fontId="5" fillId="0" borderId="0" xfId="0" applyNumberFormat="1" applyFont="1" applyAlignment="1" applyProtection="1">
      <alignment wrapText="1"/>
      <protection locked="0"/>
    </xf>
    <xf numFmtId="0" fontId="36" fillId="0" borderId="0" xfId="0" applyFont="1" applyAlignment="1">
      <alignment vertical="center" wrapText="1"/>
    </xf>
    <xf numFmtId="0" fontId="0" fillId="0" borderId="100" xfId="0" applyBorder="1" applyAlignment="1" applyProtection="1">
      <alignment horizontal="left" vertical="center" wrapText="1"/>
      <protection locked="0"/>
    </xf>
    <xf numFmtId="167" fontId="2" fillId="3" borderId="10" xfId="0" applyNumberFormat="1" applyFont="1" applyFill="1" applyBorder="1" applyAlignment="1">
      <alignment horizontal="center" vertical="center" wrapText="1"/>
    </xf>
    <xf numFmtId="0" fontId="6" fillId="3" borderId="25" xfId="0" applyFont="1" applyFill="1" applyBorder="1" applyAlignment="1">
      <alignment vertical="center" wrapText="1"/>
    </xf>
    <xf numFmtId="1" fontId="4" fillId="0" borderId="2" xfId="0" applyNumberFormat="1" applyFont="1" applyBorder="1" applyAlignment="1">
      <alignment horizontal="center"/>
    </xf>
    <xf numFmtId="0" fontId="4" fillId="0" borderId="2" xfId="0" applyFont="1" applyBorder="1" applyAlignment="1">
      <alignment horizontal="center"/>
    </xf>
    <xf numFmtId="0" fontId="4" fillId="0" borderId="12" xfId="0" applyFont="1" applyBorder="1" applyAlignment="1">
      <alignment horizontal="center"/>
    </xf>
    <xf numFmtId="1" fontId="6" fillId="0" borderId="13" xfId="0" applyNumberFormat="1" applyFont="1" applyBorder="1" applyAlignment="1">
      <alignment horizontal="center" vertical="center"/>
    </xf>
    <xf numFmtId="1" fontId="6" fillId="0" borderId="14" xfId="0" applyNumberFormat="1" applyFont="1" applyBorder="1" applyAlignment="1">
      <alignment horizontal="center" vertical="center"/>
    </xf>
    <xf numFmtId="0" fontId="50" fillId="0" borderId="0" xfId="0" applyFont="1" applyAlignment="1">
      <alignment horizontal="left" vertical="center" wrapText="1"/>
    </xf>
    <xf numFmtId="0" fontId="15" fillId="0" borderId="34" xfId="1" applyBorder="1" applyAlignment="1">
      <alignment vertical="center" wrapText="1"/>
    </xf>
    <xf numFmtId="0" fontId="50" fillId="0" borderId="0" xfId="0" applyFont="1" applyAlignment="1">
      <alignment vertical="center"/>
    </xf>
    <xf numFmtId="0" fontId="43" fillId="0" borderId="101" xfId="0" applyFont="1" applyBorder="1" applyAlignment="1">
      <alignment horizontal="left" vertical="center" wrapText="1"/>
    </xf>
    <xf numFmtId="0" fontId="1" fillId="0" borderId="0" xfId="0" applyFont="1" applyAlignment="1">
      <alignment vertical="center"/>
    </xf>
    <xf numFmtId="0" fontId="34" fillId="0" borderId="0" xfId="0" applyFont="1"/>
    <xf numFmtId="0" fontId="51" fillId="0" borderId="0" xfId="0" applyFont="1"/>
    <xf numFmtId="0" fontId="38" fillId="0" borderId="0" xfId="0" applyFont="1" applyAlignment="1">
      <alignment horizontal="center" vertical="center" wrapText="1"/>
    </xf>
    <xf numFmtId="0" fontId="38" fillId="0" borderId="0" xfId="0" applyFont="1" applyAlignment="1">
      <alignment vertical="center" wrapText="1"/>
    </xf>
    <xf numFmtId="0" fontId="0" fillId="9" borderId="2" xfId="0" applyFill="1" applyBorder="1" applyAlignment="1">
      <alignment vertical="center"/>
    </xf>
    <xf numFmtId="0" fontId="22" fillId="34" borderId="2" xfId="0" applyFont="1" applyFill="1" applyBorder="1" applyAlignment="1">
      <alignment horizontal="center" vertical="center" wrapText="1"/>
    </xf>
    <xf numFmtId="0" fontId="50" fillId="9" borderId="2" xfId="0" applyFont="1" applyFill="1" applyBorder="1" applyAlignment="1">
      <alignment horizontal="center" vertical="center" wrapText="1"/>
    </xf>
    <xf numFmtId="0" fontId="26" fillId="35" borderId="35" xfId="0" applyFont="1" applyFill="1" applyBorder="1" applyAlignment="1">
      <alignment horizontal="center" vertical="center" wrapText="1"/>
    </xf>
    <xf numFmtId="0" fontId="26" fillId="35" borderId="19" xfId="0" applyFont="1" applyFill="1" applyBorder="1" applyAlignment="1">
      <alignment horizontal="center" vertical="center" wrapText="1"/>
    </xf>
    <xf numFmtId="0" fontId="26" fillId="0" borderId="71" xfId="0" applyFont="1" applyBorder="1" applyAlignment="1">
      <alignment horizontal="center" vertical="center" wrapText="1"/>
    </xf>
    <xf numFmtId="0" fontId="1" fillId="3" borderId="0" xfId="0" applyFont="1" applyFill="1"/>
    <xf numFmtId="1" fontId="50" fillId="9" borderId="2" xfId="0" applyNumberFormat="1" applyFont="1" applyFill="1" applyBorder="1" applyAlignment="1">
      <alignment horizontal="center" vertical="center" wrapText="1"/>
    </xf>
    <xf numFmtId="49" fontId="0" fillId="0" borderId="0" xfId="0" applyNumberFormat="1"/>
    <xf numFmtId="0" fontId="0" fillId="0" borderId="0" xfId="0" applyAlignment="1">
      <alignment horizontal="center"/>
    </xf>
    <xf numFmtId="0" fontId="26" fillId="9" borderId="51" xfId="0" applyFont="1" applyFill="1" applyBorder="1" applyAlignment="1">
      <alignment horizontal="center" vertical="center" wrapText="1"/>
    </xf>
    <xf numFmtId="0" fontId="26" fillId="9" borderId="71" xfId="0" applyFont="1" applyFill="1" applyBorder="1" applyAlignment="1">
      <alignment horizontal="center" vertical="center" wrapText="1"/>
    </xf>
    <xf numFmtId="168" fontId="26" fillId="9" borderId="69" xfId="0" applyNumberFormat="1" applyFont="1" applyFill="1" applyBorder="1" applyAlignment="1">
      <alignment horizontal="center" vertical="center" wrapText="1"/>
    </xf>
    <xf numFmtId="170" fontId="26" fillId="9" borderId="71" xfId="0" applyNumberFormat="1" applyFont="1" applyFill="1" applyBorder="1" applyAlignment="1">
      <alignment horizontal="center" vertical="center" wrapText="1"/>
    </xf>
    <xf numFmtId="0" fontId="26" fillId="12" borderId="17" xfId="0" applyFont="1" applyFill="1" applyBorder="1" applyAlignment="1">
      <alignment horizontal="center" vertical="center" wrapText="1"/>
    </xf>
    <xf numFmtId="0" fontId="26" fillId="12" borderId="19" xfId="0" applyFont="1" applyFill="1" applyBorder="1" applyAlignment="1">
      <alignment horizontal="center" vertical="center" wrapText="1"/>
    </xf>
    <xf numFmtId="0" fontId="0" fillId="0" borderId="80" xfId="0" applyBorder="1" applyAlignment="1">
      <alignment vertical="top" wrapText="1"/>
    </xf>
    <xf numFmtId="0" fontId="4" fillId="6" borderId="4" xfId="0" applyFont="1" applyFill="1" applyBorder="1" applyAlignment="1" applyProtection="1">
      <alignment horizontal="center" wrapText="1"/>
      <protection locked="0"/>
    </xf>
    <xf numFmtId="0" fontId="4" fillId="6" borderId="0" xfId="0" applyFont="1" applyFill="1" applyAlignment="1" applyProtection="1">
      <alignment horizontal="center" wrapText="1"/>
      <protection locked="0"/>
    </xf>
    <xf numFmtId="0" fontId="4" fillId="6" borderId="27" xfId="0" applyFont="1" applyFill="1" applyBorder="1" applyAlignment="1" applyProtection="1">
      <alignment horizontal="center" wrapText="1"/>
      <protection locked="0"/>
    </xf>
    <xf numFmtId="0" fontId="17" fillId="0" borderId="39" xfId="0" quotePrefix="1" applyFont="1" applyBorder="1" applyAlignment="1">
      <alignment horizontal="center" vertical="center" wrapText="1"/>
    </xf>
    <xf numFmtId="0" fontId="0" fillId="0" borderId="0" xfId="0" applyAlignment="1">
      <alignment horizontal="left" vertical="center"/>
    </xf>
    <xf numFmtId="165" fontId="1" fillId="0" borderId="0" xfId="0" applyNumberFormat="1" applyFont="1" applyAlignment="1">
      <alignment wrapText="1"/>
    </xf>
    <xf numFmtId="165" fontId="0" fillId="0" borderId="0" xfId="0" applyNumberFormat="1" applyAlignment="1">
      <alignment wrapText="1"/>
    </xf>
    <xf numFmtId="165" fontId="0" fillId="0" borderId="0" xfId="0" applyNumberFormat="1"/>
    <xf numFmtId="0" fontId="9" fillId="3" borderId="9" xfId="0" applyFont="1" applyFill="1" applyBorder="1" applyAlignment="1">
      <alignment horizontal="center" vertical="center" wrapText="1"/>
    </xf>
    <xf numFmtId="0" fontId="0" fillId="0" borderId="99" xfId="0" applyBorder="1" applyAlignment="1" applyProtection="1">
      <alignment horizontal="center" vertical="center" wrapText="1"/>
      <protection locked="0"/>
    </xf>
    <xf numFmtId="0" fontId="43" fillId="0" borderId="93" xfId="0" applyFont="1" applyBorder="1" applyAlignment="1">
      <alignment vertical="center" wrapText="1"/>
    </xf>
    <xf numFmtId="0" fontId="4" fillId="6" borderId="2" xfId="0" applyFont="1" applyFill="1" applyBorder="1" applyAlignment="1">
      <alignment horizontal="center"/>
    </xf>
    <xf numFmtId="0" fontId="4" fillId="6" borderId="12" xfId="0" applyFont="1" applyFill="1" applyBorder="1" applyAlignment="1">
      <alignment horizontal="center"/>
    </xf>
    <xf numFmtId="0" fontId="17" fillId="0" borderId="1" xfId="0" applyFont="1" applyBorder="1" applyAlignment="1">
      <alignment horizontal="left"/>
    </xf>
    <xf numFmtId="0" fontId="17" fillId="0" borderId="3" xfId="0" applyFont="1" applyBorder="1" applyAlignment="1">
      <alignment horizontal="left"/>
    </xf>
    <xf numFmtId="0" fontId="17" fillId="12" borderId="1" xfId="0" applyFont="1" applyFill="1" applyBorder="1" applyAlignment="1">
      <alignment horizontal="center" vertical="center"/>
    </xf>
    <xf numFmtId="0" fontId="17" fillId="12" borderId="3" xfId="0" applyFont="1" applyFill="1" applyBorder="1" applyAlignment="1">
      <alignment horizontal="center" vertical="center"/>
    </xf>
    <xf numFmtId="0" fontId="4" fillId="6" borderId="42" xfId="0" applyFont="1" applyFill="1" applyBorder="1" applyAlignment="1">
      <alignment horizontal="center"/>
    </xf>
    <xf numFmtId="0" fontId="4" fillId="6" borderId="43" xfId="0" applyFont="1" applyFill="1" applyBorder="1" applyAlignment="1">
      <alignment horizontal="center"/>
    </xf>
    <xf numFmtId="0" fontId="4" fillId="6" borderId="44" xfId="0" applyFont="1" applyFill="1" applyBorder="1" applyAlignment="1">
      <alignment horizontal="center"/>
    </xf>
    <xf numFmtId="0" fontId="17" fillId="12" borderId="1" xfId="0" applyFont="1" applyFill="1" applyBorder="1" applyAlignment="1">
      <alignment horizontal="left" vertical="center"/>
    </xf>
    <xf numFmtId="0" fontId="17" fillId="12" borderId="3" xfId="0" applyFont="1" applyFill="1" applyBorder="1" applyAlignment="1">
      <alignment horizontal="left" vertical="center"/>
    </xf>
    <xf numFmtId="0" fontId="17" fillId="12" borderId="89" xfId="0" applyFont="1" applyFill="1" applyBorder="1" applyAlignment="1">
      <alignment horizontal="left" vertical="center"/>
    </xf>
    <xf numFmtId="0" fontId="17" fillId="12" borderId="68" xfId="0" applyFont="1" applyFill="1" applyBorder="1" applyAlignment="1">
      <alignment horizontal="left" vertical="center"/>
    </xf>
    <xf numFmtId="0" fontId="17" fillId="0" borderId="40" xfId="0" applyFont="1" applyBorder="1" applyAlignment="1">
      <alignment horizontal="left"/>
    </xf>
    <xf numFmtId="0" fontId="17" fillId="0" borderId="15" xfId="0" applyFont="1" applyBorder="1" applyAlignment="1">
      <alignment horizontal="left"/>
    </xf>
    <xf numFmtId="0" fontId="17" fillId="12" borderId="40" xfId="0" applyFont="1" applyFill="1" applyBorder="1" applyAlignment="1">
      <alignment horizontal="left" vertical="center"/>
    </xf>
    <xf numFmtId="0" fontId="17" fillId="12" borderId="15" xfId="0" applyFont="1" applyFill="1" applyBorder="1" applyAlignment="1">
      <alignment horizontal="left" vertical="center"/>
    </xf>
    <xf numFmtId="1" fontId="4" fillId="6" borderId="2" xfId="0" applyNumberFormat="1" applyFont="1" applyFill="1" applyBorder="1" applyAlignment="1">
      <alignment horizontal="center"/>
    </xf>
    <xf numFmtId="0" fontId="4" fillId="6" borderId="26" xfId="0" applyFont="1" applyFill="1" applyBorder="1" applyAlignment="1">
      <alignment horizontal="center"/>
    </xf>
    <xf numFmtId="0" fontId="4" fillId="6" borderId="1" xfId="0" applyFont="1" applyFill="1" applyBorder="1" applyAlignment="1">
      <alignment horizontal="center"/>
    </xf>
    <xf numFmtId="0" fontId="4" fillId="6" borderId="38" xfId="0" applyFont="1" applyFill="1" applyBorder="1" applyAlignment="1">
      <alignment horizontal="center"/>
    </xf>
    <xf numFmtId="0" fontId="43" fillId="0" borderId="108" xfId="0" applyFont="1" applyBorder="1" applyAlignment="1">
      <alignment horizontal="center" vertical="center" wrapText="1"/>
    </xf>
    <xf numFmtId="0" fontId="43" fillId="0" borderId="55" xfId="0" applyFont="1" applyBorder="1" applyAlignment="1">
      <alignment horizontal="center" vertical="center" wrapText="1"/>
    </xf>
    <xf numFmtId="0" fontId="43" fillId="0" borderId="109" xfId="0" applyFont="1" applyBorder="1" applyAlignment="1">
      <alignment horizontal="center" vertical="center" wrapText="1"/>
    </xf>
    <xf numFmtId="0" fontId="26" fillId="0" borderId="103" xfId="0" applyFont="1" applyBorder="1" applyAlignment="1" applyProtection="1">
      <alignment horizontal="center" vertical="center" wrapText="1"/>
      <protection locked="0"/>
    </xf>
    <xf numFmtId="0" fontId="26" fillId="0" borderId="105" xfId="0" applyFont="1" applyBorder="1" applyAlignment="1" applyProtection="1">
      <alignment horizontal="center" vertical="center" wrapText="1"/>
      <protection locked="0"/>
    </xf>
    <xf numFmtId="0" fontId="26" fillId="0" borderId="36" xfId="0" applyFont="1" applyBorder="1" applyAlignment="1" applyProtection="1">
      <alignment horizontal="center" vertical="center" wrapText="1"/>
      <protection locked="0"/>
    </xf>
    <xf numFmtId="0" fontId="26" fillId="0" borderId="26" xfId="0" applyFont="1" applyBorder="1" applyAlignment="1" applyProtection="1">
      <alignment horizontal="center" vertical="center" wrapText="1"/>
      <protection locked="0"/>
    </xf>
    <xf numFmtId="0" fontId="26" fillId="0" borderId="1" xfId="0" applyFont="1" applyBorder="1" applyAlignment="1" applyProtection="1">
      <alignment horizontal="center" vertical="center" wrapText="1"/>
      <protection locked="0"/>
    </xf>
    <xf numFmtId="0" fontId="26" fillId="0" borderId="3" xfId="0" applyFont="1" applyBorder="1" applyAlignment="1" applyProtection="1">
      <alignment horizontal="center" vertical="center" wrapText="1"/>
      <protection locked="0"/>
    </xf>
    <xf numFmtId="0" fontId="26" fillId="0" borderId="28" xfId="0" applyFont="1" applyBorder="1" applyAlignment="1" applyProtection="1">
      <alignment horizontal="center" vertical="center" wrapText="1"/>
      <protection locked="0"/>
    </xf>
    <xf numFmtId="0" fontId="26" fillId="0" borderId="73" xfId="0" applyFont="1" applyBorder="1" applyAlignment="1" applyProtection="1">
      <alignment horizontal="center" vertical="center" wrapText="1"/>
      <protection locked="0"/>
    </xf>
    <xf numFmtId="0" fontId="26" fillId="0" borderId="29" xfId="0" applyFont="1" applyBorder="1" applyAlignment="1" applyProtection="1">
      <alignment horizontal="center" vertical="center" wrapText="1"/>
      <protection locked="0"/>
    </xf>
    <xf numFmtId="0" fontId="26" fillId="0" borderId="106" xfId="0" applyFont="1" applyBorder="1" applyAlignment="1" applyProtection="1">
      <alignment horizontal="center" vertical="center" wrapText="1"/>
      <protection locked="0"/>
    </xf>
    <xf numFmtId="0" fontId="26" fillId="0" borderId="56" xfId="0" applyFont="1" applyBorder="1" applyAlignment="1" applyProtection="1">
      <alignment horizontal="center" vertical="center" wrapText="1"/>
      <protection locked="0"/>
    </xf>
    <xf numFmtId="0" fontId="26" fillId="0" borderId="107" xfId="0" applyFont="1" applyBorder="1" applyAlignment="1" applyProtection="1">
      <alignment horizontal="center" vertical="center" wrapText="1"/>
      <protection locked="0"/>
    </xf>
    <xf numFmtId="0" fontId="4" fillId="6" borderId="26" xfId="0" applyFont="1" applyFill="1" applyBorder="1" applyAlignment="1" applyProtection="1">
      <alignment horizontal="center"/>
      <protection locked="0"/>
    </xf>
    <xf numFmtId="0" fontId="4" fillId="6" borderId="1" xfId="0" applyFont="1" applyFill="1" applyBorder="1" applyAlignment="1" applyProtection="1">
      <alignment horizontal="center"/>
      <protection locked="0"/>
    </xf>
    <xf numFmtId="0" fontId="4" fillId="6" borderId="3" xfId="0" applyFont="1" applyFill="1" applyBorder="1" applyAlignment="1" applyProtection="1">
      <alignment horizontal="center"/>
      <protection locked="0"/>
    </xf>
    <xf numFmtId="0" fontId="4" fillId="6" borderId="2" xfId="0" applyFont="1" applyFill="1" applyBorder="1" applyAlignment="1" applyProtection="1">
      <alignment horizontal="center"/>
      <protection locked="0"/>
    </xf>
    <xf numFmtId="0" fontId="4" fillId="6" borderId="42" xfId="0" applyFont="1" applyFill="1" applyBorder="1" applyAlignment="1" applyProtection="1">
      <alignment horizontal="center"/>
      <protection locked="0"/>
    </xf>
    <xf numFmtId="0" fontId="4" fillId="6" borderId="43" xfId="0" applyFont="1" applyFill="1" applyBorder="1" applyAlignment="1" applyProtection="1">
      <alignment horizontal="center"/>
      <protection locked="0"/>
    </xf>
    <xf numFmtId="0" fontId="4" fillId="6" borderId="16" xfId="0" applyFont="1" applyFill="1" applyBorder="1" applyAlignment="1" applyProtection="1">
      <alignment horizontal="center"/>
      <protection locked="0"/>
    </xf>
    <xf numFmtId="0" fontId="17" fillId="12" borderId="50" xfId="0" applyFont="1" applyFill="1" applyBorder="1"/>
    <xf numFmtId="0" fontId="17" fillId="12" borderId="9" xfId="0" applyFont="1" applyFill="1" applyBorder="1"/>
    <xf numFmtId="0" fontId="4" fillId="6" borderId="31" xfId="0" applyFont="1" applyFill="1" applyBorder="1" applyAlignment="1">
      <alignment horizontal="center"/>
    </xf>
    <xf numFmtId="0" fontId="4" fillId="6" borderId="13" xfId="0" applyFont="1" applyFill="1" applyBorder="1" applyAlignment="1">
      <alignment horizontal="center"/>
    </xf>
    <xf numFmtId="0" fontId="17" fillId="12" borderId="32" xfId="0" applyFont="1" applyFill="1" applyBorder="1" applyAlignment="1">
      <alignment horizontal="left"/>
    </xf>
    <xf numFmtId="0" fontId="17" fillId="12" borderId="3" xfId="0" applyFont="1" applyFill="1" applyBorder="1" applyAlignment="1">
      <alignment horizontal="left"/>
    </xf>
    <xf numFmtId="0" fontId="17" fillId="12" borderId="52" xfId="0" applyFont="1" applyFill="1" applyBorder="1" applyAlignment="1">
      <alignment horizontal="left"/>
    </xf>
    <xf numFmtId="0" fontId="17" fillId="12" borderId="16" xfId="0" applyFont="1" applyFill="1" applyBorder="1" applyAlignment="1">
      <alignment horizontal="left"/>
    </xf>
    <xf numFmtId="0" fontId="4" fillId="6" borderId="39" xfId="0" applyFont="1" applyFill="1" applyBorder="1" applyAlignment="1">
      <alignment horizontal="center"/>
    </xf>
    <xf numFmtId="0" fontId="4" fillId="6" borderId="40" xfId="0" applyFont="1" applyFill="1" applyBorder="1" applyAlignment="1">
      <alignment horizontal="center"/>
    </xf>
    <xf numFmtId="0" fontId="4" fillId="6" borderId="41" xfId="0" applyFont="1" applyFill="1" applyBorder="1" applyAlignment="1">
      <alignment horizontal="center"/>
    </xf>
    <xf numFmtId="0" fontId="4" fillId="6" borderId="11" xfId="0" applyFont="1" applyFill="1" applyBorder="1" applyAlignment="1">
      <alignment horizontal="center"/>
    </xf>
    <xf numFmtId="0" fontId="4" fillId="6" borderId="34" xfId="0" applyFont="1" applyFill="1" applyBorder="1" applyAlignment="1">
      <alignment horizontal="center"/>
    </xf>
    <xf numFmtId="0" fontId="4" fillId="6" borderId="72" xfId="0" applyFont="1" applyFill="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41" xfId="0" applyFont="1" applyBorder="1" applyAlignment="1">
      <alignment horizontal="center"/>
    </xf>
    <xf numFmtId="0" fontId="17" fillId="12" borderId="50" xfId="0" applyFont="1" applyFill="1" applyBorder="1" applyAlignment="1">
      <alignment horizontal="center"/>
    </xf>
    <xf numFmtId="0" fontId="17" fillId="12" borderId="9" xfId="0" applyFont="1" applyFill="1" applyBorder="1" applyAlignment="1">
      <alignment horizontal="center"/>
    </xf>
    <xf numFmtId="0" fontId="6" fillId="13" borderId="26" xfId="0" applyFont="1" applyFill="1" applyBorder="1" applyAlignment="1">
      <alignment horizontal="right" vertical="top" wrapText="1"/>
    </xf>
    <xf numFmtId="0" fontId="6" fillId="13" borderId="3" xfId="0" applyFont="1" applyFill="1" applyBorder="1" applyAlignment="1">
      <alignment horizontal="right" vertical="top" wrapText="1"/>
    </xf>
    <xf numFmtId="0" fontId="6" fillId="13" borderId="26" xfId="0" applyFont="1" applyFill="1" applyBorder="1" applyAlignment="1">
      <alignment vertical="top"/>
    </xf>
    <xf numFmtId="0" fontId="6" fillId="13" borderId="3" xfId="0" applyFont="1" applyFill="1" applyBorder="1" applyAlignment="1">
      <alignment vertical="top"/>
    </xf>
    <xf numFmtId="0" fontId="17" fillId="13" borderId="20" xfId="0" applyFont="1" applyFill="1" applyBorder="1" applyAlignment="1">
      <alignment horizontal="left" vertical="top"/>
    </xf>
    <xf numFmtId="0" fontId="17" fillId="13" borderId="15" xfId="0" applyFont="1" applyFill="1" applyBorder="1" applyAlignment="1">
      <alignment horizontal="left" vertical="top"/>
    </xf>
    <xf numFmtId="0" fontId="17" fillId="13" borderId="32" xfId="0" applyFont="1" applyFill="1" applyBorder="1" applyAlignment="1">
      <alignment horizontal="left" vertical="top"/>
    </xf>
    <xf numFmtId="0" fontId="17" fillId="13" borderId="3" xfId="0" applyFont="1" applyFill="1" applyBorder="1" applyAlignment="1">
      <alignment horizontal="left" vertical="top"/>
    </xf>
    <xf numFmtId="0" fontId="25" fillId="13" borderId="32" xfId="0" applyFont="1" applyFill="1" applyBorder="1" applyAlignment="1">
      <alignment horizontal="left" vertical="top"/>
    </xf>
    <xf numFmtId="0" fontId="25" fillId="13" borderId="3" xfId="0" applyFont="1" applyFill="1" applyBorder="1" applyAlignment="1">
      <alignment horizontal="left" vertical="top"/>
    </xf>
    <xf numFmtId="0" fontId="17" fillId="13" borderId="52" xfId="0" applyFont="1" applyFill="1" applyBorder="1" applyAlignment="1">
      <alignment horizontal="left" vertical="top"/>
    </xf>
    <xf numFmtId="0" fontId="17" fillId="13" borderId="16" xfId="0" applyFont="1" applyFill="1" applyBorder="1" applyAlignment="1">
      <alignment horizontal="left" vertical="top"/>
    </xf>
    <xf numFmtId="0" fontId="6" fillId="13" borderId="52" xfId="0" applyFont="1" applyFill="1" applyBorder="1" applyAlignment="1">
      <alignment horizontal="left" vertical="top"/>
    </xf>
    <xf numFmtId="0" fontId="6" fillId="13" borderId="43" xfId="0" applyFont="1" applyFill="1" applyBorder="1" applyAlignment="1">
      <alignment horizontal="left" vertical="top"/>
    </xf>
    <xf numFmtId="0" fontId="6" fillId="13" borderId="16" xfId="0" applyFont="1" applyFill="1" applyBorder="1" applyAlignment="1">
      <alignment horizontal="left" vertical="top"/>
    </xf>
    <xf numFmtId="15" fontId="4" fillId="6" borderId="13" xfId="0" applyNumberFormat="1" applyFont="1" applyFill="1" applyBorder="1" applyAlignment="1" applyProtection="1">
      <alignment horizontal="center" vertical="top" wrapText="1"/>
      <protection locked="0"/>
    </xf>
    <xf numFmtId="15" fontId="4" fillId="6" borderId="14" xfId="0" applyNumberFormat="1" applyFont="1" applyFill="1" applyBorder="1" applyAlignment="1" applyProtection="1">
      <alignment horizontal="center" vertical="top" wrapText="1"/>
      <protection locked="0"/>
    </xf>
    <xf numFmtId="0" fontId="17" fillId="13" borderId="45" xfId="0" applyFont="1" applyFill="1" applyBorder="1" applyAlignment="1">
      <alignment horizontal="left" vertical="top"/>
    </xf>
    <xf numFmtId="0" fontId="17" fillId="13" borderId="68" xfId="0" applyFont="1" applyFill="1" applyBorder="1" applyAlignment="1">
      <alignment horizontal="left" vertical="top"/>
    </xf>
    <xf numFmtId="0" fontId="17" fillId="13" borderId="46" xfId="0" applyFont="1" applyFill="1" applyBorder="1" applyAlignment="1">
      <alignment horizontal="left" vertical="top"/>
    </xf>
    <xf numFmtId="0" fontId="4" fillId="6" borderId="46" xfId="0" applyFont="1" applyFill="1" applyBorder="1" applyAlignment="1">
      <alignment horizontal="center" vertical="top" wrapText="1"/>
    </xf>
    <xf numFmtId="0" fontId="4" fillId="6" borderId="64" xfId="0" applyFont="1" applyFill="1" applyBorder="1" applyAlignment="1">
      <alignment horizontal="center" vertical="top" wrapText="1"/>
    </xf>
    <xf numFmtId="0" fontId="4" fillId="6" borderId="39" xfId="0" applyFont="1" applyFill="1" applyBorder="1" applyAlignment="1">
      <alignment horizontal="center" vertical="top" wrapText="1"/>
    </xf>
    <xf numFmtId="0" fontId="4" fillId="6" borderId="40" xfId="0" applyFont="1" applyFill="1" applyBorder="1" applyAlignment="1">
      <alignment horizontal="center" vertical="top" wrapText="1"/>
    </xf>
    <xf numFmtId="0" fontId="4" fillId="6" borderId="41" xfId="0" applyFont="1" applyFill="1" applyBorder="1" applyAlignment="1">
      <alignment horizontal="center" vertical="top" wrapText="1"/>
    </xf>
    <xf numFmtId="15" fontId="4" fillId="6" borderId="26" xfId="0" applyNumberFormat="1" applyFont="1" applyFill="1" applyBorder="1" applyAlignment="1" applyProtection="1">
      <alignment horizontal="center" vertical="top" wrapText="1"/>
      <protection locked="0"/>
    </xf>
    <xf numFmtId="15" fontId="4" fillId="6" borderId="38" xfId="0" applyNumberFormat="1" applyFont="1" applyFill="1" applyBorder="1" applyAlignment="1" applyProtection="1">
      <alignment horizontal="center" vertical="top" wrapText="1"/>
      <protection locked="0"/>
    </xf>
    <xf numFmtId="15" fontId="4" fillId="6" borderId="2" xfId="0" applyNumberFormat="1" applyFont="1" applyFill="1" applyBorder="1" applyAlignment="1" applyProtection="1">
      <alignment horizontal="center" vertical="top" wrapText="1"/>
      <protection locked="0"/>
    </xf>
    <xf numFmtId="15" fontId="4" fillId="6" borderId="12" xfId="0" applyNumberFormat="1" applyFont="1" applyFill="1" applyBorder="1" applyAlignment="1" applyProtection="1">
      <alignment horizontal="center" vertical="top" wrapText="1"/>
      <protection locked="0"/>
    </xf>
    <xf numFmtId="15" fontId="4" fillId="6" borderId="1" xfId="0" applyNumberFormat="1" applyFont="1" applyFill="1" applyBorder="1" applyAlignment="1" applyProtection="1">
      <alignment horizontal="center" vertical="top" wrapText="1"/>
      <protection locked="0"/>
    </xf>
    <xf numFmtId="15" fontId="4" fillId="6" borderId="3" xfId="0" applyNumberFormat="1" applyFont="1" applyFill="1" applyBorder="1" applyAlignment="1" applyProtection="1">
      <alignment horizontal="center" vertical="top" wrapText="1"/>
      <protection locked="0"/>
    </xf>
    <xf numFmtId="167" fontId="4" fillId="6" borderId="26" xfId="0" applyNumberFormat="1" applyFont="1" applyFill="1" applyBorder="1" applyAlignment="1" applyProtection="1">
      <alignment horizontal="center" vertical="top" wrapText="1"/>
      <protection locked="0"/>
    </xf>
    <xf numFmtId="167" fontId="4" fillId="6" borderId="38" xfId="0" applyNumberFormat="1" applyFont="1" applyFill="1" applyBorder="1" applyAlignment="1" applyProtection="1">
      <alignment horizontal="center" vertical="top" wrapText="1"/>
      <protection locked="0"/>
    </xf>
    <xf numFmtId="0" fontId="31" fillId="13" borderId="65" xfId="0" applyFont="1" applyFill="1" applyBorder="1" applyAlignment="1">
      <alignment horizontal="center" vertical="center" textRotation="90" wrapText="1"/>
    </xf>
    <xf numFmtId="0" fontId="31" fillId="13" borderId="36" xfId="0" applyFont="1" applyFill="1" applyBorder="1" applyAlignment="1">
      <alignment horizontal="center" vertical="center" textRotation="90" wrapText="1"/>
    </xf>
    <xf numFmtId="0" fontId="31" fillId="13" borderId="5" xfId="0" applyFont="1" applyFill="1" applyBorder="1" applyAlignment="1">
      <alignment horizontal="center" vertical="center" textRotation="90" wrapText="1"/>
    </xf>
    <xf numFmtId="0" fontId="31" fillId="13" borderId="6" xfId="0" applyFont="1" applyFill="1" applyBorder="1" applyAlignment="1">
      <alignment horizontal="center" vertical="center" textRotation="90" wrapText="1"/>
    </xf>
    <xf numFmtId="0" fontId="31" fillId="13" borderId="53" xfId="0" applyFont="1" applyFill="1" applyBorder="1" applyAlignment="1">
      <alignment horizontal="center" vertical="center" textRotation="90" wrapText="1"/>
    </xf>
    <xf numFmtId="0" fontId="31" fillId="13" borderId="29" xfId="0" applyFont="1" applyFill="1" applyBorder="1" applyAlignment="1">
      <alignment horizontal="center" vertical="center" textRotation="90" wrapText="1"/>
    </xf>
    <xf numFmtId="0" fontId="6" fillId="13" borderId="26" xfId="0" applyFont="1" applyFill="1" applyBorder="1" applyAlignment="1">
      <alignment vertical="top" wrapText="1"/>
    </xf>
    <xf numFmtId="0" fontId="6" fillId="13" borderId="3" xfId="0" applyFont="1" applyFill="1" applyBorder="1" applyAlignment="1">
      <alignment vertical="top" wrapText="1"/>
    </xf>
    <xf numFmtId="1" fontId="4" fillId="6" borderId="26" xfId="0" applyNumberFormat="1" applyFont="1" applyFill="1" applyBorder="1" applyAlignment="1">
      <alignment horizontal="center"/>
    </xf>
    <xf numFmtId="1" fontId="4" fillId="0" borderId="13" xfId="0" applyNumberFormat="1" applyFont="1" applyBorder="1" applyAlignment="1">
      <alignment horizontal="center"/>
    </xf>
    <xf numFmtId="0" fontId="4" fillId="0" borderId="13" xfId="0" applyFont="1" applyBorder="1" applyAlignment="1">
      <alignment horizontal="center"/>
    </xf>
    <xf numFmtId="0" fontId="4" fillId="0" borderId="14" xfId="0" applyFont="1" applyBorder="1" applyAlignment="1">
      <alignment horizontal="center"/>
    </xf>
    <xf numFmtId="1" fontId="4" fillId="6" borderId="42" xfId="0" applyNumberFormat="1" applyFont="1" applyFill="1" applyBorder="1" applyAlignment="1">
      <alignment horizontal="center"/>
    </xf>
    <xf numFmtId="1" fontId="4" fillId="6" borderId="28" xfId="0" applyNumberFormat="1" applyFont="1" applyFill="1" applyBorder="1" applyAlignment="1">
      <alignment horizontal="center"/>
    </xf>
    <xf numFmtId="1" fontId="4" fillId="6" borderId="73" xfId="0" applyNumberFormat="1" applyFont="1" applyFill="1" applyBorder="1" applyAlignment="1">
      <alignment horizontal="center"/>
    </xf>
    <xf numFmtId="1" fontId="4" fillId="6" borderId="54" xfId="0" applyNumberFormat="1" applyFont="1" applyFill="1" applyBorder="1" applyAlignment="1">
      <alignment horizontal="center"/>
    </xf>
    <xf numFmtId="0" fontId="6" fillId="13" borderId="21" xfId="0" applyFont="1" applyFill="1" applyBorder="1" applyAlignment="1">
      <alignment horizontal="left"/>
    </xf>
    <xf numFmtId="0" fontId="6" fillId="13" borderId="3" xfId="0" applyFont="1" applyFill="1" applyBorder="1" applyAlignment="1">
      <alignment horizontal="left"/>
    </xf>
    <xf numFmtId="0" fontId="6" fillId="13" borderId="2" xfId="0" applyFont="1" applyFill="1" applyBorder="1" applyAlignment="1">
      <alignment horizontal="left"/>
    </xf>
    <xf numFmtId="0" fontId="4" fillId="0" borderId="4" xfId="0" applyFont="1" applyBorder="1" applyAlignment="1">
      <alignment horizontal="center"/>
    </xf>
    <xf numFmtId="0" fontId="4" fillId="0" borderId="23" xfId="0" applyFont="1" applyBorder="1" applyAlignment="1">
      <alignment horizontal="center"/>
    </xf>
    <xf numFmtId="15" fontId="4" fillId="6" borderId="2" xfId="0" applyNumberFormat="1" applyFont="1" applyFill="1" applyBorder="1" applyAlignment="1" applyProtection="1">
      <alignment horizontal="center"/>
      <protection locked="0"/>
    </xf>
    <xf numFmtId="15" fontId="4" fillId="6" borderId="12" xfId="0" applyNumberFormat="1" applyFont="1" applyFill="1" applyBorder="1" applyAlignment="1" applyProtection="1">
      <alignment horizontal="center"/>
      <protection locked="0"/>
    </xf>
    <xf numFmtId="0" fontId="4" fillId="6" borderId="7" xfId="0" applyFont="1" applyFill="1" applyBorder="1" applyAlignment="1">
      <alignment horizontal="center"/>
    </xf>
    <xf numFmtId="0" fontId="4" fillId="6" borderId="24" xfId="0" applyFont="1" applyFill="1" applyBorder="1" applyAlignment="1">
      <alignment horizontal="center"/>
    </xf>
    <xf numFmtId="0" fontId="17" fillId="13" borderId="21" xfId="0" applyFont="1" applyFill="1" applyBorder="1" applyAlignment="1">
      <alignment horizontal="left"/>
    </xf>
    <xf numFmtId="0" fontId="17" fillId="13" borderId="3" xfId="0" applyFont="1" applyFill="1" applyBorder="1" applyAlignment="1">
      <alignment horizontal="left"/>
    </xf>
    <xf numFmtId="0" fontId="17" fillId="13" borderId="2" xfId="0" applyFont="1" applyFill="1" applyBorder="1" applyAlignment="1">
      <alignment horizontal="left"/>
    </xf>
    <xf numFmtId="0" fontId="30" fillId="13" borderId="17" xfId="0" applyFont="1" applyFill="1" applyBorder="1" applyAlignment="1">
      <alignment horizontal="center" vertical="center" textRotation="90" wrapText="1"/>
    </xf>
    <xf numFmtId="0" fontId="30" fillId="13" borderId="18" xfId="0" applyFont="1" applyFill="1" applyBorder="1" applyAlignment="1">
      <alignment horizontal="center" vertical="center" textRotation="90" wrapText="1"/>
    </xf>
    <xf numFmtId="0" fontId="8" fillId="13" borderId="17" xfId="0" applyFont="1" applyFill="1" applyBorder="1" applyAlignment="1">
      <alignment horizontal="center" vertical="center" textRotation="90" wrapText="1"/>
    </xf>
    <xf numFmtId="0" fontId="8" fillId="13" borderId="18" xfId="0" applyFont="1" applyFill="1" applyBorder="1" applyAlignment="1">
      <alignment horizontal="center" vertical="center" textRotation="90" wrapText="1"/>
    </xf>
    <xf numFmtId="0" fontId="12" fillId="13" borderId="35" xfId="0" applyFont="1" applyFill="1" applyBorder="1" applyAlignment="1">
      <alignment horizontal="center" vertical="center" textRotation="90" wrapText="1"/>
    </xf>
    <xf numFmtId="0" fontId="17" fillId="12" borderId="50" xfId="0" applyFont="1" applyFill="1" applyBorder="1" applyAlignment="1">
      <alignment vertical="center"/>
    </xf>
    <xf numFmtId="0" fontId="17" fillId="12" borderId="9" xfId="0" applyFont="1" applyFill="1" applyBorder="1" applyAlignment="1">
      <alignment vertical="center"/>
    </xf>
    <xf numFmtId="0" fontId="17" fillId="12" borderId="20" xfId="0" applyFont="1" applyFill="1" applyBorder="1" applyAlignment="1">
      <alignment horizontal="left"/>
    </xf>
    <xf numFmtId="0" fontId="17" fillId="12" borderId="15" xfId="0" applyFont="1" applyFill="1" applyBorder="1" applyAlignment="1">
      <alignment horizontal="left"/>
    </xf>
    <xf numFmtId="0" fontId="17" fillId="0" borderId="52" xfId="0" applyFont="1" applyBorder="1" applyAlignment="1">
      <alignment horizontal="left"/>
    </xf>
    <xf numFmtId="0" fontId="17" fillId="0" borderId="16" xfId="0" applyFont="1" applyBorder="1" applyAlignment="1">
      <alignment horizontal="left"/>
    </xf>
    <xf numFmtId="0" fontId="17" fillId="12" borderId="20" xfId="0" applyFont="1" applyFill="1" applyBorder="1" applyAlignment="1">
      <alignment horizontal="left" vertical="center"/>
    </xf>
    <xf numFmtId="0" fontId="17" fillId="13" borderId="20" xfId="0" applyFont="1" applyFill="1" applyBorder="1" applyAlignment="1">
      <alignment horizontal="left"/>
    </xf>
    <xf numFmtId="0" fontId="17" fillId="13" borderId="40" xfId="0" applyFont="1" applyFill="1" applyBorder="1" applyAlignment="1">
      <alignment horizontal="left"/>
    </xf>
    <xf numFmtId="0" fontId="17" fillId="13" borderId="15" xfId="0" applyFont="1" applyFill="1" applyBorder="1" applyAlignment="1">
      <alignment horizontal="left"/>
    </xf>
    <xf numFmtId="0" fontId="30" fillId="13" borderId="30" xfId="0" applyFont="1" applyFill="1" applyBorder="1" applyAlignment="1">
      <alignment horizontal="center" vertical="center" wrapText="1"/>
    </xf>
    <xf numFmtId="0" fontId="30" fillId="13" borderId="11" xfId="0" applyFont="1" applyFill="1" applyBorder="1" applyAlignment="1">
      <alignment horizontal="center" vertical="center" wrapText="1"/>
    </xf>
    <xf numFmtId="0" fontId="30" fillId="13" borderId="21" xfId="0" applyFont="1" applyFill="1" applyBorder="1" applyAlignment="1">
      <alignment horizontal="center" vertical="center" wrapText="1"/>
    </xf>
    <xf numFmtId="0" fontId="30" fillId="13" borderId="12" xfId="0" applyFont="1" applyFill="1" applyBorder="1" applyAlignment="1">
      <alignment horizontal="center" vertical="center" wrapText="1"/>
    </xf>
    <xf numFmtId="0" fontId="30" fillId="13" borderId="25" xfId="0" applyFont="1" applyFill="1" applyBorder="1" applyAlignment="1">
      <alignment horizontal="center" vertical="center" wrapText="1"/>
    </xf>
    <xf numFmtId="0" fontId="30" fillId="13" borderId="14" xfId="0" applyFont="1" applyFill="1" applyBorder="1" applyAlignment="1">
      <alignment horizontal="center" vertical="center" wrapText="1"/>
    </xf>
    <xf numFmtId="0" fontId="17" fillId="12" borderId="20" xfId="0" applyFont="1" applyFill="1" applyBorder="1" applyAlignment="1">
      <alignment horizontal="center" vertical="center"/>
    </xf>
    <xf numFmtId="0" fontId="17" fillId="12" borderId="15" xfId="0" applyFont="1" applyFill="1" applyBorder="1" applyAlignment="1">
      <alignment horizontal="center" vertical="center"/>
    </xf>
    <xf numFmtId="0" fontId="17" fillId="12" borderId="32" xfId="0" applyFont="1" applyFill="1" applyBorder="1" applyAlignment="1">
      <alignment horizontal="center" vertical="center"/>
    </xf>
    <xf numFmtId="0" fontId="17" fillId="12" borderId="65" xfId="0" applyFont="1" applyFill="1" applyBorder="1" applyAlignment="1">
      <alignment horizontal="center" vertical="center"/>
    </xf>
    <xf numFmtId="0" fontId="17" fillId="12" borderId="36" xfId="0" applyFont="1" applyFill="1" applyBorder="1" applyAlignment="1">
      <alignment horizontal="center" vertical="center"/>
    </xf>
    <xf numFmtId="0" fontId="17" fillId="13" borderId="22" xfId="0" applyFont="1" applyFill="1" applyBorder="1" applyAlignment="1">
      <alignment horizontal="left"/>
    </xf>
    <xf numFmtId="0" fontId="17" fillId="13" borderId="36" xfId="0" applyFont="1" applyFill="1" applyBorder="1" applyAlignment="1">
      <alignment horizontal="left"/>
    </xf>
    <xf numFmtId="0" fontId="30" fillId="13" borderId="19" xfId="0" applyFont="1" applyFill="1" applyBorder="1" applyAlignment="1">
      <alignment horizontal="center" vertical="center" textRotation="90" wrapText="1"/>
    </xf>
    <xf numFmtId="0" fontId="12" fillId="13" borderId="17" xfId="0" applyFont="1" applyFill="1" applyBorder="1" applyAlignment="1">
      <alignment horizontal="center" vertical="center" textRotation="90" wrapText="1"/>
    </xf>
    <xf numFmtId="0" fontId="12" fillId="13" borderId="18" xfId="0" applyFont="1" applyFill="1" applyBorder="1" applyAlignment="1">
      <alignment horizontal="center" vertical="center" textRotation="90" wrapText="1"/>
    </xf>
    <xf numFmtId="0" fontId="12" fillId="13" borderId="19" xfId="0" applyFont="1" applyFill="1" applyBorder="1" applyAlignment="1">
      <alignment horizontal="center" vertical="center" textRotation="90" wrapText="1"/>
    </xf>
    <xf numFmtId="0" fontId="17" fillId="12" borderId="20" xfId="0" applyFont="1" applyFill="1" applyBorder="1" applyAlignment="1">
      <alignment vertical="center"/>
    </xf>
    <xf numFmtId="0" fontId="17" fillId="12" borderId="15" xfId="0" applyFont="1" applyFill="1" applyBorder="1" applyAlignment="1">
      <alignment vertical="center"/>
    </xf>
    <xf numFmtId="0" fontId="30" fillId="13" borderId="66" xfId="0" applyFont="1" applyFill="1" applyBorder="1" applyAlignment="1">
      <alignment horizontal="center" vertical="center" wrapText="1"/>
    </xf>
    <xf numFmtId="0" fontId="30" fillId="13" borderId="69" xfId="0" applyFont="1" applyFill="1" applyBorder="1" applyAlignment="1">
      <alignment horizontal="center" vertical="center" wrapText="1"/>
    </xf>
    <xf numFmtId="0" fontId="30" fillId="13" borderId="5" xfId="0" applyFont="1" applyFill="1" applyBorder="1" applyAlignment="1">
      <alignment horizontal="center" vertical="center" wrapText="1"/>
    </xf>
    <xf numFmtId="0" fontId="30" fillId="13" borderId="70" xfId="0" applyFont="1" applyFill="1" applyBorder="1" applyAlignment="1">
      <alignment horizontal="center" vertical="center" wrapText="1"/>
    </xf>
    <xf numFmtId="0" fontId="30" fillId="13" borderId="67" xfId="0" applyFont="1" applyFill="1" applyBorder="1" applyAlignment="1">
      <alignment horizontal="center" vertical="center" wrapText="1"/>
    </xf>
    <xf numFmtId="0" fontId="30" fillId="13" borderId="71" xfId="0" applyFont="1" applyFill="1" applyBorder="1" applyAlignment="1">
      <alignment horizontal="center" vertical="center" wrapText="1"/>
    </xf>
    <xf numFmtId="0" fontId="30" fillId="13" borderId="66" xfId="0" applyFont="1" applyFill="1" applyBorder="1" applyAlignment="1">
      <alignment horizontal="center" vertical="center" textRotation="90" wrapText="1"/>
    </xf>
    <xf numFmtId="0" fontId="30" fillId="13" borderId="69" xfId="0" applyFont="1" applyFill="1" applyBorder="1" applyAlignment="1">
      <alignment horizontal="center" vertical="center" textRotation="90" wrapText="1"/>
    </xf>
    <xf numFmtId="0" fontId="30" fillId="13" borderId="5" xfId="0" applyFont="1" applyFill="1" applyBorder="1" applyAlignment="1">
      <alignment horizontal="center" vertical="center" textRotation="90" wrapText="1"/>
    </xf>
    <xf numFmtId="0" fontId="30" fillId="13" borderId="70" xfId="0" applyFont="1" applyFill="1" applyBorder="1" applyAlignment="1">
      <alignment horizontal="center" vertical="center" textRotation="90" wrapText="1"/>
    </xf>
    <xf numFmtId="0" fontId="30" fillId="13" borderId="67" xfId="0" applyFont="1" applyFill="1" applyBorder="1" applyAlignment="1">
      <alignment horizontal="center" vertical="center" textRotation="90" wrapText="1"/>
    </xf>
    <xf numFmtId="0" fontId="30" fillId="13" borderId="71" xfId="0" applyFont="1" applyFill="1" applyBorder="1" applyAlignment="1">
      <alignment horizontal="center" vertical="center" textRotation="90" wrapText="1"/>
    </xf>
    <xf numFmtId="0" fontId="17" fillId="13" borderId="25" xfId="0" applyFont="1" applyFill="1" applyBorder="1" applyAlignment="1">
      <alignment horizontal="left" vertical="top"/>
    </xf>
    <xf numFmtId="0" fontId="17" fillId="13" borderId="13" xfId="0" applyFont="1" applyFill="1" applyBorder="1" applyAlignment="1">
      <alignment horizontal="left" vertical="top"/>
    </xf>
    <xf numFmtId="0" fontId="17" fillId="13" borderId="5" xfId="0" applyFont="1" applyFill="1" applyBorder="1" applyAlignment="1">
      <alignment horizontal="left"/>
    </xf>
    <xf numFmtId="0" fontId="17" fillId="13" borderId="0" xfId="0" applyFont="1" applyFill="1" applyAlignment="1">
      <alignment horizontal="left"/>
    </xf>
    <xf numFmtId="0" fontId="17" fillId="13" borderId="6" xfId="0" applyFont="1" applyFill="1" applyBorder="1" applyAlignment="1">
      <alignment horizontal="left"/>
    </xf>
    <xf numFmtId="0" fontId="32" fillId="13" borderId="17" xfId="0" applyFont="1" applyFill="1" applyBorder="1" applyAlignment="1">
      <alignment horizontal="center" vertical="center" textRotation="90" wrapText="1"/>
    </xf>
    <xf numFmtId="0" fontId="32" fillId="13" borderId="18" xfId="0" applyFont="1" applyFill="1" applyBorder="1" applyAlignment="1">
      <alignment horizontal="center" vertical="center" textRotation="90" wrapText="1"/>
    </xf>
    <xf numFmtId="0" fontId="32" fillId="13" borderId="19" xfId="0" applyFont="1" applyFill="1" applyBorder="1" applyAlignment="1">
      <alignment horizontal="center" vertical="center" textRotation="90" wrapText="1"/>
    </xf>
    <xf numFmtId="0" fontId="6" fillId="13" borderId="3" xfId="0" applyFont="1" applyFill="1" applyBorder="1"/>
    <xf numFmtId="0" fontId="6" fillId="13" borderId="2" xfId="0" applyFont="1" applyFill="1" applyBorder="1"/>
    <xf numFmtId="0" fontId="4" fillId="6" borderId="13" xfId="0" applyFont="1" applyFill="1" applyBorder="1" applyAlignment="1">
      <alignment horizontal="center" vertical="top" wrapText="1"/>
    </xf>
    <xf numFmtId="0" fontId="4" fillId="6" borderId="14" xfId="0" applyFont="1" applyFill="1" applyBorder="1" applyAlignment="1">
      <alignment horizontal="center" vertical="top" wrapText="1"/>
    </xf>
    <xf numFmtId="15" fontId="4" fillId="6" borderId="7" xfId="0" applyNumberFormat="1" applyFont="1" applyFill="1" applyBorder="1" applyAlignment="1">
      <alignment horizontal="center"/>
    </xf>
    <xf numFmtId="15" fontId="4" fillId="6" borderId="24" xfId="0" applyNumberFormat="1" applyFont="1" applyFill="1" applyBorder="1" applyAlignment="1">
      <alignment horizontal="center"/>
    </xf>
    <xf numFmtId="15" fontId="4" fillId="6" borderId="2" xfId="0" applyNumberFormat="1" applyFont="1" applyFill="1" applyBorder="1" applyAlignment="1">
      <alignment horizontal="center"/>
    </xf>
    <xf numFmtId="15" fontId="4" fillId="6" borderId="12" xfId="0" applyNumberFormat="1" applyFont="1" applyFill="1" applyBorder="1" applyAlignment="1">
      <alignment horizontal="center"/>
    </xf>
    <xf numFmtId="15" fontId="4" fillId="6" borderId="13" xfId="0" applyNumberFormat="1" applyFont="1" applyFill="1" applyBorder="1" applyAlignment="1">
      <alignment horizontal="center"/>
    </xf>
    <xf numFmtId="15" fontId="4" fillId="6" borderId="14" xfId="0" applyNumberFormat="1" applyFont="1" applyFill="1" applyBorder="1" applyAlignment="1">
      <alignment horizontal="center"/>
    </xf>
    <xf numFmtId="0" fontId="4" fillId="6" borderId="86" xfId="0" applyFont="1" applyFill="1" applyBorder="1" applyAlignment="1" applyProtection="1">
      <alignment horizontal="center"/>
      <protection locked="0"/>
    </xf>
    <xf numFmtId="0" fontId="4" fillId="6" borderId="87" xfId="0" applyFont="1" applyFill="1" applyBorder="1" applyAlignment="1" applyProtection="1">
      <alignment horizontal="center"/>
      <protection locked="0"/>
    </xf>
    <xf numFmtId="0" fontId="4" fillId="6" borderId="69" xfId="0" applyFont="1" applyFill="1" applyBorder="1" applyAlignment="1" applyProtection="1">
      <alignment horizontal="center"/>
      <protection locked="0"/>
    </xf>
    <xf numFmtId="0" fontId="12" fillId="13" borderId="5" xfId="0" applyFont="1" applyFill="1" applyBorder="1" applyAlignment="1">
      <alignment horizontal="center" vertical="center" textRotation="90" wrapText="1"/>
    </xf>
    <xf numFmtId="0" fontId="6" fillId="0" borderId="0" xfId="0" applyFont="1" applyAlignment="1">
      <alignment horizontal="center"/>
    </xf>
    <xf numFmtId="167" fontId="4" fillId="6" borderId="26" xfId="0" applyNumberFormat="1" applyFont="1" applyFill="1" applyBorder="1" applyAlignment="1" applyProtection="1">
      <alignment horizontal="center"/>
      <protection locked="0"/>
    </xf>
    <xf numFmtId="167" fontId="4" fillId="6" borderId="1" xfId="0" applyNumberFormat="1" applyFont="1" applyFill="1" applyBorder="1" applyAlignment="1" applyProtection="1">
      <alignment horizontal="center"/>
      <protection locked="0"/>
    </xf>
    <xf numFmtId="167" fontId="4" fillId="6" borderId="38" xfId="0" applyNumberFormat="1" applyFont="1" applyFill="1" applyBorder="1" applyAlignment="1" applyProtection="1">
      <alignment horizontal="center"/>
      <protection locked="0"/>
    </xf>
    <xf numFmtId="0" fontId="4" fillId="6" borderId="38" xfId="0" applyFont="1" applyFill="1" applyBorder="1" applyAlignment="1" applyProtection="1">
      <alignment horizontal="center"/>
      <protection locked="0"/>
    </xf>
    <xf numFmtId="0" fontId="6" fillId="13" borderId="20" xfId="0" applyFont="1" applyFill="1" applyBorder="1" applyAlignment="1">
      <alignment vertical="center"/>
    </xf>
    <xf numFmtId="0" fontId="6" fillId="13" borderId="40" xfId="0" applyFont="1" applyFill="1" applyBorder="1" applyAlignment="1">
      <alignment vertical="center"/>
    </xf>
    <xf numFmtId="0" fontId="6" fillId="13" borderId="15" xfId="0" applyFont="1" applyFill="1" applyBorder="1" applyAlignment="1">
      <alignment vertical="center"/>
    </xf>
    <xf numFmtId="0" fontId="25" fillId="13" borderId="32" xfId="0" applyFont="1" applyFill="1" applyBorder="1" applyAlignment="1">
      <alignment horizontal="left"/>
    </xf>
    <xf numFmtId="0" fontId="25" fillId="13" borderId="1" xfId="0" applyFont="1" applyFill="1" applyBorder="1" applyAlignment="1">
      <alignment horizontal="left"/>
    </xf>
    <xf numFmtId="0" fontId="25" fillId="13" borderId="3" xfId="0" applyFont="1" applyFill="1" applyBorder="1" applyAlignment="1">
      <alignment horizontal="left"/>
    </xf>
    <xf numFmtId="0" fontId="6" fillId="13" borderId="21" xfId="0" applyFont="1" applyFill="1" applyBorder="1" applyAlignment="1">
      <alignment vertical="center"/>
    </xf>
    <xf numFmtId="0" fontId="6" fillId="13" borderId="3" xfId="0" applyFont="1" applyFill="1" applyBorder="1" applyAlignment="1">
      <alignment vertical="center"/>
    </xf>
    <xf numFmtId="0" fontId="6" fillId="13" borderId="2" xfId="0" applyFont="1" applyFill="1" applyBorder="1" applyAlignment="1">
      <alignment vertical="center"/>
    </xf>
    <xf numFmtId="0" fontId="4" fillId="6" borderId="2" xfId="0" applyFont="1" applyFill="1" applyBorder="1" applyAlignment="1" applyProtection="1">
      <alignment horizontal="center" wrapText="1"/>
      <protection locked="0"/>
    </xf>
    <xf numFmtId="0" fontId="4" fillId="6" borderId="12" xfId="0" applyFont="1" applyFill="1" applyBorder="1" applyAlignment="1" applyProtection="1">
      <alignment horizontal="center" wrapText="1"/>
      <protection locked="0"/>
    </xf>
    <xf numFmtId="0" fontId="4" fillId="6" borderId="12" xfId="0" applyFont="1" applyFill="1" applyBorder="1" applyAlignment="1" applyProtection="1">
      <alignment horizontal="center"/>
      <protection locked="0"/>
    </xf>
    <xf numFmtId="0" fontId="6" fillId="13" borderId="32" xfId="0" applyFont="1" applyFill="1" applyBorder="1" applyAlignment="1">
      <alignment horizontal="left"/>
    </xf>
    <xf numFmtId="0" fontId="6" fillId="13" borderId="1" xfId="0" applyFont="1" applyFill="1" applyBorder="1" applyAlignment="1">
      <alignment horizontal="left"/>
    </xf>
    <xf numFmtId="0" fontId="30" fillId="13" borderId="22" xfId="0" applyFont="1" applyFill="1" applyBorder="1" applyAlignment="1">
      <alignment horizontal="center" vertical="center" textRotation="90"/>
    </xf>
    <xf numFmtId="0" fontId="30" fillId="13" borderId="49" xfId="0" applyFont="1" applyFill="1" applyBorder="1" applyAlignment="1">
      <alignment horizontal="center" vertical="center" textRotation="90"/>
    </xf>
    <xf numFmtId="0" fontId="30" fillId="13" borderId="37" xfId="0" applyFont="1" applyFill="1" applyBorder="1" applyAlignment="1">
      <alignment horizontal="center" vertical="center" textRotation="90"/>
    </xf>
    <xf numFmtId="0" fontId="45" fillId="13" borderId="86" xfId="0" applyFont="1" applyFill="1" applyBorder="1" applyAlignment="1">
      <alignment horizontal="center" vertical="top"/>
    </xf>
    <xf numFmtId="0" fontId="45" fillId="13" borderId="87" xfId="0" applyFont="1" applyFill="1" applyBorder="1" applyAlignment="1">
      <alignment horizontal="center" vertical="top"/>
    </xf>
    <xf numFmtId="0" fontId="45" fillId="13" borderId="102" xfId="0" applyFont="1" applyFill="1" applyBorder="1" applyAlignment="1">
      <alignment horizontal="center" vertical="top"/>
    </xf>
    <xf numFmtId="0" fontId="44" fillId="0" borderId="56" xfId="0" applyFont="1" applyBorder="1" applyAlignment="1">
      <alignment horizontal="left" wrapText="1"/>
    </xf>
    <xf numFmtId="0" fontId="6" fillId="13" borderId="26" xfId="0" applyFont="1" applyFill="1" applyBorder="1" applyAlignment="1">
      <alignment horizontal="right"/>
    </xf>
    <xf numFmtId="0" fontId="6" fillId="13" borderId="1" xfId="0" applyFont="1" applyFill="1" applyBorder="1" applyAlignment="1">
      <alignment horizontal="right"/>
    </xf>
    <xf numFmtId="0" fontId="6" fillId="13" borderId="3" xfId="0" applyFont="1" applyFill="1" applyBorder="1" applyAlignment="1">
      <alignment horizontal="right"/>
    </xf>
    <xf numFmtId="0" fontId="25" fillId="13" borderId="26" xfId="0" applyFont="1" applyFill="1" applyBorder="1" applyAlignment="1">
      <alignment horizontal="right" vertical="center"/>
    </xf>
    <xf numFmtId="0" fontId="25" fillId="13" borderId="1" xfId="0" applyFont="1" applyFill="1" applyBorder="1" applyAlignment="1">
      <alignment horizontal="right" vertical="center"/>
    </xf>
    <xf numFmtId="0" fontId="25" fillId="13" borderId="3" xfId="0" applyFont="1" applyFill="1" applyBorder="1" applyAlignment="1">
      <alignment horizontal="right" vertical="center"/>
    </xf>
    <xf numFmtId="0" fontId="25" fillId="13" borderId="42" xfId="0" applyFont="1" applyFill="1" applyBorder="1" applyAlignment="1">
      <alignment horizontal="right" vertical="center"/>
    </xf>
    <xf numFmtId="0" fontId="25" fillId="13" borderId="43" xfId="0" applyFont="1" applyFill="1" applyBorder="1" applyAlignment="1">
      <alignment horizontal="right" vertical="center"/>
    </xf>
    <xf numFmtId="0" fontId="25" fillId="13" borderId="16" xfId="0" applyFont="1" applyFill="1" applyBorder="1" applyAlignment="1">
      <alignment horizontal="right" vertical="center"/>
    </xf>
    <xf numFmtId="0" fontId="53" fillId="0" borderId="0" xfId="0" applyFont="1" applyAlignment="1">
      <alignment horizontal="center" vertical="center"/>
    </xf>
    <xf numFmtId="0" fontId="6" fillId="13" borderId="20" xfId="0" applyFont="1" applyFill="1" applyBorder="1" applyAlignment="1">
      <alignment horizontal="right" vertical="center"/>
    </xf>
    <xf numFmtId="0" fontId="6" fillId="13" borderId="40" xfId="0" applyFont="1" applyFill="1" applyBorder="1" applyAlignment="1">
      <alignment horizontal="right" vertical="center"/>
    </xf>
    <xf numFmtId="0" fontId="6" fillId="13" borderId="15" xfId="0" applyFont="1" applyFill="1" applyBorder="1" applyAlignment="1">
      <alignment horizontal="right" vertical="center"/>
    </xf>
    <xf numFmtId="0" fontId="6" fillId="13" borderId="21" xfId="0" applyFont="1" applyFill="1" applyBorder="1" applyAlignment="1">
      <alignment horizontal="right" vertical="center"/>
    </xf>
    <xf numFmtId="0" fontId="6" fillId="13" borderId="3" xfId="0" applyFont="1" applyFill="1" applyBorder="1" applyAlignment="1">
      <alignment horizontal="right" vertical="center"/>
    </xf>
    <xf numFmtId="0" fontId="6" fillId="13" borderId="2" xfId="0" applyFont="1" applyFill="1" applyBorder="1" applyAlignment="1">
      <alignment horizontal="right" vertical="center"/>
    </xf>
    <xf numFmtId="0" fontId="44" fillId="0" borderId="0" xfId="0" applyFont="1" applyAlignment="1">
      <alignment horizontal="left" wrapText="1"/>
    </xf>
    <xf numFmtId="49" fontId="4" fillId="6" borderId="26" xfId="0" applyNumberFormat="1" applyFont="1" applyFill="1" applyBorder="1" applyAlignment="1" applyProtection="1">
      <alignment horizontal="center"/>
      <protection locked="0"/>
    </xf>
    <xf numFmtId="49" fontId="4" fillId="6" borderId="1" xfId="0" applyNumberFormat="1" applyFont="1" applyFill="1" applyBorder="1" applyAlignment="1" applyProtection="1">
      <alignment horizontal="center"/>
      <protection locked="0"/>
    </xf>
    <xf numFmtId="49" fontId="4" fillId="6" borderId="38" xfId="0" applyNumberFormat="1" applyFont="1" applyFill="1" applyBorder="1" applyAlignment="1" applyProtection="1">
      <alignment horizontal="center"/>
      <protection locked="0"/>
    </xf>
    <xf numFmtId="0" fontId="0" fillId="0" borderId="104" xfId="0" applyBorder="1" applyAlignment="1">
      <alignment horizontal="center" wrapText="1"/>
    </xf>
    <xf numFmtId="0" fontId="0" fillId="0" borderId="101" xfId="0" applyBorder="1" applyAlignment="1">
      <alignment horizontal="center" wrapText="1"/>
    </xf>
    <xf numFmtId="0" fontId="43" fillId="0" borderId="104" xfId="0" applyFont="1" applyBorder="1" applyAlignment="1">
      <alignment horizontal="left" vertical="center" wrapText="1"/>
    </xf>
    <xf numFmtId="0" fontId="43" fillId="0" borderId="101" xfId="0" applyFont="1" applyBorder="1" applyAlignment="1">
      <alignment horizontal="left" vertical="center" wrapText="1"/>
    </xf>
    <xf numFmtId="0" fontId="30" fillId="13" borderId="22" xfId="0" applyFont="1" applyFill="1" applyBorder="1" applyAlignment="1">
      <alignment horizontal="center" vertical="center" wrapText="1"/>
    </xf>
    <xf numFmtId="0" fontId="30" fillId="13" borderId="49" xfId="0" applyFont="1" applyFill="1" applyBorder="1" applyAlignment="1">
      <alignment horizontal="center" vertical="center" wrapText="1"/>
    </xf>
    <xf numFmtId="0" fontId="30" fillId="13" borderId="37" xfId="0" applyFont="1" applyFill="1" applyBorder="1" applyAlignment="1">
      <alignment horizontal="center" vertical="center" wrapText="1"/>
    </xf>
    <xf numFmtId="15" fontId="4" fillId="6" borderId="26" xfId="0" applyNumberFormat="1" applyFont="1" applyFill="1" applyBorder="1" applyAlignment="1">
      <alignment horizontal="center"/>
    </xf>
    <xf numFmtId="15" fontId="4" fillId="6" borderId="1" xfId="0" applyNumberFormat="1" applyFont="1" applyFill="1" applyBorder="1" applyAlignment="1">
      <alignment horizontal="center"/>
    </xf>
    <xf numFmtId="15" fontId="4" fillId="6" borderId="38" xfId="0" applyNumberFormat="1" applyFont="1" applyFill="1" applyBorder="1" applyAlignment="1">
      <alignment horizontal="center"/>
    </xf>
    <xf numFmtId="15" fontId="11" fillId="6" borderId="26" xfId="0" applyNumberFormat="1" applyFont="1" applyFill="1" applyBorder="1" applyAlignment="1" applyProtection="1">
      <alignment horizontal="center"/>
      <protection hidden="1"/>
    </xf>
    <xf numFmtId="15" fontId="11" fillId="6" borderId="1" xfId="0" applyNumberFormat="1" applyFont="1" applyFill="1" applyBorder="1" applyAlignment="1" applyProtection="1">
      <alignment horizontal="center"/>
      <protection hidden="1"/>
    </xf>
    <xf numFmtId="15" fontId="11" fillId="6" borderId="38" xfId="0" applyNumberFormat="1" applyFont="1" applyFill="1" applyBorder="1" applyAlignment="1" applyProtection="1">
      <alignment horizontal="center"/>
      <protection hidden="1"/>
    </xf>
    <xf numFmtId="15" fontId="4" fillId="6" borderId="42" xfId="0" applyNumberFormat="1" applyFont="1" applyFill="1" applyBorder="1" applyAlignment="1">
      <alignment horizontal="center"/>
    </xf>
    <xf numFmtId="15" fontId="4" fillId="6" borderId="43" xfId="0" applyNumberFormat="1" applyFont="1" applyFill="1" applyBorder="1" applyAlignment="1">
      <alignment horizontal="center"/>
    </xf>
    <xf numFmtId="15" fontId="4" fillId="6" borderId="44" xfId="0" applyNumberFormat="1" applyFont="1" applyFill="1" applyBorder="1" applyAlignment="1">
      <alignment horizontal="center"/>
    </xf>
    <xf numFmtId="0" fontId="30" fillId="13" borderId="48" xfId="0" applyFont="1" applyFill="1" applyBorder="1" applyAlignment="1">
      <alignment horizontal="center" vertical="center" wrapText="1"/>
    </xf>
    <xf numFmtId="0" fontId="30" fillId="13" borderId="45" xfId="0" applyFont="1" applyFill="1" applyBorder="1" applyAlignment="1">
      <alignment horizontal="center" vertical="center" wrapText="1"/>
    </xf>
    <xf numFmtId="165" fontId="2" fillId="25" borderId="33" xfId="0" applyNumberFormat="1" applyFont="1" applyFill="1" applyBorder="1" applyAlignment="1">
      <alignment horizontal="center" vertical="center" wrapText="1"/>
    </xf>
    <xf numFmtId="165" fontId="2" fillId="25" borderId="57" xfId="0" applyNumberFormat="1" applyFont="1" applyFill="1" applyBorder="1" applyAlignment="1">
      <alignment horizontal="center" vertical="center" wrapText="1"/>
    </xf>
    <xf numFmtId="165" fontId="2" fillId="25" borderId="9" xfId="0" applyNumberFormat="1" applyFont="1" applyFill="1" applyBorder="1" applyAlignment="1">
      <alignment horizontal="center" vertical="center" wrapText="1"/>
    </xf>
    <xf numFmtId="0" fontId="2" fillId="21" borderId="33" xfId="0" applyFont="1" applyFill="1" applyBorder="1" applyAlignment="1" applyProtection="1">
      <alignment horizontal="center" vertical="center" wrapText="1"/>
      <protection locked="0"/>
    </xf>
    <xf numFmtId="0" fontId="2" fillId="21" borderId="57" xfId="0" applyFont="1" applyFill="1" applyBorder="1" applyAlignment="1" applyProtection="1">
      <alignment horizontal="center" vertical="center" wrapText="1"/>
      <protection locked="0"/>
    </xf>
    <xf numFmtId="0" fontId="2" fillId="21" borderId="9" xfId="0" applyFont="1" applyFill="1" applyBorder="1" applyAlignment="1" applyProtection="1">
      <alignment horizontal="center" vertical="center" wrapText="1"/>
      <protection locked="0"/>
    </xf>
    <xf numFmtId="165" fontId="9" fillId="3" borderId="50" xfId="0" applyNumberFormat="1" applyFont="1" applyFill="1" applyBorder="1" applyAlignment="1" applyProtection="1">
      <alignment horizontal="center" wrapText="1"/>
      <protection locked="0"/>
    </xf>
    <xf numFmtId="165" fontId="2" fillId="3" borderId="51" xfId="0" applyNumberFormat="1" applyFont="1" applyFill="1" applyBorder="1" applyAlignment="1" applyProtection="1">
      <alignment horizontal="center" wrapText="1"/>
      <protection locked="0"/>
    </xf>
    <xf numFmtId="167" fontId="35" fillId="0" borderId="48" xfId="0" applyNumberFormat="1" applyFont="1" applyBorder="1" applyAlignment="1">
      <alignment horizontal="center" vertical="center" wrapText="1"/>
    </xf>
    <xf numFmtId="167" fontId="35" fillId="0" borderId="49" xfId="0" applyNumberFormat="1" applyFont="1" applyBorder="1" applyAlignment="1">
      <alignment horizontal="center" vertical="center" wrapText="1"/>
    </xf>
    <xf numFmtId="167" fontId="35" fillId="0" borderId="45" xfId="0" applyNumberFormat="1" applyFont="1" applyBorder="1" applyAlignment="1">
      <alignment horizontal="center" vertical="center" wrapText="1"/>
    </xf>
    <xf numFmtId="0" fontId="36" fillId="3" borderId="67" xfId="0" applyFont="1" applyFill="1" applyBorder="1" applyAlignment="1">
      <alignment horizontal="left" vertical="center" wrapText="1"/>
    </xf>
    <xf numFmtId="0" fontId="36" fillId="3" borderId="71" xfId="0" applyFont="1" applyFill="1" applyBorder="1" applyAlignment="1">
      <alignment horizontal="left" vertical="center" wrapText="1"/>
    </xf>
    <xf numFmtId="0" fontId="36" fillId="3" borderId="50" xfId="0" applyFont="1" applyFill="1" applyBorder="1" applyAlignment="1">
      <alignment horizontal="center" vertical="center" wrapText="1"/>
    </xf>
    <xf numFmtId="0" fontId="36" fillId="3" borderId="51" xfId="0" applyFont="1" applyFill="1" applyBorder="1" applyAlignment="1">
      <alignment horizontal="center" vertical="center" wrapText="1"/>
    </xf>
    <xf numFmtId="1" fontId="9" fillId="3" borderId="50" xfId="0" applyNumberFormat="1" applyFont="1" applyFill="1" applyBorder="1" applyAlignment="1" applyProtection="1">
      <alignment horizontal="center" wrapText="1"/>
      <protection locked="0"/>
    </xf>
    <xf numFmtId="1" fontId="2" fillId="3" borderId="57" xfId="0" applyNumberFormat="1" applyFont="1" applyFill="1" applyBorder="1" applyAlignment="1" applyProtection="1">
      <alignment horizontal="center" wrapText="1"/>
      <protection locked="0"/>
    </xf>
    <xf numFmtId="1" fontId="2" fillId="3" borderId="51" xfId="0" applyNumberFormat="1" applyFont="1" applyFill="1" applyBorder="1" applyAlignment="1" applyProtection="1">
      <alignment horizontal="center" wrapText="1"/>
      <protection locked="0"/>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29" fillId="0" borderId="74" xfId="0" applyFont="1" applyBorder="1" applyAlignment="1">
      <alignment horizontal="center" vertical="center" wrapText="1"/>
    </xf>
    <xf numFmtId="0" fontId="0" fillId="0" borderId="115" xfId="0" applyBorder="1" applyAlignment="1">
      <alignment horizontal="center" wrapText="1"/>
    </xf>
    <xf numFmtId="0" fontId="0" fillId="0" borderId="116" xfId="0" applyBorder="1" applyAlignment="1">
      <alignment horizontal="center" wrapText="1"/>
    </xf>
    <xf numFmtId="0" fontId="0" fillId="0" borderId="81" xfId="0" applyBorder="1" applyAlignment="1">
      <alignment horizontal="center" wrapText="1"/>
    </xf>
    <xf numFmtId="0" fontId="29" fillId="0" borderId="74" xfId="0" applyFont="1" applyBorder="1" applyAlignment="1">
      <alignment horizontal="center" wrapText="1"/>
    </xf>
    <xf numFmtId="0" fontId="33" fillId="0" borderId="75" xfId="0" applyFont="1" applyBorder="1" applyAlignment="1">
      <alignment horizontal="center" wrapText="1"/>
    </xf>
    <xf numFmtId="0" fontId="33" fillId="0" borderId="76" xfId="0" applyFont="1" applyBorder="1" applyAlignment="1">
      <alignment horizontal="center" wrapText="1"/>
    </xf>
    <xf numFmtId="0" fontId="0" fillId="0" borderId="84" xfId="0" applyBorder="1" applyAlignment="1">
      <alignment horizontal="right" vertical="center" wrapText="1"/>
    </xf>
    <xf numFmtId="0" fontId="0" fillId="0" borderId="117" xfId="0" applyBorder="1" applyAlignment="1">
      <alignment horizontal="right" vertical="center" wrapText="1"/>
    </xf>
    <xf numFmtId="0" fontId="0" fillId="0" borderId="85" xfId="0" applyBorder="1" applyAlignment="1">
      <alignment horizontal="right" vertical="center" wrapText="1"/>
    </xf>
    <xf numFmtId="0" fontId="0" fillId="0" borderId="82" xfId="0" applyBorder="1" applyAlignment="1">
      <alignment horizontal="center" vertical="center" wrapText="1"/>
    </xf>
    <xf numFmtId="0" fontId="0" fillId="0" borderId="118" xfId="0" applyBorder="1" applyAlignment="1">
      <alignment horizontal="center" vertical="center" wrapText="1"/>
    </xf>
    <xf numFmtId="0" fontId="0" fillId="0" borderId="83" xfId="0" applyBorder="1" applyAlignment="1">
      <alignment horizontal="center" vertical="center" wrapText="1"/>
    </xf>
    <xf numFmtId="0" fontId="4" fillId="27" borderId="2" xfId="0" applyFont="1" applyFill="1" applyBorder="1" applyAlignment="1">
      <alignment horizontal="center"/>
    </xf>
    <xf numFmtId="0" fontId="4" fillId="28" borderId="2" xfId="0" applyFont="1" applyFill="1" applyBorder="1" applyAlignment="1">
      <alignment horizontal="center"/>
    </xf>
    <xf numFmtId="0" fontId="4" fillId="29" borderId="26" xfId="0" applyFont="1" applyFill="1" applyBorder="1" applyAlignment="1">
      <alignment horizontal="center"/>
    </xf>
    <xf numFmtId="0" fontId="4" fillId="29" borderId="1" xfId="0" applyFont="1" applyFill="1" applyBorder="1" applyAlignment="1">
      <alignment horizontal="center"/>
    </xf>
    <xf numFmtId="0" fontId="4" fillId="29" borderId="3" xfId="0" applyFont="1" applyFill="1" applyBorder="1" applyAlignment="1">
      <alignment horizontal="center"/>
    </xf>
    <xf numFmtId="0" fontId="4" fillId="10" borderId="26" xfId="0" applyFont="1" applyFill="1" applyBorder="1" applyAlignment="1">
      <alignment horizontal="center" vertical="center"/>
    </xf>
    <xf numFmtId="0" fontId="4" fillId="10" borderId="1" xfId="0" applyFont="1" applyFill="1" applyBorder="1" applyAlignment="1">
      <alignment horizontal="center" vertical="center"/>
    </xf>
    <xf numFmtId="0" fontId="4" fillId="10" borderId="3" xfId="0" applyFont="1" applyFill="1" applyBorder="1" applyAlignment="1">
      <alignment horizontal="center" vertical="center"/>
    </xf>
    <xf numFmtId="0" fontId="11" fillId="11" borderId="28" xfId="0" applyFont="1" applyFill="1" applyBorder="1" applyAlignment="1">
      <alignment horizontal="center" vertical="center"/>
    </xf>
    <xf numFmtId="0" fontId="11" fillId="11" borderId="73" xfId="0" applyFont="1" applyFill="1" applyBorder="1" applyAlignment="1">
      <alignment horizontal="center" vertical="center"/>
    </xf>
    <xf numFmtId="0" fontId="4" fillId="0" borderId="2" xfId="0" applyFont="1" applyBorder="1" applyAlignment="1">
      <alignment horizontal="left"/>
    </xf>
    <xf numFmtId="0" fontId="6" fillId="0" borderId="2" xfId="0" applyFont="1" applyBorder="1" applyAlignment="1">
      <alignment horizontal="left"/>
    </xf>
    <xf numFmtId="0" fontId="18" fillId="3" borderId="2" xfId="0" applyFont="1" applyFill="1" applyBorder="1" applyAlignment="1">
      <alignment horizontal="center" vertical="center" wrapText="1"/>
    </xf>
    <xf numFmtId="167" fontId="0" fillId="0" borderId="2" xfId="0" applyNumberFormat="1" applyBorder="1" applyAlignment="1" applyProtection="1">
      <alignment horizontal="center" wrapText="1"/>
      <protection locked="0"/>
    </xf>
    <xf numFmtId="167" fontId="0" fillId="0" borderId="2" xfId="0" applyNumberFormat="1" applyBorder="1" applyAlignment="1" applyProtection="1">
      <alignment horizontal="center" vertical="center" wrapText="1"/>
      <protection locked="0"/>
    </xf>
    <xf numFmtId="0" fontId="22" fillId="0" borderId="66" xfId="0" applyFont="1" applyBorder="1" applyAlignment="1" applyProtection="1">
      <alignment horizontal="left" vertical="top"/>
      <protection locked="0"/>
    </xf>
    <xf numFmtId="0" fontId="22" fillId="0" borderId="87" xfId="0" applyFont="1" applyBorder="1" applyAlignment="1" applyProtection="1">
      <alignment horizontal="left" vertical="top"/>
      <protection locked="0"/>
    </xf>
    <xf numFmtId="0" fontId="22" fillId="0" borderId="69" xfId="0" applyFont="1" applyBorder="1" applyAlignment="1" applyProtection="1">
      <alignment horizontal="left" vertical="top"/>
      <protection locked="0"/>
    </xf>
    <xf numFmtId="0" fontId="22" fillId="0" borderId="5" xfId="0" applyFont="1" applyBorder="1" applyAlignment="1" applyProtection="1">
      <alignment horizontal="left" vertical="top"/>
      <protection locked="0"/>
    </xf>
    <xf numFmtId="0" fontId="22" fillId="0" borderId="0" xfId="0" applyFont="1" applyAlignment="1" applyProtection="1">
      <alignment horizontal="left" vertical="top"/>
      <protection locked="0"/>
    </xf>
    <xf numFmtId="0" fontId="22" fillId="0" borderId="70" xfId="0" applyFont="1" applyBorder="1" applyAlignment="1" applyProtection="1">
      <alignment horizontal="left" vertical="top"/>
      <protection locked="0"/>
    </xf>
    <xf numFmtId="0" fontId="22" fillId="0" borderId="67" xfId="0" applyFont="1" applyBorder="1" applyAlignment="1" applyProtection="1">
      <alignment horizontal="left" vertical="top"/>
      <protection locked="0"/>
    </xf>
    <xf numFmtId="0" fontId="22" fillId="0" borderId="89" xfId="0" applyFont="1" applyBorder="1" applyAlignment="1" applyProtection="1">
      <alignment horizontal="left" vertical="top"/>
      <protection locked="0"/>
    </xf>
    <xf numFmtId="0" fontId="22" fillId="0" borderId="71" xfId="0" applyFont="1" applyBorder="1" applyAlignment="1" applyProtection="1">
      <alignment horizontal="left" vertical="top"/>
      <protection locked="0"/>
    </xf>
    <xf numFmtId="0" fontId="22" fillId="12" borderId="2" xfId="0" applyFont="1" applyFill="1" applyBorder="1" applyAlignment="1">
      <alignment horizontal="left" vertical="center" wrapText="1"/>
    </xf>
    <xf numFmtId="0" fontId="22" fillId="12" borderId="26" xfId="0" applyFont="1" applyFill="1" applyBorder="1" applyAlignment="1">
      <alignment horizontal="left" vertical="center" wrapText="1"/>
    </xf>
    <xf numFmtId="0" fontId="26" fillId="36" borderId="17" xfId="0" applyFont="1" applyFill="1" applyBorder="1" applyAlignment="1">
      <alignment horizontal="center" vertical="center" textRotation="90" wrapText="1"/>
    </xf>
    <xf numFmtId="0" fontId="26" fillId="36" borderId="18" xfId="0" applyFont="1" applyFill="1" applyBorder="1" applyAlignment="1">
      <alignment horizontal="center" vertical="center" textRotation="90" wrapText="1"/>
    </xf>
    <xf numFmtId="0" fontId="26" fillId="36" borderId="19" xfId="0" applyFont="1" applyFill="1" applyBorder="1" applyAlignment="1">
      <alignment horizontal="center" vertical="center" textRotation="90" wrapText="1"/>
    </xf>
    <xf numFmtId="0" fontId="52" fillId="3" borderId="50" xfId="0" applyFont="1" applyFill="1" applyBorder="1" applyAlignment="1">
      <alignment horizontal="center" vertical="center" wrapText="1"/>
    </xf>
    <xf numFmtId="0" fontId="52" fillId="3" borderId="57" xfId="0" applyFont="1" applyFill="1" applyBorder="1" applyAlignment="1">
      <alignment horizontal="center" vertical="center" wrapText="1"/>
    </xf>
    <xf numFmtId="0" fontId="52" fillId="3" borderId="51" xfId="0" applyFont="1" applyFill="1" applyBorder="1" applyAlignment="1">
      <alignment horizontal="center" vertical="center" wrapText="1"/>
    </xf>
    <xf numFmtId="0" fontId="0" fillId="12" borderId="2" xfId="0" applyFill="1" applyBorder="1" applyAlignment="1">
      <alignment horizontal="left" vertical="center" wrapText="1"/>
    </xf>
    <xf numFmtId="0" fontId="22" fillId="0" borderId="0" xfId="0" applyFont="1" applyAlignment="1">
      <alignment horizontal="center" vertical="center" wrapText="1"/>
    </xf>
    <xf numFmtId="0" fontId="18" fillId="3" borderId="39" xfId="0" applyFont="1" applyFill="1" applyBorder="1" applyAlignment="1">
      <alignment horizontal="center" vertical="center"/>
    </xf>
    <xf numFmtId="0" fontId="18" fillId="3" borderId="40" xfId="0" applyFont="1" applyFill="1" applyBorder="1" applyAlignment="1">
      <alignment horizontal="center" vertical="center"/>
    </xf>
    <xf numFmtId="0" fontId="18" fillId="3" borderId="15" xfId="0" applyFont="1" applyFill="1" applyBorder="1" applyAlignment="1">
      <alignment horizontal="center" vertical="center"/>
    </xf>
    <xf numFmtId="0" fontId="0" fillId="0" borderId="2" xfId="0" applyBorder="1" applyAlignment="1">
      <alignment horizontal="center"/>
    </xf>
    <xf numFmtId="0" fontId="0" fillId="0" borderId="26" xfId="0" applyBorder="1" applyAlignment="1" applyProtection="1">
      <alignment horizontal="center" wrapText="1"/>
      <protection locked="0"/>
    </xf>
    <xf numFmtId="0" fontId="0" fillId="0" borderId="1" xfId="0" applyBorder="1" applyAlignment="1" applyProtection="1">
      <alignment horizontal="center" wrapText="1"/>
      <protection locked="0"/>
    </xf>
    <xf numFmtId="0" fontId="0" fillId="0" borderId="3" xfId="0" applyBorder="1" applyAlignment="1" applyProtection="1">
      <alignment horizontal="center" wrapText="1"/>
      <protection locked="0"/>
    </xf>
    <xf numFmtId="14" fontId="0" fillId="0" borderId="26"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3" xfId="0" applyBorder="1" applyAlignment="1" applyProtection="1">
      <alignment horizontal="center"/>
      <protection locked="0"/>
    </xf>
    <xf numFmtId="167" fontId="0" fillId="9" borderId="0" xfId="0" applyNumberFormat="1" applyFill="1" applyAlignment="1">
      <alignment horizontal="center"/>
    </xf>
    <xf numFmtId="0" fontId="0" fillId="9" borderId="2" xfId="0" applyFill="1" applyBorder="1" applyAlignment="1" applyProtection="1">
      <alignment horizontal="center" vertical="center" wrapText="1"/>
      <protection locked="0"/>
    </xf>
    <xf numFmtId="0" fontId="0" fillId="12" borderId="2" xfId="0" applyFill="1" applyBorder="1" applyAlignment="1">
      <alignment horizontal="center" vertical="center"/>
    </xf>
    <xf numFmtId="0" fontId="0" fillId="9" borderId="2" xfId="0" applyFill="1" applyBorder="1" applyAlignment="1">
      <alignment horizontal="center" vertical="center" wrapText="1"/>
    </xf>
    <xf numFmtId="0" fontId="0" fillId="12" borderId="2" xfId="0" applyFill="1" applyBorder="1" applyAlignment="1">
      <alignment horizontal="center" vertical="center" wrapText="1"/>
    </xf>
    <xf numFmtId="49" fontId="0" fillId="9" borderId="2" xfId="0" applyNumberFormat="1" applyFill="1" applyBorder="1" applyAlignment="1" applyProtection="1">
      <alignment horizontal="center" vertical="center" wrapText="1"/>
      <protection locked="0"/>
    </xf>
    <xf numFmtId="0" fontId="0" fillId="12" borderId="7" xfId="0" applyFill="1" applyBorder="1" applyAlignment="1">
      <alignment horizontal="center" vertical="center" wrapText="1"/>
    </xf>
    <xf numFmtId="0" fontId="0" fillId="9" borderId="7" xfId="0" applyFill="1" applyBorder="1" applyAlignment="1">
      <alignment horizontal="center" vertical="center" wrapText="1"/>
    </xf>
    <xf numFmtId="0" fontId="1" fillId="12" borderId="0" xfId="0" applyFont="1" applyFill="1" applyAlignment="1">
      <alignment horizontal="center" vertical="center"/>
    </xf>
    <xf numFmtId="0" fontId="18" fillId="3" borderId="0" xfId="0" applyFont="1" applyFill="1" applyAlignment="1">
      <alignment horizontal="left" vertical="center" wrapText="1"/>
    </xf>
    <xf numFmtId="0" fontId="0" fillId="0" borderId="0" xfId="0" applyAlignment="1">
      <alignment horizontal="left"/>
    </xf>
    <xf numFmtId="0" fontId="0" fillId="0" borderId="0" xfId="0" applyAlignment="1">
      <alignment horizontal="center"/>
    </xf>
    <xf numFmtId="0" fontId="0" fillId="0" borderId="55" xfId="0" applyBorder="1" applyAlignment="1">
      <alignment horizontal="left"/>
    </xf>
    <xf numFmtId="0" fontId="0" fillId="0" borderId="56" xfId="0" applyBorder="1" applyAlignment="1">
      <alignment horizontal="center"/>
    </xf>
    <xf numFmtId="0" fontId="0" fillId="0" borderId="58" xfId="0" applyBorder="1" applyAlignment="1">
      <alignment horizontal="center"/>
    </xf>
    <xf numFmtId="170" fontId="0" fillId="0" borderId="56" xfId="0" applyNumberFormat="1" applyBorder="1" applyAlignment="1">
      <alignment horizontal="left"/>
    </xf>
    <xf numFmtId="170" fontId="0" fillId="0" borderId="58" xfId="0" applyNumberFormat="1" applyBorder="1" applyAlignment="1">
      <alignment horizontal="left"/>
    </xf>
  </cellXfs>
  <cellStyles count="2">
    <cellStyle name="Hyperlink" xfId="1" builtinId="8"/>
    <cellStyle name="Normal" xfId="0" builtinId="0"/>
  </cellStyles>
  <dxfs count="10105">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rgb="FFFF0000"/>
        </patternFill>
      </fill>
    </dxf>
    <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patternType="lightVertical">
          <fgColor rgb="FF00B0F0"/>
          <bgColor auto="1"/>
        </patternFill>
      </fill>
      <border>
        <left style="dashDot">
          <color rgb="FF00B0F0"/>
        </left>
        <right style="dashDot">
          <color rgb="FF00B0F0"/>
        </right>
        <top style="dashDot">
          <color rgb="FF00B0F0"/>
        </top>
        <bottom style="dashDot">
          <color rgb="FF00B0F0"/>
        </bottom>
      </border>
    </dxf>
    <dxf>
      <fill>
        <patternFill>
          <bgColor theme="8"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FF0000"/>
        </patternFill>
      </fill>
    </dxf>
    <dxf>
      <fill>
        <patternFill>
          <bgColor rgb="FF00B0F0"/>
        </patternFill>
      </fill>
    </dxf>
    <dxf>
      <fill>
        <patternFill>
          <bgColor theme="5"/>
        </patternFill>
      </fill>
    </dxf>
    <dxf>
      <fill>
        <patternFill>
          <bgColor rgb="FF00B0F0"/>
        </patternFill>
      </fill>
    </dxf>
    <dxf>
      <fill>
        <patternFill>
          <bgColor theme="5"/>
        </patternFill>
      </fill>
    </dxf>
    <dxf>
      <fill>
        <patternFill>
          <bgColor rgb="FF00B0F0"/>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FF0000"/>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FF8F8F"/>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00B0F0"/>
        </patternFill>
      </fill>
    </dxf>
    <dxf>
      <fill>
        <patternFill>
          <bgColor theme="7" tint="0.59996337778862885"/>
        </patternFill>
      </fill>
    </dxf>
    <dxf>
      <fill>
        <patternFill>
          <bgColor theme="5"/>
        </patternFill>
      </fill>
    </dxf>
    <dxf>
      <fill>
        <patternFill>
          <bgColor rgb="FFFF8F8F"/>
        </patternFill>
      </fill>
    </dxf>
    <dxf>
      <fill>
        <patternFill>
          <bgColor rgb="FF00B0F0"/>
        </patternFill>
      </fill>
    </dxf>
    <dxf>
      <fill>
        <patternFill>
          <bgColor theme="7" tint="0.59996337778862885"/>
        </patternFill>
      </fill>
    </dxf>
    <dxf>
      <fill>
        <patternFill>
          <bgColor theme="5"/>
        </patternFill>
      </fill>
    </dxf>
    <dxf>
      <font>
        <b/>
        <i/>
        <color rgb="FFFF0000"/>
      </font>
      <fill>
        <patternFill patternType="none">
          <bgColor auto="1"/>
        </patternFill>
      </fill>
    </dxf>
    <dxf>
      <font>
        <color rgb="FFFF0000"/>
      </font>
      <fill>
        <patternFill>
          <bgColor rgb="FFFF9999"/>
        </patternFill>
      </fill>
    </dxf>
  </dxfs>
  <tableStyles count="0" defaultTableStyle="TableStyleMedium2" defaultPivotStyle="PivotStyleLight16"/>
  <colors>
    <mruColors>
      <color rgb="FFFF8F8F"/>
      <color rgb="FFFF7575"/>
      <color rgb="FFFF9999"/>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pivotCacheDefinition" Target="pivotCache/pivotCacheDefinition1.xml"/><Relationship Id="rId18" Type="http://schemas.openxmlformats.org/officeDocument/2006/relationships/pivotTable" Target="pivotTables/pivotTabl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owerPivotData" Target="model/item.data"/><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8.xml"/><Relationship Id="rId14" Type="http://schemas.microsoft.com/office/2007/relationships/slicerCache" Target="slicerCaches/slicerCache1.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CA" sz="1400">
                <a:effectLst/>
              </a:rPr>
              <a:t>COVID-19 Epi Curve for:</a:t>
            </a:r>
          </a:p>
        </c:rich>
      </c:tx>
      <c:layout>
        <c:manualLayout>
          <c:xMode val="edge"/>
          <c:yMode val="edge"/>
          <c:x val="6.2372953380827406E-2"/>
          <c:y val="1.481481481481481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17735283089618E-2"/>
          <c:y val="9.7777777777777783E-2"/>
          <c:w val="0.8791838520184978"/>
          <c:h val="0.61741895596383789"/>
        </c:manualLayout>
      </c:layout>
      <c:barChart>
        <c:barDir val="col"/>
        <c:grouping val="stacked"/>
        <c:varyColors val="0"/>
        <c:ser>
          <c:idx val="0"/>
          <c:order val="0"/>
          <c:tx>
            <c:v/>
          </c:tx>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strLit>
          </c:cat>
          <c:val>
            <c:numLit>
              <c:formatCode>General</c:formatCode>
              <c:ptCount val="1"/>
              <c:pt idx="0">
                <c:v>199</c:v>
              </c:pt>
            </c:numLit>
          </c:val>
          <c:extLst>
            <c:ext xmlns:c16="http://schemas.microsoft.com/office/drawing/2014/chart" uri="{C3380CC4-5D6E-409C-BE32-E72D297353CC}">
              <c16:uniqueId val="{00000000-E7E8-4962-B38F-2FFAE75F63E5}"/>
            </c:ext>
          </c:extLst>
        </c:ser>
        <c:dLbls>
          <c:dLblPos val="ctr"/>
          <c:showLegendKey val="0"/>
          <c:showVal val="1"/>
          <c:showCatName val="0"/>
          <c:showSerName val="0"/>
          <c:showPercent val="0"/>
          <c:showBubbleSize val="0"/>
        </c:dLbls>
        <c:gapWidth val="10"/>
        <c:overlap val="100"/>
        <c:axId val="404994640"/>
        <c:axId val="179400168"/>
      </c:barChart>
      <c:catAx>
        <c:axId val="404994640"/>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n-CA" sz="1100" b="1"/>
                  <a:t>Symptom</a:t>
                </a:r>
                <a:r>
                  <a:rPr lang="en-CA" sz="1100" b="1" baseline="0"/>
                  <a:t> Onset Date/ Test date</a:t>
                </a:r>
                <a:endParaRPr lang="en-CA" sz="1100" b="1"/>
              </a:p>
            </c:rich>
          </c:tx>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CA"/>
            </a:p>
          </c:txPr>
        </c:title>
        <c:numFmt formatCode="General" sourceLinked="0"/>
        <c:majorTickMark val="out"/>
        <c:minorTickMark val="none"/>
        <c:tickLblPos val="nextTo"/>
        <c:spPr>
          <a:noFill/>
          <a:ln w="9525" cap="flat" cmpd="sng" algn="ctr">
            <a:solidFill>
              <a:schemeClr val="tx1"/>
            </a:solidFill>
            <a:round/>
          </a:ln>
          <a:effectLst/>
        </c:spPr>
        <c:txPr>
          <a:bodyPr rot="-2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79400168"/>
        <c:crosses val="autoZero"/>
        <c:auto val="1"/>
        <c:lblAlgn val="ctr"/>
        <c:lblOffset val="100"/>
        <c:noMultiLvlLbl val="0"/>
        <c:extLst>
          <c:ext xmlns:c15="http://schemas.microsoft.com/office/drawing/2012/chart" uri="{F40574EE-89B7-4290-83BB-5DA773EAF853}">
            <c15:numFmt c:formatCode="General" c:sourceLinked="1"/>
          </c:ext>
        </c:extLst>
      </c:catAx>
      <c:valAx>
        <c:axId val="179400168"/>
        <c:scaling>
          <c:orientation val="minMax"/>
        </c:scaling>
        <c:delete val="0"/>
        <c:axPos val="l"/>
        <c:title>
          <c:tx>
            <c:rich>
              <a:bodyPr rot="-5400000" spcFirstLastPara="1" vertOverflow="ellipsis" vert="horz" wrap="square" anchor="ctr" anchorCtr="1"/>
              <a:lstStyle/>
              <a:p>
                <a:pPr>
                  <a:defRPr sz="1050" b="1" i="0" u="none" strike="noStrike" kern="1200" baseline="0">
                    <a:solidFill>
                      <a:schemeClr val="tx1"/>
                    </a:solidFill>
                    <a:latin typeface="+mn-lt"/>
                    <a:ea typeface="+mn-ea"/>
                    <a:cs typeface="+mn-cs"/>
                  </a:defRPr>
                </a:pPr>
                <a:r>
                  <a:rPr lang="en-CA" sz="1050" b="1"/>
                  <a:t>No. of Cases</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title>
        <c:numFmt formatCode="General"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4994640"/>
        <c:crosses val="autoZero"/>
        <c:crossBetween val="between"/>
        <c:majorUnit val="1"/>
        <c:minorUnit val="1"/>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34523809523809523"/>
          <c:y val="0.11782327209098861"/>
          <c:w val="0.18097941802696949"/>
          <c:h val="0.1653280004012237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5="http://schemas.microsoft.com/office/drawing/2012/chart" uri="{723BEF56-08C2-4564-9609-F4CBC75E7E54}">
      <c15:pivotSource>
        <c15:name>[Jan 19_2023_ TPH Community Setting Line List (V6.2) .xlsm]PivotChartTable1</c15:name>
        <c15:fmtId val="0"/>
      </c15:pivotSource>
      <c15:pivotOptions>
        <c15:dropZoneSeries val="1"/>
        <c15:dropZonesVisible val="1"/>
      </c15: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'Cover Sheet'!$R$2:$U$2</c:f>
          <c:strCache>
            <c:ptCount val="4"/>
          </c:strCache>
        </c:strRef>
      </c:tx>
      <c:layout>
        <c:manualLayout>
          <c:xMode val="edge"/>
          <c:yMode val="edge"/>
          <c:x val="0.50589696815757268"/>
          <c:y val="1.21211629868888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'Summary Data'!$AF$10</c:f>
              <c:strCache>
                <c:ptCount val="1"/>
                <c:pt idx="0">
                  <c:v>Functional Area 1, Shift 1</c:v>
                </c:pt>
              </c:strCache>
            </c:strRef>
          </c:tx>
          <c:spPr>
            <a:solidFill>
              <a:schemeClr val="accent1"/>
            </a:solid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Data'!$AF$11:$AF$143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0-ED74-4C06-85D7-E97CF07283CF}"/>
            </c:ext>
          </c:extLst>
        </c:ser>
        <c:ser>
          <c:idx val="1"/>
          <c:order val="1"/>
          <c:tx>
            <c:strRef>
              <c:f>'Summary Data'!$AG$10</c:f>
              <c:strCache>
                <c:ptCount val="1"/>
                <c:pt idx="0">
                  <c:v>Functional Area 1, Shift 2</c:v>
                </c:pt>
              </c:strCache>
            </c:strRef>
          </c:tx>
          <c:spPr>
            <a:solidFill>
              <a:schemeClr val="accent2"/>
            </a:solid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Data'!$AG$11:$AG$143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1-ED74-4C06-85D7-E97CF07283CF}"/>
            </c:ext>
          </c:extLst>
        </c:ser>
        <c:ser>
          <c:idx val="2"/>
          <c:order val="2"/>
          <c:tx>
            <c:strRef>
              <c:f>'Summary Data'!$AH$10</c:f>
              <c:strCache>
                <c:ptCount val="1"/>
                <c:pt idx="0">
                  <c:v>Functional Area 1, Shift 3</c:v>
                </c:pt>
              </c:strCache>
            </c:strRef>
          </c:tx>
          <c:spPr>
            <a:solidFill>
              <a:schemeClr val="accent4"/>
            </a:solid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Data'!$AH$11:$AH$143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2-ED74-4C06-85D7-E97CF07283CF}"/>
            </c:ext>
          </c:extLst>
        </c:ser>
        <c:ser>
          <c:idx val="3"/>
          <c:order val="3"/>
          <c:tx>
            <c:strRef>
              <c:f>'Summary Data'!$AI$10</c:f>
              <c:strCache>
                <c:ptCount val="1"/>
                <c:pt idx="0">
                  <c:v>Functional Area 1, Shift 4</c:v>
                </c:pt>
              </c:strCache>
            </c:strRef>
          </c:tx>
          <c:spPr>
            <a:solidFill>
              <a:schemeClr val="accent6"/>
            </a:solid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Data'!$AI$11:$AI$143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3-ED74-4C06-85D7-E97CF07283CF}"/>
            </c:ext>
          </c:extLst>
        </c:ser>
        <c:ser>
          <c:idx val="4"/>
          <c:order val="4"/>
          <c:tx>
            <c:strRef>
              <c:f>'Summary Data'!$AJ$10</c:f>
              <c:strCache>
                <c:ptCount val="1"/>
                <c:pt idx="0">
                  <c:v>Functional Area 1, Shift 5</c:v>
                </c:pt>
              </c:strCache>
            </c:strRef>
          </c:tx>
          <c:spPr>
            <a:solidFill>
              <a:schemeClr val="accent5"/>
            </a:solid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Data'!$AJ$11:$AJ$143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4-ED74-4C06-85D7-E97CF07283CF}"/>
            </c:ext>
          </c:extLst>
        </c:ser>
        <c:ser>
          <c:idx val="5"/>
          <c:order val="5"/>
          <c:tx>
            <c:strRef>
              <c:f>'Summary Data'!$AK$10</c:f>
              <c:strCache>
                <c:ptCount val="1"/>
                <c:pt idx="0">
                  <c:v>Functional Area 2, Shift 1</c:v>
                </c:pt>
              </c:strCache>
            </c:strRef>
          </c:tx>
          <c:spPr>
            <a:pattFill prst="dkHorz">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Data'!$AK$11:$AK$143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5-ED74-4C06-85D7-E97CF07283CF}"/>
            </c:ext>
          </c:extLst>
        </c:ser>
        <c:ser>
          <c:idx val="6"/>
          <c:order val="6"/>
          <c:tx>
            <c:strRef>
              <c:f>'Summary Data'!$AL$10</c:f>
              <c:strCache>
                <c:ptCount val="1"/>
                <c:pt idx="0">
                  <c:v>Functional Area 2, Shift 2</c:v>
                </c:pt>
              </c:strCache>
            </c:strRef>
          </c:tx>
          <c:spPr>
            <a:pattFill prst="dkHorz">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Data'!$AL$11:$AL$143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6-ED74-4C06-85D7-E97CF07283CF}"/>
            </c:ext>
          </c:extLst>
        </c:ser>
        <c:ser>
          <c:idx val="7"/>
          <c:order val="7"/>
          <c:tx>
            <c:strRef>
              <c:f>'Summary Data'!$AM$10</c:f>
              <c:strCache>
                <c:ptCount val="1"/>
                <c:pt idx="0">
                  <c:v>Functional Area 2, Shift 3</c:v>
                </c:pt>
              </c:strCache>
            </c:strRef>
          </c:tx>
          <c:spPr>
            <a:pattFill prst="dkHorz">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Data'!$AM$11:$AM$143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7-ED74-4C06-85D7-E97CF07283CF}"/>
            </c:ext>
          </c:extLst>
        </c:ser>
        <c:ser>
          <c:idx val="8"/>
          <c:order val="8"/>
          <c:tx>
            <c:strRef>
              <c:f>'Summary Data'!$AN$10</c:f>
              <c:strCache>
                <c:ptCount val="1"/>
                <c:pt idx="0">
                  <c:v>Functional Area 2, Shift 4</c:v>
                </c:pt>
              </c:strCache>
            </c:strRef>
          </c:tx>
          <c:spPr>
            <a:pattFill prst="dkHorz">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Data'!$AN$11:$AN$143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8-ED74-4C06-85D7-E97CF07283CF}"/>
            </c:ext>
          </c:extLst>
        </c:ser>
        <c:ser>
          <c:idx val="9"/>
          <c:order val="9"/>
          <c:tx>
            <c:strRef>
              <c:f>'Summary Data'!$AO$10</c:f>
              <c:strCache>
                <c:ptCount val="1"/>
                <c:pt idx="0">
                  <c:v>Functional Area 2, Shift 5</c:v>
                </c:pt>
              </c:strCache>
            </c:strRef>
          </c:tx>
          <c:spPr>
            <a:pattFill prst="dkHorz">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Data'!$AO$11:$AO$143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9-ED74-4C06-85D7-E97CF07283CF}"/>
            </c:ext>
          </c:extLst>
        </c:ser>
        <c:ser>
          <c:idx val="10"/>
          <c:order val="10"/>
          <c:tx>
            <c:strRef>
              <c:f>'Summary Data'!$AP$10</c:f>
              <c:strCache>
                <c:ptCount val="1"/>
                <c:pt idx="0">
                  <c:v>Functional Area 3, Shift 1</c:v>
                </c:pt>
              </c:strCache>
            </c:strRef>
          </c:tx>
          <c:spPr>
            <a:pattFill prst="pct80">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Data'!$AP$11:$AP$143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A-ED74-4C06-85D7-E97CF07283CF}"/>
            </c:ext>
          </c:extLst>
        </c:ser>
        <c:ser>
          <c:idx val="11"/>
          <c:order val="11"/>
          <c:tx>
            <c:strRef>
              <c:f>'Summary Data'!$AQ$10</c:f>
              <c:strCache>
                <c:ptCount val="1"/>
                <c:pt idx="0">
                  <c:v>Functional Area 3, Shift 2</c:v>
                </c:pt>
              </c:strCache>
            </c:strRef>
          </c:tx>
          <c:spPr>
            <a:pattFill prst="pct80">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Data'!$AQ$11:$AQ$143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B-ED74-4C06-85D7-E97CF07283CF}"/>
            </c:ext>
          </c:extLst>
        </c:ser>
        <c:ser>
          <c:idx val="12"/>
          <c:order val="12"/>
          <c:tx>
            <c:strRef>
              <c:f>'Summary Data'!$AR$10</c:f>
              <c:strCache>
                <c:ptCount val="1"/>
                <c:pt idx="0">
                  <c:v>Functional Area 3, Shift 3</c:v>
                </c:pt>
              </c:strCache>
            </c:strRef>
          </c:tx>
          <c:spPr>
            <a:pattFill prst="pct80">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Data'!$AR$11:$AR$143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C-ED74-4C06-85D7-E97CF07283CF}"/>
            </c:ext>
          </c:extLst>
        </c:ser>
        <c:ser>
          <c:idx val="13"/>
          <c:order val="13"/>
          <c:tx>
            <c:strRef>
              <c:f>'Summary Data'!$AS$10</c:f>
              <c:strCache>
                <c:ptCount val="1"/>
                <c:pt idx="0">
                  <c:v>Functional Area 3, Shift 4</c:v>
                </c:pt>
              </c:strCache>
            </c:strRef>
          </c:tx>
          <c:spPr>
            <a:pattFill prst="pct80">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Data'!$AS$11:$AS$143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D-ED74-4C06-85D7-E97CF07283CF}"/>
            </c:ext>
          </c:extLst>
        </c:ser>
        <c:ser>
          <c:idx val="14"/>
          <c:order val="14"/>
          <c:tx>
            <c:strRef>
              <c:f>'Summary Data'!$AT$10</c:f>
              <c:strCache>
                <c:ptCount val="1"/>
                <c:pt idx="0">
                  <c:v>Functional Area 3, Shift 5</c:v>
                </c:pt>
              </c:strCache>
            </c:strRef>
          </c:tx>
          <c:spPr>
            <a:pattFill prst="pct80">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Data'!$AT$11:$AT$143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E-ED74-4C06-85D7-E97CF07283CF}"/>
            </c:ext>
          </c:extLst>
        </c:ser>
        <c:ser>
          <c:idx val="15"/>
          <c:order val="15"/>
          <c:tx>
            <c:strRef>
              <c:f>'Summary Data'!$AU$10</c:f>
              <c:strCache>
                <c:ptCount val="1"/>
                <c:pt idx="0">
                  <c:v>Functional Area 4, Shift 1</c:v>
                </c:pt>
              </c:strCache>
            </c:strRef>
          </c:tx>
          <c:spPr>
            <a:pattFill prst="wdUpDiag">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Data'!$AU$11:$AU$143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0F-ED74-4C06-85D7-E97CF07283CF}"/>
            </c:ext>
          </c:extLst>
        </c:ser>
        <c:ser>
          <c:idx val="16"/>
          <c:order val="16"/>
          <c:tx>
            <c:strRef>
              <c:f>'Summary Data'!$AV$10</c:f>
              <c:strCache>
                <c:ptCount val="1"/>
                <c:pt idx="0">
                  <c:v>Functional Area 4, Shift 2</c:v>
                </c:pt>
              </c:strCache>
            </c:strRef>
          </c:tx>
          <c:spPr>
            <a:pattFill prst="wdUpDiag">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Data'!$AV$11:$AV$143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0-ED74-4C06-85D7-E97CF07283CF}"/>
            </c:ext>
          </c:extLst>
        </c:ser>
        <c:ser>
          <c:idx val="17"/>
          <c:order val="17"/>
          <c:tx>
            <c:strRef>
              <c:f>'Summary Data'!$AW$10</c:f>
              <c:strCache>
                <c:ptCount val="1"/>
                <c:pt idx="0">
                  <c:v>Functional Area 4, Shift 3</c:v>
                </c:pt>
              </c:strCache>
            </c:strRef>
          </c:tx>
          <c:spPr>
            <a:pattFill prst="wdUpDiag">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Data'!$AW$11:$AW$143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1-ED74-4C06-85D7-E97CF07283CF}"/>
            </c:ext>
          </c:extLst>
        </c:ser>
        <c:ser>
          <c:idx val="18"/>
          <c:order val="18"/>
          <c:tx>
            <c:strRef>
              <c:f>'Summary Data'!$AX$10</c:f>
              <c:strCache>
                <c:ptCount val="1"/>
                <c:pt idx="0">
                  <c:v>Functional Area 4, Shift 4</c:v>
                </c:pt>
              </c:strCache>
            </c:strRef>
          </c:tx>
          <c:spPr>
            <a:pattFill prst="wdUpDiag">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Data'!$AX$11:$AX$143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2-ED74-4C06-85D7-E97CF07283CF}"/>
            </c:ext>
          </c:extLst>
        </c:ser>
        <c:ser>
          <c:idx val="19"/>
          <c:order val="19"/>
          <c:tx>
            <c:strRef>
              <c:f>'Summary Data'!$AY$10</c:f>
              <c:strCache>
                <c:ptCount val="1"/>
                <c:pt idx="0">
                  <c:v>Functional Area 4, Shift 5</c:v>
                </c:pt>
              </c:strCache>
            </c:strRef>
          </c:tx>
          <c:spPr>
            <a:pattFill prst="wdUpDiag">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Data'!$AY$11:$AY$143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3-ED74-4C06-85D7-E97CF07283CF}"/>
            </c:ext>
          </c:extLst>
        </c:ser>
        <c:ser>
          <c:idx val="20"/>
          <c:order val="20"/>
          <c:tx>
            <c:strRef>
              <c:f>'Summary Data'!$AZ$10</c:f>
              <c:strCache>
                <c:ptCount val="1"/>
                <c:pt idx="0">
                  <c:v>Functional Area 5, Shift 1</c:v>
                </c:pt>
              </c:strCache>
            </c:strRef>
          </c:tx>
          <c:spPr>
            <a:pattFill prst="lgGrid">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Data'!$AZ$11:$AZ$143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4-ED74-4C06-85D7-E97CF07283CF}"/>
            </c:ext>
          </c:extLst>
        </c:ser>
        <c:ser>
          <c:idx val="21"/>
          <c:order val="21"/>
          <c:tx>
            <c:strRef>
              <c:f>'Summary Data'!$BA$10</c:f>
              <c:strCache>
                <c:ptCount val="1"/>
                <c:pt idx="0">
                  <c:v>Functional Area 5, Shift 2</c:v>
                </c:pt>
              </c:strCache>
            </c:strRef>
          </c:tx>
          <c:spPr>
            <a:pattFill prst="lgGrid">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Data'!$BA$11:$BA$143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5-ED74-4C06-85D7-E97CF07283CF}"/>
            </c:ext>
          </c:extLst>
        </c:ser>
        <c:ser>
          <c:idx val="22"/>
          <c:order val="22"/>
          <c:tx>
            <c:strRef>
              <c:f>'Summary Data'!$BB$10</c:f>
              <c:strCache>
                <c:ptCount val="1"/>
                <c:pt idx="0">
                  <c:v>Functional Area 5, Shift 3</c:v>
                </c:pt>
              </c:strCache>
            </c:strRef>
          </c:tx>
          <c:spPr>
            <a:pattFill prst="lgGrid">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Data'!$BB$11:$BB$143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6-ED74-4C06-85D7-E97CF07283CF}"/>
            </c:ext>
          </c:extLst>
        </c:ser>
        <c:ser>
          <c:idx val="23"/>
          <c:order val="23"/>
          <c:tx>
            <c:strRef>
              <c:f>'Summary Data'!$BC$10</c:f>
              <c:strCache>
                <c:ptCount val="1"/>
                <c:pt idx="0">
                  <c:v>Functional Area 5, Shift 4</c:v>
                </c:pt>
              </c:strCache>
            </c:strRef>
          </c:tx>
          <c:spPr>
            <a:pattFill prst="lgGrid">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Data'!$BC$11:$BC$143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7-ED74-4C06-85D7-E97CF07283CF}"/>
            </c:ext>
          </c:extLst>
        </c:ser>
        <c:ser>
          <c:idx val="24"/>
          <c:order val="24"/>
          <c:tx>
            <c:strRef>
              <c:f>'Summary Data'!$BD$10</c:f>
              <c:strCache>
                <c:ptCount val="1"/>
                <c:pt idx="0">
                  <c:v>Functional Area 5, Shift 5</c:v>
                </c:pt>
              </c:strCache>
            </c:strRef>
          </c:tx>
          <c:spPr>
            <a:pattFill prst="lgGrid">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Data'!$BD$11:$BD$143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8-ED74-4C06-85D7-E97CF07283CF}"/>
            </c:ext>
          </c:extLst>
        </c:ser>
        <c:ser>
          <c:idx val="25"/>
          <c:order val="25"/>
          <c:tx>
            <c:strRef>
              <c:f>'Summary Data'!$BE$10</c:f>
              <c:strCache>
                <c:ptCount val="1"/>
                <c:pt idx="0">
                  <c:v>Functional Area 6, Shift 1</c:v>
                </c:pt>
              </c:strCache>
            </c:strRef>
          </c:tx>
          <c:spPr>
            <a:pattFill prst="dkVert">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Data'!$BE$11:$BE$143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9-ED74-4C06-85D7-E97CF07283CF}"/>
            </c:ext>
          </c:extLst>
        </c:ser>
        <c:ser>
          <c:idx val="26"/>
          <c:order val="26"/>
          <c:tx>
            <c:strRef>
              <c:f>'Summary Data'!$BF$10</c:f>
              <c:strCache>
                <c:ptCount val="1"/>
                <c:pt idx="0">
                  <c:v>Functional Area 6, Shift 2</c:v>
                </c:pt>
              </c:strCache>
            </c:strRef>
          </c:tx>
          <c:spPr>
            <a:pattFill prst="dkVert">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Data'!$BF$11:$BF$143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A-ED74-4C06-85D7-E97CF07283CF}"/>
            </c:ext>
          </c:extLst>
        </c:ser>
        <c:ser>
          <c:idx val="27"/>
          <c:order val="27"/>
          <c:tx>
            <c:strRef>
              <c:f>'Summary Data'!$BG$10</c:f>
              <c:strCache>
                <c:ptCount val="1"/>
                <c:pt idx="0">
                  <c:v>Functional Area 6, Shift 3</c:v>
                </c:pt>
              </c:strCache>
            </c:strRef>
          </c:tx>
          <c:spPr>
            <a:pattFill prst="dkVert">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Data'!$BG$11:$BG$143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B-ED74-4C06-85D7-E97CF07283CF}"/>
            </c:ext>
          </c:extLst>
        </c:ser>
        <c:ser>
          <c:idx val="28"/>
          <c:order val="28"/>
          <c:tx>
            <c:strRef>
              <c:f>'Summary Data'!$BH$10</c:f>
              <c:strCache>
                <c:ptCount val="1"/>
                <c:pt idx="0">
                  <c:v>Functional Area 6, Shift 4</c:v>
                </c:pt>
              </c:strCache>
            </c:strRef>
          </c:tx>
          <c:spPr>
            <a:pattFill prst="dkVert">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Data'!$BH$11:$BH$143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C-ED74-4C06-85D7-E97CF07283CF}"/>
            </c:ext>
          </c:extLst>
        </c:ser>
        <c:ser>
          <c:idx val="29"/>
          <c:order val="29"/>
          <c:tx>
            <c:strRef>
              <c:f>'Summary Data'!$BI$10</c:f>
              <c:strCache>
                <c:ptCount val="1"/>
                <c:pt idx="0">
                  <c:v>Functional Area 6, Shift 5</c:v>
                </c:pt>
              </c:strCache>
            </c:strRef>
          </c:tx>
          <c:spPr>
            <a:pattFill prst="dkVert">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Data'!$BI$11:$BI$143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D-ED74-4C06-85D7-E97CF07283CF}"/>
            </c:ext>
          </c:extLst>
        </c:ser>
        <c:ser>
          <c:idx val="30"/>
          <c:order val="30"/>
          <c:tx>
            <c:strRef>
              <c:f>'Summary Data'!$BJ$10</c:f>
              <c:strCache>
                <c:ptCount val="1"/>
                <c:pt idx="0">
                  <c:v>Functional Area 7, Shift 1</c:v>
                </c:pt>
              </c:strCache>
            </c:strRef>
          </c:tx>
          <c:spPr>
            <a:pattFill prst="smCheck">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Data'!$BJ$11:$BJ$143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E-ED74-4C06-85D7-E97CF07283CF}"/>
            </c:ext>
          </c:extLst>
        </c:ser>
        <c:ser>
          <c:idx val="31"/>
          <c:order val="31"/>
          <c:tx>
            <c:strRef>
              <c:f>'Summary Data'!$BK$10</c:f>
              <c:strCache>
                <c:ptCount val="1"/>
                <c:pt idx="0">
                  <c:v>Functional Area 7, Shift 2</c:v>
                </c:pt>
              </c:strCache>
            </c:strRef>
          </c:tx>
          <c:spPr>
            <a:pattFill prst="smCheck">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Data'!$BK$11:$BK$143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1F-ED74-4C06-85D7-E97CF07283CF}"/>
            </c:ext>
          </c:extLst>
        </c:ser>
        <c:ser>
          <c:idx val="32"/>
          <c:order val="32"/>
          <c:tx>
            <c:strRef>
              <c:f>'Summary Data'!$BL$10</c:f>
              <c:strCache>
                <c:ptCount val="1"/>
                <c:pt idx="0">
                  <c:v>Functional Area 7, Shift 3</c:v>
                </c:pt>
              </c:strCache>
            </c:strRef>
          </c:tx>
          <c:spPr>
            <a:pattFill prst="smCheck">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Data'!$BL$11:$BL$143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0-ED74-4C06-85D7-E97CF07283CF}"/>
            </c:ext>
          </c:extLst>
        </c:ser>
        <c:ser>
          <c:idx val="33"/>
          <c:order val="33"/>
          <c:tx>
            <c:strRef>
              <c:f>'Summary Data'!$BM$10</c:f>
              <c:strCache>
                <c:ptCount val="1"/>
                <c:pt idx="0">
                  <c:v>Functional Area 7, Shift 4</c:v>
                </c:pt>
              </c:strCache>
            </c:strRef>
          </c:tx>
          <c:spPr>
            <a:pattFill prst="smCheck">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Data'!$BM$11:$BM$143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1-ED74-4C06-85D7-E97CF07283CF}"/>
            </c:ext>
          </c:extLst>
        </c:ser>
        <c:ser>
          <c:idx val="34"/>
          <c:order val="34"/>
          <c:tx>
            <c:strRef>
              <c:f>'Summary Data'!$BN$10</c:f>
              <c:strCache>
                <c:ptCount val="1"/>
                <c:pt idx="0">
                  <c:v>Functional Area 7, Shift 5</c:v>
                </c:pt>
              </c:strCache>
            </c:strRef>
          </c:tx>
          <c:spPr>
            <a:pattFill prst="smCheck">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Data'!$BN$11:$BN$143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2-ED74-4C06-85D7-E97CF07283CF}"/>
            </c:ext>
          </c:extLst>
        </c:ser>
        <c:ser>
          <c:idx val="35"/>
          <c:order val="35"/>
          <c:tx>
            <c:strRef>
              <c:f>'Summary Data'!$BO$10</c:f>
              <c:strCache>
                <c:ptCount val="1"/>
                <c:pt idx="0">
                  <c:v>Functional Area 8, Shift 1</c:v>
                </c:pt>
              </c:strCache>
            </c:strRef>
          </c:tx>
          <c:spPr>
            <a:pattFill prst="lgConfetti">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Data'!$BO$11:$BO$143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3-ED74-4C06-85D7-E97CF07283CF}"/>
            </c:ext>
          </c:extLst>
        </c:ser>
        <c:ser>
          <c:idx val="36"/>
          <c:order val="36"/>
          <c:tx>
            <c:strRef>
              <c:f>'Summary Data'!$BP$10</c:f>
              <c:strCache>
                <c:ptCount val="1"/>
                <c:pt idx="0">
                  <c:v>Functional Area 8, Shift 2</c:v>
                </c:pt>
              </c:strCache>
            </c:strRef>
          </c:tx>
          <c:spPr>
            <a:pattFill prst="lgConfetti">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Data'!$BP$11:$BP$143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4-ED74-4C06-85D7-E97CF07283CF}"/>
            </c:ext>
          </c:extLst>
        </c:ser>
        <c:ser>
          <c:idx val="37"/>
          <c:order val="37"/>
          <c:tx>
            <c:strRef>
              <c:f>'Summary Data'!$BQ$10</c:f>
              <c:strCache>
                <c:ptCount val="1"/>
                <c:pt idx="0">
                  <c:v>Functional Area 8, Shift 3</c:v>
                </c:pt>
              </c:strCache>
            </c:strRef>
          </c:tx>
          <c:spPr>
            <a:pattFill prst="lgConfetti">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Data'!$BQ$11:$BQ$143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5-ED74-4C06-85D7-E97CF07283CF}"/>
            </c:ext>
          </c:extLst>
        </c:ser>
        <c:ser>
          <c:idx val="38"/>
          <c:order val="38"/>
          <c:tx>
            <c:strRef>
              <c:f>'Summary Data'!$BR$10</c:f>
              <c:strCache>
                <c:ptCount val="1"/>
                <c:pt idx="0">
                  <c:v>Functional Area 8, Shift 4</c:v>
                </c:pt>
              </c:strCache>
            </c:strRef>
          </c:tx>
          <c:spPr>
            <a:pattFill prst="lgConfetti">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Data'!$BR$11:$BR$143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6-ED74-4C06-85D7-E97CF07283CF}"/>
            </c:ext>
          </c:extLst>
        </c:ser>
        <c:ser>
          <c:idx val="39"/>
          <c:order val="39"/>
          <c:tx>
            <c:strRef>
              <c:f>'Summary Data'!$BS$10</c:f>
              <c:strCache>
                <c:ptCount val="1"/>
                <c:pt idx="0">
                  <c:v>Functional Area 8, Shift 5</c:v>
                </c:pt>
              </c:strCache>
            </c:strRef>
          </c:tx>
          <c:spPr>
            <a:pattFill prst="lgConfetti">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Data'!$BS$11:$BS$143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7-ED74-4C06-85D7-E97CF07283CF}"/>
            </c:ext>
          </c:extLst>
        </c:ser>
        <c:ser>
          <c:idx val="40"/>
          <c:order val="40"/>
          <c:tx>
            <c:strRef>
              <c:f>'Summary Data'!$BT$10</c:f>
              <c:strCache>
                <c:ptCount val="1"/>
                <c:pt idx="0">
                  <c:v>Functional Area 9, Shift 1</c:v>
                </c:pt>
              </c:strCache>
            </c:strRef>
          </c:tx>
          <c:spPr>
            <a:pattFill prst="wdDnDiag">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Data'!$BT$11:$BT$143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8-ED74-4C06-85D7-E97CF07283CF}"/>
            </c:ext>
          </c:extLst>
        </c:ser>
        <c:ser>
          <c:idx val="41"/>
          <c:order val="41"/>
          <c:tx>
            <c:strRef>
              <c:f>'Summary Data'!$BU$10</c:f>
              <c:strCache>
                <c:ptCount val="1"/>
                <c:pt idx="0">
                  <c:v>Functional Area 9, Shift 2</c:v>
                </c:pt>
              </c:strCache>
            </c:strRef>
          </c:tx>
          <c:spPr>
            <a:pattFill prst="wdDnDiag">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Data'!$BU$11:$BU$143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9-ED74-4C06-85D7-E97CF07283CF}"/>
            </c:ext>
          </c:extLst>
        </c:ser>
        <c:ser>
          <c:idx val="42"/>
          <c:order val="42"/>
          <c:tx>
            <c:strRef>
              <c:f>'Summary Data'!$BV$10</c:f>
              <c:strCache>
                <c:ptCount val="1"/>
                <c:pt idx="0">
                  <c:v>Functional Area 9, Shift 3</c:v>
                </c:pt>
              </c:strCache>
            </c:strRef>
          </c:tx>
          <c:spPr>
            <a:pattFill prst="wdDnDiag">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Data'!$BV$11:$BV$143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A-ED74-4C06-85D7-E97CF07283CF}"/>
            </c:ext>
          </c:extLst>
        </c:ser>
        <c:ser>
          <c:idx val="43"/>
          <c:order val="43"/>
          <c:tx>
            <c:strRef>
              <c:f>'Summary Data'!$BW$10</c:f>
              <c:strCache>
                <c:ptCount val="1"/>
                <c:pt idx="0">
                  <c:v>Functional Area 9, Shift 4</c:v>
                </c:pt>
              </c:strCache>
            </c:strRef>
          </c:tx>
          <c:spPr>
            <a:pattFill prst="wdDnDiag">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Data'!$BW$11:$BW$143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B-ED74-4C06-85D7-E97CF07283CF}"/>
            </c:ext>
          </c:extLst>
        </c:ser>
        <c:ser>
          <c:idx val="44"/>
          <c:order val="44"/>
          <c:tx>
            <c:strRef>
              <c:f>'Summary Data'!$BX$10</c:f>
              <c:strCache>
                <c:ptCount val="1"/>
                <c:pt idx="0">
                  <c:v>Functional Area 9, Shift 5</c:v>
                </c:pt>
              </c:strCache>
            </c:strRef>
          </c:tx>
          <c:spPr>
            <a:pattFill prst="wdDnDiag">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Data'!$BX$11:$BX$143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C-ED74-4C06-85D7-E97CF07283CF}"/>
            </c:ext>
          </c:extLst>
        </c:ser>
        <c:ser>
          <c:idx val="45"/>
          <c:order val="45"/>
          <c:tx>
            <c:strRef>
              <c:f>'Summary Data'!$BY$10</c:f>
              <c:strCache>
                <c:ptCount val="1"/>
                <c:pt idx="0">
                  <c:v>Functional Area 10, Shift 1</c:v>
                </c:pt>
              </c:strCache>
            </c:strRef>
          </c:tx>
          <c:spPr>
            <a:pattFill prst="horzBrick">
              <a:fgClr>
                <a:schemeClr val="accent1"/>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Data'!$BY$11:$BY$143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D-ED74-4C06-85D7-E97CF07283CF}"/>
            </c:ext>
          </c:extLst>
        </c:ser>
        <c:ser>
          <c:idx val="46"/>
          <c:order val="46"/>
          <c:tx>
            <c:strRef>
              <c:f>'Summary Data'!$BZ$10</c:f>
              <c:strCache>
                <c:ptCount val="1"/>
                <c:pt idx="0">
                  <c:v>Functional Area 10, Shift 2</c:v>
                </c:pt>
              </c:strCache>
            </c:strRef>
          </c:tx>
          <c:spPr>
            <a:pattFill prst="horzBrick">
              <a:fgClr>
                <a:schemeClr val="accent2"/>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Data'!$BZ$11:$BZ$143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E-ED74-4C06-85D7-E97CF07283CF}"/>
            </c:ext>
          </c:extLst>
        </c:ser>
        <c:ser>
          <c:idx val="47"/>
          <c:order val="47"/>
          <c:tx>
            <c:strRef>
              <c:f>'Summary Data'!$CA$10</c:f>
              <c:strCache>
                <c:ptCount val="1"/>
                <c:pt idx="0">
                  <c:v>Functional Area 10, Shift 3</c:v>
                </c:pt>
              </c:strCache>
            </c:strRef>
          </c:tx>
          <c:spPr>
            <a:pattFill prst="horzBrick">
              <a:fgClr>
                <a:schemeClr val="accent4"/>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Data'!$CA$11:$CA$143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2F-ED74-4C06-85D7-E97CF07283CF}"/>
            </c:ext>
          </c:extLst>
        </c:ser>
        <c:ser>
          <c:idx val="48"/>
          <c:order val="48"/>
          <c:tx>
            <c:strRef>
              <c:f>'Summary Data'!$CB$10</c:f>
              <c:strCache>
                <c:ptCount val="1"/>
                <c:pt idx="0">
                  <c:v>Functional Area 10, Shift 4</c:v>
                </c:pt>
              </c:strCache>
            </c:strRef>
          </c:tx>
          <c:spPr>
            <a:pattFill prst="horzBrick">
              <a:fgClr>
                <a:schemeClr val="accent6"/>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Data'!$CB$11:$CB$143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30-ED74-4C06-85D7-E97CF07283CF}"/>
            </c:ext>
          </c:extLst>
        </c:ser>
        <c:ser>
          <c:idx val="49"/>
          <c:order val="49"/>
          <c:tx>
            <c:strRef>
              <c:f>'Summary Data'!$CC$10</c:f>
              <c:strCache>
                <c:ptCount val="1"/>
                <c:pt idx="0">
                  <c:v>Functional Area 10, Shift 5</c:v>
                </c:pt>
              </c:strCache>
            </c:strRef>
          </c:tx>
          <c:spPr>
            <a:pattFill prst="horzBrick">
              <a:fgClr>
                <a:schemeClr val="accent5"/>
              </a:fgClr>
              <a:bgClr>
                <a:schemeClr val="bg1"/>
              </a:bgClr>
            </a:pattFill>
            <a:ln>
              <a:noFill/>
            </a:ln>
            <a:effectLst/>
          </c:spPr>
          <c:invertIfNegative val="0"/>
          <c:cat>
            <c:numRef>
              <c:f>'Summary Data'!$A$11:$A$143</c:f>
              <c:numCache>
                <c:formatCode>d\-mmm</c:formatCode>
                <c:ptCount val="133"/>
                <c:pt idx="0">
                  <c:v>-1</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numCache>
            </c:numRef>
          </c:cat>
          <c:val>
            <c:numRef>
              <c:f>'Summary Data'!$CC$11:$CC$143</c:f>
              <c:numCache>
                <c:formatCode>General</c:formatCode>
                <c:ptCount val="1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numCache>
            </c:numRef>
          </c:val>
          <c:extLst>
            <c:ext xmlns:c16="http://schemas.microsoft.com/office/drawing/2014/chart" uri="{C3380CC4-5D6E-409C-BE32-E72D297353CC}">
              <c16:uniqueId val="{00000031-ED74-4C06-85D7-E97CF07283CF}"/>
            </c:ext>
          </c:extLst>
        </c:ser>
        <c:dLbls>
          <c:showLegendKey val="0"/>
          <c:showVal val="0"/>
          <c:showCatName val="0"/>
          <c:showSerName val="0"/>
          <c:showPercent val="0"/>
          <c:showBubbleSize val="0"/>
        </c:dLbls>
        <c:gapWidth val="150"/>
        <c:overlap val="100"/>
        <c:axId val="404472424"/>
        <c:axId val="446482808"/>
      </c:barChart>
      <c:dateAx>
        <c:axId val="404472424"/>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CA" sz="1400">
                    <a:solidFill>
                      <a:sysClr val="windowText" lastClr="000000"/>
                    </a:solidFill>
                  </a:rPr>
                  <a:t>Episode Date</a:t>
                </a:r>
              </a:p>
            </c:rich>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46482808"/>
        <c:crosses val="autoZero"/>
        <c:auto val="1"/>
        <c:lblOffset val="100"/>
        <c:baseTimeUnit val="days"/>
      </c:dateAx>
      <c:valAx>
        <c:axId val="446482808"/>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CA" sz="1400">
                    <a:solidFill>
                      <a:sysClr val="windowText" lastClr="000000"/>
                    </a:solidFill>
                  </a:rPr>
                  <a:t>Number of Cases</a:t>
                </a:r>
              </a:p>
            </c:rich>
          </c:tx>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04472424"/>
        <c:crosses val="autoZero"/>
        <c:crossBetween val="midCat"/>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3"/>
  <sheetViews>
    <sheetView zoomScale="101" workbookViewId="0" zoomToFit="1"/>
  </sheetViews>
  <sheetProtection algorithmName="SHA-512" hashValue="vUV025YIq2+f2nsId7G06IQYOss3Uv9vrebsohl0o9ofrA0AU3I7Kw+m64p7stryIu74rCiBpI8bSxRPKE6Fcg==" saltValue="/aA+IK+/LF3tKCC5BXJn1Q==" spinCount="100000" content="1" objects="1"/>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177800</xdr:colOff>
      <xdr:row>1</xdr:row>
      <xdr:rowOff>25400</xdr:rowOff>
    </xdr:from>
    <xdr:to>
      <xdr:col>0</xdr:col>
      <xdr:colOff>1282700</xdr:colOff>
      <xdr:row>2</xdr:row>
      <xdr:rowOff>565150</xdr:rowOff>
    </xdr:to>
    <xdr:sp macro="" textlink="">
      <xdr:nvSpPr>
        <xdr:cNvPr id="1169" name="ToggleButton1" hidden="1">
          <a:extLst>
            <a:ext uri="{63B3BB69-23CF-44E3-9099-C40C66FF867C}">
              <a14:compatExt xmlns:a14="http://schemas.microsoft.com/office/drawing/2010/main"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0</xdr:col>
          <xdr:colOff>180975</xdr:colOff>
          <xdr:row>2</xdr:row>
          <xdr:rowOff>28575</xdr:rowOff>
        </xdr:from>
        <xdr:to>
          <xdr:col>0</xdr:col>
          <xdr:colOff>1333500</xdr:colOff>
          <xdr:row>3</xdr:row>
          <xdr:rowOff>333375</xdr:rowOff>
        </xdr:to>
        <xdr:sp macro="" textlink="">
          <xdr:nvSpPr>
            <xdr:cNvPr id="1175" name="ToggleButton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28575</xdr:colOff>
      <xdr:row>3</xdr:row>
      <xdr:rowOff>22040</xdr:rowOff>
    </xdr:from>
    <xdr:to>
      <xdr:col>5</xdr:col>
      <xdr:colOff>276225</xdr:colOff>
      <xdr:row>4</xdr:row>
      <xdr:rowOff>257175</xdr:rowOff>
    </xdr:to>
    <xdr:pic>
      <xdr:nvPicPr>
        <xdr:cNvPr id="2" name="Picture 1" descr="toronto 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793565"/>
          <a:ext cx="2552700" cy="5018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533400</xdr:colOff>
      <xdr:row>0</xdr:row>
      <xdr:rowOff>158750</xdr:rowOff>
    </xdr:from>
    <xdr:to>
      <xdr:col>12</xdr:col>
      <xdr:colOff>336550</xdr:colOff>
      <xdr:row>21</xdr:row>
      <xdr:rowOff>12700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585470</xdr:colOff>
      <xdr:row>1</xdr:row>
      <xdr:rowOff>0</xdr:rowOff>
    </xdr:from>
    <xdr:to>
      <xdr:col>8</xdr:col>
      <xdr:colOff>50800</xdr:colOff>
      <xdr:row>2</xdr:row>
      <xdr:rowOff>165100</xdr:rowOff>
    </xdr:to>
    <xdr:sp macro="" textlink="'Cover Sheet'!R2:U2">
      <xdr:nvSpPr>
        <xdr:cNvPr id="3" name="TextBox 1">
          <a:extLst>
            <a:ext uri="{FF2B5EF4-FFF2-40B4-BE49-F238E27FC236}">
              <a16:creationId xmlns:a16="http://schemas.microsoft.com/office/drawing/2014/main" id="{00000000-0008-0000-0600-000003000000}"/>
            </a:ext>
          </a:extLst>
        </xdr:cNvPr>
        <xdr:cNvSpPr txBox="1"/>
      </xdr:nvSpPr>
      <xdr:spPr>
        <a:xfrm>
          <a:off x="2780030" y="190500"/>
          <a:ext cx="3122930" cy="35560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4278C12A-B0AC-42FA-AE74-1D2F5CB365D2}" type="TxLink">
            <a:rPr lang="en-US" sz="1400" b="0" i="0" u="none" strike="noStrike">
              <a:solidFill>
                <a:srgbClr val="000000"/>
              </a:solidFill>
              <a:latin typeface="Calibri"/>
              <a:cs typeface="Calibri"/>
            </a:rPr>
            <a:pPr/>
            <a:t> </a:t>
          </a:fld>
          <a:endParaRPr lang="en-CA" sz="1600"/>
        </a:p>
      </xdr:txBody>
    </xdr:sp>
    <xdr:clientData/>
  </xdr:twoCellAnchor>
  <xdr:twoCellAnchor editAs="oneCell">
    <xdr:from>
      <xdr:col>13</xdr:col>
      <xdr:colOff>0</xdr:colOff>
      <xdr:row>5</xdr:row>
      <xdr:rowOff>45721</xdr:rowOff>
    </xdr:from>
    <xdr:to>
      <xdr:col>15</xdr:col>
      <xdr:colOff>236220</xdr:colOff>
      <xdr:row>10</xdr:row>
      <xdr:rowOff>52070</xdr:rowOff>
    </xdr:to>
    <mc:AlternateContent xmlns:mc="http://schemas.openxmlformats.org/markup-compatibility/2006" xmlns:a14="http://schemas.microsoft.com/office/drawing/2010/main">
      <mc:Choice Requires="a14">
        <xdr:graphicFrame macro="">
          <xdr:nvGraphicFramePr>
            <xdr:cNvPr id="4" name="Shift">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hift"/>
            </a:graphicData>
          </a:graphic>
        </xdr:graphicFrame>
      </mc:Choice>
      <mc:Fallback xmlns="">
        <xdr:sp macro="" textlink="">
          <xdr:nvSpPr>
            <xdr:cNvPr id="0" name=""/>
            <xdr:cNvSpPr>
              <a:spLocks noTextEdit="1"/>
            </xdr:cNvSpPr>
          </xdr:nvSpPr>
          <xdr:spPr>
            <a:xfrm>
              <a:off x="9509760" y="998221"/>
              <a:ext cx="1699260" cy="95884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10160</xdr:colOff>
      <xdr:row>0</xdr:row>
      <xdr:rowOff>31751</xdr:rowOff>
    </xdr:from>
    <xdr:to>
      <xdr:col>15</xdr:col>
      <xdr:colOff>207010</xdr:colOff>
      <xdr:row>5</xdr:row>
      <xdr:rowOff>0</xdr:rowOff>
    </xdr:to>
    <mc:AlternateContent xmlns:mc="http://schemas.openxmlformats.org/markup-compatibility/2006" xmlns:a14="http://schemas.microsoft.com/office/drawing/2010/main">
      <mc:Choice Requires="a14">
        <xdr:graphicFrame macro="">
          <xdr:nvGraphicFramePr>
            <xdr:cNvPr id="5" name="Role at Premise">
              <a:extLst>
                <a:ext uri="{FF2B5EF4-FFF2-40B4-BE49-F238E27FC236}">
                  <a16:creationId xmlns:a16="http://schemas.microsoft.com/office/drawing/2014/main" id="{00000000-0008-0000-0600-00000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ole at Premise"/>
            </a:graphicData>
          </a:graphic>
        </xdr:graphicFrame>
      </mc:Choice>
      <mc:Fallback xmlns="">
        <xdr:sp macro="" textlink="">
          <xdr:nvSpPr>
            <xdr:cNvPr id="0" name=""/>
            <xdr:cNvSpPr>
              <a:spLocks noTextEdit="1"/>
            </xdr:cNvSpPr>
          </xdr:nvSpPr>
          <xdr:spPr>
            <a:xfrm>
              <a:off x="9519920" y="31751"/>
              <a:ext cx="1659890" cy="92074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2540</xdr:colOff>
      <xdr:row>10</xdr:row>
      <xdr:rowOff>95250</xdr:rowOff>
    </xdr:from>
    <xdr:to>
      <xdr:col>15</xdr:col>
      <xdr:colOff>257810</xdr:colOff>
      <xdr:row>16</xdr:row>
      <xdr:rowOff>63500</xdr:rowOff>
    </xdr:to>
    <mc:AlternateContent xmlns:mc="http://schemas.openxmlformats.org/markup-compatibility/2006" xmlns:a14="http://schemas.microsoft.com/office/drawing/2010/main">
      <mc:Choice Requires="a14">
        <xdr:graphicFrame macro="">
          <xdr:nvGraphicFramePr>
            <xdr:cNvPr id="6" name="Functional Area">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onal Area"/>
            </a:graphicData>
          </a:graphic>
        </xdr:graphicFrame>
      </mc:Choice>
      <mc:Fallback xmlns="">
        <xdr:sp macro="" textlink="">
          <xdr:nvSpPr>
            <xdr:cNvPr id="0" name=""/>
            <xdr:cNvSpPr>
              <a:spLocks noTextEdit="1"/>
            </xdr:cNvSpPr>
          </xdr:nvSpPr>
          <xdr:spPr>
            <a:xfrm>
              <a:off x="9512300" y="2000250"/>
              <a:ext cx="1718310" cy="111125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absoluteAnchor>
    <xdr:pos x="0" y="0"/>
    <xdr:ext cx="6933446" cy="5032218"/>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0.00587</cdr:x>
      <cdr:y>0.00808</cdr:y>
    </cdr:from>
    <cdr:to>
      <cdr:x>0.49169</cdr:x>
      <cdr:y>0.07806</cdr:y>
    </cdr:to>
    <cdr:sp macro="" textlink="">
      <cdr:nvSpPr>
        <cdr:cNvPr id="2" name="TextBox 1"/>
        <cdr:cNvSpPr txBox="1"/>
      </cdr:nvSpPr>
      <cdr:spPr>
        <a:xfrm xmlns:a="http://schemas.openxmlformats.org/drawingml/2006/main">
          <a:off x="50800" y="50800"/>
          <a:ext cx="4207933" cy="44026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1600"/>
            <a:t>COVID-19 Epi Curve by Shift</a:t>
          </a:r>
          <a:r>
            <a:rPr lang="en-CA" sz="1600" baseline="0"/>
            <a:t> and</a:t>
          </a:r>
          <a:r>
            <a:rPr lang="en-CA" sz="1600"/>
            <a:t> Functional</a:t>
          </a:r>
          <a:r>
            <a:rPr lang="en-CA" sz="1600" baseline="0"/>
            <a:t> Area </a:t>
          </a:r>
          <a:r>
            <a:rPr lang="en-CA" sz="1600"/>
            <a:t>for: </a:t>
          </a: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10</xdr:col>
      <xdr:colOff>76200</xdr:colOff>
      <xdr:row>4</xdr:row>
      <xdr:rowOff>152400</xdr:rowOff>
    </xdr:from>
    <xdr:to>
      <xdr:col>10</xdr:col>
      <xdr:colOff>1783080</xdr:colOff>
      <xdr:row>4</xdr:row>
      <xdr:rowOff>926165</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533965" y="152400"/>
          <a:ext cx="1708785" cy="771860"/>
          <a:chOff x="10877550" y="552451"/>
          <a:chExt cx="1666875" cy="771524"/>
        </a:xfrm>
      </xdr:grpSpPr>
      <xdr:sp macro="[0]!data_to_t_map_template" textlink="">
        <xdr:nvSpPr>
          <xdr:cNvPr id="4" name="Rounded Rectangle 3">
            <a:extLst>
              <a:ext uri="{FF2B5EF4-FFF2-40B4-BE49-F238E27FC236}">
                <a16:creationId xmlns:a16="http://schemas.microsoft.com/office/drawing/2014/main" id="{00000000-0008-0000-0900-000004000000}"/>
              </a:ext>
            </a:extLst>
          </xdr:cNvPr>
          <xdr:cNvSpPr/>
        </xdr:nvSpPr>
        <xdr:spPr>
          <a:xfrm>
            <a:off x="10877550" y="552451"/>
            <a:ext cx="1666875" cy="771524"/>
          </a:xfrm>
          <a:prstGeom prst="roundRect">
            <a:avLst/>
          </a:prstGeom>
          <a:ln w="38100">
            <a:solidFill>
              <a:srgbClr val="002060"/>
            </a:solidFill>
          </a:ln>
        </xdr:spPr>
        <xdr:style>
          <a:lnRef idx="1">
            <a:schemeClr val="accent2"/>
          </a:lnRef>
          <a:fillRef idx="2">
            <a:schemeClr val="accent2"/>
          </a:fillRef>
          <a:effectRef idx="1">
            <a:schemeClr val="accent2"/>
          </a:effectRef>
          <a:fontRef idx="minor">
            <a:schemeClr val="dk1"/>
          </a:fontRef>
        </xdr:style>
        <xdr:txBody>
          <a:bodyPr rot="0" spcFirstLastPara="0" vertOverflow="clip" horzOverflow="clip" vert="horz" wrap="none" lIns="91440" tIns="45720" rIns="91440" bIns="45720" numCol="1" spcCol="0" rtlCol="0" fromWordArt="0" anchor="t" anchorCtr="0" forceAA="0" compatLnSpc="1">
            <a:prstTxWarp prst="textNoShape">
              <a:avLst/>
            </a:prstTxWarp>
            <a:noAutofit/>
          </a:bodyPr>
          <a:lstStyle/>
          <a:p>
            <a:pPr algn="l"/>
            <a:endParaRPr lang="en-CA" sz="1200" b="1">
              <a:solidFill>
                <a:srgbClr val="000000"/>
              </a:solidFill>
              <a:latin typeface="Arial" panose="020B0604020202020204" pitchFamily="34" charset="0"/>
              <a:cs typeface="Arial" panose="020B0604020202020204" pitchFamily="34" charset="0"/>
            </a:endParaRPr>
          </a:p>
        </xdr:txBody>
      </xdr:sp>
      <xdr:sp macro="[0]!data_to_t_map_template" textlink="">
        <xdr:nvSpPr>
          <xdr:cNvPr id="5" name="TextBox 4">
            <a:extLst>
              <a:ext uri="{FF2B5EF4-FFF2-40B4-BE49-F238E27FC236}">
                <a16:creationId xmlns:a16="http://schemas.microsoft.com/office/drawing/2014/main" id="{00000000-0008-0000-0900-000005000000}"/>
              </a:ext>
            </a:extLst>
          </xdr:cNvPr>
          <xdr:cNvSpPr txBox="1"/>
        </xdr:nvSpPr>
        <xdr:spPr>
          <a:xfrm>
            <a:off x="10967835" y="586149"/>
            <a:ext cx="1490865" cy="6616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a:solidFill>
                  <a:schemeClr val="dk1"/>
                </a:solidFill>
                <a:effectLst/>
                <a:latin typeface="Arial" panose="020B0604020202020204" pitchFamily="34" charset="0"/>
                <a:ea typeface="+mn-ea"/>
                <a:cs typeface="Arial" panose="020B0604020202020204" pitchFamily="34" charset="0"/>
              </a:rPr>
              <a:t>Click</a:t>
            </a:r>
            <a:r>
              <a:rPr lang="en-CA" sz="1200" b="1" baseline="0">
                <a:solidFill>
                  <a:schemeClr val="dk1"/>
                </a:solidFill>
                <a:effectLst/>
                <a:latin typeface="Arial" panose="020B0604020202020204" pitchFamily="34" charset="0"/>
                <a:ea typeface="+mn-ea"/>
                <a:cs typeface="Arial" panose="020B0604020202020204" pitchFamily="34" charset="0"/>
              </a:rPr>
              <a:t> </a:t>
            </a:r>
            <a:r>
              <a:rPr lang="en-CA" sz="1200" b="1">
                <a:solidFill>
                  <a:schemeClr val="dk1"/>
                </a:solidFill>
                <a:effectLst/>
                <a:latin typeface="Arial" panose="020B0604020202020204" pitchFamily="34" charset="0"/>
                <a:ea typeface="+mn-ea"/>
                <a:cs typeface="Arial" panose="020B0604020202020204" pitchFamily="34" charset="0"/>
              </a:rPr>
              <a:t>to send data to Transmission Map Template</a:t>
            </a:r>
            <a:endParaRPr lang="en-CA" sz="1050" b="1">
              <a:effectLst/>
              <a:latin typeface="Arial" panose="020B0604020202020204" pitchFamily="34" charset="0"/>
              <a:cs typeface="Arial" panose="020B0604020202020204" pitchFamily="34" charset="0"/>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ia Islam" refreshedDate="44944.684487500002" backgroundQuery="1" createdVersion="3" refreshedVersion="5" minRefreshableVersion="3" recordCount="0" supportSubquery="1" supportAdvancedDrill="1" xr:uid="{00000000-000A-0000-FFFF-FFFF00000000}">
  <cacheSource type="external" connectionId="1">
    <extLst>
      <ext xmlns:x14="http://schemas.microsoft.com/office/spreadsheetml/2009/9/main" uri="{F057638F-6D5F-4e77-A914-E7F072B9BCA8}">
        <x14:sourceConnection name="ThisWorkbookDataModel"/>
      </ext>
    </extLst>
  </cacheSource>
  <cacheFields count="0"/>
  <cacheHierarchies count="9">
    <cacheHierarchy uniqueName="[Range].[Current Classification Status*]" caption="Current Classification Status*" attribute="1" defaultMemberUniqueName="[Range].[Current Classification Status*].[All]" allUniqueName="[Range].[Current Classification Status*].[All]" dimensionUniqueName="[Range]" displayFolder="" count="0" memberValueDatatype="130" unbalanced="0"/>
    <cacheHierarchy uniqueName="[Range].[Postal Code]" caption="Postal Code" attribute="1" defaultMemberUniqueName="[Range].[Postal Code].[All]" allUniqueName="[Range].[Postal Code].[All]" dimensionUniqueName="[Range]" displayFolder="" count="0" memberValueDatatype="130" unbalanced="0"/>
    <cacheHierarchy uniqueName="[Range].[Symptom Onset Date/ Testing Date]" caption="Symptom Onset Date/ Testing Date" attribute="1" defaultMemberUniqueName="[Range].[Symptom Onset Date/ Testing Date].[All]" allUniqueName="[Range].[Symptom Onset Date/ Testing Date].[All]" dimensionUniqueName="[Range]" displayFolder="" count="0" memberValueDatatype="130" unbalanced="0"/>
    <cacheHierarchy uniqueName="[Range].[Role at Premise]" caption="Role at Premise" attribute="1" defaultMemberUniqueName="[Range].[Role at Premise].[All]" allUniqueName="[Range].[Role at Premise].[All]" dimensionUniqueName="[Range]" displayFolder="" count="2" memberValueDatatype="130" unbalanced="0"/>
    <cacheHierarchy uniqueName="[Range].[Shift]" caption="Shift" attribute="1" defaultMemberUniqueName="[Range].[Shift].[All]" allUniqueName="[Range].[Shift].[All]" dimensionUniqueName="[Range]" displayFolder="" count="2" memberValueDatatype="130" unbalanced="0"/>
    <cacheHierarchy uniqueName="[Range].[Functional Area]" caption="Functional Area" attribute="1" defaultMemberUniqueName="[Range].[Functional Area].[All]" allUniqueName="[Range].[Functional Area].[All]" dimensionUniqueName="[Range]" displayFolder="" count="2" memberValueDatatype="130" unbalanced="0"/>
    <cacheHierarchy uniqueName="[Measures].[Count of Current Classification Status 2]" caption="Count of Current Classification Status 2" measure="1" displayFolder="" measureGroup="Range" count="0">
      <extLst>
        <ext xmlns:x15="http://schemas.microsoft.com/office/spreadsheetml/2010/11/main" uri="{B97F6D7D-B522-45F9-BDA1-12C45D357490}">
          <x15:cacheHierarchy aggregatedColumn="0"/>
        </ext>
      </extLst>
    </cacheHierarchy>
    <cacheHierarchy uniqueName="[Measures].[__XL_Count Range]" caption="__XL_Count Range" measure="1" displayFolder="" measureGroup="Range"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39"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ia Islam" refreshedDate="44944.684494560184" backgroundQuery="1" createdVersion="5" refreshedVersion="5" minRefreshableVersion="3" recordCount="0" supportSubquery="1" supportAdvancedDrill="1" xr:uid="{00000000-000A-0000-FFFF-FFFF01000000}">
  <cacheSource type="external" connectionId="1">
    <extLst>
      <ext xmlns:x14="http://schemas.microsoft.com/office/spreadsheetml/2009/9/main" uri="{F057638F-6D5F-4e77-A914-E7F072B9BCA8}">
        <x14:sourceConnection name="ThisWorkbookDataModel"/>
      </ext>
    </extLst>
  </cacheSource>
  <cacheFields count="6">
    <cacheField name="[Measures].[Count of Current Classification Status 2]" caption="Count of Current Classification Status 2" numFmtId="0" hierarchy="6" level="32767"/>
    <cacheField name="[Range].[Symptom Onset Date/ Testing Date].[Symptom Onset Date/ Testing Date]" caption="Symptom Onset Date/ Testing Date" numFmtId="0" hierarchy="2" level="1">
      <sharedItems count="1">
        <s v=""/>
      </sharedItems>
    </cacheField>
    <cacheField name="[Range].[Current Classification Status*].[Current Classification Status*]" caption="Current Classification Status*" numFmtId="0" level="1">
      <sharedItems count="1">
        <s v=""/>
      </sharedItems>
    </cacheField>
    <cacheField name="[Range].[Functional Area].[Functional Area]" caption="Functional Area" numFmtId="0" hierarchy="5" level="1">
      <sharedItems containsSemiMixedTypes="0" containsNonDate="0" containsString="0"/>
    </cacheField>
    <cacheField name="[Range].[Shift].[Shift]" caption="Shift" numFmtId="0" hierarchy="4" level="1">
      <sharedItems containsSemiMixedTypes="0" containsNonDate="0" containsString="0"/>
    </cacheField>
    <cacheField name="[Range].[Role at Premise].[Role at Premise]" caption="Role at Premise" numFmtId="0" hierarchy="3" level="1">
      <sharedItems containsSemiMixedTypes="0" containsNonDate="0" containsString="0"/>
    </cacheField>
  </cacheFields>
  <cacheHierarchies count="9">
    <cacheHierarchy uniqueName="[Range].[Current Classification Status*]" caption="Current Classification Status*" attribute="1" defaultMemberUniqueName="[Range].[Current Classification Status*].[All]" allUniqueName="[Range].[Current Classification Status*].[All]" dimensionUniqueName="[Range]" displayFolder="" count="2" memberValueDatatype="130" unbalanced="0">
      <fieldsUsage count="2">
        <fieldUsage x="-1"/>
        <fieldUsage x="2"/>
      </fieldsUsage>
    </cacheHierarchy>
    <cacheHierarchy uniqueName="[Range].[Postal Code]" caption="Postal Code" attribute="1" defaultMemberUniqueName="[Range].[Postal Code].[All]" allUniqueName="[Range].[Postal Code].[All]" dimensionUniqueName="[Range]" displayFolder="" count="0" memberValueDatatype="130" unbalanced="0"/>
    <cacheHierarchy uniqueName="[Range].[Symptom Onset Date/ Testing Date]" caption="Symptom Onset Date/ Testing Date" attribute="1" defaultMemberUniqueName="[Range].[Symptom Onset Date/ Testing Date].[All]" allUniqueName="[Range].[Symptom Onset Date/ Testing Date].[All]" dimensionUniqueName="[Range]" displayFolder="" count="2" memberValueDatatype="130" unbalanced="0">
      <fieldsUsage count="2">
        <fieldUsage x="-1"/>
        <fieldUsage x="1"/>
      </fieldsUsage>
    </cacheHierarchy>
    <cacheHierarchy uniqueName="[Range].[Role at Premise]" caption="Role at Premise" attribute="1" defaultMemberUniqueName="[Range].[Role at Premise].[All]" allUniqueName="[Range].[Role at Premise].[All]" dimensionUniqueName="[Range]" displayFolder="" count="2" memberValueDatatype="130" unbalanced="0">
      <fieldsUsage count="2">
        <fieldUsage x="-1"/>
        <fieldUsage x="5"/>
      </fieldsUsage>
    </cacheHierarchy>
    <cacheHierarchy uniqueName="[Range].[Shift]" caption="Shift" attribute="1" defaultMemberUniqueName="[Range].[Shift].[All]" allUniqueName="[Range].[Shift].[All]" dimensionUniqueName="[Range]" displayFolder="" count="2" memberValueDatatype="130" unbalanced="0">
      <fieldsUsage count="2">
        <fieldUsage x="-1"/>
        <fieldUsage x="4"/>
      </fieldsUsage>
    </cacheHierarchy>
    <cacheHierarchy uniqueName="[Range].[Functional Area]" caption="Functional Area" attribute="1" defaultMemberUniqueName="[Range].[Functional Area].[All]" allUniqueName="[Range].[Functional Area].[All]" dimensionUniqueName="[Range]" displayFolder="" count="2" memberValueDatatype="130" unbalanced="0">
      <fieldsUsage count="2">
        <fieldUsage x="-1"/>
        <fieldUsage x="3"/>
      </fieldsUsage>
    </cacheHierarchy>
    <cacheHierarchy uniqueName="[Measures].[Count of Current Classification Status 2]" caption="Count of Current Classification Status 2" measure="1" displayFolder="" measureGroup="Range" count="0" oneField="1">
      <fieldsUsage count="1">
        <fieldUsage x="0"/>
      </fieldsUsage>
      <extLst>
        <ext xmlns:x15="http://schemas.microsoft.com/office/spreadsheetml/2010/11/main" uri="{B97F6D7D-B522-45F9-BDA1-12C45D357490}">
          <x15:cacheHierarchy aggregatedColumn="0"/>
        </ext>
      </extLst>
    </cacheHierarchy>
    <cacheHierarchy uniqueName="[Measures].[__XL_Count Range]" caption="__XL_Count Range" measure="1" displayFolder="" measureGroup="Range" count="0" hidden="1"/>
    <cacheHierarchy uniqueName="[Measures].[__XL_Count of Models]" caption="__XL_Count of Models"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ChartTable1" cacheId="1"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chartFormat="1">
  <location ref="A1:C4" firstHeaderRow="1" firstDataRow="2" firstDataCol="1"/>
  <pivotFields count="6">
    <pivotField dataField="1" showAll="0"/>
    <pivotField axis="axisRow" allDrilled="1" showAll="0" sortType="ascending" defaultAttributeDrillState="1">
      <items count="2">
        <item x="0"/>
        <item t="default"/>
      </items>
    </pivotField>
    <pivotField axis="axisCol" allDrilled="1" showAll="0" dataSourceSort="1" defaultAttributeDrillState="1">
      <items count="2">
        <item x="0"/>
        <item t="default"/>
      </items>
    </pivotField>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2">
    <i>
      <x/>
    </i>
    <i t="grand">
      <x/>
    </i>
  </rowItems>
  <colFields count="1">
    <field x="2"/>
  </colFields>
  <colItems count="2">
    <i>
      <x/>
    </i>
    <i t="grand">
      <x/>
    </i>
  </colItems>
  <dataFields count="1">
    <dataField name="Count of Current Classification Status*"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2" count="1" selected="0">
            <x v="0"/>
          </reference>
        </references>
      </pivotArea>
    </chartFormat>
  </chartFormats>
  <pivotHierarchies count="9">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ies>
  <rowHierarchiesUsage count="1">
    <rowHierarchyUsage hierarchyUsage="2"/>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 columnCount="2" cacheId="3">
        <x15:pivotRow count="2">
          <x15:c>
            <x15:v>199</x15:v>
          </x15:c>
          <x15:c>
            <x15:v>199</x15:v>
          </x15:c>
        </x15:pivotRow>
        <x15:pivotRow count="2">
          <x15:c>
            <x15:v>199</x15:v>
          </x15:c>
          <x15:c>
            <x15:v>199</x15:v>
          </x15:c>
        </x15:pivotRow>
      </x15:pivotTableData>
    </ext>
    <ext xmlns:x15="http://schemas.microsoft.com/office/spreadsheetml/2010/11/main" uri="{E67621CE-5B39-4880-91FE-76760E9C1902}">
      <x15:pivotTableUISettings sourceDataName="WorksheetConnection_Epi-C_data!$A$1:$F$200">
        <x15:activeTabTopLevelEntity name="[Rang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 xr10:uid="{00000000-0013-0000-FFFF-FFFF01000000}" sourceName="[Range].[Shift]">
  <data>
    <olap pivotCacheId="39">
      <levels count="2">
        <level uniqueName="[Range].[Shift].[(All)]" sourceCaption="(All)" count="0"/>
        <level uniqueName="[Range].[Shift].[Shift]" sourceCaption="Shift" count="1">
          <ranges>
            <range startItem="0">
              <i n="[Range].[Shift].&amp;[]" c=""/>
            </range>
          </ranges>
        </level>
      </levels>
      <selections count="1">
        <selection n="[Range].[Shift].[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_at_Premise" xr10:uid="{00000000-0013-0000-FFFF-FFFF02000000}" sourceName="[Range].[Role at Premise]">
  <data>
    <olap pivotCacheId="39">
      <levels count="2">
        <level uniqueName="[Range].[Role at Premise].[(All)]" sourceCaption="(All)" count="0"/>
        <level uniqueName="[Range].[Role at Premise].[Role at Premise]" sourceCaption="Role at Premise" count="1">
          <ranges>
            <range startItem="0">
              <i n="[Range].[Role at Premise].&amp;[]" c=""/>
            </range>
          </ranges>
        </level>
      </levels>
      <selections count="1">
        <selection n="[Range].[Role at Premise].[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al_Area" xr10:uid="{00000000-0013-0000-FFFF-FFFF03000000}" sourceName="[Range].[Functional Area]">
  <data>
    <olap pivotCacheId="39">
      <levels count="2">
        <level uniqueName="[Range].[Functional Area].[(All)]" sourceCaption="(All)" count="0"/>
        <level uniqueName="[Range].[Functional Area].[Functional Area]" sourceCaption="Functional Area" count="1">
          <ranges>
            <range startItem="0">
              <i n="[Range].[Functional Area].&amp;[]" c=""/>
            </range>
          </ranges>
        </level>
      </levels>
      <selections count="1">
        <selection n="[Range].[Functional Area].[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ft" xr10:uid="{00000000-0014-0000-FFFF-FFFF01000000}" cache="Slicer_Shift" caption="Shift" level="1" rowHeight="241300"/>
  <slicer name="Role at Premise" xr10:uid="{00000000-0014-0000-FFFF-FFFF02000000}" cache="Slicer_Role_at_Premise" caption="Role at Premise" level="1" rowHeight="241300"/>
  <slicer name="Functional Area" xr10:uid="{00000000-0014-0000-FFFF-FFFF03000000}" cache="Slicer_Functional_Area" caption="Functional Area"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hyperlink" Target="https://www.health.gov.on.ca/en/pro/programs/publichealth/coronavirus/docs/2019_case_definition.pdf" TargetMode="External"/><Relationship Id="rId1" Type="http://schemas.openxmlformats.org/officeDocument/2006/relationships/hyperlink" Target="https://www.toronto.ca/home/covid-19/covid-19-what-you-should-do/covid-19-what-to-do-if-you-have-covid-19-symptoms/?accordion=symptoms-of-covid-19"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200"/>
  <sheetViews>
    <sheetView topLeftCell="M45" zoomScaleNormal="100" workbookViewId="0">
      <selection activeCell="Y4" sqref="Y4:Y8"/>
    </sheetView>
  </sheetViews>
  <sheetFormatPr defaultColWidth="5.88671875" defaultRowHeight="15.75" x14ac:dyDescent="0.25"/>
  <cols>
    <col min="1" max="3" width="5.88671875" style="14" hidden="1" customWidth="1"/>
    <col min="4" max="4" width="19.44140625" style="14" hidden="1" customWidth="1"/>
    <col min="5" max="7" width="7" style="14" hidden="1" customWidth="1"/>
    <col min="8" max="8" width="5.33203125" style="14" hidden="1" customWidth="1"/>
    <col min="9" max="9" width="5.88671875" style="14" hidden="1" customWidth="1"/>
    <col min="10" max="10" width="6.5546875" style="14" hidden="1" customWidth="1"/>
    <col min="11" max="11" width="6.6640625" style="14" hidden="1" customWidth="1"/>
    <col min="12" max="12" width="3.88671875" style="14" hidden="1" customWidth="1"/>
    <col min="13" max="13" width="4.21875" style="14" customWidth="1"/>
    <col min="14" max="14" width="15.109375" style="14" customWidth="1"/>
    <col min="15" max="15" width="16.6640625" style="14" customWidth="1"/>
    <col min="16" max="19" width="12.109375" style="14" customWidth="1"/>
    <col min="20" max="20" width="17.5546875" style="14" customWidth="1"/>
    <col min="21" max="21" width="5.88671875" style="14"/>
    <col min="22" max="23" width="0" style="14" hidden="1" customWidth="1"/>
    <col min="24" max="24" width="19" style="14" bestFit="1" customWidth="1"/>
    <col min="25" max="25" width="10.109375" style="14" bestFit="1" customWidth="1"/>
    <col min="26" max="16384" width="5.88671875" style="14"/>
  </cols>
  <sheetData>
    <row r="1" spans="1:25" ht="30.6" customHeight="1" thickBot="1" x14ac:dyDescent="0.3">
      <c r="A1" s="517" t="s">
        <v>101</v>
      </c>
      <c r="B1" s="517"/>
      <c r="C1" s="517"/>
      <c r="D1" s="517"/>
      <c r="E1" s="517"/>
      <c r="F1" s="517"/>
      <c r="G1" s="517"/>
      <c r="H1" s="517"/>
      <c r="N1" s="552" t="s">
        <v>101</v>
      </c>
      <c r="O1" s="552"/>
      <c r="P1" s="552"/>
      <c r="Q1" s="552"/>
      <c r="R1" s="552"/>
      <c r="S1" s="552"/>
      <c r="T1" s="552"/>
      <c r="U1" s="552"/>
    </row>
    <row r="2" spans="1:25" ht="26.45" customHeight="1" x14ac:dyDescent="0.25">
      <c r="A2" s="522" t="s">
        <v>59</v>
      </c>
      <c r="B2" s="523"/>
      <c r="C2" s="523"/>
      <c r="D2" s="524"/>
      <c r="E2" s="531"/>
      <c r="F2" s="531"/>
      <c r="G2" s="531"/>
      <c r="H2" s="532"/>
      <c r="N2" s="553" t="s">
        <v>59</v>
      </c>
      <c r="O2" s="554"/>
      <c r="P2" s="554"/>
      <c r="Q2" s="555"/>
      <c r="R2" s="531"/>
      <c r="S2" s="531"/>
      <c r="T2" s="531"/>
      <c r="U2" s="532"/>
    </row>
    <row r="3" spans="1:25" ht="26.45" customHeight="1" x14ac:dyDescent="0.25">
      <c r="A3" s="528" t="s">
        <v>58</v>
      </c>
      <c r="B3" s="529"/>
      <c r="C3" s="529"/>
      <c r="D3" s="530"/>
      <c r="E3" s="531"/>
      <c r="F3" s="531"/>
      <c r="G3" s="531"/>
      <c r="H3" s="532"/>
      <c r="N3" s="556" t="s">
        <v>58</v>
      </c>
      <c r="O3" s="557"/>
      <c r="P3" s="557"/>
      <c r="Q3" s="558"/>
      <c r="R3" s="531"/>
      <c r="S3" s="531"/>
      <c r="T3" s="531"/>
      <c r="U3" s="532"/>
      <c r="X3" s="168" t="s">
        <v>398</v>
      </c>
      <c r="Y3" s="168" t="s">
        <v>399</v>
      </c>
    </row>
    <row r="4" spans="1:25" ht="15.6" customHeight="1" x14ac:dyDescent="0.25">
      <c r="A4" s="437" t="s">
        <v>140</v>
      </c>
      <c r="B4" s="438"/>
      <c r="C4" s="438"/>
      <c r="D4" s="439"/>
      <c r="E4" s="365"/>
      <c r="F4" s="365"/>
      <c r="G4" s="365"/>
      <c r="H4" s="533"/>
      <c r="N4" s="556" t="s">
        <v>521</v>
      </c>
      <c r="O4" s="557"/>
      <c r="P4" s="557"/>
      <c r="Q4" s="558"/>
      <c r="R4" s="560"/>
      <c r="S4" s="561"/>
      <c r="T4" s="561"/>
      <c r="U4" s="562"/>
      <c r="X4" s="171" t="s">
        <v>590</v>
      </c>
      <c r="Y4" s="171" t="s">
        <v>600</v>
      </c>
    </row>
    <row r="5" spans="1:25" x14ac:dyDescent="0.25">
      <c r="A5" s="525" t="s">
        <v>160</v>
      </c>
      <c r="B5" s="526"/>
      <c r="C5" s="526"/>
      <c r="D5" s="527"/>
      <c r="E5" s="362"/>
      <c r="F5" s="363"/>
      <c r="G5" s="363"/>
      <c r="H5" s="521"/>
      <c r="N5" s="556" t="s">
        <v>544</v>
      </c>
      <c r="O5" s="557"/>
      <c r="P5" s="557"/>
      <c r="Q5" s="558"/>
      <c r="R5" s="362"/>
      <c r="S5" s="363"/>
      <c r="T5" s="363"/>
      <c r="U5" s="521"/>
      <c r="X5" s="171" t="s">
        <v>591</v>
      </c>
      <c r="Y5" s="171" t="s">
        <v>601</v>
      </c>
    </row>
    <row r="6" spans="1:25" ht="15.6" customHeight="1" x14ac:dyDescent="0.25">
      <c r="A6" s="437" t="s">
        <v>123</v>
      </c>
      <c r="B6" s="438"/>
      <c r="C6" s="438"/>
      <c r="D6" s="439"/>
      <c r="E6" s="365"/>
      <c r="F6" s="365"/>
      <c r="G6" s="365"/>
      <c r="H6" s="533"/>
      <c r="N6" s="556" t="s">
        <v>543</v>
      </c>
      <c r="O6" s="557"/>
      <c r="P6" s="557"/>
      <c r="Q6" s="558"/>
      <c r="R6" s="362"/>
      <c r="S6" s="363"/>
      <c r="T6" s="363"/>
      <c r="U6" s="521"/>
      <c r="X6" s="171" t="s">
        <v>592</v>
      </c>
      <c r="Y6" s="171" t="s">
        <v>602</v>
      </c>
    </row>
    <row r="7" spans="1:25" x14ac:dyDescent="0.25">
      <c r="A7" s="437" t="s">
        <v>124</v>
      </c>
      <c r="B7" s="438"/>
      <c r="C7" s="438"/>
      <c r="D7" s="439"/>
      <c r="E7" s="365"/>
      <c r="F7" s="365"/>
      <c r="G7" s="365"/>
      <c r="H7" s="533"/>
      <c r="N7" s="556" t="s">
        <v>545</v>
      </c>
      <c r="O7" s="557"/>
      <c r="P7" s="557"/>
      <c r="Q7" s="558"/>
      <c r="R7" s="362"/>
      <c r="S7" s="363"/>
      <c r="T7" s="363"/>
      <c r="U7" s="521"/>
      <c r="X7" s="171" t="s">
        <v>593</v>
      </c>
      <c r="Y7" s="171" t="s">
        <v>603</v>
      </c>
    </row>
    <row r="8" spans="1:25" ht="16.5" customHeight="1" x14ac:dyDescent="0.25">
      <c r="A8" s="534" t="s">
        <v>161</v>
      </c>
      <c r="B8" s="535"/>
      <c r="C8" s="535"/>
      <c r="D8" s="438"/>
      <c r="E8" s="518"/>
      <c r="F8" s="519"/>
      <c r="G8" s="519"/>
      <c r="H8" s="520"/>
      <c r="N8" s="567" t="s">
        <v>429</v>
      </c>
      <c r="O8" s="543" t="s">
        <v>432</v>
      </c>
      <c r="P8" s="544"/>
      <c r="Q8" s="545"/>
      <c r="R8" s="362"/>
      <c r="S8" s="363"/>
      <c r="T8" s="363"/>
      <c r="U8" s="521"/>
      <c r="X8" s="171" t="s">
        <v>594</v>
      </c>
      <c r="Y8" s="171" t="s">
        <v>604</v>
      </c>
    </row>
    <row r="9" spans="1:25" x14ac:dyDescent="0.25">
      <c r="A9" s="534" t="s">
        <v>162</v>
      </c>
      <c r="B9" s="535"/>
      <c r="C9" s="535"/>
      <c r="D9" s="438"/>
      <c r="E9" s="362"/>
      <c r="F9" s="363"/>
      <c r="G9" s="363"/>
      <c r="H9" s="521"/>
      <c r="N9" s="568"/>
      <c r="O9" s="543" t="s">
        <v>433</v>
      </c>
      <c r="P9" s="544"/>
      <c r="Q9" s="545"/>
      <c r="R9" s="362"/>
      <c r="S9" s="363"/>
      <c r="T9" s="363"/>
      <c r="U9" s="521"/>
      <c r="X9" s="171" t="s">
        <v>595</v>
      </c>
      <c r="Y9" s="169"/>
    </row>
    <row r="10" spans="1:25" ht="15.75" customHeight="1" x14ac:dyDescent="0.25">
      <c r="A10" s="437" t="s">
        <v>112</v>
      </c>
      <c r="B10" s="438"/>
      <c r="C10" s="438"/>
      <c r="D10" s="439"/>
      <c r="E10" s="442"/>
      <c r="F10" s="442"/>
      <c r="G10" s="442"/>
      <c r="H10" s="443"/>
      <c r="N10" s="569"/>
      <c r="O10" s="543" t="s">
        <v>434</v>
      </c>
      <c r="P10" s="544"/>
      <c r="Q10" s="545"/>
      <c r="R10" s="362"/>
      <c r="S10" s="363"/>
      <c r="T10" s="363"/>
      <c r="U10" s="521"/>
      <c r="X10" s="171" t="s">
        <v>596</v>
      </c>
      <c r="Y10" s="170"/>
    </row>
    <row r="11" spans="1:25" x14ac:dyDescent="0.25">
      <c r="A11" s="437" t="s">
        <v>89</v>
      </c>
      <c r="B11" s="438"/>
      <c r="C11" s="438"/>
      <c r="D11" s="439"/>
      <c r="E11" s="442"/>
      <c r="F11" s="442"/>
      <c r="G11" s="442"/>
      <c r="H11" s="443"/>
      <c r="N11" s="546" t="s">
        <v>436</v>
      </c>
      <c r="O11" s="547"/>
      <c r="P11" s="547"/>
      <c r="Q11" s="548"/>
      <c r="R11" s="362"/>
      <c r="S11" s="363"/>
      <c r="T11" s="363"/>
      <c r="U11" s="521"/>
      <c r="X11" s="171" t="s">
        <v>597</v>
      </c>
      <c r="Y11" s="170"/>
    </row>
    <row r="12" spans="1:25" ht="16.5" thickBot="1" x14ac:dyDescent="0.3">
      <c r="A12" s="437" t="s">
        <v>125</v>
      </c>
      <c r="B12" s="438"/>
      <c r="C12" s="438"/>
      <c r="D12" s="439"/>
      <c r="E12" s="442"/>
      <c r="F12" s="442"/>
      <c r="G12" s="442"/>
      <c r="H12" s="443"/>
      <c r="N12" s="549" t="s">
        <v>430</v>
      </c>
      <c r="O12" s="550"/>
      <c r="P12" s="550"/>
      <c r="Q12" s="551"/>
      <c r="R12" s="362"/>
      <c r="S12" s="363"/>
      <c r="T12" s="363"/>
      <c r="U12" s="521"/>
      <c r="X12" s="171" t="s">
        <v>598</v>
      </c>
      <c r="Y12" s="170"/>
    </row>
    <row r="13" spans="1:25" ht="16.5" thickBot="1" x14ac:dyDescent="0.3">
      <c r="A13" s="536" t="s">
        <v>192</v>
      </c>
      <c r="B13" s="503" t="s">
        <v>495</v>
      </c>
      <c r="C13" s="503"/>
      <c r="D13" s="504"/>
      <c r="E13" s="442"/>
      <c r="F13" s="442"/>
      <c r="G13" s="442"/>
      <c r="H13" s="443"/>
      <c r="N13" s="579" t="s">
        <v>169</v>
      </c>
      <c r="O13" s="539" t="s">
        <v>83</v>
      </c>
      <c r="P13" s="540"/>
      <c r="Q13" s="541"/>
      <c r="R13" s="570">
        <f>MIN('Data entry'!$R$6:$R$200)</f>
        <v>0</v>
      </c>
      <c r="S13" s="571"/>
      <c r="T13" s="571"/>
      <c r="U13" s="572"/>
      <c r="X13" s="171" t="s">
        <v>599</v>
      </c>
      <c r="Y13" s="170"/>
    </row>
    <row r="14" spans="1:25" ht="19.5" customHeight="1" thickBot="1" x14ac:dyDescent="0.3">
      <c r="A14" s="537"/>
      <c r="B14" s="101"/>
      <c r="C14" s="101"/>
      <c r="D14" s="100" t="s">
        <v>126</v>
      </c>
      <c r="E14" s="442"/>
      <c r="F14" s="442"/>
      <c r="G14" s="442"/>
      <c r="H14" s="443"/>
      <c r="N14" s="568"/>
      <c r="O14" s="539" t="s">
        <v>84</v>
      </c>
      <c r="P14" s="540"/>
      <c r="Q14" s="541"/>
      <c r="R14" s="570">
        <f>MAX('Data entry'!$R$6:$R$200)</f>
        <v>0</v>
      </c>
      <c r="S14" s="571"/>
      <c r="T14" s="571"/>
      <c r="U14" s="572"/>
    </row>
    <row r="15" spans="1:25" ht="19.5" customHeight="1" thickBot="1" x14ac:dyDescent="0.3">
      <c r="A15" s="537"/>
      <c r="B15" s="503" t="s">
        <v>127</v>
      </c>
      <c r="C15" s="503"/>
      <c r="D15" s="504"/>
      <c r="E15" s="442"/>
      <c r="F15" s="442"/>
      <c r="G15" s="442"/>
      <c r="H15" s="443"/>
      <c r="N15" s="568"/>
      <c r="O15" s="539" t="s">
        <v>416</v>
      </c>
      <c r="P15" s="540"/>
      <c r="Q15" s="541"/>
      <c r="R15" s="573">
        <f>SUMPRODUCT(MAX(((('Data entry'!B6:B200="Confirmed")+('Data entry'!B6:B200="Probable"))*('Data entry'!R6:R200-'Data entry'!S6:S200&lt;3)*'Data entry'!S6:S200)))</f>
        <v>0</v>
      </c>
      <c r="S15" s="574"/>
      <c r="T15" s="574"/>
      <c r="U15" s="575"/>
    </row>
    <row r="16" spans="1:25" ht="16.5" thickBot="1" x14ac:dyDescent="0.3">
      <c r="A16" s="537"/>
      <c r="B16" s="503" t="s">
        <v>93</v>
      </c>
      <c r="C16" s="503"/>
      <c r="D16" s="504"/>
      <c r="E16" s="442"/>
      <c r="F16" s="442"/>
      <c r="G16" s="442"/>
      <c r="H16" s="443"/>
      <c r="N16" s="580"/>
      <c r="O16" s="539" t="s">
        <v>92</v>
      </c>
      <c r="P16" s="540"/>
      <c r="Q16" s="541"/>
      <c r="R16" s="576">
        <f>R15+10</f>
        <v>10</v>
      </c>
      <c r="S16" s="577"/>
      <c r="T16" s="577"/>
      <c r="U16" s="578"/>
    </row>
    <row r="17" spans="1:19" x14ac:dyDescent="0.25">
      <c r="A17" s="538"/>
      <c r="B17" s="503" t="s">
        <v>193</v>
      </c>
      <c r="C17" s="503"/>
      <c r="D17" s="504"/>
      <c r="E17" s="442"/>
      <c r="F17" s="442"/>
      <c r="G17" s="442"/>
      <c r="H17" s="443"/>
    </row>
    <row r="18" spans="1:19" ht="11.45" customHeight="1" x14ac:dyDescent="0.25">
      <c r="A18" s="446" t="s">
        <v>570</v>
      </c>
      <c r="B18" s="447"/>
      <c r="C18" s="447"/>
      <c r="D18" s="448"/>
      <c r="E18" s="326">
        <f>COUNTIF('Data entry'!$G$6:$G$200,"*Close*")</f>
        <v>0</v>
      </c>
      <c r="F18" s="326"/>
      <c r="G18" s="326"/>
      <c r="H18" s="327"/>
    </row>
    <row r="19" spans="1:19" ht="21" thickBot="1" x14ac:dyDescent="0.35">
      <c r="A19" s="74"/>
      <c r="B19" s="96"/>
      <c r="C19" s="96"/>
      <c r="D19" s="75"/>
      <c r="E19" s="326"/>
      <c r="F19" s="326"/>
      <c r="G19" s="326"/>
      <c r="H19" s="327"/>
      <c r="N19" s="542" t="s">
        <v>332</v>
      </c>
      <c r="O19" s="542"/>
      <c r="P19" s="1"/>
      <c r="Q19" s="1"/>
      <c r="R19" s="1"/>
      <c r="S19" s="1"/>
    </row>
    <row r="20" spans="1:19" ht="48.75" thickTop="1" thickBot="1" x14ac:dyDescent="0.3">
      <c r="A20" s="475" t="s">
        <v>128</v>
      </c>
      <c r="B20" s="476"/>
      <c r="C20" s="447"/>
      <c r="D20" s="448"/>
      <c r="E20" s="440">
        <f>COUNTIFS('Data entry'!$G$6:$G$200,"*Case*")</f>
        <v>0</v>
      </c>
      <c r="F20" s="440"/>
      <c r="G20" s="440"/>
      <c r="H20" s="441"/>
      <c r="N20" s="172"/>
      <c r="O20" s="173" t="s">
        <v>333</v>
      </c>
      <c r="P20" s="173" t="s">
        <v>334</v>
      </c>
      <c r="Q20" s="173" t="s">
        <v>335</v>
      </c>
      <c r="R20" s="173" t="s">
        <v>336</v>
      </c>
      <c r="S20" s="174" t="s">
        <v>337</v>
      </c>
    </row>
    <row r="21" spans="1:19" ht="31.5" x14ac:dyDescent="0.25">
      <c r="A21" s="464" t="s">
        <v>202</v>
      </c>
      <c r="B21" s="465"/>
      <c r="C21" s="341" t="s">
        <v>204</v>
      </c>
      <c r="D21" s="342"/>
      <c r="E21" s="371">
        <f>COUNTIFS('Data entry'!$B$6:$B$200,"Confirmed",'Data entry'!$O$6:$O$200,"M*")</f>
        <v>0</v>
      </c>
      <c r="F21" s="371"/>
      <c r="G21" s="371"/>
      <c r="H21" s="380"/>
      <c r="N21" s="175" t="s">
        <v>369</v>
      </c>
      <c r="O21" s="176">
        <f>+P21+Q21</f>
        <v>0</v>
      </c>
      <c r="P21" s="176">
        <f>COUNTIFS('Data entry'!$B$6:$B$200,"Confirmed",'Data entry'!$O$6:$O$200,"M*")</f>
        <v>0</v>
      </c>
      <c r="Q21" s="176">
        <f>+E42</f>
        <v>0</v>
      </c>
      <c r="R21" s="176">
        <f>+E36+E57</f>
        <v>0</v>
      </c>
      <c r="S21" s="177">
        <f>+E37+E58</f>
        <v>0</v>
      </c>
    </row>
    <row r="22" spans="1:19" ht="16.350000000000001" customHeight="1" x14ac:dyDescent="0.25">
      <c r="A22" s="466"/>
      <c r="B22" s="467"/>
      <c r="C22" s="335" t="s">
        <v>205</v>
      </c>
      <c r="D22" s="336"/>
      <c r="E22" s="326">
        <f>COUNTIFS('Data entry'!$B$6:$B$200,"Probable",'Data entry'!$O$6:$O$200,"M*")</f>
        <v>0</v>
      </c>
      <c r="F22" s="326"/>
      <c r="G22" s="326"/>
      <c r="H22" s="327"/>
      <c r="N22" s="175" t="s">
        <v>338</v>
      </c>
      <c r="O22" s="176">
        <f>+P22+Q22</f>
        <v>0</v>
      </c>
      <c r="P22" s="176">
        <f>COUNTIFS('Data entry'!$B$6:$B$200,"Probable",'Data entry'!$O$6:$O$200,"M*")</f>
        <v>0</v>
      </c>
      <c r="Q22" s="176">
        <f>+E43</f>
        <v>0</v>
      </c>
      <c r="R22" s="176">
        <f>+F36+F57</f>
        <v>0</v>
      </c>
      <c r="S22" s="177">
        <f>+F37+F58</f>
        <v>0</v>
      </c>
    </row>
    <row r="23" spans="1:19" ht="18" customHeight="1" x14ac:dyDescent="0.25">
      <c r="A23" s="466"/>
      <c r="B23" s="467"/>
      <c r="C23" s="145"/>
      <c r="D23" s="138"/>
      <c r="E23" s="142"/>
      <c r="F23" s="143"/>
      <c r="G23" s="143"/>
      <c r="H23" s="144"/>
      <c r="N23" s="175" t="s">
        <v>354</v>
      </c>
      <c r="O23" s="176">
        <f>+P23+Q23</f>
        <v>0</v>
      </c>
      <c r="P23" s="176">
        <f>+E36+F36</f>
        <v>0</v>
      </c>
      <c r="Q23" s="176">
        <f>+E57+F57</f>
        <v>0</v>
      </c>
      <c r="R23" s="178"/>
      <c r="S23" s="179"/>
    </row>
    <row r="24" spans="1:19" ht="38.450000000000003" customHeight="1" x14ac:dyDescent="0.25">
      <c r="A24" s="466"/>
      <c r="B24" s="467"/>
      <c r="C24" s="145"/>
      <c r="D24" s="138"/>
      <c r="E24" s="142" t="s">
        <v>9</v>
      </c>
      <c r="F24" s="143" t="s">
        <v>10</v>
      </c>
      <c r="G24" s="143" t="s">
        <v>571</v>
      </c>
      <c r="H24" s="144"/>
      <c r="N24" s="325" t="s">
        <v>339</v>
      </c>
      <c r="O24" s="192">
        <f>+P24+Q24</f>
        <v>0</v>
      </c>
      <c r="P24" s="192">
        <f>+E37+F37</f>
        <v>0</v>
      </c>
      <c r="Q24" s="192">
        <f>+E58+F58</f>
        <v>0</v>
      </c>
      <c r="R24" s="178"/>
      <c r="S24" s="179"/>
    </row>
    <row r="25" spans="1:19" ht="23.45" customHeight="1" x14ac:dyDescent="0.25">
      <c r="A25" s="466"/>
      <c r="B25" s="467"/>
      <c r="C25" s="137"/>
      <c r="D25" s="158" t="str">
        <f>'Data Validation'!H2</f>
        <v>Attendee</v>
      </c>
      <c r="E25" s="84">
        <f>COUNTIFS('Data entry'!$B$6:$B$200,"Confirmed",'Data entry'!$O$6:$O$200,"M*", 'Data entry'!$AO$6:$AO$200, D25)</f>
        <v>0</v>
      </c>
      <c r="F25" s="85">
        <f>COUNTIFS('Data entry'!$B$6:$B$200,"Probable",'Data entry'!$O$6:$O$200,"M*", 'Data entry'!$AO$6:$AO$200, D25)</f>
        <v>0</v>
      </c>
      <c r="G25" s="85">
        <f>COUNTIFS('Data entry'!$B$6:$B$200,"Close Contact",'Data entry'!$O$6:$O$200,"M*", 'Data entry'!$AO$6:$AO$200, D25)</f>
        <v>0</v>
      </c>
      <c r="H25" s="86"/>
      <c r="N25" s="175" t="s">
        <v>567</v>
      </c>
      <c r="O25" s="176">
        <f>+G38+G59</f>
        <v>0</v>
      </c>
      <c r="P25" s="176">
        <f>+G38</f>
        <v>0</v>
      </c>
      <c r="Q25" s="176">
        <f>+G59</f>
        <v>0</v>
      </c>
      <c r="R25" s="176">
        <f>+G36+G57</f>
        <v>0</v>
      </c>
      <c r="S25" s="177">
        <f>+G37+G58</f>
        <v>0</v>
      </c>
    </row>
    <row r="26" spans="1:19" ht="22.35" customHeight="1" thickBot="1" x14ac:dyDescent="0.3">
      <c r="A26" s="466"/>
      <c r="B26" s="467"/>
      <c r="C26" s="137"/>
      <c r="D26" s="158" t="str">
        <f>'Data Validation'!H3</f>
        <v>Patient</v>
      </c>
      <c r="E26" s="84">
        <f>COUNTIFS('Data entry'!$B$6:$B$200,"Confirmed",'Data entry'!$O$6:$O$200,"M*", 'Data entry'!$AO$6:$AO$200, D26)</f>
        <v>0</v>
      </c>
      <c r="F26" s="85">
        <f>COUNTIFS('Data entry'!$B$6:$B$200,"Probable",'Data entry'!$O$6:$O$200,"M*", 'Data entry'!$AO$6:$AO$200, D26)</f>
        <v>0</v>
      </c>
      <c r="G26" s="85">
        <f>COUNTIFS('Data entry'!$B$6:$B$200,"Close Contact",'Data entry'!$O$6:$O$200,"M*", 'Data entry'!$AO$6:$AO$200, D26)</f>
        <v>0</v>
      </c>
      <c r="H26" s="86"/>
      <c r="N26" s="180"/>
      <c r="O26" s="181"/>
      <c r="P26" s="182"/>
      <c r="Q26" s="182"/>
      <c r="R26" s="182"/>
      <c r="S26" s="183"/>
    </row>
    <row r="27" spans="1:19" ht="32.450000000000003" customHeight="1" thickTop="1" thickBot="1" x14ac:dyDescent="0.3">
      <c r="A27" s="466"/>
      <c r="B27" s="467"/>
      <c r="C27" s="137"/>
      <c r="D27" s="158" t="str">
        <f>'Data Validation'!H4</f>
        <v>Patron / Customer</v>
      </c>
      <c r="E27" s="84">
        <f>COUNTIFS('Data entry'!$B$6:$B$200,"Confirmed",'Data entry'!$O$6:$O$200,"M*", 'Data entry'!$AO$6:$AO$200, D27)</f>
        <v>0</v>
      </c>
      <c r="F27" s="85">
        <f>COUNTIFS('Data entry'!$B$6:$B$200,"Probable",'Data entry'!$O$6:$O$200,"M*", 'Data entry'!$AO$6:$AO$200, D27)</f>
        <v>0</v>
      </c>
      <c r="G27" s="85">
        <f>COUNTIFS('Data entry'!$B$6:$B$200,"Close Contact",'Data entry'!$O$6:$O$200,"M*", 'Data entry'!$AO$6:$AO$200, D27)</f>
        <v>0</v>
      </c>
      <c r="H27" s="86"/>
      <c r="N27" s="563" t="s">
        <v>370</v>
      </c>
      <c r="O27" s="564"/>
      <c r="P27" s="324"/>
      <c r="Q27" s="563" t="s">
        <v>371</v>
      </c>
      <c r="R27" s="564"/>
      <c r="S27" s="324"/>
    </row>
    <row r="28" spans="1:19" ht="46.5" customHeight="1" thickTop="1" thickBot="1" x14ac:dyDescent="0.3">
      <c r="A28" s="466"/>
      <c r="B28" s="467"/>
      <c r="C28" s="137"/>
      <c r="D28" s="158" t="str">
        <f>'Data Validation'!H5</f>
        <v>Resident</v>
      </c>
      <c r="E28" s="84">
        <f>COUNTIFS('Data entry'!$B$6:$B$200,"Confirmed",'Data entry'!$O$6:$O$200,"M*", 'Data entry'!$AO$6:$AO$200, D28)</f>
        <v>0</v>
      </c>
      <c r="F28" s="85">
        <f>COUNTIFS('Data entry'!$B$6:$B$200,"Probable",'Data entry'!$O$6:$O$200,"M*", 'Data entry'!$AO$6:$AO$200, D28)</f>
        <v>0</v>
      </c>
      <c r="G28" s="85">
        <f>COUNTIFS('Data entry'!$B$6:$B$200,"Close Contact",'Data entry'!$O$6:$O$200,"M*", 'Data entry'!$AO$6:$AO$200, D28)</f>
        <v>0</v>
      </c>
      <c r="H28" s="86"/>
      <c r="N28" s="211" t="s">
        <v>340</v>
      </c>
      <c r="O28" s="281"/>
      <c r="P28" s="184" t="s">
        <v>341</v>
      </c>
      <c r="Q28" s="185">
        <f>COUNTIFS('Data entry'!$BF$6:$BF$200, "Yes")</f>
        <v>0</v>
      </c>
      <c r="R28" s="292" t="s">
        <v>342</v>
      </c>
      <c r="S28" s="186">
        <f>COUNTIFS('Data entry'!$BH$6:$BH$200, "Yes")</f>
        <v>0</v>
      </c>
    </row>
    <row r="29" spans="1:19" ht="30.6" customHeight="1" thickTop="1" thickBot="1" x14ac:dyDescent="0.3">
      <c r="A29" s="466"/>
      <c r="B29" s="467"/>
      <c r="C29" s="137"/>
      <c r="D29" s="158" t="str">
        <f>'Data Validation'!H6</f>
        <v>Staff</v>
      </c>
      <c r="E29" s="84">
        <f>COUNTIFS('Data entry'!$B$6:$B$200,"Confirmed",'Data entry'!$O$6:$O$200,"M*", 'Data entry'!$AO$6:$AO$200, D29)</f>
        <v>0</v>
      </c>
      <c r="F29" s="85">
        <f>COUNTIFS('Data entry'!$B$6:$B$200,"Probable",'Data entry'!$O$6:$O$200,"M*", 'Data entry'!$AO$6:$AO$200, D29)</f>
        <v>0</v>
      </c>
      <c r="G29" s="85">
        <f>COUNTIFS('Data entry'!$B$6:$B$200,"Close Contact",'Data entry'!$O$6:$O$200,"M*", 'Data entry'!$AO$6:$AO$200, D29)</f>
        <v>0</v>
      </c>
      <c r="H29" s="86"/>
      <c r="N29" s="565" t="s">
        <v>435</v>
      </c>
      <c r="O29" s="566"/>
      <c r="P29" s="186">
        <f>O21+O22-(P27+S27)</f>
        <v>0</v>
      </c>
      <c r="Q29" s="187"/>
      <c r="R29" s="187"/>
      <c r="S29" s="1"/>
    </row>
    <row r="30" spans="1:19" ht="33" customHeight="1" thickTop="1" x14ac:dyDescent="0.25">
      <c r="A30" s="466"/>
      <c r="B30" s="467"/>
      <c r="C30" s="137"/>
      <c r="D30" s="158" t="str">
        <f>'Data Validation'!H7</f>
        <v>Student</v>
      </c>
      <c r="E30" s="84">
        <f>COUNTIFS('Data entry'!$B$6:$B$200,"Confirmed",'Data entry'!$O$6:$O$200,"M*", 'Data entry'!$AO$6:$AO$200, D30)</f>
        <v>0</v>
      </c>
      <c r="F30" s="85">
        <f>COUNTIFS('Data entry'!$B$6:$B$200,"Probable",'Data entry'!$O$6:$O$200,"M*", 'Data entry'!$AO$6:$AO$200, D30)</f>
        <v>0</v>
      </c>
      <c r="G30" s="85">
        <f>COUNTIFS('Data entry'!$B$6:$B$200,"Close Contact",'Data entry'!$O$6:$O$200,"M*", 'Data entry'!$AO$6:$AO$200, D30)</f>
        <v>0</v>
      </c>
      <c r="H30" s="86"/>
      <c r="S30" s="1"/>
    </row>
    <row r="31" spans="1:19" ht="19.5" customHeight="1" x14ac:dyDescent="0.25">
      <c r="A31" s="466"/>
      <c r="B31" s="467"/>
      <c r="C31" s="137"/>
      <c r="D31" s="158" t="str">
        <f>'Data Validation'!H8</f>
        <v>Visitor</v>
      </c>
      <c r="E31" s="84">
        <f>COUNTIFS('Data entry'!$B$6:$B$200,"Confirmed",'Data entry'!$O$6:$O$200,"M*", 'Data entry'!$AO$6:$AO$200, D31)</f>
        <v>0</v>
      </c>
      <c r="F31" s="85">
        <f>COUNTIFS('Data entry'!$B$6:$B$200,"Probable",'Data entry'!$O$6:$O$200,"M*", 'Data entry'!$AO$6:$AO$200, D31)</f>
        <v>0</v>
      </c>
      <c r="G31" s="85">
        <f>COUNTIFS('Data entry'!$B$6:$B$200,"Close Contact",'Data entry'!$O$6:$O$200,"M*", 'Data entry'!$AO$6:$AO$200, D31)</f>
        <v>0</v>
      </c>
      <c r="H31" s="86"/>
      <c r="S31" s="1"/>
    </row>
    <row r="32" spans="1:19" ht="24.95" customHeight="1" thickBot="1" x14ac:dyDescent="0.35">
      <c r="A32" s="466"/>
      <c r="B32" s="467"/>
      <c r="C32" s="132"/>
      <c r="D32" s="158" t="str">
        <f>'Data Validation'!H9</f>
        <v>Volunteer</v>
      </c>
      <c r="E32" s="84">
        <f>COUNTIFS('Data entry'!$B$6:$B$200,"Confirmed",'Data entry'!$O$6:$O$200,"M*", 'Data entry'!$AO$6:$AO$200, D32)</f>
        <v>0</v>
      </c>
      <c r="F32" s="85">
        <f>COUNTIFS('Data entry'!$B$6:$B$200,"Probable",'Data entry'!$O$6:$O$200,"M*", 'Data entry'!$AO$6:$AO$200, D32)</f>
        <v>0</v>
      </c>
      <c r="G32" s="85">
        <f>COUNTIFS('Data entry'!$B$6:$B$200,"Close Contact",'Data entry'!$O$6:$O$200,"M*", 'Data entry'!$AO$6:$AO$200, D32)</f>
        <v>0</v>
      </c>
      <c r="H32" s="86"/>
      <c r="N32" s="542" t="s">
        <v>343</v>
      </c>
      <c r="O32" s="559"/>
      <c r="P32" s="1"/>
      <c r="Q32" s="1"/>
      <c r="R32" s="1"/>
      <c r="S32" s="1"/>
    </row>
    <row r="33" spans="1:23" ht="16.5" thickTop="1" x14ac:dyDescent="0.25">
      <c r="A33" s="466"/>
      <c r="B33" s="467"/>
      <c r="C33" s="132"/>
      <c r="D33" s="158" t="str">
        <f>'Data Validation'!H10</f>
        <v>Other</v>
      </c>
      <c r="E33" s="84">
        <f>COUNTIFS('Data entry'!$B$6:$B$200,"Confirmed",'Data entry'!$O$6:$O$200,"M*", 'Data entry'!$AO$6:$AO$200, D33)</f>
        <v>0</v>
      </c>
      <c r="F33" s="85">
        <f>COUNTIFS('Data entry'!$B$6:$B$200,"Probable",'Data entry'!$O$6:$O$200,"M*", 'Data entry'!$AO$6:$AO$200, D33)</f>
        <v>0</v>
      </c>
      <c r="G33" s="85">
        <f>COUNTIFS('Data entry'!$B$6:$B$200,"Close Contact",'Data entry'!$O$6:$O$200,"M*", 'Data entry'!$AO$6:$AO$200, D33)</f>
        <v>0</v>
      </c>
      <c r="H33" s="86"/>
      <c r="N33" s="172"/>
      <c r="O33" s="347" t="s">
        <v>344</v>
      </c>
      <c r="P33" s="348"/>
      <c r="Q33" s="349"/>
      <c r="R33" s="174" t="s">
        <v>345</v>
      </c>
      <c r="S33" s="1"/>
    </row>
    <row r="34" spans="1:23" x14ac:dyDescent="0.25">
      <c r="A34" s="466"/>
      <c r="B34" s="467"/>
      <c r="C34" s="132"/>
      <c r="D34" s="132"/>
      <c r="E34" s="84"/>
      <c r="F34" s="85"/>
      <c r="G34" s="85"/>
      <c r="H34" s="85"/>
      <c r="N34" s="188" t="s">
        <v>346</v>
      </c>
      <c r="O34" s="350" t="s">
        <v>484</v>
      </c>
      <c r="P34" s="351"/>
      <c r="Q34" s="352"/>
      <c r="R34" s="189">
        <f>COUNTIFS('Data entry'!$B$6:$B$200,"*Confir*",'Data entry'!$BE$6:$BE$200,O34)</f>
        <v>0</v>
      </c>
      <c r="S34" s="1"/>
    </row>
    <row r="35" spans="1:23" x14ac:dyDescent="0.25">
      <c r="A35" s="466"/>
      <c r="B35" s="467"/>
      <c r="C35" s="132"/>
      <c r="D35" s="132"/>
      <c r="E35" s="84"/>
      <c r="F35" s="85"/>
      <c r="G35" s="85"/>
      <c r="H35" s="85"/>
      <c r="N35" s="188" t="s">
        <v>347</v>
      </c>
      <c r="O35" s="353" t="s">
        <v>502</v>
      </c>
      <c r="P35" s="354"/>
      <c r="Q35" s="355"/>
      <c r="R35" s="189">
        <f>COUNTIFS('Data entry'!$B$6:$B$200,"*Confir*",'Data entry'!$BE$6:$BE$200, O35)</f>
        <v>0</v>
      </c>
      <c r="S35" s="1"/>
    </row>
    <row r="36" spans="1:23" x14ac:dyDescent="0.25">
      <c r="A36" s="466"/>
      <c r="B36" s="467"/>
      <c r="C36" s="132" t="s">
        <v>352</v>
      </c>
      <c r="D36" s="132"/>
      <c r="E36" s="84">
        <f>E29+E32</f>
        <v>0</v>
      </c>
      <c r="F36" s="84">
        <f>F29+F32</f>
        <v>0</v>
      </c>
      <c r="G36" s="84">
        <f>G29+G32</f>
        <v>0</v>
      </c>
      <c r="H36" s="34">
        <f>H29+H32</f>
        <v>0</v>
      </c>
      <c r="N36" s="188" t="s">
        <v>348</v>
      </c>
      <c r="O36" s="356" t="s">
        <v>484</v>
      </c>
      <c r="P36" s="357"/>
      <c r="Q36" s="358"/>
      <c r="R36" s="189">
        <f>COUNTIFS('Data entry'!$B$6:$B$200,"*Confir*",'Data entry'!$BE$6:$BE$200, O36)</f>
        <v>0</v>
      </c>
    </row>
    <row r="37" spans="1:23" ht="20.100000000000001" customHeight="1" thickBot="1" x14ac:dyDescent="0.3">
      <c r="A37" s="466"/>
      <c r="B37" s="467"/>
      <c r="C37" s="132" t="s">
        <v>353</v>
      </c>
      <c r="D37" s="132"/>
      <c r="E37" s="84">
        <f>E25+E26+E27+E28+E30+E31+E33</f>
        <v>0</v>
      </c>
      <c r="F37" s="84">
        <f>F25+F26+F27+F28+F30+F31+F33</f>
        <v>0</v>
      </c>
      <c r="G37" s="84">
        <f>G25+G26+G27+G28+G30+G31+G33</f>
        <v>0</v>
      </c>
      <c r="H37" s="34">
        <f>H25+H26+H27+H28+H30+H31+H33</f>
        <v>0</v>
      </c>
      <c r="N37" s="190" t="s">
        <v>349</v>
      </c>
      <c r="O37" s="359" t="s">
        <v>513</v>
      </c>
      <c r="P37" s="360"/>
      <c r="Q37" s="361"/>
      <c r="R37" s="191">
        <f>COUNTIFS('Data entry'!$B$6:$B$200,"*Confir*",'Data entry'!$BE$6:$BE$200, O37)</f>
        <v>0</v>
      </c>
    </row>
    <row r="38" spans="1:23" ht="15.6" customHeight="1" thickTop="1" x14ac:dyDescent="0.25">
      <c r="A38" s="466"/>
      <c r="B38" s="467"/>
      <c r="C38" s="132" t="s">
        <v>260</v>
      </c>
      <c r="D38" s="132"/>
      <c r="E38" s="84">
        <f>E36+E37</f>
        <v>0</v>
      </c>
      <c r="F38" s="84">
        <f>F36+F37</f>
        <v>0</v>
      </c>
      <c r="G38" s="84">
        <f>G36+G37</f>
        <v>0</v>
      </c>
      <c r="H38" s="34">
        <f>H36+H37</f>
        <v>0</v>
      </c>
    </row>
    <row r="39" spans="1:23" ht="16.350000000000001" customHeight="1" thickBot="1" x14ac:dyDescent="0.3">
      <c r="A39" s="466"/>
      <c r="B39" s="467"/>
      <c r="D39" s="123" t="s">
        <v>138</v>
      </c>
      <c r="E39" s="14">
        <f>COUNTIFS('Data entry'!$B$6:$B$200,"Does not meet definition",'Data entry'!$O$6:$O$200,"*M*")</f>
        <v>0</v>
      </c>
    </row>
    <row r="40" spans="1:23" ht="14.1" customHeight="1" thickTop="1" x14ac:dyDescent="0.25">
      <c r="A40" s="466"/>
      <c r="B40" s="467"/>
      <c r="C40" s="212"/>
      <c r="D40" s="124" t="s">
        <v>139</v>
      </c>
      <c r="E40" s="84">
        <f>COUNTIFS('Data entry'!$B$6:$B$200,"Lost to follow-up",'Data entry'!$O$6:$O$200,"*M*")</f>
        <v>0</v>
      </c>
      <c r="F40" s="126"/>
      <c r="G40" s="126"/>
      <c r="H40" s="127"/>
      <c r="N40" s="172"/>
      <c r="O40" s="173" t="s">
        <v>117</v>
      </c>
      <c r="P40" s="173" t="s">
        <v>334</v>
      </c>
      <c r="Q40" s="174" t="s">
        <v>335</v>
      </c>
    </row>
    <row r="41" spans="1:23" ht="35.450000000000003" customHeight="1" thickBot="1" x14ac:dyDescent="0.3">
      <c r="A41" s="468"/>
      <c r="B41" s="469"/>
      <c r="C41" s="330" t="s">
        <v>358</v>
      </c>
      <c r="D41" s="331"/>
      <c r="E41" s="332">
        <f>COUNTIFS('Data entry'!$B$6:$B$200,"High-Risk Contact",'Data entry'!$O$6:$O$200,"*M*")</f>
        <v>0</v>
      </c>
      <c r="F41" s="333"/>
      <c r="G41" s="333"/>
      <c r="H41" s="334"/>
      <c r="N41" s="175" t="s">
        <v>350</v>
      </c>
      <c r="O41" s="192">
        <f>+P41+Q41</f>
        <v>0</v>
      </c>
      <c r="P41" s="192">
        <f>+E84+E90</f>
        <v>0</v>
      </c>
      <c r="Q41" s="189">
        <f>+E117+E122</f>
        <v>0</v>
      </c>
    </row>
    <row r="42" spans="1:23" ht="33" customHeight="1" thickBot="1" x14ac:dyDescent="0.3">
      <c r="A42" s="485" t="s">
        <v>203</v>
      </c>
      <c r="B42" s="486"/>
      <c r="C42" s="341" t="s">
        <v>204</v>
      </c>
      <c r="D42" s="342"/>
      <c r="E42" s="371">
        <f>COUNTIFS('Data entry'!$B$6:$B$200,"Confirmed",'Data entry'!$O$6:$O$200,"&lt;&gt;M*")</f>
        <v>0</v>
      </c>
      <c r="F42" s="371"/>
      <c r="G42" s="371"/>
      <c r="H42" s="380"/>
      <c r="N42" s="180" t="s">
        <v>351</v>
      </c>
      <c r="O42" s="193">
        <f>+P42+Q42</f>
        <v>0</v>
      </c>
      <c r="P42" s="193">
        <f>+E83+E89</f>
        <v>0</v>
      </c>
      <c r="Q42" s="191">
        <f>+E116+E121</f>
        <v>0</v>
      </c>
    </row>
    <row r="43" spans="1:23" ht="48.95" customHeight="1" thickTop="1" x14ac:dyDescent="0.25">
      <c r="A43" s="485"/>
      <c r="B43" s="486"/>
      <c r="C43" s="335" t="s">
        <v>205</v>
      </c>
      <c r="D43" s="336"/>
      <c r="E43" s="326">
        <f>COUNTIFS('Data entry'!$B$6:$B$200,"Probable",'Data entry'!$O$6:$O$200,"&lt;&gt;M*")</f>
        <v>0</v>
      </c>
      <c r="F43" s="326"/>
      <c r="G43" s="326"/>
      <c r="H43" s="327"/>
      <c r="V43" s="130" t="s">
        <v>119</v>
      </c>
      <c r="W43" s="131" t="s">
        <v>134</v>
      </c>
    </row>
    <row r="44" spans="1:23" ht="24" thickBot="1" x14ac:dyDescent="0.4">
      <c r="A44" s="485"/>
      <c r="B44" s="486"/>
      <c r="C44" s="145"/>
      <c r="D44" s="138"/>
      <c r="E44" s="139"/>
      <c r="F44" s="143"/>
      <c r="G44" s="143"/>
      <c r="H44" s="144"/>
      <c r="N44" s="46" t="s">
        <v>510</v>
      </c>
      <c r="V44" s="54">
        <f>IF(COUNTIF('Data entry'!$I$2:$R$2, N46),'Data entry'!I$3, " ")</f>
        <v>0</v>
      </c>
      <c r="W44" s="49">
        <f>COUNTIFS('Data entry'!$B$6:$B$200,"Confirmed", 'Data entry'!$AO$6:$AO$200, N46)+COUNTIFS('Data entry'!$B$6:$B$200,"Probable", 'Data entry'!$AO$6:$AO$200, N46)</f>
        <v>0</v>
      </c>
    </row>
    <row r="45" spans="1:23" ht="102.6" customHeight="1" x14ac:dyDescent="0.25">
      <c r="A45" s="485"/>
      <c r="B45" s="486"/>
      <c r="C45" s="145"/>
      <c r="D45" s="138"/>
      <c r="E45" s="142" t="s">
        <v>9</v>
      </c>
      <c r="F45" s="143" t="s">
        <v>10</v>
      </c>
      <c r="G45" s="143" t="s">
        <v>571</v>
      </c>
      <c r="H45" s="144"/>
      <c r="N45" s="44" t="s">
        <v>492</v>
      </c>
      <c r="O45" s="48" t="s">
        <v>133</v>
      </c>
      <c r="P45" s="44" t="s">
        <v>116</v>
      </c>
      <c r="Q45" s="44" t="s">
        <v>280</v>
      </c>
      <c r="R45" s="223" t="s">
        <v>115</v>
      </c>
      <c r="S45" s="318" t="s">
        <v>563</v>
      </c>
      <c r="T45" s="45" t="s">
        <v>568</v>
      </c>
      <c r="V45" s="54">
        <f>IF(COUNTIF('Data entry'!$I$2:$R$2, N47),'Data entry'!J$3, " ")</f>
        <v>0</v>
      </c>
      <c r="W45" s="49">
        <f>COUNTIFS('Data entry'!$B$6:$B$200,"Confirmed", 'Data entry'!$AO$6:$AO$200, N47)+COUNTIFS('Data entry'!$B$6:$B$200,"Probable", 'Data entry'!$AO$6:$AO$200, N47)</f>
        <v>0</v>
      </c>
    </row>
    <row r="46" spans="1:23" ht="24" customHeight="1" x14ac:dyDescent="0.25">
      <c r="A46" s="485"/>
      <c r="B46" s="486"/>
      <c r="C46" s="145"/>
      <c r="D46" s="138" t="str">
        <f>'Data Validation'!H2</f>
        <v>Attendee</v>
      </c>
      <c r="E46" s="84">
        <f>COUNTIFS('Data entry'!$B$6:$B$200,"Confirmed",'Data entry'!$O$6:$O$200,"&lt;&gt;M*", 'Data entry'!$AO$6:$AO$200, D46)</f>
        <v>0</v>
      </c>
      <c r="F46" s="85">
        <f>COUNTIFS('Data entry'!$B$6:$B$200,"Probable",'Data entry'!$O$6:$O$200,"&lt;&gt;M*", 'Data entry'!$AO$6:$AO$200, D46)</f>
        <v>0</v>
      </c>
      <c r="G46" s="85">
        <f>COUNTIFS('Data entry'!$B$6:$B$200,"Close Contact",'Data entry'!$O$6:$O$200,"&lt;&gt;M*", 'Data entry'!$AO$6:$AO$200, D46)</f>
        <v>0</v>
      </c>
      <c r="H46" s="86"/>
      <c r="N46" s="47" t="str">
        <f>'Data Validation'!$H2</f>
        <v>Attendee</v>
      </c>
      <c r="O46" s="49">
        <f>$E$25+$F$25+$E$46+$F$46</f>
        <v>0</v>
      </c>
      <c r="P46" s="49">
        <f>COUNTIFS('Data entry'!$B$6:$B$200,"Confirmed",'Data entry'!$BF$6:$BF$200, "Yes", 'Data entry'!$AO$6:$AO$200, N46)+COUNTIFS('Data entry'!$B$6:$B$200,"Probable",'Data entry'!$BF$6:$BF$200, "Yes", 'Data entry'!$AO$6:$AO$200, N46)</f>
        <v>0</v>
      </c>
      <c r="Q46" s="49">
        <f>COUNTIFS('Data entry'!$B$6:$B$200,"Confirmed",'Data entry'!$BG$6:$BG$200, "Yes", 'Data entry'!$AO$6:$AO$200, N46)+COUNTIFS('Data entry'!$B$6:$B$200,"Probable",'Data entry'!$BG$6:$BG$200, "Yes", 'Data entry'!$AO$6:$AO$200, N46)</f>
        <v>0</v>
      </c>
      <c r="R46" s="224">
        <f>COUNTIFS('Data entry'!B$6:B$200,"Confirmed",'Data entry'!BH$6:BH$200, "Yes", 'Data entry'!AO$6:AO$200, N46)+COUNTIFS('Data entry'!B$6:B$200,"Probable",'Data entry'!BH$6:BH$200, "Yes", 'Data entry'!AO$6:AO$200, N46)</f>
        <v>0</v>
      </c>
      <c r="S46" s="268">
        <f>IF(COUNTIF('Data entry'!$I$2:$R$2, N46),'Data entry'!I$4, " ")</f>
        <v>0</v>
      </c>
      <c r="T46" s="50">
        <f>COUNTIFS('Data entry'!B$6:B$200,"Confirmed",'Data entry'!AO$6:AO$200, N46)+COUNTIFS('Data entry'!B$6:B$200,"Probable", 'Data entry'!AO$6:AO$200,N46) + COUNTIFS('Data entry'!B$6:B$200,"Close*",'Data entry'!AO$6:AO$200, N46) +V44</f>
        <v>0</v>
      </c>
      <c r="V46" s="54">
        <f>IF(COUNTIF('Data entry'!$I$2:$R$2, N48),'Data entry'!K$3, " ")</f>
        <v>0</v>
      </c>
      <c r="W46" s="49">
        <f>COUNTIFS('Data entry'!$B$6:$B$200,"Confirmed", 'Data entry'!$AO$6:$AO$200, N48)+COUNTIFS('Data entry'!$B$6:$B$200,"Probable", 'Data entry'!$AO$6:$AO$200, N48)</f>
        <v>0</v>
      </c>
    </row>
    <row r="47" spans="1:23" x14ac:dyDescent="0.25">
      <c r="A47" s="485"/>
      <c r="B47" s="486"/>
      <c r="C47" s="145"/>
      <c r="D47" s="138" t="str">
        <f>'Data Validation'!H3</f>
        <v>Patient</v>
      </c>
      <c r="E47" s="84">
        <f>COUNTIFS('Data entry'!$B$6:$B$200,"Confirmed",'Data entry'!$O$6:$O$200,"&lt;&gt;M*", 'Data entry'!$AO$6:$AO$200, D47)</f>
        <v>0</v>
      </c>
      <c r="F47" s="85">
        <f>COUNTIFS('Data entry'!$B$6:$B$200,"Probable",'Data entry'!$O$6:$O$200,"&lt;&gt;M*", 'Data entry'!$AO$6:$AO$200, D47)</f>
        <v>0</v>
      </c>
      <c r="G47" s="85">
        <f>COUNTIFS('Data entry'!$B$6:$B$200,"Close Contact",'Data entry'!$O$6:$O$200,"&lt;&gt;M*", 'Data entry'!$AO$6:$AO$200, D47)</f>
        <v>0</v>
      </c>
      <c r="H47" s="86"/>
      <c r="N47" s="47" t="str">
        <f>'Data Validation'!$H3</f>
        <v>Patient</v>
      </c>
      <c r="O47" s="49">
        <f>$E$26+$F$26+$E$47+$F$47</f>
        <v>0</v>
      </c>
      <c r="P47" s="49">
        <f>COUNTIFS('Data entry'!$B$6:$B$200,"Confirmed",'Data entry'!$BF$6:$BF$200, "Yes", 'Data entry'!$AO$6:$AO$200, N47)+COUNTIFS('Data entry'!$B$6:$B$200,"Probable",'Data entry'!$BF$6:$BF$200, "Yes", 'Data entry'!$AO$6:$AO$200, N47)</f>
        <v>0</v>
      </c>
      <c r="Q47" s="49">
        <f>COUNTIFS('Data entry'!$B$6:$B$200,"Confirmed",'Data entry'!$BG$6:$BG$200, "Yes", 'Data entry'!$AO$6:$AO$200, N47)+COUNTIFS('Data entry'!$B$6:$B$200,"Probable",'Data entry'!$BG$6:$BG$200, "Yes", 'Data entry'!$AO$6:$AO$200, N47)</f>
        <v>0</v>
      </c>
      <c r="R47" s="224">
        <f>COUNTIFS('Data entry'!B$6:B$200,"Confirmed",'Data entry'!BH$6:BH$200, "Yes", 'Data entry'!AO$6:AO$200, N47)+COUNTIFS('Data entry'!B$6:B$200,"Probable",'Data entry'!BH$6:BH$200, "Yes", 'Data entry'!AO$6:AO$200, N47)</f>
        <v>0</v>
      </c>
      <c r="S47" s="268">
        <f>IF(COUNTIF('Data entry'!$I$2:$R$2,N47),'Data entry'!J$4, " ")</f>
        <v>0</v>
      </c>
      <c r="T47" s="50">
        <f>COUNTIFS('Data entry'!B$6:B$200,"Confirmed",'Data entry'!AO$6:AO$200, N47)+COUNTIFS('Data entry'!B$6:B$200,"Probable", 'Data entry'!AO$6:AO$200,N47) + COUNTIFS('Data entry'!B$6:B$200,"Close*",'Data entry'!AO$6:AO$200, N47) +V45</f>
        <v>0</v>
      </c>
      <c r="V47" s="54">
        <f>IF(COUNTIF('Data entry'!$I$2:$R$2, N49),'Data entry'!L$3, " ")</f>
        <v>0</v>
      </c>
      <c r="W47" s="49">
        <f>COUNTIFS('Data entry'!$B$6:$B$200,"Confirmed", 'Data entry'!$AO$6:$AO$200, N49)+COUNTIFS('Data entry'!$B$6:$B$200,"Probable", 'Data entry'!$AO$6:$AO$200, N49)</f>
        <v>0</v>
      </c>
    </row>
    <row r="48" spans="1:23" ht="15.75" customHeight="1" x14ac:dyDescent="0.25">
      <c r="A48" s="485"/>
      <c r="B48" s="486"/>
      <c r="C48" s="145"/>
      <c r="D48" s="138" t="str">
        <f>'Data Validation'!H4</f>
        <v>Patron / Customer</v>
      </c>
      <c r="E48" s="84">
        <f>COUNTIFS('Data entry'!$B$6:$B$200,"Confirmed",'Data entry'!$O$6:$O$200,"&lt;&gt;M*", 'Data entry'!$AO$6:$AO$200, D48)</f>
        <v>0</v>
      </c>
      <c r="F48" s="85">
        <f>COUNTIFS('Data entry'!$B$6:$B$200,"Probable",'Data entry'!$O$6:$O$200,"&lt;&gt;M*", 'Data entry'!$AO$6:$AO$200, D48)</f>
        <v>0</v>
      </c>
      <c r="G48" s="85">
        <f>COUNTIFS('Data entry'!$B$6:$B$200,"Close Contact",'Data entry'!$O$6:$O$200,"&lt;&gt;M*", 'Data entry'!$AO$6:$AO$200, D48)</f>
        <v>0</v>
      </c>
      <c r="H48" s="86"/>
      <c r="N48" s="47" t="str">
        <f>'Data Validation'!$H4</f>
        <v>Patron / Customer</v>
      </c>
      <c r="O48" s="49">
        <f>$E$27+$F$27+$E$48+$F$48</f>
        <v>0</v>
      </c>
      <c r="P48" s="49">
        <f>COUNTIFS('Data entry'!$B$6:$B$200,"Confirmed",'Data entry'!$BF$6:$BF$200, "Yes", 'Data entry'!$AO$6:$AO$200, N48)+COUNTIFS('Data entry'!$B$6:$B$200,"Probable",'Data entry'!$BF$6:$BF$200, "Yes", 'Data entry'!$AO$6:$AO$200, N48)</f>
        <v>0</v>
      </c>
      <c r="Q48" s="49">
        <f>COUNTIFS('Data entry'!$B$6:$B$200,"Confirmed",'Data entry'!$BG$6:$BG$200, "Yes", 'Data entry'!$AO$6:$AO$200, N48)+COUNTIFS('Data entry'!$B$6:$B$200,"Probable",'Data entry'!$BG$6:$BG$200, "Yes", 'Data entry'!$AO$6:$AO$200, N48)</f>
        <v>0</v>
      </c>
      <c r="R48" s="224">
        <f>COUNTIFS('Data entry'!B$6:B$200,"Confirmed",'Data entry'!BH$6:BH$200, "Yes", 'Data entry'!AO$6:AO$200, N48)+COUNTIFS('Data entry'!B$6:B$200,"Probable",'Data entry'!BH$6:BH$200, "Yes", 'Data entry'!AO$6:AO$200, N48)</f>
        <v>0</v>
      </c>
      <c r="S48" s="268">
        <f>IF(COUNTIF('Data entry'!$I$2:$R$2, N48),'Data entry'!K$4, " ")</f>
        <v>0</v>
      </c>
      <c r="T48" s="50">
        <f>COUNTIFS('Data entry'!B$6:B$200,"Confirmed",'Data entry'!AO$6:AO$200, N48)+COUNTIFS('Data entry'!B$6:B$200,"Probable", 'Data entry'!AO$6:AO$200,N48) + COUNTIFS('Data entry'!B$6:B$200,"Close*",'Data entry'!AO$6:AO$200, N48) +V46</f>
        <v>0</v>
      </c>
      <c r="V48" s="54">
        <f>IF(COUNTIF('Data entry'!$I$2:$R$2, N50),'Data entry'!M$3, " ")</f>
        <v>0</v>
      </c>
      <c r="W48" s="49">
        <f>COUNTIFS('Data entry'!$B$6:$B$200,"Confirmed", 'Data entry'!$AO$6:$AO$200, N50)+COUNTIFS('Data entry'!$B$6:$B$200,"Probable", 'Data entry'!$AO$6:$AO$200, N50)</f>
        <v>0</v>
      </c>
    </row>
    <row r="49" spans="1:23" ht="15.75" customHeight="1" x14ac:dyDescent="0.25">
      <c r="A49" s="485"/>
      <c r="B49" s="486"/>
      <c r="C49" s="145"/>
      <c r="D49" s="138" t="str">
        <f>'Data Validation'!H5</f>
        <v>Resident</v>
      </c>
      <c r="E49" s="84">
        <f>COUNTIFS('Data entry'!$B$6:$B$200,"Confirmed",'Data entry'!$O$6:$O$200,"&lt;&gt;M*", 'Data entry'!$AO$6:$AO$200, D49)</f>
        <v>0</v>
      </c>
      <c r="F49" s="85">
        <f>COUNTIFS('Data entry'!$B$6:$B$200,"Probable",'Data entry'!$O$6:$O$200,"&lt;&gt;M*", 'Data entry'!$AO$6:$AO$200, D49)</f>
        <v>0</v>
      </c>
      <c r="G49" s="85">
        <f>COUNTIFS('Data entry'!$B$6:$B$200,"Close Contact",'Data entry'!$O$6:$O$200,"&lt;&gt;M*", 'Data entry'!$AO$6:$AO$200, D49)</f>
        <v>0</v>
      </c>
      <c r="H49" s="86"/>
      <c r="N49" s="47" t="str">
        <f>'Data Validation'!$H5</f>
        <v>Resident</v>
      </c>
      <c r="O49" s="49">
        <f>$E$28+$F$28+$E$49+$F$49</f>
        <v>0</v>
      </c>
      <c r="P49" s="49">
        <f>COUNTIFS('Data entry'!$B$6:$B$200,"Confirmed",'Data entry'!$BF$6:$BF$200, "Yes", 'Data entry'!$AO$6:$AO$200, N49)+COUNTIFS('Data entry'!$B$6:$B$200,"Probable",'Data entry'!$BF$6:$BF$200, "Yes", 'Data entry'!$AO$6:$AO$200, N49)</f>
        <v>0</v>
      </c>
      <c r="Q49" s="49">
        <f>COUNTIFS('Data entry'!$B$6:$B$200,"Confirmed",'Data entry'!$BG$6:$BG$200, "Yes", 'Data entry'!$AO$6:$AO$200, N49)+COUNTIFS('Data entry'!$B$6:$B$200,"Probable",'Data entry'!$BG$6:$BG$200, "Yes", 'Data entry'!$AO$6:$AO$200, N49)</f>
        <v>0</v>
      </c>
      <c r="R49" s="224">
        <f>COUNTIFS('Data entry'!B$6:B$200,"Confirmed",'Data entry'!BH$6:BH$200, "Yes", 'Data entry'!AO$6:AO$200, N49)+COUNTIFS('Data entry'!B$6:B$200,"Probable",'Data entry'!BH$6:BH$200, "Yes", 'Data entry'!AO$6:AO$200, N49)</f>
        <v>0</v>
      </c>
      <c r="S49" s="268">
        <f>IF(COUNTIF('Data entry'!$I$2:$R$2, N49),'Data entry'!L$4, " ")</f>
        <v>0</v>
      </c>
      <c r="T49" s="50">
        <f>COUNTIFS('Data entry'!B$6:B$200,"Confirmed",'Data entry'!AO$6:AO$200, N49)+COUNTIFS('Data entry'!B$6:B$200,"Probable", 'Data entry'!AO$6:AO$200,N49) + COUNTIFS('Data entry'!B$6:B$200,"Close*",'Data entry'!AO$6:AO$200, N49) +V47</f>
        <v>0</v>
      </c>
      <c r="V49" s="128">
        <f>IF(COUNTIF('Data entry'!$I$2:$R$2, N51),'Data entry'!N$3, " ")</f>
        <v>0</v>
      </c>
      <c r="W49" s="49">
        <f>COUNTIFS('Data entry'!$B$6:$B$200,"Confirmed", 'Data entry'!$AO$6:$AO$200, N51)+COUNTIFS('Data entry'!$B$6:$B$200,"Probable", 'Data entry'!$AO$6:$AO$200, N51)</f>
        <v>0</v>
      </c>
    </row>
    <row r="50" spans="1:23" ht="15.75" customHeight="1" x14ac:dyDescent="0.25">
      <c r="A50" s="485"/>
      <c r="B50" s="486"/>
      <c r="C50" s="146"/>
      <c r="D50" s="138" t="str">
        <f>'Data Validation'!H6</f>
        <v>Staff</v>
      </c>
      <c r="E50" s="84">
        <f>COUNTIFS('Data entry'!$B$6:$B$200,"Confirmed",'Data entry'!$O$6:$O$200,"&lt;&gt;M*", 'Data entry'!$AO$6:$AO$200, D50)</f>
        <v>0</v>
      </c>
      <c r="F50" s="85">
        <f>COUNTIFS('Data entry'!$B$6:$B$200,"Probable",'Data entry'!$O$6:$O$200,"&lt;&gt;M*", 'Data entry'!$AO$6:$AO$200, D50)</f>
        <v>0</v>
      </c>
      <c r="G50" s="85">
        <f>COUNTIFS('Data entry'!$B$6:$B$200,"Close Contact",'Data entry'!$O$6:$O$200,"&lt;&gt;M*", 'Data entry'!$AO$6:$AO$200, D50)</f>
        <v>0</v>
      </c>
      <c r="H50" s="86"/>
      <c r="N50" s="47" t="str">
        <f>'Data Validation'!$H6</f>
        <v>Staff</v>
      </c>
      <c r="O50" s="49">
        <f>$E$29+$F$29+$E$50+$F$50</f>
        <v>0</v>
      </c>
      <c r="P50" s="49">
        <f>COUNTIFS('Data entry'!$B$6:$B$200,"Confirmed",'Data entry'!$BF$6:$BF$200, "Yes", 'Data entry'!$AO$6:$AO$200, N50)+COUNTIFS('Data entry'!$B$6:$B$200,"Probable",'Data entry'!$BF$6:$BF$200, "Yes", 'Data entry'!$AO$6:$AO$200, N50)</f>
        <v>0</v>
      </c>
      <c r="Q50" s="49">
        <f>COUNTIFS('Data entry'!$B$6:$B$200,"Confirmed",'Data entry'!$BG$6:$BG$200, "Yes", 'Data entry'!$AO$6:$AO$200, N50)+COUNTIFS('Data entry'!$B$6:$B$200,"Probable",'Data entry'!$BG$6:$BG$200, "Yes", 'Data entry'!$AO$6:$AO$200, N50)</f>
        <v>0</v>
      </c>
      <c r="R50" s="224">
        <f>COUNTIFS('Data entry'!B$6:B$200,"Confirmed",'Data entry'!BH$6:BH$200, "Yes", 'Data entry'!AO$6:AO$200, N50)+COUNTIFS('Data entry'!B$6:B$200,"Probable",'Data entry'!BH$6:BH$200, "Yes", 'Data entry'!AO$6:AO$200, N50)</f>
        <v>0</v>
      </c>
      <c r="S50" s="268">
        <f>IF(COUNTIF('Data entry'!$I$2:$R$2, N50),'Data entry'!M$4, " ")</f>
        <v>0</v>
      </c>
      <c r="T50" s="50">
        <f>COUNTIFS('Data entry'!B$6:B$200,"Confirmed",'Data entry'!AO$6:AO$200, N50)+COUNTIFS('Data entry'!B$6:B$200,"Probable", 'Data entry'!AO$6:AO$200,N50) + COUNTIFS('Data entry'!B$6:B$200,"Close*",'Data entry'!AO$6:AO$200, N50) +V48</f>
        <v>0</v>
      </c>
      <c r="V50" s="128">
        <f>IF(COUNTIF('Data entry'!$I$2:$R$2, N52),'Data entry'!O$3, " ")</f>
        <v>0</v>
      </c>
      <c r="W50" s="49">
        <f>COUNTIFS('Data entry'!$B$6:$B$200,"Confirmed", 'Data entry'!$AO$6:$AO$200, N52)+COUNTIFS('Data entry'!$B$6:$B$200,"Probable", 'Data entry'!$AO$6:$AO$200, N52)</f>
        <v>0</v>
      </c>
    </row>
    <row r="51" spans="1:23" ht="19.5" customHeight="1" x14ac:dyDescent="0.25">
      <c r="A51" s="485"/>
      <c r="B51" s="486"/>
      <c r="C51" s="146"/>
      <c r="D51" s="138" t="str">
        <f>'Data Validation'!H7</f>
        <v>Student</v>
      </c>
      <c r="E51" s="84">
        <f>COUNTIFS('Data entry'!$B$6:$B$200,"Confirmed",'Data entry'!$O$6:$O$200,"&lt;&gt;M*", 'Data entry'!$AO$6:$AO$200, D51)</f>
        <v>0</v>
      </c>
      <c r="F51" s="85">
        <f>COUNTIFS('Data entry'!$B$6:$B$200,"Probable",'Data entry'!$O$6:$O$200,"&lt;&gt;M*", 'Data entry'!$AO$6:$AO$200, D51)</f>
        <v>0</v>
      </c>
      <c r="G51" s="85">
        <f>COUNTIFS('Data entry'!$B$6:$B$200,"Close Contact",'Data entry'!$O$6:$O$200,"&lt;&gt;M*", 'Data entry'!$AO$6:$AO$200, D51)</f>
        <v>0</v>
      </c>
      <c r="H51" s="86"/>
      <c r="N51" s="47" t="str">
        <f>'Data Validation'!$H7</f>
        <v>Student</v>
      </c>
      <c r="O51" s="49">
        <f>$E$30+$F$30+$E$51+$F$51</f>
        <v>0</v>
      </c>
      <c r="P51" s="49">
        <f>COUNTIFS('Data entry'!$B$6:$B$200,"Confirmed",'Data entry'!$BF$6:$BF$200, "Yes", 'Data entry'!$AO$6:$AO$200, N51)+COUNTIFS('Data entry'!$B$6:$B$200,"Probable",'Data entry'!$BF$6:$BF$200, "Yes", 'Data entry'!$AO$6:$AO$200, N51)</f>
        <v>0</v>
      </c>
      <c r="Q51" s="49">
        <f>COUNTIFS('Data entry'!$B$6:$B$200,"Confirmed",'Data entry'!$BG$6:$BG$200, "Yes", 'Data entry'!$AO$6:$AO$200, N51)+COUNTIFS('Data entry'!$B$6:$B$200,"Probable",'Data entry'!$BG$6:$BG$200, "Yes", 'Data entry'!$AO$6:$AO$200, N51)</f>
        <v>0</v>
      </c>
      <c r="R51" s="224">
        <f>COUNTIFS('Data entry'!B$6:B$200,"Confirmed",'Data entry'!BH$6:BH$200, "Yes", 'Data entry'!AO$6:AO$200, N51)+COUNTIFS('Data entry'!B$6:B$200,"Probable",'Data entry'!BH$6:BH$200, "Yes", 'Data entry'!AO$6:AO$200, N51)</f>
        <v>0</v>
      </c>
      <c r="S51" s="268">
        <f>IF(COUNTIF('Data entry'!$I$2:$R$2, N51),'Data entry'!N$4, " ")</f>
        <v>0</v>
      </c>
      <c r="T51" s="50">
        <f>COUNTIFS('Data entry'!B$6:B$200,"Confirmed",'Data entry'!AO$6:AO$200, N51)+COUNTIFS('Data entry'!B$6:B$200,"Probable", 'Data entry'!AO$6:AO$200,N51) + COUNTIFS('Data entry'!B$6:B$200,"Close*",'Data entry'!AO$6:AO$200, N51) +V49</f>
        <v>0</v>
      </c>
      <c r="V51" s="128">
        <f>IF(COUNTIF('Data entry'!$I$2:$R$2, N53),'Data entry'!P$3, " ")</f>
        <v>0</v>
      </c>
      <c r="W51" s="49">
        <f>COUNTIFS('Data entry'!$B$6:$B$200,"Confirmed", 'Data entry'!$AO$6:$AO$200, N53)+COUNTIFS('Data entry'!$B$6:$B$200,"Probable", 'Data entry'!$AO$6:$AO$200, N53)</f>
        <v>0</v>
      </c>
    </row>
    <row r="52" spans="1:23" ht="15.75" customHeight="1" x14ac:dyDescent="0.25">
      <c r="A52" s="485"/>
      <c r="B52" s="486"/>
      <c r="C52" s="146"/>
      <c r="D52" s="138" t="str">
        <f>'Data Validation'!H8</f>
        <v>Visitor</v>
      </c>
      <c r="E52" s="84">
        <f>COUNTIFS('Data entry'!$B$6:$B$200,"Confirmed",'Data entry'!$O$6:$O$200,"&lt;&gt;M*", 'Data entry'!$AO$6:$AO$200, D52)</f>
        <v>0</v>
      </c>
      <c r="F52" s="85">
        <f>COUNTIFS('Data entry'!$B$6:$B$200,"Probable",'Data entry'!$O$6:$O$200,"&lt;&gt;M*", 'Data entry'!$AO$6:$AO$200, D52)</f>
        <v>0</v>
      </c>
      <c r="G52" s="85">
        <f>COUNTIFS('Data entry'!$B$6:$B$200,"Close Contact",'Data entry'!$O$6:$O$200,"&lt;&gt;M*", 'Data entry'!$AO$6:$AO$200, D52)</f>
        <v>0</v>
      </c>
      <c r="H52" s="86"/>
      <c r="N52" s="47" t="str">
        <f>'Data Validation'!$H8</f>
        <v>Visitor</v>
      </c>
      <c r="O52" s="49">
        <f>$E$31+$F$31+$E$52+$F$52</f>
        <v>0</v>
      </c>
      <c r="P52" s="49">
        <f>COUNTIFS('Data entry'!$B$6:$B$200,"Confirmed",'Data entry'!$BF$6:$BF$200, "Yes", 'Data entry'!$AO$6:$AO$200, N52)+COUNTIFS('Data entry'!$B$6:$B$200,"Probable",'Data entry'!$BF$6:$BF$200, "Yes", 'Data entry'!$AO$6:$AO$200, N52)</f>
        <v>0</v>
      </c>
      <c r="Q52" s="49">
        <f>COUNTIFS('Data entry'!$B$6:$B$200,"Confirmed",'Data entry'!$BG$6:$BG$200, "Yes", 'Data entry'!$AO$6:$AO$200, N52)+COUNTIFS('Data entry'!$B$6:$B$200,"Probable",'Data entry'!$BG$6:$BG$200, "Yes", 'Data entry'!$AO$6:$AO$200, N52)</f>
        <v>0</v>
      </c>
      <c r="R52" s="224">
        <f>COUNTIFS('Data entry'!B$6:B$200,"Confirmed",'Data entry'!BH$6:BH$200, "Yes", 'Data entry'!AO$6:AO$200, N52)+COUNTIFS('Data entry'!B$6:B$200,"Probable",'Data entry'!BH$6:BH$200, "Yes", 'Data entry'!AO$6:AO$200, N52)</f>
        <v>0</v>
      </c>
      <c r="S52" s="268">
        <f>IF(COUNTIF('Data entry'!$I$2:$R$2, N52),'Data entry'!O$4, " ")</f>
        <v>0</v>
      </c>
      <c r="T52" s="50">
        <f>COUNTIFS('Data entry'!B$6:B$200,"Confirmed",'Data entry'!AO$6:AO$200, N52)+COUNTIFS('Data entry'!B$6:B$200,"Probable", 'Data entry'!AO$6:AO$200,N52) + COUNTIFS('Data entry'!B$6:B$200,"Close*",'Data entry'!AO$6:AO$200, N52) +V50</f>
        <v>0</v>
      </c>
      <c r="V52" s="128">
        <f>IF(COUNTIF('Data entry'!$I$2:$R$2, N54),'Data entry'!Q$3, " ")</f>
        <v>0</v>
      </c>
      <c r="W52" s="49">
        <f>COUNTIFS('Data entry'!$B$6:$B$200,"Confirmed", 'Data entry'!$AO$6:$AO$200, N54)+COUNTIFS('Data entry'!$B$6:$B$200,"Probable", 'Data entry'!$AO$6:$AO$200, N54)</f>
        <v>0</v>
      </c>
    </row>
    <row r="53" spans="1:23" ht="15.75" customHeight="1" thickBot="1" x14ac:dyDescent="0.3">
      <c r="A53" s="485"/>
      <c r="B53" s="486"/>
      <c r="C53" s="146"/>
      <c r="D53" s="138" t="str">
        <f>'Data Validation'!H9</f>
        <v>Volunteer</v>
      </c>
      <c r="E53" s="84">
        <f>COUNTIFS('Data entry'!$B$6:$B$200,"Confirmed",'Data entry'!$O$6:$O$200,"&lt;&gt;M*", 'Data entry'!$AO$6:$AO$200, D53)</f>
        <v>0</v>
      </c>
      <c r="F53" s="85">
        <f>COUNTIFS('Data entry'!$B$6:$B$200,"Probable",'Data entry'!$O$6:$O$200,"&lt;&gt;M*", 'Data entry'!$AO$6:$AO$200, D53)</f>
        <v>0</v>
      </c>
      <c r="G53" s="85">
        <f>COUNTIFS('Data entry'!$B$6:$B$200,"Close Contact",'Data entry'!$O$6:$O$200,"&lt;&gt;M*", 'Data entry'!$AO$6:$AO$200, D53)</f>
        <v>0</v>
      </c>
      <c r="H53" s="86"/>
      <c r="N53" s="47" t="str">
        <f>'Data Validation'!$H9</f>
        <v>Volunteer</v>
      </c>
      <c r="O53" s="49">
        <f>$E$32+$F$32+$E$53+$F$53</f>
        <v>0</v>
      </c>
      <c r="P53" s="49">
        <f>COUNTIFS('Data entry'!$B$6:$B$200,"Confirmed",'Data entry'!$BF$6:$BF$200, "Yes", 'Data entry'!$AO$6:$AO$200, N53)+COUNTIFS('Data entry'!$B$6:$B$200,"Probable",'Data entry'!$BF$6:$BF$200, "Yes", 'Data entry'!$AO$6:$AO$200, N53)</f>
        <v>0</v>
      </c>
      <c r="Q53" s="49">
        <f>COUNTIFS('Data entry'!$B$6:$B$200,"Confirmed",'Data entry'!$BG$6:$BG$200, "Yes", 'Data entry'!$AO$6:$AO$200, N53)+COUNTIFS('Data entry'!$B$6:$B$200,"Probable",'Data entry'!$BG$6:$BG$200, "Yes", 'Data entry'!$AO$6:$AO$200, N53)</f>
        <v>0</v>
      </c>
      <c r="R53" s="224">
        <f>COUNTIFS('Data entry'!B$6:B$200,"Confirmed",'Data entry'!BH$6:BH$200, "Yes", 'Data entry'!AO$6:AO$200, N53)+COUNTIFS('Data entry'!B$6:B$200,"Probable",'Data entry'!BH$6:BH$200, "Yes", 'Data entry'!AO$6:AO$200, N53)</f>
        <v>0</v>
      </c>
      <c r="S53" s="268">
        <f>IF(COUNTIF('Data entry'!$I$2:$R$2, N53),'Data entry'!P$4, " ")</f>
        <v>0</v>
      </c>
      <c r="T53" s="50">
        <f>COUNTIFS('Data entry'!B$6:B$200,"Confirmed",'Data entry'!AO$6:AO$200, N53)+COUNTIFS('Data entry'!B$6:B$200,"Probable", 'Data entry'!AO$6:AO$200,N53) + COUNTIFS('Data entry'!B$6:B$200,"Close*",'Data entry'!AO$6:AO$200, N53) +V51</f>
        <v>0</v>
      </c>
      <c r="V53" s="55">
        <f>SUM(V44:V48)</f>
        <v>0</v>
      </c>
      <c r="W53" s="51">
        <f>SUM(W44:W48)</f>
        <v>0</v>
      </c>
    </row>
    <row r="54" spans="1:23" ht="18.600000000000001" customHeight="1" x14ac:dyDescent="0.25">
      <c r="A54" s="485"/>
      <c r="B54" s="486"/>
      <c r="C54" s="146"/>
      <c r="D54" s="138" t="str">
        <f>'Data Validation'!H10</f>
        <v>Other</v>
      </c>
      <c r="E54" s="84">
        <f>COUNTIFS('Data entry'!$B$6:$B$200,"Confirmed",'Data entry'!$O$6:$O$200,"&lt;&gt;M*", 'Data entry'!$AO$6:$AO$200, D54)</f>
        <v>0</v>
      </c>
      <c r="F54" s="85">
        <f>COUNTIFS('Data entry'!$B$6:$B$200,"Probable",'Data entry'!$O$6:$O$200,"&lt;&gt;M*", 'Data entry'!$AO$6:$AO$200, D54)</f>
        <v>0</v>
      </c>
      <c r="G54" s="85">
        <f>COUNTIFS('Data entry'!$B$6:$B$200,"Close Contact",'Data entry'!$O$6:$O$200,"&lt;&gt;M*", 'Data entry'!$AO$6:$AO$200, D54)</f>
        <v>0</v>
      </c>
      <c r="H54" s="86"/>
      <c r="N54" s="47" t="str">
        <f>'Data Validation'!$H10</f>
        <v>Other</v>
      </c>
      <c r="O54" s="49">
        <f>$E$33+$F$33+$E$54+$F$54</f>
        <v>0</v>
      </c>
      <c r="P54" s="49">
        <f>COUNTIFS('Data entry'!$B$6:$B$200,"Confirmed",'Data entry'!$BF$6:$BF$200, "Yes", 'Data entry'!$AO$6:$AO$200, N54)+COUNTIFS('Data entry'!$B$6:$B$200,"Probable",'Data entry'!$BF$6:$BF$200, "Yes", 'Data entry'!$AO$6:$AO$200, N54)</f>
        <v>0</v>
      </c>
      <c r="Q54" s="49">
        <f>COUNTIFS('Data entry'!$B$6:$B$200,"Confirmed",'Data entry'!$BG$6:$BG$200, "Yes", 'Data entry'!$AO$6:$AO$200, N54)+COUNTIFS('Data entry'!$B$6:$B$200,"Probable",'Data entry'!$BG$6:$BG$200, "Yes", 'Data entry'!$AO$6:$AO$200, N54)</f>
        <v>0</v>
      </c>
      <c r="R54" s="224">
        <f>COUNTIFS('Data entry'!B$6:B$200,"Confirmed",'Data entry'!BH$6:BH$200, "Yes", 'Data entry'!AO$6:AO$200, N54)+COUNTIFS('Data entry'!B$6:B$200,"Probable",'Data entry'!BH$6:BH$200, "Yes", 'Data entry'!AO$6:AO$200, N54)</f>
        <v>0</v>
      </c>
      <c r="S54" s="268">
        <f>IF(COUNTIF('Data entry'!$I$2:$R$2, N54),'Data entry'!Q$4, " ")</f>
        <v>0</v>
      </c>
      <c r="T54" s="50">
        <f>COUNTIFS('Data entry'!B$6:B$200,"Confirmed",'Data entry'!AO$6:AO$200, N54)+COUNTIFS('Data entry'!B$6:B$200,"Probable", 'Data entry'!AO$6:AO$200,N54) + COUNTIFS('Data entry'!B$6:B$200,"Close*",'Data entry'!AO$6:AO$200, N54) +V52</f>
        <v>0</v>
      </c>
    </row>
    <row r="55" spans="1:23" ht="16.5" thickBot="1" x14ac:dyDescent="0.3">
      <c r="A55" s="485"/>
      <c r="B55" s="486"/>
      <c r="C55" s="146"/>
      <c r="D55" s="138"/>
      <c r="E55" s="84"/>
      <c r="F55" s="85"/>
      <c r="G55" s="85"/>
      <c r="H55" s="86"/>
      <c r="N55" s="159" t="s">
        <v>117</v>
      </c>
      <c r="O55" s="51">
        <f t="shared" ref="O55:S55" si="0">SUM(O46:O54)</f>
        <v>0</v>
      </c>
      <c r="P55" s="51">
        <f t="shared" si="0"/>
        <v>0</v>
      </c>
      <c r="Q55" s="51">
        <f t="shared" si="0"/>
        <v>0</v>
      </c>
      <c r="R55" s="225">
        <f t="shared" si="0"/>
        <v>0</v>
      </c>
      <c r="S55" s="269">
        <f t="shared" si="0"/>
        <v>0</v>
      </c>
      <c r="T55" s="270">
        <f>SUM(T46:T54)</f>
        <v>0</v>
      </c>
    </row>
    <row r="56" spans="1:23" x14ac:dyDescent="0.25">
      <c r="A56" s="485"/>
      <c r="B56" s="486"/>
      <c r="C56" s="146"/>
      <c r="D56" s="138"/>
      <c r="E56" s="84"/>
      <c r="F56" s="85"/>
      <c r="G56" s="85"/>
      <c r="H56" s="86"/>
    </row>
    <row r="57" spans="1:23" ht="27.75" customHeight="1" x14ac:dyDescent="0.25">
      <c r="A57" s="485"/>
      <c r="B57" s="486"/>
      <c r="C57" s="132" t="s">
        <v>352</v>
      </c>
      <c r="D57" s="138"/>
      <c r="E57" s="84">
        <f>E50+E53</f>
        <v>0</v>
      </c>
      <c r="F57" s="84">
        <f>F50+F53</f>
        <v>0</v>
      </c>
      <c r="G57" s="84">
        <f>G50+G53</f>
        <v>0</v>
      </c>
      <c r="H57" s="34">
        <f>H50+H53</f>
        <v>0</v>
      </c>
    </row>
    <row r="58" spans="1:23" ht="27" hidden="1" customHeight="1" x14ac:dyDescent="0.35">
      <c r="A58" s="485"/>
      <c r="B58" s="486"/>
      <c r="C58" s="132" t="s">
        <v>353</v>
      </c>
      <c r="D58" s="122"/>
      <c r="E58" s="84">
        <f>E46+E47+E48+E49+E51+E52+E54</f>
        <v>0</v>
      </c>
      <c r="F58" s="84">
        <f>F46+F47+F48+F49+F51+F52+F54</f>
        <v>0</v>
      </c>
      <c r="G58" s="84">
        <f>G46+G47+G48+G49+G51+G52+G54</f>
        <v>0</v>
      </c>
      <c r="H58" s="34">
        <f>H46+H47+H48+H49+H51+H52+H54</f>
        <v>0</v>
      </c>
      <c r="N58" s="46" t="s">
        <v>494</v>
      </c>
    </row>
    <row r="59" spans="1:23" ht="27" hidden="1" customHeight="1" thickBot="1" x14ac:dyDescent="0.3">
      <c r="A59" s="485"/>
      <c r="B59" s="486"/>
      <c r="C59" s="137" t="s">
        <v>260</v>
      </c>
      <c r="D59" s="123"/>
      <c r="E59" s="84">
        <f>E57+E58</f>
        <v>0</v>
      </c>
      <c r="F59" s="84">
        <f>F57+F58</f>
        <v>0</v>
      </c>
      <c r="G59" s="84">
        <f>G57+G58</f>
        <v>0</v>
      </c>
      <c r="H59" s="34">
        <f>H57+H58</f>
        <v>0</v>
      </c>
      <c r="N59" s="44" t="s">
        <v>492</v>
      </c>
      <c r="O59" s="44" t="s">
        <v>487</v>
      </c>
      <c r="P59" s="44" t="s">
        <v>486</v>
      </c>
      <c r="Q59" s="44" t="s">
        <v>491</v>
      </c>
      <c r="R59" s="44" t="s">
        <v>488</v>
      </c>
      <c r="S59" s="44" t="s">
        <v>489</v>
      </c>
    </row>
    <row r="60" spans="1:23" ht="27" hidden="1" customHeight="1" x14ac:dyDescent="0.25">
      <c r="A60" s="485"/>
      <c r="B60" s="486"/>
      <c r="C60" s="97"/>
      <c r="D60" s="16" t="s">
        <v>138</v>
      </c>
      <c r="E60" s="84">
        <f>COUNTIFS('Data entry'!$B$6:$B$200,"Does not meet definition",'Data entry'!$O$6:$O$200,"&lt;&gt;M*")</f>
        <v>0</v>
      </c>
      <c r="F60" s="85"/>
      <c r="G60" s="85"/>
      <c r="H60" s="86"/>
      <c r="N60" s="47" t="str">
        <f>'Data Validation'!$H2</f>
        <v>Attendee</v>
      </c>
      <c r="O60" s="284">
        <f>COUNTIFS('Data entry'!$AS$6:$AS$200,"Exemp*", 'Data entry'!$AO$6:$AO$200, N60)+'Data entry'!I$3</f>
        <v>0</v>
      </c>
      <c r="P60" s="285">
        <f>COUNTIFS('Data entry'!$AS$6:$AS$200,"Unvaccinated", 'Data entry'!$AO$6:$AO$200, N60)</f>
        <v>0</v>
      </c>
      <c r="Q60" s="285">
        <f>COUNTIFS('Data entry'!$AS$6:$AS$200,"Dose 1*",'Data entry'!$AO$6:$AO$200, N60)</f>
        <v>0</v>
      </c>
      <c r="R60" s="285">
        <f>COUNTIFS('Data entry'!$AS$6:$AS$200,"Dose 2*", 'Data entry'!$AO$6:$AO$200, N60)</f>
        <v>0</v>
      </c>
      <c r="S60" s="286">
        <f>COUNTIFS('Data entry'!$AS$6:$AS$200,"Dose 3", 'Data entry'!$AO$6:$AO$200, N60)</f>
        <v>0</v>
      </c>
    </row>
    <row r="61" spans="1:23" ht="16.5" hidden="1" customHeight="1" x14ac:dyDescent="0.25">
      <c r="A61" s="485"/>
      <c r="B61" s="486"/>
      <c r="C61" s="97"/>
      <c r="D61" s="37" t="s">
        <v>139</v>
      </c>
      <c r="E61" s="84">
        <f>COUNTIFS('Data entry'!$B$6:$B$200,"Lost to follow-up",'Data entry'!$O$6:$O$200,"&lt;&gt;M*")</f>
        <v>0</v>
      </c>
      <c r="F61" s="85"/>
      <c r="G61" s="85"/>
      <c r="H61" s="86"/>
      <c r="N61" s="47" t="str">
        <f>'Data Validation'!$H3</f>
        <v>Patient</v>
      </c>
      <c r="O61" s="284">
        <f>COUNTIFS('Data entry'!$AS$6:$AS$200,"Exemp*", 'Data entry'!$AO$6:$AO$200, N61)+'Data entry'!J$3</f>
        <v>0</v>
      </c>
      <c r="P61" s="285">
        <f>COUNTIFS('Data entry'!$AS$6:$AS$200,"Unvaccinated", 'Data entry'!$AO$6:$AO$200, N61)</f>
        <v>0</v>
      </c>
      <c r="Q61" s="285">
        <f>COUNTIFS('Data entry'!$AS$6:$AS$200,"Dose 1*",'Data entry'!$AO$6:$AO$200, N61)</f>
        <v>0</v>
      </c>
      <c r="R61" s="285">
        <f>COUNTIFS('Data entry'!$AS$6:$AS$200,"Dose 2*", 'Data entry'!$AO$6:$AO$200, N61)</f>
        <v>0</v>
      </c>
      <c r="S61" s="286">
        <f>COUNTIFS('Data entry'!$AS$6:$AS$200,"Dose 3", 'Data entry'!$AO$6:$AO$200, N61)</f>
        <v>0</v>
      </c>
    </row>
    <row r="62" spans="1:23" ht="16.5" hidden="1" thickBot="1" x14ac:dyDescent="0.3">
      <c r="A62" s="487"/>
      <c r="B62" s="488"/>
      <c r="C62" s="337" t="s">
        <v>358</v>
      </c>
      <c r="D62" s="338"/>
      <c r="E62" s="332">
        <f>COUNTIFS('Data entry'!$B$6:$B$200,"High-Risk Contact",'Data entry'!$O$6:$O$200,"&lt;&gt;M*")</f>
        <v>0</v>
      </c>
      <c r="F62" s="333"/>
      <c r="G62" s="333"/>
      <c r="H62" s="334"/>
      <c r="N62" s="47" t="str">
        <f>'Data Validation'!$H4</f>
        <v>Patron / Customer</v>
      </c>
      <c r="O62" s="284">
        <f>COUNTIFS('Data entry'!$AS$6:$AS$200,"Exemp*", 'Data entry'!$AO$6:$AO$200, N62)+'Data entry'!K$3</f>
        <v>0</v>
      </c>
      <c r="P62" s="285">
        <f>COUNTIFS('Data entry'!$AS$6:$AS$200,"Unvaccinated", 'Data entry'!$AO$6:$AO$200, N62)</f>
        <v>0</v>
      </c>
      <c r="Q62" s="285">
        <f>COUNTIFS('Data entry'!$AS$6:$AS$200,"Dose 1*",'Data entry'!$AO$6:$AO$200, N62)</f>
        <v>0</v>
      </c>
      <c r="R62" s="285">
        <f>COUNTIFS('Data entry'!$AS$6:$AS$200,"Dose 2*", 'Data entry'!$AO$6:$AO$200, N62)</f>
        <v>0</v>
      </c>
      <c r="S62" s="286">
        <f>COUNTIFS('Data entry'!$AS$6:$AS$200,"Dose 3", 'Data entry'!$AO$6:$AO$200, N62)</f>
        <v>0</v>
      </c>
    </row>
    <row r="63" spans="1:23" hidden="1" x14ac:dyDescent="0.25">
      <c r="A63" s="483" t="s">
        <v>114</v>
      </c>
      <c r="B63" s="484"/>
      <c r="C63" s="339" t="s">
        <v>359</v>
      </c>
      <c r="D63" s="340"/>
      <c r="E63" s="444">
        <f>E21+E42</f>
        <v>0</v>
      </c>
      <c r="F63" s="444"/>
      <c r="G63" s="444"/>
      <c r="H63" s="445"/>
      <c r="N63" s="47" t="str">
        <f>'Data Validation'!$H5</f>
        <v>Resident</v>
      </c>
      <c r="O63" s="284">
        <f>COUNTIFS('Data entry'!$AS$6:$AS$200,"Exemp*", 'Data entry'!$AO$6:$AO$200, N63)+'Data entry'!L$3</f>
        <v>0</v>
      </c>
      <c r="P63" s="285">
        <f>COUNTIFS('Data entry'!$AS$6:$AS$200,"Unvaccinated", 'Data entry'!$AO$6:$AO$200, N63)</f>
        <v>0</v>
      </c>
      <c r="Q63" s="285">
        <f>COUNTIFS('Data entry'!$AS$6:$AS$200,"Dose 1*",'Data entry'!$AO$6:$AO$200, N63)</f>
        <v>0</v>
      </c>
      <c r="R63" s="285">
        <f>COUNTIFS('Data entry'!$AS$6:$AS$200,"Dose 2*", 'Data entry'!$AO$6:$AO$200, N63)</f>
        <v>0</v>
      </c>
      <c r="S63" s="286">
        <f>COUNTIFS('Data entry'!$AS$6:$AS$200,"Dose 3", 'Data entry'!$AO$6:$AO$200, N63)</f>
        <v>0</v>
      </c>
    </row>
    <row r="64" spans="1:23" hidden="1" x14ac:dyDescent="0.25">
      <c r="A64" s="485"/>
      <c r="B64" s="486"/>
      <c r="C64" s="328" t="s">
        <v>360</v>
      </c>
      <c r="D64" s="329"/>
      <c r="E64" s="344">
        <f>E22+E43</f>
        <v>0</v>
      </c>
      <c r="F64" s="345"/>
      <c r="G64" s="345"/>
      <c r="H64" s="346"/>
      <c r="N64" s="47" t="str">
        <f>'Data Validation'!$H6</f>
        <v>Staff</v>
      </c>
      <c r="O64" s="284">
        <f>COUNTIFS('Data entry'!$AS$6:$AS$200,"Exemp*", 'Data entry'!$AO$6:$AO$200, N64)+'Data entry'!M$3</f>
        <v>0</v>
      </c>
      <c r="P64" s="285">
        <f>COUNTIFS('Data entry'!$AS$6:$AS$200,"Unvaccinated", 'Data entry'!$AO$6:$AO$200, N64)</f>
        <v>0</v>
      </c>
      <c r="Q64" s="285">
        <f>COUNTIFS('Data entry'!$AS$6:$AS$200,"Dose 1*",'Data entry'!$AO$6:$AO$200, N64)</f>
        <v>0</v>
      </c>
      <c r="R64" s="285">
        <f>COUNTIFS('Data entry'!$AS$6:$AS$200,"Dose 2*", 'Data entry'!$AO$6:$AO$200, N64)</f>
        <v>0</v>
      </c>
      <c r="S64" s="286">
        <f>COUNTIFS('Data entry'!$AS$6:$AS$200,"Dose 3", 'Data entry'!$AO$6:$AO$200, N64)</f>
        <v>0</v>
      </c>
    </row>
    <row r="65" spans="1:19" ht="31.5" hidden="1" customHeight="1" x14ac:dyDescent="0.25">
      <c r="A65" s="485"/>
      <c r="B65" s="486"/>
      <c r="C65" s="328" t="s">
        <v>361</v>
      </c>
      <c r="D65" s="329"/>
      <c r="E65" s="326">
        <f>E41+E62</f>
        <v>0</v>
      </c>
      <c r="F65" s="326"/>
      <c r="G65" s="326"/>
      <c r="H65" s="327"/>
      <c r="N65" s="47" t="str">
        <f>'Data Validation'!$H7</f>
        <v>Student</v>
      </c>
      <c r="O65" s="284">
        <f>COUNTIFS('Data entry'!$AS$6:$AS$200,"Exemp*", 'Data entry'!$AO$6:$AO$200, N65)+'Data entry'!N$3</f>
        <v>0</v>
      </c>
      <c r="P65" s="285">
        <f>COUNTIFS('Data entry'!$AS$6:$AS$200,"Unvaccinated", 'Data entry'!$AO$6:$AO$200, N65)</f>
        <v>0</v>
      </c>
      <c r="Q65" s="285">
        <f>COUNTIFS('Data entry'!$AS$6:$AS$200,"Dose 1*",'Data entry'!$AO$6:$AO$200, N65)</f>
        <v>0</v>
      </c>
      <c r="R65" s="285">
        <f>COUNTIFS('Data entry'!$AS$6:$AS$200,"Dose 2*", 'Data entry'!$AO$6:$AO$200, N65)</f>
        <v>0</v>
      </c>
      <c r="S65" s="286">
        <f>COUNTIFS('Data entry'!$AS$6:$AS$200,"Dose 3", 'Data entry'!$AO$6:$AO$200, N65)</f>
        <v>0</v>
      </c>
    </row>
    <row r="66" spans="1:19" ht="34.5" hidden="1" customHeight="1" x14ac:dyDescent="0.25">
      <c r="A66" s="485"/>
      <c r="B66" s="486"/>
      <c r="C66" s="328" t="s">
        <v>129</v>
      </c>
      <c r="D66" s="329"/>
      <c r="E66" s="343">
        <f>COUNTIFS('Data entry'!$B$6:$B$200,"Low-Risk Contact")+I199</f>
        <v>0</v>
      </c>
      <c r="F66" s="326"/>
      <c r="G66" s="326"/>
      <c r="H66" s="327"/>
      <c r="N66" s="47" t="str">
        <f>'Data Validation'!$H8</f>
        <v>Visitor</v>
      </c>
      <c r="O66" s="284">
        <f>COUNTIFS('Data entry'!$AS$6:$AS$200,"Exemp*", 'Data entry'!$AO$6:$AO$200, N66)+'Data entry'!O$3</f>
        <v>0</v>
      </c>
      <c r="P66" s="285">
        <f>COUNTIFS('Data entry'!$AS$6:$AS$200,"Unvaccinated", 'Data entry'!$AO$6:$AO$200, N66)</f>
        <v>0</v>
      </c>
      <c r="Q66" s="285">
        <f>COUNTIFS('Data entry'!$AS$6:$AS$200,"Dose 1*",'Data entry'!$AO$6:$AO$200, N66)</f>
        <v>0</v>
      </c>
      <c r="R66" s="285">
        <f>COUNTIFS('Data entry'!$AS$6:$AS$200,"Dose 2*", 'Data entry'!$AO$6:$AO$200, N66)</f>
        <v>0</v>
      </c>
      <c r="S66" s="286">
        <f>COUNTIFS('Data entry'!$AS$6:$AS$200,"Dose 3", 'Data entry'!$AO$6:$AO$200, N66)</f>
        <v>0</v>
      </c>
    </row>
    <row r="67" spans="1:19" ht="15.75" hidden="1" customHeight="1" x14ac:dyDescent="0.25">
      <c r="A67" s="485"/>
      <c r="B67" s="486"/>
      <c r="C67" s="328" t="s">
        <v>188</v>
      </c>
      <c r="D67" s="329"/>
      <c r="E67" s="326">
        <f>E36+E57</f>
        <v>0</v>
      </c>
      <c r="F67" s="326"/>
      <c r="G67" s="326"/>
      <c r="H67" s="327"/>
      <c r="N67" s="47" t="str">
        <f>'Data Validation'!$H9</f>
        <v>Volunteer</v>
      </c>
      <c r="O67" s="284">
        <f>COUNTIFS('Data entry'!$AS$6:$AS$200,"Exemp*", 'Data entry'!$AO$6:$AO$200, N67)+'Data entry'!P$3</f>
        <v>0</v>
      </c>
      <c r="P67" s="285">
        <f>COUNTIFS('Data entry'!$AS$6:$AS$200,"Unvaccinated", 'Data entry'!$AO$6:$AO$200, N67)</f>
        <v>0</v>
      </c>
      <c r="Q67" s="285">
        <f>COUNTIFS('Data entry'!$AS$6:$AS$200,"Dose 1*",'Data entry'!$AO$6:$AO$200, N67)</f>
        <v>0</v>
      </c>
      <c r="R67" s="285">
        <f>COUNTIFS('Data entry'!$AS$6:$AS$200,"Dose 2*", 'Data entry'!$AO$6:$AO$200, N67)</f>
        <v>0</v>
      </c>
      <c r="S67" s="286">
        <f>COUNTIFS('Data entry'!$AS$6:$AS$200,"Dose 3", 'Data entry'!$AO$6:$AO$200, N67)</f>
        <v>0</v>
      </c>
    </row>
    <row r="68" spans="1:19" ht="15.75" hidden="1" customHeight="1" x14ac:dyDescent="0.25">
      <c r="A68" s="485"/>
      <c r="B68" s="486"/>
      <c r="C68" s="328" t="s">
        <v>189</v>
      </c>
      <c r="D68" s="329"/>
      <c r="E68" s="326">
        <f>E37+E58</f>
        <v>0</v>
      </c>
      <c r="F68" s="326"/>
      <c r="G68" s="326"/>
      <c r="H68" s="327"/>
      <c r="N68" s="47" t="str">
        <f>'Data Validation'!$H10</f>
        <v>Other</v>
      </c>
      <c r="O68" s="284">
        <f>COUNTIFS('Data entry'!$AS$6:$AS$200,"Exemp*", 'Data entry'!$AO$6:$AO$200, N68)+'Data entry'!Q$3</f>
        <v>0</v>
      </c>
      <c r="P68" s="285">
        <f>COUNTIFS('Data entry'!$AS$6:$AS$200,"Unvaccinated", 'Data entry'!$AO$6:$AO$200, N68)</f>
        <v>0</v>
      </c>
      <c r="Q68" s="285">
        <f>COUNTIFS('Data entry'!$AS$6:$AS$200,"Dose 1*",'Data entry'!$AO$6:$AO$200, N68)</f>
        <v>0</v>
      </c>
      <c r="R68" s="285">
        <f>COUNTIFS('Data entry'!$AS$6:$AS$200,"Dose 2*", 'Data entry'!$AO$6:$AO$200, N68)</f>
        <v>0</v>
      </c>
      <c r="S68" s="286">
        <f>COUNTIFS('Data entry'!$AS$6:$AS$200,"Dose 3", 'Data entry'!$AO$6:$AO$200, N68)</f>
        <v>0</v>
      </c>
    </row>
    <row r="69" spans="1:19" ht="15.75" hidden="1" customHeight="1" x14ac:dyDescent="0.25">
      <c r="A69" s="485"/>
      <c r="B69" s="486"/>
      <c r="C69" s="328" t="s">
        <v>163</v>
      </c>
      <c r="D69" s="329"/>
      <c r="E69" s="326">
        <f>F36+F57</f>
        <v>0</v>
      </c>
      <c r="F69" s="326"/>
      <c r="G69" s="326"/>
      <c r="H69" s="327"/>
      <c r="N69" s="283" t="s">
        <v>490</v>
      </c>
      <c r="O69" s="287">
        <f>SUM(O60:O68)</f>
        <v>0</v>
      </c>
      <c r="P69" s="287">
        <f>SUM(P60:P68)</f>
        <v>0</v>
      </c>
      <c r="Q69" s="287">
        <f>SUM(Q60:Q68)</f>
        <v>0</v>
      </c>
      <c r="R69" s="287">
        <f>SUM(R60:R68)</f>
        <v>0</v>
      </c>
      <c r="S69" s="288">
        <f>SUM(S60:S68)</f>
        <v>0</v>
      </c>
    </row>
    <row r="70" spans="1:19" ht="33" hidden="1" customHeight="1" thickBot="1" x14ac:dyDescent="0.3">
      <c r="A70" s="485"/>
      <c r="B70" s="486"/>
      <c r="C70" s="328" t="s">
        <v>164</v>
      </c>
      <c r="D70" s="329"/>
      <c r="E70" s="326">
        <f>F37+F58</f>
        <v>0</v>
      </c>
      <c r="F70" s="326"/>
      <c r="G70" s="326"/>
      <c r="H70" s="327"/>
    </row>
    <row r="71" spans="1:19" x14ac:dyDescent="0.25">
      <c r="A71" s="485"/>
      <c r="B71" s="486"/>
      <c r="C71" s="328" t="s">
        <v>362</v>
      </c>
      <c r="D71" s="329"/>
      <c r="E71" s="343">
        <f>E65+E66</f>
        <v>0</v>
      </c>
      <c r="F71" s="326"/>
      <c r="G71" s="326"/>
      <c r="H71" s="327"/>
    </row>
    <row r="72" spans="1:19" ht="16.5" customHeight="1" x14ac:dyDescent="0.25">
      <c r="A72" s="485"/>
      <c r="B72" s="486"/>
      <c r="C72" s="328" t="s">
        <v>165</v>
      </c>
      <c r="D72" s="329"/>
      <c r="E72" s="326">
        <f>COUNTIFS('Data entry'!$BF$6:$BF$200, "Yes")</f>
        <v>0</v>
      </c>
      <c r="F72" s="326"/>
      <c r="G72" s="326"/>
      <c r="H72" s="327"/>
    </row>
    <row r="73" spans="1:19" ht="16.5" customHeight="1" x14ac:dyDescent="0.25">
      <c r="A73" s="485"/>
      <c r="B73" s="486"/>
      <c r="C73" s="328" t="s">
        <v>166</v>
      </c>
      <c r="D73" s="329"/>
      <c r="E73" s="326">
        <f>COUNTIFS('Data entry'!$BH$6:$BH$200, "Yes")</f>
        <v>0</v>
      </c>
      <c r="F73" s="326"/>
      <c r="G73" s="326"/>
      <c r="H73" s="327"/>
    </row>
    <row r="74" spans="1:19" ht="16.5" customHeight="1" x14ac:dyDescent="0.25">
      <c r="A74" s="485"/>
      <c r="B74" s="486"/>
      <c r="C74" s="98"/>
      <c r="D74" s="16" t="s">
        <v>50</v>
      </c>
      <c r="E74" s="34">
        <f>COUNTIFS('Data entry'!$B$6:$B$200,"Does not meet definition",'Data entry'!$O$6:$O$200,"M*")</f>
        <v>0</v>
      </c>
      <c r="F74" s="35"/>
      <c r="G74" s="15"/>
      <c r="H74" s="36"/>
    </row>
    <row r="75" spans="1:19" ht="16.5" customHeight="1" thickBot="1" x14ac:dyDescent="0.3">
      <c r="A75" s="487"/>
      <c r="B75" s="488"/>
      <c r="C75" s="98"/>
      <c r="D75" s="37" t="s">
        <v>54</v>
      </c>
      <c r="E75" s="38">
        <f>COUNTIFS('Data entry'!$B$6:$B$200,"Lost to follow-up",'Data entry'!$O$6:$O$200,"M*")</f>
        <v>0</v>
      </c>
      <c r="F75" s="39"/>
      <c r="G75" s="40"/>
      <c r="H75" s="41"/>
    </row>
    <row r="76" spans="1:19" ht="16.5" customHeight="1" x14ac:dyDescent="0.25">
      <c r="A76" s="449" t="s">
        <v>167</v>
      </c>
      <c r="B76" s="451" t="s">
        <v>213</v>
      </c>
      <c r="C76" s="456" t="s">
        <v>458</v>
      </c>
      <c r="D76" s="457"/>
      <c r="E76" s="371">
        <f>G76+H76</f>
        <v>0</v>
      </c>
      <c r="F76" s="371"/>
      <c r="G76" s="92">
        <f>E36+F36</f>
        <v>0</v>
      </c>
      <c r="H76" s="93">
        <f>E57+F57</f>
        <v>0</v>
      </c>
    </row>
    <row r="77" spans="1:19" ht="16.5" customHeight="1" thickBot="1" x14ac:dyDescent="0.3">
      <c r="A77" s="450"/>
      <c r="B77" s="452"/>
      <c r="C77" s="373" t="s">
        <v>459</v>
      </c>
      <c r="D77" s="374"/>
      <c r="E77" s="372">
        <f>G77+H77</f>
        <v>0</v>
      </c>
      <c r="F77" s="372"/>
      <c r="G77" s="140">
        <f>E37+F37</f>
        <v>0</v>
      </c>
      <c r="H77" s="141">
        <f>E58+F58</f>
        <v>0</v>
      </c>
    </row>
    <row r="78" spans="1:19" ht="38.1" customHeight="1" thickBot="1" x14ac:dyDescent="0.3">
      <c r="A78" s="450"/>
      <c r="B78" s="449" t="s">
        <v>214</v>
      </c>
      <c r="C78" s="470" t="s">
        <v>355</v>
      </c>
      <c r="D78" s="471"/>
      <c r="E78" s="106" t="str">
        <f>IF(COUNTIFS('Data entry'!$BE$6:$BE$200, 'Data Validation'!$R2,'Data entry'!$B$6:$B$200, "Confirmed"),'Data Validation'!$R2, " ")</f>
        <v xml:space="preserve"> </v>
      </c>
      <c r="F78" s="106" t="str">
        <f>IF(COUNTIFS('Data entry'!$BE$6:$BE$200, 'Data Validation'!$R16,'Data entry'!$B$6:$B$200, "Confirmed"),'Data Validation'!$R16, " ")</f>
        <v xml:space="preserve"> </v>
      </c>
      <c r="G78" s="106" t="str">
        <f>IF(COUNTIFS('Data entry'!$BE$6:$BE$200, 'Data Validation'!$R18,'Data entry'!$B$6:$B$200, "Confirmed"),'Data Validation'!$R18, " ")</f>
        <v xml:space="preserve"> </v>
      </c>
      <c r="H78" s="106" t="str">
        <f>IF(COUNTIFS('Data entry'!$BE$6:$BE$200, 'Data Validation'!$R20,'Data entry'!$B$6:$B$200, "Confirmed"),'Data Validation'!$R20, " ")</f>
        <v xml:space="preserve"> </v>
      </c>
    </row>
    <row r="79" spans="1:19" ht="23.1" customHeight="1" x14ac:dyDescent="0.25">
      <c r="A79" s="450"/>
      <c r="B79" s="450"/>
      <c r="C79" s="472"/>
      <c r="D79" s="331"/>
      <c r="E79" s="106" t="str">
        <f>IF(COUNTIFS('Data entry'!$BE$6:$BE$200, 'Data Validation'!$R15,'Data entry'!$B$6:$B$200, "Confirmed"),'Data Validation'!$R15, " ")</f>
        <v xml:space="preserve"> </v>
      </c>
      <c r="F79" s="106" t="str">
        <f>IF(COUNTIFS('Data entry'!$BE$6:$BE$200, 'Data Validation'!$R17,'Data entry'!$B$6:$B$200, "Confirmed"),'Data Validation'!$R17, " ")</f>
        <v xml:space="preserve"> </v>
      </c>
      <c r="G79" s="106" t="str">
        <f>IF(COUNTIFS('Data entry'!$BE$6:$BE$200, 'Data Validation'!$R19,'Data entry'!$B$6:$B$200, "Confirmed"),'Data Validation'!$R19, " ")</f>
        <v xml:space="preserve"> </v>
      </c>
      <c r="H79" s="106" t="str">
        <f>IF(COUNTIFS('Data entry'!$BE$6:$BE$200, 'Data Validation'!$R21,'Data entry'!$B$6:$B$200, "Confirmed"),'Data Validation'!$R21, " ")</f>
        <v xml:space="preserve"> </v>
      </c>
    </row>
    <row r="80" spans="1:19" ht="26.1" customHeight="1" x14ac:dyDescent="0.25">
      <c r="A80" s="450"/>
      <c r="B80" s="450"/>
      <c r="C80" s="472" t="s">
        <v>356</v>
      </c>
      <c r="D80" s="331"/>
      <c r="E80" s="90" t="str">
        <f>IF(COUNTIFS('Data entry'!$BE$6:$BE$200, 'Data Validation'!$R26,'Data entry'!$B$6:$B$200, "Confirmed"),'Data Validation'!$R26, " ")</f>
        <v xml:space="preserve"> </v>
      </c>
      <c r="F80" s="90" t="str">
        <f>IF(COUNTIFS('Data entry'!$BE$6:$BE$200, 'Data Validation'!$R28,'Data entry'!$B$6:$B$200, "Confirmed"),'Data Validation'!$R28, " ")</f>
        <v xml:space="preserve"> </v>
      </c>
      <c r="G80" s="90" t="str">
        <f>IF(COUNTIFS('Data entry'!$BE$6:$BE$200, 'Data Validation'!$R30,'Data entry'!$B$6:$B$200, "Confirmed"),'Data Validation'!$R30, " ")</f>
        <v xml:space="preserve"> </v>
      </c>
      <c r="H80" s="90" t="str">
        <f>IF(COUNTIFS('Data entry'!$BE$6:$BE$200, 'Data Validation'!$R32,'Data entry'!$B$6:$B$200, "Confirmed"),'Data Validation'!$R32, " ")</f>
        <v xml:space="preserve"> </v>
      </c>
    </row>
    <row r="81" spans="1:11" ht="26.1" customHeight="1" thickBot="1" x14ac:dyDescent="0.3">
      <c r="A81" s="450"/>
      <c r="B81" s="477"/>
      <c r="C81" s="473"/>
      <c r="D81" s="474"/>
      <c r="E81" s="90" t="str">
        <f>IF(COUNTIFS('Data entry'!$BE$6:$BE$200, 'Data Validation'!$R27,'Data entry'!$B$6:$B$200, "Confirmed"),'Data Validation'!$R27, " ")</f>
        <v xml:space="preserve"> </v>
      </c>
      <c r="F81" s="90" t="str">
        <f>IF(COUNTIFS('Data entry'!$BE$6:$BE$200, 'Data Validation'!$R29,'Data entry'!$B$6:$B$200, "Confirmed"),'Data Validation'!$R29, " ")</f>
        <v xml:space="preserve"> </v>
      </c>
      <c r="G81" s="90" t="str">
        <f>IF(COUNTIFS('Data entry'!$BE$6:$BE$200, 'Data Validation'!$R31,'Data entry'!$B$6:$B$200, "Confirmed"),'Data Validation'!$R31, " ")</f>
        <v xml:space="preserve"> </v>
      </c>
      <c r="H81" s="90" t="str">
        <f>IF(COUNTIFS('Data entry'!$BE$6:$BE$200, 'Data Validation'!$R33,'Data entry'!$B$6:$B$200, "Confirmed"),'Data Validation'!$R33, " ")</f>
        <v xml:space="preserve"> </v>
      </c>
      <c r="I81" s="89"/>
      <c r="J81" s="89"/>
    </row>
    <row r="82" spans="1:11" ht="16.5" customHeight="1" thickBot="1" x14ac:dyDescent="0.3">
      <c r="A82" s="450"/>
      <c r="B82" s="121"/>
      <c r="C82" s="117"/>
      <c r="D82" s="103"/>
      <c r="E82" s="381"/>
      <c r="F82" s="381"/>
      <c r="G82" s="381"/>
      <c r="H82" s="382"/>
      <c r="K82" s="76"/>
    </row>
    <row r="83" spans="1:11" ht="16.5" customHeight="1" thickBot="1" x14ac:dyDescent="0.3">
      <c r="A83" s="450"/>
      <c r="B83" s="453" t="s">
        <v>207</v>
      </c>
      <c r="C83" s="460" t="s">
        <v>367</v>
      </c>
      <c r="D83" s="342"/>
      <c r="E83" s="383">
        <f>SUM(E109:E115)</f>
        <v>0</v>
      </c>
      <c r="F83" s="384"/>
      <c r="G83" s="384"/>
      <c r="H83" s="385"/>
    </row>
    <row r="84" spans="1:11" ht="16.5" customHeight="1" thickBot="1" x14ac:dyDescent="0.3">
      <c r="A84" s="450"/>
      <c r="B84" s="453"/>
      <c r="C84" s="373" t="s">
        <v>368</v>
      </c>
      <c r="D84" s="374"/>
      <c r="E84" s="344">
        <f>SUM(E97:E108)</f>
        <v>0</v>
      </c>
      <c r="F84" s="345"/>
      <c r="G84" s="345"/>
      <c r="H84" s="346"/>
    </row>
    <row r="85" spans="1:11" ht="16.5" customHeight="1" thickBot="1" x14ac:dyDescent="0.3">
      <c r="A85" s="450"/>
      <c r="B85" s="453"/>
      <c r="C85" s="373" t="s">
        <v>363</v>
      </c>
      <c r="D85" s="374"/>
      <c r="E85" s="362" t="s">
        <v>484</v>
      </c>
      <c r="F85" s="363"/>
      <c r="G85" s="364"/>
      <c r="H85" s="102">
        <f>COUNTIFS('Data entry'!$B$6:$B$200,"*Confir*", 'Data entry'!$O$6:$O$200,"M*", 'Data entry'!$BE$6:$BE$200, E85, 'Data entry'!$AO$6:$AO$200,"*Sta*" )+COUNTIFS('Data entry'!$B$6:$B$200,"*Confir*",'Data entry'!$O$6:$O$200,"M*", 'Data entry'!$BE$6:$BE$200, E85, 'Data entry'!$AO$6:$AO$200,"*Vol*" )</f>
        <v>0</v>
      </c>
    </row>
    <row r="86" spans="1:11" ht="16.5" customHeight="1" thickBot="1" x14ac:dyDescent="0.3">
      <c r="A86" s="450"/>
      <c r="B86" s="453"/>
      <c r="C86" s="373" t="s">
        <v>364</v>
      </c>
      <c r="D86" s="374"/>
      <c r="E86" s="344">
        <f>SUM(G98:G115)</f>
        <v>0</v>
      </c>
      <c r="F86" s="345"/>
      <c r="G86" s="345"/>
      <c r="H86" s="346"/>
    </row>
    <row r="87" spans="1:11" ht="16.5" customHeight="1" thickBot="1" x14ac:dyDescent="0.3">
      <c r="A87" s="450"/>
      <c r="B87" s="453"/>
      <c r="C87" s="375" t="s">
        <v>206</v>
      </c>
      <c r="D87" s="376"/>
      <c r="E87" s="366" t="s">
        <v>451</v>
      </c>
      <c r="F87" s="367"/>
      <c r="G87" s="368"/>
      <c r="H87" s="104">
        <f>COUNTIFS('Data entry'!$B$6:$B$200,"*Contact*", 'Data entry'!$O$6:$O$200,"M*",'Data entry'!$BE$6:$BE$200, E87, 'Data entry'!$AO$6:$AO$200, "*Sta*") + COUNTIFS('Data entry'!$B$6:$B$200,"*Contact*", 'Data entry'!$O$6:$O$200,"M*", 'Data entry'!$BE$6:$BE$200, E87, 'Data entry'!$AO$6:$AO$200, "*Vol*")</f>
        <v>0</v>
      </c>
    </row>
    <row r="88" spans="1:11" ht="16.5" customHeight="1" thickBot="1" x14ac:dyDescent="0.3">
      <c r="A88" s="450"/>
      <c r="B88" s="453"/>
      <c r="C88" s="386"/>
      <c r="D88" s="387"/>
      <c r="E88" s="366"/>
      <c r="F88" s="367"/>
      <c r="G88" s="368"/>
      <c r="H88" s="104"/>
    </row>
    <row r="89" spans="1:11" ht="16.5" customHeight="1" thickBot="1" x14ac:dyDescent="0.3">
      <c r="A89" s="450"/>
      <c r="B89" s="453" t="s">
        <v>209</v>
      </c>
      <c r="C89" s="454" t="s">
        <v>367</v>
      </c>
      <c r="D89" s="455"/>
      <c r="E89" s="377">
        <f>SUM(F109:F115)</f>
        <v>0</v>
      </c>
      <c r="F89" s="378"/>
      <c r="G89" s="378"/>
      <c r="H89" s="379"/>
    </row>
    <row r="90" spans="1:11" ht="16.5" customHeight="1" thickBot="1" x14ac:dyDescent="0.3">
      <c r="A90" s="450"/>
      <c r="B90" s="453"/>
      <c r="C90" s="369" t="s">
        <v>368</v>
      </c>
      <c r="D90" s="370"/>
      <c r="E90" s="344">
        <f>SUM(F98:F108)</f>
        <v>0</v>
      </c>
      <c r="F90" s="345"/>
      <c r="G90" s="345"/>
      <c r="H90" s="346"/>
    </row>
    <row r="91" spans="1:11" ht="16.5" customHeight="1" thickBot="1" x14ac:dyDescent="0.3">
      <c r="A91" s="450"/>
      <c r="B91" s="453"/>
      <c r="C91" s="369" t="s">
        <v>365</v>
      </c>
      <c r="D91" s="370"/>
      <c r="E91" s="365" t="s">
        <v>440</v>
      </c>
      <c r="F91" s="365"/>
      <c r="G91" s="365"/>
      <c r="H91" s="95">
        <f>COUNTIFS('Data entry'!$B$6:$B$200,"*Confir*", 'Data entry'!$O$6:$O$200,"M*", 'Data entry'!$BE$6:$BE$200, $E$91, 'Data entry'!$AO$6:$AO$200, "*Vis*") + COUNTIFS('Data entry'!$B$6:$B$200,"*Confir*", 'Data entry'!$O$6:$O$200,"M*", 'Data entry'!$BE$6:$BE$200, $E$91, 'Data entry'!$AO$6:$AO$200, "*Stu*") + COUNTIFS('Data entry'!$B$6:$B$200,"*Confir*", 'Data entry'!$O$6:$O$200,"M*", 'Data entry'!$BE$6:$BE$200, $E$91, 'Data entry'!$AO$6:$AO$200,"*Res*")+COUNTIFS('Data entry'!$B$6:$B$200,"*Confir*", 'Data entry'!$O$6:$O$200,"M*", 'Data entry'!$BE$6:$BE$200, $E$91, 'Data entry'!$AO$6:$AO$200,"*Pat*")+COUNTIFS('Data entry'!$B$6:$B$200,"*Confir*", 'Data entry'!$O$6:$O$200,"M*", 'Data entry'!$BE$6:$BE$200, $E$91, 'Data entry'!$AO$6:$AO$200,"*Oth*")+COUNTIFS('Data entry'!$B$6:$B$200,"*Confir*", 'Data entry'!$O$6:$O$200,"M*", 'Data entry'!$BE$6:$BE$200, $E$91, 'Data entry'!$AO$6:$AO$200,"*Att*")</f>
        <v>0</v>
      </c>
    </row>
    <row r="92" spans="1:11" ht="16.5" customHeight="1" thickBot="1" x14ac:dyDescent="0.3">
      <c r="A92" s="450"/>
      <c r="B92" s="453"/>
      <c r="C92" s="369" t="s">
        <v>388</v>
      </c>
      <c r="D92" s="370"/>
      <c r="E92" s="344">
        <f>SUM(H98:H108)</f>
        <v>0</v>
      </c>
      <c r="F92" s="345"/>
      <c r="G92" s="345"/>
      <c r="H92" s="346"/>
    </row>
    <row r="93" spans="1:11" ht="16.5" customHeight="1" thickBot="1" x14ac:dyDescent="0.3">
      <c r="A93" s="450"/>
      <c r="B93" s="453"/>
      <c r="C93" s="369" t="s">
        <v>389</v>
      </c>
      <c r="D93" s="370"/>
      <c r="E93" s="366"/>
      <c r="F93" s="367"/>
      <c r="G93" s="368"/>
      <c r="H93" s="104">
        <f>COUNTIFS('Data entry'!$B$6:$B$200,"*Contact*", 'Data entry'!$O$6:$O$200,"M*", 'Data entry'!$BE$6:$BE$200, E93, 'Data entry'!$AO$6:$AO$200, "*Res*") + COUNTIFS('Data entry'!$B$6:$B$200,"*Contact*",'Data entry'!$O$6:$O$200,"M*", 'Data entry'!$BE$6:$BE$200, E93, 'Data entry'!$AO$6:$AO$200, "*Stu*") + COUNTIFS('Data entry'!$B$6:$B$200,"*Contact*", 'Data entry'!$O$6:$O$200,"M*", 'Data entry'!$BE$6:$BE$200, E93, 'Data entry'!$AO$6:$AO$200, "*Pat*")+ COUNTIFS('Data entry'!$B$6:$B$200,"*Contact*", 'Data entry'!$O$6:$O$200,"M*", 'Data entry'!$BE$6:$BE$200, E93, 'Data entry'!$AO$6:$AO$200, "*Vis*")+ COUNTIFS('Data entry'!$B$6:$B$200,"*Contact*", 'Data entry'!$O$6:$O$200,"M*", 'Data entry'!$BE$6:$BE$200, E93, 'Data entry'!$AO$6:$AO$200, "*Oth*")+ COUNTIFS('Data entry'!$B$6:$B$200,"*Contact*", 'Data entry'!$O$6:$O$200,"M*", 'Data entry'!$BE$6:$BE$200, E93, 'Data entry'!$AO$6:$AO$200, "*Att*")</f>
        <v>0</v>
      </c>
    </row>
    <row r="94" spans="1:11" ht="16.5" customHeight="1" thickBot="1" x14ac:dyDescent="0.3">
      <c r="A94" s="450"/>
      <c r="B94" s="453" t="s">
        <v>262</v>
      </c>
      <c r="C94" s="133"/>
      <c r="D94" s="134"/>
      <c r="E94" s="115"/>
      <c r="F94" s="116"/>
      <c r="G94" s="116"/>
      <c r="H94" s="120"/>
    </row>
    <row r="95" spans="1:11" ht="16.5" customHeight="1" thickBot="1" x14ac:dyDescent="0.3">
      <c r="A95" s="450"/>
      <c r="B95" s="453"/>
      <c r="C95" s="135"/>
      <c r="D95" s="136"/>
      <c r="E95" s="362" t="s">
        <v>213</v>
      </c>
      <c r="F95" s="364"/>
      <c r="G95" s="362" t="s">
        <v>257</v>
      </c>
      <c r="H95" s="364"/>
    </row>
    <row r="96" spans="1:11" ht="30.6" customHeight="1" thickBot="1" x14ac:dyDescent="0.3">
      <c r="A96" s="450"/>
      <c r="B96" s="453"/>
      <c r="C96" s="135"/>
      <c r="D96" s="136"/>
      <c r="E96" s="315" t="s">
        <v>258</v>
      </c>
      <c r="F96" s="316" t="s">
        <v>259</v>
      </c>
      <c r="G96" s="315" t="s">
        <v>258</v>
      </c>
      <c r="H96" s="315" t="s">
        <v>259</v>
      </c>
    </row>
    <row r="97" spans="1:8" ht="16.5" customHeight="1" thickBot="1" x14ac:dyDescent="0.3">
      <c r="A97" s="450"/>
      <c r="B97" s="453"/>
      <c r="C97" s="136" t="s">
        <v>260</v>
      </c>
      <c r="D97" s="136" t="str">
        <f>'Data Validation'!$R2</f>
        <v>Lineage B.1.1.529 (Omicron)</v>
      </c>
      <c r="E97" s="34">
        <f>COUNTIFS('Data entry'!$B$6:$B$200,"*Confir*",'Data entry'!$O$6:$O$200,"M*", 'Data entry'!$BE$6:$BE$200, D97, 'Data entry'!$AO$6:$AO$200, "*Sta*") + COUNTIFS('Data entry'!$B$6:$B$200,"*Confir*",'Data entry'!$O$6:$O$200,"M*", 'Data entry'!$BE$6:$BE$200, D97, 'Data entry'!$AO$6:$AO$200, "*Vol*")</f>
        <v>0</v>
      </c>
      <c r="F97" s="34">
        <f>COUNTIFS('Data entry'!$B$6:$B$200,"*Confir*", 'Data entry'!$O$6:$O$200,"M*", 'Data entry'!$BE$6:$BE$200, D97, 'Data entry'!$AO$6:$AO$200, "*Res*") + COUNTIFS('Data entry'!$B$6:$B$200,"*Confir*", 'Data entry'!$O$6:$O$200,"M*", 'Data entry'!$BE$6:$BE$200, D97, 'Data entry'!$AO$6:$AO$200, "*Stu*") + COUNTIFS('Data entry'!$B$6:$B$200,"*Confir*", 'Data entry'!$O$6:$O$200,"M*", 'Data entry'!$BE$6:$BE$200, D97, 'Data entry'!$AO$6:$AO$200, "*Pat*")+COUNTIFS('Data entry'!$B$6:$B$200,"*Confir*", 'Data entry'!$O$6:$O$200,"M*", 'Data entry'!$BE$6:$BE$200, D97, 'Data entry'!$AO$6:$AO$200, "*Vis*")+COUNTIFS('Data entry'!$B$6:$B$200,"*Confir*", 'Data entry'!$O$6:$O$200,"M*", 'Data entry'!$BE$6:$BE$200, D97, 'Data entry'!$AO$6:$AO$200, "*Oth*")+COUNTIFS('Data entry'!$B$6:$B$200,"*Confir*", 'Data entry'!$O$6:$O$200,"M*", 'Data entry'!$BE$6:$BE$200, D97, 'Data entry'!$AO$6:$AO$200, "*Att*")</f>
        <v>0</v>
      </c>
      <c r="G97" s="34">
        <f>COUNTIFS('Data entry'!$B$6:$B$200,"*Contact*", 'Data entry'!$O$6:$O$200,"M*", 'Data entry'!$BE$6:$BE$200, D97, 'Data entry'!$AO$6:$AO$200, "*Sta*") + COUNTIFS('Data entry'!$B$6:$B$200,"*Contact*", 'Data entry'!$O$6:$O$200,"M*", 'Data entry'!$BE$6:$BE$200, D97, 'Data entry'!$AO$6:$AO$200, "*Vol*")</f>
        <v>0</v>
      </c>
      <c r="H97" s="34">
        <f>COUNTIFS('Data entry'!$B$6:$B$200,"*Contact*",'Data entry'!$O$6:$O$200,"M*", 'Data entry'!$BE$6:$BE$200, D97, 'Data entry'!$AO$6:$AO$200, "*Res*") + COUNTIFS('Data entry'!$B$6:$B$200,"*Contact*", 'Data entry'!$O$6:$O$200,"M*", 'Data entry'!$BE$6:$BE$200, D97, 'Data entry'!$AO$6:$AO$200, "*Stu*") + COUNTIFS('Data entry'!$B$6:$B$200,"*Contact*",'Data entry'!$O$6:$O$200,"M*", 'Data entry'!$BE$6:$BE$200, D97, 'Data entry'!$AO$6:$AO$200, "*Pat*")+ COUNTIFS('Data entry'!$B$6:$B$200,"*Contact*",'Data entry'!$O$6:$O$200,"M*", 'Data entry'!$BE$6:$BE$200, D97, 'Data entry'!$AO$6:$AO$200, "*Vis*")+ COUNTIFS('Data entry'!$B$6:$B$200,"*Contact*", 'Data entry'!$O$6:$O$200,"M*", 'Data entry'!$BE$6:$BE$200, D97, 'Data entry'!$AO$6:$AO$200, "*Oth*")+COUNTIFS('Data entry'!$B$6:$B$200,"*Confir*", 'Data entry'!$O$6:$O$200,"M*", 'Data entry'!$BE$6:$BE$200, D97, 'Data entry'!$AO$6:$AO$200, "*Att*")</f>
        <v>0</v>
      </c>
    </row>
    <row r="98" spans="1:8" ht="16.5" customHeight="1" thickBot="1" x14ac:dyDescent="0.3">
      <c r="A98" s="450"/>
      <c r="B98" s="453"/>
      <c r="C98" s="136" t="s">
        <v>260</v>
      </c>
      <c r="D98" s="136" t="str">
        <f>'Data Validation'!$R15</f>
        <v>Lineage B.1.1.7 (Alpha)</v>
      </c>
      <c r="E98" s="34">
        <f>COUNTIFS('Data entry'!$B$6:$B$200,"*Confir*",'Data entry'!$O$6:$O$200,"M*", 'Data entry'!$BE$6:$BE$200, D98, 'Data entry'!$AO$6:$AO$200, "*Sta*") + COUNTIFS('Data entry'!$B$6:$B$200,"*Confir*",'Data entry'!$O$6:$O$200,"M*", 'Data entry'!$BE$6:$BE$200, D98, 'Data entry'!$AO$6:$AO$200, "*Vol*")</f>
        <v>0</v>
      </c>
      <c r="F98" s="34">
        <f>COUNTIFS('Data entry'!$B$6:$B$200,"*Confir*", 'Data entry'!$O$6:$O$200,"M*", 'Data entry'!$BE$6:$BE$200, D98, 'Data entry'!$AO$6:$AO$200, "*Res*") + COUNTIFS('Data entry'!$B$6:$B$200,"*Confir*", 'Data entry'!$O$6:$O$200,"M*", 'Data entry'!$BE$6:$BE$200, D98, 'Data entry'!$AO$6:$AO$200, "*Stu*") + COUNTIFS('Data entry'!$B$6:$B$200,"*Confir*", 'Data entry'!$O$6:$O$200,"M*", 'Data entry'!$BE$6:$BE$200, D98, 'Data entry'!$AO$6:$AO$200, "*Pat*")+COUNTIFS('Data entry'!$B$6:$B$200,"*Confir*", 'Data entry'!$O$6:$O$200,"M*", 'Data entry'!$BE$6:$BE$200, D98, 'Data entry'!$AO$6:$AO$200, "*Vis*")+COUNTIFS('Data entry'!$B$6:$B$200,"*Confir*", 'Data entry'!$O$6:$O$200,"M*", 'Data entry'!$BE$6:$BE$200, D98, 'Data entry'!$AO$6:$AO$200, "*Oth*")+COUNTIFS('Data entry'!$B$6:$B$200,"*Confir*", 'Data entry'!$O$6:$O$200,"M*", 'Data entry'!$BE$6:$BE$200, D98, 'Data entry'!$AO$6:$AO$200, "*Att*")</f>
        <v>0</v>
      </c>
      <c r="G98" s="34">
        <f>COUNTIFS('Data entry'!$B$6:$B$200,"*Contact*", 'Data entry'!$O$6:$O$200,"M*", 'Data entry'!$BE$6:$BE$200, D98, 'Data entry'!$AO$6:$AO$200, "*Sta*") + COUNTIFS('Data entry'!$B$6:$B$200,"*Contact*", 'Data entry'!$O$6:$O$200,"M*", 'Data entry'!$BE$6:$BE$200, D98, 'Data entry'!$AO$6:$AO$200, "*Vol*")</f>
        <v>0</v>
      </c>
      <c r="H98" s="34">
        <f>COUNTIFS('Data entry'!$B$6:$B$200,"*Contact*",'Data entry'!$O$6:$O$200,"M*", 'Data entry'!$BE$6:$BE$200, D98, 'Data entry'!$AO$6:$AO$200, "*Res*") + COUNTIFS('Data entry'!$B$6:$B$200,"*Contact*", 'Data entry'!$O$6:$O$200,"M*", 'Data entry'!$BE$6:$BE$200, D98, 'Data entry'!$AO$6:$AO$200, "*Stu*") + COUNTIFS('Data entry'!$B$6:$B$200,"*Contact*",'Data entry'!$O$6:$O$200,"M*", 'Data entry'!$BE$6:$BE$200, D98, 'Data entry'!$AO$6:$AO$200, "*Pat*")+ COUNTIFS('Data entry'!$B$6:$B$200,"*Contact*",'Data entry'!$O$6:$O$200,"M*", 'Data entry'!$BE$6:$BE$200, D98, 'Data entry'!$AO$6:$AO$200, "*Vis*")+ COUNTIFS('Data entry'!$B$6:$B$200,"*Contact*", 'Data entry'!$O$6:$O$200,"M*", 'Data entry'!$BE$6:$BE$200, D98, 'Data entry'!$AO$6:$AO$200, "*Oth*")+COUNTIFS('Data entry'!$B$6:$B$200,"*Confir*", 'Data entry'!$O$6:$O$200,"M*", 'Data entry'!$BE$6:$BE$200, D98, 'Data entry'!$AO$6:$AO$200, "*Att*")</f>
        <v>0</v>
      </c>
    </row>
    <row r="99" spans="1:8" ht="16.5" customHeight="1" thickBot="1" x14ac:dyDescent="0.3">
      <c r="A99" s="450"/>
      <c r="B99" s="453"/>
      <c r="C99" s="136" t="s">
        <v>260</v>
      </c>
      <c r="D99" s="136" t="str">
        <f>'Data Validation'!$R16</f>
        <v>Lineage B.1.351 (Beta)</v>
      </c>
      <c r="E99" s="34">
        <f>COUNTIFS('Data entry'!$B$6:$B$200,"*Confir*",'Data entry'!$O$6:$O$200,"M*", 'Data entry'!$BE$6:$BE$200, D99, 'Data entry'!$AO$6:$AO$200, "*Sta*") + COUNTIFS('Data entry'!$B$6:$B$200,"*Confir*",'Data entry'!$O$6:$O$200,"M*", 'Data entry'!$BE$6:$BE$200, D99, 'Data entry'!$AO$6:$AO$200, "*Vol*")</f>
        <v>0</v>
      </c>
      <c r="F99" s="34">
        <f>COUNTIFS('Data entry'!$B$6:$B$200,"*Confir*", 'Data entry'!$O$6:$O$200,"M*", 'Data entry'!$BE$6:$BE$200, D99, 'Data entry'!$AO$6:$AO$200, "*Res*") + COUNTIFS('Data entry'!$B$6:$B$200,"*Confir*", 'Data entry'!$O$6:$O$200,"M*", 'Data entry'!$BE$6:$BE$200, D99, 'Data entry'!$AO$6:$AO$200, "*Stu*") + COUNTIFS('Data entry'!$B$6:$B$200,"*Confir*", 'Data entry'!$O$6:$O$200,"M*", 'Data entry'!$BE$6:$BE$200, D99, 'Data entry'!$AO$6:$AO$200, "*Pat*")+COUNTIFS('Data entry'!$B$6:$B$200,"*Confir*", 'Data entry'!$O$6:$O$200,"M*", 'Data entry'!$BE$6:$BE$200, D99, 'Data entry'!$AO$6:$AO$200, "*Vis*")+COUNTIFS('Data entry'!$B$6:$B$200,"*Confir*", 'Data entry'!$O$6:$O$200,"M*", 'Data entry'!$BE$6:$BE$200, D99, 'Data entry'!$AO$6:$AO$200, "*Oth*")+COUNTIFS('Data entry'!$B$6:$B$200,"*Confir*", 'Data entry'!$O$6:$O$200,"M*", 'Data entry'!$BE$6:$BE$200, D99, 'Data entry'!$AO$6:$AO$200, "*Att*")</f>
        <v>0</v>
      </c>
      <c r="G99" s="34">
        <f>COUNTIFS('Data entry'!$B$6:$B$200,"*Contact*", 'Data entry'!$O$6:$O$200,"M*", 'Data entry'!$BE$6:$BE$200, D99, 'Data entry'!$AO$6:$AO$200, "*Sta*") + COUNTIFS('Data entry'!$B$6:$B$200,"*Contact*", 'Data entry'!$O$6:$O$200,"M*", 'Data entry'!$BE$6:$BE$200, D99, 'Data entry'!$AO$6:$AO$200, "*Vol*")</f>
        <v>0</v>
      </c>
      <c r="H99" s="34">
        <f>COUNTIFS('Data entry'!$B$6:$B$200,"*Contact*",'Data entry'!$O$6:$O$200,"M*", 'Data entry'!$BE$6:$BE$200, D99, 'Data entry'!$AO$6:$AO$200, "*Res*") + COUNTIFS('Data entry'!$B$6:$B$200,"*Contact*", 'Data entry'!$O$6:$O$200,"M*", 'Data entry'!$BE$6:$BE$200, D99, 'Data entry'!$AO$6:$AO$200, "*Stu*") + COUNTIFS('Data entry'!$B$6:$B$200,"*Contact*",'Data entry'!$O$6:$O$200,"M*", 'Data entry'!$BE$6:$BE$200, D99, 'Data entry'!$AO$6:$AO$200, "*Pat*")+ COUNTIFS('Data entry'!$B$6:$B$200,"*Contact*",'Data entry'!$O$6:$O$200,"M*", 'Data entry'!$BE$6:$BE$200, D99, 'Data entry'!$AO$6:$AO$200, "*Vis*")+ COUNTIFS('Data entry'!$B$6:$B$200,"*Contact*", 'Data entry'!$O$6:$O$200,"M*", 'Data entry'!$BE$6:$BE$200, D99, 'Data entry'!$AO$6:$AO$200, "*Oth*")+COUNTIFS('Data entry'!$B$6:$B$200,"*Confir*", 'Data entry'!$O$6:$O$200,"M*", 'Data entry'!$BE$6:$BE$200, D99, 'Data entry'!$AO$6:$AO$200, "*Att*")</f>
        <v>0</v>
      </c>
    </row>
    <row r="100" spans="1:8" ht="16.5" customHeight="1" thickBot="1" x14ac:dyDescent="0.3">
      <c r="A100" s="450"/>
      <c r="B100" s="453"/>
      <c r="C100" s="136" t="s">
        <v>260</v>
      </c>
      <c r="D100" s="136" t="str">
        <f>'Data Validation'!$R17</f>
        <v>Lineage P.1 (Gamma)</v>
      </c>
      <c r="E100" s="34">
        <f>COUNTIFS('Data entry'!$B$6:$B$200,"*Confir*",'Data entry'!$O$6:$O$200,"M*", 'Data entry'!$BE$6:$BE$200, D100, 'Data entry'!$AO$6:$AO$200, "*Sta*") + COUNTIFS('Data entry'!$B$6:$B$200,"*Confir*",'Data entry'!$O$6:$O$200,"M*", 'Data entry'!$BE$6:$BE$200, D100, 'Data entry'!$AO$6:$AO$200, "*Vol*")</f>
        <v>0</v>
      </c>
      <c r="F100" s="34">
        <f>COUNTIFS('Data entry'!$B$6:$B$200,"*Confir*", 'Data entry'!$O$6:$O$200,"M*", 'Data entry'!$BE$6:$BE$200, D100, 'Data entry'!$AO$6:$AO$200, "*Res*") + COUNTIFS('Data entry'!$B$6:$B$200,"*Confir*", 'Data entry'!$O$6:$O$200,"M*", 'Data entry'!$BE$6:$BE$200, D100, 'Data entry'!$AO$6:$AO$200, "*Stu*") + COUNTIFS('Data entry'!$B$6:$B$200,"*Confir*", 'Data entry'!$O$6:$O$200,"M*", 'Data entry'!$BE$6:$BE$200, D100, 'Data entry'!$AO$6:$AO$200, "*Pat*")+COUNTIFS('Data entry'!$B$6:$B$200,"*Confir*", 'Data entry'!$O$6:$O$200,"M*", 'Data entry'!$BE$6:$BE$200, D100, 'Data entry'!$AO$6:$AO$200, "*Vis*")+COUNTIFS('Data entry'!$B$6:$B$200,"*Confir*", 'Data entry'!$O$6:$O$200,"M*", 'Data entry'!$BE$6:$BE$200, D100, 'Data entry'!$AO$6:$AO$200, "*Oth*")+COUNTIFS('Data entry'!$B$6:$B$200,"*Confir*", 'Data entry'!$O$6:$O$200,"M*", 'Data entry'!$BE$6:$BE$200, D100, 'Data entry'!$AO$6:$AO$200, "*Att*")</f>
        <v>0</v>
      </c>
      <c r="G100" s="34">
        <f>COUNTIFS('Data entry'!$B$6:$B$200,"*Contact*", 'Data entry'!$O$6:$O$200,"M*", 'Data entry'!$BE$6:$BE$200, D100, 'Data entry'!$AO$6:$AO$200, "*Sta*") + COUNTIFS('Data entry'!$B$6:$B$200,"*Contact*", 'Data entry'!$O$6:$O$200,"M*", 'Data entry'!$BE$6:$BE$200, D100, 'Data entry'!$AO$6:$AO$200, "*Vol*")</f>
        <v>0</v>
      </c>
      <c r="H100" s="34">
        <f>COUNTIFS('Data entry'!$B$6:$B$200,"*Contact*",'Data entry'!$O$6:$O$200,"M*", 'Data entry'!$BE$6:$BE$200, D100, 'Data entry'!$AO$6:$AO$200, "*Res*") + COUNTIFS('Data entry'!$B$6:$B$200,"*Contact*", 'Data entry'!$O$6:$O$200,"M*", 'Data entry'!$BE$6:$BE$200, D100, 'Data entry'!$AO$6:$AO$200, "*Stu*") + COUNTIFS('Data entry'!$B$6:$B$200,"*Contact*",'Data entry'!$O$6:$O$200,"M*", 'Data entry'!$BE$6:$BE$200, D100, 'Data entry'!$AO$6:$AO$200, "*Pat*")+ COUNTIFS('Data entry'!$B$6:$B$200,"*Contact*",'Data entry'!$O$6:$O$200,"M*", 'Data entry'!$BE$6:$BE$200, D100, 'Data entry'!$AO$6:$AO$200, "*Vis*")+ COUNTIFS('Data entry'!$B$6:$B$200,"*Contact*", 'Data entry'!$O$6:$O$200,"M*", 'Data entry'!$BE$6:$BE$200, D100, 'Data entry'!$AO$6:$AO$200, "*Oth*")+COUNTIFS('Data entry'!$B$6:$B$200,"*Confir*", 'Data entry'!$O$6:$O$200,"M*", 'Data entry'!$BE$6:$BE$200, D100, 'Data entry'!$AO$6:$AO$200, "*Att*")</f>
        <v>0</v>
      </c>
    </row>
    <row r="101" spans="1:8" ht="16.5" customHeight="1" thickBot="1" x14ac:dyDescent="0.3">
      <c r="A101" s="450"/>
      <c r="B101" s="453"/>
      <c r="C101" s="136" t="s">
        <v>260</v>
      </c>
      <c r="D101" s="136" t="str">
        <f>'Data Validation'!$R18</f>
        <v>Lineage P.2 (Zeta)</v>
      </c>
      <c r="E101" s="34">
        <f>COUNTIFS('Data entry'!$B$6:$B$200,"*Confir*",'Data entry'!$O$6:$O$200,"M*", 'Data entry'!$BE$6:$BE$200, D101, 'Data entry'!$AO$6:$AO$200, "*Sta*") + COUNTIFS('Data entry'!$B$6:$B$200,"*Confir*",'Data entry'!$O$6:$O$200,"M*", 'Data entry'!$BE$6:$BE$200, D101, 'Data entry'!$AO$6:$AO$200, "*Vol*")</f>
        <v>0</v>
      </c>
      <c r="F101" s="34">
        <f>COUNTIFS('Data entry'!$B$6:$B$200,"*Confir*", 'Data entry'!$O$6:$O$200,"M*", 'Data entry'!$BE$6:$BE$200, D101, 'Data entry'!$AO$6:$AO$200, "*Res*") + COUNTIFS('Data entry'!$B$6:$B$200,"*Confir*", 'Data entry'!$O$6:$O$200,"M*", 'Data entry'!$BE$6:$BE$200, D101, 'Data entry'!$AO$6:$AO$200, "*Stu*") + COUNTIFS('Data entry'!$B$6:$B$200,"*Confir*", 'Data entry'!$O$6:$O$200,"M*", 'Data entry'!$BE$6:$BE$200, D101, 'Data entry'!$AO$6:$AO$200, "*Pat*")+COUNTIFS('Data entry'!$B$6:$B$200,"*Confir*", 'Data entry'!$O$6:$O$200,"M*", 'Data entry'!$BE$6:$BE$200, D101, 'Data entry'!$AO$6:$AO$200, "*Vis*")+COUNTIFS('Data entry'!$B$6:$B$200,"*Confir*", 'Data entry'!$O$6:$O$200,"M*", 'Data entry'!$BE$6:$BE$200, D101, 'Data entry'!$AO$6:$AO$200, "*Oth*")+COUNTIFS('Data entry'!$B$6:$B$200,"*Confir*", 'Data entry'!$O$6:$O$200,"M*", 'Data entry'!$BE$6:$BE$200, D101, 'Data entry'!$AO$6:$AO$200, "*Att*")</f>
        <v>0</v>
      </c>
      <c r="G101" s="34">
        <f>COUNTIFS('Data entry'!$B$6:$B$200,"*Contact*", 'Data entry'!$O$6:$O$200,"M*", 'Data entry'!$BE$6:$BE$200, D101, 'Data entry'!$AO$6:$AO$200, "*Sta*") + COUNTIFS('Data entry'!$B$6:$B$200,"*Contact*", 'Data entry'!$O$6:$O$200,"M*", 'Data entry'!$BE$6:$BE$200, D101, 'Data entry'!$AO$6:$AO$200, "*Vol*")</f>
        <v>0</v>
      </c>
      <c r="H101" s="34">
        <f>COUNTIFS('Data entry'!$B$6:$B$200,"*Contact*",'Data entry'!$O$6:$O$200,"M*", 'Data entry'!$BE$6:$BE$200, D101, 'Data entry'!$AO$6:$AO$200, "*Res*") + COUNTIFS('Data entry'!$B$6:$B$200,"*Contact*", 'Data entry'!$O$6:$O$200,"M*", 'Data entry'!$BE$6:$BE$200, D101, 'Data entry'!$AO$6:$AO$200, "*Stu*") + COUNTIFS('Data entry'!$B$6:$B$200,"*Contact*",'Data entry'!$O$6:$O$200,"M*", 'Data entry'!$BE$6:$BE$200, D101, 'Data entry'!$AO$6:$AO$200, "*Pat*")+ COUNTIFS('Data entry'!$B$6:$B$200,"*Contact*",'Data entry'!$O$6:$O$200,"M*", 'Data entry'!$BE$6:$BE$200, D101, 'Data entry'!$AO$6:$AO$200, "*Vis*")+ COUNTIFS('Data entry'!$B$6:$B$200,"*Contact*", 'Data entry'!$O$6:$O$200,"M*", 'Data entry'!$BE$6:$BE$200, D101, 'Data entry'!$AO$6:$AO$200, "*Oth*")+COUNTIFS('Data entry'!$B$6:$B$200,"*Confir*", 'Data entry'!$O$6:$O$200,"M*", 'Data entry'!$BE$6:$BE$200, D101, 'Data entry'!$AO$6:$AO$200, "*Att*")</f>
        <v>0</v>
      </c>
    </row>
    <row r="102" spans="1:8" ht="16.5" customHeight="1" thickBot="1" x14ac:dyDescent="0.3">
      <c r="A102" s="450"/>
      <c r="B102" s="453"/>
      <c r="C102" s="136" t="s">
        <v>260</v>
      </c>
      <c r="D102" s="136" t="str">
        <f>'Data Validation'!$R19</f>
        <v>Lineage B.1.617</v>
      </c>
      <c r="E102" s="34">
        <f>COUNTIFS('Data entry'!$B$6:$B$200,"*Confir*",'Data entry'!$O$6:$O$200,"M*", 'Data entry'!$BE$6:$BE$200, D102, 'Data entry'!$AO$6:$AO$200, "*Sta*") + COUNTIFS('Data entry'!$B$6:$B$200,"*Confir*",'Data entry'!$O$6:$O$200,"M*", 'Data entry'!$BE$6:$BE$200, D102, 'Data entry'!$AO$6:$AO$200, "*Vol*")</f>
        <v>0</v>
      </c>
      <c r="F102" s="34">
        <f>COUNTIFS('Data entry'!$B$6:$B$200,"*Confir*", 'Data entry'!$O$6:$O$200,"M*", 'Data entry'!$BE$6:$BE$200, D102, 'Data entry'!$AO$6:$AO$200, "*Res*") + COUNTIFS('Data entry'!$B$6:$B$200,"*Confir*", 'Data entry'!$O$6:$O$200,"M*", 'Data entry'!$BE$6:$BE$200, D102, 'Data entry'!$AO$6:$AO$200, "*Stu*") + COUNTIFS('Data entry'!$B$6:$B$200,"*Confir*", 'Data entry'!$O$6:$O$200,"M*", 'Data entry'!$BE$6:$BE$200, D102, 'Data entry'!$AO$6:$AO$200, "*Pat*")+COUNTIFS('Data entry'!$B$6:$B$200,"*Confir*", 'Data entry'!$O$6:$O$200,"M*", 'Data entry'!$BE$6:$BE$200, D102, 'Data entry'!$AO$6:$AO$200, "*Vis*")+COUNTIFS('Data entry'!$B$6:$B$200,"*Confir*", 'Data entry'!$O$6:$O$200,"M*", 'Data entry'!$BE$6:$BE$200, D102, 'Data entry'!$AO$6:$AO$200, "*Oth*")+COUNTIFS('Data entry'!$B$6:$B$200,"*Confir*", 'Data entry'!$O$6:$O$200,"M*", 'Data entry'!$BE$6:$BE$200, D102, 'Data entry'!$AO$6:$AO$200, "*Att*")</f>
        <v>0</v>
      </c>
      <c r="G102" s="34">
        <f>COUNTIFS('Data entry'!$B$6:$B$200,"*Contact*", 'Data entry'!$O$6:$O$200,"M*", 'Data entry'!$BE$6:$BE$200, D102, 'Data entry'!$AO$6:$AO$200, "*Sta*") + COUNTIFS('Data entry'!$B$6:$B$200,"*Contact*", 'Data entry'!$O$6:$O$200,"M*", 'Data entry'!$BE$6:$BE$200, D102, 'Data entry'!$AO$6:$AO$200, "*Vol*")</f>
        <v>0</v>
      </c>
      <c r="H102" s="34">
        <f>COUNTIFS('Data entry'!$B$6:$B$200,"*Contact*",'Data entry'!$O$6:$O$200,"M*", 'Data entry'!$BE$6:$BE$200, D102, 'Data entry'!$AO$6:$AO$200, "*Res*") + COUNTIFS('Data entry'!$B$6:$B$200,"*Contact*", 'Data entry'!$O$6:$O$200,"M*", 'Data entry'!$BE$6:$BE$200, D102, 'Data entry'!$AO$6:$AO$200, "*Stu*") + COUNTIFS('Data entry'!$B$6:$B$200,"*Contact*",'Data entry'!$O$6:$O$200,"M*", 'Data entry'!$BE$6:$BE$200, D102, 'Data entry'!$AO$6:$AO$200, "*Pat*")+ COUNTIFS('Data entry'!$B$6:$B$200,"*Contact*",'Data entry'!$O$6:$O$200,"M*", 'Data entry'!$BE$6:$BE$200, D102, 'Data entry'!$AO$6:$AO$200, "*Vis*")+ COUNTIFS('Data entry'!$B$6:$B$200,"*Contact*", 'Data entry'!$O$6:$O$200,"M*", 'Data entry'!$BE$6:$BE$200, D102, 'Data entry'!$AO$6:$AO$200, "*Oth*")+COUNTIFS('Data entry'!$B$6:$B$200,"*Confir*", 'Data entry'!$O$6:$O$200,"M*", 'Data entry'!$BE$6:$BE$200, D102, 'Data entry'!$AO$6:$AO$200, "*Att*")</f>
        <v>0</v>
      </c>
    </row>
    <row r="103" spans="1:8" ht="16.5" customHeight="1" thickBot="1" x14ac:dyDescent="0.3">
      <c r="A103" s="450"/>
      <c r="B103" s="453"/>
      <c r="C103" s="136" t="s">
        <v>260</v>
      </c>
      <c r="D103" s="136" t="str">
        <f>'Data Validation'!$R20</f>
        <v>Lineage B.1.617.1 (Kappa)</v>
      </c>
      <c r="E103" s="34">
        <f>COUNTIFS('Data entry'!$B$6:$B$200,"*Confir*",'Data entry'!$O$6:$O$200,"M*", 'Data entry'!$BE$6:$BE$200, D103, 'Data entry'!$AO$6:$AO$200, "*Sta*") + COUNTIFS('Data entry'!$B$6:$B$200,"*Confir*",'Data entry'!$O$6:$O$200,"M*", 'Data entry'!$BE$6:$BE$200, D103, 'Data entry'!$AO$6:$AO$200, "*Vol*")</f>
        <v>0</v>
      </c>
      <c r="F103" s="34">
        <f>COUNTIFS('Data entry'!$B$6:$B$200,"*Confir*", 'Data entry'!$O$6:$O$200,"M*", 'Data entry'!$BE$6:$BE$200, D103, 'Data entry'!$AO$6:$AO$200, "*Res*") + COUNTIFS('Data entry'!$B$6:$B$200,"*Confir*", 'Data entry'!$O$6:$O$200,"M*", 'Data entry'!$BE$6:$BE$200, D103, 'Data entry'!$AO$6:$AO$200, "*Stu*") + COUNTIFS('Data entry'!$B$6:$B$200,"*Confir*", 'Data entry'!$O$6:$O$200,"M*", 'Data entry'!$BE$6:$BE$200, D103, 'Data entry'!$AO$6:$AO$200, "*Pat*")+COUNTIFS('Data entry'!$B$6:$B$200,"*Confir*", 'Data entry'!$O$6:$O$200,"M*", 'Data entry'!$BE$6:$BE$200, D103, 'Data entry'!$AO$6:$AO$200, "*Vis*")+COUNTIFS('Data entry'!$B$6:$B$200,"*Confir*", 'Data entry'!$O$6:$O$200,"M*", 'Data entry'!$BE$6:$BE$200, D103, 'Data entry'!$AO$6:$AO$200, "*Oth*")+COUNTIFS('Data entry'!$B$6:$B$200,"*Confir*", 'Data entry'!$O$6:$O$200,"M*", 'Data entry'!$BE$6:$BE$200, D103, 'Data entry'!$AO$6:$AO$200, "*Att*")</f>
        <v>0</v>
      </c>
      <c r="G103" s="34">
        <f>COUNTIFS('Data entry'!$B$6:$B$200,"*Contact*", 'Data entry'!$O$6:$O$200,"M*", 'Data entry'!$BE$6:$BE$200, D103, 'Data entry'!$AO$6:$AO$200, "*Sta*") + COUNTIFS('Data entry'!$B$6:$B$200,"*Contact*", 'Data entry'!$O$6:$O$200,"M*", 'Data entry'!$BE$6:$BE$200, D103, 'Data entry'!$AO$6:$AO$200, "*Vol*")</f>
        <v>0</v>
      </c>
      <c r="H103" s="34">
        <f>COUNTIFS('Data entry'!$B$6:$B$200,"*Contact*",'Data entry'!$O$6:$O$200,"M*", 'Data entry'!$BE$6:$BE$200, D103, 'Data entry'!$AO$6:$AO$200, "*Res*") + COUNTIFS('Data entry'!$B$6:$B$200,"*Contact*", 'Data entry'!$O$6:$O$200,"M*", 'Data entry'!$BE$6:$BE$200, D103, 'Data entry'!$AO$6:$AO$200, "*Stu*") + COUNTIFS('Data entry'!$B$6:$B$200,"*Contact*",'Data entry'!$O$6:$O$200,"M*", 'Data entry'!$BE$6:$BE$200, D103, 'Data entry'!$AO$6:$AO$200, "*Pat*")+ COUNTIFS('Data entry'!$B$6:$B$200,"*Contact*",'Data entry'!$O$6:$O$200,"M*", 'Data entry'!$BE$6:$BE$200, D103, 'Data entry'!$AO$6:$AO$200, "*Vis*")+ COUNTIFS('Data entry'!$B$6:$B$200,"*Contact*", 'Data entry'!$O$6:$O$200,"M*", 'Data entry'!$BE$6:$BE$200, D103, 'Data entry'!$AO$6:$AO$200, "*Oth*")+COUNTIFS('Data entry'!$B$6:$B$200,"*Confir*", 'Data entry'!$O$6:$O$200,"M*", 'Data entry'!$BE$6:$BE$200, D103, 'Data entry'!$AO$6:$AO$200, "*Att*")</f>
        <v>0</v>
      </c>
    </row>
    <row r="104" spans="1:8" ht="16.5" customHeight="1" thickBot="1" x14ac:dyDescent="0.3">
      <c r="A104" s="450"/>
      <c r="B104" s="453"/>
      <c r="C104" s="136" t="s">
        <v>260</v>
      </c>
      <c r="D104" s="136" t="str">
        <f>'Data Validation'!$R21</f>
        <v>Lineage B.1.617.2 (Delta).</v>
      </c>
      <c r="E104" s="34">
        <f>COUNTIFS('Data entry'!$B$6:$B$200,"*Confir*",'Data entry'!$O$6:$O$200,"M*", 'Data entry'!$BE$6:$BE$200, D104, 'Data entry'!$AO$6:$AO$200, "*Sta*") + COUNTIFS('Data entry'!$B$6:$B$200,"*Confir*",'Data entry'!$O$6:$O$200,"M*", 'Data entry'!$BE$6:$BE$200, D104, 'Data entry'!$AO$6:$AO$200, "*Vol*")</f>
        <v>0</v>
      </c>
      <c r="F104" s="34">
        <f>COUNTIFS('Data entry'!$B$6:$B$200,"*Confir*", 'Data entry'!$O$6:$O$200,"M*", 'Data entry'!$BE$6:$BE$200, D104, 'Data entry'!$AO$6:$AO$200, "*Res*") + COUNTIFS('Data entry'!$B$6:$B$200,"*Confir*", 'Data entry'!$O$6:$O$200,"M*", 'Data entry'!$BE$6:$BE$200, D104, 'Data entry'!$AO$6:$AO$200, "*Stu*") + COUNTIFS('Data entry'!$B$6:$B$200,"*Confir*", 'Data entry'!$O$6:$O$200,"M*", 'Data entry'!$BE$6:$BE$200, D104, 'Data entry'!$AO$6:$AO$200, "*Pat*")+COUNTIFS('Data entry'!$B$6:$B$200,"*Confir*", 'Data entry'!$O$6:$O$200,"M*", 'Data entry'!$BE$6:$BE$200, D104, 'Data entry'!$AO$6:$AO$200, "*Vis*")+COUNTIFS('Data entry'!$B$6:$B$200,"*Confir*", 'Data entry'!$O$6:$O$200,"M*", 'Data entry'!$BE$6:$BE$200, D104, 'Data entry'!$AO$6:$AO$200, "*Oth*")+COUNTIFS('Data entry'!$B$6:$B$200,"*Confir*", 'Data entry'!$O$6:$O$200,"M*", 'Data entry'!$BE$6:$BE$200, D104, 'Data entry'!$AO$6:$AO$200, "*Att*")</f>
        <v>0</v>
      </c>
      <c r="G104" s="34">
        <f>COUNTIFS('Data entry'!$B$6:$B$200,"*Contact*", 'Data entry'!$O$6:$O$200,"M*", 'Data entry'!$BE$6:$BE$200, D104, 'Data entry'!$AO$6:$AO$200, "*Sta*") + COUNTIFS('Data entry'!$B$6:$B$200,"*Contact*", 'Data entry'!$O$6:$O$200,"M*", 'Data entry'!$BE$6:$BE$200, D104, 'Data entry'!$AO$6:$AO$200, "*Vol*")</f>
        <v>0</v>
      </c>
      <c r="H104" s="34">
        <f>COUNTIFS('Data entry'!$B$6:$B$200,"*Contact*",'Data entry'!$O$6:$O$200,"M*", 'Data entry'!$BE$6:$BE$200, D104, 'Data entry'!$AO$6:$AO$200, "*Res*") + COUNTIFS('Data entry'!$B$6:$B$200,"*Contact*", 'Data entry'!$O$6:$O$200,"M*", 'Data entry'!$BE$6:$BE$200, D104, 'Data entry'!$AO$6:$AO$200, "*Stu*") + COUNTIFS('Data entry'!$B$6:$B$200,"*Contact*",'Data entry'!$O$6:$O$200,"M*", 'Data entry'!$BE$6:$BE$200, D104, 'Data entry'!$AO$6:$AO$200, "*Pat*")+ COUNTIFS('Data entry'!$B$6:$B$200,"*Contact*",'Data entry'!$O$6:$O$200,"M*", 'Data entry'!$BE$6:$BE$200, D104, 'Data entry'!$AO$6:$AO$200, "*Vis*")+ COUNTIFS('Data entry'!$B$6:$B$200,"*Contact*", 'Data entry'!$O$6:$O$200,"M*", 'Data entry'!$BE$6:$BE$200, D104, 'Data entry'!$AO$6:$AO$200, "*Oth*")+COUNTIFS('Data entry'!$B$6:$B$200,"*Confir*", 'Data entry'!$O$6:$O$200,"M*", 'Data entry'!$BE$6:$BE$200, D104, 'Data entry'!$AO$6:$AO$200, "*Att*")</f>
        <v>0</v>
      </c>
    </row>
    <row r="105" spans="1:8" ht="16.5" customHeight="1" thickBot="1" x14ac:dyDescent="0.3">
      <c r="A105" s="450"/>
      <c r="B105" s="453"/>
      <c r="C105" s="136" t="s">
        <v>260</v>
      </c>
      <c r="D105" s="136" t="str">
        <f>'Data Validation'!$R22</f>
        <v>Lineage B.1.617.3</v>
      </c>
      <c r="E105" s="34">
        <f>COUNTIFS('Data entry'!$B$6:$B$200,"*Confir*",'Data entry'!$O$6:$O$200,"M*", 'Data entry'!$BE$6:$BE$200, D105, 'Data entry'!$AO$6:$AO$200, "*Sta*") + COUNTIFS('Data entry'!$B$6:$B$200,"*Confir*",'Data entry'!$O$6:$O$200,"M*", 'Data entry'!$BE$6:$BE$200, D105, 'Data entry'!$AO$6:$AO$200, "*Vol*")</f>
        <v>0</v>
      </c>
      <c r="F105" s="34">
        <f>COUNTIFS('Data entry'!$B$6:$B$200,"*Confir*", 'Data entry'!$O$6:$O$200,"M*", 'Data entry'!$BE$6:$BE$200, D105, 'Data entry'!$AO$6:$AO$200, "*Res*") + COUNTIFS('Data entry'!$B$6:$B$200,"*Confir*", 'Data entry'!$O$6:$O$200,"M*", 'Data entry'!$BE$6:$BE$200, D105, 'Data entry'!$AO$6:$AO$200, "*Stu*") + COUNTIFS('Data entry'!$B$6:$B$200,"*Confir*", 'Data entry'!$O$6:$O$200,"M*", 'Data entry'!$BE$6:$BE$200, D105, 'Data entry'!$AO$6:$AO$200, "*Pat*")+COUNTIFS('Data entry'!$B$6:$B$200,"*Confir*", 'Data entry'!$O$6:$O$200,"M*", 'Data entry'!$BE$6:$BE$200, D105, 'Data entry'!$AO$6:$AO$200, "*Vis*")+COUNTIFS('Data entry'!$B$6:$B$200,"*Confir*", 'Data entry'!$O$6:$O$200,"M*", 'Data entry'!$BE$6:$BE$200, D105, 'Data entry'!$AO$6:$AO$200, "*Oth*")+COUNTIFS('Data entry'!$B$6:$B$200,"*Confir*", 'Data entry'!$O$6:$O$200,"M*", 'Data entry'!$BE$6:$BE$200, D105, 'Data entry'!$AO$6:$AO$200, "*Att*")</f>
        <v>0</v>
      </c>
      <c r="G105" s="34">
        <f>COUNTIFS('Data entry'!$B$6:$B$200,"*Contact*", 'Data entry'!$O$6:$O$200,"M*", 'Data entry'!$BE$6:$BE$200, D105, 'Data entry'!$AO$6:$AO$200, "*Sta*") + COUNTIFS('Data entry'!$B$6:$B$200,"*Contact*", 'Data entry'!$O$6:$O$200,"M*", 'Data entry'!$BE$6:$BE$200, D105, 'Data entry'!$AO$6:$AO$200, "*Vol*")</f>
        <v>0</v>
      </c>
      <c r="H105" s="34">
        <f>COUNTIFS('Data entry'!$B$6:$B$200,"*Contact*",'Data entry'!$O$6:$O$200,"M*", 'Data entry'!$BE$6:$BE$200, D105, 'Data entry'!$AO$6:$AO$200, "*Res*") + COUNTIFS('Data entry'!$B$6:$B$200,"*Contact*", 'Data entry'!$O$6:$O$200,"M*", 'Data entry'!$BE$6:$BE$200, D105, 'Data entry'!$AO$6:$AO$200, "*Stu*") + COUNTIFS('Data entry'!$B$6:$B$200,"*Contact*",'Data entry'!$O$6:$O$200,"M*", 'Data entry'!$BE$6:$BE$200, D105, 'Data entry'!$AO$6:$AO$200, "*Pat*")+ COUNTIFS('Data entry'!$B$6:$B$200,"*Contact*",'Data entry'!$O$6:$O$200,"M*", 'Data entry'!$BE$6:$BE$200, D105, 'Data entry'!$AO$6:$AO$200, "*Vis*")+ COUNTIFS('Data entry'!$B$6:$B$200,"*Contact*", 'Data entry'!$O$6:$O$200,"M*", 'Data entry'!$BE$6:$BE$200, D105, 'Data entry'!$AO$6:$AO$200, "*Oth*")+COUNTIFS('Data entry'!$B$6:$B$200,"*Confir*", 'Data entry'!$O$6:$O$200,"M*", 'Data entry'!$BE$6:$BE$200, D105, 'Data entry'!$AO$6:$AO$200, "*Att*")</f>
        <v>0</v>
      </c>
    </row>
    <row r="106" spans="1:8" ht="16.5" customHeight="1" thickBot="1" x14ac:dyDescent="0.3">
      <c r="A106" s="450"/>
      <c r="B106" s="453"/>
      <c r="C106" s="136" t="s">
        <v>260</v>
      </c>
      <c r="D106" s="136" t="str">
        <f>'Data Validation'!$R23</f>
        <v>Lineage B.1.621</v>
      </c>
      <c r="E106" s="34">
        <f>COUNTIFS('Data entry'!$B$6:$B$200,"*Confir*",'Data entry'!$O$6:$O$200,"M*", 'Data entry'!$BE$6:$BE$200, D106, 'Data entry'!$AO$6:$AO$200, "*Sta*") + COUNTIFS('Data entry'!$B$6:$B$200,"*Confir*",'Data entry'!$O$6:$O$200,"M*", 'Data entry'!$BE$6:$BE$200, D106, 'Data entry'!$AO$6:$AO$200, "*Vol*")</f>
        <v>0</v>
      </c>
      <c r="F106" s="34">
        <f>COUNTIFS('Data entry'!$B$6:$B$200,"*Confir*", 'Data entry'!$O$6:$O$200,"M*", 'Data entry'!$BE$6:$BE$200, D106, 'Data entry'!$AO$6:$AO$200, "*Res*") + COUNTIFS('Data entry'!$B$6:$B$200,"*Confir*", 'Data entry'!$O$6:$O$200,"M*", 'Data entry'!$BE$6:$BE$200, D106, 'Data entry'!$AO$6:$AO$200, "*Stu*") + COUNTIFS('Data entry'!$B$6:$B$200,"*Confir*", 'Data entry'!$O$6:$O$200,"M*", 'Data entry'!$BE$6:$BE$200, D106, 'Data entry'!$AO$6:$AO$200, "*Pat*")+COUNTIFS('Data entry'!$B$6:$B$200,"*Confir*", 'Data entry'!$O$6:$O$200,"M*", 'Data entry'!$BE$6:$BE$200, D106, 'Data entry'!$AO$6:$AO$200, "*Vis*")+COUNTIFS('Data entry'!$B$6:$B$200,"*Confir*", 'Data entry'!$O$6:$O$200,"M*", 'Data entry'!$BE$6:$BE$200, D106, 'Data entry'!$AO$6:$AO$200, "*Oth*")+COUNTIFS('Data entry'!$B$6:$B$200,"*Confir*", 'Data entry'!$O$6:$O$200,"M*", 'Data entry'!$BE$6:$BE$200, D106, 'Data entry'!$AO$6:$AO$200, "*Att*")</f>
        <v>0</v>
      </c>
      <c r="G106" s="34">
        <f>COUNTIFS('Data entry'!$B$6:$B$200,"*Contact*", 'Data entry'!$O$6:$O$200,"M*", 'Data entry'!$BE$6:$BE$200, D106, 'Data entry'!$AO$6:$AO$200, "*Sta*") + COUNTIFS('Data entry'!$B$6:$B$200,"*Contact*", 'Data entry'!$O$6:$O$200,"M*", 'Data entry'!$BE$6:$BE$200, D106, 'Data entry'!$AO$6:$AO$200, "*Vol*")</f>
        <v>0</v>
      </c>
      <c r="H106" s="34">
        <f>COUNTIFS('Data entry'!$B$6:$B$200,"*Contact*",'Data entry'!$O$6:$O$200,"M*", 'Data entry'!$BE$6:$BE$200, D106, 'Data entry'!$AO$6:$AO$200, "*Res*") + COUNTIFS('Data entry'!$B$6:$B$200,"*Contact*", 'Data entry'!$O$6:$O$200,"M*", 'Data entry'!$BE$6:$BE$200, D106, 'Data entry'!$AO$6:$AO$200, "*Stu*") + COUNTIFS('Data entry'!$B$6:$B$200,"*Contact*",'Data entry'!$O$6:$O$200,"M*", 'Data entry'!$BE$6:$BE$200, D106, 'Data entry'!$AO$6:$AO$200, "*Pat*")+ COUNTIFS('Data entry'!$B$6:$B$200,"*Contact*",'Data entry'!$O$6:$O$200,"M*", 'Data entry'!$BE$6:$BE$200, D106, 'Data entry'!$AO$6:$AO$200, "*Vis*")+ COUNTIFS('Data entry'!$B$6:$B$200,"*Contact*", 'Data entry'!$O$6:$O$200,"M*", 'Data entry'!$BE$6:$BE$200, D106, 'Data entry'!$AO$6:$AO$200, "*Oth*")+COUNTIFS('Data entry'!$B$6:$B$200,"*Confir*", 'Data entry'!$O$6:$O$200,"M*", 'Data entry'!$BE$6:$BE$200, D106, 'Data entry'!$AO$6:$AO$200, "*Att*")</f>
        <v>0</v>
      </c>
    </row>
    <row r="107" spans="1:8" ht="16.5" customHeight="1" thickBot="1" x14ac:dyDescent="0.3">
      <c r="A107" s="450"/>
      <c r="B107" s="453"/>
      <c r="C107" s="136" t="s">
        <v>260</v>
      </c>
      <c r="D107" s="136" t="str">
        <f>'Data Validation'!$R24</f>
        <v>Lineage AY.3</v>
      </c>
      <c r="E107" s="34">
        <f>COUNTIFS('Data entry'!$B$6:$B$200,"*Confir*",'Data entry'!$O$6:$O$200,"M*", 'Data entry'!$BE$6:$BE$200, D107, 'Data entry'!$AO$6:$AO$200, "*Sta*") + COUNTIFS('Data entry'!$B$6:$B$200,"*Confir*",'Data entry'!$O$6:$O$200,"M*", 'Data entry'!$BE$6:$BE$200, D107, 'Data entry'!$AO$6:$AO$200, "*Vol*")</f>
        <v>0</v>
      </c>
      <c r="F107" s="34">
        <f>COUNTIFS('Data entry'!$B$6:$B$200,"*Confir*", 'Data entry'!$O$6:$O$200,"M*", 'Data entry'!$BE$6:$BE$200, D107, 'Data entry'!$AO$6:$AO$200, "*Res*") + COUNTIFS('Data entry'!$B$6:$B$200,"*Confir*", 'Data entry'!$O$6:$O$200,"M*", 'Data entry'!$BE$6:$BE$200, D107, 'Data entry'!$AO$6:$AO$200, "*Stu*") + COUNTIFS('Data entry'!$B$6:$B$200,"*Confir*", 'Data entry'!$O$6:$O$200,"M*", 'Data entry'!$BE$6:$BE$200, D107, 'Data entry'!$AO$6:$AO$200, "*Pat*")+COUNTIFS('Data entry'!$B$6:$B$200,"*Confir*", 'Data entry'!$O$6:$O$200,"M*", 'Data entry'!$BE$6:$BE$200, D107, 'Data entry'!$AO$6:$AO$200, "*Vis*")+COUNTIFS('Data entry'!$B$6:$B$200,"*Confir*", 'Data entry'!$O$6:$O$200,"M*", 'Data entry'!$BE$6:$BE$200, D107, 'Data entry'!$AO$6:$AO$200, "*Oth*")+COUNTIFS('Data entry'!$B$6:$B$200,"*Confir*", 'Data entry'!$O$6:$O$200,"M*", 'Data entry'!$BE$6:$BE$200, D107, 'Data entry'!$AO$6:$AO$200, "*Att*")</f>
        <v>0</v>
      </c>
      <c r="G107" s="34">
        <f>COUNTIFS('Data entry'!$B$6:$B$200,"*Contact*", 'Data entry'!$O$6:$O$200,"M*", 'Data entry'!$BE$6:$BE$200, D107, 'Data entry'!$AO$6:$AO$200, "*Sta*") + COUNTIFS('Data entry'!$B$6:$B$200,"*Contact*", 'Data entry'!$O$6:$O$200,"M*", 'Data entry'!$BE$6:$BE$200, D107, 'Data entry'!$AO$6:$AO$200, "*Vol*")</f>
        <v>0</v>
      </c>
      <c r="H107" s="34">
        <f>COUNTIFS('Data entry'!$B$6:$B$200,"*Contact*",'Data entry'!$O$6:$O$200,"M*", 'Data entry'!$BE$6:$BE$200, D107, 'Data entry'!$AO$6:$AO$200, "*Res*") + COUNTIFS('Data entry'!$B$6:$B$200,"*Contact*", 'Data entry'!$O$6:$O$200,"M*", 'Data entry'!$BE$6:$BE$200, D107, 'Data entry'!$AO$6:$AO$200, "*Stu*") + COUNTIFS('Data entry'!$B$6:$B$200,"*Contact*",'Data entry'!$O$6:$O$200,"M*", 'Data entry'!$BE$6:$BE$200, D107, 'Data entry'!$AO$6:$AO$200, "*Pat*")+ COUNTIFS('Data entry'!$B$6:$B$200,"*Contact*",'Data entry'!$O$6:$O$200,"M*", 'Data entry'!$BE$6:$BE$200, D107, 'Data entry'!$AO$6:$AO$200, "*Vis*")+ COUNTIFS('Data entry'!$B$6:$B$200,"*Contact*", 'Data entry'!$O$6:$O$200,"M*", 'Data entry'!$BE$6:$BE$200, D107, 'Data entry'!$AO$6:$AO$200, "*Oth*")+COUNTIFS('Data entry'!$B$6:$B$200,"*Confir*", 'Data entry'!$O$6:$O$200,"M*", 'Data entry'!$BE$6:$BE$200, D107, 'Data entry'!$AO$6:$AO$200, "*Att*")</f>
        <v>0</v>
      </c>
    </row>
    <row r="108" spans="1:8" ht="16.5" customHeight="1" thickBot="1" x14ac:dyDescent="0.3">
      <c r="A108" s="450"/>
      <c r="B108" s="453"/>
      <c r="C108" s="136" t="s">
        <v>260</v>
      </c>
      <c r="D108" s="136" t="str">
        <f>'Data Validation'!$R25</f>
        <v>COVID-19 Other variant</v>
      </c>
      <c r="E108" s="34">
        <f>COUNTIFS('Data entry'!$B$6:$B$200,"*Confir*",'Data entry'!$O$6:$O$200,"M*", 'Data entry'!$BE$6:$BE$200, D108, 'Data entry'!$AO$6:$AO$200, "*Sta*") + COUNTIFS('Data entry'!$B$6:$B$200,"*Confir*",'Data entry'!$O$6:$O$200,"M*", 'Data entry'!$BE$6:$BE$200, D108, 'Data entry'!$AO$6:$AO$200, "*Vol*")</f>
        <v>0</v>
      </c>
      <c r="F108" s="34">
        <f>COUNTIFS('Data entry'!$B$6:$B$200,"*Confir*", 'Data entry'!$O$6:$O$200,"M*", 'Data entry'!$BE$6:$BE$200, D108, 'Data entry'!$AO$6:$AO$200, "*Res*") + COUNTIFS('Data entry'!$B$6:$B$200,"*Confir*", 'Data entry'!$O$6:$O$200,"M*", 'Data entry'!$BE$6:$BE$200, D108, 'Data entry'!$AO$6:$AO$200, "*Stu*") + COUNTIFS('Data entry'!$B$6:$B$200,"*Confir*", 'Data entry'!$O$6:$O$200,"M*", 'Data entry'!$BE$6:$BE$200, D108, 'Data entry'!$AO$6:$AO$200, "*Pat*")+COUNTIFS('Data entry'!$B$6:$B$200,"*Confir*", 'Data entry'!$O$6:$O$200,"M*", 'Data entry'!$BE$6:$BE$200, D108, 'Data entry'!$AO$6:$AO$200, "*Vis*")+COUNTIFS('Data entry'!$B$6:$B$200,"*Confir*", 'Data entry'!$O$6:$O$200,"M*", 'Data entry'!$BE$6:$BE$200, D108, 'Data entry'!$AO$6:$AO$200, "*Oth*")+COUNTIFS('Data entry'!$B$6:$B$200,"*Confir*", 'Data entry'!$O$6:$O$200,"M*", 'Data entry'!$BE$6:$BE$200, D108, 'Data entry'!$AO$6:$AO$200, "*Att*")</f>
        <v>0</v>
      </c>
      <c r="G108" s="34">
        <f>COUNTIFS('Data entry'!$B$6:$B$200,"*Contact*", 'Data entry'!$O$6:$O$200,"M*", 'Data entry'!$BE$6:$BE$200, D108, 'Data entry'!$AO$6:$AO$200, "*Sta*") + COUNTIFS('Data entry'!$B$6:$B$200,"*Contact*", 'Data entry'!$O$6:$O$200,"M*", 'Data entry'!$BE$6:$BE$200, D108, 'Data entry'!$AO$6:$AO$200, "*Vol*")</f>
        <v>0</v>
      </c>
      <c r="H108" s="34">
        <f>COUNTIFS('Data entry'!$B$6:$B$200,"*Contact*",'Data entry'!$O$6:$O$200,"M*", 'Data entry'!$BE$6:$BE$200, D108, 'Data entry'!$AO$6:$AO$200, "*Res*") + COUNTIFS('Data entry'!$B$6:$B$200,"*Contact*", 'Data entry'!$O$6:$O$200,"M*", 'Data entry'!$BE$6:$BE$200, D108, 'Data entry'!$AO$6:$AO$200, "*Stu*") + COUNTIFS('Data entry'!$B$6:$B$200,"*Contact*",'Data entry'!$O$6:$O$200,"M*", 'Data entry'!$BE$6:$BE$200, D108, 'Data entry'!$AO$6:$AO$200, "*Pat*")+ COUNTIFS('Data entry'!$B$6:$B$200,"*Contact*",'Data entry'!$O$6:$O$200,"M*", 'Data entry'!$BE$6:$BE$200, D108, 'Data entry'!$AO$6:$AO$200, "*Vis*")+ COUNTIFS('Data entry'!$B$6:$B$200,"*Contact*", 'Data entry'!$O$6:$O$200,"M*", 'Data entry'!$BE$6:$BE$200, D108, 'Data entry'!$AO$6:$AO$200, "*Oth*")+COUNTIFS('Data entry'!$B$6:$B$200,"*Confir*", 'Data entry'!$O$6:$O$200,"M*", 'Data entry'!$BE$6:$BE$200, D108, 'Data entry'!$AO$6:$AO$200, "*Att*")</f>
        <v>0</v>
      </c>
    </row>
    <row r="109" spans="1:8" ht="16.5" customHeight="1" thickBot="1" x14ac:dyDescent="0.3">
      <c r="A109" s="450"/>
      <c r="B109" s="453"/>
      <c r="C109" s="136" t="s">
        <v>260</v>
      </c>
      <c r="D109" s="136" t="str">
        <f>'Data Validation'!$R26</f>
        <v>Mutation N501Y+; Mutation E484K-</v>
      </c>
      <c r="E109" s="34">
        <f>COUNTIFS('Data entry'!$B$6:$B$200,"*Confir*",'Data entry'!$O$6:$O$200,"M*", 'Data entry'!$BE$6:$BE$200, D109, 'Data entry'!$AO$6:$AO$200, "*Sta*") + COUNTIFS('Data entry'!$B$6:$B$200,"*Confir*",'Data entry'!$O$6:$O$200,"M*", 'Data entry'!$BE$6:$BE$200, D109, 'Data entry'!$AO$6:$AO$200, "*Vol*")</f>
        <v>0</v>
      </c>
      <c r="F109" s="34">
        <f>COUNTIFS('Data entry'!$B$6:$B$200,"*Confir*", 'Data entry'!$O$6:$O$200,"M*", 'Data entry'!$BE$6:$BE$200, D109, 'Data entry'!$AO$6:$AO$200, "*Res*") + COUNTIFS('Data entry'!$B$6:$B$200,"*Confir*", 'Data entry'!$O$6:$O$200,"M*", 'Data entry'!$BE$6:$BE$200, D109, 'Data entry'!$AO$6:$AO$200, "*Stu*") + COUNTIFS('Data entry'!$B$6:$B$200,"*Confir*", 'Data entry'!$O$6:$O$200,"M*", 'Data entry'!$BE$6:$BE$200, D109, 'Data entry'!$AO$6:$AO$200, "*Pat*")+COUNTIFS('Data entry'!$B$6:$B$200,"*Confir*", 'Data entry'!$O$6:$O$200,"M*", 'Data entry'!$BE$6:$BE$200, D109, 'Data entry'!$AO$6:$AO$200, "*Vis*")+COUNTIFS('Data entry'!$B$6:$B$200,"*Confir*", 'Data entry'!$O$6:$O$200,"M*", 'Data entry'!$BE$6:$BE$200, D109, 'Data entry'!$AO$6:$AO$200, "*Oth*")+COUNTIFS('Data entry'!$B$6:$B$200,"*Confir*", 'Data entry'!$O$6:$O$200,"M*", 'Data entry'!$BE$6:$BE$200, D109, 'Data entry'!$AO$6:$AO$200, "*Att*")</f>
        <v>0</v>
      </c>
      <c r="G109" s="34">
        <f>COUNTIFS('Data entry'!$B$6:$B$200,"*Contact*", 'Data entry'!$O$6:$O$200,"M*", 'Data entry'!$BE$6:$BE$200, D109, 'Data entry'!$AO$6:$AO$200, "*Sta*") + COUNTIFS('Data entry'!$B$6:$B$200,"*Contact*", 'Data entry'!$O$6:$O$200,"M*", 'Data entry'!$BE$6:$BE$200, D109, 'Data entry'!$AO$6:$AO$200, "*Vol*")</f>
        <v>0</v>
      </c>
      <c r="H109" s="34">
        <f>COUNTIFS('Data entry'!$B$6:$B$200,"*Contact*",'Data entry'!$O$6:$O$200,"M*", 'Data entry'!$BE$6:$BE$200, D109, 'Data entry'!$AO$6:$AO$200, "*Res*") + COUNTIFS('Data entry'!$B$6:$B$200,"*Contact*", 'Data entry'!$O$6:$O$200,"M*", 'Data entry'!$BE$6:$BE$200, D109, 'Data entry'!$AO$6:$AO$200, "*Stu*") + COUNTIFS('Data entry'!$B$6:$B$200,"*Contact*",'Data entry'!$O$6:$O$200,"M*", 'Data entry'!$BE$6:$BE$200, D109, 'Data entry'!$AO$6:$AO$200, "*Pat*")+ COUNTIFS('Data entry'!$B$6:$B$200,"*Contact*",'Data entry'!$O$6:$O$200,"M*", 'Data entry'!$BE$6:$BE$200, D109, 'Data entry'!$AO$6:$AO$200, "*Vis*")+ COUNTIFS('Data entry'!$B$6:$B$200,"*Contact*", 'Data entry'!$O$6:$O$200,"M*", 'Data entry'!$BE$6:$BE$200, D109, 'Data entry'!$AO$6:$AO$200, "*Oth*")+COUNTIFS('Data entry'!$B$6:$B$200,"*Confir*", 'Data entry'!$O$6:$O$200,"M*", 'Data entry'!$BE$6:$BE$200, D109, 'Data entry'!$AO$6:$AO$200, "*Att*")</f>
        <v>0</v>
      </c>
    </row>
    <row r="110" spans="1:8" ht="16.5" customHeight="1" thickBot="1" x14ac:dyDescent="0.3">
      <c r="A110" s="450"/>
      <c r="B110" s="453"/>
      <c r="C110" s="136" t="s">
        <v>260</v>
      </c>
      <c r="D110" s="136" t="str">
        <f>'Data Validation'!$R27</f>
        <v>Mutation N501Y+; Mutation E484K+; Mutation K417N+</v>
      </c>
      <c r="E110" s="34">
        <f>COUNTIFS('Data entry'!$B$6:$B$200,"*Confir*",'Data entry'!$O$6:$O$200,"M*", 'Data entry'!$BE$6:$BE$200, D110, 'Data entry'!$AO$6:$AO$200, "*Sta*") + COUNTIFS('Data entry'!$B$6:$B$200,"*Confir*",'Data entry'!$O$6:$O$200,"M*", 'Data entry'!$BE$6:$BE$200, D110, 'Data entry'!$AO$6:$AO$200, "*Vol*")</f>
        <v>0</v>
      </c>
      <c r="F110" s="34">
        <f>COUNTIFS('Data entry'!$B$6:$B$200,"*Confir*", 'Data entry'!$O$6:$O$200,"M*", 'Data entry'!$BE$6:$BE$200, D110, 'Data entry'!$AO$6:$AO$200, "*Res*") + COUNTIFS('Data entry'!$B$6:$B$200,"*Confir*", 'Data entry'!$O$6:$O$200,"M*", 'Data entry'!$BE$6:$BE$200, D110, 'Data entry'!$AO$6:$AO$200, "*Stu*") + COUNTIFS('Data entry'!$B$6:$B$200,"*Confir*", 'Data entry'!$O$6:$O$200,"M*", 'Data entry'!$BE$6:$BE$200, D110, 'Data entry'!$AO$6:$AO$200, "*Pat*")+COUNTIFS('Data entry'!$B$6:$B$200,"*Confir*", 'Data entry'!$O$6:$O$200,"M*", 'Data entry'!$BE$6:$BE$200, D110, 'Data entry'!$AO$6:$AO$200, "*Vis*")+COUNTIFS('Data entry'!$B$6:$B$200,"*Confir*", 'Data entry'!$O$6:$O$200,"M*", 'Data entry'!$BE$6:$BE$200, D110, 'Data entry'!$AO$6:$AO$200, "*Oth*")+COUNTIFS('Data entry'!$B$6:$B$200,"*Confir*", 'Data entry'!$O$6:$O$200,"M*", 'Data entry'!$BE$6:$BE$200, D110, 'Data entry'!$AO$6:$AO$200, "*Att*")</f>
        <v>0</v>
      </c>
      <c r="G110" s="34">
        <f>COUNTIFS('Data entry'!$B$6:$B$200,"*Contact*", 'Data entry'!$O$6:$O$200,"M*", 'Data entry'!$BE$6:$BE$200, D110, 'Data entry'!$AO$6:$AO$200, "*Sta*") + COUNTIFS('Data entry'!$B$6:$B$200,"*Contact*", 'Data entry'!$O$6:$O$200,"M*", 'Data entry'!$BE$6:$BE$200, D110, 'Data entry'!$AO$6:$AO$200, "*Vol*")</f>
        <v>0</v>
      </c>
      <c r="H110" s="34">
        <f>COUNTIFS('Data entry'!$B$6:$B$200,"*Contact*",'Data entry'!$O$6:$O$200,"M*", 'Data entry'!$BE$6:$BE$200, D110, 'Data entry'!$AO$6:$AO$200, "*Res*") + COUNTIFS('Data entry'!$B$6:$B$200,"*Contact*", 'Data entry'!$O$6:$O$200,"M*", 'Data entry'!$BE$6:$BE$200, D110, 'Data entry'!$AO$6:$AO$200, "*Stu*") + COUNTIFS('Data entry'!$B$6:$B$200,"*Contact*",'Data entry'!$O$6:$O$200,"M*", 'Data entry'!$BE$6:$BE$200, D110, 'Data entry'!$AO$6:$AO$200, "*Pat*")+ COUNTIFS('Data entry'!$B$6:$B$200,"*Contact*",'Data entry'!$O$6:$O$200,"M*", 'Data entry'!$BE$6:$BE$200, D110, 'Data entry'!$AO$6:$AO$200, "*Vis*")+ COUNTIFS('Data entry'!$B$6:$B$200,"*Contact*", 'Data entry'!$O$6:$O$200,"M*", 'Data entry'!$BE$6:$BE$200, D110, 'Data entry'!$AO$6:$AO$200, "*Oth*")+COUNTIFS('Data entry'!$B$6:$B$200,"*Confir*", 'Data entry'!$O$6:$O$200,"M*", 'Data entry'!$BE$6:$BE$200, D110, 'Data entry'!$AO$6:$AO$200, "*Att*")</f>
        <v>0</v>
      </c>
    </row>
    <row r="111" spans="1:8" ht="16.5" customHeight="1" thickBot="1" x14ac:dyDescent="0.3">
      <c r="A111" s="450"/>
      <c r="B111" s="453"/>
      <c r="C111" s="136" t="s">
        <v>260</v>
      </c>
      <c r="D111" s="136" t="str">
        <f>'Data Validation'!$R28</f>
        <v>Mutation N501Y+; Mutation E484K+; Mutation K417T+</v>
      </c>
      <c r="E111" s="34">
        <f>COUNTIFS('Data entry'!$B$6:$B$200,"*Confir*",'Data entry'!$O$6:$O$200,"M*", 'Data entry'!$BE$6:$BE$200, D111, 'Data entry'!$AO$6:$AO$200, "*Sta*") + COUNTIFS('Data entry'!$B$6:$B$200,"*Confir*",'Data entry'!$O$6:$O$200,"M*", 'Data entry'!$BE$6:$BE$200, D111, 'Data entry'!$AO$6:$AO$200, "*Vol*")</f>
        <v>0</v>
      </c>
      <c r="F111" s="34">
        <f>COUNTIFS('Data entry'!$B$6:$B$200,"*Confir*", 'Data entry'!$O$6:$O$200,"M*", 'Data entry'!$BE$6:$BE$200, D111, 'Data entry'!$AO$6:$AO$200, "*Res*") + COUNTIFS('Data entry'!$B$6:$B$200,"*Confir*", 'Data entry'!$O$6:$O$200,"M*", 'Data entry'!$BE$6:$BE$200, D111, 'Data entry'!$AO$6:$AO$200, "*Stu*") + COUNTIFS('Data entry'!$B$6:$B$200,"*Confir*", 'Data entry'!$O$6:$O$200,"M*", 'Data entry'!$BE$6:$BE$200, D111, 'Data entry'!$AO$6:$AO$200, "*Pat*")+COUNTIFS('Data entry'!$B$6:$B$200,"*Confir*", 'Data entry'!$O$6:$O$200,"M*", 'Data entry'!$BE$6:$BE$200, D111, 'Data entry'!$AO$6:$AO$200, "*Vis*")+COUNTIFS('Data entry'!$B$6:$B$200,"*Confir*", 'Data entry'!$O$6:$O$200,"M*", 'Data entry'!$BE$6:$BE$200, D111, 'Data entry'!$AO$6:$AO$200, "*Oth*")+COUNTIFS('Data entry'!$B$6:$B$200,"*Confir*", 'Data entry'!$O$6:$O$200,"M*", 'Data entry'!$BE$6:$BE$200, D111, 'Data entry'!$AO$6:$AO$200, "*Att*")</f>
        <v>0</v>
      </c>
      <c r="G111" s="34">
        <f>COUNTIFS('Data entry'!$B$6:$B$200,"*Contact*", 'Data entry'!$O$6:$O$200,"M*", 'Data entry'!$BE$6:$BE$200, D111, 'Data entry'!$AO$6:$AO$200, "*Sta*") + COUNTIFS('Data entry'!$B$6:$B$200,"*Contact*", 'Data entry'!$O$6:$O$200,"M*", 'Data entry'!$BE$6:$BE$200, D111, 'Data entry'!$AO$6:$AO$200, "*Vol*")</f>
        <v>0</v>
      </c>
      <c r="H111" s="34">
        <f>COUNTIFS('Data entry'!$B$6:$B$200,"*Contact*",'Data entry'!$O$6:$O$200,"M*", 'Data entry'!$BE$6:$BE$200, D111, 'Data entry'!$AO$6:$AO$200, "*Res*") + COUNTIFS('Data entry'!$B$6:$B$200,"*Contact*", 'Data entry'!$O$6:$O$200,"M*", 'Data entry'!$BE$6:$BE$200, D111, 'Data entry'!$AO$6:$AO$200, "*Stu*") + COUNTIFS('Data entry'!$B$6:$B$200,"*Contact*",'Data entry'!$O$6:$O$200,"M*", 'Data entry'!$BE$6:$BE$200, D111, 'Data entry'!$AO$6:$AO$200, "*Pat*")+ COUNTIFS('Data entry'!$B$6:$B$200,"*Contact*",'Data entry'!$O$6:$O$200,"M*", 'Data entry'!$BE$6:$BE$200, D111, 'Data entry'!$AO$6:$AO$200, "*Vis*")+ COUNTIFS('Data entry'!$B$6:$B$200,"*Contact*", 'Data entry'!$O$6:$O$200,"M*", 'Data entry'!$BE$6:$BE$200, D111, 'Data entry'!$AO$6:$AO$200, "*Oth*")+COUNTIFS('Data entry'!$B$6:$B$200,"*Confir*", 'Data entry'!$O$6:$O$200,"M*", 'Data entry'!$BE$6:$BE$200, D111, 'Data entry'!$AO$6:$AO$200, "*Att*")</f>
        <v>0</v>
      </c>
    </row>
    <row r="112" spans="1:8" ht="16.5" customHeight="1" thickBot="1" x14ac:dyDescent="0.3">
      <c r="A112" s="450"/>
      <c r="B112" s="453"/>
      <c r="C112" s="136" t="s">
        <v>260</v>
      </c>
      <c r="D112" s="136" t="str">
        <f>'Data Validation'!$R29</f>
        <v>Mutation N501Y+; Mutation E484K+; Mutation K417N/T-</v>
      </c>
      <c r="E112" s="34">
        <f>COUNTIFS('Data entry'!$B$6:$B$200,"*Confir*",'Data entry'!$O$6:$O$200,"M*", 'Data entry'!$BE$6:$BE$200, D112, 'Data entry'!$AO$6:$AO$200, "*Sta*") + COUNTIFS('Data entry'!$B$6:$B$200,"*Confir*",'Data entry'!$O$6:$O$200,"M*", 'Data entry'!$BE$6:$BE$200, D112, 'Data entry'!$AO$6:$AO$200, "*Vol*")</f>
        <v>0</v>
      </c>
      <c r="F112" s="34">
        <f>COUNTIFS('Data entry'!$B$6:$B$200,"*Confir*", 'Data entry'!$O$6:$O$200,"M*", 'Data entry'!$BE$6:$BE$200, D112, 'Data entry'!$AO$6:$AO$200, "*Res*") + COUNTIFS('Data entry'!$B$6:$B$200,"*Confir*", 'Data entry'!$O$6:$O$200,"M*", 'Data entry'!$BE$6:$BE$200, D112, 'Data entry'!$AO$6:$AO$200, "*Stu*") + COUNTIFS('Data entry'!$B$6:$B$200,"*Confir*", 'Data entry'!$O$6:$O$200,"M*", 'Data entry'!$BE$6:$BE$200, D112, 'Data entry'!$AO$6:$AO$200, "*Pat*")+COUNTIFS('Data entry'!$B$6:$B$200,"*Confir*", 'Data entry'!$O$6:$O$200,"M*", 'Data entry'!$BE$6:$BE$200, D112, 'Data entry'!$AO$6:$AO$200, "*Vis*")+COUNTIFS('Data entry'!$B$6:$B$200,"*Confir*", 'Data entry'!$O$6:$O$200,"M*", 'Data entry'!$BE$6:$BE$200, D112, 'Data entry'!$AO$6:$AO$200, "*Oth*")+COUNTIFS('Data entry'!$B$6:$B$200,"*Confir*", 'Data entry'!$O$6:$O$200,"M*", 'Data entry'!$BE$6:$BE$200, D112, 'Data entry'!$AO$6:$AO$200, "*Att*")</f>
        <v>0</v>
      </c>
      <c r="G112" s="34">
        <f>COUNTIFS('Data entry'!$B$6:$B$200,"*Contact*", 'Data entry'!$O$6:$O$200,"M*", 'Data entry'!$BE$6:$BE$200, D112, 'Data entry'!$AO$6:$AO$200, "*Sta*") + COUNTIFS('Data entry'!$B$6:$B$200,"*Contact*", 'Data entry'!$O$6:$O$200,"M*", 'Data entry'!$BE$6:$BE$200, D112, 'Data entry'!$AO$6:$AO$200, "*Vol*")</f>
        <v>0</v>
      </c>
      <c r="H112" s="34">
        <f>COUNTIFS('Data entry'!$B$6:$B$200,"*Contact*",'Data entry'!$O$6:$O$200,"M*", 'Data entry'!$BE$6:$BE$200, D112, 'Data entry'!$AO$6:$AO$200, "*Res*") + COUNTIFS('Data entry'!$B$6:$B$200,"*Contact*", 'Data entry'!$O$6:$O$200,"M*", 'Data entry'!$BE$6:$BE$200, D112, 'Data entry'!$AO$6:$AO$200, "*Stu*") + COUNTIFS('Data entry'!$B$6:$B$200,"*Contact*",'Data entry'!$O$6:$O$200,"M*", 'Data entry'!$BE$6:$BE$200, D112, 'Data entry'!$AO$6:$AO$200, "*Pat*")+ COUNTIFS('Data entry'!$B$6:$B$200,"*Contact*",'Data entry'!$O$6:$O$200,"M*", 'Data entry'!$BE$6:$BE$200, D112, 'Data entry'!$AO$6:$AO$200, "*Vis*")+ COUNTIFS('Data entry'!$B$6:$B$200,"*Contact*", 'Data entry'!$O$6:$O$200,"M*", 'Data entry'!$BE$6:$BE$200, D112, 'Data entry'!$AO$6:$AO$200, "*Oth*")+COUNTIFS('Data entry'!$B$6:$B$200,"*Confir*", 'Data entry'!$O$6:$O$200,"M*", 'Data entry'!$BE$6:$BE$200, D112, 'Data entry'!$AO$6:$AO$200, "*Att*")</f>
        <v>0</v>
      </c>
    </row>
    <row r="113" spans="1:9" ht="16.5" customHeight="1" thickBot="1" x14ac:dyDescent="0.3">
      <c r="A113" s="450"/>
      <c r="B113" s="453"/>
      <c r="C113" s="136" t="s">
        <v>260</v>
      </c>
      <c r="D113" s="136" t="str">
        <f>'Data Validation'!$R30</f>
        <v>Mutation E484K-; Mutation N501Y-; Mutation L452R+</v>
      </c>
      <c r="E113" s="34">
        <f>COUNTIFS('Data entry'!$B$6:$B$200,"*Confir*",'Data entry'!$O$6:$O$200,"M*", 'Data entry'!$BE$6:$BE$200, D113, 'Data entry'!$AO$6:$AO$200, "*Sta*") + COUNTIFS('Data entry'!$B$6:$B$200,"*Confir*",'Data entry'!$O$6:$O$200,"M*", 'Data entry'!$BE$6:$BE$200, D113, 'Data entry'!$AO$6:$AO$200, "*Vol*")</f>
        <v>0</v>
      </c>
      <c r="F113" s="34">
        <f>COUNTIFS('Data entry'!$B$6:$B$200,"*Confir*", 'Data entry'!$O$6:$O$200,"M*", 'Data entry'!$BE$6:$BE$200, D113, 'Data entry'!$AO$6:$AO$200, "*Res*") + COUNTIFS('Data entry'!$B$6:$B$200,"*Confir*", 'Data entry'!$O$6:$O$200,"M*", 'Data entry'!$BE$6:$BE$200, D113, 'Data entry'!$AO$6:$AO$200, "*Stu*") + COUNTIFS('Data entry'!$B$6:$B$200,"*Confir*", 'Data entry'!$O$6:$O$200,"M*", 'Data entry'!$BE$6:$BE$200, D113, 'Data entry'!$AO$6:$AO$200, "*Pat*")+COUNTIFS('Data entry'!$B$6:$B$200,"*Confir*", 'Data entry'!$O$6:$O$200,"M*", 'Data entry'!$BE$6:$BE$200, D113, 'Data entry'!$AO$6:$AO$200, "*Vis*")+COUNTIFS('Data entry'!$B$6:$B$200,"*Confir*", 'Data entry'!$O$6:$O$200,"M*", 'Data entry'!$BE$6:$BE$200, D113, 'Data entry'!$AO$6:$AO$200, "*Oth*")+COUNTIFS('Data entry'!$B$6:$B$200,"*Confir*", 'Data entry'!$O$6:$O$200,"M*", 'Data entry'!$BE$6:$BE$200, D113, 'Data entry'!$AO$6:$AO$200, "*Att*")</f>
        <v>0</v>
      </c>
      <c r="G113" s="34">
        <f>COUNTIFS('Data entry'!$B$6:$B$200,"*Contact*", 'Data entry'!$O$6:$O$200,"M*", 'Data entry'!$BE$6:$BE$200, D113, 'Data entry'!$AO$6:$AO$200, "*Sta*") + COUNTIFS('Data entry'!$B$6:$B$200,"*Contact*", 'Data entry'!$O$6:$O$200,"M*", 'Data entry'!$BE$6:$BE$200, D113, 'Data entry'!$AO$6:$AO$200, "*Vol*")</f>
        <v>0</v>
      </c>
      <c r="H113" s="34">
        <f>COUNTIFS('Data entry'!$B$6:$B$200,"*Contact*",'Data entry'!$O$6:$O$200,"M*", 'Data entry'!$BE$6:$BE$200, D113, 'Data entry'!$AO$6:$AO$200, "*Res*") + COUNTIFS('Data entry'!$B$6:$B$200,"*Contact*", 'Data entry'!$O$6:$O$200,"M*", 'Data entry'!$BE$6:$BE$200, D113, 'Data entry'!$AO$6:$AO$200, "*Stu*") + COUNTIFS('Data entry'!$B$6:$B$200,"*Contact*",'Data entry'!$O$6:$O$200,"M*", 'Data entry'!$BE$6:$BE$200, D113, 'Data entry'!$AO$6:$AO$200, "*Pat*")+ COUNTIFS('Data entry'!$B$6:$B$200,"*Contact*",'Data entry'!$O$6:$O$200,"M*", 'Data entry'!$BE$6:$BE$200, D113, 'Data entry'!$AO$6:$AO$200, "*Vis*")+ COUNTIFS('Data entry'!$B$6:$B$200,"*Contact*", 'Data entry'!$O$6:$O$200,"M*", 'Data entry'!$BE$6:$BE$200, D113, 'Data entry'!$AO$6:$AO$200, "*Oth*")+COUNTIFS('Data entry'!$B$6:$B$200,"*Confir*", 'Data entry'!$O$6:$O$200,"M*", 'Data entry'!$BE$6:$BE$200, D113, 'Data entry'!$AO$6:$AO$200, "*Att*")</f>
        <v>0</v>
      </c>
    </row>
    <row r="114" spans="1:9" ht="16.5" customHeight="1" thickBot="1" x14ac:dyDescent="0.3">
      <c r="A114" s="450"/>
      <c r="B114" s="453"/>
      <c r="C114" s="136" t="s">
        <v>260</v>
      </c>
      <c r="D114" s="136" t="str">
        <f>'Data Validation'!$R31</f>
        <v>Mutation E484K+</v>
      </c>
      <c r="E114" s="34">
        <f>COUNTIFS('Data entry'!$B$6:$B$200,"*Confir*",'Data entry'!$O$6:$O$200,"M*", 'Data entry'!$BE$6:$BE$200, D114, 'Data entry'!$AO$6:$AO$200, "*Sta*") + COUNTIFS('Data entry'!$B$6:$B$200,"*Confir*",'Data entry'!$O$6:$O$200,"M*", 'Data entry'!$BE$6:$BE$200, D114, 'Data entry'!$AO$6:$AO$200, "*Vol*")</f>
        <v>0</v>
      </c>
      <c r="F114" s="34">
        <f>COUNTIFS('Data entry'!$B$6:$B$200,"*Confir*", 'Data entry'!$O$6:$O$200,"M*", 'Data entry'!$BE$6:$BE$200, D114, 'Data entry'!$AO$6:$AO$200, "*Res*") + COUNTIFS('Data entry'!$B$6:$B$200,"*Confir*", 'Data entry'!$O$6:$O$200,"M*", 'Data entry'!$BE$6:$BE$200, D114, 'Data entry'!$AO$6:$AO$200, "*Stu*") + COUNTIFS('Data entry'!$B$6:$B$200,"*Confir*", 'Data entry'!$O$6:$O$200,"M*", 'Data entry'!$BE$6:$BE$200, D114, 'Data entry'!$AO$6:$AO$200, "*Pat*")+COUNTIFS('Data entry'!$B$6:$B$200,"*Confir*", 'Data entry'!$O$6:$O$200,"M*", 'Data entry'!$BE$6:$BE$200, D114, 'Data entry'!$AO$6:$AO$200, "*Vis*")+COUNTIFS('Data entry'!$B$6:$B$200,"*Confir*", 'Data entry'!$O$6:$O$200,"M*", 'Data entry'!$BE$6:$BE$200, D114, 'Data entry'!$AO$6:$AO$200, "*Oth*")+COUNTIFS('Data entry'!$B$6:$B$200,"*Confir*", 'Data entry'!$O$6:$O$200,"M*", 'Data entry'!$BE$6:$BE$200, D114, 'Data entry'!$AO$6:$AO$200, "*Att*")</f>
        <v>0</v>
      </c>
      <c r="G114" s="34">
        <f>COUNTIFS('Data entry'!$B$6:$B$200,"*Contact*", 'Data entry'!$O$6:$O$200,"M*", 'Data entry'!$BE$6:$BE$200, D114, 'Data entry'!$AO$6:$AO$200, "*Sta*") + COUNTIFS('Data entry'!$B$6:$B$200,"*Contact*", 'Data entry'!$O$6:$O$200,"M*", 'Data entry'!$BE$6:$BE$200, D114, 'Data entry'!$AO$6:$AO$200, "*Vol*")</f>
        <v>0</v>
      </c>
      <c r="H114" s="34">
        <f>COUNTIFS('Data entry'!$B$6:$B$200,"*Contact*",'Data entry'!$O$6:$O$200,"M*", 'Data entry'!$BE$6:$BE$200, D114, 'Data entry'!$AO$6:$AO$200, "*Res*") + COUNTIFS('Data entry'!$B$6:$B$200,"*Contact*", 'Data entry'!$O$6:$O$200,"M*", 'Data entry'!$BE$6:$BE$200, D114, 'Data entry'!$AO$6:$AO$200, "*Stu*") + COUNTIFS('Data entry'!$B$6:$B$200,"*Contact*",'Data entry'!$O$6:$O$200,"M*", 'Data entry'!$BE$6:$BE$200, D114, 'Data entry'!$AO$6:$AO$200, "*Pat*")+ COUNTIFS('Data entry'!$B$6:$B$200,"*Contact*",'Data entry'!$O$6:$O$200,"M*", 'Data entry'!$BE$6:$BE$200, D114, 'Data entry'!$AO$6:$AO$200, "*Vis*")+ COUNTIFS('Data entry'!$B$6:$B$200,"*Contact*", 'Data entry'!$O$6:$O$200,"M*", 'Data entry'!$BE$6:$BE$200, D114, 'Data entry'!$AO$6:$AO$200, "*Oth*")+COUNTIFS('Data entry'!$B$6:$B$200,"*Confir*", 'Data entry'!$O$6:$O$200,"M*", 'Data entry'!$BE$6:$BE$200, D114, 'Data entry'!$AO$6:$AO$200, "*Att*")</f>
        <v>0</v>
      </c>
    </row>
    <row r="115" spans="1:9" ht="16.5" thickBot="1" x14ac:dyDescent="0.3">
      <c r="A115" s="450"/>
      <c r="B115" s="453"/>
      <c r="C115" s="136" t="s">
        <v>260</v>
      </c>
      <c r="D115" s="136" t="str">
        <f>'Data Validation'!$R32</f>
        <v>Other</v>
      </c>
      <c r="E115" s="34">
        <f>COUNTIFS('Data entry'!$B$6:$B$200,"*Confir*",'Data entry'!$O$6:$O$200,"M*", 'Data entry'!$BE$6:$BE$200, D115, 'Data entry'!$AO$6:$AO$200, "*Sta*") + COUNTIFS('Data entry'!$B$6:$B$200,"*Confir*",'Data entry'!$O$6:$O$200,"M*", 'Data entry'!$BE$6:$BE$200, D115, 'Data entry'!$AO$6:$AO$200, "*Vol*")</f>
        <v>0</v>
      </c>
      <c r="F115" s="34">
        <f>COUNTIFS('Data entry'!$B$6:$B$200,"*Confir*", 'Data entry'!$O$6:$O$200,"M*", 'Data entry'!$BE$6:$BE$200, D115, 'Data entry'!$AO$6:$AO$200, "*Res*") + COUNTIFS('Data entry'!$B$6:$B$200,"*Confir*", 'Data entry'!$O$6:$O$200,"M*", 'Data entry'!$BE$6:$BE$200, D115, 'Data entry'!$AO$6:$AO$200, "*Stu*") + COUNTIFS('Data entry'!$B$6:$B$200,"*Confir*", 'Data entry'!$O$6:$O$200,"M*", 'Data entry'!$BE$6:$BE$200, D115, 'Data entry'!$AO$6:$AO$200, "*Pat*")+COUNTIFS('Data entry'!$B$6:$B$200,"*Confir*", 'Data entry'!$O$6:$O$200,"M*", 'Data entry'!$BE$6:$BE$200, D115, 'Data entry'!$AO$6:$AO$200, "*Vis*")+COUNTIFS('Data entry'!$B$6:$B$200,"*Confir*", 'Data entry'!$O$6:$O$200,"M*", 'Data entry'!$BE$6:$BE$200, D115, 'Data entry'!$AO$6:$AO$200, "*Oth*")+COUNTIFS('Data entry'!$B$6:$B$200,"*Confir*", 'Data entry'!$O$6:$O$200,"M*", 'Data entry'!$BE$6:$BE$200, D115, 'Data entry'!$AO$6:$AO$200, "*Att*")</f>
        <v>0</v>
      </c>
      <c r="G115" s="34">
        <f>COUNTIFS('Data entry'!$B$6:$B$200,"*Contact*", 'Data entry'!$O$6:$O$200,"M*", 'Data entry'!$BE$6:$BE$200, D115, 'Data entry'!$AO$6:$AO$200, "*Sta*") + COUNTIFS('Data entry'!$B$6:$B$200,"*Contact*", 'Data entry'!$O$6:$O$200,"M*", 'Data entry'!$BE$6:$BE$200, D115, 'Data entry'!$AO$6:$AO$200, "*Vol*")</f>
        <v>0</v>
      </c>
      <c r="H115" s="34">
        <f>COUNTIFS('Data entry'!$B$6:$B$200,"*Contact*",'Data entry'!$O$6:$O$200,"M*", 'Data entry'!$BE$6:$BE$200, D115, 'Data entry'!$AO$6:$AO$200, "*Res*") + COUNTIFS('Data entry'!$B$6:$B$200,"*Contact*", 'Data entry'!$O$6:$O$200,"M*", 'Data entry'!$BE$6:$BE$200, D115, 'Data entry'!$AO$6:$AO$200, "*Stu*") + COUNTIFS('Data entry'!$B$6:$B$200,"*Contact*",'Data entry'!$O$6:$O$200,"M*", 'Data entry'!$BE$6:$BE$200, D115, 'Data entry'!$AO$6:$AO$200, "*Pat*")+ COUNTIFS('Data entry'!$B$6:$B$200,"*Contact*",'Data entry'!$O$6:$O$200,"M*", 'Data entry'!$BE$6:$BE$200, D115, 'Data entry'!$AO$6:$AO$200, "*Vis*")+ COUNTIFS('Data entry'!$B$6:$B$200,"*Contact*", 'Data entry'!$O$6:$O$200,"M*", 'Data entry'!$BE$6:$BE$200, D115, 'Data entry'!$AO$6:$AO$200, "*Oth*")+COUNTIFS('Data entry'!$B$6:$B$200,"*Confir*", 'Data entry'!$O$6:$O$200,"M*", 'Data entry'!$BE$6:$BE$200, D115, 'Data entry'!$AO$6:$AO$200, "*Att*")</f>
        <v>0</v>
      </c>
    </row>
    <row r="116" spans="1:9" ht="16.5" customHeight="1" thickBot="1" x14ac:dyDescent="0.3">
      <c r="A116" s="450"/>
      <c r="B116" s="453" t="s">
        <v>208</v>
      </c>
      <c r="C116" s="481" t="s">
        <v>367</v>
      </c>
      <c r="D116" s="482"/>
      <c r="E116" s="344">
        <f>SUM(E141:E147)</f>
        <v>0</v>
      </c>
      <c r="F116" s="345"/>
      <c r="G116" s="345"/>
      <c r="H116" s="346"/>
    </row>
    <row r="117" spans="1:9" ht="16.5" customHeight="1" thickBot="1" x14ac:dyDescent="0.3">
      <c r="A117" s="450"/>
      <c r="B117" s="453"/>
      <c r="C117" s="373" t="s">
        <v>368</v>
      </c>
      <c r="D117" s="374"/>
      <c r="E117" s="344">
        <f>SUM(E130:E140)</f>
        <v>0</v>
      </c>
      <c r="F117" s="345"/>
      <c r="G117" s="345"/>
      <c r="H117" s="346"/>
    </row>
    <row r="118" spans="1:9" ht="16.5" customHeight="1" thickBot="1" x14ac:dyDescent="0.3">
      <c r="A118" s="450"/>
      <c r="B118" s="453"/>
      <c r="C118" s="373" t="s">
        <v>366</v>
      </c>
      <c r="D118" s="374"/>
      <c r="E118" s="362" t="s">
        <v>443</v>
      </c>
      <c r="F118" s="363"/>
      <c r="G118" s="364"/>
      <c r="H118" s="102">
        <f>COUNTIFS('Data entry'!$B$6:$B$200,"*Confir*",'Data entry'!$O$6:$O$200,"&lt;&gt;M*", 'Data entry'!$BE$6:$BE$200, E118, 'Data entry'!$AO$6:$AO$200, "*Sta*") + COUNTIFS('Data entry'!$B$6:$B$200,"*Confir*", 'Data entry'!$O$6:$O$200,"&lt;&gt;M*", 'Data entry'!$BE$6:$BE$200, E118, 'Data entry'!$AO$6:$AO$200, "*Vol*")</f>
        <v>0</v>
      </c>
    </row>
    <row r="119" spans="1:9" ht="16.5" customHeight="1" thickBot="1" x14ac:dyDescent="0.3">
      <c r="A119" s="450"/>
      <c r="B119" s="453"/>
      <c r="C119" s="373" t="s">
        <v>282</v>
      </c>
      <c r="D119" s="374"/>
      <c r="E119" s="344">
        <f>SUM(G130:G147)</f>
        <v>0</v>
      </c>
      <c r="F119" s="345"/>
      <c r="G119" s="345"/>
      <c r="H119" s="346"/>
    </row>
    <row r="120" spans="1:9" ht="16.5" customHeight="1" thickBot="1" x14ac:dyDescent="0.3">
      <c r="A120" s="450"/>
      <c r="B120" s="453"/>
      <c r="C120" s="375" t="s">
        <v>206</v>
      </c>
      <c r="D120" s="376"/>
      <c r="E120" s="366"/>
      <c r="F120" s="367"/>
      <c r="G120" s="368"/>
      <c r="H120" s="104">
        <f>COUNTIFS('Data entry'!$B$6:$B$200,"*Contact*", 'Data entry'!$O$6:$O$200,"&lt;&gt;M*", 'Data entry'!$BE$6:$BE$200, E120, 'Data entry'!$AO$6:$AO$200, "*Sta*") + COUNTIFS('Data entry'!$B$6:$B$200,"*Contact*",'Data entry'!$O$6:$O$200,"&lt;&gt;M*", 'Data entry'!$BE$6:$BE$200, E120, 'Data entry'!$AO$6:$AO$200, "*Vol*")</f>
        <v>0</v>
      </c>
    </row>
    <row r="121" spans="1:9" ht="16.5" customHeight="1" x14ac:dyDescent="0.25">
      <c r="A121" s="450"/>
      <c r="B121" s="478" t="s">
        <v>210</v>
      </c>
      <c r="C121" s="460" t="s">
        <v>367</v>
      </c>
      <c r="D121" s="342"/>
      <c r="E121" s="377">
        <f>SUM(F141:F147)</f>
        <v>0</v>
      </c>
      <c r="F121" s="378"/>
      <c r="G121" s="378"/>
      <c r="H121" s="379"/>
    </row>
    <row r="122" spans="1:9" ht="16.5" customHeight="1" x14ac:dyDescent="0.25">
      <c r="A122" s="450"/>
      <c r="B122" s="479"/>
      <c r="C122" s="373" t="s">
        <v>368</v>
      </c>
      <c r="D122" s="374"/>
      <c r="E122" s="344">
        <f>SUM(F130:F140)</f>
        <v>0</v>
      </c>
      <c r="F122" s="345"/>
      <c r="G122" s="345"/>
      <c r="H122" s="346"/>
    </row>
    <row r="123" spans="1:9" ht="16.5" customHeight="1" x14ac:dyDescent="0.25">
      <c r="A123" s="450"/>
      <c r="B123" s="479"/>
      <c r="C123" s="373" t="s">
        <v>366</v>
      </c>
      <c r="D123" s="374"/>
      <c r="E123" s="362" t="s">
        <v>442</v>
      </c>
      <c r="F123" s="363"/>
      <c r="G123" s="364"/>
      <c r="H123" s="102">
        <f>COUNTIFS('Data entry'!B6:B200,"*Confir*", 'Data entry'!$O$6:$O$200,"&lt;&gt;M*", 'Data entry'!BE6:BE200, E123, 'Data entry'!AO6:AO200, "*Res*") + COUNTIFS('Data entry'!B6:B200,"*Confir*",'Data entry'!$O$6:$O$200,"&lt;&gt;M*", 'Data entry'!BE6:BE200, E123, 'Data entry'!AO6:AO200, "*Stu*")+ COUNTIFS('Data entry'!B6:B200,"*Confir*",'Data entry'!$O$6:$O$200,"&lt;&gt;M*", 'Data entry'!BE6:BE200, E123, 'Data entry'!AO6:AO200, "*Pat*")+ COUNTIFS('Data entry'!B6:B200,"*Confir*", 'Data entry'!$O$6:$O$200,"&lt;&gt;M*", 'Data entry'!BE6:BE200, E123, 'Data entry'!AO6:AO200, "*Vis*")+ COUNTIFS('Data entry'!B6:B200,"*Confir*",'Data entry'!$O$6:$O$200,"&lt;&gt;M*", 'Data entry'!BE6:BE200, E123, 'Data entry'!AO6:AO200, "*Oth*")+COUNTIFS('Data entry'!B6:B200,"*Confir*",'Data entry'!$O$6:$O$200,"&lt;&gt;M*", 'Data entry'!BE6:BE200, E123, 'Data entry'!AO6:AO200, "*Att*")</f>
        <v>0</v>
      </c>
    </row>
    <row r="124" spans="1:9" ht="16.5" customHeight="1" x14ac:dyDescent="0.25">
      <c r="A124" s="450"/>
      <c r="B124" s="479"/>
      <c r="C124" s="373" t="s">
        <v>261</v>
      </c>
      <c r="D124" s="374"/>
      <c r="E124" s="344">
        <f>SUM(H130:H135)</f>
        <v>0</v>
      </c>
      <c r="F124" s="345"/>
      <c r="G124" s="345"/>
      <c r="H124" s="346"/>
    </row>
    <row r="125" spans="1:9" ht="16.5" customHeight="1" thickBot="1" x14ac:dyDescent="0.3">
      <c r="A125" s="450"/>
      <c r="B125" s="480"/>
      <c r="C125" s="375" t="s">
        <v>206</v>
      </c>
      <c r="D125" s="376"/>
      <c r="E125" s="366" t="s">
        <v>440</v>
      </c>
      <c r="F125" s="367"/>
      <c r="G125" s="368"/>
      <c r="H125" s="104">
        <f>COUNTIFS('Data entry'!B6:B200,"*Contact*", 'Data entry'!$O$6:$O$200,"&lt;&gt;M*", 'Data entry'!BE6:BE200, E125, 'Data entry'!AO6:AO200, "*Res*") + COUNTIFS('Data entry'!B6:B200,"*Contact*", 'Data entry'!$O$6:$O$200,"&lt;&gt;M*", 'Data entry'!BE6:BE200, E125, 'Data entry'!AO6:AO200, "*Att*")+ COUNTIFS('Data entry'!B6:B200,"*Contact*", 'Data entry'!$O$6:$O$200,"&lt;&gt;M*", 'Data entry'!BE6:BE200, E125, 'Data entry'!AO6:AO200, "*Pat*")+ COUNTIFS('Data entry'!B6:B200,"*Contact*", 'Data entry'!$O$6:$O$200,"&lt;&gt;M*", 'Data entry'!BE6:BE200, E125, 'Data entry'!AO6:AO200, "*Stu*")+ COUNTIFS('Data entry'!B6:B200,"*Contact*", 'Data entry'!$O$6:$O$200,"&lt;&gt;M*", 'Data entry'!BE6:BE200, E125, 'Data entry'!AO6:AO200, "*Vis*")+ COUNTIFS('Data entry'!B6:B200,"*Contact*", 'Data entry'!$O$6:$O$200,"&lt;&gt;M*", 'Data entry'!BE6:BE200, E125, 'Data entry'!AO6:AO200, "*Oth*")</f>
        <v>0</v>
      </c>
    </row>
    <row r="126" spans="1:9" ht="16.5" customHeight="1" thickBot="1" x14ac:dyDescent="0.3">
      <c r="A126" s="450"/>
      <c r="B126" s="478" t="s">
        <v>357</v>
      </c>
      <c r="C126" s="118"/>
      <c r="D126" s="119"/>
      <c r="E126" s="115"/>
      <c r="F126" s="116"/>
      <c r="G126" s="116"/>
      <c r="H126" s="120"/>
    </row>
    <row r="127" spans="1:9" ht="16.5" customHeight="1" x14ac:dyDescent="0.25">
      <c r="A127" s="450"/>
      <c r="B127" s="479"/>
      <c r="C127" s="117"/>
      <c r="D127" s="103"/>
      <c r="E127" s="513" t="s">
        <v>213</v>
      </c>
      <c r="F127" s="514"/>
      <c r="G127" s="514" t="s">
        <v>257</v>
      </c>
      <c r="H127" s="515"/>
    </row>
    <row r="128" spans="1:9" ht="30.6" customHeight="1" x14ac:dyDescent="0.25">
      <c r="A128" s="450"/>
      <c r="B128" s="479"/>
      <c r="C128" s="117"/>
      <c r="D128" s="103"/>
      <c r="E128" s="317" t="s">
        <v>258</v>
      </c>
      <c r="F128" s="316" t="s">
        <v>259</v>
      </c>
      <c r="G128" s="317" t="s">
        <v>258</v>
      </c>
      <c r="H128" s="316" t="s">
        <v>259</v>
      </c>
      <c r="I128" s="22"/>
    </row>
    <row r="129" spans="1:8" ht="16.5" customHeight="1" x14ac:dyDescent="0.25">
      <c r="A129" s="450"/>
      <c r="B129" s="516"/>
      <c r="C129" s="216" t="s">
        <v>260</v>
      </c>
      <c r="D129" s="24" t="str">
        <f t="shared" ref="D129:D146" si="1">$D97</f>
        <v>Lineage B.1.1.529 (Omicron)</v>
      </c>
      <c r="E129" s="34">
        <f>COUNTIFS('Data entry'!$B$6:$B$200,"*Confir*", 'Data entry'!$O$6:$O$200,"&lt;&gt;M*", 'Data entry'!$BE$6:$BE$200, D129, 'Data entry'!$AO$6:$AO$200, "*Sta*") + COUNTIFS('Data entry'!$B$6:$B$200,"*Confir*",'Data entry'!$O$6:$O$200,"&lt;&gt;M*", 'Data entry'!$BE$6:$BE$200, D129, 'Data entry'!$AO$6:$AO$200, "*Vol*")</f>
        <v>0</v>
      </c>
      <c r="F129" s="34">
        <f>COUNTIFS('Data entry'!$B$6:$B$200,"*Confir*", 'Data entry'!$O$6:$O$200,"&lt;&gt;M*", 'Data entry'!$BE$6:$BE$200, D129, 'Data entry'!$AO$6:$AO$200, "*Res*") + COUNTIFS('Data entry'!$B$6:$B$200,"*Confir*", 'Data entry'!$O$6:$O$200,"&lt;&gt;M*", 'Data entry'!$BE$6:$BE$200, D129, 'Data entry'!$AO$6:$AO$200, "*Stu*") + COUNTIFS('Data entry'!$B$6:$B$200,"*Confir*", 'Data entry'!$O$6:$O$200,"&lt;&gt;M*", 'Data entry'!$BE$6:$BE$200, D129, 'Data entry'!$AO$6:$AO$200, "*Pat*")+ COUNTIFS('Data entry'!$B$6:$B$200,"*Confir*", 'Data entry'!$O$6:$O$200,"&lt;&gt;M*", 'Data entry'!$BE$6:$BE$200, D129, 'Data entry'!$AO$6:$AO$200, "*Vis*")+ COUNTIFS('Data entry'!$B$6:$B$200,"*Confir*", 'Data entry'!$O$6:$O$200,"&lt;&gt;M*", 'Data entry'!$BE$6:$BE$200, D129, 'Data entry'!$AO$6:$AO$200, "*Oth*")+COUNTIFS('Data entry'!$B$6:$B$200,"*Confir*", 'Data entry'!$O$6:$O$200,"&lt;&gt;M*", 'Data entry'!$BE$6:$BE$200, D129, 'Data entry'!$AO$6:$AO$200, "*Att*")</f>
        <v>0</v>
      </c>
      <c r="G129" s="34">
        <f>COUNTIFS('Data entry'!$B$6:$B$200,"*Contact*",'Data entry'!$O$6:$O$200,"&lt;&gt;M*", 'Data entry'!$BE$6:$BE$200, D129, 'Data entry'!$AO$6:$AO$200, "*Sta*") + COUNTIFS('Data entry'!$B$6:$B$200,"*Contact*", 'Data entry'!$O$6:$O$200,"&lt;&gt;M*", 'Data entry'!$BE$6:$BE$200, D129, 'Data entry'!$AO$6:$AO$200, "*Vol*")</f>
        <v>0</v>
      </c>
      <c r="H129" s="34">
        <f>COUNTIFS('Data entry'!$B$6:$B$200,"*Contact*", 'Data entry'!$O$6:$O$200,"&lt;&gt;M*", 'Data entry'!$BE$6:$BE$200, D129, 'Data entry'!$AO$6:$AO$200, "*Res*") + COUNTIFS('Data entry'!$B$6:$B$200,"*Contact*", 'Data entry'!$O$6:$O$200,"&lt;&gt;M*", 'Data entry'!$BE$6:$BE$200, D129, 'Data entry'!$AO$6:$AO$200, "*Stu*") + COUNTIFS('Data entry'!$B$6:$B$200,"*Contact*", 'Data entry'!$O$6:$O$200,"&lt;&gt;M*", 'Data entry'!$BE$6:$BE$200, D129, 'Data entry'!$AO$6:$AO$200, "*Pat*")+ COUNTIFS('Data entry'!$B$6:$B$200,"*Contact*", 'Data entry'!$O$6:$O$200,"&lt;&gt;M*", 'Data entry'!$BE$6:$BE$200, D129, 'Data entry'!$AO$6:$AO$200, "*Vis*")+ COUNTIFS('Data entry'!$B$6:$B$200,"*Contact*", 'Data entry'!$O$6:$O$200,"&lt;&gt;M*", 'Data entry'!$BE$6:$BE$200, D129, 'Data entry'!$AO$6:$AO$200, "*Oth*")+COUNTIFS('Data entry'!$B$6:$B$200,"*Confir*", 'Data entry'!$O$6:$O$200,"&lt;&gt;M*", 'Data entry'!$BE$6:$BE$200, D129, 'Data entry'!$AO$6:$AO$200, "*Att*")</f>
        <v>0</v>
      </c>
    </row>
    <row r="130" spans="1:8" ht="16.5" customHeight="1" x14ac:dyDescent="0.25">
      <c r="A130" s="450"/>
      <c r="B130" s="516"/>
      <c r="C130" s="216" t="s">
        <v>260</v>
      </c>
      <c r="D130" s="24" t="str">
        <f t="shared" si="1"/>
        <v>Lineage B.1.1.7 (Alpha)</v>
      </c>
      <c r="E130" s="34">
        <f>COUNTIFS('Data entry'!$B$6:$B$200,"*Confir*", 'Data entry'!$O$6:$O$200,"&lt;&gt;M*", 'Data entry'!$BE$6:$BE$200, D130, 'Data entry'!$AO$6:$AO$200, "*Sta*") + COUNTIFS('Data entry'!$B$6:$B$200,"*Confir*",'Data entry'!$O$6:$O$200,"&lt;&gt;M*", 'Data entry'!$BE$6:$BE$200, D130, 'Data entry'!$AO$6:$AO$200, "*Vol*")</f>
        <v>0</v>
      </c>
      <c r="F130" s="34">
        <f>COUNTIFS('Data entry'!$B$6:$B$200,"*Confir*", 'Data entry'!$O$6:$O$200,"&lt;&gt;M*", 'Data entry'!$BE$6:$BE$200, D130, 'Data entry'!$AO$6:$AO$200, "*Res*") + COUNTIFS('Data entry'!$B$6:$B$200,"*Confir*", 'Data entry'!$O$6:$O$200,"&lt;&gt;M*", 'Data entry'!$BE$6:$BE$200, D130, 'Data entry'!$AO$6:$AO$200, "*Stu*") + COUNTIFS('Data entry'!$B$6:$B$200,"*Confir*", 'Data entry'!$O$6:$O$200,"&lt;&gt;M*", 'Data entry'!$BE$6:$BE$200, D130, 'Data entry'!$AO$6:$AO$200, "*Pat*")+ COUNTIFS('Data entry'!$B$6:$B$200,"*Confir*", 'Data entry'!$O$6:$O$200,"&lt;&gt;M*", 'Data entry'!$BE$6:$BE$200, D130, 'Data entry'!$AO$6:$AO$200, "*Vis*")+ COUNTIFS('Data entry'!$B$6:$B$200,"*Confir*", 'Data entry'!$O$6:$O$200,"&lt;&gt;M*", 'Data entry'!$BE$6:$BE$200, D130, 'Data entry'!$AO$6:$AO$200, "*Oth*")+COUNTIFS('Data entry'!$B$6:$B$200,"*Confir*", 'Data entry'!$O$6:$O$200,"&lt;&gt;M*", 'Data entry'!$BE$6:$BE$200, D130, 'Data entry'!$AO$6:$AO$200, "*Att*")</f>
        <v>0</v>
      </c>
      <c r="G130" s="34">
        <f>COUNTIFS('Data entry'!$B$6:$B$200,"*Contact*",'Data entry'!$O$6:$O$200,"&lt;&gt;M*", 'Data entry'!$BE$6:$BE$200, D130, 'Data entry'!$AO$6:$AO$200, "*Sta*") + COUNTIFS('Data entry'!$B$6:$B$200,"*Contact*", 'Data entry'!$O$6:$O$200,"&lt;&gt;M*", 'Data entry'!$BE$6:$BE$200, D130, 'Data entry'!$AO$6:$AO$200, "*Vol*")</f>
        <v>0</v>
      </c>
      <c r="H130" s="34">
        <f>COUNTIFS('Data entry'!$B$6:$B$200,"*Contact*", 'Data entry'!$O$6:$O$200,"&lt;&gt;M*", 'Data entry'!$BE$6:$BE$200, D130, 'Data entry'!$AO$6:$AO$200, "*Res*") + COUNTIFS('Data entry'!$B$6:$B$200,"*Contact*", 'Data entry'!$O$6:$O$200,"&lt;&gt;M*", 'Data entry'!$BE$6:$BE$200, D130, 'Data entry'!$AO$6:$AO$200, "*Stu*") + COUNTIFS('Data entry'!$B$6:$B$200,"*Contact*", 'Data entry'!$O$6:$O$200,"&lt;&gt;M*", 'Data entry'!$BE$6:$BE$200, D130, 'Data entry'!$AO$6:$AO$200, "*Pat*")+ COUNTIFS('Data entry'!$B$6:$B$200,"*Contact*", 'Data entry'!$O$6:$O$200,"&lt;&gt;M*", 'Data entry'!$BE$6:$BE$200, D130, 'Data entry'!$AO$6:$AO$200, "*Vis*")+ COUNTIFS('Data entry'!$B$6:$B$200,"*Contact*", 'Data entry'!$O$6:$O$200,"&lt;&gt;M*", 'Data entry'!$BE$6:$BE$200, D130, 'Data entry'!$AO$6:$AO$200, "*Oth*")+COUNTIFS('Data entry'!$B$6:$B$200,"*Confir*", 'Data entry'!$O$6:$O$200,"&lt;&gt;M*", 'Data entry'!$BE$6:$BE$200, D130, 'Data entry'!$AO$6:$AO$200, "*Att*")</f>
        <v>0</v>
      </c>
    </row>
    <row r="131" spans="1:8" ht="16.5" customHeight="1" x14ac:dyDescent="0.25">
      <c r="A131" s="450"/>
      <c r="B131" s="479"/>
      <c r="C131" s="42" t="s">
        <v>260</v>
      </c>
      <c r="D131" s="42" t="str">
        <f t="shared" si="1"/>
        <v>Lineage B.1.351 (Beta)</v>
      </c>
      <c r="E131" s="34">
        <f>COUNTIFS('Data entry'!$B$6:$B$200,"*Confir*", 'Data entry'!$O$6:$O$200,"&lt;&gt;M*", 'Data entry'!$BE$6:$BE$200, D131, 'Data entry'!$AO$6:$AO$200, "*Sta*") + COUNTIFS('Data entry'!$B$6:$B$200,"*Confir*",'Data entry'!$O$6:$O$200,"&lt;&gt;M*", 'Data entry'!$BE$6:$BE$200, D131, 'Data entry'!$AO$6:$AO$200, "*Vol*")</f>
        <v>0</v>
      </c>
      <c r="F131" s="34">
        <f>COUNTIFS('Data entry'!$B$6:$B$200,"*Confir*", 'Data entry'!$O$6:$O$200,"&lt;&gt;M*", 'Data entry'!$BE$6:$BE$200, D131, 'Data entry'!$AO$6:$AO$200, "*Res*") + COUNTIFS('Data entry'!$B$6:$B$200,"*Confir*", 'Data entry'!$O$6:$O$200,"&lt;&gt;M*", 'Data entry'!$BE$6:$BE$200, D131, 'Data entry'!$AO$6:$AO$200, "*Stu*") + COUNTIFS('Data entry'!$B$6:$B$200,"*Confir*", 'Data entry'!$O$6:$O$200,"&lt;&gt;M*", 'Data entry'!$BE$6:$BE$200, D131, 'Data entry'!$AO$6:$AO$200, "*Pat*")+ COUNTIFS('Data entry'!$B$6:$B$200,"*Confir*", 'Data entry'!$O$6:$O$200,"&lt;&gt;M*", 'Data entry'!$BE$6:$BE$200, D131, 'Data entry'!$AO$6:$AO$200, "*Vis*")+ COUNTIFS('Data entry'!$B$6:$B$200,"*Confir*", 'Data entry'!$O$6:$O$200,"&lt;&gt;M*", 'Data entry'!$BE$6:$BE$200, D131, 'Data entry'!$AO$6:$AO$200, "*Oth*")+COUNTIFS('Data entry'!$B$6:$B$200,"*Confir*", 'Data entry'!$O$6:$O$200,"&lt;&gt;M*", 'Data entry'!$BE$6:$BE$200, D131, 'Data entry'!$AO$6:$AO$200, "*Att*")</f>
        <v>0</v>
      </c>
      <c r="G131" s="34">
        <f>COUNTIFS('Data entry'!$B$6:$B$200,"*Contact*",'Data entry'!$O$6:$O$200,"&lt;&gt;M*", 'Data entry'!$BE$6:$BE$200, D131, 'Data entry'!$AO$6:$AO$200, "*Sta*") + COUNTIFS('Data entry'!$B$6:$B$200,"*Contact*", 'Data entry'!$O$6:$O$200,"&lt;&gt;M*", 'Data entry'!$BE$6:$BE$200, D131, 'Data entry'!$AO$6:$AO$200, "*Vol*")</f>
        <v>0</v>
      </c>
      <c r="H131" s="34">
        <f>COUNTIFS('Data entry'!$B$6:$B$200,"*Contact*", 'Data entry'!$O$6:$O$200,"&lt;&gt;M*", 'Data entry'!$BE$6:$BE$200, D131, 'Data entry'!$AO$6:$AO$200, "*Res*") + COUNTIFS('Data entry'!$B$6:$B$200,"*Contact*", 'Data entry'!$O$6:$O$200,"&lt;&gt;M*", 'Data entry'!$BE$6:$BE$200, D131, 'Data entry'!$AO$6:$AO$200, "*Stu*") + COUNTIFS('Data entry'!$B$6:$B$200,"*Contact*", 'Data entry'!$O$6:$O$200,"&lt;&gt;M*", 'Data entry'!$BE$6:$BE$200, D131, 'Data entry'!$AO$6:$AO$200, "*Pat*")+ COUNTIFS('Data entry'!$B$6:$B$200,"*Contact*", 'Data entry'!$O$6:$O$200,"&lt;&gt;M*", 'Data entry'!$BE$6:$BE$200, D131, 'Data entry'!$AO$6:$AO$200, "*Vis*")+ COUNTIFS('Data entry'!$B$6:$B$200,"*Contact*", 'Data entry'!$O$6:$O$200,"&lt;&gt;M*", 'Data entry'!$BE$6:$BE$200, D131, 'Data entry'!$AO$6:$AO$200, "*Oth*")+COUNTIFS('Data entry'!$B$6:$B$200,"*Confir*", 'Data entry'!$O$6:$O$200,"&lt;&gt;M*", 'Data entry'!$BE$6:$BE$200, D131, 'Data entry'!$AO$6:$AO$200, "*Att*")</f>
        <v>0</v>
      </c>
    </row>
    <row r="132" spans="1:8" ht="16.5" customHeight="1" x14ac:dyDescent="0.25">
      <c r="A132" s="450"/>
      <c r="B132" s="479"/>
      <c r="C132" s="42" t="s">
        <v>260</v>
      </c>
      <c r="D132" s="42" t="str">
        <f t="shared" si="1"/>
        <v>Lineage P.1 (Gamma)</v>
      </c>
      <c r="E132" s="34">
        <f>COUNTIFS('Data entry'!$B$6:$B$200,"*Confir*", 'Data entry'!$O$6:$O$200,"&lt;&gt;M*", 'Data entry'!$BE$6:$BE$200, D132, 'Data entry'!$AO$6:$AO$200, "*Sta*") + COUNTIFS('Data entry'!$B$6:$B$200,"*Confir*",'Data entry'!$O$6:$O$200,"&lt;&gt;M*", 'Data entry'!$BE$6:$BE$200, D132, 'Data entry'!$AO$6:$AO$200, "*Vol*")</f>
        <v>0</v>
      </c>
      <c r="F132" s="34">
        <f>COUNTIFS('Data entry'!$B$6:$B$200,"*Confir*", 'Data entry'!$O$6:$O$200,"&lt;&gt;M*", 'Data entry'!$BE$6:$BE$200, D132, 'Data entry'!$AO$6:$AO$200, "*Res*") + COUNTIFS('Data entry'!$B$6:$B$200,"*Confir*", 'Data entry'!$O$6:$O$200,"&lt;&gt;M*", 'Data entry'!$BE$6:$BE$200, D132, 'Data entry'!$AO$6:$AO$200, "*Stu*") + COUNTIFS('Data entry'!$B$6:$B$200,"*Confir*", 'Data entry'!$O$6:$O$200,"&lt;&gt;M*", 'Data entry'!$BE$6:$BE$200, D132, 'Data entry'!$AO$6:$AO$200, "*Pat*")+ COUNTIFS('Data entry'!$B$6:$B$200,"*Confir*", 'Data entry'!$O$6:$O$200,"&lt;&gt;M*", 'Data entry'!$BE$6:$BE$200, D132, 'Data entry'!$AO$6:$AO$200, "*Vis*")+ COUNTIFS('Data entry'!$B$6:$B$200,"*Confir*", 'Data entry'!$O$6:$O$200,"&lt;&gt;M*", 'Data entry'!$BE$6:$BE$200, D132, 'Data entry'!$AO$6:$AO$200, "*Oth*")+COUNTIFS('Data entry'!$B$6:$B$200,"*Confir*", 'Data entry'!$O$6:$O$200,"&lt;&gt;M*", 'Data entry'!$BE$6:$BE$200, D132, 'Data entry'!$AO$6:$AO$200, "*Att*")</f>
        <v>0</v>
      </c>
      <c r="G132" s="34">
        <f>COUNTIFS('Data entry'!$B$6:$B$200,"*Contact*",'Data entry'!$O$6:$O$200,"&lt;&gt;M*", 'Data entry'!$BE$6:$BE$200, D132, 'Data entry'!$AO$6:$AO$200, "*Sta*") + COUNTIFS('Data entry'!$B$6:$B$200,"*Contact*", 'Data entry'!$O$6:$O$200,"&lt;&gt;M*", 'Data entry'!$BE$6:$BE$200, D132, 'Data entry'!$AO$6:$AO$200, "*Vol*")</f>
        <v>0</v>
      </c>
      <c r="H132" s="34">
        <f>COUNTIFS('Data entry'!$B$6:$B$200,"*Contact*", 'Data entry'!$O$6:$O$200,"&lt;&gt;M*", 'Data entry'!$BE$6:$BE$200, D132, 'Data entry'!$AO$6:$AO$200, "*Res*") + COUNTIFS('Data entry'!$B$6:$B$200,"*Contact*", 'Data entry'!$O$6:$O$200,"&lt;&gt;M*", 'Data entry'!$BE$6:$BE$200, D132, 'Data entry'!$AO$6:$AO$200, "*Stu*") + COUNTIFS('Data entry'!$B$6:$B$200,"*Contact*", 'Data entry'!$O$6:$O$200,"&lt;&gt;M*", 'Data entry'!$BE$6:$BE$200, D132, 'Data entry'!$AO$6:$AO$200, "*Pat*")+ COUNTIFS('Data entry'!$B$6:$B$200,"*Contact*", 'Data entry'!$O$6:$O$200,"&lt;&gt;M*", 'Data entry'!$BE$6:$BE$200, D132, 'Data entry'!$AO$6:$AO$200, "*Vis*")+ COUNTIFS('Data entry'!$B$6:$B$200,"*Contact*", 'Data entry'!$O$6:$O$200,"&lt;&gt;M*", 'Data entry'!$BE$6:$BE$200, D132, 'Data entry'!$AO$6:$AO$200, "*Oth*")+COUNTIFS('Data entry'!$B$6:$B$200,"*Confir*", 'Data entry'!$O$6:$O$200,"&lt;&gt;M*", 'Data entry'!$BE$6:$BE$200, D132, 'Data entry'!$AO$6:$AO$200, "*Att*")</f>
        <v>0</v>
      </c>
    </row>
    <row r="133" spans="1:8" ht="16.5" customHeight="1" x14ac:dyDescent="0.25">
      <c r="A133" s="450"/>
      <c r="B133" s="479"/>
      <c r="C133" s="42" t="s">
        <v>260</v>
      </c>
      <c r="D133" s="42" t="str">
        <f t="shared" si="1"/>
        <v>Lineage P.2 (Zeta)</v>
      </c>
      <c r="E133" s="34">
        <f>COUNTIFS('Data entry'!$B$6:$B$200,"*Confir*", 'Data entry'!$O$6:$O$200,"&lt;&gt;M*", 'Data entry'!$BE$6:$BE$200, D133, 'Data entry'!$AO$6:$AO$200, "*Sta*") + COUNTIFS('Data entry'!$B$6:$B$200,"*Confir*",'Data entry'!$O$6:$O$200,"&lt;&gt;M*", 'Data entry'!$BE$6:$BE$200, D133, 'Data entry'!$AO$6:$AO$200, "*Vol*")</f>
        <v>0</v>
      </c>
      <c r="F133" s="34">
        <f>COUNTIFS('Data entry'!$B$6:$B$200,"*Confir*", 'Data entry'!$O$6:$O$200,"&lt;&gt;M*", 'Data entry'!$BE$6:$BE$200, D133, 'Data entry'!$AO$6:$AO$200, "*Res*") + COUNTIFS('Data entry'!$B$6:$B$200,"*Confir*", 'Data entry'!$O$6:$O$200,"&lt;&gt;M*", 'Data entry'!$BE$6:$BE$200, D133, 'Data entry'!$AO$6:$AO$200, "*Stu*") + COUNTIFS('Data entry'!$B$6:$B$200,"*Confir*", 'Data entry'!$O$6:$O$200,"&lt;&gt;M*", 'Data entry'!$BE$6:$BE$200, D133, 'Data entry'!$AO$6:$AO$200, "*Pat*")+ COUNTIFS('Data entry'!$B$6:$B$200,"*Confir*", 'Data entry'!$O$6:$O$200,"&lt;&gt;M*", 'Data entry'!$BE$6:$BE$200, D133, 'Data entry'!$AO$6:$AO$200, "*Vis*")+ COUNTIFS('Data entry'!$B$6:$B$200,"*Confir*", 'Data entry'!$O$6:$O$200,"&lt;&gt;M*", 'Data entry'!$BE$6:$BE$200, D133, 'Data entry'!$AO$6:$AO$200, "*Oth*")+COUNTIFS('Data entry'!$B$6:$B$200,"*Confir*", 'Data entry'!$O$6:$O$200,"&lt;&gt;M*", 'Data entry'!$BE$6:$BE$200, D133, 'Data entry'!$AO$6:$AO$200, "*Att*")</f>
        <v>0</v>
      </c>
      <c r="G133" s="34">
        <f>COUNTIFS('Data entry'!$B$6:$B$200,"*Contact*",'Data entry'!$O$6:$O$200,"&lt;&gt;M*", 'Data entry'!$BE$6:$BE$200, D133, 'Data entry'!$AO$6:$AO$200, "*Sta*") + COUNTIFS('Data entry'!$B$6:$B$200,"*Contact*", 'Data entry'!$O$6:$O$200,"&lt;&gt;M*", 'Data entry'!$BE$6:$BE$200, D133, 'Data entry'!$AO$6:$AO$200, "*Vol*")</f>
        <v>0</v>
      </c>
      <c r="H133" s="34">
        <f>COUNTIFS('Data entry'!$B$6:$B$200,"*Contact*", 'Data entry'!$O$6:$O$200,"&lt;&gt;M*", 'Data entry'!$BE$6:$BE$200, D133, 'Data entry'!$AO$6:$AO$200, "*Res*") + COUNTIFS('Data entry'!$B$6:$B$200,"*Contact*", 'Data entry'!$O$6:$O$200,"&lt;&gt;M*", 'Data entry'!$BE$6:$BE$200, D133, 'Data entry'!$AO$6:$AO$200, "*Stu*") + COUNTIFS('Data entry'!$B$6:$B$200,"*Contact*", 'Data entry'!$O$6:$O$200,"&lt;&gt;M*", 'Data entry'!$BE$6:$BE$200, D133, 'Data entry'!$AO$6:$AO$200, "*Pat*")+ COUNTIFS('Data entry'!$B$6:$B$200,"*Contact*", 'Data entry'!$O$6:$O$200,"&lt;&gt;M*", 'Data entry'!$BE$6:$BE$200, D133, 'Data entry'!$AO$6:$AO$200, "*Vis*")+ COUNTIFS('Data entry'!$B$6:$B$200,"*Contact*", 'Data entry'!$O$6:$O$200,"&lt;&gt;M*", 'Data entry'!$BE$6:$BE$200, D133, 'Data entry'!$AO$6:$AO$200, "*Oth*")+COUNTIFS('Data entry'!$B$6:$B$200,"*Confir*", 'Data entry'!$O$6:$O$200,"&lt;&gt;M*", 'Data entry'!$BE$6:$BE$200, D133, 'Data entry'!$AO$6:$AO$200, "*Att*")</f>
        <v>0</v>
      </c>
    </row>
    <row r="134" spans="1:8" ht="16.5" customHeight="1" x14ac:dyDescent="0.25">
      <c r="A134" s="450"/>
      <c r="B134" s="479"/>
      <c r="C134" s="42" t="s">
        <v>260</v>
      </c>
      <c r="D134" s="42" t="str">
        <f t="shared" si="1"/>
        <v>Lineage B.1.617</v>
      </c>
      <c r="E134" s="34">
        <f>COUNTIFS('Data entry'!$B$6:$B$200,"*Confir*", 'Data entry'!$O$6:$O$200,"&lt;&gt;M*", 'Data entry'!$BE$6:$BE$200, D134, 'Data entry'!$AO$6:$AO$200, "*Sta*") + COUNTIFS('Data entry'!$B$6:$B$200,"*Confir*",'Data entry'!$O$6:$O$200,"&lt;&gt;M*", 'Data entry'!$BE$6:$BE$200, D134, 'Data entry'!$AO$6:$AO$200, "*Vol*")</f>
        <v>0</v>
      </c>
      <c r="F134" s="34">
        <f>COUNTIFS('Data entry'!$B$6:$B$200,"*Confir*", 'Data entry'!$O$6:$O$200,"&lt;&gt;M*", 'Data entry'!$BE$6:$BE$200, D134, 'Data entry'!$AO$6:$AO$200, "*Res*") + COUNTIFS('Data entry'!$B$6:$B$200,"*Confir*", 'Data entry'!$O$6:$O$200,"&lt;&gt;M*", 'Data entry'!$BE$6:$BE$200, D134, 'Data entry'!$AO$6:$AO$200, "*Stu*") + COUNTIFS('Data entry'!$B$6:$B$200,"*Confir*", 'Data entry'!$O$6:$O$200,"&lt;&gt;M*", 'Data entry'!$BE$6:$BE$200, D134, 'Data entry'!$AO$6:$AO$200, "*Pat*")+ COUNTIFS('Data entry'!$B$6:$B$200,"*Confir*", 'Data entry'!$O$6:$O$200,"&lt;&gt;M*", 'Data entry'!$BE$6:$BE$200, D134, 'Data entry'!$AO$6:$AO$200, "*Vis*")+ COUNTIFS('Data entry'!$B$6:$B$200,"*Confir*", 'Data entry'!$O$6:$O$200,"&lt;&gt;M*", 'Data entry'!$BE$6:$BE$200, D134, 'Data entry'!$AO$6:$AO$200, "*Oth*")+COUNTIFS('Data entry'!$B$6:$B$200,"*Confir*", 'Data entry'!$O$6:$O$200,"&lt;&gt;M*", 'Data entry'!$BE$6:$BE$200, D134, 'Data entry'!$AO$6:$AO$200, "*Att*")</f>
        <v>0</v>
      </c>
      <c r="G134" s="34">
        <f>COUNTIFS('Data entry'!$B$6:$B$200,"*Contact*",'Data entry'!$O$6:$O$200,"&lt;&gt;M*", 'Data entry'!$BE$6:$BE$200, D134, 'Data entry'!$AO$6:$AO$200, "*Sta*") + COUNTIFS('Data entry'!$B$6:$B$200,"*Contact*", 'Data entry'!$O$6:$O$200,"&lt;&gt;M*", 'Data entry'!$BE$6:$BE$200, D134, 'Data entry'!$AO$6:$AO$200, "*Vol*")</f>
        <v>0</v>
      </c>
      <c r="H134" s="34">
        <f>COUNTIFS('Data entry'!$B$6:$B$200,"*Contact*", 'Data entry'!$O$6:$O$200,"&lt;&gt;M*", 'Data entry'!$BE$6:$BE$200, D134, 'Data entry'!$AO$6:$AO$200, "*Res*") + COUNTIFS('Data entry'!$B$6:$B$200,"*Contact*", 'Data entry'!$O$6:$O$200,"&lt;&gt;M*", 'Data entry'!$BE$6:$BE$200, D134, 'Data entry'!$AO$6:$AO$200, "*Stu*") + COUNTIFS('Data entry'!$B$6:$B$200,"*Contact*", 'Data entry'!$O$6:$O$200,"&lt;&gt;M*", 'Data entry'!$BE$6:$BE$200, D134, 'Data entry'!$AO$6:$AO$200, "*Pat*")+ COUNTIFS('Data entry'!$B$6:$B$200,"*Contact*", 'Data entry'!$O$6:$O$200,"&lt;&gt;M*", 'Data entry'!$BE$6:$BE$200, D134, 'Data entry'!$AO$6:$AO$200, "*Vis*")+ COUNTIFS('Data entry'!$B$6:$B$200,"*Contact*", 'Data entry'!$O$6:$O$200,"&lt;&gt;M*", 'Data entry'!$BE$6:$BE$200, D134, 'Data entry'!$AO$6:$AO$200, "*Oth*")+COUNTIFS('Data entry'!$B$6:$B$200,"*Confir*", 'Data entry'!$O$6:$O$200,"&lt;&gt;M*", 'Data entry'!$BE$6:$BE$200, D134, 'Data entry'!$AO$6:$AO$200, "*Att*")</f>
        <v>0</v>
      </c>
    </row>
    <row r="135" spans="1:8" ht="16.5" customHeight="1" x14ac:dyDescent="0.25">
      <c r="A135" s="450"/>
      <c r="B135" s="479"/>
      <c r="C135" s="42" t="s">
        <v>260</v>
      </c>
      <c r="D135" s="42" t="str">
        <f t="shared" si="1"/>
        <v>Lineage B.1.617.1 (Kappa)</v>
      </c>
      <c r="E135" s="34">
        <f>COUNTIFS('Data entry'!$B$6:$B$200,"*Confir*", 'Data entry'!$O$6:$O$200,"&lt;&gt;M*", 'Data entry'!$BE$6:$BE$200, D135, 'Data entry'!$AO$6:$AO$200, "*Sta*") + COUNTIFS('Data entry'!$B$6:$B$200,"*Confir*",'Data entry'!$O$6:$O$200,"&lt;&gt;M*", 'Data entry'!$BE$6:$BE$200, D135, 'Data entry'!$AO$6:$AO$200, "*Vol*")</f>
        <v>0</v>
      </c>
      <c r="F135" s="34">
        <f>COUNTIFS('Data entry'!$B$6:$B$200,"*Confir*", 'Data entry'!$O$6:$O$200,"&lt;&gt;M*", 'Data entry'!$BE$6:$BE$200, D135, 'Data entry'!$AO$6:$AO$200, "*Res*") + COUNTIFS('Data entry'!$B$6:$B$200,"*Confir*", 'Data entry'!$O$6:$O$200,"&lt;&gt;M*", 'Data entry'!$BE$6:$BE$200, D135, 'Data entry'!$AO$6:$AO$200, "*Stu*") + COUNTIFS('Data entry'!$B$6:$B$200,"*Confir*", 'Data entry'!$O$6:$O$200,"&lt;&gt;M*", 'Data entry'!$BE$6:$BE$200, D135, 'Data entry'!$AO$6:$AO$200, "*Pat*")+ COUNTIFS('Data entry'!$B$6:$B$200,"*Confir*", 'Data entry'!$O$6:$O$200,"&lt;&gt;M*", 'Data entry'!$BE$6:$BE$200, D135, 'Data entry'!$AO$6:$AO$200, "*Vis*")+ COUNTIFS('Data entry'!$B$6:$B$200,"*Confir*", 'Data entry'!$O$6:$O$200,"&lt;&gt;M*", 'Data entry'!$BE$6:$BE$200, D135, 'Data entry'!$AO$6:$AO$200, "*Oth*")+COUNTIFS('Data entry'!$B$6:$B$200,"*Confir*", 'Data entry'!$O$6:$O$200,"&lt;&gt;M*", 'Data entry'!$BE$6:$BE$200, D135, 'Data entry'!$AO$6:$AO$200, "*Att*")</f>
        <v>0</v>
      </c>
      <c r="G135" s="34">
        <f>COUNTIFS('Data entry'!$B$6:$B$200,"*Contact*",'Data entry'!$O$6:$O$200,"&lt;&gt;M*", 'Data entry'!$BE$6:$BE$200, D135, 'Data entry'!$AO$6:$AO$200, "*Sta*") + COUNTIFS('Data entry'!$B$6:$B$200,"*Contact*", 'Data entry'!$O$6:$O$200,"&lt;&gt;M*", 'Data entry'!$BE$6:$BE$200, D135, 'Data entry'!$AO$6:$AO$200, "*Vol*")</f>
        <v>0</v>
      </c>
      <c r="H135" s="34">
        <f>COUNTIFS('Data entry'!$B$6:$B$200,"*Contact*", 'Data entry'!$O$6:$O$200,"&lt;&gt;M*", 'Data entry'!$BE$6:$BE$200, D135, 'Data entry'!$AO$6:$AO$200, "*Res*") + COUNTIFS('Data entry'!$B$6:$B$200,"*Contact*", 'Data entry'!$O$6:$O$200,"&lt;&gt;M*", 'Data entry'!$BE$6:$BE$200, D135, 'Data entry'!$AO$6:$AO$200, "*Stu*") + COUNTIFS('Data entry'!$B$6:$B$200,"*Contact*", 'Data entry'!$O$6:$O$200,"&lt;&gt;M*", 'Data entry'!$BE$6:$BE$200, D135, 'Data entry'!$AO$6:$AO$200, "*Pat*")+ COUNTIFS('Data entry'!$B$6:$B$200,"*Contact*", 'Data entry'!$O$6:$O$200,"&lt;&gt;M*", 'Data entry'!$BE$6:$BE$200, D135, 'Data entry'!$AO$6:$AO$200, "*Vis*")+ COUNTIFS('Data entry'!$B$6:$B$200,"*Contact*", 'Data entry'!$O$6:$O$200,"&lt;&gt;M*", 'Data entry'!$BE$6:$BE$200, D135, 'Data entry'!$AO$6:$AO$200, "*Oth*")+COUNTIFS('Data entry'!$B$6:$B$200,"*Confir*", 'Data entry'!$O$6:$O$200,"&lt;&gt;M*", 'Data entry'!$BE$6:$BE$200, D135, 'Data entry'!$AO$6:$AO$200, "*Att*")</f>
        <v>0</v>
      </c>
    </row>
    <row r="136" spans="1:8" ht="16.5" customHeight="1" x14ac:dyDescent="0.25">
      <c r="A136" s="450"/>
      <c r="B136" s="479"/>
      <c r="C136" s="42" t="s">
        <v>260</v>
      </c>
      <c r="D136" s="42" t="str">
        <f t="shared" si="1"/>
        <v>Lineage B.1.617.2 (Delta).</v>
      </c>
      <c r="E136" s="34">
        <f>COUNTIFS('Data entry'!$B$6:$B$200,"*Confir*", 'Data entry'!$O$6:$O$200,"&lt;&gt;M*", 'Data entry'!$BE$6:$BE$200, D136, 'Data entry'!$AO$6:$AO$200, "*Sta*") + COUNTIFS('Data entry'!$B$6:$B$200,"*Confir*",'Data entry'!$O$6:$O$200,"&lt;&gt;M*", 'Data entry'!$BE$6:$BE$200, D136, 'Data entry'!$AO$6:$AO$200, "*Vol*")</f>
        <v>0</v>
      </c>
      <c r="F136" s="34">
        <f>COUNTIFS('Data entry'!$B$6:$B$200,"*Confir*", 'Data entry'!$O$6:$O$200,"&lt;&gt;M*", 'Data entry'!$BE$6:$BE$200, D136, 'Data entry'!$AO$6:$AO$200, "*Res*") + COUNTIFS('Data entry'!$B$6:$B$200,"*Confir*", 'Data entry'!$O$6:$O$200,"&lt;&gt;M*", 'Data entry'!$BE$6:$BE$200, D136, 'Data entry'!$AO$6:$AO$200, "*Stu*") + COUNTIFS('Data entry'!$B$6:$B$200,"*Confir*", 'Data entry'!$O$6:$O$200,"&lt;&gt;M*", 'Data entry'!$BE$6:$BE$200, D136, 'Data entry'!$AO$6:$AO$200, "*Pat*")+ COUNTIFS('Data entry'!$B$6:$B$200,"*Confir*", 'Data entry'!$O$6:$O$200,"&lt;&gt;M*", 'Data entry'!$BE$6:$BE$200, D136, 'Data entry'!$AO$6:$AO$200, "*Vis*")+ COUNTIFS('Data entry'!$B$6:$B$200,"*Confir*", 'Data entry'!$O$6:$O$200,"&lt;&gt;M*", 'Data entry'!$BE$6:$BE$200, D136, 'Data entry'!$AO$6:$AO$200, "*Oth*")+COUNTIFS('Data entry'!$B$6:$B$200,"*Confir*", 'Data entry'!$O$6:$O$200,"&lt;&gt;M*", 'Data entry'!$BE$6:$BE$200, D136, 'Data entry'!$AO$6:$AO$200, "*Att*")</f>
        <v>0</v>
      </c>
      <c r="G136" s="34">
        <f>COUNTIFS('Data entry'!$B$6:$B$200,"*Contact*",'Data entry'!$O$6:$O$200,"&lt;&gt;M*", 'Data entry'!$BE$6:$BE$200, D136, 'Data entry'!$AO$6:$AO$200, "*Sta*") + COUNTIFS('Data entry'!$B$6:$B$200,"*Contact*", 'Data entry'!$O$6:$O$200,"&lt;&gt;M*", 'Data entry'!$BE$6:$BE$200, D136, 'Data entry'!$AO$6:$AO$200, "*Vol*")</f>
        <v>0</v>
      </c>
      <c r="H136" s="34">
        <f>COUNTIFS('Data entry'!$B$6:$B$200,"*Contact*", 'Data entry'!$O$6:$O$200,"&lt;&gt;M*", 'Data entry'!$BE$6:$BE$200, D136, 'Data entry'!$AO$6:$AO$200, "*Res*") + COUNTIFS('Data entry'!$B$6:$B$200,"*Contact*", 'Data entry'!$O$6:$O$200,"&lt;&gt;M*", 'Data entry'!$BE$6:$BE$200, D136, 'Data entry'!$AO$6:$AO$200, "*Stu*") + COUNTIFS('Data entry'!$B$6:$B$200,"*Contact*", 'Data entry'!$O$6:$O$200,"&lt;&gt;M*", 'Data entry'!$BE$6:$BE$200, D136, 'Data entry'!$AO$6:$AO$200, "*Pat*")+ COUNTIFS('Data entry'!$B$6:$B$200,"*Contact*", 'Data entry'!$O$6:$O$200,"&lt;&gt;M*", 'Data entry'!$BE$6:$BE$200, D136, 'Data entry'!$AO$6:$AO$200, "*Vis*")+ COUNTIFS('Data entry'!$B$6:$B$200,"*Contact*", 'Data entry'!$O$6:$O$200,"&lt;&gt;M*", 'Data entry'!$BE$6:$BE$200, D136, 'Data entry'!$AO$6:$AO$200, "*Oth*")+COUNTIFS('Data entry'!$B$6:$B$200,"*Confir*", 'Data entry'!$O$6:$O$200,"&lt;&gt;M*", 'Data entry'!$BE$6:$BE$200, D136, 'Data entry'!$AO$6:$AO$200, "*Att*")</f>
        <v>0</v>
      </c>
    </row>
    <row r="137" spans="1:8" ht="16.5" customHeight="1" x14ac:dyDescent="0.25">
      <c r="A137" s="450"/>
      <c r="B137" s="479"/>
      <c r="C137" s="42" t="s">
        <v>260</v>
      </c>
      <c r="D137" s="42" t="str">
        <f t="shared" si="1"/>
        <v>Lineage B.1.617.3</v>
      </c>
      <c r="E137" s="34">
        <f>COUNTIFS('Data entry'!$B$6:$B$200,"*Confir*", 'Data entry'!$O$6:$O$200,"&lt;&gt;M*", 'Data entry'!$BE$6:$BE$200, D137, 'Data entry'!$AO$6:$AO$200, "*Sta*") + COUNTIFS('Data entry'!$B$6:$B$200,"*Confir*",'Data entry'!$O$6:$O$200,"&lt;&gt;M*", 'Data entry'!$BE$6:$BE$200, D137, 'Data entry'!$AO$6:$AO$200, "*Vol*")</f>
        <v>0</v>
      </c>
      <c r="F137" s="34">
        <f>COUNTIFS('Data entry'!$B$6:$B$200,"*Confir*", 'Data entry'!$O$6:$O$200,"&lt;&gt;M*", 'Data entry'!$BE$6:$BE$200, D137, 'Data entry'!$AO$6:$AO$200, "*Res*") + COUNTIFS('Data entry'!$B$6:$B$200,"*Confir*", 'Data entry'!$O$6:$O$200,"&lt;&gt;M*", 'Data entry'!$BE$6:$BE$200, D137, 'Data entry'!$AO$6:$AO$200, "*Stu*") + COUNTIFS('Data entry'!$B$6:$B$200,"*Confir*", 'Data entry'!$O$6:$O$200,"&lt;&gt;M*", 'Data entry'!$BE$6:$BE$200, D137, 'Data entry'!$AO$6:$AO$200, "*Pat*")+ COUNTIFS('Data entry'!$B$6:$B$200,"*Confir*", 'Data entry'!$O$6:$O$200,"&lt;&gt;M*", 'Data entry'!$BE$6:$BE$200, D137, 'Data entry'!$AO$6:$AO$200, "*Vis*")+ COUNTIFS('Data entry'!$B$6:$B$200,"*Confir*", 'Data entry'!$O$6:$O$200,"&lt;&gt;M*", 'Data entry'!$BE$6:$BE$200, D137, 'Data entry'!$AO$6:$AO$200, "*Oth*")+COUNTIFS('Data entry'!$B$6:$B$200,"*Confir*", 'Data entry'!$O$6:$O$200,"&lt;&gt;M*", 'Data entry'!$BE$6:$BE$200, D137, 'Data entry'!$AO$6:$AO$200, "*Att*")</f>
        <v>0</v>
      </c>
      <c r="G137" s="34">
        <f>COUNTIFS('Data entry'!$B$6:$B$200,"*Contact*",'Data entry'!$O$6:$O$200,"&lt;&gt;M*", 'Data entry'!$BE$6:$BE$200, D137, 'Data entry'!$AO$6:$AO$200, "*Sta*") + COUNTIFS('Data entry'!$B$6:$B$200,"*Contact*", 'Data entry'!$O$6:$O$200,"&lt;&gt;M*", 'Data entry'!$BE$6:$BE$200, D137, 'Data entry'!$AO$6:$AO$200, "*Vol*")</f>
        <v>0</v>
      </c>
      <c r="H137" s="34">
        <f>COUNTIFS('Data entry'!$B$6:$B$200,"*Contact*", 'Data entry'!$O$6:$O$200,"&lt;&gt;M*", 'Data entry'!$BE$6:$BE$200, D137, 'Data entry'!$AO$6:$AO$200, "*Res*") + COUNTIFS('Data entry'!$B$6:$B$200,"*Contact*", 'Data entry'!$O$6:$O$200,"&lt;&gt;M*", 'Data entry'!$BE$6:$BE$200, D137, 'Data entry'!$AO$6:$AO$200, "*Stu*") + COUNTIFS('Data entry'!$B$6:$B$200,"*Contact*", 'Data entry'!$O$6:$O$200,"&lt;&gt;M*", 'Data entry'!$BE$6:$BE$200, D137, 'Data entry'!$AO$6:$AO$200, "*Pat*")+ COUNTIFS('Data entry'!$B$6:$B$200,"*Contact*", 'Data entry'!$O$6:$O$200,"&lt;&gt;M*", 'Data entry'!$BE$6:$BE$200, D137, 'Data entry'!$AO$6:$AO$200, "*Vis*")+ COUNTIFS('Data entry'!$B$6:$B$200,"*Contact*", 'Data entry'!$O$6:$O$200,"&lt;&gt;M*", 'Data entry'!$BE$6:$BE$200, D137, 'Data entry'!$AO$6:$AO$200, "*Oth*")+COUNTIFS('Data entry'!$B$6:$B$200,"*Confir*", 'Data entry'!$O$6:$O$200,"&lt;&gt;M*", 'Data entry'!$BE$6:$BE$200, D137, 'Data entry'!$AO$6:$AO$200, "*Att*")</f>
        <v>0</v>
      </c>
    </row>
    <row r="138" spans="1:8" ht="16.5" customHeight="1" x14ac:dyDescent="0.25">
      <c r="A138" s="450"/>
      <c r="B138" s="479"/>
      <c r="C138" s="42" t="s">
        <v>260</v>
      </c>
      <c r="D138" s="42" t="str">
        <f t="shared" si="1"/>
        <v>Lineage B.1.621</v>
      </c>
      <c r="E138" s="34">
        <f>COUNTIFS('Data entry'!$B$6:$B$200,"*Confir*", 'Data entry'!$O$6:$O$200,"&lt;&gt;M*", 'Data entry'!$BE$6:$BE$200, D138, 'Data entry'!$AO$6:$AO$200, "*Sta*") + COUNTIFS('Data entry'!$B$6:$B$200,"*Confir*",'Data entry'!$O$6:$O$200,"&lt;&gt;M*", 'Data entry'!$BE$6:$BE$200, D138, 'Data entry'!$AO$6:$AO$200, "*Vol*")</f>
        <v>0</v>
      </c>
      <c r="F138" s="34">
        <f>COUNTIFS('Data entry'!$B$6:$B$200,"*Confir*", 'Data entry'!$O$6:$O$200,"&lt;&gt;M*", 'Data entry'!$BE$6:$BE$200, D138, 'Data entry'!$AO$6:$AO$200, "*Res*") + COUNTIFS('Data entry'!$B$6:$B$200,"*Confir*", 'Data entry'!$O$6:$O$200,"&lt;&gt;M*", 'Data entry'!$BE$6:$BE$200, D138, 'Data entry'!$AO$6:$AO$200, "*Stu*") + COUNTIFS('Data entry'!$B$6:$B$200,"*Confir*", 'Data entry'!$O$6:$O$200,"&lt;&gt;M*", 'Data entry'!$BE$6:$BE$200, D138, 'Data entry'!$AO$6:$AO$200, "*Pat*")+ COUNTIFS('Data entry'!$B$6:$B$200,"*Confir*", 'Data entry'!$O$6:$O$200,"&lt;&gt;M*", 'Data entry'!$BE$6:$BE$200, D138, 'Data entry'!$AO$6:$AO$200, "*Vis*")+ COUNTIFS('Data entry'!$B$6:$B$200,"*Confir*", 'Data entry'!$O$6:$O$200,"&lt;&gt;M*", 'Data entry'!$BE$6:$BE$200, D138, 'Data entry'!$AO$6:$AO$200, "*Oth*")+COUNTIFS('Data entry'!$B$6:$B$200,"*Confir*", 'Data entry'!$O$6:$O$200,"&lt;&gt;M*", 'Data entry'!$BE$6:$BE$200, D138, 'Data entry'!$AO$6:$AO$200, "*Att*")</f>
        <v>0</v>
      </c>
      <c r="G138" s="34">
        <f>COUNTIFS('Data entry'!$B$6:$B$200,"*Contact*",'Data entry'!$O$6:$O$200,"&lt;&gt;M*", 'Data entry'!$BE$6:$BE$200, D138, 'Data entry'!$AO$6:$AO$200, "*Sta*") + COUNTIFS('Data entry'!$B$6:$B$200,"*Contact*", 'Data entry'!$O$6:$O$200,"&lt;&gt;M*", 'Data entry'!$BE$6:$BE$200, D138, 'Data entry'!$AO$6:$AO$200, "*Vol*")</f>
        <v>0</v>
      </c>
      <c r="H138" s="34">
        <f>COUNTIFS('Data entry'!$B$6:$B$200,"*Contact*", 'Data entry'!$O$6:$O$200,"&lt;&gt;M*", 'Data entry'!$BE$6:$BE$200, D138, 'Data entry'!$AO$6:$AO$200, "*Res*") + COUNTIFS('Data entry'!$B$6:$B$200,"*Contact*", 'Data entry'!$O$6:$O$200,"&lt;&gt;M*", 'Data entry'!$BE$6:$BE$200, D138, 'Data entry'!$AO$6:$AO$200, "*Stu*") + COUNTIFS('Data entry'!$B$6:$B$200,"*Contact*", 'Data entry'!$O$6:$O$200,"&lt;&gt;M*", 'Data entry'!$BE$6:$BE$200, D138, 'Data entry'!$AO$6:$AO$200, "*Pat*")+ COUNTIFS('Data entry'!$B$6:$B$200,"*Contact*", 'Data entry'!$O$6:$O$200,"&lt;&gt;M*", 'Data entry'!$BE$6:$BE$200, D138, 'Data entry'!$AO$6:$AO$200, "*Vis*")+ COUNTIFS('Data entry'!$B$6:$B$200,"*Contact*", 'Data entry'!$O$6:$O$200,"&lt;&gt;M*", 'Data entry'!$BE$6:$BE$200, D138, 'Data entry'!$AO$6:$AO$200, "*Oth*")+COUNTIFS('Data entry'!$B$6:$B$200,"*Confir*", 'Data entry'!$O$6:$O$200,"&lt;&gt;M*", 'Data entry'!$BE$6:$BE$200, D138, 'Data entry'!$AO$6:$AO$200, "*Att*")</f>
        <v>0</v>
      </c>
    </row>
    <row r="139" spans="1:8" ht="16.5" customHeight="1" x14ac:dyDescent="0.25">
      <c r="A139" s="450"/>
      <c r="B139" s="479"/>
      <c r="C139" s="42" t="s">
        <v>260</v>
      </c>
      <c r="D139" s="42" t="str">
        <f t="shared" si="1"/>
        <v>Lineage AY.3</v>
      </c>
      <c r="E139" s="34">
        <f>COUNTIFS('Data entry'!$B$6:$B$200,"*Confir*", 'Data entry'!$O$6:$O$200,"&lt;&gt;M*", 'Data entry'!$BE$6:$BE$200, D139, 'Data entry'!$AO$6:$AO$200, "*Sta*") + COUNTIFS('Data entry'!$B$6:$B$200,"*Confir*",'Data entry'!$O$6:$O$200,"&lt;&gt;M*", 'Data entry'!$BE$6:$BE$200, D139, 'Data entry'!$AO$6:$AO$200, "*Vol*")</f>
        <v>0</v>
      </c>
      <c r="F139" s="34">
        <f>COUNTIFS('Data entry'!$B$6:$B$200,"*Confir*", 'Data entry'!$O$6:$O$200,"&lt;&gt;M*", 'Data entry'!$BE$6:$BE$200, D139, 'Data entry'!$AO$6:$AO$200, "*Res*") + COUNTIFS('Data entry'!$B$6:$B$200,"*Confir*", 'Data entry'!$O$6:$O$200,"&lt;&gt;M*", 'Data entry'!$BE$6:$BE$200, D139, 'Data entry'!$AO$6:$AO$200, "*Stu*") + COUNTIFS('Data entry'!$B$6:$B$200,"*Confir*", 'Data entry'!$O$6:$O$200,"&lt;&gt;M*", 'Data entry'!$BE$6:$BE$200, D139, 'Data entry'!$AO$6:$AO$200, "*Pat*")+ COUNTIFS('Data entry'!$B$6:$B$200,"*Confir*", 'Data entry'!$O$6:$O$200,"&lt;&gt;M*", 'Data entry'!$BE$6:$BE$200, D139, 'Data entry'!$AO$6:$AO$200, "*Vis*")+ COUNTIFS('Data entry'!$B$6:$B$200,"*Confir*", 'Data entry'!$O$6:$O$200,"&lt;&gt;M*", 'Data entry'!$BE$6:$BE$200, D139, 'Data entry'!$AO$6:$AO$200, "*Oth*")+COUNTIFS('Data entry'!$B$6:$B$200,"*Confir*", 'Data entry'!$O$6:$O$200,"&lt;&gt;M*", 'Data entry'!$BE$6:$BE$200, D139, 'Data entry'!$AO$6:$AO$200, "*Att*")</f>
        <v>0</v>
      </c>
      <c r="G139" s="34">
        <f>COUNTIFS('Data entry'!$B$6:$B$200,"*Contact*",'Data entry'!$O$6:$O$200,"&lt;&gt;M*", 'Data entry'!$BE$6:$BE$200, D139, 'Data entry'!$AO$6:$AO$200, "*Sta*") + COUNTIFS('Data entry'!$B$6:$B$200,"*Contact*", 'Data entry'!$O$6:$O$200,"&lt;&gt;M*", 'Data entry'!$BE$6:$BE$200, D139, 'Data entry'!$AO$6:$AO$200, "*Vol*")</f>
        <v>0</v>
      </c>
      <c r="H139" s="34">
        <f>COUNTIFS('Data entry'!$B$6:$B$200,"*Contact*", 'Data entry'!$O$6:$O$200,"&lt;&gt;M*", 'Data entry'!$BE$6:$BE$200, D139, 'Data entry'!$AO$6:$AO$200, "*Res*") + COUNTIFS('Data entry'!$B$6:$B$200,"*Contact*", 'Data entry'!$O$6:$O$200,"&lt;&gt;M*", 'Data entry'!$BE$6:$BE$200, D139, 'Data entry'!$AO$6:$AO$200, "*Stu*") + COUNTIFS('Data entry'!$B$6:$B$200,"*Contact*", 'Data entry'!$O$6:$O$200,"&lt;&gt;M*", 'Data entry'!$BE$6:$BE$200, D139, 'Data entry'!$AO$6:$AO$200, "*Pat*")+ COUNTIFS('Data entry'!$B$6:$B$200,"*Contact*", 'Data entry'!$O$6:$O$200,"&lt;&gt;M*", 'Data entry'!$BE$6:$BE$200, D139, 'Data entry'!$AO$6:$AO$200, "*Vis*")+ COUNTIFS('Data entry'!$B$6:$B$200,"*Contact*", 'Data entry'!$O$6:$O$200,"&lt;&gt;M*", 'Data entry'!$BE$6:$BE$200, D139, 'Data entry'!$AO$6:$AO$200, "*Oth*")+COUNTIFS('Data entry'!$B$6:$B$200,"*Confir*", 'Data entry'!$O$6:$O$200,"&lt;&gt;M*", 'Data entry'!$BE$6:$BE$200, D139, 'Data entry'!$AO$6:$AO$200, "*Att*")</f>
        <v>0</v>
      </c>
    </row>
    <row r="140" spans="1:8" ht="16.5" customHeight="1" x14ac:dyDescent="0.25">
      <c r="A140" s="450"/>
      <c r="B140" s="479"/>
      <c r="C140" s="42" t="s">
        <v>260</v>
      </c>
      <c r="D140" s="42" t="str">
        <f t="shared" si="1"/>
        <v>COVID-19 Other variant</v>
      </c>
      <c r="E140" s="34">
        <f>COUNTIFS('Data entry'!$B$6:$B$200,"*Confir*", 'Data entry'!$O$6:$O$200,"&lt;&gt;M*", 'Data entry'!$BE$6:$BE$200, D140, 'Data entry'!$AO$6:$AO$200, "*Sta*") + COUNTIFS('Data entry'!$B$6:$B$200,"*Confir*",'Data entry'!$O$6:$O$200,"&lt;&gt;M*", 'Data entry'!$BE$6:$BE$200, D140, 'Data entry'!$AO$6:$AO$200, "*Vol*")</f>
        <v>0</v>
      </c>
      <c r="F140" s="34">
        <f>COUNTIFS('Data entry'!$B$6:$B$200,"*Confir*", 'Data entry'!$O$6:$O$200,"&lt;&gt;M*", 'Data entry'!$BE$6:$BE$200, D140, 'Data entry'!$AO$6:$AO$200, "*Res*") + COUNTIFS('Data entry'!$B$6:$B$200,"*Confir*", 'Data entry'!$O$6:$O$200,"&lt;&gt;M*", 'Data entry'!$BE$6:$BE$200, D140, 'Data entry'!$AO$6:$AO$200, "*Stu*") + COUNTIFS('Data entry'!$B$6:$B$200,"*Confir*", 'Data entry'!$O$6:$O$200,"&lt;&gt;M*", 'Data entry'!$BE$6:$BE$200, D140, 'Data entry'!$AO$6:$AO$200, "*Pat*")+ COUNTIFS('Data entry'!$B$6:$B$200,"*Confir*", 'Data entry'!$O$6:$O$200,"&lt;&gt;M*", 'Data entry'!$BE$6:$BE$200, D140, 'Data entry'!$AO$6:$AO$200, "*Vis*")+ COUNTIFS('Data entry'!$B$6:$B$200,"*Confir*", 'Data entry'!$O$6:$O$200,"&lt;&gt;M*", 'Data entry'!$BE$6:$BE$200, D140, 'Data entry'!$AO$6:$AO$200, "*Oth*")+COUNTIFS('Data entry'!$B$6:$B$200,"*Confir*", 'Data entry'!$O$6:$O$200,"&lt;&gt;M*", 'Data entry'!$BE$6:$BE$200, D140, 'Data entry'!$AO$6:$AO$200, "*Att*")</f>
        <v>0</v>
      </c>
      <c r="G140" s="34">
        <f>COUNTIFS('Data entry'!$B$6:$B$200,"*Contact*",'Data entry'!$O$6:$O$200,"&lt;&gt;M*", 'Data entry'!$BE$6:$BE$200, D140, 'Data entry'!$AO$6:$AO$200, "*Sta*") + COUNTIFS('Data entry'!$B$6:$B$200,"*Contact*", 'Data entry'!$O$6:$O$200,"&lt;&gt;M*", 'Data entry'!$BE$6:$BE$200, D140, 'Data entry'!$AO$6:$AO$200, "*Vol*")</f>
        <v>0</v>
      </c>
      <c r="H140" s="34">
        <f>COUNTIFS('Data entry'!$B$6:$B$200,"*Contact*", 'Data entry'!$O$6:$O$200,"&lt;&gt;M*", 'Data entry'!$BE$6:$BE$200, D140, 'Data entry'!$AO$6:$AO$200, "*Res*") + COUNTIFS('Data entry'!$B$6:$B$200,"*Contact*", 'Data entry'!$O$6:$O$200,"&lt;&gt;M*", 'Data entry'!$BE$6:$BE$200, D140, 'Data entry'!$AO$6:$AO$200, "*Stu*") + COUNTIFS('Data entry'!$B$6:$B$200,"*Contact*", 'Data entry'!$O$6:$O$200,"&lt;&gt;M*", 'Data entry'!$BE$6:$BE$200, D140, 'Data entry'!$AO$6:$AO$200, "*Pat*")+ COUNTIFS('Data entry'!$B$6:$B$200,"*Contact*", 'Data entry'!$O$6:$O$200,"&lt;&gt;M*", 'Data entry'!$BE$6:$BE$200, D140, 'Data entry'!$AO$6:$AO$200, "*Vis*")+ COUNTIFS('Data entry'!$B$6:$B$200,"*Contact*", 'Data entry'!$O$6:$O$200,"&lt;&gt;M*", 'Data entry'!$BE$6:$BE$200, D140, 'Data entry'!$AO$6:$AO$200, "*Oth*")+COUNTIFS('Data entry'!$B$6:$B$200,"*Confir*", 'Data entry'!$O$6:$O$200,"&lt;&gt;M*", 'Data entry'!$BE$6:$BE$200, D140, 'Data entry'!$AO$6:$AO$200, "*Att*")</f>
        <v>0</v>
      </c>
    </row>
    <row r="141" spans="1:8" ht="16.5" customHeight="1" x14ac:dyDescent="0.25">
      <c r="A141" s="450"/>
      <c r="B141" s="479"/>
      <c r="C141" s="42" t="s">
        <v>260</v>
      </c>
      <c r="D141" s="42" t="str">
        <f t="shared" si="1"/>
        <v>Mutation N501Y+; Mutation E484K-</v>
      </c>
      <c r="E141" s="34">
        <f>COUNTIFS('Data entry'!$B$6:$B$200,"*Confir*", 'Data entry'!$O$6:$O$200,"&lt;&gt;M*", 'Data entry'!$BE$6:$BE$200, D141, 'Data entry'!$AO$6:$AO$200, "*Sta*") + COUNTIFS('Data entry'!$B$6:$B$200,"*Confir*",'Data entry'!$O$6:$O$200,"&lt;&gt;M*", 'Data entry'!$BE$6:$BE$200, D141, 'Data entry'!$AO$6:$AO$200, "*Vol*")</f>
        <v>0</v>
      </c>
      <c r="F141" s="34">
        <f>COUNTIFS('Data entry'!$B$6:$B$200,"*Confir*", 'Data entry'!$O$6:$O$200,"&lt;&gt;M*", 'Data entry'!$BE$6:$BE$200, D141, 'Data entry'!$AO$6:$AO$200, "*Res*") + COUNTIFS('Data entry'!$B$6:$B$200,"*Confir*", 'Data entry'!$O$6:$O$200,"&lt;&gt;M*", 'Data entry'!$BE$6:$BE$200, D141, 'Data entry'!$AO$6:$AO$200, "*Stu*") + COUNTIFS('Data entry'!$B$6:$B$200,"*Confir*", 'Data entry'!$O$6:$O$200,"&lt;&gt;M*", 'Data entry'!$BE$6:$BE$200, D141, 'Data entry'!$AO$6:$AO$200, "*Pat*")+ COUNTIFS('Data entry'!$B$6:$B$200,"*Confir*", 'Data entry'!$O$6:$O$200,"&lt;&gt;M*", 'Data entry'!$BE$6:$BE$200, D141, 'Data entry'!$AO$6:$AO$200, "*Vis*")+ COUNTIFS('Data entry'!$B$6:$B$200,"*Confir*", 'Data entry'!$O$6:$O$200,"&lt;&gt;M*", 'Data entry'!$BE$6:$BE$200, D141, 'Data entry'!$AO$6:$AO$200, "*Oth*")+COUNTIFS('Data entry'!$B$6:$B$200,"*Confir*", 'Data entry'!$O$6:$O$200,"&lt;&gt;M*", 'Data entry'!$BE$6:$BE$200, D141, 'Data entry'!$AO$6:$AO$200, "*Att*")</f>
        <v>0</v>
      </c>
      <c r="G141" s="34">
        <f>COUNTIFS('Data entry'!$B$6:$B$200,"*Contact*",'Data entry'!$O$6:$O$200,"&lt;&gt;M*", 'Data entry'!$BE$6:$BE$200, D141, 'Data entry'!$AO$6:$AO$200, "*Sta*") + COUNTIFS('Data entry'!$B$6:$B$200,"*Contact*", 'Data entry'!$O$6:$O$200,"&lt;&gt;M*", 'Data entry'!$BE$6:$BE$200, D141, 'Data entry'!$AO$6:$AO$200, "*Vol*")</f>
        <v>0</v>
      </c>
      <c r="H141" s="34">
        <f>COUNTIFS('Data entry'!$B$6:$B$200,"*Contact*", 'Data entry'!$O$6:$O$200,"&lt;&gt;M*", 'Data entry'!$BE$6:$BE$200, D141, 'Data entry'!$AO$6:$AO$200, "*Res*") + COUNTIFS('Data entry'!$B$6:$B$200,"*Contact*", 'Data entry'!$O$6:$O$200,"&lt;&gt;M*", 'Data entry'!$BE$6:$BE$200, D141, 'Data entry'!$AO$6:$AO$200, "*Stu*") + COUNTIFS('Data entry'!$B$6:$B$200,"*Contact*", 'Data entry'!$O$6:$O$200,"&lt;&gt;M*", 'Data entry'!$BE$6:$BE$200, D141, 'Data entry'!$AO$6:$AO$200, "*Pat*")+ COUNTIFS('Data entry'!$B$6:$B$200,"*Contact*", 'Data entry'!$O$6:$O$200,"&lt;&gt;M*", 'Data entry'!$BE$6:$BE$200, D141, 'Data entry'!$AO$6:$AO$200, "*Vis*")+ COUNTIFS('Data entry'!$B$6:$B$200,"*Contact*", 'Data entry'!$O$6:$O$200,"&lt;&gt;M*", 'Data entry'!$BE$6:$BE$200, D141, 'Data entry'!$AO$6:$AO$200, "*Oth*")+COUNTIFS('Data entry'!$B$6:$B$200,"*Confir*", 'Data entry'!$O$6:$O$200,"&lt;&gt;M*", 'Data entry'!$BE$6:$BE$200, D141, 'Data entry'!$AO$6:$AO$200, "*Att*")</f>
        <v>0</v>
      </c>
    </row>
    <row r="142" spans="1:8" ht="16.5" customHeight="1" x14ac:dyDescent="0.25">
      <c r="A142" s="450"/>
      <c r="B142" s="479"/>
      <c r="C142" s="42" t="s">
        <v>260</v>
      </c>
      <c r="D142" s="42" t="str">
        <f t="shared" si="1"/>
        <v>Mutation N501Y+; Mutation E484K+; Mutation K417N+</v>
      </c>
      <c r="E142" s="34">
        <f>COUNTIFS('Data entry'!$B$6:$B$200,"*Confir*", 'Data entry'!$O$6:$O$200,"&lt;&gt;M*", 'Data entry'!$BE$6:$BE$200, D142, 'Data entry'!$AO$6:$AO$200, "*Sta*") + COUNTIFS('Data entry'!$B$6:$B$200,"*Confir*",'Data entry'!$O$6:$O$200,"&lt;&gt;M*", 'Data entry'!$BE$6:$BE$200, D142, 'Data entry'!$AO$6:$AO$200, "*Vol*")</f>
        <v>0</v>
      </c>
      <c r="F142" s="34">
        <f>COUNTIFS('Data entry'!$B$6:$B$200,"*Confir*", 'Data entry'!$O$6:$O$200,"&lt;&gt;M*", 'Data entry'!$BE$6:$BE$200, D142, 'Data entry'!$AO$6:$AO$200, "*Res*") + COUNTIFS('Data entry'!$B$6:$B$200,"*Confir*", 'Data entry'!$O$6:$O$200,"&lt;&gt;M*", 'Data entry'!$BE$6:$BE$200, D142, 'Data entry'!$AO$6:$AO$200, "*Stu*") + COUNTIFS('Data entry'!$B$6:$B$200,"*Confir*", 'Data entry'!$O$6:$O$200,"&lt;&gt;M*", 'Data entry'!$BE$6:$BE$200, D142, 'Data entry'!$AO$6:$AO$200, "*Pat*")+ COUNTIFS('Data entry'!$B$6:$B$200,"*Confir*", 'Data entry'!$O$6:$O$200,"&lt;&gt;M*", 'Data entry'!$BE$6:$BE$200, D142, 'Data entry'!$AO$6:$AO$200, "*Vis*")+ COUNTIFS('Data entry'!$B$6:$B$200,"*Confir*", 'Data entry'!$O$6:$O$200,"&lt;&gt;M*", 'Data entry'!$BE$6:$BE$200, D142, 'Data entry'!$AO$6:$AO$200, "*Oth*")+COUNTIFS('Data entry'!$B$6:$B$200,"*Confir*", 'Data entry'!$O$6:$O$200,"&lt;&gt;M*", 'Data entry'!$BE$6:$BE$200, D142, 'Data entry'!$AO$6:$AO$200, "*Att*")</f>
        <v>0</v>
      </c>
      <c r="G142" s="34">
        <f>COUNTIFS('Data entry'!$B$6:$B$200,"*Contact*",'Data entry'!$O$6:$O$200,"&lt;&gt;M*", 'Data entry'!$BE$6:$BE$200, D142, 'Data entry'!$AO$6:$AO$200, "*Sta*") + COUNTIFS('Data entry'!$B$6:$B$200,"*Contact*", 'Data entry'!$O$6:$O$200,"&lt;&gt;M*", 'Data entry'!$BE$6:$BE$200, D142, 'Data entry'!$AO$6:$AO$200, "*Vol*")</f>
        <v>0</v>
      </c>
      <c r="H142" s="34">
        <f>COUNTIFS('Data entry'!$B$6:$B$200,"*Contact*", 'Data entry'!$O$6:$O$200,"&lt;&gt;M*", 'Data entry'!$BE$6:$BE$200, D142, 'Data entry'!$AO$6:$AO$200, "*Res*") + COUNTIFS('Data entry'!$B$6:$B$200,"*Contact*", 'Data entry'!$O$6:$O$200,"&lt;&gt;M*", 'Data entry'!$BE$6:$BE$200, D142, 'Data entry'!$AO$6:$AO$200, "*Stu*") + COUNTIFS('Data entry'!$B$6:$B$200,"*Contact*", 'Data entry'!$O$6:$O$200,"&lt;&gt;M*", 'Data entry'!$BE$6:$BE$200, D142, 'Data entry'!$AO$6:$AO$200, "*Pat*")+ COUNTIFS('Data entry'!$B$6:$B$200,"*Contact*", 'Data entry'!$O$6:$O$200,"&lt;&gt;M*", 'Data entry'!$BE$6:$BE$200, D142, 'Data entry'!$AO$6:$AO$200, "*Vis*")+ COUNTIFS('Data entry'!$B$6:$B$200,"*Contact*", 'Data entry'!$O$6:$O$200,"&lt;&gt;M*", 'Data entry'!$BE$6:$BE$200, D142, 'Data entry'!$AO$6:$AO$200, "*Oth*")+COUNTIFS('Data entry'!$B$6:$B$200,"*Confir*", 'Data entry'!$O$6:$O$200,"&lt;&gt;M*", 'Data entry'!$BE$6:$BE$200, D142, 'Data entry'!$AO$6:$AO$200, "*Att*")</f>
        <v>0</v>
      </c>
    </row>
    <row r="143" spans="1:8" ht="16.5" customHeight="1" x14ac:dyDescent="0.25">
      <c r="A143" s="450"/>
      <c r="B143" s="479"/>
      <c r="C143" s="42" t="s">
        <v>260</v>
      </c>
      <c r="D143" s="42" t="str">
        <f t="shared" si="1"/>
        <v>Mutation N501Y+; Mutation E484K+; Mutation K417T+</v>
      </c>
      <c r="E143" s="34">
        <f>COUNTIFS('Data entry'!$B$6:$B$200,"*Confir*", 'Data entry'!$O$6:$O$200,"&lt;&gt;M*", 'Data entry'!$BE$6:$BE$200, D143, 'Data entry'!$AO$6:$AO$200, "*Sta*") + COUNTIFS('Data entry'!$B$6:$B$200,"*Confir*",'Data entry'!$O$6:$O$200,"&lt;&gt;M*", 'Data entry'!$BE$6:$BE$200, D143, 'Data entry'!$AO$6:$AO$200, "*Vol*")</f>
        <v>0</v>
      </c>
      <c r="F143" s="34">
        <f>COUNTIFS('Data entry'!$B$6:$B$200,"*Confir*", 'Data entry'!$O$6:$O$200,"&lt;&gt;M*", 'Data entry'!$BE$6:$BE$200, D143, 'Data entry'!$AO$6:$AO$200, "*Res*") + COUNTIFS('Data entry'!$B$6:$B$200,"*Confir*", 'Data entry'!$O$6:$O$200,"&lt;&gt;M*", 'Data entry'!$BE$6:$BE$200, D143, 'Data entry'!$AO$6:$AO$200, "*Stu*") + COUNTIFS('Data entry'!$B$6:$B$200,"*Confir*", 'Data entry'!$O$6:$O$200,"&lt;&gt;M*", 'Data entry'!$BE$6:$BE$200, D143, 'Data entry'!$AO$6:$AO$200, "*Pat*")+ COUNTIFS('Data entry'!$B$6:$B$200,"*Confir*", 'Data entry'!$O$6:$O$200,"&lt;&gt;M*", 'Data entry'!$BE$6:$BE$200, D143, 'Data entry'!$AO$6:$AO$200, "*Vis*")+ COUNTIFS('Data entry'!$B$6:$B$200,"*Confir*", 'Data entry'!$O$6:$O$200,"&lt;&gt;M*", 'Data entry'!$BE$6:$BE$200, D143, 'Data entry'!$AO$6:$AO$200, "*Oth*")+COUNTIFS('Data entry'!$B$6:$B$200,"*Confir*", 'Data entry'!$O$6:$O$200,"&lt;&gt;M*", 'Data entry'!$BE$6:$BE$200, D143, 'Data entry'!$AO$6:$AO$200, "*Att*")</f>
        <v>0</v>
      </c>
      <c r="G143" s="34">
        <f>COUNTIFS('Data entry'!$B$6:$B$200,"*Contact*",'Data entry'!$O$6:$O$200,"&lt;&gt;M*", 'Data entry'!$BE$6:$BE$200, D143, 'Data entry'!$AO$6:$AO$200, "*Sta*") + COUNTIFS('Data entry'!$B$6:$B$200,"*Contact*", 'Data entry'!$O$6:$O$200,"&lt;&gt;M*", 'Data entry'!$BE$6:$BE$200, D143, 'Data entry'!$AO$6:$AO$200, "*Vol*")</f>
        <v>0</v>
      </c>
      <c r="H143" s="34">
        <f>COUNTIFS('Data entry'!$B$6:$B$200,"*Contact*", 'Data entry'!$O$6:$O$200,"&lt;&gt;M*", 'Data entry'!$BE$6:$BE$200, D143, 'Data entry'!$AO$6:$AO$200, "*Res*") + COUNTIFS('Data entry'!$B$6:$B$200,"*Contact*", 'Data entry'!$O$6:$O$200,"&lt;&gt;M*", 'Data entry'!$BE$6:$BE$200, D143, 'Data entry'!$AO$6:$AO$200, "*Stu*") + COUNTIFS('Data entry'!$B$6:$B$200,"*Contact*", 'Data entry'!$O$6:$O$200,"&lt;&gt;M*", 'Data entry'!$BE$6:$BE$200, D143, 'Data entry'!$AO$6:$AO$200, "*Pat*")+ COUNTIFS('Data entry'!$B$6:$B$200,"*Contact*", 'Data entry'!$O$6:$O$200,"&lt;&gt;M*", 'Data entry'!$BE$6:$BE$200, D143, 'Data entry'!$AO$6:$AO$200, "*Vis*")+ COUNTIFS('Data entry'!$B$6:$B$200,"*Contact*", 'Data entry'!$O$6:$O$200,"&lt;&gt;M*", 'Data entry'!$BE$6:$BE$200, D143, 'Data entry'!$AO$6:$AO$200, "*Oth*")+COUNTIFS('Data entry'!$B$6:$B$200,"*Confir*", 'Data entry'!$O$6:$O$200,"&lt;&gt;M*", 'Data entry'!$BE$6:$BE$200, D143, 'Data entry'!$AO$6:$AO$200, "*Att*")</f>
        <v>0</v>
      </c>
    </row>
    <row r="144" spans="1:8" ht="16.5" customHeight="1" x14ac:dyDescent="0.25">
      <c r="A144" s="450"/>
      <c r="B144" s="479"/>
      <c r="C144" s="42" t="s">
        <v>260</v>
      </c>
      <c r="D144" s="42" t="str">
        <f t="shared" si="1"/>
        <v>Mutation N501Y+; Mutation E484K+; Mutation K417N/T-</v>
      </c>
      <c r="E144" s="34">
        <f>COUNTIFS('Data entry'!$B$6:$B$200,"*Confir*", 'Data entry'!$O$6:$O$200,"&lt;&gt;M*", 'Data entry'!$BE$6:$BE$200, D144, 'Data entry'!$AO$6:$AO$200, "*Sta*") + COUNTIFS('Data entry'!$B$6:$B$200,"*Confir*",'Data entry'!$O$6:$O$200,"&lt;&gt;M*", 'Data entry'!$BE$6:$BE$200, D144, 'Data entry'!$AO$6:$AO$200, "*Vol*")</f>
        <v>0</v>
      </c>
      <c r="F144" s="34">
        <f>COUNTIFS('Data entry'!$B$6:$B$200,"*Confir*", 'Data entry'!$O$6:$O$200,"&lt;&gt;M*", 'Data entry'!$BE$6:$BE$200, D144, 'Data entry'!$AO$6:$AO$200, "*Res*") + COUNTIFS('Data entry'!$B$6:$B$200,"*Confir*", 'Data entry'!$O$6:$O$200,"&lt;&gt;M*", 'Data entry'!$BE$6:$BE$200, D144, 'Data entry'!$AO$6:$AO$200, "*Stu*") + COUNTIFS('Data entry'!$B$6:$B$200,"*Confir*", 'Data entry'!$O$6:$O$200,"&lt;&gt;M*", 'Data entry'!$BE$6:$BE$200, D144, 'Data entry'!$AO$6:$AO$200, "*Pat*")+ COUNTIFS('Data entry'!$B$6:$B$200,"*Confir*", 'Data entry'!$O$6:$O$200,"&lt;&gt;M*", 'Data entry'!$BE$6:$BE$200, D144, 'Data entry'!$AO$6:$AO$200, "*Vis*")+ COUNTIFS('Data entry'!$B$6:$B$200,"*Confir*", 'Data entry'!$O$6:$O$200,"&lt;&gt;M*", 'Data entry'!$BE$6:$BE$200, D144, 'Data entry'!$AO$6:$AO$200, "*Oth*")+COUNTIFS('Data entry'!$B$6:$B$200,"*Confir*", 'Data entry'!$O$6:$O$200,"&lt;&gt;M*", 'Data entry'!$BE$6:$BE$200, D144, 'Data entry'!$AO$6:$AO$200, "*Att*")</f>
        <v>0</v>
      </c>
      <c r="G144" s="34">
        <f>COUNTIFS('Data entry'!$B$6:$B$200,"*Contact*",'Data entry'!$O$6:$O$200,"&lt;&gt;M*", 'Data entry'!$BE$6:$BE$200, D144, 'Data entry'!$AO$6:$AO$200, "*Sta*") + COUNTIFS('Data entry'!$B$6:$B$200,"*Contact*", 'Data entry'!$O$6:$O$200,"&lt;&gt;M*", 'Data entry'!$BE$6:$BE$200, D144, 'Data entry'!$AO$6:$AO$200, "*Vol*")</f>
        <v>0</v>
      </c>
      <c r="H144" s="34">
        <f>COUNTIFS('Data entry'!$B$6:$B$200,"*Contact*", 'Data entry'!$O$6:$O$200,"&lt;&gt;M*", 'Data entry'!$BE$6:$BE$200, D144, 'Data entry'!$AO$6:$AO$200, "*Res*") + COUNTIFS('Data entry'!$B$6:$B$200,"*Contact*", 'Data entry'!$O$6:$O$200,"&lt;&gt;M*", 'Data entry'!$BE$6:$BE$200, D144, 'Data entry'!$AO$6:$AO$200, "*Stu*") + COUNTIFS('Data entry'!$B$6:$B$200,"*Contact*", 'Data entry'!$O$6:$O$200,"&lt;&gt;M*", 'Data entry'!$BE$6:$BE$200, D144, 'Data entry'!$AO$6:$AO$200, "*Pat*")+ COUNTIFS('Data entry'!$B$6:$B$200,"*Contact*", 'Data entry'!$O$6:$O$200,"&lt;&gt;M*", 'Data entry'!$BE$6:$BE$200, D144, 'Data entry'!$AO$6:$AO$200, "*Vis*")+ COUNTIFS('Data entry'!$B$6:$B$200,"*Contact*", 'Data entry'!$O$6:$O$200,"&lt;&gt;M*", 'Data entry'!$BE$6:$BE$200, D144, 'Data entry'!$AO$6:$AO$200, "*Oth*")+COUNTIFS('Data entry'!$B$6:$B$200,"*Confir*", 'Data entry'!$O$6:$O$200,"&lt;&gt;M*", 'Data entry'!$BE$6:$BE$200, D144, 'Data entry'!$AO$6:$AO$200, "*Att*")</f>
        <v>0</v>
      </c>
    </row>
    <row r="145" spans="1:8" ht="16.5" customHeight="1" x14ac:dyDescent="0.25">
      <c r="A145" s="450"/>
      <c r="B145" s="479"/>
      <c r="C145" s="42" t="s">
        <v>260</v>
      </c>
      <c r="D145" s="42" t="str">
        <f t="shared" si="1"/>
        <v>Mutation E484K-; Mutation N501Y-; Mutation L452R+</v>
      </c>
      <c r="E145" s="34">
        <f>COUNTIFS('Data entry'!$B$6:$B$200,"*Confir*", 'Data entry'!$O$6:$O$200,"&lt;&gt;M*", 'Data entry'!$BE$6:$BE$200, D145, 'Data entry'!$AO$6:$AO$200, "*Sta*") + COUNTIFS('Data entry'!$B$6:$B$200,"*Confir*",'Data entry'!$O$6:$O$200,"&lt;&gt;M*", 'Data entry'!$BE$6:$BE$200, D145, 'Data entry'!$AO$6:$AO$200, "*Vol*")</f>
        <v>0</v>
      </c>
      <c r="F145" s="34">
        <f>COUNTIFS('Data entry'!$B$6:$B$200,"*Confir*", 'Data entry'!$O$6:$O$200,"&lt;&gt;M*", 'Data entry'!$BE$6:$BE$200, D145, 'Data entry'!$AO$6:$AO$200, "*Res*") + COUNTIFS('Data entry'!$B$6:$B$200,"*Confir*", 'Data entry'!$O$6:$O$200,"&lt;&gt;M*", 'Data entry'!$BE$6:$BE$200, D145, 'Data entry'!$AO$6:$AO$200, "*Stu*") + COUNTIFS('Data entry'!$B$6:$B$200,"*Confir*", 'Data entry'!$O$6:$O$200,"&lt;&gt;M*", 'Data entry'!$BE$6:$BE$200, D145, 'Data entry'!$AO$6:$AO$200, "*Pat*")+ COUNTIFS('Data entry'!$B$6:$B$200,"*Confir*", 'Data entry'!$O$6:$O$200,"&lt;&gt;M*", 'Data entry'!$BE$6:$BE$200, D145, 'Data entry'!$AO$6:$AO$200, "*Vis*")+ COUNTIFS('Data entry'!$B$6:$B$200,"*Confir*", 'Data entry'!$O$6:$O$200,"&lt;&gt;M*", 'Data entry'!$BE$6:$BE$200, D145, 'Data entry'!$AO$6:$AO$200, "*Oth*")+COUNTIFS('Data entry'!$B$6:$B$200,"*Confir*", 'Data entry'!$O$6:$O$200,"&lt;&gt;M*", 'Data entry'!$BE$6:$BE$200, D145, 'Data entry'!$AO$6:$AO$200, "*Att*")</f>
        <v>0</v>
      </c>
      <c r="G145" s="34">
        <f>COUNTIFS('Data entry'!$B$6:$B$200,"*Contact*",'Data entry'!$O$6:$O$200,"&lt;&gt;M*", 'Data entry'!$BE$6:$BE$200, D145, 'Data entry'!$AO$6:$AO$200, "*Sta*") + COUNTIFS('Data entry'!$B$6:$B$200,"*Contact*", 'Data entry'!$O$6:$O$200,"&lt;&gt;M*", 'Data entry'!$BE$6:$BE$200, D145, 'Data entry'!$AO$6:$AO$200, "*Vol*")</f>
        <v>0</v>
      </c>
      <c r="H145" s="34">
        <f>COUNTIFS('Data entry'!$B$6:$B$200,"*Contact*", 'Data entry'!$O$6:$O$200,"&lt;&gt;M*", 'Data entry'!$BE$6:$BE$200, D145, 'Data entry'!$AO$6:$AO$200, "*Res*") + COUNTIFS('Data entry'!$B$6:$B$200,"*Contact*", 'Data entry'!$O$6:$O$200,"&lt;&gt;M*", 'Data entry'!$BE$6:$BE$200, D145, 'Data entry'!$AO$6:$AO$200, "*Stu*") + COUNTIFS('Data entry'!$B$6:$B$200,"*Contact*", 'Data entry'!$O$6:$O$200,"&lt;&gt;M*", 'Data entry'!$BE$6:$BE$200, D145, 'Data entry'!$AO$6:$AO$200, "*Pat*")+ COUNTIFS('Data entry'!$B$6:$B$200,"*Contact*", 'Data entry'!$O$6:$O$200,"&lt;&gt;M*", 'Data entry'!$BE$6:$BE$200, D145, 'Data entry'!$AO$6:$AO$200, "*Vis*")+ COUNTIFS('Data entry'!$B$6:$B$200,"*Contact*", 'Data entry'!$O$6:$O$200,"&lt;&gt;M*", 'Data entry'!$BE$6:$BE$200, D145, 'Data entry'!$AO$6:$AO$200, "*Oth*")+COUNTIFS('Data entry'!$B$6:$B$200,"*Confir*", 'Data entry'!$O$6:$O$200,"&lt;&gt;M*", 'Data entry'!$BE$6:$BE$200, D145, 'Data entry'!$AO$6:$AO$200, "*Att*")</f>
        <v>0</v>
      </c>
    </row>
    <row r="146" spans="1:8" ht="16.5" customHeight="1" x14ac:dyDescent="0.25">
      <c r="A146" s="450"/>
      <c r="B146" s="479"/>
      <c r="C146" s="42" t="s">
        <v>260</v>
      </c>
      <c r="D146" s="42" t="str">
        <f t="shared" si="1"/>
        <v>Mutation E484K+</v>
      </c>
      <c r="E146" s="34">
        <f>COUNTIFS('Data entry'!$B$6:$B$200,"*Confir*", 'Data entry'!$O$6:$O$200,"&lt;&gt;M*", 'Data entry'!$BE$6:$BE$200, D146, 'Data entry'!$AO$6:$AO$200, "*Sta*") + COUNTIFS('Data entry'!$B$6:$B$200,"*Confir*",'Data entry'!$O$6:$O$200,"&lt;&gt;M*", 'Data entry'!$BE$6:$BE$200, D146, 'Data entry'!$AO$6:$AO$200, "*Vol*")</f>
        <v>0</v>
      </c>
      <c r="F146" s="34">
        <f>COUNTIFS('Data entry'!$B$6:$B$200,"*Confir*", 'Data entry'!$O$6:$O$200,"&lt;&gt;M*", 'Data entry'!$BE$6:$BE$200, D146, 'Data entry'!$AO$6:$AO$200, "*Res*") + COUNTIFS('Data entry'!$B$6:$B$200,"*Confir*", 'Data entry'!$O$6:$O$200,"&lt;&gt;M*", 'Data entry'!$BE$6:$BE$200, D146, 'Data entry'!$AO$6:$AO$200, "*Stu*") + COUNTIFS('Data entry'!$B$6:$B$200,"*Confir*", 'Data entry'!$O$6:$O$200,"&lt;&gt;M*", 'Data entry'!$BE$6:$BE$200, D146, 'Data entry'!$AO$6:$AO$200, "*Pat*")+ COUNTIFS('Data entry'!$B$6:$B$200,"*Confir*", 'Data entry'!$O$6:$O$200,"&lt;&gt;M*", 'Data entry'!$BE$6:$BE$200, D146, 'Data entry'!$AO$6:$AO$200, "*Vis*")+ COUNTIFS('Data entry'!$B$6:$B$200,"*Confir*", 'Data entry'!$O$6:$O$200,"&lt;&gt;M*", 'Data entry'!$BE$6:$BE$200, D146, 'Data entry'!$AO$6:$AO$200, "*Oth*")+COUNTIFS('Data entry'!$B$6:$B$200,"*Confir*", 'Data entry'!$O$6:$O$200,"&lt;&gt;M*", 'Data entry'!$BE$6:$BE$200, D146, 'Data entry'!$AO$6:$AO$200, "*Att*")</f>
        <v>0</v>
      </c>
      <c r="G146" s="34">
        <f>COUNTIFS('Data entry'!$B$6:$B$200,"*Contact*",'Data entry'!$O$6:$O$200,"&lt;&gt;M*", 'Data entry'!$BE$6:$BE$200, D146, 'Data entry'!$AO$6:$AO$200, "*Sta*") + COUNTIFS('Data entry'!$B$6:$B$200,"*Contact*", 'Data entry'!$O$6:$O$200,"&lt;&gt;M*", 'Data entry'!$BE$6:$BE$200, D146, 'Data entry'!$AO$6:$AO$200, "*Vol*")</f>
        <v>0</v>
      </c>
      <c r="H146" s="34">
        <f>COUNTIFS('Data entry'!$B$6:$B$200,"*Contact*", 'Data entry'!$O$6:$O$200,"&lt;&gt;M*", 'Data entry'!$BE$6:$BE$200, D146, 'Data entry'!$AO$6:$AO$200, "*Res*") + COUNTIFS('Data entry'!$B$6:$B$200,"*Contact*", 'Data entry'!$O$6:$O$200,"&lt;&gt;M*", 'Data entry'!$BE$6:$BE$200, D146, 'Data entry'!$AO$6:$AO$200, "*Stu*") + COUNTIFS('Data entry'!$B$6:$B$200,"*Contact*", 'Data entry'!$O$6:$O$200,"&lt;&gt;M*", 'Data entry'!$BE$6:$BE$200, D146, 'Data entry'!$AO$6:$AO$200, "*Pat*")+ COUNTIFS('Data entry'!$B$6:$B$200,"*Contact*", 'Data entry'!$O$6:$O$200,"&lt;&gt;M*", 'Data entry'!$BE$6:$BE$200, D146, 'Data entry'!$AO$6:$AO$200, "*Vis*")+ COUNTIFS('Data entry'!$B$6:$B$200,"*Contact*", 'Data entry'!$O$6:$O$200,"&lt;&gt;M*", 'Data entry'!$BE$6:$BE$200, D146, 'Data entry'!$AO$6:$AO$200, "*Oth*")+COUNTIFS('Data entry'!$B$6:$B$200,"*Confir*", 'Data entry'!$O$6:$O$200,"&lt;&gt;M*", 'Data entry'!$BE$6:$BE$200, D146, 'Data entry'!$AO$6:$AO$200, "*Att*")</f>
        <v>0</v>
      </c>
    </row>
    <row r="147" spans="1:8" ht="16.5" customHeight="1" x14ac:dyDescent="0.25">
      <c r="A147" s="450"/>
      <c r="B147" s="479"/>
      <c r="C147" s="42" t="s">
        <v>260</v>
      </c>
      <c r="D147" s="42" t="str">
        <f>$D115</f>
        <v>Other</v>
      </c>
      <c r="E147" s="34">
        <f>COUNTIFS('Data entry'!$B$6:$B$200,"*Confir*", 'Data entry'!$O$6:$O$200,"&lt;&gt;M*", 'Data entry'!$BE$6:$BE$200, D147, 'Data entry'!$AO$6:$AO$200, "*Sta*") + COUNTIFS('Data entry'!$B$6:$B$200,"*Confir*",'Data entry'!$O$6:$O$200,"&lt;&gt;M*", 'Data entry'!$BE$6:$BE$200, D147, 'Data entry'!$AO$6:$AO$200, "*Vol*")</f>
        <v>0</v>
      </c>
      <c r="F147" s="34">
        <f>COUNTIFS('Data entry'!$B$6:$B$200,"*Confir*", 'Data entry'!$O$6:$O$200,"&lt;&gt;M*", 'Data entry'!$BE$6:$BE$200, D147, 'Data entry'!$AO$6:$AO$200, "*Res*") + COUNTIFS('Data entry'!$B$6:$B$200,"*Confir*", 'Data entry'!$O$6:$O$200,"&lt;&gt;M*", 'Data entry'!$BE$6:$BE$200, D147, 'Data entry'!$AO$6:$AO$200, "*Stu*") + COUNTIFS('Data entry'!$B$6:$B$200,"*Confir*", 'Data entry'!$O$6:$O$200,"&lt;&gt;M*", 'Data entry'!$BE$6:$BE$200, D147, 'Data entry'!$AO$6:$AO$200, "*Pat*")+ COUNTIFS('Data entry'!$B$6:$B$200,"*Confir*", 'Data entry'!$O$6:$O$200,"&lt;&gt;M*", 'Data entry'!$BE$6:$BE$200, D147, 'Data entry'!$AO$6:$AO$200, "*Vis*")+ COUNTIFS('Data entry'!$B$6:$B$200,"*Confir*", 'Data entry'!$O$6:$O$200,"&lt;&gt;M*", 'Data entry'!$BE$6:$BE$200, D147, 'Data entry'!$AO$6:$AO$200, "*Oth*")+COUNTIFS('Data entry'!$B$6:$B$200,"*Confir*", 'Data entry'!$O$6:$O$200,"&lt;&gt;M*", 'Data entry'!$BE$6:$BE$200, D147, 'Data entry'!$AO$6:$AO$200, "*Att*")</f>
        <v>0</v>
      </c>
      <c r="G147" s="34">
        <f>COUNTIFS('Data entry'!$B$6:$B$200,"*Contact*",'Data entry'!$O$6:$O$200,"&lt;&gt;M*", 'Data entry'!$BE$6:$BE$200, D147, 'Data entry'!$AO$6:$AO$200, "*Sta*") + COUNTIFS('Data entry'!$B$6:$B$200,"*Contact*", 'Data entry'!$O$6:$O$200,"&lt;&gt;M*", 'Data entry'!$BE$6:$BE$200, D147, 'Data entry'!$AO$6:$AO$200, "*Vol*")</f>
        <v>0</v>
      </c>
      <c r="H147" s="34">
        <f>COUNTIFS('Data entry'!$B$6:$B$200,"*Contact*", 'Data entry'!$O$6:$O$200,"&lt;&gt;M*", 'Data entry'!$BE$6:$BE$200, D147, 'Data entry'!$AO$6:$AO$200, "*Res*") + COUNTIFS('Data entry'!$B$6:$B$200,"*Contact*", 'Data entry'!$O$6:$O$200,"&lt;&gt;M*", 'Data entry'!$BE$6:$BE$200, D147, 'Data entry'!$AO$6:$AO$200, "*Stu*") + COUNTIFS('Data entry'!$B$6:$B$200,"*Contact*", 'Data entry'!$O$6:$O$200,"&lt;&gt;M*", 'Data entry'!$BE$6:$BE$200, D147, 'Data entry'!$AO$6:$AO$200, "*Pat*")+ COUNTIFS('Data entry'!$B$6:$B$200,"*Contact*", 'Data entry'!$O$6:$O$200,"&lt;&gt;M*", 'Data entry'!$BE$6:$BE$200, D147, 'Data entry'!$AO$6:$AO$200, "*Vis*")+ COUNTIFS('Data entry'!$B$6:$B$200,"*Contact*", 'Data entry'!$O$6:$O$200,"&lt;&gt;M*", 'Data entry'!$BE$6:$BE$200, D147, 'Data entry'!$AO$6:$AO$200, "*Oth*")+COUNTIFS('Data entry'!$B$6:$B$200,"*Confir*", 'Data entry'!$O$6:$O$200,"&lt;&gt;M*", 'Data entry'!$BE$6:$BE$200, D147, 'Data entry'!$AO$6:$AO$200, "*Att*")</f>
        <v>0</v>
      </c>
    </row>
    <row r="148" spans="1:8" ht="16.5" customHeight="1" thickBot="1" x14ac:dyDescent="0.3">
      <c r="A148" s="450"/>
      <c r="B148" s="480"/>
      <c r="C148" s="117"/>
      <c r="D148" s="77"/>
      <c r="E148" s="38"/>
      <c r="F148" s="38"/>
      <c r="G148" s="38"/>
      <c r="H148" s="105"/>
    </row>
    <row r="149" spans="1:8" ht="16.5" customHeight="1" x14ac:dyDescent="0.25">
      <c r="A149" s="450"/>
      <c r="B149" s="478" t="s">
        <v>211</v>
      </c>
      <c r="C149" s="456" t="s">
        <v>572</v>
      </c>
      <c r="D149" s="457"/>
      <c r="E149" s="371">
        <f>G149+H149</f>
        <v>0</v>
      </c>
      <c r="F149" s="371"/>
      <c r="G149" s="92">
        <f>G36</f>
        <v>0</v>
      </c>
      <c r="H149" s="93">
        <f>G57</f>
        <v>0</v>
      </c>
    </row>
    <row r="150" spans="1:8" ht="16.5" customHeight="1" x14ac:dyDescent="0.25">
      <c r="A150" s="450"/>
      <c r="B150" s="479"/>
      <c r="C150" s="373" t="s">
        <v>573</v>
      </c>
      <c r="D150" s="374"/>
      <c r="E150" s="326">
        <f>G150+H150</f>
        <v>0</v>
      </c>
      <c r="F150" s="326"/>
      <c r="G150" s="94">
        <f>G37</f>
        <v>0</v>
      </c>
      <c r="H150" s="95">
        <f>G58</f>
        <v>0</v>
      </c>
    </row>
    <row r="151" spans="1:8" ht="16.5" customHeight="1" x14ac:dyDescent="0.25">
      <c r="A151" s="450"/>
      <c r="B151" s="479"/>
      <c r="C151" s="122"/>
      <c r="D151" s="122"/>
      <c r="E151" s="344"/>
      <c r="F151" s="345"/>
      <c r="G151" s="345"/>
      <c r="H151" s="346"/>
    </row>
    <row r="152" spans="1:8" ht="16.5" customHeight="1" x14ac:dyDescent="0.25">
      <c r="A152" s="450"/>
      <c r="B152" s="479"/>
      <c r="C152" s="122"/>
      <c r="D152" s="122"/>
      <c r="E152" s="344"/>
      <c r="F152" s="345"/>
      <c r="G152" s="345"/>
      <c r="H152" s="346"/>
    </row>
    <row r="153" spans="1:8" ht="16.5" customHeight="1" x14ac:dyDescent="0.25">
      <c r="A153" s="450"/>
      <c r="B153" s="479"/>
      <c r="C153" s="373"/>
      <c r="D153" s="374"/>
      <c r="E153" s="429"/>
      <c r="F153" s="345"/>
      <c r="G153" s="345"/>
      <c r="H153" s="346"/>
    </row>
    <row r="154" spans="1:8" ht="16.5" customHeight="1" thickBot="1" x14ac:dyDescent="0.3">
      <c r="A154" s="450"/>
      <c r="B154" s="480"/>
      <c r="C154" s="375"/>
      <c r="D154" s="376"/>
      <c r="E154" s="433"/>
      <c r="F154" s="333"/>
      <c r="G154" s="333"/>
      <c r="H154" s="334"/>
    </row>
    <row r="155" spans="1:8" ht="16.5" customHeight="1" x14ac:dyDescent="0.25">
      <c r="A155" s="450"/>
      <c r="B155" s="500" t="s">
        <v>212</v>
      </c>
      <c r="C155" s="456" t="s">
        <v>216</v>
      </c>
      <c r="D155" s="457"/>
      <c r="E155" s="434">
        <f>G36+H36+G57+H57</f>
        <v>0</v>
      </c>
      <c r="F155" s="435"/>
      <c r="G155" s="435"/>
      <c r="H155" s="436"/>
    </row>
    <row r="156" spans="1:8" ht="16.5" customHeight="1" x14ac:dyDescent="0.25">
      <c r="A156" s="450"/>
      <c r="B156" s="501"/>
      <c r="C156" s="373" t="s">
        <v>168</v>
      </c>
      <c r="D156" s="374"/>
      <c r="E156" s="429">
        <f>H37+G37+G58+H58</f>
        <v>0</v>
      </c>
      <c r="F156" s="345"/>
      <c r="G156" s="345"/>
      <c r="H156" s="346"/>
    </row>
    <row r="157" spans="1:8" ht="16.5" customHeight="1" thickBot="1" x14ac:dyDescent="0.3">
      <c r="A157" s="450"/>
      <c r="B157" s="502"/>
      <c r="C157" s="458" t="s">
        <v>130</v>
      </c>
      <c r="D157" s="459"/>
      <c r="E157" s="430">
        <f>E71</f>
        <v>0</v>
      </c>
      <c r="F157" s="431"/>
      <c r="G157" s="431"/>
      <c r="H157" s="432"/>
    </row>
    <row r="158" spans="1:8" x14ac:dyDescent="0.25">
      <c r="A158" s="461" t="s">
        <v>131</v>
      </c>
      <c r="B158" s="462"/>
      <c r="C158" s="462"/>
      <c r="D158" s="463"/>
      <c r="E158" s="371">
        <f>COUNTIFS('Data entry'!$AV$6:$AV$200,"Asx",'Data entry'!$B$6:$B$200,"Confirmed")</f>
        <v>0</v>
      </c>
      <c r="F158" s="371"/>
      <c r="G158" s="371"/>
      <c r="H158" s="380"/>
    </row>
    <row r="159" spans="1:8" x14ac:dyDescent="0.25">
      <c r="A159" s="497" t="s">
        <v>132</v>
      </c>
      <c r="B159" s="498"/>
      <c r="C159" s="498"/>
      <c r="D159" s="499"/>
      <c r="E159" s="326">
        <f>COUNTIF('Data entry'!$BB$6:$BB$200,"Complete")</f>
        <v>0</v>
      </c>
      <c r="F159" s="326"/>
      <c r="G159" s="326"/>
      <c r="H159" s="327"/>
    </row>
    <row r="160" spans="1:8" x14ac:dyDescent="0.25">
      <c r="A160" s="446"/>
      <c r="B160" s="447"/>
      <c r="C160" s="447"/>
      <c r="D160" s="448"/>
      <c r="E160" s="326"/>
      <c r="F160" s="326"/>
      <c r="G160" s="326"/>
      <c r="H160" s="327"/>
    </row>
    <row r="161" spans="1:11" ht="16.5" thickBot="1" x14ac:dyDescent="0.3">
      <c r="A161" s="495"/>
      <c r="B161" s="399"/>
      <c r="C161" s="399"/>
      <c r="D161" s="496"/>
      <c r="E161" s="505"/>
      <c r="F161" s="505"/>
      <c r="G161" s="505"/>
      <c r="H161" s="506"/>
    </row>
    <row r="162" spans="1:11" ht="15.75" customHeight="1" x14ac:dyDescent="0.25">
      <c r="A162" s="489" t="s">
        <v>169</v>
      </c>
      <c r="B162" s="490"/>
      <c r="C162" s="392" t="s">
        <v>83</v>
      </c>
      <c r="D162" s="393"/>
      <c r="E162" s="507">
        <f>MIN('Data entry'!$R$6:$R$200)</f>
        <v>0</v>
      </c>
      <c r="F162" s="507"/>
      <c r="G162" s="507"/>
      <c r="H162" s="508"/>
    </row>
    <row r="163" spans="1:11" ht="15.75" customHeight="1" x14ac:dyDescent="0.25">
      <c r="A163" s="491"/>
      <c r="B163" s="492"/>
      <c r="C163" s="394" t="s">
        <v>84</v>
      </c>
      <c r="D163" s="395"/>
      <c r="E163" s="509">
        <f>MAX('Data entry'!$R$6:$R$200)</f>
        <v>0</v>
      </c>
      <c r="F163" s="509"/>
      <c r="G163" s="509"/>
      <c r="H163" s="510"/>
    </row>
    <row r="164" spans="1:11" ht="15.75" customHeight="1" x14ac:dyDescent="0.25">
      <c r="A164" s="491"/>
      <c r="B164" s="492"/>
      <c r="C164" s="396" t="s">
        <v>107</v>
      </c>
      <c r="D164" s="397"/>
      <c r="E164" s="442"/>
      <c r="F164" s="442"/>
      <c r="G164" s="442"/>
      <c r="H164" s="443"/>
    </row>
    <row r="165" spans="1:11" ht="16.5" customHeight="1" thickBot="1" x14ac:dyDescent="0.3">
      <c r="A165" s="493"/>
      <c r="B165" s="494"/>
      <c r="C165" s="398" t="s">
        <v>92</v>
      </c>
      <c r="D165" s="399"/>
      <c r="E165" s="511">
        <f>E164+14</f>
        <v>14</v>
      </c>
      <c r="F165" s="511"/>
      <c r="G165" s="511"/>
      <c r="H165" s="512"/>
      <c r="J165" s="78"/>
    </row>
    <row r="166" spans="1:11" ht="16.5" hidden="1" thickBot="1" x14ac:dyDescent="0.3">
      <c r="A166" s="405" t="s">
        <v>88</v>
      </c>
      <c r="B166" s="406"/>
      <c r="C166" s="406"/>
      <c r="D166" s="407"/>
      <c r="E166" s="408" t="e">
        <f>COUNTIFS('Data entry'!#REF!,"&lt;=14",'Data entry'!#REF!,"&gt;=0",'Data entry'!B6:B200,"Confirmed")</f>
        <v>#REF!</v>
      </c>
      <c r="F166" s="408"/>
      <c r="G166" s="408"/>
      <c r="H166" s="409"/>
    </row>
    <row r="167" spans="1:11" hidden="1" x14ac:dyDescent="0.25">
      <c r="A167" s="79"/>
      <c r="B167" s="99"/>
      <c r="C167" s="99"/>
      <c r="D167" s="80"/>
      <c r="E167" s="410"/>
      <c r="F167" s="411"/>
      <c r="G167" s="411"/>
      <c r="H167" s="412"/>
    </row>
    <row r="168" spans="1:11" ht="15.75" customHeight="1" x14ac:dyDescent="0.25">
      <c r="A168" s="421" t="s">
        <v>170</v>
      </c>
      <c r="B168" s="422"/>
      <c r="C168" s="427" t="s">
        <v>171</v>
      </c>
      <c r="D168" s="428"/>
      <c r="E168" s="72"/>
      <c r="F168" s="73"/>
      <c r="G168" s="413"/>
      <c r="H168" s="414"/>
    </row>
    <row r="169" spans="1:11" x14ac:dyDescent="0.25">
      <c r="A169" s="423"/>
      <c r="B169" s="424"/>
      <c r="C169" s="390" t="s">
        <v>172</v>
      </c>
      <c r="D169" s="391"/>
      <c r="E169" s="415"/>
      <c r="F169" s="415"/>
      <c r="G169" s="415"/>
      <c r="H169" s="416"/>
    </row>
    <row r="170" spans="1:11" x14ac:dyDescent="0.25">
      <c r="A170" s="423"/>
      <c r="B170" s="424"/>
      <c r="C170" s="390" t="s">
        <v>173</v>
      </c>
      <c r="D170" s="391"/>
      <c r="E170" s="415" t="s">
        <v>372</v>
      </c>
      <c r="F170" s="415"/>
      <c r="G170" s="415"/>
      <c r="H170" s="416"/>
    </row>
    <row r="171" spans="1:11" x14ac:dyDescent="0.25">
      <c r="A171" s="423"/>
      <c r="B171" s="424"/>
      <c r="C171" s="390" t="s">
        <v>174</v>
      </c>
      <c r="D171" s="391"/>
      <c r="E171" s="413"/>
      <c r="F171" s="417"/>
      <c r="G171" s="417"/>
      <c r="H171" s="414"/>
    </row>
    <row r="172" spans="1:11" x14ac:dyDescent="0.25">
      <c r="A172" s="423"/>
      <c r="B172" s="424"/>
      <c r="C172" s="390" t="s">
        <v>175</v>
      </c>
      <c r="D172" s="391"/>
      <c r="E172" s="415"/>
      <c r="F172" s="415"/>
      <c r="G172" s="415"/>
      <c r="H172" s="416"/>
    </row>
    <row r="173" spans="1:11" x14ac:dyDescent="0.25">
      <c r="A173" s="423"/>
      <c r="B173" s="424"/>
      <c r="C173" s="390" t="s">
        <v>176</v>
      </c>
      <c r="D173" s="391"/>
      <c r="E173" s="413"/>
      <c r="F173" s="418"/>
      <c r="G173" s="419"/>
      <c r="H173" s="420"/>
    </row>
    <row r="174" spans="1:11" x14ac:dyDescent="0.25">
      <c r="A174" s="423"/>
      <c r="B174" s="424"/>
      <c r="C174" s="390" t="s">
        <v>177</v>
      </c>
      <c r="D174" s="391"/>
      <c r="E174" s="415"/>
      <c r="F174" s="415"/>
      <c r="G174" s="415"/>
      <c r="H174" s="416"/>
    </row>
    <row r="175" spans="1:11" x14ac:dyDescent="0.25">
      <c r="A175" s="423"/>
      <c r="B175" s="424"/>
      <c r="C175" s="390" t="s">
        <v>178</v>
      </c>
      <c r="D175" s="391"/>
      <c r="E175" s="413"/>
      <c r="F175" s="417"/>
      <c r="G175" s="417"/>
      <c r="H175" s="414"/>
    </row>
    <row r="176" spans="1:11" x14ac:dyDescent="0.25">
      <c r="A176" s="423"/>
      <c r="B176" s="424"/>
      <c r="C176" s="390" t="s">
        <v>179</v>
      </c>
      <c r="D176" s="391"/>
      <c r="E176" s="413"/>
      <c r="F176" s="418"/>
      <c r="G176" s="413"/>
      <c r="H176" s="414"/>
      <c r="K176" s="22"/>
    </row>
    <row r="177" spans="1:10" x14ac:dyDescent="0.25">
      <c r="A177" s="423"/>
      <c r="B177" s="424"/>
      <c r="C177" s="390" t="s">
        <v>180</v>
      </c>
      <c r="D177" s="391"/>
      <c r="E177" s="413"/>
      <c r="F177" s="418"/>
      <c r="G177" s="413"/>
      <c r="H177" s="414"/>
    </row>
    <row r="178" spans="1:10" x14ac:dyDescent="0.25">
      <c r="A178" s="423"/>
      <c r="B178" s="424"/>
      <c r="C178" s="390" t="s">
        <v>181</v>
      </c>
      <c r="D178" s="391"/>
      <c r="E178" s="413"/>
      <c r="F178" s="418"/>
      <c r="G178" s="413"/>
      <c r="H178" s="414"/>
    </row>
    <row r="179" spans="1:10" x14ac:dyDescent="0.25">
      <c r="A179" s="423"/>
      <c r="B179" s="424"/>
      <c r="C179" s="390" t="s">
        <v>182</v>
      </c>
      <c r="D179" s="391"/>
      <c r="E179" s="413"/>
      <c r="F179" s="418"/>
      <c r="G179" s="413"/>
      <c r="H179" s="414"/>
    </row>
    <row r="180" spans="1:10" x14ac:dyDescent="0.25">
      <c r="A180" s="423"/>
      <c r="B180" s="424"/>
      <c r="C180" s="390" t="s">
        <v>196</v>
      </c>
      <c r="D180" s="391"/>
      <c r="E180" s="91"/>
      <c r="F180" s="91"/>
      <c r="G180" s="419"/>
      <c r="H180" s="420"/>
    </row>
    <row r="181" spans="1:10" x14ac:dyDescent="0.25">
      <c r="A181" s="423"/>
      <c r="B181" s="424"/>
      <c r="C181" s="390" t="s">
        <v>183</v>
      </c>
      <c r="D181" s="391"/>
      <c r="E181" s="413"/>
      <c r="F181" s="417"/>
      <c r="G181" s="417"/>
      <c r="H181" s="414"/>
    </row>
    <row r="182" spans="1:10" x14ac:dyDescent="0.25">
      <c r="A182" s="423"/>
      <c r="B182" s="424"/>
      <c r="C182" s="390"/>
      <c r="D182" s="391"/>
      <c r="E182" s="81"/>
      <c r="F182" s="82"/>
      <c r="G182" s="82"/>
      <c r="H182" s="83"/>
    </row>
    <row r="183" spans="1:10" ht="31.5" customHeight="1" x14ac:dyDescent="0.25">
      <c r="A183" s="423"/>
      <c r="B183" s="424"/>
      <c r="C183" s="388" t="s">
        <v>90</v>
      </c>
      <c r="D183" s="389"/>
      <c r="E183" s="413"/>
      <c r="F183" s="417"/>
      <c r="G183" s="417"/>
      <c r="H183" s="414"/>
    </row>
    <row r="184" spans="1:10" x14ac:dyDescent="0.25">
      <c r="A184" s="423"/>
      <c r="B184" s="424"/>
      <c r="C184" s="390" t="s">
        <v>94</v>
      </c>
      <c r="D184" s="391"/>
      <c r="E184" s="413"/>
      <c r="F184" s="417"/>
      <c r="G184" s="417"/>
      <c r="H184" s="414"/>
    </row>
    <row r="185" spans="1:10" x14ac:dyDescent="0.25">
      <c r="A185" s="425"/>
      <c r="B185" s="426"/>
      <c r="C185" s="390" t="s">
        <v>95</v>
      </c>
      <c r="D185" s="391"/>
      <c r="E185" s="415"/>
      <c r="F185" s="415"/>
      <c r="G185" s="415"/>
      <c r="H185" s="416"/>
    </row>
    <row r="186" spans="1:10" ht="16.5" thickBot="1" x14ac:dyDescent="0.3">
      <c r="A186" s="400" t="s">
        <v>100</v>
      </c>
      <c r="B186" s="401"/>
      <c r="C186" s="401"/>
      <c r="D186" s="402"/>
      <c r="E186" s="403"/>
      <c r="F186" s="403"/>
      <c r="G186" s="403"/>
      <c r="H186" s="404"/>
    </row>
    <row r="188" spans="1:10" ht="24" thickBot="1" x14ac:dyDescent="0.4">
      <c r="B188" s="46" t="s">
        <v>273</v>
      </c>
    </row>
    <row r="189" spans="1:10" ht="141.75" x14ac:dyDescent="0.25">
      <c r="B189" s="43"/>
      <c r="C189" s="48" t="s">
        <v>133</v>
      </c>
      <c r="D189" s="44" t="s">
        <v>116</v>
      </c>
      <c r="E189" s="44" t="s">
        <v>280</v>
      </c>
      <c r="F189" s="44" t="s">
        <v>115</v>
      </c>
      <c r="G189" s="44" t="s">
        <v>118</v>
      </c>
      <c r="H189" s="45" t="s">
        <v>120</v>
      </c>
      <c r="I189" s="130" t="s">
        <v>119</v>
      </c>
      <c r="J189" s="131" t="s">
        <v>134</v>
      </c>
    </row>
    <row r="190" spans="1:10" ht="37.35" customHeight="1" x14ac:dyDescent="0.25">
      <c r="B190" s="47" t="str">
        <f>'Data Validation'!$H2</f>
        <v>Attendee</v>
      </c>
      <c r="C190" s="49">
        <f>$E$25+$F$25+$E$46+$F$46</f>
        <v>0</v>
      </c>
      <c r="D190" s="49">
        <f>COUNTIFS('Data entry'!$B$6:$B$200,"Confirmed",'Data entry'!$BF$6:$BF$200, "Yes", 'Data entry'!$AO$6:$AO$200, B190)+COUNTIFS('Data entry'!$B$6:$B$200,"Probable",'Data entry'!$BF$6:$BF$200, "Yes", 'Data entry'!$AO$6:$AO$200, B190)</f>
        <v>0</v>
      </c>
      <c r="E190" s="49">
        <f>COUNTIFS('Data entry'!$B$6:$B$200,"Confirmed",'Data entry'!$BG$6:$BG$200, "Yes", 'Data entry'!$AO$6:$AO$200, B190)+COUNTIFS('Data entry'!$B$6:$B$200,"Probable",'Data entry'!$BG$6:$BG$200, "Yes", 'Data entry'!$AO$6:$AO$200, B190)</f>
        <v>0</v>
      </c>
      <c r="F190" s="49">
        <f>COUNTIFS('Data entry'!B$6:B$200,"Confirmed",'Data entry'!BH$6:BH$200, "Fatal", 'Data entry'!AO$6:AO$200, B190)+COUNTIFS('Data entry'!B$6:B$200,"Probable",'Data entry'!BH$6:BH$200, "Fatal", 'Data entry'!AO$6:AO$200, B190)</f>
        <v>0</v>
      </c>
      <c r="G190" s="52">
        <f>COUNTIFS('Data entry'!B$6:B$200,"Confirmed",'Data entry'!AO$6:AO$200, B190)+COUNTIFS('Data entry'!B$6:B$200,"Probable", 'Data entry'!AO$6:AO$200, B190) + COUNTIFS('Data entry'!B$6:B$200,"High*",'Data entry'!AO$6:AO$200, B190) +COUNTIFS('Data entry'!B$6:B$200,"Low*",'Data entry'!AO$6:AO$200, B190) +I190</f>
        <v>0</v>
      </c>
      <c r="H190" s="50">
        <f>IF(COUNTIF('Data entry'!$I$2:$R$2, B190),'Data entry'!I$4, " ")</f>
        <v>0</v>
      </c>
      <c r="I190" s="54">
        <f>IF(COUNTIF('Data entry'!$I$2:$R$2, B190),'Data entry'!I$3, " ")</f>
        <v>0</v>
      </c>
      <c r="J190" s="49">
        <f>COUNTIFS('Data entry'!$B$6:$B$200,"Confirmed", 'Data entry'!$AO$6:$AO$200, B190)+COUNTIFS('Data entry'!$B$6:$B$200,"Probable", 'Data entry'!$AO$6:$AO$200, B190)</f>
        <v>0</v>
      </c>
    </row>
    <row r="191" spans="1:10" ht="31.5" x14ac:dyDescent="0.25">
      <c r="B191" s="47" t="str">
        <f>'Data Validation'!$H3</f>
        <v>Patient</v>
      </c>
      <c r="C191" s="49">
        <f>$E$26+$F$26+$E$47+$F$47</f>
        <v>0</v>
      </c>
      <c r="D191" s="49">
        <f>COUNTIFS('Data entry'!$B$6:$B$200,"Confirmed",'Data entry'!$BF$6:$BF$200, "Yes", 'Data entry'!$AO$6:$AO$200, B191)+COUNTIFS('Data entry'!$B$6:$B$200,"Probable",'Data entry'!$BF$6:$BF$200, "Yes", 'Data entry'!$AO$6:$AO$200, B191)</f>
        <v>0</v>
      </c>
      <c r="E191" s="49">
        <f>COUNTIFS('Data entry'!$B$6:$B$200,"Confirmed",'Data entry'!$BG$6:$BG$200, "Yes", 'Data entry'!$AO$6:$AO$200, B191)+COUNTIFS('Data entry'!$B$6:$B$200,"Probable",'Data entry'!$BG$6:$BG$200, "Yes", 'Data entry'!$AO$6:$AO$200, B191)</f>
        <v>0</v>
      </c>
      <c r="F191" s="49">
        <f>COUNTIFS('Data entry'!B$6:B$200,"Confirmed",'Data entry'!BH$6:BH$200, "Fatal", 'Data entry'!AO$6:AO$200, B191)+COUNTIFS('Data entry'!B$6:B$200,"Probable",'Data entry'!BH$6:BH$200, "Fatal", 'Data entry'!AO$6:AO$200, B191)</f>
        <v>0</v>
      </c>
      <c r="G191" s="52">
        <f>COUNTIFS('Data entry'!B$6:B$200,"Confirmed",'Data entry'!AO$6:AO$200, B191)+COUNTIFS('Data entry'!B$6:B$200,"Probable", 'Data entry'!AO$6:AO$200, B191) + COUNTIFS('Data entry'!B$6:B$200,"High*",'Data entry'!AO$6:AO$200, B191) +COUNTIFS('Data entry'!B$6:B$200,"Low*",'Data entry'!AO$6:AO$200, B191) +I191</f>
        <v>0</v>
      </c>
      <c r="H191" s="50">
        <f>IF(COUNTIF('Data entry'!$I$2:$R$2, B191),'Data entry'!J$4, " ")</f>
        <v>0</v>
      </c>
      <c r="I191" s="54">
        <f>IF(COUNTIF('Data entry'!$I$2:$R$2, B191),'Data entry'!J$3, " ")</f>
        <v>0</v>
      </c>
      <c r="J191" s="49">
        <f>COUNTIFS('Data entry'!$B$6:$B$200,"Confirmed", 'Data entry'!$AO$6:$AO$200, B191)+COUNTIFS('Data entry'!$B$6:$B$200,"Probable", 'Data entry'!$AO$6:$AO$200, B191)</f>
        <v>0</v>
      </c>
    </row>
    <row r="192" spans="1:10" ht="63" x14ac:dyDescent="0.25">
      <c r="B192" s="47" t="str">
        <f>'Data Validation'!$H4</f>
        <v>Patron / Customer</v>
      </c>
      <c r="C192" s="49">
        <f>$E$27+$F$27+$E$48+$F$48</f>
        <v>0</v>
      </c>
      <c r="D192" s="49">
        <f>COUNTIFS('Data entry'!$B$6:$B$200,"Confirmed",'Data entry'!$BF$6:$BF$200, "Yes", 'Data entry'!$AO$6:$AO$200, B192)+COUNTIFS('Data entry'!$B$6:$B$200,"Probable",'Data entry'!$BF$6:$BF$200, "Yes", 'Data entry'!$AO$6:$AO$200, B192)</f>
        <v>0</v>
      </c>
      <c r="E192" s="49">
        <f>COUNTIFS('Data entry'!$B$6:$B$200,"Confirmed",'Data entry'!$BG$6:$BG$200, "Yes", 'Data entry'!$AO$6:$AO$200, B192)+COUNTIFS('Data entry'!$B$6:$B$200,"Probable",'Data entry'!$BG$6:$BG$200, "Yes", 'Data entry'!$AO$6:$AO$200, B192)</f>
        <v>0</v>
      </c>
      <c r="F192" s="49">
        <f>COUNTIFS('Data entry'!B$6:B$200,"Confirmed",'Data entry'!BH$6:BH$200, "Fatal", 'Data entry'!AO$6:AO$200, B192)+COUNTIFS('Data entry'!B$6:B$200,"Probable",'Data entry'!BH$6:BH$200, "Fatal", 'Data entry'!AO$6:AO$200, B192)</f>
        <v>0</v>
      </c>
      <c r="G192" s="52">
        <f>COUNTIFS('Data entry'!B$6:B$200,"Confirmed",'Data entry'!AO$6:AO$200, B192)+COUNTIFS('Data entry'!B$6:B$200,"Probable", 'Data entry'!AO$6:AO$200, B192) + COUNTIFS('Data entry'!B$6:B$200,"High*",'Data entry'!AO$6:AO$200, B192) +COUNTIFS('Data entry'!B$6:B$200,"Low*",'Data entry'!AO$6:AO$200, B192) +I192</f>
        <v>0</v>
      </c>
      <c r="H192" s="50">
        <f>IF(COUNTIF('Data entry'!$I$2:$R$2, B192),'Data entry'!K$4, " ")</f>
        <v>0</v>
      </c>
      <c r="I192" s="54">
        <f>IF(COUNTIF('Data entry'!$I$2:$R$2, B192),'Data entry'!K$3, " ")</f>
        <v>0</v>
      </c>
      <c r="J192" s="49">
        <f>COUNTIFS('Data entry'!$B$6:$B$200,"Confirmed", 'Data entry'!$AO$6:$AO$200, B192)+COUNTIFS('Data entry'!$B$6:$B$200,"Probable", 'Data entry'!$AO$6:$AO$200, B192)</f>
        <v>0</v>
      </c>
    </row>
    <row r="193" spans="2:10" ht="31.5" x14ac:dyDescent="0.25">
      <c r="B193" s="47" t="str">
        <f>'Data Validation'!$H5</f>
        <v>Resident</v>
      </c>
      <c r="C193" s="49">
        <f>$E$28+$F$28+$E$49+$F$49</f>
        <v>0</v>
      </c>
      <c r="D193" s="49">
        <f>COUNTIFS('Data entry'!$B$6:$B$200,"Confirmed",'Data entry'!$BF$6:$BF$200, "Yes", 'Data entry'!$AO$6:$AO$200, B193)+COUNTIFS('Data entry'!$B$6:$B$200,"Probable",'Data entry'!$BF$6:$BF$200, "Yes", 'Data entry'!$AO$6:$AO$200, B193)</f>
        <v>0</v>
      </c>
      <c r="E193" s="49">
        <f>COUNTIFS('Data entry'!$B$6:$B$200,"Confirmed",'Data entry'!$BG$6:$BG$200, "Yes", 'Data entry'!$AO$6:$AO$200, B193)+COUNTIFS('Data entry'!$B$6:$B$200,"Probable",'Data entry'!$BG$6:$BG$200, "Yes", 'Data entry'!$AO$6:$AO$200, B193)</f>
        <v>0</v>
      </c>
      <c r="F193" s="49">
        <f>COUNTIFS('Data entry'!B$6:B$200,"Confirmed",'Data entry'!BH$6:BH$200, "Fatal", 'Data entry'!AO$6:AO$200, B193)+COUNTIFS('Data entry'!B$6:B$200,"Probable",'Data entry'!BH$6:BH$200, "Fatal", 'Data entry'!AO$6:AO$200, B193)</f>
        <v>0</v>
      </c>
      <c r="G193" s="52">
        <f>COUNTIFS('Data entry'!B$6:B$200,"Confirmed",'Data entry'!AO$6:AO$200, B193)+COUNTIFS('Data entry'!B$6:B$200,"Probable", 'Data entry'!AO$6:AO$200, B193) + COUNTIFS('Data entry'!B$6:B$200,"High*",'Data entry'!AO$6:AO$200, B193) +COUNTIFS('Data entry'!B$6:B$200,"Low*",'Data entry'!AO$6:AO$200, B193) +I193</f>
        <v>0</v>
      </c>
      <c r="H193" s="50">
        <f>IF(COUNTIF('Data entry'!$I$2:$R$2, B193),'Data entry'!L$4, " ")</f>
        <v>0</v>
      </c>
      <c r="I193" s="54">
        <f>IF(COUNTIF('Data entry'!$I$2:$R$2, B193),'Data entry'!L$3, " ")</f>
        <v>0</v>
      </c>
      <c r="J193" s="49">
        <f>COUNTIFS('Data entry'!$B$6:$B$200,"Confirmed", 'Data entry'!$AO$6:$AO$200, B193)+COUNTIFS('Data entry'!$B$6:$B$200,"Probable", 'Data entry'!$AO$6:$AO$200, B193)</f>
        <v>0</v>
      </c>
    </row>
    <row r="194" spans="2:10" x14ac:dyDescent="0.25">
      <c r="B194" s="47" t="str">
        <f>'Data Validation'!$H6</f>
        <v>Staff</v>
      </c>
      <c r="C194" s="49">
        <f>$E$29+$F$29+$E$50+$F$50</f>
        <v>0</v>
      </c>
      <c r="D194" s="49">
        <f>COUNTIFS('Data entry'!$B$6:$B$200,"Confirmed",'Data entry'!$BF$6:$BF$200, "Yes", 'Data entry'!$AO$6:$AO$200, B194)+COUNTIFS('Data entry'!$B$6:$B$200,"Probable",'Data entry'!$BF$6:$BF$200, "Yes", 'Data entry'!$AO$6:$AO$200, B194)</f>
        <v>0</v>
      </c>
      <c r="E194" s="49">
        <f>COUNTIFS('Data entry'!$B$6:$B$200,"Confirmed",'Data entry'!$BG$6:$BG$200, "Yes", 'Data entry'!$AO$6:$AO$200, B194)+COUNTIFS('Data entry'!$B$6:$B$200,"Probable",'Data entry'!$BG$6:$BG$200, "Yes", 'Data entry'!$AO$6:$AO$200, B194)</f>
        <v>0</v>
      </c>
      <c r="F194" s="49">
        <f>COUNTIFS('Data entry'!B$6:B$200,"Confirmed",'Data entry'!BH$6:BH$200, "Fatal", 'Data entry'!AO$6:AO$200, B194)+COUNTIFS('Data entry'!B$6:B$200,"Probable",'Data entry'!BH$6:BH$200, "Fatal", 'Data entry'!AO$6:AO$200, B194)</f>
        <v>0</v>
      </c>
      <c r="G194" s="52">
        <f>COUNTIFS('Data entry'!B$6:B$200,"Confirmed",'Data entry'!AO$6:AO$200, B194)+COUNTIFS('Data entry'!B$6:B$200,"Probable", 'Data entry'!AO$6:AO$200, B194) + COUNTIFS('Data entry'!B$6:B$200,"High*",'Data entry'!AO$6:AO$200, B194) +COUNTIFS('Data entry'!B$6:B$200,"Low*",'Data entry'!AO$6:AO$200, B194) +I194</f>
        <v>0</v>
      </c>
      <c r="H194" s="50">
        <f>IF(COUNTIF('Data entry'!$I$2:$R$2, B194),'Data entry'!M$4, " ")</f>
        <v>0</v>
      </c>
      <c r="I194" s="54">
        <f>IF(COUNTIF('Data entry'!$I$2:$R$2, B194),'Data entry'!M$3, " ")</f>
        <v>0</v>
      </c>
      <c r="J194" s="49">
        <f>COUNTIFS('Data entry'!$B$6:$B$200,"Confirmed", 'Data entry'!$AO$6:$AO$200, B194)+COUNTIFS('Data entry'!$B$6:$B$200,"Probable", 'Data entry'!$AO$6:$AO$200, B194)</f>
        <v>0</v>
      </c>
    </row>
    <row r="195" spans="2:10" ht="31.5" x14ac:dyDescent="0.25">
      <c r="B195" s="47" t="str">
        <f>'Data Validation'!$H7</f>
        <v>Student</v>
      </c>
      <c r="C195" s="49">
        <f>$E$30+$F$30+$E$51+$F$51</f>
        <v>0</v>
      </c>
      <c r="D195" s="49">
        <f>COUNTIFS('Data entry'!$B$6:$B$200,"Confirmed",'Data entry'!$BF$6:$BF$200, "Yes", 'Data entry'!$AO$6:$AO$200, B195)+COUNTIFS('Data entry'!$B$6:$B$200,"Probable",'Data entry'!$BF$6:$BF$200, "Yes", 'Data entry'!$AO$6:$AO$200, B195)</f>
        <v>0</v>
      </c>
      <c r="E195" s="49">
        <f>COUNTIFS('Data entry'!$B$6:$B$200,"Confirmed",'Data entry'!$BG$6:$BG$200, "Yes", 'Data entry'!$AO$6:$AO$200, B195)+COUNTIFS('Data entry'!$B$6:$B$200,"Probable",'Data entry'!$BG$6:$BG$200, "Yes", 'Data entry'!$AO$6:$AO$200, B195)</f>
        <v>0</v>
      </c>
      <c r="F195" s="49">
        <f>COUNTIFS('Data entry'!B$6:B$200,"Confirmed",'Data entry'!BH$6:BH$200, "Fatal", 'Data entry'!AO$6:AO$200, B195)+COUNTIFS('Data entry'!B$6:B$200,"Probable",'Data entry'!BH$6:BH$200, "Fatal", 'Data entry'!AO$6:AO$200, B195)</f>
        <v>0</v>
      </c>
      <c r="G195" s="52">
        <f>COUNTIFS('Data entry'!B$6:B$200,"Confirmed",'Data entry'!AO$6:AO$200, B195)+COUNTIFS('Data entry'!B$6:B$200,"Probable", 'Data entry'!AO$6:AO$200, B195) + COUNTIFS('Data entry'!B$6:B$200,"High*",'Data entry'!AO$6:AO$200, B195) +COUNTIFS('Data entry'!B$6:B$200,"Low*",'Data entry'!AO$6:AO$200, B195) +I195</f>
        <v>0</v>
      </c>
      <c r="H195" s="50">
        <f>IF(COUNTIF('Data entry'!$I$2:$R$2, B195),'Data entry'!N$4, " ")</f>
        <v>0</v>
      </c>
      <c r="I195" s="128">
        <f>IF(COUNTIF('Data entry'!$I$2:$R$2, B195),'Data entry'!N$3, " ")</f>
        <v>0</v>
      </c>
      <c r="J195" s="49">
        <f>COUNTIFS('Data entry'!$B$6:$B$200,"Confirmed", 'Data entry'!$AO$6:$AO$200, B195)+COUNTIFS('Data entry'!$B$6:$B$200,"Probable", 'Data entry'!$AO$6:$AO$200, B195)</f>
        <v>0</v>
      </c>
    </row>
    <row r="196" spans="2:10" x14ac:dyDescent="0.25">
      <c r="B196" s="47" t="str">
        <f>'Data Validation'!$H8</f>
        <v>Visitor</v>
      </c>
      <c r="C196" s="49">
        <f>$E$31+$F$31+$E$52+$F$52</f>
        <v>0</v>
      </c>
      <c r="D196" s="49">
        <f>COUNTIFS('Data entry'!$B$6:$B$200,"Confirmed",'Data entry'!$BF$6:$BF$200, "Yes", 'Data entry'!$AO$6:$AO$200, B196)+COUNTIFS('Data entry'!$B$6:$B$200,"Probable",'Data entry'!$BF$6:$BF$200, "Yes", 'Data entry'!$AO$6:$AO$200, B196)</f>
        <v>0</v>
      </c>
      <c r="E196" s="49">
        <f>COUNTIFS('Data entry'!$B$6:$B$200,"Confirmed",'Data entry'!$BG$6:$BG$200, "Yes", 'Data entry'!$AO$6:$AO$200, B196)+COUNTIFS('Data entry'!$B$6:$B$200,"Probable",'Data entry'!$BG$6:$BG$200, "Yes", 'Data entry'!$AO$6:$AO$200, B196)</f>
        <v>0</v>
      </c>
      <c r="F196" s="49">
        <f>COUNTIFS('Data entry'!B$6:B$200,"Confirmed",'Data entry'!BH$6:BH$200, "Fatal", 'Data entry'!AO$6:AO$200, B196)+COUNTIFS('Data entry'!B$6:B$200,"Probable",'Data entry'!BH$6:BH$200, "Fatal", 'Data entry'!AO$6:AO$200, B196)</f>
        <v>0</v>
      </c>
      <c r="G196" s="52">
        <f>COUNTIFS('Data entry'!B$6:B$200,"Confirmed",'Data entry'!AO$6:AO$200, B196)+COUNTIFS('Data entry'!B$6:B$200,"Probable", 'Data entry'!AO$6:AO$200, B196) + COUNTIFS('Data entry'!B$6:B$200,"High*",'Data entry'!AO$6:AO$200, B196) +COUNTIFS('Data entry'!B$6:B$200,"Low*",'Data entry'!AO$6:AO$200, B196) +I196</f>
        <v>0</v>
      </c>
      <c r="H196" s="50">
        <f>IF(COUNTIF('Data entry'!$I$2:$R$2, B196),'Data entry'!O$4, " ")</f>
        <v>0</v>
      </c>
      <c r="I196" s="128">
        <f>IF(COUNTIF('Data entry'!$I$2:$R$2, B196),'Data entry'!O$3, " ")</f>
        <v>0</v>
      </c>
      <c r="J196" s="49">
        <f>COUNTIFS('Data entry'!$B$6:$B$200,"Confirmed", 'Data entry'!$AO$6:$AO$200, B196)+COUNTIFS('Data entry'!$B$6:$B$200,"Probable", 'Data entry'!$AO$6:$AO$200, B196)</f>
        <v>0</v>
      </c>
    </row>
    <row r="197" spans="2:10" ht="31.5" x14ac:dyDescent="0.25">
      <c r="B197" s="47" t="str">
        <f>'Data Validation'!$H9</f>
        <v>Volunteer</v>
      </c>
      <c r="C197" s="49">
        <f>$E$32+$F$32+$E$53+$F$53</f>
        <v>0</v>
      </c>
      <c r="D197" s="49">
        <f>COUNTIFS('Data entry'!$B$6:$B$200,"Confirmed",'Data entry'!$BF$6:$BF$200, "Yes", 'Data entry'!$AO$6:$AO$200, B197)+COUNTIFS('Data entry'!$B$6:$B$200,"Probable",'Data entry'!$BF$6:$BF$200, "Yes", 'Data entry'!$AO$6:$AO$200, B197)</f>
        <v>0</v>
      </c>
      <c r="E197" s="49">
        <f>COUNTIFS('Data entry'!$B$6:$B$200,"Confirmed",'Data entry'!$BG$6:$BG$200, "Yes", 'Data entry'!$AO$6:$AO$200, B197)+COUNTIFS('Data entry'!$B$6:$B$200,"Probable",'Data entry'!$BG$6:$BG$200, "Yes", 'Data entry'!$AO$6:$AO$200, B197)</f>
        <v>0</v>
      </c>
      <c r="F197" s="49">
        <f>COUNTIFS('Data entry'!B$6:B$200,"Confirmed",'Data entry'!BH$6:BH$200, "Fatal", 'Data entry'!AO$6:AO$200, B197)+COUNTIFS('Data entry'!B$6:B$200,"Probable",'Data entry'!BH$6:BH$200, "Fatal", 'Data entry'!AO$6:AO$200, B197)</f>
        <v>0</v>
      </c>
      <c r="G197" s="52">
        <f>COUNTIFS('Data entry'!B$6:B$200,"Confirmed",'Data entry'!AO$6:AO$200, B197)+COUNTIFS('Data entry'!B$6:B$200,"Probable", 'Data entry'!AO$6:AO$200, B197) + COUNTIFS('Data entry'!B$6:B$200,"High*",'Data entry'!AO$6:AO$200, B197) +COUNTIFS('Data entry'!B$6:B$200,"Low*",'Data entry'!AO$6:AO$200, B197) +I197</f>
        <v>0</v>
      </c>
      <c r="H197" s="50">
        <f>IF(COUNTIF('Data entry'!$I$2:$R$2, B197),'Data entry'!P$4, " ")</f>
        <v>0</v>
      </c>
      <c r="I197" s="128">
        <f>IF(COUNTIF('Data entry'!$I$2:$R$2, B197),'Data entry'!P$3, " ")</f>
        <v>0</v>
      </c>
      <c r="J197" s="49">
        <f>COUNTIFS('Data entry'!$B$6:$B$200,"Confirmed", 'Data entry'!$AO$6:$AO$200, B197)+COUNTIFS('Data entry'!$B$6:$B$200,"Probable", 'Data entry'!$AO$6:$AO$200, B197)</f>
        <v>0</v>
      </c>
    </row>
    <row r="198" spans="2:10" x14ac:dyDescent="0.25">
      <c r="B198" s="47" t="str">
        <f>'Data Validation'!$H10</f>
        <v>Other</v>
      </c>
      <c r="C198" s="49">
        <f>$E$33+$F$33+$E$54+$F$54</f>
        <v>0</v>
      </c>
      <c r="D198" s="49">
        <f>COUNTIFS('Data entry'!$B$6:$B$200,"Confirmed",'Data entry'!$BF$6:$BF$200, "Yes", 'Data entry'!$AO$6:$AO$200, B198)+COUNTIFS('Data entry'!$B$6:$B$200,"Probable",'Data entry'!$BF$6:$BF$200, "Yes", 'Data entry'!$AO$6:$AO$200, B198)</f>
        <v>0</v>
      </c>
      <c r="E198" s="49">
        <f>COUNTIFS('Data entry'!$B$6:$B$200,"Confirmed",'Data entry'!$BG$6:$BG$200, "Yes", 'Data entry'!$AO$6:$AO$200, B198)+COUNTIFS('Data entry'!$B$6:$B$200,"Probable",'Data entry'!$BG$6:$BG$200, "Yes", 'Data entry'!$AO$6:$AO$200, B198)</f>
        <v>0</v>
      </c>
      <c r="F198" s="49">
        <f>COUNTIFS('Data entry'!B$6:B$200,"Confirmed",'Data entry'!BH$6:BH$200, "Fatal", 'Data entry'!AO$6:AO$200, B198)+COUNTIFS('Data entry'!B$6:B$200,"Probable",'Data entry'!BH$6:BH$200, "Fatal", 'Data entry'!AO$6:AO$200, B198)</f>
        <v>0</v>
      </c>
      <c r="G198" s="52">
        <f>COUNTIFS('Data entry'!B$6:B$200,"Confirmed",'Data entry'!AO$6:AO$200, B198)+COUNTIFS('Data entry'!B$6:B$200,"Probable", 'Data entry'!AO$6:AO$200, B198) + COUNTIFS('Data entry'!B$6:B$200,"High*",'Data entry'!AO$6:AO$200, B198) +COUNTIFS('Data entry'!B$6:B$200,"Low*",'Data entry'!AO$6:AO$200, B198) +I198</f>
        <v>0</v>
      </c>
      <c r="H198" s="50">
        <f>IF(COUNTIF('Data entry'!$I$2:$R$2, B198),'Data entry'!Q$4, " ")</f>
        <v>0</v>
      </c>
      <c r="I198" s="128">
        <f>IF(COUNTIF('Data entry'!$I$2:$R$2, B198),'Data entry'!Q$3, " ")</f>
        <v>0</v>
      </c>
      <c r="J198" s="49">
        <f>COUNTIFS('Data entry'!$B$6:$B$200,"Confirmed", 'Data entry'!$AO$6:$AO$200, B198)+COUNTIFS('Data entry'!$B$6:$B$200,"Probable", 'Data entry'!$AO$6:$AO$200, B198)</f>
        <v>0</v>
      </c>
    </row>
    <row r="199" spans="2:10" ht="16.5" thickBot="1" x14ac:dyDescent="0.3">
      <c r="B199" s="159" t="s">
        <v>117</v>
      </c>
      <c r="C199" s="51">
        <f>SUM(C190:C194)</f>
        <v>0</v>
      </c>
      <c r="D199" s="51">
        <f>SUM(D190:D194)</f>
        <v>0</v>
      </c>
      <c r="E199" s="51">
        <f>SUM(E190:E194)</f>
        <v>0</v>
      </c>
      <c r="F199" s="51">
        <f>SUM(F190:F194)</f>
        <v>0</v>
      </c>
      <c r="G199" s="129">
        <f>SUM(G190:G198)</f>
        <v>0</v>
      </c>
      <c r="H199" s="129">
        <f>SUM(H190:H198)</f>
        <v>0</v>
      </c>
      <c r="I199" s="55">
        <f>SUM(I190:I194)</f>
        <v>0</v>
      </c>
      <c r="J199" s="51">
        <f>SUM(J190:J194)</f>
        <v>0</v>
      </c>
    </row>
    <row r="200" spans="2:10" ht="16.350000000000001" customHeight="1" x14ac:dyDescent="0.25"/>
  </sheetData>
  <sheetProtection sheet="1" objects="1" scenarios="1" formatCells="0" formatColumns="0" selectLockedCells="1" sort="0" autoFilter="0"/>
  <mergeCells count="261">
    <mergeCell ref="N32:O32"/>
    <mergeCell ref="R6:U6"/>
    <mergeCell ref="R7:U7"/>
    <mergeCell ref="R8:U8"/>
    <mergeCell ref="R9:U9"/>
    <mergeCell ref="R10:U10"/>
    <mergeCell ref="R11:U11"/>
    <mergeCell ref="R12:U12"/>
    <mergeCell ref="R4:U4"/>
    <mergeCell ref="N27:O27"/>
    <mergeCell ref="Q27:R27"/>
    <mergeCell ref="N29:O29"/>
    <mergeCell ref="N4:Q4"/>
    <mergeCell ref="N5:Q5"/>
    <mergeCell ref="N6:Q6"/>
    <mergeCell ref="N8:N10"/>
    <mergeCell ref="R13:U13"/>
    <mergeCell ref="R14:U14"/>
    <mergeCell ref="R15:U15"/>
    <mergeCell ref="R16:U16"/>
    <mergeCell ref="N13:N16"/>
    <mergeCell ref="O13:Q13"/>
    <mergeCell ref="O14:Q14"/>
    <mergeCell ref="O15:Q15"/>
    <mergeCell ref="O16:Q16"/>
    <mergeCell ref="N19:O19"/>
    <mergeCell ref="R5:U5"/>
    <mergeCell ref="O8:Q8"/>
    <mergeCell ref="O9:Q9"/>
    <mergeCell ref="O10:Q10"/>
    <mergeCell ref="N11:Q11"/>
    <mergeCell ref="N12:Q12"/>
    <mergeCell ref="N1:U1"/>
    <mergeCell ref="N2:Q2"/>
    <mergeCell ref="R2:U2"/>
    <mergeCell ref="N3:Q3"/>
    <mergeCell ref="R3:U3"/>
    <mergeCell ref="N7:Q7"/>
    <mergeCell ref="B126:B148"/>
    <mergeCell ref="A1:H1"/>
    <mergeCell ref="E8:H8"/>
    <mergeCell ref="E9:H9"/>
    <mergeCell ref="E11:H11"/>
    <mergeCell ref="E12:H12"/>
    <mergeCell ref="E13:H13"/>
    <mergeCell ref="A2:D2"/>
    <mergeCell ref="A6:D6"/>
    <mergeCell ref="A5:D5"/>
    <mergeCell ref="A3:D3"/>
    <mergeCell ref="A4:D4"/>
    <mergeCell ref="E2:H2"/>
    <mergeCell ref="E3:H3"/>
    <mergeCell ref="E4:H4"/>
    <mergeCell ref="A7:D7"/>
    <mergeCell ref="A11:D11"/>
    <mergeCell ref="A9:D9"/>
    <mergeCell ref="A8:D8"/>
    <mergeCell ref="A13:A17"/>
    <mergeCell ref="E16:H16"/>
    <mergeCell ref="E5:H5"/>
    <mergeCell ref="E6:H6"/>
    <mergeCell ref="E7:H7"/>
    <mergeCell ref="E10:H10"/>
    <mergeCell ref="B13:D13"/>
    <mergeCell ref="A12:D12"/>
    <mergeCell ref="B15:D15"/>
    <mergeCell ref="B16:D16"/>
    <mergeCell ref="B17:D17"/>
    <mergeCell ref="E178:F178"/>
    <mergeCell ref="G178:H178"/>
    <mergeCell ref="E161:H161"/>
    <mergeCell ref="E162:H162"/>
    <mergeCell ref="E163:H163"/>
    <mergeCell ref="E164:H164"/>
    <mergeCell ref="E165:H165"/>
    <mergeCell ref="E121:H121"/>
    <mergeCell ref="E122:H122"/>
    <mergeCell ref="E123:G123"/>
    <mergeCell ref="E124:H124"/>
    <mergeCell ref="E160:H160"/>
    <mergeCell ref="E127:F127"/>
    <mergeCell ref="G127:H127"/>
    <mergeCell ref="E158:H158"/>
    <mergeCell ref="E159:H159"/>
    <mergeCell ref="E150:F150"/>
    <mergeCell ref="E125:G125"/>
    <mergeCell ref="A162:B165"/>
    <mergeCell ref="A161:D161"/>
    <mergeCell ref="A159:D159"/>
    <mergeCell ref="A160:D160"/>
    <mergeCell ref="B155:B157"/>
    <mergeCell ref="C149:D149"/>
    <mergeCell ref="C153:D153"/>
    <mergeCell ref="C154:D154"/>
    <mergeCell ref="C155:D155"/>
    <mergeCell ref="B149:B154"/>
    <mergeCell ref="A21:B41"/>
    <mergeCell ref="C120:D120"/>
    <mergeCell ref="C78:D79"/>
    <mergeCell ref="C80:D81"/>
    <mergeCell ref="C84:D84"/>
    <mergeCell ref="C85:D85"/>
    <mergeCell ref="A20:D20"/>
    <mergeCell ref="C124:D124"/>
    <mergeCell ref="B78:B81"/>
    <mergeCell ref="B83:B88"/>
    <mergeCell ref="C123:D123"/>
    <mergeCell ref="B121:B125"/>
    <mergeCell ref="C125:D125"/>
    <mergeCell ref="C118:D118"/>
    <mergeCell ref="C90:D90"/>
    <mergeCell ref="C83:D83"/>
    <mergeCell ref="C119:D119"/>
    <mergeCell ref="C116:D116"/>
    <mergeCell ref="A63:B75"/>
    <mergeCell ref="A42:B62"/>
    <mergeCell ref="C86:D86"/>
    <mergeCell ref="G179:H179"/>
    <mergeCell ref="A76:A157"/>
    <mergeCell ref="B76:B77"/>
    <mergeCell ref="C150:D150"/>
    <mergeCell ref="B89:B93"/>
    <mergeCell ref="B94:B115"/>
    <mergeCell ref="B116:B120"/>
    <mergeCell ref="C89:D89"/>
    <mergeCell ref="E120:G120"/>
    <mergeCell ref="E117:H117"/>
    <mergeCell ref="C76:D76"/>
    <mergeCell ref="C77:D77"/>
    <mergeCell ref="C156:D156"/>
    <mergeCell ref="C157:D157"/>
    <mergeCell ref="C121:D121"/>
    <mergeCell ref="C122:D122"/>
    <mergeCell ref="E92:H92"/>
    <mergeCell ref="C91:D91"/>
    <mergeCell ref="C92:D92"/>
    <mergeCell ref="E152:H152"/>
    <mergeCell ref="E153:H153"/>
    <mergeCell ref="E151:H151"/>
    <mergeCell ref="E149:F149"/>
    <mergeCell ref="A158:D158"/>
    <mergeCell ref="G180:H180"/>
    <mergeCell ref="E156:H156"/>
    <mergeCell ref="E157:H157"/>
    <mergeCell ref="E154:H154"/>
    <mergeCell ref="E155:H155"/>
    <mergeCell ref="E181:H181"/>
    <mergeCell ref="A10:D10"/>
    <mergeCell ref="E69:H69"/>
    <mergeCell ref="E70:H70"/>
    <mergeCell ref="E71:H71"/>
    <mergeCell ref="E72:H72"/>
    <mergeCell ref="E73:H73"/>
    <mergeCell ref="E19:H19"/>
    <mergeCell ref="E20:H20"/>
    <mergeCell ref="E42:H42"/>
    <mergeCell ref="E68:H68"/>
    <mergeCell ref="E15:H15"/>
    <mergeCell ref="E17:H17"/>
    <mergeCell ref="E18:H18"/>
    <mergeCell ref="E14:H14"/>
    <mergeCell ref="E63:H63"/>
    <mergeCell ref="A18:D18"/>
    <mergeCell ref="E119:H119"/>
    <mergeCell ref="E179:F179"/>
    <mergeCell ref="A186:D186"/>
    <mergeCell ref="E186:H186"/>
    <mergeCell ref="A166:D166"/>
    <mergeCell ref="E166:H166"/>
    <mergeCell ref="E167:H167"/>
    <mergeCell ref="G168:H168"/>
    <mergeCell ref="E169:H169"/>
    <mergeCell ref="E170:H170"/>
    <mergeCell ref="E171:H171"/>
    <mergeCell ref="E172:H172"/>
    <mergeCell ref="E173:F173"/>
    <mergeCell ref="G173:H173"/>
    <mergeCell ref="E174:H174"/>
    <mergeCell ref="E175:H175"/>
    <mergeCell ref="E176:F176"/>
    <mergeCell ref="G176:H176"/>
    <mergeCell ref="C181:D181"/>
    <mergeCell ref="E177:F177"/>
    <mergeCell ref="G177:H177"/>
    <mergeCell ref="A168:B185"/>
    <mergeCell ref="E183:H183"/>
    <mergeCell ref="E184:H184"/>
    <mergeCell ref="E185:H185"/>
    <mergeCell ref="C168:D168"/>
    <mergeCell ref="C183:D183"/>
    <mergeCell ref="C184:D184"/>
    <mergeCell ref="C185:D185"/>
    <mergeCell ref="C182:D182"/>
    <mergeCell ref="C162:D162"/>
    <mergeCell ref="C163:D163"/>
    <mergeCell ref="C164:D164"/>
    <mergeCell ref="C165:D165"/>
    <mergeCell ref="C177:D177"/>
    <mergeCell ref="C176:D176"/>
    <mergeCell ref="C169:D169"/>
    <mergeCell ref="C173:D173"/>
    <mergeCell ref="C174:D174"/>
    <mergeCell ref="C175:D175"/>
    <mergeCell ref="C179:D179"/>
    <mergeCell ref="C180:D180"/>
    <mergeCell ref="C178:D178"/>
    <mergeCell ref="C170:D170"/>
    <mergeCell ref="C171:D171"/>
    <mergeCell ref="C172:D172"/>
    <mergeCell ref="E87:G87"/>
    <mergeCell ref="E88:G88"/>
    <mergeCell ref="E86:H86"/>
    <mergeCell ref="E82:H82"/>
    <mergeCell ref="E83:H83"/>
    <mergeCell ref="C88:D88"/>
    <mergeCell ref="E67:H67"/>
    <mergeCell ref="C68:D68"/>
    <mergeCell ref="C69:D69"/>
    <mergeCell ref="O33:Q33"/>
    <mergeCell ref="O34:Q34"/>
    <mergeCell ref="O35:Q35"/>
    <mergeCell ref="O36:Q36"/>
    <mergeCell ref="O37:Q37"/>
    <mergeCell ref="C21:D21"/>
    <mergeCell ref="C22:D22"/>
    <mergeCell ref="E118:G118"/>
    <mergeCell ref="E91:G91"/>
    <mergeCell ref="E93:G93"/>
    <mergeCell ref="E90:H90"/>
    <mergeCell ref="C93:D93"/>
    <mergeCell ref="E76:F76"/>
    <mergeCell ref="E77:F77"/>
    <mergeCell ref="C117:D117"/>
    <mergeCell ref="C87:D87"/>
    <mergeCell ref="E89:H89"/>
    <mergeCell ref="E84:H84"/>
    <mergeCell ref="E85:G85"/>
    <mergeCell ref="E95:F95"/>
    <mergeCell ref="G95:H95"/>
    <mergeCell ref="E116:H116"/>
    <mergeCell ref="C73:D73"/>
    <mergeCell ref="E21:H21"/>
    <mergeCell ref="E22:H22"/>
    <mergeCell ref="C72:D72"/>
    <mergeCell ref="C41:D41"/>
    <mergeCell ref="E41:H41"/>
    <mergeCell ref="C43:D43"/>
    <mergeCell ref="E43:H43"/>
    <mergeCell ref="C62:D62"/>
    <mergeCell ref="E65:H65"/>
    <mergeCell ref="C63:D63"/>
    <mergeCell ref="C71:D71"/>
    <mergeCell ref="E62:H62"/>
    <mergeCell ref="C64:D64"/>
    <mergeCell ref="C42:D42"/>
    <mergeCell ref="E66:H66"/>
    <mergeCell ref="E64:H64"/>
    <mergeCell ref="C65:D65"/>
    <mergeCell ref="C66:D66"/>
    <mergeCell ref="C67:D67"/>
    <mergeCell ref="C70:D70"/>
  </mergeCells>
  <dataValidations count="7">
    <dataValidation type="list" allowBlank="1" showInputMessage="1" showErrorMessage="1" sqref="E13:H13" xr:uid="{00000000-0002-0000-0000-000000000000}">
      <formula1>"Yes, No, Unsure"</formula1>
    </dataValidation>
    <dataValidation type="list" allowBlank="1" showInputMessage="1" showErrorMessage="1" sqref="E177:F177 E179:F179" xr:uid="{00000000-0002-0000-0000-000001000000}">
      <formula1>"Pending, Received, Reviewed"</formula1>
    </dataValidation>
    <dataValidation type="list" allowBlank="1" showInputMessage="1" showErrorMessage="1" sqref="E175:H175 E180" xr:uid="{00000000-0002-0000-0000-000002000000}">
      <formula1>"Yes, No"</formula1>
    </dataValidation>
    <dataValidation type="date" operator="greaterThan" allowBlank="1" showInputMessage="1" showErrorMessage="1" error="Please enter a date (DD-MMM-YY)_x000a_" sqref="E168" xr:uid="{00000000-0002-0000-0000-000003000000}">
      <formula1>43831</formula1>
    </dataValidation>
    <dataValidation type="whole" operator="greaterThanOrEqual" allowBlank="1" showInputMessage="1" showErrorMessage="1" error="Enter a valid number" sqref="P27 S27" xr:uid="{00000000-0002-0000-0000-000004000000}">
      <formula1>0</formula1>
    </dataValidation>
    <dataValidation type="list" allowBlank="1" showInputMessage="1" showErrorMessage="1" sqref="F180" xr:uid="{00000000-0002-0000-0000-000005000000}">
      <formula1>$Q$2:$Q$3</formula1>
    </dataValidation>
    <dataValidation type="list" allowBlank="1" showInputMessage="1" showErrorMessage="1" sqref="E94:G94 E126:G126" xr:uid="{00000000-0002-0000-0000-000006000000}">
      <formula1>$R$2:$R$3</formula1>
    </dataValidation>
  </dataValidations>
  <pageMargins left="0.7" right="0.7" top="0.75" bottom="0.75" header="0.3" footer="0.3"/>
  <pageSetup scale="58"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7000000}">
          <x14:formula1>
            <xm:f>'Data Validation'!$M$2:$M$4</xm:f>
          </x14:formula1>
          <xm:sqref>F168 E184:H184</xm:sqref>
        </x14:dataValidation>
        <x14:dataValidation type="list" allowBlank="1" showInputMessage="1" showErrorMessage="1" xr:uid="{00000000-0002-0000-0000-000008000000}">
          <x14:formula1>
            <xm:f>'Data Validation'!$Q$2:$Q$4</xm:f>
          </x14:formula1>
          <xm:sqref>E173:F173</xm:sqref>
        </x14:dataValidation>
        <x14:dataValidation type="list" allowBlank="1" showInputMessage="1" showErrorMessage="1" xr:uid="{00000000-0002-0000-0000-000009000000}">
          <x14:formula1>
            <xm:f>'Data Validation'!$P$2:$P$26</xm:f>
          </x14:formula1>
          <xm:sqref>E4:H4</xm:sqref>
        </x14:dataValidation>
        <x14:dataValidation type="list" allowBlank="1" showInputMessage="1" showErrorMessage="1" xr:uid="{00000000-0002-0000-0000-00000A000000}">
          <x14:formula1>
            <xm:f>'Data Validation'!$R$15:$R$19</xm:f>
          </x14:formula1>
          <xm:sqref>E88:G88</xm:sqref>
        </x14:dataValidation>
        <x14:dataValidation type="list" allowBlank="1" showInputMessage="1" showErrorMessage="1" xr:uid="{00000000-0002-0000-0000-00000B000000}">
          <x14:formula1>
            <xm:f>'Data Validation'!$R$2:$R$33</xm:f>
          </x14:formula1>
          <xm:sqref>E85:G85 O34:Q37 E123:G123 E125:G125 E118:G118 E91:G91 E87:G87</xm:sqref>
        </x14:dataValidation>
        <x14:dataValidation type="list" allowBlank="1" showInputMessage="1" showErrorMessage="1" xr:uid="{00000000-0002-0000-0000-00000C000000}">
          <x14:formula1>
            <xm:f>'Data Validation'!$R$15:$R$33</xm:f>
          </x14:formula1>
          <xm:sqref>E120:G120 E93:G93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pageSetUpPr fitToPage="1"/>
  </sheetPr>
  <dimension ref="A1:BN200"/>
  <sheetViews>
    <sheetView tabSelected="1" zoomScale="78" zoomScaleNormal="78" workbookViewId="0">
      <pane xSplit="9" ySplit="5" topLeftCell="J6" activePane="bottomRight" state="frozen"/>
      <selection pane="topRight" activeCell="J1" sqref="J1"/>
      <selection pane="bottomLeft" activeCell="A6" sqref="A6"/>
      <selection pane="bottomRight" activeCell="I3" sqref="I3:Q4"/>
    </sheetView>
  </sheetViews>
  <sheetFormatPr defaultColWidth="5.21875" defaultRowHeight="15" x14ac:dyDescent="0.2"/>
  <cols>
    <col min="1" max="1" width="16.5546875" style="23" customWidth="1"/>
    <col min="2" max="2" width="12.6640625" style="23" customWidth="1"/>
    <col min="3" max="3" width="11.44140625" style="29" customWidth="1"/>
    <col min="4" max="4" width="10.44140625" style="208" customWidth="1"/>
    <col min="5" max="5" width="11.88671875" style="208" customWidth="1"/>
    <col min="6" max="6" width="8.5546875" style="221" customWidth="1"/>
    <col min="7" max="7" width="15.44140625" style="23" customWidth="1"/>
    <col min="8" max="8" width="6.5546875" style="23" customWidth="1"/>
    <col min="9" max="9" width="12.21875" style="23" customWidth="1"/>
    <col min="10" max="10" width="12.6640625" style="23" customWidth="1"/>
    <col min="11" max="11" width="9.44140625" style="23" customWidth="1"/>
    <col min="12" max="12" width="10.6640625" style="31" customWidth="1"/>
    <col min="13" max="13" width="18.21875" style="23" customWidth="1"/>
    <col min="14" max="14" width="9.6640625" style="23" customWidth="1"/>
    <col min="15" max="15" width="8.88671875" style="23" customWidth="1"/>
    <col min="16" max="16" width="12.21875" style="32" customWidth="1"/>
    <col min="17" max="17" width="19.6640625" style="23" customWidth="1"/>
    <col min="18" max="18" width="10.21875" style="33" customWidth="1"/>
    <col min="19" max="19" width="12.21875" style="33" customWidth="1"/>
    <col min="20" max="21" width="5.21875" style="194" customWidth="1"/>
    <col min="22" max="22" width="5.88671875" style="194" customWidth="1"/>
    <col min="23" max="23" width="5.5546875" style="194" customWidth="1"/>
    <col min="24" max="24" width="6.21875" style="194" customWidth="1"/>
    <col min="25" max="29" width="5.21875" style="194" customWidth="1"/>
    <col min="30" max="39" width="4.44140625" style="194" customWidth="1"/>
    <col min="40" max="40" width="6.6640625" style="194" customWidth="1"/>
    <col min="41" max="41" width="12.6640625" style="29" bestFit="1" customWidth="1"/>
    <col min="42" max="42" width="8.21875" style="29" customWidth="1"/>
    <col min="43" max="43" width="11.109375" style="29" bestFit="1" customWidth="1"/>
    <col min="44" max="44" width="18.21875" style="23" customWidth="1"/>
    <col min="45" max="45" width="10.88671875" style="30" customWidth="1"/>
    <col min="46" max="46" width="10.109375" style="30" customWidth="1"/>
    <col min="47" max="47" width="19" style="23" customWidth="1"/>
    <col min="48" max="48" width="10" style="23" customWidth="1"/>
    <col min="49" max="49" width="13.21875" style="53" customWidth="1"/>
    <col min="50" max="50" width="16.21875" style="53" customWidth="1"/>
    <col min="51" max="51" width="11.109375" style="33" customWidth="1"/>
    <col min="52" max="52" width="11.44140625" style="33" customWidth="1"/>
    <col min="53" max="53" width="11.6640625" style="23" customWidth="1"/>
    <col min="54" max="54" width="9.21875" style="23" customWidth="1"/>
    <col min="55" max="55" width="12.21875" style="53" customWidth="1"/>
    <col min="56" max="56" width="10.6640625" style="23" customWidth="1"/>
    <col min="57" max="57" width="27.6640625" style="33" customWidth="1"/>
    <col min="58" max="58" width="11.88671875" style="30" customWidth="1"/>
    <col min="59" max="59" width="12.33203125" style="30" customWidth="1"/>
    <col min="60" max="60" width="7.6640625" style="30" customWidth="1"/>
    <col min="61" max="61" width="19.5546875" style="29" customWidth="1"/>
    <col min="62" max="62" width="9.88671875" style="29" customWidth="1"/>
    <col min="63" max="63" width="10.44140625" style="29" customWidth="1"/>
    <col min="64" max="64" width="11" style="29" customWidth="1"/>
    <col min="65" max="65" width="17.21875" style="23" customWidth="1"/>
    <col min="66" max="66" width="7.109375" style="23" customWidth="1"/>
    <col min="67" max="67" width="5.21875" style="23" customWidth="1"/>
    <col min="68" max="70" width="5.21875" style="23"/>
    <col min="71" max="74" width="5.21875" style="23" customWidth="1"/>
    <col min="75" max="16384" width="5.21875" style="23"/>
  </cols>
  <sheetData>
    <row r="1" spans="1:66" ht="14.85" customHeight="1" thickBot="1" x14ac:dyDescent="0.25">
      <c r="A1" s="226"/>
      <c r="B1" s="226"/>
      <c r="C1" s="227"/>
      <c r="D1" s="227"/>
      <c r="E1" s="227"/>
      <c r="F1" s="278"/>
      <c r="G1" s="226"/>
      <c r="H1" s="226"/>
      <c r="I1" s="226"/>
      <c r="J1" s="226"/>
      <c r="K1" s="226"/>
      <c r="L1" s="228"/>
      <c r="M1" s="226"/>
      <c r="N1" s="226"/>
      <c r="O1" s="226"/>
      <c r="P1" s="229"/>
      <c r="Q1" s="226"/>
      <c r="R1" s="230"/>
      <c r="S1" s="230"/>
      <c r="T1" s="231"/>
      <c r="U1" s="231"/>
      <c r="V1" s="231"/>
      <c r="W1" s="231"/>
      <c r="X1" s="232"/>
      <c r="Y1" s="231"/>
      <c r="Z1" s="231"/>
      <c r="AA1" s="231"/>
      <c r="AB1" s="231"/>
      <c r="AC1" s="231"/>
      <c r="AD1" s="231"/>
      <c r="AE1" s="231"/>
      <c r="AF1" s="231"/>
      <c r="AG1" s="231"/>
      <c r="AH1" s="231"/>
      <c r="AI1" s="231"/>
      <c r="AJ1" s="231"/>
      <c r="AK1" s="231"/>
      <c r="AL1" s="231"/>
      <c r="AM1" s="231"/>
      <c r="AN1" s="231"/>
      <c r="AO1" s="227"/>
      <c r="AP1" s="227"/>
      <c r="AQ1" s="227"/>
      <c r="AR1" s="226"/>
      <c r="AS1" s="233"/>
      <c r="AT1" s="233"/>
      <c r="AU1" s="226"/>
      <c r="AV1" s="226"/>
      <c r="AW1" s="230"/>
      <c r="AX1" s="230"/>
      <c r="AY1" s="230"/>
      <c r="AZ1" s="230"/>
      <c r="BA1" s="226"/>
      <c r="BB1" s="226"/>
      <c r="BC1" s="230"/>
      <c r="BD1" s="226"/>
      <c r="BE1" s="230"/>
      <c r="BF1" s="233"/>
      <c r="BG1" s="233"/>
      <c r="BH1" s="233"/>
      <c r="BI1" s="227"/>
      <c r="BJ1" s="227"/>
      <c r="BK1" s="227"/>
      <c r="BL1" s="227"/>
      <c r="BM1" s="226"/>
    </row>
    <row r="2" spans="1:66" s="28" customFormat="1" ht="30.75" customHeight="1" thickBot="1" x14ac:dyDescent="0.25">
      <c r="A2" s="234"/>
      <c r="B2" s="589" t="s">
        <v>60</v>
      </c>
      <c r="C2" s="218" t="s">
        <v>18</v>
      </c>
      <c r="D2" s="235"/>
      <c r="E2" s="235"/>
      <c r="F2" s="280"/>
      <c r="G2" s="594" t="s">
        <v>305</v>
      </c>
      <c r="H2" s="595"/>
      <c r="I2" s="222" t="str">
        <f>'Data Validation'!H2</f>
        <v>Attendee</v>
      </c>
      <c r="J2" s="209" t="str">
        <f>'Data Validation'!H3</f>
        <v>Patient</v>
      </c>
      <c r="K2" s="209" t="str">
        <f>'Data Validation'!H4</f>
        <v>Patron / Customer</v>
      </c>
      <c r="L2" s="274" t="str">
        <f>'Data Validation'!H5</f>
        <v>Resident</v>
      </c>
      <c r="M2" s="209" t="str">
        <f>'Data Validation'!H6</f>
        <v>Staff</v>
      </c>
      <c r="N2" s="209" t="str">
        <f>'Data Validation'!H7</f>
        <v>Student</v>
      </c>
      <c r="O2" s="209" t="str">
        <f>'Data Validation'!H8</f>
        <v>Visitor</v>
      </c>
      <c r="P2" s="209" t="str">
        <f>'Data Validation'!H9</f>
        <v>Volunteer</v>
      </c>
      <c r="Q2" s="210" t="str">
        <f>'Data Validation'!H10</f>
        <v>Other</v>
      </c>
      <c r="R2" s="236"/>
      <c r="S2" s="236"/>
      <c r="T2" s="236"/>
      <c r="U2" s="236"/>
      <c r="V2" s="237"/>
      <c r="W2" s="238"/>
      <c r="X2" s="232"/>
      <c r="Y2" s="238"/>
      <c r="Z2" s="238"/>
      <c r="AA2" s="238"/>
      <c r="AB2" s="238"/>
      <c r="AC2" s="238"/>
      <c r="AD2" s="238"/>
      <c r="AE2" s="238"/>
      <c r="AF2" s="238"/>
      <c r="AG2" s="238"/>
      <c r="AH2" s="238"/>
      <c r="AI2" s="238"/>
      <c r="AJ2" s="238"/>
      <c r="AK2" s="238"/>
      <c r="AL2" s="238"/>
      <c r="AM2" s="238"/>
      <c r="AN2" s="238"/>
      <c r="AO2" s="239"/>
      <c r="AP2" s="239"/>
      <c r="AQ2" s="239"/>
      <c r="AR2" s="240"/>
      <c r="AS2" s="232"/>
      <c r="AT2" s="232"/>
      <c r="AU2" s="240"/>
      <c r="AV2" s="241"/>
      <c r="AW2" s="241"/>
      <c r="AX2" s="236"/>
      <c r="AY2" s="236"/>
      <c r="AZ2" s="236"/>
      <c r="BA2" s="233"/>
      <c r="BB2" s="242"/>
      <c r="BC2" s="234"/>
      <c r="BD2" s="243"/>
      <c r="BE2" s="234"/>
      <c r="BF2" s="232"/>
      <c r="BG2" s="232"/>
      <c r="BH2" s="232"/>
      <c r="BI2" s="235"/>
      <c r="BJ2" s="235"/>
      <c r="BK2" s="235"/>
      <c r="BL2" s="235"/>
      <c r="BM2" s="236"/>
    </row>
    <row r="3" spans="1:66" s="28" customFormat="1" ht="51.6" customHeight="1" thickBot="1" x14ac:dyDescent="0.25">
      <c r="A3" s="234"/>
      <c r="B3" s="590"/>
      <c r="C3" s="219" t="s">
        <v>61</v>
      </c>
      <c r="D3" s="235"/>
      <c r="E3" s="235"/>
      <c r="F3" s="279"/>
      <c r="G3" s="592" t="s">
        <v>581</v>
      </c>
      <c r="H3" s="593"/>
      <c r="I3" s="244"/>
      <c r="J3" s="245"/>
      <c r="K3" s="245"/>
      <c r="L3" s="275"/>
      <c r="M3" s="245"/>
      <c r="N3" s="246"/>
      <c r="O3" s="246"/>
      <c r="P3" s="246"/>
      <c r="Q3" s="247"/>
      <c r="R3" s="236"/>
      <c r="S3" s="236"/>
      <c r="T3" s="236"/>
      <c r="U3" s="236"/>
      <c r="V3" s="237"/>
      <c r="W3" s="231"/>
      <c r="X3" s="232"/>
      <c r="Y3" s="231"/>
      <c r="Z3" s="231"/>
      <c r="AA3" s="231"/>
      <c r="AB3" s="231"/>
      <c r="AC3" s="231"/>
      <c r="AD3" s="231"/>
      <c r="AE3" s="231"/>
      <c r="AF3" s="231"/>
      <c r="AG3" s="231"/>
      <c r="AH3" s="231"/>
      <c r="AI3" s="231"/>
      <c r="AJ3" s="231"/>
      <c r="AK3" s="231"/>
      <c r="AL3" s="231"/>
      <c r="AM3" s="231"/>
      <c r="AN3" s="231"/>
      <c r="AO3" s="248"/>
      <c r="AP3" s="248"/>
      <c r="AQ3" s="248"/>
      <c r="AR3" s="241"/>
      <c r="AS3" s="232"/>
      <c r="AT3" s="232"/>
      <c r="AU3" s="241"/>
      <c r="AV3" s="249"/>
      <c r="AW3" s="249"/>
      <c r="AX3" s="236"/>
      <c r="AY3" s="236"/>
      <c r="AZ3" s="236"/>
      <c r="BA3" s="233"/>
      <c r="BB3" s="242"/>
      <c r="BC3" s="234"/>
      <c r="BD3" s="243"/>
      <c r="BE3" s="234"/>
      <c r="BF3" s="232"/>
      <c r="BG3" s="232"/>
      <c r="BH3" s="232"/>
      <c r="BI3" s="235"/>
      <c r="BJ3" s="235"/>
      <c r="BK3" s="235"/>
      <c r="BL3" s="235"/>
      <c r="BM3" s="236"/>
    </row>
    <row r="4" spans="1:66" s="28" customFormat="1" ht="26.25" thickBot="1" x14ac:dyDescent="0.25">
      <c r="A4" s="234"/>
      <c r="B4" s="591"/>
      <c r="C4" s="220" t="s">
        <v>562</v>
      </c>
      <c r="D4" s="235"/>
      <c r="E4" s="235"/>
      <c r="F4" s="277"/>
      <c r="G4" s="592" t="s">
        <v>582</v>
      </c>
      <c r="H4" s="593"/>
      <c r="I4" s="250"/>
      <c r="J4" s="251"/>
      <c r="K4" s="251"/>
      <c r="L4" s="276"/>
      <c r="M4" s="251"/>
      <c r="N4" s="252"/>
      <c r="O4" s="252"/>
      <c r="P4" s="252"/>
      <c r="Q4" s="253"/>
      <c r="R4" s="236"/>
      <c r="S4" s="254" t="s">
        <v>511</v>
      </c>
      <c r="T4" s="236"/>
      <c r="U4" s="236"/>
      <c r="V4" s="237"/>
      <c r="W4" s="231"/>
      <c r="X4" s="232"/>
      <c r="Y4" s="231"/>
      <c r="Z4" s="231"/>
      <c r="AA4" s="231"/>
      <c r="AB4" s="231"/>
      <c r="AC4" s="231"/>
      <c r="AD4" s="231"/>
      <c r="AE4" s="231"/>
      <c r="AF4" s="231"/>
      <c r="AG4" s="231"/>
      <c r="AH4" s="231"/>
      <c r="AI4" s="231"/>
      <c r="AJ4" s="231"/>
      <c r="AK4" s="231"/>
      <c r="AL4" s="231"/>
      <c r="AM4" s="231"/>
      <c r="AN4" s="231"/>
      <c r="AO4" s="239"/>
      <c r="AP4" s="239"/>
      <c r="AQ4" s="239"/>
      <c r="AR4" s="234"/>
      <c r="AS4" s="232"/>
      <c r="AT4" s="232"/>
      <c r="AU4" s="234"/>
      <c r="AV4" s="587" t="s">
        <v>512</v>
      </c>
      <c r="AW4" s="588"/>
      <c r="AX4" s="236"/>
      <c r="AY4" s="236"/>
      <c r="AZ4" s="236"/>
      <c r="BA4" s="233"/>
      <c r="BB4" s="242"/>
      <c r="BC4" s="234"/>
      <c r="BD4" s="243"/>
      <c r="BE4" s="234"/>
      <c r="BF4" s="596" t="s">
        <v>512</v>
      </c>
      <c r="BG4" s="597"/>
      <c r="BH4" s="598"/>
      <c r="BI4" s="235"/>
      <c r="BJ4" s="584" t="s">
        <v>304</v>
      </c>
      <c r="BK4" s="585"/>
      <c r="BL4" s="585"/>
      <c r="BM4" s="586"/>
    </row>
    <row r="5" spans="1:66" s="147" customFormat="1" ht="111" customHeight="1" thickBot="1" x14ac:dyDescent="0.25">
      <c r="A5" s="195" t="s">
        <v>325</v>
      </c>
      <c r="B5" s="196" t="s">
        <v>306</v>
      </c>
      <c r="C5" s="196" t="s">
        <v>465</v>
      </c>
      <c r="D5" s="196" t="s">
        <v>586</v>
      </c>
      <c r="E5" s="323" t="s">
        <v>585</v>
      </c>
      <c r="F5" s="282" t="s">
        <v>587</v>
      </c>
      <c r="G5" s="197" t="s">
        <v>307</v>
      </c>
      <c r="H5" s="197" t="s">
        <v>159</v>
      </c>
      <c r="I5" s="197" t="s">
        <v>0</v>
      </c>
      <c r="J5" s="197" t="s">
        <v>1</v>
      </c>
      <c r="K5" s="197" t="s">
        <v>26</v>
      </c>
      <c r="L5" s="198" t="s">
        <v>121</v>
      </c>
      <c r="M5" s="197" t="s">
        <v>2</v>
      </c>
      <c r="N5" s="197" t="s">
        <v>25</v>
      </c>
      <c r="O5" s="197" t="s">
        <v>437</v>
      </c>
      <c r="P5" s="199" t="s">
        <v>46</v>
      </c>
      <c r="Q5" s="197" t="s">
        <v>27</v>
      </c>
      <c r="R5" s="200" t="s">
        <v>308</v>
      </c>
      <c r="S5" s="200" t="s">
        <v>309</v>
      </c>
      <c r="T5" s="581" t="s">
        <v>310</v>
      </c>
      <c r="U5" s="582"/>
      <c r="V5" s="582"/>
      <c r="W5" s="582"/>
      <c r="X5" s="582"/>
      <c r="Y5" s="582"/>
      <c r="Z5" s="582"/>
      <c r="AA5" s="582"/>
      <c r="AB5" s="582"/>
      <c r="AC5" s="582"/>
      <c r="AD5" s="582"/>
      <c r="AE5" s="582"/>
      <c r="AF5" s="582"/>
      <c r="AG5" s="582"/>
      <c r="AH5" s="582"/>
      <c r="AI5" s="582"/>
      <c r="AJ5" s="582"/>
      <c r="AK5" s="582"/>
      <c r="AL5" s="582"/>
      <c r="AM5" s="582"/>
      <c r="AN5" s="583"/>
      <c r="AO5" s="201" t="s">
        <v>311</v>
      </c>
      <c r="AP5" s="201" t="s">
        <v>412</v>
      </c>
      <c r="AQ5" s="201" t="s">
        <v>413</v>
      </c>
      <c r="AR5" s="201" t="s">
        <v>28</v>
      </c>
      <c r="AS5" s="201" t="s">
        <v>423</v>
      </c>
      <c r="AT5" s="201" t="s">
        <v>466</v>
      </c>
      <c r="AU5" s="201" t="s">
        <v>34</v>
      </c>
      <c r="AV5" s="202" t="s">
        <v>438</v>
      </c>
      <c r="AW5" s="155" t="s">
        <v>122</v>
      </c>
      <c r="AX5" s="155" t="s">
        <v>312</v>
      </c>
      <c r="AY5" s="155" t="s">
        <v>102</v>
      </c>
      <c r="AZ5" s="155" t="s">
        <v>103</v>
      </c>
      <c r="BA5" s="202" t="s">
        <v>104</v>
      </c>
      <c r="BB5" s="202" t="s">
        <v>313</v>
      </c>
      <c r="BC5" s="155" t="s">
        <v>314</v>
      </c>
      <c r="BD5" s="202" t="s">
        <v>15</v>
      </c>
      <c r="BE5" s="155" t="s">
        <v>428</v>
      </c>
      <c r="BF5" s="203" t="s">
        <v>315</v>
      </c>
      <c r="BG5" s="203" t="s">
        <v>316</v>
      </c>
      <c r="BH5" s="203" t="s">
        <v>427</v>
      </c>
      <c r="BI5" s="204" t="s">
        <v>16</v>
      </c>
      <c r="BJ5" s="205" t="s">
        <v>320</v>
      </c>
      <c r="BK5" s="206" t="s">
        <v>321</v>
      </c>
      <c r="BL5" s="206" t="s">
        <v>319</v>
      </c>
      <c r="BM5" s="271" t="s">
        <v>190</v>
      </c>
      <c r="BN5" s="273" t="s">
        <v>460</v>
      </c>
    </row>
    <row r="6" spans="1:66" ht="20.45" customHeight="1" x14ac:dyDescent="0.2">
      <c r="A6" s="255"/>
      <c r="B6" s="256"/>
      <c r="C6" s="257"/>
      <c r="D6" s="258"/>
      <c r="E6" s="207" t="str">
        <f t="shared" ref="E6:E37" si="0">CONCATENATE($J6," ",$I6)</f>
        <v xml:space="preserve"> </v>
      </c>
      <c r="F6" s="217" t="str">
        <f t="shared" ref="F6:F37" ca="1" si="1">IF(L6="","",DATEDIF(L6,TODAY(),"Y"))</f>
        <v/>
      </c>
      <c r="G6" s="256"/>
      <c r="H6" s="256"/>
      <c r="I6" s="256"/>
      <c r="J6" s="256"/>
      <c r="K6" s="256"/>
      <c r="L6" s="259"/>
      <c r="M6" s="256"/>
      <c r="N6" s="256"/>
      <c r="O6" s="256"/>
      <c r="P6" s="260"/>
      <c r="Q6" s="261"/>
      <c r="R6" s="258"/>
      <c r="S6" s="258"/>
      <c r="T6" s="262"/>
      <c r="U6" s="262"/>
      <c r="V6" s="262"/>
      <c r="W6" s="262"/>
      <c r="X6" s="262"/>
      <c r="Y6" s="262"/>
      <c r="Z6" s="262"/>
      <c r="AA6" s="262"/>
      <c r="AB6" s="262"/>
      <c r="AC6" s="262"/>
      <c r="AD6" s="262"/>
      <c r="AE6" s="262"/>
      <c r="AF6" s="262"/>
      <c r="AG6" s="262"/>
      <c r="AH6" s="262"/>
      <c r="AI6" s="262"/>
      <c r="AJ6" s="262"/>
      <c r="AK6" s="262"/>
      <c r="AL6" s="262"/>
      <c r="AM6" s="262"/>
      <c r="AN6" s="262"/>
      <c r="AO6" s="263"/>
      <c r="AP6" s="263"/>
      <c r="AQ6" s="263"/>
      <c r="AR6" s="264"/>
      <c r="AS6" s="265"/>
      <c r="AT6" s="259"/>
      <c r="AU6" s="264"/>
      <c r="AV6" s="256"/>
      <c r="AW6" s="258"/>
      <c r="AX6" s="258"/>
      <c r="AY6" s="258"/>
      <c r="AZ6" s="258"/>
      <c r="BA6" s="256"/>
      <c r="BB6" s="256"/>
      <c r="BC6" s="258"/>
      <c r="BD6" s="266"/>
      <c r="BE6" s="258"/>
      <c r="BF6" s="265"/>
      <c r="BG6" s="265"/>
      <c r="BH6" s="265"/>
      <c r="BI6" s="257"/>
      <c r="BJ6" s="257"/>
      <c r="BK6" s="257"/>
      <c r="BL6" s="257"/>
      <c r="BM6" s="272"/>
      <c r="BN6" s="114" t="str">
        <f t="shared" ref="BN6:BN37" si="2">CONCATENATE(LEFT($J6), LEFT($I6))</f>
        <v/>
      </c>
    </row>
    <row r="7" spans="1:66" ht="23.1" customHeight="1" x14ac:dyDescent="0.2">
      <c r="A7" s="255"/>
      <c r="B7" s="256"/>
      <c r="C7" s="257"/>
      <c r="D7" s="258"/>
      <c r="E7" s="207" t="str">
        <f t="shared" si="0"/>
        <v xml:space="preserve"> </v>
      </c>
      <c r="F7" s="217" t="str">
        <f t="shared" ca="1" si="1"/>
        <v/>
      </c>
      <c r="G7" s="256"/>
      <c r="H7" s="256"/>
      <c r="I7" s="256"/>
      <c r="J7" s="256"/>
      <c r="K7" s="256"/>
      <c r="L7" s="259"/>
      <c r="M7" s="256"/>
      <c r="N7" s="256"/>
      <c r="O7" s="256"/>
      <c r="P7" s="260"/>
      <c r="Q7" s="261"/>
      <c r="R7" s="258"/>
      <c r="S7" s="258"/>
      <c r="T7" s="262"/>
      <c r="U7" s="262"/>
      <c r="V7" s="262"/>
      <c r="W7" s="262"/>
      <c r="X7" s="262"/>
      <c r="Y7" s="262"/>
      <c r="Z7" s="262"/>
      <c r="AA7" s="262"/>
      <c r="AB7" s="262"/>
      <c r="AC7" s="262"/>
      <c r="AD7" s="262"/>
      <c r="AE7" s="262"/>
      <c r="AF7" s="262"/>
      <c r="AG7" s="262"/>
      <c r="AH7" s="262"/>
      <c r="AI7" s="262"/>
      <c r="AJ7" s="262"/>
      <c r="AK7" s="262"/>
      <c r="AL7" s="262"/>
      <c r="AM7" s="262"/>
      <c r="AN7" s="262"/>
      <c r="AO7" s="263"/>
      <c r="AP7" s="263"/>
      <c r="AQ7" s="263"/>
      <c r="AR7" s="264"/>
      <c r="AS7" s="265"/>
      <c r="AT7" s="259"/>
      <c r="AU7" s="264"/>
      <c r="AV7" s="256"/>
      <c r="AW7" s="258"/>
      <c r="AX7" s="258"/>
      <c r="AY7" s="258"/>
      <c r="AZ7" s="258"/>
      <c r="BA7" s="256"/>
      <c r="BB7" s="256"/>
      <c r="BC7" s="258"/>
      <c r="BD7" s="266"/>
      <c r="BE7" s="258"/>
      <c r="BF7" s="265"/>
      <c r="BG7" s="265"/>
      <c r="BH7" s="265"/>
      <c r="BI7" s="257"/>
      <c r="BJ7" s="257"/>
      <c r="BK7" s="257"/>
      <c r="BL7" s="257"/>
      <c r="BM7" s="272"/>
      <c r="BN7" s="114" t="str">
        <f t="shared" si="2"/>
        <v/>
      </c>
    </row>
    <row r="8" spans="1:66" ht="15" customHeight="1" x14ac:dyDescent="0.2">
      <c r="A8" s="255"/>
      <c r="B8" s="256"/>
      <c r="C8" s="257"/>
      <c r="D8" s="258"/>
      <c r="E8" s="207" t="str">
        <f t="shared" si="0"/>
        <v xml:space="preserve"> </v>
      </c>
      <c r="F8" s="217" t="str">
        <f t="shared" ca="1" si="1"/>
        <v/>
      </c>
      <c r="G8" s="256"/>
      <c r="H8" s="256"/>
      <c r="I8" s="256"/>
      <c r="J8" s="256"/>
      <c r="K8" s="256"/>
      <c r="L8" s="259"/>
      <c r="M8" s="256"/>
      <c r="N8" s="256"/>
      <c r="O8" s="256"/>
      <c r="P8" s="260"/>
      <c r="Q8" s="261"/>
      <c r="R8" s="258"/>
      <c r="S8" s="258"/>
      <c r="T8" s="262"/>
      <c r="U8" s="262"/>
      <c r="V8" s="262"/>
      <c r="W8" s="262"/>
      <c r="X8" s="262"/>
      <c r="Y8" s="262"/>
      <c r="Z8" s="262"/>
      <c r="AA8" s="262"/>
      <c r="AB8" s="262"/>
      <c r="AC8" s="262"/>
      <c r="AD8" s="262"/>
      <c r="AE8" s="262"/>
      <c r="AF8" s="262"/>
      <c r="AG8" s="262"/>
      <c r="AH8" s="262"/>
      <c r="AI8" s="262"/>
      <c r="AJ8" s="262"/>
      <c r="AK8" s="262"/>
      <c r="AL8" s="262"/>
      <c r="AM8" s="262"/>
      <c r="AN8" s="262"/>
      <c r="AO8" s="263"/>
      <c r="AP8" s="263"/>
      <c r="AQ8" s="263"/>
      <c r="AR8" s="264"/>
      <c r="AS8" s="265"/>
      <c r="AT8" s="259"/>
      <c r="AU8" s="264"/>
      <c r="AV8" s="256"/>
      <c r="AW8" s="258"/>
      <c r="AX8" s="258"/>
      <c r="AY8" s="258"/>
      <c r="AZ8" s="258"/>
      <c r="BA8" s="256"/>
      <c r="BB8" s="256"/>
      <c r="BC8" s="258"/>
      <c r="BD8" s="266"/>
      <c r="BE8" s="258"/>
      <c r="BF8" s="265"/>
      <c r="BG8" s="265"/>
      <c r="BH8" s="265"/>
      <c r="BI8" s="257"/>
      <c r="BJ8" s="257"/>
      <c r="BK8" s="257"/>
      <c r="BL8" s="257"/>
      <c r="BM8" s="272"/>
      <c r="BN8" s="114" t="str">
        <f t="shared" si="2"/>
        <v/>
      </c>
    </row>
    <row r="9" spans="1:66" ht="18" customHeight="1" x14ac:dyDescent="0.2">
      <c r="A9" s="255"/>
      <c r="B9" s="256"/>
      <c r="C9" s="257"/>
      <c r="D9" s="258"/>
      <c r="E9" s="207" t="str">
        <f t="shared" si="0"/>
        <v xml:space="preserve"> </v>
      </c>
      <c r="F9" s="217" t="str">
        <f t="shared" ca="1" si="1"/>
        <v/>
      </c>
      <c r="G9" s="256"/>
      <c r="H9" s="256"/>
      <c r="I9" s="256"/>
      <c r="J9" s="256"/>
      <c r="K9" s="256"/>
      <c r="L9" s="259"/>
      <c r="M9" s="256"/>
      <c r="N9" s="256"/>
      <c r="O9" s="256"/>
      <c r="P9" s="260"/>
      <c r="Q9" s="261"/>
      <c r="R9" s="258"/>
      <c r="S9" s="258"/>
      <c r="T9" s="262"/>
      <c r="U9" s="262"/>
      <c r="V9" s="262"/>
      <c r="W9" s="262"/>
      <c r="X9" s="262"/>
      <c r="Y9" s="262"/>
      <c r="Z9" s="262"/>
      <c r="AA9" s="262"/>
      <c r="AB9" s="262"/>
      <c r="AC9" s="262"/>
      <c r="AD9" s="262"/>
      <c r="AE9" s="262"/>
      <c r="AF9" s="262"/>
      <c r="AG9" s="262"/>
      <c r="AH9" s="262"/>
      <c r="AI9" s="262"/>
      <c r="AJ9" s="262"/>
      <c r="AK9" s="262"/>
      <c r="AL9" s="262"/>
      <c r="AM9" s="262"/>
      <c r="AN9" s="262"/>
      <c r="AO9" s="263"/>
      <c r="AP9" s="263"/>
      <c r="AQ9" s="263"/>
      <c r="AR9" s="264"/>
      <c r="AS9" s="265"/>
      <c r="AT9" s="259"/>
      <c r="AU9" s="264"/>
      <c r="AV9" s="256"/>
      <c r="AW9" s="258"/>
      <c r="AX9" s="258"/>
      <c r="AY9" s="258"/>
      <c r="AZ9" s="258"/>
      <c r="BA9" s="256"/>
      <c r="BB9" s="256"/>
      <c r="BC9" s="258"/>
      <c r="BD9" s="266"/>
      <c r="BE9" s="258"/>
      <c r="BF9" s="265"/>
      <c r="BG9" s="265"/>
      <c r="BH9" s="265"/>
      <c r="BI9" s="257"/>
      <c r="BJ9" s="257"/>
      <c r="BK9" s="257"/>
      <c r="BL9" s="257"/>
      <c r="BM9" s="272"/>
      <c r="BN9" s="114" t="str">
        <f t="shared" si="2"/>
        <v/>
      </c>
    </row>
    <row r="10" spans="1:66" ht="18.95" customHeight="1" x14ac:dyDescent="0.2">
      <c r="A10" s="255"/>
      <c r="B10" s="256"/>
      <c r="C10" s="257"/>
      <c r="D10" s="258"/>
      <c r="E10" s="207" t="str">
        <f t="shared" si="0"/>
        <v xml:space="preserve"> </v>
      </c>
      <c r="F10" s="217" t="str">
        <f t="shared" ca="1" si="1"/>
        <v/>
      </c>
      <c r="G10" s="256"/>
      <c r="H10" s="256"/>
      <c r="I10" s="256"/>
      <c r="J10" s="256"/>
      <c r="K10" s="256"/>
      <c r="L10" s="259"/>
      <c r="M10" s="256"/>
      <c r="N10" s="256"/>
      <c r="O10" s="256"/>
      <c r="P10" s="260"/>
      <c r="Q10" s="261"/>
      <c r="R10" s="258"/>
      <c r="S10" s="258"/>
      <c r="T10" s="262"/>
      <c r="U10" s="262"/>
      <c r="V10" s="262"/>
      <c r="W10" s="262"/>
      <c r="X10" s="262"/>
      <c r="Y10" s="262"/>
      <c r="Z10" s="262"/>
      <c r="AA10" s="262"/>
      <c r="AB10" s="262"/>
      <c r="AC10" s="262"/>
      <c r="AD10" s="262"/>
      <c r="AE10" s="262"/>
      <c r="AF10" s="262"/>
      <c r="AG10" s="262"/>
      <c r="AH10" s="262"/>
      <c r="AI10" s="262"/>
      <c r="AJ10" s="262"/>
      <c r="AK10" s="262"/>
      <c r="AL10" s="262"/>
      <c r="AM10" s="262"/>
      <c r="AN10" s="262"/>
      <c r="AO10" s="263"/>
      <c r="AP10" s="263"/>
      <c r="AQ10" s="263"/>
      <c r="AR10" s="264"/>
      <c r="AS10" s="265"/>
      <c r="AT10" s="259"/>
      <c r="AU10" s="264"/>
      <c r="AV10" s="256"/>
      <c r="AW10" s="258"/>
      <c r="AX10" s="258"/>
      <c r="AY10" s="258"/>
      <c r="AZ10" s="258"/>
      <c r="BA10" s="256"/>
      <c r="BB10" s="256"/>
      <c r="BC10" s="258"/>
      <c r="BD10" s="266"/>
      <c r="BE10" s="258"/>
      <c r="BF10" s="265"/>
      <c r="BG10" s="265"/>
      <c r="BH10" s="265"/>
      <c r="BI10" s="257"/>
      <c r="BJ10" s="257"/>
      <c r="BK10" s="257"/>
      <c r="BL10" s="257"/>
      <c r="BM10" s="272"/>
      <c r="BN10" s="114" t="str">
        <f t="shared" si="2"/>
        <v/>
      </c>
    </row>
    <row r="11" spans="1:66" ht="15" customHeight="1" x14ac:dyDescent="0.2">
      <c r="A11" s="255"/>
      <c r="B11" s="256"/>
      <c r="C11" s="257"/>
      <c r="D11" s="258"/>
      <c r="E11" s="207" t="str">
        <f t="shared" si="0"/>
        <v xml:space="preserve"> </v>
      </c>
      <c r="F11" s="217" t="str">
        <f t="shared" ca="1" si="1"/>
        <v/>
      </c>
      <c r="G11" s="256"/>
      <c r="H11" s="256"/>
      <c r="I11" s="256"/>
      <c r="J11" s="256"/>
      <c r="K11" s="256"/>
      <c r="L11" s="259"/>
      <c r="M11" s="256"/>
      <c r="N11" s="256"/>
      <c r="O11" s="256"/>
      <c r="P11" s="260"/>
      <c r="Q11" s="261"/>
      <c r="R11" s="258"/>
      <c r="S11" s="258"/>
      <c r="T11" s="262"/>
      <c r="U11" s="262"/>
      <c r="V11" s="262"/>
      <c r="W11" s="262"/>
      <c r="X11" s="262"/>
      <c r="Y11" s="262"/>
      <c r="Z11" s="262"/>
      <c r="AA11" s="262"/>
      <c r="AB11" s="262"/>
      <c r="AC11" s="262"/>
      <c r="AD11" s="262"/>
      <c r="AE11" s="262"/>
      <c r="AF11" s="262"/>
      <c r="AG11" s="262"/>
      <c r="AH11" s="262"/>
      <c r="AI11" s="262"/>
      <c r="AJ11" s="262"/>
      <c r="AK11" s="262"/>
      <c r="AL11" s="262"/>
      <c r="AM11" s="262"/>
      <c r="AN11" s="262"/>
      <c r="AO11" s="263"/>
      <c r="AP11" s="263"/>
      <c r="AQ11" s="263"/>
      <c r="AR11" s="264"/>
      <c r="AS11" s="265"/>
      <c r="AT11" s="259"/>
      <c r="AU11" s="264"/>
      <c r="AV11" s="256"/>
      <c r="AW11" s="258"/>
      <c r="AX11" s="258"/>
      <c r="AY11" s="258"/>
      <c r="AZ11" s="258"/>
      <c r="BA11" s="256"/>
      <c r="BB11" s="256"/>
      <c r="BC11" s="258"/>
      <c r="BD11" s="266"/>
      <c r="BE11" s="258"/>
      <c r="BF11" s="265"/>
      <c r="BG11" s="265"/>
      <c r="BH11" s="265"/>
      <c r="BI11" s="257"/>
      <c r="BJ11" s="257"/>
      <c r="BK11" s="257"/>
      <c r="BL11" s="257"/>
      <c r="BM11" s="272"/>
      <c r="BN11" s="114" t="str">
        <f t="shared" si="2"/>
        <v/>
      </c>
    </row>
    <row r="12" spans="1:66" ht="15" customHeight="1" x14ac:dyDescent="0.2">
      <c r="A12" s="255"/>
      <c r="B12" s="256"/>
      <c r="C12" s="257"/>
      <c r="D12" s="258"/>
      <c r="E12" s="207" t="str">
        <f t="shared" si="0"/>
        <v xml:space="preserve"> </v>
      </c>
      <c r="F12" s="217" t="str">
        <f t="shared" ca="1" si="1"/>
        <v/>
      </c>
      <c r="G12" s="256"/>
      <c r="H12" s="256"/>
      <c r="I12" s="256"/>
      <c r="J12" s="256"/>
      <c r="K12" s="256"/>
      <c r="L12" s="259"/>
      <c r="M12" s="256"/>
      <c r="N12" s="256"/>
      <c r="O12" s="256"/>
      <c r="P12" s="260"/>
      <c r="Q12" s="261"/>
      <c r="R12" s="258"/>
      <c r="S12" s="258"/>
      <c r="T12" s="262"/>
      <c r="U12" s="262"/>
      <c r="V12" s="262"/>
      <c r="W12" s="262"/>
      <c r="X12" s="262"/>
      <c r="Y12" s="262"/>
      <c r="Z12" s="262"/>
      <c r="AA12" s="262"/>
      <c r="AB12" s="262"/>
      <c r="AC12" s="262"/>
      <c r="AD12" s="262"/>
      <c r="AE12" s="262"/>
      <c r="AF12" s="262"/>
      <c r="AG12" s="262"/>
      <c r="AH12" s="262"/>
      <c r="AI12" s="262"/>
      <c r="AJ12" s="262"/>
      <c r="AK12" s="262"/>
      <c r="AL12" s="262"/>
      <c r="AM12" s="262"/>
      <c r="AN12" s="262"/>
      <c r="AO12" s="263"/>
      <c r="AP12" s="263"/>
      <c r="AQ12" s="263"/>
      <c r="AR12" s="264"/>
      <c r="AS12" s="265"/>
      <c r="AT12" s="259"/>
      <c r="AU12" s="264"/>
      <c r="AV12" s="256"/>
      <c r="AW12" s="258"/>
      <c r="AX12" s="258"/>
      <c r="AY12" s="258"/>
      <c r="AZ12" s="258"/>
      <c r="BA12" s="256"/>
      <c r="BB12" s="256"/>
      <c r="BC12" s="258"/>
      <c r="BD12" s="266"/>
      <c r="BE12" s="258"/>
      <c r="BF12" s="265"/>
      <c r="BG12" s="265"/>
      <c r="BH12" s="265"/>
      <c r="BI12" s="257"/>
      <c r="BJ12" s="257"/>
      <c r="BK12" s="257"/>
      <c r="BL12" s="257"/>
      <c r="BM12" s="272"/>
      <c r="BN12" s="114" t="str">
        <f t="shared" si="2"/>
        <v/>
      </c>
    </row>
    <row r="13" spans="1:66" ht="15" customHeight="1" x14ac:dyDescent="0.2">
      <c r="A13" s="255"/>
      <c r="B13" s="256"/>
      <c r="C13" s="257"/>
      <c r="D13" s="258"/>
      <c r="E13" s="207" t="str">
        <f t="shared" si="0"/>
        <v xml:space="preserve"> </v>
      </c>
      <c r="F13" s="217" t="str">
        <f t="shared" ca="1" si="1"/>
        <v/>
      </c>
      <c r="G13" s="256"/>
      <c r="H13" s="256"/>
      <c r="I13" s="256"/>
      <c r="J13" s="256"/>
      <c r="K13" s="256"/>
      <c r="L13" s="259"/>
      <c r="M13" s="256"/>
      <c r="N13" s="256"/>
      <c r="O13" s="256"/>
      <c r="P13" s="260"/>
      <c r="Q13" s="261"/>
      <c r="R13" s="258"/>
      <c r="S13" s="258"/>
      <c r="T13" s="262"/>
      <c r="U13" s="262"/>
      <c r="V13" s="262"/>
      <c r="W13" s="262"/>
      <c r="X13" s="262"/>
      <c r="Y13" s="262"/>
      <c r="Z13" s="262"/>
      <c r="AA13" s="262"/>
      <c r="AB13" s="262"/>
      <c r="AC13" s="262"/>
      <c r="AD13" s="262"/>
      <c r="AE13" s="262"/>
      <c r="AF13" s="262"/>
      <c r="AG13" s="262"/>
      <c r="AH13" s="262"/>
      <c r="AI13" s="262"/>
      <c r="AJ13" s="262"/>
      <c r="AK13" s="262"/>
      <c r="AL13" s="262"/>
      <c r="AM13" s="262"/>
      <c r="AN13" s="262"/>
      <c r="AO13" s="263"/>
      <c r="AP13" s="263"/>
      <c r="AQ13" s="263"/>
      <c r="AR13" s="264"/>
      <c r="AS13" s="265"/>
      <c r="AT13" s="259"/>
      <c r="AU13" s="264"/>
      <c r="AV13" s="256"/>
      <c r="AW13" s="258"/>
      <c r="AX13" s="258"/>
      <c r="AY13" s="258"/>
      <c r="AZ13" s="258"/>
      <c r="BA13" s="256"/>
      <c r="BB13" s="256"/>
      <c r="BC13" s="258"/>
      <c r="BD13" s="266"/>
      <c r="BE13" s="258"/>
      <c r="BF13" s="265"/>
      <c r="BG13" s="265"/>
      <c r="BH13" s="265"/>
      <c r="BI13" s="257"/>
      <c r="BJ13" s="257"/>
      <c r="BK13" s="257"/>
      <c r="BL13" s="257"/>
      <c r="BM13" s="272"/>
      <c r="BN13" s="114" t="str">
        <f t="shared" si="2"/>
        <v/>
      </c>
    </row>
    <row r="14" spans="1:66" ht="15" customHeight="1" x14ac:dyDescent="0.2">
      <c r="A14" s="255"/>
      <c r="B14" s="256"/>
      <c r="C14" s="257"/>
      <c r="D14" s="258"/>
      <c r="E14" s="207" t="str">
        <f t="shared" si="0"/>
        <v xml:space="preserve"> </v>
      </c>
      <c r="F14" s="217" t="str">
        <f t="shared" ca="1" si="1"/>
        <v/>
      </c>
      <c r="G14" s="256"/>
      <c r="H14" s="256"/>
      <c r="I14" s="256"/>
      <c r="J14" s="256"/>
      <c r="K14" s="256"/>
      <c r="L14" s="259"/>
      <c r="M14" s="256"/>
      <c r="N14" s="256"/>
      <c r="O14" s="256"/>
      <c r="P14" s="260"/>
      <c r="Q14" s="261"/>
      <c r="R14" s="258"/>
      <c r="S14" s="258"/>
      <c r="T14" s="262"/>
      <c r="U14" s="262"/>
      <c r="V14" s="262"/>
      <c r="W14" s="262"/>
      <c r="X14" s="262"/>
      <c r="Y14" s="262"/>
      <c r="Z14" s="262"/>
      <c r="AA14" s="262"/>
      <c r="AB14" s="262"/>
      <c r="AC14" s="262"/>
      <c r="AD14" s="262"/>
      <c r="AE14" s="262"/>
      <c r="AF14" s="262"/>
      <c r="AG14" s="262"/>
      <c r="AH14" s="262"/>
      <c r="AI14" s="262"/>
      <c r="AJ14" s="262"/>
      <c r="AK14" s="262"/>
      <c r="AL14" s="262"/>
      <c r="AM14" s="262"/>
      <c r="AN14" s="262"/>
      <c r="AO14" s="263"/>
      <c r="AP14" s="263"/>
      <c r="AQ14" s="263"/>
      <c r="AR14" s="264"/>
      <c r="AS14" s="265"/>
      <c r="AT14" s="259"/>
      <c r="AU14" s="264"/>
      <c r="AV14" s="256"/>
      <c r="AW14" s="258"/>
      <c r="AX14" s="258"/>
      <c r="AY14" s="258"/>
      <c r="AZ14" s="258"/>
      <c r="BA14" s="256"/>
      <c r="BB14" s="256"/>
      <c r="BC14" s="258"/>
      <c r="BD14" s="266"/>
      <c r="BE14" s="258"/>
      <c r="BF14" s="265"/>
      <c r="BG14" s="265"/>
      <c r="BH14" s="265"/>
      <c r="BI14" s="257"/>
      <c r="BJ14" s="257"/>
      <c r="BK14" s="257"/>
      <c r="BL14" s="257"/>
      <c r="BM14" s="272"/>
      <c r="BN14" s="114" t="str">
        <f t="shared" si="2"/>
        <v/>
      </c>
    </row>
    <row r="15" spans="1:66" ht="15" customHeight="1" x14ac:dyDescent="0.2">
      <c r="A15" s="255"/>
      <c r="B15" s="256"/>
      <c r="C15" s="257"/>
      <c r="D15" s="258"/>
      <c r="E15" s="207" t="str">
        <f t="shared" si="0"/>
        <v xml:space="preserve"> </v>
      </c>
      <c r="F15" s="217" t="str">
        <f t="shared" ca="1" si="1"/>
        <v/>
      </c>
      <c r="G15" s="256"/>
      <c r="H15" s="256"/>
      <c r="I15" s="256"/>
      <c r="J15" s="256"/>
      <c r="K15" s="256"/>
      <c r="L15" s="259"/>
      <c r="M15" s="256"/>
      <c r="N15" s="256"/>
      <c r="O15" s="256"/>
      <c r="P15" s="260"/>
      <c r="Q15" s="261"/>
      <c r="R15" s="258"/>
      <c r="S15" s="258"/>
      <c r="T15" s="262"/>
      <c r="U15" s="262"/>
      <c r="V15" s="262"/>
      <c r="W15" s="262"/>
      <c r="X15" s="262"/>
      <c r="Y15" s="262"/>
      <c r="Z15" s="262"/>
      <c r="AA15" s="262"/>
      <c r="AB15" s="262"/>
      <c r="AC15" s="262"/>
      <c r="AD15" s="262"/>
      <c r="AE15" s="262"/>
      <c r="AF15" s="262"/>
      <c r="AG15" s="262"/>
      <c r="AH15" s="262"/>
      <c r="AI15" s="262"/>
      <c r="AJ15" s="262"/>
      <c r="AK15" s="262"/>
      <c r="AL15" s="262"/>
      <c r="AM15" s="262"/>
      <c r="AN15" s="262"/>
      <c r="AO15" s="263"/>
      <c r="AP15" s="263"/>
      <c r="AQ15" s="263"/>
      <c r="AR15" s="264"/>
      <c r="AS15" s="265"/>
      <c r="AT15" s="259"/>
      <c r="AU15" s="264"/>
      <c r="AV15" s="256"/>
      <c r="AW15" s="258"/>
      <c r="AX15" s="258"/>
      <c r="AY15" s="258"/>
      <c r="AZ15" s="258"/>
      <c r="BA15" s="256"/>
      <c r="BB15" s="256"/>
      <c r="BC15" s="258"/>
      <c r="BD15" s="266"/>
      <c r="BE15" s="258"/>
      <c r="BF15" s="265"/>
      <c r="BG15" s="265"/>
      <c r="BH15" s="265"/>
      <c r="BI15" s="257"/>
      <c r="BJ15" s="257"/>
      <c r="BK15" s="257"/>
      <c r="BL15" s="257"/>
      <c r="BM15" s="272"/>
      <c r="BN15" s="114" t="str">
        <f t="shared" si="2"/>
        <v/>
      </c>
    </row>
    <row r="16" spans="1:66" ht="15" customHeight="1" x14ac:dyDescent="0.2">
      <c r="A16" s="255"/>
      <c r="B16" s="256"/>
      <c r="C16" s="257"/>
      <c r="D16" s="258"/>
      <c r="E16" s="207" t="str">
        <f t="shared" si="0"/>
        <v xml:space="preserve"> </v>
      </c>
      <c r="F16" s="217" t="str">
        <f t="shared" ca="1" si="1"/>
        <v/>
      </c>
      <c r="G16" s="256"/>
      <c r="H16" s="256"/>
      <c r="I16" s="256"/>
      <c r="J16" s="256"/>
      <c r="K16" s="256"/>
      <c r="L16" s="259"/>
      <c r="M16" s="256"/>
      <c r="N16" s="256"/>
      <c r="O16" s="256"/>
      <c r="P16" s="260"/>
      <c r="Q16" s="261"/>
      <c r="R16" s="258"/>
      <c r="S16" s="258"/>
      <c r="T16" s="262"/>
      <c r="U16" s="262"/>
      <c r="V16" s="262"/>
      <c r="W16" s="262"/>
      <c r="X16" s="262"/>
      <c r="Y16" s="262"/>
      <c r="Z16" s="262"/>
      <c r="AA16" s="262"/>
      <c r="AB16" s="262"/>
      <c r="AC16" s="262"/>
      <c r="AD16" s="262"/>
      <c r="AE16" s="262"/>
      <c r="AF16" s="262"/>
      <c r="AG16" s="262"/>
      <c r="AH16" s="262"/>
      <c r="AI16" s="262"/>
      <c r="AJ16" s="262"/>
      <c r="AK16" s="262"/>
      <c r="AL16" s="262"/>
      <c r="AM16" s="262"/>
      <c r="AN16" s="262"/>
      <c r="AO16" s="263"/>
      <c r="AP16" s="263"/>
      <c r="AQ16" s="263"/>
      <c r="AR16" s="264"/>
      <c r="AS16" s="265"/>
      <c r="AT16" s="259"/>
      <c r="AU16" s="264"/>
      <c r="AV16" s="256"/>
      <c r="AW16" s="258"/>
      <c r="AX16" s="258"/>
      <c r="AY16" s="258"/>
      <c r="AZ16" s="258"/>
      <c r="BA16" s="256"/>
      <c r="BB16" s="256"/>
      <c r="BC16" s="258"/>
      <c r="BD16" s="266"/>
      <c r="BE16" s="258"/>
      <c r="BF16" s="265"/>
      <c r="BG16" s="265"/>
      <c r="BH16" s="265"/>
      <c r="BI16" s="257"/>
      <c r="BJ16" s="257"/>
      <c r="BK16" s="257"/>
      <c r="BL16" s="257"/>
      <c r="BM16" s="272"/>
      <c r="BN16" s="114" t="str">
        <f t="shared" si="2"/>
        <v/>
      </c>
    </row>
    <row r="17" spans="1:66" ht="15" customHeight="1" x14ac:dyDescent="0.2">
      <c r="A17" s="255"/>
      <c r="B17" s="256"/>
      <c r="C17" s="257"/>
      <c r="D17" s="258"/>
      <c r="E17" s="207" t="str">
        <f t="shared" si="0"/>
        <v xml:space="preserve"> </v>
      </c>
      <c r="F17" s="217" t="str">
        <f t="shared" ca="1" si="1"/>
        <v/>
      </c>
      <c r="G17" s="256"/>
      <c r="H17" s="256"/>
      <c r="I17" s="256"/>
      <c r="J17" s="256"/>
      <c r="K17" s="256"/>
      <c r="L17" s="259"/>
      <c r="M17" s="256"/>
      <c r="N17" s="256"/>
      <c r="O17" s="256"/>
      <c r="P17" s="260"/>
      <c r="Q17" s="261"/>
      <c r="R17" s="258"/>
      <c r="S17" s="258"/>
      <c r="T17" s="262"/>
      <c r="U17" s="262"/>
      <c r="V17" s="262"/>
      <c r="W17" s="262"/>
      <c r="X17" s="262"/>
      <c r="Y17" s="262"/>
      <c r="Z17" s="262"/>
      <c r="AA17" s="262"/>
      <c r="AB17" s="262"/>
      <c r="AC17" s="262"/>
      <c r="AD17" s="262"/>
      <c r="AE17" s="262"/>
      <c r="AF17" s="262"/>
      <c r="AG17" s="262"/>
      <c r="AH17" s="262"/>
      <c r="AI17" s="262"/>
      <c r="AJ17" s="262"/>
      <c r="AK17" s="262"/>
      <c r="AL17" s="262"/>
      <c r="AM17" s="262"/>
      <c r="AN17" s="262"/>
      <c r="AO17" s="263"/>
      <c r="AP17" s="263"/>
      <c r="AQ17" s="263"/>
      <c r="AR17" s="264"/>
      <c r="AS17" s="265"/>
      <c r="AT17" s="259"/>
      <c r="AU17" s="264"/>
      <c r="AV17" s="256"/>
      <c r="AW17" s="258"/>
      <c r="AX17" s="258"/>
      <c r="AY17" s="258"/>
      <c r="AZ17" s="258"/>
      <c r="BA17" s="256"/>
      <c r="BB17" s="256"/>
      <c r="BC17" s="258"/>
      <c r="BD17" s="266"/>
      <c r="BE17" s="258"/>
      <c r="BF17" s="265"/>
      <c r="BG17" s="265"/>
      <c r="BH17" s="265"/>
      <c r="BI17" s="257"/>
      <c r="BJ17" s="257"/>
      <c r="BK17" s="257"/>
      <c r="BL17" s="257"/>
      <c r="BM17" s="272"/>
      <c r="BN17" s="114" t="str">
        <f t="shared" si="2"/>
        <v/>
      </c>
    </row>
    <row r="18" spans="1:66" ht="15" customHeight="1" x14ac:dyDescent="0.2">
      <c r="A18" s="255"/>
      <c r="B18" s="256"/>
      <c r="C18" s="257"/>
      <c r="D18" s="258"/>
      <c r="E18" s="207" t="str">
        <f t="shared" si="0"/>
        <v xml:space="preserve"> </v>
      </c>
      <c r="F18" s="217" t="str">
        <f t="shared" ca="1" si="1"/>
        <v/>
      </c>
      <c r="G18" s="256"/>
      <c r="H18" s="256"/>
      <c r="I18" s="256"/>
      <c r="J18" s="256"/>
      <c r="K18" s="256"/>
      <c r="L18" s="259"/>
      <c r="M18" s="256"/>
      <c r="N18" s="256"/>
      <c r="O18" s="256"/>
      <c r="P18" s="260"/>
      <c r="Q18" s="261"/>
      <c r="R18" s="258"/>
      <c r="S18" s="258"/>
      <c r="T18" s="262"/>
      <c r="U18" s="262"/>
      <c r="V18" s="262"/>
      <c r="W18" s="262"/>
      <c r="X18" s="262"/>
      <c r="Y18" s="262"/>
      <c r="Z18" s="262"/>
      <c r="AA18" s="262"/>
      <c r="AB18" s="262"/>
      <c r="AC18" s="262"/>
      <c r="AD18" s="262"/>
      <c r="AE18" s="262"/>
      <c r="AF18" s="262"/>
      <c r="AG18" s="262"/>
      <c r="AH18" s="262"/>
      <c r="AI18" s="262"/>
      <c r="AJ18" s="262"/>
      <c r="AK18" s="262"/>
      <c r="AL18" s="262"/>
      <c r="AM18" s="262"/>
      <c r="AN18" s="262"/>
      <c r="AO18" s="263"/>
      <c r="AP18" s="263"/>
      <c r="AQ18" s="263"/>
      <c r="AR18" s="264"/>
      <c r="AS18" s="265"/>
      <c r="AT18" s="259"/>
      <c r="AU18" s="264"/>
      <c r="AV18" s="256"/>
      <c r="AW18" s="258"/>
      <c r="AX18" s="258"/>
      <c r="AY18" s="258"/>
      <c r="AZ18" s="258"/>
      <c r="BA18" s="256"/>
      <c r="BB18" s="256"/>
      <c r="BC18" s="258"/>
      <c r="BD18" s="266"/>
      <c r="BE18" s="258"/>
      <c r="BF18" s="265"/>
      <c r="BG18" s="265"/>
      <c r="BH18" s="265"/>
      <c r="BI18" s="257"/>
      <c r="BJ18" s="257"/>
      <c r="BK18" s="257"/>
      <c r="BL18" s="257"/>
      <c r="BM18" s="272"/>
      <c r="BN18" s="114" t="str">
        <f t="shared" si="2"/>
        <v/>
      </c>
    </row>
    <row r="19" spans="1:66" ht="15" customHeight="1" x14ac:dyDescent="0.2">
      <c r="A19" s="255"/>
      <c r="B19" s="256"/>
      <c r="C19" s="257"/>
      <c r="D19" s="258"/>
      <c r="E19" s="207" t="str">
        <f t="shared" si="0"/>
        <v xml:space="preserve"> </v>
      </c>
      <c r="F19" s="217" t="str">
        <f t="shared" ca="1" si="1"/>
        <v/>
      </c>
      <c r="G19" s="256"/>
      <c r="H19" s="256"/>
      <c r="I19" s="256"/>
      <c r="J19" s="256"/>
      <c r="K19" s="256"/>
      <c r="L19" s="259"/>
      <c r="M19" s="256"/>
      <c r="N19" s="256"/>
      <c r="O19" s="256"/>
      <c r="P19" s="260"/>
      <c r="Q19" s="261"/>
      <c r="R19" s="258"/>
      <c r="S19" s="258"/>
      <c r="T19" s="262"/>
      <c r="U19" s="262"/>
      <c r="V19" s="262"/>
      <c r="W19" s="262"/>
      <c r="X19" s="262"/>
      <c r="Y19" s="262"/>
      <c r="Z19" s="262"/>
      <c r="AA19" s="262"/>
      <c r="AB19" s="262"/>
      <c r="AC19" s="262"/>
      <c r="AD19" s="262"/>
      <c r="AE19" s="262"/>
      <c r="AF19" s="262"/>
      <c r="AG19" s="262"/>
      <c r="AH19" s="262"/>
      <c r="AI19" s="262"/>
      <c r="AJ19" s="262"/>
      <c r="AK19" s="262"/>
      <c r="AL19" s="262"/>
      <c r="AM19" s="262"/>
      <c r="AN19" s="262"/>
      <c r="AO19" s="263"/>
      <c r="AP19" s="263"/>
      <c r="AQ19" s="263"/>
      <c r="AR19" s="264"/>
      <c r="AS19" s="265"/>
      <c r="AT19" s="259"/>
      <c r="AU19" s="264"/>
      <c r="AV19" s="256"/>
      <c r="AW19" s="258"/>
      <c r="AX19" s="258"/>
      <c r="AY19" s="258"/>
      <c r="AZ19" s="258"/>
      <c r="BA19" s="256"/>
      <c r="BB19" s="256"/>
      <c r="BC19" s="258"/>
      <c r="BD19" s="266"/>
      <c r="BE19" s="258"/>
      <c r="BF19" s="265"/>
      <c r="BG19" s="265"/>
      <c r="BH19" s="265"/>
      <c r="BI19" s="257"/>
      <c r="BJ19" s="257"/>
      <c r="BK19" s="257"/>
      <c r="BL19" s="257"/>
      <c r="BM19" s="272"/>
      <c r="BN19" s="114" t="str">
        <f t="shared" si="2"/>
        <v/>
      </c>
    </row>
    <row r="20" spans="1:66" ht="15" customHeight="1" x14ac:dyDescent="0.2">
      <c r="A20" s="255"/>
      <c r="B20" s="256"/>
      <c r="C20" s="257"/>
      <c r="D20" s="258"/>
      <c r="E20" s="207" t="str">
        <f t="shared" si="0"/>
        <v xml:space="preserve"> </v>
      </c>
      <c r="F20" s="217" t="str">
        <f t="shared" ca="1" si="1"/>
        <v/>
      </c>
      <c r="G20" s="256"/>
      <c r="H20" s="256"/>
      <c r="I20" s="256"/>
      <c r="J20" s="256"/>
      <c r="K20" s="256"/>
      <c r="L20" s="259"/>
      <c r="M20" s="256"/>
      <c r="N20" s="256"/>
      <c r="O20" s="256"/>
      <c r="P20" s="260"/>
      <c r="Q20" s="261"/>
      <c r="R20" s="258"/>
      <c r="S20" s="258"/>
      <c r="T20" s="262"/>
      <c r="U20" s="262"/>
      <c r="V20" s="262"/>
      <c r="W20" s="262"/>
      <c r="X20" s="262"/>
      <c r="Y20" s="262"/>
      <c r="Z20" s="262"/>
      <c r="AA20" s="262"/>
      <c r="AB20" s="262"/>
      <c r="AC20" s="262"/>
      <c r="AD20" s="262"/>
      <c r="AE20" s="262"/>
      <c r="AF20" s="262"/>
      <c r="AG20" s="262"/>
      <c r="AH20" s="262"/>
      <c r="AI20" s="262"/>
      <c r="AJ20" s="262"/>
      <c r="AK20" s="262"/>
      <c r="AL20" s="262"/>
      <c r="AM20" s="262"/>
      <c r="AN20" s="262"/>
      <c r="AO20" s="263"/>
      <c r="AP20" s="263"/>
      <c r="AQ20" s="263"/>
      <c r="AR20" s="264"/>
      <c r="AS20" s="265"/>
      <c r="AT20" s="259"/>
      <c r="AU20" s="264"/>
      <c r="AV20" s="256"/>
      <c r="AW20" s="258"/>
      <c r="AX20" s="258"/>
      <c r="AY20" s="258"/>
      <c r="AZ20" s="258"/>
      <c r="BA20" s="256"/>
      <c r="BB20" s="256"/>
      <c r="BC20" s="258"/>
      <c r="BD20" s="266"/>
      <c r="BE20" s="258"/>
      <c r="BF20" s="265"/>
      <c r="BG20" s="265"/>
      <c r="BH20" s="265"/>
      <c r="BI20" s="257"/>
      <c r="BJ20" s="257"/>
      <c r="BK20" s="257"/>
      <c r="BL20" s="257"/>
      <c r="BM20" s="272"/>
      <c r="BN20" s="114" t="str">
        <f t="shared" si="2"/>
        <v/>
      </c>
    </row>
    <row r="21" spans="1:66" ht="15" customHeight="1" x14ac:dyDescent="0.2">
      <c r="A21" s="255"/>
      <c r="B21" s="256"/>
      <c r="C21" s="257"/>
      <c r="D21" s="258"/>
      <c r="E21" s="207" t="str">
        <f t="shared" si="0"/>
        <v xml:space="preserve"> </v>
      </c>
      <c r="F21" s="217" t="str">
        <f t="shared" ca="1" si="1"/>
        <v/>
      </c>
      <c r="G21" s="256"/>
      <c r="H21" s="256"/>
      <c r="I21" s="256"/>
      <c r="J21" s="256"/>
      <c r="K21" s="256"/>
      <c r="L21" s="259"/>
      <c r="M21" s="256"/>
      <c r="N21" s="256"/>
      <c r="O21" s="256"/>
      <c r="P21" s="260"/>
      <c r="Q21" s="261"/>
      <c r="R21" s="267"/>
      <c r="S21" s="258"/>
      <c r="T21" s="262"/>
      <c r="U21" s="262"/>
      <c r="V21" s="262"/>
      <c r="W21" s="262"/>
      <c r="X21" s="262"/>
      <c r="Y21" s="262"/>
      <c r="Z21" s="262"/>
      <c r="AA21" s="262"/>
      <c r="AB21" s="262"/>
      <c r="AC21" s="262"/>
      <c r="AD21" s="262"/>
      <c r="AE21" s="262"/>
      <c r="AF21" s="262"/>
      <c r="AG21" s="262"/>
      <c r="AH21" s="262"/>
      <c r="AI21" s="262"/>
      <c r="AJ21" s="262"/>
      <c r="AK21" s="262"/>
      <c r="AL21" s="262"/>
      <c r="AM21" s="262"/>
      <c r="AN21" s="262"/>
      <c r="AO21" s="263"/>
      <c r="AP21" s="263"/>
      <c r="AQ21" s="263"/>
      <c r="AR21" s="264"/>
      <c r="AS21" s="265"/>
      <c r="AT21" s="259"/>
      <c r="AU21" s="264"/>
      <c r="AV21" s="256"/>
      <c r="AW21" s="258"/>
      <c r="AX21" s="258"/>
      <c r="AY21" s="258"/>
      <c r="AZ21" s="258"/>
      <c r="BA21" s="256"/>
      <c r="BB21" s="256"/>
      <c r="BC21" s="258"/>
      <c r="BD21" s="266"/>
      <c r="BE21" s="258"/>
      <c r="BF21" s="265"/>
      <c r="BG21" s="265"/>
      <c r="BH21" s="265"/>
      <c r="BI21" s="257"/>
      <c r="BJ21" s="257"/>
      <c r="BK21" s="257"/>
      <c r="BL21" s="257"/>
      <c r="BM21" s="272"/>
      <c r="BN21" s="114" t="str">
        <f t="shared" si="2"/>
        <v/>
      </c>
    </row>
    <row r="22" spans="1:66" ht="15" customHeight="1" x14ac:dyDescent="0.2">
      <c r="A22" s="255"/>
      <c r="B22" s="256"/>
      <c r="C22" s="257"/>
      <c r="D22" s="258"/>
      <c r="E22" s="207" t="str">
        <f t="shared" si="0"/>
        <v xml:space="preserve"> </v>
      </c>
      <c r="F22" s="217" t="str">
        <f t="shared" ca="1" si="1"/>
        <v/>
      </c>
      <c r="G22" s="256"/>
      <c r="H22" s="256"/>
      <c r="I22" s="256"/>
      <c r="J22" s="256"/>
      <c r="K22" s="256"/>
      <c r="L22" s="259"/>
      <c r="M22" s="256"/>
      <c r="N22" s="256"/>
      <c r="O22" s="256"/>
      <c r="P22" s="260"/>
      <c r="Q22" s="261"/>
      <c r="R22" s="267"/>
      <c r="S22" s="258"/>
      <c r="T22" s="262"/>
      <c r="U22" s="262"/>
      <c r="V22" s="262"/>
      <c r="W22" s="262"/>
      <c r="X22" s="262"/>
      <c r="Y22" s="262"/>
      <c r="Z22" s="262"/>
      <c r="AA22" s="262"/>
      <c r="AB22" s="262"/>
      <c r="AC22" s="262"/>
      <c r="AD22" s="262"/>
      <c r="AE22" s="262"/>
      <c r="AF22" s="262"/>
      <c r="AG22" s="262"/>
      <c r="AH22" s="262"/>
      <c r="AI22" s="262"/>
      <c r="AJ22" s="262"/>
      <c r="AK22" s="262"/>
      <c r="AL22" s="262"/>
      <c r="AM22" s="262"/>
      <c r="AN22" s="262"/>
      <c r="AO22" s="263"/>
      <c r="AP22" s="263"/>
      <c r="AQ22" s="263"/>
      <c r="AR22" s="264"/>
      <c r="AS22" s="265"/>
      <c r="AT22" s="259"/>
      <c r="AU22" s="264"/>
      <c r="AV22" s="256"/>
      <c r="AW22" s="258"/>
      <c r="AX22" s="258"/>
      <c r="AY22" s="258"/>
      <c r="AZ22" s="258"/>
      <c r="BA22" s="256"/>
      <c r="BB22" s="256"/>
      <c r="BC22" s="258"/>
      <c r="BD22" s="266"/>
      <c r="BE22" s="258"/>
      <c r="BF22" s="265"/>
      <c r="BG22" s="265"/>
      <c r="BH22" s="265"/>
      <c r="BI22" s="257"/>
      <c r="BJ22" s="257"/>
      <c r="BK22" s="257"/>
      <c r="BL22" s="257"/>
      <c r="BM22" s="272"/>
      <c r="BN22" s="114" t="str">
        <f t="shared" si="2"/>
        <v/>
      </c>
    </row>
    <row r="23" spans="1:66" ht="15" customHeight="1" x14ac:dyDescent="0.2">
      <c r="A23" s="255"/>
      <c r="B23" s="256"/>
      <c r="C23" s="257"/>
      <c r="D23" s="258"/>
      <c r="E23" s="207" t="str">
        <f t="shared" si="0"/>
        <v xml:space="preserve"> </v>
      </c>
      <c r="F23" s="217" t="str">
        <f t="shared" ca="1" si="1"/>
        <v/>
      </c>
      <c r="G23" s="256"/>
      <c r="H23" s="256"/>
      <c r="I23" s="256"/>
      <c r="J23" s="256"/>
      <c r="K23" s="256"/>
      <c r="L23" s="259"/>
      <c r="M23" s="256"/>
      <c r="N23" s="256"/>
      <c r="O23" s="256"/>
      <c r="P23" s="260"/>
      <c r="Q23" s="261"/>
      <c r="R23" s="267"/>
      <c r="S23" s="258"/>
      <c r="T23" s="262"/>
      <c r="U23" s="262"/>
      <c r="V23" s="262"/>
      <c r="W23" s="262"/>
      <c r="X23" s="262"/>
      <c r="Y23" s="262"/>
      <c r="Z23" s="262"/>
      <c r="AA23" s="262"/>
      <c r="AB23" s="262"/>
      <c r="AC23" s="262"/>
      <c r="AD23" s="262"/>
      <c r="AE23" s="262"/>
      <c r="AF23" s="262"/>
      <c r="AG23" s="262"/>
      <c r="AH23" s="262"/>
      <c r="AI23" s="262"/>
      <c r="AJ23" s="262"/>
      <c r="AK23" s="262"/>
      <c r="AL23" s="262"/>
      <c r="AM23" s="262"/>
      <c r="AN23" s="262"/>
      <c r="AO23" s="263"/>
      <c r="AP23" s="263"/>
      <c r="AQ23" s="263"/>
      <c r="AR23" s="264"/>
      <c r="AS23" s="265"/>
      <c r="AT23" s="259"/>
      <c r="AU23" s="264"/>
      <c r="AV23" s="256"/>
      <c r="AW23" s="258"/>
      <c r="AX23" s="258"/>
      <c r="AY23" s="258"/>
      <c r="AZ23" s="258"/>
      <c r="BA23" s="256"/>
      <c r="BB23" s="256"/>
      <c r="BC23" s="258"/>
      <c r="BD23" s="266"/>
      <c r="BE23" s="258"/>
      <c r="BF23" s="265"/>
      <c r="BG23" s="265"/>
      <c r="BH23" s="265"/>
      <c r="BI23" s="257"/>
      <c r="BJ23" s="257"/>
      <c r="BK23" s="257"/>
      <c r="BL23" s="257"/>
      <c r="BM23" s="272"/>
      <c r="BN23" s="114" t="str">
        <f t="shared" si="2"/>
        <v/>
      </c>
    </row>
    <row r="24" spans="1:66" ht="15" customHeight="1" x14ac:dyDescent="0.2">
      <c r="A24" s="255"/>
      <c r="B24" s="256"/>
      <c r="C24" s="257"/>
      <c r="D24" s="258"/>
      <c r="E24" s="207" t="str">
        <f t="shared" si="0"/>
        <v xml:space="preserve"> </v>
      </c>
      <c r="F24" s="217" t="str">
        <f t="shared" ca="1" si="1"/>
        <v/>
      </c>
      <c r="G24" s="256"/>
      <c r="H24" s="256"/>
      <c r="I24" s="256"/>
      <c r="J24" s="256"/>
      <c r="K24" s="256"/>
      <c r="L24" s="259"/>
      <c r="M24" s="256"/>
      <c r="N24" s="256"/>
      <c r="O24" s="256"/>
      <c r="P24" s="260"/>
      <c r="Q24" s="261"/>
      <c r="R24" s="267"/>
      <c r="S24" s="258"/>
      <c r="T24" s="262"/>
      <c r="U24" s="262"/>
      <c r="V24" s="262"/>
      <c r="W24" s="262"/>
      <c r="X24" s="262"/>
      <c r="Y24" s="262"/>
      <c r="Z24" s="262"/>
      <c r="AA24" s="262"/>
      <c r="AB24" s="262"/>
      <c r="AC24" s="262"/>
      <c r="AD24" s="262"/>
      <c r="AE24" s="262"/>
      <c r="AF24" s="262"/>
      <c r="AG24" s="262"/>
      <c r="AH24" s="262"/>
      <c r="AI24" s="262"/>
      <c r="AJ24" s="262"/>
      <c r="AK24" s="262"/>
      <c r="AL24" s="262"/>
      <c r="AM24" s="262"/>
      <c r="AN24" s="262"/>
      <c r="AO24" s="263"/>
      <c r="AP24" s="263"/>
      <c r="AQ24" s="263"/>
      <c r="AR24" s="264"/>
      <c r="AS24" s="265"/>
      <c r="AT24" s="259"/>
      <c r="AU24" s="264"/>
      <c r="AV24" s="256"/>
      <c r="AW24" s="258"/>
      <c r="AX24" s="258"/>
      <c r="AY24" s="258"/>
      <c r="AZ24" s="258"/>
      <c r="BA24" s="256"/>
      <c r="BB24" s="256"/>
      <c r="BC24" s="258"/>
      <c r="BD24" s="266"/>
      <c r="BE24" s="258"/>
      <c r="BF24" s="265"/>
      <c r="BG24" s="265"/>
      <c r="BH24" s="265"/>
      <c r="BI24" s="257"/>
      <c r="BJ24" s="257"/>
      <c r="BK24" s="257"/>
      <c r="BL24" s="257"/>
      <c r="BM24" s="272"/>
      <c r="BN24" s="114" t="str">
        <f t="shared" si="2"/>
        <v/>
      </c>
    </row>
    <row r="25" spans="1:66" ht="15" customHeight="1" x14ac:dyDescent="0.2">
      <c r="A25" s="255"/>
      <c r="B25" s="256"/>
      <c r="C25" s="257"/>
      <c r="D25" s="258"/>
      <c r="E25" s="207" t="str">
        <f t="shared" si="0"/>
        <v xml:space="preserve"> </v>
      </c>
      <c r="F25" s="217" t="str">
        <f t="shared" ca="1" si="1"/>
        <v/>
      </c>
      <c r="G25" s="256"/>
      <c r="H25" s="256"/>
      <c r="I25" s="256"/>
      <c r="J25" s="256"/>
      <c r="K25" s="256"/>
      <c r="L25" s="259"/>
      <c r="M25" s="256"/>
      <c r="N25" s="256"/>
      <c r="O25" s="256"/>
      <c r="P25" s="260"/>
      <c r="Q25" s="261"/>
      <c r="R25" s="267"/>
      <c r="S25" s="258"/>
      <c r="T25" s="262"/>
      <c r="U25" s="262"/>
      <c r="V25" s="262"/>
      <c r="W25" s="262"/>
      <c r="X25" s="262"/>
      <c r="Y25" s="262"/>
      <c r="Z25" s="262"/>
      <c r="AA25" s="262"/>
      <c r="AB25" s="262"/>
      <c r="AC25" s="262"/>
      <c r="AD25" s="262"/>
      <c r="AE25" s="262"/>
      <c r="AF25" s="262"/>
      <c r="AG25" s="262"/>
      <c r="AH25" s="262"/>
      <c r="AI25" s="262"/>
      <c r="AJ25" s="262"/>
      <c r="AK25" s="262"/>
      <c r="AL25" s="262"/>
      <c r="AM25" s="262"/>
      <c r="AN25" s="262"/>
      <c r="AO25" s="263"/>
      <c r="AP25" s="263"/>
      <c r="AQ25" s="263"/>
      <c r="AR25" s="264"/>
      <c r="AS25" s="265"/>
      <c r="AT25" s="259"/>
      <c r="AU25" s="264"/>
      <c r="AV25" s="256"/>
      <c r="AW25" s="258"/>
      <c r="AX25" s="258"/>
      <c r="AY25" s="258"/>
      <c r="AZ25" s="258"/>
      <c r="BA25" s="256"/>
      <c r="BB25" s="256"/>
      <c r="BC25" s="258"/>
      <c r="BD25" s="266"/>
      <c r="BE25" s="258"/>
      <c r="BF25" s="265"/>
      <c r="BG25" s="265"/>
      <c r="BH25" s="265"/>
      <c r="BI25" s="257"/>
      <c r="BJ25" s="257"/>
      <c r="BK25" s="257"/>
      <c r="BL25" s="257"/>
      <c r="BM25" s="272"/>
      <c r="BN25" s="114" t="str">
        <f t="shared" si="2"/>
        <v/>
      </c>
    </row>
    <row r="26" spans="1:66" ht="15" customHeight="1" x14ac:dyDescent="0.2">
      <c r="A26" s="255"/>
      <c r="B26" s="256"/>
      <c r="C26" s="257"/>
      <c r="D26" s="258"/>
      <c r="E26" s="207" t="str">
        <f t="shared" si="0"/>
        <v xml:space="preserve"> </v>
      </c>
      <c r="F26" s="217" t="str">
        <f t="shared" ca="1" si="1"/>
        <v/>
      </c>
      <c r="G26" s="256"/>
      <c r="H26" s="256"/>
      <c r="I26" s="256"/>
      <c r="J26" s="256"/>
      <c r="K26" s="256"/>
      <c r="L26" s="259"/>
      <c r="M26" s="256"/>
      <c r="N26" s="256"/>
      <c r="O26" s="256"/>
      <c r="P26" s="260"/>
      <c r="Q26" s="261"/>
      <c r="R26" s="267"/>
      <c r="S26" s="258"/>
      <c r="T26" s="262"/>
      <c r="U26" s="262"/>
      <c r="V26" s="262"/>
      <c r="W26" s="262"/>
      <c r="X26" s="262"/>
      <c r="Y26" s="262"/>
      <c r="Z26" s="262"/>
      <c r="AA26" s="262"/>
      <c r="AB26" s="262"/>
      <c r="AC26" s="262"/>
      <c r="AD26" s="262"/>
      <c r="AE26" s="262"/>
      <c r="AF26" s="262"/>
      <c r="AG26" s="262"/>
      <c r="AH26" s="262"/>
      <c r="AI26" s="262"/>
      <c r="AJ26" s="262"/>
      <c r="AK26" s="262"/>
      <c r="AL26" s="262"/>
      <c r="AM26" s="262"/>
      <c r="AN26" s="262"/>
      <c r="AO26" s="263"/>
      <c r="AP26" s="263"/>
      <c r="AQ26" s="263"/>
      <c r="AR26" s="264"/>
      <c r="AS26" s="265"/>
      <c r="AT26" s="259"/>
      <c r="AU26" s="264"/>
      <c r="AV26" s="256"/>
      <c r="AW26" s="258"/>
      <c r="AX26" s="258"/>
      <c r="AY26" s="258"/>
      <c r="AZ26" s="258"/>
      <c r="BA26" s="256"/>
      <c r="BB26" s="256"/>
      <c r="BC26" s="258"/>
      <c r="BD26" s="266"/>
      <c r="BE26" s="258"/>
      <c r="BF26" s="265"/>
      <c r="BG26" s="265"/>
      <c r="BH26" s="265"/>
      <c r="BI26" s="257"/>
      <c r="BJ26" s="257"/>
      <c r="BK26" s="257"/>
      <c r="BL26" s="257"/>
      <c r="BM26" s="272"/>
      <c r="BN26" s="114" t="str">
        <f t="shared" si="2"/>
        <v/>
      </c>
    </row>
    <row r="27" spans="1:66" ht="15" customHeight="1" x14ac:dyDescent="0.2">
      <c r="A27" s="255"/>
      <c r="B27" s="256"/>
      <c r="C27" s="257"/>
      <c r="D27" s="258"/>
      <c r="E27" s="207" t="str">
        <f t="shared" si="0"/>
        <v xml:space="preserve"> </v>
      </c>
      <c r="F27" s="217" t="str">
        <f t="shared" ca="1" si="1"/>
        <v/>
      </c>
      <c r="G27" s="256"/>
      <c r="H27" s="256"/>
      <c r="I27" s="256"/>
      <c r="J27" s="256"/>
      <c r="K27" s="256"/>
      <c r="L27" s="259"/>
      <c r="M27" s="256"/>
      <c r="N27" s="256"/>
      <c r="O27" s="256"/>
      <c r="P27" s="260"/>
      <c r="Q27" s="261"/>
      <c r="R27" s="267"/>
      <c r="S27" s="258"/>
      <c r="T27" s="262"/>
      <c r="U27" s="262"/>
      <c r="V27" s="262"/>
      <c r="W27" s="262"/>
      <c r="X27" s="262"/>
      <c r="Y27" s="262"/>
      <c r="Z27" s="262"/>
      <c r="AA27" s="262"/>
      <c r="AB27" s="262"/>
      <c r="AC27" s="262"/>
      <c r="AD27" s="262"/>
      <c r="AE27" s="262"/>
      <c r="AF27" s="262"/>
      <c r="AG27" s="262"/>
      <c r="AH27" s="262"/>
      <c r="AI27" s="262"/>
      <c r="AJ27" s="262"/>
      <c r="AK27" s="262"/>
      <c r="AL27" s="262"/>
      <c r="AM27" s="262"/>
      <c r="AN27" s="262"/>
      <c r="AO27" s="263"/>
      <c r="AP27" s="263"/>
      <c r="AQ27" s="263"/>
      <c r="AR27" s="264"/>
      <c r="AS27" s="265"/>
      <c r="AT27" s="259"/>
      <c r="AU27" s="264"/>
      <c r="AV27" s="256"/>
      <c r="AW27" s="258"/>
      <c r="AX27" s="258"/>
      <c r="AY27" s="258"/>
      <c r="AZ27" s="258"/>
      <c r="BA27" s="256"/>
      <c r="BB27" s="256"/>
      <c r="BC27" s="258"/>
      <c r="BD27" s="266"/>
      <c r="BE27" s="258"/>
      <c r="BF27" s="265"/>
      <c r="BG27" s="265"/>
      <c r="BH27" s="265"/>
      <c r="BI27" s="257"/>
      <c r="BJ27" s="257"/>
      <c r="BK27" s="257"/>
      <c r="BL27" s="257"/>
      <c r="BM27" s="272"/>
      <c r="BN27" s="114" t="str">
        <f t="shared" si="2"/>
        <v/>
      </c>
    </row>
    <row r="28" spans="1:66" ht="15" customHeight="1" x14ac:dyDescent="0.2">
      <c r="A28" s="255"/>
      <c r="B28" s="256"/>
      <c r="C28" s="257"/>
      <c r="D28" s="258"/>
      <c r="E28" s="207" t="str">
        <f t="shared" si="0"/>
        <v xml:space="preserve"> </v>
      </c>
      <c r="F28" s="217" t="str">
        <f t="shared" ca="1" si="1"/>
        <v/>
      </c>
      <c r="G28" s="256"/>
      <c r="H28" s="256"/>
      <c r="I28" s="256"/>
      <c r="J28" s="256"/>
      <c r="K28" s="256"/>
      <c r="L28" s="259"/>
      <c r="M28" s="256"/>
      <c r="N28" s="256"/>
      <c r="O28" s="256"/>
      <c r="P28" s="260"/>
      <c r="Q28" s="261"/>
      <c r="R28" s="267"/>
      <c r="S28" s="258"/>
      <c r="T28" s="262"/>
      <c r="U28" s="262"/>
      <c r="V28" s="262"/>
      <c r="W28" s="262"/>
      <c r="X28" s="262"/>
      <c r="Y28" s="262"/>
      <c r="Z28" s="262"/>
      <c r="AA28" s="262"/>
      <c r="AB28" s="262"/>
      <c r="AC28" s="262"/>
      <c r="AD28" s="262"/>
      <c r="AE28" s="262"/>
      <c r="AF28" s="262"/>
      <c r="AG28" s="262"/>
      <c r="AH28" s="262"/>
      <c r="AI28" s="262"/>
      <c r="AJ28" s="262"/>
      <c r="AK28" s="262"/>
      <c r="AL28" s="262"/>
      <c r="AM28" s="262"/>
      <c r="AN28" s="262"/>
      <c r="AO28" s="263"/>
      <c r="AP28" s="263"/>
      <c r="AQ28" s="263"/>
      <c r="AR28" s="264"/>
      <c r="AS28" s="265"/>
      <c r="AT28" s="259"/>
      <c r="AU28" s="264"/>
      <c r="AV28" s="256"/>
      <c r="AW28" s="258"/>
      <c r="AX28" s="258"/>
      <c r="AY28" s="258"/>
      <c r="AZ28" s="258"/>
      <c r="BA28" s="256"/>
      <c r="BB28" s="256"/>
      <c r="BC28" s="258"/>
      <c r="BD28" s="266"/>
      <c r="BE28" s="258"/>
      <c r="BF28" s="265"/>
      <c r="BG28" s="265"/>
      <c r="BH28" s="265"/>
      <c r="BI28" s="257"/>
      <c r="BJ28" s="257"/>
      <c r="BK28" s="257"/>
      <c r="BL28" s="257"/>
      <c r="BM28" s="272"/>
      <c r="BN28" s="114" t="str">
        <f t="shared" si="2"/>
        <v/>
      </c>
    </row>
    <row r="29" spans="1:66" ht="15" customHeight="1" x14ac:dyDescent="0.2">
      <c r="A29" s="255"/>
      <c r="B29" s="256"/>
      <c r="C29" s="257"/>
      <c r="D29" s="258"/>
      <c r="E29" s="207" t="str">
        <f t="shared" si="0"/>
        <v xml:space="preserve"> </v>
      </c>
      <c r="F29" s="217" t="str">
        <f t="shared" ca="1" si="1"/>
        <v/>
      </c>
      <c r="G29" s="256"/>
      <c r="H29" s="256"/>
      <c r="I29" s="256"/>
      <c r="J29" s="256"/>
      <c r="K29" s="256"/>
      <c r="L29" s="259"/>
      <c r="M29" s="256"/>
      <c r="N29" s="256"/>
      <c r="O29" s="256"/>
      <c r="P29" s="260"/>
      <c r="Q29" s="261"/>
      <c r="R29" s="267"/>
      <c r="S29" s="258"/>
      <c r="T29" s="262"/>
      <c r="U29" s="262"/>
      <c r="V29" s="262"/>
      <c r="W29" s="262"/>
      <c r="X29" s="262"/>
      <c r="Y29" s="262"/>
      <c r="Z29" s="262"/>
      <c r="AA29" s="262"/>
      <c r="AB29" s="262"/>
      <c r="AC29" s="262"/>
      <c r="AD29" s="262"/>
      <c r="AE29" s="262"/>
      <c r="AF29" s="262"/>
      <c r="AG29" s="262"/>
      <c r="AH29" s="262"/>
      <c r="AI29" s="262"/>
      <c r="AJ29" s="262"/>
      <c r="AK29" s="262"/>
      <c r="AL29" s="262"/>
      <c r="AM29" s="262"/>
      <c r="AN29" s="262"/>
      <c r="AO29" s="263"/>
      <c r="AP29" s="263"/>
      <c r="AQ29" s="263"/>
      <c r="AR29" s="264"/>
      <c r="AS29" s="265"/>
      <c r="AT29" s="259"/>
      <c r="AU29" s="264"/>
      <c r="AV29" s="256"/>
      <c r="AW29" s="258"/>
      <c r="AX29" s="258"/>
      <c r="AY29" s="258"/>
      <c r="AZ29" s="258"/>
      <c r="BA29" s="256"/>
      <c r="BB29" s="256"/>
      <c r="BC29" s="258"/>
      <c r="BD29" s="266"/>
      <c r="BE29" s="258"/>
      <c r="BF29" s="265"/>
      <c r="BG29" s="265"/>
      <c r="BH29" s="265"/>
      <c r="BI29" s="257"/>
      <c r="BJ29" s="257"/>
      <c r="BK29" s="257"/>
      <c r="BL29" s="257"/>
      <c r="BM29" s="272"/>
      <c r="BN29" s="114" t="str">
        <f t="shared" si="2"/>
        <v/>
      </c>
    </row>
    <row r="30" spans="1:66" ht="15" customHeight="1" x14ac:dyDescent="0.2">
      <c r="A30" s="255"/>
      <c r="B30" s="256"/>
      <c r="C30" s="257"/>
      <c r="D30" s="258"/>
      <c r="E30" s="207" t="str">
        <f t="shared" si="0"/>
        <v xml:space="preserve"> </v>
      </c>
      <c r="F30" s="217" t="str">
        <f t="shared" ca="1" si="1"/>
        <v/>
      </c>
      <c r="G30" s="256"/>
      <c r="H30" s="256"/>
      <c r="I30" s="256"/>
      <c r="J30" s="256"/>
      <c r="K30" s="256"/>
      <c r="L30" s="259"/>
      <c r="M30" s="256"/>
      <c r="N30" s="256"/>
      <c r="O30" s="256"/>
      <c r="P30" s="260"/>
      <c r="Q30" s="261"/>
      <c r="R30" s="267"/>
      <c r="S30" s="258"/>
      <c r="T30" s="262"/>
      <c r="U30" s="262"/>
      <c r="V30" s="262"/>
      <c r="W30" s="262"/>
      <c r="X30" s="262"/>
      <c r="Y30" s="262"/>
      <c r="Z30" s="262"/>
      <c r="AA30" s="262"/>
      <c r="AB30" s="262"/>
      <c r="AC30" s="262"/>
      <c r="AD30" s="262"/>
      <c r="AE30" s="262"/>
      <c r="AF30" s="262"/>
      <c r="AG30" s="262"/>
      <c r="AH30" s="262"/>
      <c r="AI30" s="262"/>
      <c r="AJ30" s="262"/>
      <c r="AK30" s="262"/>
      <c r="AL30" s="262"/>
      <c r="AM30" s="262"/>
      <c r="AN30" s="262"/>
      <c r="AO30" s="263"/>
      <c r="AP30" s="263"/>
      <c r="AQ30" s="263"/>
      <c r="AR30" s="264"/>
      <c r="AS30" s="265"/>
      <c r="AT30" s="259"/>
      <c r="AU30" s="264"/>
      <c r="AV30" s="256"/>
      <c r="AW30" s="258"/>
      <c r="AX30" s="258"/>
      <c r="AY30" s="258"/>
      <c r="AZ30" s="258"/>
      <c r="BA30" s="256"/>
      <c r="BB30" s="256"/>
      <c r="BC30" s="258"/>
      <c r="BD30" s="266"/>
      <c r="BE30" s="258"/>
      <c r="BF30" s="265"/>
      <c r="BG30" s="265"/>
      <c r="BH30" s="265"/>
      <c r="BI30" s="257"/>
      <c r="BJ30" s="257"/>
      <c r="BK30" s="257"/>
      <c r="BL30" s="257"/>
      <c r="BM30" s="272"/>
      <c r="BN30" s="114" t="str">
        <f t="shared" si="2"/>
        <v/>
      </c>
    </row>
    <row r="31" spans="1:66" ht="15" customHeight="1" x14ac:dyDescent="0.2">
      <c r="A31" s="255"/>
      <c r="B31" s="256"/>
      <c r="C31" s="257"/>
      <c r="D31" s="258"/>
      <c r="E31" s="207" t="str">
        <f t="shared" si="0"/>
        <v xml:space="preserve"> </v>
      </c>
      <c r="F31" s="217" t="str">
        <f t="shared" ca="1" si="1"/>
        <v/>
      </c>
      <c r="G31" s="256"/>
      <c r="H31" s="256"/>
      <c r="I31" s="256"/>
      <c r="J31" s="256"/>
      <c r="K31" s="256"/>
      <c r="L31" s="259"/>
      <c r="M31" s="256"/>
      <c r="N31" s="256"/>
      <c r="O31" s="256"/>
      <c r="P31" s="260"/>
      <c r="Q31" s="261"/>
      <c r="R31" s="267"/>
      <c r="S31" s="258"/>
      <c r="T31" s="262"/>
      <c r="U31" s="262"/>
      <c r="V31" s="262"/>
      <c r="W31" s="262"/>
      <c r="X31" s="262"/>
      <c r="Y31" s="262"/>
      <c r="Z31" s="262"/>
      <c r="AA31" s="262"/>
      <c r="AB31" s="262"/>
      <c r="AC31" s="262"/>
      <c r="AD31" s="262"/>
      <c r="AE31" s="262"/>
      <c r="AF31" s="262"/>
      <c r="AG31" s="262"/>
      <c r="AH31" s="262"/>
      <c r="AI31" s="262"/>
      <c r="AJ31" s="262"/>
      <c r="AK31" s="262"/>
      <c r="AL31" s="262"/>
      <c r="AM31" s="262"/>
      <c r="AN31" s="262"/>
      <c r="AO31" s="263"/>
      <c r="AP31" s="263"/>
      <c r="AQ31" s="263"/>
      <c r="AR31" s="264"/>
      <c r="AS31" s="265"/>
      <c r="AT31" s="259"/>
      <c r="AU31" s="264"/>
      <c r="AV31" s="256"/>
      <c r="AW31" s="258"/>
      <c r="AX31" s="258"/>
      <c r="AY31" s="258"/>
      <c r="AZ31" s="258"/>
      <c r="BA31" s="256"/>
      <c r="BB31" s="256"/>
      <c r="BC31" s="258"/>
      <c r="BD31" s="266"/>
      <c r="BE31" s="258"/>
      <c r="BF31" s="265"/>
      <c r="BG31" s="265"/>
      <c r="BH31" s="265"/>
      <c r="BI31" s="257"/>
      <c r="BJ31" s="257"/>
      <c r="BK31" s="257"/>
      <c r="BL31" s="257"/>
      <c r="BM31" s="272"/>
      <c r="BN31" s="114" t="str">
        <f t="shared" si="2"/>
        <v/>
      </c>
    </row>
    <row r="32" spans="1:66" ht="15" customHeight="1" x14ac:dyDescent="0.2">
      <c r="A32" s="255"/>
      <c r="B32" s="256"/>
      <c r="C32" s="257"/>
      <c r="D32" s="258"/>
      <c r="E32" s="207" t="str">
        <f t="shared" si="0"/>
        <v xml:space="preserve"> </v>
      </c>
      <c r="F32" s="217" t="str">
        <f t="shared" ca="1" si="1"/>
        <v/>
      </c>
      <c r="G32" s="256"/>
      <c r="H32" s="256"/>
      <c r="I32" s="256"/>
      <c r="J32" s="256"/>
      <c r="K32" s="256"/>
      <c r="L32" s="259"/>
      <c r="M32" s="256"/>
      <c r="N32" s="256"/>
      <c r="O32" s="256"/>
      <c r="P32" s="260"/>
      <c r="Q32" s="261"/>
      <c r="R32" s="267"/>
      <c r="S32" s="258"/>
      <c r="T32" s="262"/>
      <c r="U32" s="262"/>
      <c r="V32" s="262"/>
      <c r="W32" s="262"/>
      <c r="X32" s="262"/>
      <c r="Y32" s="262"/>
      <c r="Z32" s="262"/>
      <c r="AA32" s="262"/>
      <c r="AB32" s="262"/>
      <c r="AC32" s="262"/>
      <c r="AD32" s="262"/>
      <c r="AE32" s="262"/>
      <c r="AF32" s="262"/>
      <c r="AG32" s="262"/>
      <c r="AH32" s="262"/>
      <c r="AI32" s="262"/>
      <c r="AJ32" s="262"/>
      <c r="AK32" s="262"/>
      <c r="AL32" s="262"/>
      <c r="AM32" s="262"/>
      <c r="AN32" s="262"/>
      <c r="AO32" s="263"/>
      <c r="AP32" s="263"/>
      <c r="AQ32" s="263"/>
      <c r="AR32" s="264"/>
      <c r="AS32" s="265"/>
      <c r="AT32" s="259"/>
      <c r="AU32" s="264"/>
      <c r="AV32" s="256"/>
      <c r="AW32" s="258"/>
      <c r="AX32" s="258"/>
      <c r="AY32" s="258"/>
      <c r="AZ32" s="258"/>
      <c r="BA32" s="256"/>
      <c r="BB32" s="256"/>
      <c r="BC32" s="258"/>
      <c r="BD32" s="266"/>
      <c r="BE32" s="258"/>
      <c r="BF32" s="265"/>
      <c r="BG32" s="265"/>
      <c r="BH32" s="265"/>
      <c r="BI32" s="257"/>
      <c r="BJ32" s="257"/>
      <c r="BK32" s="257"/>
      <c r="BL32" s="257"/>
      <c r="BM32" s="272"/>
      <c r="BN32" s="114" t="str">
        <f t="shared" si="2"/>
        <v/>
      </c>
    </row>
    <row r="33" spans="1:66" ht="15" customHeight="1" x14ac:dyDescent="0.2">
      <c r="A33" s="255"/>
      <c r="B33" s="256"/>
      <c r="C33" s="257"/>
      <c r="D33" s="258"/>
      <c r="E33" s="207" t="str">
        <f t="shared" si="0"/>
        <v xml:space="preserve"> </v>
      </c>
      <c r="F33" s="217" t="str">
        <f t="shared" ca="1" si="1"/>
        <v/>
      </c>
      <c r="G33" s="256"/>
      <c r="H33" s="256"/>
      <c r="I33" s="256"/>
      <c r="J33" s="256"/>
      <c r="K33" s="256"/>
      <c r="L33" s="259"/>
      <c r="M33" s="256"/>
      <c r="N33" s="256"/>
      <c r="O33" s="256"/>
      <c r="P33" s="260"/>
      <c r="Q33" s="261"/>
      <c r="R33" s="267"/>
      <c r="S33" s="258"/>
      <c r="T33" s="262"/>
      <c r="U33" s="262"/>
      <c r="V33" s="262"/>
      <c r="W33" s="262"/>
      <c r="X33" s="262"/>
      <c r="Y33" s="262"/>
      <c r="Z33" s="262"/>
      <c r="AA33" s="262"/>
      <c r="AB33" s="262"/>
      <c r="AC33" s="262"/>
      <c r="AD33" s="262"/>
      <c r="AE33" s="262"/>
      <c r="AF33" s="262"/>
      <c r="AG33" s="262"/>
      <c r="AH33" s="262"/>
      <c r="AI33" s="262"/>
      <c r="AJ33" s="262"/>
      <c r="AK33" s="262"/>
      <c r="AL33" s="262"/>
      <c r="AM33" s="262"/>
      <c r="AN33" s="262"/>
      <c r="AO33" s="263"/>
      <c r="AP33" s="263"/>
      <c r="AQ33" s="263"/>
      <c r="AR33" s="264"/>
      <c r="AS33" s="265"/>
      <c r="AT33" s="259"/>
      <c r="AU33" s="264"/>
      <c r="AV33" s="256"/>
      <c r="AW33" s="258"/>
      <c r="AX33" s="258"/>
      <c r="AY33" s="258"/>
      <c r="AZ33" s="258"/>
      <c r="BA33" s="256"/>
      <c r="BB33" s="256"/>
      <c r="BC33" s="258"/>
      <c r="BD33" s="266"/>
      <c r="BE33" s="258"/>
      <c r="BF33" s="265"/>
      <c r="BG33" s="265"/>
      <c r="BH33" s="265"/>
      <c r="BI33" s="257"/>
      <c r="BJ33" s="257"/>
      <c r="BK33" s="257"/>
      <c r="BL33" s="257"/>
      <c r="BM33" s="272"/>
      <c r="BN33" s="114" t="str">
        <f t="shared" si="2"/>
        <v/>
      </c>
    </row>
    <row r="34" spans="1:66" ht="15" customHeight="1" x14ac:dyDescent="0.2">
      <c r="A34" s="255"/>
      <c r="B34" s="256"/>
      <c r="C34" s="257"/>
      <c r="D34" s="258"/>
      <c r="E34" s="207" t="str">
        <f t="shared" si="0"/>
        <v xml:space="preserve"> </v>
      </c>
      <c r="F34" s="217" t="str">
        <f t="shared" ca="1" si="1"/>
        <v/>
      </c>
      <c r="G34" s="256"/>
      <c r="H34" s="256"/>
      <c r="I34" s="256"/>
      <c r="J34" s="256"/>
      <c r="K34" s="256"/>
      <c r="L34" s="259"/>
      <c r="M34" s="256"/>
      <c r="N34" s="256"/>
      <c r="O34" s="256"/>
      <c r="P34" s="260"/>
      <c r="Q34" s="261"/>
      <c r="R34" s="267"/>
      <c r="S34" s="258"/>
      <c r="T34" s="262"/>
      <c r="U34" s="262"/>
      <c r="V34" s="262"/>
      <c r="W34" s="262"/>
      <c r="X34" s="262"/>
      <c r="Y34" s="262"/>
      <c r="Z34" s="262"/>
      <c r="AA34" s="262"/>
      <c r="AB34" s="262"/>
      <c r="AC34" s="262"/>
      <c r="AD34" s="262"/>
      <c r="AE34" s="262"/>
      <c r="AF34" s="262"/>
      <c r="AG34" s="262"/>
      <c r="AH34" s="262"/>
      <c r="AI34" s="262"/>
      <c r="AJ34" s="262"/>
      <c r="AK34" s="262"/>
      <c r="AL34" s="262"/>
      <c r="AM34" s="262"/>
      <c r="AN34" s="262"/>
      <c r="AO34" s="263"/>
      <c r="AP34" s="263"/>
      <c r="AQ34" s="263"/>
      <c r="AR34" s="264"/>
      <c r="AS34" s="265"/>
      <c r="AT34" s="259"/>
      <c r="AU34" s="264"/>
      <c r="AV34" s="256"/>
      <c r="AW34" s="258"/>
      <c r="AX34" s="258"/>
      <c r="AY34" s="258"/>
      <c r="AZ34" s="258"/>
      <c r="BA34" s="256"/>
      <c r="BB34" s="256"/>
      <c r="BC34" s="258"/>
      <c r="BD34" s="266"/>
      <c r="BE34" s="258"/>
      <c r="BF34" s="265"/>
      <c r="BG34" s="265"/>
      <c r="BH34" s="265"/>
      <c r="BI34" s="257"/>
      <c r="BJ34" s="257"/>
      <c r="BK34" s="257"/>
      <c r="BL34" s="257"/>
      <c r="BM34" s="272"/>
      <c r="BN34" s="114" t="str">
        <f t="shared" si="2"/>
        <v/>
      </c>
    </row>
    <row r="35" spans="1:66" ht="15" customHeight="1" x14ac:dyDescent="0.2">
      <c r="A35" s="255"/>
      <c r="B35" s="256"/>
      <c r="C35" s="257"/>
      <c r="D35" s="258"/>
      <c r="E35" s="207" t="str">
        <f t="shared" si="0"/>
        <v xml:space="preserve"> </v>
      </c>
      <c r="F35" s="217" t="str">
        <f t="shared" ca="1" si="1"/>
        <v/>
      </c>
      <c r="G35" s="256"/>
      <c r="H35" s="256"/>
      <c r="I35" s="256"/>
      <c r="J35" s="256"/>
      <c r="K35" s="256"/>
      <c r="L35" s="259"/>
      <c r="M35" s="256"/>
      <c r="N35" s="256"/>
      <c r="O35" s="256"/>
      <c r="P35" s="260"/>
      <c r="Q35" s="261"/>
      <c r="R35" s="267"/>
      <c r="S35" s="258"/>
      <c r="T35" s="262"/>
      <c r="U35" s="262"/>
      <c r="V35" s="262"/>
      <c r="W35" s="262"/>
      <c r="X35" s="262"/>
      <c r="Y35" s="262"/>
      <c r="Z35" s="262"/>
      <c r="AA35" s="262"/>
      <c r="AB35" s="262"/>
      <c r="AC35" s="262"/>
      <c r="AD35" s="262"/>
      <c r="AE35" s="262"/>
      <c r="AF35" s="262"/>
      <c r="AG35" s="262"/>
      <c r="AH35" s="262"/>
      <c r="AI35" s="262"/>
      <c r="AJ35" s="262"/>
      <c r="AK35" s="262"/>
      <c r="AL35" s="262"/>
      <c r="AM35" s="262"/>
      <c r="AN35" s="262"/>
      <c r="AO35" s="263"/>
      <c r="AP35" s="263"/>
      <c r="AQ35" s="263"/>
      <c r="AR35" s="264"/>
      <c r="AS35" s="265"/>
      <c r="AT35" s="259"/>
      <c r="AU35" s="264"/>
      <c r="AV35" s="256"/>
      <c r="AW35" s="258"/>
      <c r="AX35" s="258"/>
      <c r="AY35" s="258"/>
      <c r="AZ35" s="258"/>
      <c r="BA35" s="256"/>
      <c r="BB35" s="256"/>
      <c r="BC35" s="258"/>
      <c r="BD35" s="266"/>
      <c r="BE35" s="258"/>
      <c r="BF35" s="265"/>
      <c r="BG35" s="265"/>
      <c r="BH35" s="265"/>
      <c r="BI35" s="257"/>
      <c r="BJ35" s="257"/>
      <c r="BK35" s="257"/>
      <c r="BL35" s="257"/>
      <c r="BM35" s="272"/>
      <c r="BN35" s="114" t="str">
        <f t="shared" si="2"/>
        <v/>
      </c>
    </row>
    <row r="36" spans="1:66" ht="15" customHeight="1" x14ac:dyDescent="0.2">
      <c r="A36" s="255"/>
      <c r="B36" s="256"/>
      <c r="C36" s="257"/>
      <c r="D36" s="258"/>
      <c r="E36" s="207" t="str">
        <f t="shared" si="0"/>
        <v xml:space="preserve"> </v>
      </c>
      <c r="F36" s="217" t="str">
        <f t="shared" ca="1" si="1"/>
        <v/>
      </c>
      <c r="G36" s="256"/>
      <c r="H36" s="256"/>
      <c r="I36" s="256"/>
      <c r="J36" s="256"/>
      <c r="K36" s="256"/>
      <c r="L36" s="259"/>
      <c r="M36" s="256"/>
      <c r="N36" s="256"/>
      <c r="O36" s="256"/>
      <c r="P36" s="260"/>
      <c r="Q36" s="261"/>
      <c r="R36" s="267"/>
      <c r="S36" s="258"/>
      <c r="T36" s="262"/>
      <c r="U36" s="262"/>
      <c r="V36" s="262"/>
      <c r="W36" s="262"/>
      <c r="X36" s="262"/>
      <c r="Y36" s="262"/>
      <c r="Z36" s="262"/>
      <c r="AA36" s="262"/>
      <c r="AB36" s="262"/>
      <c r="AC36" s="262"/>
      <c r="AD36" s="262"/>
      <c r="AE36" s="262"/>
      <c r="AF36" s="262"/>
      <c r="AG36" s="262"/>
      <c r="AH36" s="262"/>
      <c r="AI36" s="262"/>
      <c r="AJ36" s="262"/>
      <c r="AK36" s="262"/>
      <c r="AL36" s="262"/>
      <c r="AM36" s="262"/>
      <c r="AN36" s="262"/>
      <c r="AO36" s="263"/>
      <c r="AP36" s="263"/>
      <c r="AQ36" s="263"/>
      <c r="AR36" s="264"/>
      <c r="AS36" s="265"/>
      <c r="AT36" s="259"/>
      <c r="AU36" s="264"/>
      <c r="AV36" s="256"/>
      <c r="AW36" s="258"/>
      <c r="AX36" s="258"/>
      <c r="AY36" s="258"/>
      <c r="AZ36" s="258"/>
      <c r="BA36" s="256"/>
      <c r="BB36" s="256"/>
      <c r="BC36" s="258"/>
      <c r="BD36" s="266"/>
      <c r="BE36" s="258"/>
      <c r="BF36" s="265"/>
      <c r="BG36" s="265"/>
      <c r="BH36" s="265"/>
      <c r="BI36" s="257"/>
      <c r="BJ36" s="257"/>
      <c r="BK36" s="257"/>
      <c r="BL36" s="257"/>
      <c r="BM36" s="272"/>
      <c r="BN36" s="114" t="str">
        <f t="shared" si="2"/>
        <v/>
      </c>
    </row>
    <row r="37" spans="1:66" ht="15" customHeight="1" x14ac:dyDescent="0.2">
      <c r="A37" s="255"/>
      <c r="B37" s="256"/>
      <c r="C37" s="257"/>
      <c r="D37" s="258"/>
      <c r="E37" s="207" t="str">
        <f t="shared" si="0"/>
        <v xml:space="preserve"> </v>
      </c>
      <c r="F37" s="217" t="str">
        <f t="shared" ca="1" si="1"/>
        <v/>
      </c>
      <c r="G37" s="256"/>
      <c r="H37" s="256"/>
      <c r="I37" s="256"/>
      <c r="J37" s="256"/>
      <c r="K37" s="256"/>
      <c r="L37" s="259"/>
      <c r="M37" s="256"/>
      <c r="N37" s="256"/>
      <c r="O37" s="256"/>
      <c r="P37" s="260"/>
      <c r="Q37" s="261"/>
      <c r="R37" s="267"/>
      <c r="S37" s="258"/>
      <c r="T37" s="262"/>
      <c r="U37" s="262"/>
      <c r="V37" s="262"/>
      <c r="W37" s="262"/>
      <c r="X37" s="262"/>
      <c r="Y37" s="262"/>
      <c r="Z37" s="262"/>
      <c r="AA37" s="262"/>
      <c r="AB37" s="262"/>
      <c r="AC37" s="262"/>
      <c r="AD37" s="262"/>
      <c r="AE37" s="262"/>
      <c r="AF37" s="262"/>
      <c r="AG37" s="262"/>
      <c r="AH37" s="262"/>
      <c r="AI37" s="262"/>
      <c r="AJ37" s="262"/>
      <c r="AK37" s="262"/>
      <c r="AL37" s="262"/>
      <c r="AM37" s="262"/>
      <c r="AN37" s="262"/>
      <c r="AO37" s="263"/>
      <c r="AP37" s="263"/>
      <c r="AQ37" s="263"/>
      <c r="AR37" s="264"/>
      <c r="AS37" s="265"/>
      <c r="AT37" s="259"/>
      <c r="AU37" s="264"/>
      <c r="AV37" s="256"/>
      <c r="AW37" s="258"/>
      <c r="AX37" s="258"/>
      <c r="AY37" s="258"/>
      <c r="AZ37" s="258"/>
      <c r="BA37" s="256"/>
      <c r="BB37" s="256"/>
      <c r="BC37" s="258"/>
      <c r="BD37" s="266"/>
      <c r="BE37" s="258"/>
      <c r="BF37" s="265"/>
      <c r="BG37" s="265"/>
      <c r="BH37" s="265"/>
      <c r="BI37" s="257"/>
      <c r="BJ37" s="257"/>
      <c r="BK37" s="257"/>
      <c r="BL37" s="257"/>
      <c r="BM37" s="272"/>
      <c r="BN37" s="114" t="str">
        <f t="shared" si="2"/>
        <v/>
      </c>
    </row>
    <row r="38" spans="1:66" ht="15" customHeight="1" x14ac:dyDescent="0.2">
      <c r="A38" s="255"/>
      <c r="B38" s="256"/>
      <c r="C38" s="257"/>
      <c r="D38" s="258"/>
      <c r="E38" s="207" t="str">
        <f t="shared" ref="E38:E69" si="3">CONCATENATE($J38," ",$I38)</f>
        <v xml:space="preserve"> </v>
      </c>
      <c r="F38" s="217" t="str">
        <f t="shared" ref="F38:F69" ca="1" si="4">IF(L38="","",DATEDIF(L38,TODAY(),"Y"))</f>
        <v/>
      </c>
      <c r="G38" s="256"/>
      <c r="H38" s="256"/>
      <c r="I38" s="256"/>
      <c r="J38" s="256"/>
      <c r="K38" s="256"/>
      <c r="L38" s="259"/>
      <c r="M38" s="256"/>
      <c r="N38" s="256"/>
      <c r="O38" s="256"/>
      <c r="P38" s="260"/>
      <c r="Q38" s="261"/>
      <c r="R38" s="267"/>
      <c r="S38" s="258"/>
      <c r="T38" s="262"/>
      <c r="U38" s="262"/>
      <c r="V38" s="262"/>
      <c r="W38" s="262"/>
      <c r="X38" s="262"/>
      <c r="Y38" s="262"/>
      <c r="Z38" s="262"/>
      <c r="AA38" s="262"/>
      <c r="AB38" s="262"/>
      <c r="AC38" s="262"/>
      <c r="AD38" s="262"/>
      <c r="AE38" s="262"/>
      <c r="AF38" s="262"/>
      <c r="AG38" s="262"/>
      <c r="AH38" s="262"/>
      <c r="AI38" s="262"/>
      <c r="AJ38" s="262"/>
      <c r="AK38" s="262"/>
      <c r="AL38" s="262"/>
      <c r="AM38" s="262"/>
      <c r="AN38" s="262"/>
      <c r="AO38" s="263"/>
      <c r="AP38" s="263"/>
      <c r="AQ38" s="263"/>
      <c r="AR38" s="264"/>
      <c r="AS38" s="265"/>
      <c r="AT38" s="259"/>
      <c r="AU38" s="264"/>
      <c r="AV38" s="256"/>
      <c r="AW38" s="258"/>
      <c r="AX38" s="258"/>
      <c r="AY38" s="258"/>
      <c r="AZ38" s="258"/>
      <c r="BA38" s="256"/>
      <c r="BB38" s="256"/>
      <c r="BC38" s="258"/>
      <c r="BD38" s="266"/>
      <c r="BE38" s="258"/>
      <c r="BF38" s="265"/>
      <c r="BG38" s="265"/>
      <c r="BH38" s="265"/>
      <c r="BI38" s="257"/>
      <c r="BJ38" s="257"/>
      <c r="BK38" s="257"/>
      <c r="BL38" s="257"/>
      <c r="BM38" s="272"/>
      <c r="BN38" s="114" t="str">
        <f t="shared" ref="BN38:BN69" si="5">CONCATENATE(LEFT($J38), LEFT($I38))</f>
        <v/>
      </c>
    </row>
    <row r="39" spans="1:66" ht="15" customHeight="1" x14ac:dyDescent="0.2">
      <c r="A39" s="255"/>
      <c r="B39" s="256"/>
      <c r="C39" s="257"/>
      <c r="D39" s="258"/>
      <c r="E39" s="207" t="str">
        <f t="shared" si="3"/>
        <v xml:space="preserve"> </v>
      </c>
      <c r="F39" s="217" t="str">
        <f t="shared" ca="1" si="4"/>
        <v/>
      </c>
      <c r="G39" s="256"/>
      <c r="H39" s="256"/>
      <c r="I39" s="256"/>
      <c r="J39" s="256"/>
      <c r="K39" s="256"/>
      <c r="L39" s="259"/>
      <c r="M39" s="256"/>
      <c r="N39" s="256"/>
      <c r="O39" s="256"/>
      <c r="P39" s="260"/>
      <c r="Q39" s="261"/>
      <c r="R39" s="267"/>
      <c r="S39" s="258"/>
      <c r="T39" s="262"/>
      <c r="U39" s="262"/>
      <c r="V39" s="262"/>
      <c r="W39" s="262"/>
      <c r="X39" s="262"/>
      <c r="Y39" s="262"/>
      <c r="Z39" s="262"/>
      <c r="AA39" s="262"/>
      <c r="AB39" s="262"/>
      <c r="AC39" s="262"/>
      <c r="AD39" s="262"/>
      <c r="AE39" s="262"/>
      <c r="AF39" s="262"/>
      <c r="AG39" s="262"/>
      <c r="AH39" s="262"/>
      <c r="AI39" s="262"/>
      <c r="AJ39" s="262"/>
      <c r="AK39" s="262"/>
      <c r="AL39" s="262"/>
      <c r="AM39" s="262"/>
      <c r="AN39" s="262"/>
      <c r="AO39" s="263"/>
      <c r="AP39" s="263"/>
      <c r="AQ39" s="263"/>
      <c r="AR39" s="264"/>
      <c r="AS39" s="265"/>
      <c r="AT39" s="259"/>
      <c r="AU39" s="264"/>
      <c r="AV39" s="256"/>
      <c r="AW39" s="258"/>
      <c r="AX39" s="258"/>
      <c r="AY39" s="258"/>
      <c r="AZ39" s="258"/>
      <c r="BA39" s="256"/>
      <c r="BB39" s="256"/>
      <c r="BC39" s="258"/>
      <c r="BD39" s="266"/>
      <c r="BE39" s="258"/>
      <c r="BF39" s="265"/>
      <c r="BG39" s="265"/>
      <c r="BH39" s="265"/>
      <c r="BI39" s="257"/>
      <c r="BJ39" s="257"/>
      <c r="BK39" s="257"/>
      <c r="BL39" s="257"/>
      <c r="BM39" s="272"/>
      <c r="BN39" s="114" t="str">
        <f t="shared" si="5"/>
        <v/>
      </c>
    </row>
    <row r="40" spans="1:66" ht="15" customHeight="1" x14ac:dyDescent="0.2">
      <c r="A40" s="255"/>
      <c r="B40" s="256"/>
      <c r="C40" s="257"/>
      <c r="D40" s="258"/>
      <c r="E40" s="207" t="str">
        <f t="shared" si="3"/>
        <v xml:space="preserve"> </v>
      </c>
      <c r="F40" s="217" t="str">
        <f t="shared" ca="1" si="4"/>
        <v/>
      </c>
      <c r="G40" s="256"/>
      <c r="H40" s="256"/>
      <c r="I40" s="256"/>
      <c r="J40" s="256"/>
      <c r="K40" s="256"/>
      <c r="L40" s="259"/>
      <c r="M40" s="256"/>
      <c r="N40" s="256"/>
      <c r="O40" s="256"/>
      <c r="P40" s="260"/>
      <c r="Q40" s="261"/>
      <c r="R40" s="267"/>
      <c r="S40" s="258"/>
      <c r="T40" s="262"/>
      <c r="U40" s="262"/>
      <c r="V40" s="262"/>
      <c r="W40" s="262"/>
      <c r="X40" s="262"/>
      <c r="Y40" s="262"/>
      <c r="Z40" s="262"/>
      <c r="AA40" s="262"/>
      <c r="AB40" s="262"/>
      <c r="AC40" s="262"/>
      <c r="AD40" s="262"/>
      <c r="AE40" s="262"/>
      <c r="AF40" s="262"/>
      <c r="AG40" s="262"/>
      <c r="AH40" s="262"/>
      <c r="AI40" s="262"/>
      <c r="AJ40" s="262"/>
      <c r="AK40" s="262"/>
      <c r="AL40" s="262"/>
      <c r="AM40" s="262"/>
      <c r="AN40" s="262"/>
      <c r="AO40" s="263"/>
      <c r="AP40" s="263"/>
      <c r="AQ40" s="263"/>
      <c r="AR40" s="264"/>
      <c r="AS40" s="265"/>
      <c r="AT40" s="259"/>
      <c r="AU40" s="264"/>
      <c r="AV40" s="256"/>
      <c r="AW40" s="258"/>
      <c r="AX40" s="258"/>
      <c r="AY40" s="258"/>
      <c r="AZ40" s="258"/>
      <c r="BA40" s="256"/>
      <c r="BB40" s="256"/>
      <c r="BC40" s="258"/>
      <c r="BD40" s="266"/>
      <c r="BE40" s="258"/>
      <c r="BF40" s="265"/>
      <c r="BG40" s="265"/>
      <c r="BH40" s="265"/>
      <c r="BI40" s="257"/>
      <c r="BJ40" s="257"/>
      <c r="BK40" s="257"/>
      <c r="BL40" s="257"/>
      <c r="BM40" s="272"/>
      <c r="BN40" s="114" t="str">
        <f t="shared" si="5"/>
        <v/>
      </c>
    </row>
    <row r="41" spans="1:66" ht="15" customHeight="1" x14ac:dyDescent="0.2">
      <c r="A41" s="255"/>
      <c r="B41" s="256"/>
      <c r="C41" s="257"/>
      <c r="D41" s="258"/>
      <c r="E41" s="207" t="str">
        <f t="shared" si="3"/>
        <v xml:space="preserve"> </v>
      </c>
      <c r="F41" s="217" t="str">
        <f t="shared" ca="1" si="4"/>
        <v/>
      </c>
      <c r="G41" s="256"/>
      <c r="H41" s="256"/>
      <c r="I41" s="256"/>
      <c r="J41" s="256"/>
      <c r="K41" s="256"/>
      <c r="L41" s="259"/>
      <c r="M41" s="256"/>
      <c r="N41" s="256"/>
      <c r="O41" s="256"/>
      <c r="P41" s="260"/>
      <c r="Q41" s="261"/>
      <c r="R41" s="267"/>
      <c r="S41" s="258"/>
      <c r="T41" s="262"/>
      <c r="U41" s="262"/>
      <c r="V41" s="262"/>
      <c r="W41" s="262"/>
      <c r="X41" s="262"/>
      <c r="Y41" s="262"/>
      <c r="Z41" s="262"/>
      <c r="AA41" s="262"/>
      <c r="AB41" s="262"/>
      <c r="AC41" s="262"/>
      <c r="AD41" s="262"/>
      <c r="AE41" s="262"/>
      <c r="AF41" s="262"/>
      <c r="AG41" s="262"/>
      <c r="AH41" s="262"/>
      <c r="AI41" s="262"/>
      <c r="AJ41" s="262"/>
      <c r="AK41" s="262"/>
      <c r="AL41" s="262"/>
      <c r="AM41" s="262"/>
      <c r="AN41" s="262"/>
      <c r="AO41" s="263"/>
      <c r="AP41" s="263"/>
      <c r="AQ41" s="263"/>
      <c r="AR41" s="264"/>
      <c r="AS41" s="265"/>
      <c r="AT41" s="259"/>
      <c r="AU41" s="264"/>
      <c r="AV41" s="256"/>
      <c r="AW41" s="258"/>
      <c r="AX41" s="258"/>
      <c r="AY41" s="258"/>
      <c r="AZ41" s="258"/>
      <c r="BA41" s="256"/>
      <c r="BB41" s="256"/>
      <c r="BC41" s="258"/>
      <c r="BD41" s="266"/>
      <c r="BE41" s="258"/>
      <c r="BF41" s="265"/>
      <c r="BG41" s="265"/>
      <c r="BH41" s="265"/>
      <c r="BI41" s="257"/>
      <c r="BJ41" s="257"/>
      <c r="BK41" s="257"/>
      <c r="BL41" s="257"/>
      <c r="BM41" s="272"/>
      <c r="BN41" s="114" t="str">
        <f t="shared" si="5"/>
        <v/>
      </c>
    </row>
    <row r="42" spans="1:66" ht="15" customHeight="1" x14ac:dyDescent="0.2">
      <c r="A42" s="255"/>
      <c r="B42" s="256"/>
      <c r="C42" s="257"/>
      <c r="D42" s="258"/>
      <c r="E42" s="207" t="str">
        <f t="shared" si="3"/>
        <v xml:space="preserve"> </v>
      </c>
      <c r="F42" s="217" t="str">
        <f t="shared" ca="1" si="4"/>
        <v/>
      </c>
      <c r="G42" s="256"/>
      <c r="H42" s="256"/>
      <c r="I42" s="256"/>
      <c r="J42" s="256"/>
      <c r="K42" s="256"/>
      <c r="L42" s="259"/>
      <c r="M42" s="256"/>
      <c r="N42" s="256"/>
      <c r="O42" s="256"/>
      <c r="P42" s="260"/>
      <c r="Q42" s="261"/>
      <c r="R42" s="267"/>
      <c r="S42" s="258"/>
      <c r="T42" s="262"/>
      <c r="U42" s="262"/>
      <c r="V42" s="262"/>
      <c r="W42" s="262"/>
      <c r="X42" s="262"/>
      <c r="Y42" s="262"/>
      <c r="Z42" s="262"/>
      <c r="AA42" s="262"/>
      <c r="AB42" s="262"/>
      <c r="AC42" s="262"/>
      <c r="AD42" s="262"/>
      <c r="AE42" s="262"/>
      <c r="AF42" s="262"/>
      <c r="AG42" s="262"/>
      <c r="AH42" s="262"/>
      <c r="AI42" s="262"/>
      <c r="AJ42" s="262"/>
      <c r="AK42" s="262"/>
      <c r="AL42" s="262"/>
      <c r="AM42" s="262"/>
      <c r="AN42" s="262"/>
      <c r="AO42" s="263"/>
      <c r="AP42" s="263"/>
      <c r="AQ42" s="263"/>
      <c r="AR42" s="264"/>
      <c r="AS42" s="265"/>
      <c r="AT42" s="259"/>
      <c r="AU42" s="264"/>
      <c r="AV42" s="256"/>
      <c r="AW42" s="258"/>
      <c r="AX42" s="258"/>
      <c r="AY42" s="258"/>
      <c r="AZ42" s="258"/>
      <c r="BA42" s="256"/>
      <c r="BB42" s="256"/>
      <c r="BC42" s="258"/>
      <c r="BD42" s="266"/>
      <c r="BE42" s="258"/>
      <c r="BF42" s="265"/>
      <c r="BG42" s="265"/>
      <c r="BH42" s="265"/>
      <c r="BI42" s="257"/>
      <c r="BJ42" s="257"/>
      <c r="BK42" s="257"/>
      <c r="BL42" s="257"/>
      <c r="BM42" s="272"/>
      <c r="BN42" s="114" t="str">
        <f t="shared" si="5"/>
        <v/>
      </c>
    </row>
    <row r="43" spans="1:66" ht="15" customHeight="1" x14ac:dyDescent="0.2">
      <c r="A43" s="255"/>
      <c r="B43" s="256"/>
      <c r="C43" s="257"/>
      <c r="D43" s="258"/>
      <c r="E43" s="207" t="str">
        <f t="shared" si="3"/>
        <v xml:space="preserve"> </v>
      </c>
      <c r="F43" s="217" t="str">
        <f t="shared" ca="1" si="4"/>
        <v/>
      </c>
      <c r="G43" s="256"/>
      <c r="H43" s="256"/>
      <c r="I43" s="256"/>
      <c r="J43" s="256"/>
      <c r="K43" s="256"/>
      <c r="L43" s="259"/>
      <c r="M43" s="256"/>
      <c r="N43" s="256"/>
      <c r="O43" s="256"/>
      <c r="P43" s="260"/>
      <c r="Q43" s="261"/>
      <c r="R43" s="267"/>
      <c r="S43" s="258"/>
      <c r="T43" s="262"/>
      <c r="U43" s="262"/>
      <c r="V43" s="262"/>
      <c r="W43" s="262"/>
      <c r="X43" s="262"/>
      <c r="Y43" s="262"/>
      <c r="Z43" s="262"/>
      <c r="AA43" s="262"/>
      <c r="AB43" s="262"/>
      <c r="AC43" s="262"/>
      <c r="AD43" s="262"/>
      <c r="AE43" s="262"/>
      <c r="AF43" s="262"/>
      <c r="AG43" s="262"/>
      <c r="AH43" s="262"/>
      <c r="AI43" s="262"/>
      <c r="AJ43" s="262"/>
      <c r="AK43" s="262"/>
      <c r="AL43" s="262"/>
      <c r="AM43" s="262"/>
      <c r="AN43" s="262"/>
      <c r="AO43" s="263"/>
      <c r="AP43" s="263"/>
      <c r="AQ43" s="263"/>
      <c r="AR43" s="264"/>
      <c r="AS43" s="265"/>
      <c r="AT43" s="259"/>
      <c r="AU43" s="264"/>
      <c r="AV43" s="256"/>
      <c r="AW43" s="258"/>
      <c r="AX43" s="258"/>
      <c r="AY43" s="258"/>
      <c r="AZ43" s="258"/>
      <c r="BA43" s="256"/>
      <c r="BB43" s="256"/>
      <c r="BC43" s="258"/>
      <c r="BD43" s="266"/>
      <c r="BE43" s="258"/>
      <c r="BF43" s="265"/>
      <c r="BG43" s="265"/>
      <c r="BH43" s="265"/>
      <c r="BI43" s="257"/>
      <c r="BJ43" s="257"/>
      <c r="BK43" s="257"/>
      <c r="BL43" s="257"/>
      <c r="BM43" s="272"/>
      <c r="BN43" s="114" t="str">
        <f t="shared" si="5"/>
        <v/>
      </c>
    </row>
    <row r="44" spans="1:66" ht="15" customHeight="1" x14ac:dyDescent="0.2">
      <c r="A44" s="255"/>
      <c r="B44" s="256"/>
      <c r="C44" s="257"/>
      <c r="D44" s="258"/>
      <c r="E44" s="207" t="str">
        <f t="shared" si="3"/>
        <v xml:space="preserve"> </v>
      </c>
      <c r="F44" s="217" t="str">
        <f t="shared" ca="1" si="4"/>
        <v/>
      </c>
      <c r="G44" s="256"/>
      <c r="H44" s="256"/>
      <c r="I44" s="256"/>
      <c r="J44" s="256"/>
      <c r="K44" s="256"/>
      <c r="L44" s="259"/>
      <c r="M44" s="256"/>
      <c r="N44" s="256"/>
      <c r="O44" s="256"/>
      <c r="P44" s="260"/>
      <c r="Q44" s="261"/>
      <c r="R44" s="267"/>
      <c r="S44" s="258"/>
      <c r="T44" s="262"/>
      <c r="U44" s="262"/>
      <c r="V44" s="262"/>
      <c r="W44" s="262"/>
      <c r="X44" s="262"/>
      <c r="Y44" s="262"/>
      <c r="Z44" s="262"/>
      <c r="AA44" s="262"/>
      <c r="AB44" s="262"/>
      <c r="AC44" s="262"/>
      <c r="AD44" s="262"/>
      <c r="AE44" s="262"/>
      <c r="AF44" s="262"/>
      <c r="AG44" s="262"/>
      <c r="AH44" s="262"/>
      <c r="AI44" s="262"/>
      <c r="AJ44" s="262"/>
      <c r="AK44" s="262"/>
      <c r="AL44" s="262"/>
      <c r="AM44" s="262"/>
      <c r="AN44" s="262"/>
      <c r="AO44" s="263"/>
      <c r="AP44" s="263"/>
      <c r="AQ44" s="263"/>
      <c r="AR44" s="264"/>
      <c r="AS44" s="265"/>
      <c r="AT44" s="259"/>
      <c r="AU44" s="264"/>
      <c r="AV44" s="256"/>
      <c r="AW44" s="258"/>
      <c r="AX44" s="258"/>
      <c r="AY44" s="258"/>
      <c r="AZ44" s="258"/>
      <c r="BA44" s="256"/>
      <c r="BB44" s="256"/>
      <c r="BC44" s="258"/>
      <c r="BD44" s="266"/>
      <c r="BE44" s="258"/>
      <c r="BF44" s="265"/>
      <c r="BG44" s="265"/>
      <c r="BH44" s="265"/>
      <c r="BI44" s="257"/>
      <c r="BJ44" s="257"/>
      <c r="BK44" s="257"/>
      <c r="BL44" s="257"/>
      <c r="BM44" s="272"/>
      <c r="BN44" s="114" t="str">
        <f t="shared" si="5"/>
        <v/>
      </c>
    </row>
    <row r="45" spans="1:66" ht="15" customHeight="1" x14ac:dyDescent="0.2">
      <c r="A45" s="255"/>
      <c r="B45" s="256"/>
      <c r="C45" s="257"/>
      <c r="D45" s="258"/>
      <c r="E45" s="207" t="str">
        <f t="shared" si="3"/>
        <v xml:space="preserve"> </v>
      </c>
      <c r="F45" s="217" t="str">
        <f t="shared" ca="1" si="4"/>
        <v/>
      </c>
      <c r="G45" s="256"/>
      <c r="H45" s="256"/>
      <c r="I45" s="256"/>
      <c r="J45" s="256"/>
      <c r="K45" s="256"/>
      <c r="L45" s="259"/>
      <c r="M45" s="256"/>
      <c r="N45" s="256"/>
      <c r="O45" s="256"/>
      <c r="P45" s="260"/>
      <c r="Q45" s="261"/>
      <c r="R45" s="267"/>
      <c r="S45" s="258"/>
      <c r="T45" s="262"/>
      <c r="U45" s="262"/>
      <c r="V45" s="262"/>
      <c r="W45" s="262"/>
      <c r="X45" s="262"/>
      <c r="Y45" s="262"/>
      <c r="Z45" s="262"/>
      <c r="AA45" s="262"/>
      <c r="AB45" s="262"/>
      <c r="AC45" s="262"/>
      <c r="AD45" s="262"/>
      <c r="AE45" s="262"/>
      <c r="AF45" s="262"/>
      <c r="AG45" s="262"/>
      <c r="AH45" s="262"/>
      <c r="AI45" s="262"/>
      <c r="AJ45" s="262"/>
      <c r="AK45" s="262"/>
      <c r="AL45" s="262"/>
      <c r="AM45" s="262"/>
      <c r="AN45" s="262"/>
      <c r="AO45" s="263"/>
      <c r="AP45" s="263"/>
      <c r="AQ45" s="263"/>
      <c r="AR45" s="264"/>
      <c r="AS45" s="265"/>
      <c r="AT45" s="259"/>
      <c r="AU45" s="264"/>
      <c r="AV45" s="256"/>
      <c r="AW45" s="258"/>
      <c r="AX45" s="258"/>
      <c r="AY45" s="258"/>
      <c r="AZ45" s="258"/>
      <c r="BA45" s="256"/>
      <c r="BB45" s="256"/>
      <c r="BC45" s="258"/>
      <c r="BD45" s="266"/>
      <c r="BE45" s="258"/>
      <c r="BF45" s="265"/>
      <c r="BG45" s="265"/>
      <c r="BH45" s="265"/>
      <c r="BI45" s="257"/>
      <c r="BJ45" s="257"/>
      <c r="BK45" s="257"/>
      <c r="BL45" s="257"/>
      <c r="BM45" s="272"/>
      <c r="BN45" s="114" t="str">
        <f t="shared" si="5"/>
        <v/>
      </c>
    </row>
    <row r="46" spans="1:66" ht="15" customHeight="1" x14ac:dyDescent="0.2">
      <c r="A46" s="255"/>
      <c r="B46" s="256"/>
      <c r="C46" s="257"/>
      <c r="D46" s="258"/>
      <c r="E46" s="207" t="str">
        <f t="shared" si="3"/>
        <v xml:space="preserve"> </v>
      </c>
      <c r="F46" s="217" t="str">
        <f t="shared" ca="1" si="4"/>
        <v/>
      </c>
      <c r="G46" s="256"/>
      <c r="H46" s="256"/>
      <c r="I46" s="256"/>
      <c r="J46" s="256"/>
      <c r="K46" s="256"/>
      <c r="L46" s="259"/>
      <c r="M46" s="256"/>
      <c r="N46" s="256"/>
      <c r="O46" s="256"/>
      <c r="P46" s="260"/>
      <c r="Q46" s="261"/>
      <c r="R46" s="267"/>
      <c r="S46" s="258"/>
      <c r="T46" s="262"/>
      <c r="U46" s="262"/>
      <c r="V46" s="262"/>
      <c r="W46" s="262"/>
      <c r="X46" s="262"/>
      <c r="Y46" s="262"/>
      <c r="Z46" s="262"/>
      <c r="AA46" s="262"/>
      <c r="AB46" s="262"/>
      <c r="AC46" s="262"/>
      <c r="AD46" s="262"/>
      <c r="AE46" s="262"/>
      <c r="AF46" s="262"/>
      <c r="AG46" s="262"/>
      <c r="AH46" s="262"/>
      <c r="AI46" s="262"/>
      <c r="AJ46" s="262"/>
      <c r="AK46" s="262"/>
      <c r="AL46" s="262"/>
      <c r="AM46" s="262"/>
      <c r="AN46" s="262"/>
      <c r="AO46" s="263"/>
      <c r="AP46" s="263"/>
      <c r="AQ46" s="263"/>
      <c r="AR46" s="264"/>
      <c r="AS46" s="265"/>
      <c r="AT46" s="259"/>
      <c r="AU46" s="264"/>
      <c r="AV46" s="256"/>
      <c r="AW46" s="258"/>
      <c r="AX46" s="258"/>
      <c r="AY46" s="258"/>
      <c r="AZ46" s="258"/>
      <c r="BA46" s="256"/>
      <c r="BB46" s="256"/>
      <c r="BC46" s="258"/>
      <c r="BD46" s="266"/>
      <c r="BE46" s="258"/>
      <c r="BF46" s="265"/>
      <c r="BG46" s="265"/>
      <c r="BH46" s="265"/>
      <c r="BI46" s="257"/>
      <c r="BJ46" s="257"/>
      <c r="BK46" s="257"/>
      <c r="BL46" s="257"/>
      <c r="BM46" s="272"/>
      <c r="BN46" s="114" t="str">
        <f t="shared" si="5"/>
        <v/>
      </c>
    </row>
    <row r="47" spans="1:66" ht="15" customHeight="1" x14ac:dyDescent="0.2">
      <c r="A47" s="255"/>
      <c r="B47" s="256"/>
      <c r="C47" s="257"/>
      <c r="D47" s="258"/>
      <c r="E47" s="207" t="str">
        <f t="shared" si="3"/>
        <v xml:space="preserve"> </v>
      </c>
      <c r="F47" s="217" t="str">
        <f t="shared" ca="1" si="4"/>
        <v/>
      </c>
      <c r="G47" s="256"/>
      <c r="H47" s="256"/>
      <c r="I47" s="256"/>
      <c r="J47" s="256"/>
      <c r="K47" s="256"/>
      <c r="L47" s="259"/>
      <c r="M47" s="256"/>
      <c r="N47" s="256"/>
      <c r="O47" s="256"/>
      <c r="P47" s="260"/>
      <c r="Q47" s="261"/>
      <c r="R47" s="267"/>
      <c r="S47" s="258"/>
      <c r="T47" s="262"/>
      <c r="U47" s="262"/>
      <c r="V47" s="262"/>
      <c r="W47" s="262"/>
      <c r="X47" s="262"/>
      <c r="Y47" s="262"/>
      <c r="Z47" s="262"/>
      <c r="AA47" s="262"/>
      <c r="AB47" s="262"/>
      <c r="AC47" s="262"/>
      <c r="AD47" s="262"/>
      <c r="AE47" s="262"/>
      <c r="AF47" s="262"/>
      <c r="AG47" s="262"/>
      <c r="AH47" s="262"/>
      <c r="AI47" s="262"/>
      <c r="AJ47" s="262"/>
      <c r="AK47" s="262"/>
      <c r="AL47" s="262"/>
      <c r="AM47" s="262"/>
      <c r="AN47" s="262"/>
      <c r="AO47" s="263"/>
      <c r="AP47" s="263"/>
      <c r="AQ47" s="263"/>
      <c r="AR47" s="264"/>
      <c r="AS47" s="265"/>
      <c r="AT47" s="259"/>
      <c r="AU47" s="264"/>
      <c r="AV47" s="256"/>
      <c r="AW47" s="258"/>
      <c r="AX47" s="258"/>
      <c r="AY47" s="258"/>
      <c r="AZ47" s="258"/>
      <c r="BA47" s="256"/>
      <c r="BB47" s="256"/>
      <c r="BC47" s="258"/>
      <c r="BD47" s="266"/>
      <c r="BE47" s="258"/>
      <c r="BF47" s="265"/>
      <c r="BG47" s="265"/>
      <c r="BH47" s="265"/>
      <c r="BI47" s="257"/>
      <c r="BJ47" s="257"/>
      <c r="BK47" s="257"/>
      <c r="BL47" s="257"/>
      <c r="BM47" s="272"/>
      <c r="BN47" s="114" t="str">
        <f t="shared" si="5"/>
        <v/>
      </c>
    </row>
    <row r="48" spans="1:66" ht="15" customHeight="1" x14ac:dyDescent="0.2">
      <c r="A48" s="255"/>
      <c r="B48" s="256"/>
      <c r="C48" s="257"/>
      <c r="D48" s="258"/>
      <c r="E48" s="207" t="str">
        <f t="shared" si="3"/>
        <v xml:space="preserve"> </v>
      </c>
      <c r="F48" s="217" t="str">
        <f t="shared" ca="1" si="4"/>
        <v/>
      </c>
      <c r="G48" s="256"/>
      <c r="H48" s="256"/>
      <c r="I48" s="256"/>
      <c r="J48" s="256"/>
      <c r="K48" s="256"/>
      <c r="L48" s="259"/>
      <c r="M48" s="256"/>
      <c r="N48" s="256"/>
      <c r="O48" s="256"/>
      <c r="P48" s="260"/>
      <c r="Q48" s="261"/>
      <c r="R48" s="267"/>
      <c r="S48" s="258"/>
      <c r="T48" s="262"/>
      <c r="U48" s="262"/>
      <c r="V48" s="262"/>
      <c r="W48" s="262"/>
      <c r="X48" s="262"/>
      <c r="Y48" s="262"/>
      <c r="Z48" s="262"/>
      <c r="AA48" s="262"/>
      <c r="AB48" s="262"/>
      <c r="AC48" s="262"/>
      <c r="AD48" s="262"/>
      <c r="AE48" s="262"/>
      <c r="AF48" s="262"/>
      <c r="AG48" s="262"/>
      <c r="AH48" s="262"/>
      <c r="AI48" s="262"/>
      <c r="AJ48" s="262"/>
      <c r="AK48" s="262"/>
      <c r="AL48" s="262"/>
      <c r="AM48" s="262"/>
      <c r="AN48" s="262"/>
      <c r="AO48" s="263"/>
      <c r="AP48" s="263"/>
      <c r="AQ48" s="263"/>
      <c r="AR48" s="264"/>
      <c r="AS48" s="265"/>
      <c r="AT48" s="259"/>
      <c r="AU48" s="264"/>
      <c r="AV48" s="256"/>
      <c r="AW48" s="258"/>
      <c r="AX48" s="258"/>
      <c r="AY48" s="258"/>
      <c r="AZ48" s="258"/>
      <c r="BA48" s="256"/>
      <c r="BB48" s="256"/>
      <c r="BC48" s="258"/>
      <c r="BD48" s="266"/>
      <c r="BE48" s="258"/>
      <c r="BF48" s="265"/>
      <c r="BG48" s="265"/>
      <c r="BH48" s="265"/>
      <c r="BI48" s="257"/>
      <c r="BJ48" s="257"/>
      <c r="BK48" s="257"/>
      <c r="BL48" s="257"/>
      <c r="BM48" s="272"/>
      <c r="BN48" s="114" t="str">
        <f t="shared" si="5"/>
        <v/>
      </c>
    </row>
    <row r="49" spans="1:66" x14ac:dyDescent="0.2">
      <c r="A49" s="255"/>
      <c r="B49" s="256"/>
      <c r="C49" s="257"/>
      <c r="D49" s="258"/>
      <c r="E49" s="207" t="str">
        <f t="shared" si="3"/>
        <v xml:space="preserve"> </v>
      </c>
      <c r="F49" s="217" t="str">
        <f t="shared" ca="1" si="4"/>
        <v/>
      </c>
      <c r="G49" s="256"/>
      <c r="H49" s="256"/>
      <c r="I49" s="256"/>
      <c r="J49" s="256"/>
      <c r="K49" s="256"/>
      <c r="L49" s="259"/>
      <c r="M49" s="256"/>
      <c r="N49" s="256"/>
      <c r="O49" s="256"/>
      <c r="P49" s="260"/>
      <c r="Q49" s="261"/>
      <c r="R49" s="267"/>
      <c r="S49" s="258"/>
      <c r="T49" s="262"/>
      <c r="U49" s="262"/>
      <c r="V49" s="262"/>
      <c r="W49" s="262"/>
      <c r="X49" s="262"/>
      <c r="Y49" s="262"/>
      <c r="Z49" s="262"/>
      <c r="AA49" s="262"/>
      <c r="AB49" s="262"/>
      <c r="AC49" s="262"/>
      <c r="AD49" s="262"/>
      <c r="AE49" s="262"/>
      <c r="AF49" s="262"/>
      <c r="AG49" s="262"/>
      <c r="AH49" s="262"/>
      <c r="AI49" s="262"/>
      <c r="AJ49" s="262"/>
      <c r="AK49" s="262"/>
      <c r="AL49" s="262"/>
      <c r="AM49" s="262"/>
      <c r="AN49" s="262"/>
      <c r="AO49" s="263"/>
      <c r="AP49" s="263"/>
      <c r="AQ49" s="263"/>
      <c r="AR49" s="264"/>
      <c r="AS49" s="265"/>
      <c r="AT49" s="259"/>
      <c r="AU49" s="264"/>
      <c r="AV49" s="256"/>
      <c r="AW49" s="258"/>
      <c r="AX49" s="258"/>
      <c r="AY49" s="258"/>
      <c r="AZ49" s="258"/>
      <c r="BA49" s="256"/>
      <c r="BB49" s="256"/>
      <c r="BC49" s="258"/>
      <c r="BD49" s="266"/>
      <c r="BE49" s="258"/>
      <c r="BF49" s="265"/>
      <c r="BG49" s="265"/>
      <c r="BH49" s="265"/>
      <c r="BI49" s="257"/>
      <c r="BJ49" s="257"/>
      <c r="BK49" s="257"/>
      <c r="BL49" s="257"/>
      <c r="BM49" s="272"/>
      <c r="BN49" s="114" t="str">
        <f t="shared" si="5"/>
        <v/>
      </c>
    </row>
    <row r="50" spans="1:66" x14ac:dyDescent="0.2">
      <c r="A50" s="255"/>
      <c r="B50" s="256"/>
      <c r="C50" s="257"/>
      <c r="D50" s="258"/>
      <c r="E50" s="207" t="str">
        <f t="shared" si="3"/>
        <v xml:space="preserve"> </v>
      </c>
      <c r="F50" s="217" t="str">
        <f t="shared" ca="1" si="4"/>
        <v/>
      </c>
      <c r="G50" s="256"/>
      <c r="H50" s="256"/>
      <c r="I50" s="256"/>
      <c r="J50" s="256"/>
      <c r="K50" s="256"/>
      <c r="L50" s="259"/>
      <c r="M50" s="256"/>
      <c r="N50" s="256"/>
      <c r="O50" s="256"/>
      <c r="P50" s="260"/>
      <c r="Q50" s="261"/>
      <c r="R50" s="267"/>
      <c r="S50" s="258"/>
      <c r="T50" s="262"/>
      <c r="U50" s="262"/>
      <c r="V50" s="262"/>
      <c r="W50" s="262"/>
      <c r="X50" s="262"/>
      <c r="Y50" s="262"/>
      <c r="Z50" s="262"/>
      <c r="AA50" s="262"/>
      <c r="AB50" s="262"/>
      <c r="AC50" s="262"/>
      <c r="AD50" s="262"/>
      <c r="AE50" s="262"/>
      <c r="AF50" s="262"/>
      <c r="AG50" s="262"/>
      <c r="AH50" s="262"/>
      <c r="AI50" s="262"/>
      <c r="AJ50" s="262"/>
      <c r="AK50" s="262"/>
      <c r="AL50" s="262"/>
      <c r="AM50" s="262"/>
      <c r="AN50" s="262"/>
      <c r="AO50" s="263"/>
      <c r="AP50" s="263"/>
      <c r="AQ50" s="263"/>
      <c r="AR50" s="264"/>
      <c r="AS50" s="265"/>
      <c r="AT50" s="259"/>
      <c r="AU50" s="264"/>
      <c r="AV50" s="256"/>
      <c r="AW50" s="258"/>
      <c r="AX50" s="258"/>
      <c r="AY50" s="258"/>
      <c r="AZ50" s="258"/>
      <c r="BA50" s="256"/>
      <c r="BB50" s="256"/>
      <c r="BC50" s="258"/>
      <c r="BD50" s="266"/>
      <c r="BE50" s="258"/>
      <c r="BF50" s="265"/>
      <c r="BG50" s="265"/>
      <c r="BH50" s="265"/>
      <c r="BI50" s="257"/>
      <c r="BJ50" s="257"/>
      <c r="BK50" s="257"/>
      <c r="BL50" s="257"/>
      <c r="BM50" s="272"/>
      <c r="BN50" s="114" t="str">
        <f t="shared" si="5"/>
        <v/>
      </c>
    </row>
    <row r="51" spans="1:66" x14ac:dyDescent="0.2">
      <c r="A51" s="255"/>
      <c r="B51" s="256"/>
      <c r="C51" s="257"/>
      <c r="D51" s="258"/>
      <c r="E51" s="207" t="str">
        <f t="shared" si="3"/>
        <v xml:space="preserve"> </v>
      </c>
      <c r="F51" s="217" t="str">
        <f t="shared" ca="1" si="4"/>
        <v/>
      </c>
      <c r="G51" s="256"/>
      <c r="H51" s="256"/>
      <c r="I51" s="256"/>
      <c r="J51" s="256"/>
      <c r="K51" s="256"/>
      <c r="L51" s="259"/>
      <c r="M51" s="256"/>
      <c r="N51" s="256"/>
      <c r="O51" s="256"/>
      <c r="P51" s="260"/>
      <c r="Q51" s="261"/>
      <c r="R51" s="267"/>
      <c r="S51" s="258"/>
      <c r="T51" s="262"/>
      <c r="U51" s="262"/>
      <c r="V51" s="262"/>
      <c r="W51" s="262"/>
      <c r="X51" s="262"/>
      <c r="Y51" s="262"/>
      <c r="Z51" s="262"/>
      <c r="AA51" s="262"/>
      <c r="AB51" s="262"/>
      <c r="AC51" s="262"/>
      <c r="AD51" s="262"/>
      <c r="AE51" s="262"/>
      <c r="AF51" s="262"/>
      <c r="AG51" s="262"/>
      <c r="AH51" s="262"/>
      <c r="AI51" s="262"/>
      <c r="AJ51" s="262"/>
      <c r="AK51" s="262"/>
      <c r="AL51" s="262"/>
      <c r="AM51" s="262"/>
      <c r="AN51" s="262"/>
      <c r="AO51" s="263"/>
      <c r="AP51" s="263"/>
      <c r="AQ51" s="263"/>
      <c r="AR51" s="264"/>
      <c r="AS51" s="265"/>
      <c r="AT51" s="259"/>
      <c r="AU51" s="264"/>
      <c r="AV51" s="256"/>
      <c r="AW51" s="258"/>
      <c r="AX51" s="258"/>
      <c r="AY51" s="258"/>
      <c r="AZ51" s="258"/>
      <c r="BA51" s="256"/>
      <c r="BB51" s="256"/>
      <c r="BC51" s="258"/>
      <c r="BD51" s="266"/>
      <c r="BE51" s="258"/>
      <c r="BF51" s="265"/>
      <c r="BG51" s="265"/>
      <c r="BH51" s="265"/>
      <c r="BI51" s="257"/>
      <c r="BJ51" s="257"/>
      <c r="BK51" s="257"/>
      <c r="BL51" s="257"/>
      <c r="BM51" s="272"/>
      <c r="BN51" s="114" t="str">
        <f t="shared" si="5"/>
        <v/>
      </c>
    </row>
    <row r="52" spans="1:66" x14ac:dyDescent="0.2">
      <c r="A52" s="255"/>
      <c r="B52" s="256"/>
      <c r="C52" s="257"/>
      <c r="D52" s="258"/>
      <c r="E52" s="207" t="str">
        <f t="shared" si="3"/>
        <v xml:space="preserve"> </v>
      </c>
      <c r="F52" s="217" t="str">
        <f t="shared" ca="1" si="4"/>
        <v/>
      </c>
      <c r="G52" s="256"/>
      <c r="H52" s="256"/>
      <c r="I52" s="256"/>
      <c r="J52" s="256"/>
      <c r="K52" s="256"/>
      <c r="L52" s="259"/>
      <c r="M52" s="256"/>
      <c r="N52" s="256"/>
      <c r="O52" s="256"/>
      <c r="P52" s="260"/>
      <c r="Q52" s="261"/>
      <c r="R52" s="267"/>
      <c r="S52" s="258"/>
      <c r="T52" s="262"/>
      <c r="U52" s="262"/>
      <c r="V52" s="262"/>
      <c r="W52" s="262"/>
      <c r="X52" s="262"/>
      <c r="Y52" s="262"/>
      <c r="Z52" s="262"/>
      <c r="AA52" s="262"/>
      <c r="AB52" s="262"/>
      <c r="AC52" s="262"/>
      <c r="AD52" s="262"/>
      <c r="AE52" s="262"/>
      <c r="AF52" s="262"/>
      <c r="AG52" s="262"/>
      <c r="AH52" s="262"/>
      <c r="AI52" s="262"/>
      <c r="AJ52" s="262"/>
      <c r="AK52" s="262"/>
      <c r="AL52" s="262"/>
      <c r="AM52" s="262"/>
      <c r="AN52" s="262"/>
      <c r="AO52" s="263"/>
      <c r="AP52" s="263"/>
      <c r="AQ52" s="263"/>
      <c r="AR52" s="264"/>
      <c r="AS52" s="265"/>
      <c r="AT52" s="259"/>
      <c r="AU52" s="264"/>
      <c r="AV52" s="256"/>
      <c r="AW52" s="258"/>
      <c r="AX52" s="258"/>
      <c r="AY52" s="258"/>
      <c r="AZ52" s="258"/>
      <c r="BA52" s="256"/>
      <c r="BB52" s="256"/>
      <c r="BC52" s="258"/>
      <c r="BD52" s="266"/>
      <c r="BE52" s="258"/>
      <c r="BF52" s="265"/>
      <c r="BG52" s="265"/>
      <c r="BH52" s="265"/>
      <c r="BI52" s="257"/>
      <c r="BJ52" s="257"/>
      <c r="BK52" s="257"/>
      <c r="BL52" s="257"/>
      <c r="BM52" s="272"/>
      <c r="BN52" s="114" t="str">
        <f t="shared" si="5"/>
        <v/>
      </c>
    </row>
    <row r="53" spans="1:66" x14ac:dyDescent="0.2">
      <c r="A53" s="255"/>
      <c r="B53" s="256"/>
      <c r="C53" s="257"/>
      <c r="D53" s="258"/>
      <c r="E53" s="207" t="str">
        <f t="shared" si="3"/>
        <v xml:space="preserve"> </v>
      </c>
      <c r="F53" s="217" t="str">
        <f t="shared" ca="1" si="4"/>
        <v/>
      </c>
      <c r="G53" s="256"/>
      <c r="H53" s="256"/>
      <c r="I53" s="256"/>
      <c r="J53" s="256"/>
      <c r="K53" s="256"/>
      <c r="L53" s="259"/>
      <c r="M53" s="256"/>
      <c r="N53" s="256"/>
      <c r="O53" s="256"/>
      <c r="P53" s="260"/>
      <c r="Q53" s="261"/>
      <c r="R53" s="267"/>
      <c r="S53" s="258"/>
      <c r="T53" s="262"/>
      <c r="U53" s="262"/>
      <c r="V53" s="262"/>
      <c r="W53" s="262"/>
      <c r="X53" s="262"/>
      <c r="Y53" s="262"/>
      <c r="Z53" s="262"/>
      <c r="AA53" s="262"/>
      <c r="AB53" s="262"/>
      <c r="AC53" s="262"/>
      <c r="AD53" s="262"/>
      <c r="AE53" s="262"/>
      <c r="AF53" s="262"/>
      <c r="AG53" s="262"/>
      <c r="AH53" s="262"/>
      <c r="AI53" s="262"/>
      <c r="AJ53" s="262"/>
      <c r="AK53" s="262"/>
      <c r="AL53" s="262"/>
      <c r="AM53" s="262"/>
      <c r="AN53" s="262"/>
      <c r="AO53" s="263"/>
      <c r="AP53" s="263"/>
      <c r="AQ53" s="263"/>
      <c r="AR53" s="264"/>
      <c r="AS53" s="265"/>
      <c r="AT53" s="259"/>
      <c r="AU53" s="264"/>
      <c r="AV53" s="256"/>
      <c r="AW53" s="258"/>
      <c r="AX53" s="258"/>
      <c r="AY53" s="258"/>
      <c r="AZ53" s="258"/>
      <c r="BA53" s="256"/>
      <c r="BB53" s="256"/>
      <c r="BC53" s="258"/>
      <c r="BD53" s="266"/>
      <c r="BE53" s="258"/>
      <c r="BF53" s="265"/>
      <c r="BG53" s="265"/>
      <c r="BH53" s="265"/>
      <c r="BI53" s="257"/>
      <c r="BJ53" s="257"/>
      <c r="BK53" s="257"/>
      <c r="BL53" s="257"/>
      <c r="BM53" s="272"/>
      <c r="BN53" s="114" t="str">
        <f t="shared" si="5"/>
        <v/>
      </c>
    </row>
    <row r="54" spans="1:66" x14ac:dyDescent="0.2">
      <c r="A54" s="255"/>
      <c r="B54" s="256"/>
      <c r="C54" s="257"/>
      <c r="D54" s="258"/>
      <c r="E54" s="207" t="str">
        <f t="shared" si="3"/>
        <v xml:space="preserve"> </v>
      </c>
      <c r="F54" s="217" t="str">
        <f t="shared" ca="1" si="4"/>
        <v/>
      </c>
      <c r="G54" s="256"/>
      <c r="H54" s="256"/>
      <c r="I54" s="256"/>
      <c r="J54" s="256"/>
      <c r="K54" s="256"/>
      <c r="L54" s="259"/>
      <c r="M54" s="256"/>
      <c r="N54" s="256"/>
      <c r="O54" s="256"/>
      <c r="P54" s="260"/>
      <c r="Q54" s="261"/>
      <c r="R54" s="267"/>
      <c r="S54" s="258"/>
      <c r="T54" s="262"/>
      <c r="U54" s="262"/>
      <c r="V54" s="262"/>
      <c r="W54" s="262"/>
      <c r="X54" s="262"/>
      <c r="Y54" s="262"/>
      <c r="Z54" s="262"/>
      <c r="AA54" s="262"/>
      <c r="AB54" s="262"/>
      <c r="AC54" s="262"/>
      <c r="AD54" s="262"/>
      <c r="AE54" s="262"/>
      <c r="AF54" s="262"/>
      <c r="AG54" s="262"/>
      <c r="AH54" s="262"/>
      <c r="AI54" s="262"/>
      <c r="AJ54" s="262"/>
      <c r="AK54" s="262"/>
      <c r="AL54" s="262"/>
      <c r="AM54" s="262"/>
      <c r="AN54" s="262"/>
      <c r="AO54" s="263"/>
      <c r="AP54" s="263"/>
      <c r="AQ54" s="263"/>
      <c r="AR54" s="264"/>
      <c r="AS54" s="265"/>
      <c r="AT54" s="259"/>
      <c r="AU54" s="264"/>
      <c r="AV54" s="256"/>
      <c r="AW54" s="258"/>
      <c r="AX54" s="258"/>
      <c r="AY54" s="258"/>
      <c r="AZ54" s="258"/>
      <c r="BA54" s="256"/>
      <c r="BB54" s="256"/>
      <c r="BC54" s="258"/>
      <c r="BD54" s="266"/>
      <c r="BE54" s="258"/>
      <c r="BF54" s="265"/>
      <c r="BG54" s="265"/>
      <c r="BH54" s="265"/>
      <c r="BI54" s="257"/>
      <c r="BJ54" s="257"/>
      <c r="BK54" s="257"/>
      <c r="BL54" s="257"/>
      <c r="BM54" s="272"/>
      <c r="BN54" s="114" t="str">
        <f t="shared" si="5"/>
        <v/>
      </c>
    </row>
    <row r="55" spans="1:66" x14ac:dyDescent="0.2">
      <c r="A55" s="255"/>
      <c r="B55" s="256"/>
      <c r="C55" s="257"/>
      <c r="D55" s="258"/>
      <c r="E55" s="207" t="str">
        <f t="shared" si="3"/>
        <v xml:space="preserve"> </v>
      </c>
      <c r="F55" s="217" t="str">
        <f t="shared" ca="1" si="4"/>
        <v/>
      </c>
      <c r="G55" s="256"/>
      <c r="H55" s="256"/>
      <c r="I55" s="256"/>
      <c r="J55" s="256"/>
      <c r="K55" s="256"/>
      <c r="L55" s="259"/>
      <c r="M55" s="256"/>
      <c r="N55" s="256"/>
      <c r="O55" s="256"/>
      <c r="P55" s="260"/>
      <c r="Q55" s="261"/>
      <c r="R55" s="267"/>
      <c r="S55" s="258"/>
      <c r="T55" s="262"/>
      <c r="U55" s="262"/>
      <c r="V55" s="262"/>
      <c r="W55" s="262"/>
      <c r="X55" s="262"/>
      <c r="Y55" s="262"/>
      <c r="Z55" s="262"/>
      <c r="AA55" s="262"/>
      <c r="AB55" s="262"/>
      <c r="AC55" s="262"/>
      <c r="AD55" s="262"/>
      <c r="AE55" s="262"/>
      <c r="AF55" s="262"/>
      <c r="AG55" s="262"/>
      <c r="AH55" s="262"/>
      <c r="AI55" s="262"/>
      <c r="AJ55" s="262"/>
      <c r="AK55" s="262"/>
      <c r="AL55" s="262"/>
      <c r="AM55" s="262"/>
      <c r="AN55" s="262"/>
      <c r="AO55" s="263"/>
      <c r="AP55" s="263"/>
      <c r="AQ55" s="263"/>
      <c r="AR55" s="264"/>
      <c r="AS55" s="265"/>
      <c r="AT55" s="259"/>
      <c r="AU55" s="264"/>
      <c r="AV55" s="256"/>
      <c r="AW55" s="258"/>
      <c r="AX55" s="258"/>
      <c r="AY55" s="258"/>
      <c r="AZ55" s="258"/>
      <c r="BA55" s="256"/>
      <c r="BB55" s="256"/>
      <c r="BC55" s="258"/>
      <c r="BD55" s="266"/>
      <c r="BE55" s="258"/>
      <c r="BF55" s="265"/>
      <c r="BG55" s="265"/>
      <c r="BH55" s="265"/>
      <c r="BI55" s="257"/>
      <c r="BJ55" s="257"/>
      <c r="BK55" s="257"/>
      <c r="BL55" s="257"/>
      <c r="BM55" s="272"/>
      <c r="BN55" s="114" t="str">
        <f t="shared" si="5"/>
        <v/>
      </c>
    </row>
    <row r="56" spans="1:66" x14ac:dyDescent="0.2">
      <c r="A56" s="255"/>
      <c r="B56" s="256"/>
      <c r="C56" s="257"/>
      <c r="D56" s="258"/>
      <c r="E56" s="207" t="str">
        <f t="shared" si="3"/>
        <v xml:space="preserve"> </v>
      </c>
      <c r="F56" s="217" t="str">
        <f t="shared" ca="1" si="4"/>
        <v/>
      </c>
      <c r="G56" s="256"/>
      <c r="H56" s="256"/>
      <c r="I56" s="256"/>
      <c r="J56" s="256"/>
      <c r="K56" s="256"/>
      <c r="L56" s="259"/>
      <c r="M56" s="256"/>
      <c r="N56" s="256"/>
      <c r="O56" s="256"/>
      <c r="P56" s="260"/>
      <c r="Q56" s="261"/>
      <c r="R56" s="267"/>
      <c r="S56" s="258"/>
      <c r="T56" s="262"/>
      <c r="U56" s="262"/>
      <c r="V56" s="262"/>
      <c r="W56" s="262"/>
      <c r="X56" s="262"/>
      <c r="Y56" s="262"/>
      <c r="Z56" s="262"/>
      <c r="AA56" s="262"/>
      <c r="AB56" s="262"/>
      <c r="AC56" s="262"/>
      <c r="AD56" s="262"/>
      <c r="AE56" s="262"/>
      <c r="AF56" s="262"/>
      <c r="AG56" s="262"/>
      <c r="AH56" s="262"/>
      <c r="AI56" s="262"/>
      <c r="AJ56" s="262"/>
      <c r="AK56" s="262"/>
      <c r="AL56" s="262"/>
      <c r="AM56" s="262"/>
      <c r="AN56" s="262"/>
      <c r="AO56" s="263"/>
      <c r="AP56" s="263"/>
      <c r="AQ56" s="263"/>
      <c r="AR56" s="264"/>
      <c r="AS56" s="265"/>
      <c r="AT56" s="259"/>
      <c r="AU56" s="264"/>
      <c r="AV56" s="256"/>
      <c r="AW56" s="258"/>
      <c r="AX56" s="258"/>
      <c r="AY56" s="258"/>
      <c r="AZ56" s="258"/>
      <c r="BA56" s="256"/>
      <c r="BB56" s="256"/>
      <c r="BC56" s="258"/>
      <c r="BD56" s="266"/>
      <c r="BE56" s="258"/>
      <c r="BF56" s="265"/>
      <c r="BG56" s="265"/>
      <c r="BH56" s="265"/>
      <c r="BI56" s="257"/>
      <c r="BJ56" s="257"/>
      <c r="BK56" s="257"/>
      <c r="BL56" s="257"/>
      <c r="BM56" s="272"/>
      <c r="BN56" s="114" t="str">
        <f t="shared" si="5"/>
        <v/>
      </c>
    </row>
    <row r="57" spans="1:66" x14ac:dyDescent="0.2">
      <c r="A57" s="255"/>
      <c r="B57" s="256"/>
      <c r="C57" s="257"/>
      <c r="D57" s="258"/>
      <c r="E57" s="207" t="str">
        <f t="shared" si="3"/>
        <v xml:space="preserve"> </v>
      </c>
      <c r="F57" s="217" t="str">
        <f t="shared" ca="1" si="4"/>
        <v/>
      </c>
      <c r="G57" s="256"/>
      <c r="H57" s="256"/>
      <c r="I57" s="256"/>
      <c r="J57" s="256"/>
      <c r="K57" s="256"/>
      <c r="L57" s="259"/>
      <c r="M57" s="256"/>
      <c r="N57" s="256"/>
      <c r="O57" s="256"/>
      <c r="P57" s="260"/>
      <c r="Q57" s="261"/>
      <c r="R57" s="267"/>
      <c r="S57" s="258"/>
      <c r="T57" s="262"/>
      <c r="U57" s="262"/>
      <c r="V57" s="262"/>
      <c r="W57" s="262"/>
      <c r="X57" s="262"/>
      <c r="Y57" s="262"/>
      <c r="Z57" s="262"/>
      <c r="AA57" s="262"/>
      <c r="AB57" s="262"/>
      <c r="AC57" s="262"/>
      <c r="AD57" s="262"/>
      <c r="AE57" s="262"/>
      <c r="AF57" s="262"/>
      <c r="AG57" s="262"/>
      <c r="AH57" s="262"/>
      <c r="AI57" s="262"/>
      <c r="AJ57" s="262"/>
      <c r="AK57" s="262"/>
      <c r="AL57" s="262"/>
      <c r="AM57" s="262"/>
      <c r="AN57" s="262"/>
      <c r="AO57" s="263"/>
      <c r="AP57" s="263"/>
      <c r="AQ57" s="263"/>
      <c r="AR57" s="264"/>
      <c r="AS57" s="265"/>
      <c r="AT57" s="259"/>
      <c r="AU57" s="264"/>
      <c r="AV57" s="256"/>
      <c r="AW57" s="258"/>
      <c r="AX57" s="258"/>
      <c r="AY57" s="258"/>
      <c r="AZ57" s="258"/>
      <c r="BA57" s="256"/>
      <c r="BB57" s="256"/>
      <c r="BC57" s="258"/>
      <c r="BD57" s="266"/>
      <c r="BE57" s="258"/>
      <c r="BF57" s="265"/>
      <c r="BG57" s="265"/>
      <c r="BH57" s="265"/>
      <c r="BI57" s="257"/>
      <c r="BJ57" s="257"/>
      <c r="BK57" s="257"/>
      <c r="BL57" s="257"/>
      <c r="BM57" s="272"/>
      <c r="BN57" s="114" t="str">
        <f t="shared" si="5"/>
        <v/>
      </c>
    </row>
    <row r="58" spans="1:66" x14ac:dyDescent="0.2">
      <c r="A58" s="255"/>
      <c r="B58" s="256"/>
      <c r="C58" s="257"/>
      <c r="D58" s="258"/>
      <c r="E58" s="207" t="str">
        <f t="shared" si="3"/>
        <v xml:space="preserve"> </v>
      </c>
      <c r="F58" s="217" t="str">
        <f t="shared" ca="1" si="4"/>
        <v/>
      </c>
      <c r="G58" s="256"/>
      <c r="H58" s="256"/>
      <c r="I58" s="256"/>
      <c r="J58" s="256"/>
      <c r="K58" s="256"/>
      <c r="L58" s="259"/>
      <c r="M58" s="256"/>
      <c r="N58" s="256"/>
      <c r="O58" s="256"/>
      <c r="P58" s="260"/>
      <c r="Q58" s="261"/>
      <c r="R58" s="267"/>
      <c r="S58" s="258"/>
      <c r="T58" s="262"/>
      <c r="U58" s="262"/>
      <c r="V58" s="262"/>
      <c r="W58" s="262"/>
      <c r="X58" s="262"/>
      <c r="Y58" s="262"/>
      <c r="Z58" s="262"/>
      <c r="AA58" s="262"/>
      <c r="AB58" s="262"/>
      <c r="AC58" s="262"/>
      <c r="AD58" s="262"/>
      <c r="AE58" s="262"/>
      <c r="AF58" s="262"/>
      <c r="AG58" s="262"/>
      <c r="AH58" s="262"/>
      <c r="AI58" s="262"/>
      <c r="AJ58" s="262"/>
      <c r="AK58" s="262"/>
      <c r="AL58" s="262"/>
      <c r="AM58" s="262"/>
      <c r="AN58" s="262"/>
      <c r="AO58" s="263"/>
      <c r="AP58" s="263"/>
      <c r="AQ58" s="263"/>
      <c r="AR58" s="264"/>
      <c r="AS58" s="265"/>
      <c r="AT58" s="259"/>
      <c r="AU58" s="264"/>
      <c r="AV58" s="256"/>
      <c r="AW58" s="258"/>
      <c r="AX58" s="258"/>
      <c r="AY58" s="258"/>
      <c r="AZ58" s="258"/>
      <c r="BA58" s="256"/>
      <c r="BB58" s="256"/>
      <c r="BC58" s="258"/>
      <c r="BD58" s="266"/>
      <c r="BE58" s="258"/>
      <c r="BF58" s="265"/>
      <c r="BG58" s="265"/>
      <c r="BH58" s="265"/>
      <c r="BI58" s="257"/>
      <c r="BJ58" s="257"/>
      <c r="BK58" s="257"/>
      <c r="BL58" s="257"/>
      <c r="BM58" s="272"/>
      <c r="BN58" s="114" t="str">
        <f t="shared" si="5"/>
        <v/>
      </c>
    </row>
    <row r="59" spans="1:66" x14ac:dyDescent="0.2">
      <c r="A59" s="255"/>
      <c r="B59" s="256"/>
      <c r="C59" s="257"/>
      <c r="D59" s="258"/>
      <c r="E59" s="207" t="str">
        <f t="shared" si="3"/>
        <v xml:space="preserve"> </v>
      </c>
      <c r="F59" s="217" t="str">
        <f t="shared" ca="1" si="4"/>
        <v/>
      </c>
      <c r="G59" s="256"/>
      <c r="H59" s="256"/>
      <c r="I59" s="256"/>
      <c r="J59" s="256"/>
      <c r="K59" s="256"/>
      <c r="L59" s="259"/>
      <c r="M59" s="256"/>
      <c r="N59" s="256"/>
      <c r="O59" s="256"/>
      <c r="P59" s="260"/>
      <c r="Q59" s="261"/>
      <c r="R59" s="267"/>
      <c r="S59" s="258"/>
      <c r="T59" s="262"/>
      <c r="U59" s="262"/>
      <c r="V59" s="262"/>
      <c r="W59" s="262"/>
      <c r="X59" s="262"/>
      <c r="Y59" s="262"/>
      <c r="Z59" s="262"/>
      <c r="AA59" s="262"/>
      <c r="AB59" s="262"/>
      <c r="AC59" s="262"/>
      <c r="AD59" s="262"/>
      <c r="AE59" s="262"/>
      <c r="AF59" s="262"/>
      <c r="AG59" s="262"/>
      <c r="AH59" s="262"/>
      <c r="AI59" s="262"/>
      <c r="AJ59" s="262"/>
      <c r="AK59" s="262"/>
      <c r="AL59" s="262"/>
      <c r="AM59" s="262"/>
      <c r="AN59" s="262"/>
      <c r="AO59" s="263"/>
      <c r="AP59" s="263"/>
      <c r="AQ59" s="263"/>
      <c r="AR59" s="264"/>
      <c r="AS59" s="265"/>
      <c r="AT59" s="259"/>
      <c r="AU59" s="264"/>
      <c r="AV59" s="256"/>
      <c r="AW59" s="258"/>
      <c r="AX59" s="258"/>
      <c r="AY59" s="258"/>
      <c r="AZ59" s="258"/>
      <c r="BA59" s="256"/>
      <c r="BB59" s="256"/>
      <c r="BC59" s="258"/>
      <c r="BD59" s="266"/>
      <c r="BE59" s="258"/>
      <c r="BF59" s="265"/>
      <c r="BG59" s="265"/>
      <c r="BH59" s="265"/>
      <c r="BI59" s="257"/>
      <c r="BJ59" s="257"/>
      <c r="BK59" s="257"/>
      <c r="BL59" s="257"/>
      <c r="BM59" s="272"/>
      <c r="BN59" s="114" t="str">
        <f t="shared" si="5"/>
        <v/>
      </c>
    </row>
    <row r="60" spans="1:66" x14ac:dyDescent="0.2">
      <c r="A60" s="255"/>
      <c r="B60" s="256"/>
      <c r="C60" s="257"/>
      <c r="D60" s="258"/>
      <c r="E60" s="207" t="str">
        <f t="shared" si="3"/>
        <v xml:space="preserve"> </v>
      </c>
      <c r="F60" s="217" t="str">
        <f t="shared" ca="1" si="4"/>
        <v/>
      </c>
      <c r="G60" s="256"/>
      <c r="H60" s="256"/>
      <c r="I60" s="256"/>
      <c r="J60" s="256"/>
      <c r="K60" s="256"/>
      <c r="L60" s="259"/>
      <c r="M60" s="256"/>
      <c r="N60" s="256"/>
      <c r="O60" s="256"/>
      <c r="P60" s="260"/>
      <c r="Q60" s="261"/>
      <c r="R60" s="267"/>
      <c r="S60" s="258"/>
      <c r="T60" s="262"/>
      <c r="U60" s="262"/>
      <c r="V60" s="262"/>
      <c r="W60" s="262"/>
      <c r="X60" s="262"/>
      <c r="Y60" s="262"/>
      <c r="Z60" s="262"/>
      <c r="AA60" s="262"/>
      <c r="AB60" s="262"/>
      <c r="AC60" s="262"/>
      <c r="AD60" s="262"/>
      <c r="AE60" s="262"/>
      <c r="AF60" s="262"/>
      <c r="AG60" s="262"/>
      <c r="AH60" s="262"/>
      <c r="AI60" s="262"/>
      <c r="AJ60" s="262"/>
      <c r="AK60" s="262"/>
      <c r="AL60" s="262"/>
      <c r="AM60" s="262"/>
      <c r="AN60" s="262"/>
      <c r="AO60" s="263"/>
      <c r="AP60" s="263"/>
      <c r="AQ60" s="263"/>
      <c r="AR60" s="264"/>
      <c r="AS60" s="265"/>
      <c r="AT60" s="259"/>
      <c r="AU60" s="264"/>
      <c r="AV60" s="256"/>
      <c r="AW60" s="258"/>
      <c r="AX60" s="258"/>
      <c r="AY60" s="258"/>
      <c r="AZ60" s="258"/>
      <c r="BA60" s="256"/>
      <c r="BB60" s="256"/>
      <c r="BC60" s="258"/>
      <c r="BD60" s="266"/>
      <c r="BE60" s="258"/>
      <c r="BF60" s="265"/>
      <c r="BG60" s="265"/>
      <c r="BH60" s="265"/>
      <c r="BI60" s="257"/>
      <c r="BJ60" s="257"/>
      <c r="BK60" s="257"/>
      <c r="BL60" s="257"/>
      <c r="BM60" s="272"/>
      <c r="BN60" s="114" t="str">
        <f t="shared" si="5"/>
        <v/>
      </c>
    </row>
    <row r="61" spans="1:66" x14ac:dyDescent="0.2">
      <c r="A61" s="255"/>
      <c r="B61" s="256"/>
      <c r="C61" s="257"/>
      <c r="D61" s="258"/>
      <c r="E61" s="207" t="str">
        <f t="shared" si="3"/>
        <v xml:space="preserve"> </v>
      </c>
      <c r="F61" s="217" t="str">
        <f t="shared" ca="1" si="4"/>
        <v/>
      </c>
      <c r="G61" s="256"/>
      <c r="H61" s="256"/>
      <c r="I61" s="256"/>
      <c r="J61" s="256"/>
      <c r="K61" s="256"/>
      <c r="L61" s="259"/>
      <c r="M61" s="256"/>
      <c r="N61" s="256"/>
      <c r="O61" s="256"/>
      <c r="P61" s="260"/>
      <c r="Q61" s="261"/>
      <c r="R61" s="267"/>
      <c r="S61" s="258"/>
      <c r="T61" s="262"/>
      <c r="U61" s="262"/>
      <c r="V61" s="262"/>
      <c r="W61" s="262"/>
      <c r="X61" s="262"/>
      <c r="Y61" s="262"/>
      <c r="Z61" s="262"/>
      <c r="AA61" s="262"/>
      <c r="AB61" s="262"/>
      <c r="AC61" s="262"/>
      <c r="AD61" s="262"/>
      <c r="AE61" s="262"/>
      <c r="AF61" s="262"/>
      <c r="AG61" s="262"/>
      <c r="AH61" s="262"/>
      <c r="AI61" s="262"/>
      <c r="AJ61" s="262"/>
      <c r="AK61" s="262"/>
      <c r="AL61" s="262"/>
      <c r="AM61" s="262"/>
      <c r="AN61" s="262"/>
      <c r="AO61" s="263"/>
      <c r="AP61" s="263"/>
      <c r="AQ61" s="263"/>
      <c r="AR61" s="264"/>
      <c r="AS61" s="265"/>
      <c r="AT61" s="259"/>
      <c r="AU61" s="264"/>
      <c r="AV61" s="256"/>
      <c r="AW61" s="258"/>
      <c r="AX61" s="258"/>
      <c r="AY61" s="258"/>
      <c r="AZ61" s="258"/>
      <c r="BA61" s="256"/>
      <c r="BB61" s="256"/>
      <c r="BC61" s="258"/>
      <c r="BD61" s="266"/>
      <c r="BE61" s="258"/>
      <c r="BF61" s="265"/>
      <c r="BG61" s="265"/>
      <c r="BH61" s="265"/>
      <c r="BI61" s="257"/>
      <c r="BJ61" s="257"/>
      <c r="BK61" s="257"/>
      <c r="BL61" s="257"/>
      <c r="BM61" s="272"/>
      <c r="BN61" s="114" t="str">
        <f t="shared" si="5"/>
        <v/>
      </c>
    </row>
    <row r="62" spans="1:66" x14ac:dyDescent="0.2">
      <c r="A62" s="255"/>
      <c r="B62" s="256"/>
      <c r="C62" s="257"/>
      <c r="D62" s="258"/>
      <c r="E62" s="207" t="str">
        <f t="shared" si="3"/>
        <v xml:space="preserve"> </v>
      </c>
      <c r="F62" s="217" t="str">
        <f t="shared" ca="1" si="4"/>
        <v/>
      </c>
      <c r="G62" s="256"/>
      <c r="H62" s="256"/>
      <c r="I62" s="256"/>
      <c r="J62" s="256"/>
      <c r="K62" s="256"/>
      <c r="L62" s="259"/>
      <c r="M62" s="256"/>
      <c r="N62" s="256"/>
      <c r="O62" s="256"/>
      <c r="P62" s="260"/>
      <c r="Q62" s="261"/>
      <c r="R62" s="267"/>
      <c r="S62" s="258"/>
      <c r="T62" s="262"/>
      <c r="U62" s="262"/>
      <c r="V62" s="262"/>
      <c r="W62" s="262"/>
      <c r="X62" s="262"/>
      <c r="Y62" s="262"/>
      <c r="Z62" s="262"/>
      <c r="AA62" s="262"/>
      <c r="AB62" s="262"/>
      <c r="AC62" s="262"/>
      <c r="AD62" s="262"/>
      <c r="AE62" s="262"/>
      <c r="AF62" s="262"/>
      <c r="AG62" s="262"/>
      <c r="AH62" s="262"/>
      <c r="AI62" s="262"/>
      <c r="AJ62" s="262"/>
      <c r="AK62" s="262"/>
      <c r="AL62" s="262"/>
      <c r="AM62" s="262"/>
      <c r="AN62" s="262"/>
      <c r="AO62" s="263"/>
      <c r="AP62" s="263"/>
      <c r="AQ62" s="263"/>
      <c r="AR62" s="264"/>
      <c r="AS62" s="265"/>
      <c r="AT62" s="259"/>
      <c r="AU62" s="264"/>
      <c r="AV62" s="256"/>
      <c r="AW62" s="258"/>
      <c r="AX62" s="258"/>
      <c r="AY62" s="258"/>
      <c r="AZ62" s="258"/>
      <c r="BA62" s="256"/>
      <c r="BB62" s="256"/>
      <c r="BC62" s="258"/>
      <c r="BD62" s="266"/>
      <c r="BE62" s="258"/>
      <c r="BF62" s="265"/>
      <c r="BG62" s="265"/>
      <c r="BH62" s="265"/>
      <c r="BI62" s="257"/>
      <c r="BJ62" s="257"/>
      <c r="BK62" s="257"/>
      <c r="BL62" s="257"/>
      <c r="BM62" s="272"/>
      <c r="BN62" s="114" t="str">
        <f t="shared" si="5"/>
        <v/>
      </c>
    </row>
    <row r="63" spans="1:66" x14ac:dyDescent="0.2">
      <c r="A63" s="255"/>
      <c r="B63" s="256"/>
      <c r="C63" s="257"/>
      <c r="D63" s="258"/>
      <c r="E63" s="207" t="str">
        <f t="shared" si="3"/>
        <v xml:space="preserve"> </v>
      </c>
      <c r="F63" s="217" t="str">
        <f t="shared" ca="1" si="4"/>
        <v/>
      </c>
      <c r="G63" s="256"/>
      <c r="H63" s="256"/>
      <c r="I63" s="256"/>
      <c r="J63" s="256"/>
      <c r="K63" s="256"/>
      <c r="L63" s="259"/>
      <c r="M63" s="256"/>
      <c r="N63" s="256"/>
      <c r="O63" s="256"/>
      <c r="P63" s="260"/>
      <c r="Q63" s="261"/>
      <c r="R63" s="267"/>
      <c r="S63" s="258"/>
      <c r="T63" s="262"/>
      <c r="U63" s="262"/>
      <c r="V63" s="262"/>
      <c r="W63" s="262"/>
      <c r="X63" s="262"/>
      <c r="Y63" s="262"/>
      <c r="Z63" s="262"/>
      <c r="AA63" s="262"/>
      <c r="AB63" s="262"/>
      <c r="AC63" s="262"/>
      <c r="AD63" s="262"/>
      <c r="AE63" s="262"/>
      <c r="AF63" s="262"/>
      <c r="AG63" s="262"/>
      <c r="AH63" s="262"/>
      <c r="AI63" s="262"/>
      <c r="AJ63" s="262"/>
      <c r="AK63" s="262"/>
      <c r="AL63" s="262"/>
      <c r="AM63" s="262"/>
      <c r="AN63" s="262"/>
      <c r="AO63" s="263"/>
      <c r="AP63" s="263"/>
      <c r="AQ63" s="263"/>
      <c r="AR63" s="264"/>
      <c r="AS63" s="265"/>
      <c r="AT63" s="259"/>
      <c r="AU63" s="264"/>
      <c r="AV63" s="256"/>
      <c r="AW63" s="258"/>
      <c r="AX63" s="258"/>
      <c r="AY63" s="258"/>
      <c r="AZ63" s="258"/>
      <c r="BA63" s="256"/>
      <c r="BB63" s="256"/>
      <c r="BC63" s="258"/>
      <c r="BD63" s="266"/>
      <c r="BE63" s="258"/>
      <c r="BF63" s="265"/>
      <c r="BG63" s="265"/>
      <c r="BH63" s="265"/>
      <c r="BI63" s="257"/>
      <c r="BJ63" s="257"/>
      <c r="BK63" s="257"/>
      <c r="BL63" s="257"/>
      <c r="BM63" s="272"/>
      <c r="BN63" s="114" t="str">
        <f t="shared" si="5"/>
        <v/>
      </c>
    </row>
    <row r="64" spans="1:66" x14ac:dyDescent="0.2">
      <c r="A64" s="255"/>
      <c r="B64" s="256"/>
      <c r="C64" s="257"/>
      <c r="D64" s="258"/>
      <c r="E64" s="207" t="str">
        <f t="shared" si="3"/>
        <v xml:space="preserve"> </v>
      </c>
      <c r="F64" s="217" t="str">
        <f t="shared" ca="1" si="4"/>
        <v/>
      </c>
      <c r="G64" s="256"/>
      <c r="H64" s="256"/>
      <c r="I64" s="256"/>
      <c r="J64" s="256"/>
      <c r="K64" s="256"/>
      <c r="L64" s="259"/>
      <c r="M64" s="256"/>
      <c r="N64" s="256"/>
      <c r="O64" s="256"/>
      <c r="P64" s="260"/>
      <c r="Q64" s="261"/>
      <c r="R64" s="267"/>
      <c r="S64" s="258"/>
      <c r="T64" s="262"/>
      <c r="U64" s="262"/>
      <c r="V64" s="262"/>
      <c r="W64" s="262"/>
      <c r="X64" s="262"/>
      <c r="Y64" s="262"/>
      <c r="Z64" s="262"/>
      <c r="AA64" s="262"/>
      <c r="AB64" s="262"/>
      <c r="AC64" s="262"/>
      <c r="AD64" s="262"/>
      <c r="AE64" s="262"/>
      <c r="AF64" s="262"/>
      <c r="AG64" s="262"/>
      <c r="AH64" s="262"/>
      <c r="AI64" s="262"/>
      <c r="AJ64" s="262"/>
      <c r="AK64" s="262"/>
      <c r="AL64" s="262"/>
      <c r="AM64" s="262"/>
      <c r="AN64" s="262"/>
      <c r="AO64" s="263"/>
      <c r="AP64" s="263"/>
      <c r="AQ64" s="263"/>
      <c r="AR64" s="264"/>
      <c r="AS64" s="265"/>
      <c r="AT64" s="259"/>
      <c r="AU64" s="264"/>
      <c r="AV64" s="256"/>
      <c r="AW64" s="258"/>
      <c r="AX64" s="258"/>
      <c r="AY64" s="258"/>
      <c r="AZ64" s="258"/>
      <c r="BA64" s="256"/>
      <c r="BB64" s="256"/>
      <c r="BC64" s="258"/>
      <c r="BD64" s="266"/>
      <c r="BE64" s="258"/>
      <c r="BF64" s="265"/>
      <c r="BG64" s="265"/>
      <c r="BH64" s="265"/>
      <c r="BI64" s="257"/>
      <c r="BJ64" s="257"/>
      <c r="BK64" s="257"/>
      <c r="BL64" s="257"/>
      <c r="BM64" s="272"/>
      <c r="BN64" s="114" t="str">
        <f t="shared" si="5"/>
        <v/>
      </c>
    </row>
    <row r="65" spans="1:66" x14ac:dyDescent="0.2">
      <c r="A65" s="255"/>
      <c r="B65" s="256"/>
      <c r="C65" s="257"/>
      <c r="D65" s="258"/>
      <c r="E65" s="207" t="str">
        <f t="shared" si="3"/>
        <v xml:space="preserve"> </v>
      </c>
      <c r="F65" s="217" t="str">
        <f t="shared" ca="1" si="4"/>
        <v/>
      </c>
      <c r="G65" s="256"/>
      <c r="H65" s="256"/>
      <c r="I65" s="256"/>
      <c r="J65" s="256"/>
      <c r="K65" s="256"/>
      <c r="L65" s="259"/>
      <c r="M65" s="256"/>
      <c r="N65" s="256"/>
      <c r="O65" s="256"/>
      <c r="P65" s="260"/>
      <c r="Q65" s="261"/>
      <c r="R65" s="267"/>
      <c r="S65" s="258"/>
      <c r="T65" s="262"/>
      <c r="U65" s="262"/>
      <c r="V65" s="262"/>
      <c r="W65" s="262"/>
      <c r="X65" s="262"/>
      <c r="Y65" s="262"/>
      <c r="Z65" s="262"/>
      <c r="AA65" s="262"/>
      <c r="AB65" s="262"/>
      <c r="AC65" s="262"/>
      <c r="AD65" s="262"/>
      <c r="AE65" s="262"/>
      <c r="AF65" s="262"/>
      <c r="AG65" s="262"/>
      <c r="AH65" s="262"/>
      <c r="AI65" s="262"/>
      <c r="AJ65" s="262"/>
      <c r="AK65" s="262"/>
      <c r="AL65" s="262"/>
      <c r="AM65" s="262"/>
      <c r="AN65" s="262"/>
      <c r="AO65" s="263"/>
      <c r="AP65" s="263"/>
      <c r="AQ65" s="263"/>
      <c r="AR65" s="264"/>
      <c r="AS65" s="265"/>
      <c r="AT65" s="259"/>
      <c r="AU65" s="264"/>
      <c r="AV65" s="256"/>
      <c r="AW65" s="258"/>
      <c r="AX65" s="258"/>
      <c r="AY65" s="258"/>
      <c r="AZ65" s="258"/>
      <c r="BA65" s="256"/>
      <c r="BB65" s="256"/>
      <c r="BC65" s="258"/>
      <c r="BD65" s="266"/>
      <c r="BE65" s="258"/>
      <c r="BF65" s="265"/>
      <c r="BG65" s="265"/>
      <c r="BH65" s="265"/>
      <c r="BI65" s="257"/>
      <c r="BJ65" s="257"/>
      <c r="BK65" s="257"/>
      <c r="BL65" s="257"/>
      <c r="BM65" s="272"/>
      <c r="BN65" s="114" t="str">
        <f t="shared" si="5"/>
        <v/>
      </c>
    </row>
    <row r="66" spans="1:66" x14ac:dyDescent="0.2">
      <c r="A66" s="255"/>
      <c r="B66" s="256"/>
      <c r="C66" s="257"/>
      <c r="D66" s="258"/>
      <c r="E66" s="207" t="str">
        <f t="shared" si="3"/>
        <v xml:space="preserve"> </v>
      </c>
      <c r="F66" s="217" t="str">
        <f t="shared" ca="1" si="4"/>
        <v/>
      </c>
      <c r="G66" s="256"/>
      <c r="H66" s="256"/>
      <c r="I66" s="256"/>
      <c r="J66" s="256"/>
      <c r="K66" s="256"/>
      <c r="L66" s="259"/>
      <c r="M66" s="256"/>
      <c r="N66" s="256"/>
      <c r="O66" s="256"/>
      <c r="P66" s="260"/>
      <c r="Q66" s="261"/>
      <c r="R66" s="267"/>
      <c r="S66" s="258"/>
      <c r="T66" s="262"/>
      <c r="U66" s="262"/>
      <c r="V66" s="262"/>
      <c r="W66" s="262"/>
      <c r="X66" s="262"/>
      <c r="Y66" s="262"/>
      <c r="Z66" s="262"/>
      <c r="AA66" s="262"/>
      <c r="AB66" s="262"/>
      <c r="AC66" s="262"/>
      <c r="AD66" s="262"/>
      <c r="AE66" s="262"/>
      <c r="AF66" s="262"/>
      <c r="AG66" s="262"/>
      <c r="AH66" s="262"/>
      <c r="AI66" s="262"/>
      <c r="AJ66" s="262"/>
      <c r="AK66" s="262"/>
      <c r="AL66" s="262"/>
      <c r="AM66" s="262"/>
      <c r="AN66" s="262"/>
      <c r="AO66" s="263"/>
      <c r="AP66" s="263"/>
      <c r="AQ66" s="263"/>
      <c r="AR66" s="264"/>
      <c r="AS66" s="265"/>
      <c r="AT66" s="259"/>
      <c r="AU66" s="264"/>
      <c r="AV66" s="256"/>
      <c r="AW66" s="258"/>
      <c r="AX66" s="258"/>
      <c r="AY66" s="258"/>
      <c r="AZ66" s="258"/>
      <c r="BA66" s="256"/>
      <c r="BB66" s="256"/>
      <c r="BC66" s="258"/>
      <c r="BD66" s="266"/>
      <c r="BE66" s="258"/>
      <c r="BF66" s="265"/>
      <c r="BG66" s="265"/>
      <c r="BH66" s="265"/>
      <c r="BI66" s="257"/>
      <c r="BJ66" s="257"/>
      <c r="BK66" s="257"/>
      <c r="BL66" s="257"/>
      <c r="BM66" s="272"/>
      <c r="BN66" s="114" t="str">
        <f t="shared" si="5"/>
        <v/>
      </c>
    </row>
    <row r="67" spans="1:66" x14ac:dyDescent="0.2">
      <c r="A67" s="255"/>
      <c r="B67" s="256"/>
      <c r="C67" s="257"/>
      <c r="D67" s="258"/>
      <c r="E67" s="207" t="str">
        <f t="shared" si="3"/>
        <v xml:space="preserve"> </v>
      </c>
      <c r="F67" s="217" t="str">
        <f t="shared" ca="1" si="4"/>
        <v/>
      </c>
      <c r="G67" s="256"/>
      <c r="H67" s="256"/>
      <c r="I67" s="256"/>
      <c r="J67" s="256"/>
      <c r="K67" s="256"/>
      <c r="L67" s="259"/>
      <c r="M67" s="256"/>
      <c r="N67" s="256"/>
      <c r="O67" s="256"/>
      <c r="P67" s="260"/>
      <c r="Q67" s="261"/>
      <c r="R67" s="267"/>
      <c r="S67" s="258"/>
      <c r="T67" s="262"/>
      <c r="U67" s="262"/>
      <c r="V67" s="262"/>
      <c r="W67" s="262"/>
      <c r="X67" s="262"/>
      <c r="Y67" s="262"/>
      <c r="Z67" s="262"/>
      <c r="AA67" s="262"/>
      <c r="AB67" s="262"/>
      <c r="AC67" s="262"/>
      <c r="AD67" s="262"/>
      <c r="AE67" s="262"/>
      <c r="AF67" s="262"/>
      <c r="AG67" s="262"/>
      <c r="AH67" s="262"/>
      <c r="AI67" s="262"/>
      <c r="AJ67" s="262"/>
      <c r="AK67" s="262"/>
      <c r="AL67" s="262"/>
      <c r="AM67" s="262"/>
      <c r="AN67" s="262"/>
      <c r="AO67" s="263"/>
      <c r="AP67" s="263"/>
      <c r="AQ67" s="263"/>
      <c r="AR67" s="264"/>
      <c r="AS67" s="265"/>
      <c r="AT67" s="259"/>
      <c r="AU67" s="264"/>
      <c r="AV67" s="256"/>
      <c r="AW67" s="258"/>
      <c r="AX67" s="258"/>
      <c r="AY67" s="258"/>
      <c r="AZ67" s="258"/>
      <c r="BA67" s="256"/>
      <c r="BB67" s="256"/>
      <c r="BC67" s="258"/>
      <c r="BD67" s="266"/>
      <c r="BE67" s="258"/>
      <c r="BF67" s="265"/>
      <c r="BG67" s="265"/>
      <c r="BH67" s="265"/>
      <c r="BI67" s="257"/>
      <c r="BJ67" s="257"/>
      <c r="BK67" s="257"/>
      <c r="BL67" s="257"/>
      <c r="BM67" s="272"/>
      <c r="BN67" s="114" t="str">
        <f t="shared" si="5"/>
        <v/>
      </c>
    </row>
    <row r="68" spans="1:66" x14ac:dyDescent="0.2">
      <c r="A68" s="255"/>
      <c r="B68" s="256"/>
      <c r="C68" s="257"/>
      <c r="D68" s="258"/>
      <c r="E68" s="207" t="str">
        <f t="shared" si="3"/>
        <v xml:space="preserve"> </v>
      </c>
      <c r="F68" s="217" t="str">
        <f t="shared" ca="1" si="4"/>
        <v/>
      </c>
      <c r="G68" s="256"/>
      <c r="H68" s="256"/>
      <c r="I68" s="256"/>
      <c r="J68" s="256"/>
      <c r="K68" s="256"/>
      <c r="L68" s="259"/>
      <c r="M68" s="256"/>
      <c r="N68" s="256"/>
      <c r="O68" s="256"/>
      <c r="P68" s="260"/>
      <c r="Q68" s="261"/>
      <c r="R68" s="267"/>
      <c r="S68" s="258"/>
      <c r="T68" s="262"/>
      <c r="U68" s="262"/>
      <c r="V68" s="262"/>
      <c r="W68" s="262"/>
      <c r="X68" s="262"/>
      <c r="Y68" s="262"/>
      <c r="Z68" s="262"/>
      <c r="AA68" s="262"/>
      <c r="AB68" s="262"/>
      <c r="AC68" s="262"/>
      <c r="AD68" s="262"/>
      <c r="AE68" s="262"/>
      <c r="AF68" s="262"/>
      <c r="AG68" s="262"/>
      <c r="AH68" s="262"/>
      <c r="AI68" s="262"/>
      <c r="AJ68" s="262"/>
      <c r="AK68" s="262"/>
      <c r="AL68" s="262"/>
      <c r="AM68" s="262"/>
      <c r="AN68" s="262"/>
      <c r="AO68" s="263"/>
      <c r="AP68" s="263"/>
      <c r="AQ68" s="263"/>
      <c r="AR68" s="264"/>
      <c r="AS68" s="265"/>
      <c r="AT68" s="259"/>
      <c r="AU68" s="264"/>
      <c r="AV68" s="256"/>
      <c r="AW68" s="258"/>
      <c r="AX68" s="258"/>
      <c r="AY68" s="258"/>
      <c r="AZ68" s="258"/>
      <c r="BA68" s="256"/>
      <c r="BB68" s="256"/>
      <c r="BC68" s="258"/>
      <c r="BD68" s="266"/>
      <c r="BE68" s="258"/>
      <c r="BF68" s="265"/>
      <c r="BG68" s="265"/>
      <c r="BH68" s="265"/>
      <c r="BI68" s="257"/>
      <c r="BJ68" s="257"/>
      <c r="BK68" s="257"/>
      <c r="BL68" s="257"/>
      <c r="BM68" s="272"/>
      <c r="BN68" s="114" t="str">
        <f t="shared" si="5"/>
        <v/>
      </c>
    </row>
    <row r="69" spans="1:66" x14ac:dyDescent="0.2">
      <c r="A69" s="255"/>
      <c r="B69" s="256"/>
      <c r="C69" s="257"/>
      <c r="D69" s="258"/>
      <c r="E69" s="207" t="str">
        <f t="shared" si="3"/>
        <v xml:space="preserve"> </v>
      </c>
      <c r="F69" s="217" t="str">
        <f t="shared" ca="1" si="4"/>
        <v/>
      </c>
      <c r="G69" s="256"/>
      <c r="H69" s="256"/>
      <c r="I69" s="256"/>
      <c r="J69" s="256"/>
      <c r="K69" s="256"/>
      <c r="L69" s="259"/>
      <c r="M69" s="256"/>
      <c r="N69" s="256"/>
      <c r="O69" s="256"/>
      <c r="P69" s="260"/>
      <c r="Q69" s="261"/>
      <c r="R69" s="267"/>
      <c r="S69" s="258"/>
      <c r="T69" s="262"/>
      <c r="U69" s="262"/>
      <c r="V69" s="262"/>
      <c r="W69" s="262"/>
      <c r="X69" s="262"/>
      <c r="Y69" s="262"/>
      <c r="Z69" s="262"/>
      <c r="AA69" s="262"/>
      <c r="AB69" s="262"/>
      <c r="AC69" s="262"/>
      <c r="AD69" s="262"/>
      <c r="AE69" s="262"/>
      <c r="AF69" s="262"/>
      <c r="AG69" s="262"/>
      <c r="AH69" s="262"/>
      <c r="AI69" s="262"/>
      <c r="AJ69" s="262"/>
      <c r="AK69" s="262"/>
      <c r="AL69" s="262"/>
      <c r="AM69" s="262"/>
      <c r="AN69" s="262"/>
      <c r="AO69" s="263"/>
      <c r="AP69" s="263"/>
      <c r="AQ69" s="263"/>
      <c r="AR69" s="264"/>
      <c r="AS69" s="265"/>
      <c r="AT69" s="259"/>
      <c r="AU69" s="264"/>
      <c r="AV69" s="256"/>
      <c r="AW69" s="258"/>
      <c r="AX69" s="258"/>
      <c r="AY69" s="258"/>
      <c r="AZ69" s="258"/>
      <c r="BA69" s="256"/>
      <c r="BB69" s="256"/>
      <c r="BC69" s="258"/>
      <c r="BD69" s="266"/>
      <c r="BE69" s="258"/>
      <c r="BF69" s="265"/>
      <c r="BG69" s="265"/>
      <c r="BH69" s="265"/>
      <c r="BI69" s="257"/>
      <c r="BJ69" s="257"/>
      <c r="BK69" s="257"/>
      <c r="BL69" s="257"/>
      <c r="BM69" s="272"/>
      <c r="BN69" s="114" t="str">
        <f t="shared" si="5"/>
        <v/>
      </c>
    </row>
    <row r="70" spans="1:66" x14ac:dyDescent="0.2">
      <c r="A70" s="255"/>
      <c r="B70" s="256"/>
      <c r="C70" s="257"/>
      <c r="D70" s="258"/>
      <c r="E70" s="207" t="str">
        <f t="shared" ref="E70:E101" si="6">CONCATENATE($J70," ",$I70)</f>
        <v xml:space="preserve"> </v>
      </c>
      <c r="F70" s="217" t="str">
        <f t="shared" ref="F70:F101" ca="1" si="7">IF(L70="","",DATEDIF(L70,TODAY(),"Y"))</f>
        <v/>
      </c>
      <c r="G70" s="256"/>
      <c r="H70" s="256"/>
      <c r="I70" s="256"/>
      <c r="J70" s="256"/>
      <c r="K70" s="256"/>
      <c r="L70" s="259"/>
      <c r="M70" s="256"/>
      <c r="N70" s="256"/>
      <c r="O70" s="256"/>
      <c r="P70" s="260"/>
      <c r="Q70" s="261"/>
      <c r="R70" s="267"/>
      <c r="S70" s="258"/>
      <c r="T70" s="262"/>
      <c r="U70" s="262"/>
      <c r="V70" s="262"/>
      <c r="W70" s="262"/>
      <c r="X70" s="262"/>
      <c r="Y70" s="262"/>
      <c r="Z70" s="262"/>
      <c r="AA70" s="262"/>
      <c r="AB70" s="262"/>
      <c r="AC70" s="262"/>
      <c r="AD70" s="262"/>
      <c r="AE70" s="262"/>
      <c r="AF70" s="262"/>
      <c r="AG70" s="262"/>
      <c r="AH70" s="262"/>
      <c r="AI70" s="262"/>
      <c r="AJ70" s="262"/>
      <c r="AK70" s="262"/>
      <c r="AL70" s="262"/>
      <c r="AM70" s="262"/>
      <c r="AN70" s="262"/>
      <c r="AO70" s="263"/>
      <c r="AP70" s="263"/>
      <c r="AQ70" s="263"/>
      <c r="AR70" s="264"/>
      <c r="AS70" s="265"/>
      <c r="AT70" s="259"/>
      <c r="AU70" s="264"/>
      <c r="AV70" s="256"/>
      <c r="AW70" s="258"/>
      <c r="AX70" s="258"/>
      <c r="AY70" s="258"/>
      <c r="AZ70" s="258"/>
      <c r="BA70" s="256"/>
      <c r="BB70" s="256"/>
      <c r="BC70" s="258"/>
      <c r="BD70" s="266"/>
      <c r="BE70" s="258"/>
      <c r="BF70" s="265"/>
      <c r="BG70" s="265"/>
      <c r="BH70" s="265"/>
      <c r="BI70" s="257"/>
      <c r="BJ70" s="257"/>
      <c r="BK70" s="257"/>
      <c r="BL70" s="257"/>
      <c r="BM70" s="272"/>
      <c r="BN70" s="114" t="str">
        <f t="shared" ref="BN70:BN101" si="8">CONCATENATE(LEFT($J70), LEFT($I70))</f>
        <v/>
      </c>
    </row>
    <row r="71" spans="1:66" x14ac:dyDescent="0.2">
      <c r="A71" s="255"/>
      <c r="B71" s="256"/>
      <c r="C71" s="257"/>
      <c r="D71" s="258"/>
      <c r="E71" s="207" t="str">
        <f t="shared" si="6"/>
        <v xml:space="preserve"> </v>
      </c>
      <c r="F71" s="217" t="str">
        <f t="shared" ca="1" si="7"/>
        <v/>
      </c>
      <c r="G71" s="256"/>
      <c r="H71" s="256"/>
      <c r="I71" s="256"/>
      <c r="J71" s="256"/>
      <c r="K71" s="256"/>
      <c r="L71" s="259"/>
      <c r="M71" s="256"/>
      <c r="N71" s="256"/>
      <c r="O71" s="256"/>
      <c r="P71" s="260"/>
      <c r="Q71" s="261"/>
      <c r="R71" s="267"/>
      <c r="S71" s="258"/>
      <c r="T71" s="262"/>
      <c r="U71" s="262"/>
      <c r="V71" s="262"/>
      <c r="W71" s="262"/>
      <c r="X71" s="262"/>
      <c r="Y71" s="262"/>
      <c r="Z71" s="262"/>
      <c r="AA71" s="262"/>
      <c r="AB71" s="262"/>
      <c r="AC71" s="262"/>
      <c r="AD71" s="262"/>
      <c r="AE71" s="262"/>
      <c r="AF71" s="262"/>
      <c r="AG71" s="262"/>
      <c r="AH71" s="262"/>
      <c r="AI71" s="262"/>
      <c r="AJ71" s="262"/>
      <c r="AK71" s="262"/>
      <c r="AL71" s="262"/>
      <c r="AM71" s="262"/>
      <c r="AN71" s="262"/>
      <c r="AO71" s="263"/>
      <c r="AP71" s="263"/>
      <c r="AQ71" s="263"/>
      <c r="AR71" s="264"/>
      <c r="AS71" s="265"/>
      <c r="AT71" s="259"/>
      <c r="AU71" s="264"/>
      <c r="AV71" s="256"/>
      <c r="AW71" s="258"/>
      <c r="AX71" s="258"/>
      <c r="AY71" s="258"/>
      <c r="AZ71" s="258"/>
      <c r="BA71" s="256"/>
      <c r="BB71" s="256"/>
      <c r="BC71" s="258"/>
      <c r="BD71" s="266"/>
      <c r="BE71" s="258"/>
      <c r="BF71" s="265"/>
      <c r="BG71" s="265"/>
      <c r="BH71" s="265"/>
      <c r="BI71" s="257"/>
      <c r="BJ71" s="257"/>
      <c r="BK71" s="257"/>
      <c r="BL71" s="257"/>
      <c r="BM71" s="272"/>
      <c r="BN71" s="114" t="str">
        <f t="shared" si="8"/>
        <v/>
      </c>
    </row>
    <row r="72" spans="1:66" x14ac:dyDescent="0.2">
      <c r="A72" s="255"/>
      <c r="B72" s="256"/>
      <c r="C72" s="257"/>
      <c r="D72" s="258"/>
      <c r="E72" s="207" t="str">
        <f t="shared" si="6"/>
        <v xml:space="preserve"> </v>
      </c>
      <c r="F72" s="217" t="str">
        <f t="shared" ca="1" si="7"/>
        <v/>
      </c>
      <c r="G72" s="256"/>
      <c r="H72" s="256"/>
      <c r="I72" s="256"/>
      <c r="J72" s="256"/>
      <c r="K72" s="256"/>
      <c r="L72" s="259"/>
      <c r="M72" s="256"/>
      <c r="N72" s="256"/>
      <c r="O72" s="256"/>
      <c r="P72" s="260"/>
      <c r="Q72" s="261"/>
      <c r="R72" s="267"/>
      <c r="S72" s="258"/>
      <c r="T72" s="262"/>
      <c r="U72" s="262"/>
      <c r="V72" s="262"/>
      <c r="W72" s="262"/>
      <c r="X72" s="262"/>
      <c r="Y72" s="262"/>
      <c r="Z72" s="262"/>
      <c r="AA72" s="262"/>
      <c r="AB72" s="262"/>
      <c r="AC72" s="262"/>
      <c r="AD72" s="262"/>
      <c r="AE72" s="262"/>
      <c r="AF72" s="262"/>
      <c r="AG72" s="262"/>
      <c r="AH72" s="262"/>
      <c r="AI72" s="262"/>
      <c r="AJ72" s="262"/>
      <c r="AK72" s="262"/>
      <c r="AL72" s="262"/>
      <c r="AM72" s="262"/>
      <c r="AN72" s="262"/>
      <c r="AO72" s="263"/>
      <c r="AP72" s="263"/>
      <c r="AQ72" s="263"/>
      <c r="AR72" s="264"/>
      <c r="AS72" s="265"/>
      <c r="AT72" s="259"/>
      <c r="AU72" s="264"/>
      <c r="AV72" s="256"/>
      <c r="AW72" s="258"/>
      <c r="AX72" s="258"/>
      <c r="AY72" s="258"/>
      <c r="AZ72" s="258"/>
      <c r="BA72" s="256"/>
      <c r="BB72" s="256"/>
      <c r="BC72" s="258"/>
      <c r="BD72" s="266"/>
      <c r="BE72" s="258"/>
      <c r="BF72" s="265"/>
      <c r="BG72" s="265"/>
      <c r="BH72" s="265"/>
      <c r="BI72" s="257"/>
      <c r="BJ72" s="257"/>
      <c r="BK72" s="257"/>
      <c r="BL72" s="257"/>
      <c r="BM72" s="272"/>
      <c r="BN72" s="114" t="str">
        <f t="shared" si="8"/>
        <v/>
      </c>
    </row>
    <row r="73" spans="1:66" x14ac:dyDescent="0.2">
      <c r="A73" s="255"/>
      <c r="B73" s="256"/>
      <c r="C73" s="257"/>
      <c r="D73" s="258"/>
      <c r="E73" s="207" t="str">
        <f t="shared" si="6"/>
        <v xml:space="preserve"> </v>
      </c>
      <c r="F73" s="217" t="str">
        <f t="shared" ca="1" si="7"/>
        <v/>
      </c>
      <c r="G73" s="256"/>
      <c r="H73" s="256"/>
      <c r="I73" s="256"/>
      <c r="J73" s="256"/>
      <c r="K73" s="256"/>
      <c r="L73" s="259"/>
      <c r="M73" s="256"/>
      <c r="N73" s="256"/>
      <c r="O73" s="256"/>
      <c r="P73" s="260"/>
      <c r="Q73" s="261"/>
      <c r="R73" s="267"/>
      <c r="S73" s="258"/>
      <c r="T73" s="262"/>
      <c r="U73" s="262"/>
      <c r="V73" s="262"/>
      <c r="W73" s="262"/>
      <c r="X73" s="262"/>
      <c r="Y73" s="262"/>
      <c r="Z73" s="262"/>
      <c r="AA73" s="262"/>
      <c r="AB73" s="262"/>
      <c r="AC73" s="262"/>
      <c r="AD73" s="262"/>
      <c r="AE73" s="262"/>
      <c r="AF73" s="262"/>
      <c r="AG73" s="262"/>
      <c r="AH73" s="262"/>
      <c r="AI73" s="262"/>
      <c r="AJ73" s="262"/>
      <c r="AK73" s="262"/>
      <c r="AL73" s="262"/>
      <c r="AM73" s="262"/>
      <c r="AN73" s="262"/>
      <c r="AO73" s="263"/>
      <c r="AP73" s="263"/>
      <c r="AQ73" s="263"/>
      <c r="AR73" s="264"/>
      <c r="AS73" s="265"/>
      <c r="AT73" s="259"/>
      <c r="AU73" s="264"/>
      <c r="AV73" s="256"/>
      <c r="AW73" s="258"/>
      <c r="AX73" s="258"/>
      <c r="AY73" s="258"/>
      <c r="AZ73" s="258"/>
      <c r="BA73" s="256"/>
      <c r="BB73" s="256"/>
      <c r="BC73" s="258"/>
      <c r="BD73" s="266"/>
      <c r="BE73" s="258"/>
      <c r="BF73" s="265"/>
      <c r="BG73" s="265"/>
      <c r="BH73" s="265"/>
      <c r="BI73" s="257"/>
      <c r="BJ73" s="257"/>
      <c r="BK73" s="257"/>
      <c r="BL73" s="257"/>
      <c r="BM73" s="272"/>
      <c r="BN73" s="114" t="str">
        <f t="shared" si="8"/>
        <v/>
      </c>
    </row>
    <row r="74" spans="1:66" x14ac:dyDescent="0.2">
      <c r="A74" s="255"/>
      <c r="B74" s="256"/>
      <c r="C74" s="257"/>
      <c r="D74" s="258"/>
      <c r="E74" s="207" t="str">
        <f t="shared" si="6"/>
        <v xml:space="preserve"> </v>
      </c>
      <c r="F74" s="217" t="str">
        <f t="shared" ca="1" si="7"/>
        <v/>
      </c>
      <c r="G74" s="256"/>
      <c r="H74" s="256"/>
      <c r="I74" s="256"/>
      <c r="J74" s="256"/>
      <c r="K74" s="256"/>
      <c r="L74" s="259"/>
      <c r="M74" s="256"/>
      <c r="N74" s="256"/>
      <c r="O74" s="256"/>
      <c r="P74" s="260"/>
      <c r="Q74" s="261"/>
      <c r="R74" s="267"/>
      <c r="S74" s="258"/>
      <c r="T74" s="262"/>
      <c r="U74" s="262"/>
      <c r="V74" s="262"/>
      <c r="W74" s="262"/>
      <c r="X74" s="262"/>
      <c r="Y74" s="262"/>
      <c r="Z74" s="262"/>
      <c r="AA74" s="262"/>
      <c r="AB74" s="262"/>
      <c r="AC74" s="262"/>
      <c r="AD74" s="262"/>
      <c r="AE74" s="262"/>
      <c r="AF74" s="262"/>
      <c r="AG74" s="262"/>
      <c r="AH74" s="262"/>
      <c r="AI74" s="262"/>
      <c r="AJ74" s="262"/>
      <c r="AK74" s="262"/>
      <c r="AL74" s="262"/>
      <c r="AM74" s="262"/>
      <c r="AN74" s="262"/>
      <c r="AO74" s="263"/>
      <c r="AP74" s="263"/>
      <c r="AQ74" s="263"/>
      <c r="AR74" s="264"/>
      <c r="AS74" s="265"/>
      <c r="AT74" s="259"/>
      <c r="AU74" s="264"/>
      <c r="AV74" s="256"/>
      <c r="AW74" s="258"/>
      <c r="AX74" s="258"/>
      <c r="AY74" s="258"/>
      <c r="AZ74" s="258"/>
      <c r="BA74" s="256"/>
      <c r="BB74" s="256"/>
      <c r="BC74" s="258"/>
      <c r="BD74" s="266"/>
      <c r="BE74" s="258"/>
      <c r="BF74" s="265"/>
      <c r="BG74" s="265"/>
      <c r="BH74" s="265"/>
      <c r="BI74" s="257"/>
      <c r="BJ74" s="257"/>
      <c r="BK74" s="257"/>
      <c r="BL74" s="257"/>
      <c r="BM74" s="272"/>
      <c r="BN74" s="114" t="str">
        <f t="shared" si="8"/>
        <v/>
      </c>
    </row>
    <row r="75" spans="1:66" x14ac:dyDescent="0.2">
      <c r="A75" s="255"/>
      <c r="B75" s="256"/>
      <c r="C75" s="257"/>
      <c r="D75" s="258"/>
      <c r="E75" s="207" t="str">
        <f t="shared" si="6"/>
        <v xml:space="preserve"> </v>
      </c>
      <c r="F75" s="217" t="str">
        <f t="shared" ca="1" si="7"/>
        <v/>
      </c>
      <c r="G75" s="256"/>
      <c r="H75" s="256"/>
      <c r="I75" s="256"/>
      <c r="J75" s="256"/>
      <c r="K75" s="256"/>
      <c r="L75" s="259"/>
      <c r="M75" s="256"/>
      <c r="N75" s="256"/>
      <c r="O75" s="256"/>
      <c r="P75" s="260"/>
      <c r="Q75" s="261"/>
      <c r="R75" s="267"/>
      <c r="S75" s="258"/>
      <c r="T75" s="262"/>
      <c r="U75" s="262"/>
      <c r="V75" s="262"/>
      <c r="W75" s="262"/>
      <c r="X75" s="262"/>
      <c r="Y75" s="262"/>
      <c r="Z75" s="262"/>
      <c r="AA75" s="262"/>
      <c r="AB75" s="262"/>
      <c r="AC75" s="262"/>
      <c r="AD75" s="262"/>
      <c r="AE75" s="262"/>
      <c r="AF75" s="262"/>
      <c r="AG75" s="262"/>
      <c r="AH75" s="262"/>
      <c r="AI75" s="262"/>
      <c r="AJ75" s="262"/>
      <c r="AK75" s="262"/>
      <c r="AL75" s="262"/>
      <c r="AM75" s="262"/>
      <c r="AN75" s="262"/>
      <c r="AO75" s="263"/>
      <c r="AP75" s="263"/>
      <c r="AQ75" s="263"/>
      <c r="AR75" s="264"/>
      <c r="AS75" s="265"/>
      <c r="AT75" s="259"/>
      <c r="AU75" s="264"/>
      <c r="AV75" s="256"/>
      <c r="AW75" s="258"/>
      <c r="AX75" s="258"/>
      <c r="AY75" s="258"/>
      <c r="AZ75" s="258"/>
      <c r="BA75" s="256"/>
      <c r="BB75" s="256"/>
      <c r="BC75" s="258"/>
      <c r="BD75" s="266"/>
      <c r="BE75" s="258"/>
      <c r="BF75" s="265"/>
      <c r="BG75" s="265"/>
      <c r="BH75" s="265"/>
      <c r="BI75" s="257"/>
      <c r="BJ75" s="257"/>
      <c r="BK75" s="257"/>
      <c r="BL75" s="257"/>
      <c r="BM75" s="272"/>
      <c r="BN75" s="114" t="str">
        <f t="shared" si="8"/>
        <v/>
      </c>
    </row>
    <row r="76" spans="1:66" x14ac:dyDescent="0.2">
      <c r="A76" s="255"/>
      <c r="B76" s="256"/>
      <c r="C76" s="257"/>
      <c r="D76" s="258"/>
      <c r="E76" s="207" t="str">
        <f t="shared" si="6"/>
        <v xml:space="preserve"> </v>
      </c>
      <c r="F76" s="217" t="str">
        <f t="shared" ca="1" si="7"/>
        <v/>
      </c>
      <c r="G76" s="256"/>
      <c r="H76" s="256"/>
      <c r="I76" s="256"/>
      <c r="J76" s="256"/>
      <c r="K76" s="256"/>
      <c r="L76" s="259"/>
      <c r="M76" s="256"/>
      <c r="N76" s="256"/>
      <c r="O76" s="256"/>
      <c r="P76" s="260"/>
      <c r="Q76" s="261"/>
      <c r="R76" s="267"/>
      <c r="S76" s="258"/>
      <c r="T76" s="262"/>
      <c r="U76" s="262"/>
      <c r="V76" s="262"/>
      <c r="W76" s="262"/>
      <c r="X76" s="262"/>
      <c r="Y76" s="262"/>
      <c r="Z76" s="262"/>
      <c r="AA76" s="262"/>
      <c r="AB76" s="262"/>
      <c r="AC76" s="262"/>
      <c r="AD76" s="262"/>
      <c r="AE76" s="262"/>
      <c r="AF76" s="262"/>
      <c r="AG76" s="262"/>
      <c r="AH76" s="262"/>
      <c r="AI76" s="262"/>
      <c r="AJ76" s="262"/>
      <c r="AK76" s="262"/>
      <c r="AL76" s="262"/>
      <c r="AM76" s="262"/>
      <c r="AN76" s="262"/>
      <c r="AO76" s="263"/>
      <c r="AP76" s="263"/>
      <c r="AQ76" s="263"/>
      <c r="AR76" s="264"/>
      <c r="AS76" s="265"/>
      <c r="AT76" s="259"/>
      <c r="AU76" s="264"/>
      <c r="AV76" s="256"/>
      <c r="AW76" s="258"/>
      <c r="AX76" s="258"/>
      <c r="AY76" s="258"/>
      <c r="AZ76" s="258"/>
      <c r="BA76" s="256"/>
      <c r="BB76" s="256"/>
      <c r="BC76" s="258"/>
      <c r="BD76" s="266"/>
      <c r="BE76" s="258"/>
      <c r="BF76" s="265"/>
      <c r="BG76" s="265"/>
      <c r="BH76" s="265"/>
      <c r="BI76" s="257"/>
      <c r="BJ76" s="257"/>
      <c r="BK76" s="257"/>
      <c r="BL76" s="257"/>
      <c r="BM76" s="272"/>
      <c r="BN76" s="114" t="str">
        <f t="shared" si="8"/>
        <v/>
      </c>
    </row>
    <row r="77" spans="1:66" x14ac:dyDescent="0.2">
      <c r="A77" s="255"/>
      <c r="B77" s="256"/>
      <c r="C77" s="257"/>
      <c r="D77" s="258"/>
      <c r="E77" s="207" t="str">
        <f t="shared" si="6"/>
        <v xml:space="preserve"> </v>
      </c>
      <c r="F77" s="217" t="str">
        <f t="shared" ca="1" si="7"/>
        <v/>
      </c>
      <c r="G77" s="256"/>
      <c r="H77" s="256"/>
      <c r="I77" s="256"/>
      <c r="J77" s="256"/>
      <c r="K77" s="256"/>
      <c r="L77" s="259"/>
      <c r="M77" s="256"/>
      <c r="N77" s="256"/>
      <c r="O77" s="256"/>
      <c r="P77" s="260"/>
      <c r="Q77" s="261"/>
      <c r="R77" s="267"/>
      <c r="S77" s="258"/>
      <c r="T77" s="262"/>
      <c r="U77" s="262"/>
      <c r="V77" s="262"/>
      <c r="W77" s="262"/>
      <c r="X77" s="262"/>
      <c r="Y77" s="262"/>
      <c r="Z77" s="262"/>
      <c r="AA77" s="262"/>
      <c r="AB77" s="262"/>
      <c r="AC77" s="262"/>
      <c r="AD77" s="262"/>
      <c r="AE77" s="262"/>
      <c r="AF77" s="262"/>
      <c r="AG77" s="262"/>
      <c r="AH77" s="262"/>
      <c r="AI77" s="262"/>
      <c r="AJ77" s="262"/>
      <c r="AK77" s="262"/>
      <c r="AL77" s="262"/>
      <c r="AM77" s="262"/>
      <c r="AN77" s="262"/>
      <c r="AO77" s="263"/>
      <c r="AP77" s="263"/>
      <c r="AQ77" s="263"/>
      <c r="AR77" s="264"/>
      <c r="AS77" s="265"/>
      <c r="AT77" s="259"/>
      <c r="AU77" s="264"/>
      <c r="AV77" s="256"/>
      <c r="AW77" s="258"/>
      <c r="AX77" s="258"/>
      <c r="AY77" s="258"/>
      <c r="AZ77" s="258"/>
      <c r="BA77" s="256"/>
      <c r="BB77" s="256"/>
      <c r="BC77" s="258"/>
      <c r="BD77" s="266"/>
      <c r="BE77" s="258"/>
      <c r="BF77" s="265"/>
      <c r="BG77" s="265"/>
      <c r="BH77" s="265"/>
      <c r="BI77" s="257"/>
      <c r="BJ77" s="257"/>
      <c r="BK77" s="257"/>
      <c r="BL77" s="257"/>
      <c r="BM77" s="272"/>
      <c r="BN77" s="114" t="str">
        <f t="shared" si="8"/>
        <v/>
      </c>
    </row>
    <row r="78" spans="1:66" x14ac:dyDescent="0.2">
      <c r="A78" s="255"/>
      <c r="B78" s="256"/>
      <c r="C78" s="257"/>
      <c r="D78" s="258"/>
      <c r="E78" s="207" t="str">
        <f t="shared" si="6"/>
        <v xml:space="preserve"> </v>
      </c>
      <c r="F78" s="217" t="str">
        <f t="shared" ca="1" si="7"/>
        <v/>
      </c>
      <c r="G78" s="256"/>
      <c r="H78" s="256"/>
      <c r="I78" s="256"/>
      <c r="J78" s="256"/>
      <c r="K78" s="256"/>
      <c r="L78" s="259"/>
      <c r="M78" s="256"/>
      <c r="N78" s="256"/>
      <c r="O78" s="256"/>
      <c r="P78" s="260"/>
      <c r="Q78" s="261"/>
      <c r="R78" s="267"/>
      <c r="S78" s="258"/>
      <c r="T78" s="262"/>
      <c r="U78" s="262"/>
      <c r="V78" s="262"/>
      <c r="W78" s="262"/>
      <c r="X78" s="262"/>
      <c r="Y78" s="262"/>
      <c r="Z78" s="262"/>
      <c r="AA78" s="262"/>
      <c r="AB78" s="262"/>
      <c r="AC78" s="262"/>
      <c r="AD78" s="262"/>
      <c r="AE78" s="262"/>
      <c r="AF78" s="262"/>
      <c r="AG78" s="262"/>
      <c r="AH78" s="262"/>
      <c r="AI78" s="262"/>
      <c r="AJ78" s="262"/>
      <c r="AK78" s="262"/>
      <c r="AL78" s="262"/>
      <c r="AM78" s="262"/>
      <c r="AN78" s="262"/>
      <c r="AO78" s="263"/>
      <c r="AP78" s="263"/>
      <c r="AQ78" s="263"/>
      <c r="AR78" s="264"/>
      <c r="AS78" s="265"/>
      <c r="AT78" s="259"/>
      <c r="AU78" s="264"/>
      <c r="AV78" s="256"/>
      <c r="AW78" s="258"/>
      <c r="AX78" s="258"/>
      <c r="AY78" s="258"/>
      <c r="AZ78" s="258"/>
      <c r="BA78" s="256"/>
      <c r="BB78" s="256"/>
      <c r="BC78" s="258"/>
      <c r="BD78" s="266"/>
      <c r="BE78" s="258"/>
      <c r="BF78" s="265"/>
      <c r="BG78" s="265"/>
      <c r="BH78" s="265"/>
      <c r="BI78" s="257"/>
      <c r="BJ78" s="257"/>
      <c r="BK78" s="257"/>
      <c r="BL78" s="257"/>
      <c r="BM78" s="272"/>
      <c r="BN78" s="114" t="str">
        <f t="shared" si="8"/>
        <v/>
      </c>
    </row>
    <row r="79" spans="1:66" x14ac:dyDescent="0.2">
      <c r="A79" s="255"/>
      <c r="B79" s="256"/>
      <c r="C79" s="257"/>
      <c r="D79" s="258"/>
      <c r="E79" s="207" t="str">
        <f t="shared" si="6"/>
        <v xml:space="preserve"> </v>
      </c>
      <c r="F79" s="217" t="str">
        <f t="shared" ca="1" si="7"/>
        <v/>
      </c>
      <c r="G79" s="256"/>
      <c r="H79" s="256"/>
      <c r="I79" s="256"/>
      <c r="J79" s="256"/>
      <c r="K79" s="256"/>
      <c r="L79" s="259"/>
      <c r="M79" s="256"/>
      <c r="N79" s="256"/>
      <c r="O79" s="256"/>
      <c r="P79" s="260"/>
      <c r="Q79" s="261"/>
      <c r="R79" s="267"/>
      <c r="S79" s="258"/>
      <c r="T79" s="262"/>
      <c r="U79" s="262"/>
      <c r="V79" s="262"/>
      <c r="W79" s="262"/>
      <c r="X79" s="262"/>
      <c r="Y79" s="262"/>
      <c r="Z79" s="262"/>
      <c r="AA79" s="262"/>
      <c r="AB79" s="262"/>
      <c r="AC79" s="262"/>
      <c r="AD79" s="262"/>
      <c r="AE79" s="262"/>
      <c r="AF79" s="262"/>
      <c r="AG79" s="262"/>
      <c r="AH79" s="262"/>
      <c r="AI79" s="262"/>
      <c r="AJ79" s="262"/>
      <c r="AK79" s="262"/>
      <c r="AL79" s="262"/>
      <c r="AM79" s="262"/>
      <c r="AN79" s="262"/>
      <c r="AO79" s="263"/>
      <c r="AP79" s="263"/>
      <c r="AQ79" s="263"/>
      <c r="AR79" s="264"/>
      <c r="AS79" s="265"/>
      <c r="AT79" s="259"/>
      <c r="AU79" s="264"/>
      <c r="AV79" s="256"/>
      <c r="AW79" s="258"/>
      <c r="AX79" s="258"/>
      <c r="AY79" s="258"/>
      <c r="AZ79" s="258"/>
      <c r="BA79" s="256"/>
      <c r="BB79" s="256"/>
      <c r="BC79" s="258"/>
      <c r="BD79" s="266"/>
      <c r="BE79" s="258"/>
      <c r="BF79" s="265"/>
      <c r="BG79" s="265"/>
      <c r="BH79" s="265"/>
      <c r="BI79" s="257"/>
      <c r="BJ79" s="257"/>
      <c r="BK79" s="257"/>
      <c r="BL79" s="257"/>
      <c r="BM79" s="272"/>
      <c r="BN79" s="114" t="str">
        <f t="shared" si="8"/>
        <v/>
      </c>
    </row>
    <row r="80" spans="1:66" x14ac:dyDescent="0.2">
      <c r="A80" s="255"/>
      <c r="B80" s="256"/>
      <c r="C80" s="257"/>
      <c r="D80" s="258"/>
      <c r="E80" s="207" t="str">
        <f t="shared" si="6"/>
        <v xml:space="preserve"> </v>
      </c>
      <c r="F80" s="217" t="str">
        <f t="shared" ca="1" si="7"/>
        <v/>
      </c>
      <c r="G80" s="256"/>
      <c r="H80" s="256"/>
      <c r="I80" s="256"/>
      <c r="J80" s="256"/>
      <c r="K80" s="256"/>
      <c r="L80" s="259"/>
      <c r="M80" s="256"/>
      <c r="N80" s="256"/>
      <c r="O80" s="256"/>
      <c r="P80" s="260"/>
      <c r="Q80" s="261"/>
      <c r="R80" s="267"/>
      <c r="S80" s="258"/>
      <c r="T80" s="262"/>
      <c r="U80" s="262"/>
      <c r="V80" s="262"/>
      <c r="W80" s="262"/>
      <c r="X80" s="262"/>
      <c r="Y80" s="262"/>
      <c r="Z80" s="262"/>
      <c r="AA80" s="262"/>
      <c r="AB80" s="262"/>
      <c r="AC80" s="262"/>
      <c r="AD80" s="262"/>
      <c r="AE80" s="262"/>
      <c r="AF80" s="262"/>
      <c r="AG80" s="262"/>
      <c r="AH80" s="262"/>
      <c r="AI80" s="262"/>
      <c r="AJ80" s="262"/>
      <c r="AK80" s="262"/>
      <c r="AL80" s="262"/>
      <c r="AM80" s="262"/>
      <c r="AN80" s="262"/>
      <c r="AO80" s="263"/>
      <c r="AP80" s="263"/>
      <c r="AQ80" s="263"/>
      <c r="AR80" s="264"/>
      <c r="AS80" s="265"/>
      <c r="AT80" s="259"/>
      <c r="AU80" s="264"/>
      <c r="AV80" s="256"/>
      <c r="AW80" s="258"/>
      <c r="AX80" s="258"/>
      <c r="AY80" s="258"/>
      <c r="AZ80" s="258"/>
      <c r="BA80" s="256"/>
      <c r="BB80" s="256"/>
      <c r="BC80" s="258"/>
      <c r="BD80" s="266"/>
      <c r="BE80" s="258"/>
      <c r="BF80" s="265"/>
      <c r="BG80" s="265"/>
      <c r="BH80" s="265"/>
      <c r="BI80" s="257"/>
      <c r="BJ80" s="257"/>
      <c r="BK80" s="257"/>
      <c r="BL80" s="257"/>
      <c r="BM80" s="272"/>
      <c r="BN80" s="114" t="str">
        <f t="shared" si="8"/>
        <v/>
      </c>
    </row>
    <row r="81" spans="1:66" x14ac:dyDescent="0.2">
      <c r="A81" s="255"/>
      <c r="B81" s="256"/>
      <c r="C81" s="257"/>
      <c r="D81" s="258"/>
      <c r="E81" s="207" t="str">
        <f t="shared" si="6"/>
        <v xml:space="preserve"> </v>
      </c>
      <c r="F81" s="217" t="str">
        <f t="shared" ca="1" si="7"/>
        <v/>
      </c>
      <c r="G81" s="256"/>
      <c r="H81" s="256"/>
      <c r="I81" s="256"/>
      <c r="J81" s="256"/>
      <c r="K81" s="256"/>
      <c r="L81" s="259"/>
      <c r="M81" s="256"/>
      <c r="N81" s="256"/>
      <c r="O81" s="256"/>
      <c r="P81" s="260"/>
      <c r="Q81" s="261"/>
      <c r="R81" s="267"/>
      <c r="S81" s="258"/>
      <c r="T81" s="262"/>
      <c r="U81" s="262"/>
      <c r="V81" s="262"/>
      <c r="W81" s="262"/>
      <c r="X81" s="262"/>
      <c r="Y81" s="262"/>
      <c r="Z81" s="262"/>
      <c r="AA81" s="262"/>
      <c r="AB81" s="262"/>
      <c r="AC81" s="262"/>
      <c r="AD81" s="262"/>
      <c r="AE81" s="262"/>
      <c r="AF81" s="262"/>
      <c r="AG81" s="262"/>
      <c r="AH81" s="262"/>
      <c r="AI81" s="262"/>
      <c r="AJ81" s="262"/>
      <c r="AK81" s="262"/>
      <c r="AL81" s="262"/>
      <c r="AM81" s="262"/>
      <c r="AN81" s="262"/>
      <c r="AO81" s="263"/>
      <c r="AP81" s="263"/>
      <c r="AQ81" s="263"/>
      <c r="AR81" s="264"/>
      <c r="AS81" s="265"/>
      <c r="AT81" s="259"/>
      <c r="AU81" s="264"/>
      <c r="AV81" s="256"/>
      <c r="AW81" s="258"/>
      <c r="AX81" s="258"/>
      <c r="AY81" s="258"/>
      <c r="AZ81" s="258"/>
      <c r="BA81" s="256"/>
      <c r="BB81" s="256"/>
      <c r="BC81" s="258"/>
      <c r="BD81" s="266"/>
      <c r="BE81" s="258"/>
      <c r="BF81" s="265"/>
      <c r="BG81" s="265"/>
      <c r="BH81" s="265"/>
      <c r="BI81" s="257"/>
      <c r="BJ81" s="257"/>
      <c r="BK81" s="257"/>
      <c r="BL81" s="257"/>
      <c r="BM81" s="272"/>
      <c r="BN81" s="114" t="str">
        <f t="shared" si="8"/>
        <v/>
      </c>
    </row>
    <row r="82" spans="1:66" x14ac:dyDescent="0.2">
      <c r="A82" s="255"/>
      <c r="B82" s="256"/>
      <c r="C82" s="257"/>
      <c r="D82" s="258"/>
      <c r="E82" s="207" t="str">
        <f t="shared" si="6"/>
        <v xml:space="preserve"> </v>
      </c>
      <c r="F82" s="217" t="str">
        <f t="shared" ca="1" si="7"/>
        <v/>
      </c>
      <c r="G82" s="256"/>
      <c r="H82" s="256"/>
      <c r="I82" s="256"/>
      <c r="J82" s="256"/>
      <c r="K82" s="256"/>
      <c r="L82" s="259"/>
      <c r="M82" s="256"/>
      <c r="N82" s="256"/>
      <c r="O82" s="256"/>
      <c r="P82" s="260"/>
      <c r="Q82" s="261"/>
      <c r="R82" s="267"/>
      <c r="S82" s="258"/>
      <c r="T82" s="262"/>
      <c r="U82" s="262"/>
      <c r="V82" s="262"/>
      <c r="W82" s="262"/>
      <c r="X82" s="262"/>
      <c r="Y82" s="262"/>
      <c r="Z82" s="262"/>
      <c r="AA82" s="262"/>
      <c r="AB82" s="262"/>
      <c r="AC82" s="262"/>
      <c r="AD82" s="262"/>
      <c r="AE82" s="262"/>
      <c r="AF82" s="262"/>
      <c r="AG82" s="262"/>
      <c r="AH82" s="262"/>
      <c r="AI82" s="262"/>
      <c r="AJ82" s="262"/>
      <c r="AK82" s="262"/>
      <c r="AL82" s="262"/>
      <c r="AM82" s="262"/>
      <c r="AN82" s="262"/>
      <c r="AO82" s="263"/>
      <c r="AP82" s="263"/>
      <c r="AQ82" s="263"/>
      <c r="AR82" s="264"/>
      <c r="AS82" s="265"/>
      <c r="AT82" s="259"/>
      <c r="AU82" s="264"/>
      <c r="AV82" s="256"/>
      <c r="AW82" s="258"/>
      <c r="AX82" s="258"/>
      <c r="AY82" s="258"/>
      <c r="AZ82" s="258"/>
      <c r="BA82" s="256"/>
      <c r="BB82" s="256"/>
      <c r="BC82" s="258"/>
      <c r="BD82" s="266"/>
      <c r="BE82" s="258"/>
      <c r="BF82" s="265"/>
      <c r="BG82" s="265"/>
      <c r="BH82" s="265"/>
      <c r="BI82" s="257"/>
      <c r="BJ82" s="257"/>
      <c r="BK82" s="257"/>
      <c r="BL82" s="257"/>
      <c r="BM82" s="272"/>
      <c r="BN82" s="114" t="str">
        <f t="shared" si="8"/>
        <v/>
      </c>
    </row>
    <row r="83" spans="1:66" x14ac:dyDescent="0.2">
      <c r="A83" s="255"/>
      <c r="B83" s="256"/>
      <c r="C83" s="257"/>
      <c r="D83" s="258"/>
      <c r="E83" s="207" t="str">
        <f t="shared" si="6"/>
        <v xml:space="preserve"> </v>
      </c>
      <c r="F83" s="217" t="str">
        <f t="shared" ca="1" si="7"/>
        <v/>
      </c>
      <c r="G83" s="256"/>
      <c r="H83" s="256"/>
      <c r="I83" s="256"/>
      <c r="J83" s="256"/>
      <c r="K83" s="256"/>
      <c r="L83" s="259"/>
      <c r="M83" s="256"/>
      <c r="N83" s="256"/>
      <c r="O83" s="256"/>
      <c r="P83" s="260"/>
      <c r="Q83" s="261"/>
      <c r="R83" s="267"/>
      <c r="S83" s="258"/>
      <c r="T83" s="262"/>
      <c r="U83" s="262"/>
      <c r="V83" s="262"/>
      <c r="W83" s="262"/>
      <c r="X83" s="262"/>
      <c r="Y83" s="262"/>
      <c r="Z83" s="262"/>
      <c r="AA83" s="262"/>
      <c r="AB83" s="262"/>
      <c r="AC83" s="262"/>
      <c r="AD83" s="262"/>
      <c r="AE83" s="262"/>
      <c r="AF83" s="262"/>
      <c r="AG83" s="262"/>
      <c r="AH83" s="262"/>
      <c r="AI83" s="262"/>
      <c r="AJ83" s="262"/>
      <c r="AK83" s="262"/>
      <c r="AL83" s="262"/>
      <c r="AM83" s="262"/>
      <c r="AN83" s="262"/>
      <c r="AO83" s="263"/>
      <c r="AP83" s="263"/>
      <c r="AQ83" s="263"/>
      <c r="AR83" s="264"/>
      <c r="AS83" s="265"/>
      <c r="AT83" s="259"/>
      <c r="AU83" s="264"/>
      <c r="AV83" s="256"/>
      <c r="AW83" s="258"/>
      <c r="AX83" s="258"/>
      <c r="AY83" s="258"/>
      <c r="AZ83" s="258"/>
      <c r="BA83" s="256"/>
      <c r="BB83" s="256"/>
      <c r="BC83" s="258"/>
      <c r="BD83" s="266"/>
      <c r="BE83" s="258"/>
      <c r="BF83" s="265"/>
      <c r="BG83" s="265"/>
      <c r="BH83" s="265"/>
      <c r="BI83" s="257"/>
      <c r="BJ83" s="257"/>
      <c r="BK83" s="257"/>
      <c r="BL83" s="257"/>
      <c r="BM83" s="272"/>
      <c r="BN83" s="114" t="str">
        <f t="shared" si="8"/>
        <v/>
      </c>
    </row>
    <row r="84" spans="1:66" x14ac:dyDescent="0.2">
      <c r="A84" s="255"/>
      <c r="B84" s="256"/>
      <c r="C84" s="257"/>
      <c r="D84" s="258"/>
      <c r="E84" s="207" t="str">
        <f t="shared" si="6"/>
        <v xml:space="preserve"> </v>
      </c>
      <c r="F84" s="217" t="str">
        <f t="shared" ca="1" si="7"/>
        <v/>
      </c>
      <c r="G84" s="256"/>
      <c r="H84" s="256"/>
      <c r="I84" s="256"/>
      <c r="J84" s="256"/>
      <c r="K84" s="256"/>
      <c r="L84" s="259"/>
      <c r="M84" s="256"/>
      <c r="N84" s="256"/>
      <c r="O84" s="256"/>
      <c r="P84" s="260"/>
      <c r="Q84" s="261"/>
      <c r="R84" s="267"/>
      <c r="S84" s="258"/>
      <c r="T84" s="262"/>
      <c r="U84" s="262"/>
      <c r="V84" s="262"/>
      <c r="W84" s="262"/>
      <c r="X84" s="262"/>
      <c r="Y84" s="262"/>
      <c r="Z84" s="262"/>
      <c r="AA84" s="262"/>
      <c r="AB84" s="262"/>
      <c r="AC84" s="262"/>
      <c r="AD84" s="262"/>
      <c r="AE84" s="262"/>
      <c r="AF84" s="262"/>
      <c r="AG84" s="262"/>
      <c r="AH84" s="262"/>
      <c r="AI84" s="262"/>
      <c r="AJ84" s="262"/>
      <c r="AK84" s="262"/>
      <c r="AL84" s="262"/>
      <c r="AM84" s="262"/>
      <c r="AN84" s="262"/>
      <c r="AO84" s="263"/>
      <c r="AP84" s="263"/>
      <c r="AQ84" s="263"/>
      <c r="AR84" s="264"/>
      <c r="AS84" s="265"/>
      <c r="AT84" s="259"/>
      <c r="AU84" s="264"/>
      <c r="AV84" s="256"/>
      <c r="AW84" s="258"/>
      <c r="AX84" s="258"/>
      <c r="AY84" s="258"/>
      <c r="AZ84" s="258"/>
      <c r="BA84" s="256"/>
      <c r="BB84" s="256"/>
      <c r="BC84" s="258"/>
      <c r="BD84" s="266"/>
      <c r="BE84" s="258"/>
      <c r="BF84" s="265"/>
      <c r="BG84" s="265"/>
      <c r="BH84" s="265"/>
      <c r="BI84" s="257"/>
      <c r="BJ84" s="257"/>
      <c r="BK84" s="257"/>
      <c r="BL84" s="257"/>
      <c r="BM84" s="272"/>
      <c r="BN84" s="114" t="str">
        <f t="shared" si="8"/>
        <v/>
      </c>
    </row>
    <row r="85" spans="1:66" x14ac:dyDescent="0.2">
      <c r="A85" s="255"/>
      <c r="B85" s="256"/>
      <c r="C85" s="257"/>
      <c r="D85" s="258"/>
      <c r="E85" s="207" t="str">
        <f t="shared" si="6"/>
        <v xml:space="preserve"> </v>
      </c>
      <c r="F85" s="217" t="str">
        <f t="shared" ca="1" si="7"/>
        <v/>
      </c>
      <c r="G85" s="256"/>
      <c r="H85" s="256"/>
      <c r="I85" s="256"/>
      <c r="J85" s="256"/>
      <c r="K85" s="256"/>
      <c r="L85" s="259"/>
      <c r="M85" s="256"/>
      <c r="N85" s="256"/>
      <c r="O85" s="256"/>
      <c r="P85" s="260"/>
      <c r="Q85" s="261"/>
      <c r="R85" s="267"/>
      <c r="S85" s="258"/>
      <c r="T85" s="262"/>
      <c r="U85" s="262"/>
      <c r="V85" s="262"/>
      <c r="W85" s="262"/>
      <c r="X85" s="262"/>
      <c r="Y85" s="262"/>
      <c r="Z85" s="262"/>
      <c r="AA85" s="262"/>
      <c r="AB85" s="262"/>
      <c r="AC85" s="262"/>
      <c r="AD85" s="262"/>
      <c r="AE85" s="262"/>
      <c r="AF85" s="262"/>
      <c r="AG85" s="262"/>
      <c r="AH85" s="262"/>
      <c r="AI85" s="262"/>
      <c r="AJ85" s="262"/>
      <c r="AK85" s="262"/>
      <c r="AL85" s="262"/>
      <c r="AM85" s="262"/>
      <c r="AN85" s="262"/>
      <c r="AO85" s="263"/>
      <c r="AP85" s="263"/>
      <c r="AQ85" s="263"/>
      <c r="AR85" s="264"/>
      <c r="AS85" s="265"/>
      <c r="AT85" s="259"/>
      <c r="AU85" s="264"/>
      <c r="AV85" s="256"/>
      <c r="AW85" s="258"/>
      <c r="AX85" s="258"/>
      <c r="AY85" s="258"/>
      <c r="AZ85" s="258"/>
      <c r="BA85" s="256"/>
      <c r="BB85" s="256"/>
      <c r="BC85" s="258"/>
      <c r="BD85" s="266"/>
      <c r="BE85" s="258"/>
      <c r="BF85" s="265"/>
      <c r="BG85" s="265"/>
      <c r="BH85" s="265"/>
      <c r="BI85" s="257"/>
      <c r="BJ85" s="257"/>
      <c r="BK85" s="257"/>
      <c r="BL85" s="257"/>
      <c r="BM85" s="272"/>
      <c r="BN85" s="114" t="str">
        <f t="shared" si="8"/>
        <v/>
      </c>
    </row>
    <row r="86" spans="1:66" x14ac:dyDescent="0.2">
      <c r="A86" s="255"/>
      <c r="B86" s="256"/>
      <c r="C86" s="257"/>
      <c r="D86" s="258"/>
      <c r="E86" s="207" t="str">
        <f t="shared" si="6"/>
        <v xml:space="preserve"> </v>
      </c>
      <c r="F86" s="217" t="str">
        <f t="shared" ca="1" si="7"/>
        <v/>
      </c>
      <c r="G86" s="256"/>
      <c r="H86" s="256"/>
      <c r="I86" s="256"/>
      <c r="J86" s="256"/>
      <c r="K86" s="256"/>
      <c r="L86" s="259"/>
      <c r="M86" s="256"/>
      <c r="N86" s="256"/>
      <c r="O86" s="256"/>
      <c r="P86" s="260"/>
      <c r="Q86" s="261"/>
      <c r="R86" s="267"/>
      <c r="S86" s="258"/>
      <c r="T86" s="262"/>
      <c r="U86" s="262"/>
      <c r="V86" s="262"/>
      <c r="W86" s="262"/>
      <c r="X86" s="262"/>
      <c r="Y86" s="262"/>
      <c r="Z86" s="262"/>
      <c r="AA86" s="262"/>
      <c r="AB86" s="262"/>
      <c r="AC86" s="262"/>
      <c r="AD86" s="262"/>
      <c r="AE86" s="262"/>
      <c r="AF86" s="262"/>
      <c r="AG86" s="262"/>
      <c r="AH86" s="262"/>
      <c r="AI86" s="262"/>
      <c r="AJ86" s="262"/>
      <c r="AK86" s="262"/>
      <c r="AL86" s="262"/>
      <c r="AM86" s="262"/>
      <c r="AN86" s="262"/>
      <c r="AO86" s="263"/>
      <c r="AP86" s="263"/>
      <c r="AQ86" s="263"/>
      <c r="AR86" s="264"/>
      <c r="AS86" s="265"/>
      <c r="AT86" s="259"/>
      <c r="AU86" s="264"/>
      <c r="AV86" s="256"/>
      <c r="AW86" s="258"/>
      <c r="AX86" s="258"/>
      <c r="AY86" s="258"/>
      <c r="AZ86" s="258"/>
      <c r="BA86" s="256"/>
      <c r="BB86" s="256"/>
      <c r="BC86" s="258"/>
      <c r="BD86" s="266"/>
      <c r="BE86" s="258"/>
      <c r="BF86" s="265"/>
      <c r="BG86" s="265"/>
      <c r="BH86" s="265"/>
      <c r="BI86" s="257"/>
      <c r="BJ86" s="257"/>
      <c r="BK86" s="257"/>
      <c r="BL86" s="257"/>
      <c r="BM86" s="272"/>
      <c r="BN86" s="114" t="str">
        <f t="shared" si="8"/>
        <v/>
      </c>
    </row>
    <row r="87" spans="1:66" x14ac:dyDescent="0.2">
      <c r="A87" s="255"/>
      <c r="B87" s="256"/>
      <c r="C87" s="257"/>
      <c r="D87" s="258"/>
      <c r="E87" s="207" t="str">
        <f t="shared" si="6"/>
        <v xml:space="preserve"> </v>
      </c>
      <c r="F87" s="217" t="str">
        <f t="shared" ca="1" si="7"/>
        <v/>
      </c>
      <c r="G87" s="256"/>
      <c r="H87" s="256"/>
      <c r="I87" s="256"/>
      <c r="J87" s="256"/>
      <c r="K87" s="256"/>
      <c r="L87" s="259"/>
      <c r="M87" s="256"/>
      <c r="N87" s="256"/>
      <c r="O87" s="256"/>
      <c r="P87" s="260"/>
      <c r="Q87" s="261"/>
      <c r="R87" s="267"/>
      <c r="S87" s="258"/>
      <c r="T87" s="262"/>
      <c r="U87" s="262"/>
      <c r="V87" s="262"/>
      <c r="W87" s="262"/>
      <c r="X87" s="262"/>
      <c r="Y87" s="262"/>
      <c r="Z87" s="262"/>
      <c r="AA87" s="262"/>
      <c r="AB87" s="262"/>
      <c r="AC87" s="262"/>
      <c r="AD87" s="262"/>
      <c r="AE87" s="262"/>
      <c r="AF87" s="262"/>
      <c r="AG87" s="262"/>
      <c r="AH87" s="262"/>
      <c r="AI87" s="262"/>
      <c r="AJ87" s="262"/>
      <c r="AK87" s="262"/>
      <c r="AL87" s="262"/>
      <c r="AM87" s="262"/>
      <c r="AN87" s="262"/>
      <c r="AO87" s="263"/>
      <c r="AP87" s="263"/>
      <c r="AQ87" s="263"/>
      <c r="AR87" s="264"/>
      <c r="AS87" s="265"/>
      <c r="AT87" s="259"/>
      <c r="AU87" s="264"/>
      <c r="AV87" s="256"/>
      <c r="AW87" s="258"/>
      <c r="AX87" s="258"/>
      <c r="AY87" s="258"/>
      <c r="AZ87" s="258"/>
      <c r="BA87" s="256"/>
      <c r="BB87" s="256"/>
      <c r="BC87" s="258"/>
      <c r="BD87" s="266"/>
      <c r="BE87" s="258"/>
      <c r="BF87" s="265"/>
      <c r="BG87" s="265"/>
      <c r="BH87" s="265"/>
      <c r="BI87" s="257"/>
      <c r="BJ87" s="257"/>
      <c r="BK87" s="257"/>
      <c r="BL87" s="257"/>
      <c r="BM87" s="272"/>
      <c r="BN87" s="114" t="str">
        <f t="shared" si="8"/>
        <v/>
      </c>
    </row>
    <row r="88" spans="1:66" x14ac:dyDescent="0.2">
      <c r="A88" s="255"/>
      <c r="B88" s="256"/>
      <c r="C88" s="257"/>
      <c r="D88" s="258"/>
      <c r="E88" s="207" t="str">
        <f t="shared" si="6"/>
        <v xml:space="preserve"> </v>
      </c>
      <c r="F88" s="217" t="str">
        <f t="shared" ca="1" si="7"/>
        <v/>
      </c>
      <c r="G88" s="256"/>
      <c r="H88" s="256"/>
      <c r="I88" s="256"/>
      <c r="J88" s="256"/>
      <c r="K88" s="256"/>
      <c r="L88" s="259"/>
      <c r="M88" s="256"/>
      <c r="N88" s="256"/>
      <c r="O88" s="256"/>
      <c r="P88" s="260"/>
      <c r="Q88" s="261"/>
      <c r="R88" s="267"/>
      <c r="S88" s="258"/>
      <c r="T88" s="262"/>
      <c r="U88" s="262"/>
      <c r="V88" s="262"/>
      <c r="W88" s="262"/>
      <c r="X88" s="262"/>
      <c r="Y88" s="262"/>
      <c r="Z88" s="262"/>
      <c r="AA88" s="262"/>
      <c r="AB88" s="262"/>
      <c r="AC88" s="262"/>
      <c r="AD88" s="262"/>
      <c r="AE88" s="262"/>
      <c r="AF88" s="262"/>
      <c r="AG88" s="262"/>
      <c r="AH88" s="262"/>
      <c r="AI88" s="262"/>
      <c r="AJ88" s="262"/>
      <c r="AK88" s="262"/>
      <c r="AL88" s="262"/>
      <c r="AM88" s="262"/>
      <c r="AN88" s="262"/>
      <c r="AO88" s="263"/>
      <c r="AP88" s="263"/>
      <c r="AQ88" s="263"/>
      <c r="AR88" s="264"/>
      <c r="AS88" s="265"/>
      <c r="AT88" s="259"/>
      <c r="AU88" s="264"/>
      <c r="AV88" s="256"/>
      <c r="AW88" s="258"/>
      <c r="AX88" s="258"/>
      <c r="AY88" s="258"/>
      <c r="AZ88" s="258"/>
      <c r="BA88" s="256"/>
      <c r="BB88" s="256"/>
      <c r="BC88" s="258"/>
      <c r="BD88" s="266"/>
      <c r="BE88" s="258"/>
      <c r="BF88" s="265"/>
      <c r="BG88" s="265"/>
      <c r="BH88" s="265"/>
      <c r="BI88" s="257"/>
      <c r="BJ88" s="257"/>
      <c r="BK88" s="257"/>
      <c r="BL88" s="257"/>
      <c r="BM88" s="272"/>
      <c r="BN88" s="114" t="str">
        <f t="shared" si="8"/>
        <v/>
      </c>
    </row>
    <row r="89" spans="1:66" x14ac:dyDescent="0.2">
      <c r="A89" s="255"/>
      <c r="B89" s="256"/>
      <c r="C89" s="257"/>
      <c r="D89" s="258"/>
      <c r="E89" s="207" t="str">
        <f t="shared" si="6"/>
        <v xml:space="preserve"> </v>
      </c>
      <c r="F89" s="217" t="str">
        <f t="shared" ca="1" si="7"/>
        <v/>
      </c>
      <c r="G89" s="256"/>
      <c r="H89" s="256"/>
      <c r="I89" s="256"/>
      <c r="J89" s="256"/>
      <c r="K89" s="256"/>
      <c r="L89" s="259"/>
      <c r="M89" s="256"/>
      <c r="N89" s="256"/>
      <c r="O89" s="256"/>
      <c r="P89" s="260"/>
      <c r="Q89" s="261"/>
      <c r="R89" s="267"/>
      <c r="S89" s="258"/>
      <c r="T89" s="262"/>
      <c r="U89" s="262"/>
      <c r="V89" s="262"/>
      <c r="W89" s="262"/>
      <c r="X89" s="262"/>
      <c r="Y89" s="262"/>
      <c r="Z89" s="262"/>
      <c r="AA89" s="262"/>
      <c r="AB89" s="262"/>
      <c r="AC89" s="262"/>
      <c r="AD89" s="262"/>
      <c r="AE89" s="262"/>
      <c r="AF89" s="262"/>
      <c r="AG89" s="262"/>
      <c r="AH89" s="262"/>
      <c r="AI89" s="262"/>
      <c r="AJ89" s="262"/>
      <c r="AK89" s="262"/>
      <c r="AL89" s="262"/>
      <c r="AM89" s="262"/>
      <c r="AN89" s="262"/>
      <c r="AO89" s="263"/>
      <c r="AP89" s="263"/>
      <c r="AQ89" s="263"/>
      <c r="AR89" s="264"/>
      <c r="AS89" s="265"/>
      <c r="AT89" s="259"/>
      <c r="AU89" s="264"/>
      <c r="AV89" s="256"/>
      <c r="AW89" s="258"/>
      <c r="AX89" s="258"/>
      <c r="AY89" s="258"/>
      <c r="AZ89" s="258"/>
      <c r="BA89" s="256"/>
      <c r="BB89" s="256"/>
      <c r="BC89" s="258"/>
      <c r="BD89" s="266"/>
      <c r="BE89" s="258"/>
      <c r="BF89" s="265"/>
      <c r="BG89" s="265"/>
      <c r="BH89" s="265"/>
      <c r="BI89" s="257"/>
      <c r="BJ89" s="257"/>
      <c r="BK89" s="257"/>
      <c r="BL89" s="257"/>
      <c r="BM89" s="272"/>
      <c r="BN89" s="114" t="str">
        <f t="shared" si="8"/>
        <v/>
      </c>
    </row>
    <row r="90" spans="1:66" x14ac:dyDescent="0.2">
      <c r="A90" s="255"/>
      <c r="B90" s="256"/>
      <c r="C90" s="257"/>
      <c r="D90" s="258"/>
      <c r="E90" s="207" t="str">
        <f t="shared" si="6"/>
        <v xml:space="preserve"> </v>
      </c>
      <c r="F90" s="217" t="str">
        <f t="shared" ca="1" si="7"/>
        <v/>
      </c>
      <c r="G90" s="256"/>
      <c r="H90" s="256"/>
      <c r="I90" s="256"/>
      <c r="J90" s="256"/>
      <c r="K90" s="256"/>
      <c r="L90" s="259"/>
      <c r="M90" s="256"/>
      <c r="N90" s="256"/>
      <c r="O90" s="256"/>
      <c r="P90" s="260"/>
      <c r="Q90" s="261"/>
      <c r="R90" s="267"/>
      <c r="S90" s="258"/>
      <c r="T90" s="262"/>
      <c r="U90" s="262"/>
      <c r="V90" s="262"/>
      <c r="W90" s="262"/>
      <c r="X90" s="262"/>
      <c r="Y90" s="262"/>
      <c r="Z90" s="262"/>
      <c r="AA90" s="262"/>
      <c r="AB90" s="262"/>
      <c r="AC90" s="262"/>
      <c r="AD90" s="262"/>
      <c r="AE90" s="262"/>
      <c r="AF90" s="262"/>
      <c r="AG90" s="262"/>
      <c r="AH90" s="262"/>
      <c r="AI90" s="262"/>
      <c r="AJ90" s="262"/>
      <c r="AK90" s="262"/>
      <c r="AL90" s="262"/>
      <c r="AM90" s="262"/>
      <c r="AN90" s="262"/>
      <c r="AO90" s="263"/>
      <c r="AP90" s="263"/>
      <c r="AQ90" s="263"/>
      <c r="AR90" s="264"/>
      <c r="AS90" s="265"/>
      <c r="AT90" s="259"/>
      <c r="AU90" s="264"/>
      <c r="AV90" s="256"/>
      <c r="AW90" s="258"/>
      <c r="AX90" s="258"/>
      <c r="AY90" s="258"/>
      <c r="AZ90" s="258"/>
      <c r="BA90" s="256"/>
      <c r="BB90" s="256"/>
      <c r="BC90" s="258"/>
      <c r="BD90" s="266"/>
      <c r="BE90" s="258"/>
      <c r="BF90" s="265"/>
      <c r="BG90" s="265"/>
      <c r="BH90" s="265"/>
      <c r="BI90" s="257"/>
      <c r="BJ90" s="257"/>
      <c r="BK90" s="257"/>
      <c r="BL90" s="257"/>
      <c r="BM90" s="272"/>
      <c r="BN90" s="114" t="str">
        <f t="shared" si="8"/>
        <v/>
      </c>
    </row>
    <row r="91" spans="1:66" x14ac:dyDescent="0.2">
      <c r="A91" s="255"/>
      <c r="B91" s="256"/>
      <c r="C91" s="257"/>
      <c r="D91" s="258"/>
      <c r="E91" s="207" t="str">
        <f t="shared" si="6"/>
        <v xml:space="preserve"> </v>
      </c>
      <c r="F91" s="217" t="str">
        <f t="shared" ca="1" si="7"/>
        <v/>
      </c>
      <c r="G91" s="256"/>
      <c r="H91" s="256"/>
      <c r="I91" s="256"/>
      <c r="J91" s="256"/>
      <c r="K91" s="256"/>
      <c r="L91" s="259"/>
      <c r="M91" s="256"/>
      <c r="N91" s="256"/>
      <c r="O91" s="256"/>
      <c r="P91" s="260"/>
      <c r="Q91" s="261"/>
      <c r="R91" s="267"/>
      <c r="S91" s="258"/>
      <c r="T91" s="262"/>
      <c r="U91" s="262"/>
      <c r="V91" s="262"/>
      <c r="W91" s="262"/>
      <c r="X91" s="262"/>
      <c r="Y91" s="262"/>
      <c r="Z91" s="262"/>
      <c r="AA91" s="262"/>
      <c r="AB91" s="262"/>
      <c r="AC91" s="262"/>
      <c r="AD91" s="262"/>
      <c r="AE91" s="262"/>
      <c r="AF91" s="262"/>
      <c r="AG91" s="262"/>
      <c r="AH91" s="262"/>
      <c r="AI91" s="262"/>
      <c r="AJ91" s="262"/>
      <c r="AK91" s="262"/>
      <c r="AL91" s="262"/>
      <c r="AM91" s="262"/>
      <c r="AN91" s="262"/>
      <c r="AO91" s="263"/>
      <c r="AP91" s="263"/>
      <c r="AQ91" s="263"/>
      <c r="AR91" s="264"/>
      <c r="AS91" s="265"/>
      <c r="AT91" s="259"/>
      <c r="AU91" s="264"/>
      <c r="AV91" s="256"/>
      <c r="AW91" s="258"/>
      <c r="AX91" s="258"/>
      <c r="AY91" s="258"/>
      <c r="AZ91" s="258"/>
      <c r="BA91" s="256"/>
      <c r="BB91" s="256"/>
      <c r="BC91" s="258"/>
      <c r="BD91" s="266"/>
      <c r="BE91" s="258"/>
      <c r="BF91" s="265"/>
      <c r="BG91" s="265"/>
      <c r="BH91" s="265"/>
      <c r="BI91" s="257"/>
      <c r="BJ91" s="257"/>
      <c r="BK91" s="257"/>
      <c r="BL91" s="257"/>
      <c r="BM91" s="272"/>
      <c r="BN91" s="114" t="str">
        <f t="shared" si="8"/>
        <v/>
      </c>
    </row>
    <row r="92" spans="1:66" x14ac:dyDescent="0.2">
      <c r="A92" s="255"/>
      <c r="B92" s="256"/>
      <c r="C92" s="257"/>
      <c r="D92" s="258"/>
      <c r="E92" s="207" t="str">
        <f t="shared" si="6"/>
        <v xml:space="preserve"> </v>
      </c>
      <c r="F92" s="217" t="str">
        <f t="shared" ca="1" si="7"/>
        <v/>
      </c>
      <c r="G92" s="256"/>
      <c r="H92" s="256"/>
      <c r="I92" s="256"/>
      <c r="J92" s="256"/>
      <c r="K92" s="256"/>
      <c r="L92" s="259"/>
      <c r="M92" s="256"/>
      <c r="N92" s="256"/>
      <c r="O92" s="256"/>
      <c r="P92" s="260"/>
      <c r="Q92" s="261"/>
      <c r="R92" s="267"/>
      <c r="S92" s="258"/>
      <c r="T92" s="262"/>
      <c r="U92" s="262"/>
      <c r="V92" s="262"/>
      <c r="W92" s="262"/>
      <c r="X92" s="262"/>
      <c r="Y92" s="262"/>
      <c r="Z92" s="262"/>
      <c r="AA92" s="262"/>
      <c r="AB92" s="262"/>
      <c r="AC92" s="262"/>
      <c r="AD92" s="262"/>
      <c r="AE92" s="262"/>
      <c r="AF92" s="262"/>
      <c r="AG92" s="262"/>
      <c r="AH92" s="262"/>
      <c r="AI92" s="262"/>
      <c r="AJ92" s="262"/>
      <c r="AK92" s="262"/>
      <c r="AL92" s="262"/>
      <c r="AM92" s="262"/>
      <c r="AN92" s="262"/>
      <c r="AO92" s="263"/>
      <c r="AP92" s="263"/>
      <c r="AQ92" s="263"/>
      <c r="AR92" s="264"/>
      <c r="AS92" s="265"/>
      <c r="AT92" s="259"/>
      <c r="AU92" s="264"/>
      <c r="AV92" s="256"/>
      <c r="AW92" s="258"/>
      <c r="AX92" s="258"/>
      <c r="AY92" s="258"/>
      <c r="AZ92" s="258"/>
      <c r="BA92" s="256"/>
      <c r="BB92" s="256"/>
      <c r="BC92" s="258"/>
      <c r="BD92" s="266"/>
      <c r="BE92" s="258"/>
      <c r="BF92" s="265"/>
      <c r="BG92" s="265"/>
      <c r="BH92" s="265"/>
      <c r="BI92" s="257"/>
      <c r="BJ92" s="257"/>
      <c r="BK92" s="257"/>
      <c r="BL92" s="257"/>
      <c r="BM92" s="272"/>
      <c r="BN92" s="114" t="str">
        <f t="shared" si="8"/>
        <v/>
      </c>
    </row>
    <row r="93" spans="1:66" x14ac:dyDescent="0.2">
      <c r="A93" s="255"/>
      <c r="B93" s="256"/>
      <c r="C93" s="257"/>
      <c r="D93" s="258"/>
      <c r="E93" s="207" t="str">
        <f t="shared" si="6"/>
        <v xml:space="preserve"> </v>
      </c>
      <c r="F93" s="217" t="str">
        <f t="shared" ca="1" si="7"/>
        <v/>
      </c>
      <c r="G93" s="256"/>
      <c r="H93" s="256"/>
      <c r="I93" s="256"/>
      <c r="J93" s="256"/>
      <c r="K93" s="256"/>
      <c r="L93" s="259"/>
      <c r="M93" s="256"/>
      <c r="N93" s="256"/>
      <c r="O93" s="256"/>
      <c r="P93" s="260"/>
      <c r="Q93" s="261"/>
      <c r="R93" s="267"/>
      <c r="S93" s="258"/>
      <c r="T93" s="262"/>
      <c r="U93" s="262"/>
      <c r="V93" s="262"/>
      <c r="W93" s="262"/>
      <c r="X93" s="262"/>
      <c r="Y93" s="262"/>
      <c r="Z93" s="262"/>
      <c r="AA93" s="262"/>
      <c r="AB93" s="262"/>
      <c r="AC93" s="262"/>
      <c r="AD93" s="262"/>
      <c r="AE93" s="262"/>
      <c r="AF93" s="262"/>
      <c r="AG93" s="262"/>
      <c r="AH93" s="262"/>
      <c r="AI93" s="262"/>
      <c r="AJ93" s="262"/>
      <c r="AK93" s="262"/>
      <c r="AL93" s="262"/>
      <c r="AM93" s="262"/>
      <c r="AN93" s="262"/>
      <c r="AO93" s="263"/>
      <c r="AP93" s="263"/>
      <c r="AQ93" s="263"/>
      <c r="AR93" s="264"/>
      <c r="AS93" s="265"/>
      <c r="AT93" s="259"/>
      <c r="AU93" s="264"/>
      <c r="AV93" s="256"/>
      <c r="AW93" s="258"/>
      <c r="AX93" s="258"/>
      <c r="AY93" s="258"/>
      <c r="AZ93" s="258"/>
      <c r="BA93" s="256"/>
      <c r="BB93" s="256"/>
      <c r="BC93" s="258"/>
      <c r="BD93" s="266"/>
      <c r="BE93" s="258"/>
      <c r="BF93" s="265"/>
      <c r="BG93" s="265"/>
      <c r="BH93" s="265"/>
      <c r="BI93" s="257"/>
      <c r="BJ93" s="257"/>
      <c r="BK93" s="257"/>
      <c r="BL93" s="257"/>
      <c r="BM93" s="272"/>
      <c r="BN93" s="114" t="str">
        <f t="shared" si="8"/>
        <v/>
      </c>
    </row>
    <row r="94" spans="1:66" x14ac:dyDescent="0.2">
      <c r="A94" s="255"/>
      <c r="B94" s="256"/>
      <c r="C94" s="257"/>
      <c r="D94" s="258"/>
      <c r="E94" s="207" t="str">
        <f t="shared" si="6"/>
        <v xml:space="preserve"> </v>
      </c>
      <c r="F94" s="217" t="str">
        <f t="shared" ca="1" si="7"/>
        <v/>
      </c>
      <c r="G94" s="256"/>
      <c r="H94" s="256"/>
      <c r="I94" s="256"/>
      <c r="J94" s="256"/>
      <c r="K94" s="256"/>
      <c r="L94" s="259"/>
      <c r="M94" s="256"/>
      <c r="N94" s="256"/>
      <c r="O94" s="256"/>
      <c r="P94" s="260"/>
      <c r="Q94" s="261"/>
      <c r="R94" s="267"/>
      <c r="S94" s="258"/>
      <c r="T94" s="262"/>
      <c r="U94" s="262"/>
      <c r="V94" s="262"/>
      <c r="W94" s="262"/>
      <c r="X94" s="262"/>
      <c r="Y94" s="262"/>
      <c r="Z94" s="262"/>
      <c r="AA94" s="262"/>
      <c r="AB94" s="262"/>
      <c r="AC94" s="262"/>
      <c r="AD94" s="262"/>
      <c r="AE94" s="262"/>
      <c r="AF94" s="262"/>
      <c r="AG94" s="262"/>
      <c r="AH94" s="262"/>
      <c r="AI94" s="262"/>
      <c r="AJ94" s="262"/>
      <c r="AK94" s="262"/>
      <c r="AL94" s="262"/>
      <c r="AM94" s="262"/>
      <c r="AN94" s="262"/>
      <c r="AO94" s="263"/>
      <c r="AP94" s="263"/>
      <c r="AQ94" s="263"/>
      <c r="AR94" s="264"/>
      <c r="AS94" s="265"/>
      <c r="AT94" s="259"/>
      <c r="AU94" s="264"/>
      <c r="AV94" s="256"/>
      <c r="AW94" s="258"/>
      <c r="AX94" s="258"/>
      <c r="AY94" s="258"/>
      <c r="AZ94" s="258"/>
      <c r="BA94" s="256"/>
      <c r="BB94" s="256"/>
      <c r="BC94" s="258"/>
      <c r="BD94" s="266"/>
      <c r="BE94" s="258"/>
      <c r="BF94" s="265"/>
      <c r="BG94" s="265"/>
      <c r="BH94" s="265"/>
      <c r="BI94" s="257"/>
      <c r="BJ94" s="257"/>
      <c r="BK94" s="257"/>
      <c r="BL94" s="257"/>
      <c r="BM94" s="272"/>
      <c r="BN94" s="114" t="str">
        <f t="shared" si="8"/>
        <v/>
      </c>
    </row>
    <row r="95" spans="1:66" x14ac:dyDescent="0.2">
      <c r="A95" s="255"/>
      <c r="B95" s="256"/>
      <c r="C95" s="257"/>
      <c r="D95" s="258"/>
      <c r="E95" s="207" t="str">
        <f t="shared" si="6"/>
        <v xml:space="preserve"> </v>
      </c>
      <c r="F95" s="217" t="str">
        <f t="shared" ca="1" si="7"/>
        <v/>
      </c>
      <c r="G95" s="256"/>
      <c r="H95" s="256"/>
      <c r="I95" s="256"/>
      <c r="J95" s="256"/>
      <c r="K95" s="256"/>
      <c r="L95" s="259"/>
      <c r="M95" s="256"/>
      <c r="N95" s="256"/>
      <c r="O95" s="256"/>
      <c r="P95" s="260"/>
      <c r="Q95" s="261"/>
      <c r="R95" s="267"/>
      <c r="S95" s="258"/>
      <c r="T95" s="262"/>
      <c r="U95" s="262"/>
      <c r="V95" s="262"/>
      <c r="W95" s="262"/>
      <c r="X95" s="262"/>
      <c r="Y95" s="262"/>
      <c r="Z95" s="262"/>
      <c r="AA95" s="262"/>
      <c r="AB95" s="262"/>
      <c r="AC95" s="262"/>
      <c r="AD95" s="262"/>
      <c r="AE95" s="262"/>
      <c r="AF95" s="262"/>
      <c r="AG95" s="262"/>
      <c r="AH95" s="262"/>
      <c r="AI95" s="262"/>
      <c r="AJ95" s="262"/>
      <c r="AK95" s="262"/>
      <c r="AL95" s="262"/>
      <c r="AM95" s="262"/>
      <c r="AN95" s="262"/>
      <c r="AO95" s="263"/>
      <c r="AP95" s="263"/>
      <c r="AQ95" s="263"/>
      <c r="AR95" s="264"/>
      <c r="AS95" s="265"/>
      <c r="AT95" s="259"/>
      <c r="AU95" s="264"/>
      <c r="AV95" s="256"/>
      <c r="AW95" s="258"/>
      <c r="AX95" s="258"/>
      <c r="AY95" s="258"/>
      <c r="AZ95" s="258"/>
      <c r="BA95" s="256"/>
      <c r="BB95" s="256"/>
      <c r="BC95" s="258"/>
      <c r="BD95" s="266"/>
      <c r="BE95" s="258"/>
      <c r="BF95" s="265"/>
      <c r="BG95" s="265"/>
      <c r="BH95" s="265"/>
      <c r="BI95" s="257"/>
      <c r="BJ95" s="257"/>
      <c r="BK95" s="257"/>
      <c r="BL95" s="257"/>
      <c r="BM95" s="272"/>
      <c r="BN95" s="114" t="str">
        <f t="shared" si="8"/>
        <v/>
      </c>
    </row>
    <row r="96" spans="1:66" x14ac:dyDescent="0.2">
      <c r="A96" s="255"/>
      <c r="B96" s="256"/>
      <c r="C96" s="257"/>
      <c r="D96" s="258"/>
      <c r="E96" s="207" t="str">
        <f t="shared" si="6"/>
        <v xml:space="preserve"> </v>
      </c>
      <c r="F96" s="217" t="str">
        <f t="shared" ca="1" si="7"/>
        <v/>
      </c>
      <c r="G96" s="256"/>
      <c r="H96" s="256"/>
      <c r="I96" s="256"/>
      <c r="J96" s="256"/>
      <c r="K96" s="256"/>
      <c r="L96" s="259"/>
      <c r="M96" s="256"/>
      <c r="N96" s="256"/>
      <c r="O96" s="256"/>
      <c r="P96" s="260"/>
      <c r="Q96" s="261"/>
      <c r="R96" s="267"/>
      <c r="S96" s="258"/>
      <c r="T96" s="262"/>
      <c r="U96" s="262"/>
      <c r="V96" s="262"/>
      <c r="W96" s="262"/>
      <c r="X96" s="262"/>
      <c r="Y96" s="262"/>
      <c r="Z96" s="262"/>
      <c r="AA96" s="262"/>
      <c r="AB96" s="262"/>
      <c r="AC96" s="262"/>
      <c r="AD96" s="262"/>
      <c r="AE96" s="262"/>
      <c r="AF96" s="262"/>
      <c r="AG96" s="262"/>
      <c r="AH96" s="262"/>
      <c r="AI96" s="262"/>
      <c r="AJ96" s="262"/>
      <c r="AK96" s="262"/>
      <c r="AL96" s="262"/>
      <c r="AM96" s="262"/>
      <c r="AN96" s="262"/>
      <c r="AO96" s="263"/>
      <c r="AP96" s="263"/>
      <c r="AQ96" s="263"/>
      <c r="AR96" s="264"/>
      <c r="AS96" s="265"/>
      <c r="AT96" s="259"/>
      <c r="AU96" s="264"/>
      <c r="AV96" s="256"/>
      <c r="AW96" s="258"/>
      <c r="AX96" s="258"/>
      <c r="AY96" s="258"/>
      <c r="AZ96" s="258"/>
      <c r="BA96" s="256"/>
      <c r="BB96" s="256"/>
      <c r="BC96" s="258"/>
      <c r="BD96" s="266"/>
      <c r="BE96" s="258"/>
      <c r="BF96" s="265"/>
      <c r="BG96" s="265"/>
      <c r="BH96" s="265"/>
      <c r="BI96" s="257"/>
      <c r="BJ96" s="257"/>
      <c r="BK96" s="257"/>
      <c r="BL96" s="257"/>
      <c r="BM96" s="272"/>
      <c r="BN96" s="114" t="str">
        <f t="shared" si="8"/>
        <v/>
      </c>
    </row>
    <row r="97" spans="1:66" x14ac:dyDescent="0.2">
      <c r="A97" s="255"/>
      <c r="B97" s="256"/>
      <c r="C97" s="257"/>
      <c r="D97" s="258"/>
      <c r="E97" s="207" t="str">
        <f t="shared" si="6"/>
        <v xml:space="preserve"> </v>
      </c>
      <c r="F97" s="217" t="str">
        <f t="shared" ca="1" si="7"/>
        <v/>
      </c>
      <c r="G97" s="256"/>
      <c r="H97" s="256"/>
      <c r="I97" s="256"/>
      <c r="J97" s="256"/>
      <c r="K97" s="256"/>
      <c r="L97" s="259"/>
      <c r="M97" s="256"/>
      <c r="N97" s="256"/>
      <c r="O97" s="256"/>
      <c r="P97" s="260"/>
      <c r="Q97" s="261"/>
      <c r="R97" s="267"/>
      <c r="S97" s="258"/>
      <c r="T97" s="262"/>
      <c r="U97" s="262"/>
      <c r="V97" s="262"/>
      <c r="W97" s="262"/>
      <c r="X97" s="262"/>
      <c r="Y97" s="262"/>
      <c r="Z97" s="262"/>
      <c r="AA97" s="262"/>
      <c r="AB97" s="262"/>
      <c r="AC97" s="262"/>
      <c r="AD97" s="262"/>
      <c r="AE97" s="262"/>
      <c r="AF97" s="262"/>
      <c r="AG97" s="262"/>
      <c r="AH97" s="262"/>
      <c r="AI97" s="262"/>
      <c r="AJ97" s="262"/>
      <c r="AK97" s="262"/>
      <c r="AL97" s="262"/>
      <c r="AM97" s="262"/>
      <c r="AN97" s="262"/>
      <c r="AO97" s="263"/>
      <c r="AP97" s="263"/>
      <c r="AQ97" s="263"/>
      <c r="AR97" s="264"/>
      <c r="AS97" s="265"/>
      <c r="AT97" s="259"/>
      <c r="AU97" s="264"/>
      <c r="AV97" s="256"/>
      <c r="AW97" s="258"/>
      <c r="AX97" s="258"/>
      <c r="AY97" s="258"/>
      <c r="AZ97" s="258"/>
      <c r="BA97" s="256"/>
      <c r="BB97" s="256"/>
      <c r="BC97" s="258"/>
      <c r="BD97" s="266"/>
      <c r="BE97" s="258"/>
      <c r="BF97" s="265"/>
      <c r="BG97" s="265"/>
      <c r="BH97" s="265"/>
      <c r="BI97" s="257"/>
      <c r="BJ97" s="257"/>
      <c r="BK97" s="257"/>
      <c r="BL97" s="257"/>
      <c r="BM97" s="272"/>
      <c r="BN97" s="114" t="str">
        <f t="shared" si="8"/>
        <v/>
      </c>
    </row>
    <row r="98" spans="1:66" x14ac:dyDescent="0.2">
      <c r="A98" s="255"/>
      <c r="B98" s="256"/>
      <c r="C98" s="257"/>
      <c r="D98" s="258"/>
      <c r="E98" s="207" t="str">
        <f t="shared" si="6"/>
        <v xml:space="preserve"> </v>
      </c>
      <c r="F98" s="217" t="str">
        <f t="shared" ca="1" si="7"/>
        <v/>
      </c>
      <c r="G98" s="256"/>
      <c r="H98" s="256"/>
      <c r="I98" s="256"/>
      <c r="J98" s="256"/>
      <c r="K98" s="256"/>
      <c r="L98" s="259"/>
      <c r="M98" s="256"/>
      <c r="N98" s="256"/>
      <c r="O98" s="256"/>
      <c r="P98" s="260"/>
      <c r="Q98" s="261"/>
      <c r="R98" s="267"/>
      <c r="S98" s="258"/>
      <c r="T98" s="262"/>
      <c r="U98" s="262"/>
      <c r="V98" s="262"/>
      <c r="W98" s="262"/>
      <c r="X98" s="262"/>
      <c r="Y98" s="262"/>
      <c r="Z98" s="262"/>
      <c r="AA98" s="262"/>
      <c r="AB98" s="262"/>
      <c r="AC98" s="262"/>
      <c r="AD98" s="262"/>
      <c r="AE98" s="262"/>
      <c r="AF98" s="262"/>
      <c r="AG98" s="262"/>
      <c r="AH98" s="262"/>
      <c r="AI98" s="262"/>
      <c r="AJ98" s="262"/>
      <c r="AK98" s="262"/>
      <c r="AL98" s="262"/>
      <c r="AM98" s="262"/>
      <c r="AN98" s="262"/>
      <c r="AO98" s="263"/>
      <c r="AP98" s="263"/>
      <c r="AQ98" s="263"/>
      <c r="AR98" s="264"/>
      <c r="AS98" s="265"/>
      <c r="AT98" s="259"/>
      <c r="AU98" s="264"/>
      <c r="AV98" s="256"/>
      <c r="AW98" s="258"/>
      <c r="AX98" s="258"/>
      <c r="AY98" s="258"/>
      <c r="AZ98" s="258"/>
      <c r="BA98" s="256"/>
      <c r="BB98" s="256"/>
      <c r="BC98" s="258"/>
      <c r="BD98" s="266"/>
      <c r="BE98" s="258"/>
      <c r="BF98" s="265"/>
      <c r="BG98" s="265"/>
      <c r="BH98" s="265"/>
      <c r="BI98" s="257"/>
      <c r="BJ98" s="257"/>
      <c r="BK98" s="257"/>
      <c r="BL98" s="257"/>
      <c r="BM98" s="272"/>
      <c r="BN98" s="114" t="str">
        <f t="shared" si="8"/>
        <v/>
      </c>
    </row>
    <row r="99" spans="1:66" x14ac:dyDescent="0.2">
      <c r="A99" s="255"/>
      <c r="B99" s="256"/>
      <c r="C99" s="257"/>
      <c r="D99" s="258"/>
      <c r="E99" s="207" t="str">
        <f t="shared" si="6"/>
        <v xml:space="preserve"> </v>
      </c>
      <c r="F99" s="217" t="str">
        <f t="shared" ca="1" si="7"/>
        <v/>
      </c>
      <c r="G99" s="256"/>
      <c r="H99" s="256"/>
      <c r="I99" s="256"/>
      <c r="J99" s="256"/>
      <c r="K99" s="256"/>
      <c r="L99" s="259"/>
      <c r="M99" s="256"/>
      <c r="N99" s="256"/>
      <c r="O99" s="256"/>
      <c r="P99" s="260"/>
      <c r="Q99" s="261"/>
      <c r="R99" s="267"/>
      <c r="S99" s="258"/>
      <c r="T99" s="262"/>
      <c r="U99" s="262"/>
      <c r="V99" s="262"/>
      <c r="W99" s="262"/>
      <c r="X99" s="262"/>
      <c r="Y99" s="262"/>
      <c r="Z99" s="262"/>
      <c r="AA99" s="262"/>
      <c r="AB99" s="262"/>
      <c r="AC99" s="262"/>
      <c r="AD99" s="262"/>
      <c r="AE99" s="262"/>
      <c r="AF99" s="262"/>
      <c r="AG99" s="262"/>
      <c r="AH99" s="262"/>
      <c r="AI99" s="262"/>
      <c r="AJ99" s="262"/>
      <c r="AK99" s="262"/>
      <c r="AL99" s="262"/>
      <c r="AM99" s="262"/>
      <c r="AN99" s="262"/>
      <c r="AO99" s="263"/>
      <c r="AP99" s="263"/>
      <c r="AQ99" s="263"/>
      <c r="AR99" s="264"/>
      <c r="AS99" s="265"/>
      <c r="AT99" s="259"/>
      <c r="AU99" s="264"/>
      <c r="AV99" s="256"/>
      <c r="AW99" s="258"/>
      <c r="AX99" s="258"/>
      <c r="AY99" s="258"/>
      <c r="AZ99" s="258"/>
      <c r="BA99" s="256"/>
      <c r="BB99" s="256"/>
      <c r="BC99" s="258"/>
      <c r="BD99" s="266"/>
      <c r="BE99" s="258"/>
      <c r="BF99" s="265"/>
      <c r="BG99" s="265"/>
      <c r="BH99" s="265"/>
      <c r="BI99" s="257"/>
      <c r="BJ99" s="257"/>
      <c r="BK99" s="257"/>
      <c r="BL99" s="257"/>
      <c r="BM99" s="272"/>
      <c r="BN99" s="114" t="str">
        <f t="shared" si="8"/>
        <v/>
      </c>
    </row>
    <row r="100" spans="1:66" x14ac:dyDescent="0.2">
      <c r="A100" s="255"/>
      <c r="B100" s="256"/>
      <c r="C100" s="257"/>
      <c r="D100" s="258"/>
      <c r="E100" s="207" t="str">
        <f t="shared" si="6"/>
        <v xml:space="preserve"> </v>
      </c>
      <c r="F100" s="217" t="str">
        <f t="shared" ca="1" si="7"/>
        <v/>
      </c>
      <c r="G100" s="256"/>
      <c r="H100" s="256"/>
      <c r="I100" s="256"/>
      <c r="J100" s="256"/>
      <c r="K100" s="256"/>
      <c r="L100" s="259"/>
      <c r="M100" s="256"/>
      <c r="N100" s="256"/>
      <c r="O100" s="256"/>
      <c r="P100" s="260"/>
      <c r="Q100" s="261"/>
      <c r="R100" s="267"/>
      <c r="S100" s="258"/>
      <c r="T100" s="262"/>
      <c r="U100" s="262"/>
      <c r="V100" s="262"/>
      <c r="W100" s="262"/>
      <c r="X100" s="262"/>
      <c r="Y100" s="262"/>
      <c r="Z100" s="262"/>
      <c r="AA100" s="262"/>
      <c r="AB100" s="262"/>
      <c r="AC100" s="262"/>
      <c r="AD100" s="262"/>
      <c r="AE100" s="262"/>
      <c r="AF100" s="262"/>
      <c r="AG100" s="262"/>
      <c r="AH100" s="262"/>
      <c r="AI100" s="262"/>
      <c r="AJ100" s="262"/>
      <c r="AK100" s="262"/>
      <c r="AL100" s="262"/>
      <c r="AM100" s="262"/>
      <c r="AN100" s="262"/>
      <c r="AO100" s="263"/>
      <c r="AP100" s="263"/>
      <c r="AQ100" s="263"/>
      <c r="AR100" s="264"/>
      <c r="AS100" s="265"/>
      <c r="AT100" s="259"/>
      <c r="AU100" s="264"/>
      <c r="AV100" s="256"/>
      <c r="AW100" s="258"/>
      <c r="AX100" s="258"/>
      <c r="AY100" s="258"/>
      <c r="AZ100" s="258"/>
      <c r="BA100" s="256"/>
      <c r="BB100" s="256"/>
      <c r="BC100" s="258"/>
      <c r="BD100" s="266"/>
      <c r="BE100" s="258"/>
      <c r="BF100" s="265"/>
      <c r="BG100" s="265"/>
      <c r="BH100" s="265"/>
      <c r="BI100" s="257"/>
      <c r="BJ100" s="257"/>
      <c r="BK100" s="257"/>
      <c r="BL100" s="257"/>
      <c r="BM100" s="272"/>
      <c r="BN100" s="114" t="str">
        <f t="shared" si="8"/>
        <v/>
      </c>
    </row>
    <row r="101" spans="1:66" x14ac:dyDescent="0.2">
      <c r="A101" s="255"/>
      <c r="B101" s="256"/>
      <c r="C101" s="257"/>
      <c r="D101" s="258"/>
      <c r="E101" s="207" t="str">
        <f t="shared" si="6"/>
        <v xml:space="preserve"> </v>
      </c>
      <c r="F101" s="217" t="str">
        <f t="shared" ca="1" si="7"/>
        <v/>
      </c>
      <c r="G101" s="256"/>
      <c r="H101" s="256"/>
      <c r="I101" s="256"/>
      <c r="J101" s="256"/>
      <c r="K101" s="256"/>
      <c r="L101" s="259"/>
      <c r="M101" s="256"/>
      <c r="N101" s="256"/>
      <c r="O101" s="256"/>
      <c r="P101" s="260"/>
      <c r="Q101" s="261"/>
      <c r="R101" s="267"/>
      <c r="S101" s="258"/>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3"/>
      <c r="AP101" s="263"/>
      <c r="AQ101" s="263"/>
      <c r="AR101" s="264"/>
      <c r="AS101" s="265"/>
      <c r="AT101" s="259"/>
      <c r="AU101" s="264"/>
      <c r="AV101" s="256"/>
      <c r="AW101" s="258"/>
      <c r="AX101" s="258"/>
      <c r="AY101" s="258"/>
      <c r="AZ101" s="258"/>
      <c r="BA101" s="256"/>
      <c r="BB101" s="256"/>
      <c r="BC101" s="258"/>
      <c r="BD101" s="266"/>
      <c r="BE101" s="258"/>
      <c r="BF101" s="265"/>
      <c r="BG101" s="265"/>
      <c r="BH101" s="265"/>
      <c r="BI101" s="257"/>
      <c r="BJ101" s="257"/>
      <c r="BK101" s="257"/>
      <c r="BL101" s="257"/>
      <c r="BM101" s="272"/>
      <c r="BN101" s="114" t="str">
        <f t="shared" si="8"/>
        <v/>
      </c>
    </row>
    <row r="102" spans="1:66" x14ac:dyDescent="0.2">
      <c r="A102" s="255"/>
      <c r="B102" s="256"/>
      <c r="C102" s="257"/>
      <c r="D102" s="258"/>
      <c r="E102" s="207" t="str">
        <f t="shared" ref="E102:E133" si="9">CONCATENATE($J102," ",$I102)</f>
        <v xml:space="preserve"> </v>
      </c>
      <c r="F102" s="217" t="str">
        <f t="shared" ref="F102:F133" ca="1" si="10">IF(L102="","",DATEDIF(L102,TODAY(),"Y"))</f>
        <v/>
      </c>
      <c r="G102" s="256"/>
      <c r="H102" s="256"/>
      <c r="I102" s="256"/>
      <c r="J102" s="256"/>
      <c r="K102" s="256"/>
      <c r="L102" s="259"/>
      <c r="M102" s="256"/>
      <c r="N102" s="256"/>
      <c r="O102" s="256"/>
      <c r="P102" s="260"/>
      <c r="Q102" s="261"/>
      <c r="R102" s="267"/>
      <c r="S102" s="258"/>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3"/>
      <c r="AP102" s="263"/>
      <c r="AQ102" s="263"/>
      <c r="AR102" s="264"/>
      <c r="AS102" s="265"/>
      <c r="AT102" s="259"/>
      <c r="AU102" s="264"/>
      <c r="AV102" s="256"/>
      <c r="AW102" s="258"/>
      <c r="AX102" s="258"/>
      <c r="AY102" s="258"/>
      <c r="AZ102" s="258"/>
      <c r="BA102" s="256"/>
      <c r="BB102" s="256"/>
      <c r="BC102" s="258"/>
      <c r="BD102" s="266"/>
      <c r="BE102" s="258"/>
      <c r="BF102" s="265"/>
      <c r="BG102" s="265"/>
      <c r="BH102" s="265"/>
      <c r="BI102" s="257"/>
      <c r="BJ102" s="257"/>
      <c r="BK102" s="257"/>
      <c r="BL102" s="257"/>
      <c r="BM102" s="272"/>
      <c r="BN102" s="114" t="str">
        <f t="shared" ref="BN102:BN133" si="11">CONCATENATE(LEFT($J102), LEFT($I102))</f>
        <v/>
      </c>
    </row>
    <row r="103" spans="1:66" x14ac:dyDescent="0.2">
      <c r="A103" s="255"/>
      <c r="B103" s="256"/>
      <c r="C103" s="257"/>
      <c r="D103" s="258"/>
      <c r="E103" s="207" t="str">
        <f t="shared" si="9"/>
        <v xml:space="preserve"> </v>
      </c>
      <c r="F103" s="217" t="str">
        <f t="shared" ca="1" si="10"/>
        <v/>
      </c>
      <c r="G103" s="256"/>
      <c r="H103" s="256"/>
      <c r="I103" s="256"/>
      <c r="J103" s="256"/>
      <c r="K103" s="256"/>
      <c r="L103" s="259"/>
      <c r="M103" s="256"/>
      <c r="N103" s="256"/>
      <c r="O103" s="256"/>
      <c r="P103" s="260"/>
      <c r="Q103" s="261"/>
      <c r="R103" s="267"/>
      <c r="S103" s="258"/>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3"/>
      <c r="AP103" s="263"/>
      <c r="AQ103" s="263"/>
      <c r="AR103" s="264"/>
      <c r="AS103" s="265"/>
      <c r="AT103" s="259"/>
      <c r="AU103" s="264"/>
      <c r="AV103" s="256"/>
      <c r="AW103" s="258"/>
      <c r="AX103" s="258"/>
      <c r="AY103" s="258"/>
      <c r="AZ103" s="258"/>
      <c r="BA103" s="256"/>
      <c r="BB103" s="256"/>
      <c r="BC103" s="258"/>
      <c r="BD103" s="266"/>
      <c r="BE103" s="258"/>
      <c r="BF103" s="265"/>
      <c r="BG103" s="265"/>
      <c r="BH103" s="265"/>
      <c r="BI103" s="257"/>
      <c r="BJ103" s="257"/>
      <c r="BK103" s="257"/>
      <c r="BL103" s="257"/>
      <c r="BM103" s="272"/>
      <c r="BN103" s="114" t="str">
        <f t="shared" si="11"/>
        <v/>
      </c>
    </row>
    <row r="104" spans="1:66" x14ac:dyDescent="0.2">
      <c r="A104" s="255"/>
      <c r="B104" s="256"/>
      <c r="C104" s="257"/>
      <c r="D104" s="258"/>
      <c r="E104" s="207" t="str">
        <f t="shared" si="9"/>
        <v xml:space="preserve"> </v>
      </c>
      <c r="F104" s="217" t="str">
        <f t="shared" ca="1" si="10"/>
        <v/>
      </c>
      <c r="G104" s="256"/>
      <c r="H104" s="256"/>
      <c r="I104" s="256"/>
      <c r="J104" s="256"/>
      <c r="K104" s="256"/>
      <c r="L104" s="259"/>
      <c r="M104" s="256"/>
      <c r="N104" s="256"/>
      <c r="O104" s="256"/>
      <c r="P104" s="260"/>
      <c r="Q104" s="261"/>
      <c r="R104" s="267"/>
      <c r="S104" s="258"/>
      <c r="T104" s="262"/>
      <c r="U104" s="262"/>
      <c r="V104" s="262"/>
      <c r="W104" s="262"/>
      <c r="X104" s="262"/>
      <c r="Y104" s="262"/>
      <c r="Z104" s="262"/>
      <c r="AA104" s="262"/>
      <c r="AB104" s="262"/>
      <c r="AC104" s="262"/>
      <c r="AD104" s="262"/>
      <c r="AE104" s="262"/>
      <c r="AF104" s="262"/>
      <c r="AG104" s="262"/>
      <c r="AH104" s="262"/>
      <c r="AI104" s="262"/>
      <c r="AJ104" s="262"/>
      <c r="AK104" s="262"/>
      <c r="AL104" s="262"/>
      <c r="AM104" s="262"/>
      <c r="AN104" s="262"/>
      <c r="AO104" s="263"/>
      <c r="AP104" s="263"/>
      <c r="AQ104" s="263"/>
      <c r="AR104" s="264"/>
      <c r="AS104" s="265"/>
      <c r="AT104" s="259"/>
      <c r="AU104" s="264"/>
      <c r="AV104" s="256"/>
      <c r="AW104" s="258"/>
      <c r="AX104" s="258"/>
      <c r="AY104" s="258"/>
      <c r="AZ104" s="258"/>
      <c r="BA104" s="256"/>
      <c r="BB104" s="256"/>
      <c r="BC104" s="258"/>
      <c r="BD104" s="266"/>
      <c r="BE104" s="258"/>
      <c r="BF104" s="265"/>
      <c r="BG104" s="265"/>
      <c r="BH104" s="265"/>
      <c r="BI104" s="257"/>
      <c r="BJ104" s="257"/>
      <c r="BK104" s="257"/>
      <c r="BL104" s="257"/>
      <c r="BM104" s="272"/>
      <c r="BN104" s="114" t="str">
        <f t="shared" si="11"/>
        <v/>
      </c>
    </row>
    <row r="105" spans="1:66" x14ac:dyDescent="0.2">
      <c r="A105" s="255"/>
      <c r="B105" s="256"/>
      <c r="C105" s="257"/>
      <c r="D105" s="258"/>
      <c r="E105" s="207" t="str">
        <f t="shared" si="9"/>
        <v xml:space="preserve"> </v>
      </c>
      <c r="F105" s="217" t="str">
        <f t="shared" ca="1" si="10"/>
        <v/>
      </c>
      <c r="G105" s="256"/>
      <c r="H105" s="256"/>
      <c r="I105" s="256"/>
      <c r="J105" s="256"/>
      <c r="K105" s="256"/>
      <c r="L105" s="259"/>
      <c r="M105" s="256"/>
      <c r="N105" s="256"/>
      <c r="O105" s="256"/>
      <c r="P105" s="260"/>
      <c r="Q105" s="261"/>
      <c r="R105" s="267"/>
      <c r="S105" s="258"/>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3"/>
      <c r="AP105" s="263"/>
      <c r="AQ105" s="263"/>
      <c r="AR105" s="264"/>
      <c r="AS105" s="265"/>
      <c r="AT105" s="259"/>
      <c r="AU105" s="264"/>
      <c r="AV105" s="256"/>
      <c r="AW105" s="258"/>
      <c r="AX105" s="258"/>
      <c r="AY105" s="258"/>
      <c r="AZ105" s="258"/>
      <c r="BA105" s="256"/>
      <c r="BB105" s="256"/>
      <c r="BC105" s="258"/>
      <c r="BD105" s="266"/>
      <c r="BE105" s="258"/>
      <c r="BF105" s="265"/>
      <c r="BG105" s="265"/>
      <c r="BH105" s="265"/>
      <c r="BI105" s="257"/>
      <c r="BJ105" s="257"/>
      <c r="BK105" s="257"/>
      <c r="BL105" s="257"/>
      <c r="BM105" s="272"/>
      <c r="BN105" s="114" t="str">
        <f t="shared" si="11"/>
        <v/>
      </c>
    </row>
    <row r="106" spans="1:66" x14ac:dyDescent="0.2">
      <c r="A106" s="255"/>
      <c r="B106" s="256"/>
      <c r="C106" s="257"/>
      <c r="D106" s="258"/>
      <c r="E106" s="207" t="str">
        <f t="shared" si="9"/>
        <v xml:space="preserve"> </v>
      </c>
      <c r="F106" s="217" t="str">
        <f t="shared" ca="1" si="10"/>
        <v/>
      </c>
      <c r="G106" s="256"/>
      <c r="H106" s="256"/>
      <c r="I106" s="256"/>
      <c r="J106" s="256"/>
      <c r="K106" s="256"/>
      <c r="L106" s="259"/>
      <c r="M106" s="256"/>
      <c r="N106" s="256"/>
      <c r="O106" s="256"/>
      <c r="P106" s="260"/>
      <c r="Q106" s="261"/>
      <c r="R106" s="267"/>
      <c r="S106" s="258"/>
      <c r="T106" s="262"/>
      <c r="U106" s="262"/>
      <c r="V106" s="262"/>
      <c r="W106" s="262"/>
      <c r="X106" s="262"/>
      <c r="Y106" s="262"/>
      <c r="Z106" s="262"/>
      <c r="AA106" s="262"/>
      <c r="AB106" s="262"/>
      <c r="AC106" s="262"/>
      <c r="AD106" s="262"/>
      <c r="AE106" s="262"/>
      <c r="AF106" s="262"/>
      <c r="AG106" s="262"/>
      <c r="AH106" s="262"/>
      <c r="AI106" s="262"/>
      <c r="AJ106" s="262"/>
      <c r="AK106" s="262"/>
      <c r="AL106" s="262"/>
      <c r="AM106" s="262"/>
      <c r="AN106" s="262"/>
      <c r="AO106" s="263"/>
      <c r="AP106" s="263"/>
      <c r="AQ106" s="263"/>
      <c r="AR106" s="264"/>
      <c r="AS106" s="265"/>
      <c r="AT106" s="259"/>
      <c r="AU106" s="264"/>
      <c r="AV106" s="256"/>
      <c r="AW106" s="258"/>
      <c r="AX106" s="258"/>
      <c r="AY106" s="258"/>
      <c r="AZ106" s="258"/>
      <c r="BA106" s="256"/>
      <c r="BB106" s="256"/>
      <c r="BC106" s="258"/>
      <c r="BD106" s="266"/>
      <c r="BE106" s="258"/>
      <c r="BF106" s="265"/>
      <c r="BG106" s="265"/>
      <c r="BH106" s="265"/>
      <c r="BI106" s="257"/>
      <c r="BJ106" s="257"/>
      <c r="BK106" s="257"/>
      <c r="BL106" s="257"/>
      <c r="BM106" s="272"/>
      <c r="BN106" s="114" t="str">
        <f t="shared" si="11"/>
        <v/>
      </c>
    </row>
    <row r="107" spans="1:66" x14ac:dyDescent="0.2">
      <c r="A107" s="255"/>
      <c r="B107" s="256"/>
      <c r="C107" s="257"/>
      <c r="D107" s="258"/>
      <c r="E107" s="207" t="str">
        <f t="shared" si="9"/>
        <v xml:space="preserve"> </v>
      </c>
      <c r="F107" s="217" t="str">
        <f t="shared" ca="1" si="10"/>
        <v/>
      </c>
      <c r="G107" s="256"/>
      <c r="H107" s="256"/>
      <c r="I107" s="256"/>
      <c r="J107" s="256"/>
      <c r="K107" s="256"/>
      <c r="L107" s="259"/>
      <c r="M107" s="256"/>
      <c r="N107" s="256"/>
      <c r="O107" s="256"/>
      <c r="P107" s="260"/>
      <c r="Q107" s="261"/>
      <c r="R107" s="267"/>
      <c r="S107" s="258"/>
      <c r="T107" s="262"/>
      <c r="U107" s="262"/>
      <c r="V107" s="262"/>
      <c r="W107" s="262"/>
      <c r="X107" s="262"/>
      <c r="Y107" s="262"/>
      <c r="Z107" s="262"/>
      <c r="AA107" s="262"/>
      <c r="AB107" s="262"/>
      <c r="AC107" s="262"/>
      <c r="AD107" s="262"/>
      <c r="AE107" s="262"/>
      <c r="AF107" s="262"/>
      <c r="AG107" s="262"/>
      <c r="AH107" s="262"/>
      <c r="AI107" s="262"/>
      <c r="AJ107" s="262"/>
      <c r="AK107" s="262"/>
      <c r="AL107" s="262"/>
      <c r="AM107" s="262"/>
      <c r="AN107" s="262"/>
      <c r="AO107" s="263"/>
      <c r="AP107" s="263"/>
      <c r="AQ107" s="263"/>
      <c r="AR107" s="264"/>
      <c r="AS107" s="265"/>
      <c r="AT107" s="259"/>
      <c r="AU107" s="264"/>
      <c r="AV107" s="256"/>
      <c r="AW107" s="258"/>
      <c r="AX107" s="258"/>
      <c r="AY107" s="258"/>
      <c r="AZ107" s="258"/>
      <c r="BA107" s="256"/>
      <c r="BB107" s="256"/>
      <c r="BC107" s="258"/>
      <c r="BD107" s="266"/>
      <c r="BE107" s="258"/>
      <c r="BF107" s="265"/>
      <c r="BG107" s="265"/>
      <c r="BH107" s="265"/>
      <c r="BI107" s="257"/>
      <c r="BJ107" s="257"/>
      <c r="BK107" s="257"/>
      <c r="BL107" s="257"/>
      <c r="BM107" s="272"/>
      <c r="BN107" s="114" t="str">
        <f t="shared" si="11"/>
        <v/>
      </c>
    </row>
    <row r="108" spans="1:66" x14ac:dyDescent="0.2">
      <c r="A108" s="255"/>
      <c r="B108" s="256"/>
      <c r="C108" s="257"/>
      <c r="D108" s="258"/>
      <c r="E108" s="207" t="str">
        <f t="shared" si="9"/>
        <v xml:space="preserve"> </v>
      </c>
      <c r="F108" s="217" t="str">
        <f t="shared" ca="1" si="10"/>
        <v/>
      </c>
      <c r="G108" s="256"/>
      <c r="H108" s="256"/>
      <c r="I108" s="256"/>
      <c r="J108" s="256"/>
      <c r="K108" s="256"/>
      <c r="L108" s="259"/>
      <c r="M108" s="256"/>
      <c r="N108" s="256"/>
      <c r="O108" s="256"/>
      <c r="P108" s="260"/>
      <c r="Q108" s="261"/>
      <c r="R108" s="267"/>
      <c r="S108" s="258"/>
      <c r="T108" s="262"/>
      <c r="U108" s="262"/>
      <c r="V108" s="262"/>
      <c r="W108" s="262"/>
      <c r="X108" s="262"/>
      <c r="Y108" s="262"/>
      <c r="Z108" s="262"/>
      <c r="AA108" s="262"/>
      <c r="AB108" s="262"/>
      <c r="AC108" s="262"/>
      <c r="AD108" s="262"/>
      <c r="AE108" s="262"/>
      <c r="AF108" s="262"/>
      <c r="AG108" s="262"/>
      <c r="AH108" s="262"/>
      <c r="AI108" s="262"/>
      <c r="AJ108" s="262"/>
      <c r="AK108" s="262"/>
      <c r="AL108" s="262"/>
      <c r="AM108" s="262"/>
      <c r="AN108" s="262"/>
      <c r="AO108" s="263"/>
      <c r="AP108" s="263"/>
      <c r="AQ108" s="263"/>
      <c r="AR108" s="264"/>
      <c r="AS108" s="265"/>
      <c r="AT108" s="259"/>
      <c r="AU108" s="264"/>
      <c r="AV108" s="256"/>
      <c r="AW108" s="258"/>
      <c r="AX108" s="258"/>
      <c r="AY108" s="258"/>
      <c r="AZ108" s="258"/>
      <c r="BA108" s="256"/>
      <c r="BB108" s="256"/>
      <c r="BC108" s="258"/>
      <c r="BD108" s="266"/>
      <c r="BE108" s="258"/>
      <c r="BF108" s="265"/>
      <c r="BG108" s="265"/>
      <c r="BH108" s="265"/>
      <c r="BI108" s="257"/>
      <c r="BJ108" s="257"/>
      <c r="BK108" s="257"/>
      <c r="BL108" s="257"/>
      <c r="BM108" s="272"/>
      <c r="BN108" s="114" t="str">
        <f t="shared" si="11"/>
        <v/>
      </c>
    </row>
    <row r="109" spans="1:66" x14ac:dyDescent="0.2">
      <c r="A109" s="255"/>
      <c r="B109" s="256"/>
      <c r="C109" s="257"/>
      <c r="D109" s="258"/>
      <c r="E109" s="207" t="str">
        <f t="shared" si="9"/>
        <v xml:space="preserve"> </v>
      </c>
      <c r="F109" s="217" t="str">
        <f t="shared" ca="1" si="10"/>
        <v/>
      </c>
      <c r="G109" s="256"/>
      <c r="H109" s="256"/>
      <c r="I109" s="256"/>
      <c r="J109" s="256"/>
      <c r="K109" s="256"/>
      <c r="L109" s="259"/>
      <c r="M109" s="256"/>
      <c r="N109" s="256"/>
      <c r="O109" s="256"/>
      <c r="P109" s="260"/>
      <c r="Q109" s="261"/>
      <c r="R109" s="267"/>
      <c r="S109" s="258"/>
      <c r="T109" s="262"/>
      <c r="U109" s="262"/>
      <c r="V109" s="262"/>
      <c r="W109" s="262"/>
      <c r="X109" s="262"/>
      <c r="Y109" s="262"/>
      <c r="Z109" s="262"/>
      <c r="AA109" s="262"/>
      <c r="AB109" s="262"/>
      <c r="AC109" s="262"/>
      <c r="AD109" s="262"/>
      <c r="AE109" s="262"/>
      <c r="AF109" s="262"/>
      <c r="AG109" s="262"/>
      <c r="AH109" s="262"/>
      <c r="AI109" s="262"/>
      <c r="AJ109" s="262"/>
      <c r="AK109" s="262"/>
      <c r="AL109" s="262"/>
      <c r="AM109" s="262"/>
      <c r="AN109" s="262"/>
      <c r="AO109" s="263"/>
      <c r="AP109" s="263"/>
      <c r="AQ109" s="263"/>
      <c r="AR109" s="264"/>
      <c r="AS109" s="265"/>
      <c r="AT109" s="259"/>
      <c r="AU109" s="264"/>
      <c r="AV109" s="256"/>
      <c r="AW109" s="258"/>
      <c r="AX109" s="258"/>
      <c r="AY109" s="258"/>
      <c r="AZ109" s="258"/>
      <c r="BA109" s="256"/>
      <c r="BB109" s="256"/>
      <c r="BC109" s="258"/>
      <c r="BD109" s="266"/>
      <c r="BE109" s="258"/>
      <c r="BF109" s="265"/>
      <c r="BG109" s="265"/>
      <c r="BH109" s="265"/>
      <c r="BI109" s="257"/>
      <c r="BJ109" s="257"/>
      <c r="BK109" s="257"/>
      <c r="BL109" s="257"/>
      <c r="BM109" s="272"/>
      <c r="BN109" s="114" t="str">
        <f t="shared" si="11"/>
        <v/>
      </c>
    </row>
    <row r="110" spans="1:66" x14ac:dyDescent="0.2">
      <c r="A110" s="255"/>
      <c r="B110" s="256"/>
      <c r="C110" s="257"/>
      <c r="D110" s="258"/>
      <c r="E110" s="207" t="str">
        <f t="shared" si="9"/>
        <v xml:space="preserve"> </v>
      </c>
      <c r="F110" s="217" t="str">
        <f t="shared" ca="1" si="10"/>
        <v/>
      </c>
      <c r="G110" s="256"/>
      <c r="H110" s="256"/>
      <c r="I110" s="256"/>
      <c r="J110" s="256"/>
      <c r="K110" s="256"/>
      <c r="L110" s="259"/>
      <c r="M110" s="256"/>
      <c r="N110" s="256"/>
      <c r="O110" s="256"/>
      <c r="P110" s="260"/>
      <c r="Q110" s="261"/>
      <c r="R110" s="267"/>
      <c r="S110" s="258"/>
      <c r="T110" s="262"/>
      <c r="U110" s="262"/>
      <c r="V110" s="262"/>
      <c r="W110" s="262"/>
      <c r="X110" s="262"/>
      <c r="Y110" s="262"/>
      <c r="Z110" s="262"/>
      <c r="AA110" s="262"/>
      <c r="AB110" s="262"/>
      <c r="AC110" s="262"/>
      <c r="AD110" s="262"/>
      <c r="AE110" s="262"/>
      <c r="AF110" s="262"/>
      <c r="AG110" s="262"/>
      <c r="AH110" s="262"/>
      <c r="AI110" s="262"/>
      <c r="AJ110" s="262"/>
      <c r="AK110" s="262"/>
      <c r="AL110" s="262"/>
      <c r="AM110" s="262"/>
      <c r="AN110" s="262"/>
      <c r="AO110" s="263"/>
      <c r="AP110" s="263"/>
      <c r="AQ110" s="263"/>
      <c r="AR110" s="264"/>
      <c r="AS110" s="265"/>
      <c r="AT110" s="259"/>
      <c r="AU110" s="264"/>
      <c r="AV110" s="256"/>
      <c r="AW110" s="258"/>
      <c r="AX110" s="258"/>
      <c r="AY110" s="258"/>
      <c r="AZ110" s="258"/>
      <c r="BA110" s="256"/>
      <c r="BB110" s="256"/>
      <c r="BC110" s="258"/>
      <c r="BD110" s="266"/>
      <c r="BE110" s="258"/>
      <c r="BF110" s="265"/>
      <c r="BG110" s="265"/>
      <c r="BH110" s="265"/>
      <c r="BI110" s="257"/>
      <c r="BJ110" s="257"/>
      <c r="BK110" s="257"/>
      <c r="BL110" s="257"/>
      <c r="BM110" s="272"/>
      <c r="BN110" s="114" t="str">
        <f t="shared" si="11"/>
        <v/>
      </c>
    </row>
    <row r="111" spans="1:66" x14ac:dyDescent="0.2">
      <c r="A111" s="255"/>
      <c r="B111" s="256"/>
      <c r="C111" s="257"/>
      <c r="D111" s="258"/>
      <c r="E111" s="207" t="str">
        <f t="shared" si="9"/>
        <v xml:space="preserve"> </v>
      </c>
      <c r="F111" s="217" t="str">
        <f t="shared" ca="1" si="10"/>
        <v/>
      </c>
      <c r="G111" s="256"/>
      <c r="H111" s="256"/>
      <c r="I111" s="256"/>
      <c r="J111" s="256"/>
      <c r="K111" s="256"/>
      <c r="L111" s="259"/>
      <c r="M111" s="256"/>
      <c r="N111" s="256"/>
      <c r="O111" s="256"/>
      <c r="P111" s="260"/>
      <c r="Q111" s="261"/>
      <c r="R111" s="267"/>
      <c r="S111" s="258"/>
      <c r="T111" s="262"/>
      <c r="U111" s="262"/>
      <c r="V111" s="262"/>
      <c r="W111" s="262"/>
      <c r="X111" s="262"/>
      <c r="Y111" s="262"/>
      <c r="Z111" s="262"/>
      <c r="AA111" s="262"/>
      <c r="AB111" s="262"/>
      <c r="AC111" s="262"/>
      <c r="AD111" s="262"/>
      <c r="AE111" s="262"/>
      <c r="AF111" s="262"/>
      <c r="AG111" s="262"/>
      <c r="AH111" s="262"/>
      <c r="AI111" s="262"/>
      <c r="AJ111" s="262"/>
      <c r="AK111" s="262"/>
      <c r="AL111" s="262"/>
      <c r="AM111" s="262"/>
      <c r="AN111" s="262"/>
      <c r="AO111" s="263"/>
      <c r="AP111" s="263"/>
      <c r="AQ111" s="263"/>
      <c r="AR111" s="264"/>
      <c r="AS111" s="265"/>
      <c r="AT111" s="259"/>
      <c r="AU111" s="264"/>
      <c r="AV111" s="256"/>
      <c r="AW111" s="258"/>
      <c r="AX111" s="258"/>
      <c r="AY111" s="258"/>
      <c r="AZ111" s="258"/>
      <c r="BA111" s="256"/>
      <c r="BB111" s="256"/>
      <c r="BC111" s="258"/>
      <c r="BD111" s="266"/>
      <c r="BE111" s="258"/>
      <c r="BF111" s="265"/>
      <c r="BG111" s="265"/>
      <c r="BH111" s="265"/>
      <c r="BI111" s="257"/>
      <c r="BJ111" s="257"/>
      <c r="BK111" s="257"/>
      <c r="BL111" s="257"/>
      <c r="BM111" s="272"/>
      <c r="BN111" s="114" t="str">
        <f t="shared" si="11"/>
        <v/>
      </c>
    </row>
    <row r="112" spans="1:66" x14ac:dyDescent="0.2">
      <c r="A112" s="255"/>
      <c r="B112" s="256"/>
      <c r="C112" s="257"/>
      <c r="D112" s="258"/>
      <c r="E112" s="207" t="str">
        <f t="shared" si="9"/>
        <v xml:space="preserve"> </v>
      </c>
      <c r="F112" s="217" t="str">
        <f t="shared" ca="1" si="10"/>
        <v/>
      </c>
      <c r="G112" s="256"/>
      <c r="H112" s="256"/>
      <c r="I112" s="256"/>
      <c r="J112" s="256"/>
      <c r="K112" s="256"/>
      <c r="L112" s="259"/>
      <c r="M112" s="256"/>
      <c r="N112" s="256"/>
      <c r="O112" s="256"/>
      <c r="P112" s="260"/>
      <c r="Q112" s="261"/>
      <c r="R112" s="267"/>
      <c r="S112" s="258"/>
      <c r="T112" s="262"/>
      <c r="U112" s="262"/>
      <c r="V112" s="262"/>
      <c r="W112" s="262"/>
      <c r="X112" s="262"/>
      <c r="Y112" s="262"/>
      <c r="Z112" s="262"/>
      <c r="AA112" s="262"/>
      <c r="AB112" s="262"/>
      <c r="AC112" s="262"/>
      <c r="AD112" s="262"/>
      <c r="AE112" s="262"/>
      <c r="AF112" s="262"/>
      <c r="AG112" s="262"/>
      <c r="AH112" s="262"/>
      <c r="AI112" s="262"/>
      <c r="AJ112" s="262"/>
      <c r="AK112" s="262"/>
      <c r="AL112" s="262"/>
      <c r="AM112" s="262"/>
      <c r="AN112" s="262"/>
      <c r="AO112" s="263"/>
      <c r="AP112" s="263"/>
      <c r="AQ112" s="263"/>
      <c r="AR112" s="264"/>
      <c r="AS112" s="265"/>
      <c r="AT112" s="259"/>
      <c r="AU112" s="264"/>
      <c r="AV112" s="256"/>
      <c r="AW112" s="258"/>
      <c r="AX112" s="258"/>
      <c r="AY112" s="258"/>
      <c r="AZ112" s="258"/>
      <c r="BA112" s="256"/>
      <c r="BB112" s="256"/>
      <c r="BC112" s="258"/>
      <c r="BD112" s="266"/>
      <c r="BE112" s="258"/>
      <c r="BF112" s="265"/>
      <c r="BG112" s="265"/>
      <c r="BH112" s="265"/>
      <c r="BI112" s="257"/>
      <c r="BJ112" s="257"/>
      <c r="BK112" s="257"/>
      <c r="BL112" s="257"/>
      <c r="BM112" s="272"/>
      <c r="BN112" s="114" t="str">
        <f t="shared" si="11"/>
        <v/>
      </c>
    </row>
    <row r="113" spans="1:66" x14ac:dyDescent="0.2">
      <c r="A113" s="255"/>
      <c r="B113" s="256"/>
      <c r="C113" s="257"/>
      <c r="D113" s="258"/>
      <c r="E113" s="207" t="str">
        <f t="shared" si="9"/>
        <v xml:space="preserve"> </v>
      </c>
      <c r="F113" s="217" t="str">
        <f t="shared" ca="1" si="10"/>
        <v/>
      </c>
      <c r="G113" s="256"/>
      <c r="H113" s="256"/>
      <c r="I113" s="256"/>
      <c r="J113" s="256"/>
      <c r="K113" s="256"/>
      <c r="L113" s="259"/>
      <c r="M113" s="256"/>
      <c r="N113" s="256"/>
      <c r="O113" s="256"/>
      <c r="P113" s="260"/>
      <c r="Q113" s="261"/>
      <c r="R113" s="267"/>
      <c r="S113" s="258"/>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3"/>
      <c r="AP113" s="263"/>
      <c r="AQ113" s="263"/>
      <c r="AR113" s="264"/>
      <c r="AS113" s="265"/>
      <c r="AT113" s="259"/>
      <c r="AU113" s="264"/>
      <c r="AV113" s="256"/>
      <c r="AW113" s="258"/>
      <c r="AX113" s="258"/>
      <c r="AY113" s="258"/>
      <c r="AZ113" s="258"/>
      <c r="BA113" s="256"/>
      <c r="BB113" s="256"/>
      <c r="BC113" s="258"/>
      <c r="BD113" s="266"/>
      <c r="BE113" s="258"/>
      <c r="BF113" s="265"/>
      <c r="BG113" s="265"/>
      <c r="BH113" s="265"/>
      <c r="BI113" s="257"/>
      <c r="BJ113" s="257"/>
      <c r="BK113" s="257"/>
      <c r="BL113" s="257"/>
      <c r="BM113" s="272"/>
      <c r="BN113" s="114" t="str">
        <f t="shared" si="11"/>
        <v/>
      </c>
    </row>
    <row r="114" spans="1:66" x14ac:dyDescent="0.2">
      <c r="A114" s="255"/>
      <c r="B114" s="256"/>
      <c r="C114" s="257"/>
      <c r="D114" s="258"/>
      <c r="E114" s="207" t="str">
        <f t="shared" si="9"/>
        <v xml:space="preserve"> </v>
      </c>
      <c r="F114" s="217" t="str">
        <f t="shared" ca="1" si="10"/>
        <v/>
      </c>
      <c r="G114" s="256"/>
      <c r="H114" s="256"/>
      <c r="I114" s="256"/>
      <c r="J114" s="256"/>
      <c r="K114" s="256"/>
      <c r="L114" s="259"/>
      <c r="M114" s="256"/>
      <c r="N114" s="256"/>
      <c r="O114" s="256"/>
      <c r="P114" s="260"/>
      <c r="Q114" s="261"/>
      <c r="R114" s="267"/>
      <c r="S114" s="258"/>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3"/>
      <c r="AP114" s="263"/>
      <c r="AQ114" s="263"/>
      <c r="AR114" s="264"/>
      <c r="AS114" s="265"/>
      <c r="AT114" s="259"/>
      <c r="AU114" s="264"/>
      <c r="AV114" s="256"/>
      <c r="AW114" s="258"/>
      <c r="AX114" s="258"/>
      <c r="AY114" s="258"/>
      <c r="AZ114" s="258"/>
      <c r="BA114" s="256"/>
      <c r="BB114" s="256"/>
      <c r="BC114" s="258"/>
      <c r="BD114" s="266"/>
      <c r="BE114" s="258"/>
      <c r="BF114" s="265"/>
      <c r="BG114" s="265"/>
      <c r="BH114" s="265"/>
      <c r="BI114" s="257"/>
      <c r="BJ114" s="257"/>
      <c r="BK114" s="257"/>
      <c r="BL114" s="257"/>
      <c r="BM114" s="272"/>
      <c r="BN114" s="114" t="str">
        <f t="shared" si="11"/>
        <v/>
      </c>
    </row>
    <row r="115" spans="1:66" x14ac:dyDescent="0.2">
      <c r="A115" s="255"/>
      <c r="B115" s="256"/>
      <c r="C115" s="257"/>
      <c r="D115" s="258"/>
      <c r="E115" s="207" t="str">
        <f t="shared" si="9"/>
        <v xml:space="preserve"> </v>
      </c>
      <c r="F115" s="217" t="str">
        <f t="shared" ca="1" si="10"/>
        <v/>
      </c>
      <c r="G115" s="256"/>
      <c r="H115" s="256"/>
      <c r="I115" s="256"/>
      <c r="J115" s="256"/>
      <c r="K115" s="256"/>
      <c r="L115" s="259"/>
      <c r="M115" s="256"/>
      <c r="N115" s="256"/>
      <c r="O115" s="256"/>
      <c r="P115" s="260"/>
      <c r="Q115" s="261"/>
      <c r="R115" s="267"/>
      <c r="S115" s="258"/>
      <c r="T115" s="262"/>
      <c r="U115" s="262"/>
      <c r="V115" s="262"/>
      <c r="W115" s="262"/>
      <c r="X115" s="262"/>
      <c r="Y115" s="262"/>
      <c r="Z115" s="262"/>
      <c r="AA115" s="262"/>
      <c r="AB115" s="262"/>
      <c r="AC115" s="262"/>
      <c r="AD115" s="262"/>
      <c r="AE115" s="262"/>
      <c r="AF115" s="262"/>
      <c r="AG115" s="262"/>
      <c r="AH115" s="262"/>
      <c r="AI115" s="262"/>
      <c r="AJ115" s="262"/>
      <c r="AK115" s="262"/>
      <c r="AL115" s="262"/>
      <c r="AM115" s="262"/>
      <c r="AN115" s="262"/>
      <c r="AO115" s="263"/>
      <c r="AP115" s="263"/>
      <c r="AQ115" s="263"/>
      <c r="AR115" s="264"/>
      <c r="AS115" s="265"/>
      <c r="AT115" s="259"/>
      <c r="AU115" s="264"/>
      <c r="AV115" s="256"/>
      <c r="AW115" s="258"/>
      <c r="AX115" s="258"/>
      <c r="AY115" s="258"/>
      <c r="AZ115" s="258"/>
      <c r="BA115" s="256"/>
      <c r="BB115" s="256"/>
      <c r="BC115" s="258"/>
      <c r="BD115" s="266"/>
      <c r="BE115" s="258"/>
      <c r="BF115" s="265"/>
      <c r="BG115" s="265"/>
      <c r="BH115" s="265"/>
      <c r="BI115" s="257"/>
      <c r="BJ115" s="257"/>
      <c r="BK115" s="257"/>
      <c r="BL115" s="257"/>
      <c r="BM115" s="272"/>
      <c r="BN115" s="114" t="str">
        <f t="shared" si="11"/>
        <v/>
      </c>
    </row>
    <row r="116" spans="1:66" x14ac:dyDescent="0.2">
      <c r="A116" s="255"/>
      <c r="B116" s="256"/>
      <c r="C116" s="257"/>
      <c r="D116" s="258"/>
      <c r="E116" s="207" t="str">
        <f t="shared" si="9"/>
        <v xml:space="preserve"> </v>
      </c>
      <c r="F116" s="217" t="str">
        <f t="shared" ca="1" si="10"/>
        <v/>
      </c>
      <c r="G116" s="256"/>
      <c r="H116" s="256"/>
      <c r="I116" s="256"/>
      <c r="J116" s="256"/>
      <c r="K116" s="256"/>
      <c r="L116" s="259"/>
      <c r="M116" s="256"/>
      <c r="N116" s="256"/>
      <c r="O116" s="256"/>
      <c r="P116" s="260"/>
      <c r="Q116" s="261"/>
      <c r="R116" s="267"/>
      <c r="S116" s="258"/>
      <c r="T116" s="262"/>
      <c r="U116" s="262"/>
      <c r="V116" s="262"/>
      <c r="W116" s="262"/>
      <c r="X116" s="262"/>
      <c r="Y116" s="262"/>
      <c r="Z116" s="262"/>
      <c r="AA116" s="262"/>
      <c r="AB116" s="262"/>
      <c r="AC116" s="262"/>
      <c r="AD116" s="262"/>
      <c r="AE116" s="262"/>
      <c r="AF116" s="262"/>
      <c r="AG116" s="262"/>
      <c r="AH116" s="262"/>
      <c r="AI116" s="262"/>
      <c r="AJ116" s="262"/>
      <c r="AK116" s="262"/>
      <c r="AL116" s="262"/>
      <c r="AM116" s="262"/>
      <c r="AN116" s="262"/>
      <c r="AO116" s="263"/>
      <c r="AP116" s="263"/>
      <c r="AQ116" s="263"/>
      <c r="AR116" s="264"/>
      <c r="AS116" s="265"/>
      <c r="AT116" s="259"/>
      <c r="AU116" s="264"/>
      <c r="AV116" s="256"/>
      <c r="AW116" s="258"/>
      <c r="AX116" s="258"/>
      <c r="AY116" s="258"/>
      <c r="AZ116" s="258"/>
      <c r="BA116" s="256"/>
      <c r="BB116" s="256"/>
      <c r="BC116" s="258"/>
      <c r="BD116" s="266"/>
      <c r="BE116" s="258"/>
      <c r="BF116" s="265"/>
      <c r="BG116" s="265"/>
      <c r="BH116" s="265"/>
      <c r="BI116" s="257"/>
      <c r="BJ116" s="257"/>
      <c r="BK116" s="257"/>
      <c r="BL116" s="257"/>
      <c r="BM116" s="272"/>
      <c r="BN116" s="114" t="str">
        <f t="shared" si="11"/>
        <v/>
      </c>
    </row>
    <row r="117" spans="1:66" x14ac:dyDescent="0.2">
      <c r="A117" s="255"/>
      <c r="B117" s="256"/>
      <c r="C117" s="257"/>
      <c r="D117" s="258"/>
      <c r="E117" s="207" t="str">
        <f t="shared" si="9"/>
        <v xml:space="preserve"> </v>
      </c>
      <c r="F117" s="217" t="str">
        <f t="shared" ca="1" si="10"/>
        <v/>
      </c>
      <c r="G117" s="256"/>
      <c r="H117" s="256"/>
      <c r="I117" s="256"/>
      <c r="J117" s="256"/>
      <c r="K117" s="256"/>
      <c r="L117" s="259"/>
      <c r="M117" s="256"/>
      <c r="N117" s="256"/>
      <c r="O117" s="256"/>
      <c r="P117" s="260"/>
      <c r="Q117" s="261"/>
      <c r="R117" s="267"/>
      <c r="S117" s="258"/>
      <c r="T117" s="262"/>
      <c r="U117" s="262"/>
      <c r="V117" s="262"/>
      <c r="W117" s="262"/>
      <c r="X117" s="262"/>
      <c r="Y117" s="262"/>
      <c r="Z117" s="262"/>
      <c r="AA117" s="262"/>
      <c r="AB117" s="262"/>
      <c r="AC117" s="262"/>
      <c r="AD117" s="262"/>
      <c r="AE117" s="262"/>
      <c r="AF117" s="262"/>
      <c r="AG117" s="262"/>
      <c r="AH117" s="262"/>
      <c r="AI117" s="262"/>
      <c r="AJ117" s="262"/>
      <c r="AK117" s="262"/>
      <c r="AL117" s="262"/>
      <c r="AM117" s="262"/>
      <c r="AN117" s="262"/>
      <c r="AO117" s="263"/>
      <c r="AP117" s="263"/>
      <c r="AQ117" s="263"/>
      <c r="AR117" s="264"/>
      <c r="AS117" s="265"/>
      <c r="AT117" s="259"/>
      <c r="AU117" s="264"/>
      <c r="AV117" s="256"/>
      <c r="AW117" s="258"/>
      <c r="AX117" s="258"/>
      <c r="AY117" s="258"/>
      <c r="AZ117" s="258"/>
      <c r="BA117" s="256"/>
      <c r="BB117" s="256"/>
      <c r="BC117" s="258"/>
      <c r="BD117" s="266"/>
      <c r="BE117" s="258"/>
      <c r="BF117" s="265"/>
      <c r="BG117" s="265"/>
      <c r="BH117" s="265"/>
      <c r="BI117" s="257"/>
      <c r="BJ117" s="257"/>
      <c r="BK117" s="257"/>
      <c r="BL117" s="257"/>
      <c r="BM117" s="272"/>
      <c r="BN117" s="114" t="str">
        <f t="shared" si="11"/>
        <v/>
      </c>
    </row>
    <row r="118" spans="1:66" x14ac:dyDescent="0.2">
      <c r="A118" s="255"/>
      <c r="B118" s="256"/>
      <c r="C118" s="257"/>
      <c r="D118" s="258"/>
      <c r="E118" s="207" t="str">
        <f t="shared" si="9"/>
        <v xml:space="preserve"> </v>
      </c>
      <c r="F118" s="217" t="str">
        <f t="shared" ca="1" si="10"/>
        <v/>
      </c>
      <c r="G118" s="256"/>
      <c r="H118" s="256"/>
      <c r="I118" s="256"/>
      <c r="J118" s="256"/>
      <c r="K118" s="256"/>
      <c r="L118" s="259"/>
      <c r="M118" s="256"/>
      <c r="N118" s="256"/>
      <c r="O118" s="256"/>
      <c r="P118" s="260"/>
      <c r="Q118" s="261"/>
      <c r="R118" s="267"/>
      <c r="S118" s="258"/>
      <c r="T118" s="262"/>
      <c r="U118" s="262"/>
      <c r="V118" s="262"/>
      <c r="W118" s="262"/>
      <c r="X118" s="262"/>
      <c r="Y118" s="262"/>
      <c r="Z118" s="262"/>
      <c r="AA118" s="262"/>
      <c r="AB118" s="262"/>
      <c r="AC118" s="262"/>
      <c r="AD118" s="262"/>
      <c r="AE118" s="262"/>
      <c r="AF118" s="262"/>
      <c r="AG118" s="262"/>
      <c r="AH118" s="262"/>
      <c r="AI118" s="262"/>
      <c r="AJ118" s="262"/>
      <c r="AK118" s="262"/>
      <c r="AL118" s="262"/>
      <c r="AM118" s="262"/>
      <c r="AN118" s="262"/>
      <c r="AO118" s="263"/>
      <c r="AP118" s="263"/>
      <c r="AQ118" s="263"/>
      <c r="AR118" s="264"/>
      <c r="AS118" s="265"/>
      <c r="AT118" s="259"/>
      <c r="AU118" s="264"/>
      <c r="AV118" s="256"/>
      <c r="AW118" s="258"/>
      <c r="AX118" s="258"/>
      <c r="AY118" s="258"/>
      <c r="AZ118" s="258"/>
      <c r="BA118" s="256"/>
      <c r="BB118" s="256"/>
      <c r="BC118" s="258"/>
      <c r="BD118" s="266"/>
      <c r="BE118" s="258"/>
      <c r="BF118" s="265"/>
      <c r="BG118" s="265"/>
      <c r="BH118" s="265"/>
      <c r="BI118" s="257"/>
      <c r="BJ118" s="257"/>
      <c r="BK118" s="257"/>
      <c r="BL118" s="257"/>
      <c r="BM118" s="272"/>
      <c r="BN118" s="114" t="str">
        <f t="shared" si="11"/>
        <v/>
      </c>
    </row>
    <row r="119" spans="1:66" x14ac:dyDescent="0.2">
      <c r="A119" s="255"/>
      <c r="B119" s="256"/>
      <c r="C119" s="257"/>
      <c r="D119" s="258"/>
      <c r="E119" s="207" t="str">
        <f t="shared" si="9"/>
        <v xml:space="preserve"> </v>
      </c>
      <c r="F119" s="217" t="str">
        <f t="shared" ca="1" si="10"/>
        <v/>
      </c>
      <c r="G119" s="256"/>
      <c r="H119" s="256"/>
      <c r="I119" s="256"/>
      <c r="J119" s="256"/>
      <c r="K119" s="256"/>
      <c r="L119" s="259"/>
      <c r="M119" s="256"/>
      <c r="N119" s="256"/>
      <c r="O119" s="256"/>
      <c r="P119" s="260"/>
      <c r="Q119" s="261"/>
      <c r="R119" s="267"/>
      <c r="S119" s="258"/>
      <c r="T119" s="262"/>
      <c r="U119" s="262"/>
      <c r="V119" s="262"/>
      <c r="W119" s="262"/>
      <c r="X119" s="262"/>
      <c r="Y119" s="262"/>
      <c r="Z119" s="262"/>
      <c r="AA119" s="262"/>
      <c r="AB119" s="262"/>
      <c r="AC119" s="262"/>
      <c r="AD119" s="262"/>
      <c r="AE119" s="262"/>
      <c r="AF119" s="262"/>
      <c r="AG119" s="262"/>
      <c r="AH119" s="262"/>
      <c r="AI119" s="262"/>
      <c r="AJ119" s="262"/>
      <c r="AK119" s="262"/>
      <c r="AL119" s="262"/>
      <c r="AM119" s="262"/>
      <c r="AN119" s="262"/>
      <c r="AO119" s="263"/>
      <c r="AP119" s="263"/>
      <c r="AQ119" s="263"/>
      <c r="AR119" s="264"/>
      <c r="AS119" s="265"/>
      <c r="AT119" s="259"/>
      <c r="AU119" s="264"/>
      <c r="AV119" s="256"/>
      <c r="AW119" s="258"/>
      <c r="AX119" s="258"/>
      <c r="AY119" s="258"/>
      <c r="AZ119" s="258"/>
      <c r="BA119" s="256"/>
      <c r="BB119" s="256"/>
      <c r="BC119" s="258"/>
      <c r="BD119" s="266"/>
      <c r="BE119" s="258"/>
      <c r="BF119" s="265"/>
      <c r="BG119" s="265"/>
      <c r="BH119" s="265"/>
      <c r="BI119" s="257"/>
      <c r="BJ119" s="257"/>
      <c r="BK119" s="257"/>
      <c r="BL119" s="257"/>
      <c r="BM119" s="272"/>
      <c r="BN119" s="114" t="str">
        <f t="shared" si="11"/>
        <v/>
      </c>
    </row>
    <row r="120" spans="1:66" x14ac:dyDescent="0.2">
      <c r="A120" s="255"/>
      <c r="B120" s="256"/>
      <c r="C120" s="257"/>
      <c r="D120" s="258"/>
      <c r="E120" s="207" t="str">
        <f t="shared" si="9"/>
        <v xml:space="preserve"> </v>
      </c>
      <c r="F120" s="217" t="str">
        <f t="shared" ca="1" si="10"/>
        <v/>
      </c>
      <c r="G120" s="256"/>
      <c r="H120" s="256"/>
      <c r="I120" s="256"/>
      <c r="J120" s="256"/>
      <c r="K120" s="256"/>
      <c r="L120" s="259"/>
      <c r="M120" s="256"/>
      <c r="N120" s="256"/>
      <c r="O120" s="256"/>
      <c r="P120" s="260"/>
      <c r="Q120" s="261"/>
      <c r="R120" s="267"/>
      <c r="S120" s="258"/>
      <c r="T120" s="262"/>
      <c r="U120" s="262"/>
      <c r="V120" s="262"/>
      <c r="W120" s="262"/>
      <c r="X120" s="262"/>
      <c r="Y120" s="262"/>
      <c r="Z120" s="262"/>
      <c r="AA120" s="262"/>
      <c r="AB120" s="262"/>
      <c r="AC120" s="262"/>
      <c r="AD120" s="262"/>
      <c r="AE120" s="262"/>
      <c r="AF120" s="262"/>
      <c r="AG120" s="262"/>
      <c r="AH120" s="262"/>
      <c r="AI120" s="262"/>
      <c r="AJ120" s="262"/>
      <c r="AK120" s="262"/>
      <c r="AL120" s="262"/>
      <c r="AM120" s="262"/>
      <c r="AN120" s="262"/>
      <c r="AO120" s="263"/>
      <c r="AP120" s="263"/>
      <c r="AQ120" s="263"/>
      <c r="AR120" s="264"/>
      <c r="AS120" s="265"/>
      <c r="AT120" s="259"/>
      <c r="AU120" s="264"/>
      <c r="AV120" s="256"/>
      <c r="AW120" s="258"/>
      <c r="AX120" s="258"/>
      <c r="AY120" s="258"/>
      <c r="AZ120" s="258"/>
      <c r="BA120" s="256"/>
      <c r="BB120" s="256"/>
      <c r="BC120" s="258"/>
      <c r="BD120" s="266"/>
      <c r="BE120" s="258"/>
      <c r="BF120" s="265"/>
      <c r="BG120" s="265"/>
      <c r="BH120" s="265"/>
      <c r="BI120" s="257"/>
      <c r="BJ120" s="257"/>
      <c r="BK120" s="257"/>
      <c r="BL120" s="257"/>
      <c r="BM120" s="272"/>
      <c r="BN120" s="114" t="str">
        <f t="shared" si="11"/>
        <v/>
      </c>
    </row>
    <row r="121" spans="1:66" x14ac:dyDescent="0.2">
      <c r="A121" s="255"/>
      <c r="B121" s="256"/>
      <c r="C121" s="257"/>
      <c r="D121" s="258"/>
      <c r="E121" s="207" t="str">
        <f t="shared" si="9"/>
        <v xml:space="preserve"> </v>
      </c>
      <c r="F121" s="217" t="str">
        <f t="shared" ca="1" si="10"/>
        <v/>
      </c>
      <c r="G121" s="256"/>
      <c r="H121" s="256"/>
      <c r="I121" s="256"/>
      <c r="J121" s="256"/>
      <c r="K121" s="256"/>
      <c r="L121" s="259"/>
      <c r="M121" s="256"/>
      <c r="N121" s="256"/>
      <c r="O121" s="256"/>
      <c r="P121" s="260"/>
      <c r="Q121" s="261"/>
      <c r="R121" s="267"/>
      <c r="S121" s="258"/>
      <c r="T121" s="262"/>
      <c r="U121" s="262"/>
      <c r="V121" s="262"/>
      <c r="W121" s="262"/>
      <c r="X121" s="262"/>
      <c r="Y121" s="262"/>
      <c r="Z121" s="262"/>
      <c r="AA121" s="262"/>
      <c r="AB121" s="262"/>
      <c r="AC121" s="262"/>
      <c r="AD121" s="262"/>
      <c r="AE121" s="262"/>
      <c r="AF121" s="262"/>
      <c r="AG121" s="262"/>
      <c r="AH121" s="262"/>
      <c r="AI121" s="262"/>
      <c r="AJ121" s="262"/>
      <c r="AK121" s="262"/>
      <c r="AL121" s="262"/>
      <c r="AM121" s="262"/>
      <c r="AN121" s="262"/>
      <c r="AO121" s="263"/>
      <c r="AP121" s="263"/>
      <c r="AQ121" s="263"/>
      <c r="AR121" s="264"/>
      <c r="AS121" s="265"/>
      <c r="AT121" s="259"/>
      <c r="AU121" s="264"/>
      <c r="AV121" s="256"/>
      <c r="AW121" s="258"/>
      <c r="AX121" s="258"/>
      <c r="AY121" s="258"/>
      <c r="AZ121" s="258"/>
      <c r="BA121" s="256"/>
      <c r="BB121" s="256"/>
      <c r="BC121" s="258"/>
      <c r="BD121" s="266"/>
      <c r="BE121" s="258"/>
      <c r="BF121" s="265"/>
      <c r="BG121" s="265"/>
      <c r="BH121" s="265"/>
      <c r="BI121" s="257"/>
      <c r="BJ121" s="257"/>
      <c r="BK121" s="257"/>
      <c r="BL121" s="257"/>
      <c r="BM121" s="272"/>
      <c r="BN121" s="114" t="str">
        <f t="shared" si="11"/>
        <v/>
      </c>
    </row>
    <row r="122" spans="1:66" x14ac:dyDescent="0.2">
      <c r="A122" s="255"/>
      <c r="B122" s="256"/>
      <c r="C122" s="257"/>
      <c r="D122" s="258"/>
      <c r="E122" s="207" t="str">
        <f t="shared" si="9"/>
        <v xml:space="preserve"> </v>
      </c>
      <c r="F122" s="217" t="str">
        <f t="shared" ca="1" si="10"/>
        <v/>
      </c>
      <c r="G122" s="256"/>
      <c r="H122" s="256"/>
      <c r="I122" s="256"/>
      <c r="J122" s="256"/>
      <c r="K122" s="256"/>
      <c r="L122" s="259"/>
      <c r="M122" s="256"/>
      <c r="N122" s="256"/>
      <c r="O122" s="256"/>
      <c r="P122" s="260"/>
      <c r="Q122" s="261"/>
      <c r="R122" s="267"/>
      <c r="S122" s="258"/>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3"/>
      <c r="AP122" s="263"/>
      <c r="AQ122" s="263"/>
      <c r="AR122" s="264"/>
      <c r="AS122" s="265"/>
      <c r="AT122" s="259"/>
      <c r="AU122" s="264"/>
      <c r="AV122" s="256"/>
      <c r="AW122" s="258"/>
      <c r="AX122" s="258"/>
      <c r="AY122" s="258"/>
      <c r="AZ122" s="258"/>
      <c r="BA122" s="256"/>
      <c r="BB122" s="256"/>
      <c r="BC122" s="258"/>
      <c r="BD122" s="266"/>
      <c r="BE122" s="258"/>
      <c r="BF122" s="265"/>
      <c r="BG122" s="265"/>
      <c r="BH122" s="265"/>
      <c r="BI122" s="257"/>
      <c r="BJ122" s="257"/>
      <c r="BK122" s="257"/>
      <c r="BL122" s="257"/>
      <c r="BM122" s="272"/>
      <c r="BN122" s="114" t="str">
        <f t="shared" si="11"/>
        <v/>
      </c>
    </row>
    <row r="123" spans="1:66" x14ac:dyDescent="0.2">
      <c r="A123" s="255"/>
      <c r="B123" s="256"/>
      <c r="C123" s="257"/>
      <c r="D123" s="258"/>
      <c r="E123" s="207" t="str">
        <f t="shared" si="9"/>
        <v xml:space="preserve"> </v>
      </c>
      <c r="F123" s="217" t="str">
        <f t="shared" ca="1" si="10"/>
        <v/>
      </c>
      <c r="G123" s="256"/>
      <c r="H123" s="256"/>
      <c r="I123" s="256"/>
      <c r="J123" s="256"/>
      <c r="K123" s="256"/>
      <c r="L123" s="259"/>
      <c r="M123" s="256"/>
      <c r="N123" s="256"/>
      <c r="O123" s="256"/>
      <c r="P123" s="260"/>
      <c r="Q123" s="261"/>
      <c r="R123" s="267"/>
      <c r="S123" s="258"/>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3"/>
      <c r="AP123" s="263"/>
      <c r="AQ123" s="263"/>
      <c r="AR123" s="264"/>
      <c r="AS123" s="265"/>
      <c r="AT123" s="259"/>
      <c r="AU123" s="264"/>
      <c r="AV123" s="256"/>
      <c r="AW123" s="258"/>
      <c r="AX123" s="258"/>
      <c r="AY123" s="258"/>
      <c r="AZ123" s="258"/>
      <c r="BA123" s="256"/>
      <c r="BB123" s="256"/>
      <c r="BC123" s="258"/>
      <c r="BD123" s="266"/>
      <c r="BE123" s="258"/>
      <c r="BF123" s="265"/>
      <c r="BG123" s="265"/>
      <c r="BH123" s="265"/>
      <c r="BI123" s="257"/>
      <c r="BJ123" s="257"/>
      <c r="BK123" s="257"/>
      <c r="BL123" s="257"/>
      <c r="BM123" s="272"/>
      <c r="BN123" s="114" t="str">
        <f t="shared" si="11"/>
        <v/>
      </c>
    </row>
    <row r="124" spans="1:66" x14ac:dyDescent="0.2">
      <c r="A124" s="255"/>
      <c r="B124" s="256"/>
      <c r="C124" s="257"/>
      <c r="D124" s="258"/>
      <c r="E124" s="207" t="str">
        <f t="shared" si="9"/>
        <v xml:space="preserve"> </v>
      </c>
      <c r="F124" s="217" t="str">
        <f t="shared" ca="1" si="10"/>
        <v/>
      </c>
      <c r="G124" s="256"/>
      <c r="H124" s="256"/>
      <c r="I124" s="256"/>
      <c r="J124" s="256"/>
      <c r="K124" s="256"/>
      <c r="L124" s="259"/>
      <c r="M124" s="256"/>
      <c r="N124" s="256"/>
      <c r="O124" s="256"/>
      <c r="P124" s="260"/>
      <c r="Q124" s="261"/>
      <c r="R124" s="267"/>
      <c r="S124" s="258"/>
      <c r="T124" s="262"/>
      <c r="U124" s="262"/>
      <c r="V124" s="262"/>
      <c r="W124" s="262"/>
      <c r="X124" s="262"/>
      <c r="Y124" s="262"/>
      <c r="Z124" s="262"/>
      <c r="AA124" s="262"/>
      <c r="AB124" s="262"/>
      <c r="AC124" s="262"/>
      <c r="AD124" s="262"/>
      <c r="AE124" s="262"/>
      <c r="AF124" s="262"/>
      <c r="AG124" s="262"/>
      <c r="AH124" s="262"/>
      <c r="AI124" s="262"/>
      <c r="AJ124" s="262"/>
      <c r="AK124" s="262"/>
      <c r="AL124" s="262"/>
      <c r="AM124" s="262"/>
      <c r="AN124" s="262"/>
      <c r="AO124" s="263"/>
      <c r="AP124" s="263"/>
      <c r="AQ124" s="263"/>
      <c r="AR124" s="264"/>
      <c r="AS124" s="265"/>
      <c r="AT124" s="259"/>
      <c r="AU124" s="264"/>
      <c r="AV124" s="256"/>
      <c r="AW124" s="258"/>
      <c r="AX124" s="258"/>
      <c r="AY124" s="258"/>
      <c r="AZ124" s="258"/>
      <c r="BA124" s="256"/>
      <c r="BB124" s="256"/>
      <c r="BC124" s="258"/>
      <c r="BD124" s="266"/>
      <c r="BE124" s="258"/>
      <c r="BF124" s="265"/>
      <c r="BG124" s="265"/>
      <c r="BH124" s="265"/>
      <c r="BI124" s="257"/>
      <c r="BJ124" s="257"/>
      <c r="BK124" s="257"/>
      <c r="BL124" s="257"/>
      <c r="BM124" s="272"/>
      <c r="BN124" s="114" t="str">
        <f t="shared" si="11"/>
        <v/>
      </c>
    </row>
    <row r="125" spans="1:66" x14ac:dyDescent="0.2">
      <c r="A125" s="255"/>
      <c r="B125" s="256"/>
      <c r="C125" s="257"/>
      <c r="D125" s="258"/>
      <c r="E125" s="207" t="str">
        <f t="shared" si="9"/>
        <v xml:space="preserve"> </v>
      </c>
      <c r="F125" s="217" t="str">
        <f t="shared" ca="1" si="10"/>
        <v/>
      </c>
      <c r="G125" s="256"/>
      <c r="H125" s="256"/>
      <c r="I125" s="256"/>
      <c r="J125" s="256"/>
      <c r="K125" s="256"/>
      <c r="L125" s="259"/>
      <c r="M125" s="256"/>
      <c r="N125" s="256"/>
      <c r="O125" s="256"/>
      <c r="P125" s="260"/>
      <c r="Q125" s="261"/>
      <c r="R125" s="267"/>
      <c r="S125" s="258"/>
      <c r="T125" s="262"/>
      <c r="U125" s="262"/>
      <c r="V125" s="262"/>
      <c r="W125" s="262"/>
      <c r="X125" s="262"/>
      <c r="Y125" s="262"/>
      <c r="Z125" s="262"/>
      <c r="AA125" s="262"/>
      <c r="AB125" s="262"/>
      <c r="AC125" s="262"/>
      <c r="AD125" s="262"/>
      <c r="AE125" s="262"/>
      <c r="AF125" s="262"/>
      <c r="AG125" s="262"/>
      <c r="AH125" s="262"/>
      <c r="AI125" s="262"/>
      <c r="AJ125" s="262"/>
      <c r="AK125" s="262"/>
      <c r="AL125" s="262"/>
      <c r="AM125" s="262"/>
      <c r="AN125" s="262"/>
      <c r="AO125" s="263"/>
      <c r="AP125" s="263"/>
      <c r="AQ125" s="263"/>
      <c r="AR125" s="264"/>
      <c r="AS125" s="265"/>
      <c r="AT125" s="259"/>
      <c r="AU125" s="264"/>
      <c r="AV125" s="256"/>
      <c r="AW125" s="258"/>
      <c r="AX125" s="258"/>
      <c r="AY125" s="258"/>
      <c r="AZ125" s="258"/>
      <c r="BA125" s="256"/>
      <c r="BB125" s="256"/>
      <c r="BC125" s="258"/>
      <c r="BD125" s="266"/>
      <c r="BE125" s="258"/>
      <c r="BF125" s="265"/>
      <c r="BG125" s="265"/>
      <c r="BH125" s="265"/>
      <c r="BI125" s="257"/>
      <c r="BJ125" s="257"/>
      <c r="BK125" s="257"/>
      <c r="BL125" s="257"/>
      <c r="BM125" s="272"/>
      <c r="BN125" s="114" t="str">
        <f t="shared" si="11"/>
        <v/>
      </c>
    </row>
    <row r="126" spans="1:66" x14ac:dyDescent="0.2">
      <c r="A126" s="255"/>
      <c r="B126" s="256"/>
      <c r="C126" s="257"/>
      <c r="D126" s="258"/>
      <c r="E126" s="207" t="str">
        <f t="shared" si="9"/>
        <v xml:space="preserve"> </v>
      </c>
      <c r="F126" s="217" t="str">
        <f t="shared" ca="1" si="10"/>
        <v/>
      </c>
      <c r="G126" s="256"/>
      <c r="H126" s="256"/>
      <c r="I126" s="256"/>
      <c r="J126" s="256"/>
      <c r="K126" s="256"/>
      <c r="L126" s="259"/>
      <c r="M126" s="256"/>
      <c r="N126" s="256"/>
      <c r="O126" s="256"/>
      <c r="P126" s="260"/>
      <c r="Q126" s="261"/>
      <c r="R126" s="267"/>
      <c r="S126" s="258"/>
      <c r="T126" s="262"/>
      <c r="U126" s="262"/>
      <c r="V126" s="262"/>
      <c r="W126" s="262"/>
      <c r="X126" s="262"/>
      <c r="Y126" s="262"/>
      <c r="Z126" s="262"/>
      <c r="AA126" s="262"/>
      <c r="AB126" s="262"/>
      <c r="AC126" s="262"/>
      <c r="AD126" s="262"/>
      <c r="AE126" s="262"/>
      <c r="AF126" s="262"/>
      <c r="AG126" s="262"/>
      <c r="AH126" s="262"/>
      <c r="AI126" s="262"/>
      <c r="AJ126" s="262"/>
      <c r="AK126" s="262"/>
      <c r="AL126" s="262"/>
      <c r="AM126" s="262"/>
      <c r="AN126" s="262"/>
      <c r="AO126" s="263"/>
      <c r="AP126" s="263"/>
      <c r="AQ126" s="263"/>
      <c r="AR126" s="264"/>
      <c r="AS126" s="265"/>
      <c r="AT126" s="259"/>
      <c r="AU126" s="264"/>
      <c r="AV126" s="256"/>
      <c r="AW126" s="258"/>
      <c r="AX126" s="258"/>
      <c r="AY126" s="258"/>
      <c r="AZ126" s="258"/>
      <c r="BA126" s="256"/>
      <c r="BB126" s="256"/>
      <c r="BC126" s="258"/>
      <c r="BD126" s="266"/>
      <c r="BE126" s="258"/>
      <c r="BF126" s="265"/>
      <c r="BG126" s="265"/>
      <c r="BH126" s="265"/>
      <c r="BI126" s="257"/>
      <c r="BJ126" s="257"/>
      <c r="BK126" s="257"/>
      <c r="BL126" s="257"/>
      <c r="BM126" s="272"/>
      <c r="BN126" s="114" t="str">
        <f t="shared" si="11"/>
        <v/>
      </c>
    </row>
    <row r="127" spans="1:66" x14ac:dyDescent="0.2">
      <c r="A127" s="255"/>
      <c r="B127" s="256"/>
      <c r="C127" s="257"/>
      <c r="D127" s="258"/>
      <c r="E127" s="207" t="str">
        <f t="shared" si="9"/>
        <v xml:space="preserve"> </v>
      </c>
      <c r="F127" s="217" t="str">
        <f t="shared" ca="1" si="10"/>
        <v/>
      </c>
      <c r="G127" s="256"/>
      <c r="H127" s="256"/>
      <c r="I127" s="256"/>
      <c r="J127" s="256"/>
      <c r="K127" s="256"/>
      <c r="L127" s="259"/>
      <c r="M127" s="256"/>
      <c r="N127" s="256"/>
      <c r="O127" s="256"/>
      <c r="P127" s="260"/>
      <c r="Q127" s="261"/>
      <c r="R127" s="267"/>
      <c r="S127" s="258"/>
      <c r="T127" s="262"/>
      <c r="U127" s="262"/>
      <c r="V127" s="262"/>
      <c r="W127" s="262"/>
      <c r="X127" s="262"/>
      <c r="Y127" s="262"/>
      <c r="Z127" s="262"/>
      <c r="AA127" s="262"/>
      <c r="AB127" s="262"/>
      <c r="AC127" s="262"/>
      <c r="AD127" s="262"/>
      <c r="AE127" s="262"/>
      <c r="AF127" s="262"/>
      <c r="AG127" s="262"/>
      <c r="AH127" s="262"/>
      <c r="AI127" s="262"/>
      <c r="AJ127" s="262"/>
      <c r="AK127" s="262"/>
      <c r="AL127" s="262"/>
      <c r="AM127" s="262"/>
      <c r="AN127" s="262"/>
      <c r="AO127" s="263"/>
      <c r="AP127" s="263"/>
      <c r="AQ127" s="263"/>
      <c r="AR127" s="264"/>
      <c r="AS127" s="265"/>
      <c r="AT127" s="259"/>
      <c r="AU127" s="264"/>
      <c r="AV127" s="256"/>
      <c r="AW127" s="258"/>
      <c r="AX127" s="258"/>
      <c r="AY127" s="258"/>
      <c r="AZ127" s="258"/>
      <c r="BA127" s="256"/>
      <c r="BB127" s="256"/>
      <c r="BC127" s="258"/>
      <c r="BD127" s="266"/>
      <c r="BE127" s="258"/>
      <c r="BF127" s="265"/>
      <c r="BG127" s="265"/>
      <c r="BH127" s="265"/>
      <c r="BI127" s="257"/>
      <c r="BJ127" s="257"/>
      <c r="BK127" s="257"/>
      <c r="BL127" s="257"/>
      <c r="BM127" s="272"/>
      <c r="BN127" s="114" t="str">
        <f t="shared" si="11"/>
        <v/>
      </c>
    </row>
    <row r="128" spans="1:66" x14ac:dyDescent="0.2">
      <c r="A128" s="255"/>
      <c r="B128" s="256"/>
      <c r="C128" s="257"/>
      <c r="D128" s="258"/>
      <c r="E128" s="207" t="str">
        <f t="shared" si="9"/>
        <v xml:space="preserve"> </v>
      </c>
      <c r="F128" s="217" t="str">
        <f t="shared" ca="1" si="10"/>
        <v/>
      </c>
      <c r="G128" s="256"/>
      <c r="H128" s="256"/>
      <c r="I128" s="256"/>
      <c r="J128" s="256"/>
      <c r="K128" s="256"/>
      <c r="L128" s="259"/>
      <c r="M128" s="256"/>
      <c r="N128" s="256"/>
      <c r="O128" s="256"/>
      <c r="P128" s="260"/>
      <c r="Q128" s="261"/>
      <c r="R128" s="267"/>
      <c r="S128" s="258"/>
      <c r="T128" s="262"/>
      <c r="U128" s="262"/>
      <c r="V128" s="262"/>
      <c r="W128" s="262"/>
      <c r="X128" s="262"/>
      <c r="Y128" s="262"/>
      <c r="Z128" s="262"/>
      <c r="AA128" s="262"/>
      <c r="AB128" s="262"/>
      <c r="AC128" s="262"/>
      <c r="AD128" s="262"/>
      <c r="AE128" s="262"/>
      <c r="AF128" s="262"/>
      <c r="AG128" s="262"/>
      <c r="AH128" s="262"/>
      <c r="AI128" s="262"/>
      <c r="AJ128" s="262"/>
      <c r="AK128" s="262"/>
      <c r="AL128" s="262"/>
      <c r="AM128" s="262"/>
      <c r="AN128" s="262"/>
      <c r="AO128" s="263"/>
      <c r="AP128" s="263"/>
      <c r="AQ128" s="263"/>
      <c r="AR128" s="264"/>
      <c r="AS128" s="265"/>
      <c r="AT128" s="259"/>
      <c r="AU128" s="264"/>
      <c r="AV128" s="256"/>
      <c r="AW128" s="258"/>
      <c r="AX128" s="258"/>
      <c r="AY128" s="258"/>
      <c r="AZ128" s="258"/>
      <c r="BA128" s="256"/>
      <c r="BB128" s="256"/>
      <c r="BC128" s="258"/>
      <c r="BD128" s="266"/>
      <c r="BE128" s="258"/>
      <c r="BF128" s="265"/>
      <c r="BG128" s="265"/>
      <c r="BH128" s="265"/>
      <c r="BI128" s="257"/>
      <c r="BJ128" s="257"/>
      <c r="BK128" s="257"/>
      <c r="BL128" s="257"/>
      <c r="BM128" s="272"/>
      <c r="BN128" s="114" t="str">
        <f t="shared" si="11"/>
        <v/>
      </c>
    </row>
    <row r="129" spans="1:66" x14ac:dyDescent="0.2">
      <c r="A129" s="255"/>
      <c r="B129" s="256"/>
      <c r="C129" s="257"/>
      <c r="D129" s="258"/>
      <c r="E129" s="207" t="str">
        <f t="shared" si="9"/>
        <v xml:space="preserve"> </v>
      </c>
      <c r="F129" s="217" t="str">
        <f t="shared" ca="1" si="10"/>
        <v/>
      </c>
      <c r="G129" s="256"/>
      <c r="H129" s="256"/>
      <c r="I129" s="256"/>
      <c r="J129" s="256"/>
      <c r="K129" s="256"/>
      <c r="L129" s="259"/>
      <c r="M129" s="256"/>
      <c r="N129" s="256"/>
      <c r="O129" s="256"/>
      <c r="P129" s="260"/>
      <c r="Q129" s="261"/>
      <c r="R129" s="267"/>
      <c r="S129" s="258"/>
      <c r="T129" s="262"/>
      <c r="U129" s="262"/>
      <c r="V129" s="262"/>
      <c r="W129" s="262"/>
      <c r="X129" s="262"/>
      <c r="Y129" s="262"/>
      <c r="Z129" s="262"/>
      <c r="AA129" s="262"/>
      <c r="AB129" s="262"/>
      <c r="AC129" s="262"/>
      <c r="AD129" s="262"/>
      <c r="AE129" s="262"/>
      <c r="AF129" s="262"/>
      <c r="AG129" s="262"/>
      <c r="AH129" s="262"/>
      <c r="AI129" s="262"/>
      <c r="AJ129" s="262"/>
      <c r="AK129" s="262"/>
      <c r="AL129" s="262"/>
      <c r="AM129" s="262"/>
      <c r="AN129" s="262"/>
      <c r="AO129" s="263"/>
      <c r="AP129" s="263"/>
      <c r="AQ129" s="263"/>
      <c r="AR129" s="264"/>
      <c r="AS129" s="265"/>
      <c r="AT129" s="259"/>
      <c r="AU129" s="264"/>
      <c r="AV129" s="256"/>
      <c r="AW129" s="258"/>
      <c r="AX129" s="258"/>
      <c r="AY129" s="258"/>
      <c r="AZ129" s="258"/>
      <c r="BA129" s="256"/>
      <c r="BB129" s="256"/>
      <c r="BC129" s="258"/>
      <c r="BD129" s="266"/>
      <c r="BE129" s="258"/>
      <c r="BF129" s="265"/>
      <c r="BG129" s="265"/>
      <c r="BH129" s="265"/>
      <c r="BI129" s="257"/>
      <c r="BJ129" s="257"/>
      <c r="BK129" s="257"/>
      <c r="BL129" s="257"/>
      <c r="BM129" s="272"/>
      <c r="BN129" s="114" t="str">
        <f t="shared" si="11"/>
        <v/>
      </c>
    </row>
    <row r="130" spans="1:66" x14ac:dyDescent="0.2">
      <c r="A130" s="255"/>
      <c r="B130" s="256"/>
      <c r="C130" s="257"/>
      <c r="D130" s="258"/>
      <c r="E130" s="207" t="str">
        <f t="shared" si="9"/>
        <v xml:space="preserve"> </v>
      </c>
      <c r="F130" s="217" t="str">
        <f t="shared" ca="1" si="10"/>
        <v/>
      </c>
      <c r="G130" s="256"/>
      <c r="H130" s="256"/>
      <c r="I130" s="256"/>
      <c r="J130" s="256"/>
      <c r="K130" s="256"/>
      <c r="L130" s="259"/>
      <c r="M130" s="256"/>
      <c r="N130" s="256"/>
      <c r="O130" s="256"/>
      <c r="P130" s="260"/>
      <c r="Q130" s="261"/>
      <c r="R130" s="267"/>
      <c r="S130" s="258"/>
      <c r="T130" s="262"/>
      <c r="U130" s="262"/>
      <c r="V130" s="262"/>
      <c r="W130" s="262"/>
      <c r="X130" s="262"/>
      <c r="Y130" s="262"/>
      <c r="Z130" s="262"/>
      <c r="AA130" s="262"/>
      <c r="AB130" s="262"/>
      <c r="AC130" s="262"/>
      <c r="AD130" s="262"/>
      <c r="AE130" s="262"/>
      <c r="AF130" s="262"/>
      <c r="AG130" s="262"/>
      <c r="AH130" s="262"/>
      <c r="AI130" s="262"/>
      <c r="AJ130" s="262"/>
      <c r="AK130" s="262"/>
      <c r="AL130" s="262"/>
      <c r="AM130" s="262"/>
      <c r="AN130" s="262"/>
      <c r="AO130" s="263"/>
      <c r="AP130" s="263"/>
      <c r="AQ130" s="263"/>
      <c r="AR130" s="264"/>
      <c r="AS130" s="265"/>
      <c r="AT130" s="259"/>
      <c r="AU130" s="264"/>
      <c r="AV130" s="256"/>
      <c r="AW130" s="258"/>
      <c r="AX130" s="258"/>
      <c r="AY130" s="258"/>
      <c r="AZ130" s="258"/>
      <c r="BA130" s="256"/>
      <c r="BB130" s="256"/>
      <c r="BC130" s="258"/>
      <c r="BD130" s="266"/>
      <c r="BE130" s="258"/>
      <c r="BF130" s="265"/>
      <c r="BG130" s="265"/>
      <c r="BH130" s="265"/>
      <c r="BI130" s="257"/>
      <c r="BJ130" s="257"/>
      <c r="BK130" s="257"/>
      <c r="BL130" s="257"/>
      <c r="BM130" s="272"/>
      <c r="BN130" s="114" t="str">
        <f t="shared" si="11"/>
        <v/>
      </c>
    </row>
    <row r="131" spans="1:66" x14ac:dyDescent="0.2">
      <c r="A131" s="255"/>
      <c r="B131" s="256"/>
      <c r="C131" s="257"/>
      <c r="D131" s="258"/>
      <c r="E131" s="207" t="str">
        <f t="shared" si="9"/>
        <v xml:space="preserve"> </v>
      </c>
      <c r="F131" s="217" t="str">
        <f t="shared" ca="1" si="10"/>
        <v/>
      </c>
      <c r="G131" s="256"/>
      <c r="H131" s="256"/>
      <c r="I131" s="256"/>
      <c r="J131" s="256"/>
      <c r="K131" s="256"/>
      <c r="L131" s="259"/>
      <c r="M131" s="256"/>
      <c r="N131" s="256"/>
      <c r="O131" s="256"/>
      <c r="P131" s="260"/>
      <c r="Q131" s="261"/>
      <c r="R131" s="267"/>
      <c r="S131" s="258"/>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3"/>
      <c r="AP131" s="263"/>
      <c r="AQ131" s="263"/>
      <c r="AR131" s="264"/>
      <c r="AS131" s="265"/>
      <c r="AT131" s="259"/>
      <c r="AU131" s="264"/>
      <c r="AV131" s="256"/>
      <c r="AW131" s="258"/>
      <c r="AX131" s="258"/>
      <c r="AY131" s="258"/>
      <c r="AZ131" s="258"/>
      <c r="BA131" s="256"/>
      <c r="BB131" s="256"/>
      <c r="BC131" s="258"/>
      <c r="BD131" s="266"/>
      <c r="BE131" s="258"/>
      <c r="BF131" s="265"/>
      <c r="BG131" s="265"/>
      <c r="BH131" s="265"/>
      <c r="BI131" s="257"/>
      <c r="BJ131" s="257"/>
      <c r="BK131" s="257"/>
      <c r="BL131" s="257"/>
      <c r="BM131" s="272"/>
      <c r="BN131" s="114" t="str">
        <f t="shared" si="11"/>
        <v/>
      </c>
    </row>
    <row r="132" spans="1:66" x14ac:dyDescent="0.2">
      <c r="A132" s="255"/>
      <c r="B132" s="256"/>
      <c r="C132" s="257"/>
      <c r="D132" s="258"/>
      <c r="E132" s="207" t="str">
        <f t="shared" si="9"/>
        <v xml:space="preserve"> </v>
      </c>
      <c r="F132" s="217" t="str">
        <f t="shared" ca="1" si="10"/>
        <v/>
      </c>
      <c r="G132" s="256"/>
      <c r="H132" s="256"/>
      <c r="I132" s="256"/>
      <c r="J132" s="256"/>
      <c r="K132" s="256"/>
      <c r="L132" s="259"/>
      <c r="M132" s="256"/>
      <c r="N132" s="256"/>
      <c r="O132" s="256"/>
      <c r="P132" s="260"/>
      <c r="Q132" s="261"/>
      <c r="R132" s="267"/>
      <c r="S132" s="258"/>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3"/>
      <c r="AP132" s="263"/>
      <c r="AQ132" s="263"/>
      <c r="AR132" s="264"/>
      <c r="AS132" s="265"/>
      <c r="AT132" s="259"/>
      <c r="AU132" s="264"/>
      <c r="AV132" s="256"/>
      <c r="AW132" s="258"/>
      <c r="AX132" s="258"/>
      <c r="AY132" s="258"/>
      <c r="AZ132" s="258"/>
      <c r="BA132" s="256"/>
      <c r="BB132" s="256"/>
      <c r="BC132" s="258"/>
      <c r="BD132" s="266"/>
      <c r="BE132" s="258"/>
      <c r="BF132" s="265"/>
      <c r="BG132" s="265"/>
      <c r="BH132" s="265"/>
      <c r="BI132" s="257"/>
      <c r="BJ132" s="257"/>
      <c r="BK132" s="257"/>
      <c r="BL132" s="257"/>
      <c r="BM132" s="272"/>
      <c r="BN132" s="114" t="str">
        <f t="shared" si="11"/>
        <v/>
      </c>
    </row>
    <row r="133" spans="1:66" x14ac:dyDescent="0.2">
      <c r="A133" s="255"/>
      <c r="B133" s="256"/>
      <c r="C133" s="257"/>
      <c r="D133" s="258"/>
      <c r="E133" s="207" t="str">
        <f t="shared" si="9"/>
        <v xml:space="preserve"> </v>
      </c>
      <c r="F133" s="217" t="str">
        <f t="shared" ca="1" si="10"/>
        <v/>
      </c>
      <c r="G133" s="256"/>
      <c r="H133" s="256"/>
      <c r="I133" s="256"/>
      <c r="J133" s="256"/>
      <c r="K133" s="256"/>
      <c r="L133" s="259"/>
      <c r="M133" s="256"/>
      <c r="N133" s="256"/>
      <c r="O133" s="256"/>
      <c r="P133" s="260"/>
      <c r="Q133" s="261"/>
      <c r="R133" s="267"/>
      <c r="S133" s="258"/>
      <c r="T133" s="262"/>
      <c r="U133" s="262"/>
      <c r="V133" s="262"/>
      <c r="W133" s="262"/>
      <c r="X133" s="262"/>
      <c r="Y133" s="262"/>
      <c r="Z133" s="262"/>
      <c r="AA133" s="262"/>
      <c r="AB133" s="262"/>
      <c r="AC133" s="262"/>
      <c r="AD133" s="262"/>
      <c r="AE133" s="262"/>
      <c r="AF133" s="262"/>
      <c r="AG133" s="262"/>
      <c r="AH133" s="262"/>
      <c r="AI133" s="262"/>
      <c r="AJ133" s="262"/>
      <c r="AK133" s="262"/>
      <c r="AL133" s="262"/>
      <c r="AM133" s="262"/>
      <c r="AN133" s="262"/>
      <c r="AO133" s="263"/>
      <c r="AP133" s="263"/>
      <c r="AQ133" s="263"/>
      <c r="AR133" s="264"/>
      <c r="AS133" s="265"/>
      <c r="AT133" s="259"/>
      <c r="AU133" s="264"/>
      <c r="AV133" s="256"/>
      <c r="AW133" s="258"/>
      <c r="AX133" s="258"/>
      <c r="AY133" s="258"/>
      <c r="AZ133" s="258"/>
      <c r="BA133" s="256"/>
      <c r="BB133" s="256"/>
      <c r="BC133" s="258"/>
      <c r="BD133" s="266"/>
      <c r="BE133" s="258"/>
      <c r="BF133" s="265"/>
      <c r="BG133" s="265"/>
      <c r="BH133" s="265"/>
      <c r="BI133" s="257"/>
      <c r="BJ133" s="257"/>
      <c r="BK133" s="257"/>
      <c r="BL133" s="257"/>
      <c r="BM133" s="272"/>
      <c r="BN133" s="114" t="str">
        <f t="shared" si="11"/>
        <v/>
      </c>
    </row>
    <row r="134" spans="1:66" x14ac:dyDescent="0.2">
      <c r="A134" s="255"/>
      <c r="B134" s="256"/>
      <c r="C134" s="257"/>
      <c r="D134" s="258"/>
      <c r="E134" s="207" t="str">
        <f t="shared" ref="E134:E165" si="12">CONCATENATE($J134," ",$I134)</f>
        <v xml:space="preserve"> </v>
      </c>
      <c r="F134" s="217" t="str">
        <f t="shared" ref="F134:F165" ca="1" si="13">IF(L134="","",DATEDIF(L134,TODAY(),"Y"))</f>
        <v/>
      </c>
      <c r="G134" s="256"/>
      <c r="H134" s="256"/>
      <c r="I134" s="256"/>
      <c r="J134" s="256"/>
      <c r="K134" s="256"/>
      <c r="L134" s="259"/>
      <c r="M134" s="256"/>
      <c r="N134" s="256"/>
      <c r="O134" s="256"/>
      <c r="P134" s="260"/>
      <c r="Q134" s="261"/>
      <c r="R134" s="267"/>
      <c r="S134" s="258"/>
      <c r="T134" s="262"/>
      <c r="U134" s="262"/>
      <c r="V134" s="262"/>
      <c r="W134" s="262"/>
      <c r="X134" s="262"/>
      <c r="Y134" s="262"/>
      <c r="Z134" s="262"/>
      <c r="AA134" s="262"/>
      <c r="AB134" s="262"/>
      <c r="AC134" s="262"/>
      <c r="AD134" s="262"/>
      <c r="AE134" s="262"/>
      <c r="AF134" s="262"/>
      <c r="AG134" s="262"/>
      <c r="AH134" s="262"/>
      <c r="AI134" s="262"/>
      <c r="AJ134" s="262"/>
      <c r="AK134" s="262"/>
      <c r="AL134" s="262"/>
      <c r="AM134" s="262"/>
      <c r="AN134" s="262"/>
      <c r="AO134" s="263"/>
      <c r="AP134" s="263"/>
      <c r="AQ134" s="263"/>
      <c r="AR134" s="264"/>
      <c r="AS134" s="265"/>
      <c r="AT134" s="259"/>
      <c r="AU134" s="264"/>
      <c r="AV134" s="256"/>
      <c r="AW134" s="258"/>
      <c r="AX134" s="258"/>
      <c r="AY134" s="258"/>
      <c r="AZ134" s="258"/>
      <c r="BA134" s="256"/>
      <c r="BB134" s="256"/>
      <c r="BC134" s="258"/>
      <c r="BD134" s="266"/>
      <c r="BE134" s="258"/>
      <c r="BF134" s="265"/>
      <c r="BG134" s="265"/>
      <c r="BH134" s="265"/>
      <c r="BI134" s="257"/>
      <c r="BJ134" s="257"/>
      <c r="BK134" s="257"/>
      <c r="BL134" s="257"/>
      <c r="BM134" s="272"/>
      <c r="BN134" s="114" t="str">
        <f t="shared" ref="BN134:BN165" si="14">CONCATENATE(LEFT($J134), LEFT($I134))</f>
        <v/>
      </c>
    </row>
    <row r="135" spans="1:66" x14ac:dyDescent="0.2">
      <c r="A135" s="255"/>
      <c r="B135" s="256"/>
      <c r="C135" s="257"/>
      <c r="D135" s="258"/>
      <c r="E135" s="207" t="str">
        <f t="shared" si="12"/>
        <v xml:space="preserve"> </v>
      </c>
      <c r="F135" s="217" t="str">
        <f t="shared" ca="1" si="13"/>
        <v/>
      </c>
      <c r="G135" s="256"/>
      <c r="H135" s="256"/>
      <c r="I135" s="256"/>
      <c r="J135" s="256"/>
      <c r="K135" s="256"/>
      <c r="L135" s="259"/>
      <c r="M135" s="256"/>
      <c r="N135" s="256"/>
      <c r="O135" s="256"/>
      <c r="P135" s="260"/>
      <c r="Q135" s="261"/>
      <c r="R135" s="267"/>
      <c r="S135" s="258"/>
      <c r="T135" s="262"/>
      <c r="U135" s="262"/>
      <c r="V135" s="262"/>
      <c r="W135" s="262"/>
      <c r="X135" s="262"/>
      <c r="Y135" s="262"/>
      <c r="Z135" s="262"/>
      <c r="AA135" s="262"/>
      <c r="AB135" s="262"/>
      <c r="AC135" s="262"/>
      <c r="AD135" s="262"/>
      <c r="AE135" s="262"/>
      <c r="AF135" s="262"/>
      <c r="AG135" s="262"/>
      <c r="AH135" s="262"/>
      <c r="AI135" s="262"/>
      <c r="AJ135" s="262"/>
      <c r="AK135" s="262"/>
      <c r="AL135" s="262"/>
      <c r="AM135" s="262"/>
      <c r="AN135" s="262"/>
      <c r="AO135" s="263"/>
      <c r="AP135" s="263"/>
      <c r="AQ135" s="263"/>
      <c r="AR135" s="264"/>
      <c r="AS135" s="265"/>
      <c r="AT135" s="259"/>
      <c r="AU135" s="264"/>
      <c r="AV135" s="256"/>
      <c r="AW135" s="258"/>
      <c r="AX135" s="258"/>
      <c r="AY135" s="258"/>
      <c r="AZ135" s="258"/>
      <c r="BA135" s="256"/>
      <c r="BB135" s="256"/>
      <c r="BC135" s="258"/>
      <c r="BD135" s="266"/>
      <c r="BE135" s="258"/>
      <c r="BF135" s="265"/>
      <c r="BG135" s="265"/>
      <c r="BH135" s="265"/>
      <c r="BI135" s="257"/>
      <c r="BJ135" s="257"/>
      <c r="BK135" s="257"/>
      <c r="BL135" s="257"/>
      <c r="BM135" s="272"/>
      <c r="BN135" s="114" t="str">
        <f t="shared" si="14"/>
        <v/>
      </c>
    </row>
    <row r="136" spans="1:66" x14ac:dyDescent="0.2">
      <c r="A136" s="255"/>
      <c r="B136" s="256"/>
      <c r="C136" s="257"/>
      <c r="D136" s="258"/>
      <c r="E136" s="207" t="str">
        <f t="shared" si="12"/>
        <v xml:space="preserve"> </v>
      </c>
      <c r="F136" s="217" t="str">
        <f t="shared" ca="1" si="13"/>
        <v/>
      </c>
      <c r="G136" s="256"/>
      <c r="H136" s="256"/>
      <c r="I136" s="256"/>
      <c r="J136" s="256"/>
      <c r="K136" s="256"/>
      <c r="L136" s="259"/>
      <c r="M136" s="256"/>
      <c r="N136" s="256"/>
      <c r="O136" s="256"/>
      <c r="P136" s="260"/>
      <c r="Q136" s="261"/>
      <c r="R136" s="267"/>
      <c r="S136" s="258"/>
      <c r="T136" s="262"/>
      <c r="U136" s="262"/>
      <c r="V136" s="262"/>
      <c r="W136" s="262"/>
      <c r="X136" s="262"/>
      <c r="Y136" s="262"/>
      <c r="Z136" s="262"/>
      <c r="AA136" s="262"/>
      <c r="AB136" s="262"/>
      <c r="AC136" s="262"/>
      <c r="AD136" s="262"/>
      <c r="AE136" s="262"/>
      <c r="AF136" s="262"/>
      <c r="AG136" s="262"/>
      <c r="AH136" s="262"/>
      <c r="AI136" s="262"/>
      <c r="AJ136" s="262"/>
      <c r="AK136" s="262"/>
      <c r="AL136" s="262"/>
      <c r="AM136" s="262"/>
      <c r="AN136" s="262"/>
      <c r="AO136" s="263"/>
      <c r="AP136" s="263"/>
      <c r="AQ136" s="263"/>
      <c r="AR136" s="264"/>
      <c r="AS136" s="265"/>
      <c r="AT136" s="259"/>
      <c r="AU136" s="264"/>
      <c r="AV136" s="256"/>
      <c r="AW136" s="258"/>
      <c r="AX136" s="258"/>
      <c r="AY136" s="258"/>
      <c r="AZ136" s="258"/>
      <c r="BA136" s="256"/>
      <c r="BB136" s="256"/>
      <c r="BC136" s="258"/>
      <c r="BD136" s="266"/>
      <c r="BE136" s="258"/>
      <c r="BF136" s="265"/>
      <c r="BG136" s="265"/>
      <c r="BH136" s="265"/>
      <c r="BI136" s="257"/>
      <c r="BJ136" s="257"/>
      <c r="BK136" s="257"/>
      <c r="BL136" s="257"/>
      <c r="BM136" s="272"/>
      <c r="BN136" s="114" t="str">
        <f t="shared" si="14"/>
        <v/>
      </c>
    </row>
    <row r="137" spans="1:66" x14ac:dyDescent="0.2">
      <c r="A137" s="255"/>
      <c r="B137" s="256"/>
      <c r="C137" s="257"/>
      <c r="D137" s="258"/>
      <c r="E137" s="207" t="str">
        <f t="shared" si="12"/>
        <v xml:space="preserve"> </v>
      </c>
      <c r="F137" s="217" t="str">
        <f t="shared" ca="1" si="13"/>
        <v/>
      </c>
      <c r="G137" s="256"/>
      <c r="H137" s="256"/>
      <c r="I137" s="256"/>
      <c r="J137" s="256"/>
      <c r="K137" s="256"/>
      <c r="L137" s="259"/>
      <c r="M137" s="256"/>
      <c r="N137" s="256"/>
      <c r="O137" s="256"/>
      <c r="P137" s="260"/>
      <c r="Q137" s="261"/>
      <c r="R137" s="267"/>
      <c r="S137" s="258"/>
      <c r="T137" s="262"/>
      <c r="U137" s="262"/>
      <c r="V137" s="262"/>
      <c r="W137" s="262"/>
      <c r="X137" s="262"/>
      <c r="Y137" s="262"/>
      <c r="Z137" s="262"/>
      <c r="AA137" s="262"/>
      <c r="AB137" s="262"/>
      <c r="AC137" s="262"/>
      <c r="AD137" s="262"/>
      <c r="AE137" s="262"/>
      <c r="AF137" s="262"/>
      <c r="AG137" s="262"/>
      <c r="AH137" s="262"/>
      <c r="AI137" s="262"/>
      <c r="AJ137" s="262"/>
      <c r="AK137" s="262"/>
      <c r="AL137" s="262"/>
      <c r="AM137" s="262"/>
      <c r="AN137" s="262"/>
      <c r="AO137" s="263"/>
      <c r="AP137" s="263"/>
      <c r="AQ137" s="263"/>
      <c r="AR137" s="264"/>
      <c r="AS137" s="265"/>
      <c r="AT137" s="259"/>
      <c r="AU137" s="264"/>
      <c r="AV137" s="256"/>
      <c r="AW137" s="258"/>
      <c r="AX137" s="258"/>
      <c r="AY137" s="258"/>
      <c r="AZ137" s="258"/>
      <c r="BA137" s="256"/>
      <c r="BB137" s="256"/>
      <c r="BC137" s="258"/>
      <c r="BD137" s="266"/>
      <c r="BE137" s="258"/>
      <c r="BF137" s="265"/>
      <c r="BG137" s="265"/>
      <c r="BH137" s="265"/>
      <c r="BI137" s="257"/>
      <c r="BJ137" s="257"/>
      <c r="BK137" s="257"/>
      <c r="BL137" s="257"/>
      <c r="BM137" s="272"/>
      <c r="BN137" s="114" t="str">
        <f t="shared" si="14"/>
        <v/>
      </c>
    </row>
    <row r="138" spans="1:66" x14ac:dyDescent="0.2">
      <c r="A138" s="255"/>
      <c r="B138" s="256"/>
      <c r="C138" s="257"/>
      <c r="D138" s="258"/>
      <c r="E138" s="207" t="str">
        <f t="shared" si="12"/>
        <v xml:space="preserve"> </v>
      </c>
      <c r="F138" s="217" t="str">
        <f t="shared" ca="1" si="13"/>
        <v/>
      </c>
      <c r="G138" s="256"/>
      <c r="H138" s="256"/>
      <c r="I138" s="256"/>
      <c r="J138" s="256"/>
      <c r="K138" s="256"/>
      <c r="L138" s="259"/>
      <c r="M138" s="256"/>
      <c r="N138" s="256"/>
      <c r="O138" s="256"/>
      <c r="P138" s="260"/>
      <c r="Q138" s="261"/>
      <c r="R138" s="267"/>
      <c r="S138" s="258"/>
      <c r="T138" s="262"/>
      <c r="U138" s="262"/>
      <c r="V138" s="262"/>
      <c r="W138" s="262"/>
      <c r="X138" s="262"/>
      <c r="Y138" s="262"/>
      <c r="Z138" s="262"/>
      <c r="AA138" s="262"/>
      <c r="AB138" s="262"/>
      <c r="AC138" s="262"/>
      <c r="AD138" s="262"/>
      <c r="AE138" s="262"/>
      <c r="AF138" s="262"/>
      <c r="AG138" s="262"/>
      <c r="AH138" s="262"/>
      <c r="AI138" s="262"/>
      <c r="AJ138" s="262"/>
      <c r="AK138" s="262"/>
      <c r="AL138" s="262"/>
      <c r="AM138" s="262"/>
      <c r="AN138" s="262"/>
      <c r="AO138" s="263"/>
      <c r="AP138" s="263"/>
      <c r="AQ138" s="263"/>
      <c r="AR138" s="264"/>
      <c r="AS138" s="265"/>
      <c r="AT138" s="259"/>
      <c r="AU138" s="264"/>
      <c r="AV138" s="256"/>
      <c r="AW138" s="258"/>
      <c r="AX138" s="258"/>
      <c r="AY138" s="258"/>
      <c r="AZ138" s="258"/>
      <c r="BA138" s="256"/>
      <c r="BB138" s="256"/>
      <c r="BC138" s="258"/>
      <c r="BD138" s="266"/>
      <c r="BE138" s="258"/>
      <c r="BF138" s="265"/>
      <c r="BG138" s="265"/>
      <c r="BH138" s="265"/>
      <c r="BI138" s="257"/>
      <c r="BJ138" s="257"/>
      <c r="BK138" s="257"/>
      <c r="BL138" s="257"/>
      <c r="BM138" s="272"/>
      <c r="BN138" s="114" t="str">
        <f t="shared" si="14"/>
        <v/>
      </c>
    </row>
    <row r="139" spans="1:66" x14ac:dyDescent="0.2">
      <c r="A139" s="255"/>
      <c r="B139" s="256"/>
      <c r="C139" s="257"/>
      <c r="D139" s="258"/>
      <c r="E139" s="207" t="str">
        <f t="shared" si="12"/>
        <v xml:space="preserve"> </v>
      </c>
      <c r="F139" s="217" t="str">
        <f t="shared" ca="1" si="13"/>
        <v/>
      </c>
      <c r="G139" s="256"/>
      <c r="H139" s="256"/>
      <c r="I139" s="256"/>
      <c r="J139" s="256"/>
      <c r="K139" s="256"/>
      <c r="L139" s="259"/>
      <c r="M139" s="256"/>
      <c r="N139" s="256"/>
      <c r="O139" s="256"/>
      <c r="P139" s="260"/>
      <c r="Q139" s="261"/>
      <c r="R139" s="267"/>
      <c r="S139" s="258"/>
      <c r="T139" s="262"/>
      <c r="U139" s="262"/>
      <c r="V139" s="262"/>
      <c r="W139" s="262"/>
      <c r="X139" s="262"/>
      <c r="Y139" s="262"/>
      <c r="Z139" s="262"/>
      <c r="AA139" s="262"/>
      <c r="AB139" s="262"/>
      <c r="AC139" s="262"/>
      <c r="AD139" s="262"/>
      <c r="AE139" s="262"/>
      <c r="AF139" s="262"/>
      <c r="AG139" s="262"/>
      <c r="AH139" s="262"/>
      <c r="AI139" s="262"/>
      <c r="AJ139" s="262"/>
      <c r="AK139" s="262"/>
      <c r="AL139" s="262"/>
      <c r="AM139" s="262"/>
      <c r="AN139" s="262"/>
      <c r="AO139" s="263"/>
      <c r="AP139" s="263"/>
      <c r="AQ139" s="263"/>
      <c r="AR139" s="264"/>
      <c r="AS139" s="265"/>
      <c r="AT139" s="259"/>
      <c r="AU139" s="264"/>
      <c r="AV139" s="256"/>
      <c r="AW139" s="258"/>
      <c r="AX139" s="258"/>
      <c r="AY139" s="258"/>
      <c r="AZ139" s="258"/>
      <c r="BA139" s="256"/>
      <c r="BB139" s="256"/>
      <c r="BC139" s="258"/>
      <c r="BD139" s="266"/>
      <c r="BE139" s="258"/>
      <c r="BF139" s="265"/>
      <c r="BG139" s="265"/>
      <c r="BH139" s="265"/>
      <c r="BI139" s="257"/>
      <c r="BJ139" s="257"/>
      <c r="BK139" s="257"/>
      <c r="BL139" s="257"/>
      <c r="BM139" s="272"/>
      <c r="BN139" s="114" t="str">
        <f t="shared" si="14"/>
        <v/>
      </c>
    </row>
    <row r="140" spans="1:66" x14ac:dyDescent="0.2">
      <c r="A140" s="255"/>
      <c r="B140" s="256"/>
      <c r="C140" s="257"/>
      <c r="D140" s="258"/>
      <c r="E140" s="207" t="str">
        <f t="shared" si="12"/>
        <v xml:space="preserve"> </v>
      </c>
      <c r="F140" s="217" t="str">
        <f t="shared" ca="1" si="13"/>
        <v/>
      </c>
      <c r="G140" s="256"/>
      <c r="H140" s="256"/>
      <c r="I140" s="256"/>
      <c r="J140" s="256"/>
      <c r="K140" s="256"/>
      <c r="L140" s="259"/>
      <c r="M140" s="256"/>
      <c r="N140" s="256"/>
      <c r="O140" s="256"/>
      <c r="P140" s="260"/>
      <c r="Q140" s="261"/>
      <c r="R140" s="267"/>
      <c r="S140" s="258"/>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3"/>
      <c r="AP140" s="263"/>
      <c r="AQ140" s="263"/>
      <c r="AR140" s="264"/>
      <c r="AS140" s="265"/>
      <c r="AT140" s="259"/>
      <c r="AU140" s="264"/>
      <c r="AV140" s="256"/>
      <c r="AW140" s="258"/>
      <c r="AX140" s="258"/>
      <c r="AY140" s="258"/>
      <c r="AZ140" s="258"/>
      <c r="BA140" s="256"/>
      <c r="BB140" s="256"/>
      <c r="BC140" s="258"/>
      <c r="BD140" s="266"/>
      <c r="BE140" s="258"/>
      <c r="BF140" s="265"/>
      <c r="BG140" s="265"/>
      <c r="BH140" s="265"/>
      <c r="BI140" s="257"/>
      <c r="BJ140" s="257"/>
      <c r="BK140" s="257"/>
      <c r="BL140" s="257"/>
      <c r="BM140" s="272"/>
      <c r="BN140" s="114" t="str">
        <f t="shared" si="14"/>
        <v/>
      </c>
    </row>
    <row r="141" spans="1:66" x14ac:dyDescent="0.2">
      <c r="A141" s="255"/>
      <c r="B141" s="256"/>
      <c r="C141" s="257"/>
      <c r="D141" s="258"/>
      <c r="E141" s="207" t="str">
        <f t="shared" si="12"/>
        <v xml:space="preserve"> </v>
      </c>
      <c r="F141" s="217" t="str">
        <f t="shared" ca="1" si="13"/>
        <v/>
      </c>
      <c r="G141" s="256"/>
      <c r="H141" s="256"/>
      <c r="I141" s="256"/>
      <c r="J141" s="256"/>
      <c r="K141" s="256"/>
      <c r="L141" s="259"/>
      <c r="M141" s="256"/>
      <c r="N141" s="256"/>
      <c r="O141" s="256"/>
      <c r="P141" s="260"/>
      <c r="Q141" s="261"/>
      <c r="R141" s="267"/>
      <c r="S141" s="258"/>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3"/>
      <c r="AP141" s="263"/>
      <c r="AQ141" s="263"/>
      <c r="AR141" s="264"/>
      <c r="AS141" s="265"/>
      <c r="AT141" s="259"/>
      <c r="AU141" s="264"/>
      <c r="AV141" s="256"/>
      <c r="AW141" s="258"/>
      <c r="AX141" s="258"/>
      <c r="AY141" s="258"/>
      <c r="AZ141" s="258"/>
      <c r="BA141" s="256"/>
      <c r="BB141" s="256"/>
      <c r="BC141" s="258"/>
      <c r="BD141" s="266"/>
      <c r="BE141" s="258"/>
      <c r="BF141" s="265"/>
      <c r="BG141" s="265"/>
      <c r="BH141" s="265"/>
      <c r="BI141" s="257"/>
      <c r="BJ141" s="257"/>
      <c r="BK141" s="257"/>
      <c r="BL141" s="257"/>
      <c r="BM141" s="272"/>
      <c r="BN141" s="114" t="str">
        <f t="shared" si="14"/>
        <v/>
      </c>
    </row>
    <row r="142" spans="1:66" x14ac:dyDescent="0.2">
      <c r="A142" s="255"/>
      <c r="B142" s="256"/>
      <c r="C142" s="257"/>
      <c r="D142" s="258"/>
      <c r="E142" s="207" t="str">
        <f t="shared" si="12"/>
        <v xml:space="preserve"> </v>
      </c>
      <c r="F142" s="217" t="str">
        <f t="shared" ca="1" si="13"/>
        <v/>
      </c>
      <c r="G142" s="256"/>
      <c r="H142" s="256"/>
      <c r="I142" s="256"/>
      <c r="J142" s="256"/>
      <c r="K142" s="256"/>
      <c r="L142" s="259"/>
      <c r="M142" s="256"/>
      <c r="N142" s="256"/>
      <c r="O142" s="256"/>
      <c r="P142" s="260"/>
      <c r="Q142" s="261"/>
      <c r="R142" s="267"/>
      <c r="S142" s="258"/>
      <c r="T142" s="262"/>
      <c r="U142" s="262"/>
      <c r="V142" s="262"/>
      <c r="W142" s="262"/>
      <c r="X142" s="262"/>
      <c r="Y142" s="262"/>
      <c r="Z142" s="262"/>
      <c r="AA142" s="262"/>
      <c r="AB142" s="262"/>
      <c r="AC142" s="262"/>
      <c r="AD142" s="262"/>
      <c r="AE142" s="262"/>
      <c r="AF142" s="262"/>
      <c r="AG142" s="262"/>
      <c r="AH142" s="262"/>
      <c r="AI142" s="262"/>
      <c r="AJ142" s="262"/>
      <c r="AK142" s="262"/>
      <c r="AL142" s="262"/>
      <c r="AM142" s="262"/>
      <c r="AN142" s="262"/>
      <c r="AO142" s="263"/>
      <c r="AP142" s="263"/>
      <c r="AQ142" s="263"/>
      <c r="AR142" s="264"/>
      <c r="AS142" s="265"/>
      <c r="AT142" s="259"/>
      <c r="AU142" s="264"/>
      <c r="AV142" s="256"/>
      <c r="AW142" s="258"/>
      <c r="AX142" s="258"/>
      <c r="AY142" s="258"/>
      <c r="AZ142" s="258"/>
      <c r="BA142" s="256"/>
      <c r="BB142" s="256"/>
      <c r="BC142" s="258"/>
      <c r="BD142" s="266"/>
      <c r="BE142" s="258"/>
      <c r="BF142" s="265"/>
      <c r="BG142" s="265"/>
      <c r="BH142" s="265"/>
      <c r="BI142" s="257"/>
      <c r="BJ142" s="257"/>
      <c r="BK142" s="257"/>
      <c r="BL142" s="257"/>
      <c r="BM142" s="272"/>
      <c r="BN142" s="114" t="str">
        <f t="shared" si="14"/>
        <v/>
      </c>
    </row>
    <row r="143" spans="1:66" x14ac:dyDescent="0.2">
      <c r="A143" s="255"/>
      <c r="B143" s="256"/>
      <c r="C143" s="257"/>
      <c r="D143" s="258"/>
      <c r="E143" s="207" t="str">
        <f t="shared" si="12"/>
        <v xml:space="preserve"> </v>
      </c>
      <c r="F143" s="217" t="str">
        <f t="shared" ca="1" si="13"/>
        <v/>
      </c>
      <c r="G143" s="256"/>
      <c r="H143" s="256"/>
      <c r="I143" s="256"/>
      <c r="J143" s="256"/>
      <c r="K143" s="256"/>
      <c r="L143" s="259"/>
      <c r="M143" s="256"/>
      <c r="N143" s="256"/>
      <c r="O143" s="256"/>
      <c r="P143" s="260"/>
      <c r="Q143" s="261"/>
      <c r="R143" s="267"/>
      <c r="S143" s="258"/>
      <c r="T143" s="262"/>
      <c r="U143" s="262"/>
      <c r="V143" s="262"/>
      <c r="W143" s="262"/>
      <c r="X143" s="262"/>
      <c r="Y143" s="262"/>
      <c r="Z143" s="262"/>
      <c r="AA143" s="262"/>
      <c r="AB143" s="262"/>
      <c r="AC143" s="262"/>
      <c r="AD143" s="262"/>
      <c r="AE143" s="262"/>
      <c r="AF143" s="262"/>
      <c r="AG143" s="262"/>
      <c r="AH143" s="262"/>
      <c r="AI143" s="262"/>
      <c r="AJ143" s="262"/>
      <c r="AK143" s="262"/>
      <c r="AL143" s="262"/>
      <c r="AM143" s="262"/>
      <c r="AN143" s="262"/>
      <c r="AO143" s="263"/>
      <c r="AP143" s="263"/>
      <c r="AQ143" s="263"/>
      <c r="AR143" s="264"/>
      <c r="AS143" s="265"/>
      <c r="AT143" s="259"/>
      <c r="AU143" s="264"/>
      <c r="AV143" s="256"/>
      <c r="AW143" s="258"/>
      <c r="AX143" s="258"/>
      <c r="AY143" s="258"/>
      <c r="AZ143" s="258"/>
      <c r="BA143" s="256"/>
      <c r="BB143" s="256"/>
      <c r="BC143" s="258"/>
      <c r="BD143" s="266"/>
      <c r="BE143" s="258"/>
      <c r="BF143" s="265"/>
      <c r="BG143" s="265"/>
      <c r="BH143" s="265"/>
      <c r="BI143" s="257"/>
      <c r="BJ143" s="257"/>
      <c r="BK143" s="257"/>
      <c r="BL143" s="257"/>
      <c r="BM143" s="272"/>
      <c r="BN143" s="114" t="str">
        <f t="shared" si="14"/>
        <v/>
      </c>
    </row>
    <row r="144" spans="1:66" x14ac:dyDescent="0.2">
      <c r="A144" s="255"/>
      <c r="B144" s="256"/>
      <c r="C144" s="257"/>
      <c r="D144" s="258"/>
      <c r="E144" s="207" t="str">
        <f t="shared" si="12"/>
        <v xml:space="preserve"> </v>
      </c>
      <c r="F144" s="217" t="str">
        <f t="shared" ca="1" si="13"/>
        <v/>
      </c>
      <c r="G144" s="256"/>
      <c r="H144" s="256"/>
      <c r="I144" s="256"/>
      <c r="J144" s="256"/>
      <c r="K144" s="256"/>
      <c r="L144" s="259"/>
      <c r="M144" s="256"/>
      <c r="N144" s="256"/>
      <c r="O144" s="256"/>
      <c r="P144" s="260"/>
      <c r="Q144" s="261"/>
      <c r="R144" s="267"/>
      <c r="S144" s="258"/>
      <c r="T144" s="262"/>
      <c r="U144" s="262"/>
      <c r="V144" s="262"/>
      <c r="W144" s="262"/>
      <c r="X144" s="262"/>
      <c r="Y144" s="262"/>
      <c r="Z144" s="262"/>
      <c r="AA144" s="262"/>
      <c r="AB144" s="262"/>
      <c r="AC144" s="262"/>
      <c r="AD144" s="262"/>
      <c r="AE144" s="262"/>
      <c r="AF144" s="262"/>
      <c r="AG144" s="262"/>
      <c r="AH144" s="262"/>
      <c r="AI144" s="262"/>
      <c r="AJ144" s="262"/>
      <c r="AK144" s="262"/>
      <c r="AL144" s="262"/>
      <c r="AM144" s="262"/>
      <c r="AN144" s="262"/>
      <c r="AO144" s="263"/>
      <c r="AP144" s="263"/>
      <c r="AQ144" s="263"/>
      <c r="AR144" s="264"/>
      <c r="AS144" s="265"/>
      <c r="AT144" s="259"/>
      <c r="AU144" s="264"/>
      <c r="AV144" s="256"/>
      <c r="AW144" s="258"/>
      <c r="AX144" s="258"/>
      <c r="AY144" s="258"/>
      <c r="AZ144" s="258"/>
      <c r="BA144" s="256"/>
      <c r="BB144" s="256"/>
      <c r="BC144" s="258"/>
      <c r="BD144" s="266"/>
      <c r="BE144" s="258"/>
      <c r="BF144" s="265"/>
      <c r="BG144" s="265"/>
      <c r="BH144" s="265"/>
      <c r="BI144" s="257"/>
      <c r="BJ144" s="257"/>
      <c r="BK144" s="257"/>
      <c r="BL144" s="257"/>
      <c r="BM144" s="272"/>
      <c r="BN144" s="114" t="str">
        <f t="shared" si="14"/>
        <v/>
      </c>
    </row>
    <row r="145" spans="1:66" x14ac:dyDescent="0.2">
      <c r="A145" s="255"/>
      <c r="B145" s="256"/>
      <c r="C145" s="257"/>
      <c r="D145" s="258"/>
      <c r="E145" s="207" t="str">
        <f t="shared" si="12"/>
        <v xml:space="preserve"> </v>
      </c>
      <c r="F145" s="217" t="str">
        <f t="shared" ca="1" si="13"/>
        <v/>
      </c>
      <c r="G145" s="256"/>
      <c r="H145" s="256"/>
      <c r="I145" s="256"/>
      <c r="J145" s="256"/>
      <c r="K145" s="256"/>
      <c r="L145" s="259"/>
      <c r="M145" s="256"/>
      <c r="N145" s="256"/>
      <c r="O145" s="256"/>
      <c r="P145" s="260"/>
      <c r="Q145" s="261"/>
      <c r="R145" s="267"/>
      <c r="S145" s="258"/>
      <c r="T145" s="262"/>
      <c r="U145" s="262"/>
      <c r="V145" s="262"/>
      <c r="W145" s="262"/>
      <c r="X145" s="262"/>
      <c r="Y145" s="262"/>
      <c r="Z145" s="262"/>
      <c r="AA145" s="262"/>
      <c r="AB145" s="262"/>
      <c r="AC145" s="262"/>
      <c r="AD145" s="262"/>
      <c r="AE145" s="262"/>
      <c r="AF145" s="262"/>
      <c r="AG145" s="262"/>
      <c r="AH145" s="262"/>
      <c r="AI145" s="262"/>
      <c r="AJ145" s="262"/>
      <c r="AK145" s="262"/>
      <c r="AL145" s="262"/>
      <c r="AM145" s="262"/>
      <c r="AN145" s="262"/>
      <c r="AO145" s="263"/>
      <c r="AP145" s="263"/>
      <c r="AQ145" s="263"/>
      <c r="AR145" s="264"/>
      <c r="AS145" s="265"/>
      <c r="AT145" s="259"/>
      <c r="AU145" s="264"/>
      <c r="AV145" s="256"/>
      <c r="AW145" s="258"/>
      <c r="AX145" s="258"/>
      <c r="AY145" s="258"/>
      <c r="AZ145" s="258"/>
      <c r="BA145" s="256"/>
      <c r="BB145" s="256"/>
      <c r="BC145" s="258"/>
      <c r="BD145" s="266"/>
      <c r="BE145" s="258"/>
      <c r="BF145" s="265"/>
      <c r="BG145" s="265"/>
      <c r="BH145" s="265"/>
      <c r="BI145" s="257"/>
      <c r="BJ145" s="257"/>
      <c r="BK145" s="257"/>
      <c r="BL145" s="257"/>
      <c r="BM145" s="272"/>
      <c r="BN145" s="114" t="str">
        <f t="shared" si="14"/>
        <v/>
      </c>
    </row>
    <row r="146" spans="1:66" x14ac:dyDescent="0.2">
      <c r="A146" s="255"/>
      <c r="B146" s="256"/>
      <c r="C146" s="257"/>
      <c r="D146" s="258"/>
      <c r="E146" s="207" t="str">
        <f t="shared" si="12"/>
        <v xml:space="preserve"> </v>
      </c>
      <c r="F146" s="217" t="str">
        <f t="shared" ca="1" si="13"/>
        <v/>
      </c>
      <c r="G146" s="256"/>
      <c r="H146" s="256"/>
      <c r="I146" s="256"/>
      <c r="J146" s="256"/>
      <c r="K146" s="256"/>
      <c r="L146" s="259"/>
      <c r="M146" s="256"/>
      <c r="N146" s="256"/>
      <c r="O146" s="256"/>
      <c r="P146" s="260"/>
      <c r="Q146" s="261"/>
      <c r="R146" s="267"/>
      <c r="S146" s="258"/>
      <c r="T146" s="262"/>
      <c r="U146" s="262"/>
      <c r="V146" s="262"/>
      <c r="W146" s="262"/>
      <c r="X146" s="262"/>
      <c r="Y146" s="262"/>
      <c r="Z146" s="262"/>
      <c r="AA146" s="262"/>
      <c r="AB146" s="262"/>
      <c r="AC146" s="262"/>
      <c r="AD146" s="262"/>
      <c r="AE146" s="262"/>
      <c r="AF146" s="262"/>
      <c r="AG146" s="262"/>
      <c r="AH146" s="262"/>
      <c r="AI146" s="262"/>
      <c r="AJ146" s="262"/>
      <c r="AK146" s="262"/>
      <c r="AL146" s="262"/>
      <c r="AM146" s="262"/>
      <c r="AN146" s="262"/>
      <c r="AO146" s="263"/>
      <c r="AP146" s="263"/>
      <c r="AQ146" s="263"/>
      <c r="AR146" s="264"/>
      <c r="AS146" s="265"/>
      <c r="AT146" s="259"/>
      <c r="AU146" s="264"/>
      <c r="AV146" s="256"/>
      <c r="AW146" s="258"/>
      <c r="AX146" s="258"/>
      <c r="AY146" s="258"/>
      <c r="AZ146" s="258"/>
      <c r="BA146" s="256"/>
      <c r="BB146" s="256"/>
      <c r="BC146" s="258"/>
      <c r="BD146" s="266"/>
      <c r="BE146" s="258"/>
      <c r="BF146" s="265"/>
      <c r="BG146" s="265"/>
      <c r="BH146" s="265"/>
      <c r="BI146" s="257"/>
      <c r="BJ146" s="257"/>
      <c r="BK146" s="257"/>
      <c r="BL146" s="257"/>
      <c r="BM146" s="272"/>
      <c r="BN146" s="114" t="str">
        <f t="shared" si="14"/>
        <v/>
      </c>
    </row>
    <row r="147" spans="1:66" x14ac:dyDescent="0.2">
      <c r="A147" s="255"/>
      <c r="B147" s="256"/>
      <c r="C147" s="257"/>
      <c r="D147" s="258"/>
      <c r="E147" s="207" t="str">
        <f t="shared" si="12"/>
        <v xml:space="preserve"> </v>
      </c>
      <c r="F147" s="217" t="str">
        <f t="shared" ca="1" si="13"/>
        <v/>
      </c>
      <c r="G147" s="256"/>
      <c r="H147" s="256"/>
      <c r="I147" s="256"/>
      <c r="J147" s="256"/>
      <c r="K147" s="256"/>
      <c r="L147" s="259"/>
      <c r="M147" s="256"/>
      <c r="N147" s="256"/>
      <c r="O147" s="256"/>
      <c r="P147" s="260"/>
      <c r="Q147" s="261"/>
      <c r="R147" s="267"/>
      <c r="S147" s="258"/>
      <c r="T147" s="262"/>
      <c r="U147" s="262"/>
      <c r="V147" s="262"/>
      <c r="W147" s="262"/>
      <c r="X147" s="262"/>
      <c r="Y147" s="262"/>
      <c r="Z147" s="262"/>
      <c r="AA147" s="262"/>
      <c r="AB147" s="262"/>
      <c r="AC147" s="262"/>
      <c r="AD147" s="262"/>
      <c r="AE147" s="262"/>
      <c r="AF147" s="262"/>
      <c r="AG147" s="262"/>
      <c r="AH147" s="262"/>
      <c r="AI147" s="262"/>
      <c r="AJ147" s="262"/>
      <c r="AK147" s="262"/>
      <c r="AL147" s="262"/>
      <c r="AM147" s="262"/>
      <c r="AN147" s="262"/>
      <c r="AO147" s="263"/>
      <c r="AP147" s="263"/>
      <c r="AQ147" s="263"/>
      <c r="AR147" s="264"/>
      <c r="AS147" s="265"/>
      <c r="AT147" s="259"/>
      <c r="AU147" s="264"/>
      <c r="AV147" s="256"/>
      <c r="AW147" s="258"/>
      <c r="AX147" s="258"/>
      <c r="AY147" s="258"/>
      <c r="AZ147" s="258"/>
      <c r="BA147" s="256"/>
      <c r="BB147" s="256"/>
      <c r="BC147" s="258"/>
      <c r="BD147" s="266"/>
      <c r="BE147" s="258"/>
      <c r="BF147" s="265"/>
      <c r="BG147" s="265"/>
      <c r="BH147" s="265"/>
      <c r="BI147" s="257"/>
      <c r="BJ147" s="257"/>
      <c r="BK147" s="257"/>
      <c r="BL147" s="257"/>
      <c r="BM147" s="272"/>
      <c r="BN147" s="114" t="str">
        <f t="shared" si="14"/>
        <v/>
      </c>
    </row>
    <row r="148" spans="1:66" x14ac:dyDescent="0.2">
      <c r="A148" s="255"/>
      <c r="B148" s="256"/>
      <c r="C148" s="257"/>
      <c r="D148" s="258"/>
      <c r="E148" s="207" t="str">
        <f t="shared" si="12"/>
        <v xml:space="preserve"> </v>
      </c>
      <c r="F148" s="217" t="str">
        <f t="shared" ca="1" si="13"/>
        <v/>
      </c>
      <c r="G148" s="256"/>
      <c r="H148" s="256"/>
      <c r="I148" s="256"/>
      <c r="J148" s="256"/>
      <c r="K148" s="256"/>
      <c r="L148" s="259"/>
      <c r="M148" s="256"/>
      <c r="N148" s="256"/>
      <c r="O148" s="256"/>
      <c r="P148" s="260"/>
      <c r="Q148" s="261"/>
      <c r="R148" s="267"/>
      <c r="S148" s="258"/>
      <c r="T148" s="262"/>
      <c r="U148" s="262"/>
      <c r="V148" s="262"/>
      <c r="W148" s="262"/>
      <c r="X148" s="262"/>
      <c r="Y148" s="262"/>
      <c r="Z148" s="262"/>
      <c r="AA148" s="262"/>
      <c r="AB148" s="262"/>
      <c r="AC148" s="262"/>
      <c r="AD148" s="262"/>
      <c r="AE148" s="262"/>
      <c r="AF148" s="262"/>
      <c r="AG148" s="262"/>
      <c r="AH148" s="262"/>
      <c r="AI148" s="262"/>
      <c r="AJ148" s="262"/>
      <c r="AK148" s="262"/>
      <c r="AL148" s="262"/>
      <c r="AM148" s="262"/>
      <c r="AN148" s="262"/>
      <c r="AO148" s="263"/>
      <c r="AP148" s="263"/>
      <c r="AQ148" s="263"/>
      <c r="AR148" s="264"/>
      <c r="AS148" s="265"/>
      <c r="AT148" s="259"/>
      <c r="AU148" s="264"/>
      <c r="AV148" s="256"/>
      <c r="AW148" s="258"/>
      <c r="AX148" s="258"/>
      <c r="AY148" s="258"/>
      <c r="AZ148" s="258"/>
      <c r="BA148" s="256"/>
      <c r="BB148" s="256"/>
      <c r="BC148" s="258"/>
      <c r="BD148" s="266"/>
      <c r="BE148" s="258"/>
      <c r="BF148" s="265"/>
      <c r="BG148" s="265"/>
      <c r="BH148" s="265"/>
      <c r="BI148" s="257"/>
      <c r="BJ148" s="257"/>
      <c r="BK148" s="257"/>
      <c r="BL148" s="257"/>
      <c r="BM148" s="272"/>
      <c r="BN148" s="114" t="str">
        <f t="shared" si="14"/>
        <v/>
      </c>
    </row>
    <row r="149" spans="1:66" x14ac:dyDescent="0.2">
      <c r="A149" s="255"/>
      <c r="B149" s="256"/>
      <c r="C149" s="257"/>
      <c r="D149" s="258"/>
      <c r="E149" s="207" t="str">
        <f t="shared" si="12"/>
        <v xml:space="preserve"> </v>
      </c>
      <c r="F149" s="217" t="str">
        <f t="shared" ca="1" si="13"/>
        <v/>
      </c>
      <c r="G149" s="256"/>
      <c r="H149" s="256"/>
      <c r="I149" s="256"/>
      <c r="J149" s="256"/>
      <c r="K149" s="256"/>
      <c r="L149" s="259"/>
      <c r="M149" s="256"/>
      <c r="N149" s="256"/>
      <c r="O149" s="256"/>
      <c r="P149" s="260"/>
      <c r="Q149" s="261"/>
      <c r="R149" s="267"/>
      <c r="S149" s="258"/>
      <c r="T149" s="262"/>
      <c r="U149" s="262"/>
      <c r="V149" s="262"/>
      <c r="W149" s="262"/>
      <c r="X149" s="262"/>
      <c r="Y149" s="262"/>
      <c r="Z149" s="262"/>
      <c r="AA149" s="262"/>
      <c r="AB149" s="262"/>
      <c r="AC149" s="262"/>
      <c r="AD149" s="262"/>
      <c r="AE149" s="262"/>
      <c r="AF149" s="262"/>
      <c r="AG149" s="262"/>
      <c r="AH149" s="262"/>
      <c r="AI149" s="262"/>
      <c r="AJ149" s="262"/>
      <c r="AK149" s="262"/>
      <c r="AL149" s="262"/>
      <c r="AM149" s="262"/>
      <c r="AN149" s="262"/>
      <c r="AO149" s="263"/>
      <c r="AP149" s="263"/>
      <c r="AQ149" s="263"/>
      <c r="AR149" s="264"/>
      <c r="AS149" s="265"/>
      <c r="AT149" s="259"/>
      <c r="AU149" s="264"/>
      <c r="AV149" s="256"/>
      <c r="AW149" s="258"/>
      <c r="AX149" s="258"/>
      <c r="AY149" s="258"/>
      <c r="AZ149" s="258"/>
      <c r="BA149" s="256"/>
      <c r="BB149" s="256"/>
      <c r="BC149" s="258"/>
      <c r="BD149" s="266"/>
      <c r="BE149" s="258"/>
      <c r="BF149" s="265"/>
      <c r="BG149" s="265"/>
      <c r="BH149" s="265"/>
      <c r="BI149" s="257"/>
      <c r="BJ149" s="257"/>
      <c r="BK149" s="257"/>
      <c r="BL149" s="257"/>
      <c r="BM149" s="272"/>
      <c r="BN149" s="114" t="str">
        <f t="shared" si="14"/>
        <v/>
      </c>
    </row>
    <row r="150" spans="1:66" x14ac:dyDescent="0.2">
      <c r="A150" s="255"/>
      <c r="B150" s="256"/>
      <c r="C150" s="257"/>
      <c r="D150" s="258"/>
      <c r="E150" s="207" t="str">
        <f t="shared" si="12"/>
        <v xml:space="preserve"> </v>
      </c>
      <c r="F150" s="217" t="str">
        <f t="shared" ca="1" si="13"/>
        <v/>
      </c>
      <c r="G150" s="256"/>
      <c r="H150" s="256"/>
      <c r="I150" s="256"/>
      <c r="J150" s="256"/>
      <c r="K150" s="256"/>
      <c r="L150" s="259"/>
      <c r="M150" s="256"/>
      <c r="N150" s="256"/>
      <c r="O150" s="256"/>
      <c r="P150" s="260"/>
      <c r="Q150" s="261"/>
      <c r="R150" s="267"/>
      <c r="S150" s="258"/>
      <c r="T150" s="262"/>
      <c r="U150" s="262"/>
      <c r="V150" s="262"/>
      <c r="W150" s="262"/>
      <c r="X150" s="262"/>
      <c r="Y150" s="262"/>
      <c r="Z150" s="262"/>
      <c r="AA150" s="262"/>
      <c r="AB150" s="262"/>
      <c r="AC150" s="262"/>
      <c r="AD150" s="262"/>
      <c r="AE150" s="262"/>
      <c r="AF150" s="262"/>
      <c r="AG150" s="262"/>
      <c r="AH150" s="262"/>
      <c r="AI150" s="262"/>
      <c r="AJ150" s="262"/>
      <c r="AK150" s="262"/>
      <c r="AL150" s="262"/>
      <c r="AM150" s="262"/>
      <c r="AN150" s="262"/>
      <c r="AO150" s="263"/>
      <c r="AP150" s="263"/>
      <c r="AQ150" s="263"/>
      <c r="AR150" s="264"/>
      <c r="AS150" s="265"/>
      <c r="AT150" s="259"/>
      <c r="AU150" s="264"/>
      <c r="AV150" s="256"/>
      <c r="AW150" s="258"/>
      <c r="AX150" s="258"/>
      <c r="AY150" s="258"/>
      <c r="AZ150" s="258"/>
      <c r="BA150" s="256"/>
      <c r="BB150" s="256"/>
      <c r="BC150" s="258"/>
      <c r="BD150" s="266"/>
      <c r="BE150" s="258"/>
      <c r="BF150" s="265"/>
      <c r="BG150" s="265"/>
      <c r="BH150" s="265"/>
      <c r="BI150" s="257"/>
      <c r="BJ150" s="257"/>
      <c r="BK150" s="257"/>
      <c r="BL150" s="257"/>
      <c r="BM150" s="272"/>
      <c r="BN150" s="114" t="str">
        <f t="shared" si="14"/>
        <v/>
      </c>
    </row>
    <row r="151" spans="1:66" x14ac:dyDescent="0.2">
      <c r="A151" s="255"/>
      <c r="B151" s="256"/>
      <c r="C151" s="257"/>
      <c r="D151" s="258"/>
      <c r="E151" s="207" t="str">
        <f t="shared" si="12"/>
        <v xml:space="preserve"> </v>
      </c>
      <c r="F151" s="217" t="str">
        <f t="shared" ca="1" si="13"/>
        <v/>
      </c>
      <c r="G151" s="256"/>
      <c r="H151" s="256"/>
      <c r="I151" s="256"/>
      <c r="J151" s="256"/>
      <c r="K151" s="256"/>
      <c r="L151" s="259"/>
      <c r="M151" s="256"/>
      <c r="N151" s="256"/>
      <c r="O151" s="256"/>
      <c r="P151" s="260"/>
      <c r="Q151" s="261"/>
      <c r="R151" s="267"/>
      <c r="S151" s="258"/>
      <c r="T151" s="262"/>
      <c r="U151" s="262"/>
      <c r="V151" s="262"/>
      <c r="W151" s="262"/>
      <c r="X151" s="262"/>
      <c r="Y151" s="262"/>
      <c r="Z151" s="262"/>
      <c r="AA151" s="262"/>
      <c r="AB151" s="262"/>
      <c r="AC151" s="262"/>
      <c r="AD151" s="262"/>
      <c r="AE151" s="262"/>
      <c r="AF151" s="262"/>
      <c r="AG151" s="262"/>
      <c r="AH151" s="262"/>
      <c r="AI151" s="262"/>
      <c r="AJ151" s="262"/>
      <c r="AK151" s="262"/>
      <c r="AL151" s="262"/>
      <c r="AM151" s="262"/>
      <c r="AN151" s="262"/>
      <c r="AO151" s="263"/>
      <c r="AP151" s="263"/>
      <c r="AQ151" s="263"/>
      <c r="AR151" s="264"/>
      <c r="AS151" s="265"/>
      <c r="AT151" s="259"/>
      <c r="AU151" s="264"/>
      <c r="AV151" s="256"/>
      <c r="AW151" s="258"/>
      <c r="AX151" s="258"/>
      <c r="AY151" s="258"/>
      <c r="AZ151" s="258"/>
      <c r="BA151" s="256"/>
      <c r="BB151" s="256"/>
      <c r="BC151" s="258"/>
      <c r="BD151" s="266"/>
      <c r="BE151" s="258"/>
      <c r="BF151" s="265"/>
      <c r="BG151" s="265"/>
      <c r="BH151" s="265"/>
      <c r="BI151" s="257"/>
      <c r="BJ151" s="257"/>
      <c r="BK151" s="257"/>
      <c r="BL151" s="257"/>
      <c r="BM151" s="272"/>
      <c r="BN151" s="114" t="str">
        <f t="shared" si="14"/>
        <v/>
      </c>
    </row>
    <row r="152" spans="1:66" x14ac:dyDescent="0.2">
      <c r="A152" s="255"/>
      <c r="B152" s="256"/>
      <c r="C152" s="257"/>
      <c r="D152" s="258"/>
      <c r="E152" s="207" t="str">
        <f t="shared" si="12"/>
        <v xml:space="preserve"> </v>
      </c>
      <c r="F152" s="217" t="str">
        <f t="shared" ca="1" si="13"/>
        <v/>
      </c>
      <c r="G152" s="256"/>
      <c r="H152" s="256"/>
      <c r="I152" s="256"/>
      <c r="J152" s="256"/>
      <c r="K152" s="256"/>
      <c r="L152" s="259"/>
      <c r="M152" s="256"/>
      <c r="N152" s="256"/>
      <c r="O152" s="256"/>
      <c r="P152" s="260"/>
      <c r="Q152" s="261"/>
      <c r="R152" s="267"/>
      <c r="S152" s="258"/>
      <c r="T152" s="262"/>
      <c r="U152" s="262"/>
      <c r="V152" s="262"/>
      <c r="W152" s="262"/>
      <c r="X152" s="262"/>
      <c r="Y152" s="262"/>
      <c r="Z152" s="262"/>
      <c r="AA152" s="262"/>
      <c r="AB152" s="262"/>
      <c r="AC152" s="262"/>
      <c r="AD152" s="262"/>
      <c r="AE152" s="262"/>
      <c r="AF152" s="262"/>
      <c r="AG152" s="262"/>
      <c r="AH152" s="262"/>
      <c r="AI152" s="262"/>
      <c r="AJ152" s="262"/>
      <c r="AK152" s="262"/>
      <c r="AL152" s="262"/>
      <c r="AM152" s="262"/>
      <c r="AN152" s="262"/>
      <c r="AO152" s="263"/>
      <c r="AP152" s="263"/>
      <c r="AQ152" s="263"/>
      <c r="AR152" s="264"/>
      <c r="AS152" s="265"/>
      <c r="AT152" s="259"/>
      <c r="AU152" s="264"/>
      <c r="AV152" s="256"/>
      <c r="AW152" s="258"/>
      <c r="AX152" s="258"/>
      <c r="AY152" s="258"/>
      <c r="AZ152" s="258"/>
      <c r="BA152" s="256"/>
      <c r="BB152" s="256"/>
      <c r="BC152" s="258"/>
      <c r="BD152" s="266"/>
      <c r="BE152" s="258"/>
      <c r="BF152" s="265"/>
      <c r="BG152" s="265"/>
      <c r="BH152" s="265"/>
      <c r="BI152" s="257"/>
      <c r="BJ152" s="257"/>
      <c r="BK152" s="257"/>
      <c r="BL152" s="257"/>
      <c r="BM152" s="272"/>
      <c r="BN152" s="114" t="str">
        <f t="shared" si="14"/>
        <v/>
      </c>
    </row>
    <row r="153" spans="1:66" x14ac:dyDescent="0.2">
      <c r="A153" s="255"/>
      <c r="B153" s="256"/>
      <c r="C153" s="257"/>
      <c r="D153" s="258"/>
      <c r="E153" s="207" t="str">
        <f t="shared" si="12"/>
        <v xml:space="preserve"> </v>
      </c>
      <c r="F153" s="217" t="str">
        <f t="shared" ca="1" si="13"/>
        <v/>
      </c>
      <c r="G153" s="256"/>
      <c r="H153" s="256"/>
      <c r="I153" s="256"/>
      <c r="J153" s="256"/>
      <c r="K153" s="256"/>
      <c r="L153" s="259"/>
      <c r="M153" s="256"/>
      <c r="N153" s="256"/>
      <c r="O153" s="256"/>
      <c r="P153" s="260"/>
      <c r="Q153" s="261"/>
      <c r="R153" s="267"/>
      <c r="S153" s="258"/>
      <c r="T153" s="262"/>
      <c r="U153" s="262"/>
      <c r="V153" s="262"/>
      <c r="W153" s="262"/>
      <c r="X153" s="262"/>
      <c r="Y153" s="262"/>
      <c r="Z153" s="262"/>
      <c r="AA153" s="262"/>
      <c r="AB153" s="262"/>
      <c r="AC153" s="262"/>
      <c r="AD153" s="262"/>
      <c r="AE153" s="262"/>
      <c r="AF153" s="262"/>
      <c r="AG153" s="262"/>
      <c r="AH153" s="262"/>
      <c r="AI153" s="262"/>
      <c r="AJ153" s="262"/>
      <c r="AK153" s="262"/>
      <c r="AL153" s="262"/>
      <c r="AM153" s="262"/>
      <c r="AN153" s="262"/>
      <c r="AO153" s="263"/>
      <c r="AP153" s="263"/>
      <c r="AQ153" s="263"/>
      <c r="AR153" s="264"/>
      <c r="AS153" s="265"/>
      <c r="AT153" s="259"/>
      <c r="AU153" s="264"/>
      <c r="AV153" s="256"/>
      <c r="AW153" s="258"/>
      <c r="AX153" s="258"/>
      <c r="AY153" s="258"/>
      <c r="AZ153" s="258"/>
      <c r="BA153" s="256"/>
      <c r="BB153" s="256"/>
      <c r="BC153" s="258"/>
      <c r="BD153" s="266"/>
      <c r="BE153" s="258"/>
      <c r="BF153" s="265"/>
      <c r="BG153" s="265"/>
      <c r="BH153" s="265"/>
      <c r="BI153" s="257"/>
      <c r="BJ153" s="257"/>
      <c r="BK153" s="257"/>
      <c r="BL153" s="257"/>
      <c r="BM153" s="272"/>
      <c r="BN153" s="114" t="str">
        <f t="shared" si="14"/>
        <v/>
      </c>
    </row>
    <row r="154" spans="1:66" x14ac:dyDescent="0.2">
      <c r="A154" s="255"/>
      <c r="B154" s="256"/>
      <c r="C154" s="257"/>
      <c r="D154" s="258"/>
      <c r="E154" s="207" t="str">
        <f t="shared" si="12"/>
        <v xml:space="preserve"> </v>
      </c>
      <c r="F154" s="217" t="str">
        <f t="shared" ca="1" si="13"/>
        <v/>
      </c>
      <c r="G154" s="256"/>
      <c r="H154" s="256"/>
      <c r="I154" s="256"/>
      <c r="J154" s="256"/>
      <c r="K154" s="256"/>
      <c r="L154" s="259"/>
      <c r="M154" s="256"/>
      <c r="N154" s="256"/>
      <c r="O154" s="256"/>
      <c r="P154" s="260"/>
      <c r="Q154" s="261"/>
      <c r="R154" s="267"/>
      <c r="S154" s="258"/>
      <c r="T154" s="262"/>
      <c r="U154" s="262"/>
      <c r="V154" s="262"/>
      <c r="W154" s="262"/>
      <c r="X154" s="262"/>
      <c r="Y154" s="262"/>
      <c r="Z154" s="262"/>
      <c r="AA154" s="262"/>
      <c r="AB154" s="262"/>
      <c r="AC154" s="262"/>
      <c r="AD154" s="262"/>
      <c r="AE154" s="262"/>
      <c r="AF154" s="262"/>
      <c r="AG154" s="262"/>
      <c r="AH154" s="262"/>
      <c r="AI154" s="262"/>
      <c r="AJ154" s="262"/>
      <c r="AK154" s="262"/>
      <c r="AL154" s="262"/>
      <c r="AM154" s="262"/>
      <c r="AN154" s="262"/>
      <c r="AO154" s="263"/>
      <c r="AP154" s="263"/>
      <c r="AQ154" s="263"/>
      <c r="AR154" s="264"/>
      <c r="AS154" s="265"/>
      <c r="AT154" s="259"/>
      <c r="AU154" s="264"/>
      <c r="AV154" s="256"/>
      <c r="AW154" s="258"/>
      <c r="AX154" s="258"/>
      <c r="AY154" s="258"/>
      <c r="AZ154" s="258"/>
      <c r="BA154" s="256"/>
      <c r="BB154" s="256"/>
      <c r="BC154" s="258"/>
      <c r="BD154" s="266"/>
      <c r="BE154" s="258"/>
      <c r="BF154" s="265"/>
      <c r="BG154" s="265"/>
      <c r="BH154" s="265"/>
      <c r="BI154" s="257"/>
      <c r="BJ154" s="257"/>
      <c r="BK154" s="257"/>
      <c r="BL154" s="257"/>
      <c r="BM154" s="272"/>
      <c r="BN154" s="114" t="str">
        <f t="shared" si="14"/>
        <v/>
      </c>
    </row>
    <row r="155" spans="1:66" x14ac:dyDescent="0.2">
      <c r="A155" s="255"/>
      <c r="B155" s="256"/>
      <c r="C155" s="257"/>
      <c r="D155" s="258"/>
      <c r="E155" s="207" t="str">
        <f t="shared" si="12"/>
        <v xml:space="preserve"> </v>
      </c>
      <c r="F155" s="217" t="str">
        <f t="shared" ca="1" si="13"/>
        <v/>
      </c>
      <c r="G155" s="256"/>
      <c r="H155" s="256"/>
      <c r="I155" s="256"/>
      <c r="J155" s="256"/>
      <c r="K155" s="256"/>
      <c r="L155" s="259"/>
      <c r="M155" s="256"/>
      <c r="N155" s="256"/>
      <c r="O155" s="256"/>
      <c r="P155" s="260"/>
      <c r="Q155" s="261"/>
      <c r="R155" s="267"/>
      <c r="S155" s="258"/>
      <c r="T155" s="262"/>
      <c r="U155" s="262"/>
      <c r="V155" s="262"/>
      <c r="W155" s="262"/>
      <c r="X155" s="262"/>
      <c r="Y155" s="262"/>
      <c r="Z155" s="262"/>
      <c r="AA155" s="262"/>
      <c r="AB155" s="262"/>
      <c r="AC155" s="262"/>
      <c r="AD155" s="262"/>
      <c r="AE155" s="262"/>
      <c r="AF155" s="262"/>
      <c r="AG155" s="262"/>
      <c r="AH155" s="262"/>
      <c r="AI155" s="262"/>
      <c r="AJ155" s="262"/>
      <c r="AK155" s="262"/>
      <c r="AL155" s="262"/>
      <c r="AM155" s="262"/>
      <c r="AN155" s="262"/>
      <c r="AO155" s="263"/>
      <c r="AP155" s="263"/>
      <c r="AQ155" s="263"/>
      <c r="AR155" s="264"/>
      <c r="AS155" s="265"/>
      <c r="AT155" s="259"/>
      <c r="AU155" s="264"/>
      <c r="AV155" s="256"/>
      <c r="AW155" s="258"/>
      <c r="AX155" s="258"/>
      <c r="AY155" s="258"/>
      <c r="AZ155" s="258"/>
      <c r="BA155" s="256"/>
      <c r="BB155" s="256"/>
      <c r="BC155" s="258"/>
      <c r="BD155" s="266"/>
      <c r="BE155" s="258"/>
      <c r="BF155" s="265"/>
      <c r="BG155" s="265"/>
      <c r="BH155" s="265"/>
      <c r="BI155" s="257"/>
      <c r="BJ155" s="257"/>
      <c r="BK155" s="257"/>
      <c r="BL155" s="257"/>
      <c r="BM155" s="272"/>
      <c r="BN155" s="114" t="str">
        <f t="shared" si="14"/>
        <v/>
      </c>
    </row>
    <row r="156" spans="1:66" x14ac:dyDescent="0.2">
      <c r="A156" s="255"/>
      <c r="B156" s="256"/>
      <c r="C156" s="257"/>
      <c r="D156" s="258"/>
      <c r="E156" s="207" t="str">
        <f t="shared" si="12"/>
        <v xml:space="preserve"> </v>
      </c>
      <c r="F156" s="217" t="str">
        <f t="shared" ca="1" si="13"/>
        <v/>
      </c>
      <c r="G156" s="256"/>
      <c r="H156" s="256"/>
      <c r="I156" s="256"/>
      <c r="J156" s="256"/>
      <c r="K156" s="256"/>
      <c r="L156" s="259"/>
      <c r="M156" s="256"/>
      <c r="N156" s="256"/>
      <c r="O156" s="256"/>
      <c r="P156" s="260"/>
      <c r="Q156" s="261"/>
      <c r="R156" s="267"/>
      <c r="S156" s="258"/>
      <c r="T156" s="262"/>
      <c r="U156" s="262"/>
      <c r="V156" s="262"/>
      <c r="W156" s="262"/>
      <c r="X156" s="262"/>
      <c r="Y156" s="262"/>
      <c r="Z156" s="262"/>
      <c r="AA156" s="262"/>
      <c r="AB156" s="262"/>
      <c r="AC156" s="262"/>
      <c r="AD156" s="262"/>
      <c r="AE156" s="262"/>
      <c r="AF156" s="262"/>
      <c r="AG156" s="262"/>
      <c r="AH156" s="262"/>
      <c r="AI156" s="262"/>
      <c r="AJ156" s="262"/>
      <c r="AK156" s="262"/>
      <c r="AL156" s="262"/>
      <c r="AM156" s="262"/>
      <c r="AN156" s="262"/>
      <c r="AO156" s="263"/>
      <c r="AP156" s="263"/>
      <c r="AQ156" s="263"/>
      <c r="AR156" s="264"/>
      <c r="AS156" s="265"/>
      <c r="AT156" s="259"/>
      <c r="AU156" s="264"/>
      <c r="AV156" s="256"/>
      <c r="AW156" s="258"/>
      <c r="AX156" s="258"/>
      <c r="AY156" s="258"/>
      <c r="AZ156" s="258"/>
      <c r="BA156" s="256"/>
      <c r="BB156" s="256"/>
      <c r="BC156" s="258"/>
      <c r="BD156" s="266"/>
      <c r="BE156" s="258"/>
      <c r="BF156" s="265"/>
      <c r="BG156" s="265"/>
      <c r="BH156" s="265"/>
      <c r="BI156" s="257"/>
      <c r="BJ156" s="257"/>
      <c r="BK156" s="257"/>
      <c r="BL156" s="257"/>
      <c r="BM156" s="272"/>
      <c r="BN156" s="114" t="str">
        <f t="shared" si="14"/>
        <v/>
      </c>
    </row>
    <row r="157" spans="1:66" x14ac:dyDescent="0.2">
      <c r="A157" s="255"/>
      <c r="B157" s="256"/>
      <c r="C157" s="257"/>
      <c r="D157" s="258"/>
      <c r="E157" s="207" t="str">
        <f t="shared" si="12"/>
        <v xml:space="preserve"> </v>
      </c>
      <c r="F157" s="217" t="str">
        <f t="shared" ca="1" si="13"/>
        <v/>
      </c>
      <c r="G157" s="256"/>
      <c r="H157" s="256"/>
      <c r="I157" s="256"/>
      <c r="J157" s="256"/>
      <c r="K157" s="256"/>
      <c r="L157" s="259"/>
      <c r="M157" s="256"/>
      <c r="N157" s="256"/>
      <c r="O157" s="256"/>
      <c r="P157" s="260"/>
      <c r="Q157" s="261"/>
      <c r="R157" s="267"/>
      <c r="S157" s="258"/>
      <c r="T157" s="262"/>
      <c r="U157" s="262"/>
      <c r="V157" s="262"/>
      <c r="W157" s="262"/>
      <c r="X157" s="262"/>
      <c r="Y157" s="262"/>
      <c r="Z157" s="262"/>
      <c r="AA157" s="262"/>
      <c r="AB157" s="262"/>
      <c r="AC157" s="262"/>
      <c r="AD157" s="262"/>
      <c r="AE157" s="262"/>
      <c r="AF157" s="262"/>
      <c r="AG157" s="262"/>
      <c r="AH157" s="262"/>
      <c r="AI157" s="262"/>
      <c r="AJ157" s="262"/>
      <c r="AK157" s="262"/>
      <c r="AL157" s="262"/>
      <c r="AM157" s="262"/>
      <c r="AN157" s="262"/>
      <c r="AO157" s="263"/>
      <c r="AP157" s="263"/>
      <c r="AQ157" s="263"/>
      <c r="AR157" s="264"/>
      <c r="AS157" s="265"/>
      <c r="AT157" s="259"/>
      <c r="AU157" s="264"/>
      <c r="AV157" s="256"/>
      <c r="AW157" s="258"/>
      <c r="AX157" s="258"/>
      <c r="AY157" s="258"/>
      <c r="AZ157" s="258"/>
      <c r="BA157" s="256"/>
      <c r="BB157" s="256"/>
      <c r="BC157" s="258"/>
      <c r="BD157" s="266"/>
      <c r="BE157" s="258"/>
      <c r="BF157" s="265"/>
      <c r="BG157" s="265"/>
      <c r="BH157" s="265"/>
      <c r="BI157" s="257"/>
      <c r="BJ157" s="257"/>
      <c r="BK157" s="257"/>
      <c r="BL157" s="257"/>
      <c r="BM157" s="272"/>
      <c r="BN157" s="114" t="str">
        <f t="shared" si="14"/>
        <v/>
      </c>
    </row>
    <row r="158" spans="1:66" x14ac:dyDescent="0.2">
      <c r="A158" s="255"/>
      <c r="B158" s="256"/>
      <c r="C158" s="257"/>
      <c r="D158" s="258"/>
      <c r="E158" s="207" t="str">
        <f t="shared" si="12"/>
        <v xml:space="preserve"> </v>
      </c>
      <c r="F158" s="217" t="str">
        <f t="shared" ca="1" si="13"/>
        <v/>
      </c>
      <c r="G158" s="256"/>
      <c r="H158" s="256"/>
      <c r="I158" s="256"/>
      <c r="J158" s="256"/>
      <c r="K158" s="256"/>
      <c r="L158" s="259"/>
      <c r="M158" s="256"/>
      <c r="N158" s="256"/>
      <c r="O158" s="256"/>
      <c r="P158" s="260"/>
      <c r="Q158" s="261"/>
      <c r="R158" s="267"/>
      <c r="S158" s="258"/>
      <c r="T158" s="262"/>
      <c r="U158" s="262"/>
      <c r="V158" s="262"/>
      <c r="W158" s="262"/>
      <c r="X158" s="262"/>
      <c r="Y158" s="262"/>
      <c r="Z158" s="262"/>
      <c r="AA158" s="262"/>
      <c r="AB158" s="262"/>
      <c r="AC158" s="262"/>
      <c r="AD158" s="262"/>
      <c r="AE158" s="262"/>
      <c r="AF158" s="262"/>
      <c r="AG158" s="262"/>
      <c r="AH158" s="262"/>
      <c r="AI158" s="262"/>
      <c r="AJ158" s="262"/>
      <c r="AK158" s="262"/>
      <c r="AL158" s="262"/>
      <c r="AM158" s="262"/>
      <c r="AN158" s="262"/>
      <c r="AO158" s="263"/>
      <c r="AP158" s="263"/>
      <c r="AQ158" s="263"/>
      <c r="AR158" s="264"/>
      <c r="AS158" s="265"/>
      <c r="AT158" s="259"/>
      <c r="AU158" s="264"/>
      <c r="AV158" s="256"/>
      <c r="AW158" s="258"/>
      <c r="AX158" s="258"/>
      <c r="AY158" s="258"/>
      <c r="AZ158" s="258"/>
      <c r="BA158" s="256"/>
      <c r="BB158" s="256"/>
      <c r="BC158" s="258"/>
      <c r="BD158" s="266"/>
      <c r="BE158" s="258"/>
      <c r="BF158" s="265"/>
      <c r="BG158" s="265"/>
      <c r="BH158" s="265"/>
      <c r="BI158" s="257"/>
      <c r="BJ158" s="257"/>
      <c r="BK158" s="257"/>
      <c r="BL158" s="257"/>
      <c r="BM158" s="272"/>
      <c r="BN158" s="114" t="str">
        <f t="shared" si="14"/>
        <v/>
      </c>
    </row>
    <row r="159" spans="1:66" x14ac:dyDescent="0.2">
      <c r="A159" s="255"/>
      <c r="B159" s="256"/>
      <c r="C159" s="257"/>
      <c r="D159" s="258"/>
      <c r="E159" s="207" t="str">
        <f t="shared" si="12"/>
        <v xml:space="preserve"> </v>
      </c>
      <c r="F159" s="217" t="str">
        <f t="shared" ca="1" si="13"/>
        <v/>
      </c>
      <c r="G159" s="256"/>
      <c r="H159" s="256"/>
      <c r="I159" s="256"/>
      <c r="J159" s="256"/>
      <c r="K159" s="256"/>
      <c r="L159" s="259"/>
      <c r="M159" s="256"/>
      <c r="N159" s="256"/>
      <c r="O159" s="256"/>
      <c r="P159" s="260"/>
      <c r="Q159" s="261"/>
      <c r="R159" s="267"/>
      <c r="S159" s="258"/>
      <c r="T159" s="262"/>
      <c r="U159" s="262"/>
      <c r="V159" s="262"/>
      <c r="W159" s="262"/>
      <c r="X159" s="262"/>
      <c r="Y159" s="262"/>
      <c r="Z159" s="262"/>
      <c r="AA159" s="262"/>
      <c r="AB159" s="262"/>
      <c r="AC159" s="262"/>
      <c r="AD159" s="262"/>
      <c r="AE159" s="262"/>
      <c r="AF159" s="262"/>
      <c r="AG159" s="262"/>
      <c r="AH159" s="262"/>
      <c r="AI159" s="262"/>
      <c r="AJ159" s="262"/>
      <c r="AK159" s="262"/>
      <c r="AL159" s="262"/>
      <c r="AM159" s="262"/>
      <c r="AN159" s="262"/>
      <c r="AO159" s="263"/>
      <c r="AP159" s="263"/>
      <c r="AQ159" s="263"/>
      <c r="AR159" s="264"/>
      <c r="AS159" s="265"/>
      <c r="AT159" s="259"/>
      <c r="AU159" s="264"/>
      <c r="AV159" s="256"/>
      <c r="AW159" s="258"/>
      <c r="AX159" s="258"/>
      <c r="AY159" s="258"/>
      <c r="AZ159" s="258"/>
      <c r="BA159" s="256"/>
      <c r="BB159" s="256"/>
      <c r="BC159" s="258"/>
      <c r="BD159" s="266"/>
      <c r="BE159" s="258"/>
      <c r="BF159" s="265"/>
      <c r="BG159" s="265"/>
      <c r="BH159" s="265"/>
      <c r="BI159" s="257"/>
      <c r="BJ159" s="257"/>
      <c r="BK159" s="257"/>
      <c r="BL159" s="257"/>
      <c r="BM159" s="272"/>
      <c r="BN159" s="114" t="str">
        <f t="shared" si="14"/>
        <v/>
      </c>
    </row>
    <row r="160" spans="1:66" x14ac:dyDescent="0.2">
      <c r="A160" s="255"/>
      <c r="B160" s="256"/>
      <c r="C160" s="257"/>
      <c r="D160" s="258"/>
      <c r="E160" s="207" t="str">
        <f t="shared" si="12"/>
        <v xml:space="preserve"> </v>
      </c>
      <c r="F160" s="217" t="str">
        <f t="shared" ca="1" si="13"/>
        <v/>
      </c>
      <c r="G160" s="256"/>
      <c r="H160" s="256"/>
      <c r="I160" s="256"/>
      <c r="J160" s="256"/>
      <c r="K160" s="256"/>
      <c r="L160" s="259"/>
      <c r="M160" s="256"/>
      <c r="N160" s="256"/>
      <c r="O160" s="256"/>
      <c r="P160" s="260"/>
      <c r="Q160" s="261"/>
      <c r="R160" s="267"/>
      <c r="S160" s="258"/>
      <c r="T160" s="262"/>
      <c r="U160" s="262"/>
      <c r="V160" s="262"/>
      <c r="W160" s="262"/>
      <c r="X160" s="262"/>
      <c r="Y160" s="262"/>
      <c r="Z160" s="262"/>
      <c r="AA160" s="262"/>
      <c r="AB160" s="262"/>
      <c r="AC160" s="262"/>
      <c r="AD160" s="262"/>
      <c r="AE160" s="262"/>
      <c r="AF160" s="262"/>
      <c r="AG160" s="262"/>
      <c r="AH160" s="262"/>
      <c r="AI160" s="262"/>
      <c r="AJ160" s="262"/>
      <c r="AK160" s="262"/>
      <c r="AL160" s="262"/>
      <c r="AM160" s="262"/>
      <c r="AN160" s="262"/>
      <c r="AO160" s="263"/>
      <c r="AP160" s="263"/>
      <c r="AQ160" s="263"/>
      <c r="AR160" s="264"/>
      <c r="AS160" s="265"/>
      <c r="AT160" s="259"/>
      <c r="AU160" s="264"/>
      <c r="AV160" s="256"/>
      <c r="AW160" s="258"/>
      <c r="AX160" s="258"/>
      <c r="AY160" s="258"/>
      <c r="AZ160" s="258"/>
      <c r="BA160" s="256"/>
      <c r="BB160" s="256"/>
      <c r="BC160" s="258"/>
      <c r="BD160" s="266"/>
      <c r="BE160" s="258"/>
      <c r="BF160" s="265"/>
      <c r="BG160" s="265"/>
      <c r="BH160" s="265"/>
      <c r="BI160" s="257"/>
      <c r="BJ160" s="257"/>
      <c r="BK160" s="257"/>
      <c r="BL160" s="257"/>
      <c r="BM160" s="272"/>
      <c r="BN160" s="114" t="str">
        <f t="shared" si="14"/>
        <v/>
      </c>
    </row>
    <row r="161" spans="1:66" x14ac:dyDescent="0.2">
      <c r="A161" s="255"/>
      <c r="B161" s="256"/>
      <c r="C161" s="257"/>
      <c r="D161" s="258"/>
      <c r="E161" s="207" t="str">
        <f t="shared" si="12"/>
        <v xml:space="preserve"> </v>
      </c>
      <c r="F161" s="217" t="str">
        <f t="shared" ca="1" si="13"/>
        <v/>
      </c>
      <c r="G161" s="256"/>
      <c r="H161" s="256"/>
      <c r="I161" s="256"/>
      <c r="J161" s="256"/>
      <c r="K161" s="256"/>
      <c r="L161" s="259"/>
      <c r="M161" s="256"/>
      <c r="N161" s="256"/>
      <c r="O161" s="256"/>
      <c r="P161" s="260"/>
      <c r="Q161" s="261"/>
      <c r="R161" s="267"/>
      <c r="S161" s="258"/>
      <c r="T161" s="262"/>
      <c r="U161" s="262"/>
      <c r="V161" s="262"/>
      <c r="W161" s="262"/>
      <c r="X161" s="262"/>
      <c r="Y161" s="262"/>
      <c r="Z161" s="262"/>
      <c r="AA161" s="262"/>
      <c r="AB161" s="262"/>
      <c r="AC161" s="262"/>
      <c r="AD161" s="262"/>
      <c r="AE161" s="262"/>
      <c r="AF161" s="262"/>
      <c r="AG161" s="262"/>
      <c r="AH161" s="262"/>
      <c r="AI161" s="262"/>
      <c r="AJ161" s="262"/>
      <c r="AK161" s="262"/>
      <c r="AL161" s="262"/>
      <c r="AM161" s="262"/>
      <c r="AN161" s="262"/>
      <c r="AO161" s="263"/>
      <c r="AP161" s="263"/>
      <c r="AQ161" s="263"/>
      <c r="AR161" s="264"/>
      <c r="AS161" s="265"/>
      <c r="AT161" s="259"/>
      <c r="AU161" s="264"/>
      <c r="AV161" s="256"/>
      <c r="AW161" s="258"/>
      <c r="AX161" s="258"/>
      <c r="AY161" s="258"/>
      <c r="AZ161" s="258"/>
      <c r="BA161" s="256"/>
      <c r="BB161" s="256"/>
      <c r="BC161" s="258"/>
      <c r="BD161" s="266"/>
      <c r="BE161" s="258"/>
      <c r="BF161" s="265"/>
      <c r="BG161" s="265"/>
      <c r="BH161" s="265"/>
      <c r="BI161" s="257"/>
      <c r="BJ161" s="257"/>
      <c r="BK161" s="257"/>
      <c r="BL161" s="257"/>
      <c r="BM161" s="272"/>
      <c r="BN161" s="114" t="str">
        <f t="shared" si="14"/>
        <v/>
      </c>
    </row>
    <row r="162" spans="1:66" x14ac:dyDescent="0.2">
      <c r="A162" s="255"/>
      <c r="B162" s="256"/>
      <c r="C162" s="257"/>
      <c r="D162" s="258"/>
      <c r="E162" s="207" t="str">
        <f t="shared" si="12"/>
        <v xml:space="preserve"> </v>
      </c>
      <c r="F162" s="217" t="str">
        <f t="shared" ca="1" si="13"/>
        <v/>
      </c>
      <c r="G162" s="256"/>
      <c r="H162" s="256"/>
      <c r="I162" s="256"/>
      <c r="J162" s="256"/>
      <c r="K162" s="256"/>
      <c r="L162" s="259"/>
      <c r="M162" s="256"/>
      <c r="N162" s="256"/>
      <c r="O162" s="256"/>
      <c r="P162" s="260"/>
      <c r="Q162" s="261"/>
      <c r="R162" s="267"/>
      <c r="S162" s="258"/>
      <c r="T162" s="262"/>
      <c r="U162" s="262"/>
      <c r="V162" s="262"/>
      <c r="W162" s="262"/>
      <c r="X162" s="262"/>
      <c r="Y162" s="262"/>
      <c r="Z162" s="262"/>
      <c r="AA162" s="262"/>
      <c r="AB162" s="262"/>
      <c r="AC162" s="262"/>
      <c r="AD162" s="262"/>
      <c r="AE162" s="262"/>
      <c r="AF162" s="262"/>
      <c r="AG162" s="262"/>
      <c r="AH162" s="262"/>
      <c r="AI162" s="262"/>
      <c r="AJ162" s="262"/>
      <c r="AK162" s="262"/>
      <c r="AL162" s="262"/>
      <c r="AM162" s="262"/>
      <c r="AN162" s="262"/>
      <c r="AO162" s="263"/>
      <c r="AP162" s="263"/>
      <c r="AQ162" s="263"/>
      <c r="AR162" s="264"/>
      <c r="AS162" s="265"/>
      <c r="AT162" s="259"/>
      <c r="AU162" s="264"/>
      <c r="AV162" s="256"/>
      <c r="AW162" s="258"/>
      <c r="AX162" s="258"/>
      <c r="AY162" s="258"/>
      <c r="AZ162" s="258"/>
      <c r="BA162" s="256"/>
      <c r="BB162" s="256"/>
      <c r="BC162" s="258"/>
      <c r="BD162" s="266"/>
      <c r="BE162" s="258"/>
      <c r="BF162" s="265"/>
      <c r="BG162" s="265"/>
      <c r="BH162" s="265"/>
      <c r="BI162" s="257"/>
      <c r="BJ162" s="257"/>
      <c r="BK162" s="257"/>
      <c r="BL162" s="257"/>
      <c r="BM162" s="272"/>
      <c r="BN162" s="114" t="str">
        <f t="shared" si="14"/>
        <v/>
      </c>
    </row>
    <row r="163" spans="1:66" x14ac:dyDescent="0.2">
      <c r="A163" s="255"/>
      <c r="B163" s="256"/>
      <c r="C163" s="257"/>
      <c r="D163" s="258"/>
      <c r="E163" s="207" t="str">
        <f t="shared" si="12"/>
        <v xml:space="preserve"> </v>
      </c>
      <c r="F163" s="217" t="str">
        <f t="shared" ca="1" si="13"/>
        <v/>
      </c>
      <c r="G163" s="256"/>
      <c r="H163" s="256"/>
      <c r="I163" s="256"/>
      <c r="J163" s="256"/>
      <c r="K163" s="256"/>
      <c r="L163" s="259"/>
      <c r="M163" s="256"/>
      <c r="N163" s="256"/>
      <c r="O163" s="256"/>
      <c r="P163" s="260"/>
      <c r="Q163" s="261"/>
      <c r="R163" s="267"/>
      <c r="S163" s="258"/>
      <c r="T163" s="262"/>
      <c r="U163" s="262"/>
      <c r="V163" s="262"/>
      <c r="W163" s="262"/>
      <c r="X163" s="262"/>
      <c r="Y163" s="262"/>
      <c r="Z163" s="262"/>
      <c r="AA163" s="262"/>
      <c r="AB163" s="262"/>
      <c r="AC163" s="262"/>
      <c r="AD163" s="262"/>
      <c r="AE163" s="262"/>
      <c r="AF163" s="262"/>
      <c r="AG163" s="262"/>
      <c r="AH163" s="262"/>
      <c r="AI163" s="262"/>
      <c r="AJ163" s="262"/>
      <c r="AK163" s="262"/>
      <c r="AL163" s="262"/>
      <c r="AM163" s="262"/>
      <c r="AN163" s="262"/>
      <c r="AO163" s="263"/>
      <c r="AP163" s="263"/>
      <c r="AQ163" s="263"/>
      <c r="AR163" s="264"/>
      <c r="AS163" s="265"/>
      <c r="AT163" s="259"/>
      <c r="AU163" s="264"/>
      <c r="AV163" s="256"/>
      <c r="AW163" s="258"/>
      <c r="AX163" s="258"/>
      <c r="AY163" s="258"/>
      <c r="AZ163" s="258"/>
      <c r="BA163" s="256"/>
      <c r="BB163" s="256"/>
      <c r="BC163" s="258"/>
      <c r="BD163" s="266"/>
      <c r="BE163" s="258"/>
      <c r="BF163" s="265"/>
      <c r="BG163" s="265"/>
      <c r="BH163" s="265"/>
      <c r="BI163" s="257"/>
      <c r="BJ163" s="257"/>
      <c r="BK163" s="257"/>
      <c r="BL163" s="257"/>
      <c r="BM163" s="272"/>
      <c r="BN163" s="114" t="str">
        <f t="shared" si="14"/>
        <v/>
      </c>
    </row>
    <row r="164" spans="1:66" x14ac:dyDescent="0.2">
      <c r="A164" s="255"/>
      <c r="B164" s="256"/>
      <c r="C164" s="257"/>
      <c r="D164" s="258"/>
      <c r="E164" s="207" t="str">
        <f t="shared" si="12"/>
        <v xml:space="preserve"> </v>
      </c>
      <c r="F164" s="217" t="str">
        <f t="shared" ca="1" si="13"/>
        <v/>
      </c>
      <c r="G164" s="256"/>
      <c r="H164" s="256"/>
      <c r="I164" s="256"/>
      <c r="J164" s="256"/>
      <c r="K164" s="256"/>
      <c r="L164" s="259"/>
      <c r="M164" s="256"/>
      <c r="N164" s="256"/>
      <c r="O164" s="256"/>
      <c r="P164" s="260"/>
      <c r="Q164" s="261"/>
      <c r="R164" s="267"/>
      <c r="S164" s="258"/>
      <c r="T164" s="262"/>
      <c r="U164" s="262"/>
      <c r="V164" s="262"/>
      <c r="W164" s="262"/>
      <c r="X164" s="262"/>
      <c r="Y164" s="262"/>
      <c r="Z164" s="262"/>
      <c r="AA164" s="262"/>
      <c r="AB164" s="262"/>
      <c r="AC164" s="262"/>
      <c r="AD164" s="262"/>
      <c r="AE164" s="262"/>
      <c r="AF164" s="262"/>
      <c r="AG164" s="262"/>
      <c r="AH164" s="262"/>
      <c r="AI164" s="262"/>
      <c r="AJ164" s="262"/>
      <c r="AK164" s="262"/>
      <c r="AL164" s="262"/>
      <c r="AM164" s="262"/>
      <c r="AN164" s="262"/>
      <c r="AO164" s="263"/>
      <c r="AP164" s="263"/>
      <c r="AQ164" s="263"/>
      <c r="AR164" s="264"/>
      <c r="AS164" s="265"/>
      <c r="AT164" s="259"/>
      <c r="AU164" s="264"/>
      <c r="AV164" s="256"/>
      <c r="AW164" s="258"/>
      <c r="AX164" s="258"/>
      <c r="AY164" s="258"/>
      <c r="AZ164" s="258"/>
      <c r="BA164" s="256"/>
      <c r="BB164" s="256"/>
      <c r="BC164" s="258"/>
      <c r="BD164" s="266"/>
      <c r="BE164" s="258"/>
      <c r="BF164" s="265"/>
      <c r="BG164" s="265"/>
      <c r="BH164" s="265"/>
      <c r="BI164" s="257"/>
      <c r="BJ164" s="257"/>
      <c r="BK164" s="257"/>
      <c r="BL164" s="257"/>
      <c r="BM164" s="272"/>
      <c r="BN164" s="114" t="str">
        <f t="shared" si="14"/>
        <v/>
      </c>
    </row>
    <row r="165" spans="1:66" x14ac:dyDescent="0.2">
      <c r="A165" s="255"/>
      <c r="B165" s="256"/>
      <c r="C165" s="257"/>
      <c r="D165" s="258"/>
      <c r="E165" s="207" t="str">
        <f t="shared" si="12"/>
        <v xml:space="preserve"> </v>
      </c>
      <c r="F165" s="217" t="str">
        <f t="shared" ca="1" si="13"/>
        <v/>
      </c>
      <c r="G165" s="256"/>
      <c r="H165" s="256"/>
      <c r="I165" s="256"/>
      <c r="J165" s="256"/>
      <c r="K165" s="256"/>
      <c r="L165" s="259"/>
      <c r="M165" s="256"/>
      <c r="N165" s="256"/>
      <c r="O165" s="256"/>
      <c r="P165" s="260"/>
      <c r="Q165" s="261"/>
      <c r="R165" s="267"/>
      <c r="S165" s="258"/>
      <c r="T165" s="262"/>
      <c r="U165" s="262"/>
      <c r="V165" s="262"/>
      <c r="W165" s="262"/>
      <c r="X165" s="262"/>
      <c r="Y165" s="262"/>
      <c r="Z165" s="262"/>
      <c r="AA165" s="262"/>
      <c r="AB165" s="262"/>
      <c r="AC165" s="262"/>
      <c r="AD165" s="262"/>
      <c r="AE165" s="262"/>
      <c r="AF165" s="262"/>
      <c r="AG165" s="262"/>
      <c r="AH165" s="262"/>
      <c r="AI165" s="262"/>
      <c r="AJ165" s="262"/>
      <c r="AK165" s="262"/>
      <c r="AL165" s="262"/>
      <c r="AM165" s="262"/>
      <c r="AN165" s="262"/>
      <c r="AO165" s="263"/>
      <c r="AP165" s="263"/>
      <c r="AQ165" s="263"/>
      <c r="AR165" s="264"/>
      <c r="AS165" s="265"/>
      <c r="AT165" s="259"/>
      <c r="AU165" s="264"/>
      <c r="AV165" s="256"/>
      <c r="AW165" s="258"/>
      <c r="AX165" s="258"/>
      <c r="AY165" s="258"/>
      <c r="AZ165" s="258"/>
      <c r="BA165" s="256"/>
      <c r="BB165" s="256"/>
      <c r="BC165" s="258"/>
      <c r="BD165" s="266"/>
      <c r="BE165" s="258"/>
      <c r="BF165" s="265"/>
      <c r="BG165" s="265"/>
      <c r="BH165" s="265"/>
      <c r="BI165" s="257"/>
      <c r="BJ165" s="257"/>
      <c r="BK165" s="257"/>
      <c r="BL165" s="257"/>
      <c r="BM165" s="272"/>
      <c r="BN165" s="114" t="str">
        <f t="shared" si="14"/>
        <v/>
      </c>
    </row>
    <row r="166" spans="1:66" x14ac:dyDescent="0.2">
      <c r="A166" s="255"/>
      <c r="B166" s="256"/>
      <c r="C166" s="257"/>
      <c r="D166" s="258"/>
      <c r="E166" s="207" t="str">
        <f t="shared" ref="E166:E200" si="15">CONCATENATE($J166," ",$I166)</f>
        <v xml:space="preserve"> </v>
      </c>
      <c r="F166" s="217" t="str">
        <f t="shared" ref="F166:F200" ca="1" si="16">IF(L166="","",DATEDIF(L166,TODAY(),"Y"))</f>
        <v/>
      </c>
      <c r="G166" s="256"/>
      <c r="H166" s="256"/>
      <c r="I166" s="256"/>
      <c r="J166" s="256"/>
      <c r="K166" s="256"/>
      <c r="L166" s="259"/>
      <c r="M166" s="256"/>
      <c r="N166" s="256"/>
      <c r="O166" s="256"/>
      <c r="P166" s="260"/>
      <c r="Q166" s="261"/>
      <c r="R166" s="267"/>
      <c r="S166" s="258"/>
      <c r="T166" s="262"/>
      <c r="U166" s="262"/>
      <c r="V166" s="262"/>
      <c r="W166" s="262"/>
      <c r="X166" s="262"/>
      <c r="Y166" s="262"/>
      <c r="Z166" s="262"/>
      <c r="AA166" s="262"/>
      <c r="AB166" s="262"/>
      <c r="AC166" s="262"/>
      <c r="AD166" s="262"/>
      <c r="AE166" s="262"/>
      <c r="AF166" s="262"/>
      <c r="AG166" s="262"/>
      <c r="AH166" s="262"/>
      <c r="AI166" s="262"/>
      <c r="AJ166" s="262"/>
      <c r="AK166" s="262"/>
      <c r="AL166" s="262"/>
      <c r="AM166" s="262"/>
      <c r="AN166" s="262"/>
      <c r="AO166" s="263"/>
      <c r="AP166" s="263"/>
      <c r="AQ166" s="263"/>
      <c r="AR166" s="264"/>
      <c r="AS166" s="265"/>
      <c r="AT166" s="259"/>
      <c r="AU166" s="264"/>
      <c r="AV166" s="256"/>
      <c r="AW166" s="258"/>
      <c r="AX166" s="258"/>
      <c r="AY166" s="258"/>
      <c r="AZ166" s="258"/>
      <c r="BA166" s="256"/>
      <c r="BB166" s="256"/>
      <c r="BC166" s="258"/>
      <c r="BD166" s="266"/>
      <c r="BE166" s="258"/>
      <c r="BF166" s="265"/>
      <c r="BG166" s="265"/>
      <c r="BH166" s="265"/>
      <c r="BI166" s="257"/>
      <c r="BJ166" s="257"/>
      <c r="BK166" s="257"/>
      <c r="BL166" s="257"/>
      <c r="BM166" s="272"/>
      <c r="BN166" s="114" t="str">
        <f t="shared" ref="BN166:BN200" si="17">CONCATENATE(LEFT($J166), LEFT($I166))</f>
        <v/>
      </c>
    </row>
    <row r="167" spans="1:66" x14ac:dyDescent="0.2">
      <c r="A167" s="255"/>
      <c r="B167" s="256"/>
      <c r="C167" s="257"/>
      <c r="D167" s="258"/>
      <c r="E167" s="207" t="str">
        <f t="shared" si="15"/>
        <v xml:space="preserve"> </v>
      </c>
      <c r="F167" s="217" t="str">
        <f t="shared" ca="1" si="16"/>
        <v/>
      </c>
      <c r="G167" s="256"/>
      <c r="H167" s="256"/>
      <c r="I167" s="256"/>
      <c r="J167" s="256"/>
      <c r="K167" s="256"/>
      <c r="L167" s="259"/>
      <c r="M167" s="256"/>
      <c r="N167" s="256"/>
      <c r="O167" s="256"/>
      <c r="P167" s="260"/>
      <c r="Q167" s="261"/>
      <c r="R167" s="267"/>
      <c r="S167" s="258"/>
      <c r="T167" s="262"/>
      <c r="U167" s="262"/>
      <c r="V167" s="262"/>
      <c r="W167" s="262"/>
      <c r="X167" s="262"/>
      <c r="Y167" s="262"/>
      <c r="Z167" s="262"/>
      <c r="AA167" s="262"/>
      <c r="AB167" s="262"/>
      <c r="AC167" s="262"/>
      <c r="AD167" s="262"/>
      <c r="AE167" s="262"/>
      <c r="AF167" s="262"/>
      <c r="AG167" s="262"/>
      <c r="AH167" s="262"/>
      <c r="AI167" s="262"/>
      <c r="AJ167" s="262"/>
      <c r="AK167" s="262"/>
      <c r="AL167" s="262"/>
      <c r="AM167" s="262"/>
      <c r="AN167" s="262"/>
      <c r="AO167" s="263"/>
      <c r="AP167" s="263"/>
      <c r="AQ167" s="263"/>
      <c r="AR167" s="264"/>
      <c r="AS167" s="265"/>
      <c r="AT167" s="259"/>
      <c r="AU167" s="264"/>
      <c r="AV167" s="256"/>
      <c r="AW167" s="258"/>
      <c r="AX167" s="258"/>
      <c r="AY167" s="258"/>
      <c r="AZ167" s="258"/>
      <c r="BA167" s="256"/>
      <c r="BB167" s="256"/>
      <c r="BC167" s="258"/>
      <c r="BD167" s="266"/>
      <c r="BE167" s="258"/>
      <c r="BF167" s="265"/>
      <c r="BG167" s="265"/>
      <c r="BH167" s="265"/>
      <c r="BI167" s="257"/>
      <c r="BJ167" s="257"/>
      <c r="BK167" s="257"/>
      <c r="BL167" s="257"/>
      <c r="BM167" s="272"/>
      <c r="BN167" s="114" t="str">
        <f t="shared" si="17"/>
        <v/>
      </c>
    </row>
    <row r="168" spans="1:66" x14ac:dyDescent="0.2">
      <c r="A168" s="255"/>
      <c r="B168" s="256"/>
      <c r="C168" s="257"/>
      <c r="D168" s="258"/>
      <c r="E168" s="207" t="str">
        <f t="shared" si="15"/>
        <v xml:space="preserve"> </v>
      </c>
      <c r="F168" s="217" t="str">
        <f t="shared" ca="1" si="16"/>
        <v/>
      </c>
      <c r="G168" s="256"/>
      <c r="H168" s="256"/>
      <c r="I168" s="256"/>
      <c r="J168" s="256"/>
      <c r="K168" s="256"/>
      <c r="L168" s="259"/>
      <c r="M168" s="256"/>
      <c r="N168" s="256"/>
      <c r="O168" s="256"/>
      <c r="P168" s="260"/>
      <c r="Q168" s="261"/>
      <c r="R168" s="267"/>
      <c r="S168" s="258"/>
      <c r="T168" s="262"/>
      <c r="U168" s="262"/>
      <c r="V168" s="262"/>
      <c r="W168" s="262"/>
      <c r="X168" s="262"/>
      <c r="Y168" s="262"/>
      <c r="Z168" s="262"/>
      <c r="AA168" s="262"/>
      <c r="AB168" s="262"/>
      <c r="AC168" s="262"/>
      <c r="AD168" s="262"/>
      <c r="AE168" s="262"/>
      <c r="AF168" s="262"/>
      <c r="AG168" s="262"/>
      <c r="AH168" s="262"/>
      <c r="AI168" s="262"/>
      <c r="AJ168" s="262"/>
      <c r="AK168" s="262"/>
      <c r="AL168" s="262"/>
      <c r="AM168" s="262"/>
      <c r="AN168" s="262"/>
      <c r="AO168" s="263"/>
      <c r="AP168" s="263"/>
      <c r="AQ168" s="263"/>
      <c r="AR168" s="264"/>
      <c r="AS168" s="265"/>
      <c r="AT168" s="259"/>
      <c r="AU168" s="264"/>
      <c r="AV168" s="256"/>
      <c r="AW168" s="258"/>
      <c r="AX168" s="258"/>
      <c r="AY168" s="258"/>
      <c r="AZ168" s="258"/>
      <c r="BA168" s="256"/>
      <c r="BB168" s="256"/>
      <c r="BC168" s="258"/>
      <c r="BD168" s="266"/>
      <c r="BE168" s="258"/>
      <c r="BF168" s="265"/>
      <c r="BG168" s="265"/>
      <c r="BH168" s="265"/>
      <c r="BI168" s="257"/>
      <c r="BJ168" s="257"/>
      <c r="BK168" s="257"/>
      <c r="BL168" s="257"/>
      <c r="BM168" s="272"/>
      <c r="BN168" s="114" t="str">
        <f t="shared" si="17"/>
        <v/>
      </c>
    </row>
    <row r="169" spans="1:66" x14ac:dyDescent="0.2">
      <c r="A169" s="255"/>
      <c r="B169" s="256"/>
      <c r="C169" s="257"/>
      <c r="D169" s="258"/>
      <c r="E169" s="207" t="str">
        <f t="shared" si="15"/>
        <v xml:space="preserve"> </v>
      </c>
      <c r="F169" s="217" t="str">
        <f t="shared" ca="1" si="16"/>
        <v/>
      </c>
      <c r="G169" s="256"/>
      <c r="H169" s="256"/>
      <c r="I169" s="256"/>
      <c r="J169" s="256"/>
      <c r="K169" s="256"/>
      <c r="L169" s="259"/>
      <c r="M169" s="256"/>
      <c r="N169" s="256"/>
      <c r="O169" s="256"/>
      <c r="P169" s="260"/>
      <c r="Q169" s="261"/>
      <c r="R169" s="267"/>
      <c r="S169" s="258"/>
      <c r="T169" s="262"/>
      <c r="U169" s="262"/>
      <c r="V169" s="262"/>
      <c r="W169" s="262"/>
      <c r="X169" s="262"/>
      <c r="Y169" s="262"/>
      <c r="Z169" s="262"/>
      <c r="AA169" s="262"/>
      <c r="AB169" s="262"/>
      <c r="AC169" s="262"/>
      <c r="AD169" s="262"/>
      <c r="AE169" s="262"/>
      <c r="AF169" s="262"/>
      <c r="AG169" s="262"/>
      <c r="AH169" s="262"/>
      <c r="AI169" s="262"/>
      <c r="AJ169" s="262"/>
      <c r="AK169" s="262"/>
      <c r="AL169" s="262"/>
      <c r="AM169" s="262"/>
      <c r="AN169" s="262"/>
      <c r="AO169" s="263"/>
      <c r="AP169" s="263"/>
      <c r="AQ169" s="263"/>
      <c r="AR169" s="264"/>
      <c r="AS169" s="265"/>
      <c r="AT169" s="259"/>
      <c r="AU169" s="264"/>
      <c r="AV169" s="256"/>
      <c r="AW169" s="258"/>
      <c r="AX169" s="258"/>
      <c r="AY169" s="258"/>
      <c r="AZ169" s="258"/>
      <c r="BA169" s="256"/>
      <c r="BB169" s="256"/>
      <c r="BC169" s="258"/>
      <c r="BD169" s="266"/>
      <c r="BE169" s="258"/>
      <c r="BF169" s="265"/>
      <c r="BG169" s="265"/>
      <c r="BH169" s="265"/>
      <c r="BI169" s="257"/>
      <c r="BJ169" s="257"/>
      <c r="BK169" s="257"/>
      <c r="BL169" s="257"/>
      <c r="BM169" s="272"/>
      <c r="BN169" s="114" t="str">
        <f t="shared" si="17"/>
        <v/>
      </c>
    </row>
    <row r="170" spans="1:66" x14ac:dyDescent="0.2">
      <c r="A170" s="255"/>
      <c r="B170" s="256"/>
      <c r="C170" s="257"/>
      <c r="D170" s="258"/>
      <c r="E170" s="207" t="str">
        <f t="shared" si="15"/>
        <v xml:space="preserve"> </v>
      </c>
      <c r="F170" s="217" t="str">
        <f t="shared" ca="1" si="16"/>
        <v/>
      </c>
      <c r="G170" s="256"/>
      <c r="H170" s="256"/>
      <c r="I170" s="256"/>
      <c r="J170" s="256"/>
      <c r="K170" s="256"/>
      <c r="L170" s="259"/>
      <c r="M170" s="256"/>
      <c r="N170" s="256"/>
      <c r="O170" s="256"/>
      <c r="P170" s="260"/>
      <c r="Q170" s="261"/>
      <c r="R170" s="267"/>
      <c r="S170" s="258"/>
      <c r="T170" s="262"/>
      <c r="U170" s="262"/>
      <c r="V170" s="262"/>
      <c r="W170" s="262"/>
      <c r="X170" s="262"/>
      <c r="Y170" s="262"/>
      <c r="Z170" s="262"/>
      <c r="AA170" s="262"/>
      <c r="AB170" s="262"/>
      <c r="AC170" s="262"/>
      <c r="AD170" s="262"/>
      <c r="AE170" s="262"/>
      <c r="AF170" s="262"/>
      <c r="AG170" s="262"/>
      <c r="AH170" s="262"/>
      <c r="AI170" s="262"/>
      <c r="AJ170" s="262"/>
      <c r="AK170" s="262"/>
      <c r="AL170" s="262"/>
      <c r="AM170" s="262"/>
      <c r="AN170" s="262"/>
      <c r="AO170" s="263"/>
      <c r="AP170" s="263"/>
      <c r="AQ170" s="263"/>
      <c r="AR170" s="264"/>
      <c r="AS170" s="265"/>
      <c r="AT170" s="259"/>
      <c r="AU170" s="264"/>
      <c r="AV170" s="256"/>
      <c r="AW170" s="258"/>
      <c r="AX170" s="258"/>
      <c r="AY170" s="258"/>
      <c r="AZ170" s="258"/>
      <c r="BA170" s="256"/>
      <c r="BB170" s="256"/>
      <c r="BC170" s="258"/>
      <c r="BD170" s="266"/>
      <c r="BE170" s="258"/>
      <c r="BF170" s="265"/>
      <c r="BG170" s="265"/>
      <c r="BH170" s="265"/>
      <c r="BI170" s="257"/>
      <c r="BJ170" s="257"/>
      <c r="BK170" s="257"/>
      <c r="BL170" s="257"/>
      <c r="BM170" s="272"/>
      <c r="BN170" s="114" t="str">
        <f t="shared" si="17"/>
        <v/>
      </c>
    </row>
    <row r="171" spans="1:66" x14ac:dyDescent="0.2">
      <c r="A171" s="255"/>
      <c r="B171" s="256"/>
      <c r="C171" s="257"/>
      <c r="D171" s="258"/>
      <c r="E171" s="207" t="str">
        <f t="shared" si="15"/>
        <v xml:space="preserve"> </v>
      </c>
      <c r="F171" s="217" t="str">
        <f t="shared" ca="1" si="16"/>
        <v/>
      </c>
      <c r="G171" s="256"/>
      <c r="H171" s="256"/>
      <c r="I171" s="256"/>
      <c r="J171" s="256"/>
      <c r="K171" s="256"/>
      <c r="L171" s="259"/>
      <c r="M171" s="256"/>
      <c r="N171" s="256"/>
      <c r="O171" s="256"/>
      <c r="P171" s="260"/>
      <c r="Q171" s="261"/>
      <c r="R171" s="267"/>
      <c r="S171" s="258"/>
      <c r="T171" s="262"/>
      <c r="U171" s="262"/>
      <c r="V171" s="262"/>
      <c r="W171" s="262"/>
      <c r="X171" s="262"/>
      <c r="Y171" s="262"/>
      <c r="Z171" s="262"/>
      <c r="AA171" s="262"/>
      <c r="AB171" s="262"/>
      <c r="AC171" s="262"/>
      <c r="AD171" s="262"/>
      <c r="AE171" s="262"/>
      <c r="AF171" s="262"/>
      <c r="AG171" s="262"/>
      <c r="AH171" s="262"/>
      <c r="AI171" s="262"/>
      <c r="AJ171" s="262"/>
      <c r="AK171" s="262"/>
      <c r="AL171" s="262"/>
      <c r="AM171" s="262"/>
      <c r="AN171" s="262"/>
      <c r="AO171" s="263"/>
      <c r="AP171" s="263"/>
      <c r="AQ171" s="263"/>
      <c r="AR171" s="264"/>
      <c r="AS171" s="265"/>
      <c r="AT171" s="259"/>
      <c r="AU171" s="264"/>
      <c r="AV171" s="256"/>
      <c r="AW171" s="258"/>
      <c r="AX171" s="258"/>
      <c r="AY171" s="258"/>
      <c r="AZ171" s="258"/>
      <c r="BA171" s="256"/>
      <c r="BB171" s="256"/>
      <c r="BC171" s="258"/>
      <c r="BD171" s="266"/>
      <c r="BE171" s="258"/>
      <c r="BF171" s="265"/>
      <c r="BG171" s="265"/>
      <c r="BH171" s="265"/>
      <c r="BI171" s="257"/>
      <c r="BJ171" s="257"/>
      <c r="BK171" s="257"/>
      <c r="BL171" s="257"/>
      <c r="BM171" s="272"/>
      <c r="BN171" s="114" t="str">
        <f t="shared" si="17"/>
        <v/>
      </c>
    </row>
    <row r="172" spans="1:66" x14ac:dyDescent="0.2">
      <c r="A172" s="255"/>
      <c r="B172" s="256"/>
      <c r="C172" s="257"/>
      <c r="D172" s="258"/>
      <c r="E172" s="207" t="str">
        <f t="shared" si="15"/>
        <v xml:space="preserve"> </v>
      </c>
      <c r="F172" s="217" t="str">
        <f t="shared" ca="1" si="16"/>
        <v/>
      </c>
      <c r="G172" s="256"/>
      <c r="H172" s="256"/>
      <c r="I172" s="256"/>
      <c r="J172" s="256"/>
      <c r="K172" s="256"/>
      <c r="L172" s="259"/>
      <c r="M172" s="256"/>
      <c r="N172" s="256"/>
      <c r="O172" s="256"/>
      <c r="P172" s="260"/>
      <c r="Q172" s="261"/>
      <c r="R172" s="267"/>
      <c r="S172" s="258"/>
      <c r="T172" s="262"/>
      <c r="U172" s="262"/>
      <c r="V172" s="262"/>
      <c r="W172" s="262"/>
      <c r="X172" s="262"/>
      <c r="Y172" s="262"/>
      <c r="Z172" s="262"/>
      <c r="AA172" s="262"/>
      <c r="AB172" s="262"/>
      <c r="AC172" s="262"/>
      <c r="AD172" s="262"/>
      <c r="AE172" s="262"/>
      <c r="AF172" s="262"/>
      <c r="AG172" s="262"/>
      <c r="AH172" s="262"/>
      <c r="AI172" s="262"/>
      <c r="AJ172" s="262"/>
      <c r="AK172" s="262"/>
      <c r="AL172" s="262"/>
      <c r="AM172" s="262"/>
      <c r="AN172" s="262"/>
      <c r="AO172" s="263"/>
      <c r="AP172" s="263"/>
      <c r="AQ172" s="263"/>
      <c r="AR172" s="264"/>
      <c r="AS172" s="265"/>
      <c r="AT172" s="259"/>
      <c r="AU172" s="264"/>
      <c r="AV172" s="256"/>
      <c r="AW172" s="258"/>
      <c r="AX172" s="258"/>
      <c r="AY172" s="258"/>
      <c r="AZ172" s="258"/>
      <c r="BA172" s="256"/>
      <c r="BB172" s="256"/>
      <c r="BC172" s="258"/>
      <c r="BD172" s="266"/>
      <c r="BE172" s="258"/>
      <c r="BF172" s="265"/>
      <c r="BG172" s="265"/>
      <c r="BH172" s="265"/>
      <c r="BI172" s="257"/>
      <c r="BJ172" s="257"/>
      <c r="BK172" s="257"/>
      <c r="BL172" s="257"/>
      <c r="BM172" s="272"/>
      <c r="BN172" s="114" t="str">
        <f t="shared" si="17"/>
        <v/>
      </c>
    </row>
    <row r="173" spans="1:66" x14ac:dyDescent="0.2">
      <c r="A173" s="255"/>
      <c r="B173" s="256"/>
      <c r="C173" s="257"/>
      <c r="D173" s="258"/>
      <c r="E173" s="207" t="str">
        <f t="shared" si="15"/>
        <v xml:space="preserve"> </v>
      </c>
      <c r="F173" s="217" t="str">
        <f t="shared" ca="1" si="16"/>
        <v/>
      </c>
      <c r="G173" s="256"/>
      <c r="H173" s="256"/>
      <c r="I173" s="256"/>
      <c r="J173" s="256"/>
      <c r="K173" s="256"/>
      <c r="L173" s="259"/>
      <c r="M173" s="256"/>
      <c r="N173" s="256"/>
      <c r="O173" s="256"/>
      <c r="P173" s="260"/>
      <c r="Q173" s="261"/>
      <c r="R173" s="267"/>
      <c r="S173" s="258"/>
      <c r="T173" s="262"/>
      <c r="U173" s="262"/>
      <c r="V173" s="262"/>
      <c r="W173" s="262"/>
      <c r="X173" s="262"/>
      <c r="Y173" s="262"/>
      <c r="Z173" s="262"/>
      <c r="AA173" s="262"/>
      <c r="AB173" s="262"/>
      <c r="AC173" s="262"/>
      <c r="AD173" s="262"/>
      <c r="AE173" s="262"/>
      <c r="AF173" s="262"/>
      <c r="AG173" s="262"/>
      <c r="AH173" s="262"/>
      <c r="AI173" s="262"/>
      <c r="AJ173" s="262"/>
      <c r="AK173" s="262"/>
      <c r="AL173" s="262"/>
      <c r="AM173" s="262"/>
      <c r="AN173" s="262"/>
      <c r="AO173" s="263"/>
      <c r="AP173" s="263"/>
      <c r="AQ173" s="263"/>
      <c r="AR173" s="264"/>
      <c r="AS173" s="265"/>
      <c r="AT173" s="259"/>
      <c r="AU173" s="264"/>
      <c r="AV173" s="256"/>
      <c r="AW173" s="258"/>
      <c r="AX173" s="258"/>
      <c r="AY173" s="258"/>
      <c r="AZ173" s="258"/>
      <c r="BA173" s="256"/>
      <c r="BB173" s="256"/>
      <c r="BC173" s="258"/>
      <c r="BD173" s="266"/>
      <c r="BE173" s="258"/>
      <c r="BF173" s="265"/>
      <c r="BG173" s="265"/>
      <c r="BH173" s="265"/>
      <c r="BI173" s="257"/>
      <c r="BJ173" s="257"/>
      <c r="BK173" s="257"/>
      <c r="BL173" s="257"/>
      <c r="BM173" s="272"/>
      <c r="BN173" s="114" t="str">
        <f t="shared" si="17"/>
        <v/>
      </c>
    </row>
    <row r="174" spans="1:66" x14ac:dyDescent="0.2">
      <c r="A174" s="255"/>
      <c r="B174" s="256"/>
      <c r="C174" s="257"/>
      <c r="D174" s="258"/>
      <c r="E174" s="207" t="str">
        <f t="shared" si="15"/>
        <v xml:space="preserve"> </v>
      </c>
      <c r="F174" s="217" t="str">
        <f t="shared" ca="1" si="16"/>
        <v/>
      </c>
      <c r="G174" s="256"/>
      <c r="H174" s="256"/>
      <c r="I174" s="256"/>
      <c r="J174" s="256"/>
      <c r="K174" s="256"/>
      <c r="L174" s="259"/>
      <c r="M174" s="256"/>
      <c r="N174" s="256"/>
      <c r="O174" s="256"/>
      <c r="P174" s="260"/>
      <c r="Q174" s="261"/>
      <c r="R174" s="267"/>
      <c r="S174" s="258"/>
      <c r="T174" s="262"/>
      <c r="U174" s="262"/>
      <c r="V174" s="262"/>
      <c r="W174" s="262"/>
      <c r="X174" s="262"/>
      <c r="Y174" s="262"/>
      <c r="Z174" s="262"/>
      <c r="AA174" s="262"/>
      <c r="AB174" s="262"/>
      <c r="AC174" s="262"/>
      <c r="AD174" s="262"/>
      <c r="AE174" s="262"/>
      <c r="AF174" s="262"/>
      <c r="AG174" s="262"/>
      <c r="AH174" s="262"/>
      <c r="AI174" s="262"/>
      <c r="AJ174" s="262"/>
      <c r="AK174" s="262"/>
      <c r="AL174" s="262"/>
      <c r="AM174" s="262"/>
      <c r="AN174" s="262"/>
      <c r="AO174" s="263"/>
      <c r="AP174" s="263"/>
      <c r="AQ174" s="263"/>
      <c r="AR174" s="264"/>
      <c r="AS174" s="265"/>
      <c r="AT174" s="259"/>
      <c r="AU174" s="264"/>
      <c r="AV174" s="256"/>
      <c r="AW174" s="258"/>
      <c r="AX174" s="258"/>
      <c r="AY174" s="258"/>
      <c r="AZ174" s="258"/>
      <c r="BA174" s="256"/>
      <c r="BB174" s="256"/>
      <c r="BC174" s="258"/>
      <c r="BD174" s="266"/>
      <c r="BE174" s="258"/>
      <c r="BF174" s="265"/>
      <c r="BG174" s="265"/>
      <c r="BH174" s="265"/>
      <c r="BI174" s="257"/>
      <c r="BJ174" s="257"/>
      <c r="BK174" s="257"/>
      <c r="BL174" s="257"/>
      <c r="BM174" s="272"/>
      <c r="BN174" s="114" t="str">
        <f t="shared" si="17"/>
        <v/>
      </c>
    </row>
    <row r="175" spans="1:66" x14ac:dyDescent="0.2">
      <c r="A175" s="255"/>
      <c r="B175" s="256"/>
      <c r="C175" s="257"/>
      <c r="D175" s="258"/>
      <c r="E175" s="207" t="str">
        <f t="shared" si="15"/>
        <v xml:space="preserve"> </v>
      </c>
      <c r="F175" s="217" t="str">
        <f t="shared" ca="1" si="16"/>
        <v/>
      </c>
      <c r="G175" s="256"/>
      <c r="H175" s="256"/>
      <c r="I175" s="256"/>
      <c r="J175" s="256"/>
      <c r="K175" s="256"/>
      <c r="L175" s="259"/>
      <c r="M175" s="256"/>
      <c r="N175" s="256"/>
      <c r="O175" s="256"/>
      <c r="P175" s="260"/>
      <c r="Q175" s="261"/>
      <c r="R175" s="267"/>
      <c r="S175" s="258"/>
      <c r="T175" s="262"/>
      <c r="U175" s="262"/>
      <c r="V175" s="262"/>
      <c r="W175" s="262"/>
      <c r="X175" s="262"/>
      <c r="Y175" s="262"/>
      <c r="Z175" s="262"/>
      <c r="AA175" s="262"/>
      <c r="AB175" s="262"/>
      <c r="AC175" s="262"/>
      <c r="AD175" s="262"/>
      <c r="AE175" s="262"/>
      <c r="AF175" s="262"/>
      <c r="AG175" s="262"/>
      <c r="AH175" s="262"/>
      <c r="AI175" s="262"/>
      <c r="AJ175" s="262"/>
      <c r="AK175" s="262"/>
      <c r="AL175" s="262"/>
      <c r="AM175" s="262"/>
      <c r="AN175" s="262"/>
      <c r="AO175" s="263"/>
      <c r="AP175" s="263"/>
      <c r="AQ175" s="263"/>
      <c r="AR175" s="264"/>
      <c r="AS175" s="265"/>
      <c r="AT175" s="259"/>
      <c r="AU175" s="264"/>
      <c r="AV175" s="256"/>
      <c r="AW175" s="258"/>
      <c r="AX175" s="258"/>
      <c r="AY175" s="258"/>
      <c r="AZ175" s="258"/>
      <c r="BA175" s="256"/>
      <c r="BB175" s="256"/>
      <c r="BC175" s="258"/>
      <c r="BD175" s="266"/>
      <c r="BE175" s="258"/>
      <c r="BF175" s="265"/>
      <c r="BG175" s="265"/>
      <c r="BH175" s="265"/>
      <c r="BI175" s="257"/>
      <c r="BJ175" s="257"/>
      <c r="BK175" s="257"/>
      <c r="BL175" s="257"/>
      <c r="BM175" s="272"/>
      <c r="BN175" s="114" t="str">
        <f t="shared" si="17"/>
        <v/>
      </c>
    </row>
    <row r="176" spans="1:66" x14ac:dyDescent="0.2">
      <c r="A176" s="255"/>
      <c r="B176" s="256"/>
      <c r="C176" s="257"/>
      <c r="D176" s="258"/>
      <c r="E176" s="207" t="str">
        <f t="shared" si="15"/>
        <v xml:space="preserve"> </v>
      </c>
      <c r="F176" s="217" t="str">
        <f t="shared" ca="1" si="16"/>
        <v/>
      </c>
      <c r="G176" s="256"/>
      <c r="H176" s="256"/>
      <c r="I176" s="256"/>
      <c r="J176" s="256"/>
      <c r="K176" s="256"/>
      <c r="L176" s="259"/>
      <c r="M176" s="256"/>
      <c r="N176" s="256"/>
      <c r="O176" s="256"/>
      <c r="P176" s="260"/>
      <c r="Q176" s="261"/>
      <c r="R176" s="267"/>
      <c r="S176" s="258"/>
      <c r="T176" s="262"/>
      <c r="U176" s="262"/>
      <c r="V176" s="262"/>
      <c r="W176" s="262"/>
      <c r="X176" s="262"/>
      <c r="Y176" s="262"/>
      <c r="Z176" s="262"/>
      <c r="AA176" s="262"/>
      <c r="AB176" s="262"/>
      <c r="AC176" s="262"/>
      <c r="AD176" s="262"/>
      <c r="AE176" s="262"/>
      <c r="AF176" s="262"/>
      <c r="AG176" s="262"/>
      <c r="AH176" s="262"/>
      <c r="AI176" s="262"/>
      <c r="AJ176" s="262"/>
      <c r="AK176" s="262"/>
      <c r="AL176" s="262"/>
      <c r="AM176" s="262"/>
      <c r="AN176" s="262"/>
      <c r="AO176" s="263"/>
      <c r="AP176" s="263"/>
      <c r="AQ176" s="263"/>
      <c r="AR176" s="264"/>
      <c r="AS176" s="265"/>
      <c r="AT176" s="259"/>
      <c r="AU176" s="264"/>
      <c r="AV176" s="256"/>
      <c r="AW176" s="258"/>
      <c r="AX176" s="258"/>
      <c r="AY176" s="258"/>
      <c r="AZ176" s="258"/>
      <c r="BA176" s="256"/>
      <c r="BB176" s="256"/>
      <c r="BC176" s="258"/>
      <c r="BD176" s="266"/>
      <c r="BE176" s="258"/>
      <c r="BF176" s="265"/>
      <c r="BG176" s="265"/>
      <c r="BH176" s="265"/>
      <c r="BI176" s="257"/>
      <c r="BJ176" s="257"/>
      <c r="BK176" s="257"/>
      <c r="BL176" s="257"/>
      <c r="BM176" s="272"/>
      <c r="BN176" s="114" t="str">
        <f t="shared" si="17"/>
        <v/>
      </c>
    </row>
    <row r="177" spans="1:66" x14ac:dyDescent="0.2">
      <c r="A177" s="255"/>
      <c r="B177" s="256"/>
      <c r="C177" s="257"/>
      <c r="D177" s="258"/>
      <c r="E177" s="207" t="str">
        <f t="shared" si="15"/>
        <v xml:space="preserve"> </v>
      </c>
      <c r="F177" s="217" t="str">
        <f t="shared" ca="1" si="16"/>
        <v/>
      </c>
      <c r="G177" s="256"/>
      <c r="H177" s="256"/>
      <c r="I177" s="256"/>
      <c r="J177" s="256"/>
      <c r="K177" s="256"/>
      <c r="L177" s="259"/>
      <c r="M177" s="256"/>
      <c r="N177" s="256"/>
      <c r="O177" s="256"/>
      <c r="P177" s="260"/>
      <c r="Q177" s="261"/>
      <c r="R177" s="267"/>
      <c r="S177" s="258"/>
      <c r="T177" s="262"/>
      <c r="U177" s="262"/>
      <c r="V177" s="262"/>
      <c r="W177" s="262"/>
      <c r="X177" s="262"/>
      <c r="Y177" s="262"/>
      <c r="Z177" s="262"/>
      <c r="AA177" s="262"/>
      <c r="AB177" s="262"/>
      <c r="AC177" s="262"/>
      <c r="AD177" s="262"/>
      <c r="AE177" s="262"/>
      <c r="AF177" s="262"/>
      <c r="AG177" s="262"/>
      <c r="AH177" s="262"/>
      <c r="AI177" s="262"/>
      <c r="AJ177" s="262"/>
      <c r="AK177" s="262"/>
      <c r="AL177" s="262"/>
      <c r="AM177" s="262"/>
      <c r="AN177" s="262"/>
      <c r="AO177" s="263"/>
      <c r="AP177" s="263"/>
      <c r="AQ177" s="263"/>
      <c r="AR177" s="264"/>
      <c r="AS177" s="265"/>
      <c r="AT177" s="259"/>
      <c r="AU177" s="264"/>
      <c r="AV177" s="256"/>
      <c r="AW177" s="258"/>
      <c r="AX177" s="258"/>
      <c r="AY177" s="258"/>
      <c r="AZ177" s="258"/>
      <c r="BA177" s="256"/>
      <c r="BB177" s="256"/>
      <c r="BC177" s="258"/>
      <c r="BD177" s="266"/>
      <c r="BE177" s="258"/>
      <c r="BF177" s="265"/>
      <c r="BG177" s="265"/>
      <c r="BH177" s="265"/>
      <c r="BI177" s="257"/>
      <c r="BJ177" s="257"/>
      <c r="BK177" s="257"/>
      <c r="BL177" s="257"/>
      <c r="BM177" s="272"/>
      <c r="BN177" s="114" t="str">
        <f t="shared" si="17"/>
        <v/>
      </c>
    </row>
    <row r="178" spans="1:66" x14ac:dyDescent="0.2">
      <c r="A178" s="255"/>
      <c r="B178" s="256"/>
      <c r="C178" s="257"/>
      <c r="D178" s="258"/>
      <c r="E178" s="207" t="str">
        <f t="shared" si="15"/>
        <v xml:space="preserve"> </v>
      </c>
      <c r="F178" s="217" t="str">
        <f t="shared" ca="1" si="16"/>
        <v/>
      </c>
      <c r="G178" s="256"/>
      <c r="H178" s="256"/>
      <c r="I178" s="256"/>
      <c r="J178" s="256"/>
      <c r="K178" s="256"/>
      <c r="L178" s="259"/>
      <c r="M178" s="256"/>
      <c r="N178" s="256"/>
      <c r="O178" s="256"/>
      <c r="P178" s="260"/>
      <c r="Q178" s="261"/>
      <c r="R178" s="267"/>
      <c r="S178" s="258"/>
      <c r="T178" s="262"/>
      <c r="U178" s="262"/>
      <c r="V178" s="262"/>
      <c r="W178" s="262"/>
      <c r="X178" s="262"/>
      <c r="Y178" s="262"/>
      <c r="Z178" s="262"/>
      <c r="AA178" s="262"/>
      <c r="AB178" s="262"/>
      <c r="AC178" s="262"/>
      <c r="AD178" s="262"/>
      <c r="AE178" s="262"/>
      <c r="AF178" s="262"/>
      <c r="AG178" s="262"/>
      <c r="AH178" s="262"/>
      <c r="AI178" s="262"/>
      <c r="AJ178" s="262"/>
      <c r="AK178" s="262"/>
      <c r="AL178" s="262"/>
      <c r="AM178" s="262"/>
      <c r="AN178" s="262"/>
      <c r="AO178" s="263"/>
      <c r="AP178" s="263"/>
      <c r="AQ178" s="263"/>
      <c r="AR178" s="264"/>
      <c r="AS178" s="265"/>
      <c r="AT178" s="259"/>
      <c r="AU178" s="264"/>
      <c r="AV178" s="256"/>
      <c r="AW178" s="258"/>
      <c r="AX178" s="258"/>
      <c r="AY178" s="258"/>
      <c r="AZ178" s="258"/>
      <c r="BA178" s="256"/>
      <c r="BB178" s="256"/>
      <c r="BC178" s="258"/>
      <c r="BD178" s="266"/>
      <c r="BE178" s="258"/>
      <c r="BF178" s="265"/>
      <c r="BG178" s="265"/>
      <c r="BH178" s="265"/>
      <c r="BI178" s="257"/>
      <c r="BJ178" s="257"/>
      <c r="BK178" s="257"/>
      <c r="BL178" s="257"/>
      <c r="BM178" s="272"/>
      <c r="BN178" s="114" t="str">
        <f t="shared" si="17"/>
        <v/>
      </c>
    </row>
    <row r="179" spans="1:66" x14ac:dyDescent="0.2">
      <c r="A179" s="255"/>
      <c r="B179" s="256"/>
      <c r="C179" s="257"/>
      <c r="D179" s="258"/>
      <c r="E179" s="207" t="str">
        <f t="shared" si="15"/>
        <v xml:space="preserve"> </v>
      </c>
      <c r="F179" s="217" t="str">
        <f t="shared" ca="1" si="16"/>
        <v/>
      </c>
      <c r="G179" s="256"/>
      <c r="H179" s="256"/>
      <c r="I179" s="256"/>
      <c r="J179" s="256"/>
      <c r="K179" s="256"/>
      <c r="L179" s="259"/>
      <c r="M179" s="256"/>
      <c r="N179" s="256"/>
      <c r="O179" s="256"/>
      <c r="P179" s="260"/>
      <c r="Q179" s="261"/>
      <c r="R179" s="267"/>
      <c r="S179" s="258"/>
      <c r="T179" s="262"/>
      <c r="U179" s="262"/>
      <c r="V179" s="262"/>
      <c r="W179" s="262"/>
      <c r="X179" s="262"/>
      <c r="Y179" s="262"/>
      <c r="Z179" s="262"/>
      <c r="AA179" s="262"/>
      <c r="AB179" s="262"/>
      <c r="AC179" s="262"/>
      <c r="AD179" s="262"/>
      <c r="AE179" s="262"/>
      <c r="AF179" s="262"/>
      <c r="AG179" s="262"/>
      <c r="AH179" s="262"/>
      <c r="AI179" s="262"/>
      <c r="AJ179" s="262"/>
      <c r="AK179" s="262"/>
      <c r="AL179" s="262"/>
      <c r="AM179" s="262"/>
      <c r="AN179" s="262"/>
      <c r="AO179" s="263"/>
      <c r="AP179" s="263"/>
      <c r="AQ179" s="263"/>
      <c r="AR179" s="264"/>
      <c r="AS179" s="265"/>
      <c r="AT179" s="259"/>
      <c r="AU179" s="264"/>
      <c r="AV179" s="256"/>
      <c r="AW179" s="258"/>
      <c r="AX179" s="258"/>
      <c r="AY179" s="258"/>
      <c r="AZ179" s="258"/>
      <c r="BA179" s="256"/>
      <c r="BB179" s="256"/>
      <c r="BC179" s="258"/>
      <c r="BD179" s="266"/>
      <c r="BE179" s="258"/>
      <c r="BF179" s="265"/>
      <c r="BG179" s="265"/>
      <c r="BH179" s="265"/>
      <c r="BI179" s="257"/>
      <c r="BJ179" s="257"/>
      <c r="BK179" s="257"/>
      <c r="BL179" s="257"/>
      <c r="BM179" s="272"/>
      <c r="BN179" s="114" t="str">
        <f t="shared" si="17"/>
        <v/>
      </c>
    </row>
    <row r="180" spans="1:66" x14ac:dyDescent="0.2">
      <c r="A180" s="255"/>
      <c r="B180" s="256"/>
      <c r="C180" s="257"/>
      <c r="D180" s="258"/>
      <c r="E180" s="207" t="str">
        <f t="shared" si="15"/>
        <v xml:space="preserve"> </v>
      </c>
      <c r="F180" s="217" t="str">
        <f t="shared" ca="1" si="16"/>
        <v/>
      </c>
      <c r="G180" s="256"/>
      <c r="H180" s="256"/>
      <c r="I180" s="256"/>
      <c r="J180" s="256"/>
      <c r="K180" s="256"/>
      <c r="L180" s="259"/>
      <c r="M180" s="256"/>
      <c r="N180" s="256"/>
      <c r="O180" s="256"/>
      <c r="P180" s="260"/>
      <c r="Q180" s="261"/>
      <c r="R180" s="267"/>
      <c r="S180" s="258"/>
      <c r="T180" s="262"/>
      <c r="U180" s="262"/>
      <c r="V180" s="262"/>
      <c r="W180" s="262"/>
      <c r="X180" s="262"/>
      <c r="Y180" s="262"/>
      <c r="Z180" s="262"/>
      <c r="AA180" s="262"/>
      <c r="AB180" s="262"/>
      <c r="AC180" s="262"/>
      <c r="AD180" s="262"/>
      <c r="AE180" s="262"/>
      <c r="AF180" s="262"/>
      <c r="AG180" s="262"/>
      <c r="AH180" s="262"/>
      <c r="AI180" s="262"/>
      <c r="AJ180" s="262"/>
      <c r="AK180" s="262"/>
      <c r="AL180" s="262"/>
      <c r="AM180" s="262"/>
      <c r="AN180" s="262"/>
      <c r="AO180" s="263"/>
      <c r="AP180" s="263"/>
      <c r="AQ180" s="263"/>
      <c r="AR180" s="264"/>
      <c r="AS180" s="265"/>
      <c r="AT180" s="259"/>
      <c r="AU180" s="264"/>
      <c r="AV180" s="256"/>
      <c r="AW180" s="258"/>
      <c r="AX180" s="258"/>
      <c r="AY180" s="258"/>
      <c r="AZ180" s="258"/>
      <c r="BA180" s="256"/>
      <c r="BB180" s="256"/>
      <c r="BC180" s="258"/>
      <c r="BD180" s="266"/>
      <c r="BE180" s="258"/>
      <c r="BF180" s="265"/>
      <c r="BG180" s="265"/>
      <c r="BH180" s="265"/>
      <c r="BI180" s="257"/>
      <c r="BJ180" s="257"/>
      <c r="BK180" s="257"/>
      <c r="BL180" s="257"/>
      <c r="BM180" s="272"/>
      <c r="BN180" s="114" t="str">
        <f t="shared" si="17"/>
        <v/>
      </c>
    </row>
    <row r="181" spans="1:66" x14ac:dyDescent="0.2">
      <c r="A181" s="255"/>
      <c r="B181" s="256"/>
      <c r="C181" s="257"/>
      <c r="D181" s="258"/>
      <c r="E181" s="207" t="str">
        <f t="shared" si="15"/>
        <v xml:space="preserve"> </v>
      </c>
      <c r="F181" s="217" t="str">
        <f t="shared" ca="1" si="16"/>
        <v/>
      </c>
      <c r="G181" s="256"/>
      <c r="H181" s="256"/>
      <c r="I181" s="256"/>
      <c r="J181" s="256"/>
      <c r="K181" s="256"/>
      <c r="L181" s="259"/>
      <c r="M181" s="256"/>
      <c r="N181" s="256"/>
      <c r="O181" s="256"/>
      <c r="P181" s="260"/>
      <c r="Q181" s="261"/>
      <c r="R181" s="267"/>
      <c r="S181" s="258"/>
      <c r="T181" s="262"/>
      <c r="U181" s="262"/>
      <c r="V181" s="262"/>
      <c r="W181" s="262"/>
      <c r="X181" s="262"/>
      <c r="Y181" s="262"/>
      <c r="Z181" s="262"/>
      <c r="AA181" s="262"/>
      <c r="AB181" s="262"/>
      <c r="AC181" s="262"/>
      <c r="AD181" s="262"/>
      <c r="AE181" s="262"/>
      <c r="AF181" s="262"/>
      <c r="AG181" s="262"/>
      <c r="AH181" s="262"/>
      <c r="AI181" s="262"/>
      <c r="AJ181" s="262"/>
      <c r="AK181" s="262"/>
      <c r="AL181" s="262"/>
      <c r="AM181" s="262"/>
      <c r="AN181" s="262"/>
      <c r="AO181" s="263"/>
      <c r="AP181" s="263"/>
      <c r="AQ181" s="263"/>
      <c r="AR181" s="264"/>
      <c r="AS181" s="265"/>
      <c r="AT181" s="259"/>
      <c r="AU181" s="264"/>
      <c r="AV181" s="256"/>
      <c r="AW181" s="258"/>
      <c r="AX181" s="258"/>
      <c r="AY181" s="258"/>
      <c r="AZ181" s="258"/>
      <c r="BA181" s="256"/>
      <c r="BB181" s="256"/>
      <c r="BC181" s="258"/>
      <c r="BD181" s="266"/>
      <c r="BE181" s="258"/>
      <c r="BF181" s="265"/>
      <c r="BG181" s="265"/>
      <c r="BH181" s="265"/>
      <c r="BI181" s="257"/>
      <c r="BJ181" s="257"/>
      <c r="BK181" s="257"/>
      <c r="BL181" s="257"/>
      <c r="BM181" s="272"/>
      <c r="BN181" s="114" t="str">
        <f t="shared" si="17"/>
        <v/>
      </c>
    </row>
    <row r="182" spans="1:66" x14ac:dyDescent="0.2">
      <c r="A182" s="255"/>
      <c r="B182" s="256"/>
      <c r="C182" s="257"/>
      <c r="D182" s="258"/>
      <c r="E182" s="207" t="str">
        <f t="shared" si="15"/>
        <v xml:space="preserve"> </v>
      </c>
      <c r="F182" s="217" t="str">
        <f t="shared" ca="1" si="16"/>
        <v/>
      </c>
      <c r="G182" s="256"/>
      <c r="H182" s="256"/>
      <c r="I182" s="256"/>
      <c r="J182" s="256"/>
      <c r="K182" s="256"/>
      <c r="L182" s="259"/>
      <c r="M182" s="256"/>
      <c r="N182" s="256"/>
      <c r="O182" s="256"/>
      <c r="P182" s="260"/>
      <c r="Q182" s="261"/>
      <c r="R182" s="267"/>
      <c r="S182" s="258"/>
      <c r="T182" s="262"/>
      <c r="U182" s="262"/>
      <c r="V182" s="262"/>
      <c r="W182" s="262"/>
      <c r="X182" s="262"/>
      <c r="Y182" s="262"/>
      <c r="Z182" s="262"/>
      <c r="AA182" s="262"/>
      <c r="AB182" s="262"/>
      <c r="AC182" s="262"/>
      <c r="AD182" s="262"/>
      <c r="AE182" s="262"/>
      <c r="AF182" s="262"/>
      <c r="AG182" s="262"/>
      <c r="AH182" s="262"/>
      <c r="AI182" s="262"/>
      <c r="AJ182" s="262"/>
      <c r="AK182" s="262"/>
      <c r="AL182" s="262"/>
      <c r="AM182" s="262"/>
      <c r="AN182" s="262"/>
      <c r="AO182" s="263"/>
      <c r="AP182" s="263"/>
      <c r="AQ182" s="263"/>
      <c r="AR182" s="264"/>
      <c r="AS182" s="265"/>
      <c r="AT182" s="259"/>
      <c r="AU182" s="264"/>
      <c r="AV182" s="256"/>
      <c r="AW182" s="258"/>
      <c r="AX182" s="258"/>
      <c r="AY182" s="258"/>
      <c r="AZ182" s="258"/>
      <c r="BA182" s="256"/>
      <c r="BB182" s="256"/>
      <c r="BC182" s="258"/>
      <c r="BD182" s="266"/>
      <c r="BE182" s="258"/>
      <c r="BF182" s="265"/>
      <c r="BG182" s="265"/>
      <c r="BH182" s="265"/>
      <c r="BI182" s="257"/>
      <c r="BJ182" s="257"/>
      <c r="BK182" s="257"/>
      <c r="BL182" s="257"/>
      <c r="BM182" s="272"/>
      <c r="BN182" s="114" t="str">
        <f t="shared" si="17"/>
        <v/>
      </c>
    </row>
    <row r="183" spans="1:66" x14ac:dyDescent="0.2">
      <c r="A183" s="255"/>
      <c r="B183" s="256"/>
      <c r="C183" s="257"/>
      <c r="D183" s="258"/>
      <c r="E183" s="207" t="str">
        <f t="shared" si="15"/>
        <v xml:space="preserve"> </v>
      </c>
      <c r="F183" s="217" t="str">
        <f t="shared" ca="1" si="16"/>
        <v/>
      </c>
      <c r="G183" s="256"/>
      <c r="H183" s="256"/>
      <c r="I183" s="256"/>
      <c r="J183" s="256"/>
      <c r="K183" s="256"/>
      <c r="L183" s="259"/>
      <c r="M183" s="256"/>
      <c r="N183" s="256"/>
      <c r="O183" s="256"/>
      <c r="P183" s="260"/>
      <c r="Q183" s="261"/>
      <c r="R183" s="267"/>
      <c r="S183" s="258"/>
      <c r="T183" s="262"/>
      <c r="U183" s="262"/>
      <c r="V183" s="262"/>
      <c r="W183" s="262"/>
      <c r="X183" s="262"/>
      <c r="Y183" s="262"/>
      <c r="Z183" s="262"/>
      <c r="AA183" s="262"/>
      <c r="AB183" s="262"/>
      <c r="AC183" s="262"/>
      <c r="AD183" s="262"/>
      <c r="AE183" s="262"/>
      <c r="AF183" s="262"/>
      <c r="AG183" s="262"/>
      <c r="AH183" s="262"/>
      <c r="AI183" s="262"/>
      <c r="AJ183" s="262"/>
      <c r="AK183" s="262"/>
      <c r="AL183" s="262"/>
      <c r="AM183" s="262"/>
      <c r="AN183" s="262"/>
      <c r="AO183" s="263"/>
      <c r="AP183" s="263"/>
      <c r="AQ183" s="263"/>
      <c r="AR183" s="264"/>
      <c r="AS183" s="265"/>
      <c r="AT183" s="259"/>
      <c r="AU183" s="264"/>
      <c r="AV183" s="256"/>
      <c r="AW183" s="258"/>
      <c r="AX183" s="258"/>
      <c r="AY183" s="258"/>
      <c r="AZ183" s="258"/>
      <c r="BA183" s="256"/>
      <c r="BB183" s="256"/>
      <c r="BC183" s="258"/>
      <c r="BD183" s="266"/>
      <c r="BE183" s="258"/>
      <c r="BF183" s="265"/>
      <c r="BG183" s="265"/>
      <c r="BH183" s="265"/>
      <c r="BI183" s="257"/>
      <c r="BJ183" s="257"/>
      <c r="BK183" s="257"/>
      <c r="BL183" s="257"/>
      <c r="BM183" s="272"/>
      <c r="BN183" s="114" t="str">
        <f t="shared" si="17"/>
        <v/>
      </c>
    </row>
    <row r="184" spans="1:66" x14ac:dyDescent="0.2">
      <c r="A184" s="255"/>
      <c r="B184" s="256"/>
      <c r="C184" s="257"/>
      <c r="D184" s="258"/>
      <c r="E184" s="207" t="str">
        <f t="shared" si="15"/>
        <v xml:space="preserve"> </v>
      </c>
      <c r="F184" s="217" t="str">
        <f t="shared" ca="1" si="16"/>
        <v/>
      </c>
      <c r="G184" s="256"/>
      <c r="H184" s="256"/>
      <c r="I184" s="256"/>
      <c r="J184" s="256"/>
      <c r="K184" s="256"/>
      <c r="L184" s="259"/>
      <c r="M184" s="256"/>
      <c r="N184" s="256"/>
      <c r="O184" s="256"/>
      <c r="P184" s="260"/>
      <c r="Q184" s="261"/>
      <c r="R184" s="267"/>
      <c r="S184" s="258"/>
      <c r="T184" s="262"/>
      <c r="U184" s="262"/>
      <c r="V184" s="262"/>
      <c r="W184" s="262"/>
      <c r="X184" s="262"/>
      <c r="Y184" s="262"/>
      <c r="Z184" s="262"/>
      <c r="AA184" s="262"/>
      <c r="AB184" s="262"/>
      <c r="AC184" s="262"/>
      <c r="AD184" s="262"/>
      <c r="AE184" s="262"/>
      <c r="AF184" s="262"/>
      <c r="AG184" s="262"/>
      <c r="AH184" s="262"/>
      <c r="AI184" s="262"/>
      <c r="AJ184" s="262"/>
      <c r="AK184" s="262"/>
      <c r="AL184" s="262"/>
      <c r="AM184" s="262"/>
      <c r="AN184" s="262"/>
      <c r="AO184" s="263"/>
      <c r="AP184" s="263"/>
      <c r="AQ184" s="263"/>
      <c r="AR184" s="264"/>
      <c r="AS184" s="265"/>
      <c r="AT184" s="259"/>
      <c r="AU184" s="264"/>
      <c r="AV184" s="256"/>
      <c r="AW184" s="258"/>
      <c r="AX184" s="258"/>
      <c r="AY184" s="258"/>
      <c r="AZ184" s="258"/>
      <c r="BA184" s="256"/>
      <c r="BB184" s="256"/>
      <c r="BC184" s="258"/>
      <c r="BD184" s="266"/>
      <c r="BE184" s="258"/>
      <c r="BF184" s="265"/>
      <c r="BG184" s="265"/>
      <c r="BH184" s="265"/>
      <c r="BI184" s="257"/>
      <c r="BJ184" s="257"/>
      <c r="BK184" s="257"/>
      <c r="BL184" s="257"/>
      <c r="BM184" s="272"/>
      <c r="BN184" s="114" t="str">
        <f t="shared" si="17"/>
        <v/>
      </c>
    </row>
    <row r="185" spans="1:66" x14ac:dyDescent="0.2">
      <c r="A185" s="255"/>
      <c r="B185" s="256"/>
      <c r="C185" s="257"/>
      <c r="D185" s="258"/>
      <c r="E185" s="207" t="str">
        <f t="shared" si="15"/>
        <v xml:space="preserve"> </v>
      </c>
      <c r="F185" s="217" t="str">
        <f t="shared" ca="1" si="16"/>
        <v/>
      </c>
      <c r="G185" s="256"/>
      <c r="H185" s="256"/>
      <c r="I185" s="256"/>
      <c r="J185" s="256"/>
      <c r="K185" s="256"/>
      <c r="L185" s="259"/>
      <c r="M185" s="256"/>
      <c r="N185" s="256"/>
      <c r="O185" s="256"/>
      <c r="P185" s="260"/>
      <c r="Q185" s="261"/>
      <c r="R185" s="267"/>
      <c r="S185" s="258"/>
      <c r="T185" s="262"/>
      <c r="U185" s="262"/>
      <c r="V185" s="262"/>
      <c r="W185" s="262"/>
      <c r="X185" s="262"/>
      <c r="Y185" s="262"/>
      <c r="Z185" s="262"/>
      <c r="AA185" s="262"/>
      <c r="AB185" s="262"/>
      <c r="AC185" s="262"/>
      <c r="AD185" s="262"/>
      <c r="AE185" s="262"/>
      <c r="AF185" s="262"/>
      <c r="AG185" s="262"/>
      <c r="AH185" s="262"/>
      <c r="AI185" s="262"/>
      <c r="AJ185" s="262"/>
      <c r="AK185" s="262"/>
      <c r="AL185" s="262"/>
      <c r="AM185" s="262"/>
      <c r="AN185" s="262"/>
      <c r="AO185" s="263"/>
      <c r="AP185" s="263"/>
      <c r="AQ185" s="263"/>
      <c r="AR185" s="264"/>
      <c r="AS185" s="265"/>
      <c r="AT185" s="259"/>
      <c r="AU185" s="264"/>
      <c r="AV185" s="256"/>
      <c r="AW185" s="258"/>
      <c r="AX185" s="258"/>
      <c r="AY185" s="258"/>
      <c r="AZ185" s="258"/>
      <c r="BA185" s="256"/>
      <c r="BB185" s="256"/>
      <c r="BC185" s="258"/>
      <c r="BD185" s="266"/>
      <c r="BE185" s="258"/>
      <c r="BF185" s="265"/>
      <c r="BG185" s="265"/>
      <c r="BH185" s="265"/>
      <c r="BI185" s="257"/>
      <c r="BJ185" s="257"/>
      <c r="BK185" s="257"/>
      <c r="BL185" s="257"/>
      <c r="BM185" s="272"/>
      <c r="BN185" s="114" t="str">
        <f t="shared" si="17"/>
        <v/>
      </c>
    </row>
    <row r="186" spans="1:66" x14ac:dyDescent="0.2">
      <c r="A186" s="255"/>
      <c r="B186" s="256"/>
      <c r="C186" s="257"/>
      <c r="D186" s="258"/>
      <c r="E186" s="207" t="str">
        <f t="shared" si="15"/>
        <v xml:space="preserve"> </v>
      </c>
      <c r="F186" s="217" t="str">
        <f t="shared" ca="1" si="16"/>
        <v/>
      </c>
      <c r="G186" s="256"/>
      <c r="H186" s="256"/>
      <c r="I186" s="256"/>
      <c r="J186" s="256"/>
      <c r="K186" s="256"/>
      <c r="L186" s="259"/>
      <c r="M186" s="256"/>
      <c r="N186" s="256"/>
      <c r="O186" s="256"/>
      <c r="P186" s="260"/>
      <c r="Q186" s="261"/>
      <c r="R186" s="267"/>
      <c r="S186" s="258"/>
      <c r="T186" s="262"/>
      <c r="U186" s="262"/>
      <c r="V186" s="262"/>
      <c r="W186" s="262"/>
      <c r="X186" s="262"/>
      <c r="Y186" s="262"/>
      <c r="Z186" s="262"/>
      <c r="AA186" s="262"/>
      <c r="AB186" s="262"/>
      <c r="AC186" s="262"/>
      <c r="AD186" s="262"/>
      <c r="AE186" s="262"/>
      <c r="AF186" s="262"/>
      <c r="AG186" s="262"/>
      <c r="AH186" s="262"/>
      <c r="AI186" s="262"/>
      <c r="AJ186" s="262"/>
      <c r="AK186" s="262"/>
      <c r="AL186" s="262"/>
      <c r="AM186" s="262"/>
      <c r="AN186" s="262"/>
      <c r="AO186" s="263"/>
      <c r="AP186" s="263"/>
      <c r="AQ186" s="263"/>
      <c r="AR186" s="264"/>
      <c r="AS186" s="265"/>
      <c r="AT186" s="259"/>
      <c r="AU186" s="264"/>
      <c r="AV186" s="256"/>
      <c r="AW186" s="258"/>
      <c r="AX186" s="258"/>
      <c r="AY186" s="258"/>
      <c r="AZ186" s="258"/>
      <c r="BA186" s="256"/>
      <c r="BB186" s="256"/>
      <c r="BC186" s="258"/>
      <c r="BD186" s="266"/>
      <c r="BE186" s="258"/>
      <c r="BF186" s="265"/>
      <c r="BG186" s="265"/>
      <c r="BH186" s="265"/>
      <c r="BI186" s="257"/>
      <c r="BJ186" s="257"/>
      <c r="BK186" s="257"/>
      <c r="BL186" s="257"/>
      <c r="BM186" s="272"/>
      <c r="BN186" s="114" t="str">
        <f t="shared" si="17"/>
        <v/>
      </c>
    </row>
    <row r="187" spans="1:66" x14ac:dyDescent="0.2">
      <c r="A187" s="255"/>
      <c r="B187" s="256"/>
      <c r="C187" s="257"/>
      <c r="D187" s="258"/>
      <c r="E187" s="207" t="str">
        <f t="shared" si="15"/>
        <v xml:space="preserve"> </v>
      </c>
      <c r="F187" s="217" t="str">
        <f t="shared" ca="1" si="16"/>
        <v/>
      </c>
      <c r="G187" s="256"/>
      <c r="H187" s="256"/>
      <c r="I187" s="256"/>
      <c r="J187" s="256"/>
      <c r="K187" s="256"/>
      <c r="L187" s="259"/>
      <c r="M187" s="256"/>
      <c r="N187" s="256"/>
      <c r="O187" s="256"/>
      <c r="P187" s="260"/>
      <c r="Q187" s="261"/>
      <c r="R187" s="267"/>
      <c r="S187" s="258"/>
      <c r="T187" s="262"/>
      <c r="U187" s="262"/>
      <c r="V187" s="262"/>
      <c r="W187" s="262"/>
      <c r="X187" s="262"/>
      <c r="Y187" s="262"/>
      <c r="Z187" s="262"/>
      <c r="AA187" s="262"/>
      <c r="AB187" s="262"/>
      <c r="AC187" s="262"/>
      <c r="AD187" s="262"/>
      <c r="AE187" s="262"/>
      <c r="AF187" s="262"/>
      <c r="AG187" s="262"/>
      <c r="AH187" s="262"/>
      <c r="AI187" s="262"/>
      <c r="AJ187" s="262"/>
      <c r="AK187" s="262"/>
      <c r="AL187" s="262"/>
      <c r="AM187" s="262"/>
      <c r="AN187" s="262"/>
      <c r="AO187" s="263"/>
      <c r="AP187" s="263"/>
      <c r="AQ187" s="263"/>
      <c r="AR187" s="264"/>
      <c r="AS187" s="265"/>
      <c r="AT187" s="259"/>
      <c r="AU187" s="264"/>
      <c r="AV187" s="256"/>
      <c r="AW187" s="258"/>
      <c r="AX187" s="258"/>
      <c r="AY187" s="258"/>
      <c r="AZ187" s="258"/>
      <c r="BA187" s="256"/>
      <c r="BB187" s="256"/>
      <c r="BC187" s="258"/>
      <c r="BD187" s="266"/>
      <c r="BE187" s="258"/>
      <c r="BF187" s="265"/>
      <c r="BG187" s="265"/>
      <c r="BH187" s="265"/>
      <c r="BI187" s="257"/>
      <c r="BJ187" s="257"/>
      <c r="BK187" s="257"/>
      <c r="BL187" s="257"/>
      <c r="BM187" s="272"/>
      <c r="BN187" s="114" t="str">
        <f t="shared" si="17"/>
        <v/>
      </c>
    </row>
    <row r="188" spans="1:66" x14ac:dyDescent="0.2">
      <c r="A188" s="255"/>
      <c r="B188" s="256"/>
      <c r="C188" s="257"/>
      <c r="D188" s="258"/>
      <c r="E188" s="207" t="str">
        <f t="shared" si="15"/>
        <v xml:space="preserve"> </v>
      </c>
      <c r="F188" s="217" t="str">
        <f t="shared" ca="1" si="16"/>
        <v/>
      </c>
      <c r="G188" s="256"/>
      <c r="H188" s="256"/>
      <c r="I188" s="256"/>
      <c r="J188" s="256"/>
      <c r="K188" s="256"/>
      <c r="L188" s="259"/>
      <c r="M188" s="256"/>
      <c r="N188" s="256"/>
      <c r="O188" s="256"/>
      <c r="P188" s="260"/>
      <c r="Q188" s="261"/>
      <c r="R188" s="267"/>
      <c r="S188" s="258"/>
      <c r="T188" s="262"/>
      <c r="U188" s="262"/>
      <c r="V188" s="262"/>
      <c r="W188" s="262"/>
      <c r="X188" s="262"/>
      <c r="Y188" s="262"/>
      <c r="Z188" s="262"/>
      <c r="AA188" s="262"/>
      <c r="AB188" s="262"/>
      <c r="AC188" s="262"/>
      <c r="AD188" s="262"/>
      <c r="AE188" s="262"/>
      <c r="AF188" s="262"/>
      <c r="AG188" s="262"/>
      <c r="AH188" s="262"/>
      <c r="AI188" s="262"/>
      <c r="AJ188" s="262"/>
      <c r="AK188" s="262"/>
      <c r="AL188" s="262"/>
      <c r="AM188" s="262"/>
      <c r="AN188" s="262"/>
      <c r="AO188" s="263"/>
      <c r="AP188" s="263"/>
      <c r="AQ188" s="263"/>
      <c r="AR188" s="264"/>
      <c r="AS188" s="265"/>
      <c r="AT188" s="259"/>
      <c r="AU188" s="264"/>
      <c r="AV188" s="256"/>
      <c r="AW188" s="258"/>
      <c r="AX188" s="258"/>
      <c r="AY188" s="258"/>
      <c r="AZ188" s="258"/>
      <c r="BA188" s="256"/>
      <c r="BB188" s="256"/>
      <c r="BC188" s="258"/>
      <c r="BD188" s="266"/>
      <c r="BE188" s="258"/>
      <c r="BF188" s="265"/>
      <c r="BG188" s="265"/>
      <c r="BH188" s="265"/>
      <c r="BI188" s="257"/>
      <c r="BJ188" s="257"/>
      <c r="BK188" s="257"/>
      <c r="BL188" s="257"/>
      <c r="BM188" s="272"/>
      <c r="BN188" s="114" t="str">
        <f t="shared" si="17"/>
        <v/>
      </c>
    </row>
    <row r="189" spans="1:66" x14ac:dyDescent="0.2">
      <c r="A189" s="255"/>
      <c r="B189" s="256"/>
      <c r="C189" s="257"/>
      <c r="D189" s="258"/>
      <c r="E189" s="207" t="str">
        <f t="shared" si="15"/>
        <v xml:space="preserve"> </v>
      </c>
      <c r="F189" s="217" t="str">
        <f t="shared" ca="1" si="16"/>
        <v/>
      </c>
      <c r="G189" s="256"/>
      <c r="H189" s="256"/>
      <c r="I189" s="256"/>
      <c r="J189" s="256"/>
      <c r="K189" s="256"/>
      <c r="L189" s="259"/>
      <c r="M189" s="256"/>
      <c r="N189" s="256"/>
      <c r="O189" s="256"/>
      <c r="P189" s="260"/>
      <c r="Q189" s="261"/>
      <c r="R189" s="267"/>
      <c r="S189" s="258"/>
      <c r="T189" s="262"/>
      <c r="U189" s="262"/>
      <c r="V189" s="262"/>
      <c r="W189" s="262"/>
      <c r="X189" s="262"/>
      <c r="Y189" s="262"/>
      <c r="Z189" s="262"/>
      <c r="AA189" s="262"/>
      <c r="AB189" s="262"/>
      <c r="AC189" s="262"/>
      <c r="AD189" s="262"/>
      <c r="AE189" s="262"/>
      <c r="AF189" s="262"/>
      <c r="AG189" s="262"/>
      <c r="AH189" s="262"/>
      <c r="AI189" s="262"/>
      <c r="AJ189" s="262"/>
      <c r="AK189" s="262"/>
      <c r="AL189" s="262"/>
      <c r="AM189" s="262"/>
      <c r="AN189" s="262"/>
      <c r="AO189" s="263"/>
      <c r="AP189" s="263"/>
      <c r="AQ189" s="263"/>
      <c r="AR189" s="264"/>
      <c r="AS189" s="265"/>
      <c r="AT189" s="259"/>
      <c r="AU189" s="264"/>
      <c r="AV189" s="256"/>
      <c r="AW189" s="258"/>
      <c r="AX189" s="258"/>
      <c r="AY189" s="258"/>
      <c r="AZ189" s="258"/>
      <c r="BA189" s="256"/>
      <c r="BB189" s="256"/>
      <c r="BC189" s="258"/>
      <c r="BD189" s="266"/>
      <c r="BE189" s="258"/>
      <c r="BF189" s="265"/>
      <c r="BG189" s="265"/>
      <c r="BH189" s="265"/>
      <c r="BI189" s="257"/>
      <c r="BJ189" s="257"/>
      <c r="BK189" s="257"/>
      <c r="BL189" s="257"/>
      <c r="BM189" s="272"/>
      <c r="BN189" s="114" t="str">
        <f t="shared" si="17"/>
        <v/>
      </c>
    </row>
    <row r="190" spans="1:66" x14ac:dyDescent="0.2">
      <c r="A190" s="255"/>
      <c r="B190" s="256"/>
      <c r="C190" s="257"/>
      <c r="D190" s="258"/>
      <c r="E190" s="207" t="str">
        <f t="shared" si="15"/>
        <v xml:space="preserve"> </v>
      </c>
      <c r="F190" s="217" t="str">
        <f t="shared" ca="1" si="16"/>
        <v/>
      </c>
      <c r="G190" s="256"/>
      <c r="H190" s="256"/>
      <c r="I190" s="256"/>
      <c r="J190" s="256"/>
      <c r="K190" s="256"/>
      <c r="L190" s="259"/>
      <c r="M190" s="256"/>
      <c r="N190" s="256"/>
      <c r="O190" s="256"/>
      <c r="P190" s="260"/>
      <c r="Q190" s="261"/>
      <c r="R190" s="267"/>
      <c r="S190" s="258"/>
      <c r="T190" s="262"/>
      <c r="U190" s="262"/>
      <c r="V190" s="262"/>
      <c r="W190" s="262"/>
      <c r="X190" s="262"/>
      <c r="Y190" s="262"/>
      <c r="Z190" s="262"/>
      <c r="AA190" s="262"/>
      <c r="AB190" s="262"/>
      <c r="AC190" s="262"/>
      <c r="AD190" s="262"/>
      <c r="AE190" s="262"/>
      <c r="AF190" s="262"/>
      <c r="AG190" s="262"/>
      <c r="AH190" s="262"/>
      <c r="AI190" s="262"/>
      <c r="AJ190" s="262"/>
      <c r="AK190" s="262"/>
      <c r="AL190" s="262"/>
      <c r="AM190" s="262"/>
      <c r="AN190" s="262"/>
      <c r="AO190" s="263"/>
      <c r="AP190" s="263"/>
      <c r="AQ190" s="263"/>
      <c r="AR190" s="264"/>
      <c r="AS190" s="265"/>
      <c r="AT190" s="259"/>
      <c r="AU190" s="264"/>
      <c r="AV190" s="256"/>
      <c r="AW190" s="258"/>
      <c r="AX190" s="258"/>
      <c r="AY190" s="258"/>
      <c r="AZ190" s="258"/>
      <c r="BA190" s="256"/>
      <c r="BB190" s="256"/>
      <c r="BC190" s="258"/>
      <c r="BD190" s="266"/>
      <c r="BE190" s="258"/>
      <c r="BF190" s="265"/>
      <c r="BG190" s="265"/>
      <c r="BH190" s="265"/>
      <c r="BI190" s="257"/>
      <c r="BJ190" s="257"/>
      <c r="BK190" s="257"/>
      <c r="BL190" s="257"/>
      <c r="BM190" s="272"/>
      <c r="BN190" s="114" t="str">
        <f t="shared" si="17"/>
        <v/>
      </c>
    </row>
    <row r="191" spans="1:66" x14ac:dyDescent="0.2">
      <c r="A191" s="255"/>
      <c r="B191" s="256"/>
      <c r="C191" s="257"/>
      <c r="D191" s="258"/>
      <c r="E191" s="207" t="str">
        <f t="shared" si="15"/>
        <v xml:space="preserve"> </v>
      </c>
      <c r="F191" s="217" t="str">
        <f t="shared" ca="1" si="16"/>
        <v/>
      </c>
      <c r="G191" s="256"/>
      <c r="H191" s="256"/>
      <c r="I191" s="256"/>
      <c r="J191" s="256"/>
      <c r="K191" s="256"/>
      <c r="L191" s="259"/>
      <c r="M191" s="256"/>
      <c r="N191" s="256"/>
      <c r="O191" s="256"/>
      <c r="P191" s="260"/>
      <c r="Q191" s="261"/>
      <c r="R191" s="267"/>
      <c r="S191" s="258"/>
      <c r="T191" s="262"/>
      <c r="U191" s="262"/>
      <c r="V191" s="262"/>
      <c r="W191" s="262"/>
      <c r="X191" s="262"/>
      <c r="Y191" s="262"/>
      <c r="Z191" s="262"/>
      <c r="AA191" s="262"/>
      <c r="AB191" s="262"/>
      <c r="AC191" s="262"/>
      <c r="AD191" s="262"/>
      <c r="AE191" s="262"/>
      <c r="AF191" s="262"/>
      <c r="AG191" s="262"/>
      <c r="AH191" s="262"/>
      <c r="AI191" s="262"/>
      <c r="AJ191" s="262"/>
      <c r="AK191" s="262"/>
      <c r="AL191" s="262"/>
      <c r="AM191" s="262"/>
      <c r="AN191" s="262"/>
      <c r="AO191" s="263"/>
      <c r="AP191" s="263"/>
      <c r="AQ191" s="263"/>
      <c r="AR191" s="264"/>
      <c r="AS191" s="265"/>
      <c r="AT191" s="259"/>
      <c r="AU191" s="264"/>
      <c r="AV191" s="256"/>
      <c r="AW191" s="258"/>
      <c r="AX191" s="258"/>
      <c r="AY191" s="258"/>
      <c r="AZ191" s="258"/>
      <c r="BA191" s="256"/>
      <c r="BB191" s="256"/>
      <c r="BC191" s="258"/>
      <c r="BD191" s="266"/>
      <c r="BE191" s="258"/>
      <c r="BF191" s="265"/>
      <c r="BG191" s="265"/>
      <c r="BH191" s="265"/>
      <c r="BI191" s="257"/>
      <c r="BJ191" s="257"/>
      <c r="BK191" s="257"/>
      <c r="BL191" s="257"/>
      <c r="BM191" s="272"/>
      <c r="BN191" s="114" t="str">
        <f t="shared" si="17"/>
        <v/>
      </c>
    </row>
    <row r="192" spans="1:66" x14ac:dyDescent="0.2">
      <c r="A192" s="255"/>
      <c r="B192" s="256"/>
      <c r="C192" s="257"/>
      <c r="D192" s="258"/>
      <c r="E192" s="207" t="str">
        <f t="shared" si="15"/>
        <v xml:space="preserve"> </v>
      </c>
      <c r="F192" s="217" t="str">
        <f t="shared" ca="1" si="16"/>
        <v/>
      </c>
      <c r="G192" s="256"/>
      <c r="H192" s="256"/>
      <c r="I192" s="256"/>
      <c r="J192" s="256"/>
      <c r="K192" s="256"/>
      <c r="L192" s="259"/>
      <c r="M192" s="256"/>
      <c r="N192" s="256"/>
      <c r="O192" s="256"/>
      <c r="P192" s="260"/>
      <c r="Q192" s="261"/>
      <c r="R192" s="267"/>
      <c r="S192" s="258"/>
      <c r="T192" s="262"/>
      <c r="U192" s="262"/>
      <c r="V192" s="262"/>
      <c r="W192" s="262"/>
      <c r="X192" s="262"/>
      <c r="Y192" s="262"/>
      <c r="Z192" s="262"/>
      <c r="AA192" s="262"/>
      <c r="AB192" s="262"/>
      <c r="AC192" s="262"/>
      <c r="AD192" s="262"/>
      <c r="AE192" s="262"/>
      <c r="AF192" s="262"/>
      <c r="AG192" s="262"/>
      <c r="AH192" s="262"/>
      <c r="AI192" s="262"/>
      <c r="AJ192" s="262"/>
      <c r="AK192" s="262"/>
      <c r="AL192" s="262"/>
      <c r="AM192" s="262"/>
      <c r="AN192" s="262"/>
      <c r="AO192" s="263"/>
      <c r="AP192" s="263"/>
      <c r="AQ192" s="263"/>
      <c r="AR192" s="264"/>
      <c r="AS192" s="265"/>
      <c r="AT192" s="259"/>
      <c r="AU192" s="264"/>
      <c r="AV192" s="256"/>
      <c r="AW192" s="258"/>
      <c r="AX192" s="258"/>
      <c r="AY192" s="258"/>
      <c r="AZ192" s="258"/>
      <c r="BA192" s="256"/>
      <c r="BB192" s="256"/>
      <c r="BC192" s="258"/>
      <c r="BD192" s="266"/>
      <c r="BE192" s="258"/>
      <c r="BF192" s="265"/>
      <c r="BG192" s="265"/>
      <c r="BH192" s="265"/>
      <c r="BI192" s="257"/>
      <c r="BJ192" s="257"/>
      <c r="BK192" s="257"/>
      <c r="BL192" s="257"/>
      <c r="BM192" s="272"/>
      <c r="BN192" s="114" t="str">
        <f t="shared" si="17"/>
        <v/>
      </c>
    </row>
    <row r="193" spans="1:66" x14ac:dyDescent="0.2">
      <c r="A193" s="255"/>
      <c r="B193" s="256"/>
      <c r="C193" s="257"/>
      <c r="D193" s="258"/>
      <c r="E193" s="207" t="str">
        <f t="shared" si="15"/>
        <v xml:space="preserve"> </v>
      </c>
      <c r="F193" s="217" t="str">
        <f t="shared" ca="1" si="16"/>
        <v/>
      </c>
      <c r="G193" s="256"/>
      <c r="H193" s="256"/>
      <c r="I193" s="256"/>
      <c r="J193" s="256"/>
      <c r="K193" s="256"/>
      <c r="L193" s="259"/>
      <c r="M193" s="256"/>
      <c r="N193" s="256"/>
      <c r="O193" s="256"/>
      <c r="P193" s="260"/>
      <c r="Q193" s="261"/>
      <c r="R193" s="267"/>
      <c r="S193" s="258"/>
      <c r="T193" s="262"/>
      <c r="U193" s="262"/>
      <c r="V193" s="262"/>
      <c r="W193" s="262"/>
      <c r="X193" s="262"/>
      <c r="Y193" s="262"/>
      <c r="Z193" s="262"/>
      <c r="AA193" s="262"/>
      <c r="AB193" s="262"/>
      <c r="AC193" s="262"/>
      <c r="AD193" s="262"/>
      <c r="AE193" s="262"/>
      <c r="AF193" s="262"/>
      <c r="AG193" s="262"/>
      <c r="AH193" s="262"/>
      <c r="AI193" s="262"/>
      <c r="AJ193" s="262"/>
      <c r="AK193" s="262"/>
      <c r="AL193" s="262"/>
      <c r="AM193" s="262"/>
      <c r="AN193" s="262"/>
      <c r="AO193" s="263"/>
      <c r="AP193" s="263"/>
      <c r="AQ193" s="263"/>
      <c r="AR193" s="264"/>
      <c r="AS193" s="265"/>
      <c r="AT193" s="259"/>
      <c r="AU193" s="264"/>
      <c r="AV193" s="256"/>
      <c r="AW193" s="258"/>
      <c r="AX193" s="258"/>
      <c r="AY193" s="258"/>
      <c r="AZ193" s="258"/>
      <c r="BA193" s="256"/>
      <c r="BB193" s="256"/>
      <c r="BC193" s="258"/>
      <c r="BD193" s="266"/>
      <c r="BE193" s="258"/>
      <c r="BF193" s="265"/>
      <c r="BG193" s="265"/>
      <c r="BH193" s="265"/>
      <c r="BI193" s="257"/>
      <c r="BJ193" s="257"/>
      <c r="BK193" s="257"/>
      <c r="BL193" s="257"/>
      <c r="BM193" s="272"/>
      <c r="BN193" s="114" t="str">
        <f t="shared" si="17"/>
        <v/>
      </c>
    </row>
    <row r="194" spans="1:66" x14ac:dyDescent="0.2">
      <c r="A194" s="255"/>
      <c r="B194" s="256"/>
      <c r="C194" s="257"/>
      <c r="D194" s="258"/>
      <c r="E194" s="207" t="str">
        <f t="shared" si="15"/>
        <v xml:space="preserve"> </v>
      </c>
      <c r="F194" s="217" t="str">
        <f t="shared" ca="1" si="16"/>
        <v/>
      </c>
      <c r="G194" s="256"/>
      <c r="H194" s="256"/>
      <c r="I194" s="256"/>
      <c r="J194" s="256"/>
      <c r="K194" s="256"/>
      <c r="L194" s="259"/>
      <c r="M194" s="256"/>
      <c r="N194" s="256"/>
      <c r="O194" s="256"/>
      <c r="P194" s="260"/>
      <c r="Q194" s="261"/>
      <c r="R194" s="267"/>
      <c r="S194" s="258"/>
      <c r="T194" s="262"/>
      <c r="U194" s="262"/>
      <c r="V194" s="262"/>
      <c r="W194" s="262"/>
      <c r="X194" s="262"/>
      <c r="Y194" s="262"/>
      <c r="Z194" s="262"/>
      <c r="AA194" s="262"/>
      <c r="AB194" s="262"/>
      <c r="AC194" s="262"/>
      <c r="AD194" s="262"/>
      <c r="AE194" s="262"/>
      <c r="AF194" s="262"/>
      <c r="AG194" s="262"/>
      <c r="AH194" s="262"/>
      <c r="AI194" s="262"/>
      <c r="AJ194" s="262"/>
      <c r="AK194" s="262"/>
      <c r="AL194" s="262"/>
      <c r="AM194" s="262"/>
      <c r="AN194" s="262"/>
      <c r="AO194" s="263"/>
      <c r="AP194" s="263"/>
      <c r="AQ194" s="263"/>
      <c r="AR194" s="264"/>
      <c r="AS194" s="265"/>
      <c r="AT194" s="259"/>
      <c r="AU194" s="264"/>
      <c r="AV194" s="256"/>
      <c r="AW194" s="258"/>
      <c r="AX194" s="258"/>
      <c r="AY194" s="258"/>
      <c r="AZ194" s="258"/>
      <c r="BA194" s="256"/>
      <c r="BB194" s="256"/>
      <c r="BC194" s="258"/>
      <c r="BD194" s="266"/>
      <c r="BE194" s="258"/>
      <c r="BF194" s="265"/>
      <c r="BG194" s="265"/>
      <c r="BH194" s="265"/>
      <c r="BI194" s="257"/>
      <c r="BJ194" s="257"/>
      <c r="BK194" s="257"/>
      <c r="BL194" s="257"/>
      <c r="BM194" s="272"/>
      <c r="BN194" s="114" t="str">
        <f t="shared" si="17"/>
        <v/>
      </c>
    </row>
    <row r="195" spans="1:66" x14ac:dyDescent="0.2">
      <c r="A195" s="255"/>
      <c r="B195" s="256"/>
      <c r="C195" s="257"/>
      <c r="D195" s="258"/>
      <c r="E195" s="207" t="str">
        <f t="shared" si="15"/>
        <v xml:space="preserve"> </v>
      </c>
      <c r="F195" s="217" t="str">
        <f t="shared" ca="1" si="16"/>
        <v/>
      </c>
      <c r="G195" s="256"/>
      <c r="H195" s="256"/>
      <c r="I195" s="256"/>
      <c r="J195" s="256"/>
      <c r="K195" s="256"/>
      <c r="L195" s="259"/>
      <c r="M195" s="256"/>
      <c r="N195" s="256"/>
      <c r="O195" s="256"/>
      <c r="P195" s="260"/>
      <c r="Q195" s="261"/>
      <c r="R195" s="267"/>
      <c r="S195" s="258"/>
      <c r="T195" s="262"/>
      <c r="U195" s="262"/>
      <c r="V195" s="262"/>
      <c r="W195" s="262"/>
      <c r="X195" s="262"/>
      <c r="Y195" s="262"/>
      <c r="Z195" s="262"/>
      <c r="AA195" s="262"/>
      <c r="AB195" s="262"/>
      <c r="AC195" s="262"/>
      <c r="AD195" s="262"/>
      <c r="AE195" s="262"/>
      <c r="AF195" s="262"/>
      <c r="AG195" s="262"/>
      <c r="AH195" s="262"/>
      <c r="AI195" s="262"/>
      <c r="AJ195" s="262"/>
      <c r="AK195" s="262"/>
      <c r="AL195" s="262"/>
      <c r="AM195" s="262"/>
      <c r="AN195" s="262"/>
      <c r="AO195" s="263"/>
      <c r="AP195" s="263"/>
      <c r="AQ195" s="263"/>
      <c r="AR195" s="264"/>
      <c r="AS195" s="265"/>
      <c r="AT195" s="259"/>
      <c r="AU195" s="264"/>
      <c r="AV195" s="256"/>
      <c r="AW195" s="258"/>
      <c r="AX195" s="258"/>
      <c r="AY195" s="258"/>
      <c r="AZ195" s="258"/>
      <c r="BA195" s="256"/>
      <c r="BB195" s="256"/>
      <c r="BC195" s="258"/>
      <c r="BD195" s="266"/>
      <c r="BE195" s="258"/>
      <c r="BF195" s="265"/>
      <c r="BG195" s="265"/>
      <c r="BH195" s="265"/>
      <c r="BI195" s="257"/>
      <c r="BJ195" s="257"/>
      <c r="BK195" s="257"/>
      <c r="BL195" s="257"/>
      <c r="BM195" s="272"/>
      <c r="BN195" s="114" t="str">
        <f t="shared" si="17"/>
        <v/>
      </c>
    </row>
    <row r="196" spans="1:66" x14ac:dyDescent="0.2">
      <c r="A196" s="255"/>
      <c r="B196" s="256"/>
      <c r="C196" s="257"/>
      <c r="D196" s="258"/>
      <c r="E196" s="207" t="str">
        <f t="shared" si="15"/>
        <v xml:space="preserve"> </v>
      </c>
      <c r="F196" s="217" t="str">
        <f t="shared" ca="1" si="16"/>
        <v/>
      </c>
      <c r="G196" s="256"/>
      <c r="H196" s="256"/>
      <c r="I196" s="256"/>
      <c r="J196" s="256"/>
      <c r="K196" s="256"/>
      <c r="L196" s="259"/>
      <c r="M196" s="256"/>
      <c r="N196" s="256"/>
      <c r="O196" s="256"/>
      <c r="P196" s="260"/>
      <c r="Q196" s="261"/>
      <c r="R196" s="267"/>
      <c r="S196" s="258"/>
      <c r="T196" s="262"/>
      <c r="U196" s="262"/>
      <c r="V196" s="262"/>
      <c r="W196" s="262"/>
      <c r="X196" s="262"/>
      <c r="Y196" s="262"/>
      <c r="Z196" s="262"/>
      <c r="AA196" s="262"/>
      <c r="AB196" s="262"/>
      <c r="AC196" s="262"/>
      <c r="AD196" s="262"/>
      <c r="AE196" s="262"/>
      <c r="AF196" s="262"/>
      <c r="AG196" s="262"/>
      <c r="AH196" s="262"/>
      <c r="AI196" s="262"/>
      <c r="AJ196" s="262"/>
      <c r="AK196" s="262"/>
      <c r="AL196" s="262"/>
      <c r="AM196" s="262"/>
      <c r="AN196" s="262"/>
      <c r="AO196" s="263"/>
      <c r="AP196" s="263"/>
      <c r="AQ196" s="263"/>
      <c r="AR196" s="264"/>
      <c r="AS196" s="265"/>
      <c r="AT196" s="259"/>
      <c r="AU196" s="264"/>
      <c r="AV196" s="256"/>
      <c r="AW196" s="258"/>
      <c r="AX196" s="258"/>
      <c r="AY196" s="258"/>
      <c r="AZ196" s="258"/>
      <c r="BA196" s="256"/>
      <c r="BB196" s="256"/>
      <c r="BC196" s="258"/>
      <c r="BD196" s="266"/>
      <c r="BE196" s="258"/>
      <c r="BF196" s="265"/>
      <c r="BG196" s="265"/>
      <c r="BH196" s="265"/>
      <c r="BI196" s="257"/>
      <c r="BJ196" s="257"/>
      <c r="BK196" s="257"/>
      <c r="BL196" s="257"/>
      <c r="BM196" s="272"/>
      <c r="BN196" s="114" t="str">
        <f t="shared" si="17"/>
        <v/>
      </c>
    </row>
    <row r="197" spans="1:66" x14ac:dyDescent="0.2">
      <c r="A197" s="255"/>
      <c r="B197" s="256"/>
      <c r="C197" s="257"/>
      <c r="D197" s="258"/>
      <c r="E197" s="207" t="str">
        <f t="shared" si="15"/>
        <v xml:space="preserve"> </v>
      </c>
      <c r="F197" s="217" t="str">
        <f t="shared" ca="1" si="16"/>
        <v/>
      </c>
      <c r="G197" s="256"/>
      <c r="H197" s="256"/>
      <c r="I197" s="256"/>
      <c r="J197" s="256"/>
      <c r="K197" s="256"/>
      <c r="L197" s="259"/>
      <c r="M197" s="256"/>
      <c r="N197" s="256"/>
      <c r="O197" s="256"/>
      <c r="P197" s="260"/>
      <c r="Q197" s="261"/>
      <c r="R197" s="267"/>
      <c r="S197" s="258"/>
      <c r="T197" s="262"/>
      <c r="U197" s="262"/>
      <c r="V197" s="262"/>
      <c r="W197" s="262"/>
      <c r="X197" s="262"/>
      <c r="Y197" s="262"/>
      <c r="Z197" s="262"/>
      <c r="AA197" s="262"/>
      <c r="AB197" s="262"/>
      <c r="AC197" s="262"/>
      <c r="AD197" s="262"/>
      <c r="AE197" s="262"/>
      <c r="AF197" s="262"/>
      <c r="AG197" s="262"/>
      <c r="AH197" s="262"/>
      <c r="AI197" s="262"/>
      <c r="AJ197" s="262"/>
      <c r="AK197" s="262"/>
      <c r="AL197" s="262"/>
      <c r="AM197" s="262"/>
      <c r="AN197" s="262"/>
      <c r="AO197" s="263"/>
      <c r="AP197" s="263"/>
      <c r="AQ197" s="263"/>
      <c r="AR197" s="264"/>
      <c r="AS197" s="265"/>
      <c r="AT197" s="259"/>
      <c r="AU197" s="264"/>
      <c r="AV197" s="256"/>
      <c r="AW197" s="258"/>
      <c r="AX197" s="258"/>
      <c r="AY197" s="258"/>
      <c r="AZ197" s="258"/>
      <c r="BA197" s="256"/>
      <c r="BB197" s="256"/>
      <c r="BC197" s="258"/>
      <c r="BD197" s="266"/>
      <c r="BE197" s="258"/>
      <c r="BF197" s="265"/>
      <c r="BG197" s="265"/>
      <c r="BH197" s="265"/>
      <c r="BI197" s="257"/>
      <c r="BJ197" s="257"/>
      <c r="BK197" s="257"/>
      <c r="BL197" s="257"/>
      <c r="BM197" s="272"/>
      <c r="BN197" s="114" t="str">
        <f t="shared" si="17"/>
        <v/>
      </c>
    </row>
    <row r="198" spans="1:66" x14ac:dyDescent="0.2">
      <c r="A198" s="255"/>
      <c r="B198" s="256"/>
      <c r="C198" s="257"/>
      <c r="D198" s="258"/>
      <c r="E198" s="207" t="str">
        <f t="shared" si="15"/>
        <v xml:space="preserve"> </v>
      </c>
      <c r="F198" s="217" t="str">
        <f t="shared" ca="1" si="16"/>
        <v/>
      </c>
      <c r="G198" s="256"/>
      <c r="H198" s="256"/>
      <c r="I198" s="256"/>
      <c r="J198" s="256"/>
      <c r="K198" s="256"/>
      <c r="L198" s="259"/>
      <c r="M198" s="256"/>
      <c r="N198" s="256"/>
      <c r="O198" s="256"/>
      <c r="P198" s="260"/>
      <c r="Q198" s="261"/>
      <c r="R198" s="267"/>
      <c r="S198" s="258"/>
      <c r="T198" s="262"/>
      <c r="U198" s="262"/>
      <c r="V198" s="262"/>
      <c r="W198" s="262"/>
      <c r="X198" s="262"/>
      <c r="Y198" s="262"/>
      <c r="Z198" s="262"/>
      <c r="AA198" s="262"/>
      <c r="AB198" s="262"/>
      <c r="AC198" s="262"/>
      <c r="AD198" s="262"/>
      <c r="AE198" s="262"/>
      <c r="AF198" s="262"/>
      <c r="AG198" s="262"/>
      <c r="AH198" s="262"/>
      <c r="AI198" s="262"/>
      <c r="AJ198" s="262"/>
      <c r="AK198" s="262"/>
      <c r="AL198" s="262"/>
      <c r="AM198" s="262"/>
      <c r="AN198" s="262"/>
      <c r="AO198" s="263"/>
      <c r="AP198" s="263"/>
      <c r="AQ198" s="263"/>
      <c r="AR198" s="264"/>
      <c r="AS198" s="265"/>
      <c r="AT198" s="259"/>
      <c r="AU198" s="264"/>
      <c r="AV198" s="256"/>
      <c r="AW198" s="258"/>
      <c r="AX198" s="258"/>
      <c r="AY198" s="258"/>
      <c r="AZ198" s="258"/>
      <c r="BA198" s="256"/>
      <c r="BB198" s="256"/>
      <c r="BC198" s="258"/>
      <c r="BD198" s="266"/>
      <c r="BE198" s="258"/>
      <c r="BF198" s="265"/>
      <c r="BG198" s="265"/>
      <c r="BH198" s="265"/>
      <c r="BI198" s="257"/>
      <c r="BJ198" s="257"/>
      <c r="BK198" s="257"/>
      <c r="BL198" s="257"/>
      <c r="BM198" s="272"/>
      <c r="BN198" s="114" t="str">
        <f t="shared" si="17"/>
        <v/>
      </c>
    </row>
    <row r="199" spans="1:66" x14ac:dyDescent="0.2">
      <c r="A199" s="255"/>
      <c r="B199" s="256"/>
      <c r="C199" s="257"/>
      <c r="D199" s="258"/>
      <c r="E199" s="207" t="str">
        <f t="shared" si="15"/>
        <v xml:space="preserve"> </v>
      </c>
      <c r="F199" s="217" t="str">
        <f t="shared" ca="1" si="16"/>
        <v/>
      </c>
      <c r="G199" s="256"/>
      <c r="H199" s="256"/>
      <c r="I199" s="256"/>
      <c r="J199" s="256"/>
      <c r="K199" s="256"/>
      <c r="L199" s="259"/>
      <c r="M199" s="256"/>
      <c r="N199" s="256"/>
      <c r="O199" s="256"/>
      <c r="P199" s="260"/>
      <c r="Q199" s="261"/>
      <c r="R199" s="267"/>
      <c r="S199" s="258"/>
      <c r="T199" s="262"/>
      <c r="U199" s="262"/>
      <c r="V199" s="262"/>
      <c r="W199" s="262"/>
      <c r="X199" s="262"/>
      <c r="Y199" s="262"/>
      <c r="Z199" s="262"/>
      <c r="AA199" s="262"/>
      <c r="AB199" s="262"/>
      <c r="AC199" s="262"/>
      <c r="AD199" s="262"/>
      <c r="AE199" s="262"/>
      <c r="AF199" s="262"/>
      <c r="AG199" s="262"/>
      <c r="AH199" s="262"/>
      <c r="AI199" s="262"/>
      <c r="AJ199" s="262"/>
      <c r="AK199" s="262"/>
      <c r="AL199" s="262"/>
      <c r="AM199" s="262"/>
      <c r="AN199" s="262"/>
      <c r="AO199" s="263"/>
      <c r="AP199" s="263"/>
      <c r="AQ199" s="263"/>
      <c r="AR199" s="264"/>
      <c r="AS199" s="265"/>
      <c r="AT199" s="259"/>
      <c r="AU199" s="264"/>
      <c r="AV199" s="256"/>
      <c r="AW199" s="258"/>
      <c r="AX199" s="258"/>
      <c r="AY199" s="258"/>
      <c r="AZ199" s="258"/>
      <c r="BA199" s="256"/>
      <c r="BB199" s="256"/>
      <c r="BC199" s="258"/>
      <c r="BD199" s="266"/>
      <c r="BE199" s="258"/>
      <c r="BF199" s="265"/>
      <c r="BG199" s="265"/>
      <c r="BH199" s="265"/>
      <c r="BI199" s="257"/>
      <c r="BJ199" s="257"/>
      <c r="BK199" s="257"/>
      <c r="BL199" s="257"/>
      <c r="BM199" s="272"/>
      <c r="BN199" s="114" t="str">
        <f t="shared" si="17"/>
        <v/>
      </c>
    </row>
    <row r="200" spans="1:66" x14ac:dyDescent="0.2">
      <c r="A200" s="255"/>
      <c r="B200" s="256"/>
      <c r="C200" s="257"/>
      <c r="D200" s="258"/>
      <c r="E200" s="207" t="str">
        <f t="shared" si="15"/>
        <v xml:space="preserve"> </v>
      </c>
      <c r="F200" s="217" t="str">
        <f t="shared" ca="1" si="16"/>
        <v/>
      </c>
      <c r="G200" s="256"/>
      <c r="H200" s="256"/>
      <c r="I200" s="256"/>
      <c r="J200" s="256"/>
      <c r="K200" s="256"/>
      <c r="L200" s="259"/>
      <c r="M200" s="256"/>
      <c r="N200" s="256"/>
      <c r="O200" s="256"/>
      <c r="P200" s="260"/>
      <c r="Q200" s="261"/>
      <c r="R200" s="267"/>
      <c r="S200" s="258"/>
      <c r="T200" s="262"/>
      <c r="U200" s="262"/>
      <c r="V200" s="262"/>
      <c r="W200" s="262"/>
      <c r="X200" s="262"/>
      <c r="Y200" s="262"/>
      <c r="Z200" s="262"/>
      <c r="AA200" s="262"/>
      <c r="AB200" s="262"/>
      <c r="AC200" s="262"/>
      <c r="AD200" s="262"/>
      <c r="AE200" s="262"/>
      <c r="AF200" s="262"/>
      <c r="AG200" s="262"/>
      <c r="AH200" s="262"/>
      <c r="AI200" s="262"/>
      <c r="AJ200" s="262"/>
      <c r="AK200" s="262"/>
      <c r="AL200" s="262"/>
      <c r="AM200" s="262"/>
      <c r="AN200" s="262"/>
      <c r="AO200" s="263"/>
      <c r="AP200" s="263"/>
      <c r="AQ200" s="263"/>
      <c r="AR200" s="264"/>
      <c r="AS200" s="265"/>
      <c r="AT200" s="259"/>
      <c r="AU200" s="264"/>
      <c r="AV200" s="256"/>
      <c r="AW200" s="258"/>
      <c r="AX200" s="258"/>
      <c r="AY200" s="258"/>
      <c r="AZ200" s="258"/>
      <c r="BA200" s="256"/>
      <c r="BB200" s="256"/>
      <c r="BC200" s="258"/>
      <c r="BD200" s="266"/>
      <c r="BE200" s="258"/>
      <c r="BF200" s="265"/>
      <c r="BG200" s="265"/>
      <c r="BH200" s="265"/>
      <c r="BI200" s="257"/>
      <c r="BJ200" s="257"/>
      <c r="BK200" s="257"/>
      <c r="BL200" s="257"/>
      <c r="BM200" s="272"/>
      <c r="BN200" s="114" t="str">
        <f t="shared" si="17"/>
        <v/>
      </c>
    </row>
  </sheetData>
  <sheetProtection algorithmName="SHA-512" hashValue="7W6m3fsghJ2Ia2m2NlUTCm2N/y/E5uuSV6VMmYbitcyKnrSxDFcaglucVNd/i8BzLm/tIESWBxWAILJ22GCLUw==" saltValue="4jdh7uLj6tBGtOepcqrI8w==" spinCount="100000" sheet="1" objects="1" scenarios="1" formatCells="0" formatColumns="0" formatRows="0" sort="0" autoFilter="0"/>
  <protectedRanges>
    <protectedRange sqref="A5:BN200" name="LLJAN11"/>
    <protectedRange sqref="S12 R12:R19 R6:S11" name="Range1_1_8"/>
    <protectedRange sqref="Q6:Q19 S13:S19 Q20:S35" name="Range1_1_7"/>
    <protectedRange sqref="Q36:S100" name="Range1_11"/>
    <protectedRange sqref="I6:P6 I7:J100 P7:P56 K7:O18 K19:N35 O19:O36" name="Range1_1_6"/>
    <protectedRange sqref="K57:P100 K37:O56 K36:N36" name="Range1_10"/>
    <protectedRange sqref="G6:G30" name="Range1_1_5"/>
    <protectedRange sqref="G31:G95" name="Range1_6"/>
    <protectedRange sqref="A6:D35" name="Range1_1_2"/>
    <protectedRange sqref="A36:D128" name="Range1_3"/>
    <protectedRange sqref="H6:H35 T6:BM27 T28:AP35 AR28:BM35 AQ28:AQ38 E6:F200" name="Range1_1"/>
    <protectedRange sqref="A129:D200 H36:H95 G96:H100 T39:BI100 G101:BI200 BJ36:BM200 A5:BM5 T36:AP38 AR36:BI38" name="Range1"/>
  </protectedRanges>
  <autoFilter ref="A5:BN5" xr:uid="{00000000-0009-0000-0000-000001000000}">
    <filterColumn colId="19" showButton="0"/>
    <filterColumn colId="20" showButton="0"/>
    <filterColumn colId="21" showButton="0"/>
    <filterColumn colId="22" showButton="0"/>
    <filterColumn colId="23" showButton="0"/>
    <filterColumn colId="24" showButton="0"/>
    <filterColumn colId="25"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5" showButton="0"/>
    <filterColumn colId="36" showButton="0"/>
    <filterColumn colId="37" showButton="0"/>
    <filterColumn colId="38" showButton="0"/>
  </autoFilter>
  <dataConsolidate/>
  <mergeCells count="8">
    <mergeCell ref="T5:AN5"/>
    <mergeCell ref="BJ4:BM4"/>
    <mergeCell ref="AV4:AW4"/>
    <mergeCell ref="B2:B4"/>
    <mergeCell ref="G3:H3"/>
    <mergeCell ref="G2:H2"/>
    <mergeCell ref="G4:H4"/>
    <mergeCell ref="BF4:BH4"/>
  </mergeCells>
  <conditionalFormatting sqref="BJ2:BL3 BI2:BI4">
    <cfRule type="duplicateValues" dxfId="10104" priority="818"/>
  </conditionalFormatting>
  <conditionalFormatting sqref="E6:E200">
    <cfRule type="duplicateValues" dxfId="10103" priority="4823322"/>
  </conditionalFormatting>
  <conditionalFormatting sqref="AX6:BA8 BB6:BB9 AX10:BB10 AR11:AR19 T36:AO55 G101:AR200 BD6:BH10 AS6:AS19 AU22:BD22 AR22:AS22 AR24:AR55 AU40:BH200 AS24:AS200 A129:C200 E36:E200 E20:E21 E23 H36:H95 G96:H100 T56:AR100 BI24:BM28 BJ21:BM22 BI36:BM200 BI6:BM19 AU11:BH16 AU17:BD19 BF17:BH19 BF22:BI22 AU24:BD39 BF24:BH39 F6:F200">
    <cfRule type="expression" dxfId="10102" priority="815">
      <formula>$B6 = "Probable"</formula>
    </cfRule>
    <cfRule type="expression" dxfId="10101" priority="816">
      <formula>$B6 = "High-Risk Contact"</formula>
    </cfRule>
    <cfRule type="expression" dxfId="10100" priority="817">
      <formula>$B6 = "Confirmed"</formula>
    </cfRule>
  </conditionalFormatting>
  <conditionalFormatting sqref="BI36:BI200">
    <cfRule type="expression" dxfId="10099" priority="790">
      <formula>ISNUMBER(SEARCH("No", $A36))</formula>
    </cfRule>
  </conditionalFormatting>
  <conditionalFormatting sqref="AP39:AQ55 AP36:AP38">
    <cfRule type="expression" dxfId="10098" priority="787">
      <formula>$B36 = "Probable"</formula>
    </cfRule>
    <cfRule type="expression" dxfId="10097" priority="788">
      <formula>$B36 = "High-Risk Contact"</formula>
    </cfRule>
    <cfRule type="expression" dxfId="10096" priority="789">
      <formula>$B36 = "Confirmed"</formula>
    </cfRule>
  </conditionalFormatting>
  <conditionalFormatting sqref="BJ34:BM35 BI29:BI35 AX9 H34:H35 T34:AO35 E6:E200">
    <cfRule type="expression" dxfId="10095" priority="775">
      <formula>$B6 = "Probable"</formula>
    </cfRule>
    <cfRule type="expression" dxfId="10094" priority="776">
      <formula>$B6 = "High-Risk Contact"</formula>
    </cfRule>
    <cfRule type="expression" dxfId="10093" priority="777">
      <formula>$B6 = "Confirmed"</formula>
    </cfRule>
  </conditionalFormatting>
  <conditionalFormatting sqref="BJ29:BM33 T29:AO33 H29:H33">
    <cfRule type="expression" dxfId="10092" priority="768">
      <formula>$B29 = "Probable"</formula>
    </cfRule>
    <cfRule type="expression" dxfId="10091" priority="769">
      <formula>$B29 = "High-Risk Contact"</formula>
    </cfRule>
    <cfRule type="expression" dxfId="10090" priority="770">
      <formula>$B29 = "Confirmed"</formula>
    </cfRule>
  </conditionalFormatting>
  <conditionalFormatting sqref="BI29:BI35">
    <cfRule type="expression" dxfId="10089" priority="764">
      <formula>ISNUMBER(SEARCH("No", $A29))</formula>
    </cfRule>
  </conditionalFormatting>
  <conditionalFormatting sqref="AO7:AO10 H6:H10">
    <cfRule type="expression" dxfId="10088" priority="751">
      <formula>$B6 = "Probable"</formula>
    </cfRule>
    <cfRule type="expression" dxfId="10087" priority="752">
      <formula>$B6 = "High-Risk Contact"</formula>
    </cfRule>
    <cfRule type="expression" dxfId="10086" priority="753">
      <formula>$B6 = "Confirmed"</formula>
    </cfRule>
  </conditionalFormatting>
  <conditionalFormatting sqref="AO6">
    <cfRule type="expression" dxfId="10085" priority="748">
      <formula>$B6 = "Probable"</formula>
    </cfRule>
    <cfRule type="expression" dxfId="10084" priority="749">
      <formula>$B6 = "High-Risk Contact"</formula>
    </cfRule>
    <cfRule type="expression" dxfId="10083" priority="750">
      <formula>$B6 = "Confirmed"</formula>
    </cfRule>
  </conditionalFormatting>
  <conditionalFormatting sqref="AQ6:AQ10">
    <cfRule type="expression" dxfId="10082" priority="745">
      <formula>$B6 = "Probable"</formula>
    </cfRule>
    <cfRule type="expression" dxfId="10081" priority="746">
      <formula>$B6 = "High-Risk Contact"</formula>
    </cfRule>
    <cfRule type="expression" dxfId="10080" priority="747">
      <formula>$B6 = "Confirmed"</formula>
    </cfRule>
  </conditionalFormatting>
  <conditionalFormatting sqref="W6:AN6">
    <cfRule type="expression" dxfId="10079" priority="697">
      <formula>$B6 = "Probable"</formula>
    </cfRule>
    <cfRule type="expression" dxfId="10078" priority="698">
      <formula>$B6 = "High-Risk Contact"</formula>
    </cfRule>
    <cfRule type="expression" dxfId="10077" priority="699">
      <formula>$B6 = "Confirmed"</formula>
    </cfRule>
  </conditionalFormatting>
  <conditionalFormatting sqref="T6:V6">
    <cfRule type="expression" dxfId="10076" priority="694">
      <formula>$B6 = "Probable"</formula>
    </cfRule>
    <cfRule type="expression" dxfId="10075" priority="695">
      <formula>$B6 = "High-Risk Contact"</formula>
    </cfRule>
    <cfRule type="expression" dxfId="10074" priority="696">
      <formula>$B6 = "Confirmed"</formula>
    </cfRule>
  </conditionalFormatting>
  <conditionalFormatting sqref="T7:AN7">
    <cfRule type="expression" dxfId="10073" priority="691">
      <formula>$B7 = "Probable"</formula>
    </cfRule>
    <cfRule type="expression" dxfId="10072" priority="692">
      <formula>$B7 = "High-Risk Contact"</formula>
    </cfRule>
    <cfRule type="expression" dxfId="10071" priority="693">
      <formula>$B7 = "Confirmed"</formula>
    </cfRule>
  </conditionalFormatting>
  <conditionalFormatting sqref="AM9:AN9">
    <cfRule type="expression" dxfId="10070" priority="688">
      <formula>$B9 = "Probable"</formula>
    </cfRule>
    <cfRule type="expression" dxfId="10069" priority="689">
      <formula>$B9 = "High-Risk Contact"</formula>
    </cfRule>
    <cfRule type="expression" dxfId="10068" priority="690">
      <formula>$B9 = "Confirmed"</formula>
    </cfRule>
  </conditionalFormatting>
  <conditionalFormatting sqref="T8:U8">
    <cfRule type="expression" dxfId="10067" priority="685">
      <formula>$B8 = "Probable"</formula>
    </cfRule>
    <cfRule type="expression" dxfId="10066" priority="686">
      <formula>$B8 = "High-Risk Contact"</formula>
    </cfRule>
    <cfRule type="expression" dxfId="10065" priority="687">
      <formula>$B8 = "Confirmed"</formula>
    </cfRule>
  </conditionalFormatting>
  <conditionalFormatting sqref="W8:AN8">
    <cfRule type="expression" dxfId="10064" priority="682">
      <formula>$B8 = "Probable"</formula>
    </cfRule>
    <cfRule type="expression" dxfId="10063" priority="683">
      <formula>$B8 = "High-Risk Contact"</formula>
    </cfRule>
    <cfRule type="expression" dxfId="10062" priority="684">
      <formula>$B8 = "Confirmed"</formula>
    </cfRule>
  </conditionalFormatting>
  <conditionalFormatting sqref="V8">
    <cfRule type="expression" dxfId="10061" priority="679">
      <formula>$B8 = "Probable"</formula>
    </cfRule>
    <cfRule type="expression" dxfId="10060" priority="680">
      <formula>$B8 = "High-Risk Contact"</formula>
    </cfRule>
    <cfRule type="expression" dxfId="10059" priority="681">
      <formula>$B8 = "Confirmed"</formula>
    </cfRule>
  </conditionalFormatting>
  <conditionalFormatting sqref="T10:W10 AC10:AN10">
    <cfRule type="expression" dxfId="10058" priority="676">
      <formula>$B10 = "Probable"</formula>
    </cfRule>
    <cfRule type="expression" dxfId="10057" priority="677">
      <formula>$B10 = "High-Risk Contact"</formula>
    </cfRule>
    <cfRule type="expression" dxfId="10056" priority="678">
      <formula>$B10 = "Confirmed"</formula>
    </cfRule>
  </conditionalFormatting>
  <conditionalFormatting sqref="U9:AL9">
    <cfRule type="expression" dxfId="10055" priority="673">
      <formula>$B9 = "Probable"</formula>
    </cfRule>
    <cfRule type="expression" dxfId="10054" priority="674">
      <formula>$B9 = "High-Risk Contact"</formula>
    </cfRule>
    <cfRule type="expression" dxfId="10053" priority="675">
      <formula>$B9 = "Confirmed"</formula>
    </cfRule>
  </conditionalFormatting>
  <conditionalFormatting sqref="T9">
    <cfRule type="expression" dxfId="10052" priority="670">
      <formula>$B9 = "Probable"</formula>
    </cfRule>
    <cfRule type="expression" dxfId="10051" priority="671">
      <formula>$B9 = "High-Risk Contact"</formula>
    </cfRule>
    <cfRule type="expression" dxfId="10050" priority="672">
      <formula>$B9 = "Confirmed"</formula>
    </cfRule>
  </conditionalFormatting>
  <conditionalFormatting sqref="X10:AB10">
    <cfRule type="expression" dxfId="10049" priority="667">
      <formula>$B10 = "Probable"</formula>
    </cfRule>
    <cfRule type="expression" dxfId="10048" priority="668">
      <formula>$B10 = "High-Risk Contact"</formula>
    </cfRule>
    <cfRule type="expression" dxfId="10047" priority="669">
      <formula>$B10 = "Confirmed"</formula>
    </cfRule>
  </conditionalFormatting>
  <conditionalFormatting sqref="AR7">
    <cfRule type="expression" dxfId="10046" priority="664">
      <formula>$B7 = "Probable"</formula>
    </cfRule>
    <cfRule type="expression" dxfId="10045" priority="665">
      <formula>$B7 = "High-Risk Contact"</formula>
    </cfRule>
    <cfRule type="expression" dxfId="10044" priority="666">
      <formula>$B7 = "Confirmed"</formula>
    </cfRule>
  </conditionalFormatting>
  <conditionalFormatting sqref="AR6">
    <cfRule type="expression" dxfId="10043" priority="661">
      <formula>$B6 = "Probable"</formula>
    </cfRule>
    <cfRule type="expression" dxfId="10042" priority="662">
      <formula>$B6 = "High-Risk Contact"</formula>
    </cfRule>
    <cfRule type="expression" dxfId="10041" priority="663">
      <formula>$B6 = "Confirmed"</formula>
    </cfRule>
  </conditionalFormatting>
  <conditionalFormatting sqref="AR9">
    <cfRule type="expression" dxfId="10040" priority="658">
      <formula>$B9 = "Probable"</formula>
    </cfRule>
    <cfRule type="expression" dxfId="10039" priority="659">
      <formula>$B9 = "High-Risk Contact"</formula>
    </cfRule>
    <cfRule type="expression" dxfId="10038" priority="660">
      <formula>$B9 = "Confirmed"</formula>
    </cfRule>
  </conditionalFormatting>
  <conditionalFormatting sqref="AR8">
    <cfRule type="expression" dxfId="10037" priority="655">
      <formula>$B8 = "Probable"</formula>
    </cfRule>
    <cfRule type="expression" dxfId="10036" priority="656">
      <formula>$B8 = "High-Risk Contact"</formula>
    </cfRule>
    <cfRule type="expression" dxfId="10035" priority="657">
      <formula>$B8 = "Confirmed"</formula>
    </cfRule>
  </conditionalFormatting>
  <conditionalFormatting sqref="AR10">
    <cfRule type="expression" dxfId="10034" priority="652">
      <formula>$B10 = "Probable"</formula>
    </cfRule>
    <cfRule type="expression" dxfId="10033" priority="653">
      <formula>$B10 = "High-Risk Contact"</formula>
    </cfRule>
    <cfRule type="expression" dxfId="10032" priority="654">
      <formula>$B10 = "Confirmed"</formula>
    </cfRule>
  </conditionalFormatting>
  <conditionalFormatting sqref="AU7">
    <cfRule type="expression" dxfId="10031" priority="649">
      <formula>$B7 = "Probable"</formula>
    </cfRule>
    <cfRule type="expression" dxfId="10030" priority="650">
      <formula>$B7 = "High-Risk Contact"</formula>
    </cfRule>
    <cfRule type="expression" dxfId="10029" priority="651">
      <formula>$B7 = "Confirmed"</formula>
    </cfRule>
  </conditionalFormatting>
  <conditionalFormatting sqref="AU6">
    <cfRule type="expression" dxfId="10028" priority="646">
      <formula>$B6 = "Probable"</formula>
    </cfRule>
    <cfRule type="expression" dxfId="10027" priority="647">
      <formula>$B6 = "High-Risk Contact"</formula>
    </cfRule>
    <cfRule type="expression" dxfId="10026" priority="648">
      <formula>$B6 = "Confirmed"</formula>
    </cfRule>
  </conditionalFormatting>
  <conditionalFormatting sqref="AU9">
    <cfRule type="expression" dxfId="10025" priority="643">
      <formula>$B9 = "Probable"</formula>
    </cfRule>
    <cfRule type="expression" dxfId="10024" priority="644">
      <formula>$B9 = "High-Risk Contact"</formula>
    </cfRule>
    <cfRule type="expression" dxfId="10023" priority="645">
      <formula>$B9 = "Confirmed"</formula>
    </cfRule>
  </conditionalFormatting>
  <conditionalFormatting sqref="AU8">
    <cfRule type="expression" dxfId="10022" priority="640">
      <formula>$B8 = "Probable"</formula>
    </cfRule>
    <cfRule type="expression" dxfId="10021" priority="641">
      <formula>$B8 = "High-Risk Contact"</formula>
    </cfRule>
    <cfRule type="expression" dxfId="10020" priority="642">
      <formula>$B8 = "Confirmed"</formula>
    </cfRule>
  </conditionalFormatting>
  <conditionalFormatting sqref="AU10">
    <cfRule type="expression" dxfId="10019" priority="637">
      <formula>$B10 = "Probable"</formula>
    </cfRule>
    <cfRule type="expression" dxfId="10018" priority="638">
      <formula>$B10 = "High-Risk Contact"</formula>
    </cfRule>
    <cfRule type="expression" dxfId="10017" priority="639">
      <formula>$B10 = "Confirmed"</formula>
    </cfRule>
  </conditionalFormatting>
  <conditionalFormatting sqref="AV7">
    <cfRule type="expression" dxfId="10016" priority="607">
      <formula>$B7 = "Probable"</formula>
    </cfRule>
    <cfRule type="expression" dxfId="10015" priority="608">
      <formula>$B7 = "High-Risk Contact"</formula>
    </cfRule>
    <cfRule type="expression" dxfId="10014" priority="609">
      <formula>$B7 = "Confirmed"</formula>
    </cfRule>
  </conditionalFormatting>
  <conditionalFormatting sqref="AV6">
    <cfRule type="expression" dxfId="10013" priority="604">
      <formula>$B6 = "Probable"</formula>
    </cfRule>
    <cfRule type="expression" dxfId="10012" priority="605">
      <formula>$B6 = "High-Risk Contact"</formula>
    </cfRule>
    <cfRule type="expression" dxfId="10011" priority="606">
      <formula>$B6 = "Confirmed"</formula>
    </cfRule>
  </conditionalFormatting>
  <conditionalFormatting sqref="AV9">
    <cfRule type="expression" dxfId="10010" priority="601">
      <formula>$B9 = "Probable"</formula>
    </cfRule>
    <cfRule type="expression" dxfId="10009" priority="602">
      <formula>$B9 = "High-Risk Contact"</formula>
    </cfRule>
    <cfRule type="expression" dxfId="10008" priority="603">
      <formula>$B9 = "Confirmed"</formula>
    </cfRule>
  </conditionalFormatting>
  <conditionalFormatting sqref="AV8">
    <cfRule type="expression" dxfId="10007" priority="598">
      <formula>$B8 = "Probable"</formula>
    </cfRule>
    <cfRule type="expression" dxfId="10006" priority="599">
      <formula>$B8 = "High-Risk Contact"</formula>
    </cfRule>
    <cfRule type="expression" dxfId="10005" priority="600">
      <formula>$B8 = "Confirmed"</formula>
    </cfRule>
  </conditionalFormatting>
  <conditionalFormatting sqref="AV10">
    <cfRule type="expression" dxfId="10004" priority="595">
      <formula>$B10 = "Probable"</formula>
    </cfRule>
    <cfRule type="expression" dxfId="10003" priority="596">
      <formula>$B10 = "High-Risk Contact"</formula>
    </cfRule>
    <cfRule type="expression" dxfId="10002" priority="597">
      <formula>$B10 = "Confirmed"</formula>
    </cfRule>
  </conditionalFormatting>
  <conditionalFormatting sqref="AW7">
    <cfRule type="expression" dxfId="10001" priority="592">
      <formula>$B7 = "Probable"</formula>
    </cfRule>
    <cfRule type="expression" dxfId="10000" priority="593">
      <formula>$B7 = "High-Risk Contact"</formula>
    </cfRule>
    <cfRule type="expression" dxfId="9999" priority="594">
      <formula>$B7 = "Confirmed"</formula>
    </cfRule>
  </conditionalFormatting>
  <conditionalFormatting sqref="AW6">
    <cfRule type="expression" dxfId="9998" priority="589">
      <formula>$B6 = "Probable"</formula>
    </cfRule>
    <cfRule type="expression" dxfId="9997" priority="590">
      <formula>$B6 = "High-Risk Contact"</formula>
    </cfRule>
    <cfRule type="expression" dxfId="9996" priority="591">
      <formula>$B6 = "Confirmed"</formula>
    </cfRule>
  </conditionalFormatting>
  <conditionalFormatting sqref="AW9">
    <cfRule type="expression" dxfId="9995" priority="586">
      <formula>$B9 = "Probable"</formula>
    </cfRule>
    <cfRule type="expression" dxfId="9994" priority="587">
      <formula>$B9 = "High-Risk Contact"</formula>
    </cfRule>
    <cfRule type="expression" dxfId="9993" priority="588">
      <formula>$B9 = "Confirmed"</formula>
    </cfRule>
  </conditionalFormatting>
  <conditionalFormatting sqref="AW8">
    <cfRule type="expression" dxfId="9992" priority="583">
      <formula>$B8 = "Probable"</formula>
    </cfRule>
    <cfRule type="expression" dxfId="9991" priority="584">
      <formula>$B8 = "High-Risk Contact"</formula>
    </cfRule>
    <cfRule type="expression" dxfId="9990" priority="585">
      <formula>$B8 = "Confirmed"</formula>
    </cfRule>
  </conditionalFormatting>
  <conditionalFormatting sqref="AW10">
    <cfRule type="expression" dxfId="9989" priority="580">
      <formula>$B10 = "Probable"</formula>
    </cfRule>
    <cfRule type="expression" dxfId="9988" priority="581">
      <formula>$B10 = "High-Risk Contact"</formula>
    </cfRule>
    <cfRule type="expression" dxfId="9987" priority="582">
      <formula>$B10 = "Confirmed"</formula>
    </cfRule>
  </conditionalFormatting>
  <conditionalFormatting sqref="AY9:BA9">
    <cfRule type="expression" dxfId="9986" priority="577">
      <formula>$B9 = "Probable"</formula>
    </cfRule>
    <cfRule type="expression" dxfId="9985" priority="578">
      <formula>$B9 = "High-Risk Contact"</formula>
    </cfRule>
    <cfRule type="expression" dxfId="9984" priority="579">
      <formula>$B9 = "Confirmed"</formula>
    </cfRule>
  </conditionalFormatting>
  <conditionalFormatting sqref="BC6:BC7">
    <cfRule type="expression" dxfId="9983" priority="574">
      <formula>$B6 = "Probable"</formula>
    </cfRule>
    <cfRule type="expression" dxfId="9982" priority="575">
      <formula>$B6 = "High-Risk Contact"</formula>
    </cfRule>
    <cfRule type="expression" dxfId="9981" priority="576">
      <formula>$B6 = "Confirmed"</formula>
    </cfRule>
  </conditionalFormatting>
  <conditionalFormatting sqref="BC9">
    <cfRule type="expression" dxfId="9980" priority="571">
      <formula>$B9 = "Probable"</formula>
    </cfRule>
    <cfRule type="expression" dxfId="9979" priority="572">
      <formula>$B9 = "High-Risk Contact"</formula>
    </cfRule>
    <cfRule type="expression" dxfId="9978" priority="573">
      <formula>$B9 = "Confirmed"</formula>
    </cfRule>
  </conditionalFormatting>
  <conditionalFormatting sqref="BC8">
    <cfRule type="expression" dxfId="9977" priority="568">
      <formula>$B8 = "Probable"</formula>
    </cfRule>
    <cfRule type="expression" dxfId="9976" priority="569">
      <formula>$B8 = "High-Risk Contact"</formula>
    </cfRule>
    <cfRule type="expression" dxfId="9975" priority="570">
      <formula>$B8 = "Confirmed"</formula>
    </cfRule>
  </conditionalFormatting>
  <conditionalFormatting sqref="BC10">
    <cfRule type="expression" dxfId="9974" priority="565">
      <formula>$B10 = "Probable"</formula>
    </cfRule>
    <cfRule type="expression" dxfId="9973" priority="566">
      <formula>$B10 = "High-Risk Contact"</formula>
    </cfRule>
    <cfRule type="expression" dxfId="9972" priority="567">
      <formula>$B10 = "Confirmed"</formula>
    </cfRule>
  </conditionalFormatting>
  <conditionalFormatting sqref="E22 E24:E200 H11:H19 T13:AN19 E6:E19">
    <cfRule type="expression" dxfId="9971" priority="525">
      <formula>$B6 = "Probable"</formula>
    </cfRule>
    <cfRule type="expression" dxfId="9970" priority="526">
      <formula>$B6 = "High-Risk Contact"</formula>
    </cfRule>
    <cfRule type="expression" dxfId="9969" priority="527">
      <formula>$B6 = "Confirmed"</formula>
    </cfRule>
  </conditionalFormatting>
  <conditionalFormatting sqref="AO11">
    <cfRule type="expression" dxfId="9968" priority="522">
      <formula>$B11 = "Probable"</formula>
    </cfRule>
    <cfRule type="expression" dxfId="9967" priority="523">
      <formula>$B11 = "High-Risk Contact"</formula>
    </cfRule>
    <cfRule type="expression" dxfId="9966" priority="524">
      <formula>$B11 = "Confirmed"</formula>
    </cfRule>
  </conditionalFormatting>
  <conditionalFormatting sqref="T11:AN12">
    <cfRule type="expression" dxfId="9965" priority="519">
      <formula>$B11 = "Probable"</formula>
    </cfRule>
    <cfRule type="expression" dxfId="9964" priority="520">
      <formula>$B11 = "High-Risk Contact"</formula>
    </cfRule>
    <cfRule type="expression" dxfId="9963" priority="521">
      <formula>$B11 = "Confirmed"</formula>
    </cfRule>
  </conditionalFormatting>
  <conditionalFormatting sqref="T20:AO20 H20">
    <cfRule type="expression" dxfId="9962" priority="446">
      <formula>$B20 = "Probable"</formula>
    </cfRule>
    <cfRule type="expression" dxfId="9961" priority="447">
      <formula>$B20 = "High-Risk Contact"</formula>
    </cfRule>
    <cfRule type="expression" dxfId="9960" priority="448">
      <formula>$B20 = "Confirmed"</formula>
    </cfRule>
  </conditionalFormatting>
  <conditionalFormatting sqref="T22:AO22 H22 T24:AO28 H24:H28">
    <cfRule type="expression" dxfId="9959" priority="512">
      <formula>$B22 = "Probable"</formula>
    </cfRule>
    <cfRule type="expression" dxfId="9958" priority="513">
      <formula>$B22 = "High-Risk Contact"</formula>
    </cfRule>
    <cfRule type="expression" dxfId="9957" priority="514">
      <formula>$B22 = "Confirmed"</formula>
    </cfRule>
  </conditionalFormatting>
  <conditionalFormatting sqref="AQ11">
    <cfRule type="expression" dxfId="9956" priority="505">
      <formula>$B11 = "Probable"</formula>
    </cfRule>
    <cfRule type="expression" dxfId="9955" priority="506">
      <formula>$B11 = "High-Risk Contact"</formula>
    </cfRule>
    <cfRule type="expression" dxfId="9954" priority="507">
      <formula>$B11 = "Confirmed"</formula>
    </cfRule>
  </conditionalFormatting>
  <conditionalFormatting sqref="AT6:AT7 AT18:AT19 AT30:AT31 AT42:AT43 AT54:AT55 AT66:AT67 AT78:AT79 AT90:AT91 AT102:AT103 AT114:AT115 AT126:AT127 AT138:AT139 AT150:AT151 AT162:AT163 AT174:AT175 AT186:AT187 AT198:AT199">
    <cfRule type="expression" dxfId="9953" priority="492">
      <formula>$B6 = "Probable"</formula>
    </cfRule>
    <cfRule type="expression" dxfId="9952" priority="493">
      <formula>$B6 = "High-Risk Contact"</formula>
    </cfRule>
    <cfRule type="expression" dxfId="9951" priority="494">
      <formula>$B6 = "Confirmed"</formula>
    </cfRule>
  </conditionalFormatting>
  <conditionalFormatting sqref="AT9 AT33 AT45 AT57 AT69 AT81 AT93 AT105 AT117 AT129 AT141 AT153 AT165 AT177 AT189">
    <cfRule type="expression" dxfId="9950" priority="489">
      <formula>$B9 = "Probable"</formula>
    </cfRule>
    <cfRule type="expression" dxfId="9949" priority="490">
      <formula>$B9 = "High-Risk Contact"</formula>
    </cfRule>
    <cfRule type="expression" dxfId="9948" priority="491">
      <formula>$B9 = "Confirmed"</formula>
    </cfRule>
  </conditionalFormatting>
  <conditionalFormatting sqref="AT8 AT32 AT44 AT56 AT68 AT80 AT92 AT104 AT116 AT128 AT140 AT152 AT164 AT176 AT188 AT200">
    <cfRule type="expression" dxfId="9947" priority="486">
      <formula>$B8 = "Probable"</formula>
    </cfRule>
    <cfRule type="expression" dxfId="9946" priority="487">
      <formula>$B8 = "High-Risk Contact"</formula>
    </cfRule>
    <cfRule type="expression" dxfId="9945" priority="488">
      <formula>$B8 = "Confirmed"</formula>
    </cfRule>
  </conditionalFormatting>
  <conditionalFormatting sqref="AT10 AT22 AT34 AT46 AT58 AT70 AT82 AT94 AT106 AT118 AT130 AT142 AT154 AT166 AT178 AT190">
    <cfRule type="expression" dxfId="9944" priority="483">
      <formula>$B10 = "Probable"</formula>
    </cfRule>
    <cfRule type="expression" dxfId="9943" priority="484">
      <formula>$B10 = "High-Risk Contact"</formula>
    </cfRule>
    <cfRule type="expression" dxfId="9942" priority="485">
      <formula>$B10 = "Confirmed"</formula>
    </cfRule>
  </conditionalFormatting>
  <conditionalFormatting sqref="AT11:AT17 AT24:AT29 AT35:AT41 AT47:AT53 AT59:AT65 AT71:AT77 AT83:AT89 AT95:AT101 AT107:AT113 AT119:AT125 AT131:AT137 AT143:AT149 AT155:AT161 AT167:AT173 AT179:AT185 AT191:AT197">
    <cfRule type="expression" dxfId="9941" priority="480">
      <formula>$B11 = "Probable"</formula>
    </cfRule>
    <cfRule type="expression" dxfId="9940" priority="481">
      <formula>$B11 = "High-Risk Contact"</formula>
    </cfRule>
    <cfRule type="expression" dxfId="9939" priority="482">
      <formula>$B11 = "Confirmed"</formula>
    </cfRule>
  </conditionalFormatting>
  <conditionalFormatting sqref="AR20:AS20 AU20:BD20 BF20:BM20">
    <cfRule type="expression" dxfId="9938" priority="453">
      <formula>$B20 = "Probable"</formula>
    </cfRule>
    <cfRule type="expression" dxfId="9937" priority="454">
      <formula>$B20 = "High-Risk Contact"</formula>
    </cfRule>
    <cfRule type="expression" dxfId="9936" priority="455">
      <formula>$B20 = "Confirmed"</formula>
    </cfRule>
  </conditionalFormatting>
  <conditionalFormatting sqref="AT20">
    <cfRule type="expression" dxfId="9935" priority="437">
      <formula>$B20 = "Probable"</formula>
    </cfRule>
    <cfRule type="expression" dxfId="9934" priority="438">
      <formula>$B20 = "High-Risk Contact"</formula>
    </cfRule>
    <cfRule type="expression" dxfId="9933" priority="439">
      <formula>$B20 = "Confirmed"</formula>
    </cfRule>
  </conditionalFormatting>
  <conditionalFormatting sqref="AU21:BD21 AR21:AS21 BF21:BI21">
    <cfRule type="expression" dxfId="9932" priority="430">
      <formula>$B21 = "Probable"</formula>
    </cfRule>
    <cfRule type="expression" dxfId="9931" priority="431">
      <formula>$B21 = "High-Risk Contact"</formula>
    </cfRule>
    <cfRule type="expression" dxfId="9930" priority="432">
      <formula>$B21 = "Confirmed"</formula>
    </cfRule>
  </conditionalFormatting>
  <conditionalFormatting sqref="T21:AO21 H21">
    <cfRule type="expression" dxfId="9929" priority="423">
      <formula>$B21 = "Probable"</formula>
    </cfRule>
    <cfRule type="expression" dxfId="9928" priority="424">
      <formula>$B21 = "High-Risk Contact"</formula>
    </cfRule>
    <cfRule type="expression" dxfId="9927" priority="425">
      <formula>$B21 = "Confirmed"</formula>
    </cfRule>
  </conditionalFormatting>
  <conditionalFormatting sqref="AT21">
    <cfRule type="expression" dxfId="9926" priority="414">
      <formula>$B21 = "Probable"</formula>
    </cfRule>
    <cfRule type="expression" dxfId="9925" priority="415">
      <formula>$B21 = "High-Risk Contact"</formula>
    </cfRule>
    <cfRule type="expression" dxfId="9924" priority="416">
      <formula>$B21 = "Confirmed"</formula>
    </cfRule>
  </conditionalFormatting>
  <conditionalFormatting sqref="AR23:AS23 AU23:BD23 BF23:BM23">
    <cfRule type="expression" dxfId="9923" priority="407">
      <formula>$B23 = "Probable"</formula>
    </cfRule>
    <cfRule type="expression" dxfId="9922" priority="408">
      <formula>$B23 = "High-Risk Contact"</formula>
    </cfRule>
    <cfRule type="expression" dxfId="9921" priority="409">
      <formula>$B23 = "Confirmed"</formula>
    </cfRule>
  </conditionalFormatting>
  <conditionalFormatting sqref="T23:AO23 H23">
    <cfRule type="expression" dxfId="9920" priority="400">
      <formula>$B23 = "Probable"</formula>
    </cfRule>
    <cfRule type="expression" dxfId="9919" priority="401">
      <formula>$B23 = "High-Risk Contact"</formula>
    </cfRule>
    <cfRule type="expression" dxfId="9918" priority="402">
      <formula>$B23 = "Confirmed"</formula>
    </cfRule>
  </conditionalFormatting>
  <conditionalFormatting sqref="AT23">
    <cfRule type="expression" dxfId="9917" priority="391">
      <formula>$B23 = "Probable"</formula>
    </cfRule>
    <cfRule type="expression" dxfId="9916" priority="392">
      <formula>$B23 = "High-Risk Contact"</formula>
    </cfRule>
    <cfRule type="expression" dxfId="9915" priority="393">
      <formula>$B23 = "Confirmed"</formula>
    </cfRule>
  </conditionalFormatting>
  <conditionalFormatting sqref="D129:D200">
    <cfRule type="expression" dxfId="9914" priority="388">
      <formula>AND($D129&lt;&gt; "",OR($D129=$S129,$D129&lt;$S129))</formula>
    </cfRule>
  </conditionalFormatting>
  <conditionalFormatting sqref="A36:C128 A11:C11 A20:C20 A23 C23 A21 C21 B21:B33">
    <cfRule type="expression" dxfId="9913" priority="384">
      <formula>$B11 = "Probable"</formula>
    </cfRule>
    <cfRule type="expression" dxfId="9912" priority="385">
      <formula>$B11 = "High-Risk Contact"</formula>
    </cfRule>
    <cfRule type="expression" dxfId="9911" priority="386">
      <formula>$B11 = "Confirmed"</formula>
    </cfRule>
  </conditionalFormatting>
  <conditionalFormatting sqref="A34:C35 A6:B8 A29:A33">
    <cfRule type="expression" dxfId="9910" priority="381">
      <formula>$B6 = "Probable"</formula>
    </cfRule>
    <cfRule type="expression" dxfId="9909" priority="382">
      <formula>$B6 = "Close Contact"</formula>
    </cfRule>
    <cfRule type="expression" dxfId="9908" priority="383">
      <formula>$B6 = "Confirmed"</formula>
    </cfRule>
  </conditionalFormatting>
  <conditionalFormatting sqref="C29:C33">
    <cfRule type="expression" dxfId="9907" priority="378">
      <formula>$B29 = "Probable"</formula>
    </cfRule>
    <cfRule type="expression" dxfId="9906" priority="379">
      <formula>$B29 = "High-Risk Contact"</formula>
    </cfRule>
    <cfRule type="expression" dxfId="9905" priority="380">
      <formula>$B29 = "Confirmed"</formula>
    </cfRule>
  </conditionalFormatting>
  <conditionalFormatting sqref="A9:A10">
    <cfRule type="expression" dxfId="9904" priority="375">
      <formula>$B9 = "Probable"</formula>
    </cfRule>
    <cfRule type="expression" dxfId="9903" priority="376">
      <formula>$B9 = "High-Risk Contact"</formula>
    </cfRule>
    <cfRule type="expression" dxfId="9902" priority="377">
      <formula>$B9 = "Confirmed"</formula>
    </cfRule>
  </conditionalFormatting>
  <conditionalFormatting sqref="B9:B10">
    <cfRule type="expression" dxfId="9901" priority="372">
      <formula>$B9 = "Probable"</formula>
    </cfRule>
    <cfRule type="expression" dxfId="9900" priority="373">
      <formula>$B9 = "High-Risk Contact"</formula>
    </cfRule>
    <cfRule type="expression" dxfId="9899" priority="374">
      <formula>$B9 = "Confirmed"</formula>
    </cfRule>
  </conditionalFormatting>
  <conditionalFormatting sqref="C6:C7">
    <cfRule type="expression" dxfId="9898" priority="369">
      <formula>$B6 = "Probable"</formula>
    </cfRule>
    <cfRule type="expression" dxfId="9897" priority="370">
      <formula>$B6 = "High-Risk Contact"</formula>
    </cfRule>
    <cfRule type="expression" dxfId="9896" priority="371">
      <formula>$B6 = "Confirmed"</formula>
    </cfRule>
  </conditionalFormatting>
  <conditionalFormatting sqref="C9">
    <cfRule type="expression" dxfId="9895" priority="366">
      <formula>$B9 = "Probable"</formula>
    </cfRule>
    <cfRule type="expression" dxfId="9894" priority="367">
      <formula>$B9 = "High-Risk Contact"</formula>
    </cfRule>
    <cfRule type="expression" dxfId="9893" priority="368">
      <formula>$B9 = "Confirmed"</formula>
    </cfRule>
  </conditionalFormatting>
  <conditionalFormatting sqref="C8">
    <cfRule type="expression" dxfId="9892" priority="363">
      <formula>$B8 = "Probable"</formula>
    </cfRule>
    <cfRule type="expression" dxfId="9891" priority="364">
      <formula>$B8 = "High-Risk Contact"</formula>
    </cfRule>
    <cfRule type="expression" dxfId="9890" priority="365">
      <formula>$B8 = "Confirmed"</formula>
    </cfRule>
  </conditionalFormatting>
  <conditionalFormatting sqref="C10">
    <cfRule type="expression" dxfId="9889" priority="360">
      <formula>$B10 = "Probable"</formula>
    </cfRule>
    <cfRule type="expression" dxfId="9888" priority="361">
      <formula>$B10 = "High-Risk Contact"</formula>
    </cfRule>
    <cfRule type="expression" dxfId="9887" priority="362">
      <formula>$B10 = "Confirmed"</formula>
    </cfRule>
  </conditionalFormatting>
  <conditionalFormatting sqref="A12:C13 A22 A19:C19 C14:C18 A24:A28">
    <cfRule type="expression" dxfId="9886" priority="357">
      <formula>$B12 = "Probable"</formula>
    </cfRule>
    <cfRule type="expression" dxfId="9885" priority="358">
      <formula>$B12 = "High-Risk Contact"</formula>
    </cfRule>
    <cfRule type="expression" dxfId="9884" priority="359">
      <formula>$B12 = "Confirmed"</formula>
    </cfRule>
  </conditionalFormatting>
  <conditionalFormatting sqref="C22 C24:C28">
    <cfRule type="expression" dxfId="9883" priority="354">
      <formula>$B22 = "Probable"</formula>
    </cfRule>
    <cfRule type="expression" dxfId="9882" priority="355">
      <formula>$B22 = "High-Risk Contact"</formula>
    </cfRule>
    <cfRule type="expression" dxfId="9881" priority="356">
      <formula>$B22 = "Confirmed"</formula>
    </cfRule>
  </conditionalFormatting>
  <conditionalFormatting sqref="A14:A18">
    <cfRule type="expression" dxfId="9880" priority="351">
      <formula>$B14 = "Probable"</formula>
    </cfRule>
    <cfRule type="expression" dxfId="9879" priority="352">
      <formula>$B14 = "High-Risk Contact"</formula>
    </cfRule>
    <cfRule type="expression" dxfId="9878" priority="353">
      <formula>$B14 = "Confirmed"</formula>
    </cfRule>
  </conditionalFormatting>
  <conditionalFormatting sqref="B14:B18">
    <cfRule type="expression" dxfId="9877" priority="348">
      <formula>$B14 = "Probable"</formula>
    </cfRule>
    <cfRule type="expression" dxfId="9876" priority="349">
      <formula>$B14 = "High-Risk Contact"</formula>
    </cfRule>
    <cfRule type="expression" dxfId="9875" priority="350">
      <formula>$B14 = "Confirmed"</formula>
    </cfRule>
  </conditionalFormatting>
  <conditionalFormatting sqref="D20">
    <cfRule type="expression" dxfId="9874" priority="346">
      <formula>$B20 = "Probable"</formula>
    </cfRule>
    <cfRule type="expression" dxfId="9873" priority="347">
      <formula>$B20 = "Confirmed"</formula>
    </cfRule>
  </conditionalFormatting>
  <conditionalFormatting sqref="D21">
    <cfRule type="expression" dxfId="9872" priority="344">
      <formula>$B21 = "Probable"</formula>
    </cfRule>
    <cfRule type="expression" dxfId="9871" priority="345">
      <formula>$B21 = "Confirmed"</formula>
    </cfRule>
  </conditionalFormatting>
  <conditionalFormatting sqref="D23">
    <cfRule type="expression" dxfId="9870" priority="342">
      <formula>$B23 = "Probable"</formula>
    </cfRule>
    <cfRule type="expression" dxfId="9869" priority="343">
      <formula>$B23 = "Confirmed"</formula>
    </cfRule>
  </conditionalFormatting>
  <conditionalFormatting sqref="D6:D128">
    <cfRule type="expression" dxfId="9868" priority="341">
      <formula>AND($D6&lt;&gt; "",OR($D6=$S6,$D6&lt;$S6))</formula>
    </cfRule>
  </conditionalFormatting>
  <conditionalFormatting sqref="G31:G95">
    <cfRule type="expression" dxfId="9867" priority="338">
      <formula>$B31 = "Probable"</formula>
    </cfRule>
    <cfRule type="expression" dxfId="9866" priority="339">
      <formula>$B31 = "High-Risk Contact"</formula>
    </cfRule>
    <cfRule type="expression" dxfId="9865" priority="340">
      <formula>$B31 = "Confirmed"</formula>
    </cfRule>
  </conditionalFormatting>
  <conditionalFormatting sqref="G29:G30">
    <cfRule type="expression" dxfId="9864" priority="335">
      <formula>$B29 = "Probable"</formula>
    </cfRule>
    <cfRule type="expression" dxfId="9863" priority="336">
      <formula>$B29 = "High-Risk Contact"</formula>
    </cfRule>
    <cfRule type="expression" dxfId="9862" priority="337">
      <formula>$B29 = "Confirmed"</formula>
    </cfRule>
  </conditionalFormatting>
  <conditionalFormatting sqref="G24:G28">
    <cfRule type="expression" dxfId="9861" priority="332">
      <formula>$B24 = "Probable"</formula>
    </cfRule>
    <cfRule type="expression" dxfId="9860" priority="333">
      <formula>$B24 = "High-Risk Contact"</formula>
    </cfRule>
    <cfRule type="expression" dxfId="9859" priority="334">
      <formula>$B24 = "Confirmed"</formula>
    </cfRule>
  </conditionalFormatting>
  <conditionalFormatting sqref="G6:G14">
    <cfRule type="expression" dxfId="9858" priority="329">
      <formula>$B6 = "Probable"</formula>
    </cfRule>
    <cfRule type="expression" dxfId="9857" priority="330">
      <formula>$B6 = "High-Risk Contact"</formula>
    </cfRule>
    <cfRule type="expression" dxfId="9856" priority="331">
      <formula>$B6 = "Confirmed"</formula>
    </cfRule>
  </conditionalFormatting>
  <conditionalFormatting sqref="G15">
    <cfRule type="expression" dxfId="9855" priority="323">
      <formula>$B15 = "Probable"</formula>
    </cfRule>
    <cfRule type="expression" dxfId="9854" priority="324">
      <formula>$B15 = "High-Risk Contact"</formula>
    </cfRule>
    <cfRule type="expression" dxfId="9853" priority="325">
      <formula>$B15 = "Confirmed"</formula>
    </cfRule>
  </conditionalFormatting>
  <conditionalFormatting sqref="G17 G19:G23">
    <cfRule type="expression" dxfId="9852" priority="326">
      <formula>$B17 = "Probable"</formula>
    </cfRule>
    <cfRule type="expression" dxfId="9851" priority="327">
      <formula>$B17 = "High-Risk Contact"</formula>
    </cfRule>
    <cfRule type="expression" dxfId="9850" priority="328">
      <formula>$B17 = "Confirmed"</formula>
    </cfRule>
  </conditionalFormatting>
  <conditionalFormatting sqref="G16">
    <cfRule type="expression" dxfId="9849" priority="320">
      <formula>$B16 = "Probable"</formula>
    </cfRule>
    <cfRule type="expression" dxfId="9848" priority="321">
      <formula>$B16 = "High-Risk Contact"</formula>
    </cfRule>
    <cfRule type="expression" dxfId="9847" priority="322">
      <formula>$B16 = "Confirmed"</formula>
    </cfRule>
  </conditionalFormatting>
  <conditionalFormatting sqref="G18">
    <cfRule type="expression" dxfId="9846" priority="317">
      <formula>$B18 = "Probable"</formula>
    </cfRule>
    <cfRule type="expression" dxfId="9845" priority="318">
      <formula>$B18 = "High-Risk Contact"</formula>
    </cfRule>
    <cfRule type="expression" dxfId="9844" priority="319">
      <formula>$B18 = "Confirmed"</formula>
    </cfRule>
  </conditionalFormatting>
  <conditionalFormatting sqref="K57:P100 L6:P6 K37:O56 P7:P56 K36:N36 O7:O36">
    <cfRule type="expression" dxfId="9843" priority="305">
      <formula>$B6 = "Probable"</formula>
    </cfRule>
    <cfRule type="expression" dxfId="9842" priority="306">
      <formula>$B6 = "High-Risk Contact"</formula>
    </cfRule>
    <cfRule type="expression" dxfId="9841" priority="307">
      <formula>$B6 = "Confirmed"</formula>
    </cfRule>
  </conditionalFormatting>
  <conditionalFormatting sqref="K34:N35">
    <cfRule type="expression" dxfId="9840" priority="302">
      <formula>$B34 = "Probable"</formula>
    </cfRule>
    <cfRule type="expression" dxfId="9839" priority="303">
      <formula>$B34 = "High-Risk Contact"</formula>
    </cfRule>
    <cfRule type="expression" dxfId="9838" priority="304">
      <formula>$B34 = "Confirmed"</formula>
    </cfRule>
  </conditionalFormatting>
  <conditionalFormatting sqref="K29:N33">
    <cfRule type="expression" dxfId="9837" priority="299">
      <formula>$B29 = "Probable"</formula>
    </cfRule>
    <cfRule type="expression" dxfId="9836" priority="300">
      <formula>$B29 = "High-Risk Contact"</formula>
    </cfRule>
    <cfRule type="expression" dxfId="9835" priority="301">
      <formula>$B29 = "Confirmed"</formula>
    </cfRule>
  </conditionalFormatting>
  <conditionalFormatting sqref="K6:K10">
    <cfRule type="expression" dxfId="9834" priority="296">
      <formula>$B6 = "Probable"</formula>
    </cfRule>
    <cfRule type="expression" dxfId="9833" priority="297">
      <formula>$B6 = "High-Risk Contact"</formula>
    </cfRule>
    <cfRule type="expression" dxfId="9832" priority="298">
      <formula>$B6 = "Confirmed"</formula>
    </cfRule>
  </conditionalFormatting>
  <conditionalFormatting sqref="I6:J100">
    <cfRule type="expression" dxfId="9831" priority="293">
      <formula>$B6 = "Probable"</formula>
    </cfRule>
    <cfRule type="expression" dxfId="9830" priority="294">
      <formula>$B6 = "High-Risk Contact"</formula>
    </cfRule>
    <cfRule type="expression" dxfId="9829" priority="295">
      <formula>$B6 = "Confirmed"</formula>
    </cfRule>
  </conditionalFormatting>
  <conditionalFormatting sqref="L7:N7">
    <cfRule type="expression" dxfId="9828" priority="287">
      <formula>$B7 = "Probable"</formula>
    </cfRule>
    <cfRule type="expression" dxfId="9827" priority="288">
      <formula>$B7 = "High-Risk Contact"</formula>
    </cfRule>
    <cfRule type="expression" dxfId="9826" priority="289">
      <formula>$B7 = "Confirmed"</formula>
    </cfRule>
  </conditionalFormatting>
  <conditionalFormatting sqref="L9:N9">
    <cfRule type="expression" dxfId="9825" priority="284">
      <formula>$B9 = "Probable"</formula>
    </cfRule>
    <cfRule type="expression" dxfId="9824" priority="285">
      <formula>$B9 = "High-Risk Contact"</formula>
    </cfRule>
    <cfRule type="expression" dxfId="9823" priority="286">
      <formula>$B9 = "Confirmed"</formula>
    </cfRule>
  </conditionalFormatting>
  <conditionalFormatting sqref="L8:N8">
    <cfRule type="expression" dxfId="9822" priority="281">
      <formula>$B8 = "Probable"</formula>
    </cfRule>
    <cfRule type="expression" dxfId="9821" priority="282">
      <formula>$B8 = "High-Risk Contact"</formula>
    </cfRule>
    <cfRule type="expression" dxfId="9820" priority="283">
      <formula>$B8 = "Confirmed"</formula>
    </cfRule>
  </conditionalFormatting>
  <conditionalFormatting sqref="L10:N10">
    <cfRule type="expression" dxfId="9819" priority="278">
      <formula>$B10 = "Probable"</formula>
    </cfRule>
    <cfRule type="expression" dxfId="9818" priority="279">
      <formula>$B10 = "High-Risk Contact"</formula>
    </cfRule>
    <cfRule type="expression" dxfId="9817" priority="280">
      <formula>$B10 = "Confirmed"</formula>
    </cfRule>
  </conditionalFormatting>
  <conditionalFormatting sqref="K11:N19">
    <cfRule type="expression" dxfId="9816" priority="275">
      <formula>$B11 = "Probable"</formula>
    </cfRule>
    <cfRule type="expression" dxfId="9815" priority="276">
      <formula>$B11 = "High-Risk Contact"</formula>
    </cfRule>
    <cfRule type="expression" dxfId="9814" priority="277">
      <formula>$B11 = "Confirmed"</formula>
    </cfRule>
  </conditionalFormatting>
  <conditionalFormatting sqref="K20:N20">
    <cfRule type="expression" dxfId="9813" priority="266">
      <formula>$B20 = "Probable"</formula>
    </cfRule>
    <cfRule type="expression" dxfId="9812" priority="267">
      <formula>$B20 = "High-Risk Contact"</formula>
    </cfRule>
    <cfRule type="expression" dxfId="9811" priority="268">
      <formula>$B20 = "Confirmed"</formula>
    </cfRule>
  </conditionalFormatting>
  <conditionalFormatting sqref="K22:N22 K24:N28">
    <cfRule type="expression" dxfId="9810" priority="272">
      <formula>$B22 = "Probable"</formula>
    </cfRule>
    <cfRule type="expression" dxfId="9809" priority="273">
      <formula>$B22 = "High-Risk Contact"</formula>
    </cfRule>
    <cfRule type="expression" dxfId="9808" priority="274">
      <formula>$B22 = "Confirmed"</formula>
    </cfRule>
  </conditionalFormatting>
  <conditionalFormatting sqref="Q7">
    <cfRule type="expression" dxfId="9807" priority="245">
      <formula>$B7 = "Probable"</formula>
    </cfRule>
    <cfRule type="expression" dxfId="9806" priority="246">
      <formula>$B7 = "High-Risk Contact"</formula>
    </cfRule>
    <cfRule type="expression" dxfId="9805" priority="247">
      <formula>$B7 = "Confirmed"</formula>
    </cfRule>
  </conditionalFormatting>
  <conditionalFormatting sqref="K21:N21">
    <cfRule type="expression" dxfId="9804" priority="263">
      <formula>$B21 = "Probable"</formula>
    </cfRule>
    <cfRule type="expression" dxfId="9803" priority="264">
      <formula>$B21 = "High-Risk Contact"</formula>
    </cfRule>
    <cfRule type="expression" dxfId="9802" priority="265">
      <formula>$B21 = "Confirmed"</formula>
    </cfRule>
  </conditionalFormatting>
  <conditionalFormatting sqref="K23:N23">
    <cfRule type="expression" dxfId="9801" priority="260">
      <formula>$B23 = "Probable"</formula>
    </cfRule>
    <cfRule type="expression" dxfId="9800" priority="261">
      <formula>$B23 = "High-Risk Contact"</formula>
    </cfRule>
    <cfRule type="expression" dxfId="9799" priority="262">
      <formula>$B23 = "Confirmed"</formula>
    </cfRule>
  </conditionalFormatting>
  <conditionalFormatting sqref="Q36:S100 Q6">
    <cfRule type="expression" dxfId="9798" priority="257">
      <formula>$B6 = "Probable"</formula>
    </cfRule>
    <cfRule type="expression" dxfId="9797" priority="258">
      <formula>$B6 = "High-Risk Contact"</formula>
    </cfRule>
    <cfRule type="expression" dxfId="9796" priority="259">
      <formula>$B6 = "Confirmed"</formula>
    </cfRule>
  </conditionalFormatting>
  <conditionalFormatting sqref="Q35:S35 Q34 S34">
    <cfRule type="expression" dxfId="9795" priority="254">
      <formula>$B34 = "Probable"</formula>
    </cfRule>
    <cfRule type="expression" dxfId="9794" priority="255">
      <formula>$B34 = "High-Risk Contact"</formula>
    </cfRule>
    <cfRule type="expression" dxfId="9793" priority="256">
      <formula>$B34 = "Confirmed"</formula>
    </cfRule>
  </conditionalFormatting>
  <conditionalFormatting sqref="S29:S33 Q29:Q33">
    <cfRule type="expression" dxfId="9792" priority="251">
      <formula>$B29 = "Probable"</formula>
    </cfRule>
    <cfRule type="expression" dxfId="9791" priority="252">
      <formula>$B29 = "High-Risk Contact"</formula>
    </cfRule>
    <cfRule type="expression" dxfId="9790" priority="253">
      <formula>$B29 = "Confirmed"</formula>
    </cfRule>
  </conditionalFormatting>
  <conditionalFormatting sqref="R29:R33">
    <cfRule type="expression" dxfId="9789" priority="248">
      <formula>$B29 = "Probable"</formula>
    </cfRule>
    <cfRule type="expression" dxfId="9788" priority="249">
      <formula>$B29 = "High-Risk Contact"</formula>
    </cfRule>
    <cfRule type="expression" dxfId="9787" priority="250">
      <formula>$B29 = "Confirmed"</formula>
    </cfRule>
  </conditionalFormatting>
  <conditionalFormatting sqref="Q9">
    <cfRule type="expression" dxfId="9786" priority="242">
      <formula>$B9 = "Probable"</formula>
    </cfRule>
    <cfRule type="expression" dxfId="9785" priority="243">
      <formula>$B9 = "High-Risk Contact"</formula>
    </cfRule>
    <cfRule type="expression" dxfId="9784" priority="244">
      <formula>$B9 = "Confirmed"</formula>
    </cfRule>
  </conditionalFormatting>
  <conditionalFormatting sqref="Q8">
    <cfRule type="expression" dxfId="9783" priority="239">
      <formula>$B8 = "Probable"</formula>
    </cfRule>
    <cfRule type="expression" dxfId="9782" priority="240">
      <formula>$B8 = "High-Risk Contact"</formula>
    </cfRule>
    <cfRule type="expression" dxfId="9781" priority="241">
      <formula>$B8 = "Confirmed"</formula>
    </cfRule>
  </conditionalFormatting>
  <conditionalFormatting sqref="Q10">
    <cfRule type="expression" dxfId="9780" priority="236">
      <formula>$B10 = "Probable"</formula>
    </cfRule>
    <cfRule type="expression" dxfId="9779" priority="237">
      <formula>$B10 = "High-Risk Contact"</formula>
    </cfRule>
    <cfRule type="expression" dxfId="9778" priority="238">
      <formula>$B10 = "Confirmed"</formula>
    </cfRule>
  </conditionalFormatting>
  <conditionalFormatting sqref="S13:S19 Q11:Q19">
    <cfRule type="expression" dxfId="9777" priority="212">
      <formula>$B11 = "Probable"</formula>
    </cfRule>
    <cfRule type="expression" dxfId="9776" priority="213">
      <formula>$B11 = "High-Risk Contact"</formula>
    </cfRule>
    <cfRule type="expression" dxfId="9775" priority="214">
      <formula>$B11 = "Confirmed"</formula>
    </cfRule>
  </conditionalFormatting>
  <conditionalFormatting sqref="S20 Q20">
    <cfRule type="expression" dxfId="9774" priority="197">
      <formula>$B20 = "Probable"</formula>
    </cfRule>
    <cfRule type="expression" dxfId="9773" priority="198">
      <formula>$B20 = "High-Risk Contact"</formula>
    </cfRule>
    <cfRule type="expression" dxfId="9772" priority="199">
      <formula>$B20 = "Confirmed"</formula>
    </cfRule>
  </conditionalFormatting>
  <conditionalFormatting sqref="S22 Q22 S24:S28 Q24:Q28">
    <cfRule type="expression" dxfId="9771" priority="206">
      <formula>$B22 = "Probable"</formula>
    </cfRule>
    <cfRule type="expression" dxfId="9770" priority="207">
      <formula>$B22 = "High-Risk Contact"</formula>
    </cfRule>
    <cfRule type="expression" dxfId="9769" priority="208">
      <formula>$B22 = "Confirmed"</formula>
    </cfRule>
  </conditionalFormatting>
  <conditionalFormatting sqref="R24:R28">
    <cfRule type="expression" dxfId="9768" priority="203">
      <formula>$B24 = "Probable"</formula>
    </cfRule>
    <cfRule type="expression" dxfId="9767" priority="204">
      <formula>$B24 = "High-Risk Contact"</formula>
    </cfRule>
    <cfRule type="expression" dxfId="9766" priority="205">
      <formula>$B24 = "Confirmed"</formula>
    </cfRule>
  </conditionalFormatting>
  <conditionalFormatting sqref="R20">
    <cfRule type="expression" dxfId="9765" priority="194">
      <formula>$B20 = "Probable"</formula>
    </cfRule>
    <cfRule type="expression" dxfId="9764" priority="195">
      <formula>$B20 = "High-Risk Contact"</formula>
    </cfRule>
    <cfRule type="expression" dxfId="9763" priority="196">
      <formula>$B20 = "Confirmed"</formula>
    </cfRule>
  </conditionalFormatting>
  <conditionalFormatting sqref="S21 Q21">
    <cfRule type="expression" dxfId="9762" priority="191">
      <formula>$B21 = "Probable"</formula>
    </cfRule>
    <cfRule type="expression" dxfId="9761" priority="192">
      <formula>$B21 = "High-Risk Contact"</formula>
    </cfRule>
    <cfRule type="expression" dxfId="9760" priority="193">
      <formula>$B21 = "Confirmed"</formula>
    </cfRule>
  </conditionalFormatting>
  <conditionalFormatting sqref="S23 Q23">
    <cfRule type="expression" dxfId="9759" priority="185">
      <formula>$B23 = "Probable"</formula>
    </cfRule>
    <cfRule type="expression" dxfId="9758" priority="186">
      <formula>$B23 = "High-Risk Contact"</formula>
    </cfRule>
    <cfRule type="expression" dxfId="9757" priority="187">
      <formula>$B23 = "Confirmed"</formula>
    </cfRule>
  </conditionalFormatting>
  <conditionalFormatting sqref="S10">
    <cfRule type="expression" dxfId="9756" priority="164">
      <formula>$B10 = "Probable"</formula>
    </cfRule>
    <cfRule type="expression" dxfId="9755" priority="165">
      <formula>$B10 = "High-Risk Contact"</formula>
    </cfRule>
    <cfRule type="expression" dxfId="9754" priority="166">
      <formula>$B10 = "Confirmed"</formula>
    </cfRule>
  </conditionalFormatting>
  <conditionalFormatting sqref="R6:S6 S7:S9 R7:R13">
    <cfRule type="expression" dxfId="9753" priority="161">
      <formula>$B6 = "Probable"</formula>
    </cfRule>
    <cfRule type="expression" dxfId="9752" priority="162">
      <formula>$B6 = "High-Risk Contact"</formula>
    </cfRule>
    <cfRule type="expression" dxfId="9751" priority="163">
      <formula>$B6 = "Confirmed"</formula>
    </cfRule>
  </conditionalFormatting>
  <conditionalFormatting sqref="S12">
    <cfRule type="expression" dxfId="9750" priority="158">
      <formula>$B12 = "Probable"</formula>
    </cfRule>
    <cfRule type="expression" dxfId="9749" priority="159">
      <formula>$B12 = "High-Risk Contact"</formula>
    </cfRule>
    <cfRule type="expression" dxfId="9748" priority="160">
      <formula>$B12 = "Confirmed"</formula>
    </cfRule>
  </conditionalFormatting>
  <conditionalFormatting sqref="S11">
    <cfRule type="expression" dxfId="9747" priority="155">
      <formula>$B11 = "Probable"</formula>
    </cfRule>
    <cfRule type="expression" dxfId="9746" priority="156">
      <formula>$B11 = "High-Risk Contact"</formula>
    </cfRule>
    <cfRule type="expression" dxfId="9745" priority="157">
      <formula>$B11 = "Confirmed"</formula>
    </cfRule>
  </conditionalFormatting>
  <conditionalFormatting sqref="R17">
    <cfRule type="expression" dxfId="9744" priority="140">
      <formula>$B17 = "Probable"</formula>
    </cfRule>
    <cfRule type="expression" dxfId="9743" priority="141">
      <formula>$B17 = "High-Risk Contact"</formula>
    </cfRule>
    <cfRule type="expression" dxfId="9742" priority="142">
      <formula>$B17 = "Confirmed"</formula>
    </cfRule>
  </conditionalFormatting>
  <conditionalFormatting sqref="AO13:AO16">
    <cfRule type="expression" dxfId="9741" priority="137">
      <formula>$B13 = "Probable"</formula>
    </cfRule>
    <cfRule type="expression" dxfId="9740" priority="138">
      <formula>$B13 = "High-Risk Contact"</formula>
    </cfRule>
    <cfRule type="expression" dxfId="9739" priority="139">
      <formula>$B13 = "Confirmed"</formula>
    </cfRule>
  </conditionalFormatting>
  <conditionalFormatting sqref="AO12">
    <cfRule type="expression" dxfId="9738" priority="134">
      <formula>$B12 = "Probable"</formula>
    </cfRule>
    <cfRule type="expression" dxfId="9737" priority="135">
      <formula>$B12 = "High-Risk Contact"</formula>
    </cfRule>
    <cfRule type="expression" dxfId="9736" priority="136">
      <formula>$B12 = "Confirmed"</formula>
    </cfRule>
  </conditionalFormatting>
  <conditionalFormatting sqref="AO17">
    <cfRule type="expression" dxfId="9735" priority="131">
      <formula>$B17 = "Probable"</formula>
    </cfRule>
    <cfRule type="expression" dxfId="9734" priority="132">
      <formula>$B17 = "High-Risk Contact"</formula>
    </cfRule>
    <cfRule type="expression" dxfId="9733" priority="133">
      <formula>$B17 = "Confirmed"</formula>
    </cfRule>
  </conditionalFormatting>
  <conditionalFormatting sqref="BE17:BE21">
    <cfRule type="expression" dxfId="9732" priority="86">
      <formula>$B17 = "Probable"</formula>
    </cfRule>
    <cfRule type="expression" dxfId="9731" priority="87">
      <formula>$B17 = "High-Risk Contact"</formula>
    </cfRule>
    <cfRule type="expression" dxfId="9730" priority="88">
      <formula>$B17 = "Confirmed"</formula>
    </cfRule>
  </conditionalFormatting>
  <conditionalFormatting sqref="R21:R23">
    <cfRule type="expression" dxfId="9729" priority="83">
      <formula>$B21 = "Probable"</formula>
    </cfRule>
    <cfRule type="expression" dxfId="9728" priority="84">
      <formula>$B21 = "High-Risk Contact"</formula>
    </cfRule>
    <cfRule type="expression" dxfId="9727" priority="85">
      <formula>$B21 = "Confirmed"</formula>
    </cfRule>
  </conditionalFormatting>
  <conditionalFormatting sqref="AP7:AP10">
    <cfRule type="expression" dxfId="9726" priority="80">
      <formula>$B7 = "Probable"</formula>
    </cfRule>
    <cfRule type="expression" dxfId="9725" priority="81">
      <formula>$B7 = "High-Risk Contact"</formula>
    </cfRule>
    <cfRule type="expression" dxfId="9724" priority="82">
      <formula>$B7 = "Confirmed"</formula>
    </cfRule>
  </conditionalFormatting>
  <conditionalFormatting sqref="AP6">
    <cfRule type="expression" dxfId="9723" priority="77">
      <formula>$B6 = "Probable"</formula>
    </cfRule>
    <cfRule type="expression" dxfId="9722" priority="78">
      <formula>$B6 = "High-Risk Contact"</formula>
    </cfRule>
    <cfRule type="expression" dxfId="9721" priority="79">
      <formula>$B6 = "Confirmed"</formula>
    </cfRule>
  </conditionalFormatting>
  <conditionalFormatting sqref="AQ12:AQ16">
    <cfRule type="expression" dxfId="9720" priority="110">
      <formula>$B12 = "Probable"</formula>
    </cfRule>
    <cfRule type="expression" dxfId="9719" priority="111">
      <formula>$B12 = "High-Risk Contact"</formula>
    </cfRule>
    <cfRule type="expression" dxfId="9718" priority="112">
      <formula>$B12 = "Confirmed"</formula>
    </cfRule>
  </conditionalFormatting>
  <conditionalFormatting sqref="R18">
    <cfRule type="expression" dxfId="9717" priority="104">
      <formula>$B18 = "Probable"</formula>
    </cfRule>
    <cfRule type="expression" dxfId="9716" priority="105">
      <formula>$B18 = "High-Risk Contact"</formula>
    </cfRule>
    <cfRule type="expression" dxfId="9715" priority="106">
      <formula>$B18 = "Confirmed"</formula>
    </cfRule>
  </conditionalFormatting>
  <conditionalFormatting sqref="R19">
    <cfRule type="expression" dxfId="9714" priority="101">
      <formula>$B19 = "Probable"</formula>
    </cfRule>
    <cfRule type="expression" dxfId="9713" priority="102">
      <formula>$B19 = "High-Risk Contact"</formula>
    </cfRule>
    <cfRule type="expression" dxfId="9712" priority="103">
      <formula>$B19 = "Confirmed"</formula>
    </cfRule>
  </conditionalFormatting>
  <conditionalFormatting sqref="AO18">
    <cfRule type="expression" dxfId="9711" priority="98">
      <formula>$B18 = "Probable"</formula>
    </cfRule>
    <cfRule type="expression" dxfId="9710" priority="99">
      <formula>$B18 = "High-Risk Contact"</formula>
    </cfRule>
    <cfRule type="expression" dxfId="9709" priority="100">
      <formula>$B18 = "Confirmed"</formula>
    </cfRule>
  </conditionalFormatting>
  <conditionalFormatting sqref="AO19">
    <cfRule type="expression" dxfId="9708" priority="95">
      <formula>$B19 = "Probable"</formula>
    </cfRule>
    <cfRule type="expression" dxfId="9707" priority="96">
      <formula>$B19 = "High-Risk Contact"</formula>
    </cfRule>
    <cfRule type="expression" dxfId="9706" priority="97">
      <formula>$B19 = "Confirmed"</formula>
    </cfRule>
  </conditionalFormatting>
  <conditionalFormatting sqref="BE22:BE25">
    <cfRule type="expression" dxfId="9705" priority="44">
      <formula>$B22 = "Probable"</formula>
    </cfRule>
    <cfRule type="expression" dxfId="9704" priority="45">
      <formula>$B22 = "High-Risk Contact"</formula>
    </cfRule>
    <cfRule type="expression" dxfId="9703" priority="46">
      <formula>$B22 = "Confirmed"</formula>
    </cfRule>
  </conditionalFormatting>
  <conditionalFormatting sqref="BE26:BE30">
    <cfRule type="expression" dxfId="9702" priority="41">
      <formula>$B26 = "Probable"</formula>
    </cfRule>
    <cfRule type="expression" dxfId="9701" priority="42">
      <formula>$B26 = "High-Risk Contact"</formula>
    </cfRule>
    <cfRule type="expression" dxfId="9700" priority="43">
      <formula>$B26 = "Confirmed"</formula>
    </cfRule>
  </conditionalFormatting>
  <conditionalFormatting sqref="BE31:BE34">
    <cfRule type="expression" dxfId="9699" priority="38">
      <formula>$B31 = "Probable"</formula>
    </cfRule>
    <cfRule type="expression" dxfId="9698" priority="39">
      <formula>$B31 = "High-Risk Contact"</formula>
    </cfRule>
    <cfRule type="expression" dxfId="9697" priority="40">
      <formula>$B31 = "Confirmed"</formula>
    </cfRule>
  </conditionalFormatting>
  <conditionalFormatting sqref="BE35:BE39">
    <cfRule type="expression" dxfId="9696" priority="35">
      <formula>$B35 = "Probable"</formula>
    </cfRule>
    <cfRule type="expression" dxfId="9695" priority="36">
      <formula>$B35 = "High-Risk Contact"</formula>
    </cfRule>
    <cfRule type="expression" dxfId="9694" priority="37">
      <formula>$B35 = "Confirmed"</formula>
    </cfRule>
  </conditionalFormatting>
  <conditionalFormatting sqref="AP12:AP15 AP17:AP20 AP22:AP25 AP27:AP30 AP32:AP35">
    <cfRule type="expression" dxfId="9693" priority="32">
      <formula>$B12 = "Probable"</formula>
    </cfRule>
    <cfRule type="expression" dxfId="9692" priority="33">
      <formula>$B12 = "High-Risk Contact"</formula>
    </cfRule>
    <cfRule type="expression" dxfId="9691" priority="34">
      <formula>$B12 = "Confirmed"</formula>
    </cfRule>
  </conditionalFormatting>
  <conditionalFormatting sqref="AP11 AP16 AP21 AP26 AP31">
    <cfRule type="expression" dxfId="9690" priority="29">
      <formula>$B11 = "Probable"</formula>
    </cfRule>
    <cfRule type="expression" dxfId="9689" priority="30">
      <formula>$B11 = "High-Risk Contact"</formula>
    </cfRule>
    <cfRule type="expression" dxfId="9688" priority="31">
      <formula>$B11 = "Confirmed"</formula>
    </cfRule>
  </conditionalFormatting>
  <conditionalFormatting sqref="AQ17:AQ21">
    <cfRule type="expression" dxfId="9687" priority="26">
      <formula>$B17 = "Probable"</formula>
    </cfRule>
    <cfRule type="expression" dxfId="9686" priority="27">
      <formula>$B17 = "High-Risk Contact"</formula>
    </cfRule>
    <cfRule type="expression" dxfId="9685" priority="28">
      <formula>$B17 = "Confirmed"</formula>
    </cfRule>
  </conditionalFormatting>
  <conditionalFormatting sqref="AQ22">
    <cfRule type="expression" dxfId="9684" priority="23">
      <formula>$B22 = "Probable"</formula>
    </cfRule>
    <cfRule type="expression" dxfId="9683" priority="24">
      <formula>$B22 = "High-Risk Contact"</formula>
    </cfRule>
    <cfRule type="expression" dxfId="9682" priority="25">
      <formula>$B22 = "Confirmed"</formula>
    </cfRule>
  </conditionalFormatting>
  <conditionalFormatting sqref="AQ23:AQ27">
    <cfRule type="expression" dxfId="9681" priority="20">
      <formula>$B23 = "Probable"</formula>
    </cfRule>
    <cfRule type="expression" dxfId="9680" priority="21">
      <formula>$B23 = "High-Risk Contact"</formula>
    </cfRule>
    <cfRule type="expression" dxfId="9679" priority="22">
      <formula>$B23 = "Confirmed"</formula>
    </cfRule>
  </conditionalFormatting>
  <conditionalFormatting sqref="AQ28:AQ32">
    <cfRule type="expression" dxfId="9678" priority="17">
      <formula>$B28 = "Probable"</formula>
    </cfRule>
    <cfRule type="expression" dxfId="9677" priority="18">
      <formula>$B28 = "High-Risk Contact"</formula>
    </cfRule>
    <cfRule type="expression" dxfId="9676" priority="19">
      <formula>$B28 = "Confirmed"</formula>
    </cfRule>
  </conditionalFormatting>
  <conditionalFormatting sqref="AQ33">
    <cfRule type="expression" dxfId="9675" priority="14">
      <formula>$B33 = "Probable"</formula>
    </cfRule>
    <cfRule type="expression" dxfId="9674" priority="15">
      <formula>$B33 = "High-Risk Contact"</formula>
    </cfRule>
    <cfRule type="expression" dxfId="9673" priority="16">
      <formula>$B33 = "Confirmed"</formula>
    </cfRule>
  </conditionalFormatting>
  <conditionalFormatting sqref="AQ34:AQ38">
    <cfRule type="expression" dxfId="9672" priority="11">
      <formula>$B34 = "Probable"</formula>
    </cfRule>
    <cfRule type="expression" dxfId="9671" priority="12">
      <formula>$B34 = "High-Risk Contact"</formula>
    </cfRule>
    <cfRule type="expression" dxfId="9670" priority="13">
      <formula>$B34 = "Confirmed"</formula>
    </cfRule>
  </conditionalFormatting>
  <conditionalFormatting sqref="R34">
    <cfRule type="expression" dxfId="9669" priority="8">
      <formula>$B34 = "Probable"</formula>
    </cfRule>
    <cfRule type="expression" dxfId="9668" priority="9">
      <formula>$B34 = "High-Risk Contact"</formula>
    </cfRule>
    <cfRule type="expression" dxfId="9667" priority="10">
      <formula>$B34 = "Confirmed"</formula>
    </cfRule>
  </conditionalFormatting>
  <conditionalFormatting sqref="R14:R15">
    <cfRule type="expression" dxfId="9666" priority="5">
      <formula>$B14 = "Probable"</formula>
    </cfRule>
    <cfRule type="expression" dxfId="9665" priority="6">
      <formula>$B14 = "High-Risk Contact"</formula>
    </cfRule>
    <cfRule type="expression" dxfId="9664" priority="7">
      <formula>$B14 = "Confirmed"</formula>
    </cfRule>
  </conditionalFormatting>
  <conditionalFormatting sqref="R16">
    <cfRule type="expression" dxfId="9663" priority="2">
      <formula>$B16 = "Probable"</formula>
    </cfRule>
    <cfRule type="expression" dxfId="9662" priority="3">
      <formula>$B16 = "High-Risk Contact"</formula>
    </cfRule>
    <cfRule type="expression" dxfId="9661" priority="4">
      <formula>$B16 = "Confirmed"</formula>
    </cfRule>
  </conditionalFormatting>
  <conditionalFormatting sqref="A6:BN200">
    <cfRule type="expression" dxfId="9660" priority="1">
      <formula>$B6="Close Contact"</formula>
    </cfRule>
  </conditionalFormatting>
  <dataValidations count="1">
    <dataValidation type="list" allowBlank="1" showInputMessage="1" showErrorMessage="1" sqref="BF6:BH200" xr:uid="{00000000-0002-0000-0100-000000000000}">
      <formula1>"Yes,No"</formula1>
    </dataValidation>
  </dataValidations>
  <pageMargins left="9.8425196850393706E-2" right="9.8425196850393706E-2" top="9.8425196850393706E-2" bottom="9.8425196850393706E-2" header="0" footer="0"/>
  <pageSetup scale="19" fitToHeight="0" orientation="landscape" r:id="rId1"/>
  <drawing r:id="rId2"/>
  <legacyDrawing r:id="rId3"/>
  <controls>
    <mc:AlternateContent xmlns:mc="http://schemas.openxmlformats.org/markup-compatibility/2006">
      <mc:Choice Requires="x14">
        <control shapeId="1175" r:id="rId4" name="ToggleButton1">
          <controlPr defaultSize="0" autoLine="0" r:id="rId5">
            <anchor moveWithCells="1">
              <from>
                <xdr:col>0</xdr:col>
                <xdr:colOff>180975</xdr:colOff>
                <xdr:row>2</xdr:row>
                <xdr:rowOff>28575</xdr:rowOff>
              </from>
              <to>
                <xdr:col>0</xdr:col>
                <xdr:colOff>1333500</xdr:colOff>
                <xdr:row>3</xdr:row>
                <xdr:rowOff>333375</xdr:rowOff>
              </to>
            </anchor>
          </controlPr>
        </control>
      </mc:Choice>
      <mc:Fallback>
        <control shapeId="1175" r:id="rId4" name="ToggleButton1"/>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0100-000001000000}">
          <x14:formula1>
            <xm:f>'Data Validation'!$H$2:$H$10</xm:f>
          </x14:formula1>
          <xm:sqref>AO6:AO203</xm:sqref>
        </x14:dataValidation>
        <x14:dataValidation type="list" allowBlank="1" showInputMessage="1" showErrorMessage="1" xr:uid="{00000000-0002-0000-0100-000002000000}">
          <x14:formula1>
            <xm:f>'Data Validation'!$U$2:$U$6</xm:f>
          </x14:formula1>
          <xm:sqref>AP6:AP200</xm:sqref>
        </x14:dataValidation>
        <x14:dataValidation type="list" allowBlank="1" showInputMessage="1" showErrorMessage="1" xr:uid="{00000000-0002-0000-0100-000003000000}">
          <x14:formula1>
            <xm:f>'Data Validation'!$V$2:$V$12</xm:f>
          </x14:formula1>
          <xm:sqref>AQ6:AQ200</xm:sqref>
        </x14:dataValidation>
        <x14:dataValidation type="list" allowBlank="1" showInputMessage="1" showErrorMessage="1" xr:uid="{00000000-0002-0000-0100-000004000000}">
          <x14:formula1>
            <xm:f>'Data Validation'!$Y$2:$Y$8</xm:f>
          </x14:formula1>
          <xm:sqref>AS6:AS207</xm:sqref>
        </x14:dataValidation>
        <x14:dataValidation type="list" allowBlank="1" showInputMessage="1" showErrorMessage="1" xr:uid="{00000000-0002-0000-0100-000005000000}">
          <x14:formula1>
            <xm:f>'Data Validation'!$X$2:$X$3</xm:f>
          </x14:formula1>
          <xm:sqref>AV6:AV200</xm:sqref>
        </x14:dataValidation>
        <x14:dataValidation type="list" allowBlank="1" showInputMessage="1" showErrorMessage="1" xr:uid="{00000000-0002-0000-0100-000006000000}">
          <x14:formula1>
            <xm:f>'Data Validation'!$D$2:$D$5</xm:f>
          </x14:formula1>
          <xm:sqref>BB6:BB200</xm:sqref>
        </x14:dataValidation>
        <x14:dataValidation type="list" allowBlank="1" showInputMessage="1" showErrorMessage="1" xr:uid="{00000000-0002-0000-0100-000007000000}">
          <x14:formula1>
            <xm:f>'Data Validation'!$E$2:$E$5</xm:f>
          </x14:formula1>
          <xm:sqref>BD6:BD200</xm:sqref>
        </x14:dataValidation>
        <x14:dataValidation type="list" allowBlank="1" showInputMessage="1" showErrorMessage="1" xr:uid="{00000000-0002-0000-0100-000008000000}">
          <x14:formula1>
            <xm:f>'Data Validation'!$W$2:$W$3</xm:f>
          </x14:formula1>
          <xm:sqref>A6:A200</xm:sqref>
        </x14:dataValidation>
        <x14:dataValidation type="list" allowBlank="1" showInputMessage="1" showErrorMessage="1" xr:uid="{00000000-0002-0000-0100-000009000000}">
          <x14:formula1>
            <xm:f>'Data Validation'!$C$2:$C$3</xm:f>
          </x14:formula1>
          <xm:sqref>G6:G200</xm:sqref>
        </x14:dataValidation>
        <x14:dataValidation type="list" allowBlank="1" showInputMessage="1" showErrorMessage="1" xr:uid="{00000000-0002-0000-0100-00000A000000}">
          <x14:formula1>
            <xm:f>'Data Validation'!$A$2:$A$6</xm:f>
          </x14:formula1>
          <xm:sqref>K6:K200</xm:sqref>
        </x14:dataValidation>
        <x14:dataValidation type="list" allowBlank="1" showInputMessage="1" showErrorMessage="1" xr:uid="{00000000-0002-0000-0100-00000B000000}">
          <x14:formula1>
            <xm:f>'Data Validation'!$O$2:$O$5</xm:f>
          </x14:formula1>
          <xm:sqref>AX6:AX200</xm:sqref>
        </x14:dataValidation>
        <x14:dataValidation type="list" allowBlank="1" showInputMessage="1" showErrorMessage="1" xr:uid="{00000000-0002-0000-0100-00000C000000}">
          <x14:formula1>
            <xm:f>'Data Validation'!$R$2:$R$33</xm:f>
          </x14:formula1>
          <xm:sqref>BE6:BE201</xm:sqref>
        </x14:dataValidation>
        <x14:dataValidation type="list" allowBlank="1" showInputMessage="1" showErrorMessage="1" xr:uid="{00000000-0002-0000-0100-00000D000000}">
          <x14:formula1>
            <xm:f>'Data Validation'!$B$2:$B$6</xm:f>
          </x14:formula1>
          <xm:sqref>B6:B200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Y33"/>
  <sheetViews>
    <sheetView workbookViewId="0">
      <selection activeCell="C4" sqref="C4"/>
    </sheetView>
  </sheetViews>
  <sheetFormatPr defaultColWidth="8.88671875" defaultRowHeight="15" x14ac:dyDescent="0.2"/>
  <cols>
    <col min="1" max="1" width="10.88671875" style="1" bestFit="1" customWidth="1"/>
    <col min="2" max="2" width="12.109375" style="1" customWidth="1"/>
    <col min="3" max="3" width="10.5546875" style="1" customWidth="1"/>
    <col min="4" max="5" width="8.88671875" style="1"/>
    <col min="6" max="6" width="11.6640625" style="1" customWidth="1"/>
    <col min="7" max="7" width="13.44140625" style="1" customWidth="1"/>
    <col min="8" max="8" width="11" style="1" bestFit="1" customWidth="1"/>
    <col min="9" max="9" width="6.6640625" style="1" customWidth="1"/>
    <col min="10" max="10" width="11.88671875" style="1" customWidth="1"/>
    <col min="11" max="11" width="13.21875" style="1" customWidth="1"/>
    <col min="12" max="14" width="8.88671875" style="1"/>
    <col min="15" max="15" width="15.5546875" style="1" customWidth="1"/>
    <col min="16" max="16" width="21.6640625" style="150" customWidth="1"/>
    <col min="17" max="17" width="10.5546875" style="1" customWidth="1"/>
    <col min="18" max="18" width="38.5546875" style="1" customWidth="1"/>
    <col min="19" max="19" width="10.88671875" style="1" customWidth="1"/>
    <col min="20" max="20" width="15.5546875" customWidth="1"/>
    <col min="21" max="21" width="7.6640625" customWidth="1"/>
    <col min="22" max="22" width="17.5546875" customWidth="1"/>
    <col min="23" max="23" width="12.6640625" customWidth="1"/>
    <col min="24" max="24" width="10" customWidth="1"/>
    <col min="25" max="25" width="12.5546875" customWidth="1"/>
  </cols>
  <sheetData>
    <row r="1" spans="1:25" ht="79.5" thickBot="1" x14ac:dyDescent="0.3">
      <c r="A1" s="149" t="s">
        <v>3</v>
      </c>
      <c r="B1" s="149" t="s">
        <v>14</v>
      </c>
      <c r="C1" s="149" t="s">
        <v>564</v>
      </c>
      <c r="D1" s="149" t="s">
        <v>13</v>
      </c>
      <c r="E1" s="149" t="s">
        <v>20</v>
      </c>
      <c r="F1" s="149" t="s">
        <v>75</v>
      </c>
      <c r="G1" s="149" t="s">
        <v>29</v>
      </c>
      <c r="H1" s="149" t="s">
        <v>281</v>
      </c>
      <c r="I1" s="149" t="s">
        <v>284</v>
      </c>
      <c r="J1" s="149" t="s">
        <v>62</v>
      </c>
      <c r="K1" s="149" t="s">
        <v>71</v>
      </c>
      <c r="L1" s="149" t="s">
        <v>82</v>
      </c>
      <c r="M1" s="149" t="s">
        <v>85</v>
      </c>
      <c r="N1" s="149" t="s">
        <v>96</v>
      </c>
      <c r="O1" s="149" t="s">
        <v>108</v>
      </c>
      <c r="P1" s="151" t="s">
        <v>140</v>
      </c>
      <c r="Q1" s="149" t="s">
        <v>184</v>
      </c>
      <c r="R1" s="149" t="s">
        <v>431</v>
      </c>
      <c r="S1" s="215" t="s">
        <v>455</v>
      </c>
      <c r="T1" s="149" t="s">
        <v>264</v>
      </c>
      <c r="U1" s="149" t="s">
        <v>400</v>
      </c>
      <c r="V1" s="149" t="s">
        <v>401</v>
      </c>
      <c r="W1" s="149" t="s">
        <v>317</v>
      </c>
      <c r="X1" s="149" t="s">
        <v>439</v>
      </c>
      <c r="Y1" s="149" t="s">
        <v>423</v>
      </c>
    </row>
    <row r="2" spans="1:25" ht="31.5" thickBot="1" x14ac:dyDescent="0.3">
      <c r="A2" s="1" t="s">
        <v>4</v>
      </c>
      <c r="B2" s="1" t="s">
        <v>9</v>
      </c>
      <c r="C2" s="1" t="s">
        <v>49</v>
      </c>
      <c r="D2" s="1" t="s">
        <v>23</v>
      </c>
      <c r="E2" s="1" t="s">
        <v>53</v>
      </c>
      <c r="F2" s="1" t="s">
        <v>24</v>
      </c>
      <c r="G2" s="1" t="s">
        <v>30</v>
      </c>
      <c r="H2" s="22" t="s">
        <v>274</v>
      </c>
      <c r="I2" s="22" t="s">
        <v>278</v>
      </c>
      <c r="J2" s="1" t="s">
        <v>81</v>
      </c>
      <c r="K2" s="1" t="s">
        <v>72</v>
      </c>
      <c r="M2" s="1" t="s">
        <v>86</v>
      </c>
      <c r="N2" s="1" t="s">
        <v>97</v>
      </c>
      <c r="O2" s="1" t="s">
        <v>109</v>
      </c>
      <c r="P2" s="150" t="s">
        <v>155</v>
      </c>
      <c r="Q2" s="1" t="s">
        <v>185</v>
      </c>
      <c r="R2" s="213" t="s">
        <v>484</v>
      </c>
      <c r="S2" s="213" t="s">
        <v>9</v>
      </c>
      <c r="T2" t="s">
        <v>266</v>
      </c>
      <c r="U2" t="str">
        <f>IF(NOT(ISBLANK('Cover Sheet'!$Y4)), 'Cover Sheet'!$Y4, "N/A")</f>
        <v>Shift 1</v>
      </c>
      <c r="V2" t="str">
        <f>IF(NOT(ISBLANK('Cover Sheet'!X4)), 'Cover Sheet'!X4, "N/A")</f>
        <v>Functional Area 1</v>
      </c>
      <c r="W2" s="1" t="s">
        <v>322</v>
      </c>
      <c r="X2" s="1" t="s">
        <v>426</v>
      </c>
      <c r="Y2" s="1" t="s">
        <v>461</v>
      </c>
    </row>
    <row r="3" spans="1:25" ht="31.35" customHeight="1" thickBot="1" x14ac:dyDescent="0.3">
      <c r="A3" s="1" t="s">
        <v>5</v>
      </c>
      <c r="B3" s="1" t="s">
        <v>10</v>
      </c>
      <c r="C3" s="1" t="s">
        <v>561</v>
      </c>
      <c r="D3" s="1" t="s">
        <v>24</v>
      </c>
      <c r="E3" s="1" t="s">
        <v>21</v>
      </c>
      <c r="F3" s="1" t="s">
        <v>23</v>
      </c>
      <c r="G3" s="1" t="s">
        <v>31</v>
      </c>
      <c r="H3" s="22" t="s">
        <v>275</v>
      </c>
      <c r="I3" s="22" t="s">
        <v>278</v>
      </c>
      <c r="J3" s="1" t="s">
        <v>80</v>
      </c>
      <c r="K3" s="1" t="s">
        <v>73</v>
      </c>
      <c r="M3" s="1" t="s">
        <v>87</v>
      </c>
      <c r="N3" s="1" t="s">
        <v>98</v>
      </c>
      <c r="O3" s="1" t="s">
        <v>110</v>
      </c>
      <c r="P3" s="150" t="s">
        <v>141</v>
      </c>
      <c r="Q3" s="1" t="s">
        <v>186</v>
      </c>
      <c r="R3" s="213" t="s">
        <v>501</v>
      </c>
      <c r="S3" s="213" t="s">
        <v>9</v>
      </c>
      <c r="T3" t="s">
        <v>265</v>
      </c>
      <c r="U3" t="str">
        <f>IF(NOT(ISBLANK('Cover Sheet'!$Y5)), 'Cover Sheet'!$Y5, "N/A")</f>
        <v>Shift 2</v>
      </c>
      <c r="V3" t="str">
        <f>IF(NOT(ISBLANK('Cover Sheet'!X5)), 'Cover Sheet'!X5, "N/A")</f>
        <v>Functional Area 2</v>
      </c>
      <c r="W3" s="1" t="s">
        <v>323</v>
      </c>
      <c r="X3" s="1" t="s">
        <v>69</v>
      </c>
      <c r="Y3" s="1" t="s">
        <v>462</v>
      </c>
    </row>
    <row r="4" spans="1:25" ht="32.25" thickBot="1" x14ac:dyDescent="0.3">
      <c r="A4" s="1" t="s">
        <v>6</v>
      </c>
      <c r="B4" s="1" t="s">
        <v>561</v>
      </c>
      <c r="D4" s="1" t="s">
        <v>19</v>
      </c>
      <c r="E4" s="1" t="s">
        <v>22</v>
      </c>
      <c r="F4" s="1" t="s">
        <v>12</v>
      </c>
      <c r="G4" s="1" t="s">
        <v>32</v>
      </c>
      <c r="H4" s="22" t="s">
        <v>493</v>
      </c>
      <c r="I4" s="22" t="s">
        <v>278</v>
      </c>
      <c r="J4" s="1" t="s">
        <v>69</v>
      </c>
      <c r="K4" s="1" t="s">
        <v>74</v>
      </c>
      <c r="M4" s="1" t="s">
        <v>99</v>
      </c>
      <c r="N4" s="1" t="s">
        <v>99</v>
      </c>
      <c r="O4" s="1" t="s">
        <v>111</v>
      </c>
      <c r="P4" s="150" t="s">
        <v>142</v>
      </c>
      <c r="Q4" s="1" t="s">
        <v>187</v>
      </c>
      <c r="R4" s="213" t="s">
        <v>502</v>
      </c>
      <c r="S4" s="213" t="s">
        <v>9</v>
      </c>
      <c r="T4" t="s">
        <v>267</v>
      </c>
      <c r="U4" t="str">
        <f>IF(NOT(ISBLANK('Cover Sheet'!$Y6)), 'Cover Sheet'!$Y6, "N/A")</f>
        <v>Shift 3</v>
      </c>
      <c r="V4" t="str">
        <f>IF(NOT(ISBLANK('Cover Sheet'!X6)), 'Cover Sheet'!X6, "N/A")</f>
        <v>Functional Area 3</v>
      </c>
      <c r="W4" s="1"/>
      <c r="X4" s="1"/>
      <c r="Y4" s="1" t="s">
        <v>463</v>
      </c>
    </row>
    <row r="5" spans="1:25" ht="31.35" customHeight="1" thickBot="1" x14ac:dyDescent="0.3">
      <c r="A5" s="1" t="s">
        <v>7</v>
      </c>
      <c r="B5" s="1" t="s">
        <v>45</v>
      </c>
      <c r="D5" s="1" t="s">
        <v>496</v>
      </c>
      <c r="E5" s="1" t="s">
        <v>44</v>
      </c>
      <c r="F5" s="1" t="s">
        <v>76</v>
      </c>
      <c r="G5" s="1" t="s">
        <v>33</v>
      </c>
      <c r="H5" s="22" t="s">
        <v>41</v>
      </c>
      <c r="I5" s="22" t="s">
        <v>278</v>
      </c>
      <c r="J5" s="1" t="s">
        <v>79</v>
      </c>
      <c r="O5" s="1" t="s">
        <v>99</v>
      </c>
      <c r="P5" s="150" t="s">
        <v>143</v>
      </c>
      <c r="R5" s="213" t="s">
        <v>503</v>
      </c>
      <c r="S5" s="213" t="s">
        <v>9</v>
      </c>
      <c r="T5" t="s">
        <v>8</v>
      </c>
      <c r="U5" t="str">
        <f>IF(NOT(ISBLANK('Cover Sheet'!$Y7)), 'Cover Sheet'!$Y7, "N/A")</f>
        <v>Shift 4</v>
      </c>
      <c r="V5" t="str">
        <f>IF(NOT(ISBLANK('Cover Sheet'!X7)), 'Cover Sheet'!X7, "N/A")</f>
        <v>Functional Area 4</v>
      </c>
      <c r="Y5" s="1" t="s">
        <v>464</v>
      </c>
    </row>
    <row r="6" spans="1:25" ht="33.6" customHeight="1" thickBot="1" x14ac:dyDescent="0.3">
      <c r="A6" s="1" t="s">
        <v>8</v>
      </c>
      <c r="B6" s="1" t="s">
        <v>12</v>
      </c>
      <c r="F6" s="1" t="s">
        <v>77</v>
      </c>
      <c r="G6" s="1" t="s">
        <v>91</v>
      </c>
      <c r="H6" s="22" t="s">
        <v>40</v>
      </c>
      <c r="I6" s="22" t="s">
        <v>279</v>
      </c>
      <c r="J6" s="1" t="s">
        <v>65</v>
      </c>
      <c r="P6" s="150" t="s">
        <v>144</v>
      </c>
      <c r="R6" s="1" t="s">
        <v>513</v>
      </c>
      <c r="S6" s="213" t="s">
        <v>9</v>
      </c>
      <c r="T6" t="s">
        <v>24</v>
      </c>
      <c r="U6" t="str">
        <f>IF(NOT(ISBLANK('Cover Sheet'!$Y8)), 'Cover Sheet'!$Y8, "N/A")</f>
        <v>Shift 5</v>
      </c>
      <c r="V6" t="str">
        <f>IF(NOT(ISBLANK('Cover Sheet'!X8)), 'Cover Sheet'!X8, "N/A")</f>
        <v>Functional Area 5</v>
      </c>
      <c r="Y6" s="1" t="s">
        <v>457</v>
      </c>
    </row>
    <row r="7" spans="1:25" ht="33.6" customHeight="1" thickBot="1" x14ac:dyDescent="0.3">
      <c r="F7" s="1" t="s">
        <v>270</v>
      </c>
      <c r="H7" s="22" t="s">
        <v>42</v>
      </c>
      <c r="I7" s="22" t="s">
        <v>278</v>
      </c>
      <c r="J7" s="1" t="s">
        <v>64</v>
      </c>
      <c r="P7" s="150" t="s">
        <v>145</v>
      </c>
      <c r="R7" s="291" t="s">
        <v>514</v>
      </c>
      <c r="S7" s="213" t="s">
        <v>9</v>
      </c>
      <c r="T7" t="s">
        <v>268</v>
      </c>
      <c r="V7" t="str">
        <f>IF(NOT(ISBLANK('Cover Sheet'!X9)), 'Cover Sheet'!X9, "N/A")</f>
        <v>Functional Area 6</v>
      </c>
      <c r="Y7" s="1" t="s">
        <v>500</v>
      </c>
    </row>
    <row r="8" spans="1:25" ht="16.5" thickBot="1" x14ac:dyDescent="0.3">
      <c r="F8" s="1" t="s">
        <v>271</v>
      </c>
      <c r="H8" s="22" t="s">
        <v>277</v>
      </c>
      <c r="I8" s="22" t="s">
        <v>278</v>
      </c>
      <c r="J8" s="1" t="s">
        <v>66</v>
      </c>
      <c r="P8" s="150" t="s">
        <v>146</v>
      </c>
      <c r="R8" s="291" t="s">
        <v>515</v>
      </c>
      <c r="S8" s="213" t="s">
        <v>9</v>
      </c>
      <c r="T8" t="s">
        <v>269</v>
      </c>
      <c r="V8" t="str">
        <f>IF(NOT(ISBLANK('Cover Sheet'!X10)), 'Cover Sheet'!X10, "N/A")</f>
        <v>Functional Area 7</v>
      </c>
      <c r="Y8" s="1" t="s">
        <v>424</v>
      </c>
    </row>
    <row r="9" spans="1:25" ht="16.5" thickBot="1" x14ac:dyDescent="0.3">
      <c r="F9" s="1" t="s">
        <v>9</v>
      </c>
      <c r="H9" s="22" t="s">
        <v>276</v>
      </c>
      <c r="I9" s="22" t="s">
        <v>279</v>
      </c>
      <c r="J9" s="1" t="s">
        <v>63</v>
      </c>
      <c r="P9" s="150" t="s">
        <v>147</v>
      </c>
      <c r="R9" s="291" t="s">
        <v>516</v>
      </c>
      <c r="S9" s="213" t="s">
        <v>9</v>
      </c>
      <c r="V9" t="str">
        <f>IF(NOT(ISBLANK('Cover Sheet'!X11)), 'Cover Sheet'!X11, "N/A")</f>
        <v>Functional Area 8</v>
      </c>
    </row>
    <row r="10" spans="1:25" ht="22.35" customHeight="1" thickBot="1" x14ac:dyDescent="0.3">
      <c r="F10" s="1" t="s">
        <v>272</v>
      </c>
      <c r="H10" s="22" t="s">
        <v>70</v>
      </c>
      <c r="I10" s="22" t="s">
        <v>278</v>
      </c>
      <c r="J10" s="1" t="s">
        <v>67</v>
      </c>
      <c r="P10" s="150" t="s">
        <v>148</v>
      </c>
      <c r="R10" s="291" t="s">
        <v>517</v>
      </c>
      <c r="S10" s="213" t="s">
        <v>9</v>
      </c>
      <c r="V10" t="str">
        <f>IF(NOT(ISBLANK('Cover Sheet'!X12)), 'Cover Sheet'!X12, "N/A")</f>
        <v>Functional Area 9</v>
      </c>
    </row>
    <row r="11" spans="1:25" ht="15.75" thickBot="1" x14ac:dyDescent="0.25">
      <c r="J11" s="1" t="s">
        <v>78</v>
      </c>
      <c r="P11" s="150" t="s">
        <v>149</v>
      </c>
      <c r="R11" t="s">
        <v>518</v>
      </c>
      <c r="S11" s="213" t="s">
        <v>9</v>
      </c>
      <c r="V11" t="str">
        <f>IF(NOT(ISBLANK('Cover Sheet'!X13)), 'Cover Sheet'!X13, "N/A")</f>
        <v>Functional Area 10</v>
      </c>
    </row>
    <row r="12" spans="1:25" ht="15.75" thickBot="1" x14ac:dyDescent="0.25">
      <c r="J12" s="1" t="s">
        <v>68</v>
      </c>
      <c r="P12" s="150" t="s">
        <v>156</v>
      </c>
      <c r="R12" s="1" t="s">
        <v>556</v>
      </c>
      <c r="S12" s="213" t="s">
        <v>9</v>
      </c>
    </row>
    <row r="13" spans="1:25" ht="15.75" thickBot="1" x14ac:dyDescent="0.25">
      <c r="J13" s="1" t="s">
        <v>70</v>
      </c>
      <c r="P13" s="150" t="s">
        <v>150</v>
      </c>
      <c r="R13" s="1" t="s">
        <v>557</v>
      </c>
      <c r="S13" s="213" t="s">
        <v>9</v>
      </c>
    </row>
    <row r="14" spans="1:25" ht="15.75" thickBot="1" x14ac:dyDescent="0.25">
      <c r="P14" s="150" t="s">
        <v>151</v>
      </c>
      <c r="R14" s="1" t="s">
        <v>558</v>
      </c>
      <c r="S14" s="213" t="s">
        <v>9</v>
      </c>
    </row>
    <row r="15" spans="1:25" ht="15.75" thickBot="1" x14ac:dyDescent="0.25">
      <c r="P15" s="150" t="s">
        <v>152</v>
      </c>
      <c r="R15" s="213" t="s">
        <v>440</v>
      </c>
      <c r="S15" s="213" t="s">
        <v>9</v>
      </c>
    </row>
    <row r="16" spans="1:25" ht="30.75" thickBot="1" x14ac:dyDescent="0.25">
      <c r="P16" s="150" t="s">
        <v>153</v>
      </c>
      <c r="R16" s="213" t="s">
        <v>441</v>
      </c>
      <c r="S16" s="213" t="s">
        <v>9</v>
      </c>
    </row>
    <row r="17" spans="16:19" ht="15.75" thickBot="1" x14ac:dyDescent="0.25">
      <c r="P17" s="150" t="s">
        <v>154</v>
      </c>
      <c r="R17" s="213" t="s">
        <v>442</v>
      </c>
      <c r="S17" s="213" t="s">
        <v>9</v>
      </c>
    </row>
    <row r="18" spans="16:19" ht="15.95" thickBot="1" x14ac:dyDescent="0.4">
      <c r="P18" s="150" t="s">
        <v>373</v>
      </c>
      <c r="R18" s="213" t="s">
        <v>443</v>
      </c>
      <c r="S18" s="213" t="s">
        <v>9</v>
      </c>
    </row>
    <row r="19" spans="16:19" ht="15.95" thickBot="1" x14ac:dyDescent="0.4">
      <c r="P19" s="150" t="s">
        <v>374</v>
      </c>
      <c r="R19" s="213" t="s">
        <v>330</v>
      </c>
      <c r="S19" s="213" t="s">
        <v>9</v>
      </c>
    </row>
    <row r="20" spans="16:19" ht="31.5" thickBot="1" x14ac:dyDescent="0.4">
      <c r="P20" s="150" t="s">
        <v>375</v>
      </c>
      <c r="R20" s="213" t="s">
        <v>450</v>
      </c>
      <c r="S20" s="213" t="s">
        <v>9</v>
      </c>
    </row>
    <row r="21" spans="16:19" ht="15.95" thickBot="1" x14ac:dyDescent="0.4">
      <c r="P21" s="150" t="s">
        <v>376</v>
      </c>
      <c r="R21" s="213" t="s">
        <v>451</v>
      </c>
      <c r="S21" s="213" t="s">
        <v>9</v>
      </c>
    </row>
    <row r="22" spans="16:19" ht="15.95" thickBot="1" x14ac:dyDescent="0.4">
      <c r="P22" s="150" t="s">
        <v>377</v>
      </c>
      <c r="R22" s="213" t="s">
        <v>452</v>
      </c>
      <c r="S22" s="213" t="s">
        <v>9</v>
      </c>
    </row>
    <row r="23" spans="16:19" ht="15.95" thickBot="1" x14ac:dyDescent="0.4">
      <c r="P23" s="150" t="s">
        <v>378</v>
      </c>
      <c r="R23" s="213" t="s">
        <v>453</v>
      </c>
      <c r="S23" s="213" t="s">
        <v>9</v>
      </c>
    </row>
    <row r="24" spans="16:19" ht="15.95" thickBot="1" x14ac:dyDescent="0.4">
      <c r="P24" s="150" t="s">
        <v>379</v>
      </c>
      <c r="R24" s="213" t="s">
        <v>454</v>
      </c>
      <c r="S24" s="213" t="s">
        <v>9</v>
      </c>
    </row>
    <row r="25" spans="16:19" ht="15.95" thickBot="1" x14ac:dyDescent="0.4">
      <c r="P25" s="150" t="s">
        <v>380</v>
      </c>
      <c r="R25" s="213" t="s">
        <v>191</v>
      </c>
      <c r="S25" s="213" t="s">
        <v>9</v>
      </c>
    </row>
    <row r="26" spans="16:19" ht="15.95" thickBot="1" x14ac:dyDescent="0.4">
      <c r="P26" s="150" t="s">
        <v>381</v>
      </c>
      <c r="R26" s="214" t="s">
        <v>444</v>
      </c>
      <c r="S26" s="213" t="s">
        <v>456</v>
      </c>
    </row>
    <row r="27" spans="16:19" ht="15.95" thickBot="1" x14ac:dyDescent="0.4">
      <c r="P27" s="150" t="s">
        <v>382</v>
      </c>
      <c r="R27" s="213" t="s">
        <v>445</v>
      </c>
      <c r="S27" s="213" t="s">
        <v>456</v>
      </c>
    </row>
    <row r="28" spans="16:19" ht="31.5" thickBot="1" x14ac:dyDescent="0.4">
      <c r="P28" s="150" t="s">
        <v>383</v>
      </c>
      <c r="R28" s="213" t="s">
        <v>446</v>
      </c>
      <c r="S28" s="213" t="s">
        <v>456</v>
      </c>
    </row>
    <row r="29" spans="16:19" ht="31.5" thickBot="1" x14ac:dyDescent="0.4">
      <c r="P29" s="150" t="s">
        <v>384</v>
      </c>
      <c r="R29" s="213" t="s">
        <v>447</v>
      </c>
      <c r="S29" s="213" t="s">
        <v>456</v>
      </c>
    </row>
    <row r="30" spans="16:19" ht="31.5" thickBot="1" x14ac:dyDescent="0.4">
      <c r="P30" s="150" t="s">
        <v>385</v>
      </c>
      <c r="R30" s="213" t="s">
        <v>448</v>
      </c>
      <c r="S30" s="213" t="s">
        <v>456</v>
      </c>
    </row>
    <row r="31" spans="16:19" ht="31.5" thickBot="1" x14ac:dyDescent="0.4">
      <c r="P31" s="150" t="s">
        <v>386</v>
      </c>
      <c r="R31" s="213" t="s">
        <v>449</v>
      </c>
      <c r="S31" s="213" t="s">
        <v>456</v>
      </c>
    </row>
    <row r="32" spans="16:19" ht="15.95" thickBot="1" x14ac:dyDescent="0.4">
      <c r="P32" s="150" t="s">
        <v>387</v>
      </c>
      <c r="R32" s="213" t="s">
        <v>70</v>
      </c>
      <c r="S32" s="213" t="s">
        <v>456</v>
      </c>
    </row>
    <row r="33" spans="18:19" ht="15.95" thickBot="1" x14ac:dyDescent="0.4">
      <c r="R33" s="213" t="s">
        <v>331</v>
      </c>
      <c r="S33" s="213" t="s">
        <v>456</v>
      </c>
    </row>
  </sheetData>
  <sheetProtection sheet="1" objects="1" scenarios="1"/>
  <sortState xmlns:xlrd2="http://schemas.microsoft.com/office/spreadsheetml/2017/richdata2" ref="C17:C27">
    <sortCondition ref="C17"/>
  </sortState>
  <conditionalFormatting sqref="R26:R33 R34:S1048576 R1 R15:R23">
    <cfRule type="duplicateValues" dxfId="9659" priority="4892235"/>
  </conditionalFormatting>
  <conditionalFormatting sqref="R2">
    <cfRule type="duplicateValues" dxfId="9658" priority="2"/>
  </conditionalFormatting>
  <conditionalFormatting sqref="R3:R5">
    <cfRule type="duplicateValues" dxfId="9657"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18"/>
  <sheetViews>
    <sheetView zoomScale="85" zoomScaleNormal="85" workbookViewId="0">
      <selection sqref="A1:C1"/>
    </sheetView>
  </sheetViews>
  <sheetFormatPr defaultColWidth="8.88671875" defaultRowHeight="15" x14ac:dyDescent="0.2"/>
  <cols>
    <col min="1" max="1" width="6.5546875" style="27" customWidth="1"/>
    <col min="2" max="2" width="19.6640625" style="1" customWidth="1"/>
    <col min="3" max="3" width="59.44140625" style="1" customWidth="1"/>
    <col min="4" max="16384" width="8.88671875" style="1"/>
  </cols>
  <sheetData>
    <row r="1" spans="1:5" ht="30" customHeight="1" x14ac:dyDescent="0.2">
      <c r="A1" s="602" t="s">
        <v>221</v>
      </c>
      <c r="B1" s="603"/>
      <c r="C1" s="604"/>
      <c r="D1" s="107"/>
      <c r="E1" s="107"/>
    </row>
    <row r="2" spans="1:5" ht="6.75" customHeight="1" x14ac:dyDescent="0.2">
      <c r="A2" s="108"/>
      <c r="B2" s="107"/>
      <c r="C2" s="107"/>
      <c r="D2" s="107"/>
      <c r="E2" s="107"/>
    </row>
    <row r="3" spans="1:5" ht="15" customHeight="1" x14ac:dyDescent="0.25">
      <c r="A3" s="605" t="s">
        <v>255</v>
      </c>
      <c r="B3" s="605"/>
      <c r="C3" s="605"/>
      <c r="D3" s="107"/>
      <c r="E3" s="107"/>
    </row>
    <row r="4" spans="1:5" ht="57" customHeight="1" x14ac:dyDescent="0.2">
      <c r="A4" s="601" t="s">
        <v>256</v>
      </c>
      <c r="B4" s="601"/>
      <c r="C4" s="601"/>
      <c r="D4" s="107"/>
      <c r="E4" s="107"/>
    </row>
    <row r="5" spans="1:5" ht="18.600000000000001" customHeight="1" x14ac:dyDescent="0.2">
      <c r="A5" s="606" t="s">
        <v>222</v>
      </c>
      <c r="B5" s="607"/>
      <c r="C5" s="109" t="s">
        <v>223</v>
      </c>
      <c r="D5" s="110"/>
      <c r="E5" s="107"/>
    </row>
    <row r="6" spans="1:5" ht="210" customHeight="1" x14ac:dyDescent="0.2">
      <c r="A6" s="608" t="s">
        <v>224</v>
      </c>
      <c r="B6" s="611" t="s">
        <v>467</v>
      </c>
      <c r="C6" s="314" t="s">
        <v>569</v>
      </c>
      <c r="D6" s="110"/>
      <c r="E6" s="107"/>
    </row>
    <row r="7" spans="1:5" ht="24.95" customHeight="1" x14ac:dyDescent="0.2">
      <c r="A7" s="609"/>
      <c r="B7" s="612"/>
      <c r="C7" s="290" t="s">
        <v>507</v>
      </c>
      <c r="D7" s="110"/>
      <c r="E7" s="107"/>
    </row>
    <row r="8" spans="1:5" ht="20.45" customHeight="1" x14ac:dyDescent="0.2">
      <c r="A8" s="610"/>
      <c r="B8" s="613"/>
      <c r="C8" s="111" t="s">
        <v>508</v>
      </c>
      <c r="D8" s="110"/>
      <c r="E8" s="107"/>
    </row>
    <row r="9" spans="1:5" ht="30" x14ac:dyDescent="0.2">
      <c r="A9" s="112" t="s">
        <v>226</v>
      </c>
      <c r="B9" s="113" t="s">
        <v>159</v>
      </c>
      <c r="C9" s="114" t="s">
        <v>250</v>
      </c>
      <c r="D9" s="110"/>
      <c r="E9" s="107"/>
    </row>
    <row r="10" spans="1:5" ht="18" customHeight="1" x14ac:dyDescent="0.2">
      <c r="A10" s="112" t="s">
        <v>227</v>
      </c>
      <c r="B10" s="113" t="s">
        <v>0</v>
      </c>
      <c r="C10" s="599" t="s">
        <v>225</v>
      </c>
      <c r="D10" s="110"/>
      <c r="E10" s="107"/>
    </row>
    <row r="11" spans="1:5" ht="18" customHeight="1" x14ac:dyDescent="0.2">
      <c r="A11" s="112" t="s">
        <v>229</v>
      </c>
      <c r="B11" s="113" t="s">
        <v>1</v>
      </c>
      <c r="C11" s="600"/>
      <c r="D11" s="110"/>
      <c r="E11" s="107"/>
    </row>
    <row r="12" spans="1:5" ht="18" customHeight="1" x14ac:dyDescent="0.2">
      <c r="A12" s="112" t="s">
        <v>232</v>
      </c>
      <c r="B12" s="113" t="s">
        <v>26</v>
      </c>
      <c r="C12" s="114" t="s">
        <v>228</v>
      </c>
      <c r="D12" s="110"/>
      <c r="E12" s="107"/>
    </row>
    <row r="13" spans="1:5" ht="18" customHeight="1" x14ac:dyDescent="0.2">
      <c r="A13" s="112" t="s">
        <v>234</v>
      </c>
      <c r="B13" s="113" t="s">
        <v>230</v>
      </c>
      <c r="C13" s="114" t="s">
        <v>231</v>
      </c>
      <c r="D13" s="110"/>
      <c r="E13" s="107"/>
    </row>
    <row r="14" spans="1:5" ht="18" customHeight="1" x14ac:dyDescent="0.2">
      <c r="A14" s="112" t="s">
        <v>236</v>
      </c>
      <c r="B14" s="113" t="s">
        <v>2</v>
      </c>
      <c r="C14" s="114" t="s">
        <v>233</v>
      </c>
      <c r="D14" s="110"/>
      <c r="E14" s="107"/>
    </row>
    <row r="15" spans="1:5" ht="33.75" customHeight="1" x14ac:dyDescent="0.2">
      <c r="A15" s="112" t="s">
        <v>238</v>
      </c>
      <c r="B15" s="113" t="s">
        <v>25</v>
      </c>
      <c r="C15" s="114" t="s">
        <v>235</v>
      </c>
      <c r="D15" s="110"/>
      <c r="E15" s="107"/>
    </row>
    <row r="16" spans="1:5" ht="15.6" x14ac:dyDescent="0.35">
      <c r="A16" s="112" t="s">
        <v>241</v>
      </c>
      <c r="B16" s="113" t="s">
        <v>468</v>
      </c>
      <c r="C16" s="114" t="s">
        <v>237</v>
      </c>
      <c r="D16" s="110"/>
      <c r="E16" s="107"/>
    </row>
    <row r="17" spans="1:5" ht="66.75" customHeight="1" x14ac:dyDescent="0.35">
      <c r="A17" s="112" t="s">
        <v>244</v>
      </c>
      <c r="B17" s="113" t="s">
        <v>239</v>
      </c>
      <c r="C17" s="114" t="s">
        <v>240</v>
      </c>
      <c r="D17" s="110"/>
      <c r="E17" s="107"/>
    </row>
    <row r="18" spans="1:5" ht="78.75" customHeight="1" x14ac:dyDescent="0.35">
      <c r="A18" s="112" t="s">
        <v>246</v>
      </c>
      <c r="B18" s="113" t="s">
        <v>242</v>
      </c>
      <c r="C18" s="114" t="s">
        <v>243</v>
      </c>
      <c r="D18" s="110"/>
      <c r="E18" s="107"/>
    </row>
    <row r="19" spans="1:5" ht="62.1" x14ac:dyDescent="0.35">
      <c r="A19" s="112" t="s">
        <v>469</v>
      </c>
      <c r="B19" s="113" t="s">
        <v>470</v>
      </c>
      <c r="C19" s="114" t="s">
        <v>245</v>
      </c>
      <c r="D19" s="110"/>
      <c r="E19" s="107"/>
    </row>
    <row r="20" spans="1:5" ht="93" x14ac:dyDescent="0.35">
      <c r="A20" s="112" t="s">
        <v>471</v>
      </c>
      <c r="B20" s="113" t="s">
        <v>247</v>
      </c>
      <c r="C20" s="114" t="s">
        <v>560</v>
      </c>
      <c r="D20" s="110"/>
      <c r="E20" s="107"/>
    </row>
    <row r="21" spans="1:5" ht="108.6" x14ac:dyDescent="0.35">
      <c r="A21" s="112" t="s">
        <v>472</v>
      </c>
      <c r="B21" s="113" t="s">
        <v>251</v>
      </c>
      <c r="C21" s="114" t="s">
        <v>252</v>
      </c>
      <c r="D21" s="110"/>
      <c r="E21" s="107"/>
    </row>
    <row r="22" spans="1:5" ht="15.6" x14ac:dyDescent="0.35">
      <c r="A22" s="112" t="s">
        <v>253</v>
      </c>
      <c r="B22" s="113" t="s">
        <v>473</v>
      </c>
      <c r="C22" s="114" t="s">
        <v>574</v>
      </c>
      <c r="D22" s="107"/>
      <c r="E22" s="107"/>
    </row>
    <row r="23" spans="1:5" ht="62.1" x14ac:dyDescent="0.35">
      <c r="A23" s="112" t="s">
        <v>418</v>
      </c>
      <c r="B23" s="113" t="s">
        <v>474</v>
      </c>
      <c r="C23" s="114" t="s">
        <v>420</v>
      </c>
      <c r="D23" s="107"/>
      <c r="E23" s="107"/>
    </row>
    <row r="24" spans="1:5" ht="62.1" x14ac:dyDescent="0.35">
      <c r="A24" s="112" t="s">
        <v>419</v>
      </c>
      <c r="B24" s="113" t="s">
        <v>475</v>
      </c>
      <c r="C24" s="114" t="s">
        <v>421</v>
      </c>
      <c r="D24" s="107"/>
      <c r="E24" s="107"/>
    </row>
    <row r="25" spans="1:5" ht="30.95" x14ac:dyDescent="0.35">
      <c r="A25" s="112" t="s">
        <v>476</v>
      </c>
      <c r="B25" s="113" t="s">
        <v>28</v>
      </c>
      <c r="C25" s="114" t="s">
        <v>248</v>
      </c>
      <c r="D25" s="107"/>
      <c r="E25" s="107"/>
    </row>
    <row r="26" spans="1:5" ht="232.5" x14ac:dyDescent="0.35">
      <c r="A26" s="112" t="s">
        <v>477</v>
      </c>
      <c r="B26" s="113" t="s">
        <v>423</v>
      </c>
      <c r="C26" s="114" t="s">
        <v>509</v>
      </c>
      <c r="D26" s="107"/>
      <c r="E26" s="107"/>
    </row>
    <row r="27" spans="1:5" ht="30.95" x14ac:dyDescent="0.35">
      <c r="A27" s="112" t="s">
        <v>478</v>
      </c>
      <c r="B27" s="113" t="s">
        <v>479</v>
      </c>
      <c r="C27" s="114" t="s">
        <v>480</v>
      </c>
      <c r="D27" s="107"/>
      <c r="E27" s="107"/>
    </row>
    <row r="28" spans="1:5" ht="62.1" x14ac:dyDescent="0.35">
      <c r="A28" s="112" t="s">
        <v>481</v>
      </c>
      <c r="B28" s="113" t="s">
        <v>34</v>
      </c>
      <c r="C28" s="114" t="s">
        <v>249</v>
      </c>
      <c r="D28" s="107"/>
      <c r="E28" s="107"/>
    </row>
    <row r="29" spans="1:5" ht="15.6" x14ac:dyDescent="0.35">
      <c r="A29" s="108"/>
      <c r="B29" s="107"/>
      <c r="C29" s="107"/>
      <c r="D29" s="107"/>
      <c r="E29" s="107"/>
    </row>
    <row r="30" spans="1:5" ht="15.6" x14ac:dyDescent="0.35">
      <c r="A30" s="108"/>
      <c r="B30" s="107"/>
      <c r="C30" s="107"/>
      <c r="D30" s="107"/>
      <c r="E30" s="107"/>
    </row>
    <row r="31" spans="1:5" ht="15.6" x14ac:dyDescent="0.35">
      <c r="A31" s="108"/>
      <c r="B31" s="107"/>
      <c r="C31" s="107"/>
      <c r="D31" s="107"/>
      <c r="E31" s="107"/>
    </row>
    <row r="32" spans="1:5" ht="15.6" x14ac:dyDescent="0.35">
      <c r="A32" s="108"/>
      <c r="B32" s="107"/>
      <c r="C32" s="107"/>
      <c r="D32" s="107"/>
      <c r="E32" s="107"/>
    </row>
    <row r="33" spans="1:5" ht="15.6" x14ac:dyDescent="0.35">
      <c r="A33" s="108"/>
      <c r="B33" s="107"/>
      <c r="C33" s="107"/>
      <c r="D33" s="107"/>
      <c r="E33" s="107"/>
    </row>
    <row r="34" spans="1:5" ht="15.6" x14ac:dyDescent="0.35">
      <c r="A34" s="108"/>
      <c r="B34" s="107"/>
      <c r="C34" s="107"/>
      <c r="D34" s="107"/>
      <c r="E34" s="107"/>
    </row>
    <row r="35" spans="1:5" ht="15.6" x14ac:dyDescent="0.35">
      <c r="A35" s="108"/>
      <c r="B35" s="107"/>
      <c r="C35" s="107"/>
      <c r="D35" s="107"/>
      <c r="E35" s="107"/>
    </row>
    <row r="36" spans="1:5" ht="15.6" x14ac:dyDescent="0.35">
      <c r="A36" s="108"/>
      <c r="B36" s="107"/>
      <c r="C36" s="107"/>
      <c r="D36" s="107"/>
      <c r="E36" s="107"/>
    </row>
    <row r="37" spans="1:5" ht="15.6" x14ac:dyDescent="0.35">
      <c r="A37" s="108"/>
      <c r="B37" s="107"/>
      <c r="C37" s="107"/>
      <c r="D37" s="107"/>
      <c r="E37" s="107"/>
    </row>
    <row r="38" spans="1:5" ht="15.6" x14ac:dyDescent="0.35">
      <c r="A38" s="108"/>
      <c r="B38" s="107"/>
      <c r="C38" s="107"/>
      <c r="D38" s="107"/>
      <c r="E38" s="107"/>
    </row>
    <row r="39" spans="1:5" ht="15.6" x14ac:dyDescent="0.35">
      <c r="A39" s="108"/>
      <c r="B39" s="107"/>
      <c r="C39" s="107"/>
      <c r="D39" s="107"/>
      <c r="E39" s="107"/>
    </row>
    <row r="40" spans="1:5" ht="15.6" x14ac:dyDescent="0.35">
      <c r="A40" s="108"/>
      <c r="B40" s="107"/>
      <c r="C40" s="107"/>
      <c r="D40" s="107"/>
      <c r="E40" s="107"/>
    </row>
    <row r="41" spans="1:5" ht="15.6" x14ac:dyDescent="0.35">
      <c r="A41" s="108"/>
      <c r="B41" s="107"/>
      <c r="C41" s="107"/>
      <c r="D41" s="107"/>
      <c r="E41" s="107"/>
    </row>
    <row r="42" spans="1:5" ht="15.6" x14ac:dyDescent="0.35">
      <c r="A42" s="108"/>
      <c r="B42" s="107"/>
      <c r="C42" s="107"/>
      <c r="D42" s="107"/>
      <c r="E42" s="107"/>
    </row>
    <row r="43" spans="1:5" ht="15.6" x14ac:dyDescent="0.35">
      <c r="A43" s="108"/>
      <c r="B43" s="107"/>
      <c r="C43" s="107"/>
      <c r="D43" s="107"/>
      <c r="E43" s="107"/>
    </row>
    <row r="44" spans="1:5" ht="15.6" x14ac:dyDescent="0.35">
      <c r="A44" s="108"/>
      <c r="B44" s="107"/>
      <c r="C44" s="107"/>
      <c r="D44" s="107"/>
      <c r="E44" s="107"/>
    </row>
    <row r="45" spans="1:5" ht="15.6" x14ac:dyDescent="0.35">
      <c r="A45" s="108"/>
      <c r="B45" s="107"/>
      <c r="C45" s="107"/>
      <c r="D45" s="107"/>
      <c r="E45" s="107"/>
    </row>
    <row r="46" spans="1:5" ht="15.6" x14ac:dyDescent="0.35">
      <c r="A46" s="108"/>
      <c r="B46" s="107"/>
      <c r="C46" s="107"/>
      <c r="D46" s="107"/>
      <c r="E46" s="107"/>
    </row>
    <row r="47" spans="1:5" ht="15.6" x14ac:dyDescent="0.35">
      <c r="A47" s="108"/>
      <c r="B47" s="107"/>
      <c r="C47" s="107"/>
      <c r="D47" s="107"/>
      <c r="E47" s="107"/>
    </row>
    <row r="48" spans="1:5" ht="15.6" x14ac:dyDescent="0.35">
      <c r="A48" s="108"/>
      <c r="B48" s="107"/>
      <c r="C48" s="107"/>
      <c r="D48" s="107"/>
      <c r="E48" s="107"/>
    </row>
    <row r="49" spans="1:5" ht="15.6" x14ac:dyDescent="0.35">
      <c r="A49" s="108"/>
      <c r="B49" s="107"/>
      <c r="C49" s="107"/>
      <c r="D49" s="107"/>
      <c r="E49" s="107"/>
    </row>
    <row r="50" spans="1:5" ht="15.6" x14ac:dyDescent="0.35">
      <c r="A50" s="108"/>
      <c r="B50" s="107"/>
      <c r="C50" s="107"/>
      <c r="D50" s="107"/>
      <c r="E50" s="107"/>
    </row>
    <row r="51" spans="1:5" ht="15.6" x14ac:dyDescent="0.35">
      <c r="A51" s="108"/>
      <c r="B51" s="107"/>
      <c r="C51" s="107"/>
      <c r="D51" s="107"/>
      <c r="E51" s="107"/>
    </row>
    <row r="52" spans="1:5" ht="15.6" x14ac:dyDescent="0.35">
      <c r="A52" s="108"/>
      <c r="B52" s="107"/>
      <c r="C52" s="107"/>
      <c r="D52" s="107"/>
      <c r="E52" s="107"/>
    </row>
    <row r="53" spans="1:5" ht="15.6" x14ac:dyDescent="0.35">
      <c r="A53" s="108"/>
      <c r="B53" s="107"/>
      <c r="C53" s="107"/>
      <c r="D53" s="107"/>
      <c r="E53" s="107"/>
    </row>
    <row r="54" spans="1:5" ht="15.6" x14ac:dyDescent="0.35">
      <c r="A54" s="108"/>
      <c r="B54" s="107"/>
      <c r="C54" s="107"/>
      <c r="D54" s="107"/>
      <c r="E54" s="107"/>
    </row>
    <row r="55" spans="1:5" ht="15.6" x14ac:dyDescent="0.35">
      <c r="A55" s="108"/>
      <c r="B55" s="107"/>
      <c r="C55" s="107"/>
      <c r="D55" s="107"/>
      <c r="E55" s="107"/>
    </row>
    <row r="56" spans="1:5" ht="15.6" x14ac:dyDescent="0.35">
      <c r="A56" s="108"/>
      <c r="B56" s="107"/>
      <c r="C56" s="107"/>
      <c r="D56" s="107"/>
      <c r="E56" s="107"/>
    </row>
    <row r="57" spans="1:5" ht="15.6" x14ac:dyDescent="0.35">
      <c r="A57" s="108"/>
      <c r="B57" s="107"/>
      <c r="C57" s="107"/>
      <c r="D57" s="107"/>
      <c r="E57" s="107"/>
    </row>
    <row r="58" spans="1:5" ht="15.6" x14ac:dyDescent="0.35">
      <c r="A58" s="108"/>
      <c r="B58" s="107"/>
      <c r="C58" s="107"/>
      <c r="D58" s="107"/>
      <c r="E58" s="107"/>
    </row>
    <row r="59" spans="1:5" ht="15.6" x14ac:dyDescent="0.35">
      <c r="A59" s="108"/>
      <c r="B59" s="107"/>
      <c r="C59" s="107"/>
      <c r="D59" s="107"/>
      <c r="E59" s="107"/>
    </row>
    <row r="60" spans="1:5" ht="15.6" x14ac:dyDescent="0.35">
      <c r="A60" s="108"/>
      <c r="B60" s="107"/>
      <c r="C60" s="107"/>
      <c r="D60" s="107"/>
      <c r="E60" s="107"/>
    </row>
    <row r="61" spans="1:5" ht="15.6" x14ac:dyDescent="0.35">
      <c r="A61" s="108"/>
      <c r="B61" s="107"/>
      <c r="C61" s="107"/>
      <c r="D61" s="107"/>
      <c r="E61" s="107"/>
    </row>
    <row r="62" spans="1:5" ht="15.6" x14ac:dyDescent="0.35">
      <c r="A62" s="108"/>
      <c r="B62" s="107"/>
      <c r="C62" s="107"/>
      <c r="D62" s="107"/>
      <c r="E62" s="107"/>
    </row>
    <row r="63" spans="1:5" ht="15.6" x14ac:dyDescent="0.35">
      <c r="A63" s="108"/>
      <c r="B63" s="107"/>
      <c r="C63" s="107"/>
      <c r="D63" s="107"/>
      <c r="E63" s="107"/>
    </row>
    <row r="64" spans="1:5" ht="15.6" x14ac:dyDescent="0.35">
      <c r="A64" s="108"/>
      <c r="B64" s="107"/>
      <c r="C64" s="107"/>
      <c r="D64" s="107"/>
      <c r="E64" s="107"/>
    </row>
    <row r="65" spans="1:5" ht="15.6" x14ac:dyDescent="0.35">
      <c r="A65" s="108"/>
      <c r="B65" s="107"/>
      <c r="C65" s="107"/>
      <c r="D65" s="107"/>
      <c r="E65" s="107"/>
    </row>
    <row r="66" spans="1:5" ht="15.6" x14ac:dyDescent="0.35">
      <c r="A66" s="108"/>
      <c r="B66" s="107"/>
      <c r="C66" s="107"/>
      <c r="D66" s="107"/>
      <c r="E66" s="107"/>
    </row>
    <row r="67" spans="1:5" ht="15.6" x14ac:dyDescent="0.35">
      <c r="A67" s="108"/>
      <c r="B67" s="107"/>
      <c r="C67" s="107"/>
      <c r="D67" s="107"/>
      <c r="E67" s="107"/>
    </row>
    <row r="68" spans="1:5" ht="15.6" x14ac:dyDescent="0.35">
      <c r="A68" s="108"/>
      <c r="B68" s="107"/>
      <c r="C68" s="107"/>
      <c r="D68" s="107"/>
      <c r="E68" s="107"/>
    </row>
    <row r="69" spans="1:5" ht="15.6" x14ac:dyDescent="0.35">
      <c r="A69" s="108"/>
      <c r="B69" s="107"/>
      <c r="C69" s="107"/>
      <c r="D69" s="107"/>
      <c r="E69" s="107"/>
    </row>
    <row r="70" spans="1:5" ht="15.6" x14ac:dyDescent="0.35">
      <c r="A70" s="108"/>
      <c r="B70" s="107"/>
      <c r="C70" s="107"/>
      <c r="D70" s="107"/>
      <c r="E70" s="107"/>
    </row>
    <row r="71" spans="1:5" ht="15.6" x14ac:dyDescent="0.35">
      <c r="A71" s="108"/>
      <c r="B71" s="107"/>
      <c r="C71" s="107"/>
      <c r="D71" s="107"/>
      <c r="E71" s="107"/>
    </row>
    <row r="72" spans="1:5" ht="15.6" x14ac:dyDescent="0.35">
      <c r="A72" s="108"/>
      <c r="B72" s="107"/>
      <c r="C72" s="107"/>
      <c r="D72" s="107"/>
      <c r="E72" s="107"/>
    </row>
    <row r="73" spans="1:5" ht="15.6" x14ac:dyDescent="0.35">
      <c r="A73" s="108"/>
      <c r="B73" s="107"/>
      <c r="C73" s="107"/>
      <c r="D73" s="107"/>
      <c r="E73" s="107"/>
    </row>
    <row r="74" spans="1:5" ht="15.6" x14ac:dyDescent="0.35">
      <c r="A74" s="108"/>
      <c r="B74" s="107"/>
      <c r="C74" s="107"/>
      <c r="D74" s="107"/>
      <c r="E74" s="107"/>
    </row>
    <row r="75" spans="1:5" ht="15.6" x14ac:dyDescent="0.35">
      <c r="A75" s="108"/>
      <c r="B75" s="107"/>
      <c r="C75" s="107"/>
      <c r="D75" s="107"/>
      <c r="E75" s="107"/>
    </row>
    <row r="76" spans="1:5" ht="15.6" x14ac:dyDescent="0.35">
      <c r="A76" s="108"/>
      <c r="B76" s="107"/>
      <c r="C76" s="107"/>
      <c r="D76" s="107"/>
      <c r="E76" s="107"/>
    </row>
    <row r="77" spans="1:5" ht="15.6" x14ac:dyDescent="0.35">
      <c r="A77" s="108"/>
      <c r="B77" s="107"/>
      <c r="C77" s="107"/>
      <c r="D77" s="107"/>
      <c r="E77" s="107"/>
    </row>
    <row r="78" spans="1:5" ht="15.6" x14ac:dyDescent="0.35">
      <c r="A78" s="108"/>
      <c r="B78" s="107"/>
      <c r="C78" s="107"/>
      <c r="D78" s="107"/>
      <c r="E78" s="107"/>
    </row>
    <row r="79" spans="1:5" ht="15.6" x14ac:dyDescent="0.35">
      <c r="A79" s="108"/>
      <c r="B79" s="107"/>
      <c r="C79" s="107"/>
      <c r="D79" s="107"/>
      <c r="E79" s="107"/>
    </row>
    <row r="80" spans="1:5" ht="15.6" x14ac:dyDescent="0.35">
      <c r="A80" s="108"/>
      <c r="B80" s="107"/>
      <c r="C80" s="107"/>
      <c r="D80" s="107"/>
      <c r="E80" s="107"/>
    </row>
    <row r="81" spans="1:5" ht="15.6" x14ac:dyDescent="0.35">
      <c r="A81" s="108"/>
      <c r="B81" s="107"/>
      <c r="C81" s="107"/>
      <c r="D81" s="107"/>
      <c r="E81" s="107"/>
    </row>
    <row r="82" spans="1:5" ht="15.6" x14ac:dyDescent="0.35">
      <c r="A82" s="108"/>
      <c r="B82" s="107"/>
      <c r="C82" s="107"/>
      <c r="D82" s="107"/>
      <c r="E82" s="107"/>
    </row>
    <row r="83" spans="1:5" ht="15.6" x14ac:dyDescent="0.35">
      <c r="A83" s="108"/>
      <c r="B83" s="107"/>
      <c r="C83" s="107"/>
      <c r="D83" s="107"/>
      <c r="E83" s="107"/>
    </row>
    <row r="84" spans="1:5" ht="15.6" x14ac:dyDescent="0.35">
      <c r="A84" s="108"/>
      <c r="B84" s="107"/>
      <c r="C84" s="107"/>
      <c r="D84" s="107"/>
      <c r="E84" s="107"/>
    </row>
    <row r="85" spans="1:5" ht="15.6" x14ac:dyDescent="0.35">
      <c r="A85" s="108"/>
      <c r="B85" s="107"/>
      <c r="C85" s="107"/>
      <c r="D85" s="107"/>
      <c r="E85" s="107"/>
    </row>
    <row r="86" spans="1:5" ht="15.6" x14ac:dyDescent="0.35">
      <c r="A86" s="108"/>
      <c r="B86" s="107"/>
      <c r="C86" s="107"/>
      <c r="D86" s="107"/>
      <c r="E86" s="107"/>
    </row>
    <row r="87" spans="1:5" ht="15.6" x14ac:dyDescent="0.35">
      <c r="A87" s="108"/>
      <c r="B87" s="107"/>
      <c r="C87" s="107"/>
      <c r="D87" s="107"/>
      <c r="E87" s="107"/>
    </row>
    <row r="88" spans="1:5" ht="15.6" x14ac:dyDescent="0.35">
      <c r="A88" s="108"/>
      <c r="B88" s="107"/>
      <c r="C88" s="107"/>
      <c r="D88" s="107"/>
      <c r="E88" s="107"/>
    </row>
    <row r="89" spans="1:5" ht="15.6" x14ac:dyDescent="0.35">
      <c r="A89" s="108"/>
      <c r="B89" s="107"/>
      <c r="C89" s="107"/>
      <c r="D89" s="107"/>
      <c r="E89" s="107"/>
    </row>
    <row r="90" spans="1:5" ht="15.6" x14ac:dyDescent="0.35">
      <c r="A90" s="108"/>
      <c r="B90" s="107"/>
      <c r="C90" s="107"/>
      <c r="D90" s="107"/>
      <c r="E90" s="107"/>
    </row>
    <row r="91" spans="1:5" ht="15.6" x14ac:dyDescent="0.35">
      <c r="A91" s="108"/>
      <c r="B91" s="107"/>
      <c r="C91" s="107"/>
      <c r="D91" s="107"/>
      <c r="E91" s="107"/>
    </row>
    <row r="92" spans="1:5" ht="15.6" x14ac:dyDescent="0.35">
      <c r="A92" s="108"/>
      <c r="B92" s="107"/>
      <c r="C92" s="107"/>
      <c r="D92" s="107"/>
      <c r="E92" s="107"/>
    </row>
    <row r="93" spans="1:5" ht="15.6" x14ac:dyDescent="0.35">
      <c r="A93" s="108"/>
      <c r="B93" s="107"/>
      <c r="C93" s="107"/>
      <c r="D93" s="107"/>
      <c r="E93" s="107"/>
    </row>
    <row r="94" spans="1:5" ht="15.6" x14ac:dyDescent="0.35">
      <c r="A94" s="108"/>
      <c r="B94" s="107"/>
      <c r="C94" s="107"/>
      <c r="D94" s="107"/>
      <c r="E94" s="107"/>
    </row>
    <row r="95" spans="1:5" ht="15.6" x14ac:dyDescent="0.35">
      <c r="A95" s="108"/>
      <c r="B95" s="107"/>
      <c r="C95" s="107"/>
      <c r="D95" s="107"/>
      <c r="E95" s="107"/>
    </row>
    <row r="96" spans="1:5" ht="15.6" x14ac:dyDescent="0.35">
      <c r="A96" s="108"/>
      <c r="B96" s="107"/>
      <c r="C96" s="107"/>
      <c r="D96" s="107"/>
      <c r="E96" s="107"/>
    </row>
    <row r="97" spans="1:5" ht="15.6" x14ac:dyDescent="0.35">
      <c r="A97" s="108"/>
      <c r="B97" s="107"/>
      <c r="C97" s="107"/>
      <c r="D97" s="107"/>
      <c r="E97" s="107"/>
    </row>
    <row r="98" spans="1:5" ht="15.6" x14ac:dyDescent="0.35">
      <c r="A98" s="108"/>
      <c r="B98" s="107"/>
      <c r="C98" s="107"/>
      <c r="D98" s="107"/>
      <c r="E98" s="107"/>
    </row>
    <row r="99" spans="1:5" ht="15.6" x14ac:dyDescent="0.35">
      <c r="A99" s="108"/>
      <c r="B99" s="107"/>
      <c r="C99" s="107"/>
      <c r="D99" s="107"/>
      <c r="E99" s="107"/>
    </row>
    <row r="100" spans="1:5" ht="15.6" x14ac:dyDescent="0.35">
      <c r="A100" s="108"/>
      <c r="B100" s="107"/>
      <c r="C100" s="107"/>
      <c r="D100" s="107"/>
      <c r="E100" s="107"/>
    </row>
    <row r="101" spans="1:5" ht="15.6" x14ac:dyDescent="0.35">
      <c r="A101" s="108"/>
      <c r="B101" s="107"/>
      <c r="C101" s="107"/>
      <c r="D101" s="107"/>
      <c r="E101" s="107"/>
    </row>
    <row r="102" spans="1:5" ht="15.6" x14ac:dyDescent="0.35">
      <c r="A102" s="108"/>
      <c r="B102" s="107"/>
      <c r="C102" s="107"/>
      <c r="D102" s="107"/>
      <c r="E102" s="107"/>
    </row>
    <row r="103" spans="1:5" ht="15.6" x14ac:dyDescent="0.35">
      <c r="A103" s="108"/>
      <c r="B103" s="107"/>
      <c r="C103" s="107"/>
      <c r="D103" s="107"/>
      <c r="E103" s="107"/>
    </row>
    <row r="104" spans="1:5" ht="15.6" x14ac:dyDescent="0.35">
      <c r="A104" s="108"/>
      <c r="B104" s="107"/>
      <c r="C104" s="107"/>
      <c r="D104" s="107"/>
      <c r="E104" s="107"/>
    </row>
    <row r="105" spans="1:5" ht="15.6" x14ac:dyDescent="0.35">
      <c r="A105" s="108"/>
      <c r="B105" s="107"/>
      <c r="C105" s="107"/>
      <c r="D105" s="107"/>
      <c r="E105" s="107"/>
    </row>
    <row r="106" spans="1:5" ht="15.6" x14ac:dyDescent="0.35">
      <c r="A106" s="108"/>
      <c r="B106" s="107"/>
      <c r="C106" s="107"/>
      <c r="D106" s="107"/>
      <c r="E106" s="107"/>
    </row>
    <row r="107" spans="1:5" ht="15.6" x14ac:dyDescent="0.35">
      <c r="A107" s="108"/>
      <c r="B107" s="107"/>
      <c r="C107" s="107"/>
      <c r="D107" s="107"/>
      <c r="E107" s="107"/>
    </row>
    <row r="108" spans="1:5" ht="15.6" x14ac:dyDescent="0.35">
      <c r="A108" s="108"/>
      <c r="B108" s="107"/>
      <c r="C108" s="107"/>
      <c r="D108" s="107"/>
      <c r="E108" s="107"/>
    </row>
    <row r="109" spans="1:5" ht="15.6" x14ac:dyDescent="0.35">
      <c r="A109" s="108"/>
      <c r="B109" s="107"/>
      <c r="C109" s="107"/>
      <c r="D109" s="107"/>
      <c r="E109" s="107"/>
    </row>
    <row r="110" spans="1:5" ht="15.6" x14ac:dyDescent="0.35">
      <c r="A110" s="108"/>
      <c r="B110" s="107"/>
      <c r="C110" s="107"/>
      <c r="D110" s="107"/>
      <c r="E110" s="107"/>
    </row>
    <row r="111" spans="1:5" ht="15.6" x14ac:dyDescent="0.35">
      <c r="A111" s="108"/>
      <c r="B111" s="107"/>
      <c r="C111" s="107"/>
      <c r="D111" s="107"/>
      <c r="E111" s="107"/>
    </row>
    <row r="112" spans="1:5" ht="15.6" x14ac:dyDescent="0.35">
      <c r="A112" s="108"/>
      <c r="B112" s="107"/>
      <c r="C112" s="107"/>
      <c r="D112" s="107"/>
      <c r="E112" s="107"/>
    </row>
    <row r="113" spans="1:5" ht="15.6" x14ac:dyDescent="0.35">
      <c r="A113" s="108"/>
      <c r="B113" s="107"/>
      <c r="C113" s="107"/>
      <c r="D113" s="107"/>
      <c r="E113" s="107"/>
    </row>
    <row r="114" spans="1:5" ht="15.6" x14ac:dyDescent="0.35">
      <c r="A114" s="108"/>
      <c r="B114" s="107"/>
      <c r="C114" s="107"/>
      <c r="D114" s="107"/>
      <c r="E114" s="107"/>
    </row>
    <row r="115" spans="1:5" ht="15.6" x14ac:dyDescent="0.35">
      <c r="A115" s="108"/>
      <c r="B115" s="107"/>
      <c r="C115" s="107"/>
      <c r="D115" s="107"/>
      <c r="E115" s="107"/>
    </row>
    <row r="116" spans="1:5" ht="15.6" x14ac:dyDescent="0.35">
      <c r="A116" s="108"/>
      <c r="B116" s="107"/>
      <c r="C116" s="107"/>
      <c r="D116" s="107"/>
      <c r="E116" s="107"/>
    </row>
    <row r="117" spans="1:5" ht="15.6" x14ac:dyDescent="0.35">
      <c r="A117" s="108"/>
      <c r="B117" s="107"/>
      <c r="C117" s="107"/>
      <c r="D117" s="107"/>
      <c r="E117" s="107"/>
    </row>
    <row r="118" spans="1:5" ht="15.6" x14ac:dyDescent="0.35">
      <c r="A118" s="108"/>
      <c r="B118" s="107"/>
      <c r="C118" s="107"/>
      <c r="D118" s="107"/>
      <c r="E118" s="107"/>
    </row>
  </sheetData>
  <sheetProtection sheet="1" objects="1" scenarios="1"/>
  <mergeCells count="7">
    <mergeCell ref="C10:C11"/>
    <mergeCell ref="A4:C4"/>
    <mergeCell ref="A1:C1"/>
    <mergeCell ref="A3:C3"/>
    <mergeCell ref="A5:B5"/>
    <mergeCell ref="A6:A8"/>
    <mergeCell ref="B6:B8"/>
  </mergeCells>
  <hyperlinks>
    <hyperlink ref="C8" r:id="rId1" xr:uid="{00000000-0004-0000-0300-000000000000}"/>
    <hyperlink ref="C7" r:id="rId2" xr:uid="{00000000-0004-0000-0300-000001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C143"/>
  <sheetViews>
    <sheetView zoomScale="80" zoomScaleNormal="80" workbookViewId="0">
      <pane xSplit="2" ySplit="10" topLeftCell="E11" activePane="bottomRight" state="frozen"/>
      <selection pane="topRight" activeCell="C1" sqref="C1"/>
      <selection pane="bottomLeft" activeCell="A11" sqref="A11"/>
      <selection pane="bottomRight" activeCell="Q5" sqref="Q5"/>
    </sheetView>
  </sheetViews>
  <sheetFormatPr defaultColWidth="8.88671875" defaultRowHeight="15.75" x14ac:dyDescent="0.25"/>
  <cols>
    <col min="1" max="1" width="9.109375" style="2" customWidth="1"/>
    <col min="2" max="2" width="8.109375" style="19" bestFit="1" customWidth="1"/>
    <col min="3" max="3" width="8.21875" style="19" bestFit="1" customWidth="1"/>
    <col min="4" max="4" width="7.109375" style="19" bestFit="1" customWidth="1"/>
    <col min="5" max="5" width="4.88671875" style="19" bestFit="1" customWidth="1"/>
    <col min="6" max="6" width="8.109375" style="19" customWidth="1"/>
    <col min="7" max="7" width="5.88671875" style="19" bestFit="1" customWidth="1"/>
    <col min="8" max="8" width="8.6640625" style="19" customWidth="1"/>
    <col min="9" max="9" width="7.21875" style="14" customWidth="1"/>
    <col min="10" max="10" width="5.6640625" style="14" customWidth="1"/>
    <col min="11" max="11" width="6.88671875" style="14" customWidth="1"/>
    <col min="12" max="12" width="5.6640625" style="14" customWidth="1"/>
    <col min="13" max="13" width="8.88671875" style="14"/>
    <col min="14" max="14" width="5.6640625" style="14" customWidth="1"/>
    <col min="15" max="15" width="6.6640625" style="14" bestFit="1" customWidth="1"/>
    <col min="16" max="16" width="8.88671875" style="14"/>
    <col min="17" max="21" width="7.88671875" style="14" customWidth="1"/>
    <col min="22" max="83" width="8.88671875" style="14"/>
    <col min="84" max="84" width="23.44140625" style="14" customWidth="1"/>
    <col min="85" max="85" width="19.21875" style="14" customWidth="1"/>
    <col min="86" max="16384" width="8.88671875" style="14"/>
  </cols>
  <sheetData>
    <row r="1" spans="1:81" x14ac:dyDescent="0.25">
      <c r="N1" s="625" t="s">
        <v>35</v>
      </c>
      <c r="O1" s="625"/>
      <c r="P1" s="625"/>
      <c r="Q1" s="15"/>
    </row>
    <row r="2" spans="1:81" ht="18.75" x14ac:dyDescent="0.3">
      <c r="A2" s="18" t="s">
        <v>36</v>
      </c>
      <c r="N2" s="624" t="s">
        <v>18</v>
      </c>
      <c r="O2" s="624"/>
      <c r="P2" s="624"/>
      <c r="Q2" s="15">
        <f>COUNTIFS('Data entry'!B6:B200,"Confirmed")</f>
        <v>0</v>
      </c>
    </row>
    <row r="3" spans="1:81" x14ac:dyDescent="0.25">
      <c r="A3" s="20" t="s">
        <v>47</v>
      </c>
      <c r="N3" s="624" t="s">
        <v>56</v>
      </c>
      <c r="O3" s="624"/>
      <c r="P3" s="624"/>
      <c r="Q3" s="15">
        <f>COUNTIFS('Data entry'!B6:B200,"Probable")</f>
        <v>0</v>
      </c>
    </row>
    <row r="4" spans="1:81" x14ac:dyDescent="0.25">
      <c r="A4" s="20" t="s">
        <v>48</v>
      </c>
      <c r="F4" s="21"/>
      <c r="N4" s="624" t="s">
        <v>565</v>
      </c>
      <c r="O4" s="624"/>
      <c r="P4" s="624"/>
      <c r="Q4" s="15">
        <f>COUNTIF('Data entry'!B6:B200,"Close Contact")</f>
        <v>0</v>
      </c>
    </row>
    <row r="5" spans="1:81" x14ac:dyDescent="0.25">
      <c r="A5" s="20" t="s">
        <v>55</v>
      </c>
      <c r="F5" s="21"/>
      <c r="N5" s="624"/>
      <c r="O5" s="624"/>
      <c r="P5" s="624"/>
      <c r="Q5" s="15"/>
    </row>
    <row r="6" spans="1:81" x14ac:dyDescent="0.25">
      <c r="A6" s="20"/>
      <c r="F6" s="21"/>
      <c r="N6" s="624" t="s">
        <v>17</v>
      </c>
      <c r="O6" s="624"/>
      <c r="P6" s="624"/>
      <c r="Q6" s="15">
        <f>COUNTIF('Data entry'!B6:B200,"Lost to follow-up")</f>
        <v>0</v>
      </c>
    </row>
    <row r="7" spans="1:81" hidden="1" x14ac:dyDescent="0.25">
      <c r="A7" s="20"/>
      <c r="F7" s="21"/>
    </row>
    <row r="8" spans="1:81" x14ac:dyDescent="0.25">
      <c r="B8" s="3" t="s">
        <v>51</v>
      </c>
      <c r="C8" s="619" t="s">
        <v>43</v>
      </c>
      <c r="D8" s="620"/>
      <c r="E8" s="621"/>
      <c r="F8" s="622" t="s">
        <v>52</v>
      </c>
      <c r="G8" s="623"/>
      <c r="H8" s="623"/>
      <c r="I8" s="623"/>
      <c r="J8" s="623"/>
      <c r="K8" s="623"/>
      <c r="L8" s="623"/>
      <c r="M8" s="623"/>
      <c r="N8" s="623"/>
      <c r="O8" s="623"/>
      <c r="P8" s="623"/>
      <c r="Q8" s="614" t="s">
        <v>395</v>
      </c>
      <c r="R8" s="614"/>
      <c r="S8" s="614"/>
      <c r="T8" s="614"/>
      <c r="U8" s="614"/>
      <c r="V8" s="615" t="s">
        <v>396</v>
      </c>
      <c r="W8" s="615"/>
      <c r="X8" s="615"/>
      <c r="Y8" s="615"/>
      <c r="Z8" s="615"/>
      <c r="AA8" s="615"/>
      <c r="AB8" s="615"/>
      <c r="AC8" s="615"/>
      <c r="AD8" s="615"/>
      <c r="AE8" s="615"/>
      <c r="AF8" s="616" t="s">
        <v>397</v>
      </c>
      <c r="AG8" s="617"/>
      <c r="AH8" s="617"/>
      <c r="AI8" s="617"/>
      <c r="AJ8" s="617"/>
      <c r="AK8" s="160"/>
      <c r="AL8" s="160"/>
      <c r="AM8" s="160"/>
      <c r="AN8" s="160"/>
      <c r="AO8" s="160"/>
      <c r="AP8" s="160"/>
      <c r="AQ8" s="160"/>
      <c r="AR8" s="160"/>
      <c r="AS8" s="160"/>
      <c r="AT8" s="160"/>
      <c r="AU8" s="160"/>
      <c r="AV8" s="160"/>
      <c r="AW8" s="160"/>
      <c r="AX8" s="160"/>
      <c r="AY8" s="617"/>
      <c r="AZ8" s="617"/>
      <c r="BA8" s="617"/>
      <c r="BB8" s="617"/>
      <c r="BC8" s="617"/>
      <c r="BD8" s="617"/>
      <c r="BE8" s="617"/>
      <c r="BF8" s="617"/>
      <c r="BG8" s="617"/>
      <c r="BH8" s="617"/>
      <c r="BI8" s="617"/>
      <c r="BJ8" s="617"/>
      <c r="BK8" s="617"/>
      <c r="BL8" s="617"/>
      <c r="BM8" s="617"/>
      <c r="BN8" s="617"/>
      <c r="BO8" s="617"/>
      <c r="BP8" s="617"/>
      <c r="BQ8" s="617"/>
      <c r="BR8" s="617"/>
      <c r="BS8" s="617"/>
      <c r="BT8" s="617"/>
      <c r="BU8" s="617"/>
      <c r="BV8" s="617"/>
      <c r="BW8" s="617"/>
      <c r="BX8" s="617"/>
      <c r="BY8" s="617"/>
      <c r="BZ8" s="617"/>
      <c r="CA8" s="617"/>
      <c r="CB8" s="617"/>
      <c r="CC8" s="618"/>
    </row>
    <row r="9" spans="1:81" x14ac:dyDescent="0.25">
      <c r="A9" s="4" t="s">
        <v>39</v>
      </c>
      <c r="B9" s="5">
        <f t="shared" ref="B9:P9" si="0">SUM(B11:B143)</f>
        <v>0</v>
      </c>
      <c r="C9" s="6">
        <f t="shared" si="0"/>
        <v>0</v>
      </c>
      <c r="D9" s="6">
        <f t="shared" si="0"/>
        <v>0</v>
      </c>
      <c r="E9" s="6">
        <f t="shared" si="0"/>
        <v>0</v>
      </c>
      <c r="F9" s="7">
        <f t="shared" si="0"/>
        <v>0</v>
      </c>
      <c r="G9" s="7">
        <f t="shared" si="0"/>
        <v>0</v>
      </c>
      <c r="H9" s="7">
        <f t="shared" si="0"/>
        <v>0</v>
      </c>
      <c r="I9" s="7">
        <f t="shared" si="0"/>
        <v>0</v>
      </c>
      <c r="J9" s="7">
        <f t="shared" si="0"/>
        <v>0</v>
      </c>
      <c r="K9" s="7">
        <f t="shared" si="0"/>
        <v>0</v>
      </c>
      <c r="L9" s="7">
        <f t="shared" si="0"/>
        <v>0</v>
      </c>
      <c r="M9" s="7">
        <f t="shared" si="0"/>
        <v>0</v>
      </c>
      <c r="N9" s="7">
        <f t="shared" si="0"/>
        <v>0</v>
      </c>
      <c r="O9" s="7">
        <f t="shared" si="0"/>
        <v>0</v>
      </c>
      <c r="P9" s="7">
        <f t="shared" si="0"/>
        <v>0</v>
      </c>
      <c r="Q9" s="161">
        <f t="shared" ref="Q9:CB9" si="1">SUM(Q11:Q143)</f>
        <v>0</v>
      </c>
      <c r="R9" s="161">
        <f t="shared" si="1"/>
        <v>0</v>
      </c>
      <c r="S9" s="161">
        <f t="shared" si="1"/>
        <v>0</v>
      </c>
      <c r="T9" s="161">
        <f t="shared" si="1"/>
        <v>0</v>
      </c>
      <c r="U9" s="161">
        <f t="shared" si="1"/>
        <v>0</v>
      </c>
      <c r="V9" s="162">
        <f t="shared" si="1"/>
        <v>0</v>
      </c>
      <c r="W9" s="162">
        <f t="shared" si="1"/>
        <v>0</v>
      </c>
      <c r="X9" s="162">
        <f t="shared" si="1"/>
        <v>0</v>
      </c>
      <c r="Y9" s="162">
        <f t="shared" si="1"/>
        <v>0</v>
      </c>
      <c r="Z9" s="162">
        <f t="shared" si="1"/>
        <v>0</v>
      </c>
      <c r="AA9" s="162">
        <f t="shared" si="1"/>
        <v>0</v>
      </c>
      <c r="AB9" s="162">
        <f t="shared" si="1"/>
        <v>0</v>
      </c>
      <c r="AC9" s="162">
        <f t="shared" si="1"/>
        <v>0</v>
      </c>
      <c r="AD9" s="162">
        <f t="shared" si="1"/>
        <v>0</v>
      </c>
      <c r="AE9" s="162">
        <f t="shared" si="1"/>
        <v>0</v>
      </c>
      <c r="AF9" s="163">
        <f t="shared" si="1"/>
        <v>0</v>
      </c>
      <c r="AG9" s="163">
        <f t="shared" si="1"/>
        <v>0</v>
      </c>
      <c r="AH9" s="163">
        <f t="shared" si="1"/>
        <v>0</v>
      </c>
      <c r="AI9" s="163">
        <f t="shared" si="1"/>
        <v>0</v>
      </c>
      <c r="AJ9" s="163">
        <f t="shared" si="1"/>
        <v>0</v>
      </c>
      <c r="AK9" s="163">
        <f t="shared" si="1"/>
        <v>0</v>
      </c>
      <c r="AL9" s="163">
        <f t="shared" si="1"/>
        <v>0</v>
      </c>
      <c r="AM9" s="163">
        <f t="shared" si="1"/>
        <v>0</v>
      </c>
      <c r="AN9" s="163">
        <f t="shared" si="1"/>
        <v>0</v>
      </c>
      <c r="AO9" s="164">
        <f t="shared" si="1"/>
        <v>0</v>
      </c>
      <c r="AP9" s="163">
        <f t="shared" si="1"/>
        <v>0</v>
      </c>
      <c r="AQ9" s="163">
        <f t="shared" si="1"/>
        <v>0</v>
      </c>
      <c r="AR9" s="163">
        <f t="shared" si="1"/>
        <v>0</v>
      </c>
      <c r="AS9" s="163">
        <f t="shared" si="1"/>
        <v>0</v>
      </c>
      <c r="AT9" s="163">
        <f t="shared" si="1"/>
        <v>0</v>
      </c>
      <c r="AU9" s="163">
        <f t="shared" si="1"/>
        <v>0</v>
      </c>
      <c r="AV9" s="163">
        <f t="shared" si="1"/>
        <v>0</v>
      </c>
      <c r="AW9" s="163">
        <f t="shared" si="1"/>
        <v>0</v>
      </c>
      <c r="AX9" s="163">
        <f t="shared" si="1"/>
        <v>0</v>
      </c>
      <c r="AY9" s="163">
        <f t="shared" si="1"/>
        <v>0</v>
      </c>
      <c r="AZ9" s="163">
        <f t="shared" si="1"/>
        <v>0</v>
      </c>
      <c r="BA9" s="163">
        <f t="shared" si="1"/>
        <v>0</v>
      </c>
      <c r="BB9" s="163">
        <f t="shared" si="1"/>
        <v>0</v>
      </c>
      <c r="BC9" s="163">
        <f t="shared" si="1"/>
        <v>0</v>
      </c>
      <c r="BD9" s="163">
        <f t="shared" si="1"/>
        <v>0</v>
      </c>
      <c r="BE9" s="163">
        <f t="shared" si="1"/>
        <v>0</v>
      </c>
      <c r="BF9" s="163">
        <f t="shared" si="1"/>
        <v>0</v>
      </c>
      <c r="BG9" s="163">
        <f t="shared" si="1"/>
        <v>0</v>
      </c>
      <c r="BH9" s="163">
        <f t="shared" si="1"/>
        <v>0</v>
      </c>
      <c r="BI9" s="163">
        <f t="shared" si="1"/>
        <v>0</v>
      </c>
      <c r="BJ9" s="163">
        <f t="shared" si="1"/>
        <v>0</v>
      </c>
      <c r="BK9" s="163">
        <f t="shared" si="1"/>
        <v>0</v>
      </c>
      <c r="BL9" s="163">
        <f t="shared" si="1"/>
        <v>0</v>
      </c>
      <c r="BM9" s="163">
        <f t="shared" si="1"/>
        <v>0</v>
      </c>
      <c r="BN9" s="163">
        <f t="shared" si="1"/>
        <v>0</v>
      </c>
      <c r="BO9" s="163">
        <f t="shared" si="1"/>
        <v>0</v>
      </c>
      <c r="BP9" s="163">
        <f t="shared" si="1"/>
        <v>0</v>
      </c>
      <c r="BQ9" s="163">
        <f t="shared" si="1"/>
        <v>0</v>
      </c>
      <c r="BR9" s="163">
        <f t="shared" si="1"/>
        <v>0</v>
      </c>
      <c r="BS9" s="163">
        <f t="shared" si="1"/>
        <v>0</v>
      </c>
      <c r="BT9" s="163">
        <f t="shared" si="1"/>
        <v>0</v>
      </c>
      <c r="BU9" s="163">
        <f t="shared" si="1"/>
        <v>0</v>
      </c>
      <c r="BV9" s="163">
        <f t="shared" si="1"/>
        <v>0</v>
      </c>
      <c r="BW9" s="163">
        <f t="shared" si="1"/>
        <v>0</v>
      </c>
      <c r="BX9" s="163">
        <f t="shared" si="1"/>
        <v>0</v>
      </c>
      <c r="BY9" s="163">
        <f t="shared" si="1"/>
        <v>0</v>
      </c>
      <c r="BZ9" s="163">
        <f t="shared" si="1"/>
        <v>0</v>
      </c>
      <c r="CA9" s="163">
        <f t="shared" si="1"/>
        <v>0</v>
      </c>
      <c r="CB9" s="163">
        <f t="shared" si="1"/>
        <v>0</v>
      </c>
      <c r="CC9" s="163">
        <f>SUM(CC11:CC143)</f>
        <v>0</v>
      </c>
    </row>
    <row r="10" spans="1:81" s="22" customFormat="1" ht="47.25" x14ac:dyDescent="0.25">
      <c r="A10" s="8" t="s">
        <v>11</v>
      </c>
      <c r="B10" s="9" t="s">
        <v>285</v>
      </c>
      <c r="C10" s="10" t="s">
        <v>37</v>
      </c>
      <c r="D10" s="10" t="s">
        <v>38</v>
      </c>
      <c r="E10" s="10" t="s">
        <v>57</v>
      </c>
      <c r="F10" s="11" t="str">
        <f>'Data Validation'!H2</f>
        <v>Attendee</v>
      </c>
      <c r="G10" s="11" t="str">
        <f>'Data Validation'!H3</f>
        <v>Patient</v>
      </c>
      <c r="H10" s="11" t="str">
        <f>'Data Validation'!H4</f>
        <v>Patron / Customer</v>
      </c>
      <c r="I10" s="11" t="str">
        <f>'Data Validation'!H5</f>
        <v>Resident</v>
      </c>
      <c r="J10" s="11" t="str">
        <f>'Data Validation'!H6</f>
        <v>Staff</v>
      </c>
      <c r="K10" s="11" t="str">
        <f>'Data Validation'!H7</f>
        <v>Student</v>
      </c>
      <c r="L10" s="11" t="str">
        <f>'Data Validation'!H8</f>
        <v>Visitor</v>
      </c>
      <c r="M10" s="11" t="str">
        <f>'Data Validation'!H9</f>
        <v>Volunteer</v>
      </c>
      <c r="N10" s="11" t="str">
        <f>'Data Validation'!H10</f>
        <v>Other</v>
      </c>
      <c r="O10" s="11" t="s">
        <v>286</v>
      </c>
      <c r="P10" s="11" t="s">
        <v>287</v>
      </c>
      <c r="Q10" s="165" t="str">
        <f>'Data Validation'!U2</f>
        <v>Shift 1</v>
      </c>
      <c r="R10" s="165" t="str">
        <f>'Data Validation'!U3</f>
        <v>Shift 2</v>
      </c>
      <c r="S10" s="165" t="str">
        <f>'Data Validation'!U4</f>
        <v>Shift 3</v>
      </c>
      <c r="T10" s="165" t="str">
        <f>'Data Validation'!U5</f>
        <v>Shift 4</v>
      </c>
      <c r="U10" s="165" t="str">
        <f>'Data Validation'!U6</f>
        <v>Shift 5</v>
      </c>
      <c r="V10" s="166" t="str">
        <f>'Data Validation'!$V2</f>
        <v>Functional Area 1</v>
      </c>
      <c r="W10" s="166" t="str">
        <f>'Data Validation'!$V3</f>
        <v>Functional Area 2</v>
      </c>
      <c r="X10" s="166" t="str">
        <f>'Data Validation'!$V4</f>
        <v>Functional Area 3</v>
      </c>
      <c r="Y10" s="166" t="str">
        <f>'Data Validation'!$V5</f>
        <v>Functional Area 4</v>
      </c>
      <c r="Z10" s="166" t="str">
        <f>'Data Validation'!$V6</f>
        <v>Functional Area 5</v>
      </c>
      <c r="AA10" s="166" t="str">
        <f>'Data Validation'!$V7</f>
        <v>Functional Area 6</v>
      </c>
      <c r="AB10" s="166" t="str">
        <f>'Data Validation'!$V8</f>
        <v>Functional Area 7</v>
      </c>
      <c r="AC10" s="166" t="str">
        <f>'Data Validation'!$V9</f>
        <v>Functional Area 8</v>
      </c>
      <c r="AD10" s="166" t="str">
        <f>'Data Validation'!$V10</f>
        <v>Functional Area 9</v>
      </c>
      <c r="AE10" s="166" t="str">
        <f>'Data Validation'!$V11</f>
        <v>Functional Area 10</v>
      </c>
      <c r="AF10" s="167" t="str">
        <f>CONCATENATE('Data Validation'!$V2, ", ", 'Data Validation'!$U2)</f>
        <v>Functional Area 1, Shift 1</v>
      </c>
      <c r="AG10" s="167" t="str">
        <f>CONCATENATE('Data Validation'!$V2, ", ", 'Data Validation'!$U3)</f>
        <v>Functional Area 1, Shift 2</v>
      </c>
      <c r="AH10" s="167" t="str">
        <f>CONCATENATE('Data Validation'!$V2, ", ", 'Data Validation'!$U4)</f>
        <v>Functional Area 1, Shift 3</v>
      </c>
      <c r="AI10" s="167" t="str">
        <f>CONCATENATE('Data Validation'!$V2, ", ", 'Data Validation'!$U5)</f>
        <v>Functional Area 1, Shift 4</v>
      </c>
      <c r="AJ10" s="167" t="str">
        <f>CONCATENATE('Data Validation'!$V2, ", ", 'Data Validation'!$U6)</f>
        <v>Functional Area 1, Shift 5</v>
      </c>
      <c r="AK10" s="167" t="str">
        <f>CONCATENATE('Data Validation'!$V3, ", ", 'Data Validation'!$U2)</f>
        <v>Functional Area 2, Shift 1</v>
      </c>
      <c r="AL10" s="167" t="str">
        <f>CONCATENATE('Data Validation'!$V3, ", ", 'Data Validation'!$U3)</f>
        <v>Functional Area 2, Shift 2</v>
      </c>
      <c r="AM10" s="167" t="str">
        <f>CONCATENATE('Data Validation'!$V3, ", ", 'Data Validation'!$U4)</f>
        <v>Functional Area 2, Shift 3</v>
      </c>
      <c r="AN10" s="167" t="str">
        <f>CONCATENATE('Data Validation'!$V3, ", ", 'Data Validation'!$U5)</f>
        <v>Functional Area 2, Shift 4</v>
      </c>
      <c r="AO10" s="167" t="str">
        <f>CONCATENATE('Data Validation'!$V3, ", ", 'Data Validation'!$U6)</f>
        <v>Functional Area 2, Shift 5</v>
      </c>
      <c r="AP10" s="167" t="str">
        <f>CONCATENATE('Data Validation'!$V4, ", ", 'Data Validation'!$U2)</f>
        <v>Functional Area 3, Shift 1</v>
      </c>
      <c r="AQ10" s="167" t="str">
        <f>CONCATENATE('Data Validation'!$V4, ", ", 'Data Validation'!$U3)</f>
        <v>Functional Area 3, Shift 2</v>
      </c>
      <c r="AR10" s="167" t="str">
        <f>CONCATENATE('Data Validation'!$V4, ", ", 'Data Validation'!$U4)</f>
        <v>Functional Area 3, Shift 3</v>
      </c>
      <c r="AS10" s="167" t="str">
        <f>CONCATENATE('Data Validation'!$V4, ", ", 'Data Validation'!$U5)</f>
        <v>Functional Area 3, Shift 4</v>
      </c>
      <c r="AT10" s="167" t="str">
        <f>CONCATENATE('Data Validation'!$V4, ", ", 'Data Validation'!$U6)</f>
        <v>Functional Area 3, Shift 5</v>
      </c>
      <c r="AU10" s="167" t="str">
        <f>CONCATENATE('Data Validation'!$V5, ", ", 'Data Validation'!$U2)</f>
        <v>Functional Area 4, Shift 1</v>
      </c>
      <c r="AV10" s="167" t="str">
        <f>CONCATENATE('Data Validation'!$V5, ", ", 'Data Validation'!$U3)</f>
        <v>Functional Area 4, Shift 2</v>
      </c>
      <c r="AW10" s="167" t="str">
        <f>CONCATENATE('Data Validation'!$V5, ", ", 'Data Validation'!$U4)</f>
        <v>Functional Area 4, Shift 3</v>
      </c>
      <c r="AX10" s="167" t="str">
        <f>CONCATENATE('Data Validation'!$V5, ", ", 'Data Validation'!$U5)</f>
        <v>Functional Area 4, Shift 4</v>
      </c>
      <c r="AY10" s="167" t="str">
        <f>CONCATENATE('Data Validation'!$V5, ", ", 'Data Validation'!$U6)</f>
        <v>Functional Area 4, Shift 5</v>
      </c>
      <c r="AZ10" s="167" t="str">
        <f>CONCATENATE('Data Validation'!$V6, ", ", 'Data Validation'!$U2)</f>
        <v>Functional Area 5, Shift 1</v>
      </c>
      <c r="BA10" s="167" t="str">
        <f>CONCATENATE('Data Validation'!$V6, ", ", 'Data Validation'!$U3)</f>
        <v>Functional Area 5, Shift 2</v>
      </c>
      <c r="BB10" s="167" t="str">
        <f>CONCATENATE('Data Validation'!$V6, ", ", 'Data Validation'!$U4)</f>
        <v>Functional Area 5, Shift 3</v>
      </c>
      <c r="BC10" s="167" t="str">
        <f>CONCATENATE('Data Validation'!$V6, ", ", 'Data Validation'!$U5)</f>
        <v>Functional Area 5, Shift 4</v>
      </c>
      <c r="BD10" s="167" t="str">
        <f>CONCATENATE('Data Validation'!$V6, ", ", 'Data Validation'!$U6)</f>
        <v>Functional Area 5, Shift 5</v>
      </c>
      <c r="BE10" s="167" t="str">
        <f>CONCATENATE('Data Validation'!$V7, ", ", 'Data Validation'!$U2)</f>
        <v>Functional Area 6, Shift 1</v>
      </c>
      <c r="BF10" s="167" t="str">
        <f>CONCATENATE('Data Validation'!$V7, ", ", 'Data Validation'!$U3)</f>
        <v>Functional Area 6, Shift 2</v>
      </c>
      <c r="BG10" s="167" t="str">
        <f>CONCATENATE('Data Validation'!$V7, ", ", 'Data Validation'!$U4)</f>
        <v>Functional Area 6, Shift 3</v>
      </c>
      <c r="BH10" s="167" t="str">
        <f>CONCATENATE('Data Validation'!$V7, ", ", 'Data Validation'!$U5)</f>
        <v>Functional Area 6, Shift 4</v>
      </c>
      <c r="BI10" s="167" t="str">
        <f>CONCATENATE('Data Validation'!$V7, ", ", 'Data Validation'!$U6)</f>
        <v>Functional Area 6, Shift 5</v>
      </c>
      <c r="BJ10" s="167" t="str">
        <f>CONCATENATE('Data Validation'!$V8, ", ", 'Data Validation'!$U2)</f>
        <v>Functional Area 7, Shift 1</v>
      </c>
      <c r="BK10" s="167" t="str">
        <f>CONCATENATE('Data Validation'!$V8, ", ", 'Data Validation'!$U3)</f>
        <v>Functional Area 7, Shift 2</v>
      </c>
      <c r="BL10" s="167" t="str">
        <f>CONCATENATE('Data Validation'!$V8, ", ", 'Data Validation'!$U4)</f>
        <v>Functional Area 7, Shift 3</v>
      </c>
      <c r="BM10" s="167" t="str">
        <f>CONCATENATE('Data Validation'!$V8, ", ", 'Data Validation'!$U5)</f>
        <v>Functional Area 7, Shift 4</v>
      </c>
      <c r="BN10" s="167" t="str">
        <f>CONCATENATE('Data Validation'!$V8, ", ", 'Data Validation'!$U6)</f>
        <v>Functional Area 7, Shift 5</v>
      </c>
      <c r="BO10" s="167" t="str">
        <f>CONCATENATE('Data Validation'!$V9, ", ", 'Data Validation'!$U2)</f>
        <v>Functional Area 8, Shift 1</v>
      </c>
      <c r="BP10" s="167" t="str">
        <f>CONCATENATE('Data Validation'!$V9, ", ", 'Data Validation'!$U3)</f>
        <v>Functional Area 8, Shift 2</v>
      </c>
      <c r="BQ10" s="167" t="str">
        <f>CONCATENATE('Data Validation'!$V9, ", ", 'Data Validation'!$U4)</f>
        <v>Functional Area 8, Shift 3</v>
      </c>
      <c r="BR10" s="167" t="str">
        <f>CONCATENATE('Data Validation'!$V9, ", ", 'Data Validation'!$U5)</f>
        <v>Functional Area 8, Shift 4</v>
      </c>
      <c r="BS10" s="167" t="str">
        <f>CONCATENATE('Data Validation'!$V9, ", ", 'Data Validation'!$U6)</f>
        <v>Functional Area 8, Shift 5</v>
      </c>
      <c r="BT10" s="167" t="str">
        <f>CONCATENATE('Data Validation'!$V10, ", ", 'Data Validation'!$U2)</f>
        <v>Functional Area 9, Shift 1</v>
      </c>
      <c r="BU10" s="167" t="str">
        <f>CONCATENATE('Data Validation'!$V10, ", ", 'Data Validation'!$U3)</f>
        <v>Functional Area 9, Shift 2</v>
      </c>
      <c r="BV10" s="167" t="str">
        <f>CONCATENATE('Data Validation'!$V10, ", ", 'Data Validation'!$U4)</f>
        <v>Functional Area 9, Shift 3</v>
      </c>
      <c r="BW10" s="167" t="str">
        <f>CONCATENATE('Data Validation'!$V10, ", ", 'Data Validation'!$U5)</f>
        <v>Functional Area 9, Shift 4</v>
      </c>
      <c r="BX10" s="167" t="str">
        <f>CONCATENATE('Data Validation'!$V10, ", ", 'Data Validation'!$U6)</f>
        <v>Functional Area 9, Shift 5</v>
      </c>
      <c r="BY10" s="167" t="str">
        <f>CONCATENATE('Data Validation'!$V11, ", ", 'Data Validation'!$U2)</f>
        <v>Functional Area 10, Shift 1</v>
      </c>
      <c r="BZ10" s="167" t="str">
        <f>CONCATENATE('Data Validation'!$V11, ", ", 'Data Validation'!$U3)</f>
        <v>Functional Area 10, Shift 2</v>
      </c>
      <c r="CA10" s="167" t="str">
        <f>CONCATENATE('Data Validation'!$V11, ", ", 'Data Validation'!$U4)</f>
        <v>Functional Area 10, Shift 3</v>
      </c>
      <c r="CB10" s="167" t="str">
        <f>CONCATENATE('Data Validation'!$V11, ", ", 'Data Validation'!$U5)</f>
        <v>Functional Area 10, Shift 4</v>
      </c>
      <c r="CC10" s="167" t="str">
        <f>CONCATENATE('Data Validation'!$V11, ", ", 'Data Validation'!$U6)</f>
        <v>Functional Area 10, Shift 5</v>
      </c>
    </row>
    <row r="11" spans="1:81" x14ac:dyDescent="0.25">
      <c r="A11" s="12">
        <f>A12-1</f>
        <v>-1</v>
      </c>
      <c r="B11" s="13">
        <f>SUM(C11:D11)</f>
        <v>0</v>
      </c>
      <c r="C11" s="13">
        <f>COUNTIFS('Data entry'!$R$6:$R$200,$A11,'Data entry'!$B$6:$B$200,"Confirmed",'Data entry'!$BD$6:$BD$200,"&lt;&gt;*Negative*")</f>
        <v>0</v>
      </c>
      <c r="D11" s="13">
        <f>COUNTIFS('Data entry'!$R$6:$R$200,$A11,'Data entry'!$B$6:$B$200,"Probable",'Data entry'!$BD$6:$BD$200,"&lt;&gt;*Negative*")</f>
        <v>0</v>
      </c>
      <c r="E11" s="13">
        <f>COUNTIFS('Data entry'!$R$6:$R$200,$A11,'Data entry'!$B$6:$B$200,"DNM")</f>
        <v>0</v>
      </c>
      <c r="F11" s="13">
        <f>SUM(COUNTIFS('Data entry'!$R$6:$R$200,'Summary Data'!$A11,'Data entry'!$B$6:$B$200,{"Confirmed";"Probable"},'Data entry'!$AO$6:$AO$200,$F$10, 'Data entry'!$BD$6:$BD$200,"&lt;&gt;*Negative*"))</f>
        <v>0</v>
      </c>
      <c r="G11" s="13">
        <f>SUM(COUNTIFS('Data entry'!$R$6:$R$200,'Summary Data'!$A11,'Data entry'!$B$6:$B$200,{"Confirmed";"Probable"},'Data entry'!$AO$6:$AO$200,$G$10, 'Data entry'!$BD$6:$BD$200,"&lt;&gt;*Negative*"))</f>
        <v>0</v>
      </c>
      <c r="H11" s="13">
        <f>SUM(COUNTIFS('Data entry'!$R$6:$R$200,'Summary Data'!$A11,'Data entry'!$B$6:$B$200,{"Confirmed";"Probable"},'Data entry'!$AO$6:$AO$200,$H$10, 'Data entry'!$BD$6:$BD$200,"&lt;&gt;*Negative*"))</f>
        <v>0</v>
      </c>
      <c r="I11" s="13">
        <f>SUM(COUNTIFS('Data entry'!$R$6:$R$200,'Summary Data'!$A11,'Data entry'!$B$6:$B$200,{"Confirmed";"Probable"},'Data entry'!$AO$6:$AO$200,$I$10, 'Data entry'!$BD$6:$BD$200,"&lt;&gt;*Negative*"))</f>
        <v>0</v>
      </c>
      <c r="J11" s="13">
        <f>SUM(COUNTIFS('Data entry'!$R$6:$R$200,'Summary Data'!$A11,'Data entry'!$B$6:$B$200,{"Confirmed";"Probable"},'Data entry'!$AO$6:$AO$200,$J$10, 'Data entry'!$BD$6:$BD$200,"&lt;&gt;*Negative*"))</f>
        <v>0</v>
      </c>
      <c r="K11" s="13">
        <f>SUM(COUNTIFS('Data entry'!$R$6:$R$200,'Summary Data'!$A11,'Data entry'!$B$6:$B$200,{"Confirmed";"Probable"},'Data entry'!$AO$6:$AO$200,$K$10, 'Data entry'!$BD$6:$BD$200,"&lt;&gt;*Negative*"))</f>
        <v>0</v>
      </c>
      <c r="L11" s="13">
        <f>SUM(COUNTIFS('Data entry'!$R$6:$R$200,'Summary Data'!$A11,'Data entry'!$B$6:$B$200,{"Confirmed";"Probable"},'Data entry'!$AO$6:$AO$200,$L$10, 'Data entry'!$BD$6:$BD$200,"&lt;&gt;*Negative*"))</f>
        <v>0</v>
      </c>
      <c r="M11" s="13">
        <f>SUM(COUNTIFS('Data entry'!$R$6:$R$200,'Summary Data'!$A11,'Data entry'!$B$6:$B$200,{"Confirmed";"Probable"},'Data entry'!$AO$6:$AO$200,$M$10, 'Data entry'!$BD$6:$BD$200,"&lt;&gt;*Negative*"))</f>
        <v>0</v>
      </c>
      <c r="N11" s="13">
        <f>SUM(COUNTIFS('Data entry'!$R$6:$R$200,'Summary Data'!$A11,'Data entry'!$B$6:$B$200,{"Confirmed";"Probable"},'Data entry'!$AO$6:$AO$200,$N$10, 'Data entry'!$BD$6:$BD$200,"&lt;&gt;*Negative*"))</f>
        <v>0</v>
      </c>
      <c r="O11" s="15">
        <f>J11+M11</f>
        <v>0</v>
      </c>
      <c r="P11" s="15">
        <f>F11+G11+H11+I11+K11+L11+N11</f>
        <v>0</v>
      </c>
      <c r="Q11" s="15">
        <f>SUM(COUNTIFS('Data entry'!$R$6:$R$200,'Summary Data'!$A11,'Data entry'!$B$6:$B$200,{"Confirmed";"Probable"},'Data entry'!$AP$6:$AP$200,'Data Validation'!$U$2, 'Data entry'!$BD$6:$BD$200,"&lt;&gt;*Negative*"))</f>
        <v>0</v>
      </c>
      <c r="R11" s="15">
        <f>SUM(COUNTIFS('Data entry'!$R$6:$R$200,'Summary Data'!$A11,'Data entry'!$B$6:$B$200,{"Confirmed";"Probable"},'Data entry'!$AP$6:$AP$200,'Data Validation'!$U$3, 'Data entry'!$BD$6:$BD$200,"&lt;&gt;*Negative*"))</f>
        <v>0</v>
      </c>
      <c r="S11" s="15">
        <f>SUM(COUNTIFS('Data entry'!$R$6:$R$200,'Summary Data'!$A11,'Data entry'!$B$6:$B$200,{"Confirmed";"Probable"},'Data entry'!$AP$6:$AP$200,'Data Validation'!$U$4, 'Data entry'!$BD$6:$BD$200,"&lt;&gt;*Negative*"))</f>
        <v>0</v>
      </c>
      <c r="T11" s="15">
        <f>SUM(COUNTIFS('Data entry'!$R$6:$R$200,'Summary Data'!$A11,'Data entry'!$B$6:$B$200,{"Confirmed";"Probable"},'Data entry'!$AP$6:$AP$200,'Data Validation'!$U$5, 'Data entry'!$BD$6:$BD$200,"&lt;&gt;*Negative*"))</f>
        <v>0</v>
      </c>
      <c r="U11" s="15">
        <f>SUM(COUNTIFS('Data entry'!$R$6:$R$200,'Summary Data'!$A11,'Data entry'!$B$6:$B$200,{"Confirmed";"Probable"},'Data entry'!$AP$6:$AP$200,'Data Validation'!$U$6, 'Data entry'!$BD$6:$BD$200,"&lt;&gt;*Negative*"))</f>
        <v>0</v>
      </c>
      <c r="V11" s="15">
        <f>SUM(COUNTIFS('Data entry'!$R$6:$R$200,'Summary Data'!$A11,'Data entry'!$B$6:$B$200,{"Confirmed";"Probable"},'Data entry'!$AQ$6:$AQ$200,'Data Validation'!$V$2, 'Data entry'!$BD$6:$BD$200,"&lt;&gt;*Negative*"))</f>
        <v>0</v>
      </c>
      <c r="W11" s="15">
        <f>SUM(COUNTIFS('Data entry'!$R$6:$R$200,'Summary Data'!$A11,'Data entry'!$B$6:$B$200,{"Confirmed";"Probable"},'Data entry'!$AQ$6:$AQ$200,'Data Validation'!$V$3, 'Data entry'!$BD$6:$BD$200,"&lt;&gt;*Negative*"))</f>
        <v>0</v>
      </c>
      <c r="X11" s="15">
        <f>SUM(COUNTIFS('Data entry'!$R$6:$R$200,'Summary Data'!$A11,'Data entry'!$B$6:$B$200,{"Confirmed";"Probable"},'Data entry'!$AQ$6:$AQ$200,'Data Validation'!$V$4, 'Data entry'!$BD$6:$BD$200,"&lt;&gt;*Negative*"))</f>
        <v>0</v>
      </c>
      <c r="Y11" s="15">
        <f>SUM(COUNTIFS('Data entry'!$R$6:$R$200,'Summary Data'!$A11,'Data entry'!$B$6:$B$200,{"Confirmed";"Probable"},'Data entry'!$AQ$6:$AQ$200,'Data Validation'!$V$5, 'Data entry'!$BD$6:$BD$200,"&lt;&gt;*Negative*"))</f>
        <v>0</v>
      </c>
      <c r="Z11" s="15">
        <f>SUM(COUNTIFS('Data entry'!$R$6:$R$200,'Summary Data'!$A11,'Data entry'!$B$6:$B$200,{"Confirmed";"Probable"},'Data entry'!$AQ$6:$AQ$200,'Data Validation'!$V$6, 'Data entry'!$BD$6:$BD$200,"&lt;&gt;*Negative*"))</f>
        <v>0</v>
      </c>
      <c r="AA11" s="15">
        <f>SUM(COUNTIFS('Data entry'!$R$6:$R$200,'Summary Data'!$A11,'Data entry'!$B$6:$B$200,{"Confirmed";"Probable"},'Data entry'!$AQ$6:$AQ$200,'Data Validation'!$V$7, 'Data entry'!$BD$6:$BD$200,"&lt;&gt;*Negative*"))</f>
        <v>0</v>
      </c>
      <c r="AB11" s="15">
        <f>SUM(COUNTIFS('Data entry'!$R$6:$R$200,'Summary Data'!$A11,'Data entry'!$B$6:$B$200,{"Confirmed";"Probable"},'Data entry'!$AQ$6:$AQ$200,'Data Validation'!$V$8, 'Data entry'!$BD$6:$BD$200,"&lt;&gt;*Negative*"))</f>
        <v>0</v>
      </c>
      <c r="AC11" s="15">
        <f>SUM(COUNTIFS('Data entry'!$R$6:$R$200,'Summary Data'!$A11,'Data entry'!$B$6:$B$200,{"Confirmed";"Probable"},'Data entry'!$AQ$6:$AQ$200,'Data Validation'!$V$9, 'Data entry'!$BD$6:$BD$200,"&lt;&gt;*Negative*"))</f>
        <v>0</v>
      </c>
      <c r="AD11" s="15">
        <f>SUM(COUNTIFS('Data entry'!$R$6:$R$200,'Summary Data'!$A11,'Data entry'!$B$6:$B$200,{"Confirmed";"Probable"},'Data entry'!$AQ$6:$AQ$200,'Data Validation'!$V$10, 'Data entry'!$BD$6:$BD$200,"&lt;&gt;*Negative*"))</f>
        <v>0</v>
      </c>
      <c r="AE11" s="15">
        <f>SUM(COUNTIFS('Data entry'!$R$6:$R$200,'Summary Data'!$A11,'Data entry'!$B$6:$B$200,{"Confirmed";"Probable"},'Data entry'!$AQ$6:$AQ$200,'Data Validation'!$V$11, 'Data entry'!$BD$6:$BD$200,"&lt;&gt;*Negative*"))</f>
        <v>0</v>
      </c>
      <c r="AF11" s="15">
        <f>SUM(COUNTIFS('Data entry'!$R$6:$R$200,'Summary Data'!$A11,'Data entry'!$B$6:$B$200,{"Confirmed";"Probable"},'Data entry'!$AQ$6:$AQ$200,'Data Validation'!$V$2, 'Data entry'!$AP$6:$AP$200,'Data Validation'!$U$2, 'Data entry'!$BD$6:$BD$200,"&lt;&gt;*Negative*"))</f>
        <v>0</v>
      </c>
      <c r="AG11" s="15">
        <f>SUM(COUNTIFS('Data entry'!$R$6:$R$200,'Summary Data'!$A11,'Data entry'!$B$6:$B$200,{"Confirmed";"Probable"},'Data entry'!$AQ$6:$AQ$200,'Data Validation'!$V$2, 'Data entry'!$AP$6:$AP$200,'Data Validation'!$U$3, 'Data entry'!$BD$6:$BD$200,"&lt;&gt;*Negative*"))</f>
        <v>0</v>
      </c>
      <c r="AH11" s="15">
        <f>SUM(COUNTIFS('Data entry'!$R$6:$R$200,'Summary Data'!$A11,'Data entry'!$B$6:$B$200,{"Confirmed";"Probable"},'Data entry'!$AQ$6:$AQ$200,'Data Validation'!$V$2, 'Data entry'!$AP$6:$AP$200,'Data Validation'!$U$4, 'Data entry'!$BD$6:$BD$200,"&lt;&gt;*Negative*"))</f>
        <v>0</v>
      </c>
      <c r="AI11" s="15">
        <f>SUM(COUNTIFS('Data entry'!$R$6:$R$200,'Summary Data'!$A11,'Data entry'!$B$6:$B$200,{"Confirmed";"Probable"},'Data entry'!$AQ$6:$AQ$200,'Data Validation'!$V$2, 'Data entry'!$AP$6:$AP$200,'Data Validation'!$U$5, 'Data entry'!$BD$6:$BD$200,"&lt;&gt;*Negative*"))</f>
        <v>0</v>
      </c>
      <c r="AJ11" s="15">
        <f>SUM(COUNTIFS('Data entry'!$R$6:$R$200,'Summary Data'!$A11,'Data entry'!$B$6:$B$200,{"Confirmed";"Probable"},'Data entry'!$AQ$6:$AQ$200,'Data Validation'!$V$2, 'Data entry'!$AP$6:$AP$200,'Data Validation'!$U$6, 'Data entry'!$BD$6:$BD$200,"&lt;&gt;*Negative*"))</f>
        <v>0</v>
      </c>
      <c r="AK11" s="15">
        <f>SUM(COUNTIFS('Data entry'!$R$6:$R$200,'Summary Data'!$A11,'Data entry'!$B$6:$B$200,{"Confirmed";"Probable"},'Data entry'!$AQ$6:$AQ$200,'Data Validation'!$V$3, 'Data entry'!$AP$6:$AP$200,'Data Validation'!$U$2, 'Data entry'!$BD$6:$BD$200,"&lt;&gt;*Negative*"))</f>
        <v>0</v>
      </c>
      <c r="AL11" s="15">
        <f>SUM(COUNTIFS('Data entry'!$R$6:$R$200,'Summary Data'!$A11,'Data entry'!$B$6:$B$200,{"Confirmed";"Probable"},'Data entry'!$AQ$6:$AQ$200,'Data Validation'!$V$3, 'Data entry'!$AP$6:$AP$200,'Data Validation'!$U$3, 'Data entry'!$BD$6:$BD$200,"&lt;&gt;*Negative*"))</f>
        <v>0</v>
      </c>
      <c r="AM11" s="15">
        <f>SUM(COUNTIFS('Data entry'!$R$6:$R$200,'Summary Data'!$A11,'Data entry'!$B$6:$B$200,{"Confirmed";"Probable"},'Data entry'!$AQ$6:$AQ$200,'Data Validation'!$V$3, 'Data entry'!$AP$6:$AP$200,'Data Validation'!$U$4, 'Data entry'!$BD$6:$BD$200,"&lt;&gt;*Negative*"))</f>
        <v>0</v>
      </c>
      <c r="AN11" s="15">
        <f>SUM(COUNTIFS('Data entry'!$R$6:$R$200,'Summary Data'!$A11,'Data entry'!$B$6:$B$200,{"Confirmed";"Probable"},'Data entry'!$AQ$6:$AQ$200,'Data Validation'!$V$3, 'Data entry'!$AP$6:$AP$200,'Data Validation'!$U$5, 'Data entry'!$BD$6:$BD$200,"&lt;&gt;*Negative*"))</f>
        <v>0</v>
      </c>
      <c r="AO11" s="15">
        <f>SUM(COUNTIFS('Data entry'!$R$6:$R$200,'Summary Data'!$A11,'Data entry'!$B$6:$B$200,{"Confirmed";"Probable"},'Data entry'!$AQ$6:$AQ$200,'Data Validation'!$V$3, 'Data entry'!$AP$6:$AP$200,'Data Validation'!$U$6, 'Data entry'!$BD$6:$BD$200,"&lt;&gt;*Negative*"))</f>
        <v>0</v>
      </c>
      <c r="AP11" s="15">
        <f>SUM(COUNTIFS('Data entry'!$R$6:$R$200,'Summary Data'!$A11,'Data entry'!$B$6:$B$200,{"Confirmed";"Probable"},'Data entry'!$AQ$6:$AQ$200,'Data Validation'!$V$4, 'Data entry'!$AP$6:$AP$200,'Data Validation'!$U$2, 'Data entry'!$BD$6:$BD$200,"&lt;&gt;*Negative*"))</f>
        <v>0</v>
      </c>
      <c r="AQ11" s="15">
        <f>SUM(COUNTIFS('Data entry'!$R$6:$R$200,'Summary Data'!$A11,'Data entry'!$B$6:$B$200,{"Confirmed";"Probable"},'Data entry'!$AQ$6:$AQ$200,'Data Validation'!$V$4, 'Data entry'!$AP$6:$AP$200,'Data Validation'!$U$3, 'Data entry'!$BD$6:$BD$200,"&lt;&gt;*Negative*"))</f>
        <v>0</v>
      </c>
      <c r="AR11" s="15">
        <f>SUM(COUNTIFS('Data entry'!$R$6:$R$200,'Summary Data'!$A11,'Data entry'!$B$6:$B$200,{"Confirmed";"Probable"},'Data entry'!$AQ$6:$AQ$200,'Data Validation'!$V$4, 'Data entry'!$AP$6:$AP$200,'Data Validation'!$U$4, 'Data entry'!$BD$6:$BD$200,"&lt;&gt;*Negative*"))</f>
        <v>0</v>
      </c>
      <c r="AS11" s="15">
        <f>SUM(COUNTIFS('Data entry'!$R$6:$R$200,'Summary Data'!$A11,'Data entry'!$B$6:$B$200,{"Confirmed";"Probable"},'Data entry'!$AQ$6:$AQ$200,'Data Validation'!$V$4, 'Data entry'!$AP$6:$AP$200,'Data Validation'!$U$5, 'Data entry'!$BD$6:$BD$200,"&lt;&gt;*Negative*"))</f>
        <v>0</v>
      </c>
      <c r="AT11" s="15">
        <f>SUM(COUNTIFS('Data entry'!$R$6:$R$200,'Summary Data'!$A11,'Data entry'!$B$6:$B$200,{"Confirmed";"Probable"},'Data entry'!$AQ$6:$AQ$200,'Data Validation'!$V$4, 'Data entry'!$AP$6:$AP$200,'Data Validation'!$U$6, 'Data entry'!$BD$6:$BD$200,"&lt;&gt;*Negative*"))</f>
        <v>0</v>
      </c>
      <c r="AU11" s="15">
        <f>SUM(COUNTIFS('Data entry'!$R$6:$R$200,'Summary Data'!$A11,'Data entry'!$B$6:$B$200,{"Confirmed";"Probable"},'Data entry'!$AQ$6:$AQ$200,'Data Validation'!$V$5, 'Data entry'!$AP$6:$AP$200,'Data Validation'!$U$2, 'Data entry'!$BD$6:$BD$200,"&lt;&gt;*Negative*"))</f>
        <v>0</v>
      </c>
      <c r="AV11" s="15">
        <f>SUM(COUNTIFS('Data entry'!$R$6:$R$200,'Summary Data'!$A11,'Data entry'!$B$6:$B$200,{"Confirmed";"Probable"},'Data entry'!$AQ$6:$AQ$200,'Data Validation'!$V$5, 'Data entry'!$AP$6:$AP$200,'Data Validation'!$U$3, 'Data entry'!$BD$6:$BD$200,"&lt;&gt;*Negative*"))</f>
        <v>0</v>
      </c>
      <c r="AW11" s="15">
        <f>SUM(COUNTIFS('Data entry'!$R$6:$R$200,'Summary Data'!$A11,'Data entry'!$B$6:$B$200,{"Confirmed";"Probable"},'Data entry'!$AQ$6:$AQ$200,'Data Validation'!$V$5, 'Data entry'!$AP$6:$AP$200,'Data Validation'!$U$4, 'Data entry'!$BD$6:$BD$200,"&lt;&gt;*Negative*"))</f>
        <v>0</v>
      </c>
      <c r="AX11" s="15">
        <f>SUM(COUNTIFS('Data entry'!$R$6:$R$200,'Summary Data'!$A11,'Data entry'!$B$6:$B$200,{"Confirmed";"Probable"},'Data entry'!$AQ$6:$AQ$200,'Data Validation'!$V$5, 'Data entry'!$AP$6:$AP$200,'Data Validation'!$U$5, 'Data entry'!$BD$6:$BD$200,"&lt;&gt;*Negative*"))</f>
        <v>0</v>
      </c>
      <c r="AY11" s="15">
        <f>SUM(COUNTIFS('Data entry'!$R$6:$R$200,'Summary Data'!$A11,'Data entry'!$B$6:$B$200,{"Confirmed";"Probable"},'Data entry'!$AQ$6:$AQ$200,'Data Validation'!$V$5, 'Data entry'!$AP$6:$AP$200,'Data Validation'!$U$6, 'Data entry'!$BD$6:$BD$200,"&lt;&gt;*Negative*"))</f>
        <v>0</v>
      </c>
      <c r="AZ11" s="15">
        <f>SUM(COUNTIFS('Data entry'!$R$6:$R$200,'Summary Data'!$A11,'Data entry'!$B$6:$B$200,{"Confirmed";"Probable"},'Data entry'!$AQ$6:$AQ$200,'Data Validation'!$V$6, 'Data entry'!$AP$6:$AP$200,'Data Validation'!$U$2, 'Data entry'!$BD$6:$BD$200,"&lt;&gt;*Negative*"))</f>
        <v>0</v>
      </c>
      <c r="BA11" s="15">
        <f>SUM(COUNTIFS('Data entry'!$R$6:$R$200,'Summary Data'!$A11,'Data entry'!$B$6:$B$200,{"Confirmed";"Probable"},'Data entry'!$AQ$6:$AQ$200,'Data Validation'!$V$6, 'Data entry'!$AP$6:$AP$200,'Data Validation'!$U$3, 'Data entry'!$BD$6:$BD$200,"&lt;&gt;*Negative*"))</f>
        <v>0</v>
      </c>
      <c r="BB11" s="15">
        <f>SUM(COUNTIFS('Data entry'!$R$6:$R$200,'Summary Data'!$A11,'Data entry'!$B$6:$B$200,{"Confirmed";"Probable"},'Data entry'!$AQ$6:$AQ$200,'Data Validation'!$V$6, 'Data entry'!$AP$6:$AP$200,'Data Validation'!$U$4, 'Data entry'!$BD$6:$BD$200,"&lt;&gt;*Negative*"))</f>
        <v>0</v>
      </c>
      <c r="BC11" s="15">
        <f>SUM(COUNTIFS('Data entry'!$R$6:$R$200,'Summary Data'!$A11,'Data entry'!$B$6:$B$200,{"Confirmed";"Probable"},'Data entry'!$AQ$6:$AQ$200,'Data Validation'!$V$6, 'Data entry'!$AP$6:$AP$200,'Data Validation'!$U$5, 'Data entry'!$BD$6:$BD$200,"&lt;&gt;*Negative*"))</f>
        <v>0</v>
      </c>
      <c r="BD11" s="15">
        <f>SUM(COUNTIFS('Data entry'!$R$6:$R$200,'Summary Data'!$A11,'Data entry'!$B$6:$B$200,{"Confirmed";"Probable"},'Data entry'!$AQ$6:$AQ$200,'Data Validation'!$V$6, 'Data entry'!$AP$6:$AP$200,'Data Validation'!$U$6, 'Data entry'!$BD$6:$BD$200,"&lt;&gt;*Negative*"))</f>
        <v>0</v>
      </c>
      <c r="BE11" s="15">
        <f>SUM(COUNTIFS('Data entry'!$R$6:$R$200,'Summary Data'!$A11,'Data entry'!$B$6:$B$200,{"Confirmed";"Probable"},'Data entry'!$AQ$6:$AQ$200,'Data Validation'!$V$7, 'Data entry'!$AP$6:$AP$200,'Data Validation'!$U$2, 'Data entry'!$BD$6:$BD$200,"&lt;&gt;*Negative*"))</f>
        <v>0</v>
      </c>
      <c r="BF11" s="15">
        <f>SUM(COUNTIFS('Data entry'!$R$6:$R$200,'Summary Data'!$A11,'Data entry'!$B$6:$B$200,{"Confirmed";"Probable"},'Data entry'!$AQ$6:$AQ$200,'Data Validation'!$V$7, 'Data entry'!$AP$6:$AP$200,'Data Validation'!$U$3, 'Data entry'!$BD$6:$BD$200,"&lt;&gt;*Negative*"))</f>
        <v>0</v>
      </c>
      <c r="BG11" s="15">
        <f>SUM(COUNTIFS('Data entry'!$R$6:$R$200,'Summary Data'!$A11,'Data entry'!$B$6:$B$200,{"Confirmed";"Probable"},'Data entry'!$AQ$6:$AQ$200,'Data Validation'!$V$7, 'Data entry'!$AP$6:$AP$200,'Data Validation'!$U$4, 'Data entry'!$BD$6:$BD$200,"&lt;&gt;*Negative*"))</f>
        <v>0</v>
      </c>
      <c r="BH11" s="15">
        <f>SUM(COUNTIFS('Data entry'!$R$6:$R$200,'Summary Data'!$A11,'Data entry'!$B$6:$B$200,{"Confirmed";"Probable"},'Data entry'!$AQ$6:$AQ$200,'Data Validation'!$V$7, 'Data entry'!$AP$6:$AP$200,'Data Validation'!$U$5, 'Data entry'!$BD$6:$BD$200,"&lt;&gt;*Negative*"))</f>
        <v>0</v>
      </c>
      <c r="BI11" s="15">
        <f>SUM(COUNTIFS('Data entry'!$R$6:$R$200,'Summary Data'!$A11,'Data entry'!$B$6:$B$200,{"Confirmed";"Probable"},'Data entry'!$AQ$6:$AQ$200,'Data Validation'!$V$7, 'Data entry'!$AP$6:$AP$200,'Data Validation'!$U$6, 'Data entry'!$BD$6:$BD$200,"&lt;&gt;*Negative*"))</f>
        <v>0</v>
      </c>
      <c r="BJ11" s="15">
        <f>SUM(COUNTIFS('Data entry'!$R$6:$R$200,'Summary Data'!$A11,'Data entry'!$B$6:$B$200,{"Confirmed";"Probable"},'Data entry'!$AQ$6:$AQ$200,'Data Validation'!$V$8, 'Data entry'!$AP$6:$AP$200,'Data Validation'!$U$2, 'Data entry'!$BD$6:$BD$200,"&lt;&gt;*Negative*"))</f>
        <v>0</v>
      </c>
      <c r="BK11" s="15">
        <f>SUM(COUNTIFS('Data entry'!$R$6:$R$200,'Summary Data'!$A11,'Data entry'!$B$6:$B$200,{"Confirmed";"Probable"},'Data entry'!$AQ$6:$AQ$200,'Data Validation'!$V$8, 'Data entry'!$AP$6:$AP$200,'Data Validation'!$U$3, 'Data entry'!$BD$6:$BD$200,"&lt;&gt;*Negative*"))</f>
        <v>0</v>
      </c>
      <c r="BL11" s="15">
        <f>SUM(COUNTIFS('Data entry'!$R$6:$R$200,'Summary Data'!$A11,'Data entry'!$B$6:$B$200,{"Confirmed";"Probable"},'Data entry'!$AQ$6:$AQ$200,'Data Validation'!$V$8, 'Data entry'!$AP$6:$AP$200,'Data Validation'!$U$4, 'Data entry'!$BD$6:$BD$200,"&lt;&gt;*Negative*"))</f>
        <v>0</v>
      </c>
      <c r="BM11" s="15">
        <f>SUM(COUNTIFS('Data entry'!$R$6:$R$200,'Summary Data'!$A11,'Data entry'!$B$6:$B$200,{"Confirmed";"Probable"},'Data entry'!$AQ$6:$AQ$200,'Data Validation'!$V$8, 'Data entry'!$AP$6:$AP$200,'Data Validation'!$U$5, 'Data entry'!$BD$6:$BD$200,"&lt;&gt;*Negative*"))</f>
        <v>0</v>
      </c>
      <c r="BN11" s="15">
        <f>SUM(COUNTIFS('Data entry'!$R$6:$R$200,'Summary Data'!$A11,'Data entry'!$B$6:$B$200,{"Confirmed";"Probable"},'Data entry'!$AQ$6:$AQ$200,'Data Validation'!$V$8, 'Data entry'!$AP$6:$AP$200,'Data Validation'!$U$6, 'Data entry'!$BD$6:$BD$200,"&lt;&gt;*Negative*"))</f>
        <v>0</v>
      </c>
      <c r="BO11" s="15">
        <f>SUM(COUNTIFS('Data entry'!$R$6:$R$200,'Summary Data'!$A11,'Data entry'!$B$6:$B$200,{"Confirmed";"Probable"},'Data entry'!$AQ$6:$AQ$200,'Data Validation'!$V$9, 'Data entry'!$AP$6:$AP$200,'Data Validation'!$U$2, 'Data entry'!$BD$6:$BD$200,"&lt;&gt;*Negative*"))</f>
        <v>0</v>
      </c>
      <c r="BP11" s="15">
        <f>SUM(COUNTIFS('Data entry'!$R$6:$R$200,'Summary Data'!$A11,'Data entry'!$B$6:$B$200,{"Confirmed";"Probable"},'Data entry'!$AQ$6:$AQ$200,'Data Validation'!$V$9, 'Data entry'!$AP$6:$AP$200,'Data Validation'!$U$3, 'Data entry'!$BD$6:$BD$200,"&lt;&gt;*Negative*"))</f>
        <v>0</v>
      </c>
      <c r="BQ11" s="15">
        <f>SUM(COUNTIFS('Data entry'!$R$6:$R$200,'Summary Data'!$A11,'Data entry'!$B$6:$B$200,{"Confirmed";"Probable"},'Data entry'!$AQ$6:$AQ$200,'Data Validation'!$V$9, 'Data entry'!$AP$6:$AP$200,'Data Validation'!$U$4, 'Data entry'!$BD$6:$BD$200,"&lt;&gt;*Negative*"))</f>
        <v>0</v>
      </c>
      <c r="BR11" s="15">
        <f>SUM(COUNTIFS('Data entry'!$R$6:$R$200,'Summary Data'!$A11,'Data entry'!$B$6:$B$200,{"Confirmed";"Probable"},'Data entry'!$AQ$6:$AQ$200,'Data Validation'!$V$9, 'Data entry'!$AP$6:$AP$200,'Data Validation'!$U$5, 'Data entry'!$BD$6:$BD$200,"&lt;&gt;*Negative*"))</f>
        <v>0</v>
      </c>
      <c r="BS11" s="15">
        <f>SUM(COUNTIFS('Data entry'!$R$6:$R$200,'Summary Data'!$A11,'Data entry'!$B$6:$B$200,{"Confirmed";"Probable"},'Data entry'!$AQ$6:$AQ$200,'Data Validation'!$V$9, 'Data entry'!$AP$6:$AP$200,'Data Validation'!$U$6, 'Data entry'!$BD$6:$BD$200,"&lt;&gt;*Negative*"))</f>
        <v>0</v>
      </c>
      <c r="BT11" s="15">
        <f>SUM(COUNTIFS('Data entry'!$R$6:$R$200,'Summary Data'!$A11,'Data entry'!$B$6:$B$200,{"Confirmed";"Probable"},'Data entry'!$AQ$6:$AQ$200,'Data Validation'!$V$10, 'Data entry'!$AP$6:$AP$200,'Data Validation'!$U$2, 'Data entry'!$BD$6:$BD$200,"&lt;&gt;*Negative*"))</f>
        <v>0</v>
      </c>
      <c r="BU11" s="15">
        <f>SUM(COUNTIFS('Data entry'!$R$6:$R$200,'Summary Data'!$A11,'Data entry'!$B$6:$B$200,{"Confirmed";"Probable"},'Data entry'!$AQ$6:$AQ$200,'Data Validation'!$V$10, 'Data entry'!$AP$6:$AP$200,'Data Validation'!$U$3, 'Data entry'!$BD$6:$BD$200,"&lt;&gt;*Negative*"))</f>
        <v>0</v>
      </c>
      <c r="BV11" s="15">
        <f>SUM(COUNTIFS('Data entry'!$R$6:$R$200,'Summary Data'!$A11,'Data entry'!$B$6:$B$200,{"Confirmed";"Probable"},'Data entry'!$AQ$6:$AQ$200,'Data Validation'!$V$10, 'Data entry'!$AP$6:$AP$200,'Data Validation'!$U$4, 'Data entry'!$BD$6:$BD$200,"&lt;&gt;*Negative*"))</f>
        <v>0</v>
      </c>
      <c r="BW11" s="15">
        <f>SUM(COUNTIFS('Data entry'!$R$6:$R$200,'Summary Data'!$A11,'Data entry'!$B$6:$B$200,{"Confirmed";"Probable"},'Data entry'!$AQ$6:$AQ$200,'Data Validation'!$V$10, 'Data entry'!$AP$6:$AP$200,'Data Validation'!$U$5, 'Data entry'!$BD$6:$BD$200,"&lt;&gt;*Negative*"))</f>
        <v>0</v>
      </c>
      <c r="BX11" s="15">
        <f>SUM(COUNTIFS('Data entry'!$R$6:$R$200,'Summary Data'!$A11,'Data entry'!$B$6:$B$200,{"Confirmed";"Probable"},'Data entry'!$AQ$6:$AQ$200,'Data Validation'!$V$10, 'Data entry'!$AP$6:$AP$200,'Data Validation'!$U$6, 'Data entry'!$BD$6:$BD$200,"&lt;&gt;*Negative*"))</f>
        <v>0</v>
      </c>
      <c r="BY11" s="15">
        <f>SUM(COUNTIFS('Data entry'!$R$6:$R$200,'Summary Data'!$A11,'Data entry'!$B$6:$B$200,{"Confirmed";"Probable"},'Data entry'!$AQ$6:$AQ$200,'Data Validation'!$V$11, 'Data entry'!$AP$6:$AP$200,'Data Validation'!$U$2, 'Data entry'!$BD$6:$BD$200,"&lt;&gt;*Negative*"))</f>
        <v>0</v>
      </c>
      <c r="BZ11" s="15">
        <f>SUM(COUNTIFS('Data entry'!$R$6:$R$200,'Summary Data'!$A11,'Data entry'!$B$6:$B$200,{"Confirmed";"Probable"},'Data entry'!$AQ$6:$AQ$200,'Data Validation'!$V$11, 'Data entry'!$AP$6:$AP$200,'Data Validation'!$U$3, 'Data entry'!$BD$6:$BD$200,"&lt;&gt;*Negative*"))</f>
        <v>0</v>
      </c>
      <c r="CA11" s="15">
        <f>SUM(COUNTIFS('Data entry'!$R$6:$R$200,'Summary Data'!$A11,'Data entry'!$B$6:$B$200,{"Confirmed";"Probable"},'Data entry'!$AQ$6:$AQ$200,'Data Validation'!$V$11, 'Data entry'!$AP$6:$AP$200,'Data Validation'!$U$4, 'Data entry'!$BD$6:$BD$200,"&lt;&gt;*Negative*"))</f>
        <v>0</v>
      </c>
      <c r="CB11" s="15">
        <f>SUM(COUNTIFS('Data entry'!$R$6:$R$200,'Summary Data'!$A11,'Data entry'!$B$6:$B$200,{"Confirmed";"Probable"},'Data entry'!$AQ$6:$AQ$200,'Data Validation'!$V$11, 'Data entry'!$AP$6:$AP$200,'Data Validation'!$U$5, 'Data entry'!$BD$6:$BD$200,"&lt;&gt;*Negative*"))</f>
        <v>0</v>
      </c>
      <c r="CC11" s="15">
        <f>SUM(COUNTIFS('Data entry'!$R$6:$R$200,'Summary Data'!$A11,'Data entry'!$B$6:$B$200,{"Confirmed";"Probable"},'Data entry'!$AQ$6:$AQ$200,'Data Validation'!$V$11, 'Data entry'!$AP$6:$AP$200,'Data Validation'!$U$6, 'Data entry'!$BD$6:$BD$200,"&lt;&gt;*Negative*"))</f>
        <v>0</v>
      </c>
    </row>
    <row r="12" spans="1:81" x14ac:dyDescent="0.25">
      <c r="A12" s="12">
        <f>MIN('Data entry'!R6:R200)</f>
        <v>0</v>
      </c>
      <c r="B12" s="13">
        <f t="shared" ref="B12:B75" si="2">SUM(C12:D12)</f>
        <v>0</v>
      </c>
      <c r="C12" s="13">
        <f>COUNTIFS('Data entry'!$R$6:$R$200,$A12,'Data entry'!$B$6:$B$200,"Confirmed",'Data entry'!$BD$6:$BD$200,"&lt;&gt;*Negative*")</f>
        <v>0</v>
      </c>
      <c r="D12" s="13">
        <f>COUNTIFS('Data entry'!$R$6:$R$200,$A12,'Data entry'!$B$6:$B$200,"Probable",'Data entry'!$BD$6:$BD$200,"&lt;&gt;*Negative*")</f>
        <v>0</v>
      </c>
      <c r="E12" s="13">
        <f>COUNTIFS('Data entry'!$R$6:$R$200,$A12,'Data entry'!$B$6:$B$200,"DNM")</f>
        <v>0</v>
      </c>
      <c r="F12" s="13">
        <f>SUM(COUNTIFS('Data entry'!$R$6:$R$200,'Summary Data'!$A12,'Data entry'!$B$6:$B$200,{"Confirmed";"Probable"},'Data entry'!$AO$6:$AO$200,$F$10, 'Data entry'!$BD$6:$BD$200,"&lt;&gt;*Negative*"))</f>
        <v>0</v>
      </c>
      <c r="G12" s="13">
        <f>SUM(COUNTIFS('Data entry'!$R$6:$R$200,'Summary Data'!$A12,'Data entry'!$B$6:$B$200,{"Confirmed";"Probable"},'Data entry'!$AO$6:$AO$200,$G$10, 'Data entry'!$BD$6:$BD$200,"&lt;&gt;*Negative*"))</f>
        <v>0</v>
      </c>
      <c r="H12" s="13">
        <f>SUM(COUNTIFS('Data entry'!$R$6:$R$200,'Summary Data'!$A12,'Data entry'!$B$6:$B$200,{"Confirmed";"Probable"},'Data entry'!$AO$6:$AO$200,$H$10, 'Data entry'!$BD$6:$BD$200,"&lt;&gt;*Negative*"))</f>
        <v>0</v>
      </c>
      <c r="I12" s="13">
        <f>SUM(COUNTIFS('Data entry'!$R$6:$R$200,'Summary Data'!$A12,'Data entry'!$B$6:$B$200,{"Confirmed";"Probable"},'Data entry'!$AO$6:$AO$200,$I$10, 'Data entry'!$BD$6:$BD$200,"&lt;&gt;*Negative*"))</f>
        <v>0</v>
      </c>
      <c r="J12" s="13">
        <f>SUM(COUNTIFS('Data entry'!$R$6:$R$200,'Summary Data'!$A12,'Data entry'!$B$6:$B$200,{"Confirmed";"Probable"},'Data entry'!$AO$6:$AO$200,$J$10, 'Data entry'!$BD$6:$BD$200,"&lt;&gt;*Negative*"))</f>
        <v>0</v>
      </c>
      <c r="K12" s="13">
        <f>SUM(COUNTIFS('Data entry'!$R$6:$R$200,'Summary Data'!$A12,'Data entry'!$B$6:$B$200,{"Confirmed";"Probable"},'Data entry'!$AO$6:$AO$200,$K$10, 'Data entry'!$BD$6:$BD$200,"&lt;&gt;*Negative*"))</f>
        <v>0</v>
      </c>
      <c r="L12" s="13">
        <f>SUM(COUNTIFS('Data entry'!$R$6:$R$200,'Summary Data'!$A12,'Data entry'!$B$6:$B$200,{"Confirmed";"Probable"},'Data entry'!$AO$6:$AO$200,$L$10, 'Data entry'!$BD$6:$BD$200,"&lt;&gt;*Negative*"))</f>
        <v>0</v>
      </c>
      <c r="M12" s="13">
        <f>SUM(COUNTIFS('Data entry'!$R$6:$R$200,'Summary Data'!$A12,'Data entry'!$B$6:$B$200,{"Confirmed";"Probable"},'Data entry'!$AO$6:$AO$200,$M$10, 'Data entry'!$BD$6:$BD$200,"&lt;&gt;*Negative*"))</f>
        <v>0</v>
      </c>
      <c r="N12" s="13">
        <f>SUM(COUNTIFS('Data entry'!$R$6:$R$200,'Summary Data'!$A12,'Data entry'!$B$6:$B$200,{"Confirmed";"Probable"},'Data entry'!$AO$6:$AO$200,$N$10, 'Data entry'!$BD$6:$BD$200,"&lt;&gt;*Negative*"))</f>
        <v>0</v>
      </c>
      <c r="O12" s="15">
        <f t="shared" ref="O12:O75" si="3">J12+M12</f>
        <v>0</v>
      </c>
      <c r="P12" s="15">
        <f t="shared" ref="P12:P75" si="4">F12+G12+H12+I12+K12+L12+N12</f>
        <v>0</v>
      </c>
      <c r="Q12" s="15">
        <f>SUM(COUNTIFS('Data entry'!$R$6:$R$200,'Summary Data'!$A12,'Data entry'!$B$6:$B$200,{"Confirmed";"Probable"},'Data entry'!$AP$6:$AP$200,'Data Validation'!$U$2, 'Data entry'!$BD$6:$BD$200,"&lt;&gt;*Negative*"))</f>
        <v>0</v>
      </c>
      <c r="R12" s="15">
        <f>SUM(COUNTIFS('Data entry'!$R$6:$R$200,'Summary Data'!$A12,'Data entry'!$B$6:$B$200,{"Confirmed";"Probable"},'Data entry'!$AP$6:$AP$200,'Data Validation'!$U$3, 'Data entry'!$BD$6:$BD$200,"&lt;&gt;*Negative*"))</f>
        <v>0</v>
      </c>
      <c r="S12" s="15">
        <f>SUM(COUNTIFS('Data entry'!$R$6:$R$200,'Summary Data'!$A12,'Data entry'!$B$6:$B$200,{"Confirmed";"Probable"},'Data entry'!$AP$6:$AP$200,'Data Validation'!$U$4, 'Data entry'!$BD$6:$BD$200,"&lt;&gt;*Negative*"))</f>
        <v>0</v>
      </c>
      <c r="T12" s="15">
        <f>SUM(COUNTIFS('Data entry'!$R$6:$R$200,'Summary Data'!$A12,'Data entry'!$B$6:$B$200,{"Confirmed";"Probable"},'Data entry'!$AP$6:$AP$200,'Data Validation'!$U$5, 'Data entry'!$BD$6:$BD$200,"&lt;&gt;*Negative*"))</f>
        <v>0</v>
      </c>
      <c r="U12" s="15">
        <f>SUM(COUNTIFS('Data entry'!$R$6:$R$200,'Summary Data'!$A12,'Data entry'!$B$6:$B$200,{"Confirmed";"Probable"},'Data entry'!$AP$6:$AP$200,'Data Validation'!$U$6, 'Data entry'!$BD$6:$BD$200,"&lt;&gt;*Negative*"))</f>
        <v>0</v>
      </c>
      <c r="V12" s="15">
        <f>SUM(COUNTIFS('Data entry'!$R$6:$R$200,'Summary Data'!$A12,'Data entry'!$B$6:$B$200,{"Confirmed";"Probable"},'Data entry'!$AQ$6:$AQ$200,'Data Validation'!$V$2, 'Data entry'!$BD$6:$BD$200,"&lt;&gt;*Negative*"))</f>
        <v>0</v>
      </c>
      <c r="W12" s="15">
        <f>SUM(COUNTIFS('Data entry'!$R$6:$R$200,'Summary Data'!$A12,'Data entry'!$B$6:$B$200,{"Confirmed";"Probable"},'Data entry'!$AQ$6:$AQ$200,'Data Validation'!$V$3, 'Data entry'!$BD$6:$BD$200,"&lt;&gt;*Negative*"))</f>
        <v>0</v>
      </c>
      <c r="X12" s="15">
        <f>SUM(COUNTIFS('Data entry'!$R$6:$R$200,'Summary Data'!$A12,'Data entry'!$B$6:$B$200,{"Confirmed";"Probable"},'Data entry'!$AQ$6:$AQ$200,'Data Validation'!$V$4, 'Data entry'!$BD$6:$BD$200,"&lt;&gt;*Negative*"))</f>
        <v>0</v>
      </c>
      <c r="Y12" s="15">
        <f>SUM(COUNTIFS('Data entry'!$R$6:$R$200,'Summary Data'!$A12,'Data entry'!$B$6:$B$200,{"Confirmed";"Probable"},'Data entry'!$AQ$6:$AQ$200,'Data Validation'!$V$5, 'Data entry'!$BD$6:$BD$200,"&lt;&gt;*Negative*"))</f>
        <v>0</v>
      </c>
      <c r="Z12" s="15">
        <f>SUM(COUNTIFS('Data entry'!$R$6:$R$200,'Summary Data'!$A12,'Data entry'!$B$6:$B$200,{"Confirmed";"Probable"},'Data entry'!$AQ$6:$AQ$200,'Data Validation'!$V$6, 'Data entry'!$BD$6:$BD$200,"&lt;&gt;*Negative*"))</f>
        <v>0</v>
      </c>
      <c r="AA12" s="15">
        <f>SUM(COUNTIFS('Data entry'!$R$6:$R$200,'Summary Data'!$A12,'Data entry'!$B$6:$B$200,{"Confirmed";"Probable"},'Data entry'!$AQ$6:$AQ$200,'Data Validation'!$V$7, 'Data entry'!$BD$6:$BD$200,"&lt;&gt;*Negative*"))</f>
        <v>0</v>
      </c>
      <c r="AB12" s="15">
        <f>SUM(COUNTIFS('Data entry'!$R$6:$R$200,'Summary Data'!$A12,'Data entry'!$B$6:$B$200,{"Confirmed";"Probable"},'Data entry'!$AQ$6:$AQ$200,'Data Validation'!$V$8, 'Data entry'!$BD$6:$BD$200,"&lt;&gt;*Negative*"))</f>
        <v>0</v>
      </c>
      <c r="AC12" s="15">
        <f>SUM(COUNTIFS('Data entry'!$R$6:$R$200,'Summary Data'!$A12,'Data entry'!$B$6:$B$200,{"Confirmed";"Probable"},'Data entry'!$AQ$6:$AQ$200,'Data Validation'!$V$9, 'Data entry'!$BD$6:$BD$200,"&lt;&gt;*Negative*"))</f>
        <v>0</v>
      </c>
      <c r="AD12" s="15">
        <f>SUM(COUNTIFS('Data entry'!$R$6:$R$200,'Summary Data'!$A12,'Data entry'!$B$6:$B$200,{"Confirmed";"Probable"},'Data entry'!$AQ$6:$AQ$200,'Data Validation'!$V$10, 'Data entry'!$BD$6:$BD$200,"&lt;&gt;*Negative*"))</f>
        <v>0</v>
      </c>
      <c r="AE12" s="15">
        <f>SUM(COUNTIFS('Data entry'!$R$6:$R$200,'Summary Data'!$A12,'Data entry'!$B$6:$B$200,{"Confirmed";"Probable"},'Data entry'!$AQ$6:$AQ$200,'Data Validation'!$V$11, 'Data entry'!$BD$6:$BD$200,"&lt;&gt;*Negative*"))</f>
        <v>0</v>
      </c>
      <c r="AF12" s="15">
        <f>SUM(COUNTIFS('Data entry'!$R$6:$R$200,'Summary Data'!$A12,'Data entry'!$B$6:$B$200,{"Confirmed";"Probable"},'Data entry'!$AQ$6:$AQ$200,'Data Validation'!$V$2, 'Data entry'!$AP$6:$AP$200,'Data Validation'!$U$2, 'Data entry'!$BD$6:$BD$200,"&lt;&gt;*Negative*"))</f>
        <v>0</v>
      </c>
      <c r="AG12" s="15">
        <f>SUM(COUNTIFS('Data entry'!$R$6:$R$200,'Summary Data'!$A12,'Data entry'!$B$6:$B$200,{"Confirmed";"Probable"},'Data entry'!$AQ$6:$AQ$200,'Data Validation'!$V$2, 'Data entry'!$AP$6:$AP$200,'Data Validation'!$U$3, 'Data entry'!$BD$6:$BD$200,"&lt;&gt;*Negative*"))</f>
        <v>0</v>
      </c>
      <c r="AH12" s="15">
        <f>SUM(COUNTIFS('Data entry'!$R$6:$R$200,'Summary Data'!$A12,'Data entry'!$B$6:$B$200,{"Confirmed";"Probable"},'Data entry'!$AQ$6:$AQ$200,'Data Validation'!$V$2, 'Data entry'!$AP$6:$AP$200,'Data Validation'!$U$4, 'Data entry'!$BD$6:$BD$200,"&lt;&gt;*Negative*"))</f>
        <v>0</v>
      </c>
      <c r="AI12" s="15">
        <f>SUM(COUNTIFS('Data entry'!$R$6:$R$200,'Summary Data'!$A12,'Data entry'!$B$6:$B$200,{"Confirmed";"Probable"},'Data entry'!$AQ$6:$AQ$200,'Data Validation'!$V$2, 'Data entry'!$AP$6:$AP$200,'Data Validation'!$U$5, 'Data entry'!$BD$6:$BD$200,"&lt;&gt;*Negative*"))</f>
        <v>0</v>
      </c>
      <c r="AJ12" s="15">
        <f>SUM(COUNTIFS('Data entry'!$R$6:$R$200,'Summary Data'!$A12,'Data entry'!$B$6:$B$200,{"Confirmed";"Probable"},'Data entry'!$AQ$6:$AQ$200,'Data Validation'!$V$2, 'Data entry'!$AP$6:$AP$200,'Data Validation'!$U$6, 'Data entry'!$BD$6:$BD$200,"&lt;&gt;*Negative*"))</f>
        <v>0</v>
      </c>
      <c r="AK12" s="15">
        <f>SUM(COUNTIFS('Data entry'!$R$6:$R$200,'Summary Data'!$A12,'Data entry'!$B$6:$B$200,{"Confirmed";"Probable"},'Data entry'!$AQ$6:$AQ$200,'Data Validation'!$V$3, 'Data entry'!$AP$6:$AP$200,'Data Validation'!$U$2, 'Data entry'!$BD$6:$BD$200,"&lt;&gt;*Negative*"))</f>
        <v>0</v>
      </c>
      <c r="AL12" s="15">
        <f>SUM(COUNTIFS('Data entry'!$R$6:$R$200,'Summary Data'!$A12,'Data entry'!$B$6:$B$200,{"Confirmed";"Probable"},'Data entry'!$AQ$6:$AQ$200,'Data Validation'!$V$3, 'Data entry'!$AP$6:$AP$200,'Data Validation'!$U$3, 'Data entry'!$BD$6:$BD$200,"&lt;&gt;*Negative*"))</f>
        <v>0</v>
      </c>
      <c r="AM12" s="15">
        <f>SUM(COUNTIFS('Data entry'!$R$6:$R$200,'Summary Data'!$A12,'Data entry'!$B$6:$B$200,{"Confirmed";"Probable"},'Data entry'!$AQ$6:$AQ$200,'Data Validation'!$V$3, 'Data entry'!$AP$6:$AP$200,'Data Validation'!$U$4, 'Data entry'!$BD$6:$BD$200,"&lt;&gt;*Negative*"))</f>
        <v>0</v>
      </c>
      <c r="AN12" s="15">
        <f>SUM(COUNTIFS('Data entry'!$R$6:$R$200,'Summary Data'!$A12,'Data entry'!$B$6:$B$200,{"Confirmed";"Probable"},'Data entry'!$AQ$6:$AQ$200,'Data Validation'!$V$3, 'Data entry'!$AP$6:$AP$200,'Data Validation'!$U$5, 'Data entry'!$BD$6:$BD$200,"&lt;&gt;*Negative*"))</f>
        <v>0</v>
      </c>
      <c r="AO12" s="15">
        <f>SUM(COUNTIFS('Data entry'!$R$6:$R$200,'Summary Data'!$A12,'Data entry'!$B$6:$B$200,{"Confirmed";"Probable"},'Data entry'!$AQ$6:$AQ$200,'Data Validation'!$V$3, 'Data entry'!$AP$6:$AP$200,'Data Validation'!$U$6, 'Data entry'!$BD$6:$BD$200,"&lt;&gt;*Negative*"))</f>
        <v>0</v>
      </c>
      <c r="AP12" s="15">
        <f>SUM(COUNTIFS('Data entry'!$R$6:$R$200,'Summary Data'!$A12,'Data entry'!$B$6:$B$200,{"Confirmed";"Probable"},'Data entry'!$AQ$6:$AQ$200,'Data Validation'!$V$4, 'Data entry'!$AP$6:$AP$200,'Data Validation'!$U$2, 'Data entry'!$BD$6:$BD$200,"&lt;&gt;*Negative*"))</f>
        <v>0</v>
      </c>
      <c r="AQ12" s="15">
        <f>SUM(COUNTIFS('Data entry'!$R$6:$R$200,'Summary Data'!$A12,'Data entry'!$B$6:$B$200,{"Confirmed";"Probable"},'Data entry'!$AQ$6:$AQ$200,'Data Validation'!$V$4, 'Data entry'!$AP$6:$AP$200,'Data Validation'!$U$3, 'Data entry'!$BD$6:$BD$200,"&lt;&gt;*Negative*"))</f>
        <v>0</v>
      </c>
      <c r="AR12" s="15">
        <f>SUM(COUNTIFS('Data entry'!$R$6:$R$200,'Summary Data'!$A12,'Data entry'!$B$6:$B$200,{"Confirmed";"Probable"},'Data entry'!$AQ$6:$AQ$200,'Data Validation'!$V$4, 'Data entry'!$AP$6:$AP$200,'Data Validation'!$U$4, 'Data entry'!$BD$6:$BD$200,"&lt;&gt;*Negative*"))</f>
        <v>0</v>
      </c>
      <c r="AS12" s="15">
        <f>SUM(COUNTIFS('Data entry'!$R$6:$R$200,'Summary Data'!$A12,'Data entry'!$B$6:$B$200,{"Confirmed";"Probable"},'Data entry'!$AQ$6:$AQ$200,'Data Validation'!$V$4, 'Data entry'!$AP$6:$AP$200,'Data Validation'!$U$5, 'Data entry'!$BD$6:$BD$200,"&lt;&gt;*Negative*"))</f>
        <v>0</v>
      </c>
      <c r="AT12" s="15">
        <f>SUM(COUNTIFS('Data entry'!$R$6:$R$200,'Summary Data'!$A12,'Data entry'!$B$6:$B$200,{"Confirmed";"Probable"},'Data entry'!$AQ$6:$AQ$200,'Data Validation'!$V$4, 'Data entry'!$AP$6:$AP$200,'Data Validation'!$U$6, 'Data entry'!$BD$6:$BD$200,"&lt;&gt;*Negative*"))</f>
        <v>0</v>
      </c>
      <c r="AU12" s="15">
        <f>SUM(COUNTIFS('Data entry'!$R$6:$R$200,'Summary Data'!$A12,'Data entry'!$B$6:$B$200,{"Confirmed";"Probable"},'Data entry'!$AQ$6:$AQ$200,'Data Validation'!$V$5, 'Data entry'!$AP$6:$AP$200,'Data Validation'!$U$2, 'Data entry'!$BD$6:$BD$200,"&lt;&gt;*Negative*"))</f>
        <v>0</v>
      </c>
      <c r="AV12" s="15">
        <f>SUM(COUNTIFS('Data entry'!$R$6:$R$200,'Summary Data'!$A12,'Data entry'!$B$6:$B$200,{"Confirmed";"Probable"},'Data entry'!$AQ$6:$AQ$200,'Data Validation'!$V$5, 'Data entry'!$AP$6:$AP$200,'Data Validation'!$U$3, 'Data entry'!$BD$6:$BD$200,"&lt;&gt;*Negative*"))</f>
        <v>0</v>
      </c>
      <c r="AW12" s="15">
        <f>SUM(COUNTIFS('Data entry'!$R$6:$R$200,'Summary Data'!$A12,'Data entry'!$B$6:$B$200,{"Confirmed";"Probable"},'Data entry'!$AQ$6:$AQ$200,'Data Validation'!$V$5, 'Data entry'!$AP$6:$AP$200,'Data Validation'!$U$4, 'Data entry'!$BD$6:$BD$200,"&lt;&gt;*Negative*"))</f>
        <v>0</v>
      </c>
      <c r="AX12" s="15">
        <f>SUM(COUNTIFS('Data entry'!$R$6:$R$200,'Summary Data'!$A12,'Data entry'!$B$6:$B$200,{"Confirmed";"Probable"},'Data entry'!$AQ$6:$AQ$200,'Data Validation'!$V$5, 'Data entry'!$AP$6:$AP$200,'Data Validation'!$U$5, 'Data entry'!$BD$6:$BD$200,"&lt;&gt;*Negative*"))</f>
        <v>0</v>
      </c>
      <c r="AY12" s="15">
        <f>SUM(COUNTIFS('Data entry'!$R$6:$R$200,'Summary Data'!$A12,'Data entry'!$B$6:$B$200,{"Confirmed";"Probable"},'Data entry'!$AQ$6:$AQ$200,'Data Validation'!$V$5, 'Data entry'!$AP$6:$AP$200,'Data Validation'!$U$6, 'Data entry'!$BD$6:$BD$200,"&lt;&gt;*Negative*"))</f>
        <v>0</v>
      </c>
      <c r="AZ12" s="15">
        <f>SUM(COUNTIFS('Data entry'!$R$6:$R$200,'Summary Data'!$A12,'Data entry'!$B$6:$B$200,{"Confirmed";"Probable"},'Data entry'!$AQ$6:$AQ$200,'Data Validation'!$V$6, 'Data entry'!$AP$6:$AP$200,'Data Validation'!$U$2, 'Data entry'!$BD$6:$BD$200,"&lt;&gt;*Negative*"))</f>
        <v>0</v>
      </c>
      <c r="BA12" s="15">
        <f>SUM(COUNTIFS('Data entry'!$R$6:$R$200,'Summary Data'!$A12,'Data entry'!$B$6:$B$200,{"Confirmed";"Probable"},'Data entry'!$AQ$6:$AQ$200,'Data Validation'!$V$6, 'Data entry'!$AP$6:$AP$200,'Data Validation'!$U$3, 'Data entry'!$BD$6:$BD$200,"&lt;&gt;*Negative*"))</f>
        <v>0</v>
      </c>
      <c r="BB12" s="15">
        <f>SUM(COUNTIFS('Data entry'!$R$6:$R$200,'Summary Data'!$A12,'Data entry'!$B$6:$B$200,{"Confirmed";"Probable"},'Data entry'!$AQ$6:$AQ$200,'Data Validation'!$V$6, 'Data entry'!$AP$6:$AP$200,'Data Validation'!$U$4, 'Data entry'!$BD$6:$BD$200,"&lt;&gt;*Negative*"))</f>
        <v>0</v>
      </c>
      <c r="BC12" s="15">
        <f>SUM(COUNTIFS('Data entry'!$R$6:$R$200,'Summary Data'!$A12,'Data entry'!$B$6:$B$200,{"Confirmed";"Probable"},'Data entry'!$AQ$6:$AQ$200,'Data Validation'!$V$6, 'Data entry'!$AP$6:$AP$200,'Data Validation'!$U$5, 'Data entry'!$BD$6:$BD$200,"&lt;&gt;*Negative*"))</f>
        <v>0</v>
      </c>
      <c r="BD12" s="15">
        <f>SUM(COUNTIFS('Data entry'!$R$6:$R$200,'Summary Data'!$A12,'Data entry'!$B$6:$B$200,{"Confirmed";"Probable"},'Data entry'!$AQ$6:$AQ$200,'Data Validation'!$V$6, 'Data entry'!$AP$6:$AP$200,'Data Validation'!$U$6, 'Data entry'!$BD$6:$BD$200,"&lt;&gt;*Negative*"))</f>
        <v>0</v>
      </c>
      <c r="BE12" s="15">
        <f>SUM(COUNTIFS('Data entry'!$R$6:$R$200,'Summary Data'!$A12,'Data entry'!$B$6:$B$200,{"Confirmed";"Probable"},'Data entry'!$AQ$6:$AQ$200,'Data Validation'!$V$7, 'Data entry'!$AP$6:$AP$200,'Data Validation'!$U$2, 'Data entry'!$BD$6:$BD$200,"&lt;&gt;*Negative*"))</f>
        <v>0</v>
      </c>
      <c r="BF12" s="15">
        <f>SUM(COUNTIFS('Data entry'!$R$6:$R$200,'Summary Data'!$A12,'Data entry'!$B$6:$B$200,{"Confirmed";"Probable"},'Data entry'!$AQ$6:$AQ$200,'Data Validation'!$V$7, 'Data entry'!$AP$6:$AP$200,'Data Validation'!$U$3, 'Data entry'!$BD$6:$BD$200,"&lt;&gt;*Negative*"))</f>
        <v>0</v>
      </c>
      <c r="BG12" s="15">
        <f>SUM(COUNTIFS('Data entry'!$R$6:$R$200,'Summary Data'!$A12,'Data entry'!$B$6:$B$200,{"Confirmed";"Probable"},'Data entry'!$AQ$6:$AQ$200,'Data Validation'!$V$7, 'Data entry'!$AP$6:$AP$200,'Data Validation'!$U$4, 'Data entry'!$BD$6:$BD$200,"&lt;&gt;*Negative*"))</f>
        <v>0</v>
      </c>
      <c r="BH12" s="15">
        <f>SUM(COUNTIFS('Data entry'!$R$6:$R$200,'Summary Data'!$A12,'Data entry'!$B$6:$B$200,{"Confirmed";"Probable"},'Data entry'!$AQ$6:$AQ$200,'Data Validation'!$V$7, 'Data entry'!$AP$6:$AP$200,'Data Validation'!$U$5, 'Data entry'!$BD$6:$BD$200,"&lt;&gt;*Negative*"))</f>
        <v>0</v>
      </c>
      <c r="BI12" s="15">
        <f>SUM(COUNTIFS('Data entry'!$R$6:$R$200,'Summary Data'!$A12,'Data entry'!$B$6:$B$200,{"Confirmed";"Probable"},'Data entry'!$AQ$6:$AQ$200,'Data Validation'!$V$7, 'Data entry'!$AP$6:$AP$200,'Data Validation'!$U$6, 'Data entry'!$BD$6:$BD$200,"&lt;&gt;*Negative*"))</f>
        <v>0</v>
      </c>
      <c r="BJ12" s="15">
        <f>SUM(COUNTIFS('Data entry'!$R$6:$R$200,'Summary Data'!$A12,'Data entry'!$B$6:$B$200,{"Confirmed";"Probable"},'Data entry'!$AQ$6:$AQ$200,'Data Validation'!$V$8, 'Data entry'!$AP$6:$AP$200,'Data Validation'!$U$2, 'Data entry'!$BD$6:$BD$200,"&lt;&gt;*Negative*"))</f>
        <v>0</v>
      </c>
      <c r="BK12" s="15">
        <f>SUM(COUNTIFS('Data entry'!$R$6:$R$200,'Summary Data'!$A12,'Data entry'!$B$6:$B$200,{"Confirmed";"Probable"},'Data entry'!$AQ$6:$AQ$200,'Data Validation'!$V$8, 'Data entry'!$AP$6:$AP$200,'Data Validation'!$U$3, 'Data entry'!$BD$6:$BD$200,"&lt;&gt;*Negative*"))</f>
        <v>0</v>
      </c>
      <c r="BL12" s="15">
        <f>SUM(COUNTIFS('Data entry'!$R$6:$R$200,'Summary Data'!$A12,'Data entry'!$B$6:$B$200,{"Confirmed";"Probable"},'Data entry'!$AQ$6:$AQ$200,'Data Validation'!$V$8, 'Data entry'!$AP$6:$AP$200,'Data Validation'!$U$4, 'Data entry'!$BD$6:$BD$200,"&lt;&gt;*Negative*"))</f>
        <v>0</v>
      </c>
      <c r="BM12" s="15">
        <f>SUM(COUNTIFS('Data entry'!$R$6:$R$200,'Summary Data'!$A12,'Data entry'!$B$6:$B$200,{"Confirmed";"Probable"},'Data entry'!$AQ$6:$AQ$200,'Data Validation'!$V$8, 'Data entry'!$AP$6:$AP$200,'Data Validation'!$U$5, 'Data entry'!$BD$6:$BD$200,"&lt;&gt;*Negative*"))</f>
        <v>0</v>
      </c>
      <c r="BN12" s="15">
        <f>SUM(COUNTIFS('Data entry'!$R$6:$R$200,'Summary Data'!$A12,'Data entry'!$B$6:$B$200,{"Confirmed";"Probable"},'Data entry'!$AQ$6:$AQ$200,'Data Validation'!$V$8, 'Data entry'!$AP$6:$AP$200,'Data Validation'!$U$6, 'Data entry'!$BD$6:$BD$200,"&lt;&gt;*Negative*"))</f>
        <v>0</v>
      </c>
      <c r="BO12" s="15">
        <f>SUM(COUNTIFS('Data entry'!$R$6:$R$200,'Summary Data'!$A12,'Data entry'!$B$6:$B$200,{"Confirmed";"Probable"},'Data entry'!$AQ$6:$AQ$200,'Data Validation'!$V$9, 'Data entry'!$AP$6:$AP$200,'Data Validation'!$U$2, 'Data entry'!$BD$6:$BD$200,"&lt;&gt;*Negative*"))</f>
        <v>0</v>
      </c>
      <c r="BP12" s="15">
        <f>SUM(COUNTIFS('Data entry'!$R$6:$R$200,'Summary Data'!$A12,'Data entry'!$B$6:$B$200,{"Confirmed";"Probable"},'Data entry'!$AQ$6:$AQ$200,'Data Validation'!$V$9, 'Data entry'!$AP$6:$AP$200,'Data Validation'!$U$3, 'Data entry'!$BD$6:$BD$200,"&lt;&gt;*Negative*"))</f>
        <v>0</v>
      </c>
      <c r="BQ12" s="15">
        <f>SUM(COUNTIFS('Data entry'!$R$6:$R$200,'Summary Data'!$A12,'Data entry'!$B$6:$B$200,{"Confirmed";"Probable"},'Data entry'!$AQ$6:$AQ$200,'Data Validation'!$V$9, 'Data entry'!$AP$6:$AP$200,'Data Validation'!$U$4, 'Data entry'!$BD$6:$BD$200,"&lt;&gt;*Negative*"))</f>
        <v>0</v>
      </c>
      <c r="BR12" s="15">
        <f>SUM(COUNTIFS('Data entry'!$R$6:$R$200,'Summary Data'!$A12,'Data entry'!$B$6:$B$200,{"Confirmed";"Probable"},'Data entry'!$AQ$6:$AQ$200,'Data Validation'!$V$9, 'Data entry'!$AP$6:$AP$200,'Data Validation'!$U$5, 'Data entry'!$BD$6:$BD$200,"&lt;&gt;*Negative*"))</f>
        <v>0</v>
      </c>
      <c r="BS12" s="15">
        <f>SUM(COUNTIFS('Data entry'!$R$6:$R$200,'Summary Data'!$A12,'Data entry'!$B$6:$B$200,{"Confirmed";"Probable"},'Data entry'!$AQ$6:$AQ$200,'Data Validation'!$V$9, 'Data entry'!$AP$6:$AP$200,'Data Validation'!$U$6, 'Data entry'!$BD$6:$BD$200,"&lt;&gt;*Negative*"))</f>
        <v>0</v>
      </c>
      <c r="BT12" s="15">
        <f>SUM(COUNTIFS('Data entry'!$R$6:$R$200,'Summary Data'!$A12,'Data entry'!$B$6:$B$200,{"Confirmed";"Probable"},'Data entry'!$AQ$6:$AQ$200,'Data Validation'!$V$10, 'Data entry'!$AP$6:$AP$200,'Data Validation'!$U$2, 'Data entry'!$BD$6:$BD$200,"&lt;&gt;*Negative*"))</f>
        <v>0</v>
      </c>
      <c r="BU12" s="15">
        <f>SUM(COUNTIFS('Data entry'!$R$6:$R$200,'Summary Data'!$A12,'Data entry'!$B$6:$B$200,{"Confirmed";"Probable"},'Data entry'!$AQ$6:$AQ$200,'Data Validation'!$V$10, 'Data entry'!$AP$6:$AP$200,'Data Validation'!$U$3, 'Data entry'!$BD$6:$BD$200,"&lt;&gt;*Negative*"))</f>
        <v>0</v>
      </c>
      <c r="BV12" s="15">
        <f>SUM(COUNTIFS('Data entry'!$R$6:$R$200,'Summary Data'!$A12,'Data entry'!$B$6:$B$200,{"Confirmed";"Probable"},'Data entry'!$AQ$6:$AQ$200,'Data Validation'!$V$10, 'Data entry'!$AP$6:$AP$200,'Data Validation'!$U$4, 'Data entry'!$BD$6:$BD$200,"&lt;&gt;*Negative*"))</f>
        <v>0</v>
      </c>
      <c r="BW12" s="15">
        <f>SUM(COUNTIFS('Data entry'!$R$6:$R$200,'Summary Data'!$A12,'Data entry'!$B$6:$B$200,{"Confirmed";"Probable"},'Data entry'!$AQ$6:$AQ$200,'Data Validation'!$V$10, 'Data entry'!$AP$6:$AP$200,'Data Validation'!$U$5, 'Data entry'!$BD$6:$BD$200,"&lt;&gt;*Negative*"))</f>
        <v>0</v>
      </c>
      <c r="BX12" s="15">
        <f>SUM(COUNTIFS('Data entry'!$R$6:$R$200,'Summary Data'!$A12,'Data entry'!$B$6:$B$200,{"Confirmed";"Probable"},'Data entry'!$AQ$6:$AQ$200,'Data Validation'!$V$10, 'Data entry'!$AP$6:$AP$200,'Data Validation'!$U$6, 'Data entry'!$BD$6:$BD$200,"&lt;&gt;*Negative*"))</f>
        <v>0</v>
      </c>
      <c r="BY12" s="15">
        <f>SUM(COUNTIFS('Data entry'!$R$6:$R$200,'Summary Data'!$A12,'Data entry'!$B$6:$B$200,{"Confirmed";"Probable"},'Data entry'!$AQ$6:$AQ$200,'Data Validation'!$V$11, 'Data entry'!$AP$6:$AP$200,'Data Validation'!$U$2, 'Data entry'!$BD$6:$BD$200,"&lt;&gt;*Negative*"))</f>
        <v>0</v>
      </c>
      <c r="BZ12" s="15">
        <f>SUM(COUNTIFS('Data entry'!$R$6:$R$200,'Summary Data'!$A12,'Data entry'!$B$6:$B$200,{"Confirmed";"Probable"},'Data entry'!$AQ$6:$AQ$200,'Data Validation'!$V$11, 'Data entry'!$AP$6:$AP$200,'Data Validation'!$U$3, 'Data entry'!$BD$6:$BD$200,"&lt;&gt;*Negative*"))</f>
        <v>0</v>
      </c>
      <c r="CA12" s="15">
        <f>SUM(COUNTIFS('Data entry'!$R$6:$R$200,'Summary Data'!$A12,'Data entry'!$B$6:$B$200,{"Confirmed";"Probable"},'Data entry'!$AQ$6:$AQ$200,'Data Validation'!$V$11, 'Data entry'!$AP$6:$AP$200,'Data Validation'!$U$4, 'Data entry'!$BD$6:$BD$200,"&lt;&gt;*Negative*"))</f>
        <v>0</v>
      </c>
      <c r="CB12" s="15">
        <f>SUM(COUNTIFS('Data entry'!$R$6:$R$200,'Summary Data'!$A12,'Data entry'!$B$6:$B$200,{"Confirmed";"Probable"},'Data entry'!$AQ$6:$AQ$200,'Data Validation'!$V$11, 'Data entry'!$AP$6:$AP$200,'Data Validation'!$U$5, 'Data entry'!$BD$6:$BD$200,"&lt;&gt;*Negative*"))</f>
        <v>0</v>
      </c>
      <c r="CC12" s="15">
        <f>SUM(COUNTIFS('Data entry'!$R$6:$R$200,'Summary Data'!$A12,'Data entry'!$B$6:$B$200,{"Confirmed";"Probable"},'Data entry'!$AQ$6:$AQ$200,'Data Validation'!$V$11, 'Data entry'!$AP$6:$AP$200,'Data Validation'!$U$6, 'Data entry'!$BD$6:$BD$200,"&lt;&gt;*Negative*"))</f>
        <v>0</v>
      </c>
    </row>
    <row r="13" spans="1:81" x14ac:dyDescent="0.25">
      <c r="A13" s="12">
        <f>A12+1</f>
        <v>1</v>
      </c>
      <c r="B13" s="13">
        <f t="shared" si="2"/>
        <v>0</v>
      </c>
      <c r="C13" s="13">
        <f>COUNTIFS('Data entry'!$R$6:$R$200,$A13,'Data entry'!$B$6:$B$200,"Confirmed",'Data entry'!$BD$6:$BD$200,"&lt;&gt;*Negative*")</f>
        <v>0</v>
      </c>
      <c r="D13" s="13">
        <f>COUNTIFS('Data entry'!$R$6:$R$200,$A13,'Data entry'!$B$6:$B$200,"Probable",'Data entry'!$BD$6:$BD$200,"&lt;&gt;*Negative*")</f>
        <v>0</v>
      </c>
      <c r="E13" s="13">
        <f>COUNTIFS('Data entry'!$R$6:$R$200,$A13,'Data entry'!$B$6:$B$200,"DNM")</f>
        <v>0</v>
      </c>
      <c r="F13" s="13">
        <f>SUM(COUNTIFS('Data entry'!$R$6:$R$200,'Summary Data'!$A13,'Data entry'!$B$6:$B$200,{"Confirmed";"Probable"},'Data entry'!$AO$6:$AO$200,$F$10, 'Data entry'!$BD$6:$BD$200,"&lt;&gt;*Negative*"))</f>
        <v>0</v>
      </c>
      <c r="G13" s="13">
        <f>SUM(COUNTIFS('Data entry'!$R$6:$R$200,'Summary Data'!$A13,'Data entry'!$B$6:$B$200,{"Confirmed";"Probable"},'Data entry'!$AO$6:$AO$200,$G$10, 'Data entry'!$BD$6:$BD$200,"&lt;&gt;*Negative*"))</f>
        <v>0</v>
      </c>
      <c r="H13" s="13">
        <f>SUM(COUNTIFS('Data entry'!$R$6:$R$200,'Summary Data'!$A13,'Data entry'!$B$6:$B$200,{"Confirmed";"Probable"},'Data entry'!$AO$6:$AO$200,$H$10, 'Data entry'!$BD$6:$BD$200,"&lt;&gt;*Negative*"))</f>
        <v>0</v>
      </c>
      <c r="I13" s="13">
        <f>SUM(COUNTIFS('Data entry'!$R$6:$R$200,'Summary Data'!$A13,'Data entry'!$B$6:$B$200,{"Confirmed";"Probable"},'Data entry'!$AO$6:$AO$200,$I$10, 'Data entry'!$BD$6:$BD$200,"&lt;&gt;*Negative*"))</f>
        <v>0</v>
      </c>
      <c r="J13" s="13">
        <f>SUM(COUNTIFS('Data entry'!$R$6:$R$200,'Summary Data'!$A13,'Data entry'!$B$6:$B$200,{"Confirmed";"Probable"},'Data entry'!$AO$6:$AO$200,$J$10, 'Data entry'!$BD$6:$BD$200,"&lt;&gt;*Negative*"))</f>
        <v>0</v>
      </c>
      <c r="K13" s="13">
        <f>SUM(COUNTIFS('Data entry'!$R$6:$R$200,'Summary Data'!$A13,'Data entry'!$B$6:$B$200,{"Confirmed";"Probable"},'Data entry'!$AO$6:$AO$200,$K$10, 'Data entry'!$BD$6:$BD$200,"&lt;&gt;*Negative*"))</f>
        <v>0</v>
      </c>
      <c r="L13" s="13">
        <f>SUM(COUNTIFS('Data entry'!$R$6:$R$200,'Summary Data'!$A13,'Data entry'!$B$6:$B$200,{"Confirmed";"Probable"},'Data entry'!$AO$6:$AO$200,$L$10, 'Data entry'!$BD$6:$BD$200,"&lt;&gt;*Negative*"))</f>
        <v>0</v>
      </c>
      <c r="M13" s="13">
        <f>SUM(COUNTIFS('Data entry'!$R$6:$R$200,'Summary Data'!$A13,'Data entry'!$B$6:$B$200,{"Confirmed";"Probable"},'Data entry'!$AO$6:$AO$200,$M$10, 'Data entry'!$BD$6:$BD$200,"&lt;&gt;*Negative*"))</f>
        <v>0</v>
      </c>
      <c r="N13" s="13">
        <f>SUM(COUNTIFS('Data entry'!$R$6:$R$200,'Summary Data'!$A13,'Data entry'!$B$6:$B$200,{"Confirmed";"Probable"},'Data entry'!$AO$6:$AO$200,$N$10, 'Data entry'!$BD$6:$BD$200,"&lt;&gt;*Negative*"))</f>
        <v>0</v>
      </c>
      <c r="O13" s="15">
        <f t="shared" si="3"/>
        <v>0</v>
      </c>
      <c r="P13" s="15">
        <f t="shared" si="4"/>
        <v>0</v>
      </c>
      <c r="Q13" s="15">
        <f>SUM(COUNTIFS('Data entry'!$R$6:$R$200,'Summary Data'!$A13,'Data entry'!$B$6:$B$200,{"Confirmed";"Probable"},'Data entry'!$AP$6:$AP$200,'Data Validation'!$U$2, 'Data entry'!$BD$6:$BD$200,"&lt;&gt;*Negative*"))</f>
        <v>0</v>
      </c>
      <c r="R13" s="15">
        <f>SUM(COUNTIFS('Data entry'!$R$6:$R$200,'Summary Data'!$A13,'Data entry'!$B$6:$B$200,{"Confirmed";"Probable"},'Data entry'!$AP$6:$AP$200,'Data Validation'!$U$3, 'Data entry'!$BD$6:$BD$200,"&lt;&gt;*Negative*"))</f>
        <v>0</v>
      </c>
      <c r="S13" s="15">
        <f>SUM(COUNTIFS('Data entry'!$R$6:$R$200,'Summary Data'!$A13,'Data entry'!$B$6:$B$200,{"Confirmed";"Probable"},'Data entry'!$AP$6:$AP$200,'Data Validation'!$U$4, 'Data entry'!$BD$6:$BD$200,"&lt;&gt;*Negative*"))</f>
        <v>0</v>
      </c>
      <c r="T13" s="15">
        <f>SUM(COUNTIFS('Data entry'!$R$6:$R$200,'Summary Data'!$A13,'Data entry'!$B$6:$B$200,{"Confirmed";"Probable"},'Data entry'!$AP$6:$AP$200,'Data Validation'!$U$5, 'Data entry'!$BD$6:$BD$200,"&lt;&gt;*Negative*"))</f>
        <v>0</v>
      </c>
      <c r="U13" s="15">
        <f>SUM(COUNTIFS('Data entry'!$R$6:$R$200,'Summary Data'!$A13,'Data entry'!$B$6:$B$200,{"Confirmed";"Probable"},'Data entry'!$AP$6:$AP$200,'Data Validation'!$U$6, 'Data entry'!$BD$6:$BD$200,"&lt;&gt;*Negative*"))</f>
        <v>0</v>
      </c>
      <c r="V13" s="15">
        <f>SUM(COUNTIFS('Data entry'!$R$6:$R$200,'Summary Data'!$A13,'Data entry'!$B$6:$B$200,{"Confirmed";"Probable"},'Data entry'!$AQ$6:$AQ$200,'Data Validation'!$V$2, 'Data entry'!$BD$6:$BD$200,"&lt;&gt;*Negative*"))</f>
        <v>0</v>
      </c>
      <c r="W13" s="15">
        <f>SUM(COUNTIFS('Data entry'!$R$6:$R$200,'Summary Data'!$A13,'Data entry'!$B$6:$B$200,{"Confirmed";"Probable"},'Data entry'!$AQ$6:$AQ$200,'Data Validation'!$V$3, 'Data entry'!$BD$6:$BD$200,"&lt;&gt;*Negative*"))</f>
        <v>0</v>
      </c>
      <c r="X13" s="15">
        <f>SUM(COUNTIFS('Data entry'!$R$6:$R$200,'Summary Data'!$A13,'Data entry'!$B$6:$B$200,{"Confirmed";"Probable"},'Data entry'!$AQ$6:$AQ$200,'Data Validation'!$V$4, 'Data entry'!$BD$6:$BD$200,"&lt;&gt;*Negative*"))</f>
        <v>0</v>
      </c>
      <c r="Y13" s="15">
        <f>SUM(COUNTIFS('Data entry'!$R$6:$R$200,'Summary Data'!$A13,'Data entry'!$B$6:$B$200,{"Confirmed";"Probable"},'Data entry'!$AQ$6:$AQ$200,'Data Validation'!$V$5, 'Data entry'!$BD$6:$BD$200,"&lt;&gt;*Negative*"))</f>
        <v>0</v>
      </c>
      <c r="Z13" s="15">
        <f>SUM(COUNTIFS('Data entry'!$R$6:$R$200,'Summary Data'!$A13,'Data entry'!$B$6:$B$200,{"Confirmed";"Probable"},'Data entry'!$AQ$6:$AQ$200,'Data Validation'!$V$6, 'Data entry'!$BD$6:$BD$200,"&lt;&gt;*Negative*"))</f>
        <v>0</v>
      </c>
      <c r="AA13" s="15">
        <f>SUM(COUNTIFS('Data entry'!$R$6:$R$200,'Summary Data'!$A13,'Data entry'!$B$6:$B$200,{"Confirmed";"Probable"},'Data entry'!$AQ$6:$AQ$200,'Data Validation'!$V$7, 'Data entry'!$BD$6:$BD$200,"&lt;&gt;*Negative*"))</f>
        <v>0</v>
      </c>
      <c r="AB13" s="15">
        <f>SUM(COUNTIFS('Data entry'!$R$6:$R$200,'Summary Data'!$A13,'Data entry'!$B$6:$B$200,{"Confirmed";"Probable"},'Data entry'!$AQ$6:$AQ$200,'Data Validation'!$V$8, 'Data entry'!$BD$6:$BD$200,"&lt;&gt;*Negative*"))</f>
        <v>0</v>
      </c>
      <c r="AC13" s="15">
        <f>SUM(COUNTIFS('Data entry'!$R$6:$R$200,'Summary Data'!$A13,'Data entry'!$B$6:$B$200,{"Confirmed";"Probable"},'Data entry'!$AQ$6:$AQ$200,'Data Validation'!$V$9, 'Data entry'!$BD$6:$BD$200,"&lt;&gt;*Negative*"))</f>
        <v>0</v>
      </c>
      <c r="AD13" s="15">
        <f>SUM(COUNTIFS('Data entry'!$R$6:$R$200,'Summary Data'!$A13,'Data entry'!$B$6:$B$200,{"Confirmed";"Probable"},'Data entry'!$AQ$6:$AQ$200,'Data Validation'!$V$10, 'Data entry'!$BD$6:$BD$200,"&lt;&gt;*Negative*"))</f>
        <v>0</v>
      </c>
      <c r="AE13" s="15">
        <f>SUM(COUNTIFS('Data entry'!$R$6:$R$200,'Summary Data'!$A13,'Data entry'!$B$6:$B$200,{"Confirmed";"Probable"},'Data entry'!$AQ$6:$AQ$200,'Data Validation'!$V$11, 'Data entry'!$BD$6:$BD$200,"&lt;&gt;*Negative*"))</f>
        <v>0</v>
      </c>
      <c r="AF13" s="15">
        <f>SUM(COUNTIFS('Data entry'!$R$6:$R$200,'Summary Data'!$A13,'Data entry'!$B$6:$B$200,{"Confirmed";"Probable"},'Data entry'!$AQ$6:$AQ$200,'Data Validation'!$V$2, 'Data entry'!$AP$6:$AP$200,'Data Validation'!$U$2, 'Data entry'!$BD$6:$BD$200,"&lt;&gt;*Negative*"))</f>
        <v>0</v>
      </c>
      <c r="AG13" s="15">
        <f>SUM(COUNTIFS('Data entry'!$R$6:$R$200,'Summary Data'!$A13,'Data entry'!$B$6:$B$200,{"Confirmed";"Probable"},'Data entry'!$AQ$6:$AQ$200,'Data Validation'!$V$2, 'Data entry'!$AP$6:$AP$200,'Data Validation'!$U$3, 'Data entry'!$BD$6:$BD$200,"&lt;&gt;*Negative*"))</f>
        <v>0</v>
      </c>
      <c r="AH13" s="15">
        <f>SUM(COUNTIFS('Data entry'!$R$6:$R$200,'Summary Data'!$A13,'Data entry'!$B$6:$B$200,{"Confirmed";"Probable"},'Data entry'!$AQ$6:$AQ$200,'Data Validation'!$V$2, 'Data entry'!$AP$6:$AP$200,'Data Validation'!$U$4, 'Data entry'!$BD$6:$BD$200,"&lt;&gt;*Negative*"))</f>
        <v>0</v>
      </c>
      <c r="AI13" s="15">
        <f>SUM(COUNTIFS('Data entry'!$R$6:$R$200,'Summary Data'!$A13,'Data entry'!$B$6:$B$200,{"Confirmed";"Probable"},'Data entry'!$AQ$6:$AQ$200,'Data Validation'!$V$2, 'Data entry'!$AP$6:$AP$200,'Data Validation'!$U$5, 'Data entry'!$BD$6:$BD$200,"&lt;&gt;*Negative*"))</f>
        <v>0</v>
      </c>
      <c r="AJ13" s="15">
        <f>SUM(COUNTIFS('Data entry'!$R$6:$R$200,'Summary Data'!$A13,'Data entry'!$B$6:$B$200,{"Confirmed";"Probable"},'Data entry'!$AQ$6:$AQ$200,'Data Validation'!$V$2, 'Data entry'!$AP$6:$AP$200,'Data Validation'!$U$6, 'Data entry'!$BD$6:$BD$200,"&lt;&gt;*Negative*"))</f>
        <v>0</v>
      </c>
      <c r="AK13" s="15">
        <f>SUM(COUNTIFS('Data entry'!$R$6:$R$200,'Summary Data'!$A13,'Data entry'!$B$6:$B$200,{"Confirmed";"Probable"},'Data entry'!$AQ$6:$AQ$200,'Data Validation'!$V$3, 'Data entry'!$AP$6:$AP$200,'Data Validation'!$U$2, 'Data entry'!$BD$6:$BD$200,"&lt;&gt;*Negative*"))</f>
        <v>0</v>
      </c>
      <c r="AL13" s="15">
        <f>SUM(COUNTIFS('Data entry'!$R$6:$R$200,'Summary Data'!$A13,'Data entry'!$B$6:$B$200,{"Confirmed";"Probable"},'Data entry'!$AQ$6:$AQ$200,'Data Validation'!$V$3, 'Data entry'!$AP$6:$AP$200,'Data Validation'!$U$3, 'Data entry'!$BD$6:$BD$200,"&lt;&gt;*Negative*"))</f>
        <v>0</v>
      </c>
      <c r="AM13" s="15">
        <f>SUM(COUNTIFS('Data entry'!$R$6:$R$200,'Summary Data'!$A13,'Data entry'!$B$6:$B$200,{"Confirmed";"Probable"},'Data entry'!$AQ$6:$AQ$200,'Data Validation'!$V$3, 'Data entry'!$AP$6:$AP$200,'Data Validation'!$U$4, 'Data entry'!$BD$6:$BD$200,"&lt;&gt;*Negative*"))</f>
        <v>0</v>
      </c>
      <c r="AN13" s="15">
        <f>SUM(COUNTIFS('Data entry'!$R$6:$R$200,'Summary Data'!$A13,'Data entry'!$B$6:$B$200,{"Confirmed";"Probable"},'Data entry'!$AQ$6:$AQ$200,'Data Validation'!$V$3, 'Data entry'!$AP$6:$AP$200,'Data Validation'!$U$5, 'Data entry'!$BD$6:$BD$200,"&lt;&gt;*Negative*"))</f>
        <v>0</v>
      </c>
      <c r="AO13" s="15">
        <f>SUM(COUNTIFS('Data entry'!$R$6:$R$200,'Summary Data'!$A13,'Data entry'!$B$6:$B$200,{"Confirmed";"Probable"},'Data entry'!$AQ$6:$AQ$200,'Data Validation'!$V$3, 'Data entry'!$AP$6:$AP$200,'Data Validation'!$U$6, 'Data entry'!$BD$6:$BD$200,"&lt;&gt;*Negative*"))</f>
        <v>0</v>
      </c>
      <c r="AP13" s="15">
        <f>SUM(COUNTIFS('Data entry'!$R$6:$R$200,'Summary Data'!$A13,'Data entry'!$B$6:$B$200,{"Confirmed";"Probable"},'Data entry'!$AQ$6:$AQ$200,'Data Validation'!$V$4, 'Data entry'!$AP$6:$AP$200,'Data Validation'!$U$2, 'Data entry'!$BD$6:$BD$200,"&lt;&gt;*Negative*"))</f>
        <v>0</v>
      </c>
      <c r="AQ13" s="15">
        <f>SUM(COUNTIFS('Data entry'!$R$6:$R$200,'Summary Data'!$A13,'Data entry'!$B$6:$B$200,{"Confirmed";"Probable"},'Data entry'!$AQ$6:$AQ$200,'Data Validation'!$V$4, 'Data entry'!$AP$6:$AP$200,'Data Validation'!$U$3, 'Data entry'!$BD$6:$BD$200,"&lt;&gt;*Negative*"))</f>
        <v>0</v>
      </c>
      <c r="AR13" s="15">
        <f>SUM(COUNTIFS('Data entry'!$R$6:$R$200,'Summary Data'!$A13,'Data entry'!$B$6:$B$200,{"Confirmed";"Probable"},'Data entry'!$AQ$6:$AQ$200,'Data Validation'!$V$4, 'Data entry'!$AP$6:$AP$200,'Data Validation'!$U$4, 'Data entry'!$BD$6:$BD$200,"&lt;&gt;*Negative*"))</f>
        <v>0</v>
      </c>
      <c r="AS13" s="15">
        <f>SUM(COUNTIFS('Data entry'!$R$6:$R$200,'Summary Data'!$A13,'Data entry'!$B$6:$B$200,{"Confirmed";"Probable"},'Data entry'!$AQ$6:$AQ$200,'Data Validation'!$V$4, 'Data entry'!$AP$6:$AP$200,'Data Validation'!$U$5, 'Data entry'!$BD$6:$BD$200,"&lt;&gt;*Negative*"))</f>
        <v>0</v>
      </c>
      <c r="AT13" s="15">
        <f>SUM(COUNTIFS('Data entry'!$R$6:$R$200,'Summary Data'!$A13,'Data entry'!$B$6:$B$200,{"Confirmed";"Probable"},'Data entry'!$AQ$6:$AQ$200,'Data Validation'!$V$4, 'Data entry'!$AP$6:$AP$200,'Data Validation'!$U$6, 'Data entry'!$BD$6:$BD$200,"&lt;&gt;*Negative*"))</f>
        <v>0</v>
      </c>
      <c r="AU13" s="15">
        <f>SUM(COUNTIFS('Data entry'!$R$6:$R$200,'Summary Data'!$A13,'Data entry'!$B$6:$B$200,{"Confirmed";"Probable"},'Data entry'!$AQ$6:$AQ$200,'Data Validation'!$V$5, 'Data entry'!$AP$6:$AP$200,'Data Validation'!$U$2, 'Data entry'!$BD$6:$BD$200,"&lt;&gt;*Negative*"))</f>
        <v>0</v>
      </c>
      <c r="AV13" s="15">
        <f>SUM(COUNTIFS('Data entry'!$R$6:$R$200,'Summary Data'!$A13,'Data entry'!$B$6:$B$200,{"Confirmed";"Probable"},'Data entry'!$AQ$6:$AQ$200,'Data Validation'!$V$5, 'Data entry'!$AP$6:$AP$200,'Data Validation'!$U$3, 'Data entry'!$BD$6:$BD$200,"&lt;&gt;*Negative*"))</f>
        <v>0</v>
      </c>
      <c r="AW13" s="15">
        <f>SUM(COUNTIFS('Data entry'!$R$6:$R$200,'Summary Data'!$A13,'Data entry'!$B$6:$B$200,{"Confirmed";"Probable"},'Data entry'!$AQ$6:$AQ$200,'Data Validation'!$V$5, 'Data entry'!$AP$6:$AP$200,'Data Validation'!$U$4, 'Data entry'!$BD$6:$BD$200,"&lt;&gt;*Negative*"))</f>
        <v>0</v>
      </c>
      <c r="AX13" s="15">
        <f>SUM(COUNTIFS('Data entry'!$R$6:$R$200,'Summary Data'!$A13,'Data entry'!$B$6:$B$200,{"Confirmed";"Probable"},'Data entry'!$AQ$6:$AQ$200,'Data Validation'!$V$5, 'Data entry'!$AP$6:$AP$200,'Data Validation'!$U$5, 'Data entry'!$BD$6:$BD$200,"&lt;&gt;*Negative*"))</f>
        <v>0</v>
      </c>
      <c r="AY13" s="15">
        <f>SUM(COUNTIFS('Data entry'!$R$6:$R$200,'Summary Data'!$A13,'Data entry'!$B$6:$B$200,{"Confirmed";"Probable"},'Data entry'!$AQ$6:$AQ$200,'Data Validation'!$V$5, 'Data entry'!$AP$6:$AP$200,'Data Validation'!$U$6, 'Data entry'!$BD$6:$BD$200,"&lt;&gt;*Negative*"))</f>
        <v>0</v>
      </c>
      <c r="AZ13" s="15">
        <f>SUM(COUNTIFS('Data entry'!$R$6:$R$200,'Summary Data'!$A13,'Data entry'!$B$6:$B$200,{"Confirmed";"Probable"},'Data entry'!$AQ$6:$AQ$200,'Data Validation'!$V$6, 'Data entry'!$AP$6:$AP$200,'Data Validation'!$U$2, 'Data entry'!$BD$6:$BD$200,"&lt;&gt;*Negative*"))</f>
        <v>0</v>
      </c>
      <c r="BA13" s="15">
        <f>SUM(COUNTIFS('Data entry'!$R$6:$R$200,'Summary Data'!$A13,'Data entry'!$B$6:$B$200,{"Confirmed";"Probable"},'Data entry'!$AQ$6:$AQ$200,'Data Validation'!$V$6, 'Data entry'!$AP$6:$AP$200,'Data Validation'!$U$3, 'Data entry'!$BD$6:$BD$200,"&lt;&gt;*Negative*"))</f>
        <v>0</v>
      </c>
      <c r="BB13" s="15">
        <f>SUM(COUNTIFS('Data entry'!$R$6:$R$200,'Summary Data'!$A13,'Data entry'!$B$6:$B$200,{"Confirmed";"Probable"},'Data entry'!$AQ$6:$AQ$200,'Data Validation'!$V$6, 'Data entry'!$AP$6:$AP$200,'Data Validation'!$U$4, 'Data entry'!$BD$6:$BD$200,"&lt;&gt;*Negative*"))</f>
        <v>0</v>
      </c>
      <c r="BC13" s="15">
        <f>SUM(COUNTIFS('Data entry'!$R$6:$R$200,'Summary Data'!$A13,'Data entry'!$B$6:$B$200,{"Confirmed";"Probable"},'Data entry'!$AQ$6:$AQ$200,'Data Validation'!$V$6, 'Data entry'!$AP$6:$AP$200,'Data Validation'!$U$5, 'Data entry'!$BD$6:$BD$200,"&lt;&gt;*Negative*"))</f>
        <v>0</v>
      </c>
      <c r="BD13" s="15">
        <f>SUM(COUNTIFS('Data entry'!$R$6:$R$200,'Summary Data'!$A13,'Data entry'!$B$6:$B$200,{"Confirmed";"Probable"},'Data entry'!$AQ$6:$AQ$200,'Data Validation'!$V$6, 'Data entry'!$AP$6:$AP$200,'Data Validation'!$U$6, 'Data entry'!$BD$6:$BD$200,"&lt;&gt;*Negative*"))</f>
        <v>0</v>
      </c>
      <c r="BE13" s="15">
        <f>SUM(COUNTIFS('Data entry'!$R$6:$R$200,'Summary Data'!$A13,'Data entry'!$B$6:$B$200,{"Confirmed";"Probable"},'Data entry'!$AQ$6:$AQ$200,'Data Validation'!$V$7, 'Data entry'!$AP$6:$AP$200,'Data Validation'!$U$2, 'Data entry'!$BD$6:$BD$200,"&lt;&gt;*Negative*"))</f>
        <v>0</v>
      </c>
      <c r="BF13" s="15">
        <f>SUM(COUNTIFS('Data entry'!$R$6:$R$200,'Summary Data'!$A13,'Data entry'!$B$6:$B$200,{"Confirmed";"Probable"},'Data entry'!$AQ$6:$AQ$200,'Data Validation'!$V$7, 'Data entry'!$AP$6:$AP$200,'Data Validation'!$U$3, 'Data entry'!$BD$6:$BD$200,"&lt;&gt;*Negative*"))</f>
        <v>0</v>
      </c>
      <c r="BG13" s="15">
        <f>SUM(COUNTIFS('Data entry'!$R$6:$R$200,'Summary Data'!$A13,'Data entry'!$B$6:$B$200,{"Confirmed";"Probable"},'Data entry'!$AQ$6:$AQ$200,'Data Validation'!$V$7, 'Data entry'!$AP$6:$AP$200,'Data Validation'!$U$4, 'Data entry'!$BD$6:$BD$200,"&lt;&gt;*Negative*"))</f>
        <v>0</v>
      </c>
      <c r="BH13" s="15">
        <f>SUM(COUNTIFS('Data entry'!$R$6:$R$200,'Summary Data'!$A13,'Data entry'!$B$6:$B$200,{"Confirmed";"Probable"},'Data entry'!$AQ$6:$AQ$200,'Data Validation'!$V$7, 'Data entry'!$AP$6:$AP$200,'Data Validation'!$U$5, 'Data entry'!$BD$6:$BD$200,"&lt;&gt;*Negative*"))</f>
        <v>0</v>
      </c>
      <c r="BI13" s="15">
        <f>SUM(COUNTIFS('Data entry'!$R$6:$R$200,'Summary Data'!$A13,'Data entry'!$B$6:$B$200,{"Confirmed";"Probable"},'Data entry'!$AQ$6:$AQ$200,'Data Validation'!$V$7, 'Data entry'!$AP$6:$AP$200,'Data Validation'!$U$6, 'Data entry'!$BD$6:$BD$200,"&lt;&gt;*Negative*"))</f>
        <v>0</v>
      </c>
      <c r="BJ13" s="15">
        <f>SUM(COUNTIFS('Data entry'!$R$6:$R$200,'Summary Data'!$A13,'Data entry'!$B$6:$B$200,{"Confirmed";"Probable"},'Data entry'!$AQ$6:$AQ$200,'Data Validation'!$V$8, 'Data entry'!$AP$6:$AP$200,'Data Validation'!$U$2, 'Data entry'!$BD$6:$BD$200,"&lt;&gt;*Negative*"))</f>
        <v>0</v>
      </c>
      <c r="BK13" s="15">
        <f>SUM(COUNTIFS('Data entry'!$R$6:$R$200,'Summary Data'!$A13,'Data entry'!$B$6:$B$200,{"Confirmed";"Probable"},'Data entry'!$AQ$6:$AQ$200,'Data Validation'!$V$8, 'Data entry'!$AP$6:$AP$200,'Data Validation'!$U$3, 'Data entry'!$BD$6:$BD$200,"&lt;&gt;*Negative*"))</f>
        <v>0</v>
      </c>
      <c r="BL13" s="15">
        <f>SUM(COUNTIFS('Data entry'!$R$6:$R$200,'Summary Data'!$A13,'Data entry'!$B$6:$B$200,{"Confirmed";"Probable"},'Data entry'!$AQ$6:$AQ$200,'Data Validation'!$V$8, 'Data entry'!$AP$6:$AP$200,'Data Validation'!$U$4, 'Data entry'!$BD$6:$BD$200,"&lt;&gt;*Negative*"))</f>
        <v>0</v>
      </c>
      <c r="BM13" s="15">
        <f>SUM(COUNTIFS('Data entry'!$R$6:$R$200,'Summary Data'!$A13,'Data entry'!$B$6:$B$200,{"Confirmed";"Probable"},'Data entry'!$AQ$6:$AQ$200,'Data Validation'!$V$8, 'Data entry'!$AP$6:$AP$200,'Data Validation'!$U$5, 'Data entry'!$BD$6:$BD$200,"&lt;&gt;*Negative*"))</f>
        <v>0</v>
      </c>
      <c r="BN13" s="15">
        <f>SUM(COUNTIFS('Data entry'!$R$6:$R$200,'Summary Data'!$A13,'Data entry'!$B$6:$B$200,{"Confirmed";"Probable"},'Data entry'!$AQ$6:$AQ$200,'Data Validation'!$V$8, 'Data entry'!$AP$6:$AP$200,'Data Validation'!$U$6, 'Data entry'!$BD$6:$BD$200,"&lt;&gt;*Negative*"))</f>
        <v>0</v>
      </c>
      <c r="BO13" s="15">
        <f>SUM(COUNTIFS('Data entry'!$R$6:$R$200,'Summary Data'!$A13,'Data entry'!$B$6:$B$200,{"Confirmed";"Probable"},'Data entry'!$AQ$6:$AQ$200,'Data Validation'!$V$9, 'Data entry'!$AP$6:$AP$200,'Data Validation'!$U$2, 'Data entry'!$BD$6:$BD$200,"&lt;&gt;*Negative*"))</f>
        <v>0</v>
      </c>
      <c r="BP13" s="15">
        <f>SUM(COUNTIFS('Data entry'!$R$6:$R$200,'Summary Data'!$A13,'Data entry'!$B$6:$B$200,{"Confirmed";"Probable"},'Data entry'!$AQ$6:$AQ$200,'Data Validation'!$V$9, 'Data entry'!$AP$6:$AP$200,'Data Validation'!$U$3, 'Data entry'!$BD$6:$BD$200,"&lt;&gt;*Negative*"))</f>
        <v>0</v>
      </c>
      <c r="BQ13" s="15">
        <f>SUM(COUNTIFS('Data entry'!$R$6:$R$200,'Summary Data'!$A13,'Data entry'!$B$6:$B$200,{"Confirmed";"Probable"},'Data entry'!$AQ$6:$AQ$200,'Data Validation'!$V$9, 'Data entry'!$AP$6:$AP$200,'Data Validation'!$U$4, 'Data entry'!$BD$6:$BD$200,"&lt;&gt;*Negative*"))</f>
        <v>0</v>
      </c>
      <c r="BR13" s="15">
        <f>SUM(COUNTIFS('Data entry'!$R$6:$R$200,'Summary Data'!$A13,'Data entry'!$B$6:$B$200,{"Confirmed";"Probable"},'Data entry'!$AQ$6:$AQ$200,'Data Validation'!$V$9, 'Data entry'!$AP$6:$AP$200,'Data Validation'!$U$5, 'Data entry'!$BD$6:$BD$200,"&lt;&gt;*Negative*"))</f>
        <v>0</v>
      </c>
      <c r="BS13" s="15">
        <f>SUM(COUNTIFS('Data entry'!$R$6:$R$200,'Summary Data'!$A13,'Data entry'!$B$6:$B$200,{"Confirmed";"Probable"},'Data entry'!$AQ$6:$AQ$200,'Data Validation'!$V$9, 'Data entry'!$AP$6:$AP$200,'Data Validation'!$U$6, 'Data entry'!$BD$6:$BD$200,"&lt;&gt;*Negative*"))</f>
        <v>0</v>
      </c>
      <c r="BT13" s="15">
        <f>SUM(COUNTIFS('Data entry'!$R$6:$R$200,'Summary Data'!$A13,'Data entry'!$B$6:$B$200,{"Confirmed";"Probable"},'Data entry'!$AQ$6:$AQ$200,'Data Validation'!$V$10, 'Data entry'!$AP$6:$AP$200,'Data Validation'!$U$2, 'Data entry'!$BD$6:$BD$200,"&lt;&gt;*Negative*"))</f>
        <v>0</v>
      </c>
      <c r="BU13" s="15">
        <f>SUM(COUNTIFS('Data entry'!$R$6:$R$200,'Summary Data'!$A13,'Data entry'!$B$6:$B$200,{"Confirmed";"Probable"},'Data entry'!$AQ$6:$AQ$200,'Data Validation'!$V$10, 'Data entry'!$AP$6:$AP$200,'Data Validation'!$U$3, 'Data entry'!$BD$6:$BD$200,"&lt;&gt;*Negative*"))</f>
        <v>0</v>
      </c>
      <c r="BV13" s="15">
        <f>SUM(COUNTIFS('Data entry'!$R$6:$R$200,'Summary Data'!$A13,'Data entry'!$B$6:$B$200,{"Confirmed";"Probable"},'Data entry'!$AQ$6:$AQ$200,'Data Validation'!$V$10, 'Data entry'!$AP$6:$AP$200,'Data Validation'!$U$4, 'Data entry'!$BD$6:$BD$200,"&lt;&gt;*Negative*"))</f>
        <v>0</v>
      </c>
      <c r="BW13" s="15">
        <f>SUM(COUNTIFS('Data entry'!$R$6:$R$200,'Summary Data'!$A13,'Data entry'!$B$6:$B$200,{"Confirmed";"Probable"},'Data entry'!$AQ$6:$AQ$200,'Data Validation'!$V$10, 'Data entry'!$AP$6:$AP$200,'Data Validation'!$U$5, 'Data entry'!$BD$6:$BD$200,"&lt;&gt;*Negative*"))</f>
        <v>0</v>
      </c>
      <c r="BX13" s="15">
        <f>SUM(COUNTIFS('Data entry'!$R$6:$R$200,'Summary Data'!$A13,'Data entry'!$B$6:$B$200,{"Confirmed";"Probable"},'Data entry'!$AQ$6:$AQ$200,'Data Validation'!$V$10, 'Data entry'!$AP$6:$AP$200,'Data Validation'!$U$6, 'Data entry'!$BD$6:$BD$200,"&lt;&gt;*Negative*"))</f>
        <v>0</v>
      </c>
      <c r="BY13" s="15">
        <f>SUM(COUNTIFS('Data entry'!$R$6:$R$200,'Summary Data'!$A13,'Data entry'!$B$6:$B$200,{"Confirmed";"Probable"},'Data entry'!$AQ$6:$AQ$200,'Data Validation'!$V$11, 'Data entry'!$AP$6:$AP$200,'Data Validation'!$U$2, 'Data entry'!$BD$6:$BD$200,"&lt;&gt;*Negative*"))</f>
        <v>0</v>
      </c>
      <c r="BZ13" s="15">
        <f>SUM(COUNTIFS('Data entry'!$R$6:$R$200,'Summary Data'!$A13,'Data entry'!$B$6:$B$200,{"Confirmed";"Probable"},'Data entry'!$AQ$6:$AQ$200,'Data Validation'!$V$11, 'Data entry'!$AP$6:$AP$200,'Data Validation'!$U$3, 'Data entry'!$BD$6:$BD$200,"&lt;&gt;*Negative*"))</f>
        <v>0</v>
      </c>
      <c r="CA13" s="15">
        <f>SUM(COUNTIFS('Data entry'!$R$6:$R$200,'Summary Data'!$A13,'Data entry'!$B$6:$B$200,{"Confirmed";"Probable"},'Data entry'!$AQ$6:$AQ$200,'Data Validation'!$V$11, 'Data entry'!$AP$6:$AP$200,'Data Validation'!$U$4, 'Data entry'!$BD$6:$BD$200,"&lt;&gt;*Negative*"))</f>
        <v>0</v>
      </c>
      <c r="CB13" s="15">
        <f>SUM(COUNTIFS('Data entry'!$R$6:$R$200,'Summary Data'!$A13,'Data entry'!$B$6:$B$200,{"Confirmed";"Probable"},'Data entry'!$AQ$6:$AQ$200,'Data Validation'!$V$11, 'Data entry'!$AP$6:$AP$200,'Data Validation'!$U$5, 'Data entry'!$BD$6:$BD$200,"&lt;&gt;*Negative*"))</f>
        <v>0</v>
      </c>
      <c r="CC13" s="15">
        <f>SUM(COUNTIFS('Data entry'!$R$6:$R$200,'Summary Data'!$A13,'Data entry'!$B$6:$B$200,{"Confirmed";"Probable"},'Data entry'!$AQ$6:$AQ$200,'Data Validation'!$V$11, 'Data entry'!$AP$6:$AP$200,'Data Validation'!$U$6, 'Data entry'!$BD$6:$BD$200,"&lt;&gt;*Negative*"))</f>
        <v>0</v>
      </c>
    </row>
    <row r="14" spans="1:81" x14ac:dyDescent="0.25">
      <c r="A14" s="12">
        <f t="shared" ref="A14:A77" si="5">A13+1</f>
        <v>2</v>
      </c>
      <c r="B14" s="13">
        <f t="shared" si="2"/>
        <v>0</v>
      </c>
      <c r="C14" s="13">
        <f>COUNTIFS('Data entry'!$R$6:$R$200,$A14,'Data entry'!$B$6:$B$200,"Confirmed",'Data entry'!$BD$6:$BD$200,"&lt;&gt;*Negative*")</f>
        <v>0</v>
      </c>
      <c r="D14" s="13">
        <f>COUNTIFS('Data entry'!$R$6:$R$200,$A14,'Data entry'!$B$6:$B$200,"Probable",'Data entry'!$BD$6:$BD$200,"&lt;&gt;*Negative*")</f>
        <v>0</v>
      </c>
      <c r="E14" s="13">
        <f>COUNTIFS('Data entry'!$R$6:$R$200,$A14,'Data entry'!$B$6:$B$200,"DNM")</f>
        <v>0</v>
      </c>
      <c r="F14" s="13">
        <f>SUM(COUNTIFS('Data entry'!$R$6:$R$200,'Summary Data'!$A14,'Data entry'!$B$6:$B$200,{"Confirmed";"Probable"},'Data entry'!$AO$6:$AO$200,$F$10, 'Data entry'!$BD$6:$BD$200,"&lt;&gt;*Negative*"))</f>
        <v>0</v>
      </c>
      <c r="G14" s="13">
        <f>SUM(COUNTIFS('Data entry'!$R$6:$R$200,'Summary Data'!$A14,'Data entry'!$B$6:$B$200,{"Confirmed";"Probable"},'Data entry'!$AO$6:$AO$200,$G$10, 'Data entry'!$BD$6:$BD$200,"&lt;&gt;*Negative*"))</f>
        <v>0</v>
      </c>
      <c r="H14" s="13">
        <f>SUM(COUNTIFS('Data entry'!$R$6:$R$200,'Summary Data'!$A14,'Data entry'!$B$6:$B$200,{"Confirmed";"Probable"},'Data entry'!$AO$6:$AO$200,$H$10, 'Data entry'!$BD$6:$BD$200,"&lt;&gt;*Negative*"))</f>
        <v>0</v>
      </c>
      <c r="I14" s="13">
        <f>SUM(COUNTIFS('Data entry'!$R$6:$R$200,'Summary Data'!$A14,'Data entry'!$B$6:$B$200,{"Confirmed";"Probable"},'Data entry'!$AO$6:$AO$200,$I$10, 'Data entry'!$BD$6:$BD$200,"&lt;&gt;*Negative*"))</f>
        <v>0</v>
      </c>
      <c r="J14" s="13">
        <f>SUM(COUNTIFS('Data entry'!$R$6:$R$200,'Summary Data'!$A14,'Data entry'!$B$6:$B$200,{"Confirmed";"Probable"},'Data entry'!$AO$6:$AO$200,$J$10, 'Data entry'!$BD$6:$BD$200,"&lt;&gt;*Negative*"))</f>
        <v>0</v>
      </c>
      <c r="K14" s="13">
        <f>SUM(COUNTIFS('Data entry'!$R$6:$R$200,'Summary Data'!$A14,'Data entry'!$B$6:$B$200,{"Confirmed";"Probable"},'Data entry'!$AO$6:$AO$200,$K$10, 'Data entry'!$BD$6:$BD$200,"&lt;&gt;*Negative*"))</f>
        <v>0</v>
      </c>
      <c r="L14" s="13">
        <f>SUM(COUNTIFS('Data entry'!$R$6:$R$200,'Summary Data'!$A14,'Data entry'!$B$6:$B$200,{"Confirmed";"Probable"},'Data entry'!$AO$6:$AO$200,$L$10, 'Data entry'!$BD$6:$BD$200,"&lt;&gt;*Negative*"))</f>
        <v>0</v>
      </c>
      <c r="M14" s="13">
        <f>SUM(COUNTIFS('Data entry'!$R$6:$R$200,'Summary Data'!$A14,'Data entry'!$B$6:$B$200,{"Confirmed";"Probable"},'Data entry'!$AO$6:$AO$200,$M$10, 'Data entry'!$BD$6:$BD$200,"&lt;&gt;*Negative*"))</f>
        <v>0</v>
      </c>
      <c r="N14" s="13">
        <f>SUM(COUNTIFS('Data entry'!$R$6:$R$200,'Summary Data'!$A14,'Data entry'!$B$6:$B$200,{"Confirmed";"Probable"},'Data entry'!$AO$6:$AO$200,$N$10, 'Data entry'!$BD$6:$BD$200,"&lt;&gt;*Negative*"))</f>
        <v>0</v>
      </c>
      <c r="O14" s="15">
        <f t="shared" si="3"/>
        <v>0</v>
      </c>
      <c r="P14" s="15">
        <f t="shared" si="4"/>
        <v>0</v>
      </c>
      <c r="Q14" s="15">
        <f>SUM(COUNTIFS('Data entry'!$R$6:$R$200,'Summary Data'!$A14,'Data entry'!$B$6:$B$200,{"Confirmed";"Probable"},'Data entry'!$AP$6:$AP$200,'Data Validation'!$U$2, 'Data entry'!$BD$6:$BD$200,"&lt;&gt;*Negative*"))</f>
        <v>0</v>
      </c>
      <c r="R14" s="15">
        <f>SUM(COUNTIFS('Data entry'!$R$6:$R$200,'Summary Data'!$A14,'Data entry'!$B$6:$B$200,{"Confirmed";"Probable"},'Data entry'!$AP$6:$AP$200,'Data Validation'!$U$3, 'Data entry'!$BD$6:$BD$200,"&lt;&gt;*Negative*"))</f>
        <v>0</v>
      </c>
      <c r="S14" s="15">
        <f>SUM(COUNTIFS('Data entry'!$R$6:$R$200,'Summary Data'!$A14,'Data entry'!$B$6:$B$200,{"Confirmed";"Probable"},'Data entry'!$AP$6:$AP$200,'Data Validation'!$U$4, 'Data entry'!$BD$6:$BD$200,"&lt;&gt;*Negative*"))</f>
        <v>0</v>
      </c>
      <c r="T14" s="15">
        <f>SUM(COUNTIFS('Data entry'!$R$6:$R$200,'Summary Data'!$A14,'Data entry'!$B$6:$B$200,{"Confirmed";"Probable"},'Data entry'!$AP$6:$AP$200,'Data Validation'!$U$5, 'Data entry'!$BD$6:$BD$200,"&lt;&gt;*Negative*"))</f>
        <v>0</v>
      </c>
      <c r="U14" s="15">
        <f>SUM(COUNTIFS('Data entry'!$R$6:$R$200,'Summary Data'!$A14,'Data entry'!$B$6:$B$200,{"Confirmed";"Probable"},'Data entry'!$AP$6:$AP$200,'Data Validation'!$U$6, 'Data entry'!$BD$6:$BD$200,"&lt;&gt;*Negative*"))</f>
        <v>0</v>
      </c>
      <c r="V14" s="15">
        <f>SUM(COUNTIFS('Data entry'!$R$6:$R$200,'Summary Data'!$A14,'Data entry'!$B$6:$B$200,{"Confirmed";"Probable"},'Data entry'!$AQ$6:$AQ$200,'Data Validation'!$V$2, 'Data entry'!$BD$6:$BD$200,"&lt;&gt;*Negative*"))</f>
        <v>0</v>
      </c>
      <c r="W14" s="15">
        <f>SUM(COUNTIFS('Data entry'!$R$6:$R$200,'Summary Data'!$A14,'Data entry'!$B$6:$B$200,{"Confirmed";"Probable"},'Data entry'!$AQ$6:$AQ$200,'Data Validation'!$V$3, 'Data entry'!$BD$6:$BD$200,"&lt;&gt;*Negative*"))</f>
        <v>0</v>
      </c>
      <c r="X14" s="15">
        <f>SUM(COUNTIFS('Data entry'!$R$6:$R$200,'Summary Data'!$A14,'Data entry'!$B$6:$B$200,{"Confirmed";"Probable"},'Data entry'!$AQ$6:$AQ$200,'Data Validation'!$V$4, 'Data entry'!$BD$6:$BD$200,"&lt;&gt;*Negative*"))</f>
        <v>0</v>
      </c>
      <c r="Y14" s="15">
        <f>SUM(COUNTIFS('Data entry'!$R$6:$R$200,'Summary Data'!$A14,'Data entry'!$B$6:$B$200,{"Confirmed";"Probable"},'Data entry'!$AQ$6:$AQ$200,'Data Validation'!$V$5, 'Data entry'!$BD$6:$BD$200,"&lt;&gt;*Negative*"))</f>
        <v>0</v>
      </c>
      <c r="Z14" s="15">
        <f>SUM(COUNTIFS('Data entry'!$R$6:$R$200,'Summary Data'!$A14,'Data entry'!$B$6:$B$200,{"Confirmed";"Probable"},'Data entry'!$AQ$6:$AQ$200,'Data Validation'!$V$6, 'Data entry'!$BD$6:$BD$200,"&lt;&gt;*Negative*"))</f>
        <v>0</v>
      </c>
      <c r="AA14" s="15">
        <f>SUM(COUNTIFS('Data entry'!$R$6:$R$200,'Summary Data'!$A14,'Data entry'!$B$6:$B$200,{"Confirmed";"Probable"},'Data entry'!$AQ$6:$AQ$200,'Data Validation'!$V$7, 'Data entry'!$BD$6:$BD$200,"&lt;&gt;*Negative*"))</f>
        <v>0</v>
      </c>
      <c r="AB14" s="15">
        <f>SUM(COUNTIFS('Data entry'!$R$6:$R$200,'Summary Data'!$A14,'Data entry'!$B$6:$B$200,{"Confirmed";"Probable"},'Data entry'!$AQ$6:$AQ$200,'Data Validation'!$V$8, 'Data entry'!$BD$6:$BD$200,"&lt;&gt;*Negative*"))</f>
        <v>0</v>
      </c>
      <c r="AC14" s="15">
        <f>SUM(COUNTIFS('Data entry'!$R$6:$R$200,'Summary Data'!$A14,'Data entry'!$B$6:$B$200,{"Confirmed";"Probable"},'Data entry'!$AQ$6:$AQ$200,'Data Validation'!$V$9, 'Data entry'!$BD$6:$BD$200,"&lt;&gt;*Negative*"))</f>
        <v>0</v>
      </c>
      <c r="AD14" s="15">
        <f>SUM(COUNTIFS('Data entry'!$R$6:$R$200,'Summary Data'!$A14,'Data entry'!$B$6:$B$200,{"Confirmed";"Probable"},'Data entry'!$AQ$6:$AQ$200,'Data Validation'!$V$10, 'Data entry'!$BD$6:$BD$200,"&lt;&gt;*Negative*"))</f>
        <v>0</v>
      </c>
      <c r="AE14" s="15">
        <f>SUM(COUNTIFS('Data entry'!$R$6:$R$200,'Summary Data'!$A14,'Data entry'!$B$6:$B$200,{"Confirmed";"Probable"},'Data entry'!$AQ$6:$AQ$200,'Data Validation'!$V$11, 'Data entry'!$BD$6:$BD$200,"&lt;&gt;*Negative*"))</f>
        <v>0</v>
      </c>
      <c r="AF14" s="15">
        <f>SUM(COUNTIFS('Data entry'!$R$6:$R$200,'Summary Data'!$A14,'Data entry'!$B$6:$B$200,{"Confirmed";"Probable"},'Data entry'!$AQ$6:$AQ$200,'Data Validation'!$V$2, 'Data entry'!$AP$6:$AP$200,'Data Validation'!$U$2, 'Data entry'!$BD$6:$BD$200,"&lt;&gt;*Negative*"))</f>
        <v>0</v>
      </c>
      <c r="AG14" s="15">
        <f>SUM(COUNTIFS('Data entry'!$R$6:$R$200,'Summary Data'!$A14,'Data entry'!$B$6:$B$200,{"Confirmed";"Probable"},'Data entry'!$AQ$6:$AQ$200,'Data Validation'!$V$2, 'Data entry'!$AP$6:$AP$200,'Data Validation'!$U$3, 'Data entry'!$BD$6:$BD$200,"&lt;&gt;*Negative*"))</f>
        <v>0</v>
      </c>
      <c r="AH14" s="15">
        <f>SUM(COUNTIFS('Data entry'!$R$6:$R$200,'Summary Data'!$A14,'Data entry'!$B$6:$B$200,{"Confirmed";"Probable"},'Data entry'!$AQ$6:$AQ$200,'Data Validation'!$V$2, 'Data entry'!$AP$6:$AP$200,'Data Validation'!$U$4, 'Data entry'!$BD$6:$BD$200,"&lt;&gt;*Negative*"))</f>
        <v>0</v>
      </c>
      <c r="AI14" s="15">
        <f>SUM(COUNTIFS('Data entry'!$R$6:$R$200,'Summary Data'!$A14,'Data entry'!$B$6:$B$200,{"Confirmed";"Probable"},'Data entry'!$AQ$6:$AQ$200,'Data Validation'!$V$2, 'Data entry'!$AP$6:$AP$200,'Data Validation'!$U$5, 'Data entry'!$BD$6:$BD$200,"&lt;&gt;*Negative*"))</f>
        <v>0</v>
      </c>
      <c r="AJ14" s="15">
        <f>SUM(COUNTIFS('Data entry'!$R$6:$R$200,'Summary Data'!$A14,'Data entry'!$B$6:$B$200,{"Confirmed";"Probable"},'Data entry'!$AQ$6:$AQ$200,'Data Validation'!$V$2, 'Data entry'!$AP$6:$AP$200,'Data Validation'!$U$6, 'Data entry'!$BD$6:$BD$200,"&lt;&gt;*Negative*"))</f>
        <v>0</v>
      </c>
      <c r="AK14" s="15">
        <f>SUM(COUNTIFS('Data entry'!$R$6:$R$200,'Summary Data'!$A14,'Data entry'!$B$6:$B$200,{"Confirmed";"Probable"},'Data entry'!$AQ$6:$AQ$200,'Data Validation'!$V$3, 'Data entry'!$AP$6:$AP$200,'Data Validation'!$U$2, 'Data entry'!$BD$6:$BD$200,"&lt;&gt;*Negative*"))</f>
        <v>0</v>
      </c>
      <c r="AL14" s="15">
        <f>SUM(COUNTIFS('Data entry'!$R$6:$R$200,'Summary Data'!$A14,'Data entry'!$B$6:$B$200,{"Confirmed";"Probable"},'Data entry'!$AQ$6:$AQ$200,'Data Validation'!$V$3, 'Data entry'!$AP$6:$AP$200,'Data Validation'!$U$3, 'Data entry'!$BD$6:$BD$200,"&lt;&gt;*Negative*"))</f>
        <v>0</v>
      </c>
      <c r="AM14" s="15">
        <f>SUM(COUNTIFS('Data entry'!$R$6:$R$200,'Summary Data'!$A14,'Data entry'!$B$6:$B$200,{"Confirmed";"Probable"},'Data entry'!$AQ$6:$AQ$200,'Data Validation'!$V$3, 'Data entry'!$AP$6:$AP$200,'Data Validation'!$U$4, 'Data entry'!$BD$6:$BD$200,"&lt;&gt;*Negative*"))</f>
        <v>0</v>
      </c>
      <c r="AN14" s="15">
        <f>SUM(COUNTIFS('Data entry'!$R$6:$R$200,'Summary Data'!$A14,'Data entry'!$B$6:$B$200,{"Confirmed";"Probable"},'Data entry'!$AQ$6:$AQ$200,'Data Validation'!$V$3, 'Data entry'!$AP$6:$AP$200,'Data Validation'!$U$5, 'Data entry'!$BD$6:$BD$200,"&lt;&gt;*Negative*"))</f>
        <v>0</v>
      </c>
      <c r="AO14" s="15">
        <f>SUM(COUNTIFS('Data entry'!$R$6:$R$200,'Summary Data'!$A14,'Data entry'!$B$6:$B$200,{"Confirmed";"Probable"},'Data entry'!$AQ$6:$AQ$200,'Data Validation'!$V$3, 'Data entry'!$AP$6:$AP$200,'Data Validation'!$U$6, 'Data entry'!$BD$6:$BD$200,"&lt;&gt;*Negative*"))</f>
        <v>0</v>
      </c>
      <c r="AP14" s="15">
        <f>SUM(COUNTIFS('Data entry'!$R$6:$R$200,'Summary Data'!$A14,'Data entry'!$B$6:$B$200,{"Confirmed";"Probable"},'Data entry'!$AQ$6:$AQ$200,'Data Validation'!$V$4, 'Data entry'!$AP$6:$AP$200,'Data Validation'!$U$2, 'Data entry'!$BD$6:$BD$200,"&lt;&gt;*Negative*"))</f>
        <v>0</v>
      </c>
      <c r="AQ14" s="15">
        <f>SUM(COUNTIFS('Data entry'!$R$6:$R$200,'Summary Data'!$A14,'Data entry'!$B$6:$B$200,{"Confirmed";"Probable"},'Data entry'!$AQ$6:$AQ$200,'Data Validation'!$V$4, 'Data entry'!$AP$6:$AP$200,'Data Validation'!$U$3, 'Data entry'!$BD$6:$BD$200,"&lt;&gt;*Negative*"))</f>
        <v>0</v>
      </c>
      <c r="AR14" s="15">
        <f>SUM(COUNTIFS('Data entry'!$R$6:$R$200,'Summary Data'!$A14,'Data entry'!$B$6:$B$200,{"Confirmed";"Probable"},'Data entry'!$AQ$6:$AQ$200,'Data Validation'!$V$4, 'Data entry'!$AP$6:$AP$200,'Data Validation'!$U$4, 'Data entry'!$BD$6:$BD$200,"&lt;&gt;*Negative*"))</f>
        <v>0</v>
      </c>
      <c r="AS14" s="15">
        <f>SUM(COUNTIFS('Data entry'!$R$6:$R$200,'Summary Data'!$A14,'Data entry'!$B$6:$B$200,{"Confirmed";"Probable"},'Data entry'!$AQ$6:$AQ$200,'Data Validation'!$V$4, 'Data entry'!$AP$6:$AP$200,'Data Validation'!$U$5, 'Data entry'!$BD$6:$BD$200,"&lt;&gt;*Negative*"))</f>
        <v>0</v>
      </c>
      <c r="AT14" s="15">
        <f>SUM(COUNTIFS('Data entry'!$R$6:$R$200,'Summary Data'!$A14,'Data entry'!$B$6:$B$200,{"Confirmed";"Probable"},'Data entry'!$AQ$6:$AQ$200,'Data Validation'!$V$4, 'Data entry'!$AP$6:$AP$200,'Data Validation'!$U$6, 'Data entry'!$BD$6:$BD$200,"&lt;&gt;*Negative*"))</f>
        <v>0</v>
      </c>
      <c r="AU14" s="15">
        <f>SUM(COUNTIFS('Data entry'!$R$6:$R$200,'Summary Data'!$A14,'Data entry'!$B$6:$B$200,{"Confirmed";"Probable"},'Data entry'!$AQ$6:$AQ$200,'Data Validation'!$V$5, 'Data entry'!$AP$6:$AP$200,'Data Validation'!$U$2, 'Data entry'!$BD$6:$BD$200,"&lt;&gt;*Negative*"))</f>
        <v>0</v>
      </c>
      <c r="AV14" s="15">
        <f>SUM(COUNTIFS('Data entry'!$R$6:$R$200,'Summary Data'!$A14,'Data entry'!$B$6:$B$200,{"Confirmed";"Probable"},'Data entry'!$AQ$6:$AQ$200,'Data Validation'!$V$5, 'Data entry'!$AP$6:$AP$200,'Data Validation'!$U$3, 'Data entry'!$BD$6:$BD$200,"&lt;&gt;*Negative*"))</f>
        <v>0</v>
      </c>
      <c r="AW14" s="15">
        <f>SUM(COUNTIFS('Data entry'!$R$6:$R$200,'Summary Data'!$A14,'Data entry'!$B$6:$B$200,{"Confirmed";"Probable"},'Data entry'!$AQ$6:$AQ$200,'Data Validation'!$V$5, 'Data entry'!$AP$6:$AP$200,'Data Validation'!$U$4, 'Data entry'!$BD$6:$BD$200,"&lt;&gt;*Negative*"))</f>
        <v>0</v>
      </c>
      <c r="AX14" s="15">
        <f>SUM(COUNTIFS('Data entry'!$R$6:$R$200,'Summary Data'!$A14,'Data entry'!$B$6:$B$200,{"Confirmed";"Probable"},'Data entry'!$AQ$6:$AQ$200,'Data Validation'!$V$5, 'Data entry'!$AP$6:$AP$200,'Data Validation'!$U$5, 'Data entry'!$BD$6:$BD$200,"&lt;&gt;*Negative*"))</f>
        <v>0</v>
      </c>
      <c r="AY14" s="15">
        <f>SUM(COUNTIFS('Data entry'!$R$6:$R$200,'Summary Data'!$A14,'Data entry'!$B$6:$B$200,{"Confirmed";"Probable"},'Data entry'!$AQ$6:$AQ$200,'Data Validation'!$V$5, 'Data entry'!$AP$6:$AP$200,'Data Validation'!$U$6, 'Data entry'!$BD$6:$BD$200,"&lt;&gt;*Negative*"))</f>
        <v>0</v>
      </c>
      <c r="AZ14" s="15">
        <f>SUM(COUNTIFS('Data entry'!$R$6:$R$200,'Summary Data'!$A14,'Data entry'!$B$6:$B$200,{"Confirmed";"Probable"},'Data entry'!$AQ$6:$AQ$200,'Data Validation'!$V$6, 'Data entry'!$AP$6:$AP$200,'Data Validation'!$U$2, 'Data entry'!$BD$6:$BD$200,"&lt;&gt;*Negative*"))</f>
        <v>0</v>
      </c>
      <c r="BA14" s="15">
        <f>SUM(COUNTIFS('Data entry'!$R$6:$R$200,'Summary Data'!$A14,'Data entry'!$B$6:$B$200,{"Confirmed";"Probable"},'Data entry'!$AQ$6:$AQ$200,'Data Validation'!$V$6, 'Data entry'!$AP$6:$AP$200,'Data Validation'!$U$3, 'Data entry'!$BD$6:$BD$200,"&lt;&gt;*Negative*"))</f>
        <v>0</v>
      </c>
      <c r="BB14" s="15">
        <f>SUM(COUNTIFS('Data entry'!$R$6:$R$200,'Summary Data'!$A14,'Data entry'!$B$6:$B$200,{"Confirmed";"Probable"},'Data entry'!$AQ$6:$AQ$200,'Data Validation'!$V$6, 'Data entry'!$AP$6:$AP$200,'Data Validation'!$U$4, 'Data entry'!$BD$6:$BD$200,"&lt;&gt;*Negative*"))</f>
        <v>0</v>
      </c>
      <c r="BC14" s="15">
        <f>SUM(COUNTIFS('Data entry'!$R$6:$R$200,'Summary Data'!$A14,'Data entry'!$B$6:$B$200,{"Confirmed";"Probable"},'Data entry'!$AQ$6:$AQ$200,'Data Validation'!$V$6, 'Data entry'!$AP$6:$AP$200,'Data Validation'!$U$5, 'Data entry'!$BD$6:$BD$200,"&lt;&gt;*Negative*"))</f>
        <v>0</v>
      </c>
      <c r="BD14" s="15">
        <f>SUM(COUNTIFS('Data entry'!$R$6:$R$200,'Summary Data'!$A14,'Data entry'!$B$6:$B$200,{"Confirmed";"Probable"},'Data entry'!$AQ$6:$AQ$200,'Data Validation'!$V$6, 'Data entry'!$AP$6:$AP$200,'Data Validation'!$U$6, 'Data entry'!$BD$6:$BD$200,"&lt;&gt;*Negative*"))</f>
        <v>0</v>
      </c>
      <c r="BE14" s="15">
        <f>SUM(COUNTIFS('Data entry'!$R$6:$R$200,'Summary Data'!$A14,'Data entry'!$B$6:$B$200,{"Confirmed";"Probable"},'Data entry'!$AQ$6:$AQ$200,'Data Validation'!$V$7, 'Data entry'!$AP$6:$AP$200,'Data Validation'!$U$2, 'Data entry'!$BD$6:$BD$200,"&lt;&gt;*Negative*"))</f>
        <v>0</v>
      </c>
      <c r="BF14" s="15">
        <f>SUM(COUNTIFS('Data entry'!$R$6:$R$200,'Summary Data'!$A14,'Data entry'!$B$6:$B$200,{"Confirmed";"Probable"},'Data entry'!$AQ$6:$AQ$200,'Data Validation'!$V$7, 'Data entry'!$AP$6:$AP$200,'Data Validation'!$U$3, 'Data entry'!$BD$6:$BD$200,"&lt;&gt;*Negative*"))</f>
        <v>0</v>
      </c>
      <c r="BG14" s="15">
        <f>SUM(COUNTIFS('Data entry'!$R$6:$R$200,'Summary Data'!$A14,'Data entry'!$B$6:$B$200,{"Confirmed";"Probable"},'Data entry'!$AQ$6:$AQ$200,'Data Validation'!$V$7, 'Data entry'!$AP$6:$AP$200,'Data Validation'!$U$4, 'Data entry'!$BD$6:$BD$200,"&lt;&gt;*Negative*"))</f>
        <v>0</v>
      </c>
      <c r="BH14" s="15">
        <f>SUM(COUNTIFS('Data entry'!$R$6:$R$200,'Summary Data'!$A14,'Data entry'!$B$6:$B$200,{"Confirmed";"Probable"},'Data entry'!$AQ$6:$AQ$200,'Data Validation'!$V$7, 'Data entry'!$AP$6:$AP$200,'Data Validation'!$U$5, 'Data entry'!$BD$6:$BD$200,"&lt;&gt;*Negative*"))</f>
        <v>0</v>
      </c>
      <c r="BI14" s="15">
        <f>SUM(COUNTIFS('Data entry'!$R$6:$R$200,'Summary Data'!$A14,'Data entry'!$B$6:$B$200,{"Confirmed";"Probable"},'Data entry'!$AQ$6:$AQ$200,'Data Validation'!$V$7, 'Data entry'!$AP$6:$AP$200,'Data Validation'!$U$6, 'Data entry'!$BD$6:$BD$200,"&lt;&gt;*Negative*"))</f>
        <v>0</v>
      </c>
      <c r="BJ14" s="15">
        <f>SUM(COUNTIFS('Data entry'!$R$6:$R$200,'Summary Data'!$A14,'Data entry'!$B$6:$B$200,{"Confirmed";"Probable"},'Data entry'!$AQ$6:$AQ$200,'Data Validation'!$V$8, 'Data entry'!$AP$6:$AP$200,'Data Validation'!$U$2, 'Data entry'!$BD$6:$BD$200,"&lt;&gt;*Negative*"))</f>
        <v>0</v>
      </c>
      <c r="BK14" s="15">
        <f>SUM(COUNTIFS('Data entry'!$R$6:$R$200,'Summary Data'!$A14,'Data entry'!$B$6:$B$200,{"Confirmed";"Probable"},'Data entry'!$AQ$6:$AQ$200,'Data Validation'!$V$8, 'Data entry'!$AP$6:$AP$200,'Data Validation'!$U$3, 'Data entry'!$BD$6:$BD$200,"&lt;&gt;*Negative*"))</f>
        <v>0</v>
      </c>
      <c r="BL14" s="15">
        <f>SUM(COUNTIFS('Data entry'!$R$6:$R$200,'Summary Data'!$A14,'Data entry'!$B$6:$B$200,{"Confirmed";"Probable"},'Data entry'!$AQ$6:$AQ$200,'Data Validation'!$V$8, 'Data entry'!$AP$6:$AP$200,'Data Validation'!$U$4, 'Data entry'!$BD$6:$BD$200,"&lt;&gt;*Negative*"))</f>
        <v>0</v>
      </c>
      <c r="BM14" s="15">
        <f>SUM(COUNTIFS('Data entry'!$R$6:$R$200,'Summary Data'!$A14,'Data entry'!$B$6:$B$200,{"Confirmed";"Probable"},'Data entry'!$AQ$6:$AQ$200,'Data Validation'!$V$8, 'Data entry'!$AP$6:$AP$200,'Data Validation'!$U$5, 'Data entry'!$BD$6:$BD$200,"&lt;&gt;*Negative*"))</f>
        <v>0</v>
      </c>
      <c r="BN14" s="15">
        <f>SUM(COUNTIFS('Data entry'!$R$6:$R$200,'Summary Data'!$A14,'Data entry'!$B$6:$B$200,{"Confirmed";"Probable"},'Data entry'!$AQ$6:$AQ$200,'Data Validation'!$V$8, 'Data entry'!$AP$6:$AP$200,'Data Validation'!$U$6, 'Data entry'!$BD$6:$BD$200,"&lt;&gt;*Negative*"))</f>
        <v>0</v>
      </c>
      <c r="BO14" s="15">
        <f>SUM(COUNTIFS('Data entry'!$R$6:$R$200,'Summary Data'!$A14,'Data entry'!$B$6:$B$200,{"Confirmed";"Probable"},'Data entry'!$AQ$6:$AQ$200,'Data Validation'!$V$9, 'Data entry'!$AP$6:$AP$200,'Data Validation'!$U$2, 'Data entry'!$BD$6:$BD$200,"&lt;&gt;*Negative*"))</f>
        <v>0</v>
      </c>
      <c r="BP14" s="15">
        <f>SUM(COUNTIFS('Data entry'!$R$6:$R$200,'Summary Data'!$A14,'Data entry'!$B$6:$B$200,{"Confirmed";"Probable"},'Data entry'!$AQ$6:$AQ$200,'Data Validation'!$V$9, 'Data entry'!$AP$6:$AP$200,'Data Validation'!$U$3, 'Data entry'!$BD$6:$BD$200,"&lt;&gt;*Negative*"))</f>
        <v>0</v>
      </c>
      <c r="BQ14" s="15">
        <f>SUM(COUNTIFS('Data entry'!$R$6:$R$200,'Summary Data'!$A14,'Data entry'!$B$6:$B$200,{"Confirmed";"Probable"},'Data entry'!$AQ$6:$AQ$200,'Data Validation'!$V$9, 'Data entry'!$AP$6:$AP$200,'Data Validation'!$U$4, 'Data entry'!$BD$6:$BD$200,"&lt;&gt;*Negative*"))</f>
        <v>0</v>
      </c>
      <c r="BR14" s="15">
        <f>SUM(COUNTIFS('Data entry'!$R$6:$R$200,'Summary Data'!$A14,'Data entry'!$B$6:$B$200,{"Confirmed";"Probable"},'Data entry'!$AQ$6:$AQ$200,'Data Validation'!$V$9, 'Data entry'!$AP$6:$AP$200,'Data Validation'!$U$5, 'Data entry'!$BD$6:$BD$200,"&lt;&gt;*Negative*"))</f>
        <v>0</v>
      </c>
      <c r="BS14" s="15">
        <f>SUM(COUNTIFS('Data entry'!$R$6:$R$200,'Summary Data'!$A14,'Data entry'!$B$6:$B$200,{"Confirmed";"Probable"},'Data entry'!$AQ$6:$AQ$200,'Data Validation'!$V$9, 'Data entry'!$AP$6:$AP$200,'Data Validation'!$U$6, 'Data entry'!$BD$6:$BD$200,"&lt;&gt;*Negative*"))</f>
        <v>0</v>
      </c>
      <c r="BT14" s="15">
        <f>SUM(COUNTIFS('Data entry'!$R$6:$R$200,'Summary Data'!$A14,'Data entry'!$B$6:$B$200,{"Confirmed";"Probable"},'Data entry'!$AQ$6:$AQ$200,'Data Validation'!$V$10, 'Data entry'!$AP$6:$AP$200,'Data Validation'!$U$2, 'Data entry'!$BD$6:$BD$200,"&lt;&gt;*Negative*"))</f>
        <v>0</v>
      </c>
      <c r="BU14" s="15">
        <f>SUM(COUNTIFS('Data entry'!$R$6:$R$200,'Summary Data'!$A14,'Data entry'!$B$6:$B$200,{"Confirmed";"Probable"},'Data entry'!$AQ$6:$AQ$200,'Data Validation'!$V$10, 'Data entry'!$AP$6:$AP$200,'Data Validation'!$U$3, 'Data entry'!$BD$6:$BD$200,"&lt;&gt;*Negative*"))</f>
        <v>0</v>
      </c>
      <c r="BV14" s="15">
        <f>SUM(COUNTIFS('Data entry'!$R$6:$R$200,'Summary Data'!$A14,'Data entry'!$B$6:$B$200,{"Confirmed";"Probable"},'Data entry'!$AQ$6:$AQ$200,'Data Validation'!$V$10, 'Data entry'!$AP$6:$AP$200,'Data Validation'!$U$4, 'Data entry'!$BD$6:$BD$200,"&lt;&gt;*Negative*"))</f>
        <v>0</v>
      </c>
      <c r="BW14" s="15">
        <f>SUM(COUNTIFS('Data entry'!$R$6:$R$200,'Summary Data'!$A14,'Data entry'!$B$6:$B$200,{"Confirmed";"Probable"},'Data entry'!$AQ$6:$AQ$200,'Data Validation'!$V$10, 'Data entry'!$AP$6:$AP$200,'Data Validation'!$U$5, 'Data entry'!$BD$6:$BD$200,"&lt;&gt;*Negative*"))</f>
        <v>0</v>
      </c>
      <c r="BX14" s="15">
        <f>SUM(COUNTIFS('Data entry'!$R$6:$R$200,'Summary Data'!$A14,'Data entry'!$B$6:$B$200,{"Confirmed";"Probable"},'Data entry'!$AQ$6:$AQ$200,'Data Validation'!$V$10, 'Data entry'!$AP$6:$AP$200,'Data Validation'!$U$6, 'Data entry'!$BD$6:$BD$200,"&lt;&gt;*Negative*"))</f>
        <v>0</v>
      </c>
      <c r="BY14" s="15">
        <f>SUM(COUNTIFS('Data entry'!$R$6:$R$200,'Summary Data'!$A14,'Data entry'!$B$6:$B$200,{"Confirmed";"Probable"},'Data entry'!$AQ$6:$AQ$200,'Data Validation'!$V$11, 'Data entry'!$AP$6:$AP$200,'Data Validation'!$U$2, 'Data entry'!$BD$6:$BD$200,"&lt;&gt;*Negative*"))</f>
        <v>0</v>
      </c>
      <c r="BZ14" s="15">
        <f>SUM(COUNTIFS('Data entry'!$R$6:$R$200,'Summary Data'!$A14,'Data entry'!$B$6:$B$200,{"Confirmed";"Probable"},'Data entry'!$AQ$6:$AQ$200,'Data Validation'!$V$11, 'Data entry'!$AP$6:$AP$200,'Data Validation'!$U$3, 'Data entry'!$BD$6:$BD$200,"&lt;&gt;*Negative*"))</f>
        <v>0</v>
      </c>
      <c r="CA14" s="15">
        <f>SUM(COUNTIFS('Data entry'!$R$6:$R$200,'Summary Data'!$A14,'Data entry'!$B$6:$B$200,{"Confirmed";"Probable"},'Data entry'!$AQ$6:$AQ$200,'Data Validation'!$V$11, 'Data entry'!$AP$6:$AP$200,'Data Validation'!$U$4, 'Data entry'!$BD$6:$BD$200,"&lt;&gt;*Negative*"))</f>
        <v>0</v>
      </c>
      <c r="CB14" s="15">
        <f>SUM(COUNTIFS('Data entry'!$R$6:$R$200,'Summary Data'!$A14,'Data entry'!$B$6:$B$200,{"Confirmed";"Probable"},'Data entry'!$AQ$6:$AQ$200,'Data Validation'!$V$11, 'Data entry'!$AP$6:$AP$200,'Data Validation'!$U$5, 'Data entry'!$BD$6:$BD$200,"&lt;&gt;*Negative*"))</f>
        <v>0</v>
      </c>
      <c r="CC14" s="15">
        <f>SUM(COUNTIFS('Data entry'!$R$6:$R$200,'Summary Data'!$A14,'Data entry'!$B$6:$B$200,{"Confirmed";"Probable"},'Data entry'!$AQ$6:$AQ$200,'Data Validation'!$V$11, 'Data entry'!$AP$6:$AP$200,'Data Validation'!$U$6, 'Data entry'!$BD$6:$BD$200,"&lt;&gt;*Negative*"))</f>
        <v>0</v>
      </c>
    </row>
    <row r="15" spans="1:81" x14ac:dyDescent="0.25">
      <c r="A15" s="12">
        <f t="shared" si="5"/>
        <v>3</v>
      </c>
      <c r="B15" s="13">
        <f t="shared" si="2"/>
        <v>0</v>
      </c>
      <c r="C15" s="13">
        <f>COUNTIFS('Data entry'!$R$6:$R$200,$A15,'Data entry'!$B$6:$B$200,"Confirmed",'Data entry'!$BD$6:$BD$200,"&lt;&gt;*Negative*")</f>
        <v>0</v>
      </c>
      <c r="D15" s="13">
        <f>COUNTIFS('Data entry'!$R$6:$R$200,$A15,'Data entry'!$B$6:$B$200,"Probable",'Data entry'!$BD$6:$BD$200,"&lt;&gt;*Negative*")</f>
        <v>0</v>
      </c>
      <c r="E15" s="13">
        <f>COUNTIFS('Data entry'!$R$6:$R$200,$A15,'Data entry'!$B$6:$B$200,"DNM")</f>
        <v>0</v>
      </c>
      <c r="F15" s="13">
        <f>SUM(COUNTIFS('Data entry'!$R$6:$R$200,'Summary Data'!$A15,'Data entry'!$B$6:$B$200,{"Confirmed";"Probable"},'Data entry'!$AO$6:$AO$200,$F$10, 'Data entry'!$BD$6:$BD$200,"&lt;&gt;*Negative*"))</f>
        <v>0</v>
      </c>
      <c r="G15" s="13">
        <f>SUM(COUNTIFS('Data entry'!$R$6:$R$200,'Summary Data'!$A15,'Data entry'!$B$6:$B$200,{"Confirmed";"Probable"},'Data entry'!$AO$6:$AO$200,$G$10, 'Data entry'!$BD$6:$BD$200,"&lt;&gt;*Negative*"))</f>
        <v>0</v>
      </c>
      <c r="H15" s="13">
        <f>SUM(COUNTIFS('Data entry'!$R$6:$R$200,'Summary Data'!$A15,'Data entry'!$B$6:$B$200,{"Confirmed";"Probable"},'Data entry'!$AO$6:$AO$200,$H$10, 'Data entry'!$BD$6:$BD$200,"&lt;&gt;*Negative*"))</f>
        <v>0</v>
      </c>
      <c r="I15" s="13">
        <f>SUM(COUNTIFS('Data entry'!$R$6:$R$200,'Summary Data'!$A15,'Data entry'!$B$6:$B$200,{"Confirmed";"Probable"},'Data entry'!$AO$6:$AO$200,$I$10, 'Data entry'!$BD$6:$BD$200,"&lt;&gt;*Negative*"))</f>
        <v>0</v>
      </c>
      <c r="J15" s="13">
        <f>SUM(COUNTIFS('Data entry'!$R$6:$R$200,'Summary Data'!$A15,'Data entry'!$B$6:$B$200,{"Confirmed";"Probable"},'Data entry'!$AO$6:$AO$200,$J$10, 'Data entry'!$BD$6:$BD$200,"&lt;&gt;*Negative*"))</f>
        <v>0</v>
      </c>
      <c r="K15" s="13">
        <f>SUM(COUNTIFS('Data entry'!$R$6:$R$200,'Summary Data'!$A15,'Data entry'!$B$6:$B$200,{"Confirmed";"Probable"},'Data entry'!$AO$6:$AO$200,$K$10, 'Data entry'!$BD$6:$BD$200,"&lt;&gt;*Negative*"))</f>
        <v>0</v>
      </c>
      <c r="L15" s="13">
        <f>SUM(COUNTIFS('Data entry'!$R$6:$R$200,'Summary Data'!$A15,'Data entry'!$B$6:$B$200,{"Confirmed";"Probable"},'Data entry'!$AO$6:$AO$200,$L$10, 'Data entry'!$BD$6:$BD$200,"&lt;&gt;*Negative*"))</f>
        <v>0</v>
      </c>
      <c r="M15" s="13">
        <f>SUM(COUNTIFS('Data entry'!$R$6:$R$200,'Summary Data'!$A15,'Data entry'!$B$6:$B$200,{"Confirmed";"Probable"},'Data entry'!$AO$6:$AO$200,$M$10, 'Data entry'!$BD$6:$BD$200,"&lt;&gt;*Negative*"))</f>
        <v>0</v>
      </c>
      <c r="N15" s="13">
        <f>SUM(COUNTIFS('Data entry'!$R$6:$R$200,'Summary Data'!$A15,'Data entry'!$B$6:$B$200,{"Confirmed";"Probable"},'Data entry'!$AO$6:$AO$200,$N$10, 'Data entry'!$BD$6:$BD$200,"&lt;&gt;*Negative*"))</f>
        <v>0</v>
      </c>
      <c r="O15" s="15">
        <f t="shared" si="3"/>
        <v>0</v>
      </c>
      <c r="P15" s="15">
        <f t="shared" si="4"/>
        <v>0</v>
      </c>
      <c r="Q15" s="15">
        <f>SUM(COUNTIFS('Data entry'!$R$6:$R$200,'Summary Data'!$A15,'Data entry'!$B$6:$B$200,{"Confirmed";"Probable"},'Data entry'!$AP$6:$AP$200,'Data Validation'!$U$2, 'Data entry'!$BD$6:$BD$200,"&lt;&gt;*Negative*"))</f>
        <v>0</v>
      </c>
      <c r="R15" s="15">
        <f>SUM(COUNTIFS('Data entry'!$R$6:$R$200,'Summary Data'!$A15,'Data entry'!$B$6:$B$200,{"Confirmed";"Probable"},'Data entry'!$AP$6:$AP$200,'Data Validation'!$U$3, 'Data entry'!$BD$6:$BD$200,"&lt;&gt;*Negative*"))</f>
        <v>0</v>
      </c>
      <c r="S15" s="15">
        <f>SUM(COUNTIFS('Data entry'!$R$6:$R$200,'Summary Data'!$A15,'Data entry'!$B$6:$B$200,{"Confirmed";"Probable"},'Data entry'!$AP$6:$AP$200,'Data Validation'!$U$4, 'Data entry'!$BD$6:$BD$200,"&lt;&gt;*Negative*"))</f>
        <v>0</v>
      </c>
      <c r="T15" s="15">
        <f>SUM(COUNTIFS('Data entry'!$R$6:$R$200,'Summary Data'!$A15,'Data entry'!$B$6:$B$200,{"Confirmed";"Probable"},'Data entry'!$AP$6:$AP$200,'Data Validation'!$U$5, 'Data entry'!$BD$6:$BD$200,"&lt;&gt;*Negative*"))</f>
        <v>0</v>
      </c>
      <c r="U15" s="15">
        <f>SUM(COUNTIFS('Data entry'!$R$6:$R$200,'Summary Data'!$A15,'Data entry'!$B$6:$B$200,{"Confirmed";"Probable"},'Data entry'!$AP$6:$AP$200,'Data Validation'!$U$6, 'Data entry'!$BD$6:$BD$200,"&lt;&gt;*Negative*"))</f>
        <v>0</v>
      </c>
      <c r="V15" s="15">
        <f>SUM(COUNTIFS('Data entry'!$R$6:$R$200,'Summary Data'!$A15,'Data entry'!$B$6:$B$200,{"Confirmed";"Probable"},'Data entry'!$AQ$6:$AQ$200,'Data Validation'!$V$2, 'Data entry'!$BD$6:$BD$200,"&lt;&gt;*Negative*"))</f>
        <v>0</v>
      </c>
      <c r="W15" s="15">
        <f>SUM(COUNTIFS('Data entry'!$R$6:$R$200,'Summary Data'!$A15,'Data entry'!$B$6:$B$200,{"Confirmed";"Probable"},'Data entry'!$AQ$6:$AQ$200,'Data Validation'!$V$3, 'Data entry'!$BD$6:$BD$200,"&lt;&gt;*Negative*"))</f>
        <v>0</v>
      </c>
      <c r="X15" s="15">
        <f>SUM(COUNTIFS('Data entry'!$R$6:$R$200,'Summary Data'!$A15,'Data entry'!$B$6:$B$200,{"Confirmed";"Probable"},'Data entry'!$AQ$6:$AQ$200,'Data Validation'!$V$4, 'Data entry'!$BD$6:$BD$200,"&lt;&gt;*Negative*"))</f>
        <v>0</v>
      </c>
      <c r="Y15" s="15">
        <f>SUM(COUNTIFS('Data entry'!$R$6:$R$200,'Summary Data'!$A15,'Data entry'!$B$6:$B$200,{"Confirmed";"Probable"},'Data entry'!$AQ$6:$AQ$200,'Data Validation'!$V$5, 'Data entry'!$BD$6:$BD$200,"&lt;&gt;*Negative*"))</f>
        <v>0</v>
      </c>
      <c r="Z15" s="15">
        <f>SUM(COUNTIFS('Data entry'!$R$6:$R$200,'Summary Data'!$A15,'Data entry'!$B$6:$B$200,{"Confirmed";"Probable"},'Data entry'!$AQ$6:$AQ$200,'Data Validation'!$V$6, 'Data entry'!$BD$6:$BD$200,"&lt;&gt;*Negative*"))</f>
        <v>0</v>
      </c>
      <c r="AA15" s="15">
        <f>SUM(COUNTIFS('Data entry'!$R$6:$R$200,'Summary Data'!$A15,'Data entry'!$B$6:$B$200,{"Confirmed";"Probable"},'Data entry'!$AQ$6:$AQ$200,'Data Validation'!$V$7, 'Data entry'!$BD$6:$BD$200,"&lt;&gt;*Negative*"))</f>
        <v>0</v>
      </c>
      <c r="AB15" s="15">
        <f>SUM(COUNTIFS('Data entry'!$R$6:$R$200,'Summary Data'!$A15,'Data entry'!$B$6:$B$200,{"Confirmed";"Probable"},'Data entry'!$AQ$6:$AQ$200,'Data Validation'!$V$8, 'Data entry'!$BD$6:$BD$200,"&lt;&gt;*Negative*"))</f>
        <v>0</v>
      </c>
      <c r="AC15" s="15">
        <f>SUM(COUNTIFS('Data entry'!$R$6:$R$200,'Summary Data'!$A15,'Data entry'!$B$6:$B$200,{"Confirmed";"Probable"},'Data entry'!$AQ$6:$AQ$200,'Data Validation'!$V$9, 'Data entry'!$BD$6:$BD$200,"&lt;&gt;*Negative*"))</f>
        <v>0</v>
      </c>
      <c r="AD15" s="15">
        <f>SUM(COUNTIFS('Data entry'!$R$6:$R$200,'Summary Data'!$A15,'Data entry'!$B$6:$B$200,{"Confirmed";"Probable"},'Data entry'!$AQ$6:$AQ$200,'Data Validation'!$V$10, 'Data entry'!$BD$6:$BD$200,"&lt;&gt;*Negative*"))</f>
        <v>0</v>
      </c>
      <c r="AE15" s="15">
        <f>SUM(COUNTIFS('Data entry'!$R$6:$R$200,'Summary Data'!$A15,'Data entry'!$B$6:$B$200,{"Confirmed";"Probable"},'Data entry'!$AQ$6:$AQ$200,'Data Validation'!$V$11, 'Data entry'!$BD$6:$BD$200,"&lt;&gt;*Negative*"))</f>
        <v>0</v>
      </c>
      <c r="AF15" s="15">
        <f>SUM(COUNTIFS('Data entry'!$R$6:$R$200,'Summary Data'!$A15,'Data entry'!$B$6:$B$200,{"Confirmed";"Probable"},'Data entry'!$AQ$6:$AQ$200,'Data Validation'!$V$2, 'Data entry'!$AP$6:$AP$200,'Data Validation'!$U$2, 'Data entry'!$BD$6:$BD$200,"&lt;&gt;*Negative*"))</f>
        <v>0</v>
      </c>
      <c r="AG15" s="15">
        <f>SUM(COUNTIFS('Data entry'!$R$6:$R$200,'Summary Data'!$A15,'Data entry'!$B$6:$B$200,{"Confirmed";"Probable"},'Data entry'!$AQ$6:$AQ$200,'Data Validation'!$V$2, 'Data entry'!$AP$6:$AP$200,'Data Validation'!$U$3, 'Data entry'!$BD$6:$BD$200,"&lt;&gt;*Negative*"))</f>
        <v>0</v>
      </c>
      <c r="AH15" s="15">
        <f>SUM(COUNTIFS('Data entry'!$R$6:$R$200,'Summary Data'!$A15,'Data entry'!$B$6:$B$200,{"Confirmed";"Probable"},'Data entry'!$AQ$6:$AQ$200,'Data Validation'!$V$2, 'Data entry'!$AP$6:$AP$200,'Data Validation'!$U$4, 'Data entry'!$BD$6:$BD$200,"&lt;&gt;*Negative*"))</f>
        <v>0</v>
      </c>
      <c r="AI15" s="15">
        <f>SUM(COUNTIFS('Data entry'!$R$6:$R$200,'Summary Data'!$A15,'Data entry'!$B$6:$B$200,{"Confirmed";"Probable"},'Data entry'!$AQ$6:$AQ$200,'Data Validation'!$V$2, 'Data entry'!$AP$6:$AP$200,'Data Validation'!$U$5, 'Data entry'!$BD$6:$BD$200,"&lt;&gt;*Negative*"))</f>
        <v>0</v>
      </c>
      <c r="AJ15" s="15">
        <f>SUM(COUNTIFS('Data entry'!$R$6:$R$200,'Summary Data'!$A15,'Data entry'!$B$6:$B$200,{"Confirmed";"Probable"},'Data entry'!$AQ$6:$AQ$200,'Data Validation'!$V$2, 'Data entry'!$AP$6:$AP$200,'Data Validation'!$U$6, 'Data entry'!$BD$6:$BD$200,"&lt;&gt;*Negative*"))</f>
        <v>0</v>
      </c>
      <c r="AK15" s="15">
        <f>SUM(COUNTIFS('Data entry'!$R$6:$R$200,'Summary Data'!$A15,'Data entry'!$B$6:$B$200,{"Confirmed";"Probable"},'Data entry'!$AQ$6:$AQ$200,'Data Validation'!$V$3, 'Data entry'!$AP$6:$AP$200,'Data Validation'!$U$2, 'Data entry'!$BD$6:$BD$200,"&lt;&gt;*Negative*"))</f>
        <v>0</v>
      </c>
      <c r="AL15" s="15">
        <f>SUM(COUNTIFS('Data entry'!$R$6:$R$200,'Summary Data'!$A15,'Data entry'!$B$6:$B$200,{"Confirmed";"Probable"},'Data entry'!$AQ$6:$AQ$200,'Data Validation'!$V$3, 'Data entry'!$AP$6:$AP$200,'Data Validation'!$U$3, 'Data entry'!$BD$6:$BD$200,"&lt;&gt;*Negative*"))</f>
        <v>0</v>
      </c>
      <c r="AM15" s="15">
        <f>SUM(COUNTIFS('Data entry'!$R$6:$R$200,'Summary Data'!$A15,'Data entry'!$B$6:$B$200,{"Confirmed";"Probable"},'Data entry'!$AQ$6:$AQ$200,'Data Validation'!$V$3, 'Data entry'!$AP$6:$AP$200,'Data Validation'!$U$4, 'Data entry'!$BD$6:$BD$200,"&lt;&gt;*Negative*"))</f>
        <v>0</v>
      </c>
      <c r="AN15" s="15">
        <f>SUM(COUNTIFS('Data entry'!$R$6:$R$200,'Summary Data'!$A15,'Data entry'!$B$6:$B$200,{"Confirmed";"Probable"},'Data entry'!$AQ$6:$AQ$200,'Data Validation'!$V$3, 'Data entry'!$AP$6:$AP$200,'Data Validation'!$U$5, 'Data entry'!$BD$6:$BD$200,"&lt;&gt;*Negative*"))</f>
        <v>0</v>
      </c>
      <c r="AO15" s="15">
        <f>SUM(COUNTIFS('Data entry'!$R$6:$R$200,'Summary Data'!$A15,'Data entry'!$B$6:$B$200,{"Confirmed";"Probable"},'Data entry'!$AQ$6:$AQ$200,'Data Validation'!$V$3, 'Data entry'!$AP$6:$AP$200,'Data Validation'!$U$6, 'Data entry'!$BD$6:$BD$200,"&lt;&gt;*Negative*"))</f>
        <v>0</v>
      </c>
      <c r="AP15" s="15">
        <f>SUM(COUNTIFS('Data entry'!$R$6:$R$200,'Summary Data'!$A15,'Data entry'!$B$6:$B$200,{"Confirmed";"Probable"},'Data entry'!$AQ$6:$AQ$200,'Data Validation'!$V$4, 'Data entry'!$AP$6:$AP$200,'Data Validation'!$U$2, 'Data entry'!$BD$6:$BD$200,"&lt;&gt;*Negative*"))</f>
        <v>0</v>
      </c>
      <c r="AQ15" s="15">
        <f>SUM(COUNTIFS('Data entry'!$R$6:$R$200,'Summary Data'!$A15,'Data entry'!$B$6:$B$200,{"Confirmed";"Probable"},'Data entry'!$AQ$6:$AQ$200,'Data Validation'!$V$4, 'Data entry'!$AP$6:$AP$200,'Data Validation'!$U$3, 'Data entry'!$BD$6:$BD$200,"&lt;&gt;*Negative*"))</f>
        <v>0</v>
      </c>
      <c r="AR15" s="15">
        <f>SUM(COUNTIFS('Data entry'!$R$6:$R$200,'Summary Data'!$A15,'Data entry'!$B$6:$B$200,{"Confirmed";"Probable"},'Data entry'!$AQ$6:$AQ$200,'Data Validation'!$V$4, 'Data entry'!$AP$6:$AP$200,'Data Validation'!$U$4, 'Data entry'!$BD$6:$BD$200,"&lt;&gt;*Negative*"))</f>
        <v>0</v>
      </c>
      <c r="AS15" s="15">
        <f>SUM(COUNTIFS('Data entry'!$R$6:$R$200,'Summary Data'!$A15,'Data entry'!$B$6:$B$200,{"Confirmed";"Probable"},'Data entry'!$AQ$6:$AQ$200,'Data Validation'!$V$4, 'Data entry'!$AP$6:$AP$200,'Data Validation'!$U$5, 'Data entry'!$BD$6:$BD$200,"&lt;&gt;*Negative*"))</f>
        <v>0</v>
      </c>
      <c r="AT15" s="15">
        <f>SUM(COUNTIFS('Data entry'!$R$6:$R$200,'Summary Data'!$A15,'Data entry'!$B$6:$B$200,{"Confirmed";"Probable"},'Data entry'!$AQ$6:$AQ$200,'Data Validation'!$V$4, 'Data entry'!$AP$6:$AP$200,'Data Validation'!$U$6, 'Data entry'!$BD$6:$BD$200,"&lt;&gt;*Negative*"))</f>
        <v>0</v>
      </c>
      <c r="AU15" s="15">
        <f>SUM(COUNTIFS('Data entry'!$R$6:$R$200,'Summary Data'!$A15,'Data entry'!$B$6:$B$200,{"Confirmed";"Probable"},'Data entry'!$AQ$6:$AQ$200,'Data Validation'!$V$5, 'Data entry'!$AP$6:$AP$200,'Data Validation'!$U$2, 'Data entry'!$BD$6:$BD$200,"&lt;&gt;*Negative*"))</f>
        <v>0</v>
      </c>
      <c r="AV15" s="15">
        <f>SUM(COUNTIFS('Data entry'!$R$6:$R$200,'Summary Data'!$A15,'Data entry'!$B$6:$B$200,{"Confirmed";"Probable"},'Data entry'!$AQ$6:$AQ$200,'Data Validation'!$V$5, 'Data entry'!$AP$6:$AP$200,'Data Validation'!$U$3, 'Data entry'!$BD$6:$BD$200,"&lt;&gt;*Negative*"))</f>
        <v>0</v>
      </c>
      <c r="AW15" s="15">
        <f>SUM(COUNTIFS('Data entry'!$R$6:$R$200,'Summary Data'!$A15,'Data entry'!$B$6:$B$200,{"Confirmed";"Probable"},'Data entry'!$AQ$6:$AQ$200,'Data Validation'!$V$5, 'Data entry'!$AP$6:$AP$200,'Data Validation'!$U$4, 'Data entry'!$BD$6:$BD$200,"&lt;&gt;*Negative*"))</f>
        <v>0</v>
      </c>
      <c r="AX15" s="15">
        <f>SUM(COUNTIFS('Data entry'!$R$6:$R$200,'Summary Data'!$A15,'Data entry'!$B$6:$B$200,{"Confirmed";"Probable"},'Data entry'!$AQ$6:$AQ$200,'Data Validation'!$V$5, 'Data entry'!$AP$6:$AP$200,'Data Validation'!$U$5, 'Data entry'!$BD$6:$BD$200,"&lt;&gt;*Negative*"))</f>
        <v>0</v>
      </c>
      <c r="AY15" s="15">
        <f>SUM(COUNTIFS('Data entry'!$R$6:$R$200,'Summary Data'!$A15,'Data entry'!$B$6:$B$200,{"Confirmed";"Probable"},'Data entry'!$AQ$6:$AQ$200,'Data Validation'!$V$5, 'Data entry'!$AP$6:$AP$200,'Data Validation'!$U$6, 'Data entry'!$BD$6:$BD$200,"&lt;&gt;*Negative*"))</f>
        <v>0</v>
      </c>
      <c r="AZ15" s="15">
        <f>SUM(COUNTIFS('Data entry'!$R$6:$R$200,'Summary Data'!$A15,'Data entry'!$B$6:$B$200,{"Confirmed";"Probable"},'Data entry'!$AQ$6:$AQ$200,'Data Validation'!$V$6, 'Data entry'!$AP$6:$AP$200,'Data Validation'!$U$2, 'Data entry'!$BD$6:$BD$200,"&lt;&gt;*Negative*"))</f>
        <v>0</v>
      </c>
      <c r="BA15" s="15">
        <f>SUM(COUNTIFS('Data entry'!$R$6:$R$200,'Summary Data'!$A15,'Data entry'!$B$6:$B$200,{"Confirmed";"Probable"},'Data entry'!$AQ$6:$AQ$200,'Data Validation'!$V$6, 'Data entry'!$AP$6:$AP$200,'Data Validation'!$U$3, 'Data entry'!$BD$6:$BD$200,"&lt;&gt;*Negative*"))</f>
        <v>0</v>
      </c>
      <c r="BB15" s="15">
        <f>SUM(COUNTIFS('Data entry'!$R$6:$R$200,'Summary Data'!$A15,'Data entry'!$B$6:$B$200,{"Confirmed";"Probable"},'Data entry'!$AQ$6:$AQ$200,'Data Validation'!$V$6, 'Data entry'!$AP$6:$AP$200,'Data Validation'!$U$4, 'Data entry'!$BD$6:$BD$200,"&lt;&gt;*Negative*"))</f>
        <v>0</v>
      </c>
      <c r="BC15" s="15">
        <f>SUM(COUNTIFS('Data entry'!$R$6:$R$200,'Summary Data'!$A15,'Data entry'!$B$6:$B$200,{"Confirmed";"Probable"},'Data entry'!$AQ$6:$AQ$200,'Data Validation'!$V$6, 'Data entry'!$AP$6:$AP$200,'Data Validation'!$U$5, 'Data entry'!$BD$6:$BD$200,"&lt;&gt;*Negative*"))</f>
        <v>0</v>
      </c>
      <c r="BD15" s="15">
        <f>SUM(COUNTIFS('Data entry'!$R$6:$R$200,'Summary Data'!$A15,'Data entry'!$B$6:$B$200,{"Confirmed";"Probable"},'Data entry'!$AQ$6:$AQ$200,'Data Validation'!$V$6, 'Data entry'!$AP$6:$AP$200,'Data Validation'!$U$6, 'Data entry'!$BD$6:$BD$200,"&lt;&gt;*Negative*"))</f>
        <v>0</v>
      </c>
      <c r="BE15" s="15">
        <f>SUM(COUNTIFS('Data entry'!$R$6:$R$200,'Summary Data'!$A15,'Data entry'!$B$6:$B$200,{"Confirmed";"Probable"},'Data entry'!$AQ$6:$AQ$200,'Data Validation'!$V$7, 'Data entry'!$AP$6:$AP$200,'Data Validation'!$U$2, 'Data entry'!$BD$6:$BD$200,"&lt;&gt;*Negative*"))</f>
        <v>0</v>
      </c>
      <c r="BF15" s="15">
        <f>SUM(COUNTIFS('Data entry'!$R$6:$R$200,'Summary Data'!$A15,'Data entry'!$B$6:$B$200,{"Confirmed";"Probable"},'Data entry'!$AQ$6:$AQ$200,'Data Validation'!$V$7, 'Data entry'!$AP$6:$AP$200,'Data Validation'!$U$3, 'Data entry'!$BD$6:$BD$200,"&lt;&gt;*Negative*"))</f>
        <v>0</v>
      </c>
      <c r="BG15" s="15">
        <f>SUM(COUNTIFS('Data entry'!$R$6:$R$200,'Summary Data'!$A15,'Data entry'!$B$6:$B$200,{"Confirmed";"Probable"},'Data entry'!$AQ$6:$AQ$200,'Data Validation'!$V$7, 'Data entry'!$AP$6:$AP$200,'Data Validation'!$U$4, 'Data entry'!$BD$6:$BD$200,"&lt;&gt;*Negative*"))</f>
        <v>0</v>
      </c>
      <c r="BH15" s="15">
        <f>SUM(COUNTIFS('Data entry'!$R$6:$R$200,'Summary Data'!$A15,'Data entry'!$B$6:$B$200,{"Confirmed";"Probable"},'Data entry'!$AQ$6:$AQ$200,'Data Validation'!$V$7, 'Data entry'!$AP$6:$AP$200,'Data Validation'!$U$5, 'Data entry'!$BD$6:$BD$200,"&lt;&gt;*Negative*"))</f>
        <v>0</v>
      </c>
      <c r="BI15" s="15">
        <f>SUM(COUNTIFS('Data entry'!$R$6:$R$200,'Summary Data'!$A15,'Data entry'!$B$6:$B$200,{"Confirmed";"Probable"},'Data entry'!$AQ$6:$AQ$200,'Data Validation'!$V$7, 'Data entry'!$AP$6:$AP$200,'Data Validation'!$U$6, 'Data entry'!$BD$6:$BD$200,"&lt;&gt;*Negative*"))</f>
        <v>0</v>
      </c>
      <c r="BJ15" s="15">
        <f>SUM(COUNTIFS('Data entry'!$R$6:$R$200,'Summary Data'!$A15,'Data entry'!$B$6:$B$200,{"Confirmed";"Probable"},'Data entry'!$AQ$6:$AQ$200,'Data Validation'!$V$8, 'Data entry'!$AP$6:$AP$200,'Data Validation'!$U$2, 'Data entry'!$BD$6:$BD$200,"&lt;&gt;*Negative*"))</f>
        <v>0</v>
      </c>
      <c r="BK15" s="15">
        <f>SUM(COUNTIFS('Data entry'!$R$6:$R$200,'Summary Data'!$A15,'Data entry'!$B$6:$B$200,{"Confirmed";"Probable"},'Data entry'!$AQ$6:$AQ$200,'Data Validation'!$V$8, 'Data entry'!$AP$6:$AP$200,'Data Validation'!$U$3, 'Data entry'!$BD$6:$BD$200,"&lt;&gt;*Negative*"))</f>
        <v>0</v>
      </c>
      <c r="BL15" s="15">
        <f>SUM(COUNTIFS('Data entry'!$R$6:$R$200,'Summary Data'!$A15,'Data entry'!$B$6:$B$200,{"Confirmed";"Probable"},'Data entry'!$AQ$6:$AQ$200,'Data Validation'!$V$8, 'Data entry'!$AP$6:$AP$200,'Data Validation'!$U$4, 'Data entry'!$BD$6:$BD$200,"&lt;&gt;*Negative*"))</f>
        <v>0</v>
      </c>
      <c r="BM15" s="15">
        <f>SUM(COUNTIFS('Data entry'!$R$6:$R$200,'Summary Data'!$A15,'Data entry'!$B$6:$B$200,{"Confirmed";"Probable"},'Data entry'!$AQ$6:$AQ$200,'Data Validation'!$V$8, 'Data entry'!$AP$6:$AP$200,'Data Validation'!$U$5, 'Data entry'!$BD$6:$BD$200,"&lt;&gt;*Negative*"))</f>
        <v>0</v>
      </c>
      <c r="BN15" s="15">
        <f>SUM(COUNTIFS('Data entry'!$R$6:$R$200,'Summary Data'!$A15,'Data entry'!$B$6:$B$200,{"Confirmed";"Probable"},'Data entry'!$AQ$6:$AQ$200,'Data Validation'!$V$8, 'Data entry'!$AP$6:$AP$200,'Data Validation'!$U$6, 'Data entry'!$BD$6:$BD$200,"&lt;&gt;*Negative*"))</f>
        <v>0</v>
      </c>
      <c r="BO15" s="15">
        <f>SUM(COUNTIFS('Data entry'!$R$6:$R$200,'Summary Data'!$A15,'Data entry'!$B$6:$B$200,{"Confirmed";"Probable"},'Data entry'!$AQ$6:$AQ$200,'Data Validation'!$V$9, 'Data entry'!$AP$6:$AP$200,'Data Validation'!$U$2, 'Data entry'!$BD$6:$BD$200,"&lt;&gt;*Negative*"))</f>
        <v>0</v>
      </c>
      <c r="BP15" s="15">
        <f>SUM(COUNTIFS('Data entry'!$R$6:$R$200,'Summary Data'!$A15,'Data entry'!$B$6:$B$200,{"Confirmed";"Probable"},'Data entry'!$AQ$6:$AQ$200,'Data Validation'!$V$9, 'Data entry'!$AP$6:$AP$200,'Data Validation'!$U$3, 'Data entry'!$BD$6:$BD$200,"&lt;&gt;*Negative*"))</f>
        <v>0</v>
      </c>
      <c r="BQ15" s="15">
        <f>SUM(COUNTIFS('Data entry'!$R$6:$R$200,'Summary Data'!$A15,'Data entry'!$B$6:$B$200,{"Confirmed";"Probable"},'Data entry'!$AQ$6:$AQ$200,'Data Validation'!$V$9, 'Data entry'!$AP$6:$AP$200,'Data Validation'!$U$4, 'Data entry'!$BD$6:$BD$200,"&lt;&gt;*Negative*"))</f>
        <v>0</v>
      </c>
      <c r="BR15" s="15">
        <f>SUM(COUNTIFS('Data entry'!$R$6:$R$200,'Summary Data'!$A15,'Data entry'!$B$6:$B$200,{"Confirmed";"Probable"},'Data entry'!$AQ$6:$AQ$200,'Data Validation'!$V$9, 'Data entry'!$AP$6:$AP$200,'Data Validation'!$U$5, 'Data entry'!$BD$6:$BD$200,"&lt;&gt;*Negative*"))</f>
        <v>0</v>
      </c>
      <c r="BS15" s="15">
        <f>SUM(COUNTIFS('Data entry'!$R$6:$R$200,'Summary Data'!$A15,'Data entry'!$B$6:$B$200,{"Confirmed";"Probable"},'Data entry'!$AQ$6:$AQ$200,'Data Validation'!$V$9, 'Data entry'!$AP$6:$AP$200,'Data Validation'!$U$6, 'Data entry'!$BD$6:$BD$200,"&lt;&gt;*Negative*"))</f>
        <v>0</v>
      </c>
      <c r="BT15" s="15">
        <f>SUM(COUNTIFS('Data entry'!$R$6:$R$200,'Summary Data'!$A15,'Data entry'!$B$6:$B$200,{"Confirmed";"Probable"},'Data entry'!$AQ$6:$AQ$200,'Data Validation'!$V$10, 'Data entry'!$AP$6:$AP$200,'Data Validation'!$U$2, 'Data entry'!$BD$6:$BD$200,"&lt;&gt;*Negative*"))</f>
        <v>0</v>
      </c>
      <c r="BU15" s="15">
        <f>SUM(COUNTIFS('Data entry'!$R$6:$R$200,'Summary Data'!$A15,'Data entry'!$B$6:$B$200,{"Confirmed";"Probable"},'Data entry'!$AQ$6:$AQ$200,'Data Validation'!$V$10, 'Data entry'!$AP$6:$AP$200,'Data Validation'!$U$3, 'Data entry'!$BD$6:$BD$200,"&lt;&gt;*Negative*"))</f>
        <v>0</v>
      </c>
      <c r="BV15" s="15">
        <f>SUM(COUNTIFS('Data entry'!$R$6:$R$200,'Summary Data'!$A15,'Data entry'!$B$6:$B$200,{"Confirmed";"Probable"},'Data entry'!$AQ$6:$AQ$200,'Data Validation'!$V$10, 'Data entry'!$AP$6:$AP$200,'Data Validation'!$U$4, 'Data entry'!$BD$6:$BD$200,"&lt;&gt;*Negative*"))</f>
        <v>0</v>
      </c>
      <c r="BW15" s="15">
        <f>SUM(COUNTIFS('Data entry'!$R$6:$R$200,'Summary Data'!$A15,'Data entry'!$B$6:$B$200,{"Confirmed";"Probable"},'Data entry'!$AQ$6:$AQ$200,'Data Validation'!$V$10, 'Data entry'!$AP$6:$AP$200,'Data Validation'!$U$5, 'Data entry'!$BD$6:$BD$200,"&lt;&gt;*Negative*"))</f>
        <v>0</v>
      </c>
      <c r="BX15" s="15">
        <f>SUM(COUNTIFS('Data entry'!$R$6:$R$200,'Summary Data'!$A15,'Data entry'!$B$6:$B$200,{"Confirmed";"Probable"},'Data entry'!$AQ$6:$AQ$200,'Data Validation'!$V$10, 'Data entry'!$AP$6:$AP$200,'Data Validation'!$U$6, 'Data entry'!$BD$6:$BD$200,"&lt;&gt;*Negative*"))</f>
        <v>0</v>
      </c>
      <c r="BY15" s="15">
        <f>SUM(COUNTIFS('Data entry'!$R$6:$R$200,'Summary Data'!$A15,'Data entry'!$B$6:$B$200,{"Confirmed";"Probable"},'Data entry'!$AQ$6:$AQ$200,'Data Validation'!$V$11, 'Data entry'!$AP$6:$AP$200,'Data Validation'!$U$2, 'Data entry'!$BD$6:$BD$200,"&lt;&gt;*Negative*"))</f>
        <v>0</v>
      </c>
      <c r="BZ15" s="15">
        <f>SUM(COUNTIFS('Data entry'!$R$6:$R$200,'Summary Data'!$A15,'Data entry'!$B$6:$B$200,{"Confirmed";"Probable"},'Data entry'!$AQ$6:$AQ$200,'Data Validation'!$V$11, 'Data entry'!$AP$6:$AP$200,'Data Validation'!$U$3, 'Data entry'!$BD$6:$BD$200,"&lt;&gt;*Negative*"))</f>
        <v>0</v>
      </c>
      <c r="CA15" s="15">
        <f>SUM(COUNTIFS('Data entry'!$R$6:$R$200,'Summary Data'!$A15,'Data entry'!$B$6:$B$200,{"Confirmed";"Probable"},'Data entry'!$AQ$6:$AQ$200,'Data Validation'!$V$11, 'Data entry'!$AP$6:$AP$200,'Data Validation'!$U$4, 'Data entry'!$BD$6:$BD$200,"&lt;&gt;*Negative*"))</f>
        <v>0</v>
      </c>
      <c r="CB15" s="15">
        <f>SUM(COUNTIFS('Data entry'!$R$6:$R$200,'Summary Data'!$A15,'Data entry'!$B$6:$B$200,{"Confirmed";"Probable"},'Data entry'!$AQ$6:$AQ$200,'Data Validation'!$V$11, 'Data entry'!$AP$6:$AP$200,'Data Validation'!$U$5, 'Data entry'!$BD$6:$BD$200,"&lt;&gt;*Negative*"))</f>
        <v>0</v>
      </c>
      <c r="CC15" s="15">
        <f>SUM(COUNTIFS('Data entry'!$R$6:$R$200,'Summary Data'!$A15,'Data entry'!$B$6:$B$200,{"Confirmed";"Probable"},'Data entry'!$AQ$6:$AQ$200,'Data Validation'!$V$11, 'Data entry'!$AP$6:$AP$200,'Data Validation'!$U$6, 'Data entry'!$BD$6:$BD$200,"&lt;&gt;*Negative*"))</f>
        <v>0</v>
      </c>
    </row>
    <row r="16" spans="1:81" x14ac:dyDescent="0.25">
      <c r="A16" s="12">
        <f t="shared" si="5"/>
        <v>4</v>
      </c>
      <c r="B16" s="13">
        <f t="shared" si="2"/>
        <v>0</v>
      </c>
      <c r="C16" s="13">
        <f>COUNTIFS('Data entry'!$R$6:$R$200,$A16,'Data entry'!$B$6:$B$200,"Confirmed",'Data entry'!$BD$6:$BD$200,"&lt;&gt;*Negative*")</f>
        <v>0</v>
      </c>
      <c r="D16" s="13">
        <f>COUNTIFS('Data entry'!$R$6:$R$200,$A16,'Data entry'!$B$6:$B$200,"Probable",'Data entry'!$BD$6:$BD$200,"&lt;&gt;*Negative*")</f>
        <v>0</v>
      </c>
      <c r="E16" s="13">
        <f>COUNTIFS('Data entry'!$R$6:$R$200,$A16,'Data entry'!$B$6:$B$200,"DNM")</f>
        <v>0</v>
      </c>
      <c r="F16" s="13">
        <f>SUM(COUNTIFS('Data entry'!$R$6:$R$200,'Summary Data'!$A16,'Data entry'!$B$6:$B$200,{"Confirmed";"Probable"},'Data entry'!$AO$6:$AO$200,$F$10, 'Data entry'!$BD$6:$BD$200,"&lt;&gt;*Negative*"))</f>
        <v>0</v>
      </c>
      <c r="G16" s="13">
        <f>SUM(COUNTIFS('Data entry'!$R$6:$R$200,'Summary Data'!$A16,'Data entry'!$B$6:$B$200,{"Confirmed";"Probable"},'Data entry'!$AO$6:$AO$200,$G$10, 'Data entry'!$BD$6:$BD$200,"&lt;&gt;*Negative*"))</f>
        <v>0</v>
      </c>
      <c r="H16" s="13">
        <f>SUM(COUNTIFS('Data entry'!$R$6:$R$200,'Summary Data'!$A16,'Data entry'!$B$6:$B$200,{"Confirmed";"Probable"},'Data entry'!$AO$6:$AO$200,$H$10, 'Data entry'!$BD$6:$BD$200,"&lt;&gt;*Negative*"))</f>
        <v>0</v>
      </c>
      <c r="I16" s="13">
        <f>SUM(COUNTIFS('Data entry'!$R$6:$R$200,'Summary Data'!$A16,'Data entry'!$B$6:$B$200,{"Confirmed";"Probable"},'Data entry'!$AO$6:$AO$200,$I$10, 'Data entry'!$BD$6:$BD$200,"&lt;&gt;*Negative*"))</f>
        <v>0</v>
      </c>
      <c r="J16" s="13">
        <f>SUM(COUNTIFS('Data entry'!$R$6:$R$200,'Summary Data'!$A16,'Data entry'!$B$6:$B$200,{"Confirmed";"Probable"},'Data entry'!$AO$6:$AO$200,$J$10, 'Data entry'!$BD$6:$BD$200,"&lt;&gt;*Negative*"))</f>
        <v>0</v>
      </c>
      <c r="K16" s="13">
        <f>SUM(COUNTIFS('Data entry'!$R$6:$R$200,'Summary Data'!$A16,'Data entry'!$B$6:$B$200,{"Confirmed";"Probable"},'Data entry'!$AO$6:$AO$200,$K$10, 'Data entry'!$BD$6:$BD$200,"&lt;&gt;*Negative*"))</f>
        <v>0</v>
      </c>
      <c r="L16" s="13">
        <f>SUM(COUNTIFS('Data entry'!$R$6:$R$200,'Summary Data'!$A16,'Data entry'!$B$6:$B$200,{"Confirmed";"Probable"},'Data entry'!$AO$6:$AO$200,$L$10, 'Data entry'!$BD$6:$BD$200,"&lt;&gt;*Negative*"))</f>
        <v>0</v>
      </c>
      <c r="M16" s="13">
        <f>SUM(COUNTIFS('Data entry'!$R$6:$R$200,'Summary Data'!$A16,'Data entry'!$B$6:$B$200,{"Confirmed";"Probable"},'Data entry'!$AO$6:$AO$200,$M$10, 'Data entry'!$BD$6:$BD$200,"&lt;&gt;*Negative*"))</f>
        <v>0</v>
      </c>
      <c r="N16" s="13">
        <f>SUM(COUNTIFS('Data entry'!$R$6:$R$200,'Summary Data'!$A16,'Data entry'!$B$6:$B$200,{"Confirmed";"Probable"},'Data entry'!$AO$6:$AO$200,$N$10, 'Data entry'!$BD$6:$BD$200,"&lt;&gt;*Negative*"))</f>
        <v>0</v>
      </c>
      <c r="O16" s="15">
        <f t="shared" si="3"/>
        <v>0</v>
      </c>
      <c r="P16" s="15">
        <f t="shared" si="4"/>
        <v>0</v>
      </c>
      <c r="Q16" s="15">
        <f>SUM(COUNTIFS('Data entry'!$R$6:$R$200,'Summary Data'!$A16,'Data entry'!$B$6:$B$200,{"Confirmed";"Probable"},'Data entry'!$AP$6:$AP$200,'Data Validation'!$U$2, 'Data entry'!$BD$6:$BD$200,"&lt;&gt;*Negative*"))</f>
        <v>0</v>
      </c>
      <c r="R16" s="15">
        <f>SUM(COUNTIFS('Data entry'!$R$6:$R$200,'Summary Data'!$A16,'Data entry'!$B$6:$B$200,{"Confirmed";"Probable"},'Data entry'!$AP$6:$AP$200,'Data Validation'!$U$3, 'Data entry'!$BD$6:$BD$200,"&lt;&gt;*Negative*"))</f>
        <v>0</v>
      </c>
      <c r="S16" s="15">
        <f>SUM(COUNTIFS('Data entry'!$R$6:$R$200,'Summary Data'!$A16,'Data entry'!$B$6:$B$200,{"Confirmed";"Probable"},'Data entry'!$AP$6:$AP$200,'Data Validation'!$U$4, 'Data entry'!$BD$6:$BD$200,"&lt;&gt;*Negative*"))</f>
        <v>0</v>
      </c>
      <c r="T16" s="15">
        <f>SUM(COUNTIFS('Data entry'!$R$6:$R$200,'Summary Data'!$A16,'Data entry'!$B$6:$B$200,{"Confirmed";"Probable"},'Data entry'!$AP$6:$AP$200,'Data Validation'!$U$5, 'Data entry'!$BD$6:$BD$200,"&lt;&gt;*Negative*"))</f>
        <v>0</v>
      </c>
      <c r="U16" s="15">
        <f>SUM(COUNTIFS('Data entry'!$R$6:$R$200,'Summary Data'!$A16,'Data entry'!$B$6:$B$200,{"Confirmed";"Probable"},'Data entry'!$AP$6:$AP$200,'Data Validation'!$U$6, 'Data entry'!$BD$6:$BD$200,"&lt;&gt;*Negative*"))</f>
        <v>0</v>
      </c>
      <c r="V16" s="15">
        <f>SUM(COUNTIFS('Data entry'!$R$6:$R$200,'Summary Data'!$A16,'Data entry'!$B$6:$B$200,{"Confirmed";"Probable"},'Data entry'!$AQ$6:$AQ$200,'Data Validation'!$V$2, 'Data entry'!$BD$6:$BD$200,"&lt;&gt;*Negative*"))</f>
        <v>0</v>
      </c>
      <c r="W16" s="15">
        <f>SUM(COUNTIFS('Data entry'!$R$6:$R$200,'Summary Data'!$A16,'Data entry'!$B$6:$B$200,{"Confirmed";"Probable"},'Data entry'!$AQ$6:$AQ$200,'Data Validation'!$V$3, 'Data entry'!$BD$6:$BD$200,"&lt;&gt;*Negative*"))</f>
        <v>0</v>
      </c>
      <c r="X16" s="15">
        <f>SUM(COUNTIFS('Data entry'!$R$6:$R$200,'Summary Data'!$A16,'Data entry'!$B$6:$B$200,{"Confirmed";"Probable"},'Data entry'!$AQ$6:$AQ$200,'Data Validation'!$V$4, 'Data entry'!$BD$6:$BD$200,"&lt;&gt;*Negative*"))</f>
        <v>0</v>
      </c>
      <c r="Y16" s="15">
        <f>SUM(COUNTIFS('Data entry'!$R$6:$R$200,'Summary Data'!$A16,'Data entry'!$B$6:$B$200,{"Confirmed";"Probable"},'Data entry'!$AQ$6:$AQ$200,'Data Validation'!$V$5, 'Data entry'!$BD$6:$BD$200,"&lt;&gt;*Negative*"))</f>
        <v>0</v>
      </c>
      <c r="Z16" s="15">
        <f>SUM(COUNTIFS('Data entry'!$R$6:$R$200,'Summary Data'!$A16,'Data entry'!$B$6:$B$200,{"Confirmed";"Probable"},'Data entry'!$AQ$6:$AQ$200,'Data Validation'!$V$6, 'Data entry'!$BD$6:$BD$200,"&lt;&gt;*Negative*"))</f>
        <v>0</v>
      </c>
      <c r="AA16" s="15">
        <f>SUM(COUNTIFS('Data entry'!$R$6:$R$200,'Summary Data'!$A16,'Data entry'!$B$6:$B$200,{"Confirmed";"Probable"},'Data entry'!$AQ$6:$AQ$200,'Data Validation'!$V$7, 'Data entry'!$BD$6:$BD$200,"&lt;&gt;*Negative*"))</f>
        <v>0</v>
      </c>
      <c r="AB16" s="15">
        <f>SUM(COUNTIFS('Data entry'!$R$6:$R$200,'Summary Data'!$A16,'Data entry'!$B$6:$B$200,{"Confirmed";"Probable"},'Data entry'!$AQ$6:$AQ$200,'Data Validation'!$V$8, 'Data entry'!$BD$6:$BD$200,"&lt;&gt;*Negative*"))</f>
        <v>0</v>
      </c>
      <c r="AC16" s="15">
        <f>SUM(COUNTIFS('Data entry'!$R$6:$R$200,'Summary Data'!$A16,'Data entry'!$B$6:$B$200,{"Confirmed";"Probable"},'Data entry'!$AQ$6:$AQ$200,'Data Validation'!$V$9, 'Data entry'!$BD$6:$BD$200,"&lt;&gt;*Negative*"))</f>
        <v>0</v>
      </c>
      <c r="AD16" s="15">
        <f>SUM(COUNTIFS('Data entry'!$R$6:$R$200,'Summary Data'!$A16,'Data entry'!$B$6:$B$200,{"Confirmed";"Probable"},'Data entry'!$AQ$6:$AQ$200,'Data Validation'!$V$10, 'Data entry'!$BD$6:$BD$200,"&lt;&gt;*Negative*"))</f>
        <v>0</v>
      </c>
      <c r="AE16" s="15">
        <f>SUM(COUNTIFS('Data entry'!$R$6:$R$200,'Summary Data'!$A16,'Data entry'!$B$6:$B$200,{"Confirmed";"Probable"},'Data entry'!$AQ$6:$AQ$200,'Data Validation'!$V$11, 'Data entry'!$BD$6:$BD$200,"&lt;&gt;*Negative*"))</f>
        <v>0</v>
      </c>
      <c r="AF16" s="15">
        <f>SUM(COUNTIFS('Data entry'!$R$6:$R$200,'Summary Data'!$A16,'Data entry'!$B$6:$B$200,{"Confirmed";"Probable"},'Data entry'!$AQ$6:$AQ$200,'Data Validation'!$V$2, 'Data entry'!$AP$6:$AP$200,'Data Validation'!$U$2, 'Data entry'!$BD$6:$BD$200,"&lt;&gt;*Negative*"))</f>
        <v>0</v>
      </c>
      <c r="AG16" s="15">
        <f>SUM(COUNTIFS('Data entry'!$R$6:$R$200,'Summary Data'!$A16,'Data entry'!$B$6:$B$200,{"Confirmed";"Probable"},'Data entry'!$AQ$6:$AQ$200,'Data Validation'!$V$2, 'Data entry'!$AP$6:$AP$200,'Data Validation'!$U$3, 'Data entry'!$BD$6:$BD$200,"&lt;&gt;*Negative*"))</f>
        <v>0</v>
      </c>
      <c r="AH16" s="15">
        <f>SUM(COUNTIFS('Data entry'!$R$6:$R$200,'Summary Data'!$A16,'Data entry'!$B$6:$B$200,{"Confirmed";"Probable"},'Data entry'!$AQ$6:$AQ$200,'Data Validation'!$V$2, 'Data entry'!$AP$6:$AP$200,'Data Validation'!$U$4, 'Data entry'!$BD$6:$BD$200,"&lt;&gt;*Negative*"))</f>
        <v>0</v>
      </c>
      <c r="AI16" s="15">
        <f>SUM(COUNTIFS('Data entry'!$R$6:$R$200,'Summary Data'!$A16,'Data entry'!$B$6:$B$200,{"Confirmed";"Probable"},'Data entry'!$AQ$6:$AQ$200,'Data Validation'!$V$2, 'Data entry'!$AP$6:$AP$200,'Data Validation'!$U$5, 'Data entry'!$BD$6:$BD$200,"&lt;&gt;*Negative*"))</f>
        <v>0</v>
      </c>
      <c r="AJ16" s="15">
        <f>SUM(COUNTIFS('Data entry'!$R$6:$R$200,'Summary Data'!$A16,'Data entry'!$B$6:$B$200,{"Confirmed";"Probable"},'Data entry'!$AQ$6:$AQ$200,'Data Validation'!$V$2, 'Data entry'!$AP$6:$AP$200,'Data Validation'!$U$6, 'Data entry'!$BD$6:$BD$200,"&lt;&gt;*Negative*"))</f>
        <v>0</v>
      </c>
      <c r="AK16" s="15">
        <f>SUM(COUNTIFS('Data entry'!$R$6:$R$200,'Summary Data'!$A16,'Data entry'!$B$6:$B$200,{"Confirmed";"Probable"},'Data entry'!$AQ$6:$AQ$200,'Data Validation'!$V$3, 'Data entry'!$AP$6:$AP$200,'Data Validation'!$U$2, 'Data entry'!$BD$6:$BD$200,"&lt;&gt;*Negative*"))</f>
        <v>0</v>
      </c>
      <c r="AL16" s="15">
        <f>SUM(COUNTIFS('Data entry'!$R$6:$R$200,'Summary Data'!$A16,'Data entry'!$B$6:$B$200,{"Confirmed";"Probable"},'Data entry'!$AQ$6:$AQ$200,'Data Validation'!$V$3, 'Data entry'!$AP$6:$AP$200,'Data Validation'!$U$3, 'Data entry'!$BD$6:$BD$200,"&lt;&gt;*Negative*"))</f>
        <v>0</v>
      </c>
      <c r="AM16" s="15">
        <f>SUM(COUNTIFS('Data entry'!$R$6:$R$200,'Summary Data'!$A16,'Data entry'!$B$6:$B$200,{"Confirmed";"Probable"},'Data entry'!$AQ$6:$AQ$200,'Data Validation'!$V$3, 'Data entry'!$AP$6:$AP$200,'Data Validation'!$U$4, 'Data entry'!$BD$6:$BD$200,"&lt;&gt;*Negative*"))</f>
        <v>0</v>
      </c>
      <c r="AN16" s="15">
        <f>SUM(COUNTIFS('Data entry'!$R$6:$R$200,'Summary Data'!$A16,'Data entry'!$B$6:$B$200,{"Confirmed";"Probable"},'Data entry'!$AQ$6:$AQ$200,'Data Validation'!$V$3, 'Data entry'!$AP$6:$AP$200,'Data Validation'!$U$5, 'Data entry'!$BD$6:$BD$200,"&lt;&gt;*Negative*"))</f>
        <v>0</v>
      </c>
      <c r="AO16" s="15">
        <f>SUM(COUNTIFS('Data entry'!$R$6:$R$200,'Summary Data'!$A16,'Data entry'!$B$6:$B$200,{"Confirmed";"Probable"},'Data entry'!$AQ$6:$AQ$200,'Data Validation'!$V$3, 'Data entry'!$AP$6:$AP$200,'Data Validation'!$U$6, 'Data entry'!$BD$6:$BD$200,"&lt;&gt;*Negative*"))</f>
        <v>0</v>
      </c>
      <c r="AP16" s="15">
        <f>SUM(COUNTIFS('Data entry'!$R$6:$R$200,'Summary Data'!$A16,'Data entry'!$B$6:$B$200,{"Confirmed";"Probable"},'Data entry'!$AQ$6:$AQ$200,'Data Validation'!$V$4, 'Data entry'!$AP$6:$AP$200,'Data Validation'!$U$2, 'Data entry'!$BD$6:$BD$200,"&lt;&gt;*Negative*"))</f>
        <v>0</v>
      </c>
      <c r="AQ16" s="15">
        <f>SUM(COUNTIFS('Data entry'!$R$6:$R$200,'Summary Data'!$A16,'Data entry'!$B$6:$B$200,{"Confirmed";"Probable"},'Data entry'!$AQ$6:$AQ$200,'Data Validation'!$V$4, 'Data entry'!$AP$6:$AP$200,'Data Validation'!$U$3, 'Data entry'!$BD$6:$BD$200,"&lt;&gt;*Negative*"))</f>
        <v>0</v>
      </c>
      <c r="AR16" s="15">
        <f>SUM(COUNTIFS('Data entry'!$R$6:$R$200,'Summary Data'!$A16,'Data entry'!$B$6:$B$200,{"Confirmed";"Probable"},'Data entry'!$AQ$6:$AQ$200,'Data Validation'!$V$4, 'Data entry'!$AP$6:$AP$200,'Data Validation'!$U$4, 'Data entry'!$BD$6:$BD$200,"&lt;&gt;*Negative*"))</f>
        <v>0</v>
      </c>
      <c r="AS16" s="15">
        <f>SUM(COUNTIFS('Data entry'!$R$6:$R$200,'Summary Data'!$A16,'Data entry'!$B$6:$B$200,{"Confirmed";"Probable"},'Data entry'!$AQ$6:$AQ$200,'Data Validation'!$V$4, 'Data entry'!$AP$6:$AP$200,'Data Validation'!$U$5, 'Data entry'!$BD$6:$BD$200,"&lt;&gt;*Negative*"))</f>
        <v>0</v>
      </c>
      <c r="AT16" s="15">
        <f>SUM(COUNTIFS('Data entry'!$R$6:$R$200,'Summary Data'!$A16,'Data entry'!$B$6:$B$200,{"Confirmed";"Probable"},'Data entry'!$AQ$6:$AQ$200,'Data Validation'!$V$4, 'Data entry'!$AP$6:$AP$200,'Data Validation'!$U$6, 'Data entry'!$BD$6:$BD$200,"&lt;&gt;*Negative*"))</f>
        <v>0</v>
      </c>
      <c r="AU16" s="15">
        <f>SUM(COUNTIFS('Data entry'!$R$6:$R$200,'Summary Data'!$A16,'Data entry'!$B$6:$B$200,{"Confirmed";"Probable"},'Data entry'!$AQ$6:$AQ$200,'Data Validation'!$V$5, 'Data entry'!$AP$6:$AP$200,'Data Validation'!$U$2, 'Data entry'!$BD$6:$BD$200,"&lt;&gt;*Negative*"))</f>
        <v>0</v>
      </c>
      <c r="AV16" s="15">
        <f>SUM(COUNTIFS('Data entry'!$R$6:$R$200,'Summary Data'!$A16,'Data entry'!$B$6:$B$200,{"Confirmed";"Probable"},'Data entry'!$AQ$6:$AQ$200,'Data Validation'!$V$5, 'Data entry'!$AP$6:$AP$200,'Data Validation'!$U$3, 'Data entry'!$BD$6:$BD$200,"&lt;&gt;*Negative*"))</f>
        <v>0</v>
      </c>
      <c r="AW16" s="15">
        <f>SUM(COUNTIFS('Data entry'!$R$6:$R$200,'Summary Data'!$A16,'Data entry'!$B$6:$B$200,{"Confirmed";"Probable"},'Data entry'!$AQ$6:$AQ$200,'Data Validation'!$V$5, 'Data entry'!$AP$6:$AP$200,'Data Validation'!$U$4, 'Data entry'!$BD$6:$BD$200,"&lt;&gt;*Negative*"))</f>
        <v>0</v>
      </c>
      <c r="AX16" s="15">
        <f>SUM(COUNTIFS('Data entry'!$R$6:$R$200,'Summary Data'!$A16,'Data entry'!$B$6:$B$200,{"Confirmed";"Probable"},'Data entry'!$AQ$6:$AQ$200,'Data Validation'!$V$5, 'Data entry'!$AP$6:$AP$200,'Data Validation'!$U$5, 'Data entry'!$BD$6:$BD$200,"&lt;&gt;*Negative*"))</f>
        <v>0</v>
      </c>
      <c r="AY16" s="15">
        <f>SUM(COUNTIFS('Data entry'!$R$6:$R$200,'Summary Data'!$A16,'Data entry'!$B$6:$B$200,{"Confirmed";"Probable"},'Data entry'!$AQ$6:$AQ$200,'Data Validation'!$V$5, 'Data entry'!$AP$6:$AP$200,'Data Validation'!$U$6, 'Data entry'!$BD$6:$BD$200,"&lt;&gt;*Negative*"))</f>
        <v>0</v>
      </c>
      <c r="AZ16" s="15">
        <f>SUM(COUNTIFS('Data entry'!$R$6:$R$200,'Summary Data'!$A16,'Data entry'!$B$6:$B$200,{"Confirmed";"Probable"},'Data entry'!$AQ$6:$AQ$200,'Data Validation'!$V$6, 'Data entry'!$AP$6:$AP$200,'Data Validation'!$U$2, 'Data entry'!$BD$6:$BD$200,"&lt;&gt;*Negative*"))</f>
        <v>0</v>
      </c>
      <c r="BA16" s="15">
        <f>SUM(COUNTIFS('Data entry'!$R$6:$R$200,'Summary Data'!$A16,'Data entry'!$B$6:$B$200,{"Confirmed";"Probable"},'Data entry'!$AQ$6:$AQ$200,'Data Validation'!$V$6, 'Data entry'!$AP$6:$AP$200,'Data Validation'!$U$3, 'Data entry'!$BD$6:$BD$200,"&lt;&gt;*Negative*"))</f>
        <v>0</v>
      </c>
      <c r="BB16" s="15">
        <f>SUM(COUNTIFS('Data entry'!$R$6:$R$200,'Summary Data'!$A16,'Data entry'!$B$6:$B$200,{"Confirmed";"Probable"},'Data entry'!$AQ$6:$AQ$200,'Data Validation'!$V$6, 'Data entry'!$AP$6:$AP$200,'Data Validation'!$U$4, 'Data entry'!$BD$6:$BD$200,"&lt;&gt;*Negative*"))</f>
        <v>0</v>
      </c>
      <c r="BC16" s="15">
        <f>SUM(COUNTIFS('Data entry'!$R$6:$R$200,'Summary Data'!$A16,'Data entry'!$B$6:$B$200,{"Confirmed";"Probable"},'Data entry'!$AQ$6:$AQ$200,'Data Validation'!$V$6, 'Data entry'!$AP$6:$AP$200,'Data Validation'!$U$5, 'Data entry'!$BD$6:$BD$200,"&lt;&gt;*Negative*"))</f>
        <v>0</v>
      </c>
      <c r="BD16" s="15">
        <f>SUM(COUNTIFS('Data entry'!$R$6:$R$200,'Summary Data'!$A16,'Data entry'!$B$6:$B$200,{"Confirmed";"Probable"},'Data entry'!$AQ$6:$AQ$200,'Data Validation'!$V$6, 'Data entry'!$AP$6:$AP$200,'Data Validation'!$U$6, 'Data entry'!$BD$6:$BD$200,"&lt;&gt;*Negative*"))</f>
        <v>0</v>
      </c>
      <c r="BE16" s="15">
        <f>SUM(COUNTIFS('Data entry'!$R$6:$R$200,'Summary Data'!$A16,'Data entry'!$B$6:$B$200,{"Confirmed";"Probable"},'Data entry'!$AQ$6:$AQ$200,'Data Validation'!$V$7, 'Data entry'!$AP$6:$AP$200,'Data Validation'!$U$2, 'Data entry'!$BD$6:$BD$200,"&lt;&gt;*Negative*"))</f>
        <v>0</v>
      </c>
      <c r="BF16" s="15">
        <f>SUM(COUNTIFS('Data entry'!$R$6:$R$200,'Summary Data'!$A16,'Data entry'!$B$6:$B$200,{"Confirmed";"Probable"},'Data entry'!$AQ$6:$AQ$200,'Data Validation'!$V$7, 'Data entry'!$AP$6:$AP$200,'Data Validation'!$U$3, 'Data entry'!$BD$6:$BD$200,"&lt;&gt;*Negative*"))</f>
        <v>0</v>
      </c>
      <c r="BG16" s="15">
        <f>SUM(COUNTIFS('Data entry'!$R$6:$R$200,'Summary Data'!$A16,'Data entry'!$B$6:$B$200,{"Confirmed";"Probable"},'Data entry'!$AQ$6:$AQ$200,'Data Validation'!$V$7, 'Data entry'!$AP$6:$AP$200,'Data Validation'!$U$4, 'Data entry'!$BD$6:$BD$200,"&lt;&gt;*Negative*"))</f>
        <v>0</v>
      </c>
      <c r="BH16" s="15">
        <f>SUM(COUNTIFS('Data entry'!$R$6:$R$200,'Summary Data'!$A16,'Data entry'!$B$6:$B$200,{"Confirmed";"Probable"},'Data entry'!$AQ$6:$AQ$200,'Data Validation'!$V$7, 'Data entry'!$AP$6:$AP$200,'Data Validation'!$U$5, 'Data entry'!$BD$6:$BD$200,"&lt;&gt;*Negative*"))</f>
        <v>0</v>
      </c>
      <c r="BI16" s="15">
        <f>SUM(COUNTIFS('Data entry'!$R$6:$R$200,'Summary Data'!$A16,'Data entry'!$B$6:$B$200,{"Confirmed";"Probable"},'Data entry'!$AQ$6:$AQ$200,'Data Validation'!$V$7, 'Data entry'!$AP$6:$AP$200,'Data Validation'!$U$6, 'Data entry'!$BD$6:$BD$200,"&lt;&gt;*Negative*"))</f>
        <v>0</v>
      </c>
      <c r="BJ16" s="15">
        <f>SUM(COUNTIFS('Data entry'!$R$6:$R$200,'Summary Data'!$A16,'Data entry'!$B$6:$B$200,{"Confirmed";"Probable"},'Data entry'!$AQ$6:$AQ$200,'Data Validation'!$V$8, 'Data entry'!$AP$6:$AP$200,'Data Validation'!$U$2, 'Data entry'!$BD$6:$BD$200,"&lt;&gt;*Negative*"))</f>
        <v>0</v>
      </c>
      <c r="BK16" s="15">
        <f>SUM(COUNTIFS('Data entry'!$R$6:$R$200,'Summary Data'!$A16,'Data entry'!$B$6:$B$200,{"Confirmed";"Probable"},'Data entry'!$AQ$6:$AQ$200,'Data Validation'!$V$8, 'Data entry'!$AP$6:$AP$200,'Data Validation'!$U$3, 'Data entry'!$BD$6:$BD$200,"&lt;&gt;*Negative*"))</f>
        <v>0</v>
      </c>
      <c r="BL16" s="15">
        <f>SUM(COUNTIFS('Data entry'!$R$6:$R$200,'Summary Data'!$A16,'Data entry'!$B$6:$B$200,{"Confirmed";"Probable"},'Data entry'!$AQ$6:$AQ$200,'Data Validation'!$V$8, 'Data entry'!$AP$6:$AP$200,'Data Validation'!$U$4, 'Data entry'!$BD$6:$BD$200,"&lt;&gt;*Negative*"))</f>
        <v>0</v>
      </c>
      <c r="BM16" s="15">
        <f>SUM(COUNTIFS('Data entry'!$R$6:$R$200,'Summary Data'!$A16,'Data entry'!$B$6:$B$200,{"Confirmed";"Probable"},'Data entry'!$AQ$6:$AQ$200,'Data Validation'!$V$8, 'Data entry'!$AP$6:$AP$200,'Data Validation'!$U$5, 'Data entry'!$BD$6:$BD$200,"&lt;&gt;*Negative*"))</f>
        <v>0</v>
      </c>
      <c r="BN16" s="15">
        <f>SUM(COUNTIFS('Data entry'!$R$6:$R$200,'Summary Data'!$A16,'Data entry'!$B$6:$B$200,{"Confirmed";"Probable"},'Data entry'!$AQ$6:$AQ$200,'Data Validation'!$V$8, 'Data entry'!$AP$6:$AP$200,'Data Validation'!$U$6, 'Data entry'!$BD$6:$BD$200,"&lt;&gt;*Negative*"))</f>
        <v>0</v>
      </c>
      <c r="BO16" s="15">
        <f>SUM(COUNTIFS('Data entry'!$R$6:$R$200,'Summary Data'!$A16,'Data entry'!$B$6:$B$200,{"Confirmed";"Probable"},'Data entry'!$AQ$6:$AQ$200,'Data Validation'!$V$9, 'Data entry'!$AP$6:$AP$200,'Data Validation'!$U$2, 'Data entry'!$BD$6:$BD$200,"&lt;&gt;*Negative*"))</f>
        <v>0</v>
      </c>
      <c r="BP16" s="15">
        <f>SUM(COUNTIFS('Data entry'!$R$6:$R$200,'Summary Data'!$A16,'Data entry'!$B$6:$B$200,{"Confirmed";"Probable"},'Data entry'!$AQ$6:$AQ$200,'Data Validation'!$V$9, 'Data entry'!$AP$6:$AP$200,'Data Validation'!$U$3, 'Data entry'!$BD$6:$BD$200,"&lt;&gt;*Negative*"))</f>
        <v>0</v>
      </c>
      <c r="BQ16" s="15">
        <f>SUM(COUNTIFS('Data entry'!$R$6:$R$200,'Summary Data'!$A16,'Data entry'!$B$6:$B$200,{"Confirmed";"Probable"},'Data entry'!$AQ$6:$AQ$200,'Data Validation'!$V$9, 'Data entry'!$AP$6:$AP$200,'Data Validation'!$U$4, 'Data entry'!$BD$6:$BD$200,"&lt;&gt;*Negative*"))</f>
        <v>0</v>
      </c>
      <c r="BR16" s="15">
        <f>SUM(COUNTIFS('Data entry'!$R$6:$R$200,'Summary Data'!$A16,'Data entry'!$B$6:$B$200,{"Confirmed";"Probable"},'Data entry'!$AQ$6:$AQ$200,'Data Validation'!$V$9, 'Data entry'!$AP$6:$AP$200,'Data Validation'!$U$5, 'Data entry'!$BD$6:$BD$200,"&lt;&gt;*Negative*"))</f>
        <v>0</v>
      </c>
      <c r="BS16" s="15">
        <f>SUM(COUNTIFS('Data entry'!$R$6:$R$200,'Summary Data'!$A16,'Data entry'!$B$6:$B$200,{"Confirmed";"Probable"},'Data entry'!$AQ$6:$AQ$200,'Data Validation'!$V$9, 'Data entry'!$AP$6:$AP$200,'Data Validation'!$U$6, 'Data entry'!$BD$6:$BD$200,"&lt;&gt;*Negative*"))</f>
        <v>0</v>
      </c>
      <c r="BT16" s="15">
        <f>SUM(COUNTIFS('Data entry'!$R$6:$R$200,'Summary Data'!$A16,'Data entry'!$B$6:$B$200,{"Confirmed";"Probable"},'Data entry'!$AQ$6:$AQ$200,'Data Validation'!$V$10, 'Data entry'!$AP$6:$AP$200,'Data Validation'!$U$2, 'Data entry'!$BD$6:$BD$200,"&lt;&gt;*Negative*"))</f>
        <v>0</v>
      </c>
      <c r="BU16" s="15">
        <f>SUM(COUNTIFS('Data entry'!$R$6:$R$200,'Summary Data'!$A16,'Data entry'!$B$6:$B$200,{"Confirmed";"Probable"},'Data entry'!$AQ$6:$AQ$200,'Data Validation'!$V$10, 'Data entry'!$AP$6:$AP$200,'Data Validation'!$U$3, 'Data entry'!$BD$6:$BD$200,"&lt;&gt;*Negative*"))</f>
        <v>0</v>
      </c>
      <c r="BV16" s="15">
        <f>SUM(COUNTIFS('Data entry'!$R$6:$R$200,'Summary Data'!$A16,'Data entry'!$B$6:$B$200,{"Confirmed";"Probable"},'Data entry'!$AQ$6:$AQ$200,'Data Validation'!$V$10, 'Data entry'!$AP$6:$AP$200,'Data Validation'!$U$4, 'Data entry'!$BD$6:$BD$200,"&lt;&gt;*Negative*"))</f>
        <v>0</v>
      </c>
      <c r="BW16" s="15">
        <f>SUM(COUNTIFS('Data entry'!$R$6:$R$200,'Summary Data'!$A16,'Data entry'!$B$6:$B$200,{"Confirmed";"Probable"},'Data entry'!$AQ$6:$AQ$200,'Data Validation'!$V$10, 'Data entry'!$AP$6:$AP$200,'Data Validation'!$U$5, 'Data entry'!$BD$6:$BD$200,"&lt;&gt;*Negative*"))</f>
        <v>0</v>
      </c>
      <c r="BX16" s="15">
        <f>SUM(COUNTIFS('Data entry'!$R$6:$R$200,'Summary Data'!$A16,'Data entry'!$B$6:$B$200,{"Confirmed";"Probable"},'Data entry'!$AQ$6:$AQ$200,'Data Validation'!$V$10, 'Data entry'!$AP$6:$AP$200,'Data Validation'!$U$6, 'Data entry'!$BD$6:$BD$200,"&lt;&gt;*Negative*"))</f>
        <v>0</v>
      </c>
      <c r="BY16" s="15">
        <f>SUM(COUNTIFS('Data entry'!$R$6:$R$200,'Summary Data'!$A16,'Data entry'!$B$6:$B$200,{"Confirmed";"Probable"},'Data entry'!$AQ$6:$AQ$200,'Data Validation'!$V$11, 'Data entry'!$AP$6:$AP$200,'Data Validation'!$U$2, 'Data entry'!$BD$6:$BD$200,"&lt;&gt;*Negative*"))</f>
        <v>0</v>
      </c>
      <c r="BZ16" s="15">
        <f>SUM(COUNTIFS('Data entry'!$R$6:$R$200,'Summary Data'!$A16,'Data entry'!$B$6:$B$200,{"Confirmed";"Probable"},'Data entry'!$AQ$6:$AQ$200,'Data Validation'!$V$11, 'Data entry'!$AP$6:$AP$200,'Data Validation'!$U$3, 'Data entry'!$BD$6:$BD$200,"&lt;&gt;*Negative*"))</f>
        <v>0</v>
      </c>
      <c r="CA16" s="15">
        <f>SUM(COUNTIFS('Data entry'!$R$6:$R$200,'Summary Data'!$A16,'Data entry'!$B$6:$B$200,{"Confirmed";"Probable"},'Data entry'!$AQ$6:$AQ$200,'Data Validation'!$V$11, 'Data entry'!$AP$6:$AP$200,'Data Validation'!$U$4, 'Data entry'!$BD$6:$BD$200,"&lt;&gt;*Negative*"))</f>
        <v>0</v>
      </c>
      <c r="CB16" s="15">
        <f>SUM(COUNTIFS('Data entry'!$R$6:$R$200,'Summary Data'!$A16,'Data entry'!$B$6:$B$200,{"Confirmed";"Probable"},'Data entry'!$AQ$6:$AQ$200,'Data Validation'!$V$11, 'Data entry'!$AP$6:$AP$200,'Data Validation'!$U$5, 'Data entry'!$BD$6:$BD$200,"&lt;&gt;*Negative*"))</f>
        <v>0</v>
      </c>
      <c r="CC16" s="15">
        <f>SUM(COUNTIFS('Data entry'!$R$6:$R$200,'Summary Data'!$A16,'Data entry'!$B$6:$B$200,{"Confirmed";"Probable"},'Data entry'!$AQ$6:$AQ$200,'Data Validation'!$V$11, 'Data entry'!$AP$6:$AP$200,'Data Validation'!$U$6, 'Data entry'!$BD$6:$BD$200,"&lt;&gt;*Negative*"))</f>
        <v>0</v>
      </c>
    </row>
    <row r="17" spans="1:81" x14ac:dyDescent="0.25">
      <c r="A17" s="12">
        <f t="shared" si="5"/>
        <v>5</v>
      </c>
      <c r="B17" s="13">
        <f t="shared" si="2"/>
        <v>0</v>
      </c>
      <c r="C17" s="13">
        <f>COUNTIFS('Data entry'!$R$6:$R$200,$A17,'Data entry'!$B$6:$B$200,"Confirmed",'Data entry'!$BD$6:$BD$200,"&lt;&gt;*Negative*")</f>
        <v>0</v>
      </c>
      <c r="D17" s="13">
        <f>COUNTIFS('Data entry'!$R$6:$R$200,$A17,'Data entry'!$B$6:$B$200,"Probable",'Data entry'!$BD$6:$BD$200,"&lt;&gt;*Negative*")</f>
        <v>0</v>
      </c>
      <c r="E17" s="13">
        <f>COUNTIFS('Data entry'!$R$6:$R$200,$A17,'Data entry'!$B$6:$B$200,"DNM")</f>
        <v>0</v>
      </c>
      <c r="F17" s="13">
        <f>SUM(COUNTIFS('Data entry'!$R$6:$R$200,'Summary Data'!$A17,'Data entry'!$B$6:$B$200,{"Confirmed";"Probable"},'Data entry'!$AO$6:$AO$200,$F$10, 'Data entry'!$BD$6:$BD$200,"&lt;&gt;*Negative*"))</f>
        <v>0</v>
      </c>
      <c r="G17" s="13">
        <f>SUM(COUNTIFS('Data entry'!$R$6:$R$200,'Summary Data'!$A17,'Data entry'!$B$6:$B$200,{"Confirmed";"Probable"},'Data entry'!$AO$6:$AO$200,$G$10, 'Data entry'!$BD$6:$BD$200,"&lt;&gt;*Negative*"))</f>
        <v>0</v>
      </c>
      <c r="H17" s="13">
        <f>SUM(COUNTIFS('Data entry'!$R$6:$R$200,'Summary Data'!$A17,'Data entry'!$B$6:$B$200,{"Confirmed";"Probable"},'Data entry'!$AO$6:$AO$200,$H$10, 'Data entry'!$BD$6:$BD$200,"&lt;&gt;*Negative*"))</f>
        <v>0</v>
      </c>
      <c r="I17" s="13">
        <f>SUM(COUNTIFS('Data entry'!$R$6:$R$200,'Summary Data'!$A17,'Data entry'!$B$6:$B$200,{"Confirmed";"Probable"},'Data entry'!$AO$6:$AO$200,$I$10, 'Data entry'!$BD$6:$BD$200,"&lt;&gt;*Negative*"))</f>
        <v>0</v>
      </c>
      <c r="J17" s="13">
        <f>SUM(COUNTIFS('Data entry'!$R$6:$R$200,'Summary Data'!$A17,'Data entry'!$B$6:$B$200,{"Confirmed";"Probable"},'Data entry'!$AO$6:$AO$200,$J$10, 'Data entry'!$BD$6:$BD$200,"&lt;&gt;*Negative*"))</f>
        <v>0</v>
      </c>
      <c r="K17" s="13">
        <f>SUM(COUNTIFS('Data entry'!$R$6:$R$200,'Summary Data'!$A17,'Data entry'!$B$6:$B$200,{"Confirmed";"Probable"},'Data entry'!$AO$6:$AO$200,$K$10, 'Data entry'!$BD$6:$BD$200,"&lt;&gt;*Negative*"))</f>
        <v>0</v>
      </c>
      <c r="L17" s="13">
        <f>SUM(COUNTIFS('Data entry'!$R$6:$R$200,'Summary Data'!$A17,'Data entry'!$B$6:$B$200,{"Confirmed";"Probable"},'Data entry'!$AO$6:$AO$200,$L$10, 'Data entry'!$BD$6:$BD$200,"&lt;&gt;*Negative*"))</f>
        <v>0</v>
      </c>
      <c r="M17" s="13">
        <f>SUM(COUNTIFS('Data entry'!$R$6:$R$200,'Summary Data'!$A17,'Data entry'!$B$6:$B$200,{"Confirmed";"Probable"},'Data entry'!$AO$6:$AO$200,$M$10, 'Data entry'!$BD$6:$BD$200,"&lt;&gt;*Negative*"))</f>
        <v>0</v>
      </c>
      <c r="N17" s="13">
        <f>SUM(COUNTIFS('Data entry'!$R$6:$R$200,'Summary Data'!$A17,'Data entry'!$B$6:$B$200,{"Confirmed";"Probable"},'Data entry'!$AO$6:$AO$200,$N$10, 'Data entry'!$BD$6:$BD$200,"&lt;&gt;*Negative*"))</f>
        <v>0</v>
      </c>
      <c r="O17" s="15">
        <f t="shared" si="3"/>
        <v>0</v>
      </c>
      <c r="P17" s="15">
        <f t="shared" si="4"/>
        <v>0</v>
      </c>
      <c r="Q17" s="15">
        <f>SUM(COUNTIFS('Data entry'!$R$6:$R$200,'Summary Data'!$A17,'Data entry'!$B$6:$B$200,{"Confirmed";"Probable"},'Data entry'!$AP$6:$AP$200,'Data Validation'!$U$2, 'Data entry'!$BD$6:$BD$200,"&lt;&gt;*Negative*"))</f>
        <v>0</v>
      </c>
      <c r="R17" s="15">
        <f>SUM(COUNTIFS('Data entry'!$R$6:$R$200,'Summary Data'!$A17,'Data entry'!$B$6:$B$200,{"Confirmed";"Probable"},'Data entry'!$AP$6:$AP$200,'Data Validation'!$U$3, 'Data entry'!$BD$6:$BD$200,"&lt;&gt;*Negative*"))</f>
        <v>0</v>
      </c>
      <c r="S17" s="15">
        <f>SUM(COUNTIFS('Data entry'!$R$6:$R$200,'Summary Data'!$A17,'Data entry'!$B$6:$B$200,{"Confirmed";"Probable"},'Data entry'!$AP$6:$AP$200,'Data Validation'!$U$4, 'Data entry'!$BD$6:$BD$200,"&lt;&gt;*Negative*"))</f>
        <v>0</v>
      </c>
      <c r="T17" s="15">
        <f>SUM(COUNTIFS('Data entry'!$R$6:$R$200,'Summary Data'!$A17,'Data entry'!$B$6:$B$200,{"Confirmed";"Probable"},'Data entry'!$AP$6:$AP$200,'Data Validation'!$U$5, 'Data entry'!$BD$6:$BD$200,"&lt;&gt;*Negative*"))</f>
        <v>0</v>
      </c>
      <c r="U17" s="15">
        <f>SUM(COUNTIFS('Data entry'!$R$6:$R$200,'Summary Data'!$A17,'Data entry'!$B$6:$B$200,{"Confirmed";"Probable"},'Data entry'!$AP$6:$AP$200,'Data Validation'!$U$6, 'Data entry'!$BD$6:$BD$200,"&lt;&gt;*Negative*"))</f>
        <v>0</v>
      </c>
      <c r="V17" s="15">
        <f>SUM(COUNTIFS('Data entry'!$R$6:$R$200,'Summary Data'!$A17,'Data entry'!$B$6:$B$200,{"Confirmed";"Probable"},'Data entry'!$AQ$6:$AQ$200,'Data Validation'!$V$2, 'Data entry'!$BD$6:$BD$200,"&lt;&gt;*Negative*"))</f>
        <v>0</v>
      </c>
      <c r="W17" s="15">
        <f>SUM(COUNTIFS('Data entry'!$R$6:$R$200,'Summary Data'!$A17,'Data entry'!$B$6:$B$200,{"Confirmed";"Probable"},'Data entry'!$AQ$6:$AQ$200,'Data Validation'!$V$3, 'Data entry'!$BD$6:$BD$200,"&lt;&gt;*Negative*"))</f>
        <v>0</v>
      </c>
      <c r="X17" s="15">
        <f>SUM(COUNTIFS('Data entry'!$R$6:$R$200,'Summary Data'!$A17,'Data entry'!$B$6:$B$200,{"Confirmed";"Probable"},'Data entry'!$AQ$6:$AQ$200,'Data Validation'!$V$4, 'Data entry'!$BD$6:$BD$200,"&lt;&gt;*Negative*"))</f>
        <v>0</v>
      </c>
      <c r="Y17" s="15">
        <f>SUM(COUNTIFS('Data entry'!$R$6:$R$200,'Summary Data'!$A17,'Data entry'!$B$6:$B$200,{"Confirmed";"Probable"},'Data entry'!$AQ$6:$AQ$200,'Data Validation'!$V$5, 'Data entry'!$BD$6:$BD$200,"&lt;&gt;*Negative*"))</f>
        <v>0</v>
      </c>
      <c r="Z17" s="15">
        <f>SUM(COUNTIFS('Data entry'!$R$6:$R$200,'Summary Data'!$A17,'Data entry'!$B$6:$B$200,{"Confirmed";"Probable"},'Data entry'!$AQ$6:$AQ$200,'Data Validation'!$V$6, 'Data entry'!$BD$6:$BD$200,"&lt;&gt;*Negative*"))</f>
        <v>0</v>
      </c>
      <c r="AA17" s="15">
        <f>SUM(COUNTIFS('Data entry'!$R$6:$R$200,'Summary Data'!$A17,'Data entry'!$B$6:$B$200,{"Confirmed";"Probable"},'Data entry'!$AQ$6:$AQ$200,'Data Validation'!$V$7, 'Data entry'!$BD$6:$BD$200,"&lt;&gt;*Negative*"))</f>
        <v>0</v>
      </c>
      <c r="AB17" s="15">
        <f>SUM(COUNTIFS('Data entry'!$R$6:$R$200,'Summary Data'!$A17,'Data entry'!$B$6:$B$200,{"Confirmed";"Probable"},'Data entry'!$AQ$6:$AQ$200,'Data Validation'!$V$8, 'Data entry'!$BD$6:$BD$200,"&lt;&gt;*Negative*"))</f>
        <v>0</v>
      </c>
      <c r="AC17" s="15">
        <f>SUM(COUNTIFS('Data entry'!$R$6:$R$200,'Summary Data'!$A17,'Data entry'!$B$6:$B$200,{"Confirmed";"Probable"},'Data entry'!$AQ$6:$AQ$200,'Data Validation'!$V$9, 'Data entry'!$BD$6:$BD$200,"&lt;&gt;*Negative*"))</f>
        <v>0</v>
      </c>
      <c r="AD17" s="15">
        <f>SUM(COUNTIFS('Data entry'!$R$6:$R$200,'Summary Data'!$A17,'Data entry'!$B$6:$B$200,{"Confirmed";"Probable"},'Data entry'!$AQ$6:$AQ$200,'Data Validation'!$V$10, 'Data entry'!$BD$6:$BD$200,"&lt;&gt;*Negative*"))</f>
        <v>0</v>
      </c>
      <c r="AE17" s="15">
        <f>SUM(COUNTIFS('Data entry'!$R$6:$R$200,'Summary Data'!$A17,'Data entry'!$B$6:$B$200,{"Confirmed";"Probable"},'Data entry'!$AQ$6:$AQ$200,'Data Validation'!$V$11, 'Data entry'!$BD$6:$BD$200,"&lt;&gt;*Negative*"))</f>
        <v>0</v>
      </c>
      <c r="AF17" s="15">
        <f>SUM(COUNTIFS('Data entry'!$R$6:$R$200,'Summary Data'!$A17,'Data entry'!$B$6:$B$200,{"Confirmed";"Probable"},'Data entry'!$AQ$6:$AQ$200,'Data Validation'!$V$2, 'Data entry'!$AP$6:$AP$200,'Data Validation'!$U$2, 'Data entry'!$BD$6:$BD$200,"&lt;&gt;*Negative*"))</f>
        <v>0</v>
      </c>
      <c r="AG17" s="15">
        <f>SUM(COUNTIFS('Data entry'!$R$6:$R$200,'Summary Data'!$A17,'Data entry'!$B$6:$B$200,{"Confirmed";"Probable"},'Data entry'!$AQ$6:$AQ$200,'Data Validation'!$V$2, 'Data entry'!$AP$6:$AP$200,'Data Validation'!$U$3, 'Data entry'!$BD$6:$BD$200,"&lt;&gt;*Negative*"))</f>
        <v>0</v>
      </c>
      <c r="AH17" s="15">
        <f>SUM(COUNTIFS('Data entry'!$R$6:$R$200,'Summary Data'!$A17,'Data entry'!$B$6:$B$200,{"Confirmed";"Probable"},'Data entry'!$AQ$6:$AQ$200,'Data Validation'!$V$2, 'Data entry'!$AP$6:$AP$200,'Data Validation'!$U$4, 'Data entry'!$BD$6:$BD$200,"&lt;&gt;*Negative*"))</f>
        <v>0</v>
      </c>
      <c r="AI17" s="15">
        <f>SUM(COUNTIFS('Data entry'!$R$6:$R$200,'Summary Data'!$A17,'Data entry'!$B$6:$B$200,{"Confirmed";"Probable"},'Data entry'!$AQ$6:$AQ$200,'Data Validation'!$V$2, 'Data entry'!$AP$6:$AP$200,'Data Validation'!$U$5, 'Data entry'!$BD$6:$BD$200,"&lt;&gt;*Negative*"))</f>
        <v>0</v>
      </c>
      <c r="AJ17" s="15">
        <f>SUM(COUNTIFS('Data entry'!$R$6:$R$200,'Summary Data'!$A17,'Data entry'!$B$6:$B$200,{"Confirmed";"Probable"},'Data entry'!$AQ$6:$AQ$200,'Data Validation'!$V$2, 'Data entry'!$AP$6:$AP$200,'Data Validation'!$U$6, 'Data entry'!$BD$6:$BD$200,"&lt;&gt;*Negative*"))</f>
        <v>0</v>
      </c>
      <c r="AK17" s="15">
        <f>SUM(COUNTIFS('Data entry'!$R$6:$R$200,'Summary Data'!$A17,'Data entry'!$B$6:$B$200,{"Confirmed";"Probable"},'Data entry'!$AQ$6:$AQ$200,'Data Validation'!$V$3, 'Data entry'!$AP$6:$AP$200,'Data Validation'!$U$2, 'Data entry'!$BD$6:$BD$200,"&lt;&gt;*Negative*"))</f>
        <v>0</v>
      </c>
      <c r="AL17" s="15">
        <f>SUM(COUNTIFS('Data entry'!$R$6:$R$200,'Summary Data'!$A17,'Data entry'!$B$6:$B$200,{"Confirmed";"Probable"},'Data entry'!$AQ$6:$AQ$200,'Data Validation'!$V$3, 'Data entry'!$AP$6:$AP$200,'Data Validation'!$U$3, 'Data entry'!$BD$6:$BD$200,"&lt;&gt;*Negative*"))</f>
        <v>0</v>
      </c>
      <c r="AM17" s="15">
        <f>SUM(COUNTIFS('Data entry'!$R$6:$R$200,'Summary Data'!$A17,'Data entry'!$B$6:$B$200,{"Confirmed";"Probable"},'Data entry'!$AQ$6:$AQ$200,'Data Validation'!$V$3, 'Data entry'!$AP$6:$AP$200,'Data Validation'!$U$4, 'Data entry'!$BD$6:$BD$200,"&lt;&gt;*Negative*"))</f>
        <v>0</v>
      </c>
      <c r="AN17" s="15">
        <f>SUM(COUNTIFS('Data entry'!$R$6:$R$200,'Summary Data'!$A17,'Data entry'!$B$6:$B$200,{"Confirmed";"Probable"},'Data entry'!$AQ$6:$AQ$200,'Data Validation'!$V$3, 'Data entry'!$AP$6:$AP$200,'Data Validation'!$U$5, 'Data entry'!$BD$6:$BD$200,"&lt;&gt;*Negative*"))</f>
        <v>0</v>
      </c>
      <c r="AO17" s="15">
        <f>SUM(COUNTIFS('Data entry'!$R$6:$R$200,'Summary Data'!$A17,'Data entry'!$B$6:$B$200,{"Confirmed";"Probable"},'Data entry'!$AQ$6:$AQ$200,'Data Validation'!$V$3, 'Data entry'!$AP$6:$AP$200,'Data Validation'!$U$6, 'Data entry'!$BD$6:$BD$200,"&lt;&gt;*Negative*"))</f>
        <v>0</v>
      </c>
      <c r="AP17" s="15">
        <f>SUM(COUNTIFS('Data entry'!$R$6:$R$200,'Summary Data'!$A17,'Data entry'!$B$6:$B$200,{"Confirmed";"Probable"},'Data entry'!$AQ$6:$AQ$200,'Data Validation'!$V$4, 'Data entry'!$AP$6:$AP$200,'Data Validation'!$U$2, 'Data entry'!$BD$6:$BD$200,"&lt;&gt;*Negative*"))</f>
        <v>0</v>
      </c>
      <c r="AQ17" s="15">
        <f>SUM(COUNTIFS('Data entry'!$R$6:$R$200,'Summary Data'!$A17,'Data entry'!$B$6:$B$200,{"Confirmed";"Probable"},'Data entry'!$AQ$6:$AQ$200,'Data Validation'!$V$4, 'Data entry'!$AP$6:$AP$200,'Data Validation'!$U$3, 'Data entry'!$BD$6:$BD$200,"&lt;&gt;*Negative*"))</f>
        <v>0</v>
      </c>
      <c r="AR17" s="15">
        <f>SUM(COUNTIFS('Data entry'!$R$6:$R$200,'Summary Data'!$A17,'Data entry'!$B$6:$B$200,{"Confirmed";"Probable"},'Data entry'!$AQ$6:$AQ$200,'Data Validation'!$V$4, 'Data entry'!$AP$6:$AP$200,'Data Validation'!$U$4, 'Data entry'!$BD$6:$BD$200,"&lt;&gt;*Negative*"))</f>
        <v>0</v>
      </c>
      <c r="AS17" s="15">
        <f>SUM(COUNTIFS('Data entry'!$R$6:$R$200,'Summary Data'!$A17,'Data entry'!$B$6:$B$200,{"Confirmed";"Probable"},'Data entry'!$AQ$6:$AQ$200,'Data Validation'!$V$4, 'Data entry'!$AP$6:$AP$200,'Data Validation'!$U$5, 'Data entry'!$BD$6:$BD$200,"&lt;&gt;*Negative*"))</f>
        <v>0</v>
      </c>
      <c r="AT17" s="15">
        <f>SUM(COUNTIFS('Data entry'!$R$6:$R$200,'Summary Data'!$A17,'Data entry'!$B$6:$B$200,{"Confirmed";"Probable"},'Data entry'!$AQ$6:$AQ$200,'Data Validation'!$V$4, 'Data entry'!$AP$6:$AP$200,'Data Validation'!$U$6, 'Data entry'!$BD$6:$BD$200,"&lt;&gt;*Negative*"))</f>
        <v>0</v>
      </c>
      <c r="AU17" s="15">
        <f>SUM(COUNTIFS('Data entry'!$R$6:$R$200,'Summary Data'!$A17,'Data entry'!$B$6:$B$200,{"Confirmed";"Probable"},'Data entry'!$AQ$6:$AQ$200,'Data Validation'!$V$5, 'Data entry'!$AP$6:$AP$200,'Data Validation'!$U$2, 'Data entry'!$BD$6:$BD$200,"&lt;&gt;*Negative*"))</f>
        <v>0</v>
      </c>
      <c r="AV17" s="15">
        <f>SUM(COUNTIFS('Data entry'!$R$6:$R$200,'Summary Data'!$A17,'Data entry'!$B$6:$B$200,{"Confirmed";"Probable"},'Data entry'!$AQ$6:$AQ$200,'Data Validation'!$V$5, 'Data entry'!$AP$6:$AP$200,'Data Validation'!$U$3, 'Data entry'!$BD$6:$BD$200,"&lt;&gt;*Negative*"))</f>
        <v>0</v>
      </c>
      <c r="AW17" s="15">
        <f>SUM(COUNTIFS('Data entry'!$R$6:$R$200,'Summary Data'!$A17,'Data entry'!$B$6:$B$200,{"Confirmed";"Probable"},'Data entry'!$AQ$6:$AQ$200,'Data Validation'!$V$5, 'Data entry'!$AP$6:$AP$200,'Data Validation'!$U$4, 'Data entry'!$BD$6:$BD$200,"&lt;&gt;*Negative*"))</f>
        <v>0</v>
      </c>
      <c r="AX17" s="15">
        <f>SUM(COUNTIFS('Data entry'!$R$6:$R$200,'Summary Data'!$A17,'Data entry'!$B$6:$B$200,{"Confirmed";"Probable"},'Data entry'!$AQ$6:$AQ$200,'Data Validation'!$V$5, 'Data entry'!$AP$6:$AP$200,'Data Validation'!$U$5, 'Data entry'!$BD$6:$BD$200,"&lt;&gt;*Negative*"))</f>
        <v>0</v>
      </c>
      <c r="AY17" s="15">
        <f>SUM(COUNTIFS('Data entry'!$R$6:$R$200,'Summary Data'!$A17,'Data entry'!$B$6:$B$200,{"Confirmed";"Probable"},'Data entry'!$AQ$6:$AQ$200,'Data Validation'!$V$5, 'Data entry'!$AP$6:$AP$200,'Data Validation'!$U$6, 'Data entry'!$BD$6:$BD$200,"&lt;&gt;*Negative*"))</f>
        <v>0</v>
      </c>
      <c r="AZ17" s="15">
        <f>SUM(COUNTIFS('Data entry'!$R$6:$R$200,'Summary Data'!$A17,'Data entry'!$B$6:$B$200,{"Confirmed";"Probable"},'Data entry'!$AQ$6:$AQ$200,'Data Validation'!$V$6, 'Data entry'!$AP$6:$AP$200,'Data Validation'!$U$2, 'Data entry'!$BD$6:$BD$200,"&lt;&gt;*Negative*"))</f>
        <v>0</v>
      </c>
      <c r="BA17" s="15">
        <f>SUM(COUNTIFS('Data entry'!$R$6:$R$200,'Summary Data'!$A17,'Data entry'!$B$6:$B$200,{"Confirmed";"Probable"},'Data entry'!$AQ$6:$AQ$200,'Data Validation'!$V$6, 'Data entry'!$AP$6:$AP$200,'Data Validation'!$U$3, 'Data entry'!$BD$6:$BD$200,"&lt;&gt;*Negative*"))</f>
        <v>0</v>
      </c>
      <c r="BB17" s="15">
        <f>SUM(COUNTIFS('Data entry'!$R$6:$R$200,'Summary Data'!$A17,'Data entry'!$B$6:$B$200,{"Confirmed";"Probable"},'Data entry'!$AQ$6:$AQ$200,'Data Validation'!$V$6, 'Data entry'!$AP$6:$AP$200,'Data Validation'!$U$4, 'Data entry'!$BD$6:$BD$200,"&lt;&gt;*Negative*"))</f>
        <v>0</v>
      </c>
      <c r="BC17" s="15">
        <f>SUM(COUNTIFS('Data entry'!$R$6:$R$200,'Summary Data'!$A17,'Data entry'!$B$6:$B$200,{"Confirmed";"Probable"},'Data entry'!$AQ$6:$AQ$200,'Data Validation'!$V$6, 'Data entry'!$AP$6:$AP$200,'Data Validation'!$U$5, 'Data entry'!$BD$6:$BD$200,"&lt;&gt;*Negative*"))</f>
        <v>0</v>
      </c>
      <c r="BD17" s="15">
        <f>SUM(COUNTIFS('Data entry'!$R$6:$R$200,'Summary Data'!$A17,'Data entry'!$B$6:$B$200,{"Confirmed";"Probable"},'Data entry'!$AQ$6:$AQ$200,'Data Validation'!$V$6, 'Data entry'!$AP$6:$AP$200,'Data Validation'!$U$6, 'Data entry'!$BD$6:$BD$200,"&lt;&gt;*Negative*"))</f>
        <v>0</v>
      </c>
      <c r="BE17" s="15">
        <f>SUM(COUNTIFS('Data entry'!$R$6:$R$200,'Summary Data'!$A17,'Data entry'!$B$6:$B$200,{"Confirmed";"Probable"},'Data entry'!$AQ$6:$AQ$200,'Data Validation'!$V$7, 'Data entry'!$AP$6:$AP$200,'Data Validation'!$U$2, 'Data entry'!$BD$6:$BD$200,"&lt;&gt;*Negative*"))</f>
        <v>0</v>
      </c>
      <c r="BF17" s="15">
        <f>SUM(COUNTIFS('Data entry'!$R$6:$R$200,'Summary Data'!$A17,'Data entry'!$B$6:$B$200,{"Confirmed";"Probable"},'Data entry'!$AQ$6:$AQ$200,'Data Validation'!$V$7, 'Data entry'!$AP$6:$AP$200,'Data Validation'!$U$3, 'Data entry'!$BD$6:$BD$200,"&lt;&gt;*Negative*"))</f>
        <v>0</v>
      </c>
      <c r="BG17" s="15">
        <f>SUM(COUNTIFS('Data entry'!$R$6:$R$200,'Summary Data'!$A17,'Data entry'!$B$6:$B$200,{"Confirmed";"Probable"},'Data entry'!$AQ$6:$AQ$200,'Data Validation'!$V$7, 'Data entry'!$AP$6:$AP$200,'Data Validation'!$U$4, 'Data entry'!$BD$6:$BD$200,"&lt;&gt;*Negative*"))</f>
        <v>0</v>
      </c>
      <c r="BH17" s="15">
        <f>SUM(COUNTIFS('Data entry'!$R$6:$R$200,'Summary Data'!$A17,'Data entry'!$B$6:$B$200,{"Confirmed";"Probable"},'Data entry'!$AQ$6:$AQ$200,'Data Validation'!$V$7, 'Data entry'!$AP$6:$AP$200,'Data Validation'!$U$5, 'Data entry'!$BD$6:$BD$200,"&lt;&gt;*Negative*"))</f>
        <v>0</v>
      </c>
      <c r="BI17" s="15">
        <f>SUM(COUNTIFS('Data entry'!$R$6:$R$200,'Summary Data'!$A17,'Data entry'!$B$6:$B$200,{"Confirmed";"Probable"},'Data entry'!$AQ$6:$AQ$200,'Data Validation'!$V$7, 'Data entry'!$AP$6:$AP$200,'Data Validation'!$U$6, 'Data entry'!$BD$6:$BD$200,"&lt;&gt;*Negative*"))</f>
        <v>0</v>
      </c>
      <c r="BJ17" s="15">
        <f>SUM(COUNTIFS('Data entry'!$R$6:$R$200,'Summary Data'!$A17,'Data entry'!$B$6:$B$200,{"Confirmed";"Probable"},'Data entry'!$AQ$6:$AQ$200,'Data Validation'!$V$8, 'Data entry'!$AP$6:$AP$200,'Data Validation'!$U$2, 'Data entry'!$BD$6:$BD$200,"&lt;&gt;*Negative*"))</f>
        <v>0</v>
      </c>
      <c r="BK17" s="15">
        <f>SUM(COUNTIFS('Data entry'!$R$6:$R$200,'Summary Data'!$A17,'Data entry'!$B$6:$B$200,{"Confirmed";"Probable"},'Data entry'!$AQ$6:$AQ$200,'Data Validation'!$V$8, 'Data entry'!$AP$6:$AP$200,'Data Validation'!$U$3, 'Data entry'!$BD$6:$BD$200,"&lt;&gt;*Negative*"))</f>
        <v>0</v>
      </c>
      <c r="BL17" s="15">
        <f>SUM(COUNTIFS('Data entry'!$R$6:$R$200,'Summary Data'!$A17,'Data entry'!$B$6:$B$200,{"Confirmed";"Probable"},'Data entry'!$AQ$6:$AQ$200,'Data Validation'!$V$8, 'Data entry'!$AP$6:$AP$200,'Data Validation'!$U$4, 'Data entry'!$BD$6:$BD$200,"&lt;&gt;*Negative*"))</f>
        <v>0</v>
      </c>
      <c r="BM17" s="15">
        <f>SUM(COUNTIFS('Data entry'!$R$6:$R$200,'Summary Data'!$A17,'Data entry'!$B$6:$B$200,{"Confirmed";"Probable"},'Data entry'!$AQ$6:$AQ$200,'Data Validation'!$V$8, 'Data entry'!$AP$6:$AP$200,'Data Validation'!$U$5, 'Data entry'!$BD$6:$BD$200,"&lt;&gt;*Negative*"))</f>
        <v>0</v>
      </c>
      <c r="BN17" s="15">
        <f>SUM(COUNTIFS('Data entry'!$R$6:$R$200,'Summary Data'!$A17,'Data entry'!$B$6:$B$200,{"Confirmed";"Probable"},'Data entry'!$AQ$6:$AQ$200,'Data Validation'!$V$8, 'Data entry'!$AP$6:$AP$200,'Data Validation'!$U$6, 'Data entry'!$BD$6:$BD$200,"&lt;&gt;*Negative*"))</f>
        <v>0</v>
      </c>
      <c r="BO17" s="15">
        <f>SUM(COUNTIFS('Data entry'!$R$6:$R$200,'Summary Data'!$A17,'Data entry'!$B$6:$B$200,{"Confirmed";"Probable"},'Data entry'!$AQ$6:$AQ$200,'Data Validation'!$V$9, 'Data entry'!$AP$6:$AP$200,'Data Validation'!$U$2, 'Data entry'!$BD$6:$BD$200,"&lt;&gt;*Negative*"))</f>
        <v>0</v>
      </c>
      <c r="BP17" s="15">
        <f>SUM(COUNTIFS('Data entry'!$R$6:$R$200,'Summary Data'!$A17,'Data entry'!$B$6:$B$200,{"Confirmed";"Probable"},'Data entry'!$AQ$6:$AQ$200,'Data Validation'!$V$9, 'Data entry'!$AP$6:$AP$200,'Data Validation'!$U$3, 'Data entry'!$BD$6:$BD$200,"&lt;&gt;*Negative*"))</f>
        <v>0</v>
      </c>
      <c r="BQ17" s="15">
        <f>SUM(COUNTIFS('Data entry'!$R$6:$R$200,'Summary Data'!$A17,'Data entry'!$B$6:$B$200,{"Confirmed";"Probable"},'Data entry'!$AQ$6:$AQ$200,'Data Validation'!$V$9, 'Data entry'!$AP$6:$AP$200,'Data Validation'!$U$4, 'Data entry'!$BD$6:$BD$200,"&lt;&gt;*Negative*"))</f>
        <v>0</v>
      </c>
      <c r="BR17" s="15">
        <f>SUM(COUNTIFS('Data entry'!$R$6:$R$200,'Summary Data'!$A17,'Data entry'!$B$6:$B$200,{"Confirmed";"Probable"},'Data entry'!$AQ$6:$AQ$200,'Data Validation'!$V$9, 'Data entry'!$AP$6:$AP$200,'Data Validation'!$U$5, 'Data entry'!$BD$6:$BD$200,"&lt;&gt;*Negative*"))</f>
        <v>0</v>
      </c>
      <c r="BS17" s="15">
        <f>SUM(COUNTIFS('Data entry'!$R$6:$R$200,'Summary Data'!$A17,'Data entry'!$B$6:$B$200,{"Confirmed";"Probable"},'Data entry'!$AQ$6:$AQ$200,'Data Validation'!$V$9, 'Data entry'!$AP$6:$AP$200,'Data Validation'!$U$6, 'Data entry'!$BD$6:$BD$200,"&lt;&gt;*Negative*"))</f>
        <v>0</v>
      </c>
      <c r="BT17" s="15">
        <f>SUM(COUNTIFS('Data entry'!$R$6:$R$200,'Summary Data'!$A17,'Data entry'!$B$6:$B$200,{"Confirmed";"Probable"},'Data entry'!$AQ$6:$AQ$200,'Data Validation'!$V$10, 'Data entry'!$AP$6:$AP$200,'Data Validation'!$U$2, 'Data entry'!$BD$6:$BD$200,"&lt;&gt;*Negative*"))</f>
        <v>0</v>
      </c>
      <c r="BU17" s="15">
        <f>SUM(COUNTIFS('Data entry'!$R$6:$R$200,'Summary Data'!$A17,'Data entry'!$B$6:$B$200,{"Confirmed";"Probable"},'Data entry'!$AQ$6:$AQ$200,'Data Validation'!$V$10, 'Data entry'!$AP$6:$AP$200,'Data Validation'!$U$3, 'Data entry'!$BD$6:$BD$200,"&lt;&gt;*Negative*"))</f>
        <v>0</v>
      </c>
      <c r="BV17" s="15">
        <f>SUM(COUNTIFS('Data entry'!$R$6:$R$200,'Summary Data'!$A17,'Data entry'!$B$6:$B$200,{"Confirmed";"Probable"},'Data entry'!$AQ$6:$AQ$200,'Data Validation'!$V$10, 'Data entry'!$AP$6:$AP$200,'Data Validation'!$U$4, 'Data entry'!$BD$6:$BD$200,"&lt;&gt;*Negative*"))</f>
        <v>0</v>
      </c>
      <c r="BW17" s="15">
        <f>SUM(COUNTIFS('Data entry'!$R$6:$R$200,'Summary Data'!$A17,'Data entry'!$B$6:$B$200,{"Confirmed";"Probable"},'Data entry'!$AQ$6:$AQ$200,'Data Validation'!$V$10, 'Data entry'!$AP$6:$AP$200,'Data Validation'!$U$5, 'Data entry'!$BD$6:$BD$200,"&lt;&gt;*Negative*"))</f>
        <v>0</v>
      </c>
      <c r="BX17" s="15">
        <f>SUM(COUNTIFS('Data entry'!$R$6:$R$200,'Summary Data'!$A17,'Data entry'!$B$6:$B$200,{"Confirmed";"Probable"},'Data entry'!$AQ$6:$AQ$200,'Data Validation'!$V$10, 'Data entry'!$AP$6:$AP$200,'Data Validation'!$U$6, 'Data entry'!$BD$6:$BD$200,"&lt;&gt;*Negative*"))</f>
        <v>0</v>
      </c>
      <c r="BY17" s="15">
        <f>SUM(COUNTIFS('Data entry'!$R$6:$R$200,'Summary Data'!$A17,'Data entry'!$B$6:$B$200,{"Confirmed";"Probable"},'Data entry'!$AQ$6:$AQ$200,'Data Validation'!$V$11, 'Data entry'!$AP$6:$AP$200,'Data Validation'!$U$2, 'Data entry'!$BD$6:$BD$200,"&lt;&gt;*Negative*"))</f>
        <v>0</v>
      </c>
      <c r="BZ17" s="15">
        <f>SUM(COUNTIFS('Data entry'!$R$6:$R$200,'Summary Data'!$A17,'Data entry'!$B$6:$B$200,{"Confirmed";"Probable"},'Data entry'!$AQ$6:$AQ$200,'Data Validation'!$V$11, 'Data entry'!$AP$6:$AP$200,'Data Validation'!$U$3, 'Data entry'!$BD$6:$BD$200,"&lt;&gt;*Negative*"))</f>
        <v>0</v>
      </c>
      <c r="CA17" s="15">
        <f>SUM(COUNTIFS('Data entry'!$R$6:$R$200,'Summary Data'!$A17,'Data entry'!$B$6:$B$200,{"Confirmed";"Probable"},'Data entry'!$AQ$6:$AQ$200,'Data Validation'!$V$11, 'Data entry'!$AP$6:$AP$200,'Data Validation'!$U$4, 'Data entry'!$BD$6:$BD$200,"&lt;&gt;*Negative*"))</f>
        <v>0</v>
      </c>
      <c r="CB17" s="15">
        <f>SUM(COUNTIFS('Data entry'!$R$6:$R$200,'Summary Data'!$A17,'Data entry'!$B$6:$B$200,{"Confirmed";"Probable"},'Data entry'!$AQ$6:$AQ$200,'Data Validation'!$V$11, 'Data entry'!$AP$6:$AP$200,'Data Validation'!$U$5, 'Data entry'!$BD$6:$BD$200,"&lt;&gt;*Negative*"))</f>
        <v>0</v>
      </c>
      <c r="CC17" s="15">
        <f>SUM(COUNTIFS('Data entry'!$R$6:$R$200,'Summary Data'!$A17,'Data entry'!$B$6:$B$200,{"Confirmed";"Probable"},'Data entry'!$AQ$6:$AQ$200,'Data Validation'!$V$11, 'Data entry'!$AP$6:$AP$200,'Data Validation'!$U$6, 'Data entry'!$BD$6:$BD$200,"&lt;&gt;*Negative*"))</f>
        <v>0</v>
      </c>
    </row>
    <row r="18" spans="1:81" x14ac:dyDescent="0.25">
      <c r="A18" s="12">
        <f t="shared" si="5"/>
        <v>6</v>
      </c>
      <c r="B18" s="13">
        <f t="shared" si="2"/>
        <v>0</v>
      </c>
      <c r="C18" s="13">
        <f>COUNTIFS('Data entry'!$R$6:$R$200,$A18,'Data entry'!$B$6:$B$200,"Confirmed",'Data entry'!$BD$6:$BD$200,"&lt;&gt;*Negative*")</f>
        <v>0</v>
      </c>
      <c r="D18" s="13">
        <f>COUNTIFS('Data entry'!$R$6:$R$200,$A18,'Data entry'!$B$6:$B$200,"Probable",'Data entry'!$BD$6:$BD$200,"&lt;&gt;*Negative*")</f>
        <v>0</v>
      </c>
      <c r="E18" s="13">
        <f>COUNTIFS('Data entry'!$R$6:$R$200,$A18,'Data entry'!$B$6:$B$200,"DNM")</f>
        <v>0</v>
      </c>
      <c r="F18" s="13">
        <f>SUM(COUNTIFS('Data entry'!$R$6:$R$200,'Summary Data'!$A18,'Data entry'!$B$6:$B$200,{"Confirmed";"Probable"},'Data entry'!$AO$6:$AO$200,$F$10, 'Data entry'!$BD$6:$BD$200,"&lt;&gt;*Negative*"))</f>
        <v>0</v>
      </c>
      <c r="G18" s="13">
        <f>SUM(COUNTIFS('Data entry'!$R$6:$R$200,'Summary Data'!$A18,'Data entry'!$B$6:$B$200,{"Confirmed";"Probable"},'Data entry'!$AO$6:$AO$200,$G$10, 'Data entry'!$BD$6:$BD$200,"&lt;&gt;*Negative*"))</f>
        <v>0</v>
      </c>
      <c r="H18" s="13">
        <f>SUM(COUNTIFS('Data entry'!$R$6:$R$200,'Summary Data'!$A18,'Data entry'!$B$6:$B$200,{"Confirmed";"Probable"},'Data entry'!$AO$6:$AO$200,$H$10, 'Data entry'!$BD$6:$BD$200,"&lt;&gt;*Negative*"))</f>
        <v>0</v>
      </c>
      <c r="I18" s="13">
        <f>SUM(COUNTIFS('Data entry'!$R$6:$R$200,'Summary Data'!$A18,'Data entry'!$B$6:$B$200,{"Confirmed";"Probable"},'Data entry'!$AO$6:$AO$200,$I$10, 'Data entry'!$BD$6:$BD$200,"&lt;&gt;*Negative*"))</f>
        <v>0</v>
      </c>
      <c r="J18" s="13">
        <f>SUM(COUNTIFS('Data entry'!$R$6:$R$200,'Summary Data'!$A18,'Data entry'!$B$6:$B$200,{"Confirmed";"Probable"},'Data entry'!$AO$6:$AO$200,$J$10, 'Data entry'!$BD$6:$BD$200,"&lt;&gt;*Negative*"))</f>
        <v>0</v>
      </c>
      <c r="K18" s="13">
        <f>SUM(COUNTIFS('Data entry'!$R$6:$R$200,'Summary Data'!$A18,'Data entry'!$B$6:$B$200,{"Confirmed";"Probable"},'Data entry'!$AO$6:$AO$200,$K$10, 'Data entry'!$BD$6:$BD$200,"&lt;&gt;*Negative*"))</f>
        <v>0</v>
      </c>
      <c r="L18" s="13">
        <f>SUM(COUNTIFS('Data entry'!$R$6:$R$200,'Summary Data'!$A18,'Data entry'!$B$6:$B$200,{"Confirmed";"Probable"},'Data entry'!$AO$6:$AO$200,$L$10, 'Data entry'!$BD$6:$BD$200,"&lt;&gt;*Negative*"))</f>
        <v>0</v>
      </c>
      <c r="M18" s="13">
        <f>SUM(COUNTIFS('Data entry'!$R$6:$R$200,'Summary Data'!$A18,'Data entry'!$B$6:$B$200,{"Confirmed";"Probable"},'Data entry'!$AO$6:$AO$200,$M$10, 'Data entry'!$BD$6:$BD$200,"&lt;&gt;*Negative*"))</f>
        <v>0</v>
      </c>
      <c r="N18" s="13">
        <f>SUM(COUNTIFS('Data entry'!$R$6:$R$200,'Summary Data'!$A18,'Data entry'!$B$6:$B$200,{"Confirmed";"Probable"},'Data entry'!$AO$6:$AO$200,$N$10, 'Data entry'!$BD$6:$BD$200,"&lt;&gt;*Negative*"))</f>
        <v>0</v>
      </c>
      <c r="O18" s="15">
        <f t="shared" si="3"/>
        <v>0</v>
      </c>
      <c r="P18" s="15">
        <f t="shared" si="4"/>
        <v>0</v>
      </c>
      <c r="Q18" s="15">
        <f>SUM(COUNTIFS('Data entry'!$R$6:$R$200,'Summary Data'!$A18,'Data entry'!$B$6:$B$200,{"Confirmed";"Probable"},'Data entry'!$AP$6:$AP$200,'Data Validation'!$U$2, 'Data entry'!$BD$6:$BD$200,"&lt;&gt;*Negative*"))</f>
        <v>0</v>
      </c>
      <c r="R18" s="15">
        <f>SUM(COUNTIFS('Data entry'!$R$6:$R$200,'Summary Data'!$A18,'Data entry'!$B$6:$B$200,{"Confirmed";"Probable"},'Data entry'!$AP$6:$AP$200,'Data Validation'!$U$3, 'Data entry'!$BD$6:$BD$200,"&lt;&gt;*Negative*"))</f>
        <v>0</v>
      </c>
      <c r="S18" s="15">
        <f>SUM(COUNTIFS('Data entry'!$R$6:$R$200,'Summary Data'!$A18,'Data entry'!$B$6:$B$200,{"Confirmed";"Probable"},'Data entry'!$AP$6:$AP$200,'Data Validation'!$U$4, 'Data entry'!$BD$6:$BD$200,"&lt;&gt;*Negative*"))</f>
        <v>0</v>
      </c>
      <c r="T18" s="15">
        <f>SUM(COUNTIFS('Data entry'!$R$6:$R$200,'Summary Data'!$A18,'Data entry'!$B$6:$B$200,{"Confirmed";"Probable"},'Data entry'!$AP$6:$AP$200,'Data Validation'!$U$5, 'Data entry'!$BD$6:$BD$200,"&lt;&gt;*Negative*"))</f>
        <v>0</v>
      </c>
      <c r="U18" s="15">
        <f>SUM(COUNTIFS('Data entry'!$R$6:$R$200,'Summary Data'!$A18,'Data entry'!$B$6:$B$200,{"Confirmed";"Probable"},'Data entry'!$AP$6:$AP$200,'Data Validation'!$U$6, 'Data entry'!$BD$6:$BD$200,"&lt;&gt;*Negative*"))</f>
        <v>0</v>
      </c>
      <c r="V18" s="15">
        <f>SUM(COUNTIFS('Data entry'!$R$6:$R$200,'Summary Data'!$A18,'Data entry'!$B$6:$B$200,{"Confirmed";"Probable"},'Data entry'!$AQ$6:$AQ$200,'Data Validation'!$V$2, 'Data entry'!$BD$6:$BD$200,"&lt;&gt;*Negative*"))</f>
        <v>0</v>
      </c>
      <c r="W18" s="15">
        <f>SUM(COUNTIFS('Data entry'!$R$6:$R$200,'Summary Data'!$A18,'Data entry'!$B$6:$B$200,{"Confirmed";"Probable"},'Data entry'!$AQ$6:$AQ$200,'Data Validation'!$V$3, 'Data entry'!$BD$6:$BD$200,"&lt;&gt;*Negative*"))</f>
        <v>0</v>
      </c>
      <c r="X18" s="15">
        <f>SUM(COUNTIFS('Data entry'!$R$6:$R$200,'Summary Data'!$A18,'Data entry'!$B$6:$B$200,{"Confirmed";"Probable"},'Data entry'!$AQ$6:$AQ$200,'Data Validation'!$V$4, 'Data entry'!$BD$6:$BD$200,"&lt;&gt;*Negative*"))</f>
        <v>0</v>
      </c>
      <c r="Y18" s="15">
        <f>SUM(COUNTIFS('Data entry'!$R$6:$R$200,'Summary Data'!$A18,'Data entry'!$B$6:$B$200,{"Confirmed";"Probable"},'Data entry'!$AQ$6:$AQ$200,'Data Validation'!$V$5, 'Data entry'!$BD$6:$BD$200,"&lt;&gt;*Negative*"))</f>
        <v>0</v>
      </c>
      <c r="Z18" s="15">
        <f>SUM(COUNTIFS('Data entry'!$R$6:$R$200,'Summary Data'!$A18,'Data entry'!$B$6:$B$200,{"Confirmed";"Probable"},'Data entry'!$AQ$6:$AQ$200,'Data Validation'!$V$6, 'Data entry'!$BD$6:$BD$200,"&lt;&gt;*Negative*"))</f>
        <v>0</v>
      </c>
      <c r="AA18" s="15">
        <f>SUM(COUNTIFS('Data entry'!$R$6:$R$200,'Summary Data'!$A18,'Data entry'!$B$6:$B$200,{"Confirmed";"Probable"},'Data entry'!$AQ$6:$AQ$200,'Data Validation'!$V$7, 'Data entry'!$BD$6:$BD$200,"&lt;&gt;*Negative*"))</f>
        <v>0</v>
      </c>
      <c r="AB18" s="15">
        <f>SUM(COUNTIFS('Data entry'!$R$6:$R$200,'Summary Data'!$A18,'Data entry'!$B$6:$B$200,{"Confirmed";"Probable"},'Data entry'!$AQ$6:$AQ$200,'Data Validation'!$V$8, 'Data entry'!$BD$6:$BD$200,"&lt;&gt;*Negative*"))</f>
        <v>0</v>
      </c>
      <c r="AC18" s="15">
        <f>SUM(COUNTIFS('Data entry'!$R$6:$R$200,'Summary Data'!$A18,'Data entry'!$B$6:$B$200,{"Confirmed";"Probable"},'Data entry'!$AQ$6:$AQ$200,'Data Validation'!$V$9, 'Data entry'!$BD$6:$BD$200,"&lt;&gt;*Negative*"))</f>
        <v>0</v>
      </c>
      <c r="AD18" s="15">
        <f>SUM(COUNTIFS('Data entry'!$R$6:$R$200,'Summary Data'!$A18,'Data entry'!$B$6:$B$200,{"Confirmed";"Probable"},'Data entry'!$AQ$6:$AQ$200,'Data Validation'!$V$10, 'Data entry'!$BD$6:$BD$200,"&lt;&gt;*Negative*"))</f>
        <v>0</v>
      </c>
      <c r="AE18" s="15">
        <f>SUM(COUNTIFS('Data entry'!$R$6:$R$200,'Summary Data'!$A18,'Data entry'!$B$6:$B$200,{"Confirmed";"Probable"},'Data entry'!$AQ$6:$AQ$200,'Data Validation'!$V$11, 'Data entry'!$BD$6:$BD$200,"&lt;&gt;*Negative*"))</f>
        <v>0</v>
      </c>
      <c r="AF18" s="15">
        <f>SUM(COUNTIFS('Data entry'!$R$6:$R$200,'Summary Data'!$A18,'Data entry'!$B$6:$B$200,{"Confirmed";"Probable"},'Data entry'!$AQ$6:$AQ$200,'Data Validation'!$V$2, 'Data entry'!$AP$6:$AP$200,'Data Validation'!$U$2, 'Data entry'!$BD$6:$BD$200,"&lt;&gt;*Negative*"))</f>
        <v>0</v>
      </c>
      <c r="AG18" s="15">
        <f>SUM(COUNTIFS('Data entry'!$R$6:$R$200,'Summary Data'!$A18,'Data entry'!$B$6:$B$200,{"Confirmed";"Probable"},'Data entry'!$AQ$6:$AQ$200,'Data Validation'!$V$2, 'Data entry'!$AP$6:$AP$200,'Data Validation'!$U$3, 'Data entry'!$BD$6:$BD$200,"&lt;&gt;*Negative*"))</f>
        <v>0</v>
      </c>
      <c r="AH18" s="15">
        <f>SUM(COUNTIFS('Data entry'!$R$6:$R$200,'Summary Data'!$A18,'Data entry'!$B$6:$B$200,{"Confirmed";"Probable"},'Data entry'!$AQ$6:$AQ$200,'Data Validation'!$V$2, 'Data entry'!$AP$6:$AP$200,'Data Validation'!$U$4, 'Data entry'!$BD$6:$BD$200,"&lt;&gt;*Negative*"))</f>
        <v>0</v>
      </c>
      <c r="AI18" s="15">
        <f>SUM(COUNTIFS('Data entry'!$R$6:$R$200,'Summary Data'!$A18,'Data entry'!$B$6:$B$200,{"Confirmed";"Probable"},'Data entry'!$AQ$6:$AQ$200,'Data Validation'!$V$2, 'Data entry'!$AP$6:$AP$200,'Data Validation'!$U$5, 'Data entry'!$BD$6:$BD$200,"&lt;&gt;*Negative*"))</f>
        <v>0</v>
      </c>
      <c r="AJ18" s="15">
        <f>SUM(COUNTIFS('Data entry'!$R$6:$R$200,'Summary Data'!$A18,'Data entry'!$B$6:$B$200,{"Confirmed";"Probable"},'Data entry'!$AQ$6:$AQ$200,'Data Validation'!$V$2, 'Data entry'!$AP$6:$AP$200,'Data Validation'!$U$6, 'Data entry'!$BD$6:$BD$200,"&lt;&gt;*Negative*"))</f>
        <v>0</v>
      </c>
      <c r="AK18" s="15">
        <f>SUM(COUNTIFS('Data entry'!$R$6:$R$200,'Summary Data'!$A18,'Data entry'!$B$6:$B$200,{"Confirmed";"Probable"},'Data entry'!$AQ$6:$AQ$200,'Data Validation'!$V$3, 'Data entry'!$AP$6:$AP$200,'Data Validation'!$U$2, 'Data entry'!$BD$6:$BD$200,"&lt;&gt;*Negative*"))</f>
        <v>0</v>
      </c>
      <c r="AL18" s="15">
        <f>SUM(COUNTIFS('Data entry'!$R$6:$R$200,'Summary Data'!$A18,'Data entry'!$B$6:$B$200,{"Confirmed";"Probable"},'Data entry'!$AQ$6:$AQ$200,'Data Validation'!$V$3, 'Data entry'!$AP$6:$AP$200,'Data Validation'!$U$3, 'Data entry'!$BD$6:$BD$200,"&lt;&gt;*Negative*"))</f>
        <v>0</v>
      </c>
      <c r="AM18" s="15">
        <f>SUM(COUNTIFS('Data entry'!$R$6:$R$200,'Summary Data'!$A18,'Data entry'!$B$6:$B$200,{"Confirmed";"Probable"},'Data entry'!$AQ$6:$AQ$200,'Data Validation'!$V$3, 'Data entry'!$AP$6:$AP$200,'Data Validation'!$U$4, 'Data entry'!$BD$6:$BD$200,"&lt;&gt;*Negative*"))</f>
        <v>0</v>
      </c>
      <c r="AN18" s="15">
        <f>SUM(COUNTIFS('Data entry'!$R$6:$R$200,'Summary Data'!$A18,'Data entry'!$B$6:$B$200,{"Confirmed";"Probable"},'Data entry'!$AQ$6:$AQ$200,'Data Validation'!$V$3, 'Data entry'!$AP$6:$AP$200,'Data Validation'!$U$5, 'Data entry'!$BD$6:$BD$200,"&lt;&gt;*Negative*"))</f>
        <v>0</v>
      </c>
      <c r="AO18" s="15">
        <f>SUM(COUNTIFS('Data entry'!$R$6:$R$200,'Summary Data'!$A18,'Data entry'!$B$6:$B$200,{"Confirmed";"Probable"},'Data entry'!$AQ$6:$AQ$200,'Data Validation'!$V$3, 'Data entry'!$AP$6:$AP$200,'Data Validation'!$U$6, 'Data entry'!$BD$6:$BD$200,"&lt;&gt;*Negative*"))</f>
        <v>0</v>
      </c>
      <c r="AP18" s="15">
        <f>SUM(COUNTIFS('Data entry'!$R$6:$R$200,'Summary Data'!$A18,'Data entry'!$B$6:$B$200,{"Confirmed";"Probable"},'Data entry'!$AQ$6:$AQ$200,'Data Validation'!$V$4, 'Data entry'!$AP$6:$AP$200,'Data Validation'!$U$2, 'Data entry'!$BD$6:$BD$200,"&lt;&gt;*Negative*"))</f>
        <v>0</v>
      </c>
      <c r="AQ18" s="15">
        <f>SUM(COUNTIFS('Data entry'!$R$6:$R$200,'Summary Data'!$A18,'Data entry'!$B$6:$B$200,{"Confirmed";"Probable"},'Data entry'!$AQ$6:$AQ$200,'Data Validation'!$V$4, 'Data entry'!$AP$6:$AP$200,'Data Validation'!$U$3, 'Data entry'!$BD$6:$BD$200,"&lt;&gt;*Negative*"))</f>
        <v>0</v>
      </c>
      <c r="AR18" s="15">
        <f>SUM(COUNTIFS('Data entry'!$R$6:$R$200,'Summary Data'!$A18,'Data entry'!$B$6:$B$200,{"Confirmed";"Probable"},'Data entry'!$AQ$6:$AQ$200,'Data Validation'!$V$4, 'Data entry'!$AP$6:$AP$200,'Data Validation'!$U$4, 'Data entry'!$BD$6:$BD$200,"&lt;&gt;*Negative*"))</f>
        <v>0</v>
      </c>
      <c r="AS18" s="15">
        <f>SUM(COUNTIFS('Data entry'!$R$6:$R$200,'Summary Data'!$A18,'Data entry'!$B$6:$B$200,{"Confirmed";"Probable"},'Data entry'!$AQ$6:$AQ$200,'Data Validation'!$V$4, 'Data entry'!$AP$6:$AP$200,'Data Validation'!$U$5, 'Data entry'!$BD$6:$BD$200,"&lt;&gt;*Negative*"))</f>
        <v>0</v>
      </c>
      <c r="AT18" s="15">
        <f>SUM(COUNTIFS('Data entry'!$R$6:$R$200,'Summary Data'!$A18,'Data entry'!$B$6:$B$200,{"Confirmed";"Probable"},'Data entry'!$AQ$6:$AQ$200,'Data Validation'!$V$4, 'Data entry'!$AP$6:$AP$200,'Data Validation'!$U$6, 'Data entry'!$BD$6:$BD$200,"&lt;&gt;*Negative*"))</f>
        <v>0</v>
      </c>
      <c r="AU18" s="15">
        <f>SUM(COUNTIFS('Data entry'!$R$6:$R$200,'Summary Data'!$A18,'Data entry'!$B$6:$B$200,{"Confirmed";"Probable"},'Data entry'!$AQ$6:$AQ$200,'Data Validation'!$V$5, 'Data entry'!$AP$6:$AP$200,'Data Validation'!$U$2, 'Data entry'!$BD$6:$BD$200,"&lt;&gt;*Negative*"))</f>
        <v>0</v>
      </c>
      <c r="AV18" s="15">
        <f>SUM(COUNTIFS('Data entry'!$R$6:$R$200,'Summary Data'!$A18,'Data entry'!$B$6:$B$200,{"Confirmed";"Probable"},'Data entry'!$AQ$6:$AQ$200,'Data Validation'!$V$5, 'Data entry'!$AP$6:$AP$200,'Data Validation'!$U$3, 'Data entry'!$BD$6:$BD$200,"&lt;&gt;*Negative*"))</f>
        <v>0</v>
      </c>
      <c r="AW18" s="15">
        <f>SUM(COUNTIFS('Data entry'!$R$6:$R$200,'Summary Data'!$A18,'Data entry'!$B$6:$B$200,{"Confirmed";"Probable"},'Data entry'!$AQ$6:$AQ$200,'Data Validation'!$V$5, 'Data entry'!$AP$6:$AP$200,'Data Validation'!$U$4, 'Data entry'!$BD$6:$BD$200,"&lt;&gt;*Negative*"))</f>
        <v>0</v>
      </c>
      <c r="AX18" s="15">
        <f>SUM(COUNTIFS('Data entry'!$R$6:$R$200,'Summary Data'!$A18,'Data entry'!$B$6:$B$200,{"Confirmed";"Probable"},'Data entry'!$AQ$6:$AQ$200,'Data Validation'!$V$5, 'Data entry'!$AP$6:$AP$200,'Data Validation'!$U$5, 'Data entry'!$BD$6:$BD$200,"&lt;&gt;*Negative*"))</f>
        <v>0</v>
      </c>
      <c r="AY18" s="15">
        <f>SUM(COUNTIFS('Data entry'!$R$6:$R$200,'Summary Data'!$A18,'Data entry'!$B$6:$B$200,{"Confirmed";"Probable"},'Data entry'!$AQ$6:$AQ$200,'Data Validation'!$V$5, 'Data entry'!$AP$6:$AP$200,'Data Validation'!$U$6, 'Data entry'!$BD$6:$BD$200,"&lt;&gt;*Negative*"))</f>
        <v>0</v>
      </c>
      <c r="AZ18" s="15">
        <f>SUM(COUNTIFS('Data entry'!$R$6:$R$200,'Summary Data'!$A18,'Data entry'!$B$6:$B$200,{"Confirmed";"Probable"},'Data entry'!$AQ$6:$AQ$200,'Data Validation'!$V$6, 'Data entry'!$AP$6:$AP$200,'Data Validation'!$U$2, 'Data entry'!$BD$6:$BD$200,"&lt;&gt;*Negative*"))</f>
        <v>0</v>
      </c>
      <c r="BA18" s="15">
        <f>SUM(COUNTIFS('Data entry'!$R$6:$R$200,'Summary Data'!$A18,'Data entry'!$B$6:$B$200,{"Confirmed";"Probable"},'Data entry'!$AQ$6:$AQ$200,'Data Validation'!$V$6, 'Data entry'!$AP$6:$AP$200,'Data Validation'!$U$3, 'Data entry'!$BD$6:$BD$200,"&lt;&gt;*Negative*"))</f>
        <v>0</v>
      </c>
      <c r="BB18" s="15">
        <f>SUM(COUNTIFS('Data entry'!$R$6:$R$200,'Summary Data'!$A18,'Data entry'!$B$6:$B$200,{"Confirmed";"Probable"},'Data entry'!$AQ$6:$AQ$200,'Data Validation'!$V$6, 'Data entry'!$AP$6:$AP$200,'Data Validation'!$U$4, 'Data entry'!$BD$6:$BD$200,"&lt;&gt;*Negative*"))</f>
        <v>0</v>
      </c>
      <c r="BC18" s="15">
        <f>SUM(COUNTIFS('Data entry'!$R$6:$R$200,'Summary Data'!$A18,'Data entry'!$B$6:$B$200,{"Confirmed";"Probable"},'Data entry'!$AQ$6:$AQ$200,'Data Validation'!$V$6, 'Data entry'!$AP$6:$AP$200,'Data Validation'!$U$5, 'Data entry'!$BD$6:$BD$200,"&lt;&gt;*Negative*"))</f>
        <v>0</v>
      </c>
      <c r="BD18" s="15">
        <f>SUM(COUNTIFS('Data entry'!$R$6:$R$200,'Summary Data'!$A18,'Data entry'!$B$6:$B$200,{"Confirmed";"Probable"},'Data entry'!$AQ$6:$AQ$200,'Data Validation'!$V$6, 'Data entry'!$AP$6:$AP$200,'Data Validation'!$U$6, 'Data entry'!$BD$6:$BD$200,"&lt;&gt;*Negative*"))</f>
        <v>0</v>
      </c>
      <c r="BE18" s="15">
        <f>SUM(COUNTIFS('Data entry'!$R$6:$R$200,'Summary Data'!$A18,'Data entry'!$B$6:$B$200,{"Confirmed";"Probable"},'Data entry'!$AQ$6:$AQ$200,'Data Validation'!$V$7, 'Data entry'!$AP$6:$AP$200,'Data Validation'!$U$2, 'Data entry'!$BD$6:$BD$200,"&lt;&gt;*Negative*"))</f>
        <v>0</v>
      </c>
      <c r="BF18" s="15">
        <f>SUM(COUNTIFS('Data entry'!$R$6:$R$200,'Summary Data'!$A18,'Data entry'!$B$6:$B$200,{"Confirmed";"Probable"},'Data entry'!$AQ$6:$AQ$200,'Data Validation'!$V$7, 'Data entry'!$AP$6:$AP$200,'Data Validation'!$U$3, 'Data entry'!$BD$6:$BD$200,"&lt;&gt;*Negative*"))</f>
        <v>0</v>
      </c>
      <c r="BG18" s="15">
        <f>SUM(COUNTIFS('Data entry'!$R$6:$R$200,'Summary Data'!$A18,'Data entry'!$B$6:$B$200,{"Confirmed";"Probable"},'Data entry'!$AQ$6:$AQ$200,'Data Validation'!$V$7, 'Data entry'!$AP$6:$AP$200,'Data Validation'!$U$4, 'Data entry'!$BD$6:$BD$200,"&lt;&gt;*Negative*"))</f>
        <v>0</v>
      </c>
      <c r="BH18" s="15">
        <f>SUM(COUNTIFS('Data entry'!$R$6:$R$200,'Summary Data'!$A18,'Data entry'!$B$6:$B$200,{"Confirmed";"Probable"},'Data entry'!$AQ$6:$AQ$200,'Data Validation'!$V$7, 'Data entry'!$AP$6:$AP$200,'Data Validation'!$U$5, 'Data entry'!$BD$6:$BD$200,"&lt;&gt;*Negative*"))</f>
        <v>0</v>
      </c>
      <c r="BI18" s="15">
        <f>SUM(COUNTIFS('Data entry'!$R$6:$R$200,'Summary Data'!$A18,'Data entry'!$B$6:$B$200,{"Confirmed";"Probable"},'Data entry'!$AQ$6:$AQ$200,'Data Validation'!$V$7, 'Data entry'!$AP$6:$AP$200,'Data Validation'!$U$6, 'Data entry'!$BD$6:$BD$200,"&lt;&gt;*Negative*"))</f>
        <v>0</v>
      </c>
      <c r="BJ18" s="15">
        <f>SUM(COUNTIFS('Data entry'!$R$6:$R$200,'Summary Data'!$A18,'Data entry'!$B$6:$B$200,{"Confirmed";"Probable"},'Data entry'!$AQ$6:$AQ$200,'Data Validation'!$V$8, 'Data entry'!$AP$6:$AP$200,'Data Validation'!$U$2, 'Data entry'!$BD$6:$BD$200,"&lt;&gt;*Negative*"))</f>
        <v>0</v>
      </c>
      <c r="BK18" s="15">
        <f>SUM(COUNTIFS('Data entry'!$R$6:$R$200,'Summary Data'!$A18,'Data entry'!$B$6:$B$200,{"Confirmed";"Probable"},'Data entry'!$AQ$6:$AQ$200,'Data Validation'!$V$8, 'Data entry'!$AP$6:$AP$200,'Data Validation'!$U$3, 'Data entry'!$BD$6:$BD$200,"&lt;&gt;*Negative*"))</f>
        <v>0</v>
      </c>
      <c r="BL18" s="15">
        <f>SUM(COUNTIFS('Data entry'!$R$6:$R$200,'Summary Data'!$A18,'Data entry'!$B$6:$B$200,{"Confirmed";"Probable"},'Data entry'!$AQ$6:$AQ$200,'Data Validation'!$V$8, 'Data entry'!$AP$6:$AP$200,'Data Validation'!$U$4, 'Data entry'!$BD$6:$BD$200,"&lt;&gt;*Negative*"))</f>
        <v>0</v>
      </c>
      <c r="BM18" s="15">
        <f>SUM(COUNTIFS('Data entry'!$R$6:$R$200,'Summary Data'!$A18,'Data entry'!$B$6:$B$200,{"Confirmed";"Probable"},'Data entry'!$AQ$6:$AQ$200,'Data Validation'!$V$8, 'Data entry'!$AP$6:$AP$200,'Data Validation'!$U$5, 'Data entry'!$BD$6:$BD$200,"&lt;&gt;*Negative*"))</f>
        <v>0</v>
      </c>
      <c r="BN18" s="15">
        <f>SUM(COUNTIFS('Data entry'!$R$6:$R$200,'Summary Data'!$A18,'Data entry'!$B$6:$B$200,{"Confirmed";"Probable"},'Data entry'!$AQ$6:$AQ$200,'Data Validation'!$V$8, 'Data entry'!$AP$6:$AP$200,'Data Validation'!$U$6, 'Data entry'!$BD$6:$BD$200,"&lt;&gt;*Negative*"))</f>
        <v>0</v>
      </c>
      <c r="BO18" s="15">
        <f>SUM(COUNTIFS('Data entry'!$R$6:$R$200,'Summary Data'!$A18,'Data entry'!$B$6:$B$200,{"Confirmed";"Probable"},'Data entry'!$AQ$6:$AQ$200,'Data Validation'!$V$9, 'Data entry'!$AP$6:$AP$200,'Data Validation'!$U$2, 'Data entry'!$BD$6:$BD$200,"&lt;&gt;*Negative*"))</f>
        <v>0</v>
      </c>
      <c r="BP18" s="15">
        <f>SUM(COUNTIFS('Data entry'!$R$6:$R$200,'Summary Data'!$A18,'Data entry'!$B$6:$B$200,{"Confirmed";"Probable"},'Data entry'!$AQ$6:$AQ$200,'Data Validation'!$V$9, 'Data entry'!$AP$6:$AP$200,'Data Validation'!$U$3, 'Data entry'!$BD$6:$BD$200,"&lt;&gt;*Negative*"))</f>
        <v>0</v>
      </c>
      <c r="BQ18" s="15">
        <f>SUM(COUNTIFS('Data entry'!$R$6:$R$200,'Summary Data'!$A18,'Data entry'!$B$6:$B$200,{"Confirmed";"Probable"},'Data entry'!$AQ$6:$AQ$200,'Data Validation'!$V$9, 'Data entry'!$AP$6:$AP$200,'Data Validation'!$U$4, 'Data entry'!$BD$6:$BD$200,"&lt;&gt;*Negative*"))</f>
        <v>0</v>
      </c>
      <c r="BR18" s="15">
        <f>SUM(COUNTIFS('Data entry'!$R$6:$R$200,'Summary Data'!$A18,'Data entry'!$B$6:$B$200,{"Confirmed";"Probable"},'Data entry'!$AQ$6:$AQ$200,'Data Validation'!$V$9, 'Data entry'!$AP$6:$AP$200,'Data Validation'!$U$5, 'Data entry'!$BD$6:$BD$200,"&lt;&gt;*Negative*"))</f>
        <v>0</v>
      </c>
      <c r="BS18" s="15">
        <f>SUM(COUNTIFS('Data entry'!$R$6:$R$200,'Summary Data'!$A18,'Data entry'!$B$6:$B$200,{"Confirmed";"Probable"},'Data entry'!$AQ$6:$AQ$200,'Data Validation'!$V$9, 'Data entry'!$AP$6:$AP$200,'Data Validation'!$U$6, 'Data entry'!$BD$6:$BD$200,"&lt;&gt;*Negative*"))</f>
        <v>0</v>
      </c>
      <c r="BT18" s="15">
        <f>SUM(COUNTIFS('Data entry'!$R$6:$R$200,'Summary Data'!$A18,'Data entry'!$B$6:$B$200,{"Confirmed";"Probable"},'Data entry'!$AQ$6:$AQ$200,'Data Validation'!$V$10, 'Data entry'!$AP$6:$AP$200,'Data Validation'!$U$2, 'Data entry'!$BD$6:$BD$200,"&lt;&gt;*Negative*"))</f>
        <v>0</v>
      </c>
      <c r="BU18" s="15">
        <f>SUM(COUNTIFS('Data entry'!$R$6:$R$200,'Summary Data'!$A18,'Data entry'!$B$6:$B$200,{"Confirmed";"Probable"},'Data entry'!$AQ$6:$AQ$200,'Data Validation'!$V$10, 'Data entry'!$AP$6:$AP$200,'Data Validation'!$U$3, 'Data entry'!$BD$6:$BD$200,"&lt;&gt;*Negative*"))</f>
        <v>0</v>
      </c>
      <c r="BV18" s="15">
        <f>SUM(COUNTIFS('Data entry'!$R$6:$R$200,'Summary Data'!$A18,'Data entry'!$B$6:$B$200,{"Confirmed";"Probable"},'Data entry'!$AQ$6:$AQ$200,'Data Validation'!$V$10, 'Data entry'!$AP$6:$AP$200,'Data Validation'!$U$4, 'Data entry'!$BD$6:$BD$200,"&lt;&gt;*Negative*"))</f>
        <v>0</v>
      </c>
      <c r="BW18" s="15">
        <f>SUM(COUNTIFS('Data entry'!$R$6:$R$200,'Summary Data'!$A18,'Data entry'!$B$6:$B$200,{"Confirmed";"Probable"},'Data entry'!$AQ$6:$AQ$200,'Data Validation'!$V$10, 'Data entry'!$AP$6:$AP$200,'Data Validation'!$U$5, 'Data entry'!$BD$6:$BD$200,"&lt;&gt;*Negative*"))</f>
        <v>0</v>
      </c>
      <c r="BX18" s="15">
        <f>SUM(COUNTIFS('Data entry'!$R$6:$R$200,'Summary Data'!$A18,'Data entry'!$B$6:$B$200,{"Confirmed";"Probable"},'Data entry'!$AQ$6:$AQ$200,'Data Validation'!$V$10, 'Data entry'!$AP$6:$AP$200,'Data Validation'!$U$6, 'Data entry'!$BD$6:$BD$200,"&lt;&gt;*Negative*"))</f>
        <v>0</v>
      </c>
      <c r="BY18" s="15">
        <f>SUM(COUNTIFS('Data entry'!$R$6:$R$200,'Summary Data'!$A18,'Data entry'!$B$6:$B$200,{"Confirmed";"Probable"},'Data entry'!$AQ$6:$AQ$200,'Data Validation'!$V$11, 'Data entry'!$AP$6:$AP$200,'Data Validation'!$U$2, 'Data entry'!$BD$6:$BD$200,"&lt;&gt;*Negative*"))</f>
        <v>0</v>
      </c>
      <c r="BZ18" s="15">
        <f>SUM(COUNTIFS('Data entry'!$R$6:$R$200,'Summary Data'!$A18,'Data entry'!$B$6:$B$200,{"Confirmed";"Probable"},'Data entry'!$AQ$6:$AQ$200,'Data Validation'!$V$11, 'Data entry'!$AP$6:$AP$200,'Data Validation'!$U$3, 'Data entry'!$BD$6:$BD$200,"&lt;&gt;*Negative*"))</f>
        <v>0</v>
      </c>
      <c r="CA18" s="15">
        <f>SUM(COUNTIFS('Data entry'!$R$6:$R$200,'Summary Data'!$A18,'Data entry'!$B$6:$B$200,{"Confirmed";"Probable"},'Data entry'!$AQ$6:$AQ$200,'Data Validation'!$V$11, 'Data entry'!$AP$6:$AP$200,'Data Validation'!$U$4, 'Data entry'!$BD$6:$BD$200,"&lt;&gt;*Negative*"))</f>
        <v>0</v>
      </c>
      <c r="CB18" s="15">
        <f>SUM(COUNTIFS('Data entry'!$R$6:$R$200,'Summary Data'!$A18,'Data entry'!$B$6:$B$200,{"Confirmed";"Probable"},'Data entry'!$AQ$6:$AQ$200,'Data Validation'!$V$11, 'Data entry'!$AP$6:$AP$200,'Data Validation'!$U$5, 'Data entry'!$BD$6:$BD$200,"&lt;&gt;*Negative*"))</f>
        <v>0</v>
      </c>
      <c r="CC18" s="15">
        <f>SUM(COUNTIFS('Data entry'!$R$6:$R$200,'Summary Data'!$A18,'Data entry'!$B$6:$B$200,{"Confirmed";"Probable"},'Data entry'!$AQ$6:$AQ$200,'Data Validation'!$V$11, 'Data entry'!$AP$6:$AP$200,'Data Validation'!$U$6, 'Data entry'!$BD$6:$BD$200,"&lt;&gt;*Negative*"))</f>
        <v>0</v>
      </c>
    </row>
    <row r="19" spans="1:81" x14ac:dyDescent="0.25">
      <c r="A19" s="12">
        <f t="shared" si="5"/>
        <v>7</v>
      </c>
      <c r="B19" s="13">
        <f t="shared" si="2"/>
        <v>0</v>
      </c>
      <c r="C19" s="13">
        <f>COUNTIFS('Data entry'!$R$6:$R$200,$A19,'Data entry'!$B$6:$B$200,"Confirmed",'Data entry'!$BD$6:$BD$200,"&lt;&gt;*Negative*")</f>
        <v>0</v>
      </c>
      <c r="D19" s="13">
        <f>COUNTIFS('Data entry'!$R$6:$R$200,$A19,'Data entry'!$B$6:$B$200,"Probable",'Data entry'!$BD$6:$BD$200,"&lt;&gt;*Negative*")</f>
        <v>0</v>
      </c>
      <c r="E19" s="13">
        <f>COUNTIFS('Data entry'!$R$6:$R$200,$A19,'Data entry'!$B$6:$B$200,"DNM")</f>
        <v>0</v>
      </c>
      <c r="F19" s="13">
        <f>SUM(COUNTIFS('Data entry'!$R$6:$R$200,'Summary Data'!$A19,'Data entry'!$B$6:$B$200,{"Confirmed";"Probable"},'Data entry'!$AO$6:$AO$200,$F$10, 'Data entry'!$BD$6:$BD$200,"&lt;&gt;*Negative*"))</f>
        <v>0</v>
      </c>
      <c r="G19" s="13">
        <f>SUM(COUNTIFS('Data entry'!$R$6:$R$200,'Summary Data'!$A19,'Data entry'!$B$6:$B$200,{"Confirmed";"Probable"},'Data entry'!$AO$6:$AO$200,$G$10, 'Data entry'!$BD$6:$BD$200,"&lt;&gt;*Negative*"))</f>
        <v>0</v>
      </c>
      <c r="H19" s="13">
        <f>SUM(COUNTIFS('Data entry'!$R$6:$R$200,'Summary Data'!$A19,'Data entry'!$B$6:$B$200,{"Confirmed";"Probable"},'Data entry'!$AO$6:$AO$200,$H$10, 'Data entry'!$BD$6:$BD$200,"&lt;&gt;*Negative*"))</f>
        <v>0</v>
      </c>
      <c r="I19" s="13">
        <f>SUM(COUNTIFS('Data entry'!$R$6:$R$200,'Summary Data'!$A19,'Data entry'!$B$6:$B$200,{"Confirmed";"Probable"},'Data entry'!$AO$6:$AO$200,$I$10, 'Data entry'!$BD$6:$BD$200,"&lt;&gt;*Negative*"))</f>
        <v>0</v>
      </c>
      <c r="J19" s="13">
        <f>SUM(COUNTIFS('Data entry'!$R$6:$R$200,'Summary Data'!$A19,'Data entry'!$B$6:$B$200,{"Confirmed";"Probable"},'Data entry'!$AO$6:$AO$200,$J$10, 'Data entry'!$BD$6:$BD$200,"&lt;&gt;*Negative*"))</f>
        <v>0</v>
      </c>
      <c r="K19" s="13">
        <f>SUM(COUNTIFS('Data entry'!$R$6:$R$200,'Summary Data'!$A19,'Data entry'!$B$6:$B$200,{"Confirmed";"Probable"},'Data entry'!$AO$6:$AO$200,$K$10, 'Data entry'!$BD$6:$BD$200,"&lt;&gt;*Negative*"))</f>
        <v>0</v>
      </c>
      <c r="L19" s="13">
        <f>SUM(COUNTIFS('Data entry'!$R$6:$R$200,'Summary Data'!$A19,'Data entry'!$B$6:$B$200,{"Confirmed";"Probable"},'Data entry'!$AO$6:$AO$200,$L$10, 'Data entry'!$BD$6:$BD$200,"&lt;&gt;*Negative*"))</f>
        <v>0</v>
      </c>
      <c r="M19" s="13">
        <f>SUM(COUNTIFS('Data entry'!$R$6:$R$200,'Summary Data'!$A19,'Data entry'!$B$6:$B$200,{"Confirmed";"Probable"},'Data entry'!$AO$6:$AO$200,$M$10, 'Data entry'!$BD$6:$BD$200,"&lt;&gt;*Negative*"))</f>
        <v>0</v>
      </c>
      <c r="N19" s="13">
        <f>SUM(COUNTIFS('Data entry'!$R$6:$R$200,'Summary Data'!$A19,'Data entry'!$B$6:$B$200,{"Confirmed";"Probable"},'Data entry'!$AO$6:$AO$200,$N$10, 'Data entry'!$BD$6:$BD$200,"&lt;&gt;*Negative*"))</f>
        <v>0</v>
      </c>
      <c r="O19" s="15">
        <f t="shared" si="3"/>
        <v>0</v>
      </c>
      <c r="P19" s="15">
        <f t="shared" si="4"/>
        <v>0</v>
      </c>
      <c r="Q19" s="15">
        <f>SUM(COUNTIFS('Data entry'!$R$6:$R$200,'Summary Data'!$A19,'Data entry'!$B$6:$B$200,{"Confirmed";"Probable"},'Data entry'!$AP$6:$AP$200,'Data Validation'!$U$2, 'Data entry'!$BD$6:$BD$200,"&lt;&gt;*Negative*"))</f>
        <v>0</v>
      </c>
      <c r="R19" s="15">
        <f>SUM(COUNTIFS('Data entry'!$R$6:$R$200,'Summary Data'!$A19,'Data entry'!$B$6:$B$200,{"Confirmed";"Probable"},'Data entry'!$AP$6:$AP$200,'Data Validation'!$U$3, 'Data entry'!$BD$6:$BD$200,"&lt;&gt;*Negative*"))</f>
        <v>0</v>
      </c>
      <c r="S19" s="15">
        <f>SUM(COUNTIFS('Data entry'!$R$6:$R$200,'Summary Data'!$A19,'Data entry'!$B$6:$B$200,{"Confirmed";"Probable"},'Data entry'!$AP$6:$AP$200,'Data Validation'!$U$4, 'Data entry'!$BD$6:$BD$200,"&lt;&gt;*Negative*"))</f>
        <v>0</v>
      </c>
      <c r="T19" s="15">
        <f>SUM(COUNTIFS('Data entry'!$R$6:$R$200,'Summary Data'!$A19,'Data entry'!$B$6:$B$200,{"Confirmed";"Probable"},'Data entry'!$AP$6:$AP$200,'Data Validation'!$U$5, 'Data entry'!$BD$6:$BD$200,"&lt;&gt;*Negative*"))</f>
        <v>0</v>
      </c>
      <c r="U19" s="15">
        <f>SUM(COUNTIFS('Data entry'!$R$6:$R$200,'Summary Data'!$A19,'Data entry'!$B$6:$B$200,{"Confirmed";"Probable"},'Data entry'!$AP$6:$AP$200,'Data Validation'!$U$6, 'Data entry'!$BD$6:$BD$200,"&lt;&gt;*Negative*"))</f>
        <v>0</v>
      </c>
      <c r="V19" s="15">
        <f>SUM(COUNTIFS('Data entry'!$R$6:$R$200,'Summary Data'!$A19,'Data entry'!$B$6:$B$200,{"Confirmed";"Probable"},'Data entry'!$AQ$6:$AQ$200,'Data Validation'!$V$2, 'Data entry'!$BD$6:$BD$200,"&lt;&gt;*Negative*"))</f>
        <v>0</v>
      </c>
      <c r="W19" s="15">
        <f>SUM(COUNTIFS('Data entry'!$R$6:$R$200,'Summary Data'!$A19,'Data entry'!$B$6:$B$200,{"Confirmed";"Probable"},'Data entry'!$AQ$6:$AQ$200,'Data Validation'!$V$3, 'Data entry'!$BD$6:$BD$200,"&lt;&gt;*Negative*"))</f>
        <v>0</v>
      </c>
      <c r="X19" s="15">
        <f>SUM(COUNTIFS('Data entry'!$R$6:$R$200,'Summary Data'!$A19,'Data entry'!$B$6:$B$200,{"Confirmed";"Probable"},'Data entry'!$AQ$6:$AQ$200,'Data Validation'!$V$4, 'Data entry'!$BD$6:$BD$200,"&lt;&gt;*Negative*"))</f>
        <v>0</v>
      </c>
      <c r="Y19" s="15">
        <f>SUM(COUNTIFS('Data entry'!$R$6:$R$200,'Summary Data'!$A19,'Data entry'!$B$6:$B$200,{"Confirmed";"Probable"},'Data entry'!$AQ$6:$AQ$200,'Data Validation'!$V$5, 'Data entry'!$BD$6:$BD$200,"&lt;&gt;*Negative*"))</f>
        <v>0</v>
      </c>
      <c r="Z19" s="15">
        <f>SUM(COUNTIFS('Data entry'!$R$6:$R$200,'Summary Data'!$A19,'Data entry'!$B$6:$B$200,{"Confirmed";"Probable"},'Data entry'!$AQ$6:$AQ$200,'Data Validation'!$V$6, 'Data entry'!$BD$6:$BD$200,"&lt;&gt;*Negative*"))</f>
        <v>0</v>
      </c>
      <c r="AA19" s="15">
        <f>SUM(COUNTIFS('Data entry'!$R$6:$R$200,'Summary Data'!$A19,'Data entry'!$B$6:$B$200,{"Confirmed";"Probable"},'Data entry'!$AQ$6:$AQ$200,'Data Validation'!$V$7, 'Data entry'!$BD$6:$BD$200,"&lt;&gt;*Negative*"))</f>
        <v>0</v>
      </c>
      <c r="AB19" s="15">
        <f>SUM(COUNTIFS('Data entry'!$R$6:$R$200,'Summary Data'!$A19,'Data entry'!$B$6:$B$200,{"Confirmed";"Probable"},'Data entry'!$AQ$6:$AQ$200,'Data Validation'!$V$8, 'Data entry'!$BD$6:$BD$200,"&lt;&gt;*Negative*"))</f>
        <v>0</v>
      </c>
      <c r="AC19" s="15">
        <f>SUM(COUNTIFS('Data entry'!$R$6:$R$200,'Summary Data'!$A19,'Data entry'!$B$6:$B$200,{"Confirmed";"Probable"},'Data entry'!$AQ$6:$AQ$200,'Data Validation'!$V$9, 'Data entry'!$BD$6:$BD$200,"&lt;&gt;*Negative*"))</f>
        <v>0</v>
      </c>
      <c r="AD19" s="15">
        <f>SUM(COUNTIFS('Data entry'!$R$6:$R$200,'Summary Data'!$A19,'Data entry'!$B$6:$B$200,{"Confirmed";"Probable"},'Data entry'!$AQ$6:$AQ$200,'Data Validation'!$V$10, 'Data entry'!$BD$6:$BD$200,"&lt;&gt;*Negative*"))</f>
        <v>0</v>
      </c>
      <c r="AE19" s="15">
        <f>SUM(COUNTIFS('Data entry'!$R$6:$R$200,'Summary Data'!$A19,'Data entry'!$B$6:$B$200,{"Confirmed";"Probable"},'Data entry'!$AQ$6:$AQ$200,'Data Validation'!$V$11, 'Data entry'!$BD$6:$BD$200,"&lt;&gt;*Negative*"))</f>
        <v>0</v>
      </c>
      <c r="AF19" s="15">
        <f>SUM(COUNTIFS('Data entry'!$R$6:$R$200,'Summary Data'!$A19,'Data entry'!$B$6:$B$200,{"Confirmed";"Probable"},'Data entry'!$AQ$6:$AQ$200,'Data Validation'!$V$2, 'Data entry'!$AP$6:$AP$200,'Data Validation'!$U$2, 'Data entry'!$BD$6:$BD$200,"&lt;&gt;*Negative*"))</f>
        <v>0</v>
      </c>
      <c r="AG19" s="15">
        <f>SUM(COUNTIFS('Data entry'!$R$6:$R$200,'Summary Data'!$A19,'Data entry'!$B$6:$B$200,{"Confirmed";"Probable"},'Data entry'!$AQ$6:$AQ$200,'Data Validation'!$V$2, 'Data entry'!$AP$6:$AP$200,'Data Validation'!$U$3, 'Data entry'!$BD$6:$BD$200,"&lt;&gt;*Negative*"))</f>
        <v>0</v>
      </c>
      <c r="AH19" s="15">
        <f>SUM(COUNTIFS('Data entry'!$R$6:$R$200,'Summary Data'!$A19,'Data entry'!$B$6:$B$200,{"Confirmed";"Probable"},'Data entry'!$AQ$6:$AQ$200,'Data Validation'!$V$2, 'Data entry'!$AP$6:$AP$200,'Data Validation'!$U$4, 'Data entry'!$BD$6:$BD$200,"&lt;&gt;*Negative*"))</f>
        <v>0</v>
      </c>
      <c r="AI19" s="15">
        <f>SUM(COUNTIFS('Data entry'!$R$6:$R$200,'Summary Data'!$A19,'Data entry'!$B$6:$B$200,{"Confirmed";"Probable"},'Data entry'!$AQ$6:$AQ$200,'Data Validation'!$V$2, 'Data entry'!$AP$6:$AP$200,'Data Validation'!$U$5, 'Data entry'!$BD$6:$BD$200,"&lt;&gt;*Negative*"))</f>
        <v>0</v>
      </c>
      <c r="AJ19" s="15">
        <f>SUM(COUNTIFS('Data entry'!$R$6:$R$200,'Summary Data'!$A19,'Data entry'!$B$6:$B$200,{"Confirmed";"Probable"},'Data entry'!$AQ$6:$AQ$200,'Data Validation'!$V$2, 'Data entry'!$AP$6:$AP$200,'Data Validation'!$U$6, 'Data entry'!$BD$6:$BD$200,"&lt;&gt;*Negative*"))</f>
        <v>0</v>
      </c>
      <c r="AK19" s="15">
        <f>SUM(COUNTIFS('Data entry'!$R$6:$R$200,'Summary Data'!$A19,'Data entry'!$B$6:$B$200,{"Confirmed";"Probable"},'Data entry'!$AQ$6:$AQ$200,'Data Validation'!$V$3, 'Data entry'!$AP$6:$AP$200,'Data Validation'!$U$2, 'Data entry'!$BD$6:$BD$200,"&lt;&gt;*Negative*"))</f>
        <v>0</v>
      </c>
      <c r="AL19" s="15">
        <f>SUM(COUNTIFS('Data entry'!$R$6:$R$200,'Summary Data'!$A19,'Data entry'!$B$6:$B$200,{"Confirmed";"Probable"},'Data entry'!$AQ$6:$AQ$200,'Data Validation'!$V$3, 'Data entry'!$AP$6:$AP$200,'Data Validation'!$U$3, 'Data entry'!$BD$6:$BD$200,"&lt;&gt;*Negative*"))</f>
        <v>0</v>
      </c>
      <c r="AM19" s="15">
        <f>SUM(COUNTIFS('Data entry'!$R$6:$R$200,'Summary Data'!$A19,'Data entry'!$B$6:$B$200,{"Confirmed";"Probable"},'Data entry'!$AQ$6:$AQ$200,'Data Validation'!$V$3, 'Data entry'!$AP$6:$AP$200,'Data Validation'!$U$4, 'Data entry'!$BD$6:$BD$200,"&lt;&gt;*Negative*"))</f>
        <v>0</v>
      </c>
      <c r="AN19" s="15">
        <f>SUM(COUNTIFS('Data entry'!$R$6:$R$200,'Summary Data'!$A19,'Data entry'!$B$6:$B$200,{"Confirmed";"Probable"},'Data entry'!$AQ$6:$AQ$200,'Data Validation'!$V$3, 'Data entry'!$AP$6:$AP$200,'Data Validation'!$U$5, 'Data entry'!$BD$6:$BD$200,"&lt;&gt;*Negative*"))</f>
        <v>0</v>
      </c>
      <c r="AO19" s="15">
        <f>SUM(COUNTIFS('Data entry'!$R$6:$R$200,'Summary Data'!$A19,'Data entry'!$B$6:$B$200,{"Confirmed";"Probable"},'Data entry'!$AQ$6:$AQ$200,'Data Validation'!$V$3, 'Data entry'!$AP$6:$AP$200,'Data Validation'!$U$6, 'Data entry'!$BD$6:$BD$200,"&lt;&gt;*Negative*"))</f>
        <v>0</v>
      </c>
      <c r="AP19" s="15">
        <f>SUM(COUNTIFS('Data entry'!$R$6:$R$200,'Summary Data'!$A19,'Data entry'!$B$6:$B$200,{"Confirmed";"Probable"},'Data entry'!$AQ$6:$AQ$200,'Data Validation'!$V$4, 'Data entry'!$AP$6:$AP$200,'Data Validation'!$U$2, 'Data entry'!$BD$6:$BD$200,"&lt;&gt;*Negative*"))</f>
        <v>0</v>
      </c>
      <c r="AQ19" s="15">
        <f>SUM(COUNTIFS('Data entry'!$R$6:$R$200,'Summary Data'!$A19,'Data entry'!$B$6:$B$200,{"Confirmed";"Probable"},'Data entry'!$AQ$6:$AQ$200,'Data Validation'!$V$4, 'Data entry'!$AP$6:$AP$200,'Data Validation'!$U$3, 'Data entry'!$BD$6:$BD$200,"&lt;&gt;*Negative*"))</f>
        <v>0</v>
      </c>
      <c r="AR19" s="15">
        <f>SUM(COUNTIFS('Data entry'!$R$6:$R$200,'Summary Data'!$A19,'Data entry'!$B$6:$B$200,{"Confirmed";"Probable"},'Data entry'!$AQ$6:$AQ$200,'Data Validation'!$V$4, 'Data entry'!$AP$6:$AP$200,'Data Validation'!$U$4, 'Data entry'!$BD$6:$BD$200,"&lt;&gt;*Negative*"))</f>
        <v>0</v>
      </c>
      <c r="AS19" s="15">
        <f>SUM(COUNTIFS('Data entry'!$R$6:$R$200,'Summary Data'!$A19,'Data entry'!$B$6:$B$200,{"Confirmed";"Probable"},'Data entry'!$AQ$6:$AQ$200,'Data Validation'!$V$4, 'Data entry'!$AP$6:$AP$200,'Data Validation'!$U$5, 'Data entry'!$BD$6:$BD$200,"&lt;&gt;*Negative*"))</f>
        <v>0</v>
      </c>
      <c r="AT19" s="15">
        <f>SUM(COUNTIFS('Data entry'!$R$6:$R$200,'Summary Data'!$A19,'Data entry'!$B$6:$B$200,{"Confirmed";"Probable"},'Data entry'!$AQ$6:$AQ$200,'Data Validation'!$V$4, 'Data entry'!$AP$6:$AP$200,'Data Validation'!$U$6, 'Data entry'!$BD$6:$BD$200,"&lt;&gt;*Negative*"))</f>
        <v>0</v>
      </c>
      <c r="AU19" s="15">
        <f>SUM(COUNTIFS('Data entry'!$R$6:$R$200,'Summary Data'!$A19,'Data entry'!$B$6:$B$200,{"Confirmed";"Probable"},'Data entry'!$AQ$6:$AQ$200,'Data Validation'!$V$5, 'Data entry'!$AP$6:$AP$200,'Data Validation'!$U$2, 'Data entry'!$BD$6:$BD$200,"&lt;&gt;*Negative*"))</f>
        <v>0</v>
      </c>
      <c r="AV19" s="15">
        <f>SUM(COUNTIFS('Data entry'!$R$6:$R$200,'Summary Data'!$A19,'Data entry'!$B$6:$B$200,{"Confirmed";"Probable"},'Data entry'!$AQ$6:$AQ$200,'Data Validation'!$V$5, 'Data entry'!$AP$6:$AP$200,'Data Validation'!$U$3, 'Data entry'!$BD$6:$BD$200,"&lt;&gt;*Negative*"))</f>
        <v>0</v>
      </c>
      <c r="AW19" s="15">
        <f>SUM(COUNTIFS('Data entry'!$R$6:$R$200,'Summary Data'!$A19,'Data entry'!$B$6:$B$200,{"Confirmed";"Probable"},'Data entry'!$AQ$6:$AQ$200,'Data Validation'!$V$5, 'Data entry'!$AP$6:$AP$200,'Data Validation'!$U$4, 'Data entry'!$BD$6:$BD$200,"&lt;&gt;*Negative*"))</f>
        <v>0</v>
      </c>
      <c r="AX19" s="15">
        <f>SUM(COUNTIFS('Data entry'!$R$6:$R$200,'Summary Data'!$A19,'Data entry'!$B$6:$B$200,{"Confirmed";"Probable"},'Data entry'!$AQ$6:$AQ$200,'Data Validation'!$V$5, 'Data entry'!$AP$6:$AP$200,'Data Validation'!$U$5, 'Data entry'!$BD$6:$BD$200,"&lt;&gt;*Negative*"))</f>
        <v>0</v>
      </c>
      <c r="AY19" s="15">
        <f>SUM(COUNTIFS('Data entry'!$R$6:$R$200,'Summary Data'!$A19,'Data entry'!$B$6:$B$200,{"Confirmed";"Probable"},'Data entry'!$AQ$6:$AQ$200,'Data Validation'!$V$5, 'Data entry'!$AP$6:$AP$200,'Data Validation'!$U$6, 'Data entry'!$BD$6:$BD$200,"&lt;&gt;*Negative*"))</f>
        <v>0</v>
      </c>
      <c r="AZ19" s="15">
        <f>SUM(COUNTIFS('Data entry'!$R$6:$R$200,'Summary Data'!$A19,'Data entry'!$B$6:$B$200,{"Confirmed";"Probable"},'Data entry'!$AQ$6:$AQ$200,'Data Validation'!$V$6, 'Data entry'!$AP$6:$AP$200,'Data Validation'!$U$2, 'Data entry'!$BD$6:$BD$200,"&lt;&gt;*Negative*"))</f>
        <v>0</v>
      </c>
      <c r="BA19" s="15">
        <f>SUM(COUNTIFS('Data entry'!$R$6:$R$200,'Summary Data'!$A19,'Data entry'!$B$6:$B$200,{"Confirmed";"Probable"},'Data entry'!$AQ$6:$AQ$200,'Data Validation'!$V$6, 'Data entry'!$AP$6:$AP$200,'Data Validation'!$U$3, 'Data entry'!$BD$6:$BD$200,"&lt;&gt;*Negative*"))</f>
        <v>0</v>
      </c>
      <c r="BB19" s="15">
        <f>SUM(COUNTIFS('Data entry'!$R$6:$R$200,'Summary Data'!$A19,'Data entry'!$B$6:$B$200,{"Confirmed";"Probable"},'Data entry'!$AQ$6:$AQ$200,'Data Validation'!$V$6, 'Data entry'!$AP$6:$AP$200,'Data Validation'!$U$4, 'Data entry'!$BD$6:$BD$200,"&lt;&gt;*Negative*"))</f>
        <v>0</v>
      </c>
      <c r="BC19" s="15">
        <f>SUM(COUNTIFS('Data entry'!$R$6:$R$200,'Summary Data'!$A19,'Data entry'!$B$6:$B$200,{"Confirmed";"Probable"},'Data entry'!$AQ$6:$AQ$200,'Data Validation'!$V$6, 'Data entry'!$AP$6:$AP$200,'Data Validation'!$U$5, 'Data entry'!$BD$6:$BD$200,"&lt;&gt;*Negative*"))</f>
        <v>0</v>
      </c>
      <c r="BD19" s="15">
        <f>SUM(COUNTIFS('Data entry'!$R$6:$R$200,'Summary Data'!$A19,'Data entry'!$B$6:$B$200,{"Confirmed";"Probable"},'Data entry'!$AQ$6:$AQ$200,'Data Validation'!$V$6, 'Data entry'!$AP$6:$AP$200,'Data Validation'!$U$6, 'Data entry'!$BD$6:$BD$200,"&lt;&gt;*Negative*"))</f>
        <v>0</v>
      </c>
      <c r="BE19" s="15">
        <f>SUM(COUNTIFS('Data entry'!$R$6:$R$200,'Summary Data'!$A19,'Data entry'!$B$6:$B$200,{"Confirmed";"Probable"},'Data entry'!$AQ$6:$AQ$200,'Data Validation'!$V$7, 'Data entry'!$AP$6:$AP$200,'Data Validation'!$U$2, 'Data entry'!$BD$6:$BD$200,"&lt;&gt;*Negative*"))</f>
        <v>0</v>
      </c>
      <c r="BF19" s="15">
        <f>SUM(COUNTIFS('Data entry'!$R$6:$R$200,'Summary Data'!$A19,'Data entry'!$B$6:$B$200,{"Confirmed";"Probable"},'Data entry'!$AQ$6:$AQ$200,'Data Validation'!$V$7, 'Data entry'!$AP$6:$AP$200,'Data Validation'!$U$3, 'Data entry'!$BD$6:$BD$200,"&lt;&gt;*Negative*"))</f>
        <v>0</v>
      </c>
      <c r="BG19" s="15">
        <f>SUM(COUNTIFS('Data entry'!$R$6:$R$200,'Summary Data'!$A19,'Data entry'!$B$6:$B$200,{"Confirmed";"Probable"},'Data entry'!$AQ$6:$AQ$200,'Data Validation'!$V$7, 'Data entry'!$AP$6:$AP$200,'Data Validation'!$U$4, 'Data entry'!$BD$6:$BD$200,"&lt;&gt;*Negative*"))</f>
        <v>0</v>
      </c>
      <c r="BH19" s="15">
        <f>SUM(COUNTIFS('Data entry'!$R$6:$R$200,'Summary Data'!$A19,'Data entry'!$B$6:$B$200,{"Confirmed";"Probable"},'Data entry'!$AQ$6:$AQ$200,'Data Validation'!$V$7, 'Data entry'!$AP$6:$AP$200,'Data Validation'!$U$5, 'Data entry'!$BD$6:$BD$200,"&lt;&gt;*Negative*"))</f>
        <v>0</v>
      </c>
      <c r="BI19" s="15">
        <f>SUM(COUNTIFS('Data entry'!$R$6:$R$200,'Summary Data'!$A19,'Data entry'!$B$6:$B$200,{"Confirmed";"Probable"},'Data entry'!$AQ$6:$AQ$200,'Data Validation'!$V$7, 'Data entry'!$AP$6:$AP$200,'Data Validation'!$U$6, 'Data entry'!$BD$6:$BD$200,"&lt;&gt;*Negative*"))</f>
        <v>0</v>
      </c>
      <c r="BJ19" s="15">
        <f>SUM(COUNTIFS('Data entry'!$R$6:$R$200,'Summary Data'!$A19,'Data entry'!$B$6:$B$200,{"Confirmed";"Probable"},'Data entry'!$AQ$6:$AQ$200,'Data Validation'!$V$8, 'Data entry'!$AP$6:$AP$200,'Data Validation'!$U$2, 'Data entry'!$BD$6:$BD$200,"&lt;&gt;*Negative*"))</f>
        <v>0</v>
      </c>
      <c r="BK19" s="15">
        <f>SUM(COUNTIFS('Data entry'!$R$6:$R$200,'Summary Data'!$A19,'Data entry'!$B$6:$B$200,{"Confirmed";"Probable"},'Data entry'!$AQ$6:$AQ$200,'Data Validation'!$V$8, 'Data entry'!$AP$6:$AP$200,'Data Validation'!$U$3, 'Data entry'!$BD$6:$BD$200,"&lt;&gt;*Negative*"))</f>
        <v>0</v>
      </c>
      <c r="BL19" s="15">
        <f>SUM(COUNTIFS('Data entry'!$R$6:$R$200,'Summary Data'!$A19,'Data entry'!$B$6:$B$200,{"Confirmed";"Probable"},'Data entry'!$AQ$6:$AQ$200,'Data Validation'!$V$8, 'Data entry'!$AP$6:$AP$200,'Data Validation'!$U$4, 'Data entry'!$BD$6:$BD$200,"&lt;&gt;*Negative*"))</f>
        <v>0</v>
      </c>
      <c r="BM19" s="15">
        <f>SUM(COUNTIFS('Data entry'!$R$6:$R$200,'Summary Data'!$A19,'Data entry'!$B$6:$B$200,{"Confirmed";"Probable"},'Data entry'!$AQ$6:$AQ$200,'Data Validation'!$V$8, 'Data entry'!$AP$6:$AP$200,'Data Validation'!$U$5, 'Data entry'!$BD$6:$BD$200,"&lt;&gt;*Negative*"))</f>
        <v>0</v>
      </c>
      <c r="BN19" s="15">
        <f>SUM(COUNTIFS('Data entry'!$R$6:$R$200,'Summary Data'!$A19,'Data entry'!$B$6:$B$200,{"Confirmed";"Probable"},'Data entry'!$AQ$6:$AQ$200,'Data Validation'!$V$8, 'Data entry'!$AP$6:$AP$200,'Data Validation'!$U$6, 'Data entry'!$BD$6:$BD$200,"&lt;&gt;*Negative*"))</f>
        <v>0</v>
      </c>
      <c r="BO19" s="15">
        <f>SUM(COUNTIFS('Data entry'!$R$6:$R$200,'Summary Data'!$A19,'Data entry'!$B$6:$B$200,{"Confirmed";"Probable"},'Data entry'!$AQ$6:$AQ$200,'Data Validation'!$V$9, 'Data entry'!$AP$6:$AP$200,'Data Validation'!$U$2, 'Data entry'!$BD$6:$BD$200,"&lt;&gt;*Negative*"))</f>
        <v>0</v>
      </c>
      <c r="BP19" s="15">
        <f>SUM(COUNTIFS('Data entry'!$R$6:$R$200,'Summary Data'!$A19,'Data entry'!$B$6:$B$200,{"Confirmed";"Probable"},'Data entry'!$AQ$6:$AQ$200,'Data Validation'!$V$9, 'Data entry'!$AP$6:$AP$200,'Data Validation'!$U$3, 'Data entry'!$BD$6:$BD$200,"&lt;&gt;*Negative*"))</f>
        <v>0</v>
      </c>
      <c r="BQ19" s="15">
        <f>SUM(COUNTIFS('Data entry'!$R$6:$R$200,'Summary Data'!$A19,'Data entry'!$B$6:$B$200,{"Confirmed";"Probable"},'Data entry'!$AQ$6:$AQ$200,'Data Validation'!$V$9, 'Data entry'!$AP$6:$AP$200,'Data Validation'!$U$4, 'Data entry'!$BD$6:$BD$200,"&lt;&gt;*Negative*"))</f>
        <v>0</v>
      </c>
      <c r="BR19" s="15">
        <f>SUM(COUNTIFS('Data entry'!$R$6:$R$200,'Summary Data'!$A19,'Data entry'!$B$6:$B$200,{"Confirmed";"Probable"},'Data entry'!$AQ$6:$AQ$200,'Data Validation'!$V$9, 'Data entry'!$AP$6:$AP$200,'Data Validation'!$U$5, 'Data entry'!$BD$6:$BD$200,"&lt;&gt;*Negative*"))</f>
        <v>0</v>
      </c>
      <c r="BS19" s="15">
        <f>SUM(COUNTIFS('Data entry'!$R$6:$R$200,'Summary Data'!$A19,'Data entry'!$B$6:$B$200,{"Confirmed";"Probable"},'Data entry'!$AQ$6:$AQ$200,'Data Validation'!$V$9, 'Data entry'!$AP$6:$AP$200,'Data Validation'!$U$6, 'Data entry'!$BD$6:$BD$200,"&lt;&gt;*Negative*"))</f>
        <v>0</v>
      </c>
      <c r="BT19" s="15">
        <f>SUM(COUNTIFS('Data entry'!$R$6:$R$200,'Summary Data'!$A19,'Data entry'!$B$6:$B$200,{"Confirmed";"Probable"},'Data entry'!$AQ$6:$AQ$200,'Data Validation'!$V$10, 'Data entry'!$AP$6:$AP$200,'Data Validation'!$U$2, 'Data entry'!$BD$6:$BD$200,"&lt;&gt;*Negative*"))</f>
        <v>0</v>
      </c>
      <c r="BU19" s="15">
        <f>SUM(COUNTIFS('Data entry'!$R$6:$R$200,'Summary Data'!$A19,'Data entry'!$B$6:$B$200,{"Confirmed";"Probable"},'Data entry'!$AQ$6:$AQ$200,'Data Validation'!$V$10, 'Data entry'!$AP$6:$AP$200,'Data Validation'!$U$3, 'Data entry'!$BD$6:$BD$200,"&lt;&gt;*Negative*"))</f>
        <v>0</v>
      </c>
      <c r="BV19" s="15">
        <f>SUM(COUNTIFS('Data entry'!$R$6:$R$200,'Summary Data'!$A19,'Data entry'!$B$6:$B$200,{"Confirmed";"Probable"},'Data entry'!$AQ$6:$AQ$200,'Data Validation'!$V$10, 'Data entry'!$AP$6:$AP$200,'Data Validation'!$U$4, 'Data entry'!$BD$6:$BD$200,"&lt;&gt;*Negative*"))</f>
        <v>0</v>
      </c>
      <c r="BW19" s="15">
        <f>SUM(COUNTIFS('Data entry'!$R$6:$R$200,'Summary Data'!$A19,'Data entry'!$B$6:$B$200,{"Confirmed";"Probable"},'Data entry'!$AQ$6:$AQ$200,'Data Validation'!$V$10, 'Data entry'!$AP$6:$AP$200,'Data Validation'!$U$5, 'Data entry'!$BD$6:$BD$200,"&lt;&gt;*Negative*"))</f>
        <v>0</v>
      </c>
      <c r="BX19" s="15">
        <f>SUM(COUNTIFS('Data entry'!$R$6:$R$200,'Summary Data'!$A19,'Data entry'!$B$6:$B$200,{"Confirmed";"Probable"},'Data entry'!$AQ$6:$AQ$200,'Data Validation'!$V$10, 'Data entry'!$AP$6:$AP$200,'Data Validation'!$U$6, 'Data entry'!$BD$6:$BD$200,"&lt;&gt;*Negative*"))</f>
        <v>0</v>
      </c>
      <c r="BY19" s="15">
        <f>SUM(COUNTIFS('Data entry'!$R$6:$R$200,'Summary Data'!$A19,'Data entry'!$B$6:$B$200,{"Confirmed";"Probable"},'Data entry'!$AQ$6:$AQ$200,'Data Validation'!$V$11, 'Data entry'!$AP$6:$AP$200,'Data Validation'!$U$2, 'Data entry'!$BD$6:$BD$200,"&lt;&gt;*Negative*"))</f>
        <v>0</v>
      </c>
      <c r="BZ19" s="15">
        <f>SUM(COUNTIFS('Data entry'!$R$6:$R$200,'Summary Data'!$A19,'Data entry'!$B$6:$B$200,{"Confirmed";"Probable"},'Data entry'!$AQ$6:$AQ$200,'Data Validation'!$V$11, 'Data entry'!$AP$6:$AP$200,'Data Validation'!$U$3, 'Data entry'!$BD$6:$BD$200,"&lt;&gt;*Negative*"))</f>
        <v>0</v>
      </c>
      <c r="CA19" s="15">
        <f>SUM(COUNTIFS('Data entry'!$R$6:$R$200,'Summary Data'!$A19,'Data entry'!$B$6:$B$200,{"Confirmed";"Probable"},'Data entry'!$AQ$6:$AQ$200,'Data Validation'!$V$11, 'Data entry'!$AP$6:$AP$200,'Data Validation'!$U$4, 'Data entry'!$BD$6:$BD$200,"&lt;&gt;*Negative*"))</f>
        <v>0</v>
      </c>
      <c r="CB19" s="15">
        <f>SUM(COUNTIFS('Data entry'!$R$6:$R$200,'Summary Data'!$A19,'Data entry'!$B$6:$B$200,{"Confirmed";"Probable"},'Data entry'!$AQ$6:$AQ$200,'Data Validation'!$V$11, 'Data entry'!$AP$6:$AP$200,'Data Validation'!$U$5, 'Data entry'!$BD$6:$BD$200,"&lt;&gt;*Negative*"))</f>
        <v>0</v>
      </c>
      <c r="CC19" s="15">
        <f>SUM(COUNTIFS('Data entry'!$R$6:$R$200,'Summary Data'!$A19,'Data entry'!$B$6:$B$200,{"Confirmed";"Probable"},'Data entry'!$AQ$6:$AQ$200,'Data Validation'!$V$11, 'Data entry'!$AP$6:$AP$200,'Data Validation'!$U$6, 'Data entry'!$BD$6:$BD$200,"&lt;&gt;*Negative*"))</f>
        <v>0</v>
      </c>
    </row>
    <row r="20" spans="1:81" x14ac:dyDescent="0.25">
      <c r="A20" s="12">
        <f t="shared" si="5"/>
        <v>8</v>
      </c>
      <c r="B20" s="13">
        <f t="shared" si="2"/>
        <v>0</v>
      </c>
      <c r="C20" s="13">
        <f>COUNTIFS('Data entry'!$R$6:$R$200,$A20,'Data entry'!$B$6:$B$200,"Confirmed",'Data entry'!$BD$6:$BD$200,"&lt;&gt;*Negative*")</f>
        <v>0</v>
      </c>
      <c r="D20" s="13">
        <f>COUNTIFS('Data entry'!$R$6:$R$200,$A20,'Data entry'!$B$6:$B$200,"Probable",'Data entry'!$BD$6:$BD$200,"&lt;&gt;*Negative*")</f>
        <v>0</v>
      </c>
      <c r="E20" s="13">
        <f>COUNTIFS('Data entry'!$R$6:$R$200,$A20,'Data entry'!$B$6:$B$200,"DNM")</f>
        <v>0</v>
      </c>
      <c r="F20" s="13">
        <f>SUM(COUNTIFS('Data entry'!$R$6:$R$200,'Summary Data'!$A20,'Data entry'!$B$6:$B$200,{"Confirmed";"Probable"},'Data entry'!$AO$6:$AO$200,$F$10, 'Data entry'!$BD$6:$BD$200,"&lt;&gt;*Negative*"))</f>
        <v>0</v>
      </c>
      <c r="G20" s="13">
        <f>SUM(COUNTIFS('Data entry'!$R$6:$R$200,'Summary Data'!$A20,'Data entry'!$B$6:$B$200,{"Confirmed";"Probable"},'Data entry'!$AO$6:$AO$200,$G$10, 'Data entry'!$BD$6:$BD$200,"&lt;&gt;*Negative*"))</f>
        <v>0</v>
      </c>
      <c r="H20" s="13">
        <f>SUM(COUNTIFS('Data entry'!$R$6:$R$200,'Summary Data'!$A20,'Data entry'!$B$6:$B$200,{"Confirmed";"Probable"},'Data entry'!$AO$6:$AO$200,$H$10, 'Data entry'!$BD$6:$BD$200,"&lt;&gt;*Negative*"))</f>
        <v>0</v>
      </c>
      <c r="I20" s="13">
        <f>SUM(COUNTIFS('Data entry'!$R$6:$R$200,'Summary Data'!$A20,'Data entry'!$B$6:$B$200,{"Confirmed";"Probable"},'Data entry'!$AO$6:$AO$200,$I$10, 'Data entry'!$BD$6:$BD$200,"&lt;&gt;*Negative*"))</f>
        <v>0</v>
      </c>
      <c r="J20" s="13">
        <f>SUM(COUNTIFS('Data entry'!$R$6:$R$200,'Summary Data'!$A20,'Data entry'!$B$6:$B$200,{"Confirmed";"Probable"},'Data entry'!$AO$6:$AO$200,$J$10, 'Data entry'!$BD$6:$BD$200,"&lt;&gt;*Negative*"))</f>
        <v>0</v>
      </c>
      <c r="K20" s="13">
        <f>SUM(COUNTIFS('Data entry'!$R$6:$R$200,'Summary Data'!$A20,'Data entry'!$B$6:$B$200,{"Confirmed";"Probable"},'Data entry'!$AO$6:$AO$200,$K$10, 'Data entry'!$BD$6:$BD$200,"&lt;&gt;*Negative*"))</f>
        <v>0</v>
      </c>
      <c r="L20" s="13">
        <f>SUM(COUNTIFS('Data entry'!$R$6:$R$200,'Summary Data'!$A20,'Data entry'!$B$6:$B$200,{"Confirmed";"Probable"},'Data entry'!$AO$6:$AO$200,$L$10, 'Data entry'!$BD$6:$BD$200,"&lt;&gt;*Negative*"))</f>
        <v>0</v>
      </c>
      <c r="M20" s="13">
        <f>SUM(COUNTIFS('Data entry'!$R$6:$R$200,'Summary Data'!$A20,'Data entry'!$B$6:$B$200,{"Confirmed";"Probable"},'Data entry'!$AO$6:$AO$200,$M$10, 'Data entry'!$BD$6:$BD$200,"&lt;&gt;*Negative*"))</f>
        <v>0</v>
      </c>
      <c r="N20" s="13">
        <f>SUM(COUNTIFS('Data entry'!$R$6:$R$200,'Summary Data'!$A20,'Data entry'!$B$6:$B$200,{"Confirmed";"Probable"},'Data entry'!$AO$6:$AO$200,$N$10, 'Data entry'!$BD$6:$BD$200,"&lt;&gt;*Negative*"))</f>
        <v>0</v>
      </c>
      <c r="O20" s="15">
        <f t="shared" si="3"/>
        <v>0</v>
      </c>
      <c r="P20" s="15">
        <f t="shared" si="4"/>
        <v>0</v>
      </c>
      <c r="Q20" s="15">
        <f>SUM(COUNTIFS('Data entry'!$R$6:$R$200,'Summary Data'!$A20,'Data entry'!$B$6:$B$200,{"Confirmed";"Probable"},'Data entry'!$AP$6:$AP$200,'Data Validation'!$U$2, 'Data entry'!$BD$6:$BD$200,"&lt;&gt;*Negative*"))</f>
        <v>0</v>
      </c>
      <c r="R20" s="15">
        <f>SUM(COUNTIFS('Data entry'!$R$6:$R$200,'Summary Data'!$A20,'Data entry'!$B$6:$B$200,{"Confirmed";"Probable"},'Data entry'!$AP$6:$AP$200,'Data Validation'!$U$3, 'Data entry'!$BD$6:$BD$200,"&lt;&gt;*Negative*"))</f>
        <v>0</v>
      </c>
      <c r="S20" s="15">
        <f>SUM(COUNTIFS('Data entry'!$R$6:$R$200,'Summary Data'!$A20,'Data entry'!$B$6:$B$200,{"Confirmed";"Probable"},'Data entry'!$AP$6:$AP$200,'Data Validation'!$U$4, 'Data entry'!$BD$6:$BD$200,"&lt;&gt;*Negative*"))</f>
        <v>0</v>
      </c>
      <c r="T20" s="15">
        <f>SUM(COUNTIFS('Data entry'!$R$6:$R$200,'Summary Data'!$A20,'Data entry'!$B$6:$B$200,{"Confirmed";"Probable"},'Data entry'!$AP$6:$AP$200,'Data Validation'!$U$5, 'Data entry'!$BD$6:$BD$200,"&lt;&gt;*Negative*"))</f>
        <v>0</v>
      </c>
      <c r="U20" s="15">
        <f>SUM(COUNTIFS('Data entry'!$R$6:$R$200,'Summary Data'!$A20,'Data entry'!$B$6:$B$200,{"Confirmed";"Probable"},'Data entry'!$AP$6:$AP$200,'Data Validation'!$U$6, 'Data entry'!$BD$6:$BD$200,"&lt;&gt;*Negative*"))</f>
        <v>0</v>
      </c>
      <c r="V20" s="15">
        <f>SUM(COUNTIFS('Data entry'!$R$6:$R$200,'Summary Data'!$A20,'Data entry'!$B$6:$B$200,{"Confirmed";"Probable"},'Data entry'!$AQ$6:$AQ$200,'Data Validation'!$V$2, 'Data entry'!$BD$6:$BD$200,"&lt;&gt;*Negative*"))</f>
        <v>0</v>
      </c>
      <c r="W20" s="15">
        <f>SUM(COUNTIFS('Data entry'!$R$6:$R$200,'Summary Data'!$A20,'Data entry'!$B$6:$B$200,{"Confirmed";"Probable"},'Data entry'!$AQ$6:$AQ$200,'Data Validation'!$V$3, 'Data entry'!$BD$6:$BD$200,"&lt;&gt;*Negative*"))</f>
        <v>0</v>
      </c>
      <c r="X20" s="15">
        <f>SUM(COUNTIFS('Data entry'!$R$6:$R$200,'Summary Data'!$A20,'Data entry'!$B$6:$B$200,{"Confirmed";"Probable"},'Data entry'!$AQ$6:$AQ$200,'Data Validation'!$V$4, 'Data entry'!$BD$6:$BD$200,"&lt;&gt;*Negative*"))</f>
        <v>0</v>
      </c>
      <c r="Y20" s="15">
        <f>SUM(COUNTIFS('Data entry'!$R$6:$R$200,'Summary Data'!$A20,'Data entry'!$B$6:$B$200,{"Confirmed";"Probable"},'Data entry'!$AQ$6:$AQ$200,'Data Validation'!$V$5, 'Data entry'!$BD$6:$BD$200,"&lt;&gt;*Negative*"))</f>
        <v>0</v>
      </c>
      <c r="Z20" s="15">
        <f>SUM(COUNTIFS('Data entry'!$R$6:$R$200,'Summary Data'!$A20,'Data entry'!$B$6:$B$200,{"Confirmed";"Probable"},'Data entry'!$AQ$6:$AQ$200,'Data Validation'!$V$6, 'Data entry'!$BD$6:$BD$200,"&lt;&gt;*Negative*"))</f>
        <v>0</v>
      </c>
      <c r="AA20" s="15">
        <f>SUM(COUNTIFS('Data entry'!$R$6:$R$200,'Summary Data'!$A20,'Data entry'!$B$6:$B$200,{"Confirmed";"Probable"},'Data entry'!$AQ$6:$AQ$200,'Data Validation'!$V$7, 'Data entry'!$BD$6:$BD$200,"&lt;&gt;*Negative*"))</f>
        <v>0</v>
      </c>
      <c r="AB20" s="15">
        <f>SUM(COUNTIFS('Data entry'!$R$6:$R$200,'Summary Data'!$A20,'Data entry'!$B$6:$B$200,{"Confirmed";"Probable"},'Data entry'!$AQ$6:$AQ$200,'Data Validation'!$V$8, 'Data entry'!$BD$6:$BD$200,"&lt;&gt;*Negative*"))</f>
        <v>0</v>
      </c>
      <c r="AC20" s="15">
        <f>SUM(COUNTIFS('Data entry'!$R$6:$R$200,'Summary Data'!$A20,'Data entry'!$B$6:$B$200,{"Confirmed";"Probable"},'Data entry'!$AQ$6:$AQ$200,'Data Validation'!$V$9, 'Data entry'!$BD$6:$BD$200,"&lt;&gt;*Negative*"))</f>
        <v>0</v>
      </c>
      <c r="AD20" s="15">
        <f>SUM(COUNTIFS('Data entry'!$R$6:$R$200,'Summary Data'!$A20,'Data entry'!$B$6:$B$200,{"Confirmed";"Probable"},'Data entry'!$AQ$6:$AQ$200,'Data Validation'!$V$10, 'Data entry'!$BD$6:$BD$200,"&lt;&gt;*Negative*"))</f>
        <v>0</v>
      </c>
      <c r="AE20" s="15">
        <f>SUM(COUNTIFS('Data entry'!$R$6:$R$200,'Summary Data'!$A20,'Data entry'!$B$6:$B$200,{"Confirmed";"Probable"},'Data entry'!$AQ$6:$AQ$200,'Data Validation'!$V$11, 'Data entry'!$BD$6:$BD$200,"&lt;&gt;*Negative*"))</f>
        <v>0</v>
      </c>
      <c r="AF20" s="15">
        <f>SUM(COUNTIFS('Data entry'!$R$6:$R$200,'Summary Data'!$A20,'Data entry'!$B$6:$B$200,{"Confirmed";"Probable"},'Data entry'!$AQ$6:$AQ$200,'Data Validation'!$V$2, 'Data entry'!$AP$6:$AP$200,'Data Validation'!$U$2, 'Data entry'!$BD$6:$BD$200,"&lt;&gt;*Negative*"))</f>
        <v>0</v>
      </c>
      <c r="AG20" s="15">
        <f>SUM(COUNTIFS('Data entry'!$R$6:$R$200,'Summary Data'!$A20,'Data entry'!$B$6:$B$200,{"Confirmed";"Probable"},'Data entry'!$AQ$6:$AQ$200,'Data Validation'!$V$2, 'Data entry'!$AP$6:$AP$200,'Data Validation'!$U$3, 'Data entry'!$BD$6:$BD$200,"&lt;&gt;*Negative*"))</f>
        <v>0</v>
      </c>
      <c r="AH20" s="15">
        <f>SUM(COUNTIFS('Data entry'!$R$6:$R$200,'Summary Data'!$A20,'Data entry'!$B$6:$B$200,{"Confirmed";"Probable"},'Data entry'!$AQ$6:$AQ$200,'Data Validation'!$V$2, 'Data entry'!$AP$6:$AP$200,'Data Validation'!$U$4, 'Data entry'!$BD$6:$BD$200,"&lt;&gt;*Negative*"))</f>
        <v>0</v>
      </c>
      <c r="AI20" s="15">
        <f>SUM(COUNTIFS('Data entry'!$R$6:$R$200,'Summary Data'!$A20,'Data entry'!$B$6:$B$200,{"Confirmed";"Probable"},'Data entry'!$AQ$6:$AQ$200,'Data Validation'!$V$2, 'Data entry'!$AP$6:$AP$200,'Data Validation'!$U$5, 'Data entry'!$BD$6:$BD$200,"&lt;&gt;*Negative*"))</f>
        <v>0</v>
      </c>
      <c r="AJ20" s="15">
        <f>SUM(COUNTIFS('Data entry'!$R$6:$R$200,'Summary Data'!$A20,'Data entry'!$B$6:$B$200,{"Confirmed";"Probable"},'Data entry'!$AQ$6:$AQ$200,'Data Validation'!$V$2, 'Data entry'!$AP$6:$AP$200,'Data Validation'!$U$6, 'Data entry'!$BD$6:$BD$200,"&lt;&gt;*Negative*"))</f>
        <v>0</v>
      </c>
      <c r="AK20" s="15">
        <f>SUM(COUNTIFS('Data entry'!$R$6:$R$200,'Summary Data'!$A20,'Data entry'!$B$6:$B$200,{"Confirmed";"Probable"},'Data entry'!$AQ$6:$AQ$200,'Data Validation'!$V$3, 'Data entry'!$AP$6:$AP$200,'Data Validation'!$U$2, 'Data entry'!$BD$6:$BD$200,"&lt;&gt;*Negative*"))</f>
        <v>0</v>
      </c>
      <c r="AL20" s="15">
        <f>SUM(COUNTIFS('Data entry'!$R$6:$R$200,'Summary Data'!$A20,'Data entry'!$B$6:$B$200,{"Confirmed";"Probable"},'Data entry'!$AQ$6:$AQ$200,'Data Validation'!$V$3, 'Data entry'!$AP$6:$AP$200,'Data Validation'!$U$3, 'Data entry'!$BD$6:$BD$200,"&lt;&gt;*Negative*"))</f>
        <v>0</v>
      </c>
      <c r="AM20" s="15">
        <f>SUM(COUNTIFS('Data entry'!$R$6:$R$200,'Summary Data'!$A20,'Data entry'!$B$6:$B$200,{"Confirmed";"Probable"},'Data entry'!$AQ$6:$AQ$200,'Data Validation'!$V$3, 'Data entry'!$AP$6:$AP$200,'Data Validation'!$U$4, 'Data entry'!$BD$6:$BD$200,"&lt;&gt;*Negative*"))</f>
        <v>0</v>
      </c>
      <c r="AN20" s="15">
        <f>SUM(COUNTIFS('Data entry'!$R$6:$R$200,'Summary Data'!$A20,'Data entry'!$B$6:$B$200,{"Confirmed";"Probable"},'Data entry'!$AQ$6:$AQ$200,'Data Validation'!$V$3, 'Data entry'!$AP$6:$AP$200,'Data Validation'!$U$5, 'Data entry'!$BD$6:$BD$200,"&lt;&gt;*Negative*"))</f>
        <v>0</v>
      </c>
      <c r="AO20" s="15">
        <f>SUM(COUNTIFS('Data entry'!$R$6:$R$200,'Summary Data'!$A20,'Data entry'!$B$6:$B$200,{"Confirmed";"Probable"},'Data entry'!$AQ$6:$AQ$200,'Data Validation'!$V$3, 'Data entry'!$AP$6:$AP$200,'Data Validation'!$U$6, 'Data entry'!$BD$6:$BD$200,"&lt;&gt;*Negative*"))</f>
        <v>0</v>
      </c>
      <c r="AP20" s="15">
        <f>SUM(COUNTIFS('Data entry'!$R$6:$R$200,'Summary Data'!$A20,'Data entry'!$B$6:$B$200,{"Confirmed";"Probable"},'Data entry'!$AQ$6:$AQ$200,'Data Validation'!$V$4, 'Data entry'!$AP$6:$AP$200,'Data Validation'!$U$2, 'Data entry'!$BD$6:$BD$200,"&lt;&gt;*Negative*"))</f>
        <v>0</v>
      </c>
      <c r="AQ20" s="15">
        <f>SUM(COUNTIFS('Data entry'!$R$6:$R$200,'Summary Data'!$A20,'Data entry'!$B$6:$B$200,{"Confirmed";"Probable"},'Data entry'!$AQ$6:$AQ$200,'Data Validation'!$V$4, 'Data entry'!$AP$6:$AP$200,'Data Validation'!$U$3, 'Data entry'!$BD$6:$BD$200,"&lt;&gt;*Negative*"))</f>
        <v>0</v>
      </c>
      <c r="AR20" s="15">
        <f>SUM(COUNTIFS('Data entry'!$R$6:$R$200,'Summary Data'!$A20,'Data entry'!$B$6:$B$200,{"Confirmed";"Probable"},'Data entry'!$AQ$6:$AQ$200,'Data Validation'!$V$4, 'Data entry'!$AP$6:$AP$200,'Data Validation'!$U$4, 'Data entry'!$BD$6:$BD$200,"&lt;&gt;*Negative*"))</f>
        <v>0</v>
      </c>
      <c r="AS20" s="15">
        <f>SUM(COUNTIFS('Data entry'!$R$6:$R$200,'Summary Data'!$A20,'Data entry'!$B$6:$B$200,{"Confirmed";"Probable"},'Data entry'!$AQ$6:$AQ$200,'Data Validation'!$V$4, 'Data entry'!$AP$6:$AP$200,'Data Validation'!$U$5, 'Data entry'!$BD$6:$BD$200,"&lt;&gt;*Negative*"))</f>
        <v>0</v>
      </c>
      <c r="AT20" s="15">
        <f>SUM(COUNTIFS('Data entry'!$R$6:$R$200,'Summary Data'!$A20,'Data entry'!$B$6:$B$200,{"Confirmed";"Probable"},'Data entry'!$AQ$6:$AQ$200,'Data Validation'!$V$4, 'Data entry'!$AP$6:$AP$200,'Data Validation'!$U$6, 'Data entry'!$BD$6:$BD$200,"&lt;&gt;*Negative*"))</f>
        <v>0</v>
      </c>
      <c r="AU20" s="15">
        <f>SUM(COUNTIFS('Data entry'!$R$6:$R$200,'Summary Data'!$A20,'Data entry'!$B$6:$B$200,{"Confirmed";"Probable"},'Data entry'!$AQ$6:$AQ$200,'Data Validation'!$V$5, 'Data entry'!$AP$6:$AP$200,'Data Validation'!$U$2, 'Data entry'!$BD$6:$BD$200,"&lt;&gt;*Negative*"))</f>
        <v>0</v>
      </c>
      <c r="AV20" s="15">
        <f>SUM(COUNTIFS('Data entry'!$R$6:$R$200,'Summary Data'!$A20,'Data entry'!$B$6:$B$200,{"Confirmed";"Probable"},'Data entry'!$AQ$6:$AQ$200,'Data Validation'!$V$5, 'Data entry'!$AP$6:$AP$200,'Data Validation'!$U$3, 'Data entry'!$BD$6:$BD$200,"&lt;&gt;*Negative*"))</f>
        <v>0</v>
      </c>
      <c r="AW20" s="15">
        <f>SUM(COUNTIFS('Data entry'!$R$6:$R$200,'Summary Data'!$A20,'Data entry'!$B$6:$B$200,{"Confirmed";"Probable"},'Data entry'!$AQ$6:$AQ$200,'Data Validation'!$V$5, 'Data entry'!$AP$6:$AP$200,'Data Validation'!$U$4, 'Data entry'!$BD$6:$BD$200,"&lt;&gt;*Negative*"))</f>
        <v>0</v>
      </c>
      <c r="AX20" s="15">
        <f>SUM(COUNTIFS('Data entry'!$R$6:$R$200,'Summary Data'!$A20,'Data entry'!$B$6:$B$200,{"Confirmed";"Probable"},'Data entry'!$AQ$6:$AQ$200,'Data Validation'!$V$5, 'Data entry'!$AP$6:$AP$200,'Data Validation'!$U$5, 'Data entry'!$BD$6:$BD$200,"&lt;&gt;*Negative*"))</f>
        <v>0</v>
      </c>
      <c r="AY20" s="15">
        <f>SUM(COUNTIFS('Data entry'!$R$6:$R$200,'Summary Data'!$A20,'Data entry'!$B$6:$B$200,{"Confirmed";"Probable"},'Data entry'!$AQ$6:$AQ$200,'Data Validation'!$V$5, 'Data entry'!$AP$6:$AP$200,'Data Validation'!$U$6, 'Data entry'!$BD$6:$BD$200,"&lt;&gt;*Negative*"))</f>
        <v>0</v>
      </c>
      <c r="AZ20" s="15">
        <f>SUM(COUNTIFS('Data entry'!$R$6:$R$200,'Summary Data'!$A20,'Data entry'!$B$6:$B$200,{"Confirmed";"Probable"},'Data entry'!$AQ$6:$AQ$200,'Data Validation'!$V$6, 'Data entry'!$AP$6:$AP$200,'Data Validation'!$U$2, 'Data entry'!$BD$6:$BD$200,"&lt;&gt;*Negative*"))</f>
        <v>0</v>
      </c>
      <c r="BA20" s="15">
        <f>SUM(COUNTIFS('Data entry'!$R$6:$R$200,'Summary Data'!$A20,'Data entry'!$B$6:$B$200,{"Confirmed";"Probable"},'Data entry'!$AQ$6:$AQ$200,'Data Validation'!$V$6, 'Data entry'!$AP$6:$AP$200,'Data Validation'!$U$3, 'Data entry'!$BD$6:$BD$200,"&lt;&gt;*Negative*"))</f>
        <v>0</v>
      </c>
      <c r="BB20" s="15">
        <f>SUM(COUNTIFS('Data entry'!$R$6:$R$200,'Summary Data'!$A20,'Data entry'!$B$6:$B$200,{"Confirmed";"Probable"},'Data entry'!$AQ$6:$AQ$200,'Data Validation'!$V$6, 'Data entry'!$AP$6:$AP$200,'Data Validation'!$U$4, 'Data entry'!$BD$6:$BD$200,"&lt;&gt;*Negative*"))</f>
        <v>0</v>
      </c>
      <c r="BC20" s="15">
        <f>SUM(COUNTIFS('Data entry'!$R$6:$R$200,'Summary Data'!$A20,'Data entry'!$B$6:$B$200,{"Confirmed";"Probable"},'Data entry'!$AQ$6:$AQ$200,'Data Validation'!$V$6, 'Data entry'!$AP$6:$AP$200,'Data Validation'!$U$5, 'Data entry'!$BD$6:$BD$200,"&lt;&gt;*Negative*"))</f>
        <v>0</v>
      </c>
      <c r="BD20" s="15">
        <f>SUM(COUNTIFS('Data entry'!$R$6:$R$200,'Summary Data'!$A20,'Data entry'!$B$6:$B$200,{"Confirmed";"Probable"},'Data entry'!$AQ$6:$AQ$200,'Data Validation'!$V$6, 'Data entry'!$AP$6:$AP$200,'Data Validation'!$U$6, 'Data entry'!$BD$6:$BD$200,"&lt;&gt;*Negative*"))</f>
        <v>0</v>
      </c>
      <c r="BE20" s="15">
        <f>SUM(COUNTIFS('Data entry'!$R$6:$R$200,'Summary Data'!$A20,'Data entry'!$B$6:$B$200,{"Confirmed";"Probable"},'Data entry'!$AQ$6:$AQ$200,'Data Validation'!$V$7, 'Data entry'!$AP$6:$AP$200,'Data Validation'!$U$2, 'Data entry'!$BD$6:$BD$200,"&lt;&gt;*Negative*"))</f>
        <v>0</v>
      </c>
      <c r="BF20" s="15">
        <f>SUM(COUNTIFS('Data entry'!$R$6:$R$200,'Summary Data'!$A20,'Data entry'!$B$6:$B$200,{"Confirmed";"Probable"},'Data entry'!$AQ$6:$AQ$200,'Data Validation'!$V$7, 'Data entry'!$AP$6:$AP$200,'Data Validation'!$U$3, 'Data entry'!$BD$6:$BD$200,"&lt;&gt;*Negative*"))</f>
        <v>0</v>
      </c>
      <c r="BG20" s="15">
        <f>SUM(COUNTIFS('Data entry'!$R$6:$R$200,'Summary Data'!$A20,'Data entry'!$B$6:$B$200,{"Confirmed";"Probable"},'Data entry'!$AQ$6:$AQ$200,'Data Validation'!$V$7, 'Data entry'!$AP$6:$AP$200,'Data Validation'!$U$4, 'Data entry'!$BD$6:$BD$200,"&lt;&gt;*Negative*"))</f>
        <v>0</v>
      </c>
      <c r="BH20" s="15">
        <f>SUM(COUNTIFS('Data entry'!$R$6:$R$200,'Summary Data'!$A20,'Data entry'!$B$6:$B$200,{"Confirmed";"Probable"},'Data entry'!$AQ$6:$AQ$200,'Data Validation'!$V$7, 'Data entry'!$AP$6:$AP$200,'Data Validation'!$U$5, 'Data entry'!$BD$6:$BD$200,"&lt;&gt;*Negative*"))</f>
        <v>0</v>
      </c>
      <c r="BI20" s="15">
        <f>SUM(COUNTIFS('Data entry'!$R$6:$R$200,'Summary Data'!$A20,'Data entry'!$B$6:$B$200,{"Confirmed";"Probable"},'Data entry'!$AQ$6:$AQ$200,'Data Validation'!$V$7, 'Data entry'!$AP$6:$AP$200,'Data Validation'!$U$6, 'Data entry'!$BD$6:$BD$200,"&lt;&gt;*Negative*"))</f>
        <v>0</v>
      </c>
      <c r="BJ20" s="15">
        <f>SUM(COUNTIFS('Data entry'!$R$6:$R$200,'Summary Data'!$A20,'Data entry'!$B$6:$B$200,{"Confirmed";"Probable"},'Data entry'!$AQ$6:$AQ$200,'Data Validation'!$V$8, 'Data entry'!$AP$6:$AP$200,'Data Validation'!$U$2, 'Data entry'!$BD$6:$BD$200,"&lt;&gt;*Negative*"))</f>
        <v>0</v>
      </c>
      <c r="BK20" s="15">
        <f>SUM(COUNTIFS('Data entry'!$R$6:$R$200,'Summary Data'!$A20,'Data entry'!$B$6:$B$200,{"Confirmed";"Probable"},'Data entry'!$AQ$6:$AQ$200,'Data Validation'!$V$8, 'Data entry'!$AP$6:$AP$200,'Data Validation'!$U$3, 'Data entry'!$BD$6:$BD$200,"&lt;&gt;*Negative*"))</f>
        <v>0</v>
      </c>
      <c r="BL20" s="15">
        <f>SUM(COUNTIFS('Data entry'!$R$6:$R$200,'Summary Data'!$A20,'Data entry'!$B$6:$B$200,{"Confirmed";"Probable"},'Data entry'!$AQ$6:$AQ$200,'Data Validation'!$V$8, 'Data entry'!$AP$6:$AP$200,'Data Validation'!$U$4, 'Data entry'!$BD$6:$BD$200,"&lt;&gt;*Negative*"))</f>
        <v>0</v>
      </c>
      <c r="BM20" s="15">
        <f>SUM(COUNTIFS('Data entry'!$R$6:$R$200,'Summary Data'!$A20,'Data entry'!$B$6:$B$200,{"Confirmed";"Probable"},'Data entry'!$AQ$6:$AQ$200,'Data Validation'!$V$8, 'Data entry'!$AP$6:$AP$200,'Data Validation'!$U$5, 'Data entry'!$BD$6:$BD$200,"&lt;&gt;*Negative*"))</f>
        <v>0</v>
      </c>
      <c r="BN20" s="15">
        <f>SUM(COUNTIFS('Data entry'!$R$6:$R$200,'Summary Data'!$A20,'Data entry'!$B$6:$B$200,{"Confirmed";"Probable"},'Data entry'!$AQ$6:$AQ$200,'Data Validation'!$V$8, 'Data entry'!$AP$6:$AP$200,'Data Validation'!$U$6, 'Data entry'!$BD$6:$BD$200,"&lt;&gt;*Negative*"))</f>
        <v>0</v>
      </c>
      <c r="BO20" s="15">
        <f>SUM(COUNTIFS('Data entry'!$R$6:$R$200,'Summary Data'!$A20,'Data entry'!$B$6:$B$200,{"Confirmed";"Probable"},'Data entry'!$AQ$6:$AQ$200,'Data Validation'!$V$9, 'Data entry'!$AP$6:$AP$200,'Data Validation'!$U$2, 'Data entry'!$BD$6:$BD$200,"&lt;&gt;*Negative*"))</f>
        <v>0</v>
      </c>
      <c r="BP20" s="15">
        <f>SUM(COUNTIFS('Data entry'!$R$6:$R$200,'Summary Data'!$A20,'Data entry'!$B$6:$B$200,{"Confirmed";"Probable"},'Data entry'!$AQ$6:$AQ$200,'Data Validation'!$V$9, 'Data entry'!$AP$6:$AP$200,'Data Validation'!$U$3, 'Data entry'!$BD$6:$BD$200,"&lt;&gt;*Negative*"))</f>
        <v>0</v>
      </c>
      <c r="BQ20" s="15">
        <f>SUM(COUNTIFS('Data entry'!$R$6:$R$200,'Summary Data'!$A20,'Data entry'!$B$6:$B$200,{"Confirmed";"Probable"},'Data entry'!$AQ$6:$AQ$200,'Data Validation'!$V$9, 'Data entry'!$AP$6:$AP$200,'Data Validation'!$U$4, 'Data entry'!$BD$6:$BD$200,"&lt;&gt;*Negative*"))</f>
        <v>0</v>
      </c>
      <c r="BR20" s="15">
        <f>SUM(COUNTIFS('Data entry'!$R$6:$R$200,'Summary Data'!$A20,'Data entry'!$B$6:$B$200,{"Confirmed";"Probable"},'Data entry'!$AQ$6:$AQ$200,'Data Validation'!$V$9, 'Data entry'!$AP$6:$AP$200,'Data Validation'!$U$5, 'Data entry'!$BD$6:$BD$200,"&lt;&gt;*Negative*"))</f>
        <v>0</v>
      </c>
      <c r="BS20" s="15">
        <f>SUM(COUNTIFS('Data entry'!$R$6:$R$200,'Summary Data'!$A20,'Data entry'!$B$6:$B$200,{"Confirmed";"Probable"},'Data entry'!$AQ$6:$AQ$200,'Data Validation'!$V$9, 'Data entry'!$AP$6:$AP$200,'Data Validation'!$U$6, 'Data entry'!$BD$6:$BD$200,"&lt;&gt;*Negative*"))</f>
        <v>0</v>
      </c>
      <c r="BT20" s="15">
        <f>SUM(COUNTIFS('Data entry'!$R$6:$R$200,'Summary Data'!$A20,'Data entry'!$B$6:$B$200,{"Confirmed";"Probable"},'Data entry'!$AQ$6:$AQ$200,'Data Validation'!$V$10, 'Data entry'!$AP$6:$AP$200,'Data Validation'!$U$2, 'Data entry'!$BD$6:$BD$200,"&lt;&gt;*Negative*"))</f>
        <v>0</v>
      </c>
      <c r="BU20" s="15">
        <f>SUM(COUNTIFS('Data entry'!$R$6:$R$200,'Summary Data'!$A20,'Data entry'!$B$6:$B$200,{"Confirmed";"Probable"},'Data entry'!$AQ$6:$AQ$200,'Data Validation'!$V$10, 'Data entry'!$AP$6:$AP$200,'Data Validation'!$U$3, 'Data entry'!$BD$6:$BD$200,"&lt;&gt;*Negative*"))</f>
        <v>0</v>
      </c>
      <c r="BV20" s="15">
        <f>SUM(COUNTIFS('Data entry'!$R$6:$R$200,'Summary Data'!$A20,'Data entry'!$B$6:$B$200,{"Confirmed";"Probable"},'Data entry'!$AQ$6:$AQ$200,'Data Validation'!$V$10, 'Data entry'!$AP$6:$AP$200,'Data Validation'!$U$4, 'Data entry'!$BD$6:$BD$200,"&lt;&gt;*Negative*"))</f>
        <v>0</v>
      </c>
      <c r="BW20" s="15">
        <f>SUM(COUNTIFS('Data entry'!$R$6:$R$200,'Summary Data'!$A20,'Data entry'!$B$6:$B$200,{"Confirmed";"Probable"},'Data entry'!$AQ$6:$AQ$200,'Data Validation'!$V$10, 'Data entry'!$AP$6:$AP$200,'Data Validation'!$U$5, 'Data entry'!$BD$6:$BD$200,"&lt;&gt;*Negative*"))</f>
        <v>0</v>
      </c>
      <c r="BX20" s="15">
        <f>SUM(COUNTIFS('Data entry'!$R$6:$R$200,'Summary Data'!$A20,'Data entry'!$B$6:$B$200,{"Confirmed";"Probable"},'Data entry'!$AQ$6:$AQ$200,'Data Validation'!$V$10, 'Data entry'!$AP$6:$AP$200,'Data Validation'!$U$6, 'Data entry'!$BD$6:$BD$200,"&lt;&gt;*Negative*"))</f>
        <v>0</v>
      </c>
      <c r="BY20" s="15">
        <f>SUM(COUNTIFS('Data entry'!$R$6:$R$200,'Summary Data'!$A20,'Data entry'!$B$6:$B$200,{"Confirmed";"Probable"},'Data entry'!$AQ$6:$AQ$200,'Data Validation'!$V$11, 'Data entry'!$AP$6:$AP$200,'Data Validation'!$U$2, 'Data entry'!$BD$6:$BD$200,"&lt;&gt;*Negative*"))</f>
        <v>0</v>
      </c>
      <c r="BZ20" s="15">
        <f>SUM(COUNTIFS('Data entry'!$R$6:$R$200,'Summary Data'!$A20,'Data entry'!$B$6:$B$200,{"Confirmed";"Probable"},'Data entry'!$AQ$6:$AQ$200,'Data Validation'!$V$11, 'Data entry'!$AP$6:$AP$200,'Data Validation'!$U$3, 'Data entry'!$BD$6:$BD$200,"&lt;&gt;*Negative*"))</f>
        <v>0</v>
      </c>
      <c r="CA20" s="15">
        <f>SUM(COUNTIFS('Data entry'!$R$6:$R$200,'Summary Data'!$A20,'Data entry'!$B$6:$B$200,{"Confirmed";"Probable"},'Data entry'!$AQ$6:$AQ$200,'Data Validation'!$V$11, 'Data entry'!$AP$6:$AP$200,'Data Validation'!$U$4, 'Data entry'!$BD$6:$BD$200,"&lt;&gt;*Negative*"))</f>
        <v>0</v>
      </c>
      <c r="CB20" s="15">
        <f>SUM(COUNTIFS('Data entry'!$R$6:$R$200,'Summary Data'!$A20,'Data entry'!$B$6:$B$200,{"Confirmed";"Probable"},'Data entry'!$AQ$6:$AQ$200,'Data Validation'!$V$11, 'Data entry'!$AP$6:$AP$200,'Data Validation'!$U$5, 'Data entry'!$BD$6:$BD$200,"&lt;&gt;*Negative*"))</f>
        <v>0</v>
      </c>
      <c r="CC20" s="15">
        <f>SUM(COUNTIFS('Data entry'!$R$6:$R$200,'Summary Data'!$A20,'Data entry'!$B$6:$B$200,{"Confirmed";"Probable"},'Data entry'!$AQ$6:$AQ$200,'Data Validation'!$V$11, 'Data entry'!$AP$6:$AP$200,'Data Validation'!$U$6, 'Data entry'!$BD$6:$BD$200,"&lt;&gt;*Negative*"))</f>
        <v>0</v>
      </c>
    </row>
    <row r="21" spans="1:81" x14ac:dyDescent="0.25">
      <c r="A21" s="12">
        <f t="shared" si="5"/>
        <v>9</v>
      </c>
      <c r="B21" s="13">
        <f t="shared" si="2"/>
        <v>0</v>
      </c>
      <c r="C21" s="13">
        <f>COUNTIFS('Data entry'!$R$6:$R$200,$A21,'Data entry'!$B$6:$B$200,"Confirmed",'Data entry'!$BD$6:$BD$200,"&lt;&gt;*Negative*")</f>
        <v>0</v>
      </c>
      <c r="D21" s="13">
        <f>COUNTIFS('Data entry'!$R$6:$R$200,$A21,'Data entry'!$B$6:$B$200,"Probable",'Data entry'!$BD$6:$BD$200,"&lt;&gt;*Negative*")</f>
        <v>0</v>
      </c>
      <c r="E21" s="13">
        <f>COUNTIFS('Data entry'!$R$6:$R$200,$A21,'Data entry'!$B$6:$B$200,"DNM")</f>
        <v>0</v>
      </c>
      <c r="F21" s="13">
        <f>SUM(COUNTIFS('Data entry'!$R$6:$R$200,'Summary Data'!$A21,'Data entry'!$B$6:$B$200,{"Confirmed";"Probable"},'Data entry'!$AO$6:$AO$200,$F$10, 'Data entry'!$BD$6:$BD$200,"&lt;&gt;*Negative*"))</f>
        <v>0</v>
      </c>
      <c r="G21" s="13">
        <f>SUM(COUNTIFS('Data entry'!$R$6:$R$200,'Summary Data'!$A21,'Data entry'!$B$6:$B$200,{"Confirmed";"Probable"},'Data entry'!$AO$6:$AO$200,$G$10, 'Data entry'!$BD$6:$BD$200,"&lt;&gt;*Negative*"))</f>
        <v>0</v>
      </c>
      <c r="H21" s="13">
        <f>SUM(COUNTIFS('Data entry'!$R$6:$R$200,'Summary Data'!$A21,'Data entry'!$B$6:$B$200,{"Confirmed";"Probable"},'Data entry'!$AO$6:$AO$200,$H$10, 'Data entry'!$BD$6:$BD$200,"&lt;&gt;*Negative*"))</f>
        <v>0</v>
      </c>
      <c r="I21" s="13">
        <f>SUM(COUNTIFS('Data entry'!$R$6:$R$200,'Summary Data'!$A21,'Data entry'!$B$6:$B$200,{"Confirmed";"Probable"},'Data entry'!$AO$6:$AO$200,$I$10, 'Data entry'!$BD$6:$BD$200,"&lt;&gt;*Negative*"))</f>
        <v>0</v>
      </c>
      <c r="J21" s="13">
        <f>SUM(COUNTIFS('Data entry'!$R$6:$R$200,'Summary Data'!$A21,'Data entry'!$B$6:$B$200,{"Confirmed";"Probable"},'Data entry'!$AO$6:$AO$200,$J$10, 'Data entry'!$BD$6:$BD$200,"&lt;&gt;*Negative*"))</f>
        <v>0</v>
      </c>
      <c r="K21" s="13">
        <f>SUM(COUNTIFS('Data entry'!$R$6:$R$200,'Summary Data'!$A21,'Data entry'!$B$6:$B$200,{"Confirmed";"Probable"},'Data entry'!$AO$6:$AO$200,$K$10, 'Data entry'!$BD$6:$BD$200,"&lt;&gt;*Negative*"))</f>
        <v>0</v>
      </c>
      <c r="L21" s="13">
        <f>SUM(COUNTIFS('Data entry'!$R$6:$R$200,'Summary Data'!$A21,'Data entry'!$B$6:$B$200,{"Confirmed";"Probable"},'Data entry'!$AO$6:$AO$200,$L$10, 'Data entry'!$BD$6:$BD$200,"&lt;&gt;*Negative*"))</f>
        <v>0</v>
      </c>
      <c r="M21" s="13">
        <f>SUM(COUNTIFS('Data entry'!$R$6:$R$200,'Summary Data'!$A21,'Data entry'!$B$6:$B$200,{"Confirmed";"Probable"},'Data entry'!$AO$6:$AO$200,$M$10, 'Data entry'!$BD$6:$BD$200,"&lt;&gt;*Negative*"))</f>
        <v>0</v>
      </c>
      <c r="N21" s="13">
        <f>SUM(COUNTIFS('Data entry'!$R$6:$R$200,'Summary Data'!$A21,'Data entry'!$B$6:$B$200,{"Confirmed";"Probable"},'Data entry'!$AO$6:$AO$200,$N$10, 'Data entry'!$BD$6:$BD$200,"&lt;&gt;*Negative*"))</f>
        <v>0</v>
      </c>
      <c r="O21" s="15">
        <f t="shared" si="3"/>
        <v>0</v>
      </c>
      <c r="P21" s="15">
        <f t="shared" si="4"/>
        <v>0</v>
      </c>
      <c r="Q21" s="15">
        <f>SUM(COUNTIFS('Data entry'!$R$6:$R$200,'Summary Data'!$A21,'Data entry'!$B$6:$B$200,{"Confirmed";"Probable"},'Data entry'!$AP$6:$AP$200,'Data Validation'!$U$2, 'Data entry'!$BD$6:$BD$200,"&lt;&gt;*Negative*"))</f>
        <v>0</v>
      </c>
      <c r="R21" s="15">
        <f>SUM(COUNTIFS('Data entry'!$R$6:$R$200,'Summary Data'!$A21,'Data entry'!$B$6:$B$200,{"Confirmed";"Probable"},'Data entry'!$AP$6:$AP$200,'Data Validation'!$U$3, 'Data entry'!$BD$6:$BD$200,"&lt;&gt;*Negative*"))</f>
        <v>0</v>
      </c>
      <c r="S21" s="15">
        <f>SUM(COUNTIFS('Data entry'!$R$6:$R$200,'Summary Data'!$A21,'Data entry'!$B$6:$B$200,{"Confirmed";"Probable"},'Data entry'!$AP$6:$AP$200,'Data Validation'!$U$4, 'Data entry'!$BD$6:$BD$200,"&lt;&gt;*Negative*"))</f>
        <v>0</v>
      </c>
      <c r="T21" s="15">
        <f>SUM(COUNTIFS('Data entry'!$R$6:$R$200,'Summary Data'!$A21,'Data entry'!$B$6:$B$200,{"Confirmed";"Probable"},'Data entry'!$AP$6:$AP$200,'Data Validation'!$U$5, 'Data entry'!$BD$6:$BD$200,"&lt;&gt;*Negative*"))</f>
        <v>0</v>
      </c>
      <c r="U21" s="15">
        <f>SUM(COUNTIFS('Data entry'!$R$6:$R$200,'Summary Data'!$A21,'Data entry'!$B$6:$B$200,{"Confirmed";"Probable"},'Data entry'!$AP$6:$AP$200,'Data Validation'!$U$6, 'Data entry'!$BD$6:$BD$200,"&lt;&gt;*Negative*"))</f>
        <v>0</v>
      </c>
      <c r="V21" s="15">
        <f>SUM(COUNTIFS('Data entry'!$R$6:$R$200,'Summary Data'!$A21,'Data entry'!$B$6:$B$200,{"Confirmed";"Probable"},'Data entry'!$AQ$6:$AQ$200,'Data Validation'!$V$2, 'Data entry'!$BD$6:$BD$200,"&lt;&gt;*Negative*"))</f>
        <v>0</v>
      </c>
      <c r="W21" s="15">
        <f>SUM(COUNTIFS('Data entry'!$R$6:$R$200,'Summary Data'!$A21,'Data entry'!$B$6:$B$200,{"Confirmed";"Probable"},'Data entry'!$AQ$6:$AQ$200,'Data Validation'!$V$3, 'Data entry'!$BD$6:$BD$200,"&lt;&gt;*Negative*"))</f>
        <v>0</v>
      </c>
      <c r="X21" s="15">
        <f>SUM(COUNTIFS('Data entry'!$R$6:$R$200,'Summary Data'!$A21,'Data entry'!$B$6:$B$200,{"Confirmed";"Probable"},'Data entry'!$AQ$6:$AQ$200,'Data Validation'!$V$4, 'Data entry'!$BD$6:$BD$200,"&lt;&gt;*Negative*"))</f>
        <v>0</v>
      </c>
      <c r="Y21" s="15">
        <f>SUM(COUNTIFS('Data entry'!$R$6:$R$200,'Summary Data'!$A21,'Data entry'!$B$6:$B$200,{"Confirmed";"Probable"},'Data entry'!$AQ$6:$AQ$200,'Data Validation'!$V$5, 'Data entry'!$BD$6:$BD$200,"&lt;&gt;*Negative*"))</f>
        <v>0</v>
      </c>
      <c r="Z21" s="15">
        <f>SUM(COUNTIFS('Data entry'!$R$6:$R$200,'Summary Data'!$A21,'Data entry'!$B$6:$B$200,{"Confirmed";"Probable"},'Data entry'!$AQ$6:$AQ$200,'Data Validation'!$V$6, 'Data entry'!$BD$6:$BD$200,"&lt;&gt;*Negative*"))</f>
        <v>0</v>
      </c>
      <c r="AA21" s="15">
        <f>SUM(COUNTIFS('Data entry'!$R$6:$R$200,'Summary Data'!$A21,'Data entry'!$B$6:$B$200,{"Confirmed";"Probable"},'Data entry'!$AQ$6:$AQ$200,'Data Validation'!$V$7, 'Data entry'!$BD$6:$BD$200,"&lt;&gt;*Negative*"))</f>
        <v>0</v>
      </c>
      <c r="AB21" s="15">
        <f>SUM(COUNTIFS('Data entry'!$R$6:$R$200,'Summary Data'!$A21,'Data entry'!$B$6:$B$200,{"Confirmed";"Probable"},'Data entry'!$AQ$6:$AQ$200,'Data Validation'!$V$8, 'Data entry'!$BD$6:$BD$200,"&lt;&gt;*Negative*"))</f>
        <v>0</v>
      </c>
      <c r="AC21" s="15">
        <f>SUM(COUNTIFS('Data entry'!$R$6:$R$200,'Summary Data'!$A21,'Data entry'!$B$6:$B$200,{"Confirmed";"Probable"},'Data entry'!$AQ$6:$AQ$200,'Data Validation'!$V$9, 'Data entry'!$BD$6:$BD$200,"&lt;&gt;*Negative*"))</f>
        <v>0</v>
      </c>
      <c r="AD21" s="15">
        <f>SUM(COUNTIFS('Data entry'!$R$6:$R$200,'Summary Data'!$A21,'Data entry'!$B$6:$B$200,{"Confirmed";"Probable"},'Data entry'!$AQ$6:$AQ$200,'Data Validation'!$V$10, 'Data entry'!$BD$6:$BD$200,"&lt;&gt;*Negative*"))</f>
        <v>0</v>
      </c>
      <c r="AE21" s="15">
        <f>SUM(COUNTIFS('Data entry'!$R$6:$R$200,'Summary Data'!$A21,'Data entry'!$B$6:$B$200,{"Confirmed";"Probable"},'Data entry'!$AQ$6:$AQ$200,'Data Validation'!$V$11, 'Data entry'!$BD$6:$BD$200,"&lt;&gt;*Negative*"))</f>
        <v>0</v>
      </c>
      <c r="AF21" s="15">
        <f>SUM(COUNTIFS('Data entry'!$R$6:$R$200,'Summary Data'!$A21,'Data entry'!$B$6:$B$200,{"Confirmed";"Probable"},'Data entry'!$AQ$6:$AQ$200,'Data Validation'!$V$2, 'Data entry'!$AP$6:$AP$200,'Data Validation'!$U$2, 'Data entry'!$BD$6:$BD$200,"&lt;&gt;*Negative*"))</f>
        <v>0</v>
      </c>
      <c r="AG21" s="15">
        <f>SUM(COUNTIFS('Data entry'!$R$6:$R$200,'Summary Data'!$A21,'Data entry'!$B$6:$B$200,{"Confirmed";"Probable"},'Data entry'!$AQ$6:$AQ$200,'Data Validation'!$V$2, 'Data entry'!$AP$6:$AP$200,'Data Validation'!$U$3, 'Data entry'!$BD$6:$BD$200,"&lt;&gt;*Negative*"))</f>
        <v>0</v>
      </c>
      <c r="AH21" s="15">
        <f>SUM(COUNTIFS('Data entry'!$R$6:$R$200,'Summary Data'!$A21,'Data entry'!$B$6:$B$200,{"Confirmed";"Probable"},'Data entry'!$AQ$6:$AQ$200,'Data Validation'!$V$2, 'Data entry'!$AP$6:$AP$200,'Data Validation'!$U$4, 'Data entry'!$BD$6:$BD$200,"&lt;&gt;*Negative*"))</f>
        <v>0</v>
      </c>
      <c r="AI21" s="15">
        <f>SUM(COUNTIFS('Data entry'!$R$6:$R$200,'Summary Data'!$A21,'Data entry'!$B$6:$B$200,{"Confirmed";"Probable"},'Data entry'!$AQ$6:$AQ$200,'Data Validation'!$V$2, 'Data entry'!$AP$6:$AP$200,'Data Validation'!$U$5, 'Data entry'!$BD$6:$BD$200,"&lt;&gt;*Negative*"))</f>
        <v>0</v>
      </c>
      <c r="AJ21" s="15">
        <f>SUM(COUNTIFS('Data entry'!$R$6:$R$200,'Summary Data'!$A21,'Data entry'!$B$6:$B$200,{"Confirmed";"Probable"},'Data entry'!$AQ$6:$AQ$200,'Data Validation'!$V$2, 'Data entry'!$AP$6:$AP$200,'Data Validation'!$U$6, 'Data entry'!$BD$6:$BD$200,"&lt;&gt;*Negative*"))</f>
        <v>0</v>
      </c>
      <c r="AK21" s="15">
        <f>SUM(COUNTIFS('Data entry'!$R$6:$R$200,'Summary Data'!$A21,'Data entry'!$B$6:$B$200,{"Confirmed";"Probable"},'Data entry'!$AQ$6:$AQ$200,'Data Validation'!$V$3, 'Data entry'!$AP$6:$AP$200,'Data Validation'!$U$2, 'Data entry'!$BD$6:$BD$200,"&lt;&gt;*Negative*"))</f>
        <v>0</v>
      </c>
      <c r="AL21" s="15">
        <f>SUM(COUNTIFS('Data entry'!$R$6:$R$200,'Summary Data'!$A21,'Data entry'!$B$6:$B$200,{"Confirmed";"Probable"},'Data entry'!$AQ$6:$AQ$200,'Data Validation'!$V$3, 'Data entry'!$AP$6:$AP$200,'Data Validation'!$U$3, 'Data entry'!$BD$6:$BD$200,"&lt;&gt;*Negative*"))</f>
        <v>0</v>
      </c>
      <c r="AM21" s="15">
        <f>SUM(COUNTIFS('Data entry'!$R$6:$R$200,'Summary Data'!$A21,'Data entry'!$B$6:$B$200,{"Confirmed";"Probable"},'Data entry'!$AQ$6:$AQ$200,'Data Validation'!$V$3, 'Data entry'!$AP$6:$AP$200,'Data Validation'!$U$4, 'Data entry'!$BD$6:$BD$200,"&lt;&gt;*Negative*"))</f>
        <v>0</v>
      </c>
      <c r="AN21" s="15">
        <f>SUM(COUNTIFS('Data entry'!$R$6:$R$200,'Summary Data'!$A21,'Data entry'!$B$6:$B$200,{"Confirmed";"Probable"},'Data entry'!$AQ$6:$AQ$200,'Data Validation'!$V$3, 'Data entry'!$AP$6:$AP$200,'Data Validation'!$U$5, 'Data entry'!$BD$6:$BD$200,"&lt;&gt;*Negative*"))</f>
        <v>0</v>
      </c>
      <c r="AO21" s="15">
        <f>SUM(COUNTIFS('Data entry'!$R$6:$R$200,'Summary Data'!$A21,'Data entry'!$B$6:$B$200,{"Confirmed";"Probable"},'Data entry'!$AQ$6:$AQ$200,'Data Validation'!$V$3, 'Data entry'!$AP$6:$AP$200,'Data Validation'!$U$6, 'Data entry'!$BD$6:$BD$200,"&lt;&gt;*Negative*"))</f>
        <v>0</v>
      </c>
      <c r="AP21" s="15">
        <f>SUM(COUNTIFS('Data entry'!$R$6:$R$200,'Summary Data'!$A21,'Data entry'!$B$6:$B$200,{"Confirmed";"Probable"},'Data entry'!$AQ$6:$AQ$200,'Data Validation'!$V$4, 'Data entry'!$AP$6:$AP$200,'Data Validation'!$U$2, 'Data entry'!$BD$6:$BD$200,"&lt;&gt;*Negative*"))</f>
        <v>0</v>
      </c>
      <c r="AQ21" s="15">
        <f>SUM(COUNTIFS('Data entry'!$R$6:$R$200,'Summary Data'!$A21,'Data entry'!$B$6:$B$200,{"Confirmed";"Probable"},'Data entry'!$AQ$6:$AQ$200,'Data Validation'!$V$4, 'Data entry'!$AP$6:$AP$200,'Data Validation'!$U$3, 'Data entry'!$BD$6:$BD$200,"&lt;&gt;*Negative*"))</f>
        <v>0</v>
      </c>
      <c r="AR21" s="15">
        <f>SUM(COUNTIFS('Data entry'!$R$6:$R$200,'Summary Data'!$A21,'Data entry'!$B$6:$B$200,{"Confirmed";"Probable"},'Data entry'!$AQ$6:$AQ$200,'Data Validation'!$V$4, 'Data entry'!$AP$6:$AP$200,'Data Validation'!$U$4, 'Data entry'!$BD$6:$BD$200,"&lt;&gt;*Negative*"))</f>
        <v>0</v>
      </c>
      <c r="AS21" s="15">
        <f>SUM(COUNTIFS('Data entry'!$R$6:$R$200,'Summary Data'!$A21,'Data entry'!$B$6:$B$200,{"Confirmed";"Probable"},'Data entry'!$AQ$6:$AQ$200,'Data Validation'!$V$4, 'Data entry'!$AP$6:$AP$200,'Data Validation'!$U$5, 'Data entry'!$BD$6:$BD$200,"&lt;&gt;*Negative*"))</f>
        <v>0</v>
      </c>
      <c r="AT21" s="15">
        <f>SUM(COUNTIFS('Data entry'!$R$6:$R$200,'Summary Data'!$A21,'Data entry'!$B$6:$B$200,{"Confirmed";"Probable"},'Data entry'!$AQ$6:$AQ$200,'Data Validation'!$V$4, 'Data entry'!$AP$6:$AP$200,'Data Validation'!$U$6, 'Data entry'!$BD$6:$BD$200,"&lt;&gt;*Negative*"))</f>
        <v>0</v>
      </c>
      <c r="AU21" s="15">
        <f>SUM(COUNTIFS('Data entry'!$R$6:$R$200,'Summary Data'!$A21,'Data entry'!$B$6:$B$200,{"Confirmed";"Probable"},'Data entry'!$AQ$6:$AQ$200,'Data Validation'!$V$5, 'Data entry'!$AP$6:$AP$200,'Data Validation'!$U$2, 'Data entry'!$BD$6:$BD$200,"&lt;&gt;*Negative*"))</f>
        <v>0</v>
      </c>
      <c r="AV21" s="15">
        <f>SUM(COUNTIFS('Data entry'!$R$6:$R$200,'Summary Data'!$A21,'Data entry'!$B$6:$B$200,{"Confirmed";"Probable"},'Data entry'!$AQ$6:$AQ$200,'Data Validation'!$V$5, 'Data entry'!$AP$6:$AP$200,'Data Validation'!$U$3, 'Data entry'!$BD$6:$BD$200,"&lt;&gt;*Negative*"))</f>
        <v>0</v>
      </c>
      <c r="AW21" s="15">
        <f>SUM(COUNTIFS('Data entry'!$R$6:$R$200,'Summary Data'!$A21,'Data entry'!$B$6:$B$200,{"Confirmed";"Probable"},'Data entry'!$AQ$6:$AQ$200,'Data Validation'!$V$5, 'Data entry'!$AP$6:$AP$200,'Data Validation'!$U$4, 'Data entry'!$BD$6:$BD$200,"&lt;&gt;*Negative*"))</f>
        <v>0</v>
      </c>
      <c r="AX21" s="15">
        <f>SUM(COUNTIFS('Data entry'!$R$6:$R$200,'Summary Data'!$A21,'Data entry'!$B$6:$B$200,{"Confirmed";"Probable"},'Data entry'!$AQ$6:$AQ$200,'Data Validation'!$V$5, 'Data entry'!$AP$6:$AP$200,'Data Validation'!$U$5, 'Data entry'!$BD$6:$BD$200,"&lt;&gt;*Negative*"))</f>
        <v>0</v>
      </c>
      <c r="AY21" s="15">
        <f>SUM(COUNTIFS('Data entry'!$R$6:$R$200,'Summary Data'!$A21,'Data entry'!$B$6:$B$200,{"Confirmed";"Probable"},'Data entry'!$AQ$6:$AQ$200,'Data Validation'!$V$5, 'Data entry'!$AP$6:$AP$200,'Data Validation'!$U$6, 'Data entry'!$BD$6:$BD$200,"&lt;&gt;*Negative*"))</f>
        <v>0</v>
      </c>
      <c r="AZ21" s="15">
        <f>SUM(COUNTIFS('Data entry'!$R$6:$R$200,'Summary Data'!$A21,'Data entry'!$B$6:$B$200,{"Confirmed";"Probable"},'Data entry'!$AQ$6:$AQ$200,'Data Validation'!$V$6, 'Data entry'!$AP$6:$AP$200,'Data Validation'!$U$2, 'Data entry'!$BD$6:$BD$200,"&lt;&gt;*Negative*"))</f>
        <v>0</v>
      </c>
      <c r="BA21" s="15">
        <f>SUM(COUNTIFS('Data entry'!$R$6:$R$200,'Summary Data'!$A21,'Data entry'!$B$6:$B$200,{"Confirmed";"Probable"},'Data entry'!$AQ$6:$AQ$200,'Data Validation'!$V$6, 'Data entry'!$AP$6:$AP$200,'Data Validation'!$U$3, 'Data entry'!$BD$6:$BD$200,"&lt;&gt;*Negative*"))</f>
        <v>0</v>
      </c>
      <c r="BB21" s="15">
        <f>SUM(COUNTIFS('Data entry'!$R$6:$R$200,'Summary Data'!$A21,'Data entry'!$B$6:$B$200,{"Confirmed";"Probable"},'Data entry'!$AQ$6:$AQ$200,'Data Validation'!$V$6, 'Data entry'!$AP$6:$AP$200,'Data Validation'!$U$4, 'Data entry'!$BD$6:$BD$200,"&lt;&gt;*Negative*"))</f>
        <v>0</v>
      </c>
      <c r="BC21" s="15">
        <f>SUM(COUNTIFS('Data entry'!$R$6:$R$200,'Summary Data'!$A21,'Data entry'!$B$6:$B$200,{"Confirmed";"Probable"},'Data entry'!$AQ$6:$AQ$200,'Data Validation'!$V$6, 'Data entry'!$AP$6:$AP$200,'Data Validation'!$U$5, 'Data entry'!$BD$6:$BD$200,"&lt;&gt;*Negative*"))</f>
        <v>0</v>
      </c>
      <c r="BD21" s="15">
        <f>SUM(COUNTIFS('Data entry'!$R$6:$R$200,'Summary Data'!$A21,'Data entry'!$B$6:$B$200,{"Confirmed";"Probable"},'Data entry'!$AQ$6:$AQ$200,'Data Validation'!$V$6, 'Data entry'!$AP$6:$AP$200,'Data Validation'!$U$6, 'Data entry'!$BD$6:$BD$200,"&lt;&gt;*Negative*"))</f>
        <v>0</v>
      </c>
      <c r="BE21" s="15">
        <f>SUM(COUNTIFS('Data entry'!$R$6:$R$200,'Summary Data'!$A21,'Data entry'!$B$6:$B$200,{"Confirmed";"Probable"},'Data entry'!$AQ$6:$AQ$200,'Data Validation'!$V$7, 'Data entry'!$AP$6:$AP$200,'Data Validation'!$U$2, 'Data entry'!$BD$6:$BD$200,"&lt;&gt;*Negative*"))</f>
        <v>0</v>
      </c>
      <c r="BF21" s="15">
        <f>SUM(COUNTIFS('Data entry'!$R$6:$R$200,'Summary Data'!$A21,'Data entry'!$B$6:$B$200,{"Confirmed";"Probable"},'Data entry'!$AQ$6:$AQ$200,'Data Validation'!$V$7, 'Data entry'!$AP$6:$AP$200,'Data Validation'!$U$3, 'Data entry'!$BD$6:$BD$200,"&lt;&gt;*Negative*"))</f>
        <v>0</v>
      </c>
      <c r="BG21" s="15">
        <f>SUM(COUNTIFS('Data entry'!$R$6:$R$200,'Summary Data'!$A21,'Data entry'!$B$6:$B$200,{"Confirmed";"Probable"},'Data entry'!$AQ$6:$AQ$200,'Data Validation'!$V$7, 'Data entry'!$AP$6:$AP$200,'Data Validation'!$U$4, 'Data entry'!$BD$6:$BD$200,"&lt;&gt;*Negative*"))</f>
        <v>0</v>
      </c>
      <c r="BH21" s="15">
        <f>SUM(COUNTIFS('Data entry'!$R$6:$R$200,'Summary Data'!$A21,'Data entry'!$B$6:$B$200,{"Confirmed";"Probable"},'Data entry'!$AQ$6:$AQ$200,'Data Validation'!$V$7, 'Data entry'!$AP$6:$AP$200,'Data Validation'!$U$5, 'Data entry'!$BD$6:$BD$200,"&lt;&gt;*Negative*"))</f>
        <v>0</v>
      </c>
      <c r="BI21" s="15">
        <f>SUM(COUNTIFS('Data entry'!$R$6:$R$200,'Summary Data'!$A21,'Data entry'!$B$6:$B$200,{"Confirmed";"Probable"},'Data entry'!$AQ$6:$AQ$200,'Data Validation'!$V$7, 'Data entry'!$AP$6:$AP$200,'Data Validation'!$U$6, 'Data entry'!$BD$6:$BD$200,"&lt;&gt;*Negative*"))</f>
        <v>0</v>
      </c>
      <c r="BJ21" s="15">
        <f>SUM(COUNTIFS('Data entry'!$R$6:$R$200,'Summary Data'!$A21,'Data entry'!$B$6:$B$200,{"Confirmed";"Probable"},'Data entry'!$AQ$6:$AQ$200,'Data Validation'!$V$8, 'Data entry'!$AP$6:$AP$200,'Data Validation'!$U$2, 'Data entry'!$BD$6:$BD$200,"&lt;&gt;*Negative*"))</f>
        <v>0</v>
      </c>
      <c r="BK21" s="15">
        <f>SUM(COUNTIFS('Data entry'!$R$6:$R$200,'Summary Data'!$A21,'Data entry'!$B$6:$B$200,{"Confirmed";"Probable"},'Data entry'!$AQ$6:$AQ$200,'Data Validation'!$V$8, 'Data entry'!$AP$6:$AP$200,'Data Validation'!$U$3, 'Data entry'!$BD$6:$BD$200,"&lt;&gt;*Negative*"))</f>
        <v>0</v>
      </c>
      <c r="BL21" s="15">
        <f>SUM(COUNTIFS('Data entry'!$R$6:$R$200,'Summary Data'!$A21,'Data entry'!$B$6:$B$200,{"Confirmed";"Probable"},'Data entry'!$AQ$6:$AQ$200,'Data Validation'!$V$8, 'Data entry'!$AP$6:$AP$200,'Data Validation'!$U$4, 'Data entry'!$BD$6:$BD$200,"&lt;&gt;*Negative*"))</f>
        <v>0</v>
      </c>
      <c r="BM21" s="15">
        <f>SUM(COUNTIFS('Data entry'!$R$6:$R$200,'Summary Data'!$A21,'Data entry'!$B$6:$B$200,{"Confirmed";"Probable"},'Data entry'!$AQ$6:$AQ$200,'Data Validation'!$V$8, 'Data entry'!$AP$6:$AP$200,'Data Validation'!$U$5, 'Data entry'!$BD$6:$BD$200,"&lt;&gt;*Negative*"))</f>
        <v>0</v>
      </c>
      <c r="BN21" s="15">
        <f>SUM(COUNTIFS('Data entry'!$R$6:$R$200,'Summary Data'!$A21,'Data entry'!$B$6:$B$200,{"Confirmed";"Probable"},'Data entry'!$AQ$6:$AQ$200,'Data Validation'!$V$8, 'Data entry'!$AP$6:$AP$200,'Data Validation'!$U$6, 'Data entry'!$BD$6:$BD$200,"&lt;&gt;*Negative*"))</f>
        <v>0</v>
      </c>
      <c r="BO21" s="15">
        <f>SUM(COUNTIFS('Data entry'!$R$6:$R$200,'Summary Data'!$A21,'Data entry'!$B$6:$B$200,{"Confirmed";"Probable"},'Data entry'!$AQ$6:$AQ$200,'Data Validation'!$V$9, 'Data entry'!$AP$6:$AP$200,'Data Validation'!$U$2, 'Data entry'!$BD$6:$BD$200,"&lt;&gt;*Negative*"))</f>
        <v>0</v>
      </c>
      <c r="BP21" s="15">
        <f>SUM(COUNTIFS('Data entry'!$R$6:$R$200,'Summary Data'!$A21,'Data entry'!$B$6:$B$200,{"Confirmed";"Probable"},'Data entry'!$AQ$6:$AQ$200,'Data Validation'!$V$9, 'Data entry'!$AP$6:$AP$200,'Data Validation'!$U$3, 'Data entry'!$BD$6:$BD$200,"&lt;&gt;*Negative*"))</f>
        <v>0</v>
      </c>
      <c r="BQ21" s="15">
        <f>SUM(COUNTIFS('Data entry'!$R$6:$R$200,'Summary Data'!$A21,'Data entry'!$B$6:$B$200,{"Confirmed";"Probable"},'Data entry'!$AQ$6:$AQ$200,'Data Validation'!$V$9, 'Data entry'!$AP$6:$AP$200,'Data Validation'!$U$4, 'Data entry'!$BD$6:$BD$200,"&lt;&gt;*Negative*"))</f>
        <v>0</v>
      </c>
      <c r="BR21" s="15">
        <f>SUM(COUNTIFS('Data entry'!$R$6:$R$200,'Summary Data'!$A21,'Data entry'!$B$6:$B$200,{"Confirmed";"Probable"},'Data entry'!$AQ$6:$AQ$200,'Data Validation'!$V$9, 'Data entry'!$AP$6:$AP$200,'Data Validation'!$U$5, 'Data entry'!$BD$6:$BD$200,"&lt;&gt;*Negative*"))</f>
        <v>0</v>
      </c>
      <c r="BS21" s="15">
        <f>SUM(COUNTIFS('Data entry'!$R$6:$R$200,'Summary Data'!$A21,'Data entry'!$B$6:$B$200,{"Confirmed";"Probable"},'Data entry'!$AQ$6:$AQ$200,'Data Validation'!$V$9, 'Data entry'!$AP$6:$AP$200,'Data Validation'!$U$6, 'Data entry'!$BD$6:$BD$200,"&lt;&gt;*Negative*"))</f>
        <v>0</v>
      </c>
      <c r="BT21" s="15">
        <f>SUM(COUNTIFS('Data entry'!$R$6:$R$200,'Summary Data'!$A21,'Data entry'!$B$6:$B$200,{"Confirmed";"Probable"},'Data entry'!$AQ$6:$AQ$200,'Data Validation'!$V$10, 'Data entry'!$AP$6:$AP$200,'Data Validation'!$U$2, 'Data entry'!$BD$6:$BD$200,"&lt;&gt;*Negative*"))</f>
        <v>0</v>
      </c>
      <c r="BU21" s="15">
        <f>SUM(COUNTIFS('Data entry'!$R$6:$R$200,'Summary Data'!$A21,'Data entry'!$B$6:$B$200,{"Confirmed";"Probable"},'Data entry'!$AQ$6:$AQ$200,'Data Validation'!$V$10, 'Data entry'!$AP$6:$AP$200,'Data Validation'!$U$3, 'Data entry'!$BD$6:$BD$200,"&lt;&gt;*Negative*"))</f>
        <v>0</v>
      </c>
      <c r="BV21" s="15">
        <f>SUM(COUNTIFS('Data entry'!$R$6:$R$200,'Summary Data'!$A21,'Data entry'!$B$6:$B$200,{"Confirmed";"Probable"},'Data entry'!$AQ$6:$AQ$200,'Data Validation'!$V$10, 'Data entry'!$AP$6:$AP$200,'Data Validation'!$U$4, 'Data entry'!$BD$6:$BD$200,"&lt;&gt;*Negative*"))</f>
        <v>0</v>
      </c>
      <c r="BW21" s="15">
        <f>SUM(COUNTIFS('Data entry'!$R$6:$R$200,'Summary Data'!$A21,'Data entry'!$B$6:$B$200,{"Confirmed";"Probable"},'Data entry'!$AQ$6:$AQ$200,'Data Validation'!$V$10, 'Data entry'!$AP$6:$AP$200,'Data Validation'!$U$5, 'Data entry'!$BD$6:$BD$200,"&lt;&gt;*Negative*"))</f>
        <v>0</v>
      </c>
      <c r="BX21" s="15">
        <f>SUM(COUNTIFS('Data entry'!$R$6:$R$200,'Summary Data'!$A21,'Data entry'!$B$6:$B$200,{"Confirmed";"Probable"},'Data entry'!$AQ$6:$AQ$200,'Data Validation'!$V$10, 'Data entry'!$AP$6:$AP$200,'Data Validation'!$U$6, 'Data entry'!$BD$6:$BD$200,"&lt;&gt;*Negative*"))</f>
        <v>0</v>
      </c>
      <c r="BY21" s="15">
        <f>SUM(COUNTIFS('Data entry'!$R$6:$R$200,'Summary Data'!$A21,'Data entry'!$B$6:$B$200,{"Confirmed";"Probable"},'Data entry'!$AQ$6:$AQ$200,'Data Validation'!$V$11, 'Data entry'!$AP$6:$AP$200,'Data Validation'!$U$2, 'Data entry'!$BD$6:$BD$200,"&lt;&gt;*Negative*"))</f>
        <v>0</v>
      </c>
      <c r="BZ21" s="15">
        <f>SUM(COUNTIFS('Data entry'!$R$6:$R$200,'Summary Data'!$A21,'Data entry'!$B$6:$B$200,{"Confirmed";"Probable"},'Data entry'!$AQ$6:$AQ$200,'Data Validation'!$V$11, 'Data entry'!$AP$6:$AP$200,'Data Validation'!$U$3, 'Data entry'!$BD$6:$BD$200,"&lt;&gt;*Negative*"))</f>
        <v>0</v>
      </c>
      <c r="CA21" s="15">
        <f>SUM(COUNTIFS('Data entry'!$R$6:$R$200,'Summary Data'!$A21,'Data entry'!$B$6:$B$200,{"Confirmed";"Probable"},'Data entry'!$AQ$6:$AQ$200,'Data Validation'!$V$11, 'Data entry'!$AP$6:$AP$200,'Data Validation'!$U$4, 'Data entry'!$BD$6:$BD$200,"&lt;&gt;*Negative*"))</f>
        <v>0</v>
      </c>
      <c r="CB21" s="15">
        <f>SUM(COUNTIFS('Data entry'!$R$6:$R$200,'Summary Data'!$A21,'Data entry'!$B$6:$B$200,{"Confirmed";"Probable"},'Data entry'!$AQ$6:$AQ$200,'Data Validation'!$V$11, 'Data entry'!$AP$6:$AP$200,'Data Validation'!$U$5, 'Data entry'!$BD$6:$BD$200,"&lt;&gt;*Negative*"))</f>
        <v>0</v>
      </c>
      <c r="CC21" s="15">
        <f>SUM(COUNTIFS('Data entry'!$R$6:$R$200,'Summary Data'!$A21,'Data entry'!$B$6:$B$200,{"Confirmed";"Probable"},'Data entry'!$AQ$6:$AQ$200,'Data Validation'!$V$11, 'Data entry'!$AP$6:$AP$200,'Data Validation'!$U$6, 'Data entry'!$BD$6:$BD$200,"&lt;&gt;*Negative*"))</f>
        <v>0</v>
      </c>
    </row>
    <row r="22" spans="1:81" x14ac:dyDescent="0.25">
      <c r="A22" s="12">
        <f t="shared" si="5"/>
        <v>10</v>
      </c>
      <c r="B22" s="13">
        <f t="shared" si="2"/>
        <v>0</v>
      </c>
      <c r="C22" s="13">
        <f>COUNTIFS('Data entry'!$R$6:$R$200,$A22,'Data entry'!$B$6:$B$200,"Confirmed",'Data entry'!$BD$6:$BD$200,"&lt;&gt;*Negative*")</f>
        <v>0</v>
      </c>
      <c r="D22" s="13">
        <f>COUNTIFS('Data entry'!$R$6:$R$200,$A22,'Data entry'!$B$6:$B$200,"Probable",'Data entry'!$BD$6:$BD$200,"&lt;&gt;*Negative*")</f>
        <v>0</v>
      </c>
      <c r="E22" s="13">
        <f>COUNTIFS('Data entry'!$R$6:$R$200,$A22,'Data entry'!$B$6:$B$200,"DNM")</f>
        <v>0</v>
      </c>
      <c r="F22" s="13">
        <f>SUM(COUNTIFS('Data entry'!$R$6:$R$200,'Summary Data'!$A22,'Data entry'!$B$6:$B$200,{"Confirmed";"Probable"},'Data entry'!$AO$6:$AO$200,$F$10, 'Data entry'!$BD$6:$BD$200,"&lt;&gt;*Negative*"))</f>
        <v>0</v>
      </c>
      <c r="G22" s="13">
        <f>SUM(COUNTIFS('Data entry'!$R$6:$R$200,'Summary Data'!$A22,'Data entry'!$B$6:$B$200,{"Confirmed";"Probable"},'Data entry'!$AO$6:$AO$200,$G$10, 'Data entry'!$BD$6:$BD$200,"&lt;&gt;*Negative*"))</f>
        <v>0</v>
      </c>
      <c r="H22" s="13">
        <f>SUM(COUNTIFS('Data entry'!$R$6:$R$200,'Summary Data'!$A22,'Data entry'!$B$6:$B$200,{"Confirmed";"Probable"},'Data entry'!$AO$6:$AO$200,$H$10, 'Data entry'!$BD$6:$BD$200,"&lt;&gt;*Negative*"))</f>
        <v>0</v>
      </c>
      <c r="I22" s="13">
        <f>SUM(COUNTIFS('Data entry'!$R$6:$R$200,'Summary Data'!$A22,'Data entry'!$B$6:$B$200,{"Confirmed";"Probable"},'Data entry'!$AO$6:$AO$200,$I$10, 'Data entry'!$BD$6:$BD$200,"&lt;&gt;*Negative*"))</f>
        <v>0</v>
      </c>
      <c r="J22" s="13">
        <f>SUM(COUNTIFS('Data entry'!$R$6:$R$200,'Summary Data'!$A22,'Data entry'!$B$6:$B$200,{"Confirmed";"Probable"},'Data entry'!$AO$6:$AO$200,$J$10, 'Data entry'!$BD$6:$BD$200,"&lt;&gt;*Negative*"))</f>
        <v>0</v>
      </c>
      <c r="K22" s="13">
        <f>SUM(COUNTIFS('Data entry'!$R$6:$R$200,'Summary Data'!$A22,'Data entry'!$B$6:$B$200,{"Confirmed";"Probable"},'Data entry'!$AO$6:$AO$200,$K$10, 'Data entry'!$BD$6:$BD$200,"&lt;&gt;*Negative*"))</f>
        <v>0</v>
      </c>
      <c r="L22" s="13">
        <f>SUM(COUNTIFS('Data entry'!$R$6:$R$200,'Summary Data'!$A22,'Data entry'!$B$6:$B$200,{"Confirmed";"Probable"},'Data entry'!$AO$6:$AO$200,$L$10, 'Data entry'!$BD$6:$BD$200,"&lt;&gt;*Negative*"))</f>
        <v>0</v>
      </c>
      <c r="M22" s="13">
        <f>SUM(COUNTIFS('Data entry'!$R$6:$R$200,'Summary Data'!$A22,'Data entry'!$B$6:$B$200,{"Confirmed";"Probable"},'Data entry'!$AO$6:$AO$200,$M$10, 'Data entry'!$BD$6:$BD$200,"&lt;&gt;*Negative*"))</f>
        <v>0</v>
      </c>
      <c r="N22" s="13">
        <f>SUM(COUNTIFS('Data entry'!$R$6:$R$200,'Summary Data'!$A22,'Data entry'!$B$6:$B$200,{"Confirmed";"Probable"},'Data entry'!$AO$6:$AO$200,$N$10, 'Data entry'!$BD$6:$BD$200,"&lt;&gt;*Negative*"))</f>
        <v>0</v>
      </c>
      <c r="O22" s="15">
        <f t="shared" si="3"/>
        <v>0</v>
      </c>
      <c r="P22" s="15">
        <f t="shared" si="4"/>
        <v>0</v>
      </c>
      <c r="Q22" s="15">
        <f>SUM(COUNTIFS('Data entry'!$R$6:$R$200,'Summary Data'!$A22,'Data entry'!$B$6:$B$200,{"Confirmed";"Probable"},'Data entry'!$AP$6:$AP$200,'Data Validation'!$U$2, 'Data entry'!$BD$6:$BD$200,"&lt;&gt;*Negative*"))</f>
        <v>0</v>
      </c>
      <c r="R22" s="15">
        <f>SUM(COUNTIFS('Data entry'!$R$6:$R$200,'Summary Data'!$A22,'Data entry'!$B$6:$B$200,{"Confirmed";"Probable"},'Data entry'!$AP$6:$AP$200,'Data Validation'!$U$3, 'Data entry'!$BD$6:$BD$200,"&lt;&gt;*Negative*"))</f>
        <v>0</v>
      </c>
      <c r="S22" s="15">
        <f>SUM(COUNTIFS('Data entry'!$R$6:$R$200,'Summary Data'!$A22,'Data entry'!$B$6:$B$200,{"Confirmed";"Probable"},'Data entry'!$AP$6:$AP$200,'Data Validation'!$U$4, 'Data entry'!$BD$6:$BD$200,"&lt;&gt;*Negative*"))</f>
        <v>0</v>
      </c>
      <c r="T22" s="15">
        <f>SUM(COUNTIFS('Data entry'!$R$6:$R$200,'Summary Data'!$A22,'Data entry'!$B$6:$B$200,{"Confirmed";"Probable"},'Data entry'!$AP$6:$AP$200,'Data Validation'!$U$5, 'Data entry'!$BD$6:$BD$200,"&lt;&gt;*Negative*"))</f>
        <v>0</v>
      </c>
      <c r="U22" s="15">
        <f>SUM(COUNTIFS('Data entry'!$R$6:$R$200,'Summary Data'!$A22,'Data entry'!$B$6:$B$200,{"Confirmed";"Probable"},'Data entry'!$AP$6:$AP$200,'Data Validation'!$U$6, 'Data entry'!$BD$6:$BD$200,"&lt;&gt;*Negative*"))</f>
        <v>0</v>
      </c>
      <c r="V22" s="15">
        <f>SUM(COUNTIFS('Data entry'!$R$6:$R$200,'Summary Data'!$A22,'Data entry'!$B$6:$B$200,{"Confirmed";"Probable"},'Data entry'!$AQ$6:$AQ$200,'Data Validation'!$V$2, 'Data entry'!$BD$6:$BD$200,"&lt;&gt;*Negative*"))</f>
        <v>0</v>
      </c>
      <c r="W22" s="15">
        <f>SUM(COUNTIFS('Data entry'!$R$6:$R$200,'Summary Data'!$A22,'Data entry'!$B$6:$B$200,{"Confirmed";"Probable"},'Data entry'!$AQ$6:$AQ$200,'Data Validation'!$V$3, 'Data entry'!$BD$6:$BD$200,"&lt;&gt;*Negative*"))</f>
        <v>0</v>
      </c>
      <c r="X22" s="15">
        <f>SUM(COUNTIFS('Data entry'!$R$6:$R$200,'Summary Data'!$A22,'Data entry'!$B$6:$B$200,{"Confirmed";"Probable"},'Data entry'!$AQ$6:$AQ$200,'Data Validation'!$V$4, 'Data entry'!$BD$6:$BD$200,"&lt;&gt;*Negative*"))</f>
        <v>0</v>
      </c>
      <c r="Y22" s="15">
        <f>SUM(COUNTIFS('Data entry'!$R$6:$R$200,'Summary Data'!$A22,'Data entry'!$B$6:$B$200,{"Confirmed";"Probable"},'Data entry'!$AQ$6:$AQ$200,'Data Validation'!$V$5, 'Data entry'!$BD$6:$BD$200,"&lt;&gt;*Negative*"))</f>
        <v>0</v>
      </c>
      <c r="Z22" s="15">
        <f>SUM(COUNTIFS('Data entry'!$R$6:$R$200,'Summary Data'!$A22,'Data entry'!$B$6:$B$200,{"Confirmed";"Probable"},'Data entry'!$AQ$6:$AQ$200,'Data Validation'!$V$6, 'Data entry'!$BD$6:$BD$200,"&lt;&gt;*Negative*"))</f>
        <v>0</v>
      </c>
      <c r="AA22" s="15">
        <f>SUM(COUNTIFS('Data entry'!$R$6:$R$200,'Summary Data'!$A22,'Data entry'!$B$6:$B$200,{"Confirmed";"Probable"},'Data entry'!$AQ$6:$AQ$200,'Data Validation'!$V$7, 'Data entry'!$BD$6:$BD$200,"&lt;&gt;*Negative*"))</f>
        <v>0</v>
      </c>
      <c r="AB22" s="15">
        <f>SUM(COUNTIFS('Data entry'!$R$6:$R$200,'Summary Data'!$A22,'Data entry'!$B$6:$B$200,{"Confirmed";"Probable"},'Data entry'!$AQ$6:$AQ$200,'Data Validation'!$V$8, 'Data entry'!$BD$6:$BD$200,"&lt;&gt;*Negative*"))</f>
        <v>0</v>
      </c>
      <c r="AC22" s="15">
        <f>SUM(COUNTIFS('Data entry'!$R$6:$R$200,'Summary Data'!$A22,'Data entry'!$B$6:$B$200,{"Confirmed";"Probable"},'Data entry'!$AQ$6:$AQ$200,'Data Validation'!$V$9, 'Data entry'!$BD$6:$BD$200,"&lt;&gt;*Negative*"))</f>
        <v>0</v>
      </c>
      <c r="AD22" s="15">
        <f>SUM(COUNTIFS('Data entry'!$R$6:$R$200,'Summary Data'!$A22,'Data entry'!$B$6:$B$200,{"Confirmed";"Probable"},'Data entry'!$AQ$6:$AQ$200,'Data Validation'!$V$10, 'Data entry'!$BD$6:$BD$200,"&lt;&gt;*Negative*"))</f>
        <v>0</v>
      </c>
      <c r="AE22" s="15">
        <f>SUM(COUNTIFS('Data entry'!$R$6:$R$200,'Summary Data'!$A22,'Data entry'!$B$6:$B$200,{"Confirmed";"Probable"},'Data entry'!$AQ$6:$AQ$200,'Data Validation'!$V$11, 'Data entry'!$BD$6:$BD$200,"&lt;&gt;*Negative*"))</f>
        <v>0</v>
      </c>
      <c r="AF22" s="15">
        <f>SUM(COUNTIFS('Data entry'!$R$6:$R$200,'Summary Data'!$A22,'Data entry'!$B$6:$B$200,{"Confirmed";"Probable"},'Data entry'!$AQ$6:$AQ$200,'Data Validation'!$V$2, 'Data entry'!$AP$6:$AP$200,'Data Validation'!$U$2, 'Data entry'!$BD$6:$BD$200,"&lt;&gt;*Negative*"))</f>
        <v>0</v>
      </c>
      <c r="AG22" s="15">
        <f>SUM(COUNTIFS('Data entry'!$R$6:$R$200,'Summary Data'!$A22,'Data entry'!$B$6:$B$200,{"Confirmed";"Probable"},'Data entry'!$AQ$6:$AQ$200,'Data Validation'!$V$2, 'Data entry'!$AP$6:$AP$200,'Data Validation'!$U$3, 'Data entry'!$BD$6:$BD$200,"&lt;&gt;*Negative*"))</f>
        <v>0</v>
      </c>
      <c r="AH22" s="15">
        <f>SUM(COUNTIFS('Data entry'!$R$6:$R$200,'Summary Data'!$A22,'Data entry'!$B$6:$B$200,{"Confirmed";"Probable"},'Data entry'!$AQ$6:$AQ$200,'Data Validation'!$V$2, 'Data entry'!$AP$6:$AP$200,'Data Validation'!$U$4, 'Data entry'!$BD$6:$BD$200,"&lt;&gt;*Negative*"))</f>
        <v>0</v>
      </c>
      <c r="AI22" s="15">
        <f>SUM(COUNTIFS('Data entry'!$R$6:$R$200,'Summary Data'!$A22,'Data entry'!$B$6:$B$200,{"Confirmed";"Probable"},'Data entry'!$AQ$6:$AQ$200,'Data Validation'!$V$2, 'Data entry'!$AP$6:$AP$200,'Data Validation'!$U$5, 'Data entry'!$BD$6:$BD$200,"&lt;&gt;*Negative*"))</f>
        <v>0</v>
      </c>
      <c r="AJ22" s="15">
        <f>SUM(COUNTIFS('Data entry'!$R$6:$R$200,'Summary Data'!$A22,'Data entry'!$B$6:$B$200,{"Confirmed";"Probable"},'Data entry'!$AQ$6:$AQ$200,'Data Validation'!$V$2, 'Data entry'!$AP$6:$AP$200,'Data Validation'!$U$6, 'Data entry'!$BD$6:$BD$200,"&lt;&gt;*Negative*"))</f>
        <v>0</v>
      </c>
      <c r="AK22" s="15">
        <f>SUM(COUNTIFS('Data entry'!$R$6:$R$200,'Summary Data'!$A22,'Data entry'!$B$6:$B$200,{"Confirmed";"Probable"},'Data entry'!$AQ$6:$AQ$200,'Data Validation'!$V$3, 'Data entry'!$AP$6:$AP$200,'Data Validation'!$U$2, 'Data entry'!$BD$6:$BD$200,"&lt;&gt;*Negative*"))</f>
        <v>0</v>
      </c>
      <c r="AL22" s="15">
        <f>SUM(COUNTIFS('Data entry'!$R$6:$R$200,'Summary Data'!$A22,'Data entry'!$B$6:$B$200,{"Confirmed";"Probable"},'Data entry'!$AQ$6:$AQ$200,'Data Validation'!$V$3, 'Data entry'!$AP$6:$AP$200,'Data Validation'!$U$3, 'Data entry'!$BD$6:$BD$200,"&lt;&gt;*Negative*"))</f>
        <v>0</v>
      </c>
      <c r="AM22" s="15">
        <f>SUM(COUNTIFS('Data entry'!$R$6:$R$200,'Summary Data'!$A22,'Data entry'!$B$6:$B$200,{"Confirmed";"Probable"},'Data entry'!$AQ$6:$AQ$200,'Data Validation'!$V$3, 'Data entry'!$AP$6:$AP$200,'Data Validation'!$U$4, 'Data entry'!$BD$6:$BD$200,"&lt;&gt;*Negative*"))</f>
        <v>0</v>
      </c>
      <c r="AN22" s="15">
        <f>SUM(COUNTIFS('Data entry'!$R$6:$R$200,'Summary Data'!$A22,'Data entry'!$B$6:$B$200,{"Confirmed";"Probable"},'Data entry'!$AQ$6:$AQ$200,'Data Validation'!$V$3, 'Data entry'!$AP$6:$AP$200,'Data Validation'!$U$5, 'Data entry'!$BD$6:$BD$200,"&lt;&gt;*Negative*"))</f>
        <v>0</v>
      </c>
      <c r="AO22" s="15">
        <f>SUM(COUNTIFS('Data entry'!$R$6:$R$200,'Summary Data'!$A22,'Data entry'!$B$6:$B$200,{"Confirmed";"Probable"},'Data entry'!$AQ$6:$AQ$200,'Data Validation'!$V$3, 'Data entry'!$AP$6:$AP$200,'Data Validation'!$U$6, 'Data entry'!$BD$6:$BD$200,"&lt;&gt;*Negative*"))</f>
        <v>0</v>
      </c>
      <c r="AP22" s="15">
        <f>SUM(COUNTIFS('Data entry'!$R$6:$R$200,'Summary Data'!$A22,'Data entry'!$B$6:$B$200,{"Confirmed";"Probable"},'Data entry'!$AQ$6:$AQ$200,'Data Validation'!$V$4, 'Data entry'!$AP$6:$AP$200,'Data Validation'!$U$2, 'Data entry'!$BD$6:$BD$200,"&lt;&gt;*Negative*"))</f>
        <v>0</v>
      </c>
      <c r="AQ22" s="15">
        <f>SUM(COUNTIFS('Data entry'!$R$6:$R$200,'Summary Data'!$A22,'Data entry'!$B$6:$B$200,{"Confirmed";"Probable"},'Data entry'!$AQ$6:$AQ$200,'Data Validation'!$V$4, 'Data entry'!$AP$6:$AP$200,'Data Validation'!$U$3, 'Data entry'!$BD$6:$BD$200,"&lt;&gt;*Negative*"))</f>
        <v>0</v>
      </c>
      <c r="AR22" s="15">
        <f>SUM(COUNTIFS('Data entry'!$R$6:$R$200,'Summary Data'!$A22,'Data entry'!$B$6:$B$200,{"Confirmed";"Probable"},'Data entry'!$AQ$6:$AQ$200,'Data Validation'!$V$4, 'Data entry'!$AP$6:$AP$200,'Data Validation'!$U$4, 'Data entry'!$BD$6:$BD$200,"&lt;&gt;*Negative*"))</f>
        <v>0</v>
      </c>
      <c r="AS22" s="15">
        <f>SUM(COUNTIFS('Data entry'!$R$6:$R$200,'Summary Data'!$A22,'Data entry'!$B$6:$B$200,{"Confirmed";"Probable"},'Data entry'!$AQ$6:$AQ$200,'Data Validation'!$V$4, 'Data entry'!$AP$6:$AP$200,'Data Validation'!$U$5, 'Data entry'!$BD$6:$BD$200,"&lt;&gt;*Negative*"))</f>
        <v>0</v>
      </c>
      <c r="AT22" s="15">
        <f>SUM(COUNTIFS('Data entry'!$R$6:$R$200,'Summary Data'!$A22,'Data entry'!$B$6:$B$200,{"Confirmed";"Probable"},'Data entry'!$AQ$6:$AQ$200,'Data Validation'!$V$4, 'Data entry'!$AP$6:$AP$200,'Data Validation'!$U$6, 'Data entry'!$BD$6:$BD$200,"&lt;&gt;*Negative*"))</f>
        <v>0</v>
      </c>
      <c r="AU22" s="15">
        <f>SUM(COUNTIFS('Data entry'!$R$6:$R$200,'Summary Data'!$A22,'Data entry'!$B$6:$B$200,{"Confirmed";"Probable"},'Data entry'!$AQ$6:$AQ$200,'Data Validation'!$V$5, 'Data entry'!$AP$6:$AP$200,'Data Validation'!$U$2, 'Data entry'!$BD$6:$BD$200,"&lt;&gt;*Negative*"))</f>
        <v>0</v>
      </c>
      <c r="AV22" s="15">
        <f>SUM(COUNTIFS('Data entry'!$R$6:$R$200,'Summary Data'!$A22,'Data entry'!$B$6:$B$200,{"Confirmed";"Probable"},'Data entry'!$AQ$6:$AQ$200,'Data Validation'!$V$5, 'Data entry'!$AP$6:$AP$200,'Data Validation'!$U$3, 'Data entry'!$BD$6:$BD$200,"&lt;&gt;*Negative*"))</f>
        <v>0</v>
      </c>
      <c r="AW22" s="15">
        <f>SUM(COUNTIFS('Data entry'!$R$6:$R$200,'Summary Data'!$A22,'Data entry'!$B$6:$B$200,{"Confirmed";"Probable"},'Data entry'!$AQ$6:$AQ$200,'Data Validation'!$V$5, 'Data entry'!$AP$6:$AP$200,'Data Validation'!$U$4, 'Data entry'!$BD$6:$BD$200,"&lt;&gt;*Negative*"))</f>
        <v>0</v>
      </c>
      <c r="AX22" s="15">
        <f>SUM(COUNTIFS('Data entry'!$R$6:$R$200,'Summary Data'!$A22,'Data entry'!$B$6:$B$200,{"Confirmed";"Probable"},'Data entry'!$AQ$6:$AQ$200,'Data Validation'!$V$5, 'Data entry'!$AP$6:$AP$200,'Data Validation'!$U$5, 'Data entry'!$BD$6:$BD$200,"&lt;&gt;*Negative*"))</f>
        <v>0</v>
      </c>
      <c r="AY22" s="15">
        <f>SUM(COUNTIFS('Data entry'!$R$6:$R$200,'Summary Data'!$A22,'Data entry'!$B$6:$B$200,{"Confirmed";"Probable"},'Data entry'!$AQ$6:$AQ$200,'Data Validation'!$V$5, 'Data entry'!$AP$6:$AP$200,'Data Validation'!$U$6, 'Data entry'!$BD$6:$BD$200,"&lt;&gt;*Negative*"))</f>
        <v>0</v>
      </c>
      <c r="AZ22" s="15">
        <f>SUM(COUNTIFS('Data entry'!$R$6:$R$200,'Summary Data'!$A22,'Data entry'!$B$6:$B$200,{"Confirmed";"Probable"},'Data entry'!$AQ$6:$AQ$200,'Data Validation'!$V$6, 'Data entry'!$AP$6:$AP$200,'Data Validation'!$U$2, 'Data entry'!$BD$6:$BD$200,"&lt;&gt;*Negative*"))</f>
        <v>0</v>
      </c>
      <c r="BA22" s="15">
        <f>SUM(COUNTIFS('Data entry'!$R$6:$R$200,'Summary Data'!$A22,'Data entry'!$B$6:$B$200,{"Confirmed";"Probable"},'Data entry'!$AQ$6:$AQ$200,'Data Validation'!$V$6, 'Data entry'!$AP$6:$AP$200,'Data Validation'!$U$3, 'Data entry'!$BD$6:$BD$200,"&lt;&gt;*Negative*"))</f>
        <v>0</v>
      </c>
      <c r="BB22" s="15">
        <f>SUM(COUNTIFS('Data entry'!$R$6:$R$200,'Summary Data'!$A22,'Data entry'!$B$6:$B$200,{"Confirmed";"Probable"},'Data entry'!$AQ$6:$AQ$200,'Data Validation'!$V$6, 'Data entry'!$AP$6:$AP$200,'Data Validation'!$U$4, 'Data entry'!$BD$6:$BD$200,"&lt;&gt;*Negative*"))</f>
        <v>0</v>
      </c>
      <c r="BC22" s="15">
        <f>SUM(COUNTIFS('Data entry'!$R$6:$R$200,'Summary Data'!$A22,'Data entry'!$B$6:$B$200,{"Confirmed";"Probable"},'Data entry'!$AQ$6:$AQ$200,'Data Validation'!$V$6, 'Data entry'!$AP$6:$AP$200,'Data Validation'!$U$5, 'Data entry'!$BD$6:$BD$200,"&lt;&gt;*Negative*"))</f>
        <v>0</v>
      </c>
      <c r="BD22" s="15">
        <f>SUM(COUNTIFS('Data entry'!$R$6:$R$200,'Summary Data'!$A22,'Data entry'!$B$6:$B$200,{"Confirmed";"Probable"},'Data entry'!$AQ$6:$AQ$200,'Data Validation'!$V$6, 'Data entry'!$AP$6:$AP$200,'Data Validation'!$U$6, 'Data entry'!$BD$6:$BD$200,"&lt;&gt;*Negative*"))</f>
        <v>0</v>
      </c>
      <c r="BE22" s="15">
        <f>SUM(COUNTIFS('Data entry'!$R$6:$R$200,'Summary Data'!$A22,'Data entry'!$B$6:$B$200,{"Confirmed";"Probable"},'Data entry'!$AQ$6:$AQ$200,'Data Validation'!$V$7, 'Data entry'!$AP$6:$AP$200,'Data Validation'!$U$2, 'Data entry'!$BD$6:$BD$200,"&lt;&gt;*Negative*"))</f>
        <v>0</v>
      </c>
      <c r="BF22" s="15">
        <f>SUM(COUNTIFS('Data entry'!$R$6:$R$200,'Summary Data'!$A22,'Data entry'!$B$6:$B$200,{"Confirmed";"Probable"},'Data entry'!$AQ$6:$AQ$200,'Data Validation'!$V$7, 'Data entry'!$AP$6:$AP$200,'Data Validation'!$U$3, 'Data entry'!$BD$6:$BD$200,"&lt;&gt;*Negative*"))</f>
        <v>0</v>
      </c>
      <c r="BG22" s="15">
        <f>SUM(COUNTIFS('Data entry'!$R$6:$R$200,'Summary Data'!$A22,'Data entry'!$B$6:$B$200,{"Confirmed";"Probable"},'Data entry'!$AQ$6:$AQ$200,'Data Validation'!$V$7, 'Data entry'!$AP$6:$AP$200,'Data Validation'!$U$4, 'Data entry'!$BD$6:$BD$200,"&lt;&gt;*Negative*"))</f>
        <v>0</v>
      </c>
      <c r="BH22" s="15">
        <f>SUM(COUNTIFS('Data entry'!$R$6:$R$200,'Summary Data'!$A22,'Data entry'!$B$6:$B$200,{"Confirmed";"Probable"},'Data entry'!$AQ$6:$AQ$200,'Data Validation'!$V$7, 'Data entry'!$AP$6:$AP$200,'Data Validation'!$U$5, 'Data entry'!$BD$6:$BD$200,"&lt;&gt;*Negative*"))</f>
        <v>0</v>
      </c>
      <c r="BI22" s="15">
        <f>SUM(COUNTIFS('Data entry'!$R$6:$R$200,'Summary Data'!$A22,'Data entry'!$B$6:$B$200,{"Confirmed";"Probable"},'Data entry'!$AQ$6:$AQ$200,'Data Validation'!$V$7, 'Data entry'!$AP$6:$AP$200,'Data Validation'!$U$6, 'Data entry'!$BD$6:$BD$200,"&lt;&gt;*Negative*"))</f>
        <v>0</v>
      </c>
      <c r="BJ22" s="15">
        <f>SUM(COUNTIFS('Data entry'!$R$6:$R$200,'Summary Data'!$A22,'Data entry'!$B$6:$B$200,{"Confirmed";"Probable"},'Data entry'!$AQ$6:$AQ$200,'Data Validation'!$V$8, 'Data entry'!$AP$6:$AP$200,'Data Validation'!$U$2, 'Data entry'!$BD$6:$BD$200,"&lt;&gt;*Negative*"))</f>
        <v>0</v>
      </c>
      <c r="BK22" s="15">
        <f>SUM(COUNTIFS('Data entry'!$R$6:$R$200,'Summary Data'!$A22,'Data entry'!$B$6:$B$200,{"Confirmed";"Probable"},'Data entry'!$AQ$6:$AQ$200,'Data Validation'!$V$8, 'Data entry'!$AP$6:$AP$200,'Data Validation'!$U$3, 'Data entry'!$BD$6:$BD$200,"&lt;&gt;*Negative*"))</f>
        <v>0</v>
      </c>
      <c r="BL22" s="15">
        <f>SUM(COUNTIFS('Data entry'!$R$6:$R$200,'Summary Data'!$A22,'Data entry'!$B$6:$B$200,{"Confirmed";"Probable"},'Data entry'!$AQ$6:$AQ$200,'Data Validation'!$V$8, 'Data entry'!$AP$6:$AP$200,'Data Validation'!$U$4, 'Data entry'!$BD$6:$BD$200,"&lt;&gt;*Negative*"))</f>
        <v>0</v>
      </c>
      <c r="BM22" s="15">
        <f>SUM(COUNTIFS('Data entry'!$R$6:$R$200,'Summary Data'!$A22,'Data entry'!$B$6:$B$200,{"Confirmed";"Probable"},'Data entry'!$AQ$6:$AQ$200,'Data Validation'!$V$8, 'Data entry'!$AP$6:$AP$200,'Data Validation'!$U$5, 'Data entry'!$BD$6:$BD$200,"&lt;&gt;*Negative*"))</f>
        <v>0</v>
      </c>
      <c r="BN22" s="15">
        <f>SUM(COUNTIFS('Data entry'!$R$6:$R$200,'Summary Data'!$A22,'Data entry'!$B$6:$B$200,{"Confirmed";"Probable"},'Data entry'!$AQ$6:$AQ$200,'Data Validation'!$V$8, 'Data entry'!$AP$6:$AP$200,'Data Validation'!$U$6, 'Data entry'!$BD$6:$BD$200,"&lt;&gt;*Negative*"))</f>
        <v>0</v>
      </c>
      <c r="BO22" s="15">
        <f>SUM(COUNTIFS('Data entry'!$R$6:$R$200,'Summary Data'!$A22,'Data entry'!$B$6:$B$200,{"Confirmed";"Probable"},'Data entry'!$AQ$6:$AQ$200,'Data Validation'!$V$9, 'Data entry'!$AP$6:$AP$200,'Data Validation'!$U$2, 'Data entry'!$BD$6:$BD$200,"&lt;&gt;*Negative*"))</f>
        <v>0</v>
      </c>
      <c r="BP22" s="15">
        <f>SUM(COUNTIFS('Data entry'!$R$6:$R$200,'Summary Data'!$A22,'Data entry'!$B$6:$B$200,{"Confirmed";"Probable"},'Data entry'!$AQ$6:$AQ$200,'Data Validation'!$V$9, 'Data entry'!$AP$6:$AP$200,'Data Validation'!$U$3, 'Data entry'!$BD$6:$BD$200,"&lt;&gt;*Negative*"))</f>
        <v>0</v>
      </c>
      <c r="BQ22" s="15">
        <f>SUM(COUNTIFS('Data entry'!$R$6:$R$200,'Summary Data'!$A22,'Data entry'!$B$6:$B$200,{"Confirmed";"Probable"},'Data entry'!$AQ$6:$AQ$200,'Data Validation'!$V$9, 'Data entry'!$AP$6:$AP$200,'Data Validation'!$U$4, 'Data entry'!$BD$6:$BD$200,"&lt;&gt;*Negative*"))</f>
        <v>0</v>
      </c>
      <c r="BR22" s="15">
        <f>SUM(COUNTIFS('Data entry'!$R$6:$R$200,'Summary Data'!$A22,'Data entry'!$B$6:$B$200,{"Confirmed";"Probable"},'Data entry'!$AQ$6:$AQ$200,'Data Validation'!$V$9, 'Data entry'!$AP$6:$AP$200,'Data Validation'!$U$5, 'Data entry'!$BD$6:$BD$200,"&lt;&gt;*Negative*"))</f>
        <v>0</v>
      </c>
      <c r="BS22" s="15">
        <f>SUM(COUNTIFS('Data entry'!$R$6:$R$200,'Summary Data'!$A22,'Data entry'!$B$6:$B$200,{"Confirmed";"Probable"},'Data entry'!$AQ$6:$AQ$200,'Data Validation'!$V$9, 'Data entry'!$AP$6:$AP$200,'Data Validation'!$U$6, 'Data entry'!$BD$6:$BD$200,"&lt;&gt;*Negative*"))</f>
        <v>0</v>
      </c>
      <c r="BT22" s="15">
        <f>SUM(COUNTIFS('Data entry'!$R$6:$R$200,'Summary Data'!$A22,'Data entry'!$B$6:$B$200,{"Confirmed";"Probable"},'Data entry'!$AQ$6:$AQ$200,'Data Validation'!$V$10, 'Data entry'!$AP$6:$AP$200,'Data Validation'!$U$2, 'Data entry'!$BD$6:$BD$200,"&lt;&gt;*Negative*"))</f>
        <v>0</v>
      </c>
      <c r="BU22" s="15">
        <f>SUM(COUNTIFS('Data entry'!$R$6:$R$200,'Summary Data'!$A22,'Data entry'!$B$6:$B$200,{"Confirmed";"Probable"},'Data entry'!$AQ$6:$AQ$200,'Data Validation'!$V$10, 'Data entry'!$AP$6:$AP$200,'Data Validation'!$U$3, 'Data entry'!$BD$6:$BD$200,"&lt;&gt;*Negative*"))</f>
        <v>0</v>
      </c>
      <c r="BV22" s="15">
        <f>SUM(COUNTIFS('Data entry'!$R$6:$R$200,'Summary Data'!$A22,'Data entry'!$B$6:$B$200,{"Confirmed";"Probable"},'Data entry'!$AQ$6:$AQ$200,'Data Validation'!$V$10, 'Data entry'!$AP$6:$AP$200,'Data Validation'!$U$4, 'Data entry'!$BD$6:$BD$200,"&lt;&gt;*Negative*"))</f>
        <v>0</v>
      </c>
      <c r="BW22" s="15">
        <f>SUM(COUNTIFS('Data entry'!$R$6:$R$200,'Summary Data'!$A22,'Data entry'!$B$6:$B$200,{"Confirmed";"Probable"},'Data entry'!$AQ$6:$AQ$200,'Data Validation'!$V$10, 'Data entry'!$AP$6:$AP$200,'Data Validation'!$U$5, 'Data entry'!$BD$6:$BD$200,"&lt;&gt;*Negative*"))</f>
        <v>0</v>
      </c>
      <c r="BX22" s="15">
        <f>SUM(COUNTIFS('Data entry'!$R$6:$R$200,'Summary Data'!$A22,'Data entry'!$B$6:$B$200,{"Confirmed";"Probable"},'Data entry'!$AQ$6:$AQ$200,'Data Validation'!$V$10, 'Data entry'!$AP$6:$AP$200,'Data Validation'!$U$6, 'Data entry'!$BD$6:$BD$200,"&lt;&gt;*Negative*"))</f>
        <v>0</v>
      </c>
      <c r="BY22" s="15">
        <f>SUM(COUNTIFS('Data entry'!$R$6:$R$200,'Summary Data'!$A22,'Data entry'!$B$6:$B$200,{"Confirmed";"Probable"},'Data entry'!$AQ$6:$AQ$200,'Data Validation'!$V$11, 'Data entry'!$AP$6:$AP$200,'Data Validation'!$U$2, 'Data entry'!$BD$6:$BD$200,"&lt;&gt;*Negative*"))</f>
        <v>0</v>
      </c>
      <c r="BZ22" s="15">
        <f>SUM(COUNTIFS('Data entry'!$R$6:$R$200,'Summary Data'!$A22,'Data entry'!$B$6:$B$200,{"Confirmed";"Probable"},'Data entry'!$AQ$6:$AQ$200,'Data Validation'!$V$11, 'Data entry'!$AP$6:$AP$200,'Data Validation'!$U$3, 'Data entry'!$BD$6:$BD$200,"&lt;&gt;*Negative*"))</f>
        <v>0</v>
      </c>
      <c r="CA22" s="15">
        <f>SUM(COUNTIFS('Data entry'!$R$6:$R$200,'Summary Data'!$A22,'Data entry'!$B$6:$B$200,{"Confirmed";"Probable"},'Data entry'!$AQ$6:$AQ$200,'Data Validation'!$V$11, 'Data entry'!$AP$6:$AP$200,'Data Validation'!$U$4, 'Data entry'!$BD$6:$BD$200,"&lt;&gt;*Negative*"))</f>
        <v>0</v>
      </c>
      <c r="CB22" s="15">
        <f>SUM(COUNTIFS('Data entry'!$R$6:$R$200,'Summary Data'!$A22,'Data entry'!$B$6:$B$200,{"Confirmed";"Probable"},'Data entry'!$AQ$6:$AQ$200,'Data Validation'!$V$11, 'Data entry'!$AP$6:$AP$200,'Data Validation'!$U$5, 'Data entry'!$BD$6:$BD$200,"&lt;&gt;*Negative*"))</f>
        <v>0</v>
      </c>
      <c r="CC22" s="15">
        <f>SUM(COUNTIFS('Data entry'!$R$6:$R$200,'Summary Data'!$A22,'Data entry'!$B$6:$B$200,{"Confirmed";"Probable"},'Data entry'!$AQ$6:$AQ$200,'Data Validation'!$V$11, 'Data entry'!$AP$6:$AP$200,'Data Validation'!$U$6, 'Data entry'!$BD$6:$BD$200,"&lt;&gt;*Negative*"))</f>
        <v>0</v>
      </c>
    </row>
    <row r="23" spans="1:81" x14ac:dyDescent="0.25">
      <c r="A23" s="12">
        <f t="shared" si="5"/>
        <v>11</v>
      </c>
      <c r="B23" s="13">
        <f t="shared" si="2"/>
        <v>0</v>
      </c>
      <c r="C23" s="13">
        <f>COUNTIFS('Data entry'!$R$6:$R$200,$A23,'Data entry'!$B$6:$B$200,"Confirmed",'Data entry'!$BD$6:$BD$200,"&lt;&gt;*Negative*")</f>
        <v>0</v>
      </c>
      <c r="D23" s="13">
        <f>COUNTIFS('Data entry'!$R$6:$R$200,$A23,'Data entry'!$B$6:$B$200,"Probable",'Data entry'!$BD$6:$BD$200,"&lt;&gt;*Negative*")</f>
        <v>0</v>
      </c>
      <c r="E23" s="13">
        <f>COUNTIFS('Data entry'!$R$6:$R$200,$A23,'Data entry'!$B$6:$B$200,"DNM")</f>
        <v>0</v>
      </c>
      <c r="F23" s="13">
        <f>SUM(COUNTIFS('Data entry'!$R$6:$R$200,'Summary Data'!$A23,'Data entry'!$B$6:$B$200,{"Confirmed";"Probable"},'Data entry'!$AO$6:$AO$200,$F$10, 'Data entry'!$BD$6:$BD$200,"&lt;&gt;*Negative*"))</f>
        <v>0</v>
      </c>
      <c r="G23" s="13">
        <f>SUM(COUNTIFS('Data entry'!$R$6:$R$200,'Summary Data'!$A23,'Data entry'!$B$6:$B$200,{"Confirmed";"Probable"},'Data entry'!$AO$6:$AO$200,$G$10, 'Data entry'!$BD$6:$BD$200,"&lt;&gt;*Negative*"))</f>
        <v>0</v>
      </c>
      <c r="H23" s="13">
        <f>SUM(COUNTIFS('Data entry'!$R$6:$R$200,'Summary Data'!$A23,'Data entry'!$B$6:$B$200,{"Confirmed";"Probable"},'Data entry'!$AO$6:$AO$200,$H$10, 'Data entry'!$BD$6:$BD$200,"&lt;&gt;*Negative*"))</f>
        <v>0</v>
      </c>
      <c r="I23" s="13">
        <f>SUM(COUNTIFS('Data entry'!$R$6:$R$200,'Summary Data'!$A23,'Data entry'!$B$6:$B$200,{"Confirmed";"Probable"},'Data entry'!$AO$6:$AO$200,$I$10, 'Data entry'!$BD$6:$BD$200,"&lt;&gt;*Negative*"))</f>
        <v>0</v>
      </c>
      <c r="J23" s="13">
        <f>SUM(COUNTIFS('Data entry'!$R$6:$R$200,'Summary Data'!$A23,'Data entry'!$B$6:$B$200,{"Confirmed";"Probable"},'Data entry'!$AO$6:$AO$200,$J$10, 'Data entry'!$BD$6:$BD$200,"&lt;&gt;*Negative*"))</f>
        <v>0</v>
      </c>
      <c r="K23" s="13">
        <f>SUM(COUNTIFS('Data entry'!$R$6:$R$200,'Summary Data'!$A23,'Data entry'!$B$6:$B$200,{"Confirmed";"Probable"},'Data entry'!$AO$6:$AO$200,$K$10, 'Data entry'!$BD$6:$BD$200,"&lt;&gt;*Negative*"))</f>
        <v>0</v>
      </c>
      <c r="L23" s="13">
        <f>SUM(COUNTIFS('Data entry'!$R$6:$R$200,'Summary Data'!$A23,'Data entry'!$B$6:$B$200,{"Confirmed";"Probable"},'Data entry'!$AO$6:$AO$200,$L$10, 'Data entry'!$BD$6:$BD$200,"&lt;&gt;*Negative*"))</f>
        <v>0</v>
      </c>
      <c r="M23" s="13">
        <f>SUM(COUNTIFS('Data entry'!$R$6:$R$200,'Summary Data'!$A23,'Data entry'!$B$6:$B$200,{"Confirmed";"Probable"},'Data entry'!$AO$6:$AO$200,$M$10, 'Data entry'!$BD$6:$BD$200,"&lt;&gt;*Negative*"))</f>
        <v>0</v>
      </c>
      <c r="N23" s="13">
        <f>SUM(COUNTIFS('Data entry'!$R$6:$R$200,'Summary Data'!$A23,'Data entry'!$B$6:$B$200,{"Confirmed";"Probable"},'Data entry'!$AO$6:$AO$200,$N$10, 'Data entry'!$BD$6:$BD$200,"&lt;&gt;*Negative*"))</f>
        <v>0</v>
      </c>
      <c r="O23" s="15">
        <f t="shared" si="3"/>
        <v>0</v>
      </c>
      <c r="P23" s="15">
        <f t="shared" si="4"/>
        <v>0</v>
      </c>
      <c r="Q23" s="15">
        <f>SUM(COUNTIFS('Data entry'!$R$6:$R$200,'Summary Data'!$A23,'Data entry'!$B$6:$B$200,{"Confirmed";"Probable"},'Data entry'!$AP$6:$AP$200,'Data Validation'!$U$2, 'Data entry'!$BD$6:$BD$200,"&lt;&gt;*Negative*"))</f>
        <v>0</v>
      </c>
      <c r="R23" s="15">
        <f>SUM(COUNTIFS('Data entry'!$R$6:$R$200,'Summary Data'!$A23,'Data entry'!$B$6:$B$200,{"Confirmed";"Probable"},'Data entry'!$AP$6:$AP$200,'Data Validation'!$U$3, 'Data entry'!$BD$6:$BD$200,"&lt;&gt;*Negative*"))</f>
        <v>0</v>
      </c>
      <c r="S23" s="15">
        <f>SUM(COUNTIFS('Data entry'!$R$6:$R$200,'Summary Data'!$A23,'Data entry'!$B$6:$B$200,{"Confirmed";"Probable"},'Data entry'!$AP$6:$AP$200,'Data Validation'!$U$4, 'Data entry'!$BD$6:$BD$200,"&lt;&gt;*Negative*"))</f>
        <v>0</v>
      </c>
      <c r="T23" s="15">
        <f>SUM(COUNTIFS('Data entry'!$R$6:$R$200,'Summary Data'!$A23,'Data entry'!$B$6:$B$200,{"Confirmed";"Probable"},'Data entry'!$AP$6:$AP$200,'Data Validation'!$U$5, 'Data entry'!$BD$6:$BD$200,"&lt;&gt;*Negative*"))</f>
        <v>0</v>
      </c>
      <c r="U23" s="15">
        <f>SUM(COUNTIFS('Data entry'!$R$6:$R$200,'Summary Data'!$A23,'Data entry'!$B$6:$B$200,{"Confirmed";"Probable"},'Data entry'!$AP$6:$AP$200,'Data Validation'!$U$6, 'Data entry'!$BD$6:$BD$200,"&lt;&gt;*Negative*"))</f>
        <v>0</v>
      </c>
      <c r="V23" s="15">
        <f>SUM(COUNTIFS('Data entry'!$R$6:$R$200,'Summary Data'!$A23,'Data entry'!$B$6:$B$200,{"Confirmed";"Probable"},'Data entry'!$AQ$6:$AQ$200,'Data Validation'!$V$2, 'Data entry'!$BD$6:$BD$200,"&lt;&gt;*Negative*"))</f>
        <v>0</v>
      </c>
      <c r="W23" s="15">
        <f>SUM(COUNTIFS('Data entry'!$R$6:$R$200,'Summary Data'!$A23,'Data entry'!$B$6:$B$200,{"Confirmed";"Probable"},'Data entry'!$AQ$6:$AQ$200,'Data Validation'!$V$3, 'Data entry'!$BD$6:$BD$200,"&lt;&gt;*Negative*"))</f>
        <v>0</v>
      </c>
      <c r="X23" s="15">
        <f>SUM(COUNTIFS('Data entry'!$R$6:$R$200,'Summary Data'!$A23,'Data entry'!$B$6:$B$200,{"Confirmed";"Probable"},'Data entry'!$AQ$6:$AQ$200,'Data Validation'!$V$4, 'Data entry'!$BD$6:$BD$200,"&lt;&gt;*Negative*"))</f>
        <v>0</v>
      </c>
      <c r="Y23" s="15">
        <f>SUM(COUNTIFS('Data entry'!$R$6:$R$200,'Summary Data'!$A23,'Data entry'!$B$6:$B$200,{"Confirmed";"Probable"},'Data entry'!$AQ$6:$AQ$200,'Data Validation'!$V$5, 'Data entry'!$BD$6:$BD$200,"&lt;&gt;*Negative*"))</f>
        <v>0</v>
      </c>
      <c r="Z23" s="15">
        <f>SUM(COUNTIFS('Data entry'!$R$6:$R$200,'Summary Data'!$A23,'Data entry'!$B$6:$B$200,{"Confirmed";"Probable"},'Data entry'!$AQ$6:$AQ$200,'Data Validation'!$V$6, 'Data entry'!$BD$6:$BD$200,"&lt;&gt;*Negative*"))</f>
        <v>0</v>
      </c>
      <c r="AA23" s="15">
        <f>SUM(COUNTIFS('Data entry'!$R$6:$R$200,'Summary Data'!$A23,'Data entry'!$B$6:$B$200,{"Confirmed";"Probable"},'Data entry'!$AQ$6:$AQ$200,'Data Validation'!$V$7, 'Data entry'!$BD$6:$BD$200,"&lt;&gt;*Negative*"))</f>
        <v>0</v>
      </c>
      <c r="AB23" s="15">
        <f>SUM(COUNTIFS('Data entry'!$R$6:$R$200,'Summary Data'!$A23,'Data entry'!$B$6:$B$200,{"Confirmed";"Probable"},'Data entry'!$AQ$6:$AQ$200,'Data Validation'!$V$8, 'Data entry'!$BD$6:$BD$200,"&lt;&gt;*Negative*"))</f>
        <v>0</v>
      </c>
      <c r="AC23" s="15">
        <f>SUM(COUNTIFS('Data entry'!$R$6:$R$200,'Summary Data'!$A23,'Data entry'!$B$6:$B$200,{"Confirmed";"Probable"},'Data entry'!$AQ$6:$AQ$200,'Data Validation'!$V$9, 'Data entry'!$BD$6:$BD$200,"&lt;&gt;*Negative*"))</f>
        <v>0</v>
      </c>
      <c r="AD23" s="15">
        <f>SUM(COUNTIFS('Data entry'!$R$6:$R$200,'Summary Data'!$A23,'Data entry'!$B$6:$B$200,{"Confirmed";"Probable"},'Data entry'!$AQ$6:$AQ$200,'Data Validation'!$V$10, 'Data entry'!$BD$6:$BD$200,"&lt;&gt;*Negative*"))</f>
        <v>0</v>
      </c>
      <c r="AE23" s="15">
        <f>SUM(COUNTIFS('Data entry'!$R$6:$R$200,'Summary Data'!$A23,'Data entry'!$B$6:$B$200,{"Confirmed";"Probable"},'Data entry'!$AQ$6:$AQ$200,'Data Validation'!$V$11, 'Data entry'!$BD$6:$BD$200,"&lt;&gt;*Negative*"))</f>
        <v>0</v>
      </c>
      <c r="AF23" s="15">
        <f>SUM(COUNTIFS('Data entry'!$R$6:$R$200,'Summary Data'!$A23,'Data entry'!$B$6:$B$200,{"Confirmed";"Probable"},'Data entry'!$AQ$6:$AQ$200,'Data Validation'!$V$2, 'Data entry'!$AP$6:$AP$200,'Data Validation'!$U$2, 'Data entry'!$BD$6:$BD$200,"&lt;&gt;*Negative*"))</f>
        <v>0</v>
      </c>
      <c r="AG23" s="15">
        <f>SUM(COUNTIFS('Data entry'!$R$6:$R$200,'Summary Data'!$A23,'Data entry'!$B$6:$B$200,{"Confirmed";"Probable"},'Data entry'!$AQ$6:$AQ$200,'Data Validation'!$V$2, 'Data entry'!$AP$6:$AP$200,'Data Validation'!$U$3, 'Data entry'!$BD$6:$BD$200,"&lt;&gt;*Negative*"))</f>
        <v>0</v>
      </c>
      <c r="AH23" s="15">
        <f>SUM(COUNTIFS('Data entry'!$R$6:$R$200,'Summary Data'!$A23,'Data entry'!$B$6:$B$200,{"Confirmed";"Probable"},'Data entry'!$AQ$6:$AQ$200,'Data Validation'!$V$2, 'Data entry'!$AP$6:$AP$200,'Data Validation'!$U$4, 'Data entry'!$BD$6:$BD$200,"&lt;&gt;*Negative*"))</f>
        <v>0</v>
      </c>
      <c r="AI23" s="15">
        <f>SUM(COUNTIFS('Data entry'!$R$6:$R$200,'Summary Data'!$A23,'Data entry'!$B$6:$B$200,{"Confirmed";"Probable"},'Data entry'!$AQ$6:$AQ$200,'Data Validation'!$V$2, 'Data entry'!$AP$6:$AP$200,'Data Validation'!$U$5, 'Data entry'!$BD$6:$BD$200,"&lt;&gt;*Negative*"))</f>
        <v>0</v>
      </c>
      <c r="AJ23" s="15">
        <f>SUM(COUNTIFS('Data entry'!$R$6:$R$200,'Summary Data'!$A23,'Data entry'!$B$6:$B$200,{"Confirmed";"Probable"},'Data entry'!$AQ$6:$AQ$200,'Data Validation'!$V$2, 'Data entry'!$AP$6:$AP$200,'Data Validation'!$U$6, 'Data entry'!$BD$6:$BD$200,"&lt;&gt;*Negative*"))</f>
        <v>0</v>
      </c>
      <c r="AK23" s="15">
        <f>SUM(COUNTIFS('Data entry'!$R$6:$R$200,'Summary Data'!$A23,'Data entry'!$B$6:$B$200,{"Confirmed";"Probable"},'Data entry'!$AQ$6:$AQ$200,'Data Validation'!$V$3, 'Data entry'!$AP$6:$AP$200,'Data Validation'!$U$2, 'Data entry'!$BD$6:$BD$200,"&lt;&gt;*Negative*"))</f>
        <v>0</v>
      </c>
      <c r="AL23" s="15">
        <f>SUM(COUNTIFS('Data entry'!$R$6:$R$200,'Summary Data'!$A23,'Data entry'!$B$6:$B$200,{"Confirmed";"Probable"},'Data entry'!$AQ$6:$AQ$200,'Data Validation'!$V$3, 'Data entry'!$AP$6:$AP$200,'Data Validation'!$U$3, 'Data entry'!$BD$6:$BD$200,"&lt;&gt;*Negative*"))</f>
        <v>0</v>
      </c>
      <c r="AM23" s="15">
        <f>SUM(COUNTIFS('Data entry'!$R$6:$R$200,'Summary Data'!$A23,'Data entry'!$B$6:$B$200,{"Confirmed";"Probable"},'Data entry'!$AQ$6:$AQ$200,'Data Validation'!$V$3, 'Data entry'!$AP$6:$AP$200,'Data Validation'!$U$4, 'Data entry'!$BD$6:$BD$200,"&lt;&gt;*Negative*"))</f>
        <v>0</v>
      </c>
      <c r="AN23" s="15">
        <f>SUM(COUNTIFS('Data entry'!$R$6:$R$200,'Summary Data'!$A23,'Data entry'!$B$6:$B$200,{"Confirmed";"Probable"},'Data entry'!$AQ$6:$AQ$200,'Data Validation'!$V$3, 'Data entry'!$AP$6:$AP$200,'Data Validation'!$U$5, 'Data entry'!$BD$6:$BD$200,"&lt;&gt;*Negative*"))</f>
        <v>0</v>
      </c>
      <c r="AO23" s="15">
        <f>SUM(COUNTIFS('Data entry'!$R$6:$R$200,'Summary Data'!$A23,'Data entry'!$B$6:$B$200,{"Confirmed";"Probable"},'Data entry'!$AQ$6:$AQ$200,'Data Validation'!$V$3, 'Data entry'!$AP$6:$AP$200,'Data Validation'!$U$6, 'Data entry'!$BD$6:$BD$200,"&lt;&gt;*Negative*"))</f>
        <v>0</v>
      </c>
      <c r="AP23" s="15">
        <f>SUM(COUNTIFS('Data entry'!$R$6:$R$200,'Summary Data'!$A23,'Data entry'!$B$6:$B$200,{"Confirmed";"Probable"},'Data entry'!$AQ$6:$AQ$200,'Data Validation'!$V$4, 'Data entry'!$AP$6:$AP$200,'Data Validation'!$U$2, 'Data entry'!$BD$6:$BD$200,"&lt;&gt;*Negative*"))</f>
        <v>0</v>
      </c>
      <c r="AQ23" s="15">
        <f>SUM(COUNTIFS('Data entry'!$R$6:$R$200,'Summary Data'!$A23,'Data entry'!$B$6:$B$200,{"Confirmed";"Probable"},'Data entry'!$AQ$6:$AQ$200,'Data Validation'!$V$4, 'Data entry'!$AP$6:$AP$200,'Data Validation'!$U$3, 'Data entry'!$BD$6:$BD$200,"&lt;&gt;*Negative*"))</f>
        <v>0</v>
      </c>
      <c r="AR23" s="15">
        <f>SUM(COUNTIFS('Data entry'!$R$6:$R$200,'Summary Data'!$A23,'Data entry'!$B$6:$B$200,{"Confirmed";"Probable"},'Data entry'!$AQ$6:$AQ$200,'Data Validation'!$V$4, 'Data entry'!$AP$6:$AP$200,'Data Validation'!$U$4, 'Data entry'!$BD$6:$BD$200,"&lt;&gt;*Negative*"))</f>
        <v>0</v>
      </c>
      <c r="AS23" s="15">
        <f>SUM(COUNTIFS('Data entry'!$R$6:$R$200,'Summary Data'!$A23,'Data entry'!$B$6:$B$200,{"Confirmed";"Probable"},'Data entry'!$AQ$6:$AQ$200,'Data Validation'!$V$4, 'Data entry'!$AP$6:$AP$200,'Data Validation'!$U$5, 'Data entry'!$BD$6:$BD$200,"&lt;&gt;*Negative*"))</f>
        <v>0</v>
      </c>
      <c r="AT23" s="15">
        <f>SUM(COUNTIFS('Data entry'!$R$6:$R$200,'Summary Data'!$A23,'Data entry'!$B$6:$B$200,{"Confirmed";"Probable"},'Data entry'!$AQ$6:$AQ$200,'Data Validation'!$V$4, 'Data entry'!$AP$6:$AP$200,'Data Validation'!$U$6, 'Data entry'!$BD$6:$BD$200,"&lt;&gt;*Negative*"))</f>
        <v>0</v>
      </c>
      <c r="AU23" s="15">
        <f>SUM(COUNTIFS('Data entry'!$R$6:$R$200,'Summary Data'!$A23,'Data entry'!$B$6:$B$200,{"Confirmed";"Probable"},'Data entry'!$AQ$6:$AQ$200,'Data Validation'!$V$5, 'Data entry'!$AP$6:$AP$200,'Data Validation'!$U$2, 'Data entry'!$BD$6:$BD$200,"&lt;&gt;*Negative*"))</f>
        <v>0</v>
      </c>
      <c r="AV23" s="15">
        <f>SUM(COUNTIFS('Data entry'!$R$6:$R$200,'Summary Data'!$A23,'Data entry'!$B$6:$B$200,{"Confirmed";"Probable"},'Data entry'!$AQ$6:$AQ$200,'Data Validation'!$V$5, 'Data entry'!$AP$6:$AP$200,'Data Validation'!$U$3, 'Data entry'!$BD$6:$BD$200,"&lt;&gt;*Negative*"))</f>
        <v>0</v>
      </c>
      <c r="AW23" s="15">
        <f>SUM(COUNTIFS('Data entry'!$R$6:$R$200,'Summary Data'!$A23,'Data entry'!$B$6:$B$200,{"Confirmed";"Probable"},'Data entry'!$AQ$6:$AQ$200,'Data Validation'!$V$5, 'Data entry'!$AP$6:$AP$200,'Data Validation'!$U$4, 'Data entry'!$BD$6:$BD$200,"&lt;&gt;*Negative*"))</f>
        <v>0</v>
      </c>
      <c r="AX23" s="15">
        <f>SUM(COUNTIFS('Data entry'!$R$6:$R$200,'Summary Data'!$A23,'Data entry'!$B$6:$B$200,{"Confirmed";"Probable"},'Data entry'!$AQ$6:$AQ$200,'Data Validation'!$V$5, 'Data entry'!$AP$6:$AP$200,'Data Validation'!$U$5, 'Data entry'!$BD$6:$BD$200,"&lt;&gt;*Negative*"))</f>
        <v>0</v>
      </c>
      <c r="AY23" s="15">
        <f>SUM(COUNTIFS('Data entry'!$R$6:$R$200,'Summary Data'!$A23,'Data entry'!$B$6:$B$200,{"Confirmed";"Probable"},'Data entry'!$AQ$6:$AQ$200,'Data Validation'!$V$5, 'Data entry'!$AP$6:$AP$200,'Data Validation'!$U$6, 'Data entry'!$BD$6:$BD$200,"&lt;&gt;*Negative*"))</f>
        <v>0</v>
      </c>
      <c r="AZ23" s="15">
        <f>SUM(COUNTIFS('Data entry'!$R$6:$R$200,'Summary Data'!$A23,'Data entry'!$B$6:$B$200,{"Confirmed";"Probable"},'Data entry'!$AQ$6:$AQ$200,'Data Validation'!$V$6, 'Data entry'!$AP$6:$AP$200,'Data Validation'!$U$2, 'Data entry'!$BD$6:$BD$200,"&lt;&gt;*Negative*"))</f>
        <v>0</v>
      </c>
      <c r="BA23" s="15">
        <f>SUM(COUNTIFS('Data entry'!$R$6:$R$200,'Summary Data'!$A23,'Data entry'!$B$6:$B$200,{"Confirmed";"Probable"},'Data entry'!$AQ$6:$AQ$200,'Data Validation'!$V$6, 'Data entry'!$AP$6:$AP$200,'Data Validation'!$U$3, 'Data entry'!$BD$6:$BD$200,"&lt;&gt;*Negative*"))</f>
        <v>0</v>
      </c>
      <c r="BB23" s="15">
        <f>SUM(COUNTIFS('Data entry'!$R$6:$R$200,'Summary Data'!$A23,'Data entry'!$B$6:$B$200,{"Confirmed";"Probable"},'Data entry'!$AQ$6:$AQ$200,'Data Validation'!$V$6, 'Data entry'!$AP$6:$AP$200,'Data Validation'!$U$4, 'Data entry'!$BD$6:$BD$200,"&lt;&gt;*Negative*"))</f>
        <v>0</v>
      </c>
      <c r="BC23" s="15">
        <f>SUM(COUNTIFS('Data entry'!$R$6:$R$200,'Summary Data'!$A23,'Data entry'!$B$6:$B$200,{"Confirmed";"Probable"},'Data entry'!$AQ$6:$AQ$200,'Data Validation'!$V$6, 'Data entry'!$AP$6:$AP$200,'Data Validation'!$U$5, 'Data entry'!$BD$6:$BD$200,"&lt;&gt;*Negative*"))</f>
        <v>0</v>
      </c>
      <c r="BD23" s="15">
        <f>SUM(COUNTIFS('Data entry'!$R$6:$R$200,'Summary Data'!$A23,'Data entry'!$B$6:$B$200,{"Confirmed";"Probable"},'Data entry'!$AQ$6:$AQ$200,'Data Validation'!$V$6, 'Data entry'!$AP$6:$AP$200,'Data Validation'!$U$6, 'Data entry'!$BD$6:$BD$200,"&lt;&gt;*Negative*"))</f>
        <v>0</v>
      </c>
      <c r="BE23" s="15">
        <f>SUM(COUNTIFS('Data entry'!$R$6:$R$200,'Summary Data'!$A23,'Data entry'!$B$6:$B$200,{"Confirmed";"Probable"},'Data entry'!$AQ$6:$AQ$200,'Data Validation'!$V$7, 'Data entry'!$AP$6:$AP$200,'Data Validation'!$U$2, 'Data entry'!$BD$6:$BD$200,"&lt;&gt;*Negative*"))</f>
        <v>0</v>
      </c>
      <c r="BF23" s="15">
        <f>SUM(COUNTIFS('Data entry'!$R$6:$R$200,'Summary Data'!$A23,'Data entry'!$B$6:$B$200,{"Confirmed";"Probable"},'Data entry'!$AQ$6:$AQ$200,'Data Validation'!$V$7, 'Data entry'!$AP$6:$AP$200,'Data Validation'!$U$3, 'Data entry'!$BD$6:$BD$200,"&lt;&gt;*Negative*"))</f>
        <v>0</v>
      </c>
      <c r="BG23" s="15">
        <f>SUM(COUNTIFS('Data entry'!$R$6:$R$200,'Summary Data'!$A23,'Data entry'!$B$6:$B$200,{"Confirmed";"Probable"},'Data entry'!$AQ$6:$AQ$200,'Data Validation'!$V$7, 'Data entry'!$AP$6:$AP$200,'Data Validation'!$U$4, 'Data entry'!$BD$6:$BD$200,"&lt;&gt;*Negative*"))</f>
        <v>0</v>
      </c>
      <c r="BH23" s="15">
        <f>SUM(COUNTIFS('Data entry'!$R$6:$R$200,'Summary Data'!$A23,'Data entry'!$B$6:$B$200,{"Confirmed";"Probable"},'Data entry'!$AQ$6:$AQ$200,'Data Validation'!$V$7, 'Data entry'!$AP$6:$AP$200,'Data Validation'!$U$5, 'Data entry'!$BD$6:$BD$200,"&lt;&gt;*Negative*"))</f>
        <v>0</v>
      </c>
      <c r="BI23" s="15">
        <f>SUM(COUNTIFS('Data entry'!$R$6:$R$200,'Summary Data'!$A23,'Data entry'!$B$6:$B$200,{"Confirmed";"Probable"},'Data entry'!$AQ$6:$AQ$200,'Data Validation'!$V$7, 'Data entry'!$AP$6:$AP$200,'Data Validation'!$U$6, 'Data entry'!$BD$6:$BD$200,"&lt;&gt;*Negative*"))</f>
        <v>0</v>
      </c>
      <c r="BJ23" s="15">
        <f>SUM(COUNTIFS('Data entry'!$R$6:$R$200,'Summary Data'!$A23,'Data entry'!$B$6:$B$200,{"Confirmed";"Probable"},'Data entry'!$AQ$6:$AQ$200,'Data Validation'!$V$8, 'Data entry'!$AP$6:$AP$200,'Data Validation'!$U$2, 'Data entry'!$BD$6:$BD$200,"&lt;&gt;*Negative*"))</f>
        <v>0</v>
      </c>
      <c r="BK23" s="15">
        <f>SUM(COUNTIFS('Data entry'!$R$6:$R$200,'Summary Data'!$A23,'Data entry'!$B$6:$B$200,{"Confirmed";"Probable"},'Data entry'!$AQ$6:$AQ$200,'Data Validation'!$V$8, 'Data entry'!$AP$6:$AP$200,'Data Validation'!$U$3, 'Data entry'!$BD$6:$BD$200,"&lt;&gt;*Negative*"))</f>
        <v>0</v>
      </c>
      <c r="BL23" s="15">
        <f>SUM(COUNTIFS('Data entry'!$R$6:$R$200,'Summary Data'!$A23,'Data entry'!$B$6:$B$200,{"Confirmed";"Probable"},'Data entry'!$AQ$6:$AQ$200,'Data Validation'!$V$8, 'Data entry'!$AP$6:$AP$200,'Data Validation'!$U$4, 'Data entry'!$BD$6:$BD$200,"&lt;&gt;*Negative*"))</f>
        <v>0</v>
      </c>
      <c r="BM23" s="15">
        <f>SUM(COUNTIFS('Data entry'!$R$6:$R$200,'Summary Data'!$A23,'Data entry'!$B$6:$B$200,{"Confirmed";"Probable"},'Data entry'!$AQ$6:$AQ$200,'Data Validation'!$V$8, 'Data entry'!$AP$6:$AP$200,'Data Validation'!$U$5, 'Data entry'!$BD$6:$BD$200,"&lt;&gt;*Negative*"))</f>
        <v>0</v>
      </c>
      <c r="BN23" s="15">
        <f>SUM(COUNTIFS('Data entry'!$R$6:$R$200,'Summary Data'!$A23,'Data entry'!$B$6:$B$200,{"Confirmed";"Probable"},'Data entry'!$AQ$6:$AQ$200,'Data Validation'!$V$8, 'Data entry'!$AP$6:$AP$200,'Data Validation'!$U$6, 'Data entry'!$BD$6:$BD$200,"&lt;&gt;*Negative*"))</f>
        <v>0</v>
      </c>
      <c r="BO23" s="15">
        <f>SUM(COUNTIFS('Data entry'!$R$6:$R$200,'Summary Data'!$A23,'Data entry'!$B$6:$B$200,{"Confirmed";"Probable"},'Data entry'!$AQ$6:$AQ$200,'Data Validation'!$V$9, 'Data entry'!$AP$6:$AP$200,'Data Validation'!$U$2, 'Data entry'!$BD$6:$BD$200,"&lt;&gt;*Negative*"))</f>
        <v>0</v>
      </c>
      <c r="BP23" s="15">
        <f>SUM(COUNTIFS('Data entry'!$R$6:$R$200,'Summary Data'!$A23,'Data entry'!$B$6:$B$200,{"Confirmed";"Probable"},'Data entry'!$AQ$6:$AQ$200,'Data Validation'!$V$9, 'Data entry'!$AP$6:$AP$200,'Data Validation'!$U$3, 'Data entry'!$BD$6:$BD$200,"&lt;&gt;*Negative*"))</f>
        <v>0</v>
      </c>
      <c r="BQ23" s="15">
        <f>SUM(COUNTIFS('Data entry'!$R$6:$R$200,'Summary Data'!$A23,'Data entry'!$B$6:$B$200,{"Confirmed";"Probable"},'Data entry'!$AQ$6:$AQ$200,'Data Validation'!$V$9, 'Data entry'!$AP$6:$AP$200,'Data Validation'!$U$4, 'Data entry'!$BD$6:$BD$200,"&lt;&gt;*Negative*"))</f>
        <v>0</v>
      </c>
      <c r="BR23" s="15">
        <f>SUM(COUNTIFS('Data entry'!$R$6:$R$200,'Summary Data'!$A23,'Data entry'!$B$6:$B$200,{"Confirmed";"Probable"},'Data entry'!$AQ$6:$AQ$200,'Data Validation'!$V$9, 'Data entry'!$AP$6:$AP$200,'Data Validation'!$U$5, 'Data entry'!$BD$6:$BD$200,"&lt;&gt;*Negative*"))</f>
        <v>0</v>
      </c>
      <c r="BS23" s="15">
        <f>SUM(COUNTIFS('Data entry'!$R$6:$R$200,'Summary Data'!$A23,'Data entry'!$B$6:$B$200,{"Confirmed";"Probable"},'Data entry'!$AQ$6:$AQ$200,'Data Validation'!$V$9, 'Data entry'!$AP$6:$AP$200,'Data Validation'!$U$6, 'Data entry'!$BD$6:$BD$200,"&lt;&gt;*Negative*"))</f>
        <v>0</v>
      </c>
      <c r="BT23" s="15">
        <f>SUM(COUNTIFS('Data entry'!$R$6:$R$200,'Summary Data'!$A23,'Data entry'!$B$6:$B$200,{"Confirmed";"Probable"},'Data entry'!$AQ$6:$AQ$200,'Data Validation'!$V$10, 'Data entry'!$AP$6:$AP$200,'Data Validation'!$U$2, 'Data entry'!$BD$6:$BD$200,"&lt;&gt;*Negative*"))</f>
        <v>0</v>
      </c>
      <c r="BU23" s="15">
        <f>SUM(COUNTIFS('Data entry'!$R$6:$R$200,'Summary Data'!$A23,'Data entry'!$B$6:$B$200,{"Confirmed";"Probable"},'Data entry'!$AQ$6:$AQ$200,'Data Validation'!$V$10, 'Data entry'!$AP$6:$AP$200,'Data Validation'!$U$3, 'Data entry'!$BD$6:$BD$200,"&lt;&gt;*Negative*"))</f>
        <v>0</v>
      </c>
      <c r="BV23" s="15">
        <f>SUM(COUNTIFS('Data entry'!$R$6:$R$200,'Summary Data'!$A23,'Data entry'!$B$6:$B$200,{"Confirmed";"Probable"},'Data entry'!$AQ$6:$AQ$200,'Data Validation'!$V$10, 'Data entry'!$AP$6:$AP$200,'Data Validation'!$U$4, 'Data entry'!$BD$6:$BD$200,"&lt;&gt;*Negative*"))</f>
        <v>0</v>
      </c>
      <c r="BW23" s="15">
        <f>SUM(COUNTIFS('Data entry'!$R$6:$R$200,'Summary Data'!$A23,'Data entry'!$B$6:$B$200,{"Confirmed";"Probable"},'Data entry'!$AQ$6:$AQ$200,'Data Validation'!$V$10, 'Data entry'!$AP$6:$AP$200,'Data Validation'!$U$5, 'Data entry'!$BD$6:$BD$200,"&lt;&gt;*Negative*"))</f>
        <v>0</v>
      </c>
      <c r="BX23" s="15">
        <f>SUM(COUNTIFS('Data entry'!$R$6:$R$200,'Summary Data'!$A23,'Data entry'!$B$6:$B$200,{"Confirmed";"Probable"},'Data entry'!$AQ$6:$AQ$200,'Data Validation'!$V$10, 'Data entry'!$AP$6:$AP$200,'Data Validation'!$U$6, 'Data entry'!$BD$6:$BD$200,"&lt;&gt;*Negative*"))</f>
        <v>0</v>
      </c>
      <c r="BY23" s="15">
        <f>SUM(COUNTIFS('Data entry'!$R$6:$R$200,'Summary Data'!$A23,'Data entry'!$B$6:$B$200,{"Confirmed";"Probable"},'Data entry'!$AQ$6:$AQ$200,'Data Validation'!$V$11, 'Data entry'!$AP$6:$AP$200,'Data Validation'!$U$2, 'Data entry'!$BD$6:$BD$200,"&lt;&gt;*Negative*"))</f>
        <v>0</v>
      </c>
      <c r="BZ23" s="15">
        <f>SUM(COUNTIFS('Data entry'!$R$6:$R$200,'Summary Data'!$A23,'Data entry'!$B$6:$B$200,{"Confirmed";"Probable"},'Data entry'!$AQ$6:$AQ$200,'Data Validation'!$V$11, 'Data entry'!$AP$6:$AP$200,'Data Validation'!$U$3, 'Data entry'!$BD$6:$BD$200,"&lt;&gt;*Negative*"))</f>
        <v>0</v>
      </c>
      <c r="CA23" s="15">
        <f>SUM(COUNTIFS('Data entry'!$R$6:$R$200,'Summary Data'!$A23,'Data entry'!$B$6:$B$200,{"Confirmed";"Probable"},'Data entry'!$AQ$6:$AQ$200,'Data Validation'!$V$11, 'Data entry'!$AP$6:$AP$200,'Data Validation'!$U$4, 'Data entry'!$BD$6:$BD$200,"&lt;&gt;*Negative*"))</f>
        <v>0</v>
      </c>
      <c r="CB23" s="15">
        <f>SUM(COUNTIFS('Data entry'!$R$6:$R$200,'Summary Data'!$A23,'Data entry'!$B$6:$B$200,{"Confirmed";"Probable"},'Data entry'!$AQ$6:$AQ$200,'Data Validation'!$V$11, 'Data entry'!$AP$6:$AP$200,'Data Validation'!$U$5, 'Data entry'!$BD$6:$BD$200,"&lt;&gt;*Negative*"))</f>
        <v>0</v>
      </c>
      <c r="CC23" s="15">
        <f>SUM(COUNTIFS('Data entry'!$R$6:$R$200,'Summary Data'!$A23,'Data entry'!$B$6:$B$200,{"Confirmed";"Probable"},'Data entry'!$AQ$6:$AQ$200,'Data Validation'!$V$11, 'Data entry'!$AP$6:$AP$200,'Data Validation'!$U$6, 'Data entry'!$BD$6:$BD$200,"&lt;&gt;*Negative*"))</f>
        <v>0</v>
      </c>
    </row>
    <row r="24" spans="1:81" x14ac:dyDescent="0.25">
      <c r="A24" s="12">
        <f t="shared" si="5"/>
        <v>12</v>
      </c>
      <c r="B24" s="13">
        <f t="shared" si="2"/>
        <v>0</v>
      </c>
      <c r="C24" s="13">
        <f>COUNTIFS('Data entry'!$R$6:$R$200,$A24,'Data entry'!$B$6:$B$200,"Confirmed",'Data entry'!$BD$6:$BD$200,"&lt;&gt;*Negative*")</f>
        <v>0</v>
      </c>
      <c r="D24" s="13">
        <f>COUNTIFS('Data entry'!$R$6:$R$200,$A24,'Data entry'!$B$6:$B$200,"Probable",'Data entry'!$BD$6:$BD$200,"&lt;&gt;*Negative*")</f>
        <v>0</v>
      </c>
      <c r="E24" s="13">
        <f>COUNTIFS('Data entry'!$R$6:$R$200,$A24,'Data entry'!$B$6:$B$200,"DNM")</f>
        <v>0</v>
      </c>
      <c r="F24" s="13">
        <f>SUM(COUNTIFS('Data entry'!$R$6:$R$200,'Summary Data'!$A24,'Data entry'!$B$6:$B$200,{"Confirmed";"Probable"},'Data entry'!$AO$6:$AO$200,$F$10, 'Data entry'!$BD$6:$BD$200,"&lt;&gt;*Negative*"))</f>
        <v>0</v>
      </c>
      <c r="G24" s="13">
        <f>SUM(COUNTIFS('Data entry'!$R$6:$R$200,'Summary Data'!$A24,'Data entry'!$B$6:$B$200,{"Confirmed";"Probable"},'Data entry'!$AO$6:$AO$200,$G$10, 'Data entry'!$BD$6:$BD$200,"&lt;&gt;*Negative*"))</f>
        <v>0</v>
      </c>
      <c r="H24" s="13">
        <f>SUM(COUNTIFS('Data entry'!$R$6:$R$200,'Summary Data'!$A24,'Data entry'!$B$6:$B$200,{"Confirmed";"Probable"},'Data entry'!$AO$6:$AO$200,$H$10, 'Data entry'!$BD$6:$BD$200,"&lt;&gt;*Negative*"))</f>
        <v>0</v>
      </c>
      <c r="I24" s="13">
        <f>SUM(COUNTIFS('Data entry'!$R$6:$R$200,'Summary Data'!$A24,'Data entry'!$B$6:$B$200,{"Confirmed";"Probable"},'Data entry'!$AO$6:$AO$200,$I$10, 'Data entry'!$BD$6:$BD$200,"&lt;&gt;*Negative*"))</f>
        <v>0</v>
      </c>
      <c r="J24" s="13">
        <f>SUM(COUNTIFS('Data entry'!$R$6:$R$200,'Summary Data'!$A24,'Data entry'!$B$6:$B$200,{"Confirmed";"Probable"},'Data entry'!$AO$6:$AO$200,$J$10, 'Data entry'!$BD$6:$BD$200,"&lt;&gt;*Negative*"))</f>
        <v>0</v>
      </c>
      <c r="K24" s="13">
        <f>SUM(COUNTIFS('Data entry'!$R$6:$R$200,'Summary Data'!$A24,'Data entry'!$B$6:$B$200,{"Confirmed";"Probable"},'Data entry'!$AO$6:$AO$200,$K$10, 'Data entry'!$BD$6:$BD$200,"&lt;&gt;*Negative*"))</f>
        <v>0</v>
      </c>
      <c r="L24" s="13">
        <f>SUM(COUNTIFS('Data entry'!$R$6:$R$200,'Summary Data'!$A24,'Data entry'!$B$6:$B$200,{"Confirmed";"Probable"},'Data entry'!$AO$6:$AO$200,$L$10, 'Data entry'!$BD$6:$BD$200,"&lt;&gt;*Negative*"))</f>
        <v>0</v>
      </c>
      <c r="M24" s="13">
        <f>SUM(COUNTIFS('Data entry'!$R$6:$R$200,'Summary Data'!$A24,'Data entry'!$B$6:$B$200,{"Confirmed";"Probable"},'Data entry'!$AO$6:$AO$200,$M$10, 'Data entry'!$BD$6:$BD$200,"&lt;&gt;*Negative*"))</f>
        <v>0</v>
      </c>
      <c r="N24" s="13">
        <f>SUM(COUNTIFS('Data entry'!$R$6:$R$200,'Summary Data'!$A24,'Data entry'!$B$6:$B$200,{"Confirmed";"Probable"},'Data entry'!$AO$6:$AO$200,$N$10, 'Data entry'!$BD$6:$BD$200,"&lt;&gt;*Negative*"))</f>
        <v>0</v>
      </c>
      <c r="O24" s="15">
        <f t="shared" si="3"/>
        <v>0</v>
      </c>
      <c r="P24" s="15">
        <f t="shared" si="4"/>
        <v>0</v>
      </c>
      <c r="Q24" s="15">
        <f>SUM(COUNTIFS('Data entry'!$R$6:$R$200,'Summary Data'!$A24,'Data entry'!$B$6:$B$200,{"Confirmed";"Probable"},'Data entry'!$AP$6:$AP$200,'Data Validation'!$U$2, 'Data entry'!$BD$6:$BD$200,"&lt;&gt;*Negative*"))</f>
        <v>0</v>
      </c>
      <c r="R24" s="15">
        <f>SUM(COUNTIFS('Data entry'!$R$6:$R$200,'Summary Data'!$A24,'Data entry'!$B$6:$B$200,{"Confirmed";"Probable"},'Data entry'!$AP$6:$AP$200,'Data Validation'!$U$3, 'Data entry'!$BD$6:$BD$200,"&lt;&gt;*Negative*"))</f>
        <v>0</v>
      </c>
      <c r="S24" s="15">
        <f>SUM(COUNTIFS('Data entry'!$R$6:$R$200,'Summary Data'!$A24,'Data entry'!$B$6:$B$200,{"Confirmed";"Probable"},'Data entry'!$AP$6:$AP$200,'Data Validation'!$U$4, 'Data entry'!$BD$6:$BD$200,"&lt;&gt;*Negative*"))</f>
        <v>0</v>
      </c>
      <c r="T24" s="15">
        <f>SUM(COUNTIFS('Data entry'!$R$6:$R$200,'Summary Data'!$A24,'Data entry'!$B$6:$B$200,{"Confirmed";"Probable"},'Data entry'!$AP$6:$AP$200,'Data Validation'!$U$5, 'Data entry'!$BD$6:$BD$200,"&lt;&gt;*Negative*"))</f>
        <v>0</v>
      </c>
      <c r="U24" s="15">
        <f>SUM(COUNTIFS('Data entry'!$R$6:$R$200,'Summary Data'!$A24,'Data entry'!$B$6:$B$200,{"Confirmed";"Probable"},'Data entry'!$AP$6:$AP$200,'Data Validation'!$U$6, 'Data entry'!$BD$6:$BD$200,"&lt;&gt;*Negative*"))</f>
        <v>0</v>
      </c>
      <c r="V24" s="15">
        <f>SUM(COUNTIFS('Data entry'!$R$6:$R$200,'Summary Data'!$A24,'Data entry'!$B$6:$B$200,{"Confirmed";"Probable"},'Data entry'!$AQ$6:$AQ$200,'Data Validation'!$V$2, 'Data entry'!$BD$6:$BD$200,"&lt;&gt;*Negative*"))</f>
        <v>0</v>
      </c>
      <c r="W24" s="15">
        <f>SUM(COUNTIFS('Data entry'!$R$6:$R$200,'Summary Data'!$A24,'Data entry'!$B$6:$B$200,{"Confirmed";"Probable"},'Data entry'!$AQ$6:$AQ$200,'Data Validation'!$V$3, 'Data entry'!$BD$6:$BD$200,"&lt;&gt;*Negative*"))</f>
        <v>0</v>
      </c>
      <c r="X24" s="15">
        <f>SUM(COUNTIFS('Data entry'!$R$6:$R$200,'Summary Data'!$A24,'Data entry'!$B$6:$B$200,{"Confirmed";"Probable"},'Data entry'!$AQ$6:$AQ$200,'Data Validation'!$V$4, 'Data entry'!$BD$6:$BD$200,"&lt;&gt;*Negative*"))</f>
        <v>0</v>
      </c>
      <c r="Y24" s="15">
        <f>SUM(COUNTIFS('Data entry'!$R$6:$R$200,'Summary Data'!$A24,'Data entry'!$B$6:$B$200,{"Confirmed";"Probable"},'Data entry'!$AQ$6:$AQ$200,'Data Validation'!$V$5, 'Data entry'!$BD$6:$BD$200,"&lt;&gt;*Negative*"))</f>
        <v>0</v>
      </c>
      <c r="Z24" s="15">
        <f>SUM(COUNTIFS('Data entry'!$R$6:$R$200,'Summary Data'!$A24,'Data entry'!$B$6:$B$200,{"Confirmed";"Probable"},'Data entry'!$AQ$6:$AQ$200,'Data Validation'!$V$6, 'Data entry'!$BD$6:$BD$200,"&lt;&gt;*Negative*"))</f>
        <v>0</v>
      </c>
      <c r="AA24" s="15">
        <f>SUM(COUNTIFS('Data entry'!$R$6:$R$200,'Summary Data'!$A24,'Data entry'!$B$6:$B$200,{"Confirmed";"Probable"},'Data entry'!$AQ$6:$AQ$200,'Data Validation'!$V$7, 'Data entry'!$BD$6:$BD$200,"&lt;&gt;*Negative*"))</f>
        <v>0</v>
      </c>
      <c r="AB24" s="15">
        <f>SUM(COUNTIFS('Data entry'!$R$6:$R$200,'Summary Data'!$A24,'Data entry'!$B$6:$B$200,{"Confirmed";"Probable"},'Data entry'!$AQ$6:$AQ$200,'Data Validation'!$V$8, 'Data entry'!$BD$6:$BD$200,"&lt;&gt;*Negative*"))</f>
        <v>0</v>
      </c>
      <c r="AC24" s="15">
        <f>SUM(COUNTIFS('Data entry'!$R$6:$R$200,'Summary Data'!$A24,'Data entry'!$B$6:$B$200,{"Confirmed";"Probable"},'Data entry'!$AQ$6:$AQ$200,'Data Validation'!$V$9, 'Data entry'!$BD$6:$BD$200,"&lt;&gt;*Negative*"))</f>
        <v>0</v>
      </c>
      <c r="AD24" s="15">
        <f>SUM(COUNTIFS('Data entry'!$R$6:$R$200,'Summary Data'!$A24,'Data entry'!$B$6:$B$200,{"Confirmed";"Probable"},'Data entry'!$AQ$6:$AQ$200,'Data Validation'!$V$10, 'Data entry'!$BD$6:$BD$200,"&lt;&gt;*Negative*"))</f>
        <v>0</v>
      </c>
      <c r="AE24" s="15">
        <f>SUM(COUNTIFS('Data entry'!$R$6:$R$200,'Summary Data'!$A24,'Data entry'!$B$6:$B$200,{"Confirmed";"Probable"},'Data entry'!$AQ$6:$AQ$200,'Data Validation'!$V$11, 'Data entry'!$BD$6:$BD$200,"&lt;&gt;*Negative*"))</f>
        <v>0</v>
      </c>
      <c r="AF24" s="15">
        <f>SUM(COUNTIFS('Data entry'!$R$6:$R$200,'Summary Data'!$A24,'Data entry'!$B$6:$B$200,{"Confirmed";"Probable"},'Data entry'!$AQ$6:$AQ$200,'Data Validation'!$V$2, 'Data entry'!$AP$6:$AP$200,'Data Validation'!$U$2, 'Data entry'!$BD$6:$BD$200,"&lt;&gt;*Negative*"))</f>
        <v>0</v>
      </c>
      <c r="AG24" s="15">
        <f>SUM(COUNTIFS('Data entry'!$R$6:$R$200,'Summary Data'!$A24,'Data entry'!$B$6:$B$200,{"Confirmed";"Probable"},'Data entry'!$AQ$6:$AQ$200,'Data Validation'!$V$2, 'Data entry'!$AP$6:$AP$200,'Data Validation'!$U$3, 'Data entry'!$BD$6:$BD$200,"&lt;&gt;*Negative*"))</f>
        <v>0</v>
      </c>
      <c r="AH24" s="15">
        <f>SUM(COUNTIFS('Data entry'!$R$6:$R$200,'Summary Data'!$A24,'Data entry'!$B$6:$B$200,{"Confirmed";"Probable"},'Data entry'!$AQ$6:$AQ$200,'Data Validation'!$V$2, 'Data entry'!$AP$6:$AP$200,'Data Validation'!$U$4, 'Data entry'!$BD$6:$BD$200,"&lt;&gt;*Negative*"))</f>
        <v>0</v>
      </c>
      <c r="AI24" s="15">
        <f>SUM(COUNTIFS('Data entry'!$R$6:$R$200,'Summary Data'!$A24,'Data entry'!$B$6:$B$200,{"Confirmed";"Probable"},'Data entry'!$AQ$6:$AQ$200,'Data Validation'!$V$2, 'Data entry'!$AP$6:$AP$200,'Data Validation'!$U$5, 'Data entry'!$BD$6:$BD$200,"&lt;&gt;*Negative*"))</f>
        <v>0</v>
      </c>
      <c r="AJ24" s="15">
        <f>SUM(COUNTIFS('Data entry'!$R$6:$R$200,'Summary Data'!$A24,'Data entry'!$B$6:$B$200,{"Confirmed";"Probable"},'Data entry'!$AQ$6:$AQ$200,'Data Validation'!$V$2, 'Data entry'!$AP$6:$AP$200,'Data Validation'!$U$6, 'Data entry'!$BD$6:$BD$200,"&lt;&gt;*Negative*"))</f>
        <v>0</v>
      </c>
      <c r="AK24" s="15">
        <f>SUM(COUNTIFS('Data entry'!$R$6:$R$200,'Summary Data'!$A24,'Data entry'!$B$6:$B$200,{"Confirmed";"Probable"},'Data entry'!$AQ$6:$AQ$200,'Data Validation'!$V$3, 'Data entry'!$AP$6:$AP$200,'Data Validation'!$U$2, 'Data entry'!$BD$6:$BD$200,"&lt;&gt;*Negative*"))</f>
        <v>0</v>
      </c>
      <c r="AL24" s="15">
        <f>SUM(COUNTIFS('Data entry'!$R$6:$R$200,'Summary Data'!$A24,'Data entry'!$B$6:$B$200,{"Confirmed";"Probable"},'Data entry'!$AQ$6:$AQ$200,'Data Validation'!$V$3, 'Data entry'!$AP$6:$AP$200,'Data Validation'!$U$3, 'Data entry'!$BD$6:$BD$200,"&lt;&gt;*Negative*"))</f>
        <v>0</v>
      </c>
      <c r="AM24" s="15">
        <f>SUM(COUNTIFS('Data entry'!$R$6:$R$200,'Summary Data'!$A24,'Data entry'!$B$6:$B$200,{"Confirmed";"Probable"},'Data entry'!$AQ$6:$AQ$200,'Data Validation'!$V$3, 'Data entry'!$AP$6:$AP$200,'Data Validation'!$U$4, 'Data entry'!$BD$6:$BD$200,"&lt;&gt;*Negative*"))</f>
        <v>0</v>
      </c>
      <c r="AN24" s="15">
        <f>SUM(COUNTIFS('Data entry'!$R$6:$R$200,'Summary Data'!$A24,'Data entry'!$B$6:$B$200,{"Confirmed";"Probable"},'Data entry'!$AQ$6:$AQ$200,'Data Validation'!$V$3, 'Data entry'!$AP$6:$AP$200,'Data Validation'!$U$5, 'Data entry'!$BD$6:$BD$200,"&lt;&gt;*Negative*"))</f>
        <v>0</v>
      </c>
      <c r="AO24" s="15">
        <f>SUM(COUNTIFS('Data entry'!$R$6:$R$200,'Summary Data'!$A24,'Data entry'!$B$6:$B$200,{"Confirmed";"Probable"},'Data entry'!$AQ$6:$AQ$200,'Data Validation'!$V$3, 'Data entry'!$AP$6:$AP$200,'Data Validation'!$U$6, 'Data entry'!$BD$6:$BD$200,"&lt;&gt;*Negative*"))</f>
        <v>0</v>
      </c>
      <c r="AP24" s="15">
        <f>SUM(COUNTIFS('Data entry'!$R$6:$R$200,'Summary Data'!$A24,'Data entry'!$B$6:$B$200,{"Confirmed";"Probable"},'Data entry'!$AQ$6:$AQ$200,'Data Validation'!$V$4, 'Data entry'!$AP$6:$AP$200,'Data Validation'!$U$2, 'Data entry'!$BD$6:$BD$200,"&lt;&gt;*Negative*"))</f>
        <v>0</v>
      </c>
      <c r="AQ24" s="15">
        <f>SUM(COUNTIFS('Data entry'!$R$6:$R$200,'Summary Data'!$A24,'Data entry'!$B$6:$B$200,{"Confirmed";"Probable"},'Data entry'!$AQ$6:$AQ$200,'Data Validation'!$V$4, 'Data entry'!$AP$6:$AP$200,'Data Validation'!$U$3, 'Data entry'!$BD$6:$BD$200,"&lt;&gt;*Negative*"))</f>
        <v>0</v>
      </c>
      <c r="AR24" s="15">
        <f>SUM(COUNTIFS('Data entry'!$R$6:$R$200,'Summary Data'!$A24,'Data entry'!$B$6:$B$200,{"Confirmed";"Probable"},'Data entry'!$AQ$6:$AQ$200,'Data Validation'!$V$4, 'Data entry'!$AP$6:$AP$200,'Data Validation'!$U$4, 'Data entry'!$BD$6:$BD$200,"&lt;&gt;*Negative*"))</f>
        <v>0</v>
      </c>
      <c r="AS24" s="15">
        <f>SUM(COUNTIFS('Data entry'!$R$6:$R$200,'Summary Data'!$A24,'Data entry'!$B$6:$B$200,{"Confirmed";"Probable"},'Data entry'!$AQ$6:$AQ$200,'Data Validation'!$V$4, 'Data entry'!$AP$6:$AP$200,'Data Validation'!$U$5, 'Data entry'!$BD$6:$BD$200,"&lt;&gt;*Negative*"))</f>
        <v>0</v>
      </c>
      <c r="AT24" s="15">
        <f>SUM(COUNTIFS('Data entry'!$R$6:$R$200,'Summary Data'!$A24,'Data entry'!$B$6:$B$200,{"Confirmed";"Probable"},'Data entry'!$AQ$6:$AQ$200,'Data Validation'!$V$4, 'Data entry'!$AP$6:$AP$200,'Data Validation'!$U$6, 'Data entry'!$BD$6:$BD$200,"&lt;&gt;*Negative*"))</f>
        <v>0</v>
      </c>
      <c r="AU24" s="15">
        <f>SUM(COUNTIFS('Data entry'!$R$6:$R$200,'Summary Data'!$A24,'Data entry'!$B$6:$B$200,{"Confirmed";"Probable"},'Data entry'!$AQ$6:$AQ$200,'Data Validation'!$V$5, 'Data entry'!$AP$6:$AP$200,'Data Validation'!$U$2, 'Data entry'!$BD$6:$BD$200,"&lt;&gt;*Negative*"))</f>
        <v>0</v>
      </c>
      <c r="AV24" s="15">
        <f>SUM(COUNTIFS('Data entry'!$R$6:$R$200,'Summary Data'!$A24,'Data entry'!$B$6:$B$200,{"Confirmed";"Probable"},'Data entry'!$AQ$6:$AQ$200,'Data Validation'!$V$5, 'Data entry'!$AP$6:$AP$200,'Data Validation'!$U$3, 'Data entry'!$BD$6:$BD$200,"&lt;&gt;*Negative*"))</f>
        <v>0</v>
      </c>
      <c r="AW24" s="15">
        <f>SUM(COUNTIFS('Data entry'!$R$6:$R$200,'Summary Data'!$A24,'Data entry'!$B$6:$B$200,{"Confirmed";"Probable"},'Data entry'!$AQ$6:$AQ$200,'Data Validation'!$V$5, 'Data entry'!$AP$6:$AP$200,'Data Validation'!$U$4, 'Data entry'!$BD$6:$BD$200,"&lt;&gt;*Negative*"))</f>
        <v>0</v>
      </c>
      <c r="AX24" s="15">
        <f>SUM(COUNTIFS('Data entry'!$R$6:$R$200,'Summary Data'!$A24,'Data entry'!$B$6:$B$200,{"Confirmed";"Probable"},'Data entry'!$AQ$6:$AQ$200,'Data Validation'!$V$5, 'Data entry'!$AP$6:$AP$200,'Data Validation'!$U$5, 'Data entry'!$BD$6:$BD$200,"&lt;&gt;*Negative*"))</f>
        <v>0</v>
      </c>
      <c r="AY24" s="15">
        <f>SUM(COUNTIFS('Data entry'!$R$6:$R$200,'Summary Data'!$A24,'Data entry'!$B$6:$B$200,{"Confirmed";"Probable"},'Data entry'!$AQ$6:$AQ$200,'Data Validation'!$V$5, 'Data entry'!$AP$6:$AP$200,'Data Validation'!$U$6, 'Data entry'!$BD$6:$BD$200,"&lt;&gt;*Negative*"))</f>
        <v>0</v>
      </c>
      <c r="AZ24" s="15">
        <f>SUM(COUNTIFS('Data entry'!$R$6:$R$200,'Summary Data'!$A24,'Data entry'!$B$6:$B$200,{"Confirmed";"Probable"},'Data entry'!$AQ$6:$AQ$200,'Data Validation'!$V$6, 'Data entry'!$AP$6:$AP$200,'Data Validation'!$U$2, 'Data entry'!$BD$6:$BD$200,"&lt;&gt;*Negative*"))</f>
        <v>0</v>
      </c>
      <c r="BA24" s="15">
        <f>SUM(COUNTIFS('Data entry'!$R$6:$R$200,'Summary Data'!$A24,'Data entry'!$B$6:$B$200,{"Confirmed";"Probable"},'Data entry'!$AQ$6:$AQ$200,'Data Validation'!$V$6, 'Data entry'!$AP$6:$AP$200,'Data Validation'!$U$3, 'Data entry'!$BD$6:$BD$200,"&lt;&gt;*Negative*"))</f>
        <v>0</v>
      </c>
      <c r="BB24" s="15">
        <f>SUM(COUNTIFS('Data entry'!$R$6:$R$200,'Summary Data'!$A24,'Data entry'!$B$6:$B$200,{"Confirmed";"Probable"},'Data entry'!$AQ$6:$AQ$200,'Data Validation'!$V$6, 'Data entry'!$AP$6:$AP$200,'Data Validation'!$U$4, 'Data entry'!$BD$6:$BD$200,"&lt;&gt;*Negative*"))</f>
        <v>0</v>
      </c>
      <c r="BC24" s="15">
        <f>SUM(COUNTIFS('Data entry'!$R$6:$R$200,'Summary Data'!$A24,'Data entry'!$B$6:$B$200,{"Confirmed";"Probable"},'Data entry'!$AQ$6:$AQ$200,'Data Validation'!$V$6, 'Data entry'!$AP$6:$AP$200,'Data Validation'!$U$5, 'Data entry'!$BD$6:$BD$200,"&lt;&gt;*Negative*"))</f>
        <v>0</v>
      </c>
      <c r="BD24" s="15">
        <f>SUM(COUNTIFS('Data entry'!$R$6:$R$200,'Summary Data'!$A24,'Data entry'!$B$6:$B$200,{"Confirmed";"Probable"},'Data entry'!$AQ$6:$AQ$200,'Data Validation'!$V$6, 'Data entry'!$AP$6:$AP$200,'Data Validation'!$U$6, 'Data entry'!$BD$6:$BD$200,"&lt;&gt;*Negative*"))</f>
        <v>0</v>
      </c>
      <c r="BE24" s="15">
        <f>SUM(COUNTIFS('Data entry'!$R$6:$R$200,'Summary Data'!$A24,'Data entry'!$B$6:$B$200,{"Confirmed";"Probable"},'Data entry'!$AQ$6:$AQ$200,'Data Validation'!$V$7, 'Data entry'!$AP$6:$AP$200,'Data Validation'!$U$2, 'Data entry'!$BD$6:$BD$200,"&lt;&gt;*Negative*"))</f>
        <v>0</v>
      </c>
      <c r="BF24" s="15">
        <f>SUM(COUNTIFS('Data entry'!$R$6:$R$200,'Summary Data'!$A24,'Data entry'!$B$6:$B$200,{"Confirmed";"Probable"},'Data entry'!$AQ$6:$AQ$200,'Data Validation'!$V$7, 'Data entry'!$AP$6:$AP$200,'Data Validation'!$U$3, 'Data entry'!$BD$6:$BD$200,"&lt;&gt;*Negative*"))</f>
        <v>0</v>
      </c>
      <c r="BG24" s="15">
        <f>SUM(COUNTIFS('Data entry'!$R$6:$R$200,'Summary Data'!$A24,'Data entry'!$B$6:$B$200,{"Confirmed";"Probable"},'Data entry'!$AQ$6:$AQ$200,'Data Validation'!$V$7, 'Data entry'!$AP$6:$AP$200,'Data Validation'!$U$4, 'Data entry'!$BD$6:$BD$200,"&lt;&gt;*Negative*"))</f>
        <v>0</v>
      </c>
      <c r="BH24" s="15">
        <f>SUM(COUNTIFS('Data entry'!$R$6:$R$200,'Summary Data'!$A24,'Data entry'!$B$6:$B$200,{"Confirmed";"Probable"},'Data entry'!$AQ$6:$AQ$200,'Data Validation'!$V$7, 'Data entry'!$AP$6:$AP$200,'Data Validation'!$U$5, 'Data entry'!$BD$6:$BD$200,"&lt;&gt;*Negative*"))</f>
        <v>0</v>
      </c>
      <c r="BI24" s="15">
        <f>SUM(COUNTIFS('Data entry'!$R$6:$R$200,'Summary Data'!$A24,'Data entry'!$B$6:$B$200,{"Confirmed";"Probable"},'Data entry'!$AQ$6:$AQ$200,'Data Validation'!$V$7, 'Data entry'!$AP$6:$AP$200,'Data Validation'!$U$6, 'Data entry'!$BD$6:$BD$200,"&lt;&gt;*Negative*"))</f>
        <v>0</v>
      </c>
      <c r="BJ24" s="15">
        <f>SUM(COUNTIFS('Data entry'!$R$6:$R$200,'Summary Data'!$A24,'Data entry'!$B$6:$B$200,{"Confirmed";"Probable"},'Data entry'!$AQ$6:$AQ$200,'Data Validation'!$V$8, 'Data entry'!$AP$6:$AP$200,'Data Validation'!$U$2, 'Data entry'!$BD$6:$BD$200,"&lt;&gt;*Negative*"))</f>
        <v>0</v>
      </c>
      <c r="BK24" s="15">
        <f>SUM(COUNTIFS('Data entry'!$R$6:$R$200,'Summary Data'!$A24,'Data entry'!$B$6:$B$200,{"Confirmed";"Probable"},'Data entry'!$AQ$6:$AQ$200,'Data Validation'!$V$8, 'Data entry'!$AP$6:$AP$200,'Data Validation'!$U$3, 'Data entry'!$BD$6:$BD$200,"&lt;&gt;*Negative*"))</f>
        <v>0</v>
      </c>
      <c r="BL24" s="15">
        <f>SUM(COUNTIFS('Data entry'!$R$6:$R$200,'Summary Data'!$A24,'Data entry'!$B$6:$B$200,{"Confirmed";"Probable"},'Data entry'!$AQ$6:$AQ$200,'Data Validation'!$V$8, 'Data entry'!$AP$6:$AP$200,'Data Validation'!$U$4, 'Data entry'!$BD$6:$BD$200,"&lt;&gt;*Negative*"))</f>
        <v>0</v>
      </c>
      <c r="BM24" s="15">
        <f>SUM(COUNTIFS('Data entry'!$R$6:$R$200,'Summary Data'!$A24,'Data entry'!$B$6:$B$200,{"Confirmed";"Probable"},'Data entry'!$AQ$6:$AQ$200,'Data Validation'!$V$8, 'Data entry'!$AP$6:$AP$200,'Data Validation'!$U$5, 'Data entry'!$BD$6:$BD$200,"&lt;&gt;*Negative*"))</f>
        <v>0</v>
      </c>
      <c r="BN24" s="15">
        <f>SUM(COUNTIFS('Data entry'!$R$6:$R$200,'Summary Data'!$A24,'Data entry'!$B$6:$B$200,{"Confirmed";"Probable"},'Data entry'!$AQ$6:$AQ$200,'Data Validation'!$V$8, 'Data entry'!$AP$6:$AP$200,'Data Validation'!$U$6, 'Data entry'!$BD$6:$BD$200,"&lt;&gt;*Negative*"))</f>
        <v>0</v>
      </c>
      <c r="BO24" s="15">
        <f>SUM(COUNTIFS('Data entry'!$R$6:$R$200,'Summary Data'!$A24,'Data entry'!$B$6:$B$200,{"Confirmed";"Probable"},'Data entry'!$AQ$6:$AQ$200,'Data Validation'!$V$9, 'Data entry'!$AP$6:$AP$200,'Data Validation'!$U$2, 'Data entry'!$BD$6:$BD$200,"&lt;&gt;*Negative*"))</f>
        <v>0</v>
      </c>
      <c r="BP24" s="15">
        <f>SUM(COUNTIFS('Data entry'!$R$6:$R$200,'Summary Data'!$A24,'Data entry'!$B$6:$B$200,{"Confirmed";"Probable"},'Data entry'!$AQ$6:$AQ$200,'Data Validation'!$V$9, 'Data entry'!$AP$6:$AP$200,'Data Validation'!$U$3, 'Data entry'!$BD$6:$BD$200,"&lt;&gt;*Negative*"))</f>
        <v>0</v>
      </c>
      <c r="BQ24" s="15">
        <f>SUM(COUNTIFS('Data entry'!$R$6:$R$200,'Summary Data'!$A24,'Data entry'!$B$6:$B$200,{"Confirmed";"Probable"},'Data entry'!$AQ$6:$AQ$200,'Data Validation'!$V$9, 'Data entry'!$AP$6:$AP$200,'Data Validation'!$U$4, 'Data entry'!$BD$6:$BD$200,"&lt;&gt;*Negative*"))</f>
        <v>0</v>
      </c>
      <c r="BR24" s="15">
        <f>SUM(COUNTIFS('Data entry'!$R$6:$R$200,'Summary Data'!$A24,'Data entry'!$B$6:$B$200,{"Confirmed";"Probable"},'Data entry'!$AQ$6:$AQ$200,'Data Validation'!$V$9, 'Data entry'!$AP$6:$AP$200,'Data Validation'!$U$5, 'Data entry'!$BD$6:$BD$200,"&lt;&gt;*Negative*"))</f>
        <v>0</v>
      </c>
      <c r="BS24" s="15">
        <f>SUM(COUNTIFS('Data entry'!$R$6:$R$200,'Summary Data'!$A24,'Data entry'!$B$6:$B$200,{"Confirmed";"Probable"},'Data entry'!$AQ$6:$AQ$200,'Data Validation'!$V$9, 'Data entry'!$AP$6:$AP$200,'Data Validation'!$U$6, 'Data entry'!$BD$6:$BD$200,"&lt;&gt;*Negative*"))</f>
        <v>0</v>
      </c>
      <c r="BT24" s="15">
        <f>SUM(COUNTIFS('Data entry'!$R$6:$R$200,'Summary Data'!$A24,'Data entry'!$B$6:$B$200,{"Confirmed";"Probable"},'Data entry'!$AQ$6:$AQ$200,'Data Validation'!$V$10, 'Data entry'!$AP$6:$AP$200,'Data Validation'!$U$2, 'Data entry'!$BD$6:$BD$200,"&lt;&gt;*Negative*"))</f>
        <v>0</v>
      </c>
      <c r="BU24" s="15">
        <f>SUM(COUNTIFS('Data entry'!$R$6:$R$200,'Summary Data'!$A24,'Data entry'!$B$6:$B$200,{"Confirmed";"Probable"},'Data entry'!$AQ$6:$AQ$200,'Data Validation'!$V$10, 'Data entry'!$AP$6:$AP$200,'Data Validation'!$U$3, 'Data entry'!$BD$6:$BD$200,"&lt;&gt;*Negative*"))</f>
        <v>0</v>
      </c>
      <c r="BV24" s="15">
        <f>SUM(COUNTIFS('Data entry'!$R$6:$R$200,'Summary Data'!$A24,'Data entry'!$B$6:$B$200,{"Confirmed";"Probable"},'Data entry'!$AQ$6:$AQ$200,'Data Validation'!$V$10, 'Data entry'!$AP$6:$AP$200,'Data Validation'!$U$4, 'Data entry'!$BD$6:$BD$200,"&lt;&gt;*Negative*"))</f>
        <v>0</v>
      </c>
      <c r="BW24" s="15">
        <f>SUM(COUNTIFS('Data entry'!$R$6:$R$200,'Summary Data'!$A24,'Data entry'!$B$6:$B$200,{"Confirmed";"Probable"},'Data entry'!$AQ$6:$AQ$200,'Data Validation'!$V$10, 'Data entry'!$AP$6:$AP$200,'Data Validation'!$U$5, 'Data entry'!$BD$6:$BD$200,"&lt;&gt;*Negative*"))</f>
        <v>0</v>
      </c>
      <c r="BX24" s="15">
        <f>SUM(COUNTIFS('Data entry'!$R$6:$R$200,'Summary Data'!$A24,'Data entry'!$B$6:$B$200,{"Confirmed";"Probable"},'Data entry'!$AQ$6:$AQ$200,'Data Validation'!$V$10, 'Data entry'!$AP$6:$AP$200,'Data Validation'!$U$6, 'Data entry'!$BD$6:$BD$200,"&lt;&gt;*Negative*"))</f>
        <v>0</v>
      </c>
      <c r="BY24" s="15">
        <f>SUM(COUNTIFS('Data entry'!$R$6:$R$200,'Summary Data'!$A24,'Data entry'!$B$6:$B$200,{"Confirmed";"Probable"},'Data entry'!$AQ$6:$AQ$200,'Data Validation'!$V$11, 'Data entry'!$AP$6:$AP$200,'Data Validation'!$U$2, 'Data entry'!$BD$6:$BD$200,"&lt;&gt;*Negative*"))</f>
        <v>0</v>
      </c>
      <c r="BZ24" s="15">
        <f>SUM(COUNTIFS('Data entry'!$R$6:$R$200,'Summary Data'!$A24,'Data entry'!$B$6:$B$200,{"Confirmed";"Probable"},'Data entry'!$AQ$6:$AQ$200,'Data Validation'!$V$11, 'Data entry'!$AP$6:$AP$200,'Data Validation'!$U$3, 'Data entry'!$BD$6:$BD$200,"&lt;&gt;*Negative*"))</f>
        <v>0</v>
      </c>
      <c r="CA24" s="15">
        <f>SUM(COUNTIFS('Data entry'!$R$6:$R$200,'Summary Data'!$A24,'Data entry'!$B$6:$B$200,{"Confirmed";"Probable"},'Data entry'!$AQ$6:$AQ$200,'Data Validation'!$V$11, 'Data entry'!$AP$6:$AP$200,'Data Validation'!$U$4, 'Data entry'!$BD$6:$BD$200,"&lt;&gt;*Negative*"))</f>
        <v>0</v>
      </c>
      <c r="CB24" s="15">
        <f>SUM(COUNTIFS('Data entry'!$R$6:$R$200,'Summary Data'!$A24,'Data entry'!$B$6:$B$200,{"Confirmed";"Probable"},'Data entry'!$AQ$6:$AQ$200,'Data Validation'!$V$11, 'Data entry'!$AP$6:$AP$200,'Data Validation'!$U$5, 'Data entry'!$BD$6:$BD$200,"&lt;&gt;*Negative*"))</f>
        <v>0</v>
      </c>
      <c r="CC24" s="15">
        <f>SUM(COUNTIFS('Data entry'!$R$6:$R$200,'Summary Data'!$A24,'Data entry'!$B$6:$B$200,{"Confirmed";"Probable"},'Data entry'!$AQ$6:$AQ$200,'Data Validation'!$V$11, 'Data entry'!$AP$6:$AP$200,'Data Validation'!$U$6, 'Data entry'!$BD$6:$BD$200,"&lt;&gt;*Negative*"))</f>
        <v>0</v>
      </c>
    </row>
    <row r="25" spans="1:81" x14ac:dyDescent="0.25">
      <c r="A25" s="12">
        <f t="shared" si="5"/>
        <v>13</v>
      </c>
      <c r="B25" s="13">
        <f t="shared" si="2"/>
        <v>0</v>
      </c>
      <c r="C25" s="13">
        <f>COUNTIFS('Data entry'!$R$6:$R$200,$A25,'Data entry'!$B$6:$B$200,"Confirmed",'Data entry'!$BD$6:$BD$200,"&lt;&gt;*Negative*")</f>
        <v>0</v>
      </c>
      <c r="D25" s="13">
        <f>COUNTIFS('Data entry'!$R$6:$R$200,$A25,'Data entry'!$B$6:$B$200,"Probable",'Data entry'!$BD$6:$BD$200,"&lt;&gt;*Negative*")</f>
        <v>0</v>
      </c>
      <c r="E25" s="13">
        <f>COUNTIFS('Data entry'!$R$6:$R$200,$A25,'Data entry'!$B$6:$B$200,"DNM")</f>
        <v>0</v>
      </c>
      <c r="F25" s="13">
        <f>SUM(COUNTIFS('Data entry'!$R$6:$R$200,'Summary Data'!$A25,'Data entry'!$B$6:$B$200,{"Confirmed";"Probable"},'Data entry'!$AO$6:$AO$200,$F$10, 'Data entry'!$BD$6:$BD$200,"&lt;&gt;*Negative*"))</f>
        <v>0</v>
      </c>
      <c r="G25" s="13">
        <f>SUM(COUNTIFS('Data entry'!$R$6:$R$200,'Summary Data'!$A25,'Data entry'!$B$6:$B$200,{"Confirmed";"Probable"},'Data entry'!$AO$6:$AO$200,$G$10, 'Data entry'!$BD$6:$BD$200,"&lt;&gt;*Negative*"))</f>
        <v>0</v>
      </c>
      <c r="H25" s="13">
        <f>SUM(COUNTIFS('Data entry'!$R$6:$R$200,'Summary Data'!$A25,'Data entry'!$B$6:$B$200,{"Confirmed";"Probable"},'Data entry'!$AO$6:$AO$200,$H$10, 'Data entry'!$BD$6:$BD$200,"&lt;&gt;*Negative*"))</f>
        <v>0</v>
      </c>
      <c r="I25" s="13">
        <f>SUM(COUNTIFS('Data entry'!$R$6:$R$200,'Summary Data'!$A25,'Data entry'!$B$6:$B$200,{"Confirmed";"Probable"},'Data entry'!$AO$6:$AO$200,$I$10, 'Data entry'!$BD$6:$BD$200,"&lt;&gt;*Negative*"))</f>
        <v>0</v>
      </c>
      <c r="J25" s="13">
        <f>SUM(COUNTIFS('Data entry'!$R$6:$R$200,'Summary Data'!$A25,'Data entry'!$B$6:$B$200,{"Confirmed";"Probable"},'Data entry'!$AO$6:$AO$200,$J$10, 'Data entry'!$BD$6:$BD$200,"&lt;&gt;*Negative*"))</f>
        <v>0</v>
      </c>
      <c r="K25" s="13">
        <f>SUM(COUNTIFS('Data entry'!$R$6:$R$200,'Summary Data'!$A25,'Data entry'!$B$6:$B$200,{"Confirmed";"Probable"},'Data entry'!$AO$6:$AO$200,$K$10, 'Data entry'!$BD$6:$BD$200,"&lt;&gt;*Negative*"))</f>
        <v>0</v>
      </c>
      <c r="L25" s="13">
        <f>SUM(COUNTIFS('Data entry'!$R$6:$R$200,'Summary Data'!$A25,'Data entry'!$B$6:$B$200,{"Confirmed";"Probable"},'Data entry'!$AO$6:$AO$200,$L$10, 'Data entry'!$BD$6:$BD$200,"&lt;&gt;*Negative*"))</f>
        <v>0</v>
      </c>
      <c r="M25" s="13">
        <f>SUM(COUNTIFS('Data entry'!$R$6:$R$200,'Summary Data'!$A25,'Data entry'!$B$6:$B$200,{"Confirmed";"Probable"},'Data entry'!$AO$6:$AO$200,$M$10, 'Data entry'!$BD$6:$BD$200,"&lt;&gt;*Negative*"))</f>
        <v>0</v>
      </c>
      <c r="N25" s="13">
        <f>SUM(COUNTIFS('Data entry'!$R$6:$R$200,'Summary Data'!$A25,'Data entry'!$B$6:$B$200,{"Confirmed";"Probable"},'Data entry'!$AO$6:$AO$200,$N$10, 'Data entry'!$BD$6:$BD$200,"&lt;&gt;*Negative*"))</f>
        <v>0</v>
      </c>
      <c r="O25" s="15">
        <f t="shared" si="3"/>
        <v>0</v>
      </c>
      <c r="P25" s="15">
        <f t="shared" si="4"/>
        <v>0</v>
      </c>
      <c r="Q25" s="15">
        <f>SUM(COUNTIFS('Data entry'!$R$6:$R$200,'Summary Data'!$A25,'Data entry'!$B$6:$B$200,{"Confirmed";"Probable"},'Data entry'!$AP$6:$AP$200,'Data Validation'!$U$2, 'Data entry'!$BD$6:$BD$200,"&lt;&gt;*Negative*"))</f>
        <v>0</v>
      </c>
      <c r="R25" s="15">
        <f>SUM(COUNTIFS('Data entry'!$R$6:$R$200,'Summary Data'!$A25,'Data entry'!$B$6:$B$200,{"Confirmed";"Probable"},'Data entry'!$AP$6:$AP$200,'Data Validation'!$U$3, 'Data entry'!$BD$6:$BD$200,"&lt;&gt;*Negative*"))</f>
        <v>0</v>
      </c>
      <c r="S25" s="15">
        <f>SUM(COUNTIFS('Data entry'!$R$6:$R$200,'Summary Data'!$A25,'Data entry'!$B$6:$B$200,{"Confirmed";"Probable"},'Data entry'!$AP$6:$AP$200,'Data Validation'!$U$4, 'Data entry'!$BD$6:$BD$200,"&lt;&gt;*Negative*"))</f>
        <v>0</v>
      </c>
      <c r="T25" s="15">
        <f>SUM(COUNTIFS('Data entry'!$R$6:$R$200,'Summary Data'!$A25,'Data entry'!$B$6:$B$200,{"Confirmed";"Probable"},'Data entry'!$AP$6:$AP$200,'Data Validation'!$U$5, 'Data entry'!$BD$6:$BD$200,"&lt;&gt;*Negative*"))</f>
        <v>0</v>
      </c>
      <c r="U25" s="15">
        <f>SUM(COUNTIFS('Data entry'!$R$6:$R$200,'Summary Data'!$A25,'Data entry'!$B$6:$B$200,{"Confirmed";"Probable"},'Data entry'!$AP$6:$AP$200,'Data Validation'!$U$6, 'Data entry'!$BD$6:$BD$200,"&lt;&gt;*Negative*"))</f>
        <v>0</v>
      </c>
      <c r="V25" s="15">
        <f>SUM(COUNTIFS('Data entry'!$R$6:$R$200,'Summary Data'!$A25,'Data entry'!$B$6:$B$200,{"Confirmed";"Probable"},'Data entry'!$AQ$6:$AQ$200,'Data Validation'!$V$2, 'Data entry'!$BD$6:$BD$200,"&lt;&gt;*Negative*"))</f>
        <v>0</v>
      </c>
      <c r="W25" s="15">
        <f>SUM(COUNTIFS('Data entry'!$R$6:$R$200,'Summary Data'!$A25,'Data entry'!$B$6:$B$200,{"Confirmed";"Probable"},'Data entry'!$AQ$6:$AQ$200,'Data Validation'!$V$3, 'Data entry'!$BD$6:$BD$200,"&lt;&gt;*Negative*"))</f>
        <v>0</v>
      </c>
      <c r="X25" s="15">
        <f>SUM(COUNTIFS('Data entry'!$R$6:$R$200,'Summary Data'!$A25,'Data entry'!$B$6:$B$200,{"Confirmed";"Probable"},'Data entry'!$AQ$6:$AQ$200,'Data Validation'!$V$4, 'Data entry'!$BD$6:$BD$200,"&lt;&gt;*Negative*"))</f>
        <v>0</v>
      </c>
      <c r="Y25" s="15">
        <f>SUM(COUNTIFS('Data entry'!$R$6:$R$200,'Summary Data'!$A25,'Data entry'!$B$6:$B$200,{"Confirmed";"Probable"},'Data entry'!$AQ$6:$AQ$200,'Data Validation'!$V$5, 'Data entry'!$BD$6:$BD$200,"&lt;&gt;*Negative*"))</f>
        <v>0</v>
      </c>
      <c r="Z25" s="15">
        <f>SUM(COUNTIFS('Data entry'!$R$6:$R$200,'Summary Data'!$A25,'Data entry'!$B$6:$B$200,{"Confirmed";"Probable"},'Data entry'!$AQ$6:$AQ$200,'Data Validation'!$V$6, 'Data entry'!$BD$6:$BD$200,"&lt;&gt;*Negative*"))</f>
        <v>0</v>
      </c>
      <c r="AA25" s="15">
        <f>SUM(COUNTIFS('Data entry'!$R$6:$R$200,'Summary Data'!$A25,'Data entry'!$B$6:$B$200,{"Confirmed";"Probable"},'Data entry'!$AQ$6:$AQ$200,'Data Validation'!$V$7, 'Data entry'!$BD$6:$BD$200,"&lt;&gt;*Negative*"))</f>
        <v>0</v>
      </c>
      <c r="AB25" s="15">
        <f>SUM(COUNTIFS('Data entry'!$R$6:$R$200,'Summary Data'!$A25,'Data entry'!$B$6:$B$200,{"Confirmed";"Probable"},'Data entry'!$AQ$6:$AQ$200,'Data Validation'!$V$8, 'Data entry'!$BD$6:$BD$200,"&lt;&gt;*Negative*"))</f>
        <v>0</v>
      </c>
      <c r="AC25" s="15">
        <f>SUM(COUNTIFS('Data entry'!$R$6:$R$200,'Summary Data'!$A25,'Data entry'!$B$6:$B$200,{"Confirmed";"Probable"},'Data entry'!$AQ$6:$AQ$200,'Data Validation'!$V$9, 'Data entry'!$BD$6:$BD$200,"&lt;&gt;*Negative*"))</f>
        <v>0</v>
      </c>
      <c r="AD25" s="15">
        <f>SUM(COUNTIFS('Data entry'!$R$6:$R$200,'Summary Data'!$A25,'Data entry'!$B$6:$B$200,{"Confirmed";"Probable"},'Data entry'!$AQ$6:$AQ$200,'Data Validation'!$V$10, 'Data entry'!$BD$6:$BD$200,"&lt;&gt;*Negative*"))</f>
        <v>0</v>
      </c>
      <c r="AE25" s="15">
        <f>SUM(COUNTIFS('Data entry'!$R$6:$R$200,'Summary Data'!$A25,'Data entry'!$B$6:$B$200,{"Confirmed";"Probable"},'Data entry'!$AQ$6:$AQ$200,'Data Validation'!$V$11, 'Data entry'!$BD$6:$BD$200,"&lt;&gt;*Negative*"))</f>
        <v>0</v>
      </c>
      <c r="AF25" s="15">
        <f>SUM(COUNTIFS('Data entry'!$R$6:$R$200,'Summary Data'!$A25,'Data entry'!$B$6:$B$200,{"Confirmed";"Probable"},'Data entry'!$AQ$6:$AQ$200,'Data Validation'!$V$2, 'Data entry'!$AP$6:$AP$200,'Data Validation'!$U$2, 'Data entry'!$BD$6:$BD$200,"&lt;&gt;*Negative*"))</f>
        <v>0</v>
      </c>
      <c r="AG25" s="15">
        <f>SUM(COUNTIFS('Data entry'!$R$6:$R$200,'Summary Data'!$A25,'Data entry'!$B$6:$B$200,{"Confirmed";"Probable"},'Data entry'!$AQ$6:$AQ$200,'Data Validation'!$V$2, 'Data entry'!$AP$6:$AP$200,'Data Validation'!$U$3, 'Data entry'!$BD$6:$BD$200,"&lt;&gt;*Negative*"))</f>
        <v>0</v>
      </c>
      <c r="AH25" s="15">
        <f>SUM(COUNTIFS('Data entry'!$R$6:$R$200,'Summary Data'!$A25,'Data entry'!$B$6:$B$200,{"Confirmed";"Probable"},'Data entry'!$AQ$6:$AQ$200,'Data Validation'!$V$2, 'Data entry'!$AP$6:$AP$200,'Data Validation'!$U$4, 'Data entry'!$BD$6:$BD$200,"&lt;&gt;*Negative*"))</f>
        <v>0</v>
      </c>
      <c r="AI25" s="15">
        <f>SUM(COUNTIFS('Data entry'!$R$6:$R$200,'Summary Data'!$A25,'Data entry'!$B$6:$B$200,{"Confirmed";"Probable"},'Data entry'!$AQ$6:$AQ$200,'Data Validation'!$V$2, 'Data entry'!$AP$6:$AP$200,'Data Validation'!$U$5, 'Data entry'!$BD$6:$BD$200,"&lt;&gt;*Negative*"))</f>
        <v>0</v>
      </c>
      <c r="AJ25" s="15">
        <f>SUM(COUNTIFS('Data entry'!$R$6:$R$200,'Summary Data'!$A25,'Data entry'!$B$6:$B$200,{"Confirmed";"Probable"},'Data entry'!$AQ$6:$AQ$200,'Data Validation'!$V$2, 'Data entry'!$AP$6:$AP$200,'Data Validation'!$U$6, 'Data entry'!$BD$6:$BD$200,"&lt;&gt;*Negative*"))</f>
        <v>0</v>
      </c>
      <c r="AK25" s="15">
        <f>SUM(COUNTIFS('Data entry'!$R$6:$R$200,'Summary Data'!$A25,'Data entry'!$B$6:$B$200,{"Confirmed";"Probable"},'Data entry'!$AQ$6:$AQ$200,'Data Validation'!$V$3, 'Data entry'!$AP$6:$AP$200,'Data Validation'!$U$2, 'Data entry'!$BD$6:$BD$200,"&lt;&gt;*Negative*"))</f>
        <v>0</v>
      </c>
      <c r="AL25" s="15">
        <f>SUM(COUNTIFS('Data entry'!$R$6:$R$200,'Summary Data'!$A25,'Data entry'!$B$6:$B$200,{"Confirmed";"Probable"},'Data entry'!$AQ$6:$AQ$200,'Data Validation'!$V$3, 'Data entry'!$AP$6:$AP$200,'Data Validation'!$U$3, 'Data entry'!$BD$6:$BD$200,"&lt;&gt;*Negative*"))</f>
        <v>0</v>
      </c>
      <c r="AM25" s="15">
        <f>SUM(COUNTIFS('Data entry'!$R$6:$R$200,'Summary Data'!$A25,'Data entry'!$B$6:$B$200,{"Confirmed";"Probable"},'Data entry'!$AQ$6:$AQ$200,'Data Validation'!$V$3, 'Data entry'!$AP$6:$AP$200,'Data Validation'!$U$4, 'Data entry'!$BD$6:$BD$200,"&lt;&gt;*Negative*"))</f>
        <v>0</v>
      </c>
      <c r="AN25" s="15">
        <f>SUM(COUNTIFS('Data entry'!$R$6:$R$200,'Summary Data'!$A25,'Data entry'!$B$6:$B$200,{"Confirmed";"Probable"},'Data entry'!$AQ$6:$AQ$200,'Data Validation'!$V$3, 'Data entry'!$AP$6:$AP$200,'Data Validation'!$U$5, 'Data entry'!$BD$6:$BD$200,"&lt;&gt;*Negative*"))</f>
        <v>0</v>
      </c>
      <c r="AO25" s="15">
        <f>SUM(COUNTIFS('Data entry'!$R$6:$R$200,'Summary Data'!$A25,'Data entry'!$B$6:$B$200,{"Confirmed";"Probable"},'Data entry'!$AQ$6:$AQ$200,'Data Validation'!$V$3, 'Data entry'!$AP$6:$AP$200,'Data Validation'!$U$6, 'Data entry'!$BD$6:$BD$200,"&lt;&gt;*Negative*"))</f>
        <v>0</v>
      </c>
      <c r="AP25" s="15">
        <f>SUM(COUNTIFS('Data entry'!$R$6:$R$200,'Summary Data'!$A25,'Data entry'!$B$6:$B$200,{"Confirmed";"Probable"},'Data entry'!$AQ$6:$AQ$200,'Data Validation'!$V$4, 'Data entry'!$AP$6:$AP$200,'Data Validation'!$U$2, 'Data entry'!$BD$6:$BD$200,"&lt;&gt;*Negative*"))</f>
        <v>0</v>
      </c>
      <c r="AQ25" s="15">
        <f>SUM(COUNTIFS('Data entry'!$R$6:$R$200,'Summary Data'!$A25,'Data entry'!$B$6:$B$200,{"Confirmed";"Probable"},'Data entry'!$AQ$6:$AQ$200,'Data Validation'!$V$4, 'Data entry'!$AP$6:$AP$200,'Data Validation'!$U$3, 'Data entry'!$BD$6:$BD$200,"&lt;&gt;*Negative*"))</f>
        <v>0</v>
      </c>
      <c r="AR25" s="15">
        <f>SUM(COUNTIFS('Data entry'!$R$6:$R$200,'Summary Data'!$A25,'Data entry'!$B$6:$B$200,{"Confirmed";"Probable"},'Data entry'!$AQ$6:$AQ$200,'Data Validation'!$V$4, 'Data entry'!$AP$6:$AP$200,'Data Validation'!$U$4, 'Data entry'!$BD$6:$BD$200,"&lt;&gt;*Negative*"))</f>
        <v>0</v>
      </c>
      <c r="AS25" s="15">
        <f>SUM(COUNTIFS('Data entry'!$R$6:$R$200,'Summary Data'!$A25,'Data entry'!$B$6:$B$200,{"Confirmed";"Probable"},'Data entry'!$AQ$6:$AQ$200,'Data Validation'!$V$4, 'Data entry'!$AP$6:$AP$200,'Data Validation'!$U$5, 'Data entry'!$BD$6:$BD$200,"&lt;&gt;*Negative*"))</f>
        <v>0</v>
      </c>
      <c r="AT25" s="15">
        <f>SUM(COUNTIFS('Data entry'!$R$6:$R$200,'Summary Data'!$A25,'Data entry'!$B$6:$B$200,{"Confirmed";"Probable"},'Data entry'!$AQ$6:$AQ$200,'Data Validation'!$V$4, 'Data entry'!$AP$6:$AP$200,'Data Validation'!$U$6, 'Data entry'!$BD$6:$BD$200,"&lt;&gt;*Negative*"))</f>
        <v>0</v>
      </c>
      <c r="AU25" s="15">
        <f>SUM(COUNTIFS('Data entry'!$R$6:$R$200,'Summary Data'!$A25,'Data entry'!$B$6:$B$200,{"Confirmed";"Probable"},'Data entry'!$AQ$6:$AQ$200,'Data Validation'!$V$5, 'Data entry'!$AP$6:$AP$200,'Data Validation'!$U$2, 'Data entry'!$BD$6:$BD$200,"&lt;&gt;*Negative*"))</f>
        <v>0</v>
      </c>
      <c r="AV25" s="15">
        <f>SUM(COUNTIFS('Data entry'!$R$6:$R$200,'Summary Data'!$A25,'Data entry'!$B$6:$B$200,{"Confirmed";"Probable"},'Data entry'!$AQ$6:$AQ$200,'Data Validation'!$V$5, 'Data entry'!$AP$6:$AP$200,'Data Validation'!$U$3, 'Data entry'!$BD$6:$BD$200,"&lt;&gt;*Negative*"))</f>
        <v>0</v>
      </c>
      <c r="AW25" s="15">
        <f>SUM(COUNTIFS('Data entry'!$R$6:$R$200,'Summary Data'!$A25,'Data entry'!$B$6:$B$200,{"Confirmed";"Probable"},'Data entry'!$AQ$6:$AQ$200,'Data Validation'!$V$5, 'Data entry'!$AP$6:$AP$200,'Data Validation'!$U$4, 'Data entry'!$BD$6:$BD$200,"&lt;&gt;*Negative*"))</f>
        <v>0</v>
      </c>
      <c r="AX25" s="15">
        <f>SUM(COUNTIFS('Data entry'!$R$6:$R$200,'Summary Data'!$A25,'Data entry'!$B$6:$B$200,{"Confirmed";"Probable"},'Data entry'!$AQ$6:$AQ$200,'Data Validation'!$V$5, 'Data entry'!$AP$6:$AP$200,'Data Validation'!$U$5, 'Data entry'!$BD$6:$BD$200,"&lt;&gt;*Negative*"))</f>
        <v>0</v>
      </c>
      <c r="AY25" s="15">
        <f>SUM(COUNTIFS('Data entry'!$R$6:$R$200,'Summary Data'!$A25,'Data entry'!$B$6:$B$200,{"Confirmed";"Probable"},'Data entry'!$AQ$6:$AQ$200,'Data Validation'!$V$5, 'Data entry'!$AP$6:$AP$200,'Data Validation'!$U$6, 'Data entry'!$BD$6:$BD$200,"&lt;&gt;*Negative*"))</f>
        <v>0</v>
      </c>
      <c r="AZ25" s="15">
        <f>SUM(COUNTIFS('Data entry'!$R$6:$R$200,'Summary Data'!$A25,'Data entry'!$B$6:$B$200,{"Confirmed";"Probable"},'Data entry'!$AQ$6:$AQ$200,'Data Validation'!$V$6, 'Data entry'!$AP$6:$AP$200,'Data Validation'!$U$2, 'Data entry'!$BD$6:$BD$200,"&lt;&gt;*Negative*"))</f>
        <v>0</v>
      </c>
      <c r="BA25" s="15">
        <f>SUM(COUNTIFS('Data entry'!$R$6:$R$200,'Summary Data'!$A25,'Data entry'!$B$6:$B$200,{"Confirmed";"Probable"},'Data entry'!$AQ$6:$AQ$200,'Data Validation'!$V$6, 'Data entry'!$AP$6:$AP$200,'Data Validation'!$U$3, 'Data entry'!$BD$6:$BD$200,"&lt;&gt;*Negative*"))</f>
        <v>0</v>
      </c>
      <c r="BB25" s="15">
        <f>SUM(COUNTIFS('Data entry'!$R$6:$R$200,'Summary Data'!$A25,'Data entry'!$B$6:$B$200,{"Confirmed";"Probable"},'Data entry'!$AQ$6:$AQ$200,'Data Validation'!$V$6, 'Data entry'!$AP$6:$AP$200,'Data Validation'!$U$4, 'Data entry'!$BD$6:$BD$200,"&lt;&gt;*Negative*"))</f>
        <v>0</v>
      </c>
      <c r="BC25" s="15">
        <f>SUM(COUNTIFS('Data entry'!$R$6:$R$200,'Summary Data'!$A25,'Data entry'!$B$6:$B$200,{"Confirmed";"Probable"},'Data entry'!$AQ$6:$AQ$200,'Data Validation'!$V$6, 'Data entry'!$AP$6:$AP$200,'Data Validation'!$U$5, 'Data entry'!$BD$6:$BD$200,"&lt;&gt;*Negative*"))</f>
        <v>0</v>
      </c>
      <c r="BD25" s="15">
        <f>SUM(COUNTIFS('Data entry'!$R$6:$R$200,'Summary Data'!$A25,'Data entry'!$B$6:$B$200,{"Confirmed";"Probable"},'Data entry'!$AQ$6:$AQ$200,'Data Validation'!$V$6, 'Data entry'!$AP$6:$AP$200,'Data Validation'!$U$6, 'Data entry'!$BD$6:$BD$200,"&lt;&gt;*Negative*"))</f>
        <v>0</v>
      </c>
      <c r="BE25" s="15">
        <f>SUM(COUNTIFS('Data entry'!$R$6:$R$200,'Summary Data'!$A25,'Data entry'!$B$6:$B$200,{"Confirmed";"Probable"},'Data entry'!$AQ$6:$AQ$200,'Data Validation'!$V$7, 'Data entry'!$AP$6:$AP$200,'Data Validation'!$U$2, 'Data entry'!$BD$6:$BD$200,"&lt;&gt;*Negative*"))</f>
        <v>0</v>
      </c>
      <c r="BF25" s="15">
        <f>SUM(COUNTIFS('Data entry'!$R$6:$R$200,'Summary Data'!$A25,'Data entry'!$B$6:$B$200,{"Confirmed";"Probable"},'Data entry'!$AQ$6:$AQ$200,'Data Validation'!$V$7, 'Data entry'!$AP$6:$AP$200,'Data Validation'!$U$3, 'Data entry'!$BD$6:$BD$200,"&lt;&gt;*Negative*"))</f>
        <v>0</v>
      </c>
      <c r="BG25" s="15">
        <f>SUM(COUNTIFS('Data entry'!$R$6:$R$200,'Summary Data'!$A25,'Data entry'!$B$6:$B$200,{"Confirmed";"Probable"},'Data entry'!$AQ$6:$AQ$200,'Data Validation'!$V$7, 'Data entry'!$AP$6:$AP$200,'Data Validation'!$U$4, 'Data entry'!$BD$6:$BD$200,"&lt;&gt;*Negative*"))</f>
        <v>0</v>
      </c>
      <c r="BH25" s="15">
        <f>SUM(COUNTIFS('Data entry'!$R$6:$R$200,'Summary Data'!$A25,'Data entry'!$B$6:$B$200,{"Confirmed";"Probable"},'Data entry'!$AQ$6:$AQ$200,'Data Validation'!$V$7, 'Data entry'!$AP$6:$AP$200,'Data Validation'!$U$5, 'Data entry'!$BD$6:$BD$200,"&lt;&gt;*Negative*"))</f>
        <v>0</v>
      </c>
      <c r="BI25" s="15">
        <f>SUM(COUNTIFS('Data entry'!$R$6:$R$200,'Summary Data'!$A25,'Data entry'!$B$6:$B$200,{"Confirmed";"Probable"},'Data entry'!$AQ$6:$AQ$200,'Data Validation'!$V$7, 'Data entry'!$AP$6:$AP$200,'Data Validation'!$U$6, 'Data entry'!$BD$6:$BD$200,"&lt;&gt;*Negative*"))</f>
        <v>0</v>
      </c>
      <c r="BJ25" s="15">
        <f>SUM(COUNTIFS('Data entry'!$R$6:$R$200,'Summary Data'!$A25,'Data entry'!$B$6:$B$200,{"Confirmed";"Probable"},'Data entry'!$AQ$6:$AQ$200,'Data Validation'!$V$8, 'Data entry'!$AP$6:$AP$200,'Data Validation'!$U$2, 'Data entry'!$BD$6:$BD$200,"&lt;&gt;*Negative*"))</f>
        <v>0</v>
      </c>
      <c r="BK25" s="15">
        <f>SUM(COUNTIFS('Data entry'!$R$6:$R$200,'Summary Data'!$A25,'Data entry'!$B$6:$B$200,{"Confirmed";"Probable"},'Data entry'!$AQ$6:$AQ$200,'Data Validation'!$V$8, 'Data entry'!$AP$6:$AP$200,'Data Validation'!$U$3, 'Data entry'!$BD$6:$BD$200,"&lt;&gt;*Negative*"))</f>
        <v>0</v>
      </c>
      <c r="BL25" s="15">
        <f>SUM(COUNTIFS('Data entry'!$R$6:$R$200,'Summary Data'!$A25,'Data entry'!$B$6:$B$200,{"Confirmed";"Probable"},'Data entry'!$AQ$6:$AQ$200,'Data Validation'!$V$8, 'Data entry'!$AP$6:$AP$200,'Data Validation'!$U$4, 'Data entry'!$BD$6:$BD$200,"&lt;&gt;*Negative*"))</f>
        <v>0</v>
      </c>
      <c r="BM25" s="15">
        <f>SUM(COUNTIFS('Data entry'!$R$6:$R$200,'Summary Data'!$A25,'Data entry'!$B$6:$B$200,{"Confirmed";"Probable"},'Data entry'!$AQ$6:$AQ$200,'Data Validation'!$V$8, 'Data entry'!$AP$6:$AP$200,'Data Validation'!$U$5, 'Data entry'!$BD$6:$BD$200,"&lt;&gt;*Negative*"))</f>
        <v>0</v>
      </c>
      <c r="BN25" s="15">
        <f>SUM(COUNTIFS('Data entry'!$R$6:$R$200,'Summary Data'!$A25,'Data entry'!$B$6:$B$200,{"Confirmed";"Probable"},'Data entry'!$AQ$6:$AQ$200,'Data Validation'!$V$8, 'Data entry'!$AP$6:$AP$200,'Data Validation'!$U$6, 'Data entry'!$BD$6:$BD$200,"&lt;&gt;*Negative*"))</f>
        <v>0</v>
      </c>
      <c r="BO25" s="15">
        <f>SUM(COUNTIFS('Data entry'!$R$6:$R$200,'Summary Data'!$A25,'Data entry'!$B$6:$B$200,{"Confirmed";"Probable"},'Data entry'!$AQ$6:$AQ$200,'Data Validation'!$V$9, 'Data entry'!$AP$6:$AP$200,'Data Validation'!$U$2, 'Data entry'!$BD$6:$BD$200,"&lt;&gt;*Negative*"))</f>
        <v>0</v>
      </c>
      <c r="BP25" s="15">
        <f>SUM(COUNTIFS('Data entry'!$R$6:$R$200,'Summary Data'!$A25,'Data entry'!$B$6:$B$200,{"Confirmed";"Probable"},'Data entry'!$AQ$6:$AQ$200,'Data Validation'!$V$9, 'Data entry'!$AP$6:$AP$200,'Data Validation'!$U$3, 'Data entry'!$BD$6:$BD$200,"&lt;&gt;*Negative*"))</f>
        <v>0</v>
      </c>
      <c r="BQ25" s="15">
        <f>SUM(COUNTIFS('Data entry'!$R$6:$R$200,'Summary Data'!$A25,'Data entry'!$B$6:$B$200,{"Confirmed";"Probable"},'Data entry'!$AQ$6:$AQ$200,'Data Validation'!$V$9, 'Data entry'!$AP$6:$AP$200,'Data Validation'!$U$4, 'Data entry'!$BD$6:$BD$200,"&lt;&gt;*Negative*"))</f>
        <v>0</v>
      </c>
      <c r="BR25" s="15">
        <f>SUM(COUNTIFS('Data entry'!$R$6:$R$200,'Summary Data'!$A25,'Data entry'!$B$6:$B$200,{"Confirmed";"Probable"},'Data entry'!$AQ$6:$AQ$200,'Data Validation'!$V$9, 'Data entry'!$AP$6:$AP$200,'Data Validation'!$U$5, 'Data entry'!$BD$6:$BD$200,"&lt;&gt;*Negative*"))</f>
        <v>0</v>
      </c>
      <c r="BS25" s="15">
        <f>SUM(COUNTIFS('Data entry'!$R$6:$R$200,'Summary Data'!$A25,'Data entry'!$B$6:$B$200,{"Confirmed";"Probable"},'Data entry'!$AQ$6:$AQ$200,'Data Validation'!$V$9, 'Data entry'!$AP$6:$AP$200,'Data Validation'!$U$6, 'Data entry'!$BD$6:$BD$200,"&lt;&gt;*Negative*"))</f>
        <v>0</v>
      </c>
      <c r="BT25" s="15">
        <f>SUM(COUNTIFS('Data entry'!$R$6:$R$200,'Summary Data'!$A25,'Data entry'!$B$6:$B$200,{"Confirmed";"Probable"},'Data entry'!$AQ$6:$AQ$200,'Data Validation'!$V$10, 'Data entry'!$AP$6:$AP$200,'Data Validation'!$U$2, 'Data entry'!$BD$6:$BD$200,"&lt;&gt;*Negative*"))</f>
        <v>0</v>
      </c>
      <c r="BU25" s="15">
        <f>SUM(COUNTIFS('Data entry'!$R$6:$R$200,'Summary Data'!$A25,'Data entry'!$B$6:$B$200,{"Confirmed";"Probable"},'Data entry'!$AQ$6:$AQ$200,'Data Validation'!$V$10, 'Data entry'!$AP$6:$AP$200,'Data Validation'!$U$3, 'Data entry'!$BD$6:$BD$200,"&lt;&gt;*Negative*"))</f>
        <v>0</v>
      </c>
      <c r="BV25" s="15">
        <f>SUM(COUNTIFS('Data entry'!$R$6:$R$200,'Summary Data'!$A25,'Data entry'!$B$6:$B$200,{"Confirmed";"Probable"},'Data entry'!$AQ$6:$AQ$200,'Data Validation'!$V$10, 'Data entry'!$AP$6:$AP$200,'Data Validation'!$U$4, 'Data entry'!$BD$6:$BD$200,"&lt;&gt;*Negative*"))</f>
        <v>0</v>
      </c>
      <c r="BW25" s="15">
        <f>SUM(COUNTIFS('Data entry'!$R$6:$R$200,'Summary Data'!$A25,'Data entry'!$B$6:$B$200,{"Confirmed";"Probable"},'Data entry'!$AQ$6:$AQ$200,'Data Validation'!$V$10, 'Data entry'!$AP$6:$AP$200,'Data Validation'!$U$5, 'Data entry'!$BD$6:$BD$200,"&lt;&gt;*Negative*"))</f>
        <v>0</v>
      </c>
      <c r="BX25" s="15">
        <f>SUM(COUNTIFS('Data entry'!$R$6:$R$200,'Summary Data'!$A25,'Data entry'!$B$6:$B$200,{"Confirmed";"Probable"},'Data entry'!$AQ$6:$AQ$200,'Data Validation'!$V$10, 'Data entry'!$AP$6:$AP$200,'Data Validation'!$U$6, 'Data entry'!$BD$6:$BD$200,"&lt;&gt;*Negative*"))</f>
        <v>0</v>
      </c>
      <c r="BY25" s="15">
        <f>SUM(COUNTIFS('Data entry'!$R$6:$R$200,'Summary Data'!$A25,'Data entry'!$B$6:$B$200,{"Confirmed";"Probable"},'Data entry'!$AQ$6:$AQ$200,'Data Validation'!$V$11, 'Data entry'!$AP$6:$AP$200,'Data Validation'!$U$2, 'Data entry'!$BD$6:$BD$200,"&lt;&gt;*Negative*"))</f>
        <v>0</v>
      </c>
      <c r="BZ25" s="15">
        <f>SUM(COUNTIFS('Data entry'!$R$6:$R$200,'Summary Data'!$A25,'Data entry'!$B$6:$B$200,{"Confirmed";"Probable"},'Data entry'!$AQ$6:$AQ$200,'Data Validation'!$V$11, 'Data entry'!$AP$6:$AP$200,'Data Validation'!$U$3, 'Data entry'!$BD$6:$BD$200,"&lt;&gt;*Negative*"))</f>
        <v>0</v>
      </c>
      <c r="CA25" s="15">
        <f>SUM(COUNTIFS('Data entry'!$R$6:$R$200,'Summary Data'!$A25,'Data entry'!$B$6:$B$200,{"Confirmed";"Probable"},'Data entry'!$AQ$6:$AQ$200,'Data Validation'!$V$11, 'Data entry'!$AP$6:$AP$200,'Data Validation'!$U$4, 'Data entry'!$BD$6:$BD$200,"&lt;&gt;*Negative*"))</f>
        <v>0</v>
      </c>
      <c r="CB25" s="15">
        <f>SUM(COUNTIFS('Data entry'!$R$6:$R$200,'Summary Data'!$A25,'Data entry'!$B$6:$B$200,{"Confirmed";"Probable"},'Data entry'!$AQ$6:$AQ$200,'Data Validation'!$V$11, 'Data entry'!$AP$6:$AP$200,'Data Validation'!$U$5, 'Data entry'!$BD$6:$BD$200,"&lt;&gt;*Negative*"))</f>
        <v>0</v>
      </c>
      <c r="CC25" s="15">
        <f>SUM(COUNTIFS('Data entry'!$R$6:$R$200,'Summary Data'!$A25,'Data entry'!$B$6:$B$200,{"Confirmed";"Probable"},'Data entry'!$AQ$6:$AQ$200,'Data Validation'!$V$11, 'Data entry'!$AP$6:$AP$200,'Data Validation'!$U$6, 'Data entry'!$BD$6:$BD$200,"&lt;&gt;*Negative*"))</f>
        <v>0</v>
      </c>
    </row>
    <row r="26" spans="1:81" x14ac:dyDescent="0.25">
      <c r="A26" s="12">
        <f t="shared" si="5"/>
        <v>14</v>
      </c>
      <c r="B26" s="13">
        <f t="shared" si="2"/>
        <v>0</v>
      </c>
      <c r="C26" s="13">
        <f>COUNTIFS('Data entry'!$R$6:$R$200,$A26,'Data entry'!$B$6:$B$200,"Confirmed",'Data entry'!$BD$6:$BD$200,"&lt;&gt;*Negative*")</f>
        <v>0</v>
      </c>
      <c r="D26" s="13">
        <f>COUNTIFS('Data entry'!$R$6:$R$200,$A26,'Data entry'!$B$6:$B$200,"Probable",'Data entry'!$BD$6:$BD$200,"&lt;&gt;*Negative*")</f>
        <v>0</v>
      </c>
      <c r="E26" s="13">
        <f>COUNTIFS('Data entry'!$R$6:$R$200,$A26,'Data entry'!$B$6:$B$200,"DNM")</f>
        <v>0</v>
      </c>
      <c r="F26" s="13">
        <f>SUM(COUNTIFS('Data entry'!$R$6:$R$200,'Summary Data'!$A26,'Data entry'!$B$6:$B$200,{"Confirmed";"Probable"},'Data entry'!$AO$6:$AO$200,$F$10, 'Data entry'!$BD$6:$BD$200,"&lt;&gt;*Negative*"))</f>
        <v>0</v>
      </c>
      <c r="G26" s="13">
        <f>SUM(COUNTIFS('Data entry'!$R$6:$R$200,'Summary Data'!$A26,'Data entry'!$B$6:$B$200,{"Confirmed";"Probable"},'Data entry'!$AO$6:$AO$200,$G$10, 'Data entry'!$BD$6:$BD$200,"&lt;&gt;*Negative*"))</f>
        <v>0</v>
      </c>
      <c r="H26" s="13">
        <f>SUM(COUNTIFS('Data entry'!$R$6:$R$200,'Summary Data'!$A26,'Data entry'!$B$6:$B$200,{"Confirmed";"Probable"},'Data entry'!$AO$6:$AO$200,$H$10, 'Data entry'!$BD$6:$BD$200,"&lt;&gt;*Negative*"))</f>
        <v>0</v>
      </c>
      <c r="I26" s="13">
        <f>SUM(COUNTIFS('Data entry'!$R$6:$R$200,'Summary Data'!$A26,'Data entry'!$B$6:$B$200,{"Confirmed";"Probable"},'Data entry'!$AO$6:$AO$200,$I$10, 'Data entry'!$BD$6:$BD$200,"&lt;&gt;*Negative*"))</f>
        <v>0</v>
      </c>
      <c r="J26" s="13">
        <f>SUM(COUNTIFS('Data entry'!$R$6:$R$200,'Summary Data'!$A26,'Data entry'!$B$6:$B$200,{"Confirmed";"Probable"},'Data entry'!$AO$6:$AO$200,$J$10, 'Data entry'!$BD$6:$BD$200,"&lt;&gt;*Negative*"))</f>
        <v>0</v>
      </c>
      <c r="K26" s="13">
        <f>SUM(COUNTIFS('Data entry'!$R$6:$R$200,'Summary Data'!$A26,'Data entry'!$B$6:$B$200,{"Confirmed";"Probable"},'Data entry'!$AO$6:$AO$200,$K$10, 'Data entry'!$BD$6:$BD$200,"&lt;&gt;*Negative*"))</f>
        <v>0</v>
      </c>
      <c r="L26" s="13">
        <f>SUM(COUNTIFS('Data entry'!$R$6:$R$200,'Summary Data'!$A26,'Data entry'!$B$6:$B$200,{"Confirmed";"Probable"},'Data entry'!$AO$6:$AO$200,$L$10, 'Data entry'!$BD$6:$BD$200,"&lt;&gt;*Negative*"))</f>
        <v>0</v>
      </c>
      <c r="M26" s="13">
        <f>SUM(COUNTIFS('Data entry'!$R$6:$R$200,'Summary Data'!$A26,'Data entry'!$B$6:$B$200,{"Confirmed";"Probable"},'Data entry'!$AO$6:$AO$200,$M$10, 'Data entry'!$BD$6:$BD$200,"&lt;&gt;*Negative*"))</f>
        <v>0</v>
      </c>
      <c r="N26" s="13">
        <f>SUM(COUNTIFS('Data entry'!$R$6:$R$200,'Summary Data'!$A26,'Data entry'!$B$6:$B$200,{"Confirmed";"Probable"},'Data entry'!$AO$6:$AO$200,$N$10, 'Data entry'!$BD$6:$BD$200,"&lt;&gt;*Negative*"))</f>
        <v>0</v>
      </c>
      <c r="O26" s="15">
        <f t="shared" si="3"/>
        <v>0</v>
      </c>
      <c r="P26" s="15">
        <f t="shared" si="4"/>
        <v>0</v>
      </c>
      <c r="Q26" s="15">
        <f>SUM(COUNTIFS('Data entry'!$R$6:$R$200,'Summary Data'!$A26,'Data entry'!$B$6:$B$200,{"Confirmed";"Probable"},'Data entry'!$AP$6:$AP$200,'Data Validation'!$U$2, 'Data entry'!$BD$6:$BD$200,"&lt;&gt;*Negative*"))</f>
        <v>0</v>
      </c>
      <c r="R26" s="15">
        <f>SUM(COUNTIFS('Data entry'!$R$6:$R$200,'Summary Data'!$A26,'Data entry'!$B$6:$B$200,{"Confirmed";"Probable"},'Data entry'!$AP$6:$AP$200,'Data Validation'!$U$3, 'Data entry'!$BD$6:$BD$200,"&lt;&gt;*Negative*"))</f>
        <v>0</v>
      </c>
      <c r="S26" s="15">
        <f>SUM(COUNTIFS('Data entry'!$R$6:$R$200,'Summary Data'!$A26,'Data entry'!$B$6:$B$200,{"Confirmed";"Probable"},'Data entry'!$AP$6:$AP$200,'Data Validation'!$U$4, 'Data entry'!$BD$6:$BD$200,"&lt;&gt;*Negative*"))</f>
        <v>0</v>
      </c>
      <c r="T26" s="15">
        <f>SUM(COUNTIFS('Data entry'!$R$6:$R$200,'Summary Data'!$A26,'Data entry'!$B$6:$B$200,{"Confirmed";"Probable"},'Data entry'!$AP$6:$AP$200,'Data Validation'!$U$5, 'Data entry'!$BD$6:$BD$200,"&lt;&gt;*Negative*"))</f>
        <v>0</v>
      </c>
      <c r="U26" s="15">
        <f>SUM(COUNTIFS('Data entry'!$R$6:$R$200,'Summary Data'!$A26,'Data entry'!$B$6:$B$200,{"Confirmed";"Probable"},'Data entry'!$AP$6:$AP$200,'Data Validation'!$U$6, 'Data entry'!$BD$6:$BD$200,"&lt;&gt;*Negative*"))</f>
        <v>0</v>
      </c>
      <c r="V26" s="15">
        <f>SUM(COUNTIFS('Data entry'!$R$6:$R$200,'Summary Data'!$A26,'Data entry'!$B$6:$B$200,{"Confirmed";"Probable"},'Data entry'!$AQ$6:$AQ$200,'Data Validation'!$V$2, 'Data entry'!$BD$6:$BD$200,"&lt;&gt;*Negative*"))</f>
        <v>0</v>
      </c>
      <c r="W26" s="15">
        <f>SUM(COUNTIFS('Data entry'!$R$6:$R$200,'Summary Data'!$A26,'Data entry'!$B$6:$B$200,{"Confirmed";"Probable"},'Data entry'!$AQ$6:$AQ$200,'Data Validation'!$V$3, 'Data entry'!$BD$6:$BD$200,"&lt;&gt;*Negative*"))</f>
        <v>0</v>
      </c>
      <c r="X26" s="15">
        <f>SUM(COUNTIFS('Data entry'!$R$6:$R$200,'Summary Data'!$A26,'Data entry'!$B$6:$B$200,{"Confirmed";"Probable"},'Data entry'!$AQ$6:$AQ$200,'Data Validation'!$V$4, 'Data entry'!$BD$6:$BD$200,"&lt;&gt;*Negative*"))</f>
        <v>0</v>
      </c>
      <c r="Y26" s="15">
        <f>SUM(COUNTIFS('Data entry'!$R$6:$R$200,'Summary Data'!$A26,'Data entry'!$B$6:$B$200,{"Confirmed";"Probable"},'Data entry'!$AQ$6:$AQ$200,'Data Validation'!$V$5, 'Data entry'!$BD$6:$BD$200,"&lt;&gt;*Negative*"))</f>
        <v>0</v>
      </c>
      <c r="Z26" s="15">
        <f>SUM(COUNTIFS('Data entry'!$R$6:$R$200,'Summary Data'!$A26,'Data entry'!$B$6:$B$200,{"Confirmed";"Probable"},'Data entry'!$AQ$6:$AQ$200,'Data Validation'!$V$6, 'Data entry'!$BD$6:$BD$200,"&lt;&gt;*Negative*"))</f>
        <v>0</v>
      </c>
      <c r="AA26" s="15">
        <f>SUM(COUNTIFS('Data entry'!$R$6:$R$200,'Summary Data'!$A26,'Data entry'!$B$6:$B$200,{"Confirmed";"Probable"},'Data entry'!$AQ$6:$AQ$200,'Data Validation'!$V$7, 'Data entry'!$BD$6:$BD$200,"&lt;&gt;*Negative*"))</f>
        <v>0</v>
      </c>
      <c r="AB26" s="15">
        <f>SUM(COUNTIFS('Data entry'!$R$6:$R$200,'Summary Data'!$A26,'Data entry'!$B$6:$B$200,{"Confirmed";"Probable"},'Data entry'!$AQ$6:$AQ$200,'Data Validation'!$V$8, 'Data entry'!$BD$6:$BD$200,"&lt;&gt;*Negative*"))</f>
        <v>0</v>
      </c>
      <c r="AC26" s="15">
        <f>SUM(COUNTIFS('Data entry'!$R$6:$R$200,'Summary Data'!$A26,'Data entry'!$B$6:$B$200,{"Confirmed";"Probable"},'Data entry'!$AQ$6:$AQ$200,'Data Validation'!$V$9, 'Data entry'!$BD$6:$BD$200,"&lt;&gt;*Negative*"))</f>
        <v>0</v>
      </c>
      <c r="AD26" s="15">
        <f>SUM(COUNTIFS('Data entry'!$R$6:$R$200,'Summary Data'!$A26,'Data entry'!$B$6:$B$200,{"Confirmed";"Probable"},'Data entry'!$AQ$6:$AQ$200,'Data Validation'!$V$10, 'Data entry'!$BD$6:$BD$200,"&lt;&gt;*Negative*"))</f>
        <v>0</v>
      </c>
      <c r="AE26" s="15">
        <f>SUM(COUNTIFS('Data entry'!$R$6:$R$200,'Summary Data'!$A26,'Data entry'!$B$6:$B$200,{"Confirmed";"Probable"},'Data entry'!$AQ$6:$AQ$200,'Data Validation'!$V$11, 'Data entry'!$BD$6:$BD$200,"&lt;&gt;*Negative*"))</f>
        <v>0</v>
      </c>
      <c r="AF26" s="15">
        <f>SUM(COUNTIFS('Data entry'!$R$6:$R$200,'Summary Data'!$A26,'Data entry'!$B$6:$B$200,{"Confirmed";"Probable"},'Data entry'!$AQ$6:$AQ$200,'Data Validation'!$V$2, 'Data entry'!$AP$6:$AP$200,'Data Validation'!$U$2, 'Data entry'!$BD$6:$BD$200,"&lt;&gt;*Negative*"))</f>
        <v>0</v>
      </c>
      <c r="AG26" s="15">
        <f>SUM(COUNTIFS('Data entry'!$R$6:$R$200,'Summary Data'!$A26,'Data entry'!$B$6:$B$200,{"Confirmed";"Probable"},'Data entry'!$AQ$6:$AQ$200,'Data Validation'!$V$2, 'Data entry'!$AP$6:$AP$200,'Data Validation'!$U$3, 'Data entry'!$BD$6:$BD$200,"&lt;&gt;*Negative*"))</f>
        <v>0</v>
      </c>
      <c r="AH26" s="15">
        <f>SUM(COUNTIFS('Data entry'!$R$6:$R$200,'Summary Data'!$A26,'Data entry'!$B$6:$B$200,{"Confirmed";"Probable"},'Data entry'!$AQ$6:$AQ$200,'Data Validation'!$V$2, 'Data entry'!$AP$6:$AP$200,'Data Validation'!$U$4, 'Data entry'!$BD$6:$BD$200,"&lt;&gt;*Negative*"))</f>
        <v>0</v>
      </c>
      <c r="AI26" s="15">
        <f>SUM(COUNTIFS('Data entry'!$R$6:$R$200,'Summary Data'!$A26,'Data entry'!$B$6:$B$200,{"Confirmed";"Probable"},'Data entry'!$AQ$6:$AQ$200,'Data Validation'!$V$2, 'Data entry'!$AP$6:$AP$200,'Data Validation'!$U$5, 'Data entry'!$BD$6:$BD$200,"&lt;&gt;*Negative*"))</f>
        <v>0</v>
      </c>
      <c r="AJ26" s="15">
        <f>SUM(COUNTIFS('Data entry'!$R$6:$R$200,'Summary Data'!$A26,'Data entry'!$B$6:$B$200,{"Confirmed";"Probable"},'Data entry'!$AQ$6:$AQ$200,'Data Validation'!$V$2, 'Data entry'!$AP$6:$AP$200,'Data Validation'!$U$6, 'Data entry'!$BD$6:$BD$200,"&lt;&gt;*Negative*"))</f>
        <v>0</v>
      </c>
      <c r="AK26" s="15">
        <f>SUM(COUNTIFS('Data entry'!$R$6:$R$200,'Summary Data'!$A26,'Data entry'!$B$6:$B$200,{"Confirmed";"Probable"},'Data entry'!$AQ$6:$AQ$200,'Data Validation'!$V$3, 'Data entry'!$AP$6:$AP$200,'Data Validation'!$U$2, 'Data entry'!$BD$6:$BD$200,"&lt;&gt;*Negative*"))</f>
        <v>0</v>
      </c>
      <c r="AL26" s="15">
        <f>SUM(COUNTIFS('Data entry'!$R$6:$R$200,'Summary Data'!$A26,'Data entry'!$B$6:$B$200,{"Confirmed";"Probable"},'Data entry'!$AQ$6:$AQ$200,'Data Validation'!$V$3, 'Data entry'!$AP$6:$AP$200,'Data Validation'!$U$3, 'Data entry'!$BD$6:$BD$200,"&lt;&gt;*Negative*"))</f>
        <v>0</v>
      </c>
      <c r="AM26" s="15">
        <f>SUM(COUNTIFS('Data entry'!$R$6:$R$200,'Summary Data'!$A26,'Data entry'!$B$6:$B$200,{"Confirmed";"Probable"},'Data entry'!$AQ$6:$AQ$200,'Data Validation'!$V$3, 'Data entry'!$AP$6:$AP$200,'Data Validation'!$U$4, 'Data entry'!$BD$6:$BD$200,"&lt;&gt;*Negative*"))</f>
        <v>0</v>
      </c>
      <c r="AN26" s="15">
        <f>SUM(COUNTIFS('Data entry'!$R$6:$R$200,'Summary Data'!$A26,'Data entry'!$B$6:$B$200,{"Confirmed";"Probable"},'Data entry'!$AQ$6:$AQ$200,'Data Validation'!$V$3, 'Data entry'!$AP$6:$AP$200,'Data Validation'!$U$5, 'Data entry'!$BD$6:$BD$200,"&lt;&gt;*Negative*"))</f>
        <v>0</v>
      </c>
      <c r="AO26" s="15">
        <f>SUM(COUNTIFS('Data entry'!$R$6:$R$200,'Summary Data'!$A26,'Data entry'!$B$6:$B$200,{"Confirmed";"Probable"},'Data entry'!$AQ$6:$AQ$200,'Data Validation'!$V$3, 'Data entry'!$AP$6:$AP$200,'Data Validation'!$U$6, 'Data entry'!$BD$6:$BD$200,"&lt;&gt;*Negative*"))</f>
        <v>0</v>
      </c>
      <c r="AP26" s="15">
        <f>SUM(COUNTIFS('Data entry'!$R$6:$R$200,'Summary Data'!$A26,'Data entry'!$B$6:$B$200,{"Confirmed";"Probable"},'Data entry'!$AQ$6:$AQ$200,'Data Validation'!$V$4, 'Data entry'!$AP$6:$AP$200,'Data Validation'!$U$2, 'Data entry'!$BD$6:$BD$200,"&lt;&gt;*Negative*"))</f>
        <v>0</v>
      </c>
      <c r="AQ26" s="15">
        <f>SUM(COUNTIFS('Data entry'!$R$6:$R$200,'Summary Data'!$A26,'Data entry'!$B$6:$B$200,{"Confirmed";"Probable"},'Data entry'!$AQ$6:$AQ$200,'Data Validation'!$V$4, 'Data entry'!$AP$6:$AP$200,'Data Validation'!$U$3, 'Data entry'!$BD$6:$BD$200,"&lt;&gt;*Negative*"))</f>
        <v>0</v>
      </c>
      <c r="AR26" s="15">
        <f>SUM(COUNTIFS('Data entry'!$R$6:$R$200,'Summary Data'!$A26,'Data entry'!$B$6:$B$200,{"Confirmed";"Probable"},'Data entry'!$AQ$6:$AQ$200,'Data Validation'!$V$4, 'Data entry'!$AP$6:$AP$200,'Data Validation'!$U$4, 'Data entry'!$BD$6:$BD$200,"&lt;&gt;*Negative*"))</f>
        <v>0</v>
      </c>
      <c r="AS26" s="15">
        <f>SUM(COUNTIFS('Data entry'!$R$6:$R$200,'Summary Data'!$A26,'Data entry'!$B$6:$B$200,{"Confirmed";"Probable"},'Data entry'!$AQ$6:$AQ$200,'Data Validation'!$V$4, 'Data entry'!$AP$6:$AP$200,'Data Validation'!$U$5, 'Data entry'!$BD$6:$BD$200,"&lt;&gt;*Negative*"))</f>
        <v>0</v>
      </c>
      <c r="AT26" s="15">
        <f>SUM(COUNTIFS('Data entry'!$R$6:$R$200,'Summary Data'!$A26,'Data entry'!$B$6:$B$200,{"Confirmed";"Probable"},'Data entry'!$AQ$6:$AQ$200,'Data Validation'!$V$4, 'Data entry'!$AP$6:$AP$200,'Data Validation'!$U$6, 'Data entry'!$BD$6:$BD$200,"&lt;&gt;*Negative*"))</f>
        <v>0</v>
      </c>
      <c r="AU26" s="15">
        <f>SUM(COUNTIFS('Data entry'!$R$6:$R$200,'Summary Data'!$A26,'Data entry'!$B$6:$B$200,{"Confirmed";"Probable"},'Data entry'!$AQ$6:$AQ$200,'Data Validation'!$V$5, 'Data entry'!$AP$6:$AP$200,'Data Validation'!$U$2, 'Data entry'!$BD$6:$BD$200,"&lt;&gt;*Negative*"))</f>
        <v>0</v>
      </c>
      <c r="AV26" s="15">
        <f>SUM(COUNTIFS('Data entry'!$R$6:$R$200,'Summary Data'!$A26,'Data entry'!$B$6:$B$200,{"Confirmed";"Probable"},'Data entry'!$AQ$6:$AQ$200,'Data Validation'!$V$5, 'Data entry'!$AP$6:$AP$200,'Data Validation'!$U$3, 'Data entry'!$BD$6:$BD$200,"&lt;&gt;*Negative*"))</f>
        <v>0</v>
      </c>
      <c r="AW26" s="15">
        <f>SUM(COUNTIFS('Data entry'!$R$6:$R$200,'Summary Data'!$A26,'Data entry'!$B$6:$B$200,{"Confirmed";"Probable"},'Data entry'!$AQ$6:$AQ$200,'Data Validation'!$V$5, 'Data entry'!$AP$6:$AP$200,'Data Validation'!$U$4, 'Data entry'!$BD$6:$BD$200,"&lt;&gt;*Negative*"))</f>
        <v>0</v>
      </c>
      <c r="AX26" s="15">
        <f>SUM(COUNTIFS('Data entry'!$R$6:$R$200,'Summary Data'!$A26,'Data entry'!$B$6:$B$200,{"Confirmed";"Probable"},'Data entry'!$AQ$6:$AQ$200,'Data Validation'!$V$5, 'Data entry'!$AP$6:$AP$200,'Data Validation'!$U$5, 'Data entry'!$BD$6:$BD$200,"&lt;&gt;*Negative*"))</f>
        <v>0</v>
      </c>
      <c r="AY26" s="15">
        <f>SUM(COUNTIFS('Data entry'!$R$6:$R$200,'Summary Data'!$A26,'Data entry'!$B$6:$B$200,{"Confirmed";"Probable"},'Data entry'!$AQ$6:$AQ$200,'Data Validation'!$V$5, 'Data entry'!$AP$6:$AP$200,'Data Validation'!$U$6, 'Data entry'!$BD$6:$BD$200,"&lt;&gt;*Negative*"))</f>
        <v>0</v>
      </c>
      <c r="AZ26" s="15">
        <f>SUM(COUNTIFS('Data entry'!$R$6:$R$200,'Summary Data'!$A26,'Data entry'!$B$6:$B$200,{"Confirmed";"Probable"},'Data entry'!$AQ$6:$AQ$200,'Data Validation'!$V$6, 'Data entry'!$AP$6:$AP$200,'Data Validation'!$U$2, 'Data entry'!$BD$6:$BD$200,"&lt;&gt;*Negative*"))</f>
        <v>0</v>
      </c>
      <c r="BA26" s="15">
        <f>SUM(COUNTIFS('Data entry'!$R$6:$R$200,'Summary Data'!$A26,'Data entry'!$B$6:$B$200,{"Confirmed";"Probable"},'Data entry'!$AQ$6:$AQ$200,'Data Validation'!$V$6, 'Data entry'!$AP$6:$AP$200,'Data Validation'!$U$3, 'Data entry'!$BD$6:$BD$200,"&lt;&gt;*Negative*"))</f>
        <v>0</v>
      </c>
      <c r="BB26" s="15">
        <f>SUM(COUNTIFS('Data entry'!$R$6:$R$200,'Summary Data'!$A26,'Data entry'!$B$6:$B$200,{"Confirmed";"Probable"},'Data entry'!$AQ$6:$AQ$200,'Data Validation'!$V$6, 'Data entry'!$AP$6:$AP$200,'Data Validation'!$U$4, 'Data entry'!$BD$6:$BD$200,"&lt;&gt;*Negative*"))</f>
        <v>0</v>
      </c>
      <c r="BC26" s="15">
        <f>SUM(COUNTIFS('Data entry'!$R$6:$R$200,'Summary Data'!$A26,'Data entry'!$B$6:$B$200,{"Confirmed";"Probable"},'Data entry'!$AQ$6:$AQ$200,'Data Validation'!$V$6, 'Data entry'!$AP$6:$AP$200,'Data Validation'!$U$5, 'Data entry'!$BD$6:$BD$200,"&lt;&gt;*Negative*"))</f>
        <v>0</v>
      </c>
      <c r="BD26" s="15">
        <f>SUM(COUNTIFS('Data entry'!$R$6:$R$200,'Summary Data'!$A26,'Data entry'!$B$6:$B$200,{"Confirmed";"Probable"},'Data entry'!$AQ$6:$AQ$200,'Data Validation'!$V$6, 'Data entry'!$AP$6:$AP$200,'Data Validation'!$U$6, 'Data entry'!$BD$6:$BD$200,"&lt;&gt;*Negative*"))</f>
        <v>0</v>
      </c>
      <c r="BE26" s="15">
        <f>SUM(COUNTIFS('Data entry'!$R$6:$R$200,'Summary Data'!$A26,'Data entry'!$B$6:$B$200,{"Confirmed";"Probable"},'Data entry'!$AQ$6:$AQ$200,'Data Validation'!$V$7, 'Data entry'!$AP$6:$AP$200,'Data Validation'!$U$2, 'Data entry'!$BD$6:$BD$200,"&lt;&gt;*Negative*"))</f>
        <v>0</v>
      </c>
      <c r="BF26" s="15">
        <f>SUM(COUNTIFS('Data entry'!$R$6:$R$200,'Summary Data'!$A26,'Data entry'!$B$6:$B$200,{"Confirmed";"Probable"},'Data entry'!$AQ$6:$AQ$200,'Data Validation'!$V$7, 'Data entry'!$AP$6:$AP$200,'Data Validation'!$U$3, 'Data entry'!$BD$6:$BD$200,"&lt;&gt;*Negative*"))</f>
        <v>0</v>
      </c>
      <c r="BG26" s="15">
        <f>SUM(COUNTIFS('Data entry'!$R$6:$R$200,'Summary Data'!$A26,'Data entry'!$B$6:$B$200,{"Confirmed";"Probable"},'Data entry'!$AQ$6:$AQ$200,'Data Validation'!$V$7, 'Data entry'!$AP$6:$AP$200,'Data Validation'!$U$4, 'Data entry'!$BD$6:$BD$200,"&lt;&gt;*Negative*"))</f>
        <v>0</v>
      </c>
      <c r="BH26" s="15">
        <f>SUM(COUNTIFS('Data entry'!$R$6:$R$200,'Summary Data'!$A26,'Data entry'!$B$6:$B$200,{"Confirmed";"Probable"},'Data entry'!$AQ$6:$AQ$200,'Data Validation'!$V$7, 'Data entry'!$AP$6:$AP$200,'Data Validation'!$U$5, 'Data entry'!$BD$6:$BD$200,"&lt;&gt;*Negative*"))</f>
        <v>0</v>
      </c>
      <c r="BI26" s="15">
        <f>SUM(COUNTIFS('Data entry'!$R$6:$R$200,'Summary Data'!$A26,'Data entry'!$B$6:$B$200,{"Confirmed";"Probable"},'Data entry'!$AQ$6:$AQ$200,'Data Validation'!$V$7, 'Data entry'!$AP$6:$AP$200,'Data Validation'!$U$6, 'Data entry'!$BD$6:$BD$200,"&lt;&gt;*Negative*"))</f>
        <v>0</v>
      </c>
      <c r="BJ26" s="15">
        <f>SUM(COUNTIFS('Data entry'!$R$6:$R$200,'Summary Data'!$A26,'Data entry'!$B$6:$B$200,{"Confirmed";"Probable"},'Data entry'!$AQ$6:$AQ$200,'Data Validation'!$V$8, 'Data entry'!$AP$6:$AP$200,'Data Validation'!$U$2, 'Data entry'!$BD$6:$BD$200,"&lt;&gt;*Negative*"))</f>
        <v>0</v>
      </c>
      <c r="BK26" s="15">
        <f>SUM(COUNTIFS('Data entry'!$R$6:$R$200,'Summary Data'!$A26,'Data entry'!$B$6:$B$200,{"Confirmed";"Probable"},'Data entry'!$AQ$6:$AQ$200,'Data Validation'!$V$8, 'Data entry'!$AP$6:$AP$200,'Data Validation'!$U$3, 'Data entry'!$BD$6:$BD$200,"&lt;&gt;*Negative*"))</f>
        <v>0</v>
      </c>
      <c r="BL26" s="15">
        <f>SUM(COUNTIFS('Data entry'!$R$6:$R$200,'Summary Data'!$A26,'Data entry'!$B$6:$B$200,{"Confirmed";"Probable"},'Data entry'!$AQ$6:$AQ$200,'Data Validation'!$V$8, 'Data entry'!$AP$6:$AP$200,'Data Validation'!$U$4, 'Data entry'!$BD$6:$BD$200,"&lt;&gt;*Negative*"))</f>
        <v>0</v>
      </c>
      <c r="BM26" s="15">
        <f>SUM(COUNTIFS('Data entry'!$R$6:$R$200,'Summary Data'!$A26,'Data entry'!$B$6:$B$200,{"Confirmed";"Probable"},'Data entry'!$AQ$6:$AQ$200,'Data Validation'!$V$8, 'Data entry'!$AP$6:$AP$200,'Data Validation'!$U$5, 'Data entry'!$BD$6:$BD$200,"&lt;&gt;*Negative*"))</f>
        <v>0</v>
      </c>
      <c r="BN26" s="15">
        <f>SUM(COUNTIFS('Data entry'!$R$6:$R$200,'Summary Data'!$A26,'Data entry'!$B$6:$B$200,{"Confirmed";"Probable"},'Data entry'!$AQ$6:$AQ$200,'Data Validation'!$V$8, 'Data entry'!$AP$6:$AP$200,'Data Validation'!$U$6, 'Data entry'!$BD$6:$BD$200,"&lt;&gt;*Negative*"))</f>
        <v>0</v>
      </c>
      <c r="BO26" s="15">
        <f>SUM(COUNTIFS('Data entry'!$R$6:$R$200,'Summary Data'!$A26,'Data entry'!$B$6:$B$200,{"Confirmed";"Probable"},'Data entry'!$AQ$6:$AQ$200,'Data Validation'!$V$9, 'Data entry'!$AP$6:$AP$200,'Data Validation'!$U$2, 'Data entry'!$BD$6:$BD$200,"&lt;&gt;*Negative*"))</f>
        <v>0</v>
      </c>
      <c r="BP26" s="15">
        <f>SUM(COUNTIFS('Data entry'!$R$6:$R$200,'Summary Data'!$A26,'Data entry'!$B$6:$B$200,{"Confirmed";"Probable"},'Data entry'!$AQ$6:$AQ$200,'Data Validation'!$V$9, 'Data entry'!$AP$6:$AP$200,'Data Validation'!$U$3, 'Data entry'!$BD$6:$BD$200,"&lt;&gt;*Negative*"))</f>
        <v>0</v>
      </c>
      <c r="BQ26" s="15">
        <f>SUM(COUNTIFS('Data entry'!$R$6:$R$200,'Summary Data'!$A26,'Data entry'!$B$6:$B$200,{"Confirmed";"Probable"},'Data entry'!$AQ$6:$AQ$200,'Data Validation'!$V$9, 'Data entry'!$AP$6:$AP$200,'Data Validation'!$U$4, 'Data entry'!$BD$6:$BD$200,"&lt;&gt;*Negative*"))</f>
        <v>0</v>
      </c>
      <c r="BR26" s="15">
        <f>SUM(COUNTIFS('Data entry'!$R$6:$R$200,'Summary Data'!$A26,'Data entry'!$B$6:$B$200,{"Confirmed";"Probable"},'Data entry'!$AQ$6:$AQ$200,'Data Validation'!$V$9, 'Data entry'!$AP$6:$AP$200,'Data Validation'!$U$5, 'Data entry'!$BD$6:$BD$200,"&lt;&gt;*Negative*"))</f>
        <v>0</v>
      </c>
      <c r="BS26" s="15">
        <f>SUM(COUNTIFS('Data entry'!$R$6:$R$200,'Summary Data'!$A26,'Data entry'!$B$6:$B$200,{"Confirmed";"Probable"},'Data entry'!$AQ$6:$AQ$200,'Data Validation'!$V$9, 'Data entry'!$AP$6:$AP$200,'Data Validation'!$U$6, 'Data entry'!$BD$6:$BD$200,"&lt;&gt;*Negative*"))</f>
        <v>0</v>
      </c>
      <c r="BT26" s="15">
        <f>SUM(COUNTIFS('Data entry'!$R$6:$R$200,'Summary Data'!$A26,'Data entry'!$B$6:$B$200,{"Confirmed";"Probable"},'Data entry'!$AQ$6:$AQ$200,'Data Validation'!$V$10, 'Data entry'!$AP$6:$AP$200,'Data Validation'!$U$2, 'Data entry'!$BD$6:$BD$200,"&lt;&gt;*Negative*"))</f>
        <v>0</v>
      </c>
      <c r="BU26" s="15">
        <f>SUM(COUNTIFS('Data entry'!$R$6:$R$200,'Summary Data'!$A26,'Data entry'!$B$6:$B$200,{"Confirmed";"Probable"},'Data entry'!$AQ$6:$AQ$200,'Data Validation'!$V$10, 'Data entry'!$AP$6:$AP$200,'Data Validation'!$U$3, 'Data entry'!$BD$6:$BD$200,"&lt;&gt;*Negative*"))</f>
        <v>0</v>
      </c>
      <c r="BV26" s="15">
        <f>SUM(COUNTIFS('Data entry'!$R$6:$R$200,'Summary Data'!$A26,'Data entry'!$B$6:$B$200,{"Confirmed";"Probable"},'Data entry'!$AQ$6:$AQ$200,'Data Validation'!$V$10, 'Data entry'!$AP$6:$AP$200,'Data Validation'!$U$4, 'Data entry'!$BD$6:$BD$200,"&lt;&gt;*Negative*"))</f>
        <v>0</v>
      </c>
      <c r="BW26" s="15">
        <f>SUM(COUNTIFS('Data entry'!$R$6:$R$200,'Summary Data'!$A26,'Data entry'!$B$6:$B$200,{"Confirmed";"Probable"},'Data entry'!$AQ$6:$AQ$200,'Data Validation'!$V$10, 'Data entry'!$AP$6:$AP$200,'Data Validation'!$U$5, 'Data entry'!$BD$6:$BD$200,"&lt;&gt;*Negative*"))</f>
        <v>0</v>
      </c>
      <c r="BX26" s="15">
        <f>SUM(COUNTIFS('Data entry'!$R$6:$R$200,'Summary Data'!$A26,'Data entry'!$B$6:$B$200,{"Confirmed";"Probable"},'Data entry'!$AQ$6:$AQ$200,'Data Validation'!$V$10, 'Data entry'!$AP$6:$AP$200,'Data Validation'!$U$6, 'Data entry'!$BD$6:$BD$200,"&lt;&gt;*Negative*"))</f>
        <v>0</v>
      </c>
      <c r="BY26" s="15">
        <f>SUM(COUNTIFS('Data entry'!$R$6:$R$200,'Summary Data'!$A26,'Data entry'!$B$6:$B$200,{"Confirmed";"Probable"},'Data entry'!$AQ$6:$AQ$200,'Data Validation'!$V$11, 'Data entry'!$AP$6:$AP$200,'Data Validation'!$U$2, 'Data entry'!$BD$6:$BD$200,"&lt;&gt;*Negative*"))</f>
        <v>0</v>
      </c>
      <c r="BZ26" s="15">
        <f>SUM(COUNTIFS('Data entry'!$R$6:$R$200,'Summary Data'!$A26,'Data entry'!$B$6:$B$200,{"Confirmed";"Probable"},'Data entry'!$AQ$6:$AQ$200,'Data Validation'!$V$11, 'Data entry'!$AP$6:$AP$200,'Data Validation'!$U$3, 'Data entry'!$BD$6:$BD$200,"&lt;&gt;*Negative*"))</f>
        <v>0</v>
      </c>
      <c r="CA26" s="15">
        <f>SUM(COUNTIFS('Data entry'!$R$6:$R$200,'Summary Data'!$A26,'Data entry'!$B$6:$B$200,{"Confirmed";"Probable"},'Data entry'!$AQ$6:$AQ$200,'Data Validation'!$V$11, 'Data entry'!$AP$6:$AP$200,'Data Validation'!$U$4, 'Data entry'!$BD$6:$BD$200,"&lt;&gt;*Negative*"))</f>
        <v>0</v>
      </c>
      <c r="CB26" s="15">
        <f>SUM(COUNTIFS('Data entry'!$R$6:$R$200,'Summary Data'!$A26,'Data entry'!$B$6:$B$200,{"Confirmed";"Probable"},'Data entry'!$AQ$6:$AQ$200,'Data Validation'!$V$11, 'Data entry'!$AP$6:$AP$200,'Data Validation'!$U$5, 'Data entry'!$BD$6:$BD$200,"&lt;&gt;*Negative*"))</f>
        <v>0</v>
      </c>
      <c r="CC26" s="15">
        <f>SUM(COUNTIFS('Data entry'!$R$6:$R$200,'Summary Data'!$A26,'Data entry'!$B$6:$B$200,{"Confirmed";"Probable"},'Data entry'!$AQ$6:$AQ$200,'Data Validation'!$V$11, 'Data entry'!$AP$6:$AP$200,'Data Validation'!$U$6, 'Data entry'!$BD$6:$BD$200,"&lt;&gt;*Negative*"))</f>
        <v>0</v>
      </c>
    </row>
    <row r="27" spans="1:81" x14ac:dyDescent="0.25">
      <c r="A27" s="12">
        <f t="shared" si="5"/>
        <v>15</v>
      </c>
      <c r="B27" s="13">
        <f t="shared" si="2"/>
        <v>0</v>
      </c>
      <c r="C27" s="13">
        <f>COUNTIFS('Data entry'!$R$6:$R$200,$A27,'Data entry'!$B$6:$B$200,"Confirmed",'Data entry'!$BD$6:$BD$200,"&lt;&gt;*Negative*")</f>
        <v>0</v>
      </c>
      <c r="D27" s="13">
        <f>COUNTIFS('Data entry'!$R$6:$R$200,$A27,'Data entry'!$B$6:$B$200,"Probable",'Data entry'!$BD$6:$BD$200,"&lt;&gt;*Negative*")</f>
        <v>0</v>
      </c>
      <c r="E27" s="13">
        <f>COUNTIFS('Data entry'!$R$6:$R$200,$A27,'Data entry'!$B$6:$B$200,"DNM")</f>
        <v>0</v>
      </c>
      <c r="F27" s="13">
        <f>SUM(COUNTIFS('Data entry'!$R$6:$R$200,'Summary Data'!$A27,'Data entry'!$B$6:$B$200,{"Confirmed";"Probable"},'Data entry'!$AO$6:$AO$200,$F$10, 'Data entry'!$BD$6:$BD$200,"&lt;&gt;*Negative*"))</f>
        <v>0</v>
      </c>
      <c r="G27" s="13">
        <f>SUM(COUNTIFS('Data entry'!$R$6:$R$200,'Summary Data'!$A27,'Data entry'!$B$6:$B$200,{"Confirmed";"Probable"},'Data entry'!$AO$6:$AO$200,$G$10, 'Data entry'!$BD$6:$BD$200,"&lt;&gt;*Negative*"))</f>
        <v>0</v>
      </c>
      <c r="H27" s="13">
        <f>SUM(COUNTIFS('Data entry'!$R$6:$R$200,'Summary Data'!$A27,'Data entry'!$B$6:$B$200,{"Confirmed";"Probable"},'Data entry'!$AO$6:$AO$200,$H$10, 'Data entry'!$BD$6:$BD$200,"&lt;&gt;*Negative*"))</f>
        <v>0</v>
      </c>
      <c r="I27" s="13">
        <f>SUM(COUNTIFS('Data entry'!$R$6:$R$200,'Summary Data'!$A27,'Data entry'!$B$6:$B$200,{"Confirmed";"Probable"},'Data entry'!$AO$6:$AO$200,$I$10, 'Data entry'!$BD$6:$BD$200,"&lt;&gt;*Negative*"))</f>
        <v>0</v>
      </c>
      <c r="J27" s="13">
        <f>SUM(COUNTIFS('Data entry'!$R$6:$R$200,'Summary Data'!$A27,'Data entry'!$B$6:$B$200,{"Confirmed";"Probable"},'Data entry'!$AO$6:$AO$200,$J$10, 'Data entry'!$BD$6:$BD$200,"&lt;&gt;*Negative*"))</f>
        <v>0</v>
      </c>
      <c r="K27" s="13">
        <f>SUM(COUNTIFS('Data entry'!$R$6:$R$200,'Summary Data'!$A27,'Data entry'!$B$6:$B$200,{"Confirmed";"Probable"},'Data entry'!$AO$6:$AO$200,$K$10, 'Data entry'!$BD$6:$BD$200,"&lt;&gt;*Negative*"))</f>
        <v>0</v>
      </c>
      <c r="L27" s="13">
        <f>SUM(COUNTIFS('Data entry'!$R$6:$R$200,'Summary Data'!$A27,'Data entry'!$B$6:$B$200,{"Confirmed";"Probable"},'Data entry'!$AO$6:$AO$200,$L$10, 'Data entry'!$BD$6:$BD$200,"&lt;&gt;*Negative*"))</f>
        <v>0</v>
      </c>
      <c r="M27" s="13">
        <f>SUM(COUNTIFS('Data entry'!$R$6:$R$200,'Summary Data'!$A27,'Data entry'!$B$6:$B$200,{"Confirmed";"Probable"},'Data entry'!$AO$6:$AO$200,$M$10, 'Data entry'!$BD$6:$BD$200,"&lt;&gt;*Negative*"))</f>
        <v>0</v>
      </c>
      <c r="N27" s="13">
        <f>SUM(COUNTIFS('Data entry'!$R$6:$R$200,'Summary Data'!$A27,'Data entry'!$B$6:$B$200,{"Confirmed";"Probable"},'Data entry'!$AO$6:$AO$200,$N$10, 'Data entry'!$BD$6:$BD$200,"&lt;&gt;*Negative*"))</f>
        <v>0</v>
      </c>
      <c r="O27" s="15">
        <f t="shared" si="3"/>
        <v>0</v>
      </c>
      <c r="P27" s="15">
        <f t="shared" si="4"/>
        <v>0</v>
      </c>
      <c r="Q27" s="15">
        <f>SUM(COUNTIFS('Data entry'!$R$6:$R$200,'Summary Data'!$A27,'Data entry'!$B$6:$B$200,{"Confirmed";"Probable"},'Data entry'!$AP$6:$AP$200,'Data Validation'!$U$2, 'Data entry'!$BD$6:$BD$200,"&lt;&gt;*Negative*"))</f>
        <v>0</v>
      </c>
      <c r="R27" s="15">
        <f>SUM(COUNTIFS('Data entry'!$R$6:$R$200,'Summary Data'!$A27,'Data entry'!$B$6:$B$200,{"Confirmed";"Probable"},'Data entry'!$AP$6:$AP$200,'Data Validation'!$U$3, 'Data entry'!$BD$6:$BD$200,"&lt;&gt;*Negative*"))</f>
        <v>0</v>
      </c>
      <c r="S27" s="15">
        <f>SUM(COUNTIFS('Data entry'!$R$6:$R$200,'Summary Data'!$A27,'Data entry'!$B$6:$B$200,{"Confirmed";"Probable"},'Data entry'!$AP$6:$AP$200,'Data Validation'!$U$4, 'Data entry'!$BD$6:$BD$200,"&lt;&gt;*Negative*"))</f>
        <v>0</v>
      </c>
      <c r="T27" s="15">
        <f>SUM(COUNTIFS('Data entry'!$R$6:$R$200,'Summary Data'!$A27,'Data entry'!$B$6:$B$200,{"Confirmed";"Probable"},'Data entry'!$AP$6:$AP$200,'Data Validation'!$U$5, 'Data entry'!$BD$6:$BD$200,"&lt;&gt;*Negative*"))</f>
        <v>0</v>
      </c>
      <c r="U27" s="15">
        <f>SUM(COUNTIFS('Data entry'!$R$6:$R$200,'Summary Data'!$A27,'Data entry'!$B$6:$B$200,{"Confirmed";"Probable"},'Data entry'!$AP$6:$AP$200,'Data Validation'!$U$6, 'Data entry'!$BD$6:$BD$200,"&lt;&gt;*Negative*"))</f>
        <v>0</v>
      </c>
      <c r="V27" s="15">
        <f>SUM(COUNTIFS('Data entry'!$R$6:$R$200,'Summary Data'!$A27,'Data entry'!$B$6:$B$200,{"Confirmed";"Probable"},'Data entry'!$AQ$6:$AQ$200,'Data Validation'!$V$2, 'Data entry'!$BD$6:$BD$200,"&lt;&gt;*Negative*"))</f>
        <v>0</v>
      </c>
      <c r="W27" s="15">
        <f>SUM(COUNTIFS('Data entry'!$R$6:$R$200,'Summary Data'!$A27,'Data entry'!$B$6:$B$200,{"Confirmed";"Probable"},'Data entry'!$AQ$6:$AQ$200,'Data Validation'!$V$3, 'Data entry'!$BD$6:$BD$200,"&lt;&gt;*Negative*"))</f>
        <v>0</v>
      </c>
      <c r="X27" s="15">
        <f>SUM(COUNTIFS('Data entry'!$R$6:$R$200,'Summary Data'!$A27,'Data entry'!$B$6:$B$200,{"Confirmed";"Probable"},'Data entry'!$AQ$6:$AQ$200,'Data Validation'!$V$4, 'Data entry'!$BD$6:$BD$200,"&lt;&gt;*Negative*"))</f>
        <v>0</v>
      </c>
      <c r="Y27" s="15">
        <f>SUM(COUNTIFS('Data entry'!$R$6:$R$200,'Summary Data'!$A27,'Data entry'!$B$6:$B$200,{"Confirmed";"Probable"},'Data entry'!$AQ$6:$AQ$200,'Data Validation'!$V$5, 'Data entry'!$BD$6:$BD$200,"&lt;&gt;*Negative*"))</f>
        <v>0</v>
      </c>
      <c r="Z27" s="15">
        <f>SUM(COUNTIFS('Data entry'!$R$6:$R$200,'Summary Data'!$A27,'Data entry'!$B$6:$B$200,{"Confirmed";"Probable"},'Data entry'!$AQ$6:$AQ$200,'Data Validation'!$V$6, 'Data entry'!$BD$6:$BD$200,"&lt;&gt;*Negative*"))</f>
        <v>0</v>
      </c>
      <c r="AA27" s="15">
        <f>SUM(COUNTIFS('Data entry'!$R$6:$R$200,'Summary Data'!$A27,'Data entry'!$B$6:$B$200,{"Confirmed";"Probable"},'Data entry'!$AQ$6:$AQ$200,'Data Validation'!$V$7, 'Data entry'!$BD$6:$BD$200,"&lt;&gt;*Negative*"))</f>
        <v>0</v>
      </c>
      <c r="AB27" s="15">
        <f>SUM(COUNTIFS('Data entry'!$R$6:$R$200,'Summary Data'!$A27,'Data entry'!$B$6:$B$200,{"Confirmed";"Probable"},'Data entry'!$AQ$6:$AQ$200,'Data Validation'!$V$8, 'Data entry'!$BD$6:$BD$200,"&lt;&gt;*Negative*"))</f>
        <v>0</v>
      </c>
      <c r="AC27" s="15">
        <f>SUM(COUNTIFS('Data entry'!$R$6:$R$200,'Summary Data'!$A27,'Data entry'!$B$6:$B$200,{"Confirmed";"Probable"},'Data entry'!$AQ$6:$AQ$200,'Data Validation'!$V$9, 'Data entry'!$BD$6:$BD$200,"&lt;&gt;*Negative*"))</f>
        <v>0</v>
      </c>
      <c r="AD27" s="15">
        <f>SUM(COUNTIFS('Data entry'!$R$6:$R$200,'Summary Data'!$A27,'Data entry'!$B$6:$B$200,{"Confirmed";"Probable"},'Data entry'!$AQ$6:$AQ$200,'Data Validation'!$V$10, 'Data entry'!$BD$6:$BD$200,"&lt;&gt;*Negative*"))</f>
        <v>0</v>
      </c>
      <c r="AE27" s="15">
        <f>SUM(COUNTIFS('Data entry'!$R$6:$R$200,'Summary Data'!$A27,'Data entry'!$B$6:$B$200,{"Confirmed";"Probable"},'Data entry'!$AQ$6:$AQ$200,'Data Validation'!$V$11, 'Data entry'!$BD$6:$BD$200,"&lt;&gt;*Negative*"))</f>
        <v>0</v>
      </c>
      <c r="AF27" s="15">
        <f>SUM(COUNTIFS('Data entry'!$R$6:$R$200,'Summary Data'!$A27,'Data entry'!$B$6:$B$200,{"Confirmed";"Probable"},'Data entry'!$AQ$6:$AQ$200,'Data Validation'!$V$2, 'Data entry'!$AP$6:$AP$200,'Data Validation'!$U$2, 'Data entry'!$BD$6:$BD$200,"&lt;&gt;*Negative*"))</f>
        <v>0</v>
      </c>
      <c r="AG27" s="15">
        <f>SUM(COUNTIFS('Data entry'!$R$6:$R$200,'Summary Data'!$A27,'Data entry'!$B$6:$B$200,{"Confirmed";"Probable"},'Data entry'!$AQ$6:$AQ$200,'Data Validation'!$V$2, 'Data entry'!$AP$6:$AP$200,'Data Validation'!$U$3, 'Data entry'!$BD$6:$BD$200,"&lt;&gt;*Negative*"))</f>
        <v>0</v>
      </c>
      <c r="AH27" s="15">
        <f>SUM(COUNTIFS('Data entry'!$R$6:$R$200,'Summary Data'!$A27,'Data entry'!$B$6:$B$200,{"Confirmed";"Probable"},'Data entry'!$AQ$6:$AQ$200,'Data Validation'!$V$2, 'Data entry'!$AP$6:$AP$200,'Data Validation'!$U$4, 'Data entry'!$BD$6:$BD$200,"&lt;&gt;*Negative*"))</f>
        <v>0</v>
      </c>
      <c r="AI27" s="15">
        <f>SUM(COUNTIFS('Data entry'!$R$6:$R$200,'Summary Data'!$A27,'Data entry'!$B$6:$B$200,{"Confirmed";"Probable"},'Data entry'!$AQ$6:$AQ$200,'Data Validation'!$V$2, 'Data entry'!$AP$6:$AP$200,'Data Validation'!$U$5, 'Data entry'!$BD$6:$BD$200,"&lt;&gt;*Negative*"))</f>
        <v>0</v>
      </c>
      <c r="AJ27" s="15">
        <f>SUM(COUNTIFS('Data entry'!$R$6:$R$200,'Summary Data'!$A27,'Data entry'!$B$6:$B$200,{"Confirmed";"Probable"},'Data entry'!$AQ$6:$AQ$200,'Data Validation'!$V$2, 'Data entry'!$AP$6:$AP$200,'Data Validation'!$U$6, 'Data entry'!$BD$6:$BD$200,"&lt;&gt;*Negative*"))</f>
        <v>0</v>
      </c>
      <c r="AK27" s="15">
        <f>SUM(COUNTIFS('Data entry'!$R$6:$R$200,'Summary Data'!$A27,'Data entry'!$B$6:$B$200,{"Confirmed";"Probable"},'Data entry'!$AQ$6:$AQ$200,'Data Validation'!$V$3, 'Data entry'!$AP$6:$AP$200,'Data Validation'!$U$2, 'Data entry'!$BD$6:$BD$200,"&lt;&gt;*Negative*"))</f>
        <v>0</v>
      </c>
      <c r="AL27" s="15">
        <f>SUM(COUNTIFS('Data entry'!$R$6:$R$200,'Summary Data'!$A27,'Data entry'!$B$6:$B$200,{"Confirmed";"Probable"},'Data entry'!$AQ$6:$AQ$200,'Data Validation'!$V$3, 'Data entry'!$AP$6:$AP$200,'Data Validation'!$U$3, 'Data entry'!$BD$6:$BD$200,"&lt;&gt;*Negative*"))</f>
        <v>0</v>
      </c>
      <c r="AM27" s="15">
        <f>SUM(COUNTIFS('Data entry'!$R$6:$R$200,'Summary Data'!$A27,'Data entry'!$B$6:$B$200,{"Confirmed";"Probable"},'Data entry'!$AQ$6:$AQ$200,'Data Validation'!$V$3, 'Data entry'!$AP$6:$AP$200,'Data Validation'!$U$4, 'Data entry'!$BD$6:$BD$200,"&lt;&gt;*Negative*"))</f>
        <v>0</v>
      </c>
      <c r="AN27" s="15">
        <f>SUM(COUNTIFS('Data entry'!$R$6:$R$200,'Summary Data'!$A27,'Data entry'!$B$6:$B$200,{"Confirmed";"Probable"},'Data entry'!$AQ$6:$AQ$200,'Data Validation'!$V$3, 'Data entry'!$AP$6:$AP$200,'Data Validation'!$U$5, 'Data entry'!$BD$6:$BD$200,"&lt;&gt;*Negative*"))</f>
        <v>0</v>
      </c>
      <c r="AO27" s="15">
        <f>SUM(COUNTIFS('Data entry'!$R$6:$R$200,'Summary Data'!$A27,'Data entry'!$B$6:$B$200,{"Confirmed";"Probable"},'Data entry'!$AQ$6:$AQ$200,'Data Validation'!$V$3, 'Data entry'!$AP$6:$AP$200,'Data Validation'!$U$6, 'Data entry'!$BD$6:$BD$200,"&lt;&gt;*Negative*"))</f>
        <v>0</v>
      </c>
      <c r="AP27" s="15">
        <f>SUM(COUNTIFS('Data entry'!$R$6:$R$200,'Summary Data'!$A27,'Data entry'!$B$6:$B$200,{"Confirmed";"Probable"},'Data entry'!$AQ$6:$AQ$200,'Data Validation'!$V$4, 'Data entry'!$AP$6:$AP$200,'Data Validation'!$U$2, 'Data entry'!$BD$6:$BD$200,"&lt;&gt;*Negative*"))</f>
        <v>0</v>
      </c>
      <c r="AQ27" s="15">
        <f>SUM(COUNTIFS('Data entry'!$R$6:$R$200,'Summary Data'!$A27,'Data entry'!$B$6:$B$200,{"Confirmed";"Probable"},'Data entry'!$AQ$6:$AQ$200,'Data Validation'!$V$4, 'Data entry'!$AP$6:$AP$200,'Data Validation'!$U$3, 'Data entry'!$BD$6:$BD$200,"&lt;&gt;*Negative*"))</f>
        <v>0</v>
      </c>
      <c r="AR27" s="15">
        <f>SUM(COUNTIFS('Data entry'!$R$6:$R$200,'Summary Data'!$A27,'Data entry'!$B$6:$B$200,{"Confirmed";"Probable"},'Data entry'!$AQ$6:$AQ$200,'Data Validation'!$V$4, 'Data entry'!$AP$6:$AP$200,'Data Validation'!$U$4, 'Data entry'!$BD$6:$BD$200,"&lt;&gt;*Negative*"))</f>
        <v>0</v>
      </c>
      <c r="AS27" s="15">
        <f>SUM(COUNTIFS('Data entry'!$R$6:$R$200,'Summary Data'!$A27,'Data entry'!$B$6:$B$200,{"Confirmed";"Probable"},'Data entry'!$AQ$6:$AQ$200,'Data Validation'!$V$4, 'Data entry'!$AP$6:$AP$200,'Data Validation'!$U$5, 'Data entry'!$BD$6:$BD$200,"&lt;&gt;*Negative*"))</f>
        <v>0</v>
      </c>
      <c r="AT27" s="15">
        <f>SUM(COUNTIFS('Data entry'!$R$6:$R$200,'Summary Data'!$A27,'Data entry'!$B$6:$B$200,{"Confirmed";"Probable"},'Data entry'!$AQ$6:$AQ$200,'Data Validation'!$V$4, 'Data entry'!$AP$6:$AP$200,'Data Validation'!$U$6, 'Data entry'!$BD$6:$BD$200,"&lt;&gt;*Negative*"))</f>
        <v>0</v>
      </c>
      <c r="AU27" s="15">
        <f>SUM(COUNTIFS('Data entry'!$R$6:$R$200,'Summary Data'!$A27,'Data entry'!$B$6:$B$200,{"Confirmed";"Probable"},'Data entry'!$AQ$6:$AQ$200,'Data Validation'!$V$5, 'Data entry'!$AP$6:$AP$200,'Data Validation'!$U$2, 'Data entry'!$BD$6:$BD$200,"&lt;&gt;*Negative*"))</f>
        <v>0</v>
      </c>
      <c r="AV27" s="15">
        <f>SUM(COUNTIFS('Data entry'!$R$6:$R$200,'Summary Data'!$A27,'Data entry'!$B$6:$B$200,{"Confirmed";"Probable"},'Data entry'!$AQ$6:$AQ$200,'Data Validation'!$V$5, 'Data entry'!$AP$6:$AP$200,'Data Validation'!$U$3, 'Data entry'!$BD$6:$BD$200,"&lt;&gt;*Negative*"))</f>
        <v>0</v>
      </c>
      <c r="AW27" s="15">
        <f>SUM(COUNTIFS('Data entry'!$R$6:$R$200,'Summary Data'!$A27,'Data entry'!$B$6:$B$200,{"Confirmed";"Probable"},'Data entry'!$AQ$6:$AQ$200,'Data Validation'!$V$5, 'Data entry'!$AP$6:$AP$200,'Data Validation'!$U$4, 'Data entry'!$BD$6:$BD$200,"&lt;&gt;*Negative*"))</f>
        <v>0</v>
      </c>
      <c r="AX27" s="15">
        <f>SUM(COUNTIFS('Data entry'!$R$6:$R$200,'Summary Data'!$A27,'Data entry'!$B$6:$B$200,{"Confirmed";"Probable"},'Data entry'!$AQ$6:$AQ$200,'Data Validation'!$V$5, 'Data entry'!$AP$6:$AP$200,'Data Validation'!$U$5, 'Data entry'!$BD$6:$BD$200,"&lt;&gt;*Negative*"))</f>
        <v>0</v>
      </c>
      <c r="AY27" s="15">
        <f>SUM(COUNTIFS('Data entry'!$R$6:$R$200,'Summary Data'!$A27,'Data entry'!$B$6:$B$200,{"Confirmed";"Probable"},'Data entry'!$AQ$6:$AQ$200,'Data Validation'!$V$5, 'Data entry'!$AP$6:$AP$200,'Data Validation'!$U$6, 'Data entry'!$BD$6:$BD$200,"&lt;&gt;*Negative*"))</f>
        <v>0</v>
      </c>
      <c r="AZ27" s="15">
        <f>SUM(COUNTIFS('Data entry'!$R$6:$R$200,'Summary Data'!$A27,'Data entry'!$B$6:$B$200,{"Confirmed";"Probable"},'Data entry'!$AQ$6:$AQ$200,'Data Validation'!$V$6, 'Data entry'!$AP$6:$AP$200,'Data Validation'!$U$2, 'Data entry'!$BD$6:$BD$200,"&lt;&gt;*Negative*"))</f>
        <v>0</v>
      </c>
      <c r="BA27" s="15">
        <f>SUM(COUNTIFS('Data entry'!$R$6:$R$200,'Summary Data'!$A27,'Data entry'!$B$6:$B$200,{"Confirmed";"Probable"},'Data entry'!$AQ$6:$AQ$200,'Data Validation'!$V$6, 'Data entry'!$AP$6:$AP$200,'Data Validation'!$U$3, 'Data entry'!$BD$6:$BD$200,"&lt;&gt;*Negative*"))</f>
        <v>0</v>
      </c>
      <c r="BB27" s="15">
        <f>SUM(COUNTIFS('Data entry'!$R$6:$R$200,'Summary Data'!$A27,'Data entry'!$B$6:$B$200,{"Confirmed";"Probable"},'Data entry'!$AQ$6:$AQ$200,'Data Validation'!$V$6, 'Data entry'!$AP$6:$AP$200,'Data Validation'!$U$4, 'Data entry'!$BD$6:$BD$200,"&lt;&gt;*Negative*"))</f>
        <v>0</v>
      </c>
      <c r="BC27" s="15">
        <f>SUM(COUNTIFS('Data entry'!$R$6:$R$200,'Summary Data'!$A27,'Data entry'!$B$6:$B$200,{"Confirmed";"Probable"},'Data entry'!$AQ$6:$AQ$200,'Data Validation'!$V$6, 'Data entry'!$AP$6:$AP$200,'Data Validation'!$U$5, 'Data entry'!$BD$6:$BD$200,"&lt;&gt;*Negative*"))</f>
        <v>0</v>
      </c>
      <c r="BD27" s="15">
        <f>SUM(COUNTIFS('Data entry'!$R$6:$R$200,'Summary Data'!$A27,'Data entry'!$B$6:$B$200,{"Confirmed";"Probable"},'Data entry'!$AQ$6:$AQ$200,'Data Validation'!$V$6, 'Data entry'!$AP$6:$AP$200,'Data Validation'!$U$6, 'Data entry'!$BD$6:$BD$200,"&lt;&gt;*Negative*"))</f>
        <v>0</v>
      </c>
      <c r="BE27" s="15">
        <f>SUM(COUNTIFS('Data entry'!$R$6:$R$200,'Summary Data'!$A27,'Data entry'!$B$6:$B$200,{"Confirmed";"Probable"},'Data entry'!$AQ$6:$AQ$200,'Data Validation'!$V$7, 'Data entry'!$AP$6:$AP$200,'Data Validation'!$U$2, 'Data entry'!$BD$6:$BD$200,"&lt;&gt;*Negative*"))</f>
        <v>0</v>
      </c>
      <c r="BF27" s="15">
        <f>SUM(COUNTIFS('Data entry'!$R$6:$R$200,'Summary Data'!$A27,'Data entry'!$B$6:$B$200,{"Confirmed";"Probable"},'Data entry'!$AQ$6:$AQ$200,'Data Validation'!$V$7, 'Data entry'!$AP$6:$AP$200,'Data Validation'!$U$3, 'Data entry'!$BD$6:$BD$200,"&lt;&gt;*Negative*"))</f>
        <v>0</v>
      </c>
      <c r="BG27" s="15">
        <f>SUM(COUNTIFS('Data entry'!$R$6:$R$200,'Summary Data'!$A27,'Data entry'!$B$6:$B$200,{"Confirmed";"Probable"},'Data entry'!$AQ$6:$AQ$200,'Data Validation'!$V$7, 'Data entry'!$AP$6:$AP$200,'Data Validation'!$U$4, 'Data entry'!$BD$6:$BD$200,"&lt;&gt;*Negative*"))</f>
        <v>0</v>
      </c>
      <c r="BH27" s="15">
        <f>SUM(COUNTIFS('Data entry'!$R$6:$R$200,'Summary Data'!$A27,'Data entry'!$B$6:$B$200,{"Confirmed";"Probable"},'Data entry'!$AQ$6:$AQ$200,'Data Validation'!$V$7, 'Data entry'!$AP$6:$AP$200,'Data Validation'!$U$5, 'Data entry'!$BD$6:$BD$200,"&lt;&gt;*Negative*"))</f>
        <v>0</v>
      </c>
      <c r="BI27" s="15">
        <f>SUM(COUNTIFS('Data entry'!$R$6:$R$200,'Summary Data'!$A27,'Data entry'!$B$6:$B$200,{"Confirmed";"Probable"},'Data entry'!$AQ$6:$AQ$200,'Data Validation'!$V$7, 'Data entry'!$AP$6:$AP$200,'Data Validation'!$U$6, 'Data entry'!$BD$6:$BD$200,"&lt;&gt;*Negative*"))</f>
        <v>0</v>
      </c>
      <c r="BJ27" s="15">
        <f>SUM(COUNTIFS('Data entry'!$R$6:$R$200,'Summary Data'!$A27,'Data entry'!$B$6:$B$200,{"Confirmed";"Probable"},'Data entry'!$AQ$6:$AQ$200,'Data Validation'!$V$8, 'Data entry'!$AP$6:$AP$200,'Data Validation'!$U$2, 'Data entry'!$BD$6:$BD$200,"&lt;&gt;*Negative*"))</f>
        <v>0</v>
      </c>
      <c r="BK27" s="15">
        <f>SUM(COUNTIFS('Data entry'!$R$6:$R$200,'Summary Data'!$A27,'Data entry'!$B$6:$B$200,{"Confirmed";"Probable"},'Data entry'!$AQ$6:$AQ$200,'Data Validation'!$V$8, 'Data entry'!$AP$6:$AP$200,'Data Validation'!$U$3, 'Data entry'!$BD$6:$BD$200,"&lt;&gt;*Negative*"))</f>
        <v>0</v>
      </c>
      <c r="BL27" s="15">
        <f>SUM(COUNTIFS('Data entry'!$R$6:$R$200,'Summary Data'!$A27,'Data entry'!$B$6:$B$200,{"Confirmed";"Probable"},'Data entry'!$AQ$6:$AQ$200,'Data Validation'!$V$8, 'Data entry'!$AP$6:$AP$200,'Data Validation'!$U$4, 'Data entry'!$BD$6:$BD$200,"&lt;&gt;*Negative*"))</f>
        <v>0</v>
      </c>
      <c r="BM27" s="15">
        <f>SUM(COUNTIFS('Data entry'!$R$6:$R$200,'Summary Data'!$A27,'Data entry'!$B$6:$B$200,{"Confirmed";"Probable"},'Data entry'!$AQ$6:$AQ$200,'Data Validation'!$V$8, 'Data entry'!$AP$6:$AP$200,'Data Validation'!$U$5, 'Data entry'!$BD$6:$BD$200,"&lt;&gt;*Negative*"))</f>
        <v>0</v>
      </c>
      <c r="BN27" s="15">
        <f>SUM(COUNTIFS('Data entry'!$R$6:$R$200,'Summary Data'!$A27,'Data entry'!$B$6:$B$200,{"Confirmed";"Probable"},'Data entry'!$AQ$6:$AQ$200,'Data Validation'!$V$8, 'Data entry'!$AP$6:$AP$200,'Data Validation'!$U$6, 'Data entry'!$BD$6:$BD$200,"&lt;&gt;*Negative*"))</f>
        <v>0</v>
      </c>
      <c r="BO27" s="15">
        <f>SUM(COUNTIFS('Data entry'!$R$6:$R$200,'Summary Data'!$A27,'Data entry'!$B$6:$B$200,{"Confirmed";"Probable"},'Data entry'!$AQ$6:$AQ$200,'Data Validation'!$V$9, 'Data entry'!$AP$6:$AP$200,'Data Validation'!$U$2, 'Data entry'!$BD$6:$BD$200,"&lt;&gt;*Negative*"))</f>
        <v>0</v>
      </c>
      <c r="BP27" s="15">
        <f>SUM(COUNTIFS('Data entry'!$R$6:$R$200,'Summary Data'!$A27,'Data entry'!$B$6:$B$200,{"Confirmed";"Probable"},'Data entry'!$AQ$6:$AQ$200,'Data Validation'!$V$9, 'Data entry'!$AP$6:$AP$200,'Data Validation'!$U$3, 'Data entry'!$BD$6:$BD$200,"&lt;&gt;*Negative*"))</f>
        <v>0</v>
      </c>
      <c r="BQ27" s="15">
        <f>SUM(COUNTIFS('Data entry'!$R$6:$R$200,'Summary Data'!$A27,'Data entry'!$B$6:$B$200,{"Confirmed";"Probable"},'Data entry'!$AQ$6:$AQ$200,'Data Validation'!$V$9, 'Data entry'!$AP$6:$AP$200,'Data Validation'!$U$4, 'Data entry'!$BD$6:$BD$200,"&lt;&gt;*Negative*"))</f>
        <v>0</v>
      </c>
      <c r="BR27" s="15">
        <f>SUM(COUNTIFS('Data entry'!$R$6:$R$200,'Summary Data'!$A27,'Data entry'!$B$6:$B$200,{"Confirmed";"Probable"},'Data entry'!$AQ$6:$AQ$200,'Data Validation'!$V$9, 'Data entry'!$AP$6:$AP$200,'Data Validation'!$U$5, 'Data entry'!$BD$6:$BD$200,"&lt;&gt;*Negative*"))</f>
        <v>0</v>
      </c>
      <c r="BS27" s="15">
        <f>SUM(COUNTIFS('Data entry'!$R$6:$R$200,'Summary Data'!$A27,'Data entry'!$B$6:$B$200,{"Confirmed";"Probable"},'Data entry'!$AQ$6:$AQ$200,'Data Validation'!$V$9, 'Data entry'!$AP$6:$AP$200,'Data Validation'!$U$6, 'Data entry'!$BD$6:$BD$200,"&lt;&gt;*Negative*"))</f>
        <v>0</v>
      </c>
      <c r="BT27" s="15">
        <f>SUM(COUNTIFS('Data entry'!$R$6:$R$200,'Summary Data'!$A27,'Data entry'!$B$6:$B$200,{"Confirmed";"Probable"},'Data entry'!$AQ$6:$AQ$200,'Data Validation'!$V$10, 'Data entry'!$AP$6:$AP$200,'Data Validation'!$U$2, 'Data entry'!$BD$6:$BD$200,"&lt;&gt;*Negative*"))</f>
        <v>0</v>
      </c>
      <c r="BU27" s="15">
        <f>SUM(COUNTIFS('Data entry'!$R$6:$R$200,'Summary Data'!$A27,'Data entry'!$B$6:$B$200,{"Confirmed";"Probable"},'Data entry'!$AQ$6:$AQ$200,'Data Validation'!$V$10, 'Data entry'!$AP$6:$AP$200,'Data Validation'!$U$3, 'Data entry'!$BD$6:$BD$200,"&lt;&gt;*Negative*"))</f>
        <v>0</v>
      </c>
      <c r="BV27" s="15">
        <f>SUM(COUNTIFS('Data entry'!$R$6:$R$200,'Summary Data'!$A27,'Data entry'!$B$6:$B$200,{"Confirmed";"Probable"},'Data entry'!$AQ$6:$AQ$200,'Data Validation'!$V$10, 'Data entry'!$AP$6:$AP$200,'Data Validation'!$U$4, 'Data entry'!$BD$6:$BD$200,"&lt;&gt;*Negative*"))</f>
        <v>0</v>
      </c>
      <c r="BW27" s="15">
        <f>SUM(COUNTIFS('Data entry'!$R$6:$R$200,'Summary Data'!$A27,'Data entry'!$B$6:$B$200,{"Confirmed";"Probable"},'Data entry'!$AQ$6:$AQ$200,'Data Validation'!$V$10, 'Data entry'!$AP$6:$AP$200,'Data Validation'!$U$5, 'Data entry'!$BD$6:$BD$200,"&lt;&gt;*Negative*"))</f>
        <v>0</v>
      </c>
      <c r="BX27" s="15">
        <f>SUM(COUNTIFS('Data entry'!$R$6:$R$200,'Summary Data'!$A27,'Data entry'!$B$6:$B$200,{"Confirmed";"Probable"},'Data entry'!$AQ$6:$AQ$200,'Data Validation'!$V$10, 'Data entry'!$AP$6:$AP$200,'Data Validation'!$U$6, 'Data entry'!$BD$6:$BD$200,"&lt;&gt;*Negative*"))</f>
        <v>0</v>
      </c>
      <c r="BY27" s="15">
        <f>SUM(COUNTIFS('Data entry'!$R$6:$R$200,'Summary Data'!$A27,'Data entry'!$B$6:$B$200,{"Confirmed";"Probable"},'Data entry'!$AQ$6:$AQ$200,'Data Validation'!$V$11, 'Data entry'!$AP$6:$AP$200,'Data Validation'!$U$2, 'Data entry'!$BD$6:$BD$200,"&lt;&gt;*Negative*"))</f>
        <v>0</v>
      </c>
      <c r="BZ27" s="15">
        <f>SUM(COUNTIFS('Data entry'!$R$6:$R$200,'Summary Data'!$A27,'Data entry'!$B$6:$B$200,{"Confirmed";"Probable"},'Data entry'!$AQ$6:$AQ$200,'Data Validation'!$V$11, 'Data entry'!$AP$6:$AP$200,'Data Validation'!$U$3, 'Data entry'!$BD$6:$BD$200,"&lt;&gt;*Negative*"))</f>
        <v>0</v>
      </c>
      <c r="CA27" s="15">
        <f>SUM(COUNTIFS('Data entry'!$R$6:$R$200,'Summary Data'!$A27,'Data entry'!$B$6:$B$200,{"Confirmed";"Probable"},'Data entry'!$AQ$6:$AQ$200,'Data Validation'!$V$11, 'Data entry'!$AP$6:$AP$200,'Data Validation'!$U$4, 'Data entry'!$BD$6:$BD$200,"&lt;&gt;*Negative*"))</f>
        <v>0</v>
      </c>
      <c r="CB27" s="15">
        <f>SUM(COUNTIFS('Data entry'!$R$6:$R$200,'Summary Data'!$A27,'Data entry'!$B$6:$B$200,{"Confirmed";"Probable"},'Data entry'!$AQ$6:$AQ$200,'Data Validation'!$V$11, 'Data entry'!$AP$6:$AP$200,'Data Validation'!$U$5, 'Data entry'!$BD$6:$BD$200,"&lt;&gt;*Negative*"))</f>
        <v>0</v>
      </c>
      <c r="CC27" s="15">
        <f>SUM(COUNTIFS('Data entry'!$R$6:$R$200,'Summary Data'!$A27,'Data entry'!$B$6:$B$200,{"Confirmed";"Probable"},'Data entry'!$AQ$6:$AQ$200,'Data Validation'!$V$11, 'Data entry'!$AP$6:$AP$200,'Data Validation'!$U$6, 'Data entry'!$BD$6:$BD$200,"&lt;&gt;*Negative*"))</f>
        <v>0</v>
      </c>
    </row>
    <row r="28" spans="1:81" x14ac:dyDescent="0.25">
      <c r="A28" s="12">
        <f t="shared" si="5"/>
        <v>16</v>
      </c>
      <c r="B28" s="13">
        <f t="shared" si="2"/>
        <v>0</v>
      </c>
      <c r="C28" s="13">
        <f>COUNTIFS('Data entry'!$R$6:$R$200,$A28,'Data entry'!$B$6:$B$200,"Confirmed",'Data entry'!$BD$6:$BD$200,"&lt;&gt;*Negative*")</f>
        <v>0</v>
      </c>
      <c r="D28" s="13">
        <f>COUNTIFS('Data entry'!$R$6:$R$200,$A28,'Data entry'!$B$6:$B$200,"Probable",'Data entry'!$BD$6:$BD$200,"&lt;&gt;*Negative*")</f>
        <v>0</v>
      </c>
      <c r="E28" s="13">
        <f>COUNTIFS('Data entry'!$R$6:$R$200,$A28,'Data entry'!$B$6:$B$200,"DNM")</f>
        <v>0</v>
      </c>
      <c r="F28" s="13">
        <f>SUM(COUNTIFS('Data entry'!$R$6:$R$200,'Summary Data'!$A28,'Data entry'!$B$6:$B$200,{"Confirmed";"Probable"},'Data entry'!$AO$6:$AO$200,$F$10, 'Data entry'!$BD$6:$BD$200,"&lt;&gt;*Negative*"))</f>
        <v>0</v>
      </c>
      <c r="G28" s="13">
        <f>SUM(COUNTIFS('Data entry'!$R$6:$R$200,'Summary Data'!$A28,'Data entry'!$B$6:$B$200,{"Confirmed";"Probable"},'Data entry'!$AO$6:$AO$200,$G$10, 'Data entry'!$BD$6:$BD$200,"&lt;&gt;*Negative*"))</f>
        <v>0</v>
      </c>
      <c r="H28" s="13">
        <f>SUM(COUNTIFS('Data entry'!$R$6:$R$200,'Summary Data'!$A28,'Data entry'!$B$6:$B$200,{"Confirmed";"Probable"},'Data entry'!$AO$6:$AO$200,$H$10, 'Data entry'!$BD$6:$BD$200,"&lt;&gt;*Negative*"))</f>
        <v>0</v>
      </c>
      <c r="I28" s="13">
        <f>SUM(COUNTIFS('Data entry'!$R$6:$R$200,'Summary Data'!$A28,'Data entry'!$B$6:$B$200,{"Confirmed";"Probable"},'Data entry'!$AO$6:$AO$200,$I$10, 'Data entry'!$BD$6:$BD$200,"&lt;&gt;*Negative*"))</f>
        <v>0</v>
      </c>
      <c r="J28" s="13">
        <f>SUM(COUNTIFS('Data entry'!$R$6:$R$200,'Summary Data'!$A28,'Data entry'!$B$6:$B$200,{"Confirmed";"Probable"},'Data entry'!$AO$6:$AO$200,$J$10, 'Data entry'!$BD$6:$BD$200,"&lt;&gt;*Negative*"))</f>
        <v>0</v>
      </c>
      <c r="K28" s="13">
        <f>SUM(COUNTIFS('Data entry'!$R$6:$R$200,'Summary Data'!$A28,'Data entry'!$B$6:$B$200,{"Confirmed";"Probable"},'Data entry'!$AO$6:$AO$200,$K$10, 'Data entry'!$BD$6:$BD$200,"&lt;&gt;*Negative*"))</f>
        <v>0</v>
      </c>
      <c r="L28" s="13">
        <f>SUM(COUNTIFS('Data entry'!$R$6:$R$200,'Summary Data'!$A28,'Data entry'!$B$6:$B$200,{"Confirmed";"Probable"},'Data entry'!$AO$6:$AO$200,$L$10, 'Data entry'!$BD$6:$BD$200,"&lt;&gt;*Negative*"))</f>
        <v>0</v>
      </c>
      <c r="M28" s="13">
        <f>SUM(COUNTIFS('Data entry'!$R$6:$R$200,'Summary Data'!$A28,'Data entry'!$B$6:$B$200,{"Confirmed";"Probable"},'Data entry'!$AO$6:$AO$200,$M$10, 'Data entry'!$BD$6:$BD$200,"&lt;&gt;*Negative*"))</f>
        <v>0</v>
      </c>
      <c r="N28" s="13">
        <f>SUM(COUNTIFS('Data entry'!$R$6:$R$200,'Summary Data'!$A28,'Data entry'!$B$6:$B$200,{"Confirmed";"Probable"},'Data entry'!$AO$6:$AO$200,$N$10, 'Data entry'!$BD$6:$BD$200,"&lt;&gt;*Negative*"))</f>
        <v>0</v>
      </c>
      <c r="O28" s="15">
        <f t="shared" si="3"/>
        <v>0</v>
      </c>
      <c r="P28" s="15">
        <f t="shared" si="4"/>
        <v>0</v>
      </c>
      <c r="Q28" s="15">
        <f>SUM(COUNTIFS('Data entry'!$R$6:$R$200,'Summary Data'!$A28,'Data entry'!$B$6:$B$200,{"Confirmed";"Probable"},'Data entry'!$AP$6:$AP$200,'Data Validation'!$U$2, 'Data entry'!$BD$6:$BD$200,"&lt;&gt;*Negative*"))</f>
        <v>0</v>
      </c>
      <c r="R28" s="15">
        <f>SUM(COUNTIFS('Data entry'!$R$6:$R$200,'Summary Data'!$A28,'Data entry'!$B$6:$B$200,{"Confirmed";"Probable"},'Data entry'!$AP$6:$AP$200,'Data Validation'!$U$3, 'Data entry'!$BD$6:$BD$200,"&lt;&gt;*Negative*"))</f>
        <v>0</v>
      </c>
      <c r="S28" s="15">
        <f>SUM(COUNTIFS('Data entry'!$R$6:$R$200,'Summary Data'!$A28,'Data entry'!$B$6:$B$200,{"Confirmed";"Probable"},'Data entry'!$AP$6:$AP$200,'Data Validation'!$U$4, 'Data entry'!$BD$6:$BD$200,"&lt;&gt;*Negative*"))</f>
        <v>0</v>
      </c>
      <c r="T28" s="15">
        <f>SUM(COUNTIFS('Data entry'!$R$6:$R$200,'Summary Data'!$A28,'Data entry'!$B$6:$B$200,{"Confirmed";"Probable"},'Data entry'!$AP$6:$AP$200,'Data Validation'!$U$5, 'Data entry'!$BD$6:$BD$200,"&lt;&gt;*Negative*"))</f>
        <v>0</v>
      </c>
      <c r="U28" s="15">
        <f>SUM(COUNTIFS('Data entry'!$R$6:$R$200,'Summary Data'!$A28,'Data entry'!$B$6:$B$200,{"Confirmed";"Probable"},'Data entry'!$AP$6:$AP$200,'Data Validation'!$U$6, 'Data entry'!$BD$6:$BD$200,"&lt;&gt;*Negative*"))</f>
        <v>0</v>
      </c>
      <c r="V28" s="15">
        <f>SUM(COUNTIFS('Data entry'!$R$6:$R$200,'Summary Data'!$A28,'Data entry'!$B$6:$B$200,{"Confirmed";"Probable"},'Data entry'!$AQ$6:$AQ$200,'Data Validation'!$V$2, 'Data entry'!$BD$6:$BD$200,"&lt;&gt;*Negative*"))</f>
        <v>0</v>
      </c>
      <c r="W28" s="15">
        <f>SUM(COUNTIFS('Data entry'!$R$6:$R$200,'Summary Data'!$A28,'Data entry'!$B$6:$B$200,{"Confirmed";"Probable"},'Data entry'!$AQ$6:$AQ$200,'Data Validation'!$V$3, 'Data entry'!$BD$6:$BD$200,"&lt;&gt;*Negative*"))</f>
        <v>0</v>
      </c>
      <c r="X28" s="15">
        <f>SUM(COUNTIFS('Data entry'!$R$6:$R$200,'Summary Data'!$A28,'Data entry'!$B$6:$B$200,{"Confirmed";"Probable"},'Data entry'!$AQ$6:$AQ$200,'Data Validation'!$V$4, 'Data entry'!$BD$6:$BD$200,"&lt;&gt;*Negative*"))</f>
        <v>0</v>
      </c>
      <c r="Y28" s="15">
        <f>SUM(COUNTIFS('Data entry'!$R$6:$R$200,'Summary Data'!$A28,'Data entry'!$B$6:$B$200,{"Confirmed";"Probable"},'Data entry'!$AQ$6:$AQ$200,'Data Validation'!$V$5, 'Data entry'!$BD$6:$BD$200,"&lt;&gt;*Negative*"))</f>
        <v>0</v>
      </c>
      <c r="Z28" s="15">
        <f>SUM(COUNTIFS('Data entry'!$R$6:$R$200,'Summary Data'!$A28,'Data entry'!$B$6:$B$200,{"Confirmed";"Probable"},'Data entry'!$AQ$6:$AQ$200,'Data Validation'!$V$6, 'Data entry'!$BD$6:$BD$200,"&lt;&gt;*Negative*"))</f>
        <v>0</v>
      </c>
      <c r="AA28" s="15">
        <f>SUM(COUNTIFS('Data entry'!$R$6:$R$200,'Summary Data'!$A28,'Data entry'!$B$6:$B$200,{"Confirmed";"Probable"},'Data entry'!$AQ$6:$AQ$200,'Data Validation'!$V$7, 'Data entry'!$BD$6:$BD$200,"&lt;&gt;*Negative*"))</f>
        <v>0</v>
      </c>
      <c r="AB28" s="15">
        <f>SUM(COUNTIFS('Data entry'!$R$6:$R$200,'Summary Data'!$A28,'Data entry'!$B$6:$B$200,{"Confirmed";"Probable"},'Data entry'!$AQ$6:$AQ$200,'Data Validation'!$V$8, 'Data entry'!$BD$6:$BD$200,"&lt;&gt;*Negative*"))</f>
        <v>0</v>
      </c>
      <c r="AC28" s="15">
        <f>SUM(COUNTIFS('Data entry'!$R$6:$R$200,'Summary Data'!$A28,'Data entry'!$B$6:$B$200,{"Confirmed";"Probable"},'Data entry'!$AQ$6:$AQ$200,'Data Validation'!$V$9, 'Data entry'!$BD$6:$BD$200,"&lt;&gt;*Negative*"))</f>
        <v>0</v>
      </c>
      <c r="AD28" s="15">
        <f>SUM(COUNTIFS('Data entry'!$R$6:$R$200,'Summary Data'!$A28,'Data entry'!$B$6:$B$200,{"Confirmed";"Probable"},'Data entry'!$AQ$6:$AQ$200,'Data Validation'!$V$10, 'Data entry'!$BD$6:$BD$200,"&lt;&gt;*Negative*"))</f>
        <v>0</v>
      </c>
      <c r="AE28" s="15">
        <f>SUM(COUNTIFS('Data entry'!$R$6:$R$200,'Summary Data'!$A28,'Data entry'!$B$6:$B$200,{"Confirmed";"Probable"},'Data entry'!$AQ$6:$AQ$200,'Data Validation'!$V$11, 'Data entry'!$BD$6:$BD$200,"&lt;&gt;*Negative*"))</f>
        <v>0</v>
      </c>
      <c r="AF28" s="15">
        <f>SUM(COUNTIFS('Data entry'!$R$6:$R$200,'Summary Data'!$A28,'Data entry'!$B$6:$B$200,{"Confirmed";"Probable"},'Data entry'!$AQ$6:$AQ$200,'Data Validation'!$V$2, 'Data entry'!$AP$6:$AP$200,'Data Validation'!$U$2, 'Data entry'!$BD$6:$BD$200,"&lt;&gt;*Negative*"))</f>
        <v>0</v>
      </c>
      <c r="AG28" s="15">
        <f>SUM(COUNTIFS('Data entry'!$R$6:$R$200,'Summary Data'!$A28,'Data entry'!$B$6:$B$200,{"Confirmed";"Probable"},'Data entry'!$AQ$6:$AQ$200,'Data Validation'!$V$2, 'Data entry'!$AP$6:$AP$200,'Data Validation'!$U$3, 'Data entry'!$BD$6:$BD$200,"&lt;&gt;*Negative*"))</f>
        <v>0</v>
      </c>
      <c r="AH28" s="15">
        <f>SUM(COUNTIFS('Data entry'!$R$6:$R$200,'Summary Data'!$A28,'Data entry'!$B$6:$B$200,{"Confirmed";"Probable"},'Data entry'!$AQ$6:$AQ$200,'Data Validation'!$V$2, 'Data entry'!$AP$6:$AP$200,'Data Validation'!$U$4, 'Data entry'!$BD$6:$BD$200,"&lt;&gt;*Negative*"))</f>
        <v>0</v>
      </c>
      <c r="AI28" s="15">
        <f>SUM(COUNTIFS('Data entry'!$R$6:$R$200,'Summary Data'!$A28,'Data entry'!$B$6:$B$200,{"Confirmed";"Probable"},'Data entry'!$AQ$6:$AQ$200,'Data Validation'!$V$2, 'Data entry'!$AP$6:$AP$200,'Data Validation'!$U$5, 'Data entry'!$BD$6:$BD$200,"&lt;&gt;*Negative*"))</f>
        <v>0</v>
      </c>
      <c r="AJ28" s="15">
        <f>SUM(COUNTIFS('Data entry'!$R$6:$R$200,'Summary Data'!$A28,'Data entry'!$B$6:$B$200,{"Confirmed";"Probable"},'Data entry'!$AQ$6:$AQ$200,'Data Validation'!$V$2, 'Data entry'!$AP$6:$AP$200,'Data Validation'!$U$6, 'Data entry'!$BD$6:$BD$200,"&lt;&gt;*Negative*"))</f>
        <v>0</v>
      </c>
      <c r="AK28" s="15">
        <f>SUM(COUNTIFS('Data entry'!$R$6:$R$200,'Summary Data'!$A28,'Data entry'!$B$6:$B$200,{"Confirmed";"Probable"},'Data entry'!$AQ$6:$AQ$200,'Data Validation'!$V$3, 'Data entry'!$AP$6:$AP$200,'Data Validation'!$U$2, 'Data entry'!$BD$6:$BD$200,"&lt;&gt;*Negative*"))</f>
        <v>0</v>
      </c>
      <c r="AL28" s="15">
        <f>SUM(COUNTIFS('Data entry'!$R$6:$R$200,'Summary Data'!$A28,'Data entry'!$B$6:$B$200,{"Confirmed";"Probable"},'Data entry'!$AQ$6:$AQ$200,'Data Validation'!$V$3, 'Data entry'!$AP$6:$AP$200,'Data Validation'!$U$3, 'Data entry'!$BD$6:$BD$200,"&lt;&gt;*Negative*"))</f>
        <v>0</v>
      </c>
      <c r="AM28" s="15">
        <f>SUM(COUNTIFS('Data entry'!$R$6:$R$200,'Summary Data'!$A28,'Data entry'!$B$6:$B$200,{"Confirmed";"Probable"},'Data entry'!$AQ$6:$AQ$200,'Data Validation'!$V$3, 'Data entry'!$AP$6:$AP$200,'Data Validation'!$U$4, 'Data entry'!$BD$6:$BD$200,"&lt;&gt;*Negative*"))</f>
        <v>0</v>
      </c>
      <c r="AN28" s="15">
        <f>SUM(COUNTIFS('Data entry'!$R$6:$R$200,'Summary Data'!$A28,'Data entry'!$B$6:$B$200,{"Confirmed";"Probable"},'Data entry'!$AQ$6:$AQ$200,'Data Validation'!$V$3, 'Data entry'!$AP$6:$AP$200,'Data Validation'!$U$5, 'Data entry'!$BD$6:$BD$200,"&lt;&gt;*Negative*"))</f>
        <v>0</v>
      </c>
      <c r="AO28" s="15">
        <f>SUM(COUNTIFS('Data entry'!$R$6:$R$200,'Summary Data'!$A28,'Data entry'!$B$6:$B$200,{"Confirmed";"Probable"},'Data entry'!$AQ$6:$AQ$200,'Data Validation'!$V$3, 'Data entry'!$AP$6:$AP$200,'Data Validation'!$U$6, 'Data entry'!$BD$6:$BD$200,"&lt;&gt;*Negative*"))</f>
        <v>0</v>
      </c>
      <c r="AP28" s="15">
        <f>SUM(COUNTIFS('Data entry'!$R$6:$R$200,'Summary Data'!$A28,'Data entry'!$B$6:$B$200,{"Confirmed";"Probable"},'Data entry'!$AQ$6:$AQ$200,'Data Validation'!$V$4, 'Data entry'!$AP$6:$AP$200,'Data Validation'!$U$2, 'Data entry'!$BD$6:$BD$200,"&lt;&gt;*Negative*"))</f>
        <v>0</v>
      </c>
      <c r="AQ28" s="15">
        <f>SUM(COUNTIFS('Data entry'!$R$6:$R$200,'Summary Data'!$A28,'Data entry'!$B$6:$B$200,{"Confirmed";"Probable"},'Data entry'!$AQ$6:$AQ$200,'Data Validation'!$V$4, 'Data entry'!$AP$6:$AP$200,'Data Validation'!$U$3, 'Data entry'!$BD$6:$BD$200,"&lt;&gt;*Negative*"))</f>
        <v>0</v>
      </c>
      <c r="AR28" s="15">
        <f>SUM(COUNTIFS('Data entry'!$R$6:$R$200,'Summary Data'!$A28,'Data entry'!$B$6:$B$200,{"Confirmed";"Probable"},'Data entry'!$AQ$6:$AQ$200,'Data Validation'!$V$4, 'Data entry'!$AP$6:$AP$200,'Data Validation'!$U$4, 'Data entry'!$BD$6:$BD$200,"&lt;&gt;*Negative*"))</f>
        <v>0</v>
      </c>
      <c r="AS28" s="15">
        <f>SUM(COUNTIFS('Data entry'!$R$6:$R$200,'Summary Data'!$A28,'Data entry'!$B$6:$B$200,{"Confirmed";"Probable"},'Data entry'!$AQ$6:$AQ$200,'Data Validation'!$V$4, 'Data entry'!$AP$6:$AP$200,'Data Validation'!$U$5, 'Data entry'!$BD$6:$BD$200,"&lt;&gt;*Negative*"))</f>
        <v>0</v>
      </c>
      <c r="AT28" s="15">
        <f>SUM(COUNTIFS('Data entry'!$R$6:$R$200,'Summary Data'!$A28,'Data entry'!$B$6:$B$200,{"Confirmed";"Probable"},'Data entry'!$AQ$6:$AQ$200,'Data Validation'!$V$4, 'Data entry'!$AP$6:$AP$200,'Data Validation'!$U$6, 'Data entry'!$BD$6:$BD$200,"&lt;&gt;*Negative*"))</f>
        <v>0</v>
      </c>
      <c r="AU28" s="15">
        <f>SUM(COUNTIFS('Data entry'!$R$6:$R$200,'Summary Data'!$A28,'Data entry'!$B$6:$B$200,{"Confirmed";"Probable"},'Data entry'!$AQ$6:$AQ$200,'Data Validation'!$V$5, 'Data entry'!$AP$6:$AP$200,'Data Validation'!$U$2, 'Data entry'!$BD$6:$BD$200,"&lt;&gt;*Negative*"))</f>
        <v>0</v>
      </c>
      <c r="AV28" s="15">
        <f>SUM(COUNTIFS('Data entry'!$R$6:$R$200,'Summary Data'!$A28,'Data entry'!$B$6:$B$200,{"Confirmed";"Probable"},'Data entry'!$AQ$6:$AQ$200,'Data Validation'!$V$5, 'Data entry'!$AP$6:$AP$200,'Data Validation'!$U$3, 'Data entry'!$BD$6:$BD$200,"&lt;&gt;*Negative*"))</f>
        <v>0</v>
      </c>
      <c r="AW28" s="15">
        <f>SUM(COUNTIFS('Data entry'!$R$6:$R$200,'Summary Data'!$A28,'Data entry'!$B$6:$B$200,{"Confirmed";"Probable"},'Data entry'!$AQ$6:$AQ$200,'Data Validation'!$V$5, 'Data entry'!$AP$6:$AP$200,'Data Validation'!$U$4, 'Data entry'!$BD$6:$BD$200,"&lt;&gt;*Negative*"))</f>
        <v>0</v>
      </c>
      <c r="AX28" s="15">
        <f>SUM(COUNTIFS('Data entry'!$R$6:$R$200,'Summary Data'!$A28,'Data entry'!$B$6:$B$200,{"Confirmed";"Probable"},'Data entry'!$AQ$6:$AQ$200,'Data Validation'!$V$5, 'Data entry'!$AP$6:$AP$200,'Data Validation'!$U$5, 'Data entry'!$BD$6:$BD$200,"&lt;&gt;*Negative*"))</f>
        <v>0</v>
      </c>
      <c r="AY28" s="15">
        <f>SUM(COUNTIFS('Data entry'!$R$6:$R$200,'Summary Data'!$A28,'Data entry'!$B$6:$B$200,{"Confirmed";"Probable"},'Data entry'!$AQ$6:$AQ$200,'Data Validation'!$V$5, 'Data entry'!$AP$6:$AP$200,'Data Validation'!$U$6, 'Data entry'!$BD$6:$BD$200,"&lt;&gt;*Negative*"))</f>
        <v>0</v>
      </c>
      <c r="AZ28" s="15">
        <f>SUM(COUNTIFS('Data entry'!$R$6:$R$200,'Summary Data'!$A28,'Data entry'!$B$6:$B$200,{"Confirmed";"Probable"},'Data entry'!$AQ$6:$AQ$200,'Data Validation'!$V$6, 'Data entry'!$AP$6:$AP$200,'Data Validation'!$U$2, 'Data entry'!$BD$6:$BD$200,"&lt;&gt;*Negative*"))</f>
        <v>0</v>
      </c>
      <c r="BA28" s="15">
        <f>SUM(COUNTIFS('Data entry'!$R$6:$R$200,'Summary Data'!$A28,'Data entry'!$B$6:$B$200,{"Confirmed";"Probable"},'Data entry'!$AQ$6:$AQ$200,'Data Validation'!$V$6, 'Data entry'!$AP$6:$AP$200,'Data Validation'!$U$3, 'Data entry'!$BD$6:$BD$200,"&lt;&gt;*Negative*"))</f>
        <v>0</v>
      </c>
      <c r="BB28" s="15">
        <f>SUM(COUNTIFS('Data entry'!$R$6:$R$200,'Summary Data'!$A28,'Data entry'!$B$6:$B$200,{"Confirmed";"Probable"},'Data entry'!$AQ$6:$AQ$200,'Data Validation'!$V$6, 'Data entry'!$AP$6:$AP$200,'Data Validation'!$U$4, 'Data entry'!$BD$6:$BD$200,"&lt;&gt;*Negative*"))</f>
        <v>0</v>
      </c>
      <c r="BC28" s="15">
        <f>SUM(COUNTIFS('Data entry'!$R$6:$R$200,'Summary Data'!$A28,'Data entry'!$B$6:$B$200,{"Confirmed";"Probable"},'Data entry'!$AQ$6:$AQ$200,'Data Validation'!$V$6, 'Data entry'!$AP$6:$AP$200,'Data Validation'!$U$5, 'Data entry'!$BD$6:$BD$200,"&lt;&gt;*Negative*"))</f>
        <v>0</v>
      </c>
      <c r="BD28" s="15">
        <f>SUM(COUNTIFS('Data entry'!$R$6:$R$200,'Summary Data'!$A28,'Data entry'!$B$6:$B$200,{"Confirmed";"Probable"},'Data entry'!$AQ$6:$AQ$200,'Data Validation'!$V$6, 'Data entry'!$AP$6:$AP$200,'Data Validation'!$U$6, 'Data entry'!$BD$6:$BD$200,"&lt;&gt;*Negative*"))</f>
        <v>0</v>
      </c>
      <c r="BE28" s="15">
        <f>SUM(COUNTIFS('Data entry'!$R$6:$R$200,'Summary Data'!$A28,'Data entry'!$B$6:$B$200,{"Confirmed";"Probable"},'Data entry'!$AQ$6:$AQ$200,'Data Validation'!$V$7, 'Data entry'!$AP$6:$AP$200,'Data Validation'!$U$2, 'Data entry'!$BD$6:$BD$200,"&lt;&gt;*Negative*"))</f>
        <v>0</v>
      </c>
      <c r="BF28" s="15">
        <f>SUM(COUNTIFS('Data entry'!$R$6:$R$200,'Summary Data'!$A28,'Data entry'!$B$6:$B$200,{"Confirmed";"Probable"},'Data entry'!$AQ$6:$AQ$200,'Data Validation'!$V$7, 'Data entry'!$AP$6:$AP$200,'Data Validation'!$U$3, 'Data entry'!$BD$6:$BD$200,"&lt;&gt;*Negative*"))</f>
        <v>0</v>
      </c>
      <c r="BG28" s="15">
        <f>SUM(COUNTIFS('Data entry'!$R$6:$R$200,'Summary Data'!$A28,'Data entry'!$B$6:$B$200,{"Confirmed";"Probable"},'Data entry'!$AQ$6:$AQ$200,'Data Validation'!$V$7, 'Data entry'!$AP$6:$AP$200,'Data Validation'!$U$4, 'Data entry'!$BD$6:$BD$200,"&lt;&gt;*Negative*"))</f>
        <v>0</v>
      </c>
      <c r="BH28" s="15">
        <f>SUM(COUNTIFS('Data entry'!$R$6:$R$200,'Summary Data'!$A28,'Data entry'!$B$6:$B$200,{"Confirmed";"Probable"},'Data entry'!$AQ$6:$AQ$200,'Data Validation'!$V$7, 'Data entry'!$AP$6:$AP$200,'Data Validation'!$U$5, 'Data entry'!$BD$6:$BD$200,"&lt;&gt;*Negative*"))</f>
        <v>0</v>
      </c>
      <c r="BI28" s="15">
        <f>SUM(COUNTIFS('Data entry'!$R$6:$R$200,'Summary Data'!$A28,'Data entry'!$B$6:$B$200,{"Confirmed";"Probable"},'Data entry'!$AQ$6:$AQ$200,'Data Validation'!$V$7, 'Data entry'!$AP$6:$AP$200,'Data Validation'!$U$6, 'Data entry'!$BD$6:$BD$200,"&lt;&gt;*Negative*"))</f>
        <v>0</v>
      </c>
      <c r="BJ28" s="15">
        <f>SUM(COUNTIFS('Data entry'!$R$6:$R$200,'Summary Data'!$A28,'Data entry'!$B$6:$B$200,{"Confirmed";"Probable"},'Data entry'!$AQ$6:$AQ$200,'Data Validation'!$V$8, 'Data entry'!$AP$6:$AP$200,'Data Validation'!$U$2, 'Data entry'!$BD$6:$BD$200,"&lt;&gt;*Negative*"))</f>
        <v>0</v>
      </c>
      <c r="BK28" s="15">
        <f>SUM(COUNTIFS('Data entry'!$R$6:$R$200,'Summary Data'!$A28,'Data entry'!$B$6:$B$200,{"Confirmed";"Probable"},'Data entry'!$AQ$6:$AQ$200,'Data Validation'!$V$8, 'Data entry'!$AP$6:$AP$200,'Data Validation'!$U$3, 'Data entry'!$BD$6:$BD$200,"&lt;&gt;*Negative*"))</f>
        <v>0</v>
      </c>
      <c r="BL28" s="15">
        <f>SUM(COUNTIFS('Data entry'!$R$6:$R$200,'Summary Data'!$A28,'Data entry'!$B$6:$B$200,{"Confirmed";"Probable"},'Data entry'!$AQ$6:$AQ$200,'Data Validation'!$V$8, 'Data entry'!$AP$6:$AP$200,'Data Validation'!$U$4, 'Data entry'!$BD$6:$BD$200,"&lt;&gt;*Negative*"))</f>
        <v>0</v>
      </c>
      <c r="BM28" s="15">
        <f>SUM(COUNTIFS('Data entry'!$R$6:$R$200,'Summary Data'!$A28,'Data entry'!$B$6:$B$200,{"Confirmed";"Probable"},'Data entry'!$AQ$6:$AQ$200,'Data Validation'!$V$8, 'Data entry'!$AP$6:$AP$200,'Data Validation'!$U$5, 'Data entry'!$BD$6:$BD$200,"&lt;&gt;*Negative*"))</f>
        <v>0</v>
      </c>
      <c r="BN28" s="15">
        <f>SUM(COUNTIFS('Data entry'!$R$6:$R$200,'Summary Data'!$A28,'Data entry'!$B$6:$B$200,{"Confirmed";"Probable"},'Data entry'!$AQ$6:$AQ$200,'Data Validation'!$V$8, 'Data entry'!$AP$6:$AP$200,'Data Validation'!$U$6, 'Data entry'!$BD$6:$BD$200,"&lt;&gt;*Negative*"))</f>
        <v>0</v>
      </c>
      <c r="BO28" s="15">
        <f>SUM(COUNTIFS('Data entry'!$R$6:$R$200,'Summary Data'!$A28,'Data entry'!$B$6:$B$200,{"Confirmed";"Probable"},'Data entry'!$AQ$6:$AQ$200,'Data Validation'!$V$9, 'Data entry'!$AP$6:$AP$200,'Data Validation'!$U$2, 'Data entry'!$BD$6:$BD$200,"&lt;&gt;*Negative*"))</f>
        <v>0</v>
      </c>
      <c r="BP28" s="15">
        <f>SUM(COUNTIFS('Data entry'!$R$6:$R$200,'Summary Data'!$A28,'Data entry'!$B$6:$B$200,{"Confirmed";"Probable"},'Data entry'!$AQ$6:$AQ$200,'Data Validation'!$V$9, 'Data entry'!$AP$6:$AP$200,'Data Validation'!$U$3, 'Data entry'!$BD$6:$BD$200,"&lt;&gt;*Negative*"))</f>
        <v>0</v>
      </c>
      <c r="BQ28" s="15">
        <f>SUM(COUNTIFS('Data entry'!$R$6:$R$200,'Summary Data'!$A28,'Data entry'!$B$6:$B$200,{"Confirmed";"Probable"},'Data entry'!$AQ$6:$AQ$200,'Data Validation'!$V$9, 'Data entry'!$AP$6:$AP$200,'Data Validation'!$U$4, 'Data entry'!$BD$6:$BD$200,"&lt;&gt;*Negative*"))</f>
        <v>0</v>
      </c>
      <c r="BR28" s="15">
        <f>SUM(COUNTIFS('Data entry'!$R$6:$R$200,'Summary Data'!$A28,'Data entry'!$B$6:$B$200,{"Confirmed";"Probable"},'Data entry'!$AQ$6:$AQ$200,'Data Validation'!$V$9, 'Data entry'!$AP$6:$AP$200,'Data Validation'!$U$5, 'Data entry'!$BD$6:$BD$200,"&lt;&gt;*Negative*"))</f>
        <v>0</v>
      </c>
      <c r="BS28" s="15">
        <f>SUM(COUNTIFS('Data entry'!$R$6:$R$200,'Summary Data'!$A28,'Data entry'!$B$6:$B$200,{"Confirmed";"Probable"},'Data entry'!$AQ$6:$AQ$200,'Data Validation'!$V$9, 'Data entry'!$AP$6:$AP$200,'Data Validation'!$U$6, 'Data entry'!$BD$6:$BD$200,"&lt;&gt;*Negative*"))</f>
        <v>0</v>
      </c>
      <c r="BT28" s="15">
        <f>SUM(COUNTIFS('Data entry'!$R$6:$R$200,'Summary Data'!$A28,'Data entry'!$B$6:$B$200,{"Confirmed";"Probable"},'Data entry'!$AQ$6:$AQ$200,'Data Validation'!$V$10, 'Data entry'!$AP$6:$AP$200,'Data Validation'!$U$2, 'Data entry'!$BD$6:$BD$200,"&lt;&gt;*Negative*"))</f>
        <v>0</v>
      </c>
      <c r="BU28" s="15">
        <f>SUM(COUNTIFS('Data entry'!$R$6:$R$200,'Summary Data'!$A28,'Data entry'!$B$6:$B$200,{"Confirmed";"Probable"},'Data entry'!$AQ$6:$AQ$200,'Data Validation'!$V$10, 'Data entry'!$AP$6:$AP$200,'Data Validation'!$U$3, 'Data entry'!$BD$6:$BD$200,"&lt;&gt;*Negative*"))</f>
        <v>0</v>
      </c>
      <c r="BV28" s="15">
        <f>SUM(COUNTIFS('Data entry'!$R$6:$R$200,'Summary Data'!$A28,'Data entry'!$B$6:$B$200,{"Confirmed";"Probable"},'Data entry'!$AQ$6:$AQ$200,'Data Validation'!$V$10, 'Data entry'!$AP$6:$AP$200,'Data Validation'!$U$4, 'Data entry'!$BD$6:$BD$200,"&lt;&gt;*Negative*"))</f>
        <v>0</v>
      </c>
      <c r="BW28" s="15">
        <f>SUM(COUNTIFS('Data entry'!$R$6:$R$200,'Summary Data'!$A28,'Data entry'!$B$6:$B$200,{"Confirmed";"Probable"},'Data entry'!$AQ$6:$AQ$200,'Data Validation'!$V$10, 'Data entry'!$AP$6:$AP$200,'Data Validation'!$U$5, 'Data entry'!$BD$6:$BD$200,"&lt;&gt;*Negative*"))</f>
        <v>0</v>
      </c>
      <c r="BX28" s="15">
        <f>SUM(COUNTIFS('Data entry'!$R$6:$R$200,'Summary Data'!$A28,'Data entry'!$B$6:$B$200,{"Confirmed";"Probable"},'Data entry'!$AQ$6:$AQ$200,'Data Validation'!$V$10, 'Data entry'!$AP$6:$AP$200,'Data Validation'!$U$6, 'Data entry'!$BD$6:$BD$200,"&lt;&gt;*Negative*"))</f>
        <v>0</v>
      </c>
      <c r="BY28" s="15">
        <f>SUM(COUNTIFS('Data entry'!$R$6:$R$200,'Summary Data'!$A28,'Data entry'!$B$6:$B$200,{"Confirmed";"Probable"},'Data entry'!$AQ$6:$AQ$200,'Data Validation'!$V$11, 'Data entry'!$AP$6:$AP$200,'Data Validation'!$U$2, 'Data entry'!$BD$6:$BD$200,"&lt;&gt;*Negative*"))</f>
        <v>0</v>
      </c>
      <c r="BZ28" s="15">
        <f>SUM(COUNTIFS('Data entry'!$R$6:$R$200,'Summary Data'!$A28,'Data entry'!$B$6:$B$200,{"Confirmed";"Probable"},'Data entry'!$AQ$6:$AQ$200,'Data Validation'!$V$11, 'Data entry'!$AP$6:$AP$200,'Data Validation'!$U$3, 'Data entry'!$BD$6:$BD$200,"&lt;&gt;*Negative*"))</f>
        <v>0</v>
      </c>
      <c r="CA28" s="15">
        <f>SUM(COUNTIFS('Data entry'!$R$6:$R$200,'Summary Data'!$A28,'Data entry'!$B$6:$B$200,{"Confirmed";"Probable"},'Data entry'!$AQ$6:$AQ$200,'Data Validation'!$V$11, 'Data entry'!$AP$6:$AP$200,'Data Validation'!$U$4, 'Data entry'!$BD$6:$BD$200,"&lt;&gt;*Negative*"))</f>
        <v>0</v>
      </c>
      <c r="CB28" s="15">
        <f>SUM(COUNTIFS('Data entry'!$R$6:$R$200,'Summary Data'!$A28,'Data entry'!$B$6:$B$200,{"Confirmed";"Probable"},'Data entry'!$AQ$6:$AQ$200,'Data Validation'!$V$11, 'Data entry'!$AP$6:$AP$200,'Data Validation'!$U$5, 'Data entry'!$BD$6:$BD$200,"&lt;&gt;*Negative*"))</f>
        <v>0</v>
      </c>
      <c r="CC28" s="15">
        <f>SUM(COUNTIFS('Data entry'!$R$6:$R$200,'Summary Data'!$A28,'Data entry'!$B$6:$B$200,{"Confirmed";"Probable"},'Data entry'!$AQ$6:$AQ$200,'Data Validation'!$V$11, 'Data entry'!$AP$6:$AP$200,'Data Validation'!$U$6, 'Data entry'!$BD$6:$BD$200,"&lt;&gt;*Negative*"))</f>
        <v>0</v>
      </c>
    </row>
    <row r="29" spans="1:81" x14ac:dyDescent="0.25">
      <c r="A29" s="12">
        <f t="shared" si="5"/>
        <v>17</v>
      </c>
      <c r="B29" s="13">
        <f t="shared" si="2"/>
        <v>0</v>
      </c>
      <c r="C29" s="13">
        <f>COUNTIFS('Data entry'!$R$6:$R$200,$A29,'Data entry'!$B$6:$B$200,"Confirmed",'Data entry'!$BD$6:$BD$200,"&lt;&gt;*Negative*")</f>
        <v>0</v>
      </c>
      <c r="D29" s="13">
        <f>COUNTIFS('Data entry'!$R$6:$R$200,$A29,'Data entry'!$B$6:$B$200,"Probable",'Data entry'!$BD$6:$BD$200,"&lt;&gt;*Negative*")</f>
        <v>0</v>
      </c>
      <c r="E29" s="13">
        <f>COUNTIFS('Data entry'!$R$6:$R$200,$A29,'Data entry'!$B$6:$B$200,"DNM")</f>
        <v>0</v>
      </c>
      <c r="F29" s="13">
        <f>SUM(COUNTIFS('Data entry'!$R$6:$R$200,'Summary Data'!$A29,'Data entry'!$B$6:$B$200,{"Confirmed";"Probable"},'Data entry'!$AO$6:$AO$200,$F$10, 'Data entry'!$BD$6:$BD$200,"&lt;&gt;*Negative*"))</f>
        <v>0</v>
      </c>
      <c r="G29" s="13">
        <f>SUM(COUNTIFS('Data entry'!$R$6:$R$200,'Summary Data'!$A29,'Data entry'!$B$6:$B$200,{"Confirmed";"Probable"},'Data entry'!$AO$6:$AO$200,$G$10, 'Data entry'!$BD$6:$BD$200,"&lt;&gt;*Negative*"))</f>
        <v>0</v>
      </c>
      <c r="H29" s="13">
        <f>SUM(COUNTIFS('Data entry'!$R$6:$R$200,'Summary Data'!$A29,'Data entry'!$B$6:$B$200,{"Confirmed";"Probable"},'Data entry'!$AO$6:$AO$200,$H$10, 'Data entry'!$BD$6:$BD$200,"&lt;&gt;*Negative*"))</f>
        <v>0</v>
      </c>
      <c r="I29" s="13">
        <f>SUM(COUNTIFS('Data entry'!$R$6:$R$200,'Summary Data'!$A29,'Data entry'!$B$6:$B$200,{"Confirmed";"Probable"},'Data entry'!$AO$6:$AO$200,$I$10, 'Data entry'!$BD$6:$BD$200,"&lt;&gt;*Negative*"))</f>
        <v>0</v>
      </c>
      <c r="J29" s="13">
        <f>SUM(COUNTIFS('Data entry'!$R$6:$R$200,'Summary Data'!$A29,'Data entry'!$B$6:$B$200,{"Confirmed";"Probable"},'Data entry'!$AO$6:$AO$200,$J$10, 'Data entry'!$BD$6:$BD$200,"&lt;&gt;*Negative*"))</f>
        <v>0</v>
      </c>
      <c r="K29" s="13">
        <f>SUM(COUNTIFS('Data entry'!$R$6:$R$200,'Summary Data'!$A29,'Data entry'!$B$6:$B$200,{"Confirmed";"Probable"},'Data entry'!$AO$6:$AO$200,$K$10, 'Data entry'!$BD$6:$BD$200,"&lt;&gt;*Negative*"))</f>
        <v>0</v>
      </c>
      <c r="L29" s="13">
        <f>SUM(COUNTIFS('Data entry'!$R$6:$R$200,'Summary Data'!$A29,'Data entry'!$B$6:$B$200,{"Confirmed";"Probable"},'Data entry'!$AO$6:$AO$200,$L$10, 'Data entry'!$BD$6:$BD$200,"&lt;&gt;*Negative*"))</f>
        <v>0</v>
      </c>
      <c r="M29" s="13">
        <f>SUM(COUNTIFS('Data entry'!$R$6:$R$200,'Summary Data'!$A29,'Data entry'!$B$6:$B$200,{"Confirmed";"Probable"},'Data entry'!$AO$6:$AO$200,$M$10, 'Data entry'!$BD$6:$BD$200,"&lt;&gt;*Negative*"))</f>
        <v>0</v>
      </c>
      <c r="N29" s="13">
        <f>SUM(COUNTIFS('Data entry'!$R$6:$R$200,'Summary Data'!$A29,'Data entry'!$B$6:$B$200,{"Confirmed";"Probable"},'Data entry'!$AO$6:$AO$200,$N$10, 'Data entry'!$BD$6:$BD$200,"&lt;&gt;*Negative*"))</f>
        <v>0</v>
      </c>
      <c r="O29" s="15">
        <f t="shared" si="3"/>
        <v>0</v>
      </c>
      <c r="P29" s="15">
        <f t="shared" si="4"/>
        <v>0</v>
      </c>
      <c r="Q29" s="15">
        <f>SUM(COUNTIFS('Data entry'!$R$6:$R$200,'Summary Data'!$A29,'Data entry'!$B$6:$B$200,{"Confirmed";"Probable"},'Data entry'!$AP$6:$AP$200,'Data Validation'!$U$2, 'Data entry'!$BD$6:$BD$200,"&lt;&gt;*Negative*"))</f>
        <v>0</v>
      </c>
      <c r="R29" s="15">
        <f>SUM(COUNTIFS('Data entry'!$R$6:$R$200,'Summary Data'!$A29,'Data entry'!$B$6:$B$200,{"Confirmed";"Probable"},'Data entry'!$AP$6:$AP$200,'Data Validation'!$U$3, 'Data entry'!$BD$6:$BD$200,"&lt;&gt;*Negative*"))</f>
        <v>0</v>
      </c>
      <c r="S29" s="15">
        <f>SUM(COUNTIFS('Data entry'!$R$6:$R$200,'Summary Data'!$A29,'Data entry'!$B$6:$B$200,{"Confirmed";"Probable"},'Data entry'!$AP$6:$AP$200,'Data Validation'!$U$4, 'Data entry'!$BD$6:$BD$200,"&lt;&gt;*Negative*"))</f>
        <v>0</v>
      </c>
      <c r="T29" s="15">
        <f>SUM(COUNTIFS('Data entry'!$R$6:$R$200,'Summary Data'!$A29,'Data entry'!$B$6:$B$200,{"Confirmed";"Probable"},'Data entry'!$AP$6:$AP$200,'Data Validation'!$U$5, 'Data entry'!$BD$6:$BD$200,"&lt;&gt;*Negative*"))</f>
        <v>0</v>
      </c>
      <c r="U29" s="15">
        <f>SUM(COUNTIFS('Data entry'!$R$6:$R$200,'Summary Data'!$A29,'Data entry'!$B$6:$B$200,{"Confirmed";"Probable"},'Data entry'!$AP$6:$AP$200,'Data Validation'!$U$6, 'Data entry'!$BD$6:$BD$200,"&lt;&gt;*Negative*"))</f>
        <v>0</v>
      </c>
      <c r="V29" s="15">
        <f>SUM(COUNTIFS('Data entry'!$R$6:$R$200,'Summary Data'!$A29,'Data entry'!$B$6:$B$200,{"Confirmed";"Probable"},'Data entry'!$AQ$6:$AQ$200,'Data Validation'!$V$2, 'Data entry'!$BD$6:$BD$200,"&lt;&gt;*Negative*"))</f>
        <v>0</v>
      </c>
      <c r="W29" s="15">
        <f>SUM(COUNTIFS('Data entry'!$R$6:$R$200,'Summary Data'!$A29,'Data entry'!$B$6:$B$200,{"Confirmed";"Probable"},'Data entry'!$AQ$6:$AQ$200,'Data Validation'!$V$3, 'Data entry'!$BD$6:$BD$200,"&lt;&gt;*Negative*"))</f>
        <v>0</v>
      </c>
      <c r="X29" s="15">
        <f>SUM(COUNTIFS('Data entry'!$R$6:$R$200,'Summary Data'!$A29,'Data entry'!$B$6:$B$200,{"Confirmed";"Probable"},'Data entry'!$AQ$6:$AQ$200,'Data Validation'!$V$4, 'Data entry'!$BD$6:$BD$200,"&lt;&gt;*Negative*"))</f>
        <v>0</v>
      </c>
      <c r="Y29" s="15">
        <f>SUM(COUNTIFS('Data entry'!$R$6:$R$200,'Summary Data'!$A29,'Data entry'!$B$6:$B$200,{"Confirmed";"Probable"},'Data entry'!$AQ$6:$AQ$200,'Data Validation'!$V$5, 'Data entry'!$BD$6:$BD$200,"&lt;&gt;*Negative*"))</f>
        <v>0</v>
      </c>
      <c r="Z29" s="15">
        <f>SUM(COUNTIFS('Data entry'!$R$6:$R$200,'Summary Data'!$A29,'Data entry'!$B$6:$B$200,{"Confirmed";"Probable"},'Data entry'!$AQ$6:$AQ$200,'Data Validation'!$V$6, 'Data entry'!$BD$6:$BD$200,"&lt;&gt;*Negative*"))</f>
        <v>0</v>
      </c>
      <c r="AA29" s="15">
        <f>SUM(COUNTIFS('Data entry'!$R$6:$R$200,'Summary Data'!$A29,'Data entry'!$B$6:$B$200,{"Confirmed";"Probable"},'Data entry'!$AQ$6:$AQ$200,'Data Validation'!$V$7, 'Data entry'!$BD$6:$BD$200,"&lt;&gt;*Negative*"))</f>
        <v>0</v>
      </c>
      <c r="AB29" s="15">
        <f>SUM(COUNTIFS('Data entry'!$R$6:$R$200,'Summary Data'!$A29,'Data entry'!$B$6:$B$200,{"Confirmed";"Probable"},'Data entry'!$AQ$6:$AQ$200,'Data Validation'!$V$8, 'Data entry'!$BD$6:$BD$200,"&lt;&gt;*Negative*"))</f>
        <v>0</v>
      </c>
      <c r="AC29" s="15">
        <f>SUM(COUNTIFS('Data entry'!$R$6:$R$200,'Summary Data'!$A29,'Data entry'!$B$6:$B$200,{"Confirmed";"Probable"},'Data entry'!$AQ$6:$AQ$200,'Data Validation'!$V$9, 'Data entry'!$BD$6:$BD$200,"&lt;&gt;*Negative*"))</f>
        <v>0</v>
      </c>
      <c r="AD29" s="15">
        <f>SUM(COUNTIFS('Data entry'!$R$6:$R$200,'Summary Data'!$A29,'Data entry'!$B$6:$B$200,{"Confirmed";"Probable"},'Data entry'!$AQ$6:$AQ$200,'Data Validation'!$V$10, 'Data entry'!$BD$6:$BD$200,"&lt;&gt;*Negative*"))</f>
        <v>0</v>
      </c>
      <c r="AE29" s="15">
        <f>SUM(COUNTIFS('Data entry'!$R$6:$R$200,'Summary Data'!$A29,'Data entry'!$B$6:$B$200,{"Confirmed";"Probable"},'Data entry'!$AQ$6:$AQ$200,'Data Validation'!$V$11, 'Data entry'!$BD$6:$BD$200,"&lt;&gt;*Negative*"))</f>
        <v>0</v>
      </c>
      <c r="AF29" s="15">
        <f>SUM(COUNTIFS('Data entry'!$R$6:$R$200,'Summary Data'!$A29,'Data entry'!$B$6:$B$200,{"Confirmed";"Probable"},'Data entry'!$AQ$6:$AQ$200,'Data Validation'!$V$2, 'Data entry'!$AP$6:$AP$200,'Data Validation'!$U$2, 'Data entry'!$BD$6:$BD$200,"&lt;&gt;*Negative*"))</f>
        <v>0</v>
      </c>
      <c r="AG29" s="15">
        <f>SUM(COUNTIFS('Data entry'!$R$6:$R$200,'Summary Data'!$A29,'Data entry'!$B$6:$B$200,{"Confirmed";"Probable"},'Data entry'!$AQ$6:$AQ$200,'Data Validation'!$V$2, 'Data entry'!$AP$6:$AP$200,'Data Validation'!$U$3, 'Data entry'!$BD$6:$BD$200,"&lt;&gt;*Negative*"))</f>
        <v>0</v>
      </c>
      <c r="AH29" s="15">
        <f>SUM(COUNTIFS('Data entry'!$R$6:$R$200,'Summary Data'!$A29,'Data entry'!$B$6:$B$200,{"Confirmed";"Probable"},'Data entry'!$AQ$6:$AQ$200,'Data Validation'!$V$2, 'Data entry'!$AP$6:$AP$200,'Data Validation'!$U$4, 'Data entry'!$BD$6:$BD$200,"&lt;&gt;*Negative*"))</f>
        <v>0</v>
      </c>
      <c r="AI29" s="15">
        <f>SUM(COUNTIFS('Data entry'!$R$6:$R$200,'Summary Data'!$A29,'Data entry'!$B$6:$B$200,{"Confirmed";"Probable"},'Data entry'!$AQ$6:$AQ$200,'Data Validation'!$V$2, 'Data entry'!$AP$6:$AP$200,'Data Validation'!$U$5, 'Data entry'!$BD$6:$BD$200,"&lt;&gt;*Negative*"))</f>
        <v>0</v>
      </c>
      <c r="AJ29" s="15">
        <f>SUM(COUNTIFS('Data entry'!$R$6:$R$200,'Summary Data'!$A29,'Data entry'!$B$6:$B$200,{"Confirmed";"Probable"},'Data entry'!$AQ$6:$AQ$200,'Data Validation'!$V$2, 'Data entry'!$AP$6:$AP$200,'Data Validation'!$U$6, 'Data entry'!$BD$6:$BD$200,"&lt;&gt;*Negative*"))</f>
        <v>0</v>
      </c>
      <c r="AK29" s="15">
        <f>SUM(COUNTIFS('Data entry'!$R$6:$R$200,'Summary Data'!$A29,'Data entry'!$B$6:$B$200,{"Confirmed";"Probable"},'Data entry'!$AQ$6:$AQ$200,'Data Validation'!$V$3, 'Data entry'!$AP$6:$AP$200,'Data Validation'!$U$2, 'Data entry'!$BD$6:$BD$200,"&lt;&gt;*Negative*"))</f>
        <v>0</v>
      </c>
      <c r="AL29" s="15">
        <f>SUM(COUNTIFS('Data entry'!$R$6:$R$200,'Summary Data'!$A29,'Data entry'!$B$6:$B$200,{"Confirmed";"Probable"},'Data entry'!$AQ$6:$AQ$200,'Data Validation'!$V$3, 'Data entry'!$AP$6:$AP$200,'Data Validation'!$U$3, 'Data entry'!$BD$6:$BD$200,"&lt;&gt;*Negative*"))</f>
        <v>0</v>
      </c>
      <c r="AM29" s="15">
        <f>SUM(COUNTIFS('Data entry'!$R$6:$R$200,'Summary Data'!$A29,'Data entry'!$B$6:$B$200,{"Confirmed";"Probable"},'Data entry'!$AQ$6:$AQ$200,'Data Validation'!$V$3, 'Data entry'!$AP$6:$AP$200,'Data Validation'!$U$4, 'Data entry'!$BD$6:$BD$200,"&lt;&gt;*Negative*"))</f>
        <v>0</v>
      </c>
      <c r="AN29" s="15">
        <f>SUM(COUNTIFS('Data entry'!$R$6:$R$200,'Summary Data'!$A29,'Data entry'!$B$6:$B$200,{"Confirmed";"Probable"},'Data entry'!$AQ$6:$AQ$200,'Data Validation'!$V$3, 'Data entry'!$AP$6:$AP$200,'Data Validation'!$U$5, 'Data entry'!$BD$6:$BD$200,"&lt;&gt;*Negative*"))</f>
        <v>0</v>
      </c>
      <c r="AO29" s="15">
        <f>SUM(COUNTIFS('Data entry'!$R$6:$R$200,'Summary Data'!$A29,'Data entry'!$B$6:$B$200,{"Confirmed";"Probable"},'Data entry'!$AQ$6:$AQ$200,'Data Validation'!$V$3, 'Data entry'!$AP$6:$AP$200,'Data Validation'!$U$6, 'Data entry'!$BD$6:$BD$200,"&lt;&gt;*Negative*"))</f>
        <v>0</v>
      </c>
      <c r="AP29" s="15">
        <f>SUM(COUNTIFS('Data entry'!$R$6:$R$200,'Summary Data'!$A29,'Data entry'!$B$6:$B$200,{"Confirmed";"Probable"},'Data entry'!$AQ$6:$AQ$200,'Data Validation'!$V$4, 'Data entry'!$AP$6:$AP$200,'Data Validation'!$U$2, 'Data entry'!$BD$6:$BD$200,"&lt;&gt;*Negative*"))</f>
        <v>0</v>
      </c>
      <c r="AQ29" s="15">
        <f>SUM(COUNTIFS('Data entry'!$R$6:$R$200,'Summary Data'!$A29,'Data entry'!$B$6:$B$200,{"Confirmed";"Probable"},'Data entry'!$AQ$6:$AQ$200,'Data Validation'!$V$4, 'Data entry'!$AP$6:$AP$200,'Data Validation'!$U$3, 'Data entry'!$BD$6:$BD$200,"&lt;&gt;*Negative*"))</f>
        <v>0</v>
      </c>
      <c r="AR29" s="15">
        <f>SUM(COUNTIFS('Data entry'!$R$6:$R$200,'Summary Data'!$A29,'Data entry'!$B$6:$B$200,{"Confirmed";"Probable"},'Data entry'!$AQ$6:$AQ$200,'Data Validation'!$V$4, 'Data entry'!$AP$6:$AP$200,'Data Validation'!$U$4, 'Data entry'!$BD$6:$BD$200,"&lt;&gt;*Negative*"))</f>
        <v>0</v>
      </c>
      <c r="AS29" s="15">
        <f>SUM(COUNTIFS('Data entry'!$R$6:$R$200,'Summary Data'!$A29,'Data entry'!$B$6:$B$200,{"Confirmed";"Probable"},'Data entry'!$AQ$6:$AQ$200,'Data Validation'!$V$4, 'Data entry'!$AP$6:$AP$200,'Data Validation'!$U$5, 'Data entry'!$BD$6:$BD$200,"&lt;&gt;*Negative*"))</f>
        <v>0</v>
      </c>
      <c r="AT29" s="15">
        <f>SUM(COUNTIFS('Data entry'!$R$6:$R$200,'Summary Data'!$A29,'Data entry'!$B$6:$B$200,{"Confirmed";"Probable"},'Data entry'!$AQ$6:$AQ$200,'Data Validation'!$V$4, 'Data entry'!$AP$6:$AP$200,'Data Validation'!$U$6, 'Data entry'!$BD$6:$BD$200,"&lt;&gt;*Negative*"))</f>
        <v>0</v>
      </c>
      <c r="AU29" s="15">
        <f>SUM(COUNTIFS('Data entry'!$R$6:$R$200,'Summary Data'!$A29,'Data entry'!$B$6:$B$200,{"Confirmed";"Probable"},'Data entry'!$AQ$6:$AQ$200,'Data Validation'!$V$5, 'Data entry'!$AP$6:$AP$200,'Data Validation'!$U$2, 'Data entry'!$BD$6:$BD$200,"&lt;&gt;*Negative*"))</f>
        <v>0</v>
      </c>
      <c r="AV29" s="15">
        <f>SUM(COUNTIFS('Data entry'!$R$6:$R$200,'Summary Data'!$A29,'Data entry'!$B$6:$B$200,{"Confirmed";"Probable"},'Data entry'!$AQ$6:$AQ$200,'Data Validation'!$V$5, 'Data entry'!$AP$6:$AP$200,'Data Validation'!$U$3, 'Data entry'!$BD$6:$BD$200,"&lt;&gt;*Negative*"))</f>
        <v>0</v>
      </c>
      <c r="AW29" s="15">
        <f>SUM(COUNTIFS('Data entry'!$R$6:$R$200,'Summary Data'!$A29,'Data entry'!$B$6:$B$200,{"Confirmed";"Probable"},'Data entry'!$AQ$6:$AQ$200,'Data Validation'!$V$5, 'Data entry'!$AP$6:$AP$200,'Data Validation'!$U$4, 'Data entry'!$BD$6:$BD$200,"&lt;&gt;*Negative*"))</f>
        <v>0</v>
      </c>
      <c r="AX29" s="15">
        <f>SUM(COUNTIFS('Data entry'!$R$6:$R$200,'Summary Data'!$A29,'Data entry'!$B$6:$B$200,{"Confirmed";"Probable"},'Data entry'!$AQ$6:$AQ$200,'Data Validation'!$V$5, 'Data entry'!$AP$6:$AP$200,'Data Validation'!$U$5, 'Data entry'!$BD$6:$BD$200,"&lt;&gt;*Negative*"))</f>
        <v>0</v>
      </c>
      <c r="AY29" s="15">
        <f>SUM(COUNTIFS('Data entry'!$R$6:$R$200,'Summary Data'!$A29,'Data entry'!$B$6:$B$200,{"Confirmed";"Probable"},'Data entry'!$AQ$6:$AQ$200,'Data Validation'!$V$5, 'Data entry'!$AP$6:$AP$200,'Data Validation'!$U$6, 'Data entry'!$BD$6:$BD$200,"&lt;&gt;*Negative*"))</f>
        <v>0</v>
      </c>
      <c r="AZ29" s="15">
        <f>SUM(COUNTIFS('Data entry'!$R$6:$R$200,'Summary Data'!$A29,'Data entry'!$B$6:$B$200,{"Confirmed";"Probable"},'Data entry'!$AQ$6:$AQ$200,'Data Validation'!$V$6, 'Data entry'!$AP$6:$AP$200,'Data Validation'!$U$2, 'Data entry'!$BD$6:$BD$200,"&lt;&gt;*Negative*"))</f>
        <v>0</v>
      </c>
      <c r="BA29" s="15">
        <f>SUM(COUNTIFS('Data entry'!$R$6:$R$200,'Summary Data'!$A29,'Data entry'!$B$6:$B$200,{"Confirmed";"Probable"},'Data entry'!$AQ$6:$AQ$200,'Data Validation'!$V$6, 'Data entry'!$AP$6:$AP$200,'Data Validation'!$U$3, 'Data entry'!$BD$6:$BD$200,"&lt;&gt;*Negative*"))</f>
        <v>0</v>
      </c>
      <c r="BB29" s="15">
        <f>SUM(COUNTIFS('Data entry'!$R$6:$R$200,'Summary Data'!$A29,'Data entry'!$B$6:$B$200,{"Confirmed";"Probable"},'Data entry'!$AQ$6:$AQ$200,'Data Validation'!$V$6, 'Data entry'!$AP$6:$AP$200,'Data Validation'!$U$4, 'Data entry'!$BD$6:$BD$200,"&lt;&gt;*Negative*"))</f>
        <v>0</v>
      </c>
      <c r="BC29" s="15">
        <f>SUM(COUNTIFS('Data entry'!$R$6:$R$200,'Summary Data'!$A29,'Data entry'!$B$6:$B$200,{"Confirmed";"Probable"},'Data entry'!$AQ$6:$AQ$200,'Data Validation'!$V$6, 'Data entry'!$AP$6:$AP$200,'Data Validation'!$U$5, 'Data entry'!$BD$6:$BD$200,"&lt;&gt;*Negative*"))</f>
        <v>0</v>
      </c>
      <c r="BD29" s="15">
        <f>SUM(COUNTIFS('Data entry'!$R$6:$R$200,'Summary Data'!$A29,'Data entry'!$B$6:$B$200,{"Confirmed";"Probable"},'Data entry'!$AQ$6:$AQ$200,'Data Validation'!$V$6, 'Data entry'!$AP$6:$AP$200,'Data Validation'!$U$6, 'Data entry'!$BD$6:$BD$200,"&lt;&gt;*Negative*"))</f>
        <v>0</v>
      </c>
      <c r="BE29" s="15">
        <f>SUM(COUNTIFS('Data entry'!$R$6:$R$200,'Summary Data'!$A29,'Data entry'!$B$6:$B$200,{"Confirmed";"Probable"},'Data entry'!$AQ$6:$AQ$200,'Data Validation'!$V$7, 'Data entry'!$AP$6:$AP$200,'Data Validation'!$U$2, 'Data entry'!$BD$6:$BD$200,"&lt;&gt;*Negative*"))</f>
        <v>0</v>
      </c>
      <c r="BF29" s="15">
        <f>SUM(COUNTIFS('Data entry'!$R$6:$R$200,'Summary Data'!$A29,'Data entry'!$B$6:$B$200,{"Confirmed";"Probable"},'Data entry'!$AQ$6:$AQ$200,'Data Validation'!$V$7, 'Data entry'!$AP$6:$AP$200,'Data Validation'!$U$3, 'Data entry'!$BD$6:$BD$200,"&lt;&gt;*Negative*"))</f>
        <v>0</v>
      </c>
      <c r="BG29" s="15">
        <f>SUM(COUNTIFS('Data entry'!$R$6:$R$200,'Summary Data'!$A29,'Data entry'!$B$6:$B$200,{"Confirmed";"Probable"},'Data entry'!$AQ$6:$AQ$200,'Data Validation'!$V$7, 'Data entry'!$AP$6:$AP$200,'Data Validation'!$U$4, 'Data entry'!$BD$6:$BD$200,"&lt;&gt;*Negative*"))</f>
        <v>0</v>
      </c>
      <c r="BH29" s="15">
        <f>SUM(COUNTIFS('Data entry'!$R$6:$R$200,'Summary Data'!$A29,'Data entry'!$B$6:$B$200,{"Confirmed";"Probable"},'Data entry'!$AQ$6:$AQ$200,'Data Validation'!$V$7, 'Data entry'!$AP$6:$AP$200,'Data Validation'!$U$5, 'Data entry'!$BD$6:$BD$200,"&lt;&gt;*Negative*"))</f>
        <v>0</v>
      </c>
      <c r="BI29" s="15">
        <f>SUM(COUNTIFS('Data entry'!$R$6:$R$200,'Summary Data'!$A29,'Data entry'!$B$6:$B$200,{"Confirmed";"Probable"},'Data entry'!$AQ$6:$AQ$200,'Data Validation'!$V$7, 'Data entry'!$AP$6:$AP$200,'Data Validation'!$U$6, 'Data entry'!$BD$6:$BD$200,"&lt;&gt;*Negative*"))</f>
        <v>0</v>
      </c>
      <c r="BJ29" s="15">
        <f>SUM(COUNTIFS('Data entry'!$R$6:$R$200,'Summary Data'!$A29,'Data entry'!$B$6:$B$200,{"Confirmed";"Probable"},'Data entry'!$AQ$6:$AQ$200,'Data Validation'!$V$8, 'Data entry'!$AP$6:$AP$200,'Data Validation'!$U$2, 'Data entry'!$BD$6:$BD$200,"&lt;&gt;*Negative*"))</f>
        <v>0</v>
      </c>
      <c r="BK29" s="15">
        <f>SUM(COUNTIFS('Data entry'!$R$6:$R$200,'Summary Data'!$A29,'Data entry'!$B$6:$B$200,{"Confirmed";"Probable"},'Data entry'!$AQ$6:$AQ$200,'Data Validation'!$V$8, 'Data entry'!$AP$6:$AP$200,'Data Validation'!$U$3, 'Data entry'!$BD$6:$BD$200,"&lt;&gt;*Negative*"))</f>
        <v>0</v>
      </c>
      <c r="BL29" s="15">
        <f>SUM(COUNTIFS('Data entry'!$R$6:$R$200,'Summary Data'!$A29,'Data entry'!$B$6:$B$200,{"Confirmed";"Probable"},'Data entry'!$AQ$6:$AQ$200,'Data Validation'!$V$8, 'Data entry'!$AP$6:$AP$200,'Data Validation'!$U$4, 'Data entry'!$BD$6:$BD$200,"&lt;&gt;*Negative*"))</f>
        <v>0</v>
      </c>
      <c r="BM29" s="15">
        <f>SUM(COUNTIFS('Data entry'!$R$6:$R$200,'Summary Data'!$A29,'Data entry'!$B$6:$B$200,{"Confirmed";"Probable"},'Data entry'!$AQ$6:$AQ$200,'Data Validation'!$V$8, 'Data entry'!$AP$6:$AP$200,'Data Validation'!$U$5, 'Data entry'!$BD$6:$BD$200,"&lt;&gt;*Negative*"))</f>
        <v>0</v>
      </c>
      <c r="BN29" s="15">
        <f>SUM(COUNTIFS('Data entry'!$R$6:$R$200,'Summary Data'!$A29,'Data entry'!$B$6:$B$200,{"Confirmed";"Probable"},'Data entry'!$AQ$6:$AQ$200,'Data Validation'!$V$8, 'Data entry'!$AP$6:$AP$200,'Data Validation'!$U$6, 'Data entry'!$BD$6:$BD$200,"&lt;&gt;*Negative*"))</f>
        <v>0</v>
      </c>
      <c r="BO29" s="15">
        <f>SUM(COUNTIFS('Data entry'!$R$6:$R$200,'Summary Data'!$A29,'Data entry'!$B$6:$B$200,{"Confirmed";"Probable"},'Data entry'!$AQ$6:$AQ$200,'Data Validation'!$V$9, 'Data entry'!$AP$6:$AP$200,'Data Validation'!$U$2, 'Data entry'!$BD$6:$BD$200,"&lt;&gt;*Negative*"))</f>
        <v>0</v>
      </c>
      <c r="BP29" s="15">
        <f>SUM(COUNTIFS('Data entry'!$R$6:$R$200,'Summary Data'!$A29,'Data entry'!$B$6:$B$200,{"Confirmed";"Probable"},'Data entry'!$AQ$6:$AQ$200,'Data Validation'!$V$9, 'Data entry'!$AP$6:$AP$200,'Data Validation'!$U$3, 'Data entry'!$BD$6:$BD$200,"&lt;&gt;*Negative*"))</f>
        <v>0</v>
      </c>
      <c r="BQ29" s="15">
        <f>SUM(COUNTIFS('Data entry'!$R$6:$R$200,'Summary Data'!$A29,'Data entry'!$B$6:$B$200,{"Confirmed";"Probable"},'Data entry'!$AQ$6:$AQ$200,'Data Validation'!$V$9, 'Data entry'!$AP$6:$AP$200,'Data Validation'!$U$4, 'Data entry'!$BD$6:$BD$200,"&lt;&gt;*Negative*"))</f>
        <v>0</v>
      </c>
      <c r="BR29" s="15">
        <f>SUM(COUNTIFS('Data entry'!$R$6:$R$200,'Summary Data'!$A29,'Data entry'!$B$6:$B$200,{"Confirmed";"Probable"},'Data entry'!$AQ$6:$AQ$200,'Data Validation'!$V$9, 'Data entry'!$AP$6:$AP$200,'Data Validation'!$U$5, 'Data entry'!$BD$6:$BD$200,"&lt;&gt;*Negative*"))</f>
        <v>0</v>
      </c>
      <c r="BS29" s="15">
        <f>SUM(COUNTIFS('Data entry'!$R$6:$R$200,'Summary Data'!$A29,'Data entry'!$B$6:$B$200,{"Confirmed";"Probable"},'Data entry'!$AQ$6:$AQ$200,'Data Validation'!$V$9, 'Data entry'!$AP$6:$AP$200,'Data Validation'!$U$6, 'Data entry'!$BD$6:$BD$200,"&lt;&gt;*Negative*"))</f>
        <v>0</v>
      </c>
      <c r="BT29" s="15">
        <f>SUM(COUNTIFS('Data entry'!$R$6:$R$200,'Summary Data'!$A29,'Data entry'!$B$6:$B$200,{"Confirmed";"Probable"},'Data entry'!$AQ$6:$AQ$200,'Data Validation'!$V$10, 'Data entry'!$AP$6:$AP$200,'Data Validation'!$U$2, 'Data entry'!$BD$6:$BD$200,"&lt;&gt;*Negative*"))</f>
        <v>0</v>
      </c>
      <c r="BU29" s="15">
        <f>SUM(COUNTIFS('Data entry'!$R$6:$R$200,'Summary Data'!$A29,'Data entry'!$B$6:$B$200,{"Confirmed";"Probable"},'Data entry'!$AQ$6:$AQ$200,'Data Validation'!$V$10, 'Data entry'!$AP$6:$AP$200,'Data Validation'!$U$3, 'Data entry'!$BD$6:$BD$200,"&lt;&gt;*Negative*"))</f>
        <v>0</v>
      </c>
      <c r="BV29" s="15">
        <f>SUM(COUNTIFS('Data entry'!$R$6:$R$200,'Summary Data'!$A29,'Data entry'!$B$6:$B$200,{"Confirmed";"Probable"},'Data entry'!$AQ$6:$AQ$200,'Data Validation'!$V$10, 'Data entry'!$AP$6:$AP$200,'Data Validation'!$U$4, 'Data entry'!$BD$6:$BD$200,"&lt;&gt;*Negative*"))</f>
        <v>0</v>
      </c>
      <c r="BW29" s="15">
        <f>SUM(COUNTIFS('Data entry'!$R$6:$R$200,'Summary Data'!$A29,'Data entry'!$B$6:$B$200,{"Confirmed";"Probable"},'Data entry'!$AQ$6:$AQ$200,'Data Validation'!$V$10, 'Data entry'!$AP$6:$AP$200,'Data Validation'!$U$5, 'Data entry'!$BD$6:$BD$200,"&lt;&gt;*Negative*"))</f>
        <v>0</v>
      </c>
      <c r="BX29" s="15">
        <f>SUM(COUNTIFS('Data entry'!$R$6:$R$200,'Summary Data'!$A29,'Data entry'!$B$6:$B$200,{"Confirmed";"Probable"},'Data entry'!$AQ$6:$AQ$200,'Data Validation'!$V$10, 'Data entry'!$AP$6:$AP$200,'Data Validation'!$U$6, 'Data entry'!$BD$6:$BD$200,"&lt;&gt;*Negative*"))</f>
        <v>0</v>
      </c>
      <c r="BY29" s="15">
        <f>SUM(COUNTIFS('Data entry'!$R$6:$R$200,'Summary Data'!$A29,'Data entry'!$B$6:$B$200,{"Confirmed";"Probable"},'Data entry'!$AQ$6:$AQ$200,'Data Validation'!$V$11, 'Data entry'!$AP$6:$AP$200,'Data Validation'!$U$2, 'Data entry'!$BD$6:$BD$200,"&lt;&gt;*Negative*"))</f>
        <v>0</v>
      </c>
      <c r="BZ29" s="15">
        <f>SUM(COUNTIFS('Data entry'!$R$6:$R$200,'Summary Data'!$A29,'Data entry'!$B$6:$B$200,{"Confirmed";"Probable"},'Data entry'!$AQ$6:$AQ$200,'Data Validation'!$V$11, 'Data entry'!$AP$6:$AP$200,'Data Validation'!$U$3, 'Data entry'!$BD$6:$BD$200,"&lt;&gt;*Negative*"))</f>
        <v>0</v>
      </c>
      <c r="CA29" s="15">
        <f>SUM(COUNTIFS('Data entry'!$R$6:$R$200,'Summary Data'!$A29,'Data entry'!$B$6:$B$200,{"Confirmed";"Probable"},'Data entry'!$AQ$6:$AQ$200,'Data Validation'!$V$11, 'Data entry'!$AP$6:$AP$200,'Data Validation'!$U$4, 'Data entry'!$BD$6:$BD$200,"&lt;&gt;*Negative*"))</f>
        <v>0</v>
      </c>
      <c r="CB29" s="15">
        <f>SUM(COUNTIFS('Data entry'!$R$6:$R$200,'Summary Data'!$A29,'Data entry'!$B$6:$B$200,{"Confirmed";"Probable"},'Data entry'!$AQ$6:$AQ$200,'Data Validation'!$V$11, 'Data entry'!$AP$6:$AP$200,'Data Validation'!$U$5, 'Data entry'!$BD$6:$BD$200,"&lt;&gt;*Negative*"))</f>
        <v>0</v>
      </c>
      <c r="CC29" s="15">
        <f>SUM(COUNTIFS('Data entry'!$R$6:$R$200,'Summary Data'!$A29,'Data entry'!$B$6:$B$200,{"Confirmed";"Probable"},'Data entry'!$AQ$6:$AQ$200,'Data Validation'!$V$11, 'Data entry'!$AP$6:$AP$200,'Data Validation'!$U$6, 'Data entry'!$BD$6:$BD$200,"&lt;&gt;*Negative*"))</f>
        <v>0</v>
      </c>
    </row>
    <row r="30" spans="1:81" x14ac:dyDescent="0.25">
      <c r="A30" s="12">
        <f t="shared" si="5"/>
        <v>18</v>
      </c>
      <c r="B30" s="13">
        <f t="shared" si="2"/>
        <v>0</v>
      </c>
      <c r="C30" s="13">
        <f>COUNTIFS('Data entry'!$R$6:$R$200,$A30,'Data entry'!$B$6:$B$200,"Confirmed",'Data entry'!$BD$6:$BD$200,"&lt;&gt;*Negative*")</f>
        <v>0</v>
      </c>
      <c r="D30" s="13">
        <f>COUNTIFS('Data entry'!$R$6:$R$200,$A30,'Data entry'!$B$6:$B$200,"Probable",'Data entry'!$BD$6:$BD$200,"&lt;&gt;*Negative*")</f>
        <v>0</v>
      </c>
      <c r="E30" s="13">
        <f>COUNTIFS('Data entry'!$R$6:$R$200,$A30,'Data entry'!$B$6:$B$200,"DNM")</f>
        <v>0</v>
      </c>
      <c r="F30" s="13">
        <f>SUM(COUNTIFS('Data entry'!$R$6:$R$200,'Summary Data'!$A30,'Data entry'!$B$6:$B$200,{"Confirmed";"Probable"},'Data entry'!$AO$6:$AO$200,$F$10, 'Data entry'!$BD$6:$BD$200,"&lt;&gt;*Negative*"))</f>
        <v>0</v>
      </c>
      <c r="G30" s="13">
        <f>SUM(COUNTIFS('Data entry'!$R$6:$R$200,'Summary Data'!$A30,'Data entry'!$B$6:$B$200,{"Confirmed";"Probable"},'Data entry'!$AO$6:$AO$200,$G$10, 'Data entry'!$BD$6:$BD$200,"&lt;&gt;*Negative*"))</f>
        <v>0</v>
      </c>
      <c r="H30" s="13">
        <f>SUM(COUNTIFS('Data entry'!$R$6:$R$200,'Summary Data'!$A30,'Data entry'!$B$6:$B$200,{"Confirmed";"Probable"},'Data entry'!$AO$6:$AO$200,$H$10, 'Data entry'!$BD$6:$BD$200,"&lt;&gt;*Negative*"))</f>
        <v>0</v>
      </c>
      <c r="I30" s="13">
        <f>SUM(COUNTIFS('Data entry'!$R$6:$R$200,'Summary Data'!$A30,'Data entry'!$B$6:$B$200,{"Confirmed";"Probable"},'Data entry'!$AO$6:$AO$200,$I$10, 'Data entry'!$BD$6:$BD$200,"&lt;&gt;*Negative*"))</f>
        <v>0</v>
      </c>
      <c r="J30" s="13">
        <f>SUM(COUNTIFS('Data entry'!$R$6:$R$200,'Summary Data'!$A30,'Data entry'!$B$6:$B$200,{"Confirmed";"Probable"},'Data entry'!$AO$6:$AO$200,$J$10, 'Data entry'!$BD$6:$BD$200,"&lt;&gt;*Negative*"))</f>
        <v>0</v>
      </c>
      <c r="K30" s="13">
        <f>SUM(COUNTIFS('Data entry'!$R$6:$R$200,'Summary Data'!$A30,'Data entry'!$B$6:$B$200,{"Confirmed";"Probable"},'Data entry'!$AO$6:$AO$200,$K$10, 'Data entry'!$BD$6:$BD$200,"&lt;&gt;*Negative*"))</f>
        <v>0</v>
      </c>
      <c r="L30" s="13">
        <f>SUM(COUNTIFS('Data entry'!$R$6:$R$200,'Summary Data'!$A30,'Data entry'!$B$6:$B$200,{"Confirmed";"Probable"},'Data entry'!$AO$6:$AO$200,$L$10, 'Data entry'!$BD$6:$BD$200,"&lt;&gt;*Negative*"))</f>
        <v>0</v>
      </c>
      <c r="M30" s="13">
        <f>SUM(COUNTIFS('Data entry'!$R$6:$R$200,'Summary Data'!$A30,'Data entry'!$B$6:$B$200,{"Confirmed";"Probable"},'Data entry'!$AO$6:$AO$200,$M$10, 'Data entry'!$BD$6:$BD$200,"&lt;&gt;*Negative*"))</f>
        <v>0</v>
      </c>
      <c r="N30" s="13">
        <f>SUM(COUNTIFS('Data entry'!$R$6:$R$200,'Summary Data'!$A30,'Data entry'!$B$6:$B$200,{"Confirmed";"Probable"},'Data entry'!$AO$6:$AO$200,$N$10, 'Data entry'!$BD$6:$BD$200,"&lt;&gt;*Negative*"))</f>
        <v>0</v>
      </c>
      <c r="O30" s="15">
        <f t="shared" si="3"/>
        <v>0</v>
      </c>
      <c r="P30" s="15">
        <f t="shared" si="4"/>
        <v>0</v>
      </c>
      <c r="Q30" s="15">
        <f>SUM(COUNTIFS('Data entry'!$R$6:$R$200,'Summary Data'!$A30,'Data entry'!$B$6:$B$200,{"Confirmed";"Probable"},'Data entry'!$AP$6:$AP$200,'Data Validation'!$U$2, 'Data entry'!$BD$6:$BD$200,"&lt;&gt;*Negative*"))</f>
        <v>0</v>
      </c>
      <c r="R30" s="15">
        <f>SUM(COUNTIFS('Data entry'!$R$6:$R$200,'Summary Data'!$A30,'Data entry'!$B$6:$B$200,{"Confirmed";"Probable"},'Data entry'!$AP$6:$AP$200,'Data Validation'!$U$3, 'Data entry'!$BD$6:$BD$200,"&lt;&gt;*Negative*"))</f>
        <v>0</v>
      </c>
      <c r="S30" s="15">
        <f>SUM(COUNTIFS('Data entry'!$R$6:$R$200,'Summary Data'!$A30,'Data entry'!$B$6:$B$200,{"Confirmed";"Probable"},'Data entry'!$AP$6:$AP$200,'Data Validation'!$U$4, 'Data entry'!$BD$6:$BD$200,"&lt;&gt;*Negative*"))</f>
        <v>0</v>
      </c>
      <c r="T30" s="15">
        <f>SUM(COUNTIFS('Data entry'!$R$6:$R$200,'Summary Data'!$A30,'Data entry'!$B$6:$B$200,{"Confirmed";"Probable"},'Data entry'!$AP$6:$AP$200,'Data Validation'!$U$5, 'Data entry'!$BD$6:$BD$200,"&lt;&gt;*Negative*"))</f>
        <v>0</v>
      </c>
      <c r="U30" s="15">
        <f>SUM(COUNTIFS('Data entry'!$R$6:$R$200,'Summary Data'!$A30,'Data entry'!$B$6:$B$200,{"Confirmed";"Probable"},'Data entry'!$AP$6:$AP$200,'Data Validation'!$U$6, 'Data entry'!$BD$6:$BD$200,"&lt;&gt;*Negative*"))</f>
        <v>0</v>
      </c>
      <c r="V30" s="15">
        <f>SUM(COUNTIFS('Data entry'!$R$6:$R$200,'Summary Data'!$A30,'Data entry'!$B$6:$B$200,{"Confirmed";"Probable"},'Data entry'!$AQ$6:$AQ$200,'Data Validation'!$V$2, 'Data entry'!$BD$6:$BD$200,"&lt;&gt;*Negative*"))</f>
        <v>0</v>
      </c>
      <c r="W30" s="15">
        <f>SUM(COUNTIFS('Data entry'!$R$6:$R$200,'Summary Data'!$A30,'Data entry'!$B$6:$B$200,{"Confirmed";"Probable"},'Data entry'!$AQ$6:$AQ$200,'Data Validation'!$V$3, 'Data entry'!$BD$6:$BD$200,"&lt;&gt;*Negative*"))</f>
        <v>0</v>
      </c>
      <c r="X30" s="15">
        <f>SUM(COUNTIFS('Data entry'!$R$6:$R$200,'Summary Data'!$A30,'Data entry'!$B$6:$B$200,{"Confirmed";"Probable"},'Data entry'!$AQ$6:$AQ$200,'Data Validation'!$V$4, 'Data entry'!$BD$6:$BD$200,"&lt;&gt;*Negative*"))</f>
        <v>0</v>
      </c>
      <c r="Y30" s="15">
        <f>SUM(COUNTIFS('Data entry'!$R$6:$R$200,'Summary Data'!$A30,'Data entry'!$B$6:$B$200,{"Confirmed";"Probable"},'Data entry'!$AQ$6:$AQ$200,'Data Validation'!$V$5, 'Data entry'!$BD$6:$BD$200,"&lt;&gt;*Negative*"))</f>
        <v>0</v>
      </c>
      <c r="Z30" s="15">
        <f>SUM(COUNTIFS('Data entry'!$R$6:$R$200,'Summary Data'!$A30,'Data entry'!$B$6:$B$200,{"Confirmed";"Probable"},'Data entry'!$AQ$6:$AQ$200,'Data Validation'!$V$6, 'Data entry'!$BD$6:$BD$200,"&lt;&gt;*Negative*"))</f>
        <v>0</v>
      </c>
      <c r="AA30" s="15">
        <f>SUM(COUNTIFS('Data entry'!$R$6:$R$200,'Summary Data'!$A30,'Data entry'!$B$6:$B$200,{"Confirmed";"Probable"},'Data entry'!$AQ$6:$AQ$200,'Data Validation'!$V$7, 'Data entry'!$BD$6:$BD$200,"&lt;&gt;*Negative*"))</f>
        <v>0</v>
      </c>
      <c r="AB30" s="15">
        <f>SUM(COUNTIFS('Data entry'!$R$6:$R$200,'Summary Data'!$A30,'Data entry'!$B$6:$B$200,{"Confirmed";"Probable"},'Data entry'!$AQ$6:$AQ$200,'Data Validation'!$V$8, 'Data entry'!$BD$6:$BD$200,"&lt;&gt;*Negative*"))</f>
        <v>0</v>
      </c>
      <c r="AC30" s="15">
        <f>SUM(COUNTIFS('Data entry'!$R$6:$R$200,'Summary Data'!$A30,'Data entry'!$B$6:$B$200,{"Confirmed";"Probable"},'Data entry'!$AQ$6:$AQ$200,'Data Validation'!$V$9, 'Data entry'!$BD$6:$BD$200,"&lt;&gt;*Negative*"))</f>
        <v>0</v>
      </c>
      <c r="AD30" s="15">
        <f>SUM(COUNTIFS('Data entry'!$R$6:$R$200,'Summary Data'!$A30,'Data entry'!$B$6:$B$200,{"Confirmed";"Probable"},'Data entry'!$AQ$6:$AQ$200,'Data Validation'!$V$10, 'Data entry'!$BD$6:$BD$200,"&lt;&gt;*Negative*"))</f>
        <v>0</v>
      </c>
      <c r="AE30" s="15">
        <f>SUM(COUNTIFS('Data entry'!$R$6:$R$200,'Summary Data'!$A30,'Data entry'!$B$6:$B$200,{"Confirmed";"Probable"},'Data entry'!$AQ$6:$AQ$200,'Data Validation'!$V$11, 'Data entry'!$BD$6:$BD$200,"&lt;&gt;*Negative*"))</f>
        <v>0</v>
      </c>
      <c r="AF30" s="15">
        <f>SUM(COUNTIFS('Data entry'!$R$6:$R$200,'Summary Data'!$A30,'Data entry'!$B$6:$B$200,{"Confirmed";"Probable"},'Data entry'!$AQ$6:$AQ$200,'Data Validation'!$V$2, 'Data entry'!$AP$6:$AP$200,'Data Validation'!$U$2, 'Data entry'!$BD$6:$BD$200,"&lt;&gt;*Negative*"))</f>
        <v>0</v>
      </c>
      <c r="AG30" s="15">
        <f>SUM(COUNTIFS('Data entry'!$R$6:$R$200,'Summary Data'!$A30,'Data entry'!$B$6:$B$200,{"Confirmed";"Probable"},'Data entry'!$AQ$6:$AQ$200,'Data Validation'!$V$2, 'Data entry'!$AP$6:$AP$200,'Data Validation'!$U$3, 'Data entry'!$BD$6:$BD$200,"&lt;&gt;*Negative*"))</f>
        <v>0</v>
      </c>
      <c r="AH30" s="15">
        <f>SUM(COUNTIFS('Data entry'!$R$6:$R$200,'Summary Data'!$A30,'Data entry'!$B$6:$B$200,{"Confirmed";"Probable"},'Data entry'!$AQ$6:$AQ$200,'Data Validation'!$V$2, 'Data entry'!$AP$6:$AP$200,'Data Validation'!$U$4, 'Data entry'!$BD$6:$BD$200,"&lt;&gt;*Negative*"))</f>
        <v>0</v>
      </c>
      <c r="AI30" s="15">
        <f>SUM(COUNTIFS('Data entry'!$R$6:$R$200,'Summary Data'!$A30,'Data entry'!$B$6:$B$200,{"Confirmed";"Probable"},'Data entry'!$AQ$6:$AQ$200,'Data Validation'!$V$2, 'Data entry'!$AP$6:$AP$200,'Data Validation'!$U$5, 'Data entry'!$BD$6:$BD$200,"&lt;&gt;*Negative*"))</f>
        <v>0</v>
      </c>
      <c r="AJ30" s="15">
        <f>SUM(COUNTIFS('Data entry'!$R$6:$R$200,'Summary Data'!$A30,'Data entry'!$B$6:$B$200,{"Confirmed";"Probable"},'Data entry'!$AQ$6:$AQ$200,'Data Validation'!$V$2, 'Data entry'!$AP$6:$AP$200,'Data Validation'!$U$6, 'Data entry'!$BD$6:$BD$200,"&lt;&gt;*Negative*"))</f>
        <v>0</v>
      </c>
      <c r="AK30" s="15">
        <f>SUM(COUNTIFS('Data entry'!$R$6:$R$200,'Summary Data'!$A30,'Data entry'!$B$6:$B$200,{"Confirmed";"Probable"},'Data entry'!$AQ$6:$AQ$200,'Data Validation'!$V$3, 'Data entry'!$AP$6:$AP$200,'Data Validation'!$U$2, 'Data entry'!$BD$6:$BD$200,"&lt;&gt;*Negative*"))</f>
        <v>0</v>
      </c>
      <c r="AL30" s="15">
        <f>SUM(COUNTIFS('Data entry'!$R$6:$R$200,'Summary Data'!$A30,'Data entry'!$B$6:$B$200,{"Confirmed";"Probable"},'Data entry'!$AQ$6:$AQ$200,'Data Validation'!$V$3, 'Data entry'!$AP$6:$AP$200,'Data Validation'!$U$3, 'Data entry'!$BD$6:$BD$200,"&lt;&gt;*Negative*"))</f>
        <v>0</v>
      </c>
      <c r="AM30" s="15">
        <f>SUM(COUNTIFS('Data entry'!$R$6:$R$200,'Summary Data'!$A30,'Data entry'!$B$6:$B$200,{"Confirmed";"Probable"},'Data entry'!$AQ$6:$AQ$200,'Data Validation'!$V$3, 'Data entry'!$AP$6:$AP$200,'Data Validation'!$U$4, 'Data entry'!$BD$6:$BD$200,"&lt;&gt;*Negative*"))</f>
        <v>0</v>
      </c>
      <c r="AN30" s="15">
        <f>SUM(COUNTIFS('Data entry'!$R$6:$R$200,'Summary Data'!$A30,'Data entry'!$B$6:$B$200,{"Confirmed";"Probable"},'Data entry'!$AQ$6:$AQ$200,'Data Validation'!$V$3, 'Data entry'!$AP$6:$AP$200,'Data Validation'!$U$5, 'Data entry'!$BD$6:$BD$200,"&lt;&gt;*Negative*"))</f>
        <v>0</v>
      </c>
      <c r="AO30" s="15">
        <f>SUM(COUNTIFS('Data entry'!$R$6:$R$200,'Summary Data'!$A30,'Data entry'!$B$6:$B$200,{"Confirmed";"Probable"},'Data entry'!$AQ$6:$AQ$200,'Data Validation'!$V$3, 'Data entry'!$AP$6:$AP$200,'Data Validation'!$U$6, 'Data entry'!$BD$6:$BD$200,"&lt;&gt;*Negative*"))</f>
        <v>0</v>
      </c>
      <c r="AP30" s="15">
        <f>SUM(COUNTIFS('Data entry'!$R$6:$R$200,'Summary Data'!$A30,'Data entry'!$B$6:$B$200,{"Confirmed";"Probable"},'Data entry'!$AQ$6:$AQ$200,'Data Validation'!$V$4, 'Data entry'!$AP$6:$AP$200,'Data Validation'!$U$2, 'Data entry'!$BD$6:$BD$200,"&lt;&gt;*Negative*"))</f>
        <v>0</v>
      </c>
      <c r="AQ30" s="15">
        <f>SUM(COUNTIFS('Data entry'!$R$6:$R$200,'Summary Data'!$A30,'Data entry'!$B$6:$B$200,{"Confirmed";"Probable"},'Data entry'!$AQ$6:$AQ$200,'Data Validation'!$V$4, 'Data entry'!$AP$6:$AP$200,'Data Validation'!$U$3, 'Data entry'!$BD$6:$BD$200,"&lt;&gt;*Negative*"))</f>
        <v>0</v>
      </c>
      <c r="AR30" s="15">
        <f>SUM(COUNTIFS('Data entry'!$R$6:$R$200,'Summary Data'!$A30,'Data entry'!$B$6:$B$200,{"Confirmed";"Probable"},'Data entry'!$AQ$6:$AQ$200,'Data Validation'!$V$4, 'Data entry'!$AP$6:$AP$200,'Data Validation'!$U$4, 'Data entry'!$BD$6:$BD$200,"&lt;&gt;*Negative*"))</f>
        <v>0</v>
      </c>
      <c r="AS30" s="15">
        <f>SUM(COUNTIFS('Data entry'!$R$6:$R$200,'Summary Data'!$A30,'Data entry'!$B$6:$B$200,{"Confirmed";"Probable"},'Data entry'!$AQ$6:$AQ$200,'Data Validation'!$V$4, 'Data entry'!$AP$6:$AP$200,'Data Validation'!$U$5, 'Data entry'!$BD$6:$BD$200,"&lt;&gt;*Negative*"))</f>
        <v>0</v>
      </c>
      <c r="AT30" s="15">
        <f>SUM(COUNTIFS('Data entry'!$R$6:$R$200,'Summary Data'!$A30,'Data entry'!$B$6:$B$200,{"Confirmed";"Probable"},'Data entry'!$AQ$6:$AQ$200,'Data Validation'!$V$4, 'Data entry'!$AP$6:$AP$200,'Data Validation'!$U$6, 'Data entry'!$BD$6:$BD$200,"&lt;&gt;*Negative*"))</f>
        <v>0</v>
      </c>
      <c r="AU30" s="15">
        <f>SUM(COUNTIFS('Data entry'!$R$6:$R$200,'Summary Data'!$A30,'Data entry'!$B$6:$B$200,{"Confirmed";"Probable"},'Data entry'!$AQ$6:$AQ$200,'Data Validation'!$V$5, 'Data entry'!$AP$6:$AP$200,'Data Validation'!$U$2, 'Data entry'!$BD$6:$BD$200,"&lt;&gt;*Negative*"))</f>
        <v>0</v>
      </c>
      <c r="AV30" s="15">
        <f>SUM(COUNTIFS('Data entry'!$R$6:$R$200,'Summary Data'!$A30,'Data entry'!$B$6:$B$200,{"Confirmed";"Probable"},'Data entry'!$AQ$6:$AQ$200,'Data Validation'!$V$5, 'Data entry'!$AP$6:$AP$200,'Data Validation'!$U$3, 'Data entry'!$BD$6:$BD$200,"&lt;&gt;*Negative*"))</f>
        <v>0</v>
      </c>
      <c r="AW30" s="15">
        <f>SUM(COUNTIFS('Data entry'!$R$6:$R$200,'Summary Data'!$A30,'Data entry'!$B$6:$B$200,{"Confirmed";"Probable"},'Data entry'!$AQ$6:$AQ$200,'Data Validation'!$V$5, 'Data entry'!$AP$6:$AP$200,'Data Validation'!$U$4, 'Data entry'!$BD$6:$BD$200,"&lt;&gt;*Negative*"))</f>
        <v>0</v>
      </c>
      <c r="AX30" s="15">
        <f>SUM(COUNTIFS('Data entry'!$R$6:$R$200,'Summary Data'!$A30,'Data entry'!$B$6:$B$200,{"Confirmed";"Probable"},'Data entry'!$AQ$6:$AQ$200,'Data Validation'!$V$5, 'Data entry'!$AP$6:$AP$200,'Data Validation'!$U$5, 'Data entry'!$BD$6:$BD$200,"&lt;&gt;*Negative*"))</f>
        <v>0</v>
      </c>
      <c r="AY30" s="15">
        <f>SUM(COUNTIFS('Data entry'!$R$6:$R$200,'Summary Data'!$A30,'Data entry'!$B$6:$B$200,{"Confirmed";"Probable"},'Data entry'!$AQ$6:$AQ$200,'Data Validation'!$V$5, 'Data entry'!$AP$6:$AP$200,'Data Validation'!$U$6, 'Data entry'!$BD$6:$BD$200,"&lt;&gt;*Negative*"))</f>
        <v>0</v>
      </c>
      <c r="AZ30" s="15">
        <f>SUM(COUNTIFS('Data entry'!$R$6:$R$200,'Summary Data'!$A30,'Data entry'!$B$6:$B$200,{"Confirmed";"Probable"},'Data entry'!$AQ$6:$AQ$200,'Data Validation'!$V$6, 'Data entry'!$AP$6:$AP$200,'Data Validation'!$U$2, 'Data entry'!$BD$6:$BD$200,"&lt;&gt;*Negative*"))</f>
        <v>0</v>
      </c>
      <c r="BA30" s="15">
        <f>SUM(COUNTIFS('Data entry'!$R$6:$R$200,'Summary Data'!$A30,'Data entry'!$B$6:$B$200,{"Confirmed";"Probable"},'Data entry'!$AQ$6:$AQ$200,'Data Validation'!$V$6, 'Data entry'!$AP$6:$AP$200,'Data Validation'!$U$3, 'Data entry'!$BD$6:$BD$200,"&lt;&gt;*Negative*"))</f>
        <v>0</v>
      </c>
      <c r="BB30" s="15">
        <f>SUM(COUNTIFS('Data entry'!$R$6:$R$200,'Summary Data'!$A30,'Data entry'!$B$6:$B$200,{"Confirmed";"Probable"},'Data entry'!$AQ$6:$AQ$200,'Data Validation'!$V$6, 'Data entry'!$AP$6:$AP$200,'Data Validation'!$U$4, 'Data entry'!$BD$6:$BD$200,"&lt;&gt;*Negative*"))</f>
        <v>0</v>
      </c>
      <c r="BC30" s="15">
        <f>SUM(COUNTIFS('Data entry'!$R$6:$R$200,'Summary Data'!$A30,'Data entry'!$B$6:$B$200,{"Confirmed";"Probable"},'Data entry'!$AQ$6:$AQ$200,'Data Validation'!$V$6, 'Data entry'!$AP$6:$AP$200,'Data Validation'!$U$5, 'Data entry'!$BD$6:$BD$200,"&lt;&gt;*Negative*"))</f>
        <v>0</v>
      </c>
      <c r="BD30" s="15">
        <f>SUM(COUNTIFS('Data entry'!$R$6:$R$200,'Summary Data'!$A30,'Data entry'!$B$6:$B$200,{"Confirmed";"Probable"},'Data entry'!$AQ$6:$AQ$200,'Data Validation'!$V$6, 'Data entry'!$AP$6:$AP$200,'Data Validation'!$U$6, 'Data entry'!$BD$6:$BD$200,"&lt;&gt;*Negative*"))</f>
        <v>0</v>
      </c>
      <c r="BE30" s="15">
        <f>SUM(COUNTIFS('Data entry'!$R$6:$R$200,'Summary Data'!$A30,'Data entry'!$B$6:$B$200,{"Confirmed";"Probable"},'Data entry'!$AQ$6:$AQ$200,'Data Validation'!$V$7, 'Data entry'!$AP$6:$AP$200,'Data Validation'!$U$2, 'Data entry'!$BD$6:$BD$200,"&lt;&gt;*Negative*"))</f>
        <v>0</v>
      </c>
      <c r="BF30" s="15">
        <f>SUM(COUNTIFS('Data entry'!$R$6:$R$200,'Summary Data'!$A30,'Data entry'!$B$6:$B$200,{"Confirmed";"Probable"},'Data entry'!$AQ$6:$AQ$200,'Data Validation'!$V$7, 'Data entry'!$AP$6:$AP$200,'Data Validation'!$U$3, 'Data entry'!$BD$6:$BD$200,"&lt;&gt;*Negative*"))</f>
        <v>0</v>
      </c>
      <c r="BG30" s="15">
        <f>SUM(COUNTIFS('Data entry'!$R$6:$R$200,'Summary Data'!$A30,'Data entry'!$B$6:$B$200,{"Confirmed";"Probable"},'Data entry'!$AQ$6:$AQ$200,'Data Validation'!$V$7, 'Data entry'!$AP$6:$AP$200,'Data Validation'!$U$4, 'Data entry'!$BD$6:$BD$200,"&lt;&gt;*Negative*"))</f>
        <v>0</v>
      </c>
      <c r="BH30" s="15">
        <f>SUM(COUNTIFS('Data entry'!$R$6:$R$200,'Summary Data'!$A30,'Data entry'!$B$6:$B$200,{"Confirmed";"Probable"},'Data entry'!$AQ$6:$AQ$200,'Data Validation'!$V$7, 'Data entry'!$AP$6:$AP$200,'Data Validation'!$U$5, 'Data entry'!$BD$6:$BD$200,"&lt;&gt;*Negative*"))</f>
        <v>0</v>
      </c>
      <c r="BI30" s="15">
        <f>SUM(COUNTIFS('Data entry'!$R$6:$R$200,'Summary Data'!$A30,'Data entry'!$B$6:$B$200,{"Confirmed";"Probable"},'Data entry'!$AQ$6:$AQ$200,'Data Validation'!$V$7, 'Data entry'!$AP$6:$AP$200,'Data Validation'!$U$6, 'Data entry'!$BD$6:$BD$200,"&lt;&gt;*Negative*"))</f>
        <v>0</v>
      </c>
      <c r="BJ30" s="15">
        <f>SUM(COUNTIFS('Data entry'!$R$6:$R$200,'Summary Data'!$A30,'Data entry'!$B$6:$B$200,{"Confirmed";"Probable"},'Data entry'!$AQ$6:$AQ$200,'Data Validation'!$V$8, 'Data entry'!$AP$6:$AP$200,'Data Validation'!$U$2, 'Data entry'!$BD$6:$BD$200,"&lt;&gt;*Negative*"))</f>
        <v>0</v>
      </c>
      <c r="BK30" s="15">
        <f>SUM(COUNTIFS('Data entry'!$R$6:$R$200,'Summary Data'!$A30,'Data entry'!$B$6:$B$200,{"Confirmed";"Probable"},'Data entry'!$AQ$6:$AQ$200,'Data Validation'!$V$8, 'Data entry'!$AP$6:$AP$200,'Data Validation'!$U$3, 'Data entry'!$BD$6:$BD$200,"&lt;&gt;*Negative*"))</f>
        <v>0</v>
      </c>
      <c r="BL30" s="15">
        <f>SUM(COUNTIFS('Data entry'!$R$6:$R$200,'Summary Data'!$A30,'Data entry'!$B$6:$B$200,{"Confirmed";"Probable"},'Data entry'!$AQ$6:$AQ$200,'Data Validation'!$V$8, 'Data entry'!$AP$6:$AP$200,'Data Validation'!$U$4, 'Data entry'!$BD$6:$BD$200,"&lt;&gt;*Negative*"))</f>
        <v>0</v>
      </c>
      <c r="BM30" s="15">
        <f>SUM(COUNTIFS('Data entry'!$R$6:$R$200,'Summary Data'!$A30,'Data entry'!$B$6:$B$200,{"Confirmed";"Probable"},'Data entry'!$AQ$6:$AQ$200,'Data Validation'!$V$8, 'Data entry'!$AP$6:$AP$200,'Data Validation'!$U$5, 'Data entry'!$BD$6:$BD$200,"&lt;&gt;*Negative*"))</f>
        <v>0</v>
      </c>
      <c r="BN30" s="15">
        <f>SUM(COUNTIFS('Data entry'!$R$6:$R$200,'Summary Data'!$A30,'Data entry'!$B$6:$B$200,{"Confirmed";"Probable"},'Data entry'!$AQ$6:$AQ$200,'Data Validation'!$V$8, 'Data entry'!$AP$6:$AP$200,'Data Validation'!$U$6, 'Data entry'!$BD$6:$BD$200,"&lt;&gt;*Negative*"))</f>
        <v>0</v>
      </c>
      <c r="BO30" s="15">
        <f>SUM(COUNTIFS('Data entry'!$R$6:$R$200,'Summary Data'!$A30,'Data entry'!$B$6:$B$200,{"Confirmed";"Probable"},'Data entry'!$AQ$6:$AQ$200,'Data Validation'!$V$9, 'Data entry'!$AP$6:$AP$200,'Data Validation'!$U$2, 'Data entry'!$BD$6:$BD$200,"&lt;&gt;*Negative*"))</f>
        <v>0</v>
      </c>
      <c r="BP30" s="15">
        <f>SUM(COUNTIFS('Data entry'!$R$6:$R$200,'Summary Data'!$A30,'Data entry'!$B$6:$B$200,{"Confirmed";"Probable"},'Data entry'!$AQ$6:$AQ$200,'Data Validation'!$V$9, 'Data entry'!$AP$6:$AP$200,'Data Validation'!$U$3, 'Data entry'!$BD$6:$BD$200,"&lt;&gt;*Negative*"))</f>
        <v>0</v>
      </c>
      <c r="BQ30" s="15">
        <f>SUM(COUNTIFS('Data entry'!$R$6:$R$200,'Summary Data'!$A30,'Data entry'!$B$6:$B$200,{"Confirmed";"Probable"},'Data entry'!$AQ$6:$AQ$200,'Data Validation'!$V$9, 'Data entry'!$AP$6:$AP$200,'Data Validation'!$U$4, 'Data entry'!$BD$6:$BD$200,"&lt;&gt;*Negative*"))</f>
        <v>0</v>
      </c>
      <c r="BR30" s="15">
        <f>SUM(COUNTIFS('Data entry'!$R$6:$R$200,'Summary Data'!$A30,'Data entry'!$B$6:$B$200,{"Confirmed";"Probable"},'Data entry'!$AQ$6:$AQ$200,'Data Validation'!$V$9, 'Data entry'!$AP$6:$AP$200,'Data Validation'!$U$5, 'Data entry'!$BD$6:$BD$200,"&lt;&gt;*Negative*"))</f>
        <v>0</v>
      </c>
      <c r="BS30" s="15">
        <f>SUM(COUNTIFS('Data entry'!$R$6:$R$200,'Summary Data'!$A30,'Data entry'!$B$6:$B$200,{"Confirmed";"Probable"},'Data entry'!$AQ$6:$AQ$200,'Data Validation'!$V$9, 'Data entry'!$AP$6:$AP$200,'Data Validation'!$U$6, 'Data entry'!$BD$6:$BD$200,"&lt;&gt;*Negative*"))</f>
        <v>0</v>
      </c>
      <c r="BT30" s="15">
        <f>SUM(COUNTIFS('Data entry'!$R$6:$R$200,'Summary Data'!$A30,'Data entry'!$B$6:$B$200,{"Confirmed";"Probable"},'Data entry'!$AQ$6:$AQ$200,'Data Validation'!$V$10, 'Data entry'!$AP$6:$AP$200,'Data Validation'!$U$2, 'Data entry'!$BD$6:$BD$200,"&lt;&gt;*Negative*"))</f>
        <v>0</v>
      </c>
      <c r="BU30" s="15">
        <f>SUM(COUNTIFS('Data entry'!$R$6:$R$200,'Summary Data'!$A30,'Data entry'!$B$6:$B$200,{"Confirmed";"Probable"},'Data entry'!$AQ$6:$AQ$200,'Data Validation'!$V$10, 'Data entry'!$AP$6:$AP$200,'Data Validation'!$U$3, 'Data entry'!$BD$6:$BD$200,"&lt;&gt;*Negative*"))</f>
        <v>0</v>
      </c>
      <c r="BV30" s="15">
        <f>SUM(COUNTIFS('Data entry'!$R$6:$R$200,'Summary Data'!$A30,'Data entry'!$B$6:$B$200,{"Confirmed";"Probable"},'Data entry'!$AQ$6:$AQ$200,'Data Validation'!$V$10, 'Data entry'!$AP$6:$AP$200,'Data Validation'!$U$4, 'Data entry'!$BD$6:$BD$200,"&lt;&gt;*Negative*"))</f>
        <v>0</v>
      </c>
      <c r="BW30" s="15">
        <f>SUM(COUNTIFS('Data entry'!$R$6:$R$200,'Summary Data'!$A30,'Data entry'!$B$6:$B$200,{"Confirmed";"Probable"},'Data entry'!$AQ$6:$AQ$200,'Data Validation'!$V$10, 'Data entry'!$AP$6:$AP$200,'Data Validation'!$U$5, 'Data entry'!$BD$6:$BD$200,"&lt;&gt;*Negative*"))</f>
        <v>0</v>
      </c>
      <c r="BX30" s="15">
        <f>SUM(COUNTIFS('Data entry'!$R$6:$R$200,'Summary Data'!$A30,'Data entry'!$B$6:$B$200,{"Confirmed";"Probable"},'Data entry'!$AQ$6:$AQ$200,'Data Validation'!$V$10, 'Data entry'!$AP$6:$AP$200,'Data Validation'!$U$6, 'Data entry'!$BD$6:$BD$200,"&lt;&gt;*Negative*"))</f>
        <v>0</v>
      </c>
      <c r="BY30" s="15">
        <f>SUM(COUNTIFS('Data entry'!$R$6:$R$200,'Summary Data'!$A30,'Data entry'!$B$6:$B$200,{"Confirmed";"Probable"},'Data entry'!$AQ$6:$AQ$200,'Data Validation'!$V$11, 'Data entry'!$AP$6:$AP$200,'Data Validation'!$U$2, 'Data entry'!$BD$6:$BD$200,"&lt;&gt;*Negative*"))</f>
        <v>0</v>
      </c>
      <c r="BZ30" s="15">
        <f>SUM(COUNTIFS('Data entry'!$R$6:$R$200,'Summary Data'!$A30,'Data entry'!$B$6:$B$200,{"Confirmed";"Probable"},'Data entry'!$AQ$6:$AQ$200,'Data Validation'!$V$11, 'Data entry'!$AP$6:$AP$200,'Data Validation'!$U$3, 'Data entry'!$BD$6:$BD$200,"&lt;&gt;*Negative*"))</f>
        <v>0</v>
      </c>
      <c r="CA30" s="15">
        <f>SUM(COUNTIFS('Data entry'!$R$6:$R$200,'Summary Data'!$A30,'Data entry'!$B$6:$B$200,{"Confirmed";"Probable"},'Data entry'!$AQ$6:$AQ$200,'Data Validation'!$V$11, 'Data entry'!$AP$6:$AP$200,'Data Validation'!$U$4, 'Data entry'!$BD$6:$BD$200,"&lt;&gt;*Negative*"))</f>
        <v>0</v>
      </c>
      <c r="CB30" s="15">
        <f>SUM(COUNTIFS('Data entry'!$R$6:$R$200,'Summary Data'!$A30,'Data entry'!$B$6:$B$200,{"Confirmed";"Probable"},'Data entry'!$AQ$6:$AQ$200,'Data Validation'!$V$11, 'Data entry'!$AP$6:$AP$200,'Data Validation'!$U$5, 'Data entry'!$BD$6:$BD$200,"&lt;&gt;*Negative*"))</f>
        <v>0</v>
      </c>
      <c r="CC30" s="15">
        <f>SUM(COUNTIFS('Data entry'!$R$6:$R$200,'Summary Data'!$A30,'Data entry'!$B$6:$B$200,{"Confirmed";"Probable"},'Data entry'!$AQ$6:$AQ$200,'Data Validation'!$V$11, 'Data entry'!$AP$6:$AP$200,'Data Validation'!$U$6, 'Data entry'!$BD$6:$BD$200,"&lt;&gt;*Negative*"))</f>
        <v>0</v>
      </c>
    </row>
    <row r="31" spans="1:81" x14ac:dyDescent="0.25">
      <c r="A31" s="12">
        <f t="shared" si="5"/>
        <v>19</v>
      </c>
      <c r="B31" s="13">
        <f t="shared" si="2"/>
        <v>0</v>
      </c>
      <c r="C31" s="13">
        <f>COUNTIFS('Data entry'!$R$6:$R$200,$A31,'Data entry'!$B$6:$B$200,"Confirmed",'Data entry'!$BD$6:$BD$200,"&lt;&gt;*Negative*")</f>
        <v>0</v>
      </c>
      <c r="D31" s="13">
        <f>COUNTIFS('Data entry'!$R$6:$R$200,$A31,'Data entry'!$B$6:$B$200,"Probable",'Data entry'!$BD$6:$BD$200,"&lt;&gt;*Negative*")</f>
        <v>0</v>
      </c>
      <c r="E31" s="13">
        <f>COUNTIFS('Data entry'!$R$6:$R$200,$A31,'Data entry'!$B$6:$B$200,"DNM")</f>
        <v>0</v>
      </c>
      <c r="F31" s="13">
        <f>SUM(COUNTIFS('Data entry'!$R$6:$R$200,'Summary Data'!$A31,'Data entry'!$B$6:$B$200,{"Confirmed";"Probable"},'Data entry'!$AO$6:$AO$200,$F$10, 'Data entry'!$BD$6:$BD$200,"&lt;&gt;*Negative*"))</f>
        <v>0</v>
      </c>
      <c r="G31" s="13">
        <f>SUM(COUNTIFS('Data entry'!$R$6:$R$200,'Summary Data'!$A31,'Data entry'!$B$6:$B$200,{"Confirmed";"Probable"},'Data entry'!$AO$6:$AO$200,$G$10, 'Data entry'!$BD$6:$BD$200,"&lt;&gt;*Negative*"))</f>
        <v>0</v>
      </c>
      <c r="H31" s="13">
        <f>SUM(COUNTIFS('Data entry'!$R$6:$R$200,'Summary Data'!$A31,'Data entry'!$B$6:$B$200,{"Confirmed";"Probable"},'Data entry'!$AO$6:$AO$200,$H$10, 'Data entry'!$BD$6:$BD$200,"&lt;&gt;*Negative*"))</f>
        <v>0</v>
      </c>
      <c r="I31" s="13">
        <f>SUM(COUNTIFS('Data entry'!$R$6:$R$200,'Summary Data'!$A31,'Data entry'!$B$6:$B$200,{"Confirmed";"Probable"},'Data entry'!$AO$6:$AO$200,$I$10, 'Data entry'!$BD$6:$BD$200,"&lt;&gt;*Negative*"))</f>
        <v>0</v>
      </c>
      <c r="J31" s="13">
        <f>SUM(COUNTIFS('Data entry'!$R$6:$R$200,'Summary Data'!$A31,'Data entry'!$B$6:$B$200,{"Confirmed";"Probable"},'Data entry'!$AO$6:$AO$200,$J$10, 'Data entry'!$BD$6:$BD$200,"&lt;&gt;*Negative*"))</f>
        <v>0</v>
      </c>
      <c r="K31" s="13">
        <f>SUM(COUNTIFS('Data entry'!$R$6:$R$200,'Summary Data'!$A31,'Data entry'!$B$6:$B$200,{"Confirmed";"Probable"},'Data entry'!$AO$6:$AO$200,$K$10, 'Data entry'!$BD$6:$BD$200,"&lt;&gt;*Negative*"))</f>
        <v>0</v>
      </c>
      <c r="L31" s="13">
        <f>SUM(COUNTIFS('Data entry'!$R$6:$R$200,'Summary Data'!$A31,'Data entry'!$B$6:$B$200,{"Confirmed";"Probable"},'Data entry'!$AO$6:$AO$200,$L$10, 'Data entry'!$BD$6:$BD$200,"&lt;&gt;*Negative*"))</f>
        <v>0</v>
      </c>
      <c r="M31" s="13">
        <f>SUM(COUNTIFS('Data entry'!$R$6:$R$200,'Summary Data'!$A31,'Data entry'!$B$6:$B$200,{"Confirmed";"Probable"},'Data entry'!$AO$6:$AO$200,$M$10, 'Data entry'!$BD$6:$BD$200,"&lt;&gt;*Negative*"))</f>
        <v>0</v>
      </c>
      <c r="N31" s="13">
        <f>SUM(COUNTIFS('Data entry'!$R$6:$R$200,'Summary Data'!$A31,'Data entry'!$B$6:$B$200,{"Confirmed";"Probable"},'Data entry'!$AO$6:$AO$200,$N$10, 'Data entry'!$BD$6:$BD$200,"&lt;&gt;*Negative*"))</f>
        <v>0</v>
      </c>
      <c r="O31" s="15">
        <f t="shared" si="3"/>
        <v>0</v>
      </c>
      <c r="P31" s="15">
        <f t="shared" si="4"/>
        <v>0</v>
      </c>
      <c r="Q31" s="15">
        <f>SUM(COUNTIFS('Data entry'!$R$6:$R$200,'Summary Data'!$A31,'Data entry'!$B$6:$B$200,{"Confirmed";"Probable"},'Data entry'!$AP$6:$AP$200,'Data Validation'!$U$2, 'Data entry'!$BD$6:$BD$200,"&lt;&gt;*Negative*"))</f>
        <v>0</v>
      </c>
      <c r="R31" s="15">
        <f>SUM(COUNTIFS('Data entry'!$R$6:$R$200,'Summary Data'!$A31,'Data entry'!$B$6:$B$200,{"Confirmed";"Probable"},'Data entry'!$AP$6:$AP$200,'Data Validation'!$U$3, 'Data entry'!$BD$6:$BD$200,"&lt;&gt;*Negative*"))</f>
        <v>0</v>
      </c>
      <c r="S31" s="15">
        <f>SUM(COUNTIFS('Data entry'!$R$6:$R$200,'Summary Data'!$A31,'Data entry'!$B$6:$B$200,{"Confirmed";"Probable"},'Data entry'!$AP$6:$AP$200,'Data Validation'!$U$4, 'Data entry'!$BD$6:$BD$200,"&lt;&gt;*Negative*"))</f>
        <v>0</v>
      </c>
      <c r="T31" s="15">
        <f>SUM(COUNTIFS('Data entry'!$R$6:$R$200,'Summary Data'!$A31,'Data entry'!$B$6:$B$200,{"Confirmed";"Probable"},'Data entry'!$AP$6:$AP$200,'Data Validation'!$U$5, 'Data entry'!$BD$6:$BD$200,"&lt;&gt;*Negative*"))</f>
        <v>0</v>
      </c>
      <c r="U31" s="15">
        <f>SUM(COUNTIFS('Data entry'!$R$6:$R$200,'Summary Data'!$A31,'Data entry'!$B$6:$B$200,{"Confirmed";"Probable"},'Data entry'!$AP$6:$AP$200,'Data Validation'!$U$6, 'Data entry'!$BD$6:$BD$200,"&lt;&gt;*Negative*"))</f>
        <v>0</v>
      </c>
      <c r="V31" s="15">
        <f>SUM(COUNTIFS('Data entry'!$R$6:$R$200,'Summary Data'!$A31,'Data entry'!$B$6:$B$200,{"Confirmed";"Probable"},'Data entry'!$AQ$6:$AQ$200,'Data Validation'!$V$2, 'Data entry'!$BD$6:$BD$200,"&lt;&gt;*Negative*"))</f>
        <v>0</v>
      </c>
      <c r="W31" s="15">
        <f>SUM(COUNTIFS('Data entry'!$R$6:$R$200,'Summary Data'!$A31,'Data entry'!$B$6:$B$200,{"Confirmed";"Probable"},'Data entry'!$AQ$6:$AQ$200,'Data Validation'!$V$3, 'Data entry'!$BD$6:$BD$200,"&lt;&gt;*Negative*"))</f>
        <v>0</v>
      </c>
      <c r="X31" s="15">
        <f>SUM(COUNTIFS('Data entry'!$R$6:$R$200,'Summary Data'!$A31,'Data entry'!$B$6:$B$200,{"Confirmed";"Probable"},'Data entry'!$AQ$6:$AQ$200,'Data Validation'!$V$4, 'Data entry'!$BD$6:$BD$200,"&lt;&gt;*Negative*"))</f>
        <v>0</v>
      </c>
      <c r="Y31" s="15">
        <f>SUM(COUNTIFS('Data entry'!$R$6:$R$200,'Summary Data'!$A31,'Data entry'!$B$6:$B$200,{"Confirmed";"Probable"},'Data entry'!$AQ$6:$AQ$200,'Data Validation'!$V$5, 'Data entry'!$BD$6:$BD$200,"&lt;&gt;*Negative*"))</f>
        <v>0</v>
      </c>
      <c r="Z31" s="15">
        <f>SUM(COUNTIFS('Data entry'!$R$6:$R$200,'Summary Data'!$A31,'Data entry'!$B$6:$B$200,{"Confirmed";"Probable"},'Data entry'!$AQ$6:$AQ$200,'Data Validation'!$V$6, 'Data entry'!$BD$6:$BD$200,"&lt;&gt;*Negative*"))</f>
        <v>0</v>
      </c>
      <c r="AA31" s="15">
        <f>SUM(COUNTIFS('Data entry'!$R$6:$R$200,'Summary Data'!$A31,'Data entry'!$B$6:$B$200,{"Confirmed";"Probable"},'Data entry'!$AQ$6:$AQ$200,'Data Validation'!$V$7, 'Data entry'!$BD$6:$BD$200,"&lt;&gt;*Negative*"))</f>
        <v>0</v>
      </c>
      <c r="AB31" s="15">
        <f>SUM(COUNTIFS('Data entry'!$R$6:$R$200,'Summary Data'!$A31,'Data entry'!$B$6:$B$200,{"Confirmed";"Probable"},'Data entry'!$AQ$6:$AQ$200,'Data Validation'!$V$8, 'Data entry'!$BD$6:$BD$200,"&lt;&gt;*Negative*"))</f>
        <v>0</v>
      </c>
      <c r="AC31" s="15">
        <f>SUM(COUNTIFS('Data entry'!$R$6:$R$200,'Summary Data'!$A31,'Data entry'!$B$6:$B$200,{"Confirmed";"Probable"},'Data entry'!$AQ$6:$AQ$200,'Data Validation'!$V$9, 'Data entry'!$BD$6:$BD$200,"&lt;&gt;*Negative*"))</f>
        <v>0</v>
      </c>
      <c r="AD31" s="15">
        <f>SUM(COUNTIFS('Data entry'!$R$6:$R$200,'Summary Data'!$A31,'Data entry'!$B$6:$B$200,{"Confirmed";"Probable"},'Data entry'!$AQ$6:$AQ$200,'Data Validation'!$V$10, 'Data entry'!$BD$6:$BD$200,"&lt;&gt;*Negative*"))</f>
        <v>0</v>
      </c>
      <c r="AE31" s="15">
        <f>SUM(COUNTIFS('Data entry'!$R$6:$R$200,'Summary Data'!$A31,'Data entry'!$B$6:$B$200,{"Confirmed";"Probable"},'Data entry'!$AQ$6:$AQ$200,'Data Validation'!$V$11, 'Data entry'!$BD$6:$BD$200,"&lt;&gt;*Negative*"))</f>
        <v>0</v>
      </c>
      <c r="AF31" s="15">
        <f>SUM(COUNTIFS('Data entry'!$R$6:$R$200,'Summary Data'!$A31,'Data entry'!$B$6:$B$200,{"Confirmed";"Probable"},'Data entry'!$AQ$6:$AQ$200,'Data Validation'!$V$2, 'Data entry'!$AP$6:$AP$200,'Data Validation'!$U$2, 'Data entry'!$BD$6:$BD$200,"&lt;&gt;*Negative*"))</f>
        <v>0</v>
      </c>
      <c r="AG31" s="15">
        <f>SUM(COUNTIFS('Data entry'!$R$6:$R$200,'Summary Data'!$A31,'Data entry'!$B$6:$B$200,{"Confirmed";"Probable"},'Data entry'!$AQ$6:$AQ$200,'Data Validation'!$V$2, 'Data entry'!$AP$6:$AP$200,'Data Validation'!$U$3, 'Data entry'!$BD$6:$BD$200,"&lt;&gt;*Negative*"))</f>
        <v>0</v>
      </c>
      <c r="AH31" s="15">
        <f>SUM(COUNTIFS('Data entry'!$R$6:$R$200,'Summary Data'!$A31,'Data entry'!$B$6:$B$200,{"Confirmed";"Probable"},'Data entry'!$AQ$6:$AQ$200,'Data Validation'!$V$2, 'Data entry'!$AP$6:$AP$200,'Data Validation'!$U$4, 'Data entry'!$BD$6:$BD$200,"&lt;&gt;*Negative*"))</f>
        <v>0</v>
      </c>
      <c r="AI31" s="15">
        <f>SUM(COUNTIFS('Data entry'!$R$6:$R$200,'Summary Data'!$A31,'Data entry'!$B$6:$B$200,{"Confirmed";"Probable"},'Data entry'!$AQ$6:$AQ$200,'Data Validation'!$V$2, 'Data entry'!$AP$6:$AP$200,'Data Validation'!$U$5, 'Data entry'!$BD$6:$BD$200,"&lt;&gt;*Negative*"))</f>
        <v>0</v>
      </c>
      <c r="AJ31" s="15">
        <f>SUM(COUNTIFS('Data entry'!$R$6:$R$200,'Summary Data'!$A31,'Data entry'!$B$6:$B$200,{"Confirmed";"Probable"},'Data entry'!$AQ$6:$AQ$200,'Data Validation'!$V$2, 'Data entry'!$AP$6:$AP$200,'Data Validation'!$U$6, 'Data entry'!$BD$6:$BD$200,"&lt;&gt;*Negative*"))</f>
        <v>0</v>
      </c>
      <c r="AK31" s="15">
        <f>SUM(COUNTIFS('Data entry'!$R$6:$R$200,'Summary Data'!$A31,'Data entry'!$B$6:$B$200,{"Confirmed";"Probable"},'Data entry'!$AQ$6:$AQ$200,'Data Validation'!$V$3, 'Data entry'!$AP$6:$AP$200,'Data Validation'!$U$2, 'Data entry'!$BD$6:$BD$200,"&lt;&gt;*Negative*"))</f>
        <v>0</v>
      </c>
      <c r="AL31" s="15">
        <f>SUM(COUNTIFS('Data entry'!$R$6:$R$200,'Summary Data'!$A31,'Data entry'!$B$6:$B$200,{"Confirmed";"Probable"},'Data entry'!$AQ$6:$AQ$200,'Data Validation'!$V$3, 'Data entry'!$AP$6:$AP$200,'Data Validation'!$U$3, 'Data entry'!$BD$6:$BD$200,"&lt;&gt;*Negative*"))</f>
        <v>0</v>
      </c>
      <c r="AM31" s="15">
        <f>SUM(COUNTIFS('Data entry'!$R$6:$R$200,'Summary Data'!$A31,'Data entry'!$B$6:$B$200,{"Confirmed";"Probable"},'Data entry'!$AQ$6:$AQ$200,'Data Validation'!$V$3, 'Data entry'!$AP$6:$AP$200,'Data Validation'!$U$4, 'Data entry'!$BD$6:$BD$200,"&lt;&gt;*Negative*"))</f>
        <v>0</v>
      </c>
      <c r="AN31" s="15">
        <f>SUM(COUNTIFS('Data entry'!$R$6:$R$200,'Summary Data'!$A31,'Data entry'!$B$6:$B$200,{"Confirmed";"Probable"},'Data entry'!$AQ$6:$AQ$200,'Data Validation'!$V$3, 'Data entry'!$AP$6:$AP$200,'Data Validation'!$U$5, 'Data entry'!$BD$6:$BD$200,"&lt;&gt;*Negative*"))</f>
        <v>0</v>
      </c>
      <c r="AO31" s="15">
        <f>SUM(COUNTIFS('Data entry'!$R$6:$R$200,'Summary Data'!$A31,'Data entry'!$B$6:$B$200,{"Confirmed";"Probable"},'Data entry'!$AQ$6:$AQ$200,'Data Validation'!$V$3, 'Data entry'!$AP$6:$AP$200,'Data Validation'!$U$6, 'Data entry'!$BD$6:$BD$200,"&lt;&gt;*Negative*"))</f>
        <v>0</v>
      </c>
      <c r="AP31" s="15">
        <f>SUM(COUNTIFS('Data entry'!$R$6:$R$200,'Summary Data'!$A31,'Data entry'!$B$6:$B$200,{"Confirmed";"Probable"},'Data entry'!$AQ$6:$AQ$200,'Data Validation'!$V$4, 'Data entry'!$AP$6:$AP$200,'Data Validation'!$U$2, 'Data entry'!$BD$6:$BD$200,"&lt;&gt;*Negative*"))</f>
        <v>0</v>
      </c>
      <c r="AQ31" s="15">
        <f>SUM(COUNTIFS('Data entry'!$R$6:$R$200,'Summary Data'!$A31,'Data entry'!$B$6:$B$200,{"Confirmed";"Probable"},'Data entry'!$AQ$6:$AQ$200,'Data Validation'!$V$4, 'Data entry'!$AP$6:$AP$200,'Data Validation'!$U$3, 'Data entry'!$BD$6:$BD$200,"&lt;&gt;*Negative*"))</f>
        <v>0</v>
      </c>
      <c r="AR31" s="15">
        <f>SUM(COUNTIFS('Data entry'!$R$6:$R$200,'Summary Data'!$A31,'Data entry'!$B$6:$B$200,{"Confirmed";"Probable"},'Data entry'!$AQ$6:$AQ$200,'Data Validation'!$V$4, 'Data entry'!$AP$6:$AP$200,'Data Validation'!$U$4, 'Data entry'!$BD$6:$BD$200,"&lt;&gt;*Negative*"))</f>
        <v>0</v>
      </c>
      <c r="AS31" s="15">
        <f>SUM(COUNTIFS('Data entry'!$R$6:$R$200,'Summary Data'!$A31,'Data entry'!$B$6:$B$200,{"Confirmed";"Probable"},'Data entry'!$AQ$6:$AQ$200,'Data Validation'!$V$4, 'Data entry'!$AP$6:$AP$200,'Data Validation'!$U$5, 'Data entry'!$BD$6:$BD$200,"&lt;&gt;*Negative*"))</f>
        <v>0</v>
      </c>
      <c r="AT31" s="15">
        <f>SUM(COUNTIFS('Data entry'!$R$6:$R$200,'Summary Data'!$A31,'Data entry'!$B$6:$B$200,{"Confirmed";"Probable"},'Data entry'!$AQ$6:$AQ$200,'Data Validation'!$V$4, 'Data entry'!$AP$6:$AP$200,'Data Validation'!$U$6, 'Data entry'!$BD$6:$BD$200,"&lt;&gt;*Negative*"))</f>
        <v>0</v>
      </c>
      <c r="AU31" s="15">
        <f>SUM(COUNTIFS('Data entry'!$R$6:$R$200,'Summary Data'!$A31,'Data entry'!$B$6:$B$200,{"Confirmed";"Probable"},'Data entry'!$AQ$6:$AQ$200,'Data Validation'!$V$5, 'Data entry'!$AP$6:$AP$200,'Data Validation'!$U$2, 'Data entry'!$BD$6:$BD$200,"&lt;&gt;*Negative*"))</f>
        <v>0</v>
      </c>
      <c r="AV31" s="15">
        <f>SUM(COUNTIFS('Data entry'!$R$6:$R$200,'Summary Data'!$A31,'Data entry'!$B$6:$B$200,{"Confirmed";"Probable"},'Data entry'!$AQ$6:$AQ$200,'Data Validation'!$V$5, 'Data entry'!$AP$6:$AP$200,'Data Validation'!$U$3, 'Data entry'!$BD$6:$BD$200,"&lt;&gt;*Negative*"))</f>
        <v>0</v>
      </c>
      <c r="AW31" s="15">
        <f>SUM(COUNTIFS('Data entry'!$R$6:$R$200,'Summary Data'!$A31,'Data entry'!$B$6:$B$200,{"Confirmed";"Probable"},'Data entry'!$AQ$6:$AQ$200,'Data Validation'!$V$5, 'Data entry'!$AP$6:$AP$200,'Data Validation'!$U$4, 'Data entry'!$BD$6:$BD$200,"&lt;&gt;*Negative*"))</f>
        <v>0</v>
      </c>
      <c r="AX31" s="15">
        <f>SUM(COUNTIFS('Data entry'!$R$6:$R$200,'Summary Data'!$A31,'Data entry'!$B$6:$B$200,{"Confirmed";"Probable"},'Data entry'!$AQ$6:$AQ$200,'Data Validation'!$V$5, 'Data entry'!$AP$6:$AP$200,'Data Validation'!$U$5, 'Data entry'!$BD$6:$BD$200,"&lt;&gt;*Negative*"))</f>
        <v>0</v>
      </c>
      <c r="AY31" s="15">
        <f>SUM(COUNTIFS('Data entry'!$R$6:$R$200,'Summary Data'!$A31,'Data entry'!$B$6:$B$200,{"Confirmed";"Probable"},'Data entry'!$AQ$6:$AQ$200,'Data Validation'!$V$5, 'Data entry'!$AP$6:$AP$200,'Data Validation'!$U$6, 'Data entry'!$BD$6:$BD$200,"&lt;&gt;*Negative*"))</f>
        <v>0</v>
      </c>
      <c r="AZ31" s="15">
        <f>SUM(COUNTIFS('Data entry'!$R$6:$R$200,'Summary Data'!$A31,'Data entry'!$B$6:$B$200,{"Confirmed";"Probable"},'Data entry'!$AQ$6:$AQ$200,'Data Validation'!$V$6, 'Data entry'!$AP$6:$AP$200,'Data Validation'!$U$2, 'Data entry'!$BD$6:$BD$200,"&lt;&gt;*Negative*"))</f>
        <v>0</v>
      </c>
      <c r="BA31" s="15">
        <f>SUM(COUNTIFS('Data entry'!$R$6:$R$200,'Summary Data'!$A31,'Data entry'!$B$6:$B$200,{"Confirmed";"Probable"},'Data entry'!$AQ$6:$AQ$200,'Data Validation'!$V$6, 'Data entry'!$AP$6:$AP$200,'Data Validation'!$U$3, 'Data entry'!$BD$6:$BD$200,"&lt;&gt;*Negative*"))</f>
        <v>0</v>
      </c>
      <c r="BB31" s="15">
        <f>SUM(COUNTIFS('Data entry'!$R$6:$R$200,'Summary Data'!$A31,'Data entry'!$B$6:$B$200,{"Confirmed";"Probable"},'Data entry'!$AQ$6:$AQ$200,'Data Validation'!$V$6, 'Data entry'!$AP$6:$AP$200,'Data Validation'!$U$4, 'Data entry'!$BD$6:$BD$200,"&lt;&gt;*Negative*"))</f>
        <v>0</v>
      </c>
      <c r="BC31" s="15">
        <f>SUM(COUNTIFS('Data entry'!$R$6:$R$200,'Summary Data'!$A31,'Data entry'!$B$6:$B$200,{"Confirmed";"Probable"},'Data entry'!$AQ$6:$AQ$200,'Data Validation'!$V$6, 'Data entry'!$AP$6:$AP$200,'Data Validation'!$U$5, 'Data entry'!$BD$6:$BD$200,"&lt;&gt;*Negative*"))</f>
        <v>0</v>
      </c>
      <c r="BD31" s="15">
        <f>SUM(COUNTIFS('Data entry'!$R$6:$R$200,'Summary Data'!$A31,'Data entry'!$B$6:$B$200,{"Confirmed";"Probable"},'Data entry'!$AQ$6:$AQ$200,'Data Validation'!$V$6, 'Data entry'!$AP$6:$AP$200,'Data Validation'!$U$6, 'Data entry'!$BD$6:$BD$200,"&lt;&gt;*Negative*"))</f>
        <v>0</v>
      </c>
      <c r="BE31" s="15">
        <f>SUM(COUNTIFS('Data entry'!$R$6:$R$200,'Summary Data'!$A31,'Data entry'!$B$6:$B$200,{"Confirmed";"Probable"},'Data entry'!$AQ$6:$AQ$200,'Data Validation'!$V$7, 'Data entry'!$AP$6:$AP$200,'Data Validation'!$U$2, 'Data entry'!$BD$6:$BD$200,"&lt;&gt;*Negative*"))</f>
        <v>0</v>
      </c>
      <c r="BF31" s="15">
        <f>SUM(COUNTIFS('Data entry'!$R$6:$R$200,'Summary Data'!$A31,'Data entry'!$B$6:$B$200,{"Confirmed";"Probable"},'Data entry'!$AQ$6:$AQ$200,'Data Validation'!$V$7, 'Data entry'!$AP$6:$AP$200,'Data Validation'!$U$3, 'Data entry'!$BD$6:$BD$200,"&lt;&gt;*Negative*"))</f>
        <v>0</v>
      </c>
      <c r="BG31" s="15">
        <f>SUM(COUNTIFS('Data entry'!$R$6:$R$200,'Summary Data'!$A31,'Data entry'!$B$6:$B$200,{"Confirmed";"Probable"},'Data entry'!$AQ$6:$AQ$200,'Data Validation'!$V$7, 'Data entry'!$AP$6:$AP$200,'Data Validation'!$U$4, 'Data entry'!$BD$6:$BD$200,"&lt;&gt;*Negative*"))</f>
        <v>0</v>
      </c>
      <c r="BH31" s="15">
        <f>SUM(COUNTIFS('Data entry'!$R$6:$R$200,'Summary Data'!$A31,'Data entry'!$B$6:$B$200,{"Confirmed";"Probable"},'Data entry'!$AQ$6:$AQ$200,'Data Validation'!$V$7, 'Data entry'!$AP$6:$AP$200,'Data Validation'!$U$5, 'Data entry'!$BD$6:$BD$200,"&lt;&gt;*Negative*"))</f>
        <v>0</v>
      </c>
      <c r="BI31" s="15">
        <f>SUM(COUNTIFS('Data entry'!$R$6:$R$200,'Summary Data'!$A31,'Data entry'!$B$6:$B$200,{"Confirmed";"Probable"},'Data entry'!$AQ$6:$AQ$200,'Data Validation'!$V$7, 'Data entry'!$AP$6:$AP$200,'Data Validation'!$U$6, 'Data entry'!$BD$6:$BD$200,"&lt;&gt;*Negative*"))</f>
        <v>0</v>
      </c>
      <c r="BJ31" s="15">
        <f>SUM(COUNTIFS('Data entry'!$R$6:$R$200,'Summary Data'!$A31,'Data entry'!$B$6:$B$200,{"Confirmed";"Probable"},'Data entry'!$AQ$6:$AQ$200,'Data Validation'!$V$8, 'Data entry'!$AP$6:$AP$200,'Data Validation'!$U$2, 'Data entry'!$BD$6:$BD$200,"&lt;&gt;*Negative*"))</f>
        <v>0</v>
      </c>
      <c r="BK31" s="15">
        <f>SUM(COUNTIFS('Data entry'!$R$6:$R$200,'Summary Data'!$A31,'Data entry'!$B$6:$B$200,{"Confirmed";"Probable"},'Data entry'!$AQ$6:$AQ$200,'Data Validation'!$V$8, 'Data entry'!$AP$6:$AP$200,'Data Validation'!$U$3, 'Data entry'!$BD$6:$BD$200,"&lt;&gt;*Negative*"))</f>
        <v>0</v>
      </c>
      <c r="BL31" s="15">
        <f>SUM(COUNTIFS('Data entry'!$R$6:$R$200,'Summary Data'!$A31,'Data entry'!$B$6:$B$200,{"Confirmed";"Probable"},'Data entry'!$AQ$6:$AQ$200,'Data Validation'!$V$8, 'Data entry'!$AP$6:$AP$200,'Data Validation'!$U$4, 'Data entry'!$BD$6:$BD$200,"&lt;&gt;*Negative*"))</f>
        <v>0</v>
      </c>
      <c r="BM31" s="15">
        <f>SUM(COUNTIFS('Data entry'!$R$6:$R$200,'Summary Data'!$A31,'Data entry'!$B$6:$B$200,{"Confirmed";"Probable"},'Data entry'!$AQ$6:$AQ$200,'Data Validation'!$V$8, 'Data entry'!$AP$6:$AP$200,'Data Validation'!$U$5, 'Data entry'!$BD$6:$BD$200,"&lt;&gt;*Negative*"))</f>
        <v>0</v>
      </c>
      <c r="BN31" s="15">
        <f>SUM(COUNTIFS('Data entry'!$R$6:$R$200,'Summary Data'!$A31,'Data entry'!$B$6:$B$200,{"Confirmed";"Probable"},'Data entry'!$AQ$6:$AQ$200,'Data Validation'!$V$8, 'Data entry'!$AP$6:$AP$200,'Data Validation'!$U$6, 'Data entry'!$BD$6:$BD$200,"&lt;&gt;*Negative*"))</f>
        <v>0</v>
      </c>
      <c r="BO31" s="15">
        <f>SUM(COUNTIFS('Data entry'!$R$6:$R$200,'Summary Data'!$A31,'Data entry'!$B$6:$B$200,{"Confirmed";"Probable"},'Data entry'!$AQ$6:$AQ$200,'Data Validation'!$V$9, 'Data entry'!$AP$6:$AP$200,'Data Validation'!$U$2, 'Data entry'!$BD$6:$BD$200,"&lt;&gt;*Negative*"))</f>
        <v>0</v>
      </c>
      <c r="BP31" s="15">
        <f>SUM(COUNTIFS('Data entry'!$R$6:$R$200,'Summary Data'!$A31,'Data entry'!$B$6:$B$200,{"Confirmed";"Probable"},'Data entry'!$AQ$6:$AQ$200,'Data Validation'!$V$9, 'Data entry'!$AP$6:$AP$200,'Data Validation'!$U$3, 'Data entry'!$BD$6:$BD$200,"&lt;&gt;*Negative*"))</f>
        <v>0</v>
      </c>
      <c r="BQ31" s="15">
        <f>SUM(COUNTIFS('Data entry'!$R$6:$R$200,'Summary Data'!$A31,'Data entry'!$B$6:$B$200,{"Confirmed";"Probable"},'Data entry'!$AQ$6:$AQ$200,'Data Validation'!$V$9, 'Data entry'!$AP$6:$AP$200,'Data Validation'!$U$4, 'Data entry'!$BD$6:$BD$200,"&lt;&gt;*Negative*"))</f>
        <v>0</v>
      </c>
      <c r="BR31" s="15">
        <f>SUM(COUNTIFS('Data entry'!$R$6:$R$200,'Summary Data'!$A31,'Data entry'!$B$6:$B$200,{"Confirmed";"Probable"},'Data entry'!$AQ$6:$AQ$200,'Data Validation'!$V$9, 'Data entry'!$AP$6:$AP$200,'Data Validation'!$U$5, 'Data entry'!$BD$6:$BD$200,"&lt;&gt;*Negative*"))</f>
        <v>0</v>
      </c>
      <c r="BS31" s="15">
        <f>SUM(COUNTIFS('Data entry'!$R$6:$R$200,'Summary Data'!$A31,'Data entry'!$B$6:$B$200,{"Confirmed";"Probable"},'Data entry'!$AQ$6:$AQ$200,'Data Validation'!$V$9, 'Data entry'!$AP$6:$AP$200,'Data Validation'!$U$6, 'Data entry'!$BD$6:$BD$200,"&lt;&gt;*Negative*"))</f>
        <v>0</v>
      </c>
      <c r="BT31" s="15">
        <f>SUM(COUNTIFS('Data entry'!$R$6:$R$200,'Summary Data'!$A31,'Data entry'!$B$6:$B$200,{"Confirmed";"Probable"},'Data entry'!$AQ$6:$AQ$200,'Data Validation'!$V$10, 'Data entry'!$AP$6:$AP$200,'Data Validation'!$U$2, 'Data entry'!$BD$6:$BD$200,"&lt;&gt;*Negative*"))</f>
        <v>0</v>
      </c>
      <c r="BU31" s="15">
        <f>SUM(COUNTIFS('Data entry'!$R$6:$R$200,'Summary Data'!$A31,'Data entry'!$B$6:$B$200,{"Confirmed";"Probable"},'Data entry'!$AQ$6:$AQ$200,'Data Validation'!$V$10, 'Data entry'!$AP$6:$AP$200,'Data Validation'!$U$3, 'Data entry'!$BD$6:$BD$200,"&lt;&gt;*Negative*"))</f>
        <v>0</v>
      </c>
      <c r="BV31" s="15">
        <f>SUM(COUNTIFS('Data entry'!$R$6:$R$200,'Summary Data'!$A31,'Data entry'!$B$6:$B$200,{"Confirmed";"Probable"},'Data entry'!$AQ$6:$AQ$200,'Data Validation'!$V$10, 'Data entry'!$AP$6:$AP$200,'Data Validation'!$U$4, 'Data entry'!$BD$6:$BD$200,"&lt;&gt;*Negative*"))</f>
        <v>0</v>
      </c>
      <c r="BW31" s="15">
        <f>SUM(COUNTIFS('Data entry'!$R$6:$R$200,'Summary Data'!$A31,'Data entry'!$B$6:$B$200,{"Confirmed";"Probable"},'Data entry'!$AQ$6:$AQ$200,'Data Validation'!$V$10, 'Data entry'!$AP$6:$AP$200,'Data Validation'!$U$5, 'Data entry'!$BD$6:$BD$200,"&lt;&gt;*Negative*"))</f>
        <v>0</v>
      </c>
      <c r="BX31" s="15">
        <f>SUM(COUNTIFS('Data entry'!$R$6:$R$200,'Summary Data'!$A31,'Data entry'!$B$6:$B$200,{"Confirmed";"Probable"},'Data entry'!$AQ$6:$AQ$200,'Data Validation'!$V$10, 'Data entry'!$AP$6:$AP$200,'Data Validation'!$U$6, 'Data entry'!$BD$6:$BD$200,"&lt;&gt;*Negative*"))</f>
        <v>0</v>
      </c>
      <c r="BY31" s="15">
        <f>SUM(COUNTIFS('Data entry'!$R$6:$R$200,'Summary Data'!$A31,'Data entry'!$B$6:$B$200,{"Confirmed";"Probable"},'Data entry'!$AQ$6:$AQ$200,'Data Validation'!$V$11, 'Data entry'!$AP$6:$AP$200,'Data Validation'!$U$2, 'Data entry'!$BD$6:$BD$200,"&lt;&gt;*Negative*"))</f>
        <v>0</v>
      </c>
      <c r="BZ31" s="15">
        <f>SUM(COUNTIFS('Data entry'!$R$6:$R$200,'Summary Data'!$A31,'Data entry'!$B$6:$B$200,{"Confirmed";"Probable"},'Data entry'!$AQ$6:$AQ$200,'Data Validation'!$V$11, 'Data entry'!$AP$6:$AP$200,'Data Validation'!$U$3, 'Data entry'!$BD$6:$BD$200,"&lt;&gt;*Negative*"))</f>
        <v>0</v>
      </c>
      <c r="CA31" s="15">
        <f>SUM(COUNTIFS('Data entry'!$R$6:$R$200,'Summary Data'!$A31,'Data entry'!$B$6:$B$200,{"Confirmed";"Probable"},'Data entry'!$AQ$6:$AQ$200,'Data Validation'!$V$11, 'Data entry'!$AP$6:$AP$200,'Data Validation'!$U$4, 'Data entry'!$BD$6:$BD$200,"&lt;&gt;*Negative*"))</f>
        <v>0</v>
      </c>
      <c r="CB31" s="15">
        <f>SUM(COUNTIFS('Data entry'!$R$6:$R$200,'Summary Data'!$A31,'Data entry'!$B$6:$B$200,{"Confirmed";"Probable"},'Data entry'!$AQ$6:$AQ$200,'Data Validation'!$V$11, 'Data entry'!$AP$6:$AP$200,'Data Validation'!$U$5, 'Data entry'!$BD$6:$BD$200,"&lt;&gt;*Negative*"))</f>
        <v>0</v>
      </c>
      <c r="CC31" s="15">
        <f>SUM(COUNTIFS('Data entry'!$R$6:$R$200,'Summary Data'!$A31,'Data entry'!$B$6:$B$200,{"Confirmed";"Probable"},'Data entry'!$AQ$6:$AQ$200,'Data Validation'!$V$11, 'Data entry'!$AP$6:$AP$200,'Data Validation'!$U$6, 'Data entry'!$BD$6:$BD$200,"&lt;&gt;*Negative*"))</f>
        <v>0</v>
      </c>
    </row>
    <row r="32" spans="1:81" x14ac:dyDescent="0.25">
      <c r="A32" s="12">
        <f t="shared" si="5"/>
        <v>20</v>
      </c>
      <c r="B32" s="13">
        <f t="shared" si="2"/>
        <v>0</v>
      </c>
      <c r="C32" s="13">
        <f>COUNTIFS('Data entry'!$R$6:$R$200,$A32,'Data entry'!$B$6:$B$200,"Confirmed",'Data entry'!$BD$6:$BD$200,"&lt;&gt;*Negative*")</f>
        <v>0</v>
      </c>
      <c r="D32" s="13">
        <f>COUNTIFS('Data entry'!$R$6:$R$200,$A32,'Data entry'!$B$6:$B$200,"Probable",'Data entry'!$BD$6:$BD$200,"&lt;&gt;*Negative*")</f>
        <v>0</v>
      </c>
      <c r="E32" s="13">
        <f>COUNTIFS('Data entry'!$R$6:$R$200,$A32,'Data entry'!$B$6:$B$200,"DNM")</f>
        <v>0</v>
      </c>
      <c r="F32" s="13">
        <f>SUM(COUNTIFS('Data entry'!$R$6:$R$200,'Summary Data'!$A32,'Data entry'!$B$6:$B$200,{"Confirmed";"Probable"},'Data entry'!$AO$6:$AO$200,$F$10, 'Data entry'!$BD$6:$BD$200,"&lt;&gt;*Negative*"))</f>
        <v>0</v>
      </c>
      <c r="G32" s="13">
        <f>SUM(COUNTIFS('Data entry'!$R$6:$R$200,'Summary Data'!$A32,'Data entry'!$B$6:$B$200,{"Confirmed";"Probable"},'Data entry'!$AO$6:$AO$200,$G$10, 'Data entry'!$BD$6:$BD$200,"&lt;&gt;*Negative*"))</f>
        <v>0</v>
      </c>
      <c r="H32" s="13">
        <f>SUM(COUNTIFS('Data entry'!$R$6:$R$200,'Summary Data'!$A32,'Data entry'!$B$6:$B$200,{"Confirmed";"Probable"},'Data entry'!$AO$6:$AO$200,$H$10, 'Data entry'!$BD$6:$BD$200,"&lt;&gt;*Negative*"))</f>
        <v>0</v>
      </c>
      <c r="I32" s="13">
        <f>SUM(COUNTIFS('Data entry'!$R$6:$R$200,'Summary Data'!$A32,'Data entry'!$B$6:$B$200,{"Confirmed";"Probable"},'Data entry'!$AO$6:$AO$200,$I$10, 'Data entry'!$BD$6:$BD$200,"&lt;&gt;*Negative*"))</f>
        <v>0</v>
      </c>
      <c r="J32" s="13">
        <f>SUM(COUNTIFS('Data entry'!$R$6:$R$200,'Summary Data'!$A32,'Data entry'!$B$6:$B$200,{"Confirmed";"Probable"},'Data entry'!$AO$6:$AO$200,$J$10, 'Data entry'!$BD$6:$BD$200,"&lt;&gt;*Negative*"))</f>
        <v>0</v>
      </c>
      <c r="K32" s="13">
        <f>SUM(COUNTIFS('Data entry'!$R$6:$R$200,'Summary Data'!$A32,'Data entry'!$B$6:$B$200,{"Confirmed";"Probable"},'Data entry'!$AO$6:$AO$200,$K$10, 'Data entry'!$BD$6:$BD$200,"&lt;&gt;*Negative*"))</f>
        <v>0</v>
      </c>
      <c r="L32" s="13">
        <f>SUM(COUNTIFS('Data entry'!$R$6:$R$200,'Summary Data'!$A32,'Data entry'!$B$6:$B$200,{"Confirmed";"Probable"},'Data entry'!$AO$6:$AO$200,$L$10, 'Data entry'!$BD$6:$BD$200,"&lt;&gt;*Negative*"))</f>
        <v>0</v>
      </c>
      <c r="M32" s="13">
        <f>SUM(COUNTIFS('Data entry'!$R$6:$R$200,'Summary Data'!$A32,'Data entry'!$B$6:$B$200,{"Confirmed";"Probable"},'Data entry'!$AO$6:$AO$200,$M$10, 'Data entry'!$BD$6:$BD$200,"&lt;&gt;*Negative*"))</f>
        <v>0</v>
      </c>
      <c r="N32" s="13">
        <f>SUM(COUNTIFS('Data entry'!$R$6:$R$200,'Summary Data'!$A32,'Data entry'!$B$6:$B$200,{"Confirmed";"Probable"},'Data entry'!$AO$6:$AO$200,$N$10, 'Data entry'!$BD$6:$BD$200,"&lt;&gt;*Negative*"))</f>
        <v>0</v>
      </c>
      <c r="O32" s="15">
        <f t="shared" si="3"/>
        <v>0</v>
      </c>
      <c r="P32" s="15">
        <f t="shared" si="4"/>
        <v>0</v>
      </c>
      <c r="Q32" s="15">
        <f>SUM(COUNTIFS('Data entry'!$R$6:$R$200,'Summary Data'!$A32,'Data entry'!$B$6:$B$200,{"Confirmed";"Probable"},'Data entry'!$AP$6:$AP$200,'Data Validation'!$U$2, 'Data entry'!$BD$6:$BD$200,"&lt;&gt;*Negative*"))</f>
        <v>0</v>
      </c>
      <c r="R32" s="15">
        <f>SUM(COUNTIFS('Data entry'!$R$6:$R$200,'Summary Data'!$A32,'Data entry'!$B$6:$B$200,{"Confirmed";"Probable"},'Data entry'!$AP$6:$AP$200,'Data Validation'!$U$3, 'Data entry'!$BD$6:$BD$200,"&lt;&gt;*Negative*"))</f>
        <v>0</v>
      </c>
      <c r="S32" s="15">
        <f>SUM(COUNTIFS('Data entry'!$R$6:$R$200,'Summary Data'!$A32,'Data entry'!$B$6:$B$200,{"Confirmed";"Probable"},'Data entry'!$AP$6:$AP$200,'Data Validation'!$U$4, 'Data entry'!$BD$6:$BD$200,"&lt;&gt;*Negative*"))</f>
        <v>0</v>
      </c>
      <c r="T32" s="15">
        <f>SUM(COUNTIFS('Data entry'!$R$6:$R$200,'Summary Data'!$A32,'Data entry'!$B$6:$B$200,{"Confirmed";"Probable"},'Data entry'!$AP$6:$AP$200,'Data Validation'!$U$5, 'Data entry'!$BD$6:$BD$200,"&lt;&gt;*Negative*"))</f>
        <v>0</v>
      </c>
      <c r="U32" s="15">
        <f>SUM(COUNTIFS('Data entry'!$R$6:$R$200,'Summary Data'!$A32,'Data entry'!$B$6:$B$200,{"Confirmed";"Probable"},'Data entry'!$AP$6:$AP$200,'Data Validation'!$U$6, 'Data entry'!$BD$6:$BD$200,"&lt;&gt;*Negative*"))</f>
        <v>0</v>
      </c>
      <c r="V32" s="15">
        <f>SUM(COUNTIFS('Data entry'!$R$6:$R$200,'Summary Data'!$A32,'Data entry'!$B$6:$B$200,{"Confirmed";"Probable"},'Data entry'!$AQ$6:$AQ$200,'Data Validation'!$V$2, 'Data entry'!$BD$6:$BD$200,"&lt;&gt;*Negative*"))</f>
        <v>0</v>
      </c>
      <c r="W32" s="15">
        <f>SUM(COUNTIFS('Data entry'!$R$6:$R$200,'Summary Data'!$A32,'Data entry'!$B$6:$B$200,{"Confirmed";"Probable"},'Data entry'!$AQ$6:$AQ$200,'Data Validation'!$V$3, 'Data entry'!$BD$6:$BD$200,"&lt;&gt;*Negative*"))</f>
        <v>0</v>
      </c>
      <c r="X32" s="15">
        <f>SUM(COUNTIFS('Data entry'!$R$6:$R$200,'Summary Data'!$A32,'Data entry'!$B$6:$B$200,{"Confirmed";"Probable"},'Data entry'!$AQ$6:$AQ$200,'Data Validation'!$V$4, 'Data entry'!$BD$6:$BD$200,"&lt;&gt;*Negative*"))</f>
        <v>0</v>
      </c>
      <c r="Y32" s="15">
        <f>SUM(COUNTIFS('Data entry'!$R$6:$R$200,'Summary Data'!$A32,'Data entry'!$B$6:$B$200,{"Confirmed";"Probable"},'Data entry'!$AQ$6:$AQ$200,'Data Validation'!$V$5, 'Data entry'!$BD$6:$BD$200,"&lt;&gt;*Negative*"))</f>
        <v>0</v>
      </c>
      <c r="Z32" s="15">
        <f>SUM(COUNTIFS('Data entry'!$R$6:$R$200,'Summary Data'!$A32,'Data entry'!$B$6:$B$200,{"Confirmed";"Probable"},'Data entry'!$AQ$6:$AQ$200,'Data Validation'!$V$6, 'Data entry'!$BD$6:$BD$200,"&lt;&gt;*Negative*"))</f>
        <v>0</v>
      </c>
      <c r="AA32" s="15">
        <f>SUM(COUNTIFS('Data entry'!$R$6:$R$200,'Summary Data'!$A32,'Data entry'!$B$6:$B$200,{"Confirmed";"Probable"},'Data entry'!$AQ$6:$AQ$200,'Data Validation'!$V$7, 'Data entry'!$BD$6:$BD$200,"&lt;&gt;*Negative*"))</f>
        <v>0</v>
      </c>
      <c r="AB32" s="15">
        <f>SUM(COUNTIFS('Data entry'!$R$6:$R$200,'Summary Data'!$A32,'Data entry'!$B$6:$B$200,{"Confirmed";"Probable"},'Data entry'!$AQ$6:$AQ$200,'Data Validation'!$V$8, 'Data entry'!$BD$6:$BD$200,"&lt;&gt;*Negative*"))</f>
        <v>0</v>
      </c>
      <c r="AC32" s="15">
        <f>SUM(COUNTIFS('Data entry'!$R$6:$R$200,'Summary Data'!$A32,'Data entry'!$B$6:$B$200,{"Confirmed";"Probable"},'Data entry'!$AQ$6:$AQ$200,'Data Validation'!$V$9, 'Data entry'!$BD$6:$BD$200,"&lt;&gt;*Negative*"))</f>
        <v>0</v>
      </c>
      <c r="AD32" s="15">
        <f>SUM(COUNTIFS('Data entry'!$R$6:$R$200,'Summary Data'!$A32,'Data entry'!$B$6:$B$200,{"Confirmed";"Probable"},'Data entry'!$AQ$6:$AQ$200,'Data Validation'!$V$10, 'Data entry'!$BD$6:$BD$200,"&lt;&gt;*Negative*"))</f>
        <v>0</v>
      </c>
      <c r="AE32" s="15">
        <f>SUM(COUNTIFS('Data entry'!$R$6:$R$200,'Summary Data'!$A32,'Data entry'!$B$6:$B$200,{"Confirmed";"Probable"},'Data entry'!$AQ$6:$AQ$200,'Data Validation'!$V$11, 'Data entry'!$BD$6:$BD$200,"&lt;&gt;*Negative*"))</f>
        <v>0</v>
      </c>
      <c r="AF32" s="15">
        <f>SUM(COUNTIFS('Data entry'!$R$6:$R$200,'Summary Data'!$A32,'Data entry'!$B$6:$B$200,{"Confirmed";"Probable"},'Data entry'!$AQ$6:$AQ$200,'Data Validation'!$V$2, 'Data entry'!$AP$6:$AP$200,'Data Validation'!$U$2, 'Data entry'!$BD$6:$BD$200,"&lt;&gt;*Negative*"))</f>
        <v>0</v>
      </c>
      <c r="AG32" s="15">
        <f>SUM(COUNTIFS('Data entry'!$R$6:$R$200,'Summary Data'!$A32,'Data entry'!$B$6:$B$200,{"Confirmed";"Probable"},'Data entry'!$AQ$6:$AQ$200,'Data Validation'!$V$2, 'Data entry'!$AP$6:$AP$200,'Data Validation'!$U$3, 'Data entry'!$BD$6:$BD$200,"&lt;&gt;*Negative*"))</f>
        <v>0</v>
      </c>
      <c r="AH32" s="15">
        <f>SUM(COUNTIFS('Data entry'!$R$6:$R$200,'Summary Data'!$A32,'Data entry'!$B$6:$B$200,{"Confirmed";"Probable"},'Data entry'!$AQ$6:$AQ$200,'Data Validation'!$V$2, 'Data entry'!$AP$6:$AP$200,'Data Validation'!$U$4, 'Data entry'!$BD$6:$BD$200,"&lt;&gt;*Negative*"))</f>
        <v>0</v>
      </c>
      <c r="AI32" s="15">
        <f>SUM(COUNTIFS('Data entry'!$R$6:$R$200,'Summary Data'!$A32,'Data entry'!$B$6:$B$200,{"Confirmed";"Probable"},'Data entry'!$AQ$6:$AQ$200,'Data Validation'!$V$2, 'Data entry'!$AP$6:$AP$200,'Data Validation'!$U$5, 'Data entry'!$BD$6:$BD$200,"&lt;&gt;*Negative*"))</f>
        <v>0</v>
      </c>
      <c r="AJ32" s="15">
        <f>SUM(COUNTIFS('Data entry'!$R$6:$R$200,'Summary Data'!$A32,'Data entry'!$B$6:$B$200,{"Confirmed";"Probable"},'Data entry'!$AQ$6:$AQ$200,'Data Validation'!$V$2, 'Data entry'!$AP$6:$AP$200,'Data Validation'!$U$6, 'Data entry'!$BD$6:$BD$200,"&lt;&gt;*Negative*"))</f>
        <v>0</v>
      </c>
      <c r="AK32" s="15">
        <f>SUM(COUNTIFS('Data entry'!$R$6:$R$200,'Summary Data'!$A32,'Data entry'!$B$6:$B$200,{"Confirmed";"Probable"},'Data entry'!$AQ$6:$AQ$200,'Data Validation'!$V$3, 'Data entry'!$AP$6:$AP$200,'Data Validation'!$U$2, 'Data entry'!$BD$6:$BD$200,"&lt;&gt;*Negative*"))</f>
        <v>0</v>
      </c>
      <c r="AL32" s="15">
        <f>SUM(COUNTIFS('Data entry'!$R$6:$R$200,'Summary Data'!$A32,'Data entry'!$B$6:$B$200,{"Confirmed";"Probable"},'Data entry'!$AQ$6:$AQ$200,'Data Validation'!$V$3, 'Data entry'!$AP$6:$AP$200,'Data Validation'!$U$3, 'Data entry'!$BD$6:$BD$200,"&lt;&gt;*Negative*"))</f>
        <v>0</v>
      </c>
      <c r="AM32" s="15">
        <f>SUM(COUNTIFS('Data entry'!$R$6:$R$200,'Summary Data'!$A32,'Data entry'!$B$6:$B$200,{"Confirmed";"Probable"},'Data entry'!$AQ$6:$AQ$200,'Data Validation'!$V$3, 'Data entry'!$AP$6:$AP$200,'Data Validation'!$U$4, 'Data entry'!$BD$6:$BD$200,"&lt;&gt;*Negative*"))</f>
        <v>0</v>
      </c>
      <c r="AN32" s="15">
        <f>SUM(COUNTIFS('Data entry'!$R$6:$R$200,'Summary Data'!$A32,'Data entry'!$B$6:$B$200,{"Confirmed";"Probable"},'Data entry'!$AQ$6:$AQ$200,'Data Validation'!$V$3, 'Data entry'!$AP$6:$AP$200,'Data Validation'!$U$5, 'Data entry'!$BD$6:$BD$200,"&lt;&gt;*Negative*"))</f>
        <v>0</v>
      </c>
      <c r="AO32" s="15">
        <f>SUM(COUNTIFS('Data entry'!$R$6:$R$200,'Summary Data'!$A32,'Data entry'!$B$6:$B$200,{"Confirmed";"Probable"},'Data entry'!$AQ$6:$AQ$200,'Data Validation'!$V$3, 'Data entry'!$AP$6:$AP$200,'Data Validation'!$U$6, 'Data entry'!$BD$6:$BD$200,"&lt;&gt;*Negative*"))</f>
        <v>0</v>
      </c>
      <c r="AP32" s="15">
        <f>SUM(COUNTIFS('Data entry'!$R$6:$R$200,'Summary Data'!$A32,'Data entry'!$B$6:$B$200,{"Confirmed";"Probable"},'Data entry'!$AQ$6:$AQ$200,'Data Validation'!$V$4, 'Data entry'!$AP$6:$AP$200,'Data Validation'!$U$2, 'Data entry'!$BD$6:$BD$200,"&lt;&gt;*Negative*"))</f>
        <v>0</v>
      </c>
      <c r="AQ32" s="15">
        <f>SUM(COUNTIFS('Data entry'!$R$6:$R$200,'Summary Data'!$A32,'Data entry'!$B$6:$B$200,{"Confirmed";"Probable"},'Data entry'!$AQ$6:$AQ$200,'Data Validation'!$V$4, 'Data entry'!$AP$6:$AP$200,'Data Validation'!$U$3, 'Data entry'!$BD$6:$BD$200,"&lt;&gt;*Negative*"))</f>
        <v>0</v>
      </c>
      <c r="AR32" s="15">
        <f>SUM(COUNTIFS('Data entry'!$R$6:$R$200,'Summary Data'!$A32,'Data entry'!$B$6:$B$200,{"Confirmed";"Probable"},'Data entry'!$AQ$6:$AQ$200,'Data Validation'!$V$4, 'Data entry'!$AP$6:$AP$200,'Data Validation'!$U$4, 'Data entry'!$BD$6:$BD$200,"&lt;&gt;*Negative*"))</f>
        <v>0</v>
      </c>
      <c r="AS32" s="15">
        <f>SUM(COUNTIFS('Data entry'!$R$6:$R$200,'Summary Data'!$A32,'Data entry'!$B$6:$B$200,{"Confirmed";"Probable"},'Data entry'!$AQ$6:$AQ$200,'Data Validation'!$V$4, 'Data entry'!$AP$6:$AP$200,'Data Validation'!$U$5, 'Data entry'!$BD$6:$BD$200,"&lt;&gt;*Negative*"))</f>
        <v>0</v>
      </c>
      <c r="AT32" s="15">
        <f>SUM(COUNTIFS('Data entry'!$R$6:$R$200,'Summary Data'!$A32,'Data entry'!$B$6:$B$200,{"Confirmed";"Probable"},'Data entry'!$AQ$6:$AQ$200,'Data Validation'!$V$4, 'Data entry'!$AP$6:$AP$200,'Data Validation'!$U$6, 'Data entry'!$BD$6:$BD$200,"&lt;&gt;*Negative*"))</f>
        <v>0</v>
      </c>
      <c r="AU32" s="15">
        <f>SUM(COUNTIFS('Data entry'!$R$6:$R$200,'Summary Data'!$A32,'Data entry'!$B$6:$B$200,{"Confirmed";"Probable"},'Data entry'!$AQ$6:$AQ$200,'Data Validation'!$V$5, 'Data entry'!$AP$6:$AP$200,'Data Validation'!$U$2, 'Data entry'!$BD$6:$BD$200,"&lt;&gt;*Negative*"))</f>
        <v>0</v>
      </c>
      <c r="AV32" s="15">
        <f>SUM(COUNTIFS('Data entry'!$R$6:$R$200,'Summary Data'!$A32,'Data entry'!$B$6:$B$200,{"Confirmed";"Probable"},'Data entry'!$AQ$6:$AQ$200,'Data Validation'!$V$5, 'Data entry'!$AP$6:$AP$200,'Data Validation'!$U$3, 'Data entry'!$BD$6:$BD$200,"&lt;&gt;*Negative*"))</f>
        <v>0</v>
      </c>
      <c r="AW32" s="15">
        <f>SUM(COUNTIFS('Data entry'!$R$6:$R$200,'Summary Data'!$A32,'Data entry'!$B$6:$B$200,{"Confirmed";"Probable"},'Data entry'!$AQ$6:$AQ$200,'Data Validation'!$V$5, 'Data entry'!$AP$6:$AP$200,'Data Validation'!$U$4, 'Data entry'!$BD$6:$BD$200,"&lt;&gt;*Negative*"))</f>
        <v>0</v>
      </c>
      <c r="AX32" s="15">
        <f>SUM(COUNTIFS('Data entry'!$R$6:$R$200,'Summary Data'!$A32,'Data entry'!$B$6:$B$200,{"Confirmed";"Probable"},'Data entry'!$AQ$6:$AQ$200,'Data Validation'!$V$5, 'Data entry'!$AP$6:$AP$200,'Data Validation'!$U$5, 'Data entry'!$BD$6:$BD$200,"&lt;&gt;*Negative*"))</f>
        <v>0</v>
      </c>
      <c r="AY32" s="15">
        <f>SUM(COUNTIFS('Data entry'!$R$6:$R$200,'Summary Data'!$A32,'Data entry'!$B$6:$B$200,{"Confirmed";"Probable"},'Data entry'!$AQ$6:$AQ$200,'Data Validation'!$V$5, 'Data entry'!$AP$6:$AP$200,'Data Validation'!$U$6, 'Data entry'!$BD$6:$BD$200,"&lt;&gt;*Negative*"))</f>
        <v>0</v>
      </c>
      <c r="AZ32" s="15">
        <f>SUM(COUNTIFS('Data entry'!$R$6:$R$200,'Summary Data'!$A32,'Data entry'!$B$6:$B$200,{"Confirmed";"Probable"},'Data entry'!$AQ$6:$AQ$200,'Data Validation'!$V$6, 'Data entry'!$AP$6:$AP$200,'Data Validation'!$U$2, 'Data entry'!$BD$6:$BD$200,"&lt;&gt;*Negative*"))</f>
        <v>0</v>
      </c>
      <c r="BA32" s="15">
        <f>SUM(COUNTIFS('Data entry'!$R$6:$R$200,'Summary Data'!$A32,'Data entry'!$B$6:$B$200,{"Confirmed";"Probable"},'Data entry'!$AQ$6:$AQ$200,'Data Validation'!$V$6, 'Data entry'!$AP$6:$AP$200,'Data Validation'!$U$3, 'Data entry'!$BD$6:$BD$200,"&lt;&gt;*Negative*"))</f>
        <v>0</v>
      </c>
      <c r="BB32" s="15">
        <f>SUM(COUNTIFS('Data entry'!$R$6:$R$200,'Summary Data'!$A32,'Data entry'!$B$6:$B$200,{"Confirmed";"Probable"},'Data entry'!$AQ$6:$AQ$200,'Data Validation'!$V$6, 'Data entry'!$AP$6:$AP$200,'Data Validation'!$U$4, 'Data entry'!$BD$6:$BD$200,"&lt;&gt;*Negative*"))</f>
        <v>0</v>
      </c>
      <c r="BC32" s="15">
        <f>SUM(COUNTIFS('Data entry'!$R$6:$R$200,'Summary Data'!$A32,'Data entry'!$B$6:$B$200,{"Confirmed";"Probable"},'Data entry'!$AQ$6:$AQ$200,'Data Validation'!$V$6, 'Data entry'!$AP$6:$AP$200,'Data Validation'!$U$5, 'Data entry'!$BD$6:$BD$200,"&lt;&gt;*Negative*"))</f>
        <v>0</v>
      </c>
      <c r="BD32" s="15">
        <f>SUM(COUNTIFS('Data entry'!$R$6:$R$200,'Summary Data'!$A32,'Data entry'!$B$6:$B$200,{"Confirmed";"Probable"},'Data entry'!$AQ$6:$AQ$200,'Data Validation'!$V$6, 'Data entry'!$AP$6:$AP$200,'Data Validation'!$U$6, 'Data entry'!$BD$6:$BD$200,"&lt;&gt;*Negative*"))</f>
        <v>0</v>
      </c>
      <c r="BE32" s="15">
        <f>SUM(COUNTIFS('Data entry'!$R$6:$R$200,'Summary Data'!$A32,'Data entry'!$B$6:$B$200,{"Confirmed";"Probable"},'Data entry'!$AQ$6:$AQ$200,'Data Validation'!$V$7, 'Data entry'!$AP$6:$AP$200,'Data Validation'!$U$2, 'Data entry'!$BD$6:$BD$200,"&lt;&gt;*Negative*"))</f>
        <v>0</v>
      </c>
      <c r="BF32" s="15">
        <f>SUM(COUNTIFS('Data entry'!$R$6:$R$200,'Summary Data'!$A32,'Data entry'!$B$6:$B$200,{"Confirmed";"Probable"},'Data entry'!$AQ$6:$AQ$200,'Data Validation'!$V$7, 'Data entry'!$AP$6:$AP$200,'Data Validation'!$U$3, 'Data entry'!$BD$6:$BD$200,"&lt;&gt;*Negative*"))</f>
        <v>0</v>
      </c>
      <c r="BG32" s="15">
        <f>SUM(COUNTIFS('Data entry'!$R$6:$R$200,'Summary Data'!$A32,'Data entry'!$B$6:$B$200,{"Confirmed";"Probable"},'Data entry'!$AQ$6:$AQ$200,'Data Validation'!$V$7, 'Data entry'!$AP$6:$AP$200,'Data Validation'!$U$4, 'Data entry'!$BD$6:$BD$200,"&lt;&gt;*Negative*"))</f>
        <v>0</v>
      </c>
      <c r="BH32" s="15">
        <f>SUM(COUNTIFS('Data entry'!$R$6:$R$200,'Summary Data'!$A32,'Data entry'!$B$6:$B$200,{"Confirmed";"Probable"},'Data entry'!$AQ$6:$AQ$200,'Data Validation'!$V$7, 'Data entry'!$AP$6:$AP$200,'Data Validation'!$U$5, 'Data entry'!$BD$6:$BD$200,"&lt;&gt;*Negative*"))</f>
        <v>0</v>
      </c>
      <c r="BI32" s="15">
        <f>SUM(COUNTIFS('Data entry'!$R$6:$R$200,'Summary Data'!$A32,'Data entry'!$B$6:$B$200,{"Confirmed";"Probable"},'Data entry'!$AQ$6:$AQ$200,'Data Validation'!$V$7, 'Data entry'!$AP$6:$AP$200,'Data Validation'!$U$6, 'Data entry'!$BD$6:$BD$200,"&lt;&gt;*Negative*"))</f>
        <v>0</v>
      </c>
      <c r="BJ32" s="15">
        <f>SUM(COUNTIFS('Data entry'!$R$6:$R$200,'Summary Data'!$A32,'Data entry'!$B$6:$B$200,{"Confirmed";"Probable"},'Data entry'!$AQ$6:$AQ$200,'Data Validation'!$V$8, 'Data entry'!$AP$6:$AP$200,'Data Validation'!$U$2, 'Data entry'!$BD$6:$BD$200,"&lt;&gt;*Negative*"))</f>
        <v>0</v>
      </c>
      <c r="BK32" s="15">
        <f>SUM(COUNTIFS('Data entry'!$R$6:$R$200,'Summary Data'!$A32,'Data entry'!$B$6:$B$200,{"Confirmed";"Probable"},'Data entry'!$AQ$6:$AQ$200,'Data Validation'!$V$8, 'Data entry'!$AP$6:$AP$200,'Data Validation'!$U$3, 'Data entry'!$BD$6:$BD$200,"&lt;&gt;*Negative*"))</f>
        <v>0</v>
      </c>
      <c r="BL32" s="15">
        <f>SUM(COUNTIFS('Data entry'!$R$6:$R$200,'Summary Data'!$A32,'Data entry'!$B$6:$B$200,{"Confirmed";"Probable"},'Data entry'!$AQ$6:$AQ$200,'Data Validation'!$V$8, 'Data entry'!$AP$6:$AP$200,'Data Validation'!$U$4, 'Data entry'!$BD$6:$BD$200,"&lt;&gt;*Negative*"))</f>
        <v>0</v>
      </c>
      <c r="BM32" s="15">
        <f>SUM(COUNTIFS('Data entry'!$R$6:$R$200,'Summary Data'!$A32,'Data entry'!$B$6:$B$200,{"Confirmed";"Probable"},'Data entry'!$AQ$6:$AQ$200,'Data Validation'!$V$8, 'Data entry'!$AP$6:$AP$200,'Data Validation'!$U$5, 'Data entry'!$BD$6:$BD$200,"&lt;&gt;*Negative*"))</f>
        <v>0</v>
      </c>
      <c r="BN32" s="15">
        <f>SUM(COUNTIFS('Data entry'!$R$6:$R$200,'Summary Data'!$A32,'Data entry'!$B$6:$B$200,{"Confirmed";"Probable"},'Data entry'!$AQ$6:$AQ$200,'Data Validation'!$V$8, 'Data entry'!$AP$6:$AP$200,'Data Validation'!$U$6, 'Data entry'!$BD$6:$BD$200,"&lt;&gt;*Negative*"))</f>
        <v>0</v>
      </c>
      <c r="BO32" s="15">
        <f>SUM(COUNTIFS('Data entry'!$R$6:$R$200,'Summary Data'!$A32,'Data entry'!$B$6:$B$200,{"Confirmed";"Probable"},'Data entry'!$AQ$6:$AQ$200,'Data Validation'!$V$9, 'Data entry'!$AP$6:$AP$200,'Data Validation'!$U$2, 'Data entry'!$BD$6:$BD$200,"&lt;&gt;*Negative*"))</f>
        <v>0</v>
      </c>
      <c r="BP32" s="15">
        <f>SUM(COUNTIFS('Data entry'!$R$6:$R$200,'Summary Data'!$A32,'Data entry'!$B$6:$B$200,{"Confirmed";"Probable"},'Data entry'!$AQ$6:$AQ$200,'Data Validation'!$V$9, 'Data entry'!$AP$6:$AP$200,'Data Validation'!$U$3, 'Data entry'!$BD$6:$BD$200,"&lt;&gt;*Negative*"))</f>
        <v>0</v>
      </c>
      <c r="BQ32" s="15">
        <f>SUM(COUNTIFS('Data entry'!$R$6:$R$200,'Summary Data'!$A32,'Data entry'!$B$6:$B$200,{"Confirmed";"Probable"},'Data entry'!$AQ$6:$AQ$200,'Data Validation'!$V$9, 'Data entry'!$AP$6:$AP$200,'Data Validation'!$U$4, 'Data entry'!$BD$6:$BD$200,"&lt;&gt;*Negative*"))</f>
        <v>0</v>
      </c>
      <c r="BR32" s="15">
        <f>SUM(COUNTIFS('Data entry'!$R$6:$R$200,'Summary Data'!$A32,'Data entry'!$B$6:$B$200,{"Confirmed";"Probable"},'Data entry'!$AQ$6:$AQ$200,'Data Validation'!$V$9, 'Data entry'!$AP$6:$AP$200,'Data Validation'!$U$5, 'Data entry'!$BD$6:$BD$200,"&lt;&gt;*Negative*"))</f>
        <v>0</v>
      </c>
      <c r="BS32" s="15">
        <f>SUM(COUNTIFS('Data entry'!$R$6:$R$200,'Summary Data'!$A32,'Data entry'!$B$6:$B$200,{"Confirmed";"Probable"},'Data entry'!$AQ$6:$AQ$200,'Data Validation'!$V$9, 'Data entry'!$AP$6:$AP$200,'Data Validation'!$U$6, 'Data entry'!$BD$6:$BD$200,"&lt;&gt;*Negative*"))</f>
        <v>0</v>
      </c>
      <c r="BT32" s="15">
        <f>SUM(COUNTIFS('Data entry'!$R$6:$R$200,'Summary Data'!$A32,'Data entry'!$B$6:$B$200,{"Confirmed";"Probable"},'Data entry'!$AQ$6:$AQ$200,'Data Validation'!$V$10, 'Data entry'!$AP$6:$AP$200,'Data Validation'!$U$2, 'Data entry'!$BD$6:$BD$200,"&lt;&gt;*Negative*"))</f>
        <v>0</v>
      </c>
      <c r="BU32" s="15">
        <f>SUM(COUNTIFS('Data entry'!$R$6:$R$200,'Summary Data'!$A32,'Data entry'!$B$6:$B$200,{"Confirmed";"Probable"},'Data entry'!$AQ$6:$AQ$200,'Data Validation'!$V$10, 'Data entry'!$AP$6:$AP$200,'Data Validation'!$U$3, 'Data entry'!$BD$6:$BD$200,"&lt;&gt;*Negative*"))</f>
        <v>0</v>
      </c>
      <c r="BV32" s="15">
        <f>SUM(COUNTIFS('Data entry'!$R$6:$R$200,'Summary Data'!$A32,'Data entry'!$B$6:$B$200,{"Confirmed";"Probable"},'Data entry'!$AQ$6:$AQ$200,'Data Validation'!$V$10, 'Data entry'!$AP$6:$AP$200,'Data Validation'!$U$4, 'Data entry'!$BD$6:$BD$200,"&lt;&gt;*Negative*"))</f>
        <v>0</v>
      </c>
      <c r="BW32" s="15">
        <f>SUM(COUNTIFS('Data entry'!$R$6:$R$200,'Summary Data'!$A32,'Data entry'!$B$6:$B$200,{"Confirmed";"Probable"},'Data entry'!$AQ$6:$AQ$200,'Data Validation'!$V$10, 'Data entry'!$AP$6:$AP$200,'Data Validation'!$U$5, 'Data entry'!$BD$6:$BD$200,"&lt;&gt;*Negative*"))</f>
        <v>0</v>
      </c>
      <c r="BX32" s="15">
        <f>SUM(COUNTIFS('Data entry'!$R$6:$R$200,'Summary Data'!$A32,'Data entry'!$B$6:$B$200,{"Confirmed";"Probable"},'Data entry'!$AQ$6:$AQ$200,'Data Validation'!$V$10, 'Data entry'!$AP$6:$AP$200,'Data Validation'!$U$6, 'Data entry'!$BD$6:$BD$200,"&lt;&gt;*Negative*"))</f>
        <v>0</v>
      </c>
      <c r="BY32" s="15">
        <f>SUM(COUNTIFS('Data entry'!$R$6:$R$200,'Summary Data'!$A32,'Data entry'!$B$6:$B$200,{"Confirmed";"Probable"},'Data entry'!$AQ$6:$AQ$200,'Data Validation'!$V$11, 'Data entry'!$AP$6:$AP$200,'Data Validation'!$U$2, 'Data entry'!$BD$6:$BD$200,"&lt;&gt;*Negative*"))</f>
        <v>0</v>
      </c>
      <c r="BZ32" s="15">
        <f>SUM(COUNTIFS('Data entry'!$R$6:$R$200,'Summary Data'!$A32,'Data entry'!$B$6:$B$200,{"Confirmed";"Probable"},'Data entry'!$AQ$6:$AQ$200,'Data Validation'!$V$11, 'Data entry'!$AP$6:$AP$200,'Data Validation'!$U$3, 'Data entry'!$BD$6:$BD$200,"&lt;&gt;*Negative*"))</f>
        <v>0</v>
      </c>
      <c r="CA32" s="15">
        <f>SUM(COUNTIFS('Data entry'!$R$6:$R$200,'Summary Data'!$A32,'Data entry'!$B$6:$B$200,{"Confirmed";"Probable"},'Data entry'!$AQ$6:$AQ$200,'Data Validation'!$V$11, 'Data entry'!$AP$6:$AP$200,'Data Validation'!$U$4, 'Data entry'!$BD$6:$BD$200,"&lt;&gt;*Negative*"))</f>
        <v>0</v>
      </c>
      <c r="CB32" s="15">
        <f>SUM(COUNTIFS('Data entry'!$R$6:$R$200,'Summary Data'!$A32,'Data entry'!$B$6:$B$200,{"Confirmed";"Probable"},'Data entry'!$AQ$6:$AQ$200,'Data Validation'!$V$11, 'Data entry'!$AP$6:$AP$200,'Data Validation'!$U$5, 'Data entry'!$BD$6:$BD$200,"&lt;&gt;*Negative*"))</f>
        <v>0</v>
      </c>
      <c r="CC32" s="15">
        <f>SUM(COUNTIFS('Data entry'!$R$6:$R$200,'Summary Data'!$A32,'Data entry'!$B$6:$B$200,{"Confirmed";"Probable"},'Data entry'!$AQ$6:$AQ$200,'Data Validation'!$V$11, 'Data entry'!$AP$6:$AP$200,'Data Validation'!$U$6, 'Data entry'!$BD$6:$BD$200,"&lt;&gt;*Negative*"))</f>
        <v>0</v>
      </c>
    </row>
    <row r="33" spans="1:81" x14ac:dyDescent="0.25">
      <c r="A33" s="12">
        <f t="shared" si="5"/>
        <v>21</v>
      </c>
      <c r="B33" s="13">
        <f t="shared" si="2"/>
        <v>0</v>
      </c>
      <c r="C33" s="13">
        <f>COUNTIFS('Data entry'!$R$6:$R$200,$A33,'Data entry'!$B$6:$B$200,"Confirmed",'Data entry'!$BD$6:$BD$200,"&lt;&gt;*Negative*")</f>
        <v>0</v>
      </c>
      <c r="D33" s="13">
        <f>COUNTIFS('Data entry'!$R$6:$R$200,$A33,'Data entry'!$B$6:$B$200,"Probable",'Data entry'!$BD$6:$BD$200,"&lt;&gt;*Negative*")</f>
        <v>0</v>
      </c>
      <c r="E33" s="13">
        <f>COUNTIFS('Data entry'!$R$6:$R$200,$A33,'Data entry'!$B$6:$B$200,"DNM")</f>
        <v>0</v>
      </c>
      <c r="F33" s="13">
        <f>SUM(COUNTIFS('Data entry'!$R$6:$R$200,'Summary Data'!$A33,'Data entry'!$B$6:$B$200,{"Confirmed";"Probable"},'Data entry'!$AO$6:$AO$200,$F$10, 'Data entry'!$BD$6:$BD$200,"&lt;&gt;*Negative*"))</f>
        <v>0</v>
      </c>
      <c r="G33" s="13">
        <f>SUM(COUNTIFS('Data entry'!$R$6:$R$200,'Summary Data'!$A33,'Data entry'!$B$6:$B$200,{"Confirmed";"Probable"},'Data entry'!$AO$6:$AO$200,$G$10, 'Data entry'!$BD$6:$BD$200,"&lt;&gt;*Negative*"))</f>
        <v>0</v>
      </c>
      <c r="H33" s="13">
        <f>SUM(COUNTIFS('Data entry'!$R$6:$R$200,'Summary Data'!$A33,'Data entry'!$B$6:$B$200,{"Confirmed";"Probable"},'Data entry'!$AO$6:$AO$200,$H$10, 'Data entry'!$BD$6:$BD$200,"&lt;&gt;*Negative*"))</f>
        <v>0</v>
      </c>
      <c r="I33" s="13">
        <f>SUM(COUNTIFS('Data entry'!$R$6:$R$200,'Summary Data'!$A33,'Data entry'!$B$6:$B$200,{"Confirmed";"Probable"},'Data entry'!$AO$6:$AO$200,$I$10, 'Data entry'!$BD$6:$BD$200,"&lt;&gt;*Negative*"))</f>
        <v>0</v>
      </c>
      <c r="J33" s="13">
        <f>SUM(COUNTIFS('Data entry'!$R$6:$R$200,'Summary Data'!$A33,'Data entry'!$B$6:$B$200,{"Confirmed";"Probable"},'Data entry'!$AO$6:$AO$200,$J$10, 'Data entry'!$BD$6:$BD$200,"&lt;&gt;*Negative*"))</f>
        <v>0</v>
      </c>
      <c r="K33" s="13">
        <f>SUM(COUNTIFS('Data entry'!$R$6:$R$200,'Summary Data'!$A33,'Data entry'!$B$6:$B$200,{"Confirmed";"Probable"},'Data entry'!$AO$6:$AO$200,$K$10, 'Data entry'!$BD$6:$BD$200,"&lt;&gt;*Negative*"))</f>
        <v>0</v>
      </c>
      <c r="L33" s="13">
        <f>SUM(COUNTIFS('Data entry'!$R$6:$R$200,'Summary Data'!$A33,'Data entry'!$B$6:$B$200,{"Confirmed";"Probable"},'Data entry'!$AO$6:$AO$200,$L$10, 'Data entry'!$BD$6:$BD$200,"&lt;&gt;*Negative*"))</f>
        <v>0</v>
      </c>
      <c r="M33" s="13">
        <f>SUM(COUNTIFS('Data entry'!$R$6:$R$200,'Summary Data'!$A33,'Data entry'!$B$6:$B$200,{"Confirmed";"Probable"},'Data entry'!$AO$6:$AO$200,$M$10, 'Data entry'!$BD$6:$BD$200,"&lt;&gt;*Negative*"))</f>
        <v>0</v>
      </c>
      <c r="N33" s="13">
        <f>SUM(COUNTIFS('Data entry'!$R$6:$R$200,'Summary Data'!$A33,'Data entry'!$B$6:$B$200,{"Confirmed";"Probable"},'Data entry'!$AO$6:$AO$200,$N$10, 'Data entry'!$BD$6:$BD$200,"&lt;&gt;*Negative*"))</f>
        <v>0</v>
      </c>
      <c r="O33" s="15">
        <f t="shared" si="3"/>
        <v>0</v>
      </c>
      <c r="P33" s="15">
        <f t="shared" si="4"/>
        <v>0</v>
      </c>
      <c r="Q33" s="15">
        <f>SUM(COUNTIFS('Data entry'!$R$6:$R$200,'Summary Data'!$A33,'Data entry'!$B$6:$B$200,{"Confirmed";"Probable"},'Data entry'!$AP$6:$AP$200,'Data Validation'!$U$2, 'Data entry'!$BD$6:$BD$200,"&lt;&gt;*Negative*"))</f>
        <v>0</v>
      </c>
      <c r="R33" s="15">
        <f>SUM(COUNTIFS('Data entry'!$R$6:$R$200,'Summary Data'!$A33,'Data entry'!$B$6:$B$200,{"Confirmed";"Probable"},'Data entry'!$AP$6:$AP$200,'Data Validation'!$U$3, 'Data entry'!$BD$6:$BD$200,"&lt;&gt;*Negative*"))</f>
        <v>0</v>
      </c>
      <c r="S33" s="15">
        <f>SUM(COUNTIFS('Data entry'!$R$6:$R$200,'Summary Data'!$A33,'Data entry'!$B$6:$B$200,{"Confirmed";"Probable"},'Data entry'!$AP$6:$AP$200,'Data Validation'!$U$4, 'Data entry'!$BD$6:$BD$200,"&lt;&gt;*Negative*"))</f>
        <v>0</v>
      </c>
      <c r="T33" s="15">
        <f>SUM(COUNTIFS('Data entry'!$R$6:$R$200,'Summary Data'!$A33,'Data entry'!$B$6:$B$200,{"Confirmed";"Probable"},'Data entry'!$AP$6:$AP$200,'Data Validation'!$U$5, 'Data entry'!$BD$6:$BD$200,"&lt;&gt;*Negative*"))</f>
        <v>0</v>
      </c>
      <c r="U33" s="15">
        <f>SUM(COUNTIFS('Data entry'!$R$6:$R$200,'Summary Data'!$A33,'Data entry'!$B$6:$B$200,{"Confirmed";"Probable"},'Data entry'!$AP$6:$AP$200,'Data Validation'!$U$6, 'Data entry'!$BD$6:$BD$200,"&lt;&gt;*Negative*"))</f>
        <v>0</v>
      </c>
      <c r="V33" s="15">
        <f>SUM(COUNTIFS('Data entry'!$R$6:$R$200,'Summary Data'!$A33,'Data entry'!$B$6:$B$200,{"Confirmed";"Probable"},'Data entry'!$AQ$6:$AQ$200,'Data Validation'!$V$2, 'Data entry'!$BD$6:$BD$200,"&lt;&gt;*Negative*"))</f>
        <v>0</v>
      </c>
      <c r="W33" s="15">
        <f>SUM(COUNTIFS('Data entry'!$R$6:$R$200,'Summary Data'!$A33,'Data entry'!$B$6:$B$200,{"Confirmed";"Probable"},'Data entry'!$AQ$6:$AQ$200,'Data Validation'!$V$3, 'Data entry'!$BD$6:$BD$200,"&lt;&gt;*Negative*"))</f>
        <v>0</v>
      </c>
      <c r="X33" s="15">
        <f>SUM(COUNTIFS('Data entry'!$R$6:$R$200,'Summary Data'!$A33,'Data entry'!$B$6:$B$200,{"Confirmed";"Probable"},'Data entry'!$AQ$6:$AQ$200,'Data Validation'!$V$4, 'Data entry'!$BD$6:$BD$200,"&lt;&gt;*Negative*"))</f>
        <v>0</v>
      </c>
      <c r="Y33" s="15">
        <f>SUM(COUNTIFS('Data entry'!$R$6:$R$200,'Summary Data'!$A33,'Data entry'!$B$6:$B$200,{"Confirmed";"Probable"},'Data entry'!$AQ$6:$AQ$200,'Data Validation'!$V$5, 'Data entry'!$BD$6:$BD$200,"&lt;&gt;*Negative*"))</f>
        <v>0</v>
      </c>
      <c r="Z33" s="15">
        <f>SUM(COUNTIFS('Data entry'!$R$6:$R$200,'Summary Data'!$A33,'Data entry'!$B$6:$B$200,{"Confirmed";"Probable"},'Data entry'!$AQ$6:$AQ$200,'Data Validation'!$V$6, 'Data entry'!$BD$6:$BD$200,"&lt;&gt;*Negative*"))</f>
        <v>0</v>
      </c>
      <c r="AA33" s="15">
        <f>SUM(COUNTIFS('Data entry'!$R$6:$R$200,'Summary Data'!$A33,'Data entry'!$B$6:$B$200,{"Confirmed";"Probable"},'Data entry'!$AQ$6:$AQ$200,'Data Validation'!$V$7, 'Data entry'!$BD$6:$BD$200,"&lt;&gt;*Negative*"))</f>
        <v>0</v>
      </c>
      <c r="AB33" s="15">
        <f>SUM(COUNTIFS('Data entry'!$R$6:$R$200,'Summary Data'!$A33,'Data entry'!$B$6:$B$200,{"Confirmed";"Probable"},'Data entry'!$AQ$6:$AQ$200,'Data Validation'!$V$8, 'Data entry'!$BD$6:$BD$200,"&lt;&gt;*Negative*"))</f>
        <v>0</v>
      </c>
      <c r="AC33" s="15">
        <f>SUM(COUNTIFS('Data entry'!$R$6:$R$200,'Summary Data'!$A33,'Data entry'!$B$6:$B$200,{"Confirmed";"Probable"},'Data entry'!$AQ$6:$AQ$200,'Data Validation'!$V$9, 'Data entry'!$BD$6:$BD$200,"&lt;&gt;*Negative*"))</f>
        <v>0</v>
      </c>
      <c r="AD33" s="15">
        <f>SUM(COUNTIFS('Data entry'!$R$6:$R$200,'Summary Data'!$A33,'Data entry'!$B$6:$B$200,{"Confirmed";"Probable"},'Data entry'!$AQ$6:$AQ$200,'Data Validation'!$V$10, 'Data entry'!$BD$6:$BD$200,"&lt;&gt;*Negative*"))</f>
        <v>0</v>
      </c>
      <c r="AE33" s="15">
        <f>SUM(COUNTIFS('Data entry'!$R$6:$R$200,'Summary Data'!$A33,'Data entry'!$B$6:$B$200,{"Confirmed";"Probable"},'Data entry'!$AQ$6:$AQ$200,'Data Validation'!$V$11, 'Data entry'!$BD$6:$BD$200,"&lt;&gt;*Negative*"))</f>
        <v>0</v>
      </c>
      <c r="AF33" s="15">
        <f>SUM(COUNTIFS('Data entry'!$R$6:$R$200,'Summary Data'!$A33,'Data entry'!$B$6:$B$200,{"Confirmed";"Probable"},'Data entry'!$AQ$6:$AQ$200,'Data Validation'!$V$2, 'Data entry'!$AP$6:$AP$200,'Data Validation'!$U$2, 'Data entry'!$BD$6:$BD$200,"&lt;&gt;*Negative*"))</f>
        <v>0</v>
      </c>
      <c r="AG33" s="15">
        <f>SUM(COUNTIFS('Data entry'!$R$6:$R$200,'Summary Data'!$A33,'Data entry'!$B$6:$B$200,{"Confirmed";"Probable"},'Data entry'!$AQ$6:$AQ$200,'Data Validation'!$V$2, 'Data entry'!$AP$6:$AP$200,'Data Validation'!$U$3, 'Data entry'!$BD$6:$BD$200,"&lt;&gt;*Negative*"))</f>
        <v>0</v>
      </c>
      <c r="AH33" s="15">
        <f>SUM(COUNTIFS('Data entry'!$R$6:$R$200,'Summary Data'!$A33,'Data entry'!$B$6:$B$200,{"Confirmed";"Probable"},'Data entry'!$AQ$6:$AQ$200,'Data Validation'!$V$2, 'Data entry'!$AP$6:$AP$200,'Data Validation'!$U$4, 'Data entry'!$BD$6:$BD$200,"&lt;&gt;*Negative*"))</f>
        <v>0</v>
      </c>
      <c r="AI33" s="15">
        <f>SUM(COUNTIFS('Data entry'!$R$6:$R$200,'Summary Data'!$A33,'Data entry'!$B$6:$B$200,{"Confirmed";"Probable"},'Data entry'!$AQ$6:$AQ$200,'Data Validation'!$V$2, 'Data entry'!$AP$6:$AP$200,'Data Validation'!$U$5, 'Data entry'!$BD$6:$BD$200,"&lt;&gt;*Negative*"))</f>
        <v>0</v>
      </c>
      <c r="AJ33" s="15">
        <f>SUM(COUNTIFS('Data entry'!$R$6:$R$200,'Summary Data'!$A33,'Data entry'!$B$6:$B$200,{"Confirmed";"Probable"},'Data entry'!$AQ$6:$AQ$200,'Data Validation'!$V$2, 'Data entry'!$AP$6:$AP$200,'Data Validation'!$U$6, 'Data entry'!$BD$6:$BD$200,"&lt;&gt;*Negative*"))</f>
        <v>0</v>
      </c>
      <c r="AK33" s="15">
        <f>SUM(COUNTIFS('Data entry'!$R$6:$R$200,'Summary Data'!$A33,'Data entry'!$B$6:$B$200,{"Confirmed";"Probable"},'Data entry'!$AQ$6:$AQ$200,'Data Validation'!$V$3, 'Data entry'!$AP$6:$AP$200,'Data Validation'!$U$2, 'Data entry'!$BD$6:$BD$200,"&lt;&gt;*Negative*"))</f>
        <v>0</v>
      </c>
      <c r="AL33" s="15">
        <f>SUM(COUNTIFS('Data entry'!$R$6:$R$200,'Summary Data'!$A33,'Data entry'!$B$6:$B$200,{"Confirmed";"Probable"},'Data entry'!$AQ$6:$AQ$200,'Data Validation'!$V$3, 'Data entry'!$AP$6:$AP$200,'Data Validation'!$U$3, 'Data entry'!$BD$6:$BD$200,"&lt;&gt;*Negative*"))</f>
        <v>0</v>
      </c>
      <c r="AM33" s="15">
        <f>SUM(COUNTIFS('Data entry'!$R$6:$R$200,'Summary Data'!$A33,'Data entry'!$B$6:$B$200,{"Confirmed";"Probable"},'Data entry'!$AQ$6:$AQ$200,'Data Validation'!$V$3, 'Data entry'!$AP$6:$AP$200,'Data Validation'!$U$4, 'Data entry'!$BD$6:$BD$200,"&lt;&gt;*Negative*"))</f>
        <v>0</v>
      </c>
      <c r="AN33" s="15">
        <f>SUM(COUNTIFS('Data entry'!$R$6:$R$200,'Summary Data'!$A33,'Data entry'!$B$6:$B$200,{"Confirmed";"Probable"},'Data entry'!$AQ$6:$AQ$200,'Data Validation'!$V$3, 'Data entry'!$AP$6:$AP$200,'Data Validation'!$U$5, 'Data entry'!$BD$6:$BD$200,"&lt;&gt;*Negative*"))</f>
        <v>0</v>
      </c>
      <c r="AO33" s="15">
        <f>SUM(COUNTIFS('Data entry'!$R$6:$R$200,'Summary Data'!$A33,'Data entry'!$B$6:$B$200,{"Confirmed";"Probable"},'Data entry'!$AQ$6:$AQ$200,'Data Validation'!$V$3, 'Data entry'!$AP$6:$AP$200,'Data Validation'!$U$6, 'Data entry'!$BD$6:$BD$200,"&lt;&gt;*Negative*"))</f>
        <v>0</v>
      </c>
      <c r="AP33" s="15">
        <f>SUM(COUNTIFS('Data entry'!$R$6:$R$200,'Summary Data'!$A33,'Data entry'!$B$6:$B$200,{"Confirmed";"Probable"},'Data entry'!$AQ$6:$AQ$200,'Data Validation'!$V$4, 'Data entry'!$AP$6:$AP$200,'Data Validation'!$U$2, 'Data entry'!$BD$6:$BD$200,"&lt;&gt;*Negative*"))</f>
        <v>0</v>
      </c>
      <c r="AQ33" s="15">
        <f>SUM(COUNTIFS('Data entry'!$R$6:$R$200,'Summary Data'!$A33,'Data entry'!$B$6:$B$200,{"Confirmed";"Probable"},'Data entry'!$AQ$6:$AQ$200,'Data Validation'!$V$4, 'Data entry'!$AP$6:$AP$200,'Data Validation'!$U$3, 'Data entry'!$BD$6:$BD$200,"&lt;&gt;*Negative*"))</f>
        <v>0</v>
      </c>
      <c r="AR33" s="15">
        <f>SUM(COUNTIFS('Data entry'!$R$6:$R$200,'Summary Data'!$A33,'Data entry'!$B$6:$B$200,{"Confirmed";"Probable"},'Data entry'!$AQ$6:$AQ$200,'Data Validation'!$V$4, 'Data entry'!$AP$6:$AP$200,'Data Validation'!$U$4, 'Data entry'!$BD$6:$BD$200,"&lt;&gt;*Negative*"))</f>
        <v>0</v>
      </c>
      <c r="AS33" s="15">
        <f>SUM(COUNTIFS('Data entry'!$R$6:$R$200,'Summary Data'!$A33,'Data entry'!$B$6:$B$200,{"Confirmed";"Probable"},'Data entry'!$AQ$6:$AQ$200,'Data Validation'!$V$4, 'Data entry'!$AP$6:$AP$200,'Data Validation'!$U$5, 'Data entry'!$BD$6:$BD$200,"&lt;&gt;*Negative*"))</f>
        <v>0</v>
      </c>
      <c r="AT33" s="15">
        <f>SUM(COUNTIFS('Data entry'!$R$6:$R$200,'Summary Data'!$A33,'Data entry'!$B$6:$B$200,{"Confirmed";"Probable"},'Data entry'!$AQ$6:$AQ$200,'Data Validation'!$V$4, 'Data entry'!$AP$6:$AP$200,'Data Validation'!$U$6, 'Data entry'!$BD$6:$BD$200,"&lt;&gt;*Negative*"))</f>
        <v>0</v>
      </c>
      <c r="AU33" s="15">
        <f>SUM(COUNTIFS('Data entry'!$R$6:$R$200,'Summary Data'!$A33,'Data entry'!$B$6:$B$200,{"Confirmed";"Probable"},'Data entry'!$AQ$6:$AQ$200,'Data Validation'!$V$5, 'Data entry'!$AP$6:$AP$200,'Data Validation'!$U$2, 'Data entry'!$BD$6:$BD$200,"&lt;&gt;*Negative*"))</f>
        <v>0</v>
      </c>
      <c r="AV33" s="15">
        <f>SUM(COUNTIFS('Data entry'!$R$6:$R$200,'Summary Data'!$A33,'Data entry'!$B$6:$B$200,{"Confirmed";"Probable"},'Data entry'!$AQ$6:$AQ$200,'Data Validation'!$V$5, 'Data entry'!$AP$6:$AP$200,'Data Validation'!$U$3, 'Data entry'!$BD$6:$BD$200,"&lt;&gt;*Negative*"))</f>
        <v>0</v>
      </c>
      <c r="AW33" s="15">
        <f>SUM(COUNTIFS('Data entry'!$R$6:$R$200,'Summary Data'!$A33,'Data entry'!$B$6:$B$200,{"Confirmed";"Probable"},'Data entry'!$AQ$6:$AQ$200,'Data Validation'!$V$5, 'Data entry'!$AP$6:$AP$200,'Data Validation'!$U$4, 'Data entry'!$BD$6:$BD$200,"&lt;&gt;*Negative*"))</f>
        <v>0</v>
      </c>
      <c r="AX33" s="15">
        <f>SUM(COUNTIFS('Data entry'!$R$6:$R$200,'Summary Data'!$A33,'Data entry'!$B$6:$B$200,{"Confirmed";"Probable"},'Data entry'!$AQ$6:$AQ$200,'Data Validation'!$V$5, 'Data entry'!$AP$6:$AP$200,'Data Validation'!$U$5, 'Data entry'!$BD$6:$BD$200,"&lt;&gt;*Negative*"))</f>
        <v>0</v>
      </c>
      <c r="AY33" s="15">
        <f>SUM(COUNTIFS('Data entry'!$R$6:$R$200,'Summary Data'!$A33,'Data entry'!$B$6:$B$200,{"Confirmed";"Probable"},'Data entry'!$AQ$6:$AQ$200,'Data Validation'!$V$5, 'Data entry'!$AP$6:$AP$200,'Data Validation'!$U$6, 'Data entry'!$BD$6:$BD$200,"&lt;&gt;*Negative*"))</f>
        <v>0</v>
      </c>
      <c r="AZ33" s="15">
        <f>SUM(COUNTIFS('Data entry'!$R$6:$R$200,'Summary Data'!$A33,'Data entry'!$B$6:$B$200,{"Confirmed";"Probable"},'Data entry'!$AQ$6:$AQ$200,'Data Validation'!$V$6, 'Data entry'!$AP$6:$AP$200,'Data Validation'!$U$2, 'Data entry'!$BD$6:$BD$200,"&lt;&gt;*Negative*"))</f>
        <v>0</v>
      </c>
      <c r="BA33" s="15">
        <f>SUM(COUNTIFS('Data entry'!$R$6:$R$200,'Summary Data'!$A33,'Data entry'!$B$6:$B$200,{"Confirmed";"Probable"},'Data entry'!$AQ$6:$AQ$200,'Data Validation'!$V$6, 'Data entry'!$AP$6:$AP$200,'Data Validation'!$U$3, 'Data entry'!$BD$6:$BD$200,"&lt;&gt;*Negative*"))</f>
        <v>0</v>
      </c>
      <c r="BB33" s="15">
        <f>SUM(COUNTIFS('Data entry'!$R$6:$R$200,'Summary Data'!$A33,'Data entry'!$B$6:$B$200,{"Confirmed";"Probable"},'Data entry'!$AQ$6:$AQ$200,'Data Validation'!$V$6, 'Data entry'!$AP$6:$AP$200,'Data Validation'!$U$4, 'Data entry'!$BD$6:$BD$200,"&lt;&gt;*Negative*"))</f>
        <v>0</v>
      </c>
      <c r="BC33" s="15">
        <f>SUM(COUNTIFS('Data entry'!$R$6:$R$200,'Summary Data'!$A33,'Data entry'!$B$6:$B$200,{"Confirmed";"Probable"},'Data entry'!$AQ$6:$AQ$200,'Data Validation'!$V$6, 'Data entry'!$AP$6:$AP$200,'Data Validation'!$U$5, 'Data entry'!$BD$6:$BD$200,"&lt;&gt;*Negative*"))</f>
        <v>0</v>
      </c>
      <c r="BD33" s="15">
        <f>SUM(COUNTIFS('Data entry'!$R$6:$R$200,'Summary Data'!$A33,'Data entry'!$B$6:$B$200,{"Confirmed";"Probable"},'Data entry'!$AQ$6:$AQ$200,'Data Validation'!$V$6, 'Data entry'!$AP$6:$AP$200,'Data Validation'!$U$6, 'Data entry'!$BD$6:$BD$200,"&lt;&gt;*Negative*"))</f>
        <v>0</v>
      </c>
      <c r="BE33" s="15">
        <f>SUM(COUNTIFS('Data entry'!$R$6:$R$200,'Summary Data'!$A33,'Data entry'!$B$6:$B$200,{"Confirmed";"Probable"},'Data entry'!$AQ$6:$AQ$200,'Data Validation'!$V$7, 'Data entry'!$AP$6:$AP$200,'Data Validation'!$U$2, 'Data entry'!$BD$6:$BD$200,"&lt;&gt;*Negative*"))</f>
        <v>0</v>
      </c>
      <c r="BF33" s="15">
        <f>SUM(COUNTIFS('Data entry'!$R$6:$R$200,'Summary Data'!$A33,'Data entry'!$B$6:$B$200,{"Confirmed";"Probable"},'Data entry'!$AQ$6:$AQ$200,'Data Validation'!$V$7, 'Data entry'!$AP$6:$AP$200,'Data Validation'!$U$3, 'Data entry'!$BD$6:$BD$200,"&lt;&gt;*Negative*"))</f>
        <v>0</v>
      </c>
      <c r="BG33" s="15">
        <f>SUM(COUNTIFS('Data entry'!$R$6:$R$200,'Summary Data'!$A33,'Data entry'!$B$6:$B$200,{"Confirmed";"Probable"},'Data entry'!$AQ$6:$AQ$200,'Data Validation'!$V$7, 'Data entry'!$AP$6:$AP$200,'Data Validation'!$U$4, 'Data entry'!$BD$6:$BD$200,"&lt;&gt;*Negative*"))</f>
        <v>0</v>
      </c>
      <c r="BH33" s="15">
        <f>SUM(COUNTIFS('Data entry'!$R$6:$R$200,'Summary Data'!$A33,'Data entry'!$B$6:$B$200,{"Confirmed";"Probable"},'Data entry'!$AQ$6:$AQ$200,'Data Validation'!$V$7, 'Data entry'!$AP$6:$AP$200,'Data Validation'!$U$5, 'Data entry'!$BD$6:$BD$200,"&lt;&gt;*Negative*"))</f>
        <v>0</v>
      </c>
      <c r="BI33" s="15">
        <f>SUM(COUNTIFS('Data entry'!$R$6:$R$200,'Summary Data'!$A33,'Data entry'!$B$6:$B$200,{"Confirmed";"Probable"},'Data entry'!$AQ$6:$AQ$200,'Data Validation'!$V$7, 'Data entry'!$AP$6:$AP$200,'Data Validation'!$U$6, 'Data entry'!$BD$6:$BD$200,"&lt;&gt;*Negative*"))</f>
        <v>0</v>
      </c>
      <c r="BJ33" s="15">
        <f>SUM(COUNTIFS('Data entry'!$R$6:$R$200,'Summary Data'!$A33,'Data entry'!$B$6:$B$200,{"Confirmed";"Probable"},'Data entry'!$AQ$6:$AQ$200,'Data Validation'!$V$8, 'Data entry'!$AP$6:$AP$200,'Data Validation'!$U$2, 'Data entry'!$BD$6:$BD$200,"&lt;&gt;*Negative*"))</f>
        <v>0</v>
      </c>
      <c r="BK33" s="15">
        <f>SUM(COUNTIFS('Data entry'!$R$6:$R$200,'Summary Data'!$A33,'Data entry'!$B$6:$B$200,{"Confirmed";"Probable"},'Data entry'!$AQ$6:$AQ$200,'Data Validation'!$V$8, 'Data entry'!$AP$6:$AP$200,'Data Validation'!$U$3, 'Data entry'!$BD$6:$BD$200,"&lt;&gt;*Negative*"))</f>
        <v>0</v>
      </c>
      <c r="BL33" s="15">
        <f>SUM(COUNTIFS('Data entry'!$R$6:$R$200,'Summary Data'!$A33,'Data entry'!$B$6:$B$200,{"Confirmed";"Probable"},'Data entry'!$AQ$6:$AQ$200,'Data Validation'!$V$8, 'Data entry'!$AP$6:$AP$200,'Data Validation'!$U$4, 'Data entry'!$BD$6:$BD$200,"&lt;&gt;*Negative*"))</f>
        <v>0</v>
      </c>
      <c r="BM33" s="15">
        <f>SUM(COUNTIFS('Data entry'!$R$6:$R$200,'Summary Data'!$A33,'Data entry'!$B$6:$B$200,{"Confirmed";"Probable"},'Data entry'!$AQ$6:$AQ$200,'Data Validation'!$V$8, 'Data entry'!$AP$6:$AP$200,'Data Validation'!$U$5, 'Data entry'!$BD$6:$BD$200,"&lt;&gt;*Negative*"))</f>
        <v>0</v>
      </c>
      <c r="BN33" s="15">
        <f>SUM(COUNTIFS('Data entry'!$R$6:$R$200,'Summary Data'!$A33,'Data entry'!$B$6:$B$200,{"Confirmed";"Probable"},'Data entry'!$AQ$6:$AQ$200,'Data Validation'!$V$8, 'Data entry'!$AP$6:$AP$200,'Data Validation'!$U$6, 'Data entry'!$BD$6:$BD$200,"&lt;&gt;*Negative*"))</f>
        <v>0</v>
      </c>
      <c r="BO33" s="15">
        <f>SUM(COUNTIFS('Data entry'!$R$6:$R$200,'Summary Data'!$A33,'Data entry'!$B$6:$B$200,{"Confirmed";"Probable"},'Data entry'!$AQ$6:$AQ$200,'Data Validation'!$V$9, 'Data entry'!$AP$6:$AP$200,'Data Validation'!$U$2, 'Data entry'!$BD$6:$BD$200,"&lt;&gt;*Negative*"))</f>
        <v>0</v>
      </c>
      <c r="BP33" s="15">
        <f>SUM(COUNTIFS('Data entry'!$R$6:$R$200,'Summary Data'!$A33,'Data entry'!$B$6:$B$200,{"Confirmed";"Probable"},'Data entry'!$AQ$6:$AQ$200,'Data Validation'!$V$9, 'Data entry'!$AP$6:$AP$200,'Data Validation'!$U$3, 'Data entry'!$BD$6:$BD$200,"&lt;&gt;*Negative*"))</f>
        <v>0</v>
      </c>
      <c r="BQ33" s="15">
        <f>SUM(COUNTIFS('Data entry'!$R$6:$R$200,'Summary Data'!$A33,'Data entry'!$B$6:$B$200,{"Confirmed";"Probable"},'Data entry'!$AQ$6:$AQ$200,'Data Validation'!$V$9, 'Data entry'!$AP$6:$AP$200,'Data Validation'!$U$4, 'Data entry'!$BD$6:$BD$200,"&lt;&gt;*Negative*"))</f>
        <v>0</v>
      </c>
      <c r="BR33" s="15">
        <f>SUM(COUNTIFS('Data entry'!$R$6:$R$200,'Summary Data'!$A33,'Data entry'!$B$6:$B$200,{"Confirmed";"Probable"},'Data entry'!$AQ$6:$AQ$200,'Data Validation'!$V$9, 'Data entry'!$AP$6:$AP$200,'Data Validation'!$U$5, 'Data entry'!$BD$6:$BD$200,"&lt;&gt;*Negative*"))</f>
        <v>0</v>
      </c>
      <c r="BS33" s="15">
        <f>SUM(COUNTIFS('Data entry'!$R$6:$R$200,'Summary Data'!$A33,'Data entry'!$B$6:$B$200,{"Confirmed";"Probable"},'Data entry'!$AQ$6:$AQ$200,'Data Validation'!$V$9, 'Data entry'!$AP$6:$AP$200,'Data Validation'!$U$6, 'Data entry'!$BD$6:$BD$200,"&lt;&gt;*Negative*"))</f>
        <v>0</v>
      </c>
      <c r="BT33" s="15">
        <f>SUM(COUNTIFS('Data entry'!$R$6:$R$200,'Summary Data'!$A33,'Data entry'!$B$6:$B$200,{"Confirmed";"Probable"},'Data entry'!$AQ$6:$AQ$200,'Data Validation'!$V$10, 'Data entry'!$AP$6:$AP$200,'Data Validation'!$U$2, 'Data entry'!$BD$6:$BD$200,"&lt;&gt;*Negative*"))</f>
        <v>0</v>
      </c>
      <c r="BU33" s="15">
        <f>SUM(COUNTIFS('Data entry'!$R$6:$R$200,'Summary Data'!$A33,'Data entry'!$B$6:$B$200,{"Confirmed";"Probable"},'Data entry'!$AQ$6:$AQ$200,'Data Validation'!$V$10, 'Data entry'!$AP$6:$AP$200,'Data Validation'!$U$3, 'Data entry'!$BD$6:$BD$200,"&lt;&gt;*Negative*"))</f>
        <v>0</v>
      </c>
      <c r="BV33" s="15">
        <f>SUM(COUNTIFS('Data entry'!$R$6:$R$200,'Summary Data'!$A33,'Data entry'!$B$6:$B$200,{"Confirmed";"Probable"},'Data entry'!$AQ$6:$AQ$200,'Data Validation'!$V$10, 'Data entry'!$AP$6:$AP$200,'Data Validation'!$U$4, 'Data entry'!$BD$6:$BD$200,"&lt;&gt;*Negative*"))</f>
        <v>0</v>
      </c>
      <c r="BW33" s="15">
        <f>SUM(COUNTIFS('Data entry'!$R$6:$R$200,'Summary Data'!$A33,'Data entry'!$B$6:$B$200,{"Confirmed";"Probable"},'Data entry'!$AQ$6:$AQ$200,'Data Validation'!$V$10, 'Data entry'!$AP$6:$AP$200,'Data Validation'!$U$5, 'Data entry'!$BD$6:$BD$200,"&lt;&gt;*Negative*"))</f>
        <v>0</v>
      </c>
      <c r="BX33" s="15">
        <f>SUM(COUNTIFS('Data entry'!$R$6:$R$200,'Summary Data'!$A33,'Data entry'!$B$6:$B$200,{"Confirmed";"Probable"},'Data entry'!$AQ$6:$AQ$200,'Data Validation'!$V$10, 'Data entry'!$AP$6:$AP$200,'Data Validation'!$U$6, 'Data entry'!$BD$6:$BD$200,"&lt;&gt;*Negative*"))</f>
        <v>0</v>
      </c>
      <c r="BY33" s="15">
        <f>SUM(COUNTIFS('Data entry'!$R$6:$R$200,'Summary Data'!$A33,'Data entry'!$B$6:$B$200,{"Confirmed";"Probable"},'Data entry'!$AQ$6:$AQ$200,'Data Validation'!$V$11, 'Data entry'!$AP$6:$AP$200,'Data Validation'!$U$2, 'Data entry'!$BD$6:$BD$200,"&lt;&gt;*Negative*"))</f>
        <v>0</v>
      </c>
      <c r="BZ33" s="15">
        <f>SUM(COUNTIFS('Data entry'!$R$6:$R$200,'Summary Data'!$A33,'Data entry'!$B$6:$B$200,{"Confirmed";"Probable"},'Data entry'!$AQ$6:$AQ$200,'Data Validation'!$V$11, 'Data entry'!$AP$6:$AP$200,'Data Validation'!$U$3, 'Data entry'!$BD$6:$BD$200,"&lt;&gt;*Negative*"))</f>
        <v>0</v>
      </c>
      <c r="CA33" s="15">
        <f>SUM(COUNTIFS('Data entry'!$R$6:$R$200,'Summary Data'!$A33,'Data entry'!$B$6:$B$200,{"Confirmed";"Probable"},'Data entry'!$AQ$6:$AQ$200,'Data Validation'!$V$11, 'Data entry'!$AP$6:$AP$200,'Data Validation'!$U$4, 'Data entry'!$BD$6:$BD$200,"&lt;&gt;*Negative*"))</f>
        <v>0</v>
      </c>
      <c r="CB33" s="15">
        <f>SUM(COUNTIFS('Data entry'!$R$6:$R$200,'Summary Data'!$A33,'Data entry'!$B$6:$B$200,{"Confirmed";"Probable"},'Data entry'!$AQ$6:$AQ$200,'Data Validation'!$V$11, 'Data entry'!$AP$6:$AP$200,'Data Validation'!$U$5, 'Data entry'!$BD$6:$BD$200,"&lt;&gt;*Negative*"))</f>
        <v>0</v>
      </c>
      <c r="CC33" s="15">
        <f>SUM(COUNTIFS('Data entry'!$R$6:$R$200,'Summary Data'!$A33,'Data entry'!$B$6:$B$200,{"Confirmed";"Probable"},'Data entry'!$AQ$6:$AQ$200,'Data Validation'!$V$11, 'Data entry'!$AP$6:$AP$200,'Data Validation'!$U$6, 'Data entry'!$BD$6:$BD$200,"&lt;&gt;*Negative*"))</f>
        <v>0</v>
      </c>
    </row>
    <row r="34" spans="1:81" x14ac:dyDescent="0.25">
      <c r="A34" s="12">
        <f t="shared" si="5"/>
        <v>22</v>
      </c>
      <c r="B34" s="13">
        <f t="shared" si="2"/>
        <v>0</v>
      </c>
      <c r="C34" s="13">
        <f>COUNTIFS('Data entry'!$R$6:$R$200,$A34,'Data entry'!$B$6:$B$200,"Confirmed",'Data entry'!$BD$6:$BD$200,"&lt;&gt;*Negative*")</f>
        <v>0</v>
      </c>
      <c r="D34" s="13">
        <f>COUNTIFS('Data entry'!$R$6:$R$200,$A34,'Data entry'!$B$6:$B$200,"Probable",'Data entry'!$BD$6:$BD$200,"&lt;&gt;*Negative*")</f>
        <v>0</v>
      </c>
      <c r="E34" s="13">
        <f>COUNTIFS('Data entry'!$R$6:$R$200,$A34,'Data entry'!$B$6:$B$200,"DNM")</f>
        <v>0</v>
      </c>
      <c r="F34" s="13">
        <f>SUM(COUNTIFS('Data entry'!$R$6:$R$200,'Summary Data'!$A34,'Data entry'!$B$6:$B$200,{"Confirmed";"Probable"},'Data entry'!$AO$6:$AO$200,$F$10, 'Data entry'!$BD$6:$BD$200,"&lt;&gt;*Negative*"))</f>
        <v>0</v>
      </c>
      <c r="G34" s="13">
        <f>SUM(COUNTIFS('Data entry'!$R$6:$R$200,'Summary Data'!$A34,'Data entry'!$B$6:$B$200,{"Confirmed";"Probable"},'Data entry'!$AO$6:$AO$200,$G$10, 'Data entry'!$BD$6:$BD$200,"&lt;&gt;*Negative*"))</f>
        <v>0</v>
      </c>
      <c r="H34" s="13">
        <f>SUM(COUNTIFS('Data entry'!$R$6:$R$200,'Summary Data'!$A34,'Data entry'!$B$6:$B$200,{"Confirmed";"Probable"},'Data entry'!$AO$6:$AO$200,$H$10, 'Data entry'!$BD$6:$BD$200,"&lt;&gt;*Negative*"))</f>
        <v>0</v>
      </c>
      <c r="I34" s="13">
        <f>SUM(COUNTIFS('Data entry'!$R$6:$R$200,'Summary Data'!$A34,'Data entry'!$B$6:$B$200,{"Confirmed";"Probable"},'Data entry'!$AO$6:$AO$200,$I$10, 'Data entry'!$BD$6:$BD$200,"&lt;&gt;*Negative*"))</f>
        <v>0</v>
      </c>
      <c r="J34" s="13">
        <f>SUM(COUNTIFS('Data entry'!$R$6:$R$200,'Summary Data'!$A34,'Data entry'!$B$6:$B$200,{"Confirmed";"Probable"},'Data entry'!$AO$6:$AO$200,$J$10, 'Data entry'!$BD$6:$BD$200,"&lt;&gt;*Negative*"))</f>
        <v>0</v>
      </c>
      <c r="K34" s="13">
        <f>SUM(COUNTIFS('Data entry'!$R$6:$R$200,'Summary Data'!$A34,'Data entry'!$B$6:$B$200,{"Confirmed";"Probable"},'Data entry'!$AO$6:$AO$200,$K$10, 'Data entry'!$BD$6:$BD$200,"&lt;&gt;*Negative*"))</f>
        <v>0</v>
      </c>
      <c r="L34" s="13">
        <f>SUM(COUNTIFS('Data entry'!$R$6:$R$200,'Summary Data'!$A34,'Data entry'!$B$6:$B$200,{"Confirmed";"Probable"},'Data entry'!$AO$6:$AO$200,$L$10, 'Data entry'!$BD$6:$BD$200,"&lt;&gt;*Negative*"))</f>
        <v>0</v>
      </c>
      <c r="M34" s="13">
        <f>SUM(COUNTIFS('Data entry'!$R$6:$R$200,'Summary Data'!$A34,'Data entry'!$B$6:$B$200,{"Confirmed";"Probable"},'Data entry'!$AO$6:$AO$200,$M$10, 'Data entry'!$BD$6:$BD$200,"&lt;&gt;*Negative*"))</f>
        <v>0</v>
      </c>
      <c r="N34" s="13">
        <f>SUM(COUNTIFS('Data entry'!$R$6:$R$200,'Summary Data'!$A34,'Data entry'!$B$6:$B$200,{"Confirmed";"Probable"},'Data entry'!$AO$6:$AO$200,$N$10, 'Data entry'!$BD$6:$BD$200,"&lt;&gt;*Negative*"))</f>
        <v>0</v>
      </c>
      <c r="O34" s="15">
        <f t="shared" si="3"/>
        <v>0</v>
      </c>
      <c r="P34" s="15">
        <f t="shared" si="4"/>
        <v>0</v>
      </c>
      <c r="Q34" s="15">
        <f>SUM(COUNTIFS('Data entry'!$R$6:$R$200,'Summary Data'!$A34,'Data entry'!$B$6:$B$200,{"Confirmed";"Probable"},'Data entry'!$AP$6:$AP$200,'Data Validation'!$U$2, 'Data entry'!$BD$6:$BD$200,"&lt;&gt;*Negative*"))</f>
        <v>0</v>
      </c>
      <c r="R34" s="15">
        <f>SUM(COUNTIFS('Data entry'!$R$6:$R$200,'Summary Data'!$A34,'Data entry'!$B$6:$B$200,{"Confirmed";"Probable"},'Data entry'!$AP$6:$AP$200,'Data Validation'!$U$3, 'Data entry'!$BD$6:$BD$200,"&lt;&gt;*Negative*"))</f>
        <v>0</v>
      </c>
      <c r="S34" s="15">
        <f>SUM(COUNTIFS('Data entry'!$R$6:$R$200,'Summary Data'!$A34,'Data entry'!$B$6:$B$200,{"Confirmed";"Probable"},'Data entry'!$AP$6:$AP$200,'Data Validation'!$U$4, 'Data entry'!$BD$6:$BD$200,"&lt;&gt;*Negative*"))</f>
        <v>0</v>
      </c>
      <c r="T34" s="15">
        <f>SUM(COUNTIFS('Data entry'!$R$6:$R$200,'Summary Data'!$A34,'Data entry'!$B$6:$B$200,{"Confirmed";"Probable"},'Data entry'!$AP$6:$AP$200,'Data Validation'!$U$5, 'Data entry'!$BD$6:$BD$200,"&lt;&gt;*Negative*"))</f>
        <v>0</v>
      </c>
      <c r="U34" s="15">
        <f>SUM(COUNTIFS('Data entry'!$R$6:$R$200,'Summary Data'!$A34,'Data entry'!$B$6:$B$200,{"Confirmed";"Probable"},'Data entry'!$AP$6:$AP$200,'Data Validation'!$U$6, 'Data entry'!$BD$6:$BD$200,"&lt;&gt;*Negative*"))</f>
        <v>0</v>
      </c>
      <c r="V34" s="15">
        <f>SUM(COUNTIFS('Data entry'!$R$6:$R$200,'Summary Data'!$A34,'Data entry'!$B$6:$B$200,{"Confirmed";"Probable"},'Data entry'!$AQ$6:$AQ$200,'Data Validation'!$V$2, 'Data entry'!$BD$6:$BD$200,"&lt;&gt;*Negative*"))</f>
        <v>0</v>
      </c>
      <c r="W34" s="15">
        <f>SUM(COUNTIFS('Data entry'!$R$6:$R$200,'Summary Data'!$A34,'Data entry'!$B$6:$B$200,{"Confirmed";"Probable"},'Data entry'!$AQ$6:$AQ$200,'Data Validation'!$V$3, 'Data entry'!$BD$6:$BD$200,"&lt;&gt;*Negative*"))</f>
        <v>0</v>
      </c>
      <c r="X34" s="15">
        <f>SUM(COUNTIFS('Data entry'!$R$6:$R$200,'Summary Data'!$A34,'Data entry'!$B$6:$B$200,{"Confirmed";"Probable"},'Data entry'!$AQ$6:$AQ$200,'Data Validation'!$V$4, 'Data entry'!$BD$6:$BD$200,"&lt;&gt;*Negative*"))</f>
        <v>0</v>
      </c>
      <c r="Y34" s="15">
        <f>SUM(COUNTIFS('Data entry'!$R$6:$R$200,'Summary Data'!$A34,'Data entry'!$B$6:$B$200,{"Confirmed";"Probable"},'Data entry'!$AQ$6:$AQ$200,'Data Validation'!$V$5, 'Data entry'!$BD$6:$BD$200,"&lt;&gt;*Negative*"))</f>
        <v>0</v>
      </c>
      <c r="Z34" s="15">
        <f>SUM(COUNTIFS('Data entry'!$R$6:$R$200,'Summary Data'!$A34,'Data entry'!$B$6:$B$200,{"Confirmed";"Probable"},'Data entry'!$AQ$6:$AQ$200,'Data Validation'!$V$6, 'Data entry'!$BD$6:$BD$200,"&lt;&gt;*Negative*"))</f>
        <v>0</v>
      </c>
      <c r="AA34" s="15">
        <f>SUM(COUNTIFS('Data entry'!$R$6:$R$200,'Summary Data'!$A34,'Data entry'!$B$6:$B$200,{"Confirmed";"Probable"},'Data entry'!$AQ$6:$AQ$200,'Data Validation'!$V$7, 'Data entry'!$BD$6:$BD$200,"&lt;&gt;*Negative*"))</f>
        <v>0</v>
      </c>
      <c r="AB34" s="15">
        <f>SUM(COUNTIFS('Data entry'!$R$6:$R$200,'Summary Data'!$A34,'Data entry'!$B$6:$B$200,{"Confirmed";"Probable"},'Data entry'!$AQ$6:$AQ$200,'Data Validation'!$V$8, 'Data entry'!$BD$6:$BD$200,"&lt;&gt;*Negative*"))</f>
        <v>0</v>
      </c>
      <c r="AC34" s="15">
        <f>SUM(COUNTIFS('Data entry'!$R$6:$R$200,'Summary Data'!$A34,'Data entry'!$B$6:$B$200,{"Confirmed";"Probable"},'Data entry'!$AQ$6:$AQ$200,'Data Validation'!$V$9, 'Data entry'!$BD$6:$BD$200,"&lt;&gt;*Negative*"))</f>
        <v>0</v>
      </c>
      <c r="AD34" s="15">
        <f>SUM(COUNTIFS('Data entry'!$R$6:$R$200,'Summary Data'!$A34,'Data entry'!$B$6:$B$200,{"Confirmed";"Probable"},'Data entry'!$AQ$6:$AQ$200,'Data Validation'!$V$10, 'Data entry'!$BD$6:$BD$200,"&lt;&gt;*Negative*"))</f>
        <v>0</v>
      </c>
      <c r="AE34" s="15">
        <f>SUM(COUNTIFS('Data entry'!$R$6:$R$200,'Summary Data'!$A34,'Data entry'!$B$6:$B$200,{"Confirmed";"Probable"},'Data entry'!$AQ$6:$AQ$200,'Data Validation'!$V$11, 'Data entry'!$BD$6:$BD$200,"&lt;&gt;*Negative*"))</f>
        <v>0</v>
      </c>
      <c r="AF34" s="15">
        <f>SUM(COUNTIFS('Data entry'!$R$6:$R$200,'Summary Data'!$A34,'Data entry'!$B$6:$B$200,{"Confirmed";"Probable"},'Data entry'!$AQ$6:$AQ$200,'Data Validation'!$V$2, 'Data entry'!$AP$6:$AP$200,'Data Validation'!$U$2, 'Data entry'!$BD$6:$BD$200,"&lt;&gt;*Negative*"))</f>
        <v>0</v>
      </c>
      <c r="AG34" s="15">
        <f>SUM(COUNTIFS('Data entry'!$R$6:$R$200,'Summary Data'!$A34,'Data entry'!$B$6:$B$200,{"Confirmed";"Probable"},'Data entry'!$AQ$6:$AQ$200,'Data Validation'!$V$2, 'Data entry'!$AP$6:$AP$200,'Data Validation'!$U$3, 'Data entry'!$BD$6:$BD$200,"&lt;&gt;*Negative*"))</f>
        <v>0</v>
      </c>
      <c r="AH34" s="15">
        <f>SUM(COUNTIFS('Data entry'!$R$6:$R$200,'Summary Data'!$A34,'Data entry'!$B$6:$B$200,{"Confirmed";"Probable"},'Data entry'!$AQ$6:$AQ$200,'Data Validation'!$V$2, 'Data entry'!$AP$6:$AP$200,'Data Validation'!$U$4, 'Data entry'!$BD$6:$BD$200,"&lt;&gt;*Negative*"))</f>
        <v>0</v>
      </c>
      <c r="AI34" s="15">
        <f>SUM(COUNTIFS('Data entry'!$R$6:$R$200,'Summary Data'!$A34,'Data entry'!$B$6:$B$200,{"Confirmed";"Probable"},'Data entry'!$AQ$6:$AQ$200,'Data Validation'!$V$2, 'Data entry'!$AP$6:$AP$200,'Data Validation'!$U$5, 'Data entry'!$BD$6:$BD$200,"&lt;&gt;*Negative*"))</f>
        <v>0</v>
      </c>
      <c r="AJ34" s="15">
        <f>SUM(COUNTIFS('Data entry'!$R$6:$R$200,'Summary Data'!$A34,'Data entry'!$B$6:$B$200,{"Confirmed";"Probable"},'Data entry'!$AQ$6:$AQ$200,'Data Validation'!$V$2, 'Data entry'!$AP$6:$AP$200,'Data Validation'!$U$6, 'Data entry'!$BD$6:$BD$200,"&lt;&gt;*Negative*"))</f>
        <v>0</v>
      </c>
      <c r="AK34" s="15">
        <f>SUM(COUNTIFS('Data entry'!$R$6:$R$200,'Summary Data'!$A34,'Data entry'!$B$6:$B$200,{"Confirmed";"Probable"},'Data entry'!$AQ$6:$AQ$200,'Data Validation'!$V$3, 'Data entry'!$AP$6:$AP$200,'Data Validation'!$U$2, 'Data entry'!$BD$6:$BD$200,"&lt;&gt;*Negative*"))</f>
        <v>0</v>
      </c>
      <c r="AL34" s="15">
        <f>SUM(COUNTIFS('Data entry'!$R$6:$R$200,'Summary Data'!$A34,'Data entry'!$B$6:$B$200,{"Confirmed";"Probable"},'Data entry'!$AQ$6:$AQ$200,'Data Validation'!$V$3, 'Data entry'!$AP$6:$AP$200,'Data Validation'!$U$3, 'Data entry'!$BD$6:$BD$200,"&lt;&gt;*Negative*"))</f>
        <v>0</v>
      </c>
      <c r="AM34" s="15">
        <f>SUM(COUNTIFS('Data entry'!$R$6:$R$200,'Summary Data'!$A34,'Data entry'!$B$6:$B$200,{"Confirmed";"Probable"},'Data entry'!$AQ$6:$AQ$200,'Data Validation'!$V$3, 'Data entry'!$AP$6:$AP$200,'Data Validation'!$U$4, 'Data entry'!$BD$6:$BD$200,"&lt;&gt;*Negative*"))</f>
        <v>0</v>
      </c>
      <c r="AN34" s="15">
        <f>SUM(COUNTIFS('Data entry'!$R$6:$R$200,'Summary Data'!$A34,'Data entry'!$B$6:$B$200,{"Confirmed";"Probable"},'Data entry'!$AQ$6:$AQ$200,'Data Validation'!$V$3, 'Data entry'!$AP$6:$AP$200,'Data Validation'!$U$5, 'Data entry'!$BD$6:$BD$200,"&lt;&gt;*Negative*"))</f>
        <v>0</v>
      </c>
      <c r="AO34" s="15">
        <f>SUM(COUNTIFS('Data entry'!$R$6:$R$200,'Summary Data'!$A34,'Data entry'!$B$6:$B$200,{"Confirmed";"Probable"},'Data entry'!$AQ$6:$AQ$200,'Data Validation'!$V$3, 'Data entry'!$AP$6:$AP$200,'Data Validation'!$U$6, 'Data entry'!$BD$6:$BD$200,"&lt;&gt;*Negative*"))</f>
        <v>0</v>
      </c>
      <c r="AP34" s="15">
        <f>SUM(COUNTIFS('Data entry'!$R$6:$R$200,'Summary Data'!$A34,'Data entry'!$B$6:$B$200,{"Confirmed";"Probable"},'Data entry'!$AQ$6:$AQ$200,'Data Validation'!$V$4, 'Data entry'!$AP$6:$AP$200,'Data Validation'!$U$2, 'Data entry'!$BD$6:$BD$200,"&lt;&gt;*Negative*"))</f>
        <v>0</v>
      </c>
      <c r="AQ34" s="15">
        <f>SUM(COUNTIFS('Data entry'!$R$6:$R$200,'Summary Data'!$A34,'Data entry'!$B$6:$B$200,{"Confirmed";"Probable"},'Data entry'!$AQ$6:$AQ$200,'Data Validation'!$V$4, 'Data entry'!$AP$6:$AP$200,'Data Validation'!$U$3, 'Data entry'!$BD$6:$BD$200,"&lt;&gt;*Negative*"))</f>
        <v>0</v>
      </c>
      <c r="AR34" s="15">
        <f>SUM(COUNTIFS('Data entry'!$R$6:$R$200,'Summary Data'!$A34,'Data entry'!$B$6:$B$200,{"Confirmed";"Probable"},'Data entry'!$AQ$6:$AQ$200,'Data Validation'!$V$4, 'Data entry'!$AP$6:$AP$200,'Data Validation'!$U$4, 'Data entry'!$BD$6:$BD$200,"&lt;&gt;*Negative*"))</f>
        <v>0</v>
      </c>
      <c r="AS34" s="15">
        <f>SUM(COUNTIFS('Data entry'!$R$6:$R$200,'Summary Data'!$A34,'Data entry'!$B$6:$B$200,{"Confirmed";"Probable"},'Data entry'!$AQ$6:$AQ$200,'Data Validation'!$V$4, 'Data entry'!$AP$6:$AP$200,'Data Validation'!$U$5, 'Data entry'!$BD$6:$BD$200,"&lt;&gt;*Negative*"))</f>
        <v>0</v>
      </c>
      <c r="AT34" s="15">
        <f>SUM(COUNTIFS('Data entry'!$R$6:$R$200,'Summary Data'!$A34,'Data entry'!$B$6:$B$200,{"Confirmed";"Probable"},'Data entry'!$AQ$6:$AQ$200,'Data Validation'!$V$4, 'Data entry'!$AP$6:$AP$200,'Data Validation'!$U$6, 'Data entry'!$BD$6:$BD$200,"&lt;&gt;*Negative*"))</f>
        <v>0</v>
      </c>
      <c r="AU34" s="15">
        <f>SUM(COUNTIFS('Data entry'!$R$6:$R$200,'Summary Data'!$A34,'Data entry'!$B$6:$B$200,{"Confirmed";"Probable"},'Data entry'!$AQ$6:$AQ$200,'Data Validation'!$V$5, 'Data entry'!$AP$6:$AP$200,'Data Validation'!$U$2, 'Data entry'!$BD$6:$BD$200,"&lt;&gt;*Negative*"))</f>
        <v>0</v>
      </c>
      <c r="AV34" s="15">
        <f>SUM(COUNTIFS('Data entry'!$R$6:$R$200,'Summary Data'!$A34,'Data entry'!$B$6:$B$200,{"Confirmed";"Probable"},'Data entry'!$AQ$6:$AQ$200,'Data Validation'!$V$5, 'Data entry'!$AP$6:$AP$200,'Data Validation'!$U$3, 'Data entry'!$BD$6:$BD$200,"&lt;&gt;*Negative*"))</f>
        <v>0</v>
      </c>
      <c r="AW34" s="15">
        <f>SUM(COUNTIFS('Data entry'!$R$6:$R$200,'Summary Data'!$A34,'Data entry'!$B$6:$B$200,{"Confirmed";"Probable"},'Data entry'!$AQ$6:$AQ$200,'Data Validation'!$V$5, 'Data entry'!$AP$6:$AP$200,'Data Validation'!$U$4, 'Data entry'!$BD$6:$BD$200,"&lt;&gt;*Negative*"))</f>
        <v>0</v>
      </c>
      <c r="AX34" s="15">
        <f>SUM(COUNTIFS('Data entry'!$R$6:$R$200,'Summary Data'!$A34,'Data entry'!$B$6:$B$200,{"Confirmed";"Probable"},'Data entry'!$AQ$6:$AQ$200,'Data Validation'!$V$5, 'Data entry'!$AP$6:$AP$200,'Data Validation'!$U$5, 'Data entry'!$BD$6:$BD$200,"&lt;&gt;*Negative*"))</f>
        <v>0</v>
      </c>
      <c r="AY34" s="15">
        <f>SUM(COUNTIFS('Data entry'!$R$6:$R$200,'Summary Data'!$A34,'Data entry'!$B$6:$B$200,{"Confirmed";"Probable"},'Data entry'!$AQ$6:$AQ$200,'Data Validation'!$V$5, 'Data entry'!$AP$6:$AP$200,'Data Validation'!$U$6, 'Data entry'!$BD$6:$BD$200,"&lt;&gt;*Negative*"))</f>
        <v>0</v>
      </c>
      <c r="AZ34" s="15">
        <f>SUM(COUNTIFS('Data entry'!$R$6:$R$200,'Summary Data'!$A34,'Data entry'!$B$6:$B$200,{"Confirmed";"Probable"},'Data entry'!$AQ$6:$AQ$200,'Data Validation'!$V$6, 'Data entry'!$AP$6:$AP$200,'Data Validation'!$U$2, 'Data entry'!$BD$6:$BD$200,"&lt;&gt;*Negative*"))</f>
        <v>0</v>
      </c>
      <c r="BA34" s="15">
        <f>SUM(COUNTIFS('Data entry'!$R$6:$R$200,'Summary Data'!$A34,'Data entry'!$B$6:$B$200,{"Confirmed";"Probable"},'Data entry'!$AQ$6:$AQ$200,'Data Validation'!$V$6, 'Data entry'!$AP$6:$AP$200,'Data Validation'!$U$3, 'Data entry'!$BD$6:$BD$200,"&lt;&gt;*Negative*"))</f>
        <v>0</v>
      </c>
      <c r="BB34" s="15">
        <f>SUM(COUNTIFS('Data entry'!$R$6:$R$200,'Summary Data'!$A34,'Data entry'!$B$6:$B$200,{"Confirmed";"Probable"},'Data entry'!$AQ$6:$AQ$200,'Data Validation'!$V$6, 'Data entry'!$AP$6:$AP$200,'Data Validation'!$U$4, 'Data entry'!$BD$6:$BD$200,"&lt;&gt;*Negative*"))</f>
        <v>0</v>
      </c>
      <c r="BC34" s="15">
        <f>SUM(COUNTIFS('Data entry'!$R$6:$R$200,'Summary Data'!$A34,'Data entry'!$B$6:$B$200,{"Confirmed";"Probable"},'Data entry'!$AQ$6:$AQ$200,'Data Validation'!$V$6, 'Data entry'!$AP$6:$AP$200,'Data Validation'!$U$5, 'Data entry'!$BD$6:$BD$200,"&lt;&gt;*Negative*"))</f>
        <v>0</v>
      </c>
      <c r="BD34" s="15">
        <f>SUM(COUNTIFS('Data entry'!$R$6:$R$200,'Summary Data'!$A34,'Data entry'!$B$6:$B$200,{"Confirmed";"Probable"},'Data entry'!$AQ$6:$AQ$200,'Data Validation'!$V$6, 'Data entry'!$AP$6:$AP$200,'Data Validation'!$U$6, 'Data entry'!$BD$6:$BD$200,"&lt;&gt;*Negative*"))</f>
        <v>0</v>
      </c>
      <c r="BE34" s="15">
        <f>SUM(COUNTIFS('Data entry'!$R$6:$R$200,'Summary Data'!$A34,'Data entry'!$B$6:$B$200,{"Confirmed";"Probable"},'Data entry'!$AQ$6:$AQ$200,'Data Validation'!$V$7, 'Data entry'!$AP$6:$AP$200,'Data Validation'!$U$2, 'Data entry'!$BD$6:$BD$200,"&lt;&gt;*Negative*"))</f>
        <v>0</v>
      </c>
      <c r="BF34" s="15">
        <f>SUM(COUNTIFS('Data entry'!$R$6:$R$200,'Summary Data'!$A34,'Data entry'!$B$6:$B$200,{"Confirmed";"Probable"},'Data entry'!$AQ$6:$AQ$200,'Data Validation'!$V$7, 'Data entry'!$AP$6:$AP$200,'Data Validation'!$U$3, 'Data entry'!$BD$6:$BD$200,"&lt;&gt;*Negative*"))</f>
        <v>0</v>
      </c>
      <c r="BG34" s="15">
        <f>SUM(COUNTIFS('Data entry'!$R$6:$R$200,'Summary Data'!$A34,'Data entry'!$B$6:$B$200,{"Confirmed";"Probable"},'Data entry'!$AQ$6:$AQ$200,'Data Validation'!$V$7, 'Data entry'!$AP$6:$AP$200,'Data Validation'!$U$4, 'Data entry'!$BD$6:$BD$200,"&lt;&gt;*Negative*"))</f>
        <v>0</v>
      </c>
      <c r="BH34" s="15">
        <f>SUM(COUNTIFS('Data entry'!$R$6:$R$200,'Summary Data'!$A34,'Data entry'!$B$6:$B$200,{"Confirmed";"Probable"},'Data entry'!$AQ$6:$AQ$200,'Data Validation'!$V$7, 'Data entry'!$AP$6:$AP$200,'Data Validation'!$U$5, 'Data entry'!$BD$6:$BD$200,"&lt;&gt;*Negative*"))</f>
        <v>0</v>
      </c>
      <c r="BI34" s="15">
        <f>SUM(COUNTIFS('Data entry'!$R$6:$R$200,'Summary Data'!$A34,'Data entry'!$B$6:$B$200,{"Confirmed";"Probable"},'Data entry'!$AQ$6:$AQ$200,'Data Validation'!$V$7, 'Data entry'!$AP$6:$AP$200,'Data Validation'!$U$6, 'Data entry'!$BD$6:$BD$200,"&lt;&gt;*Negative*"))</f>
        <v>0</v>
      </c>
      <c r="BJ34" s="15">
        <f>SUM(COUNTIFS('Data entry'!$R$6:$R$200,'Summary Data'!$A34,'Data entry'!$B$6:$B$200,{"Confirmed";"Probable"},'Data entry'!$AQ$6:$AQ$200,'Data Validation'!$V$8, 'Data entry'!$AP$6:$AP$200,'Data Validation'!$U$2, 'Data entry'!$BD$6:$BD$200,"&lt;&gt;*Negative*"))</f>
        <v>0</v>
      </c>
      <c r="BK34" s="15">
        <f>SUM(COUNTIFS('Data entry'!$R$6:$R$200,'Summary Data'!$A34,'Data entry'!$B$6:$B$200,{"Confirmed";"Probable"},'Data entry'!$AQ$6:$AQ$200,'Data Validation'!$V$8, 'Data entry'!$AP$6:$AP$200,'Data Validation'!$U$3, 'Data entry'!$BD$6:$BD$200,"&lt;&gt;*Negative*"))</f>
        <v>0</v>
      </c>
      <c r="BL34" s="15">
        <f>SUM(COUNTIFS('Data entry'!$R$6:$R$200,'Summary Data'!$A34,'Data entry'!$B$6:$B$200,{"Confirmed";"Probable"},'Data entry'!$AQ$6:$AQ$200,'Data Validation'!$V$8, 'Data entry'!$AP$6:$AP$200,'Data Validation'!$U$4, 'Data entry'!$BD$6:$BD$200,"&lt;&gt;*Negative*"))</f>
        <v>0</v>
      </c>
      <c r="BM34" s="15">
        <f>SUM(COUNTIFS('Data entry'!$R$6:$R$200,'Summary Data'!$A34,'Data entry'!$B$6:$B$200,{"Confirmed";"Probable"},'Data entry'!$AQ$6:$AQ$200,'Data Validation'!$V$8, 'Data entry'!$AP$6:$AP$200,'Data Validation'!$U$5, 'Data entry'!$BD$6:$BD$200,"&lt;&gt;*Negative*"))</f>
        <v>0</v>
      </c>
      <c r="BN34" s="15">
        <f>SUM(COUNTIFS('Data entry'!$R$6:$R$200,'Summary Data'!$A34,'Data entry'!$B$6:$B$200,{"Confirmed";"Probable"},'Data entry'!$AQ$6:$AQ$200,'Data Validation'!$V$8, 'Data entry'!$AP$6:$AP$200,'Data Validation'!$U$6, 'Data entry'!$BD$6:$BD$200,"&lt;&gt;*Negative*"))</f>
        <v>0</v>
      </c>
      <c r="BO34" s="15">
        <f>SUM(COUNTIFS('Data entry'!$R$6:$R$200,'Summary Data'!$A34,'Data entry'!$B$6:$B$200,{"Confirmed";"Probable"},'Data entry'!$AQ$6:$AQ$200,'Data Validation'!$V$9, 'Data entry'!$AP$6:$AP$200,'Data Validation'!$U$2, 'Data entry'!$BD$6:$BD$200,"&lt;&gt;*Negative*"))</f>
        <v>0</v>
      </c>
      <c r="BP34" s="15">
        <f>SUM(COUNTIFS('Data entry'!$R$6:$R$200,'Summary Data'!$A34,'Data entry'!$B$6:$B$200,{"Confirmed";"Probable"},'Data entry'!$AQ$6:$AQ$200,'Data Validation'!$V$9, 'Data entry'!$AP$6:$AP$200,'Data Validation'!$U$3, 'Data entry'!$BD$6:$BD$200,"&lt;&gt;*Negative*"))</f>
        <v>0</v>
      </c>
      <c r="BQ34" s="15">
        <f>SUM(COUNTIFS('Data entry'!$R$6:$R$200,'Summary Data'!$A34,'Data entry'!$B$6:$B$200,{"Confirmed";"Probable"},'Data entry'!$AQ$6:$AQ$200,'Data Validation'!$V$9, 'Data entry'!$AP$6:$AP$200,'Data Validation'!$U$4, 'Data entry'!$BD$6:$BD$200,"&lt;&gt;*Negative*"))</f>
        <v>0</v>
      </c>
      <c r="BR34" s="15">
        <f>SUM(COUNTIFS('Data entry'!$R$6:$R$200,'Summary Data'!$A34,'Data entry'!$B$6:$B$200,{"Confirmed";"Probable"},'Data entry'!$AQ$6:$AQ$200,'Data Validation'!$V$9, 'Data entry'!$AP$6:$AP$200,'Data Validation'!$U$5, 'Data entry'!$BD$6:$BD$200,"&lt;&gt;*Negative*"))</f>
        <v>0</v>
      </c>
      <c r="BS34" s="15">
        <f>SUM(COUNTIFS('Data entry'!$R$6:$R$200,'Summary Data'!$A34,'Data entry'!$B$6:$B$200,{"Confirmed";"Probable"},'Data entry'!$AQ$6:$AQ$200,'Data Validation'!$V$9, 'Data entry'!$AP$6:$AP$200,'Data Validation'!$U$6, 'Data entry'!$BD$6:$BD$200,"&lt;&gt;*Negative*"))</f>
        <v>0</v>
      </c>
      <c r="BT34" s="15">
        <f>SUM(COUNTIFS('Data entry'!$R$6:$R$200,'Summary Data'!$A34,'Data entry'!$B$6:$B$200,{"Confirmed";"Probable"},'Data entry'!$AQ$6:$AQ$200,'Data Validation'!$V$10, 'Data entry'!$AP$6:$AP$200,'Data Validation'!$U$2, 'Data entry'!$BD$6:$BD$200,"&lt;&gt;*Negative*"))</f>
        <v>0</v>
      </c>
      <c r="BU34" s="15">
        <f>SUM(COUNTIFS('Data entry'!$R$6:$R$200,'Summary Data'!$A34,'Data entry'!$B$6:$B$200,{"Confirmed";"Probable"},'Data entry'!$AQ$6:$AQ$200,'Data Validation'!$V$10, 'Data entry'!$AP$6:$AP$200,'Data Validation'!$U$3, 'Data entry'!$BD$6:$BD$200,"&lt;&gt;*Negative*"))</f>
        <v>0</v>
      </c>
      <c r="BV34" s="15">
        <f>SUM(COUNTIFS('Data entry'!$R$6:$R$200,'Summary Data'!$A34,'Data entry'!$B$6:$B$200,{"Confirmed";"Probable"},'Data entry'!$AQ$6:$AQ$200,'Data Validation'!$V$10, 'Data entry'!$AP$6:$AP$200,'Data Validation'!$U$4, 'Data entry'!$BD$6:$BD$200,"&lt;&gt;*Negative*"))</f>
        <v>0</v>
      </c>
      <c r="BW34" s="15">
        <f>SUM(COUNTIFS('Data entry'!$R$6:$R$200,'Summary Data'!$A34,'Data entry'!$B$6:$B$200,{"Confirmed";"Probable"},'Data entry'!$AQ$6:$AQ$200,'Data Validation'!$V$10, 'Data entry'!$AP$6:$AP$200,'Data Validation'!$U$5, 'Data entry'!$BD$6:$BD$200,"&lt;&gt;*Negative*"))</f>
        <v>0</v>
      </c>
      <c r="BX34" s="15">
        <f>SUM(COUNTIFS('Data entry'!$R$6:$R$200,'Summary Data'!$A34,'Data entry'!$B$6:$B$200,{"Confirmed";"Probable"},'Data entry'!$AQ$6:$AQ$200,'Data Validation'!$V$10, 'Data entry'!$AP$6:$AP$200,'Data Validation'!$U$6, 'Data entry'!$BD$6:$BD$200,"&lt;&gt;*Negative*"))</f>
        <v>0</v>
      </c>
      <c r="BY34" s="15">
        <f>SUM(COUNTIFS('Data entry'!$R$6:$R$200,'Summary Data'!$A34,'Data entry'!$B$6:$B$200,{"Confirmed";"Probable"},'Data entry'!$AQ$6:$AQ$200,'Data Validation'!$V$11, 'Data entry'!$AP$6:$AP$200,'Data Validation'!$U$2, 'Data entry'!$BD$6:$BD$200,"&lt;&gt;*Negative*"))</f>
        <v>0</v>
      </c>
      <c r="BZ34" s="15">
        <f>SUM(COUNTIFS('Data entry'!$R$6:$R$200,'Summary Data'!$A34,'Data entry'!$B$6:$B$200,{"Confirmed";"Probable"},'Data entry'!$AQ$6:$AQ$200,'Data Validation'!$V$11, 'Data entry'!$AP$6:$AP$200,'Data Validation'!$U$3, 'Data entry'!$BD$6:$BD$200,"&lt;&gt;*Negative*"))</f>
        <v>0</v>
      </c>
      <c r="CA34" s="15">
        <f>SUM(COUNTIFS('Data entry'!$R$6:$R$200,'Summary Data'!$A34,'Data entry'!$B$6:$B$200,{"Confirmed";"Probable"},'Data entry'!$AQ$6:$AQ$200,'Data Validation'!$V$11, 'Data entry'!$AP$6:$AP$200,'Data Validation'!$U$4, 'Data entry'!$BD$6:$BD$200,"&lt;&gt;*Negative*"))</f>
        <v>0</v>
      </c>
      <c r="CB34" s="15">
        <f>SUM(COUNTIFS('Data entry'!$R$6:$R$200,'Summary Data'!$A34,'Data entry'!$B$6:$B$200,{"Confirmed";"Probable"},'Data entry'!$AQ$6:$AQ$200,'Data Validation'!$V$11, 'Data entry'!$AP$6:$AP$200,'Data Validation'!$U$5, 'Data entry'!$BD$6:$BD$200,"&lt;&gt;*Negative*"))</f>
        <v>0</v>
      </c>
      <c r="CC34" s="15">
        <f>SUM(COUNTIFS('Data entry'!$R$6:$R$200,'Summary Data'!$A34,'Data entry'!$B$6:$B$200,{"Confirmed";"Probable"},'Data entry'!$AQ$6:$AQ$200,'Data Validation'!$V$11, 'Data entry'!$AP$6:$AP$200,'Data Validation'!$U$6, 'Data entry'!$BD$6:$BD$200,"&lt;&gt;*Negative*"))</f>
        <v>0</v>
      </c>
    </row>
    <row r="35" spans="1:81" x14ac:dyDescent="0.25">
      <c r="A35" s="12">
        <f t="shared" si="5"/>
        <v>23</v>
      </c>
      <c r="B35" s="13">
        <f t="shared" si="2"/>
        <v>0</v>
      </c>
      <c r="C35" s="13">
        <f>COUNTIFS('Data entry'!$R$6:$R$200,$A35,'Data entry'!$B$6:$B$200,"Confirmed",'Data entry'!$BD$6:$BD$200,"&lt;&gt;*Negative*")</f>
        <v>0</v>
      </c>
      <c r="D35" s="13">
        <f>COUNTIFS('Data entry'!$R$6:$R$200,$A35,'Data entry'!$B$6:$B$200,"Probable",'Data entry'!$BD$6:$BD$200,"&lt;&gt;*Negative*")</f>
        <v>0</v>
      </c>
      <c r="E35" s="13">
        <f>COUNTIFS('Data entry'!$R$6:$R$200,$A35,'Data entry'!$B$6:$B$200,"DNM")</f>
        <v>0</v>
      </c>
      <c r="F35" s="13">
        <f>SUM(COUNTIFS('Data entry'!$R$6:$R$200,'Summary Data'!$A35,'Data entry'!$B$6:$B$200,{"Confirmed";"Probable"},'Data entry'!$AO$6:$AO$200,$F$10, 'Data entry'!$BD$6:$BD$200,"&lt;&gt;*Negative*"))</f>
        <v>0</v>
      </c>
      <c r="G35" s="13">
        <f>SUM(COUNTIFS('Data entry'!$R$6:$R$200,'Summary Data'!$A35,'Data entry'!$B$6:$B$200,{"Confirmed";"Probable"},'Data entry'!$AO$6:$AO$200,$G$10, 'Data entry'!$BD$6:$BD$200,"&lt;&gt;*Negative*"))</f>
        <v>0</v>
      </c>
      <c r="H35" s="13">
        <f>SUM(COUNTIFS('Data entry'!$R$6:$R$200,'Summary Data'!$A35,'Data entry'!$B$6:$B$200,{"Confirmed";"Probable"},'Data entry'!$AO$6:$AO$200,$H$10, 'Data entry'!$BD$6:$BD$200,"&lt;&gt;*Negative*"))</f>
        <v>0</v>
      </c>
      <c r="I35" s="13">
        <f>SUM(COUNTIFS('Data entry'!$R$6:$R$200,'Summary Data'!$A35,'Data entry'!$B$6:$B$200,{"Confirmed";"Probable"},'Data entry'!$AO$6:$AO$200,$I$10, 'Data entry'!$BD$6:$BD$200,"&lt;&gt;*Negative*"))</f>
        <v>0</v>
      </c>
      <c r="J35" s="13">
        <f>SUM(COUNTIFS('Data entry'!$R$6:$R$200,'Summary Data'!$A35,'Data entry'!$B$6:$B$200,{"Confirmed";"Probable"},'Data entry'!$AO$6:$AO$200,$J$10, 'Data entry'!$BD$6:$BD$200,"&lt;&gt;*Negative*"))</f>
        <v>0</v>
      </c>
      <c r="K35" s="13">
        <f>SUM(COUNTIFS('Data entry'!$R$6:$R$200,'Summary Data'!$A35,'Data entry'!$B$6:$B$200,{"Confirmed";"Probable"},'Data entry'!$AO$6:$AO$200,$K$10, 'Data entry'!$BD$6:$BD$200,"&lt;&gt;*Negative*"))</f>
        <v>0</v>
      </c>
      <c r="L35" s="13">
        <f>SUM(COUNTIFS('Data entry'!$R$6:$R$200,'Summary Data'!$A35,'Data entry'!$B$6:$B$200,{"Confirmed";"Probable"},'Data entry'!$AO$6:$AO$200,$L$10, 'Data entry'!$BD$6:$BD$200,"&lt;&gt;*Negative*"))</f>
        <v>0</v>
      </c>
      <c r="M35" s="13">
        <f>SUM(COUNTIFS('Data entry'!$R$6:$R$200,'Summary Data'!$A35,'Data entry'!$B$6:$B$200,{"Confirmed";"Probable"},'Data entry'!$AO$6:$AO$200,$M$10, 'Data entry'!$BD$6:$BD$200,"&lt;&gt;*Negative*"))</f>
        <v>0</v>
      </c>
      <c r="N35" s="13">
        <f>SUM(COUNTIFS('Data entry'!$R$6:$R$200,'Summary Data'!$A35,'Data entry'!$B$6:$B$200,{"Confirmed";"Probable"},'Data entry'!$AO$6:$AO$200,$N$10, 'Data entry'!$BD$6:$BD$200,"&lt;&gt;*Negative*"))</f>
        <v>0</v>
      </c>
      <c r="O35" s="15">
        <f t="shared" si="3"/>
        <v>0</v>
      </c>
      <c r="P35" s="15">
        <f t="shared" si="4"/>
        <v>0</v>
      </c>
      <c r="Q35" s="15">
        <f>SUM(COUNTIFS('Data entry'!$R$6:$R$200,'Summary Data'!$A35,'Data entry'!$B$6:$B$200,{"Confirmed";"Probable"},'Data entry'!$AP$6:$AP$200,'Data Validation'!$U$2, 'Data entry'!$BD$6:$BD$200,"&lt;&gt;*Negative*"))</f>
        <v>0</v>
      </c>
      <c r="R35" s="15">
        <f>SUM(COUNTIFS('Data entry'!$R$6:$R$200,'Summary Data'!$A35,'Data entry'!$B$6:$B$200,{"Confirmed";"Probable"},'Data entry'!$AP$6:$AP$200,'Data Validation'!$U$3, 'Data entry'!$BD$6:$BD$200,"&lt;&gt;*Negative*"))</f>
        <v>0</v>
      </c>
      <c r="S35" s="15">
        <f>SUM(COUNTIFS('Data entry'!$R$6:$R$200,'Summary Data'!$A35,'Data entry'!$B$6:$B$200,{"Confirmed";"Probable"},'Data entry'!$AP$6:$AP$200,'Data Validation'!$U$4, 'Data entry'!$BD$6:$BD$200,"&lt;&gt;*Negative*"))</f>
        <v>0</v>
      </c>
      <c r="T35" s="15">
        <f>SUM(COUNTIFS('Data entry'!$R$6:$R$200,'Summary Data'!$A35,'Data entry'!$B$6:$B$200,{"Confirmed";"Probable"},'Data entry'!$AP$6:$AP$200,'Data Validation'!$U$5, 'Data entry'!$BD$6:$BD$200,"&lt;&gt;*Negative*"))</f>
        <v>0</v>
      </c>
      <c r="U35" s="15">
        <f>SUM(COUNTIFS('Data entry'!$R$6:$R$200,'Summary Data'!$A35,'Data entry'!$B$6:$B$200,{"Confirmed";"Probable"},'Data entry'!$AP$6:$AP$200,'Data Validation'!$U$6, 'Data entry'!$BD$6:$BD$200,"&lt;&gt;*Negative*"))</f>
        <v>0</v>
      </c>
      <c r="V35" s="15">
        <f>SUM(COUNTIFS('Data entry'!$R$6:$R$200,'Summary Data'!$A35,'Data entry'!$B$6:$B$200,{"Confirmed";"Probable"},'Data entry'!$AQ$6:$AQ$200,'Data Validation'!$V$2, 'Data entry'!$BD$6:$BD$200,"&lt;&gt;*Negative*"))</f>
        <v>0</v>
      </c>
      <c r="W35" s="15">
        <f>SUM(COUNTIFS('Data entry'!$R$6:$R$200,'Summary Data'!$A35,'Data entry'!$B$6:$B$200,{"Confirmed";"Probable"},'Data entry'!$AQ$6:$AQ$200,'Data Validation'!$V$3, 'Data entry'!$BD$6:$BD$200,"&lt;&gt;*Negative*"))</f>
        <v>0</v>
      </c>
      <c r="X35" s="15">
        <f>SUM(COUNTIFS('Data entry'!$R$6:$R$200,'Summary Data'!$A35,'Data entry'!$B$6:$B$200,{"Confirmed";"Probable"},'Data entry'!$AQ$6:$AQ$200,'Data Validation'!$V$4, 'Data entry'!$BD$6:$BD$200,"&lt;&gt;*Negative*"))</f>
        <v>0</v>
      </c>
      <c r="Y35" s="15">
        <f>SUM(COUNTIFS('Data entry'!$R$6:$R$200,'Summary Data'!$A35,'Data entry'!$B$6:$B$200,{"Confirmed";"Probable"},'Data entry'!$AQ$6:$AQ$200,'Data Validation'!$V$5, 'Data entry'!$BD$6:$BD$200,"&lt;&gt;*Negative*"))</f>
        <v>0</v>
      </c>
      <c r="Z35" s="15">
        <f>SUM(COUNTIFS('Data entry'!$R$6:$R$200,'Summary Data'!$A35,'Data entry'!$B$6:$B$200,{"Confirmed";"Probable"},'Data entry'!$AQ$6:$AQ$200,'Data Validation'!$V$6, 'Data entry'!$BD$6:$BD$200,"&lt;&gt;*Negative*"))</f>
        <v>0</v>
      </c>
      <c r="AA35" s="15">
        <f>SUM(COUNTIFS('Data entry'!$R$6:$R$200,'Summary Data'!$A35,'Data entry'!$B$6:$B$200,{"Confirmed";"Probable"},'Data entry'!$AQ$6:$AQ$200,'Data Validation'!$V$7, 'Data entry'!$BD$6:$BD$200,"&lt;&gt;*Negative*"))</f>
        <v>0</v>
      </c>
      <c r="AB35" s="15">
        <f>SUM(COUNTIFS('Data entry'!$R$6:$R$200,'Summary Data'!$A35,'Data entry'!$B$6:$B$200,{"Confirmed";"Probable"},'Data entry'!$AQ$6:$AQ$200,'Data Validation'!$V$8, 'Data entry'!$BD$6:$BD$200,"&lt;&gt;*Negative*"))</f>
        <v>0</v>
      </c>
      <c r="AC35" s="15">
        <f>SUM(COUNTIFS('Data entry'!$R$6:$R$200,'Summary Data'!$A35,'Data entry'!$B$6:$B$200,{"Confirmed";"Probable"},'Data entry'!$AQ$6:$AQ$200,'Data Validation'!$V$9, 'Data entry'!$BD$6:$BD$200,"&lt;&gt;*Negative*"))</f>
        <v>0</v>
      </c>
      <c r="AD35" s="15">
        <f>SUM(COUNTIFS('Data entry'!$R$6:$R$200,'Summary Data'!$A35,'Data entry'!$B$6:$B$200,{"Confirmed";"Probable"},'Data entry'!$AQ$6:$AQ$200,'Data Validation'!$V$10, 'Data entry'!$BD$6:$BD$200,"&lt;&gt;*Negative*"))</f>
        <v>0</v>
      </c>
      <c r="AE35" s="15">
        <f>SUM(COUNTIFS('Data entry'!$R$6:$R$200,'Summary Data'!$A35,'Data entry'!$B$6:$B$200,{"Confirmed";"Probable"},'Data entry'!$AQ$6:$AQ$200,'Data Validation'!$V$11, 'Data entry'!$BD$6:$BD$200,"&lt;&gt;*Negative*"))</f>
        <v>0</v>
      </c>
      <c r="AF35" s="15">
        <f>SUM(COUNTIFS('Data entry'!$R$6:$R$200,'Summary Data'!$A35,'Data entry'!$B$6:$B$200,{"Confirmed";"Probable"},'Data entry'!$AQ$6:$AQ$200,'Data Validation'!$V$2, 'Data entry'!$AP$6:$AP$200,'Data Validation'!$U$2, 'Data entry'!$BD$6:$BD$200,"&lt;&gt;*Negative*"))</f>
        <v>0</v>
      </c>
      <c r="AG35" s="15">
        <f>SUM(COUNTIFS('Data entry'!$R$6:$R$200,'Summary Data'!$A35,'Data entry'!$B$6:$B$200,{"Confirmed";"Probable"},'Data entry'!$AQ$6:$AQ$200,'Data Validation'!$V$2, 'Data entry'!$AP$6:$AP$200,'Data Validation'!$U$3, 'Data entry'!$BD$6:$BD$200,"&lt;&gt;*Negative*"))</f>
        <v>0</v>
      </c>
      <c r="AH35" s="15">
        <f>SUM(COUNTIFS('Data entry'!$R$6:$R$200,'Summary Data'!$A35,'Data entry'!$B$6:$B$200,{"Confirmed";"Probable"},'Data entry'!$AQ$6:$AQ$200,'Data Validation'!$V$2, 'Data entry'!$AP$6:$AP$200,'Data Validation'!$U$4, 'Data entry'!$BD$6:$BD$200,"&lt;&gt;*Negative*"))</f>
        <v>0</v>
      </c>
      <c r="AI35" s="15">
        <f>SUM(COUNTIFS('Data entry'!$R$6:$R$200,'Summary Data'!$A35,'Data entry'!$B$6:$B$200,{"Confirmed";"Probable"},'Data entry'!$AQ$6:$AQ$200,'Data Validation'!$V$2, 'Data entry'!$AP$6:$AP$200,'Data Validation'!$U$5, 'Data entry'!$BD$6:$BD$200,"&lt;&gt;*Negative*"))</f>
        <v>0</v>
      </c>
      <c r="AJ35" s="15">
        <f>SUM(COUNTIFS('Data entry'!$R$6:$R$200,'Summary Data'!$A35,'Data entry'!$B$6:$B$200,{"Confirmed";"Probable"},'Data entry'!$AQ$6:$AQ$200,'Data Validation'!$V$2, 'Data entry'!$AP$6:$AP$200,'Data Validation'!$U$6, 'Data entry'!$BD$6:$BD$200,"&lt;&gt;*Negative*"))</f>
        <v>0</v>
      </c>
      <c r="AK35" s="15">
        <f>SUM(COUNTIFS('Data entry'!$R$6:$R$200,'Summary Data'!$A35,'Data entry'!$B$6:$B$200,{"Confirmed";"Probable"},'Data entry'!$AQ$6:$AQ$200,'Data Validation'!$V$3, 'Data entry'!$AP$6:$AP$200,'Data Validation'!$U$2, 'Data entry'!$BD$6:$BD$200,"&lt;&gt;*Negative*"))</f>
        <v>0</v>
      </c>
      <c r="AL35" s="15">
        <f>SUM(COUNTIFS('Data entry'!$R$6:$R$200,'Summary Data'!$A35,'Data entry'!$B$6:$B$200,{"Confirmed";"Probable"},'Data entry'!$AQ$6:$AQ$200,'Data Validation'!$V$3, 'Data entry'!$AP$6:$AP$200,'Data Validation'!$U$3, 'Data entry'!$BD$6:$BD$200,"&lt;&gt;*Negative*"))</f>
        <v>0</v>
      </c>
      <c r="AM35" s="15">
        <f>SUM(COUNTIFS('Data entry'!$R$6:$R$200,'Summary Data'!$A35,'Data entry'!$B$6:$B$200,{"Confirmed";"Probable"},'Data entry'!$AQ$6:$AQ$200,'Data Validation'!$V$3, 'Data entry'!$AP$6:$AP$200,'Data Validation'!$U$4, 'Data entry'!$BD$6:$BD$200,"&lt;&gt;*Negative*"))</f>
        <v>0</v>
      </c>
      <c r="AN35" s="15">
        <f>SUM(COUNTIFS('Data entry'!$R$6:$R$200,'Summary Data'!$A35,'Data entry'!$B$6:$B$200,{"Confirmed";"Probable"},'Data entry'!$AQ$6:$AQ$200,'Data Validation'!$V$3, 'Data entry'!$AP$6:$AP$200,'Data Validation'!$U$5, 'Data entry'!$BD$6:$BD$200,"&lt;&gt;*Negative*"))</f>
        <v>0</v>
      </c>
      <c r="AO35" s="15">
        <f>SUM(COUNTIFS('Data entry'!$R$6:$R$200,'Summary Data'!$A35,'Data entry'!$B$6:$B$200,{"Confirmed";"Probable"},'Data entry'!$AQ$6:$AQ$200,'Data Validation'!$V$3, 'Data entry'!$AP$6:$AP$200,'Data Validation'!$U$6, 'Data entry'!$BD$6:$BD$200,"&lt;&gt;*Negative*"))</f>
        <v>0</v>
      </c>
      <c r="AP35" s="15">
        <f>SUM(COUNTIFS('Data entry'!$R$6:$R$200,'Summary Data'!$A35,'Data entry'!$B$6:$B$200,{"Confirmed";"Probable"},'Data entry'!$AQ$6:$AQ$200,'Data Validation'!$V$4, 'Data entry'!$AP$6:$AP$200,'Data Validation'!$U$2, 'Data entry'!$BD$6:$BD$200,"&lt;&gt;*Negative*"))</f>
        <v>0</v>
      </c>
      <c r="AQ35" s="15">
        <f>SUM(COUNTIFS('Data entry'!$R$6:$R$200,'Summary Data'!$A35,'Data entry'!$B$6:$B$200,{"Confirmed";"Probable"},'Data entry'!$AQ$6:$AQ$200,'Data Validation'!$V$4, 'Data entry'!$AP$6:$AP$200,'Data Validation'!$U$3, 'Data entry'!$BD$6:$BD$200,"&lt;&gt;*Negative*"))</f>
        <v>0</v>
      </c>
      <c r="AR35" s="15">
        <f>SUM(COUNTIFS('Data entry'!$R$6:$R$200,'Summary Data'!$A35,'Data entry'!$B$6:$B$200,{"Confirmed";"Probable"},'Data entry'!$AQ$6:$AQ$200,'Data Validation'!$V$4, 'Data entry'!$AP$6:$AP$200,'Data Validation'!$U$4, 'Data entry'!$BD$6:$BD$200,"&lt;&gt;*Negative*"))</f>
        <v>0</v>
      </c>
      <c r="AS35" s="15">
        <f>SUM(COUNTIFS('Data entry'!$R$6:$R$200,'Summary Data'!$A35,'Data entry'!$B$6:$B$200,{"Confirmed";"Probable"},'Data entry'!$AQ$6:$AQ$200,'Data Validation'!$V$4, 'Data entry'!$AP$6:$AP$200,'Data Validation'!$U$5, 'Data entry'!$BD$6:$BD$200,"&lt;&gt;*Negative*"))</f>
        <v>0</v>
      </c>
      <c r="AT35" s="15">
        <f>SUM(COUNTIFS('Data entry'!$R$6:$R$200,'Summary Data'!$A35,'Data entry'!$B$6:$B$200,{"Confirmed";"Probable"},'Data entry'!$AQ$6:$AQ$200,'Data Validation'!$V$4, 'Data entry'!$AP$6:$AP$200,'Data Validation'!$U$6, 'Data entry'!$BD$6:$BD$200,"&lt;&gt;*Negative*"))</f>
        <v>0</v>
      </c>
      <c r="AU35" s="15">
        <f>SUM(COUNTIFS('Data entry'!$R$6:$R$200,'Summary Data'!$A35,'Data entry'!$B$6:$B$200,{"Confirmed";"Probable"},'Data entry'!$AQ$6:$AQ$200,'Data Validation'!$V$5, 'Data entry'!$AP$6:$AP$200,'Data Validation'!$U$2, 'Data entry'!$BD$6:$BD$200,"&lt;&gt;*Negative*"))</f>
        <v>0</v>
      </c>
      <c r="AV35" s="15">
        <f>SUM(COUNTIFS('Data entry'!$R$6:$R$200,'Summary Data'!$A35,'Data entry'!$B$6:$B$200,{"Confirmed";"Probable"},'Data entry'!$AQ$6:$AQ$200,'Data Validation'!$V$5, 'Data entry'!$AP$6:$AP$200,'Data Validation'!$U$3, 'Data entry'!$BD$6:$BD$200,"&lt;&gt;*Negative*"))</f>
        <v>0</v>
      </c>
      <c r="AW35" s="15">
        <f>SUM(COUNTIFS('Data entry'!$R$6:$R$200,'Summary Data'!$A35,'Data entry'!$B$6:$B$200,{"Confirmed";"Probable"},'Data entry'!$AQ$6:$AQ$200,'Data Validation'!$V$5, 'Data entry'!$AP$6:$AP$200,'Data Validation'!$U$4, 'Data entry'!$BD$6:$BD$200,"&lt;&gt;*Negative*"))</f>
        <v>0</v>
      </c>
      <c r="AX35" s="15">
        <f>SUM(COUNTIFS('Data entry'!$R$6:$R$200,'Summary Data'!$A35,'Data entry'!$B$6:$B$200,{"Confirmed";"Probable"},'Data entry'!$AQ$6:$AQ$200,'Data Validation'!$V$5, 'Data entry'!$AP$6:$AP$200,'Data Validation'!$U$5, 'Data entry'!$BD$6:$BD$200,"&lt;&gt;*Negative*"))</f>
        <v>0</v>
      </c>
      <c r="AY35" s="15">
        <f>SUM(COUNTIFS('Data entry'!$R$6:$R$200,'Summary Data'!$A35,'Data entry'!$B$6:$B$200,{"Confirmed";"Probable"},'Data entry'!$AQ$6:$AQ$200,'Data Validation'!$V$5, 'Data entry'!$AP$6:$AP$200,'Data Validation'!$U$6, 'Data entry'!$BD$6:$BD$200,"&lt;&gt;*Negative*"))</f>
        <v>0</v>
      </c>
      <c r="AZ35" s="15">
        <f>SUM(COUNTIFS('Data entry'!$R$6:$R$200,'Summary Data'!$A35,'Data entry'!$B$6:$B$200,{"Confirmed";"Probable"},'Data entry'!$AQ$6:$AQ$200,'Data Validation'!$V$6, 'Data entry'!$AP$6:$AP$200,'Data Validation'!$U$2, 'Data entry'!$BD$6:$BD$200,"&lt;&gt;*Negative*"))</f>
        <v>0</v>
      </c>
      <c r="BA35" s="15">
        <f>SUM(COUNTIFS('Data entry'!$R$6:$R$200,'Summary Data'!$A35,'Data entry'!$B$6:$B$200,{"Confirmed";"Probable"},'Data entry'!$AQ$6:$AQ$200,'Data Validation'!$V$6, 'Data entry'!$AP$6:$AP$200,'Data Validation'!$U$3, 'Data entry'!$BD$6:$BD$200,"&lt;&gt;*Negative*"))</f>
        <v>0</v>
      </c>
      <c r="BB35" s="15">
        <f>SUM(COUNTIFS('Data entry'!$R$6:$R$200,'Summary Data'!$A35,'Data entry'!$B$6:$B$200,{"Confirmed";"Probable"},'Data entry'!$AQ$6:$AQ$200,'Data Validation'!$V$6, 'Data entry'!$AP$6:$AP$200,'Data Validation'!$U$4, 'Data entry'!$BD$6:$BD$200,"&lt;&gt;*Negative*"))</f>
        <v>0</v>
      </c>
      <c r="BC35" s="15">
        <f>SUM(COUNTIFS('Data entry'!$R$6:$R$200,'Summary Data'!$A35,'Data entry'!$B$6:$B$200,{"Confirmed";"Probable"},'Data entry'!$AQ$6:$AQ$200,'Data Validation'!$V$6, 'Data entry'!$AP$6:$AP$200,'Data Validation'!$U$5, 'Data entry'!$BD$6:$BD$200,"&lt;&gt;*Negative*"))</f>
        <v>0</v>
      </c>
      <c r="BD35" s="15">
        <f>SUM(COUNTIFS('Data entry'!$R$6:$R$200,'Summary Data'!$A35,'Data entry'!$B$6:$B$200,{"Confirmed";"Probable"},'Data entry'!$AQ$6:$AQ$200,'Data Validation'!$V$6, 'Data entry'!$AP$6:$AP$200,'Data Validation'!$U$6, 'Data entry'!$BD$6:$BD$200,"&lt;&gt;*Negative*"))</f>
        <v>0</v>
      </c>
      <c r="BE35" s="15">
        <f>SUM(COUNTIFS('Data entry'!$R$6:$R$200,'Summary Data'!$A35,'Data entry'!$B$6:$B$200,{"Confirmed";"Probable"},'Data entry'!$AQ$6:$AQ$200,'Data Validation'!$V$7, 'Data entry'!$AP$6:$AP$200,'Data Validation'!$U$2, 'Data entry'!$BD$6:$BD$200,"&lt;&gt;*Negative*"))</f>
        <v>0</v>
      </c>
      <c r="BF35" s="15">
        <f>SUM(COUNTIFS('Data entry'!$R$6:$R$200,'Summary Data'!$A35,'Data entry'!$B$6:$B$200,{"Confirmed";"Probable"},'Data entry'!$AQ$6:$AQ$200,'Data Validation'!$V$7, 'Data entry'!$AP$6:$AP$200,'Data Validation'!$U$3, 'Data entry'!$BD$6:$BD$200,"&lt;&gt;*Negative*"))</f>
        <v>0</v>
      </c>
      <c r="BG35" s="15">
        <f>SUM(COUNTIFS('Data entry'!$R$6:$R$200,'Summary Data'!$A35,'Data entry'!$B$6:$B$200,{"Confirmed";"Probable"},'Data entry'!$AQ$6:$AQ$200,'Data Validation'!$V$7, 'Data entry'!$AP$6:$AP$200,'Data Validation'!$U$4, 'Data entry'!$BD$6:$BD$200,"&lt;&gt;*Negative*"))</f>
        <v>0</v>
      </c>
      <c r="BH35" s="15">
        <f>SUM(COUNTIFS('Data entry'!$R$6:$R$200,'Summary Data'!$A35,'Data entry'!$B$6:$B$200,{"Confirmed";"Probable"},'Data entry'!$AQ$6:$AQ$200,'Data Validation'!$V$7, 'Data entry'!$AP$6:$AP$200,'Data Validation'!$U$5, 'Data entry'!$BD$6:$BD$200,"&lt;&gt;*Negative*"))</f>
        <v>0</v>
      </c>
      <c r="BI35" s="15">
        <f>SUM(COUNTIFS('Data entry'!$R$6:$R$200,'Summary Data'!$A35,'Data entry'!$B$6:$B$200,{"Confirmed";"Probable"},'Data entry'!$AQ$6:$AQ$200,'Data Validation'!$V$7, 'Data entry'!$AP$6:$AP$200,'Data Validation'!$U$6, 'Data entry'!$BD$6:$BD$200,"&lt;&gt;*Negative*"))</f>
        <v>0</v>
      </c>
      <c r="BJ35" s="15">
        <f>SUM(COUNTIFS('Data entry'!$R$6:$R$200,'Summary Data'!$A35,'Data entry'!$B$6:$B$200,{"Confirmed";"Probable"},'Data entry'!$AQ$6:$AQ$200,'Data Validation'!$V$8, 'Data entry'!$AP$6:$AP$200,'Data Validation'!$U$2, 'Data entry'!$BD$6:$BD$200,"&lt;&gt;*Negative*"))</f>
        <v>0</v>
      </c>
      <c r="BK35" s="15">
        <f>SUM(COUNTIFS('Data entry'!$R$6:$R$200,'Summary Data'!$A35,'Data entry'!$B$6:$B$200,{"Confirmed";"Probable"},'Data entry'!$AQ$6:$AQ$200,'Data Validation'!$V$8, 'Data entry'!$AP$6:$AP$200,'Data Validation'!$U$3, 'Data entry'!$BD$6:$BD$200,"&lt;&gt;*Negative*"))</f>
        <v>0</v>
      </c>
      <c r="BL35" s="15">
        <f>SUM(COUNTIFS('Data entry'!$R$6:$R$200,'Summary Data'!$A35,'Data entry'!$B$6:$B$200,{"Confirmed";"Probable"},'Data entry'!$AQ$6:$AQ$200,'Data Validation'!$V$8, 'Data entry'!$AP$6:$AP$200,'Data Validation'!$U$4, 'Data entry'!$BD$6:$BD$200,"&lt;&gt;*Negative*"))</f>
        <v>0</v>
      </c>
      <c r="BM35" s="15">
        <f>SUM(COUNTIFS('Data entry'!$R$6:$R$200,'Summary Data'!$A35,'Data entry'!$B$6:$B$200,{"Confirmed";"Probable"},'Data entry'!$AQ$6:$AQ$200,'Data Validation'!$V$8, 'Data entry'!$AP$6:$AP$200,'Data Validation'!$U$5, 'Data entry'!$BD$6:$BD$200,"&lt;&gt;*Negative*"))</f>
        <v>0</v>
      </c>
      <c r="BN35" s="15">
        <f>SUM(COUNTIFS('Data entry'!$R$6:$R$200,'Summary Data'!$A35,'Data entry'!$B$6:$B$200,{"Confirmed";"Probable"},'Data entry'!$AQ$6:$AQ$200,'Data Validation'!$V$8, 'Data entry'!$AP$6:$AP$200,'Data Validation'!$U$6, 'Data entry'!$BD$6:$BD$200,"&lt;&gt;*Negative*"))</f>
        <v>0</v>
      </c>
      <c r="BO35" s="15">
        <f>SUM(COUNTIFS('Data entry'!$R$6:$R$200,'Summary Data'!$A35,'Data entry'!$B$6:$B$200,{"Confirmed";"Probable"},'Data entry'!$AQ$6:$AQ$200,'Data Validation'!$V$9, 'Data entry'!$AP$6:$AP$200,'Data Validation'!$U$2, 'Data entry'!$BD$6:$BD$200,"&lt;&gt;*Negative*"))</f>
        <v>0</v>
      </c>
      <c r="BP35" s="15">
        <f>SUM(COUNTIFS('Data entry'!$R$6:$R$200,'Summary Data'!$A35,'Data entry'!$B$6:$B$200,{"Confirmed";"Probable"},'Data entry'!$AQ$6:$AQ$200,'Data Validation'!$V$9, 'Data entry'!$AP$6:$AP$200,'Data Validation'!$U$3, 'Data entry'!$BD$6:$BD$200,"&lt;&gt;*Negative*"))</f>
        <v>0</v>
      </c>
      <c r="BQ35" s="15">
        <f>SUM(COUNTIFS('Data entry'!$R$6:$R$200,'Summary Data'!$A35,'Data entry'!$B$6:$B$200,{"Confirmed";"Probable"},'Data entry'!$AQ$6:$AQ$200,'Data Validation'!$V$9, 'Data entry'!$AP$6:$AP$200,'Data Validation'!$U$4, 'Data entry'!$BD$6:$BD$200,"&lt;&gt;*Negative*"))</f>
        <v>0</v>
      </c>
      <c r="BR35" s="15">
        <f>SUM(COUNTIFS('Data entry'!$R$6:$R$200,'Summary Data'!$A35,'Data entry'!$B$6:$B$200,{"Confirmed";"Probable"},'Data entry'!$AQ$6:$AQ$200,'Data Validation'!$V$9, 'Data entry'!$AP$6:$AP$200,'Data Validation'!$U$5, 'Data entry'!$BD$6:$BD$200,"&lt;&gt;*Negative*"))</f>
        <v>0</v>
      </c>
      <c r="BS35" s="15">
        <f>SUM(COUNTIFS('Data entry'!$R$6:$R$200,'Summary Data'!$A35,'Data entry'!$B$6:$B$200,{"Confirmed";"Probable"},'Data entry'!$AQ$6:$AQ$200,'Data Validation'!$V$9, 'Data entry'!$AP$6:$AP$200,'Data Validation'!$U$6, 'Data entry'!$BD$6:$BD$200,"&lt;&gt;*Negative*"))</f>
        <v>0</v>
      </c>
      <c r="BT35" s="15">
        <f>SUM(COUNTIFS('Data entry'!$R$6:$R$200,'Summary Data'!$A35,'Data entry'!$B$6:$B$200,{"Confirmed";"Probable"},'Data entry'!$AQ$6:$AQ$200,'Data Validation'!$V$10, 'Data entry'!$AP$6:$AP$200,'Data Validation'!$U$2, 'Data entry'!$BD$6:$BD$200,"&lt;&gt;*Negative*"))</f>
        <v>0</v>
      </c>
      <c r="BU35" s="15">
        <f>SUM(COUNTIFS('Data entry'!$R$6:$R$200,'Summary Data'!$A35,'Data entry'!$B$6:$B$200,{"Confirmed";"Probable"},'Data entry'!$AQ$6:$AQ$200,'Data Validation'!$V$10, 'Data entry'!$AP$6:$AP$200,'Data Validation'!$U$3, 'Data entry'!$BD$6:$BD$200,"&lt;&gt;*Negative*"))</f>
        <v>0</v>
      </c>
      <c r="BV35" s="15">
        <f>SUM(COUNTIFS('Data entry'!$R$6:$R$200,'Summary Data'!$A35,'Data entry'!$B$6:$B$200,{"Confirmed";"Probable"},'Data entry'!$AQ$6:$AQ$200,'Data Validation'!$V$10, 'Data entry'!$AP$6:$AP$200,'Data Validation'!$U$4, 'Data entry'!$BD$6:$BD$200,"&lt;&gt;*Negative*"))</f>
        <v>0</v>
      </c>
      <c r="BW35" s="15">
        <f>SUM(COUNTIFS('Data entry'!$R$6:$R$200,'Summary Data'!$A35,'Data entry'!$B$6:$B$200,{"Confirmed";"Probable"},'Data entry'!$AQ$6:$AQ$200,'Data Validation'!$V$10, 'Data entry'!$AP$6:$AP$200,'Data Validation'!$U$5, 'Data entry'!$BD$6:$BD$200,"&lt;&gt;*Negative*"))</f>
        <v>0</v>
      </c>
      <c r="BX35" s="15">
        <f>SUM(COUNTIFS('Data entry'!$R$6:$R$200,'Summary Data'!$A35,'Data entry'!$B$6:$B$200,{"Confirmed";"Probable"},'Data entry'!$AQ$6:$AQ$200,'Data Validation'!$V$10, 'Data entry'!$AP$6:$AP$200,'Data Validation'!$U$6, 'Data entry'!$BD$6:$BD$200,"&lt;&gt;*Negative*"))</f>
        <v>0</v>
      </c>
      <c r="BY35" s="15">
        <f>SUM(COUNTIFS('Data entry'!$R$6:$R$200,'Summary Data'!$A35,'Data entry'!$B$6:$B$200,{"Confirmed";"Probable"},'Data entry'!$AQ$6:$AQ$200,'Data Validation'!$V$11, 'Data entry'!$AP$6:$AP$200,'Data Validation'!$U$2, 'Data entry'!$BD$6:$BD$200,"&lt;&gt;*Negative*"))</f>
        <v>0</v>
      </c>
      <c r="BZ35" s="15">
        <f>SUM(COUNTIFS('Data entry'!$R$6:$R$200,'Summary Data'!$A35,'Data entry'!$B$6:$B$200,{"Confirmed";"Probable"},'Data entry'!$AQ$6:$AQ$200,'Data Validation'!$V$11, 'Data entry'!$AP$6:$AP$200,'Data Validation'!$U$3, 'Data entry'!$BD$6:$BD$200,"&lt;&gt;*Negative*"))</f>
        <v>0</v>
      </c>
      <c r="CA35" s="15">
        <f>SUM(COUNTIFS('Data entry'!$R$6:$R$200,'Summary Data'!$A35,'Data entry'!$B$6:$B$200,{"Confirmed";"Probable"},'Data entry'!$AQ$6:$AQ$200,'Data Validation'!$V$11, 'Data entry'!$AP$6:$AP$200,'Data Validation'!$U$4, 'Data entry'!$BD$6:$BD$200,"&lt;&gt;*Negative*"))</f>
        <v>0</v>
      </c>
      <c r="CB35" s="15">
        <f>SUM(COUNTIFS('Data entry'!$R$6:$R$200,'Summary Data'!$A35,'Data entry'!$B$6:$B$200,{"Confirmed";"Probable"},'Data entry'!$AQ$6:$AQ$200,'Data Validation'!$V$11, 'Data entry'!$AP$6:$AP$200,'Data Validation'!$U$5, 'Data entry'!$BD$6:$BD$200,"&lt;&gt;*Negative*"))</f>
        <v>0</v>
      </c>
      <c r="CC35" s="15">
        <f>SUM(COUNTIFS('Data entry'!$R$6:$R$200,'Summary Data'!$A35,'Data entry'!$B$6:$B$200,{"Confirmed";"Probable"},'Data entry'!$AQ$6:$AQ$200,'Data Validation'!$V$11, 'Data entry'!$AP$6:$AP$200,'Data Validation'!$U$6, 'Data entry'!$BD$6:$BD$200,"&lt;&gt;*Negative*"))</f>
        <v>0</v>
      </c>
    </row>
    <row r="36" spans="1:81" x14ac:dyDescent="0.25">
      <c r="A36" s="12">
        <f t="shared" si="5"/>
        <v>24</v>
      </c>
      <c r="B36" s="13">
        <f t="shared" si="2"/>
        <v>0</v>
      </c>
      <c r="C36" s="13">
        <f>COUNTIFS('Data entry'!$R$6:$R$200,$A36,'Data entry'!$B$6:$B$200,"Confirmed",'Data entry'!$BD$6:$BD$200,"&lt;&gt;*Negative*")</f>
        <v>0</v>
      </c>
      <c r="D36" s="13">
        <f>COUNTIFS('Data entry'!$R$6:$R$200,$A36,'Data entry'!$B$6:$B$200,"Probable",'Data entry'!$BD$6:$BD$200,"&lt;&gt;*Negative*")</f>
        <v>0</v>
      </c>
      <c r="E36" s="13">
        <f>COUNTIFS('Data entry'!$R$6:$R$200,$A36,'Data entry'!$B$6:$B$200,"DNM")</f>
        <v>0</v>
      </c>
      <c r="F36" s="13">
        <f>SUM(COUNTIFS('Data entry'!$R$6:$R$200,'Summary Data'!$A36,'Data entry'!$B$6:$B$200,{"Confirmed";"Probable"},'Data entry'!$AO$6:$AO$200,$F$10, 'Data entry'!$BD$6:$BD$200,"&lt;&gt;*Negative*"))</f>
        <v>0</v>
      </c>
      <c r="G36" s="13">
        <f>SUM(COUNTIFS('Data entry'!$R$6:$R$200,'Summary Data'!$A36,'Data entry'!$B$6:$B$200,{"Confirmed";"Probable"},'Data entry'!$AO$6:$AO$200,$G$10, 'Data entry'!$BD$6:$BD$200,"&lt;&gt;*Negative*"))</f>
        <v>0</v>
      </c>
      <c r="H36" s="13">
        <f>SUM(COUNTIFS('Data entry'!$R$6:$R$200,'Summary Data'!$A36,'Data entry'!$B$6:$B$200,{"Confirmed";"Probable"},'Data entry'!$AO$6:$AO$200,$H$10, 'Data entry'!$BD$6:$BD$200,"&lt;&gt;*Negative*"))</f>
        <v>0</v>
      </c>
      <c r="I36" s="13">
        <f>SUM(COUNTIFS('Data entry'!$R$6:$R$200,'Summary Data'!$A36,'Data entry'!$B$6:$B$200,{"Confirmed";"Probable"},'Data entry'!$AO$6:$AO$200,$I$10, 'Data entry'!$BD$6:$BD$200,"&lt;&gt;*Negative*"))</f>
        <v>0</v>
      </c>
      <c r="J36" s="13">
        <f>SUM(COUNTIFS('Data entry'!$R$6:$R$200,'Summary Data'!$A36,'Data entry'!$B$6:$B$200,{"Confirmed";"Probable"},'Data entry'!$AO$6:$AO$200,$J$10, 'Data entry'!$BD$6:$BD$200,"&lt;&gt;*Negative*"))</f>
        <v>0</v>
      </c>
      <c r="K36" s="13">
        <f>SUM(COUNTIFS('Data entry'!$R$6:$R$200,'Summary Data'!$A36,'Data entry'!$B$6:$B$200,{"Confirmed";"Probable"},'Data entry'!$AO$6:$AO$200,$K$10, 'Data entry'!$BD$6:$BD$200,"&lt;&gt;*Negative*"))</f>
        <v>0</v>
      </c>
      <c r="L36" s="13">
        <f>SUM(COUNTIFS('Data entry'!$R$6:$R$200,'Summary Data'!$A36,'Data entry'!$B$6:$B$200,{"Confirmed";"Probable"},'Data entry'!$AO$6:$AO$200,$L$10, 'Data entry'!$BD$6:$BD$200,"&lt;&gt;*Negative*"))</f>
        <v>0</v>
      </c>
      <c r="M36" s="13">
        <f>SUM(COUNTIFS('Data entry'!$R$6:$R$200,'Summary Data'!$A36,'Data entry'!$B$6:$B$200,{"Confirmed";"Probable"},'Data entry'!$AO$6:$AO$200,$M$10, 'Data entry'!$BD$6:$BD$200,"&lt;&gt;*Negative*"))</f>
        <v>0</v>
      </c>
      <c r="N36" s="13">
        <f>SUM(COUNTIFS('Data entry'!$R$6:$R$200,'Summary Data'!$A36,'Data entry'!$B$6:$B$200,{"Confirmed";"Probable"},'Data entry'!$AO$6:$AO$200,$N$10, 'Data entry'!$BD$6:$BD$200,"&lt;&gt;*Negative*"))</f>
        <v>0</v>
      </c>
      <c r="O36" s="15">
        <f t="shared" si="3"/>
        <v>0</v>
      </c>
      <c r="P36" s="15">
        <f t="shared" si="4"/>
        <v>0</v>
      </c>
      <c r="Q36" s="15">
        <f>SUM(COUNTIFS('Data entry'!$R$6:$R$200,'Summary Data'!$A36,'Data entry'!$B$6:$B$200,{"Confirmed";"Probable"},'Data entry'!$AP$6:$AP$200,'Data Validation'!$U$2, 'Data entry'!$BD$6:$BD$200,"&lt;&gt;*Negative*"))</f>
        <v>0</v>
      </c>
      <c r="R36" s="15">
        <f>SUM(COUNTIFS('Data entry'!$R$6:$R$200,'Summary Data'!$A36,'Data entry'!$B$6:$B$200,{"Confirmed";"Probable"},'Data entry'!$AP$6:$AP$200,'Data Validation'!$U$3, 'Data entry'!$BD$6:$BD$200,"&lt;&gt;*Negative*"))</f>
        <v>0</v>
      </c>
      <c r="S36" s="15">
        <f>SUM(COUNTIFS('Data entry'!$R$6:$R$200,'Summary Data'!$A36,'Data entry'!$B$6:$B$200,{"Confirmed";"Probable"},'Data entry'!$AP$6:$AP$200,'Data Validation'!$U$4, 'Data entry'!$BD$6:$BD$200,"&lt;&gt;*Negative*"))</f>
        <v>0</v>
      </c>
      <c r="T36" s="15">
        <f>SUM(COUNTIFS('Data entry'!$R$6:$R$200,'Summary Data'!$A36,'Data entry'!$B$6:$B$200,{"Confirmed";"Probable"},'Data entry'!$AP$6:$AP$200,'Data Validation'!$U$5, 'Data entry'!$BD$6:$BD$200,"&lt;&gt;*Negative*"))</f>
        <v>0</v>
      </c>
      <c r="U36" s="15">
        <f>SUM(COUNTIFS('Data entry'!$R$6:$R$200,'Summary Data'!$A36,'Data entry'!$B$6:$B$200,{"Confirmed";"Probable"},'Data entry'!$AP$6:$AP$200,'Data Validation'!$U$6, 'Data entry'!$BD$6:$BD$200,"&lt;&gt;*Negative*"))</f>
        <v>0</v>
      </c>
      <c r="V36" s="15">
        <f>SUM(COUNTIFS('Data entry'!$R$6:$R$200,'Summary Data'!$A36,'Data entry'!$B$6:$B$200,{"Confirmed";"Probable"},'Data entry'!$AQ$6:$AQ$200,'Data Validation'!$V$2, 'Data entry'!$BD$6:$BD$200,"&lt;&gt;*Negative*"))</f>
        <v>0</v>
      </c>
      <c r="W36" s="15">
        <f>SUM(COUNTIFS('Data entry'!$R$6:$R$200,'Summary Data'!$A36,'Data entry'!$B$6:$B$200,{"Confirmed";"Probable"},'Data entry'!$AQ$6:$AQ$200,'Data Validation'!$V$3, 'Data entry'!$BD$6:$BD$200,"&lt;&gt;*Negative*"))</f>
        <v>0</v>
      </c>
      <c r="X36" s="15">
        <f>SUM(COUNTIFS('Data entry'!$R$6:$R$200,'Summary Data'!$A36,'Data entry'!$B$6:$B$200,{"Confirmed";"Probable"},'Data entry'!$AQ$6:$AQ$200,'Data Validation'!$V$4, 'Data entry'!$BD$6:$BD$200,"&lt;&gt;*Negative*"))</f>
        <v>0</v>
      </c>
      <c r="Y36" s="15">
        <f>SUM(COUNTIFS('Data entry'!$R$6:$R$200,'Summary Data'!$A36,'Data entry'!$B$6:$B$200,{"Confirmed";"Probable"},'Data entry'!$AQ$6:$AQ$200,'Data Validation'!$V$5, 'Data entry'!$BD$6:$BD$200,"&lt;&gt;*Negative*"))</f>
        <v>0</v>
      </c>
      <c r="Z36" s="15">
        <f>SUM(COUNTIFS('Data entry'!$R$6:$R$200,'Summary Data'!$A36,'Data entry'!$B$6:$B$200,{"Confirmed";"Probable"},'Data entry'!$AQ$6:$AQ$200,'Data Validation'!$V$6, 'Data entry'!$BD$6:$BD$200,"&lt;&gt;*Negative*"))</f>
        <v>0</v>
      </c>
      <c r="AA36" s="15">
        <f>SUM(COUNTIFS('Data entry'!$R$6:$R$200,'Summary Data'!$A36,'Data entry'!$B$6:$B$200,{"Confirmed";"Probable"},'Data entry'!$AQ$6:$AQ$200,'Data Validation'!$V$7, 'Data entry'!$BD$6:$BD$200,"&lt;&gt;*Negative*"))</f>
        <v>0</v>
      </c>
      <c r="AB36" s="15">
        <f>SUM(COUNTIFS('Data entry'!$R$6:$R$200,'Summary Data'!$A36,'Data entry'!$B$6:$B$200,{"Confirmed";"Probable"},'Data entry'!$AQ$6:$AQ$200,'Data Validation'!$V$8, 'Data entry'!$BD$6:$BD$200,"&lt;&gt;*Negative*"))</f>
        <v>0</v>
      </c>
      <c r="AC36" s="15">
        <f>SUM(COUNTIFS('Data entry'!$R$6:$R$200,'Summary Data'!$A36,'Data entry'!$B$6:$B$200,{"Confirmed";"Probable"},'Data entry'!$AQ$6:$AQ$200,'Data Validation'!$V$9, 'Data entry'!$BD$6:$BD$200,"&lt;&gt;*Negative*"))</f>
        <v>0</v>
      </c>
      <c r="AD36" s="15">
        <f>SUM(COUNTIFS('Data entry'!$R$6:$R$200,'Summary Data'!$A36,'Data entry'!$B$6:$B$200,{"Confirmed";"Probable"},'Data entry'!$AQ$6:$AQ$200,'Data Validation'!$V$10, 'Data entry'!$BD$6:$BD$200,"&lt;&gt;*Negative*"))</f>
        <v>0</v>
      </c>
      <c r="AE36" s="15">
        <f>SUM(COUNTIFS('Data entry'!$R$6:$R$200,'Summary Data'!$A36,'Data entry'!$B$6:$B$200,{"Confirmed";"Probable"},'Data entry'!$AQ$6:$AQ$200,'Data Validation'!$V$11, 'Data entry'!$BD$6:$BD$200,"&lt;&gt;*Negative*"))</f>
        <v>0</v>
      </c>
      <c r="AF36" s="15">
        <f>SUM(COUNTIFS('Data entry'!$R$6:$R$200,'Summary Data'!$A36,'Data entry'!$B$6:$B$200,{"Confirmed";"Probable"},'Data entry'!$AQ$6:$AQ$200,'Data Validation'!$V$2, 'Data entry'!$AP$6:$AP$200,'Data Validation'!$U$2, 'Data entry'!$BD$6:$BD$200,"&lt;&gt;*Negative*"))</f>
        <v>0</v>
      </c>
      <c r="AG36" s="15">
        <f>SUM(COUNTIFS('Data entry'!$R$6:$R$200,'Summary Data'!$A36,'Data entry'!$B$6:$B$200,{"Confirmed";"Probable"},'Data entry'!$AQ$6:$AQ$200,'Data Validation'!$V$2, 'Data entry'!$AP$6:$AP$200,'Data Validation'!$U$3, 'Data entry'!$BD$6:$BD$200,"&lt;&gt;*Negative*"))</f>
        <v>0</v>
      </c>
      <c r="AH36" s="15">
        <f>SUM(COUNTIFS('Data entry'!$R$6:$R$200,'Summary Data'!$A36,'Data entry'!$B$6:$B$200,{"Confirmed";"Probable"},'Data entry'!$AQ$6:$AQ$200,'Data Validation'!$V$2, 'Data entry'!$AP$6:$AP$200,'Data Validation'!$U$4, 'Data entry'!$BD$6:$BD$200,"&lt;&gt;*Negative*"))</f>
        <v>0</v>
      </c>
      <c r="AI36" s="15">
        <f>SUM(COUNTIFS('Data entry'!$R$6:$R$200,'Summary Data'!$A36,'Data entry'!$B$6:$B$200,{"Confirmed";"Probable"},'Data entry'!$AQ$6:$AQ$200,'Data Validation'!$V$2, 'Data entry'!$AP$6:$AP$200,'Data Validation'!$U$5, 'Data entry'!$BD$6:$BD$200,"&lt;&gt;*Negative*"))</f>
        <v>0</v>
      </c>
      <c r="AJ36" s="15">
        <f>SUM(COUNTIFS('Data entry'!$R$6:$R$200,'Summary Data'!$A36,'Data entry'!$B$6:$B$200,{"Confirmed";"Probable"},'Data entry'!$AQ$6:$AQ$200,'Data Validation'!$V$2, 'Data entry'!$AP$6:$AP$200,'Data Validation'!$U$6, 'Data entry'!$BD$6:$BD$200,"&lt;&gt;*Negative*"))</f>
        <v>0</v>
      </c>
      <c r="AK36" s="15">
        <f>SUM(COUNTIFS('Data entry'!$R$6:$R$200,'Summary Data'!$A36,'Data entry'!$B$6:$B$200,{"Confirmed";"Probable"},'Data entry'!$AQ$6:$AQ$200,'Data Validation'!$V$3, 'Data entry'!$AP$6:$AP$200,'Data Validation'!$U$2, 'Data entry'!$BD$6:$BD$200,"&lt;&gt;*Negative*"))</f>
        <v>0</v>
      </c>
      <c r="AL36" s="15">
        <f>SUM(COUNTIFS('Data entry'!$R$6:$R$200,'Summary Data'!$A36,'Data entry'!$B$6:$B$200,{"Confirmed";"Probable"},'Data entry'!$AQ$6:$AQ$200,'Data Validation'!$V$3, 'Data entry'!$AP$6:$AP$200,'Data Validation'!$U$3, 'Data entry'!$BD$6:$BD$200,"&lt;&gt;*Negative*"))</f>
        <v>0</v>
      </c>
      <c r="AM36" s="15">
        <f>SUM(COUNTIFS('Data entry'!$R$6:$R$200,'Summary Data'!$A36,'Data entry'!$B$6:$B$200,{"Confirmed";"Probable"},'Data entry'!$AQ$6:$AQ$200,'Data Validation'!$V$3, 'Data entry'!$AP$6:$AP$200,'Data Validation'!$U$4, 'Data entry'!$BD$6:$BD$200,"&lt;&gt;*Negative*"))</f>
        <v>0</v>
      </c>
      <c r="AN36" s="15">
        <f>SUM(COUNTIFS('Data entry'!$R$6:$R$200,'Summary Data'!$A36,'Data entry'!$B$6:$B$200,{"Confirmed";"Probable"},'Data entry'!$AQ$6:$AQ$200,'Data Validation'!$V$3, 'Data entry'!$AP$6:$AP$200,'Data Validation'!$U$5, 'Data entry'!$BD$6:$BD$200,"&lt;&gt;*Negative*"))</f>
        <v>0</v>
      </c>
      <c r="AO36" s="15">
        <f>SUM(COUNTIFS('Data entry'!$R$6:$R$200,'Summary Data'!$A36,'Data entry'!$B$6:$B$200,{"Confirmed";"Probable"},'Data entry'!$AQ$6:$AQ$200,'Data Validation'!$V$3, 'Data entry'!$AP$6:$AP$200,'Data Validation'!$U$6, 'Data entry'!$BD$6:$BD$200,"&lt;&gt;*Negative*"))</f>
        <v>0</v>
      </c>
      <c r="AP36" s="15">
        <f>SUM(COUNTIFS('Data entry'!$R$6:$R$200,'Summary Data'!$A36,'Data entry'!$B$6:$B$200,{"Confirmed";"Probable"},'Data entry'!$AQ$6:$AQ$200,'Data Validation'!$V$4, 'Data entry'!$AP$6:$AP$200,'Data Validation'!$U$2, 'Data entry'!$BD$6:$BD$200,"&lt;&gt;*Negative*"))</f>
        <v>0</v>
      </c>
      <c r="AQ36" s="15">
        <f>SUM(COUNTIFS('Data entry'!$R$6:$R$200,'Summary Data'!$A36,'Data entry'!$B$6:$B$200,{"Confirmed";"Probable"},'Data entry'!$AQ$6:$AQ$200,'Data Validation'!$V$4, 'Data entry'!$AP$6:$AP$200,'Data Validation'!$U$3, 'Data entry'!$BD$6:$BD$200,"&lt;&gt;*Negative*"))</f>
        <v>0</v>
      </c>
      <c r="AR36" s="15">
        <f>SUM(COUNTIFS('Data entry'!$R$6:$R$200,'Summary Data'!$A36,'Data entry'!$B$6:$B$200,{"Confirmed";"Probable"},'Data entry'!$AQ$6:$AQ$200,'Data Validation'!$V$4, 'Data entry'!$AP$6:$AP$200,'Data Validation'!$U$4, 'Data entry'!$BD$6:$BD$200,"&lt;&gt;*Negative*"))</f>
        <v>0</v>
      </c>
      <c r="AS36" s="15">
        <f>SUM(COUNTIFS('Data entry'!$R$6:$R$200,'Summary Data'!$A36,'Data entry'!$B$6:$B$200,{"Confirmed";"Probable"},'Data entry'!$AQ$6:$AQ$200,'Data Validation'!$V$4, 'Data entry'!$AP$6:$AP$200,'Data Validation'!$U$5, 'Data entry'!$BD$6:$BD$200,"&lt;&gt;*Negative*"))</f>
        <v>0</v>
      </c>
      <c r="AT36" s="15">
        <f>SUM(COUNTIFS('Data entry'!$R$6:$R$200,'Summary Data'!$A36,'Data entry'!$B$6:$B$200,{"Confirmed";"Probable"},'Data entry'!$AQ$6:$AQ$200,'Data Validation'!$V$4, 'Data entry'!$AP$6:$AP$200,'Data Validation'!$U$6, 'Data entry'!$BD$6:$BD$200,"&lt;&gt;*Negative*"))</f>
        <v>0</v>
      </c>
      <c r="AU36" s="15">
        <f>SUM(COUNTIFS('Data entry'!$R$6:$R$200,'Summary Data'!$A36,'Data entry'!$B$6:$B$200,{"Confirmed";"Probable"},'Data entry'!$AQ$6:$AQ$200,'Data Validation'!$V$5, 'Data entry'!$AP$6:$AP$200,'Data Validation'!$U$2, 'Data entry'!$BD$6:$BD$200,"&lt;&gt;*Negative*"))</f>
        <v>0</v>
      </c>
      <c r="AV36" s="15">
        <f>SUM(COUNTIFS('Data entry'!$R$6:$R$200,'Summary Data'!$A36,'Data entry'!$B$6:$B$200,{"Confirmed";"Probable"},'Data entry'!$AQ$6:$AQ$200,'Data Validation'!$V$5, 'Data entry'!$AP$6:$AP$200,'Data Validation'!$U$3, 'Data entry'!$BD$6:$BD$200,"&lt;&gt;*Negative*"))</f>
        <v>0</v>
      </c>
      <c r="AW36" s="15">
        <f>SUM(COUNTIFS('Data entry'!$R$6:$R$200,'Summary Data'!$A36,'Data entry'!$B$6:$B$200,{"Confirmed";"Probable"},'Data entry'!$AQ$6:$AQ$200,'Data Validation'!$V$5, 'Data entry'!$AP$6:$AP$200,'Data Validation'!$U$4, 'Data entry'!$BD$6:$BD$200,"&lt;&gt;*Negative*"))</f>
        <v>0</v>
      </c>
      <c r="AX36" s="15">
        <f>SUM(COUNTIFS('Data entry'!$R$6:$R$200,'Summary Data'!$A36,'Data entry'!$B$6:$B$200,{"Confirmed";"Probable"},'Data entry'!$AQ$6:$AQ$200,'Data Validation'!$V$5, 'Data entry'!$AP$6:$AP$200,'Data Validation'!$U$5, 'Data entry'!$BD$6:$BD$200,"&lt;&gt;*Negative*"))</f>
        <v>0</v>
      </c>
      <c r="AY36" s="15">
        <f>SUM(COUNTIFS('Data entry'!$R$6:$R$200,'Summary Data'!$A36,'Data entry'!$B$6:$B$200,{"Confirmed";"Probable"},'Data entry'!$AQ$6:$AQ$200,'Data Validation'!$V$5, 'Data entry'!$AP$6:$AP$200,'Data Validation'!$U$6, 'Data entry'!$BD$6:$BD$200,"&lt;&gt;*Negative*"))</f>
        <v>0</v>
      </c>
      <c r="AZ36" s="15">
        <f>SUM(COUNTIFS('Data entry'!$R$6:$R$200,'Summary Data'!$A36,'Data entry'!$B$6:$B$200,{"Confirmed";"Probable"},'Data entry'!$AQ$6:$AQ$200,'Data Validation'!$V$6, 'Data entry'!$AP$6:$AP$200,'Data Validation'!$U$2, 'Data entry'!$BD$6:$BD$200,"&lt;&gt;*Negative*"))</f>
        <v>0</v>
      </c>
      <c r="BA36" s="15">
        <f>SUM(COUNTIFS('Data entry'!$R$6:$R$200,'Summary Data'!$A36,'Data entry'!$B$6:$B$200,{"Confirmed";"Probable"},'Data entry'!$AQ$6:$AQ$200,'Data Validation'!$V$6, 'Data entry'!$AP$6:$AP$200,'Data Validation'!$U$3, 'Data entry'!$BD$6:$BD$200,"&lt;&gt;*Negative*"))</f>
        <v>0</v>
      </c>
      <c r="BB36" s="15">
        <f>SUM(COUNTIFS('Data entry'!$R$6:$R$200,'Summary Data'!$A36,'Data entry'!$B$6:$B$200,{"Confirmed";"Probable"},'Data entry'!$AQ$6:$AQ$200,'Data Validation'!$V$6, 'Data entry'!$AP$6:$AP$200,'Data Validation'!$U$4, 'Data entry'!$BD$6:$BD$200,"&lt;&gt;*Negative*"))</f>
        <v>0</v>
      </c>
      <c r="BC36" s="15">
        <f>SUM(COUNTIFS('Data entry'!$R$6:$R$200,'Summary Data'!$A36,'Data entry'!$B$6:$B$200,{"Confirmed";"Probable"},'Data entry'!$AQ$6:$AQ$200,'Data Validation'!$V$6, 'Data entry'!$AP$6:$AP$200,'Data Validation'!$U$5, 'Data entry'!$BD$6:$BD$200,"&lt;&gt;*Negative*"))</f>
        <v>0</v>
      </c>
      <c r="BD36" s="15">
        <f>SUM(COUNTIFS('Data entry'!$R$6:$R$200,'Summary Data'!$A36,'Data entry'!$B$6:$B$200,{"Confirmed";"Probable"},'Data entry'!$AQ$6:$AQ$200,'Data Validation'!$V$6, 'Data entry'!$AP$6:$AP$200,'Data Validation'!$U$6, 'Data entry'!$BD$6:$BD$200,"&lt;&gt;*Negative*"))</f>
        <v>0</v>
      </c>
      <c r="BE36" s="15">
        <f>SUM(COUNTIFS('Data entry'!$R$6:$R$200,'Summary Data'!$A36,'Data entry'!$B$6:$B$200,{"Confirmed";"Probable"},'Data entry'!$AQ$6:$AQ$200,'Data Validation'!$V$7, 'Data entry'!$AP$6:$AP$200,'Data Validation'!$U$2, 'Data entry'!$BD$6:$BD$200,"&lt;&gt;*Negative*"))</f>
        <v>0</v>
      </c>
      <c r="BF36" s="15">
        <f>SUM(COUNTIFS('Data entry'!$R$6:$R$200,'Summary Data'!$A36,'Data entry'!$B$6:$B$200,{"Confirmed";"Probable"},'Data entry'!$AQ$6:$AQ$200,'Data Validation'!$V$7, 'Data entry'!$AP$6:$AP$200,'Data Validation'!$U$3, 'Data entry'!$BD$6:$BD$200,"&lt;&gt;*Negative*"))</f>
        <v>0</v>
      </c>
      <c r="BG36" s="15">
        <f>SUM(COUNTIFS('Data entry'!$R$6:$R$200,'Summary Data'!$A36,'Data entry'!$B$6:$B$200,{"Confirmed";"Probable"},'Data entry'!$AQ$6:$AQ$200,'Data Validation'!$V$7, 'Data entry'!$AP$6:$AP$200,'Data Validation'!$U$4, 'Data entry'!$BD$6:$BD$200,"&lt;&gt;*Negative*"))</f>
        <v>0</v>
      </c>
      <c r="BH36" s="15">
        <f>SUM(COUNTIFS('Data entry'!$R$6:$R$200,'Summary Data'!$A36,'Data entry'!$B$6:$B$200,{"Confirmed";"Probable"},'Data entry'!$AQ$6:$AQ$200,'Data Validation'!$V$7, 'Data entry'!$AP$6:$AP$200,'Data Validation'!$U$5, 'Data entry'!$BD$6:$BD$200,"&lt;&gt;*Negative*"))</f>
        <v>0</v>
      </c>
      <c r="BI36" s="15">
        <f>SUM(COUNTIFS('Data entry'!$R$6:$R$200,'Summary Data'!$A36,'Data entry'!$B$6:$B$200,{"Confirmed";"Probable"},'Data entry'!$AQ$6:$AQ$200,'Data Validation'!$V$7, 'Data entry'!$AP$6:$AP$200,'Data Validation'!$U$6, 'Data entry'!$BD$6:$BD$200,"&lt;&gt;*Negative*"))</f>
        <v>0</v>
      </c>
      <c r="BJ36" s="15">
        <f>SUM(COUNTIFS('Data entry'!$R$6:$R$200,'Summary Data'!$A36,'Data entry'!$B$6:$B$200,{"Confirmed";"Probable"},'Data entry'!$AQ$6:$AQ$200,'Data Validation'!$V$8, 'Data entry'!$AP$6:$AP$200,'Data Validation'!$U$2, 'Data entry'!$BD$6:$BD$200,"&lt;&gt;*Negative*"))</f>
        <v>0</v>
      </c>
      <c r="BK36" s="15">
        <f>SUM(COUNTIFS('Data entry'!$R$6:$R$200,'Summary Data'!$A36,'Data entry'!$B$6:$B$200,{"Confirmed";"Probable"},'Data entry'!$AQ$6:$AQ$200,'Data Validation'!$V$8, 'Data entry'!$AP$6:$AP$200,'Data Validation'!$U$3, 'Data entry'!$BD$6:$BD$200,"&lt;&gt;*Negative*"))</f>
        <v>0</v>
      </c>
      <c r="BL36" s="15">
        <f>SUM(COUNTIFS('Data entry'!$R$6:$R$200,'Summary Data'!$A36,'Data entry'!$B$6:$B$200,{"Confirmed";"Probable"},'Data entry'!$AQ$6:$AQ$200,'Data Validation'!$V$8, 'Data entry'!$AP$6:$AP$200,'Data Validation'!$U$4, 'Data entry'!$BD$6:$BD$200,"&lt;&gt;*Negative*"))</f>
        <v>0</v>
      </c>
      <c r="BM36" s="15">
        <f>SUM(COUNTIFS('Data entry'!$R$6:$R$200,'Summary Data'!$A36,'Data entry'!$B$6:$B$200,{"Confirmed";"Probable"},'Data entry'!$AQ$6:$AQ$200,'Data Validation'!$V$8, 'Data entry'!$AP$6:$AP$200,'Data Validation'!$U$5, 'Data entry'!$BD$6:$BD$200,"&lt;&gt;*Negative*"))</f>
        <v>0</v>
      </c>
      <c r="BN36" s="15">
        <f>SUM(COUNTIFS('Data entry'!$R$6:$R$200,'Summary Data'!$A36,'Data entry'!$B$6:$B$200,{"Confirmed";"Probable"},'Data entry'!$AQ$6:$AQ$200,'Data Validation'!$V$8, 'Data entry'!$AP$6:$AP$200,'Data Validation'!$U$6, 'Data entry'!$BD$6:$BD$200,"&lt;&gt;*Negative*"))</f>
        <v>0</v>
      </c>
      <c r="BO36" s="15">
        <f>SUM(COUNTIFS('Data entry'!$R$6:$R$200,'Summary Data'!$A36,'Data entry'!$B$6:$B$200,{"Confirmed";"Probable"},'Data entry'!$AQ$6:$AQ$200,'Data Validation'!$V$9, 'Data entry'!$AP$6:$AP$200,'Data Validation'!$U$2, 'Data entry'!$BD$6:$BD$200,"&lt;&gt;*Negative*"))</f>
        <v>0</v>
      </c>
      <c r="BP36" s="15">
        <f>SUM(COUNTIFS('Data entry'!$R$6:$R$200,'Summary Data'!$A36,'Data entry'!$B$6:$B$200,{"Confirmed";"Probable"},'Data entry'!$AQ$6:$AQ$200,'Data Validation'!$V$9, 'Data entry'!$AP$6:$AP$200,'Data Validation'!$U$3, 'Data entry'!$BD$6:$BD$200,"&lt;&gt;*Negative*"))</f>
        <v>0</v>
      </c>
      <c r="BQ36" s="15">
        <f>SUM(COUNTIFS('Data entry'!$R$6:$R$200,'Summary Data'!$A36,'Data entry'!$B$6:$B$200,{"Confirmed";"Probable"},'Data entry'!$AQ$6:$AQ$200,'Data Validation'!$V$9, 'Data entry'!$AP$6:$AP$200,'Data Validation'!$U$4, 'Data entry'!$BD$6:$BD$200,"&lt;&gt;*Negative*"))</f>
        <v>0</v>
      </c>
      <c r="BR36" s="15">
        <f>SUM(COUNTIFS('Data entry'!$R$6:$R$200,'Summary Data'!$A36,'Data entry'!$B$6:$B$200,{"Confirmed";"Probable"},'Data entry'!$AQ$6:$AQ$200,'Data Validation'!$V$9, 'Data entry'!$AP$6:$AP$200,'Data Validation'!$U$5, 'Data entry'!$BD$6:$BD$200,"&lt;&gt;*Negative*"))</f>
        <v>0</v>
      </c>
      <c r="BS36" s="15">
        <f>SUM(COUNTIFS('Data entry'!$R$6:$R$200,'Summary Data'!$A36,'Data entry'!$B$6:$B$200,{"Confirmed";"Probable"},'Data entry'!$AQ$6:$AQ$200,'Data Validation'!$V$9, 'Data entry'!$AP$6:$AP$200,'Data Validation'!$U$6, 'Data entry'!$BD$6:$BD$200,"&lt;&gt;*Negative*"))</f>
        <v>0</v>
      </c>
      <c r="BT36" s="15">
        <f>SUM(COUNTIFS('Data entry'!$R$6:$R$200,'Summary Data'!$A36,'Data entry'!$B$6:$B$200,{"Confirmed";"Probable"},'Data entry'!$AQ$6:$AQ$200,'Data Validation'!$V$10, 'Data entry'!$AP$6:$AP$200,'Data Validation'!$U$2, 'Data entry'!$BD$6:$BD$200,"&lt;&gt;*Negative*"))</f>
        <v>0</v>
      </c>
      <c r="BU36" s="15">
        <f>SUM(COUNTIFS('Data entry'!$R$6:$R$200,'Summary Data'!$A36,'Data entry'!$B$6:$B$200,{"Confirmed";"Probable"},'Data entry'!$AQ$6:$AQ$200,'Data Validation'!$V$10, 'Data entry'!$AP$6:$AP$200,'Data Validation'!$U$3, 'Data entry'!$BD$6:$BD$200,"&lt;&gt;*Negative*"))</f>
        <v>0</v>
      </c>
      <c r="BV36" s="15">
        <f>SUM(COUNTIFS('Data entry'!$R$6:$R$200,'Summary Data'!$A36,'Data entry'!$B$6:$B$200,{"Confirmed";"Probable"},'Data entry'!$AQ$6:$AQ$200,'Data Validation'!$V$10, 'Data entry'!$AP$6:$AP$200,'Data Validation'!$U$4, 'Data entry'!$BD$6:$BD$200,"&lt;&gt;*Negative*"))</f>
        <v>0</v>
      </c>
      <c r="BW36" s="15">
        <f>SUM(COUNTIFS('Data entry'!$R$6:$R$200,'Summary Data'!$A36,'Data entry'!$B$6:$B$200,{"Confirmed";"Probable"},'Data entry'!$AQ$6:$AQ$200,'Data Validation'!$V$10, 'Data entry'!$AP$6:$AP$200,'Data Validation'!$U$5, 'Data entry'!$BD$6:$BD$200,"&lt;&gt;*Negative*"))</f>
        <v>0</v>
      </c>
      <c r="BX36" s="15">
        <f>SUM(COUNTIFS('Data entry'!$R$6:$R$200,'Summary Data'!$A36,'Data entry'!$B$6:$B$200,{"Confirmed";"Probable"},'Data entry'!$AQ$6:$AQ$200,'Data Validation'!$V$10, 'Data entry'!$AP$6:$AP$200,'Data Validation'!$U$6, 'Data entry'!$BD$6:$BD$200,"&lt;&gt;*Negative*"))</f>
        <v>0</v>
      </c>
      <c r="BY36" s="15">
        <f>SUM(COUNTIFS('Data entry'!$R$6:$R$200,'Summary Data'!$A36,'Data entry'!$B$6:$B$200,{"Confirmed";"Probable"},'Data entry'!$AQ$6:$AQ$200,'Data Validation'!$V$11, 'Data entry'!$AP$6:$AP$200,'Data Validation'!$U$2, 'Data entry'!$BD$6:$BD$200,"&lt;&gt;*Negative*"))</f>
        <v>0</v>
      </c>
      <c r="BZ36" s="15">
        <f>SUM(COUNTIFS('Data entry'!$R$6:$R$200,'Summary Data'!$A36,'Data entry'!$B$6:$B$200,{"Confirmed";"Probable"},'Data entry'!$AQ$6:$AQ$200,'Data Validation'!$V$11, 'Data entry'!$AP$6:$AP$200,'Data Validation'!$U$3, 'Data entry'!$BD$6:$BD$200,"&lt;&gt;*Negative*"))</f>
        <v>0</v>
      </c>
      <c r="CA36" s="15">
        <f>SUM(COUNTIFS('Data entry'!$R$6:$R$200,'Summary Data'!$A36,'Data entry'!$B$6:$B$200,{"Confirmed";"Probable"},'Data entry'!$AQ$6:$AQ$200,'Data Validation'!$V$11, 'Data entry'!$AP$6:$AP$200,'Data Validation'!$U$4, 'Data entry'!$BD$6:$BD$200,"&lt;&gt;*Negative*"))</f>
        <v>0</v>
      </c>
      <c r="CB36" s="15">
        <f>SUM(COUNTIFS('Data entry'!$R$6:$R$200,'Summary Data'!$A36,'Data entry'!$B$6:$B$200,{"Confirmed";"Probable"},'Data entry'!$AQ$6:$AQ$200,'Data Validation'!$V$11, 'Data entry'!$AP$6:$AP$200,'Data Validation'!$U$5, 'Data entry'!$BD$6:$BD$200,"&lt;&gt;*Negative*"))</f>
        <v>0</v>
      </c>
      <c r="CC36" s="15">
        <f>SUM(COUNTIFS('Data entry'!$R$6:$R$200,'Summary Data'!$A36,'Data entry'!$B$6:$B$200,{"Confirmed";"Probable"},'Data entry'!$AQ$6:$AQ$200,'Data Validation'!$V$11, 'Data entry'!$AP$6:$AP$200,'Data Validation'!$U$6, 'Data entry'!$BD$6:$BD$200,"&lt;&gt;*Negative*"))</f>
        <v>0</v>
      </c>
    </row>
    <row r="37" spans="1:81" x14ac:dyDescent="0.25">
      <c r="A37" s="12">
        <f t="shared" si="5"/>
        <v>25</v>
      </c>
      <c r="B37" s="13">
        <f t="shared" si="2"/>
        <v>0</v>
      </c>
      <c r="C37" s="13">
        <f>COUNTIFS('Data entry'!$R$6:$R$200,$A37,'Data entry'!$B$6:$B$200,"Confirmed",'Data entry'!$BD$6:$BD$200,"&lt;&gt;*Negative*")</f>
        <v>0</v>
      </c>
      <c r="D37" s="13">
        <f>COUNTIFS('Data entry'!$R$6:$R$200,$A37,'Data entry'!$B$6:$B$200,"Probable",'Data entry'!$BD$6:$BD$200,"&lt;&gt;*Negative*")</f>
        <v>0</v>
      </c>
      <c r="E37" s="13">
        <f>COUNTIFS('Data entry'!$R$6:$R$200,$A37,'Data entry'!$B$6:$B$200,"DNM")</f>
        <v>0</v>
      </c>
      <c r="F37" s="13">
        <f>SUM(COUNTIFS('Data entry'!$R$6:$R$200,'Summary Data'!$A37,'Data entry'!$B$6:$B$200,{"Confirmed";"Probable"},'Data entry'!$AO$6:$AO$200,$F$10, 'Data entry'!$BD$6:$BD$200,"&lt;&gt;*Negative*"))</f>
        <v>0</v>
      </c>
      <c r="G37" s="13">
        <f>SUM(COUNTIFS('Data entry'!$R$6:$R$200,'Summary Data'!$A37,'Data entry'!$B$6:$B$200,{"Confirmed";"Probable"},'Data entry'!$AO$6:$AO$200,$G$10, 'Data entry'!$BD$6:$BD$200,"&lt;&gt;*Negative*"))</f>
        <v>0</v>
      </c>
      <c r="H37" s="13">
        <f>SUM(COUNTIFS('Data entry'!$R$6:$R$200,'Summary Data'!$A37,'Data entry'!$B$6:$B$200,{"Confirmed";"Probable"},'Data entry'!$AO$6:$AO$200,$H$10, 'Data entry'!$BD$6:$BD$200,"&lt;&gt;*Negative*"))</f>
        <v>0</v>
      </c>
      <c r="I37" s="13">
        <f>SUM(COUNTIFS('Data entry'!$R$6:$R$200,'Summary Data'!$A37,'Data entry'!$B$6:$B$200,{"Confirmed";"Probable"},'Data entry'!$AO$6:$AO$200,$I$10, 'Data entry'!$BD$6:$BD$200,"&lt;&gt;*Negative*"))</f>
        <v>0</v>
      </c>
      <c r="J37" s="13">
        <f>SUM(COUNTIFS('Data entry'!$R$6:$R$200,'Summary Data'!$A37,'Data entry'!$B$6:$B$200,{"Confirmed";"Probable"},'Data entry'!$AO$6:$AO$200,$J$10, 'Data entry'!$BD$6:$BD$200,"&lt;&gt;*Negative*"))</f>
        <v>0</v>
      </c>
      <c r="K37" s="13">
        <f>SUM(COUNTIFS('Data entry'!$R$6:$R$200,'Summary Data'!$A37,'Data entry'!$B$6:$B$200,{"Confirmed";"Probable"},'Data entry'!$AO$6:$AO$200,$K$10, 'Data entry'!$BD$6:$BD$200,"&lt;&gt;*Negative*"))</f>
        <v>0</v>
      </c>
      <c r="L37" s="13">
        <f>SUM(COUNTIFS('Data entry'!$R$6:$R$200,'Summary Data'!$A37,'Data entry'!$B$6:$B$200,{"Confirmed";"Probable"},'Data entry'!$AO$6:$AO$200,$L$10, 'Data entry'!$BD$6:$BD$200,"&lt;&gt;*Negative*"))</f>
        <v>0</v>
      </c>
      <c r="M37" s="13">
        <f>SUM(COUNTIFS('Data entry'!$R$6:$R$200,'Summary Data'!$A37,'Data entry'!$B$6:$B$200,{"Confirmed";"Probable"},'Data entry'!$AO$6:$AO$200,$M$10, 'Data entry'!$BD$6:$BD$200,"&lt;&gt;*Negative*"))</f>
        <v>0</v>
      </c>
      <c r="N37" s="13">
        <f>SUM(COUNTIFS('Data entry'!$R$6:$R$200,'Summary Data'!$A37,'Data entry'!$B$6:$B$200,{"Confirmed";"Probable"},'Data entry'!$AO$6:$AO$200,$N$10, 'Data entry'!$BD$6:$BD$200,"&lt;&gt;*Negative*"))</f>
        <v>0</v>
      </c>
      <c r="O37" s="15">
        <f t="shared" si="3"/>
        <v>0</v>
      </c>
      <c r="P37" s="15">
        <f t="shared" si="4"/>
        <v>0</v>
      </c>
      <c r="Q37" s="15">
        <f>SUM(COUNTIFS('Data entry'!$R$6:$R$200,'Summary Data'!$A37,'Data entry'!$B$6:$B$200,{"Confirmed";"Probable"},'Data entry'!$AP$6:$AP$200,'Data Validation'!$U$2, 'Data entry'!$BD$6:$BD$200,"&lt;&gt;*Negative*"))</f>
        <v>0</v>
      </c>
      <c r="R37" s="15">
        <f>SUM(COUNTIFS('Data entry'!$R$6:$R$200,'Summary Data'!$A37,'Data entry'!$B$6:$B$200,{"Confirmed";"Probable"},'Data entry'!$AP$6:$AP$200,'Data Validation'!$U$3, 'Data entry'!$BD$6:$BD$200,"&lt;&gt;*Negative*"))</f>
        <v>0</v>
      </c>
      <c r="S37" s="15">
        <f>SUM(COUNTIFS('Data entry'!$R$6:$R$200,'Summary Data'!$A37,'Data entry'!$B$6:$B$200,{"Confirmed";"Probable"},'Data entry'!$AP$6:$AP$200,'Data Validation'!$U$4, 'Data entry'!$BD$6:$BD$200,"&lt;&gt;*Negative*"))</f>
        <v>0</v>
      </c>
      <c r="T37" s="15">
        <f>SUM(COUNTIFS('Data entry'!$R$6:$R$200,'Summary Data'!$A37,'Data entry'!$B$6:$B$200,{"Confirmed";"Probable"},'Data entry'!$AP$6:$AP$200,'Data Validation'!$U$5, 'Data entry'!$BD$6:$BD$200,"&lt;&gt;*Negative*"))</f>
        <v>0</v>
      </c>
      <c r="U37" s="15">
        <f>SUM(COUNTIFS('Data entry'!$R$6:$R$200,'Summary Data'!$A37,'Data entry'!$B$6:$B$200,{"Confirmed";"Probable"},'Data entry'!$AP$6:$AP$200,'Data Validation'!$U$6, 'Data entry'!$BD$6:$BD$200,"&lt;&gt;*Negative*"))</f>
        <v>0</v>
      </c>
      <c r="V37" s="15">
        <f>SUM(COUNTIFS('Data entry'!$R$6:$R$200,'Summary Data'!$A37,'Data entry'!$B$6:$B$200,{"Confirmed";"Probable"},'Data entry'!$AQ$6:$AQ$200,'Data Validation'!$V$2, 'Data entry'!$BD$6:$BD$200,"&lt;&gt;*Negative*"))</f>
        <v>0</v>
      </c>
      <c r="W37" s="15">
        <f>SUM(COUNTIFS('Data entry'!$R$6:$R$200,'Summary Data'!$A37,'Data entry'!$B$6:$B$200,{"Confirmed";"Probable"},'Data entry'!$AQ$6:$AQ$200,'Data Validation'!$V$3, 'Data entry'!$BD$6:$BD$200,"&lt;&gt;*Negative*"))</f>
        <v>0</v>
      </c>
      <c r="X37" s="15">
        <f>SUM(COUNTIFS('Data entry'!$R$6:$R$200,'Summary Data'!$A37,'Data entry'!$B$6:$B$200,{"Confirmed";"Probable"},'Data entry'!$AQ$6:$AQ$200,'Data Validation'!$V$4, 'Data entry'!$BD$6:$BD$200,"&lt;&gt;*Negative*"))</f>
        <v>0</v>
      </c>
      <c r="Y37" s="15">
        <f>SUM(COUNTIFS('Data entry'!$R$6:$R$200,'Summary Data'!$A37,'Data entry'!$B$6:$B$200,{"Confirmed";"Probable"},'Data entry'!$AQ$6:$AQ$200,'Data Validation'!$V$5, 'Data entry'!$BD$6:$BD$200,"&lt;&gt;*Negative*"))</f>
        <v>0</v>
      </c>
      <c r="Z37" s="15">
        <f>SUM(COUNTIFS('Data entry'!$R$6:$R$200,'Summary Data'!$A37,'Data entry'!$B$6:$B$200,{"Confirmed";"Probable"},'Data entry'!$AQ$6:$AQ$200,'Data Validation'!$V$6, 'Data entry'!$BD$6:$BD$200,"&lt;&gt;*Negative*"))</f>
        <v>0</v>
      </c>
      <c r="AA37" s="15">
        <f>SUM(COUNTIFS('Data entry'!$R$6:$R$200,'Summary Data'!$A37,'Data entry'!$B$6:$B$200,{"Confirmed";"Probable"},'Data entry'!$AQ$6:$AQ$200,'Data Validation'!$V$7, 'Data entry'!$BD$6:$BD$200,"&lt;&gt;*Negative*"))</f>
        <v>0</v>
      </c>
      <c r="AB37" s="15">
        <f>SUM(COUNTIFS('Data entry'!$R$6:$R$200,'Summary Data'!$A37,'Data entry'!$B$6:$B$200,{"Confirmed";"Probable"},'Data entry'!$AQ$6:$AQ$200,'Data Validation'!$V$8, 'Data entry'!$BD$6:$BD$200,"&lt;&gt;*Negative*"))</f>
        <v>0</v>
      </c>
      <c r="AC37" s="15">
        <f>SUM(COUNTIFS('Data entry'!$R$6:$R$200,'Summary Data'!$A37,'Data entry'!$B$6:$B$200,{"Confirmed";"Probable"},'Data entry'!$AQ$6:$AQ$200,'Data Validation'!$V$9, 'Data entry'!$BD$6:$BD$200,"&lt;&gt;*Negative*"))</f>
        <v>0</v>
      </c>
      <c r="AD37" s="15">
        <f>SUM(COUNTIFS('Data entry'!$R$6:$R$200,'Summary Data'!$A37,'Data entry'!$B$6:$B$200,{"Confirmed";"Probable"},'Data entry'!$AQ$6:$AQ$200,'Data Validation'!$V$10, 'Data entry'!$BD$6:$BD$200,"&lt;&gt;*Negative*"))</f>
        <v>0</v>
      </c>
      <c r="AE37" s="15">
        <f>SUM(COUNTIFS('Data entry'!$R$6:$R$200,'Summary Data'!$A37,'Data entry'!$B$6:$B$200,{"Confirmed";"Probable"},'Data entry'!$AQ$6:$AQ$200,'Data Validation'!$V$11, 'Data entry'!$BD$6:$BD$200,"&lt;&gt;*Negative*"))</f>
        <v>0</v>
      </c>
      <c r="AF37" s="15">
        <f>SUM(COUNTIFS('Data entry'!$R$6:$R$200,'Summary Data'!$A37,'Data entry'!$B$6:$B$200,{"Confirmed";"Probable"},'Data entry'!$AQ$6:$AQ$200,'Data Validation'!$V$2, 'Data entry'!$AP$6:$AP$200,'Data Validation'!$U$2, 'Data entry'!$BD$6:$BD$200,"&lt;&gt;*Negative*"))</f>
        <v>0</v>
      </c>
      <c r="AG37" s="15">
        <f>SUM(COUNTIFS('Data entry'!$R$6:$R$200,'Summary Data'!$A37,'Data entry'!$B$6:$B$200,{"Confirmed";"Probable"},'Data entry'!$AQ$6:$AQ$200,'Data Validation'!$V$2, 'Data entry'!$AP$6:$AP$200,'Data Validation'!$U$3, 'Data entry'!$BD$6:$BD$200,"&lt;&gt;*Negative*"))</f>
        <v>0</v>
      </c>
      <c r="AH37" s="15">
        <f>SUM(COUNTIFS('Data entry'!$R$6:$R$200,'Summary Data'!$A37,'Data entry'!$B$6:$B$200,{"Confirmed";"Probable"},'Data entry'!$AQ$6:$AQ$200,'Data Validation'!$V$2, 'Data entry'!$AP$6:$AP$200,'Data Validation'!$U$4, 'Data entry'!$BD$6:$BD$200,"&lt;&gt;*Negative*"))</f>
        <v>0</v>
      </c>
      <c r="AI37" s="15">
        <f>SUM(COUNTIFS('Data entry'!$R$6:$R$200,'Summary Data'!$A37,'Data entry'!$B$6:$B$200,{"Confirmed";"Probable"},'Data entry'!$AQ$6:$AQ$200,'Data Validation'!$V$2, 'Data entry'!$AP$6:$AP$200,'Data Validation'!$U$5, 'Data entry'!$BD$6:$BD$200,"&lt;&gt;*Negative*"))</f>
        <v>0</v>
      </c>
      <c r="AJ37" s="15">
        <f>SUM(COUNTIFS('Data entry'!$R$6:$R$200,'Summary Data'!$A37,'Data entry'!$B$6:$B$200,{"Confirmed";"Probable"},'Data entry'!$AQ$6:$AQ$200,'Data Validation'!$V$2, 'Data entry'!$AP$6:$AP$200,'Data Validation'!$U$6, 'Data entry'!$BD$6:$BD$200,"&lt;&gt;*Negative*"))</f>
        <v>0</v>
      </c>
      <c r="AK37" s="15">
        <f>SUM(COUNTIFS('Data entry'!$R$6:$R$200,'Summary Data'!$A37,'Data entry'!$B$6:$B$200,{"Confirmed";"Probable"},'Data entry'!$AQ$6:$AQ$200,'Data Validation'!$V$3, 'Data entry'!$AP$6:$AP$200,'Data Validation'!$U$2, 'Data entry'!$BD$6:$BD$200,"&lt;&gt;*Negative*"))</f>
        <v>0</v>
      </c>
      <c r="AL37" s="15">
        <f>SUM(COUNTIFS('Data entry'!$R$6:$R$200,'Summary Data'!$A37,'Data entry'!$B$6:$B$200,{"Confirmed";"Probable"},'Data entry'!$AQ$6:$AQ$200,'Data Validation'!$V$3, 'Data entry'!$AP$6:$AP$200,'Data Validation'!$U$3, 'Data entry'!$BD$6:$BD$200,"&lt;&gt;*Negative*"))</f>
        <v>0</v>
      </c>
      <c r="AM37" s="15">
        <f>SUM(COUNTIFS('Data entry'!$R$6:$R$200,'Summary Data'!$A37,'Data entry'!$B$6:$B$200,{"Confirmed";"Probable"},'Data entry'!$AQ$6:$AQ$200,'Data Validation'!$V$3, 'Data entry'!$AP$6:$AP$200,'Data Validation'!$U$4, 'Data entry'!$BD$6:$BD$200,"&lt;&gt;*Negative*"))</f>
        <v>0</v>
      </c>
      <c r="AN37" s="15">
        <f>SUM(COUNTIFS('Data entry'!$R$6:$R$200,'Summary Data'!$A37,'Data entry'!$B$6:$B$200,{"Confirmed";"Probable"},'Data entry'!$AQ$6:$AQ$200,'Data Validation'!$V$3, 'Data entry'!$AP$6:$AP$200,'Data Validation'!$U$5, 'Data entry'!$BD$6:$BD$200,"&lt;&gt;*Negative*"))</f>
        <v>0</v>
      </c>
      <c r="AO37" s="15">
        <f>SUM(COUNTIFS('Data entry'!$R$6:$R$200,'Summary Data'!$A37,'Data entry'!$B$6:$B$200,{"Confirmed";"Probable"},'Data entry'!$AQ$6:$AQ$200,'Data Validation'!$V$3, 'Data entry'!$AP$6:$AP$200,'Data Validation'!$U$6, 'Data entry'!$BD$6:$BD$200,"&lt;&gt;*Negative*"))</f>
        <v>0</v>
      </c>
      <c r="AP37" s="15">
        <f>SUM(COUNTIFS('Data entry'!$R$6:$R$200,'Summary Data'!$A37,'Data entry'!$B$6:$B$200,{"Confirmed";"Probable"},'Data entry'!$AQ$6:$AQ$200,'Data Validation'!$V$4, 'Data entry'!$AP$6:$AP$200,'Data Validation'!$U$2, 'Data entry'!$BD$6:$BD$200,"&lt;&gt;*Negative*"))</f>
        <v>0</v>
      </c>
      <c r="AQ37" s="15">
        <f>SUM(COUNTIFS('Data entry'!$R$6:$R$200,'Summary Data'!$A37,'Data entry'!$B$6:$B$200,{"Confirmed";"Probable"},'Data entry'!$AQ$6:$AQ$200,'Data Validation'!$V$4, 'Data entry'!$AP$6:$AP$200,'Data Validation'!$U$3, 'Data entry'!$BD$6:$BD$200,"&lt;&gt;*Negative*"))</f>
        <v>0</v>
      </c>
      <c r="AR37" s="15">
        <f>SUM(COUNTIFS('Data entry'!$R$6:$R$200,'Summary Data'!$A37,'Data entry'!$B$6:$B$200,{"Confirmed";"Probable"},'Data entry'!$AQ$6:$AQ$200,'Data Validation'!$V$4, 'Data entry'!$AP$6:$AP$200,'Data Validation'!$U$4, 'Data entry'!$BD$6:$BD$200,"&lt;&gt;*Negative*"))</f>
        <v>0</v>
      </c>
      <c r="AS37" s="15">
        <f>SUM(COUNTIFS('Data entry'!$R$6:$R$200,'Summary Data'!$A37,'Data entry'!$B$6:$B$200,{"Confirmed";"Probable"},'Data entry'!$AQ$6:$AQ$200,'Data Validation'!$V$4, 'Data entry'!$AP$6:$AP$200,'Data Validation'!$U$5, 'Data entry'!$BD$6:$BD$200,"&lt;&gt;*Negative*"))</f>
        <v>0</v>
      </c>
      <c r="AT37" s="15">
        <f>SUM(COUNTIFS('Data entry'!$R$6:$R$200,'Summary Data'!$A37,'Data entry'!$B$6:$B$200,{"Confirmed";"Probable"},'Data entry'!$AQ$6:$AQ$200,'Data Validation'!$V$4, 'Data entry'!$AP$6:$AP$200,'Data Validation'!$U$6, 'Data entry'!$BD$6:$BD$200,"&lt;&gt;*Negative*"))</f>
        <v>0</v>
      </c>
      <c r="AU37" s="15">
        <f>SUM(COUNTIFS('Data entry'!$R$6:$R$200,'Summary Data'!$A37,'Data entry'!$B$6:$B$200,{"Confirmed";"Probable"},'Data entry'!$AQ$6:$AQ$200,'Data Validation'!$V$5, 'Data entry'!$AP$6:$AP$200,'Data Validation'!$U$2, 'Data entry'!$BD$6:$BD$200,"&lt;&gt;*Negative*"))</f>
        <v>0</v>
      </c>
      <c r="AV37" s="15">
        <f>SUM(COUNTIFS('Data entry'!$R$6:$R$200,'Summary Data'!$A37,'Data entry'!$B$6:$B$200,{"Confirmed";"Probable"},'Data entry'!$AQ$6:$AQ$200,'Data Validation'!$V$5, 'Data entry'!$AP$6:$AP$200,'Data Validation'!$U$3, 'Data entry'!$BD$6:$BD$200,"&lt;&gt;*Negative*"))</f>
        <v>0</v>
      </c>
      <c r="AW37" s="15">
        <f>SUM(COUNTIFS('Data entry'!$R$6:$R$200,'Summary Data'!$A37,'Data entry'!$B$6:$B$200,{"Confirmed";"Probable"},'Data entry'!$AQ$6:$AQ$200,'Data Validation'!$V$5, 'Data entry'!$AP$6:$AP$200,'Data Validation'!$U$4, 'Data entry'!$BD$6:$BD$200,"&lt;&gt;*Negative*"))</f>
        <v>0</v>
      </c>
      <c r="AX37" s="15">
        <f>SUM(COUNTIFS('Data entry'!$R$6:$R$200,'Summary Data'!$A37,'Data entry'!$B$6:$B$200,{"Confirmed";"Probable"},'Data entry'!$AQ$6:$AQ$200,'Data Validation'!$V$5, 'Data entry'!$AP$6:$AP$200,'Data Validation'!$U$5, 'Data entry'!$BD$6:$BD$200,"&lt;&gt;*Negative*"))</f>
        <v>0</v>
      </c>
      <c r="AY37" s="15">
        <f>SUM(COUNTIFS('Data entry'!$R$6:$R$200,'Summary Data'!$A37,'Data entry'!$B$6:$B$200,{"Confirmed";"Probable"},'Data entry'!$AQ$6:$AQ$200,'Data Validation'!$V$5, 'Data entry'!$AP$6:$AP$200,'Data Validation'!$U$6, 'Data entry'!$BD$6:$BD$200,"&lt;&gt;*Negative*"))</f>
        <v>0</v>
      </c>
      <c r="AZ37" s="15">
        <f>SUM(COUNTIFS('Data entry'!$R$6:$R$200,'Summary Data'!$A37,'Data entry'!$B$6:$B$200,{"Confirmed";"Probable"},'Data entry'!$AQ$6:$AQ$200,'Data Validation'!$V$6, 'Data entry'!$AP$6:$AP$200,'Data Validation'!$U$2, 'Data entry'!$BD$6:$BD$200,"&lt;&gt;*Negative*"))</f>
        <v>0</v>
      </c>
      <c r="BA37" s="15">
        <f>SUM(COUNTIFS('Data entry'!$R$6:$R$200,'Summary Data'!$A37,'Data entry'!$B$6:$B$200,{"Confirmed";"Probable"},'Data entry'!$AQ$6:$AQ$200,'Data Validation'!$V$6, 'Data entry'!$AP$6:$AP$200,'Data Validation'!$U$3, 'Data entry'!$BD$6:$BD$200,"&lt;&gt;*Negative*"))</f>
        <v>0</v>
      </c>
      <c r="BB37" s="15">
        <f>SUM(COUNTIFS('Data entry'!$R$6:$R$200,'Summary Data'!$A37,'Data entry'!$B$6:$B$200,{"Confirmed";"Probable"},'Data entry'!$AQ$6:$AQ$200,'Data Validation'!$V$6, 'Data entry'!$AP$6:$AP$200,'Data Validation'!$U$4, 'Data entry'!$BD$6:$BD$200,"&lt;&gt;*Negative*"))</f>
        <v>0</v>
      </c>
      <c r="BC37" s="15">
        <f>SUM(COUNTIFS('Data entry'!$R$6:$R$200,'Summary Data'!$A37,'Data entry'!$B$6:$B$200,{"Confirmed";"Probable"},'Data entry'!$AQ$6:$AQ$200,'Data Validation'!$V$6, 'Data entry'!$AP$6:$AP$200,'Data Validation'!$U$5, 'Data entry'!$BD$6:$BD$200,"&lt;&gt;*Negative*"))</f>
        <v>0</v>
      </c>
      <c r="BD37" s="15">
        <f>SUM(COUNTIFS('Data entry'!$R$6:$R$200,'Summary Data'!$A37,'Data entry'!$B$6:$B$200,{"Confirmed";"Probable"},'Data entry'!$AQ$6:$AQ$200,'Data Validation'!$V$6, 'Data entry'!$AP$6:$AP$200,'Data Validation'!$U$6, 'Data entry'!$BD$6:$BD$200,"&lt;&gt;*Negative*"))</f>
        <v>0</v>
      </c>
      <c r="BE37" s="15">
        <f>SUM(COUNTIFS('Data entry'!$R$6:$R$200,'Summary Data'!$A37,'Data entry'!$B$6:$B$200,{"Confirmed";"Probable"},'Data entry'!$AQ$6:$AQ$200,'Data Validation'!$V$7, 'Data entry'!$AP$6:$AP$200,'Data Validation'!$U$2, 'Data entry'!$BD$6:$BD$200,"&lt;&gt;*Negative*"))</f>
        <v>0</v>
      </c>
      <c r="BF37" s="15">
        <f>SUM(COUNTIFS('Data entry'!$R$6:$R$200,'Summary Data'!$A37,'Data entry'!$B$6:$B$200,{"Confirmed";"Probable"},'Data entry'!$AQ$6:$AQ$200,'Data Validation'!$V$7, 'Data entry'!$AP$6:$AP$200,'Data Validation'!$U$3, 'Data entry'!$BD$6:$BD$200,"&lt;&gt;*Negative*"))</f>
        <v>0</v>
      </c>
      <c r="BG37" s="15">
        <f>SUM(COUNTIFS('Data entry'!$R$6:$R$200,'Summary Data'!$A37,'Data entry'!$B$6:$B$200,{"Confirmed";"Probable"},'Data entry'!$AQ$6:$AQ$200,'Data Validation'!$V$7, 'Data entry'!$AP$6:$AP$200,'Data Validation'!$U$4, 'Data entry'!$BD$6:$BD$200,"&lt;&gt;*Negative*"))</f>
        <v>0</v>
      </c>
      <c r="BH37" s="15">
        <f>SUM(COUNTIFS('Data entry'!$R$6:$R$200,'Summary Data'!$A37,'Data entry'!$B$6:$B$200,{"Confirmed";"Probable"},'Data entry'!$AQ$6:$AQ$200,'Data Validation'!$V$7, 'Data entry'!$AP$6:$AP$200,'Data Validation'!$U$5, 'Data entry'!$BD$6:$BD$200,"&lt;&gt;*Negative*"))</f>
        <v>0</v>
      </c>
      <c r="BI37" s="15">
        <f>SUM(COUNTIFS('Data entry'!$R$6:$R$200,'Summary Data'!$A37,'Data entry'!$B$6:$B$200,{"Confirmed";"Probable"},'Data entry'!$AQ$6:$AQ$200,'Data Validation'!$V$7, 'Data entry'!$AP$6:$AP$200,'Data Validation'!$U$6, 'Data entry'!$BD$6:$BD$200,"&lt;&gt;*Negative*"))</f>
        <v>0</v>
      </c>
      <c r="BJ37" s="15">
        <f>SUM(COUNTIFS('Data entry'!$R$6:$R$200,'Summary Data'!$A37,'Data entry'!$B$6:$B$200,{"Confirmed";"Probable"},'Data entry'!$AQ$6:$AQ$200,'Data Validation'!$V$8, 'Data entry'!$AP$6:$AP$200,'Data Validation'!$U$2, 'Data entry'!$BD$6:$BD$200,"&lt;&gt;*Negative*"))</f>
        <v>0</v>
      </c>
      <c r="BK37" s="15">
        <f>SUM(COUNTIFS('Data entry'!$R$6:$R$200,'Summary Data'!$A37,'Data entry'!$B$6:$B$200,{"Confirmed";"Probable"},'Data entry'!$AQ$6:$AQ$200,'Data Validation'!$V$8, 'Data entry'!$AP$6:$AP$200,'Data Validation'!$U$3, 'Data entry'!$BD$6:$BD$200,"&lt;&gt;*Negative*"))</f>
        <v>0</v>
      </c>
      <c r="BL37" s="15">
        <f>SUM(COUNTIFS('Data entry'!$R$6:$R$200,'Summary Data'!$A37,'Data entry'!$B$6:$B$200,{"Confirmed";"Probable"},'Data entry'!$AQ$6:$AQ$200,'Data Validation'!$V$8, 'Data entry'!$AP$6:$AP$200,'Data Validation'!$U$4, 'Data entry'!$BD$6:$BD$200,"&lt;&gt;*Negative*"))</f>
        <v>0</v>
      </c>
      <c r="BM37" s="15">
        <f>SUM(COUNTIFS('Data entry'!$R$6:$R$200,'Summary Data'!$A37,'Data entry'!$B$6:$B$200,{"Confirmed";"Probable"},'Data entry'!$AQ$6:$AQ$200,'Data Validation'!$V$8, 'Data entry'!$AP$6:$AP$200,'Data Validation'!$U$5, 'Data entry'!$BD$6:$BD$200,"&lt;&gt;*Negative*"))</f>
        <v>0</v>
      </c>
      <c r="BN37" s="15">
        <f>SUM(COUNTIFS('Data entry'!$R$6:$R$200,'Summary Data'!$A37,'Data entry'!$B$6:$B$200,{"Confirmed";"Probable"},'Data entry'!$AQ$6:$AQ$200,'Data Validation'!$V$8, 'Data entry'!$AP$6:$AP$200,'Data Validation'!$U$6, 'Data entry'!$BD$6:$BD$200,"&lt;&gt;*Negative*"))</f>
        <v>0</v>
      </c>
      <c r="BO37" s="15">
        <f>SUM(COUNTIFS('Data entry'!$R$6:$R$200,'Summary Data'!$A37,'Data entry'!$B$6:$B$200,{"Confirmed";"Probable"},'Data entry'!$AQ$6:$AQ$200,'Data Validation'!$V$9, 'Data entry'!$AP$6:$AP$200,'Data Validation'!$U$2, 'Data entry'!$BD$6:$BD$200,"&lt;&gt;*Negative*"))</f>
        <v>0</v>
      </c>
      <c r="BP37" s="15">
        <f>SUM(COUNTIFS('Data entry'!$R$6:$R$200,'Summary Data'!$A37,'Data entry'!$B$6:$B$200,{"Confirmed";"Probable"},'Data entry'!$AQ$6:$AQ$200,'Data Validation'!$V$9, 'Data entry'!$AP$6:$AP$200,'Data Validation'!$U$3, 'Data entry'!$BD$6:$BD$200,"&lt;&gt;*Negative*"))</f>
        <v>0</v>
      </c>
      <c r="BQ37" s="15">
        <f>SUM(COUNTIFS('Data entry'!$R$6:$R$200,'Summary Data'!$A37,'Data entry'!$B$6:$B$200,{"Confirmed";"Probable"},'Data entry'!$AQ$6:$AQ$200,'Data Validation'!$V$9, 'Data entry'!$AP$6:$AP$200,'Data Validation'!$U$4, 'Data entry'!$BD$6:$BD$200,"&lt;&gt;*Negative*"))</f>
        <v>0</v>
      </c>
      <c r="BR37" s="15">
        <f>SUM(COUNTIFS('Data entry'!$R$6:$R$200,'Summary Data'!$A37,'Data entry'!$B$6:$B$200,{"Confirmed";"Probable"},'Data entry'!$AQ$6:$AQ$200,'Data Validation'!$V$9, 'Data entry'!$AP$6:$AP$200,'Data Validation'!$U$5, 'Data entry'!$BD$6:$BD$200,"&lt;&gt;*Negative*"))</f>
        <v>0</v>
      </c>
      <c r="BS37" s="15">
        <f>SUM(COUNTIFS('Data entry'!$R$6:$R$200,'Summary Data'!$A37,'Data entry'!$B$6:$B$200,{"Confirmed";"Probable"},'Data entry'!$AQ$6:$AQ$200,'Data Validation'!$V$9, 'Data entry'!$AP$6:$AP$200,'Data Validation'!$U$6, 'Data entry'!$BD$6:$BD$200,"&lt;&gt;*Negative*"))</f>
        <v>0</v>
      </c>
      <c r="BT37" s="15">
        <f>SUM(COUNTIFS('Data entry'!$R$6:$R$200,'Summary Data'!$A37,'Data entry'!$B$6:$B$200,{"Confirmed";"Probable"},'Data entry'!$AQ$6:$AQ$200,'Data Validation'!$V$10, 'Data entry'!$AP$6:$AP$200,'Data Validation'!$U$2, 'Data entry'!$BD$6:$BD$200,"&lt;&gt;*Negative*"))</f>
        <v>0</v>
      </c>
      <c r="BU37" s="15">
        <f>SUM(COUNTIFS('Data entry'!$R$6:$R$200,'Summary Data'!$A37,'Data entry'!$B$6:$B$200,{"Confirmed";"Probable"},'Data entry'!$AQ$6:$AQ$200,'Data Validation'!$V$10, 'Data entry'!$AP$6:$AP$200,'Data Validation'!$U$3, 'Data entry'!$BD$6:$BD$200,"&lt;&gt;*Negative*"))</f>
        <v>0</v>
      </c>
      <c r="BV37" s="15">
        <f>SUM(COUNTIFS('Data entry'!$R$6:$R$200,'Summary Data'!$A37,'Data entry'!$B$6:$B$200,{"Confirmed";"Probable"},'Data entry'!$AQ$6:$AQ$200,'Data Validation'!$V$10, 'Data entry'!$AP$6:$AP$200,'Data Validation'!$U$4, 'Data entry'!$BD$6:$BD$200,"&lt;&gt;*Negative*"))</f>
        <v>0</v>
      </c>
      <c r="BW37" s="15">
        <f>SUM(COUNTIFS('Data entry'!$R$6:$R$200,'Summary Data'!$A37,'Data entry'!$B$6:$B$200,{"Confirmed";"Probable"},'Data entry'!$AQ$6:$AQ$200,'Data Validation'!$V$10, 'Data entry'!$AP$6:$AP$200,'Data Validation'!$U$5, 'Data entry'!$BD$6:$BD$200,"&lt;&gt;*Negative*"))</f>
        <v>0</v>
      </c>
      <c r="BX37" s="15">
        <f>SUM(COUNTIFS('Data entry'!$R$6:$R$200,'Summary Data'!$A37,'Data entry'!$B$6:$B$200,{"Confirmed";"Probable"},'Data entry'!$AQ$6:$AQ$200,'Data Validation'!$V$10, 'Data entry'!$AP$6:$AP$200,'Data Validation'!$U$6, 'Data entry'!$BD$6:$BD$200,"&lt;&gt;*Negative*"))</f>
        <v>0</v>
      </c>
      <c r="BY37" s="15">
        <f>SUM(COUNTIFS('Data entry'!$R$6:$R$200,'Summary Data'!$A37,'Data entry'!$B$6:$B$200,{"Confirmed";"Probable"},'Data entry'!$AQ$6:$AQ$200,'Data Validation'!$V$11, 'Data entry'!$AP$6:$AP$200,'Data Validation'!$U$2, 'Data entry'!$BD$6:$BD$200,"&lt;&gt;*Negative*"))</f>
        <v>0</v>
      </c>
      <c r="BZ37" s="15">
        <f>SUM(COUNTIFS('Data entry'!$R$6:$R$200,'Summary Data'!$A37,'Data entry'!$B$6:$B$200,{"Confirmed";"Probable"},'Data entry'!$AQ$6:$AQ$200,'Data Validation'!$V$11, 'Data entry'!$AP$6:$AP$200,'Data Validation'!$U$3, 'Data entry'!$BD$6:$BD$200,"&lt;&gt;*Negative*"))</f>
        <v>0</v>
      </c>
      <c r="CA37" s="15">
        <f>SUM(COUNTIFS('Data entry'!$R$6:$R$200,'Summary Data'!$A37,'Data entry'!$B$6:$B$200,{"Confirmed";"Probable"},'Data entry'!$AQ$6:$AQ$200,'Data Validation'!$V$11, 'Data entry'!$AP$6:$AP$200,'Data Validation'!$U$4, 'Data entry'!$BD$6:$BD$200,"&lt;&gt;*Negative*"))</f>
        <v>0</v>
      </c>
      <c r="CB37" s="15">
        <f>SUM(COUNTIFS('Data entry'!$R$6:$R$200,'Summary Data'!$A37,'Data entry'!$B$6:$B$200,{"Confirmed";"Probable"},'Data entry'!$AQ$6:$AQ$200,'Data Validation'!$V$11, 'Data entry'!$AP$6:$AP$200,'Data Validation'!$U$5, 'Data entry'!$BD$6:$BD$200,"&lt;&gt;*Negative*"))</f>
        <v>0</v>
      </c>
      <c r="CC37" s="15">
        <f>SUM(COUNTIFS('Data entry'!$R$6:$R$200,'Summary Data'!$A37,'Data entry'!$B$6:$B$200,{"Confirmed";"Probable"},'Data entry'!$AQ$6:$AQ$200,'Data Validation'!$V$11, 'Data entry'!$AP$6:$AP$200,'Data Validation'!$U$6, 'Data entry'!$BD$6:$BD$200,"&lt;&gt;*Negative*"))</f>
        <v>0</v>
      </c>
    </row>
    <row r="38" spans="1:81" x14ac:dyDescent="0.25">
      <c r="A38" s="12">
        <f t="shared" si="5"/>
        <v>26</v>
      </c>
      <c r="B38" s="13">
        <f t="shared" si="2"/>
        <v>0</v>
      </c>
      <c r="C38" s="13">
        <f>COUNTIFS('Data entry'!$R$6:$R$200,$A38,'Data entry'!$B$6:$B$200,"Confirmed",'Data entry'!$BD$6:$BD$200,"&lt;&gt;*Negative*")</f>
        <v>0</v>
      </c>
      <c r="D38" s="13">
        <f>COUNTIFS('Data entry'!$R$6:$R$200,$A38,'Data entry'!$B$6:$B$200,"Probable",'Data entry'!$BD$6:$BD$200,"&lt;&gt;*Negative*")</f>
        <v>0</v>
      </c>
      <c r="E38" s="13">
        <f>COUNTIFS('Data entry'!$R$6:$R$200,$A38,'Data entry'!$B$6:$B$200,"DNM")</f>
        <v>0</v>
      </c>
      <c r="F38" s="13">
        <f>SUM(COUNTIFS('Data entry'!$R$6:$R$200,'Summary Data'!$A38,'Data entry'!$B$6:$B$200,{"Confirmed";"Probable"},'Data entry'!$AO$6:$AO$200,$F$10, 'Data entry'!$BD$6:$BD$200,"&lt;&gt;*Negative*"))</f>
        <v>0</v>
      </c>
      <c r="G38" s="13">
        <f>SUM(COUNTIFS('Data entry'!$R$6:$R$200,'Summary Data'!$A38,'Data entry'!$B$6:$B$200,{"Confirmed";"Probable"},'Data entry'!$AO$6:$AO$200,$G$10, 'Data entry'!$BD$6:$BD$200,"&lt;&gt;*Negative*"))</f>
        <v>0</v>
      </c>
      <c r="H38" s="13">
        <f>SUM(COUNTIFS('Data entry'!$R$6:$R$200,'Summary Data'!$A38,'Data entry'!$B$6:$B$200,{"Confirmed";"Probable"},'Data entry'!$AO$6:$AO$200,$H$10, 'Data entry'!$BD$6:$BD$200,"&lt;&gt;*Negative*"))</f>
        <v>0</v>
      </c>
      <c r="I38" s="13">
        <f>SUM(COUNTIFS('Data entry'!$R$6:$R$200,'Summary Data'!$A38,'Data entry'!$B$6:$B$200,{"Confirmed";"Probable"},'Data entry'!$AO$6:$AO$200,$I$10, 'Data entry'!$BD$6:$BD$200,"&lt;&gt;*Negative*"))</f>
        <v>0</v>
      </c>
      <c r="J38" s="13">
        <f>SUM(COUNTIFS('Data entry'!$R$6:$R$200,'Summary Data'!$A38,'Data entry'!$B$6:$B$200,{"Confirmed";"Probable"},'Data entry'!$AO$6:$AO$200,$J$10, 'Data entry'!$BD$6:$BD$200,"&lt;&gt;*Negative*"))</f>
        <v>0</v>
      </c>
      <c r="K38" s="13">
        <f>SUM(COUNTIFS('Data entry'!$R$6:$R$200,'Summary Data'!$A38,'Data entry'!$B$6:$B$200,{"Confirmed";"Probable"},'Data entry'!$AO$6:$AO$200,$K$10, 'Data entry'!$BD$6:$BD$200,"&lt;&gt;*Negative*"))</f>
        <v>0</v>
      </c>
      <c r="L38" s="13">
        <f>SUM(COUNTIFS('Data entry'!$R$6:$R$200,'Summary Data'!$A38,'Data entry'!$B$6:$B$200,{"Confirmed";"Probable"},'Data entry'!$AO$6:$AO$200,$L$10, 'Data entry'!$BD$6:$BD$200,"&lt;&gt;*Negative*"))</f>
        <v>0</v>
      </c>
      <c r="M38" s="13">
        <f>SUM(COUNTIFS('Data entry'!$R$6:$R$200,'Summary Data'!$A38,'Data entry'!$B$6:$B$200,{"Confirmed";"Probable"},'Data entry'!$AO$6:$AO$200,$M$10, 'Data entry'!$BD$6:$BD$200,"&lt;&gt;*Negative*"))</f>
        <v>0</v>
      </c>
      <c r="N38" s="13">
        <f>SUM(COUNTIFS('Data entry'!$R$6:$R$200,'Summary Data'!$A38,'Data entry'!$B$6:$B$200,{"Confirmed";"Probable"},'Data entry'!$AO$6:$AO$200,$N$10, 'Data entry'!$BD$6:$BD$200,"&lt;&gt;*Negative*"))</f>
        <v>0</v>
      </c>
      <c r="O38" s="15">
        <f t="shared" si="3"/>
        <v>0</v>
      </c>
      <c r="P38" s="15">
        <f t="shared" si="4"/>
        <v>0</v>
      </c>
      <c r="Q38" s="15">
        <f>SUM(COUNTIFS('Data entry'!$R$6:$R$200,'Summary Data'!$A38,'Data entry'!$B$6:$B$200,{"Confirmed";"Probable"},'Data entry'!$AP$6:$AP$200,'Data Validation'!$U$2, 'Data entry'!$BD$6:$BD$200,"&lt;&gt;*Negative*"))</f>
        <v>0</v>
      </c>
      <c r="R38" s="15">
        <f>SUM(COUNTIFS('Data entry'!$R$6:$R$200,'Summary Data'!$A38,'Data entry'!$B$6:$B$200,{"Confirmed";"Probable"},'Data entry'!$AP$6:$AP$200,'Data Validation'!$U$3, 'Data entry'!$BD$6:$BD$200,"&lt;&gt;*Negative*"))</f>
        <v>0</v>
      </c>
      <c r="S38" s="15">
        <f>SUM(COUNTIFS('Data entry'!$R$6:$R$200,'Summary Data'!$A38,'Data entry'!$B$6:$B$200,{"Confirmed";"Probable"},'Data entry'!$AP$6:$AP$200,'Data Validation'!$U$4, 'Data entry'!$BD$6:$BD$200,"&lt;&gt;*Negative*"))</f>
        <v>0</v>
      </c>
      <c r="T38" s="15">
        <f>SUM(COUNTIFS('Data entry'!$R$6:$R$200,'Summary Data'!$A38,'Data entry'!$B$6:$B$200,{"Confirmed";"Probable"},'Data entry'!$AP$6:$AP$200,'Data Validation'!$U$5, 'Data entry'!$BD$6:$BD$200,"&lt;&gt;*Negative*"))</f>
        <v>0</v>
      </c>
      <c r="U38" s="15">
        <f>SUM(COUNTIFS('Data entry'!$R$6:$R$200,'Summary Data'!$A38,'Data entry'!$B$6:$B$200,{"Confirmed";"Probable"},'Data entry'!$AP$6:$AP$200,'Data Validation'!$U$6, 'Data entry'!$BD$6:$BD$200,"&lt;&gt;*Negative*"))</f>
        <v>0</v>
      </c>
      <c r="V38" s="15">
        <f>SUM(COUNTIFS('Data entry'!$R$6:$R$200,'Summary Data'!$A38,'Data entry'!$B$6:$B$200,{"Confirmed";"Probable"},'Data entry'!$AQ$6:$AQ$200,'Data Validation'!$V$2, 'Data entry'!$BD$6:$BD$200,"&lt;&gt;*Negative*"))</f>
        <v>0</v>
      </c>
      <c r="W38" s="15">
        <f>SUM(COUNTIFS('Data entry'!$R$6:$R$200,'Summary Data'!$A38,'Data entry'!$B$6:$B$200,{"Confirmed";"Probable"},'Data entry'!$AQ$6:$AQ$200,'Data Validation'!$V$3, 'Data entry'!$BD$6:$BD$200,"&lt;&gt;*Negative*"))</f>
        <v>0</v>
      </c>
      <c r="X38" s="15">
        <f>SUM(COUNTIFS('Data entry'!$R$6:$R$200,'Summary Data'!$A38,'Data entry'!$B$6:$B$200,{"Confirmed";"Probable"},'Data entry'!$AQ$6:$AQ$200,'Data Validation'!$V$4, 'Data entry'!$BD$6:$BD$200,"&lt;&gt;*Negative*"))</f>
        <v>0</v>
      </c>
      <c r="Y38" s="15">
        <f>SUM(COUNTIFS('Data entry'!$R$6:$R$200,'Summary Data'!$A38,'Data entry'!$B$6:$B$200,{"Confirmed";"Probable"},'Data entry'!$AQ$6:$AQ$200,'Data Validation'!$V$5, 'Data entry'!$BD$6:$BD$200,"&lt;&gt;*Negative*"))</f>
        <v>0</v>
      </c>
      <c r="Z38" s="15">
        <f>SUM(COUNTIFS('Data entry'!$R$6:$R$200,'Summary Data'!$A38,'Data entry'!$B$6:$B$200,{"Confirmed";"Probable"},'Data entry'!$AQ$6:$AQ$200,'Data Validation'!$V$6, 'Data entry'!$BD$6:$BD$200,"&lt;&gt;*Negative*"))</f>
        <v>0</v>
      </c>
      <c r="AA38" s="15">
        <f>SUM(COUNTIFS('Data entry'!$R$6:$R$200,'Summary Data'!$A38,'Data entry'!$B$6:$B$200,{"Confirmed";"Probable"},'Data entry'!$AQ$6:$AQ$200,'Data Validation'!$V$7, 'Data entry'!$BD$6:$BD$200,"&lt;&gt;*Negative*"))</f>
        <v>0</v>
      </c>
      <c r="AB38" s="15">
        <f>SUM(COUNTIFS('Data entry'!$R$6:$R$200,'Summary Data'!$A38,'Data entry'!$B$6:$B$200,{"Confirmed";"Probable"},'Data entry'!$AQ$6:$AQ$200,'Data Validation'!$V$8, 'Data entry'!$BD$6:$BD$200,"&lt;&gt;*Negative*"))</f>
        <v>0</v>
      </c>
      <c r="AC38" s="15">
        <f>SUM(COUNTIFS('Data entry'!$R$6:$R$200,'Summary Data'!$A38,'Data entry'!$B$6:$B$200,{"Confirmed";"Probable"},'Data entry'!$AQ$6:$AQ$200,'Data Validation'!$V$9, 'Data entry'!$BD$6:$BD$200,"&lt;&gt;*Negative*"))</f>
        <v>0</v>
      </c>
      <c r="AD38" s="15">
        <f>SUM(COUNTIFS('Data entry'!$R$6:$R$200,'Summary Data'!$A38,'Data entry'!$B$6:$B$200,{"Confirmed";"Probable"},'Data entry'!$AQ$6:$AQ$200,'Data Validation'!$V$10, 'Data entry'!$BD$6:$BD$200,"&lt;&gt;*Negative*"))</f>
        <v>0</v>
      </c>
      <c r="AE38" s="15">
        <f>SUM(COUNTIFS('Data entry'!$R$6:$R$200,'Summary Data'!$A38,'Data entry'!$B$6:$B$200,{"Confirmed";"Probable"},'Data entry'!$AQ$6:$AQ$200,'Data Validation'!$V$11, 'Data entry'!$BD$6:$BD$200,"&lt;&gt;*Negative*"))</f>
        <v>0</v>
      </c>
      <c r="AF38" s="15">
        <f>SUM(COUNTIFS('Data entry'!$R$6:$R$200,'Summary Data'!$A38,'Data entry'!$B$6:$B$200,{"Confirmed";"Probable"},'Data entry'!$AQ$6:$AQ$200,'Data Validation'!$V$2, 'Data entry'!$AP$6:$AP$200,'Data Validation'!$U$2, 'Data entry'!$BD$6:$BD$200,"&lt;&gt;*Negative*"))</f>
        <v>0</v>
      </c>
      <c r="AG38" s="15">
        <f>SUM(COUNTIFS('Data entry'!$R$6:$R$200,'Summary Data'!$A38,'Data entry'!$B$6:$B$200,{"Confirmed";"Probable"},'Data entry'!$AQ$6:$AQ$200,'Data Validation'!$V$2, 'Data entry'!$AP$6:$AP$200,'Data Validation'!$U$3, 'Data entry'!$BD$6:$BD$200,"&lt;&gt;*Negative*"))</f>
        <v>0</v>
      </c>
      <c r="AH38" s="15">
        <f>SUM(COUNTIFS('Data entry'!$R$6:$R$200,'Summary Data'!$A38,'Data entry'!$B$6:$B$200,{"Confirmed";"Probable"},'Data entry'!$AQ$6:$AQ$200,'Data Validation'!$V$2, 'Data entry'!$AP$6:$AP$200,'Data Validation'!$U$4, 'Data entry'!$BD$6:$BD$200,"&lt;&gt;*Negative*"))</f>
        <v>0</v>
      </c>
      <c r="AI38" s="15">
        <f>SUM(COUNTIFS('Data entry'!$R$6:$R$200,'Summary Data'!$A38,'Data entry'!$B$6:$B$200,{"Confirmed";"Probable"},'Data entry'!$AQ$6:$AQ$200,'Data Validation'!$V$2, 'Data entry'!$AP$6:$AP$200,'Data Validation'!$U$5, 'Data entry'!$BD$6:$BD$200,"&lt;&gt;*Negative*"))</f>
        <v>0</v>
      </c>
      <c r="AJ38" s="15">
        <f>SUM(COUNTIFS('Data entry'!$R$6:$R$200,'Summary Data'!$A38,'Data entry'!$B$6:$B$200,{"Confirmed";"Probable"},'Data entry'!$AQ$6:$AQ$200,'Data Validation'!$V$2, 'Data entry'!$AP$6:$AP$200,'Data Validation'!$U$6, 'Data entry'!$BD$6:$BD$200,"&lt;&gt;*Negative*"))</f>
        <v>0</v>
      </c>
      <c r="AK38" s="15">
        <f>SUM(COUNTIFS('Data entry'!$R$6:$R$200,'Summary Data'!$A38,'Data entry'!$B$6:$B$200,{"Confirmed";"Probable"},'Data entry'!$AQ$6:$AQ$200,'Data Validation'!$V$3, 'Data entry'!$AP$6:$AP$200,'Data Validation'!$U$2, 'Data entry'!$BD$6:$BD$200,"&lt;&gt;*Negative*"))</f>
        <v>0</v>
      </c>
      <c r="AL38" s="15">
        <f>SUM(COUNTIFS('Data entry'!$R$6:$R$200,'Summary Data'!$A38,'Data entry'!$B$6:$B$200,{"Confirmed";"Probable"},'Data entry'!$AQ$6:$AQ$200,'Data Validation'!$V$3, 'Data entry'!$AP$6:$AP$200,'Data Validation'!$U$3, 'Data entry'!$BD$6:$BD$200,"&lt;&gt;*Negative*"))</f>
        <v>0</v>
      </c>
      <c r="AM38" s="15">
        <f>SUM(COUNTIFS('Data entry'!$R$6:$R$200,'Summary Data'!$A38,'Data entry'!$B$6:$B$200,{"Confirmed";"Probable"},'Data entry'!$AQ$6:$AQ$200,'Data Validation'!$V$3, 'Data entry'!$AP$6:$AP$200,'Data Validation'!$U$4, 'Data entry'!$BD$6:$BD$200,"&lt;&gt;*Negative*"))</f>
        <v>0</v>
      </c>
      <c r="AN38" s="15">
        <f>SUM(COUNTIFS('Data entry'!$R$6:$R$200,'Summary Data'!$A38,'Data entry'!$B$6:$B$200,{"Confirmed";"Probable"},'Data entry'!$AQ$6:$AQ$200,'Data Validation'!$V$3, 'Data entry'!$AP$6:$AP$200,'Data Validation'!$U$5, 'Data entry'!$BD$6:$BD$200,"&lt;&gt;*Negative*"))</f>
        <v>0</v>
      </c>
      <c r="AO38" s="15">
        <f>SUM(COUNTIFS('Data entry'!$R$6:$R$200,'Summary Data'!$A38,'Data entry'!$B$6:$B$200,{"Confirmed";"Probable"},'Data entry'!$AQ$6:$AQ$200,'Data Validation'!$V$3, 'Data entry'!$AP$6:$AP$200,'Data Validation'!$U$6, 'Data entry'!$BD$6:$BD$200,"&lt;&gt;*Negative*"))</f>
        <v>0</v>
      </c>
      <c r="AP38" s="15">
        <f>SUM(COUNTIFS('Data entry'!$R$6:$R$200,'Summary Data'!$A38,'Data entry'!$B$6:$B$200,{"Confirmed";"Probable"},'Data entry'!$AQ$6:$AQ$200,'Data Validation'!$V$4, 'Data entry'!$AP$6:$AP$200,'Data Validation'!$U$2, 'Data entry'!$BD$6:$BD$200,"&lt;&gt;*Negative*"))</f>
        <v>0</v>
      </c>
      <c r="AQ38" s="15">
        <f>SUM(COUNTIFS('Data entry'!$R$6:$R$200,'Summary Data'!$A38,'Data entry'!$B$6:$B$200,{"Confirmed";"Probable"},'Data entry'!$AQ$6:$AQ$200,'Data Validation'!$V$4, 'Data entry'!$AP$6:$AP$200,'Data Validation'!$U$3, 'Data entry'!$BD$6:$BD$200,"&lt;&gt;*Negative*"))</f>
        <v>0</v>
      </c>
      <c r="AR38" s="15">
        <f>SUM(COUNTIFS('Data entry'!$R$6:$R$200,'Summary Data'!$A38,'Data entry'!$B$6:$B$200,{"Confirmed";"Probable"},'Data entry'!$AQ$6:$AQ$200,'Data Validation'!$V$4, 'Data entry'!$AP$6:$AP$200,'Data Validation'!$U$4, 'Data entry'!$BD$6:$BD$200,"&lt;&gt;*Negative*"))</f>
        <v>0</v>
      </c>
      <c r="AS38" s="15">
        <f>SUM(COUNTIFS('Data entry'!$R$6:$R$200,'Summary Data'!$A38,'Data entry'!$B$6:$B$200,{"Confirmed";"Probable"},'Data entry'!$AQ$6:$AQ$200,'Data Validation'!$V$4, 'Data entry'!$AP$6:$AP$200,'Data Validation'!$U$5, 'Data entry'!$BD$6:$BD$200,"&lt;&gt;*Negative*"))</f>
        <v>0</v>
      </c>
      <c r="AT38" s="15">
        <f>SUM(COUNTIFS('Data entry'!$R$6:$R$200,'Summary Data'!$A38,'Data entry'!$B$6:$B$200,{"Confirmed";"Probable"},'Data entry'!$AQ$6:$AQ$200,'Data Validation'!$V$4, 'Data entry'!$AP$6:$AP$200,'Data Validation'!$U$6, 'Data entry'!$BD$6:$BD$200,"&lt;&gt;*Negative*"))</f>
        <v>0</v>
      </c>
      <c r="AU38" s="15">
        <f>SUM(COUNTIFS('Data entry'!$R$6:$R$200,'Summary Data'!$A38,'Data entry'!$B$6:$B$200,{"Confirmed";"Probable"},'Data entry'!$AQ$6:$AQ$200,'Data Validation'!$V$5, 'Data entry'!$AP$6:$AP$200,'Data Validation'!$U$2, 'Data entry'!$BD$6:$BD$200,"&lt;&gt;*Negative*"))</f>
        <v>0</v>
      </c>
      <c r="AV38" s="15">
        <f>SUM(COUNTIFS('Data entry'!$R$6:$R$200,'Summary Data'!$A38,'Data entry'!$B$6:$B$200,{"Confirmed";"Probable"},'Data entry'!$AQ$6:$AQ$200,'Data Validation'!$V$5, 'Data entry'!$AP$6:$AP$200,'Data Validation'!$U$3, 'Data entry'!$BD$6:$BD$200,"&lt;&gt;*Negative*"))</f>
        <v>0</v>
      </c>
      <c r="AW38" s="15">
        <f>SUM(COUNTIFS('Data entry'!$R$6:$R$200,'Summary Data'!$A38,'Data entry'!$B$6:$B$200,{"Confirmed";"Probable"},'Data entry'!$AQ$6:$AQ$200,'Data Validation'!$V$5, 'Data entry'!$AP$6:$AP$200,'Data Validation'!$U$4, 'Data entry'!$BD$6:$BD$200,"&lt;&gt;*Negative*"))</f>
        <v>0</v>
      </c>
      <c r="AX38" s="15">
        <f>SUM(COUNTIFS('Data entry'!$R$6:$R$200,'Summary Data'!$A38,'Data entry'!$B$6:$B$200,{"Confirmed";"Probable"},'Data entry'!$AQ$6:$AQ$200,'Data Validation'!$V$5, 'Data entry'!$AP$6:$AP$200,'Data Validation'!$U$5, 'Data entry'!$BD$6:$BD$200,"&lt;&gt;*Negative*"))</f>
        <v>0</v>
      </c>
      <c r="AY38" s="15">
        <f>SUM(COUNTIFS('Data entry'!$R$6:$R$200,'Summary Data'!$A38,'Data entry'!$B$6:$B$200,{"Confirmed";"Probable"},'Data entry'!$AQ$6:$AQ$200,'Data Validation'!$V$5, 'Data entry'!$AP$6:$AP$200,'Data Validation'!$U$6, 'Data entry'!$BD$6:$BD$200,"&lt;&gt;*Negative*"))</f>
        <v>0</v>
      </c>
      <c r="AZ38" s="15">
        <f>SUM(COUNTIFS('Data entry'!$R$6:$R$200,'Summary Data'!$A38,'Data entry'!$B$6:$B$200,{"Confirmed";"Probable"},'Data entry'!$AQ$6:$AQ$200,'Data Validation'!$V$6, 'Data entry'!$AP$6:$AP$200,'Data Validation'!$U$2, 'Data entry'!$BD$6:$BD$200,"&lt;&gt;*Negative*"))</f>
        <v>0</v>
      </c>
      <c r="BA38" s="15">
        <f>SUM(COUNTIFS('Data entry'!$R$6:$R$200,'Summary Data'!$A38,'Data entry'!$B$6:$B$200,{"Confirmed";"Probable"},'Data entry'!$AQ$6:$AQ$200,'Data Validation'!$V$6, 'Data entry'!$AP$6:$AP$200,'Data Validation'!$U$3, 'Data entry'!$BD$6:$BD$200,"&lt;&gt;*Negative*"))</f>
        <v>0</v>
      </c>
      <c r="BB38" s="15">
        <f>SUM(COUNTIFS('Data entry'!$R$6:$R$200,'Summary Data'!$A38,'Data entry'!$B$6:$B$200,{"Confirmed";"Probable"},'Data entry'!$AQ$6:$AQ$200,'Data Validation'!$V$6, 'Data entry'!$AP$6:$AP$200,'Data Validation'!$U$4, 'Data entry'!$BD$6:$BD$200,"&lt;&gt;*Negative*"))</f>
        <v>0</v>
      </c>
      <c r="BC38" s="15">
        <f>SUM(COUNTIFS('Data entry'!$R$6:$R$200,'Summary Data'!$A38,'Data entry'!$B$6:$B$200,{"Confirmed";"Probable"},'Data entry'!$AQ$6:$AQ$200,'Data Validation'!$V$6, 'Data entry'!$AP$6:$AP$200,'Data Validation'!$U$5, 'Data entry'!$BD$6:$BD$200,"&lt;&gt;*Negative*"))</f>
        <v>0</v>
      </c>
      <c r="BD38" s="15">
        <f>SUM(COUNTIFS('Data entry'!$R$6:$R$200,'Summary Data'!$A38,'Data entry'!$B$6:$B$200,{"Confirmed";"Probable"},'Data entry'!$AQ$6:$AQ$200,'Data Validation'!$V$6, 'Data entry'!$AP$6:$AP$200,'Data Validation'!$U$6, 'Data entry'!$BD$6:$BD$200,"&lt;&gt;*Negative*"))</f>
        <v>0</v>
      </c>
      <c r="BE38" s="15">
        <f>SUM(COUNTIFS('Data entry'!$R$6:$R$200,'Summary Data'!$A38,'Data entry'!$B$6:$B$200,{"Confirmed";"Probable"},'Data entry'!$AQ$6:$AQ$200,'Data Validation'!$V$7, 'Data entry'!$AP$6:$AP$200,'Data Validation'!$U$2, 'Data entry'!$BD$6:$BD$200,"&lt;&gt;*Negative*"))</f>
        <v>0</v>
      </c>
      <c r="BF38" s="15">
        <f>SUM(COUNTIFS('Data entry'!$R$6:$R$200,'Summary Data'!$A38,'Data entry'!$B$6:$B$200,{"Confirmed";"Probable"},'Data entry'!$AQ$6:$AQ$200,'Data Validation'!$V$7, 'Data entry'!$AP$6:$AP$200,'Data Validation'!$U$3, 'Data entry'!$BD$6:$BD$200,"&lt;&gt;*Negative*"))</f>
        <v>0</v>
      </c>
      <c r="BG38" s="15">
        <f>SUM(COUNTIFS('Data entry'!$R$6:$R$200,'Summary Data'!$A38,'Data entry'!$B$6:$B$200,{"Confirmed";"Probable"},'Data entry'!$AQ$6:$AQ$200,'Data Validation'!$V$7, 'Data entry'!$AP$6:$AP$200,'Data Validation'!$U$4, 'Data entry'!$BD$6:$BD$200,"&lt;&gt;*Negative*"))</f>
        <v>0</v>
      </c>
      <c r="BH38" s="15">
        <f>SUM(COUNTIFS('Data entry'!$R$6:$R$200,'Summary Data'!$A38,'Data entry'!$B$6:$B$200,{"Confirmed";"Probable"},'Data entry'!$AQ$6:$AQ$200,'Data Validation'!$V$7, 'Data entry'!$AP$6:$AP$200,'Data Validation'!$U$5, 'Data entry'!$BD$6:$BD$200,"&lt;&gt;*Negative*"))</f>
        <v>0</v>
      </c>
      <c r="BI38" s="15">
        <f>SUM(COUNTIFS('Data entry'!$R$6:$R$200,'Summary Data'!$A38,'Data entry'!$B$6:$B$200,{"Confirmed";"Probable"},'Data entry'!$AQ$6:$AQ$200,'Data Validation'!$V$7, 'Data entry'!$AP$6:$AP$200,'Data Validation'!$U$6, 'Data entry'!$BD$6:$BD$200,"&lt;&gt;*Negative*"))</f>
        <v>0</v>
      </c>
      <c r="BJ38" s="15">
        <f>SUM(COUNTIFS('Data entry'!$R$6:$R$200,'Summary Data'!$A38,'Data entry'!$B$6:$B$200,{"Confirmed";"Probable"},'Data entry'!$AQ$6:$AQ$200,'Data Validation'!$V$8, 'Data entry'!$AP$6:$AP$200,'Data Validation'!$U$2, 'Data entry'!$BD$6:$BD$200,"&lt;&gt;*Negative*"))</f>
        <v>0</v>
      </c>
      <c r="BK38" s="15">
        <f>SUM(COUNTIFS('Data entry'!$R$6:$R$200,'Summary Data'!$A38,'Data entry'!$B$6:$B$200,{"Confirmed";"Probable"},'Data entry'!$AQ$6:$AQ$200,'Data Validation'!$V$8, 'Data entry'!$AP$6:$AP$200,'Data Validation'!$U$3, 'Data entry'!$BD$6:$BD$200,"&lt;&gt;*Negative*"))</f>
        <v>0</v>
      </c>
      <c r="BL38" s="15">
        <f>SUM(COUNTIFS('Data entry'!$R$6:$R$200,'Summary Data'!$A38,'Data entry'!$B$6:$B$200,{"Confirmed";"Probable"},'Data entry'!$AQ$6:$AQ$200,'Data Validation'!$V$8, 'Data entry'!$AP$6:$AP$200,'Data Validation'!$U$4, 'Data entry'!$BD$6:$BD$200,"&lt;&gt;*Negative*"))</f>
        <v>0</v>
      </c>
      <c r="BM38" s="15">
        <f>SUM(COUNTIFS('Data entry'!$R$6:$R$200,'Summary Data'!$A38,'Data entry'!$B$6:$B$200,{"Confirmed";"Probable"},'Data entry'!$AQ$6:$AQ$200,'Data Validation'!$V$8, 'Data entry'!$AP$6:$AP$200,'Data Validation'!$U$5, 'Data entry'!$BD$6:$BD$200,"&lt;&gt;*Negative*"))</f>
        <v>0</v>
      </c>
      <c r="BN38" s="15">
        <f>SUM(COUNTIFS('Data entry'!$R$6:$R$200,'Summary Data'!$A38,'Data entry'!$B$6:$B$200,{"Confirmed";"Probable"},'Data entry'!$AQ$6:$AQ$200,'Data Validation'!$V$8, 'Data entry'!$AP$6:$AP$200,'Data Validation'!$U$6, 'Data entry'!$BD$6:$BD$200,"&lt;&gt;*Negative*"))</f>
        <v>0</v>
      </c>
      <c r="BO38" s="15">
        <f>SUM(COUNTIFS('Data entry'!$R$6:$R$200,'Summary Data'!$A38,'Data entry'!$B$6:$B$200,{"Confirmed";"Probable"},'Data entry'!$AQ$6:$AQ$200,'Data Validation'!$V$9, 'Data entry'!$AP$6:$AP$200,'Data Validation'!$U$2, 'Data entry'!$BD$6:$BD$200,"&lt;&gt;*Negative*"))</f>
        <v>0</v>
      </c>
      <c r="BP38" s="15">
        <f>SUM(COUNTIFS('Data entry'!$R$6:$R$200,'Summary Data'!$A38,'Data entry'!$B$6:$B$200,{"Confirmed";"Probable"},'Data entry'!$AQ$6:$AQ$200,'Data Validation'!$V$9, 'Data entry'!$AP$6:$AP$200,'Data Validation'!$U$3, 'Data entry'!$BD$6:$BD$200,"&lt;&gt;*Negative*"))</f>
        <v>0</v>
      </c>
      <c r="BQ38" s="15">
        <f>SUM(COUNTIFS('Data entry'!$R$6:$R$200,'Summary Data'!$A38,'Data entry'!$B$6:$B$200,{"Confirmed";"Probable"},'Data entry'!$AQ$6:$AQ$200,'Data Validation'!$V$9, 'Data entry'!$AP$6:$AP$200,'Data Validation'!$U$4, 'Data entry'!$BD$6:$BD$200,"&lt;&gt;*Negative*"))</f>
        <v>0</v>
      </c>
      <c r="BR38" s="15">
        <f>SUM(COUNTIFS('Data entry'!$R$6:$R$200,'Summary Data'!$A38,'Data entry'!$B$6:$B$200,{"Confirmed";"Probable"},'Data entry'!$AQ$6:$AQ$200,'Data Validation'!$V$9, 'Data entry'!$AP$6:$AP$200,'Data Validation'!$U$5, 'Data entry'!$BD$6:$BD$200,"&lt;&gt;*Negative*"))</f>
        <v>0</v>
      </c>
      <c r="BS38" s="15">
        <f>SUM(COUNTIFS('Data entry'!$R$6:$R$200,'Summary Data'!$A38,'Data entry'!$B$6:$B$200,{"Confirmed";"Probable"},'Data entry'!$AQ$6:$AQ$200,'Data Validation'!$V$9, 'Data entry'!$AP$6:$AP$200,'Data Validation'!$U$6, 'Data entry'!$BD$6:$BD$200,"&lt;&gt;*Negative*"))</f>
        <v>0</v>
      </c>
      <c r="BT38" s="15">
        <f>SUM(COUNTIFS('Data entry'!$R$6:$R$200,'Summary Data'!$A38,'Data entry'!$B$6:$B$200,{"Confirmed";"Probable"},'Data entry'!$AQ$6:$AQ$200,'Data Validation'!$V$10, 'Data entry'!$AP$6:$AP$200,'Data Validation'!$U$2, 'Data entry'!$BD$6:$BD$200,"&lt;&gt;*Negative*"))</f>
        <v>0</v>
      </c>
      <c r="BU38" s="15">
        <f>SUM(COUNTIFS('Data entry'!$R$6:$R$200,'Summary Data'!$A38,'Data entry'!$B$6:$B$200,{"Confirmed";"Probable"},'Data entry'!$AQ$6:$AQ$200,'Data Validation'!$V$10, 'Data entry'!$AP$6:$AP$200,'Data Validation'!$U$3, 'Data entry'!$BD$6:$BD$200,"&lt;&gt;*Negative*"))</f>
        <v>0</v>
      </c>
      <c r="BV38" s="15">
        <f>SUM(COUNTIFS('Data entry'!$R$6:$R$200,'Summary Data'!$A38,'Data entry'!$B$6:$B$200,{"Confirmed";"Probable"},'Data entry'!$AQ$6:$AQ$200,'Data Validation'!$V$10, 'Data entry'!$AP$6:$AP$200,'Data Validation'!$U$4, 'Data entry'!$BD$6:$BD$200,"&lt;&gt;*Negative*"))</f>
        <v>0</v>
      </c>
      <c r="BW38" s="15">
        <f>SUM(COUNTIFS('Data entry'!$R$6:$R$200,'Summary Data'!$A38,'Data entry'!$B$6:$B$200,{"Confirmed";"Probable"},'Data entry'!$AQ$6:$AQ$200,'Data Validation'!$V$10, 'Data entry'!$AP$6:$AP$200,'Data Validation'!$U$5, 'Data entry'!$BD$6:$BD$200,"&lt;&gt;*Negative*"))</f>
        <v>0</v>
      </c>
      <c r="BX38" s="15">
        <f>SUM(COUNTIFS('Data entry'!$R$6:$R$200,'Summary Data'!$A38,'Data entry'!$B$6:$B$200,{"Confirmed";"Probable"},'Data entry'!$AQ$6:$AQ$200,'Data Validation'!$V$10, 'Data entry'!$AP$6:$AP$200,'Data Validation'!$U$6, 'Data entry'!$BD$6:$BD$200,"&lt;&gt;*Negative*"))</f>
        <v>0</v>
      </c>
      <c r="BY38" s="15">
        <f>SUM(COUNTIFS('Data entry'!$R$6:$R$200,'Summary Data'!$A38,'Data entry'!$B$6:$B$200,{"Confirmed";"Probable"},'Data entry'!$AQ$6:$AQ$200,'Data Validation'!$V$11, 'Data entry'!$AP$6:$AP$200,'Data Validation'!$U$2, 'Data entry'!$BD$6:$BD$200,"&lt;&gt;*Negative*"))</f>
        <v>0</v>
      </c>
      <c r="BZ38" s="15">
        <f>SUM(COUNTIFS('Data entry'!$R$6:$R$200,'Summary Data'!$A38,'Data entry'!$B$6:$B$200,{"Confirmed";"Probable"},'Data entry'!$AQ$6:$AQ$200,'Data Validation'!$V$11, 'Data entry'!$AP$6:$AP$200,'Data Validation'!$U$3, 'Data entry'!$BD$6:$BD$200,"&lt;&gt;*Negative*"))</f>
        <v>0</v>
      </c>
      <c r="CA38" s="15">
        <f>SUM(COUNTIFS('Data entry'!$R$6:$R$200,'Summary Data'!$A38,'Data entry'!$B$6:$B$200,{"Confirmed";"Probable"},'Data entry'!$AQ$6:$AQ$200,'Data Validation'!$V$11, 'Data entry'!$AP$6:$AP$200,'Data Validation'!$U$4, 'Data entry'!$BD$6:$BD$200,"&lt;&gt;*Negative*"))</f>
        <v>0</v>
      </c>
      <c r="CB38" s="15">
        <f>SUM(COUNTIFS('Data entry'!$R$6:$R$200,'Summary Data'!$A38,'Data entry'!$B$6:$B$200,{"Confirmed";"Probable"},'Data entry'!$AQ$6:$AQ$200,'Data Validation'!$V$11, 'Data entry'!$AP$6:$AP$200,'Data Validation'!$U$5, 'Data entry'!$BD$6:$BD$200,"&lt;&gt;*Negative*"))</f>
        <v>0</v>
      </c>
      <c r="CC38" s="15">
        <f>SUM(COUNTIFS('Data entry'!$R$6:$R$200,'Summary Data'!$A38,'Data entry'!$B$6:$B$200,{"Confirmed";"Probable"},'Data entry'!$AQ$6:$AQ$200,'Data Validation'!$V$11, 'Data entry'!$AP$6:$AP$200,'Data Validation'!$U$6, 'Data entry'!$BD$6:$BD$200,"&lt;&gt;*Negative*"))</f>
        <v>0</v>
      </c>
    </row>
    <row r="39" spans="1:81" x14ac:dyDescent="0.25">
      <c r="A39" s="12">
        <f t="shared" si="5"/>
        <v>27</v>
      </c>
      <c r="B39" s="13">
        <f t="shared" si="2"/>
        <v>0</v>
      </c>
      <c r="C39" s="13">
        <f>COUNTIFS('Data entry'!$R$6:$R$200,$A39,'Data entry'!$B$6:$B$200,"Confirmed",'Data entry'!$BD$6:$BD$200,"&lt;&gt;*Negative*")</f>
        <v>0</v>
      </c>
      <c r="D39" s="13">
        <f>COUNTIFS('Data entry'!$R$6:$R$200,$A39,'Data entry'!$B$6:$B$200,"Probable",'Data entry'!$BD$6:$BD$200,"&lt;&gt;*Negative*")</f>
        <v>0</v>
      </c>
      <c r="E39" s="13">
        <f>COUNTIFS('Data entry'!$R$6:$R$200,$A39,'Data entry'!$B$6:$B$200,"DNM")</f>
        <v>0</v>
      </c>
      <c r="F39" s="13">
        <f>SUM(COUNTIFS('Data entry'!$R$6:$R$200,'Summary Data'!$A39,'Data entry'!$B$6:$B$200,{"Confirmed";"Probable"},'Data entry'!$AO$6:$AO$200,$F$10, 'Data entry'!$BD$6:$BD$200,"&lt;&gt;*Negative*"))</f>
        <v>0</v>
      </c>
      <c r="G39" s="13">
        <f>SUM(COUNTIFS('Data entry'!$R$6:$R$200,'Summary Data'!$A39,'Data entry'!$B$6:$B$200,{"Confirmed";"Probable"},'Data entry'!$AO$6:$AO$200,$G$10, 'Data entry'!$BD$6:$BD$200,"&lt;&gt;*Negative*"))</f>
        <v>0</v>
      </c>
      <c r="H39" s="13">
        <f>SUM(COUNTIFS('Data entry'!$R$6:$R$200,'Summary Data'!$A39,'Data entry'!$B$6:$B$200,{"Confirmed";"Probable"},'Data entry'!$AO$6:$AO$200,$H$10, 'Data entry'!$BD$6:$BD$200,"&lt;&gt;*Negative*"))</f>
        <v>0</v>
      </c>
      <c r="I39" s="13">
        <f>SUM(COUNTIFS('Data entry'!$R$6:$R$200,'Summary Data'!$A39,'Data entry'!$B$6:$B$200,{"Confirmed";"Probable"},'Data entry'!$AO$6:$AO$200,$I$10, 'Data entry'!$BD$6:$BD$200,"&lt;&gt;*Negative*"))</f>
        <v>0</v>
      </c>
      <c r="J39" s="13">
        <f>SUM(COUNTIFS('Data entry'!$R$6:$R$200,'Summary Data'!$A39,'Data entry'!$B$6:$B$200,{"Confirmed";"Probable"},'Data entry'!$AO$6:$AO$200,$J$10, 'Data entry'!$BD$6:$BD$200,"&lt;&gt;*Negative*"))</f>
        <v>0</v>
      </c>
      <c r="K39" s="13">
        <f>SUM(COUNTIFS('Data entry'!$R$6:$R$200,'Summary Data'!$A39,'Data entry'!$B$6:$B$200,{"Confirmed";"Probable"},'Data entry'!$AO$6:$AO$200,$K$10, 'Data entry'!$BD$6:$BD$200,"&lt;&gt;*Negative*"))</f>
        <v>0</v>
      </c>
      <c r="L39" s="13">
        <f>SUM(COUNTIFS('Data entry'!$R$6:$R$200,'Summary Data'!$A39,'Data entry'!$B$6:$B$200,{"Confirmed";"Probable"},'Data entry'!$AO$6:$AO$200,$L$10, 'Data entry'!$BD$6:$BD$200,"&lt;&gt;*Negative*"))</f>
        <v>0</v>
      </c>
      <c r="M39" s="13">
        <f>SUM(COUNTIFS('Data entry'!$R$6:$R$200,'Summary Data'!$A39,'Data entry'!$B$6:$B$200,{"Confirmed";"Probable"},'Data entry'!$AO$6:$AO$200,$M$10, 'Data entry'!$BD$6:$BD$200,"&lt;&gt;*Negative*"))</f>
        <v>0</v>
      </c>
      <c r="N39" s="13">
        <f>SUM(COUNTIFS('Data entry'!$R$6:$R$200,'Summary Data'!$A39,'Data entry'!$B$6:$B$200,{"Confirmed";"Probable"},'Data entry'!$AO$6:$AO$200,$N$10, 'Data entry'!$BD$6:$BD$200,"&lt;&gt;*Negative*"))</f>
        <v>0</v>
      </c>
      <c r="O39" s="15">
        <f t="shared" si="3"/>
        <v>0</v>
      </c>
      <c r="P39" s="15">
        <f t="shared" si="4"/>
        <v>0</v>
      </c>
      <c r="Q39" s="15">
        <f>SUM(COUNTIFS('Data entry'!$R$6:$R$200,'Summary Data'!$A39,'Data entry'!$B$6:$B$200,{"Confirmed";"Probable"},'Data entry'!$AP$6:$AP$200,'Data Validation'!$U$2, 'Data entry'!$BD$6:$BD$200,"&lt;&gt;*Negative*"))</f>
        <v>0</v>
      </c>
      <c r="R39" s="15">
        <f>SUM(COUNTIFS('Data entry'!$R$6:$R$200,'Summary Data'!$A39,'Data entry'!$B$6:$B$200,{"Confirmed";"Probable"},'Data entry'!$AP$6:$AP$200,'Data Validation'!$U$3, 'Data entry'!$BD$6:$BD$200,"&lt;&gt;*Negative*"))</f>
        <v>0</v>
      </c>
      <c r="S39" s="15">
        <f>SUM(COUNTIFS('Data entry'!$R$6:$R$200,'Summary Data'!$A39,'Data entry'!$B$6:$B$200,{"Confirmed";"Probable"},'Data entry'!$AP$6:$AP$200,'Data Validation'!$U$4, 'Data entry'!$BD$6:$BD$200,"&lt;&gt;*Negative*"))</f>
        <v>0</v>
      </c>
      <c r="T39" s="15">
        <f>SUM(COUNTIFS('Data entry'!$R$6:$R$200,'Summary Data'!$A39,'Data entry'!$B$6:$B$200,{"Confirmed";"Probable"},'Data entry'!$AP$6:$AP$200,'Data Validation'!$U$5, 'Data entry'!$BD$6:$BD$200,"&lt;&gt;*Negative*"))</f>
        <v>0</v>
      </c>
      <c r="U39" s="15">
        <f>SUM(COUNTIFS('Data entry'!$R$6:$R$200,'Summary Data'!$A39,'Data entry'!$B$6:$B$200,{"Confirmed";"Probable"},'Data entry'!$AP$6:$AP$200,'Data Validation'!$U$6, 'Data entry'!$BD$6:$BD$200,"&lt;&gt;*Negative*"))</f>
        <v>0</v>
      </c>
      <c r="V39" s="15">
        <f>SUM(COUNTIFS('Data entry'!$R$6:$R$200,'Summary Data'!$A39,'Data entry'!$B$6:$B$200,{"Confirmed";"Probable"},'Data entry'!$AQ$6:$AQ$200,'Data Validation'!$V$2, 'Data entry'!$BD$6:$BD$200,"&lt;&gt;*Negative*"))</f>
        <v>0</v>
      </c>
      <c r="W39" s="15">
        <f>SUM(COUNTIFS('Data entry'!$R$6:$R$200,'Summary Data'!$A39,'Data entry'!$B$6:$B$200,{"Confirmed";"Probable"},'Data entry'!$AQ$6:$AQ$200,'Data Validation'!$V$3, 'Data entry'!$BD$6:$BD$200,"&lt;&gt;*Negative*"))</f>
        <v>0</v>
      </c>
      <c r="X39" s="15">
        <f>SUM(COUNTIFS('Data entry'!$R$6:$R$200,'Summary Data'!$A39,'Data entry'!$B$6:$B$200,{"Confirmed";"Probable"},'Data entry'!$AQ$6:$AQ$200,'Data Validation'!$V$4, 'Data entry'!$BD$6:$BD$200,"&lt;&gt;*Negative*"))</f>
        <v>0</v>
      </c>
      <c r="Y39" s="15">
        <f>SUM(COUNTIFS('Data entry'!$R$6:$R$200,'Summary Data'!$A39,'Data entry'!$B$6:$B$200,{"Confirmed";"Probable"},'Data entry'!$AQ$6:$AQ$200,'Data Validation'!$V$5, 'Data entry'!$BD$6:$BD$200,"&lt;&gt;*Negative*"))</f>
        <v>0</v>
      </c>
      <c r="Z39" s="15">
        <f>SUM(COUNTIFS('Data entry'!$R$6:$R$200,'Summary Data'!$A39,'Data entry'!$B$6:$B$200,{"Confirmed";"Probable"},'Data entry'!$AQ$6:$AQ$200,'Data Validation'!$V$6, 'Data entry'!$BD$6:$BD$200,"&lt;&gt;*Negative*"))</f>
        <v>0</v>
      </c>
      <c r="AA39" s="15">
        <f>SUM(COUNTIFS('Data entry'!$R$6:$R$200,'Summary Data'!$A39,'Data entry'!$B$6:$B$200,{"Confirmed";"Probable"},'Data entry'!$AQ$6:$AQ$200,'Data Validation'!$V$7, 'Data entry'!$BD$6:$BD$200,"&lt;&gt;*Negative*"))</f>
        <v>0</v>
      </c>
      <c r="AB39" s="15">
        <f>SUM(COUNTIFS('Data entry'!$R$6:$R$200,'Summary Data'!$A39,'Data entry'!$B$6:$B$200,{"Confirmed";"Probable"},'Data entry'!$AQ$6:$AQ$200,'Data Validation'!$V$8, 'Data entry'!$BD$6:$BD$200,"&lt;&gt;*Negative*"))</f>
        <v>0</v>
      </c>
      <c r="AC39" s="15">
        <f>SUM(COUNTIFS('Data entry'!$R$6:$R$200,'Summary Data'!$A39,'Data entry'!$B$6:$B$200,{"Confirmed";"Probable"},'Data entry'!$AQ$6:$AQ$200,'Data Validation'!$V$9, 'Data entry'!$BD$6:$BD$200,"&lt;&gt;*Negative*"))</f>
        <v>0</v>
      </c>
      <c r="AD39" s="15">
        <f>SUM(COUNTIFS('Data entry'!$R$6:$R$200,'Summary Data'!$A39,'Data entry'!$B$6:$B$200,{"Confirmed";"Probable"},'Data entry'!$AQ$6:$AQ$200,'Data Validation'!$V$10, 'Data entry'!$BD$6:$BD$200,"&lt;&gt;*Negative*"))</f>
        <v>0</v>
      </c>
      <c r="AE39" s="15">
        <f>SUM(COUNTIFS('Data entry'!$R$6:$R$200,'Summary Data'!$A39,'Data entry'!$B$6:$B$200,{"Confirmed";"Probable"},'Data entry'!$AQ$6:$AQ$200,'Data Validation'!$V$11, 'Data entry'!$BD$6:$BD$200,"&lt;&gt;*Negative*"))</f>
        <v>0</v>
      </c>
      <c r="AF39" s="15">
        <f>SUM(COUNTIFS('Data entry'!$R$6:$R$200,'Summary Data'!$A39,'Data entry'!$B$6:$B$200,{"Confirmed";"Probable"},'Data entry'!$AQ$6:$AQ$200,'Data Validation'!$V$2, 'Data entry'!$AP$6:$AP$200,'Data Validation'!$U$2, 'Data entry'!$BD$6:$BD$200,"&lt;&gt;*Negative*"))</f>
        <v>0</v>
      </c>
      <c r="AG39" s="15">
        <f>SUM(COUNTIFS('Data entry'!$R$6:$R$200,'Summary Data'!$A39,'Data entry'!$B$6:$B$200,{"Confirmed";"Probable"},'Data entry'!$AQ$6:$AQ$200,'Data Validation'!$V$2, 'Data entry'!$AP$6:$AP$200,'Data Validation'!$U$3, 'Data entry'!$BD$6:$BD$200,"&lt;&gt;*Negative*"))</f>
        <v>0</v>
      </c>
      <c r="AH39" s="15">
        <f>SUM(COUNTIFS('Data entry'!$R$6:$R$200,'Summary Data'!$A39,'Data entry'!$B$6:$B$200,{"Confirmed";"Probable"},'Data entry'!$AQ$6:$AQ$200,'Data Validation'!$V$2, 'Data entry'!$AP$6:$AP$200,'Data Validation'!$U$4, 'Data entry'!$BD$6:$BD$200,"&lt;&gt;*Negative*"))</f>
        <v>0</v>
      </c>
      <c r="AI39" s="15">
        <f>SUM(COUNTIFS('Data entry'!$R$6:$R$200,'Summary Data'!$A39,'Data entry'!$B$6:$B$200,{"Confirmed";"Probable"},'Data entry'!$AQ$6:$AQ$200,'Data Validation'!$V$2, 'Data entry'!$AP$6:$AP$200,'Data Validation'!$U$5, 'Data entry'!$BD$6:$BD$200,"&lt;&gt;*Negative*"))</f>
        <v>0</v>
      </c>
      <c r="AJ39" s="15">
        <f>SUM(COUNTIFS('Data entry'!$R$6:$R$200,'Summary Data'!$A39,'Data entry'!$B$6:$B$200,{"Confirmed";"Probable"},'Data entry'!$AQ$6:$AQ$200,'Data Validation'!$V$2, 'Data entry'!$AP$6:$AP$200,'Data Validation'!$U$6, 'Data entry'!$BD$6:$BD$200,"&lt;&gt;*Negative*"))</f>
        <v>0</v>
      </c>
      <c r="AK39" s="15">
        <f>SUM(COUNTIFS('Data entry'!$R$6:$R$200,'Summary Data'!$A39,'Data entry'!$B$6:$B$200,{"Confirmed";"Probable"},'Data entry'!$AQ$6:$AQ$200,'Data Validation'!$V$3, 'Data entry'!$AP$6:$AP$200,'Data Validation'!$U$2, 'Data entry'!$BD$6:$BD$200,"&lt;&gt;*Negative*"))</f>
        <v>0</v>
      </c>
      <c r="AL39" s="15">
        <f>SUM(COUNTIFS('Data entry'!$R$6:$R$200,'Summary Data'!$A39,'Data entry'!$B$6:$B$200,{"Confirmed";"Probable"},'Data entry'!$AQ$6:$AQ$200,'Data Validation'!$V$3, 'Data entry'!$AP$6:$AP$200,'Data Validation'!$U$3, 'Data entry'!$BD$6:$BD$200,"&lt;&gt;*Negative*"))</f>
        <v>0</v>
      </c>
      <c r="AM39" s="15">
        <f>SUM(COUNTIFS('Data entry'!$R$6:$R$200,'Summary Data'!$A39,'Data entry'!$B$6:$B$200,{"Confirmed";"Probable"},'Data entry'!$AQ$6:$AQ$200,'Data Validation'!$V$3, 'Data entry'!$AP$6:$AP$200,'Data Validation'!$U$4, 'Data entry'!$BD$6:$BD$200,"&lt;&gt;*Negative*"))</f>
        <v>0</v>
      </c>
      <c r="AN39" s="15">
        <f>SUM(COUNTIFS('Data entry'!$R$6:$R$200,'Summary Data'!$A39,'Data entry'!$B$6:$B$200,{"Confirmed";"Probable"},'Data entry'!$AQ$6:$AQ$200,'Data Validation'!$V$3, 'Data entry'!$AP$6:$AP$200,'Data Validation'!$U$5, 'Data entry'!$BD$6:$BD$200,"&lt;&gt;*Negative*"))</f>
        <v>0</v>
      </c>
      <c r="AO39" s="15">
        <f>SUM(COUNTIFS('Data entry'!$R$6:$R$200,'Summary Data'!$A39,'Data entry'!$B$6:$B$200,{"Confirmed";"Probable"},'Data entry'!$AQ$6:$AQ$200,'Data Validation'!$V$3, 'Data entry'!$AP$6:$AP$200,'Data Validation'!$U$6, 'Data entry'!$BD$6:$BD$200,"&lt;&gt;*Negative*"))</f>
        <v>0</v>
      </c>
      <c r="AP39" s="15">
        <f>SUM(COUNTIFS('Data entry'!$R$6:$R$200,'Summary Data'!$A39,'Data entry'!$B$6:$B$200,{"Confirmed";"Probable"},'Data entry'!$AQ$6:$AQ$200,'Data Validation'!$V$4, 'Data entry'!$AP$6:$AP$200,'Data Validation'!$U$2, 'Data entry'!$BD$6:$BD$200,"&lt;&gt;*Negative*"))</f>
        <v>0</v>
      </c>
      <c r="AQ39" s="15">
        <f>SUM(COUNTIFS('Data entry'!$R$6:$R$200,'Summary Data'!$A39,'Data entry'!$B$6:$B$200,{"Confirmed";"Probable"},'Data entry'!$AQ$6:$AQ$200,'Data Validation'!$V$4, 'Data entry'!$AP$6:$AP$200,'Data Validation'!$U$3, 'Data entry'!$BD$6:$BD$200,"&lt;&gt;*Negative*"))</f>
        <v>0</v>
      </c>
      <c r="AR39" s="15">
        <f>SUM(COUNTIFS('Data entry'!$R$6:$R$200,'Summary Data'!$A39,'Data entry'!$B$6:$B$200,{"Confirmed";"Probable"},'Data entry'!$AQ$6:$AQ$200,'Data Validation'!$V$4, 'Data entry'!$AP$6:$AP$200,'Data Validation'!$U$4, 'Data entry'!$BD$6:$BD$200,"&lt;&gt;*Negative*"))</f>
        <v>0</v>
      </c>
      <c r="AS39" s="15">
        <f>SUM(COUNTIFS('Data entry'!$R$6:$R$200,'Summary Data'!$A39,'Data entry'!$B$6:$B$200,{"Confirmed";"Probable"},'Data entry'!$AQ$6:$AQ$200,'Data Validation'!$V$4, 'Data entry'!$AP$6:$AP$200,'Data Validation'!$U$5, 'Data entry'!$BD$6:$BD$200,"&lt;&gt;*Negative*"))</f>
        <v>0</v>
      </c>
      <c r="AT39" s="15">
        <f>SUM(COUNTIFS('Data entry'!$R$6:$R$200,'Summary Data'!$A39,'Data entry'!$B$6:$B$200,{"Confirmed";"Probable"},'Data entry'!$AQ$6:$AQ$200,'Data Validation'!$V$4, 'Data entry'!$AP$6:$AP$200,'Data Validation'!$U$6, 'Data entry'!$BD$6:$BD$200,"&lt;&gt;*Negative*"))</f>
        <v>0</v>
      </c>
      <c r="AU39" s="15">
        <f>SUM(COUNTIFS('Data entry'!$R$6:$R$200,'Summary Data'!$A39,'Data entry'!$B$6:$B$200,{"Confirmed";"Probable"},'Data entry'!$AQ$6:$AQ$200,'Data Validation'!$V$5, 'Data entry'!$AP$6:$AP$200,'Data Validation'!$U$2, 'Data entry'!$BD$6:$BD$200,"&lt;&gt;*Negative*"))</f>
        <v>0</v>
      </c>
      <c r="AV39" s="15">
        <f>SUM(COUNTIFS('Data entry'!$R$6:$R$200,'Summary Data'!$A39,'Data entry'!$B$6:$B$200,{"Confirmed";"Probable"},'Data entry'!$AQ$6:$AQ$200,'Data Validation'!$V$5, 'Data entry'!$AP$6:$AP$200,'Data Validation'!$U$3, 'Data entry'!$BD$6:$BD$200,"&lt;&gt;*Negative*"))</f>
        <v>0</v>
      </c>
      <c r="AW39" s="15">
        <f>SUM(COUNTIFS('Data entry'!$R$6:$R$200,'Summary Data'!$A39,'Data entry'!$B$6:$B$200,{"Confirmed";"Probable"},'Data entry'!$AQ$6:$AQ$200,'Data Validation'!$V$5, 'Data entry'!$AP$6:$AP$200,'Data Validation'!$U$4, 'Data entry'!$BD$6:$BD$200,"&lt;&gt;*Negative*"))</f>
        <v>0</v>
      </c>
      <c r="AX39" s="15">
        <f>SUM(COUNTIFS('Data entry'!$R$6:$R$200,'Summary Data'!$A39,'Data entry'!$B$6:$B$200,{"Confirmed";"Probable"},'Data entry'!$AQ$6:$AQ$200,'Data Validation'!$V$5, 'Data entry'!$AP$6:$AP$200,'Data Validation'!$U$5, 'Data entry'!$BD$6:$BD$200,"&lt;&gt;*Negative*"))</f>
        <v>0</v>
      </c>
      <c r="AY39" s="15">
        <f>SUM(COUNTIFS('Data entry'!$R$6:$R$200,'Summary Data'!$A39,'Data entry'!$B$6:$B$200,{"Confirmed";"Probable"},'Data entry'!$AQ$6:$AQ$200,'Data Validation'!$V$5, 'Data entry'!$AP$6:$AP$200,'Data Validation'!$U$6, 'Data entry'!$BD$6:$BD$200,"&lt;&gt;*Negative*"))</f>
        <v>0</v>
      </c>
      <c r="AZ39" s="15">
        <f>SUM(COUNTIFS('Data entry'!$R$6:$R$200,'Summary Data'!$A39,'Data entry'!$B$6:$B$200,{"Confirmed";"Probable"},'Data entry'!$AQ$6:$AQ$200,'Data Validation'!$V$6, 'Data entry'!$AP$6:$AP$200,'Data Validation'!$U$2, 'Data entry'!$BD$6:$BD$200,"&lt;&gt;*Negative*"))</f>
        <v>0</v>
      </c>
      <c r="BA39" s="15">
        <f>SUM(COUNTIFS('Data entry'!$R$6:$R$200,'Summary Data'!$A39,'Data entry'!$B$6:$B$200,{"Confirmed";"Probable"},'Data entry'!$AQ$6:$AQ$200,'Data Validation'!$V$6, 'Data entry'!$AP$6:$AP$200,'Data Validation'!$U$3, 'Data entry'!$BD$6:$BD$200,"&lt;&gt;*Negative*"))</f>
        <v>0</v>
      </c>
      <c r="BB39" s="15">
        <f>SUM(COUNTIFS('Data entry'!$R$6:$R$200,'Summary Data'!$A39,'Data entry'!$B$6:$B$200,{"Confirmed";"Probable"},'Data entry'!$AQ$6:$AQ$200,'Data Validation'!$V$6, 'Data entry'!$AP$6:$AP$200,'Data Validation'!$U$4, 'Data entry'!$BD$6:$BD$200,"&lt;&gt;*Negative*"))</f>
        <v>0</v>
      </c>
      <c r="BC39" s="15">
        <f>SUM(COUNTIFS('Data entry'!$R$6:$R$200,'Summary Data'!$A39,'Data entry'!$B$6:$B$200,{"Confirmed";"Probable"},'Data entry'!$AQ$6:$AQ$200,'Data Validation'!$V$6, 'Data entry'!$AP$6:$AP$200,'Data Validation'!$U$5, 'Data entry'!$BD$6:$BD$200,"&lt;&gt;*Negative*"))</f>
        <v>0</v>
      </c>
      <c r="BD39" s="15">
        <f>SUM(COUNTIFS('Data entry'!$R$6:$R$200,'Summary Data'!$A39,'Data entry'!$B$6:$B$200,{"Confirmed";"Probable"},'Data entry'!$AQ$6:$AQ$200,'Data Validation'!$V$6, 'Data entry'!$AP$6:$AP$200,'Data Validation'!$U$6, 'Data entry'!$BD$6:$BD$200,"&lt;&gt;*Negative*"))</f>
        <v>0</v>
      </c>
      <c r="BE39" s="15">
        <f>SUM(COUNTIFS('Data entry'!$R$6:$R$200,'Summary Data'!$A39,'Data entry'!$B$6:$B$200,{"Confirmed";"Probable"},'Data entry'!$AQ$6:$AQ$200,'Data Validation'!$V$7, 'Data entry'!$AP$6:$AP$200,'Data Validation'!$U$2, 'Data entry'!$BD$6:$BD$200,"&lt;&gt;*Negative*"))</f>
        <v>0</v>
      </c>
      <c r="BF39" s="15">
        <f>SUM(COUNTIFS('Data entry'!$R$6:$R$200,'Summary Data'!$A39,'Data entry'!$B$6:$B$200,{"Confirmed";"Probable"},'Data entry'!$AQ$6:$AQ$200,'Data Validation'!$V$7, 'Data entry'!$AP$6:$AP$200,'Data Validation'!$U$3, 'Data entry'!$BD$6:$BD$200,"&lt;&gt;*Negative*"))</f>
        <v>0</v>
      </c>
      <c r="BG39" s="15">
        <f>SUM(COUNTIFS('Data entry'!$R$6:$R$200,'Summary Data'!$A39,'Data entry'!$B$6:$B$200,{"Confirmed";"Probable"},'Data entry'!$AQ$6:$AQ$200,'Data Validation'!$V$7, 'Data entry'!$AP$6:$AP$200,'Data Validation'!$U$4, 'Data entry'!$BD$6:$BD$200,"&lt;&gt;*Negative*"))</f>
        <v>0</v>
      </c>
      <c r="BH39" s="15">
        <f>SUM(COUNTIFS('Data entry'!$R$6:$R$200,'Summary Data'!$A39,'Data entry'!$B$6:$B$200,{"Confirmed";"Probable"},'Data entry'!$AQ$6:$AQ$200,'Data Validation'!$V$7, 'Data entry'!$AP$6:$AP$200,'Data Validation'!$U$5, 'Data entry'!$BD$6:$BD$200,"&lt;&gt;*Negative*"))</f>
        <v>0</v>
      </c>
      <c r="BI39" s="15">
        <f>SUM(COUNTIFS('Data entry'!$R$6:$R$200,'Summary Data'!$A39,'Data entry'!$B$6:$B$200,{"Confirmed";"Probable"},'Data entry'!$AQ$6:$AQ$200,'Data Validation'!$V$7, 'Data entry'!$AP$6:$AP$200,'Data Validation'!$U$6, 'Data entry'!$BD$6:$BD$200,"&lt;&gt;*Negative*"))</f>
        <v>0</v>
      </c>
      <c r="BJ39" s="15">
        <f>SUM(COUNTIFS('Data entry'!$R$6:$R$200,'Summary Data'!$A39,'Data entry'!$B$6:$B$200,{"Confirmed";"Probable"},'Data entry'!$AQ$6:$AQ$200,'Data Validation'!$V$8, 'Data entry'!$AP$6:$AP$200,'Data Validation'!$U$2, 'Data entry'!$BD$6:$BD$200,"&lt;&gt;*Negative*"))</f>
        <v>0</v>
      </c>
      <c r="BK39" s="15">
        <f>SUM(COUNTIFS('Data entry'!$R$6:$R$200,'Summary Data'!$A39,'Data entry'!$B$6:$B$200,{"Confirmed";"Probable"},'Data entry'!$AQ$6:$AQ$200,'Data Validation'!$V$8, 'Data entry'!$AP$6:$AP$200,'Data Validation'!$U$3, 'Data entry'!$BD$6:$BD$200,"&lt;&gt;*Negative*"))</f>
        <v>0</v>
      </c>
      <c r="BL39" s="15">
        <f>SUM(COUNTIFS('Data entry'!$R$6:$R$200,'Summary Data'!$A39,'Data entry'!$B$6:$B$200,{"Confirmed";"Probable"},'Data entry'!$AQ$6:$AQ$200,'Data Validation'!$V$8, 'Data entry'!$AP$6:$AP$200,'Data Validation'!$U$4, 'Data entry'!$BD$6:$BD$200,"&lt;&gt;*Negative*"))</f>
        <v>0</v>
      </c>
      <c r="BM39" s="15">
        <f>SUM(COUNTIFS('Data entry'!$R$6:$R$200,'Summary Data'!$A39,'Data entry'!$B$6:$B$200,{"Confirmed";"Probable"},'Data entry'!$AQ$6:$AQ$200,'Data Validation'!$V$8, 'Data entry'!$AP$6:$AP$200,'Data Validation'!$U$5, 'Data entry'!$BD$6:$BD$200,"&lt;&gt;*Negative*"))</f>
        <v>0</v>
      </c>
      <c r="BN39" s="15">
        <f>SUM(COUNTIFS('Data entry'!$R$6:$R$200,'Summary Data'!$A39,'Data entry'!$B$6:$B$200,{"Confirmed";"Probable"},'Data entry'!$AQ$6:$AQ$200,'Data Validation'!$V$8, 'Data entry'!$AP$6:$AP$200,'Data Validation'!$U$6, 'Data entry'!$BD$6:$BD$200,"&lt;&gt;*Negative*"))</f>
        <v>0</v>
      </c>
      <c r="BO39" s="15">
        <f>SUM(COUNTIFS('Data entry'!$R$6:$R$200,'Summary Data'!$A39,'Data entry'!$B$6:$B$200,{"Confirmed";"Probable"},'Data entry'!$AQ$6:$AQ$200,'Data Validation'!$V$9, 'Data entry'!$AP$6:$AP$200,'Data Validation'!$U$2, 'Data entry'!$BD$6:$BD$200,"&lt;&gt;*Negative*"))</f>
        <v>0</v>
      </c>
      <c r="BP39" s="15">
        <f>SUM(COUNTIFS('Data entry'!$R$6:$R$200,'Summary Data'!$A39,'Data entry'!$B$6:$B$200,{"Confirmed";"Probable"},'Data entry'!$AQ$6:$AQ$200,'Data Validation'!$V$9, 'Data entry'!$AP$6:$AP$200,'Data Validation'!$U$3, 'Data entry'!$BD$6:$BD$200,"&lt;&gt;*Negative*"))</f>
        <v>0</v>
      </c>
      <c r="BQ39" s="15">
        <f>SUM(COUNTIFS('Data entry'!$R$6:$R$200,'Summary Data'!$A39,'Data entry'!$B$6:$B$200,{"Confirmed";"Probable"},'Data entry'!$AQ$6:$AQ$200,'Data Validation'!$V$9, 'Data entry'!$AP$6:$AP$200,'Data Validation'!$U$4, 'Data entry'!$BD$6:$BD$200,"&lt;&gt;*Negative*"))</f>
        <v>0</v>
      </c>
      <c r="BR39" s="15">
        <f>SUM(COUNTIFS('Data entry'!$R$6:$R$200,'Summary Data'!$A39,'Data entry'!$B$6:$B$200,{"Confirmed";"Probable"},'Data entry'!$AQ$6:$AQ$200,'Data Validation'!$V$9, 'Data entry'!$AP$6:$AP$200,'Data Validation'!$U$5, 'Data entry'!$BD$6:$BD$200,"&lt;&gt;*Negative*"))</f>
        <v>0</v>
      </c>
      <c r="BS39" s="15">
        <f>SUM(COUNTIFS('Data entry'!$R$6:$R$200,'Summary Data'!$A39,'Data entry'!$B$6:$B$200,{"Confirmed";"Probable"},'Data entry'!$AQ$6:$AQ$200,'Data Validation'!$V$9, 'Data entry'!$AP$6:$AP$200,'Data Validation'!$U$6, 'Data entry'!$BD$6:$BD$200,"&lt;&gt;*Negative*"))</f>
        <v>0</v>
      </c>
      <c r="BT39" s="15">
        <f>SUM(COUNTIFS('Data entry'!$R$6:$R$200,'Summary Data'!$A39,'Data entry'!$B$6:$B$200,{"Confirmed";"Probable"},'Data entry'!$AQ$6:$AQ$200,'Data Validation'!$V$10, 'Data entry'!$AP$6:$AP$200,'Data Validation'!$U$2, 'Data entry'!$BD$6:$BD$200,"&lt;&gt;*Negative*"))</f>
        <v>0</v>
      </c>
      <c r="BU39" s="15">
        <f>SUM(COUNTIFS('Data entry'!$R$6:$R$200,'Summary Data'!$A39,'Data entry'!$B$6:$B$200,{"Confirmed";"Probable"},'Data entry'!$AQ$6:$AQ$200,'Data Validation'!$V$10, 'Data entry'!$AP$6:$AP$200,'Data Validation'!$U$3, 'Data entry'!$BD$6:$BD$200,"&lt;&gt;*Negative*"))</f>
        <v>0</v>
      </c>
      <c r="BV39" s="15">
        <f>SUM(COUNTIFS('Data entry'!$R$6:$R$200,'Summary Data'!$A39,'Data entry'!$B$6:$B$200,{"Confirmed";"Probable"},'Data entry'!$AQ$6:$AQ$200,'Data Validation'!$V$10, 'Data entry'!$AP$6:$AP$200,'Data Validation'!$U$4, 'Data entry'!$BD$6:$BD$200,"&lt;&gt;*Negative*"))</f>
        <v>0</v>
      </c>
      <c r="BW39" s="15">
        <f>SUM(COUNTIFS('Data entry'!$R$6:$R$200,'Summary Data'!$A39,'Data entry'!$B$6:$B$200,{"Confirmed";"Probable"},'Data entry'!$AQ$6:$AQ$200,'Data Validation'!$V$10, 'Data entry'!$AP$6:$AP$200,'Data Validation'!$U$5, 'Data entry'!$BD$6:$BD$200,"&lt;&gt;*Negative*"))</f>
        <v>0</v>
      </c>
      <c r="BX39" s="15">
        <f>SUM(COUNTIFS('Data entry'!$R$6:$R$200,'Summary Data'!$A39,'Data entry'!$B$6:$B$200,{"Confirmed";"Probable"},'Data entry'!$AQ$6:$AQ$200,'Data Validation'!$V$10, 'Data entry'!$AP$6:$AP$200,'Data Validation'!$U$6, 'Data entry'!$BD$6:$BD$200,"&lt;&gt;*Negative*"))</f>
        <v>0</v>
      </c>
      <c r="BY39" s="15">
        <f>SUM(COUNTIFS('Data entry'!$R$6:$R$200,'Summary Data'!$A39,'Data entry'!$B$6:$B$200,{"Confirmed";"Probable"},'Data entry'!$AQ$6:$AQ$200,'Data Validation'!$V$11, 'Data entry'!$AP$6:$AP$200,'Data Validation'!$U$2, 'Data entry'!$BD$6:$BD$200,"&lt;&gt;*Negative*"))</f>
        <v>0</v>
      </c>
      <c r="BZ39" s="15">
        <f>SUM(COUNTIFS('Data entry'!$R$6:$R$200,'Summary Data'!$A39,'Data entry'!$B$6:$B$200,{"Confirmed";"Probable"},'Data entry'!$AQ$6:$AQ$200,'Data Validation'!$V$11, 'Data entry'!$AP$6:$AP$200,'Data Validation'!$U$3, 'Data entry'!$BD$6:$BD$200,"&lt;&gt;*Negative*"))</f>
        <v>0</v>
      </c>
      <c r="CA39" s="15">
        <f>SUM(COUNTIFS('Data entry'!$R$6:$R$200,'Summary Data'!$A39,'Data entry'!$B$6:$B$200,{"Confirmed";"Probable"},'Data entry'!$AQ$6:$AQ$200,'Data Validation'!$V$11, 'Data entry'!$AP$6:$AP$200,'Data Validation'!$U$4, 'Data entry'!$BD$6:$BD$200,"&lt;&gt;*Negative*"))</f>
        <v>0</v>
      </c>
      <c r="CB39" s="15">
        <f>SUM(COUNTIFS('Data entry'!$R$6:$R$200,'Summary Data'!$A39,'Data entry'!$B$6:$B$200,{"Confirmed";"Probable"},'Data entry'!$AQ$6:$AQ$200,'Data Validation'!$V$11, 'Data entry'!$AP$6:$AP$200,'Data Validation'!$U$5, 'Data entry'!$BD$6:$BD$200,"&lt;&gt;*Negative*"))</f>
        <v>0</v>
      </c>
      <c r="CC39" s="15">
        <f>SUM(COUNTIFS('Data entry'!$R$6:$R$200,'Summary Data'!$A39,'Data entry'!$B$6:$B$200,{"Confirmed";"Probable"},'Data entry'!$AQ$6:$AQ$200,'Data Validation'!$V$11, 'Data entry'!$AP$6:$AP$200,'Data Validation'!$U$6, 'Data entry'!$BD$6:$BD$200,"&lt;&gt;*Negative*"))</f>
        <v>0</v>
      </c>
    </row>
    <row r="40" spans="1:81" x14ac:dyDescent="0.25">
      <c r="A40" s="12">
        <f t="shared" si="5"/>
        <v>28</v>
      </c>
      <c r="B40" s="13">
        <f t="shared" si="2"/>
        <v>0</v>
      </c>
      <c r="C40" s="13">
        <f>COUNTIFS('Data entry'!$R$6:$R$200,$A40,'Data entry'!$B$6:$B$200,"Confirmed",'Data entry'!$BD$6:$BD$200,"&lt;&gt;*Negative*")</f>
        <v>0</v>
      </c>
      <c r="D40" s="13">
        <f>COUNTIFS('Data entry'!$R$6:$R$200,$A40,'Data entry'!$B$6:$B$200,"Probable",'Data entry'!$BD$6:$BD$200,"&lt;&gt;*Negative*")</f>
        <v>0</v>
      </c>
      <c r="E40" s="13">
        <f>COUNTIFS('Data entry'!$R$6:$R$200,$A40,'Data entry'!$B$6:$B$200,"DNM")</f>
        <v>0</v>
      </c>
      <c r="F40" s="13">
        <f>SUM(COUNTIFS('Data entry'!$R$6:$R$200,'Summary Data'!$A40,'Data entry'!$B$6:$B$200,{"Confirmed";"Probable"},'Data entry'!$AO$6:$AO$200,$F$10, 'Data entry'!$BD$6:$BD$200,"&lt;&gt;*Negative*"))</f>
        <v>0</v>
      </c>
      <c r="G40" s="13">
        <f>SUM(COUNTIFS('Data entry'!$R$6:$R$200,'Summary Data'!$A40,'Data entry'!$B$6:$B$200,{"Confirmed";"Probable"},'Data entry'!$AO$6:$AO$200,$G$10, 'Data entry'!$BD$6:$BD$200,"&lt;&gt;*Negative*"))</f>
        <v>0</v>
      </c>
      <c r="H40" s="13">
        <f>SUM(COUNTIFS('Data entry'!$R$6:$R$200,'Summary Data'!$A40,'Data entry'!$B$6:$B$200,{"Confirmed";"Probable"},'Data entry'!$AO$6:$AO$200,$H$10, 'Data entry'!$BD$6:$BD$200,"&lt;&gt;*Negative*"))</f>
        <v>0</v>
      </c>
      <c r="I40" s="13">
        <f>SUM(COUNTIFS('Data entry'!$R$6:$R$200,'Summary Data'!$A40,'Data entry'!$B$6:$B$200,{"Confirmed";"Probable"},'Data entry'!$AO$6:$AO$200,$I$10, 'Data entry'!$BD$6:$BD$200,"&lt;&gt;*Negative*"))</f>
        <v>0</v>
      </c>
      <c r="J40" s="13">
        <f>SUM(COUNTIFS('Data entry'!$R$6:$R$200,'Summary Data'!$A40,'Data entry'!$B$6:$B$200,{"Confirmed";"Probable"},'Data entry'!$AO$6:$AO$200,$J$10, 'Data entry'!$BD$6:$BD$200,"&lt;&gt;*Negative*"))</f>
        <v>0</v>
      </c>
      <c r="K40" s="13">
        <f>SUM(COUNTIFS('Data entry'!$R$6:$R$200,'Summary Data'!$A40,'Data entry'!$B$6:$B$200,{"Confirmed";"Probable"},'Data entry'!$AO$6:$AO$200,$K$10, 'Data entry'!$BD$6:$BD$200,"&lt;&gt;*Negative*"))</f>
        <v>0</v>
      </c>
      <c r="L40" s="13">
        <f>SUM(COUNTIFS('Data entry'!$R$6:$R$200,'Summary Data'!$A40,'Data entry'!$B$6:$B$200,{"Confirmed";"Probable"},'Data entry'!$AO$6:$AO$200,$L$10, 'Data entry'!$BD$6:$BD$200,"&lt;&gt;*Negative*"))</f>
        <v>0</v>
      </c>
      <c r="M40" s="13">
        <f>SUM(COUNTIFS('Data entry'!$R$6:$R$200,'Summary Data'!$A40,'Data entry'!$B$6:$B$200,{"Confirmed";"Probable"},'Data entry'!$AO$6:$AO$200,$M$10, 'Data entry'!$BD$6:$BD$200,"&lt;&gt;*Negative*"))</f>
        <v>0</v>
      </c>
      <c r="N40" s="13">
        <f>SUM(COUNTIFS('Data entry'!$R$6:$R$200,'Summary Data'!$A40,'Data entry'!$B$6:$B$200,{"Confirmed";"Probable"},'Data entry'!$AO$6:$AO$200,$N$10, 'Data entry'!$BD$6:$BD$200,"&lt;&gt;*Negative*"))</f>
        <v>0</v>
      </c>
      <c r="O40" s="15">
        <f t="shared" si="3"/>
        <v>0</v>
      </c>
      <c r="P40" s="15">
        <f t="shared" si="4"/>
        <v>0</v>
      </c>
      <c r="Q40" s="15">
        <f>SUM(COUNTIFS('Data entry'!$R$6:$R$200,'Summary Data'!$A40,'Data entry'!$B$6:$B$200,{"Confirmed";"Probable"},'Data entry'!$AP$6:$AP$200,'Data Validation'!$U$2, 'Data entry'!$BD$6:$BD$200,"&lt;&gt;*Negative*"))</f>
        <v>0</v>
      </c>
      <c r="R40" s="15">
        <f>SUM(COUNTIFS('Data entry'!$R$6:$R$200,'Summary Data'!$A40,'Data entry'!$B$6:$B$200,{"Confirmed";"Probable"},'Data entry'!$AP$6:$AP$200,'Data Validation'!$U$3, 'Data entry'!$BD$6:$BD$200,"&lt;&gt;*Negative*"))</f>
        <v>0</v>
      </c>
      <c r="S40" s="15">
        <f>SUM(COUNTIFS('Data entry'!$R$6:$R$200,'Summary Data'!$A40,'Data entry'!$B$6:$B$200,{"Confirmed";"Probable"},'Data entry'!$AP$6:$AP$200,'Data Validation'!$U$4, 'Data entry'!$BD$6:$BD$200,"&lt;&gt;*Negative*"))</f>
        <v>0</v>
      </c>
      <c r="T40" s="15">
        <f>SUM(COUNTIFS('Data entry'!$R$6:$R$200,'Summary Data'!$A40,'Data entry'!$B$6:$B$200,{"Confirmed";"Probable"},'Data entry'!$AP$6:$AP$200,'Data Validation'!$U$5, 'Data entry'!$BD$6:$BD$200,"&lt;&gt;*Negative*"))</f>
        <v>0</v>
      </c>
      <c r="U40" s="15">
        <f>SUM(COUNTIFS('Data entry'!$R$6:$R$200,'Summary Data'!$A40,'Data entry'!$B$6:$B$200,{"Confirmed";"Probable"},'Data entry'!$AP$6:$AP$200,'Data Validation'!$U$6, 'Data entry'!$BD$6:$BD$200,"&lt;&gt;*Negative*"))</f>
        <v>0</v>
      </c>
      <c r="V40" s="15">
        <f>SUM(COUNTIFS('Data entry'!$R$6:$R$200,'Summary Data'!$A40,'Data entry'!$B$6:$B$200,{"Confirmed";"Probable"},'Data entry'!$AQ$6:$AQ$200,'Data Validation'!$V$2, 'Data entry'!$BD$6:$BD$200,"&lt;&gt;*Negative*"))</f>
        <v>0</v>
      </c>
      <c r="W40" s="15">
        <f>SUM(COUNTIFS('Data entry'!$R$6:$R$200,'Summary Data'!$A40,'Data entry'!$B$6:$B$200,{"Confirmed";"Probable"},'Data entry'!$AQ$6:$AQ$200,'Data Validation'!$V$3, 'Data entry'!$BD$6:$BD$200,"&lt;&gt;*Negative*"))</f>
        <v>0</v>
      </c>
      <c r="X40" s="15">
        <f>SUM(COUNTIFS('Data entry'!$R$6:$R$200,'Summary Data'!$A40,'Data entry'!$B$6:$B$200,{"Confirmed";"Probable"},'Data entry'!$AQ$6:$AQ$200,'Data Validation'!$V$4, 'Data entry'!$BD$6:$BD$200,"&lt;&gt;*Negative*"))</f>
        <v>0</v>
      </c>
      <c r="Y40" s="15">
        <f>SUM(COUNTIFS('Data entry'!$R$6:$R$200,'Summary Data'!$A40,'Data entry'!$B$6:$B$200,{"Confirmed";"Probable"},'Data entry'!$AQ$6:$AQ$200,'Data Validation'!$V$5, 'Data entry'!$BD$6:$BD$200,"&lt;&gt;*Negative*"))</f>
        <v>0</v>
      </c>
      <c r="Z40" s="15">
        <f>SUM(COUNTIFS('Data entry'!$R$6:$R$200,'Summary Data'!$A40,'Data entry'!$B$6:$B$200,{"Confirmed";"Probable"},'Data entry'!$AQ$6:$AQ$200,'Data Validation'!$V$6, 'Data entry'!$BD$6:$BD$200,"&lt;&gt;*Negative*"))</f>
        <v>0</v>
      </c>
      <c r="AA40" s="15">
        <f>SUM(COUNTIFS('Data entry'!$R$6:$R$200,'Summary Data'!$A40,'Data entry'!$B$6:$B$200,{"Confirmed";"Probable"},'Data entry'!$AQ$6:$AQ$200,'Data Validation'!$V$7, 'Data entry'!$BD$6:$BD$200,"&lt;&gt;*Negative*"))</f>
        <v>0</v>
      </c>
      <c r="AB40" s="15">
        <f>SUM(COUNTIFS('Data entry'!$R$6:$R$200,'Summary Data'!$A40,'Data entry'!$B$6:$B$200,{"Confirmed";"Probable"},'Data entry'!$AQ$6:$AQ$200,'Data Validation'!$V$8, 'Data entry'!$BD$6:$BD$200,"&lt;&gt;*Negative*"))</f>
        <v>0</v>
      </c>
      <c r="AC40" s="15">
        <f>SUM(COUNTIFS('Data entry'!$R$6:$R$200,'Summary Data'!$A40,'Data entry'!$B$6:$B$200,{"Confirmed";"Probable"},'Data entry'!$AQ$6:$AQ$200,'Data Validation'!$V$9, 'Data entry'!$BD$6:$BD$200,"&lt;&gt;*Negative*"))</f>
        <v>0</v>
      </c>
      <c r="AD40" s="15">
        <f>SUM(COUNTIFS('Data entry'!$R$6:$R$200,'Summary Data'!$A40,'Data entry'!$B$6:$B$200,{"Confirmed";"Probable"},'Data entry'!$AQ$6:$AQ$200,'Data Validation'!$V$10, 'Data entry'!$BD$6:$BD$200,"&lt;&gt;*Negative*"))</f>
        <v>0</v>
      </c>
      <c r="AE40" s="15">
        <f>SUM(COUNTIFS('Data entry'!$R$6:$R$200,'Summary Data'!$A40,'Data entry'!$B$6:$B$200,{"Confirmed";"Probable"},'Data entry'!$AQ$6:$AQ$200,'Data Validation'!$V$11, 'Data entry'!$BD$6:$BD$200,"&lt;&gt;*Negative*"))</f>
        <v>0</v>
      </c>
      <c r="AF40" s="15">
        <f>SUM(COUNTIFS('Data entry'!$R$6:$R$200,'Summary Data'!$A40,'Data entry'!$B$6:$B$200,{"Confirmed";"Probable"},'Data entry'!$AQ$6:$AQ$200,'Data Validation'!$V$2, 'Data entry'!$AP$6:$AP$200,'Data Validation'!$U$2, 'Data entry'!$BD$6:$BD$200,"&lt;&gt;*Negative*"))</f>
        <v>0</v>
      </c>
      <c r="AG40" s="15">
        <f>SUM(COUNTIFS('Data entry'!$R$6:$R$200,'Summary Data'!$A40,'Data entry'!$B$6:$B$200,{"Confirmed";"Probable"},'Data entry'!$AQ$6:$AQ$200,'Data Validation'!$V$2, 'Data entry'!$AP$6:$AP$200,'Data Validation'!$U$3, 'Data entry'!$BD$6:$BD$200,"&lt;&gt;*Negative*"))</f>
        <v>0</v>
      </c>
      <c r="AH40" s="15">
        <f>SUM(COUNTIFS('Data entry'!$R$6:$R$200,'Summary Data'!$A40,'Data entry'!$B$6:$B$200,{"Confirmed";"Probable"},'Data entry'!$AQ$6:$AQ$200,'Data Validation'!$V$2, 'Data entry'!$AP$6:$AP$200,'Data Validation'!$U$4, 'Data entry'!$BD$6:$BD$200,"&lt;&gt;*Negative*"))</f>
        <v>0</v>
      </c>
      <c r="AI40" s="15">
        <f>SUM(COUNTIFS('Data entry'!$R$6:$R$200,'Summary Data'!$A40,'Data entry'!$B$6:$B$200,{"Confirmed";"Probable"},'Data entry'!$AQ$6:$AQ$200,'Data Validation'!$V$2, 'Data entry'!$AP$6:$AP$200,'Data Validation'!$U$5, 'Data entry'!$BD$6:$BD$200,"&lt;&gt;*Negative*"))</f>
        <v>0</v>
      </c>
      <c r="AJ40" s="15">
        <f>SUM(COUNTIFS('Data entry'!$R$6:$R$200,'Summary Data'!$A40,'Data entry'!$B$6:$B$200,{"Confirmed";"Probable"},'Data entry'!$AQ$6:$AQ$200,'Data Validation'!$V$2, 'Data entry'!$AP$6:$AP$200,'Data Validation'!$U$6, 'Data entry'!$BD$6:$BD$200,"&lt;&gt;*Negative*"))</f>
        <v>0</v>
      </c>
      <c r="AK40" s="15">
        <f>SUM(COUNTIFS('Data entry'!$R$6:$R$200,'Summary Data'!$A40,'Data entry'!$B$6:$B$200,{"Confirmed";"Probable"},'Data entry'!$AQ$6:$AQ$200,'Data Validation'!$V$3, 'Data entry'!$AP$6:$AP$200,'Data Validation'!$U$2, 'Data entry'!$BD$6:$BD$200,"&lt;&gt;*Negative*"))</f>
        <v>0</v>
      </c>
      <c r="AL40" s="15">
        <f>SUM(COUNTIFS('Data entry'!$R$6:$R$200,'Summary Data'!$A40,'Data entry'!$B$6:$B$200,{"Confirmed";"Probable"},'Data entry'!$AQ$6:$AQ$200,'Data Validation'!$V$3, 'Data entry'!$AP$6:$AP$200,'Data Validation'!$U$3, 'Data entry'!$BD$6:$BD$200,"&lt;&gt;*Negative*"))</f>
        <v>0</v>
      </c>
      <c r="AM40" s="15">
        <f>SUM(COUNTIFS('Data entry'!$R$6:$R$200,'Summary Data'!$A40,'Data entry'!$B$6:$B$200,{"Confirmed";"Probable"},'Data entry'!$AQ$6:$AQ$200,'Data Validation'!$V$3, 'Data entry'!$AP$6:$AP$200,'Data Validation'!$U$4, 'Data entry'!$BD$6:$BD$200,"&lt;&gt;*Negative*"))</f>
        <v>0</v>
      </c>
      <c r="AN40" s="15">
        <f>SUM(COUNTIFS('Data entry'!$R$6:$R$200,'Summary Data'!$A40,'Data entry'!$B$6:$B$200,{"Confirmed";"Probable"},'Data entry'!$AQ$6:$AQ$200,'Data Validation'!$V$3, 'Data entry'!$AP$6:$AP$200,'Data Validation'!$U$5, 'Data entry'!$BD$6:$BD$200,"&lt;&gt;*Negative*"))</f>
        <v>0</v>
      </c>
      <c r="AO40" s="15">
        <f>SUM(COUNTIFS('Data entry'!$R$6:$R$200,'Summary Data'!$A40,'Data entry'!$B$6:$B$200,{"Confirmed";"Probable"},'Data entry'!$AQ$6:$AQ$200,'Data Validation'!$V$3, 'Data entry'!$AP$6:$AP$200,'Data Validation'!$U$6, 'Data entry'!$BD$6:$BD$200,"&lt;&gt;*Negative*"))</f>
        <v>0</v>
      </c>
      <c r="AP40" s="15">
        <f>SUM(COUNTIFS('Data entry'!$R$6:$R$200,'Summary Data'!$A40,'Data entry'!$B$6:$B$200,{"Confirmed";"Probable"},'Data entry'!$AQ$6:$AQ$200,'Data Validation'!$V$4, 'Data entry'!$AP$6:$AP$200,'Data Validation'!$U$2, 'Data entry'!$BD$6:$BD$200,"&lt;&gt;*Negative*"))</f>
        <v>0</v>
      </c>
      <c r="AQ40" s="15">
        <f>SUM(COUNTIFS('Data entry'!$R$6:$R$200,'Summary Data'!$A40,'Data entry'!$B$6:$B$200,{"Confirmed";"Probable"},'Data entry'!$AQ$6:$AQ$200,'Data Validation'!$V$4, 'Data entry'!$AP$6:$AP$200,'Data Validation'!$U$3, 'Data entry'!$BD$6:$BD$200,"&lt;&gt;*Negative*"))</f>
        <v>0</v>
      </c>
      <c r="AR40" s="15">
        <f>SUM(COUNTIFS('Data entry'!$R$6:$R$200,'Summary Data'!$A40,'Data entry'!$B$6:$B$200,{"Confirmed";"Probable"},'Data entry'!$AQ$6:$AQ$200,'Data Validation'!$V$4, 'Data entry'!$AP$6:$AP$200,'Data Validation'!$U$4, 'Data entry'!$BD$6:$BD$200,"&lt;&gt;*Negative*"))</f>
        <v>0</v>
      </c>
      <c r="AS40" s="15">
        <f>SUM(COUNTIFS('Data entry'!$R$6:$R$200,'Summary Data'!$A40,'Data entry'!$B$6:$B$200,{"Confirmed";"Probable"},'Data entry'!$AQ$6:$AQ$200,'Data Validation'!$V$4, 'Data entry'!$AP$6:$AP$200,'Data Validation'!$U$5, 'Data entry'!$BD$6:$BD$200,"&lt;&gt;*Negative*"))</f>
        <v>0</v>
      </c>
      <c r="AT40" s="15">
        <f>SUM(COUNTIFS('Data entry'!$R$6:$R$200,'Summary Data'!$A40,'Data entry'!$B$6:$B$200,{"Confirmed";"Probable"},'Data entry'!$AQ$6:$AQ$200,'Data Validation'!$V$4, 'Data entry'!$AP$6:$AP$200,'Data Validation'!$U$6, 'Data entry'!$BD$6:$BD$200,"&lt;&gt;*Negative*"))</f>
        <v>0</v>
      </c>
      <c r="AU40" s="15">
        <f>SUM(COUNTIFS('Data entry'!$R$6:$R$200,'Summary Data'!$A40,'Data entry'!$B$6:$B$200,{"Confirmed";"Probable"},'Data entry'!$AQ$6:$AQ$200,'Data Validation'!$V$5, 'Data entry'!$AP$6:$AP$200,'Data Validation'!$U$2, 'Data entry'!$BD$6:$BD$200,"&lt;&gt;*Negative*"))</f>
        <v>0</v>
      </c>
      <c r="AV40" s="15">
        <f>SUM(COUNTIFS('Data entry'!$R$6:$R$200,'Summary Data'!$A40,'Data entry'!$B$6:$B$200,{"Confirmed";"Probable"},'Data entry'!$AQ$6:$AQ$200,'Data Validation'!$V$5, 'Data entry'!$AP$6:$AP$200,'Data Validation'!$U$3, 'Data entry'!$BD$6:$BD$200,"&lt;&gt;*Negative*"))</f>
        <v>0</v>
      </c>
      <c r="AW40" s="15">
        <f>SUM(COUNTIFS('Data entry'!$R$6:$R$200,'Summary Data'!$A40,'Data entry'!$B$6:$B$200,{"Confirmed";"Probable"},'Data entry'!$AQ$6:$AQ$200,'Data Validation'!$V$5, 'Data entry'!$AP$6:$AP$200,'Data Validation'!$U$4, 'Data entry'!$BD$6:$BD$200,"&lt;&gt;*Negative*"))</f>
        <v>0</v>
      </c>
      <c r="AX40" s="15">
        <f>SUM(COUNTIFS('Data entry'!$R$6:$R$200,'Summary Data'!$A40,'Data entry'!$B$6:$B$200,{"Confirmed";"Probable"},'Data entry'!$AQ$6:$AQ$200,'Data Validation'!$V$5, 'Data entry'!$AP$6:$AP$200,'Data Validation'!$U$5, 'Data entry'!$BD$6:$BD$200,"&lt;&gt;*Negative*"))</f>
        <v>0</v>
      </c>
      <c r="AY40" s="15">
        <f>SUM(COUNTIFS('Data entry'!$R$6:$R$200,'Summary Data'!$A40,'Data entry'!$B$6:$B$200,{"Confirmed";"Probable"},'Data entry'!$AQ$6:$AQ$200,'Data Validation'!$V$5, 'Data entry'!$AP$6:$AP$200,'Data Validation'!$U$6, 'Data entry'!$BD$6:$BD$200,"&lt;&gt;*Negative*"))</f>
        <v>0</v>
      </c>
      <c r="AZ40" s="15">
        <f>SUM(COUNTIFS('Data entry'!$R$6:$R$200,'Summary Data'!$A40,'Data entry'!$B$6:$B$200,{"Confirmed";"Probable"},'Data entry'!$AQ$6:$AQ$200,'Data Validation'!$V$6, 'Data entry'!$AP$6:$AP$200,'Data Validation'!$U$2, 'Data entry'!$BD$6:$BD$200,"&lt;&gt;*Negative*"))</f>
        <v>0</v>
      </c>
      <c r="BA40" s="15">
        <f>SUM(COUNTIFS('Data entry'!$R$6:$R$200,'Summary Data'!$A40,'Data entry'!$B$6:$B$200,{"Confirmed";"Probable"},'Data entry'!$AQ$6:$AQ$200,'Data Validation'!$V$6, 'Data entry'!$AP$6:$AP$200,'Data Validation'!$U$3, 'Data entry'!$BD$6:$BD$200,"&lt;&gt;*Negative*"))</f>
        <v>0</v>
      </c>
      <c r="BB40" s="15">
        <f>SUM(COUNTIFS('Data entry'!$R$6:$R$200,'Summary Data'!$A40,'Data entry'!$B$6:$B$200,{"Confirmed";"Probable"},'Data entry'!$AQ$6:$AQ$200,'Data Validation'!$V$6, 'Data entry'!$AP$6:$AP$200,'Data Validation'!$U$4, 'Data entry'!$BD$6:$BD$200,"&lt;&gt;*Negative*"))</f>
        <v>0</v>
      </c>
      <c r="BC40" s="15">
        <f>SUM(COUNTIFS('Data entry'!$R$6:$R$200,'Summary Data'!$A40,'Data entry'!$B$6:$B$200,{"Confirmed";"Probable"},'Data entry'!$AQ$6:$AQ$200,'Data Validation'!$V$6, 'Data entry'!$AP$6:$AP$200,'Data Validation'!$U$5, 'Data entry'!$BD$6:$BD$200,"&lt;&gt;*Negative*"))</f>
        <v>0</v>
      </c>
      <c r="BD40" s="15">
        <f>SUM(COUNTIFS('Data entry'!$R$6:$R$200,'Summary Data'!$A40,'Data entry'!$B$6:$B$200,{"Confirmed";"Probable"},'Data entry'!$AQ$6:$AQ$200,'Data Validation'!$V$6, 'Data entry'!$AP$6:$AP$200,'Data Validation'!$U$6, 'Data entry'!$BD$6:$BD$200,"&lt;&gt;*Negative*"))</f>
        <v>0</v>
      </c>
      <c r="BE40" s="15">
        <f>SUM(COUNTIFS('Data entry'!$R$6:$R$200,'Summary Data'!$A40,'Data entry'!$B$6:$B$200,{"Confirmed";"Probable"},'Data entry'!$AQ$6:$AQ$200,'Data Validation'!$V$7, 'Data entry'!$AP$6:$AP$200,'Data Validation'!$U$2, 'Data entry'!$BD$6:$BD$200,"&lt;&gt;*Negative*"))</f>
        <v>0</v>
      </c>
      <c r="BF40" s="15">
        <f>SUM(COUNTIFS('Data entry'!$R$6:$R$200,'Summary Data'!$A40,'Data entry'!$B$6:$B$200,{"Confirmed";"Probable"},'Data entry'!$AQ$6:$AQ$200,'Data Validation'!$V$7, 'Data entry'!$AP$6:$AP$200,'Data Validation'!$U$3, 'Data entry'!$BD$6:$BD$200,"&lt;&gt;*Negative*"))</f>
        <v>0</v>
      </c>
      <c r="BG40" s="15">
        <f>SUM(COUNTIFS('Data entry'!$R$6:$R$200,'Summary Data'!$A40,'Data entry'!$B$6:$B$200,{"Confirmed";"Probable"},'Data entry'!$AQ$6:$AQ$200,'Data Validation'!$V$7, 'Data entry'!$AP$6:$AP$200,'Data Validation'!$U$4, 'Data entry'!$BD$6:$BD$200,"&lt;&gt;*Negative*"))</f>
        <v>0</v>
      </c>
      <c r="BH40" s="15">
        <f>SUM(COUNTIFS('Data entry'!$R$6:$R$200,'Summary Data'!$A40,'Data entry'!$B$6:$B$200,{"Confirmed";"Probable"},'Data entry'!$AQ$6:$AQ$200,'Data Validation'!$V$7, 'Data entry'!$AP$6:$AP$200,'Data Validation'!$U$5, 'Data entry'!$BD$6:$BD$200,"&lt;&gt;*Negative*"))</f>
        <v>0</v>
      </c>
      <c r="BI40" s="15">
        <f>SUM(COUNTIFS('Data entry'!$R$6:$R$200,'Summary Data'!$A40,'Data entry'!$B$6:$B$200,{"Confirmed";"Probable"},'Data entry'!$AQ$6:$AQ$200,'Data Validation'!$V$7, 'Data entry'!$AP$6:$AP$200,'Data Validation'!$U$6, 'Data entry'!$BD$6:$BD$200,"&lt;&gt;*Negative*"))</f>
        <v>0</v>
      </c>
      <c r="BJ40" s="15">
        <f>SUM(COUNTIFS('Data entry'!$R$6:$R$200,'Summary Data'!$A40,'Data entry'!$B$6:$B$200,{"Confirmed";"Probable"},'Data entry'!$AQ$6:$AQ$200,'Data Validation'!$V$8, 'Data entry'!$AP$6:$AP$200,'Data Validation'!$U$2, 'Data entry'!$BD$6:$BD$200,"&lt;&gt;*Negative*"))</f>
        <v>0</v>
      </c>
      <c r="BK40" s="15">
        <f>SUM(COUNTIFS('Data entry'!$R$6:$R$200,'Summary Data'!$A40,'Data entry'!$B$6:$B$200,{"Confirmed";"Probable"},'Data entry'!$AQ$6:$AQ$200,'Data Validation'!$V$8, 'Data entry'!$AP$6:$AP$200,'Data Validation'!$U$3, 'Data entry'!$BD$6:$BD$200,"&lt;&gt;*Negative*"))</f>
        <v>0</v>
      </c>
      <c r="BL40" s="15">
        <f>SUM(COUNTIFS('Data entry'!$R$6:$R$200,'Summary Data'!$A40,'Data entry'!$B$6:$B$200,{"Confirmed";"Probable"},'Data entry'!$AQ$6:$AQ$200,'Data Validation'!$V$8, 'Data entry'!$AP$6:$AP$200,'Data Validation'!$U$4, 'Data entry'!$BD$6:$BD$200,"&lt;&gt;*Negative*"))</f>
        <v>0</v>
      </c>
      <c r="BM40" s="15">
        <f>SUM(COUNTIFS('Data entry'!$R$6:$R$200,'Summary Data'!$A40,'Data entry'!$B$6:$B$200,{"Confirmed";"Probable"},'Data entry'!$AQ$6:$AQ$200,'Data Validation'!$V$8, 'Data entry'!$AP$6:$AP$200,'Data Validation'!$U$5, 'Data entry'!$BD$6:$BD$200,"&lt;&gt;*Negative*"))</f>
        <v>0</v>
      </c>
      <c r="BN40" s="15">
        <f>SUM(COUNTIFS('Data entry'!$R$6:$R$200,'Summary Data'!$A40,'Data entry'!$B$6:$B$200,{"Confirmed";"Probable"},'Data entry'!$AQ$6:$AQ$200,'Data Validation'!$V$8, 'Data entry'!$AP$6:$AP$200,'Data Validation'!$U$6, 'Data entry'!$BD$6:$BD$200,"&lt;&gt;*Negative*"))</f>
        <v>0</v>
      </c>
      <c r="BO40" s="15">
        <f>SUM(COUNTIFS('Data entry'!$R$6:$R$200,'Summary Data'!$A40,'Data entry'!$B$6:$B$200,{"Confirmed";"Probable"},'Data entry'!$AQ$6:$AQ$200,'Data Validation'!$V$9, 'Data entry'!$AP$6:$AP$200,'Data Validation'!$U$2, 'Data entry'!$BD$6:$BD$200,"&lt;&gt;*Negative*"))</f>
        <v>0</v>
      </c>
      <c r="BP40" s="15">
        <f>SUM(COUNTIFS('Data entry'!$R$6:$R$200,'Summary Data'!$A40,'Data entry'!$B$6:$B$200,{"Confirmed";"Probable"},'Data entry'!$AQ$6:$AQ$200,'Data Validation'!$V$9, 'Data entry'!$AP$6:$AP$200,'Data Validation'!$U$3, 'Data entry'!$BD$6:$BD$200,"&lt;&gt;*Negative*"))</f>
        <v>0</v>
      </c>
      <c r="BQ40" s="15">
        <f>SUM(COUNTIFS('Data entry'!$R$6:$R$200,'Summary Data'!$A40,'Data entry'!$B$6:$B$200,{"Confirmed";"Probable"},'Data entry'!$AQ$6:$AQ$200,'Data Validation'!$V$9, 'Data entry'!$AP$6:$AP$200,'Data Validation'!$U$4, 'Data entry'!$BD$6:$BD$200,"&lt;&gt;*Negative*"))</f>
        <v>0</v>
      </c>
      <c r="BR40" s="15">
        <f>SUM(COUNTIFS('Data entry'!$R$6:$R$200,'Summary Data'!$A40,'Data entry'!$B$6:$B$200,{"Confirmed";"Probable"},'Data entry'!$AQ$6:$AQ$200,'Data Validation'!$V$9, 'Data entry'!$AP$6:$AP$200,'Data Validation'!$U$5, 'Data entry'!$BD$6:$BD$200,"&lt;&gt;*Negative*"))</f>
        <v>0</v>
      </c>
      <c r="BS40" s="15">
        <f>SUM(COUNTIFS('Data entry'!$R$6:$R$200,'Summary Data'!$A40,'Data entry'!$B$6:$B$200,{"Confirmed";"Probable"},'Data entry'!$AQ$6:$AQ$200,'Data Validation'!$V$9, 'Data entry'!$AP$6:$AP$200,'Data Validation'!$U$6, 'Data entry'!$BD$6:$BD$200,"&lt;&gt;*Negative*"))</f>
        <v>0</v>
      </c>
      <c r="BT40" s="15">
        <f>SUM(COUNTIFS('Data entry'!$R$6:$R$200,'Summary Data'!$A40,'Data entry'!$B$6:$B$200,{"Confirmed";"Probable"},'Data entry'!$AQ$6:$AQ$200,'Data Validation'!$V$10, 'Data entry'!$AP$6:$AP$200,'Data Validation'!$U$2, 'Data entry'!$BD$6:$BD$200,"&lt;&gt;*Negative*"))</f>
        <v>0</v>
      </c>
      <c r="BU40" s="15">
        <f>SUM(COUNTIFS('Data entry'!$R$6:$R$200,'Summary Data'!$A40,'Data entry'!$B$6:$B$200,{"Confirmed";"Probable"},'Data entry'!$AQ$6:$AQ$200,'Data Validation'!$V$10, 'Data entry'!$AP$6:$AP$200,'Data Validation'!$U$3, 'Data entry'!$BD$6:$BD$200,"&lt;&gt;*Negative*"))</f>
        <v>0</v>
      </c>
      <c r="BV40" s="15">
        <f>SUM(COUNTIFS('Data entry'!$R$6:$R$200,'Summary Data'!$A40,'Data entry'!$B$6:$B$200,{"Confirmed";"Probable"},'Data entry'!$AQ$6:$AQ$200,'Data Validation'!$V$10, 'Data entry'!$AP$6:$AP$200,'Data Validation'!$U$4, 'Data entry'!$BD$6:$BD$200,"&lt;&gt;*Negative*"))</f>
        <v>0</v>
      </c>
      <c r="BW40" s="15">
        <f>SUM(COUNTIFS('Data entry'!$R$6:$R$200,'Summary Data'!$A40,'Data entry'!$B$6:$B$200,{"Confirmed";"Probable"},'Data entry'!$AQ$6:$AQ$200,'Data Validation'!$V$10, 'Data entry'!$AP$6:$AP$200,'Data Validation'!$U$5, 'Data entry'!$BD$6:$BD$200,"&lt;&gt;*Negative*"))</f>
        <v>0</v>
      </c>
      <c r="BX40" s="15">
        <f>SUM(COUNTIFS('Data entry'!$R$6:$R$200,'Summary Data'!$A40,'Data entry'!$B$6:$B$200,{"Confirmed";"Probable"},'Data entry'!$AQ$6:$AQ$200,'Data Validation'!$V$10, 'Data entry'!$AP$6:$AP$200,'Data Validation'!$U$6, 'Data entry'!$BD$6:$BD$200,"&lt;&gt;*Negative*"))</f>
        <v>0</v>
      </c>
      <c r="BY40" s="15">
        <f>SUM(COUNTIFS('Data entry'!$R$6:$R$200,'Summary Data'!$A40,'Data entry'!$B$6:$B$200,{"Confirmed";"Probable"},'Data entry'!$AQ$6:$AQ$200,'Data Validation'!$V$11, 'Data entry'!$AP$6:$AP$200,'Data Validation'!$U$2, 'Data entry'!$BD$6:$BD$200,"&lt;&gt;*Negative*"))</f>
        <v>0</v>
      </c>
      <c r="BZ40" s="15">
        <f>SUM(COUNTIFS('Data entry'!$R$6:$R$200,'Summary Data'!$A40,'Data entry'!$B$6:$B$200,{"Confirmed";"Probable"},'Data entry'!$AQ$6:$AQ$200,'Data Validation'!$V$11, 'Data entry'!$AP$6:$AP$200,'Data Validation'!$U$3, 'Data entry'!$BD$6:$BD$200,"&lt;&gt;*Negative*"))</f>
        <v>0</v>
      </c>
      <c r="CA40" s="15">
        <f>SUM(COUNTIFS('Data entry'!$R$6:$R$200,'Summary Data'!$A40,'Data entry'!$B$6:$B$200,{"Confirmed";"Probable"},'Data entry'!$AQ$6:$AQ$200,'Data Validation'!$V$11, 'Data entry'!$AP$6:$AP$200,'Data Validation'!$U$4, 'Data entry'!$BD$6:$BD$200,"&lt;&gt;*Negative*"))</f>
        <v>0</v>
      </c>
      <c r="CB40" s="15">
        <f>SUM(COUNTIFS('Data entry'!$R$6:$R$200,'Summary Data'!$A40,'Data entry'!$B$6:$B$200,{"Confirmed";"Probable"},'Data entry'!$AQ$6:$AQ$200,'Data Validation'!$V$11, 'Data entry'!$AP$6:$AP$200,'Data Validation'!$U$5, 'Data entry'!$BD$6:$BD$200,"&lt;&gt;*Negative*"))</f>
        <v>0</v>
      </c>
      <c r="CC40" s="15">
        <f>SUM(COUNTIFS('Data entry'!$R$6:$R$200,'Summary Data'!$A40,'Data entry'!$B$6:$B$200,{"Confirmed";"Probable"},'Data entry'!$AQ$6:$AQ$200,'Data Validation'!$V$11, 'Data entry'!$AP$6:$AP$200,'Data Validation'!$U$6, 'Data entry'!$BD$6:$BD$200,"&lt;&gt;*Negative*"))</f>
        <v>0</v>
      </c>
    </row>
    <row r="41" spans="1:81" x14ac:dyDescent="0.25">
      <c r="A41" s="12">
        <f t="shared" si="5"/>
        <v>29</v>
      </c>
      <c r="B41" s="13">
        <f t="shared" si="2"/>
        <v>0</v>
      </c>
      <c r="C41" s="13">
        <f>COUNTIFS('Data entry'!$R$6:$R$200,$A41,'Data entry'!$B$6:$B$200,"Confirmed",'Data entry'!$BD$6:$BD$200,"&lt;&gt;*Negative*")</f>
        <v>0</v>
      </c>
      <c r="D41" s="13">
        <f>COUNTIFS('Data entry'!$R$6:$R$200,$A41,'Data entry'!$B$6:$B$200,"Probable",'Data entry'!$BD$6:$BD$200,"&lt;&gt;*Negative*")</f>
        <v>0</v>
      </c>
      <c r="E41" s="13">
        <f>COUNTIFS('Data entry'!$R$6:$R$200,$A41,'Data entry'!$B$6:$B$200,"DNM")</f>
        <v>0</v>
      </c>
      <c r="F41" s="13">
        <f>SUM(COUNTIFS('Data entry'!$R$6:$R$200,'Summary Data'!$A41,'Data entry'!$B$6:$B$200,{"Confirmed";"Probable"},'Data entry'!$AO$6:$AO$200,$F$10, 'Data entry'!$BD$6:$BD$200,"&lt;&gt;*Negative*"))</f>
        <v>0</v>
      </c>
      <c r="G41" s="13">
        <f>SUM(COUNTIFS('Data entry'!$R$6:$R$200,'Summary Data'!$A41,'Data entry'!$B$6:$B$200,{"Confirmed";"Probable"},'Data entry'!$AO$6:$AO$200,$G$10, 'Data entry'!$BD$6:$BD$200,"&lt;&gt;*Negative*"))</f>
        <v>0</v>
      </c>
      <c r="H41" s="13">
        <f>SUM(COUNTIFS('Data entry'!$R$6:$R$200,'Summary Data'!$A41,'Data entry'!$B$6:$B$200,{"Confirmed";"Probable"},'Data entry'!$AO$6:$AO$200,$H$10, 'Data entry'!$BD$6:$BD$200,"&lt;&gt;*Negative*"))</f>
        <v>0</v>
      </c>
      <c r="I41" s="13">
        <f>SUM(COUNTIFS('Data entry'!$R$6:$R$200,'Summary Data'!$A41,'Data entry'!$B$6:$B$200,{"Confirmed";"Probable"},'Data entry'!$AO$6:$AO$200,$I$10, 'Data entry'!$BD$6:$BD$200,"&lt;&gt;*Negative*"))</f>
        <v>0</v>
      </c>
      <c r="J41" s="13">
        <f>SUM(COUNTIFS('Data entry'!$R$6:$R$200,'Summary Data'!$A41,'Data entry'!$B$6:$B$200,{"Confirmed";"Probable"},'Data entry'!$AO$6:$AO$200,$J$10, 'Data entry'!$BD$6:$BD$200,"&lt;&gt;*Negative*"))</f>
        <v>0</v>
      </c>
      <c r="K41" s="13">
        <f>SUM(COUNTIFS('Data entry'!$R$6:$R$200,'Summary Data'!$A41,'Data entry'!$B$6:$B$200,{"Confirmed";"Probable"},'Data entry'!$AO$6:$AO$200,$K$10, 'Data entry'!$BD$6:$BD$200,"&lt;&gt;*Negative*"))</f>
        <v>0</v>
      </c>
      <c r="L41" s="13">
        <f>SUM(COUNTIFS('Data entry'!$R$6:$R$200,'Summary Data'!$A41,'Data entry'!$B$6:$B$200,{"Confirmed";"Probable"},'Data entry'!$AO$6:$AO$200,$L$10, 'Data entry'!$BD$6:$BD$200,"&lt;&gt;*Negative*"))</f>
        <v>0</v>
      </c>
      <c r="M41" s="13">
        <f>SUM(COUNTIFS('Data entry'!$R$6:$R$200,'Summary Data'!$A41,'Data entry'!$B$6:$B$200,{"Confirmed";"Probable"},'Data entry'!$AO$6:$AO$200,$M$10, 'Data entry'!$BD$6:$BD$200,"&lt;&gt;*Negative*"))</f>
        <v>0</v>
      </c>
      <c r="N41" s="13">
        <f>SUM(COUNTIFS('Data entry'!$R$6:$R$200,'Summary Data'!$A41,'Data entry'!$B$6:$B$200,{"Confirmed";"Probable"},'Data entry'!$AO$6:$AO$200,$N$10, 'Data entry'!$BD$6:$BD$200,"&lt;&gt;*Negative*"))</f>
        <v>0</v>
      </c>
      <c r="O41" s="15">
        <f t="shared" si="3"/>
        <v>0</v>
      </c>
      <c r="P41" s="15">
        <f t="shared" si="4"/>
        <v>0</v>
      </c>
      <c r="Q41" s="15">
        <f>SUM(COUNTIFS('Data entry'!$R$6:$R$200,'Summary Data'!$A41,'Data entry'!$B$6:$B$200,{"Confirmed";"Probable"},'Data entry'!$AP$6:$AP$200,'Data Validation'!$U$2, 'Data entry'!$BD$6:$BD$200,"&lt;&gt;*Negative*"))</f>
        <v>0</v>
      </c>
      <c r="R41" s="15">
        <f>SUM(COUNTIFS('Data entry'!$R$6:$R$200,'Summary Data'!$A41,'Data entry'!$B$6:$B$200,{"Confirmed";"Probable"},'Data entry'!$AP$6:$AP$200,'Data Validation'!$U$3, 'Data entry'!$BD$6:$BD$200,"&lt;&gt;*Negative*"))</f>
        <v>0</v>
      </c>
      <c r="S41" s="15">
        <f>SUM(COUNTIFS('Data entry'!$R$6:$R$200,'Summary Data'!$A41,'Data entry'!$B$6:$B$200,{"Confirmed";"Probable"},'Data entry'!$AP$6:$AP$200,'Data Validation'!$U$4, 'Data entry'!$BD$6:$BD$200,"&lt;&gt;*Negative*"))</f>
        <v>0</v>
      </c>
      <c r="T41" s="15">
        <f>SUM(COUNTIFS('Data entry'!$R$6:$R$200,'Summary Data'!$A41,'Data entry'!$B$6:$B$200,{"Confirmed";"Probable"},'Data entry'!$AP$6:$AP$200,'Data Validation'!$U$5, 'Data entry'!$BD$6:$BD$200,"&lt;&gt;*Negative*"))</f>
        <v>0</v>
      </c>
      <c r="U41" s="15">
        <f>SUM(COUNTIFS('Data entry'!$R$6:$R$200,'Summary Data'!$A41,'Data entry'!$B$6:$B$200,{"Confirmed";"Probable"},'Data entry'!$AP$6:$AP$200,'Data Validation'!$U$6, 'Data entry'!$BD$6:$BD$200,"&lt;&gt;*Negative*"))</f>
        <v>0</v>
      </c>
      <c r="V41" s="15">
        <f>SUM(COUNTIFS('Data entry'!$R$6:$R$200,'Summary Data'!$A41,'Data entry'!$B$6:$B$200,{"Confirmed";"Probable"},'Data entry'!$AQ$6:$AQ$200,'Data Validation'!$V$2, 'Data entry'!$BD$6:$BD$200,"&lt;&gt;*Negative*"))</f>
        <v>0</v>
      </c>
      <c r="W41" s="15">
        <f>SUM(COUNTIFS('Data entry'!$R$6:$R$200,'Summary Data'!$A41,'Data entry'!$B$6:$B$200,{"Confirmed";"Probable"},'Data entry'!$AQ$6:$AQ$200,'Data Validation'!$V$3, 'Data entry'!$BD$6:$BD$200,"&lt;&gt;*Negative*"))</f>
        <v>0</v>
      </c>
      <c r="X41" s="15">
        <f>SUM(COUNTIFS('Data entry'!$R$6:$R$200,'Summary Data'!$A41,'Data entry'!$B$6:$B$200,{"Confirmed";"Probable"},'Data entry'!$AQ$6:$AQ$200,'Data Validation'!$V$4, 'Data entry'!$BD$6:$BD$200,"&lt;&gt;*Negative*"))</f>
        <v>0</v>
      </c>
      <c r="Y41" s="15">
        <f>SUM(COUNTIFS('Data entry'!$R$6:$R$200,'Summary Data'!$A41,'Data entry'!$B$6:$B$200,{"Confirmed";"Probable"},'Data entry'!$AQ$6:$AQ$200,'Data Validation'!$V$5, 'Data entry'!$BD$6:$BD$200,"&lt;&gt;*Negative*"))</f>
        <v>0</v>
      </c>
      <c r="Z41" s="15">
        <f>SUM(COUNTIFS('Data entry'!$R$6:$R$200,'Summary Data'!$A41,'Data entry'!$B$6:$B$200,{"Confirmed";"Probable"},'Data entry'!$AQ$6:$AQ$200,'Data Validation'!$V$6, 'Data entry'!$BD$6:$BD$200,"&lt;&gt;*Negative*"))</f>
        <v>0</v>
      </c>
      <c r="AA41" s="15">
        <f>SUM(COUNTIFS('Data entry'!$R$6:$R$200,'Summary Data'!$A41,'Data entry'!$B$6:$B$200,{"Confirmed";"Probable"},'Data entry'!$AQ$6:$AQ$200,'Data Validation'!$V$7, 'Data entry'!$BD$6:$BD$200,"&lt;&gt;*Negative*"))</f>
        <v>0</v>
      </c>
      <c r="AB41" s="15">
        <f>SUM(COUNTIFS('Data entry'!$R$6:$R$200,'Summary Data'!$A41,'Data entry'!$B$6:$B$200,{"Confirmed";"Probable"},'Data entry'!$AQ$6:$AQ$200,'Data Validation'!$V$8, 'Data entry'!$BD$6:$BD$200,"&lt;&gt;*Negative*"))</f>
        <v>0</v>
      </c>
      <c r="AC41" s="15">
        <f>SUM(COUNTIFS('Data entry'!$R$6:$R$200,'Summary Data'!$A41,'Data entry'!$B$6:$B$200,{"Confirmed";"Probable"},'Data entry'!$AQ$6:$AQ$200,'Data Validation'!$V$9, 'Data entry'!$BD$6:$BD$200,"&lt;&gt;*Negative*"))</f>
        <v>0</v>
      </c>
      <c r="AD41" s="15">
        <f>SUM(COUNTIFS('Data entry'!$R$6:$R$200,'Summary Data'!$A41,'Data entry'!$B$6:$B$200,{"Confirmed";"Probable"},'Data entry'!$AQ$6:$AQ$200,'Data Validation'!$V$10, 'Data entry'!$BD$6:$BD$200,"&lt;&gt;*Negative*"))</f>
        <v>0</v>
      </c>
      <c r="AE41" s="15">
        <f>SUM(COUNTIFS('Data entry'!$R$6:$R$200,'Summary Data'!$A41,'Data entry'!$B$6:$B$200,{"Confirmed";"Probable"},'Data entry'!$AQ$6:$AQ$200,'Data Validation'!$V$11, 'Data entry'!$BD$6:$BD$200,"&lt;&gt;*Negative*"))</f>
        <v>0</v>
      </c>
      <c r="AF41" s="15">
        <f>SUM(COUNTIFS('Data entry'!$R$6:$R$200,'Summary Data'!$A41,'Data entry'!$B$6:$B$200,{"Confirmed";"Probable"},'Data entry'!$AQ$6:$AQ$200,'Data Validation'!$V$2, 'Data entry'!$AP$6:$AP$200,'Data Validation'!$U$2, 'Data entry'!$BD$6:$BD$200,"&lt;&gt;*Negative*"))</f>
        <v>0</v>
      </c>
      <c r="AG41" s="15">
        <f>SUM(COUNTIFS('Data entry'!$R$6:$R$200,'Summary Data'!$A41,'Data entry'!$B$6:$B$200,{"Confirmed";"Probable"},'Data entry'!$AQ$6:$AQ$200,'Data Validation'!$V$2, 'Data entry'!$AP$6:$AP$200,'Data Validation'!$U$3, 'Data entry'!$BD$6:$BD$200,"&lt;&gt;*Negative*"))</f>
        <v>0</v>
      </c>
      <c r="AH41" s="15">
        <f>SUM(COUNTIFS('Data entry'!$R$6:$R$200,'Summary Data'!$A41,'Data entry'!$B$6:$B$200,{"Confirmed";"Probable"},'Data entry'!$AQ$6:$AQ$200,'Data Validation'!$V$2, 'Data entry'!$AP$6:$AP$200,'Data Validation'!$U$4, 'Data entry'!$BD$6:$BD$200,"&lt;&gt;*Negative*"))</f>
        <v>0</v>
      </c>
      <c r="AI41" s="15">
        <f>SUM(COUNTIFS('Data entry'!$R$6:$R$200,'Summary Data'!$A41,'Data entry'!$B$6:$B$200,{"Confirmed";"Probable"},'Data entry'!$AQ$6:$AQ$200,'Data Validation'!$V$2, 'Data entry'!$AP$6:$AP$200,'Data Validation'!$U$5, 'Data entry'!$BD$6:$BD$200,"&lt;&gt;*Negative*"))</f>
        <v>0</v>
      </c>
      <c r="AJ41" s="15">
        <f>SUM(COUNTIFS('Data entry'!$R$6:$R$200,'Summary Data'!$A41,'Data entry'!$B$6:$B$200,{"Confirmed";"Probable"},'Data entry'!$AQ$6:$AQ$200,'Data Validation'!$V$2, 'Data entry'!$AP$6:$AP$200,'Data Validation'!$U$6, 'Data entry'!$BD$6:$BD$200,"&lt;&gt;*Negative*"))</f>
        <v>0</v>
      </c>
      <c r="AK41" s="15">
        <f>SUM(COUNTIFS('Data entry'!$R$6:$R$200,'Summary Data'!$A41,'Data entry'!$B$6:$B$200,{"Confirmed";"Probable"},'Data entry'!$AQ$6:$AQ$200,'Data Validation'!$V$3, 'Data entry'!$AP$6:$AP$200,'Data Validation'!$U$2, 'Data entry'!$BD$6:$BD$200,"&lt;&gt;*Negative*"))</f>
        <v>0</v>
      </c>
      <c r="AL41" s="15">
        <f>SUM(COUNTIFS('Data entry'!$R$6:$R$200,'Summary Data'!$A41,'Data entry'!$B$6:$B$200,{"Confirmed";"Probable"},'Data entry'!$AQ$6:$AQ$200,'Data Validation'!$V$3, 'Data entry'!$AP$6:$AP$200,'Data Validation'!$U$3, 'Data entry'!$BD$6:$BD$200,"&lt;&gt;*Negative*"))</f>
        <v>0</v>
      </c>
      <c r="AM41" s="15">
        <f>SUM(COUNTIFS('Data entry'!$R$6:$R$200,'Summary Data'!$A41,'Data entry'!$B$6:$B$200,{"Confirmed";"Probable"},'Data entry'!$AQ$6:$AQ$200,'Data Validation'!$V$3, 'Data entry'!$AP$6:$AP$200,'Data Validation'!$U$4, 'Data entry'!$BD$6:$BD$200,"&lt;&gt;*Negative*"))</f>
        <v>0</v>
      </c>
      <c r="AN41" s="15">
        <f>SUM(COUNTIFS('Data entry'!$R$6:$R$200,'Summary Data'!$A41,'Data entry'!$B$6:$B$200,{"Confirmed";"Probable"},'Data entry'!$AQ$6:$AQ$200,'Data Validation'!$V$3, 'Data entry'!$AP$6:$AP$200,'Data Validation'!$U$5, 'Data entry'!$BD$6:$BD$200,"&lt;&gt;*Negative*"))</f>
        <v>0</v>
      </c>
      <c r="AO41" s="15">
        <f>SUM(COUNTIFS('Data entry'!$R$6:$R$200,'Summary Data'!$A41,'Data entry'!$B$6:$B$200,{"Confirmed";"Probable"},'Data entry'!$AQ$6:$AQ$200,'Data Validation'!$V$3, 'Data entry'!$AP$6:$AP$200,'Data Validation'!$U$6, 'Data entry'!$BD$6:$BD$200,"&lt;&gt;*Negative*"))</f>
        <v>0</v>
      </c>
      <c r="AP41" s="15">
        <f>SUM(COUNTIFS('Data entry'!$R$6:$R$200,'Summary Data'!$A41,'Data entry'!$B$6:$B$200,{"Confirmed";"Probable"},'Data entry'!$AQ$6:$AQ$200,'Data Validation'!$V$4, 'Data entry'!$AP$6:$AP$200,'Data Validation'!$U$2, 'Data entry'!$BD$6:$BD$200,"&lt;&gt;*Negative*"))</f>
        <v>0</v>
      </c>
      <c r="AQ41" s="15">
        <f>SUM(COUNTIFS('Data entry'!$R$6:$R$200,'Summary Data'!$A41,'Data entry'!$B$6:$B$200,{"Confirmed";"Probable"},'Data entry'!$AQ$6:$AQ$200,'Data Validation'!$V$4, 'Data entry'!$AP$6:$AP$200,'Data Validation'!$U$3, 'Data entry'!$BD$6:$BD$200,"&lt;&gt;*Negative*"))</f>
        <v>0</v>
      </c>
      <c r="AR41" s="15">
        <f>SUM(COUNTIFS('Data entry'!$R$6:$R$200,'Summary Data'!$A41,'Data entry'!$B$6:$B$200,{"Confirmed";"Probable"},'Data entry'!$AQ$6:$AQ$200,'Data Validation'!$V$4, 'Data entry'!$AP$6:$AP$200,'Data Validation'!$U$4, 'Data entry'!$BD$6:$BD$200,"&lt;&gt;*Negative*"))</f>
        <v>0</v>
      </c>
      <c r="AS41" s="15">
        <f>SUM(COUNTIFS('Data entry'!$R$6:$R$200,'Summary Data'!$A41,'Data entry'!$B$6:$B$200,{"Confirmed";"Probable"},'Data entry'!$AQ$6:$AQ$200,'Data Validation'!$V$4, 'Data entry'!$AP$6:$AP$200,'Data Validation'!$U$5, 'Data entry'!$BD$6:$BD$200,"&lt;&gt;*Negative*"))</f>
        <v>0</v>
      </c>
      <c r="AT41" s="15">
        <f>SUM(COUNTIFS('Data entry'!$R$6:$R$200,'Summary Data'!$A41,'Data entry'!$B$6:$B$200,{"Confirmed";"Probable"},'Data entry'!$AQ$6:$AQ$200,'Data Validation'!$V$4, 'Data entry'!$AP$6:$AP$200,'Data Validation'!$U$6, 'Data entry'!$BD$6:$BD$200,"&lt;&gt;*Negative*"))</f>
        <v>0</v>
      </c>
      <c r="AU41" s="15">
        <f>SUM(COUNTIFS('Data entry'!$R$6:$R$200,'Summary Data'!$A41,'Data entry'!$B$6:$B$200,{"Confirmed";"Probable"},'Data entry'!$AQ$6:$AQ$200,'Data Validation'!$V$5, 'Data entry'!$AP$6:$AP$200,'Data Validation'!$U$2, 'Data entry'!$BD$6:$BD$200,"&lt;&gt;*Negative*"))</f>
        <v>0</v>
      </c>
      <c r="AV41" s="15">
        <f>SUM(COUNTIFS('Data entry'!$R$6:$R$200,'Summary Data'!$A41,'Data entry'!$B$6:$B$200,{"Confirmed";"Probable"},'Data entry'!$AQ$6:$AQ$200,'Data Validation'!$V$5, 'Data entry'!$AP$6:$AP$200,'Data Validation'!$U$3, 'Data entry'!$BD$6:$BD$200,"&lt;&gt;*Negative*"))</f>
        <v>0</v>
      </c>
      <c r="AW41" s="15">
        <f>SUM(COUNTIFS('Data entry'!$R$6:$R$200,'Summary Data'!$A41,'Data entry'!$B$6:$B$200,{"Confirmed";"Probable"},'Data entry'!$AQ$6:$AQ$200,'Data Validation'!$V$5, 'Data entry'!$AP$6:$AP$200,'Data Validation'!$U$4, 'Data entry'!$BD$6:$BD$200,"&lt;&gt;*Negative*"))</f>
        <v>0</v>
      </c>
      <c r="AX41" s="15">
        <f>SUM(COUNTIFS('Data entry'!$R$6:$R$200,'Summary Data'!$A41,'Data entry'!$B$6:$B$200,{"Confirmed";"Probable"},'Data entry'!$AQ$6:$AQ$200,'Data Validation'!$V$5, 'Data entry'!$AP$6:$AP$200,'Data Validation'!$U$5, 'Data entry'!$BD$6:$BD$200,"&lt;&gt;*Negative*"))</f>
        <v>0</v>
      </c>
      <c r="AY41" s="15">
        <f>SUM(COUNTIFS('Data entry'!$R$6:$R$200,'Summary Data'!$A41,'Data entry'!$B$6:$B$200,{"Confirmed";"Probable"},'Data entry'!$AQ$6:$AQ$200,'Data Validation'!$V$5, 'Data entry'!$AP$6:$AP$200,'Data Validation'!$U$6, 'Data entry'!$BD$6:$BD$200,"&lt;&gt;*Negative*"))</f>
        <v>0</v>
      </c>
      <c r="AZ41" s="15">
        <f>SUM(COUNTIFS('Data entry'!$R$6:$R$200,'Summary Data'!$A41,'Data entry'!$B$6:$B$200,{"Confirmed";"Probable"},'Data entry'!$AQ$6:$AQ$200,'Data Validation'!$V$6, 'Data entry'!$AP$6:$AP$200,'Data Validation'!$U$2, 'Data entry'!$BD$6:$BD$200,"&lt;&gt;*Negative*"))</f>
        <v>0</v>
      </c>
      <c r="BA41" s="15">
        <f>SUM(COUNTIFS('Data entry'!$R$6:$R$200,'Summary Data'!$A41,'Data entry'!$B$6:$B$200,{"Confirmed";"Probable"},'Data entry'!$AQ$6:$AQ$200,'Data Validation'!$V$6, 'Data entry'!$AP$6:$AP$200,'Data Validation'!$U$3, 'Data entry'!$BD$6:$BD$200,"&lt;&gt;*Negative*"))</f>
        <v>0</v>
      </c>
      <c r="BB41" s="15">
        <f>SUM(COUNTIFS('Data entry'!$R$6:$R$200,'Summary Data'!$A41,'Data entry'!$B$6:$B$200,{"Confirmed";"Probable"},'Data entry'!$AQ$6:$AQ$200,'Data Validation'!$V$6, 'Data entry'!$AP$6:$AP$200,'Data Validation'!$U$4, 'Data entry'!$BD$6:$BD$200,"&lt;&gt;*Negative*"))</f>
        <v>0</v>
      </c>
      <c r="BC41" s="15">
        <f>SUM(COUNTIFS('Data entry'!$R$6:$R$200,'Summary Data'!$A41,'Data entry'!$B$6:$B$200,{"Confirmed";"Probable"},'Data entry'!$AQ$6:$AQ$200,'Data Validation'!$V$6, 'Data entry'!$AP$6:$AP$200,'Data Validation'!$U$5, 'Data entry'!$BD$6:$BD$200,"&lt;&gt;*Negative*"))</f>
        <v>0</v>
      </c>
      <c r="BD41" s="15">
        <f>SUM(COUNTIFS('Data entry'!$R$6:$R$200,'Summary Data'!$A41,'Data entry'!$B$6:$B$200,{"Confirmed";"Probable"},'Data entry'!$AQ$6:$AQ$200,'Data Validation'!$V$6, 'Data entry'!$AP$6:$AP$200,'Data Validation'!$U$6, 'Data entry'!$BD$6:$BD$200,"&lt;&gt;*Negative*"))</f>
        <v>0</v>
      </c>
      <c r="BE41" s="15">
        <f>SUM(COUNTIFS('Data entry'!$R$6:$R$200,'Summary Data'!$A41,'Data entry'!$B$6:$B$200,{"Confirmed";"Probable"},'Data entry'!$AQ$6:$AQ$200,'Data Validation'!$V$7, 'Data entry'!$AP$6:$AP$200,'Data Validation'!$U$2, 'Data entry'!$BD$6:$BD$200,"&lt;&gt;*Negative*"))</f>
        <v>0</v>
      </c>
      <c r="BF41" s="15">
        <f>SUM(COUNTIFS('Data entry'!$R$6:$R$200,'Summary Data'!$A41,'Data entry'!$B$6:$B$200,{"Confirmed";"Probable"},'Data entry'!$AQ$6:$AQ$200,'Data Validation'!$V$7, 'Data entry'!$AP$6:$AP$200,'Data Validation'!$U$3, 'Data entry'!$BD$6:$BD$200,"&lt;&gt;*Negative*"))</f>
        <v>0</v>
      </c>
      <c r="BG41" s="15">
        <f>SUM(COUNTIFS('Data entry'!$R$6:$R$200,'Summary Data'!$A41,'Data entry'!$B$6:$B$200,{"Confirmed";"Probable"},'Data entry'!$AQ$6:$AQ$200,'Data Validation'!$V$7, 'Data entry'!$AP$6:$AP$200,'Data Validation'!$U$4, 'Data entry'!$BD$6:$BD$200,"&lt;&gt;*Negative*"))</f>
        <v>0</v>
      </c>
      <c r="BH41" s="15">
        <f>SUM(COUNTIFS('Data entry'!$R$6:$R$200,'Summary Data'!$A41,'Data entry'!$B$6:$B$200,{"Confirmed";"Probable"},'Data entry'!$AQ$6:$AQ$200,'Data Validation'!$V$7, 'Data entry'!$AP$6:$AP$200,'Data Validation'!$U$5, 'Data entry'!$BD$6:$BD$200,"&lt;&gt;*Negative*"))</f>
        <v>0</v>
      </c>
      <c r="BI41" s="15">
        <f>SUM(COUNTIFS('Data entry'!$R$6:$R$200,'Summary Data'!$A41,'Data entry'!$B$6:$B$200,{"Confirmed";"Probable"},'Data entry'!$AQ$6:$AQ$200,'Data Validation'!$V$7, 'Data entry'!$AP$6:$AP$200,'Data Validation'!$U$6, 'Data entry'!$BD$6:$BD$200,"&lt;&gt;*Negative*"))</f>
        <v>0</v>
      </c>
      <c r="BJ41" s="15">
        <f>SUM(COUNTIFS('Data entry'!$R$6:$R$200,'Summary Data'!$A41,'Data entry'!$B$6:$B$200,{"Confirmed";"Probable"},'Data entry'!$AQ$6:$AQ$200,'Data Validation'!$V$8, 'Data entry'!$AP$6:$AP$200,'Data Validation'!$U$2, 'Data entry'!$BD$6:$BD$200,"&lt;&gt;*Negative*"))</f>
        <v>0</v>
      </c>
      <c r="BK41" s="15">
        <f>SUM(COUNTIFS('Data entry'!$R$6:$R$200,'Summary Data'!$A41,'Data entry'!$B$6:$B$200,{"Confirmed";"Probable"},'Data entry'!$AQ$6:$AQ$200,'Data Validation'!$V$8, 'Data entry'!$AP$6:$AP$200,'Data Validation'!$U$3, 'Data entry'!$BD$6:$BD$200,"&lt;&gt;*Negative*"))</f>
        <v>0</v>
      </c>
      <c r="BL41" s="15">
        <f>SUM(COUNTIFS('Data entry'!$R$6:$R$200,'Summary Data'!$A41,'Data entry'!$B$6:$B$200,{"Confirmed";"Probable"},'Data entry'!$AQ$6:$AQ$200,'Data Validation'!$V$8, 'Data entry'!$AP$6:$AP$200,'Data Validation'!$U$4, 'Data entry'!$BD$6:$BD$200,"&lt;&gt;*Negative*"))</f>
        <v>0</v>
      </c>
      <c r="BM41" s="15">
        <f>SUM(COUNTIFS('Data entry'!$R$6:$R$200,'Summary Data'!$A41,'Data entry'!$B$6:$B$200,{"Confirmed";"Probable"},'Data entry'!$AQ$6:$AQ$200,'Data Validation'!$V$8, 'Data entry'!$AP$6:$AP$200,'Data Validation'!$U$5, 'Data entry'!$BD$6:$BD$200,"&lt;&gt;*Negative*"))</f>
        <v>0</v>
      </c>
      <c r="BN41" s="15">
        <f>SUM(COUNTIFS('Data entry'!$R$6:$R$200,'Summary Data'!$A41,'Data entry'!$B$6:$B$200,{"Confirmed";"Probable"},'Data entry'!$AQ$6:$AQ$200,'Data Validation'!$V$8, 'Data entry'!$AP$6:$AP$200,'Data Validation'!$U$6, 'Data entry'!$BD$6:$BD$200,"&lt;&gt;*Negative*"))</f>
        <v>0</v>
      </c>
      <c r="BO41" s="15">
        <f>SUM(COUNTIFS('Data entry'!$R$6:$R$200,'Summary Data'!$A41,'Data entry'!$B$6:$B$200,{"Confirmed";"Probable"},'Data entry'!$AQ$6:$AQ$200,'Data Validation'!$V$9, 'Data entry'!$AP$6:$AP$200,'Data Validation'!$U$2, 'Data entry'!$BD$6:$BD$200,"&lt;&gt;*Negative*"))</f>
        <v>0</v>
      </c>
      <c r="BP41" s="15">
        <f>SUM(COUNTIFS('Data entry'!$R$6:$R$200,'Summary Data'!$A41,'Data entry'!$B$6:$B$200,{"Confirmed";"Probable"},'Data entry'!$AQ$6:$AQ$200,'Data Validation'!$V$9, 'Data entry'!$AP$6:$AP$200,'Data Validation'!$U$3, 'Data entry'!$BD$6:$BD$200,"&lt;&gt;*Negative*"))</f>
        <v>0</v>
      </c>
      <c r="BQ41" s="15">
        <f>SUM(COUNTIFS('Data entry'!$R$6:$R$200,'Summary Data'!$A41,'Data entry'!$B$6:$B$200,{"Confirmed";"Probable"},'Data entry'!$AQ$6:$AQ$200,'Data Validation'!$V$9, 'Data entry'!$AP$6:$AP$200,'Data Validation'!$U$4, 'Data entry'!$BD$6:$BD$200,"&lt;&gt;*Negative*"))</f>
        <v>0</v>
      </c>
      <c r="BR41" s="15">
        <f>SUM(COUNTIFS('Data entry'!$R$6:$R$200,'Summary Data'!$A41,'Data entry'!$B$6:$B$200,{"Confirmed";"Probable"},'Data entry'!$AQ$6:$AQ$200,'Data Validation'!$V$9, 'Data entry'!$AP$6:$AP$200,'Data Validation'!$U$5, 'Data entry'!$BD$6:$BD$200,"&lt;&gt;*Negative*"))</f>
        <v>0</v>
      </c>
      <c r="BS41" s="15">
        <f>SUM(COUNTIFS('Data entry'!$R$6:$R$200,'Summary Data'!$A41,'Data entry'!$B$6:$B$200,{"Confirmed";"Probable"},'Data entry'!$AQ$6:$AQ$200,'Data Validation'!$V$9, 'Data entry'!$AP$6:$AP$200,'Data Validation'!$U$6, 'Data entry'!$BD$6:$BD$200,"&lt;&gt;*Negative*"))</f>
        <v>0</v>
      </c>
      <c r="BT41" s="15">
        <f>SUM(COUNTIFS('Data entry'!$R$6:$R$200,'Summary Data'!$A41,'Data entry'!$B$6:$B$200,{"Confirmed";"Probable"},'Data entry'!$AQ$6:$AQ$200,'Data Validation'!$V$10, 'Data entry'!$AP$6:$AP$200,'Data Validation'!$U$2, 'Data entry'!$BD$6:$BD$200,"&lt;&gt;*Negative*"))</f>
        <v>0</v>
      </c>
      <c r="BU41" s="15">
        <f>SUM(COUNTIFS('Data entry'!$R$6:$R$200,'Summary Data'!$A41,'Data entry'!$B$6:$B$200,{"Confirmed";"Probable"},'Data entry'!$AQ$6:$AQ$200,'Data Validation'!$V$10, 'Data entry'!$AP$6:$AP$200,'Data Validation'!$U$3, 'Data entry'!$BD$6:$BD$200,"&lt;&gt;*Negative*"))</f>
        <v>0</v>
      </c>
      <c r="BV41" s="15">
        <f>SUM(COUNTIFS('Data entry'!$R$6:$R$200,'Summary Data'!$A41,'Data entry'!$B$6:$B$200,{"Confirmed";"Probable"},'Data entry'!$AQ$6:$AQ$200,'Data Validation'!$V$10, 'Data entry'!$AP$6:$AP$200,'Data Validation'!$U$4, 'Data entry'!$BD$6:$BD$200,"&lt;&gt;*Negative*"))</f>
        <v>0</v>
      </c>
      <c r="BW41" s="15">
        <f>SUM(COUNTIFS('Data entry'!$R$6:$R$200,'Summary Data'!$A41,'Data entry'!$B$6:$B$200,{"Confirmed";"Probable"},'Data entry'!$AQ$6:$AQ$200,'Data Validation'!$V$10, 'Data entry'!$AP$6:$AP$200,'Data Validation'!$U$5, 'Data entry'!$BD$6:$BD$200,"&lt;&gt;*Negative*"))</f>
        <v>0</v>
      </c>
      <c r="BX41" s="15">
        <f>SUM(COUNTIFS('Data entry'!$R$6:$R$200,'Summary Data'!$A41,'Data entry'!$B$6:$B$200,{"Confirmed";"Probable"},'Data entry'!$AQ$6:$AQ$200,'Data Validation'!$V$10, 'Data entry'!$AP$6:$AP$200,'Data Validation'!$U$6, 'Data entry'!$BD$6:$BD$200,"&lt;&gt;*Negative*"))</f>
        <v>0</v>
      </c>
      <c r="BY41" s="15">
        <f>SUM(COUNTIFS('Data entry'!$R$6:$R$200,'Summary Data'!$A41,'Data entry'!$B$6:$B$200,{"Confirmed";"Probable"},'Data entry'!$AQ$6:$AQ$200,'Data Validation'!$V$11, 'Data entry'!$AP$6:$AP$200,'Data Validation'!$U$2, 'Data entry'!$BD$6:$BD$200,"&lt;&gt;*Negative*"))</f>
        <v>0</v>
      </c>
      <c r="BZ41" s="15">
        <f>SUM(COUNTIFS('Data entry'!$R$6:$R$200,'Summary Data'!$A41,'Data entry'!$B$6:$B$200,{"Confirmed";"Probable"},'Data entry'!$AQ$6:$AQ$200,'Data Validation'!$V$11, 'Data entry'!$AP$6:$AP$200,'Data Validation'!$U$3, 'Data entry'!$BD$6:$BD$200,"&lt;&gt;*Negative*"))</f>
        <v>0</v>
      </c>
      <c r="CA41" s="15">
        <f>SUM(COUNTIFS('Data entry'!$R$6:$R$200,'Summary Data'!$A41,'Data entry'!$B$6:$B$200,{"Confirmed";"Probable"},'Data entry'!$AQ$6:$AQ$200,'Data Validation'!$V$11, 'Data entry'!$AP$6:$AP$200,'Data Validation'!$U$4, 'Data entry'!$BD$6:$BD$200,"&lt;&gt;*Negative*"))</f>
        <v>0</v>
      </c>
      <c r="CB41" s="15">
        <f>SUM(COUNTIFS('Data entry'!$R$6:$R$200,'Summary Data'!$A41,'Data entry'!$B$6:$B$200,{"Confirmed";"Probable"},'Data entry'!$AQ$6:$AQ$200,'Data Validation'!$V$11, 'Data entry'!$AP$6:$AP$200,'Data Validation'!$U$5, 'Data entry'!$BD$6:$BD$200,"&lt;&gt;*Negative*"))</f>
        <v>0</v>
      </c>
      <c r="CC41" s="15">
        <f>SUM(COUNTIFS('Data entry'!$R$6:$R$200,'Summary Data'!$A41,'Data entry'!$B$6:$B$200,{"Confirmed";"Probable"},'Data entry'!$AQ$6:$AQ$200,'Data Validation'!$V$11, 'Data entry'!$AP$6:$AP$200,'Data Validation'!$U$6, 'Data entry'!$BD$6:$BD$200,"&lt;&gt;*Negative*"))</f>
        <v>0</v>
      </c>
    </row>
    <row r="42" spans="1:81" x14ac:dyDescent="0.25">
      <c r="A42" s="12">
        <f t="shared" si="5"/>
        <v>30</v>
      </c>
      <c r="B42" s="13">
        <f t="shared" si="2"/>
        <v>0</v>
      </c>
      <c r="C42" s="13">
        <f>COUNTIFS('Data entry'!$R$6:$R$200,$A42,'Data entry'!$B$6:$B$200,"Confirmed",'Data entry'!$BD$6:$BD$200,"&lt;&gt;*Negative*")</f>
        <v>0</v>
      </c>
      <c r="D42" s="13">
        <f>COUNTIFS('Data entry'!$R$6:$R$200,$A42,'Data entry'!$B$6:$B$200,"Probable",'Data entry'!$BD$6:$BD$200,"&lt;&gt;*Negative*")</f>
        <v>0</v>
      </c>
      <c r="E42" s="13">
        <f>COUNTIFS('Data entry'!$R$6:$R$200,$A42,'Data entry'!$B$6:$B$200,"DNM")</f>
        <v>0</v>
      </c>
      <c r="F42" s="13">
        <f>SUM(COUNTIFS('Data entry'!$R$6:$R$200,'Summary Data'!$A42,'Data entry'!$B$6:$B$200,{"Confirmed";"Probable"},'Data entry'!$AO$6:$AO$200,$F$10, 'Data entry'!$BD$6:$BD$200,"&lt;&gt;*Negative*"))</f>
        <v>0</v>
      </c>
      <c r="G42" s="13">
        <f>SUM(COUNTIFS('Data entry'!$R$6:$R$200,'Summary Data'!$A42,'Data entry'!$B$6:$B$200,{"Confirmed";"Probable"},'Data entry'!$AO$6:$AO$200,$G$10, 'Data entry'!$BD$6:$BD$200,"&lt;&gt;*Negative*"))</f>
        <v>0</v>
      </c>
      <c r="H42" s="13">
        <f>SUM(COUNTIFS('Data entry'!$R$6:$R$200,'Summary Data'!$A42,'Data entry'!$B$6:$B$200,{"Confirmed";"Probable"},'Data entry'!$AO$6:$AO$200,$H$10, 'Data entry'!$BD$6:$BD$200,"&lt;&gt;*Negative*"))</f>
        <v>0</v>
      </c>
      <c r="I42" s="13">
        <f>SUM(COUNTIFS('Data entry'!$R$6:$R$200,'Summary Data'!$A42,'Data entry'!$B$6:$B$200,{"Confirmed";"Probable"},'Data entry'!$AO$6:$AO$200,$I$10, 'Data entry'!$BD$6:$BD$200,"&lt;&gt;*Negative*"))</f>
        <v>0</v>
      </c>
      <c r="J42" s="13">
        <f>SUM(COUNTIFS('Data entry'!$R$6:$R$200,'Summary Data'!$A42,'Data entry'!$B$6:$B$200,{"Confirmed";"Probable"},'Data entry'!$AO$6:$AO$200,$J$10, 'Data entry'!$BD$6:$BD$200,"&lt;&gt;*Negative*"))</f>
        <v>0</v>
      </c>
      <c r="K42" s="13">
        <f>SUM(COUNTIFS('Data entry'!$R$6:$R$200,'Summary Data'!$A42,'Data entry'!$B$6:$B$200,{"Confirmed";"Probable"},'Data entry'!$AO$6:$AO$200,$K$10, 'Data entry'!$BD$6:$BD$200,"&lt;&gt;*Negative*"))</f>
        <v>0</v>
      </c>
      <c r="L42" s="13">
        <f>SUM(COUNTIFS('Data entry'!$R$6:$R$200,'Summary Data'!$A42,'Data entry'!$B$6:$B$200,{"Confirmed";"Probable"},'Data entry'!$AO$6:$AO$200,$L$10, 'Data entry'!$BD$6:$BD$200,"&lt;&gt;*Negative*"))</f>
        <v>0</v>
      </c>
      <c r="M42" s="13">
        <f>SUM(COUNTIFS('Data entry'!$R$6:$R$200,'Summary Data'!$A42,'Data entry'!$B$6:$B$200,{"Confirmed";"Probable"},'Data entry'!$AO$6:$AO$200,$M$10, 'Data entry'!$BD$6:$BD$200,"&lt;&gt;*Negative*"))</f>
        <v>0</v>
      </c>
      <c r="N42" s="13">
        <f>SUM(COUNTIFS('Data entry'!$R$6:$R$200,'Summary Data'!$A42,'Data entry'!$B$6:$B$200,{"Confirmed";"Probable"},'Data entry'!$AO$6:$AO$200,$N$10, 'Data entry'!$BD$6:$BD$200,"&lt;&gt;*Negative*"))</f>
        <v>0</v>
      </c>
      <c r="O42" s="15">
        <f t="shared" si="3"/>
        <v>0</v>
      </c>
      <c r="P42" s="15">
        <f t="shared" si="4"/>
        <v>0</v>
      </c>
      <c r="Q42" s="15">
        <f>SUM(COUNTIFS('Data entry'!$R$6:$R$200,'Summary Data'!$A42,'Data entry'!$B$6:$B$200,{"Confirmed";"Probable"},'Data entry'!$AP$6:$AP$200,'Data Validation'!$U$2, 'Data entry'!$BD$6:$BD$200,"&lt;&gt;*Negative*"))</f>
        <v>0</v>
      </c>
      <c r="R42" s="15">
        <f>SUM(COUNTIFS('Data entry'!$R$6:$R$200,'Summary Data'!$A42,'Data entry'!$B$6:$B$200,{"Confirmed";"Probable"},'Data entry'!$AP$6:$AP$200,'Data Validation'!$U$3, 'Data entry'!$BD$6:$BD$200,"&lt;&gt;*Negative*"))</f>
        <v>0</v>
      </c>
      <c r="S42" s="15">
        <f>SUM(COUNTIFS('Data entry'!$R$6:$R$200,'Summary Data'!$A42,'Data entry'!$B$6:$B$200,{"Confirmed";"Probable"},'Data entry'!$AP$6:$AP$200,'Data Validation'!$U$4, 'Data entry'!$BD$6:$BD$200,"&lt;&gt;*Negative*"))</f>
        <v>0</v>
      </c>
      <c r="T42" s="15">
        <f>SUM(COUNTIFS('Data entry'!$R$6:$R$200,'Summary Data'!$A42,'Data entry'!$B$6:$B$200,{"Confirmed";"Probable"},'Data entry'!$AP$6:$AP$200,'Data Validation'!$U$5, 'Data entry'!$BD$6:$BD$200,"&lt;&gt;*Negative*"))</f>
        <v>0</v>
      </c>
      <c r="U42" s="15">
        <f>SUM(COUNTIFS('Data entry'!$R$6:$R$200,'Summary Data'!$A42,'Data entry'!$B$6:$B$200,{"Confirmed";"Probable"},'Data entry'!$AP$6:$AP$200,'Data Validation'!$U$6, 'Data entry'!$BD$6:$BD$200,"&lt;&gt;*Negative*"))</f>
        <v>0</v>
      </c>
      <c r="V42" s="15">
        <f>SUM(COUNTIFS('Data entry'!$R$6:$R$200,'Summary Data'!$A42,'Data entry'!$B$6:$B$200,{"Confirmed";"Probable"},'Data entry'!$AQ$6:$AQ$200,'Data Validation'!$V$2, 'Data entry'!$BD$6:$BD$200,"&lt;&gt;*Negative*"))</f>
        <v>0</v>
      </c>
      <c r="W42" s="15">
        <f>SUM(COUNTIFS('Data entry'!$R$6:$R$200,'Summary Data'!$A42,'Data entry'!$B$6:$B$200,{"Confirmed";"Probable"},'Data entry'!$AQ$6:$AQ$200,'Data Validation'!$V$3, 'Data entry'!$BD$6:$BD$200,"&lt;&gt;*Negative*"))</f>
        <v>0</v>
      </c>
      <c r="X42" s="15">
        <f>SUM(COUNTIFS('Data entry'!$R$6:$R$200,'Summary Data'!$A42,'Data entry'!$B$6:$B$200,{"Confirmed";"Probable"},'Data entry'!$AQ$6:$AQ$200,'Data Validation'!$V$4, 'Data entry'!$BD$6:$BD$200,"&lt;&gt;*Negative*"))</f>
        <v>0</v>
      </c>
      <c r="Y42" s="15">
        <f>SUM(COUNTIFS('Data entry'!$R$6:$R$200,'Summary Data'!$A42,'Data entry'!$B$6:$B$200,{"Confirmed";"Probable"},'Data entry'!$AQ$6:$AQ$200,'Data Validation'!$V$5, 'Data entry'!$BD$6:$BD$200,"&lt;&gt;*Negative*"))</f>
        <v>0</v>
      </c>
      <c r="Z42" s="15">
        <f>SUM(COUNTIFS('Data entry'!$R$6:$R$200,'Summary Data'!$A42,'Data entry'!$B$6:$B$200,{"Confirmed";"Probable"},'Data entry'!$AQ$6:$AQ$200,'Data Validation'!$V$6, 'Data entry'!$BD$6:$BD$200,"&lt;&gt;*Negative*"))</f>
        <v>0</v>
      </c>
      <c r="AA42" s="15">
        <f>SUM(COUNTIFS('Data entry'!$R$6:$R$200,'Summary Data'!$A42,'Data entry'!$B$6:$B$200,{"Confirmed";"Probable"},'Data entry'!$AQ$6:$AQ$200,'Data Validation'!$V$7, 'Data entry'!$BD$6:$BD$200,"&lt;&gt;*Negative*"))</f>
        <v>0</v>
      </c>
      <c r="AB42" s="15">
        <f>SUM(COUNTIFS('Data entry'!$R$6:$R$200,'Summary Data'!$A42,'Data entry'!$B$6:$B$200,{"Confirmed";"Probable"},'Data entry'!$AQ$6:$AQ$200,'Data Validation'!$V$8, 'Data entry'!$BD$6:$BD$200,"&lt;&gt;*Negative*"))</f>
        <v>0</v>
      </c>
      <c r="AC42" s="15">
        <f>SUM(COUNTIFS('Data entry'!$R$6:$R$200,'Summary Data'!$A42,'Data entry'!$B$6:$B$200,{"Confirmed";"Probable"},'Data entry'!$AQ$6:$AQ$200,'Data Validation'!$V$9, 'Data entry'!$BD$6:$BD$200,"&lt;&gt;*Negative*"))</f>
        <v>0</v>
      </c>
      <c r="AD42" s="15">
        <f>SUM(COUNTIFS('Data entry'!$R$6:$R$200,'Summary Data'!$A42,'Data entry'!$B$6:$B$200,{"Confirmed";"Probable"},'Data entry'!$AQ$6:$AQ$200,'Data Validation'!$V$10, 'Data entry'!$BD$6:$BD$200,"&lt;&gt;*Negative*"))</f>
        <v>0</v>
      </c>
      <c r="AE42" s="15">
        <f>SUM(COUNTIFS('Data entry'!$R$6:$R$200,'Summary Data'!$A42,'Data entry'!$B$6:$B$200,{"Confirmed";"Probable"},'Data entry'!$AQ$6:$AQ$200,'Data Validation'!$V$11, 'Data entry'!$BD$6:$BD$200,"&lt;&gt;*Negative*"))</f>
        <v>0</v>
      </c>
      <c r="AF42" s="15">
        <f>SUM(COUNTIFS('Data entry'!$R$6:$R$200,'Summary Data'!$A42,'Data entry'!$B$6:$B$200,{"Confirmed";"Probable"},'Data entry'!$AQ$6:$AQ$200,'Data Validation'!$V$2, 'Data entry'!$AP$6:$AP$200,'Data Validation'!$U$2, 'Data entry'!$BD$6:$BD$200,"&lt;&gt;*Negative*"))</f>
        <v>0</v>
      </c>
      <c r="AG42" s="15">
        <f>SUM(COUNTIFS('Data entry'!$R$6:$R$200,'Summary Data'!$A42,'Data entry'!$B$6:$B$200,{"Confirmed";"Probable"},'Data entry'!$AQ$6:$AQ$200,'Data Validation'!$V$2, 'Data entry'!$AP$6:$AP$200,'Data Validation'!$U$3, 'Data entry'!$BD$6:$BD$200,"&lt;&gt;*Negative*"))</f>
        <v>0</v>
      </c>
      <c r="AH42" s="15">
        <f>SUM(COUNTIFS('Data entry'!$R$6:$R$200,'Summary Data'!$A42,'Data entry'!$B$6:$B$200,{"Confirmed";"Probable"},'Data entry'!$AQ$6:$AQ$200,'Data Validation'!$V$2, 'Data entry'!$AP$6:$AP$200,'Data Validation'!$U$4, 'Data entry'!$BD$6:$BD$200,"&lt;&gt;*Negative*"))</f>
        <v>0</v>
      </c>
      <c r="AI42" s="15">
        <f>SUM(COUNTIFS('Data entry'!$R$6:$R$200,'Summary Data'!$A42,'Data entry'!$B$6:$B$200,{"Confirmed";"Probable"},'Data entry'!$AQ$6:$AQ$200,'Data Validation'!$V$2, 'Data entry'!$AP$6:$AP$200,'Data Validation'!$U$5, 'Data entry'!$BD$6:$BD$200,"&lt;&gt;*Negative*"))</f>
        <v>0</v>
      </c>
      <c r="AJ42" s="15">
        <f>SUM(COUNTIFS('Data entry'!$R$6:$R$200,'Summary Data'!$A42,'Data entry'!$B$6:$B$200,{"Confirmed";"Probable"},'Data entry'!$AQ$6:$AQ$200,'Data Validation'!$V$2, 'Data entry'!$AP$6:$AP$200,'Data Validation'!$U$6, 'Data entry'!$BD$6:$BD$200,"&lt;&gt;*Negative*"))</f>
        <v>0</v>
      </c>
      <c r="AK42" s="15">
        <f>SUM(COUNTIFS('Data entry'!$R$6:$R$200,'Summary Data'!$A42,'Data entry'!$B$6:$B$200,{"Confirmed";"Probable"},'Data entry'!$AQ$6:$AQ$200,'Data Validation'!$V$3, 'Data entry'!$AP$6:$AP$200,'Data Validation'!$U$2, 'Data entry'!$BD$6:$BD$200,"&lt;&gt;*Negative*"))</f>
        <v>0</v>
      </c>
      <c r="AL42" s="15">
        <f>SUM(COUNTIFS('Data entry'!$R$6:$R$200,'Summary Data'!$A42,'Data entry'!$B$6:$B$200,{"Confirmed";"Probable"},'Data entry'!$AQ$6:$AQ$200,'Data Validation'!$V$3, 'Data entry'!$AP$6:$AP$200,'Data Validation'!$U$3, 'Data entry'!$BD$6:$BD$200,"&lt;&gt;*Negative*"))</f>
        <v>0</v>
      </c>
      <c r="AM42" s="15">
        <f>SUM(COUNTIFS('Data entry'!$R$6:$R$200,'Summary Data'!$A42,'Data entry'!$B$6:$B$200,{"Confirmed";"Probable"},'Data entry'!$AQ$6:$AQ$200,'Data Validation'!$V$3, 'Data entry'!$AP$6:$AP$200,'Data Validation'!$U$4, 'Data entry'!$BD$6:$BD$200,"&lt;&gt;*Negative*"))</f>
        <v>0</v>
      </c>
      <c r="AN42" s="15">
        <f>SUM(COUNTIFS('Data entry'!$R$6:$R$200,'Summary Data'!$A42,'Data entry'!$B$6:$B$200,{"Confirmed";"Probable"},'Data entry'!$AQ$6:$AQ$200,'Data Validation'!$V$3, 'Data entry'!$AP$6:$AP$200,'Data Validation'!$U$5, 'Data entry'!$BD$6:$BD$200,"&lt;&gt;*Negative*"))</f>
        <v>0</v>
      </c>
      <c r="AO42" s="15">
        <f>SUM(COUNTIFS('Data entry'!$R$6:$R$200,'Summary Data'!$A42,'Data entry'!$B$6:$B$200,{"Confirmed";"Probable"},'Data entry'!$AQ$6:$AQ$200,'Data Validation'!$V$3, 'Data entry'!$AP$6:$AP$200,'Data Validation'!$U$6, 'Data entry'!$BD$6:$BD$200,"&lt;&gt;*Negative*"))</f>
        <v>0</v>
      </c>
      <c r="AP42" s="15">
        <f>SUM(COUNTIFS('Data entry'!$R$6:$R$200,'Summary Data'!$A42,'Data entry'!$B$6:$B$200,{"Confirmed";"Probable"},'Data entry'!$AQ$6:$AQ$200,'Data Validation'!$V$4, 'Data entry'!$AP$6:$AP$200,'Data Validation'!$U$2, 'Data entry'!$BD$6:$BD$200,"&lt;&gt;*Negative*"))</f>
        <v>0</v>
      </c>
      <c r="AQ42" s="15">
        <f>SUM(COUNTIFS('Data entry'!$R$6:$R$200,'Summary Data'!$A42,'Data entry'!$B$6:$B$200,{"Confirmed";"Probable"},'Data entry'!$AQ$6:$AQ$200,'Data Validation'!$V$4, 'Data entry'!$AP$6:$AP$200,'Data Validation'!$U$3, 'Data entry'!$BD$6:$BD$200,"&lt;&gt;*Negative*"))</f>
        <v>0</v>
      </c>
      <c r="AR42" s="15">
        <f>SUM(COUNTIFS('Data entry'!$R$6:$R$200,'Summary Data'!$A42,'Data entry'!$B$6:$B$200,{"Confirmed";"Probable"},'Data entry'!$AQ$6:$AQ$200,'Data Validation'!$V$4, 'Data entry'!$AP$6:$AP$200,'Data Validation'!$U$4, 'Data entry'!$BD$6:$BD$200,"&lt;&gt;*Negative*"))</f>
        <v>0</v>
      </c>
      <c r="AS42" s="15">
        <f>SUM(COUNTIFS('Data entry'!$R$6:$R$200,'Summary Data'!$A42,'Data entry'!$B$6:$B$200,{"Confirmed";"Probable"},'Data entry'!$AQ$6:$AQ$200,'Data Validation'!$V$4, 'Data entry'!$AP$6:$AP$200,'Data Validation'!$U$5, 'Data entry'!$BD$6:$BD$200,"&lt;&gt;*Negative*"))</f>
        <v>0</v>
      </c>
      <c r="AT42" s="15">
        <f>SUM(COUNTIFS('Data entry'!$R$6:$R$200,'Summary Data'!$A42,'Data entry'!$B$6:$B$200,{"Confirmed";"Probable"},'Data entry'!$AQ$6:$AQ$200,'Data Validation'!$V$4, 'Data entry'!$AP$6:$AP$200,'Data Validation'!$U$6, 'Data entry'!$BD$6:$BD$200,"&lt;&gt;*Negative*"))</f>
        <v>0</v>
      </c>
      <c r="AU42" s="15">
        <f>SUM(COUNTIFS('Data entry'!$R$6:$R$200,'Summary Data'!$A42,'Data entry'!$B$6:$B$200,{"Confirmed";"Probable"},'Data entry'!$AQ$6:$AQ$200,'Data Validation'!$V$5, 'Data entry'!$AP$6:$AP$200,'Data Validation'!$U$2, 'Data entry'!$BD$6:$BD$200,"&lt;&gt;*Negative*"))</f>
        <v>0</v>
      </c>
      <c r="AV42" s="15">
        <f>SUM(COUNTIFS('Data entry'!$R$6:$R$200,'Summary Data'!$A42,'Data entry'!$B$6:$B$200,{"Confirmed";"Probable"},'Data entry'!$AQ$6:$AQ$200,'Data Validation'!$V$5, 'Data entry'!$AP$6:$AP$200,'Data Validation'!$U$3, 'Data entry'!$BD$6:$BD$200,"&lt;&gt;*Negative*"))</f>
        <v>0</v>
      </c>
      <c r="AW42" s="15">
        <f>SUM(COUNTIFS('Data entry'!$R$6:$R$200,'Summary Data'!$A42,'Data entry'!$B$6:$B$200,{"Confirmed";"Probable"},'Data entry'!$AQ$6:$AQ$200,'Data Validation'!$V$5, 'Data entry'!$AP$6:$AP$200,'Data Validation'!$U$4, 'Data entry'!$BD$6:$BD$200,"&lt;&gt;*Negative*"))</f>
        <v>0</v>
      </c>
      <c r="AX42" s="15">
        <f>SUM(COUNTIFS('Data entry'!$R$6:$R$200,'Summary Data'!$A42,'Data entry'!$B$6:$B$200,{"Confirmed";"Probable"},'Data entry'!$AQ$6:$AQ$200,'Data Validation'!$V$5, 'Data entry'!$AP$6:$AP$200,'Data Validation'!$U$5, 'Data entry'!$BD$6:$BD$200,"&lt;&gt;*Negative*"))</f>
        <v>0</v>
      </c>
      <c r="AY42" s="15">
        <f>SUM(COUNTIFS('Data entry'!$R$6:$R$200,'Summary Data'!$A42,'Data entry'!$B$6:$B$200,{"Confirmed";"Probable"},'Data entry'!$AQ$6:$AQ$200,'Data Validation'!$V$5, 'Data entry'!$AP$6:$AP$200,'Data Validation'!$U$6, 'Data entry'!$BD$6:$BD$200,"&lt;&gt;*Negative*"))</f>
        <v>0</v>
      </c>
      <c r="AZ42" s="15">
        <f>SUM(COUNTIFS('Data entry'!$R$6:$R$200,'Summary Data'!$A42,'Data entry'!$B$6:$B$200,{"Confirmed";"Probable"},'Data entry'!$AQ$6:$AQ$200,'Data Validation'!$V$6, 'Data entry'!$AP$6:$AP$200,'Data Validation'!$U$2, 'Data entry'!$BD$6:$BD$200,"&lt;&gt;*Negative*"))</f>
        <v>0</v>
      </c>
      <c r="BA42" s="15">
        <f>SUM(COUNTIFS('Data entry'!$R$6:$R$200,'Summary Data'!$A42,'Data entry'!$B$6:$B$200,{"Confirmed";"Probable"},'Data entry'!$AQ$6:$AQ$200,'Data Validation'!$V$6, 'Data entry'!$AP$6:$AP$200,'Data Validation'!$U$3, 'Data entry'!$BD$6:$BD$200,"&lt;&gt;*Negative*"))</f>
        <v>0</v>
      </c>
      <c r="BB42" s="15">
        <f>SUM(COUNTIFS('Data entry'!$R$6:$R$200,'Summary Data'!$A42,'Data entry'!$B$6:$B$200,{"Confirmed";"Probable"},'Data entry'!$AQ$6:$AQ$200,'Data Validation'!$V$6, 'Data entry'!$AP$6:$AP$200,'Data Validation'!$U$4, 'Data entry'!$BD$6:$BD$200,"&lt;&gt;*Negative*"))</f>
        <v>0</v>
      </c>
      <c r="BC42" s="15">
        <f>SUM(COUNTIFS('Data entry'!$R$6:$R$200,'Summary Data'!$A42,'Data entry'!$B$6:$B$200,{"Confirmed";"Probable"},'Data entry'!$AQ$6:$AQ$200,'Data Validation'!$V$6, 'Data entry'!$AP$6:$AP$200,'Data Validation'!$U$5, 'Data entry'!$BD$6:$BD$200,"&lt;&gt;*Negative*"))</f>
        <v>0</v>
      </c>
      <c r="BD42" s="15">
        <f>SUM(COUNTIFS('Data entry'!$R$6:$R$200,'Summary Data'!$A42,'Data entry'!$B$6:$B$200,{"Confirmed";"Probable"},'Data entry'!$AQ$6:$AQ$200,'Data Validation'!$V$6, 'Data entry'!$AP$6:$AP$200,'Data Validation'!$U$6, 'Data entry'!$BD$6:$BD$200,"&lt;&gt;*Negative*"))</f>
        <v>0</v>
      </c>
      <c r="BE42" s="15">
        <f>SUM(COUNTIFS('Data entry'!$R$6:$R$200,'Summary Data'!$A42,'Data entry'!$B$6:$B$200,{"Confirmed";"Probable"},'Data entry'!$AQ$6:$AQ$200,'Data Validation'!$V$7, 'Data entry'!$AP$6:$AP$200,'Data Validation'!$U$2, 'Data entry'!$BD$6:$BD$200,"&lt;&gt;*Negative*"))</f>
        <v>0</v>
      </c>
      <c r="BF42" s="15">
        <f>SUM(COUNTIFS('Data entry'!$R$6:$R$200,'Summary Data'!$A42,'Data entry'!$B$6:$B$200,{"Confirmed";"Probable"},'Data entry'!$AQ$6:$AQ$200,'Data Validation'!$V$7, 'Data entry'!$AP$6:$AP$200,'Data Validation'!$U$3, 'Data entry'!$BD$6:$BD$200,"&lt;&gt;*Negative*"))</f>
        <v>0</v>
      </c>
      <c r="BG42" s="15">
        <f>SUM(COUNTIFS('Data entry'!$R$6:$R$200,'Summary Data'!$A42,'Data entry'!$B$6:$B$200,{"Confirmed";"Probable"},'Data entry'!$AQ$6:$AQ$200,'Data Validation'!$V$7, 'Data entry'!$AP$6:$AP$200,'Data Validation'!$U$4, 'Data entry'!$BD$6:$BD$200,"&lt;&gt;*Negative*"))</f>
        <v>0</v>
      </c>
      <c r="BH42" s="15">
        <f>SUM(COUNTIFS('Data entry'!$R$6:$R$200,'Summary Data'!$A42,'Data entry'!$B$6:$B$200,{"Confirmed";"Probable"},'Data entry'!$AQ$6:$AQ$200,'Data Validation'!$V$7, 'Data entry'!$AP$6:$AP$200,'Data Validation'!$U$5, 'Data entry'!$BD$6:$BD$200,"&lt;&gt;*Negative*"))</f>
        <v>0</v>
      </c>
      <c r="BI42" s="15">
        <f>SUM(COUNTIFS('Data entry'!$R$6:$R$200,'Summary Data'!$A42,'Data entry'!$B$6:$B$200,{"Confirmed";"Probable"},'Data entry'!$AQ$6:$AQ$200,'Data Validation'!$V$7, 'Data entry'!$AP$6:$AP$200,'Data Validation'!$U$6, 'Data entry'!$BD$6:$BD$200,"&lt;&gt;*Negative*"))</f>
        <v>0</v>
      </c>
      <c r="BJ42" s="15">
        <f>SUM(COUNTIFS('Data entry'!$R$6:$R$200,'Summary Data'!$A42,'Data entry'!$B$6:$B$200,{"Confirmed";"Probable"},'Data entry'!$AQ$6:$AQ$200,'Data Validation'!$V$8, 'Data entry'!$AP$6:$AP$200,'Data Validation'!$U$2, 'Data entry'!$BD$6:$BD$200,"&lt;&gt;*Negative*"))</f>
        <v>0</v>
      </c>
      <c r="BK42" s="15">
        <f>SUM(COUNTIFS('Data entry'!$R$6:$R$200,'Summary Data'!$A42,'Data entry'!$B$6:$B$200,{"Confirmed";"Probable"},'Data entry'!$AQ$6:$AQ$200,'Data Validation'!$V$8, 'Data entry'!$AP$6:$AP$200,'Data Validation'!$U$3, 'Data entry'!$BD$6:$BD$200,"&lt;&gt;*Negative*"))</f>
        <v>0</v>
      </c>
      <c r="BL42" s="15">
        <f>SUM(COUNTIFS('Data entry'!$R$6:$R$200,'Summary Data'!$A42,'Data entry'!$B$6:$B$200,{"Confirmed";"Probable"},'Data entry'!$AQ$6:$AQ$200,'Data Validation'!$V$8, 'Data entry'!$AP$6:$AP$200,'Data Validation'!$U$4, 'Data entry'!$BD$6:$BD$200,"&lt;&gt;*Negative*"))</f>
        <v>0</v>
      </c>
      <c r="BM42" s="15">
        <f>SUM(COUNTIFS('Data entry'!$R$6:$R$200,'Summary Data'!$A42,'Data entry'!$B$6:$B$200,{"Confirmed";"Probable"},'Data entry'!$AQ$6:$AQ$200,'Data Validation'!$V$8, 'Data entry'!$AP$6:$AP$200,'Data Validation'!$U$5, 'Data entry'!$BD$6:$BD$200,"&lt;&gt;*Negative*"))</f>
        <v>0</v>
      </c>
      <c r="BN42" s="15">
        <f>SUM(COUNTIFS('Data entry'!$R$6:$R$200,'Summary Data'!$A42,'Data entry'!$B$6:$B$200,{"Confirmed";"Probable"},'Data entry'!$AQ$6:$AQ$200,'Data Validation'!$V$8, 'Data entry'!$AP$6:$AP$200,'Data Validation'!$U$6, 'Data entry'!$BD$6:$BD$200,"&lt;&gt;*Negative*"))</f>
        <v>0</v>
      </c>
      <c r="BO42" s="15">
        <f>SUM(COUNTIFS('Data entry'!$R$6:$R$200,'Summary Data'!$A42,'Data entry'!$B$6:$B$200,{"Confirmed";"Probable"},'Data entry'!$AQ$6:$AQ$200,'Data Validation'!$V$9, 'Data entry'!$AP$6:$AP$200,'Data Validation'!$U$2, 'Data entry'!$BD$6:$BD$200,"&lt;&gt;*Negative*"))</f>
        <v>0</v>
      </c>
      <c r="BP42" s="15">
        <f>SUM(COUNTIFS('Data entry'!$R$6:$R$200,'Summary Data'!$A42,'Data entry'!$B$6:$B$200,{"Confirmed";"Probable"},'Data entry'!$AQ$6:$AQ$200,'Data Validation'!$V$9, 'Data entry'!$AP$6:$AP$200,'Data Validation'!$U$3, 'Data entry'!$BD$6:$BD$200,"&lt;&gt;*Negative*"))</f>
        <v>0</v>
      </c>
      <c r="BQ42" s="15">
        <f>SUM(COUNTIFS('Data entry'!$R$6:$R$200,'Summary Data'!$A42,'Data entry'!$B$6:$B$200,{"Confirmed";"Probable"},'Data entry'!$AQ$6:$AQ$200,'Data Validation'!$V$9, 'Data entry'!$AP$6:$AP$200,'Data Validation'!$U$4, 'Data entry'!$BD$6:$BD$200,"&lt;&gt;*Negative*"))</f>
        <v>0</v>
      </c>
      <c r="BR42" s="15">
        <f>SUM(COUNTIFS('Data entry'!$R$6:$R$200,'Summary Data'!$A42,'Data entry'!$B$6:$B$200,{"Confirmed";"Probable"},'Data entry'!$AQ$6:$AQ$200,'Data Validation'!$V$9, 'Data entry'!$AP$6:$AP$200,'Data Validation'!$U$5, 'Data entry'!$BD$6:$BD$200,"&lt;&gt;*Negative*"))</f>
        <v>0</v>
      </c>
      <c r="BS42" s="15">
        <f>SUM(COUNTIFS('Data entry'!$R$6:$R$200,'Summary Data'!$A42,'Data entry'!$B$6:$B$200,{"Confirmed";"Probable"},'Data entry'!$AQ$6:$AQ$200,'Data Validation'!$V$9, 'Data entry'!$AP$6:$AP$200,'Data Validation'!$U$6, 'Data entry'!$BD$6:$BD$200,"&lt;&gt;*Negative*"))</f>
        <v>0</v>
      </c>
      <c r="BT42" s="15">
        <f>SUM(COUNTIFS('Data entry'!$R$6:$R$200,'Summary Data'!$A42,'Data entry'!$B$6:$B$200,{"Confirmed";"Probable"},'Data entry'!$AQ$6:$AQ$200,'Data Validation'!$V$10, 'Data entry'!$AP$6:$AP$200,'Data Validation'!$U$2, 'Data entry'!$BD$6:$BD$200,"&lt;&gt;*Negative*"))</f>
        <v>0</v>
      </c>
      <c r="BU42" s="15">
        <f>SUM(COUNTIFS('Data entry'!$R$6:$R$200,'Summary Data'!$A42,'Data entry'!$B$6:$B$200,{"Confirmed";"Probable"},'Data entry'!$AQ$6:$AQ$200,'Data Validation'!$V$10, 'Data entry'!$AP$6:$AP$200,'Data Validation'!$U$3, 'Data entry'!$BD$6:$BD$200,"&lt;&gt;*Negative*"))</f>
        <v>0</v>
      </c>
      <c r="BV42" s="15">
        <f>SUM(COUNTIFS('Data entry'!$R$6:$R$200,'Summary Data'!$A42,'Data entry'!$B$6:$B$200,{"Confirmed";"Probable"},'Data entry'!$AQ$6:$AQ$200,'Data Validation'!$V$10, 'Data entry'!$AP$6:$AP$200,'Data Validation'!$U$4, 'Data entry'!$BD$6:$BD$200,"&lt;&gt;*Negative*"))</f>
        <v>0</v>
      </c>
      <c r="BW42" s="15">
        <f>SUM(COUNTIFS('Data entry'!$R$6:$R$200,'Summary Data'!$A42,'Data entry'!$B$6:$B$200,{"Confirmed";"Probable"},'Data entry'!$AQ$6:$AQ$200,'Data Validation'!$V$10, 'Data entry'!$AP$6:$AP$200,'Data Validation'!$U$5, 'Data entry'!$BD$6:$BD$200,"&lt;&gt;*Negative*"))</f>
        <v>0</v>
      </c>
      <c r="BX42" s="15">
        <f>SUM(COUNTIFS('Data entry'!$R$6:$R$200,'Summary Data'!$A42,'Data entry'!$B$6:$B$200,{"Confirmed";"Probable"},'Data entry'!$AQ$6:$AQ$200,'Data Validation'!$V$10, 'Data entry'!$AP$6:$AP$200,'Data Validation'!$U$6, 'Data entry'!$BD$6:$BD$200,"&lt;&gt;*Negative*"))</f>
        <v>0</v>
      </c>
      <c r="BY42" s="15">
        <f>SUM(COUNTIFS('Data entry'!$R$6:$R$200,'Summary Data'!$A42,'Data entry'!$B$6:$B$200,{"Confirmed";"Probable"},'Data entry'!$AQ$6:$AQ$200,'Data Validation'!$V$11, 'Data entry'!$AP$6:$AP$200,'Data Validation'!$U$2, 'Data entry'!$BD$6:$BD$200,"&lt;&gt;*Negative*"))</f>
        <v>0</v>
      </c>
      <c r="BZ42" s="15">
        <f>SUM(COUNTIFS('Data entry'!$R$6:$R$200,'Summary Data'!$A42,'Data entry'!$B$6:$B$200,{"Confirmed";"Probable"},'Data entry'!$AQ$6:$AQ$200,'Data Validation'!$V$11, 'Data entry'!$AP$6:$AP$200,'Data Validation'!$U$3, 'Data entry'!$BD$6:$BD$200,"&lt;&gt;*Negative*"))</f>
        <v>0</v>
      </c>
      <c r="CA42" s="15">
        <f>SUM(COUNTIFS('Data entry'!$R$6:$R$200,'Summary Data'!$A42,'Data entry'!$B$6:$B$200,{"Confirmed";"Probable"},'Data entry'!$AQ$6:$AQ$200,'Data Validation'!$V$11, 'Data entry'!$AP$6:$AP$200,'Data Validation'!$U$4, 'Data entry'!$BD$6:$BD$200,"&lt;&gt;*Negative*"))</f>
        <v>0</v>
      </c>
      <c r="CB42" s="15">
        <f>SUM(COUNTIFS('Data entry'!$R$6:$R$200,'Summary Data'!$A42,'Data entry'!$B$6:$B$200,{"Confirmed";"Probable"},'Data entry'!$AQ$6:$AQ$200,'Data Validation'!$V$11, 'Data entry'!$AP$6:$AP$200,'Data Validation'!$U$5, 'Data entry'!$BD$6:$BD$200,"&lt;&gt;*Negative*"))</f>
        <v>0</v>
      </c>
      <c r="CC42" s="15">
        <f>SUM(COUNTIFS('Data entry'!$R$6:$R$200,'Summary Data'!$A42,'Data entry'!$B$6:$B$200,{"Confirmed";"Probable"},'Data entry'!$AQ$6:$AQ$200,'Data Validation'!$V$11, 'Data entry'!$AP$6:$AP$200,'Data Validation'!$U$6, 'Data entry'!$BD$6:$BD$200,"&lt;&gt;*Negative*"))</f>
        <v>0</v>
      </c>
    </row>
    <row r="43" spans="1:81" x14ac:dyDescent="0.25">
      <c r="A43" s="12">
        <f t="shared" si="5"/>
        <v>31</v>
      </c>
      <c r="B43" s="13">
        <f t="shared" si="2"/>
        <v>0</v>
      </c>
      <c r="C43" s="13">
        <f>COUNTIFS('Data entry'!$R$6:$R$200,$A43,'Data entry'!$B$6:$B$200,"Confirmed",'Data entry'!$BD$6:$BD$200,"&lt;&gt;*Negative*")</f>
        <v>0</v>
      </c>
      <c r="D43" s="13">
        <f>COUNTIFS('Data entry'!$R$6:$R$200,$A43,'Data entry'!$B$6:$B$200,"Probable",'Data entry'!$BD$6:$BD$200,"&lt;&gt;*Negative*")</f>
        <v>0</v>
      </c>
      <c r="E43" s="13">
        <f>COUNTIFS('Data entry'!$R$6:$R$200,$A43,'Data entry'!$B$6:$B$200,"DNM")</f>
        <v>0</v>
      </c>
      <c r="F43" s="13">
        <f>SUM(COUNTIFS('Data entry'!$R$6:$R$200,'Summary Data'!$A43,'Data entry'!$B$6:$B$200,{"Confirmed";"Probable"},'Data entry'!$AO$6:$AO$200,$F$10, 'Data entry'!$BD$6:$BD$200,"&lt;&gt;*Negative*"))</f>
        <v>0</v>
      </c>
      <c r="G43" s="13">
        <f>SUM(COUNTIFS('Data entry'!$R$6:$R$200,'Summary Data'!$A43,'Data entry'!$B$6:$B$200,{"Confirmed";"Probable"},'Data entry'!$AO$6:$AO$200,$G$10, 'Data entry'!$BD$6:$BD$200,"&lt;&gt;*Negative*"))</f>
        <v>0</v>
      </c>
      <c r="H43" s="13">
        <f>SUM(COUNTIFS('Data entry'!$R$6:$R$200,'Summary Data'!$A43,'Data entry'!$B$6:$B$200,{"Confirmed";"Probable"},'Data entry'!$AO$6:$AO$200,$H$10, 'Data entry'!$BD$6:$BD$200,"&lt;&gt;*Negative*"))</f>
        <v>0</v>
      </c>
      <c r="I43" s="13">
        <f>SUM(COUNTIFS('Data entry'!$R$6:$R$200,'Summary Data'!$A43,'Data entry'!$B$6:$B$200,{"Confirmed";"Probable"},'Data entry'!$AO$6:$AO$200,$I$10, 'Data entry'!$BD$6:$BD$200,"&lt;&gt;*Negative*"))</f>
        <v>0</v>
      </c>
      <c r="J43" s="13">
        <f>SUM(COUNTIFS('Data entry'!$R$6:$R$200,'Summary Data'!$A43,'Data entry'!$B$6:$B$200,{"Confirmed";"Probable"},'Data entry'!$AO$6:$AO$200,$J$10, 'Data entry'!$BD$6:$BD$200,"&lt;&gt;*Negative*"))</f>
        <v>0</v>
      </c>
      <c r="K43" s="13">
        <f>SUM(COUNTIFS('Data entry'!$R$6:$R$200,'Summary Data'!$A43,'Data entry'!$B$6:$B$200,{"Confirmed";"Probable"},'Data entry'!$AO$6:$AO$200,$K$10, 'Data entry'!$BD$6:$BD$200,"&lt;&gt;*Negative*"))</f>
        <v>0</v>
      </c>
      <c r="L43" s="13">
        <f>SUM(COUNTIFS('Data entry'!$R$6:$R$200,'Summary Data'!$A43,'Data entry'!$B$6:$B$200,{"Confirmed";"Probable"},'Data entry'!$AO$6:$AO$200,$L$10, 'Data entry'!$BD$6:$BD$200,"&lt;&gt;*Negative*"))</f>
        <v>0</v>
      </c>
      <c r="M43" s="13">
        <f>SUM(COUNTIFS('Data entry'!$R$6:$R$200,'Summary Data'!$A43,'Data entry'!$B$6:$B$200,{"Confirmed";"Probable"},'Data entry'!$AO$6:$AO$200,$M$10, 'Data entry'!$BD$6:$BD$200,"&lt;&gt;*Negative*"))</f>
        <v>0</v>
      </c>
      <c r="N43" s="13">
        <f>SUM(COUNTIFS('Data entry'!$R$6:$R$200,'Summary Data'!$A43,'Data entry'!$B$6:$B$200,{"Confirmed";"Probable"},'Data entry'!$AO$6:$AO$200,$N$10, 'Data entry'!$BD$6:$BD$200,"&lt;&gt;*Negative*"))</f>
        <v>0</v>
      </c>
      <c r="O43" s="15">
        <f t="shared" si="3"/>
        <v>0</v>
      </c>
      <c r="P43" s="15">
        <f t="shared" si="4"/>
        <v>0</v>
      </c>
      <c r="Q43" s="15">
        <f>SUM(COUNTIFS('Data entry'!$R$6:$R$200,'Summary Data'!$A43,'Data entry'!$B$6:$B$200,{"Confirmed";"Probable"},'Data entry'!$AP$6:$AP$200,'Data Validation'!$U$2, 'Data entry'!$BD$6:$BD$200,"&lt;&gt;*Negative*"))</f>
        <v>0</v>
      </c>
      <c r="R43" s="15">
        <f>SUM(COUNTIFS('Data entry'!$R$6:$R$200,'Summary Data'!$A43,'Data entry'!$B$6:$B$200,{"Confirmed";"Probable"},'Data entry'!$AP$6:$AP$200,'Data Validation'!$U$3, 'Data entry'!$BD$6:$BD$200,"&lt;&gt;*Negative*"))</f>
        <v>0</v>
      </c>
      <c r="S43" s="15">
        <f>SUM(COUNTIFS('Data entry'!$R$6:$R$200,'Summary Data'!$A43,'Data entry'!$B$6:$B$200,{"Confirmed";"Probable"},'Data entry'!$AP$6:$AP$200,'Data Validation'!$U$4, 'Data entry'!$BD$6:$BD$200,"&lt;&gt;*Negative*"))</f>
        <v>0</v>
      </c>
      <c r="T43" s="15">
        <f>SUM(COUNTIFS('Data entry'!$R$6:$R$200,'Summary Data'!$A43,'Data entry'!$B$6:$B$200,{"Confirmed";"Probable"},'Data entry'!$AP$6:$AP$200,'Data Validation'!$U$5, 'Data entry'!$BD$6:$BD$200,"&lt;&gt;*Negative*"))</f>
        <v>0</v>
      </c>
      <c r="U43" s="15">
        <f>SUM(COUNTIFS('Data entry'!$R$6:$R$200,'Summary Data'!$A43,'Data entry'!$B$6:$B$200,{"Confirmed";"Probable"},'Data entry'!$AP$6:$AP$200,'Data Validation'!$U$6, 'Data entry'!$BD$6:$BD$200,"&lt;&gt;*Negative*"))</f>
        <v>0</v>
      </c>
      <c r="V43" s="15">
        <f>SUM(COUNTIFS('Data entry'!$R$6:$R$200,'Summary Data'!$A43,'Data entry'!$B$6:$B$200,{"Confirmed";"Probable"},'Data entry'!$AQ$6:$AQ$200,'Data Validation'!$V$2, 'Data entry'!$BD$6:$BD$200,"&lt;&gt;*Negative*"))</f>
        <v>0</v>
      </c>
      <c r="W43" s="15">
        <f>SUM(COUNTIFS('Data entry'!$R$6:$R$200,'Summary Data'!$A43,'Data entry'!$B$6:$B$200,{"Confirmed";"Probable"},'Data entry'!$AQ$6:$AQ$200,'Data Validation'!$V$3, 'Data entry'!$BD$6:$BD$200,"&lt;&gt;*Negative*"))</f>
        <v>0</v>
      </c>
      <c r="X43" s="15">
        <f>SUM(COUNTIFS('Data entry'!$R$6:$R$200,'Summary Data'!$A43,'Data entry'!$B$6:$B$200,{"Confirmed";"Probable"},'Data entry'!$AQ$6:$AQ$200,'Data Validation'!$V$4, 'Data entry'!$BD$6:$BD$200,"&lt;&gt;*Negative*"))</f>
        <v>0</v>
      </c>
      <c r="Y43" s="15">
        <f>SUM(COUNTIFS('Data entry'!$R$6:$R$200,'Summary Data'!$A43,'Data entry'!$B$6:$B$200,{"Confirmed";"Probable"},'Data entry'!$AQ$6:$AQ$200,'Data Validation'!$V$5, 'Data entry'!$BD$6:$BD$200,"&lt;&gt;*Negative*"))</f>
        <v>0</v>
      </c>
      <c r="Z43" s="15">
        <f>SUM(COUNTIFS('Data entry'!$R$6:$R$200,'Summary Data'!$A43,'Data entry'!$B$6:$B$200,{"Confirmed";"Probable"},'Data entry'!$AQ$6:$AQ$200,'Data Validation'!$V$6, 'Data entry'!$BD$6:$BD$200,"&lt;&gt;*Negative*"))</f>
        <v>0</v>
      </c>
      <c r="AA43" s="15">
        <f>SUM(COUNTIFS('Data entry'!$R$6:$R$200,'Summary Data'!$A43,'Data entry'!$B$6:$B$200,{"Confirmed";"Probable"},'Data entry'!$AQ$6:$AQ$200,'Data Validation'!$V$7, 'Data entry'!$BD$6:$BD$200,"&lt;&gt;*Negative*"))</f>
        <v>0</v>
      </c>
      <c r="AB43" s="15">
        <f>SUM(COUNTIFS('Data entry'!$R$6:$R$200,'Summary Data'!$A43,'Data entry'!$B$6:$B$200,{"Confirmed";"Probable"},'Data entry'!$AQ$6:$AQ$200,'Data Validation'!$V$8, 'Data entry'!$BD$6:$BD$200,"&lt;&gt;*Negative*"))</f>
        <v>0</v>
      </c>
      <c r="AC43" s="15">
        <f>SUM(COUNTIFS('Data entry'!$R$6:$R$200,'Summary Data'!$A43,'Data entry'!$B$6:$B$200,{"Confirmed";"Probable"},'Data entry'!$AQ$6:$AQ$200,'Data Validation'!$V$9, 'Data entry'!$BD$6:$BD$200,"&lt;&gt;*Negative*"))</f>
        <v>0</v>
      </c>
      <c r="AD43" s="15">
        <f>SUM(COUNTIFS('Data entry'!$R$6:$R$200,'Summary Data'!$A43,'Data entry'!$B$6:$B$200,{"Confirmed";"Probable"},'Data entry'!$AQ$6:$AQ$200,'Data Validation'!$V$10, 'Data entry'!$BD$6:$BD$200,"&lt;&gt;*Negative*"))</f>
        <v>0</v>
      </c>
      <c r="AE43" s="15">
        <f>SUM(COUNTIFS('Data entry'!$R$6:$R$200,'Summary Data'!$A43,'Data entry'!$B$6:$B$200,{"Confirmed";"Probable"},'Data entry'!$AQ$6:$AQ$200,'Data Validation'!$V$11, 'Data entry'!$BD$6:$BD$200,"&lt;&gt;*Negative*"))</f>
        <v>0</v>
      </c>
      <c r="AF43" s="15">
        <f>SUM(COUNTIFS('Data entry'!$R$6:$R$200,'Summary Data'!$A43,'Data entry'!$B$6:$B$200,{"Confirmed";"Probable"},'Data entry'!$AQ$6:$AQ$200,'Data Validation'!$V$2, 'Data entry'!$AP$6:$AP$200,'Data Validation'!$U$2, 'Data entry'!$BD$6:$BD$200,"&lt;&gt;*Negative*"))</f>
        <v>0</v>
      </c>
      <c r="AG43" s="15">
        <f>SUM(COUNTIFS('Data entry'!$R$6:$R$200,'Summary Data'!$A43,'Data entry'!$B$6:$B$200,{"Confirmed";"Probable"},'Data entry'!$AQ$6:$AQ$200,'Data Validation'!$V$2, 'Data entry'!$AP$6:$AP$200,'Data Validation'!$U$3, 'Data entry'!$BD$6:$BD$200,"&lt;&gt;*Negative*"))</f>
        <v>0</v>
      </c>
      <c r="AH43" s="15">
        <f>SUM(COUNTIFS('Data entry'!$R$6:$R$200,'Summary Data'!$A43,'Data entry'!$B$6:$B$200,{"Confirmed";"Probable"},'Data entry'!$AQ$6:$AQ$200,'Data Validation'!$V$2, 'Data entry'!$AP$6:$AP$200,'Data Validation'!$U$4, 'Data entry'!$BD$6:$BD$200,"&lt;&gt;*Negative*"))</f>
        <v>0</v>
      </c>
      <c r="AI43" s="15">
        <f>SUM(COUNTIFS('Data entry'!$R$6:$R$200,'Summary Data'!$A43,'Data entry'!$B$6:$B$200,{"Confirmed";"Probable"},'Data entry'!$AQ$6:$AQ$200,'Data Validation'!$V$2, 'Data entry'!$AP$6:$AP$200,'Data Validation'!$U$5, 'Data entry'!$BD$6:$BD$200,"&lt;&gt;*Negative*"))</f>
        <v>0</v>
      </c>
      <c r="AJ43" s="15">
        <f>SUM(COUNTIFS('Data entry'!$R$6:$R$200,'Summary Data'!$A43,'Data entry'!$B$6:$B$200,{"Confirmed";"Probable"},'Data entry'!$AQ$6:$AQ$200,'Data Validation'!$V$2, 'Data entry'!$AP$6:$AP$200,'Data Validation'!$U$6, 'Data entry'!$BD$6:$BD$200,"&lt;&gt;*Negative*"))</f>
        <v>0</v>
      </c>
      <c r="AK43" s="15">
        <f>SUM(COUNTIFS('Data entry'!$R$6:$R$200,'Summary Data'!$A43,'Data entry'!$B$6:$B$200,{"Confirmed";"Probable"},'Data entry'!$AQ$6:$AQ$200,'Data Validation'!$V$3, 'Data entry'!$AP$6:$AP$200,'Data Validation'!$U$2, 'Data entry'!$BD$6:$BD$200,"&lt;&gt;*Negative*"))</f>
        <v>0</v>
      </c>
      <c r="AL43" s="15">
        <f>SUM(COUNTIFS('Data entry'!$R$6:$R$200,'Summary Data'!$A43,'Data entry'!$B$6:$B$200,{"Confirmed";"Probable"},'Data entry'!$AQ$6:$AQ$200,'Data Validation'!$V$3, 'Data entry'!$AP$6:$AP$200,'Data Validation'!$U$3, 'Data entry'!$BD$6:$BD$200,"&lt;&gt;*Negative*"))</f>
        <v>0</v>
      </c>
      <c r="AM43" s="15">
        <f>SUM(COUNTIFS('Data entry'!$R$6:$R$200,'Summary Data'!$A43,'Data entry'!$B$6:$B$200,{"Confirmed";"Probable"},'Data entry'!$AQ$6:$AQ$200,'Data Validation'!$V$3, 'Data entry'!$AP$6:$AP$200,'Data Validation'!$U$4, 'Data entry'!$BD$6:$BD$200,"&lt;&gt;*Negative*"))</f>
        <v>0</v>
      </c>
      <c r="AN43" s="15">
        <f>SUM(COUNTIFS('Data entry'!$R$6:$R$200,'Summary Data'!$A43,'Data entry'!$B$6:$B$200,{"Confirmed";"Probable"},'Data entry'!$AQ$6:$AQ$200,'Data Validation'!$V$3, 'Data entry'!$AP$6:$AP$200,'Data Validation'!$U$5, 'Data entry'!$BD$6:$BD$200,"&lt;&gt;*Negative*"))</f>
        <v>0</v>
      </c>
      <c r="AO43" s="15">
        <f>SUM(COUNTIFS('Data entry'!$R$6:$R$200,'Summary Data'!$A43,'Data entry'!$B$6:$B$200,{"Confirmed";"Probable"},'Data entry'!$AQ$6:$AQ$200,'Data Validation'!$V$3, 'Data entry'!$AP$6:$AP$200,'Data Validation'!$U$6, 'Data entry'!$BD$6:$BD$200,"&lt;&gt;*Negative*"))</f>
        <v>0</v>
      </c>
      <c r="AP43" s="15">
        <f>SUM(COUNTIFS('Data entry'!$R$6:$R$200,'Summary Data'!$A43,'Data entry'!$B$6:$B$200,{"Confirmed";"Probable"},'Data entry'!$AQ$6:$AQ$200,'Data Validation'!$V$4, 'Data entry'!$AP$6:$AP$200,'Data Validation'!$U$2, 'Data entry'!$BD$6:$BD$200,"&lt;&gt;*Negative*"))</f>
        <v>0</v>
      </c>
      <c r="AQ43" s="15">
        <f>SUM(COUNTIFS('Data entry'!$R$6:$R$200,'Summary Data'!$A43,'Data entry'!$B$6:$B$200,{"Confirmed";"Probable"},'Data entry'!$AQ$6:$AQ$200,'Data Validation'!$V$4, 'Data entry'!$AP$6:$AP$200,'Data Validation'!$U$3, 'Data entry'!$BD$6:$BD$200,"&lt;&gt;*Negative*"))</f>
        <v>0</v>
      </c>
      <c r="AR43" s="15">
        <f>SUM(COUNTIFS('Data entry'!$R$6:$R$200,'Summary Data'!$A43,'Data entry'!$B$6:$B$200,{"Confirmed";"Probable"},'Data entry'!$AQ$6:$AQ$200,'Data Validation'!$V$4, 'Data entry'!$AP$6:$AP$200,'Data Validation'!$U$4, 'Data entry'!$BD$6:$BD$200,"&lt;&gt;*Negative*"))</f>
        <v>0</v>
      </c>
      <c r="AS43" s="15">
        <f>SUM(COUNTIFS('Data entry'!$R$6:$R$200,'Summary Data'!$A43,'Data entry'!$B$6:$B$200,{"Confirmed";"Probable"},'Data entry'!$AQ$6:$AQ$200,'Data Validation'!$V$4, 'Data entry'!$AP$6:$AP$200,'Data Validation'!$U$5, 'Data entry'!$BD$6:$BD$200,"&lt;&gt;*Negative*"))</f>
        <v>0</v>
      </c>
      <c r="AT43" s="15">
        <f>SUM(COUNTIFS('Data entry'!$R$6:$R$200,'Summary Data'!$A43,'Data entry'!$B$6:$B$200,{"Confirmed";"Probable"},'Data entry'!$AQ$6:$AQ$200,'Data Validation'!$V$4, 'Data entry'!$AP$6:$AP$200,'Data Validation'!$U$6, 'Data entry'!$BD$6:$BD$200,"&lt;&gt;*Negative*"))</f>
        <v>0</v>
      </c>
      <c r="AU43" s="15">
        <f>SUM(COUNTIFS('Data entry'!$R$6:$R$200,'Summary Data'!$A43,'Data entry'!$B$6:$B$200,{"Confirmed";"Probable"},'Data entry'!$AQ$6:$AQ$200,'Data Validation'!$V$5, 'Data entry'!$AP$6:$AP$200,'Data Validation'!$U$2, 'Data entry'!$BD$6:$BD$200,"&lt;&gt;*Negative*"))</f>
        <v>0</v>
      </c>
      <c r="AV43" s="15">
        <f>SUM(COUNTIFS('Data entry'!$R$6:$R$200,'Summary Data'!$A43,'Data entry'!$B$6:$B$200,{"Confirmed";"Probable"},'Data entry'!$AQ$6:$AQ$200,'Data Validation'!$V$5, 'Data entry'!$AP$6:$AP$200,'Data Validation'!$U$3, 'Data entry'!$BD$6:$BD$200,"&lt;&gt;*Negative*"))</f>
        <v>0</v>
      </c>
      <c r="AW43" s="15">
        <f>SUM(COUNTIFS('Data entry'!$R$6:$R$200,'Summary Data'!$A43,'Data entry'!$B$6:$B$200,{"Confirmed";"Probable"},'Data entry'!$AQ$6:$AQ$200,'Data Validation'!$V$5, 'Data entry'!$AP$6:$AP$200,'Data Validation'!$U$4, 'Data entry'!$BD$6:$BD$200,"&lt;&gt;*Negative*"))</f>
        <v>0</v>
      </c>
      <c r="AX43" s="15">
        <f>SUM(COUNTIFS('Data entry'!$R$6:$R$200,'Summary Data'!$A43,'Data entry'!$B$6:$B$200,{"Confirmed";"Probable"},'Data entry'!$AQ$6:$AQ$200,'Data Validation'!$V$5, 'Data entry'!$AP$6:$AP$200,'Data Validation'!$U$5, 'Data entry'!$BD$6:$BD$200,"&lt;&gt;*Negative*"))</f>
        <v>0</v>
      </c>
      <c r="AY43" s="15">
        <f>SUM(COUNTIFS('Data entry'!$R$6:$R$200,'Summary Data'!$A43,'Data entry'!$B$6:$B$200,{"Confirmed";"Probable"},'Data entry'!$AQ$6:$AQ$200,'Data Validation'!$V$5, 'Data entry'!$AP$6:$AP$200,'Data Validation'!$U$6, 'Data entry'!$BD$6:$BD$200,"&lt;&gt;*Negative*"))</f>
        <v>0</v>
      </c>
      <c r="AZ43" s="15">
        <f>SUM(COUNTIFS('Data entry'!$R$6:$R$200,'Summary Data'!$A43,'Data entry'!$B$6:$B$200,{"Confirmed";"Probable"},'Data entry'!$AQ$6:$AQ$200,'Data Validation'!$V$6, 'Data entry'!$AP$6:$AP$200,'Data Validation'!$U$2, 'Data entry'!$BD$6:$BD$200,"&lt;&gt;*Negative*"))</f>
        <v>0</v>
      </c>
      <c r="BA43" s="15">
        <f>SUM(COUNTIFS('Data entry'!$R$6:$R$200,'Summary Data'!$A43,'Data entry'!$B$6:$B$200,{"Confirmed";"Probable"},'Data entry'!$AQ$6:$AQ$200,'Data Validation'!$V$6, 'Data entry'!$AP$6:$AP$200,'Data Validation'!$U$3, 'Data entry'!$BD$6:$BD$200,"&lt;&gt;*Negative*"))</f>
        <v>0</v>
      </c>
      <c r="BB43" s="15">
        <f>SUM(COUNTIFS('Data entry'!$R$6:$R$200,'Summary Data'!$A43,'Data entry'!$B$6:$B$200,{"Confirmed";"Probable"},'Data entry'!$AQ$6:$AQ$200,'Data Validation'!$V$6, 'Data entry'!$AP$6:$AP$200,'Data Validation'!$U$4, 'Data entry'!$BD$6:$BD$200,"&lt;&gt;*Negative*"))</f>
        <v>0</v>
      </c>
      <c r="BC43" s="15">
        <f>SUM(COUNTIFS('Data entry'!$R$6:$R$200,'Summary Data'!$A43,'Data entry'!$B$6:$B$200,{"Confirmed";"Probable"},'Data entry'!$AQ$6:$AQ$200,'Data Validation'!$V$6, 'Data entry'!$AP$6:$AP$200,'Data Validation'!$U$5, 'Data entry'!$BD$6:$BD$200,"&lt;&gt;*Negative*"))</f>
        <v>0</v>
      </c>
      <c r="BD43" s="15">
        <f>SUM(COUNTIFS('Data entry'!$R$6:$R$200,'Summary Data'!$A43,'Data entry'!$B$6:$B$200,{"Confirmed";"Probable"},'Data entry'!$AQ$6:$AQ$200,'Data Validation'!$V$6, 'Data entry'!$AP$6:$AP$200,'Data Validation'!$U$6, 'Data entry'!$BD$6:$BD$200,"&lt;&gt;*Negative*"))</f>
        <v>0</v>
      </c>
      <c r="BE43" s="15">
        <f>SUM(COUNTIFS('Data entry'!$R$6:$R$200,'Summary Data'!$A43,'Data entry'!$B$6:$B$200,{"Confirmed";"Probable"},'Data entry'!$AQ$6:$AQ$200,'Data Validation'!$V$7, 'Data entry'!$AP$6:$AP$200,'Data Validation'!$U$2, 'Data entry'!$BD$6:$BD$200,"&lt;&gt;*Negative*"))</f>
        <v>0</v>
      </c>
      <c r="BF43" s="15">
        <f>SUM(COUNTIFS('Data entry'!$R$6:$R$200,'Summary Data'!$A43,'Data entry'!$B$6:$B$200,{"Confirmed";"Probable"},'Data entry'!$AQ$6:$AQ$200,'Data Validation'!$V$7, 'Data entry'!$AP$6:$AP$200,'Data Validation'!$U$3, 'Data entry'!$BD$6:$BD$200,"&lt;&gt;*Negative*"))</f>
        <v>0</v>
      </c>
      <c r="BG43" s="15">
        <f>SUM(COUNTIFS('Data entry'!$R$6:$R$200,'Summary Data'!$A43,'Data entry'!$B$6:$B$200,{"Confirmed";"Probable"},'Data entry'!$AQ$6:$AQ$200,'Data Validation'!$V$7, 'Data entry'!$AP$6:$AP$200,'Data Validation'!$U$4, 'Data entry'!$BD$6:$BD$200,"&lt;&gt;*Negative*"))</f>
        <v>0</v>
      </c>
      <c r="BH43" s="15">
        <f>SUM(COUNTIFS('Data entry'!$R$6:$R$200,'Summary Data'!$A43,'Data entry'!$B$6:$B$200,{"Confirmed";"Probable"},'Data entry'!$AQ$6:$AQ$200,'Data Validation'!$V$7, 'Data entry'!$AP$6:$AP$200,'Data Validation'!$U$5, 'Data entry'!$BD$6:$BD$200,"&lt;&gt;*Negative*"))</f>
        <v>0</v>
      </c>
      <c r="BI43" s="15">
        <f>SUM(COUNTIFS('Data entry'!$R$6:$R$200,'Summary Data'!$A43,'Data entry'!$B$6:$B$200,{"Confirmed";"Probable"},'Data entry'!$AQ$6:$AQ$200,'Data Validation'!$V$7, 'Data entry'!$AP$6:$AP$200,'Data Validation'!$U$6, 'Data entry'!$BD$6:$BD$200,"&lt;&gt;*Negative*"))</f>
        <v>0</v>
      </c>
      <c r="BJ43" s="15">
        <f>SUM(COUNTIFS('Data entry'!$R$6:$R$200,'Summary Data'!$A43,'Data entry'!$B$6:$B$200,{"Confirmed";"Probable"},'Data entry'!$AQ$6:$AQ$200,'Data Validation'!$V$8, 'Data entry'!$AP$6:$AP$200,'Data Validation'!$U$2, 'Data entry'!$BD$6:$BD$200,"&lt;&gt;*Negative*"))</f>
        <v>0</v>
      </c>
      <c r="BK43" s="15">
        <f>SUM(COUNTIFS('Data entry'!$R$6:$R$200,'Summary Data'!$A43,'Data entry'!$B$6:$B$200,{"Confirmed";"Probable"},'Data entry'!$AQ$6:$AQ$200,'Data Validation'!$V$8, 'Data entry'!$AP$6:$AP$200,'Data Validation'!$U$3, 'Data entry'!$BD$6:$BD$200,"&lt;&gt;*Negative*"))</f>
        <v>0</v>
      </c>
      <c r="BL43" s="15">
        <f>SUM(COUNTIFS('Data entry'!$R$6:$R$200,'Summary Data'!$A43,'Data entry'!$B$6:$B$200,{"Confirmed";"Probable"},'Data entry'!$AQ$6:$AQ$200,'Data Validation'!$V$8, 'Data entry'!$AP$6:$AP$200,'Data Validation'!$U$4, 'Data entry'!$BD$6:$BD$200,"&lt;&gt;*Negative*"))</f>
        <v>0</v>
      </c>
      <c r="BM43" s="15">
        <f>SUM(COUNTIFS('Data entry'!$R$6:$R$200,'Summary Data'!$A43,'Data entry'!$B$6:$B$200,{"Confirmed";"Probable"},'Data entry'!$AQ$6:$AQ$200,'Data Validation'!$V$8, 'Data entry'!$AP$6:$AP$200,'Data Validation'!$U$5, 'Data entry'!$BD$6:$BD$200,"&lt;&gt;*Negative*"))</f>
        <v>0</v>
      </c>
      <c r="BN43" s="15">
        <f>SUM(COUNTIFS('Data entry'!$R$6:$R$200,'Summary Data'!$A43,'Data entry'!$B$6:$B$200,{"Confirmed";"Probable"},'Data entry'!$AQ$6:$AQ$200,'Data Validation'!$V$8, 'Data entry'!$AP$6:$AP$200,'Data Validation'!$U$6, 'Data entry'!$BD$6:$BD$200,"&lt;&gt;*Negative*"))</f>
        <v>0</v>
      </c>
      <c r="BO43" s="15">
        <f>SUM(COUNTIFS('Data entry'!$R$6:$R$200,'Summary Data'!$A43,'Data entry'!$B$6:$B$200,{"Confirmed";"Probable"},'Data entry'!$AQ$6:$AQ$200,'Data Validation'!$V$9, 'Data entry'!$AP$6:$AP$200,'Data Validation'!$U$2, 'Data entry'!$BD$6:$BD$200,"&lt;&gt;*Negative*"))</f>
        <v>0</v>
      </c>
      <c r="BP43" s="15">
        <f>SUM(COUNTIFS('Data entry'!$R$6:$R$200,'Summary Data'!$A43,'Data entry'!$B$6:$B$200,{"Confirmed";"Probable"},'Data entry'!$AQ$6:$AQ$200,'Data Validation'!$V$9, 'Data entry'!$AP$6:$AP$200,'Data Validation'!$U$3, 'Data entry'!$BD$6:$BD$200,"&lt;&gt;*Negative*"))</f>
        <v>0</v>
      </c>
      <c r="BQ43" s="15">
        <f>SUM(COUNTIFS('Data entry'!$R$6:$R$200,'Summary Data'!$A43,'Data entry'!$B$6:$B$200,{"Confirmed";"Probable"},'Data entry'!$AQ$6:$AQ$200,'Data Validation'!$V$9, 'Data entry'!$AP$6:$AP$200,'Data Validation'!$U$4, 'Data entry'!$BD$6:$BD$200,"&lt;&gt;*Negative*"))</f>
        <v>0</v>
      </c>
      <c r="BR43" s="15">
        <f>SUM(COUNTIFS('Data entry'!$R$6:$R$200,'Summary Data'!$A43,'Data entry'!$B$6:$B$200,{"Confirmed";"Probable"},'Data entry'!$AQ$6:$AQ$200,'Data Validation'!$V$9, 'Data entry'!$AP$6:$AP$200,'Data Validation'!$U$5, 'Data entry'!$BD$6:$BD$200,"&lt;&gt;*Negative*"))</f>
        <v>0</v>
      </c>
      <c r="BS43" s="15">
        <f>SUM(COUNTIFS('Data entry'!$R$6:$R$200,'Summary Data'!$A43,'Data entry'!$B$6:$B$200,{"Confirmed";"Probable"},'Data entry'!$AQ$6:$AQ$200,'Data Validation'!$V$9, 'Data entry'!$AP$6:$AP$200,'Data Validation'!$U$6, 'Data entry'!$BD$6:$BD$200,"&lt;&gt;*Negative*"))</f>
        <v>0</v>
      </c>
      <c r="BT43" s="15">
        <f>SUM(COUNTIFS('Data entry'!$R$6:$R$200,'Summary Data'!$A43,'Data entry'!$B$6:$B$200,{"Confirmed";"Probable"},'Data entry'!$AQ$6:$AQ$200,'Data Validation'!$V$10, 'Data entry'!$AP$6:$AP$200,'Data Validation'!$U$2, 'Data entry'!$BD$6:$BD$200,"&lt;&gt;*Negative*"))</f>
        <v>0</v>
      </c>
      <c r="BU43" s="15">
        <f>SUM(COUNTIFS('Data entry'!$R$6:$R$200,'Summary Data'!$A43,'Data entry'!$B$6:$B$200,{"Confirmed";"Probable"},'Data entry'!$AQ$6:$AQ$200,'Data Validation'!$V$10, 'Data entry'!$AP$6:$AP$200,'Data Validation'!$U$3, 'Data entry'!$BD$6:$BD$200,"&lt;&gt;*Negative*"))</f>
        <v>0</v>
      </c>
      <c r="BV43" s="15">
        <f>SUM(COUNTIFS('Data entry'!$R$6:$R$200,'Summary Data'!$A43,'Data entry'!$B$6:$B$200,{"Confirmed";"Probable"},'Data entry'!$AQ$6:$AQ$200,'Data Validation'!$V$10, 'Data entry'!$AP$6:$AP$200,'Data Validation'!$U$4, 'Data entry'!$BD$6:$BD$200,"&lt;&gt;*Negative*"))</f>
        <v>0</v>
      </c>
      <c r="BW43" s="15">
        <f>SUM(COUNTIFS('Data entry'!$R$6:$R$200,'Summary Data'!$A43,'Data entry'!$B$6:$B$200,{"Confirmed";"Probable"},'Data entry'!$AQ$6:$AQ$200,'Data Validation'!$V$10, 'Data entry'!$AP$6:$AP$200,'Data Validation'!$U$5, 'Data entry'!$BD$6:$BD$200,"&lt;&gt;*Negative*"))</f>
        <v>0</v>
      </c>
      <c r="BX43" s="15">
        <f>SUM(COUNTIFS('Data entry'!$R$6:$R$200,'Summary Data'!$A43,'Data entry'!$B$6:$B$200,{"Confirmed";"Probable"},'Data entry'!$AQ$6:$AQ$200,'Data Validation'!$V$10, 'Data entry'!$AP$6:$AP$200,'Data Validation'!$U$6, 'Data entry'!$BD$6:$BD$200,"&lt;&gt;*Negative*"))</f>
        <v>0</v>
      </c>
      <c r="BY43" s="15">
        <f>SUM(COUNTIFS('Data entry'!$R$6:$R$200,'Summary Data'!$A43,'Data entry'!$B$6:$B$200,{"Confirmed";"Probable"},'Data entry'!$AQ$6:$AQ$200,'Data Validation'!$V$11, 'Data entry'!$AP$6:$AP$200,'Data Validation'!$U$2, 'Data entry'!$BD$6:$BD$200,"&lt;&gt;*Negative*"))</f>
        <v>0</v>
      </c>
      <c r="BZ43" s="15">
        <f>SUM(COUNTIFS('Data entry'!$R$6:$R$200,'Summary Data'!$A43,'Data entry'!$B$6:$B$200,{"Confirmed";"Probable"},'Data entry'!$AQ$6:$AQ$200,'Data Validation'!$V$11, 'Data entry'!$AP$6:$AP$200,'Data Validation'!$U$3, 'Data entry'!$BD$6:$BD$200,"&lt;&gt;*Negative*"))</f>
        <v>0</v>
      </c>
      <c r="CA43" s="15">
        <f>SUM(COUNTIFS('Data entry'!$R$6:$R$200,'Summary Data'!$A43,'Data entry'!$B$6:$B$200,{"Confirmed";"Probable"},'Data entry'!$AQ$6:$AQ$200,'Data Validation'!$V$11, 'Data entry'!$AP$6:$AP$200,'Data Validation'!$U$4, 'Data entry'!$BD$6:$BD$200,"&lt;&gt;*Negative*"))</f>
        <v>0</v>
      </c>
      <c r="CB43" s="15">
        <f>SUM(COUNTIFS('Data entry'!$R$6:$R$200,'Summary Data'!$A43,'Data entry'!$B$6:$B$200,{"Confirmed";"Probable"},'Data entry'!$AQ$6:$AQ$200,'Data Validation'!$V$11, 'Data entry'!$AP$6:$AP$200,'Data Validation'!$U$5, 'Data entry'!$BD$6:$BD$200,"&lt;&gt;*Negative*"))</f>
        <v>0</v>
      </c>
      <c r="CC43" s="15">
        <f>SUM(COUNTIFS('Data entry'!$R$6:$R$200,'Summary Data'!$A43,'Data entry'!$B$6:$B$200,{"Confirmed";"Probable"},'Data entry'!$AQ$6:$AQ$200,'Data Validation'!$V$11, 'Data entry'!$AP$6:$AP$200,'Data Validation'!$U$6, 'Data entry'!$BD$6:$BD$200,"&lt;&gt;*Negative*"))</f>
        <v>0</v>
      </c>
    </row>
    <row r="44" spans="1:81" x14ac:dyDescent="0.25">
      <c r="A44" s="12">
        <f t="shared" si="5"/>
        <v>32</v>
      </c>
      <c r="B44" s="13">
        <f t="shared" si="2"/>
        <v>0</v>
      </c>
      <c r="C44" s="13">
        <f>COUNTIFS('Data entry'!$R$6:$R$200,$A44,'Data entry'!$B$6:$B$200,"Confirmed",'Data entry'!$BD$6:$BD$200,"&lt;&gt;*Negative*")</f>
        <v>0</v>
      </c>
      <c r="D44" s="13">
        <f>COUNTIFS('Data entry'!$R$6:$R$200,$A44,'Data entry'!$B$6:$B$200,"Probable",'Data entry'!$BD$6:$BD$200,"&lt;&gt;*Negative*")</f>
        <v>0</v>
      </c>
      <c r="E44" s="13">
        <f>COUNTIFS('Data entry'!$R$6:$R$200,$A44,'Data entry'!$B$6:$B$200,"DNM")</f>
        <v>0</v>
      </c>
      <c r="F44" s="13">
        <f>SUM(COUNTIFS('Data entry'!$R$6:$R$200,'Summary Data'!$A44,'Data entry'!$B$6:$B$200,{"Confirmed";"Probable"},'Data entry'!$AO$6:$AO$200,$F$10, 'Data entry'!$BD$6:$BD$200,"&lt;&gt;*Negative*"))</f>
        <v>0</v>
      </c>
      <c r="G44" s="13">
        <f>SUM(COUNTIFS('Data entry'!$R$6:$R$200,'Summary Data'!$A44,'Data entry'!$B$6:$B$200,{"Confirmed";"Probable"},'Data entry'!$AO$6:$AO$200,$G$10, 'Data entry'!$BD$6:$BD$200,"&lt;&gt;*Negative*"))</f>
        <v>0</v>
      </c>
      <c r="H44" s="13">
        <f>SUM(COUNTIFS('Data entry'!$R$6:$R$200,'Summary Data'!$A44,'Data entry'!$B$6:$B$200,{"Confirmed";"Probable"},'Data entry'!$AO$6:$AO$200,$H$10, 'Data entry'!$BD$6:$BD$200,"&lt;&gt;*Negative*"))</f>
        <v>0</v>
      </c>
      <c r="I44" s="13">
        <f>SUM(COUNTIFS('Data entry'!$R$6:$R$200,'Summary Data'!$A44,'Data entry'!$B$6:$B$200,{"Confirmed";"Probable"},'Data entry'!$AO$6:$AO$200,$I$10, 'Data entry'!$BD$6:$BD$200,"&lt;&gt;*Negative*"))</f>
        <v>0</v>
      </c>
      <c r="J44" s="13">
        <f>SUM(COUNTIFS('Data entry'!$R$6:$R$200,'Summary Data'!$A44,'Data entry'!$B$6:$B$200,{"Confirmed";"Probable"},'Data entry'!$AO$6:$AO$200,$J$10, 'Data entry'!$BD$6:$BD$200,"&lt;&gt;*Negative*"))</f>
        <v>0</v>
      </c>
      <c r="K44" s="13">
        <f>SUM(COUNTIFS('Data entry'!$R$6:$R$200,'Summary Data'!$A44,'Data entry'!$B$6:$B$200,{"Confirmed";"Probable"},'Data entry'!$AO$6:$AO$200,$K$10, 'Data entry'!$BD$6:$BD$200,"&lt;&gt;*Negative*"))</f>
        <v>0</v>
      </c>
      <c r="L44" s="13">
        <f>SUM(COUNTIFS('Data entry'!$R$6:$R$200,'Summary Data'!$A44,'Data entry'!$B$6:$B$200,{"Confirmed";"Probable"},'Data entry'!$AO$6:$AO$200,$L$10, 'Data entry'!$BD$6:$BD$200,"&lt;&gt;*Negative*"))</f>
        <v>0</v>
      </c>
      <c r="M44" s="13">
        <f>SUM(COUNTIFS('Data entry'!$R$6:$R$200,'Summary Data'!$A44,'Data entry'!$B$6:$B$200,{"Confirmed";"Probable"},'Data entry'!$AO$6:$AO$200,$M$10, 'Data entry'!$BD$6:$BD$200,"&lt;&gt;*Negative*"))</f>
        <v>0</v>
      </c>
      <c r="N44" s="13">
        <f>SUM(COUNTIFS('Data entry'!$R$6:$R$200,'Summary Data'!$A44,'Data entry'!$B$6:$B$200,{"Confirmed";"Probable"},'Data entry'!$AO$6:$AO$200,$N$10, 'Data entry'!$BD$6:$BD$200,"&lt;&gt;*Negative*"))</f>
        <v>0</v>
      </c>
      <c r="O44" s="15">
        <f t="shared" si="3"/>
        <v>0</v>
      </c>
      <c r="P44" s="15">
        <f t="shared" si="4"/>
        <v>0</v>
      </c>
      <c r="Q44" s="15">
        <f>SUM(COUNTIFS('Data entry'!$R$6:$R$200,'Summary Data'!$A44,'Data entry'!$B$6:$B$200,{"Confirmed";"Probable"},'Data entry'!$AP$6:$AP$200,'Data Validation'!$U$2, 'Data entry'!$BD$6:$BD$200,"&lt;&gt;*Negative*"))</f>
        <v>0</v>
      </c>
      <c r="R44" s="15">
        <f>SUM(COUNTIFS('Data entry'!$R$6:$R$200,'Summary Data'!$A44,'Data entry'!$B$6:$B$200,{"Confirmed";"Probable"},'Data entry'!$AP$6:$AP$200,'Data Validation'!$U$3, 'Data entry'!$BD$6:$BD$200,"&lt;&gt;*Negative*"))</f>
        <v>0</v>
      </c>
      <c r="S44" s="15">
        <f>SUM(COUNTIFS('Data entry'!$R$6:$R$200,'Summary Data'!$A44,'Data entry'!$B$6:$B$200,{"Confirmed";"Probable"},'Data entry'!$AP$6:$AP$200,'Data Validation'!$U$4, 'Data entry'!$BD$6:$BD$200,"&lt;&gt;*Negative*"))</f>
        <v>0</v>
      </c>
      <c r="T44" s="15">
        <f>SUM(COUNTIFS('Data entry'!$R$6:$R$200,'Summary Data'!$A44,'Data entry'!$B$6:$B$200,{"Confirmed";"Probable"},'Data entry'!$AP$6:$AP$200,'Data Validation'!$U$5, 'Data entry'!$BD$6:$BD$200,"&lt;&gt;*Negative*"))</f>
        <v>0</v>
      </c>
      <c r="U44" s="15">
        <f>SUM(COUNTIFS('Data entry'!$R$6:$R$200,'Summary Data'!$A44,'Data entry'!$B$6:$B$200,{"Confirmed";"Probable"},'Data entry'!$AP$6:$AP$200,'Data Validation'!$U$6, 'Data entry'!$BD$6:$BD$200,"&lt;&gt;*Negative*"))</f>
        <v>0</v>
      </c>
      <c r="V44" s="15">
        <f>SUM(COUNTIFS('Data entry'!$R$6:$R$200,'Summary Data'!$A44,'Data entry'!$B$6:$B$200,{"Confirmed";"Probable"},'Data entry'!$AQ$6:$AQ$200,'Data Validation'!$V$2, 'Data entry'!$BD$6:$BD$200,"&lt;&gt;*Negative*"))</f>
        <v>0</v>
      </c>
      <c r="W44" s="15">
        <f>SUM(COUNTIFS('Data entry'!$R$6:$R$200,'Summary Data'!$A44,'Data entry'!$B$6:$B$200,{"Confirmed";"Probable"},'Data entry'!$AQ$6:$AQ$200,'Data Validation'!$V$3, 'Data entry'!$BD$6:$BD$200,"&lt;&gt;*Negative*"))</f>
        <v>0</v>
      </c>
      <c r="X44" s="15">
        <f>SUM(COUNTIFS('Data entry'!$R$6:$R$200,'Summary Data'!$A44,'Data entry'!$B$6:$B$200,{"Confirmed";"Probable"},'Data entry'!$AQ$6:$AQ$200,'Data Validation'!$V$4, 'Data entry'!$BD$6:$BD$200,"&lt;&gt;*Negative*"))</f>
        <v>0</v>
      </c>
      <c r="Y44" s="15">
        <f>SUM(COUNTIFS('Data entry'!$R$6:$R$200,'Summary Data'!$A44,'Data entry'!$B$6:$B$200,{"Confirmed";"Probable"},'Data entry'!$AQ$6:$AQ$200,'Data Validation'!$V$5, 'Data entry'!$BD$6:$BD$200,"&lt;&gt;*Negative*"))</f>
        <v>0</v>
      </c>
      <c r="Z44" s="15">
        <f>SUM(COUNTIFS('Data entry'!$R$6:$R$200,'Summary Data'!$A44,'Data entry'!$B$6:$B$200,{"Confirmed";"Probable"},'Data entry'!$AQ$6:$AQ$200,'Data Validation'!$V$6, 'Data entry'!$BD$6:$BD$200,"&lt;&gt;*Negative*"))</f>
        <v>0</v>
      </c>
      <c r="AA44" s="15">
        <f>SUM(COUNTIFS('Data entry'!$R$6:$R$200,'Summary Data'!$A44,'Data entry'!$B$6:$B$200,{"Confirmed";"Probable"},'Data entry'!$AQ$6:$AQ$200,'Data Validation'!$V$7, 'Data entry'!$BD$6:$BD$200,"&lt;&gt;*Negative*"))</f>
        <v>0</v>
      </c>
      <c r="AB44" s="15">
        <f>SUM(COUNTIFS('Data entry'!$R$6:$R$200,'Summary Data'!$A44,'Data entry'!$B$6:$B$200,{"Confirmed";"Probable"},'Data entry'!$AQ$6:$AQ$200,'Data Validation'!$V$8, 'Data entry'!$BD$6:$BD$200,"&lt;&gt;*Negative*"))</f>
        <v>0</v>
      </c>
      <c r="AC44" s="15">
        <f>SUM(COUNTIFS('Data entry'!$R$6:$R$200,'Summary Data'!$A44,'Data entry'!$B$6:$B$200,{"Confirmed";"Probable"},'Data entry'!$AQ$6:$AQ$200,'Data Validation'!$V$9, 'Data entry'!$BD$6:$BD$200,"&lt;&gt;*Negative*"))</f>
        <v>0</v>
      </c>
      <c r="AD44" s="15">
        <f>SUM(COUNTIFS('Data entry'!$R$6:$R$200,'Summary Data'!$A44,'Data entry'!$B$6:$B$200,{"Confirmed";"Probable"},'Data entry'!$AQ$6:$AQ$200,'Data Validation'!$V$10, 'Data entry'!$BD$6:$BD$200,"&lt;&gt;*Negative*"))</f>
        <v>0</v>
      </c>
      <c r="AE44" s="15">
        <f>SUM(COUNTIFS('Data entry'!$R$6:$R$200,'Summary Data'!$A44,'Data entry'!$B$6:$B$200,{"Confirmed";"Probable"},'Data entry'!$AQ$6:$AQ$200,'Data Validation'!$V$11, 'Data entry'!$BD$6:$BD$200,"&lt;&gt;*Negative*"))</f>
        <v>0</v>
      </c>
      <c r="AF44" s="15">
        <f>SUM(COUNTIFS('Data entry'!$R$6:$R$200,'Summary Data'!$A44,'Data entry'!$B$6:$B$200,{"Confirmed";"Probable"},'Data entry'!$AQ$6:$AQ$200,'Data Validation'!$V$2, 'Data entry'!$AP$6:$AP$200,'Data Validation'!$U$2, 'Data entry'!$BD$6:$BD$200,"&lt;&gt;*Negative*"))</f>
        <v>0</v>
      </c>
      <c r="AG44" s="15">
        <f>SUM(COUNTIFS('Data entry'!$R$6:$R$200,'Summary Data'!$A44,'Data entry'!$B$6:$B$200,{"Confirmed";"Probable"},'Data entry'!$AQ$6:$AQ$200,'Data Validation'!$V$2, 'Data entry'!$AP$6:$AP$200,'Data Validation'!$U$3, 'Data entry'!$BD$6:$BD$200,"&lt;&gt;*Negative*"))</f>
        <v>0</v>
      </c>
      <c r="AH44" s="15">
        <f>SUM(COUNTIFS('Data entry'!$R$6:$R$200,'Summary Data'!$A44,'Data entry'!$B$6:$B$200,{"Confirmed";"Probable"},'Data entry'!$AQ$6:$AQ$200,'Data Validation'!$V$2, 'Data entry'!$AP$6:$AP$200,'Data Validation'!$U$4, 'Data entry'!$BD$6:$BD$200,"&lt;&gt;*Negative*"))</f>
        <v>0</v>
      </c>
      <c r="AI44" s="15">
        <f>SUM(COUNTIFS('Data entry'!$R$6:$R$200,'Summary Data'!$A44,'Data entry'!$B$6:$B$200,{"Confirmed";"Probable"},'Data entry'!$AQ$6:$AQ$200,'Data Validation'!$V$2, 'Data entry'!$AP$6:$AP$200,'Data Validation'!$U$5, 'Data entry'!$BD$6:$BD$200,"&lt;&gt;*Negative*"))</f>
        <v>0</v>
      </c>
      <c r="AJ44" s="15">
        <f>SUM(COUNTIFS('Data entry'!$R$6:$R$200,'Summary Data'!$A44,'Data entry'!$B$6:$B$200,{"Confirmed";"Probable"},'Data entry'!$AQ$6:$AQ$200,'Data Validation'!$V$2, 'Data entry'!$AP$6:$AP$200,'Data Validation'!$U$6, 'Data entry'!$BD$6:$BD$200,"&lt;&gt;*Negative*"))</f>
        <v>0</v>
      </c>
      <c r="AK44" s="15">
        <f>SUM(COUNTIFS('Data entry'!$R$6:$R$200,'Summary Data'!$A44,'Data entry'!$B$6:$B$200,{"Confirmed";"Probable"},'Data entry'!$AQ$6:$AQ$200,'Data Validation'!$V$3, 'Data entry'!$AP$6:$AP$200,'Data Validation'!$U$2, 'Data entry'!$BD$6:$BD$200,"&lt;&gt;*Negative*"))</f>
        <v>0</v>
      </c>
      <c r="AL44" s="15">
        <f>SUM(COUNTIFS('Data entry'!$R$6:$R$200,'Summary Data'!$A44,'Data entry'!$B$6:$B$200,{"Confirmed";"Probable"},'Data entry'!$AQ$6:$AQ$200,'Data Validation'!$V$3, 'Data entry'!$AP$6:$AP$200,'Data Validation'!$U$3, 'Data entry'!$BD$6:$BD$200,"&lt;&gt;*Negative*"))</f>
        <v>0</v>
      </c>
      <c r="AM44" s="15">
        <f>SUM(COUNTIFS('Data entry'!$R$6:$R$200,'Summary Data'!$A44,'Data entry'!$B$6:$B$200,{"Confirmed";"Probable"},'Data entry'!$AQ$6:$AQ$200,'Data Validation'!$V$3, 'Data entry'!$AP$6:$AP$200,'Data Validation'!$U$4, 'Data entry'!$BD$6:$BD$200,"&lt;&gt;*Negative*"))</f>
        <v>0</v>
      </c>
      <c r="AN44" s="15">
        <f>SUM(COUNTIFS('Data entry'!$R$6:$R$200,'Summary Data'!$A44,'Data entry'!$B$6:$B$200,{"Confirmed";"Probable"},'Data entry'!$AQ$6:$AQ$200,'Data Validation'!$V$3, 'Data entry'!$AP$6:$AP$200,'Data Validation'!$U$5, 'Data entry'!$BD$6:$BD$200,"&lt;&gt;*Negative*"))</f>
        <v>0</v>
      </c>
      <c r="AO44" s="15">
        <f>SUM(COUNTIFS('Data entry'!$R$6:$R$200,'Summary Data'!$A44,'Data entry'!$B$6:$B$200,{"Confirmed";"Probable"},'Data entry'!$AQ$6:$AQ$200,'Data Validation'!$V$3, 'Data entry'!$AP$6:$AP$200,'Data Validation'!$U$6, 'Data entry'!$BD$6:$BD$200,"&lt;&gt;*Negative*"))</f>
        <v>0</v>
      </c>
      <c r="AP44" s="15">
        <f>SUM(COUNTIFS('Data entry'!$R$6:$R$200,'Summary Data'!$A44,'Data entry'!$B$6:$B$200,{"Confirmed";"Probable"},'Data entry'!$AQ$6:$AQ$200,'Data Validation'!$V$4, 'Data entry'!$AP$6:$AP$200,'Data Validation'!$U$2, 'Data entry'!$BD$6:$BD$200,"&lt;&gt;*Negative*"))</f>
        <v>0</v>
      </c>
      <c r="AQ44" s="15">
        <f>SUM(COUNTIFS('Data entry'!$R$6:$R$200,'Summary Data'!$A44,'Data entry'!$B$6:$B$200,{"Confirmed";"Probable"},'Data entry'!$AQ$6:$AQ$200,'Data Validation'!$V$4, 'Data entry'!$AP$6:$AP$200,'Data Validation'!$U$3, 'Data entry'!$BD$6:$BD$200,"&lt;&gt;*Negative*"))</f>
        <v>0</v>
      </c>
      <c r="AR44" s="15">
        <f>SUM(COUNTIFS('Data entry'!$R$6:$R$200,'Summary Data'!$A44,'Data entry'!$B$6:$B$200,{"Confirmed";"Probable"},'Data entry'!$AQ$6:$AQ$200,'Data Validation'!$V$4, 'Data entry'!$AP$6:$AP$200,'Data Validation'!$U$4, 'Data entry'!$BD$6:$BD$200,"&lt;&gt;*Negative*"))</f>
        <v>0</v>
      </c>
      <c r="AS44" s="15">
        <f>SUM(COUNTIFS('Data entry'!$R$6:$R$200,'Summary Data'!$A44,'Data entry'!$B$6:$B$200,{"Confirmed";"Probable"},'Data entry'!$AQ$6:$AQ$200,'Data Validation'!$V$4, 'Data entry'!$AP$6:$AP$200,'Data Validation'!$U$5, 'Data entry'!$BD$6:$BD$200,"&lt;&gt;*Negative*"))</f>
        <v>0</v>
      </c>
      <c r="AT44" s="15">
        <f>SUM(COUNTIFS('Data entry'!$R$6:$R$200,'Summary Data'!$A44,'Data entry'!$B$6:$B$200,{"Confirmed";"Probable"},'Data entry'!$AQ$6:$AQ$200,'Data Validation'!$V$4, 'Data entry'!$AP$6:$AP$200,'Data Validation'!$U$6, 'Data entry'!$BD$6:$BD$200,"&lt;&gt;*Negative*"))</f>
        <v>0</v>
      </c>
      <c r="AU44" s="15">
        <f>SUM(COUNTIFS('Data entry'!$R$6:$R$200,'Summary Data'!$A44,'Data entry'!$B$6:$B$200,{"Confirmed";"Probable"},'Data entry'!$AQ$6:$AQ$200,'Data Validation'!$V$5, 'Data entry'!$AP$6:$AP$200,'Data Validation'!$U$2, 'Data entry'!$BD$6:$BD$200,"&lt;&gt;*Negative*"))</f>
        <v>0</v>
      </c>
      <c r="AV44" s="15">
        <f>SUM(COUNTIFS('Data entry'!$R$6:$R$200,'Summary Data'!$A44,'Data entry'!$B$6:$B$200,{"Confirmed";"Probable"},'Data entry'!$AQ$6:$AQ$200,'Data Validation'!$V$5, 'Data entry'!$AP$6:$AP$200,'Data Validation'!$U$3, 'Data entry'!$BD$6:$BD$200,"&lt;&gt;*Negative*"))</f>
        <v>0</v>
      </c>
      <c r="AW44" s="15">
        <f>SUM(COUNTIFS('Data entry'!$R$6:$R$200,'Summary Data'!$A44,'Data entry'!$B$6:$B$200,{"Confirmed";"Probable"},'Data entry'!$AQ$6:$AQ$200,'Data Validation'!$V$5, 'Data entry'!$AP$6:$AP$200,'Data Validation'!$U$4, 'Data entry'!$BD$6:$BD$200,"&lt;&gt;*Negative*"))</f>
        <v>0</v>
      </c>
      <c r="AX44" s="15">
        <f>SUM(COUNTIFS('Data entry'!$R$6:$R$200,'Summary Data'!$A44,'Data entry'!$B$6:$B$200,{"Confirmed";"Probable"},'Data entry'!$AQ$6:$AQ$200,'Data Validation'!$V$5, 'Data entry'!$AP$6:$AP$200,'Data Validation'!$U$5, 'Data entry'!$BD$6:$BD$200,"&lt;&gt;*Negative*"))</f>
        <v>0</v>
      </c>
      <c r="AY44" s="15">
        <f>SUM(COUNTIFS('Data entry'!$R$6:$R$200,'Summary Data'!$A44,'Data entry'!$B$6:$B$200,{"Confirmed";"Probable"},'Data entry'!$AQ$6:$AQ$200,'Data Validation'!$V$5, 'Data entry'!$AP$6:$AP$200,'Data Validation'!$U$6, 'Data entry'!$BD$6:$BD$200,"&lt;&gt;*Negative*"))</f>
        <v>0</v>
      </c>
      <c r="AZ44" s="15">
        <f>SUM(COUNTIFS('Data entry'!$R$6:$R$200,'Summary Data'!$A44,'Data entry'!$B$6:$B$200,{"Confirmed";"Probable"},'Data entry'!$AQ$6:$AQ$200,'Data Validation'!$V$6, 'Data entry'!$AP$6:$AP$200,'Data Validation'!$U$2, 'Data entry'!$BD$6:$BD$200,"&lt;&gt;*Negative*"))</f>
        <v>0</v>
      </c>
      <c r="BA44" s="15">
        <f>SUM(COUNTIFS('Data entry'!$R$6:$R$200,'Summary Data'!$A44,'Data entry'!$B$6:$B$200,{"Confirmed";"Probable"},'Data entry'!$AQ$6:$AQ$200,'Data Validation'!$V$6, 'Data entry'!$AP$6:$AP$200,'Data Validation'!$U$3, 'Data entry'!$BD$6:$BD$200,"&lt;&gt;*Negative*"))</f>
        <v>0</v>
      </c>
      <c r="BB44" s="15">
        <f>SUM(COUNTIFS('Data entry'!$R$6:$R$200,'Summary Data'!$A44,'Data entry'!$B$6:$B$200,{"Confirmed";"Probable"},'Data entry'!$AQ$6:$AQ$200,'Data Validation'!$V$6, 'Data entry'!$AP$6:$AP$200,'Data Validation'!$U$4, 'Data entry'!$BD$6:$BD$200,"&lt;&gt;*Negative*"))</f>
        <v>0</v>
      </c>
      <c r="BC44" s="15">
        <f>SUM(COUNTIFS('Data entry'!$R$6:$R$200,'Summary Data'!$A44,'Data entry'!$B$6:$B$200,{"Confirmed";"Probable"},'Data entry'!$AQ$6:$AQ$200,'Data Validation'!$V$6, 'Data entry'!$AP$6:$AP$200,'Data Validation'!$U$5, 'Data entry'!$BD$6:$BD$200,"&lt;&gt;*Negative*"))</f>
        <v>0</v>
      </c>
      <c r="BD44" s="15">
        <f>SUM(COUNTIFS('Data entry'!$R$6:$R$200,'Summary Data'!$A44,'Data entry'!$B$6:$B$200,{"Confirmed";"Probable"},'Data entry'!$AQ$6:$AQ$200,'Data Validation'!$V$6, 'Data entry'!$AP$6:$AP$200,'Data Validation'!$U$6, 'Data entry'!$BD$6:$BD$200,"&lt;&gt;*Negative*"))</f>
        <v>0</v>
      </c>
      <c r="BE44" s="15">
        <f>SUM(COUNTIFS('Data entry'!$R$6:$R$200,'Summary Data'!$A44,'Data entry'!$B$6:$B$200,{"Confirmed";"Probable"},'Data entry'!$AQ$6:$AQ$200,'Data Validation'!$V$7, 'Data entry'!$AP$6:$AP$200,'Data Validation'!$U$2, 'Data entry'!$BD$6:$BD$200,"&lt;&gt;*Negative*"))</f>
        <v>0</v>
      </c>
      <c r="BF44" s="15">
        <f>SUM(COUNTIFS('Data entry'!$R$6:$R$200,'Summary Data'!$A44,'Data entry'!$B$6:$B$200,{"Confirmed";"Probable"},'Data entry'!$AQ$6:$AQ$200,'Data Validation'!$V$7, 'Data entry'!$AP$6:$AP$200,'Data Validation'!$U$3, 'Data entry'!$BD$6:$BD$200,"&lt;&gt;*Negative*"))</f>
        <v>0</v>
      </c>
      <c r="BG44" s="15">
        <f>SUM(COUNTIFS('Data entry'!$R$6:$R$200,'Summary Data'!$A44,'Data entry'!$B$6:$B$200,{"Confirmed";"Probable"},'Data entry'!$AQ$6:$AQ$200,'Data Validation'!$V$7, 'Data entry'!$AP$6:$AP$200,'Data Validation'!$U$4, 'Data entry'!$BD$6:$BD$200,"&lt;&gt;*Negative*"))</f>
        <v>0</v>
      </c>
      <c r="BH44" s="15">
        <f>SUM(COUNTIFS('Data entry'!$R$6:$R$200,'Summary Data'!$A44,'Data entry'!$B$6:$B$200,{"Confirmed";"Probable"},'Data entry'!$AQ$6:$AQ$200,'Data Validation'!$V$7, 'Data entry'!$AP$6:$AP$200,'Data Validation'!$U$5, 'Data entry'!$BD$6:$BD$200,"&lt;&gt;*Negative*"))</f>
        <v>0</v>
      </c>
      <c r="BI44" s="15">
        <f>SUM(COUNTIFS('Data entry'!$R$6:$R$200,'Summary Data'!$A44,'Data entry'!$B$6:$B$200,{"Confirmed";"Probable"},'Data entry'!$AQ$6:$AQ$200,'Data Validation'!$V$7, 'Data entry'!$AP$6:$AP$200,'Data Validation'!$U$6, 'Data entry'!$BD$6:$BD$200,"&lt;&gt;*Negative*"))</f>
        <v>0</v>
      </c>
      <c r="BJ44" s="15">
        <f>SUM(COUNTIFS('Data entry'!$R$6:$R$200,'Summary Data'!$A44,'Data entry'!$B$6:$B$200,{"Confirmed";"Probable"},'Data entry'!$AQ$6:$AQ$200,'Data Validation'!$V$8, 'Data entry'!$AP$6:$AP$200,'Data Validation'!$U$2, 'Data entry'!$BD$6:$BD$200,"&lt;&gt;*Negative*"))</f>
        <v>0</v>
      </c>
      <c r="BK44" s="15">
        <f>SUM(COUNTIFS('Data entry'!$R$6:$R$200,'Summary Data'!$A44,'Data entry'!$B$6:$B$200,{"Confirmed";"Probable"},'Data entry'!$AQ$6:$AQ$200,'Data Validation'!$V$8, 'Data entry'!$AP$6:$AP$200,'Data Validation'!$U$3, 'Data entry'!$BD$6:$BD$200,"&lt;&gt;*Negative*"))</f>
        <v>0</v>
      </c>
      <c r="BL44" s="15">
        <f>SUM(COUNTIFS('Data entry'!$R$6:$R$200,'Summary Data'!$A44,'Data entry'!$B$6:$B$200,{"Confirmed";"Probable"},'Data entry'!$AQ$6:$AQ$200,'Data Validation'!$V$8, 'Data entry'!$AP$6:$AP$200,'Data Validation'!$U$4, 'Data entry'!$BD$6:$BD$200,"&lt;&gt;*Negative*"))</f>
        <v>0</v>
      </c>
      <c r="BM44" s="15">
        <f>SUM(COUNTIFS('Data entry'!$R$6:$R$200,'Summary Data'!$A44,'Data entry'!$B$6:$B$200,{"Confirmed";"Probable"},'Data entry'!$AQ$6:$AQ$200,'Data Validation'!$V$8, 'Data entry'!$AP$6:$AP$200,'Data Validation'!$U$5, 'Data entry'!$BD$6:$BD$200,"&lt;&gt;*Negative*"))</f>
        <v>0</v>
      </c>
      <c r="BN44" s="15">
        <f>SUM(COUNTIFS('Data entry'!$R$6:$R$200,'Summary Data'!$A44,'Data entry'!$B$6:$B$200,{"Confirmed";"Probable"},'Data entry'!$AQ$6:$AQ$200,'Data Validation'!$V$8, 'Data entry'!$AP$6:$AP$200,'Data Validation'!$U$6, 'Data entry'!$BD$6:$BD$200,"&lt;&gt;*Negative*"))</f>
        <v>0</v>
      </c>
      <c r="BO44" s="15">
        <f>SUM(COUNTIFS('Data entry'!$R$6:$R$200,'Summary Data'!$A44,'Data entry'!$B$6:$B$200,{"Confirmed";"Probable"},'Data entry'!$AQ$6:$AQ$200,'Data Validation'!$V$9, 'Data entry'!$AP$6:$AP$200,'Data Validation'!$U$2, 'Data entry'!$BD$6:$BD$200,"&lt;&gt;*Negative*"))</f>
        <v>0</v>
      </c>
      <c r="BP44" s="15">
        <f>SUM(COUNTIFS('Data entry'!$R$6:$R$200,'Summary Data'!$A44,'Data entry'!$B$6:$B$200,{"Confirmed";"Probable"},'Data entry'!$AQ$6:$AQ$200,'Data Validation'!$V$9, 'Data entry'!$AP$6:$AP$200,'Data Validation'!$U$3, 'Data entry'!$BD$6:$BD$200,"&lt;&gt;*Negative*"))</f>
        <v>0</v>
      </c>
      <c r="BQ44" s="15">
        <f>SUM(COUNTIFS('Data entry'!$R$6:$R$200,'Summary Data'!$A44,'Data entry'!$B$6:$B$200,{"Confirmed";"Probable"},'Data entry'!$AQ$6:$AQ$200,'Data Validation'!$V$9, 'Data entry'!$AP$6:$AP$200,'Data Validation'!$U$4, 'Data entry'!$BD$6:$BD$200,"&lt;&gt;*Negative*"))</f>
        <v>0</v>
      </c>
      <c r="BR44" s="15">
        <f>SUM(COUNTIFS('Data entry'!$R$6:$R$200,'Summary Data'!$A44,'Data entry'!$B$6:$B$200,{"Confirmed";"Probable"},'Data entry'!$AQ$6:$AQ$200,'Data Validation'!$V$9, 'Data entry'!$AP$6:$AP$200,'Data Validation'!$U$5, 'Data entry'!$BD$6:$BD$200,"&lt;&gt;*Negative*"))</f>
        <v>0</v>
      </c>
      <c r="BS44" s="15">
        <f>SUM(COUNTIFS('Data entry'!$R$6:$R$200,'Summary Data'!$A44,'Data entry'!$B$6:$B$200,{"Confirmed";"Probable"},'Data entry'!$AQ$6:$AQ$200,'Data Validation'!$V$9, 'Data entry'!$AP$6:$AP$200,'Data Validation'!$U$6, 'Data entry'!$BD$6:$BD$200,"&lt;&gt;*Negative*"))</f>
        <v>0</v>
      </c>
      <c r="BT44" s="15">
        <f>SUM(COUNTIFS('Data entry'!$R$6:$R$200,'Summary Data'!$A44,'Data entry'!$B$6:$B$200,{"Confirmed";"Probable"},'Data entry'!$AQ$6:$AQ$200,'Data Validation'!$V$10, 'Data entry'!$AP$6:$AP$200,'Data Validation'!$U$2, 'Data entry'!$BD$6:$BD$200,"&lt;&gt;*Negative*"))</f>
        <v>0</v>
      </c>
      <c r="BU44" s="15">
        <f>SUM(COUNTIFS('Data entry'!$R$6:$R$200,'Summary Data'!$A44,'Data entry'!$B$6:$B$200,{"Confirmed";"Probable"},'Data entry'!$AQ$6:$AQ$200,'Data Validation'!$V$10, 'Data entry'!$AP$6:$AP$200,'Data Validation'!$U$3, 'Data entry'!$BD$6:$BD$200,"&lt;&gt;*Negative*"))</f>
        <v>0</v>
      </c>
      <c r="BV44" s="15">
        <f>SUM(COUNTIFS('Data entry'!$R$6:$R$200,'Summary Data'!$A44,'Data entry'!$B$6:$B$200,{"Confirmed";"Probable"},'Data entry'!$AQ$6:$AQ$200,'Data Validation'!$V$10, 'Data entry'!$AP$6:$AP$200,'Data Validation'!$U$4, 'Data entry'!$BD$6:$BD$200,"&lt;&gt;*Negative*"))</f>
        <v>0</v>
      </c>
      <c r="BW44" s="15">
        <f>SUM(COUNTIFS('Data entry'!$R$6:$R$200,'Summary Data'!$A44,'Data entry'!$B$6:$B$200,{"Confirmed";"Probable"},'Data entry'!$AQ$6:$AQ$200,'Data Validation'!$V$10, 'Data entry'!$AP$6:$AP$200,'Data Validation'!$U$5, 'Data entry'!$BD$6:$BD$200,"&lt;&gt;*Negative*"))</f>
        <v>0</v>
      </c>
      <c r="BX44" s="15">
        <f>SUM(COUNTIFS('Data entry'!$R$6:$R$200,'Summary Data'!$A44,'Data entry'!$B$6:$B$200,{"Confirmed";"Probable"},'Data entry'!$AQ$6:$AQ$200,'Data Validation'!$V$10, 'Data entry'!$AP$6:$AP$200,'Data Validation'!$U$6, 'Data entry'!$BD$6:$BD$200,"&lt;&gt;*Negative*"))</f>
        <v>0</v>
      </c>
      <c r="BY44" s="15">
        <f>SUM(COUNTIFS('Data entry'!$R$6:$R$200,'Summary Data'!$A44,'Data entry'!$B$6:$B$200,{"Confirmed";"Probable"},'Data entry'!$AQ$6:$AQ$200,'Data Validation'!$V$11, 'Data entry'!$AP$6:$AP$200,'Data Validation'!$U$2, 'Data entry'!$BD$6:$BD$200,"&lt;&gt;*Negative*"))</f>
        <v>0</v>
      </c>
      <c r="BZ44" s="15">
        <f>SUM(COUNTIFS('Data entry'!$R$6:$R$200,'Summary Data'!$A44,'Data entry'!$B$6:$B$200,{"Confirmed";"Probable"},'Data entry'!$AQ$6:$AQ$200,'Data Validation'!$V$11, 'Data entry'!$AP$6:$AP$200,'Data Validation'!$U$3, 'Data entry'!$BD$6:$BD$200,"&lt;&gt;*Negative*"))</f>
        <v>0</v>
      </c>
      <c r="CA44" s="15">
        <f>SUM(COUNTIFS('Data entry'!$R$6:$R$200,'Summary Data'!$A44,'Data entry'!$B$6:$B$200,{"Confirmed";"Probable"},'Data entry'!$AQ$6:$AQ$200,'Data Validation'!$V$11, 'Data entry'!$AP$6:$AP$200,'Data Validation'!$U$4, 'Data entry'!$BD$6:$BD$200,"&lt;&gt;*Negative*"))</f>
        <v>0</v>
      </c>
      <c r="CB44" s="15">
        <f>SUM(COUNTIFS('Data entry'!$R$6:$R$200,'Summary Data'!$A44,'Data entry'!$B$6:$B$200,{"Confirmed";"Probable"},'Data entry'!$AQ$6:$AQ$200,'Data Validation'!$V$11, 'Data entry'!$AP$6:$AP$200,'Data Validation'!$U$5, 'Data entry'!$BD$6:$BD$200,"&lt;&gt;*Negative*"))</f>
        <v>0</v>
      </c>
      <c r="CC44" s="15">
        <f>SUM(COUNTIFS('Data entry'!$R$6:$R$200,'Summary Data'!$A44,'Data entry'!$B$6:$B$200,{"Confirmed";"Probable"},'Data entry'!$AQ$6:$AQ$200,'Data Validation'!$V$11, 'Data entry'!$AP$6:$AP$200,'Data Validation'!$U$6, 'Data entry'!$BD$6:$BD$200,"&lt;&gt;*Negative*"))</f>
        <v>0</v>
      </c>
    </row>
    <row r="45" spans="1:81" x14ac:dyDescent="0.25">
      <c r="A45" s="12">
        <f t="shared" si="5"/>
        <v>33</v>
      </c>
      <c r="B45" s="13">
        <f t="shared" si="2"/>
        <v>0</v>
      </c>
      <c r="C45" s="13">
        <f>COUNTIFS('Data entry'!$R$6:$R$200,$A45,'Data entry'!$B$6:$B$200,"Confirmed",'Data entry'!$BD$6:$BD$200,"&lt;&gt;*Negative*")</f>
        <v>0</v>
      </c>
      <c r="D45" s="13">
        <f>COUNTIFS('Data entry'!$R$6:$R$200,$A45,'Data entry'!$B$6:$B$200,"Probable",'Data entry'!$BD$6:$BD$200,"&lt;&gt;*Negative*")</f>
        <v>0</v>
      </c>
      <c r="E45" s="13">
        <f>COUNTIFS('Data entry'!$R$6:$R$200,$A45,'Data entry'!$B$6:$B$200,"DNM")</f>
        <v>0</v>
      </c>
      <c r="F45" s="13">
        <f>SUM(COUNTIFS('Data entry'!$R$6:$R$200,'Summary Data'!$A45,'Data entry'!$B$6:$B$200,{"Confirmed";"Probable"},'Data entry'!$AO$6:$AO$200,$F$10, 'Data entry'!$BD$6:$BD$200,"&lt;&gt;*Negative*"))</f>
        <v>0</v>
      </c>
      <c r="G45" s="13">
        <f>SUM(COUNTIFS('Data entry'!$R$6:$R$200,'Summary Data'!$A45,'Data entry'!$B$6:$B$200,{"Confirmed";"Probable"},'Data entry'!$AO$6:$AO$200,$G$10, 'Data entry'!$BD$6:$BD$200,"&lt;&gt;*Negative*"))</f>
        <v>0</v>
      </c>
      <c r="H45" s="13">
        <f>SUM(COUNTIFS('Data entry'!$R$6:$R$200,'Summary Data'!$A45,'Data entry'!$B$6:$B$200,{"Confirmed";"Probable"},'Data entry'!$AO$6:$AO$200,$H$10, 'Data entry'!$BD$6:$BD$200,"&lt;&gt;*Negative*"))</f>
        <v>0</v>
      </c>
      <c r="I45" s="13">
        <f>SUM(COUNTIFS('Data entry'!$R$6:$R$200,'Summary Data'!$A45,'Data entry'!$B$6:$B$200,{"Confirmed";"Probable"},'Data entry'!$AO$6:$AO$200,$I$10, 'Data entry'!$BD$6:$BD$200,"&lt;&gt;*Negative*"))</f>
        <v>0</v>
      </c>
      <c r="J45" s="13">
        <f>SUM(COUNTIFS('Data entry'!$R$6:$R$200,'Summary Data'!$A45,'Data entry'!$B$6:$B$200,{"Confirmed";"Probable"},'Data entry'!$AO$6:$AO$200,$J$10, 'Data entry'!$BD$6:$BD$200,"&lt;&gt;*Negative*"))</f>
        <v>0</v>
      </c>
      <c r="K45" s="13">
        <f>SUM(COUNTIFS('Data entry'!$R$6:$R$200,'Summary Data'!$A45,'Data entry'!$B$6:$B$200,{"Confirmed";"Probable"},'Data entry'!$AO$6:$AO$200,$K$10, 'Data entry'!$BD$6:$BD$200,"&lt;&gt;*Negative*"))</f>
        <v>0</v>
      </c>
      <c r="L45" s="13">
        <f>SUM(COUNTIFS('Data entry'!$R$6:$R$200,'Summary Data'!$A45,'Data entry'!$B$6:$B$200,{"Confirmed";"Probable"},'Data entry'!$AO$6:$AO$200,$L$10, 'Data entry'!$BD$6:$BD$200,"&lt;&gt;*Negative*"))</f>
        <v>0</v>
      </c>
      <c r="M45" s="13">
        <f>SUM(COUNTIFS('Data entry'!$R$6:$R$200,'Summary Data'!$A45,'Data entry'!$B$6:$B$200,{"Confirmed";"Probable"},'Data entry'!$AO$6:$AO$200,$M$10, 'Data entry'!$BD$6:$BD$200,"&lt;&gt;*Negative*"))</f>
        <v>0</v>
      </c>
      <c r="N45" s="13">
        <f>SUM(COUNTIFS('Data entry'!$R$6:$R$200,'Summary Data'!$A45,'Data entry'!$B$6:$B$200,{"Confirmed";"Probable"},'Data entry'!$AO$6:$AO$200,$N$10, 'Data entry'!$BD$6:$BD$200,"&lt;&gt;*Negative*"))</f>
        <v>0</v>
      </c>
      <c r="O45" s="15">
        <f t="shared" si="3"/>
        <v>0</v>
      </c>
      <c r="P45" s="15">
        <f t="shared" si="4"/>
        <v>0</v>
      </c>
      <c r="Q45" s="15">
        <f>SUM(COUNTIFS('Data entry'!$R$6:$R$200,'Summary Data'!$A45,'Data entry'!$B$6:$B$200,{"Confirmed";"Probable"},'Data entry'!$AP$6:$AP$200,'Data Validation'!$U$2, 'Data entry'!$BD$6:$BD$200,"&lt;&gt;*Negative*"))</f>
        <v>0</v>
      </c>
      <c r="R45" s="15">
        <f>SUM(COUNTIFS('Data entry'!$R$6:$R$200,'Summary Data'!$A45,'Data entry'!$B$6:$B$200,{"Confirmed";"Probable"},'Data entry'!$AP$6:$AP$200,'Data Validation'!$U$3, 'Data entry'!$BD$6:$BD$200,"&lt;&gt;*Negative*"))</f>
        <v>0</v>
      </c>
      <c r="S45" s="15">
        <f>SUM(COUNTIFS('Data entry'!$R$6:$R$200,'Summary Data'!$A45,'Data entry'!$B$6:$B$200,{"Confirmed";"Probable"},'Data entry'!$AP$6:$AP$200,'Data Validation'!$U$4, 'Data entry'!$BD$6:$BD$200,"&lt;&gt;*Negative*"))</f>
        <v>0</v>
      </c>
      <c r="T45" s="15">
        <f>SUM(COUNTIFS('Data entry'!$R$6:$R$200,'Summary Data'!$A45,'Data entry'!$B$6:$B$200,{"Confirmed";"Probable"},'Data entry'!$AP$6:$AP$200,'Data Validation'!$U$5, 'Data entry'!$BD$6:$BD$200,"&lt;&gt;*Negative*"))</f>
        <v>0</v>
      </c>
      <c r="U45" s="15">
        <f>SUM(COUNTIFS('Data entry'!$R$6:$R$200,'Summary Data'!$A45,'Data entry'!$B$6:$B$200,{"Confirmed";"Probable"},'Data entry'!$AP$6:$AP$200,'Data Validation'!$U$6, 'Data entry'!$BD$6:$BD$200,"&lt;&gt;*Negative*"))</f>
        <v>0</v>
      </c>
      <c r="V45" s="15">
        <f>SUM(COUNTIFS('Data entry'!$R$6:$R$200,'Summary Data'!$A45,'Data entry'!$B$6:$B$200,{"Confirmed";"Probable"},'Data entry'!$AQ$6:$AQ$200,'Data Validation'!$V$2, 'Data entry'!$BD$6:$BD$200,"&lt;&gt;*Negative*"))</f>
        <v>0</v>
      </c>
      <c r="W45" s="15">
        <f>SUM(COUNTIFS('Data entry'!$R$6:$R$200,'Summary Data'!$A45,'Data entry'!$B$6:$B$200,{"Confirmed";"Probable"},'Data entry'!$AQ$6:$AQ$200,'Data Validation'!$V$3, 'Data entry'!$BD$6:$BD$200,"&lt;&gt;*Negative*"))</f>
        <v>0</v>
      </c>
      <c r="X45" s="15">
        <f>SUM(COUNTIFS('Data entry'!$R$6:$R$200,'Summary Data'!$A45,'Data entry'!$B$6:$B$200,{"Confirmed";"Probable"},'Data entry'!$AQ$6:$AQ$200,'Data Validation'!$V$4, 'Data entry'!$BD$6:$BD$200,"&lt;&gt;*Negative*"))</f>
        <v>0</v>
      </c>
      <c r="Y45" s="15">
        <f>SUM(COUNTIFS('Data entry'!$R$6:$R$200,'Summary Data'!$A45,'Data entry'!$B$6:$B$200,{"Confirmed";"Probable"},'Data entry'!$AQ$6:$AQ$200,'Data Validation'!$V$5, 'Data entry'!$BD$6:$BD$200,"&lt;&gt;*Negative*"))</f>
        <v>0</v>
      </c>
      <c r="Z45" s="15">
        <f>SUM(COUNTIFS('Data entry'!$R$6:$R$200,'Summary Data'!$A45,'Data entry'!$B$6:$B$200,{"Confirmed";"Probable"},'Data entry'!$AQ$6:$AQ$200,'Data Validation'!$V$6, 'Data entry'!$BD$6:$BD$200,"&lt;&gt;*Negative*"))</f>
        <v>0</v>
      </c>
      <c r="AA45" s="15">
        <f>SUM(COUNTIFS('Data entry'!$R$6:$R$200,'Summary Data'!$A45,'Data entry'!$B$6:$B$200,{"Confirmed";"Probable"},'Data entry'!$AQ$6:$AQ$200,'Data Validation'!$V$7, 'Data entry'!$BD$6:$BD$200,"&lt;&gt;*Negative*"))</f>
        <v>0</v>
      </c>
      <c r="AB45" s="15">
        <f>SUM(COUNTIFS('Data entry'!$R$6:$R$200,'Summary Data'!$A45,'Data entry'!$B$6:$B$200,{"Confirmed";"Probable"},'Data entry'!$AQ$6:$AQ$200,'Data Validation'!$V$8, 'Data entry'!$BD$6:$BD$200,"&lt;&gt;*Negative*"))</f>
        <v>0</v>
      </c>
      <c r="AC45" s="15">
        <f>SUM(COUNTIFS('Data entry'!$R$6:$R$200,'Summary Data'!$A45,'Data entry'!$B$6:$B$200,{"Confirmed";"Probable"},'Data entry'!$AQ$6:$AQ$200,'Data Validation'!$V$9, 'Data entry'!$BD$6:$BD$200,"&lt;&gt;*Negative*"))</f>
        <v>0</v>
      </c>
      <c r="AD45" s="15">
        <f>SUM(COUNTIFS('Data entry'!$R$6:$R$200,'Summary Data'!$A45,'Data entry'!$B$6:$B$200,{"Confirmed";"Probable"},'Data entry'!$AQ$6:$AQ$200,'Data Validation'!$V$10, 'Data entry'!$BD$6:$BD$200,"&lt;&gt;*Negative*"))</f>
        <v>0</v>
      </c>
      <c r="AE45" s="15">
        <f>SUM(COUNTIFS('Data entry'!$R$6:$R$200,'Summary Data'!$A45,'Data entry'!$B$6:$B$200,{"Confirmed";"Probable"},'Data entry'!$AQ$6:$AQ$200,'Data Validation'!$V$11, 'Data entry'!$BD$6:$BD$200,"&lt;&gt;*Negative*"))</f>
        <v>0</v>
      </c>
      <c r="AF45" s="15">
        <f>SUM(COUNTIFS('Data entry'!$R$6:$R$200,'Summary Data'!$A45,'Data entry'!$B$6:$B$200,{"Confirmed";"Probable"},'Data entry'!$AQ$6:$AQ$200,'Data Validation'!$V$2, 'Data entry'!$AP$6:$AP$200,'Data Validation'!$U$2, 'Data entry'!$BD$6:$BD$200,"&lt;&gt;*Negative*"))</f>
        <v>0</v>
      </c>
      <c r="AG45" s="15">
        <f>SUM(COUNTIFS('Data entry'!$R$6:$R$200,'Summary Data'!$A45,'Data entry'!$B$6:$B$200,{"Confirmed";"Probable"},'Data entry'!$AQ$6:$AQ$200,'Data Validation'!$V$2, 'Data entry'!$AP$6:$AP$200,'Data Validation'!$U$3, 'Data entry'!$BD$6:$BD$200,"&lt;&gt;*Negative*"))</f>
        <v>0</v>
      </c>
      <c r="AH45" s="15">
        <f>SUM(COUNTIFS('Data entry'!$R$6:$R$200,'Summary Data'!$A45,'Data entry'!$B$6:$B$200,{"Confirmed";"Probable"},'Data entry'!$AQ$6:$AQ$200,'Data Validation'!$V$2, 'Data entry'!$AP$6:$AP$200,'Data Validation'!$U$4, 'Data entry'!$BD$6:$BD$200,"&lt;&gt;*Negative*"))</f>
        <v>0</v>
      </c>
      <c r="AI45" s="15">
        <f>SUM(COUNTIFS('Data entry'!$R$6:$R$200,'Summary Data'!$A45,'Data entry'!$B$6:$B$200,{"Confirmed";"Probable"},'Data entry'!$AQ$6:$AQ$200,'Data Validation'!$V$2, 'Data entry'!$AP$6:$AP$200,'Data Validation'!$U$5, 'Data entry'!$BD$6:$BD$200,"&lt;&gt;*Negative*"))</f>
        <v>0</v>
      </c>
      <c r="AJ45" s="15">
        <f>SUM(COUNTIFS('Data entry'!$R$6:$R$200,'Summary Data'!$A45,'Data entry'!$B$6:$B$200,{"Confirmed";"Probable"},'Data entry'!$AQ$6:$AQ$200,'Data Validation'!$V$2, 'Data entry'!$AP$6:$AP$200,'Data Validation'!$U$6, 'Data entry'!$BD$6:$BD$200,"&lt;&gt;*Negative*"))</f>
        <v>0</v>
      </c>
      <c r="AK45" s="15">
        <f>SUM(COUNTIFS('Data entry'!$R$6:$R$200,'Summary Data'!$A45,'Data entry'!$B$6:$B$200,{"Confirmed";"Probable"},'Data entry'!$AQ$6:$AQ$200,'Data Validation'!$V$3, 'Data entry'!$AP$6:$AP$200,'Data Validation'!$U$2, 'Data entry'!$BD$6:$BD$200,"&lt;&gt;*Negative*"))</f>
        <v>0</v>
      </c>
      <c r="AL45" s="15">
        <f>SUM(COUNTIFS('Data entry'!$R$6:$R$200,'Summary Data'!$A45,'Data entry'!$B$6:$B$200,{"Confirmed";"Probable"},'Data entry'!$AQ$6:$AQ$200,'Data Validation'!$V$3, 'Data entry'!$AP$6:$AP$200,'Data Validation'!$U$3, 'Data entry'!$BD$6:$BD$200,"&lt;&gt;*Negative*"))</f>
        <v>0</v>
      </c>
      <c r="AM45" s="15">
        <f>SUM(COUNTIFS('Data entry'!$R$6:$R$200,'Summary Data'!$A45,'Data entry'!$B$6:$B$200,{"Confirmed";"Probable"},'Data entry'!$AQ$6:$AQ$200,'Data Validation'!$V$3, 'Data entry'!$AP$6:$AP$200,'Data Validation'!$U$4, 'Data entry'!$BD$6:$BD$200,"&lt;&gt;*Negative*"))</f>
        <v>0</v>
      </c>
      <c r="AN45" s="15">
        <f>SUM(COUNTIFS('Data entry'!$R$6:$R$200,'Summary Data'!$A45,'Data entry'!$B$6:$B$200,{"Confirmed";"Probable"},'Data entry'!$AQ$6:$AQ$200,'Data Validation'!$V$3, 'Data entry'!$AP$6:$AP$200,'Data Validation'!$U$5, 'Data entry'!$BD$6:$BD$200,"&lt;&gt;*Negative*"))</f>
        <v>0</v>
      </c>
      <c r="AO45" s="15">
        <f>SUM(COUNTIFS('Data entry'!$R$6:$R$200,'Summary Data'!$A45,'Data entry'!$B$6:$B$200,{"Confirmed";"Probable"},'Data entry'!$AQ$6:$AQ$200,'Data Validation'!$V$3, 'Data entry'!$AP$6:$AP$200,'Data Validation'!$U$6, 'Data entry'!$BD$6:$BD$200,"&lt;&gt;*Negative*"))</f>
        <v>0</v>
      </c>
      <c r="AP45" s="15">
        <f>SUM(COUNTIFS('Data entry'!$R$6:$R$200,'Summary Data'!$A45,'Data entry'!$B$6:$B$200,{"Confirmed";"Probable"},'Data entry'!$AQ$6:$AQ$200,'Data Validation'!$V$4, 'Data entry'!$AP$6:$AP$200,'Data Validation'!$U$2, 'Data entry'!$BD$6:$BD$200,"&lt;&gt;*Negative*"))</f>
        <v>0</v>
      </c>
      <c r="AQ45" s="15">
        <f>SUM(COUNTIFS('Data entry'!$R$6:$R$200,'Summary Data'!$A45,'Data entry'!$B$6:$B$200,{"Confirmed";"Probable"},'Data entry'!$AQ$6:$AQ$200,'Data Validation'!$V$4, 'Data entry'!$AP$6:$AP$200,'Data Validation'!$U$3, 'Data entry'!$BD$6:$BD$200,"&lt;&gt;*Negative*"))</f>
        <v>0</v>
      </c>
      <c r="AR45" s="15">
        <f>SUM(COUNTIFS('Data entry'!$R$6:$R$200,'Summary Data'!$A45,'Data entry'!$B$6:$B$200,{"Confirmed";"Probable"},'Data entry'!$AQ$6:$AQ$200,'Data Validation'!$V$4, 'Data entry'!$AP$6:$AP$200,'Data Validation'!$U$4, 'Data entry'!$BD$6:$BD$200,"&lt;&gt;*Negative*"))</f>
        <v>0</v>
      </c>
      <c r="AS45" s="15">
        <f>SUM(COUNTIFS('Data entry'!$R$6:$R$200,'Summary Data'!$A45,'Data entry'!$B$6:$B$200,{"Confirmed";"Probable"},'Data entry'!$AQ$6:$AQ$200,'Data Validation'!$V$4, 'Data entry'!$AP$6:$AP$200,'Data Validation'!$U$5, 'Data entry'!$BD$6:$BD$200,"&lt;&gt;*Negative*"))</f>
        <v>0</v>
      </c>
      <c r="AT45" s="15">
        <f>SUM(COUNTIFS('Data entry'!$R$6:$R$200,'Summary Data'!$A45,'Data entry'!$B$6:$B$200,{"Confirmed";"Probable"},'Data entry'!$AQ$6:$AQ$200,'Data Validation'!$V$4, 'Data entry'!$AP$6:$AP$200,'Data Validation'!$U$6, 'Data entry'!$BD$6:$BD$200,"&lt;&gt;*Negative*"))</f>
        <v>0</v>
      </c>
      <c r="AU45" s="15">
        <f>SUM(COUNTIFS('Data entry'!$R$6:$R$200,'Summary Data'!$A45,'Data entry'!$B$6:$B$200,{"Confirmed";"Probable"},'Data entry'!$AQ$6:$AQ$200,'Data Validation'!$V$5, 'Data entry'!$AP$6:$AP$200,'Data Validation'!$U$2, 'Data entry'!$BD$6:$BD$200,"&lt;&gt;*Negative*"))</f>
        <v>0</v>
      </c>
      <c r="AV45" s="15">
        <f>SUM(COUNTIFS('Data entry'!$R$6:$R$200,'Summary Data'!$A45,'Data entry'!$B$6:$B$200,{"Confirmed";"Probable"},'Data entry'!$AQ$6:$AQ$200,'Data Validation'!$V$5, 'Data entry'!$AP$6:$AP$200,'Data Validation'!$U$3, 'Data entry'!$BD$6:$BD$200,"&lt;&gt;*Negative*"))</f>
        <v>0</v>
      </c>
      <c r="AW45" s="15">
        <f>SUM(COUNTIFS('Data entry'!$R$6:$R$200,'Summary Data'!$A45,'Data entry'!$B$6:$B$200,{"Confirmed";"Probable"},'Data entry'!$AQ$6:$AQ$200,'Data Validation'!$V$5, 'Data entry'!$AP$6:$AP$200,'Data Validation'!$U$4, 'Data entry'!$BD$6:$BD$200,"&lt;&gt;*Negative*"))</f>
        <v>0</v>
      </c>
      <c r="AX45" s="15">
        <f>SUM(COUNTIFS('Data entry'!$R$6:$R$200,'Summary Data'!$A45,'Data entry'!$B$6:$B$200,{"Confirmed";"Probable"},'Data entry'!$AQ$6:$AQ$200,'Data Validation'!$V$5, 'Data entry'!$AP$6:$AP$200,'Data Validation'!$U$5, 'Data entry'!$BD$6:$BD$200,"&lt;&gt;*Negative*"))</f>
        <v>0</v>
      </c>
      <c r="AY45" s="15">
        <f>SUM(COUNTIFS('Data entry'!$R$6:$R$200,'Summary Data'!$A45,'Data entry'!$B$6:$B$200,{"Confirmed";"Probable"},'Data entry'!$AQ$6:$AQ$200,'Data Validation'!$V$5, 'Data entry'!$AP$6:$AP$200,'Data Validation'!$U$6, 'Data entry'!$BD$6:$BD$200,"&lt;&gt;*Negative*"))</f>
        <v>0</v>
      </c>
      <c r="AZ45" s="15">
        <f>SUM(COUNTIFS('Data entry'!$R$6:$R$200,'Summary Data'!$A45,'Data entry'!$B$6:$B$200,{"Confirmed";"Probable"},'Data entry'!$AQ$6:$AQ$200,'Data Validation'!$V$6, 'Data entry'!$AP$6:$AP$200,'Data Validation'!$U$2, 'Data entry'!$BD$6:$BD$200,"&lt;&gt;*Negative*"))</f>
        <v>0</v>
      </c>
      <c r="BA45" s="15">
        <f>SUM(COUNTIFS('Data entry'!$R$6:$R$200,'Summary Data'!$A45,'Data entry'!$B$6:$B$200,{"Confirmed";"Probable"},'Data entry'!$AQ$6:$AQ$200,'Data Validation'!$V$6, 'Data entry'!$AP$6:$AP$200,'Data Validation'!$U$3, 'Data entry'!$BD$6:$BD$200,"&lt;&gt;*Negative*"))</f>
        <v>0</v>
      </c>
      <c r="BB45" s="15">
        <f>SUM(COUNTIFS('Data entry'!$R$6:$R$200,'Summary Data'!$A45,'Data entry'!$B$6:$B$200,{"Confirmed";"Probable"},'Data entry'!$AQ$6:$AQ$200,'Data Validation'!$V$6, 'Data entry'!$AP$6:$AP$200,'Data Validation'!$U$4, 'Data entry'!$BD$6:$BD$200,"&lt;&gt;*Negative*"))</f>
        <v>0</v>
      </c>
      <c r="BC45" s="15">
        <f>SUM(COUNTIFS('Data entry'!$R$6:$R$200,'Summary Data'!$A45,'Data entry'!$B$6:$B$200,{"Confirmed";"Probable"},'Data entry'!$AQ$6:$AQ$200,'Data Validation'!$V$6, 'Data entry'!$AP$6:$AP$200,'Data Validation'!$U$5, 'Data entry'!$BD$6:$BD$200,"&lt;&gt;*Negative*"))</f>
        <v>0</v>
      </c>
      <c r="BD45" s="15">
        <f>SUM(COUNTIFS('Data entry'!$R$6:$R$200,'Summary Data'!$A45,'Data entry'!$B$6:$B$200,{"Confirmed";"Probable"},'Data entry'!$AQ$6:$AQ$200,'Data Validation'!$V$6, 'Data entry'!$AP$6:$AP$200,'Data Validation'!$U$6, 'Data entry'!$BD$6:$BD$200,"&lt;&gt;*Negative*"))</f>
        <v>0</v>
      </c>
      <c r="BE45" s="15">
        <f>SUM(COUNTIFS('Data entry'!$R$6:$R$200,'Summary Data'!$A45,'Data entry'!$B$6:$B$200,{"Confirmed";"Probable"},'Data entry'!$AQ$6:$AQ$200,'Data Validation'!$V$7, 'Data entry'!$AP$6:$AP$200,'Data Validation'!$U$2, 'Data entry'!$BD$6:$BD$200,"&lt;&gt;*Negative*"))</f>
        <v>0</v>
      </c>
      <c r="BF45" s="15">
        <f>SUM(COUNTIFS('Data entry'!$R$6:$R$200,'Summary Data'!$A45,'Data entry'!$B$6:$B$200,{"Confirmed";"Probable"},'Data entry'!$AQ$6:$AQ$200,'Data Validation'!$V$7, 'Data entry'!$AP$6:$AP$200,'Data Validation'!$U$3, 'Data entry'!$BD$6:$BD$200,"&lt;&gt;*Negative*"))</f>
        <v>0</v>
      </c>
      <c r="BG45" s="15">
        <f>SUM(COUNTIFS('Data entry'!$R$6:$R$200,'Summary Data'!$A45,'Data entry'!$B$6:$B$200,{"Confirmed";"Probable"},'Data entry'!$AQ$6:$AQ$200,'Data Validation'!$V$7, 'Data entry'!$AP$6:$AP$200,'Data Validation'!$U$4, 'Data entry'!$BD$6:$BD$200,"&lt;&gt;*Negative*"))</f>
        <v>0</v>
      </c>
      <c r="BH45" s="15">
        <f>SUM(COUNTIFS('Data entry'!$R$6:$R$200,'Summary Data'!$A45,'Data entry'!$B$6:$B$200,{"Confirmed";"Probable"},'Data entry'!$AQ$6:$AQ$200,'Data Validation'!$V$7, 'Data entry'!$AP$6:$AP$200,'Data Validation'!$U$5, 'Data entry'!$BD$6:$BD$200,"&lt;&gt;*Negative*"))</f>
        <v>0</v>
      </c>
      <c r="BI45" s="15">
        <f>SUM(COUNTIFS('Data entry'!$R$6:$R$200,'Summary Data'!$A45,'Data entry'!$B$6:$B$200,{"Confirmed";"Probable"},'Data entry'!$AQ$6:$AQ$200,'Data Validation'!$V$7, 'Data entry'!$AP$6:$AP$200,'Data Validation'!$U$6, 'Data entry'!$BD$6:$BD$200,"&lt;&gt;*Negative*"))</f>
        <v>0</v>
      </c>
      <c r="BJ45" s="15">
        <f>SUM(COUNTIFS('Data entry'!$R$6:$R$200,'Summary Data'!$A45,'Data entry'!$B$6:$B$200,{"Confirmed";"Probable"},'Data entry'!$AQ$6:$AQ$200,'Data Validation'!$V$8, 'Data entry'!$AP$6:$AP$200,'Data Validation'!$U$2, 'Data entry'!$BD$6:$BD$200,"&lt;&gt;*Negative*"))</f>
        <v>0</v>
      </c>
      <c r="BK45" s="15">
        <f>SUM(COUNTIFS('Data entry'!$R$6:$R$200,'Summary Data'!$A45,'Data entry'!$B$6:$B$200,{"Confirmed";"Probable"},'Data entry'!$AQ$6:$AQ$200,'Data Validation'!$V$8, 'Data entry'!$AP$6:$AP$200,'Data Validation'!$U$3, 'Data entry'!$BD$6:$BD$200,"&lt;&gt;*Negative*"))</f>
        <v>0</v>
      </c>
      <c r="BL45" s="15">
        <f>SUM(COUNTIFS('Data entry'!$R$6:$R$200,'Summary Data'!$A45,'Data entry'!$B$6:$B$200,{"Confirmed";"Probable"},'Data entry'!$AQ$6:$AQ$200,'Data Validation'!$V$8, 'Data entry'!$AP$6:$AP$200,'Data Validation'!$U$4, 'Data entry'!$BD$6:$BD$200,"&lt;&gt;*Negative*"))</f>
        <v>0</v>
      </c>
      <c r="BM45" s="15">
        <f>SUM(COUNTIFS('Data entry'!$R$6:$R$200,'Summary Data'!$A45,'Data entry'!$B$6:$B$200,{"Confirmed";"Probable"},'Data entry'!$AQ$6:$AQ$200,'Data Validation'!$V$8, 'Data entry'!$AP$6:$AP$200,'Data Validation'!$U$5, 'Data entry'!$BD$6:$BD$200,"&lt;&gt;*Negative*"))</f>
        <v>0</v>
      </c>
      <c r="BN45" s="15">
        <f>SUM(COUNTIFS('Data entry'!$R$6:$R$200,'Summary Data'!$A45,'Data entry'!$B$6:$B$200,{"Confirmed";"Probable"},'Data entry'!$AQ$6:$AQ$200,'Data Validation'!$V$8, 'Data entry'!$AP$6:$AP$200,'Data Validation'!$U$6, 'Data entry'!$BD$6:$BD$200,"&lt;&gt;*Negative*"))</f>
        <v>0</v>
      </c>
      <c r="BO45" s="15">
        <f>SUM(COUNTIFS('Data entry'!$R$6:$R$200,'Summary Data'!$A45,'Data entry'!$B$6:$B$200,{"Confirmed";"Probable"},'Data entry'!$AQ$6:$AQ$200,'Data Validation'!$V$9, 'Data entry'!$AP$6:$AP$200,'Data Validation'!$U$2, 'Data entry'!$BD$6:$BD$200,"&lt;&gt;*Negative*"))</f>
        <v>0</v>
      </c>
      <c r="BP45" s="15">
        <f>SUM(COUNTIFS('Data entry'!$R$6:$R$200,'Summary Data'!$A45,'Data entry'!$B$6:$B$200,{"Confirmed";"Probable"},'Data entry'!$AQ$6:$AQ$200,'Data Validation'!$V$9, 'Data entry'!$AP$6:$AP$200,'Data Validation'!$U$3, 'Data entry'!$BD$6:$BD$200,"&lt;&gt;*Negative*"))</f>
        <v>0</v>
      </c>
      <c r="BQ45" s="15">
        <f>SUM(COUNTIFS('Data entry'!$R$6:$R$200,'Summary Data'!$A45,'Data entry'!$B$6:$B$200,{"Confirmed";"Probable"},'Data entry'!$AQ$6:$AQ$200,'Data Validation'!$V$9, 'Data entry'!$AP$6:$AP$200,'Data Validation'!$U$4, 'Data entry'!$BD$6:$BD$200,"&lt;&gt;*Negative*"))</f>
        <v>0</v>
      </c>
      <c r="BR45" s="15">
        <f>SUM(COUNTIFS('Data entry'!$R$6:$R$200,'Summary Data'!$A45,'Data entry'!$B$6:$B$200,{"Confirmed";"Probable"},'Data entry'!$AQ$6:$AQ$200,'Data Validation'!$V$9, 'Data entry'!$AP$6:$AP$200,'Data Validation'!$U$5, 'Data entry'!$BD$6:$BD$200,"&lt;&gt;*Negative*"))</f>
        <v>0</v>
      </c>
      <c r="BS45" s="15">
        <f>SUM(COUNTIFS('Data entry'!$R$6:$R$200,'Summary Data'!$A45,'Data entry'!$B$6:$B$200,{"Confirmed";"Probable"},'Data entry'!$AQ$6:$AQ$200,'Data Validation'!$V$9, 'Data entry'!$AP$6:$AP$200,'Data Validation'!$U$6, 'Data entry'!$BD$6:$BD$200,"&lt;&gt;*Negative*"))</f>
        <v>0</v>
      </c>
      <c r="BT45" s="15">
        <f>SUM(COUNTIFS('Data entry'!$R$6:$R$200,'Summary Data'!$A45,'Data entry'!$B$6:$B$200,{"Confirmed";"Probable"},'Data entry'!$AQ$6:$AQ$200,'Data Validation'!$V$10, 'Data entry'!$AP$6:$AP$200,'Data Validation'!$U$2, 'Data entry'!$BD$6:$BD$200,"&lt;&gt;*Negative*"))</f>
        <v>0</v>
      </c>
      <c r="BU45" s="15">
        <f>SUM(COUNTIFS('Data entry'!$R$6:$R$200,'Summary Data'!$A45,'Data entry'!$B$6:$B$200,{"Confirmed";"Probable"},'Data entry'!$AQ$6:$AQ$200,'Data Validation'!$V$10, 'Data entry'!$AP$6:$AP$200,'Data Validation'!$U$3, 'Data entry'!$BD$6:$BD$200,"&lt;&gt;*Negative*"))</f>
        <v>0</v>
      </c>
      <c r="BV45" s="15">
        <f>SUM(COUNTIFS('Data entry'!$R$6:$R$200,'Summary Data'!$A45,'Data entry'!$B$6:$B$200,{"Confirmed";"Probable"},'Data entry'!$AQ$6:$AQ$200,'Data Validation'!$V$10, 'Data entry'!$AP$6:$AP$200,'Data Validation'!$U$4, 'Data entry'!$BD$6:$BD$200,"&lt;&gt;*Negative*"))</f>
        <v>0</v>
      </c>
      <c r="BW45" s="15">
        <f>SUM(COUNTIFS('Data entry'!$R$6:$R$200,'Summary Data'!$A45,'Data entry'!$B$6:$B$200,{"Confirmed";"Probable"},'Data entry'!$AQ$6:$AQ$200,'Data Validation'!$V$10, 'Data entry'!$AP$6:$AP$200,'Data Validation'!$U$5, 'Data entry'!$BD$6:$BD$200,"&lt;&gt;*Negative*"))</f>
        <v>0</v>
      </c>
      <c r="BX45" s="15">
        <f>SUM(COUNTIFS('Data entry'!$R$6:$R$200,'Summary Data'!$A45,'Data entry'!$B$6:$B$200,{"Confirmed";"Probable"},'Data entry'!$AQ$6:$AQ$200,'Data Validation'!$V$10, 'Data entry'!$AP$6:$AP$200,'Data Validation'!$U$6, 'Data entry'!$BD$6:$BD$200,"&lt;&gt;*Negative*"))</f>
        <v>0</v>
      </c>
      <c r="BY45" s="15">
        <f>SUM(COUNTIFS('Data entry'!$R$6:$R$200,'Summary Data'!$A45,'Data entry'!$B$6:$B$200,{"Confirmed";"Probable"},'Data entry'!$AQ$6:$AQ$200,'Data Validation'!$V$11, 'Data entry'!$AP$6:$AP$200,'Data Validation'!$U$2, 'Data entry'!$BD$6:$BD$200,"&lt;&gt;*Negative*"))</f>
        <v>0</v>
      </c>
      <c r="BZ45" s="15">
        <f>SUM(COUNTIFS('Data entry'!$R$6:$R$200,'Summary Data'!$A45,'Data entry'!$B$6:$B$200,{"Confirmed";"Probable"},'Data entry'!$AQ$6:$AQ$200,'Data Validation'!$V$11, 'Data entry'!$AP$6:$AP$200,'Data Validation'!$U$3, 'Data entry'!$BD$6:$BD$200,"&lt;&gt;*Negative*"))</f>
        <v>0</v>
      </c>
      <c r="CA45" s="15">
        <f>SUM(COUNTIFS('Data entry'!$R$6:$R$200,'Summary Data'!$A45,'Data entry'!$B$6:$B$200,{"Confirmed";"Probable"},'Data entry'!$AQ$6:$AQ$200,'Data Validation'!$V$11, 'Data entry'!$AP$6:$AP$200,'Data Validation'!$U$4, 'Data entry'!$BD$6:$BD$200,"&lt;&gt;*Negative*"))</f>
        <v>0</v>
      </c>
      <c r="CB45" s="15">
        <f>SUM(COUNTIFS('Data entry'!$R$6:$R$200,'Summary Data'!$A45,'Data entry'!$B$6:$B$200,{"Confirmed";"Probable"},'Data entry'!$AQ$6:$AQ$200,'Data Validation'!$V$11, 'Data entry'!$AP$6:$AP$200,'Data Validation'!$U$5, 'Data entry'!$BD$6:$BD$200,"&lt;&gt;*Negative*"))</f>
        <v>0</v>
      </c>
      <c r="CC45" s="15">
        <f>SUM(COUNTIFS('Data entry'!$R$6:$R$200,'Summary Data'!$A45,'Data entry'!$B$6:$B$200,{"Confirmed";"Probable"},'Data entry'!$AQ$6:$AQ$200,'Data Validation'!$V$11, 'Data entry'!$AP$6:$AP$200,'Data Validation'!$U$6, 'Data entry'!$BD$6:$BD$200,"&lt;&gt;*Negative*"))</f>
        <v>0</v>
      </c>
    </row>
    <row r="46" spans="1:81" x14ac:dyDescent="0.25">
      <c r="A46" s="12">
        <f t="shared" si="5"/>
        <v>34</v>
      </c>
      <c r="B46" s="13">
        <f t="shared" si="2"/>
        <v>0</v>
      </c>
      <c r="C46" s="13">
        <f>COUNTIFS('Data entry'!$R$6:$R$200,$A46,'Data entry'!$B$6:$B$200,"Confirmed",'Data entry'!$BD$6:$BD$200,"&lt;&gt;*Negative*")</f>
        <v>0</v>
      </c>
      <c r="D46" s="13">
        <f>COUNTIFS('Data entry'!$R$6:$R$200,$A46,'Data entry'!$B$6:$B$200,"Probable",'Data entry'!$BD$6:$BD$200,"&lt;&gt;*Negative*")</f>
        <v>0</v>
      </c>
      <c r="E46" s="13">
        <f>COUNTIFS('Data entry'!$R$6:$R$200,$A46,'Data entry'!$B$6:$B$200,"DNM")</f>
        <v>0</v>
      </c>
      <c r="F46" s="13">
        <f>SUM(COUNTIFS('Data entry'!$R$6:$R$200,'Summary Data'!$A46,'Data entry'!$B$6:$B$200,{"Confirmed";"Probable"},'Data entry'!$AO$6:$AO$200,$F$10, 'Data entry'!$BD$6:$BD$200,"&lt;&gt;*Negative*"))</f>
        <v>0</v>
      </c>
      <c r="G46" s="13">
        <f>SUM(COUNTIFS('Data entry'!$R$6:$R$200,'Summary Data'!$A46,'Data entry'!$B$6:$B$200,{"Confirmed";"Probable"},'Data entry'!$AO$6:$AO$200,$G$10, 'Data entry'!$BD$6:$BD$200,"&lt;&gt;*Negative*"))</f>
        <v>0</v>
      </c>
      <c r="H46" s="13">
        <f>SUM(COUNTIFS('Data entry'!$R$6:$R$200,'Summary Data'!$A46,'Data entry'!$B$6:$B$200,{"Confirmed";"Probable"},'Data entry'!$AO$6:$AO$200,$H$10, 'Data entry'!$BD$6:$BD$200,"&lt;&gt;*Negative*"))</f>
        <v>0</v>
      </c>
      <c r="I46" s="13">
        <f>SUM(COUNTIFS('Data entry'!$R$6:$R$200,'Summary Data'!$A46,'Data entry'!$B$6:$B$200,{"Confirmed";"Probable"},'Data entry'!$AO$6:$AO$200,$I$10, 'Data entry'!$BD$6:$BD$200,"&lt;&gt;*Negative*"))</f>
        <v>0</v>
      </c>
      <c r="J46" s="13">
        <f>SUM(COUNTIFS('Data entry'!$R$6:$R$200,'Summary Data'!$A46,'Data entry'!$B$6:$B$200,{"Confirmed";"Probable"},'Data entry'!$AO$6:$AO$200,$J$10, 'Data entry'!$BD$6:$BD$200,"&lt;&gt;*Negative*"))</f>
        <v>0</v>
      </c>
      <c r="K46" s="13">
        <f>SUM(COUNTIFS('Data entry'!$R$6:$R$200,'Summary Data'!$A46,'Data entry'!$B$6:$B$200,{"Confirmed";"Probable"},'Data entry'!$AO$6:$AO$200,$K$10, 'Data entry'!$BD$6:$BD$200,"&lt;&gt;*Negative*"))</f>
        <v>0</v>
      </c>
      <c r="L46" s="13">
        <f>SUM(COUNTIFS('Data entry'!$R$6:$R$200,'Summary Data'!$A46,'Data entry'!$B$6:$B$200,{"Confirmed";"Probable"},'Data entry'!$AO$6:$AO$200,$L$10, 'Data entry'!$BD$6:$BD$200,"&lt;&gt;*Negative*"))</f>
        <v>0</v>
      </c>
      <c r="M46" s="13">
        <f>SUM(COUNTIFS('Data entry'!$R$6:$R$200,'Summary Data'!$A46,'Data entry'!$B$6:$B$200,{"Confirmed";"Probable"},'Data entry'!$AO$6:$AO$200,$M$10, 'Data entry'!$BD$6:$BD$200,"&lt;&gt;*Negative*"))</f>
        <v>0</v>
      </c>
      <c r="N46" s="13">
        <f>SUM(COUNTIFS('Data entry'!$R$6:$R$200,'Summary Data'!$A46,'Data entry'!$B$6:$B$200,{"Confirmed";"Probable"},'Data entry'!$AO$6:$AO$200,$N$10, 'Data entry'!$BD$6:$BD$200,"&lt;&gt;*Negative*"))</f>
        <v>0</v>
      </c>
      <c r="O46" s="15">
        <f t="shared" si="3"/>
        <v>0</v>
      </c>
      <c r="P46" s="15">
        <f t="shared" si="4"/>
        <v>0</v>
      </c>
      <c r="Q46" s="15">
        <f>SUM(COUNTIFS('Data entry'!$R$6:$R$200,'Summary Data'!$A46,'Data entry'!$B$6:$B$200,{"Confirmed";"Probable"},'Data entry'!$AP$6:$AP$200,'Data Validation'!$U$2, 'Data entry'!$BD$6:$BD$200,"&lt;&gt;*Negative*"))</f>
        <v>0</v>
      </c>
      <c r="R46" s="15">
        <f>SUM(COUNTIFS('Data entry'!$R$6:$R$200,'Summary Data'!$A46,'Data entry'!$B$6:$B$200,{"Confirmed";"Probable"},'Data entry'!$AP$6:$AP$200,'Data Validation'!$U$3, 'Data entry'!$BD$6:$BD$200,"&lt;&gt;*Negative*"))</f>
        <v>0</v>
      </c>
      <c r="S46" s="15">
        <f>SUM(COUNTIFS('Data entry'!$R$6:$R$200,'Summary Data'!$A46,'Data entry'!$B$6:$B$200,{"Confirmed";"Probable"},'Data entry'!$AP$6:$AP$200,'Data Validation'!$U$4, 'Data entry'!$BD$6:$BD$200,"&lt;&gt;*Negative*"))</f>
        <v>0</v>
      </c>
      <c r="T46" s="15">
        <f>SUM(COUNTIFS('Data entry'!$R$6:$R$200,'Summary Data'!$A46,'Data entry'!$B$6:$B$200,{"Confirmed";"Probable"},'Data entry'!$AP$6:$AP$200,'Data Validation'!$U$5, 'Data entry'!$BD$6:$BD$200,"&lt;&gt;*Negative*"))</f>
        <v>0</v>
      </c>
      <c r="U46" s="15">
        <f>SUM(COUNTIFS('Data entry'!$R$6:$R$200,'Summary Data'!$A46,'Data entry'!$B$6:$B$200,{"Confirmed";"Probable"},'Data entry'!$AP$6:$AP$200,'Data Validation'!$U$6, 'Data entry'!$BD$6:$BD$200,"&lt;&gt;*Negative*"))</f>
        <v>0</v>
      </c>
      <c r="V46" s="15">
        <f>SUM(COUNTIFS('Data entry'!$R$6:$R$200,'Summary Data'!$A46,'Data entry'!$B$6:$B$200,{"Confirmed";"Probable"},'Data entry'!$AQ$6:$AQ$200,'Data Validation'!$V$2, 'Data entry'!$BD$6:$BD$200,"&lt;&gt;*Negative*"))</f>
        <v>0</v>
      </c>
      <c r="W46" s="15">
        <f>SUM(COUNTIFS('Data entry'!$R$6:$R$200,'Summary Data'!$A46,'Data entry'!$B$6:$B$200,{"Confirmed";"Probable"},'Data entry'!$AQ$6:$AQ$200,'Data Validation'!$V$3, 'Data entry'!$BD$6:$BD$200,"&lt;&gt;*Negative*"))</f>
        <v>0</v>
      </c>
      <c r="X46" s="15">
        <f>SUM(COUNTIFS('Data entry'!$R$6:$R$200,'Summary Data'!$A46,'Data entry'!$B$6:$B$200,{"Confirmed";"Probable"},'Data entry'!$AQ$6:$AQ$200,'Data Validation'!$V$4, 'Data entry'!$BD$6:$BD$200,"&lt;&gt;*Negative*"))</f>
        <v>0</v>
      </c>
      <c r="Y46" s="15">
        <f>SUM(COUNTIFS('Data entry'!$R$6:$R$200,'Summary Data'!$A46,'Data entry'!$B$6:$B$200,{"Confirmed";"Probable"},'Data entry'!$AQ$6:$AQ$200,'Data Validation'!$V$5, 'Data entry'!$BD$6:$BD$200,"&lt;&gt;*Negative*"))</f>
        <v>0</v>
      </c>
      <c r="Z46" s="15">
        <f>SUM(COUNTIFS('Data entry'!$R$6:$R$200,'Summary Data'!$A46,'Data entry'!$B$6:$B$200,{"Confirmed";"Probable"},'Data entry'!$AQ$6:$AQ$200,'Data Validation'!$V$6, 'Data entry'!$BD$6:$BD$200,"&lt;&gt;*Negative*"))</f>
        <v>0</v>
      </c>
      <c r="AA46" s="15">
        <f>SUM(COUNTIFS('Data entry'!$R$6:$R$200,'Summary Data'!$A46,'Data entry'!$B$6:$B$200,{"Confirmed";"Probable"},'Data entry'!$AQ$6:$AQ$200,'Data Validation'!$V$7, 'Data entry'!$BD$6:$BD$200,"&lt;&gt;*Negative*"))</f>
        <v>0</v>
      </c>
      <c r="AB46" s="15">
        <f>SUM(COUNTIFS('Data entry'!$R$6:$R$200,'Summary Data'!$A46,'Data entry'!$B$6:$B$200,{"Confirmed";"Probable"},'Data entry'!$AQ$6:$AQ$200,'Data Validation'!$V$8, 'Data entry'!$BD$6:$BD$200,"&lt;&gt;*Negative*"))</f>
        <v>0</v>
      </c>
      <c r="AC46" s="15">
        <f>SUM(COUNTIFS('Data entry'!$R$6:$R$200,'Summary Data'!$A46,'Data entry'!$B$6:$B$200,{"Confirmed";"Probable"},'Data entry'!$AQ$6:$AQ$200,'Data Validation'!$V$9, 'Data entry'!$BD$6:$BD$200,"&lt;&gt;*Negative*"))</f>
        <v>0</v>
      </c>
      <c r="AD46" s="15">
        <f>SUM(COUNTIFS('Data entry'!$R$6:$R$200,'Summary Data'!$A46,'Data entry'!$B$6:$B$200,{"Confirmed";"Probable"},'Data entry'!$AQ$6:$AQ$200,'Data Validation'!$V$10, 'Data entry'!$BD$6:$BD$200,"&lt;&gt;*Negative*"))</f>
        <v>0</v>
      </c>
      <c r="AE46" s="15">
        <f>SUM(COUNTIFS('Data entry'!$R$6:$R$200,'Summary Data'!$A46,'Data entry'!$B$6:$B$200,{"Confirmed";"Probable"},'Data entry'!$AQ$6:$AQ$200,'Data Validation'!$V$11, 'Data entry'!$BD$6:$BD$200,"&lt;&gt;*Negative*"))</f>
        <v>0</v>
      </c>
      <c r="AF46" s="15">
        <f>SUM(COUNTIFS('Data entry'!$R$6:$R$200,'Summary Data'!$A46,'Data entry'!$B$6:$B$200,{"Confirmed";"Probable"},'Data entry'!$AQ$6:$AQ$200,'Data Validation'!$V$2, 'Data entry'!$AP$6:$AP$200,'Data Validation'!$U$2, 'Data entry'!$BD$6:$BD$200,"&lt;&gt;*Negative*"))</f>
        <v>0</v>
      </c>
      <c r="AG46" s="15">
        <f>SUM(COUNTIFS('Data entry'!$R$6:$R$200,'Summary Data'!$A46,'Data entry'!$B$6:$B$200,{"Confirmed";"Probable"},'Data entry'!$AQ$6:$AQ$200,'Data Validation'!$V$2, 'Data entry'!$AP$6:$AP$200,'Data Validation'!$U$3, 'Data entry'!$BD$6:$BD$200,"&lt;&gt;*Negative*"))</f>
        <v>0</v>
      </c>
      <c r="AH46" s="15">
        <f>SUM(COUNTIFS('Data entry'!$R$6:$R$200,'Summary Data'!$A46,'Data entry'!$B$6:$B$200,{"Confirmed";"Probable"},'Data entry'!$AQ$6:$AQ$200,'Data Validation'!$V$2, 'Data entry'!$AP$6:$AP$200,'Data Validation'!$U$4, 'Data entry'!$BD$6:$BD$200,"&lt;&gt;*Negative*"))</f>
        <v>0</v>
      </c>
      <c r="AI46" s="15">
        <f>SUM(COUNTIFS('Data entry'!$R$6:$R$200,'Summary Data'!$A46,'Data entry'!$B$6:$B$200,{"Confirmed";"Probable"},'Data entry'!$AQ$6:$AQ$200,'Data Validation'!$V$2, 'Data entry'!$AP$6:$AP$200,'Data Validation'!$U$5, 'Data entry'!$BD$6:$BD$200,"&lt;&gt;*Negative*"))</f>
        <v>0</v>
      </c>
      <c r="AJ46" s="15">
        <f>SUM(COUNTIFS('Data entry'!$R$6:$R$200,'Summary Data'!$A46,'Data entry'!$B$6:$B$200,{"Confirmed";"Probable"},'Data entry'!$AQ$6:$AQ$200,'Data Validation'!$V$2, 'Data entry'!$AP$6:$AP$200,'Data Validation'!$U$6, 'Data entry'!$BD$6:$BD$200,"&lt;&gt;*Negative*"))</f>
        <v>0</v>
      </c>
      <c r="AK46" s="15">
        <f>SUM(COUNTIFS('Data entry'!$R$6:$R$200,'Summary Data'!$A46,'Data entry'!$B$6:$B$200,{"Confirmed";"Probable"},'Data entry'!$AQ$6:$AQ$200,'Data Validation'!$V$3, 'Data entry'!$AP$6:$AP$200,'Data Validation'!$U$2, 'Data entry'!$BD$6:$BD$200,"&lt;&gt;*Negative*"))</f>
        <v>0</v>
      </c>
      <c r="AL46" s="15">
        <f>SUM(COUNTIFS('Data entry'!$R$6:$R$200,'Summary Data'!$A46,'Data entry'!$B$6:$B$200,{"Confirmed";"Probable"},'Data entry'!$AQ$6:$AQ$200,'Data Validation'!$V$3, 'Data entry'!$AP$6:$AP$200,'Data Validation'!$U$3, 'Data entry'!$BD$6:$BD$200,"&lt;&gt;*Negative*"))</f>
        <v>0</v>
      </c>
      <c r="AM46" s="15">
        <f>SUM(COUNTIFS('Data entry'!$R$6:$R$200,'Summary Data'!$A46,'Data entry'!$B$6:$B$200,{"Confirmed";"Probable"},'Data entry'!$AQ$6:$AQ$200,'Data Validation'!$V$3, 'Data entry'!$AP$6:$AP$200,'Data Validation'!$U$4, 'Data entry'!$BD$6:$BD$200,"&lt;&gt;*Negative*"))</f>
        <v>0</v>
      </c>
      <c r="AN46" s="15">
        <f>SUM(COUNTIFS('Data entry'!$R$6:$R$200,'Summary Data'!$A46,'Data entry'!$B$6:$B$200,{"Confirmed";"Probable"},'Data entry'!$AQ$6:$AQ$200,'Data Validation'!$V$3, 'Data entry'!$AP$6:$AP$200,'Data Validation'!$U$5, 'Data entry'!$BD$6:$BD$200,"&lt;&gt;*Negative*"))</f>
        <v>0</v>
      </c>
      <c r="AO46" s="15">
        <f>SUM(COUNTIFS('Data entry'!$R$6:$R$200,'Summary Data'!$A46,'Data entry'!$B$6:$B$200,{"Confirmed";"Probable"},'Data entry'!$AQ$6:$AQ$200,'Data Validation'!$V$3, 'Data entry'!$AP$6:$AP$200,'Data Validation'!$U$6, 'Data entry'!$BD$6:$BD$200,"&lt;&gt;*Negative*"))</f>
        <v>0</v>
      </c>
      <c r="AP46" s="15">
        <f>SUM(COUNTIFS('Data entry'!$R$6:$R$200,'Summary Data'!$A46,'Data entry'!$B$6:$B$200,{"Confirmed";"Probable"},'Data entry'!$AQ$6:$AQ$200,'Data Validation'!$V$4, 'Data entry'!$AP$6:$AP$200,'Data Validation'!$U$2, 'Data entry'!$BD$6:$BD$200,"&lt;&gt;*Negative*"))</f>
        <v>0</v>
      </c>
      <c r="AQ46" s="15">
        <f>SUM(COUNTIFS('Data entry'!$R$6:$R$200,'Summary Data'!$A46,'Data entry'!$B$6:$B$200,{"Confirmed";"Probable"},'Data entry'!$AQ$6:$AQ$200,'Data Validation'!$V$4, 'Data entry'!$AP$6:$AP$200,'Data Validation'!$U$3, 'Data entry'!$BD$6:$BD$200,"&lt;&gt;*Negative*"))</f>
        <v>0</v>
      </c>
      <c r="AR46" s="15">
        <f>SUM(COUNTIFS('Data entry'!$R$6:$R$200,'Summary Data'!$A46,'Data entry'!$B$6:$B$200,{"Confirmed";"Probable"},'Data entry'!$AQ$6:$AQ$200,'Data Validation'!$V$4, 'Data entry'!$AP$6:$AP$200,'Data Validation'!$U$4, 'Data entry'!$BD$6:$BD$200,"&lt;&gt;*Negative*"))</f>
        <v>0</v>
      </c>
      <c r="AS46" s="15">
        <f>SUM(COUNTIFS('Data entry'!$R$6:$R$200,'Summary Data'!$A46,'Data entry'!$B$6:$B$200,{"Confirmed";"Probable"},'Data entry'!$AQ$6:$AQ$200,'Data Validation'!$V$4, 'Data entry'!$AP$6:$AP$200,'Data Validation'!$U$5, 'Data entry'!$BD$6:$BD$200,"&lt;&gt;*Negative*"))</f>
        <v>0</v>
      </c>
      <c r="AT46" s="15">
        <f>SUM(COUNTIFS('Data entry'!$R$6:$R$200,'Summary Data'!$A46,'Data entry'!$B$6:$B$200,{"Confirmed";"Probable"},'Data entry'!$AQ$6:$AQ$200,'Data Validation'!$V$4, 'Data entry'!$AP$6:$AP$200,'Data Validation'!$U$6, 'Data entry'!$BD$6:$BD$200,"&lt;&gt;*Negative*"))</f>
        <v>0</v>
      </c>
      <c r="AU46" s="15">
        <f>SUM(COUNTIFS('Data entry'!$R$6:$R$200,'Summary Data'!$A46,'Data entry'!$B$6:$B$200,{"Confirmed";"Probable"},'Data entry'!$AQ$6:$AQ$200,'Data Validation'!$V$5, 'Data entry'!$AP$6:$AP$200,'Data Validation'!$U$2, 'Data entry'!$BD$6:$BD$200,"&lt;&gt;*Negative*"))</f>
        <v>0</v>
      </c>
      <c r="AV46" s="15">
        <f>SUM(COUNTIFS('Data entry'!$R$6:$R$200,'Summary Data'!$A46,'Data entry'!$B$6:$B$200,{"Confirmed";"Probable"},'Data entry'!$AQ$6:$AQ$200,'Data Validation'!$V$5, 'Data entry'!$AP$6:$AP$200,'Data Validation'!$U$3, 'Data entry'!$BD$6:$BD$200,"&lt;&gt;*Negative*"))</f>
        <v>0</v>
      </c>
      <c r="AW46" s="15">
        <f>SUM(COUNTIFS('Data entry'!$R$6:$R$200,'Summary Data'!$A46,'Data entry'!$B$6:$B$200,{"Confirmed";"Probable"},'Data entry'!$AQ$6:$AQ$200,'Data Validation'!$V$5, 'Data entry'!$AP$6:$AP$200,'Data Validation'!$U$4, 'Data entry'!$BD$6:$BD$200,"&lt;&gt;*Negative*"))</f>
        <v>0</v>
      </c>
      <c r="AX46" s="15">
        <f>SUM(COUNTIFS('Data entry'!$R$6:$R$200,'Summary Data'!$A46,'Data entry'!$B$6:$B$200,{"Confirmed";"Probable"},'Data entry'!$AQ$6:$AQ$200,'Data Validation'!$V$5, 'Data entry'!$AP$6:$AP$200,'Data Validation'!$U$5, 'Data entry'!$BD$6:$BD$200,"&lt;&gt;*Negative*"))</f>
        <v>0</v>
      </c>
      <c r="AY46" s="15">
        <f>SUM(COUNTIFS('Data entry'!$R$6:$R$200,'Summary Data'!$A46,'Data entry'!$B$6:$B$200,{"Confirmed";"Probable"},'Data entry'!$AQ$6:$AQ$200,'Data Validation'!$V$5, 'Data entry'!$AP$6:$AP$200,'Data Validation'!$U$6, 'Data entry'!$BD$6:$BD$200,"&lt;&gt;*Negative*"))</f>
        <v>0</v>
      </c>
      <c r="AZ46" s="15">
        <f>SUM(COUNTIFS('Data entry'!$R$6:$R$200,'Summary Data'!$A46,'Data entry'!$B$6:$B$200,{"Confirmed";"Probable"},'Data entry'!$AQ$6:$AQ$200,'Data Validation'!$V$6, 'Data entry'!$AP$6:$AP$200,'Data Validation'!$U$2, 'Data entry'!$BD$6:$BD$200,"&lt;&gt;*Negative*"))</f>
        <v>0</v>
      </c>
      <c r="BA46" s="15">
        <f>SUM(COUNTIFS('Data entry'!$R$6:$R$200,'Summary Data'!$A46,'Data entry'!$B$6:$B$200,{"Confirmed";"Probable"},'Data entry'!$AQ$6:$AQ$200,'Data Validation'!$V$6, 'Data entry'!$AP$6:$AP$200,'Data Validation'!$U$3, 'Data entry'!$BD$6:$BD$200,"&lt;&gt;*Negative*"))</f>
        <v>0</v>
      </c>
      <c r="BB46" s="15">
        <f>SUM(COUNTIFS('Data entry'!$R$6:$R$200,'Summary Data'!$A46,'Data entry'!$B$6:$B$200,{"Confirmed";"Probable"},'Data entry'!$AQ$6:$AQ$200,'Data Validation'!$V$6, 'Data entry'!$AP$6:$AP$200,'Data Validation'!$U$4, 'Data entry'!$BD$6:$BD$200,"&lt;&gt;*Negative*"))</f>
        <v>0</v>
      </c>
      <c r="BC46" s="15">
        <f>SUM(COUNTIFS('Data entry'!$R$6:$R$200,'Summary Data'!$A46,'Data entry'!$B$6:$B$200,{"Confirmed";"Probable"},'Data entry'!$AQ$6:$AQ$200,'Data Validation'!$V$6, 'Data entry'!$AP$6:$AP$200,'Data Validation'!$U$5, 'Data entry'!$BD$6:$BD$200,"&lt;&gt;*Negative*"))</f>
        <v>0</v>
      </c>
      <c r="BD46" s="15">
        <f>SUM(COUNTIFS('Data entry'!$R$6:$R$200,'Summary Data'!$A46,'Data entry'!$B$6:$B$200,{"Confirmed";"Probable"},'Data entry'!$AQ$6:$AQ$200,'Data Validation'!$V$6, 'Data entry'!$AP$6:$AP$200,'Data Validation'!$U$6, 'Data entry'!$BD$6:$BD$200,"&lt;&gt;*Negative*"))</f>
        <v>0</v>
      </c>
      <c r="BE46" s="15">
        <f>SUM(COUNTIFS('Data entry'!$R$6:$R$200,'Summary Data'!$A46,'Data entry'!$B$6:$B$200,{"Confirmed";"Probable"},'Data entry'!$AQ$6:$AQ$200,'Data Validation'!$V$7, 'Data entry'!$AP$6:$AP$200,'Data Validation'!$U$2, 'Data entry'!$BD$6:$BD$200,"&lt;&gt;*Negative*"))</f>
        <v>0</v>
      </c>
      <c r="BF46" s="15">
        <f>SUM(COUNTIFS('Data entry'!$R$6:$R$200,'Summary Data'!$A46,'Data entry'!$B$6:$B$200,{"Confirmed";"Probable"},'Data entry'!$AQ$6:$AQ$200,'Data Validation'!$V$7, 'Data entry'!$AP$6:$AP$200,'Data Validation'!$U$3, 'Data entry'!$BD$6:$BD$200,"&lt;&gt;*Negative*"))</f>
        <v>0</v>
      </c>
      <c r="BG46" s="15">
        <f>SUM(COUNTIFS('Data entry'!$R$6:$R$200,'Summary Data'!$A46,'Data entry'!$B$6:$B$200,{"Confirmed";"Probable"},'Data entry'!$AQ$6:$AQ$200,'Data Validation'!$V$7, 'Data entry'!$AP$6:$AP$200,'Data Validation'!$U$4, 'Data entry'!$BD$6:$BD$200,"&lt;&gt;*Negative*"))</f>
        <v>0</v>
      </c>
      <c r="BH46" s="15">
        <f>SUM(COUNTIFS('Data entry'!$R$6:$R$200,'Summary Data'!$A46,'Data entry'!$B$6:$B$200,{"Confirmed";"Probable"},'Data entry'!$AQ$6:$AQ$200,'Data Validation'!$V$7, 'Data entry'!$AP$6:$AP$200,'Data Validation'!$U$5, 'Data entry'!$BD$6:$BD$200,"&lt;&gt;*Negative*"))</f>
        <v>0</v>
      </c>
      <c r="BI46" s="15">
        <f>SUM(COUNTIFS('Data entry'!$R$6:$R$200,'Summary Data'!$A46,'Data entry'!$B$6:$B$200,{"Confirmed";"Probable"},'Data entry'!$AQ$6:$AQ$200,'Data Validation'!$V$7, 'Data entry'!$AP$6:$AP$200,'Data Validation'!$U$6, 'Data entry'!$BD$6:$BD$200,"&lt;&gt;*Negative*"))</f>
        <v>0</v>
      </c>
      <c r="BJ46" s="15">
        <f>SUM(COUNTIFS('Data entry'!$R$6:$R$200,'Summary Data'!$A46,'Data entry'!$B$6:$B$200,{"Confirmed";"Probable"},'Data entry'!$AQ$6:$AQ$200,'Data Validation'!$V$8, 'Data entry'!$AP$6:$AP$200,'Data Validation'!$U$2, 'Data entry'!$BD$6:$BD$200,"&lt;&gt;*Negative*"))</f>
        <v>0</v>
      </c>
      <c r="BK46" s="15">
        <f>SUM(COUNTIFS('Data entry'!$R$6:$R$200,'Summary Data'!$A46,'Data entry'!$B$6:$B$200,{"Confirmed";"Probable"},'Data entry'!$AQ$6:$AQ$200,'Data Validation'!$V$8, 'Data entry'!$AP$6:$AP$200,'Data Validation'!$U$3, 'Data entry'!$BD$6:$BD$200,"&lt;&gt;*Negative*"))</f>
        <v>0</v>
      </c>
      <c r="BL46" s="15">
        <f>SUM(COUNTIFS('Data entry'!$R$6:$R$200,'Summary Data'!$A46,'Data entry'!$B$6:$B$200,{"Confirmed";"Probable"},'Data entry'!$AQ$6:$AQ$200,'Data Validation'!$V$8, 'Data entry'!$AP$6:$AP$200,'Data Validation'!$U$4, 'Data entry'!$BD$6:$BD$200,"&lt;&gt;*Negative*"))</f>
        <v>0</v>
      </c>
      <c r="BM46" s="15">
        <f>SUM(COUNTIFS('Data entry'!$R$6:$R$200,'Summary Data'!$A46,'Data entry'!$B$6:$B$200,{"Confirmed";"Probable"},'Data entry'!$AQ$6:$AQ$200,'Data Validation'!$V$8, 'Data entry'!$AP$6:$AP$200,'Data Validation'!$U$5, 'Data entry'!$BD$6:$BD$200,"&lt;&gt;*Negative*"))</f>
        <v>0</v>
      </c>
      <c r="BN46" s="15">
        <f>SUM(COUNTIFS('Data entry'!$R$6:$R$200,'Summary Data'!$A46,'Data entry'!$B$6:$B$200,{"Confirmed";"Probable"},'Data entry'!$AQ$6:$AQ$200,'Data Validation'!$V$8, 'Data entry'!$AP$6:$AP$200,'Data Validation'!$U$6, 'Data entry'!$BD$6:$BD$200,"&lt;&gt;*Negative*"))</f>
        <v>0</v>
      </c>
      <c r="BO46" s="15">
        <f>SUM(COUNTIFS('Data entry'!$R$6:$R$200,'Summary Data'!$A46,'Data entry'!$B$6:$B$200,{"Confirmed";"Probable"},'Data entry'!$AQ$6:$AQ$200,'Data Validation'!$V$9, 'Data entry'!$AP$6:$AP$200,'Data Validation'!$U$2, 'Data entry'!$BD$6:$BD$200,"&lt;&gt;*Negative*"))</f>
        <v>0</v>
      </c>
      <c r="BP46" s="15">
        <f>SUM(COUNTIFS('Data entry'!$R$6:$R$200,'Summary Data'!$A46,'Data entry'!$B$6:$B$200,{"Confirmed";"Probable"},'Data entry'!$AQ$6:$AQ$200,'Data Validation'!$V$9, 'Data entry'!$AP$6:$AP$200,'Data Validation'!$U$3, 'Data entry'!$BD$6:$BD$200,"&lt;&gt;*Negative*"))</f>
        <v>0</v>
      </c>
      <c r="BQ46" s="15">
        <f>SUM(COUNTIFS('Data entry'!$R$6:$R$200,'Summary Data'!$A46,'Data entry'!$B$6:$B$200,{"Confirmed";"Probable"},'Data entry'!$AQ$6:$AQ$200,'Data Validation'!$V$9, 'Data entry'!$AP$6:$AP$200,'Data Validation'!$U$4, 'Data entry'!$BD$6:$BD$200,"&lt;&gt;*Negative*"))</f>
        <v>0</v>
      </c>
      <c r="BR46" s="15">
        <f>SUM(COUNTIFS('Data entry'!$R$6:$R$200,'Summary Data'!$A46,'Data entry'!$B$6:$B$200,{"Confirmed";"Probable"},'Data entry'!$AQ$6:$AQ$200,'Data Validation'!$V$9, 'Data entry'!$AP$6:$AP$200,'Data Validation'!$U$5, 'Data entry'!$BD$6:$BD$200,"&lt;&gt;*Negative*"))</f>
        <v>0</v>
      </c>
      <c r="BS46" s="15">
        <f>SUM(COUNTIFS('Data entry'!$R$6:$R$200,'Summary Data'!$A46,'Data entry'!$B$6:$B$200,{"Confirmed";"Probable"},'Data entry'!$AQ$6:$AQ$200,'Data Validation'!$V$9, 'Data entry'!$AP$6:$AP$200,'Data Validation'!$U$6, 'Data entry'!$BD$6:$BD$200,"&lt;&gt;*Negative*"))</f>
        <v>0</v>
      </c>
      <c r="BT46" s="15">
        <f>SUM(COUNTIFS('Data entry'!$R$6:$R$200,'Summary Data'!$A46,'Data entry'!$B$6:$B$200,{"Confirmed";"Probable"},'Data entry'!$AQ$6:$AQ$200,'Data Validation'!$V$10, 'Data entry'!$AP$6:$AP$200,'Data Validation'!$U$2, 'Data entry'!$BD$6:$BD$200,"&lt;&gt;*Negative*"))</f>
        <v>0</v>
      </c>
      <c r="BU46" s="15">
        <f>SUM(COUNTIFS('Data entry'!$R$6:$R$200,'Summary Data'!$A46,'Data entry'!$B$6:$B$200,{"Confirmed";"Probable"},'Data entry'!$AQ$6:$AQ$200,'Data Validation'!$V$10, 'Data entry'!$AP$6:$AP$200,'Data Validation'!$U$3, 'Data entry'!$BD$6:$BD$200,"&lt;&gt;*Negative*"))</f>
        <v>0</v>
      </c>
      <c r="BV46" s="15">
        <f>SUM(COUNTIFS('Data entry'!$R$6:$R$200,'Summary Data'!$A46,'Data entry'!$B$6:$B$200,{"Confirmed";"Probable"},'Data entry'!$AQ$6:$AQ$200,'Data Validation'!$V$10, 'Data entry'!$AP$6:$AP$200,'Data Validation'!$U$4, 'Data entry'!$BD$6:$BD$200,"&lt;&gt;*Negative*"))</f>
        <v>0</v>
      </c>
      <c r="BW46" s="15">
        <f>SUM(COUNTIFS('Data entry'!$R$6:$R$200,'Summary Data'!$A46,'Data entry'!$B$6:$B$200,{"Confirmed";"Probable"},'Data entry'!$AQ$6:$AQ$200,'Data Validation'!$V$10, 'Data entry'!$AP$6:$AP$200,'Data Validation'!$U$5, 'Data entry'!$BD$6:$BD$200,"&lt;&gt;*Negative*"))</f>
        <v>0</v>
      </c>
      <c r="BX46" s="15">
        <f>SUM(COUNTIFS('Data entry'!$R$6:$R$200,'Summary Data'!$A46,'Data entry'!$B$6:$B$200,{"Confirmed";"Probable"},'Data entry'!$AQ$6:$AQ$200,'Data Validation'!$V$10, 'Data entry'!$AP$6:$AP$200,'Data Validation'!$U$6, 'Data entry'!$BD$6:$BD$200,"&lt;&gt;*Negative*"))</f>
        <v>0</v>
      </c>
      <c r="BY46" s="15">
        <f>SUM(COUNTIFS('Data entry'!$R$6:$R$200,'Summary Data'!$A46,'Data entry'!$B$6:$B$200,{"Confirmed";"Probable"},'Data entry'!$AQ$6:$AQ$200,'Data Validation'!$V$11, 'Data entry'!$AP$6:$AP$200,'Data Validation'!$U$2, 'Data entry'!$BD$6:$BD$200,"&lt;&gt;*Negative*"))</f>
        <v>0</v>
      </c>
      <c r="BZ46" s="15">
        <f>SUM(COUNTIFS('Data entry'!$R$6:$R$200,'Summary Data'!$A46,'Data entry'!$B$6:$B$200,{"Confirmed";"Probable"},'Data entry'!$AQ$6:$AQ$200,'Data Validation'!$V$11, 'Data entry'!$AP$6:$AP$200,'Data Validation'!$U$3, 'Data entry'!$BD$6:$BD$200,"&lt;&gt;*Negative*"))</f>
        <v>0</v>
      </c>
      <c r="CA46" s="15">
        <f>SUM(COUNTIFS('Data entry'!$R$6:$R$200,'Summary Data'!$A46,'Data entry'!$B$6:$B$200,{"Confirmed";"Probable"},'Data entry'!$AQ$6:$AQ$200,'Data Validation'!$V$11, 'Data entry'!$AP$6:$AP$200,'Data Validation'!$U$4, 'Data entry'!$BD$6:$BD$200,"&lt;&gt;*Negative*"))</f>
        <v>0</v>
      </c>
      <c r="CB46" s="15">
        <f>SUM(COUNTIFS('Data entry'!$R$6:$R$200,'Summary Data'!$A46,'Data entry'!$B$6:$B$200,{"Confirmed";"Probable"},'Data entry'!$AQ$6:$AQ$200,'Data Validation'!$V$11, 'Data entry'!$AP$6:$AP$200,'Data Validation'!$U$5, 'Data entry'!$BD$6:$BD$200,"&lt;&gt;*Negative*"))</f>
        <v>0</v>
      </c>
      <c r="CC46" s="15">
        <f>SUM(COUNTIFS('Data entry'!$R$6:$R$200,'Summary Data'!$A46,'Data entry'!$B$6:$B$200,{"Confirmed";"Probable"},'Data entry'!$AQ$6:$AQ$200,'Data Validation'!$V$11, 'Data entry'!$AP$6:$AP$200,'Data Validation'!$U$6, 'Data entry'!$BD$6:$BD$200,"&lt;&gt;*Negative*"))</f>
        <v>0</v>
      </c>
    </row>
    <row r="47" spans="1:81" x14ac:dyDescent="0.25">
      <c r="A47" s="12">
        <f t="shared" si="5"/>
        <v>35</v>
      </c>
      <c r="B47" s="13">
        <f t="shared" si="2"/>
        <v>0</v>
      </c>
      <c r="C47" s="13">
        <f>COUNTIFS('Data entry'!$R$6:$R$200,$A47,'Data entry'!$B$6:$B$200,"Confirmed",'Data entry'!$BD$6:$BD$200,"&lt;&gt;*Negative*")</f>
        <v>0</v>
      </c>
      <c r="D47" s="13">
        <f>COUNTIFS('Data entry'!$R$6:$R$200,$A47,'Data entry'!$B$6:$B$200,"Probable",'Data entry'!$BD$6:$BD$200,"&lt;&gt;*Negative*")</f>
        <v>0</v>
      </c>
      <c r="E47" s="13">
        <f>COUNTIFS('Data entry'!$R$6:$R$200,$A47,'Data entry'!$B$6:$B$200,"DNM")</f>
        <v>0</v>
      </c>
      <c r="F47" s="13">
        <f>SUM(COUNTIFS('Data entry'!$R$6:$R$200,'Summary Data'!$A47,'Data entry'!$B$6:$B$200,{"Confirmed";"Probable"},'Data entry'!$AO$6:$AO$200,$F$10, 'Data entry'!$BD$6:$BD$200,"&lt;&gt;*Negative*"))</f>
        <v>0</v>
      </c>
      <c r="G47" s="13">
        <f>SUM(COUNTIFS('Data entry'!$R$6:$R$200,'Summary Data'!$A47,'Data entry'!$B$6:$B$200,{"Confirmed";"Probable"},'Data entry'!$AO$6:$AO$200,$G$10, 'Data entry'!$BD$6:$BD$200,"&lt;&gt;*Negative*"))</f>
        <v>0</v>
      </c>
      <c r="H47" s="13">
        <f>SUM(COUNTIFS('Data entry'!$R$6:$R$200,'Summary Data'!$A47,'Data entry'!$B$6:$B$200,{"Confirmed";"Probable"},'Data entry'!$AO$6:$AO$200,$H$10, 'Data entry'!$BD$6:$BD$200,"&lt;&gt;*Negative*"))</f>
        <v>0</v>
      </c>
      <c r="I47" s="13">
        <f>SUM(COUNTIFS('Data entry'!$R$6:$R$200,'Summary Data'!$A47,'Data entry'!$B$6:$B$200,{"Confirmed";"Probable"},'Data entry'!$AO$6:$AO$200,$I$10, 'Data entry'!$BD$6:$BD$200,"&lt;&gt;*Negative*"))</f>
        <v>0</v>
      </c>
      <c r="J47" s="13">
        <f>SUM(COUNTIFS('Data entry'!$R$6:$R$200,'Summary Data'!$A47,'Data entry'!$B$6:$B$200,{"Confirmed";"Probable"},'Data entry'!$AO$6:$AO$200,$J$10, 'Data entry'!$BD$6:$BD$200,"&lt;&gt;*Negative*"))</f>
        <v>0</v>
      </c>
      <c r="K47" s="13">
        <f>SUM(COUNTIFS('Data entry'!$R$6:$R$200,'Summary Data'!$A47,'Data entry'!$B$6:$B$200,{"Confirmed";"Probable"},'Data entry'!$AO$6:$AO$200,$K$10, 'Data entry'!$BD$6:$BD$200,"&lt;&gt;*Negative*"))</f>
        <v>0</v>
      </c>
      <c r="L47" s="13">
        <f>SUM(COUNTIFS('Data entry'!$R$6:$R$200,'Summary Data'!$A47,'Data entry'!$B$6:$B$200,{"Confirmed";"Probable"},'Data entry'!$AO$6:$AO$200,$L$10, 'Data entry'!$BD$6:$BD$200,"&lt;&gt;*Negative*"))</f>
        <v>0</v>
      </c>
      <c r="M47" s="13">
        <f>SUM(COUNTIFS('Data entry'!$R$6:$R$200,'Summary Data'!$A47,'Data entry'!$B$6:$B$200,{"Confirmed";"Probable"},'Data entry'!$AO$6:$AO$200,$M$10, 'Data entry'!$BD$6:$BD$200,"&lt;&gt;*Negative*"))</f>
        <v>0</v>
      </c>
      <c r="N47" s="13">
        <f>SUM(COUNTIFS('Data entry'!$R$6:$R$200,'Summary Data'!$A47,'Data entry'!$B$6:$B$200,{"Confirmed";"Probable"},'Data entry'!$AO$6:$AO$200,$N$10, 'Data entry'!$BD$6:$BD$200,"&lt;&gt;*Negative*"))</f>
        <v>0</v>
      </c>
      <c r="O47" s="15">
        <f t="shared" si="3"/>
        <v>0</v>
      </c>
      <c r="P47" s="15">
        <f t="shared" si="4"/>
        <v>0</v>
      </c>
      <c r="Q47" s="15">
        <f>SUM(COUNTIFS('Data entry'!$R$6:$R$200,'Summary Data'!$A47,'Data entry'!$B$6:$B$200,{"Confirmed";"Probable"},'Data entry'!$AP$6:$AP$200,'Data Validation'!$U$2, 'Data entry'!$BD$6:$BD$200,"&lt;&gt;*Negative*"))</f>
        <v>0</v>
      </c>
      <c r="R47" s="15">
        <f>SUM(COUNTIFS('Data entry'!$R$6:$R$200,'Summary Data'!$A47,'Data entry'!$B$6:$B$200,{"Confirmed";"Probable"},'Data entry'!$AP$6:$AP$200,'Data Validation'!$U$3, 'Data entry'!$BD$6:$BD$200,"&lt;&gt;*Negative*"))</f>
        <v>0</v>
      </c>
      <c r="S47" s="15">
        <f>SUM(COUNTIFS('Data entry'!$R$6:$R$200,'Summary Data'!$A47,'Data entry'!$B$6:$B$200,{"Confirmed";"Probable"},'Data entry'!$AP$6:$AP$200,'Data Validation'!$U$4, 'Data entry'!$BD$6:$BD$200,"&lt;&gt;*Negative*"))</f>
        <v>0</v>
      </c>
      <c r="T47" s="15">
        <f>SUM(COUNTIFS('Data entry'!$R$6:$R$200,'Summary Data'!$A47,'Data entry'!$B$6:$B$200,{"Confirmed";"Probable"},'Data entry'!$AP$6:$AP$200,'Data Validation'!$U$5, 'Data entry'!$BD$6:$BD$200,"&lt;&gt;*Negative*"))</f>
        <v>0</v>
      </c>
      <c r="U47" s="15">
        <f>SUM(COUNTIFS('Data entry'!$R$6:$R$200,'Summary Data'!$A47,'Data entry'!$B$6:$B$200,{"Confirmed";"Probable"},'Data entry'!$AP$6:$AP$200,'Data Validation'!$U$6, 'Data entry'!$BD$6:$BD$200,"&lt;&gt;*Negative*"))</f>
        <v>0</v>
      </c>
      <c r="V47" s="15">
        <f>SUM(COUNTIFS('Data entry'!$R$6:$R$200,'Summary Data'!$A47,'Data entry'!$B$6:$B$200,{"Confirmed";"Probable"},'Data entry'!$AQ$6:$AQ$200,'Data Validation'!$V$2, 'Data entry'!$BD$6:$BD$200,"&lt;&gt;*Negative*"))</f>
        <v>0</v>
      </c>
      <c r="W47" s="15">
        <f>SUM(COUNTIFS('Data entry'!$R$6:$R$200,'Summary Data'!$A47,'Data entry'!$B$6:$B$200,{"Confirmed";"Probable"},'Data entry'!$AQ$6:$AQ$200,'Data Validation'!$V$3, 'Data entry'!$BD$6:$BD$200,"&lt;&gt;*Negative*"))</f>
        <v>0</v>
      </c>
      <c r="X47" s="15">
        <f>SUM(COUNTIFS('Data entry'!$R$6:$R$200,'Summary Data'!$A47,'Data entry'!$B$6:$B$200,{"Confirmed";"Probable"},'Data entry'!$AQ$6:$AQ$200,'Data Validation'!$V$4, 'Data entry'!$BD$6:$BD$200,"&lt;&gt;*Negative*"))</f>
        <v>0</v>
      </c>
      <c r="Y47" s="15">
        <f>SUM(COUNTIFS('Data entry'!$R$6:$R$200,'Summary Data'!$A47,'Data entry'!$B$6:$B$200,{"Confirmed";"Probable"},'Data entry'!$AQ$6:$AQ$200,'Data Validation'!$V$5, 'Data entry'!$BD$6:$BD$200,"&lt;&gt;*Negative*"))</f>
        <v>0</v>
      </c>
      <c r="Z47" s="15">
        <f>SUM(COUNTIFS('Data entry'!$R$6:$R$200,'Summary Data'!$A47,'Data entry'!$B$6:$B$200,{"Confirmed";"Probable"},'Data entry'!$AQ$6:$AQ$200,'Data Validation'!$V$6, 'Data entry'!$BD$6:$BD$200,"&lt;&gt;*Negative*"))</f>
        <v>0</v>
      </c>
      <c r="AA47" s="15">
        <f>SUM(COUNTIFS('Data entry'!$R$6:$R$200,'Summary Data'!$A47,'Data entry'!$B$6:$B$200,{"Confirmed";"Probable"},'Data entry'!$AQ$6:$AQ$200,'Data Validation'!$V$7, 'Data entry'!$BD$6:$BD$200,"&lt;&gt;*Negative*"))</f>
        <v>0</v>
      </c>
      <c r="AB47" s="15">
        <f>SUM(COUNTIFS('Data entry'!$R$6:$R$200,'Summary Data'!$A47,'Data entry'!$B$6:$B$200,{"Confirmed";"Probable"},'Data entry'!$AQ$6:$AQ$200,'Data Validation'!$V$8, 'Data entry'!$BD$6:$BD$200,"&lt;&gt;*Negative*"))</f>
        <v>0</v>
      </c>
      <c r="AC47" s="15">
        <f>SUM(COUNTIFS('Data entry'!$R$6:$R$200,'Summary Data'!$A47,'Data entry'!$B$6:$B$200,{"Confirmed";"Probable"},'Data entry'!$AQ$6:$AQ$200,'Data Validation'!$V$9, 'Data entry'!$BD$6:$BD$200,"&lt;&gt;*Negative*"))</f>
        <v>0</v>
      </c>
      <c r="AD47" s="15">
        <f>SUM(COUNTIFS('Data entry'!$R$6:$R$200,'Summary Data'!$A47,'Data entry'!$B$6:$B$200,{"Confirmed";"Probable"},'Data entry'!$AQ$6:$AQ$200,'Data Validation'!$V$10, 'Data entry'!$BD$6:$BD$200,"&lt;&gt;*Negative*"))</f>
        <v>0</v>
      </c>
      <c r="AE47" s="15">
        <f>SUM(COUNTIFS('Data entry'!$R$6:$R$200,'Summary Data'!$A47,'Data entry'!$B$6:$B$200,{"Confirmed";"Probable"},'Data entry'!$AQ$6:$AQ$200,'Data Validation'!$V$11, 'Data entry'!$BD$6:$BD$200,"&lt;&gt;*Negative*"))</f>
        <v>0</v>
      </c>
      <c r="AF47" s="15">
        <f>SUM(COUNTIFS('Data entry'!$R$6:$R$200,'Summary Data'!$A47,'Data entry'!$B$6:$B$200,{"Confirmed";"Probable"},'Data entry'!$AQ$6:$AQ$200,'Data Validation'!$V$2, 'Data entry'!$AP$6:$AP$200,'Data Validation'!$U$2, 'Data entry'!$BD$6:$BD$200,"&lt;&gt;*Negative*"))</f>
        <v>0</v>
      </c>
      <c r="AG47" s="15">
        <f>SUM(COUNTIFS('Data entry'!$R$6:$R$200,'Summary Data'!$A47,'Data entry'!$B$6:$B$200,{"Confirmed";"Probable"},'Data entry'!$AQ$6:$AQ$200,'Data Validation'!$V$2, 'Data entry'!$AP$6:$AP$200,'Data Validation'!$U$3, 'Data entry'!$BD$6:$BD$200,"&lt;&gt;*Negative*"))</f>
        <v>0</v>
      </c>
      <c r="AH47" s="15">
        <f>SUM(COUNTIFS('Data entry'!$R$6:$R$200,'Summary Data'!$A47,'Data entry'!$B$6:$B$200,{"Confirmed";"Probable"},'Data entry'!$AQ$6:$AQ$200,'Data Validation'!$V$2, 'Data entry'!$AP$6:$AP$200,'Data Validation'!$U$4, 'Data entry'!$BD$6:$BD$200,"&lt;&gt;*Negative*"))</f>
        <v>0</v>
      </c>
      <c r="AI47" s="15">
        <f>SUM(COUNTIFS('Data entry'!$R$6:$R$200,'Summary Data'!$A47,'Data entry'!$B$6:$B$200,{"Confirmed";"Probable"},'Data entry'!$AQ$6:$AQ$200,'Data Validation'!$V$2, 'Data entry'!$AP$6:$AP$200,'Data Validation'!$U$5, 'Data entry'!$BD$6:$BD$200,"&lt;&gt;*Negative*"))</f>
        <v>0</v>
      </c>
      <c r="AJ47" s="15">
        <f>SUM(COUNTIFS('Data entry'!$R$6:$R$200,'Summary Data'!$A47,'Data entry'!$B$6:$B$200,{"Confirmed";"Probable"},'Data entry'!$AQ$6:$AQ$200,'Data Validation'!$V$2, 'Data entry'!$AP$6:$AP$200,'Data Validation'!$U$6, 'Data entry'!$BD$6:$BD$200,"&lt;&gt;*Negative*"))</f>
        <v>0</v>
      </c>
      <c r="AK47" s="15">
        <f>SUM(COUNTIFS('Data entry'!$R$6:$R$200,'Summary Data'!$A47,'Data entry'!$B$6:$B$200,{"Confirmed";"Probable"},'Data entry'!$AQ$6:$AQ$200,'Data Validation'!$V$3, 'Data entry'!$AP$6:$AP$200,'Data Validation'!$U$2, 'Data entry'!$BD$6:$BD$200,"&lt;&gt;*Negative*"))</f>
        <v>0</v>
      </c>
      <c r="AL47" s="15">
        <f>SUM(COUNTIFS('Data entry'!$R$6:$R$200,'Summary Data'!$A47,'Data entry'!$B$6:$B$200,{"Confirmed";"Probable"},'Data entry'!$AQ$6:$AQ$200,'Data Validation'!$V$3, 'Data entry'!$AP$6:$AP$200,'Data Validation'!$U$3, 'Data entry'!$BD$6:$BD$200,"&lt;&gt;*Negative*"))</f>
        <v>0</v>
      </c>
      <c r="AM47" s="15">
        <f>SUM(COUNTIFS('Data entry'!$R$6:$R$200,'Summary Data'!$A47,'Data entry'!$B$6:$B$200,{"Confirmed";"Probable"},'Data entry'!$AQ$6:$AQ$200,'Data Validation'!$V$3, 'Data entry'!$AP$6:$AP$200,'Data Validation'!$U$4, 'Data entry'!$BD$6:$BD$200,"&lt;&gt;*Negative*"))</f>
        <v>0</v>
      </c>
      <c r="AN47" s="15">
        <f>SUM(COUNTIFS('Data entry'!$R$6:$R$200,'Summary Data'!$A47,'Data entry'!$B$6:$B$200,{"Confirmed";"Probable"},'Data entry'!$AQ$6:$AQ$200,'Data Validation'!$V$3, 'Data entry'!$AP$6:$AP$200,'Data Validation'!$U$5, 'Data entry'!$BD$6:$BD$200,"&lt;&gt;*Negative*"))</f>
        <v>0</v>
      </c>
      <c r="AO47" s="15">
        <f>SUM(COUNTIFS('Data entry'!$R$6:$R$200,'Summary Data'!$A47,'Data entry'!$B$6:$B$200,{"Confirmed";"Probable"},'Data entry'!$AQ$6:$AQ$200,'Data Validation'!$V$3, 'Data entry'!$AP$6:$AP$200,'Data Validation'!$U$6, 'Data entry'!$BD$6:$BD$200,"&lt;&gt;*Negative*"))</f>
        <v>0</v>
      </c>
      <c r="AP47" s="15">
        <f>SUM(COUNTIFS('Data entry'!$R$6:$R$200,'Summary Data'!$A47,'Data entry'!$B$6:$B$200,{"Confirmed";"Probable"},'Data entry'!$AQ$6:$AQ$200,'Data Validation'!$V$4, 'Data entry'!$AP$6:$AP$200,'Data Validation'!$U$2, 'Data entry'!$BD$6:$BD$200,"&lt;&gt;*Negative*"))</f>
        <v>0</v>
      </c>
      <c r="AQ47" s="15">
        <f>SUM(COUNTIFS('Data entry'!$R$6:$R$200,'Summary Data'!$A47,'Data entry'!$B$6:$B$200,{"Confirmed";"Probable"},'Data entry'!$AQ$6:$AQ$200,'Data Validation'!$V$4, 'Data entry'!$AP$6:$AP$200,'Data Validation'!$U$3, 'Data entry'!$BD$6:$BD$200,"&lt;&gt;*Negative*"))</f>
        <v>0</v>
      </c>
      <c r="AR47" s="15">
        <f>SUM(COUNTIFS('Data entry'!$R$6:$R$200,'Summary Data'!$A47,'Data entry'!$B$6:$B$200,{"Confirmed";"Probable"},'Data entry'!$AQ$6:$AQ$200,'Data Validation'!$V$4, 'Data entry'!$AP$6:$AP$200,'Data Validation'!$U$4, 'Data entry'!$BD$6:$BD$200,"&lt;&gt;*Negative*"))</f>
        <v>0</v>
      </c>
      <c r="AS47" s="15">
        <f>SUM(COUNTIFS('Data entry'!$R$6:$R$200,'Summary Data'!$A47,'Data entry'!$B$6:$B$200,{"Confirmed";"Probable"},'Data entry'!$AQ$6:$AQ$200,'Data Validation'!$V$4, 'Data entry'!$AP$6:$AP$200,'Data Validation'!$U$5, 'Data entry'!$BD$6:$BD$200,"&lt;&gt;*Negative*"))</f>
        <v>0</v>
      </c>
      <c r="AT47" s="15">
        <f>SUM(COUNTIFS('Data entry'!$R$6:$R$200,'Summary Data'!$A47,'Data entry'!$B$6:$B$200,{"Confirmed";"Probable"},'Data entry'!$AQ$6:$AQ$200,'Data Validation'!$V$4, 'Data entry'!$AP$6:$AP$200,'Data Validation'!$U$6, 'Data entry'!$BD$6:$BD$200,"&lt;&gt;*Negative*"))</f>
        <v>0</v>
      </c>
      <c r="AU47" s="15">
        <f>SUM(COUNTIFS('Data entry'!$R$6:$R$200,'Summary Data'!$A47,'Data entry'!$B$6:$B$200,{"Confirmed";"Probable"},'Data entry'!$AQ$6:$AQ$200,'Data Validation'!$V$5, 'Data entry'!$AP$6:$AP$200,'Data Validation'!$U$2, 'Data entry'!$BD$6:$BD$200,"&lt;&gt;*Negative*"))</f>
        <v>0</v>
      </c>
      <c r="AV47" s="15">
        <f>SUM(COUNTIFS('Data entry'!$R$6:$R$200,'Summary Data'!$A47,'Data entry'!$B$6:$B$200,{"Confirmed";"Probable"},'Data entry'!$AQ$6:$AQ$200,'Data Validation'!$V$5, 'Data entry'!$AP$6:$AP$200,'Data Validation'!$U$3, 'Data entry'!$BD$6:$BD$200,"&lt;&gt;*Negative*"))</f>
        <v>0</v>
      </c>
      <c r="AW47" s="15">
        <f>SUM(COUNTIFS('Data entry'!$R$6:$R$200,'Summary Data'!$A47,'Data entry'!$B$6:$B$200,{"Confirmed";"Probable"},'Data entry'!$AQ$6:$AQ$200,'Data Validation'!$V$5, 'Data entry'!$AP$6:$AP$200,'Data Validation'!$U$4, 'Data entry'!$BD$6:$BD$200,"&lt;&gt;*Negative*"))</f>
        <v>0</v>
      </c>
      <c r="AX47" s="15">
        <f>SUM(COUNTIFS('Data entry'!$R$6:$R$200,'Summary Data'!$A47,'Data entry'!$B$6:$B$200,{"Confirmed";"Probable"},'Data entry'!$AQ$6:$AQ$200,'Data Validation'!$V$5, 'Data entry'!$AP$6:$AP$200,'Data Validation'!$U$5, 'Data entry'!$BD$6:$BD$200,"&lt;&gt;*Negative*"))</f>
        <v>0</v>
      </c>
      <c r="AY47" s="15">
        <f>SUM(COUNTIFS('Data entry'!$R$6:$R$200,'Summary Data'!$A47,'Data entry'!$B$6:$B$200,{"Confirmed";"Probable"},'Data entry'!$AQ$6:$AQ$200,'Data Validation'!$V$5, 'Data entry'!$AP$6:$AP$200,'Data Validation'!$U$6, 'Data entry'!$BD$6:$BD$200,"&lt;&gt;*Negative*"))</f>
        <v>0</v>
      </c>
      <c r="AZ47" s="15">
        <f>SUM(COUNTIFS('Data entry'!$R$6:$R$200,'Summary Data'!$A47,'Data entry'!$B$6:$B$200,{"Confirmed";"Probable"},'Data entry'!$AQ$6:$AQ$200,'Data Validation'!$V$6, 'Data entry'!$AP$6:$AP$200,'Data Validation'!$U$2, 'Data entry'!$BD$6:$BD$200,"&lt;&gt;*Negative*"))</f>
        <v>0</v>
      </c>
      <c r="BA47" s="15">
        <f>SUM(COUNTIFS('Data entry'!$R$6:$R$200,'Summary Data'!$A47,'Data entry'!$B$6:$B$200,{"Confirmed";"Probable"},'Data entry'!$AQ$6:$AQ$200,'Data Validation'!$V$6, 'Data entry'!$AP$6:$AP$200,'Data Validation'!$U$3, 'Data entry'!$BD$6:$BD$200,"&lt;&gt;*Negative*"))</f>
        <v>0</v>
      </c>
      <c r="BB47" s="15">
        <f>SUM(COUNTIFS('Data entry'!$R$6:$R$200,'Summary Data'!$A47,'Data entry'!$B$6:$B$200,{"Confirmed";"Probable"},'Data entry'!$AQ$6:$AQ$200,'Data Validation'!$V$6, 'Data entry'!$AP$6:$AP$200,'Data Validation'!$U$4, 'Data entry'!$BD$6:$BD$200,"&lt;&gt;*Negative*"))</f>
        <v>0</v>
      </c>
      <c r="BC47" s="15">
        <f>SUM(COUNTIFS('Data entry'!$R$6:$R$200,'Summary Data'!$A47,'Data entry'!$B$6:$B$200,{"Confirmed";"Probable"},'Data entry'!$AQ$6:$AQ$200,'Data Validation'!$V$6, 'Data entry'!$AP$6:$AP$200,'Data Validation'!$U$5, 'Data entry'!$BD$6:$BD$200,"&lt;&gt;*Negative*"))</f>
        <v>0</v>
      </c>
      <c r="BD47" s="15">
        <f>SUM(COUNTIFS('Data entry'!$R$6:$R$200,'Summary Data'!$A47,'Data entry'!$B$6:$B$200,{"Confirmed";"Probable"},'Data entry'!$AQ$6:$AQ$200,'Data Validation'!$V$6, 'Data entry'!$AP$6:$AP$200,'Data Validation'!$U$6, 'Data entry'!$BD$6:$BD$200,"&lt;&gt;*Negative*"))</f>
        <v>0</v>
      </c>
      <c r="BE47" s="15">
        <f>SUM(COUNTIFS('Data entry'!$R$6:$R$200,'Summary Data'!$A47,'Data entry'!$B$6:$B$200,{"Confirmed";"Probable"},'Data entry'!$AQ$6:$AQ$200,'Data Validation'!$V$7, 'Data entry'!$AP$6:$AP$200,'Data Validation'!$U$2, 'Data entry'!$BD$6:$BD$200,"&lt;&gt;*Negative*"))</f>
        <v>0</v>
      </c>
      <c r="BF47" s="15">
        <f>SUM(COUNTIFS('Data entry'!$R$6:$R$200,'Summary Data'!$A47,'Data entry'!$B$6:$B$200,{"Confirmed";"Probable"},'Data entry'!$AQ$6:$AQ$200,'Data Validation'!$V$7, 'Data entry'!$AP$6:$AP$200,'Data Validation'!$U$3, 'Data entry'!$BD$6:$BD$200,"&lt;&gt;*Negative*"))</f>
        <v>0</v>
      </c>
      <c r="BG47" s="15">
        <f>SUM(COUNTIFS('Data entry'!$R$6:$R$200,'Summary Data'!$A47,'Data entry'!$B$6:$B$200,{"Confirmed";"Probable"},'Data entry'!$AQ$6:$AQ$200,'Data Validation'!$V$7, 'Data entry'!$AP$6:$AP$200,'Data Validation'!$U$4, 'Data entry'!$BD$6:$BD$200,"&lt;&gt;*Negative*"))</f>
        <v>0</v>
      </c>
      <c r="BH47" s="15">
        <f>SUM(COUNTIFS('Data entry'!$R$6:$R$200,'Summary Data'!$A47,'Data entry'!$B$6:$B$200,{"Confirmed";"Probable"},'Data entry'!$AQ$6:$AQ$200,'Data Validation'!$V$7, 'Data entry'!$AP$6:$AP$200,'Data Validation'!$U$5, 'Data entry'!$BD$6:$BD$200,"&lt;&gt;*Negative*"))</f>
        <v>0</v>
      </c>
      <c r="BI47" s="15">
        <f>SUM(COUNTIFS('Data entry'!$R$6:$R$200,'Summary Data'!$A47,'Data entry'!$B$6:$B$200,{"Confirmed";"Probable"},'Data entry'!$AQ$6:$AQ$200,'Data Validation'!$V$7, 'Data entry'!$AP$6:$AP$200,'Data Validation'!$U$6, 'Data entry'!$BD$6:$BD$200,"&lt;&gt;*Negative*"))</f>
        <v>0</v>
      </c>
      <c r="BJ47" s="15">
        <f>SUM(COUNTIFS('Data entry'!$R$6:$R$200,'Summary Data'!$A47,'Data entry'!$B$6:$B$200,{"Confirmed";"Probable"},'Data entry'!$AQ$6:$AQ$200,'Data Validation'!$V$8, 'Data entry'!$AP$6:$AP$200,'Data Validation'!$U$2, 'Data entry'!$BD$6:$BD$200,"&lt;&gt;*Negative*"))</f>
        <v>0</v>
      </c>
      <c r="BK47" s="15">
        <f>SUM(COUNTIFS('Data entry'!$R$6:$R$200,'Summary Data'!$A47,'Data entry'!$B$6:$B$200,{"Confirmed";"Probable"},'Data entry'!$AQ$6:$AQ$200,'Data Validation'!$V$8, 'Data entry'!$AP$6:$AP$200,'Data Validation'!$U$3, 'Data entry'!$BD$6:$BD$200,"&lt;&gt;*Negative*"))</f>
        <v>0</v>
      </c>
      <c r="BL47" s="15">
        <f>SUM(COUNTIFS('Data entry'!$R$6:$R$200,'Summary Data'!$A47,'Data entry'!$B$6:$B$200,{"Confirmed";"Probable"},'Data entry'!$AQ$6:$AQ$200,'Data Validation'!$V$8, 'Data entry'!$AP$6:$AP$200,'Data Validation'!$U$4, 'Data entry'!$BD$6:$BD$200,"&lt;&gt;*Negative*"))</f>
        <v>0</v>
      </c>
      <c r="BM47" s="15">
        <f>SUM(COUNTIFS('Data entry'!$R$6:$R$200,'Summary Data'!$A47,'Data entry'!$B$6:$B$200,{"Confirmed";"Probable"},'Data entry'!$AQ$6:$AQ$200,'Data Validation'!$V$8, 'Data entry'!$AP$6:$AP$200,'Data Validation'!$U$5, 'Data entry'!$BD$6:$BD$200,"&lt;&gt;*Negative*"))</f>
        <v>0</v>
      </c>
      <c r="BN47" s="15">
        <f>SUM(COUNTIFS('Data entry'!$R$6:$R$200,'Summary Data'!$A47,'Data entry'!$B$6:$B$200,{"Confirmed";"Probable"},'Data entry'!$AQ$6:$AQ$200,'Data Validation'!$V$8, 'Data entry'!$AP$6:$AP$200,'Data Validation'!$U$6, 'Data entry'!$BD$6:$BD$200,"&lt;&gt;*Negative*"))</f>
        <v>0</v>
      </c>
      <c r="BO47" s="15">
        <f>SUM(COUNTIFS('Data entry'!$R$6:$R$200,'Summary Data'!$A47,'Data entry'!$B$6:$B$200,{"Confirmed";"Probable"},'Data entry'!$AQ$6:$AQ$200,'Data Validation'!$V$9, 'Data entry'!$AP$6:$AP$200,'Data Validation'!$U$2, 'Data entry'!$BD$6:$BD$200,"&lt;&gt;*Negative*"))</f>
        <v>0</v>
      </c>
      <c r="BP47" s="15">
        <f>SUM(COUNTIFS('Data entry'!$R$6:$R$200,'Summary Data'!$A47,'Data entry'!$B$6:$B$200,{"Confirmed";"Probable"},'Data entry'!$AQ$6:$AQ$200,'Data Validation'!$V$9, 'Data entry'!$AP$6:$AP$200,'Data Validation'!$U$3, 'Data entry'!$BD$6:$BD$200,"&lt;&gt;*Negative*"))</f>
        <v>0</v>
      </c>
      <c r="BQ47" s="15">
        <f>SUM(COUNTIFS('Data entry'!$R$6:$R$200,'Summary Data'!$A47,'Data entry'!$B$6:$B$200,{"Confirmed";"Probable"},'Data entry'!$AQ$6:$AQ$200,'Data Validation'!$V$9, 'Data entry'!$AP$6:$AP$200,'Data Validation'!$U$4, 'Data entry'!$BD$6:$BD$200,"&lt;&gt;*Negative*"))</f>
        <v>0</v>
      </c>
      <c r="BR47" s="15">
        <f>SUM(COUNTIFS('Data entry'!$R$6:$R$200,'Summary Data'!$A47,'Data entry'!$B$6:$B$200,{"Confirmed";"Probable"},'Data entry'!$AQ$6:$AQ$200,'Data Validation'!$V$9, 'Data entry'!$AP$6:$AP$200,'Data Validation'!$U$5, 'Data entry'!$BD$6:$BD$200,"&lt;&gt;*Negative*"))</f>
        <v>0</v>
      </c>
      <c r="BS47" s="15">
        <f>SUM(COUNTIFS('Data entry'!$R$6:$R$200,'Summary Data'!$A47,'Data entry'!$B$6:$B$200,{"Confirmed";"Probable"},'Data entry'!$AQ$6:$AQ$200,'Data Validation'!$V$9, 'Data entry'!$AP$6:$AP$200,'Data Validation'!$U$6, 'Data entry'!$BD$6:$BD$200,"&lt;&gt;*Negative*"))</f>
        <v>0</v>
      </c>
      <c r="BT47" s="15">
        <f>SUM(COUNTIFS('Data entry'!$R$6:$R$200,'Summary Data'!$A47,'Data entry'!$B$6:$B$200,{"Confirmed";"Probable"},'Data entry'!$AQ$6:$AQ$200,'Data Validation'!$V$10, 'Data entry'!$AP$6:$AP$200,'Data Validation'!$U$2, 'Data entry'!$BD$6:$BD$200,"&lt;&gt;*Negative*"))</f>
        <v>0</v>
      </c>
      <c r="BU47" s="15">
        <f>SUM(COUNTIFS('Data entry'!$R$6:$R$200,'Summary Data'!$A47,'Data entry'!$B$6:$B$200,{"Confirmed";"Probable"},'Data entry'!$AQ$6:$AQ$200,'Data Validation'!$V$10, 'Data entry'!$AP$6:$AP$200,'Data Validation'!$U$3, 'Data entry'!$BD$6:$BD$200,"&lt;&gt;*Negative*"))</f>
        <v>0</v>
      </c>
      <c r="BV47" s="15">
        <f>SUM(COUNTIFS('Data entry'!$R$6:$R$200,'Summary Data'!$A47,'Data entry'!$B$6:$B$200,{"Confirmed";"Probable"},'Data entry'!$AQ$6:$AQ$200,'Data Validation'!$V$10, 'Data entry'!$AP$6:$AP$200,'Data Validation'!$U$4, 'Data entry'!$BD$6:$BD$200,"&lt;&gt;*Negative*"))</f>
        <v>0</v>
      </c>
      <c r="BW47" s="15">
        <f>SUM(COUNTIFS('Data entry'!$R$6:$R$200,'Summary Data'!$A47,'Data entry'!$B$6:$B$200,{"Confirmed";"Probable"},'Data entry'!$AQ$6:$AQ$200,'Data Validation'!$V$10, 'Data entry'!$AP$6:$AP$200,'Data Validation'!$U$5, 'Data entry'!$BD$6:$BD$200,"&lt;&gt;*Negative*"))</f>
        <v>0</v>
      </c>
      <c r="BX47" s="15">
        <f>SUM(COUNTIFS('Data entry'!$R$6:$R$200,'Summary Data'!$A47,'Data entry'!$B$6:$B$200,{"Confirmed";"Probable"},'Data entry'!$AQ$6:$AQ$200,'Data Validation'!$V$10, 'Data entry'!$AP$6:$AP$200,'Data Validation'!$U$6, 'Data entry'!$BD$6:$BD$200,"&lt;&gt;*Negative*"))</f>
        <v>0</v>
      </c>
      <c r="BY47" s="15">
        <f>SUM(COUNTIFS('Data entry'!$R$6:$R$200,'Summary Data'!$A47,'Data entry'!$B$6:$B$200,{"Confirmed";"Probable"},'Data entry'!$AQ$6:$AQ$200,'Data Validation'!$V$11, 'Data entry'!$AP$6:$AP$200,'Data Validation'!$U$2, 'Data entry'!$BD$6:$BD$200,"&lt;&gt;*Negative*"))</f>
        <v>0</v>
      </c>
      <c r="BZ47" s="15">
        <f>SUM(COUNTIFS('Data entry'!$R$6:$R$200,'Summary Data'!$A47,'Data entry'!$B$6:$B$200,{"Confirmed";"Probable"},'Data entry'!$AQ$6:$AQ$200,'Data Validation'!$V$11, 'Data entry'!$AP$6:$AP$200,'Data Validation'!$U$3, 'Data entry'!$BD$6:$BD$200,"&lt;&gt;*Negative*"))</f>
        <v>0</v>
      </c>
      <c r="CA47" s="15">
        <f>SUM(COUNTIFS('Data entry'!$R$6:$R$200,'Summary Data'!$A47,'Data entry'!$B$6:$B$200,{"Confirmed";"Probable"},'Data entry'!$AQ$6:$AQ$200,'Data Validation'!$V$11, 'Data entry'!$AP$6:$AP$200,'Data Validation'!$U$4, 'Data entry'!$BD$6:$BD$200,"&lt;&gt;*Negative*"))</f>
        <v>0</v>
      </c>
      <c r="CB47" s="15">
        <f>SUM(COUNTIFS('Data entry'!$R$6:$R$200,'Summary Data'!$A47,'Data entry'!$B$6:$B$200,{"Confirmed";"Probable"},'Data entry'!$AQ$6:$AQ$200,'Data Validation'!$V$11, 'Data entry'!$AP$6:$AP$200,'Data Validation'!$U$5, 'Data entry'!$BD$6:$BD$200,"&lt;&gt;*Negative*"))</f>
        <v>0</v>
      </c>
      <c r="CC47" s="15">
        <f>SUM(COUNTIFS('Data entry'!$R$6:$R$200,'Summary Data'!$A47,'Data entry'!$B$6:$B$200,{"Confirmed";"Probable"},'Data entry'!$AQ$6:$AQ$200,'Data Validation'!$V$11, 'Data entry'!$AP$6:$AP$200,'Data Validation'!$U$6, 'Data entry'!$BD$6:$BD$200,"&lt;&gt;*Negative*"))</f>
        <v>0</v>
      </c>
    </row>
    <row r="48" spans="1:81" x14ac:dyDescent="0.25">
      <c r="A48" s="12">
        <f t="shared" si="5"/>
        <v>36</v>
      </c>
      <c r="B48" s="13">
        <f t="shared" si="2"/>
        <v>0</v>
      </c>
      <c r="C48" s="13">
        <f>COUNTIFS('Data entry'!$R$6:$R$200,$A48,'Data entry'!$B$6:$B$200,"Confirmed",'Data entry'!$BD$6:$BD$200,"&lt;&gt;*Negative*")</f>
        <v>0</v>
      </c>
      <c r="D48" s="13">
        <f>COUNTIFS('Data entry'!$R$6:$R$200,$A48,'Data entry'!$B$6:$B$200,"Probable",'Data entry'!$BD$6:$BD$200,"&lt;&gt;*Negative*")</f>
        <v>0</v>
      </c>
      <c r="E48" s="13">
        <f>COUNTIFS('Data entry'!$R$6:$R$200,$A48,'Data entry'!$B$6:$B$200,"DNM")</f>
        <v>0</v>
      </c>
      <c r="F48" s="13">
        <f>SUM(COUNTIFS('Data entry'!$R$6:$R$200,'Summary Data'!$A48,'Data entry'!$B$6:$B$200,{"Confirmed";"Probable"},'Data entry'!$AO$6:$AO$200,$F$10, 'Data entry'!$BD$6:$BD$200,"&lt;&gt;*Negative*"))</f>
        <v>0</v>
      </c>
      <c r="G48" s="13">
        <f>SUM(COUNTIFS('Data entry'!$R$6:$R$200,'Summary Data'!$A48,'Data entry'!$B$6:$B$200,{"Confirmed";"Probable"},'Data entry'!$AO$6:$AO$200,$G$10, 'Data entry'!$BD$6:$BD$200,"&lt;&gt;*Negative*"))</f>
        <v>0</v>
      </c>
      <c r="H48" s="13">
        <f>SUM(COUNTIFS('Data entry'!$R$6:$R$200,'Summary Data'!$A48,'Data entry'!$B$6:$B$200,{"Confirmed";"Probable"},'Data entry'!$AO$6:$AO$200,$H$10, 'Data entry'!$BD$6:$BD$200,"&lt;&gt;*Negative*"))</f>
        <v>0</v>
      </c>
      <c r="I48" s="13">
        <f>SUM(COUNTIFS('Data entry'!$R$6:$R$200,'Summary Data'!$A48,'Data entry'!$B$6:$B$200,{"Confirmed";"Probable"},'Data entry'!$AO$6:$AO$200,$I$10, 'Data entry'!$BD$6:$BD$200,"&lt;&gt;*Negative*"))</f>
        <v>0</v>
      </c>
      <c r="J48" s="13">
        <f>SUM(COUNTIFS('Data entry'!$R$6:$R$200,'Summary Data'!$A48,'Data entry'!$B$6:$B$200,{"Confirmed";"Probable"},'Data entry'!$AO$6:$AO$200,$J$10, 'Data entry'!$BD$6:$BD$200,"&lt;&gt;*Negative*"))</f>
        <v>0</v>
      </c>
      <c r="K48" s="13">
        <f>SUM(COUNTIFS('Data entry'!$R$6:$R$200,'Summary Data'!$A48,'Data entry'!$B$6:$B$200,{"Confirmed";"Probable"},'Data entry'!$AO$6:$AO$200,$K$10, 'Data entry'!$BD$6:$BD$200,"&lt;&gt;*Negative*"))</f>
        <v>0</v>
      </c>
      <c r="L48" s="13">
        <f>SUM(COUNTIFS('Data entry'!$R$6:$R$200,'Summary Data'!$A48,'Data entry'!$B$6:$B$200,{"Confirmed";"Probable"},'Data entry'!$AO$6:$AO$200,$L$10, 'Data entry'!$BD$6:$BD$200,"&lt;&gt;*Negative*"))</f>
        <v>0</v>
      </c>
      <c r="M48" s="13">
        <f>SUM(COUNTIFS('Data entry'!$R$6:$R$200,'Summary Data'!$A48,'Data entry'!$B$6:$B$200,{"Confirmed";"Probable"},'Data entry'!$AO$6:$AO$200,$M$10, 'Data entry'!$BD$6:$BD$200,"&lt;&gt;*Negative*"))</f>
        <v>0</v>
      </c>
      <c r="N48" s="13">
        <f>SUM(COUNTIFS('Data entry'!$R$6:$R$200,'Summary Data'!$A48,'Data entry'!$B$6:$B$200,{"Confirmed";"Probable"},'Data entry'!$AO$6:$AO$200,$N$10, 'Data entry'!$BD$6:$BD$200,"&lt;&gt;*Negative*"))</f>
        <v>0</v>
      </c>
      <c r="O48" s="15">
        <f t="shared" si="3"/>
        <v>0</v>
      </c>
      <c r="P48" s="15">
        <f t="shared" si="4"/>
        <v>0</v>
      </c>
      <c r="Q48" s="15">
        <f>SUM(COUNTIFS('Data entry'!$R$6:$R$200,'Summary Data'!$A48,'Data entry'!$B$6:$B$200,{"Confirmed";"Probable"},'Data entry'!$AP$6:$AP$200,'Data Validation'!$U$2, 'Data entry'!$BD$6:$BD$200,"&lt;&gt;*Negative*"))</f>
        <v>0</v>
      </c>
      <c r="R48" s="15">
        <f>SUM(COUNTIFS('Data entry'!$R$6:$R$200,'Summary Data'!$A48,'Data entry'!$B$6:$B$200,{"Confirmed";"Probable"},'Data entry'!$AP$6:$AP$200,'Data Validation'!$U$3, 'Data entry'!$BD$6:$BD$200,"&lt;&gt;*Negative*"))</f>
        <v>0</v>
      </c>
      <c r="S48" s="15">
        <f>SUM(COUNTIFS('Data entry'!$R$6:$R$200,'Summary Data'!$A48,'Data entry'!$B$6:$B$200,{"Confirmed";"Probable"},'Data entry'!$AP$6:$AP$200,'Data Validation'!$U$4, 'Data entry'!$BD$6:$BD$200,"&lt;&gt;*Negative*"))</f>
        <v>0</v>
      </c>
      <c r="T48" s="15">
        <f>SUM(COUNTIFS('Data entry'!$R$6:$R$200,'Summary Data'!$A48,'Data entry'!$B$6:$B$200,{"Confirmed";"Probable"},'Data entry'!$AP$6:$AP$200,'Data Validation'!$U$5, 'Data entry'!$BD$6:$BD$200,"&lt;&gt;*Negative*"))</f>
        <v>0</v>
      </c>
      <c r="U48" s="15">
        <f>SUM(COUNTIFS('Data entry'!$R$6:$R$200,'Summary Data'!$A48,'Data entry'!$B$6:$B$200,{"Confirmed";"Probable"},'Data entry'!$AP$6:$AP$200,'Data Validation'!$U$6, 'Data entry'!$BD$6:$BD$200,"&lt;&gt;*Negative*"))</f>
        <v>0</v>
      </c>
      <c r="V48" s="15">
        <f>SUM(COUNTIFS('Data entry'!$R$6:$R$200,'Summary Data'!$A48,'Data entry'!$B$6:$B$200,{"Confirmed";"Probable"},'Data entry'!$AQ$6:$AQ$200,'Data Validation'!$V$2, 'Data entry'!$BD$6:$BD$200,"&lt;&gt;*Negative*"))</f>
        <v>0</v>
      </c>
      <c r="W48" s="15">
        <f>SUM(COUNTIFS('Data entry'!$R$6:$R$200,'Summary Data'!$A48,'Data entry'!$B$6:$B$200,{"Confirmed";"Probable"},'Data entry'!$AQ$6:$AQ$200,'Data Validation'!$V$3, 'Data entry'!$BD$6:$BD$200,"&lt;&gt;*Negative*"))</f>
        <v>0</v>
      </c>
      <c r="X48" s="15">
        <f>SUM(COUNTIFS('Data entry'!$R$6:$R$200,'Summary Data'!$A48,'Data entry'!$B$6:$B$200,{"Confirmed";"Probable"},'Data entry'!$AQ$6:$AQ$200,'Data Validation'!$V$4, 'Data entry'!$BD$6:$BD$200,"&lt;&gt;*Negative*"))</f>
        <v>0</v>
      </c>
      <c r="Y48" s="15">
        <f>SUM(COUNTIFS('Data entry'!$R$6:$R$200,'Summary Data'!$A48,'Data entry'!$B$6:$B$200,{"Confirmed";"Probable"},'Data entry'!$AQ$6:$AQ$200,'Data Validation'!$V$5, 'Data entry'!$BD$6:$BD$200,"&lt;&gt;*Negative*"))</f>
        <v>0</v>
      </c>
      <c r="Z48" s="15">
        <f>SUM(COUNTIFS('Data entry'!$R$6:$R$200,'Summary Data'!$A48,'Data entry'!$B$6:$B$200,{"Confirmed";"Probable"},'Data entry'!$AQ$6:$AQ$200,'Data Validation'!$V$6, 'Data entry'!$BD$6:$BD$200,"&lt;&gt;*Negative*"))</f>
        <v>0</v>
      </c>
      <c r="AA48" s="15">
        <f>SUM(COUNTIFS('Data entry'!$R$6:$R$200,'Summary Data'!$A48,'Data entry'!$B$6:$B$200,{"Confirmed";"Probable"},'Data entry'!$AQ$6:$AQ$200,'Data Validation'!$V$7, 'Data entry'!$BD$6:$BD$200,"&lt;&gt;*Negative*"))</f>
        <v>0</v>
      </c>
      <c r="AB48" s="15">
        <f>SUM(COUNTIFS('Data entry'!$R$6:$R$200,'Summary Data'!$A48,'Data entry'!$B$6:$B$200,{"Confirmed";"Probable"},'Data entry'!$AQ$6:$AQ$200,'Data Validation'!$V$8, 'Data entry'!$BD$6:$BD$200,"&lt;&gt;*Negative*"))</f>
        <v>0</v>
      </c>
      <c r="AC48" s="15">
        <f>SUM(COUNTIFS('Data entry'!$R$6:$R$200,'Summary Data'!$A48,'Data entry'!$B$6:$B$200,{"Confirmed";"Probable"},'Data entry'!$AQ$6:$AQ$200,'Data Validation'!$V$9, 'Data entry'!$BD$6:$BD$200,"&lt;&gt;*Negative*"))</f>
        <v>0</v>
      </c>
      <c r="AD48" s="15">
        <f>SUM(COUNTIFS('Data entry'!$R$6:$R$200,'Summary Data'!$A48,'Data entry'!$B$6:$B$200,{"Confirmed";"Probable"},'Data entry'!$AQ$6:$AQ$200,'Data Validation'!$V$10, 'Data entry'!$BD$6:$BD$200,"&lt;&gt;*Negative*"))</f>
        <v>0</v>
      </c>
      <c r="AE48" s="15">
        <f>SUM(COUNTIFS('Data entry'!$R$6:$R$200,'Summary Data'!$A48,'Data entry'!$B$6:$B$200,{"Confirmed";"Probable"},'Data entry'!$AQ$6:$AQ$200,'Data Validation'!$V$11, 'Data entry'!$BD$6:$BD$200,"&lt;&gt;*Negative*"))</f>
        <v>0</v>
      </c>
      <c r="AF48" s="15">
        <f>SUM(COUNTIFS('Data entry'!$R$6:$R$200,'Summary Data'!$A48,'Data entry'!$B$6:$B$200,{"Confirmed";"Probable"},'Data entry'!$AQ$6:$AQ$200,'Data Validation'!$V$2, 'Data entry'!$AP$6:$AP$200,'Data Validation'!$U$2, 'Data entry'!$BD$6:$BD$200,"&lt;&gt;*Negative*"))</f>
        <v>0</v>
      </c>
      <c r="AG48" s="15">
        <f>SUM(COUNTIFS('Data entry'!$R$6:$R$200,'Summary Data'!$A48,'Data entry'!$B$6:$B$200,{"Confirmed";"Probable"},'Data entry'!$AQ$6:$AQ$200,'Data Validation'!$V$2, 'Data entry'!$AP$6:$AP$200,'Data Validation'!$U$3, 'Data entry'!$BD$6:$BD$200,"&lt;&gt;*Negative*"))</f>
        <v>0</v>
      </c>
      <c r="AH48" s="15">
        <f>SUM(COUNTIFS('Data entry'!$R$6:$R$200,'Summary Data'!$A48,'Data entry'!$B$6:$B$200,{"Confirmed";"Probable"},'Data entry'!$AQ$6:$AQ$200,'Data Validation'!$V$2, 'Data entry'!$AP$6:$AP$200,'Data Validation'!$U$4, 'Data entry'!$BD$6:$BD$200,"&lt;&gt;*Negative*"))</f>
        <v>0</v>
      </c>
      <c r="AI48" s="15">
        <f>SUM(COUNTIFS('Data entry'!$R$6:$R$200,'Summary Data'!$A48,'Data entry'!$B$6:$B$200,{"Confirmed";"Probable"},'Data entry'!$AQ$6:$AQ$200,'Data Validation'!$V$2, 'Data entry'!$AP$6:$AP$200,'Data Validation'!$U$5, 'Data entry'!$BD$6:$BD$200,"&lt;&gt;*Negative*"))</f>
        <v>0</v>
      </c>
      <c r="AJ48" s="15">
        <f>SUM(COUNTIFS('Data entry'!$R$6:$R$200,'Summary Data'!$A48,'Data entry'!$B$6:$B$200,{"Confirmed";"Probable"},'Data entry'!$AQ$6:$AQ$200,'Data Validation'!$V$2, 'Data entry'!$AP$6:$AP$200,'Data Validation'!$U$6, 'Data entry'!$BD$6:$BD$200,"&lt;&gt;*Negative*"))</f>
        <v>0</v>
      </c>
      <c r="AK48" s="15">
        <f>SUM(COUNTIFS('Data entry'!$R$6:$R$200,'Summary Data'!$A48,'Data entry'!$B$6:$B$200,{"Confirmed";"Probable"},'Data entry'!$AQ$6:$AQ$200,'Data Validation'!$V$3, 'Data entry'!$AP$6:$AP$200,'Data Validation'!$U$2, 'Data entry'!$BD$6:$BD$200,"&lt;&gt;*Negative*"))</f>
        <v>0</v>
      </c>
      <c r="AL48" s="15">
        <f>SUM(COUNTIFS('Data entry'!$R$6:$R$200,'Summary Data'!$A48,'Data entry'!$B$6:$B$200,{"Confirmed";"Probable"},'Data entry'!$AQ$6:$AQ$200,'Data Validation'!$V$3, 'Data entry'!$AP$6:$AP$200,'Data Validation'!$U$3, 'Data entry'!$BD$6:$BD$200,"&lt;&gt;*Negative*"))</f>
        <v>0</v>
      </c>
      <c r="AM48" s="15">
        <f>SUM(COUNTIFS('Data entry'!$R$6:$R$200,'Summary Data'!$A48,'Data entry'!$B$6:$B$200,{"Confirmed";"Probable"},'Data entry'!$AQ$6:$AQ$200,'Data Validation'!$V$3, 'Data entry'!$AP$6:$AP$200,'Data Validation'!$U$4, 'Data entry'!$BD$6:$BD$200,"&lt;&gt;*Negative*"))</f>
        <v>0</v>
      </c>
      <c r="AN48" s="15">
        <f>SUM(COUNTIFS('Data entry'!$R$6:$R$200,'Summary Data'!$A48,'Data entry'!$B$6:$B$200,{"Confirmed";"Probable"},'Data entry'!$AQ$6:$AQ$200,'Data Validation'!$V$3, 'Data entry'!$AP$6:$AP$200,'Data Validation'!$U$5, 'Data entry'!$BD$6:$BD$200,"&lt;&gt;*Negative*"))</f>
        <v>0</v>
      </c>
      <c r="AO48" s="15">
        <f>SUM(COUNTIFS('Data entry'!$R$6:$R$200,'Summary Data'!$A48,'Data entry'!$B$6:$B$200,{"Confirmed";"Probable"},'Data entry'!$AQ$6:$AQ$200,'Data Validation'!$V$3, 'Data entry'!$AP$6:$AP$200,'Data Validation'!$U$6, 'Data entry'!$BD$6:$BD$200,"&lt;&gt;*Negative*"))</f>
        <v>0</v>
      </c>
      <c r="AP48" s="15">
        <f>SUM(COUNTIFS('Data entry'!$R$6:$R$200,'Summary Data'!$A48,'Data entry'!$B$6:$B$200,{"Confirmed";"Probable"},'Data entry'!$AQ$6:$AQ$200,'Data Validation'!$V$4, 'Data entry'!$AP$6:$AP$200,'Data Validation'!$U$2, 'Data entry'!$BD$6:$BD$200,"&lt;&gt;*Negative*"))</f>
        <v>0</v>
      </c>
      <c r="AQ48" s="15">
        <f>SUM(COUNTIFS('Data entry'!$R$6:$R$200,'Summary Data'!$A48,'Data entry'!$B$6:$B$200,{"Confirmed";"Probable"},'Data entry'!$AQ$6:$AQ$200,'Data Validation'!$V$4, 'Data entry'!$AP$6:$AP$200,'Data Validation'!$U$3, 'Data entry'!$BD$6:$BD$200,"&lt;&gt;*Negative*"))</f>
        <v>0</v>
      </c>
      <c r="AR48" s="15">
        <f>SUM(COUNTIFS('Data entry'!$R$6:$R$200,'Summary Data'!$A48,'Data entry'!$B$6:$B$200,{"Confirmed";"Probable"},'Data entry'!$AQ$6:$AQ$200,'Data Validation'!$V$4, 'Data entry'!$AP$6:$AP$200,'Data Validation'!$U$4, 'Data entry'!$BD$6:$BD$200,"&lt;&gt;*Negative*"))</f>
        <v>0</v>
      </c>
      <c r="AS48" s="15">
        <f>SUM(COUNTIFS('Data entry'!$R$6:$R$200,'Summary Data'!$A48,'Data entry'!$B$6:$B$200,{"Confirmed";"Probable"},'Data entry'!$AQ$6:$AQ$200,'Data Validation'!$V$4, 'Data entry'!$AP$6:$AP$200,'Data Validation'!$U$5, 'Data entry'!$BD$6:$BD$200,"&lt;&gt;*Negative*"))</f>
        <v>0</v>
      </c>
      <c r="AT48" s="15">
        <f>SUM(COUNTIFS('Data entry'!$R$6:$R$200,'Summary Data'!$A48,'Data entry'!$B$6:$B$200,{"Confirmed";"Probable"},'Data entry'!$AQ$6:$AQ$200,'Data Validation'!$V$4, 'Data entry'!$AP$6:$AP$200,'Data Validation'!$U$6, 'Data entry'!$BD$6:$BD$200,"&lt;&gt;*Negative*"))</f>
        <v>0</v>
      </c>
      <c r="AU48" s="15">
        <f>SUM(COUNTIFS('Data entry'!$R$6:$R$200,'Summary Data'!$A48,'Data entry'!$B$6:$B$200,{"Confirmed";"Probable"},'Data entry'!$AQ$6:$AQ$200,'Data Validation'!$V$5, 'Data entry'!$AP$6:$AP$200,'Data Validation'!$U$2, 'Data entry'!$BD$6:$BD$200,"&lt;&gt;*Negative*"))</f>
        <v>0</v>
      </c>
      <c r="AV48" s="15">
        <f>SUM(COUNTIFS('Data entry'!$R$6:$R$200,'Summary Data'!$A48,'Data entry'!$B$6:$B$200,{"Confirmed";"Probable"},'Data entry'!$AQ$6:$AQ$200,'Data Validation'!$V$5, 'Data entry'!$AP$6:$AP$200,'Data Validation'!$U$3, 'Data entry'!$BD$6:$BD$200,"&lt;&gt;*Negative*"))</f>
        <v>0</v>
      </c>
      <c r="AW48" s="15">
        <f>SUM(COUNTIFS('Data entry'!$R$6:$R$200,'Summary Data'!$A48,'Data entry'!$B$6:$B$200,{"Confirmed";"Probable"},'Data entry'!$AQ$6:$AQ$200,'Data Validation'!$V$5, 'Data entry'!$AP$6:$AP$200,'Data Validation'!$U$4, 'Data entry'!$BD$6:$BD$200,"&lt;&gt;*Negative*"))</f>
        <v>0</v>
      </c>
      <c r="AX48" s="15">
        <f>SUM(COUNTIFS('Data entry'!$R$6:$R$200,'Summary Data'!$A48,'Data entry'!$B$6:$B$200,{"Confirmed";"Probable"},'Data entry'!$AQ$6:$AQ$200,'Data Validation'!$V$5, 'Data entry'!$AP$6:$AP$200,'Data Validation'!$U$5, 'Data entry'!$BD$6:$BD$200,"&lt;&gt;*Negative*"))</f>
        <v>0</v>
      </c>
      <c r="AY48" s="15">
        <f>SUM(COUNTIFS('Data entry'!$R$6:$R$200,'Summary Data'!$A48,'Data entry'!$B$6:$B$200,{"Confirmed";"Probable"},'Data entry'!$AQ$6:$AQ$200,'Data Validation'!$V$5, 'Data entry'!$AP$6:$AP$200,'Data Validation'!$U$6, 'Data entry'!$BD$6:$BD$200,"&lt;&gt;*Negative*"))</f>
        <v>0</v>
      </c>
      <c r="AZ48" s="15">
        <f>SUM(COUNTIFS('Data entry'!$R$6:$R$200,'Summary Data'!$A48,'Data entry'!$B$6:$B$200,{"Confirmed";"Probable"},'Data entry'!$AQ$6:$AQ$200,'Data Validation'!$V$6, 'Data entry'!$AP$6:$AP$200,'Data Validation'!$U$2, 'Data entry'!$BD$6:$BD$200,"&lt;&gt;*Negative*"))</f>
        <v>0</v>
      </c>
      <c r="BA48" s="15">
        <f>SUM(COUNTIFS('Data entry'!$R$6:$R$200,'Summary Data'!$A48,'Data entry'!$B$6:$B$200,{"Confirmed";"Probable"},'Data entry'!$AQ$6:$AQ$200,'Data Validation'!$V$6, 'Data entry'!$AP$6:$AP$200,'Data Validation'!$U$3, 'Data entry'!$BD$6:$BD$200,"&lt;&gt;*Negative*"))</f>
        <v>0</v>
      </c>
      <c r="BB48" s="15">
        <f>SUM(COUNTIFS('Data entry'!$R$6:$R$200,'Summary Data'!$A48,'Data entry'!$B$6:$B$200,{"Confirmed";"Probable"},'Data entry'!$AQ$6:$AQ$200,'Data Validation'!$V$6, 'Data entry'!$AP$6:$AP$200,'Data Validation'!$U$4, 'Data entry'!$BD$6:$BD$200,"&lt;&gt;*Negative*"))</f>
        <v>0</v>
      </c>
      <c r="BC48" s="15">
        <f>SUM(COUNTIFS('Data entry'!$R$6:$R$200,'Summary Data'!$A48,'Data entry'!$B$6:$B$200,{"Confirmed";"Probable"},'Data entry'!$AQ$6:$AQ$200,'Data Validation'!$V$6, 'Data entry'!$AP$6:$AP$200,'Data Validation'!$U$5, 'Data entry'!$BD$6:$BD$200,"&lt;&gt;*Negative*"))</f>
        <v>0</v>
      </c>
      <c r="BD48" s="15">
        <f>SUM(COUNTIFS('Data entry'!$R$6:$R$200,'Summary Data'!$A48,'Data entry'!$B$6:$B$200,{"Confirmed";"Probable"},'Data entry'!$AQ$6:$AQ$200,'Data Validation'!$V$6, 'Data entry'!$AP$6:$AP$200,'Data Validation'!$U$6, 'Data entry'!$BD$6:$BD$200,"&lt;&gt;*Negative*"))</f>
        <v>0</v>
      </c>
      <c r="BE48" s="15">
        <f>SUM(COUNTIFS('Data entry'!$R$6:$R$200,'Summary Data'!$A48,'Data entry'!$B$6:$B$200,{"Confirmed";"Probable"},'Data entry'!$AQ$6:$AQ$200,'Data Validation'!$V$7, 'Data entry'!$AP$6:$AP$200,'Data Validation'!$U$2, 'Data entry'!$BD$6:$BD$200,"&lt;&gt;*Negative*"))</f>
        <v>0</v>
      </c>
      <c r="BF48" s="15">
        <f>SUM(COUNTIFS('Data entry'!$R$6:$R$200,'Summary Data'!$A48,'Data entry'!$B$6:$B$200,{"Confirmed";"Probable"},'Data entry'!$AQ$6:$AQ$200,'Data Validation'!$V$7, 'Data entry'!$AP$6:$AP$200,'Data Validation'!$U$3, 'Data entry'!$BD$6:$BD$200,"&lt;&gt;*Negative*"))</f>
        <v>0</v>
      </c>
      <c r="BG48" s="15">
        <f>SUM(COUNTIFS('Data entry'!$R$6:$R$200,'Summary Data'!$A48,'Data entry'!$B$6:$B$200,{"Confirmed";"Probable"},'Data entry'!$AQ$6:$AQ$200,'Data Validation'!$V$7, 'Data entry'!$AP$6:$AP$200,'Data Validation'!$U$4, 'Data entry'!$BD$6:$BD$200,"&lt;&gt;*Negative*"))</f>
        <v>0</v>
      </c>
      <c r="BH48" s="15">
        <f>SUM(COUNTIFS('Data entry'!$R$6:$R$200,'Summary Data'!$A48,'Data entry'!$B$6:$B$200,{"Confirmed";"Probable"},'Data entry'!$AQ$6:$AQ$200,'Data Validation'!$V$7, 'Data entry'!$AP$6:$AP$200,'Data Validation'!$U$5, 'Data entry'!$BD$6:$BD$200,"&lt;&gt;*Negative*"))</f>
        <v>0</v>
      </c>
      <c r="BI48" s="15">
        <f>SUM(COUNTIFS('Data entry'!$R$6:$R$200,'Summary Data'!$A48,'Data entry'!$B$6:$B$200,{"Confirmed";"Probable"},'Data entry'!$AQ$6:$AQ$200,'Data Validation'!$V$7, 'Data entry'!$AP$6:$AP$200,'Data Validation'!$U$6, 'Data entry'!$BD$6:$BD$200,"&lt;&gt;*Negative*"))</f>
        <v>0</v>
      </c>
      <c r="BJ48" s="15">
        <f>SUM(COUNTIFS('Data entry'!$R$6:$R$200,'Summary Data'!$A48,'Data entry'!$B$6:$B$200,{"Confirmed";"Probable"},'Data entry'!$AQ$6:$AQ$200,'Data Validation'!$V$8, 'Data entry'!$AP$6:$AP$200,'Data Validation'!$U$2, 'Data entry'!$BD$6:$BD$200,"&lt;&gt;*Negative*"))</f>
        <v>0</v>
      </c>
      <c r="BK48" s="15">
        <f>SUM(COUNTIFS('Data entry'!$R$6:$R$200,'Summary Data'!$A48,'Data entry'!$B$6:$B$200,{"Confirmed";"Probable"},'Data entry'!$AQ$6:$AQ$200,'Data Validation'!$V$8, 'Data entry'!$AP$6:$AP$200,'Data Validation'!$U$3, 'Data entry'!$BD$6:$BD$200,"&lt;&gt;*Negative*"))</f>
        <v>0</v>
      </c>
      <c r="BL48" s="15">
        <f>SUM(COUNTIFS('Data entry'!$R$6:$R$200,'Summary Data'!$A48,'Data entry'!$B$6:$B$200,{"Confirmed";"Probable"},'Data entry'!$AQ$6:$AQ$200,'Data Validation'!$V$8, 'Data entry'!$AP$6:$AP$200,'Data Validation'!$U$4, 'Data entry'!$BD$6:$BD$200,"&lt;&gt;*Negative*"))</f>
        <v>0</v>
      </c>
      <c r="BM48" s="15">
        <f>SUM(COUNTIFS('Data entry'!$R$6:$R$200,'Summary Data'!$A48,'Data entry'!$B$6:$B$200,{"Confirmed";"Probable"},'Data entry'!$AQ$6:$AQ$200,'Data Validation'!$V$8, 'Data entry'!$AP$6:$AP$200,'Data Validation'!$U$5, 'Data entry'!$BD$6:$BD$200,"&lt;&gt;*Negative*"))</f>
        <v>0</v>
      </c>
      <c r="BN48" s="15">
        <f>SUM(COUNTIFS('Data entry'!$R$6:$R$200,'Summary Data'!$A48,'Data entry'!$B$6:$B$200,{"Confirmed";"Probable"},'Data entry'!$AQ$6:$AQ$200,'Data Validation'!$V$8, 'Data entry'!$AP$6:$AP$200,'Data Validation'!$U$6, 'Data entry'!$BD$6:$BD$200,"&lt;&gt;*Negative*"))</f>
        <v>0</v>
      </c>
      <c r="BO48" s="15">
        <f>SUM(COUNTIFS('Data entry'!$R$6:$R$200,'Summary Data'!$A48,'Data entry'!$B$6:$B$200,{"Confirmed";"Probable"},'Data entry'!$AQ$6:$AQ$200,'Data Validation'!$V$9, 'Data entry'!$AP$6:$AP$200,'Data Validation'!$U$2, 'Data entry'!$BD$6:$BD$200,"&lt;&gt;*Negative*"))</f>
        <v>0</v>
      </c>
      <c r="BP48" s="15">
        <f>SUM(COUNTIFS('Data entry'!$R$6:$R$200,'Summary Data'!$A48,'Data entry'!$B$6:$B$200,{"Confirmed";"Probable"},'Data entry'!$AQ$6:$AQ$200,'Data Validation'!$V$9, 'Data entry'!$AP$6:$AP$200,'Data Validation'!$U$3, 'Data entry'!$BD$6:$BD$200,"&lt;&gt;*Negative*"))</f>
        <v>0</v>
      </c>
      <c r="BQ48" s="15">
        <f>SUM(COUNTIFS('Data entry'!$R$6:$R$200,'Summary Data'!$A48,'Data entry'!$B$6:$B$200,{"Confirmed";"Probable"},'Data entry'!$AQ$6:$AQ$200,'Data Validation'!$V$9, 'Data entry'!$AP$6:$AP$200,'Data Validation'!$U$4, 'Data entry'!$BD$6:$BD$200,"&lt;&gt;*Negative*"))</f>
        <v>0</v>
      </c>
      <c r="BR48" s="15">
        <f>SUM(COUNTIFS('Data entry'!$R$6:$R$200,'Summary Data'!$A48,'Data entry'!$B$6:$B$200,{"Confirmed";"Probable"},'Data entry'!$AQ$6:$AQ$200,'Data Validation'!$V$9, 'Data entry'!$AP$6:$AP$200,'Data Validation'!$U$5, 'Data entry'!$BD$6:$BD$200,"&lt;&gt;*Negative*"))</f>
        <v>0</v>
      </c>
      <c r="BS48" s="15">
        <f>SUM(COUNTIFS('Data entry'!$R$6:$R$200,'Summary Data'!$A48,'Data entry'!$B$6:$B$200,{"Confirmed";"Probable"},'Data entry'!$AQ$6:$AQ$200,'Data Validation'!$V$9, 'Data entry'!$AP$6:$AP$200,'Data Validation'!$U$6, 'Data entry'!$BD$6:$BD$200,"&lt;&gt;*Negative*"))</f>
        <v>0</v>
      </c>
      <c r="BT48" s="15">
        <f>SUM(COUNTIFS('Data entry'!$R$6:$R$200,'Summary Data'!$A48,'Data entry'!$B$6:$B$200,{"Confirmed";"Probable"},'Data entry'!$AQ$6:$AQ$200,'Data Validation'!$V$10, 'Data entry'!$AP$6:$AP$200,'Data Validation'!$U$2, 'Data entry'!$BD$6:$BD$200,"&lt;&gt;*Negative*"))</f>
        <v>0</v>
      </c>
      <c r="BU48" s="15">
        <f>SUM(COUNTIFS('Data entry'!$R$6:$R$200,'Summary Data'!$A48,'Data entry'!$B$6:$B$200,{"Confirmed";"Probable"},'Data entry'!$AQ$6:$AQ$200,'Data Validation'!$V$10, 'Data entry'!$AP$6:$AP$200,'Data Validation'!$U$3, 'Data entry'!$BD$6:$BD$200,"&lt;&gt;*Negative*"))</f>
        <v>0</v>
      </c>
      <c r="BV48" s="15">
        <f>SUM(COUNTIFS('Data entry'!$R$6:$R$200,'Summary Data'!$A48,'Data entry'!$B$6:$B$200,{"Confirmed";"Probable"},'Data entry'!$AQ$6:$AQ$200,'Data Validation'!$V$10, 'Data entry'!$AP$6:$AP$200,'Data Validation'!$U$4, 'Data entry'!$BD$6:$BD$200,"&lt;&gt;*Negative*"))</f>
        <v>0</v>
      </c>
      <c r="BW48" s="15">
        <f>SUM(COUNTIFS('Data entry'!$R$6:$R$200,'Summary Data'!$A48,'Data entry'!$B$6:$B$200,{"Confirmed";"Probable"},'Data entry'!$AQ$6:$AQ$200,'Data Validation'!$V$10, 'Data entry'!$AP$6:$AP$200,'Data Validation'!$U$5, 'Data entry'!$BD$6:$BD$200,"&lt;&gt;*Negative*"))</f>
        <v>0</v>
      </c>
      <c r="BX48" s="15">
        <f>SUM(COUNTIFS('Data entry'!$R$6:$R$200,'Summary Data'!$A48,'Data entry'!$B$6:$B$200,{"Confirmed";"Probable"},'Data entry'!$AQ$6:$AQ$200,'Data Validation'!$V$10, 'Data entry'!$AP$6:$AP$200,'Data Validation'!$U$6, 'Data entry'!$BD$6:$BD$200,"&lt;&gt;*Negative*"))</f>
        <v>0</v>
      </c>
      <c r="BY48" s="15">
        <f>SUM(COUNTIFS('Data entry'!$R$6:$R$200,'Summary Data'!$A48,'Data entry'!$B$6:$B$200,{"Confirmed";"Probable"},'Data entry'!$AQ$6:$AQ$200,'Data Validation'!$V$11, 'Data entry'!$AP$6:$AP$200,'Data Validation'!$U$2, 'Data entry'!$BD$6:$BD$200,"&lt;&gt;*Negative*"))</f>
        <v>0</v>
      </c>
      <c r="BZ48" s="15">
        <f>SUM(COUNTIFS('Data entry'!$R$6:$R$200,'Summary Data'!$A48,'Data entry'!$B$6:$B$200,{"Confirmed";"Probable"},'Data entry'!$AQ$6:$AQ$200,'Data Validation'!$V$11, 'Data entry'!$AP$6:$AP$200,'Data Validation'!$U$3, 'Data entry'!$BD$6:$BD$200,"&lt;&gt;*Negative*"))</f>
        <v>0</v>
      </c>
      <c r="CA48" s="15">
        <f>SUM(COUNTIFS('Data entry'!$R$6:$R$200,'Summary Data'!$A48,'Data entry'!$B$6:$B$200,{"Confirmed";"Probable"},'Data entry'!$AQ$6:$AQ$200,'Data Validation'!$V$11, 'Data entry'!$AP$6:$AP$200,'Data Validation'!$U$4, 'Data entry'!$BD$6:$BD$200,"&lt;&gt;*Negative*"))</f>
        <v>0</v>
      </c>
      <c r="CB48" s="15">
        <f>SUM(COUNTIFS('Data entry'!$R$6:$R$200,'Summary Data'!$A48,'Data entry'!$B$6:$B$200,{"Confirmed";"Probable"},'Data entry'!$AQ$6:$AQ$200,'Data Validation'!$V$11, 'Data entry'!$AP$6:$AP$200,'Data Validation'!$U$5, 'Data entry'!$BD$6:$BD$200,"&lt;&gt;*Negative*"))</f>
        <v>0</v>
      </c>
      <c r="CC48" s="15">
        <f>SUM(COUNTIFS('Data entry'!$R$6:$R$200,'Summary Data'!$A48,'Data entry'!$B$6:$B$200,{"Confirmed";"Probable"},'Data entry'!$AQ$6:$AQ$200,'Data Validation'!$V$11, 'Data entry'!$AP$6:$AP$200,'Data Validation'!$U$6, 'Data entry'!$BD$6:$BD$200,"&lt;&gt;*Negative*"))</f>
        <v>0</v>
      </c>
    </row>
    <row r="49" spans="1:81" x14ac:dyDescent="0.25">
      <c r="A49" s="12">
        <f t="shared" si="5"/>
        <v>37</v>
      </c>
      <c r="B49" s="13">
        <f t="shared" si="2"/>
        <v>0</v>
      </c>
      <c r="C49" s="13">
        <f>COUNTIFS('Data entry'!$R$6:$R$200,$A49,'Data entry'!$B$6:$B$200,"Confirmed",'Data entry'!$BD$6:$BD$200,"&lt;&gt;*Negative*")</f>
        <v>0</v>
      </c>
      <c r="D49" s="13">
        <f>COUNTIFS('Data entry'!$R$6:$R$200,$A49,'Data entry'!$B$6:$B$200,"Probable",'Data entry'!$BD$6:$BD$200,"&lt;&gt;*Negative*")</f>
        <v>0</v>
      </c>
      <c r="E49" s="13">
        <f>COUNTIFS('Data entry'!$R$6:$R$200,$A49,'Data entry'!$B$6:$B$200,"DNM")</f>
        <v>0</v>
      </c>
      <c r="F49" s="13">
        <f>SUM(COUNTIFS('Data entry'!$R$6:$R$200,'Summary Data'!$A49,'Data entry'!$B$6:$B$200,{"Confirmed";"Probable"},'Data entry'!$AO$6:$AO$200,$F$10, 'Data entry'!$BD$6:$BD$200,"&lt;&gt;*Negative*"))</f>
        <v>0</v>
      </c>
      <c r="G49" s="13">
        <f>SUM(COUNTIFS('Data entry'!$R$6:$R$200,'Summary Data'!$A49,'Data entry'!$B$6:$B$200,{"Confirmed";"Probable"},'Data entry'!$AO$6:$AO$200,$G$10, 'Data entry'!$BD$6:$BD$200,"&lt;&gt;*Negative*"))</f>
        <v>0</v>
      </c>
      <c r="H49" s="13">
        <f>SUM(COUNTIFS('Data entry'!$R$6:$R$200,'Summary Data'!$A49,'Data entry'!$B$6:$B$200,{"Confirmed";"Probable"},'Data entry'!$AO$6:$AO$200,$H$10, 'Data entry'!$BD$6:$BD$200,"&lt;&gt;*Negative*"))</f>
        <v>0</v>
      </c>
      <c r="I49" s="13">
        <f>SUM(COUNTIFS('Data entry'!$R$6:$R$200,'Summary Data'!$A49,'Data entry'!$B$6:$B$200,{"Confirmed";"Probable"},'Data entry'!$AO$6:$AO$200,$I$10, 'Data entry'!$BD$6:$BD$200,"&lt;&gt;*Negative*"))</f>
        <v>0</v>
      </c>
      <c r="J49" s="13">
        <f>SUM(COUNTIFS('Data entry'!$R$6:$R$200,'Summary Data'!$A49,'Data entry'!$B$6:$B$200,{"Confirmed";"Probable"},'Data entry'!$AO$6:$AO$200,$J$10, 'Data entry'!$BD$6:$BD$200,"&lt;&gt;*Negative*"))</f>
        <v>0</v>
      </c>
      <c r="K49" s="13">
        <f>SUM(COUNTIFS('Data entry'!$R$6:$R$200,'Summary Data'!$A49,'Data entry'!$B$6:$B$200,{"Confirmed";"Probable"},'Data entry'!$AO$6:$AO$200,$K$10, 'Data entry'!$BD$6:$BD$200,"&lt;&gt;*Negative*"))</f>
        <v>0</v>
      </c>
      <c r="L49" s="13">
        <f>SUM(COUNTIFS('Data entry'!$R$6:$R$200,'Summary Data'!$A49,'Data entry'!$B$6:$B$200,{"Confirmed";"Probable"},'Data entry'!$AO$6:$AO$200,$L$10, 'Data entry'!$BD$6:$BD$200,"&lt;&gt;*Negative*"))</f>
        <v>0</v>
      </c>
      <c r="M49" s="13">
        <f>SUM(COUNTIFS('Data entry'!$R$6:$R$200,'Summary Data'!$A49,'Data entry'!$B$6:$B$200,{"Confirmed";"Probable"},'Data entry'!$AO$6:$AO$200,$M$10, 'Data entry'!$BD$6:$BD$200,"&lt;&gt;*Negative*"))</f>
        <v>0</v>
      </c>
      <c r="N49" s="13">
        <f>SUM(COUNTIFS('Data entry'!$R$6:$R$200,'Summary Data'!$A49,'Data entry'!$B$6:$B$200,{"Confirmed";"Probable"},'Data entry'!$AO$6:$AO$200,$N$10, 'Data entry'!$BD$6:$BD$200,"&lt;&gt;*Negative*"))</f>
        <v>0</v>
      </c>
      <c r="O49" s="15">
        <f t="shared" si="3"/>
        <v>0</v>
      </c>
      <c r="P49" s="15">
        <f t="shared" si="4"/>
        <v>0</v>
      </c>
      <c r="Q49" s="15">
        <f>SUM(COUNTIFS('Data entry'!$R$6:$R$200,'Summary Data'!$A49,'Data entry'!$B$6:$B$200,{"Confirmed";"Probable"},'Data entry'!$AP$6:$AP$200,'Data Validation'!$U$2, 'Data entry'!$BD$6:$BD$200,"&lt;&gt;*Negative*"))</f>
        <v>0</v>
      </c>
      <c r="R49" s="15">
        <f>SUM(COUNTIFS('Data entry'!$R$6:$R$200,'Summary Data'!$A49,'Data entry'!$B$6:$B$200,{"Confirmed";"Probable"},'Data entry'!$AP$6:$AP$200,'Data Validation'!$U$3, 'Data entry'!$BD$6:$BD$200,"&lt;&gt;*Negative*"))</f>
        <v>0</v>
      </c>
      <c r="S49" s="15">
        <f>SUM(COUNTIFS('Data entry'!$R$6:$R$200,'Summary Data'!$A49,'Data entry'!$B$6:$B$200,{"Confirmed";"Probable"},'Data entry'!$AP$6:$AP$200,'Data Validation'!$U$4, 'Data entry'!$BD$6:$BD$200,"&lt;&gt;*Negative*"))</f>
        <v>0</v>
      </c>
      <c r="T49" s="15">
        <f>SUM(COUNTIFS('Data entry'!$R$6:$R$200,'Summary Data'!$A49,'Data entry'!$B$6:$B$200,{"Confirmed";"Probable"},'Data entry'!$AP$6:$AP$200,'Data Validation'!$U$5, 'Data entry'!$BD$6:$BD$200,"&lt;&gt;*Negative*"))</f>
        <v>0</v>
      </c>
      <c r="U49" s="15">
        <f>SUM(COUNTIFS('Data entry'!$R$6:$R$200,'Summary Data'!$A49,'Data entry'!$B$6:$B$200,{"Confirmed";"Probable"},'Data entry'!$AP$6:$AP$200,'Data Validation'!$U$6, 'Data entry'!$BD$6:$BD$200,"&lt;&gt;*Negative*"))</f>
        <v>0</v>
      </c>
      <c r="V49" s="15">
        <f>SUM(COUNTIFS('Data entry'!$R$6:$R$200,'Summary Data'!$A49,'Data entry'!$B$6:$B$200,{"Confirmed";"Probable"},'Data entry'!$AQ$6:$AQ$200,'Data Validation'!$V$2, 'Data entry'!$BD$6:$BD$200,"&lt;&gt;*Negative*"))</f>
        <v>0</v>
      </c>
      <c r="W49" s="15">
        <f>SUM(COUNTIFS('Data entry'!$R$6:$R$200,'Summary Data'!$A49,'Data entry'!$B$6:$B$200,{"Confirmed";"Probable"},'Data entry'!$AQ$6:$AQ$200,'Data Validation'!$V$3, 'Data entry'!$BD$6:$BD$200,"&lt;&gt;*Negative*"))</f>
        <v>0</v>
      </c>
      <c r="X49" s="15">
        <f>SUM(COUNTIFS('Data entry'!$R$6:$R$200,'Summary Data'!$A49,'Data entry'!$B$6:$B$200,{"Confirmed";"Probable"},'Data entry'!$AQ$6:$AQ$200,'Data Validation'!$V$4, 'Data entry'!$BD$6:$BD$200,"&lt;&gt;*Negative*"))</f>
        <v>0</v>
      </c>
      <c r="Y49" s="15">
        <f>SUM(COUNTIFS('Data entry'!$R$6:$R$200,'Summary Data'!$A49,'Data entry'!$B$6:$B$200,{"Confirmed";"Probable"},'Data entry'!$AQ$6:$AQ$200,'Data Validation'!$V$5, 'Data entry'!$BD$6:$BD$200,"&lt;&gt;*Negative*"))</f>
        <v>0</v>
      </c>
      <c r="Z49" s="15">
        <f>SUM(COUNTIFS('Data entry'!$R$6:$R$200,'Summary Data'!$A49,'Data entry'!$B$6:$B$200,{"Confirmed";"Probable"},'Data entry'!$AQ$6:$AQ$200,'Data Validation'!$V$6, 'Data entry'!$BD$6:$BD$200,"&lt;&gt;*Negative*"))</f>
        <v>0</v>
      </c>
      <c r="AA49" s="15">
        <f>SUM(COUNTIFS('Data entry'!$R$6:$R$200,'Summary Data'!$A49,'Data entry'!$B$6:$B$200,{"Confirmed";"Probable"},'Data entry'!$AQ$6:$AQ$200,'Data Validation'!$V$7, 'Data entry'!$BD$6:$BD$200,"&lt;&gt;*Negative*"))</f>
        <v>0</v>
      </c>
      <c r="AB49" s="15">
        <f>SUM(COUNTIFS('Data entry'!$R$6:$R$200,'Summary Data'!$A49,'Data entry'!$B$6:$B$200,{"Confirmed";"Probable"},'Data entry'!$AQ$6:$AQ$200,'Data Validation'!$V$8, 'Data entry'!$BD$6:$BD$200,"&lt;&gt;*Negative*"))</f>
        <v>0</v>
      </c>
      <c r="AC49" s="15">
        <f>SUM(COUNTIFS('Data entry'!$R$6:$R$200,'Summary Data'!$A49,'Data entry'!$B$6:$B$200,{"Confirmed";"Probable"},'Data entry'!$AQ$6:$AQ$200,'Data Validation'!$V$9, 'Data entry'!$BD$6:$BD$200,"&lt;&gt;*Negative*"))</f>
        <v>0</v>
      </c>
      <c r="AD49" s="15">
        <f>SUM(COUNTIFS('Data entry'!$R$6:$R$200,'Summary Data'!$A49,'Data entry'!$B$6:$B$200,{"Confirmed";"Probable"},'Data entry'!$AQ$6:$AQ$200,'Data Validation'!$V$10, 'Data entry'!$BD$6:$BD$200,"&lt;&gt;*Negative*"))</f>
        <v>0</v>
      </c>
      <c r="AE49" s="15">
        <f>SUM(COUNTIFS('Data entry'!$R$6:$R$200,'Summary Data'!$A49,'Data entry'!$B$6:$B$200,{"Confirmed";"Probable"},'Data entry'!$AQ$6:$AQ$200,'Data Validation'!$V$11, 'Data entry'!$BD$6:$BD$200,"&lt;&gt;*Negative*"))</f>
        <v>0</v>
      </c>
      <c r="AF49" s="15">
        <f>SUM(COUNTIFS('Data entry'!$R$6:$R$200,'Summary Data'!$A49,'Data entry'!$B$6:$B$200,{"Confirmed";"Probable"},'Data entry'!$AQ$6:$AQ$200,'Data Validation'!$V$2, 'Data entry'!$AP$6:$AP$200,'Data Validation'!$U$2, 'Data entry'!$BD$6:$BD$200,"&lt;&gt;*Negative*"))</f>
        <v>0</v>
      </c>
      <c r="AG49" s="15">
        <f>SUM(COUNTIFS('Data entry'!$R$6:$R$200,'Summary Data'!$A49,'Data entry'!$B$6:$B$200,{"Confirmed";"Probable"},'Data entry'!$AQ$6:$AQ$200,'Data Validation'!$V$2, 'Data entry'!$AP$6:$AP$200,'Data Validation'!$U$3, 'Data entry'!$BD$6:$BD$200,"&lt;&gt;*Negative*"))</f>
        <v>0</v>
      </c>
      <c r="AH49" s="15">
        <f>SUM(COUNTIFS('Data entry'!$R$6:$R$200,'Summary Data'!$A49,'Data entry'!$B$6:$B$200,{"Confirmed";"Probable"},'Data entry'!$AQ$6:$AQ$200,'Data Validation'!$V$2, 'Data entry'!$AP$6:$AP$200,'Data Validation'!$U$4, 'Data entry'!$BD$6:$BD$200,"&lt;&gt;*Negative*"))</f>
        <v>0</v>
      </c>
      <c r="AI49" s="15">
        <f>SUM(COUNTIFS('Data entry'!$R$6:$R$200,'Summary Data'!$A49,'Data entry'!$B$6:$B$200,{"Confirmed";"Probable"},'Data entry'!$AQ$6:$AQ$200,'Data Validation'!$V$2, 'Data entry'!$AP$6:$AP$200,'Data Validation'!$U$5, 'Data entry'!$BD$6:$BD$200,"&lt;&gt;*Negative*"))</f>
        <v>0</v>
      </c>
      <c r="AJ49" s="15">
        <f>SUM(COUNTIFS('Data entry'!$R$6:$R$200,'Summary Data'!$A49,'Data entry'!$B$6:$B$200,{"Confirmed";"Probable"},'Data entry'!$AQ$6:$AQ$200,'Data Validation'!$V$2, 'Data entry'!$AP$6:$AP$200,'Data Validation'!$U$6, 'Data entry'!$BD$6:$BD$200,"&lt;&gt;*Negative*"))</f>
        <v>0</v>
      </c>
      <c r="AK49" s="15">
        <f>SUM(COUNTIFS('Data entry'!$R$6:$R$200,'Summary Data'!$A49,'Data entry'!$B$6:$B$200,{"Confirmed";"Probable"},'Data entry'!$AQ$6:$AQ$200,'Data Validation'!$V$3, 'Data entry'!$AP$6:$AP$200,'Data Validation'!$U$2, 'Data entry'!$BD$6:$BD$200,"&lt;&gt;*Negative*"))</f>
        <v>0</v>
      </c>
      <c r="AL49" s="15">
        <f>SUM(COUNTIFS('Data entry'!$R$6:$R$200,'Summary Data'!$A49,'Data entry'!$B$6:$B$200,{"Confirmed";"Probable"},'Data entry'!$AQ$6:$AQ$200,'Data Validation'!$V$3, 'Data entry'!$AP$6:$AP$200,'Data Validation'!$U$3, 'Data entry'!$BD$6:$BD$200,"&lt;&gt;*Negative*"))</f>
        <v>0</v>
      </c>
      <c r="AM49" s="15">
        <f>SUM(COUNTIFS('Data entry'!$R$6:$R$200,'Summary Data'!$A49,'Data entry'!$B$6:$B$200,{"Confirmed";"Probable"},'Data entry'!$AQ$6:$AQ$200,'Data Validation'!$V$3, 'Data entry'!$AP$6:$AP$200,'Data Validation'!$U$4, 'Data entry'!$BD$6:$BD$200,"&lt;&gt;*Negative*"))</f>
        <v>0</v>
      </c>
      <c r="AN49" s="15">
        <f>SUM(COUNTIFS('Data entry'!$R$6:$R$200,'Summary Data'!$A49,'Data entry'!$B$6:$B$200,{"Confirmed";"Probable"},'Data entry'!$AQ$6:$AQ$200,'Data Validation'!$V$3, 'Data entry'!$AP$6:$AP$200,'Data Validation'!$U$5, 'Data entry'!$BD$6:$BD$200,"&lt;&gt;*Negative*"))</f>
        <v>0</v>
      </c>
      <c r="AO49" s="15">
        <f>SUM(COUNTIFS('Data entry'!$R$6:$R$200,'Summary Data'!$A49,'Data entry'!$B$6:$B$200,{"Confirmed";"Probable"},'Data entry'!$AQ$6:$AQ$200,'Data Validation'!$V$3, 'Data entry'!$AP$6:$AP$200,'Data Validation'!$U$6, 'Data entry'!$BD$6:$BD$200,"&lt;&gt;*Negative*"))</f>
        <v>0</v>
      </c>
      <c r="AP49" s="15">
        <f>SUM(COUNTIFS('Data entry'!$R$6:$R$200,'Summary Data'!$A49,'Data entry'!$B$6:$B$200,{"Confirmed";"Probable"},'Data entry'!$AQ$6:$AQ$200,'Data Validation'!$V$4, 'Data entry'!$AP$6:$AP$200,'Data Validation'!$U$2, 'Data entry'!$BD$6:$BD$200,"&lt;&gt;*Negative*"))</f>
        <v>0</v>
      </c>
      <c r="AQ49" s="15">
        <f>SUM(COUNTIFS('Data entry'!$R$6:$R$200,'Summary Data'!$A49,'Data entry'!$B$6:$B$200,{"Confirmed";"Probable"},'Data entry'!$AQ$6:$AQ$200,'Data Validation'!$V$4, 'Data entry'!$AP$6:$AP$200,'Data Validation'!$U$3, 'Data entry'!$BD$6:$BD$200,"&lt;&gt;*Negative*"))</f>
        <v>0</v>
      </c>
      <c r="AR49" s="15">
        <f>SUM(COUNTIFS('Data entry'!$R$6:$R$200,'Summary Data'!$A49,'Data entry'!$B$6:$B$200,{"Confirmed";"Probable"},'Data entry'!$AQ$6:$AQ$200,'Data Validation'!$V$4, 'Data entry'!$AP$6:$AP$200,'Data Validation'!$U$4, 'Data entry'!$BD$6:$BD$200,"&lt;&gt;*Negative*"))</f>
        <v>0</v>
      </c>
      <c r="AS49" s="15">
        <f>SUM(COUNTIFS('Data entry'!$R$6:$R$200,'Summary Data'!$A49,'Data entry'!$B$6:$B$200,{"Confirmed";"Probable"},'Data entry'!$AQ$6:$AQ$200,'Data Validation'!$V$4, 'Data entry'!$AP$6:$AP$200,'Data Validation'!$U$5, 'Data entry'!$BD$6:$BD$200,"&lt;&gt;*Negative*"))</f>
        <v>0</v>
      </c>
      <c r="AT49" s="15">
        <f>SUM(COUNTIFS('Data entry'!$R$6:$R$200,'Summary Data'!$A49,'Data entry'!$B$6:$B$200,{"Confirmed";"Probable"},'Data entry'!$AQ$6:$AQ$200,'Data Validation'!$V$4, 'Data entry'!$AP$6:$AP$200,'Data Validation'!$U$6, 'Data entry'!$BD$6:$BD$200,"&lt;&gt;*Negative*"))</f>
        <v>0</v>
      </c>
      <c r="AU49" s="15">
        <f>SUM(COUNTIFS('Data entry'!$R$6:$R$200,'Summary Data'!$A49,'Data entry'!$B$6:$B$200,{"Confirmed";"Probable"},'Data entry'!$AQ$6:$AQ$200,'Data Validation'!$V$5, 'Data entry'!$AP$6:$AP$200,'Data Validation'!$U$2, 'Data entry'!$BD$6:$BD$200,"&lt;&gt;*Negative*"))</f>
        <v>0</v>
      </c>
      <c r="AV49" s="15">
        <f>SUM(COUNTIFS('Data entry'!$R$6:$R$200,'Summary Data'!$A49,'Data entry'!$B$6:$B$200,{"Confirmed";"Probable"},'Data entry'!$AQ$6:$AQ$200,'Data Validation'!$V$5, 'Data entry'!$AP$6:$AP$200,'Data Validation'!$U$3, 'Data entry'!$BD$6:$BD$200,"&lt;&gt;*Negative*"))</f>
        <v>0</v>
      </c>
      <c r="AW49" s="15">
        <f>SUM(COUNTIFS('Data entry'!$R$6:$R$200,'Summary Data'!$A49,'Data entry'!$B$6:$B$200,{"Confirmed";"Probable"},'Data entry'!$AQ$6:$AQ$200,'Data Validation'!$V$5, 'Data entry'!$AP$6:$AP$200,'Data Validation'!$U$4, 'Data entry'!$BD$6:$BD$200,"&lt;&gt;*Negative*"))</f>
        <v>0</v>
      </c>
      <c r="AX49" s="15">
        <f>SUM(COUNTIFS('Data entry'!$R$6:$R$200,'Summary Data'!$A49,'Data entry'!$B$6:$B$200,{"Confirmed";"Probable"},'Data entry'!$AQ$6:$AQ$200,'Data Validation'!$V$5, 'Data entry'!$AP$6:$AP$200,'Data Validation'!$U$5, 'Data entry'!$BD$6:$BD$200,"&lt;&gt;*Negative*"))</f>
        <v>0</v>
      </c>
      <c r="AY49" s="15">
        <f>SUM(COUNTIFS('Data entry'!$R$6:$R$200,'Summary Data'!$A49,'Data entry'!$B$6:$B$200,{"Confirmed";"Probable"},'Data entry'!$AQ$6:$AQ$200,'Data Validation'!$V$5, 'Data entry'!$AP$6:$AP$200,'Data Validation'!$U$6, 'Data entry'!$BD$6:$BD$200,"&lt;&gt;*Negative*"))</f>
        <v>0</v>
      </c>
      <c r="AZ49" s="15">
        <f>SUM(COUNTIFS('Data entry'!$R$6:$R$200,'Summary Data'!$A49,'Data entry'!$B$6:$B$200,{"Confirmed";"Probable"},'Data entry'!$AQ$6:$AQ$200,'Data Validation'!$V$6, 'Data entry'!$AP$6:$AP$200,'Data Validation'!$U$2, 'Data entry'!$BD$6:$BD$200,"&lt;&gt;*Negative*"))</f>
        <v>0</v>
      </c>
      <c r="BA49" s="15">
        <f>SUM(COUNTIFS('Data entry'!$R$6:$R$200,'Summary Data'!$A49,'Data entry'!$B$6:$B$200,{"Confirmed";"Probable"},'Data entry'!$AQ$6:$AQ$200,'Data Validation'!$V$6, 'Data entry'!$AP$6:$AP$200,'Data Validation'!$U$3, 'Data entry'!$BD$6:$BD$200,"&lt;&gt;*Negative*"))</f>
        <v>0</v>
      </c>
      <c r="BB49" s="15">
        <f>SUM(COUNTIFS('Data entry'!$R$6:$R$200,'Summary Data'!$A49,'Data entry'!$B$6:$B$200,{"Confirmed";"Probable"},'Data entry'!$AQ$6:$AQ$200,'Data Validation'!$V$6, 'Data entry'!$AP$6:$AP$200,'Data Validation'!$U$4, 'Data entry'!$BD$6:$BD$200,"&lt;&gt;*Negative*"))</f>
        <v>0</v>
      </c>
      <c r="BC49" s="15">
        <f>SUM(COUNTIFS('Data entry'!$R$6:$R$200,'Summary Data'!$A49,'Data entry'!$B$6:$B$200,{"Confirmed";"Probable"},'Data entry'!$AQ$6:$AQ$200,'Data Validation'!$V$6, 'Data entry'!$AP$6:$AP$200,'Data Validation'!$U$5, 'Data entry'!$BD$6:$BD$200,"&lt;&gt;*Negative*"))</f>
        <v>0</v>
      </c>
      <c r="BD49" s="15">
        <f>SUM(COUNTIFS('Data entry'!$R$6:$R$200,'Summary Data'!$A49,'Data entry'!$B$6:$B$200,{"Confirmed";"Probable"},'Data entry'!$AQ$6:$AQ$200,'Data Validation'!$V$6, 'Data entry'!$AP$6:$AP$200,'Data Validation'!$U$6, 'Data entry'!$BD$6:$BD$200,"&lt;&gt;*Negative*"))</f>
        <v>0</v>
      </c>
      <c r="BE49" s="15">
        <f>SUM(COUNTIFS('Data entry'!$R$6:$R$200,'Summary Data'!$A49,'Data entry'!$B$6:$B$200,{"Confirmed";"Probable"},'Data entry'!$AQ$6:$AQ$200,'Data Validation'!$V$7, 'Data entry'!$AP$6:$AP$200,'Data Validation'!$U$2, 'Data entry'!$BD$6:$BD$200,"&lt;&gt;*Negative*"))</f>
        <v>0</v>
      </c>
      <c r="BF49" s="15">
        <f>SUM(COUNTIFS('Data entry'!$R$6:$R$200,'Summary Data'!$A49,'Data entry'!$B$6:$B$200,{"Confirmed";"Probable"},'Data entry'!$AQ$6:$AQ$200,'Data Validation'!$V$7, 'Data entry'!$AP$6:$AP$200,'Data Validation'!$U$3, 'Data entry'!$BD$6:$BD$200,"&lt;&gt;*Negative*"))</f>
        <v>0</v>
      </c>
      <c r="BG49" s="15">
        <f>SUM(COUNTIFS('Data entry'!$R$6:$R$200,'Summary Data'!$A49,'Data entry'!$B$6:$B$200,{"Confirmed";"Probable"},'Data entry'!$AQ$6:$AQ$200,'Data Validation'!$V$7, 'Data entry'!$AP$6:$AP$200,'Data Validation'!$U$4, 'Data entry'!$BD$6:$BD$200,"&lt;&gt;*Negative*"))</f>
        <v>0</v>
      </c>
      <c r="BH49" s="15">
        <f>SUM(COUNTIFS('Data entry'!$R$6:$R$200,'Summary Data'!$A49,'Data entry'!$B$6:$B$200,{"Confirmed";"Probable"},'Data entry'!$AQ$6:$AQ$200,'Data Validation'!$V$7, 'Data entry'!$AP$6:$AP$200,'Data Validation'!$U$5, 'Data entry'!$BD$6:$BD$200,"&lt;&gt;*Negative*"))</f>
        <v>0</v>
      </c>
      <c r="BI49" s="15">
        <f>SUM(COUNTIFS('Data entry'!$R$6:$R$200,'Summary Data'!$A49,'Data entry'!$B$6:$B$200,{"Confirmed";"Probable"},'Data entry'!$AQ$6:$AQ$200,'Data Validation'!$V$7, 'Data entry'!$AP$6:$AP$200,'Data Validation'!$U$6, 'Data entry'!$BD$6:$BD$200,"&lt;&gt;*Negative*"))</f>
        <v>0</v>
      </c>
      <c r="BJ49" s="15">
        <f>SUM(COUNTIFS('Data entry'!$R$6:$R$200,'Summary Data'!$A49,'Data entry'!$B$6:$B$200,{"Confirmed";"Probable"},'Data entry'!$AQ$6:$AQ$200,'Data Validation'!$V$8, 'Data entry'!$AP$6:$AP$200,'Data Validation'!$U$2, 'Data entry'!$BD$6:$BD$200,"&lt;&gt;*Negative*"))</f>
        <v>0</v>
      </c>
      <c r="BK49" s="15">
        <f>SUM(COUNTIFS('Data entry'!$R$6:$R$200,'Summary Data'!$A49,'Data entry'!$B$6:$B$200,{"Confirmed";"Probable"},'Data entry'!$AQ$6:$AQ$200,'Data Validation'!$V$8, 'Data entry'!$AP$6:$AP$200,'Data Validation'!$U$3, 'Data entry'!$BD$6:$BD$200,"&lt;&gt;*Negative*"))</f>
        <v>0</v>
      </c>
      <c r="BL49" s="15">
        <f>SUM(COUNTIFS('Data entry'!$R$6:$R$200,'Summary Data'!$A49,'Data entry'!$B$6:$B$200,{"Confirmed";"Probable"},'Data entry'!$AQ$6:$AQ$200,'Data Validation'!$V$8, 'Data entry'!$AP$6:$AP$200,'Data Validation'!$U$4, 'Data entry'!$BD$6:$BD$200,"&lt;&gt;*Negative*"))</f>
        <v>0</v>
      </c>
      <c r="BM49" s="15">
        <f>SUM(COUNTIFS('Data entry'!$R$6:$R$200,'Summary Data'!$A49,'Data entry'!$B$6:$B$200,{"Confirmed";"Probable"},'Data entry'!$AQ$6:$AQ$200,'Data Validation'!$V$8, 'Data entry'!$AP$6:$AP$200,'Data Validation'!$U$5, 'Data entry'!$BD$6:$BD$200,"&lt;&gt;*Negative*"))</f>
        <v>0</v>
      </c>
      <c r="BN49" s="15">
        <f>SUM(COUNTIFS('Data entry'!$R$6:$R$200,'Summary Data'!$A49,'Data entry'!$B$6:$B$200,{"Confirmed";"Probable"},'Data entry'!$AQ$6:$AQ$200,'Data Validation'!$V$8, 'Data entry'!$AP$6:$AP$200,'Data Validation'!$U$6, 'Data entry'!$BD$6:$BD$200,"&lt;&gt;*Negative*"))</f>
        <v>0</v>
      </c>
      <c r="BO49" s="15">
        <f>SUM(COUNTIFS('Data entry'!$R$6:$R$200,'Summary Data'!$A49,'Data entry'!$B$6:$B$200,{"Confirmed";"Probable"},'Data entry'!$AQ$6:$AQ$200,'Data Validation'!$V$9, 'Data entry'!$AP$6:$AP$200,'Data Validation'!$U$2, 'Data entry'!$BD$6:$BD$200,"&lt;&gt;*Negative*"))</f>
        <v>0</v>
      </c>
      <c r="BP49" s="15">
        <f>SUM(COUNTIFS('Data entry'!$R$6:$R$200,'Summary Data'!$A49,'Data entry'!$B$6:$B$200,{"Confirmed";"Probable"},'Data entry'!$AQ$6:$AQ$200,'Data Validation'!$V$9, 'Data entry'!$AP$6:$AP$200,'Data Validation'!$U$3, 'Data entry'!$BD$6:$BD$200,"&lt;&gt;*Negative*"))</f>
        <v>0</v>
      </c>
      <c r="BQ49" s="15">
        <f>SUM(COUNTIFS('Data entry'!$R$6:$R$200,'Summary Data'!$A49,'Data entry'!$B$6:$B$200,{"Confirmed";"Probable"},'Data entry'!$AQ$6:$AQ$200,'Data Validation'!$V$9, 'Data entry'!$AP$6:$AP$200,'Data Validation'!$U$4, 'Data entry'!$BD$6:$BD$200,"&lt;&gt;*Negative*"))</f>
        <v>0</v>
      </c>
      <c r="BR49" s="15">
        <f>SUM(COUNTIFS('Data entry'!$R$6:$R$200,'Summary Data'!$A49,'Data entry'!$B$6:$B$200,{"Confirmed";"Probable"},'Data entry'!$AQ$6:$AQ$200,'Data Validation'!$V$9, 'Data entry'!$AP$6:$AP$200,'Data Validation'!$U$5, 'Data entry'!$BD$6:$BD$200,"&lt;&gt;*Negative*"))</f>
        <v>0</v>
      </c>
      <c r="BS49" s="15">
        <f>SUM(COUNTIFS('Data entry'!$R$6:$R$200,'Summary Data'!$A49,'Data entry'!$B$6:$B$200,{"Confirmed";"Probable"},'Data entry'!$AQ$6:$AQ$200,'Data Validation'!$V$9, 'Data entry'!$AP$6:$AP$200,'Data Validation'!$U$6, 'Data entry'!$BD$6:$BD$200,"&lt;&gt;*Negative*"))</f>
        <v>0</v>
      </c>
      <c r="BT49" s="15">
        <f>SUM(COUNTIFS('Data entry'!$R$6:$R$200,'Summary Data'!$A49,'Data entry'!$B$6:$B$200,{"Confirmed";"Probable"},'Data entry'!$AQ$6:$AQ$200,'Data Validation'!$V$10, 'Data entry'!$AP$6:$AP$200,'Data Validation'!$U$2, 'Data entry'!$BD$6:$BD$200,"&lt;&gt;*Negative*"))</f>
        <v>0</v>
      </c>
      <c r="BU49" s="15">
        <f>SUM(COUNTIFS('Data entry'!$R$6:$R$200,'Summary Data'!$A49,'Data entry'!$B$6:$B$200,{"Confirmed";"Probable"},'Data entry'!$AQ$6:$AQ$200,'Data Validation'!$V$10, 'Data entry'!$AP$6:$AP$200,'Data Validation'!$U$3, 'Data entry'!$BD$6:$BD$200,"&lt;&gt;*Negative*"))</f>
        <v>0</v>
      </c>
      <c r="BV49" s="15">
        <f>SUM(COUNTIFS('Data entry'!$R$6:$R$200,'Summary Data'!$A49,'Data entry'!$B$6:$B$200,{"Confirmed";"Probable"},'Data entry'!$AQ$6:$AQ$200,'Data Validation'!$V$10, 'Data entry'!$AP$6:$AP$200,'Data Validation'!$U$4, 'Data entry'!$BD$6:$BD$200,"&lt;&gt;*Negative*"))</f>
        <v>0</v>
      </c>
      <c r="BW49" s="15">
        <f>SUM(COUNTIFS('Data entry'!$R$6:$R$200,'Summary Data'!$A49,'Data entry'!$B$6:$B$200,{"Confirmed";"Probable"},'Data entry'!$AQ$6:$AQ$200,'Data Validation'!$V$10, 'Data entry'!$AP$6:$AP$200,'Data Validation'!$U$5, 'Data entry'!$BD$6:$BD$200,"&lt;&gt;*Negative*"))</f>
        <v>0</v>
      </c>
      <c r="BX49" s="15">
        <f>SUM(COUNTIFS('Data entry'!$R$6:$R$200,'Summary Data'!$A49,'Data entry'!$B$6:$B$200,{"Confirmed";"Probable"},'Data entry'!$AQ$6:$AQ$200,'Data Validation'!$V$10, 'Data entry'!$AP$6:$AP$200,'Data Validation'!$U$6, 'Data entry'!$BD$6:$BD$200,"&lt;&gt;*Negative*"))</f>
        <v>0</v>
      </c>
      <c r="BY49" s="15">
        <f>SUM(COUNTIFS('Data entry'!$R$6:$R$200,'Summary Data'!$A49,'Data entry'!$B$6:$B$200,{"Confirmed";"Probable"},'Data entry'!$AQ$6:$AQ$200,'Data Validation'!$V$11, 'Data entry'!$AP$6:$AP$200,'Data Validation'!$U$2, 'Data entry'!$BD$6:$BD$200,"&lt;&gt;*Negative*"))</f>
        <v>0</v>
      </c>
      <c r="BZ49" s="15">
        <f>SUM(COUNTIFS('Data entry'!$R$6:$R$200,'Summary Data'!$A49,'Data entry'!$B$6:$B$200,{"Confirmed";"Probable"},'Data entry'!$AQ$6:$AQ$200,'Data Validation'!$V$11, 'Data entry'!$AP$6:$AP$200,'Data Validation'!$U$3, 'Data entry'!$BD$6:$BD$200,"&lt;&gt;*Negative*"))</f>
        <v>0</v>
      </c>
      <c r="CA49" s="15">
        <f>SUM(COUNTIFS('Data entry'!$R$6:$R$200,'Summary Data'!$A49,'Data entry'!$B$6:$B$200,{"Confirmed";"Probable"},'Data entry'!$AQ$6:$AQ$200,'Data Validation'!$V$11, 'Data entry'!$AP$6:$AP$200,'Data Validation'!$U$4, 'Data entry'!$BD$6:$BD$200,"&lt;&gt;*Negative*"))</f>
        <v>0</v>
      </c>
      <c r="CB49" s="15">
        <f>SUM(COUNTIFS('Data entry'!$R$6:$R$200,'Summary Data'!$A49,'Data entry'!$B$6:$B$200,{"Confirmed";"Probable"},'Data entry'!$AQ$6:$AQ$200,'Data Validation'!$V$11, 'Data entry'!$AP$6:$AP$200,'Data Validation'!$U$5, 'Data entry'!$BD$6:$BD$200,"&lt;&gt;*Negative*"))</f>
        <v>0</v>
      </c>
      <c r="CC49" s="15">
        <f>SUM(COUNTIFS('Data entry'!$R$6:$R$200,'Summary Data'!$A49,'Data entry'!$B$6:$B$200,{"Confirmed";"Probable"},'Data entry'!$AQ$6:$AQ$200,'Data Validation'!$V$11, 'Data entry'!$AP$6:$AP$200,'Data Validation'!$U$6, 'Data entry'!$BD$6:$BD$200,"&lt;&gt;*Negative*"))</f>
        <v>0</v>
      </c>
    </row>
    <row r="50" spans="1:81" x14ac:dyDescent="0.25">
      <c r="A50" s="12">
        <f t="shared" si="5"/>
        <v>38</v>
      </c>
      <c r="B50" s="13">
        <f t="shared" si="2"/>
        <v>0</v>
      </c>
      <c r="C50" s="13">
        <f>COUNTIFS('Data entry'!$R$6:$R$200,$A50,'Data entry'!$B$6:$B$200,"Confirmed",'Data entry'!$BD$6:$BD$200,"&lt;&gt;*Negative*")</f>
        <v>0</v>
      </c>
      <c r="D50" s="13">
        <f>COUNTIFS('Data entry'!$R$6:$R$200,$A50,'Data entry'!$B$6:$B$200,"Probable",'Data entry'!$BD$6:$BD$200,"&lt;&gt;*Negative*")</f>
        <v>0</v>
      </c>
      <c r="E50" s="13">
        <f>COUNTIFS('Data entry'!$R$6:$R$200,$A50,'Data entry'!$B$6:$B$200,"DNM")</f>
        <v>0</v>
      </c>
      <c r="F50" s="13">
        <f>SUM(COUNTIFS('Data entry'!$R$6:$R$200,'Summary Data'!$A50,'Data entry'!$B$6:$B$200,{"Confirmed";"Probable"},'Data entry'!$AO$6:$AO$200,$F$10, 'Data entry'!$BD$6:$BD$200,"&lt;&gt;*Negative*"))</f>
        <v>0</v>
      </c>
      <c r="G50" s="13">
        <f>SUM(COUNTIFS('Data entry'!$R$6:$R$200,'Summary Data'!$A50,'Data entry'!$B$6:$B$200,{"Confirmed";"Probable"},'Data entry'!$AO$6:$AO$200,$G$10, 'Data entry'!$BD$6:$BD$200,"&lt;&gt;*Negative*"))</f>
        <v>0</v>
      </c>
      <c r="H50" s="13">
        <f>SUM(COUNTIFS('Data entry'!$R$6:$R$200,'Summary Data'!$A50,'Data entry'!$B$6:$B$200,{"Confirmed";"Probable"},'Data entry'!$AO$6:$AO$200,$H$10, 'Data entry'!$BD$6:$BD$200,"&lt;&gt;*Negative*"))</f>
        <v>0</v>
      </c>
      <c r="I50" s="13">
        <f>SUM(COUNTIFS('Data entry'!$R$6:$R$200,'Summary Data'!$A50,'Data entry'!$B$6:$B$200,{"Confirmed";"Probable"},'Data entry'!$AO$6:$AO$200,$I$10, 'Data entry'!$BD$6:$BD$200,"&lt;&gt;*Negative*"))</f>
        <v>0</v>
      </c>
      <c r="J50" s="13">
        <f>SUM(COUNTIFS('Data entry'!$R$6:$R$200,'Summary Data'!$A50,'Data entry'!$B$6:$B$200,{"Confirmed";"Probable"},'Data entry'!$AO$6:$AO$200,$J$10, 'Data entry'!$BD$6:$BD$200,"&lt;&gt;*Negative*"))</f>
        <v>0</v>
      </c>
      <c r="K50" s="13">
        <f>SUM(COUNTIFS('Data entry'!$R$6:$R$200,'Summary Data'!$A50,'Data entry'!$B$6:$B$200,{"Confirmed";"Probable"},'Data entry'!$AO$6:$AO$200,$K$10, 'Data entry'!$BD$6:$BD$200,"&lt;&gt;*Negative*"))</f>
        <v>0</v>
      </c>
      <c r="L50" s="13">
        <f>SUM(COUNTIFS('Data entry'!$R$6:$R$200,'Summary Data'!$A50,'Data entry'!$B$6:$B$200,{"Confirmed";"Probable"},'Data entry'!$AO$6:$AO$200,$L$10, 'Data entry'!$BD$6:$BD$200,"&lt;&gt;*Negative*"))</f>
        <v>0</v>
      </c>
      <c r="M50" s="13">
        <f>SUM(COUNTIFS('Data entry'!$R$6:$R$200,'Summary Data'!$A50,'Data entry'!$B$6:$B$200,{"Confirmed";"Probable"},'Data entry'!$AO$6:$AO$200,$M$10, 'Data entry'!$BD$6:$BD$200,"&lt;&gt;*Negative*"))</f>
        <v>0</v>
      </c>
      <c r="N50" s="13">
        <f>SUM(COUNTIFS('Data entry'!$R$6:$R$200,'Summary Data'!$A50,'Data entry'!$B$6:$B$200,{"Confirmed";"Probable"},'Data entry'!$AO$6:$AO$200,$N$10, 'Data entry'!$BD$6:$BD$200,"&lt;&gt;*Negative*"))</f>
        <v>0</v>
      </c>
      <c r="O50" s="15">
        <f t="shared" si="3"/>
        <v>0</v>
      </c>
      <c r="P50" s="15">
        <f t="shared" si="4"/>
        <v>0</v>
      </c>
      <c r="Q50" s="15">
        <f>SUM(COUNTIFS('Data entry'!$R$6:$R$200,'Summary Data'!$A50,'Data entry'!$B$6:$B$200,{"Confirmed";"Probable"},'Data entry'!$AP$6:$AP$200,'Data Validation'!$U$2, 'Data entry'!$BD$6:$BD$200,"&lt;&gt;*Negative*"))</f>
        <v>0</v>
      </c>
      <c r="R50" s="15">
        <f>SUM(COUNTIFS('Data entry'!$R$6:$R$200,'Summary Data'!$A50,'Data entry'!$B$6:$B$200,{"Confirmed";"Probable"},'Data entry'!$AP$6:$AP$200,'Data Validation'!$U$3, 'Data entry'!$BD$6:$BD$200,"&lt;&gt;*Negative*"))</f>
        <v>0</v>
      </c>
      <c r="S50" s="15">
        <f>SUM(COUNTIFS('Data entry'!$R$6:$R$200,'Summary Data'!$A50,'Data entry'!$B$6:$B$200,{"Confirmed";"Probable"},'Data entry'!$AP$6:$AP$200,'Data Validation'!$U$4, 'Data entry'!$BD$6:$BD$200,"&lt;&gt;*Negative*"))</f>
        <v>0</v>
      </c>
      <c r="T50" s="15">
        <f>SUM(COUNTIFS('Data entry'!$R$6:$R$200,'Summary Data'!$A50,'Data entry'!$B$6:$B$200,{"Confirmed";"Probable"},'Data entry'!$AP$6:$AP$200,'Data Validation'!$U$5, 'Data entry'!$BD$6:$BD$200,"&lt;&gt;*Negative*"))</f>
        <v>0</v>
      </c>
      <c r="U50" s="15">
        <f>SUM(COUNTIFS('Data entry'!$R$6:$R$200,'Summary Data'!$A50,'Data entry'!$B$6:$B$200,{"Confirmed";"Probable"},'Data entry'!$AP$6:$AP$200,'Data Validation'!$U$6, 'Data entry'!$BD$6:$BD$200,"&lt;&gt;*Negative*"))</f>
        <v>0</v>
      </c>
      <c r="V50" s="15">
        <f>SUM(COUNTIFS('Data entry'!$R$6:$R$200,'Summary Data'!$A50,'Data entry'!$B$6:$B$200,{"Confirmed";"Probable"},'Data entry'!$AQ$6:$AQ$200,'Data Validation'!$V$2, 'Data entry'!$BD$6:$BD$200,"&lt;&gt;*Negative*"))</f>
        <v>0</v>
      </c>
      <c r="W50" s="15">
        <f>SUM(COUNTIFS('Data entry'!$R$6:$R$200,'Summary Data'!$A50,'Data entry'!$B$6:$B$200,{"Confirmed";"Probable"},'Data entry'!$AQ$6:$AQ$200,'Data Validation'!$V$3, 'Data entry'!$BD$6:$BD$200,"&lt;&gt;*Negative*"))</f>
        <v>0</v>
      </c>
      <c r="X50" s="15">
        <f>SUM(COUNTIFS('Data entry'!$R$6:$R$200,'Summary Data'!$A50,'Data entry'!$B$6:$B$200,{"Confirmed";"Probable"},'Data entry'!$AQ$6:$AQ$200,'Data Validation'!$V$4, 'Data entry'!$BD$6:$BD$200,"&lt;&gt;*Negative*"))</f>
        <v>0</v>
      </c>
      <c r="Y50" s="15">
        <f>SUM(COUNTIFS('Data entry'!$R$6:$R$200,'Summary Data'!$A50,'Data entry'!$B$6:$B$200,{"Confirmed";"Probable"},'Data entry'!$AQ$6:$AQ$200,'Data Validation'!$V$5, 'Data entry'!$BD$6:$BD$200,"&lt;&gt;*Negative*"))</f>
        <v>0</v>
      </c>
      <c r="Z50" s="15">
        <f>SUM(COUNTIFS('Data entry'!$R$6:$R$200,'Summary Data'!$A50,'Data entry'!$B$6:$B$200,{"Confirmed";"Probable"},'Data entry'!$AQ$6:$AQ$200,'Data Validation'!$V$6, 'Data entry'!$BD$6:$BD$200,"&lt;&gt;*Negative*"))</f>
        <v>0</v>
      </c>
      <c r="AA50" s="15">
        <f>SUM(COUNTIFS('Data entry'!$R$6:$R$200,'Summary Data'!$A50,'Data entry'!$B$6:$B$200,{"Confirmed";"Probable"},'Data entry'!$AQ$6:$AQ$200,'Data Validation'!$V$7, 'Data entry'!$BD$6:$BD$200,"&lt;&gt;*Negative*"))</f>
        <v>0</v>
      </c>
      <c r="AB50" s="15">
        <f>SUM(COUNTIFS('Data entry'!$R$6:$R$200,'Summary Data'!$A50,'Data entry'!$B$6:$B$200,{"Confirmed";"Probable"},'Data entry'!$AQ$6:$AQ$200,'Data Validation'!$V$8, 'Data entry'!$BD$6:$BD$200,"&lt;&gt;*Negative*"))</f>
        <v>0</v>
      </c>
      <c r="AC50" s="15">
        <f>SUM(COUNTIFS('Data entry'!$R$6:$R$200,'Summary Data'!$A50,'Data entry'!$B$6:$B$200,{"Confirmed";"Probable"},'Data entry'!$AQ$6:$AQ$200,'Data Validation'!$V$9, 'Data entry'!$BD$6:$BD$200,"&lt;&gt;*Negative*"))</f>
        <v>0</v>
      </c>
      <c r="AD50" s="15">
        <f>SUM(COUNTIFS('Data entry'!$R$6:$R$200,'Summary Data'!$A50,'Data entry'!$B$6:$B$200,{"Confirmed";"Probable"},'Data entry'!$AQ$6:$AQ$200,'Data Validation'!$V$10, 'Data entry'!$BD$6:$BD$200,"&lt;&gt;*Negative*"))</f>
        <v>0</v>
      </c>
      <c r="AE50" s="15">
        <f>SUM(COUNTIFS('Data entry'!$R$6:$R$200,'Summary Data'!$A50,'Data entry'!$B$6:$B$200,{"Confirmed";"Probable"},'Data entry'!$AQ$6:$AQ$200,'Data Validation'!$V$11, 'Data entry'!$BD$6:$BD$200,"&lt;&gt;*Negative*"))</f>
        <v>0</v>
      </c>
      <c r="AF50" s="15">
        <f>SUM(COUNTIFS('Data entry'!$R$6:$R$200,'Summary Data'!$A50,'Data entry'!$B$6:$B$200,{"Confirmed";"Probable"},'Data entry'!$AQ$6:$AQ$200,'Data Validation'!$V$2, 'Data entry'!$AP$6:$AP$200,'Data Validation'!$U$2, 'Data entry'!$BD$6:$BD$200,"&lt;&gt;*Negative*"))</f>
        <v>0</v>
      </c>
      <c r="AG50" s="15">
        <f>SUM(COUNTIFS('Data entry'!$R$6:$R$200,'Summary Data'!$A50,'Data entry'!$B$6:$B$200,{"Confirmed";"Probable"},'Data entry'!$AQ$6:$AQ$200,'Data Validation'!$V$2, 'Data entry'!$AP$6:$AP$200,'Data Validation'!$U$3, 'Data entry'!$BD$6:$BD$200,"&lt;&gt;*Negative*"))</f>
        <v>0</v>
      </c>
      <c r="AH50" s="15">
        <f>SUM(COUNTIFS('Data entry'!$R$6:$R$200,'Summary Data'!$A50,'Data entry'!$B$6:$B$200,{"Confirmed";"Probable"},'Data entry'!$AQ$6:$AQ$200,'Data Validation'!$V$2, 'Data entry'!$AP$6:$AP$200,'Data Validation'!$U$4, 'Data entry'!$BD$6:$BD$200,"&lt;&gt;*Negative*"))</f>
        <v>0</v>
      </c>
      <c r="AI50" s="15">
        <f>SUM(COUNTIFS('Data entry'!$R$6:$R$200,'Summary Data'!$A50,'Data entry'!$B$6:$B$200,{"Confirmed";"Probable"},'Data entry'!$AQ$6:$AQ$200,'Data Validation'!$V$2, 'Data entry'!$AP$6:$AP$200,'Data Validation'!$U$5, 'Data entry'!$BD$6:$BD$200,"&lt;&gt;*Negative*"))</f>
        <v>0</v>
      </c>
      <c r="AJ50" s="15">
        <f>SUM(COUNTIFS('Data entry'!$R$6:$R$200,'Summary Data'!$A50,'Data entry'!$B$6:$B$200,{"Confirmed";"Probable"},'Data entry'!$AQ$6:$AQ$200,'Data Validation'!$V$2, 'Data entry'!$AP$6:$AP$200,'Data Validation'!$U$6, 'Data entry'!$BD$6:$BD$200,"&lt;&gt;*Negative*"))</f>
        <v>0</v>
      </c>
      <c r="AK50" s="15">
        <f>SUM(COUNTIFS('Data entry'!$R$6:$R$200,'Summary Data'!$A50,'Data entry'!$B$6:$B$200,{"Confirmed";"Probable"},'Data entry'!$AQ$6:$AQ$200,'Data Validation'!$V$3, 'Data entry'!$AP$6:$AP$200,'Data Validation'!$U$2, 'Data entry'!$BD$6:$BD$200,"&lt;&gt;*Negative*"))</f>
        <v>0</v>
      </c>
      <c r="AL50" s="15">
        <f>SUM(COUNTIFS('Data entry'!$R$6:$R$200,'Summary Data'!$A50,'Data entry'!$B$6:$B$200,{"Confirmed";"Probable"},'Data entry'!$AQ$6:$AQ$200,'Data Validation'!$V$3, 'Data entry'!$AP$6:$AP$200,'Data Validation'!$U$3, 'Data entry'!$BD$6:$BD$200,"&lt;&gt;*Negative*"))</f>
        <v>0</v>
      </c>
      <c r="AM50" s="15">
        <f>SUM(COUNTIFS('Data entry'!$R$6:$R$200,'Summary Data'!$A50,'Data entry'!$B$6:$B$200,{"Confirmed";"Probable"},'Data entry'!$AQ$6:$AQ$200,'Data Validation'!$V$3, 'Data entry'!$AP$6:$AP$200,'Data Validation'!$U$4, 'Data entry'!$BD$6:$BD$200,"&lt;&gt;*Negative*"))</f>
        <v>0</v>
      </c>
      <c r="AN50" s="15">
        <f>SUM(COUNTIFS('Data entry'!$R$6:$R$200,'Summary Data'!$A50,'Data entry'!$B$6:$B$200,{"Confirmed";"Probable"},'Data entry'!$AQ$6:$AQ$200,'Data Validation'!$V$3, 'Data entry'!$AP$6:$AP$200,'Data Validation'!$U$5, 'Data entry'!$BD$6:$BD$200,"&lt;&gt;*Negative*"))</f>
        <v>0</v>
      </c>
      <c r="AO50" s="15">
        <f>SUM(COUNTIFS('Data entry'!$R$6:$R$200,'Summary Data'!$A50,'Data entry'!$B$6:$B$200,{"Confirmed";"Probable"},'Data entry'!$AQ$6:$AQ$200,'Data Validation'!$V$3, 'Data entry'!$AP$6:$AP$200,'Data Validation'!$U$6, 'Data entry'!$BD$6:$BD$200,"&lt;&gt;*Negative*"))</f>
        <v>0</v>
      </c>
      <c r="AP50" s="15">
        <f>SUM(COUNTIFS('Data entry'!$R$6:$R$200,'Summary Data'!$A50,'Data entry'!$B$6:$B$200,{"Confirmed";"Probable"},'Data entry'!$AQ$6:$AQ$200,'Data Validation'!$V$4, 'Data entry'!$AP$6:$AP$200,'Data Validation'!$U$2, 'Data entry'!$BD$6:$BD$200,"&lt;&gt;*Negative*"))</f>
        <v>0</v>
      </c>
      <c r="AQ50" s="15">
        <f>SUM(COUNTIFS('Data entry'!$R$6:$R$200,'Summary Data'!$A50,'Data entry'!$B$6:$B$200,{"Confirmed";"Probable"},'Data entry'!$AQ$6:$AQ$200,'Data Validation'!$V$4, 'Data entry'!$AP$6:$AP$200,'Data Validation'!$U$3, 'Data entry'!$BD$6:$BD$200,"&lt;&gt;*Negative*"))</f>
        <v>0</v>
      </c>
      <c r="AR50" s="15">
        <f>SUM(COUNTIFS('Data entry'!$R$6:$R$200,'Summary Data'!$A50,'Data entry'!$B$6:$B$200,{"Confirmed";"Probable"},'Data entry'!$AQ$6:$AQ$200,'Data Validation'!$V$4, 'Data entry'!$AP$6:$AP$200,'Data Validation'!$U$4, 'Data entry'!$BD$6:$BD$200,"&lt;&gt;*Negative*"))</f>
        <v>0</v>
      </c>
      <c r="AS50" s="15">
        <f>SUM(COUNTIFS('Data entry'!$R$6:$R$200,'Summary Data'!$A50,'Data entry'!$B$6:$B$200,{"Confirmed";"Probable"},'Data entry'!$AQ$6:$AQ$200,'Data Validation'!$V$4, 'Data entry'!$AP$6:$AP$200,'Data Validation'!$U$5, 'Data entry'!$BD$6:$BD$200,"&lt;&gt;*Negative*"))</f>
        <v>0</v>
      </c>
      <c r="AT50" s="15">
        <f>SUM(COUNTIFS('Data entry'!$R$6:$R$200,'Summary Data'!$A50,'Data entry'!$B$6:$B$200,{"Confirmed";"Probable"},'Data entry'!$AQ$6:$AQ$200,'Data Validation'!$V$4, 'Data entry'!$AP$6:$AP$200,'Data Validation'!$U$6, 'Data entry'!$BD$6:$BD$200,"&lt;&gt;*Negative*"))</f>
        <v>0</v>
      </c>
      <c r="AU50" s="15">
        <f>SUM(COUNTIFS('Data entry'!$R$6:$R$200,'Summary Data'!$A50,'Data entry'!$B$6:$B$200,{"Confirmed";"Probable"},'Data entry'!$AQ$6:$AQ$200,'Data Validation'!$V$5, 'Data entry'!$AP$6:$AP$200,'Data Validation'!$U$2, 'Data entry'!$BD$6:$BD$200,"&lt;&gt;*Negative*"))</f>
        <v>0</v>
      </c>
      <c r="AV50" s="15">
        <f>SUM(COUNTIFS('Data entry'!$R$6:$R$200,'Summary Data'!$A50,'Data entry'!$B$6:$B$200,{"Confirmed";"Probable"},'Data entry'!$AQ$6:$AQ$200,'Data Validation'!$V$5, 'Data entry'!$AP$6:$AP$200,'Data Validation'!$U$3, 'Data entry'!$BD$6:$BD$200,"&lt;&gt;*Negative*"))</f>
        <v>0</v>
      </c>
      <c r="AW50" s="15">
        <f>SUM(COUNTIFS('Data entry'!$R$6:$R$200,'Summary Data'!$A50,'Data entry'!$B$6:$B$200,{"Confirmed";"Probable"},'Data entry'!$AQ$6:$AQ$200,'Data Validation'!$V$5, 'Data entry'!$AP$6:$AP$200,'Data Validation'!$U$4, 'Data entry'!$BD$6:$BD$200,"&lt;&gt;*Negative*"))</f>
        <v>0</v>
      </c>
      <c r="AX50" s="15">
        <f>SUM(COUNTIFS('Data entry'!$R$6:$R$200,'Summary Data'!$A50,'Data entry'!$B$6:$B$200,{"Confirmed";"Probable"},'Data entry'!$AQ$6:$AQ$200,'Data Validation'!$V$5, 'Data entry'!$AP$6:$AP$200,'Data Validation'!$U$5, 'Data entry'!$BD$6:$BD$200,"&lt;&gt;*Negative*"))</f>
        <v>0</v>
      </c>
      <c r="AY50" s="15">
        <f>SUM(COUNTIFS('Data entry'!$R$6:$R$200,'Summary Data'!$A50,'Data entry'!$B$6:$B$200,{"Confirmed";"Probable"},'Data entry'!$AQ$6:$AQ$200,'Data Validation'!$V$5, 'Data entry'!$AP$6:$AP$200,'Data Validation'!$U$6, 'Data entry'!$BD$6:$BD$200,"&lt;&gt;*Negative*"))</f>
        <v>0</v>
      </c>
      <c r="AZ50" s="15">
        <f>SUM(COUNTIFS('Data entry'!$R$6:$R$200,'Summary Data'!$A50,'Data entry'!$B$6:$B$200,{"Confirmed";"Probable"},'Data entry'!$AQ$6:$AQ$200,'Data Validation'!$V$6, 'Data entry'!$AP$6:$AP$200,'Data Validation'!$U$2, 'Data entry'!$BD$6:$BD$200,"&lt;&gt;*Negative*"))</f>
        <v>0</v>
      </c>
      <c r="BA50" s="15">
        <f>SUM(COUNTIFS('Data entry'!$R$6:$R$200,'Summary Data'!$A50,'Data entry'!$B$6:$B$200,{"Confirmed";"Probable"},'Data entry'!$AQ$6:$AQ$200,'Data Validation'!$V$6, 'Data entry'!$AP$6:$AP$200,'Data Validation'!$U$3, 'Data entry'!$BD$6:$BD$200,"&lt;&gt;*Negative*"))</f>
        <v>0</v>
      </c>
      <c r="BB50" s="15">
        <f>SUM(COUNTIFS('Data entry'!$R$6:$R$200,'Summary Data'!$A50,'Data entry'!$B$6:$B$200,{"Confirmed";"Probable"},'Data entry'!$AQ$6:$AQ$200,'Data Validation'!$V$6, 'Data entry'!$AP$6:$AP$200,'Data Validation'!$U$4, 'Data entry'!$BD$6:$BD$200,"&lt;&gt;*Negative*"))</f>
        <v>0</v>
      </c>
      <c r="BC50" s="15">
        <f>SUM(COUNTIFS('Data entry'!$R$6:$R$200,'Summary Data'!$A50,'Data entry'!$B$6:$B$200,{"Confirmed";"Probable"},'Data entry'!$AQ$6:$AQ$200,'Data Validation'!$V$6, 'Data entry'!$AP$6:$AP$200,'Data Validation'!$U$5, 'Data entry'!$BD$6:$BD$200,"&lt;&gt;*Negative*"))</f>
        <v>0</v>
      </c>
      <c r="BD50" s="15">
        <f>SUM(COUNTIFS('Data entry'!$R$6:$R$200,'Summary Data'!$A50,'Data entry'!$B$6:$B$200,{"Confirmed";"Probable"},'Data entry'!$AQ$6:$AQ$200,'Data Validation'!$V$6, 'Data entry'!$AP$6:$AP$200,'Data Validation'!$U$6, 'Data entry'!$BD$6:$BD$200,"&lt;&gt;*Negative*"))</f>
        <v>0</v>
      </c>
      <c r="BE50" s="15">
        <f>SUM(COUNTIFS('Data entry'!$R$6:$R$200,'Summary Data'!$A50,'Data entry'!$B$6:$B$200,{"Confirmed";"Probable"},'Data entry'!$AQ$6:$AQ$200,'Data Validation'!$V$7, 'Data entry'!$AP$6:$AP$200,'Data Validation'!$U$2, 'Data entry'!$BD$6:$BD$200,"&lt;&gt;*Negative*"))</f>
        <v>0</v>
      </c>
      <c r="BF50" s="15">
        <f>SUM(COUNTIFS('Data entry'!$R$6:$R$200,'Summary Data'!$A50,'Data entry'!$B$6:$B$200,{"Confirmed";"Probable"},'Data entry'!$AQ$6:$AQ$200,'Data Validation'!$V$7, 'Data entry'!$AP$6:$AP$200,'Data Validation'!$U$3, 'Data entry'!$BD$6:$BD$200,"&lt;&gt;*Negative*"))</f>
        <v>0</v>
      </c>
      <c r="BG50" s="15">
        <f>SUM(COUNTIFS('Data entry'!$R$6:$R$200,'Summary Data'!$A50,'Data entry'!$B$6:$B$200,{"Confirmed";"Probable"},'Data entry'!$AQ$6:$AQ$200,'Data Validation'!$V$7, 'Data entry'!$AP$6:$AP$200,'Data Validation'!$U$4, 'Data entry'!$BD$6:$BD$200,"&lt;&gt;*Negative*"))</f>
        <v>0</v>
      </c>
      <c r="BH50" s="15">
        <f>SUM(COUNTIFS('Data entry'!$R$6:$R$200,'Summary Data'!$A50,'Data entry'!$B$6:$B$200,{"Confirmed";"Probable"},'Data entry'!$AQ$6:$AQ$200,'Data Validation'!$V$7, 'Data entry'!$AP$6:$AP$200,'Data Validation'!$U$5, 'Data entry'!$BD$6:$BD$200,"&lt;&gt;*Negative*"))</f>
        <v>0</v>
      </c>
      <c r="BI50" s="15">
        <f>SUM(COUNTIFS('Data entry'!$R$6:$R$200,'Summary Data'!$A50,'Data entry'!$B$6:$B$200,{"Confirmed";"Probable"},'Data entry'!$AQ$6:$AQ$200,'Data Validation'!$V$7, 'Data entry'!$AP$6:$AP$200,'Data Validation'!$U$6, 'Data entry'!$BD$6:$BD$200,"&lt;&gt;*Negative*"))</f>
        <v>0</v>
      </c>
      <c r="BJ50" s="15">
        <f>SUM(COUNTIFS('Data entry'!$R$6:$R$200,'Summary Data'!$A50,'Data entry'!$B$6:$B$200,{"Confirmed";"Probable"},'Data entry'!$AQ$6:$AQ$200,'Data Validation'!$V$8, 'Data entry'!$AP$6:$AP$200,'Data Validation'!$U$2, 'Data entry'!$BD$6:$BD$200,"&lt;&gt;*Negative*"))</f>
        <v>0</v>
      </c>
      <c r="BK50" s="15">
        <f>SUM(COUNTIFS('Data entry'!$R$6:$R$200,'Summary Data'!$A50,'Data entry'!$B$6:$B$200,{"Confirmed";"Probable"},'Data entry'!$AQ$6:$AQ$200,'Data Validation'!$V$8, 'Data entry'!$AP$6:$AP$200,'Data Validation'!$U$3, 'Data entry'!$BD$6:$BD$200,"&lt;&gt;*Negative*"))</f>
        <v>0</v>
      </c>
      <c r="BL50" s="15">
        <f>SUM(COUNTIFS('Data entry'!$R$6:$R$200,'Summary Data'!$A50,'Data entry'!$B$6:$B$200,{"Confirmed";"Probable"},'Data entry'!$AQ$6:$AQ$200,'Data Validation'!$V$8, 'Data entry'!$AP$6:$AP$200,'Data Validation'!$U$4, 'Data entry'!$BD$6:$BD$200,"&lt;&gt;*Negative*"))</f>
        <v>0</v>
      </c>
      <c r="BM50" s="15">
        <f>SUM(COUNTIFS('Data entry'!$R$6:$R$200,'Summary Data'!$A50,'Data entry'!$B$6:$B$200,{"Confirmed";"Probable"},'Data entry'!$AQ$6:$AQ$200,'Data Validation'!$V$8, 'Data entry'!$AP$6:$AP$200,'Data Validation'!$U$5, 'Data entry'!$BD$6:$BD$200,"&lt;&gt;*Negative*"))</f>
        <v>0</v>
      </c>
      <c r="BN50" s="15">
        <f>SUM(COUNTIFS('Data entry'!$R$6:$R$200,'Summary Data'!$A50,'Data entry'!$B$6:$B$200,{"Confirmed";"Probable"},'Data entry'!$AQ$6:$AQ$200,'Data Validation'!$V$8, 'Data entry'!$AP$6:$AP$200,'Data Validation'!$U$6, 'Data entry'!$BD$6:$BD$200,"&lt;&gt;*Negative*"))</f>
        <v>0</v>
      </c>
      <c r="BO50" s="15">
        <f>SUM(COUNTIFS('Data entry'!$R$6:$R$200,'Summary Data'!$A50,'Data entry'!$B$6:$B$200,{"Confirmed";"Probable"},'Data entry'!$AQ$6:$AQ$200,'Data Validation'!$V$9, 'Data entry'!$AP$6:$AP$200,'Data Validation'!$U$2, 'Data entry'!$BD$6:$BD$200,"&lt;&gt;*Negative*"))</f>
        <v>0</v>
      </c>
      <c r="BP50" s="15">
        <f>SUM(COUNTIFS('Data entry'!$R$6:$R$200,'Summary Data'!$A50,'Data entry'!$B$6:$B$200,{"Confirmed";"Probable"},'Data entry'!$AQ$6:$AQ$200,'Data Validation'!$V$9, 'Data entry'!$AP$6:$AP$200,'Data Validation'!$U$3, 'Data entry'!$BD$6:$BD$200,"&lt;&gt;*Negative*"))</f>
        <v>0</v>
      </c>
      <c r="BQ50" s="15">
        <f>SUM(COUNTIFS('Data entry'!$R$6:$R$200,'Summary Data'!$A50,'Data entry'!$B$6:$B$200,{"Confirmed";"Probable"},'Data entry'!$AQ$6:$AQ$200,'Data Validation'!$V$9, 'Data entry'!$AP$6:$AP$200,'Data Validation'!$U$4, 'Data entry'!$BD$6:$BD$200,"&lt;&gt;*Negative*"))</f>
        <v>0</v>
      </c>
      <c r="BR50" s="15">
        <f>SUM(COUNTIFS('Data entry'!$R$6:$R$200,'Summary Data'!$A50,'Data entry'!$B$6:$B$200,{"Confirmed";"Probable"},'Data entry'!$AQ$6:$AQ$200,'Data Validation'!$V$9, 'Data entry'!$AP$6:$AP$200,'Data Validation'!$U$5, 'Data entry'!$BD$6:$BD$200,"&lt;&gt;*Negative*"))</f>
        <v>0</v>
      </c>
      <c r="BS50" s="15">
        <f>SUM(COUNTIFS('Data entry'!$R$6:$R$200,'Summary Data'!$A50,'Data entry'!$B$6:$B$200,{"Confirmed";"Probable"},'Data entry'!$AQ$6:$AQ$200,'Data Validation'!$V$9, 'Data entry'!$AP$6:$AP$200,'Data Validation'!$U$6, 'Data entry'!$BD$6:$BD$200,"&lt;&gt;*Negative*"))</f>
        <v>0</v>
      </c>
      <c r="BT50" s="15">
        <f>SUM(COUNTIFS('Data entry'!$R$6:$R$200,'Summary Data'!$A50,'Data entry'!$B$6:$B$200,{"Confirmed";"Probable"},'Data entry'!$AQ$6:$AQ$200,'Data Validation'!$V$10, 'Data entry'!$AP$6:$AP$200,'Data Validation'!$U$2, 'Data entry'!$BD$6:$BD$200,"&lt;&gt;*Negative*"))</f>
        <v>0</v>
      </c>
      <c r="BU50" s="15">
        <f>SUM(COUNTIFS('Data entry'!$R$6:$R$200,'Summary Data'!$A50,'Data entry'!$B$6:$B$200,{"Confirmed";"Probable"},'Data entry'!$AQ$6:$AQ$200,'Data Validation'!$V$10, 'Data entry'!$AP$6:$AP$200,'Data Validation'!$U$3, 'Data entry'!$BD$6:$BD$200,"&lt;&gt;*Negative*"))</f>
        <v>0</v>
      </c>
      <c r="BV50" s="15">
        <f>SUM(COUNTIFS('Data entry'!$R$6:$R$200,'Summary Data'!$A50,'Data entry'!$B$6:$B$200,{"Confirmed";"Probable"},'Data entry'!$AQ$6:$AQ$200,'Data Validation'!$V$10, 'Data entry'!$AP$6:$AP$200,'Data Validation'!$U$4, 'Data entry'!$BD$6:$BD$200,"&lt;&gt;*Negative*"))</f>
        <v>0</v>
      </c>
      <c r="BW50" s="15">
        <f>SUM(COUNTIFS('Data entry'!$R$6:$R$200,'Summary Data'!$A50,'Data entry'!$B$6:$B$200,{"Confirmed";"Probable"},'Data entry'!$AQ$6:$AQ$200,'Data Validation'!$V$10, 'Data entry'!$AP$6:$AP$200,'Data Validation'!$U$5, 'Data entry'!$BD$6:$BD$200,"&lt;&gt;*Negative*"))</f>
        <v>0</v>
      </c>
      <c r="BX50" s="15">
        <f>SUM(COUNTIFS('Data entry'!$R$6:$R$200,'Summary Data'!$A50,'Data entry'!$B$6:$B$200,{"Confirmed";"Probable"},'Data entry'!$AQ$6:$AQ$200,'Data Validation'!$V$10, 'Data entry'!$AP$6:$AP$200,'Data Validation'!$U$6, 'Data entry'!$BD$6:$BD$200,"&lt;&gt;*Negative*"))</f>
        <v>0</v>
      </c>
      <c r="BY50" s="15">
        <f>SUM(COUNTIFS('Data entry'!$R$6:$R$200,'Summary Data'!$A50,'Data entry'!$B$6:$B$200,{"Confirmed";"Probable"},'Data entry'!$AQ$6:$AQ$200,'Data Validation'!$V$11, 'Data entry'!$AP$6:$AP$200,'Data Validation'!$U$2, 'Data entry'!$BD$6:$BD$200,"&lt;&gt;*Negative*"))</f>
        <v>0</v>
      </c>
      <c r="BZ50" s="15">
        <f>SUM(COUNTIFS('Data entry'!$R$6:$R$200,'Summary Data'!$A50,'Data entry'!$B$6:$B$200,{"Confirmed";"Probable"},'Data entry'!$AQ$6:$AQ$200,'Data Validation'!$V$11, 'Data entry'!$AP$6:$AP$200,'Data Validation'!$U$3, 'Data entry'!$BD$6:$BD$200,"&lt;&gt;*Negative*"))</f>
        <v>0</v>
      </c>
      <c r="CA50" s="15">
        <f>SUM(COUNTIFS('Data entry'!$R$6:$R$200,'Summary Data'!$A50,'Data entry'!$B$6:$B$200,{"Confirmed";"Probable"},'Data entry'!$AQ$6:$AQ$200,'Data Validation'!$V$11, 'Data entry'!$AP$6:$AP$200,'Data Validation'!$U$4, 'Data entry'!$BD$6:$BD$200,"&lt;&gt;*Negative*"))</f>
        <v>0</v>
      </c>
      <c r="CB50" s="15">
        <f>SUM(COUNTIFS('Data entry'!$R$6:$R$200,'Summary Data'!$A50,'Data entry'!$B$6:$B$200,{"Confirmed";"Probable"},'Data entry'!$AQ$6:$AQ$200,'Data Validation'!$V$11, 'Data entry'!$AP$6:$AP$200,'Data Validation'!$U$5, 'Data entry'!$BD$6:$BD$200,"&lt;&gt;*Negative*"))</f>
        <v>0</v>
      </c>
      <c r="CC50" s="15">
        <f>SUM(COUNTIFS('Data entry'!$R$6:$R$200,'Summary Data'!$A50,'Data entry'!$B$6:$B$200,{"Confirmed";"Probable"},'Data entry'!$AQ$6:$AQ$200,'Data Validation'!$V$11, 'Data entry'!$AP$6:$AP$200,'Data Validation'!$U$6, 'Data entry'!$BD$6:$BD$200,"&lt;&gt;*Negative*"))</f>
        <v>0</v>
      </c>
    </row>
    <row r="51" spans="1:81" x14ac:dyDescent="0.25">
      <c r="A51" s="12">
        <f t="shared" si="5"/>
        <v>39</v>
      </c>
      <c r="B51" s="13">
        <f t="shared" si="2"/>
        <v>0</v>
      </c>
      <c r="C51" s="13">
        <f>COUNTIFS('Data entry'!$R$6:$R$200,$A51,'Data entry'!$B$6:$B$200,"Confirmed",'Data entry'!$BD$6:$BD$200,"&lt;&gt;*Negative*")</f>
        <v>0</v>
      </c>
      <c r="D51" s="13">
        <f>COUNTIFS('Data entry'!$R$6:$R$200,$A51,'Data entry'!$B$6:$B$200,"Probable",'Data entry'!$BD$6:$BD$200,"&lt;&gt;*Negative*")</f>
        <v>0</v>
      </c>
      <c r="E51" s="13">
        <f>COUNTIFS('Data entry'!$R$6:$R$200,$A51,'Data entry'!$B$6:$B$200,"DNM")</f>
        <v>0</v>
      </c>
      <c r="F51" s="13">
        <f>SUM(COUNTIFS('Data entry'!$R$6:$R$200,'Summary Data'!$A51,'Data entry'!$B$6:$B$200,{"Confirmed";"Probable"},'Data entry'!$AO$6:$AO$200,$F$10, 'Data entry'!$BD$6:$BD$200,"&lt;&gt;*Negative*"))</f>
        <v>0</v>
      </c>
      <c r="G51" s="13">
        <f>SUM(COUNTIFS('Data entry'!$R$6:$R$200,'Summary Data'!$A51,'Data entry'!$B$6:$B$200,{"Confirmed";"Probable"},'Data entry'!$AO$6:$AO$200,$G$10, 'Data entry'!$BD$6:$BD$200,"&lt;&gt;*Negative*"))</f>
        <v>0</v>
      </c>
      <c r="H51" s="13">
        <f>SUM(COUNTIFS('Data entry'!$R$6:$R$200,'Summary Data'!$A51,'Data entry'!$B$6:$B$200,{"Confirmed";"Probable"},'Data entry'!$AO$6:$AO$200,$H$10, 'Data entry'!$BD$6:$BD$200,"&lt;&gt;*Negative*"))</f>
        <v>0</v>
      </c>
      <c r="I51" s="13">
        <f>SUM(COUNTIFS('Data entry'!$R$6:$R$200,'Summary Data'!$A51,'Data entry'!$B$6:$B$200,{"Confirmed";"Probable"},'Data entry'!$AO$6:$AO$200,$I$10, 'Data entry'!$BD$6:$BD$200,"&lt;&gt;*Negative*"))</f>
        <v>0</v>
      </c>
      <c r="J51" s="13">
        <f>SUM(COUNTIFS('Data entry'!$R$6:$R$200,'Summary Data'!$A51,'Data entry'!$B$6:$B$200,{"Confirmed";"Probable"},'Data entry'!$AO$6:$AO$200,$J$10, 'Data entry'!$BD$6:$BD$200,"&lt;&gt;*Negative*"))</f>
        <v>0</v>
      </c>
      <c r="K51" s="13">
        <f>SUM(COUNTIFS('Data entry'!$R$6:$R$200,'Summary Data'!$A51,'Data entry'!$B$6:$B$200,{"Confirmed";"Probable"},'Data entry'!$AO$6:$AO$200,$K$10, 'Data entry'!$BD$6:$BD$200,"&lt;&gt;*Negative*"))</f>
        <v>0</v>
      </c>
      <c r="L51" s="13">
        <f>SUM(COUNTIFS('Data entry'!$R$6:$R$200,'Summary Data'!$A51,'Data entry'!$B$6:$B$200,{"Confirmed";"Probable"},'Data entry'!$AO$6:$AO$200,$L$10, 'Data entry'!$BD$6:$BD$200,"&lt;&gt;*Negative*"))</f>
        <v>0</v>
      </c>
      <c r="M51" s="13">
        <f>SUM(COUNTIFS('Data entry'!$R$6:$R$200,'Summary Data'!$A51,'Data entry'!$B$6:$B$200,{"Confirmed";"Probable"},'Data entry'!$AO$6:$AO$200,$M$10, 'Data entry'!$BD$6:$BD$200,"&lt;&gt;*Negative*"))</f>
        <v>0</v>
      </c>
      <c r="N51" s="13">
        <f>SUM(COUNTIFS('Data entry'!$R$6:$R$200,'Summary Data'!$A51,'Data entry'!$B$6:$B$200,{"Confirmed";"Probable"},'Data entry'!$AO$6:$AO$200,$N$10, 'Data entry'!$BD$6:$BD$200,"&lt;&gt;*Negative*"))</f>
        <v>0</v>
      </c>
      <c r="O51" s="15">
        <f t="shared" si="3"/>
        <v>0</v>
      </c>
      <c r="P51" s="15">
        <f t="shared" si="4"/>
        <v>0</v>
      </c>
      <c r="Q51" s="15">
        <f>SUM(COUNTIFS('Data entry'!$R$6:$R$200,'Summary Data'!$A51,'Data entry'!$B$6:$B$200,{"Confirmed";"Probable"},'Data entry'!$AP$6:$AP$200,'Data Validation'!$U$2, 'Data entry'!$BD$6:$BD$200,"&lt;&gt;*Negative*"))</f>
        <v>0</v>
      </c>
      <c r="R51" s="15">
        <f>SUM(COUNTIFS('Data entry'!$R$6:$R$200,'Summary Data'!$A51,'Data entry'!$B$6:$B$200,{"Confirmed";"Probable"},'Data entry'!$AP$6:$AP$200,'Data Validation'!$U$3, 'Data entry'!$BD$6:$BD$200,"&lt;&gt;*Negative*"))</f>
        <v>0</v>
      </c>
      <c r="S51" s="15">
        <f>SUM(COUNTIFS('Data entry'!$R$6:$R$200,'Summary Data'!$A51,'Data entry'!$B$6:$B$200,{"Confirmed";"Probable"},'Data entry'!$AP$6:$AP$200,'Data Validation'!$U$4, 'Data entry'!$BD$6:$BD$200,"&lt;&gt;*Negative*"))</f>
        <v>0</v>
      </c>
      <c r="T51" s="15">
        <f>SUM(COUNTIFS('Data entry'!$R$6:$R$200,'Summary Data'!$A51,'Data entry'!$B$6:$B$200,{"Confirmed";"Probable"},'Data entry'!$AP$6:$AP$200,'Data Validation'!$U$5, 'Data entry'!$BD$6:$BD$200,"&lt;&gt;*Negative*"))</f>
        <v>0</v>
      </c>
      <c r="U51" s="15">
        <f>SUM(COUNTIFS('Data entry'!$R$6:$R$200,'Summary Data'!$A51,'Data entry'!$B$6:$B$200,{"Confirmed";"Probable"},'Data entry'!$AP$6:$AP$200,'Data Validation'!$U$6, 'Data entry'!$BD$6:$BD$200,"&lt;&gt;*Negative*"))</f>
        <v>0</v>
      </c>
      <c r="V51" s="15">
        <f>SUM(COUNTIFS('Data entry'!$R$6:$R$200,'Summary Data'!$A51,'Data entry'!$B$6:$B$200,{"Confirmed";"Probable"},'Data entry'!$AQ$6:$AQ$200,'Data Validation'!$V$2, 'Data entry'!$BD$6:$BD$200,"&lt;&gt;*Negative*"))</f>
        <v>0</v>
      </c>
      <c r="W51" s="15">
        <f>SUM(COUNTIFS('Data entry'!$R$6:$R$200,'Summary Data'!$A51,'Data entry'!$B$6:$B$200,{"Confirmed";"Probable"},'Data entry'!$AQ$6:$AQ$200,'Data Validation'!$V$3, 'Data entry'!$BD$6:$BD$200,"&lt;&gt;*Negative*"))</f>
        <v>0</v>
      </c>
      <c r="X51" s="15">
        <f>SUM(COUNTIFS('Data entry'!$R$6:$R$200,'Summary Data'!$A51,'Data entry'!$B$6:$B$200,{"Confirmed";"Probable"},'Data entry'!$AQ$6:$AQ$200,'Data Validation'!$V$4, 'Data entry'!$BD$6:$BD$200,"&lt;&gt;*Negative*"))</f>
        <v>0</v>
      </c>
      <c r="Y51" s="15">
        <f>SUM(COUNTIFS('Data entry'!$R$6:$R$200,'Summary Data'!$A51,'Data entry'!$B$6:$B$200,{"Confirmed";"Probable"},'Data entry'!$AQ$6:$AQ$200,'Data Validation'!$V$5, 'Data entry'!$BD$6:$BD$200,"&lt;&gt;*Negative*"))</f>
        <v>0</v>
      </c>
      <c r="Z51" s="15">
        <f>SUM(COUNTIFS('Data entry'!$R$6:$R$200,'Summary Data'!$A51,'Data entry'!$B$6:$B$200,{"Confirmed";"Probable"},'Data entry'!$AQ$6:$AQ$200,'Data Validation'!$V$6, 'Data entry'!$BD$6:$BD$200,"&lt;&gt;*Negative*"))</f>
        <v>0</v>
      </c>
      <c r="AA51" s="15">
        <f>SUM(COUNTIFS('Data entry'!$R$6:$R$200,'Summary Data'!$A51,'Data entry'!$B$6:$B$200,{"Confirmed";"Probable"},'Data entry'!$AQ$6:$AQ$200,'Data Validation'!$V$7, 'Data entry'!$BD$6:$BD$200,"&lt;&gt;*Negative*"))</f>
        <v>0</v>
      </c>
      <c r="AB51" s="15">
        <f>SUM(COUNTIFS('Data entry'!$R$6:$R$200,'Summary Data'!$A51,'Data entry'!$B$6:$B$200,{"Confirmed";"Probable"},'Data entry'!$AQ$6:$AQ$200,'Data Validation'!$V$8, 'Data entry'!$BD$6:$BD$200,"&lt;&gt;*Negative*"))</f>
        <v>0</v>
      </c>
      <c r="AC51" s="15">
        <f>SUM(COUNTIFS('Data entry'!$R$6:$R$200,'Summary Data'!$A51,'Data entry'!$B$6:$B$200,{"Confirmed";"Probable"},'Data entry'!$AQ$6:$AQ$200,'Data Validation'!$V$9, 'Data entry'!$BD$6:$BD$200,"&lt;&gt;*Negative*"))</f>
        <v>0</v>
      </c>
      <c r="AD51" s="15">
        <f>SUM(COUNTIFS('Data entry'!$R$6:$R$200,'Summary Data'!$A51,'Data entry'!$B$6:$B$200,{"Confirmed";"Probable"},'Data entry'!$AQ$6:$AQ$200,'Data Validation'!$V$10, 'Data entry'!$BD$6:$BD$200,"&lt;&gt;*Negative*"))</f>
        <v>0</v>
      </c>
      <c r="AE51" s="15">
        <f>SUM(COUNTIFS('Data entry'!$R$6:$R$200,'Summary Data'!$A51,'Data entry'!$B$6:$B$200,{"Confirmed";"Probable"},'Data entry'!$AQ$6:$AQ$200,'Data Validation'!$V$11, 'Data entry'!$BD$6:$BD$200,"&lt;&gt;*Negative*"))</f>
        <v>0</v>
      </c>
      <c r="AF51" s="15">
        <f>SUM(COUNTIFS('Data entry'!$R$6:$R$200,'Summary Data'!$A51,'Data entry'!$B$6:$B$200,{"Confirmed";"Probable"},'Data entry'!$AQ$6:$AQ$200,'Data Validation'!$V$2, 'Data entry'!$AP$6:$AP$200,'Data Validation'!$U$2, 'Data entry'!$BD$6:$BD$200,"&lt;&gt;*Negative*"))</f>
        <v>0</v>
      </c>
      <c r="AG51" s="15">
        <f>SUM(COUNTIFS('Data entry'!$R$6:$R$200,'Summary Data'!$A51,'Data entry'!$B$6:$B$200,{"Confirmed";"Probable"},'Data entry'!$AQ$6:$AQ$200,'Data Validation'!$V$2, 'Data entry'!$AP$6:$AP$200,'Data Validation'!$U$3, 'Data entry'!$BD$6:$BD$200,"&lt;&gt;*Negative*"))</f>
        <v>0</v>
      </c>
      <c r="AH51" s="15">
        <f>SUM(COUNTIFS('Data entry'!$R$6:$R$200,'Summary Data'!$A51,'Data entry'!$B$6:$B$200,{"Confirmed";"Probable"},'Data entry'!$AQ$6:$AQ$200,'Data Validation'!$V$2, 'Data entry'!$AP$6:$AP$200,'Data Validation'!$U$4, 'Data entry'!$BD$6:$BD$200,"&lt;&gt;*Negative*"))</f>
        <v>0</v>
      </c>
      <c r="AI51" s="15">
        <f>SUM(COUNTIFS('Data entry'!$R$6:$R$200,'Summary Data'!$A51,'Data entry'!$B$6:$B$200,{"Confirmed";"Probable"},'Data entry'!$AQ$6:$AQ$200,'Data Validation'!$V$2, 'Data entry'!$AP$6:$AP$200,'Data Validation'!$U$5, 'Data entry'!$BD$6:$BD$200,"&lt;&gt;*Negative*"))</f>
        <v>0</v>
      </c>
      <c r="AJ51" s="15">
        <f>SUM(COUNTIFS('Data entry'!$R$6:$R$200,'Summary Data'!$A51,'Data entry'!$B$6:$B$200,{"Confirmed";"Probable"},'Data entry'!$AQ$6:$AQ$200,'Data Validation'!$V$2, 'Data entry'!$AP$6:$AP$200,'Data Validation'!$U$6, 'Data entry'!$BD$6:$BD$200,"&lt;&gt;*Negative*"))</f>
        <v>0</v>
      </c>
      <c r="AK51" s="15">
        <f>SUM(COUNTIFS('Data entry'!$R$6:$R$200,'Summary Data'!$A51,'Data entry'!$B$6:$B$200,{"Confirmed";"Probable"},'Data entry'!$AQ$6:$AQ$200,'Data Validation'!$V$3, 'Data entry'!$AP$6:$AP$200,'Data Validation'!$U$2, 'Data entry'!$BD$6:$BD$200,"&lt;&gt;*Negative*"))</f>
        <v>0</v>
      </c>
      <c r="AL51" s="15">
        <f>SUM(COUNTIFS('Data entry'!$R$6:$R$200,'Summary Data'!$A51,'Data entry'!$B$6:$B$200,{"Confirmed";"Probable"},'Data entry'!$AQ$6:$AQ$200,'Data Validation'!$V$3, 'Data entry'!$AP$6:$AP$200,'Data Validation'!$U$3, 'Data entry'!$BD$6:$BD$200,"&lt;&gt;*Negative*"))</f>
        <v>0</v>
      </c>
      <c r="AM51" s="15">
        <f>SUM(COUNTIFS('Data entry'!$R$6:$R$200,'Summary Data'!$A51,'Data entry'!$B$6:$B$200,{"Confirmed";"Probable"},'Data entry'!$AQ$6:$AQ$200,'Data Validation'!$V$3, 'Data entry'!$AP$6:$AP$200,'Data Validation'!$U$4, 'Data entry'!$BD$6:$BD$200,"&lt;&gt;*Negative*"))</f>
        <v>0</v>
      </c>
      <c r="AN51" s="15">
        <f>SUM(COUNTIFS('Data entry'!$R$6:$R$200,'Summary Data'!$A51,'Data entry'!$B$6:$B$200,{"Confirmed";"Probable"},'Data entry'!$AQ$6:$AQ$200,'Data Validation'!$V$3, 'Data entry'!$AP$6:$AP$200,'Data Validation'!$U$5, 'Data entry'!$BD$6:$BD$200,"&lt;&gt;*Negative*"))</f>
        <v>0</v>
      </c>
      <c r="AO51" s="15">
        <f>SUM(COUNTIFS('Data entry'!$R$6:$R$200,'Summary Data'!$A51,'Data entry'!$B$6:$B$200,{"Confirmed";"Probable"},'Data entry'!$AQ$6:$AQ$200,'Data Validation'!$V$3, 'Data entry'!$AP$6:$AP$200,'Data Validation'!$U$6, 'Data entry'!$BD$6:$BD$200,"&lt;&gt;*Negative*"))</f>
        <v>0</v>
      </c>
      <c r="AP51" s="15">
        <f>SUM(COUNTIFS('Data entry'!$R$6:$R$200,'Summary Data'!$A51,'Data entry'!$B$6:$B$200,{"Confirmed";"Probable"},'Data entry'!$AQ$6:$AQ$200,'Data Validation'!$V$4, 'Data entry'!$AP$6:$AP$200,'Data Validation'!$U$2, 'Data entry'!$BD$6:$BD$200,"&lt;&gt;*Negative*"))</f>
        <v>0</v>
      </c>
      <c r="AQ51" s="15">
        <f>SUM(COUNTIFS('Data entry'!$R$6:$R$200,'Summary Data'!$A51,'Data entry'!$B$6:$B$200,{"Confirmed";"Probable"},'Data entry'!$AQ$6:$AQ$200,'Data Validation'!$V$4, 'Data entry'!$AP$6:$AP$200,'Data Validation'!$U$3, 'Data entry'!$BD$6:$BD$200,"&lt;&gt;*Negative*"))</f>
        <v>0</v>
      </c>
      <c r="AR51" s="15">
        <f>SUM(COUNTIFS('Data entry'!$R$6:$R$200,'Summary Data'!$A51,'Data entry'!$B$6:$B$200,{"Confirmed";"Probable"},'Data entry'!$AQ$6:$AQ$200,'Data Validation'!$V$4, 'Data entry'!$AP$6:$AP$200,'Data Validation'!$U$4, 'Data entry'!$BD$6:$BD$200,"&lt;&gt;*Negative*"))</f>
        <v>0</v>
      </c>
      <c r="AS51" s="15">
        <f>SUM(COUNTIFS('Data entry'!$R$6:$R$200,'Summary Data'!$A51,'Data entry'!$B$6:$B$200,{"Confirmed";"Probable"},'Data entry'!$AQ$6:$AQ$200,'Data Validation'!$V$4, 'Data entry'!$AP$6:$AP$200,'Data Validation'!$U$5, 'Data entry'!$BD$6:$BD$200,"&lt;&gt;*Negative*"))</f>
        <v>0</v>
      </c>
      <c r="AT51" s="15">
        <f>SUM(COUNTIFS('Data entry'!$R$6:$R$200,'Summary Data'!$A51,'Data entry'!$B$6:$B$200,{"Confirmed";"Probable"},'Data entry'!$AQ$6:$AQ$200,'Data Validation'!$V$4, 'Data entry'!$AP$6:$AP$200,'Data Validation'!$U$6, 'Data entry'!$BD$6:$BD$200,"&lt;&gt;*Negative*"))</f>
        <v>0</v>
      </c>
      <c r="AU51" s="15">
        <f>SUM(COUNTIFS('Data entry'!$R$6:$R$200,'Summary Data'!$A51,'Data entry'!$B$6:$B$200,{"Confirmed";"Probable"},'Data entry'!$AQ$6:$AQ$200,'Data Validation'!$V$5, 'Data entry'!$AP$6:$AP$200,'Data Validation'!$U$2, 'Data entry'!$BD$6:$BD$200,"&lt;&gt;*Negative*"))</f>
        <v>0</v>
      </c>
      <c r="AV51" s="15">
        <f>SUM(COUNTIFS('Data entry'!$R$6:$R$200,'Summary Data'!$A51,'Data entry'!$B$6:$B$200,{"Confirmed";"Probable"},'Data entry'!$AQ$6:$AQ$200,'Data Validation'!$V$5, 'Data entry'!$AP$6:$AP$200,'Data Validation'!$U$3, 'Data entry'!$BD$6:$BD$200,"&lt;&gt;*Negative*"))</f>
        <v>0</v>
      </c>
      <c r="AW51" s="15">
        <f>SUM(COUNTIFS('Data entry'!$R$6:$R$200,'Summary Data'!$A51,'Data entry'!$B$6:$B$200,{"Confirmed";"Probable"},'Data entry'!$AQ$6:$AQ$200,'Data Validation'!$V$5, 'Data entry'!$AP$6:$AP$200,'Data Validation'!$U$4, 'Data entry'!$BD$6:$BD$200,"&lt;&gt;*Negative*"))</f>
        <v>0</v>
      </c>
      <c r="AX51" s="15">
        <f>SUM(COUNTIFS('Data entry'!$R$6:$R$200,'Summary Data'!$A51,'Data entry'!$B$6:$B$200,{"Confirmed";"Probable"},'Data entry'!$AQ$6:$AQ$200,'Data Validation'!$V$5, 'Data entry'!$AP$6:$AP$200,'Data Validation'!$U$5, 'Data entry'!$BD$6:$BD$200,"&lt;&gt;*Negative*"))</f>
        <v>0</v>
      </c>
      <c r="AY51" s="15">
        <f>SUM(COUNTIFS('Data entry'!$R$6:$R$200,'Summary Data'!$A51,'Data entry'!$B$6:$B$200,{"Confirmed";"Probable"},'Data entry'!$AQ$6:$AQ$200,'Data Validation'!$V$5, 'Data entry'!$AP$6:$AP$200,'Data Validation'!$U$6, 'Data entry'!$BD$6:$BD$200,"&lt;&gt;*Negative*"))</f>
        <v>0</v>
      </c>
      <c r="AZ51" s="15">
        <f>SUM(COUNTIFS('Data entry'!$R$6:$R$200,'Summary Data'!$A51,'Data entry'!$B$6:$B$200,{"Confirmed";"Probable"},'Data entry'!$AQ$6:$AQ$200,'Data Validation'!$V$6, 'Data entry'!$AP$6:$AP$200,'Data Validation'!$U$2, 'Data entry'!$BD$6:$BD$200,"&lt;&gt;*Negative*"))</f>
        <v>0</v>
      </c>
      <c r="BA51" s="15">
        <f>SUM(COUNTIFS('Data entry'!$R$6:$R$200,'Summary Data'!$A51,'Data entry'!$B$6:$B$200,{"Confirmed";"Probable"},'Data entry'!$AQ$6:$AQ$200,'Data Validation'!$V$6, 'Data entry'!$AP$6:$AP$200,'Data Validation'!$U$3, 'Data entry'!$BD$6:$BD$200,"&lt;&gt;*Negative*"))</f>
        <v>0</v>
      </c>
      <c r="BB51" s="15">
        <f>SUM(COUNTIFS('Data entry'!$R$6:$R$200,'Summary Data'!$A51,'Data entry'!$B$6:$B$200,{"Confirmed";"Probable"},'Data entry'!$AQ$6:$AQ$200,'Data Validation'!$V$6, 'Data entry'!$AP$6:$AP$200,'Data Validation'!$U$4, 'Data entry'!$BD$6:$BD$200,"&lt;&gt;*Negative*"))</f>
        <v>0</v>
      </c>
      <c r="BC51" s="15">
        <f>SUM(COUNTIFS('Data entry'!$R$6:$R$200,'Summary Data'!$A51,'Data entry'!$B$6:$B$200,{"Confirmed";"Probable"},'Data entry'!$AQ$6:$AQ$200,'Data Validation'!$V$6, 'Data entry'!$AP$6:$AP$200,'Data Validation'!$U$5, 'Data entry'!$BD$6:$BD$200,"&lt;&gt;*Negative*"))</f>
        <v>0</v>
      </c>
      <c r="BD51" s="15">
        <f>SUM(COUNTIFS('Data entry'!$R$6:$R$200,'Summary Data'!$A51,'Data entry'!$B$6:$B$200,{"Confirmed";"Probable"},'Data entry'!$AQ$6:$AQ$200,'Data Validation'!$V$6, 'Data entry'!$AP$6:$AP$200,'Data Validation'!$U$6, 'Data entry'!$BD$6:$BD$200,"&lt;&gt;*Negative*"))</f>
        <v>0</v>
      </c>
      <c r="BE51" s="15">
        <f>SUM(COUNTIFS('Data entry'!$R$6:$R$200,'Summary Data'!$A51,'Data entry'!$B$6:$B$200,{"Confirmed";"Probable"},'Data entry'!$AQ$6:$AQ$200,'Data Validation'!$V$7, 'Data entry'!$AP$6:$AP$200,'Data Validation'!$U$2, 'Data entry'!$BD$6:$BD$200,"&lt;&gt;*Negative*"))</f>
        <v>0</v>
      </c>
      <c r="BF51" s="15">
        <f>SUM(COUNTIFS('Data entry'!$R$6:$R$200,'Summary Data'!$A51,'Data entry'!$B$6:$B$200,{"Confirmed";"Probable"},'Data entry'!$AQ$6:$AQ$200,'Data Validation'!$V$7, 'Data entry'!$AP$6:$AP$200,'Data Validation'!$U$3, 'Data entry'!$BD$6:$BD$200,"&lt;&gt;*Negative*"))</f>
        <v>0</v>
      </c>
      <c r="BG51" s="15">
        <f>SUM(COUNTIFS('Data entry'!$R$6:$R$200,'Summary Data'!$A51,'Data entry'!$B$6:$B$200,{"Confirmed";"Probable"},'Data entry'!$AQ$6:$AQ$200,'Data Validation'!$V$7, 'Data entry'!$AP$6:$AP$200,'Data Validation'!$U$4, 'Data entry'!$BD$6:$BD$200,"&lt;&gt;*Negative*"))</f>
        <v>0</v>
      </c>
      <c r="BH51" s="15">
        <f>SUM(COUNTIFS('Data entry'!$R$6:$R$200,'Summary Data'!$A51,'Data entry'!$B$6:$B$200,{"Confirmed";"Probable"},'Data entry'!$AQ$6:$AQ$200,'Data Validation'!$V$7, 'Data entry'!$AP$6:$AP$200,'Data Validation'!$U$5, 'Data entry'!$BD$6:$BD$200,"&lt;&gt;*Negative*"))</f>
        <v>0</v>
      </c>
      <c r="BI51" s="15">
        <f>SUM(COUNTIFS('Data entry'!$R$6:$R$200,'Summary Data'!$A51,'Data entry'!$B$6:$B$200,{"Confirmed";"Probable"},'Data entry'!$AQ$6:$AQ$200,'Data Validation'!$V$7, 'Data entry'!$AP$6:$AP$200,'Data Validation'!$U$6, 'Data entry'!$BD$6:$BD$200,"&lt;&gt;*Negative*"))</f>
        <v>0</v>
      </c>
      <c r="BJ51" s="15">
        <f>SUM(COUNTIFS('Data entry'!$R$6:$R$200,'Summary Data'!$A51,'Data entry'!$B$6:$B$200,{"Confirmed";"Probable"},'Data entry'!$AQ$6:$AQ$200,'Data Validation'!$V$8, 'Data entry'!$AP$6:$AP$200,'Data Validation'!$U$2, 'Data entry'!$BD$6:$BD$200,"&lt;&gt;*Negative*"))</f>
        <v>0</v>
      </c>
      <c r="BK51" s="15">
        <f>SUM(COUNTIFS('Data entry'!$R$6:$R$200,'Summary Data'!$A51,'Data entry'!$B$6:$B$200,{"Confirmed";"Probable"},'Data entry'!$AQ$6:$AQ$200,'Data Validation'!$V$8, 'Data entry'!$AP$6:$AP$200,'Data Validation'!$U$3, 'Data entry'!$BD$6:$BD$200,"&lt;&gt;*Negative*"))</f>
        <v>0</v>
      </c>
      <c r="BL51" s="15">
        <f>SUM(COUNTIFS('Data entry'!$R$6:$R$200,'Summary Data'!$A51,'Data entry'!$B$6:$B$200,{"Confirmed";"Probable"},'Data entry'!$AQ$6:$AQ$200,'Data Validation'!$V$8, 'Data entry'!$AP$6:$AP$200,'Data Validation'!$U$4, 'Data entry'!$BD$6:$BD$200,"&lt;&gt;*Negative*"))</f>
        <v>0</v>
      </c>
      <c r="BM51" s="15">
        <f>SUM(COUNTIFS('Data entry'!$R$6:$R$200,'Summary Data'!$A51,'Data entry'!$B$6:$B$200,{"Confirmed";"Probable"},'Data entry'!$AQ$6:$AQ$200,'Data Validation'!$V$8, 'Data entry'!$AP$6:$AP$200,'Data Validation'!$U$5, 'Data entry'!$BD$6:$BD$200,"&lt;&gt;*Negative*"))</f>
        <v>0</v>
      </c>
      <c r="BN51" s="15">
        <f>SUM(COUNTIFS('Data entry'!$R$6:$R$200,'Summary Data'!$A51,'Data entry'!$B$6:$B$200,{"Confirmed";"Probable"},'Data entry'!$AQ$6:$AQ$200,'Data Validation'!$V$8, 'Data entry'!$AP$6:$AP$200,'Data Validation'!$U$6, 'Data entry'!$BD$6:$BD$200,"&lt;&gt;*Negative*"))</f>
        <v>0</v>
      </c>
      <c r="BO51" s="15">
        <f>SUM(COUNTIFS('Data entry'!$R$6:$R$200,'Summary Data'!$A51,'Data entry'!$B$6:$B$200,{"Confirmed";"Probable"},'Data entry'!$AQ$6:$AQ$200,'Data Validation'!$V$9, 'Data entry'!$AP$6:$AP$200,'Data Validation'!$U$2, 'Data entry'!$BD$6:$BD$200,"&lt;&gt;*Negative*"))</f>
        <v>0</v>
      </c>
      <c r="BP51" s="15">
        <f>SUM(COUNTIFS('Data entry'!$R$6:$R$200,'Summary Data'!$A51,'Data entry'!$B$6:$B$200,{"Confirmed";"Probable"},'Data entry'!$AQ$6:$AQ$200,'Data Validation'!$V$9, 'Data entry'!$AP$6:$AP$200,'Data Validation'!$U$3, 'Data entry'!$BD$6:$BD$200,"&lt;&gt;*Negative*"))</f>
        <v>0</v>
      </c>
      <c r="BQ51" s="15">
        <f>SUM(COUNTIFS('Data entry'!$R$6:$R$200,'Summary Data'!$A51,'Data entry'!$B$6:$B$200,{"Confirmed";"Probable"},'Data entry'!$AQ$6:$AQ$200,'Data Validation'!$V$9, 'Data entry'!$AP$6:$AP$200,'Data Validation'!$U$4, 'Data entry'!$BD$6:$BD$200,"&lt;&gt;*Negative*"))</f>
        <v>0</v>
      </c>
      <c r="BR51" s="15">
        <f>SUM(COUNTIFS('Data entry'!$R$6:$R$200,'Summary Data'!$A51,'Data entry'!$B$6:$B$200,{"Confirmed";"Probable"},'Data entry'!$AQ$6:$AQ$200,'Data Validation'!$V$9, 'Data entry'!$AP$6:$AP$200,'Data Validation'!$U$5, 'Data entry'!$BD$6:$BD$200,"&lt;&gt;*Negative*"))</f>
        <v>0</v>
      </c>
      <c r="BS51" s="15">
        <f>SUM(COUNTIFS('Data entry'!$R$6:$R$200,'Summary Data'!$A51,'Data entry'!$B$6:$B$200,{"Confirmed";"Probable"},'Data entry'!$AQ$6:$AQ$200,'Data Validation'!$V$9, 'Data entry'!$AP$6:$AP$200,'Data Validation'!$U$6, 'Data entry'!$BD$6:$BD$200,"&lt;&gt;*Negative*"))</f>
        <v>0</v>
      </c>
      <c r="BT51" s="15">
        <f>SUM(COUNTIFS('Data entry'!$R$6:$R$200,'Summary Data'!$A51,'Data entry'!$B$6:$B$200,{"Confirmed";"Probable"},'Data entry'!$AQ$6:$AQ$200,'Data Validation'!$V$10, 'Data entry'!$AP$6:$AP$200,'Data Validation'!$U$2, 'Data entry'!$BD$6:$BD$200,"&lt;&gt;*Negative*"))</f>
        <v>0</v>
      </c>
      <c r="BU51" s="15">
        <f>SUM(COUNTIFS('Data entry'!$R$6:$R$200,'Summary Data'!$A51,'Data entry'!$B$6:$B$200,{"Confirmed";"Probable"},'Data entry'!$AQ$6:$AQ$200,'Data Validation'!$V$10, 'Data entry'!$AP$6:$AP$200,'Data Validation'!$U$3, 'Data entry'!$BD$6:$BD$200,"&lt;&gt;*Negative*"))</f>
        <v>0</v>
      </c>
      <c r="BV51" s="15">
        <f>SUM(COUNTIFS('Data entry'!$R$6:$R$200,'Summary Data'!$A51,'Data entry'!$B$6:$B$200,{"Confirmed";"Probable"},'Data entry'!$AQ$6:$AQ$200,'Data Validation'!$V$10, 'Data entry'!$AP$6:$AP$200,'Data Validation'!$U$4, 'Data entry'!$BD$6:$BD$200,"&lt;&gt;*Negative*"))</f>
        <v>0</v>
      </c>
      <c r="BW51" s="15">
        <f>SUM(COUNTIFS('Data entry'!$R$6:$R$200,'Summary Data'!$A51,'Data entry'!$B$6:$B$200,{"Confirmed";"Probable"},'Data entry'!$AQ$6:$AQ$200,'Data Validation'!$V$10, 'Data entry'!$AP$6:$AP$200,'Data Validation'!$U$5, 'Data entry'!$BD$6:$BD$200,"&lt;&gt;*Negative*"))</f>
        <v>0</v>
      </c>
      <c r="BX51" s="15">
        <f>SUM(COUNTIFS('Data entry'!$R$6:$R$200,'Summary Data'!$A51,'Data entry'!$B$6:$B$200,{"Confirmed";"Probable"},'Data entry'!$AQ$6:$AQ$200,'Data Validation'!$V$10, 'Data entry'!$AP$6:$AP$200,'Data Validation'!$U$6, 'Data entry'!$BD$6:$BD$200,"&lt;&gt;*Negative*"))</f>
        <v>0</v>
      </c>
      <c r="BY51" s="15">
        <f>SUM(COUNTIFS('Data entry'!$R$6:$R$200,'Summary Data'!$A51,'Data entry'!$B$6:$B$200,{"Confirmed";"Probable"},'Data entry'!$AQ$6:$AQ$200,'Data Validation'!$V$11, 'Data entry'!$AP$6:$AP$200,'Data Validation'!$U$2, 'Data entry'!$BD$6:$BD$200,"&lt;&gt;*Negative*"))</f>
        <v>0</v>
      </c>
      <c r="BZ51" s="15">
        <f>SUM(COUNTIFS('Data entry'!$R$6:$R$200,'Summary Data'!$A51,'Data entry'!$B$6:$B$200,{"Confirmed";"Probable"},'Data entry'!$AQ$6:$AQ$200,'Data Validation'!$V$11, 'Data entry'!$AP$6:$AP$200,'Data Validation'!$U$3, 'Data entry'!$BD$6:$BD$200,"&lt;&gt;*Negative*"))</f>
        <v>0</v>
      </c>
      <c r="CA51" s="15">
        <f>SUM(COUNTIFS('Data entry'!$R$6:$R$200,'Summary Data'!$A51,'Data entry'!$B$6:$B$200,{"Confirmed";"Probable"},'Data entry'!$AQ$6:$AQ$200,'Data Validation'!$V$11, 'Data entry'!$AP$6:$AP$200,'Data Validation'!$U$4, 'Data entry'!$BD$6:$BD$200,"&lt;&gt;*Negative*"))</f>
        <v>0</v>
      </c>
      <c r="CB51" s="15">
        <f>SUM(COUNTIFS('Data entry'!$R$6:$R$200,'Summary Data'!$A51,'Data entry'!$B$6:$B$200,{"Confirmed";"Probable"},'Data entry'!$AQ$6:$AQ$200,'Data Validation'!$V$11, 'Data entry'!$AP$6:$AP$200,'Data Validation'!$U$5, 'Data entry'!$BD$6:$BD$200,"&lt;&gt;*Negative*"))</f>
        <v>0</v>
      </c>
      <c r="CC51" s="15">
        <f>SUM(COUNTIFS('Data entry'!$R$6:$R$200,'Summary Data'!$A51,'Data entry'!$B$6:$B$200,{"Confirmed";"Probable"},'Data entry'!$AQ$6:$AQ$200,'Data Validation'!$V$11, 'Data entry'!$AP$6:$AP$200,'Data Validation'!$U$6, 'Data entry'!$BD$6:$BD$200,"&lt;&gt;*Negative*"))</f>
        <v>0</v>
      </c>
    </row>
    <row r="52" spans="1:81" x14ac:dyDescent="0.25">
      <c r="A52" s="12">
        <f t="shared" si="5"/>
        <v>40</v>
      </c>
      <c r="B52" s="13">
        <f t="shared" si="2"/>
        <v>0</v>
      </c>
      <c r="C52" s="13">
        <f>COUNTIFS('Data entry'!$R$6:$R$200,$A52,'Data entry'!$B$6:$B$200,"Confirmed",'Data entry'!$BD$6:$BD$200,"&lt;&gt;*Negative*")</f>
        <v>0</v>
      </c>
      <c r="D52" s="13">
        <f>COUNTIFS('Data entry'!$R$6:$R$200,$A52,'Data entry'!$B$6:$B$200,"Probable",'Data entry'!$BD$6:$BD$200,"&lt;&gt;*Negative*")</f>
        <v>0</v>
      </c>
      <c r="E52" s="13">
        <f>COUNTIFS('Data entry'!$R$6:$R$200,$A52,'Data entry'!$B$6:$B$200,"DNM")</f>
        <v>0</v>
      </c>
      <c r="F52" s="13">
        <f>SUM(COUNTIFS('Data entry'!$R$6:$R$200,'Summary Data'!$A52,'Data entry'!$B$6:$B$200,{"Confirmed";"Probable"},'Data entry'!$AO$6:$AO$200,$F$10, 'Data entry'!$BD$6:$BD$200,"&lt;&gt;*Negative*"))</f>
        <v>0</v>
      </c>
      <c r="G52" s="13">
        <f>SUM(COUNTIFS('Data entry'!$R$6:$R$200,'Summary Data'!$A52,'Data entry'!$B$6:$B$200,{"Confirmed";"Probable"},'Data entry'!$AO$6:$AO$200,$G$10, 'Data entry'!$BD$6:$BD$200,"&lt;&gt;*Negative*"))</f>
        <v>0</v>
      </c>
      <c r="H52" s="13">
        <f>SUM(COUNTIFS('Data entry'!$R$6:$R$200,'Summary Data'!$A52,'Data entry'!$B$6:$B$200,{"Confirmed";"Probable"},'Data entry'!$AO$6:$AO$200,$H$10, 'Data entry'!$BD$6:$BD$200,"&lt;&gt;*Negative*"))</f>
        <v>0</v>
      </c>
      <c r="I52" s="13">
        <f>SUM(COUNTIFS('Data entry'!$R$6:$R$200,'Summary Data'!$A52,'Data entry'!$B$6:$B$200,{"Confirmed";"Probable"},'Data entry'!$AO$6:$AO$200,$I$10, 'Data entry'!$BD$6:$BD$200,"&lt;&gt;*Negative*"))</f>
        <v>0</v>
      </c>
      <c r="J52" s="13">
        <f>SUM(COUNTIFS('Data entry'!$R$6:$R$200,'Summary Data'!$A52,'Data entry'!$B$6:$B$200,{"Confirmed";"Probable"},'Data entry'!$AO$6:$AO$200,$J$10, 'Data entry'!$BD$6:$BD$200,"&lt;&gt;*Negative*"))</f>
        <v>0</v>
      </c>
      <c r="K52" s="13">
        <f>SUM(COUNTIFS('Data entry'!$R$6:$R$200,'Summary Data'!$A52,'Data entry'!$B$6:$B$200,{"Confirmed";"Probable"},'Data entry'!$AO$6:$AO$200,$K$10, 'Data entry'!$BD$6:$BD$200,"&lt;&gt;*Negative*"))</f>
        <v>0</v>
      </c>
      <c r="L52" s="13">
        <f>SUM(COUNTIFS('Data entry'!$R$6:$R$200,'Summary Data'!$A52,'Data entry'!$B$6:$B$200,{"Confirmed";"Probable"},'Data entry'!$AO$6:$AO$200,$L$10, 'Data entry'!$BD$6:$BD$200,"&lt;&gt;*Negative*"))</f>
        <v>0</v>
      </c>
      <c r="M52" s="13">
        <f>SUM(COUNTIFS('Data entry'!$R$6:$R$200,'Summary Data'!$A52,'Data entry'!$B$6:$B$200,{"Confirmed";"Probable"},'Data entry'!$AO$6:$AO$200,$M$10, 'Data entry'!$BD$6:$BD$200,"&lt;&gt;*Negative*"))</f>
        <v>0</v>
      </c>
      <c r="N52" s="13">
        <f>SUM(COUNTIFS('Data entry'!$R$6:$R$200,'Summary Data'!$A52,'Data entry'!$B$6:$B$200,{"Confirmed";"Probable"},'Data entry'!$AO$6:$AO$200,$N$10, 'Data entry'!$BD$6:$BD$200,"&lt;&gt;*Negative*"))</f>
        <v>0</v>
      </c>
      <c r="O52" s="15">
        <f t="shared" si="3"/>
        <v>0</v>
      </c>
      <c r="P52" s="15">
        <f t="shared" si="4"/>
        <v>0</v>
      </c>
      <c r="Q52" s="15">
        <f>SUM(COUNTIFS('Data entry'!$R$6:$R$200,'Summary Data'!$A52,'Data entry'!$B$6:$B$200,{"Confirmed";"Probable"},'Data entry'!$AP$6:$AP$200,'Data Validation'!$U$2, 'Data entry'!$BD$6:$BD$200,"&lt;&gt;*Negative*"))</f>
        <v>0</v>
      </c>
      <c r="R52" s="15">
        <f>SUM(COUNTIFS('Data entry'!$R$6:$R$200,'Summary Data'!$A52,'Data entry'!$B$6:$B$200,{"Confirmed";"Probable"},'Data entry'!$AP$6:$AP$200,'Data Validation'!$U$3, 'Data entry'!$BD$6:$BD$200,"&lt;&gt;*Negative*"))</f>
        <v>0</v>
      </c>
      <c r="S52" s="15">
        <f>SUM(COUNTIFS('Data entry'!$R$6:$R$200,'Summary Data'!$A52,'Data entry'!$B$6:$B$200,{"Confirmed";"Probable"},'Data entry'!$AP$6:$AP$200,'Data Validation'!$U$4, 'Data entry'!$BD$6:$BD$200,"&lt;&gt;*Negative*"))</f>
        <v>0</v>
      </c>
      <c r="T52" s="15">
        <f>SUM(COUNTIFS('Data entry'!$R$6:$R$200,'Summary Data'!$A52,'Data entry'!$B$6:$B$200,{"Confirmed";"Probable"},'Data entry'!$AP$6:$AP$200,'Data Validation'!$U$5, 'Data entry'!$BD$6:$BD$200,"&lt;&gt;*Negative*"))</f>
        <v>0</v>
      </c>
      <c r="U52" s="15">
        <f>SUM(COUNTIFS('Data entry'!$R$6:$R$200,'Summary Data'!$A52,'Data entry'!$B$6:$B$200,{"Confirmed";"Probable"},'Data entry'!$AP$6:$AP$200,'Data Validation'!$U$6, 'Data entry'!$BD$6:$BD$200,"&lt;&gt;*Negative*"))</f>
        <v>0</v>
      </c>
      <c r="V52" s="15">
        <f>SUM(COUNTIFS('Data entry'!$R$6:$R$200,'Summary Data'!$A52,'Data entry'!$B$6:$B$200,{"Confirmed";"Probable"},'Data entry'!$AQ$6:$AQ$200,'Data Validation'!$V$2, 'Data entry'!$BD$6:$BD$200,"&lt;&gt;*Negative*"))</f>
        <v>0</v>
      </c>
      <c r="W52" s="15">
        <f>SUM(COUNTIFS('Data entry'!$R$6:$R$200,'Summary Data'!$A52,'Data entry'!$B$6:$B$200,{"Confirmed";"Probable"},'Data entry'!$AQ$6:$AQ$200,'Data Validation'!$V$3, 'Data entry'!$BD$6:$BD$200,"&lt;&gt;*Negative*"))</f>
        <v>0</v>
      </c>
      <c r="X52" s="15">
        <f>SUM(COUNTIFS('Data entry'!$R$6:$R$200,'Summary Data'!$A52,'Data entry'!$B$6:$B$200,{"Confirmed";"Probable"},'Data entry'!$AQ$6:$AQ$200,'Data Validation'!$V$4, 'Data entry'!$BD$6:$BD$200,"&lt;&gt;*Negative*"))</f>
        <v>0</v>
      </c>
      <c r="Y52" s="15">
        <f>SUM(COUNTIFS('Data entry'!$R$6:$R$200,'Summary Data'!$A52,'Data entry'!$B$6:$B$200,{"Confirmed";"Probable"},'Data entry'!$AQ$6:$AQ$200,'Data Validation'!$V$5, 'Data entry'!$BD$6:$BD$200,"&lt;&gt;*Negative*"))</f>
        <v>0</v>
      </c>
      <c r="Z52" s="15">
        <f>SUM(COUNTIFS('Data entry'!$R$6:$R$200,'Summary Data'!$A52,'Data entry'!$B$6:$B$200,{"Confirmed";"Probable"},'Data entry'!$AQ$6:$AQ$200,'Data Validation'!$V$6, 'Data entry'!$BD$6:$BD$200,"&lt;&gt;*Negative*"))</f>
        <v>0</v>
      </c>
      <c r="AA52" s="15">
        <f>SUM(COUNTIFS('Data entry'!$R$6:$R$200,'Summary Data'!$A52,'Data entry'!$B$6:$B$200,{"Confirmed";"Probable"},'Data entry'!$AQ$6:$AQ$200,'Data Validation'!$V$7, 'Data entry'!$BD$6:$BD$200,"&lt;&gt;*Negative*"))</f>
        <v>0</v>
      </c>
      <c r="AB52" s="15">
        <f>SUM(COUNTIFS('Data entry'!$R$6:$R$200,'Summary Data'!$A52,'Data entry'!$B$6:$B$200,{"Confirmed";"Probable"},'Data entry'!$AQ$6:$AQ$200,'Data Validation'!$V$8, 'Data entry'!$BD$6:$BD$200,"&lt;&gt;*Negative*"))</f>
        <v>0</v>
      </c>
      <c r="AC52" s="15">
        <f>SUM(COUNTIFS('Data entry'!$R$6:$R$200,'Summary Data'!$A52,'Data entry'!$B$6:$B$200,{"Confirmed";"Probable"},'Data entry'!$AQ$6:$AQ$200,'Data Validation'!$V$9, 'Data entry'!$BD$6:$BD$200,"&lt;&gt;*Negative*"))</f>
        <v>0</v>
      </c>
      <c r="AD52" s="15">
        <f>SUM(COUNTIFS('Data entry'!$R$6:$R$200,'Summary Data'!$A52,'Data entry'!$B$6:$B$200,{"Confirmed";"Probable"},'Data entry'!$AQ$6:$AQ$200,'Data Validation'!$V$10, 'Data entry'!$BD$6:$BD$200,"&lt;&gt;*Negative*"))</f>
        <v>0</v>
      </c>
      <c r="AE52" s="15">
        <f>SUM(COUNTIFS('Data entry'!$R$6:$R$200,'Summary Data'!$A52,'Data entry'!$B$6:$B$200,{"Confirmed";"Probable"},'Data entry'!$AQ$6:$AQ$200,'Data Validation'!$V$11, 'Data entry'!$BD$6:$BD$200,"&lt;&gt;*Negative*"))</f>
        <v>0</v>
      </c>
      <c r="AF52" s="15">
        <f>SUM(COUNTIFS('Data entry'!$R$6:$R$200,'Summary Data'!$A52,'Data entry'!$B$6:$B$200,{"Confirmed";"Probable"},'Data entry'!$AQ$6:$AQ$200,'Data Validation'!$V$2, 'Data entry'!$AP$6:$AP$200,'Data Validation'!$U$2, 'Data entry'!$BD$6:$BD$200,"&lt;&gt;*Negative*"))</f>
        <v>0</v>
      </c>
      <c r="AG52" s="15">
        <f>SUM(COUNTIFS('Data entry'!$R$6:$R$200,'Summary Data'!$A52,'Data entry'!$B$6:$B$200,{"Confirmed";"Probable"},'Data entry'!$AQ$6:$AQ$200,'Data Validation'!$V$2, 'Data entry'!$AP$6:$AP$200,'Data Validation'!$U$3, 'Data entry'!$BD$6:$BD$200,"&lt;&gt;*Negative*"))</f>
        <v>0</v>
      </c>
      <c r="AH52" s="15">
        <f>SUM(COUNTIFS('Data entry'!$R$6:$R$200,'Summary Data'!$A52,'Data entry'!$B$6:$B$200,{"Confirmed";"Probable"},'Data entry'!$AQ$6:$AQ$200,'Data Validation'!$V$2, 'Data entry'!$AP$6:$AP$200,'Data Validation'!$U$4, 'Data entry'!$BD$6:$BD$200,"&lt;&gt;*Negative*"))</f>
        <v>0</v>
      </c>
      <c r="AI52" s="15">
        <f>SUM(COUNTIFS('Data entry'!$R$6:$R$200,'Summary Data'!$A52,'Data entry'!$B$6:$B$200,{"Confirmed";"Probable"},'Data entry'!$AQ$6:$AQ$200,'Data Validation'!$V$2, 'Data entry'!$AP$6:$AP$200,'Data Validation'!$U$5, 'Data entry'!$BD$6:$BD$200,"&lt;&gt;*Negative*"))</f>
        <v>0</v>
      </c>
      <c r="AJ52" s="15">
        <f>SUM(COUNTIFS('Data entry'!$R$6:$R$200,'Summary Data'!$A52,'Data entry'!$B$6:$B$200,{"Confirmed";"Probable"},'Data entry'!$AQ$6:$AQ$200,'Data Validation'!$V$2, 'Data entry'!$AP$6:$AP$200,'Data Validation'!$U$6, 'Data entry'!$BD$6:$BD$200,"&lt;&gt;*Negative*"))</f>
        <v>0</v>
      </c>
      <c r="AK52" s="15">
        <f>SUM(COUNTIFS('Data entry'!$R$6:$R$200,'Summary Data'!$A52,'Data entry'!$B$6:$B$200,{"Confirmed";"Probable"},'Data entry'!$AQ$6:$AQ$200,'Data Validation'!$V$3, 'Data entry'!$AP$6:$AP$200,'Data Validation'!$U$2, 'Data entry'!$BD$6:$BD$200,"&lt;&gt;*Negative*"))</f>
        <v>0</v>
      </c>
      <c r="AL52" s="15">
        <f>SUM(COUNTIFS('Data entry'!$R$6:$R$200,'Summary Data'!$A52,'Data entry'!$B$6:$B$200,{"Confirmed";"Probable"},'Data entry'!$AQ$6:$AQ$200,'Data Validation'!$V$3, 'Data entry'!$AP$6:$AP$200,'Data Validation'!$U$3, 'Data entry'!$BD$6:$BD$200,"&lt;&gt;*Negative*"))</f>
        <v>0</v>
      </c>
      <c r="AM52" s="15">
        <f>SUM(COUNTIFS('Data entry'!$R$6:$R$200,'Summary Data'!$A52,'Data entry'!$B$6:$B$200,{"Confirmed";"Probable"},'Data entry'!$AQ$6:$AQ$200,'Data Validation'!$V$3, 'Data entry'!$AP$6:$AP$200,'Data Validation'!$U$4, 'Data entry'!$BD$6:$BD$200,"&lt;&gt;*Negative*"))</f>
        <v>0</v>
      </c>
      <c r="AN52" s="15">
        <f>SUM(COUNTIFS('Data entry'!$R$6:$R$200,'Summary Data'!$A52,'Data entry'!$B$6:$B$200,{"Confirmed";"Probable"},'Data entry'!$AQ$6:$AQ$200,'Data Validation'!$V$3, 'Data entry'!$AP$6:$AP$200,'Data Validation'!$U$5, 'Data entry'!$BD$6:$BD$200,"&lt;&gt;*Negative*"))</f>
        <v>0</v>
      </c>
      <c r="AO52" s="15">
        <f>SUM(COUNTIFS('Data entry'!$R$6:$R$200,'Summary Data'!$A52,'Data entry'!$B$6:$B$200,{"Confirmed";"Probable"},'Data entry'!$AQ$6:$AQ$200,'Data Validation'!$V$3, 'Data entry'!$AP$6:$AP$200,'Data Validation'!$U$6, 'Data entry'!$BD$6:$BD$200,"&lt;&gt;*Negative*"))</f>
        <v>0</v>
      </c>
      <c r="AP52" s="15">
        <f>SUM(COUNTIFS('Data entry'!$R$6:$R$200,'Summary Data'!$A52,'Data entry'!$B$6:$B$200,{"Confirmed";"Probable"},'Data entry'!$AQ$6:$AQ$200,'Data Validation'!$V$4, 'Data entry'!$AP$6:$AP$200,'Data Validation'!$U$2, 'Data entry'!$BD$6:$BD$200,"&lt;&gt;*Negative*"))</f>
        <v>0</v>
      </c>
      <c r="AQ52" s="15">
        <f>SUM(COUNTIFS('Data entry'!$R$6:$R$200,'Summary Data'!$A52,'Data entry'!$B$6:$B$200,{"Confirmed";"Probable"},'Data entry'!$AQ$6:$AQ$200,'Data Validation'!$V$4, 'Data entry'!$AP$6:$AP$200,'Data Validation'!$U$3, 'Data entry'!$BD$6:$BD$200,"&lt;&gt;*Negative*"))</f>
        <v>0</v>
      </c>
      <c r="AR52" s="15">
        <f>SUM(COUNTIFS('Data entry'!$R$6:$R$200,'Summary Data'!$A52,'Data entry'!$B$6:$B$200,{"Confirmed";"Probable"},'Data entry'!$AQ$6:$AQ$200,'Data Validation'!$V$4, 'Data entry'!$AP$6:$AP$200,'Data Validation'!$U$4, 'Data entry'!$BD$6:$BD$200,"&lt;&gt;*Negative*"))</f>
        <v>0</v>
      </c>
      <c r="AS52" s="15">
        <f>SUM(COUNTIFS('Data entry'!$R$6:$R$200,'Summary Data'!$A52,'Data entry'!$B$6:$B$200,{"Confirmed";"Probable"},'Data entry'!$AQ$6:$AQ$200,'Data Validation'!$V$4, 'Data entry'!$AP$6:$AP$200,'Data Validation'!$U$5, 'Data entry'!$BD$6:$BD$200,"&lt;&gt;*Negative*"))</f>
        <v>0</v>
      </c>
      <c r="AT52" s="15">
        <f>SUM(COUNTIFS('Data entry'!$R$6:$R$200,'Summary Data'!$A52,'Data entry'!$B$6:$B$200,{"Confirmed";"Probable"},'Data entry'!$AQ$6:$AQ$200,'Data Validation'!$V$4, 'Data entry'!$AP$6:$AP$200,'Data Validation'!$U$6, 'Data entry'!$BD$6:$BD$200,"&lt;&gt;*Negative*"))</f>
        <v>0</v>
      </c>
      <c r="AU52" s="15">
        <f>SUM(COUNTIFS('Data entry'!$R$6:$R$200,'Summary Data'!$A52,'Data entry'!$B$6:$B$200,{"Confirmed";"Probable"},'Data entry'!$AQ$6:$AQ$200,'Data Validation'!$V$5, 'Data entry'!$AP$6:$AP$200,'Data Validation'!$U$2, 'Data entry'!$BD$6:$BD$200,"&lt;&gt;*Negative*"))</f>
        <v>0</v>
      </c>
      <c r="AV52" s="15">
        <f>SUM(COUNTIFS('Data entry'!$R$6:$R$200,'Summary Data'!$A52,'Data entry'!$B$6:$B$200,{"Confirmed";"Probable"},'Data entry'!$AQ$6:$AQ$200,'Data Validation'!$V$5, 'Data entry'!$AP$6:$AP$200,'Data Validation'!$U$3, 'Data entry'!$BD$6:$BD$200,"&lt;&gt;*Negative*"))</f>
        <v>0</v>
      </c>
      <c r="AW52" s="15">
        <f>SUM(COUNTIFS('Data entry'!$R$6:$R$200,'Summary Data'!$A52,'Data entry'!$B$6:$B$200,{"Confirmed";"Probable"},'Data entry'!$AQ$6:$AQ$200,'Data Validation'!$V$5, 'Data entry'!$AP$6:$AP$200,'Data Validation'!$U$4, 'Data entry'!$BD$6:$BD$200,"&lt;&gt;*Negative*"))</f>
        <v>0</v>
      </c>
      <c r="AX52" s="15">
        <f>SUM(COUNTIFS('Data entry'!$R$6:$R$200,'Summary Data'!$A52,'Data entry'!$B$6:$B$200,{"Confirmed";"Probable"},'Data entry'!$AQ$6:$AQ$200,'Data Validation'!$V$5, 'Data entry'!$AP$6:$AP$200,'Data Validation'!$U$5, 'Data entry'!$BD$6:$BD$200,"&lt;&gt;*Negative*"))</f>
        <v>0</v>
      </c>
      <c r="AY52" s="15">
        <f>SUM(COUNTIFS('Data entry'!$R$6:$R$200,'Summary Data'!$A52,'Data entry'!$B$6:$B$200,{"Confirmed";"Probable"},'Data entry'!$AQ$6:$AQ$200,'Data Validation'!$V$5, 'Data entry'!$AP$6:$AP$200,'Data Validation'!$U$6, 'Data entry'!$BD$6:$BD$200,"&lt;&gt;*Negative*"))</f>
        <v>0</v>
      </c>
      <c r="AZ52" s="15">
        <f>SUM(COUNTIFS('Data entry'!$R$6:$R$200,'Summary Data'!$A52,'Data entry'!$B$6:$B$200,{"Confirmed";"Probable"},'Data entry'!$AQ$6:$AQ$200,'Data Validation'!$V$6, 'Data entry'!$AP$6:$AP$200,'Data Validation'!$U$2, 'Data entry'!$BD$6:$BD$200,"&lt;&gt;*Negative*"))</f>
        <v>0</v>
      </c>
      <c r="BA52" s="15">
        <f>SUM(COUNTIFS('Data entry'!$R$6:$R$200,'Summary Data'!$A52,'Data entry'!$B$6:$B$200,{"Confirmed";"Probable"},'Data entry'!$AQ$6:$AQ$200,'Data Validation'!$V$6, 'Data entry'!$AP$6:$AP$200,'Data Validation'!$U$3, 'Data entry'!$BD$6:$BD$200,"&lt;&gt;*Negative*"))</f>
        <v>0</v>
      </c>
      <c r="BB52" s="15">
        <f>SUM(COUNTIFS('Data entry'!$R$6:$R$200,'Summary Data'!$A52,'Data entry'!$B$6:$B$200,{"Confirmed";"Probable"},'Data entry'!$AQ$6:$AQ$200,'Data Validation'!$V$6, 'Data entry'!$AP$6:$AP$200,'Data Validation'!$U$4, 'Data entry'!$BD$6:$BD$200,"&lt;&gt;*Negative*"))</f>
        <v>0</v>
      </c>
      <c r="BC52" s="15">
        <f>SUM(COUNTIFS('Data entry'!$R$6:$R$200,'Summary Data'!$A52,'Data entry'!$B$6:$B$200,{"Confirmed";"Probable"},'Data entry'!$AQ$6:$AQ$200,'Data Validation'!$V$6, 'Data entry'!$AP$6:$AP$200,'Data Validation'!$U$5, 'Data entry'!$BD$6:$BD$200,"&lt;&gt;*Negative*"))</f>
        <v>0</v>
      </c>
      <c r="BD52" s="15">
        <f>SUM(COUNTIFS('Data entry'!$R$6:$R$200,'Summary Data'!$A52,'Data entry'!$B$6:$B$200,{"Confirmed";"Probable"},'Data entry'!$AQ$6:$AQ$200,'Data Validation'!$V$6, 'Data entry'!$AP$6:$AP$200,'Data Validation'!$U$6, 'Data entry'!$BD$6:$BD$200,"&lt;&gt;*Negative*"))</f>
        <v>0</v>
      </c>
      <c r="BE52" s="15">
        <f>SUM(COUNTIFS('Data entry'!$R$6:$R$200,'Summary Data'!$A52,'Data entry'!$B$6:$B$200,{"Confirmed";"Probable"},'Data entry'!$AQ$6:$AQ$200,'Data Validation'!$V$7, 'Data entry'!$AP$6:$AP$200,'Data Validation'!$U$2, 'Data entry'!$BD$6:$BD$200,"&lt;&gt;*Negative*"))</f>
        <v>0</v>
      </c>
      <c r="BF52" s="15">
        <f>SUM(COUNTIFS('Data entry'!$R$6:$R$200,'Summary Data'!$A52,'Data entry'!$B$6:$B$200,{"Confirmed";"Probable"},'Data entry'!$AQ$6:$AQ$200,'Data Validation'!$V$7, 'Data entry'!$AP$6:$AP$200,'Data Validation'!$U$3, 'Data entry'!$BD$6:$BD$200,"&lt;&gt;*Negative*"))</f>
        <v>0</v>
      </c>
      <c r="BG52" s="15">
        <f>SUM(COUNTIFS('Data entry'!$R$6:$R$200,'Summary Data'!$A52,'Data entry'!$B$6:$B$200,{"Confirmed";"Probable"},'Data entry'!$AQ$6:$AQ$200,'Data Validation'!$V$7, 'Data entry'!$AP$6:$AP$200,'Data Validation'!$U$4, 'Data entry'!$BD$6:$BD$200,"&lt;&gt;*Negative*"))</f>
        <v>0</v>
      </c>
      <c r="BH52" s="15">
        <f>SUM(COUNTIFS('Data entry'!$R$6:$R$200,'Summary Data'!$A52,'Data entry'!$B$6:$B$200,{"Confirmed";"Probable"},'Data entry'!$AQ$6:$AQ$200,'Data Validation'!$V$7, 'Data entry'!$AP$6:$AP$200,'Data Validation'!$U$5, 'Data entry'!$BD$6:$BD$200,"&lt;&gt;*Negative*"))</f>
        <v>0</v>
      </c>
      <c r="BI52" s="15">
        <f>SUM(COUNTIFS('Data entry'!$R$6:$R$200,'Summary Data'!$A52,'Data entry'!$B$6:$B$200,{"Confirmed";"Probable"},'Data entry'!$AQ$6:$AQ$200,'Data Validation'!$V$7, 'Data entry'!$AP$6:$AP$200,'Data Validation'!$U$6, 'Data entry'!$BD$6:$BD$200,"&lt;&gt;*Negative*"))</f>
        <v>0</v>
      </c>
      <c r="BJ52" s="15">
        <f>SUM(COUNTIFS('Data entry'!$R$6:$R$200,'Summary Data'!$A52,'Data entry'!$B$6:$B$200,{"Confirmed";"Probable"},'Data entry'!$AQ$6:$AQ$200,'Data Validation'!$V$8, 'Data entry'!$AP$6:$AP$200,'Data Validation'!$U$2, 'Data entry'!$BD$6:$BD$200,"&lt;&gt;*Negative*"))</f>
        <v>0</v>
      </c>
      <c r="BK52" s="15">
        <f>SUM(COUNTIFS('Data entry'!$R$6:$R$200,'Summary Data'!$A52,'Data entry'!$B$6:$B$200,{"Confirmed";"Probable"},'Data entry'!$AQ$6:$AQ$200,'Data Validation'!$V$8, 'Data entry'!$AP$6:$AP$200,'Data Validation'!$U$3, 'Data entry'!$BD$6:$BD$200,"&lt;&gt;*Negative*"))</f>
        <v>0</v>
      </c>
      <c r="BL52" s="15">
        <f>SUM(COUNTIFS('Data entry'!$R$6:$R$200,'Summary Data'!$A52,'Data entry'!$B$6:$B$200,{"Confirmed";"Probable"},'Data entry'!$AQ$6:$AQ$200,'Data Validation'!$V$8, 'Data entry'!$AP$6:$AP$200,'Data Validation'!$U$4, 'Data entry'!$BD$6:$BD$200,"&lt;&gt;*Negative*"))</f>
        <v>0</v>
      </c>
      <c r="BM52" s="15">
        <f>SUM(COUNTIFS('Data entry'!$R$6:$R$200,'Summary Data'!$A52,'Data entry'!$B$6:$B$200,{"Confirmed";"Probable"},'Data entry'!$AQ$6:$AQ$200,'Data Validation'!$V$8, 'Data entry'!$AP$6:$AP$200,'Data Validation'!$U$5, 'Data entry'!$BD$6:$BD$200,"&lt;&gt;*Negative*"))</f>
        <v>0</v>
      </c>
      <c r="BN52" s="15">
        <f>SUM(COUNTIFS('Data entry'!$R$6:$R$200,'Summary Data'!$A52,'Data entry'!$B$6:$B$200,{"Confirmed";"Probable"},'Data entry'!$AQ$6:$AQ$200,'Data Validation'!$V$8, 'Data entry'!$AP$6:$AP$200,'Data Validation'!$U$6, 'Data entry'!$BD$6:$BD$200,"&lt;&gt;*Negative*"))</f>
        <v>0</v>
      </c>
      <c r="BO52" s="15">
        <f>SUM(COUNTIFS('Data entry'!$R$6:$R$200,'Summary Data'!$A52,'Data entry'!$B$6:$B$200,{"Confirmed";"Probable"},'Data entry'!$AQ$6:$AQ$200,'Data Validation'!$V$9, 'Data entry'!$AP$6:$AP$200,'Data Validation'!$U$2, 'Data entry'!$BD$6:$BD$200,"&lt;&gt;*Negative*"))</f>
        <v>0</v>
      </c>
      <c r="BP52" s="15">
        <f>SUM(COUNTIFS('Data entry'!$R$6:$R$200,'Summary Data'!$A52,'Data entry'!$B$6:$B$200,{"Confirmed";"Probable"},'Data entry'!$AQ$6:$AQ$200,'Data Validation'!$V$9, 'Data entry'!$AP$6:$AP$200,'Data Validation'!$U$3, 'Data entry'!$BD$6:$BD$200,"&lt;&gt;*Negative*"))</f>
        <v>0</v>
      </c>
      <c r="BQ52" s="15">
        <f>SUM(COUNTIFS('Data entry'!$R$6:$R$200,'Summary Data'!$A52,'Data entry'!$B$6:$B$200,{"Confirmed";"Probable"},'Data entry'!$AQ$6:$AQ$200,'Data Validation'!$V$9, 'Data entry'!$AP$6:$AP$200,'Data Validation'!$U$4, 'Data entry'!$BD$6:$BD$200,"&lt;&gt;*Negative*"))</f>
        <v>0</v>
      </c>
      <c r="BR52" s="15">
        <f>SUM(COUNTIFS('Data entry'!$R$6:$R$200,'Summary Data'!$A52,'Data entry'!$B$6:$B$200,{"Confirmed";"Probable"},'Data entry'!$AQ$6:$AQ$200,'Data Validation'!$V$9, 'Data entry'!$AP$6:$AP$200,'Data Validation'!$U$5, 'Data entry'!$BD$6:$BD$200,"&lt;&gt;*Negative*"))</f>
        <v>0</v>
      </c>
      <c r="BS52" s="15">
        <f>SUM(COUNTIFS('Data entry'!$R$6:$R$200,'Summary Data'!$A52,'Data entry'!$B$6:$B$200,{"Confirmed";"Probable"},'Data entry'!$AQ$6:$AQ$200,'Data Validation'!$V$9, 'Data entry'!$AP$6:$AP$200,'Data Validation'!$U$6, 'Data entry'!$BD$6:$BD$200,"&lt;&gt;*Negative*"))</f>
        <v>0</v>
      </c>
      <c r="BT52" s="15">
        <f>SUM(COUNTIFS('Data entry'!$R$6:$R$200,'Summary Data'!$A52,'Data entry'!$B$6:$B$200,{"Confirmed";"Probable"},'Data entry'!$AQ$6:$AQ$200,'Data Validation'!$V$10, 'Data entry'!$AP$6:$AP$200,'Data Validation'!$U$2, 'Data entry'!$BD$6:$BD$200,"&lt;&gt;*Negative*"))</f>
        <v>0</v>
      </c>
      <c r="BU52" s="15">
        <f>SUM(COUNTIFS('Data entry'!$R$6:$R$200,'Summary Data'!$A52,'Data entry'!$B$6:$B$200,{"Confirmed";"Probable"},'Data entry'!$AQ$6:$AQ$200,'Data Validation'!$V$10, 'Data entry'!$AP$6:$AP$200,'Data Validation'!$U$3, 'Data entry'!$BD$6:$BD$200,"&lt;&gt;*Negative*"))</f>
        <v>0</v>
      </c>
      <c r="BV52" s="15">
        <f>SUM(COUNTIFS('Data entry'!$R$6:$R$200,'Summary Data'!$A52,'Data entry'!$B$6:$B$200,{"Confirmed";"Probable"},'Data entry'!$AQ$6:$AQ$200,'Data Validation'!$V$10, 'Data entry'!$AP$6:$AP$200,'Data Validation'!$U$4, 'Data entry'!$BD$6:$BD$200,"&lt;&gt;*Negative*"))</f>
        <v>0</v>
      </c>
      <c r="BW52" s="15">
        <f>SUM(COUNTIFS('Data entry'!$R$6:$R$200,'Summary Data'!$A52,'Data entry'!$B$6:$B$200,{"Confirmed";"Probable"},'Data entry'!$AQ$6:$AQ$200,'Data Validation'!$V$10, 'Data entry'!$AP$6:$AP$200,'Data Validation'!$U$5, 'Data entry'!$BD$6:$BD$200,"&lt;&gt;*Negative*"))</f>
        <v>0</v>
      </c>
      <c r="BX52" s="15">
        <f>SUM(COUNTIFS('Data entry'!$R$6:$R$200,'Summary Data'!$A52,'Data entry'!$B$6:$B$200,{"Confirmed";"Probable"},'Data entry'!$AQ$6:$AQ$200,'Data Validation'!$V$10, 'Data entry'!$AP$6:$AP$200,'Data Validation'!$U$6, 'Data entry'!$BD$6:$BD$200,"&lt;&gt;*Negative*"))</f>
        <v>0</v>
      </c>
      <c r="BY52" s="15">
        <f>SUM(COUNTIFS('Data entry'!$R$6:$R$200,'Summary Data'!$A52,'Data entry'!$B$6:$B$200,{"Confirmed";"Probable"},'Data entry'!$AQ$6:$AQ$200,'Data Validation'!$V$11, 'Data entry'!$AP$6:$AP$200,'Data Validation'!$U$2, 'Data entry'!$BD$6:$BD$200,"&lt;&gt;*Negative*"))</f>
        <v>0</v>
      </c>
      <c r="BZ52" s="15">
        <f>SUM(COUNTIFS('Data entry'!$R$6:$R$200,'Summary Data'!$A52,'Data entry'!$B$6:$B$200,{"Confirmed";"Probable"},'Data entry'!$AQ$6:$AQ$200,'Data Validation'!$V$11, 'Data entry'!$AP$6:$AP$200,'Data Validation'!$U$3, 'Data entry'!$BD$6:$BD$200,"&lt;&gt;*Negative*"))</f>
        <v>0</v>
      </c>
      <c r="CA52" s="15">
        <f>SUM(COUNTIFS('Data entry'!$R$6:$R$200,'Summary Data'!$A52,'Data entry'!$B$6:$B$200,{"Confirmed";"Probable"},'Data entry'!$AQ$6:$AQ$200,'Data Validation'!$V$11, 'Data entry'!$AP$6:$AP$200,'Data Validation'!$U$4, 'Data entry'!$BD$6:$BD$200,"&lt;&gt;*Negative*"))</f>
        <v>0</v>
      </c>
      <c r="CB52" s="15">
        <f>SUM(COUNTIFS('Data entry'!$R$6:$R$200,'Summary Data'!$A52,'Data entry'!$B$6:$B$200,{"Confirmed";"Probable"},'Data entry'!$AQ$6:$AQ$200,'Data Validation'!$V$11, 'Data entry'!$AP$6:$AP$200,'Data Validation'!$U$5, 'Data entry'!$BD$6:$BD$200,"&lt;&gt;*Negative*"))</f>
        <v>0</v>
      </c>
      <c r="CC52" s="15">
        <f>SUM(COUNTIFS('Data entry'!$R$6:$R$200,'Summary Data'!$A52,'Data entry'!$B$6:$B$200,{"Confirmed";"Probable"},'Data entry'!$AQ$6:$AQ$200,'Data Validation'!$V$11, 'Data entry'!$AP$6:$AP$200,'Data Validation'!$U$6, 'Data entry'!$BD$6:$BD$200,"&lt;&gt;*Negative*"))</f>
        <v>0</v>
      </c>
    </row>
    <row r="53" spans="1:81" x14ac:dyDescent="0.25">
      <c r="A53" s="12">
        <f t="shared" si="5"/>
        <v>41</v>
      </c>
      <c r="B53" s="13">
        <f t="shared" si="2"/>
        <v>0</v>
      </c>
      <c r="C53" s="13">
        <f>COUNTIFS('Data entry'!$R$6:$R$200,$A53,'Data entry'!$B$6:$B$200,"Confirmed",'Data entry'!$BD$6:$BD$200,"&lt;&gt;*Negative*")</f>
        <v>0</v>
      </c>
      <c r="D53" s="13">
        <f>COUNTIFS('Data entry'!$R$6:$R$200,$A53,'Data entry'!$B$6:$B$200,"Probable",'Data entry'!$BD$6:$BD$200,"&lt;&gt;*Negative*")</f>
        <v>0</v>
      </c>
      <c r="E53" s="13">
        <f>COUNTIFS('Data entry'!$R$6:$R$200,$A53,'Data entry'!$B$6:$B$200,"DNM")</f>
        <v>0</v>
      </c>
      <c r="F53" s="13">
        <f>SUM(COUNTIFS('Data entry'!$R$6:$R$200,'Summary Data'!$A53,'Data entry'!$B$6:$B$200,{"Confirmed";"Probable"},'Data entry'!$AO$6:$AO$200,$F$10, 'Data entry'!$BD$6:$BD$200,"&lt;&gt;*Negative*"))</f>
        <v>0</v>
      </c>
      <c r="G53" s="13">
        <f>SUM(COUNTIFS('Data entry'!$R$6:$R$200,'Summary Data'!$A53,'Data entry'!$B$6:$B$200,{"Confirmed";"Probable"},'Data entry'!$AO$6:$AO$200,$G$10, 'Data entry'!$BD$6:$BD$200,"&lt;&gt;*Negative*"))</f>
        <v>0</v>
      </c>
      <c r="H53" s="13">
        <f>SUM(COUNTIFS('Data entry'!$R$6:$R$200,'Summary Data'!$A53,'Data entry'!$B$6:$B$200,{"Confirmed";"Probable"},'Data entry'!$AO$6:$AO$200,$H$10, 'Data entry'!$BD$6:$BD$200,"&lt;&gt;*Negative*"))</f>
        <v>0</v>
      </c>
      <c r="I53" s="13">
        <f>SUM(COUNTIFS('Data entry'!$R$6:$R$200,'Summary Data'!$A53,'Data entry'!$B$6:$B$200,{"Confirmed";"Probable"},'Data entry'!$AO$6:$AO$200,$I$10, 'Data entry'!$BD$6:$BD$200,"&lt;&gt;*Negative*"))</f>
        <v>0</v>
      </c>
      <c r="J53" s="13">
        <f>SUM(COUNTIFS('Data entry'!$R$6:$R$200,'Summary Data'!$A53,'Data entry'!$B$6:$B$200,{"Confirmed";"Probable"},'Data entry'!$AO$6:$AO$200,$J$10, 'Data entry'!$BD$6:$BD$200,"&lt;&gt;*Negative*"))</f>
        <v>0</v>
      </c>
      <c r="K53" s="13">
        <f>SUM(COUNTIFS('Data entry'!$R$6:$R$200,'Summary Data'!$A53,'Data entry'!$B$6:$B$200,{"Confirmed";"Probable"},'Data entry'!$AO$6:$AO$200,$K$10, 'Data entry'!$BD$6:$BD$200,"&lt;&gt;*Negative*"))</f>
        <v>0</v>
      </c>
      <c r="L53" s="13">
        <f>SUM(COUNTIFS('Data entry'!$R$6:$R$200,'Summary Data'!$A53,'Data entry'!$B$6:$B$200,{"Confirmed";"Probable"},'Data entry'!$AO$6:$AO$200,$L$10, 'Data entry'!$BD$6:$BD$200,"&lt;&gt;*Negative*"))</f>
        <v>0</v>
      </c>
      <c r="M53" s="13">
        <f>SUM(COUNTIFS('Data entry'!$R$6:$R$200,'Summary Data'!$A53,'Data entry'!$B$6:$B$200,{"Confirmed";"Probable"},'Data entry'!$AO$6:$AO$200,$M$10, 'Data entry'!$BD$6:$BD$200,"&lt;&gt;*Negative*"))</f>
        <v>0</v>
      </c>
      <c r="N53" s="13">
        <f>SUM(COUNTIFS('Data entry'!$R$6:$R$200,'Summary Data'!$A53,'Data entry'!$B$6:$B$200,{"Confirmed";"Probable"},'Data entry'!$AO$6:$AO$200,$N$10, 'Data entry'!$BD$6:$BD$200,"&lt;&gt;*Negative*"))</f>
        <v>0</v>
      </c>
      <c r="O53" s="15">
        <f t="shared" si="3"/>
        <v>0</v>
      </c>
      <c r="P53" s="15">
        <f t="shared" si="4"/>
        <v>0</v>
      </c>
      <c r="Q53" s="15">
        <f>SUM(COUNTIFS('Data entry'!$R$6:$R$200,'Summary Data'!$A53,'Data entry'!$B$6:$B$200,{"Confirmed";"Probable"},'Data entry'!$AP$6:$AP$200,'Data Validation'!$U$2, 'Data entry'!$BD$6:$BD$200,"&lt;&gt;*Negative*"))</f>
        <v>0</v>
      </c>
      <c r="R53" s="15">
        <f>SUM(COUNTIFS('Data entry'!$R$6:$R$200,'Summary Data'!$A53,'Data entry'!$B$6:$B$200,{"Confirmed";"Probable"},'Data entry'!$AP$6:$AP$200,'Data Validation'!$U$3, 'Data entry'!$BD$6:$BD$200,"&lt;&gt;*Negative*"))</f>
        <v>0</v>
      </c>
      <c r="S53" s="15">
        <f>SUM(COUNTIFS('Data entry'!$R$6:$R$200,'Summary Data'!$A53,'Data entry'!$B$6:$B$200,{"Confirmed";"Probable"},'Data entry'!$AP$6:$AP$200,'Data Validation'!$U$4, 'Data entry'!$BD$6:$BD$200,"&lt;&gt;*Negative*"))</f>
        <v>0</v>
      </c>
      <c r="T53" s="15">
        <f>SUM(COUNTIFS('Data entry'!$R$6:$R$200,'Summary Data'!$A53,'Data entry'!$B$6:$B$200,{"Confirmed";"Probable"},'Data entry'!$AP$6:$AP$200,'Data Validation'!$U$5, 'Data entry'!$BD$6:$BD$200,"&lt;&gt;*Negative*"))</f>
        <v>0</v>
      </c>
      <c r="U53" s="15">
        <f>SUM(COUNTIFS('Data entry'!$R$6:$R$200,'Summary Data'!$A53,'Data entry'!$B$6:$B$200,{"Confirmed";"Probable"},'Data entry'!$AP$6:$AP$200,'Data Validation'!$U$6, 'Data entry'!$BD$6:$BD$200,"&lt;&gt;*Negative*"))</f>
        <v>0</v>
      </c>
      <c r="V53" s="15">
        <f>SUM(COUNTIFS('Data entry'!$R$6:$R$200,'Summary Data'!$A53,'Data entry'!$B$6:$B$200,{"Confirmed";"Probable"},'Data entry'!$AQ$6:$AQ$200,'Data Validation'!$V$2, 'Data entry'!$BD$6:$BD$200,"&lt;&gt;*Negative*"))</f>
        <v>0</v>
      </c>
      <c r="W53" s="15">
        <f>SUM(COUNTIFS('Data entry'!$R$6:$R$200,'Summary Data'!$A53,'Data entry'!$B$6:$B$200,{"Confirmed";"Probable"},'Data entry'!$AQ$6:$AQ$200,'Data Validation'!$V$3, 'Data entry'!$BD$6:$BD$200,"&lt;&gt;*Negative*"))</f>
        <v>0</v>
      </c>
      <c r="X53" s="15">
        <f>SUM(COUNTIFS('Data entry'!$R$6:$R$200,'Summary Data'!$A53,'Data entry'!$B$6:$B$200,{"Confirmed";"Probable"},'Data entry'!$AQ$6:$AQ$200,'Data Validation'!$V$4, 'Data entry'!$BD$6:$BD$200,"&lt;&gt;*Negative*"))</f>
        <v>0</v>
      </c>
      <c r="Y53" s="15">
        <f>SUM(COUNTIFS('Data entry'!$R$6:$R$200,'Summary Data'!$A53,'Data entry'!$B$6:$B$200,{"Confirmed";"Probable"},'Data entry'!$AQ$6:$AQ$200,'Data Validation'!$V$5, 'Data entry'!$BD$6:$BD$200,"&lt;&gt;*Negative*"))</f>
        <v>0</v>
      </c>
      <c r="Z53" s="15">
        <f>SUM(COUNTIFS('Data entry'!$R$6:$R$200,'Summary Data'!$A53,'Data entry'!$B$6:$B$200,{"Confirmed";"Probable"},'Data entry'!$AQ$6:$AQ$200,'Data Validation'!$V$6, 'Data entry'!$BD$6:$BD$200,"&lt;&gt;*Negative*"))</f>
        <v>0</v>
      </c>
      <c r="AA53" s="15">
        <f>SUM(COUNTIFS('Data entry'!$R$6:$R$200,'Summary Data'!$A53,'Data entry'!$B$6:$B$200,{"Confirmed";"Probable"},'Data entry'!$AQ$6:$AQ$200,'Data Validation'!$V$7, 'Data entry'!$BD$6:$BD$200,"&lt;&gt;*Negative*"))</f>
        <v>0</v>
      </c>
      <c r="AB53" s="15">
        <f>SUM(COUNTIFS('Data entry'!$R$6:$R$200,'Summary Data'!$A53,'Data entry'!$B$6:$B$200,{"Confirmed";"Probable"},'Data entry'!$AQ$6:$AQ$200,'Data Validation'!$V$8, 'Data entry'!$BD$6:$BD$200,"&lt;&gt;*Negative*"))</f>
        <v>0</v>
      </c>
      <c r="AC53" s="15">
        <f>SUM(COUNTIFS('Data entry'!$R$6:$R$200,'Summary Data'!$A53,'Data entry'!$B$6:$B$200,{"Confirmed";"Probable"},'Data entry'!$AQ$6:$AQ$200,'Data Validation'!$V$9, 'Data entry'!$BD$6:$BD$200,"&lt;&gt;*Negative*"))</f>
        <v>0</v>
      </c>
      <c r="AD53" s="15">
        <f>SUM(COUNTIFS('Data entry'!$R$6:$R$200,'Summary Data'!$A53,'Data entry'!$B$6:$B$200,{"Confirmed";"Probable"},'Data entry'!$AQ$6:$AQ$200,'Data Validation'!$V$10, 'Data entry'!$BD$6:$BD$200,"&lt;&gt;*Negative*"))</f>
        <v>0</v>
      </c>
      <c r="AE53" s="15">
        <f>SUM(COUNTIFS('Data entry'!$R$6:$R$200,'Summary Data'!$A53,'Data entry'!$B$6:$B$200,{"Confirmed";"Probable"},'Data entry'!$AQ$6:$AQ$200,'Data Validation'!$V$11, 'Data entry'!$BD$6:$BD$200,"&lt;&gt;*Negative*"))</f>
        <v>0</v>
      </c>
      <c r="AF53" s="15">
        <f>SUM(COUNTIFS('Data entry'!$R$6:$R$200,'Summary Data'!$A53,'Data entry'!$B$6:$B$200,{"Confirmed";"Probable"},'Data entry'!$AQ$6:$AQ$200,'Data Validation'!$V$2, 'Data entry'!$AP$6:$AP$200,'Data Validation'!$U$2, 'Data entry'!$BD$6:$BD$200,"&lt;&gt;*Negative*"))</f>
        <v>0</v>
      </c>
      <c r="AG53" s="15">
        <f>SUM(COUNTIFS('Data entry'!$R$6:$R$200,'Summary Data'!$A53,'Data entry'!$B$6:$B$200,{"Confirmed";"Probable"},'Data entry'!$AQ$6:$AQ$200,'Data Validation'!$V$2, 'Data entry'!$AP$6:$AP$200,'Data Validation'!$U$3, 'Data entry'!$BD$6:$BD$200,"&lt;&gt;*Negative*"))</f>
        <v>0</v>
      </c>
      <c r="AH53" s="15">
        <f>SUM(COUNTIFS('Data entry'!$R$6:$R$200,'Summary Data'!$A53,'Data entry'!$B$6:$B$200,{"Confirmed";"Probable"},'Data entry'!$AQ$6:$AQ$200,'Data Validation'!$V$2, 'Data entry'!$AP$6:$AP$200,'Data Validation'!$U$4, 'Data entry'!$BD$6:$BD$200,"&lt;&gt;*Negative*"))</f>
        <v>0</v>
      </c>
      <c r="AI53" s="15">
        <f>SUM(COUNTIFS('Data entry'!$R$6:$R$200,'Summary Data'!$A53,'Data entry'!$B$6:$B$200,{"Confirmed";"Probable"},'Data entry'!$AQ$6:$AQ$200,'Data Validation'!$V$2, 'Data entry'!$AP$6:$AP$200,'Data Validation'!$U$5, 'Data entry'!$BD$6:$BD$200,"&lt;&gt;*Negative*"))</f>
        <v>0</v>
      </c>
      <c r="AJ53" s="15">
        <f>SUM(COUNTIFS('Data entry'!$R$6:$R$200,'Summary Data'!$A53,'Data entry'!$B$6:$B$200,{"Confirmed";"Probable"},'Data entry'!$AQ$6:$AQ$200,'Data Validation'!$V$2, 'Data entry'!$AP$6:$AP$200,'Data Validation'!$U$6, 'Data entry'!$BD$6:$BD$200,"&lt;&gt;*Negative*"))</f>
        <v>0</v>
      </c>
      <c r="AK53" s="15">
        <f>SUM(COUNTIFS('Data entry'!$R$6:$R$200,'Summary Data'!$A53,'Data entry'!$B$6:$B$200,{"Confirmed";"Probable"},'Data entry'!$AQ$6:$AQ$200,'Data Validation'!$V$3, 'Data entry'!$AP$6:$AP$200,'Data Validation'!$U$2, 'Data entry'!$BD$6:$BD$200,"&lt;&gt;*Negative*"))</f>
        <v>0</v>
      </c>
      <c r="AL53" s="15">
        <f>SUM(COUNTIFS('Data entry'!$R$6:$R$200,'Summary Data'!$A53,'Data entry'!$B$6:$B$200,{"Confirmed";"Probable"},'Data entry'!$AQ$6:$AQ$200,'Data Validation'!$V$3, 'Data entry'!$AP$6:$AP$200,'Data Validation'!$U$3, 'Data entry'!$BD$6:$BD$200,"&lt;&gt;*Negative*"))</f>
        <v>0</v>
      </c>
      <c r="AM53" s="15">
        <f>SUM(COUNTIFS('Data entry'!$R$6:$R$200,'Summary Data'!$A53,'Data entry'!$B$6:$B$200,{"Confirmed";"Probable"},'Data entry'!$AQ$6:$AQ$200,'Data Validation'!$V$3, 'Data entry'!$AP$6:$AP$200,'Data Validation'!$U$4, 'Data entry'!$BD$6:$BD$200,"&lt;&gt;*Negative*"))</f>
        <v>0</v>
      </c>
      <c r="AN53" s="15">
        <f>SUM(COUNTIFS('Data entry'!$R$6:$R$200,'Summary Data'!$A53,'Data entry'!$B$6:$B$200,{"Confirmed";"Probable"},'Data entry'!$AQ$6:$AQ$200,'Data Validation'!$V$3, 'Data entry'!$AP$6:$AP$200,'Data Validation'!$U$5, 'Data entry'!$BD$6:$BD$200,"&lt;&gt;*Negative*"))</f>
        <v>0</v>
      </c>
      <c r="AO53" s="15">
        <f>SUM(COUNTIFS('Data entry'!$R$6:$R$200,'Summary Data'!$A53,'Data entry'!$B$6:$B$200,{"Confirmed";"Probable"},'Data entry'!$AQ$6:$AQ$200,'Data Validation'!$V$3, 'Data entry'!$AP$6:$AP$200,'Data Validation'!$U$6, 'Data entry'!$BD$6:$BD$200,"&lt;&gt;*Negative*"))</f>
        <v>0</v>
      </c>
      <c r="AP53" s="15">
        <f>SUM(COUNTIFS('Data entry'!$R$6:$R$200,'Summary Data'!$A53,'Data entry'!$B$6:$B$200,{"Confirmed";"Probable"},'Data entry'!$AQ$6:$AQ$200,'Data Validation'!$V$4, 'Data entry'!$AP$6:$AP$200,'Data Validation'!$U$2, 'Data entry'!$BD$6:$BD$200,"&lt;&gt;*Negative*"))</f>
        <v>0</v>
      </c>
      <c r="AQ53" s="15">
        <f>SUM(COUNTIFS('Data entry'!$R$6:$R$200,'Summary Data'!$A53,'Data entry'!$B$6:$B$200,{"Confirmed";"Probable"},'Data entry'!$AQ$6:$AQ$200,'Data Validation'!$V$4, 'Data entry'!$AP$6:$AP$200,'Data Validation'!$U$3, 'Data entry'!$BD$6:$BD$200,"&lt;&gt;*Negative*"))</f>
        <v>0</v>
      </c>
      <c r="AR53" s="15">
        <f>SUM(COUNTIFS('Data entry'!$R$6:$R$200,'Summary Data'!$A53,'Data entry'!$B$6:$B$200,{"Confirmed";"Probable"},'Data entry'!$AQ$6:$AQ$200,'Data Validation'!$V$4, 'Data entry'!$AP$6:$AP$200,'Data Validation'!$U$4, 'Data entry'!$BD$6:$BD$200,"&lt;&gt;*Negative*"))</f>
        <v>0</v>
      </c>
      <c r="AS53" s="15">
        <f>SUM(COUNTIFS('Data entry'!$R$6:$R$200,'Summary Data'!$A53,'Data entry'!$B$6:$B$200,{"Confirmed";"Probable"},'Data entry'!$AQ$6:$AQ$200,'Data Validation'!$V$4, 'Data entry'!$AP$6:$AP$200,'Data Validation'!$U$5, 'Data entry'!$BD$6:$BD$200,"&lt;&gt;*Negative*"))</f>
        <v>0</v>
      </c>
      <c r="AT53" s="15">
        <f>SUM(COUNTIFS('Data entry'!$R$6:$R$200,'Summary Data'!$A53,'Data entry'!$B$6:$B$200,{"Confirmed";"Probable"},'Data entry'!$AQ$6:$AQ$200,'Data Validation'!$V$4, 'Data entry'!$AP$6:$AP$200,'Data Validation'!$U$6, 'Data entry'!$BD$6:$BD$200,"&lt;&gt;*Negative*"))</f>
        <v>0</v>
      </c>
      <c r="AU53" s="15">
        <f>SUM(COUNTIFS('Data entry'!$R$6:$R$200,'Summary Data'!$A53,'Data entry'!$B$6:$B$200,{"Confirmed";"Probable"},'Data entry'!$AQ$6:$AQ$200,'Data Validation'!$V$5, 'Data entry'!$AP$6:$AP$200,'Data Validation'!$U$2, 'Data entry'!$BD$6:$BD$200,"&lt;&gt;*Negative*"))</f>
        <v>0</v>
      </c>
      <c r="AV53" s="15">
        <f>SUM(COUNTIFS('Data entry'!$R$6:$R$200,'Summary Data'!$A53,'Data entry'!$B$6:$B$200,{"Confirmed";"Probable"},'Data entry'!$AQ$6:$AQ$200,'Data Validation'!$V$5, 'Data entry'!$AP$6:$AP$200,'Data Validation'!$U$3, 'Data entry'!$BD$6:$BD$200,"&lt;&gt;*Negative*"))</f>
        <v>0</v>
      </c>
      <c r="AW53" s="15">
        <f>SUM(COUNTIFS('Data entry'!$R$6:$R$200,'Summary Data'!$A53,'Data entry'!$B$6:$B$200,{"Confirmed";"Probable"},'Data entry'!$AQ$6:$AQ$200,'Data Validation'!$V$5, 'Data entry'!$AP$6:$AP$200,'Data Validation'!$U$4, 'Data entry'!$BD$6:$BD$200,"&lt;&gt;*Negative*"))</f>
        <v>0</v>
      </c>
      <c r="AX53" s="15">
        <f>SUM(COUNTIFS('Data entry'!$R$6:$R$200,'Summary Data'!$A53,'Data entry'!$B$6:$B$200,{"Confirmed";"Probable"},'Data entry'!$AQ$6:$AQ$200,'Data Validation'!$V$5, 'Data entry'!$AP$6:$AP$200,'Data Validation'!$U$5, 'Data entry'!$BD$6:$BD$200,"&lt;&gt;*Negative*"))</f>
        <v>0</v>
      </c>
      <c r="AY53" s="15">
        <f>SUM(COUNTIFS('Data entry'!$R$6:$R$200,'Summary Data'!$A53,'Data entry'!$B$6:$B$200,{"Confirmed";"Probable"},'Data entry'!$AQ$6:$AQ$200,'Data Validation'!$V$5, 'Data entry'!$AP$6:$AP$200,'Data Validation'!$U$6, 'Data entry'!$BD$6:$BD$200,"&lt;&gt;*Negative*"))</f>
        <v>0</v>
      </c>
      <c r="AZ53" s="15">
        <f>SUM(COUNTIFS('Data entry'!$R$6:$R$200,'Summary Data'!$A53,'Data entry'!$B$6:$B$200,{"Confirmed";"Probable"},'Data entry'!$AQ$6:$AQ$200,'Data Validation'!$V$6, 'Data entry'!$AP$6:$AP$200,'Data Validation'!$U$2, 'Data entry'!$BD$6:$BD$200,"&lt;&gt;*Negative*"))</f>
        <v>0</v>
      </c>
      <c r="BA53" s="15">
        <f>SUM(COUNTIFS('Data entry'!$R$6:$R$200,'Summary Data'!$A53,'Data entry'!$B$6:$B$200,{"Confirmed";"Probable"},'Data entry'!$AQ$6:$AQ$200,'Data Validation'!$V$6, 'Data entry'!$AP$6:$AP$200,'Data Validation'!$U$3, 'Data entry'!$BD$6:$BD$200,"&lt;&gt;*Negative*"))</f>
        <v>0</v>
      </c>
      <c r="BB53" s="15">
        <f>SUM(COUNTIFS('Data entry'!$R$6:$R$200,'Summary Data'!$A53,'Data entry'!$B$6:$B$200,{"Confirmed";"Probable"},'Data entry'!$AQ$6:$AQ$200,'Data Validation'!$V$6, 'Data entry'!$AP$6:$AP$200,'Data Validation'!$U$4, 'Data entry'!$BD$6:$BD$200,"&lt;&gt;*Negative*"))</f>
        <v>0</v>
      </c>
      <c r="BC53" s="15">
        <f>SUM(COUNTIFS('Data entry'!$R$6:$R$200,'Summary Data'!$A53,'Data entry'!$B$6:$B$200,{"Confirmed";"Probable"},'Data entry'!$AQ$6:$AQ$200,'Data Validation'!$V$6, 'Data entry'!$AP$6:$AP$200,'Data Validation'!$U$5, 'Data entry'!$BD$6:$BD$200,"&lt;&gt;*Negative*"))</f>
        <v>0</v>
      </c>
      <c r="BD53" s="15">
        <f>SUM(COUNTIFS('Data entry'!$R$6:$R$200,'Summary Data'!$A53,'Data entry'!$B$6:$B$200,{"Confirmed";"Probable"},'Data entry'!$AQ$6:$AQ$200,'Data Validation'!$V$6, 'Data entry'!$AP$6:$AP$200,'Data Validation'!$U$6, 'Data entry'!$BD$6:$BD$200,"&lt;&gt;*Negative*"))</f>
        <v>0</v>
      </c>
      <c r="BE53" s="15">
        <f>SUM(COUNTIFS('Data entry'!$R$6:$R$200,'Summary Data'!$A53,'Data entry'!$B$6:$B$200,{"Confirmed";"Probable"},'Data entry'!$AQ$6:$AQ$200,'Data Validation'!$V$7, 'Data entry'!$AP$6:$AP$200,'Data Validation'!$U$2, 'Data entry'!$BD$6:$BD$200,"&lt;&gt;*Negative*"))</f>
        <v>0</v>
      </c>
      <c r="BF53" s="15">
        <f>SUM(COUNTIFS('Data entry'!$R$6:$R$200,'Summary Data'!$A53,'Data entry'!$B$6:$B$200,{"Confirmed";"Probable"},'Data entry'!$AQ$6:$AQ$200,'Data Validation'!$V$7, 'Data entry'!$AP$6:$AP$200,'Data Validation'!$U$3, 'Data entry'!$BD$6:$BD$200,"&lt;&gt;*Negative*"))</f>
        <v>0</v>
      </c>
      <c r="BG53" s="15">
        <f>SUM(COUNTIFS('Data entry'!$R$6:$R$200,'Summary Data'!$A53,'Data entry'!$B$6:$B$200,{"Confirmed";"Probable"},'Data entry'!$AQ$6:$AQ$200,'Data Validation'!$V$7, 'Data entry'!$AP$6:$AP$200,'Data Validation'!$U$4, 'Data entry'!$BD$6:$BD$200,"&lt;&gt;*Negative*"))</f>
        <v>0</v>
      </c>
      <c r="BH53" s="15">
        <f>SUM(COUNTIFS('Data entry'!$R$6:$R$200,'Summary Data'!$A53,'Data entry'!$B$6:$B$200,{"Confirmed";"Probable"},'Data entry'!$AQ$6:$AQ$200,'Data Validation'!$V$7, 'Data entry'!$AP$6:$AP$200,'Data Validation'!$U$5, 'Data entry'!$BD$6:$BD$200,"&lt;&gt;*Negative*"))</f>
        <v>0</v>
      </c>
      <c r="BI53" s="15">
        <f>SUM(COUNTIFS('Data entry'!$R$6:$R$200,'Summary Data'!$A53,'Data entry'!$B$6:$B$200,{"Confirmed";"Probable"},'Data entry'!$AQ$6:$AQ$200,'Data Validation'!$V$7, 'Data entry'!$AP$6:$AP$200,'Data Validation'!$U$6, 'Data entry'!$BD$6:$BD$200,"&lt;&gt;*Negative*"))</f>
        <v>0</v>
      </c>
      <c r="BJ53" s="15">
        <f>SUM(COUNTIFS('Data entry'!$R$6:$R$200,'Summary Data'!$A53,'Data entry'!$B$6:$B$200,{"Confirmed";"Probable"},'Data entry'!$AQ$6:$AQ$200,'Data Validation'!$V$8, 'Data entry'!$AP$6:$AP$200,'Data Validation'!$U$2, 'Data entry'!$BD$6:$BD$200,"&lt;&gt;*Negative*"))</f>
        <v>0</v>
      </c>
      <c r="BK53" s="15">
        <f>SUM(COUNTIFS('Data entry'!$R$6:$R$200,'Summary Data'!$A53,'Data entry'!$B$6:$B$200,{"Confirmed";"Probable"},'Data entry'!$AQ$6:$AQ$200,'Data Validation'!$V$8, 'Data entry'!$AP$6:$AP$200,'Data Validation'!$U$3, 'Data entry'!$BD$6:$BD$200,"&lt;&gt;*Negative*"))</f>
        <v>0</v>
      </c>
      <c r="BL53" s="15">
        <f>SUM(COUNTIFS('Data entry'!$R$6:$R$200,'Summary Data'!$A53,'Data entry'!$B$6:$B$200,{"Confirmed";"Probable"},'Data entry'!$AQ$6:$AQ$200,'Data Validation'!$V$8, 'Data entry'!$AP$6:$AP$200,'Data Validation'!$U$4, 'Data entry'!$BD$6:$BD$200,"&lt;&gt;*Negative*"))</f>
        <v>0</v>
      </c>
      <c r="BM53" s="15">
        <f>SUM(COUNTIFS('Data entry'!$R$6:$R$200,'Summary Data'!$A53,'Data entry'!$B$6:$B$200,{"Confirmed";"Probable"},'Data entry'!$AQ$6:$AQ$200,'Data Validation'!$V$8, 'Data entry'!$AP$6:$AP$200,'Data Validation'!$U$5, 'Data entry'!$BD$6:$BD$200,"&lt;&gt;*Negative*"))</f>
        <v>0</v>
      </c>
      <c r="BN53" s="15">
        <f>SUM(COUNTIFS('Data entry'!$R$6:$R$200,'Summary Data'!$A53,'Data entry'!$B$6:$B$200,{"Confirmed";"Probable"},'Data entry'!$AQ$6:$AQ$200,'Data Validation'!$V$8, 'Data entry'!$AP$6:$AP$200,'Data Validation'!$U$6, 'Data entry'!$BD$6:$BD$200,"&lt;&gt;*Negative*"))</f>
        <v>0</v>
      </c>
      <c r="BO53" s="15">
        <f>SUM(COUNTIFS('Data entry'!$R$6:$R$200,'Summary Data'!$A53,'Data entry'!$B$6:$B$200,{"Confirmed";"Probable"},'Data entry'!$AQ$6:$AQ$200,'Data Validation'!$V$9, 'Data entry'!$AP$6:$AP$200,'Data Validation'!$U$2, 'Data entry'!$BD$6:$BD$200,"&lt;&gt;*Negative*"))</f>
        <v>0</v>
      </c>
      <c r="BP53" s="15">
        <f>SUM(COUNTIFS('Data entry'!$R$6:$R$200,'Summary Data'!$A53,'Data entry'!$B$6:$B$200,{"Confirmed";"Probable"},'Data entry'!$AQ$6:$AQ$200,'Data Validation'!$V$9, 'Data entry'!$AP$6:$AP$200,'Data Validation'!$U$3, 'Data entry'!$BD$6:$BD$200,"&lt;&gt;*Negative*"))</f>
        <v>0</v>
      </c>
      <c r="BQ53" s="15">
        <f>SUM(COUNTIFS('Data entry'!$R$6:$R$200,'Summary Data'!$A53,'Data entry'!$B$6:$B$200,{"Confirmed";"Probable"},'Data entry'!$AQ$6:$AQ$200,'Data Validation'!$V$9, 'Data entry'!$AP$6:$AP$200,'Data Validation'!$U$4, 'Data entry'!$BD$6:$BD$200,"&lt;&gt;*Negative*"))</f>
        <v>0</v>
      </c>
      <c r="BR53" s="15">
        <f>SUM(COUNTIFS('Data entry'!$R$6:$R$200,'Summary Data'!$A53,'Data entry'!$B$6:$B$200,{"Confirmed";"Probable"},'Data entry'!$AQ$6:$AQ$200,'Data Validation'!$V$9, 'Data entry'!$AP$6:$AP$200,'Data Validation'!$U$5, 'Data entry'!$BD$6:$BD$200,"&lt;&gt;*Negative*"))</f>
        <v>0</v>
      </c>
      <c r="BS53" s="15">
        <f>SUM(COUNTIFS('Data entry'!$R$6:$R$200,'Summary Data'!$A53,'Data entry'!$B$6:$B$200,{"Confirmed";"Probable"},'Data entry'!$AQ$6:$AQ$200,'Data Validation'!$V$9, 'Data entry'!$AP$6:$AP$200,'Data Validation'!$U$6, 'Data entry'!$BD$6:$BD$200,"&lt;&gt;*Negative*"))</f>
        <v>0</v>
      </c>
      <c r="BT53" s="15">
        <f>SUM(COUNTIFS('Data entry'!$R$6:$R$200,'Summary Data'!$A53,'Data entry'!$B$6:$B$200,{"Confirmed";"Probable"},'Data entry'!$AQ$6:$AQ$200,'Data Validation'!$V$10, 'Data entry'!$AP$6:$AP$200,'Data Validation'!$U$2, 'Data entry'!$BD$6:$BD$200,"&lt;&gt;*Negative*"))</f>
        <v>0</v>
      </c>
      <c r="BU53" s="15">
        <f>SUM(COUNTIFS('Data entry'!$R$6:$R$200,'Summary Data'!$A53,'Data entry'!$B$6:$B$200,{"Confirmed";"Probable"},'Data entry'!$AQ$6:$AQ$200,'Data Validation'!$V$10, 'Data entry'!$AP$6:$AP$200,'Data Validation'!$U$3, 'Data entry'!$BD$6:$BD$200,"&lt;&gt;*Negative*"))</f>
        <v>0</v>
      </c>
      <c r="BV53" s="15">
        <f>SUM(COUNTIFS('Data entry'!$R$6:$R$200,'Summary Data'!$A53,'Data entry'!$B$6:$B$200,{"Confirmed";"Probable"},'Data entry'!$AQ$6:$AQ$200,'Data Validation'!$V$10, 'Data entry'!$AP$6:$AP$200,'Data Validation'!$U$4, 'Data entry'!$BD$6:$BD$200,"&lt;&gt;*Negative*"))</f>
        <v>0</v>
      </c>
      <c r="BW53" s="15">
        <f>SUM(COUNTIFS('Data entry'!$R$6:$R$200,'Summary Data'!$A53,'Data entry'!$B$6:$B$200,{"Confirmed";"Probable"},'Data entry'!$AQ$6:$AQ$200,'Data Validation'!$V$10, 'Data entry'!$AP$6:$AP$200,'Data Validation'!$U$5, 'Data entry'!$BD$6:$BD$200,"&lt;&gt;*Negative*"))</f>
        <v>0</v>
      </c>
      <c r="BX53" s="15">
        <f>SUM(COUNTIFS('Data entry'!$R$6:$R$200,'Summary Data'!$A53,'Data entry'!$B$6:$B$200,{"Confirmed";"Probable"},'Data entry'!$AQ$6:$AQ$200,'Data Validation'!$V$10, 'Data entry'!$AP$6:$AP$200,'Data Validation'!$U$6, 'Data entry'!$BD$6:$BD$200,"&lt;&gt;*Negative*"))</f>
        <v>0</v>
      </c>
      <c r="BY53" s="15">
        <f>SUM(COUNTIFS('Data entry'!$R$6:$R$200,'Summary Data'!$A53,'Data entry'!$B$6:$B$200,{"Confirmed";"Probable"},'Data entry'!$AQ$6:$AQ$200,'Data Validation'!$V$11, 'Data entry'!$AP$6:$AP$200,'Data Validation'!$U$2, 'Data entry'!$BD$6:$BD$200,"&lt;&gt;*Negative*"))</f>
        <v>0</v>
      </c>
      <c r="BZ53" s="15">
        <f>SUM(COUNTIFS('Data entry'!$R$6:$R$200,'Summary Data'!$A53,'Data entry'!$B$6:$B$200,{"Confirmed";"Probable"},'Data entry'!$AQ$6:$AQ$200,'Data Validation'!$V$11, 'Data entry'!$AP$6:$AP$200,'Data Validation'!$U$3, 'Data entry'!$BD$6:$BD$200,"&lt;&gt;*Negative*"))</f>
        <v>0</v>
      </c>
      <c r="CA53" s="15">
        <f>SUM(COUNTIFS('Data entry'!$R$6:$R$200,'Summary Data'!$A53,'Data entry'!$B$6:$B$200,{"Confirmed";"Probable"},'Data entry'!$AQ$6:$AQ$200,'Data Validation'!$V$11, 'Data entry'!$AP$6:$AP$200,'Data Validation'!$U$4, 'Data entry'!$BD$6:$BD$200,"&lt;&gt;*Negative*"))</f>
        <v>0</v>
      </c>
      <c r="CB53" s="15">
        <f>SUM(COUNTIFS('Data entry'!$R$6:$R$200,'Summary Data'!$A53,'Data entry'!$B$6:$B$200,{"Confirmed";"Probable"},'Data entry'!$AQ$6:$AQ$200,'Data Validation'!$V$11, 'Data entry'!$AP$6:$AP$200,'Data Validation'!$U$5, 'Data entry'!$BD$6:$BD$200,"&lt;&gt;*Negative*"))</f>
        <v>0</v>
      </c>
      <c r="CC53" s="15">
        <f>SUM(COUNTIFS('Data entry'!$R$6:$R$200,'Summary Data'!$A53,'Data entry'!$B$6:$B$200,{"Confirmed";"Probable"},'Data entry'!$AQ$6:$AQ$200,'Data Validation'!$V$11, 'Data entry'!$AP$6:$AP$200,'Data Validation'!$U$6, 'Data entry'!$BD$6:$BD$200,"&lt;&gt;*Negative*"))</f>
        <v>0</v>
      </c>
    </row>
    <row r="54" spans="1:81" x14ac:dyDescent="0.25">
      <c r="A54" s="12">
        <f t="shared" si="5"/>
        <v>42</v>
      </c>
      <c r="B54" s="13">
        <f t="shared" si="2"/>
        <v>0</v>
      </c>
      <c r="C54" s="13">
        <f>COUNTIFS('Data entry'!$R$6:$R$200,$A54,'Data entry'!$B$6:$B$200,"Confirmed",'Data entry'!$BD$6:$BD$200,"&lt;&gt;*Negative*")</f>
        <v>0</v>
      </c>
      <c r="D54" s="13">
        <f>COUNTIFS('Data entry'!$R$6:$R$200,$A54,'Data entry'!$B$6:$B$200,"Probable",'Data entry'!$BD$6:$BD$200,"&lt;&gt;*Negative*")</f>
        <v>0</v>
      </c>
      <c r="E54" s="13">
        <f>COUNTIFS('Data entry'!$R$6:$R$200,$A54,'Data entry'!$B$6:$B$200,"DNM")</f>
        <v>0</v>
      </c>
      <c r="F54" s="13">
        <f>SUM(COUNTIFS('Data entry'!$R$6:$R$200,'Summary Data'!$A54,'Data entry'!$B$6:$B$200,{"Confirmed";"Probable"},'Data entry'!$AO$6:$AO$200,$F$10, 'Data entry'!$BD$6:$BD$200,"&lt;&gt;*Negative*"))</f>
        <v>0</v>
      </c>
      <c r="G54" s="13">
        <f>SUM(COUNTIFS('Data entry'!$R$6:$R$200,'Summary Data'!$A54,'Data entry'!$B$6:$B$200,{"Confirmed";"Probable"},'Data entry'!$AO$6:$AO$200,$G$10, 'Data entry'!$BD$6:$BD$200,"&lt;&gt;*Negative*"))</f>
        <v>0</v>
      </c>
      <c r="H54" s="13">
        <f>SUM(COUNTIFS('Data entry'!$R$6:$R$200,'Summary Data'!$A54,'Data entry'!$B$6:$B$200,{"Confirmed";"Probable"},'Data entry'!$AO$6:$AO$200,$H$10, 'Data entry'!$BD$6:$BD$200,"&lt;&gt;*Negative*"))</f>
        <v>0</v>
      </c>
      <c r="I54" s="13">
        <f>SUM(COUNTIFS('Data entry'!$R$6:$R$200,'Summary Data'!$A54,'Data entry'!$B$6:$B$200,{"Confirmed";"Probable"},'Data entry'!$AO$6:$AO$200,$I$10, 'Data entry'!$BD$6:$BD$200,"&lt;&gt;*Negative*"))</f>
        <v>0</v>
      </c>
      <c r="J54" s="13">
        <f>SUM(COUNTIFS('Data entry'!$R$6:$R$200,'Summary Data'!$A54,'Data entry'!$B$6:$B$200,{"Confirmed";"Probable"},'Data entry'!$AO$6:$AO$200,$J$10, 'Data entry'!$BD$6:$BD$200,"&lt;&gt;*Negative*"))</f>
        <v>0</v>
      </c>
      <c r="K54" s="13">
        <f>SUM(COUNTIFS('Data entry'!$R$6:$R$200,'Summary Data'!$A54,'Data entry'!$B$6:$B$200,{"Confirmed";"Probable"},'Data entry'!$AO$6:$AO$200,$K$10, 'Data entry'!$BD$6:$BD$200,"&lt;&gt;*Negative*"))</f>
        <v>0</v>
      </c>
      <c r="L54" s="13">
        <f>SUM(COUNTIFS('Data entry'!$R$6:$R$200,'Summary Data'!$A54,'Data entry'!$B$6:$B$200,{"Confirmed";"Probable"},'Data entry'!$AO$6:$AO$200,$L$10, 'Data entry'!$BD$6:$BD$200,"&lt;&gt;*Negative*"))</f>
        <v>0</v>
      </c>
      <c r="M54" s="13">
        <f>SUM(COUNTIFS('Data entry'!$R$6:$R$200,'Summary Data'!$A54,'Data entry'!$B$6:$B$200,{"Confirmed";"Probable"},'Data entry'!$AO$6:$AO$200,$M$10, 'Data entry'!$BD$6:$BD$200,"&lt;&gt;*Negative*"))</f>
        <v>0</v>
      </c>
      <c r="N54" s="13">
        <f>SUM(COUNTIFS('Data entry'!$R$6:$R$200,'Summary Data'!$A54,'Data entry'!$B$6:$B$200,{"Confirmed";"Probable"},'Data entry'!$AO$6:$AO$200,$N$10, 'Data entry'!$BD$6:$BD$200,"&lt;&gt;*Negative*"))</f>
        <v>0</v>
      </c>
      <c r="O54" s="15">
        <f t="shared" si="3"/>
        <v>0</v>
      </c>
      <c r="P54" s="15">
        <f t="shared" si="4"/>
        <v>0</v>
      </c>
      <c r="Q54" s="15">
        <f>SUM(COUNTIFS('Data entry'!$R$6:$R$200,'Summary Data'!$A54,'Data entry'!$B$6:$B$200,{"Confirmed";"Probable"},'Data entry'!$AP$6:$AP$200,'Data Validation'!$U$2, 'Data entry'!$BD$6:$BD$200,"&lt;&gt;*Negative*"))</f>
        <v>0</v>
      </c>
      <c r="R54" s="15">
        <f>SUM(COUNTIFS('Data entry'!$R$6:$R$200,'Summary Data'!$A54,'Data entry'!$B$6:$B$200,{"Confirmed";"Probable"},'Data entry'!$AP$6:$AP$200,'Data Validation'!$U$3, 'Data entry'!$BD$6:$BD$200,"&lt;&gt;*Negative*"))</f>
        <v>0</v>
      </c>
      <c r="S54" s="15">
        <f>SUM(COUNTIFS('Data entry'!$R$6:$R$200,'Summary Data'!$A54,'Data entry'!$B$6:$B$200,{"Confirmed";"Probable"},'Data entry'!$AP$6:$AP$200,'Data Validation'!$U$4, 'Data entry'!$BD$6:$BD$200,"&lt;&gt;*Negative*"))</f>
        <v>0</v>
      </c>
      <c r="T54" s="15">
        <f>SUM(COUNTIFS('Data entry'!$R$6:$R$200,'Summary Data'!$A54,'Data entry'!$B$6:$B$200,{"Confirmed";"Probable"},'Data entry'!$AP$6:$AP$200,'Data Validation'!$U$5, 'Data entry'!$BD$6:$BD$200,"&lt;&gt;*Negative*"))</f>
        <v>0</v>
      </c>
      <c r="U54" s="15">
        <f>SUM(COUNTIFS('Data entry'!$R$6:$R$200,'Summary Data'!$A54,'Data entry'!$B$6:$B$200,{"Confirmed";"Probable"},'Data entry'!$AP$6:$AP$200,'Data Validation'!$U$6, 'Data entry'!$BD$6:$BD$200,"&lt;&gt;*Negative*"))</f>
        <v>0</v>
      </c>
      <c r="V54" s="15">
        <f>SUM(COUNTIFS('Data entry'!$R$6:$R$200,'Summary Data'!$A54,'Data entry'!$B$6:$B$200,{"Confirmed";"Probable"},'Data entry'!$AQ$6:$AQ$200,'Data Validation'!$V$2, 'Data entry'!$BD$6:$BD$200,"&lt;&gt;*Negative*"))</f>
        <v>0</v>
      </c>
      <c r="W54" s="15">
        <f>SUM(COUNTIFS('Data entry'!$R$6:$R$200,'Summary Data'!$A54,'Data entry'!$B$6:$B$200,{"Confirmed";"Probable"},'Data entry'!$AQ$6:$AQ$200,'Data Validation'!$V$3, 'Data entry'!$BD$6:$BD$200,"&lt;&gt;*Negative*"))</f>
        <v>0</v>
      </c>
      <c r="X54" s="15">
        <f>SUM(COUNTIFS('Data entry'!$R$6:$R$200,'Summary Data'!$A54,'Data entry'!$B$6:$B$200,{"Confirmed";"Probable"},'Data entry'!$AQ$6:$AQ$200,'Data Validation'!$V$4, 'Data entry'!$BD$6:$BD$200,"&lt;&gt;*Negative*"))</f>
        <v>0</v>
      </c>
      <c r="Y54" s="15">
        <f>SUM(COUNTIFS('Data entry'!$R$6:$R$200,'Summary Data'!$A54,'Data entry'!$B$6:$B$200,{"Confirmed";"Probable"},'Data entry'!$AQ$6:$AQ$200,'Data Validation'!$V$5, 'Data entry'!$BD$6:$BD$200,"&lt;&gt;*Negative*"))</f>
        <v>0</v>
      </c>
      <c r="Z54" s="15">
        <f>SUM(COUNTIFS('Data entry'!$R$6:$R$200,'Summary Data'!$A54,'Data entry'!$B$6:$B$200,{"Confirmed";"Probable"},'Data entry'!$AQ$6:$AQ$200,'Data Validation'!$V$6, 'Data entry'!$BD$6:$BD$200,"&lt;&gt;*Negative*"))</f>
        <v>0</v>
      </c>
      <c r="AA54" s="15">
        <f>SUM(COUNTIFS('Data entry'!$R$6:$R$200,'Summary Data'!$A54,'Data entry'!$B$6:$B$200,{"Confirmed";"Probable"},'Data entry'!$AQ$6:$AQ$200,'Data Validation'!$V$7, 'Data entry'!$BD$6:$BD$200,"&lt;&gt;*Negative*"))</f>
        <v>0</v>
      </c>
      <c r="AB54" s="15">
        <f>SUM(COUNTIFS('Data entry'!$R$6:$R$200,'Summary Data'!$A54,'Data entry'!$B$6:$B$200,{"Confirmed";"Probable"},'Data entry'!$AQ$6:$AQ$200,'Data Validation'!$V$8, 'Data entry'!$BD$6:$BD$200,"&lt;&gt;*Negative*"))</f>
        <v>0</v>
      </c>
      <c r="AC54" s="15">
        <f>SUM(COUNTIFS('Data entry'!$R$6:$R$200,'Summary Data'!$A54,'Data entry'!$B$6:$B$200,{"Confirmed";"Probable"},'Data entry'!$AQ$6:$AQ$200,'Data Validation'!$V$9, 'Data entry'!$BD$6:$BD$200,"&lt;&gt;*Negative*"))</f>
        <v>0</v>
      </c>
      <c r="AD54" s="15">
        <f>SUM(COUNTIFS('Data entry'!$R$6:$R$200,'Summary Data'!$A54,'Data entry'!$B$6:$B$200,{"Confirmed";"Probable"},'Data entry'!$AQ$6:$AQ$200,'Data Validation'!$V$10, 'Data entry'!$BD$6:$BD$200,"&lt;&gt;*Negative*"))</f>
        <v>0</v>
      </c>
      <c r="AE54" s="15">
        <f>SUM(COUNTIFS('Data entry'!$R$6:$R$200,'Summary Data'!$A54,'Data entry'!$B$6:$B$200,{"Confirmed";"Probable"},'Data entry'!$AQ$6:$AQ$200,'Data Validation'!$V$11, 'Data entry'!$BD$6:$BD$200,"&lt;&gt;*Negative*"))</f>
        <v>0</v>
      </c>
      <c r="AF54" s="15">
        <f>SUM(COUNTIFS('Data entry'!$R$6:$R$200,'Summary Data'!$A54,'Data entry'!$B$6:$B$200,{"Confirmed";"Probable"},'Data entry'!$AQ$6:$AQ$200,'Data Validation'!$V$2, 'Data entry'!$AP$6:$AP$200,'Data Validation'!$U$2, 'Data entry'!$BD$6:$BD$200,"&lt;&gt;*Negative*"))</f>
        <v>0</v>
      </c>
      <c r="AG54" s="15">
        <f>SUM(COUNTIFS('Data entry'!$R$6:$R$200,'Summary Data'!$A54,'Data entry'!$B$6:$B$200,{"Confirmed";"Probable"},'Data entry'!$AQ$6:$AQ$200,'Data Validation'!$V$2, 'Data entry'!$AP$6:$AP$200,'Data Validation'!$U$3, 'Data entry'!$BD$6:$BD$200,"&lt;&gt;*Negative*"))</f>
        <v>0</v>
      </c>
      <c r="AH54" s="15">
        <f>SUM(COUNTIFS('Data entry'!$R$6:$R$200,'Summary Data'!$A54,'Data entry'!$B$6:$B$200,{"Confirmed";"Probable"},'Data entry'!$AQ$6:$AQ$200,'Data Validation'!$V$2, 'Data entry'!$AP$6:$AP$200,'Data Validation'!$U$4, 'Data entry'!$BD$6:$BD$200,"&lt;&gt;*Negative*"))</f>
        <v>0</v>
      </c>
      <c r="AI54" s="15">
        <f>SUM(COUNTIFS('Data entry'!$R$6:$R$200,'Summary Data'!$A54,'Data entry'!$B$6:$B$200,{"Confirmed";"Probable"},'Data entry'!$AQ$6:$AQ$200,'Data Validation'!$V$2, 'Data entry'!$AP$6:$AP$200,'Data Validation'!$U$5, 'Data entry'!$BD$6:$BD$200,"&lt;&gt;*Negative*"))</f>
        <v>0</v>
      </c>
      <c r="AJ54" s="15">
        <f>SUM(COUNTIFS('Data entry'!$R$6:$R$200,'Summary Data'!$A54,'Data entry'!$B$6:$B$200,{"Confirmed";"Probable"},'Data entry'!$AQ$6:$AQ$200,'Data Validation'!$V$2, 'Data entry'!$AP$6:$AP$200,'Data Validation'!$U$6, 'Data entry'!$BD$6:$BD$200,"&lt;&gt;*Negative*"))</f>
        <v>0</v>
      </c>
      <c r="AK54" s="15">
        <f>SUM(COUNTIFS('Data entry'!$R$6:$R$200,'Summary Data'!$A54,'Data entry'!$B$6:$B$200,{"Confirmed";"Probable"},'Data entry'!$AQ$6:$AQ$200,'Data Validation'!$V$3, 'Data entry'!$AP$6:$AP$200,'Data Validation'!$U$2, 'Data entry'!$BD$6:$BD$200,"&lt;&gt;*Negative*"))</f>
        <v>0</v>
      </c>
      <c r="AL54" s="15">
        <f>SUM(COUNTIFS('Data entry'!$R$6:$R$200,'Summary Data'!$A54,'Data entry'!$B$6:$B$200,{"Confirmed";"Probable"},'Data entry'!$AQ$6:$AQ$200,'Data Validation'!$V$3, 'Data entry'!$AP$6:$AP$200,'Data Validation'!$U$3, 'Data entry'!$BD$6:$BD$200,"&lt;&gt;*Negative*"))</f>
        <v>0</v>
      </c>
      <c r="AM54" s="15">
        <f>SUM(COUNTIFS('Data entry'!$R$6:$R$200,'Summary Data'!$A54,'Data entry'!$B$6:$B$200,{"Confirmed";"Probable"},'Data entry'!$AQ$6:$AQ$200,'Data Validation'!$V$3, 'Data entry'!$AP$6:$AP$200,'Data Validation'!$U$4, 'Data entry'!$BD$6:$BD$200,"&lt;&gt;*Negative*"))</f>
        <v>0</v>
      </c>
      <c r="AN54" s="15">
        <f>SUM(COUNTIFS('Data entry'!$R$6:$R$200,'Summary Data'!$A54,'Data entry'!$B$6:$B$200,{"Confirmed";"Probable"},'Data entry'!$AQ$6:$AQ$200,'Data Validation'!$V$3, 'Data entry'!$AP$6:$AP$200,'Data Validation'!$U$5, 'Data entry'!$BD$6:$BD$200,"&lt;&gt;*Negative*"))</f>
        <v>0</v>
      </c>
      <c r="AO54" s="15">
        <f>SUM(COUNTIFS('Data entry'!$R$6:$R$200,'Summary Data'!$A54,'Data entry'!$B$6:$B$200,{"Confirmed";"Probable"},'Data entry'!$AQ$6:$AQ$200,'Data Validation'!$V$3, 'Data entry'!$AP$6:$AP$200,'Data Validation'!$U$6, 'Data entry'!$BD$6:$BD$200,"&lt;&gt;*Negative*"))</f>
        <v>0</v>
      </c>
      <c r="AP54" s="15">
        <f>SUM(COUNTIFS('Data entry'!$R$6:$R$200,'Summary Data'!$A54,'Data entry'!$B$6:$B$200,{"Confirmed";"Probable"},'Data entry'!$AQ$6:$AQ$200,'Data Validation'!$V$4, 'Data entry'!$AP$6:$AP$200,'Data Validation'!$U$2, 'Data entry'!$BD$6:$BD$200,"&lt;&gt;*Negative*"))</f>
        <v>0</v>
      </c>
      <c r="AQ54" s="15">
        <f>SUM(COUNTIFS('Data entry'!$R$6:$R$200,'Summary Data'!$A54,'Data entry'!$B$6:$B$200,{"Confirmed";"Probable"},'Data entry'!$AQ$6:$AQ$200,'Data Validation'!$V$4, 'Data entry'!$AP$6:$AP$200,'Data Validation'!$U$3, 'Data entry'!$BD$6:$BD$200,"&lt;&gt;*Negative*"))</f>
        <v>0</v>
      </c>
      <c r="AR54" s="15">
        <f>SUM(COUNTIFS('Data entry'!$R$6:$R$200,'Summary Data'!$A54,'Data entry'!$B$6:$B$200,{"Confirmed";"Probable"},'Data entry'!$AQ$6:$AQ$200,'Data Validation'!$V$4, 'Data entry'!$AP$6:$AP$200,'Data Validation'!$U$4, 'Data entry'!$BD$6:$BD$200,"&lt;&gt;*Negative*"))</f>
        <v>0</v>
      </c>
      <c r="AS54" s="15">
        <f>SUM(COUNTIFS('Data entry'!$R$6:$R$200,'Summary Data'!$A54,'Data entry'!$B$6:$B$200,{"Confirmed";"Probable"},'Data entry'!$AQ$6:$AQ$200,'Data Validation'!$V$4, 'Data entry'!$AP$6:$AP$200,'Data Validation'!$U$5, 'Data entry'!$BD$6:$BD$200,"&lt;&gt;*Negative*"))</f>
        <v>0</v>
      </c>
      <c r="AT54" s="15">
        <f>SUM(COUNTIFS('Data entry'!$R$6:$R$200,'Summary Data'!$A54,'Data entry'!$B$6:$B$200,{"Confirmed";"Probable"},'Data entry'!$AQ$6:$AQ$200,'Data Validation'!$V$4, 'Data entry'!$AP$6:$AP$200,'Data Validation'!$U$6, 'Data entry'!$BD$6:$BD$200,"&lt;&gt;*Negative*"))</f>
        <v>0</v>
      </c>
      <c r="AU54" s="15">
        <f>SUM(COUNTIFS('Data entry'!$R$6:$R$200,'Summary Data'!$A54,'Data entry'!$B$6:$B$200,{"Confirmed";"Probable"},'Data entry'!$AQ$6:$AQ$200,'Data Validation'!$V$5, 'Data entry'!$AP$6:$AP$200,'Data Validation'!$U$2, 'Data entry'!$BD$6:$BD$200,"&lt;&gt;*Negative*"))</f>
        <v>0</v>
      </c>
      <c r="AV54" s="15">
        <f>SUM(COUNTIFS('Data entry'!$R$6:$R$200,'Summary Data'!$A54,'Data entry'!$B$6:$B$200,{"Confirmed";"Probable"},'Data entry'!$AQ$6:$AQ$200,'Data Validation'!$V$5, 'Data entry'!$AP$6:$AP$200,'Data Validation'!$U$3, 'Data entry'!$BD$6:$BD$200,"&lt;&gt;*Negative*"))</f>
        <v>0</v>
      </c>
      <c r="AW54" s="15">
        <f>SUM(COUNTIFS('Data entry'!$R$6:$R$200,'Summary Data'!$A54,'Data entry'!$B$6:$B$200,{"Confirmed";"Probable"},'Data entry'!$AQ$6:$AQ$200,'Data Validation'!$V$5, 'Data entry'!$AP$6:$AP$200,'Data Validation'!$U$4, 'Data entry'!$BD$6:$BD$200,"&lt;&gt;*Negative*"))</f>
        <v>0</v>
      </c>
      <c r="AX54" s="15">
        <f>SUM(COUNTIFS('Data entry'!$R$6:$R$200,'Summary Data'!$A54,'Data entry'!$B$6:$B$200,{"Confirmed";"Probable"},'Data entry'!$AQ$6:$AQ$200,'Data Validation'!$V$5, 'Data entry'!$AP$6:$AP$200,'Data Validation'!$U$5, 'Data entry'!$BD$6:$BD$200,"&lt;&gt;*Negative*"))</f>
        <v>0</v>
      </c>
      <c r="AY54" s="15">
        <f>SUM(COUNTIFS('Data entry'!$R$6:$R$200,'Summary Data'!$A54,'Data entry'!$B$6:$B$200,{"Confirmed";"Probable"},'Data entry'!$AQ$6:$AQ$200,'Data Validation'!$V$5, 'Data entry'!$AP$6:$AP$200,'Data Validation'!$U$6, 'Data entry'!$BD$6:$BD$200,"&lt;&gt;*Negative*"))</f>
        <v>0</v>
      </c>
      <c r="AZ54" s="15">
        <f>SUM(COUNTIFS('Data entry'!$R$6:$R$200,'Summary Data'!$A54,'Data entry'!$B$6:$B$200,{"Confirmed";"Probable"},'Data entry'!$AQ$6:$AQ$200,'Data Validation'!$V$6, 'Data entry'!$AP$6:$AP$200,'Data Validation'!$U$2, 'Data entry'!$BD$6:$BD$200,"&lt;&gt;*Negative*"))</f>
        <v>0</v>
      </c>
      <c r="BA54" s="15">
        <f>SUM(COUNTIFS('Data entry'!$R$6:$R$200,'Summary Data'!$A54,'Data entry'!$B$6:$B$200,{"Confirmed";"Probable"},'Data entry'!$AQ$6:$AQ$200,'Data Validation'!$V$6, 'Data entry'!$AP$6:$AP$200,'Data Validation'!$U$3, 'Data entry'!$BD$6:$BD$200,"&lt;&gt;*Negative*"))</f>
        <v>0</v>
      </c>
      <c r="BB54" s="15">
        <f>SUM(COUNTIFS('Data entry'!$R$6:$R$200,'Summary Data'!$A54,'Data entry'!$B$6:$B$200,{"Confirmed";"Probable"},'Data entry'!$AQ$6:$AQ$200,'Data Validation'!$V$6, 'Data entry'!$AP$6:$AP$200,'Data Validation'!$U$4, 'Data entry'!$BD$6:$BD$200,"&lt;&gt;*Negative*"))</f>
        <v>0</v>
      </c>
      <c r="BC54" s="15">
        <f>SUM(COUNTIFS('Data entry'!$R$6:$R$200,'Summary Data'!$A54,'Data entry'!$B$6:$B$200,{"Confirmed";"Probable"},'Data entry'!$AQ$6:$AQ$200,'Data Validation'!$V$6, 'Data entry'!$AP$6:$AP$200,'Data Validation'!$U$5, 'Data entry'!$BD$6:$BD$200,"&lt;&gt;*Negative*"))</f>
        <v>0</v>
      </c>
      <c r="BD54" s="15">
        <f>SUM(COUNTIFS('Data entry'!$R$6:$R$200,'Summary Data'!$A54,'Data entry'!$B$6:$B$200,{"Confirmed";"Probable"},'Data entry'!$AQ$6:$AQ$200,'Data Validation'!$V$6, 'Data entry'!$AP$6:$AP$200,'Data Validation'!$U$6, 'Data entry'!$BD$6:$BD$200,"&lt;&gt;*Negative*"))</f>
        <v>0</v>
      </c>
      <c r="BE54" s="15">
        <f>SUM(COUNTIFS('Data entry'!$R$6:$R$200,'Summary Data'!$A54,'Data entry'!$B$6:$B$200,{"Confirmed";"Probable"},'Data entry'!$AQ$6:$AQ$200,'Data Validation'!$V$7, 'Data entry'!$AP$6:$AP$200,'Data Validation'!$U$2, 'Data entry'!$BD$6:$BD$200,"&lt;&gt;*Negative*"))</f>
        <v>0</v>
      </c>
      <c r="BF54" s="15">
        <f>SUM(COUNTIFS('Data entry'!$R$6:$R$200,'Summary Data'!$A54,'Data entry'!$B$6:$B$200,{"Confirmed";"Probable"},'Data entry'!$AQ$6:$AQ$200,'Data Validation'!$V$7, 'Data entry'!$AP$6:$AP$200,'Data Validation'!$U$3, 'Data entry'!$BD$6:$BD$200,"&lt;&gt;*Negative*"))</f>
        <v>0</v>
      </c>
      <c r="BG54" s="15">
        <f>SUM(COUNTIFS('Data entry'!$R$6:$R$200,'Summary Data'!$A54,'Data entry'!$B$6:$B$200,{"Confirmed";"Probable"},'Data entry'!$AQ$6:$AQ$200,'Data Validation'!$V$7, 'Data entry'!$AP$6:$AP$200,'Data Validation'!$U$4, 'Data entry'!$BD$6:$BD$200,"&lt;&gt;*Negative*"))</f>
        <v>0</v>
      </c>
      <c r="BH54" s="15">
        <f>SUM(COUNTIFS('Data entry'!$R$6:$R$200,'Summary Data'!$A54,'Data entry'!$B$6:$B$200,{"Confirmed";"Probable"},'Data entry'!$AQ$6:$AQ$200,'Data Validation'!$V$7, 'Data entry'!$AP$6:$AP$200,'Data Validation'!$U$5, 'Data entry'!$BD$6:$BD$200,"&lt;&gt;*Negative*"))</f>
        <v>0</v>
      </c>
      <c r="BI54" s="15">
        <f>SUM(COUNTIFS('Data entry'!$R$6:$R$200,'Summary Data'!$A54,'Data entry'!$B$6:$B$200,{"Confirmed";"Probable"},'Data entry'!$AQ$6:$AQ$200,'Data Validation'!$V$7, 'Data entry'!$AP$6:$AP$200,'Data Validation'!$U$6, 'Data entry'!$BD$6:$BD$200,"&lt;&gt;*Negative*"))</f>
        <v>0</v>
      </c>
      <c r="BJ54" s="15">
        <f>SUM(COUNTIFS('Data entry'!$R$6:$R$200,'Summary Data'!$A54,'Data entry'!$B$6:$B$200,{"Confirmed";"Probable"},'Data entry'!$AQ$6:$AQ$200,'Data Validation'!$V$8, 'Data entry'!$AP$6:$AP$200,'Data Validation'!$U$2, 'Data entry'!$BD$6:$BD$200,"&lt;&gt;*Negative*"))</f>
        <v>0</v>
      </c>
      <c r="BK54" s="15">
        <f>SUM(COUNTIFS('Data entry'!$R$6:$R$200,'Summary Data'!$A54,'Data entry'!$B$6:$B$200,{"Confirmed";"Probable"},'Data entry'!$AQ$6:$AQ$200,'Data Validation'!$V$8, 'Data entry'!$AP$6:$AP$200,'Data Validation'!$U$3, 'Data entry'!$BD$6:$BD$200,"&lt;&gt;*Negative*"))</f>
        <v>0</v>
      </c>
      <c r="BL54" s="15">
        <f>SUM(COUNTIFS('Data entry'!$R$6:$R$200,'Summary Data'!$A54,'Data entry'!$B$6:$B$200,{"Confirmed";"Probable"},'Data entry'!$AQ$6:$AQ$200,'Data Validation'!$V$8, 'Data entry'!$AP$6:$AP$200,'Data Validation'!$U$4, 'Data entry'!$BD$6:$BD$200,"&lt;&gt;*Negative*"))</f>
        <v>0</v>
      </c>
      <c r="BM54" s="15">
        <f>SUM(COUNTIFS('Data entry'!$R$6:$R$200,'Summary Data'!$A54,'Data entry'!$B$6:$B$200,{"Confirmed";"Probable"},'Data entry'!$AQ$6:$AQ$200,'Data Validation'!$V$8, 'Data entry'!$AP$6:$AP$200,'Data Validation'!$U$5, 'Data entry'!$BD$6:$BD$200,"&lt;&gt;*Negative*"))</f>
        <v>0</v>
      </c>
      <c r="BN54" s="15">
        <f>SUM(COUNTIFS('Data entry'!$R$6:$R$200,'Summary Data'!$A54,'Data entry'!$B$6:$B$200,{"Confirmed";"Probable"},'Data entry'!$AQ$6:$AQ$200,'Data Validation'!$V$8, 'Data entry'!$AP$6:$AP$200,'Data Validation'!$U$6, 'Data entry'!$BD$6:$BD$200,"&lt;&gt;*Negative*"))</f>
        <v>0</v>
      </c>
      <c r="BO54" s="15">
        <f>SUM(COUNTIFS('Data entry'!$R$6:$R$200,'Summary Data'!$A54,'Data entry'!$B$6:$B$200,{"Confirmed";"Probable"},'Data entry'!$AQ$6:$AQ$200,'Data Validation'!$V$9, 'Data entry'!$AP$6:$AP$200,'Data Validation'!$U$2, 'Data entry'!$BD$6:$BD$200,"&lt;&gt;*Negative*"))</f>
        <v>0</v>
      </c>
      <c r="BP54" s="15">
        <f>SUM(COUNTIFS('Data entry'!$R$6:$R$200,'Summary Data'!$A54,'Data entry'!$B$6:$B$200,{"Confirmed";"Probable"},'Data entry'!$AQ$6:$AQ$200,'Data Validation'!$V$9, 'Data entry'!$AP$6:$AP$200,'Data Validation'!$U$3, 'Data entry'!$BD$6:$BD$200,"&lt;&gt;*Negative*"))</f>
        <v>0</v>
      </c>
      <c r="BQ54" s="15">
        <f>SUM(COUNTIFS('Data entry'!$R$6:$R$200,'Summary Data'!$A54,'Data entry'!$B$6:$B$200,{"Confirmed";"Probable"},'Data entry'!$AQ$6:$AQ$200,'Data Validation'!$V$9, 'Data entry'!$AP$6:$AP$200,'Data Validation'!$U$4, 'Data entry'!$BD$6:$BD$200,"&lt;&gt;*Negative*"))</f>
        <v>0</v>
      </c>
      <c r="BR54" s="15">
        <f>SUM(COUNTIFS('Data entry'!$R$6:$R$200,'Summary Data'!$A54,'Data entry'!$B$6:$B$200,{"Confirmed";"Probable"},'Data entry'!$AQ$6:$AQ$200,'Data Validation'!$V$9, 'Data entry'!$AP$6:$AP$200,'Data Validation'!$U$5, 'Data entry'!$BD$6:$BD$200,"&lt;&gt;*Negative*"))</f>
        <v>0</v>
      </c>
      <c r="BS54" s="15">
        <f>SUM(COUNTIFS('Data entry'!$R$6:$R$200,'Summary Data'!$A54,'Data entry'!$B$6:$B$200,{"Confirmed";"Probable"},'Data entry'!$AQ$6:$AQ$200,'Data Validation'!$V$9, 'Data entry'!$AP$6:$AP$200,'Data Validation'!$U$6, 'Data entry'!$BD$6:$BD$200,"&lt;&gt;*Negative*"))</f>
        <v>0</v>
      </c>
      <c r="BT54" s="15">
        <f>SUM(COUNTIFS('Data entry'!$R$6:$R$200,'Summary Data'!$A54,'Data entry'!$B$6:$B$200,{"Confirmed";"Probable"},'Data entry'!$AQ$6:$AQ$200,'Data Validation'!$V$10, 'Data entry'!$AP$6:$AP$200,'Data Validation'!$U$2, 'Data entry'!$BD$6:$BD$200,"&lt;&gt;*Negative*"))</f>
        <v>0</v>
      </c>
      <c r="BU54" s="15">
        <f>SUM(COUNTIFS('Data entry'!$R$6:$R$200,'Summary Data'!$A54,'Data entry'!$B$6:$B$200,{"Confirmed";"Probable"},'Data entry'!$AQ$6:$AQ$200,'Data Validation'!$V$10, 'Data entry'!$AP$6:$AP$200,'Data Validation'!$U$3, 'Data entry'!$BD$6:$BD$200,"&lt;&gt;*Negative*"))</f>
        <v>0</v>
      </c>
      <c r="BV54" s="15">
        <f>SUM(COUNTIFS('Data entry'!$R$6:$R$200,'Summary Data'!$A54,'Data entry'!$B$6:$B$200,{"Confirmed";"Probable"},'Data entry'!$AQ$6:$AQ$200,'Data Validation'!$V$10, 'Data entry'!$AP$6:$AP$200,'Data Validation'!$U$4, 'Data entry'!$BD$6:$BD$200,"&lt;&gt;*Negative*"))</f>
        <v>0</v>
      </c>
      <c r="BW54" s="15">
        <f>SUM(COUNTIFS('Data entry'!$R$6:$R$200,'Summary Data'!$A54,'Data entry'!$B$6:$B$200,{"Confirmed";"Probable"},'Data entry'!$AQ$6:$AQ$200,'Data Validation'!$V$10, 'Data entry'!$AP$6:$AP$200,'Data Validation'!$U$5, 'Data entry'!$BD$6:$BD$200,"&lt;&gt;*Negative*"))</f>
        <v>0</v>
      </c>
      <c r="BX54" s="15">
        <f>SUM(COUNTIFS('Data entry'!$R$6:$R$200,'Summary Data'!$A54,'Data entry'!$B$6:$B$200,{"Confirmed";"Probable"},'Data entry'!$AQ$6:$AQ$200,'Data Validation'!$V$10, 'Data entry'!$AP$6:$AP$200,'Data Validation'!$U$6, 'Data entry'!$BD$6:$BD$200,"&lt;&gt;*Negative*"))</f>
        <v>0</v>
      </c>
      <c r="BY54" s="15">
        <f>SUM(COUNTIFS('Data entry'!$R$6:$R$200,'Summary Data'!$A54,'Data entry'!$B$6:$B$200,{"Confirmed";"Probable"},'Data entry'!$AQ$6:$AQ$200,'Data Validation'!$V$11, 'Data entry'!$AP$6:$AP$200,'Data Validation'!$U$2, 'Data entry'!$BD$6:$BD$200,"&lt;&gt;*Negative*"))</f>
        <v>0</v>
      </c>
      <c r="BZ54" s="15">
        <f>SUM(COUNTIFS('Data entry'!$R$6:$R$200,'Summary Data'!$A54,'Data entry'!$B$6:$B$200,{"Confirmed";"Probable"},'Data entry'!$AQ$6:$AQ$200,'Data Validation'!$V$11, 'Data entry'!$AP$6:$AP$200,'Data Validation'!$U$3, 'Data entry'!$BD$6:$BD$200,"&lt;&gt;*Negative*"))</f>
        <v>0</v>
      </c>
      <c r="CA54" s="15">
        <f>SUM(COUNTIFS('Data entry'!$R$6:$R$200,'Summary Data'!$A54,'Data entry'!$B$6:$B$200,{"Confirmed";"Probable"},'Data entry'!$AQ$6:$AQ$200,'Data Validation'!$V$11, 'Data entry'!$AP$6:$AP$200,'Data Validation'!$U$4, 'Data entry'!$BD$6:$BD$200,"&lt;&gt;*Negative*"))</f>
        <v>0</v>
      </c>
      <c r="CB54" s="15">
        <f>SUM(COUNTIFS('Data entry'!$R$6:$R$200,'Summary Data'!$A54,'Data entry'!$B$6:$B$200,{"Confirmed";"Probable"},'Data entry'!$AQ$6:$AQ$200,'Data Validation'!$V$11, 'Data entry'!$AP$6:$AP$200,'Data Validation'!$U$5, 'Data entry'!$BD$6:$BD$200,"&lt;&gt;*Negative*"))</f>
        <v>0</v>
      </c>
      <c r="CC54" s="15">
        <f>SUM(COUNTIFS('Data entry'!$R$6:$R$200,'Summary Data'!$A54,'Data entry'!$B$6:$B$200,{"Confirmed";"Probable"},'Data entry'!$AQ$6:$AQ$200,'Data Validation'!$V$11, 'Data entry'!$AP$6:$AP$200,'Data Validation'!$U$6, 'Data entry'!$BD$6:$BD$200,"&lt;&gt;*Negative*"))</f>
        <v>0</v>
      </c>
    </row>
    <row r="55" spans="1:81" x14ac:dyDescent="0.25">
      <c r="A55" s="12">
        <f t="shared" si="5"/>
        <v>43</v>
      </c>
      <c r="B55" s="13">
        <f t="shared" si="2"/>
        <v>0</v>
      </c>
      <c r="C55" s="13">
        <f>COUNTIFS('Data entry'!$R$6:$R$200,$A55,'Data entry'!$B$6:$B$200,"Confirmed",'Data entry'!$BD$6:$BD$200,"&lt;&gt;*Negative*")</f>
        <v>0</v>
      </c>
      <c r="D55" s="13">
        <f>COUNTIFS('Data entry'!$R$6:$R$200,$A55,'Data entry'!$B$6:$B$200,"Probable",'Data entry'!$BD$6:$BD$200,"&lt;&gt;*Negative*")</f>
        <v>0</v>
      </c>
      <c r="E55" s="13">
        <f>COUNTIFS('Data entry'!$R$6:$R$200,$A55,'Data entry'!$B$6:$B$200,"DNM")</f>
        <v>0</v>
      </c>
      <c r="F55" s="13">
        <f>SUM(COUNTIFS('Data entry'!$R$6:$R$200,'Summary Data'!$A55,'Data entry'!$B$6:$B$200,{"Confirmed";"Probable"},'Data entry'!$AO$6:$AO$200,$F$10, 'Data entry'!$BD$6:$BD$200,"&lt;&gt;*Negative*"))</f>
        <v>0</v>
      </c>
      <c r="G55" s="13">
        <f>SUM(COUNTIFS('Data entry'!$R$6:$R$200,'Summary Data'!$A55,'Data entry'!$B$6:$B$200,{"Confirmed";"Probable"},'Data entry'!$AO$6:$AO$200,$G$10, 'Data entry'!$BD$6:$BD$200,"&lt;&gt;*Negative*"))</f>
        <v>0</v>
      </c>
      <c r="H55" s="13">
        <f>SUM(COUNTIFS('Data entry'!$R$6:$R$200,'Summary Data'!$A55,'Data entry'!$B$6:$B$200,{"Confirmed";"Probable"},'Data entry'!$AO$6:$AO$200,$H$10, 'Data entry'!$BD$6:$BD$200,"&lt;&gt;*Negative*"))</f>
        <v>0</v>
      </c>
      <c r="I55" s="13">
        <f>SUM(COUNTIFS('Data entry'!$R$6:$R$200,'Summary Data'!$A55,'Data entry'!$B$6:$B$200,{"Confirmed";"Probable"},'Data entry'!$AO$6:$AO$200,$I$10, 'Data entry'!$BD$6:$BD$200,"&lt;&gt;*Negative*"))</f>
        <v>0</v>
      </c>
      <c r="J55" s="13">
        <f>SUM(COUNTIFS('Data entry'!$R$6:$R$200,'Summary Data'!$A55,'Data entry'!$B$6:$B$200,{"Confirmed";"Probable"},'Data entry'!$AO$6:$AO$200,$J$10, 'Data entry'!$BD$6:$BD$200,"&lt;&gt;*Negative*"))</f>
        <v>0</v>
      </c>
      <c r="K55" s="13">
        <f>SUM(COUNTIFS('Data entry'!$R$6:$R$200,'Summary Data'!$A55,'Data entry'!$B$6:$B$200,{"Confirmed";"Probable"},'Data entry'!$AO$6:$AO$200,$K$10, 'Data entry'!$BD$6:$BD$200,"&lt;&gt;*Negative*"))</f>
        <v>0</v>
      </c>
      <c r="L55" s="13">
        <f>SUM(COUNTIFS('Data entry'!$R$6:$R$200,'Summary Data'!$A55,'Data entry'!$B$6:$B$200,{"Confirmed";"Probable"},'Data entry'!$AO$6:$AO$200,$L$10, 'Data entry'!$BD$6:$BD$200,"&lt;&gt;*Negative*"))</f>
        <v>0</v>
      </c>
      <c r="M55" s="13">
        <f>SUM(COUNTIFS('Data entry'!$R$6:$R$200,'Summary Data'!$A55,'Data entry'!$B$6:$B$200,{"Confirmed";"Probable"},'Data entry'!$AO$6:$AO$200,$M$10, 'Data entry'!$BD$6:$BD$200,"&lt;&gt;*Negative*"))</f>
        <v>0</v>
      </c>
      <c r="N55" s="13">
        <f>SUM(COUNTIFS('Data entry'!$R$6:$R$200,'Summary Data'!$A55,'Data entry'!$B$6:$B$200,{"Confirmed";"Probable"},'Data entry'!$AO$6:$AO$200,$N$10, 'Data entry'!$BD$6:$BD$200,"&lt;&gt;*Negative*"))</f>
        <v>0</v>
      </c>
      <c r="O55" s="15">
        <f t="shared" si="3"/>
        <v>0</v>
      </c>
      <c r="P55" s="15">
        <f t="shared" si="4"/>
        <v>0</v>
      </c>
      <c r="Q55" s="15">
        <f>SUM(COUNTIFS('Data entry'!$R$6:$R$200,'Summary Data'!$A55,'Data entry'!$B$6:$B$200,{"Confirmed";"Probable"},'Data entry'!$AP$6:$AP$200,'Data Validation'!$U$2, 'Data entry'!$BD$6:$BD$200,"&lt;&gt;*Negative*"))</f>
        <v>0</v>
      </c>
      <c r="R55" s="15">
        <f>SUM(COUNTIFS('Data entry'!$R$6:$R$200,'Summary Data'!$A55,'Data entry'!$B$6:$B$200,{"Confirmed";"Probable"},'Data entry'!$AP$6:$AP$200,'Data Validation'!$U$3, 'Data entry'!$BD$6:$BD$200,"&lt;&gt;*Negative*"))</f>
        <v>0</v>
      </c>
      <c r="S55" s="15">
        <f>SUM(COUNTIFS('Data entry'!$R$6:$R$200,'Summary Data'!$A55,'Data entry'!$B$6:$B$200,{"Confirmed";"Probable"},'Data entry'!$AP$6:$AP$200,'Data Validation'!$U$4, 'Data entry'!$BD$6:$BD$200,"&lt;&gt;*Negative*"))</f>
        <v>0</v>
      </c>
      <c r="T55" s="15">
        <f>SUM(COUNTIFS('Data entry'!$R$6:$R$200,'Summary Data'!$A55,'Data entry'!$B$6:$B$200,{"Confirmed";"Probable"},'Data entry'!$AP$6:$AP$200,'Data Validation'!$U$5, 'Data entry'!$BD$6:$BD$200,"&lt;&gt;*Negative*"))</f>
        <v>0</v>
      </c>
      <c r="U55" s="15">
        <f>SUM(COUNTIFS('Data entry'!$R$6:$R$200,'Summary Data'!$A55,'Data entry'!$B$6:$B$200,{"Confirmed";"Probable"},'Data entry'!$AP$6:$AP$200,'Data Validation'!$U$6, 'Data entry'!$BD$6:$BD$200,"&lt;&gt;*Negative*"))</f>
        <v>0</v>
      </c>
      <c r="V55" s="15">
        <f>SUM(COUNTIFS('Data entry'!$R$6:$R$200,'Summary Data'!$A55,'Data entry'!$B$6:$B$200,{"Confirmed";"Probable"},'Data entry'!$AQ$6:$AQ$200,'Data Validation'!$V$2, 'Data entry'!$BD$6:$BD$200,"&lt;&gt;*Negative*"))</f>
        <v>0</v>
      </c>
      <c r="W55" s="15">
        <f>SUM(COUNTIFS('Data entry'!$R$6:$R$200,'Summary Data'!$A55,'Data entry'!$B$6:$B$200,{"Confirmed";"Probable"},'Data entry'!$AQ$6:$AQ$200,'Data Validation'!$V$3, 'Data entry'!$BD$6:$BD$200,"&lt;&gt;*Negative*"))</f>
        <v>0</v>
      </c>
      <c r="X55" s="15">
        <f>SUM(COUNTIFS('Data entry'!$R$6:$R$200,'Summary Data'!$A55,'Data entry'!$B$6:$B$200,{"Confirmed";"Probable"},'Data entry'!$AQ$6:$AQ$200,'Data Validation'!$V$4, 'Data entry'!$BD$6:$BD$200,"&lt;&gt;*Negative*"))</f>
        <v>0</v>
      </c>
      <c r="Y55" s="15">
        <f>SUM(COUNTIFS('Data entry'!$R$6:$R$200,'Summary Data'!$A55,'Data entry'!$B$6:$B$200,{"Confirmed";"Probable"},'Data entry'!$AQ$6:$AQ$200,'Data Validation'!$V$5, 'Data entry'!$BD$6:$BD$200,"&lt;&gt;*Negative*"))</f>
        <v>0</v>
      </c>
      <c r="Z55" s="15">
        <f>SUM(COUNTIFS('Data entry'!$R$6:$R$200,'Summary Data'!$A55,'Data entry'!$B$6:$B$200,{"Confirmed";"Probable"},'Data entry'!$AQ$6:$AQ$200,'Data Validation'!$V$6, 'Data entry'!$BD$6:$BD$200,"&lt;&gt;*Negative*"))</f>
        <v>0</v>
      </c>
      <c r="AA55" s="15">
        <f>SUM(COUNTIFS('Data entry'!$R$6:$R$200,'Summary Data'!$A55,'Data entry'!$B$6:$B$200,{"Confirmed";"Probable"},'Data entry'!$AQ$6:$AQ$200,'Data Validation'!$V$7, 'Data entry'!$BD$6:$BD$200,"&lt;&gt;*Negative*"))</f>
        <v>0</v>
      </c>
      <c r="AB55" s="15">
        <f>SUM(COUNTIFS('Data entry'!$R$6:$R$200,'Summary Data'!$A55,'Data entry'!$B$6:$B$200,{"Confirmed";"Probable"},'Data entry'!$AQ$6:$AQ$200,'Data Validation'!$V$8, 'Data entry'!$BD$6:$BD$200,"&lt;&gt;*Negative*"))</f>
        <v>0</v>
      </c>
      <c r="AC55" s="15">
        <f>SUM(COUNTIFS('Data entry'!$R$6:$R$200,'Summary Data'!$A55,'Data entry'!$B$6:$B$200,{"Confirmed";"Probable"},'Data entry'!$AQ$6:$AQ$200,'Data Validation'!$V$9, 'Data entry'!$BD$6:$BD$200,"&lt;&gt;*Negative*"))</f>
        <v>0</v>
      </c>
      <c r="AD55" s="15">
        <f>SUM(COUNTIFS('Data entry'!$R$6:$R$200,'Summary Data'!$A55,'Data entry'!$B$6:$B$200,{"Confirmed";"Probable"},'Data entry'!$AQ$6:$AQ$200,'Data Validation'!$V$10, 'Data entry'!$BD$6:$BD$200,"&lt;&gt;*Negative*"))</f>
        <v>0</v>
      </c>
      <c r="AE55" s="15">
        <f>SUM(COUNTIFS('Data entry'!$R$6:$R$200,'Summary Data'!$A55,'Data entry'!$B$6:$B$200,{"Confirmed";"Probable"},'Data entry'!$AQ$6:$AQ$200,'Data Validation'!$V$11, 'Data entry'!$BD$6:$BD$200,"&lt;&gt;*Negative*"))</f>
        <v>0</v>
      </c>
      <c r="AF55" s="15">
        <f>SUM(COUNTIFS('Data entry'!$R$6:$R$200,'Summary Data'!$A55,'Data entry'!$B$6:$B$200,{"Confirmed";"Probable"},'Data entry'!$AQ$6:$AQ$200,'Data Validation'!$V$2, 'Data entry'!$AP$6:$AP$200,'Data Validation'!$U$2, 'Data entry'!$BD$6:$BD$200,"&lt;&gt;*Negative*"))</f>
        <v>0</v>
      </c>
      <c r="AG55" s="15">
        <f>SUM(COUNTIFS('Data entry'!$R$6:$R$200,'Summary Data'!$A55,'Data entry'!$B$6:$B$200,{"Confirmed";"Probable"},'Data entry'!$AQ$6:$AQ$200,'Data Validation'!$V$2, 'Data entry'!$AP$6:$AP$200,'Data Validation'!$U$3, 'Data entry'!$BD$6:$BD$200,"&lt;&gt;*Negative*"))</f>
        <v>0</v>
      </c>
      <c r="AH55" s="15">
        <f>SUM(COUNTIFS('Data entry'!$R$6:$R$200,'Summary Data'!$A55,'Data entry'!$B$6:$B$200,{"Confirmed";"Probable"},'Data entry'!$AQ$6:$AQ$200,'Data Validation'!$V$2, 'Data entry'!$AP$6:$AP$200,'Data Validation'!$U$4, 'Data entry'!$BD$6:$BD$200,"&lt;&gt;*Negative*"))</f>
        <v>0</v>
      </c>
      <c r="AI55" s="15">
        <f>SUM(COUNTIFS('Data entry'!$R$6:$R$200,'Summary Data'!$A55,'Data entry'!$B$6:$B$200,{"Confirmed";"Probable"},'Data entry'!$AQ$6:$AQ$200,'Data Validation'!$V$2, 'Data entry'!$AP$6:$AP$200,'Data Validation'!$U$5, 'Data entry'!$BD$6:$BD$200,"&lt;&gt;*Negative*"))</f>
        <v>0</v>
      </c>
      <c r="AJ55" s="15">
        <f>SUM(COUNTIFS('Data entry'!$R$6:$R$200,'Summary Data'!$A55,'Data entry'!$B$6:$B$200,{"Confirmed";"Probable"},'Data entry'!$AQ$6:$AQ$200,'Data Validation'!$V$2, 'Data entry'!$AP$6:$AP$200,'Data Validation'!$U$6, 'Data entry'!$BD$6:$BD$200,"&lt;&gt;*Negative*"))</f>
        <v>0</v>
      </c>
      <c r="AK55" s="15">
        <f>SUM(COUNTIFS('Data entry'!$R$6:$R$200,'Summary Data'!$A55,'Data entry'!$B$6:$B$200,{"Confirmed";"Probable"},'Data entry'!$AQ$6:$AQ$200,'Data Validation'!$V$3, 'Data entry'!$AP$6:$AP$200,'Data Validation'!$U$2, 'Data entry'!$BD$6:$BD$200,"&lt;&gt;*Negative*"))</f>
        <v>0</v>
      </c>
      <c r="AL55" s="15">
        <f>SUM(COUNTIFS('Data entry'!$R$6:$R$200,'Summary Data'!$A55,'Data entry'!$B$6:$B$200,{"Confirmed";"Probable"},'Data entry'!$AQ$6:$AQ$200,'Data Validation'!$V$3, 'Data entry'!$AP$6:$AP$200,'Data Validation'!$U$3, 'Data entry'!$BD$6:$BD$200,"&lt;&gt;*Negative*"))</f>
        <v>0</v>
      </c>
      <c r="AM55" s="15">
        <f>SUM(COUNTIFS('Data entry'!$R$6:$R$200,'Summary Data'!$A55,'Data entry'!$B$6:$B$200,{"Confirmed";"Probable"},'Data entry'!$AQ$6:$AQ$200,'Data Validation'!$V$3, 'Data entry'!$AP$6:$AP$200,'Data Validation'!$U$4, 'Data entry'!$BD$6:$BD$200,"&lt;&gt;*Negative*"))</f>
        <v>0</v>
      </c>
      <c r="AN55" s="15">
        <f>SUM(COUNTIFS('Data entry'!$R$6:$R$200,'Summary Data'!$A55,'Data entry'!$B$6:$B$200,{"Confirmed";"Probable"},'Data entry'!$AQ$6:$AQ$200,'Data Validation'!$V$3, 'Data entry'!$AP$6:$AP$200,'Data Validation'!$U$5, 'Data entry'!$BD$6:$BD$200,"&lt;&gt;*Negative*"))</f>
        <v>0</v>
      </c>
      <c r="AO55" s="15">
        <f>SUM(COUNTIFS('Data entry'!$R$6:$R$200,'Summary Data'!$A55,'Data entry'!$B$6:$B$200,{"Confirmed";"Probable"},'Data entry'!$AQ$6:$AQ$200,'Data Validation'!$V$3, 'Data entry'!$AP$6:$AP$200,'Data Validation'!$U$6, 'Data entry'!$BD$6:$BD$200,"&lt;&gt;*Negative*"))</f>
        <v>0</v>
      </c>
      <c r="AP55" s="15">
        <f>SUM(COUNTIFS('Data entry'!$R$6:$R$200,'Summary Data'!$A55,'Data entry'!$B$6:$B$200,{"Confirmed";"Probable"},'Data entry'!$AQ$6:$AQ$200,'Data Validation'!$V$4, 'Data entry'!$AP$6:$AP$200,'Data Validation'!$U$2, 'Data entry'!$BD$6:$BD$200,"&lt;&gt;*Negative*"))</f>
        <v>0</v>
      </c>
      <c r="AQ55" s="15">
        <f>SUM(COUNTIFS('Data entry'!$R$6:$R$200,'Summary Data'!$A55,'Data entry'!$B$6:$B$200,{"Confirmed";"Probable"},'Data entry'!$AQ$6:$AQ$200,'Data Validation'!$V$4, 'Data entry'!$AP$6:$AP$200,'Data Validation'!$U$3, 'Data entry'!$BD$6:$BD$200,"&lt;&gt;*Negative*"))</f>
        <v>0</v>
      </c>
      <c r="AR55" s="15">
        <f>SUM(COUNTIFS('Data entry'!$R$6:$R$200,'Summary Data'!$A55,'Data entry'!$B$6:$B$200,{"Confirmed";"Probable"},'Data entry'!$AQ$6:$AQ$200,'Data Validation'!$V$4, 'Data entry'!$AP$6:$AP$200,'Data Validation'!$U$4, 'Data entry'!$BD$6:$BD$200,"&lt;&gt;*Negative*"))</f>
        <v>0</v>
      </c>
      <c r="AS55" s="15">
        <f>SUM(COUNTIFS('Data entry'!$R$6:$R$200,'Summary Data'!$A55,'Data entry'!$B$6:$B$200,{"Confirmed";"Probable"},'Data entry'!$AQ$6:$AQ$200,'Data Validation'!$V$4, 'Data entry'!$AP$6:$AP$200,'Data Validation'!$U$5, 'Data entry'!$BD$6:$BD$200,"&lt;&gt;*Negative*"))</f>
        <v>0</v>
      </c>
      <c r="AT55" s="15">
        <f>SUM(COUNTIFS('Data entry'!$R$6:$R$200,'Summary Data'!$A55,'Data entry'!$B$6:$B$200,{"Confirmed";"Probable"},'Data entry'!$AQ$6:$AQ$200,'Data Validation'!$V$4, 'Data entry'!$AP$6:$AP$200,'Data Validation'!$U$6, 'Data entry'!$BD$6:$BD$200,"&lt;&gt;*Negative*"))</f>
        <v>0</v>
      </c>
      <c r="AU55" s="15">
        <f>SUM(COUNTIFS('Data entry'!$R$6:$R$200,'Summary Data'!$A55,'Data entry'!$B$6:$B$200,{"Confirmed";"Probable"},'Data entry'!$AQ$6:$AQ$200,'Data Validation'!$V$5, 'Data entry'!$AP$6:$AP$200,'Data Validation'!$U$2, 'Data entry'!$BD$6:$BD$200,"&lt;&gt;*Negative*"))</f>
        <v>0</v>
      </c>
      <c r="AV55" s="15">
        <f>SUM(COUNTIFS('Data entry'!$R$6:$R$200,'Summary Data'!$A55,'Data entry'!$B$6:$B$200,{"Confirmed";"Probable"},'Data entry'!$AQ$6:$AQ$200,'Data Validation'!$V$5, 'Data entry'!$AP$6:$AP$200,'Data Validation'!$U$3, 'Data entry'!$BD$6:$BD$200,"&lt;&gt;*Negative*"))</f>
        <v>0</v>
      </c>
      <c r="AW55" s="15">
        <f>SUM(COUNTIFS('Data entry'!$R$6:$R$200,'Summary Data'!$A55,'Data entry'!$B$6:$B$200,{"Confirmed";"Probable"},'Data entry'!$AQ$6:$AQ$200,'Data Validation'!$V$5, 'Data entry'!$AP$6:$AP$200,'Data Validation'!$U$4, 'Data entry'!$BD$6:$BD$200,"&lt;&gt;*Negative*"))</f>
        <v>0</v>
      </c>
      <c r="AX55" s="15">
        <f>SUM(COUNTIFS('Data entry'!$R$6:$R$200,'Summary Data'!$A55,'Data entry'!$B$6:$B$200,{"Confirmed";"Probable"},'Data entry'!$AQ$6:$AQ$200,'Data Validation'!$V$5, 'Data entry'!$AP$6:$AP$200,'Data Validation'!$U$5, 'Data entry'!$BD$6:$BD$200,"&lt;&gt;*Negative*"))</f>
        <v>0</v>
      </c>
      <c r="AY55" s="15">
        <f>SUM(COUNTIFS('Data entry'!$R$6:$R$200,'Summary Data'!$A55,'Data entry'!$B$6:$B$200,{"Confirmed";"Probable"},'Data entry'!$AQ$6:$AQ$200,'Data Validation'!$V$5, 'Data entry'!$AP$6:$AP$200,'Data Validation'!$U$6, 'Data entry'!$BD$6:$BD$200,"&lt;&gt;*Negative*"))</f>
        <v>0</v>
      </c>
      <c r="AZ55" s="15">
        <f>SUM(COUNTIFS('Data entry'!$R$6:$R$200,'Summary Data'!$A55,'Data entry'!$B$6:$B$200,{"Confirmed";"Probable"},'Data entry'!$AQ$6:$AQ$200,'Data Validation'!$V$6, 'Data entry'!$AP$6:$AP$200,'Data Validation'!$U$2, 'Data entry'!$BD$6:$BD$200,"&lt;&gt;*Negative*"))</f>
        <v>0</v>
      </c>
      <c r="BA55" s="15">
        <f>SUM(COUNTIFS('Data entry'!$R$6:$R$200,'Summary Data'!$A55,'Data entry'!$B$6:$B$200,{"Confirmed";"Probable"},'Data entry'!$AQ$6:$AQ$200,'Data Validation'!$V$6, 'Data entry'!$AP$6:$AP$200,'Data Validation'!$U$3, 'Data entry'!$BD$6:$BD$200,"&lt;&gt;*Negative*"))</f>
        <v>0</v>
      </c>
      <c r="BB55" s="15">
        <f>SUM(COUNTIFS('Data entry'!$R$6:$R$200,'Summary Data'!$A55,'Data entry'!$B$6:$B$200,{"Confirmed";"Probable"},'Data entry'!$AQ$6:$AQ$200,'Data Validation'!$V$6, 'Data entry'!$AP$6:$AP$200,'Data Validation'!$U$4, 'Data entry'!$BD$6:$BD$200,"&lt;&gt;*Negative*"))</f>
        <v>0</v>
      </c>
      <c r="BC55" s="15">
        <f>SUM(COUNTIFS('Data entry'!$R$6:$R$200,'Summary Data'!$A55,'Data entry'!$B$6:$B$200,{"Confirmed";"Probable"},'Data entry'!$AQ$6:$AQ$200,'Data Validation'!$V$6, 'Data entry'!$AP$6:$AP$200,'Data Validation'!$U$5, 'Data entry'!$BD$6:$BD$200,"&lt;&gt;*Negative*"))</f>
        <v>0</v>
      </c>
      <c r="BD55" s="15">
        <f>SUM(COUNTIFS('Data entry'!$R$6:$R$200,'Summary Data'!$A55,'Data entry'!$B$6:$B$200,{"Confirmed";"Probable"},'Data entry'!$AQ$6:$AQ$200,'Data Validation'!$V$6, 'Data entry'!$AP$6:$AP$200,'Data Validation'!$U$6, 'Data entry'!$BD$6:$BD$200,"&lt;&gt;*Negative*"))</f>
        <v>0</v>
      </c>
      <c r="BE55" s="15">
        <f>SUM(COUNTIFS('Data entry'!$R$6:$R$200,'Summary Data'!$A55,'Data entry'!$B$6:$B$200,{"Confirmed";"Probable"},'Data entry'!$AQ$6:$AQ$200,'Data Validation'!$V$7, 'Data entry'!$AP$6:$AP$200,'Data Validation'!$U$2, 'Data entry'!$BD$6:$BD$200,"&lt;&gt;*Negative*"))</f>
        <v>0</v>
      </c>
      <c r="BF55" s="15">
        <f>SUM(COUNTIFS('Data entry'!$R$6:$R$200,'Summary Data'!$A55,'Data entry'!$B$6:$B$200,{"Confirmed";"Probable"},'Data entry'!$AQ$6:$AQ$200,'Data Validation'!$V$7, 'Data entry'!$AP$6:$AP$200,'Data Validation'!$U$3, 'Data entry'!$BD$6:$BD$200,"&lt;&gt;*Negative*"))</f>
        <v>0</v>
      </c>
      <c r="BG55" s="15">
        <f>SUM(COUNTIFS('Data entry'!$R$6:$R$200,'Summary Data'!$A55,'Data entry'!$B$6:$B$200,{"Confirmed";"Probable"},'Data entry'!$AQ$6:$AQ$200,'Data Validation'!$V$7, 'Data entry'!$AP$6:$AP$200,'Data Validation'!$U$4, 'Data entry'!$BD$6:$BD$200,"&lt;&gt;*Negative*"))</f>
        <v>0</v>
      </c>
      <c r="BH55" s="15">
        <f>SUM(COUNTIFS('Data entry'!$R$6:$R$200,'Summary Data'!$A55,'Data entry'!$B$6:$B$200,{"Confirmed";"Probable"},'Data entry'!$AQ$6:$AQ$200,'Data Validation'!$V$7, 'Data entry'!$AP$6:$AP$200,'Data Validation'!$U$5, 'Data entry'!$BD$6:$BD$200,"&lt;&gt;*Negative*"))</f>
        <v>0</v>
      </c>
      <c r="BI55" s="15">
        <f>SUM(COUNTIFS('Data entry'!$R$6:$R$200,'Summary Data'!$A55,'Data entry'!$B$6:$B$200,{"Confirmed";"Probable"},'Data entry'!$AQ$6:$AQ$200,'Data Validation'!$V$7, 'Data entry'!$AP$6:$AP$200,'Data Validation'!$U$6, 'Data entry'!$BD$6:$BD$200,"&lt;&gt;*Negative*"))</f>
        <v>0</v>
      </c>
      <c r="BJ55" s="15">
        <f>SUM(COUNTIFS('Data entry'!$R$6:$R$200,'Summary Data'!$A55,'Data entry'!$B$6:$B$200,{"Confirmed";"Probable"},'Data entry'!$AQ$6:$AQ$200,'Data Validation'!$V$8, 'Data entry'!$AP$6:$AP$200,'Data Validation'!$U$2, 'Data entry'!$BD$6:$BD$200,"&lt;&gt;*Negative*"))</f>
        <v>0</v>
      </c>
      <c r="BK55" s="15">
        <f>SUM(COUNTIFS('Data entry'!$R$6:$R$200,'Summary Data'!$A55,'Data entry'!$B$6:$B$200,{"Confirmed";"Probable"},'Data entry'!$AQ$6:$AQ$200,'Data Validation'!$V$8, 'Data entry'!$AP$6:$AP$200,'Data Validation'!$U$3, 'Data entry'!$BD$6:$BD$200,"&lt;&gt;*Negative*"))</f>
        <v>0</v>
      </c>
      <c r="BL55" s="15">
        <f>SUM(COUNTIFS('Data entry'!$R$6:$R$200,'Summary Data'!$A55,'Data entry'!$B$6:$B$200,{"Confirmed";"Probable"},'Data entry'!$AQ$6:$AQ$200,'Data Validation'!$V$8, 'Data entry'!$AP$6:$AP$200,'Data Validation'!$U$4, 'Data entry'!$BD$6:$BD$200,"&lt;&gt;*Negative*"))</f>
        <v>0</v>
      </c>
      <c r="BM55" s="15">
        <f>SUM(COUNTIFS('Data entry'!$R$6:$R$200,'Summary Data'!$A55,'Data entry'!$B$6:$B$200,{"Confirmed";"Probable"},'Data entry'!$AQ$6:$AQ$200,'Data Validation'!$V$8, 'Data entry'!$AP$6:$AP$200,'Data Validation'!$U$5, 'Data entry'!$BD$6:$BD$200,"&lt;&gt;*Negative*"))</f>
        <v>0</v>
      </c>
      <c r="BN55" s="15">
        <f>SUM(COUNTIFS('Data entry'!$R$6:$R$200,'Summary Data'!$A55,'Data entry'!$B$6:$B$200,{"Confirmed";"Probable"},'Data entry'!$AQ$6:$AQ$200,'Data Validation'!$V$8, 'Data entry'!$AP$6:$AP$200,'Data Validation'!$U$6, 'Data entry'!$BD$6:$BD$200,"&lt;&gt;*Negative*"))</f>
        <v>0</v>
      </c>
      <c r="BO55" s="15">
        <f>SUM(COUNTIFS('Data entry'!$R$6:$R$200,'Summary Data'!$A55,'Data entry'!$B$6:$B$200,{"Confirmed";"Probable"},'Data entry'!$AQ$6:$AQ$200,'Data Validation'!$V$9, 'Data entry'!$AP$6:$AP$200,'Data Validation'!$U$2, 'Data entry'!$BD$6:$BD$200,"&lt;&gt;*Negative*"))</f>
        <v>0</v>
      </c>
      <c r="BP55" s="15">
        <f>SUM(COUNTIFS('Data entry'!$R$6:$R$200,'Summary Data'!$A55,'Data entry'!$B$6:$B$200,{"Confirmed";"Probable"},'Data entry'!$AQ$6:$AQ$200,'Data Validation'!$V$9, 'Data entry'!$AP$6:$AP$200,'Data Validation'!$U$3, 'Data entry'!$BD$6:$BD$200,"&lt;&gt;*Negative*"))</f>
        <v>0</v>
      </c>
      <c r="BQ55" s="15">
        <f>SUM(COUNTIFS('Data entry'!$R$6:$R$200,'Summary Data'!$A55,'Data entry'!$B$6:$B$200,{"Confirmed";"Probable"},'Data entry'!$AQ$6:$AQ$200,'Data Validation'!$V$9, 'Data entry'!$AP$6:$AP$200,'Data Validation'!$U$4, 'Data entry'!$BD$6:$BD$200,"&lt;&gt;*Negative*"))</f>
        <v>0</v>
      </c>
      <c r="BR55" s="15">
        <f>SUM(COUNTIFS('Data entry'!$R$6:$R$200,'Summary Data'!$A55,'Data entry'!$B$6:$B$200,{"Confirmed";"Probable"},'Data entry'!$AQ$6:$AQ$200,'Data Validation'!$V$9, 'Data entry'!$AP$6:$AP$200,'Data Validation'!$U$5, 'Data entry'!$BD$6:$BD$200,"&lt;&gt;*Negative*"))</f>
        <v>0</v>
      </c>
      <c r="BS55" s="15">
        <f>SUM(COUNTIFS('Data entry'!$R$6:$R$200,'Summary Data'!$A55,'Data entry'!$B$6:$B$200,{"Confirmed";"Probable"},'Data entry'!$AQ$6:$AQ$200,'Data Validation'!$V$9, 'Data entry'!$AP$6:$AP$200,'Data Validation'!$U$6, 'Data entry'!$BD$6:$BD$200,"&lt;&gt;*Negative*"))</f>
        <v>0</v>
      </c>
      <c r="BT55" s="15">
        <f>SUM(COUNTIFS('Data entry'!$R$6:$R$200,'Summary Data'!$A55,'Data entry'!$B$6:$B$200,{"Confirmed";"Probable"},'Data entry'!$AQ$6:$AQ$200,'Data Validation'!$V$10, 'Data entry'!$AP$6:$AP$200,'Data Validation'!$U$2, 'Data entry'!$BD$6:$BD$200,"&lt;&gt;*Negative*"))</f>
        <v>0</v>
      </c>
      <c r="BU55" s="15">
        <f>SUM(COUNTIFS('Data entry'!$R$6:$R$200,'Summary Data'!$A55,'Data entry'!$B$6:$B$200,{"Confirmed";"Probable"},'Data entry'!$AQ$6:$AQ$200,'Data Validation'!$V$10, 'Data entry'!$AP$6:$AP$200,'Data Validation'!$U$3, 'Data entry'!$BD$6:$BD$200,"&lt;&gt;*Negative*"))</f>
        <v>0</v>
      </c>
      <c r="BV55" s="15">
        <f>SUM(COUNTIFS('Data entry'!$R$6:$R$200,'Summary Data'!$A55,'Data entry'!$B$6:$B$200,{"Confirmed";"Probable"},'Data entry'!$AQ$6:$AQ$200,'Data Validation'!$V$10, 'Data entry'!$AP$6:$AP$200,'Data Validation'!$U$4, 'Data entry'!$BD$6:$BD$200,"&lt;&gt;*Negative*"))</f>
        <v>0</v>
      </c>
      <c r="BW55" s="15">
        <f>SUM(COUNTIFS('Data entry'!$R$6:$R$200,'Summary Data'!$A55,'Data entry'!$B$6:$B$200,{"Confirmed";"Probable"},'Data entry'!$AQ$6:$AQ$200,'Data Validation'!$V$10, 'Data entry'!$AP$6:$AP$200,'Data Validation'!$U$5, 'Data entry'!$BD$6:$BD$200,"&lt;&gt;*Negative*"))</f>
        <v>0</v>
      </c>
      <c r="BX55" s="15">
        <f>SUM(COUNTIFS('Data entry'!$R$6:$R$200,'Summary Data'!$A55,'Data entry'!$B$6:$B$200,{"Confirmed";"Probable"},'Data entry'!$AQ$6:$AQ$200,'Data Validation'!$V$10, 'Data entry'!$AP$6:$AP$200,'Data Validation'!$U$6, 'Data entry'!$BD$6:$BD$200,"&lt;&gt;*Negative*"))</f>
        <v>0</v>
      </c>
      <c r="BY55" s="15">
        <f>SUM(COUNTIFS('Data entry'!$R$6:$R$200,'Summary Data'!$A55,'Data entry'!$B$6:$B$200,{"Confirmed";"Probable"},'Data entry'!$AQ$6:$AQ$200,'Data Validation'!$V$11, 'Data entry'!$AP$6:$AP$200,'Data Validation'!$U$2, 'Data entry'!$BD$6:$BD$200,"&lt;&gt;*Negative*"))</f>
        <v>0</v>
      </c>
      <c r="BZ55" s="15">
        <f>SUM(COUNTIFS('Data entry'!$R$6:$R$200,'Summary Data'!$A55,'Data entry'!$B$6:$B$200,{"Confirmed";"Probable"},'Data entry'!$AQ$6:$AQ$200,'Data Validation'!$V$11, 'Data entry'!$AP$6:$AP$200,'Data Validation'!$U$3, 'Data entry'!$BD$6:$BD$200,"&lt;&gt;*Negative*"))</f>
        <v>0</v>
      </c>
      <c r="CA55" s="15">
        <f>SUM(COUNTIFS('Data entry'!$R$6:$R$200,'Summary Data'!$A55,'Data entry'!$B$6:$B$200,{"Confirmed";"Probable"},'Data entry'!$AQ$6:$AQ$200,'Data Validation'!$V$11, 'Data entry'!$AP$6:$AP$200,'Data Validation'!$U$4, 'Data entry'!$BD$6:$BD$200,"&lt;&gt;*Negative*"))</f>
        <v>0</v>
      </c>
      <c r="CB55" s="15">
        <f>SUM(COUNTIFS('Data entry'!$R$6:$R$200,'Summary Data'!$A55,'Data entry'!$B$6:$B$200,{"Confirmed";"Probable"},'Data entry'!$AQ$6:$AQ$200,'Data Validation'!$V$11, 'Data entry'!$AP$6:$AP$200,'Data Validation'!$U$5, 'Data entry'!$BD$6:$BD$200,"&lt;&gt;*Negative*"))</f>
        <v>0</v>
      </c>
      <c r="CC55" s="15">
        <f>SUM(COUNTIFS('Data entry'!$R$6:$R$200,'Summary Data'!$A55,'Data entry'!$B$6:$B$200,{"Confirmed";"Probable"},'Data entry'!$AQ$6:$AQ$200,'Data Validation'!$V$11, 'Data entry'!$AP$6:$AP$200,'Data Validation'!$U$6, 'Data entry'!$BD$6:$BD$200,"&lt;&gt;*Negative*"))</f>
        <v>0</v>
      </c>
    </row>
    <row r="56" spans="1:81" x14ac:dyDescent="0.25">
      <c r="A56" s="12">
        <f t="shared" si="5"/>
        <v>44</v>
      </c>
      <c r="B56" s="13">
        <f t="shared" si="2"/>
        <v>0</v>
      </c>
      <c r="C56" s="13">
        <f>COUNTIFS('Data entry'!$R$6:$R$200,$A56,'Data entry'!$B$6:$B$200,"Confirmed",'Data entry'!$BD$6:$BD$200,"&lt;&gt;*Negative*")</f>
        <v>0</v>
      </c>
      <c r="D56" s="13">
        <f>COUNTIFS('Data entry'!$R$6:$R$200,$A56,'Data entry'!$B$6:$B$200,"Probable",'Data entry'!$BD$6:$BD$200,"&lt;&gt;*Negative*")</f>
        <v>0</v>
      </c>
      <c r="E56" s="13">
        <f>COUNTIFS('Data entry'!$R$6:$R$200,$A56,'Data entry'!$B$6:$B$200,"DNM")</f>
        <v>0</v>
      </c>
      <c r="F56" s="13">
        <f>SUM(COUNTIFS('Data entry'!$R$6:$R$200,'Summary Data'!$A56,'Data entry'!$B$6:$B$200,{"Confirmed";"Probable"},'Data entry'!$AO$6:$AO$200,$F$10, 'Data entry'!$BD$6:$BD$200,"&lt;&gt;*Negative*"))</f>
        <v>0</v>
      </c>
      <c r="G56" s="13">
        <f>SUM(COUNTIFS('Data entry'!$R$6:$R$200,'Summary Data'!$A56,'Data entry'!$B$6:$B$200,{"Confirmed";"Probable"},'Data entry'!$AO$6:$AO$200,$G$10, 'Data entry'!$BD$6:$BD$200,"&lt;&gt;*Negative*"))</f>
        <v>0</v>
      </c>
      <c r="H56" s="13">
        <f>SUM(COUNTIFS('Data entry'!$R$6:$R$200,'Summary Data'!$A56,'Data entry'!$B$6:$B$200,{"Confirmed";"Probable"},'Data entry'!$AO$6:$AO$200,$H$10, 'Data entry'!$BD$6:$BD$200,"&lt;&gt;*Negative*"))</f>
        <v>0</v>
      </c>
      <c r="I56" s="13">
        <f>SUM(COUNTIFS('Data entry'!$R$6:$R$200,'Summary Data'!$A56,'Data entry'!$B$6:$B$200,{"Confirmed";"Probable"},'Data entry'!$AO$6:$AO$200,$I$10, 'Data entry'!$BD$6:$BD$200,"&lt;&gt;*Negative*"))</f>
        <v>0</v>
      </c>
      <c r="J56" s="13">
        <f>SUM(COUNTIFS('Data entry'!$R$6:$R$200,'Summary Data'!$A56,'Data entry'!$B$6:$B$200,{"Confirmed";"Probable"},'Data entry'!$AO$6:$AO$200,$J$10, 'Data entry'!$BD$6:$BD$200,"&lt;&gt;*Negative*"))</f>
        <v>0</v>
      </c>
      <c r="K56" s="13">
        <f>SUM(COUNTIFS('Data entry'!$R$6:$R$200,'Summary Data'!$A56,'Data entry'!$B$6:$B$200,{"Confirmed";"Probable"},'Data entry'!$AO$6:$AO$200,$K$10, 'Data entry'!$BD$6:$BD$200,"&lt;&gt;*Negative*"))</f>
        <v>0</v>
      </c>
      <c r="L56" s="13">
        <f>SUM(COUNTIFS('Data entry'!$R$6:$R$200,'Summary Data'!$A56,'Data entry'!$B$6:$B$200,{"Confirmed";"Probable"},'Data entry'!$AO$6:$AO$200,$L$10, 'Data entry'!$BD$6:$BD$200,"&lt;&gt;*Negative*"))</f>
        <v>0</v>
      </c>
      <c r="M56" s="13">
        <f>SUM(COUNTIFS('Data entry'!$R$6:$R$200,'Summary Data'!$A56,'Data entry'!$B$6:$B$200,{"Confirmed";"Probable"},'Data entry'!$AO$6:$AO$200,$M$10, 'Data entry'!$BD$6:$BD$200,"&lt;&gt;*Negative*"))</f>
        <v>0</v>
      </c>
      <c r="N56" s="13">
        <f>SUM(COUNTIFS('Data entry'!$R$6:$R$200,'Summary Data'!$A56,'Data entry'!$B$6:$B$200,{"Confirmed";"Probable"},'Data entry'!$AO$6:$AO$200,$N$10, 'Data entry'!$BD$6:$BD$200,"&lt;&gt;*Negative*"))</f>
        <v>0</v>
      </c>
      <c r="O56" s="15">
        <f t="shared" si="3"/>
        <v>0</v>
      </c>
      <c r="P56" s="15">
        <f t="shared" si="4"/>
        <v>0</v>
      </c>
      <c r="Q56" s="15">
        <f>SUM(COUNTIFS('Data entry'!$R$6:$R$200,'Summary Data'!$A56,'Data entry'!$B$6:$B$200,{"Confirmed";"Probable"},'Data entry'!$AP$6:$AP$200,'Data Validation'!$U$2, 'Data entry'!$BD$6:$BD$200,"&lt;&gt;*Negative*"))</f>
        <v>0</v>
      </c>
      <c r="R56" s="15">
        <f>SUM(COUNTIFS('Data entry'!$R$6:$R$200,'Summary Data'!$A56,'Data entry'!$B$6:$B$200,{"Confirmed";"Probable"},'Data entry'!$AP$6:$AP$200,'Data Validation'!$U$3, 'Data entry'!$BD$6:$BD$200,"&lt;&gt;*Negative*"))</f>
        <v>0</v>
      </c>
      <c r="S56" s="15">
        <f>SUM(COUNTIFS('Data entry'!$R$6:$R$200,'Summary Data'!$A56,'Data entry'!$B$6:$B$200,{"Confirmed";"Probable"},'Data entry'!$AP$6:$AP$200,'Data Validation'!$U$4, 'Data entry'!$BD$6:$BD$200,"&lt;&gt;*Negative*"))</f>
        <v>0</v>
      </c>
      <c r="T56" s="15">
        <f>SUM(COUNTIFS('Data entry'!$R$6:$R$200,'Summary Data'!$A56,'Data entry'!$B$6:$B$200,{"Confirmed";"Probable"},'Data entry'!$AP$6:$AP$200,'Data Validation'!$U$5, 'Data entry'!$BD$6:$BD$200,"&lt;&gt;*Negative*"))</f>
        <v>0</v>
      </c>
      <c r="U56" s="15">
        <f>SUM(COUNTIFS('Data entry'!$R$6:$R$200,'Summary Data'!$A56,'Data entry'!$B$6:$B$200,{"Confirmed";"Probable"},'Data entry'!$AP$6:$AP$200,'Data Validation'!$U$6, 'Data entry'!$BD$6:$BD$200,"&lt;&gt;*Negative*"))</f>
        <v>0</v>
      </c>
      <c r="V56" s="15">
        <f>SUM(COUNTIFS('Data entry'!$R$6:$R$200,'Summary Data'!$A56,'Data entry'!$B$6:$B$200,{"Confirmed";"Probable"},'Data entry'!$AQ$6:$AQ$200,'Data Validation'!$V$2, 'Data entry'!$BD$6:$BD$200,"&lt;&gt;*Negative*"))</f>
        <v>0</v>
      </c>
      <c r="W56" s="15">
        <f>SUM(COUNTIFS('Data entry'!$R$6:$R$200,'Summary Data'!$A56,'Data entry'!$B$6:$B$200,{"Confirmed";"Probable"},'Data entry'!$AQ$6:$AQ$200,'Data Validation'!$V$3, 'Data entry'!$BD$6:$BD$200,"&lt;&gt;*Negative*"))</f>
        <v>0</v>
      </c>
      <c r="X56" s="15">
        <f>SUM(COUNTIFS('Data entry'!$R$6:$R$200,'Summary Data'!$A56,'Data entry'!$B$6:$B$200,{"Confirmed";"Probable"},'Data entry'!$AQ$6:$AQ$200,'Data Validation'!$V$4, 'Data entry'!$BD$6:$BD$200,"&lt;&gt;*Negative*"))</f>
        <v>0</v>
      </c>
      <c r="Y56" s="15">
        <f>SUM(COUNTIFS('Data entry'!$R$6:$R$200,'Summary Data'!$A56,'Data entry'!$B$6:$B$200,{"Confirmed";"Probable"},'Data entry'!$AQ$6:$AQ$200,'Data Validation'!$V$5, 'Data entry'!$BD$6:$BD$200,"&lt;&gt;*Negative*"))</f>
        <v>0</v>
      </c>
      <c r="Z56" s="15">
        <f>SUM(COUNTIFS('Data entry'!$R$6:$R$200,'Summary Data'!$A56,'Data entry'!$B$6:$B$200,{"Confirmed";"Probable"},'Data entry'!$AQ$6:$AQ$200,'Data Validation'!$V$6, 'Data entry'!$BD$6:$BD$200,"&lt;&gt;*Negative*"))</f>
        <v>0</v>
      </c>
      <c r="AA56" s="15">
        <f>SUM(COUNTIFS('Data entry'!$R$6:$R$200,'Summary Data'!$A56,'Data entry'!$B$6:$B$200,{"Confirmed";"Probable"},'Data entry'!$AQ$6:$AQ$200,'Data Validation'!$V$7, 'Data entry'!$BD$6:$BD$200,"&lt;&gt;*Negative*"))</f>
        <v>0</v>
      </c>
      <c r="AB56" s="15">
        <f>SUM(COUNTIFS('Data entry'!$R$6:$R$200,'Summary Data'!$A56,'Data entry'!$B$6:$B$200,{"Confirmed";"Probable"},'Data entry'!$AQ$6:$AQ$200,'Data Validation'!$V$8, 'Data entry'!$BD$6:$BD$200,"&lt;&gt;*Negative*"))</f>
        <v>0</v>
      </c>
      <c r="AC56" s="15">
        <f>SUM(COUNTIFS('Data entry'!$R$6:$R$200,'Summary Data'!$A56,'Data entry'!$B$6:$B$200,{"Confirmed";"Probable"},'Data entry'!$AQ$6:$AQ$200,'Data Validation'!$V$9, 'Data entry'!$BD$6:$BD$200,"&lt;&gt;*Negative*"))</f>
        <v>0</v>
      </c>
      <c r="AD56" s="15">
        <f>SUM(COUNTIFS('Data entry'!$R$6:$R$200,'Summary Data'!$A56,'Data entry'!$B$6:$B$200,{"Confirmed";"Probable"},'Data entry'!$AQ$6:$AQ$200,'Data Validation'!$V$10, 'Data entry'!$BD$6:$BD$200,"&lt;&gt;*Negative*"))</f>
        <v>0</v>
      </c>
      <c r="AE56" s="15">
        <f>SUM(COUNTIFS('Data entry'!$R$6:$R$200,'Summary Data'!$A56,'Data entry'!$B$6:$B$200,{"Confirmed";"Probable"},'Data entry'!$AQ$6:$AQ$200,'Data Validation'!$V$11, 'Data entry'!$BD$6:$BD$200,"&lt;&gt;*Negative*"))</f>
        <v>0</v>
      </c>
      <c r="AF56" s="15">
        <f>SUM(COUNTIFS('Data entry'!$R$6:$R$200,'Summary Data'!$A56,'Data entry'!$B$6:$B$200,{"Confirmed";"Probable"},'Data entry'!$AQ$6:$AQ$200,'Data Validation'!$V$2, 'Data entry'!$AP$6:$AP$200,'Data Validation'!$U$2, 'Data entry'!$BD$6:$BD$200,"&lt;&gt;*Negative*"))</f>
        <v>0</v>
      </c>
      <c r="AG56" s="15">
        <f>SUM(COUNTIFS('Data entry'!$R$6:$R$200,'Summary Data'!$A56,'Data entry'!$B$6:$B$200,{"Confirmed";"Probable"},'Data entry'!$AQ$6:$AQ$200,'Data Validation'!$V$2, 'Data entry'!$AP$6:$AP$200,'Data Validation'!$U$3, 'Data entry'!$BD$6:$BD$200,"&lt;&gt;*Negative*"))</f>
        <v>0</v>
      </c>
      <c r="AH56" s="15">
        <f>SUM(COUNTIFS('Data entry'!$R$6:$R$200,'Summary Data'!$A56,'Data entry'!$B$6:$B$200,{"Confirmed";"Probable"},'Data entry'!$AQ$6:$AQ$200,'Data Validation'!$V$2, 'Data entry'!$AP$6:$AP$200,'Data Validation'!$U$4, 'Data entry'!$BD$6:$BD$200,"&lt;&gt;*Negative*"))</f>
        <v>0</v>
      </c>
      <c r="AI56" s="15">
        <f>SUM(COUNTIFS('Data entry'!$R$6:$R$200,'Summary Data'!$A56,'Data entry'!$B$6:$B$200,{"Confirmed";"Probable"},'Data entry'!$AQ$6:$AQ$200,'Data Validation'!$V$2, 'Data entry'!$AP$6:$AP$200,'Data Validation'!$U$5, 'Data entry'!$BD$6:$BD$200,"&lt;&gt;*Negative*"))</f>
        <v>0</v>
      </c>
      <c r="AJ56" s="15">
        <f>SUM(COUNTIFS('Data entry'!$R$6:$R$200,'Summary Data'!$A56,'Data entry'!$B$6:$B$200,{"Confirmed";"Probable"},'Data entry'!$AQ$6:$AQ$200,'Data Validation'!$V$2, 'Data entry'!$AP$6:$AP$200,'Data Validation'!$U$6, 'Data entry'!$BD$6:$BD$200,"&lt;&gt;*Negative*"))</f>
        <v>0</v>
      </c>
      <c r="AK56" s="15">
        <f>SUM(COUNTIFS('Data entry'!$R$6:$R$200,'Summary Data'!$A56,'Data entry'!$B$6:$B$200,{"Confirmed";"Probable"},'Data entry'!$AQ$6:$AQ$200,'Data Validation'!$V$3, 'Data entry'!$AP$6:$AP$200,'Data Validation'!$U$2, 'Data entry'!$BD$6:$BD$200,"&lt;&gt;*Negative*"))</f>
        <v>0</v>
      </c>
      <c r="AL56" s="15">
        <f>SUM(COUNTIFS('Data entry'!$R$6:$R$200,'Summary Data'!$A56,'Data entry'!$B$6:$B$200,{"Confirmed";"Probable"},'Data entry'!$AQ$6:$AQ$200,'Data Validation'!$V$3, 'Data entry'!$AP$6:$AP$200,'Data Validation'!$U$3, 'Data entry'!$BD$6:$BD$200,"&lt;&gt;*Negative*"))</f>
        <v>0</v>
      </c>
      <c r="AM56" s="15">
        <f>SUM(COUNTIFS('Data entry'!$R$6:$R$200,'Summary Data'!$A56,'Data entry'!$B$6:$B$200,{"Confirmed";"Probable"},'Data entry'!$AQ$6:$AQ$200,'Data Validation'!$V$3, 'Data entry'!$AP$6:$AP$200,'Data Validation'!$U$4, 'Data entry'!$BD$6:$BD$200,"&lt;&gt;*Negative*"))</f>
        <v>0</v>
      </c>
      <c r="AN56" s="15">
        <f>SUM(COUNTIFS('Data entry'!$R$6:$R$200,'Summary Data'!$A56,'Data entry'!$B$6:$B$200,{"Confirmed";"Probable"},'Data entry'!$AQ$6:$AQ$200,'Data Validation'!$V$3, 'Data entry'!$AP$6:$AP$200,'Data Validation'!$U$5, 'Data entry'!$BD$6:$BD$200,"&lt;&gt;*Negative*"))</f>
        <v>0</v>
      </c>
      <c r="AO56" s="15">
        <f>SUM(COUNTIFS('Data entry'!$R$6:$R$200,'Summary Data'!$A56,'Data entry'!$B$6:$B$200,{"Confirmed";"Probable"},'Data entry'!$AQ$6:$AQ$200,'Data Validation'!$V$3, 'Data entry'!$AP$6:$AP$200,'Data Validation'!$U$6, 'Data entry'!$BD$6:$BD$200,"&lt;&gt;*Negative*"))</f>
        <v>0</v>
      </c>
      <c r="AP56" s="15">
        <f>SUM(COUNTIFS('Data entry'!$R$6:$R$200,'Summary Data'!$A56,'Data entry'!$B$6:$B$200,{"Confirmed";"Probable"},'Data entry'!$AQ$6:$AQ$200,'Data Validation'!$V$4, 'Data entry'!$AP$6:$AP$200,'Data Validation'!$U$2, 'Data entry'!$BD$6:$BD$200,"&lt;&gt;*Negative*"))</f>
        <v>0</v>
      </c>
      <c r="AQ56" s="15">
        <f>SUM(COUNTIFS('Data entry'!$R$6:$R$200,'Summary Data'!$A56,'Data entry'!$B$6:$B$200,{"Confirmed";"Probable"},'Data entry'!$AQ$6:$AQ$200,'Data Validation'!$V$4, 'Data entry'!$AP$6:$AP$200,'Data Validation'!$U$3, 'Data entry'!$BD$6:$BD$200,"&lt;&gt;*Negative*"))</f>
        <v>0</v>
      </c>
      <c r="AR56" s="15">
        <f>SUM(COUNTIFS('Data entry'!$R$6:$R$200,'Summary Data'!$A56,'Data entry'!$B$6:$B$200,{"Confirmed";"Probable"},'Data entry'!$AQ$6:$AQ$200,'Data Validation'!$V$4, 'Data entry'!$AP$6:$AP$200,'Data Validation'!$U$4, 'Data entry'!$BD$6:$BD$200,"&lt;&gt;*Negative*"))</f>
        <v>0</v>
      </c>
      <c r="AS56" s="15">
        <f>SUM(COUNTIFS('Data entry'!$R$6:$R$200,'Summary Data'!$A56,'Data entry'!$B$6:$B$200,{"Confirmed";"Probable"},'Data entry'!$AQ$6:$AQ$200,'Data Validation'!$V$4, 'Data entry'!$AP$6:$AP$200,'Data Validation'!$U$5, 'Data entry'!$BD$6:$BD$200,"&lt;&gt;*Negative*"))</f>
        <v>0</v>
      </c>
      <c r="AT56" s="15">
        <f>SUM(COUNTIFS('Data entry'!$R$6:$R$200,'Summary Data'!$A56,'Data entry'!$B$6:$B$200,{"Confirmed";"Probable"},'Data entry'!$AQ$6:$AQ$200,'Data Validation'!$V$4, 'Data entry'!$AP$6:$AP$200,'Data Validation'!$U$6, 'Data entry'!$BD$6:$BD$200,"&lt;&gt;*Negative*"))</f>
        <v>0</v>
      </c>
      <c r="AU56" s="15">
        <f>SUM(COUNTIFS('Data entry'!$R$6:$R$200,'Summary Data'!$A56,'Data entry'!$B$6:$B$200,{"Confirmed";"Probable"},'Data entry'!$AQ$6:$AQ$200,'Data Validation'!$V$5, 'Data entry'!$AP$6:$AP$200,'Data Validation'!$U$2, 'Data entry'!$BD$6:$BD$200,"&lt;&gt;*Negative*"))</f>
        <v>0</v>
      </c>
      <c r="AV56" s="15">
        <f>SUM(COUNTIFS('Data entry'!$R$6:$R$200,'Summary Data'!$A56,'Data entry'!$B$6:$B$200,{"Confirmed";"Probable"},'Data entry'!$AQ$6:$AQ$200,'Data Validation'!$V$5, 'Data entry'!$AP$6:$AP$200,'Data Validation'!$U$3, 'Data entry'!$BD$6:$BD$200,"&lt;&gt;*Negative*"))</f>
        <v>0</v>
      </c>
      <c r="AW56" s="15">
        <f>SUM(COUNTIFS('Data entry'!$R$6:$R$200,'Summary Data'!$A56,'Data entry'!$B$6:$B$200,{"Confirmed";"Probable"},'Data entry'!$AQ$6:$AQ$200,'Data Validation'!$V$5, 'Data entry'!$AP$6:$AP$200,'Data Validation'!$U$4, 'Data entry'!$BD$6:$BD$200,"&lt;&gt;*Negative*"))</f>
        <v>0</v>
      </c>
      <c r="AX56" s="15">
        <f>SUM(COUNTIFS('Data entry'!$R$6:$R$200,'Summary Data'!$A56,'Data entry'!$B$6:$B$200,{"Confirmed";"Probable"},'Data entry'!$AQ$6:$AQ$200,'Data Validation'!$V$5, 'Data entry'!$AP$6:$AP$200,'Data Validation'!$U$5, 'Data entry'!$BD$6:$BD$200,"&lt;&gt;*Negative*"))</f>
        <v>0</v>
      </c>
      <c r="AY56" s="15">
        <f>SUM(COUNTIFS('Data entry'!$R$6:$R$200,'Summary Data'!$A56,'Data entry'!$B$6:$B$200,{"Confirmed";"Probable"},'Data entry'!$AQ$6:$AQ$200,'Data Validation'!$V$5, 'Data entry'!$AP$6:$AP$200,'Data Validation'!$U$6, 'Data entry'!$BD$6:$BD$200,"&lt;&gt;*Negative*"))</f>
        <v>0</v>
      </c>
      <c r="AZ56" s="15">
        <f>SUM(COUNTIFS('Data entry'!$R$6:$R$200,'Summary Data'!$A56,'Data entry'!$B$6:$B$200,{"Confirmed";"Probable"},'Data entry'!$AQ$6:$AQ$200,'Data Validation'!$V$6, 'Data entry'!$AP$6:$AP$200,'Data Validation'!$U$2, 'Data entry'!$BD$6:$BD$200,"&lt;&gt;*Negative*"))</f>
        <v>0</v>
      </c>
      <c r="BA56" s="15">
        <f>SUM(COUNTIFS('Data entry'!$R$6:$R$200,'Summary Data'!$A56,'Data entry'!$B$6:$B$200,{"Confirmed";"Probable"},'Data entry'!$AQ$6:$AQ$200,'Data Validation'!$V$6, 'Data entry'!$AP$6:$AP$200,'Data Validation'!$U$3, 'Data entry'!$BD$6:$BD$200,"&lt;&gt;*Negative*"))</f>
        <v>0</v>
      </c>
      <c r="BB56" s="15">
        <f>SUM(COUNTIFS('Data entry'!$R$6:$R$200,'Summary Data'!$A56,'Data entry'!$B$6:$B$200,{"Confirmed";"Probable"},'Data entry'!$AQ$6:$AQ$200,'Data Validation'!$V$6, 'Data entry'!$AP$6:$AP$200,'Data Validation'!$U$4, 'Data entry'!$BD$6:$BD$200,"&lt;&gt;*Negative*"))</f>
        <v>0</v>
      </c>
      <c r="BC56" s="15">
        <f>SUM(COUNTIFS('Data entry'!$R$6:$R$200,'Summary Data'!$A56,'Data entry'!$B$6:$B$200,{"Confirmed";"Probable"},'Data entry'!$AQ$6:$AQ$200,'Data Validation'!$V$6, 'Data entry'!$AP$6:$AP$200,'Data Validation'!$U$5, 'Data entry'!$BD$6:$BD$200,"&lt;&gt;*Negative*"))</f>
        <v>0</v>
      </c>
      <c r="BD56" s="15">
        <f>SUM(COUNTIFS('Data entry'!$R$6:$R$200,'Summary Data'!$A56,'Data entry'!$B$6:$B$200,{"Confirmed";"Probable"},'Data entry'!$AQ$6:$AQ$200,'Data Validation'!$V$6, 'Data entry'!$AP$6:$AP$200,'Data Validation'!$U$6, 'Data entry'!$BD$6:$BD$200,"&lt;&gt;*Negative*"))</f>
        <v>0</v>
      </c>
      <c r="BE56" s="15">
        <f>SUM(COUNTIFS('Data entry'!$R$6:$R$200,'Summary Data'!$A56,'Data entry'!$B$6:$B$200,{"Confirmed";"Probable"},'Data entry'!$AQ$6:$AQ$200,'Data Validation'!$V$7, 'Data entry'!$AP$6:$AP$200,'Data Validation'!$U$2, 'Data entry'!$BD$6:$BD$200,"&lt;&gt;*Negative*"))</f>
        <v>0</v>
      </c>
      <c r="BF56" s="15">
        <f>SUM(COUNTIFS('Data entry'!$R$6:$R$200,'Summary Data'!$A56,'Data entry'!$B$6:$B$200,{"Confirmed";"Probable"},'Data entry'!$AQ$6:$AQ$200,'Data Validation'!$V$7, 'Data entry'!$AP$6:$AP$200,'Data Validation'!$U$3, 'Data entry'!$BD$6:$BD$200,"&lt;&gt;*Negative*"))</f>
        <v>0</v>
      </c>
      <c r="BG56" s="15">
        <f>SUM(COUNTIFS('Data entry'!$R$6:$R$200,'Summary Data'!$A56,'Data entry'!$B$6:$B$200,{"Confirmed";"Probable"},'Data entry'!$AQ$6:$AQ$200,'Data Validation'!$V$7, 'Data entry'!$AP$6:$AP$200,'Data Validation'!$U$4, 'Data entry'!$BD$6:$BD$200,"&lt;&gt;*Negative*"))</f>
        <v>0</v>
      </c>
      <c r="BH56" s="15">
        <f>SUM(COUNTIFS('Data entry'!$R$6:$R$200,'Summary Data'!$A56,'Data entry'!$B$6:$B$200,{"Confirmed";"Probable"},'Data entry'!$AQ$6:$AQ$200,'Data Validation'!$V$7, 'Data entry'!$AP$6:$AP$200,'Data Validation'!$U$5, 'Data entry'!$BD$6:$BD$200,"&lt;&gt;*Negative*"))</f>
        <v>0</v>
      </c>
      <c r="BI56" s="15">
        <f>SUM(COUNTIFS('Data entry'!$R$6:$R$200,'Summary Data'!$A56,'Data entry'!$B$6:$B$200,{"Confirmed";"Probable"},'Data entry'!$AQ$6:$AQ$200,'Data Validation'!$V$7, 'Data entry'!$AP$6:$AP$200,'Data Validation'!$U$6, 'Data entry'!$BD$6:$BD$200,"&lt;&gt;*Negative*"))</f>
        <v>0</v>
      </c>
      <c r="BJ56" s="15">
        <f>SUM(COUNTIFS('Data entry'!$R$6:$R$200,'Summary Data'!$A56,'Data entry'!$B$6:$B$200,{"Confirmed";"Probable"},'Data entry'!$AQ$6:$AQ$200,'Data Validation'!$V$8, 'Data entry'!$AP$6:$AP$200,'Data Validation'!$U$2, 'Data entry'!$BD$6:$BD$200,"&lt;&gt;*Negative*"))</f>
        <v>0</v>
      </c>
      <c r="BK56" s="15">
        <f>SUM(COUNTIFS('Data entry'!$R$6:$R$200,'Summary Data'!$A56,'Data entry'!$B$6:$B$200,{"Confirmed";"Probable"},'Data entry'!$AQ$6:$AQ$200,'Data Validation'!$V$8, 'Data entry'!$AP$6:$AP$200,'Data Validation'!$U$3, 'Data entry'!$BD$6:$BD$200,"&lt;&gt;*Negative*"))</f>
        <v>0</v>
      </c>
      <c r="BL56" s="15">
        <f>SUM(COUNTIFS('Data entry'!$R$6:$R$200,'Summary Data'!$A56,'Data entry'!$B$6:$B$200,{"Confirmed";"Probable"},'Data entry'!$AQ$6:$AQ$200,'Data Validation'!$V$8, 'Data entry'!$AP$6:$AP$200,'Data Validation'!$U$4, 'Data entry'!$BD$6:$BD$200,"&lt;&gt;*Negative*"))</f>
        <v>0</v>
      </c>
      <c r="BM56" s="15">
        <f>SUM(COUNTIFS('Data entry'!$R$6:$R$200,'Summary Data'!$A56,'Data entry'!$B$6:$B$200,{"Confirmed";"Probable"},'Data entry'!$AQ$6:$AQ$200,'Data Validation'!$V$8, 'Data entry'!$AP$6:$AP$200,'Data Validation'!$U$5, 'Data entry'!$BD$6:$BD$200,"&lt;&gt;*Negative*"))</f>
        <v>0</v>
      </c>
      <c r="BN56" s="15">
        <f>SUM(COUNTIFS('Data entry'!$R$6:$R$200,'Summary Data'!$A56,'Data entry'!$B$6:$B$200,{"Confirmed";"Probable"},'Data entry'!$AQ$6:$AQ$200,'Data Validation'!$V$8, 'Data entry'!$AP$6:$AP$200,'Data Validation'!$U$6, 'Data entry'!$BD$6:$BD$200,"&lt;&gt;*Negative*"))</f>
        <v>0</v>
      </c>
      <c r="BO56" s="15">
        <f>SUM(COUNTIFS('Data entry'!$R$6:$R$200,'Summary Data'!$A56,'Data entry'!$B$6:$B$200,{"Confirmed";"Probable"},'Data entry'!$AQ$6:$AQ$200,'Data Validation'!$V$9, 'Data entry'!$AP$6:$AP$200,'Data Validation'!$U$2, 'Data entry'!$BD$6:$BD$200,"&lt;&gt;*Negative*"))</f>
        <v>0</v>
      </c>
      <c r="BP56" s="15">
        <f>SUM(COUNTIFS('Data entry'!$R$6:$R$200,'Summary Data'!$A56,'Data entry'!$B$6:$B$200,{"Confirmed";"Probable"},'Data entry'!$AQ$6:$AQ$200,'Data Validation'!$V$9, 'Data entry'!$AP$6:$AP$200,'Data Validation'!$U$3, 'Data entry'!$BD$6:$BD$200,"&lt;&gt;*Negative*"))</f>
        <v>0</v>
      </c>
      <c r="BQ56" s="15">
        <f>SUM(COUNTIFS('Data entry'!$R$6:$R$200,'Summary Data'!$A56,'Data entry'!$B$6:$B$200,{"Confirmed";"Probable"},'Data entry'!$AQ$6:$AQ$200,'Data Validation'!$V$9, 'Data entry'!$AP$6:$AP$200,'Data Validation'!$U$4, 'Data entry'!$BD$6:$BD$200,"&lt;&gt;*Negative*"))</f>
        <v>0</v>
      </c>
      <c r="BR56" s="15">
        <f>SUM(COUNTIFS('Data entry'!$R$6:$R$200,'Summary Data'!$A56,'Data entry'!$B$6:$B$200,{"Confirmed";"Probable"},'Data entry'!$AQ$6:$AQ$200,'Data Validation'!$V$9, 'Data entry'!$AP$6:$AP$200,'Data Validation'!$U$5, 'Data entry'!$BD$6:$BD$200,"&lt;&gt;*Negative*"))</f>
        <v>0</v>
      </c>
      <c r="BS56" s="15">
        <f>SUM(COUNTIFS('Data entry'!$R$6:$R$200,'Summary Data'!$A56,'Data entry'!$B$6:$B$200,{"Confirmed";"Probable"},'Data entry'!$AQ$6:$AQ$200,'Data Validation'!$V$9, 'Data entry'!$AP$6:$AP$200,'Data Validation'!$U$6, 'Data entry'!$BD$6:$BD$200,"&lt;&gt;*Negative*"))</f>
        <v>0</v>
      </c>
      <c r="BT56" s="15">
        <f>SUM(COUNTIFS('Data entry'!$R$6:$R$200,'Summary Data'!$A56,'Data entry'!$B$6:$B$200,{"Confirmed";"Probable"},'Data entry'!$AQ$6:$AQ$200,'Data Validation'!$V$10, 'Data entry'!$AP$6:$AP$200,'Data Validation'!$U$2, 'Data entry'!$BD$6:$BD$200,"&lt;&gt;*Negative*"))</f>
        <v>0</v>
      </c>
      <c r="BU56" s="15">
        <f>SUM(COUNTIFS('Data entry'!$R$6:$R$200,'Summary Data'!$A56,'Data entry'!$B$6:$B$200,{"Confirmed";"Probable"},'Data entry'!$AQ$6:$AQ$200,'Data Validation'!$V$10, 'Data entry'!$AP$6:$AP$200,'Data Validation'!$U$3, 'Data entry'!$BD$6:$BD$200,"&lt;&gt;*Negative*"))</f>
        <v>0</v>
      </c>
      <c r="BV56" s="15">
        <f>SUM(COUNTIFS('Data entry'!$R$6:$R$200,'Summary Data'!$A56,'Data entry'!$B$6:$B$200,{"Confirmed";"Probable"},'Data entry'!$AQ$6:$AQ$200,'Data Validation'!$V$10, 'Data entry'!$AP$6:$AP$200,'Data Validation'!$U$4, 'Data entry'!$BD$6:$BD$200,"&lt;&gt;*Negative*"))</f>
        <v>0</v>
      </c>
      <c r="BW56" s="15">
        <f>SUM(COUNTIFS('Data entry'!$R$6:$R$200,'Summary Data'!$A56,'Data entry'!$B$6:$B$200,{"Confirmed";"Probable"},'Data entry'!$AQ$6:$AQ$200,'Data Validation'!$V$10, 'Data entry'!$AP$6:$AP$200,'Data Validation'!$U$5, 'Data entry'!$BD$6:$BD$200,"&lt;&gt;*Negative*"))</f>
        <v>0</v>
      </c>
      <c r="BX56" s="15">
        <f>SUM(COUNTIFS('Data entry'!$R$6:$R$200,'Summary Data'!$A56,'Data entry'!$B$6:$B$200,{"Confirmed";"Probable"},'Data entry'!$AQ$6:$AQ$200,'Data Validation'!$V$10, 'Data entry'!$AP$6:$AP$200,'Data Validation'!$U$6, 'Data entry'!$BD$6:$BD$200,"&lt;&gt;*Negative*"))</f>
        <v>0</v>
      </c>
      <c r="BY56" s="15">
        <f>SUM(COUNTIFS('Data entry'!$R$6:$R$200,'Summary Data'!$A56,'Data entry'!$B$6:$B$200,{"Confirmed";"Probable"},'Data entry'!$AQ$6:$AQ$200,'Data Validation'!$V$11, 'Data entry'!$AP$6:$AP$200,'Data Validation'!$U$2, 'Data entry'!$BD$6:$BD$200,"&lt;&gt;*Negative*"))</f>
        <v>0</v>
      </c>
      <c r="BZ56" s="15">
        <f>SUM(COUNTIFS('Data entry'!$R$6:$R$200,'Summary Data'!$A56,'Data entry'!$B$6:$B$200,{"Confirmed";"Probable"},'Data entry'!$AQ$6:$AQ$200,'Data Validation'!$V$11, 'Data entry'!$AP$6:$AP$200,'Data Validation'!$U$3, 'Data entry'!$BD$6:$BD$200,"&lt;&gt;*Negative*"))</f>
        <v>0</v>
      </c>
      <c r="CA56" s="15">
        <f>SUM(COUNTIFS('Data entry'!$R$6:$R$200,'Summary Data'!$A56,'Data entry'!$B$6:$B$200,{"Confirmed";"Probable"},'Data entry'!$AQ$6:$AQ$200,'Data Validation'!$V$11, 'Data entry'!$AP$6:$AP$200,'Data Validation'!$U$4, 'Data entry'!$BD$6:$BD$200,"&lt;&gt;*Negative*"))</f>
        <v>0</v>
      </c>
      <c r="CB56" s="15">
        <f>SUM(COUNTIFS('Data entry'!$R$6:$R$200,'Summary Data'!$A56,'Data entry'!$B$6:$B$200,{"Confirmed";"Probable"},'Data entry'!$AQ$6:$AQ$200,'Data Validation'!$V$11, 'Data entry'!$AP$6:$AP$200,'Data Validation'!$U$5, 'Data entry'!$BD$6:$BD$200,"&lt;&gt;*Negative*"))</f>
        <v>0</v>
      </c>
      <c r="CC56" s="15">
        <f>SUM(COUNTIFS('Data entry'!$R$6:$R$200,'Summary Data'!$A56,'Data entry'!$B$6:$B$200,{"Confirmed";"Probable"},'Data entry'!$AQ$6:$AQ$200,'Data Validation'!$V$11, 'Data entry'!$AP$6:$AP$200,'Data Validation'!$U$6, 'Data entry'!$BD$6:$BD$200,"&lt;&gt;*Negative*"))</f>
        <v>0</v>
      </c>
    </row>
    <row r="57" spans="1:81" x14ac:dyDescent="0.25">
      <c r="A57" s="12">
        <f t="shared" si="5"/>
        <v>45</v>
      </c>
      <c r="B57" s="13">
        <f t="shared" si="2"/>
        <v>0</v>
      </c>
      <c r="C57" s="13">
        <f>COUNTIFS('Data entry'!$R$6:$R$200,$A57,'Data entry'!$B$6:$B$200,"Confirmed",'Data entry'!$BD$6:$BD$200,"&lt;&gt;*Negative*")</f>
        <v>0</v>
      </c>
      <c r="D57" s="13">
        <f>COUNTIFS('Data entry'!$R$6:$R$200,$A57,'Data entry'!$B$6:$B$200,"Probable",'Data entry'!$BD$6:$BD$200,"&lt;&gt;*Negative*")</f>
        <v>0</v>
      </c>
      <c r="E57" s="13">
        <f>COUNTIFS('Data entry'!$R$6:$R$200,$A57,'Data entry'!$B$6:$B$200,"DNM")</f>
        <v>0</v>
      </c>
      <c r="F57" s="13">
        <f>SUM(COUNTIFS('Data entry'!$R$6:$R$200,'Summary Data'!$A57,'Data entry'!$B$6:$B$200,{"Confirmed";"Probable"},'Data entry'!$AO$6:$AO$200,$F$10, 'Data entry'!$BD$6:$BD$200,"&lt;&gt;*Negative*"))</f>
        <v>0</v>
      </c>
      <c r="G57" s="13">
        <f>SUM(COUNTIFS('Data entry'!$R$6:$R$200,'Summary Data'!$A57,'Data entry'!$B$6:$B$200,{"Confirmed";"Probable"},'Data entry'!$AO$6:$AO$200,$G$10, 'Data entry'!$BD$6:$BD$200,"&lt;&gt;*Negative*"))</f>
        <v>0</v>
      </c>
      <c r="H57" s="13">
        <f>SUM(COUNTIFS('Data entry'!$R$6:$R$200,'Summary Data'!$A57,'Data entry'!$B$6:$B$200,{"Confirmed";"Probable"},'Data entry'!$AO$6:$AO$200,$H$10, 'Data entry'!$BD$6:$BD$200,"&lt;&gt;*Negative*"))</f>
        <v>0</v>
      </c>
      <c r="I57" s="13">
        <f>SUM(COUNTIFS('Data entry'!$R$6:$R$200,'Summary Data'!$A57,'Data entry'!$B$6:$B$200,{"Confirmed";"Probable"},'Data entry'!$AO$6:$AO$200,$I$10, 'Data entry'!$BD$6:$BD$200,"&lt;&gt;*Negative*"))</f>
        <v>0</v>
      </c>
      <c r="J57" s="13">
        <f>SUM(COUNTIFS('Data entry'!$R$6:$R$200,'Summary Data'!$A57,'Data entry'!$B$6:$B$200,{"Confirmed";"Probable"},'Data entry'!$AO$6:$AO$200,$J$10, 'Data entry'!$BD$6:$BD$200,"&lt;&gt;*Negative*"))</f>
        <v>0</v>
      </c>
      <c r="K57" s="13">
        <f>SUM(COUNTIFS('Data entry'!$R$6:$R$200,'Summary Data'!$A57,'Data entry'!$B$6:$B$200,{"Confirmed";"Probable"},'Data entry'!$AO$6:$AO$200,$K$10, 'Data entry'!$BD$6:$BD$200,"&lt;&gt;*Negative*"))</f>
        <v>0</v>
      </c>
      <c r="L57" s="13">
        <f>SUM(COUNTIFS('Data entry'!$R$6:$R$200,'Summary Data'!$A57,'Data entry'!$B$6:$B$200,{"Confirmed";"Probable"},'Data entry'!$AO$6:$AO$200,$L$10, 'Data entry'!$BD$6:$BD$200,"&lt;&gt;*Negative*"))</f>
        <v>0</v>
      </c>
      <c r="M57" s="13">
        <f>SUM(COUNTIFS('Data entry'!$R$6:$R$200,'Summary Data'!$A57,'Data entry'!$B$6:$B$200,{"Confirmed";"Probable"},'Data entry'!$AO$6:$AO$200,$M$10, 'Data entry'!$BD$6:$BD$200,"&lt;&gt;*Negative*"))</f>
        <v>0</v>
      </c>
      <c r="N57" s="13">
        <f>SUM(COUNTIFS('Data entry'!$R$6:$R$200,'Summary Data'!$A57,'Data entry'!$B$6:$B$200,{"Confirmed";"Probable"},'Data entry'!$AO$6:$AO$200,$N$10, 'Data entry'!$BD$6:$BD$200,"&lt;&gt;*Negative*"))</f>
        <v>0</v>
      </c>
      <c r="O57" s="15">
        <f t="shared" si="3"/>
        <v>0</v>
      </c>
      <c r="P57" s="15">
        <f t="shared" si="4"/>
        <v>0</v>
      </c>
      <c r="Q57" s="15">
        <f>SUM(COUNTIFS('Data entry'!$R$6:$R$200,'Summary Data'!$A57,'Data entry'!$B$6:$B$200,{"Confirmed";"Probable"},'Data entry'!$AP$6:$AP$200,'Data Validation'!$U$2, 'Data entry'!$BD$6:$BD$200,"&lt;&gt;*Negative*"))</f>
        <v>0</v>
      </c>
      <c r="R57" s="15">
        <f>SUM(COUNTIFS('Data entry'!$R$6:$R$200,'Summary Data'!$A57,'Data entry'!$B$6:$B$200,{"Confirmed";"Probable"},'Data entry'!$AP$6:$AP$200,'Data Validation'!$U$3, 'Data entry'!$BD$6:$BD$200,"&lt;&gt;*Negative*"))</f>
        <v>0</v>
      </c>
      <c r="S57" s="15">
        <f>SUM(COUNTIFS('Data entry'!$R$6:$R$200,'Summary Data'!$A57,'Data entry'!$B$6:$B$200,{"Confirmed";"Probable"},'Data entry'!$AP$6:$AP$200,'Data Validation'!$U$4, 'Data entry'!$BD$6:$BD$200,"&lt;&gt;*Negative*"))</f>
        <v>0</v>
      </c>
      <c r="T57" s="15">
        <f>SUM(COUNTIFS('Data entry'!$R$6:$R$200,'Summary Data'!$A57,'Data entry'!$B$6:$B$200,{"Confirmed";"Probable"},'Data entry'!$AP$6:$AP$200,'Data Validation'!$U$5, 'Data entry'!$BD$6:$BD$200,"&lt;&gt;*Negative*"))</f>
        <v>0</v>
      </c>
      <c r="U57" s="15">
        <f>SUM(COUNTIFS('Data entry'!$R$6:$R$200,'Summary Data'!$A57,'Data entry'!$B$6:$B$200,{"Confirmed";"Probable"},'Data entry'!$AP$6:$AP$200,'Data Validation'!$U$6, 'Data entry'!$BD$6:$BD$200,"&lt;&gt;*Negative*"))</f>
        <v>0</v>
      </c>
      <c r="V57" s="15">
        <f>SUM(COUNTIFS('Data entry'!$R$6:$R$200,'Summary Data'!$A57,'Data entry'!$B$6:$B$200,{"Confirmed";"Probable"},'Data entry'!$AQ$6:$AQ$200,'Data Validation'!$V$2, 'Data entry'!$BD$6:$BD$200,"&lt;&gt;*Negative*"))</f>
        <v>0</v>
      </c>
      <c r="W57" s="15">
        <f>SUM(COUNTIFS('Data entry'!$R$6:$R$200,'Summary Data'!$A57,'Data entry'!$B$6:$B$200,{"Confirmed";"Probable"},'Data entry'!$AQ$6:$AQ$200,'Data Validation'!$V$3, 'Data entry'!$BD$6:$BD$200,"&lt;&gt;*Negative*"))</f>
        <v>0</v>
      </c>
      <c r="X57" s="15">
        <f>SUM(COUNTIFS('Data entry'!$R$6:$R$200,'Summary Data'!$A57,'Data entry'!$B$6:$B$200,{"Confirmed";"Probable"},'Data entry'!$AQ$6:$AQ$200,'Data Validation'!$V$4, 'Data entry'!$BD$6:$BD$200,"&lt;&gt;*Negative*"))</f>
        <v>0</v>
      </c>
      <c r="Y57" s="15">
        <f>SUM(COUNTIFS('Data entry'!$R$6:$R$200,'Summary Data'!$A57,'Data entry'!$B$6:$B$200,{"Confirmed";"Probable"},'Data entry'!$AQ$6:$AQ$200,'Data Validation'!$V$5, 'Data entry'!$BD$6:$BD$200,"&lt;&gt;*Negative*"))</f>
        <v>0</v>
      </c>
      <c r="Z57" s="15">
        <f>SUM(COUNTIFS('Data entry'!$R$6:$R$200,'Summary Data'!$A57,'Data entry'!$B$6:$B$200,{"Confirmed";"Probable"},'Data entry'!$AQ$6:$AQ$200,'Data Validation'!$V$6, 'Data entry'!$BD$6:$BD$200,"&lt;&gt;*Negative*"))</f>
        <v>0</v>
      </c>
      <c r="AA57" s="15">
        <f>SUM(COUNTIFS('Data entry'!$R$6:$R$200,'Summary Data'!$A57,'Data entry'!$B$6:$B$200,{"Confirmed";"Probable"},'Data entry'!$AQ$6:$AQ$200,'Data Validation'!$V$7, 'Data entry'!$BD$6:$BD$200,"&lt;&gt;*Negative*"))</f>
        <v>0</v>
      </c>
      <c r="AB57" s="15">
        <f>SUM(COUNTIFS('Data entry'!$R$6:$R$200,'Summary Data'!$A57,'Data entry'!$B$6:$B$200,{"Confirmed";"Probable"},'Data entry'!$AQ$6:$AQ$200,'Data Validation'!$V$8, 'Data entry'!$BD$6:$BD$200,"&lt;&gt;*Negative*"))</f>
        <v>0</v>
      </c>
      <c r="AC57" s="15">
        <f>SUM(COUNTIFS('Data entry'!$R$6:$R$200,'Summary Data'!$A57,'Data entry'!$B$6:$B$200,{"Confirmed";"Probable"},'Data entry'!$AQ$6:$AQ$200,'Data Validation'!$V$9, 'Data entry'!$BD$6:$BD$200,"&lt;&gt;*Negative*"))</f>
        <v>0</v>
      </c>
      <c r="AD57" s="15">
        <f>SUM(COUNTIFS('Data entry'!$R$6:$R$200,'Summary Data'!$A57,'Data entry'!$B$6:$B$200,{"Confirmed";"Probable"},'Data entry'!$AQ$6:$AQ$200,'Data Validation'!$V$10, 'Data entry'!$BD$6:$BD$200,"&lt;&gt;*Negative*"))</f>
        <v>0</v>
      </c>
      <c r="AE57" s="15">
        <f>SUM(COUNTIFS('Data entry'!$R$6:$R$200,'Summary Data'!$A57,'Data entry'!$B$6:$B$200,{"Confirmed";"Probable"},'Data entry'!$AQ$6:$AQ$200,'Data Validation'!$V$11, 'Data entry'!$BD$6:$BD$200,"&lt;&gt;*Negative*"))</f>
        <v>0</v>
      </c>
      <c r="AF57" s="15">
        <f>SUM(COUNTIFS('Data entry'!$R$6:$R$200,'Summary Data'!$A57,'Data entry'!$B$6:$B$200,{"Confirmed";"Probable"},'Data entry'!$AQ$6:$AQ$200,'Data Validation'!$V$2, 'Data entry'!$AP$6:$AP$200,'Data Validation'!$U$2, 'Data entry'!$BD$6:$BD$200,"&lt;&gt;*Negative*"))</f>
        <v>0</v>
      </c>
      <c r="AG57" s="15">
        <f>SUM(COUNTIFS('Data entry'!$R$6:$R$200,'Summary Data'!$A57,'Data entry'!$B$6:$B$200,{"Confirmed";"Probable"},'Data entry'!$AQ$6:$AQ$200,'Data Validation'!$V$2, 'Data entry'!$AP$6:$AP$200,'Data Validation'!$U$3, 'Data entry'!$BD$6:$BD$200,"&lt;&gt;*Negative*"))</f>
        <v>0</v>
      </c>
      <c r="AH57" s="15">
        <f>SUM(COUNTIFS('Data entry'!$R$6:$R$200,'Summary Data'!$A57,'Data entry'!$B$6:$B$200,{"Confirmed";"Probable"},'Data entry'!$AQ$6:$AQ$200,'Data Validation'!$V$2, 'Data entry'!$AP$6:$AP$200,'Data Validation'!$U$4, 'Data entry'!$BD$6:$BD$200,"&lt;&gt;*Negative*"))</f>
        <v>0</v>
      </c>
      <c r="AI57" s="15">
        <f>SUM(COUNTIFS('Data entry'!$R$6:$R$200,'Summary Data'!$A57,'Data entry'!$B$6:$B$200,{"Confirmed";"Probable"},'Data entry'!$AQ$6:$AQ$200,'Data Validation'!$V$2, 'Data entry'!$AP$6:$AP$200,'Data Validation'!$U$5, 'Data entry'!$BD$6:$BD$200,"&lt;&gt;*Negative*"))</f>
        <v>0</v>
      </c>
      <c r="AJ57" s="15">
        <f>SUM(COUNTIFS('Data entry'!$R$6:$R$200,'Summary Data'!$A57,'Data entry'!$B$6:$B$200,{"Confirmed";"Probable"},'Data entry'!$AQ$6:$AQ$200,'Data Validation'!$V$2, 'Data entry'!$AP$6:$AP$200,'Data Validation'!$U$6, 'Data entry'!$BD$6:$BD$200,"&lt;&gt;*Negative*"))</f>
        <v>0</v>
      </c>
      <c r="AK57" s="15">
        <f>SUM(COUNTIFS('Data entry'!$R$6:$R$200,'Summary Data'!$A57,'Data entry'!$B$6:$B$200,{"Confirmed";"Probable"},'Data entry'!$AQ$6:$AQ$200,'Data Validation'!$V$3, 'Data entry'!$AP$6:$AP$200,'Data Validation'!$U$2, 'Data entry'!$BD$6:$BD$200,"&lt;&gt;*Negative*"))</f>
        <v>0</v>
      </c>
      <c r="AL57" s="15">
        <f>SUM(COUNTIFS('Data entry'!$R$6:$R$200,'Summary Data'!$A57,'Data entry'!$B$6:$B$200,{"Confirmed";"Probable"},'Data entry'!$AQ$6:$AQ$200,'Data Validation'!$V$3, 'Data entry'!$AP$6:$AP$200,'Data Validation'!$U$3, 'Data entry'!$BD$6:$BD$200,"&lt;&gt;*Negative*"))</f>
        <v>0</v>
      </c>
      <c r="AM57" s="15">
        <f>SUM(COUNTIFS('Data entry'!$R$6:$R$200,'Summary Data'!$A57,'Data entry'!$B$6:$B$200,{"Confirmed";"Probable"},'Data entry'!$AQ$6:$AQ$200,'Data Validation'!$V$3, 'Data entry'!$AP$6:$AP$200,'Data Validation'!$U$4, 'Data entry'!$BD$6:$BD$200,"&lt;&gt;*Negative*"))</f>
        <v>0</v>
      </c>
      <c r="AN57" s="15">
        <f>SUM(COUNTIFS('Data entry'!$R$6:$R$200,'Summary Data'!$A57,'Data entry'!$B$6:$B$200,{"Confirmed";"Probable"},'Data entry'!$AQ$6:$AQ$200,'Data Validation'!$V$3, 'Data entry'!$AP$6:$AP$200,'Data Validation'!$U$5, 'Data entry'!$BD$6:$BD$200,"&lt;&gt;*Negative*"))</f>
        <v>0</v>
      </c>
      <c r="AO57" s="15">
        <f>SUM(COUNTIFS('Data entry'!$R$6:$R$200,'Summary Data'!$A57,'Data entry'!$B$6:$B$200,{"Confirmed";"Probable"},'Data entry'!$AQ$6:$AQ$200,'Data Validation'!$V$3, 'Data entry'!$AP$6:$AP$200,'Data Validation'!$U$6, 'Data entry'!$BD$6:$BD$200,"&lt;&gt;*Negative*"))</f>
        <v>0</v>
      </c>
      <c r="AP57" s="15">
        <f>SUM(COUNTIFS('Data entry'!$R$6:$R$200,'Summary Data'!$A57,'Data entry'!$B$6:$B$200,{"Confirmed";"Probable"},'Data entry'!$AQ$6:$AQ$200,'Data Validation'!$V$4, 'Data entry'!$AP$6:$AP$200,'Data Validation'!$U$2, 'Data entry'!$BD$6:$BD$200,"&lt;&gt;*Negative*"))</f>
        <v>0</v>
      </c>
      <c r="AQ57" s="15">
        <f>SUM(COUNTIFS('Data entry'!$R$6:$R$200,'Summary Data'!$A57,'Data entry'!$B$6:$B$200,{"Confirmed";"Probable"},'Data entry'!$AQ$6:$AQ$200,'Data Validation'!$V$4, 'Data entry'!$AP$6:$AP$200,'Data Validation'!$U$3, 'Data entry'!$BD$6:$BD$200,"&lt;&gt;*Negative*"))</f>
        <v>0</v>
      </c>
      <c r="AR57" s="15">
        <f>SUM(COUNTIFS('Data entry'!$R$6:$R$200,'Summary Data'!$A57,'Data entry'!$B$6:$B$200,{"Confirmed";"Probable"},'Data entry'!$AQ$6:$AQ$200,'Data Validation'!$V$4, 'Data entry'!$AP$6:$AP$200,'Data Validation'!$U$4, 'Data entry'!$BD$6:$BD$200,"&lt;&gt;*Negative*"))</f>
        <v>0</v>
      </c>
      <c r="AS57" s="15">
        <f>SUM(COUNTIFS('Data entry'!$R$6:$R$200,'Summary Data'!$A57,'Data entry'!$B$6:$B$200,{"Confirmed";"Probable"},'Data entry'!$AQ$6:$AQ$200,'Data Validation'!$V$4, 'Data entry'!$AP$6:$AP$200,'Data Validation'!$U$5, 'Data entry'!$BD$6:$BD$200,"&lt;&gt;*Negative*"))</f>
        <v>0</v>
      </c>
      <c r="AT57" s="15">
        <f>SUM(COUNTIFS('Data entry'!$R$6:$R$200,'Summary Data'!$A57,'Data entry'!$B$6:$B$200,{"Confirmed";"Probable"},'Data entry'!$AQ$6:$AQ$200,'Data Validation'!$V$4, 'Data entry'!$AP$6:$AP$200,'Data Validation'!$U$6, 'Data entry'!$BD$6:$BD$200,"&lt;&gt;*Negative*"))</f>
        <v>0</v>
      </c>
      <c r="AU57" s="15">
        <f>SUM(COUNTIFS('Data entry'!$R$6:$R$200,'Summary Data'!$A57,'Data entry'!$B$6:$B$200,{"Confirmed";"Probable"},'Data entry'!$AQ$6:$AQ$200,'Data Validation'!$V$5, 'Data entry'!$AP$6:$AP$200,'Data Validation'!$U$2, 'Data entry'!$BD$6:$BD$200,"&lt;&gt;*Negative*"))</f>
        <v>0</v>
      </c>
      <c r="AV57" s="15">
        <f>SUM(COUNTIFS('Data entry'!$R$6:$R$200,'Summary Data'!$A57,'Data entry'!$B$6:$B$200,{"Confirmed";"Probable"},'Data entry'!$AQ$6:$AQ$200,'Data Validation'!$V$5, 'Data entry'!$AP$6:$AP$200,'Data Validation'!$U$3, 'Data entry'!$BD$6:$BD$200,"&lt;&gt;*Negative*"))</f>
        <v>0</v>
      </c>
      <c r="AW57" s="15">
        <f>SUM(COUNTIFS('Data entry'!$R$6:$R$200,'Summary Data'!$A57,'Data entry'!$B$6:$B$200,{"Confirmed";"Probable"},'Data entry'!$AQ$6:$AQ$200,'Data Validation'!$V$5, 'Data entry'!$AP$6:$AP$200,'Data Validation'!$U$4, 'Data entry'!$BD$6:$BD$200,"&lt;&gt;*Negative*"))</f>
        <v>0</v>
      </c>
      <c r="AX57" s="15">
        <f>SUM(COUNTIFS('Data entry'!$R$6:$R$200,'Summary Data'!$A57,'Data entry'!$B$6:$B$200,{"Confirmed";"Probable"},'Data entry'!$AQ$6:$AQ$200,'Data Validation'!$V$5, 'Data entry'!$AP$6:$AP$200,'Data Validation'!$U$5, 'Data entry'!$BD$6:$BD$200,"&lt;&gt;*Negative*"))</f>
        <v>0</v>
      </c>
      <c r="AY57" s="15">
        <f>SUM(COUNTIFS('Data entry'!$R$6:$R$200,'Summary Data'!$A57,'Data entry'!$B$6:$B$200,{"Confirmed";"Probable"},'Data entry'!$AQ$6:$AQ$200,'Data Validation'!$V$5, 'Data entry'!$AP$6:$AP$200,'Data Validation'!$U$6, 'Data entry'!$BD$6:$BD$200,"&lt;&gt;*Negative*"))</f>
        <v>0</v>
      </c>
      <c r="AZ57" s="15">
        <f>SUM(COUNTIFS('Data entry'!$R$6:$R$200,'Summary Data'!$A57,'Data entry'!$B$6:$B$200,{"Confirmed";"Probable"},'Data entry'!$AQ$6:$AQ$200,'Data Validation'!$V$6, 'Data entry'!$AP$6:$AP$200,'Data Validation'!$U$2, 'Data entry'!$BD$6:$BD$200,"&lt;&gt;*Negative*"))</f>
        <v>0</v>
      </c>
      <c r="BA57" s="15">
        <f>SUM(COUNTIFS('Data entry'!$R$6:$R$200,'Summary Data'!$A57,'Data entry'!$B$6:$B$200,{"Confirmed";"Probable"},'Data entry'!$AQ$6:$AQ$200,'Data Validation'!$V$6, 'Data entry'!$AP$6:$AP$200,'Data Validation'!$U$3, 'Data entry'!$BD$6:$BD$200,"&lt;&gt;*Negative*"))</f>
        <v>0</v>
      </c>
      <c r="BB57" s="15">
        <f>SUM(COUNTIFS('Data entry'!$R$6:$R$200,'Summary Data'!$A57,'Data entry'!$B$6:$B$200,{"Confirmed";"Probable"},'Data entry'!$AQ$6:$AQ$200,'Data Validation'!$V$6, 'Data entry'!$AP$6:$AP$200,'Data Validation'!$U$4, 'Data entry'!$BD$6:$BD$200,"&lt;&gt;*Negative*"))</f>
        <v>0</v>
      </c>
      <c r="BC57" s="15">
        <f>SUM(COUNTIFS('Data entry'!$R$6:$R$200,'Summary Data'!$A57,'Data entry'!$B$6:$B$200,{"Confirmed";"Probable"},'Data entry'!$AQ$6:$AQ$200,'Data Validation'!$V$6, 'Data entry'!$AP$6:$AP$200,'Data Validation'!$U$5, 'Data entry'!$BD$6:$BD$200,"&lt;&gt;*Negative*"))</f>
        <v>0</v>
      </c>
      <c r="BD57" s="15">
        <f>SUM(COUNTIFS('Data entry'!$R$6:$R$200,'Summary Data'!$A57,'Data entry'!$B$6:$B$200,{"Confirmed";"Probable"},'Data entry'!$AQ$6:$AQ$200,'Data Validation'!$V$6, 'Data entry'!$AP$6:$AP$200,'Data Validation'!$U$6, 'Data entry'!$BD$6:$BD$200,"&lt;&gt;*Negative*"))</f>
        <v>0</v>
      </c>
      <c r="BE57" s="15">
        <f>SUM(COUNTIFS('Data entry'!$R$6:$R$200,'Summary Data'!$A57,'Data entry'!$B$6:$B$200,{"Confirmed";"Probable"},'Data entry'!$AQ$6:$AQ$200,'Data Validation'!$V$7, 'Data entry'!$AP$6:$AP$200,'Data Validation'!$U$2, 'Data entry'!$BD$6:$BD$200,"&lt;&gt;*Negative*"))</f>
        <v>0</v>
      </c>
      <c r="BF57" s="15">
        <f>SUM(COUNTIFS('Data entry'!$R$6:$R$200,'Summary Data'!$A57,'Data entry'!$B$6:$B$200,{"Confirmed";"Probable"},'Data entry'!$AQ$6:$AQ$200,'Data Validation'!$V$7, 'Data entry'!$AP$6:$AP$200,'Data Validation'!$U$3, 'Data entry'!$BD$6:$BD$200,"&lt;&gt;*Negative*"))</f>
        <v>0</v>
      </c>
      <c r="BG57" s="15">
        <f>SUM(COUNTIFS('Data entry'!$R$6:$R$200,'Summary Data'!$A57,'Data entry'!$B$6:$B$200,{"Confirmed";"Probable"},'Data entry'!$AQ$6:$AQ$200,'Data Validation'!$V$7, 'Data entry'!$AP$6:$AP$200,'Data Validation'!$U$4, 'Data entry'!$BD$6:$BD$200,"&lt;&gt;*Negative*"))</f>
        <v>0</v>
      </c>
      <c r="BH57" s="15">
        <f>SUM(COUNTIFS('Data entry'!$R$6:$R$200,'Summary Data'!$A57,'Data entry'!$B$6:$B$200,{"Confirmed";"Probable"},'Data entry'!$AQ$6:$AQ$200,'Data Validation'!$V$7, 'Data entry'!$AP$6:$AP$200,'Data Validation'!$U$5, 'Data entry'!$BD$6:$BD$200,"&lt;&gt;*Negative*"))</f>
        <v>0</v>
      </c>
      <c r="BI57" s="15">
        <f>SUM(COUNTIFS('Data entry'!$R$6:$R$200,'Summary Data'!$A57,'Data entry'!$B$6:$B$200,{"Confirmed";"Probable"},'Data entry'!$AQ$6:$AQ$200,'Data Validation'!$V$7, 'Data entry'!$AP$6:$AP$200,'Data Validation'!$U$6, 'Data entry'!$BD$6:$BD$200,"&lt;&gt;*Negative*"))</f>
        <v>0</v>
      </c>
      <c r="BJ57" s="15">
        <f>SUM(COUNTIFS('Data entry'!$R$6:$R$200,'Summary Data'!$A57,'Data entry'!$B$6:$B$200,{"Confirmed";"Probable"},'Data entry'!$AQ$6:$AQ$200,'Data Validation'!$V$8, 'Data entry'!$AP$6:$AP$200,'Data Validation'!$U$2, 'Data entry'!$BD$6:$BD$200,"&lt;&gt;*Negative*"))</f>
        <v>0</v>
      </c>
      <c r="BK57" s="15">
        <f>SUM(COUNTIFS('Data entry'!$R$6:$R$200,'Summary Data'!$A57,'Data entry'!$B$6:$B$200,{"Confirmed";"Probable"},'Data entry'!$AQ$6:$AQ$200,'Data Validation'!$V$8, 'Data entry'!$AP$6:$AP$200,'Data Validation'!$U$3, 'Data entry'!$BD$6:$BD$200,"&lt;&gt;*Negative*"))</f>
        <v>0</v>
      </c>
      <c r="BL57" s="15">
        <f>SUM(COUNTIFS('Data entry'!$R$6:$R$200,'Summary Data'!$A57,'Data entry'!$B$6:$B$200,{"Confirmed";"Probable"},'Data entry'!$AQ$6:$AQ$200,'Data Validation'!$V$8, 'Data entry'!$AP$6:$AP$200,'Data Validation'!$U$4, 'Data entry'!$BD$6:$BD$200,"&lt;&gt;*Negative*"))</f>
        <v>0</v>
      </c>
      <c r="BM57" s="15">
        <f>SUM(COUNTIFS('Data entry'!$R$6:$R$200,'Summary Data'!$A57,'Data entry'!$B$6:$B$200,{"Confirmed";"Probable"},'Data entry'!$AQ$6:$AQ$200,'Data Validation'!$V$8, 'Data entry'!$AP$6:$AP$200,'Data Validation'!$U$5, 'Data entry'!$BD$6:$BD$200,"&lt;&gt;*Negative*"))</f>
        <v>0</v>
      </c>
      <c r="BN57" s="15">
        <f>SUM(COUNTIFS('Data entry'!$R$6:$R$200,'Summary Data'!$A57,'Data entry'!$B$6:$B$200,{"Confirmed";"Probable"},'Data entry'!$AQ$6:$AQ$200,'Data Validation'!$V$8, 'Data entry'!$AP$6:$AP$200,'Data Validation'!$U$6, 'Data entry'!$BD$6:$BD$200,"&lt;&gt;*Negative*"))</f>
        <v>0</v>
      </c>
      <c r="BO57" s="15">
        <f>SUM(COUNTIFS('Data entry'!$R$6:$R$200,'Summary Data'!$A57,'Data entry'!$B$6:$B$200,{"Confirmed";"Probable"},'Data entry'!$AQ$6:$AQ$200,'Data Validation'!$V$9, 'Data entry'!$AP$6:$AP$200,'Data Validation'!$U$2, 'Data entry'!$BD$6:$BD$200,"&lt;&gt;*Negative*"))</f>
        <v>0</v>
      </c>
      <c r="BP57" s="15">
        <f>SUM(COUNTIFS('Data entry'!$R$6:$R$200,'Summary Data'!$A57,'Data entry'!$B$6:$B$200,{"Confirmed";"Probable"},'Data entry'!$AQ$6:$AQ$200,'Data Validation'!$V$9, 'Data entry'!$AP$6:$AP$200,'Data Validation'!$U$3, 'Data entry'!$BD$6:$BD$200,"&lt;&gt;*Negative*"))</f>
        <v>0</v>
      </c>
      <c r="BQ57" s="15">
        <f>SUM(COUNTIFS('Data entry'!$R$6:$R$200,'Summary Data'!$A57,'Data entry'!$B$6:$B$200,{"Confirmed";"Probable"},'Data entry'!$AQ$6:$AQ$200,'Data Validation'!$V$9, 'Data entry'!$AP$6:$AP$200,'Data Validation'!$U$4, 'Data entry'!$BD$6:$BD$200,"&lt;&gt;*Negative*"))</f>
        <v>0</v>
      </c>
      <c r="BR57" s="15">
        <f>SUM(COUNTIFS('Data entry'!$R$6:$R$200,'Summary Data'!$A57,'Data entry'!$B$6:$B$200,{"Confirmed";"Probable"},'Data entry'!$AQ$6:$AQ$200,'Data Validation'!$V$9, 'Data entry'!$AP$6:$AP$200,'Data Validation'!$U$5, 'Data entry'!$BD$6:$BD$200,"&lt;&gt;*Negative*"))</f>
        <v>0</v>
      </c>
      <c r="BS57" s="15">
        <f>SUM(COUNTIFS('Data entry'!$R$6:$R$200,'Summary Data'!$A57,'Data entry'!$B$6:$B$200,{"Confirmed";"Probable"},'Data entry'!$AQ$6:$AQ$200,'Data Validation'!$V$9, 'Data entry'!$AP$6:$AP$200,'Data Validation'!$U$6, 'Data entry'!$BD$6:$BD$200,"&lt;&gt;*Negative*"))</f>
        <v>0</v>
      </c>
      <c r="BT57" s="15">
        <f>SUM(COUNTIFS('Data entry'!$R$6:$R$200,'Summary Data'!$A57,'Data entry'!$B$6:$B$200,{"Confirmed";"Probable"},'Data entry'!$AQ$6:$AQ$200,'Data Validation'!$V$10, 'Data entry'!$AP$6:$AP$200,'Data Validation'!$U$2, 'Data entry'!$BD$6:$BD$200,"&lt;&gt;*Negative*"))</f>
        <v>0</v>
      </c>
      <c r="BU57" s="15">
        <f>SUM(COUNTIFS('Data entry'!$R$6:$R$200,'Summary Data'!$A57,'Data entry'!$B$6:$B$200,{"Confirmed";"Probable"},'Data entry'!$AQ$6:$AQ$200,'Data Validation'!$V$10, 'Data entry'!$AP$6:$AP$200,'Data Validation'!$U$3, 'Data entry'!$BD$6:$BD$200,"&lt;&gt;*Negative*"))</f>
        <v>0</v>
      </c>
      <c r="BV57" s="15">
        <f>SUM(COUNTIFS('Data entry'!$R$6:$R$200,'Summary Data'!$A57,'Data entry'!$B$6:$B$200,{"Confirmed";"Probable"},'Data entry'!$AQ$6:$AQ$200,'Data Validation'!$V$10, 'Data entry'!$AP$6:$AP$200,'Data Validation'!$U$4, 'Data entry'!$BD$6:$BD$200,"&lt;&gt;*Negative*"))</f>
        <v>0</v>
      </c>
      <c r="BW57" s="15">
        <f>SUM(COUNTIFS('Data entry'!$R$6:$R$200,'Summary Data'!$A57,'Data entry'!$B$6:$B$200,{"Confirmed";"Probable"},'Data entry'!$AQ$6:$AQ$200,'Data Validation'!$V$10, 'Data entry'!$AP$6:$AP$200,'Data Validation'!$U$5, 'Data entry'!$BD$6:$BD$200,"&lt;&gt;*Negative*"))</f>
        <v>0</v>
      </c>
      <c r="BX57" s="15">
        <f>SUM(COUNTIFS('Data entry'!$R$6:$R$200,'Summary Data'!$A57,'Data entry'!$B$6:$B$200,{"Confirmed";"Probable"},'Data entry'!$AQ$6:$AQ$200,'Data Validation'!$V$10, 'Data entry'!$AP$6:$AP$200,'Data Validation'!$U$6, 'Data entry'!$BD$6:$BD$200,"&lt;&gt;*Negative*"))</f>
        <v>0</v>
      </c>
      <c r="BY57" s="15">
        <f>SUM(COUNTIFS('Data entry'!$R$6:$R$200,'Summary Data'!$A57,'Data entry'!$B$6:$B$200,{"Confirmed";"Probable"},'Data entry'!$AQ$6:$AQ$200,'Data Validation'!$V$11, 'Data entry'!$AP$6:$AP$200,'Data Validation'!$U$2, 'Data entry'!$BD$6:$BD$200,"&lt;&gt;*Negative*"))</f>
        <v>0</v>
      </c>
      <c r="BZ57" s="15">
        <f>SUM(COUNTIFS('Data entry'!$R$6:$R$200,'Summary Data'!$A57,'Data entry'!$B$6:$B$200,{"Confirmed";"Probable"},'Data entry'!$AQ$6:$AQ$200,'Data Validation'!$V$11, 'Data entry'!$AP$6:$AP$200,'Data Validation'!$U$3, 'Data entry'!$BD$6:$BD$200,"&lt;&gt;*Negative*"))</f>
        <v>0</v>
      </c>
      <c r="CA57" s="15">
        <f>SUM(COUNTIFS('Data entry'!$R$6:$R$200,'Summary Data'!$A57,'Data entry'!$B$6:$B$200,{"Confirmed";"Probable"},'Data entry'!$AQ$6:$AQ$200,'Data Validation'!$V$11, 'Data entry'!$AP$6:$AP$200,'Data Validation'!$U$4, 'Data entry'!$BD$6:$BD$200,"&lt;&gt;*Negative*"))</f>
        <v>0</v>
      </c>
      <c r="CB57" s="15">
        <f>SUM(COUNTIFS('Data entry'!$R$6:$R$200,'Summary Data'!$A57,'Data entry'!$B$6:$B$200,{"Confirmed";"Probable"},'Data entry'!$AQ$6:$AQ$200,'Data Validation'!$V$11, 'Data entry'!$AP$6:$AP$200,'Data Validation'!$U$5, 'Data entry'!$BD$6:$BD$200,"&lt;&gt;*Negative*"))</f>
        <v>0</v>
      </c>
      <c r="CC57" s="15">
        <f>SUM(COUNTIFS('Data entry'!$R$6:$R$200,'Summary Data'!$A57,'Data entry'!$B$6:$B$200,{"Confirmed";"Probable"},'Data entry'!$AQ$6:$AQ$200,'Data Validation'!$V$11, 'Data entry'!$AP$6:$AP$200,'Data Validation'!$U$6, 'Data entry'!$BD$6:$BD$200,"&lt;&gt;*Negative*"))</f>
        <v>0</v>
      </c>
    </row>
    <row r="58" spans="1:81" x14ac:dyDescent="0.25">
      <c r="A58" s="12">
        <f t="shared" si="5"/>
        <v>46</v>
      </c>
      <c r="B58" s="13">
        <f t="shared" si="2"/>
        <v>0</v>
      </c>
      <c r="C58" s="13">
        <f>COUNTIFS('Data entry'!$R$6:$R$200,$A58,'Data entry'!$B$6:$B$200,"Confirmed",'Data entry'!$BD$6:$BD$200,"&lt;&gt;*Negative*")</f>
        <v>0</v>
      </c>
      <c r="D58" s="13">
        <f>COUNTIFS('Data entry'!$R$6:$R$200,$A58,'Data entry'!$B$6:$B$200,"Probable",'Data entry'!$BD$6:$BD$200,"&lt;&gt;*Negative*")</f>
        <v>0</v>
      </c>
      <c r="E58" s="13">
        <f>COUNTIFS('Data entry'!$R$6:$R$200,$A58,'Data entry'!$B$6:$B$200,"DNM")</f>
        <v>0</v>
      </c>
      <c r="F58" s="13">
        <f>SUM(COUNTIFS('Data entry'!$R$6:$R$200,'Summary Data'!$A58,'Data entry'!$B$6:$B$200,{"Confirmed";"Probable"},'Data entry'!$AO$6:$AO$200,$F$10, 'Data entry'!$BD$6:$BD$200,"&lt;&gt;*Negative*"))</f>
        <v>0</v>
      </c>
      <c r="G58" s="13">
        <f>SUM(COUNTIFS('Data entry'!$R$6:$R$200,'Summary Data'!$A58,'Data entry'!$B$6:$B$200,{"Confirmed";"Probable"},'Data entry'!$AO$6:$AO$200,$G$10, 'Data entry'!$BD$6:$BD$200,"&lt;&gt;*Negative*"))</f>
        <v>0</v>
      </c>
      <c r="H58" s="13">
        <f>SUM(COUNTIFS('Data entry'!$R$6:$R$200,'Summary Data'!$A58,'Data entry'!$B$6:$B$200,{"Confirmed";"Probable"},'Data entry'!$AO$6:$AO$200,$H$10, 'Data entry'!$BD$6:$BD$200,"&lt;&gt;*Negative*"))</f>
        <v>0</v>
      </c>
      <c r="I58" s="13">
        <f>SUM(COUNTIFS('Data entry'!$R$6:$R$200,'Summary Data'!$A58,'Data entry'!$B$6:$B$200,{"Confirmed";"Probable"},'Data entry'!$AO$6:$AO$200,$I$10, 'Data entry'!$BD$6:$BD$200,"&lt;&gt;*Negative*"))</f>
        <v>0</v>
      </c>
      <c r="J58" s="13">
        <f>SUM(COUNTIFS('Data entry'!$R$6:$R$200,'Summary Data'!$A58,'Data entry'!$B$6:$B$200,{"Confirmed";"Probable"},'Data entry'!$AO$6:$AO$200,$J$10, 'Data entry'!$BD$6:$BD$200,"&lt;&gt;*Negative*"))</f>
        <v>0</v>
      </c>
      <c r="K58" s="13">
        <f>SUM(COUNTIFS('Data entry'!$R$6:$R$200,'Summary Data'!$A58,'Data entry'!$B$6:$B$200,{"Confirmed";"Probable"},'Data entry'!$AO$6:$AO$200,$K$10, 'Data entry'!$BD$6:$BD$200,"&lt;&gt;*Negative*"))</f>
        <v>0</v>
      </c>
      <c r="L58" s="13">
        <f>SUM(COUNTIFS('Data entry'!$R$6:$R$200,'Summary Data'!$A58,'Data entry'!$B$6:$B$200,{"Confirmed";"Probable"},'Data entry'!$AO$6:$AO$200,$L$10, 'Data entry'!$BD$6:$BD$200,"&lt;&gt;*Negative*"))</f>
        <v>0</v>
      </c>
      <c r="M58" s="13">
        <f>SUM(COUNTIFS('Data entry'!$R$6:$R$200,'Summary Data'!$A58,'Data entry'!$B$6:$B$200,{"Confirmed";"Probable"},'Data entry'!$AO$6:$AO$200,$M$10, 'Data entry'!$BD$6:$BD$200,"&lt;&gt;*Negative*"))</f>
        <v>0</v>
      </c>
      <c r="N58" s="13">
        <f>SUM(COUNTIFS('Data entry'!$R$6:$R$200,'Summary Data'!$A58,'Data entry'!$B$6:$B$200,{"Confirmed";"Probable"},'Data entry'!$AO$6:$AO$200,$N$10, 'Data entry'!$BD$6:$BD$200,"&lt;&gt;*Negative*"))</f>
        <v>0</v>
      </c>
      <c r="O58" s="15">
        <f t="shared" si="3"/>
        <v>0</v>
      </c>
      <c r="P58" s="15">
        <f t="shared" si="4"/>
        <v>0</v>
      </c>
      <c r="Q58" s="15">
        <f>SUM(COUNTIFS('Data entry'!$R$6:$R$200,'Summary Data'!$A58,'Data entry'!$B$6:$B$200,{"Confirmed";"Probable"},'Data entry'!$AP$6:$AP$200,'Data Validation'!$U$2, 'Data entry'!$BD$6:$BD$200,"&lt;&gt;*Negative*"))</f>
        <v>0</v>
      </c>
      <c r="R58" s="15">
        <f>SUM(COUNTIFS('Data entry'!$R$6:$R$200,'Summary Data'!$A58,'Data entry'!$B$6:$B$200,{"Confirmed";"Probable"},'Data entry'!$AP$6:$AP$200,'Data Validation'!$U$3, 'Data entry'!$BD$6:$BD$200,"&lt;&gt;*Negative*"))</f>
        <v>0</v>
      </c>
      <c r="S58" s="15">
        <f>SUM(COUNTIFS('Data entry'!$R$6:$R$200,'Summary Data'!$A58,'Data entry'!$B$6:$B$200,{"Confirmed";"Probable"},'Data entry'!$AP$6:$AP$200,'Data Validation'!$U$4, 'Data entry'!$BD$6:$BD$200,"&lt;&gt;*Negative*"))</f>
        <v>0</v>
      </c>
      <c r="T58" s="15">
        <f>SUM(COUNTIFS('Data entry'!$R$6:$R$200,'Summary Data'!$A58,'Data entry'!$B$6:$B$200,{"Confirmed";"Probable"},'Data entry'!$AP$6:$AP$200,'Data Validation'!$U$5, 'Data entry'!$BD$6:$BD$200,"&lt;&gt;*Negative*"))</f>
        <v>0</v>
      </c>
      <c r="U58" s="15">
        <f>SUM(COUNTIFS('Data entry'!$R$6:$R$200,'Summary Data'!$A58,'Data entry'!$B$6:$B$200,{"Confirmed";"Probable"},'Data entry'!$AP$6:$AP$200,'Data Validation'!$U$6, 'Data entry'!$BD$6:$BD$200,"&lt;&gt;*Negative*"))</f>
        <v>0</v>
      </c>
      <c r="V58" s="15">
        <f>SUM(COUNTIFS('Data entry'!$R$6:$R$200,'Summary Data'!$A58,'Data entry'!$B$6:$B$200,{"Confirmed";"Probable"},'Data entry'!$AQ$6:$AQ$200,'Data Validation'!$V$2, 'Data entry'!$BD$6:$BD$200,"&lt;&gt;*Negative*"))</f>
        <v>0</v>
      </c>
      <c r="W58" s="15">
        <f>SUM(COUNTIFS('Data entry'!$R$6:$R$200,'Summary Data'!$A58,'Data entry'!$B$6:$B$200,{"Confirmed";"Probable"},'Data entry'!$AQ$6:$AQ$200,'Data Validation'!$V$3, 'Data entry'!$BD$6:$BD$200,"&lt;&gt;*Negative*"))</f>
        <v>0</v>
      </c>
      <c r="X58" s="15">
        <f>SUM(COUNTIFS('Data entry'!$R$6:$R$200,'Summary Data'!$A58,'Data entry'!$B$6:$B$200,{"Confirmed";"Probable"},'Data entry'!$AQ$6:$AQ$200,'Data Validation'!$V$4, 'Data entry'!$BD$6:$BD$200,"&lt;&gt;*Negative*"))</f>
        <v>0</v>
      </c>
      <c r="Y58" s="15">
        <f>SUM(COUNTIFS('Data entry'!$R$6:$R$200,'Summary Data'!$A58,'Data entry'!$B$6:$B$200,{"Confirmed";"Probable"},'Data entry'!$AQ$6:$AQ$200,'Data Validation'!$V$5, 'Data entry'!$BD$6:$BD$200,"&lt;&gt;*Negative*"))</f>
        <v>0</v>
      </c>
      <c r="Z58" s="15">
        <f>SUM(COUNTIFS('Data entry'!$R$6:$R$200,'Summary Data'!$A58,'Data entry'!$B$6:$B$200,{"Confirmed";"Probable"},'Data entry'!$AQ$6:$AQ$200,'Data Validation'!$V$6, 'Data entry'!$BD$6:$BD$200,"&lt;&gt;*Negative*"))</f>
        <v>0</v>
      </c>
      <c r="AA58" s="15">
        <f>SUM(COUNTIFS('Data entry'!$R$6:$R$200,'Summary Data'!$A58,'Data entry'!$B$6:$B$200,{"Confirmed";"Probable"},'Data entry'!$AQ$6:$AQ$200,'Data Validation'!$V$7, 'Data entry'!$BD$6:$BD$200,"&lt;&gt;*Negative*"))</f>
        <v>0</v>
      </c>
      <c r="AB58" s="15">
        <f>SUM(COUNTIFS('Data entry'!$R$6:$R$200,'Summary Data'!$A58,'Data entry'!$B$6:$B$200,{"Confirmed";"Probable"},'Data entry'!$AQ$6:$AQ$200,'Data Validation'!$V$8, 'Data entry'!$BD$6:$BD$200,"&lt;&gt;*Negative*"))</f>
        <v>0</v>
      </c>
      <c r="AC58" s="15">
        <f>SUM(COUNTIFS('Data entry'!$R$6:$R$200,'Summary Data'!$A58,'Data entry'!$B$6:$B$200,{"Confirmed";"Probable"},'Data entry'!$AQ$6:$AQ$200,'Data Validation'!$V$9, 'Data entry'!$BD$6:$BD$200,"&lt;&gt;*Negative*"))</f>
        <v>0</v>
      </c>
      <c r="AD58" s="15">
        <f>SUM(COUNTIFS('Data entry'!$R$6:$R$200,'Summary Data'!$A58,'Data entry'!$B$6:$B$200,{"Confirmed";"Probable"},'Data entry'!$AQ$6:$AQ$200,'Data Validation'!$V$10, 'Data entry'!$BD$6:$BD$200,"&lt;&gt;*Negative*"))</f>
        <v>0</v>
      </c>
      <c r="AE58" s="15">
        <f>SUM(COUNTIFS('Data entry'!$R$6:$R$200,'Summary Data'!$A58,'Data entry'!$B$6:$B$200,{"Confirmed";"Probable"},'Data entry'!$AQ$6:$AQ$200,'Data Validation'!$V$11, 'Data entry'!$BD$6:$BD$200,"&lt;&gt;*Negative*"))</f>
        <v>0</v>
      </c>
      <c r="AF58" s="15">
        <f>SUM(COUNTIFS('Data entry'!$R$6:$R$200,'Summary Data'!$A58,'Data entry'!$B$6:$B$200,{"Confirmed";"Probable"},'Data entry'!$AQ$6:$AQ$200,'Data Validation'!$V$2, 'Data entry'!$AP$6:$AP$200,'Data Validation'!$U$2, 'Data entry'!$BD$6:$BD$200,"&lt;&gt;*Negative*"))</f>
        <v>0</v>
      </c>
      <c r="AG58" s="15">
        <f>SUM(COUNTIFS('Data entry'!$R$6:$R$200,'Summary Data'!$A58,'Data entry'!$B$6:$B$200,{"Confirmed";"Probable"},'Data entry'!$AQ$6:$AQ$200,'Data Validation'!$V$2, 'Data entry'!$AP$6:$AP$200,'Data Validation'!$U$3, 'Data entry'!$BD$6:$BD$200,"&lt;&gt;*Negative*"))</f>
        <v>0</v>
      </c>
      <c r="AH58" s="15">
        <f>SUM(COUNTIFS('Data entry'!$R$6:$R$200,'Summary Data'!$A58,'Data entry'!$B$6:$B$200,{"Confirmed";"Probable"},'Data entry'!$AQ$6:$AQ$200,'Data Validation'!$V$2, 'Data entry'!$AP$6:$AP$200,'Data Validation'!$U$4, 'Data entry'!$BD$6:$BD$200,"&lt;&gt;*Negative*"))</f>
        <v>0</v>
      </c>
      <c r="AI58" s="15">
        <f>SUM(COUNTIFS('Data entry'!$R$6:$R$200,'Summary Data'!$A58,'Data entry'!$B$6:$B$200,{"Confirmed";"Probable"},'Data entry'!$AQ$6:$AQ$200,'Data Validation'!$V$2, 'Data entry'!$AP$6:$AP$200,'Data Validation'!$U$5, 'Data entry'!$BD$6:$BD$200,"&lt;&gt;*Negative*"))</f>
        <v>0</v>
      </c>
      <c r="AJ58" s="15">
        <f>SUM(COUNTIFS('Data entry'!$R$6:$R$200,'Summary Data'!$A58,'Data entry'!$B$6:$B$200,{"Confirmed";"Probable"},'Data entry'!$AQ$6:$AQ$200,'Data Validation'!$V$2, 'Data entry'!$AP$6:$AP$200,'Data Validation'!$U$6, 'Data entry'!$BD$6:$BD$200,"&lt;&gt;*Negative*"))</f>
        <v>0</v>
      </c>
      <c r="AK58" s="15">
        <f>SUM(COUNTIFS('Data entry'!$R$6:$R$200,'Summary Data'!$A58,'Data entry'!$B$6:$B$200,{"Confirmed";"Probable"},'Data entry'!$AQ$6:$AQ$200,'Data Validation'!$V$3, 'Data entry'!$AP$6:$AP$200,'Data Validation'!$U$2, 'Data entry'!$BD$6:$BD$200,"&lt;&gt;*Negative*"))</f>
        <v>0</v>
      </c>
      <c r="AL58" s="15">
        <f>SUM(COUNTIFS('Data entry'!$R$6:$R$200,'Summary Data'!$A58,'Data entry'!$B$6:$B$200,{"Confirmed";"Probable"},'Data entry'!$AQ$6:$AQ$200,'Data Validation'!$V$3, 'Data entry'!$AP$6:$AP$200,'Data Validation'!$U$3, 'Data entry'!$BD$6:$BD$200,"&lt;&gt;*Negative*"))</f>
        <v>0</v>
      </c>
      <c r="AM58" s="15">
        <f>SUM(COUNTIFS('Data entry'!$R$6:$R$200,'Summary Data'!$A58,'Data entry'!$B$6:$B$200,{"Confirmed";"Probable"},'Data entry'!$AQ$6:$AQ$200,'Data Validation'!$V$3, 'Data entry'!$AP$6:$AP$200,'Data Validation'!$U$4, 'Data entry'!$BD$6:$BD$200,"&lt;&gt;*Negative*"))</f>
        <v>0</v>
      </c>
      <c r="AN58" s="15">
        <f>SUM(COUNTIFS('Data entry'!$R$6:$R$200,'Summary Data'!$A58,'Data entry'!$B$6:$B$200,{"Confirmed";"Probable"},'Data entry'!$AQ$6:$AQ$200,'Data Validation'!$V$3, 'Data entry'!$AP$6:$AP$200,'Data Validation'!$U$5, 'Data entry'!$BD$6:$BD$200,"&lt;&gt;*Negative*"))</f>
        <v>0</v>
      </c>
      <c r="AO58" s="15">
        <f>SUM(COUNTIFS('Data entry'!$R$6:$R$200,'Summary Data'!$A58,'Data entry'!$B$6:$B$200,{"Confirmed";"Probable"},'Data entry'!$AQ$6:$AQ$200,'Data Validation'!$V$3, 'Data entry'!$AP$6:$AP$200,'Data Validation'!$U$6, 'Data entry'!$BD$6:$BD$200,"&lt;&gt;*Negative*"))</f>
        <v>0</v>
      </c>
      <c r="AP58" s="15">
        <f>SUM(COUNTIFS('Data entry'!$R$6:$R$200,'Summary Data'!$A58,'Data entry'!$B$6:$B$200,{"Confirmed";"Probable"},'Data entry'!$AQ$6:$AQ$200,'Data Validation'!$V$4, 'Data entry'!$AP$6:$AP$200,'Data Validation'!$U$2, 'Data entry'!$BD$6:$BD$200,"&lt;&gt;*Negative*"))</f>
        <v>0</v>
      </c>
      <c r="AQ58" s="15">
        <f>SUM(COUNTIFS('Data entry'!$R$6:$R$200,'Summary Data'!$A58,'Data entry'!$B$6:$B$200,{"Confirmed";"Probable"},'Data entry'!$AQ$6:$AQ$200,'Data Validation'!$V$4, 'Data entry'!$AP$6:$AP$200,'Data Validation'!$U$3, 'Data entry'!$BD$6:$BD$200,"&lt;&gt;*Negative*"))</f>
        <v>0</v>
      </c>
      <c r="AR58" s="15">
        <f>SUM(COUNTIFS('Data entry'!$R$6:$R$200,'Summary Data'!$A58,'Data entry'!$B$6:$B$200,{"Confirmed";"Probable"},'Data entry'!$AQ$6:$AQ$200,'Data Validation'!$V$4, 'Data entry'!$AP$6:$AP$200,'Data Validation'!$U$4, 'Data entry'!$BD$6:$BD$200,"&lt;&gt;*Negative*"))</f>
        <v>0</v>
      </c>
      <c r="AS58" s="15">
        <f>SUM(COUNTIFS('Data entry'!$R$6:$R$200,'Summary Data'!$A58,'Data entry'!$B$6:$B$200,{"Confirmed";"Probable"},'Data entry'!$AQ$6:$AQ$200,'Data Validation'!$V$4, 'Data entry'!$AP$6:$AP$200,'Data Validation'!$U$5, 'Data entry'!$BD$6:$BD$200,"&lt;&gt;*Negative*"))</f>
        <v>0</v>
      </c>
      <c r="AT58" s="15">
        <f>SUM(COUNTIFS('Data entry'!$R$6:$R$200,'Summary Data'!$A58,'Data entry'!$B$6:$B$200,{"Confirmed";"Probable"},'Data entry'!$AQ$6:$AQ$200,'Data Validation'!$V$4, 'Data entry'!$AP$6:$AP$200,'Data Validation'!$U$6, 'Data entry'!$BD$6:$BD$200,"&lt;&gt;*Negative*"))</f>
        <v>0</v>
      </c>
      <c r="AU58" s="15">
        <f>SUM(COUNTIFS('Data entry'!$R$6:$R$200,'Summary Data'!$A58,'Data entry'!$B$6:$B$200,{"Confirmed";"Probable"},'Data entry'!$AQ$6:$AQ$200,'Data Validation'!$V$5, 'Data entry'!$AP$6:$AP$200,'Data Validation'!$U$2, 'Data entry'!$BD$6:$BD$200,"&lt;&gt;*Negative*"))</f>
        <v>0</v>
      </c>
      <c r="AV58" s="15">
        <f>SUM(COUNTIFS('Data entry'!$R$6:$R$200,'Summary Data'!$A58,'Data entry'!$B$6:$B$200,{"Confirmed";"Probable"},'Data entry'!$AQ$6:$AQ$200,'Data Validation'!$V$5, 'Data entry'!$AP$6:$AP$200,'Data Validation'!$U$3, 'Data entry'!$BD$6:$BD$200,"&lt;&gt;*Negative*"))</f>
        <v>0</v>
      </c>
      <c r="AW58" s="15">
        <f>SUM(COUNTIFS('Data entry'!$R$6:$R$200,'Summary Data'!$A58,'Data entry'!$B$6:$B$200,{"Confirmed";"Probable"},'Data entry'!$AQ$6:$AQ$200,'Data Validation'!$V$5, 'Data entry'!$AP$6:$AP$200,'Data Validation'!$U$4, 'Data entry'!$BD$6:$BD$200,"&lt;&gt;*Negative*"))</f>
        <v>0</v>
      </c>
      <c r="AX58" s="15">
        <f>SUM(COUNTIFS('Data entry'!$R$6:$R$200,'Summary Data'!$A58,'Data entry'!$B$6:$B$200,{"Confirmed";"Probable"},'Data entry'!$AQ$6:$AQ$200,'Data Validation'!$V$5, 'Data entry'!$AP$6:$AP$200,'Data Validation'!$U$5, 'Data entry'!$BD$6:$BD$200,"&lt;&gt;*Negative*"))</f>
        <v>0</v>
      </c>
      <c r="AY58" s="15">
        <f>SUM(COUNTIFS('Data entry'!$R$6:$R$200,'Summary Data'!$A58,'Data entry'!$B$6:$B$200,{"Confirmed";"Probable"},'Data entry'!$AQ$6:$AQ$200,'Data Validation'!$V$5, 'Data entry'!$AP$6:$AP$200,'Data Validation'!$U$6, 'Data entry'!$BD$6:$BD$200,"&lt;&gt;*Negative*"))</f>
        <v>0</v>
      </c>
      <c r="AZ58" s="15">
        <f>SUM(COUNTIFS('Data entry'!$R$6:$R$200,'Summary Data'!$A58,'Data entry'!$B$6:$B$200,{"Confirmed";"Probable"},'Data entry'!$AQ$6:$AQ$200,'Data Validation'!$V$6, 'Data entry'!$AP$6:$AP$200,'Data Validation'!$U$2, 'Data entry'!$BD$6:$BD$200,"&lt;&gt;*Negative*"))</f>
        <v>0</v>
      </c>
      <c r="BA58" s="15">
        <f>SUM(COUNTIFS('Data entry'!$R$6:$R$200,'Summary Data'!$A58,'Data entry'!$B$6:$B$200,{"Confirmed";"Probable"},'Data entry'!$AQ$6:$AQ$200,'Data Validation'!$V$6, 'Data entry'!$AP$6:$AP$200,'Data Validation'!$U$3, 'Data entry'!$BD$6:$BD$200,"&lt;&gt;*Negative*"))</f>
        <v>0</v>
      </c>
      <c r="BB58" s="15">
        <f>SUM(COUNTIFS('Data entry'!$R$6:$R$200,'Summary Data'!$A58,'Data entry'!$B$6:$B$200,{"Confirmed";"Probable"},'Data entry'!$AQ$6:$AQ$200,'Data Validation'!$V$6, 'Data entry'!$AP$6:$AP$200,'Data Validation'!$U$4, 'Data entry'!$BD$6:$BD$200,"&lt;&gt;*Negative*"))</f>
        <v>0</v>
      </c>
      <c r="BC58" s="15">
        <f>SUM(COUNTIFS('Data entry'!$R$6:$R$200,'Summary Data'!$A58,'Data entry'!$B$6:$B$200,{"Confirmed";"Probable"},'Data entry'!$AQ$6:$AQ$200,'Data Validation'!$V$6, 'Data entry'!$AP$6:$AP$200,'Data Validation'!$U$5, 'Data entry'!$BD$6:$BD$200,"&lt;&gt;*Negative*"))</f>
        <v>0</v>
      </c>
      <c r="BD58" s="15">
        <f>SUM(COUNTIFS('Data entry'!$R$6:$R$200,'Summary Data'!$A58,'Data entry'!$B$6:$B$200,{"Confirmed";"Probable"},'Data entry'!$AQ$6:$AQ$200,'Data Validation'!$V$6, 'Data entry'!$AP$6:$AP$200,'Data Validation'!$U$6, 'Data entry'!$BD$6:$BD$200,"&lt;&gt;*Negative*"))</f>
        <v>0</v>
      </c>
      <c r="BE58" s="15">
        <f>SUM(COUNTIFS('Data entry'!$R$6:$R$200,'Summary Data'!$A58,'Data entry'!$B$6:$B$200,{"Confirmed";"Probable"},'Data entry'!$AQ$6:$AQ$200,'Data Validation'!$V$7, 'Data entry'!$AP$6:$AP$200,'Data Validation'!$U$2, 'Data entry'!$BD$6:$BD$200,"&lt;&gt;*Negative*"))</f>
        <v>0</v>
      </c>
      <c r="BF58" s="15">
        <f>SUM(COUNTIFS('Data entry'!$R$6:$R$200,'Summary Data'!$A58,'Data entry'!$B$6:$B$200,{"Confirmed";"Probable"},'Data entry'!$AQ$6:$AQ$200,'Data Validation'!$V$7, 'Data entry'!$AP$6:$AP$200,'Data Validation'!$U$3, 'Data entry'!$BD$6:$BD$200,"&lt;&gt;*Negative*"))</f>
        <v>0</v>
      </c>
      <c r="BG58" s="15">
        <f>SUM(COUNTIFS('Data entry'!$R$6:$R$200,'Summary Data'!$A58,'Data entry'!$B$6:$B$200,{"Confirmed";"Probable"},'Data entry'!$AQ$6:$AQ$200,'Data Validation'!$V$7, 'Data entry'!$AP$6:$AP$200,'Data Validation'!$U$4, 'Data entry'!$BD$6:$BD$200,"&lt;&gt;*Negative*"))</f>
        <v>0</v>
      </c>
      <c r="BH58" s="15">
        <f>SUM(COUNTIFS('Data entry'!$R$6:$R$200,'Summary Data'!$A58,'Data entry'!$B$6:$B$200,{"Confirmed";"Probable"},'Data entry'!$AQ$6:$AQ$200,'Data Validation'!$V$7, 'Data entry'!$AP$6:$AP$200,'Data Validation'!$U$5, 'Data entry'!$BD$6:$BD$200,"&lt;&gt;*Negative*"))</f>
        <v>0</v>
      </c>
      <c r="BI58" s="15">
        <f>SUM(COUNTIFS('Data entry'!$R$6:$R$200,'Summary Data'!$A58,'Data entry'!$B$6:$B$200,{"Confirmed";"Probable"},'Data entry'!$AQ$6:$AQ$200,'Data Validation'!$V$7, 'Data entry'!$AP$6:$AP$200,'Data Validation'!$U$6, 'Data entry'!$BD$6:$BD$200,"&lt;&gt;*Negative*"))</f>
        <v>0</v>
      </c>
      <c r="BJ58" s="15">
        <f>SUM(COUNTIFS('Data entry'!$R$6:$R$200,'Summary Data'!$A58,'Data entry'!$B$6:$B$200,{"Confirmed";"Probable"},'Data entry'!$AQ$6:$AQ$200,'Data Validation'!$V$8, 'Data entry'!$AP$6:$AP$200,'Data Validation'!$U$2, 'Data entry'!$BD$6:$BD$200,"&lt;&gt;*Negative*"))</f>
        <v>0</v>
      </c>
      <c r="BK58" s="15">
        <f>SUM(COUNTIFS('Data entry'!$R$6:$R$200,'Summary Data'!$A58,'Data entry'!$B$6:$B$200,{"Confirmed";"Probable"},'Data entry'!$AQ$6:$AQ$200,'Data Validation'!$V$8, 'Data entry'!$AP$6:$AP$200,'Data Validation'!$U$3, 'Data entry'!$BD$6:$BD$200,"&lt;&gt;*Negative*"))</f>
        <v>0</v>
      </c>
      <c r="BL58" s="15">
        <f>SUM(COUNTIFS('Data entry'!$R$6:$R$200,'Summary Data'!$A58,'Data entry'!$B$6:$B$200,{"Confirmed";"Probable"},'Data entry'!$AQ$6:$AQ$200,'Data Validation'!$V$8, 'Data entry'!$AP$6:$AP$200,'Data Validation'!$U$4, 'Data entry'!$BD$6:$BD$200,"&lt;&gt;*Negative*"))</f>
        <v>0</v>
      </c>
      <c r="BM58" s="15">
        <f>SUM(COUNTIFS('Data entry'!$R$6:$R$200,'Summary Data'!$A58,'Data entry'!$B$6:$B$200,{"Confirmed";"Probable"},'Data entry'!$AQ$6:$AQ$200,'Data Validation'!$V$8, 'Data entry'!$AP$6:$AP$200,'Data Validation'!$U$5, 'Data entry'!$BD$6:$BD$200,"&lt;&gt;*Negative*"))</f>
        <v>0</v>
      </c>
      <c r="BN58" s="15">
        <f>SUM(COUNTIFS('Data entry'!$R$6:$R$200,'Summary Data'!$A58,'Data entry'!$B$6:$B$200,{"Confirmed";"Probable"},'Data entry'!$AQ$6:$AQ$200,'Data Validation'!$V$8, 'Data entry'!$AP$6:$AP$200,'Data Validation'!$U$6, 'Data entry'!$BD$6:$BD$200,"&lt;&gt;*Negative*"))</f>
        <v>0</v>
      </c>
      <c r="BO58" s="15">
        <f>SUM(COUNTIFS('Data entry'!$R$6:$R$200,'Summary Data'!$A58,'Data entry'!$B$6:$B$200,{"Confirmed";"Probable"},'Data entry'!$AQ$6:$AQ$200,'Data Validation'!$V$9, 'Data entry'!$AP$6:$AP$200,'Data Validation'!$U$2, 'Data entry'!$BD$6:$BD$200,"&lt;&gt;*Negative*"))</f>
        <v>0</v>
      </c>
      <c r="BP58" s="15">
        <f>SUM(COUNTIFS('Data entry'!$R$6:$R$200,'Summary Data'!$A58,'Data entry'!$B$6:$B$200,{"Confirmed";"Probable"},'Data entry'!$AQ$6:$AQ$200,'Data Validation'!$V$9, 'Data entry'!$AP$6:$AP$200,'Data Validation'!$U$3, 'Data entry'!$BD$6:$BD$200,"&lt;&gt;*Negative*"))</f>
        <v>0</v>
      </c>
      <c r="BQ58" s="15">
        <f>SUM(COUNTIFS('Data entry'!$R$6:$R$200,'Summary Data'!$A58,'Data entry'!$B$6:$B$200,{"Confirmed";"Probable"},'Data entry'!$AQ$6:$AQ$200,'Data Validation'!$V$9, 'Data entry'!$AP$6:$AP$200,'Data Validation'!$U$4, 'Data entry'!$BD$6:$BD$200,"&lt;&gt;*Negative*"))</f>
        <v>0</v>
      </c>
      <c r="BR58" s="15">
        <f>SUM(COUNTIFS('Data entry'!$R$6:$R$200,'Summary Data'!$A58,'Data entry'!$B$6:$B$200,{"Confirmed";"Probable"},'Data entry'!$AQ$6:$AQ$200,'Data Validation'!$V$9, 'Data entry'!$AP$6:$AP$200,'Data Validation'!$U$5, 'Data entry'!$BD$6:$BD$200,"&lt;&gt;*Negative*"))</f>
        <v>0</v>
      </c>
      <c r="BS58" s="15">
        <f>SUM(COUNTIFS('Data entry'!$R$6:$R$200,'Summary Data'!$A58,'Data entry'!$B$6:$B$200,{"Confirmed";"Probable"},'Data entry'!$AQ$6:$AQ$200,'Data Validation'!$V$9, 'Data entry'!$AP$6:$AP$200,'Data Validation'!$U$6, 'Data entry'!$BD$6:$BD$200,"&lt;&gt;*Negative*"))</f>
        <v>0</v>
      </c>
      <c r="BT58" s="15">
        <f>SUM(COUNTIFS('Data entry'!$R$6:$R$200,'Summary Data'!$A58,'Data entry'!$B$6:$B$200,{"Confirmed";"Probable"},'Data entry'!$AQ$6:$AQ$200,'Data Validation'!$V$10, 'Data entry'!$AP$6:$AP$200,'Data Validation'!$U$2, 'Data entry'!$BD$6:$BD$200,"&lt;&gt;*Negative*"))</f>
        <v>0</v>
      </c>
      <c r="BU58" s="15">
        <f>SUM(COUNTIFS('Data entry'!$R$6:$R$200,'Summary Data'!$A58,'Data entry'!$B$6:$B$200,{"Confirmed";"Probable"},'Data entry'!$AQ$6:$AQ$200,'Data Validation'!$V$10, 'Data entry'!$AP$6:$AP$200,'Data Validation'!$U$3, 'Data entry'!$BD$6:$BD$200,"&lt;&gt;*Negative*"))</f>
        <v>0</v>
      </c>
      <c r="BV58" s="15">
        <f>SUM(COUNTIFS('Data entry'!$R$6:$R$200,'Summary Data'!$A58,'Data entry'!$B$6:$B$200,{"Confirmed";"Probable"},'Data entry'!$AQ$6:$AQ$200,'Data Validation'!$V$10, 'Data entry'!$AP$6:$AP$200,'Data Validation'!$U$4, 'Data entry'!$BD$6:$BD$200,"&lt;&gt;*Negative*"))</f>
        <v>0</v>
      </c>
      <c r="BW58" s="15">
        <f>SUM(COUNTIFS('Data entry'!$R$6:$R$200,'Summary Data'!$A58,'Data entry'!$B$6:$B$200,{"Confirmed";"Probable"},'Data entry'!$AQ$6:$AQ$200,'Data Validation'!$V$10, 'Data entry'!$AP$6:$AP$200,'Data Validation'!$U$5, 'Data entry'!$BD$6:$BD$200,"&lt;&gt;*Negative*"))</f>
        <v>0</v>
      </c>
      <c r="BX58" s="15">
        <f>SUM(COUNTIFS('Data entry'!$R$6:$R$200,'Summary Data'!$A58,'Data entry'!$B$6:$B$200,{"Confirmed";"Probable"},'Data entry'!$AQ$6:$AQ$200,'Data Validation'!$V$10, 'Data entry'!$AP$6:$AP$200,'Data Validation'!$U$6, 'Data entry'!$BD$6:$BD$200,"&lt;&gt;*Negative*"))</f>
        <v>0</v>
      </c>
      <c r="BY58" s="15">
        <f>SUM(COUNTIFS('Data entry'!$R$6:$R$200,'Summary Data'!$A58,'Data entry'!$B$6:$B$200,{"Confirmed";"Probable"},'Data entry'!$AQ$6:$AQ$200,'Data Validation'!$V$11, 'Data entry'!$AP$6:$AP$200,'Data Validation'!$U$2, 'Data entry'!$BD$6:$BD$200,"&lt;&gt;*Negative*"))</f>
        <v>0</v>
      </c>
      <c r="BZ58" s="15">
        <f>SUM(COUNTIFS('Data entry'!$R$6:$R$200,'Summary Data'!$A58,'Data entry'!$B$6:$B$200,{"Confirmed";"Probable"},'Data entry'!$AQ$6:$AQ$200,'Data Validation'!$V$11, 'Data entry'!$AP$6:$AP$200,'Data Validation'!$U$3, 'Data entry'!$BD$6:$BD$200,"&lt;&gt;*Negative*"))</f>
        <v>0</v>
      </c>
      <c r="CA58" s="15">
        <f>SUM(COUNTIFS('Data entry'!$R$6:$R$200,'Summary Data'!$A58,'Data entry'!$B$6:$B$200,{"Confirmed";"Probable"},'Data entry'!$AQ$6:$AQ$200,'Data Validation'!$V$11, 'Data entry'!$AP$6:$AP$200,'Data Validation'!$U$4, 'Data entry'!$BD$6:$BD$200,"&lt;&gt;*Negative*"))</f>
        <v>0</v>
      </c>
      <c r="CB58" s="15">
        <f>SUM(COUNTIFS('Data entry'!$R$6:$R$200,'Summary Data'!$A58,'Data entry'!$B$6:$B$200,{"Confirmed";"Probable"},'Data entry'!$AQ$6:$AQ$200,'Data Validation'!$V$11, 'Data entry'!$AP$6:$AP$200,'Data Validation'!$U$5, 'Data entry'!$BD$6:$BD$200,"&lt;&gt;*Negative*"))</f>
        <v>0</v>
      </c>
      <c r="CC58" s="15">
        <f>SUM(COUNTIFS('Data entry'!$R$6:$R$200,'Summary Data'!$A58,'Data entry'!$B$6:$B$200,{"Confirmed";"Probable"},'Data entry'!$AQ$6:$AQ$200,'Data Validation'!$V$11, 'Data entry'!$AP$6:$AP$200,'Data Validation'!$U$6, 'Data entry'!$BD$6:$BD$200,"&lt;&gt;*Negative*"))</f>
        <v>0</v>
      </c>
    </row>
    <row r="59" spans="1:81" x14ac:dyDescent="0.25">
      <c r="A59" s="12">
        <f t="shared" si="5"/>
        <v>47</v>
      </c>
      <c r="B59" s="13">
        <f t="shared" si="2"/>
        <v>0</v>
      </c>
      <c r="C59" s="13">
        <f>COUNTIFS('Data entry'!$R$6:$R$200,$A59,'Data entry'!$B$6:$B$200,"Confirmed",'Data entry'!$BD$6:$BD$200,"&lt;&gt;*Negative*")</f>
        <v>0</v>
      </c>
      <c r="D59" s="13">
        <f>COUNTIFS('Data entry'!$R$6:$R$200,$A59,'Data entry'!$B$6:$B$200,"Probable",'Data entry'!$BD$6:$BD$200,"&lt;&gt;*Negative*")</f>
        <v>0</v>
      </c>
      <c r="E59" s="13">
        <f>COUNTIFS('Data entry'!$R$6:$R$200,$A59,'Data entry'!$B$6:$B$200,"DNM")</f>
        <v>0</v>
      </c>
      <c r="F59" s="13">
        <f>SUM(COUNTIFS('Data entry'!$R$6:$R$200,'Summary Data'!$A59,'Data entry'!$B$6:$B$200,{"Confirmed";"Probable"},'Data entry'!$AO$6:$AO$200,$F$10, 'Data entry'!$BD$6:$BD$200,"&lt;&gt;*Negative*"))</f>
        <v>0</v>
      </c>
      <c r="G59" s="13">
        <f>SUM(COUNTIFS('Data entry'!$R$6:$R$200,'Summary Data'!$A59,'Data entry'!$B$6:$B$200,{"Confirmed";"Probable"},'Data entry'!$AO$6:$AO$200,$G$10, 'Data entry'!$BD$6:$BD$200,"&lt;&gt;*Negative*"))</f>
        <v>0</v>
      </c>
      <c r="H59" s="13">
        <f>SUM(COUNTIFS('Data entry'!$R$6:$R$200,'Summary Data'!$A59,'Data entry'!$B$6:$B$200,{"Confirmed";"Probable"},'Data entry'!$AO$6:$AO$200,$H$10, 'Data entry'!$BD$6:$BD$200,"&lt;&gt;*Negative*"))</f>
        <v>0</v>
      </c>
      <c r="I59" s="13">
        <f>SUM(COUNTIFS('Data entry'!$R$6:$R$200,'Summary Data'!$A59,'Data entry'!$B$6:$B$200,{"Confirmed";"Probable"},'Data entry'!$AO$6:$AO$200,$I$10, 'Data entry'!$BD$6:$BD$200,"&lt;&gt;*Negative*"))</f>
        <v>0</v>
      </c>
      <c r="J59" s="13">
        <f>SUM(COUNTIFS('Data entry'!$R$6:$R$200,'Summary Data'!$A59,'Data entry'!$B$6:$B$200,{"Confirmed";"Probable"},'Data entry'!$AO$6:$AO$200,$J$10, 'Data entry'!$BD$6:$BD$200,"&lt;&gt;*Negative*"))</f>
        <v>0</v>
      </c>
      <c r="K59" s="13">
        <f>SUM(COUNTIFS('Data entry'!$R$6:$R$200,'Summary Data'!$A59,'Data entry'!$B$6:$B$200,{"Confirmed";"Probable"},'Data entry'!$AO$6:$AO$200,$K$10, 'Data entry'!$BD$6:$BD$200,"&lt;&gt;*Negative*"))</f>
        <v>0</v>
      </c>
      <c r="L59" s="13">
        <f>SUM(COUNTIFS('Data entry'!$R$6:$R$200,'Summary Data'!$A59,'Data entry'!$B$6:$B$200,{"Confirmed";"Probable"},'Data entry'!$AO$6:$AO$200,$L$10, 'Data entry'!$BD$6:$BD$200,"&lt;&gt;*Negative*"))</f>
        <v>0</v>
      </c>
      <c r="M59" s="13">
        <f>SUM(COUNTIFS('Data entry'!$R$6:$R$200,'Summary Data'!$A59,'Data entry'!$B$6:$B$200,{"Confirmed";"Probable"},'Data entry'!$AO$6:$AO$200,$M$10, 'Data entry'!$BD$6:$BD$200,"&lt;&gt;*Negative*"))</f>
        <v>0</v>
      </c>
      <c r="N59" s="13">
        <f>SUM(COUNTIFS('Data entry'!$R$6:$R$200,'Summary Data'!$A59,'Data entry'!$B$6:$B$200,{"Confirmed";"Probable"},'Data entry'!$AO$6:$AO$200,$N$10, 'Data entry'!$BD$6:$BD$200,"&lt;&gt;*Negative*"))</f>
        <v>0</v>
      </c>
      <c r="O59" s="15">
        <f t="shared" si="3"/>
        <v>0</v>
      </c>
      <c r="P59" s="15">
        <f t="shared" si="4"/>
        <v>0</v>
      </c>
      <c r="Q59" s="15">
        <f>SUM(COUNTIFS('Data entry'!$R$6:$R$200,'Summary Data'!$A59,'Data entry'!$B$6:$B$200,{"Confirmed";"Probable"},'Data entry'!$AP$6:$AP$200,'Data Validation'!$U$2, 'Data entry'!$BD$6:$BD$200,"&lt;&gt;*Negative*"))</f>
        <v>0</v>
      </c>
      <c r="R59" s="15">
        <f>SUM(COUNTIFS('Data entry'!$R$6:$R$200,'Summary Data'!$A59,'Data entry'!$B$6:$B$200,{"Confirmed";"Probable"},'Data entry'!$AP$6:$AP$200,'Data Validation'!$U$3, 'Data entry'!$BD$6:$BD$200,"&lt;&gt;*Negative*"))</f>
        <v>0</v>
      </c>
      <c r="S59" s="15">
        <f>SUM(COUNTIFS('Data entry'!$R$6:$R$200,'Summary Data'!$A59,'Data entry'!$B$6:$B$200,{"Confirmed";"Probable"},'Data entry'!$AP$6:$AP$200,'Data Validation'!$U$4, 'Data entry'!$BD$6:$BD$200,"&lt;&gt;*Negative*"))</f>
        <v>0</v>
      </c>
      <c r="T59" s="15">
        <f>SUM(COUNTIFS('Data entry'!$R$6:$R$200,'Summary Data'!$A59,'Data entry'!$B$6:$B$200,{"Confirmed";"Probable"},'Data entry'!$AP$6:$AP$200,'Data Validation'!$U$5, 'Data entry'!$BD$6:$BD$200,"&lt;&gt;*Negative*"))</f>
        <v>0</v>
      </c>
      <c r="U59" s="15">
        <f>SUM(COUNTIFS('Data entry'!$R$6:$R$200,'Summary Data'!$A59,'Data entry'!$B$6:$B$200,{"Confirmed";"Probable"},'Data entry'!$AP$6:$AP$200,'Data Validation'!$U$6, 'Data entry'!$BD$6:$BD$200,"&lt;&gt;*Negative*"))</f>
        <v>0</v>
      </c>
      <c r="V59" s="15">
        <f>SUM(COUNTIFS('Data entry'!$R$6:$R$200,'Summary Data'!$A59,'Data entry'!$B$6:$B$200,{"Confirmed";"Probable"},'Data entry'!$AQ$6:$AQ$200,'Data Validation'!$V$2, 'Data entry'!$BD$6:$BD$200,"&lt;&gt;*Negative*"))</f>
        <v>0</v>
      </c>
      <c r="W59" s="15">
        <f>SUM(COUNTIFS('Data entry'!$R$6:$R$200,'Summary Data'!$A59,'Data entry'!$B$6:$B$200,{"Confirmed";"Probable"},'Data entry'!$AQ$6:$AQ$200,'Data Validation'!$V$3, 'Data entry'!$BD$6:$BD$200,"&lt;&gt;*Negative*"))</f>
        <v>0</v>
      </c>
      <c r="X59" s="15">
        <f>SUM(COUNTIFS('Data entry'!$R$6:$R$200,'Summary Data'!$A59,'Data entry'!$B$6:$B$200,{"Confirmed";"Probable"},'Data entry'!$AQ$6:$AQ$200,'Data Validation'!$V$4, 'Data entry'!$BD$6:$BD$200,"&lt;&gt;*Negative*"))</f>
        <v>0</v>
      </c>
      <c r="Y59" s="15">
        <f>SUM(COUNTIFS('Data entry'!$R$6:$R$200,'Summary Data'!$A59,'Data entry'!$B$6:$B$200,{"Confirmed";"Probable"},'Data entry'!$AQ$6:$AQ$200,'Data Validation'!$V$5, 'Data entry'!$BD$6:$BD$200,"&lt;&gt;*Negative*"))</f>
        <v>0</v>
      </c>
      <c r="Z59" s="15">
        <f>SUM(COUNTIFS('Data entry'!$R$6:$R$200,'Summary Data'!$A59,'Data entry'!$B$6:$B$200,{"Confirmed";"Probable"},'Data entry'!$AQ$6:$AQ$200,'Data Validation'!$V$6, 'Data entry'!$BD$6:$BD$200,"&lt;&gt;*Negative*"))</f>
        <v>0</v>
      </c>
      <c r="AA59" s="15">
        <f>SUM(COUNTIFS('Data entry'!$R$6:$R$200,'Summary Data'!$A59,'Data entry'!$B$6:$B$200,{"Confirmed";"Probable"},'Data entry'!$AQ$6:$AQ$200,'Data Validation'!$V$7, 'Data entry'!$BD$6:$BD$200,"&lt;&gt;*Negative*"))</f>
        <v>0</v>
      </c>
      <c r="AB59" s="15">
        <f>SUM(COUNTIFS('Data entry'!$R$6:$R$200,'Summary Data'!$A59,'Data entry'!$B$6:$B$200,{"Confirmed";"Probable"},'Data entry'!$AQ$6:$AQ$200,'Data Validation'!$V$8, 'Data entry'!$BD$6:$BD$200,"&lt;&gt;*Negative*"))</f>
        <v>0</v>
      </c>
      <c r="AC59" s="15">
        <f>SUM(COUNTIFS('Data entry'!$R$6:$R$200,'Summary Data'!$A59,'Data entry'!$B$6:$B$200,{"Confirmed";"Probable"},'Data entry'!$AQ$6:$AQ$200,'Data Validation'!$V$9, 'Data entry'!$BD$6:$BD$200,"&lt;&gt;*Negative*"))</f>
        <v>0</v>
      </c>
      <c r="AD59" s="15">
        <f>SUM(COUNTIFS('Data entry'!$R$6:$R$200,'Summary Data'!$A59,'Data entry'!$B$6:$B$200,{"Confirmed";"Probable"},'Data entry'!$AQ$6:$AQ$200,'Data Validation'!$V$10, 'Data entry'!$BD$6:$BD$200,"&lt;&gt;*Negative*"))</f>
        <v>0</v>
      </c>
      <c r="AE59" s="15">
        <f>SUM(COUNTIFS('Data entry'!$R$6:$R$200,'Summary Data'!$A59,'Data entry'!$B$6:$B$200,{"Confirmed";"Probable"},'Data entry'!$AQ$6:$AQ$200,'Data Validation'!$V$11, 'Data entry'!$BD$6:$BD$200,"&lt;&gt;*Negative*"))</f>
        <v>0</v>
      </c>
      <c r="AF59" s="15">
        <f>SUM(COUNTIFS('Data entry'!$R$6:$R$200,'Summary Data'!$A59,'Data entry'!$B$6:$B$200,{"Confirmed";"Probable"},'Data entry'!$AQ$6:$AQ$200,'Data Validation'!$V$2, 'Data entry'!$AP$6:$AP$200,'Data Validation'!$U$2, 'Data entry'!$BD$6:$BD$200,"&lt;&gt;*Negative*"))</f>
        <v>0</v>
      </c>
      <c r="AG59" s="15">
        <f>SUM(COUNTIFS('Data entry'!$R$6:$R$200,'Summary Data'!$A59,'Data entry'!$B$6:$B$200,{"Confirmed";"Probable"},'Data entry'!$AQ$6:$AQ$200,'Data Validation'!$V$2, 'Data entry'!$AP$6:$AP$200,'Data Validation'!$U$3, 'Data entry'!$BD$6:$BD$200,"&lt;&gt;*Negative*"))</f>
        <v>0</v>
      </c>
      <c r="AH59" s="15">
        <f>SUM(COUNTIFS('Data entry'!$R$6:$R$200,'Summary Data'!$A59,'Data entry'!$B$6:$B$200,{"Confirmed";"Probable"},'Data entry'!$AQ$6:$AQ$200,'Data Validation'!$V$2, 'Data entry'!$AP$6:$AP$200,'Data Validation'!$U$4, 'Data entry'!$BD$6:$BD$200,"&lt;&gt;*Negative*"))</f>
        <v>0</v>
      </c>
      <c r="AI59" s="15">
        <f>SUM(COUNTIFS('Data entry'!$R$6:$R$200,'Summary Data'!$A59,'Data entry'!$B$6:$B$200,{"Confirmed";"Probable"},'Data entry'!$AQ$6:$AQ$200,'Data Validation'!$V$2, 'Data entry'!$AP$6:$AP$200,'Data Validation'!$U$5, 'Data entry'!$BD$6:$BD$200,"&lt;&gt;*Negative*"))</f>
        <v>0</v>
      </c>
      <c r="AJ59" s="15">
        <f>SUM(COUNTIFS('Data entry'!$R$6:$R$200,'Summary Data'!$A59,'Data entry'!$B$6:$B$200,{"Confirmed";"Probable"},'Data entry'!$AQ$6:$AQ$200,'Data Validation'!$V$2, 'Data entry'!$AP$6:$AP$200,'Data Validation'!$U$6, 'Data entry'!$BD$6:$BD$200,"&lt;&gt;*Negative*"))</f>
        <v>0</v>
      </c>
      <c r="AK59" s="15">
        <f>SUM(COUNTIFS('Data entry'!$R$6:$R$200,'Summary Data'!$A59,'Data entry'!$B$6:$B$200,{"Confirmed";"Probable"},'Data entry'!$AQ$6:$AQ$200,'Data Validation'!$V$3, 'Data entry'!$AP$6:$AP$200,'Data Validation'!$U$2, 'Data entry'!$BD$6:$BD$200,"&lt;&gt;*Negative*"))</f>
        <v>0</v>
      </c>
      <c r="AL59" s="15">
        <f>SUM(COUNTIFS('Data entry'!$R$6:$R$200,'Summary Data'!$A59,'Data entry'!$B$6:$B$200,{"Confirmed";"Probable"},'Data entry'!$AQ$6:$AQ$200,'Data Validation'!$V$3, 'Data entry'!$AP$6:$AP$200,'Data Validation'!$U$3, 'Data entry'!$BD$6:$BD$200,"&lt;&gt;*Negative*"))</f>
        <v>0</v>
      </c>
      <c r="AM59" s="15">
        <f>SUM(COUNTIFS('Data entry'!$R$6:$R$200,'Summary Data'!$A59,'Data entry'!$B$6:$B$200,{"Confirmed";"Probable"},'Data entry'!$AQ$6:$AQ$200,'Data Validation'!$V$3, 'Data entry'!$AP$6:$AP$200,'Data Validation'!$U$4, 'Data entry'!$BD$6:$BD$200,"&lt;&gt;*Negative*"))</f>
        <v>0</v>
      </c>
      <c r="AN59" s="15">
        <f>SUM(COUNTIFS('Data entry'!$R$6:$R$200,'Summary Data'!$A59,'Data entry'!$B$6:$B$200,{"Confirmed";"Probable"},'Data entry'!$AQ$6:$AQ$200,'Data Validation'!$V$3, 'Data entry'!$AP$6:$AP$200,'Data Validation'!$U$5, 'Data entry'!$BD$6:$BD$200,"&lt;&gt;*Negative*"))</f>
        <v>0</v>
      </c>
      <c r="AO59" s="15">
        <f>SUM(COUNTIFS('Data entry'!$R$6:$R$200,'Summary Data'!$A59,'Data entry'!$B$6:$B$200,{"Confirmed";"Probable"},'Data entry'!$AQ$6:$AQ$200,'Data Validation'!$V$3, 'Data entry'!$AP$6:$AP$200,'Data Validation'!$U$6, 'Data entry'!$BD$6:$BD$200,"&lt;&gt;*Negative*"))</f>
        <v>0</v>
      </c>
      <c r="AP59" s="15">
        <f>SUM(COUNTIFS('Data entry'!$R$6:$R$200,'Summary Data'!$A59,'Data entry'!$B$6:$B$200,{"Confirmed";"Probable"},'Data entry'!$AQ$6:$AQ$200,'Data Validation'!$V$4, 'Data entry'!$AP$6:$AP$200,'Data Validation'!$U$2, 'Data entry'!$BD$6:$BD$200,"&lt;&gt;*Negative*"))</f>
        <v>0</v>
      </c>
      <c r="AQ59" s="15">
        <f>SUM(COUNTIFS('Data entry'!$R$6:$R$200,'Summary Data'!$A59,'Data entry'!$B$6:$B$200,{"Confirmed";"Probable"},'Data entry'!$AQ$6:$AQ$200,'Data Validation'!$V$4, 'Data entry'!$AP$6:$AP$200,'Data Validation'!$U$3, 'Data entry'!$BD$6:$BD$200,"&lt;&gt;*Negative*"))</f>
        <v>0</v>
      </c>
      <c r="AR59" s="15">
        <f>SUM(COUNTIFS('Data entry'!$R$6:$R$200,'Summary Data'!$A59,'Data entry'!$B$6:$B$200,{"Confirmed";"Probable"},'Data entry'!$AQ$6:$AQ$200,'Data Validation'!$V$4, 'Data entry'!$AP$6:$AP$200,'Data Validation'!$U$4, 'Data entry'!$BD$6:$BD$200,"&lt;&gt;*Negative*"))</f>
        <v>0</v>
      </c>
      <c r="AS59" s="15">
        <f>SUM(COUNTIFS('Data entry'!$R$6:$R$200,'Summary Data'!$A59,'Data entry'!$B$6:$B$200,{"Confirmed";"Probable"},'Data entry'!$AQ$6:$AQ$200,'Data Validation'!$V$4, 'Data entry'!$AP$6:$AP$200,'Data Validation'!$U$5, 'Data entry'!$BD$6:$BD$200,"&lt;&gt;*Negative*"))</f>
        <v>0</v>
      </c>
      <c r="AT59" s="15">
        <f>SUM(COUNTIFS('Data entry'!$R$6:$R$200,'Summary Data'!$A59,'Data entry'!$B$6:$B$200,{"Confirmed";"Probable"},'Data entry'!$AQ$6:$AQ$200,'Data Validation'!$V$4, 'Data entry'!$AP$6:$AP$200,'Data Validation'!$U$6, 'Data entry'!$BD$6:$BD$200,"&lt;&gt;*Negative*"))</f>
        <v>0</v>
      </c>
      <c r="AU59" s="15">
        <f>SUM(COUNTIFS('Data entry'!$R$6:$R$200,'Summary Data'!$A59,'Data entry'!$B$6:$B$200,{"Confirmed";"Probable"},'Data entry'!$AQ$6:$AQ$200,'Data Validation'!$V$5, 'Data entry'!$AP$6:$AP$200,'Data Validation'!$U$2, 'Data entry'!$BD$6:$BD$200,"&lt;&gt;*Negative*"))</f>
        <v>0</v>
      </c>
      <c r="AV59" s="15">
        <f>SUM(COUNTIFS('Data entry'!$R$6:$R$200,'Summary Data'!$A59,'Data entry'!$B$6:$B$200,{"Confirmed";"Probable"},'Data entry'!$AQ$6:$AQ$200,'Data Validation'!$V$5, 'Data entry'!$AP$6:$AP$200,'Data Validation'!$U$3, 'Data entry'!$BD$6:$BD$200,"&lt;&gt;*Negative*"))</f>
        <v>0</v>
      </c>
      <c r="AW59" s="15">
        <f>SUM(COUNTIFS('Data entry'!$R$6:$R$200,'Summary Data'!$A59,'Data entry'!$B$6:$B$200,{"Confirmed";"Probable"},'Data entry'!$AQ$6:$AQ$200,'Data Validation'!$V$5, 'Data entry'!$AP$6:$AP$200,'Data Validation'!$U$4, 'Data entry'!$BD$6:$BD$200,"&lt;&gt;*Negative*"))</f>
        <v>0</v>
      </c>
      <c r="AX59" s="15">
        <f>SUM(COUNTIFS('Data entry'!$R$6:$R$200,'Summary Data'!$A59,'Data entry'!$B$6:$B$200,{"Confirmed";"Probable"},'Data entry'!$AQ$6:$AQ$200,'Data Validation'!$V$5, 'Data entry'!$AP$6:$AP$200,'Data Validation'!$U$5, 'Data entry'!$BD$6:$BD$200,"&lt;&gt;*Negative*"))</f>
        <v>0</v>
      </c>
      <c r="AY59" s="15">
        <f>SUM(COUNTIFS('Data entry'!$R$6:$R$200,'Summary Data'!$A59,'Data entry'!$B$6:$B$200,{"Confirmed";"Probable"},'Data entry'!$AQ$6:$AQ$200,'Data Validation'!$V$5, 'Data entry'!$AP$6:$AP$200,'Data Validation'!$U$6, 'Data entry'!$BD$6:$BD$200,"&lt;&gt;*Negative*"))</f>
        <v>0</v>
      </c>
      <c r="AZ59" s="15">
        <f>SUM(COUNTIFS('Data entry'!$R$6:$R$200,'Summary Data'!$A59,'Data entry'!$B$6:$B$200,{"Confirmed";"Probable"},'Data entry'!$AQ$6:$AQ$200,'Data Validation'!$V$6, 'Data entry'!$AP$6:$AP$200,'Data Validation'!$U$2, 'Data entry'!$BD$6:$BD$200,"&lt;&gt;*Negative*"))</f>
        <v>0</v>
      </c>
      <c r="BA59" s="15">
        <f>SUM(COUNTIFS('Data entry'!$R$6:$R$200,'Summary Data'!$A59,'Data entry'!$B$6:$B$200,{"Confirmed";"Probable"},'Data entry'!$AQ$6:$AQ$200,'Data Validation'!$V$6, 'Data entry'!$AP$6:$AP$200,'Data Validation'!$U$3, 'Data entry'!$BD$6:$BD$200,"&lt;&gt;*Negative*"))</f>
        <v>0</v>
      </c>
      <c r="BB59" s="15">
        <f>SUM(COUNTIFS('Data entry'!$R$6:$R$200,'Summary Data'!$A59,'Data entry'!$B$6:$B$200,{"Confirmed";"Probable"},'Data entry'!$AQ$6:$AQ$200,'Data Validation'!$V$6, 'Data entry'!$AP$6:$AP$200,'Data Validation'!$U$4, 'Data entry'!$BD$6:$BD$200,"&lt;&gt;*Negative*"))</f>
        <v>0</v>
      </c>
      <c r="BC59" s="15">
        <f>SUM(COUNTIFS('Data entry'!$R$6:$R$200,'Summary Data'!$A59,'Data entry'!$B$6:$B$200,{"Confirmed";"Probable"},'Data entry'!$AQ$6:$AQ$200,'Data Validation'!$V$6, 'Data entry'!$AP$6:$AP$200,'Data Validation'!$U$5, 'Data entry'!$BD$6:$BD$200,"&lt;&gt;*Negative*"))</f>
        <v>0</v>
      </c>
      <c r="BD59" s="15">
        <f>SUM(COUNTIFS('Data entry'!$R$6:$R$200,'Summary Data'!$A59,'Data entry'!$B$6:$B$200,{"Confirmed";"Probable"},'Data entry'!$AQ$6:$AQ$200,'Data Validation'!$V$6, 'Data entry'!$AP$6:$AP$200,'Data Validation'!$U$6, 'Data entry'!$BD$6:$BD$200,"&lt;&gt;*Negative*"))</f>
        <v>0</v>
      </c>
      <c r="BE59" s="15">
        <f>SUM(COUNTIFS('Data entry'!$R$6:$R$200,'Summary Data'!$A59,'Data entry'!$B$6:$B$200,{"Confirmed";"Probable"},'Data entry'!$AQ$6:$AQ$200,'Data Validation'!$V$7, 'Data entry'!$AP$6:$AP$200,'Data Validation'!$U$2, 'Data entry'!$BD$6:$BD$200,"&lt;&gt;*Negative*"))</f>
        <v>0</v>
      </c>
      <c r="BF59" s="15">
        <f>SUM(COUNTIFS('Data entry'!$R$6:$R$200,'Summary Data'!$A59,'Data entry'!$B$6:$B$200,{"Confirmed";"Probable"},'Data entry'!$AQ$6:$AQ$200,'Data Validation'!$V$7, 'Data entry'!$AP$6:$AP$200,'Data Validation'!$U$3, 'Data entry'!$BD$6:$BD$200,"&lt;&gt;*Negative*"))</f>
        <v>0</v>
      </c>
      <c r="BG59" s="15">
        <f>SUM(COUNTIFS('Data entry'!$R$6:$R$200,'Summary Data'!$A59,'Data entry'!$B$6:$B$200,{"Confirmed";"Probable"},'Data entry'!$AQ$6:$AQ$200,'Data Validation'!$V$7, 'Data entry'!$AP$6:$AP$200,'Data Validation'!$U$4, 'Data entry'!$BD$6:$BD$200,"&lt;&gt;*Negative*"))</f>
        <v>0</v>
      </c>
      <c r="BH59" s="15">
        <f>SUM(COUNTIFS('Data entry'!$R$6:$R$200,'Summary Data'!$A59,'Data entry'!$B$6:$B$200,{"Confirmed";"Probable"},'Data entry'!$AQ$6:$AQ$200,'Data Validation'!$V$7, 'Data entry'!$AP$6:$AP$200,'Data Validation'!$U$5, 'Data entry'!$BD$6:$BD$200,"&lt;&gt;*Negative*"))</f>
        <v>0</v>
      </c>
      <c r="BI59" s="15">
        <f>SUM(COUNTIFS('Data entry'!$R$6:$R$200,'Summary Data'!$A59,'Data entry'!$B$6:$B$200,{"Confirmed";"Probable"},'Data entry'!$AQ$6:$AQ$200,'Data Validation'!$V$7, 'Data entry'!$AP$6:$AP$200,'Data Validation'!$U$6, 'Data entry'!$BD$6:$BD$200,"&lt;&gt;*Negative*"))</f>
        <v>0</v>
      </c>
      <c r="BJ59" s="15">
        <f>SUM(COUNTIFS('Data entry'!$R$6:$R$200,'Summary Data'!$A59,'Data entry'!$B$6:$B$200,{"Confirmed";"Probable"},'Data entry'!$AQ$6:$AQ$200,'Data Validation'!$V$8, 'Data entry'!$AP$6:$AP$200,'Data Validation'!$U$2, 'Data entry'!$BD$6:$BD$200,"&lt;&gt;*Negative*"))</f>
        <v>0</v>
      </c>
      <c r="BK59" s="15">
        <f>SUM(COUNTIFS('Data entry'!$R$6:$R$200,'Summary Data'!$A59,'Data entry'!$B$6:$B$200,{"Confirmed";"Probable"},'Data entry'!$AQ$6:$AQ$200,'Data Validation'!$V$8, 'Data entry'!$AP$6:$AP$200,'Data Validation'!$U$3, 'Data entry'!$BD$6:$BD$200,"&lt;&gt;*Negative*"))</f>
        <v>0</v>
      </c>
      <c r="BL59" s="15">
        <f>SUM(COUNTIFS('Data entry'!$R$6:$R$200,'Summary Data'!$A59,'Data entry'!$B$6:$B$200,{"Confirmed";"Probable"},'Data entry'!$AQ$6:$AQ$200,'Data Validation'!$V$8, 'Data entry'!$AP$6:$AP$200,'Data Validation'!$U$4, 'Data entry'!$BD$6:$BD$200,"&lt;&gt;*Negative*"))</f>
        <v>0</v>
      </c>
      <c r="BM59" s="15">
        <f>SUM(COUNTIFS('Data entry'!$R$6:$R$200,'Summary Data'!$A59,'Data entry'!$B$6:$B$200,{"Confirmed";"Probable"},'Data entry'!$AQ$6:$AQ$200,'Data Validation'!$V$8, 'Data entry'!$AP$6:$AP$200,'Data Validation'!$U$5, 'Data entry'!$BD$6:$BD$200,"&lt;&gt;*Negative*"))</f>
        <v>0</v>
      </c>
      <c r="BN59" s="15">
        <f>SUM(COUNTIFS('Data entry'!$R$6:$R$200,'Summary Data'!$A59,'Data entry'!$B$6:$B$200,{"Confirmed";"Probable"},'Data entry'!$AQ$6:$AQ$200,'Data Validation'!$V$8, 'Data entry'!$AP$6:$AP$200,'Data Validation'!$U$6, 'Data entry'!$BD$6:$BD$200,"&lt;&gt;*Negative*"))</f>
        <v>0</v>
      </c>
      <c r="BO59" s="15">
        <f>SUM(COUNTIFS('Data entry'!$R$6:$R$200,'Summary Data'!$A59,'Data entry'!$B$6:$B$200,{"Confirmed";"Probable"},'Data entry'!$AQ$6:$AQ$200,'Data Validation'!$V$9, 'Data entry'!$AP$6:$AP$200,'Data Validation'!$U$2, 'Data entry'!$BD$6:$BD$200,"&lt;&gt;*Negative*"))</f>
        <v>0</v>
      </c>
      <c r="BP59" s="15">
        <f>SUM(COUNTIFS('Data entry'!$R$6:$R$200,'Summary Data'!$A59,'Data entry'!$B$6:$B$200,{"Confirmed";"Probable"},'Data entry'!$AQ$6:$AQ$200,'Data Validation'!$V$9, 'Data entry'!$AP$6:$AP$200,'Data Validation'!$U$3, 'Data entry'!$BD$6:$BD$200,"&lt;&gt;*Negative*"))</f>
        <v>0</v>
      </c>
      <c r="BQ59" s="15">
        <f>SUM(COUNTIFS('Data entry'!$R$6:$R$200,'Summary Data'!$A59,'Data entry'!$B$6:$B$200,{"Confirmed";"Probable"},'Data entry'!$AQ$6:$AQ$200,'Data Validation'!$V$9, 'Data entry'!$AP$6:$AP$200,'Data Validation'!$U$4, 'Data entry'!$BD$6:$BD$200,"&lt;&gt;*Negative*"))</f>
        <v>0</v>
      </c>
      <c r="BR59" s="15">
        <f>SUM(COUNTIFS('Data entry'!$R$6:$R$200,'Summary Data'!$A59,'Data entry'!$B$6:$B$200,{"Confirmed";"Probable"},'Data entry'!$AQ$6:$AQ$200,'Data Validation'!$V$9, 'Data entry'!$AP$6:$AP$200,'Data Validation'!$U$5, 'Data entry'!$BD$6:$BD$200,"&lt;&gt;*Negative*"))</f>
        <v>0</v>
      </c>
      <c r="BS59" s="15">
        <f>SUM(COUNTIFS('Data entry'!$R$6:$R$200,'Summary Data'!$A59,'Data entry'!$B$6:$B$200,{"Confirmed";"Probable"},'Data entry'!$AQ$6:$AQ$200,'Data Validation'!$V$9, 'Data entry'!$AP$6:$AP$200,'Data Validation'!$U$6, 'Data entry'!$BD$6:$BD$200,"&lt;&gt;*Negative*"))</f>
        <v>0</v>
      </c>
      <c r="BT59" s="15">
        <f>SUM(COUNTIFS('Data entry'!$R$6:$R$200,'Summary Data'!$A59,'Data entry'!$B$6:$B$200,{"Confirmed";"Probable"},'Data entry'!$AQ$6:$AQ$200,'Data Validation'!$V$10, 'Data entry'!$AP$6:$AP$200,'Data Validation'!$U$2, 'Data entry'!$BD$6:$BD$200,"&lt;&gt;*Negative*"))</f>
        <v>0</v>
      </c>
      <c r="BU59" s="15">
        <f>SUM(COUNTIFS('Data entry'!$R$6:$R$200,'Summary Data'!$A59,'Data entry'!$B$6:$B$200,{"Confirmed";"Probable"},'Data entry'!$AQ$6:$AQ$200,'Data Validation'!$V$10, 'Data entry'!$AP$6:$AP$200,'Data Validation'!$U$3, 'Data entry'!$BD$6:$BD$200,"&lt;&gt;*Negative*"))</f>
        <v>0</v>
      </c>
      <c r="BV59" s="15">
        <f>SUM(COUNTIFS('Data entry'!$R$6:$R$200,'Summary Data'!$A59,'Data entry'!$B$6:$B$200,{"Confirmed";"Probable"},'Data entry'!$AQ$6:$AQ$200,'Data Validation'!$V$10, 'Data entry'!$AP$6:$AP$200,'Data Validation'!$U$4, 'Data entry'!$BD$6:$BD$200,"&lt;&gt;*Negative*"))</f>
        <v>0</v>
      </c>
      <c r="BW59" s="15">
        <f>SUM(COUNTIFS('Data entry'!$R$6:$R$200,'Summary Data'!$A59,'Data entry'!$B$6:$B$200,{"Confirmed";"Probable"},'Data entry'!$AQ$6:$AQ$200,'Data Validation'!$V$10, 'Data entry'!$AP$6:$AP$200,'Data Validation'!$U$5, 'Data entry'!$BD$6:$BD$200,"&lt;&gt;*Negative*"))</f>
        <v>0</v>
      </c>
      <c r="BX59" s="15">
        <f>SUM(COUNTIFS('Data entry'!$R$6:$R$200,'Summary Data'!$A59,'Data entry'!$B$6:$B$200,{"Confirmed";"Probable"},'Data entry'!$AQ$6:$AQ$200,'Data Validation'!$V$10, 'Data entry'!$AP$6:$AP$200,'Data Validation'!$U$6, 'Data entry'!$BD$6:$BD$200,"&lt;&gt;*Negative*"))</f>
        <v>0</v>
      </c>
      <c r="BY59" s="15">
        <f>SUM(COUNTIFS('Data entry'!$R$6:$R$200,'Summary Data'!$A59,'Data entry'!$B$6:$B$200,{"Confirmed";"Probable"},'Data entry'!$AQ$6:$AQ$200,'Data Validation'!$V$11, 'Data entry'!$AP$6:$AP$200,'Data Validation'!$U$2, 'Data entry'!$BD$6:$BD$200,"&lt;&gt;*Negative*"))</f>
        <v>0</v>
      </c>
      <c r="BZ59" s="15">
        <f>SUM(COUNTIFS('Data entry'!$R$6:$R$200,'Summary Data'!$A59,'Data entry'!$B$6:$B$200,{"Confirmed";"Probable"},'Data entry'!$AQ$6:$AQ$200,'Data Validation'!$V$11, 'Data entry'!$AP$6:$AP$200,'Data Validation'!$U$3, 'Data entry'!$BD$6:$BD$200,"&lt;&gt;*Negative*"))</f>
        <v>0</v>
      </c>
      <c r="CA59" s="15">
        <f>SUM(COUNTIFS('Data entry'!$R$6:$R$200,'Summary Data'!$A59,'Data entry'!$B$6:$B$200,{"Confirmed";"Probable"},'Data entry'!$AQ$6:$AQ$200,'Data Validation'!$V$11, 'Data entry'!$AP$6:$AP$200,'Data Validation'!$U$4, 'Data entry'!$BD$6:$BD$200,"&lt;&gt;*Negative*"))</f>
        <v>0</v>
      </c>
      <c r="CB59" s="15">
        <f>SUM(COUNTIFS('Data entry'!$R$6:$R$200,'Summary Data'!$A59,'Data entry'!$B$6:$B$200,{"Confirmed";"Probable"},'Data entry'!$AQ$6:$AQ$200,'Data Validation'!$V$11, 'Data entry'!$AP$6:$AP$200,'Data Validation'!$U$5, 'Data entry'!$BD$6:$BD$200,"&lt;&gt;*Negative*"))</f>
        <v>0</v>
      </c>
      <c r="CC59" s="15">
        <f>SUM(COUNTIFS('Data entry'!$R$6:$R$200,'Summary Data'!$A59,'Data entry'!$B$6:$B$200,{"Confirmed";"Probable"},'Data entry'!$AQ$6:$AQ$200,'Data Validation'!$V$11, 'Data entry'!$AP$6:$AP$200,'Data Validation'!$U$6, 'Data entry'!$BD$6:$BD$200,"&lt;&gt;*Negative*"))</f>
        <v>0</v>
      </c>
    </row>
    <row r="60" spans="1:81" x14ac:dyDescent="0.25">
      <c r="A60" s="12">
        <f t="shared" si="5"/>
        <v>48</v>
      </c>
      <c r="B60" s="13">
        <f t="shared" si="2"/>
        <v>0</v>
      </c>
      <c r="C60" s="13">
        <f>COUNTIFS('Data entry'!$R$6:$R$200,$A60,'Data entry'!$B$6:$B$200,"Confirmed",'Data entry'!$BD$6:$BD$200,"&lt;&gt;*Negative*")</f>
        <v>0</v>
      </c>
      <c r="D60" s="13">
        <f>COUNTIFS('Data entry'!$R$6:$R$200,$A60,'Data entry'!$B$6:$B$200,"Probable",'Data entry'!$BD$6:$BD$200,"&lt;&gt;*Negative*")</f>
        <v>0</v>
      </c>
      <c r="E60" s="13">
        <f>COUNTIFS('Data entry'!$R$6:$R$200,$A60,'Data entry'!$B$6:$B$200,"DNM")</f>
        <v>0</v>
      </c>
      <c r="F60" s="13">
        <f>SUM(COUNTIFS('Data entry'!$R$6:$R$200,'Summary Data'!$A60,'Data entry'!$B$6:$B$200,{"Confirmed";"Probable"},'Data entry'!$AO$6:$AO$200,$F$10, 'Data entry'!$BD$6:$BD$200,"&lt;&gt;*Negative*"))</f>
        <v>0</v>
      </c>
      <c r="G60" s="13">
        <f>SUM(COUNTIFS('Data entry'!$R$6:$R$200,'Summary Data'!$A60,'Data entry'!$B$6:$B$200,{"Confirmed";"Probable"},'Data entry'!$AO$6:$AO$200,$G$10, 'Data entry'!$BD$6:$BD$200,"&lt;&gt;*Negative*"))</f>
        <v>0</v>
      </c>
      <c r="H60" s="13">
        <f>SUM(COUNTIFS('Data entry'!$R$6:$R$200,'Summary Data'!$A60,'Data entry'!$B$6:$B$200,{"Confirmed";"Probable"},'Data entry'!$AO$6:$AO$200,$H$10, 'Data entry'!$BD$6:$BD$200,"&lt;&gt;*Negative*"))</f>
        <v>0</v>
      </c>
      <c r="I60" s="13">
        <f>SUM(COUNTIFS('Data entry'!$R$6:$R$200,'Summary Data'!$A60,'Data entry'!$B$6:$B$200,{"Confirmed";"Probable"},'Data entry'!$AO$6:$AO$200,$I$10, 'Data entry'!$BD$6:$BD$200,"&lt;&gt;*Negative*"))</f>
        <v>0</v>
      </c>
      <c r="J60" s="13">
        <f>SUM(COUNTIFS('Data entry'!$R$6:$R$200,'Summary Data'!$A60,'Data entry'!$B$6:$B$200,{"Confirmed";"Probable"},'Data entry'!$AO$6:$AO$200,$J$10, 'Data entry'!$BD$6:$BD$200,"&lt;&gt;*Negative*"))</f>
        <v>0</v>
      </c>
      <c r="K60" s="13">
        <f>SUM(COUNTIFS('Data entry'!$R$6:$R$200,'Summary Data'!$A60,'Data entry'!$B$6:$B$200,{"Confirmed";"Probable"},'Data entry'!$AO$6:$AO$200,$K$10, 'Data entry'!$BD$6:$BD$200,"&lt;&gt;*Negative*"))</f>
        <v>0</v>
      </c>
      <c r="L60" s="13">
        <f>SUM(COUNTIFS('Data entry'!$R$6:$R$200,'Summary Data'!$A60,'Data entry'!$B$6:$B$200,{"Confirmed";"Probable"},'Data entry'!$AO$6:$AO$200,$L$10, 'Data entry'!$BD$6:$BD$200,"&lt;&gt;*Negative*"))</f>
        <v>0</v>
      </c>
      <c r="M60" s="13">
        <f>SUM(COUNTIFS('Data entry'!$R$6:$R$200,'Summary Data'!$A60,'Data entry'!$B$6:$B$200,{"Confirmed";"Probable"},'Data entry'!$AO$6:$AO$200,$M$10, 'Data entry'!$BD$6:$BD$200,"&lt;&gt;*Negative*"))</f>
        <v>0</v>
      </c>
      <c r="N60" s="13">
        <f>SUM(COUNTIFS('Data entry'!$R$6:$R$200,'Summary Data'!$A60,'Data entry'!$B$6:$B$200,{"Confirmed";"Probable"},'Data entry'!$AO$6:$AO$200,$N$10, 'Data entry'!$BD$6:$BD$200,"&lt;&gt;*Negative*"))</f>
        <v>0</v>
      </c>
      <c r="O60" s="15">
        <f t="shared" si="3"/>
        <v>0</v>
      </c>
      <c r="P60" s="15">
        <f t="shared" si="4"/>
        <v>0</v>
      </c>
      <c r="Q60" s="15">
        <f>SUM(COUNTIFS('Data entry'!$R$6:$R$200,'Summary Data'!$A60,'Data entry'!$B$6:$B$200,{"Confirmed";"Probable"},'Data entry'!$AP$6:$AP$200,'Data Validation'!$U$2, 'Data entry'!$BD$6:$BD$200,"&lt;&gt;*Negative*"))</f>
        <v>0</v>
      </c>
      <c r="R60" s="15">
        <f>SUM(COUNTIFS('Data entry'!$R$6:$R$200,'Summary Data'!$A60,'Data entry'!$B$6:$B$200,{"Confirmed";"Probable"},'Data entry'!$AP$6:$AP$200,'Data Validation'!$U$3, 'Data entry'!$BD$6:$BD$200,"&lt;&gt;*Negative*"))</f>
        <v>0</v>
      </c>
      <c r="S60" s="15">
        <f>SUM(COUNTIFS('Data entry'!$R$6:$R$200,'Summary Data'!$A60,'Data entry'!$B$6:$B$200,{"Confirmed";"Probable"},'Data entry'!$AP$6:$AP$200,'Data Validation'!$U$4, 'Data entry'!$BD$6:$BD$200,"&lt;&gt;*Negative*"))</f>
        <v>0</v>
      </c>
      <c r="T60" s="15">
        <f>SUM(COUNTIFS('Data entry'!$R$6:$R$200,'Summary Data'!$A60,'Data entry'!$B$6:$B$200,{"Confirmed";"Probable"},'Data entry'!$AP$6:$AP$200,'Data Validation'!$U$5, 'Data entry'!$BD$6:$BD$200,"&lt;&gt;*Negative*"))</f>
        <v>0</v>
      </c>
      <c r="U60" s="15">
        <f>SUM(COUNTIFS('Data entry'!$R$6:$R$200,'Summary Data'!$A60,'Data entry'!$B$6:$B$200,{"Confirmed";"Probable"},'Data entry'!$AP$6:$AP$200,'Data Validation'!$U$6, 'Data entry'!$BD$6:$BD$200,"&lt;&gt;*Negative*"))</f>
        <v>0</v>
      </c>
      <c r="V60" s="15">
        <f>SUM(COUNTIFS('Data entry'!$R$6:$R$200,'Summary Data'!$A60,'Data entry'!$B$6:$B$200,{"Confirmed";"Probable"},'Data entry'!$AQ$6:$AQ$200,'Data Validation'!$V$2, 'Data entry'!$BD$6:$BD$200,"&lt;&gt;*Negative*"))</f>
        <v>0</v>
      </c>
      <c r="W60" s="15">
        <f>SUM(COUNTIFS('Data entry'!$R$6:$R$200,'Summary Data'!$A60,'Data entry'!$B$6:$B$200,{"Confirmed";"Probable"},'Data entry'!$AQ$6:$AQ$200,'Data Validation'!$V$3, 'Data entry'!$BD$6:$BD$200,"&lt;&gt;*Negative*"))</f>
        <v>0</v>
      </c>
      <c r="X60" s="15">
        <f>SUM(COUNTIFS('Data entry'!$R$6:$R$200,'Summary Data'!$A60,'Data entry'!$B$6:$B$200,{"Confirmed";"Probable"},'Data entry'!$AQ$6:$AQ$200,'Data Validation'!$V$4, 'Data entry'!$BD$6:$BD$200,"&lt;&gt;*Negative*"))</f>
        <v>0</v>
      </c>
      <c r="Y60" s="15">
        <f>SUM(COUNTIFS('Data entry'!$R$6:$R$200,'Summary Data'!$A60,'Data entry'!$B$6:$B$200,{"Confirmed";"Probable"},'Data entry'!$AQ$6:$AQ$200,'Data Validation'!$V$5, 'Data entry'!$BD$6:$BD$200,"&lt;&gt;*Negative*"))</f>
        <v>0</v>
      </c>
      <c r="Z60" s="15">
        <f>SUM(COUNTIFS('Data entry'!$R$6:$R$200,'Summary Data'!$A60,'Data entry'!$B$6:$B$200,{"Confirmed";"Probable"},'Data entry'!$AQ$6:$AQ$200,'Data Validation'!$V$6, 'Data entry'!$BD$6:$BD$200,"&lt;&gt;*Negative*"))</f>
        <v>0</v>
      </c>
      <c r="AA60" s="15">
        <f>SUM(COUNTIFS('Data entry'!$R$6:$R$200,'Summary Data'!$A60,'Data entry'!$B$6:$B$200,{"Confirmed";"Probable"},'Data entry'!$AQ$6:$AQ$200,'Data Validation'!$V$7, 'Data entry'!$BD$6:$BD$200,"&lt;&gt;*Negative*"))</f>
        <v>0</v>
      </c>
      <c r="AB60" s="15">
        <f>SUM(COUNTIFS('Data entry'!$R$6:$R$200,'Summary Data'!$A60,'Data entry'!$B$6:$B$200,{"Confirmed";"Probable"},'Data entry'!$AQ$6:$AQ$200,'Data Validation'!$V$8, 'Data entry'!$BD$6:$BD$200,"&lt;&gt;*Negative*"))</f>
        <v>0</v>
      </c>
      <c r="AC60" s="15">
        <f>SUM(COUNTIFS('Data entry'!$R$6:$R$200,'Summary Data'!$A60,'Data entry'!$B$6:$B$200,{"Confirmed";"Probable"},'Data entry'!$AQ$6:$AQ$200,'Data Validation'!$V$9, 'Data entry'!$BD$6:$BD$200,"&lt;&gt;*Negative*"))</f>
        <v>0</v>
      </c>
      <c r="AD60" s="15">
        <f>SUM(COUNTIFS('Data entry'!$R$6:$R$200,'Summary Data'!$A60,'Data entry'!$B$6:$B$200,{"Confirmed";"Probable"},'Data entry'!$AQ$6:$AQ$200,'Data Validation'!$V$10, 'Data entry'!$BD$6:$BD$200,"&lt;&gt;*Negative*"))</f>
        <v>0</v>
      </c>
      <c r="AE60" s="15">
        <f>SUM(COUNTIFS('Data entry'!$R$6:$R$200,'Summary Data'!$A60,'Data entry'!$B$6:$B$200,{"Confirmed";"Probable"},'Data entry'!$AQ$6:$AQ$200,'Data Validation'!$V$11, 'Data entry'!$BD$6:$BD$200,"&lt;&gt;*Negative*"))</f>
        <v>0</v>
      </c>
      <c r="AF60" s="15">
        <f>SUM(COUNTIFS('Data entry'!$R$6:$R$200,'Summary Data'!$A60,'Data entry'!$B$6:$B$200,{"Confirmed";"Probable"},'Data entry'!$AQ$6:$AQ$200,'Data Validation'!$V$2, 'Data entry'!$AP$6:$AP$200,'Data Validation'!$U$2, 'Data entry'!$BD$6:$BD$200,"&lt;&gt;*Negative*"))</f>
        <v>0</v>
      </c>
      <c r="AG60" s="15">
        <f>SUM(COUNTIFS('Data entry'!$R$6:$R$200,'Summary Data'!$A60,'Data entry'!$B$6:$B$200,{"Confirmed";"Probable"},'Data entry'!$AQ$6:$AQ$200,'Data Validation'!$V$2, 'Data entry'!$AP$6:$AP$200,'Data Validation'!$U$3, 'Data entry'!$BD$6:$BD$200,"&lt;&gt;*Negative*"))</f>
        <v>0</v>
      </c>
      <c r="AH60" s="15">
        <f>SUM(COUNTIFS('Data entry'!$R$6:$R$200,'Summary Data'!$A60,'Data entry'!$B$6:$B$200,{"Confirmed";"Probable"},'Data entry'!$AQ$6:$AQ$200,'Data Validation'!$V$2, 'Data entry'!$AP$6:$AP$200,'Data Validation'!$U$4, 'Data entry'!$BD$6:$BD$200,"&lt;&gt;*Negative*"))</f>
        <v>0</v>
      </c>
      <c r="AI60" s="15">
        <f>SUM(COUNTIFS('Data entry'!$R$6:$R$200,'Summary Data'!$A60,'Data entry'!$B$6:$B$200,{"Confirmed";"Probable"},'Data entry'!$AQ$6:$AQ$200,'Data Validation'!$V$2, 'Data entry'!$AP$6:$AP$200,'Data Validation'!$U$5, 'Data entry'!$BD$6:$BD$200,"&lt;&gt;*Negative*"))</f>
        <v>0</v>
      </c>
      <c r="AJ60" s="15">
        <f>SUM(COUNTIFS('Data entry'!$R$6:$R$200,'Summary Data'!$A60,'Data entry'!$B$6:$B$200,{"Confirmed";"Probable"},'Data entry'!$AQ$6:$AQ$200,'Data Validation'!$V$2, 'Data entry'!$AP$6:$AP$200,'Data Validation'!$U$6, 'Data entry'!$BD$6:$BD$200,"&lt;&gt;*Negative*"))</f>
        <v>0</v>
      </c>
      <c r="AK60" s="15">
        <f>SUM(COUNTIFS('Data entry'!$R$6:$R$200,'Summary Data'!$A60,'Data entry'!$B$6:$B$200,{"Confirmed";"Probable"},'Data entry'!$AQ$6:$AQ$200,'Data Validation'!$V$3, 'Data entry'!$AP$6:$AP$200,'Data Validation'!$U$2, 'Data entry'!$BD$6:$BD$200,"&lt;&gt;*Negative*"))</f>
        <v>0</v>
      </c>
      <c r="AL60" s="15">
        <f>SUM(COUNTIFS('Data entry'!$R$6:$R$200,'Summary Data'!$A60,'Data entry'!$B$6:$B$200,{"Confirmed";"Probable"},'Data entry'!$AQ$6:$AQ$200,'Data Validation'!$V$3, 'Data entry'!$AP$6:$AP$200,'Data Validation'!$U$3, 'Data entry'!$BD$6:$BD$200,"&lt;&gt;*Negative*"))</f>
        <v>0</v>
      </c>
      <c r="AM60" s="15">
        <f>SUM(COUNTIFS('Data entry'!$R$6:$R$200,'Summary Data'!$A60,'Data entry'!$B$6:$B$200,{"Confirmed";"Probable"},'Data entry'!$AQ$6:$AQ$200,'Data Validation'!$V$3, 'Data entry'!$AP$6:$AP$200,'Data Validation'!$U$4, 'Data entry'!$BD$6:$BD$200,"&lt;&gt;*Negative*"))</f>
        <v>0</v>
      </c>
      <c r="AN60" s="15">
        <f>SUM(COUNTIFS('Data entry'!$R$6:$R$200,'Summary Data'!$A60,'Data entry'!$B$6:$B$200,{"Confirmed";"Probable"},'Data entry'!$AQ$6:$AQ$200,'Data Validation'!$V$3, 'Data entry'!$AP$6:$AP$200,'Data Validation'!$U$5, 'Data entry'!$BD$6:$BD$200,"&lt;&gt;*Negative*"))</f>
        <v>0</v>
      </c>
      <c r="AO60" s="15">
        <f>SUM(COUNTIFS('Data entry'!$R$6:$R$200,'Summary Data'!$A60,'Data entry'!$B$6:$B$200,{"Confirmed";"Probable"},'Data entry'!$AQ$6:$AQ$200,'Data Validation'!$V$3, 'Data entry'!$AP$6:$AP$200,'Data Validation'!$U$6, 'Data entry'!$BD$6:$BD$200,"&lt;&gt;*Negative*"))</f>
        <v>0</v>
      </c>
      <c r="AP60" s="15">
        <f>SUM(COUNTIFS('Data entry'!$R$6:$R$200,'Summary Data'!$A60,'Data entry'!$B$6:$B$200,{"Confirmed";"Probable"},'Data entry'!$AQ$6:$AQ$200,'Data Validation'!$V$4, 'Data entry'!$AP$6:$AP$200,'Data Validation'!$U$2, 'Data entry'!$BD$6:$BD$200,"&lt;&gt;*Negative*"))</f>
        <v>0</v>
      </c>
      <c r="AQ60" s="15">
        <f>SUM(COUNTIFS('Data entry'!$R$6:$R$200,'Summary Data'!$A60,'Data entry'!$B$6:$B$200,{"Confirmed";"Probable"},'Data entry'!$AQ$6:$AQ$200,'Data Validation'!$V$4, 'Data entry'!$AP$6:$AP$200,'Data Validation'!$U$3, 'Data entry'!$BD$6:$BD$200,"&lt;&gt;*Negative*"))</f>
        <v>0</v>
      </c>
      <c r="AR60" s="15">
        <f>SUM(COUNTIFS('Data entry'!$R$6:$R$200,'Summary Data'!$A60,'Data entry'!$B$6:$B$200,{"Confirmed";"Probable"},'Data entry'!$AQ$6:$AQ$200,'Data Validation'!$V$4, 'Data entry'!$AP$6:$AP$200,'Data Validation'!$U$4, 'Data entry'!$BD$6:$BD$200,"&lt;&gt;*Negative*"))</f>
        <v>0</v>
      </c>
      <c r="AS60" s="15">
        <f>SUM(COUNTIFS('Data entry'!$R$6:$R$200,'Summary Data'!$A60,'Data entry'!$B$6:$B$200,{"Confirmed";"Probable"},'Data entry'!$AQ$6:$AQ$200,'Data Validation'!$V$4, 'Data entry'!$AP$6:$AP$200,'Data Validation'!$U$5, 'Data entry'!$BD$6:$BD$200,"&lt;&gt;*Negative*"))</f>
        <v>0</v>
      </c>
      <c r="AT60" s="15">
        <f>SUM(COUNTIFS('Data entry'!$R$6:$R$200,'Summary Data'!$A60,'Data entry'!$B$6:$B$200,{"Confirmed";"Probable"},'Data entry'!$AQ$6:$AQ$200,'Data Validation'!$V$4, 'Data entry'!$AP$6:$AP$200,'Data Validation'!$U$6, 'Data entry'!$BD$6:$BD$200,"&lt;&gt;*Negative*"))</f>
        <v>0</v>
      </c>
      <c r="AU60" s="15">
        <f>SUM(COUNTIFS('Data entry'!$R$6:$R$200,'Summary Data'!$A60,'Data entry'!$B$6:$B$200,{"Confirmed";"Probable"},'Data entry'!$AQ$6:$AQ$200,'Data Validation'!$V$5, 'Data entry'!$AP$6:$AP$200,'Data Validation'!$U$2, 'Data entry'!$BD$6:$BD$200,"&lt;&gt;*Negative*"))</f>
        <v>0</v>
      </c>
      <c r="AV60" s="15">
        <f>SUM(COUNTIFS('Data entry'!$R$6:$R$200,'Summary Data'!$A60,'Data entry'!$B$6:$B$200,{"Confirmed";"Probable"},'Data entry'!$AQ$6:$AQ$200,'Data Validation'!$V$5, 'Data entry'!$AP$6:$AP$200,'Data Validation'!$U$3, 'Data entry'!$BD$6:$BD$200,"&lt;&gt;*Negative*"))</f>
        <v>0</v>
      </c>
      <c r="AW60" s="15">
        <f>SUM(COUNTIFS('Data entry'!$R$6:$R$200,'Summary Data'!$A60,'Data entry'!$B$6:$B$200,{"Confirmed";"Probable"},'Data entry'!$AQ$6:$AQ$200,'Data Validation'!$V$5, 'Data entry'!$AP$6:$AP$200,'Data Validation'!$U$4, 'Data entry'!$BD$6:$BD$200,"&lt;&gt;*Negative*"))</f>
        <v>0</v>
      </c>
      <c r="AX60" s="15">
        <f>SUM(COUNTIFS('Data entry'!$R$6:$R$200,'Summary Data'!$A60,'Data entry'!$B$6:$B$200,{"Confirmed";"Probable"},'Data entry'!$AQ$6:$AQ$200,'Data Validation'!$V$5, 'Data entry'!$AP$6:$AP$200,'Data Validation'!$U$5, 'Data entry'!$BD$6:$BD$200,"&lt;&gt;*Negative*"))</f>
        <v>0</v>
      </c>
      <c r="AY60" s="15">
        <f>SUM(COUNTIFS('Data entry'!$R$6:$R$200,'Summary Data'!$A60,'Data entry'!$B$6:$B$200,{"Confirmed";"Probable"},'Data entry'!$AQ$6:$AQ$200,'Data Validation'!$V$5, 'Data entry'!$AP$6:$AP$200,'Data Validation'!$U$6, 'Data entry'!$BD$6:$BD$200,"&lt;&gt;*Negative*"))</f>
        <v>0</v>
      </c>
      <c r="AZ60" s="15">
        <f>SUM(COUNTIFS('Data entry'!$R$6:$R$200,'Summary Data'!$A60,'Data entry'!$B$6:$B$200,{"Confirmed";"Probable"},'Data entry'!$AQ$6:$AQ$200,'Data Validation'!$V$6, 'Data entry'!$AP$6:$AP$200,'Data Validation'!$U$2, 'Data entry'!$BD$6:$BD$200,"&lt;&gt;*Negative*"))</f>
        <v>0</v>
      </c>
      <c r="BA60" s="15">
        <f>SUM(COUNTIFS('Data entry'!$R$6:$R$200,'Summary Data'!$A60,'Data entry'!$B$6:$B$200,{"Confirmed";"Probable"},'Data entry'!$AQ$6:$AQ$200,'Data Validation'!$V$6, 'Data entry'!$AP$6:$AP$200,'Data Validation'!$U$3, 'Data entry'!$BD$6:$BD$200,"&lt;&gt;*Negative*"))</f>
        <v>0</v>
      </c>
      <c r="BB60" s="15">
        <f>SUM(COUNTIFS('Data entry'!$R$6:$R$200,'Summary Data'!$A60,'Data entry'!$B$6:$B$200,{"Confirmed";"Probable"},'Data entry'!$AQ$6:$AQ$200,'Data Validation'!$V$6, 'Data entry'!$AP$6:$AP$200,'Data Validation'!$U$4, 'Data entry'!$BD$6:$BD$200,"&lt;&gt;*Negative*"))</f>
        <v>0</v>
      </c>
      <c r="BC60" s="15">
        <f>SUM(COUNTIFS('Data entry'!$R$6:$R$200,'Summary Data'!$A60,'Data entry'!$B$6:$B$200,{"Confirmed";"Probable"},'Data entry'!$AQ$6:$AQ$200,'Data Validation'!$V$6, 'Data entry'!$AP$6:$AP$200,'Data Validation'!$U$5, 'Data entry'!$BD$6:$BD$200,"&lt;&gt;*Negative*"))</f>
        <v>0</v>
      </c>
      <c r="BD60" s="15">
        <f>SUM(COUNTIFS('Data entry'!$R$6:$R$200,'Summary Data'!$A60,'Data entry'!$B$6:$B$200,{"Confirmed";"Probable"},'Data entry'!$AQ$6:$AQ$200,'Data Validation'!$V$6, 'Data entry'!$AP$6:$AP$200,'Data Validation'!$U$6, 'Data entry'!$BD$6:$BD$200,"&lt;&gt;*Negative*"))</f>
        <v>0</v>
      </c>
      <c r="BE60" s="15">
        <f>SUM(COUNTIFS('Data entry'!$R$6:$R$200,'Summary Data'!$A60,'Data entry'!$B$6:$B$200,{"Confirmed";"Probable"},'Data entry'!$AQ$6:$AQ$200,'Data Validation'!$V$7, 'Data entry'!$AP$6:$AP$200,'Data Validation'!$U$2, 'Data entry'!$BD$6:$BD$200,"&lt;&gt;*Negative*"))</f>
        <v>0</v>
      </c>
      <c r="BF60" s="15">
        <f>SUM(COUNTIFS('Data entry'!$R$6:$R$200,'Summary Data'!$A60,'Data entry'!$B$6:$B$200,{"Confirmed";"Probable"},'Data entry'!$AQ$6:$AQ$200,'Data Validation'!$V$7, 'Data entry'!$AP$6:$AP$200,'Data Validation'!$U$3, 'Data entry'!$BD$6:$BD$200,"&lt;&gt;*Negative*"))</f>
        <v>0</v>
      </c>
      <c r="BG60" s="15">
        <f>SUM(COUNTIFS('Data entry'!$R$6:$R$200,'Summary Data'!$A60,'Data entry'!$B$6:$B$200,{"Confirmed";"Probable"},'Data entry'!$AQ$6:$AQ$200,'Data Validation'!$V$7, 'Data entry'!$AP$6:$AP$200,'Data Validation'!$U$4, 'Data entry'!$BD$6:$BD$200,"&lt;&gt;*Negative*"))</f>
        <v>0</v>
      </c>
      <c r="BH60" s="15">
        <f>SUM(COUNTIFS('Data entry'!$R$6:$R$200,'Summary Data'!$A60,'Data entry'!$B$6:$B$200,{"Confirmed";"Probable"},'Data entry'!$AQ$6:$AQ$200,'Data Validation'!$V$7, 'Data entry'!$AP$6:$AP$200,'Data Validation'!$U$5, 'Data entry'!$BD$6:$BD$200,"&lt;&gt;*Negative*"))</f>
        <v>0</v>
      </c>
      <c r="BI60" s="15">
        <f>SUM(COUNTIFS('Data entry'!$R$6:$R$200,'Summary Data'!$A60,'Data entry'!$B$6:$B$200,{"Confirmed";"Probable"},'Data entry'!$AQ$6:$AQ$200,'Data Validation'!$V$7, 'Data entry'!$AP$6:$AP$200,'Data Validation'!$U$6, 'Data entry'!$BD$6:$BD$200,"&lt;&gt;*Negative*"))</f>
        <v>0</v>
      </c>
      <c r="BJ60" s="15">
        <f>SUM(COUNTIFS('Data entry'!$R$6:$R$200,'Summary Data'!$A60,'Data entry'!$B$6:$B$200,{"Confirmed";"Probable"},'Data entry'!$AQ$6:$AQ$200,'Data Validation'!$V$8, 'Data entry'!$AP$6:$AP$200,'Data Validation'!$U$2, 'Data entry'!$BD$6:$BD$200,"&lt;&gt;*Negative*"))</f>
        <v>0</v>
      </c>
      <c r="BK60" s="15">
        <f>SUM(COUNTIFS('Data entry'!$R$6:$R$200,'Summary Data'!$A60,'Data entry'!$B$6:$B$200,{"Confirmed";"Probable"},'Data entry'!$AQ$6:$AQ$200,'Data Validation'!$V$8, 'Data entry'!$AP$6:$AP$200,'Data Validation'!$U$3, 'Data entry'!$BD$6:$BD$200,"&lt;&gt;*Negative*"))</f>
        <v>0</v>
      </c>
      <c r="BL60" s="15">
        <f>SUM(COUNTIFS('Data entry'!$R$6:$R$200,'Summary Data'!$A60,'Data entry'!$B$6:$B$200,{"Confirmed";"Probable"},'Data entry'!$AQ$6:$AQ$200,'Data Validation'!$V$8, 'Data entry'!$AP$6:$AP$200,'Data Validation'!$U$4, 'Data entry'!$BD$6:$BD$200,"&lt;&gt;*Negative*"))</f>
        <v>0</v>
      </c>
      <c r="BM60" s="15">
        <f>SUM(COUNTIFS('Data entry'!$R$6:$R$200,'Summary Data'!$A60,'Data entry'!$B$6:$B$200,{"Confirmed";"Probable"},'Data entry'!$AQ$6:$AQ$200,'Data Validation'!$V$8, 'Data entry'!$AP$6:$AP$200,'Data Validation'!$U$5, 'Data entry'!$BD$6:$BD$200,"&lt;&gt;*Negative*"))</f>
        <v>0</v>
      </c>
      <c r="BN60" s="15">
        <f>SUM(COUNTIFS('Data entry'!$R$6:$R$200,'Summary Data'!$A60,'Data entry'!$B$6:$B$200,{"Confirmed";"Probable"},'Data entry'!$AQ$6:$AQ$200,'Data Validation'!$V$8, 'Data entry'!$AP$6:$AP$200,'Data Validation'!$U$6, 'Data entry'!$BD$6:$BD$200,"&lt;&gt;*Negative*"))</f>
        <v>0</v>
      </c>
      <c r="BO60" s="15">
        <f>SUM(COUNTIFS('Data entry'!$R$6:$R$200,'Summary Data'!$A60,'Data entry'!$B$6:$B$200,{"Confirmed";"Probable"},'Data entry'!$AQ$6:$AQ$200,'Data Validation'!$V$9, 'Data entry'!$AP$6:$AP$200,'Data Validation'!$U$2, 'Data entry'!$BD$6:$BD$200,"&lt;&gt;*Negative*"))</f>
        <v>0</v>
      </c>
      <c r="BP60" s="15">
        <f>SUM(COUNTIFS('Data entry'!$R$6:$R$200,'Summary Data'!$A60,'Data entry'!$B$6:$B$200,{"Confirmed";"Probable"},'Data entry'!$AQ$6:$AQ$200,'Data Validation'!$V$9, 'Data entry'!$AP$6:$AP$200,'Data Validation'!$U$3, 'Data entry'!$BD$6:$BD$200,"&lt;&gt;*Negative*"))</f>
        <v>0</v>
      </c>
      <c r="BQ60" s="15">
        <f>SUM(COUNTIFS('Data entry'!$R$6:$R$200,'Summary Data'!$A60,'Data entry'!$B$6:$B$200,{"Confirmed";"Probable"},'Data entry'!$AQ$6:$AQ$200,'Data Validation'!$V$9, 'Data entry'!$AP$6:$AP$200,'Data Validation'!$U$4, 'Data entry'!$BD$6:$BD$200,"&lt;&gt;*Negative*"))</f>
        <v>0</v>
      </c>
      <c r="BR60" s="15">
        <f>SUM(COUNTIFS('Data entry'!$R$6:$R$200,'Summary Data'!$A60,'Data entry'!$B$6:$B$200,{"Confirmed";"Probable"},'Data entry'!$AQ$6:$AQ$200,'Data Validation'!$V$9, 'Data entry'!$AP$6:$AP$200,'Data Validation'!$U$5, 'Data entry'!$BD$6:$BD$200,"&lt;&gt;*Negative*"))</f>
        <v>0</v>
      </c>
      <c r="BS60" s="15">
        <f>SUM(COUNTIFS('Data entry'!$R$6:$R$200,'Summary Data'!$A60,'Data entry'!$B$6:$B$200,{"Confirmed";"Probable"},'Data entry'!$AQ$6:$AQ$200,'Data Validation'!$V$9, 'Data entry'!$AP$6:$AP$200,'Data Validation'!$U$6, 'Data entry'!$BD$6:$BD$200,"&lt;&gt;*Negative*"))</f>
        <v>0</v>
      </c>
      <c r="BT60" s="15">
        <f>SUM(COUNTIFS('Data entry'!$R$6:$R$200,'Summary Data'!$A60,'Data entry'!$B$6:$B$200,{"Confirmed";"Probable"},'Data entry'!$AQ$6:$AQ$200,'Data Validation'!$V$10, 'Data entry'!$AP$6:$AP$200,'Data Validation'!$U$2, 'Data entry'!$BD$6:$BD$200,"&lt;&gt;*Negative*"))</f>
        <v>0</v>
      </c>
      <c r="BU60" s="15">
        <f>SUM(COUNTIFS('Data entry'!$R$6:$R$200,'Summary Data'!$A60,'Data entry'!$B$6:$B$200,{"Confirmed";"Probable"},'Data entry'!$AQ$6:$AQ$200,'Data Validation'!$V$10, 'Data entry'!$AP$6:$AP$200,'Data Validation'!$U$3, 'Data entry'!$BD$6:$BD$200,"&lt;&gt;*Negative*"))</f>
        <v>0</v>
      </c>
      <c r="BV60" s="15">
        <f>SUM(COUNTIFS('Data entry'!$R$6:$R$200,'Summary Data'!$A60,'Data entry'!$B$6:$B$200,{"Confirmed";"Probable"},'Data entry'!$AQ$6:$AQ$200,'Data Validation'!$V$10, 'Data entry'!$AP$6:$AP$200,'Data Validation'!$U$4, 'Data entry'!$BD$6:$BD$200,"&lt;&gt;*Negative*"))</f>
        <v>0</v>
      </c>
      <c r="BW60" s="15">
        <f>SUM(COUNTIFS('Data entry'!$R$6:$R$200,'Summary Data'!$A60,'Data entry'!$B$6:$B$200,{"Confirmed";"Probable"},'Data entry'!$AQ$6:$AQ$200,'Data Validation'!$V$10, 'Data entry'!$AP$6:$AP$200,'Data Validation'!$U$5, 'Data entry'!$BD$6:$BD$200,"&lt;&gt;*Negative*"))</f>
        <v>0</v>
      </c>
      <c r="BX60" s="15">
        <f>SUM(COUNTIFS('Data entry'!$R$6:$R$200,'Summary Data'!$A60,'Data entry'!$B$6:$B$200,{"Confirmed";"Probable"},'Data entry'!$AQ$6:$AQ$200,'Data Validation'!$V$10, 'Data entry'!$AP$6:$AP$200,'Data Validation'!$U$6, 'Data entry'!$BD$6:$BD$200,"&lt;&gt;*Negative*"))</f>
        <v>0</v>
      </c>
      <c r="BY60" s="15">
        <f>SUM(COUNTIFS('Data entry'!$R$6:$R$200,'Summary Data'!$A60,'Data entry'!$B$6:$B$200,{"Confirmed";"Probable"},'Data entry'!$AQ$6:$AQ$200,'Data Validation'!$V$11, 'Data entry'!$AP$6:$AP$200,'Data Validation'!$U$2, 'Data entry'!$BD$6:$BD$200,"&lt;&gt;*Negative*"))</f>
        <v>0</v>
      </c>
      <c r="BZ60" s="15">
        <f>SUM(COUNTIFS('Data entry'!$R$6:$R$200,'Summary Data'!$A60,'Data entry'!$B$6:$B$200,{"Confirmed";"Probable"},'Data entry'!$AQ$6:$AQ$200,'Data Validation'!$V$11, 'Data entry'!$AP$6:$AP$200,'Data Validation'!$U$3, 'Data entry'!$BD$6:$BD$200,"&lt;&gt;*Negative*"))</f>
        <v>0</v>
      </c>
      <c r="CA60" s="15">
        <f>SUM(COUNTIFS('Data entry'!$R$6:$R$200,'Summary Data'!$A60,'Data entry'!$B$6:$B$200,{"Confirmed";"Probable"},'Data entry'!$AQ$6:$AQ$200,'Data Validation'!$V$11, 'Data entry'!$AP$6:$AP$200,'Data Validation'!$U$4, 'Data entry'!$BD$6:$BD$200,"&lt;&gt;*Negative*"))</f>
        <v>0</v>
      </c>
      <c r="CB60" s="15">
        <f>SUM(COUNTIFS('Data entry'!$R$6:$R$200,'Summary Data'!$A60,'Data entry'!$B$6:$B$200,{"Confirmed";"Probable"},'Data entry'!$AQ$6:$AQ$200,'Data Validation'!$V$11, 'Data entry'!$AP$6:$AP$200,'Data Validation'!$U$5, 'Data entry'!$BD$6:$BD$200,"&lt;&gt;*Negative*"))</f>
        <v>0</v>
      </c>
      <c r="CC60" s="15">
        <f>SUM(COUNTIFS('Data entry'!$R$6:$R$200,'Summary Data'!$A60,'Data entry'!$B$6:$B$200,{"Confirmed";"Probable"},'Data entry'!$AQ$6:$AQ$200,'Data Validation'!$V$11, 'Data entry'!$AP$6:$AP$200,'Data Validation'!$U$6, 'Data entry'!$BD$6:$BD$200,"&lt;&gt;*Negative*"))</f>
        <v>0</v>
      </c>
    </row>
    <row r="61" spans="1:81" x14ac:dyDescent="0.25">
      <c r="A61" s="12">
        <f t="shared" si="5"/>
        <v>49</v>
      </c>
      <c r="B61" s="13">
        <f t="shared" si="2"/>
        <v>0</v>
      </c>
      <c r="C61" s="13">
        <f>COUNTIFS('Data entry'!$R$6:$R$200,$A61,'Data entry'!$B$6:$B$200,"Confirmed",'Data entry'!$BD$6:$BD$200,"&lt;&gt;*Negative*")</f>
        <v>0</v>
      </c>
      <c r="D61" s="13">
        <f>COUNTIFS('Data entry'!$R$6:$R$200,$A61,'Data entry'!$B$6:$B$200,"Probable",'Data entry'!$BD$6:$BD$200,"&lt;&gt;*Negative*")</f>
        <v>0</v>
      </c>
      <c r="E61" s="13">
        <f>COUNTIFS('Data entry'!$R$6:$R$200,$A61,'Data entry'!$B$6:$B$200,"DNM")</f>
        <v>0</v>
      </c>
      <c r="F61" s="13">
        <f>SUM(COUNTIFS('Data entry'!$R$6:$R$200,'Summary Data'!$A61,'Data entry'!$B$6:$B$200,{"Confirmed";"Probable"},'Data entry'!$AO$6:$AO$200,$F$10, 'Data entry'!$BD$6:$BD$200,"&lt;&gt;*Negative*"))</f>
        <v>0</v>
      </c>
      <c r="G61" s="13">
        <f>SUM(COUNTIFS('Data entry'!$R$6:$R$200,'Summary Data'!$A61,'Data entry'!$B$6:$B$200,{"Confirmed";"Probable"},'Data entry'!$AO$6:$AO$200,$G$10, 'Data entry'!$BD$6:$BD$200,"&lt;&gt;*Negative*"))</f>
        <v>0</v>
      </c>
      <c r="H61" s="13">
        <f>SUM(COUNTIFS('Data entry'!$R$6:$R$200,'Summary Data'!$A61,'Data entry'!$B$6:$B$200,{"Confirmed";"Probable"},'Data entry'!$AO$6:$AO$200,$H$10, 'Data entry'!$BD$6:$BD$200,"&lt;&gt;*Negative*"))</f>
        <v>0</v>
      </c>
      <c r="I61" s="13">
        <f>SUM(COUNTIFS('Data entry'!$R$6:$R$200,'Summary Data'!$A61,'Data entry'!$B$6:$B$200,{"Confirmed";"Probable"},'Data entry'!$AO$6:$AO$200,$I$10, 'Data entry'!$BD$6:$BD$200,"&lt;&gt;*Negative*"))</f>
        <v>0</v>
      </c>
      <c r="J61" s="13">
        <f>SUM(COUNTIFS('Data entry'!$R$6:$R$200,'Summary Data'!$A61,'Data entry'!$B$6:$B$200,{"Confirmed";"Probable"},'Data entry'!$AO$6:$AO$200,$J$10, 'Data entry'!$BD$6:$BD$200,"&lt;&gt;*Negative*"))</f>
        <v>0</v>
      </c>
      <c r="K61" s="13">
        <f>SUM(COUNTIFS('Data entry'!$R$6:$R$200,'Summary Data'!$A61,'Data entry'!$B$6:$B$200,{"Confirmed";"Probable"},'Data entry'!$AO$6:$AO$200,$K$10, 'Data entry'!$BD$6:$BD$200,"&lt;&gt;*Negative*"))</f>
        <v>0</v>
      </c>
      <c r="L61" s="13">
        <f>SUM(COUNTIFS('Data entry'!$R$6:$R$200,'Summary Data'!$A61,'Data entry'!$B$6:$B$200,{"Confirmed";"Probable"},'Data entry'!$AO$6:$AO$200,$L$10, 'Data entry'!$BD$6:$BD$200,"&lt;&gt;*Negative*"))</f>
        <v>0</v>
      </c>
      <c r="M61" s="13">
        <f>SUM(COUNTIFS('Data entry'!$R$6:$R$200,'Summary Data'!$A61,'Data entry'!$B$6:$B$200,{"Confirmed";"Probable"},'Data entry'!$AO$6:$AO$200,$M$10, 'Data entry'!$BD$6:$BD$200,"&lt;&gt;*Negative*"))</f>
        <v>0</v>
      </c>
      <c r="N61" s="13">
        <f>SUM(COUNTIFS('Data entry'!$R$6:$R$200,'Summary Data'!$A61,'Data entry'!$B$6:$B$200,{"Confirmed";"Probable"},'Data entry'!$AO$6:$AO$200,$N$10, 'Data entry'!$BD$6:$BD$200,"&lt;&gt;*Negative*"))</f>
        <v>0</v>
      </c>
      <c r="O61" s="15">
        <f t="shared" si="3"/>
        <v>0</v>
      </c>
      <c r="P61" s="15">
        <f t="shared" si="4"/>
        <v>0</v>
      </c>
      <c r="Q61" s="15">
        <f>SUM(COUNTIFS('Data entry'!$R$6:$R$200,'Summary Data'!$A61,'Data entry'!$B$6:$B$200,{"Confirmed";"Probable"},'Data entry'!$AP$6:$AP$200,'Data Validation'!$U$2, 'Data entry'!$BD$6:$BD$200,"&lt;&gt;*Negative*"))</f>
        <v>0</v>
      </c>
      <c r="R61" s="15">
        <f>SUM(COUNTIFS('Data entry'!$R$6:$R$200,'Summary Data'!$A61,'Data entry'!$B$6:$B$200,{"Confirmed";"Probable"},'Data entry'!$AP$6:$AP$200,'Data Validation'!$U$3, 'Data entry'!$BD$6:$BD$200,"&lt;&gt;*Negative*"))</f>
        <v>0</v>
      </c>
      <c r="S61" s="15">
        <f>SUM(COUNTIFS('Data entry'!$R$6:$R$200,'Summary Data'!$A61,'Data entry'!$B$6:$B$200,{"Confirmed";"Probable"},'Data entry'!$AP$6:$AP$200,'Data Validation'!$U$4, 'Data entry'!$BD$6:$BD$200,"&lt;&gt;*Negative*"))</f>
        <v>0</v>
      </c>
      <c r="T61" s="15">
        <f>SUM(COUNTIFS('Data entry'!$R$6:$R$200,'Summary Data'!$A61,'Data entry'!$B$6:$B$200,{"Confirmed";"Probable"},'Data entry'!$AP$6:$AP$200,'Data Validation'!$U$5, 'Data entry'!$BD$6:$BD$200,"&lt;&gt;*Negative*"))</f>
        <v>0</v>
      </c>
      <c r="U61" s="15">
        <f>SUM(COUNTIFS('Data entry'!$R$6:$R$200,'Summary Data'!$A61,'Data entry'!$B$6:$B$200,{"Confirmed";"Probable"},'Data entry'!$AP$6:$AP$200,'Data Validation'!$U$6, 'Data entry'!$BD$6:$BD$200,"&lt;&gt;*Negative*"))</f>
        <v>0</v>
      </c>
      <c r="V61" s="15">
        <f>SUM(COUNTIFS('Data entry'!$R$6:$R$200,'Summary Data'!$A61,'Data entry'!$B$6:$B$200,{"Confirmed";"Probable"},'Data entry'!$AQ$6:$AQ$200,'Data Validation'!$V$2, 'Data entry'!$BD$6:$BD$200,"&lt;&gt;*Negative*"))</f>
        <v>0</v>
      </c>
      <c r="W61" s="15">
        <f>SUM(COUNTIFS('Data entry'!$R$6:$R$200,'Summary Data'!$A61,'Data entry'!$B$6:$B$200,{"Confirmed";"Probable"},'Data entry'!$AQ$6:$AQ$200,'Data Validation'!$V$3, 'Data entry'!$BD$6:$BD$200,"&lt;&gt;*Negative*"))</f>
        <v>0</v>
      </c>
      <c r="X61" s="15">
        <f>SUM(COUNTIFS('Data entry'!$R$6:$R$200,'Summary Data'!$A61,'Data entry'!$B$6:$B$200,{"Confirmed";"Probable"},'Data entry'!$AQ$6:$AQ$200,'Data Validation'!$V$4, 'Data entry'!$BD$6:$BD$200,"&lt;&gt;*Negative*"))</f>
        <v>0</v>
      </c>
      <c r="Y61" s="15">
        <f>SUM(COUNTIFS('Data entry'!$R$6:$R$200,'Summary Data'!$A61,'Data entry'!$B$6:$B$200,{"Confirmed";"Probable"},'Data entry'!$AQ$6:$AQ$200,'Data Validation'!$V$5, 'Data entry'!$BD$6:$BD$200,"&lt;&gt;*Negative*"))</f>
        <v>0</v>
      </c>
      <c r="Z61" s="15">
        <f>SUM(COUNTIFS('Data entry'!$R$6:$R$200,'Summary Data'!$A61,'Data entry'!$B$6:$B$200,{"Confirmed";"Probable"},'Data entry'!$AQ$6:$AQ$200,'Data Validation'!$V$6, 'Data entry'!$BD$6:$BD$200,"&lt;&gt;*Negative*"))</f>
        <v>0</v>
      </c>
      <c r="AA61" s="15">
        <f>SUM(COUNTIFS('Data entry'!$R$6:$R$200,'Summary Data'!$A61,'Data entry'!$B$6:$B$200,{"Confirmed";"Probable"},'Data entry'!$AQ$6:$AQ$200,'Data Validation'!$V$7, 'Data entry'!$BD$6:$BD$200,"&lt;&gt;*Negative*"))</f>
        <v>0</v>
      </c>
      <c r="AB61" s="15">
        <f>SUM(COUNTIFS('Data entry'!$R$6:$R$200,'Summary Data'!$A61,'Data entry'!$B$6:$B$200,{"Confirmed";"Probable"},'Data entry'!$AQ$6:$AQ$200,'Data Validation'!$V$8, 'Data entry'!$BD$6:$BD$200,"&lt;&gt;*Negative*"))</f>
        <v>0</v>
      </c>
      <c r="AC61" s="15">
        <f>SUM(COUNTIFS('Data entry'!$R$6:$R$200,'Summary Data'!$A61,'Data entry'!$B$6:$B$200,{"Confirmed";"Probable"},'Data entry'!$AQ$6:$AQ$200,'Data Validation'!$V$9, 'Data entry'!$BD$6:$BD$200,"&lt;&gt;*Negative*"))</f>
        <v>0</v>
      </c>
      <c r="AD61" s="15">
        <f>SUM(COUNTIFS('Data entry'!$R$6:$R$200,'Summary Data'!$A61,'Data entry'!$B$6:$B$200,{"Confirmed";"Probable"},'Data entry'!$AQ$6:$AQ$200,'Data Validation'!$V$10, 'Data entry'!$BD$6:$BD$200,"&lt;&gt;*Negative*"))</f>
        <v>0</v>
      </c>
      <c r="AE61" s="15">
        <f>SUM(COUNTIFS('Data entry'!$R$6:$R$200,'Summary Data'!$A61,'Data entry'!$B$6:$B$200,{"Confirmed";"Probable"},'Data entry'!$AQ$6:$AQ$200,'Data Validation'!$V$11, 'Data entry'!$BD$6:$BD$200,"&lt;&gt;*Negative*"))</f>
        <v>0</v>
      </c>
      <c r="AF61" s="15">
        <f>SUM(COUNTIFS('Data entry'!$R$6:$R$200,'Summary Data'!$A61,'Data entry'!$B$6:$B$200,{"Confirmed";"Probable"},'Data entry'!$AQ$6:$AQ$200,'Data Validation'!$V$2, 'Data entry'!$AP$6:$AP$200,'Data Validation'!$U$2, 'Data entry'!$BD$6:$BD$200,"&lt;&gt;*Negative*"))</f>
        <v>0</v>
      </c>
      <c r="AG61" s="15">
        <f>SUM(COUNTIFS('Data entry'!$R$6:$R$200,'Summary Data'!$A61,'Data entry'!$B$6:$B$200,{"Confirmed";"Probable"},'Data entry'!$AQ$6:$AQ$200,'Data Validation'!$V$2, 'Data entry'!$AP$6:$AP$200,'Data Validation'!$U$3, 'Data entry'!$BD$6:$BD$200,"&lt;&gt;*Negative*"))</f>
        <v>0</v>
      </c>
      <c r="AH61" s="15">
        <f>SUM(COUNTIFS('Data entry'!$R$6:$R$200,'Summary Data'!$A61,'Data entry'!$B$6:$B$200,{"Confirmed";"Probable"},'Data entry'!$AQ$6:$AQ$200,'Data Validation'!$V$2, 'Data entry'!$AP$6:$AP$200,'Data Validation'!$U$4, 'Data entry'!$BD$6:$BD$200,"&lt;&gt;*Negative*"))</f>
        <v>0</v>
      </c>
      <c r="AI61" s="15">
        <f>SUM(COUNTIFS('Data entry'!$R$6:$R$200,'Summary Data'!$A61,'Data entry'!$B$6:$B$200,{"Confirmed";"Probable"},'Data entry'!$AQ$6:$AQ$200,'Data Validation'!$V$2, 'Data entry'!$AP$6:$AP$200,'Data Validation'!$U$5, 'Data entry'!$BD$6:$BD$200,"&lt;&gt;*Negative*"))</f>
        <v>0</v>
      </c>
      <c r="AJ61" s="15">
        <f>SUM(COUNTIFS('Data entry'!$R$6:$R$200,'Summary Data'!$A61,'Data entry'!$B$6:$B$200,{"Confirmed";"Probable"},'Data entry'!$AQ$6:$AQ$200,'Data Validation'!$V$2, 'Data entry'!$AP$6:$AP$200,'Data Validation'!$U$6, 'Data entry'!$BD$6:$BD$200,"&lt;&gt;*Negative*"))</f>
        <v>0</v>
      </c>
      <c r="AK61" s="15">
        <f>SUM(COUNTIFS('Data entry'!$R$6:$R$200,'Summary Data'!$A61,'Data entry'!$B$6:$B$200,{"Confirmed";"Probable"},'Data entry'!$AQ$6:$AQ$200,'Data Validation'!$V$3, 'Data entry'!$AP$6:$AP$200,'Data Validation'!$U$2, 'Data entry'!$BD$6:$BD$200,"&lt;&gt;*Negative*"))</f>
        <v>0</v>
      </c>
      <c r="AL61" s="15">
        <f>SUM(COUNTIFS('Data entry'!$R$6:$R$200,'Summary Data'!$A61,'Data entry'!$B$6:$B$200,{"Confirmed";"Probable"},'Data entry'!$AQ$6:$AQ$200,'Data Validation'!$V$3, 'Data entry'!$AP$6:$AP$200,'Data Validation'!$U$3, 'Data entry'!$BD$6:$BD$200,"&lt;&gt;*Negative*"))</f>
        <v>0</v>
      </c>
      <c r="AM61" s="15">
        <f>SUM(COUNTIFS('Data entry'!$R$6:$R$200,'Summary Data'!$A61,'Data entry'!$B$6:$B$200,{"Confirmed";"Probable"},'Data entry'!$AQ$6:$AQ$200,'Data Validation'!$V$3, 'Data entry'!$AP$6:$AP$200,'Data Validation'!$U$4, 'Data entry'!$BD$6:$BD$200,"&lt;&gt;*Negative*"))</f>
        <v>0</v>
      </c>
      <c r="AN61" s="15">
        <f>SUM(COUNTIFS('Data entry'!$R$6:$R$200,'Summary Data'!$A61,'Data entry'!$B$6:$B$200,{"Confirmed";"Probable"},'Data entry'!$AQ$6:$AQ$200,'Data Validation'!$V$3, 'Data entry'!$AP$6:$AP$200,'Data Validation'!$U$5, 'Data entry'!$BD$6:$BD$200,"&lt;&gt;*Negative*"))</f>
        <v>0</v>
      </c>
      <c r="AO61" s="15">
        <f>SUM(COUNTIFS('Data entry'!$R$6:$R$200,'Summary Data'!$A61,'Data entry'!$B$6:$B$200,{"Confirmed";"Probable"},'Data entry'!$AQ$6:$AQ$200,'Data Validation'!$V$3, 'Data entry'!$AP$6:$AP$200,'Data Validation'!$U$6, 'Data entry'!$BD$6:$BD$200,"&lt;&gt;*Negative*"))</f>
        <v>0</v>
      </c>
      <c r="AP61" s="15">
        <f>SUM(COUNTIFS('Data entry'!$R$6:$R$200,'Summary Data'!$A61,'Data entry'!$B$6:$B$200,{"Confirmed";"Probable"},'Data entry'!$AQ$6:$AQ$200,'Data Validation'!$V$4, 'Data entry'!$AP$6:$AP$200,'Data Validation'!$U$2, 'Data entry'!$BD$6:$BD$200,"&lt;&gt;*Negative*"))</f>
        <v>0</v>
      </c>
      <c r="AQ61" s="15">
        <f>SUM(COUNTIFS('Data entry'!$R$6:$R$200,'Summary Data'!$A61,'Data entry'!$B$6:$B$200,{"Confirmed";"Probable"},'Data entry'!$AQ$6:$AQ$200,'Data Validation'!$V$4, 'Data entry'!$AP$6:$AP$200,'Data Validation'!$U$3, 'Data entry'!$BD$6:$BD$200,"&lt;&gt;*Negative*"))</f>
        <v>0</v>
      </c>
      <c r="AR61" s="15">
        <f>SUM(COUNTIFS('Data entry'!$R$6:$R$200,'Summary Data'!$A61,'Data entry'!$B$6:$B$200,{"Confirmed";"Probable"},'Data entry'!$AQ$6:$AQ$200,'Data Validation'!$V$4, 'Data entry'!$AP$6:$AP$200,'Data Validation'!$U$4, 'Data entry'!$BD$6:$BD$200,"&lt;&gt;*Negative*"))</f>
        <v>0</v>
      </c>
      <c r="AS61" s="15">
        <f>SUM(COUNTIFS('Data entry'!$R$6:$R$200,'Summary Data'!$A61,'Data entry'!$B$6:$B$200,{"Confirmed";"Probable"},'Data entry'!$AQ$6:$AQ$200,'Data Validation'!$V$4, 'Data entry'!$AP$6:$AP$200,'Data Validation'!$U$5, 'Data entry'!$BD$6:$BD$200,"&lt;&gt;*Negative*"))</f>
        <v>0</v>
      </c>
      <c r="AT61" s="15">
        <f>SUM(COUNTIFS('Data entry'!$R$6:$R$200,'Summary Data'!$A61,'Data entry'!$B$6:$B$200,{"Confirmed";"Probable"},'Data entry'!$AQ$6:$AQ$200,'Data Validation'!$V$4, 'Data entry'!$AP$6:$AP$200,'Data Validation'!$U$6, 'Data entry'!$BD$6:$BD$200,"&lt;&gt;*Negative*"))</f>
        <v>0</v>
      </c>
      <c r="AU61" s="15">
        <f>SUM(COUNTIFS('Data entry'!$R$6:$R$200,'Summary Data'!$A61,'Data entry'!$B$6:$B$200,{"Confirmed";"Probable"},'Data entry'!$AQ$6:$AQ$200,'Data Validation'!$V$5, 'Data entry'!$AP$6:$AP$200,'Data Validation'!$U$2, 'Data entry'!$BD$6:$BD$200,"&lt;&gt;*Negative*"))</f>
        <v>0</v>
      </c>
      <c r="AV61" s="15">
        <f>SUM(COUNTIFS('Data entry'!$R$6:$R$200,'Summary Data'!$A61,'Data entry'!$B$6:$B$200,{"Confirmed";"Probable"},'Data entry'!$AQ$6:$AQ$200,'Data Validation'!$V$5, 'Data entry'!$AP$6:$AP$200,'Data Validation'!$U$3, 'Data entry'!$BD$6:$BD$200,"&lt;&gt;*Negative*"))</f>
        <v>0</v>
      </c>
      <c r="AW61" s="15">
        <f>SUM(COUNTIFS('Data entry'!$R$6:$R$200,'Summary Data'!$A61,'Data entry'!$B$6:$B$200,{"Confirmed";"Probable"},'Data entry'!$AQ$6:$AQ$200,'Data Validation'!$V$5, 'Data entry'!$AP$6:$AP$200,'Data Validation'!$U$4, 'Data entry'!$BD$6:$BD$200,"&lt;&gt;*Negative*"))</f>
        <v>0</v>
      </c>
      <c r="AX61" s="15">
        <f>SUM(COUNTIFS('Data entry'!$R$6:$R$200,'Summary Data'!$A61,'Data entry'!$B$6:$B$200,{"Confirmed";"Probable"},'Data entry'!$AQ$6:$AQ$200,'Data Validation'!$V$5, 'Data entry'!$AP$6:$AP$200,'Data Validation'!$U$5, 'Data entry'!$BD$6:$BD$200,"&lt;&gt;*Negative*"))</f>
        <v>0</v>
      </c>
      <c r="AY61" s="15">
        <f>SUM(COUNTIFS('Data entry'!$R$6:$R$200,'Summary Data'!$A61,'Data entry'!$B$6:$B$200,{"Confirmed";"Probable"},'Data entry'!$AQ$6:$AQ$200,'Data Validation'!$V$5, 'Data entry'!$AP$6:$AP$200,'Data Validation'!$U$6, 'Data entry'!$BD$6:$BD$200,"&lt;&gt;*Negative*"))</f>
        <v>0</v>
      </c>
      <c r="AZ61" s="15">
        <f>SUM(COUNTIFS('Data entry'!$R$6:$R$200,'Summary Data'!$A61,'Data entry'!$B$6:$B$200,{"Confirmed";"Probable"},'Data entry'!$AQ$6:$AQ$200,'Data Validation'!$V$6, 'Data entry'!$AP$6:$AP$200,'Data Validation'!$U$2, 'Data entry'!$BD$6:$BD$200,"&lt;&gt;*Negative*"))</f>
        <v>0</v>
      </c>
      <c r="BA61" s="15">
        <f>SUM(COUNTIFS('Data entry'!$R$6:$R$200,'Summary Data'!$A61,'Data entry'!$B$6:$B$200,{"Confirmed";"Probable"},'Data entry'!$AQ$6:$AQ$200,'Data Validation'!$V$6, 'Data entry'!$AP$6:$AP$200,'Data Validation'!$U$3, 'Data entry'!$BD$6:$BD$200,"&lt;&gt;*Negative*"))</f>
        <v>0</v>
      </c>
      <c r="BB61" s="15">
        <f>SUM(COUNTIFS('Data entry'!$R$6:$R$200,'Summary Data'!$A61,'Data entry'!$B$6:$B$200,{"Confirmed";"Probable"},'Data entry'!$AQ$6:$AQ$200,'Data Validation'!$V$6, 'Data entry'!$AP$6:$AP$200,'Data Validation'!$U$4, 'Data entry'!$BD$6:$BD$200,"&lt;&gt;*Negative*"))</f>
        <v>0</v>
      </c>
      <c r="BC61" s="15">
        <f>SUM(COUNTIFS('Data entry'!$R$6:$R$200,'Summary Data'!$A61,'Data entry'!$B$6:$B$200,{"Confirmed";"Probable"},'Data entry'!$AQ$6:$AQ$200,'Data Validation'!$V$6, 'Data entry'!$AP$6:$AP$200,'Data Validation'!$U$5, 'Data entry'!$BD$6:$BD$200,"&lt;&gt;*Negative*"))</f>
        <v>0</v>
      </c>
      <c r="BD61" s="15">
        <f>SUM(COUNTIFS('Data entry'!$R$6:$R$200,'Summary Data'!$A61,'Data entry'!$B$6:$B$200,{"Confirmed";"Probable"},'Data entry'!$AQ$6:$AQ$200,'Data Validation'!$V$6, 'Data entry'!$AP$6:$AP$200,'Data Validation'!$U$6, 'Data entry'!$BD$6:$BD$200,"&lt;&gt;*Negative*"))</f>
        <v>0</v>
      </c>
      <c r="BE61" s="15">
        <f>SUM(COUNTIFS('Data entry'!$R$6:$R$200,'Summary Data'!$A61,'Data entry'!$B$6:$B$200,{"Confirmed";"Probable"},'Data entry'!$AQ$6:$AQ$200,'Data Validation'!$V$7, 'Data entry'!$AP$6:$AP$200,'Data Validation'!$U$2, 'Data entry'!$BD$6:$BD$200,"&lt;&gt;*Negative*"))</f>
        <v>0</v>
      </c>
      <c r="BF61" s="15">
        <f>SUM(COUNTIFS('Data entry'!$R$6:$R$200,'Summary Data'!$A61,'Data entry'!$B$6:$B$200,{"Confirmed";"Probable"},'Data entry'!$AQ$6:$AQ$200,'Data Validation'!$V$7, 'Data entry'!$AP$6:$AP$200,'Data Validation'!$U$3, 'Data entry'!$BD$6:$BD$200,"&lt;&gt;*Negative*"))</f>
        <v>0</v>
      </c>
      <c r="BG61" s="15">
        <f>SUM(COUNTIFS('Data entry'!$R$6:$R$200,'Summary Data'!$A61,'Data entry'!$B$6:$B$200,{"Confirmed";"Probable"},'Data entry'!$AQ$6:$AQ$200,'Data Validation'!$V$7, 'Data entry'!$AP$6:$AP$200,'Data Validation'!$U$4, 'Data entry'!$BD$6:$BD$200,"&lt;&gt;*Negative*"))</f>
        <v>0</v>
      </c>
      <c r="BH61" s="15">
        <f>SUM(COUNTIFS('Data entry'!$R$6:$R$200,'Summary Data'!$A61,'Data entry'!$B$6:$B$200,{"Confirmed";"Probable"},'Data entry'!$AQ$6:$AQ$200,'Data Validation'!$V$7, 'Data entry'!$AP$6:$AP$200,'Data Validation'!$U$5, 'Data entry'!$BD$6:$BD$200,"&lt;&gt;*Negative*"))</f>
        <v>0</v>
      </c>
      <c r="BI61" s="15">
        <f>SUM(COUNTIFS('Data entry'!$R$6:$R$200,'Summary Data'!$A61,'Data entry'!$B$6:$B$200,{"Confirmed";"Probable"},'Data entry'!$AQ$6:$AQ$200,'Data Validation'!$V$7, 'Data entry'!$AP$6:$AP$200,'Data Validation'!$U$6, 'Data entry'!$BD$6:$BD$200,"&lt;&gt;*Negative*"))</f>
        <v>0</v>
      </c>
      <c r="BJ61" s="15">
        <f>SUM(COUNTIFS('Data entry'!$R$6:$R$200,'Summary Data'!$A61,'Data entry'!$B$6:$B$200,{"Confirmed";"Probable"},'Data entry'!$AQ$6:$AQ$200,'Data Validation'!$V$8, 'Data entry'!$AP$6:$AP$200,'Data Validation'!$U$2, 'Data entry'!$BD$6:$BD$200,"&lt;&gt;*Negative*"))</f>
        <v>0</v>
      </c>
      <c r="BK61" s="15">
        <f>SUM(COUNTIFS('Data entry'!$R$6:$R$200,'Summary Data'!$A61,'Data entry'!$B$6:$B$200,{"Confirmed";"Probable"},'Data entry'!$AQ$6:$AQ$200,'Data Validation'!$V$8, 'Data entry'!$AP$6:$AP$200,'Data Validation'!$U$3, 'Data entry'!$BD$6:$BD$200,"&lt;&gt;*Negative*"))</f>
        <v>0</v>
      </c>
      <c r="BL61" s="15">
        <f>SUM(COUNTIFS('Data entry'!$R$6:$R$200,'Summary Data'!$A61,'Data entry'!$B$6:$B$200,{"Confirmed";"Probable"},'Data entry'!$AQ$6:$AQ$200,'Data Validation'!$V$8, 'Data entry'!$AP$6:$AP$200,'Data Validation'!$U$4, 'Data entry'!$BD$6:$BD$200,"&lt;&gt;*Negative*"))</f>
        <v>0</v>
      </c>
      <c r="BM61" s="15">
        <f>SUM(COUNTIFS('Data entry'!$R$6:$R$200,'Summary Data'!$A61,'Data entry'!$B$6:$B$200,{"Confirmed";"Probable"},'Data entry'!$AQ$6:$AQ$200,'Data Validation'!$V$8, 'Data entry'!$AP$6:$AP$200,'Data Validation'!$U$5, 'Data entry'!$BD$6:$BD$200,"&lt;&gt;*Negative*"))</f>
        <v>0</v>
      </c>
      <c r="BN61" s="15">
        <f>SUM(COUNTIFS('Data entry'!$R$6:$R$200,'Summary Data'!$A61,'Data entry'!$B$6:$B$200,{"Confirmed";"Probable"},'Data entry'!$AQ$6:$AQ$200,'Data Validation'!$V$8, 'Data entry'!$AP$6:$AP$200,'Data Validation'!$U$6, 'Data entry'!$BD$6:$BD$200,"&lt;&gt;*Negative*"))</f>
        <v>0</v>
      </c>
      <c r="BO61" s="15">
        <f>SUM(COUNTIFS('Data entry'!$R$6:$R$200,'Summary Data'!$A61,'Data entry'!$B$6:$B$200,{"Confirmed";"Probable"},'Data entry'!$AQ$6:$AQ$200,'Data Validation'!$V$9, 'Data entry'!$AP$6:$AP$200,'Data Validation'!$U$2, 'Data entry'!$BD$6:$BD$200,"&lt;&gt;*Negative*"))</f>
        <v>0</v>
      </c>
      <c r="BP61" s="15">
        <f>SUM(COUNTIFS('Data entry'!$R$6:$R$200,'Summary Data'!$A61,'Data entry'!$B$6:$B$200,{"Confirmed";"Probable"},'Data entry'!$AQ$6:$AQ$200,'Data Validation'!$V$9, 'Data entry'!$AP$6:$AP$200,'Data Validation'!$U$3, 'Data entry'!$BD$6:$BD$200,"&lt;&gt;*Negative*"))</f>
        <v>0</v>
      </c>
      <c r="BQ61" s="15">
        <f>SUM(COUNTIFS('Data entry'!$R$6:$R$200,'Summary Data'!$A61,'Data entry'!$B$6:$B$200,{"Confirmed";"Probable"},'Data entry'!$AQ$6:$AQ$200,'Data Validation'!$V$9, 'Data entry'!$AP$6:$AP$200,'Data Validation'!$U$4, 'Data entry'!$BD$6:$BD$200,"&lt;&gt;*Negative*"))</f>
        <v>0</v>
      </c>
      <c r="BR61" s="15">
        <f>SUM(COUNTIFS('Data entry'!$R$6:$R$200,'Summary Data'!$A61,'Data entry'!$B$6:$B$200,{"Confirmed";"Probable"},'Data entry'!$AQ$6:$AQ$200,'Data Validation'!$V$9, 'Data entry'!$AP$6:$AP$200,'Data Validation'!$U$5, 'Data entry'!$BD$6:$BD$200,"&lt;&gt;*Negative*"))</f>
        <v>0</v>
      </c>
      <c r="BS61" s="15">
        <f>SUM(COUNTIFS('Data entry'!$R$6:$R$200,'Summary Data'!$A61,'Data entry'!$B$6:$B$200,{"Confirmed";"Probable"},'Data entry'!$AQ$6:$AQ$200,'Data Validation'!$V$9, 'Data entry'!$AP$6:$AP$200,'Data Validation'!$U$6, 'Data entry'!$BD$6:$BD$200,"&lt;&gt;*Negative*"))</f>
        <v>0</v>
      </c>
      <c r="BT61" s="15">
        <f>SUM(COUNTIFS('Data entry'!$R$6:$R$200,'Summary Data'!$A61,'Data entry'!$B$6:$B$200,{"Confirmed";"Probable"},'Data entry'!$AQ$6:$AQ$200,'Data Validation'!$V$10, 'Data entry'!$AP$6:$AP$200,'Data Validation'!$U$2, 'Data entry'!$BD$6:$BD$200,"&lt;&gt;*Negative*"))</f>
        <v>0</v>
      </c>
      <c r="BU61" s="15">
        <f>SUM(COUNTIFS('Data entry'!$R$6:$R$200,'Summary Data'!$A61,'Data entry'!$B$6:$B$200,{"Confirmed";"Probable"},'Data entry'!$AQ$6:$AQ$200,'Data Validation'!$V$10, 'Data entry'!$AP$6:$AP$200,'Data Validation'!$U$3, 'Data entry'!$BD$6:$BD$200,"&lt;&gt;*Negative*"))</f>
        <v>0</v>
      </c>
      <c r="BV61" s="15">
        <f>SUM(COUNTIFS('Data entry'!$R$6:$R$200,'Summary Data'!$A61,'Data entry'!$B$6:$B$200,{"Confirmed";"Probable"},'Data entry'!$AQ$6:$AQ$200,'Data Validation'!$V$10, 'Data entry'!$AP$6:$AP$200,'Data Validation'!$U$4, 'Data entry'!$BD$6:$BD$200,"&lt;&gt;*Negative*"))</f>
        <v>0</v>
      </c>
      <c r="BW61" s="15">
        <f>SUM(COUNTIFS('Data entry'!$R$6:$R$200,'Summary Data'!$A61,'Data entry'!$B$6:$B$200,{"Confirmed";"Probable"},'Data entry'!$AQ$6:$AQ$200,'Data Validation'!$V$10, 'Data entry'!$AP$6:$AP$200,'Data Validation'!$U$5, 'Data entry'!$BD$6:$BD$200,"&lt;&gt;*Negative*"))</f>
        <v>0</v>
      </c>
      <c r="BX61" s="15">
        <f>SUM(COUNTIFS('Data entry'!$R$6:$R$200,'Summary Data'!$A61,'Data entry'!$B$6:$B$200,{"Confirmed";"Probable"},'Data entry'!$AQ$6:$AQ$200,'Data Validation'!$V$10, 'Data entry'!$AP$6:$AP$200,'Data Validation'!$U$6, 'Data entry'!$BD$6:$BD$200,"&lt;&gt;*Negative*"))</f>
        <v>0</v>
      </c>
      <c r="BY61" s="15">
        <f>SUM(COUNTIFS('Data entry'!$R$6:$R$200,'Summary Data'!$A61,'Data entry'!$B$6:$B$200,{"Confirmed";"Probable"},'Data entry'!$AQ$6:$AQ$200,'Data Validation'!$V$11, 'Data entry'!$AP$6:$AP$200,'Data Validation'!$U$2, 'Data entry'!$BD$6:$BD$200,"&lt;&gt;*Negative*"))</f>
        <v>0</v>
      </c>
      <c r="BZ61" s="15">
        <f>SUM(COUNTIFS('Data entry'!$R$6:$R$200,'Summary Data'!$A61,'Data entry'!$B$6:$B$200,{"Confirmed";"Probable"},'Data entry'!$AQ$6:$AQ$200,'Data Validation'!$V$11, 'Data entry'!$AP$6:$AP$200,'Data Validation'!$U$3, 'Data entry'!$BD$6:$BD$200,"&lt;&gt;*Negative*"))</f>
        <v>0</v>
      </c>
      <c r="CA61" s="15">
        <f>SUM(COUNTIFS('Data entry'!$R$6:$R$200,'Summary Data'!$A61,'Data entry'!$B$6:$B$200,{"Confirmed";"Probable"},'Data entry'!$AQ$6:$AQ$200,'Data Validation'!$V$11, 'Data entry'!$AP$6:$AP$200,'Data Validation'!$U$4, 'Data entry'!$BD$6:$BD$200,"&lt;&gt;*Negative*"))</f>
        <v>0</v>
      </c>
      <c r="CB61" s="15">
        <f>SUM(COUNTIFS('Data entry'!$R$6:$R$200,'Summary Data'!$A61,'Data entry'!$B$6:$B$200,{"Confirmed";"Probable"},'Data entry'!$AQ$6:$AQ$200,'Data Validation'!$V$11, 'Data entry'!$AP$6:$AP$200,'Data Validation'!$U$5, 'Data entry'!$BD$6:$BD$200,"&lt;&gt;*Negative*"))</f>
        <v>0</v>
      </c>
      <c r="CC61" s="15">
        <f>SUM(COUNTIFS('Data entry'!$R$6:$R$200,'Summary Data'!$A61,'Data entry'!$B$6:$B$200,{"Confirmed";"Probable"},'Data entry'!$AQ$6:$AQ$200,'Data Validation'!$V$11, 'Data entry'!$AP$6:$AP$200,'Data Validation'!$U$6, 'Data entry'!$BD$6:$BD$200,"&lt;&gt;*Negative*"))</f>
        <v>0</v>
      </c>
    </row>
    <row r="62" spans="1:81" x14ac:dyDescent="0.25">
      <c r="A62" s="12">
        <f t="shared" si="5"/>
        <v>50</v>
      </c>
      <c r="B62" s="13">
        <f t="shared" si="2"/>
        <v>0</v>
      </c>
      <c r="C62" s="13">
        <f>COUNTIFS('Data entry'!$R$6:$R$200,$A62,'Data entry'!$B$6:$B$200,"Confirmed",'Data entry'!$BD$6:$BD$200,"&lt;&gt;*Negative*")</f>
        <v>0</v>
      </c>
      <c r="D62" s="13">
        <f>COUNTIFS('Data entry'!$R$6:$R$200,$A62,'Data entry'!$B$6:$B$200,"Probable",'Data entry'!$BD$6:$BD$200,"&lt;&gt;*Negative*")</f>
        <v>0</v>
      </c>
      <c r="E62" s="13">
        <f>COUNTIFS('Data entry'!$R$6:$R$200,$A62,'Data entry'!$B$6:$B$200,"DNM")</f>
        <v>0</v>
      </c>
      <c r="F62" s="13">
        <f>SUM(COUNTIFS('Data entry'!$R$6:$R$200,'Summary Data'!$A62,'Data entry'!$B$6:$B$200,{"Confirmed";"Probable"},'Data entry'!$AO$6:$AO$200,$F$10, 'Data entry'!$BD$6:$BD$200,"&lt;&gt;*Negative*"))</f>
        <v>0</v>
      </c>
      <c r="G62" s="13">
        <f>SUM(COUNTIFS('Data entry'!$R$6:$R$200,'Summary Data'!$A62,'Data entry'!$B$6:$B$200,{"Confirmed";"Probable"},'Data entry'!$AO$6:$AO$200,$G$10, 'Data entry'!$BD$6:$BD$200,"&lt;&gt;*Negative*"))</f>
        <v>0</v>
      </c>
      <c r="H62" s="13">
        <f>SUM(COUNTIFS('Data entry'!$R$6:$R$200,'Summary Data'!$A62,'Data entry'!$B$6:$B$200,{"Confirmed";"Probable"},'Data entry'!$AO$6:$AO$200,$H$10, 'Data entry'!$BD$6:$BD$200,"&lt;&gt;*Negative*"))</f>
        <v>0</v>
      </c>
      <c r="I62" s="13">
        <f>SUM(COUNTIFS('Data entry'!$R$6:$R$200,'Summary Data'!$A62,'Data entry'!$B$6:$B$200,{"Confirmed";"Probable"},'Data entry'!$AO$6:$AO$200,$I$10, 'Data entry'!$BD$6:$BD$200,"&lt;&gt;*Negative*"))</f>
        <v>0</v>
      </c>
      <c r="J62" s="13">
        <f>SUM(COUNTIFS('Data entry'!$R$6:$R$200,'Summary Data'!$A62,'Data entry'!$B$6:$B$200,{"Confirmed";"Probable"},'Data entry'!$AO$6:$AO$200,$J$10, 'Data entry'!$BD$6:$BD$200,"&lt;&gt;*Negative*"))</f>
        <v>0</v>
      </c>
      <c r="K62" s="13">
        <f>SUM(COUNTIFS('Data entry'!$R$6:$R$200,'Summary Data'!$A62,'Data entry'!$B$6:$B$200,{"Confirmed";"Probable"},'Data entry'!$AO$6:$AO$200,$K$10, 'Data entry'!$BD$6:$BD$200,"&lt;&gt;*Negative*"))</f>
        <v>0</v>
      </c>
      <c r="L62" s="13">
        <f>SUM(COUNTIFS('Data entry'!$R$6:$R$200,'Summary Data'!$A62,'Data entry'!$B$6:$B$200,{"Confirmed";"Probable"},'Data entry'!$AO$6:$AO$200,$L$10, 'Data entry'!$BD$6:$BD$200,"&lt;&gt;*Negative*"))</f>
        <v>0</v>
      </c>
      <c r="M62" s="13">
        <f>SUM(COUNTIFS('Data entry'!$R$6:$R$200,'Summary Data'!$A62,'Data entry'!$B$6:$B$200,{"Confirmed";"Probable"},'Data entry'!$AO$6:$AO$200,$M$10, 'Data entry'!$BD$6:$BD$200,"&lt;&gt;*Negative*"))</f>
        <v>0</v>
      </c>
      <c r="N62" s="13">
        <f>SUM(COUNTIFS('Data entry'!$R$6:$R$200,'Summary Data'!$A62,'Data entry'!$B$6:$B$200,{"Confirmed";"Probable"},'Data entry'!$AO$6:$AO$200,$N$10, 'Data entry'!$BD$6:$BD$200,"&lt;&gt;*Negative*"))</f>
        <v>0</v>
      </c>
      <c r="O62" s="15">
        <f t="shared" si="3"/>
        <v>0</v>
      </c>
      <c r="P62" s="15">
        <f t="shared" si="4"/>
        <v>0</v>
      </c>
      <c r="Q62" s="15">
        <f>SUM(COUNTIFS('Data entry'!$R$6:$R$200,'Summary Data'!$A62,'Data entry'!$B$6:$B$200,{"Confirmed";"Probable"},'Data entry'!$AP$6:$AP$200,'Data Validation'!$U$2, 'Data entry'!$BD$6:$BD$200,"&lt;&gt;*Negative*"))</f>
        <v>0</v>
      </c>
      <c r="R62" s="15">
        <f>SUM(COUNTIFS('Data entry'!$R$6:$R$200,'Summary Data'!$A62,'Data entry'!$B$6:$B$200,{"Confirmed";"Probable"},'Data entry'!$AP$6:$AP$200,'Data Validation'!$U$3, 'Data entry'!$BD$6:$BD$200,"&lt;&gt;*Negative*"))</f>
        <v>0</v>
      </c>
      <c r="S62" s="15">
        <f>SUM(COUNTIFS('Data entry'!$R$6:$R$200,'Summary Data'!$A62,'Data entry'!$B$6:$B$200,{"Confirmed";"Probable"},'Data entry'!$AP$6:$AP$200,'Data Validation'!$U$4, 'Data entry'!$BD$6:$BD$200,"&lt;&gt;*Negative*"))</f>
        <v>0</v>
      </c>
      <c r="T62" s="15">
        <f>SUM(COUNTIFS('Data entry'!$R$6:$R$200,'Summary Data'!$A62,'Data entry'!$B$6:$B$200,{"Confirmed";"Probable"},'Data entry'!$AP$6:$AP$200,'Data Validation'!$U$5, 'Data entry'!$BD$6:$BD$200,"&lt;&gt;*Negative*"))</f>
        <v>0</v>
      </c>
      <c r="U62" s="15">
        <f>SUM(COUNTIFS('Data entry'!$R$6:$R$200,'Summary Data'!$A62,'Data entry'!$B$6:$B$200,{"Confirmed";"Probable"},'Data entry'!$AP$6:$AP$200,'Data Validation'!$U$6, 'Data entry'!$BD$6:$BD$200,"&lt;&gt;*Negative*"))</f>
        <v>0</v>
      </c>
      <c r="V62" s="15">
        <f>SUM(COUNTIFS('Data entry'!$R$6:$R$200,'Summary Data'!$A62,'Data entry'!$B$6:$B$200,{"Confirmed";"Probable"},'Data entry'!$AQ$6:$AQ$200,'Data Validation'!$V$2, 'Data entry'!$BD$6:$BD$200,"&lt;&gt;*Negative*"))</f>
        <v>0</v>
      </c>
      <c r="W62" s="15">
        <f>SUM(COUNTIFS('Data entry'!$R$6:$R$200,'Summary Data'!$A62,'Data entry'!$B$6:$B$200,{"Confirmed";"Probable"},'Data entry'!$AQ$6:$AQ$200,'Data Validation'!$V$3, 'Data entry'!$BD$6:$BD$200,"&lt;&gt;*Negative*"))</f>
        <v>0</v>
      </c>
      <c r="X62" s="15">
        <f>SUM(COUNTIFS('Data entry'!$R$6:$R$200,'Summary Data'!$A62,'Data entry'!$B$6:$B$200,{"Confirmed";"Probable"},'Data entry'!$AQ$6:$AQ$200,'Data Validation'!$V$4, 'Data entry'!$BD$6:$BD$200,"&lt;&gt;*Negative*"))</f>
        <v>0</v>
      </c>
      <c r="Y62" s="15">
        <f>SUM(COUNTIFS('Data entry'!$R$6:$R$200,'Summary Data'!$A62,'Data entry'!$B$6:$B$200,{"Confirmed";"Probable"},'Data entry'!$AQ$6:$AQ$200,'Data Validation'!$V$5, 'Data entry'!$BD$6:$BD$200,"&lt;&gt;*Negative*"))</f>
        <v>0</v>
      </c>
      <c r="Z62" s="15">
        <f>SUM(COUNTIFS('Data entry'!$R$6:$R$200,'Summary Data'!$A62,'Data entry'!$B$6:$B$200,{"Confirmed";"Probable"},'Data entry'!$AQ$6:$AQ$200,'Data Validation'!$V$6, 'Data entry'!$BD$6:$BD$200,"&lt;&gt;*Negative*"))</f>
        <v>0</v>
      </c>
      <c r="AA62" s="15">
        <f>SUM(COUNTIFS('Data entry'!$R$6:$R$200,'Summary Data'!$A62,'Data entry'!$B$6:$B$200,{"Confirmed";"Probable"},'Data entry'!$AQ$6:$AQ$200,'Data Validation'!$V$7, 'Data entry'!$BD$6:$BD$200,"&lt;&gt;*Negative*"))</f>
        <v>0</v>
      </c>
      <c r="AB62" s="15">
        <f>SUM(COUNTIFS('Data entry'!$R$6:$R$200,'Summary Data'!$A62,'Data entry'!$B$6:$B$200,{"Confirmed";"Probable"},'Data entry'!$AQ$6:$AQ$200,'Data Validation'!$V$8, 'Data entry'!$BD$6:$BD$200,"&lt;&gt;*Negative*"))</f>
        <v>0</v>
      </c>
      <c r="AC62" s="15">
        <f>SUM(COUNTIFS('Data entry'!$R$6:$R$200,'Summary Data'!$A62,'Data entry'!$B$6:$B$200,{"Confirmed";"Probable"},'Data entry'!$AQ$6:$AQ$200,'Data Validation'!$V$9, 'Data entry'!$BD$6:$BD$200,"&lt;&gt;*Negative*"))</f>
        <v>0</v>
      </c>
      <c r="AD62" s="15">
        <f>SUM(COUNTIFS('Data entry'!$R$6:$R$200,'Summary Data'!$A62,'Data entry'!$B$6:$B$200,{"Confirmed";"Probable"},'Data entry'!$AQ$6:$AQ$200,'Data Validation'!$V$10, 'Data entry'!$BD$6:$BD$200,"&lt;&gt;*Negative*"))</f>
        <v>0</v>
      </c>
      <c r="AE62" s="15">
        <f>SUM(COUNTIFS('Data entry'!$R$6:$R$200,'Summary Data'!$A62,'Data entry'!$B$6:$B$200,{"Confirmed";"Probable"},'Data entry'!$AQ$6:$AQ$200,'Data Validation'!$V$11, 'Data entry'!$BD$6:$BD$200,"&lt;&gt;*Negative*"))</f>
        <v>0</v>
      </c>
      <c r="AF62" s="15">
        <f>SUM(COUNTIFS('Data entry'!$R$6:$R$200,'Summary Data'!$A62,'Data entry'!$B$6:$B$200,{"Confirmed";"Probable"},'Data entry'!$AQ$6:$AQ$200,'Data Validation'!$V$2, 'Data entry'!$AP$6:$AP$200,'Data Validation'!$U$2, 'Data entry'!$BD$6:$BD$200,"&lt;&gt;*Negative*"))</f>
        <v>0</v>
      </c>
      <c r="AG62" s="15">
        <f>SUM(COUNTIFS('Data entry'!$R$6:$R$200,'Summary Data'!$A62,'Data entry'!$B$6:$B$200,{"Confirmed";"Probable"},'Data entry'!$AQ$6:$AQ$200,'Data Validation'!$V$2, 'Data entry'!$AP$6:$AP$200,'Data Validation'!$U$3, 'Data entry'!$BD$6:$BD$200,"&lt;&gt;*Negative*"))</f>
        <v>0</v>
      </c>
      <c r="AH62" s="15">
        <f>SUM(COUNTIFS('Data entry'!$R$6:$R$200,'Summary Data'!$A62,'Data entry'!$B$6:$B$200,{"Confirmed";"Probable"},'Data entry'!$AQ$6:$AQ$200,'Data Validation'!$V$2, 'Data entry'!$AP$6:$AP$200,'Data Validation'!$U$4, 'Data entry'!$BD$6:$BD$200,"&lt;&gt;*Negative*"))</f>
        <v>0</v>
      </c>
      <c r="AI62" s="15">
        <f>SUM(COUNTIFS('Data entry'!$R$6:$R$200,'Summary Data'!$A62,'Data entry'!$B$6:$B$200,{"Confirmed";"Probable"},'Data entry'!$AQ$6:$AQ$200,'Data Validation'!$V$2, 'Data entry'!$AP$6:$AP$200,'Data Validation'!$U$5, 'Data entry'!$BD$6:$BD$200,"&lt;&gt;*Negative*"))</f>
        <v>0</v>
      </c>
      <c r="AJ62" s="15">
        <f>SUM(COUNTIFS('Data entry'!$R$6:$R$200,'Summary Data'!$A62,'Data entry'!$B$6:$B$200,{"Confirmed";"Probable"},'Data entry'!$AQ$6:$AQ$200,'Data Validation'!$V$2, 'Data entry'!$AP$6:$AP$200,'Data Validation'!$U$6, 'Data entry'!$BD$6:$BD$200,"&lt;&gt;*Negative*"))</f>
        <v>0</v>
      </c>
      <c r="AK62" s="15">
        <f>SUM(COUNTIFS('Data entry'!$R$6:$R$200,'Summary Data'!$A62,'Data entry'!$B$6:$B$200,{"Confirmed";"Probable"},'Data entry'!$AQ$6:$AQ$200,'Data Validation'!$V$3, 'Data entry'!$AP$6:$AP$200,'Data Validation'!$U$2, 'Data entry'!$BD$6:$BD$200,"&lt;&gt;*Negative*"))</f>
        <v>0</v>
      </c>
      <c r="AL62" s="15">
        <f>SUM(COUNTIFS('Data entry'!$R$6:$R$200,'Summary Data'!$A62,'Data entry'!$B$6:$B$200,{"Confirmed";"Probable"},'Data entry'!$AQ$6:$AQ$200,'Data Validation'!$V$3, 'Data entry'!$AP$6:$AP$200,'Data Validation'!$U$3, 'Data entry'!$BD$6:$BD$200,"&lt;&gt;*Negative*"))</f>
        <v>0</v>
      </c>
      <c r="AM62" s="15">
        <f>SUM(COUNTIFS('Data entry'!$R$6:$R$200,'Summary Data'!$A62,'Data entry'!$B$6:$B$200,{"Confirmed";"Probable"},'Data entry'!$AQ$6:$AQ$200,'Data Validation'!$V$3, 'Data entry'!$AP$6:$AP$200,'Data Validation'!$U$4, 'Data entry'!$BD$6:$BD$200,"&lt;&gt;*Negative*"))</f>
        <v>0</v>
      </c>
      <c r="AN62" s="15">
        <f>SUM(COUNTIFS('Data entry'!$R$6:$R$200,'Summary Data'!$A62,'Data entry'!$B$6:$B$200,{"Confirmed";"Probable"},'Data entry'!$AQ$6:$AQ$200,'Data Validation'!$V$3, 'Data entry'!$AP$6:$AP$200,'Data Validation'!$U$5, 'Data entry'!$BD$6:$BD$200,"&lt;&gt;*Negative*"))</f>
        <v>0</v>
      </c>
      <c r="AO62" s="15">
        <f>SUM(COUNTIFS('Data entry'!$R$6:$R$200,'Summary Data'!$A62,'Data entry'!$B$6:$B$200,{"Confirmed";"Probable"},'Data entry'!$AQ$6:$AQ$200,'Data Validation'!$V$3, 'Data entry'!$AP$6:$AP$200,'Data Validation'!$U$6, 'Data entry'!$BD$6:$BD$200,"&lt;&gt;*Negative*"))</f>
        <v>0</v>
      </c>
      <c r="AP62" s="15">
        <f>SUM(COUNTIFS('Data entry'!$R$6:$R$200,'Summary Data'!$A62,'Data entry'!$B$6:$B$200,{"Confirmed";"Probable"},'Data entry'!$AQ$6:$AQ$200,'Data Validation'!$V$4, 'Data entry'!$AP$6:$AP$200,'Data Validation'!$U$2, 'Data entry'!$BD$6:$BD$200,"&lt;&gt;*Negative*"))</f>
        <v>0</v>
      </c>
      <c r="AQ62" s="15">
        <f>SUM(COUNTIFS('Data entry'!$R$6:$R$200,'Summary Data'!$A62,'Data entry'!$B$6:$B$200,{"Confirmed";"Probable"},'Data entry'!$AQ$6:$AQ$200,'Data Validation'!$V$4, 'Data entry'!$AP$6:$AP$200,'Data Validation'!$U$3, 'Data entry'!$BD$6:$BD$200,"&lt;&gt;*Negative*"))</f>
        <v>0</v>
      </c>
      <c r="AR62" s="15">
        <f>SUM(COUNTIFS('Data entry'!$R$6:$R$200,'Summary Data'!$A62,'Data entry'!$B$6:$B$200,{"Confirmed";"Probable"},'Data entry'!$AQ$6:$AQ$200,'Data Validation'!$V$4, 'Data entry'!$AP$6:$AP$200,'Data Validation'!$U$4, 'Data entry'!$BD$6:$BD$200,"&lt;&gt;*Negative*"))</f>
        <v>0</v>
      </c>
      <c r="AS62" s="15">
        <f>SUM(COUNTIFS('Data entry'!$R$6:$R$200,'Summary Data'!$A62,'Data entry'!$B$6:$B$200,{"Confirmed";"Probable"},'Data entry'!$AQ$6:$AQ$200,'Data Validation'!$V$4, 'Data entry'!$AP$6:$AP$200,'Data Validation'!$U$5, 'Data entry'!$BD$6:$BD$200,"&lt;&gt;*Negative*"))</f>
        <v>0</v>
      </c>
      <c r="AT62" s="15">
        <f>SUM(COUNTIFS('Data entry'!$R$6:$R$200,'Summary Data'!$A62,'Data entry'!$B$6:$B$200,{"Confirmed";"Probable"},'Data entry'!$AQ$6:$AQ$200,'Data Validation'!$V$4, 'Data entry'!$AP$6:$AP$200,'Data Validation'!$U$6, 'Data entry'!$BD$6:$BD$200,"&lt;&gt;*Negative*"))</f>
        <v>0</v>
      </c>
      <c r="AU62" s="15">
        <f>SUM(COUNTIFS('Data entry'!$R$6:$R$200,'Summary Data'!$A62,'Data entry'!$B$6:$B$200,{"Confirmed";"Probable"},'Data entry'!$AQ$6:$AQ$200,'Data Validation'!$V$5, 'Data entry'!$AP$6:$AP$200,'Data Validation'!$U$2, 'Data entry'!$BD$6:$BD$200,"&lt;&gt;*Negative*"))</f>
        <v>0</v>
      </c>
      <c r="AV62" s="15">
        <f>SUM(COUNTIFS('Data entry'!$R$6:$R$200,'Summary Data'!$A62,'Data entry'!$B$6:$B$200,{"Confirmed";"Probable"},'Data entry'!$AQ$6:$AQ$200,'Data Validation'!$V$5, 'Data entry'!$AP$6:$AP$200,'Data Validation'!$U$3, 'Data entry'!$BD$6:$BD$200,"&lt;&gt;*Negative*"))</f>
        <v>0</v>
      </c>
      <c r="AW62" s="15">
        <f>SUM(COUNTIFS('Data entry'!$R$6:$R$200,'Summary Data'!$A62,'Data entry'!$B$6:$B$200,{"Confirmed";"Probable"},'Data entry'!$AQ$6:$AQ$200,'Data Validation'!$V$5, 'Data entry'!$AP$6:$AP$200,'Data Validation'!$U$4, 'Data entry'!$BD$6:$BD$200,"&lt;&gt;*Negative*"))</f>
        <v>0</v>
      </c>
      <c r="AX62" s="15">
        <f>SUM(COUNTIFS('Data entry'!$R$6:$R$200,'Summary Data'!$A62,'Data entry'!$B$6:$B$200,{"Confirmed";"Probable"},'Data entry'!$AQ$6:$AQ$200,'Data Validation'!$V$5, 'Data entry'!$AP$6:$AP$200,'Data Validation'!$U$5, 'Data entry'!$BD$6:$BD$200,"&lt;&gt;*Negative*"))</f>
        <v>0</v>
      </c>
      <c r="AY62" s="15">
        <f>SUM(COUNTIFS('Data entry'!$R$6:$R$200,'Summary Data'!$A62,'Data entry'!$B$6:$B$200,{"Confirmed";"Probable"},'Data entry'!$AQ$6:$AQ$200,'Data Validation'!$V$5, 'Data entry'!$AP$6:$AP$200,'Data Validation'!$U$6, 'Data entry'!$BD$6:$BD$200,"&lt;&gt;*Negative*"))</f>
        <v>0</v>
      </c>
      <c r="AZ62" s="15">
        <f>SUM(COUNTIFS('Data entry'!$R$6:$R$200,'Summary Data'!$A62,'Data entry'!$B$6:$B$200,{"Confirmed";"Probable"},'Data entry'!$AQ$6:$AQ$200,'Data Validation'!$V$6, 'Data entry'!$AP$6:$AP$200,'Data Validation'!$U$2, 'Data entry'!$BD$6:$BD$200,"&lt;&gt;*Negative*"))</f>
        <v>0</v>
      </c>
      <c r="BA62" s="15">
        <f>SUM(COUNTIFS('Data entry'!$R$6:$R$200,'Summary Data'!$A62,'Data entry'!$B$6:$B$200,{"Confirmed";"Probable"},'Data entry'!$AQ$6:$AQ$200,'Data Validation'!$V$6, 'Data entry'!$AP$6:$AP$200,'Data Validation'!$U$3, 'Data entry'!$BD$6:$BD$200,"&lt;&gt;*Negative*"))</f>
        <v>0</v>
      </c>
      <c r="BB62" s="15">
        <f>SUM(COUNTIFS('Data entry'!$R$6:$R$200,'Summary Data'!$A62,'Data entry'!$B$6:$B$200,{"Confirmed";"Probable"},'Data entry'!$AQ$6:$AQ$200,'Data Validation'!$V$6, 'Data entry'!$AP$6:$AP$200,'Data Validation'!$U$4, 'Data entry'!$BD$6:$BD$200,"&lt;&gt;*Negative*"))</f>
        <v>0</v>
      </c>
      <c r="BC62" s="15">
        <f>SUM(COUNTIFS('Data entry'!$R$6:$R$200,'Summary Data'!$A62,'Data entry'!$B$6:$B$200,{"Confirmed";"Probable"},'Data entry'!$AQ$6:$AQ$200,'Data Validation'!$V$6, 'Data entry'!$AP$6:$AP$200,'Data Validation'!$U$5, 'Data entry'!$BD$6:$BD$200,"&lt;&gt;*Negative*"))</f>
        <v>0</v>
      </c>
      <c r="BD62" s="15">
        <f>SUM(COUNTIFS('Data entry'!$R$6:$R$200,'Summary Data'!$A62,'Data entry'!$B$6:$B$200,{"Confirmed";"Probable"},'Data entry'!$AQ$6:$AQ$200,'Data Validation'!$V$6, 'Data entry'!$AP$6:$AP$200,'Data Validation'!$U$6, 'Data entry'!$BD$6:$BD$200,"&lt;&gt;*Negative*"))</f>
        <v>0</v>
      </c>
      <c r="BE62" s="15">
        <f>SUM(COUNTIFS('Data entry'!$R$6:$R$200,'Summary Data'!$A62,'Data entry'!$B$6:$B$200,{"Confirmed";"Probable"},'Data entry'!$AQ$6:$AQ$200,'Data Validation'!$V$7, 'Data entry'!$AP$6:$AP$200,'Data Validation'!$U$2, 'Data entry'!$BD$6:$BD$200,"&lt;&gt;*Negative*"))</f>
        <v>0</v>
      </c>
      <c r="BF62" s="15">
        <f>SUM(COUNTIFS('Data entry'!$R$6:$R$200,'Summary Data'!$A62,'Data entry'!$B$6:$B$200,{"Confirmed";"Probable"},'Data entry'!$AQ$6:$AQ$200,'Data Validation'!$V$7, 'Data entry'!$AP$6:$AP$200,'Data Validation'!$U$3, 'Data entry'!$BD$6:$BD$200,"&lt;&gt;*Negative*"))</f>
        <v>0</v>
      </c>
      <c r="BG62" s="15">
        <f>SUM(COUNTIFS('Data entry'!$R$6:$R$200,'Summary Data'!$A62,'Data entry'!$B$6:$B$200,{"Confirmed";"Probable"},'Data entry'!$AQ$6:$AQ$200,'Data Validation'!$V$7, 'Data entry'!$AP$6:$AP$200,'Data Validation'!$U$4, 'Data entry'!$BD$6:$BD$200,"&lt;&gt;*Negative*"))</f>
        <v>0</v>
      </c>
      <c r="BH62" s="15">
        <f>SUM(COUNTIFS('Data entry'!$R$6:$R$200,'Summary Data'!$A62,'Data entry'!$B$6:$B$200,{"Confirmed";"Probable"},'Data entry'!$AQ$6:$AQ$200,'Data Validation'!$V$7, 'Data entry'!$AP$6:$AP$200,'Data Validation'!$U$5, 'Data entry'!$BD$6:$BD$200,"&lt;&gt;*Negative*"))</f>
        <v>0</v>
      </c>
      <c r="BI62" s="15">
        <f>SUM(COUNTIFS('Data entry'!$R$6:$R$200,'Summary Data'!$A62,'Data entry'!$B$6:$B$200,{"Confirmed";"Probable"},'Data entry'!$AQ$6:$AQ$200,'Data Validation'!$V$7, 'Data entry'!$AP$6:$AP$200,'Data Validation'!$U$6, 'Data entry'!$BD$6:$BD$200,"&lt;&gt;*Negative*"))</f>
        <v>0</v>
      </c>
      <c r="BJ62" s="15">
        <f>SUM(COUNTIFS('Data entry'!$R$6:$R$200,'Summary Data'!$A62,'Data entry'!$B$6:$B$200,{"Confirmed";"Probable"},'Data entry'!$AQ$6:$AQ$200,'Data Validation'!$V$8, 'Data entry'!$AP$6:$AP$200,'Data Validation'!$U$2, 'Data entry'!$BD$6:$BD$200,"&lt;&gt;*Negative*"))</f>
        <v>0</v>
      </c>
      <c r="BK62" s="15">
        <f>SUM(COUNTIFS('Data entry'!$R$6:$R$200,'Summary Data'!$A62,'Data entry'!$B$6:$B$200,{"Confirmed";"Probable"},'Data entry'!$AQ$6:$AQ$200,'Data Validation'!$V$8, 'Data entry'!$AP$6:$AP$200,'Data Validation'!$U$3, 'Data entry'!$BD$6:$BD$200,"&lt;&gt;*Negative*"))</f>
        <v>0</v>
      </c>
      <c r="BL62" s="15">
        <f>SUM(COUNTIFS('Data entry'!$R$6:$R$200,'Summary Data'!$A62,'Data entry'!$B$6:$B$200,{"Confirmed";"Probable"},'Data entry'!$AQ$6:$AQ$200,'Data Validation'!$V$8, 'Data entry'!$AP$6:$AP$200,'Data Validation'!$U$4, 'Data entry'!$BD$6:$BD$200,"&lt;&gt;*Negative*"))</f>
        <v>0</v>
      </c>
      <c r="BM62" s="15">
        <f>SUM(COUNTIFS('Data entry'!$R$6:$R$200,'Summary Data'!$A62,'Data entry'!$B$6:$B$200,{"Confirmed";"Probable"},'Data entry'!$AQ$6:$AQ$200,'Data Validation'!$V$8, 'Data entry'!$AP$6:$AP$200,'Data Validation'!$U$5, 'Data entry'!$BD$6:$BD$200,"&lt;&gt;*Negative*"))</f>
        <v>0</v>
      </c>
      <c r="BN62" s="15">
        <f>SUM(COUNTIFS('Data entry'!$R$6:$R$200,'Summary Data'!$A62,'Data entry'!$B$6:$B$200,{"Confirmed";"Probable"},'Data entry'!$AQ$6:$AQ$200,'Data Validation'!$V$8, 'Data entry'!$AP$6:$AP$200,'Data Validation'!$U$6, 'Data entry'!$BD$6:$BD$200,"&lt;&gt;*Negative*"))</f>
        <v>0</v>
      </c>
      <c r="BO62" s="15">
        <f>SUM(COUNTIFS('Data entry'!$R$6:$R$200,'Summary Data'!$A62,'Data entry'!$B$6:$B$200,{"Confirmed";"Probable"},'Data entry'!$AQ$6:$AQ$200,'Data Validation'!$V$9, 'Data entry'!$AP$6:$AP$200,'Data Validation'!$U$2, 'Data entry'!$BD$6:$BD$200,"&lt;&gt;*Negative*"))</f>
        <v>0</v>
      </c>
      <c r="BP62" s="15">
        <f>SUM(COUNTIFS('Data entry'!$R$6:$R$200,'Summary Data'!$A62,'Data entry'!$B$6:$B$200,{"Confirmed";"Probable"},'Data entry'!$AQ$6:$AQ$200,'Data Validation'!$V$9, 'Data entry'!$AP$6:$AP$200,'Data Validation'!$U$3, 'Data entry'!$BD$6:$BD$200,"&lt;&gt;*Negative*"))</f>
        <v>0</v>
      </c>
      <c r="BQ62" s="15">
        <f>SUM(COUNTIFS('Data entry'!$R$6:$R$200,'Summary Data'!$A62,'Data entry'!$B$6:$B$200,{"Confirmed";"Probable"},'Data entry'!$AQ$6:$AQ$200,'Data Validation'!$V$9, 'Data entry'!$AP$6:$AP$200,'Data Validation'!$U$4, 'Data entry'!$BD$6:$BD$200,"&lt;&gt;*Negative*"))</f>
        <v>0</v>
      </c>
      <c r="BR62" s="15">
        <f>SUM(COUNTIFS('Data entry'!$R$6:$R$200,'Summary Data'!$A62,'Data entry'!$B$6:$B$200,{"Confirmed";"Probable"},'Data entry'!$AQ$6:$AQ$200,'Data Validation'!$V$9, 'Data entry'!$AP$6:$AP$200,'Data Validation'!$U$5, 'Data entry'!$BD$6:$BD$200,"&lt;&gt;*Negative*"))</f>
        <v>0</v>
      </c>
      <c r="BS62" s="15">
        <f>SUM(COUNTIFS('Data entry'!$R$6:$R$200,'Summary Data'!$A62,'Data entry'!$B$6:$B$200,{"Confirmed";"Probable"},'Data entry'!$AQ$6:$AQ$200,'Data Validation'!$V$9, 'Data entry'!$AP$6:$AP$200,'Data Validation'!$U$6, 'Data entry'!$BD$6:$BD$200,"&lt;&gt;*Negative*"))</f>
        <v>0</v>
      </c>
      <c r="BT62" s="15">
        <f>SUM(COUNTIFS('Data entry'!$R$6:$R$200,'Summary Data'!$A62,'Data entry'!$B$6:$B$200,{"Confirmed";"Probable"},'Data entry'!$AQ$6:$AQ$200,'Data Validation'!$V$10, 'Data entry'!$AP$6:$AP$200,'Data Validation'!$U$2, 'Data entry'!$BD$6:$BD$200,"&lt;&gt;*Negative*"))</f>
        <v>0</v>
      </c>
      <c r="BU62" s="15">
        <f>SUM(COUNTIFS('Data entry'!$R$6:$R$200,'Summary Data'!$A62,'Data entry'!$B$6:$B$200,{"Confirmed";"Probable"},'Data entry'!$AQ$6:$AQ$200,'Data Validation'!$V$10, 'Data entry'!$AP$6:$AP$200,'Data Validation'!$U$3, 'Data entry'!$BD$6:$BD$200,"&lt;&gt;*Negative*"))</f>
        <v>0</v>
      </c>
      <c r="BV62" s="15">
        <f>SUM(COUNTIFS('Data entry'!$R$6:$R$200,'Summary Data'!$A62,'Data entry'!$B$6:$B$200,{"Confirmed";"Probable"},'Data entry'!$AQ$6:$AQ$200,'Data Validation'!$V$10, 'Data entry'!$AP$6:$AP$200,'Data Validation'!$U$4, 'Data entry'!$BD$6:$BD$200,"&lt;&gt;*Negative*"))</f>
        <v>0</v>
      </c>
      <c r="BW62" s="15">
        <f>SUM(COUNTIFS('Data entry'!$R$6:$R$200,'Summary Data'!$A62,'Data entry'!$B$6:$B$200,{"Confirmed";"Probable"},'Data entry'!$AQ$6:$AQ$200,'Data Validation'!$V$10, 'Data entry'!$AP$6:$AP$200,'Data Validation'!$U$5, 'Data entry'!$BD$6:$BD$200,"&lt;&gt;*Negative*"))</f>
        <v>0</v>
      </c>
      <c r="BX62" s="15">
        <f>SUM(COUNTIFS('Data entry'!$R$6:$R$200,'Summary Data'!$A62,'Data entry'!$B$6:$B$200,{"Confirmed";"Probable"},'Data entry'!$AQ$6:$AQ$200,'Data Validation'!$V$10, 'Data entry'!$AP$6:$AP$200,'Data Validation'!$U$6, 'Data entry'!$BD$6:$BD$200,"&lt;&gt;*Negative*"))</f>
        <v>0</v>
      </c>
      <c r="BY62" s="15">
        <f>SUM(COUNTIFS('Data entry'!$R$6:$R$200,'Summary Data'!$A62,'Data entry'!$B$6:$B$200,{"Confirmed";"Probable"},'Data entry'!$AQ$6:$AQ$200,'Data Validation'!$V$11, 'Data entry'!$AP$6:$AP$200,'Data Validation'!$U$2, 'Data entry'!$BD$6:$BD$200,"&lt;&gt;*Negative*"))</f>
        <v>0</v>
      </c>
      <c r="BZ62" s="15">
        <f>SUM(COUNTIFS('Data entry'!$R$6:$R$200,'Summary Data'!$A62,'Data entry'!$B$6:$B$200,{"Confirmed";"Probable"},'Data entry'!$AQ$6:$AQ$200,'Data Validation'!$V$11, 'Data entry'!$AP$6:$AP$200,'Data Validation'!$U$3, 'Data entry'!$BD$6:$BD$200,"&lt;&gt;*Negative*"))</f>
        <v>0</v>
      </c>
      <c r="CA62" s="15">
        <f>SUM(COUNTIFS('Data entry'!$R$6:$R$200,'Summary Data'!$A62,'Data entry'!$B$6:$B$200,{"Confirmed";"Probable"},'Data entry'!$AQ$6:$AQ$200,'Data Validation'!$V$11, 'Data entry'!$AP$6:$AP$200,'Data Validation'!$U$4, 'Data entry'!$BD$6:$BD$200,"&lt;&gt;*Negative*"))</f>
        <v>0</v>
      </c>
      <c r="CB62" s="15">
        <f>SUM(COUNTIFS('Data entry'!$R$6:$R$200,'Summary Data'!$A62,'Data entry'!$B$6:$B$200,{"Confirmed";"Probable"},'Data entry'!$AQ$6:$AQ$200,'Data Validation'!$V$11, 'Data entry'!$AP$6:$AP$200,'Data Validation'!$U$5, 'Data entry'!$BD$6:$BD$200,"&lt;&gt;*Negative*"))</f>
        <v>0</v>
      </c>
      <c r="CC62" s="15">
        <f>SUM(COUNTIFS('Data entry'!$R$6:$R$200,'Summary Data'!$A62,'Data entry'!$B$6:$B$200,{"Confirmed";"Probable"},'Data entry'!$AQ$6:$AQ$200,'Data Validation'!$V$11, 'Data entry'!$AP$6:$AP$200,'Data Validation'!$U$6, 'Data entry'!$BD$6:$BD$200,"&lt;&gt;*Negative*"))</f>
        <v>0</v>
      </c>
    </row>
    <row r="63" spans="1:81" x14ac:dyDescent="0.25">
      <c r="A63" s="12">
        <f t="shared" si="5"/>
        <v>51</v>
      </c>
      <c r="B63" s="13">
        <f t="shared" si="2"/>
        <v>0</v>
      </c>
      <c r="C63" s="13">
        <f>COUNTIFS('Data entry'!$R$6:$R$200,$A63,'Data entry'!$B$6:$B$200,"Confirmed",'Data entry'!$BD$6:$BD$200,"&lt;&gt;*Negative*")</f>
        <v>0</v>
      </c>
      <c r="D63" s="13">
        <f>COUNTIFS('Data entry'!$R$6:$R$200,$A63,'Data entry'!$B$6:$B$200,"Probable",'Data entry'!$BD$6:$BD$200,"&lt;&gt;*Negative*")</f>
        <v>0</v>
      </c>
      <c r="E63" s="13">
        <f>COUNTIFS('Data entry'!$R$6:$R$200,$A63,'Data entry'!$B$6:$B$200,"DNM")</f>
        <v>0</v>
      </c>
      <c r="F63" s="13">
        <f>SUM(COUNTIFS('Data entry'!$R$6:$R$200,'Summary Data'!$A63,'Data entry'!$B$6:$B$200,{"Confirmed";"Probable"},'Data entry'!$AO$6:$AO$200,$F$10, 'Data entry'!$BD$6:$BD$200,"&lt;&gt;*Negative*"))</f>
        <v>0</v>
      </c>
      <c r="G63" s="13">
        <f>SUM(COUNTIFS('Data entry'!$R$6:$R$200,'Summary Data'!$A63,'Data entry'!$B$6:$B$200,{"Confirmed";"Probable"},'Data entry'!$AO$6:$AO$200,$G$10, 'Data entry'!$BD$6:$BD$200,"&lt;&gt;*Negative*"))</f>
        <v>0</v>
      </c>
      <c r="H63" s="13">
        <f>SUM(COUNTIFS('Data entry'!$R$6:$R$200,'Summary Data'!$A63,'Data entry'!$B$6:$B$200,{"Confirmed";"Probable"},'Data entry'!$AO$6:$AO$200,$H$10, 'Data entry'!$BD$6:$BD$200,"&lt;&gt;*Negative*"))</f>
        <v>0</v>
      </c>
      <c r="I63" s="13">
        <f>SUM(COUNTIFS('Data entry'!$R$6:$R$200,'Summary Data'!$A63,'Data entry'!$B$6:$B$200,{"Confirmed";"Probable"},'Data entry'!$AO$6:$AO$200,$I$10, 'Data entry'!$BD$6:$BD$200,"&lt;&gt;*Negative*"))</f>
        <v>0</v>
      </c>
      <c r="J63" s="13">
        <f>SUM(COUNTIFS('Data entry'!$R$6:$R$200,'Summary Data'!$A63,'Data entry'!$B$6:$B$200,{"Confirmed";"Probable"},'Data entry'!$AO$6:$AO$200,$J$10, 'Data entry'!$BD$6:$BD$200,"&lt;&gt;*Negative*"))</f>
        <v>0</v>
      </c>
      <c r="K63" s="13">
        <f>SUM(COUNTIFS('Data entry'!$R$6:$R$200,'Summary Data'!$A63,'Data entry'!$B$6:$B$200,{"Confirmed";"Probable"},'Data entry'!$AO$6:$AO$200,$K$10, 'Data entry'!$BD$6:$BD$200,"&lt;&gt;*Negative*"))</f>
        <v>0</v>
      </c>
      <c r="L63" s="13">
        <f>SUM(COUNTIFS('Data entry'!$R$6:$R$200,'Summary Data'!$A63,'Data entry'!$B$6:$B$200,{"Confirmed";"Probable"},'Data entry'!$AO$6:$AO$200,$L$10, 'Data entry'!$BD$6:$BD$200,"&lt;&gt;*Negative*"))</f>
        <v>0</v>
      </c>
      <c r="M63" s="13">
        <f>SUM(COUNTIFS('Data entry'!$R$6:$R$200,'Summary Data'!$A63,'Data entry'!$B$6:$B$200,{"Confirmed";"Probable"},'Data entry'!$AO$6:$AO$200,$M$10, 'Data entry'!$BD$6:$BD$200,"&lt;&gt;*Negative*"))</f>
        <v>0</v>
      </c>
      <c r="N63" s="13">
        <f>SUM(COUNTIFS('Data entry'!$R$6:$R$200,'Summary Data'!$A63,'Data entry'!$B$6:$B$200,{"Confirmed";"Probable"},'Data entry'!$AO$6:$AO$200,$N$10, 'Data entry'!$BD$6:$BD$200,"&lt;&gt;*Negative*"))</f>
        <v>0</v>
      </c>
      <c r="O63" s="15">
        <f t="shared" si="3"/>
        <v>0</v>
      </c>
      <c r="P63" s="15">
        <f t="shared" si="4"/>
        <v>0</v>
      </c>
      <c r="Q63" s="15">
        <f>SUM(COUNTIFS('Data entry'!$R$6:$R$200,'Summary Data'!$A63,'Data entry'!$B$6:$B$200,{"Confirmed";"Probable"},'Data entry'!$AP$6:$AP$200,'Data Validation'!$U$2, 'Data entry'!$BD$6:$BD$200,"&lt;&gt;*Negative*"))</f>
        <v>0</v>
      </c>
      <c r="R63" s="15">
        <f>SUM(COUNTIFS('Data entry'!$R$6:$R$200,'Summary Data'!$A63,'Data entry'!$B$6:$B$200,{"Confirmed";"Probable"},'Data entry'!$AP$6:$AP$200,'Data Validation'!$U$3, 'Data entry'!$BD$6:$BD$200,"&lt;&gt;*Negative*"))</f>
        <v>0</v>
      </c>
      <c r="S63" s="15">
        <f>SUM(COUNTIFS('Data entry'!$R$6:$R$200,'Summary Data'!$A63,'Data entry'!$B$6:$B$200,{"Confirmed";"Probable"},'Data entry'!$AP$6:$AP$200,'Data Validation'!$U$4, 'Data entry'!$BD$6:$BD$200,"&lt;&gt;*Negative*"))</f>
        <v>0</v>
      </c>
      <c r="T63" s="15">
        <f>SUM(COUNTIFS('Data entry'!$R$6:$R$200,'Summary Data'!$A63,'Data entry'!$B$6:$B$200,{"Confirmed";"Probable"},'Data entry'!$AP$6:$AP$200,'Data Validation'!$U$5, 'Data entry'!$BD$6:$BD$200,"&lt;&gt;*Negative*"))</f>
        <v>0</v>
      </c>
      <c r="U63" s="15">
        <f>SUM(COUNTIFS('Data entry'!$R$6:$R$200,'Summary Data'!$A63,'Data entry'!$B$6:$B$200,{"Confirmed";"Probable"},'Data entry'!$AP$6:$AP$200,'Data Validation'!$U$6, 'Data entry'!$BD$6:$BD$200,"&lt;&gt;*Negative*"))</f>
        <v>0</v>
      </c>
      <c r="V63" s="15">
        <f>SUM(COUNTIFS('Data entry'!$R$6:$R$200,'Summary Data'!$A63,'Data entry'!$B$6:$B$200,{"Confirmed";"Probable"},'Data entry'!$AQ$6:$AQ$200,'Data Validation'!$V$2, 'Data entry'!$BD$6:$BD$200,"&lt;&gt;*Negative*"))</f>
        <v>0</v>
      </c>
      <c r="W63" s="15">
        <f>SUM(COUNTIFS('Data entry'!$R$6:$R$200,'Summary Data'!$A63,'Data entry'!$B$6:$B$200,{"Confirmed";"Probable"},'Data entry'!$AQ$6:$AQ$200,'Data Validation'!$V$3, 'Data entry'!$BD$6:$BD$200,"&lt;&gt;*Negative*"))</f>
        <v>0</v>
      </c>
      <c r="X63" s="15">
        <f>SUM(COUNTIFS('Data entry'!$R$6:$R$200,'Summary Data'!$A63,'Data entry'!$B$6:$B$200,{"Confirmed";"Probable"},'Data entry'!$AQ$6:$AQ$200,'Data Validation'!$V$4, 'Data entry'!$BD$6:$BD$200,"&lt;&gt;*Negative*"))</f>
        <v>0</v>
      </c>
      <c r="Y63" s="15">
        <f>SUM(COUNTIFS('Data entry'!$R$6:$R$200,'Summary Data'!$A63,'Data entry'!$B$6:$B$200,{"Confirmed";"Probable"},'Data entry'!$AQ$6:$AQ$200,'Data Validation'!$V$5, 'Data entry'!$BD$6:$BD$200,"&lt;&gt;*Negative*"))</f>
        <v>0</v>
      </c>
      <c r="Z63" s="15">
        <f>SUM(COUNTIFS('Data entry'!$R$6:$R$200,'Summary Data'!$A63,'Data entry'!$B$6:$B$200,{"Confirmed";"Probable"},'Data entry'!$AQ$6:$AQ$200,'Data Validation'!$V$6, 'Data entry'!$BD$6:$BD$200,"&lt;&gt;*Negative*"))</f>
        <v>0</v>
      </c>
      <c r="AA63" s="15">
        <f>SUM(COUNTIFS('Data entry'!$R$6:$R$200,'Summary Data'!$A63,'Data entry'!$B$6:$B$200,{"Confirmed";"Probable"},'Data entry'!$AQ$6:$AQ$200,'Data Validation'!$V$7, 'Data entry'!$BD$6:$BD$200,"&lt;&gt;*Negative*"))</f>
        <v>0</v>
      </c>
      <c r="AB63" s="15">
        <f>SUM(COUNTIFS('Data entry'!$R$6:$R$200,'Summary Data'!$A63,'Data entry'!$B$6:$B$200,{"Confirmed";"Probable"},'Data entry'!$AQ$6:$AQ$200,'Data Validation'!$V$8, 'Data entry'!$BD$6:$BD$200,"&lt;&gt;*Negative*"))</f>
        <v>0</v>
      </c>
      <c r="AC63" s="15">
        <f>SUM(COUNTIFS('Data entry'!$R$6:$R$200,'Summary Data'!$A63,'Data entry'!$B$6:$B$200,{"Confirmed";"Probable"},'Data entry'!$AQ$6:$AQ$200,'Data Validation'!$V$9, 'Data entry'!$BD$6:$BD$200,"&lt;&gt;*Negative*"))</f>
        <v>0</v>
      </c>
      <c r="AD63" s="15">
        <f>SUM(COUNTIFS('Data entry'!$R$6:$R$200,'Summary Data'!$A63,'Data entry'!$B$6:$B$200,{"Confirmed";"Probable"},'Data entry'!$AQ$6:$AQ$200,'Data Validation'!$V$10, 'Data entry'!$BD$6:$BD$200,"&lt;&gt;*Negative*"))</f>
        <v>0</v>
      </c>
      <c r="AE63" s="15">
        <f>SUM(COUNTIFS('Data entry'!$R$6:$R$200,'Summary Data'!$A63,'Data entry'!$B$6:$B$200,{"Confirmed";"Probable"},'Data entry'!$AQ$6:$AQ$200,'Data Validation'!$V$11, 'Data entry'!$BD$6:$BD$200,"&lt;&gt;*Negative*"))</f>
        <v>0</v>
      </c>
      <c r="AF63" s="15">
        <f>SUM(COUNTIFS('Data entry'!$R$6:$R$200,'Summary Data'!$A63,'Data entry'!$B$6:$B$200,{"Confirmed";"Probable"},'Data entry'!$AQ$6:$AQ$200,'Data Validation'!$V$2, 'Data entry'!$AP$6:$AP$200,'Data Validation'!$U$2, 'Data entry'!$BD$6:$BD$200,"&lt;&gt;*Negative*"))</f>
        <v>0</v>
      </c>
      <c r="AG63" s="15">
        <f>SUM(COUNTIFS('Data entry'!$R$6:$R$200,'Summary Data'!$A63,'Data entry'!$B$6:$B$200,{"Confirmed";"Probable"},'Data entry'!$AQ$6:$AQ$200,'Data Validation'!$V$2, 'Data entry'!$AP$6:$AP$200,'Data Validation'!$U$3, 'Data entry'!$BD$6:$BD$200,"&lt;&gt;*Negative*"))</f>
        <v>0</v>
      </c>
      <c r="AH63" s="15">
        <f>SUM(COUNTIFS('Data entry'!$R$6:$R$200,'Summary Data'!$A63,'Data entry'!$B$6:$B$200,{"Confirmed";"Probable"},'Data entry'!$AQ$6:$AQ$200,'Data Validation'!$V$2, 'Data entry'!$AP$6:$AP$200,'Data Validation'!$U$4, 'Data entry'!$BD$6:$BD$200,"&lt;&gt;*Negative*"))</f>
        <v>0</v>
      </c>
      <c r="AI63" s="15">
        <f>SUM(COUNTIFS('Data entry'!$R$6:$R$200,'Summary Data'!$A63,'Data entry'!$B$6:$B$200,{"Confirmed";"Probable"},'Data entry'!$AQ$6:$AQ$200,'Data Validation'!$V$2, 'Data entry'!$AP$6:$AP$200,'Data Validation'!$U$5, 'Data entry'!$BD$6:$BD$200,"&lt;&gt;*Negative*"))</f>
        <v>0</v>
      </c>
      <c r="AJ63" s="15">
        <f>SUM(COUNTIFS('Data entry'!$R$6:$R$200,'Summary Data'!$A63,'Data entry'!$B$6:$B$200,{"Confirmed";"Probable"},'Data entry'!$AQ$6:$AQ$200,'Data Validation'!$V$2, 'Data entry'!$AP$6:$AP$200,'Data Validation'!$U$6, 'Data entry'!$BD$6:$BD$200,"&lt;&gt;*Negative*"))</f>
        <v>0</v>
      </c>
      <c r="AK63" s="15">
        <f>SUM(COUNTIFS('Data entry'!$R$6:$R$200,'Summary Data'!$A63,'Data entry'!$B$6:$B$200,{"Confirmed";"Probable"},'Data entry'!$AQ$6:$AQ$200,'Data Validation'!$V$3, 'Data entry'!$AP$6:$AP$200,'Data Validation'!$U$2, 'Data entry'!$BD$6:$BD$200,"&lt;&gt;*Negative*"))</f>
        <v>0</v>
      </c>
      <c r="AL63" s="15">
        <f>SUM(COUNTIFS('Data entry'!$R$6:$R$200,'Summary Data'!$A63,'Data entry'!$B$6:$B$200,{"Confirmed";"Probable"},'Data entry'!$AQ$6:$AQ$200,'Data Validation'!$V$3, 'Data entry'!$AP$6:$AP$200,'Data Validation'!$U$3, 'Data entry'!$BD$6:$BD$200,"&lt;&gt;*Negative*"))</f>
        <v>0</v>
      </c>
      <c r="AM63" s="15">
        <f>SUM(COUNTIFS('Data entry'!$R$6:$R$200,'Summary Data'!$A63,'Data entry'!$B$6:$B$200,{"Confirmed";"Probable"},'Data entry'!$AQ$6:$AQ$200,'Data Validation'!$V$3, 'Data entry'!$AP$6:$AP$200,'Data Validation'!$U$4, 'Data entry'!$BD$6:$BD$200,"&lt;&gt;*Negative*"))</f>
        <v>0</v>
      </c>
      <c r="AN63" s="15">
        <f>SUM(COUNTIFS('Data entry'!$R$6:$R$200,'Summary Data'!$A63,'Data entry'!$B$6:$B$200,{"Confirmed";"Probable"},'Data entry'!$AQ$6:$AQ$200,'Data Validation'!$V$3, 'Data entry'!$AP$6:$AP$200,'Data Validation'!$U$5, 'Data entry'!$BD$6:$BD$200,"&lt;&gt;*Negative*"))</f>
        <v>0</v>
      </c>
      <c r="AO63" s="15">
        <f>SUM(COUNTIFS('Data entry'!$R$6:$R$200,'Summary Data'!$A63,'Data entry'!$B$6:$B$200,{"Confirmed";"Probable"},'Data entry'!$AQ$6:$AQ$200,'Data Validation'!$V$3, 'Data entry'!$AP$6:$AP$200,'Data Validation'!$U$6, 'Data entry'!$BD$6:$BD$200,"&lt;&gt;*Negative*"))</f>
        <v>0</v>
      </c>
      <c r="AP63" s="15">
        <f>SUM(COUNTIFS('Data entry'!$R$6:$R$200,'Summary Data'!$A63,'Data entry'!$B$6:$B$200,{"Confirmed";"Probable"},'Data entry'!$AQ$6:$AQ$200,'Data Validation'!$V$4, 'Data entry'!$AP$6:$AP$200,'Data Validation'!$U$2, 'Data entry'!$BD$6:$BD$200,"&lt;&gt;*Negative*"))</f>
        <v>0</v>
      </c>
      <c r="AQ63" s="15">
        <f>SUM(COUNTIFS('Data entry'!$R$6:$R$200,'Summary Data'!$A63,'Data entry'!$B$6:$B$200,{"Confirmed";"Probable"},'Data entry'!$AQ$6:$AQ$200,'Data Validation'!$V$4, 'Data entry'!$AP$6:$AP$200,'Data Validation'!$U$3, 'Data entry'!$BD$6:$BD$200,"&lt;&gt;*Negative*"))</f>
        <v>0</v>
      </c>
      <c r="AR63" s="15">
        <f>SUM(COUNTIFS('Data entry'!$R$6:$R$200,'Summary Data'!$A63,'Data entry'!$B$6:$B$200,{"Confirmed";"Probable"},'Data entry'!$AQ$6:$AQ$200,'Data Validation'!$V$4, 'Data entry'!$AP$6:$AP$200,'Data Validation'!$U$4, 'Data entry'!$BD$6:$BD$200,"&lt;&gt;*Negative*"))</f>
        <v>0</v>
      </c>
      <c r="AS63" s="15">
        <f>SUM(COUNTIFS('Data entry'!$R$6:$R$200,'Summary Data'!$A63,'Data entry'!$B$6:$B$200,{"Confirmed";"Probable"},'Data entry'!$AQ$6:$AQ$200,'Data Validation'!$V$4, 'Data entry'!$AP$6:$AP$200,'Data Validation'!$U$5, 'Data entry'!$BD$6:$BD$200,"&lt;&gt;*Negative*"))</f>
        <v>0</v>
      </c>
      <c r="AT63" s="15">
        <f>SUM(COUNTIFS('Data entry'!$R$6:$R$200,'Summary Data'!$A63,'Data entry'!$B$6:$B$200,{"Confirmed";"Probable"},'Data entry'!$AQ$6:$AQ$200,'Data Validation'!$V$4, 'Data entry'!$AP$6:$AP$200,'Data Validation'!$U$6, 'Data entry'!$BD$6:$BD$200,"&lt;&gt;*Negative*"))</f>
        <v>0</v>
      </c>
      <c r="AU63" s="15">
        <f>SUM(COUNTIFS('Data entry'!$R$6:$R$200,'Summary Data'!$A63,'Data entry'!$B$6:$B$200,{"Confirmed";"Probable"},'Data entry'!$AQ$6:$AQ$200,'Data Validation'!$V$5, 'Data entry'!$AP$6:$AP$200,'Data Validation'!$U$2, 'Data entry'!$BD$6:$BD$200,"&lt;&gt;*Negative*"))</f>
        <v>0</v>
      </c>
      <c r="AV63" s="15">
        <f>SUM(COUNTIFS('Data entry'!$R$6:$R$200,'Summary Data'!$A63,'Data entry'!$B$6:$B$200,{"Confirmed";"Probable"},'Data entry'!$AQ$6:$AQ$200,'Data Validation'!$V$5, 'Data entry'!$AP$6:$AP$200,'Data Validation'!$U$3, 'Data entry'!$BD$6:$BD$200,"&lt;&gt;*Negative*"))</f>
        <v>0</v>
      </c>
      <c r="AW63" s="15">
        <f>SUM(COUNTIFS('Data entry'!$R$6:$R$200,'Summary Data'!$A63,'Data entry'!$B$6:$B$200,{"Confirmed";"Probable"},'Data entry'!$AQ$6:$AQ$200,'Data Validation'!$V$5, 'Data entry'!$AP$6:$AP$200,'Data Validation'!$U$4, 'Data entry'!$BD$6:$BD$200,"&lt;&gt;*Negative*"))</f>
        <v>0</v>
      </c>
      <c r="AX63" s="15">
        <f>SUM(COUNTIFS('Data entry'!$R$6:$R$200,'Summary Data'!$A63,'Data entry'!$B$6:$B$200,{"Confirmed";"Probable"},'Data entry'!$AQ$6:$AQ$200,'Data Validation'!$V$5, 'Data entry'!$AP$6:$AP$200,'Data Validation'!$U$5, 'Data entry'!$BD$6:$BD$200,"&lt;&gt;*Negative*"))</f>
        <v>0</v>
      </c>
      <c r="AY63" s="15">
        <f>SUM(COUNTIFS('Data entry'!$R$6:$R$200,'Summary Data'!$A63,'Data entry'!$B$6:$B$200,{"Confirmed";"Probable"},'Data entry'!$AQ$6:$AQ$200,'Data Validation'!$V$5, 'Data entry'!$AP$6:$AP$200,'Data Validation'!$U$6, 'Data entry'!$BD$6:$BD$200,"&lt;&gt;*Negative*"))</f>
        <v>0</v>
      </c>
      <c r="AZ63" s="15">
        <f>SUM(COUNTIFS('Data entry'!$R$6:$R$200,'Summary Data'!$A63,'Data entry'!$B$6:$B$200,{"Confirmed";"Probable"},'Data entry'!$AQ$6:$AQ$200,'Data Validation'!$V$6, 'Data entry'!$AP$6:$AP$200,'Data Validation'!$U$2, 'Data entry'!$BD$6:$BD$200,"&lt;&gt;*Negative*"))</f>
        <v>0</v>
      </c>
      <c r="BA63" s="15">
        <f>SUM(COUNTIFS('Data entry'!$R$6:$R$200,'Summary Data'!$A63,'Data entry'!$B$6:$B$200,{"Confirmed";"Probable"},'Data entry'!$AQ$6:$AQ$200,'Data Validation'!$V$6, 'Data entry'!$AP$6:$AP$200,'Data Validation'!$U$3, 'Data entry'!$BD$6:$BD$200,"&lt;&gt;*Negative*"))</f>
        <v>0</v>
      </c>
      <c r="BB63" s="15">
        <f>SUM(COUNTIFS('Data entry'!$R$6:$R$200,'Summary Data'!$A63,'Data entry'!$B$6:$B$200,{"Confirmed";"Probable"},'Data entry'!$AQ$6:$AQ$200,'Data Validation'!$V$6, 'Data entry'!$AP$6:$AP$200,'Data Validation'!$U$4, 'Data entry'!$BD$6:$BD$200,"&lt;&gt;*Negative*"))</f>
        <v>0</v>
      </c>
      <c r="BC63" s="15">
        <f>SUM(COUNTIFS('Data entry'!$R$6:$R$200,'Summary Data'!$A63,'Data entry'!$B$6:$B$200,{"Confirmed";"Probable"},'Data entry'!$AQ$6:$AQ$200,'Data Validation'!$V$6, 'Data entry'!$AP$6:$AP$200,'Data Validation'!$U$5, 'Data entry'!$BD$6:$BD$200,"&lt;&gt;*Negative*"))</f>
        <v>0</v>
      </c>
      <c r="BD63" s="15">
        <f>SUM(COUNTIFS('Data entry'!$R$6:$R$200,'Summary Data'!$A63,'Data entry'!$B$6:$B$200,{"Confirmed";"Probable"},'Data entry'!$AQ$6:$AQ$200,'Data Validation'!$V$6, 'Data entry'!$AP$6:$AP$200,'Data Validation'!$U$6, 'Data entry'!$BD$6:$BD$200,"&lt;&gt;*Negative*"))</f>
        <v>0</v>
      </c>
      <c r="BE63" s="15">
        <f>SUM(COUNTIFS('Data entry'!$R$6:$R$200,'Summary Data'!$A63,'Data entry'!$B$6:$B$200,{"Confirmed";"Probable"},'Data entry'!$AQ$6:$AQ$200,'Data Validation'!$V$7, 'Data entry'!$AP$6:$AP$200,'Data Validation'!$U$2, 'Data entry'!$BD$6:$BD$200,"&lt;&gt;*Negative*"))</f>
        <v>0</v>
      </c>
      <c r="BF63" s="15">
        <f>SUM(COUNTIFS('Data entry'!$R$6:$R$200,'Summary Data'!$A63,'Data entry'!$B$6:$B$200,{"Confirmed";"Probable"},'Data entry'!$AQ$6:$AQ$200,'Data Validation'!$V$7, 'Data entry'!$AP$6:$AP$200,'Data Validation'!$U$3, 'Data entry'!$BD$6:$BD$200,"&lt;&gt;*Negative*"))</f>
        <v>0</v>
      </c>
      <c r="BG63" s="15">
        <f>SUM(COUNTIFS('Data entry'!$R$6:$R$200,'Summary Data'!$A63,'Data entry'!$B$6:$B$200,{"Confirmed";"Probable"},'Data entry'!$AQ$6:$AQ$200,'Data Validation'!$V$7, 'Data entry'!$AP$6:$AP$200,'Data Validation'!$U$4, 'Data entry'!$BD$6:$BD$200,"&lt;&gt;*Negative*"))</f>
        <v>0</v>
      </c>
      <c r="BH63" s="15">
        <f>SUM(COUNTIFS('Data entry'!$R$6:$R$200,'Summary Data'!$A63,'Data entry'!$B$6:$B$200,{"Confirmed";"Probable"},'Data entry'!$AQ$6:$AQ$200,'Data Validation'!$V$7, 'Data entry'!$AP$6:$AP$200,'Data Validation'!$U$5, 'Data entry'!$BD$6:$BD$200,"&lt;&gt;*Negative*"))</f>
        <v>0</v>
      </c>
      <c r="BI63" s="15">
        <f>SUM(COUNTIFS('Data entry'!$R$6:$R$200,'Summary Data'!$A63,'Data entry'!$B$6:$B$200,{"Confirmed";"Probable"},'Data entry'!$AQ$6:$AQ$200,'Data Validation'!$V$7, 'Data entry'!$AP$6:$AP$200,'Data Validation'!$U$6, 'Data entry'!$BD$6:$BD$200,"&lt;&gt;*Negative*"))</f>
        <v>0</v>
      </c>
      <c r="BJ63" s="15">
        <f>SUM(COUNTIFS('Data entry'!$R$6:$R$200,'Summary Data'!$A63,'Data entry'!$B$6:$B$200,{"Confirmed";"Probable"},'Data entry'!$AQ$6:$AQ$200,'Data Validation'!$V$8, 'Data entry'!$AP$6:$AP$200,'Data Validation'!$U$2, 'Data entry'!$BD$6:$BD$200,"&lt;&gt;*Negative*"))</f>
        <v>0</v>
      </c>
      <c r="BK63" s="15">
        <f>SUM(COUNTIFS('Data entry'!$R$6:$R$200,'Summary Data'!$A63,'Data entry'!$B$6:$B$200,{"Confirmed";"Probable"},'Data entry'!$AQ$6:$AQ$200,'Data Validation'!$V$8, 'Data entry'!$AP$6:$AP$200,'Data Validation'!$U$3, 'Data entry'!$BD$6:$BD$200,"&lt;&gt;*Negative*"))</f>
        <v>0</v>
      </c>
      <c r="BL63" s="15">
        <f>SUM(COUNTIFS('Data entry'!$R$6:$R$200,'Summary Data'!$A63,'Data entry'!$B$6:$B$200,{"Confirmed";"Probable"},'Data entry'!$AQ$6:$AQ$200,'Data Validation'!$V$8, 'Data entry'!$AP$6:$AP$200,'Data Validation'!$U$4, 'Data entry'!$BD$6:$BD$200,"&lt;&gt;*Negative*"))</f>
        <v>0</v>
      </c>
      <c r="BM63" s="15">
        <f>SUM(COUNTIFS('Data entry'!$R$6:$R$200,'Summary Data'!$A63,'Data entry'!$B$6:$B$200,{"Confirmed";"Probable"},'Data entry'!$AQ$6:$AQ$200,'Data Validation'!$V$8, 'Data entry'!$AP$6:$AP$200,'Data Validation'!$U$5, 'Data entry'!$BD$6:$BD$200,"&lt;&gt;*Negative*"))</f>
        <v>0</v>
      </c>
      <c r="BN63" s="15">
        <f>SUM(COUNTIFS('Data entry'!$R$6:$R$200,'Summary Data'!$A63,'Data entry'!$B$6:$B$200,{"Confirmed";"Probable"},'Data entry'!$AQ$6:$AQ$200,'Data Validation'!$V$8, 'Data entry'!$AP$6:$AP$200,'Data Validation'!$U$6, 'Data entry'!$BD$6:$BD$200,"&lt;&gt;*Negative*"))</f>
        <v>0</v>
      </c>
      <c r="BO63" s="15">
        <f>SUM(COUNTIFS('Data entry'!$R$6:$R$200,'Summary Data'!$A63,'Data entry'!$B$6:$B$200,{"Confirmed";"Probable"},'Data entry'!$AQ$6:$AQ$200,'Data Validation'!$V$9, 'Data entry'!$AP$6:$AP$200,'Data Validation'!$U$2, 'Data entry'!$BD$6:$BD$200,"&lt;&gt;*Negative*"))</f>
        <v>0</v>
      </c>
      <c r="BP63" s="15">
        <f>SUM(COUNTIFS('Data entry'!$R$6:$R$200,'Summary Data'!$A63,'Data entry'!$B$6:$B$200,{"Confirmed";"Probable"},'Data entry'!$AQ$6:$AQ$200,'Data Validation'!$V$9, 'Data entry'!$AP$6:$AP$200,'Data Validation'!$U$3, 'Data entry'!$BD$6:$BD$200,"&lt;&gt;*Negative*"))</f>
        <v>0</v>
      </c>
      <c r="BQ63" s="15">
        <f>SUM(COUNTIFS('Data entry'!$R$6:$R$200,'Summary Data'!$A63,'Data entry'!$B$6:$B$200,{"Confirmed";"Probable"},'Data entry'!$AQ$6:$AQ$200,'Data Validation'!$V$9, 'Data entry'!$AP$6:$AP$200,'Data Validation'!$U$4, 'Data entry'!$BD$6:$BD$200,"&lt;&gt;*Negative*"))</f>
        <v>0</v>
      </c>
      <c r="BR63" s="15">
        <f>SUM(COUNTIFS('Data entry'!$R$6:$R$200,'Summary Data'!$A63,'Data entry'!$B$6:$B$200,{"Confirmed";"Probable"},'Data entry'!$AQ$6:$AQ$200,'Data Validation'!$V$9, 'Data entry'!$AP$6:$AP$200,'Data Validation'!$U$5, 'Data entry'!$BD$6:$BD$200,"&lt;&gt;*Negative*"))</f>
        <v>0</v>
      </c>
      <c r="BS63" s="15">
        <f>SUM(COUNTIFS('Data entry'!$R$6:$R$200,'Summary Data'!$A63,'Data entry'!$B$6:$B$200,{"Confirmed";"Probable"},'Data entry'!$AQ$6:$AQ$200,'Data Validation'!$V$9, 'Data entry'!$AP$6:$AP$200,'Data Validation'!$U$6, 'Data entry'!$BD$6:$BD$200,"&lt;&gt;*Negative*"))</f>
        <v>0</v>
      </c>
      <c r="BT63" s="15">
        <f>SUM(COUNTIFS('Data entry'!$R$6:$R$200,'Summary Data'!$A63,'Data entry'!$B$6:$B$200,{"Confirmed";"Probable"},'Data entry'!$AQ$6:$AQ$200,'Data Validation'!$V$10, 'Data entry'!$AP$6:$AP$200,'Data Validation'!$U$2, 'Data entry'!$BD$6:$BD$200,"&lt;&gt;*Negative*"))</f>
        <v>0</v>
      </c>
      <c r="BU63" s="15">
        <f>SUM(COUNTIFS('Data entry'!$R$6:$R$200,'Summary Data'!$A63,'Data entry'!$B$6:$B$200,{"Confirmed";"Probable"},'Data entry'!$AQ$6:$AQ$200,'Data Validation'!$V$10, 'Data entry'!$AP$6:$AP$200,'Data Validation'!$U$3, 'Data entry'!$BD$6:$BD$200,"&lt;&gt;*Negative*"))</f>
        <v>0</v>
      </c>
      <c r="BV63" s="15">
        <f>SUM(COUNTIFS('Data entry'!$R$6:$R$200,'Summary Data'!$A63,'Data entry'!$B$6:$B$200,{"Confirmed";"Probable"},'Data entry'!$AQ$6:$AQ$200,'Data Validation'!$V$10, 'Data entry'!$AP$6:$AP$200,'Data Validation'!$U$4, 'Data entry'!$BD$6:$BD$200,"&lt;&gt;*Negative*"))</f>
        <v>0</v>
      </c>
      <c r="BW63" s="15">
        <f>SUM(COUNTIFS('Data entry'!$R$6:$R$200,'Summary Data'!$A63,'Data entry'!$B$6:$B$200,{"Confirmed";"Probable"},'Data entry'!$AQ$6:$AQ$200,'Data Validation'!$V$10, 'Data entry'!$AP$6:$AP$200,'Data Validation'!$U$5, 'Data entry'!$BD$6:$BD$200,"&lt;&gt;*Negative*"))</f>
        <v>0</v>
      </c>
      <c r="BX63" s="15">
        <f>SUM(COUNTIFS('Data entry'!$R$6:$R$200,'Summary Data'!$A63,'Data entry'!$B$6:$B$200,{"Confirmed";"Probable"},'Data entry'!$AQ$6:$AQ$200,'Data Validation'!$V$10, 'Data entry'!$AP$6:$AP$200,'Data Validation'!$U$6, 'Data entry'!$BD$6:$BD$200,"&lt;&gt;*Negative*"))</f>
        <v>0</v>
      </c>
      <c r="BY63" s="15">
        <f>SUM(COUNTIFS('Data entry'!$R$6:$R$200,'Summary Data'!$A63,'Data entry'!$B$6:$B$200,{"Confirmed";"Probable"},'Data entry'!$AQ$6:$AQ$200,'Data Validation'!$V$11, 'Data entry'!$AP$6:$AP$200,'Data Validation'!$U$2, 'Data entry'!$BD$6:$BD$200,"&lt;&gt;*Negative*"))</f>
        <v>0</v>
      </c>
      <c r="BZ63" s="15">
        <f>SUM(COUNTIFS('Data entry'!$R$6:$R$200,'Summary Data'!$A63,'Data entry'!$B$6:$B$200,{"Confirmed";"Probable"},'Data entry'!$AQ$6:$AQ$200,'Data Validation'!$V$11, 'Data entry'!$AP$6:$AP$200,'Data Validation'!$U$3, 'Data entry'!$BD$6:$BD$200,"&lt;&gt;*Negative*"))</f>
        <v>0</v>
      </c>
      <c r="CA63" s="15">
        <f>SUM(COUNTIFS('Data entry'!$R$6:$R$200,'Summary Data'!$A63,'Data entry'!$B$6:$B$200,{"Confirmed";"Probable"},'Data entry'!$AQ$6:$AQ$200,'Data Validation'!$V$11, 'Data entry'!$AP$6:$AP$200,'Data Validation'!$U$4, 'Data entry'!$BD$6:$BD$200,"&lt;&gt;*Negative*"))</f>
        <v>0</v>
      </c>
      <c r="CB63" s="15">
        <f>SUM(COUNTIFS('Data entry'!$R$6:$R$200,'Summary Data'!$A63,'Data entry'!$B$6:$B$200,{"Confirmed";"Probable"},'Data entry'!$AQ$6:$AQ$200,'Data Validation'!$V$11, 'Data entry'!$AP$6:$AP$200,'Data Validation'!$U$5, 'Data entry'!$BD$6:$BD$200,"&lt;&gt;*Negative*"))</f>
        <v>0</v>
      </c>
      <c r="CC63" s="15">
        <f>SUM(COUNTIFS('Data entry'!$R$6:$R$200,'Summary Data'!$A63,'Data entry'!$B$6:$B$200,{"Confirmed";"Probable"},'Data entry'!$AQ$6:$AQ$200,'Data Validation'!$V$11, 'Data entry'!$AP$6:$AP$200,'Data Validation'!$U$6, 'Data entry'!$BD$6:$BD$200,"&lt;&gt;*Negative*"))</f>
        <v>0</v>
      </c>
    </row>
    <row r="64" spans="1:81" x14ac:dyDescent="0.25">
      <c r="A64" s="12">
        <f t="shared" si="5"/>
        <v>52</v>
      </c>
      <c r="B64" s="13">
        <f t="shared" si="2"/>
        <v>0</v>
      </c>
      <c r="C64" s="13">
        <f>COUNTIFS('Data entry'!$R$6:$R$200,$A64,'Data entry'!$B$6:$B$200,"Confirmed",'Data entry'!$BD$6:$BD$200,"&lt;&gt;*Negative*")</f>
        <v>0</v>
      </c>
      <c r="D64" s="13">
        <f>COUNTIFS('Data entry'!$R$6:$R$200,$A64,'Data entry'!$B$6:$B$200,"Probable",'Data entry'!$BD$6:$BD$200,"&lt;&gt;*Negative*")</f>
        <v>0</v>
      </c>
      <c r="E64" s="13">
        <f>COUNTIFS('Data entry'!$R$6:$R$200,$A64,'Data entry'!$B$6:$B$200,"DNM")</f>
        <v>0</v>
      </c>
      <c r="F64" s="13">
        <f>SUM(COUNTIFS('Data entry'!$R$6:$R$200,'Summary Data'!$A64,'Data entry'!$B$6:$B$200,{"Confirmed";"Probable"},'Data entry'!$AO$6:$AO$200,$F$10, 'Data entry'!$BD$6:$BD$200,"&lt;&gt;*Negative*"))</f>
        <v>0</v>
      </c>
      <c r="G64" s="13">
        <f>SUM(COUNTIFS('Data entry'!$R$6:$R$200,'Summary Data'!$A64,'Data entry'!$B$6:$B$200,{"Confirmed";"Probable"},'Data entry'!$AO$6:$AO$200,$G$10, 'Data entry'!$BD$6:$BD$200,"&lt;&gt;*Negative*"))</f>
        <v>0</v>
      </c>
      <c r="H64" s="13">
        <f>SUM(COUNTIFS('Data entry'!$R$6:$R$200,'Summary Data'!$A64,'Data entry'!$B$6:$B$200,{"Confirmed";"Probable"},'Data entry'!$AO$6:$AO$200,$H$10, 'Data entry'!$BD$6:$BD$200,"&lt;&gt;*Negative*"))</f>
        <v>0</v>
      </c>
      <c r="I64" s="13">
        <f>SUM(COUNTIFS('Data entry'!$R$6:$R$200,'Summary Data'!$A64,'Data entry'!$B$6:$B$200,{"Confirmed";"Probable"},'Data entry'!$AO$6:$AO$200,$I$10, 'Data entry'!$BD$6:$BD$200,"&lt;&gt;*Negative*"))</f>
        <v>0</v>
      </c>
      <c r="J64" s="13">
        <f>SUM(COUNTIFS('Data entry'!$R$6:$R$200,'Summary Data'!$A64,'Data entry'!$B$6:$B$200,{"Confirmed";"Probable"},'Data entry'!$AO$6:$AO$200,$J$10, 'Data entry'!$BD$6:$BD$200,"&lt;&gt;*Negative*"))</f>
        <v>0</v>
      </c>
      <c r="K64" s="13">
        <f>SUM(COUNTIFS('Data entry'!$R$6:$R$200,'Summary Data'!$A64,'Data entry'!$B$6:$B$200,{"Confirmed";"Probable"},'Data entry'!$AO$6:$AO$200,$K$10, 'Data entry'!$BD$6:$BD$200,"&lt;&gt;*Negative*"))</f>
        <v>0</v>
      </c>
      <c r="L64" s="13">
        <f>SUM(COUNTIFS('Data entry'!$R$6:$R$200,'Summary Data'!$A64,'Data entry'!$B$6:$B$200,{"Confirmed";"Probable"},'Data entry'!$AO$6:$AO$200,$L$10, 'Data entry'!$BD$6:$BD$200,"&lt;&gt;*Negative*"))</f>
        <v>0</v>
      </c>
      <c r="M64" s="13">
        <f>SUM(COUNTIFS('Data entry'!$R$6:$R$200,'Summary Data'!$A64,'Data entry'!$B$6:$B$200,{"Confirmed";"Probable"},'Data entry'!$AO$6:$AO$200,$M$10, 'Data entry'!$BD$6:$BD$200,"&lt;&gt;*Negative*"))</f>
        <v>0</v>
      </c>
      <c r="N64" s="13">
        <f>SUM(COUNTIFS('Data entry'!$R$6:$R$200,'Summary Data'!$A64,'Data entry'!$B$6:$B$200,{"Confirmed";"Probable"},'Data entry'!$AO$6:$AO$200,$N$10, 'Data entry'!$BD$6:$BD$200,"&lt;&gt;*Negative*"))</f>
        <v>0</v>
      </c>
      <c r="O64" s="15">
        <f t="shared" si="3"/>
        <v>0</v>
      </c>
      <c r="P64" s="15">
        <f t="shared" si="4"/>
        <v>0</v>
      </c>
      <c r="Q64" s="15">
        <f>SUM(COUNTIFS('Data entry'!$R$6:$R$200,'Summary Data'!$A64,'Data entry'!$B$6:$B$200,{"Confirmed";"Probable"},'Data entry'!$AP$6:$AP$200,'Data Validation'!$U$2, 'Data entry'!$BD$6:$BD$200,"&lt;&gt;*Negative*"))</f>
        <v>0</v>
      </c>
      <c r="R64" s="15">
        <f>SUM(COUNTIFS('Data entry'!$R$6:$R$200,'Summary Data'!$A64,'Data entry'!$B$6:$B$200,{"Confirmed";"Probable"},'Data entry'!$AP$6:$AP$200,'Data Validation'!$U$3, 'Data entry'!$BD$6:$BD$200,"&lt;&gt;*Negative*"))</f>
        <v>0</v>
      </c>
      <c r="S64" s="15">
        <f>SUM(COUNTIFS('Data entry'!$R$6:$R$200,'Summary Data'!$A64,'Data entry'!$B$6:$B$200,{"Confirmed";"Probable"},'Data entry'!$AP$6:$AP$200,'Data Validation'!$U$4, 'Data entry'!$BD$6:$BD$200,"&lt;&gt;*Negative*"))</f>
        <v>0</v>
      </c>
      <c r="T64" s="15">
        <f>SUM(COUNTIFS('Data entry'!$R$6:$R$200,'Summary Data'!$A64,'Data entry'!$B$6:$B$200,{"Confirmed";"Probable"},'Data entry'!$AP$6:$AP$200,'Data Validation'!$U$5, 'Data entry'!$BD$6:$BD$200,"&lt;&gt;*Negative*"))</f>
        <v>0</v>
      </c>
      <c r="U64" s="15">
        <f>SUM(COUNTIFS('Data entry'!$R$6:$R$200,'Summary Data'!$A64,'Data entry'!$B$6:$B$200,{"Confirmed";"Probable"},'Data entry'!$AP$6:$AP$200,'Data Validation'!$U$6, 'Data entry'!$BD$6:$BD$200,"&lt;&gt;*Negative*"))</f>
        <v>0</v>
      </c>
      <c r="V64" s="15">
        <f>SUM(COUNTIFS('Data entry'!$R$6:$R$200,'Summary Data'!$A64,'Data entry'!$B$6:$B$200,{"Confirmed";"Probable"},'Data entry'!$AQ$6:$AQ$200,'Data Validation'!$V$2, 'Data entry'!$BD$6:$BD$200,"&lt;&gt;*Negative*"))</f>
        <v>0</v>
      </c>
      <c r="W64" s="15">
        <f>SUM(COUNTIFS('Data entry'!$R$6:$R$200,'Summary Data'!$A64,'Data entry'!$B$6:$B$200,{"Confirmed";"Probable"},'Data entry'!$AQ$6:$AQ$200,'Data Validation'!$V$3, 'Data entry'!$BD$6:$BD$200,"&lt;&gt;*Negative*"))</f>
        <v>0</v>
      </c>
      <c r="X64" s="15">
        <f>SUM(COUNTIFS('Data entry'!$R$6:$R$200,'Summary Data'!$A64,'Data entry'!$B$6:$B$200,{"Confirmed";"Probable"},'Data entry'!$AQ$6:$AQ$200,'Data Validation'!$V$4, 'Data entry'!$BD$6:$BD$200,"&lt;&gt;*Negative*"))</f>
        <v>0</v>
      </c>
      <c r="Y64" s="15">
        <f>SUM(COUNTIFS('Data entry'!$R$6:$R$200,'Summary Data'!$A64,'Data entry'!$B$6:$B$200,{"Confirmed";"Probable"},'Data entry'!$AQ$6:$AQ$200,'Data Validation'!$V$5, 'Data entry'!$BD$6:$BD$200,"&lt;&gt;*Negative*"))</f>
        <v>0</v>
      </c>
      <c r="Z64" s="15">
        <f>SUM(COUNTIFS('Data entry'!$R$6:$R$200,'Summary Data'!$A64,'Data entry'!$B$6:$B$200,{"Confirmed";"Probable"},'Data entry'!$AQ$6:$AQ$200,'Data Validation'!$V$6, 'Data entry'!$BD$6:$BD$200,"&lt;&gt;*Negative*"))</f>
        <v>0</v>
      </c>
      <c r="AA64" s="15">
        <f>SUM(COUNTIFS('Data entry'!$R$6:$R$200,'Summary Data'!$A64,'Data entry'!$B$6:$B$200,{"Confirmed";"Probable"},'Data entry'!$AQ$6:$AQ$200,'Data Validation'!$V$7, 'Data entry'!$BD$6:$BD$200,"&lt;&gt;*Negative*"))</f>
        <v>0</v>
      </c>
      <c r="AB64" s="15">
        <f>SUM(COUNTIFS('Data entry'!$R$6:$R$200,'Summary Data'!$A64,'Data entry'!$B$6:$B$200,{"Confirmed";"Probable"},'Data entry'!$AQ$6:$AQ$200,'Data Validation'!$V$8, 'Data entry'!$BD$6:$BD$200,"&lt;&gt;*Negative*"))</f>
        <v>0</v>
      </c>
      <c r="AC64" s="15">
        <f>SUM(COUNTIFS('Data entry'!$R$6:$R$200,'Summary Data'!$A64,'Data entry'!$B$6:$B$200,{"Confirmed";"Probable"},'Data entry'!$AQ$6:$AQ$200,'Data Validation'!$V$9, 'Data entry'!$BD$6:$BD$200,"&lt;&gt;*Negative*"))</f>
        <v>0</v>
      </c>
      <c r="AD64" s="15">
        <f>SUM(COUNTIFS('Data entry'!$R$6:$R$200,'Summary Data'!$A64,'Data entry'!$B$6:$B$200,{"Confirmed";"Probable"},'Data entry'!$AQ$6:$AQ$200,'Data Validation'!$V$10, 'Data entry'!$BD$6:$BD$200,"&lt;&gt;*Negative*"))</f>
        <v>0</v>
      </c>
      <c r="AE64" s="15">
        <f>SUM(COUNTIFS('Data entry'!$R$6:$R$200,'Summary Data'!$A64,'Data entry'!$B$6:$B$200,{"Confirmed";"Probable"},'Data entry'!$AQ$6:$AQ$200,'Data Validation'!$V$11, 'Data entry'!$BD$6:$BD$200,"&lt;&gt;*Negative*"))</f>
        <v>0</v>
      </c>
      <c r="AF64" s="15">
        <f>SUM(COUNTIFS('Data entry'!$R$6:$R$200,'Summary Data'!$A64,'Data entry'!$B$6:$B$200,{"Confirmed";"Probable"},'Data entry'!$AQ$6:$AQ$200,'Data Validation'!$V$2, 'Data entry'!$AP$6:$AP$200,'Data Validation'!$U$2, 'Data entry'!$BD$6:$BD$200,"&lt;&gt;*Negative*"))</f>
        <v>0</v>
      </c>
      <c r="AG64" s="15">
        <f>SUM(COUNTIFS('Data entry'!$R$6:$R$200,'Summary Data'!$A64,'Data entry'!$B$6:$B$200,{"Confirmed";"Probable"},'Data entry'!$AQ$6:$AQ$200,'Data Validation'!$V$2, 'Data entry'!$AP$6:$AP$200,'Data Validation'!$U$3, 'Data entry'!$BD$6:$BD$200,"&lt;&gt;*Negative*"))</f>
        <v>0</v>
      </c>
      <c r="AH64" s="15">
        <f>SUM(COUNTIFS('Data entry'!$R$6:$R$200,'Summary Data'!$A64,'Data entry'!$B$6:$B$200,{"Confirmed";"Probable"},'Data entry'!$AQ$6:$AQ$200,'Data Validation'!$V$2, 'Data entry'!$AP$6:$AP$200,'Data Validation'!$U$4, 'Data entry'!$BD$6:$BD$200,"&lt;&gt;*Negative*"))</f>
        <v>0</v>
      </c>
      <c r="AI64" s="15">
        <f>SUM(COUNTIFS('Data entry'!$R$6:$R$200,'Summary Data'!$A64,'Data entry'!$B$6:$B$200,{"Confirmed";"Probable"},'Data entry'!$AQ$6:$AQ$200,'Data Validation'!$V$2, 'Data entry'!$AP$6:$AP$200,'Data Validation'!$U$5, 'Data entry'!$BD$6:$BD$200,"&lt;&gt;*Negative*"))</f>
        <v>0</v>
      </c>
      <c r="AJ64" s="15">
        <f>SUM(COUNTIFS('Data entry'!$R$6:$R$200,'Summary Data'!$A64,'Data entry'!$B$6:$B$200,{"Confirmed";"Probable"},'Data entry'!$AQ$6:$AQ$200,'Data Validation'!$V$2, 'Data entry'!$AP$6:$AP$200,'Data Validation'!$U$6, 'Data entry'!$BD$6:$BD$200,"&lt;&gt;*Negative*"))</f>
        <v>0</v>
      </c>
      <c r="AK64" s="15">
        <f>SUM(COUNTIFS('Data entry'!$R$6:$R$200,'Summary Data'!$A64,'Data entry'!$B$6:$B$200,{"Confirmed";"Probable"},'Data entry'!$AQ$6:$AQ$200,'Data Validation'!$V$3, 'Data entry'!$AP$6:$AP$200,'Data Validation'!$U$2, 'Data entry'!$BD$6:$BD$200,"&lt;&gt;*Negative*"))</f>
        <v>0</v>
      </c>
      <c r="AL64" s="15">
        <f>SUM(COUNTIFS('Data entry'!$R$6:$R$200,'Summary Data'!$A64,'Data entry'!$B$6:$B$200,{"Confirmed";"Probable"},'Data entry'!$AQ$6:$AQ$200,'Data Validation'!$V$3, 'Data entry'!$AP$6:$AP$200,'Data Validation'!$U$3, 'Data entry'!$BD$6:$BD$200,"&lt;&gt;*Negative*"))</f>
        <v>0</v>
      </c>
      <c r="AM64" s="15">
        <f>SUM(COUNTIFS('Data entry'!$R$6:$R$200,'Summary Data'!$A64,'Data entry'!$B$6:$B$200,{"Confirmed";"Probable"},'Data entry'!$AQ$6:$AQ$200,'Data Validation'!$V$3, 'Data entry'!$AP$6:$AP$200,'Data Validation'!$U$4, 'Data entry'!$BD$6:$BD$200,"&lt;&gt;*Negative*"))</f>
        <v>0</v>
      </c>
      <c r="AN64" s="15">
        <f>SUM(COUNTIFS('Data entry'!$R$6:$R$200,'Summary Data'!$A64,'Data entry'!$B$6:$B$200,{"Confirmed";"Probable"},'Data entry'!$AQ$6:$AQ$200,'Data Validation'!$V$3, 'Data entry'!$AP$6:$AP$200,'Data Validation'!$U$5, 'Data entry'!$BD$6:$BD$200,"&lt;&gt;*Negative*"))</f>
        <v>0</v>
      </c>
      <c r="AO64" s="15">
        <f>SUM(COUNTIFS('Data entry'!$R$6:$R$200,'Summary Data'!$A64,'Data entry'!$B$6:$B$200,{"Confirmed";"Probable"},'Data entry'!$AQ$6:$AQ$200,'Data Validation'!$V$3, 'Data entry'!$AP$6:$AP$200,'Data Validation'!$U$6, 'Data entry'!$BD$6:$BD$200,"&lt;&gt;*Negative*"))</f>
        <v>0</v>
      </c>
      <c r="AP64" s="15">
        <f>SUM(COUNTIFS('Data entry'!$R$6:$R$200,'Summary Data'!$A64,'Data entry'!$B$6:$B$200,{"Confirmed";"Probable"},'Data entry'!$AQ$6:$AQ$200,'Data Validation'!$V$4, 'Data entry'!$AP$6:$AP$200,'Data Validation'!$U$2, 'Data entry'!$BD$6:$BD$200,"&lt;&gt;*Negative*"))</f>
        <v>0</v>
      </c>
      <c r="AQ64" s="15">
        <f>SUM(COUNTIFS('Data entry'!$R$6:$R$200,'Summary Data'!$A64,'Data entry'!$B$6:$B$200,{"Confirmed";"Probable"},'Data entry'!$AQ$6:$AQ$200,'Data Validation'!$V$4, 'Data entry'!$AP$6:$AP$200,'Data Validation'!$U$3, 'Data entry'!$BD$6:$BD$200,"&lt;&gt;*Negative*"))</f>
        <v>0</v>
      </c>
      <c r="AR64" s="15">
        <f>SUM(COUNTIFS('Data entry'!$R$6:$R$200,'Summary Data'!$A64,'Data entry'!$B$6:$B$200,{"Confirmed";"Probable"},'Data entry'!$AQ$6:$AQ$200,'Data Validation'!$V$4, 'Data entry'!$AP$6:$AP$200,'Data Validation'!$U$4, 'Data entry'!$BD$6:$BD$200,"&lt;&gt;*Negative*"))</f>
        <v>0</v>
      </c>
      <c r="AS64" s="15">
        <f>SUM(COUNTIFS('Data entry'!$R$6:$R$200,'Summary Data'!$A64,'Data entry'!$B$6:$B$200,{"Confirmed";"Probable"},'Data entry'!$AQ$6:$AQ$200,'Data Validation'!$V$4, 'Data entry'!$AP$6:$AP$200,'Data Validation'!$U$5, 'Data entry'!$BD$6:$BD$200,"&lt;&gt;*Negative*"))</f>
        <v>0</v>
      </c>
      <c r="AT64" s="15">
        <f>SUM(COUNTIFS('Data entry'!$R$6:$R$200,'Summary Data'!$A64,'Data entry'!$B$6:$B$200,{"Confirmed";"Probable"},'Data entry'!$AQ$6:$AQ$200,'Data Validation'!$V$4, 'Data entry'!$AP$6:$AP$200,'Data Validation'!$U$6, 'Data entry'!$BD$6:$BD$200,"&lt;&gt;*Negative*"))</f>
        <v>0</v>
      </c>
      <c r="AU64" s="15">
        <f>SUM(COUNTIFS('Data entry'!$R$6:$R$200,'Summary Data'!$A64,'Data entry'!$B$6:$B$200,{"Confirmed";"Probable"},'Data entry'!$AQ$6:$AQ$200,'Data Validation'!$V$5, 'Data entry'!$AP$6:$AP$200,'Data Validation'!$U$2, 'Data entry'!$BD$6:$BD$200,"&lt;&gt;*Negative*"))</f>
        <v>0</v>
      </c>
      <c r="AV64" s="15">
        <f>SUM(COUNTIFS('Data entry'!$R$6:$R$200,'Summary Data'!$A64,'Data entry'!$B$6:$B$200,{"Confirmed";"Probable"},'Data entry'!$AQ$6:$AQ$200,'Data Validation'!$V$5, 'Data entry'!$AP$6:$AP$200,'Data Validation'!$U$3, 'Data entry'!$BD$6:$BD$200,"&lt;&gt;*Negative*"))</f>
        <v>0</v>
      </c>
      <c r="AW64" s="15">
        <f>SUM(COUNTIFS('Data entry'!$R$6:$R$200,'Summary Data'!$A64,'Data entry'!$B$6:$B$200,{"Confirmed";"Probable"},'Data entry'!$AQ$6:$AQ$200,'Data Validation'!$V$5, 'Data entry'!$AP$6:$AP$200,'Data Validation'!$U$4, 'Data entry'!$BD$6:$BD$200,"&lt;&gt;*Negative*"))</f>
        <v>0</v>
      </c>
      <c r="AX64" s="15">
        <f>SUM(COUNTIFS('Data entry'!$R$6:$R$200,'Summary Data'!$A64,'Data entry'!$B$6:$B$200,{"Confirmed";"Probable"},'Data entry'!$AQ$6:$AQ$200,'Data Validation'!$V$5, 'Data entry'!$AP$6:$AP$200,'Data Validation'!$U$5, 'Data entry'!$BD$6:$BD$200,"&lt;&gt;*Negative*"))</f>
        <v>0</v>
      </c>
      <c r="AY64" s="15">
        <f>SUM(COUNTIFS('Data entry'!$R$6:$R$200,'Summary Data'!$A64,'Data entry'!$B$6:$B$200,{"Confirmed";"Probable"},'Data entry'!$AQ$6:$AQ$200,'Data Validation'!$V$5, 'Data entry'!$AP$6:$AP$200,'Data Validation'!$U$6, 'Data entry'!$BD$6:$BD$200,"&lt;&gt;*Negative*"))</f>
        <v>0</v>
      </c>
      <c r="AZ64" s="15">
        <f>SUM(COUNTIFS('Data entry'!$R$6:$R$200,'Summary Data'!$A64,'Data entry'!$B$6:$B$200,{"Confirmed";"Probable"},'Data entry'!$AQ$6:$AQ$200,'Data Validation'!$V$6, 'Data entry'!$AP$6:$AP$200,'Data Validation'!$U$2, 'Data entry'!$BD$6:$BD$200,"&lt;&gt;*Negative*"))</f>
        <v>0</v>
      </c>
      <c r="BA64" s="15">
        <f>SUM(COUNTIFS('Data entry'!$R$6:$R$200,'Summary Data'!$A64,'Data entry'!$B$6:$B$200,{"Confirmed";"Probable"},'Data entry'!$AQ$6:$AQ$200,'Data Validation'!$V$6, 'Data entry'!$AP$6:$AP$200,'Data Validation'!$U$3, 'Data entry'!$BD$6:$BD$200,"&lt;&gt;*Negative*"))</f>
        <v>0</v>
      </c>
      <c r="BB64" s="15">
        <f>SUM(COUNTIFS('Data entry'!$R$6:$R$200,'Summary Data'!$A64,'Data entry'!$B$6:$B$200,{"Confirmed";"Probable"},'Data entry'!$AQ$6:$AQ$200,'Data Validation'!$V$6, 'Data entry'!$AP$6:$AP$200,'Data Validation'!$U$4, 'Data entry'!$BD$6:$BD$200,"&lt;&gt;*Negative*"))</f>
        <v>0</v>
      </c>
      <c r="BC64" s="15">
        <f>SUM(COUNTIFS('Data entry'!$R$6:$R$200,'Summary Data'!$A64,'Data entry'!$B$6:$B$200,{"Confirmed";"Probable"},'Data entry'!$AQ$6:$AQ$200,'Data Validation'!$V$6, 'Data entry'!$AP$6:$AP$200,'Data Validation'!$U$5, 'Data entry'!$BD$6:$BD$200,"&lt;&gt;*Negative*"))</f>
        <v>0</v>
      </c>
      <c r="BD64" s="15">
        <f>SUM(COUNTIFS('Data entry'!$R$6:$R$200,'Summary Data'!$A64,'Data entry'!$B$6:$B$200,{"Confirmed";"Probable"},'Data entry'!$AQ$6:$AQ$200,'Data Validation'!$V$6, 'Data entry'!$AP$6:$AP$200,'Data Validation'!$U$6, 'Data entry'!$BD$6:$BD$200,"&lt;&gt;*Negative*"))</f>
        <v>0</v>
      </c>
      <c r="BE64" s="15">
        <f>SUM(COUNTIFS('Data entry'!$R$6:$R$200,'Summary Data'!$A64,'Data entry'!$B$6:$B$200,{"Confirmed";"Probable"},'Data entry'!$AQ$6:$AQ$200,'Data Validation'!$V$7, 'Data entry'!$AP$6:$AP$200,'Data Validation'!$U$2, 'Data entry'!$BD$6:$BD$200,"&lt;&gt;*Negative*"))</f>
        <v>0</v>
      </c>
      <c r="BF64" s="15">
        <f>SUM(COUNTIFS('Data entry'!$R$6:$R$200,'Summary Data'!$A64,'Data entry'!$B$6:$B$200,{"Confirmed";"Probable"},'Data entry'!$AQ$6:$AQ$200,'Data Validation'!$V$7, 'Data entry'!$AP$6:$AP$200,'Data Validation'!$U$3, 'Data entry'!$BD$6:$BD$200,"&lt;&gt;*Negative*"))</f>
        <v>0</v>
      </c>
      <c r="BG64" s="15">
        <f>SUM(COUNTIFS('Data entry'!$R$6:$R$200,'Summary Data'!$A64,'Data entry'!$B$6:$B$200,{"Confirmed";"Probable"},'Data entry'!$AQ$6:$AQ$200,'Data Validation'!$V$7, 'Data entry'!$AP$6:$AP$200,'Data Validation'!$U$4, 'Data entry'!$BD$6:$BD$200,"&lt;&gt;*Negative*"))</f>
        <v>0</v>
      </c>
      <c r="BH64" s="15">
        <f>SUM(COUNTIFS('Data entry'!$R$6:$R$200,'Summary Data'!$A64,'Data entry'!$B$6:$B$200,{"Confirmed";"Probable"},'Data entry'!$AQ$6:$AQ$200,'Data Validation'!$V$7, 'Data entry'!$AP$6:$AP$200,'Data Validation'!$U$5, 'Data entry'!$BD$6:$BD$200,"&lt;&gt;*Negative*"))</f>
        <v>0</v>
      </c>
      <c r="BI64" s="15">
        <f>SUM(COUNTIFS('Data entry'!$R$6:$R$200,'Summary Data'!$A64,'Data entry'!$B$6:$B$200,{"Confirmed";"Probable"},'Data entry'!$AQ$6:$AQ$200,'Data Validation'!$V$7, 'Data entry'!$AP$6:$AP$200,'Data Validation'!$U$6, 'Data entry'!$BD$6:$BD$200,"&lt;&gt;*Negative*"))</f>
        <v>0</v>
      </c>
      <c r="BJ64" s="15">
        <f>SUM(COUNTIFS('Data entry'!$R$6:$R$200,'Summary Data'!$A64,'Data entry'!$B$6:$B$200,{"Confirmed";"Probable"},'Data entry'!$AQ$6:$AQ$200,'Data Validation'!$V$8, 'Data entry'!$AP$6:$AP$200,'Data Validation'!$U$2, 'Data entry'!$BD$6:$BD$200,"&lt;&gt;*Negative*"))</f>
        <v>0</v>
      </c>
      <c r="BK64" s="15">
        <f>SUM(COUNTIFS('Data entry'!$R$6:$R$200,'Summary Data'!$A64,'Data entry'!$B$6:$B$200,{"Confirmed";"Probable"},'Data entry'!$AQ$6:$AQ$200,'Data Validation'!$V$8, 'Data entry'!$AP$6:$AP$200,'Data Validation'!$U$3, 'Data entry'!$BD$6:$BD$200,"&lt;&gt;*Negative*"))</f>
        <v>0</v>
      </c>
      <c r="BL64" s="15">
        <f>SUM(COUNTIFS('Data entry'!$R$6:$R$200,'Summary Data'!$A64,'Data entry'!$B$6:$B$200,{"Confirmed";"Probable"},'Data entry'!$AQ$6:$AQ$200,'Data Validation'!$V$8, 'Data entry'!$AP$6:$AP$200,'Data Validation'!$U$4, 'Data entry'!$BD$6:$BD$200,"&lt;&gt;*Negative*"))</f>
        <v>0</v>
      </c>
      <c r="BM64" s="15">
        <f>SUM(COUNTIFS('Data entry'!$R$6:$R$200,'Summary Data'!$A64,'Data entry'!$B$6:$B$200,{"Confirmed";"Probable"},'Data entry'!$AQ$6:$AQ$200,'Data Validation'!$V$8, 'Data entry'!$AP$6:$AP$200,'Data Validation'!$U$5, 'Data entry'!$BD$6:$BD$200,"&lt;&gt;*Negative*"))</f>
        <v>0</v>
      </c>
      <c r="BN64" s="15">
        <f>SUM(COUNTIFS('Data entry'!$R$6:$R$200,'Summary Data'!$A64,'Data entry'!$B$6:$B$200,{"Confirmed";"Probable"},'Data entry'!$AQ$6:$AQ$200,'Data Validation'!$V$8, 'Data entry'!$AP$6:$AP$200,'Data Validation'!$U$6, 'Data entry'!$BD$6:$BD$200,"&lt;&gt;*Negative*"))</f>
        <v>0</v>
      </c>
      <c r="BO64" s="15">
        <f>SUM(COUNTIFS('Data entry'!$R$6:$R$200,'Summary Data'!$A64,'Data entry'!$B$6:$B$200,{"Confirmed";"Probable"},'Data entry'!$AQ$6:$AQ$200,'Data Validation'!$V$9, 'Data entry'!$AP$6:$AP$200,'Data Validation'!$U$2, 'Data entry'!$BD$6:$BD$200,"&lt;&gt;*Negative*"))</f>
        <v>0</v>
      </c>
      <c r="BP64" s="15">
        <f>SUM(COUNTIFS('Data entry'!$R$6:$R$200,'Summary Data'!$A64,'Data entry'!$B$6:$B$200,{"Confirmed";"Probable"},'Data entry'!$AQ$6:$AQ$200,'Data Validation'!$V$9, 'Data entry'!$AP$6:$AP$200,'Data Validation'!$U$3, 'Data entry'!$BD$6:$BD$200,"&lt;&gt;*Negative*"))</f>
        <v>0</v>
      </c>
      <c r="BQ64" s="15">
        <f>SUM(COUNTIFS('Data entry'!$R$6:$R$200,'Summary Data'!$A64,'Data entry'!$B$6:$B$200,{"Confirmed";"Probable"},'Data entry'!$AQ$6:$AQ$200,'Data Validation'!$V$9, 'Data entry'!$AP$6:$AP$200,'Data Validation'!$U$4, 'Data entry'!$BD$6:$BD$200,"&lt;&gt;*Negative*"))</f>
        <v>0</v>
      </c>
      <c r="BR64" s="15">
        <f>SUM(COUNTIFS('Data entry'!$R$6:$R$200,'Summary Data'!$A64,'Data entry'!$B$6:$B$200,{"Confirmed";"Probable"},'Data entry'!$AQ$6:$AQ$200,'Data Validation'!$V$9, 'Data entry'!$AP$6:$AP$200,'Data Validation'!$U$5, 'Data entry'!$BD$6:$BD$200,"&lt;&gt;*Negative*"))</f>
        <v>0</v>
      </c>
      <c r="BS64" s="15">
        <f>SUM(COUNTIFS('Data entry'!$R$6:$R$200,'Summary Data'!$A64,'Data entry'!$B$6:$B$200,{"Confirmed";"Probable"},'Data entry'!$AQ$6:$AQ$200,'Data Validation'!$V$9, 'Data entry'!$AP$6:$AP$200,'Data Validation'!$U$6, 'Data entry'!$BD$6:$BD$200,"&lt;&gt;*Negative*"))</f>
        <v>0</v>
      </c>
      <c r="BT64" s="15">
        <f>SUM(COUNTIFS('Data entry'!$R$6:$R$200,'Summary Data'!$A64,'Data entry'!$B$6:$B$200,{"Confirmed";"Probable"},'Data entry'!$AQ$6:$AQ$200,'Data Validation'!$V$10, 'Data entry'!$AP$6:$AP$200,'Data Validation'!$U$2, 'Data entry'!$BD$6:$BD$200,"&lt;&gt;*Negative*"))</f>
        <v>0</v>
      </c>
      <c r="BU64" s="15">
        <f>SUM(COUNTIFS('Data entry'!$R$6:$R$200,'Summary Data'!$A64,'Data entry'!$B$6:$B$200,{"Confirmed";"Probable"},'Data entry'!$AQ$6:$AQ$200,'Data Validation'!$V$10, 'Data entry'!$AP$6:$AP$200,'Data Validation'!$U$3, 'Data entry'!$BD$6:$BD$200,"&lt;&gt;*Negative*"))</f>
        <v>0</v>
      </c>
      <c r="BV64" s="15">
        <f>SUM(COUNTIFS('Data entry'!$R$6:$R$200,'Summary Data'!$A64,'Data entry'!$B$6:$B$200,{"Confirmed";"Probable"},'Data entry'!$AQ$6:$AQ$200,'Data Validation'!$V$10, 'Data entry'!$AP$6:$AP$200,'Data Validation'!$U$4, 'Data entry'!$BD$6:$BD$200,"&lt;&gt;*Negative*"))</f>
        <v>0</v>
      </c>
      <c r="BW64" s="15">
        <f>SUM(COUNTIFS('Data entry'!$R$6:$R$200,'Summary Data'!$A64,'Data entry'!$B$6:$B$200,{"Confirmed";"Probable"},'Data entry'!$AQ$6:$AQ$200,'Data Validation'!$V$10, 'Data entry'!$AP$6:$AP$200,'Data Validation'!$U$5, 'Data entry'!$BD$6:$BD$200,"&lt;&gt;*Negative*"))</f>
        <v>0</v>
      </c>
      <c r="BX64" s="15">
        <f>SUM(COUNTIFS('Data entry'!$R$6:$R$200,'Summary Data'!$A64,'Data entry'!$B$6:$B$200,{"Confirmed";"Probable"},'Data entry'!$AQ$6:$AQ$200,'Data Validation'!$V$10, 'Data entry'!$AP$6:$AP$200,'Data Validation'!$U$6, 'Data entry'!$BD$6:$BD$200,"&lt;&gt;*Negative*"))</f>
        <v>0</v>
      </c>
      <c r="BY64" s="15">
        <f>SUM(COUNTIFS('Data entry'!$R$6:$R$200,'Summary Data'!$A64,'Data entry'!$B$6:$B$200,{"Confirmed";"Probable"},'Data entry'!$AQ$6:$AQ$200,'Data Validation'!$V$11, 'Data entry'!$AP$6:$AP$200,'Data Validation'!$U$2, 'Data entry'!$BD$6:$BD$200,"&lt;&gt;*Negative*"))</f>
        <v>0</v>
      </c>
      <c r="BZ64" s="15">
        <f>SUM(COUNTIFS('Data entry'!$R$6:$R$200,'Summary Data'!$A64,'Data entry'!$B$6:$B$200,{"Confirmed";"Probable"},'Data entry'!$AQ$6:$AQ$200,'Data Validation'!$V$11, 'Data entry'!$AP$6:$AP$200,'Data Validation'!$U$3, 'Data entry'!$BD$6:$BD$200,"&lt;&gt;*Negative*"))</f>
        <v>0</v>
      </c>
      <c r="CA64" s="15">
        <f>SUM(COUNTIFS('Data entry'!$R$6:$R$200,'Summary Data'!$A64,'Data entry'!$B$6:$B$200,{"Confirmed";"Probable"},'Data entry'!$AQ$6:$AQ$200,'Data Validation'!$V$11, 'Data entry'!$AP$6:$AP$200,'Data Validation'!$U$4, 'Data entry'!$BD$6:$BD$200,"&lt;&gt;*Negative*"))</f>
        <v>0</v>
      </c>
      <c r="CB64" s="15">
        <f>SUM(COUNTIFS('Data entry'!$R$6:$R$200,'Summary Data'!$A64,'Data entry'!$B$6:$B$200,{"Confirmed";"Probable"},'Data entry'!$AQ$6:$AQ$200,'Data Validation'!$V$11, 'Data entry'!$AP$6:$AP$200,'Data Validation'!$U$5, 'Data entry'!$BD$6:$BD$200,"&lt;&gt;*Negative*"))</f>
        <v>0</v>
      </c>
      <c r="CC64" s="15">
        <f>SUM(COUNTIFS('Data entry'!$R$6:$R$200,'Summary Data'!$A64,'Data entry'!$B$6:$B$200,{"Confirmed";"Probable"},'Data entry'!$AQ$6:$AQ$200,'Data Validation'!$V$11, 'Data entry'!$AP$6:$AP$200,'Data Validation'!$U$6, 'Data entry'!$BD$6:$BD$200,"&lt;&gt;*Negative*"))</f>
        <v>0</v>
      </c>
    </row>
    <row r="65" spans="1:81" x14ac:dyDescent="0.25">
      <c r="A65" s="12">
        <f t="shared" si="5"/>
        <v>53</v>
      </c>
      <c r="B65" s="13">
        <f t="shared" si="2"/>
        <v>0</v>
      </c>
      <c r="C65" s="13">
        <f>COUNTIFS('Data entry'!$R$6:$R$200,$A65,'Data entry'!$B$6:$B$200,"Confirmed",'Data entry'!$BD$6:$BD$200,"&lt;&gt;*Negative*")</f>
        <v>0</v>
      </c>
      <c r="D65" s="13">
        <f>COUNTIFS('Data entry'!$R$6:$R$200,$A65,'Data entry'!$B$6:$B$200,"Probable",'Data entry'!$BD$6:$BD$200,"&lt;&gt;*Negative*")</f>
        <v>0</v>
      </c>
      <c r="E65" s="13">
        <f>COUNTIFS('Data entry'!$R$6:$R$200,$A65,'Data entry'!$B$6:$B$200,"DNM")</f>
        <v>0</v>
      </c>
      <c r="F65" s="13">
        <f>SUM(COUNTIFS('Data entry'!$R$6:$R$200,'Summary Data'!$A65,'Data entry'!$B$6:$B$200,{"Confirmed";"Probable"},'Data entry'!$AO$6:$AO$200,$F$10, 'Data entry'!$BD$6:$BD$200,"&lt;&gt;*Negative*"))</f>
        <v>0</v>
      </c>
      <c r="G65" s="13">
        <f>SUM(COUNTIFS('Data entry'!$R$6:$R$200,'Summary Data'!$A65,'Data entry'!$B$6:$B$200,{"Confirmed";"Probable"},'Data entry'!$AO$6:$AO$200,$G$10, 'Data entry'!$BD$6:$BD$200,"&lt;&gt;*Negative*"))</f>
        <v>0</v>
      </c>
      <c r="H65" s="13">
        <f>SUM(COUNTIFS('Data entry'!$R$6:$R$200,'Summary Data'!$A65,'Data entry'!$B$6:$B$200,{"Confirmed";"Probable"},'Data entry'!$AO$6:$AO$200,$H$10, 'Data entry'!$BD$6:$BD$200,"&lt;&gt;*Negative*"))</f>
        <v>0</v>
      </c>
      <c r="I65" s="13">
        <f>SUM(COUNTIFS('Data entry'!$R$6:$R$200,'Summary Data'!$A65,'Data entry'!$B$6:$B$200,{"Confirmed";"Probable"},'Data entry'!$AO$6:$AO$200,$I$10, 'Data entry'!$BD$6:$BD$200,"&lt;&gt;*Negative*"))</f>
        <v>0</v>
      </c>
      <c r="J65" s="13">
        <f>SUM(COUNTIFS('Data entry'!$R$6:$R$200,'Summary Data'!$A65,'Data entry'!$B$6:$B$200,{"Confirmed";"Probable"},'Data entry'!$AO$6:$AO$200,$J$10, 'Data entry'!$BD$6:$BD$200,"&lt;&gt;*Negative*"))</f>
        <v>0</v>
      </c>
      <c r="K65" s="13">
        <f>SUM(COUNTIFS('Data entry'!$R$6:$R$200,'Summary Data'!$A65,'Data entry'!$B$6:$B$200,{"Confirmed";"Probable"},'Data entry'!$AO$6:$AO$200,$K$10, 'Data entry'!$BD$6:$BD$200,"&lt;&gt;*Negative*"))</f>
        <v>0</v>
      </c>
      <c r="L65" s="13">
        <f>SUM(COUNTIFS('Data entry'!$R$6:$R$200,'Summary Data'!$A65,'Data entry'!$B$6:$B$200,{"Confirmed";"Probable"},'Data entry'!$AO$6:$AO$200,$L$10, 'Data entry'!$BD$6:$BD$200,"&lt;&gt;*Negative*"))</f>
        <v>0</v>
      </c>
      <c r="M65" s="13">
        <f>SUM(COUNTIFS('Data entry'!$R$6:$R$200,'Summary Data'!$A65,'Data entry'!$B$6:$B$200,{"Confirmed";"Probable"},'Data entry'!$AO$6:$AO$200,$M$10, 'Data entry'!$BD$6:$BD$200,"&lt;&gt;*Negative*"))</f>
        <v>0</v>
      </c>
      <c r="N65" s="13">
        <f>SUM(COUNTIFS('Data entry'!$R$6:$R$200,'Summary Data'!$A65,'Data entry'!$B$6:$B$200,{"Confirmed";"Probable"},'Data entry'!$AO$6:$AO$200,$N$10, 'Data entry'!$BD$6:$BD$200,"&lt;&gt;*Negative*"))</f>
        <v>0</v>
      </c>
      <c r="O65" s="15">
        <f t="shared" si="3"/>
        <v>0</v>
      </c>
      <c r="P65" s="15">
        <f t="shared" si="4"/>
        <v>0</v>
      </c>
      <c r="Q65" s="15">
        <f>SUM(COUNTIFS('Data entry'!$R$6:$R$200,'Summary Data'!$A65,'Data entry'!$B$6:$B$200,{"Confirmed";"Probable"},'Data entry'!$AP$6:$AP$200,'Data Validation'!$U$2, 'Data entry'!$BD$6:$BD$200,"&lt;&gt;*Negative*"))</f>
        <v>0</v>
      </c>
      <c r="R65" s="15">
        <f>SUM(COUNTIFS('Data entry'!$R$6:$R$200,'Summary Data'!$A65,'Data entry'!$B$6:$B$200,{"Confirmed";"Probable"},'Data entry'!$AP$6:$AP$200,'Data Validation'!$U$3, 'Data entry'!$BD$6:$BD$200,"&lt;&gt;*Negative*"))</f>
        <v>0</v>
      </c>
      <c r="S65" s="15">
        <f>SUM(COUNTIFS('Data entry'!$R$6:$R$200,'Summary Data'!$A65,'Data entry'!$B$6:$B$200,{"Confirmed";"Probable"},'Data entry'!$AP$6:$AP$200,'Data Validation'!$U$4, 'Data entry'!$BD$6:$BD$200,"&lt;&gt;*Negative*"))</f>
        <v>0</v>
      </c>
      <c r="T65" s="15">
        <f>SUM(COUNTIFS('Data entry'!$R$6:$R$200,'Summary Data'!$A65,'Data entry'!$B$6:$B$200,{"Confirmed";"Probable"},'Data entry'!$AP$6:$AP$200,'Data Validation'!$U$5, 'Data entry'!$BD$6:$BD$200,"&lt;&gt;*Negative*"))</f>
        <v>0</v>
      </c>
      <c r="U65" s="15">
        <f>SUM(COUNTIFS('Data entry'!$R$6:$R$200,'Summary Data'!$A65,'Data entry'!$B$6:$B$200,{"Confirmed";"Probable"},'Data entry'!$AP$6:$AP$200,'Data Validation'!$U$6, 'Data entry'!$BD$6:$BD$200,"&lt;&gt;*Negative*"))</f>
        <v>0</v>
      </c>
      <c r="V65" s="15">
        <f>SUM(COUNTIFS('Data entry'!$R$6:$R$200,'Summary Data'!$A65,'Data entry'!$B$6:$B$200,{"Confirmed";"Probable"},'Data entry'!$AQ$6:$AQ$200,'Data Validation'!$V$2, 'Data entry'!$BD$6:$BD$200,"&lt;&gt;*Negative*"))</f>
        <v>0</v>
      </c>
      <c r="W65" s="15">
        <f>SUM(COUNTIFS('Data entry'!$R$6:$R$200,'Summary Data'!$A65,'Data entry'!$B$6:$B$200,{"Confirmed";"Probable"},'Data entry'!$AQ$6:$AQ$200,'Data Validation'!$V$3, 'Data entry'!$BD$6:$BD$200,"&lt;&gt;*Negative*"))</f>
        <v>0</v>
      </c>
      <c r="X65" s="15">
        <f>SUM(COUNTIFS('Data entry'!$R$6:$R$200,'Summary Data'!$A65,'Data entry'!$B$6:$B$200,{"Confirmed";"Probable"},'Data entry'!$AQ$6:$AQ$200,'Data Validation'!$V$4, 'Data entry'!$BD$6:$BD$200,"&lt;&gt;*Negative*"))</f>
        <v>0</v>
      </c>
      <c r="Y65" s="15">
        <f>SUM(COUNTIFS('Data entry'!$R$6:$R$200,'Summary Data'!$A65,'Data entry'!$B$6:$B$200,{"Confirmed";"Probable"},'Data entry'!$AQ$6:$AQ$200,'Data Validation'!$V$5, 'Data entry'!$BD$6:$BD$200,"&lt;&gt;*Negative*"))</f>
        <v>0</v>
      </c>
      <c r="Z65" s="15">
        <f>SUM(COUNTIFS('Data entry'!$R$6:$R$200,'Summary Data'!$A65,'Data entry'!$B$6:$B$200,{"Confirmed";"Probable"},'Data entry'!$AQ$6:$AQ$200,'Data Validation'!$V$6, 'Data entry'!$BD$6:$BD$200,"&lt;&gt;*Negative*"))</f>
        <v>0</v>
      </c>
      <c r="AA65" s="15">
        <f>SUM(COUNTIFS('Data entry'!$R$6:$R$200,'Summary Data'!$A65,'Data entry'!$B$6:$B$200,{"Confirmed";"Probable"},'Data entry'!$AQ$6:$AQ$200,'Data Validation'!$V$7, 'Data entry'!$BD$6:$BD$200,"&lt;&gt;*Negative*"))</f>
        <v>0</v>
      </c>
      <c r="AB65" s="15">
        <f>SUM(COUNTIFS('Data entry'!$R$6:$R$200,'Summary Data'!$A65,'Data entry'!$B$6:$B$200,{"Confirmed";"Probable"},'Data entry'!$AQ$6:$AQ$200,'Data Validation'!$V$8, 'Data entry'!$BD$6:$BD$200,"&lt;&gt;*Negative*"))</f>
        <v>0</v>
      </c>
      <c r="AC65" s="15">
        <f>SUM(COUNTIFS('Data entry'!$R$6:$R$200,'Summary Data'!$A65,'Data entry'!$B$6:$B$200,{"Confirmed";"Probable"},'Data entry'!$AQ$6:$AQ$200,'Data Validation'!$V$9, 'Data entry'!$BD$6:$BD$200,"&lt;&gt;*Negative*"))</f>
        <v>0</v>
      </c>
      <c r="AD65" s="15">
        <f>SUM(COUNTIFS('Data entry'!$R$6:$R$200,'Summary Data'!$A65,'Data entry'!$B$6:$B$200,{"Confirmed";"Probable"},'Data entry'!$AQ$6:$AQ$200,'Data Validation'!$V$10, 'Data entry'!$BD$6:$BD$200,"&lt;&gt;*Negative*"))</f>
        <v>0</v>
      </c>
      <c r="AE65" s="15">
        <f>SUM(COUNTIFS('Data entry'!$R$6:$R$200,'Summary Data'!$A65,'Data entry'!$B$6:$B$200,{"Confirmed";"Probable"},'Data entry'!$AQ$6:$AQ$200,'Data Validation'!$V$11, 'Data entry'!$BD$6:$BD$200,"&lt;&gt;*Negative*"))</f>
        <v>0</v>
      </c>
      <c r="AF65" s="15">
        <f>SUM(COUNTIFS('Data entry'!$R$6:$R$200,'Summary Data'!$A65,'Data entry'!$B$6:$B$200,{"Confirmed";"Probable"},'Data entry'!$AQ$6:$AQ$200,'Data Validation'!$V$2, 'Data entry'!$AP$6:$AP$200,'Data Validation'!$U$2, 'Data entry'!$BD$6:$BD$200,"&lt;&gt;*Negative*"))</f>
        <v>0</v>
      </c>
      <c r="AG65" s="15">
        <f>SUM(COUNTIFS('Data entry'!$R$6:$R$200,'Summary Data'!$A65,'Data entry'!$B$6:$B$200,{"Confirmed";"Probable"},'Data entry'!$AQ$6:$AQ$200,'Data Validation'!$V$2, 'Data entry'!$AP$6:$AP$200,'Data Validation'!$U$3, 'Data entry'!$BD$6:$BD$200,"&lt;&gt;*Negative*"))</f>
        <v>0</v>
      </c>
      <c r="AH65" s="15">
        <f>SUM(COUNTIFS('Data entry'!$R$6:$R$200,'Summary Data'!$A65,'Data entry'!$B$6:$B$200,{"Confirmed";"Probable"},'Data entry'!$AQ$6:$AQ$200,'Data Validation'!$V$2, 'Data entry'!$AP$6:$AP$200,'Data Validation'!$U$4, 'Data entry'!$BD$6:$BD$200,"&lt;&gt;*Negative*"))</f>
        <v>0</v>
      </c>
      <c r="AI65" s="15">
        <f>SUM(COUNTIFS('Data entry'!$R$6:$R$200,'Summary Data'!$A65,'Data entry'!$B$6:$B$200,{"Confirmed";"Probable"},'Data entry'!$AQ$6:$AQ$200,'Data Validation'!$V$2, 'Data entry'!$AP$6:$AP$200,'Data Validation'!$U$5, 'Data entry'!$BD$6:$BD$200,"&lt;&gt;*Negative*"))</f>
        <v>0</v>
      </c>
      <c r="AJ65" s="15">
        <f>SUM(COUNTIFS('Data entry'!$R$6:$R$200,'Summary Data'!$A65,'Data entry'!$B$6:$B$200,{"Confirmed";"Probable"},'Data entry'!$AQ$6:$AQ$200,'Data Validation'!$V$2, 'Data entry'!$AP$6:$AP$200,'Data Validation'!$U$6, 'Data entry'!$BD$6:$BD$200,"&lt;&gt;*Negative*"))</f>
        <v>0</v>
      </c>
      <c r="AK65" s="15">
        <f>SUM(COUNTIFS('Data entry'!$R$6:$R$200,'Summary Data'!$A65,'Data entry'!$B$6:$B$200,{"Confirmed";"Probable"},'Data entry'!$AQ$6:$AQ$200,'Data Validation'!$V$3, 'Data entry'!$AP$6:$AP$200,'Data Validation'!$U$2, 'Data entry'!$BD$6:$BD$200,"&lt;&gt;*Negative*"))</f>
        <v>0</v>
      </c>
      <c r="AL65" s="15">
        <f>SUM(COUNTIFS('Data entry'!$R$6:$R$200,'Summary Data'!$A65,'Data entry'!$B$6:$B$200,{"Confirmed";"Probable"},'Data entry'!$AQ$6:$AQ$200,'Data Validation'!$V$3, 'Data entry'!$AP$6:$AP$200,'Data Validation'!$U$3, 'Data entry'!$BD$6:$BD$200,"&lt;&gt;*Negative*"))</f>
        <v>0</v>
      </c>
      <c r="AM65" s="15">
        <f>SUM(COUNTIFS('Data entry'!$R$6:$R$200,'Summary Data'!$A65,'Data entry'!$B$6:$B$200,{"Confirmed";"Probable"},'Data entry'!$AQ$6:$AQ$200,'Data Validation'!$V$3, 'Data entry'!$AP$6:$AP$200,'Data Validation'!$U$4, 'Data entry'!$BD$6:$BD$200,"&lt;&gt;*Negative*"))</f>
        <v>0</v>
      </c>
      <c r="AN65" s="15">
        <f>SUM(COUNTIFS('Data entry'!$R$6:$R$200,'Summary Data'!$A65,'Data entry'!$B$6:$B$200,{"Confirmed";"Probable"},'Data entry'!$AQ$6:$AQ$200,'Data Validation'!$V$3, 'Data entry'!$AP$6:$AP$200,'Data Validation'!$U$5, 'Data entry'!$BD$6:$BD$200,"&lt;&gt;*Negative*"))</f>
        <v>0</v>
      </c>
      <c r="AO65" s="15">
        <f>SUM(COUNTIFS('Data entry'!$R$6:$R$200,'Summary Data'!$A65,'Data entry'!$B$6:$B$200,{"Confirmed";"Probable"},'Data entry'!$AQ$6:$AQ$200,'Data Validation'!$V$3, 'Data entry'!$AP$6:$AP$200,'Data Validation'!$U$6, 'Data entry'!$BD$6:$BD$200,"&lt;&gt;*Negative*"))</f>
        <v>0</v>
      </c>
      <c r="AP65" s="15">
        <f>SUM(COUNTIFS('Data entry'!$R$6:$R$200,'Summary Data'!$A65,'Data entry'!$B$6:$B$200,{"Confirmed";"Probable"},'Data entry'!$AQ$6:$AQ$200,'Data Validation'!$V$4, 'Data entry'!$AP$6:$AP$200,'Data Validation'!$U$2, 'Data entry'!$BD$6:$BD$200,"&lt;&gt;*Negative*"))</f>
        <v>0</v>
      </c>
      <c r="AQ65" s="15">
        <f>SUM(COUNTIFS('Data entry'!$R$6:$R$200,'Summary Data'!$A65,'Data entry'!$B$6:$B$200,{"Confirmed";"Probable"},'Data entry'!$AQ$6:$AQ$200,'Data Validation'!$V$4, 'Data entry'!$AP$6:$AP$200,'Data Validation'!$U$3, 'Data entry'!$BD$6:$BD$200,"&lt;&gt;*Negative*"))</f>
        <v>0</v>
      </c>
      <c r="AR65" s="15">
        <f>SUM(COUNTIFS('Data entry'!$R$6:$R$200,'Summary Data'!$A65,'Data entry'!$B$6:$B$200,{"Confirmed";"Probable"},'Data entry'!$AQ$6:$AQ$200,'Data Validation'!$V$4, 'Data entry'!$AP$6:$AP$200,'Data Validation'!$U$4, 'Data entry'!$BD$6:$BD$200,"&lt;&gt;*Negative*"))</f>
        <v>0</v>
      </c>
      <c r="AS65" s="15">
        <f>SUM(COUNTIFS('Data entry'!$R$6:$R$200,'Summary Data'!$A65,'Data entry'!$B$6:$B$200,{"Confirmed";"Probable"},'Data entry'!$AQ$6:$AQ$200,'Data Validation'!$V$4, 'Data entry'!$AP$6:$AP$200,'Data Validation'!$U$5, 'Data entry'!$BD$6:$BD$200,"&lt;&gt;*Negative*"))</f>
        <v>0</v>
      </c>
      <c r="AT65" s="15">
        <f>SUM(COUNTIFS('Data entry'!$R$6:$R$200,'Summary Data'!$A65,'Data entry'!$B$6:$B$200,{"Confirmed";"Probable"},'Data entry'!$AQ$6:$AQ$200,'Data Validation'!$V$4, 'Data entry'!$AP$6:$AP$200,'Data Validation'!$U$6, 'Data entry'!$BD$6:$BD$200,"&lt;&gt;*Negative*"))</f>
        <v>0</v>
      </c>
      <c r="AU65" s="15">
        <f>SUM(COUNTIFS('Data entry'!$R$6:$R$200,'Summary Data'!$A65,'Data entry'!$B$6:$B$200,{"Confirmed";"Probable"},'Data entry'!$AQ$6:$AQ$200,'Data Validation'!$V$5, 'Data entry'!$AP$6:$AP$200,'Data Validation'!$U$2, 'Data entry'!$BD$6:$BD$200,"&lt;&gt;*Negative*"))</f>
        <v>0</v>
      </c>
      <c r="AV65" s="15">
        <f>SUM(COUNTIFS('Data entry'!$R$6:$R$200,'Summary Data'!$A65,'Data entry'!$B$6:$B$200,{"Confirmed";"Probable"},'Data entry'!$AQ$6:$AQ$200,'Data Validation'!$V$5, 'Data entry'!$AP$6:$AP$200,'Data Validation'!$U$3, 'Data entry'!$BD$6:$BD$200,"&lt;&gt;*Negative*"))</f>
        <v>0</v>
      </c>
      <c r="AW65" s="15">
        <f>SUM(COUNTIFS('Data entry'!$R$6:$R$200,'Summary Data'!$A65,'Data entry'!$B$6:$B$200,{"Confirmed";"Probable"},'Data entry'!$AQ$6:$AQ$200,'Data Validation'!$V$5, 'Data entry'!$AP$6:$AP$200,'Data Validation'!$U$4, 'Data entry'!$BD$6:$BD$200,"&lt;&gt;*Negative*"))</f>
        <v>0</v>
      </c>
      <c r="AX65" s="15">
        <f>SUM(COUNTIFS('Data entry'!$R$6:$R$200,'Summary Data'!$A65,'Data entry'!$B$6:$B$200,{"Confirmed";"Probable"},'Data entry'!$AQ$6:$AQ$200,'Data Validation'!$V$5, 'Data entry'!$AP$6:$AP$200,'Data Validation'!$U$5, 'Data entry'!$BD$6:$BD$200,"&lt;&gt;*Negative*"))</f>
        <v>0</v>
      </c>
      <c r="AY65" s="15">
        <f>SUM(COUNTIFS('Data entry'!$R$6:$R$200,'Summary Data'!$A65,'Data entry'!$B$6:$B$200,{"Confirmed";"Probable"},'Data entry'!$AQ$6:$AQ$200,'Data Validation'!$V$5, 'Data entry'!$AP$6:$AP$200,'Data Validation'!$U$6, 'Data entry'!$BD$6:$BD$200,"&lt;&gt;*Negative*"))</f>
        <v>0</v>
      </c>
      <c r="AZ65" s="15">
        <f>SUM(COUNTIFS('Data entry'!$R$6:$R$200,'Summary Data'!$A65,'Data entry'!$B$6:$B$200,{"Confirmed";"Probable"},'Data entry'!$AQ$6:$AQ$200,'Data Validation'!$V$6, 'Data entry'!$AP$6:$AP$200,'Data Validation'!$U$2, 'Data entry'!$BD$6:$BD$200,"&lt;&gt;*Negative*"))</f>
        <v>0</v>
      </c>
      <c r="BA65" s="15">
        <f>SUM(COUNTIFS('Data entry'!$R$6:$R$200,'Summary Data'!$A65,'Data entry'!$B$6:$B$200,{"Confirmed";"Probable"},'Data entry'!$AQ$6:$AQ$200,'Data Validation'!$V$6, 'Data entry'!$AP$6:$AP$200,'Data Validation'!$U$3, 'Data entry'!$BD$6:$BD$200,"&lt;&gt;*Negative*"))</f>
        <v>0</v>
      </c>
      <c r="BB65" s="15">
        <f>SUM(COUNTIFS('Data entry'!$R$6:$R$200,'Summary Data'!$A65,'Data entry'!$B$6:$B$200,{"Confirmed";"Probable"},'Data entry'!$AQ$6:$AQ$200,'Data Validation'!$V$6, 'Data entry'!$AP$6:$AP$200,'Data Validation'!$U$4, 'Data entry'!$BD$6:$BD$200,"&lt;&gt;*Negative*"))</f>
        <v>0</v>
      </c>
      <c r="BC65" s="15">
        <f>SUM(COUNTIFS('Data entry'!$R$6:$R$200,'Summary Data'!$A65,'Data entry'!$B$6:$B$200,{"Confirmed";"Probable"},'Data entry'!$AQ$6:$AQ$200,'Data Validation'!$V$6, 'Data entry'!$AP$6:$AP$200,'Data Validation'!$U$5, 'Data entry'!$BD$6:$BD$200,"&lt;&gt;*Negative*"))</f>
        <v>0</v>
      </c>
      <c r="BD65" s="15">
        <f>SUM(COUNTIFS('Data entry'!$R$6:$R$200,'Summary Data'!$A65,'Data entry'!$B$6:$B$200,{"Confirmed";"Probable"},'Data entry'!$AQ$6:$AQ$200,'Data Validation'!$V$6, 'Data entry'!$AP$6:$AP$200,'Data Validation'!$U$6, 'Data entry'!$BD$6:$BD$200,"&lt;&gt;*Negative*"))</f>
        <v>0</v>
      </c>
      <c r="BE65" s="15">
        <f>SUM(COUNTIFS('Data entry'!$R$6:$R$200,'Summary Data'!$A65,'Data entry'!$B$6:$B$200,{"Confirmed";"Probable"},'Data entry'!$AQ$6:$AQ$200,'Data Validation'!$V$7, 'Data entry'!$AP$6:$AP$200,'Data Validation'!$U$2, 'Data entry'!$BD$6:$BD$200,"&lt;&gt;*Negative*"))</f>
        <v>0</v>
      </c>
      <c r="BF65" s="15">
        <f>SUM(COUNTIFS('Data entry'!$R$6:$R$200,'Summary Data'!$A65,'Data entry'!$B$6:$B$200,{"Confirmed";"Probable"},'Data entry'!$AQ$6:$AQ$200,'Data Validation'!$V$7, 'Data entry'!$AP$6:$AP$200,'Data Validation'!$U$3, 'Data entry'!$BD$6:$BD$200,"&lt;&gt;*Negative*"))</f>
        <v>0</v>
      </c>
      <c r="BG65" s="15">
        <f>SUM(COUNTIFS('Data entry'!$R$6:$R$200,'Summary Data'!$A65,'Data entry'!$B$6:$B$200,{"Confirmed";"Probable"},'Data entry'!$AQ$6:$AQ$200,'Data Validation'!$V$7, 'Data entry'!$AP$6:$AP$200,'Data Validation'!$U$4, 'Data entry'!$BD$6:$BD$200,"&lt;&gt;*Negative*"))</f>
        <v>0</v>
      </c>
      <c r="BH65" s="15">
        <f>SUM(COUNTIFS('Data entry'!$R$6:$R$200,'Summary Data'!$A65,'Data entry'!$B$6:$B$200,{"Confirmed";"Probable"},'Data entry'!$AQ$6:$AQ$200,'Data Validation'!$V$7, 'Data entry'!$AP$6:$AP$200,'Data Validation'!$U$5, 'Data entry'!$BD$6:$BD$200,"&lt;&gt;*Negative*"))</f>
        <v>0</v>
      </c>
      <c r="BI65" s="15">
        <f>SUM(COUNTIFS('Data entry'!$R$6:$R$200,'Summary Data'!$A65,'Data entry'!$B$6:$B$200,{"Confirmed";"Probable"},'Data entry'!$AQ$6:$AQ$200,'Data Validation'!$V$7, 'Data entry'!$AP$6:$AP$200,'Data Validation'!$U$6, 'Data entry'!$BD$6:$BD$200,"&lt;&gt;*Negative*"))</f>
        <v>0</v>
      </c>
      <c r="BJ65" s="15">
        <f>SUM(COUNTIFS('Data entry'!$R$6:$R$200,'Summary Data'!$A65,'Data entry'!$B$6:$B$200,{"Confirmed";"Probable"},'Data entry'!$AQ$6:$AQ$200,'Data Validation'!$V$8, 'Data entry'!$AP$6:$AP$200,'Data Validation'!$U$2, 'Data entry'!$BD$6:$BD$200,"&lt;&gt;*Negative*"))</f>
        <v>0</v>
      </c>
      <c r="BK65" s="15">
        <f>SUM(COUNTIFS('Data entry'!$R$6:$R$200,'Summary Data'!$A65,'Data entry'!$B$6:$B$200,{"Confirmed";"Probable"},'Data entry'!$AQ$6:$AQ$200,'Data Validation'!$V$8, 'Data entry'!$AP$6:$AP$200,'Data Validation'!$U$3, 'Data entry'!$BD$6:$BD$200,"&lt;&gt;*Negative*"))</f>
        <v>0</v>
      </c>
      <c r="BL65" s="15">
        <f>SUM(COUNTIFS('Data entry'!$R$6:$R$200,'Summary Data'!$A65,'Data entry'!$B$6:$B$200,{"Confirmed";"Probable"},'Data entry'!$AQ$6:$AQ$200,'Data Validation'!$V$8, 'Data entry'!$AP$6:$AP$200,'Data Validation'!$U$4, 'Data entry'!$BD$6:$BD$200,"&lt;&gt;*Negative*"))</f>
        <v>0</v>
      </c>
      <c r="BM65" s="15">
        <f>SUM(COUNTIFS('Data entry'!$R$6:$R$200,'Summary Data'!$A65,'Data entry'!$B$6:$B$200,{"Confirmed";"Probable"},'Data entry'!$AQ$6:$AQ$200,'Data Validation'!$V$8, 'Data entry'!$AP$6:$AP$200,'Data Validation'!$U$5, 'Data entry'!$BD$6:$BD$200,"&lt;&gt;*Negative*"))</f>
        <v>0</v>
      </c>
      <c r="BN65" s="15">
        <f>SUM(COUNTIFS('Data entry'!$R$6:$R$200,'Summary Data'!$A65,'Data entry'!$B$6:$B$200,{"Confirmed";"Probable"},'Data entry'!$AQ$6:$AQ$200,'Data Validation'!$V$8, 'Data entry'!$AP$6:$AP$200,'Data Validation'!$U$6, 'Data entry'!$BD$6:$BD$200,"&lt;&gt;*Negative*"))</f>
        <v>0</v>
      </c>
      <c r="BO65" s="15">
        <f>SUM(COUNTIFS('Data entry'!$R$6:$R$200,'Summary Data'!$A65,'Data entry'!$B$6:$B$200,{"Confirmed";"Probable"},'Data entry'!$AQ$6:$AQ$200,'Data Validation'!$V$9, 'Data entry'!$AP$6:$AP$200,'Data Validation'!$U$2, 'Data entry'!$BD$6:$BD$200,"&lt;&gt;*Negative*"))</f>
        <v>0</v>
      </c>
      <c r="BP65" s="15">
        <f>SUM(COUNTIFS('Data entry'!$R$6:$R$200,'Summary Data'!$A65,'Data entry'!$B$6:$B$200,{"Confirmed";"Probable"},'Data entry'!$AQ$6:$AQ$200,'Data Validation'!$V$9, 'Data entry'!$AP$6:$AP$200,'Data Validation'!$U$3, 'Data entry'!$BD$6:$BD$200,"&lt;&gt;*Negative*"))</f>
        <v>0</v>
      </c>
      <c r="BQ65" s="15">
        <f>SUM(COUNTIFS('Data entry'!$R$6:$R$200,'Summary Data'!$A65,'Data entry'!$B$6:$B$200,{"Confirmed";"Probable"},'Data entry'!$AQ$6:$AQ$200,'Data Validation'!$V$9, 'Data entry'!$AP$6:$AP$200,'Data Validation'!$U$4, 'Data entry'!$BD$6:$BD$200,"&lt;&gt;*Negative*"))</f>
        <v>0</v>
      </c>
      <c r="BR65" s="15">
        <f>SUM(COUNTIFS('Data entry'!$R$6:$R$200,'Summary Data'!$A65,'Data entry'!$B$6:$B$200,{"Confirmed";"Probable"},'Data entry'!$AQ$6:$AQ$200,'Data Validation'!$V$9, 'Data entry'!$AP$6:$AP$200,'Data Validation'!$U$5, 'Data entry'!$BD$6:$BD$200,"&lt;&gt;*Negative*"))</f>
        <v>0</v>
      </c>
      <c r="BS65" s="15">
        <f>SUM(COUNTIFS('Data entry'!$R$6:$R$200,'Summary Data'!$A65,'Data entry'!$B$6:$B$200,{"Confirmed";"Probable"},'Data entry'!$AQ$6:$AQ$200,'Data Validation'!$V$9, 'Data entry'!$AP$6:$AP$200,'Data Validation'!$U$6, 'Data entry'!$BD$6:$BD$200,"&lt;&gt;*Negative*"))</f>
        <v>0</v>
      </c>
      <c r="BT65" s="15">
        <f>SUM(COUNTIFS('Data entry'!$R$6:$R$200,'Summary Data'!$A65,'Data entry'!$B$6:$B$200,{"Confirmed";"Probable"},'Data entry'!$AQ$6:$AQ$200,'Data Validation'!$V$10, 'Data entry'!$AP$6:$AP$200,'Data Validation'!$U$2, 'Data entry'!$BD$6:$BD$200,"&lt;&gt;*Negative*"))</f>
        <v>0</v>
      </c>
      <c r="BU65" s="15">
        <f>SUM(COUNTIFS('Data entry'!$R$6:$R$200,'Summary Data'!$A65,'Data entry'!$B$6:$B$200,{"Confirmed";"Probable"},'Data entry'!$AQ$6:$AQ$200,'Data Validation'!$V$10, 'Data entry'!$AP$6:$AP$200,'Data Validation'!$U$3, 'Data entry'!$BD$6:$BD$200,"&lt;&gt;*Negative*"))</f>
        <v>0</v>
      </c>
      <c r="BV65" s="15">
        <f>SUM(COUNTIFS('Data entry'!$R$6:$R$200,'Summary Data'!$A65,'Data entry'!$B$6:$B$200,{"Confirmed";"Probable"},'Data entry'!$AQ$6:$AQ$200,'Data Validation'!$V$10, 'Data entry'!$AP$6:$AP$200,'Data Validation'!$U$4, 'Data entry'!$BD$6:$BD$200,"&lt;&gt;*Negative*"))</f>
        <v>0</v>
      </c>
      <c r="BW65" s="15">
        <f>SUM(COUNTIFS('Data entry'!$R$6:$R$200,'Summary Data'!$A65,'Data entry'!$B$6:$B$200,{"Confirmed";"Probable"},'Data entry'!$AQ$6:$AQ$200,'Data Validation'!$V$10, 'Data entry'!$AP$6:$AP$200,'Data Validation'!$U$5, 'Data entry'!$BD$6:$BD$200,"&lt;&gt;*Negative*"))</f>
        <v>0</v>
      </c>
      <c r="BX65" s="15">
        <f>SUM(COUNTIFS('Data entry'!$R$6:$R$200,'Summary Data'!$A65,'Data entry'!$B$6:$B$200,{"Confirmed";"Probable"},'Data entry'!$AQ$6:$AQ$200,'Data Validation'!$V$10, 'Data entry'!$AP$6:$AP$200,'Data Validation'!$U$6, 'Data entry'!$BD$6:$BD$200,"&lt;&gt;*Negative*"))</f>
        <v>0</v>
      </c>
      <c r="BY65" s="15">
        <f>SUM(COUNTIFS('Data entry'!$R$6:$R$200,'Summary Data'!$A65,'Data entry'!$B$6:$B$200,{"Confirmed";"Probable"},'Data entry'!$AQ$6:$AQ$200,'Data Validation'!$V$11, 'Data entry'!$AP$6:$AP$200,'Data Validation'!$U$2, 'Data entry'!$BD$6:$BD$200,"&lt;&gt;*Negative*"))</f>
        <v>0</v>
      </c>
      <c r="BZ65" s="15">
        <f>SUM(COUNTIFS('Data entry'!$R$6:$R$200,'Summary Data'!$A65,'Data entry'!$B$6:$B$200,{"Confirmed";"Probable"},'Data entry'!$AQ$6:$AQ$200,'Data Validation'!$V$11, 'Data entry'!$AP$6:$AP$200,'Data Validation'!$U$3, 'Data entry'!$BD$6:$BD$200,"&lt;&gt;*Negative*"))</f>
        <v>0</v>
      </c>
      <c r="CA65" s="15">
        <f>SUM(COUNTIFS('Data entry'!$R$6:$R$200,'Summary Data'!$A65,'Data entry'!$B$6:$B$200,{"Confirmed";"Probable"},'Data entry'!$AQ$6:$AQ$200,'Data Validation'!$V$11, 'Data entry'!$AP$6:$AP$200,'Data Validation'!$U$4, 'Data entry'!$BD$6:$BD$200,"&lt;&gt;*Negative*"))</f>
        <v>0</v>
      </c>
      <c r="CB65" s="15">
        <f>SUM(COUNTIFS('Data entry'!$R$6:$R$200,'Summary Data'!$A65,'Data entry'!$B$6:$B$200,{"Confirmed";"Probable"},'Data entry'!$AQ$6:$AQ$200,'Data Validation'!$V$11, 'Data entry'!$AP$6:$AP$200,'Data Validation'!$U$5, 'Data entry'!$BD$6:$BD$200,"&lt;&gt;*Negative*"))</f>
        <v>0</v>
      </c>
      <c r="CC65" s="15">
        <f>SUM(COUNTIFS('Data entry'!$R$6:$R$200,'Summary Data'!$A65,'Data entry'!$B$6:$B$200,{"Confirmed";"Probable"},'Data entry'!$AQ$6:$AQ$200,'Data Validation'!$V$11, 'Data entry'!$AP$6:$AP$200,'Data Validation'!$U$6, 'Data entry'!$BD$6:$BD$200,"&lt;&gt;*Negative*"))</f>
        <v>0</v>
      </c>
    </row>
    <row r="66" spans="1:81" x14ac:dyDescent="0.25">
      <c r="A66" s="12">
        <f t="shared" si="5"/>
        <v>54</v>
      </c>
      <c r="B66" s="13">
        <f t="shared" si="2"/>
        <v>0</v>
      </c>
      <c r="C66" s="13">
        <f>COUNTIFS('Data entry'!$R$6:$R$200,$A66,'Data entry'!$B$6:$B$200,"Confirmed",'Data entry'!$BD$6:$BD$200,"&lt;&gt;*Negative*")</f>
        <v>0</v>
      </c>
      <c r="D66" s="13">
        <f>COUNTIFS('Data entry'!$R$6:$R$200,$A66,'Data entry'!$B$6:$B$200,"Probable",'Data entry'!$BD$6:$BD$200,"&lt;&gt;*Negative*")</f>
        <v>0</v>
      </c>
      <c r="E66" s="13">
        <f>COUNTIFS('Data entry'!$R$6:$R$200,$A66,'Data entry'!$B$6:$B$200,"DNM")</f>
        <v>0</v>
      </c>
      <c r="F66" s="13">
        <f>SUM(COUNTIFS('Data entry'!$R$6:$R$200,'Summary Data'!$A66,'Data entry'!$B$6:$B$200,{"Confirmed";"Probable"},'Data entry'!$AO$6:$AO$200,$F$10, 'Data entry'!$BD$6:$BD$200,"&lt;&gt;*Negative*"))</f>
        <v>0</v>
      </c>
      <c r="G66" s="13">
        <f>SUM(COUNTIFS('Data entry'!$R$6:$R$200,'Summary Data'!$A66,'Data entry'!$B$6:$B$200,{"Confirmed";"Probable"},'Data entry'!$AO$6:$AO$200,$G$10, 'Data entry'!$BD$6:$BD$200,"&lt;&gt;*Negative*"))</f>
        <v>0</v>
      </c>
      <c r="H66" s="13">
        <f>SUM(COUNTIFS('Data entry'!$R$6:$R$200,'Summary Data'!$A66,'Data entry'!$B$6:$B$200,{"Confirmed";"Probable"},'Data entry'!$AO$6:$AO$200,$H$10, 'Data entry'!$BD$6:$BD$200,"&lt;&gt;*Negative*"))</f>
        <v>0</v>
      </c>
      <c r="I66" s="13">
        <f>SUM(COUNTIFS('Data entry'!$R$6:$R$200,'Summary Data'!$A66,'Data entry'!$B$6:$B$200,{"Confirmed";"Probable"},'Data entry'!$AO$6:$AO$200,$I$10, 'Data entry'!$BD$6:$BD$200,"&lt;&gt;*Negative*"))</f>
        <v>0</v>
      </c>
      <c r="J66" s="13">
        <f>SUM(COUNTIFS('Data entry'!$R$6:$R$200,'Summary Data'!$A66,'Data entry'!$B$6:$B$200,{"Confirmed";"Probable"},'Data entry'!$AO$6:$AO$200,$J$10, 'Data entry'!$BD$6:$BD$200,"&lt;&gt;*Negative*"))</f>
        <v>0</v>
      </c>
      <c r="K66" s="13">
        <f>SUM(COUNTIFS('Data entry'!$R$6:$R$200,'Summary Data'!$A66,'Data entry'!$B$6:$B$200,{"Confirmed";"Probable"},'Data entry'!$AO$6:$AO$200,$K$10, 'Data entry'!$BD$6:$BD$200,"&lt;&gt;*Negative*"))</f>
        <v>0</v>
      </c>
      <c r="L66" s="13">
        <f>SUM(COUNTIFS('Data entry'!$R$6:$R$200,'Summary Data'!$A66,'Data entry'!$B$6:$B$200,{"Confirmed";"Probable"},'Data entry'!$AO$6:$AO$200,$L$10, 'Data entry'!$BD$6:$BD$200,"&lt;&gt;*Negative*"))</f>
        <v>0</v>
      </c>
      <c r="M66" s="13">
        <f>SUM(COUNTIFS('Data entry'!$R$6:$R$200,'Summary Data'!$A66,'Data entry'!$B$6:$B$200,{"Confirmed";"Probable"},'Data entry'!$AO$6:$AO$200,$M$10, 'Data entry'!$BD$6:$BD$200,"&lt;&gt;*Negative*"))</f>
        <v>0</v>
      </c>
      <c r="N66" s="13">
        <f>SUM(COUNTIFS('Data entry'!$R$6:$R$200,'Summary Data'!$A66,'Data entry'!$B$6:$B$200,{"Confirmed";"Probable"},'Data entry'!$AO$6:$AO$200,$N$10, 'Data entry'!$BD$6:$BD$200,"&lt;&gt;*Negative*"))</f>
        <v>0</v>
      </c>
      <c r="O66" s="15">
        <f t="shared" si="3"/>
        <v>0</v>
      </c>
      <c r="P66" s="15">
        <f t="shared" si="4"/>
        <v>0</v>
      </c>
      <c r="Q66" s="15">
        <f>SUM(COUNTIFS('Data entry'!$R$6:$R$200,'Summary Data'!$A66,'Data entry'!$B$6:$B$200,{"Confirmed";"Probable"},'Data entry'!$AP$6:$AP$200,'Data Validation'!$U$2, 'Data entry'!$BD$6:$BD$200,"&lt;&gt;*Negative*"))</f>
        <v>0</v>
      </c>
      <c r="R66" s="15">
        <f>SUM(COUNTIFS('Data entry'!$R$6:$R$200,'Summary Data'!$A66,'Data entry'!$B$6:$B$200,{"Confirmed";"Probable"},'Data entry'!$AP$6:$AP$200,'Data Validation'!$U$3, 'Data entry'!$BD$6:$BD$200,"&lt;&gt;*Negative*"))</f>
        <v>0</v>
      </c>
      <c r="S66" s="15">
        <f>SUM(COUNTIFS('Data entry'!$R$6:$R$200,'Summary Data'!$A66,'Data entry'!$B$6:$B$200,{"Confirmed";"Probable"},'Data entry'!$AP$6:$AP$200,'Data Validation'!$U$4, 'Data entry'!$BD$6:$BD$200,"&lt;&gt;*Negative*"))</f>
        <v>0</v>
      </c>
      <c r="T66" s="15">
        <f>SUM(COUNTIFS('Data entry'!$R$6:$R$200,'Summary Data'!$A66,'Data entry'!$B$6:$B$200,{"Confirmed";"Probable"},'Data entry'!$AP$6:$AP$200,'Data Validation'!$U$5, 'Data entry'!$BD$6:$BD$200,"&lt;&gt;*Negative*"))</f>
        <v>0</v>
      </c>
      <c r="U66" s="15">
        <f>SUM(COUNTIFS('Data entry'!$R$6:$R$200,'Summary Data'!$A66,'Data entry'!$B$6:$B$200,{"Confirmed";"Probable"},'Data entry'!$AP$6:$AP$200,'Data Validation'!$U$6, 'Data entry'!$BD$6:$BD$200,"&lt;&gt;*Negative*"))</f>
        <v>0</v>
      </c>
      <c r="V66" s="15">
        <f>SUM(COUNTIFS('Data entry'!$R$6:$R$200,'Summary Data'!$A66,'Data entry'!$B$6:$B$200,{"Confirmed";"Probable"},'Data entry'!$AQ$6:$AQ$200,'Data Validation'!$V$2, 'Data entry'!$BD$6:$BD$200,"&lt;&gt;*Negative*"))</f>
        <v>0</v>
      </c>
      <c r="W66" s="15">
        <f>SUM(COUNTIFS('Data entry'!$R$6:$R$200,'Summary Data'!$A66,'Data entry'!$B$6:$B$200,{"Confirmed";"Probable"},'Data entry'!$AQ$6:$AQ$200,'Data Validation'!$V$3, 'Data entry'!$BD$6:$BD$200,"&lt;&gt;*Negative*"))</f>
        <v>0</v>
      </c>
      <c r="X66" s="15">
        <f>SUM(COUNTIFS('Data entry'!$R$6:$R$200,'Summary Data'!$A66,'Data entry'!$B$6:$B$200,{"Confirmed";"Probable"},'Data entry'!$AQ$6:$AQ$200,'Data Validation'!$V$4, 'Data entry'!$BD$6:$BD$200,"&lt;&gt;*Negative*"))</f>
        <v>0</v>
      </c>
      <c r="Y66" s="15">
        <f>SUM(COUNTIFS('Data entry'!$R$6:$R$200,'Summary Data'!$A66,'Data entry'!$B$6:$B$200,{"Confirmed";"Probable"},'Data entry'!$AQ$6:$AQ$200,'Data Validation'!$V$5, 'Data entry'!$BD$6:$BD$200,"&lt;&gt;*Negative*"))</f>
        <v>0</v>
      </c>
      <c r="Z66" s="15">
        <f>SUM(COUNTIFS('Data entry'!$R$6:$R$200,'Summary Data'!$A66,'Data entry'!$B$6:$B$200,{"Confirmed";"Probable"},'Data entry'!$AQ$6:$AQ$200,'Data Validation'!$V$6, 'Data entry'!$BD$6:$BD$200,"&lt;&gt;*Negative*"))</f>
        <v>0</v>
      </c>
      <c r="AA66" s="15">
        <f>SUM(COUNTIFS('Data entry'!$R$6:$R$200,'Summary Data'!$A66,'Data entry'!$B$6:$B$200,{"Confirmed";"Probable"},'Data entry'!$AQ$6:$AQ$200,'Data Validation'!$V$7, 'Data entry'!$BD$6:$BD$200,"&lt;&gt;*Negative*"))</f>
        <v>0</v>
      </c>
      <c r="AB66" s="15">
        <f>SUM(COUNTIFS('Data entry'!$R$6:$R$200,'Summary Data'!$A66,'Data entry'!$B$6:$B$200,{"Confirmed";"Probable"},'Data entry'!$AQ$6:$AQ$200,'Data Validation'!$V$8, 'Data entry'!$BD$6:$BD$200,"&lt;&gt;*Negative*"))</f>
        <v>0</v>
      </c>
      <c r="AC66" s="15">
        <f>SUM(COUNTIFS('Data entry'!$R$6:$R$200,'Summary Data'!$A66,'Data entry'!$B$6:$B$200,{"Confirmed";"Probable"},'Data entry'!$AQ$6:$AQ$200,'Data Validation'!$V$9, 'Data entry'!$BD$6:$BD$200,"&lt;&gt;*Negative*"))</f>
        <v>0</v>
      </c>
      <c r="AD66" s="15">
        <f>SUM(COUNTIFS('Data entry'!$R$6:$R$200,'Summary Data'!$A66,'Data entry'!$B$6:$B$200,{"Confirmed";"Probable"},'Data entry'!$AQ$6:$AQ$200,'Data Validation'!$V$10, 'Data entry'!$BD$6:$BD$200,"&lt;&gt;*Negative*"))</f>
        <v>0</v>
      </c>
      <c r="AE66" s="15">
        <f>SUM(COUNTIFS('Data entry'!$R$6:$R$200,'Summary Data'!$A66,'Data entry'!$B$6:$B$200,{"Confirmed";"Probable"},'Data entry'!$AQ$6:$AQ$200,'Data Validation'!$V$11, 'Data entry'!$BD$6:$BD$200,"&lt;&gt;*Negative*"))</f>
        <v>0</v>
      </c>
      <c r="AF66" s="15">
        <f>SUM(COUNTIFS('Data entry'!$R$6:$R$200,'Summary Data'!$A66,'Data entry'!$B$6:$B$200,{"Confirmed";"Probable"},'Data entry'!$AQ$6:$AQ$200,'Data Validation'!$V$2, 'Data entry'!$AP$6:$AP$200,'Data Validation'!$U$2, 'Data entry'!$BD$6:$BD$200,"&lt;&gt;*Negative*"))</f>
        <v>0</v>
      </c>
      <c r="AG66" s="15">
        <f>SUM(COUNTIFS('Data entry'!$R$6:$R$200,'Summary Data'!$A66,'Data entry'!$B$6:$B$200,{"Confirmed";"Probable"},'Data entry'!$AQ$6:$AQ$200,'Data Validation'!$V$2, 'Data entry'!$AP$6:$AP$200,'Data Validation'!$U$3, 'Data entry'!$BD$6:$BD$200,"&lt;&gt;*Negative*"))</f>
        <v>0</v>
      </c>
      <c r="AH66" s="15">
        <f>SUM(COUNTIFS('Data entry'!$R$6:$R$200,'Summary Data'!$A66,'Data entry'!$B$6:$B$200,{"Confirmed";"Probable"},'Data entry'!$AQ$6:$AQ$200,'Data Validation'!$V$2, 'Data entry'!$AP$6:$AP$200,'Data Validation'!$U$4, 'Data entry'!$BD$6:$BD$200,"&lt;&gt;*Negative*"))</f>
        <v>0</v>
      </c>
      <c r="AI66" s="15">
        <f>SUM(COUNTIFS('Data entry'!$R$6:$R$200,'Summary Data'!$A66,'Data entry'!$B$6:$B$200,{"Confirmed";"Probable"},'Data entry'!$AQ$6:$AQ$200,'Data Validation'!$V$2, 'Data entry'!$AP$6:$AP$200,'Data Validation'!$U$5, 'Data entry'!$BD$6:$BD$200,"&lt;&gt;*Negative*"))</f>
        <v>0</v>
      </c>
      <c r="AJ66" s="15">
        <f>SUM(COUNTIFS('Data entry'!$R$6:$R$200,'Summary Data'!$A66,'Data entry'!$B$6:$B$200,{"Confirmed";"Probable"},'Data entry'!$AQ$6:$AQ$200,'Data Validation'!$V$2, 'Data entry'!$AP$6:$AP$200,'Data Validation'!$U$6, 'Data entry'!$BD$6:$BD$200,"&lt;&gt;*Negative*"))</f>
        <v>0</v>
      </c>
      <c r="AK66" s="15">
        <f>SUM(COUNTIFS('Data entry'!$R$6:$R$200,'Summary Data'!$A66,'Data entry'!$B$6:$B$200,{"Confirmed";"Probable"},'Data entry'!$AQ$6:$AQ$200,'Data Validation'!$V$3, 'Data entry'!$AP$6:$AP$200,'Data Validation'!$U$2, 'Data entry'!$BD$6:$BD$200,"&lt;&gt;*Negative*"))</f>
        <v>0</v>
      </c>
      <c r="AL66" s="15">
        <f>SUM(COUNTIFS('Data entry'!$R$6:$R$200,'Summary Data'!$A66,'Data entry'!$B$6:$B$200,{"Confirmed";"Probable"},'Data entry'!$AQ$6:$AQ$200,'Data Validation'!$V$3, 'Data entry'!$AP$6:$AP$200,'Data Validation'!$U$3, 'Data entry'!$BD$6:$BD$200,"&lt;&gt;*Negative*"))</f>
        <v>0</v>
      </c>
      <c r="AM66" s="15">
        <f>SUM(COUNTIFS('Data entry'!$R$6:$R$200,'Summary Data'!$A66,'Data entry'!$B$6:$B$200,{"Confirmed";"Probable"},'Data entry'!$AQ$6:$AQ$200,'Data Validation'!$V$3, 'Data entry'!$AP$6:$AP$200,'Data Validation'!$U$4, 'Data entry'!$BD$6:$BD$200,"&lt;&gt;*Negative*"))</f>
        <v>0</v>
      </c>
      <c r="AN66" s="15">
        <f>SUM(COUNTIFS('Data entry'!$R$6:$R$200,'Summary Data'!$A66,'Data entry'!$B$6:$B$200,{"Confirmed";"Probable"},'Data entry'!$AQ$6:$AQ$200,'Data Validation'!$V$3, 'Data entry'!$AP$6:$AP$200,'Data Validation'!$U$5, 'Data entry'!$BD$6:$BD$200,"&lt;&gt;*Negative*"))</f>
        <v>0</v>
      </c>
      <c r="AO66" s="15">
        <f>SUM(COUNTIFS('Data entry'!$R$6:$R$200,'Summary Data'!$A66,'Data entry'!$B$6:$B$200,{"Confirmed";"Probable"},'Data entry'!$AQ$6:$AQ$200,'Data Validation'!$V$3, 'Data entry'!$AP$6:$AP$200,'Data Validation'!$U$6, 'Data entry'!$BD$6:$BD$200,"&lt;&gt;*Negative*"))</f>
        <v>0</v>
      </c>
      <c r="AP66" s="15">
        <f>SUM(COUNTIFS('Data entry'!$R$6:$R$200,'Summary Data'!$A66,'Data entry'!$B$6:$B$200,{"Confirmed";"Probable"},'Data entry'!$AQ$6:$AQ$200,'Data Validation'!$V$4, 'Data entry'!$AP$6:$AP$200,'Data Validation'!$U$2, 'Data entry'!$BD$6:$BD$200,"&lt;&gt;*Negative*"))</f>
        <v>0</v>
      </c>
      <c r="AQ66" s="15">
        <f>SUM(COUNTIFS('Data entry'!$R$6:$R$200,'Summary Data'!$A66,'Data entry'!$B$6:$B$200,{"Confirmed";"Probable"},'Data entry'!$AQ$6:$AQ$200,'Data Validation'!$V$4, 'Data entry'!$AP$6:$AP$200,'Data Validation'!$U$3, 'Data entry'!$BD$6:$BD$200,"&lt;&gt;*Negative*"))</f>
        <v>0</v>
      </c>
      <c r="AR66" s="15">
        <f>SUM(COUNTIFS('Data entry'!$R$6:$R$200,'Summary Data'!$A66,'Data entry'!$B$6:$B$200,{"Confirmed";"Probable"},'Data entry'!$AQ$6:$AQ$200,'Data Validation'!$V$4, 'Data entry'!$AP$6:$AP$200,'Data Validation'!$U$4, 'Data entry'!$BD$6:$BD$200,"&lt;&gt;*Negative*"))</f>
        <v>0</v>
      </c>
      <c r="AS66" s="15">
        <f>SUM(COUNTIFS('Data entry'!$R$6:$R$200,'Summary Data'!$A66,'Data entry'!$B$6:$B$200,{"Confirmed";"Probable"},'Data entry'!$AQ$6:$AQ$200,'Data Validation'!$V$4, 'Data entry'!$AP$6:$AP$200,'Data Validation'!$U$5, 'Data entry'!$BD$6:$BD$200,"&lt;&gt;*Negative*"))</f>
        <v>0</v>
      </c>
      <c r="AT66" s="15">
        <f>SUM(COUNTIFS('Data entry'!$R$6:$R$200,'Summary Data'!$A66,'Data entry'!$B$6:$B$200,{"Confirmed";"Probable"},'Data entry'!$AQ$6:$AQ$200,'Data Validation'!$V$4, 'Data entry'!$AP$6:$AP$200,'Data Validation'!$U$6, 'Data entry'!$BD$6:$BD$200,"&lt;&gt;*Negative*"))</f>
        <v>0</v>
      </c>
      <c r="AU66" s="15">
        <f>SUM(COUNTIFS('Data entry'!$R$6:$R$200,'Summary Data'!$A66,'Data entry'!$B$6:$B$200,{"Confirmed";"Probable"},'Data entry'!$AQ$6:$AQ$200,'Data Validation'!$V$5, 'Data entry'!$AP$6:$AP$200,'Data Validation'!$U$2, 'Data entry'!$BD$6:$BD$200,"&lt;&gt;*Negative*"))</f>
        <v>0</v>
      </c>
      <c r="AV66" s="15">
        <f>SUM(COUNTIFS('Data entry'!$R$6:$R$200,'Summary Data'!$A66,'Data entry'!$B$6:$B$200,{"Confirmed";"Probable"},'Data entry'!$AQ$6:$AQ$200,'Data Validation'!$V$5, 'Data entry'!$AP$6:$AP$200,'Data Validation'!$U$3, 'Data entry'!$BD$6:$BD$200,"&lt;&gt;*Negative*"))</f>
        <v>0</v>
      </c>
      <c r="AW66" s="15">
        <f>SUM(COUNTIFS('Data entry'!$R$6:$R$200,'Summary Data'!$A66,'Data entry'!$B$6:$B$200,{"Confirmed";"Probable"},'Data entry'!$AQ$6:$AQ$200,'Data Validation'!$V$5, 'Data entry'!$AP$6:$AP$200,'Data Validation'!$U$4, 'Data entry'!$BD$6:$BD$200,"&lt;&gt;*Negative*"))</f>
        <v>0</v>
      </c>
      <c r="AX66" s="15">
        <f>SUM(COUNTIFS('Data entry'!$R$6:$R$200,'Summary Data'!$A66,'Data entry'!$B$6:$B$200,{"Confirmed";"Probable"},'Data entry'!$AQ$6:$AQ$200,'Data Validation'!$V$5, 'Data entry'!$AP$6:$AP$200,'Data Validation'!$U$5, 'Data entry'!$BD$6:$BD$200,"&lt;&gt;*Negative*"))</f>
        <v>0</v>
      </c>
      <c r="AY66" s="15">
        <f>SUM(COUNTIFS('Data entry'!$R$6:$R$200,'Summary Data'!$A66,'Data entry'!$B$6:$B$200,{"Confirmed";"Probable"},'Data entry'!$AQ$6:$AQ$200,'Data Validation'!$V$5, 'Data entry'!$AP$6:$AP$200,'Data Validation'!$U$6, 'Data entry'!$BD$6:$BD$200,"&lt;&gt;*Negative*"))</f>
        <v>0</v>
      </c>
      <c r="AZ66" s="15">
        <f>SUM(COUNTIFS('Data entry'!$R$6:$R$200,'Summary Data'!$A66,'Data entry'!$B$6:$B$200,{"Confirmed";"Probable"},'Data entry'!$AQ$6:$AQ$200,'Data Validation'!$V$6, 'Data entry'!$AP$6:$AP$200,'Data Validation'!$U$2, 'Data entry'!$BD$6:$BD$200,"&lt;&gt;*Negative*"))</f>
        <v>0</v>
      </c>
      <c r="BA66" s="15">
        <f>SUM(COUNTIFS('Data entry'!$R$6:$R$200,'Summary Data'!$A66,'Data entry'!$B$6:$B$200,{"Confirmed";"Probable"},'Data entry'!$AQ$6:$AQ$200,'Data Validation'!$V$6, 'Data entry'!$AP$6:$AP$200,'Data Validation'!$U$3, 'Data entry'!$BD$6:$BD$200,"&lt;&gt;*Negative*"))</f>
        <v>0</v>
      </c>
      <c r="BB66" s="15">
        <f>SUM(COUNTIFS('Data entry'!$R$6:$R$200,'Summary Data'!$A66,'Data entry'!$B$6:$B$200,{"Confirmed";"Probable"},'Data entry'!$AQ$6:$AQ$200,'Data Validation'!$V$6, 'Data entry'!$AP$6:$AP$200,'Data Validation'!$U$4, 'Data entry'!$BD$6:$BD$200,"&lt;&gt;*Negative*"))</f>
        <v>0</v>
      </c>
      <c r="BC66" s="15">
        <f>SUM(COUNTIFS('Data entry'!$R$6:$R$200,'Summary Data'!$A66,'Data entry'!$B$6:$B$200,{"Confirmed";"Probable"},'Data entry'!$AQ$6:$AQ$200,'Data Validation'!$V$6, 'Data entry'!$AP$6:$AP$200,'Data Validation'!$U$5, 'Data entry'!$BD$6:$BD$200,"&lt;&gt;*Negative*"))</f>
        <v>0</v>
      </c>
      <c r="BD66" s="15">
        <f>SUM(COUNTIFS('Data entry'!$R$6:$R$200,'Summary Data'!$A66,'Data entry'!$B$6:$B$200,{"Confirmed";"Probable"},'Data entry'!$AQ$6:$AQ$200,'Data Validation'!$V$6, 'Data entry'!$AP$6:$AP$200,'Data Validation'!$U$6, 'Data entry'!$BD$6:$BD$200,"&lt;&gt;*Negative*"))</f>
        <v>0</v>
      </c>
      <c r="BE66" s="15">
        <f>SUM(COUNTIFS('Data entry'!$R$6:$R$200,'Summary Data'!$A66,'Data entry'!$B$6:$B$200,{"Confirmed";"Probable"},'Data entry'!$AQ$6:$AQ$200,'Data Validation'!$V$7, 'Data entry'!$AP$6:$AP$200,'Data Validation'!$U$2, 'Data entry'!$BD$6:$BD$200,"&lt;&gt;*Negative*"))</f>
        <v>0</v>
      </c>
      <c r="BF66" s="15">
        <f>SUM(COUNTIFS('Data entry'!$R$6:$R$200,'Summary Data'!$A66,'Data entry'!$B$6:$B$200,{"Confirmed";"Probable"},'Data entry'!$AQ$6:$AQ$200,'Data Validation'!$V$7, 'Data entry'!$AP$6:$AP$200,'Data Validation'!$U$3, 'Data entry'!$BD$6:$BD$200,"&lt;&gt;*Negative*"))</f>
        <v>0</v>
      </c>
      <c r="BG66" s="15">
        <f>SUM(COUNTIFS('Data entry'!$R$6:$R$200,'Summary Data'!$A66,'Data entry'!$B$6:$B$200,{"Confirmed";"Probable"},'Data entry'!$AQ$6:$AQ$200,'Data Validation'!$V$7, 'Data entry'!$AP$6:$AP$200,'Data Validation'!$U$4, 'Data entry'!$BD$6:$BD$200,"&lt;&gt;*Negative*"))</f>
        <v>0</v>
      </c>
      <c r="BH66" s="15">
        <f>SUM(COUNTIFS('Data entry'!$R$6:$R$200,'Summary Data'!$A66,'Data entry'!$B$6:$B$200,{"Confirmed";"Probable"},'Data entry'!$AQ$6:$AQ$200,'Data Validation'!$V$7, 'Data entry'!$AP$6:$AP$200,'Data Validation'!$U$5, 'Data entry'!$BD$6:$BD$200,"&lt;&gt;*Negative*"))</f>
        <v>0</v>
      </c>
      <c r="BI66" s="15">
        <f>SUM(COUNTIFS('Data entry'!$R$6:$R$200,'Summary Data'!$A66,'Data entry'!$B$6:$B$200,{"Confirmed";"Probable"},'Data entry'!$AQ$6:$AQ$200,'Data Validation'!$V$7, 'Data entry'!$AP$6:$AP$200,'Data Validation'!$U$6, 'Data entry'!$BD$6:$BD$200,"&lt;&gt;*Negative*"))</f>
        <v>0</v>
      </c>
      <c r="BJ66" s="15">
        <f>SUM(COUNTIFS('Data entry'!$R$6:$R$200,'Summary Data'!$A66,'Data entry'!$B$6:$B$200,{"Confirmed";"Probable"},'Data entry'!$AQ$6:$AQ$200,'Data Validation'!$V$8, 'Data entry'!$AP$6:$AP$200,'Data Validation'!$U$2, 'Data entry'!$BD$6:$BD$200,"&lt;&gt;*Negative*"))</f>
        <v>0</v>
      </c>
      <c r="BK66" s="15">
        <f>SUM(COUNTIFS('Data entry'!$R$6:$R$200,'Summary Data'!$A66,'Data entry'!$B$6:$B$200,{"Confirmed";"Probable"},'Data entry'!$AQ$6:$AQ$200,'Data Validation'!$V$8, 'Data entry'!$AP$6:$AP$200,'Data Validation'!$U$3, 'Data entry'!$BD$6:$BD$200,"&lt;&gt;*Negative*"))</f>
        <v>0</v>
      </c>
      <c r="BL66" s="15">
        <f>SUM(COUNTIFS('Data entry'!$R$6:$R$200,'Summary Data'!$A66,'Data entry'!$B$6:$B$200,{"Confirmed";"Probable"},'Data entry'!$AQ$6:$AQ$200,'Data Validation'!$V$8, 'Data entry'!$AP$6:$AP$200,'Data Validation'!$U$4, 'Data entry'!$BD$6:$BD$200,"&lt;&gt;*Negative*"))</f>
        <v>0</v>
      </c>
      <c r="BM66" s="15">
        <f>SUM(COUNTIFS('Data entry'!$R$6:$R$200,'Summary Data'!$A66,'Data entry'!$B$6:$B$200,{"Confirmed";"Probable"},'Data entry'!$AQ$6:$AQ$200,'Data Validation'!$V$8, 'Data entry'!$AP$6:$AP$200,'Data Validation'!$U$5, 'Data entry'!$BD$6:$BD$200,"&lt;&gt;*Negative*"))</f>
        <v>0</v>
      </c>
      <c r="BN66" s="15">
        <f>SUM(COUNTIFS('Data entry'!$R$6:$R$200,'Summary Data'!$A66,'Data entry'!$B$6:$B$200,{"Confirmed";"Probable"},'Data entry'!$AQ$6:$AQ$200,'Data Validation'!$V$8, 'Data entry'!$AP$6:$AP$200,'Data Validation'!$U$6, 'Data entry'!$BD$6:$BD$200,"&lt;&gt;*Negative*"))</f>
        <v>0</v>
      </c>
      <c r="BO66" s="15">
        <f>SUM(COUNTIFS('Data entry'!$R$6:$R$200,'Summary Data'!$A66,'Data entry'!$B$6:$B$200,{"Confirmed";"Probable"},'Data entry'!$AQ$6:$AQ$200,'Data Validation'!$V$9, 'Data entry'!$AP$6:$AP$200,'Data Validation'!$U$2, 'Data entry'!$BD$6:$BD$200,"&lt;&gt;*Negative*"))</f>
        <v>0</v>
      </c>
      <c r="BP66" s="15">
        <f>SUM(COUNTIFS('Data entry'!$R$6:$R$200,'Summary Data'!$A66,'Data entry'!$B$6:$B$200,{"Confirmed";"Probable"},'Data entry'!$AQ$6:$AQ$200,'Data Validation'!$V$9, 'Data entry'!$AP$6:$AP$200,'Data Validation'!$U$3, 'Data entry'!$BD$6:$BD$200,"&lt;&gt;*Negative*"))</f>
        <v>0</v>
      </c>
      <c r="BQ66" s="15">
        <f>SUM(COUNTIFS('Data entry'!$R$6:$R$200,'Summary Data'!$A66,'Data entry'!$B$6:$B$200,{"Confirmed";"Probable"},'Data entry'!$AQ$6:$AQ$200,'Data Validation'!$V$9, 'Data entry'!$AP$6:$AP$200,'Data Validation'!$U$4, 'Data entry'!$BD$6:$BD$200,"&lt;&gt;*Negative*"))</f>
        <v>0</v>
      </c>
      <c r="BR66" s="15">
        <f>SUM(COUNTIFS('Data entry'!$R$6:$R$200,'Summary Data'!$A66,'Data entry'!$B$6:$B$200,{"Confirmed";"Probable"},'Data entry'!$AQ$6:$AQ$200,'Data Validation'!$V$9, 'Data entry'!$AP$6:$AP$200,'Data Validation'!$U$5, 'Data entry'!$BD$6:$BD$200,"&lt;&gt;*Negative*"))</f>
        <v>0</v>
      </c>
      <c r="BS66" s="15">
        <f>SUM(COUNTIFS('Data entry'!$R$6:$R$200,'Summary Data'!$A66,'Data entry'!$B$6:$B$200,{"Confirmed";"Probable"},'Data entry'!$AQ$6:$AQ$200,'Data Validation'!$V$9, 'Data entry'!$AP$6:$AP$200,'Data Validation'!$U$6, 'Data entry'!$BD$6:$BD$200,"&lt;&gt;*Negative*"))</f>
        <v>0</v>
      </c>
      <c r="BT66" s="15">
        <f>SUM(COUNTIFS('Data entry'!$R$6:$R$200,'Summary Data'!$A66,'Data entry'!$B$6:$B$200,{"Confirmed";"Probable"},'Data entry'!$AQ$6:$AQ$200,'Data Validation'!$V$10, 'Data entry'!$AP$6:$AP$200,'Data Validation'!$U$2, 'Data entry'!$BD$6:$BD$200,"&lt;&gt;*Negative*"))</f>
        <v>0</v>
      </c>
      <c r="BU66" s="15">
        <f>SUM(COUNTIFS('Data entry'!$R$6:$R$200,'Summary Data'!$A66,'Data entry'!$B$6:$B$200,{"Confirmed";"Probable"},'Data entry'!$AQ$6:$AQ$200,'Data Validation'!$V$10, 'Data entry'!$AP$6:$AP$200,'Data Validation'!$U$3, 'Data entry'!$BD$6:$BD$200,"&lt;&gt;*Negative*"))</f>
        <v>0</v>
      </c>
      <c r="BV66" s="15">
        <f>SUM(COUNTIFS('Data entry'!$R$6:$R$200,'Summary Data'!$A66,'Data entry'!$B$6:$B$200,{"Confirmed";"Probable"},'Data entry'!$AQ$6:$AQ$200,'Data Validation'!$V$10, 'Data entry'!$AP$6:$AP$200,'Data Validation'!$U$4, 'Data entry'!$BD$6:$BD$200,"&lt;&gt;*Negative*"))</f>
        <v>0</v>
      </c>
      <c r="BW66" s="15">
        <f>SUM(COUNTIFS('Data entry'!$R$6:$R$200,'Summary Data'!$A66,'Data entry'!$B$6:$B$200,{"Confirmed";"Probable"},'Data entry'!$AQ$6:$AQ$200,'Data Validation'!$V$10, 'Data entry'!$AP$6:$AP$200,'Data Validation'!$U$5, 'Data entry'!$BD$6:$BD$200,"&lt;&gt;*Negative*"))</f>
        <v>0</v>
      </c>
      <c r="BX66" s="15">
        <f>SUM(COUNTIFS('Data entry'!$R$6:$R$200,'Summary Data'!$A66,'Data entry'!$B$6:$B$200,{"Confirmed";"Probable"},'Data entry'!$AQ$6:$AQ$200,'Data Validation'!$V$10, 'Data entry'!$AP$6:$AP$200,'Data Validation'!$U$6, 'Data entry'!$BD$6:$BD$200,"&lt;&gt;*Negative*"))</f>
        <v>0</v>
      </c>
      <c r="BY66" s="15">
        <f>SUM(COUNTIFS('Data entry'!$R$6:$R$200,'Summary Data'!$A66,'Data entry'!$B$6:$B$200,{"Confirmed";"Probable"},'Data entry'!$AQ$6:$AQ$200,'Data Validation'!$V$11, 'Data entry'!$AP$6:$AP$200,'Data Validation'!$U$2, 'Data entry'!$BD$6:$BD$200,"&lt;&gt;*Negative*"))</f>
        <v>0</v>
      </c>
      <c r="BZ66" s="15">
        <f>SUM(COUNTIFS('Data entry'!$R$6:$R$200,'Summary Data'!$A66,'Data entry'!$B$6:$B$200,{"Confirmed";"Probable"},'Data entry'!$AQ$6:$AQ$200,'Data Validation'!$V$11, 'Data entry'!$AP$6:$AP$200,'Data Validation'!$U$3, 'Data entry'!$BD$6:$BD$200,"&lt;&gt;*Negative*"))</f>
        <v>0</v>
      </c>
      <c r="CA66" s="15">
        <f>SUM(COUNTIFS('Data entry'!$R$6:$R$200,'Summary Data'!$A66,'Data entry'!$B$6:$B$200,{"Confirmed";"Probable"},'Data entry'!$AQ$6:$AQ$200,'Data Validation'!$V$11, 'Data entry'!$AP$6:$AP$200,'Data Validation'!$U$4, 'Data entry'!$BD$6:$BD$200,"&lt;&gt;*Negative*"))</f>
        <v>0</v>
      </c>
      <c r="CB66" s="15">
        <f>SUM(COUNTIFS('Data entry'!$R$6:$R$200,'Summary Data'!$A66,'Data entry'!$B$6:$B$200,{"Confirmed";"Probable"},'Data entry'!$AQ$6:$AQ$200,'Data Validation'!$V$11, 'Data entry'!$AP$6:$AP$200,'Data Validation'!$U$5, 'Data entry'!$BD$6:$BD$200,"&lt;&gt;*Negative*"))</f>
        <v>0</v>
      </c>
      <c r="CC66" s="15">
        <f>SUM(COUNTIFS('Data entry'!$R$6:$R$200,'Summary Data'!$A66,'Data entry'!$B$6:$B$200,{"Confirmed";"Probable"},'Data entry'!$AQ$6:$AQ$200,'Data Validation'!$V$11, 'Data entry'!$AP$6:$AP$200,'Data Validation'!$U$6, 'Data entry'!$BD$6:$BD$200,"&lt;&gt;*Negative*"))</f>
        <v>0</v>
      </c>
    </row>
    <row r="67" spans="1:81" x14ac:dyDescent="0.25">
      <c r="A67" s="12">
        <f t="shared" si="5"/>
        <v>55</v>
      </c>
      <c r="B67" s="13">
        <f t="shared" si="2"/>
        <v>0</v>
      </c>
      <c r="C67" s="13">
        <f>COUNTIFS('Data entry'!$R$6:$R$200,$A67,'Data entry'!$B$6:$B$200,"Confirmed",'Data entry'!$BD$6:$BD$200,"&lt;&gt;*Negative*")</f>
        <v>0</v>
      </c>
      <c r="D67" s="13">
        <f>COUNTIFS('Data entry'!$R$6:$R$200,$A67,'Data entry'!$B$6:$B$200,"Probable",'Data entry'!$BD$6:$BD$200,"&lt;&gt;*Negative*")</f>
        <v>0</v>
      </c>
      <c r="E67" s="13">
        <f>COUNTIFS('Data entry'!$R$6:$R$200,$A67,'Data entry'!$B$6:$B$200,"DNM")</f>
        <v>0</v>
      </c>
      <c r="F67" s="13">
        <f>SUM(COUNTIFS('Data entry'!$R$6:$R$200,'Summary Data'!$A67,'Data entry'!$B$6:$B$200,{"Confirmed";"Probable"},'Data entry'!$AO$6:$AO$200,$F$10, 'Data entry'!$BD$6:$BD$200,"&lt;&gt;*Negative*"))</f>
        <v>0</v>
      </c>
      <c r="G67" s="13">
        <f>SUM(COUNTIFS('Data entry'!$R$6:$R$200,'Summary Data'!$A67,'Data entry'!$B$6:$B$200,{"Confirmed";"Probable"},'Data entry'!$AO$6:$AO$200,$G$10, 'Data entry'!$BD$6:$BD$200,"&lt;&gt;*Negative*"))</f>
        <v>0</v>
      </c>
      <c r="H67" s="13">
        <f>SUM(COUNTIFS('Data entry'!$R$6:$R$200,'Summary Data'!$A67,'Data entry'!$B$6:$B$200,{"Confirmed";"Probable"},'Data entry'!$AO$6:$AO$200,$H$10, 'Data entry'!$BD$6:$BD$200,"&lt;&gt;*Negative*"))</f>
        <v>0</v>
      </c>
      <c r="I67" s="13">
        <f>SUM(COUNTIFS('Data entry'!$R$6:$R$200,'Summary Data'!$A67,'Data entry'!$B$6:$B$200,{"Confirmed";"Probable"},'Data entry'!$AO$6:$AO$200,$I$10, 'Data entry'!$BD$6:$BD$200,"&lt;&gt;*Negative*"))</f>
        <v>0</v>
      </c>
      <c r="J67" s="13">
        <f>SUM(COUNTIFS('Data entry'!$R$6:$R$200,'Summary Data'!$A67,'Data entry'!$B$6:$B$200,{"Confirmed";"Probable"},'Data entry'!$AO$6:$AO$200,$J$10, 'Data entry'!$BD$6:$BD$200,"&lt;&gt;*Negative*"))</f>
        <v>0</v>
      </c>
      <c r="K67" s="13">
        <f>SUM(COUNTIFS('Data entry'!$R$6:$R$200,'Summary Data'!$A67,'Data entry'!$B$6:$B$200,{"Confirmed";"Probable"},'Data entry'!$AO$6:$AO$200,$K$10, 'Data entry'!$BD$6:$BD$200,"&lt;&gt;*Negative*"))</f>
        <v>0</v>
      </c>
      <c r="L67" s="13">
        <f>SUM(COUNTIFS('Data entry'!$R$6:$R$200,'Summary Data'!$A67,'Data entry'!$B$6:$B$200,{"Confirmed";"Probable"},'Data entry'!$AO$6:$AO$200,$L$10, 'Data entry'!$BD$6:$BD$200,"&lt;&gt;*Negative*"))</f>
        <v>0</v>
      </c>
      <c r="M67" s="13">
        <f>SUM(COUNTIFS('Data entry'!$R$6:$R$200,'Summary Data'!$A67,'Data entry'!$B$6:$B$200,{"Confirmed";"Probable"},'Data entry'!$AO$6:$AO$200,$M$10, 'Data entry'!$BD$6:$BD$200,"&lt;&gt;*Negative*"))</f>
        <v>0</v>
      </c>
      <c r="N67" s="13">
        <f>SUM(COUNTIFS('Data entry'!$R$6:$R$200,'Summary Data'!$A67,'Data entry'!$B$6:$B$200,{"Confirmed";"Probable"},'Data entry'!$AO$6:$AO$200,$N$10, 'Data entry'!$BD$6:$BD$200,"&lt;&gt;*Negative*"))</f>
        <v>0</v>
      </c>
      <c r="O67" s="15">
        <f t="shared" si="3"/>
        <v>0</v>
      </c>
      <c r="P67" s="15">
        <f t="shared" si="4"/>
        <v>0</v>
      </c>
      <c r="Q67" s="15">
        <f>SUM(COUNTIFS('Data entry'!$R$6:$R$200,'Summary Data'!$A67,'Data entry'!$B$6:$B$200,{"Confirmed";"Probable"},'Data entry'!$AP$6:$AP$200,'Data Validation'!$U$2, 'Data entry'!$BD$6:$BD$200,"&lt;&gt;*Negative*"))</f>
        <v>0</v>
      </c>
      <c r="R67" s="15">
        <f>SUM(COUNTIFS('Data entry'!$R$6:$R$200,'Summary Data'!$A67,'Data entry'!$B$6:$B$200,{"Confirmed";"Probable"},'Data entry'!$AP$6:$AP$200,'Data Validation'!$U$3, 'Data entry'!$BD$6:$BD$200,"&lt;&gt;*Negative*"))</f>
        <v>0</v>
      </c>
      <c r="S67" s="15">
        <f>SUM(COUNTIFS('Data entry'!$R$6:$R$200,'Summary Data'!$A67,'Data entry'!$B$6:$B$200,{"Confirmed";"Probable"},'Data entry'!$AP$6:$AP$200,'Data Validation'!$U$4, 'Data entry'!$BD$6:$BD$200,"&lt;&gt;*Negative*"))</f>
        <v>0</v>
      </c>
      <c r="T67" s="15">
        <f>SUM(COUNTIFS('Data entry'!$R$6:$R$200,'Summary Data'!$A67,'Data entry'!$B$6:$B$200,{"Confirmed";"Probable"},'Data entry'!$AP$6:$AP$200,'Data Validation'!$U$5, 'Data entry'!$BD$6:$BD$200,"&lt;&gt;*Negative*"))</f>
        <v>0</v>
      </c>
      <c r="U67" s="15">
        <f>SUM(COUNTIFS('Data entry'!$R$6:$R$200,'Summary Data'!$A67,'Data entry'!$B$6:$B$200,{"Confirmed";"Probable"},'Data entry'!$AP$6:$AP$200,'Data Validation'!$U$6, 'Data entry'!$BD$6:$BD$200,"&lt;&gt;*Negative*"))</f>
        <v>0</v>
      </c>
      <c r="V67" s="15">
        <f>SUM(COUNTIFS('Data entry'!$R$6:$R$200,'Summary Data'!$A67,'Data entry'!$B$6:$B$200,{"Confirmed";"Probable"},'Data entry'!$AQ$6:$AQ$200,'Data Validation'!$V$2, 'Data entry'!$BD$6:$BD$200,"&lt;&gt;*Negative*"))</f>
        <v>0</v>
      </c>
      <c r="W67" s="15">
        <f>SUM(COUNTIFS('Data entry'!$R$6:$R$200,'Summary Data'!$A67,'Data entry'!$B$6:$B$200,{"Confirmed";"Probable"},'Data entry'!$AQ$6:$AQ$200,'Data Validation'!$V$3, 'Data entry'!$BD$6:$BD$200,"&lt;&gt;*Negative*"))</f>
        <v>0</v>
      </c>
      <c r="X67" s="15">
        <f>SUM(COUNTIFS('Data entry'!$R$6:$R$200,'Summary Data'!$A67,'Data entry'!$B$6:$B$200,{"Confirmed";"Probable"},'Data entry'!$AQ$6:$AQ$200,'Data Validation'!$V$4, 'Data entry'!$BD$6:$BD$200,"&lt;&gt;*Negative*"))</f>
        <v>0</v>
      </c>
      <c r="Y67" s="15">
        <f>SUM(COUNTIFS('Data entry'!$R$6:$R$200,'Summary Data'!$A67,'Data entry'!$B$6:$B$200,{"Confirmed";"Probable"},'Data entry'!$AQ$6:$AQ$200,'Data Validation'!$V$5, 'Data entry'!$BD$6:$BD$200,"&lt;&gt;*Negative*"))</f>
        <v>0</v>
      </c>
      <c r="Z67" s="15">
        <f>SUM(COUNTIFS('Data entry'!$R$6:$R$200,'Summary Data'!$A67,'Data entry'!$B$6:$B$200,{"Confirmed";"Probable"},'Data entry'!$AQ$6:$AQ$200,'Data Validation'!$V$6, 'Data entry'!$BD$6:$BD$200,"&lt;&gt;*Negative*"))</f>
        <v>0</v>
      </c>
      <c r="AA67" s="15">
        <f>SUM(COUNTIFS('Data entry'!$R$6:$R$200,'Summary Data'!$A67,'Data entry'!$B$6:$B$200,{"Confirmed";"Probable"},'Data entry'!$AQ$6:$AQ$200,'Data Validation'!$V$7, 'Data entry'!$BD$6:$BD$200,"&lt;&gt;*Negative*"))</f>
        <v>0</v>
      </c>
      <c r="AB67" s="15">
        <f>SUM(COUNTIFS('Data entry'!$R$6:$R$200,'Summary Data'!$A67,'Data entry'!$B$6:$B$200,{"Confirmed";"Probable"},'Data entry'!$AQ$6:$AQ$200,'Data Validation'!$V$8, 'Data entry'!$BD$6:$BD$200,"&lt;&gt;*Negative*"))</f>
        <v>0</v>
      </c>
      <c r="AC67" s="15">
        <f>SUM(COUNTIFS('Data entry'!$R$6:$R$200,'Summary Data'!$A67,'Data entry'!$B$6:$B$200,{"Confirmed";"Probable"},'Data entry'!$AQ$6:$AQ$200,'Data Validation'!$V$9, 'Data entry'!$BD$6:$BD$200,"&lt;&gt;*Negative*"))</f>
        <v>0</v>
      </c>
      <c r="AD67" s="15">
        <f>SUM(COUNTIFS('Data entry'!$R$6:$R$200,'Summary Data'!$A67,'Data entry'!$B$6:$B$200,{"Confirmed";"Probable"},'Data entry'!$AQ$6:$AQ$200,'Data Validation'!$V$10, 'Data entry'!$BD$6:$BD$200,"&lt;&gt;*Negative*"))</f>
        <v>0</v>
      </c>
      <c r="AE67" s="15">
        <f>SUM(COUNTIFS('Data entry'!$R$6:$R$200,'Summary Data'!$A67,'Data entry'!$B$6:$B$200,{"Confirmed";"Probable"},'Data entry'!$AQ$6:$AQ$200,'Data Validation'!$V$11, 'Data entry'!$BD$6:$BD$200,"&lt;&gt;*Negative*"))</f>
        <v>0</v>
      </c>
      <c r="AF67" s="15">
        <f>SUM(COUNTIFS('Data entry'!$R$6:$R$200,'Summary Data'!$A67,'Data entry'!$B$6:$B$200,{"Confirmed";"Probable"},'Data entry'!$AQ$6:$AQ$200,'Data Validation'!$V$2, 'Data entry'!$AP$6:$AP$200,'Data Validation'!$U$2, 'Data entry'!$BD$6:$BD$200,"&lt;&gt;*Negative*"))</f>
        <v>0</v>
      </c>
      <c r="AG67" s="15">
        <f>SUM(COUNTIFS('Data entry'!$R$6:$R$200,'Summary Data'!$A67,'Data entry'!$B$6:$B$200,{"Confirmed";"Probable"},'Data entry'!$AQ$6:$AQ$200,'Data Validation'!$V$2, 'Data entry'!$AP$6:$AP$200,'Data Validation'!$U$3, 'Data entry'!$BD$6:$BD$200,"&lt;&gt;*Negative*"))</f>
        <v>0</v>
      </c>
      <c r="AH67" s="15">
        <f>SUM(COUNTIFS('Data entry'!$R$6:$R$200,'Summary Data'!$A67,'Data entry'!$B$6:$B$200,{"Confirmed";"Probable"},'Data entry'!$AQ$6:$AQ$200,'Data Validation'!$V$2, 'Data entry'!$AP$6:$AP$200,'Data Validation'!$U$4, 'Data entry'!$BD$6:$BD$200,"&lt;&gt;*Negative*"))</f>
        <v>0</v>
      </c>
      <c r="AI67" s="15">
        <f>SUM(COUNTIFS('Data entry'!$R$6:$R$200,'Summary Data'!$A67,'Data entry'!$B$6:$B$200,{"Confirmed";"Probable"},'Data entry'!$AQ$6:$AQ$200,'Data Validation'!$V$2, 'Data entry'!$AP$6:$AP$200,'Data Validation'!$U$5, 'Data entry'!$BD$6:$BD$200,"&lt;&gt;*Negative*"))</f>
        <v>0</v>
      </c>
      <c r="AJ67" s="15">
        <f>SUM(COUNTIFS('Data entry'!$R$6:$R$200,'Summary Data'!$A67,'Data entry'!$B$6:$B$200,{"Confirmed";"Probable"},'Data entry'!$AQ$6:$AQ$200,'Data Validation'!$V$2, 'Data entry'!$AP$6:$AP$200,'Data Validation'!$U$6, 'Data entry'!$BD$6:$BD$200,"&lt;&gt;*Negative*"))</f>
        <v>0</v>
      </c>
      <c r="AK67" s="15">
        <f>SUM(COUNTIFS('Data entry'!$R$6:$R$200,'Summary Data'!$A67,'Data entry'!$B$6:$B$200,{"Confirmed";"Probable"},'Data entry'!$AQ$6:$AQ$200,'Data Validation'!$V$3, 'Data entry'!$AP$6:$AP$200,'Data Validation'!$U$2, 'Data entry'!$BD$6:$BD$200,"&lt;&gt;*Negative*"))</f>
        <v>0</v>
      </c>
      <c r="AL67" s="15">
        <f>SUM(COUNTIFS('Data entry'!$R$6:$R$200,'Summary Data'!$A67,'Data entry'!$B$6:$B$200,{"Confirmed";"Probable"},'Data entry'!$AQ$6:$AQ$200,'Data Validation'!$V$3, 'Data entry'!$AP$6:$AP$200,'Data Validation'!$U$3, 'Data entry'!$BD$6:$BD$200,"&lt;&gt;*Negative*"))</f>
        <v>0</v>
      </c>
      <c r="AM67" s="15">
        <f>SUM(COUNTIFS('Data entry'!$R$6:$R$200,'Summary Data'!$A67,'Data entry'!$B$6:$B$200,{"Confirmed";"Probable"},'Data entry'!$AQ$6:$AQ$200,'Data Validation'!$V$3, 'Data entry'!$AP$6:$AP$200,'Data Validation'!$U$4, 'Data entry'!$BD$6:$BD$200,"&lt;&gt;*Negative*"))</f>
        <v>0</v>
      </c>
      <c r="AN67" s="15">
        <f>SUM(COUNTIFS('Data entry'!$R$6:$R$200,'Summary Data'!$A67,'Data entry'!$B$6:$B$200,{"Confirmed";"Probable"},'Data entry'!$AQ$6:$AQ$200,'Data Validation'!$V$3, 'Data entry'!$AP$6:$AP$200,'Data Validation'!$U$5, 'Data entry'!$BD$6:$BD$200,"&lt;&gt;*Negative*"))</f>
        <v>0</v>
      </c>
      <c r="AO67" s="15">
        <f>SUM(COUNTIFS('Data entry'!$R$6:$R$200,'Summary Data'!$A67,'Data entry'!$B$6:$B$200,{"Confirmed";"Probable"},'Data entry'!$AQ$6:$AQ$200,'Data Validation'!$V$3, 'Data entry'!$AP$6:$AP$200,'Data Validation'!$U$6, 'Data entry'!$BD$6:$BD$200,"&lt;&gt;*Negative*"))</f>
        <v>0</v>
      </c>
      <c r="AP67" s="15">
        <f>SUM(COUNTIFS('Data entry'!$R$6:$R$200,'Summary Data'!$A67,'Data entry'!$B$6:$B$200,{"Confirmed";"Probable"},'Data entry'!$AQ$6:$AQ$200,'Data Validation'!$V$4, 'Data entry'!$AP$6:$AP$200,'Data Validation'!$U$2, 'Data entry'!$BD$6:$BD$200,"&lt;&gt;*Negative*"))</f>
        <v>0</v>
      </c>
      <c r="AQ67" s="15">
        <f>SUM(COUNTIFS('Data entry'!$R$6:$R$200,'Summary Data'!$A67,'Data entry'!$B$6:$B$200,{"Confirmed";"Probable"},'Data entry'!$AQ$6:$AQ$200,'Data Validation'!$V$4, 'Data entry'!$AP$6:$AP$200,'Data Validation'!$U$3, 'Data entry'!$BD$6:$BD$200,"&lt;&gt;*Negative*"))</f>
        <v>0</v>
      </c>
      <c r="AR67" s="15">
        <f>SUM(COUNTIFS('Data entry'!$R$6:$R$200,'Summary Data'!$A67,'Data entry'!$B$6:$B$200,{"Confirmed";"Probable"},'Data entry'!$AQ$6:$AQ$200,'Data Validation'!$V$4, 'Data entry'!$AP$6:$AP$200,'Data Validation'!$U$4, 'Data entry'!$BD$6:$BD$200,"&lt;&gt;*Negative*"))</f>
        <v>0</v>
      </c>
      <c r="AS67" s="15">
        <f>SUM(COUNTIFS('Data entry'!$R$6:$R$200,'Summary Data'!$A67,'Data entry'!$B$6:$B$200,{"Confirmed";"Probable"},'Data entry'!$AQ$6:$AQ$200,'Data Validation'!$V$4, 'Data entry'!$AP$6:$AP$200,'Data Validation'!$U$5, 'Data entry'!$BD$6:$BD$200,"&lt;&gt;*Negative*"))</f>
        <v>0</v>
      </c>
      <c r="AT67" s="15">
        <f>SUM(COUNTIFS('Data entry'!$R$6:$R$200,'Summary Data'!$A67,'Data entry'!$B$6:$B$200,{"Confirmed";"Probable"},'Data entry'!$AQ$6:$AQ$200,'Data Validation'!$V$4, 'Data entry'!$AP$6:$AP$200,'Data Validation'!$U$6, 'Data entry'!$BD$6:$BD$200,"&lt;&gt;*Negative*"))</f>
        <v>0</v>
      </c>
      <c r="AU67" s="15">
        <f>SUM(COUNTIFS('Data entry'!$R$6:$R$200,'Summary Data'!$A67,'Data entry'!$B$6:$B$200,{"Confirmed";"Probable"},'Data entry'!$AQ$6:$AQ$200,'Data Validation'!$V$5, 'Data entry'!$AP$6:$AP$200,'Data Validation'!$U$2, 'Data entry'!$BD$6:$BD$200,"&lt;&gt;*Negative*"))</f>
        <v>0</v>
      </c>
      <c r="AV67" s="15">
        <f>SUM(COUNTIFS('Data entry'!$R$6:$R$200,'Summary Data'!$A67,'Data entry'!$B$6:$B$200,{"Confirmed";"Probable"},'Data entry'!$AQ$6:$AQ$200,'Data Validation'!$V$5, 'Data entry'!$AP$6:$AP$200,'Data Validation'!$U$3, 'Data entry'!$BD$6:$BD$200,"&lt;&gt;*Negative*"))</f>
        <v>0</v>
      </c>
      <c r="AW67" s="15">
        <f>SUM(COUNTIFS('Data entry'!$R$6:$R$200,'Summary Data'!$A67,'Data entry'!$B$6:$B$200,{"Confirmed";"Probable"},'Data entry'!$AQ$6:$AQ$200,'Data Validation'!$V$5, 'Data entry'!$AP$6:$AP$200,'Data Validation'!$U$4, 'Data entry'!$BD$6:$BD$200,"&lt;&gt;*Negative*"))</f>
        <v>0</v>
      </c>
      <c r="AX67" s="15">
        <f>SUM(COUNTIFS('Data entry'!$R$6:$R$200,'Summary Data'!$A67,'Data entry'!$B$6:$B$200,{"Confirmed";"Probable"},'Data entry'!$AQ$6:$AQ$200,'Data Validation'!$V$5, 'Data entry'!$AP$6:$AP$200,'Data Validation'!$U$5, 'Data entry'!$BD$6:$BD$200,"&lt;&gt;*Negative*"))</f>
        <v>0</v>
      </c>
      <c r="AY67" s="15">
        <f>SUM(COUNTIFS('Data entry'!$R$6:$R$200,'Summary Data'!$A67,'Data entry'!$B$6:$B$200,{"Confirmed";"Probable"},'Data entry'!$AQ$6:$AQ$200,'Data Validation'!$V$5, 'Data entry'!$AP$6:$AP$200,'Data Validation'!$U$6, 'Data entry'!$BD$6:$BD$200,"&lt;&gt;*Negative*"))</f>
        <v>0</v>
      </c>
      <c r="AZ67" s="15">
        <f>SUM(COUNTIFS('Data entry'!$R$6:$R$200,'Summary Data'!$A67,'Data entry'!$B$6:$B$200,{"Confirmed";"Probable"},'Data entry'!$AQ$6:$AQ$200,'Data Validation'!$V$6, 'Data entry'!$AP$6:$AP$200,'Data Validation'!$U$2, 'Data entry'!$BD$6:$BD$200,"&lt;&gt;*Negative*"))</f>
        <v>0</v>
      </c>
      <c r="BA67" s="15">
        <f>SUM(COUNTIFS('Data entry'!$R$6:$R$200,'Summary Data'!$A67,'Data entry'!$B$6:$B$200,{"Confirmed";"Probable"},'Data entry'!$AQ$6:$AQ$200,'Data Validation'!$V$6, 'Data entry'!$AP$6:$AP$200,'Data Validation'!$U$3, 'Data entry'!$BD$6:$BD$200,"&lt;&gt;*Negative*"))</f>
        <v>0</v>
      </c>
      <c r="BB67" s="15">
        <f>SUM(COUNTIFS('Data entry'!$R$6:$R$200,'Summary Data'!$A67,'Data entry'!$B$6:$B$200,{"Confirmed";"Probable"},'Data entry'!$AQ$6:$AQ$200,'Data Validation'!$V$6, 'Data entry'!$AP$6:$AP$200,'Data Validation'!$U$4, 'Data entry'!$BD$6:$BD$200,"&lt;&gt;*Negative*"))</f>
        <v>0</v>
      </c>
      <c r="BC67" s="15">
        <f>SUM(COUNTIFS('Data entry'!$R$6:$R$200,'Summary Data'!$A67,'Data entry'!$B$6:$B$200,{"Confirmed";"Probable"},'Data entry'!$AQ$6:$AQ$200,'Data Validation'!$V$6, 'Data entry'!$AP$6:$AP$200,'Data Validation'!$U$5, 'Data entry'!$BD$6:$BD$200,"&lt;&gt;*Negative*"))</f>
        <v>0</v>
      </c>
      <c r="BD67" s="15">
        <f>SUM(COUNTIFS('Data entry'!$R$6:$R$200,'Summary Data'!$A67,'Data entry'!$B$6:$B$200,{"Confirmed";"Probable"},'Data entry'!$AQ$6:$AQ$200,'Data Validation'!$V$6, 'Data entry'!$AP$6:$AP$200,'Data Validation'!$U$6, 'Data entry'!$BD$6:$BD$200,"&lt;&gt;*Negative*"))</f>
        <v>0</v>
      </c>
      <c r="BE67" s="15">
        <f>SUM(COUNTIFS('Data entry'!$R$6:$R$200,'Summary Data'!$A67,'Data entry'!$B$6:$B$200,{"Confirmed";"Probable"},'Data entry'!$AQ$6:$AQ$200,'Data Validation'!$V$7, 'Data entry'!$AP$6:$AP$200,'Data Validation'!$U$2, 'Data entry'!$BD$6:$BD$200,"&lt;&gt;*Negative*"))</f>
        <v>0</v>
      </c>
      <c r="BF67" s="15">
        <f>SUM(COUNTIFS('Data entry'!$R$6:$R$200,'Summary Data'!$A67,'Data entry'!$B$6:$B$200,{"Confirmed";"Probable"},'Data entry'!$AQ$6:$AQ$200,'Data Validation'!$V$7, 'Data entry'!$AP$6:$AP$200,'Data Validation'!$U$3, 'Data entry'!$BD$6:$BD$200,"&lt;&gt;*Negative*"))</f>
        <v>0</v>
      </c>
      <c r="BG67" s="15">
        <f>SUM(COUNTIFS('Data entry'!$R$6:$R$200,'Summary Data'!$A67,'Data entry'!$B$6:$B$200,{"Confirmed";"Probable"},'Data entry'!$AQ$6:$AQ$200,'Data Validation'!$V$7, 'Data entry'!$AP$6:$AP$200,'Data Validation'!$U$4, 'Data entry'!$BD$6:$BD$200,"&lt;&gt;*Negative*"))</f>
        <v>0</v>
      </c>
      <c r="BH67" s="15">
        <f>SUM(COUNTIFS('Data entry'!$R$6:$R$200,'Summary Data'!$A67,'Data entry'!$B$6:$B$200,{"Confirmed";"Probable"},'Data entry'!$AQ$6:$AQ$200,'Data Validation'!$V$7, 'Data entry'!$AP$6:$AP$200,'Data Validation'!$U$5, 'Data entry'!$BD$6:$BD$200,"&lt;&gt;*Negative*"))</f>
        <v>0</v>
      </c>
      <c r="BI67" s="15">
        <f>SUM(COUNTIFS('Data entry'!$R$6:$R$200,'Summary Data'!$A67,'Data entry'!$B$6:$B$200,{"Confirmed";"Probable"},'Data entry'!$AQ$6:$AQ$200,'Data Validation'!$V$7, 'Data entry'!$AP$6:$AP$200,'Data Validation'!$U$6, 'Data entry'!$BD$6:$BD$200,"&lt;&gt;*Negative*"))</f>
        <v>0</v>
      </c>
      <c r="BJ67" s="15">
        <f>SUM(COUNTIFS('Data entry'!$R$6:$R$200,'Summary Data'!$A67,'Data entry'!$B$6:$B$200,{"Confirmed";"Probable"},'Data entry'!$AQ$6:$AQ$200,'Data Validation'!$V$8, 'Data entry'!$AP$6:$AP$200,'Data Validation'!$U$2, 'Data entry'!$BD$6:$BD$200,"&lt;&gt;*Negative*"))</f>
        <v>0</v>
      </c>
      <c r="BK67" s="15">
        <f>SUM(COUNTIFS('Data entry'!$R$6:$R$200,'Summary Data'!$A67,'Data entry'!$B$6:$B$200,{"Confirmed";"Probable"},'Data entry'!$AQ$6:$AQ$200,'Data Validation'!$V$8, 'Data entry'!$AP$6:$AP$200,'Data Validation'!$U$3, 'Data entry'!$BD$6:$BD$200,"&lt;&gt;*Negative*"))</f>
        <v>0</v>
      </c>
      <c r="BL67" s="15">
        <f>SUM(COUNTIFS('Data entry'!$R$6:$R$200,'Summary Data'!$A67,'Data entry'!$B$6:$B$200,{"Confirmed";"Probable"},'Data entry'!$AQ$6:$AQ$200,'Data Validation'!$V$8, 'Data entry'!$AP$6:$AP$200,'Data Validation'!$U$4, 'Data entry'!$BD$6:$BD$200,"&lt;&gt;*Negative*"))</f>
        <v>0</v>
      </c>
      <c r="BM67" s="15">
        <f>SUM(COUNTIFS('Data entry'!$R$6:$R$200,'Summary Data'!$A67,'Data entry'!$B$6:$B$200,{"Confirmed";"Probable"},'Data entry'!$AQ$6:$AQ$200,'Data Validation'!$V$8, 'Data entry'!$AP$6:$AP$200,'Data Validation'!$U$5, 'Data entry'!$BD$6:$BD$200,"&lt;&gt;*Negative*"))</f>
        <v>0</v>
      </c>
      <c r="BN67" s="15">
        <f>SUM(COUNTIFS('Data entry'!$R$6:$R$200,'Summary Data'!$A67,'Data entry'!$B$6:$B$200,{"Confirmed";"Probable"},'Data entry'!$AQ$6:$AQ$200,'Data Validation'!$V$8, 'Data entry'!$AP$6:$AP$200,'Data Validation'!$U$6, 'Data entry'!$BD$6:$BD$200,"&lt;&gt;*Negative*"))</f>
        <v>0</v>
      </c>
      <c r="BO67" s="15">
        <f>SUM(COUNTIFS('Data entry'!$R$6:$R$200,'Summary Data'!$A67,'Data entry'!$B$6:$B$200,{"Confirmed";"Probable"},'Data entry'!$AQ$6:$AQ$200,'Data Validation'!$V$9, 'Data entry'!$AP$6:$AP$200,'Data Validation'!$U$2, 'Data entry'!$BD$6:$BD$200,"&lt;&gt;*Negative*"))</f>
        <v>0</v>
      </c>
      <c r="BP67" s="15">
        <f>SUM(COUNTIFS('Data entry'!$R$6:$R$200,'Summary Data'!$A67,'Data entry'!$B$6:$B$200,{"Confirmed";"Probable"},'Data entry'!$AQ$6:$AQ$200,'Data Validation'!$V$9, 'Data entry'!$AP$6:$AP$200,'Data Validation'!$U$3, 'Data entry'!$BD$6:$BD$200,"&lt;&gt;*Negative*"))</f>
        <v>0</v>
      </c>
      <c r="BQ67" s="15">
        <f>SUM(COUNTIFS('Data entry'!$R$6:$R$200,'Summary Data'!$A67,'Data entry'!$B$6:$B$200,{"Confirmed";"Probable"},'Data entry'!$AQ$6:$AQ$200,'Data Validation'!$V$9, 'Data entry'!$AP$6:$AP$200,'Data Validation'!$U$4, 'Data entry'!$BD$6:$BD$200,"&lt;&gt;*Negative*"))</f>
        <v>0</v>
      </c>
      <c r="BR67" s="15">
        <f>SUM(COUNTIFS('Data entry'!$R$6:$R$200,'Summary Data'!$A67,'Data entry'!$B$6:$B$200,{"Confirmed";"Probable"},'Data entry'!$AQ$6:$AQ$200,'Data Validation'!$V$9, 'Data entry'!$AP$6:$AP$200,'Data Validation'!$U$5, 'Data entry'!$BD$6:$BD$200,"&lt;&gt;*Negative*"))</f>
        <v>0</v>
      </c>
      <c r="BS67" s="15">
        <f>SUM(COUNTIFS('Data entry'!$R$6:$R$200,'Summary Data'!$A67,'Data entry'!$B$6:$B$200,{"Confirmed";"Probable"},'Data entry'!$AQ$6:$AQ$200,'Data Validation'!$V$9, 'Data entry'!$AP$6:$AP$200,'Data Validation'!$U$6, 'Data entry'!$BD$6:$BD$200,"&lt;&gt;*Negative*"))</f>
        <v>0</v>
      </c>
      <c r="BT67" s="15">
        <f>SUM(COUNTIFS('Data entry'!$R$6:$R$200,'Summary Data'!$A67,'Data entry'!$B$6:$B$200,{"Confirmed";"Probable"},'Data entry'!$AQ$6:$AQ$200,'Data Validation'!$V$10, 'Data entry'!$AP$6:$AP$200,'Data Validation'!$U$2, 'Data entry'!$BD$6:$BD$200,"&lt;&gt;*Negative*"))</f>
        <v>0</v>
      </c>
      <c r="BU67" s="15">
        <f>SUM(COUNTIFS('Data entry'!$R$6:$R$200,'Summary Data'!$A67,'Data entry'!$B$6:$B$200,{"Confirmed";"Probable"},'Data entry'!$AQ$6:$AQ$200,'Data Validation'!$V$10, 'Data entry'!$AP$6:$AP$200,'Data Validation'!$U$3, 'Data entry'!$BD$6:$BD$200,"&lt;&gt;*Negative*"))</f>
        <v>0</v>
      </c>
      <c r="BV67" s="15">
        <f>SUM(COUNTIFS('Data entry'!$R$6:$R$200,'Summary Data'!$A67,'Data entry'!$B$6:$B$200,{"Confirmed";"Probable"},'Data entry'!$AQ$6:$AQ$200,'Data Validation'!$V$10, 'Data entry'!$AP$6:$AP$200,'Data Validation'!$U$4, 'Data entry'!$BD$6:$BD$200,"&lt;&gt;*Negative*"))</f>
        <v>0</v>
      </c>
      <c r="BW67" s="15">
        <f>SUM(COUNTIFS('Data entry'!$R$6:$R$200,'Summary Data'!$A67,'Data entry'!$B$6:$B$200,{"Confirmed";"Probable"},'Data entry'!$AQ$6:$AQ$200,'Data Validation'!$V$10, 'Data entry'!$AP$6:$AP$200,'Data Validation'!$U$5, 'Data entry'!$BD$6:$BD$200,"&lt;&gt;*Negative*"))</f>
        <v>0</v>
      </c>
      <c r="BX67" s="15">
        <f>SUM(COUNTIFS('Data entry'!$R$6:$R$200,'Summary Data'!$A67,'Data entry'!$B$6:$B$200,{"Confirmed";"Probable"},'Data entry'!$AQ$6:$AQ$200,'Data Validation'!$V$10, 'Data entry'!$AP$6:$AP$200,'Data Validation'!$U$6, 'Data entry'!$BD$6:$BD$200,"&lt;&gt;*Negative*"))</f>
        <v>0</v>
      </c>
      <c r="BY67" s="15">
        <f>SUM(COUNTIFS('Data entry'!$R$6:$R$200,'Summary Data'!$A67,'Data entry'!$B$6:$B$200,{"Confirmed";"Probable"},'Data entry'!$AQ$6:$AQ$200,'Data Validation'!$V$11, 'Data entry'!$AP$6:$AP$200,'Data Validation'!$U$2, 'Data entry'!$BD$6:$BD$200,"&lt;&gt;*Negative*"))</f>
        <v>0</v>
      </c>
      <c r="BZ67" s="15">
        <f>SUM(COUNTIFS('Data entry'!$R$6:$R$200,'Summary Data'!$A67,'Data entry'!$B$6:$B$200,{"Confirmed";"Probable"},'Data entry'!$AQ$6:$AQ$200,'Data Validation'!$V$11, 'Data entry'!$AP$6:$AP$200,'Data Validation'!$U$3, 'Data entry'!$BD$6:$BD$200,"&lt;&gt;*Negative*"))</f>
        <v>0</v>
      </c>
      <c r="CA67" s="15">
        <f>SUM(COUNTIFS('Data entry'!$R$6:$R$200,'Summary Data'!$A67,'Data entry'!$B$6:$B$200,{"Confirmed";"Probable"},'Data entry'!$AQ$6:$AQ$200,'Data Validation'!$V$11, 'Data entry'!$AP$6:$AP$200,'Data Validation'!$U$4, 'Data entry'!$BD$6:$BD$200,"&lt;&gt;*Negative*"))</f>
        <v>0</v>
      </c>
      <c r="CB67" s="15">
        <f>SUM(COUNTIFS('Data entry'!$R$6:$R$200,'Summary Data'!$A67,'Data entry'!$B$6:$B$200,{"Confirmed";"Probable"},'Data entry'!$AQ$6:$AQ$200,'Data Validation'!$V$11, 'Data entry'!$AP$6:$AP$200,'Data Validation'!$U$5, 'Data entry'!$BD$6:$BD$200,"&lt;&gt;*Negative*"))</f>
        <v>0</v>
      </c>
      <c r="CC67" s="15">
        <f>SUM(COUNTIFS('Data entry'!$R$6:$R$200,'Summary Data'!$A67,'Data entry'!$B$6:$B$200,{"Confirmed";"Probable"},'Data entry'!$AQ$6:$AQ$200,'Data Validation'!$V$11, 'Data entry'!$AP$6:$AP$200,'Data Validation'!$U$6, 'Data entry'!$BD$6:$BD$200,"&lt;&gt;*Negative*"))</f>
        <v>0</v>
      </c>
    </row>
    <row r="68" spans="1:81" x14ac:dyDescent="0.25">
      <c r="A68" s="12">
        <f t="shared" si="5"/>
        <v>56</v>
      </c>
      <c r="B68" s="13">
        <f t="shared" si="2"/>
        <v>0</v>
      </c>
      <c r="C68" s="13">
        <f>COUNTIFS('Data entry'!$R$6:$R$200,$A68,'Data entry'!$B$6:$B$200,"Confirmed",'Data entry'!$BD$6:$BD$200,"&lt;&gt;*Negative*")</f>
        <v>0</v>
      </c>
      <c r="D68" s="13">
        <f>COUNTIFS('Data entry'!$R$6:$R$200,$A68,'Data entry'!$B$6:$B$200,"Probable",'Data entry'!$BD$6:$BD$200,"&lt;&gt;*Negative*")</f>
        <v>0</v>
      </c>
      <c r="E68" s="13">
        <f>COUNTIFS('Data entry'!$R$6:$R$200,$A68,'Data entry'!$B$6:$B$200,"DNM")</f>
        <v>0</v>
      </c>
      <c r="F68" s="13">
        <f>SUM(COUNTIFS('Data entry'!$R$6:$R$200,'Summary Data'!$A68,'Data entry'!$B$6:$B$200,{"Confirmed";"Probable"},'Data entry'!$AO$6:$AO$200,$F$10, 'Data entry'!$BD$6:$BD$200,"&lt;&gt;*Negative*"))</f>
        <v>0</v>
      </c>
      <c r="G68" s="13">
        <f>SUM(COUNTIFS('Data entry'!$R$6:$R$200,'Summary Data'!$A68,'Data entry'!$B$6:$B$200,{"Confirmed";"Probable"},'Data entry'!$AO$6:$AO$200,$G$10, 'Data entry'!$BD$6:$BD$200,"&lt;&gt;*Negative*"))</f>
        <v>0</v>
      </c>
      <c r="H68" s="13">
        <f>SUM(COUNTIFS('Data entry'!$R$6:$R$200,'Summary Data'!$A68,'Data entry'!$B$6:$B$200,{"Confirmed";"Probable"},'Data entry'!$AO$6:$AO$200,$H$10, 'Data entry'!$BD$6:$BD$200,"&lt;&gt;*Negative*"))</f>
        <v>0</v>
      </c>
      <c r="I68" s="13">
        <f>SUM(COUNTIFS('Data entry'!$R$6:$R$200,'Summary Data'!$A68,'Data entry'!$B$6:$B$200,{"Confirmed";"Probable"},'Data entry'!$AO$6:$AO$200,$I$10, 'Data entry'!$BD$6:$BD$200,"&lt;&gt;*Negative*"))</f>
        <v>0</v>
      </c>
      <c r="J68" s="13">
        <f>SUM(COUNTIFS('Data entry'!$R$6:$R$200,'Summary Data'!$A68,'Data entry'!$B$6:$B$200,{"Confirmed";"Probable"},'Data entry'!$AO$6:$AO$200,$J$10, 'Data entry'!$BD$6:$BD$200,"&lt;&gt;*Negative*"))</f>
        <v>0</v>
      </c>
      <c r="K68" s="13">
        <f>SUM(COUNTIFS('Data entry'!$R$6:$R$200,'Summary Data'!$A68,'Data entry'!$B$6:$B$200,{"Confirmed";"Probable"},'Data entry'!$AO$6:$AO$200,$K$10, 'Data entry'!$BD$6:$BD$200,"&lt;&gt;*Negative*"))</f>
        <v>0</v>
      </c>
      <c r="L68" s="13">
        <f>SUM(COUNTIFS('Data entry'!$R$6:$R$200,'Summary Data'!$A68,'Data entry'!$B$6:$B$200,{"Confirmed";"Probable"},'Data entry'!$AO$6:$AO$200,$L$10, 'Data entry'!$BD$6:$BD$200,"&lt;&gt;*Negative*"))</f>
        <v>0</v>
      </c>
      <c r="M68" s="13">
        <f>SUM(COUNTIFS('Data entry'!$R$6:$R$200,'Summary Data'!$A68,'Data entry'!$B$6:$B$200,{"Confirmed";"Probable"},'Data entry'!$AO$6:$AO$200,$M$10, 'Data entry'!$BD$6:$BD$200,"&lt;&gt;*Negative*"))</f>
        <v>0</v>
      </c>
      <c r="N68" s="13">
        <f>SUM(COUNTIFS('Data entry'!$R$6:$R$200,'Summary Data'!$A68,'Data entry'!$B$6:$B$200,{"Confirmed";"Probable"},'Data entry'!$AO$6:$AO$200,$N$10, 'Data entry'!$BD$6:$BD$200,"&lt;&gt;*Negative*"))</f>
        <v>0</v>
      </c>
      <c r="O68" s="15">
        <f t="shared" si="3"/>
        <v>0</v>
      </c>
      <c r="P68" s="15">
        <f t="shared" si="4"/>
        <v>0</v>
      </c>
      <c r="Q68" s="15">
        <f>SUM(COUNTIFS('Data entry'!$R$6:$R$200,'Summary Data'!$A68,'Data entry'!$B$6:$B$200,{"Confirmed";"Probable"},'Data entry'!$AP$6:$AP$200,'Data Validation'!$U$2, 'Data entry'!$BD$6:$BD$200,"&lt;&gt;*Negative*"))</f>
        <v>0</v>
      </c>
      <c r="R68" s="15">
        <f>SUM(COUNTIFS('Data entry'!$R$6:$R$200,'Summary Data'!$A68,'Data entry'!$B$6:$B$200,{"Confirmed";"Probable"},'Data entry'!$AP$6:$AP$200,'Data Validation'!$U$3, 'Data entry'!$BD$6:$BD$200,"&lt;&gt;*Negative*"))</f>
        <v>0</v>
      </c>
      <c r="S68" s="15">
        <f>SUM(COUNTIFS('Data entry'!$R$6:$R$200,'Summary Data'!$A68,'Data entry'!$B$6:$B$200,{"Confirmed";"Probable"},'Data entry'!$AP$6:$AP$200,'Data Validation'!$U$4, 'Data entry'!$BD$6:$BD$200,"&lt;&gt;*Negative*"))</f>
        <v>0</v>
      </c>
      <c r="T68" s="15">
        <f>SUM(COUNTIFS('Data entry'!$R$6:$R$200,'Summary Data'!$A68,'Data entry'!$B$6:$B$200,{"Confirmed";"Probable"},'Data entry'!$AP$6:$AP$200,'Data Validation'!$U$5, 'Data entry'!$BD$6:$BD$200,"&lt;&gt;*Negative*"))</f>
        <v>0</v>
      </c>
      <c r="U68" s="15">
        <f>SUM(COUNTIFS('Data entry'!$R$6:$R$200,'Summary Data'!$A68,'Data entry'!$B$6:$B$200,{"Confirmed";"Probable"},'Data entry'!$AP$6:$AP$200,'Data Validation'!$U$6, 'Data entry'!$BD$6:$BD$200,"&lt;&gt;*Negative*"))</f>
        <v>0</v>
      </c>
      <c r="V68" s="15">
        <f>SUM(COUNTIFS('Data entry'!$R$6:$R$200,'Summary Data'!$A68,'Data entry'!$B$6:$B$200,{"Confirmed";"Probable"},'Data entry'!$AQ$6:$AQ$200,'Data Validation'!$V$2, 'Data entry'!$BD$6:$BD$200,"&lt;&gt;*Negative*"))</f>
        <v>0</v>
      </c>
      <c r="W68" s="15">
        <f>SUM(COUNTIFS('Data entry'!$R$6:$R$200,'Summary Data'!$A68,'Data entry'!$B$6:$B$200,{"Confirmed";"Probable"},'Data entry'!$AQ$6:$AQ$200,'Data Validation'!$V$3, 'Data entry'!$BD$6:$BD$200,"&lt;&gt;*Negative*"))</f>
        <v>0</v>
      </c>
      <c r="X68" s="15">
        <f>SUM(COUNTIFS('Data entry'!$R$6:$R$200,'Summary Data'!$A68,'Data entry'!$B$6:$B$200,{"Confirmed";"Probable"},'Data entry'!$AQ$6:$AQ$200,'Data Validation'!$V$4, 'Data entry'!$BD$6:$BD$200,"&lt;&gt;*Negative*"))</f>
        <v>0</v>
      </c>
      <c r="Y68" s="15">
        <f>SUM(COUNTIFS('Data entry'!$R$6:$R$200,'Summary Data'!$A68,'Data entry'!$B$6:$B$200,{"Confirmed";"Probable"},'Data entry'!$AQ$6:$AQ$200,'Data Validation'!$V$5, 'Data entry'!$BD$6:$BD$200,"&lt;&gt;*Negative*"))</f>
        <v>0</v>
      </c>
      <c r="Z68" s="15">
        <f>SUM(COUNTIFS('Data entry'!$R$6:$R$200,'Summary Data'!$A68,'Data entry'!$B$6:$B$200,{"Confirmed";"Probable"},'Data entry'!$AQ$6:$AQ$200,'Data Validation'!$V$6, 'Data entry'!$BD$6:$BD$200,"&lt;&gt;*Negative*"))</f>
        <v>0</v>
      </c>
      <c r="AA68" s="15">
        <f>SUM(COUNTIFS('Data entry'!$R$6:$R$200,'Summary Data'!$A68,'Data entry'!$B$6:$B$200,{"Confirmed";"Probable"},'Data entry'!$AQ$6:$AQ$200,'Data Validation'!$V$7, 'Data entry'!$BD$6:$BD$200,"&lt;&gt;*Negative*"))</f>
        <v>0</v>
      </c>
      <c r="AB68" s="15">
        <f>SUM(COUNTIFS('Data entry'!$R$6:$R$200,'Summary Data'!$A68,'Data entry'!$B$6:$B$200,{"Confirmed";"Probable"},'Data entry'!$AQ$6:$AQ$200,'Data Validation'!$V$8, 'Data entry'!$BD$6:$BD$200,"&lt;&gt;*Negative*"))</f>
        <v>0</v>
      </c>
      <c r="AC68" s="15">
        <f>SUM(COUNTIFS('Data entry'!$R$6:$R$200,'Summary Data'!$A68,'Data entry'!$B$6:$B$200,{"Confirmed";"Probable"},'Data entry'!$AQ$6:$AQ$200,'Data Validation'!$V$9, 'Data entry'!$BD$6:$BD$200,"&lt;&gt;*Negative*"))</f>
        <v>0</v>
      </c>
      <c r="AD68" s="15">
        <f>SUM(COUNTIFS('Data entry'!$R$6:$R$200,'Summary Data'!$A68,'Data entry'!$B$6:$B$200,{"Confirmed";"Probable"},'Data entry'!$AQ$6:$AQ$200,'Data Validation'!$V$10, 'Data entry'!$BD$6:$BD$200,"&lt;&gt;*Negative*"))</f>
        <v>0</v>
      </c>
      <c r="AE68" s="15">
        <f>SUM(COUNTIFS('Data entry'!$R$6:$R$200,'Summary Data'!$A68,'Data entry'!$B$6:$B$200,{"Confirmed";"Probable"},'Data entry'!$AQ$6:$AQ$200,'Data Validation'!$V$11, 'Data entry'!$BD$6:$BD$200,"&lt;&gt;*Negative*"))</f>
        <v>0</v>
      </c>
      <c r="AF68" s="15">
        <f>SUM(COUNTIFS('Data entry'!$R$6:$R$200,'Summary Data'!$A68,'Data entry'!$B$6:$B$200,{"Confirmed";"Probable"},'Data entry'!$AQ$6:$AQ$200,'Data Validation'!$V$2, 'Data entry'!$AP$6:$AP$200,'Data Validation'!$U$2, 'Data entry'!$BD$6:$BD$200,"&lt;&gt;*Negative*"))</f>
        <v>0</v>
      </c>
      <c r="AG68" s="15">
        <f>SUM(COUNTIFS('Data entry'!$R$6:$R$200,'Summary Data'!$A68,'Data entry'!$B$6:$B$200,{"Confirmed";"Probable"},'Data entry'!$AQ$6:$AQ$200,'Data Validation'!$V$2, 'Data entry'!$AP$6:$AP$200,'Data Validation'!$U$3, 'Data entry'!$BD$6:$BD$200,"&lt;&gt;*Negative*"))</f>
        <v>0</v>
      </c>
      <c r="AH68" s="15">
        <f>SUM(COUNTIFS('Data entry'!$R$6:$R$200,'Summary Data'!$A68,'Data entry'!$B$6:$B$200,{"Confirmed";"Probable"},'Data entry'!$AQ$6:$AQ$200,'Data Validation'!$V$2, 'Data entry'!$AP$6:$AP$200,'Data Validation'!$U$4, 'Data entry'!$BD$6:$BD$200,"&lt;&gt;*Negative*"))</f>
        <v>0</v>
      </c>
      <c r="AI68" s="15">
        <f>SUM(COUNTIFS('Data entry'!$R$6:$R$200,'Summary Data'!$A68,'Data entry'!$B$6:$B$200,{"Confirmed";"Probable"},'Data entry'!$AQ$6:$AQ$200,'Data Validation'!$V$2, 'Data entry'!$AP$6:$AP$200,'Data Validation'!$U$5, 'Data entry'!$BD$6:$BD$200,"&lt;&gt;*Negative*"))</f>
        <v>0</v>
      </c>
      <c r="AJ68" s="15">
        <f>SUM(COUNTIFS('Data entry'!$R$6:$R$200,'Summary Data'!$A68,'Data entry'!$B$6:$B$200,{"Confirmed";"Probable"},'Data entry'!$AQ$6:$AQ$200,'Data Validation'!$V$2, 'Data entry'!$AP$6:$AP$200,'Data Validation'!$U$6, 'Data entry'!$BD$6:$BD$200,"&lt;&gt;*Negative*"))</f>
        <v>0</v>
      </c>
      <c r="AK68" s="15">
        <f>SUM(COUNTIFS('Data entry'!$R$6:$R$200,'Summary Data'!$A68,'Data entry'!$B$6:$B$200,{"Confirmed";"Probable"},'Data entry'!$AQ$6:$AQ$200,'Data Validation'!$V$3, 'Data entry'!$AP$6:$AP$200,'Data Validation'!$U$2, 'Data entry'!$BD$6:$BD$200,"&lt;&gt;*Negative*"))</f>
        <v>0</v>
      </c>
      <c r="AL68" s="15">
        <f>SUM(COUNTIFS('Data entry'!$R$6:$R$200,'Summary Data'!$A68,'Data entry'!$B$6:$B$200,{"Confirmed";"Probable"},'Data entry'!$AQ$6:$AQ$200,'Data Validation'!$V$3, 'Data entry'!$AP$6:$AP$200,'Data Validation'!$U$3, 'Data entry'!$BD$6:$BD$200,"&lt;&gt;*Negative*"))</f>
        <v>0</v>
      </c>
      <c r="AM68" s="15">
        <f>SUM(COUNTIFS('Data entry'!$R$6:$R$200,'Summary Data'!$A68,'Data entry'!$B$6:$B$200,{"Confirmed";"Probable"},'Data entry'!$AQ$6:$AQ$200,'Data Validation'!$V$3, 'Data entry'!$AP$6:$AP$200,'Data Validation'!$U$4, 'Data entry'!$BD$6:$BD$200,"&lt;&gt;*Negative*"))</f>
        <v>0</v>
      </c>
      <c r="AN68" s="15">
        <f>SUM(COUNTIFS('Data entry'!$R$6:$R$200,'Summary Data'!$A68,'Data entry'!$B$6:$B$200,{"Confirmed";"Probable"},'Data entry'!$AQ$6:$AQ$200,'Data Validation'!$V$3, 'Data entry'!$AP$6:$AP$200,'Data Validation'!$U$5, 'Data entry'!$BD$6:$BD$200,"&lt;&gt;*Negative*"))</f>
        <v>0</v>
      </c>
      <c r="AO68" s="15">
        <f>SUM(COUNTIFS('Data entry'!$R$6:$R$200,'Summary Data'!$A68,'Data entry'!$B$6:$B$200,{"Confirmed";"Probable"},'Data entry'!$AQ$6:$AQ$200,'Data Validation'!$V$3, 'Data entry'!$AP$6:$AP$200,'Data Validation'!$U$6, 'Data entry'!$BD$6:$BD$200,"&lt;&gt;*Negative*"))</f>
        <v>0</v>
      </c>
      <c r="AP68" s="15">
        <f>SUM(COUNTIFS('Data entry'!$R$6:$R$200,'Summary Data'!$A68,'Data entry'!$B$6:$B$200,{"Confirmed";"Probable"},'Data entry'!$AQ$6:$AQ$200,'Data Validation'!$V$4, 'Data entry'!$AP$6:$AP$200,'Data Validation'!$U$2, 'Data entry'!$BD$6:$BD$200,"&lt;&gt;*Negative*"))</f>
        <v>0</v>
      </c>
      <c r="AQ68" s="15">
        <f>SUM(COUNTIFS('Data entry'!$R$6:$R$200,'Summary Data'!$A68,'Data entry'!$B$6:$B$200,{"Confirmed";"Probable"},'Data entry'!$AQ$6:$AQ$200,'Data Validation'!$V$4, 'Data entry'!$AP$6:$AP$200,'Data Validation'!$U$3, 'Data entry'!$BD$6:$BD$200,"&lt;&gt;*Negative*"))</f>
        <v>0</v>
      </c>
      <c r="AR68" s="15">
        <f>SUM(COUNTIFS('Data entry'!$R$6:$R$200,'Summary Data'!$A68,'Data entry'!$B$6:$B$200,{"Confirmed";"Probable"},'Data entry'!$AQ$6:$AQ$200,'Data Validation'!$V$4, 'Data entry'!$AP$6:$AP$200,'Data Validation'!$U$4, 'Data entry'!$BD$6:$BD$200,"&lt;&gt;*Negative*"))</f>
        <v>0</v>
      </c>
      <c r="AS68" s="15">
        <f>SUM(COUNTIFS('Data entry'!$R$6:$R$200,'Summary Data'!$A68,'Data entry'!$B$6:$B$200,{"Confirmed";"Probable"},'Data entry'!$AQ$6:$AQ$200,'Data Validation'!$V$4, 'Data entry'!$AP$6:$AP$200,'Data Validation'!$U$5, 'Data entry'!$BD$6:$BD$200,"&lt;&gt;*Negative*"))</f>
        <v>0</v>
      </c>
      <c r="AT68" s="15">
        <f>SUM(COUNTIFS('Data entry'!$R$6:$R$200,'Summary Data'!$A68,'Data entry'!$B$6:$B$200,{"Confirmed";"Probable"},'Data entry'!$AQ$6:$AQ$200,'Data Validation'!$V$4, 'Data entry'!$AP$6:$AP$200,'Data Validation'!$U$6, 'Data entry'!$BD$6:$BD$200,"&lt;&gt;*Negative*"))</f>
        <v>0</v>
      </c>
      <c r="AU68" s="15">
        <f>SUM(COUNTIFS('Data entry'!$R$6:$R$200,'Summary Data'!$A68,'Data entry'!$B$6:$B$200,{"Confirmed";"Probable"},'Data entry'!$AQ$6:$AQ$200,'Data Validation'!$V$5, 'Data entry'!$AP$6:$AP$200,'Data Validation'!$U$2, 'Data entry'!$BD$6:$BD$200,"&lt;&gt;*Negative*"))</f>
        <v>0</v>
      </c>
      <c r="AV68" s="15">
        <f>SUM(COUNTIFS('Data entry'!$R$6:$R$200,'Summary Data'!$A68,'Data entry'!$B$6:$B$200,{"Confirmed";"Probable"},'Data entry'!$AQ$6:$AQ$200,'Data Validation'!$V$5, 'Data entry'!$AP$6:$AP$200,'Data Validation'!$U$3, 'Data entry'!$BD$6:$BD$200,"&lt;&gt;*Negative*"))</f>
        <v>0</v>
      </c>
      <c r="AW68" s="15">
        <f>SUM(COUNTIFS('Data entry'!$R$6:$R$200,'Summary Data'!$A68,'Data entry'!$B$6:$B$200,{"Confirmed";"Probable"},'Data entry'!$AQ$6:$AQ$200,'Data Validation'!$V$5, 'Data entry'!$AP$6:$AP$200,'Data Validation'!$U$4, 'Data entry'!$BD$6:$BD$200,"&lt;&gt;*Negative*"))</f>
        <v>0</v>
      </c>
      <c r="AX68" s="15">
        <f>SUM(COUNTIFS('Data entry'!$R$6:$R$200,'Summary Data'!$A68,'Data entry'!$B$6:$B$200,{"Confirmed";"Probable"},'Data entry'!$AQ$6:$AQ$200,'Data Validation'!$V$5, 'Data entry'!$AP$6:$AP$200,'Data Validation'!$U$5, 'Data entry'!$BD$6:$BD$200,"&lt;&gt;*Negative*"))</f>
        <v>0</v>
      </c>
      <c r="AY68" s="15">
        <f>SUM(COUNTIFS('Data entry'!$R$6:$R$200,'Summary Data'!$A68,'Data entry'!$B$6:$B$200,{"Confirmed";"Probable"},'Data entry'!$AQ$6:$AQ$200,'Data Validation'!$V$5, 'Data entry'!$AP$6:$AP$200,'Data Validation'!$U$6, 'Data entry'!$BD$6:$BD$200,"&lt;&gt;*Negative*"))</f>
        <v>0</v>
      </c>
      <c r="AZ68" s="15">
        <f>SUM(COUNTIFS('Data entry'!$R$6:$R$200,'Summary Data'!$A68,'Data entry'!$B$6:$B$200,{"Confirmed";"Probable"},'Data entry'!$AQ$6:$AQ$200,'Data Validation'!$V$6, 'Data entry'!$AP$6:$AP$200,'Data Validation'!$U$2, 'Data entry'!$BD$6:$BD$200,"&lt;&gt;*Negative*"))</f>
        <v>0</v>
      </c>
      <c r="BA68" s="15">
        <f>SUM(COUNTIFS('Data entry'!$R$6:$R$200,'Summary Data'!$A68,'Data entry'!$B$6:$B$200,{"Confirmed";"Probable"},'Data entry'!$AQ$6:$AQ$200,'Data Validation'!$V$6, 'Data entry'!$AP$6:$AP$200,'Data Validation'!$U$3, 'Data entry'!$BD$6:$BD$200,"&lt;&gt;*Negative*"))</f>
        <v>0</v>
      </c>
      <c r="BB68" s="15">
        <f>SUM(COUNTIFS('Data entry'!$R$6:$R$200,'Summary Data'!$A68,'Data entry'!$B$6:$B$200,{"Confirmed";"Probable"},'Data entry'!$AQ$6:$AQ$200,'Data Validation'!$V$6, 'Data entry'!$AP$6:$AP$200,'Data Validation'!$U$4, 'Data entry'!$BD$6:$BD$200,"&lt;&gt;*Negative*"))</f>
        <v>0</v>
      </c>
      <c r="BC68" s="15">
        <f>SUM(COUNTIFS('Data entry'!$R$6:$R$200,'Summary Data'!$A68,'Data entry'!$B$6:$B$200,{"Confirmed";"Probable"},'Data entry'!$AQ$6:$AQ$200,'Data Validation'!$V$6, 'Data entry'!$AP$6:$AP$200,'Data Validation'!$U$5, 'Data entry'!$BD$6:$BD$200,"&lt;&gt;*Negative*"))</f>
        <v>0</v>
      </c>
      <c r="BD68" s="15">
        <f>SUM(COUNTIFS('Data entry'!$R$6:$R$200,'Summary Data'!$A68,'Data entry'!$B$6:$B$200,{"Confirmed";"Probable"},'Data entry'!$AQ$6:$AQ$200,'Data Validation'!$V$6, 'Data entry'!$AP$6:$AP$200,'Data Validation'!$U$6, 'Data entry'!$BD$6:$BD$200,"&lt;&gt;*Negative*"))</f>
        <v>0</v>
      </c>
      <c r="BE68" s="15">
        <f>SUM(COUNTIFS('Data entry'!$R$6:$R$200,'Summary Data'!$A68,'Data entry'!$B$6:$B$200,{"Confirmed";"Probable"},'Data entry'!$AQ$6:$AQ$200,'Data Validation'!$V$7, 'Data entry'!$AP$6:$AP$200,'Data Validation'!$U$2, 'Data entry'!$BD$6:$BD$200,"&lt;&gt;*Negative*"))</f>
        <v>0</v>
      </c>
      <c r="BF68" s="15">
        <f>SUM(COUNTIFS('Data entry'!$R$6:$R$200,'Summary Data'!$A68,'Data entry'!$B$6:$B$200,{"Confirmed";"Probable"},'Data entry'!$AQ$6:$AQ$200,'Data Validation'!$V$7, 'Data entry'!$AP$6:$AP$200,'Data Validation'!$U$3, 'Data entry'!$BD$6:$BD$200,"&lt;&gt;*Negative*"))</f>
        <v>0</v>
      </c>
      <c r="BG68" s="15">
        <f>SUM(COUNTIFS('Data entry'!$R$6:$R$200,'Summary Data'!$A68,'Data entry'!$B$6:$B$200,{"Confirmed";"Probable"},'Data entry'!$AQ$6:$AQ$200,'Data Validation'!$V$7, 'Data entry'!$AP$6:$AP$200,'Data Validation'!$U$4, 'Data entry'!$BD$6:$BD$200,"&lt;&gt;*Negative*"))</f>
        <v>0</v>
      </c>
      <c r="BH68" s="15">
        <f>SUM(COUNTIFS('Data entry'!$R$6:$R$200,'Summary Data'!$A68,'Data entry'!$B$6:$B$200,{"Confirmed";"Probable"},'Data entry'!$AQ$6:$AQ$200,'Data Validation'!$V$7, 'Data entry'!$AP$6:$AP$200,'Data Validation'!$U$5, 'Data entry'!$BD$6:$BD$200,"&lt;&gt;*Negative*"))</f>
        <v>0</v>
      </c>
      <c r="BI68" s="15">
        <f>SUM(COUNTIFS('Data entry'!$R$6:$R$200,'Summary Data'!$A68,'Data entry'!$B$6:$B$200,{"Confirmed";"Probable"},'Data entry'!$AQ$6:$AQ$200,'Data Validation'!$V$7, 'Data entry'!$AP$6:$AP$200,'Data Validation'!$U$6, 'Data entry'!$BD$6:$BD$200,"&lt;&gt;*Negative*"))</f>
        <v>0</v>
      </c>
      <c r="BJ68" s="15">
        <f>SUM(COUNTIFS('Data entry'!$R$6:$R$200,'Summary Data'!$A68,'Data entry'!$B$6:$B$200,{"Confirmed";"Probable"},'Data entry'!$AQ$6:$AQ$200,'Data Validation'!$V$8, 'Data entry'!$AP$6:$AP$200,'Data Validation'!$U$2, 'Data entry'!$BD$6:$BD$200,"&lt;&gt;*Negative*"))</f>
        <v>0</v>
      </c>
      <c r="BK68" s="15">
        <f>SUM(COUNTIFS('Data entry'!$R$6:$R$200,'Summary Data'!$A68,'Data entry'!$B$6:$B$200,{"Confirmed";"Probable"},'Data entry'!$AQ$6:$AQ$200,'Data Validation'!$V$8, 'Data entry'!$AP$6:$AP$200,'Data Validation'!$U$3, 'Data entry'!$BD$6:$BD$200,"&lt;&gt;*Negative*"))</f>
        <v>0</v>
      </c>
      <c r="BL68" s="15">
        <f>SUM(COUNTIFS('Data entry'!$R$6:$R$200,'Summary Data'!$A68,'Data entry'!$B$6:$B$200,{"Confirmed";"Probable"},'Data entry'!$AQ$6:$AQ$200,'Data Validation'!$V$8, 'Data entry'!$AP$6:$AP$200,'Data Validation'!$U$4, 'Data entry'!$BD$6:$BD$200,"&lt;&gt;*Negative*"))</f>
        <v>0</v>
      </c>
      <c r="BM68" s="15">
        <f>SUM(COUNTIFS('Data entry'!$R$6:$R$200,'Summary Data'!$A68,'Data entry'!$B$6:$B$200,{"Confirmed";"Probable"},'Data entry'!$AQ$6:$AQ$200,'Data Validation'!$V$8, 'Data entry'!$AP$6:$AP$200,'Data Validation'!$U$5, 'Data entry'!$BD$6:$BD$200,"&lt;&gt;*Negative*"))</f>
        <v>0</v>
      </c>
      <c r="BN68" s="15">
        <f>SUM(COUNTIFS('Data entry'!$R$6:$R$200,'Summary Data'!$A68,'Data entry'!$B$6:$B$200,{"Confirmed";"Probable"},'Data entry'!$AQ$6:$AQ$200,'Data Validation'!$V$8, 'Data entry'!$AP$6:$AP$200,'Data Validation'!$U$6, 'Data entry'!$BD$6:$BD$200,"&lt;&gt;*Negative*"))</f>
        <v>0</v>
      </c>
      <c r="BO68" s="15">
        <f>SUM(COUNTIFS('Data entry'!$R$6:$R$200,'Summary Data'!$A68,'Data entry'!$B$6:$B$200,{"Confirmed";"Probable"},'Data entry'!$AQ$6:$AQ$200,'Data Validation'!$V$9, 'Data entry'!$AP$6:$AP$200,'Data Validation'!$U$2, 'Data entry'!$BD$6:$BD$200,"&lt;&gt;*Negative*"))</f>
        <v>0</v>
      </c>
      <c r="BP68" s="15">
        <f>SUM(COUNTIFS('Data entry'!$R$6:$R$200,'Summary Data'!$A68,'Data entry'!$B$6:$B$200,{"Confirmed";"Probable"},'Data entry'!$AQ$6:$AQ$200,'Data Validation'!$V$9, 'Data entry'!$AP$6:$AP$200,'Data Validation'!$U$3, 'Data entry'!$BD$6:$BD$200,"&lt;&gt;*Negative*"))</f>
        <v>0</v>
      </c>
      <c r="BQ68" s="15">
        <f>SUM(COUNTIFS('Data entry'!$R$6:$R$200,'Summary Data'!$A68,'Data entry'!$B$6:$B$200,{"Confirmed";"Probable"},'Data entry'!$AQ$6:$AQ$200,'Data Validation'!$V$9, 'Data entry'!$AP$6:$AP$200,'Data Validation'!$U$4, 'Data entry'!$BD$6:$BD$200,"&lt;&gt;*Negative*"))</f>
        <v>0</v>
      </c>
      <c r="BR68" s="15">
        <f>SUM(COUNTIFS('Data entry'!$R$6:$R$200,'Summary Data'!$A68,'Data entry'!$B$6:$B$200,{"Confirmed";"Probable"},'Data entry'!$AQ$6:$AQ$200,'Data Validation'!$V$9, 'Data entry'!$AP$6:$AP$200,'Data Validation'!$U$5, 'Data entry'!$BD$6:$BD$200,"&lt;&gt;*Negative*"))</f>
        <v>0</v>
      </c>
      <c r="BS68" s="15">
        <f>SUM(COUNTIFS('Data entry'!$R$6:$R$200,'Summary Data'!$A68,'Data entry'!$B$6:$B$200,{"Confirmed";"Probable"},'Data entry'!$AQ$6:$AQ$200,'Data Validation'!$V$9, 'Data entry'!$AP$6:$AP$200,'Data Validation'!$U$6, 'Data entry'!$BD$6:$BD$200,"&lt;&gt;*Negative*"))</f>
        <v>0</v>
      </c>
      <c r="BT68" s="15">
        <f>SUM(COUNTIFS('Data entry'!$R$6:$R$200,'Summary Data'!$A68,'Data entry'!$B$6:$B$200,{"Confirmed";"Probable"},'Data entry'!$AQ$6:$AQ$200,'Data Validation'!$V$10, 'Data entry'!$AP$6:$AP$200,'Data Validation'!$U$2, 'Data entry'!$BD$6:$BD$200,"&lt;&gt;*Negative*"))</f>
        <v>0</v>
      </c>
      <c r="BU68" s="15">
        <f>SUM(COUNTIFS('Data entry'!$R$6:$R$200,'Summary Data'!$A68,'Data entry'!$B$6:$B$200,{"Confirmed";"Probable"},'Data entry'!$AQ$6:$AQ$200,'Data Validation'!$V$10, 'Data entry'!$AP$6:$AP$200,'Data Validation'!$U$3, 'Data entry'!$BD$6:$BD$200,"&lt;&gt;*Negative*"))</f>
        <v>0</v>
      </c>
      <c r="BV68" s="15">
        <f>SUM(COUNTIFS('Data entry'!$R$6:$R$200,'Summary Data'!$A68,'Data entry'!$B$6:$B$200,{"Confirmed";"Probable"},'Data entry'!$AQ$6:$AQ$200,'Data Validation'!$V$10, 'Data entry'!$AP$6:$AP$200,'Data Validation'!$U$4, 'Data entry'!$BD$6:$BD$200,"&lt;&gt;*Negative*"))</f>
        <v>0</v>
      </c>
      <c r="BW68" s="15">
        <f>SUM(COUNTIFS('Data entry'!$R$6:$R$200,'Summary Data'!$A68,'Data entry'!$B$6:$B$200,{"Confirmed";"Probable"},'Data entry'!$AQ$6:$AQ$200,'Data Validation'!$V$10, 'Data entry'!$AP$6:$AP$200,'Data Validation'!$U$5, 'Data entry'!$BD$6:$BD$200,"&lt;&gt;*Negative*"))</f>
        <v>0</v>
      </c>
      <c r="BX68" s="15">
        <f>SUM(COUNTIFS('Data entry'!$R$6:$R$200,'Summary Data'!$A68,'Data entry'!$B$6:$B$200,{"Confirmed";"Probable"},'Data entry'!$AQ$6:$AQ$200,'Data Validation'!$V$10, 'Data entry'!$AP$6:$AP$200,'Data Validation'!$U$6, 'Data entry'!$BD$6:$BD$200,"&lt;&gt;*Negative*"))</f>
        <v>0</v>
      </c>
      <c r="BY68" s="15">
        <f>SUM(COUNTIFS('Data entry'!$R$6:$R$200,'Summary Data'!$A68,'Data entry'!$B$6:$B$200,{"Confirmed";"Probable"},'Data entry'!$AQ$6:$AQ$200,'Data Validation'!$V$11, 'Data entry'!$AP$6:$AP$200,'Data Validation'!$U$2, 'Data entry'!$BD$6:$BD$200,"&lt;&gt;*Negative*"))</f>
        <v>0</v>
      </c>
      <c r="BZ68" s="15">
        <f>SUM(COUNTIFS('Data entry'!$R$6:$R$200,'Summary Data'!$A68,'Data entry'!$B$6:$B$200,{"Confirmed";"Probable"},'Data entry'!$AQ$6:$AQ$200,'Data Validation'!$V$11, 'Data entry'!$AP$6:$AP$200,'Data Validation'!$U$3, 'Data entry'!$BD$6:$BD$200,"&lt;&gt;*Negative*"))</f>
        <v>0</v>
      </c>
      <c r="CA68" s="15">
        <f>SUM(COUNTIFS('Data entry'!$R$6:$R$200,'Summary Data'!$A68,'Data entry'!$B$6:$B$200,{"Confirmed";"Probable"},'Data entry'!$AQ$6:$AQ$200,'Data Validation'!$V$11, 'Data entry'!$AP$6:$AP$200,'Data Validation'!$U$4, 'Data entry'!$BD$6:$BD$200,"&lt;&gt;*Negative*"))</f>
        <v>0</v>
      </c>
      <c r="CB68" s="15">
        <f>SUM(COUNTIFS('Data entry'!$R$6:$R$200,'Summary Data'!$A68,'Data entry'!$B$6:$B$200,{"Confirmed";"Probable"},'Data entry'!$AQ$6:$AQ$200,'Data Validation'!$V$11, 'Data entry'!$AP$6:$AP$200,'Data Validation'!$U$5, 'Data entry'!$BD$6:$BD$200,"&lt;&gt;*Negative*"))</f>
        <v>0</v>
      </c>
      <c r="CC68" s="15">
        <f>SUM(COUNTIFS('Data entry'!$R$6:$R$200,'Summary Data'!$A68,'Data entry'!$B$6:$B$200,{"Confirmed";"Probable"},'Data entry'!$AQ$6:$AQ$200,'Data Validation'!$V$11, 'Data entry'!$AP$6:$AP$200,'Data Validation'!$U$6, 'Data entry'!$BD$6:$BD$200,"&lt;&gt;*Negative*"))</f>
        <v>0</v>
      </c>
    </row>
    <row r="69" spans="1:81" x14ac:dyDescent="0.25">
      <c r="A69" s="12">
        <f t="shared" si="5"/>
        <v>57</v>
      </c>
      <c r="B69" s="13">
        <f t="shared" si="2"/>
        <v>0</v>
      </c>
      <c r="C69" s="13">
        <f>COUNTIFS('Data entry'!$R$6:$R$200,$A69,'Data entry'!$B$6:$B$200,"Confirmed",'Data entry'!$BD$6:$BD$200,"&lt;&gt;*Negative*")</f>
        <v>0</v>
      </c>
      <c r="D69" s="13">
        <f>COUNTIFS('Data entry'!$R$6:$R$200,$A69,'Data entry'!$B$6:$B$200,"Probable",'Data entry'!$BD$6:$BD$200,"&lt;&gt;*Negative*")</f>
        <v>0</v>
      </c>
      <c r="E69" s="13">
        <f>COUNTIFS('Data entry'!$R$6:$R$200,$A69,'Data entry'!$B$6:$B$200,"DNM")</f>
        <v>0</v>
      </c>
      <c r="F69" s="13">
        <f>SUM(COUNTIFS('Data entry'!$R$6:$R$200,'Summary Data'!$A69,'Data entry'!$B$6:$B$200,{"Confirmed";"Probable"},'Data entry'!$AO$6:$AO$200,$F$10, 'Data entry'!$BD$6:$BD$200,"&lt;&gt;*Negative*"))</f>
        <v>0</v>
      </c>
      <c r="G69" s="13">
        <f>SUM(COUNTIFS('Data entry'!$R$6:$R$200,'Summary Data'!$A69,'Data entry'!$B$6:$B$200,{"Confirmed";"Probable"},'Data entry'!$AO$6:$AO$200,$G$10, 'Data entry'!$BD$6:$BD$200,"&lt;&gt;*Negative*"))</f>
        <v>0</v>
      </c>
      <c r="H69" s="13">
        <f>SUM(COUNTIFS('Data entry'!$R$6:$R$200,'Summary Data'!$A69,'Data entry'!$B$6:$B$200,{"Confirmed";"Probable"},'Data entry'!$AO$6:$AO$200,$H$10, 'Data entry'!$BD$6:$BD$200,"&lt;&gt;*Negative*"))</f>
        <v>0</v>
      </c>
      <c r="I69" s="13">
        <f>SUM(COUNTIFS('Data entry'!$R$6:$R$200,'Summary Data'!$A69,'Data entry'!$B$6:$B$200,{"Confirmed";"Probable"},'Data entry'!$AO$6:$AO$200,$I$10, 'Data entry'!$BD$6:$BD$200,"&lt;&gt;*Negative*"))</f>
        <v>0</v>
      </c>
      <c r="J69" s="13">
        <f>SUM(COUNTIFS('Data entry'!$R$6:$R$200,'Summary Data'!$A69,'Data entry'!$B$6:$B$200,{"Confirmed";"Probable"},'Data entry'!$AO$6:$AO$200,$J$10, 'Data entry'!$BD$6:$BD$200,"&lt;&gt;*Negative*"))</f>
        <v>0</v>
      </c>
      <c r="K69" s="13">
        <f>SUM(COUNTIFS('Data entry'!$R$6:$R$200,'Summary Data'!$A69,'Data entry'!$B$6:$B$200,{"Confirmed";"Probable"},'Data entry'!$AO$6:$AO$200,$K$10, 'Data entry'!$BD$6:$BD$200,"&lt;&gt;*Negative*"))</f>
        <v>0</v>
      </c>
      <c r="L69" s="13">
        <f>SUM(COUNTIFS('Data entry'!$R$6:$R$200,'Summary Data'!$A69,'Data entry'!$B$6:$B$200,{"Confirmed";"Probable"},'Data entry'!$AO$6:$AO$200,$L$10, 'Data entry'!$BD$6:$BD$200,"&lt;&gt;*Negative*"))</f>
        <v>0</v>
      </c>
      <c r="M69" s="13">
        <f>SUM(COUNTIFS('Data entry'!$R$6:$R$200,'Summary Data'!$A69,'Data entry'!$B$6:$B$200,{"Confirmed";"Probable"},'Data entry'!$AO$6:$AO$200,$M$10, 'Data entry'!$BD$6:$BD$200,"&lt;&gt;*Negative*"))</f>
        <v>0</v>
      </c>
      <c r="N69" s="13">
        <f>SUM(COUNTIFS('Data entry'!$R$6:$R$200,'Summary Data'!$A69,'Data entry'!$B$6:$B$200,{"Confirmed";"Probable"},'Data entry'!$AO$6:$AO$200,$N$10, 'Data entry'!$BD$6:$BD$200,"&lt;&gt;*Negative*"))</f>
        <v>0</v>
      </c>
      <c r="O69" s="15">
        <f t="shared" si="3"/>
        <v>0</v>
      </c>
      <c r="P69" s="15">
        <f t="shared" si="4"/>
        <v>0</v>
      </c>
      <c r="Q69" s="15">
        <f>SUM(COUNTIFS('Data entry'!$R$6:$R$200,'Summary Data'!$A69,'Data entry'!$B$6:$B$200,{"Confirmed";"Probable"},'Data entry'!$AP$6:$AP$200,'Data Validation'!$U$2, 'Data entry'!$BD$6:$BD$200,"&lt;&gt;*Negative*"))</f>
        <v>0</v>
      </c>
      <c r="R69" s="15">
        <f>SUM(COUNTIFS('Data entry'!$R$6:$R$200,'Summary Data'!$A69,'Data entry'!$B$6:$B$200,{"Confirmed";"Probable"},'Data entry'!$AP$6:$AP$200,'Data Validation'!$U$3, 'Data entry'!$BD$6:$BD$200,"&lt;&gt;*Negative*"))</f>
        <v>0</v>
      </c>
      <c r="S69" s="15">
        <f>SUM(COUNTIFS('Data entry'!$R$6:$R$200,'Summary Data'!$A69,'Data entry'!$B$6:$B$200,{"Confirmed";"Probable"},'Data entry'!$AP$6:$AP$200,'Data Validation'!$U$4, 'Data entry'!$BD$6:$BD$200,"&lt;&gt;*Negative*"))</f>
        <v>0</v>
      </c>
      <c r="T69" s="15">
        <f>SUM(COUNTIFS('Data entry'!$R$6:$R$200,'Summary Data'!$A69,'Data entry'!$B$6:$B$200,{"Confirmed";"Probable"},'Data entry'!$AP$6:$AP$200,'Data Validation'!$U$5, 'Data entry'!$BD$6:$BD$200,"&lt;&gt;*Negative*"))</f>
        <v>0</v>
      </c>
      <c r="U69" s="15">
        <f>SUM(COUNTIFS('Data entry'!$R$6:$R$200,'Summary Data'!$A69,'Data entry'!$B$6:$B$200,{"Confirmed";"Probable"},'Data entry'!$AP$6:$AP$200,'Data Validation'!$U$6, 'Data entry'!$BD$6:$BD$200,"&lt;&gt;*Negative*"))</f>
        <v>0</v>
      </c>
      <c r="V69" s="15">
        <f>SUM(COUNTIFS('Data entry'!$R$6:$R$200,'Summary Data'!$A69,'Data entry'!$B$6:$B$200,{"Confirmed";"Probable"},'Data entry'!$AQ$6:$AQ$200,'Data Validation'!$V$2, 'Data entry'!$BD$6:$BD$200,"&lt;&gt;*Negative*"))</f>
        <v>0</v>
      </c>
      <c r="W69" s="15">
        <f>SUM(COUNTIFS('Data entry'!$R$6:$R$200,'Summary Data'!$A69,'Data entry'!$B$6:$B$200,{"Confirmed";"Probable"},'Data entry'!$AQ$6:$AQ$200,'Data Validation'!$V$3, 'Data entry'!$BD$6:$BD$200,"&lt;&gt;*Negative*"))</f>
        <v>0</v>
      </c>
      <c r="X69" s="15">
        <f>SUM(COUNTIFS('Data entry'!$R$6:$R$200,'Summary Data'!$A69,'Data entry'!$B$6:$B$200,{"Confirmed";"Probable"},'Data entry'!$AQ$6:$AQ$200,'Data Validation'!$V$4, 'Data entry'!$BD$6:$BD$200,"&lt;&gt;*Negative*"))</f>
        <v>0</v>
      </c>
      <c r="Y69" s="15">
        <f>SUM(COUNTIFS('Data entry'!$R$6:$R$200,'Summary Data'!$A69,'Data entry'!$B$6:$B$200,{"Confirmed";"Probable"},'Data entry'!$AQ$6:$AQ$200,'Data Validation'!$V$5, 'Data entry'!$BD$6:$BD$200,"&lt;&gt;*Negative*"))</f>
        <v>0</v>
      </c>
      <c r="Z69" s="15">
        <f>SUM(COUNTIFS('Data entry'!$R$6:$R$200,'Summary Data'!$A69,'Data entry'!$B$6:$B$200,{"Confirmed";"Probable"},'Data entry'!$AQ$6:$AQ$200,'Data Validation'!$V$6, 'Data entry'!$BD$6:$BD$200,"&lt;&gt;*Negative*"))</f>
        <v>0</v>
      </c>
      <c r="AA69" s="15">
        <f>SUM(COUNTIFS('Data entry'!$R$6:$R$200,'Summary Data'!$A69,'Data entry'!$B$6:$B$200,{"Confirmed";"Probable"},'Data entry'!$AQ$6:$AQ$200,'Data Validation'!$V$7, 'Data entry'!$BD$6:$BD$200,"&lt;&gt;*Negative*"))</f>
        <v>0</v>
      </c>
      <c r="AB69" s="15">
        <f>SUM(COUNTIFS('Data entry'!$R$6:$R$200,'Summary Data'!$A69,'Data entry'!$B$6:$B$200,{"Confirmed";"Probable"},'Data entry'!$AQ$6:$AQ$200,'Data Validation'!$V$8, 'Data entry'!$BD$6:$BD$200,"&lt;&gt;*Negative*"))</f>
        <v>0</v>
      </c>
      <c r="AC69" s="15">
        <f>SUM(COUNTIFS('Data entry'!$R$6:$R$200,'Summary Data'!$A69,'Data entry'!$B$6:$B$200,{"Confirmed";"Probable"},'Data entry'!$AQ$6:$AQ$200,'Data Validation'!$V$9, 'Data entry'!$BD$6:$BD$200,"&lt;&gt;*Negative*"))</f>
        <v>0</v>
      </c>
      <c r="AD69" s="15">
        <f>SUM(COUNTIFS('Data entry'!$R$6:$R$200,'Summary Data'!$A69,'Data entry'!$B$6:$B$200,{"Confirmed";"Probable"},'Data entry'!$AQ$6:$AQ$200,'Data Validation'!$V$10, 'Data entry'!$BD$6:$BD$200,"&lt;&gt;*Negative*"))</f>
        <v>0</v>
      </c>
      <c r="AE69" s="15">
        <f>SUM(COUNTIFS('Data entry'!$R$6:$R$200,'Summary Data'!$A69,'Data entry'!$B$6:$B$200,{"Confirmed";"Probable"},'Data entry'!$AQ$6:$AQ$200,'Data Validation'!$V$11, 'Data entry'!$BD$6:$BD$200,"&lt;&gt;*Negative*"))</f>
        <v>0</v>
      </c>
      <c r="AF69" s="15">
        <f>SUM(COUNTIFS('Data entry'!$R$6:$R$200,'Summary Data'!$A69,'Data entry'!$B$6:$B$200,{"Confirmed";"Probable"},'Data entry'!$AQ$6:$AQ$200,'Data Validation'!$V$2, 'Data entry'!$AP$6:$AP$200,'Data Validation'!$U$2, 'Data entry'!$BD$6:$BD$200,"&lt;&gt;*Negative*"))</f>
        <v>0</v>
      </c>
      <c r="AG69" s="15">
        <f>SUM(COUNTIFS('Data entry'!$R$6:$R$200,'Summary Data'!$A69,'Data entry'!$B$6:$B$200,{"Confirmed";"Probable"},'Data entry'!$AQ$6:$AQ$200,'Data Validation'!$V$2, 'Data entry'!$AP$6:$AP$200,'Data Validation'!$U$3, 'Data entry'!$BD$6:$BD$200,"&lt;&gt;*Negative*"))</f>
        <v>0</v>
      </c>
      <c r="AH69" s="15">
        <f>SUM(COUNTIFS('Data entry'!$R$6:$R$200,'Summary Data'!$A69,'Data entry'!$B$6:$B$200,{"Confirmed";"Probable"},'Data entry'!$AQ$6:$AQ$200,'Data Validation'!$V$2, 'Data entry'!$AP$6:$AP$200,'Data Validation'!$U$4, 'Data entry'!$BD$6:$BD$200,"&lt;&gt;*Negative*"))</f>
        <v>0</v>
      </c>
      <c r="AI69" s="15">
        <f>SUM(COUNTIFS('Data entry'!$R$6:$R$200,'Summary Data'!$A69,'Data entry'!$B$6:$B$200,{"Confirmed";"Probable"},'Data entry'!$AQ$6:$AQ$200,'Data Validation'!$V$2, 'Data entry'!$AP$6:$AP$200,'Data Validation'!$U$5, 'Data entry'!$BD$6:$BD$200,"&lt;&gt;*Negative*"))</f>
        <v>0</v>
      </c>
      <c r="AJ69" s="15">
        <f>SUM(COUNTIFS('Data entry'!$R$6:$R$200,'Summary Data'!$A69,'Data entry'!$B$6:$B$200,{"Confirmed";"Probable"},'Data entry'!$AQ$6:$AQ$200,'Data Validation'!$V$2, 'Data entry'!$AP$6:$AP$200,'Data Validation'!$U$6, 'Data entry'!$BD$6:$BD$200,"&lt;&gt;*Negative*"))</f>
        <v>0</v>
      </c>
      <c r="AK69" s="15">
        <f>SUM(COUNTIFS('Data entry'!$R$6:$R$200,'Summary Data'!$A69,'Data entry'!$B$6:$B$200,{"Confirmed";"Probable"},'Data entry'!$AQ$6:$AQ$200,'Data Validation'!$V$3, 'Data entry'!$AP$6:$AP$200,'Data Validation'!$U$2, 'Data entry'!$BD$6:$BD$200,"&lt;&gt;*Negative*"))</f>
        <v>0</v>
      </c>
      <c r="AL69" s="15">
        <f>SUM(COUNTIFS('Data entry'!$R$6:$R$200,'Summary Data'!$A69,'Data entry'!$B$6:$B$200,{"Confirmed";"Probable"},'Data entry'!$AQ$6:$AQ$200,'Data Validation'!$V$3, 'Data entry'!$AP$6:$AP$200,'Data Validation'!$U$3, 'Data entry'!$BD$6:$BD$200,"&lt;&gt;*Negative*"))</f>
        <v>0</v>
      </c>
      <c r="AM69" s="15">
        <f>SUM(COUNTIFS('Data entry'!$R$6:$R$200,'Summary Data'!$A69,'Data entry'!$B$6:$B$200,{"Confirmed";"Probable"},'Data entry'!$AQ$6:$AQ$200,'Data Validation'!$V$3, 'Data entry'!$AP$6:$AP$200,'Data Validation'!$U$4, 'Data entry'!$BD$6:$BD$200,"&lt;&gt;*Negative*"))</f>
        <v>0</v>
      </c>
      <c r="AN69" s="15">
        <f>SUM(COUNTIFS('Data entry'!$R$6:$R$200,'Summary Data'!$A69,'Data entry'!$B$6:$B$200,{"Confirmed";"Probable"},'Data entry'!$AQ$6:$AQ$200,'Data Validation'!$V$3, 'Data entry'!$AP$6:$AP$200,'Data Validation'!$U$5, 'Data entry'!$BD$6:$BD$200,"&lt;&gt;*Negative*"))</f>
        <v>0</v>
      </c>
      <c r="AO69" s="15">
        <f>SUM(COUNTIFS('Data entry'!$R$6:$R$200,'Summary Data'!$A69,'Data entry'!$B$6:$B$200,{"Confirmed";"Probable"},'Data entry'!$AQ$6:$AQ$200,'Data Validation'!$V$3, 'Data entry'!$AP$6:$AP$200,'Data Validation'!$U$6, 'Data entry'!$BD$6:$BD$200,"&lt;&gt;*Negative*"))</f>
        <v>0</v>
      </c>
      <c r="AP69" s="15">
        <f>SUM(COUNTIFS('Data entry'!$R$6:$R$200,'Summary Data'!$A69,'Data entry'!$B$6:$B$200,{"Confirmed";"Probable"},'Data entry'!$AQ$6:$AQ$200,'Data Validation'!$V$4, 'Data entry'!$AP$6:$AP$200,'Data Validation'!$U$2, 'Data entry'!$BD$6:$BD$200,"&lt;&gt;*Negative*"))</f>
        <v>0</v>
      </c>
      <c r="AQ69" s="15">
        <f>SUM(COUNTIFS('Data entry'!$R$6:$R$200,'Summary Data'!$A69,'Data entry'!$B$6:$B$200,{"Confirmed";"Probable"},'Data entry'!$AQ$6:$AQ$200,'Data Validation'!$V$4, 'Data entry'!$AP$6:$AP$200,'Data Validation'!$U$3, 'Data entry'!$BD$6:$BD$200,"&lt;&gt;*Negative*"))</f>
        <v>0</v>
      </c>
      <c r="AR69" s="15">
        <f>SUM(COUNTIFS('Data entry'!$R$6:$R$200,'Summary Data'!$A69,'Data entry'!$B$6:$B$200,{"Confirmed";"Probable"},'Data entry'!$AQ$6:$AQ$200,'Data Validation'!$V$4, 'Data entry'!$AP$6:$AP$200,'Data Validation'!$U$4, 'Data entry'!$BD$6:$BD$200,"&lt;&gt;*Negative*"))</f>
        <v>0</v>
      </c>
      <c r="AS69" s="15">
        <f>SUM(COUNTIFS('Data entry'!$R$6:$R$200,'Summary Data'!$A69,'Data entry'!$B$6:$B$200,{"Confirmed";"Probable"},'Data entry'!$AQ$6:$AQ$200,'Data Validation'!$V$4, 'Data entry'!$AP$6:$AP$200,'Data Validation'!$U$5, 'Data entry'!$BD$6:$BD$200,"&lt;&gt;*Negative*"))</f>
        <v>0</v>
      </c>
      <c r="AT69" s="15">
        <f>SUM(COUNTIFS('Data entry'!$R$6:$R$200,'Summary Data'!$A69,'Data entry'!$B$6:$B$200,{"Confirmed";"Probable"},'Data entry'!$AQ$6:$AQ$200,'Data Validation'!$V$4, 'Data entry'!$AP$6:$AP$200,'Data Validation'!$U$6, 'Data entry'!$BD$6:$BD$200,"&lt;&gt;*Negative*"))</f>
        <v>0</v>
      </c>
      <c r="AU69" s="15">
        <f>SUM(COUNTIFS('Data entry'!$R$6:$R$200,'Summary Data'!$A69,'Data entry'!$B$6:$B$200,{"Confirmed";"Probable"},'Data entry'!$AQ$6:$AQ$200,'Data Validation'!$V$5, 'Data entry'!$AP$6:$AP$200,'Data Validation'!$U$2, 'Data entry'!$BD$6:$BD$200,"&lt;&gt;*Negative*"))</f>
        <v>0</v>
      </c>
      <c r="AV69" s="15">
        <f>SUM(COUNTIFS('Data entry'!$R$6:$R$200,'Summary Data'!$A69,'Data entry'!$B$6:$B$200,{"Confirmed";"Probable"},'Data entry'!$AQ$6:$AQ$200,'Data Validation'!$V$5, 'Data entry'!$AP$6:$AP$200,'Data Validation'!$U$3, 'Data entry'!$BD$6:$BD$200,"&lt;&gt;*Negative*"))</f>
        <v>0</v>
      </c>
      <c r="AW69" s="15">
        <f>SUM(COUNTIFS('Data entry'!$R$6:$R$200,'Summary Data'!$A69,'Data entry'!$B$6:$B$200,{"Confirmed";"Probable"},'Data entry'!$AQ$6:$AQ$200,'Data Validation'!$V$5, 'Data entry'!$AP$6:$AP$200,'Data Validation'!$U$4, 'Data entry'!$BD$6:$BD$200,"&lt;&gt;*Negative*"))</f>
        <v>0</v>
      </c>
      <c r="AX69" s="15">
        <f>SUM(COUNTIFS('Data entry'!$R$6:$R$200,'Summary Data'!$A69,'Data entry'!$B$6:$B$200,{"Confirmed";"Probable"},'Data entry'!$AQ$6:$AQ$200,'Data Validation'!$V$5, 'Data entry'!$AP$6:$AP$200,'Data Validation'!$U$5, 'Data entry'!$BD$6:$BD$200,"&lt;&gt;*Negative*"))</f>
        <v>0</v>
      </c>
      <c r="AY69" s="15">
        <f>SUM(COUNTIFS('Data entry'!$R$6:$R$200,'Summary Data'!$A69,'Data entry'!$B$6:$B$200,{"Confirmed";"Probable"},'Data entry'!$AQ$6:$AQ$200,'Data Validation'!$V$5, 'Data entry'!$AP$6:$AP$200,'Data Validation'!$U$6, 'Data entry'!$BD$6:$BD$200,"&lt;&gt;*Negative*"))</f>
        <v>0</v>
      </c>
      <c r="AZ69" s="15">
        <f>SUM(COUNTIFS('Data entry'!$R$6:$R$200,'Summary Data'!$A69,'Data entry'!$B$6:$B$200,{"Confirmed";"Probable"},'Data entry'!$AQ$6:$AQ$200,'Data Validation'!$V$6, 'Data entry'!$AP$6:$AP$200,'Data Validation'!$U$2, 'Data entry'!$BD$6:$BD$200,"&lt;&gt;*Negative*"))</f>
        <v>0</v>
      </c>
      <c r="BA69" s="15">
        <f>SUM(COUNTIFS('Data entry'!$R$6:$R$200,'Summary Data'!$A69,'Data entry'!$B$6:$B$200,{"Confirmed";"Probable"},'Data entry'!$AQ$6:$AQ$200,'Data Validation'!$V$6, 'Data entry'!$AP$6:$AP$200,'Data Validation'!$U$3, 'Data entry'!$BD$6:$BD$200,"&lt;&gt;*Negative*"))</f>
        <v>0</v>
      </c>
      <c r="BB69" s="15">
        <f>SUM(COUNTIFS('Data entry'!$R$6:$R$200,'Summary Data'!$A69,'Data entry'!$B$6:$B$200,{"Confirmed";"Probable"},'Data entry'!$AQ$6:$AQ$200,'Data Validation'!$V$6, 'Data entry'!$AP$6:$AP$200,'Data Validation'!$U$4, 'Data entry'!$BD$6:$BD$200,"&lt;&gt;*Negative*"))</f>
        <v>0</v>
      </c>
      <c r="BC69" s="15">
        <f>SUM(COUNTIFS('Data entry'!$R$6:$R$200,'Summary Data'!$A69,'Data entry'!$B$6:$B$200,{"Confirmed";"Probable"},'Data entry'!$AQ$6:$AQ$200,'Data Validation'!$V$6, 'Data entry'!$AP$6:$AP$200,'Data Validation'!$U$5, 'Data entry'!$BD$6:$BD$200,"&lt;&gt;*Negative*"))</f>
        <v>0</v>
      </c>
      <c r="BD69" s="15">
        <f>SUM(COUNTIFS('Data entry'!$R$6:$R$200,'Summary Data'!$A69,'Data entry'!$B$6:$B$200,{"Confirmed";"Probable"},'Data entry'!$AQ$6:$AQ$200,'Data Validation'!$V$6, 'Data entry'!$AP$6:$AP$200,'Data Validation'!$U$6, 'Data entry'!$BD$6:$BD$200,"&lt;&gt;*Negative*"))</f>
        <v>0</v>
      </c>
      <c r="BE69" s="15">
        <f>SUM(COUNTIFS('Data entry'!$R$6:$R$200,'Summary Data'!$A69,'Data entry'!$B$6:$B$200,{"Confirmed";"Probable"},'Data entry'!$AQ$6:$AQ$200,'Data Validation'!$V$7, 'Data entry'!$AP$6:$AP$200,'Data Validation'!$U$2, 'Data entry'!$BD$6:$BD$200,"&lt;&gt;*Negative*"))</f>
        <v>0</v>
      </c>
      <c r="BF69" s="15">
        <f>SUM(COUNTIFS('Data entry'!$R$6:$R$200,'Summary Data'!$A69,'Data entry'!$B$6:$B$200,{"Confirmed";"Probable"},'Data entry'!$AQ$6:$AQ$200,'Data Validation'!$V$7, 'Data entry'!$AP$6:$AP$200,'Data Validation'!$U$3, 'Data entry'!$BD$6:$BD$200,"&lt;&gt;*Negative*"))</f>
        <v>0</v>
      </c>
      <c r="BG69" s="15">
        <f>SUM(COUNTIFS('Data entry'!$R$6:$R$200,'Summary Data'!$A69,'Data entry'!$B$6:$B$200,{"Confirmed";"Probable"},'Data entry'!$AQ$6:$AQ$200,'Data Validation'!$V$7, 'Data entry'!$AP$6:$AP$200,'Data Validation'!$U$4, 'Data entry'!$BD$6:$BD$200,"&lt;&gt;*Negative*"))</f>
        <v>0</v>
      </c>
      <c r="BH69" s="15">
        <f>SUM(COUNTIFS('Data entry'!$R$6:$R$200,'Summary Data'!$A69,'Data entry'!$B$6:$B$200,{"Confirmed";"Probable"},'Data entry'!$AQ$6:$AQ$200,'Data Validation'!$V$7, 'Data entry'!$AP$6:$AP$200,'Data Validation'!$U$5, 'Data entry'!$BD$6:$BD$200,"&lt;&gt;*Negative*"))</f>
        <v>0</v>
      </c>
      <c r="BI69" s="15">
        <f>SUM(COUNTIFS('Data entry'!$R$6:$R$200,'Summary Data'!$A69,'Data entry'!$B$6:$B$200,{"Confirmed";"Probable"},'Data entry'!$AQ$6:$AQ$200,'Data Validation'!$V$7, 'Data entry'!$AP$6:$AP$200,'Data Validation'!$U$6, 'Data entry'!$BD$6:$BD$200,"&lt;&gt;*Negative*"))</f>
        <v>0</v>
      </c>
      <c r="BJ69" s="15">
        <f>SUM(COUNTIFS('Data entry'!$R$6:$R$200,'Summary Data'!$A69,'Data entry'!$B$6:$B$200,{"Confirmed";"Probable"},'Data entry'!$AQ$6:$AQ$200,'Data Validation'!$V$8, 'Data entry'!$AP$6:$AP$200,'Data Validation'!$U$2, 'Data entry'!$BD$6:$BD$200,"&lt;&gt;*Negative*"))</f>
        <v>0</v>
      </c>
      <c r="BK69" s="15">
        <f>SUM(COUNTIFS('Data entry'!$R$6:$R$200,'Summary Data'!$A69,'Data entry'!$B$6:$B$200,{"Confirmed";"Probable"},'Data entry'!$AQ$6:$AQ$200,'Data Validation'!$V$8, 'Data entry'!$AP$6:$AP$200,'Data Validation'!$U$3, 'Data entry'!$BD$6:$BD$200,"&lt;&gt;*Negative*"))</f>
        <v>0</v>
      </c>
      <c r="BL69" s="15">
        <f>SUM(COUNTIFS('Data entry'!$R$6:$R$200,'Summary Data'!$A69,'Data entry'!$B$6:$B$200,{"Confirmed";"Probable"},'Data entry'!$AQ$6:$AQ$200,'Data Validation'!$V$8, 'Data entry'!$AP$6:$AP$200,'Data Validation'!$U$4, 'Data entry'!$BD$6:$BD$200,"&lt;&gt;*Negative*"))</f>
        <v>0</v>
      </c>
      <c r="BM69" s="15">
        <f>SUM(COUNTIFS('Data entry'!$R$6:$R$200,'Summary Data'!$A69,'Data entry'!$B$6:$B$200,{"Confirmed";"Probable"},'Data entry'!$AQ$6:$AQ$200,'Data Validation'!$V$8, 'Data entry'!$AP$6:$AP$200,'Data Validation'!$U$5, 'Data entry'!$BD$6:$BD$200,"&lt;&gt;*Negative*"))</f>
        <v>0</v>
      </c>
      <c r="BN69" s="15">
        <f>SUM(COUNTIFS('Data entry'!$R$6:$R$200,'Summary Data'!$A69,'Data entry'!$B$6:$B$200,{"Confirmed";"Probable"},'Data entry'!$AQ$6:$AQ$200,'Data Validation'!$V$8, 'Data entry'!$AP$6:$AP$200,'Data Validation'!$U$6, 'Data entry'!$BD$6:$BD$200,"&lt;&gt;*Negative*"))</f>
        <v>0</v>
      </c>
      <c r="BO69" s="15">
        <f>SUM(COUNTIFS('Data entry'!$R$6:$R$200,'Summary Data'!$A69,'Data entry'!$B$6:$B$200,{"Confirmed";"Probable"},'Data entry'!$AQ$6:$AQ$200,'Data Validation'!$V$9, 'Data entry'!$AP$6:$AP$200,'Data Validation'!$U$2, 'Data entry'!$BD$6:$BD$200,"&lt;&gt;*Negative*"))</f>
        <v>0</v>
      </c>
      <c r="BP69" s="15">
        <f>SUM(COUNTIFS('Data entry'!$R$6:$R$200,'Summary Data'!$A69,'Data entry'!$B$6:$B$200,{"Confirmed";"Probable"},'Data entry'!$AQ$6:$AQ$200,'Data Validation'!$V$9, 'Data entry'!$AP$6:$AP$200,'Data Validation'!$U$3, 'Data entry'!$BD$6:$BD$200,"&lt;&gt;*Negative*"))</f>
        <v>0</v>
      </c>
      <c r="BQ69" s="15">
        <f>SUM(COUNTIFS('Data entry'!$R$6:$R$200,'Summary Data'!$A69,'Data entry'!$B$6:$B$200,{"Confirmed";"Probable"},'Data entry'!$AQ$6:$AQ$200,'Data Validation'!$V$9, 'Data entry'!$AP$6:$AP$200,'Data Validation'!$U$4, 'Data entry'!$BD$6:$BD$200,"&lt;&gt;*Negative*"))</f>
        <v>0</v>
      </c>
      <c r="BR69" s="15">
        <f>SUM(COUNTIFS('Data entry'!$R$6:$R$200,'Summary Data'!$A69,'Data entry'!$B$6:$B$200,{"Confirmed";"Probable"},'Data entry'!$AQ$6:$AQ$200,'Data Validation'!$V$9, 'Data entry'!$AP$6:$AP$200,'Data Validation'!$U$5, 'Data entry'!$BD$6:$BD$200,"&lt;&gt;*Negative*"))</f>
        <v>0</v>
      </c>
      <c r="BS69" s="15">
        <f>SUM(COUNTIFS('Data entry'!$R$6:$R$200,'Summary Data'!$A69,'Data entry'!$B$6:$B$200,{"Confirmed";"Probable"},'Data entry'!$AQ$6:$AQ$200,'Data Validation'!$V$9, 'Data entry'!$AP$6:$AP$200,'Data Validation'!$U$6, 'Data entry'!$BD$6:$BD$200,"&lt;&gt;*Negative*"))</f>
        <v>0</v>
      </c>
      <c r="BT69" s="15">
        <f>SUM(COUNTIFS('Data entry'!$R$6:$R$200,'Summary Data'!$A69,'Data entry'!$B$6:$B$200,{"Confirmed";"Probable"},'Data entry'!$AQ$6:$AQ$200,'Data Validation'!$V$10, 'Data entry'!$AP$6:$AP$200,'Data Validation'!$U$2, 'Data entry'!$BD$6:$BD$200,"&lt;&gt;*Negative*"))</f>
        <v>0</v>
      </c>
      <c r="BU69" s="15">
        <f>SUM(COUNTIFS('Data entry'!$R$6:$R$200,'Summary Data'!$A69,'Data entry'!$B$6:$B$200,{"Confirmed";"Probable"},'Data entry'!$AQ$6:$AQ$200,'Data Validation'!$V$10, 'Data entry'!$AP$6:$AP$200,'Data Validation'!$U$3, 'Data entry'!$BD$6:$BD$200,"&lt;&gt;*Negative*"))</f>
        <v>0</v>
      </c>
      <c r="BV69" s="15">
        <f>SUM(COUNTIFS('Data entry'!$R$6:$R$200,'Summary Data'!$A69,'Data entry'!$B$6:$B$200,{"Confirmed";"Probable"},'Data entry'!$AQ$6:$AQ$200,'Data Validation'!$V$10, 'Data entry'!$AP$6:$AP$200,'Data Validation'!$U$4, 'Data entry'!$BD$6:$BD$200,"&lt;&gt;*Negative*"))</f>
        <v>0</v>
      </c>
      <c r="BW69" s="15">
        <f>SUM(COUNTIFS('Data entry'!$R$6:$R$200,'Summary Data'!$A69,'Data entry'!$B$6:$B$200,{"Confirmed";"Probable"},'Data entry'!$AQ$6:$AQ$200,'Data Validation'!$V$10, 'Data entry'!$AP$6:$AP$200,'Data Validation'!$U$5, 'Data entry'!$BD$6:$BD$200,"&lt;&gt;*Negative*"))</f>
        <v>0</v>
      </c>
      <c r="BX69" s="15">
        <f>SUM(COUNTIFS('Data entry'!$R$6:$R$200,'Summary Data'!$A69,'Data entry'!$B$6:$B$200,{"Confirmed";"Probable"},'Data entry'!$AQ$6:$AQ$200,'Data Validation'!$V$10, 'Data entry'!$AP$6:$AP$200,'Data Validation'!$U$6, 'Data entry'!$BD$6:$BD$200,"&lt;&gt;*Negative*"))</f>
        <v>0</v>
      </c>
      <c r="BY69" s="15">
        <f>SUM(COUNTIFS('Data entry'!$R$6:$R$200,'Summary Data'!$A69,'Data entry'!$B$6:$B$200,{"Confirmed";"Probable"},'Data entry'!$AQ$6:$AQ$200,'Data Validation'!$V$11, 'Data entry'!$AP$6:$AP$200,'Data Validation'!$U$2, 'Data entry'!$BD$6:$BD$200,"&lt;&gt;*Negative*"))</f>
        <v>0</v>
      </c>
      <c r="BZ69" s="15">
        <f>SUM(COUNTIFS('Data entry'!$R$6:$R$200,'Summary Data'!$A69,'Data entry'!$B$6:$B$200,{"Confirmed";"Probable"},'Data entry'!$AQ$6:$AQ$200,'Data Validation'!$V$11, 'Data entry'!$AP$6:$AP$200,'Data Validation'!$U$3, 'Data entry'!$BD$6:$BD$200,"&lt;&gt;*Negative*"))</f>
        <v>0</v>
      </c>
      <c r="CA69" s="15">
        <f>SUM(COUNTIFS('Data entry'!$R$6:$R$200,'Summary Data'!$A69,'Data entry'!$B$6:$B$200,{"Confirmed";"Probable"},'Data entry'!$AQ$6:$AQ$200,'Data Validation'!$V$11, 'Data entry'!$AP$6:$AP$200,'Data Validation'!$U$4, 'Data entry'!$BD$6:$BD$200,"&lt;&gt;*Negative*"))</f>
        <v>0</v>
      </c>
      <c r="CB69" s="15">
        <f>SUM(COUNTIFS('Data entry'!$R$6:$R$200,'Summary Data'!$A69,'Data entry'!$B$6:$B$200,{"Confirmed";"Probable"},'Data entry'!$AQ$6:$AQ$200,'Data Validation'!$V$11, 'Data entry'!$AP$6:$AP$200,'Data Validation'!$U$5, 'Data entry'!$BD$6:$BD$200,"&lt;&gt;*Negative*"))</f>
        <v>0</v>
      </c>
      <c r="CC69" s="15">
        <f>SUM(COUNTIFS('Data entry'!$R$6:$R$200,'Summary Data'!$A69,'Data entry'!$B$6:$B$200,{"Confirmed";"Probable"},'Data entry'!$AQ$6:$AQ$200,'Data Validation'!$V$11, 'Data entry'!$AP$6:$AP$200,'Data Validation'!$U$6, 'Data entry'!$BD$6:$BD$200,"&lt;&gt;*Negative*"))</f>
        <v>0</v>
      </c>
    </row>
    <row r="70" spans="1:81" x14ac:dyDescent="0.25">
      <c r="A70" s="12">
        <f t="shared" si="5"/>
        <v>58</v>
      </c>
      <c r="B70" s="13">
        <f t="shared" si="2"/>
        <v>0</v>
      </c>
      <c r="C70" s="13">
        <f>COUNTIFS('Data entry'!$R$6:$R$200,$A70,'Data entry'!$B$6:$B$200,"Confirmed",'Data entry'!$BD$6:$BD$200,"&lt;&gt;*Negative*")</f>
        <v>0</v>
      </c>
      <c r="D70" s="13">
        <f>COUNTIFS('Data entry'!$R$6:$R$200,$A70,'Data entry'!$B$6:$B$200,"Probable",'Data entry'!$BD$6:$BD$200,"&lt;&gt;*Negative*")</f>
        <v>0</v>
      </c>
      <c r="E70" s="13">
        <f>COUNTIFS('Data entry'!$R$6:$R$200,$A70,'Data entry'!$B$6:$B$200,"DNM")</f>
        <v>0</v>
      </c>
      <c r="F70" s="13">
        <f>SUM(COUNTIFS('Data entry'!$R$6:$R$200,'Summary Data'!$A70,'Data entry'!$B$6:$B$200,{"Confirmed";"Probable"},'Data entry'!$AO$6:$AO$200,$F$10, 'Data entry'!$BD$6:$BD$200,"&lt;&gt;*Negative*"))</f>
        <v>0</v>
      </c>
      <c r="G70" s="13">
        <f>SUM(COUNTIFS('Data entry'!$R$6:$R$200,'Summary Data'!$A70,'Data entry'!$B$6:$B$200,{"Confirmed";"Probable"},'Data entry'!$AO$6:$AO$200,$G$10, 'Data entry'!$BD$6:$BD$200,"&lt;&gt;*Negative*"))</f>
        <v>0</v>
      </c>
      <c r="H70" s="13">
        <f>SUM(COUNTIFS('Data entry'!$R$6:$R$200,'Summary Data'!$A70,'Data entry'!$B$6:$B$200,{"Confirmed";"Probable"},'Data entry'!$AO$6:$AO$200,$H$10, 'Data entry'!$BD$6:$BD$200,"&lt;&gt;*Negative*"))</f>
        <v>0</v>
      </c>
      <c r="I70" s="13">
        <f>SUM(COUNTIFS('Data entry'!$R$6:$R$200,'Summary Data'!$A70,'Data entry'!$B$6:$B$200,{"Confirmed";"Probable"},'Data entry'!$AO$6:$AO$200,$I$10, 'Data entry'!$BD$6:$BD$200,"&lt;&gt;*Negative*"))</f>
        <v>0</v>
      </c>
      <c r="J70" s="13">
        <f>SUM(COUNTIFS('Data entry'!$R$6:$R$200,'Summary Data'!$A70,'Data entry'!$B$6:$B$200,{"Confirmed";"Probable"},'Data entry'!$AO$6:$AO$200,$J$10, 'Data entry'!$BD$6:$BD$200,"&lt;&gt;*Negative*"))</f>
        <v>0</v>
      </c>
      <c r="K70" s="13">
        <f>SUM(COUNTIFS('Data entry'!$R$6:$R$200,'Summary Data'!$A70,'Data entry'!$B$6:$B$200,{"Confirmed";"Probable"},'Data entry'!$AO$6:$AO$200,$K$10, 'Data entry'!$BD$6:$BD$200,"&lt;&gt;*Negative*"))</f>
        <v>0</v>
      </c>
      <c r="L70" s="13">
        <f>SUM(COUNTIFS('Data entry'!$R$6:$R$200,'Summary Data'!$A70,'Data entry'!$B$6:$B$200,{"Confirmed";"Probable"},'Data entry'!$AO$6:$AO$200,$L$10, 'Data entry'!$BD$6:$BD$200,"&lt;&gt;*Negative*"))</f>
        <v>0</v>
      </c>
      <c r="M70" s="13">
        <f>SUM(COUNTIFS('Data entry'!$R$6:$R$200,'Summary Data'!$A70,'Data entry'!$B$6:$B$200,{"Confirmed";"Probable"},'Data entry'!$AO$6:$AO$200,$M$10, 'Data entry'!$BD$6:$BD$200,"&lt;&gt;*Negative*"))</f>
        <v>0</v>
      </c>
      <c r="N70" s="13">
        <f>SUM(COUNTIFS('Data entry'!$R$6:$R$200,'Summary Data'!$A70,'Data entry'!$B$6:$B$200,{"Confirmed";"Probable"},'Data entry'!$AO$6:$AO$200,$N$10, 'Data entry'!$BD$6:$BD$200,"&lt;&gt;*Negative*"))</f>
        <v>0</v>
      </c>
      <c r="O70" s="15">
        <f t="shared" si="3"/>
        <v>0</v>
      </c>
      <c r="P70" s="15">
        <f t="shared" si="4"/>
        <v>0</v>
      </c>
      <c r="Q70" s="15">
        <f>SUM(COUNTIFS('Data entry'!$R$6:$R$200,'Summary Data'!$A70,'Data entry'!$B$6:$B$200,{"Confirmed";"Probable"},'Data entry'!$AP$6:$AP$200,'Data Validation'!$U$2, 'Data entry'!$BD$6:$BD$200,"&lt;&gt;*Negative*"))</f>
        <v>0</v>
      </c>
      <c r="R70" s="15">
        <f>SUM(COUNTIFS('Data entry'!$R$6:$R$200,'Summary Data'!$A70,'Data entry'!$B$6:$B$200,{"Confirmed";"Probable"},'Data entry'!$AP$6:$AP$200,'Data Validation'!$U$3, 'Data entry'!$BD$6:$BD$200,"&lt;&gt;*Negative*"))</f>
        <v>0</v>
      </c>
      <c r="S70" s="15">
        <f>SUM(COUNTIFS('Data entry'!$R$6:$R$200,'Summary Data'!$A70,'Data entry'!$B$6:$B$200,{"Confirmed";"Probable"},'Data entry'!$AP$6:$AP$200,'Data Validation'!$U$4, 'Data entry'!$BD$6:$BD$200,"&lt;&gt;*Negative*"))</f>
        <v>0</v>
      </c>
      <c r="T70" s="15">
        <f>SUM(COUNTIFS('Data entry'!$R$6:$R$200,'Summary Data'!$A70,'Data entry'!$B$6:$B$200,{"Confirmed";"Probable"},'Data entry'!$AP$6:$AP$200,'Data Validation'!$U$5, 'Data entry'!$BD$6:$BD$200,"&lt;&gt;*Negative*"))</f>
        <v>0</v>
      </c>
      <c r="U70" s="15">
        <f>SUM(COUNTIFS('Data entry'!$R$6:$R$200,'Summary Data'!$A70,'Data entry'!$B$6:$B$200,{"Confirmed";"Probable"},'Data entry'!$AP$6:$AP$200,'Data Validation'!$U$6, 'Data entry'!$BD$6:$BD$200,"&lt;&gt;*Negative*"))</f>
        <v>0</v>
      </c>
      <c r="V70" s="15">
        <f>SUM(COUNTIFS('Data entry'!$R$6:$R$200,'Summary Data'!$A70,'Data entry'!$B$6:$B$200,{"Confirmed";"Probable"},'Data entry'!$AQ$6:$AQ$200,'Data Validation'!$V$2, 'Data entry'!$BD$6:$BD$200,"&lt;&gt;*Negative*"))</f>
        <v>0</v>
      </c>
      <c r="W70" s="15">
        <f>SUM(COUNTIFS('Data entry'!$R$6:$R$200,'Summary Data'!$A70,'Data entry'!$B$6:$B$200,{"Confirmed";"Probable"},'Data entry'!$AQ$6:$AQ$200,'Data Validation'!$V$3, 'Data entry'!$BD$6:$BD$200,"&lt;&gt;*Negative*"))</f>
        <v>0</v>
      </c>
      <c r="X70" s="15">
        <f>SUM(COUNTIFS('Data entry'!$R$6:$R$200,'Summary Data'!$A70,'Data entry'!$B$6:$B$200,{"Confirmed";"Probable"},'Data entry'!$AQ$6:$AQ$200,'Data Validation'!$V$4, 'Data entry'!$BD$6:$BD$200,"&lt;&gt;*Negative*"))</f>
        <v>0</v>
      </c>
      <c r="Y70" s="15">
        <f>SUM(COUNTIFS('Data entry'!$R$6:$R$200,'Summary Data'!$A70,'Data entry'!$B$6:$B$200,{"Confirmed";"Probable"},'Data entry'!$AQ$6:$AQ$200,'Data Validation'!$V$5, 'Data entry'!$BD$6:$BD$200,"&lt;&gt;*Negative*"))</f>
        <v>0</v>
      </c>
      <c r="Z70" s="15">
        <f>SUM(COUNTIFS('Data entry'!$R$6:$R$200,'Summary Data'!$A70,'Data entry'!$B$6:$B$200,{"Confirmed";"Probable"},'Data entry'!$AQ$6:$AQ$200,'Data Validation'!$V$6, 'Data entry'!$BD$6:$BD$200,"&lt;&gt;*Negative*"))</f>
        <v>0</v>
      </c>
      <c r="AA70" s="15">
        <f>SUM(COUNTIFS('Data entry'!$R$6:$R$200,'Summary Data'!$A70,'Data entry'!$B$6:$B$200,{"Confirmed";"Probable"},'Data entry'!$AQ$6:$AQ$200,'Data Validation'!$V$7, 'Data entry'!$BD$6:$BD$200,"&lt;&gt;*Negative*"))</f>
        <v>0</v>
      </c>
      <c r="AB70" s="15">
        <f>SUM(COUNTIFS('Data entry'!$R$6:$R$200,'Summary Data'!$A70,'Data entry'!$B$6:$B$200,{"Confirmed";"Probable"},'Data entry'!$AQ$6:$AQ$200,'Data Validation'!$V$8, 'Data entry'!$BD$6:$BD$200,"&lt;&gt;*Negative*"))</f>
        <v>0</v>
      </c>
      <c r="AC70" s="15">
        <f>SUM(COUNTIFS('Data entry'!$R$6:$R$200,'Summary Data'!$A70,'Data entry'!$B$6:$B$200,{"Confirmed";"Probable"},'Data entry'!$AQ$6:$AQ$200,'Data Validation'!$V$9, 'Data entry'!$BD$6:$BD$200,"&lt;&gt;*Negative*"))</f>
        <v>0</v>
      </c>
      <c r="AD70" s="15">
        <f>SUM(COUNTIFS('Data entry'!$R$6:$R$200,'Summary Data'!$A70,'Data entry'!$B$6:$B$200,{"Confirmed";"Probable"},'Data entry'!$AQ$6:$AQ$200,'Data Validation'!$V$10, 'Data entry'!$BD$6:$BD$200,"&lt;&gt;*Negative*"))</f>
        <v>0</v>
      </c>
      <c r="AE70" s="15">
        <f>SUM(COUNTIFS('Data entry'!$R$6:$R$200,'Summary Data'!$A70,'Data entry'!$B$6:$B$200,{"Confirmed";"Probable"},'Data entry'!$AQ$6:$AQ$200,'Data Validation'!$V$11, 'Data entry'!$BD$6:$BD$200,"&lt;&gt;*Negative*"))</f>
        <v>0</v>
      </c>
      <c r="AF70" s="15">
        <f>SUM(COUNTIFS('Data entry'!$R$6:$R$200,'Summary Data'!$A70,'Data entry'!$B$6:$B$200,{"Confirmed";"Probable"},'Data entry'!$AQ$6:$AQ$200,'Data Validation'!$V$2, 'Data entry'!$AP$6:$AP$200,'Data Validation'!$U$2, 'Data entry'!$BD$6:$BD$200,"&lt;&gt;*Negative*"))</f>
        <v>0</v>
      </c>
      <c r="AG70" s="15">
        <f>SUM(COUNTIFS('Data entry'!$R$6:$R$200,'Summary Data'!$A70,'Data entry'!$B$6:$B$200,{"Confirmed";"Probable"},'Data entry'!$AQ$6:$AQ$200,'Data Validation'!$V$2, 'Data entry'!$AP$6:$AP$200,'Data Validation'!$U$3, 'Data entry'!$BD$6:$BD$200,"&lt;&gt;*Negative*"))</f>
        <v>0</v>
      </c>
      <c r="AH70" s="15">
        <f>SUM(COUNTIFS('Data entry'!$R$6:$R$200,'Summary Data'!$A70,'Data entry'!$B$6:$B$200,{"Confirmed";"Probable"},'Data entry'!$AQ$6:$AQ$200,'Data Validation'!$V$2, 'Data entry'!$AP$6:$AP$200,'Data Validation'!$U$4, 'Data entry'!$BD$6:$BD$200,"&lt;&gt;*Negative*"))</f>
        <v>0</v>
      </c>
      <c r="AI70" s="15">
        <f>SUM(COUNTIFS('Data entry'!$R$6:$R$200,'Summary Data'!$A70,'Data entry'!$B$6:$B$200,{"Confirmed";"Probable"},'Data entry'!$AQ$6:$AQ$200,'Data Validation'!$V$2, 'Data entry'!$AP$6:$AP$200,'Data Validation'!$U$5, 'Data entry'!$BD$6:$BD$200,"&lt;&gt;*Negative*"))</f>
        <v>0</v>
      </c>
      <c r="AJ70" s="15">
        <f>SUM(COUNTIFS('Data entry'!$R$6:$R$200,'Summary Data'!$A70,'Data entry'!$B$6:$B$200,{"Confirmed";"Probable"},'Data entry'!$AQ$6:$AQ$200,'Data Validation'!$V$2, 'Data entry'!$AP$6:$AP$200,'Data Validation'!$U$6, 'Data entry'!$BD$6:$BD$200,"&lt;&gt;*Negative*"))</f>
        <v>0</v>
      </c>
      <c r="AK70" s="15">
        <f>SUM(COUNTIFS('Data entry'!$R$6:$R$200,'Summary Data'!$A70,'Data entry'!$B$6:$B$200,{"Confirmed";"Probable"},'Data entry'!$AQ$6:$AQ$200,'Data Validation'!$V$3, 'Data entry'!$AP$6:$AP$200,'Data Validation'!$U$2, 'Data entry'!$BD$6:$BD$200,"&lt;&gt;*Negative*"))</f>
        <v>0</v>
      </c>
      <c r="AL70" s="15">
        <f>SUM(COUNTIFS('Data entry'!$R$6:$R$200,'Summary Data'!$A70,'Data entry'!$B$6:$B$200,{"Confirmed";"Probable"},'Data entry'!$AQ$6:$AQ$200,'Data Validation'!$V$3, 'Data entry'!$AP$6:$AP$200,'Data Validation'!$U$3, 'Data entry'!$BD$6:$BD$200,"&lt;&gt;*Negative*"))</f>
        <v>0</v>
      </c>
      <c r="AM70" s="15">
        <f>SUM(COUNTIFS('Data entry'!$R$6:$R$200,'Summary Data'!$A70,'Data entry'!$B$6:$B$200,{"Confirmed";"Probable"},'Data entry'!$AQ$6:$AQ$200,'Data Validation'!$V$3, 'Data entry'!$AP$6:$AP$200,'Data Validation'!$U$4, 'Data entry'!$BD$6:$BD$200,"&lt;&gt;*Negative*"))</f>
        <v>0</v>
      </c>
      <c r="AN70" s="15">
        <f>SUM(COUNTIFS('Data entry'!$R$6:$R$200,'Summary Data'!$A70,'Data entry'!$B$6:$B$200,{"Confirmed";"Probable"},'Data entry'!$AQ$6:$AQ$200,'Data Validation'!$V$3, 'Data entry'!$AP$6:$AP$200,'Data Validation'!$U$5, 'Data entry'!$BD$6:$BD$200,"&lt;&gt;*Negative*"))</f>
        <v>0</v>
      </c>
      <c r="AO70" s="15">
        <f>SUM(COUNTIFS('Data entry'!$R$6:$R$200,'Summary Data'!$A70,'Data entry'!$B$6:$B$200,{"Confirmed";"Probable"},'Data entry'!$AQ$6:$AQ$200,'Data Validation'!$V$3, 'Data entry'!$AP$6:$AP$200,'Data Validation'!$U$6, 'Data entry'!$BD$6:$BD$200,"&lt;&gt;*Negative*"))</f>
        <v>0</v>
      </c>
      <c r="AP70" s="15">
        <f>SUM(COUNTIFS('Data entry'!$R$6:$R$200,'Summary Data'!$A70,'Data entry'!$B$6:$B$200,{"Confirmed";"Probable"},'Data entry'!$AQ$6:$AQ$200,'Data Validation'!$V$4, 'Data entry'!$AP$6:$AP$200,'Data Validation'!$U$2, 'Data entry'!$BD$6:$BD$200,"&lt;&gt;*Negative*"))</f>
        <v>0</v>
      </c>
      <c r="AQ70" s="15">
        <f>SUM(COUNTIFS('Data entry'!$R$6:$R$200,'Summary Data'!$A70,'Data entry'!$B$6:$B$200,{"Confirmed";"Probable"},'Data entry'!$AQ$6:$AQ$200,'Data Validation'!$V$4, 'Data entry'!$AP$6:$AP$200,'Data Validation'!$U$3, 'Data entry'!$BD$6:$BD$200,"&lt;&gt;*Negative*"))</f>
        <v>0</v>
      </c>
      <c r="AR70" s="15">
        <f>SUM(COUNTIFS('Data entry'!$R$6:$R$200,'Summary Data'!$A70,'Data entry'!$B$6:$B$200,{"Confirmed";"Probable"},'Data entry'!$AQ$6:$AQ$200,'Data Validation'!$V$4, 'Data entry'!$AP$6:$AP$200,'Data Validation'!$U$4, 'Data entry'!$BD$6:$BD$200,"&lt;&gt;*Negative*"))</f>
        <v>0</v>
      </c>
      <c r="AS70" s="15">
        <f>SUM(COUNTIFS('Data entry'!$R$6:$R$200,'Summary Data'!$A70,'Data entry'!$B$6:$B$200,{"Confirmed";"Probable"},'Data entry'!$AQ$6:$AQ$200,'Data Validation'!$V$4, 'Data entry'!$AP$6:$AP$200,'Data Validation'!$U$5, 'Data entry'!$BD$6:$BD$200,"&lt;&gt;*Negative*"))</f>
        <v>0</v>
      </c>
      <c r="AT70" s="15">
        <f>SUM(COUNTIFS('Data entry'!$R$6:$R$200,'Summary Data'!$A70,'Data entry'!$B$6:$B$200,{"Confirmed";"Probable"},'Data entry'!$AQ$6:$AQ$200,'Data Validation'!$V$4, 'Data entry'!$AP$6:$AP$200,'Data Validation'!$U$6, 'Data entry'!$BD$6:$BD$200,"&lt;&gt;*Negative*"))</f>
        <v>0</v>
      </c>
      <c r="AU70" s="15">
        <f>SUM(COUNTIFS('Data entry'!$R$6:$R$200,'Summary Data'!$A70,'Data entry'!$B$6:$B$200,{"Confirmed";"Probable"},'Data entry'!$AQ$6:$AQ$200,'Data Validation'!$V$5, 'Data entry'!$AP$6:$AP$200,'Data Validation'!$U$2, 'Data entry'!$BD$6:$BD$200,"&lt;&gt;*Negative*"))</f>
        <v>0</v>
      </c>
      <c r="AV70" s="15">
        <f>SUM(COUNTIFS('Data entry'!$R$6:$R$200,'Summary Data'!$A70,'Data entry'!$B$6:$B$200,{"Confirmed";"Probable"},'Data entry'!$AQ$6:$AQ$200,'Data Validation'!$V$5, 'Data entry'!$AP$6:$AP$200,'Data Validation'!$U$3, 'Data entry'!$BD$6:$BD$200,"&lt;&gt;*Negative*"))</f>
        <v>0</v>
      </c>
      <c r="AW70" s="15">
        <f>SUM(COUNTIFS('Data entry'!$R$6:$R$200,'Summary Data'!$A70,'Data entry'!$B$6:$B$200,{"Confirmed";"Probable"},'Data entry'!$AQ$6:$AQ$200,'Data Validation'!$V$5, 'Data entry'!$AP$6:$AP$200,'Data Validation'!$U$4, 'Data entry'!$BD$6:$BD$200,"&lt;&gt;*Negative*"))</f>
        <v>0</v>
      </c>
      <c r="AX70" s="15">
        <f>SUM(COUNTIFS('Data entry'!$R$6:$R$200,'Summary Data'!$A70,'Data entry'!$B$6:$B$200,{"Confirmed";"Probable"},'Data entry'!$AQ$6:$AQ$200,'Data Validation'!$V$5, 'Data entry'!$AP$6:$AP$200,'Data Validation'!$U$5, 'Data entry'!$BD$6:$BD$200,"&lt;&gt;*Negative*"))</f>
        <v>0</v>
      </c>
      <c r="AY70" s="15">
        <f>SUM(COUNTIFS('Data entry'!$R$6:$R$200,'Summary Data'!$A70,'Data entry'!$B$6:$B$200,{"Confirmed";"Probable"},'Data entry'!$AQ$6:$AQ$200,'Data Validation'!$V$5, 'Data entry'!$AP$6:$AP$200,'Data Validation'!$U$6, 'Data entry'!$BD$6:$BD$200,"&lt;&gt;*Negative*"))</f>
        <v>0</v>
      </c>
      <c r="AZ70" s="15">
        <f>SUM(COUNTIFS('Data entry'!$R$6:$R$200,'Summary Data'!$A70,'Data entry'!$B$6:$B$200,{"Confirmed";"Probable"},'Data entry'!$AQ$6:$AQ$200,'Data Validation'!$V$6, 'Data entry'!$AP$6:$AP$200,'Data Validation'!$U$2, 'Data entry'!$BD$6:$BD$200,"&lt;&gt;*Negative*"))</f>
        <v>0</v>
      </c>
      <c r="BA70" s="15">
        <f>SUM(COUNTIFS('Data entry'!$R$6:$R$200,'Summary Data'!$A70,'Data entry'!$B$6:$B$200,{"Confirmed";"Probable"},'Data entry'!$AQ$6:$AQ$200,'Data Validation'!$V$6, 'Data entry'!$AP$6:$AP$200,'Data Validation'!$U$3, 'Data entry'!$BD$6:$BD$200,"&lt;&gt;*Negative*"))</f>
        <v>0</v>
      </c>
      <c r="BB70" s="15">
        <f>SUM(COUNTIFS('Data entry'!$R$6:$R$200,'Summary Data'!$A70,'Data entry'!$B$6:$B$200,{"Confirmed";"Probable"},'Data entry'!$AQ$6:$AQ$200,'Data Validation'!$V$6, 'Data entry'!$AP$6:$AP$200,'Data Validation'!$U$4, 'Data entry'!$BD$6:$BD$200,"&lt;&gt;*Negative*"))</f>
        <v>0</v>
      </c>
      <c r="BC70" s="15">
        <f>SUM(COUNTIFS('Data entry'!$R$6:$R$200,'Summary Data'!$A70,'Data entry'!$B$6:$B$200,{"Confirmed";"Probable"},'Data entry'!$AQ$6:$AQ$200,'Data Validation'!$V$6, 'Data entry'!$AP$6:$AP$200,'Data Validation'!$U$5, 'Data entry'!$BD$6:$BD$200,"&lt;&gt;*Negative*"))</f>
        <v>0</v>
      </c>
      <c r="BD70" s="15">
        <f>SUM(COUNTIFS('Data entry'!$R$6:$R$200,'Summary Data'!$A70,'Data entry'!$B$6:$B$200,{"Confirmed";"Probable"},'Data entry'!$AQ$6:$AQ$200,'Data Validation'!$V$6, 'Data entry'!$AP$6:$AP$200,'Data Validation'!$U$6, 'Data entry'!$BD$6:$BD$200,"&lt;&gt;*Negative*"))</f>
        <v>0</v>
      </c>
      <c r="BE70" s="15">
        <f>SUM(COUNTIFS('Data entry'!$R$6:$R$200,'Summary Data'!$A70,'Data entry'!$B$6:$B$200,{"Confirmed";"Probable"},'Data entry'!$AQ$6:$AQ$200,'Data Validation'!$V$7, 'Data entry'!$AP$6:$AP$200,'Data Validation'!$U$2, 'Data entry'!$BD$6:$BD$200,"&lt;&gt;*Negative*"))</f>
        <v>0</v>
      </c>
      <c r="BF70" s="15">
        <f>SUM(COUNTIFS('Data entry'!$R$6:$R$200,'Summary Data'!$A70,'Data entry'!$B$6:$B$200,{"Confirmed";"Probable"},'Data entry'!$AQ$6:$AQ$200,'Data Validation'!$V$7, 'Data entry'!$AP$6:$AP$200,'Data Validation'!$U$3, 'Data entry'!$BD$6:$BD$200,"&lt;&gt;*Negative*"))</f>
        <v>0</v>
      </c>
      <c r="BG70" s="15">
        <f>SUM(COUNTIFS('Data entry'!$R$6:$R$200,'Summary Data'!$A70,'Data entry'!$B$6:$B$200,{"Confirmed";"Probable"},'Data entry'!$AQ$6:$AQ$200,'Data Validation'!$V$7, 'Data entry'!$AP$6:$AP$200,'Data Validation'!$U$4, 'Data entry'!$BD$6:$BD$200,"&lt;&gt;*Negative*"))</f>
        <v>0</v>
      </c>
      <c r="BH70" s="15">
        <f>SUM(COUNTIFS('Data entry'!$R$6:$R$200,'Summary Data'!$A70,'Data entry'!$B$6:$B$200,{"Confirmed";"Probable"},'Data entry'!$AQ$6:$AQ$200,'Data Validation'!$V$7, 'Data entry'!$AP$6:$AP$200,'Data Validation'!$U$5, 'Data entry'!$BD$6:$BD$200,"&lt;&gt;*Negative*"))</f>
        <v>0</v>
      </c>
      <c r="BI70" s="15">
        <f>SUM(COUNTIFS('Data entry'!$R$6:$R$200,'Summary Data'!$A70,'Data entry'!$B$6:$B$200,{"Confirmed";"Probable"},'Data entry'!$AQ$6:$AQ$200,'Data Validation'!$V$7, 'Data entry'!$AP$6:$AP$200,'Data Validation'!$U$6, 'Data entry'!$BD$6:$BD$200,"&lt;&gt;*Negative*"))</f>
        <v>0</v>
      </c>
      <c r="BJ70" s="15">
        <f>SUM(COUNTIFS('Data entry'!$R$6:$R$200,'Summary Data'!$A70,'Data entry'!$B$6:$B$200,{"Confirmed";"Probable"},'Data entry'!$AQ$6:$AQ$200,'Data Validation'!$V$8, 'Data entry'!$AP$6:$AP$200,'Data Validation'!$U$2, 'Data entry'!$BD$6:$BD$200,"&lt;&gt;*Negative*"))</f>
        <v>0</v>
      </c>
      <c r="BK70" s="15">
        <f>SUM(COUNTIFS('Data entry'!$R$6:$R$200,'Summary Data'!$A70,'Data entry'!$B$6:$B$200,{"Confirmed";"Probable"},'Data entry'!$AQ$6:$AQ$200,'Data Validation'!$V$8, 'Data entry'!$AP$6:$AP$200,'Data Validation'!$U$3, 'Data entry'!$BD$6:$BD$200,"&lt;&gt;*Negative*"))</f>
        <v>0</v>
      </c>
      <c r="BL70" s="15">
        <f>SUM(COUNTIFS('Data entry'!$R$6:$R$200,'Summary Data'!$A70,'Data entry'!$B$6:$B$200,{"Confirmed";"Probable"},'Data entry'!$AQ$6:$AQ$200,'Data Validation'!$V$8, 'Data entry'!$AP$6:$AP$200,'Data Validation'!$U$4, 'Data entry'!$BD$6:$BD$200,"&lt;&gt;*Negative*"))</f>
        <v>0</v>
      </c>
      <c r="BM70" s="15">
        <f>SUM(COUNTIFS('Data entry'!$R$6:$R$200,'Summary Data'!$A70,'Data entry'!$B$6:$B$200,{"Confirmed";"Probable"},'Data entry'!$AQ$6:$AQ$200,'Data Validation'!$V$8, 'Data entry'!$AP$6:$AP$200,'Data Validation'!$U$5, 'Data entry'!$BD$6:$BD$200,"&lt;&gt;*Negative*"))</f>
        <v>0</v>
      </c>
      <c r="BN70" s="15">
        <f>SUM(COUNTIFS('Data entry'!$R$6:$R$200,'Summary Data'!$A70,'Data entry'!$B$6:$B$200,{"Confirmed";"Probable"},'Data entry'!$AQ$6:$AQ$200,'Data Validation'!$V$8, 'Data entry'!$AP$6:$AP$200,'Data Validation'!$U$6, 'Data entry'!$BD$6:$BD$200,"&lt;&gt;*Negative*"))</f>
        <v>0</v>
      </c>
      <c r="BO70" s="15">
        <f>SUM(COUNTIFS('Data entry'!$R$6:$R$200,'Summary Data'!$A70,'Data entry'!$B$6:$B$200,{"Confirmed";"Probable"},'Data entry'!$AQ$6:$AQ$200,'Data Validation'!$V$9, 'Data entry'!$AP$6:$AP$200,'Data Validation'!$U$2, 'Data entry'!$BD$6:$BD$200,"&lt;&gt;*Negative*"))</f>
        <v>0</v>
      </c>
      <c r="BP70" s="15">
        <f>SUM(COUNTIFS('Data entry'!$R$6:$R$200,'Summary Data'!$A70,'Data entry'!$B$6:$B$200,{"Confirmed";"Probable"},'Data entry'!$AQ$6:$AQ$200,'Data Validation'!$V$9, 'Data entry'!$AP$6:$AP$200,'Data Validation'!$U$3, 'Data entry'!$BD$6:$BD$200,"&lt;&gt;*Negative*"))</f>
        <v>0</v>
      </c>
      <c r="BQ70" s="15">
        <f>SUM(COUNTIFS('Data entry'!$R$6:$R$200,'Summary Data'!$A70,'Data entry'!$B$6:$B$200,{"Confirmed";"Probable"},'Data entry'!$AQ$6:$AQ$200,'Data Validation'!$V$9, 'Data entry'!$AP$6:$AP$200,'Data Validation'!$U$4, 'Data entry'!$BD$6:$BD$200,"&lt;&gt;*Negative*"))</f>
        <v>0</v>
      </c>
      <c r="BR70" s="15">
        <f>SUM(COUNTIFS('Data entry'!$R$6:$R$200,'Summary Data'!$A70,'Data entry'!$B$6:$B$200,{"Confirmed";"Probable"},'Data entry'!$AQ$6:$AQ$200,'Data Validation'!$V$9, 'Data entry'!$AP$6:$AP$200,'Data Validation'!$U$5, 'Data entry'!$BD$6:$BD$200,"&lt;&gt;*Negative*"))</f>
        <v>0</v>
      </c>
      <c r="BS70" s="15">
        <f>SUM(COUNTIFS('Data entry'!$R$6:$R$200,'Summary Data'!$A70,'Data entry'!$B$6:$B$200,{"Confirmed";"Probable"},'Data entry'!$AQ$6:$AQ$200,'Data Validation'!$V$9, 'Data entry'!$AP$6:$AP$200,'Data Validation'!$U$6, 'Data entry'!$BD$6:$BD$200,"&lt;&gt;*Negative*"))</f>
        <v>0</v>
      </c>
      <c r="BT70" s="15">
        <f>SUM(COUNTIFS('Data entry'!$R$6:$R$200,'Summary Data'!$A70,'Data entry'!$B$6:$B$200,{"Confirmed";"Probable"},'Data entry'!$AQ$6:$AQ$200,'Data Validation'!$V$10, 'Data entry'!$AP$6:$AP$200,'Data Validation'!$U$2, 'Data entry'!$BD$6:$BD$200,"&lt;&gt;*Negative*"))</f>
        <v>0</v>
      </c>
      <c r="BU70" s="15">
        <f>SUM(COUNTIFS('Data entry'!$R$6:$R$200,'Summary Data'!$A70,'Data entry'!$B$6:$B$200,{"Confirmed";"Probable"},'Data entry'!$AQ$6:$AQ$200,'Data Validation'!$V$10, 'Data entry'!$AP$6:$AP$200,'Data Validation'!$U$3, 'Data entry'!$BD$6:$BD$200,"&lt;&gt;*Negative*"))</f>
        <v>0</v>
      </c>
      <c r="BV70" s="15">
        <f>SUM(COUNTIFS('Data entry'!$R$6:$R$200,'Summary Data'!$A70,'Data entry'!$B$6:$B$200,{"Confirmed";"Probable"},'Data entry'!$AQ$6:$AQ$200,'Data Validation'!$V$10, 'Data entry'!$AP$6:$AP$200,'Data Validation'!$U$4, 'Data entry'!$BD$6:$BD$200,"&lt;&gt;*Negative*"))</f>
        <v>0</v>
      </c>
      <c r="BW70" s="15">
        <f>SUM(COUNTIFS('Data entry'!$R$6:$R$200,'Summary Data'!$A70,'Data entry'!$B$6:$B$200,{"Confirmed";"Probable"},'Data entry'!$AQ$6:$AQ$200,'Data Validation'!$V$10, 'Data entry'!$AP$6:$AP$200,'Data Validation'!$U$5, 'Data entry'!$BD$6:$BD$200,"&lt;&gt;*Negative*"))</f>
        <v>0</v>
      </c>
      <c r="BX70" s="15">
        <f>SUM(COUNTIFS('Data entry'!$R$6:$R$200,'Summary Data'!$A70,'Data entry'!$B$6:$B$200,{"Confirmed";"Probable"},'Data entry'!$AQ$6:$AQ$200,'Data Validation'!$V$10, 'Data entry'!$AP$6:$AP$200,'Data Validation'!$U$6, 'Data entry'!$BD$6:$BD$200,"&lt;&gt;*Negative*"))</f>
        <v>0</v>
      </c>
      <c r="BY70" s="15">
        <f>SUM(COUNTIFS('Data entry'!$R$6:$R$200,'Summary Data'!$A70,'Data entry'!$B$6:$B$200,{"Confirmed";"Probable"},'Data entry'!$AQ$6:$AQ$200,'Data Validation'!$V$11, 'Data entry'!$AP$6:$AP$200,'Data Validation'!$U$2, 'Data entry'!$BD$6:$BD$200,"&lt;&gt;*Negative*"))</f>
        <v>0</v>
      </c>
      <c r="BZ70" s="15">
        <f>SUM(COUNTIFS('Data entry'!$R$6:$R$200,'Summary Data'!$A70,'Data entry'!$B$6:$B$200,{"Confirmed";"Probable"},'Data entry'!$AQ$6:$AQ$200,'Data Validation'!$V$11, 'Data entry'!$AP$6:$AP$200,'Data Validation'!$U$3, 'Data entry'!$BD$6:$BD$200,"&lt;&gt;*Negative*"))</f>
        <v>0</v>
      </c>
      <c r="CA70" s="15">
        <f>SUM(COUNTIFS('Data entry'!$R$6:$R$200,'Summary Data'!$A70,'Data entry'!$B$6:$B$200,{"Confirmed";"Probable"},'Data entry'!$AQ$6:$AQ$200,'Data Validation'!$V$11, 'Data entry'!$AP$6:$AP$200,'Data Validation'!$U$4, 'Data entry'!$BD$6:$BD$200,"&lt;&gt;*Negative*"))</f>
        <v>0</v>
      </c>
      <c r="CB70" s="15">
        <f>SUM(COUNTIFS('Data entry'!$R$6:$R$200,'Summary Data'!$A70,'Data entry'!$B$6:$B$200,{"Confirmed";"Probable"},'Data entry'!$AQ$6:$AQ$200,'Data Validation'!$V$11, 'Data entry'!$AP$6:$AP$200,'Data Validation'!$U$5, 'Data entry'!$BD$6:$BD$200,"&lt;&gt;*Negative*"))</f>
        <v>0</v>
      </c>
      <c r="CC70" s="15">
        <f>SUM(COUNTIFS('Data entry'!$R$6:$R$200,'Summary Data'!$A70,'Data entry'!$B$6:$B$200,{"Confirmed";"Probable"},'Data entry'!$AQ$6:$AQ$200,'Data Validation'!$V$11, 'Data entry'!$AP$6:$AP$200,'Data Validation'!$U$6, 'Data entry'!$BD$6:$BD$200,"&lt;&gt;*Negative*"))</f>
        <v>0</v>
      </c>
    </row>
    <row r="71" spans="1:81" x14ac:dyDescent="0.25">
      <c r="A71" s="12">
        <f t="shared" si="5"/>
        <v>59</v>
      </c>
      <c r="B71" s="13">
        <f t="shared" si="2"/>
        <v>0</v>
      </c>
      <c r="C71" s="13">
        <f>COUNTIFS('Data entry'!$R$6:$R$200,$A71,'Data entry'!$B$6:$B$200,"Confirmed",'Data entry'!$BD$6:$BD$200,"&lt;&gt;*Negative*")</f>
        <v>0</v>
      </c>
      <c r="D71" s="13">
        <f>COUNTIFS('Data entry'!$R$6:$R$200,$A71,'Data entry'!$B$6:$B$200,"Probable",'Data entry'!$BD$6:$BD$200,"&lt;&gt;*Negative*")</f>
        <v>0</v>
      </c>
      <c r="E71" s="13">
        <f>COUNTIFS('Data entry'!$R$6:$R$200,$A71,'Data entry'!$B$6:$B$200,"DNM")</f>
        <v>0</v>
      </c>
      <c r="F71" s="13">
        <f>SUM(COUNTIFS('Data entry'!$R$6:$R$200,'Summary Data'!$A71,'Data entry'!$B$6:$B$200,{"Confirmed";"Probable"},'Data entry'!$AO$6:$AO$200,$F$10, 'Data entry'!$BD$6:$BD$200,"&lt;&gt;*Negative*"))</f>
        <v>0</v>
      </c>
      <c r="G71" s="13">
        <f>SUM(COUNTIFS('Data entry'!$R$6:$R$200,'Summary Data'!$A71,'Data entry'!$B$6:$B$200,{"Confirmed";"Probable"},'Data entry'!$AO$6:$AO$200,$G$10, 'Data entry'!$BD$6:$BD$200,"&lt;&gt;*Negative*"))</f>
        <v>0</v>
      </c>
      <c r="H71" s="13">
        <f>SUM(COUNTIFS('Data entry'!$R$6:$R$200,'Summary Data'!$A71,'Data entry'!$B$6:$B$200,{"Confirmed";"Probable"},'Data entry'!$AO$6:$AO$200,$H$10, 'Data entry'!$BD$6:$BD$200,"&lt;&gt;*Negative*"))</f>
        <v>0</v>
      </c>
      <c r="I71" s="13">
        <f>SUM(COUNTIFS('Data entry'!$R$6:$R$200,'Summary Data'!$A71,'Data entry'!$B$6:$B$200,{"Confirmed";"Probable"},'Data entry'!$AO$6:$AO$200,$I$10, 'Data entry'!$BD$6:$BD$200,"&lt;&gt;*Negative*"))</f>
        <v>0</v>
      </c>
      <c r="J71" s="13">
        <f>SUM(COUNTIFS('Data entry'!$R$6:$R$200,'Summary Data'!$A71,'Data entry'!$B$6:$B$200,{"Confirmed";"Probable"},'Data entry'!$AO$6:$AO$200,$J$10, 'Data entry'!$BD$6:$BD$200,"&lt;&gt;*Negative*"))</f>
        <v>0</v>
      </c>
      <c r="K71" s="13">
        <f>SUM(COUNTIFS('Data entry'!$R$6:$R$200,'Summary Data'!$A71,'Data entry'!$B$6:$B$200,{"Confirmed";"Probable"},'Data entry'!$AO$6:$AO$200,$K$10, 'Data entry'!$BD$6:$BD$200,"&lt;&gt;*Negative*"))</f>
        <v>0</v>
      </c>
      <c r="L71" s="13">
        <f>SUM(COUNTIFS('Data entry'!$R$6:$R$200,'Summary Data'!$A71,'Data entry'!$B$6:$B$200,{"Confirmed";"Probable"},'Data entry'!$AO$6:$AO$200,$L$10, 'Data entry'!$BD$6:$BD$200,"&lt;&gt;*Negative*"))</f>
        <v>0</v>
      </c>
      <c r="M71" s="13">
        <f>SUM(COUNTIFS('Data entry'!$R$6:$R$200,'Summary Data'!$A71,'Data entry'!$B$6:$B$200,{"Confirmed";"Probable"},'Data entry'!$AO$6:$AO$200,$M$10, 'Data entry'!$BD$6:$BD$200,"&lt;&gt;*Negative*"))</f>
        <v>0</v>
      </c>
      <c r="N71" s="13">
        <f>SUM(COUNTIFS('Data entry'!$R$6:$R$200,'Summary Data'!$A71,'Data entry'!$B$6:$B$200,{"Confirmed";"Probable"},'Data entry'!$AO$6:$AO$200,$N$10, 'Data entry'!$BD$6:$BD$200,"&lt;&gt;*Negative*"))</f>
        <v>0</v>
      </c>
      <c r="O71" s="15">
        <f t="shared" si="3"/>
        <v>0</v>
      </c>
      <c r="P71" s="15">
        <f t="shared" si="4"/>
        <v>0</v>
      </c>
      <c r="Q71" s="15">
        <f>SUM(COUNTIFS('Data entry'!$R$6:$R$200,'Summary Data'!$A71,'Data entry'!$B$6:$B$200,{"Confirmed";"Probable"},'Data entry'!$AP$6:$AP$200,'Data Validation'!$U$2, 'Data entry'!$BD$6:$BD$200,"&lt;&gt;*Negative*"))</f>
        <v>0</v>
      </c>
      <c r="R71" s="15">
        <f>SUM(COUNTIFS('Data entry'!$R$6:$R$200,'Summary Data'!$A71,'Data entry'!$B$6:$B$200,{"Confirmed";"Probable"},'Data entry'!$AP$6:$AP$200,'Data Validation'!$U$3, 'Data entry'!$BD$6:$BD$200,"&lt;&gt;*Negative*"))</f>
        <v>0</v>
      </c>
      <c r="S71" s="15">
        <f>SUM(COUNTIFS('Data entry'!$R$6:$R$200,'Summary Data'!$A71,'Data entry'!$B$6:$B$200,{"Confirmed";"Probable"},'Data entry'!$AP$6:$AP$200,'Data Validation'!$U$4, 'Data entry'!$BD$6:$BD$200,"&lt;&gt;*Negative*"))</f>
        <v>0</v>
      </c>
      <c r="T71" s="15">
        <f>SUM(COUNTIFS('Data entry'!$R$6:$R$200,'Summary Data'!$A71,'Data entry'!$B$6:$B$200,{"Confirmed";"Probable"},'Data entry'!$AP$6:$AP$200,'Data Validation'!$U$5, 'Data entry'!$BD$6:$BD$200,"&lt;&gt;*Negative*"))</f>
        <v>0</v>
      </c>
      <c r="U71" s="15">
        <f>SUM(COUNTIFS('Data entry'!$R$6:$R$200,'Summary Data'!$A71,'Data entry'!$B$6:$B$200,{"Confirmed";"Probable"},'Data entry'!$AP$6:$AP$200,'Data Validation'!$U$6, 'Data entry'!$BD$6:$BD$200,"&lt;&gt;*Negative*"))</f>
        <v>0</v>
      </c>
      <c r="V71" s="15">
        <f>SUM(COUNTIFS('Data entry'!$R$6:$R$200,'Summary Data'!$A71,'Data entry'!$B$6:$B$200,{"Confirmed";"Probable"},'Data entry'!$AQ$6:$AQ$200,'Data Validation'!$V$2, 'Data entry'!$BD$6:$BD$200,"&lt;&gt;*Negative*"))</f>
        <v>0</v>
      </c>
      <c r="W71" s="15">
        <f>SUM(COUNTIFS('Data entry'!$R$6:$R$200,'Summary Data'!$A71,'Data entry'!$B$6:$B$200,{"Confirmed";"Probable"},'Data entry'!$AQ$6:$AQ$200,'Data Validation'!$V$3, 'Data entry'!$BD$6:$BD$200,"&lt;&gt;*Negative*"))</f>
        <v>0</v>
      </c>
      <c r="X71" s="15">
        <f>SUM(COUNTIFS('Data entry'!$R$6:$R$200,'Summary Data'!$A71,'Data entry'!$B$6:$B$200,{"Confirmed";"Probable"},'Data entry'!$AQ$6:$AQ$200,'Data Validation'!$V$4, 'Data entry'!$BD$6:$BD$200,"&lt;&gt;*Negative*"))</f>
        <v>0</v>
      </c>
      <c r="Y71" s="15">
        <f>SUM(COUNTIFS('Data entry'!$R$6:$R$200,'Summary Data'!$A71,'Data entry'!$B$6:$B$200,{"Confirmed";"Probable"},'Data entry'!$AQ$6:$AQ$200,'Data Validation'!$V$5, 'Data entry'!$BD$6:$BD$200,"&lt;&gt;*Negative*"))</f>
        <v>0</v>
      </c>
      <c r="Z71" s="15">
        <f>SUM(COUNTIFS('Data entry'!$R$6:$R$200,'Summary Data'!$A71,'Data entry'!$B$6:$B$200,{"Confirmed";"Probable"},'Data entry'!$AQ$6:$AQ$200,'Data Validation'!$V$6, 'Data entry'!$BD$6:$BD$200,"&lt;&gt;*Negative*"))</f>
        <v>0</v>
      </c>
      <c r="AA71" s="15">
        <f>SUM(COUNTIFS('Data entry'!$R$6:$R$200,'Summary Data'!$A71,'Data entry'!$B$6:$B$200,{"Confirmed";"Probable"},'Data entry'!$AQ$6:$AQ$200,'Data Validation'!$V$7, 'Data entry'!$BD$6:$BD$200,"&lt;&gt;*Negative*"))</f>
        <v>0</v>
      </c>
      <c r="AB71" s="15">
        <f>SUM(COUNTIFS('Data entry'!$R$6:$R$200,'Summary Data'!$A71,'Data entry'!$B$6:$B$200,{"Confirmed";"Probable"},'Data entry'!$AQ$6:$AQ$200,'Data Validation'!$V$8, 'Data entry'!$BD$6:$BD$200,"&lt;&gt;*Negative*"))</f>
        <v>0</v>
      </c>
      <c r="AC71" s="15">
        <f>SUM(COUNTIFS('Data entry'!$R$6:$R$200,'Summary Data'!$A71,'Data entry'!$B$6:$B$200,{"Confirmed";"Probable"},'Data entry'!$AQ$6:$AQ$200,'Data Validation'!$V$9, 'Data entry'!$BD$6:$BD$200,"&lt;&gt;*Negative*"))</f>
        <v>0</v>
      </c>
      <c r="AD71" s="15">
        <f>SUM(COUNTIFS('Data entry'!$R$6:$R$200,'Summary Data'!$A71,'Data entry'!$B$6:$B$200,{"Confirmed";"Probable"},'Data entry'!$AQ$6:$AQ$200,'Data Validation'!$V$10, 'Data entry'!$BD$6:$BD$200,"&lt;&gt;*Negative*"))</f>
        <v>0</v>
      </c>
      <c r="AE71" s="15">
        <f>SUM(COUNTIFS('Data entry'!$R$6:$R$200,'Summary Data'!$A71,'Data entry'!$B$6:$B$200,{"Confirmed";"Probable"},'Data entry'!$AQ$6:$AQ$200,'Data Validation'!$V$11, 'Data entry'!$BD$6:$BD$200,"&lt;&gt;*Negative*"))</f>
        <v>0</v>
      </c>
      <c r="AF71" s="15">
        <f>SUM(COUNTIFS('Data entry'!$R$6:$R$200,'Summary Data'!$A71,'Data entry'!$B$6:$B$200,{"Confirmed";"Probable"},'Data entry'!$AQ$6:$AQ$200,'Data Validation'!$V$2, 'Data entry'!$AP$6:$AP$200,'Data Validation'!$U$2, 'Data entry'!$BD$6:$BD$200,"&lt;&gt;*Negative*"))</f>
        <v>0</v>
      </c>
      <c r="AG71" s="15">
        <f>SUM(COUNTIFS('Data entry'!$R$6:$R$200,'Summary Data'!$A71,'Data entry'!$B$6:$B$200,{"Confirmed";"Probable"},'Data entry'!$AQ$6:$AQ$200,'Data Validation'!$V$2, 'Data entry'!$AP$6:$AP$200,'Data Validation'!$U$3, 'Data entry'!$BD$6:$BD$200,"&lt;&gt;*Negative*"))</f>
        <v>0</v>
      </c>
      <c r="AH71" s="15">
        <f>SUM(COUNTIFS('Data entry'!$R$6:$R$200,'Summary Data'!$A71,'Data entry'!$B$6:$B$200,{"Confirmed";"Probable"},'Data entry'!$AQ$6:$AQ$200,'Data Validation'!$V$2, 'Data entry'!$AP$6:$AP$200,'Data Validation'!$U$4, 'Data entry'!$BD$6:$BD$200,"&lt;&gt;*Negative*"))</f>
        <v>0</v>
      </c>
      <c r="AI71" s="15">
        <f>SUM(COUNTIFS('Data entry'!$R$6:$R$200,'Summary Data'!$A71,'Data entry'!$B$6:$B$200,{"Confirmed";"Probable"},'Data entry'!$AQ$6:$AQ$200,'Data Validation'!$V$2, 'Data entry'!$AP$6:$AP$200,'Data Validation'!$U$5, 'Data entry'!$BD$6:$BD$200,"&lt;&gt;*Negative*"))</f>
        <v>0</v>
      </c>
      <c r="AJ71" s="15">
        <f>SUM(COUNTIFS('Data entry'!$R$6:$R$200,'Summary Data'!$A71,'Data entry'!$B$6:$B$200,{"Confirmed";"Probable"},'Data entry'!$AQ$6:$AQ$200,'Data Validation'!$V$2, 'Data entry'!$AP$6:$AP$200,'Data Validation'!$U$6, 'Data entry'!$BD$6:$BD$200,"&lt;&gt;*Negative*"))</f>
        <v>0</v>
      </c>
      <c r="AK71" s="15">
        <f>SUM(COUNTIFS('Data entry'!$R$6:$R$200,'Summary Data'!$A71,'Data entry'!$B$6:$B$200,{"Confirmed";"Probable"},'Data entry'!$AQ$6:$AQ$200,'Data Validation'!$V$3, 'Data entry'!$AP$6:$AP$200,'Data Validation'!$U$2, 'Data entry'!$BD$6:$BD$200,"&lt;&gt;*Negative*"))</f>
        <v>0</v>
      </c>
      <c r="AL71" s="15">
        <f>SUM(COUNTIFS('Data entry'!$R$6:$R$200,'Summary Data'!$A71,'Data entry'!$B$6:$B$200,{"Confirmed";"Probable"},'Data entry'!$AQ$6:$AQ$200,'Data Validation'!$V$3, 'Data entry'!$AP$6:$AP$200,'Data Validation'!$U$3, 'Data entry'!$BD$6:$BD$200,"&lt;&gt;*Negative*"))</f>
        <v>0</v>
      </c>
      <c r="AM71" s="15">
        <f>SUM(COUNTIFS('Data entry'!$R$6:$R$200,'Summary Data'!$A71,'Data entry'!$B$6:$B$200,{"Confirmed";"Probable"},'Data entry'!$AQ$6:$AQ$200,'Data Validation'!$V$3, 'Data entry'!$AP$6:$AP$200,'Data Validation'!$U$4, 'Data entry'!$BD$6:$BD$200,"&lt;&gt;*Negative*"))</f>
        <v>0</v>
      </c>
      <c r="AN71" s="15">
        <f>SUM(COUNTIFS('Data entry'!$R$6:$R$200,'Summary Data'!$A71,'Data entry'!$B$6:$B$200,{"Confirmed";"Probable"},'Data entry'!$AQ$6:$AQ$200,'Data Validation'!$V$3, 'Data entry'!$AP$6:$AP$200,'Data Validation'!$U$5, 'Data entry'!$BD$6:$BD$200,"&lt;&gt;*Negative*"))</f>
        <v>0</v>
      </c>
      <c r="AO71" s="15">
        <f>SUM(COUNTIFS('Data entry'!$R$6:$R$200,'Summary Data'!$A71,'Data entry'!$B$6:$B$200,{"Confirmed";"Probable"},'Data entry'!$AQ$6:$AQ$200,'Data Validation'!$V$3, 'Data entry'!$AP$6:$AP$200,'Data Validation'!$U$6, 'Data entry'!$BD$6:$BD$200,"&lt;&gt;*Negative*"))</f>
        <v>0</v>
      </c>
      <c r="AP71" s="15">
        <f>SUM(COUNTIFS('Data entry'!$R$6:$R$200,'Summary Data'!$A71,'Data entry'!$B$6:$B$200,{"Confirmed";"Probable"},'Data entry'!$AQ$6:$AQ$200,'Data Validation'!$V$4, 'Data entry'!$AP$6:$AP$200,'Data Validation'!$U$2, 'Data entry'!$BD$6:$BD$200,"&lt;&gt;*Negative*"))</f>
        <v>0</v>
      </c>
      <c r="AQ71" s="15">
        <f>SUM(COUNTIFS('Data entry'!$R$6:$R$200,'Summary Data'!$A71,'Data entry'!$B$6:$B$200,{"Confirmed";"Probable"},'Data entry'!$AQ$6:$AQ$200,'Data Validation'!$V$4, 'Data entry'!$AP$6:$AP$200,'Data Validation'!$U$3, 'Data entry'!$BD$6:$BD$200,"&lt;&gt;*Negative*"))</f>
        <v>0</v>
      </c>
      <c r="AR71" s="15">
        <f>SUM(COUNTIFS('Data entry'!$R$6:$R$200,'Summary Data'!$A71,'Data entry'!$B$6:$B$200,{"Confirmed";"Probable"},'Data entry'!$AQ$6:$AQ$200,'Data Validation'!$V$4, 'Data entry'!$AP$6:$AP$200,'Data Validation'!$U$4, 'Data entry'!$BD$6:$BD$200,"&lt;&gt;*Negative*"))</f>
        <v>0</v>
      </c>
      <c r="AS71" s="15">
        <f>SUM(COUNTIFS('Data entry'!$R$6:$R$200,'Summary Data'!$A71,'Data entry'!$B$6:$B$200,{"Confirmed";"Probable"},'Data entry'!$AQ$6:$AQ$200,'Data Validation'!$V$4, 'Data entry'!$AP$6:$AP$200,'Data Validation'!$U$5, 'Data entry'!$BD$6:$BD$200,"&lt;&gt;*Negative*"))</f>
        <v>0</v>
      </c>
      <c r="AT71" s="15">
        <f>SUM(COUNTIFS('Data entry'!$R$6:$R$200,'Summary Data'!$A71,'Data entry'!$B$6:$B$200,{"Confirmed";"Probable"},'Data entry'!$AQ$6:$AQ$200,'Data Validation'!$V$4, 'Data entry'!$AP$6:$AP$200,'Data Validation'!$U$6, 'Data entry'!$BD$6:$BD$200,"&lt;&gt;*Negative*"))</f>
        <v>0</v>
      </c>
      <c r="AU71" s="15">
        <f>SUM(COUNTIFS('Data entry'!$R$6:$R$200,'Summary Data'!$A71,'Data entry'!$B$6:$B$200,{"Confirmed";"Probable"},'Data entry'!$AQ$6:$AQ$200,'Data Validation'!$V$5, 'Data entry'!$AP$6:$AP$200,'Data Validation'!$U$2, 'Data entry'!$BD$6:$BD$200,"&lt;&gt;*Negative*"))</f>
        <v>0</v>
      </c>
      <c r="AV71" s="15">
        <f>SUM(COUNTIFS('Data entry'!$R$6:$R$200,'Summary Data'!$A71,'Data entry'!$B$6:$B$200,{"Confirmed";"Probable"},'Data entry'!$AQ$6:$AQ$200,'Data Validation'!$V$5, 'Data entry'!$AP$6:$AP$200,'Data Validation'!$U$3, 'Data entry'!$BD$6:$BD$200,"&lt;&gt;*Negative*"))</f>
        <v>0</v>
      </c>
      <c r="AW71" s="15">
        <f>SUM(COUNTIFS('Data entry'!$R$6:$R$200,'Summary Data'!$A71,'Data entry'!$B$6:$B$200,{"Confirmed";"Probable"},'Data entry'!$AQ$6:$AQ$200,'Data Validation'!$V$5, 'Data entry'!$AP$6:$AP$200,'Data Validation'!$U$4, 'Data entry'!$BD$6:$BD$200,"&lt;&gt;*Negative*"))</f>
        <v>0</v>
      </c>
      <c r="AX71" s="15">
        <f>SUM(COUNTIFS('Data entry'!$R$6:$R$200,'Summary Data'!$A71,'Data entry'!$B$6:$B$200,{"Confirmed";"Probable"},'Data entry'!$AQ$6:$AQ$200,'Data Validation'!$V$5, 'Data entry'!$AP$6:$AP$200,'Data Validation'!$U$5, 'Data entry'!$BD$6:$BD$200,"&lt;&gt;*Negative*"))</f>
        <v>0</v>
      </c>
      <c r="AY71" s="15">
        <f>SUM(COUNTIFS('Data entry'!$R$6:$R$200,'Summary Data'!$A71,'Data entry'!$B$6:$B$200,{"Confirmed";"Probable"},'Data entry'!$AQ$6:$AQ$200,'Data Validation'!$V$5, 'Data entry'!$AP$6:$AP$200,'Data Validation'!$U$6, 'Data entry'!$BD$6:$BD$200,"&lt;&gt;*Negative*"))</f>
        <v>0</v>
      </c>
      <c r="AZ71" s="15">
        <f>SUM(COUNTIFS('Data entry'!$R$6:$R$200,'Summary Data'!$A71,'Data entry'!$B$6:$B$200,{"Confirmed";"Probable"},'Data entry'!$AQ$6:$AQ$200,'Data Validation'!$V$6, 'Data entry'!$AP$6:$AP$200,'Data Validation'!$U$2, 'Data entry'!$BD$6:$BD$200,"&lt;&gt;*Negative*"))</f>
        <v>0</v>
      </c>
      <c r="BA71" s="15">
        <f>SUM(COUNTIFS('Data entry'!$R$6:$R$200,'Summary Data'!$A71,'Data entry'!$B$6:$B$200,{"Confirmed";"Probable"},'Data entry'!$AQ$6:$AQ$200,'Data Validation'!$V$6, 'Data entry'!$AP$6:$AP$200,'Data Validation'!$U$3, 'Data entry'!$BD$6:$BD$200,"&lt;&gt;*Negative*"))</f>
        <v>0</v>
      </c>
      <c r="BB71" s="15">
        <f>SUM(COUNTIFS('Data entry'!$R$6:$R$200,'Summary Data'!$A71,'Data entry'!$B$6:$B$200,{"Confirmed";"Probable"},'Data entry'!$AQ$6:$AQ$200,'Data Validation'!$V$6, 'Data entry'!$AP$6:$AP$200,'Data Validation'!$U$4, 'Data entry'!$BD$6:$BD$200,"&lt;&gt;*Negative*"))</f>
        <v>0</v>
      </c>
      <c r="BC71" s="15">
        <f>SUM(COUNTIFS('Data entry'!$R$6:$R$200,'Summary Data'!$A71,'Data entry'!$B$6:$B$200,{"Confirmed";"Probable"},'Data entry'!$AQ$6:$AQ$200,'Data Validation'!$V$6, 'Data entry'!$AP$6:$AP$200,'Data Validation'!$U$5, 'Data entry'!$BD$6:$BD$200,"&lt;&gt;*Negative*"))</f>
        <v>0</v>
      </c>
      <c r="BD71" s="15">
        <f>SUM(COUNTIFS('Data entry'!$R$6:$R$200,'Summary Data'!$A71,'Data entry'!$B$6:$B$200,{"Confirmed";"Probable"},'Data entry'!$AQ$6:$AQ$200,'Data Validation'!$V$6, 'Data entry'!$AP$6:$AP$200,'Data Validation'!$U$6, 'Data entry'!$BD$6:$BD$200,"&lt;&gt;*Negative*"))</f>
        <v>0</v>
      </c>
      <c r="BE71" s="15">
        <f>SUM(COUNTIFS('Data entry'!$R$6:$R$200,'Summary Data'!$A71,'Data entry'!$B$6:$B$200,{"Confirmed";"Probable"},'Data entry'!$AQ$6:$AQ$200,'Data Validation'!$V$7, 'Data entry'!$AP$6:$AP$200,'Data Validation'!$U$2, 'Data entry'!$BD$6:$BD$200,"&lt;&gt;*Negative*"))</f>
        <v>0</v>
      </c>
      <c r="BF71" s="15">
        <f>SUM(COUNTIFS('Data entry'!$R$6:$R$200,'Summary Data'!$A71,'Data entry'!$B$6:$B$200,{"Confirmed";"Probable"},'Data entry'!$AQ$6:$AQ$200,'Data Validation'!$V$7, 'Data entry'!$AP$6:$AP$200,'Data Validation'!$U$3, 'Data entry'!$BD$6:$BD$200,"&lt;&gt;*Negative*"))</f>
        <v>0</v>
      </c>
      <c r="BG71" s="15">
        <f>SUM(COUNTIFS('Data entry'!$R$6:$R$200,'Summary Data'!$A71,'Data entry'!$B$6:$B$200,{"Confirmed";"Probable"},'Data entry'!$AQ$6:$AQ$200,'Data Validation'!$V$7, 'Data entry'!$AP$6:$AP$200,'Data Validation'!$U$4, 'Data entry'!$BD$6:$BD$200,"&lt;&gt;*Negative*"))</f>
        <v>0</v>
      </c>
      <c r="BH71" s="15">
        <f>SUM(COUNTIFS('Data entry'!$R$6:$R$200,'Summary Data'!$A71,'Data entry'!$B$6:$B$200,{"Confirmed";"Probable"},'Data entry'!$AQ$6:$AQ$200,'Data Validation'!$V$7, 'Data entry'!$AP$6:$AP$200,'Data Validation'!$U$5, 'Data entry'!$BD$6:$BD$200,"&lt;&gt;*Negative*"))</f>
        <v>0</v>
      </c>
      <c r="BI71" s="15">
        <f>SUM(COUNTIFS('Data entry'!$R$6:$R$200,'Summary Data'!$A71,'Data entry'!$B$6:$B$200,{"Confirmed";"Probable"},'Data entry'!$AQ$6:$AQ$200,'Data Validation'!$V$7, 'Data entry'!$AP$6:$AP$200,'Data Validation'!$U$6, 'Data entry'!$BD$6:$BD$200,"&lt;&gt;*Negative*"))</f>
        <v>0</v>
      </c>
      <c r="BJ71" s="15">
        <f>SUM(COUNTIFS('Data entry'!$R$6:$R$200,'Summary Data'!$A71,'Data entry'!$B$6:$B$200,{"Confirmed";"Probable"},'Data entry'!$AQ$6:$AQ$200,'Data Validation'!$V$8, 'Data entry'!$AP$6:$AP$200,'Data Validation'!$U$2, 'Data entry'!$BD$6:$BD$200,"&lt;&gt;*Negative*"))</f>
        <v>0</v>
      </c>
      <c r="BK71" s="15">
        <f>SUM(COUNTIFS('Data entry'!$R$6:$R$200,'Summary Data'!$A71,'Data entry'!$B$6:$B$200,{"Confirmed";"Probable"},'Data entry'!$AQ$6:$AQ$200,'Data Validation'!$V$8, 'Data entry'!$AP$6:$AP$200,'Data Validation'!$U$3, 'Data entry'!$BD$6:$BD$200,"&lt;&gt;*Negative*"))</f>
        <v>0</v>
      </c>
      <c r="BL71" s="15">
        <f>SUM(COUNTIFS('Data entry'!$R$6:$R$200,'Summary Data'!$A71,'Data entry'!$B$6:$B$200,{"Confirmed";"Probable"},'Data entry'!$AQ$6:$AQ$200,'Data Validation'!$V$8, 'Data entry'!$AP$6:$AP$200,'Data Validation'!$U$4, 'Data entry'!$BD$6:$BD$200,"&lt;&gt;*Negative*"))</f>
        <v>0</v>
      </c>
      <c r="BM71" s="15">
        <f>SUM(COUNTIFS('Data entry'!$R$6:$R$200,'Summary Data'!$A71,'Data entry'!$B$6:$B$200,{"Confirmed";"Probable"},'Data entry'!$AQ$6:$AQ$200,'Data Validation'!$V$8, 'Data entry'!$AP$6:$AP$200,'Data Validation'!$U$5, 'Data entry'!$BD$6:$BD$200,"&lt;&gt;*Negative*"))</f>
        <v>0</v>
      </c>
      <c r="BN71" s="15">
        <f>SUM(COUNTIFS('Data entry'!$R$6:$R$200,'Summary Data'!$A71,'Data entry'!$B$6:$B$200,{"Confirmed";"Probable"},'Data entry'!$AQ$6:$AQ$200,'Data Validation'!$V$8, 'Data entry'!$AP$6:$AP$200,'Data Validation'!$U$6, 'Data entry'!$BD$6:$BD$200,"&lt;&gt;*Negative*"))</f>
        <v>0</v>
      </c>
      <c r="BO71" s="15">
        <f>SUM(COUNTIFS('Data entry'!$R$6:$R$200,'Summary Data'!$A71,'Data entry'!$B$6:$B$200,{"Confirmed";"Probable"},'Data entry'!$AQ$6:$AQ$200,'Data Validation'!$V$9, 'Data entry'!$AP$6:$AP$200,'Data Validation'!$U$2, 'Data entry'!$BD$6:$BD$200,"&lt;&gt;*Negative*"))</f>
        <v>0</v>
      </c>
      <c r="BP71" s="15">
        <f>SUM(COUNTIFS('Data entry'!$R$6:$R$200,'Summary Data'!$A71,'Data entry'!$B$6:$B$200,{"Confirmed";"Probable"},'Data entry'!$AQ$6:$AQ$200,'Data Validation'!$V$9, 'Data entry'!$AP$6:$AP$200,'Data Validation'!$U$3, 'Data entry'!$BD$6:$BD$200,"&lt;&gt;*Negative*"))</f>
        <v>0</v>
      </c>
      <c r="BQ71" s="15">
        <f>SUM(COUNTIFS('Data entry'!$R$6:$R$200,'Summary Data'!$A71,'Data entry'!$B$6:$B$200,{"Confirmed";"Probable"},'Data entry'!$AQ$6:$AQ$200,'Data Validation'!$V$9, 'Data entry'!$AP$6:$AP$200,'Data Validation'!$U$4, 'Data entry'!$BD$6:$BD$200,"&lt;&gt;*Negative*"))</f>
        <v>0</v>
      </c>
      <c r="BR71" s="15">
        <f>SUM(COUNTIFS('Data entry'!$R$6:$R$200,'Summary Data'!$A71,'Data entry'!$B$6:$B$200,{"Confirmed";"Probable"},'Data entry'!$AQ$6:$AQ$200,'Data Validation'!$V$9, 'Data entry'!$AP$6:$AP$200,'Data Validation'!$U$5, 'Data entry'!$BD$6:$BD$200,"&lt;&gt;*Negative*"))</f>
        <v>0</v>
      </c>
      <c r="BS71" s="15">
        <f>SUM(COUNTIFS('Data entry'!$R$6:$R$200,'Summary Data'!$A71,'Data entry'!$B$6:$B$200,{"Confirmed";"Probable"},'Data entry'!$AQ$6:$AQ$200,'Data Validation'!$V$9, 'Data entry'!$AP$6:$AP$200,'Data Validation'!$U$6, 'Data entry'!$BD$6:$BD$200,"&lt;&gt;*Negative*"))</f>
        <v>0</v>
      </c>
      <c r="BT71" s="15">
        <f>SUM(COUNTIFS('Data entry'!$R$6:$R$200,'Summary Data'!$A71,'Data entry'!$B$6:$B$200,{"Confirmed";"Probable"},'Data entry'!$AQ$6:$AQ$200,'Data Validation'!$V$10, 'Data entry'!$AP$6:$AP$200,'Data Validation'!$U$2, 'Data entry'!$BD$6:$BD$200,"&lt;&gt;*Negative*"))</f>
        <v>0</v>
      </c>
      <c r="BU71" s="15">
        <f>SUM(COUNTIFS('Data entry'!$R$6:$R$200,'Summary Data'!$A71,'Data entry'!$B$6:$B$200,{"Confirmed";"Probable"},'Data entry'!$AQ$6:$AQ$200,'Data Validation'!$V$10, 'Data entry'!$AP$6:$AP$200,'Data Validation'!$U$3, 'Data entry'!$BD$6:$BD$200,"&lt;&gt;*Negative*"))</f>
        <v>0</v>
      </c>
      <c r="BV71" s="15">
        <f>SUM(COUNTIFS('Data entry'!$R$6:$R$200,'Summary Data'!$A71,'Data entry'!$B$6:$B$200,{"Confirmed";"Probable"},'Data entry'!$AQ$6:$AQ$200,'Data Validation'!$V$10, 'Data entry'!$AP$6:$AP$200,'Data Validation'!$U$4, 'Data entry'!$BD$6:$BD$200,"&lt;&gt;*Negative*"))</f>
        <v>0</v>
      </c>
      <c r="BW71" s="15">
        <f>SUM(COUNTIFS('Data entry'!$R$6:$R$200,'Summary Data'!$A71,'Data entry'!$B$6:$B$200,{"Confirmed";"Probable"},'Data entry'!$AQ$6:$AQ$200,'Data Validation'!$V$10, 'Data entry'!$AP$6:$AP$200,'Data Validation'!$U$5, 'Data entry'!$BD$6:$BD$200,"&lt;&gt;*Negative*"))</f>
        <v>0</v>
      </c>
      <c r="BX71" s="15">
        <f>SUM(COUNTIFS('Data entry'!$R$6:$R$200,'Summary Data'!$A71,'Data entry'!$B$6:$B$200,{"Confirmed";"Probable"},'Data entry'!$AQ$6:$AQ$200,'Data Validation'!$V$10, 'Data entry'!$AP$6:$AP$200,'Data Validation'!$U$6, 'Data entry'!$BD$6:$BD$200,"&lt;&gt;*Negative*"))</f>
        <v>0</v>
      </c>
      <c r="BY71" s="15">
        <f>SUM(COUNTIFS('Data entry'!$R$6:$R$200,'Summary Data'!$A71,'Data entry'!$B$6:$B$200,{"Confirmed";"Probable"},'Data entry'!$AQ$6:$AQ$200,'Data Validation'!$V$11, 'Data entry'!$AP$6:$AP$200,'Data Validation'!$U$2, 'Data entry'!$BD$6:$BD$200,"&lt;&gt;*Negative*"))</f>
        <v>0</v>
      </c>
      <c r="BZ71" s="15">
        <f>SUM(COUNTIFS('Data entry'!$R$6:$R$200,'Summary Data'!$A71,'Data entry'!$B$6:$B$200,{"Confirmed";"Probable"},'Data entry'!$AQ$6:$AQ$200,'Data Validation'!$V$11, 'Data entry'!$AP$6:$AP$200,'Data Validation'!$U$3, 'Data entry'!$BD$6:$BD$200,"&lt;&gt;*Negative*"))</f>
        <v>0</v>
      </c>
      <c r="CA71" s="15">
        <f>SUM(COUNTIFS('Data entry'!$R$6:$R$200,'Summary Data'!$A71,'Data entry'!$B$6:$B$200,{"Confirmed";"Probable"},'Data entry'!$AQ$6:$AQ$200,'Data Validation'!$V$11, 'Data entry'!$AP$6:$AP$200,'Data Validation'!$U$4, 'Data entry'!$BD$6:$BD$200,"&lt;&gt;*Negative*"))</f>
        <v>0</v>
      </c>
      <c r="CB71" s="15">
        <f>SUM(COUNTIFS('Data entry'!$R$6:$R$200,'Summary Data'!$A71,'Data entry'!$B$6:$B$200,{"Confirmed";"Probable"},'Data entry'!$AQ$6:$AQ$200,'Data Validation'!$V$11, 'Data entry'!$AP$6:$AP$200,'Data Validation'!$U$5, 'Data entry'!$BD$6:$BD$200,"&lt;&gt;*Negative*"))</f>
        <v>0</v>
      </c>
      <c r="CC71" s="15">
        <f>SUM(COUNTIFS('Data entry'!$R$6:$R$200,'Summary Data'!$A71,'Data entry'!$B$6:$B$200,{"Confirmed";"Probable"},'Data entry'!$AQ$6:$AQ$200,'Data Validation'!$V$11, 'Data entry'!$AP$6:$AP$200,'Data Validation'!$U$6, 'Data entry'!$BD$6:$BD$200,"&lt;&gt;*Negative*"))</f>
        <v>0</v>
      </c>
    </row>
    <row r="72" spans="1:81" x14ac:dyDescent="0.25">
      <c r="A72" s="12">
        <f t="shared" si="5"/>
        <v>60</v>
      </c>
      <c r="B72" s="13">
        <f t="shared" si="2"/>
        <v>0</v>
      </c>
      <c r="C72" s="13">
        <f>COUNTIFS('Data entry'!$R$6:$R$200,$A72,'Data entry'!$B$6:$B$200,"Confirmed",'Data entry'!$BD$6:$BD$200,"&lt;&gt;*Negative*")</f>
        <v>0</v>
      </c>
      <c r="D72" s="13">
        <f>COUNTIFS('Data entry'!$R$6:$R$200,$A72,'Data entry'!$B$6:$B$200,"Probable",'Data entry'!$BD$6:$BD$200,"&lt;&gt;*Negative*")</f>
        <v>0</v>
      </c>
      <c r="E72" s="13">
        <f>COUNTIFS('Data entry'!$R$6:$R$200,$A72,'Data entry'!$B$6:$B$200,"DNM")</f>
        <v>0</v>
      </c>
      <c r="F72" s="13">
        <f>SUM(COUNTIFS('Data entry'!$R$6:$R$200,'Summary Data'!$A72,'Data entry'!$B$6:$B$200,{"Confirmed";"Probable"},'Data entry'!$AO$6:$AO$200,$F$10, 'Data entry'!$BD$6:$BD$200,"&lt;&gt;*Negative*"))</f>
        <v>0</v>
      </c>
      <c r="G72" s="13">
        <f>SUM(COUNTIFS('Data entry'!$R$6:$R$200,'Summary Data'!$A72,'Data entry'!$B$6:$B$200,{"Confirmed";"Probable"},'Data entry'!$AO$6:$AO$200,$G$10, 'Data entry'!$BD$6:$BD$200,"&lt;&gt;*Negative*"))</f>
        <v>0</v>
      </c>
      <c r="H72" s="13">
        <f>SUM(COUNTIFS('Data entry'!$R$6:$R$200,'Summary Data'!$A72,'Data entry'!$B$6:$B$200,{"Confirmed";"Probable"},'Data entry'!$AO$6:$AO$200,$H$10, 'Data entry'!$BD$6:$BD$200,"&lt;&gt;*Negative*"))</f>
        <v>0</v>
      </c>
      <c r="I72" s="13">
        <f>SUM(COUNTIFS('Data entry'!$R$6:$R$200,'Summary Data'!$A72,'Data entry'!$B$6:$B$200,{"Confirmed";"Probable"},'Data entry'!$AO$6:$AO$200,$I$10, 'Data entry'!$BD$6:$BD$200,"&lt;&gt;*Negative*"))</f>
        <v>0</v>
      </c>
      <c r="J72" s="13">
        <f>SUM(COUNTIFS('Data entry'!$R$6:$R$200,'Summary Data'!$A72,'Data entry'!$B$6:$B$200,{"Confirmed";"Probable"},'Data entry'!$AO$6:$AO$200,$J$10, 'Data entry'!$BD$6:$BD$200,"&lt;&gt;*Negative*"))</f>
        <v>0</v>
      </c>
      <c r="K72" s="13">
        <f>SUM(COUNTIFS('Data entry'!$R$6:$R$200,'Summary Data'!$A72,'Data entry'!$B$6:$B$200,{"Confirmed";"Probable"},'Data entry'!$AO$6:$AO$200,$K$10, 'Data entry'!$BD$6:$BD$200,"&lt;&gt;*Negative*"))</f>
        <v>0</v>
      </c>
      <c r="L72" s="13">
        <f>SUM(COUNTIFS('Data entry'!$R$6:$R$200,'Summary Data'!$A72,'Data entry'!$B$6:$B$200,{"Confirmed";"Probable"},'Data entry'!$AO$6:$AO$200,$L$10, 'Data entry'!$BD$6:$BD$200,"&lt;&gt;*Negative*"))</f>
        <v>0</v>
      </c>
      <c r="M72" s="13">
        <f>SUM(COUNTIFS('Data entry'!$R$6:$R$200,'Summary Data'!$A72,'Data entry'!$B$6:$B$200,{"Confirmed";"Probable"},'Data entry'!$AO$6:$AO$200,$M$10, 'Data entry'!$BD$6:$BD$200,"&lt;&gt;*Negative*"))</f>
        <v>0</v>
      </c>
      <c r="N72" s="13">
        <f>SUM(COUNTIFS('Data entry'!$R$6:$R$200,'Summary Data'!$A72,'Data entry'!$B$6:$B$200,{"Confirmed";"Probable"},'Data entry'!$AO$6:$AO$200,$N$10, 'Data entry'!$BD$6:$BD$200,"&lt;&gt;*Negative*"))</f>
        <v>0</v>
      </c>
      <c r="O72" s="15">
        <f t="shared" si="3"/>
        <v>0</v>
      </c>
      <c r="P72" s="15">
        <f t="shared" si="4"/>
        <v>0</v>
      </c>
      <c r="Q72" s="15">
        <f>SUM(COUNTIFS('Data entry'!$R$6:$R$200,'Summary Data'!$A72,'Data entry'!$B$6:$B$200,{"Confirmed";"Probable"},'Data entry'!$AP$6:$AP$200,'Data Validation'!$U$2, 'Data entry'!$BD$6:$BD$200,"&lt;&gt;*Negative*"))</f>
        <v>0</v>
      </c>
      <c r="R72" s="15">
        <f>SUM(COUNTIFS('Data entry'!$R$6:$R$200,'Summary Data'!$A72,'Data entry'!$B$6:$B$200,{"Confirmed";"Probable"},'Data entry'!$AP$6:$AP$200,'Data Validation'!$U$3, 'Data entry'!$BD$6:$BD$200,"&lt;&gt;*Negative*"))</f>
        <v>0</v>
      </c>
      <c r="S72" s="15">
        <f>SUM(COUNTIFS('Data entry'!$R$6:$R$200,'Summary Data'!$A72,'Data entry'!$B$6:$B$200,{"Confirmed";"Probable"},'Data entry'!$AP$6:$AP$200,'Data Validation'!$U$4, 'Data entry'!$BD$6:$BD$200,"&lt;&gt;*Negative*"))</f>
        <v>0</v>
      </c>
      <c r="T72" s="15">
        <f>SUM(COUNTIFS('Data entry'!$R$6:$R$200,'Summary Data'!$A72,'Data entry'!$B$6:$B$200,{"Confirmed";"Probable"},'Data entry'!$AP$6:$AP$200,'Data Validation'!$U$5, 'Data entry'!$BD$6:$BD$200,"&lt;&gt;*Negative*"))</f>
        <v>0</v>
      </c>
      <c r="U72" s="15">
        <f>SUM(COUNTIFS('Data entry'!$R$6:$R$200,'Summary Data'!$A72,'Data entry'!$B$6:$B$200,{"Confirmed";"Probable"},'Data entry'!$AP$6:$AP$200,'Data Validation'!$U$6, 'Data entry'!$BD$6:$BD$200,"&lt;&gt;*Negative*"))</f>
        <v>0</v>
      </c>
      <c r="V72" s="15">
        <f>SUM(COUNTIFS('Data entry'!$R$6:$R$200,'Summary Data'!$A72,'Data entry'!$B$6:$B$200,{"Confirmed";"Probable"},'Data entry'!$AQ$6:$AQ$200,'Data Validation'!$V$2, 'Data entry'!$BD$6:$BD$200,"&lt;&gt;*Negative*"))</f>
        <v>0</v>
      </c>
      <c r="W72" s="15">
        <f>SUM(COUNTIFS('Data entry'!$R$6:$R$200,'Summary Data'!$A72,'Data entry'!$B$6:$B$200,{"Confirmed";"Probable"},'Data entry'!$AQ$6:$AQ$200,'Data Validation'!$V$3, 'Data entry'!$BD$6:$BD$200,"&lt;&gt;*Negative*"))</f>
        <v>0</v>
      </c>
      <c r="X72" s="15">
        <f>SUM(COUNTIFS('Data entry'!$R$6:$R$200,'Summary Data'!$A72,'Data entry'!$B$6:$B$200,{"Confirmed";"Probable"},'Data entry'!$AQ$6:$AQ$200,'Data Validation'!$V$4, 'Data entry'!$BD$6:$BD$200,"&lt;&gt;*Negative*"))</f>
        <v>0</v>
      </c>
      <c r="Y72" s="15">
        <f>SUM(COUNTIFS('Data entry'!$R$6:$R$200,'Summary Data'!$A72,'Data entry'!$B$6:$B$200,{"Confirmed";"Probable"},'Data entry'!$AQ$6:$AQ$200,'Data Validation'!$V$5, 'Data entry'!$BD$6:$BD$200,"&lt;&gt;*Negative*"))</f>
        <v>0</v>
      </c>
      <c r="Z72" s="15">
        <f>SUM(COUNTIFS('Data entry'!$R$6:$R$200,'Summary Data'!$A72,'Data entry'!$B$6:$B$200,{"Confirmed";"Probable"},'Data entry'!$AQ$6:$AQ$200,'Data Validation'!$V$6, 'Data entry'!$BD$6:$BD$200,"&lt;&gt;*Negative*"))</f>
        <v>0</v>
      </c>
      <c r="AA72" s="15">
        <f>SUM(COUNTIFS('Data entry'!$R$6:$R$200,'Summary Data'!$A72,'Data entry'!$B$6:$B$200,{"Confirmed";"Probable"},'Data entry'!$AQ$6:$AQ$200,'Data Validation'!$V$7, 'Data entry'!$BD$6:$BD$200,"&lt;&gt;*Negative*"))</f>
        <v>0</v>
      </c>
      <c r="AB72" s="15">
        <f>SUM(COUNTIFS('Data entry'!$R$6:$R$200,'Summary Data'!$A72,'Data entry'!$B$6:$B$200,{"Confirmed";"Probable"},'Data entry'!$AQ$6:$AQ$200,'Data Validation'!$V$8, 'Data entry'!$BD$6:$BD$200,"&lt;&gt;*Negative*"))</f>
        <v>0</v>
      </c>
      <c r="AC72" s="15">
        <f>SUM(COUNTIFS('Data entry'!$R$6:$R$200,'Summary Data'!$A72,'Data entry'!$B$6:$B$200,{"Confirmed";"Probable"},'Data entry'!$AQ$6:$AQ$200,'Data Validation'!$V$9, 'Data entry'!$BD$6:$BD$200,"&lt;&gt;*Negative*"))</f>
        <v>0</v>
      </c>
      <c r="AD72" s="15">
        <f>SUM(COUNTIFS('Data entry'!$R$6:$R$200,'Summary Data'!$A72,'Data entry'!$B$6:$B$200,{"Confirmed";"Probable"},'Data entry'!$AQ$6:$AQ$200,'Data Validation'!$V$10, 'Data entry'!$BD$6:$BD$200,"&lt;&gt;*Negative*"))</f>
        <v>0</v>
      </c>
      <c r="AE72" s="15">
        <f>SUM(COUNTIFS('Data entry'!$R$6:$R$200,'Summary Data'!$A72,'Data entry'!$B$6:$B$200,{"Confirmed";"Probable"},'Data entry'!$AQ$6:$AQ$200,'Data Validation'!$V$11, 'Data entry'!$BD$6:$BD$200,"&lt;&gt;*Negative*"))</f>
        <v>0</v>
      </c>
      <c r="AF72" s="15">
        <f>SUM(COUNTIFS('Data entry'!$R$6:$R$200,'Summary Data'!$A72,'Data entry'!$B$6:$B$200,{"Confirmed";"Probable"},'Data entry'!$AQ$6:$AQ$200,'Data Validation'!$V$2, 'Data entry'!$AP$6:$AP$200,'Data Validation'!$U$2, 'Data entry'!$BD$6:$BD$200,"&lt;&gt;*Negative*"))</f>
        <v>0</v>
      </c>
      <c r="AG72" s="15">
        <f>SUM(COUNTIFS('Data entry'!$R$6:$R$200,'Summary Data'!$A72,'Data entry'!$B$6:$B$200,{"Confirmed";"Probable"},'Data entry'!$AQ$6:$AQ$200,'Data Validation'!$V$2, 'Data entry'!$AP$6:$AP$200,'Data Validation'!$U$3, 'Data entry'!$BD$6:$BD$200,"&lt;&gt;*Negative*"))</f>
        <v>0</v>
      </c>
      <c r="AH72" s="15">
        <f>SUM(COUNTIFS('Data entry'!$R$6:$R$200,'Summary Data'!$A72,'Data entry'!$B$6:$B$200,{"Confirmed";"Probable"},'Data entry'!$AQ$6:$AQ$200,'Data Validation'!$V$2, 'Data entry'!$AP$6:$AP$200,'Data Validation'!$U$4, 'Data entry'!$BD$6:$BD$200,"&lt;&gt;*Negative*"))</f>
        <v>0</v>
      </c>
      <c r="AI72" s="15">
        <f>SUM(COUNTIFS('Data entry'!$R$6:$R$200,'Summary Data'!$A72,'Data entry'!$B$6:$B$200,{"Confirmed";"Probable"},'Data entry'!$AQ$6:$AQ$200,'Data Validation'!$V$2, 'Data entry'!$AP$6:$AP$200,'Data Validation'!$U$5, 'Data entry'!$BD$6:$BD$200,"&lt;&gt;*Negative*"))</f>
        <v>0</v>
      </c>
      <c r="AJ72" s="15">
        <f>SUM(COUNTIFS('Data entry'!$R$6:$R$200,'Summary Data'!$A72,'Data entry'!$B$6:$B$200,{"Confirmed";"Probable"},'Data entry'!$AQ$6:$AQ$200,'Data Validation'!$V$2, 'Data entry'!$AP$6:$AP$200,'Data Validation'!$U$6, 'Data entry'!$BD$6:$BD$200,"&lt;&gt;*Negative*"))</f>
        <v>0</v>
      </c>
      <c r="AK72" s="15">
        <f>SUM(COUNTIFS('Data entry'!$R$6:$R$200,'Summary Data'!$A72,'Data entry'!$B$6:$B$200,{"Confirmed";"Probable"},'Data entry'!$AQ$6:$AQ$200,'Data Validation'!$V$3, 'Data entry'!$AP$6:$AP$200,'Data Validation'!$U$2, 'Data entry'!$BD$6:$BD$200,"&lt;&gt;*Negative*"))</f>
        <v>0</v>
      </c>
      <c r="AL72" s="15">
        <f>SUM(COUNTIFS('Data entry'!$R$6:$R$200,'Summary Data'!$A72,'Data entry'!$B$6:$B$200,{"Confirmed";"Probable"},'Data entry'!$AQ$6:$AQ$200,'Data Validation'!$V$3, 'Data entry'!$AP$6:$AP$200,'Data Validation'!$U$3, 'Data entry'!$BD$6:$BD$200,"&lt;&gt;*Negative*"))</f>
        <v>0</v>
      </c>
      <c r="AM72" s="15">
        <f>SUM(COUNTIFS('Data entry'!$R$6:$R$200,'Summary Data'!$A72,'Data entry'!$B$6:$B$200,{"Confirmed";"Probable"},'Data entry'!$AQ$6:$AQ$200,'Data Validation'!$V$3, 'Data entry'!$AP$6:$AP$200,'Data Validation'!$U$4, 'Data entry'!$BD$6:$BD$200,"&lt;&gt;*Negative*"))</f>
        <v>0</v>
      </c>
      <c r="AN72" s="15">
        <f>SUM(COUNTIFS('Data entry'!$R$6:$R$200,'Summary Data'!$A72,'Data entry'!$B$6:$B$200,{"Confirmed";"Probable"},'Data entry'!$AQ$6:$AQ$200,'Data Validation'!$V$3, 'Data entry'!$AP$6:$AP$200,'Data Validation'!$U$5, 'Data entry'!$BD$6:$BD$200,"&lt;&gt;*Negative*"))</f>
        <v>0</v>
      </c>
      <c r="AO72" s="15">
        <f>SUM(COUNTIFS('Data entry'!$R$6:$R$200,'Summary Data'!$A72,'Data entry'!$B$6:$B$200,{"Confirmed";"Probable"},'Data entry'!$AQ$6:$AQ$200,'Data Validation'!$V$3, 'Data entry'!$AP$6:$AP$200,'Data Validation'!$U$6, 'Data entry'!$BD$6:$BD$200,"&lt;&gt;*Negative*"))</f>
        <v>0</v>
      </c>
      <c r="AP72" s="15">
        <f>SUM(COUNTIFS('Data entry'!$R$6:$R$200,'Summary Data'!$A72,'Data entry'!$B$6:$B$200,{"Confirmed";"Probable"},'Data entry'!$AQ$6:$AQ$200,'Data Validation'!$V$4, 'Data entry'!$AP$6:$AP$200,'Data Validation'!$U$2, 'Data entry'!$BD$6:$BD$200,"&lt;&gt;*Negative*"))</f>
        <v>0</v>
      </c>
      <c r="AQ72" s="15">
        <f>SUM(COUNTIFS('Data entry'!$R$6:$R$200,'Summary Data'!$A72,'Data entry'!$B$6:$B$200,{"Confirmed";"Probable"},'Data entry'!$AQ$6:$AQ$200,'Data Validation'!$V$4, 'Data entry'!$AP$6:$AP$200,'Data Validation'!$U$3, 'Data entry'!$BD$6:$BD$200,"&lt;&gt;*Negative*"))</f>
        <v>0</v>
      </c>
      <c r="AR72" s="15">
        <f>SUM(COUNTIFS('Data entry'!$R$6:$R$200,'Summary Data'!$A72,'Data entry'!$B$6:$B$200,{"Confirmed";"Probable"},'Data entry'!$AQ$6:$AQ$200,'Data Validation'!$V$4, 'Data entry'!$AP$6:$AP$200,'Data Validation'!$U$4, 'Data entry'!$BD$6:$BD$200,"&lt;&gt;*Negative*"))</f>
        <v>0</v>
      </c>
      <c r="AS72" s="15">
        <f>SUM(COUNTIFS('Data entry'!$R$6:$R$200,'Summary Data'!$A72,'Data entry'!$B$6:$B$200,{"Confirmed";"Probable"},'Data entry'!$AQ$6:$AQ$200,'Data Validation'!$V$4, 'Data entry'!$AP$6:$AP$200,'Data Validation'!$U$5, 'Data entry'!$BD$6:$BD$200,"&lt;&gt;*Negative*"))</f>
        <v>0</v>
      </c>
      <c r="AT72" s="15">
        <f>SUM(COUNTIFS('Data entry'!$R$6:$R$200,'Summary Data'!$A72,'Data entry'!$B$6:$B$200,{"Confirmed";"Probable"},'Data entry'!$AQ$6:$AQ$200,'Data Validation'!$V$4, 'Data entry'!$AP$6:$AP$200,'Data Validation'!$U$6, 'Data entry'!$BD$6:$BD$200,"&lt;&gt;*Negative*"))</f>
        <v>0</v>
      </c>
      <c r="AU72" s="15">
        <f>SUM(COUNTIFS('Data entry'!$R$6:$R$200,'Summary Data'!$A72,'Data entry'!$B$6:$B$200,{"Confirmed";"Probable"},'Data entry'!$AQ$6:$AQ$200,'Data Validation'!$V$5, 'Data entry'!$AP$6:$AP$200,'Data Validation'!$U$2, 'Data entry'!$BD$6:$BD$200,"&lt;&gt;*Negative*"))</f>
        <v>0</v>
      </c>
      <c r="AV72" s="15">
        <f>SUM(COUNTIFS('Data entry'!$R$6:$R$200,'Summary Data'!$A72,'Data entry'!$B$6:$B$200,{"Confirmed";"Probable"},'Data entry'!$AQ$6:$AQ$200,'Data Validation'!$V$5, 'Data entry'!$AP$6:$AP$200,'Data Validation'!$U$3, 'Data entry'!$BD$6:$BD$200,"&lt;&gt;*Negative*"))</f>
        <v>0</v>
      </c>
      <c r="AW72" s="15">
        <f>SUM(COUNTIFS('Data entry'!$R$6:$R$200,'Summary Data'!$A72,'Data entry'!$B$6:$B$200,{"Confirmed";"Probable"},'Data entry'!$AQ$6:$AQ$200,'Data Validation'!$V$5, 'Data entry'!$AP$6:$AP$200,'Data Validation'!$U$4, 'Data entry'!$BD$6:$BD$200,"&lt;&gt;*Negative*"))</f>
        <v>0</v>
      </c>
      <c r="AX72" s="15">
        <f>SUM(COUNTIFS('Data entry'!$R$6:$R$200,'Summary Data'!$A72,'Data entry'!$B$6:$B$200,{"Confirmed";"Probable"},'Data entry'!$AQ$6:$AQ$200,'Data Validation'!$V$5, 'Data entry'!$AP$6:$AP$200,'Data Validation'!$U$5, 'Data entry'!$BD$6:$BD$200,"&lt;&gt;*Negative*"))</f>
        <v>0</v>
      </c>
      <c r="AY72" s="15">
        <f>SUM(COUNTIFS('Data entry'!$R$6:$R$200,'Summary Data'!$A72,'Data entry'!$B$6:$B$200,{"Confirmed";"Probable"},'Data entry'!$AQ$6:$AQ$200,'Data Validation'!$V$5, 'Data entry'!$AP$6:$AP$200,'Data Validation'!$U$6, 'Data entry'!$BD$6:$BD$200,"&lt;&gt;*Negative*"))</f>
        <v>0</v>
      </c>
      <c r="AZ72" s="15">
        <f>SUM(COUNTIFS('Data entry'!$R$6:$R$200,'Summary Data'!$A72,'Data entry'!$B$6:$B$200,{"Confirmed";"Probable"},'Data entry'!$AQ$6:$AQ$200,'Data Validation'!$V$6, 'Data entry'!$AP$6:$AP$200,'Data Validation'!$U$2, 'Data entry'!$BD$6:$BD$200,"&lt;&gt;*Negative*"))</f>
        <v>0</v>
      </c>
      <c r="BA72" s="15">
        <f>SUM(COUNTIFS('Data entry'!$R$6:$R$200,'Summary Data'!$A72,'Data entry'!$B$6:$B$200,{"Confirmed";"Probable"},'Data entry'!$AQ$6:$AQ$200,'Data Validation'!$V$6, 'Data entry'!$AP$6:$AP$200,'Data Validation'!$U$3, 'Data entry'!$BD$6:$BD$200,"&lt;&gt;*Negative*"))</f>
        <v>0</v>
      </c>
      <c r="BB72" s="15">
        <f>SUM(COUNTIFS('Data entry'!$R$6:$R$200,'Summary Data'!$A72,'Data entry'!$B$6:$B$200,{"Confirmed";"Probable"},'Data entry'!$AQ$6:$AQ$200,'Data Validation'!$V$6, 'Data entry'!$AP$6:$AP$200,'Data Validation'!$U$4, 'Data entry'!$BD$6:$BD$200,"&lt;&gt;*Negative*"))</f>
        <v>0</v>
      </c>
      <c r="BC72" s="15">
        <f>SUM(COUNTIFS('Data entry'!$R$6:$R$200,'Summary Data'!$A72,'Data entry'!$B$6:$B$200,{"Confirmed";"Probable"},'Data entry'!$AQ$6:$AQ$200,'Data Validation'!$V$6, 'Data entry'!$AP$6:$AP$200,'Data Validation'!$U$5, 'Data entry'!$BD$6:$BD$200,"&lt;&gt;*Negative*"))</f>
        <v>0</v>
      </c>
      <c r="BD72" s="15">
        <f>SUM(COUNTIFS('Data entry'!$R$6:$R$200,'Summary Data'!$A72,'Data entry'!$B$6:$B$200,{"Confirmed";"Probable"},'Data entry'!$AQ$6:$AQ$200,'Data Validation'!$V$6, 'Data entry'!$AP$6:$AP$200,'Data Validation'!$U$6, 'Data entry'!$BD$6:$BD$200,"&lt;&gt;*Negative*"))</f>
        <v>0</v>
      </c>
      <c r="BE72" s="15">
        <f>SUM(COUNTIFS('Data entry'!$R$6:$R$200,'Summary Data'!$A72,'Data entry'!$B$6:$B$200,{"Confirmed";"Probable"},'Data entry'!$AQ$6:$AQ$200,'Data Validation'!$V$7, 'Data entry'!$AP$6:$AP$200,'Data Validation'!$U$2, 'Data entry'!$BD$6:$BD$200,"&lt;&gt;*Negative*"))</f>
        <v>0</v>
      </c>
      <c r="BF72" s="15">
        <f>SUM(COUNTIFS('Data entry'!$R$6:$R$200,'Summary Data'!$A72,'Data entry'!$B$6:$B$200,{"Confirmed";"Probable"},'Data entry'!$AQ$6:$AQ$200,'Data Validation'!$V$7, 'Data entry'!$AP$6:$AP$200,'Data Validation'!$U$3, 'Data entry'!$BD$6:$BD$200,"&lt;&gt;*Negative*"))</f>
        <v>0</v>
      </c>
      <c r="BG72" s="15">
        <f>SUM(COUNTIFS('Data entry'!$R$6:$R$200,'Summary Data'!$A72,'Data entry'!$B$6:$B$200,{"Confirmed";"Probable"},'Data entry'!$AQ$6:$AQ$200,'Data Validation'!$V$7, 'Data entry'!$AP$6:$AP$200,'Data Validation'!$U$4, 'Data entry'!$BD$6:$BD$200,"&lt;&gt;*Negative*"))</f>
        <v>0</v>
      </c>
      <c r="BH72" s="15">
        <f>SUM(COUNTIFS('Data entry'!$R$6:$R$200,'Summary Data'!$A72,'Data entry'!$B$6:$B$200,{"Confirmed";"Probable"},'Data entry'!$AQ$6:$AQ$200,'Data Validation'!$V$7, 'Data entry'!$AP$6:$AP$200,'Data Validation'!$U$5, 'Data entry'!$BD$6:$BD$200,"&lt;&gt;*Negative*"))</f>
        <v>0</v>
      </c>
      <c r="BI72" s="15">
        <f>SUM(COUNTIFS('Data entry'!$R$6:$R$200,'Summary Data'!$A72,'Data entry'!$B$6:$B$200,{"Confirmed";"Probable"},'Data entry'!$AQ$6:$AQ$200,'Data Validation'!$V$7, 'Data entry'!$AP$6:$AP$200,'Data Validation'!$U$6, 'Data entry'!$BD$6:$BD$200,"&lt;&gt;*Negative*"))</f>
        <v>0</v>
      </c>
      <c r="BJ72" s="15">
        <f>SUM(COUNTIFS('Data entry'!$R$6:$R$200,'Summary Data'!$A72,'Data entry'!$B$6:$B$200,{"Confirmed";"Probable"},'Data entry'!$AQ$6:$AQ$200,'Data Validation'!$V$8, 'Data entry'!$AP$6:$AP$200,'Data Validation'!$U$2, 'Data entry'!$BD$6:$BD$200,"&lt;&gt;*Negative*"))</f>
        <v>0</v>
      </c>
      <c r="BK72" s="15">
        <f>SUM(COUNTIFS('Data entry'!$R$6:$R$200,'Summary Data'!$A72,'Data entry'!$B$6:$B$200,{"Confirmed";"Probable"},'Data entry'!$AQ$6:$AQ$200,'Data Validation'!$V$8, 'Data entry'!$AP$6:$AP$200,'Data Validation'!$U$3, 'Data entry'!$BD$6:$BD$200,"&lt;&gt;*Negative*"))</f>
        <v>0</v>
      </c>
      <c r="BL72" s="15">
        <f>SUM(COUNTIFS('Data entry'!$R$6:$R$200,'Summary Data'!$A72,'Data entry'!$B$6:$B$200,{"Confirmed";"Probable"},'Data entry'!$AQ$6:$AQ$200,'Data Validation'!$V$8, 'Data entry'!$AP$6:$AP$200,'Data Validation'!$U$4, 'Data entry'!$BD$6:$BD$200,"&lt;&gt;*Negative*"))</f>
        <v>0</v>
      </c>
      <c r="BM72" s="15">
        <f>SUM(COUNTIFS('Data entry'!$R$6:$R$200,'Summary Data'!$A72,'Data entry'!$B$6:$B$200,{"Confirmed";"Probable"},'Data entry'!$AQ$6:$AQ$200,'Data Validation'!$V$8, 'Data entry'!$AP$6:$AP$200,'Data Validation'!$U$5, 'Data entry'!$BD$6:$BD$200,"&lt;&gt;*Negative*"))</f>
        <v>0</v>
      </c>
      <c r="BN72" s="15">
        <f>SUM(COUNTIFS('Data entry'!$R$6:$R$200,'Summary Data'!$A72,'Data entry'!$B$6:$B$200,{"Confirmed";"Probable"},'Data entry'!$AQ$6:$AQ$200,'Data Validation'!$V$8, 'Data entry'!$AP$6:$AP$200,'Data Validation'!$U$6, 'Data entry'!$BD$6:$BD$200,"&lt;&gt;*Negative*"))</f>
        <v>0</v>
      </c>
      <c r="BO72" s="15">
        <f>SUM(COUNTIFS('Data entry'!$R$6:$R$200,'Summary Data'!$A72,'Data entry'!$B$6:$B$200,{"Confirmed";"Probable"},'Data entry'!$AQ$6:$AQ$200,'Data Validation'!$V$9, 'Data entry'!$AP$6:$AP$200,'Data Validation'!$U$2, 'Data entry'!$BD$6:$BD$200,"&lt;&gt;*Negative*"))</f>
        <v>0</v>
      </c>
      <c r="BP72" s="15">
        <f>SUM(COUNTIFS('Data entry'!$R$6:$R$200,'Summary Data'!$A72,'Data entry'!$B$6:$B$200,{"Confirmed";"Probable"},'Data entry'!$AQ$6:$AQ$200,'Data Validation'!$V$9, 'Data entry'!$AP$6:$AP$200,'Data Validation'!$U$3, 'Data entry'!$BD$6:$BD$200,"&lt;&gt;*Negative*"))</f>
        <v>0</v>
      </c>
      <c r="BQ72" s="15">
        <f>SUM(COUNTIFS('Data entry'!$R$6:$R$200,'Summary Data'!$A72,'Data entry'!$B$6:$B$200,{"Confirmed";"Probable"},'Data entry'!$AQ$6:$AQ$200,'Data Validation'!$V$9, 'Data entry'!$AP$6:$AP$200,'Data Validation'!$U$4, 'Data entry'!$BD$6:$BD$200,"&lt;&gt;*Negative*"))</f>
        <v>0</v>
      </c>
      <c r="BR72" s="15">
        <f>SUM(COUNTIFS('Data entry'!$R$6:$R$200,'Summary Data'!$A72,'Data entry'!$B$6:$B$200,{"Confirmed";"Probable"},'Data entry'!$AQ$6:$AQ$200,'Data Validation'!$V$9, 'Data entry'!$AP$6:$AP$200,'Data Validation'!$U$5, 'Data entry'!$BD$6:$BD$200,"&lt;&gt;*Negative*"))</f>
        <v>0</v>
      </c>
      <c r="BS72" s="15">
        <f>SUM(COUNTIFS('Data entry'!$R$6:$R$200,'Summary Data'!$A72,'Data entry'!$B$6:$B$200,{"Confirmed";"Probable"},'Data entry'!$AQ$6:$AQ$200,'Data Validation'!$V$9, 'Data entry'!$AP$6:$AP$200,'Data Validation'!$U$6, 'Data entry'!$BD$6:$BD$200,"&lt;&gt;*Negative*"))</f>
        <v>0</v>
      </c>
      <c r="BT72" s="15">
        <f>SUM(COUNTIFS('Data entry'!$R$6:$R$200,'Summary Data'!$A72,'Data entry'!$B$6:$B$200,{"Confirmed";"Probable"},'Data entry'!$AQ$6:$AQ$200,'Data Validation'!$V$10, 'Data entry'!$AP$6:$AP$200,'Data Validation'!$U$2, 'Data entry'!$BD$6:$BD$200,"&lt;&gt;*Negative*"))</f>
        <v>0</v>
      </c>
      <c r="BU72" s="15">
        <f>SUM(COUNTIFS('Data entry'!$R$6:$R$200,'Summary Data'!$A72,'Data entry'!$B$6:$B$200,{"Confirmed";"Probable"},'Data entry'!$AQ$6:$AQ$200,'Data Validation'!$V$10, 'Data entry'!$AP$6:$AP$200,'Data Validation'!$U$3, 'Data entry'!$BD$6:$BD$200,"&lt;&gt;*Negative*"))</f>
        <v>0</v>
      </c>
      <c r="BV72" s="15">
        <f>SUM(COUNTIFS('Data entry'!$R$6:$R$200,'Summary Data'!$A72,'Data entry'!$B$6:$B$200,{"Confirmed";"Probable"},'Data entry'!$AQ$6:$AQ$200,'Data Validation'!$V$10, 'Data entry'!$AP$6:$AP$200,'Data Validation'!$U$4, 'Data entry'!$BD$6:$BD$200,"&lt;&gt;*Negative*"))</f>
        <v>0</v>
      </c>
      <c r="BW72" s="15">
        <f>SUM(COUNTIFS('Data entry'!$R$6:$R$200,'Summary Data'!$A72,'Data entry'!$B$6:$B$200,{"Confirmed";"Probable"},'Data entry'!$AQ$6:$AQ$200,'Data Validation'!$V$10, 'Data entry'!$AP$6:$AP$200,'Data Validation'!$U$5, 'Data entry'!$BD$6:$BD$200,"&lt;&gt;*Negative*"))</f>
        <v>0</v>
      </c>
      <c r="BX72" s="15">
        <f>SUM(COUNTIFS('Data entry'!$R$6:$R$200,'Summary Data'!$A72,'Data entry'!$B$6:$B$200,{"Confirmed";"Probable"},'Data entry'!$AQ$6:$AQ$200,'Data Validation'!$V$10, 'Data entry'!$AP$6:$AP$200,'Data Validation'!$U$6, 'Data entry'!$BD$6:$BD$200,"&lt;&gt;*Negative*"))</f>
        <v>0</v>
      </c>
      <c r="BY72" s="15">
        <f>SUM(COUNTIFS('Data entry'!$R$6:$R$200,'Summary Data'!$A72,'Data entry'!$B$6:$B$200,{"Confirmed";"Probable"},'Data entry'!$AQ$6:$AQ$200,'Data Validation'!$V$11, 'Data entry'!$AP$6:$AP$200,'Data Validation'!$U$2, 'Data entry'!$BD$6:$BD$200,"&lt;&gt;*Negative*"))</f>
        <v>0</v>
      </c>
      <c r="BZ72" s="15">
        <f>SUM(COUNTIFS('Data entry'!$R$6:$R$200,'Summary Data'!$A72,'Data entry'!$B$6:$B$200,{"Confirmed";"Probable"},'Data entry'!$AQ$6:$AQ$200,'Data Validation'!$V$11, 'Data entry'!$AP$6:$AP$200,'Data Validation'!$U$3, 'Data entry'!$BD$6:$BD$200,"&lt;&gt;*Negative*"))</f>
        <v>0</v>
      </c>
      <c r="CA72" s="15">
        <f>SUM(COUNTIFS('Data entry'!$R$6:$R$200,'Summary Data'!$A72,'Data entry'!$B$6:$B$200,{"Confirmed";"Probable"},'Data entry'!$AQ$6:$AQ$200,'Data Validation'!$V$11, 'Data entry'!$AP$6:$AP$200,'Data Validation'!$U$4, 'Data entry'!$BD$6:$BD$200,"&lt;&gt;*Negative*"))</f>
        <v>0</v>
      </c>
      <c r="CB72" s="15">
        <f>SUM(COUNTIFS('Data entry'!$R$6:$R$200,'Summary Data'!$A72,'Data entry'!$B$6:$B$200,{"Confirmed";"Probable"},'Data entry'!$AQ$6:$AQ$200,'Data Validation'!$V$11, 'Data entry'!$AP$6:$AP$200,'Data Validation'!$U$5, 'Data entry'!$BD$6:$BD$200,"&lt;&gt;*Negative*"))</f>
        <v>0</v>
      </c>
      <c r="CC72" s="15">
        <f>SUM(COUNTIFS('Data entry'!$R$6:$R$200,'Summary Data'!$A72,'Data entry'!$B$6:$B$200,{"Confirmed";"Probable"},'Data entry'!$AQ$6:$AQ$200,'Data Validation'!$V$11, 'Data entry'!$AP$6:$AP$200,'Data Validation'!$U$6, 'Data entry'!$BD$6:$BD$200,"&lt;&gt;*Negative*"))</f>
        <v>0</v>
      </c>
    </row>
    <row r="73" spans="1:81" x14ac:dyDescent="0.25">
      <c r="A73" s="12">
        <f t="shared" si="5"/>
        <v>61</v>
      </c>
      <c r="B73" s="13">
        <f t="shared" si="2"/>
        <v>0</v>
      </c>
      <c r="C73" s="13">
        <f>COUNTIFS('Data entry'!$R$6:$R$200,$A73,'Data entry'!$B$6:$B$200,"Confirmed",'Data entry'!$BD$6:$BD$200,"&lt;&gt;*Negative*")</f>
        <v>0</v>
      </c>
      <c r="D73" s="13">
        <f>COUNTIFS('Data entry'!$R$6:$R$200,$A73,'Data entry'!$B$6:$B$200,"Probable",'Data entry'!$BD$6:$BD$200,"&lt;&gt;*Negative*")</f>
        <v>0</v>
      </c>
      <c r="E73" s="13">
        <f>COUNTIFS('Data entry'!$R$6:$R$200,$A73,'Data entry'!$B$6:$B$200,"DNM")</f>
        <v>0</v>
      </c>
      <c r="F73" s="13">
        <f>SUM(COUNTIFS('Data entry'!$R$6:$R$200,'Summary Data'!$A73,'Data entry'!$B$6:$B$200,{"Confirmed";"Probable"},'Data entry'!$AO$6:$AO$200,$F$10, 'Data entry'!$BD$6:$BD$200,"&lt;&gt;*Negative*"))</f>
        <v>0</v>
      </c>
      <c r="G73" s="13">
        <f>SUM(COUNTIFS('Data entry'!$R$6:$R$200,'Summary Data'!$A73,'Data entry'!$B$6:$B$200,{"Confirmed";"Probable"},'Data entry'!$AO$6:$AO$200,$G$10, 'Data entry'!$BD$6:$BD$200,"&lt;&gt;*Negative*"))</f>
        <v>0</v>
      </c>
      <c r="H73" s="13">
        <f>SUM(COUNTIFS('Data entry'!$R$6:$R$200,'Summary Data'!$A73,'Data entry'!$B$6:$B$200,{"Confirmed";"Probable"},'Data entry'!$AO$6:$AO$200,$H$10, 'Data entry'!$BD$6:$BD$200,"&lt;&gt;*Negative*"))</f>
        <v>0</v>
      </c>
      <c r="I73" s="13">
        <f>SUM(COUNTIFS('Data entry'!$R$6:$R$200,'Summary Data'!$A73,'Data entry'!$B$6:$B$200,{"Confirmed";"Probable"},'Data entry'!$AO$6:$AO$200,$I$10, 'Data entry'!$BD$6:$BD$200,"&lt;&gt;*Negative*"))</f>
        <v>0</v>
      </c>
      <c r="J73" s="13">
        <f>SUM(COUNTIFS('Data entry'!$R$6:$R$200,'Summary Data'!$A73,'Data entry'!$B$6:$B$200,{"Confirmed";"Probable"},'Data entry'!$AO$6:$AO$200,$J$10, 'Data entry'!$BD$6:$BD$200,"&lt;&gt;*Negative*"))</f>
        <v>0</v>
      </c>
      <c r="K73" s="13">
        <f>SUM(COUNTIFS('Data entry'!$R$6:$R$200,'Summary Data'!$A73,'Data entry'!$B$6:$B$200,{"Confirmed";"Probable"},'Data entry'!$AO$6:$AO$200,$K$10, 'Data entry'!$BD$6:$BD$200,"&lt;&gt;*Negative*"))</f>
        <v>0</v>
      </c>
      <c r="L73" s="13">
        <f>SUM(COUNTIFS('Data entry'!$R$6:$R$200,'Summary Data'!$A73,'Data entry'!$B$6:$B$200,{"Confirmed";"Probable"},'Data entry'!$AO$6:$AO$200,$L$10, 'Data entry'!$BD$6:$BD$200,"&lt;&gt;*Negative*"))</f>
        <v>0</v>
      </c>
      <c r="M73" s="13">
        <f>SUM(COUNTIFS('Data entry'!$R$6:$R$200,'Summary Data'!$A73,'Data entry'!$B$6:$B$200,{"Confirmed";"Probable"},'Data entry'!$AO$6:$AO$200,$M$10, 'Data entry'!$BD$6:$BD$200,"&lt;&gt;*Negative*"))</f>
        <v>0</v>
      </c>
      <c r="N73" s="13">
        <f>SUM(COUNTIFS('Data entry'!$R$6:$R$200,'Summary Data'!$A73,'Data entry'!$B$6:$B$200,{"Confirmed";"Probable"},'Data entry'!$AO$6:$AO$200,$N$10, 'Data entry'!$BD$6:$BD$200,"&lt;&gt;*Negative*"))</f>
        <v>0</v>
      </c>
      <c r="O73" s="15">
        <f t="shared" si="3"/>
        <v>0</v>
      </c>
      <c r="P73" s="15">
        <f t="shared" si="4"/>
        <v>0</v>
      </c>
      <c r="Q73" s="15">
        <f>SUM(COUNTIFS('Data entry'!$R$6:$R$200,'Summary Data'!$A73,'Data entry'!$B$6:$B$200,{"Confirmed";"Probable"},'Data entry'!$AP$6:$AP$200,'Data Validation'!$U$2, 'Data entry'!$BD$6:$BD$200,"&lt;&gt;*Negative*"))</f>
        <v>0</v>
      </c>
      <c r="R73" s="15">
        <f>SUM(COUNTIFS('Data entry'!$R$6:$R$200,'Summary Data'!$A73,'Data entry'!$B$6:$B$200,{"Confirmed";"Probable"},'Data entry'!$AP$6:$AP$200,'Data Validation'!$U$3, 'Data entry'!$BD$6:$BD$200,"&lt;&gt;*Negative*"))</f>
        <v>0</v>
      </c>
      <c r="S73" s="15">
        <f>SUM(COUNTIFS('Data entry'!$R$6:$R$200,'Summary Data'!$A73,'Data entry'!$B$6:$B$200,{"Confirmed";"Probable"},'Data entry'!$AP$6:$AP$200,'Data Validation'!$U$4, 'Data entry'!$BD$6:$BD$200,"&lt;&gt;*Negative*"))</f>
        <v>0</v>
      </c>
      <c r="T73" s="15">
        <f>SUM(COUNTIFS('Data entry'!$R$6:$R$200,'Summary Data'!$A73,'Data entry'!$B$6:$B$200,{"Confirmed";"Probable"},'Data entry'!$AP$6:$AP$200,'Data Validation'!$U$5, 'Data entry'!$BD$6:$BD$200,"&lt;&gt;*Negative*"))</f>
        <v>0</v>
      </c>
      <c r="U73" s="15">
        <f>SUM(COUNTIFS('Data entry'!$R$6:$R$200,'Summary Data'!$A73,'Data entry'!$B$6:$B$200,{"Confirmed";"Probable"},'Data entry'!$AP$6:$AP$200,'Data Validation'!$U$6, 'Data entry'!$BD$6:$BD$200,"&lt;&gt;*Negative*"))</f>
        <v>0</v>
      </c>
      <c r="V73" s="15">
        <f>SUM(COUNTIFS('Data entry'!$R$6:$R$200,'Summary Data'!$A73,'Data entry'!$B$6:$B$200,{"Confirmed";"Probable"},'Data entry'!$AQ$6:$AQ$200,'Data Validation'!$V$2, 'Data entry'!$BD$6:$BD$200,"&lt;&gt;*Negative*"))</f>
        <v>0</v>
      </c>
      <c r="W73" s="15">
        <f>SUM(COUNTIFS('Data entry'!$R$6:$R$200,'Summary Data'!$A73,'Data entry'!$B$6:$B$200,{"Confirmed";"Probable"},'Data entry'!$AQ$6:$AQ$200,'Data Validation'!$V$3, 'Data entry'!$BD$6:$BD$200,"&lt;&gt;*Negative*"))</f>
        <v>0</v>
      </c>
      <c r="X73" s="15">
        <f>SUM(COUNTIFS('Data entry'!$R$6:$R$200,'Summary Data'!$A73,'Data entry'!$B$6:$B$200,{"Confirmed";"Probable"},'Data entry'!$AQ$6:$AQ$200,'Data Validation'!$V$4, 'Data entry'!$BD$6:$BD$200,"&lt;&gt;*Negative*"))</f>
        <v>0</v>
      </c>
      <c r="Y73" s="15">
        <f>SUM(COUNTIFS('Data entry'!$R$6:$R$200,'Summary Data'!$A73,'Data entry'!$B$6:$B$200,{"Confirmed";"Probable"},'Data entry'!$AQ$6:$AQ$200,'Data Validation'!$V$5, 'Data entry'!$BD$6:$BD$200,"&lt;&gt;*Negative*"))</f>
        <v>0</v>
      </c>
      <c r="Z73" s="15">
        <f>SUM(COUNTIFS('Data entry'!$R$6:$R$200,'Summary Data'!$A73,'Data entry'!$B$6:$B$200,{"Confirmed";"Probable"},'Data entry'!$AQ$6:$AQ$200,'Data Validation'!$V$6, 'Data entry'!$BD$6:$BD$200,"&lt;&gt;*Negative*"))</f>
        <v>0</v>
      </c>
      <c r="AA73" s="15">
        <f>SUM(COUNTIFS('Data entry'!$R$6:$R$200,'Summary Data'!$A73,'Data entry'!$B$6:$B$200,{"Confirmed";"Probable"},'Data entry'!$AQ$6:$AQ$200,'Data Validation'!$V$7, 'Data entry'!$BD$6:$BD$200,"&lt;&gt;*Negative*"))</f>
        <v>0</v>
      </c>
      <c r="AB73" s="15">
        <f>SUM(COUNTIFS('Data entry'!$R$6:$R$200,'Summary Data'!$A73,'Data entry'!$B$6:$B$200,{"Confirmed";"Probable"},'Data entry'!$AQ$6:$AQ$200,'Data Validation'!$V$8, 'Data entry'!$BD$6:$BD$200,"&lt;&gt;*Negative*"))</f>
        <v>0</v>
      </c>
      <c r="AC73" s="15">
        <f>SUM(COUNTIFS('Data entry'!$R$6:$R$200,'Summary Data'!$A73,'Data entry'!$B$6:$B$200,{"Confirmed";"Probable"},'Data entry'!$AQ$6:$AQ$200,'Data Validation'!$V$9, 'Data entry'!$BD$6:$BD$200,"&lt;&gt;*Negative*"))</f>
        <v>0</v>
      </c>
      <c r="AD73" s="15">
        <f>SUM(COUNTIFS('Data entry'!$R$6:$R$200,'Summary Data'!$A73,'Data entry'!$B$6:$B$200,{"Confirmed";"Probable"},'Data entry'!$AQ$6:$AQ$200,'Data Validation'!$V$10, 'Data entry'!$BD$6:$BD$200,"&lt;&gt;*Negative*"))</f>
        <v>0</v>
      </c>
      <c r="AE73" s="15">
        <f>SUM(COUNTIFS('Data entry'!$R$6:$R$200,'Summary Data'!$A73,'Data entry'!$B$6:$B$200,{"Confirmed";"Probable"},'Data entry'!$AQ$6:$AQ$200,'Data Validation'!$V$11, 'Data entry'!$BD$6:$BD$200,"&lt;&gt;*Negative*"))</f>
        <v>0</v>
      </c>
      <c r="AF73" s="15">
        <f>SUM(COUNTIFS('Data entry'!$R$6:$R$200,'Summary Data'!$A73,'Data entry'!$B$6:$B$200,{"Confirmed";"Probable"},'Data entry'!$AQ$6:$AQ$200,'Data Validation'!$V$2, 'Data entry'!$AP$6:$AP$200,'Data Validation'!$U$2, 'Data entry'!$BD$6:$BD$200,"&lt;&gt;*Negative*"))</f>
        <v>0</v>
      </c>
      <c r="AG73" s="15">
        <f>SUM(COUNTIFS('Data entry'!$R$6:$R$200,'Summary Data'!$A73,'Data entry'!$B$6:$B$200,{"Confirmed";"Probable"},'Data entry'!$AQ$6:$AQ$200,'Data Validation'!$V$2, 'Data entry'!$AP$6:$AP$200,'Data Validation'!$U$3, 'Data entry'!$BD$6:$BD$200,"&lt;&gt;*Negative*"))</f>
        <v>0</v>
      </c>
      <c r="AH73" s="15">
        <f>SUM(COUNTIFS('Data entry'!$R$6:$R$200,'Summary Data'!$A73,'Data entry'!$B$6:$B$200,{"Confirmed";"Probable"},'Data entry'!$AQ$6:$AQ$200,'Data Validation'!$V$2, 'Data entry'!$AP$6:$AP$200,'Data Validation'!$U$4, 'Data entry'!$BD$6:$BD$200,"&lt;&gt;*Negative*"))</f>
        <v>0</v>
      </c>
      <c r="AI73" s="15">
        <f>SUM(COUNTIFS('Data entry'!$R$6:$R$200,'Summary Data'!$A73,'Data entry'!$B$6:$B$200,{"Confirmed";"Probable"},'Data entry'!$AQ$6:$AQ$200,'Data Validation'!$V$2, 'Data entry'!$AP$6:$AP$200,'Data Validation'!$U$5, 'Data entry'!$BD$6:$BD$200,"&lt;&gt;*Negative*"))</f>
        <v>0</v>
      </c>
      <c r="AJ73" s="15">
        <f>SUM(COUNTIFS('Data entry'!$R$6:$R$200,'Summary Data'!$A73,'Data entry'!$B$6:$B$200,{"Confirmed";"Probable"},'Data entry'!$AQ$6:$AQ$200,'Data Validation'!$V$2, 'Data entry'!$AP$6:$AP$200,'Data Validation'!$U$6, 'Data entry'!$BD$6:$BD$200,"&lt;&gt;*Negative*"))</f>
        <v>0</v>
      </c>
      <c r="AK73" s="15">
        <f>SUM(COUNTIFS('Data entry'!$R$6:$R$200,'Summary Data'!$A73,'Data entry'!$B$6:$B$200,{"Confirmed";"Probable"},'Data entry'!$AQ$6:$AQ$200,'Data Validation'!$V$3, 'Data entry'!$AP$6:$AP$200,'Data Validation'!$U$2, 'Data entry'!$BD$6:$BD$200,"&lt;&gt;*Negative*"))</f>
        <v>0</v>
      </c>
      <c r="AL73" s="15">
        <f>SUM(COUNTIFS('Data entry'!$R$6:$R$200,'Summary Data'!$A73,'Data entry'!$B$6:$B$200,{"Confirmed";"Probable"},'Data entry'!$AQ$6:$AQ$200,'Data Validation'!$V$3, 'Data entry'!$AP$6:$AP$200,'Data Validation'!$U$3, 'Data entry'!$BD$6:$BD$200,"&lt;&gt;*Negative*"))</f>
        <v>0</v>
      </c>
      <c r="AM73" s="15">
        <f>SUM(COUNTIFS('Data entry'!$R$6:$R$200,'Summary Data'!$A73,'Data entry'!$B$6:$B$200,{"Confirmed";"Probable"},'Data entry'!$AQ$6:$AQ$200,'Data Validation'!$V$3, 'Data entry'!$AP$6:$AP$200,'Data Validation'!$U$4, 'Data entry'!$BD$6:$BD$200,"&lt;&gt;*Negative*"))</f>
        <v>0</v>
      </c>
      <c r="AN73" s="15">
        <f>SUM(COUNTIFS('Data entry'!$R$6:$R$200,'Summary Data'!$A73,'Data entry'!$B$6:$B$200,{"Confirmed";"Probable"},'Data entry'!$AQ$6:$AQ$200,'Data Validation'!$V$3, 'Data entry'!$AP$6:$AP$200,'Data Validation'!$U$5, 'Data entry'!$BD$6:$BD$200,"&lt;&gt;*Negative*"))</f>
        <v>0</v>
      </c>
      <c r="AO73" s="15">
        <f>SUM(COUNTIFS('Data entry'!$R$6:$R$200,'Summary Data'!$A73,'Data entry'!$B$6:$B$200,{"Confirmed";"Probable"},'Data entry'!$AQ$6:$AQ$200,'Data Validation'!$V$3, 'Data entry'!$AP$6:$AP$200,'Data Validation'!$U$6, 'Data entry'!$BD$6:$BD$200,"&lt;&gt;*Negative*"))</f>
        <v>0</v>
      </c>
      <c r="AP73" s="15">
        <f>SUM(COUNTIFS('Data entry'!$R$6:$R$200,'Summary Data'!$A73,'Data entry'!$B$6:$B$200,{"Confirmed";"Probable"},'Data entry'!$AQ$6:$AQ$200,'Data Validation'!$V$4, 'Data entry'!$AP$6:$AP$200,'Data Validation'!$U$2, 'Data entry'!$BD$6:$BD$200,"&lt;&gt;*Negative*"))</f>
        <v>0</v>
      </c>
      <c r="AQ73" s="15">
        <f>SUM(COUNTIFS('Data entry'!$R$6:$R$200,'Summary Data'!$A73,'Data entry'!$B$6:$B$200,{"Confirmed";"Probable"},'Data entry'!$AQ$6:$AQ$200,'Data Validation'!$V$4, 'Data entry'!$AP$6:$AP$200,'Data Validation'!$U$3, 'Data entry'!$BD$6:$BD$200,"&lt;&gt;*Negative*"))</f>
        <v>0</v>
      </c>
      <c r="AR73" s="15">
        <f>SUM(COUNTIFS('Data entry'!$R$6:$R$200,'Summary Data'!$A73,'Data entry'!$B$6:$B$200,{"Confirmed";"Probable"},'Data entry'!$AQ$6:$AQ$200,'Data Validation'!$V$4, 'Data entry'!$AP$6:$AP$200,'Data Validation'!$U$4, 'Data entry'!$BD$6:$BD$200,"&lt;&gt;*Negative*"))</f>
        <v>0</v>
      </c>
      <c r="AS73" s="15">
        <f>SUM(COUNTIFS('Data entry'!$R$6:$R$200,'Summary Data'!$A73,'Data entry'!$B$6:$B$200,{"Confirmed";"Probable"},'Data entry'!$AQ$6:$AQ$200,'Data Validation'!$V$4, 'Data entry'!$AP$6:$AP$200,'Data Validation'!$U$5, 'Data entry'!$BD$6:$BD$200,"&lt;&gt;*Negative*"))</f>
        <v>0</v>
      </c>
      <c r="AT73" s="15">
        <f>SUM(COUNTIFS('Data entry'!$R$6:$R$200,'Summary Data'!$A73,'Data entry'!$B$6:$B$200,{"Confirmed";"Probable"},'Data entry'!$AQ$6:$AQ$200,'Data Validation'!$V$4, 'Data entry'!$AP$6:$AP$200,'Data Validation'!$U$6, 'Data entry'!$BD$6:$BD$200,"&lt;&gt;*Negative*"))</f>
        <v>0</v>
      </c>
      <c r="AU73" s="15">
        <f>SUM(COUNTIFS('Data entry'!$R$6:$R$200,'Summary Data'!$A73,'Data entry'!$B$6:$B$200,{"Confirmed";"Probable"},'Data entry'!$AQ$6:$AQ$200,'Data Validation'!$V$5, 'Data entry'!$AP$6:$AP$200,'Data Validation'!$U$2, 'Data entry'!$BD$6:$BD$200,"&lt;&gt;*Negative*"))</f>
        <v>0</v>
      </c>
      <c r="AV73" s="15">
        <f>SUM(COUNTIFS('Data entry'!$R$6:$R$200,'Summary Data'!$A73,'Data entry'!$B$6:$B$200,{"Confirmed";"Probable"},'Data entry'!$AQ$6:$AQ$200,'Data Validation'!$V$5, 'Data entry'!$AP$6:$AP$200,'Data Validation'!$U$3, 'Data entry'!$BD$6:$BD$200,"&lt;&gt;*Negative*"))</f>
        <v>0</v>
      </c>
      <c r="AW73" s="15">
        <f>SUM(COUNTIFS('Data entry'!$R$6:$R$200,'Summary Data'!$A73,'Data entry'!$B$6:$B$200,{"Confirmed";"Probable"},'Data entry'!$AQ$6:$AQ$200,'Data Validation'!$V$5, 'Data entry'!$AP$6:$AP$200,'Data Validation'!$U$4, 'Data entry'!$BD$6:$BD$200,"&lt;&gt;*Negative*"))</f>
        <v>0</v>
      </c>
      <c r="AX73" s="15">
        <f>SUM(COUNTIFS('Data entry'!$R$6:$R$200,'Summary Data'!$A73,'Data entry'!$B$6:$B$200,{"Confirmed";"Probable"},'Data entry'!$AQ$6:$AQ$200,'Data Validation'!$V$5, 'Data entry'!$AP$6:$AP$200,'Data Validation'!$U$5, 'Data entry'!$BD$6:$BD$200,"&lt;&gt;*Negative*"))</f>
        <v>0</v>
      </c>
      <c r="AY73" s="15">
        <f>SUM(COUNTIFS('Data entry'!$R$6:$R$200,'Summary Data'!$A73,'Data entry'!$B$6:$B$200,{"Confirmed";"Probable"},'Data entry'!$AQ$6:$AQ$200,'Data Validation'!$V$5, 'Data entry'!$AP$6:$AP$200,'Data Validation'!$U$6, 'Data entry'!$BD$6:$BD$200,"&lt;&gt;*Negative*"))</f>
        <v>0</v>
      </c>
      <c r="AZ73" s="15">
        <f>SUM(COUNTIFS('Data entry'!$R$6:$R$200,'Summary Data'!$A73,'Data entry'!$B$6:$B$200,{"Confirmed";"Probable"},'Data entry'!$AQ$6:$AQ$200,'Data Validation'!$V$6, 'Data entry'!$AP$6:$AP$200,'Data Validation'!$U$2, 'Data entry'!$BD$6:$BD$200,"&lt;&gt;*Negative*"))</f>
        <v>0</v>
      </c>
      <c r="BA73" s="15">
        <f>SUM(COUNTIFS('Data entry'!$R$6:$R$200,'Summary Data'!$A73,'Data entry'!$B$6:$B$200,{"Confirmed";"Probable"},'Data entry'!$AQ$6:$AQ$200,'Data Validation'!$V$6, 'Data entry'!$AP$6:$AP$200,'Data Validation'!$U$3, 'Data entry'!$BD$6:$BD$200,"&lt;&gt;*Negative*"))</f>
        <v>0</v>
      </c>
      <c r="BB73" s="15">
        <f>SUM(COUNTIFS('Data entry'!$R$6:$R$200,'Summary Data'!$A73,'Data entry'!$B$6:$B$200,{"Confirmed";"Probable"},'Data entry'!$AQ$6:$AQ$200,'Data Validation'!$V$6, 'Data entry'!$AP$6:$AP$200,'Data Validation'!$U$4, 'Data entry'!$BD$6:$BD$200,"&lt;&gt;*Negative*"))</f>
        <v>0</v>
      </c>
      <c r="BC73" s="15">
        <f>SUM(COUNTIFS('Data entry'!$R$6:$R$200,'Summary Data'!$A73,'Data entry'!$B$6:$B$200,{"Confirmed";"Probable"},'Data entry'!$AQ$6:$AQ$200,'Data Validation'!$V$6, 'Data entry'!$AP$6:$AP$200,'Data Validation'!$U$5, 'Data entry'!$BD$6:$BD$200,"&lt;&gt;*Negative*"))</f>
        <v>0</v>
      </c>
      <c r="BD73" s="15">
        <f>SUM(COUNTIFS('Data entry'!$R$6:$R$200,'Summary Data'!$A73,'Data entry'!$B$6:$B$200,{"Confirmed";"Probable"},'Data entry'!$AQ$6:$AQ$200,'Data Validation'!$V$6, 'Data entry'!$AP$6:$AP$200,'Data Validation'!$U$6, 'Data entry'!$BD$6:$BD$200,"&lt;&gt;*Negative*"))</f>
        <v>0</v>
      </c>
      <c r="BE73" s="15">
        <f>SUM(COUNTIFS('Data entry'!$R$6:$R$200,'Summary Data'!$A73,'Data entry'!$B$6:$B$200,{"Confirmed";"Probable"},'Data entry'!$AQ$6:$AQ$200,'Data Validation'!$V$7, 'Data entry'!$AP$6:$AP$200,'Data Validation'!$U$2, 'Data entry'!$BD$6:$BD$200,"&lt;&gt;*Negative*"))</f>
        <v>0</v>
      </c>
      <c r="BF73" s="15">
        <f>SUM(COUNTIFS('Data entry'!$R$6:$R$200,'Summary Data'!$A73,'Data entry'!$B$6:$B$200,{"Confirmed";"Probable"},'Data entry'!$AQ$6:$AQ$200,'Data Validation'!$V$7, 'Data entry'!$AP$6:$AP$200,'Data Validation'!$U$3, 'Data entry'!$BD$6:$BD$200,"&lt;&gt;*Negative*"))</f>
        <v>0</v>
      </c>
      <c r="BG73" s="15">
        <f>SUM(COUNTIFS('Data entry'!$R$6:$R$200,'Summary Data'!$A73,'Data entry'!$B$6:$B$200,{"Confirmed";"Probable"},'Data entry'!$AQ$6:$AQ$200,'Data Validation'!$V$7, 'Data entry'!$AP$6:$AP$200,'Data Validation'!$U$4, 'Data entry'!$BD$6:$BD$200,"&lt;&gt;*Negative*"))</f>
        <v>0</v>
      </c>
      <c r="BH73" s="15">
        <f>SUM(COUNTIFS('Data entry'!$R$6:$R$200,'Summary Data'!$A73,'Data entry'!$B$6:$B$200,{"Confirmed";"Probable"},'Data entry'!$AQ$6:$AQ$200,'Data Validation'!$V$7, 'Data entry'!$AP$6:$AP$200,'Data Validation'!$U$5, 'Data entry'!$BD$6:$BD$200,"&lt;&gt;*Negative*"))</f>
        <v>0</v>
      </c>
      <c r="BI73" s="15">
        <f>SUM(COUNTIFS('Data entry'!$R$6:$R$200,'Summary Data'!$A73,'Data entry'!$B$6:$B$200,{"Confirmed";"Probable"},'Data entry'!$AQ$6:$AQ$200,'Data Validation'!$V$7, 'Data entry'!$AP$6:$AP$200,'Data Validation'!$U$6, 'Data entry'!$BD$6:$BD$200,"&lt;&gt;*Negative*"))</f>
        <v>0</v>
      </c>
      <c r="BJ73" s="15">
        <f>SUM(COUNTIFS('Data entry'!$R$6:$R$200,'Summary Data'!$A73,'Data entry'!$B$6:$B$200,{"Confirmed";"Probable"},'Data entry'!$AQ$6:$AQ$200,'Data Validation'!$V$8, 'Data entry'!$AP$6:$AP$200,'Data Validation'!$U$2, 'Data entry'!$BD$6:$BD$200,"&lt;&gt;*Negative*"))</f>
        <v>0</v>
      </c>
      <c r="BK73" s="15">
        <f>SUM(COUNTIFS('Data entry'!$R$6:$R$200,'Summary Data'!$A73,'Data entry'!$B$6:$B$200,{"Confirmed";"Probable"},'Data entry'!$AQ$6:$AQ$200,'Data Validation'!$V$8, 'Data entry'!$AP$6:$AP$200,'Data Validation'!$U$3, 'Data entry'!$BD$6:$BD$200,"&lt;&gt;*Negative*"))</f>
        <v>0</v>
      </c>
      <c r="BL73" s="15">
        <f>SUM(COUNTIFS('Data entry'!$R$6:$R$200,'Summary Data'!$A73,'Data entry'!$B$6:$B$200,{"Confirmed";"Probable"},'Data entry'!$AQ$6:$AQ$200,'Data Validation'!$V$8, 'Data entry'!$AP$6:$AP$200,'Data Validation'!$U$4, 'Data entry'!$BD$6:$BD$200,"&lt;&gt;*Negative*"))</f>
        <v>0</v>
      </c>
      <c r="BM73" s="15">
        <f>SUM(COUNTIFS('Data entry'!$R$6:$R$200,'Summary Data'!$A73,'Data entry'!$B$6:$B$200,{"Confirmed";"Probable"},'Data entry'!$AQ$6:$AQ$200,'Data Validation'!$V$8, 'Data entry'!$AP$6:$AP$200,'Data Validation'!$U$5, 'Data entry'!$BD$6:$BD$200,"&lt;&gt;*Negative*"))</f>
        <v>0</v>
      </c>
      <c r="BN73" s="15">
        <f>SUM(COUNTIFS('Data entry'!$R$6:$R$200,'Summary Data'!$A73,'Data entry'!$B$6:$B$200,{"Confirmed";"Probable"},'Data entry'!$AQ$6:$AQ$200,'Data Validation'!$V$8, 'Data entry'!$AP$6:$AP$200,'Data Validation'!$U$6, 'Data entry'!$BD$6:$BD$200,"&lt;&gt;*Negative*"))</f>
        <v>0</v>
      </c>
      <c r="BO73" s="15">
        <f>SUM(COUNTIFS('Data entry'!$R$6:$R$200,'Summary Data'!$A73,'Data entry'!$B$6:$B$200,{"Confirmed";"Probable"},'Data entry'!$AQ$6:$AQ$200,'Data Validation'!$V$9, 'Data entry'!$AP$6:$AP$200,'Data Validation'!$U$2, 'Data entry'!$BD$6:$BD$200,"&lt;&gt;*Negative*"))</f>
        <v>0</v>
      </c>
      <c r="BP73" s="15">
        <f>SUM(COUNTIFS('Data entry'!$R$6:$R$200,'Summary Data'!$A73,'Data entry'!$B$6:$B$200,{"Confirmed";"Probable"},'Data entry'!$AQ$6:$AQ$200,'Data Validation'!$V$9, 'Data entry'!$AP$6:$AP$200,'Data Validation'!$U$3, 'Data entry'!$BD$6:$BD$200,"&lt;&gt;*Negative*"))</f>
        <v>0</v>
      </c>
      <c r="BQ73" s="15">
        <f>SUM(COUNTIFS('Data entry'!$R$6:$R$200,'Summary Data'!$A73,'Data entry'!$B$6:$B$200,{"Confirmed";"Probable"},'Data entry'!$AQ$6:$AQ$200,'Data Validation'!$V$9, 'Data entry'!$AP$6:$AP$200,'Data Validation'!$U$4, 'Data entry'!$BD$6:$BD$200,"&lt;&gt;*Negative*"))</f>
        <v>0</v>
      </c>
      <c r="BR73" s="15">
        <f>SUM(COUNTIFS('Data entry'!$R$6:$R$200,'Summary Data'!$A73,'Data entry'!$B$6:$B$200,{"Confirmed";"Probable"},'Data entry'!$AQ$6:$AQ$200,'Data Validation'!$V$9, 'Data entry'!$AP$6:$AP$200,'Data Validation'!$U$5, 'Data entry'!$BD$6:$BD$200,"&lt;&gt;*Negative*"))</f>
        <v>0</v>
      </c>
      <c r="BS73" s="15">
        <f>SUM(COUNTIFS('Data entry'!$R$6:$R$200,'Summary Data'!$A73,'Data entry'!$B$6:$B$200,{"Confirmed";"Probable"},'Data entry'!$AQ$6:$AQ$200,'Data Validation'!$V$9, 'Data entry'!$AP$6:$AP$200,'Data Validation'!$U$6, 'Data entry'!$BD$6:$BD$200,"&lt;&gt;*Negative*"))</f>
        <v>0</v>
      </c>
      <c r="BT73" s="15">
        <f>SUM(COUNTIFS('Data entry'!$R$6:$R$200,'Summary Data'!$A73,'Data entry'!$B$6:$B$200,{"Confirmed";"Probable"},'Data entry'!$AQ$6:$AQ$200,'Data Validation'!$V$10, 'Data entry'!$AP$6:$AP$200,'Data Validation'!$U$2, 'Data entry'!$BD$6:$BD$200,"&lt;&gt;*Negative*"))</f>
        <v>0</v>
      </c>
      <c r="BU73" s="15">
        <f>SUM(COUNTIFS('Data entry'!$R$6:$R$200,'Summary Data'!$A73,'Data entry'!$B$6:$B$200,{"Confirmed";"Probable"},'Data entry'!$AQ$6:$AQ$200,'Data Validation'!$V$10, 'Data entry'!$AP$6:$AP$200,'Data Validation'!$U$3, 'Data entry'!$BD$6:$BD$200,"&lt;&gt;*Negative*"))</f>
        <v>0</v>
      </c>
      <c r="BV73" s="15">
        <f>SUM(COUNTIFS('Data entry'!$R$6:$R$200,'Summary Data'!$A73,'Data entry'!$B$6:$B$200,{"Confirmed";"Probable"},'Data entry'!$AQ$6:$AQ$200,'Data Validation'!$V$10, 'Data entry'!$AP$6:$AP$200,'Data Validation'!$U$4, 'Data entry'!$BD$6:$BD$200,"&lt;&gt;*Negative*"))</f>
        <v>0</v>
      </c>
      <c r="BW73" s="15">
        <f>SUM(COUNTIFS('Data entry'!$R$6:$R$200,'Summary Data'!$A73,'Data entry'!$B$6:$B$200,{"Confirmed";"Probable"},'Data entry'!$AQ$6:$AQ$200,'Data Validation'!$V$10, 'Data entry'!$AP$6:$AP$200,'Data Validation'!$U$5, 'Data entry'!$BD$6:$BD$200,"&lt;&gt;*Negative*"))</f>
        <v>0</v>
      </c>
      <c r="BX73" s="15">
        <f>SUM(COUNTIFS('Data entry'!$R$6:$R$200,'Summary Data'!$A73,'Data entry'!$B$6:$B$200,{"Confirmed";"Probable"},'Data entry'!$AQ$6:$AQ$200,'Data Validation'!$V$10, 'Data entry'!$AP$6:$AP$200,'Data Validation'!$U$6, 'Data entry'!$BD$6:$BD$200,"&lt;&gt;*Negative*"))</f>
        <v>0</v>
      </c>
      <c r="BY73" s="15">
        <f>SUM(COUNTIFS('Data entry'!$R$6:$R$200,'Summary Data'!$A73,'Data entry'!$B$6:$B$200,{"Confirmed";"Probable"},'Data entry'!$AQ$6:$AQ$200,'Data Validation'!$V$11, 'Data entry'!$AP$6:$AP$200,'Data Validation'!$U$2, 'Data entry'!$BD$6:$BD$200,"&lt;&gt;*Negative*"))</f>
        <v>0</v>
      </c>
      <c r="BZ73" s="15">
        <f>SUM(COUNTIFS('Data entry'!$R$6:$R$200,'Summary Data'!$A73,'Data entry'!$B$6:$B$200,{"Confirmed";"Probable"},'Data entry'!$AQ$6:$AQ$200,'Data Validation'!$V$11, 'Data entry'!$AP$6:$AP$200,'Data Validation'!$U$3, 'Data entry'!$BD$6:$BD$200,"&lt;&gt;*Negative*"))</f>
        <v>0</v>
      </c>
      <c r="CA73" s="15">
        <f>SUM(COUNTIFS('Data entry'!$R$6:$R$200,'Summary Data'!$A73,'Data entry'!$B$6:$B$200,{"Confirmed";"Probable"},'Data entry'!$AQ$6:$AQ$200,'Data Validation'!$V$11, 'Data entry'!$AP$6:$AP$200,'Data Validation'!$U$4, 'Data entry'!$BD$6:$BD$200,"&lt;&gt;*Negative*"))</f>
        <v>0</v>
      </c>
      <c r="CB73" s="15">
        <f>SUM(COUNTIFS('Data entry'!$R$6:$R$200,'Summary Data'!$A73,'Data entry'!$B$6:$B$200,{"Confirmed";"Probable"},'Data entry'!$AQ$6:$AQ$200,'Data Validation'!$V$11, 'Data entry'!$AP$6:$AP$200,'Data Validation'!$U$5, 'Data entry'!$BD$6:$BD$200,"&lt;&gt;*Negative*"))</f>
        <v>0</v>
      </c>
      <c r="CC73" s="15">
        <f>SUM(COUNTIFS('Data entry'!$R$6:$R$200,'Summary Data'!$A73,'Data entry'!$B$6:$B$200,{"Confirmed";"Probable"},'Data entry'!$AQ$6:$AQ$200,'Data Validation'!$V$11, 'Data entry'!$AP$6:$AP$200,'Data Validation'!$U$6, 'Data entry'!$BD$6:$BD$200,"&lt;&gt;*Negative*"))</f>
        <v>0</v>
      </c>
    </row>
    <row r="74" spans="1:81" x14ac:dyDescent="0.25">
      <c r="A74" s="12">
        <f t="shared" si="5"/>
        <v>62</v>
      </c>
      <c r="B74" s="13">
        <f t="shared" si="2"/>
        <v>0</v>
      </c>
      <c r="C74" s="13">
        <f>COUNTIFS('Data entry'!$R$6:$R$200,$A74,'Data entry'!$B$6:$B$200,"Confirmed",'Data entry'!$BD$6:$BD$200,"&lt;&gt;*Negative*")</f>
        <v>0</v>
      </c>
      <c r="D74" s="13">
        <f>COUNTIFS('Data entry'!$R$6:$R$200,$A74,'Data entry'!$B$6:$B$200,"Probable",'Data entry'!$BD$6:$BD$200,"&lt;&gt;*Negative*")</f>
        <v>0</v>
      </c>
      <c r="E74" s="13">
        <f>COUNTIFS('Data entry'!$R$6:$R$200,$A74,'Data entry'!$B$6:$B$200,"DNM")</f>
        <v>0</v>
      </c>
      <c r="F74" s="13">
        <f>SUM(COUNTIFS('Data entry'!$R$6:$R$200,'Summary Data'!$A74,'Data entry'!$B$6:$B$200,{"Confirmed";"Probable"},'Data entry'!$AO$6:$AO$200,$F$10, 'Data entry'!$BD$6:$BD$200,"&lt;&gt;*Negative*"))</f>
        <v>0</v>
      </c>
      <c r="G74" s="13">
        <f>SUM(COUNTIFS('Data entry'!$R$6:$R$200,'Summary Data'!$A74,'Data entry'!$B$6:$B$200,{"Confirmed";"Probable"},'Data entry'!$AO$6:$AO$200,$G$10, 'Data entry'!$BD$6:$BD$200,"&lt;&gt;*Negative*"))</f>
        <v>0</v>
      </c>
      <c r="H74" s="13">
        <f>SUM(COUNTIFS('Data entry'!$R$6:$R$200,'Summary Data'!$A74,'Data entry'!$B$6:$B$200,{"Confirmed";"Probable"},'Data entry'!$AO$6:$AO$200,$H$10, 'Data entry'!$BD$6:$BD$200,"&lt;&gt;*Negative*"))</f>
        <v>0</v>
      </c>
      <c r="I74" s="13">
        <f>SUM(COUNTIFS('Data entry'!$R$6:$R$200,'Summary Data'!$A74,'Data entry'!$B$6:$B$200,{"Confirmed";"Probable"},'Data entry'!$AO$6:$AO$200,$I$10, 'Data entry'!$BD$6:$BD$200,"&lt;&gt;*Negative*"))</f>
        <v>0</v>
      </c>
      <c r="J74" s="13">
        <f>SUM(COUNTIFS('Data entry'!$R$6:$R$200,'Summary Data'!$A74,'Data entry'!$B$6:$B$200,{"Confirmed";"Probable"},'Data entry'!$AO$6:$AO$200,$J$10, 'Data entry'!$BD$6:$BD$200,"&lt;&gt;*Negative*"))</f>
        <v>0</v>
      </c>
      <c r="K74" s="13">
        <f>SUM(COUNTIFS('Data entry'!$R$6:$R$200,'Summary Data'!$A74,'Data entry'!$B$6:$B$200,{"Confirmed";"Probable"},'Data entry'!$AO$6:$AO$200,$K$10, 'Data entry'!$BD$6:$BD$200,"&lt;&gt;*Negative*"))</f>
        <v>0</v>
      </c>
      <c r="L74" s="13">
        <f>SUM(COUNTIFS('Data entry'!$R$6:$R$200,'Summary Data'!$A74,'Data entry'!$B$6:$B$200,{"Confirmed";"Probable"},'Data entry'!$AO$6:$AO$200,$L$10, 'Data entry'!$BD$6:$BD$200,"&lt;&gt;*Negative*"))</f>
        <v>0</v>
      </c>
      <c r="M74" s="13">
        <f>SUM(COUNTIFS('Data entry'!$R$6:$R$200,'Summary Data'!$A74,'Data entry'!$B$6:$B$200,{"Confirmed";"Probable"},'Data entry'!$AO$6:$AO$200,$M$10, 'Data entry'!$BD$6:$BD$200,"&lt;&gt;*Negative*"))</f>
        <v>0</v>
      </c>
      <c r="N74" s="13">
        <f>SUM(COUNTIFS('Data entry'!$R$6:$R$200,'Summary Data'!$A74,'Data entry'!$B$6:$B$200,{"Confirmed";"Probable"},'Data entry'!$AO$6:$AO$200,$N$10, 'Data entry'!$BD$6:$BD$200,"&lt;&gt;*Negative*"))</f>
        <v>0</v>
      </c>
      <c r="O74" s="15">
        <f t="shared" si="3"/>
        <v>0</v>
      </c>
      <c r="P74" s="15">
        <f t="shared" si="4"/>
        <v>0</v>
      </c>
      <c r="Q74" s="15">
        <f>SUM(COUNTIFS('Data entry'!$R$6:$R$200,'Summary Data'!$A74,'Data entry'!$B$6:$B$200,{"Confirmed";"Probable"},'Data entry'!$AP$6:$AP$200,'Data Validation'!$U$2, 'Data entry'!$BD$6:$BD$200,"&lt;&gt;*Negative*"))</f>
        <v>0</v>
      </c>
      <c r="R74" s="15">
        <f>SUM(COUNTIFS('Data entry'!$R$6:$R$200,'Summary Data'!$A74,'Data entry'!$B$6:$B$200,{"Confirmed";"Probable"},'Data entry'!$AP$6:$AP$200,'Data Validation'!$U$3, 'Data entry'!$BD$6:$BD$200,"&lt;&gt;*Negative*"))</f>
        <v>0</v>
      </c>
      <c r="S74" s="15">
        <f>SUM(COUNTIFS('Data entry'!$R$6:$R$200,'Summary Data'!$A74,'Data entry'!$B$6:$B$200,{"Confirmed";"Probable"},'Data entry'!$AP$6:$AP$200,'Data Validation'!$U$4, 'Data entry'!$BD$6:$BD$200,"&lt;&gt;*Negative*"))</f>
        <v>0</v>
      </c>
      <c r="T74" s="15">
        <f>SUM(COUNTIFS('Data entry'!$R$6:$R$200,'Summary Data'!$A74,'Data entry'!$B$6:$B$200,{"Confirmed";"Probable"},'Data entry'!$AP$6:$AP$200,'Data Validation'!$U$5, 'Data entry'!$BD$6:$BD$200,"&lt;&gt;*Negative*"))</f>
        <v>0</v>
      </c>
      <c r="U74" s="15">
        <f>SUM(COUNTIFS('Data entry'!$R$6:$R$200,'Summary Data'!$A74,'Data entry'!$B$6:$B$200,{"Confirmed";"Probable"},'Data entry'!$AP$6:$AP$200,'Data Validation'!$U$6, 'Data entry'!$BD$6:$BD$200,"&lt;&gt;*Negative*"))</f>
        <v>0</v>
      </c>
      <c r="V74" s="15">
        <f>SUM(COUNTIFS('Data entry'!$R$6:$R$200,'Summary Data'!$A74,'Data entry'!$B$6:$B$200,{"Confirmed";"Probable"},'Data entry'!$AQ$6:$AQ$200,'Data Validation'!$V$2, 'Data entry'!$BD$6:$BD$200,"&lt;&gt;*Negative*"))</f>
        <v>0</v>
      </c>
      <c r="W74" s="15">
        <f>SUM(COUNTIFS('Data entry'!$R$6:$R$200,'Summary Data'!$A74,'Data entry'!$B$6:$B$200,{"Confirmed";"Probable"},'Data entry'!$AQ$6:$AQ$200,'Data Validation'!$V$3, 'Data entry'!$BD$6:$BD$200,"&lt;&gt;*Negative*"))</f>
        <v>0</v>
      </c>
      <c r="X74" s="15">
        <f>SUM(COUNTIFS('Data entry'!$R$6:$R$200,'Summary Data'!$A74,'Data entry'!$B$6:$B$200,{"Confirmed";"Probable"},'Data entry'!$AQ$6:$AQ$200,'Data Validation'!$V$4, 'Data entry'!$BD$6:$BD$200,"&lt;&gt;*Negative*"))</f>
        <v>0</v>
      </c>
      <c r="Y74" s="15">
        <f>SUM(COUNTIFS('Data entry'!$R$6:$R$200,'Summary Data'!$A74,'Data entry'!$B$6:$B$200,{"Confirmed";"Probable"},'Data entry'!$AQ$6:$AQ$200,'Data Validation'!$V$5, 'Data entry'!$BD$6:$BD$200,"&lt;&gt;*Negative*"))</f>
        <v>0</v>
      </c>
      <c r="Z74" s="15">
        <f>SUM(COUNTIFS('Data entry'!$R$6:$R$200,'Summary Data'!$A74,'Data entry'!$B$6:$B$200,{"Confirmed";"Probable"},'Data entry'!$AQ$6:$AQ$200,'Data Validation'!$V$6, 'Data entry'!$BD$6:$BD$200,"&lt;&gt;*Negative*"))</f>
        <v>0</v>
      </c>
      <c r="AA74" s="15">
        <f>SUM(COUNTIFS('Data entry'!$R$6:$R$200,'Summary Data'!$A74,'Data entry'!$B$6:$B$200,{"Confirmed";"Probable"},'Data entry'!$AQ$6:$AQ$200,'Data Validation'!$V$7, 'Data entry'!$BD$6:$BD$200,"&lt;&gt;*Negative*"))</f>
        <v>0</v>
      </c>
      <c r="AB74" s="15">
        <f>SUM(COUNTIFS('Data entry'!$R$6:$R$200,'Summary Data'!$A74,'Data entry'!$B$6:$B$200,{"Confirmed";"Probable"},'Data entry'!$AQ$6:$AQ$200,'Data Validation'!$V$8, 'Data entry'!$BD$6:$BD$200,"&lt;&gt;*Negative*"))</f>
        <v>0</v>
      </c>
      <c r="AC74" s="15">
        <f>SUM(COUNTIFS('Data entry'!$R$6:$R$200,'Summary Data'!$A74,'Data entry'!$B$6:$B$200,{"Confirmed";"Probable"},'Data entry'!$AQ$6:$AQ$200,'Data Validation'!$V$9, 'Data entry'!$BD$6:$BD$200,"&lt;&gt;*Negative*"))</f>
        <v>0</v>
      </c>
      <c r="AD74" s="15">
        <f>SUM(COUNTIFS('Data entry'!$R$6:$R$200,'Summary Data'!$A74,'Data entry'!$B$6:$B$200,{"Confirmed";"Probable"},'Data entry'!$AQ$6:$AQ$200,'Data Validation'!$V$10, 'Data entry'!$BD$6:$BD$200,"&lt;&gt;*Negative*"))</f>
        <v>0</v>
      </c>
      <c r="AE74" s="15">
        <f>SUM(COUNTIFS('Data entry'!$R$6:$R$200,'Summary Data'!$A74,'Data entry'!$B$6:$B$200,{"Confirmed";"Probable"},'Data entry'!$AQ$6:$AQ$200,'Data Validation'!$V$11, 'Data entry'!$BD$6:$BD$200,"&lt;&gt;*Negative*"))</f>
        <v>0</v>
      </c>
      <c r="AF74" s="15">
        <f>SUM(COUNTIFS('Data entry'!$R$6:$R$200,'Summary Data'!$A74,'Data entry'!$B$6:$B$200,{"Confirmed";"Probable"},'Data entry'!$AQ$6:$AQ$200,'Data Validation'!$V$2, 'Data entry'!$AP$6:$AP$200,'Data Validation'!$U$2, 'Data entry'!$BD$6:$BD$200,"&lt;&gt;*Negative*"))</f>
        <v>0</v>
      </c>
      <c r="AG74" s="15">
        <f>SUM(COUNTIFS('Data entry'!$R$6:$R$200,'Summary Data'!$A74,'Data entry'!$B$6:$B$200,{"Confirmed";"Probable"},'Data entry'!$AQ$6:$AQ$200,'Data Validation'!$V$2, 'Data entry'!$AP$6:$AP$200,'Data Validation'!$U$3, 'Data entry'!$BD$6:$BD$200,"&lt;&gt;*Negative*"))</f>
        <v>0</v>
      </c>
      <c r="AH74" s="15">
        <f>SUM(COUNTIFS('Data entry'!$R$6:$R$200,'Summary Data'!$A74,'Data entry'!$B$6:$B$200,{"Confirmed";"Probable"},'Data entry'!$AQ$6:$AQ$200,'Data Validation'!$V$2, 'Data entry'!$AP$6:$AP$200,'Data Validation'!$U$4, 'Data entry'!$BD$6:$BD$200,"&lt;&gt;*Negative*"))</f>
        <v>0</v>
      </c>
      <c r="AI74" s="15">
        <f>SUM(COUNTIFS('Data entry'!$R$6:$R$200,'Summary Data'!$A74,'Data entry'!$B$6:$B$200,{"Confirmed";"Probable"},'Data entry'!$AQ$6:$AQ$200,'Data Validation'!$V$2, 'Data entry'!$AP$6:$AP$200,'Data Validation'!$U$5, 'Data entry'!$BD$6:$BD$200,"&lt;&gt;*Negative*"))</f>
        <v>0</v>
      </c>
      <c r="AJ74" s="15">
        <f>SUM(COUNTIFS('Data entry'!$R$6:$R$200,'Summary Data'!$A74,'Data entry'!$B$6:$B$200,{"Confirmed";"Probable"},'Data entry'!$AQ$6:$AQ$200,'Data Validation'!$V$2, 'Data entry'!$AP$6:$AP$200,'Data Validation'!$U$6, 'Data entry'!$BD$6:$BD$200,"&lt;&gt;*Negative*"))</f>
        <v>0</v>
      </c>
      <c r="AK74" s="15">
        <f>SUM(COUNTIFS('Data entry'!$R$6:$R$200,'Summary Data'!$A74,'Data entry'!$B$6:$B$200,{"Confirmed";"Probable"},'Data entry'!$AQ$6:$AQ$200,'Data Validation'!$V$3, 'Data entry'!$AP$6:$AP$200,'Data Validation'!$U$2, 'Data entry'!$BD$6:$BD$200,"&lt;&gt;*Negative*"))</f>
        <v>0</v>
      </c>
      <c r="AL74" s="15">
        <f>SUM(COUNTIFS('Data entry'!$R$6:$R$200,'Summary Data'!$A74,'Data entry'!$B$6:$B$200,{"Confirmed";"Probable"},'Data entry'!$AQ$6:$AQ$200,'Data Validation'!$V$3, 'Data entry'!$AP$6:$AP$200,'Data Validation'!$U$3, 'Data entry'!$BD$6:$BD$200,"&lt;&gt;*Negative*"))</f>
        <v>0</v>
      </c>
      <c r="AM74" s="15">
        <f>SUM(COUNTIFS('Data entry'!$R$6:$R$200,'Summary Data'!$A74,'Data entry'!$B$6:$B$200,{"Confirmed";"Probable"},'Data entry'!$AQ$6:$AQ$200,'Data Validation'!$V$3, 'Data entry'!$AP$6:$AP$200,'Data Validation'!$U$4, 'Data entry'!$BD$6:$BD$200,"&lt;&gt;*Negative*"))</f>
        <v>0</v>
      </c>
      <c r="AN74" s="15">
        <f>SUM(COUNTIFS('Data entry'!$R$6:$R$200,'Summary Data'!$A74,'Data entry'!$B$6:$B$200,{"Confirmed";"Probable"},'Data entry'!$AQ$6:$AQ$200,'Data Validation'!$V$3, 'Data entry'!$AP$6:$AP$200,'Data Validation'!$U$5, 'Data entry'!$BD$6:$BD$200,"&lt;&gt;*Negative*"))</f>
        <v>0</v>
      </c>
      <c r="AO74" s="15">
        <f>SUM(COUNTIFS('Data entry'!$R$6:$R$200,'Summary Data'!$A74,'Data entry'!$B$6:$B$200,{"Confirmed";"Probable"},'Data entry'!$AQ$6:$AQ$200,'Data Validation'!$V$3, 'Data entry'!$AP$6:$AP$200,'Data Validation'!$U$6, 'Data entry'!$BD$6:$BD$200,"&lt;&gt;*Negative*"))</f>
        <v>0</v>
      </c>
      <c r="AP74" s="15">
        <f>SUM(COUNTIFS('Data entry'!$R$6:$R$200,'Summary Data'!$A74,'Data entry'!$B$6:$B$200,{"Confirmed";"Probable"},'Data entry'!$AQ$6:$AQ$200,'Data Validation'!$V$4, 'Data entry'!$AP$6:$AP$200,'Data Validation'!$U$2, 'Data entry'!$BD$6:$BD$200,"&lt;&gt;*Negative*"))</f>
        <v>0</v>
      </c>
      <c r="AQ74" s="15">
        <f>SUM(COUNTIFS('Data entry'!$R$6:$R$200,'Summary Data'!$A74,'Data entry'!$B$6:$B$200,{"Confirmed";"Probable"},'Data entry'!$AQ$6:$AQ$200,'Data Validation'!$V$4, 'Data entry'!$AP$6:$AP$200,'Data Validation'!$U$3, 'Data entry'!$BD$6:$BD$200,"&lt;&gt;*Negative*"))</f>
        <v>0</v>
      </c>
      <c r="AR74" s="15">
        <f>SUM(COUNTIFS('Data entry'!$R$6:$R$200,'Summary Data'!$A74,'Data entry'!$B$6:$B$200,{"Confirmed";"Probable"},'Data entry'!$AQ$6:$AQ$200,'Data Validation'!$V$4, 'Data entry'!$AP$6:$AP$200,'Data Validation'!$U$4, 'Data entry'!$BD$6:$BD$200,"&lt;&gt;*Negative*"))</f>
        <v>0</v>
      </c>
      <c r="AS74" s="15">
        <f>SUM(COUNTIFS('Data entry'!$R$6:$R$200,'Summary Data'!$A74,'Data entry'!$B$6:$B$200,{"Confirmed";"Probable"},'Data entry'!$AQ$6:$AQ$200,'Data Validation'!$V$4, 'Data entry'!$AP$6:$AP$200,'Data Validation'!$U$5, 'Data entry'!$BD$6:$BD$200,"&lt;&gt;*Negative*"))</f>
        <v>0</v>
      </c>
      <c r="AT74" s="15">
        <f>SUM(COUNTIFS('Data entry'!$R$6:$R$200,'Summary Data'!$A74,'Data entry'!$B$6:$B$200,{"Confirmed";"Probable"},'Data entry'!$AQ$6:$AQ$200,'Data Validation'!$V$4, 'Data entry'!$AP$6:$AP$200,'Data Validation'!$U$6, 'Data entry'!$BD$6:$BD$200,"&lt;&gt;*Negative*"))</f>
        <v>0</v>
      </c>
      <c r="AU74" s="15">
        <f>SUM(COUNTIFS('Data entry'!$R$6:$R$200,'Summary Data'!$A74,'Data entry'!$B$6:$B$200,{"Confirmed";"Probable"},'Data entry'!$AQ$6:$AQ$200,'Data Validation'!$V$5, 'Data entry'!$AP$6:$AP$200,'Data Validation'!$U$2, 'Data entry'!$BD$6:$BD$200,"&lt;&gt;*Negative*"))</f>
        <v>0</v>
      </c>
      <c r="AV74" s="15">
        <f>SUM(COUNTIFS('Data entry'!$R$6:$R$200,'Summary Data'!$A74,'Data entry'!$B$6:$B$200,{"Confirmed";"Probable"},'Data entry'!$AQ$6:$AQ$200,'Data Validation'!$V$5, 'Data entry'!$AP$6:$AP$200,'Data Validation'!$U$3, 'Data entry'!$BD$6:$BD$200,"&lt;&gt;*Negative*"))</f>
        <v>0</v>
      </c>
      <c r="AW74" s="15">
        <f>SUM(COUNTIFS('Data entry'!$R$6:$R$200,'Summary Data'!$A74,'Data entry'!$B$6:$B$200,{"Confirmed";"Probable"},'Data entry'!$AQ$6:$AQ$200,'Data Validation'!$V$5, 'Data entry'!$AP$6:$AP$200,'Data Validation'!$U$4, 'Data entry'!$BD$6:$BD$200,"&lt;&gt;*Negative*"))</f>
        <v>0</v>
      </c>
      <c r="AX74" s="15">
        <f>SUM(COUNTIFS('Data entry'!$R$6:$R$200,'Summary Data'!$A74,'Data entry'!$B$6:$B$200,{"Confirmed";"Probable"},'Data entry'!$AQ$6:$AQ$200,'Data Validation'!$V$5, 'Data entry'!$AP$6:$AP$200,'Data Validation'!$U$5, 'Data entry'!$BD$6:$BD$200,"&lt;&gt;*Negative*"))</f>
        <v>0</v>
      </c>
      <c r="AY74" s="15">
        <f>SUM(COUNTIFS('Data entry'!$R$6:$R$200,'Summary Data'!$A74,'Data entry'!$B$6:$B$200,{"Confirmed";"Probable"},'Data entry'!$AQ$6:$AQ$200,'Data Validation'!$V$5, 'Data entry'!$AP$6:$AP$200,'Data Validation'!$U$6, 'Data entry'!$BD$6:$BD$200,"&lt;&gt;*Negative*"))</f>
        <v>0</v>
      </c>
      <c r="AZ74" s="15">
        <f>SUM(COUNTIFS('Data entry'!$R$6:$R$200,'Summary Data'!$A74,'Data entry'!$B$6:$B$200,{"Confirmed";"Probable"},'Data entry'!$AQ$6:$AQ$200,'Data Validation'!$V$6, 'Data entry'!$AP$6:$AP$200,'Data Validation'!$U$2, 'Data entry'!$BD$6:$BD$200,"&lt;&gt;*Negative*"))</f>
        <v>0</v>
      </c>
      <c r="BA74" s="15">
        <f>SUM(COUNTIFS('Data entry'!$R$6:$R$200,'Summary Data'!$A74,'Data entry'!$B$6:$B$200,{"Confirmed";"Probable"},'Data entry'!$AQ$6:$AQ$200,'Data Validation'!$V$6, 'Data entry'!$AP$6:$AP$200,'Data Validation'!$U$3, 'Data entry'!$BD$6:$BD$200,"&lt;&gt;*Negative*"))</f>
        <v>0</v>
      </c>
      <c r="BB74" s="15">
        <f>SUM(COUNTIFS('Data entry'!$R$6:$R$200,'Summary Data'!$A74,'Data entry'!$B$6:$B$200,{"Confirmed";"Probable"},'Data entry'!$AQ$6:$AQ$200,'Data Validation'!$V$6, 'Data entry'!$AP$6:$AP$200,'Data Validation'!$U$4, 'Data entry'!$BD$6:$BD$200,"&lt;&gt;*Negative*"))</f>
        <v>0</v>
      </c>
      <c r="BC74" s="15">
        <f>SUM(COUNTIFS('Data entry'!$R$6:$R$200,'Summary Data'!$A74,'Data entry'!$B$6:$B$200,{"Confirmed";"Probable"},'Data entry'!$AQ$6:$AQ$200,'Data Validation'!$V$6, 'Data entry'!$AP$6:$AP$200,'Data Validation'!$U$5, 'Data entry'!$BD$6:$BD$200,"&lt;&gt;*Negative*"))</f>
        <v>0</v>
      </c>
      <c r="BD74" s="15">
        <f>SUM(COUNTIFS('Data entry'!$R$6:$R$200,'Summary Data'!$A74,'Data entry'!$B$6:$B$200,{"Confirmed";"Probable"},'Data entry'!$AQ$6:$AQ$200,'Data Validation'!$V$6, 'Data entry'!$AP$6:$AP$200,'Data Validation'!$U$6, 'Data entry'!$BD$6:$BD$200,"&lt;&gt;*Negative*"))</f>
        <v>0</v>
      </c>
      <c r="BE74" s="15">
        <f>SUM(COUNTIFS('Data entry'!$R$6:$R$200,'Summary Data'!$A74,'Data entry'!$B$6:$B$200,{"Confirmed";"Probable"},'Data entry'!$AQ$6:$AQ$200,'Data Validation'!$V$7, 'Data entry'!$AP$6:$AP$200,'Data Validation'!$U$2, 'Data entry'!$BD$6:$BD$200,"&lt;&gt;*Negative*"))</f>
        <v>0</v>
      </c>
      <c r="BF74" s="15">
        <f>SUM(COUNTIFS('Data entry'!$R$6:$R$200,'Summary Data'!$A74,'Data entry'!$B$6:$B$200,{"Confirmed";"Probable"},'Data entry'!$AQ$6:$AQ$200,'Data Validation'!$V$7, 'Data entry'!$AP$6:$AP$200,'Data Validation'!$U$3, 'Data entry'!$BD$6:$BD$200,"&lt;&gt;*Negative*"))</f>
        <v>0</v>
      </c>
      <c r="BG74" s="15">
        <f>SUM(COUNTIFS('Data entry'!$R$6:$R$200,'Summary Data'!$A74,'Data entry'!$B$6:$B$200,{"Confirmed";"Probable"},'Data entry'!$AQ$6:$AQ$200,'Data Validation'!$V$7, 'Data entry'!$AP$6:$AP$200,'Data Validation'!$U$4, 'Data entry'!$BD$6:$BD$200,"&lt;&gt;*Negative*"))</f>
        <v>0</v>
      </c>
      <c r="BH74" s="15">
        <f>SUM(COUNTIFS('Data entry'!$R$6:$R$200,'Summary Data'!$A74,'Data entry'!$B$6:$B$200,{"Confirmed";"Probable"},'Data entry'!$AQ$6:$AQ$200,'Data Validation'!$V$7, 'Data entry'!$AP$6:$AP$200,'Data Validation'!$U$5, 'Data entry'!$BD$6:$BD$200,"&lt;&gt;*Negative*"))</f>
        <v>0</v>
      </c>
      <c r="BI74" s="15">
        <f>SUM(COUNTIFS('Data entry'!$R$6:$R$200,'Summary Data'!$A74,'Data entry'!$B$6:$B$200,{"Confirmed";"Probable"},'Data entry'!$AQ$6:$AQ$200,'Data Validation'!$V$7, 'Data entry'!$AP$6:$AP$200,'Data Validation'!$U$6, 'Data entry'!$BD$6:$BD$200,"&lt;&gt;*Negative*"))</f>
        <v>0</v>
      </c>
      <c r="BJ74" s="15">
        <f>SUM(COUNTIFS('Data entry'!$R$6:$R$200,'Summary Data'!$A74,'Data entry'!$B$6:$B$200,{"Confirmed";"Probable"},'Data entry'!$AQ$6:$AQ$200,'Data Validation'!$V$8, 'Data entry'!$AP$6:$AP$200,'Data Validation'!$U$2, 'Data entry'!$BD$6:$BD$200,"&lt;&gt;*Negative*"))</f>
        <v>0</v>
      </c>
      <c r="BK74" s="15">
        <f>SUM(COUNTIFS('Data entry'!$R$6:$R$200,'Summary Data'!$A74,'Data entry'!$B$6:$B$200,{"Confirmed";"Probable"},'Data entry'!$AQ$6:$AQ$200,'Data Validation'!$V$8, 'Data entry'!$AP$6:$AP$200,'Data Validation'!$U$3, 'Data entry'!$BD$6:$BD$200,"&lt;&gt;*Negative*"))</f>
        <v>0</v>
      </c>
      <c r="BL74" s="15">
        <f>SUM(COUNTIFS('Data entry'!$R$6:$R$200,'Summary Data'!$A74,'Data entry'!$B$6:$B$200,{"Confirmed";"Probable"},'Data entry'!$AQ$6:$AQ$200,'Data Validation'!$V$8, 'Data entry'!$AP$6:$AP$200,'Data Validation'!$U$4, 'Data entry'!$BD$6:$BD$200,"&lt;&gt;*Negative*"))</f>
        <v>0</v>
      </c>
      <c r="BM74" s="15">
        <f>SUM(COUNTIFS('Data entry'!$R$6:$R$200,'Summary Data'!$A74,'Data entry'!$B$6:$B$200,{"Confirmed";"Probable"},'Data entry'!$AQ$6:$AQ$200,'Data Validation'!$V$8, 'Data entry'!$AP$6:$AP$200,'Data Validation'!$U$5, 'Data entry'!$BD$6:$BD$200,"&lt;&gt;*Negative*"))</f>
        <v>0</v>
      </c>
      <c r="BN74" s="15">
        <f>SUM(COUNTIFS('Data entry'!$R$6:$R$200,'Summary Data'!$A74,'Data entry'!$B$6:$B$200,{"Confirmed";"Probable"},'Data entry'!$AQ$6:$AQ$200,'Data Validation'!$V$8, 'Data entry'!$AP$6:$AP$200,'Data Validation'!$U$6, 'Data entry'!$BD$6:$BD$200,"&lt;&gt;*Negative*"))</f>
        <v>0</v>
      </c>
      <c r="BO74" s="15">
        <f>SUM(COUNTIFS('Data entry'!$R$6:$R$200,'Summary Data'!$A74,'Data entry'!$B$6:$B$200,{"Confirmed";"Probable"},'Data entry'!$AQ$6:$AQ$200,'Data Validation'!$V$9, 'Data entry'!$AP$6:$AP$200,'Data Validation'!$U$2, 'Data entry'!$BD$6:$BD$200,"&lt;&gt;*Negative*"))</f>
        <v>0</v>
      </c>
      <c r="BP74" s="15">
        <f>SUM(COUNTIFS('Data entry'!$R$6:$R$200,'Summary Data'!$A74,'Data entry'!$B$6:$B$200,{"Confirmed";"Probable"},'Data entry'!$AQ$6:$AQ$200,'Data Validation'!$V$9, 'Data entry'!$AP$6:$AP$200,'Data Validation'!$U$3, 'Data entry'!$BD$6:$BD$200,"&lt;&gt;*Negative*"))</f>
        <v>0</v>
      </c>
      <c r="BQ74" s="15">
        <f>SUM(COUNTIFS('Data entry'!$R$6:$R$200,'Summary Data'!$A74,'Data entry'!$B$6:$B$200,{"Confirmed";"Probable"},'Data entry'!$AQ$6:$AQ$200,'Data Validation'!$V$9, 'Data entry'!$AP$6:$AP$200,'Data Validation'!$U$4, 'Data entry'!$BD$6:$BD$200,"&lt;&gt;*Negative*"))</f>
        <v>0</v>
      </c>
      <c r="BR74" s="15">
        <f>SUM(COUNTIFS('Data entry'!$R$6:$R$200,'Summary Data'!$A74,'Data entry'!$B$6:$B$200,{"Confirmed";"Probable"},'Data entry'!$AQ$6:$AQ$200,'Data Validation'!$V$9, 'Data entry'!$AP$6:$AP$200,'Data Validation'!$U$5, 'Data entry'!$BD$6:$BD$200,"&lt;&gt;*Negative*"))</f>
        <v>0</v>
      </c>
      <c r="BS74" s="15">
        <f>SUM(COUNTIFS('Data entry'!$R$6:$R$200,'Summary Data'!$A74,'Data entry'!$B$6:$B$200,{"Confirmed";"Probable"},'Data entry'!$AQ$6:$AQ$200,'Data Validation'!$V$9, 'Data entry'!$AP$6:$AP$200,'Data Validation'!$U$6, 'Data entry'!$BD$6:$BD$200,"&lt;&gt;*Negative*"))</f>
        <v>0</v>
      </c>
      <c r="BT74" s="15">
        <f>SUM(COUNTIFS('Data entry'!$R$6:$R$200,'Summary Data'!$A74,'Data entry'!$B$6:$B$200,{"Confirmed";"Probable"},'Data entry'!$AQ$6:$AQ$200,'Data Validation'!$V$10, 'Data entry'!$AP$6:$AP$200,'Data Validation'!$U$2, 'Data entry'!$BD$6:$BD$200,"&lt;&gt;*Negative*"))</f>
        <v>0</v>
      </c>
      <c r="BU74" s="15">
        <f>SUM(COUNTIFS('Data entry'!$R$6:$R$200,'Summary Data'!$A74,'Data entry'!$B$6:$B$200,{"Confirmed";"Probable"},'Data entry'!$AQ$6:$AQ$200,'Data Validation'!$V$10, 'Data entry'!$AP$6:$AP$200,'Data Validation'!$U$3, 'Data entry'!$BD$6:$BD$200,"&lt;&gt;*Negative*"))</f>
        <v>0</v>
      </c>
      <c r="BV74" s="15">
        <f>SUM(COUNTIFS('Data entry'!$R$6:$R$200,'Summary Data'!$A74,'Data entry'!$B$6:$B$200,{"Confirmed";"Probable"},'Data entry'!$AQ$6:$AQ$200,'Data Validation'!$V$10, 'Data entry'!$AP$6:$AP$200,'Data Validation'!$U$4, 'Data entry'!$BD$6:$BD$200,"&lt;&gt;*Negative*"))</f>
        <v>0</v>
      </c>
      <c r="BW74" s="15">
        <f>SUM(COUNTIFS('Data entry'!$R$6:$R$200,'Summary Data'!$A74,'Data entry'!$B$6:$B$200,{"Confirmed";"Probable"},'Data entry'!$AQ$6:$AQ$200,'Data Validation'!$V$10, 'Data entry'!$AP$6:$AP$200,'Data Validation'!$U$5, 'Data entry'!$BD$6:$BD$200,"&lt;&gt;*Negative*"))</f>
        <v>0</v>
      </c>
      <c r="BX74" s="15">
        <f>SUM(COUNTIFS('Data entry'!$R$6:$R$200,'Summary Data'!$A74,'Data entry'!$B$6:$B$200,{"Confirmed";"Probable"},'Data entry'!$AQ$6:$AQ$200,'Data Validation'!$V$10, 'Data entry'!$AP$6:$AP$200,'Data Validation'!$U$6, 'Data entry'!$BD$6:$BD$200,"&lt;&gt;*Negative*"))</f>
        <v>0</v>
      </c>
      <c r="BY74" s="15">
        <f>SUM(COUNTIFS('Data entry'!$R$6:$R$200,'Summary Data'!$A74,'Data entry'!$B$6:$B$200,{"Confirmed";"Probable"},'Data entry'!$AQ$6:$AQ$200,'Data Validation'!$V$11, 'Data entry'!$AP$6:$AP$200,'Data Validation'!$U$2, 'Data entry'!$BD$6:$BD$200,"&lt;&gt;*Negative*"))</f>
        <v>0</v>
      </c>
      <c r="BZ74" s="15">
        <f>SUM(COUNTIFS('Data entry'!$R$6:$R$200,'Summary Data'!$A74,'Data entry'!$B$6:$B$200,{"Confirmed";"Probable"},'Data entry'!$AQ$6:$AQ$200,'Data Validation'!$V$11, 'Data entry'!$AP$6:$AP$200,'Data Validation'!$U$3, 'Data entry'!$BD$6:$BD$200,"&lt;&gt;*Negative*"))</f>
        <v>0</v>
      </c>
      <c r="CA74" s="15">
        <f>SUM(COUNTIFS('Data entry'!$R$6:$R$200,'Summary Data'!$A74,'Data entry'!$B$6:$B$200,{"Confirmed";"Probable"},'Data entry'!$AQ$6:$AQ$200,'Data Validation'!$V$11, 'Data entry'!$AP$6:$AP$200,'Data Validation'!$U$4, 'Data entry'!$BD$6:$BD$200,"&lt;&gt;*Negative*"))</f>
        <v>0</v>
      </c>
      <c r="CB74" s="15">
        <f>SUM(COUNTIFS('Data entry'!$R$6:$R$200,'Summary Data'!$A74,'Data entry'!$B$6:$B$200,{"Confirmed";"Probable"},'Data entry'!$AQ$6:$AQ$200,'Data Validation'!$V$11, 'Data entry'!$AP$6:$AP$200,'Data Validation'!$U$5, 'Data entry'!$BD$6:$BD$200,"&lt;&gt;*Negative*"))</f>
        <v>0</v>
      </c>
      <c r="CC74" s="15">
        <f>SUM(COUNTIFS('Data entry'!$R$6:$R$200,'Summary Data'!$A74,'Data entry'!$B$6:$B$200,{"Confirmed";"Probable"},'Data entry'!$AQ$6:$AQ$200,'Data Validation'!$V$11, 'Data entry'!$AP$6:$AP$200,'Data Validation'!$U$6, 'Data entry'!$BD$6:$BD$200,"&lt;&gt;*Negative*"))</f>
        <v>0</v>
      </c>
    </row>
    <row r="75" spans="1:81" x14ac:dyDescent="0.25">
      <c r="A75" s="12">
        <f t="shared" si="5"/>
        <v>63</v>
      </c>
      <c r="B75" s="13">
        <f t="shared" si="2"/>
        <v>0</v>
      </c>
      <c r="C75" s="13">
        <f>COUNTIFS('Data entry'!$R$6:$R$200,$A75,'Data entry'!$B$6:$B$200,"Confirmed",'Data entry'!$BD$6:$BD$200,"&lt;&gt;*Negative*")</f>
        <v>0</v>
      </c>
      <c r="D75" s="13">
        <f>COUNTIFS('Data entry'!$R$6:$R$200,$A75,'Data entry'!$B$6:$B$200,"Probable",'Data entry'!$BD$6:$BD$200,"&lt;&gt;*Negative*")</f>
        <v>0</v>
      </c>
      <c r="E75" s="13">
        <f>COUNTIFS('Data entry'!$R$6:$R$200,$A75,'Data entry'!$B$6:$B$200,"DNM")</f>
        <v>0</v>
      </c>
      <c r="F75" s="13">
        <f>SUM(COUNTIFS('Data entry'!$R$6:$R$200,'Summary Data'!$A75,'Data entry'!$B$6:$B$200,{"Confirmed";"Probable"},'Data entry'!$AO$6:$AO$200,$F$10, 'Data entry'!$BD$6:$BD$200,"&lt;&gt;*Negative*"))</f>
        <v>0</v>
      </c>
      <c r="G75" s="13">
        <f>SUM(COUNTIFS('Data entry'!$R$6:$R$200,'Summary Data'!$A75,'Data entry'!$B$6:$B$200,{"Confirmed";"Probable"},'Data entry'!$AO$6:$AO$200,$G$10, 'Data entry'!$BD$6:$BD$200,"&lt;&gt;*Negative*"))</f>
        <v>0</v>
      </c>
      <c r="H75" s="13">
        <f>SUM(COUNTIFS('Data entry'!$R$6:$R$200,'Summary Data'!$A75,'Data entry'!$B$6:$B$200,{"Confirmed";"Probable"},'Data entry'!$AO$6:$AO$200,$H$10, 'Data entry'!$BD$6:$BD$200,"&lt;&gt;*Negative*"))</f>
        <v>0</v>
      </c>
      <c r="I75" s="13">
        <f>SUM(COUNTIFS('Data entry'!$R$6:$R$200,'Summary Data'!$A75,'Data entry'!$B$6:$B$200,{"Confirmed";"Probable"},'Data entry'!$AO$6:$AO$200,$I$10, 'Data entry'!$BD$6:$BD$200,"&lt;&gt;*Negative*"))</f>
        <v>0</v>
      </c>
      <c r="J75" s="13">
        <f>SUM(COUNTIFS('Data entry'!$R$6:$R$200,'Summary Data'!$A75,'Data entry'!$B$6:$B$200,{"Confirmed";"Probable"},'Data entry'!$AO$6:$AO$200,$J$10, 'Data entry'!$BD$6:$BD$200,"&lt;&gt;*Negative*"))</f>
        <v>0</v>
      </c>
      <c r="K75" s="13">
        <f>SUM(COUNTIFS('Data entry'!$R$6:$R$200,'Summary Data'!$A75,'Data entry'!$B$6:$B$200,{"Confirmed";"Probable"},'Data entry'!$AO$6:$AO$200,$K$10, 'Data entry'!$BD$6:$BD$200,"&lt;&gt;*Negative*"))</f>
        <v>0</v>
      </c>
      <c r="L75" s="13">
        <f>SUM(COUNTIFS('Data entry'!$R$6:$R$200,'Summary Data'!$A75,'Data entry'!$B$6:$B$200,{"Confirmed";"Probable"},'Data entry'!$AO$6:$AO$200,$L$10, 'Data entry'!$BD$6:$BD$200,"&lt;&gt;*Negative*"))</f>
        <v>0</v>
      </c>
      <c r="M75" s="13">
        <f>SUM(COUNTIFS('Data entry'!$R$6:$R$200,'Summary Data'!$A75,'Data entry'!$B$6:$B$200,{"Confirmed";"Probable"},'Data entry'!$AO$6:$AO$200,$M$10, 'Data entry'!$BD$6:$BD$200,"&lt;&gt;*Negative*"))</f>
        <v>0</v>
      </c>
      <c r="N75" s="13">
        <f>SUM(COUNTIFS('Data entry'!$R$6:$R$200,'Summary Data'!$A75,'Data entry'!$B$6:$B$200,{"Confirmed";"Probable"},'Data entry'!$AO$6:$AO$200,$N$10, 'Data entry'!$BD$6:$BD$200,"&lt;&gt;*Negative*"))</f>
        <v>0</v>
      </c>
      <c r="O75" s="15">
        <f t="shared" si="3"/>
        <v>0</v>
      </c>
      <c r="P75" s="15">
        <f t="shared" si="4"/>
        <v>0</v>
      </c>
      <c r="Q75" s="15">
        <f>SUM(COUNTIFS('Data entry'!$R$6:$R$200,'Summary Data'!$A75,'Data entry'!$B$6:$B$200,{"Confirmed";"Probable"},'Data entry'!$AP$6:$AP$200,'Data Validation'!$U$2, 'Data entry'!$BD$6:$BD$200,"&lt;&gt;*Negative*"))</f>
        <v>0</v>
      </c>
      <c r="R75" s="15">
        <f>SUM(COUNTIFS('Data entry'!$R$6:$R$200,'Summary Data'!$A75,'Data entry'!$B$6:$B$200,{"Confirmed";"Probable"},'Data entry'!$AP$6:$AP$200,'Data Validation'!$U$3, 'Data entry'!$BD$6:$BD$200,"&lt;&gt;*Negative*"))</f>
        <v>0</v>
      </c>
      <c r="S75" s="15">
        <f>SUM(COUNTIFS('Data entry'!$R$6:$R$200,'Summary Data'!$A75,'Data entry'!$B$6:$B$200,{"Confirmed";"Probable"},'Data entry'!$AP$6:$AP$200,'Data Validation'!$U$4, 'Data entry'!$BD$6:$BD$200,"&lt;&gt;*Negative*"))</f>
        <v>0</v>
      </c>
      <c r="T75" s="15">
        <f>SUM(COUNTIFS('Data entry'!$R$6:$R$200,'Summary Data'!$A75,'Data entry'!$B$6:$B$200,{"Confirmed";"Probable"},'Data entry'!$AP$6:$AP$200,'Data Validation'!$U$5, 'Data entry'!$BD$6:$BD$200,"&lt;&gt;*Negative*"))</f>
        <v>0</v>
      </c>
      <c r="U75" s="15">
        <f>SUM(COUNTIFS('Data entry'!$R$6:$R$200,'Summary Data'!$A75,'Data entry'!$B$6:$B$200,{"Confirmed";"Probable"},'Data entry'!$AP$6:$AP$200,'Data Validation'!$U$6, 'Data entry'!$BD$6:$BD$200,"&lt;&gt;*Negative*"))</f>
        <v>0</v>
      </c>
      <c r="V75" s="15">
        <f>SUM(COUNTIFS('Data entry'!$R$6:$R$200,'Summary Data'!$A75,'Data entry'!$B$6:$B$200,{"Confirmed";"Probable"},'Data entry'!$AQ$6:$AQ$200,'Data Validation'!$V$2, 'Data entry'!$BD$6:$BD$200,"&lt;&gt;*Negative*"))</f>
        <v>0</v>
      </c>
      <c r="W75" s="15">
        <f>SUM(COUNTIFS('Data entry'!$R$6:$R$200,'Summary Data'!$A75,'Data entry'!$B$6:$B$200,{"Confirmed";"Probable"},'Data entry'!$AQ$6:$AQ$200,'Data Validation'!$V$3, 'Data entry'!$BD$6:$BD$200,"&lt;&gt;*Negative*"))</f>
        <v>0</v>
      </c>
      <c r="X75" s="15">
        <f>SUM(COUNTIFS('Data entry'!$R$6:$R$200,'Summary Data'!$A75,'Data entry'!$B$6:$B$200,{"Confirmed";"Probable"},'Data entry'!$AQ$6:$AQ$200,'Data Validation'!$V$4, 'Data entry'!$BD$6:$BD$200,"&lt;&gt;*Negative*"))</f>
        <v>0</v>
      </c>
      <c r="Y75" s="15">
        <f>SUM(COUNTIFS('Data entry'!$R$6:$R$200,'Summary Data'!$A75,'Data entry'!$B$6:$B$200,{"Confirmed";"Probable"},'Data entry'!$AQ$6:$AQ$200,'Data Validation'!$V$5, 'Data entry'!$BD$6:$BD$200,"&lt;&gt;*Negative*"))</f>
        <v>0</v>
      </c>
      <c r="Z75" s="15">
        <f>SUM(COUNTIFS('Data entry'!$R$6:$R$200,'Summary Data'!$A75,'Data entry'!$B$6:$B$200,{"Confirmed";"Probable"},'Data entry'!$AQ$6:$AQ$200,'Data Validation'!$V$6, 'Data entry'!$BD$6:$BD$200,"&lt;&gt;*Negative*"))</f>
        <v>0</v>
      </c>
      <c r="AA75" s="15">
        <f>SUM(COUNTIFS('Data entry'!$R$6:$R$200,'Summary Data'!$A75,'Data entry'!$B$6:$B$200,{"Confirmed";"Probable"},'Data entry'!$AQ$6:$AQ$200,'Data Validation'!$V$7, 'Data entry'!$BD$6:$BD$200,"&lt;&gt;*Negative*"))</f>
        <v>0</v>
      </c>
      <c r="AB75" s="15">
        <f>SUM(COUNTIFS('Data entry'!$R$6:$R$200,'Summary Data'!$A75,'Data entry'!$B$6:$B$200,{"Confirmed";"Probable"},'Data entry'!$AQ$6:$AQ$200,'Data Validation'!$V$8, 'Data entry'!$BD$6:$BD$200,"&lt;&gt;*Negative*"))</f>
        <v>0</v>
      </c>
      <c r="AC75" s="15">
        <f>SUM(COUNTIFS('Data entry'!$R$6:$R$200,'Summary Data'!$A75,'Data entry'!$B$6:$B$200,{"Confirmed";"Probable"},'Data entry'!$AQ$6:$AQ$200,'Data Validation'!$V$9, 'Data entry'!$BD$6:$BD$200,"&lt;&gt;*Negative*"))</f>
        <v>0</v>
      </c>
      <c r="AD75" s="15">
        <f>SUM(COUNTIFS('Data entry'!$R$6:$R$200,'Summary Data'!$A75,'Data entry'!$B$6:$B$200,{"Confirmed";"Probable"},'Data entry'!$AQ$6:$AQ$200,'Data Validation'!$V$10, 'Data entry'!$BD$6:$BD$200,"&lt;&gt;*Negative*"))</f>
        <v>0</v>
      </c>
      <c r="AE75" s="15">
        <f>SUM(COUNTIFS('Data entry'!$R$6:$R$200,'Summary Data'!$A75,'Data entry'!$B$6:$B$200,{"Confirmed";"Probable"},'Data entry'!$AQ$6:$AQ$200,'Data Validation'!$V$11, 'Data entry'!$BD$6:$BD$200,"&lt;&gt;*Negative*"))</f>
        <v>0</v>
      </c>
      <c r="AF75" s="15">
        <f>SUM(COUNTIFS('Data entry'!$R$6:$R$200,'Summary Data'!$A75,'Data entry'!$B$6:$B$200,{"Confirmed";"Probable"},'Data entry'!$AQ$6:$AQ$200,'Data Validation'!$V$2, 'Data entry'!$AP$6:$AP$200,'Data Validation'!$U$2, 'Data entry'!$BD$6:$BD$200,"&lt;&gt;*Negative*"))</f>
        <v>0</v>
      </c>
      <c r="AG75" s="15">
        <f>SUM(COUNTIFS('Data entry'!$R$6:$R$200,'Summary Data'!$A75,'Data entry'!$B$6:$B$200,{"Confirmed";"Probable"},'Data entry'!$AQ$6:$AQ$200,'Data Validation'!$V$2, 'Data entry'!$AP$6:$AP$200,'Data Validation'!$U$3, 'Data entry'!$BD$6:$BD$200,"&lt;&gt;*Negative*"))</f>
        <v>0</v>
      </c>
      <c r="AH75" s="15">
        <f>SUM(COUNTIFS('Data entry'!$R$6:$R$200,'Summary Data'!$A75,'Data entry'!$B$6:$B$200,{"Confirmed";"Probable"},'Data entry'!$AQ$6:$AQ$200,'Data Validation'!$V$2, 'Data entry'!$AP$6:$AP$200,'Data Validation'!$U$4, 'Data entry'!$BD$6:$BD$200,"&lt;&gt;*Negative*"))</f>
        <v>0</v>
      </c>
      <c r="AI75" s="15">
        <f>SUM(COUNTIFS('Data entry'!$R$6:$R$200,'Summary Data'!$A75,'Data entry'!$B$6:$B$200,{"Confirmed";"Probable"},'Data entry'!$AQ$6:$AQ$200,'Data Validation'!$V$2, 'Data entry'!$AP$6:$AP$200,'Data Validation'!$U$5, 'Data entry'!$BD$6:$BD$200,"&lt;&gt;*Negative*"))</f>
        <v>0</v>
      </c>
      <c r="AJ75" s="15">
        <f>SUM(COUNTIFS('Data entry'!$R$6:$R$200,'Summary Data'!$A75,'Data entry'!$B$6:$B$200,{"Confirmed";"Probable"},'Data entry'!$AQ$6:$AQ$200,'Data Validation'!$V$2, 'Data entry'!$AP$6:$AP$200,'Data Validation'!$U$6, 'Data entry'!$BD$6:$BD$200,"&lt;&gt;*Negative*"))</f>
        <v>0</v>
      </c>
      <c r="AK75" s="15">
        <f>SUM(COUNTIFS('Data entry'!$R$6:$R$200,'Summary Data'!$A75,'Data entry'!$B$6:$B$200,{"Confirmed";"Probable"},'Data entry'!$AQ$6:$AQ$200,'Data Validation'!$V$3, 'Data entry'!$AP$6:$AP$200,'Data Validation'!$U$2, 'Data entry'!$BD$6:$BD$200,"&lt;&gt;*Negative*"))</f>
        <v>0</v>
      </c>
      <c r="AL75" s="15">
        <f>SUM(COUNTIFS('Data entry'!$R$6:$R$200,'Summary Data'!$A75,'Data entry'!$B$6:$B$200,{"Confirmed";"Probable"},'Data entry'!$AQ$6:$AQ$200,'Data Validation'!$V$3, 'Data entry'!$AP$6:$AP$200,'Data Validation'!$U$3, 'Data entry'!$BD$6:$BD$200,"&lt;&gt;*Negative*"))</f>
        <v>0</v>
      </c>
      <c r="AM75" s="15">
        <f>SUM(COUNTIFS('Data entry'!$R$6:$R$200,'Summary Data'!$A75,'Data entry'!$B$6:$B$200,{"Confirmed";"Probable"},'Data entry'!$AQ$6:$AQ$200,'Data Validation'!$V$3, 'Data entry'!$AP$6:$AP$200,'Data Validation'!$U$4, 'Data entry'!$BD$6:$BD$200,"&lt;&gt;*Negative*"))</f>
        <v>0</v>
      </c>
      <c r="AN75" s="15">
        <f>SUM(COUNTIFS('Data entry'!$R$6:$R$200,'Summary Data'!$A75,'Data entry'!$B$6:$B$200,{"Confirmed";"Probable"},'Data entry'!$AQ$6:$AQ$200,'Data Validation'!$V$3, 'Data entry'!$AP$6:$AP$200,'Data Validation'!$U$5, 'Data entry'!$BD$6:$BD$200,"&lt;&gt;*Negative*"))</f>
        <v>0</v>
      </c>
      <c r="AO75" s="15">
        <f>SUM(COUNTIFS('Data entry'!$R$6:$R$200,'Summary Data'!$A75,'Data entry'!$B$6:$B$200,{"Confirmed";"Probable"},'Data entry'!$AQ$6:$AQ$200,'Data Validation'!$V$3, 'Data entry'!$AP$6:$AP$200,'Data Validation'!$U$6, 'Data entry'!$BD$6:$BD$200,"&lt;&gt;*Negative*"))</f>
        <v>0</v>
      </c>
      <c r="AP75" s="15">
        <f>SUM(COUNTIFS('Data entry'!$R$6:$R$200,'Summary Data'!$A75,'Data entry'!$B$6:$B$200,{"Confirmed";"Probable"},'Data entry'!$AQ$6:$AQ$200,'Data Validation'!$V$4, 'Data entry'!$AP$6:$AP$200,'Data Validation'!$U$2, 'Data entry'!$BD$6:$BD$200,"&lt;&gt;*Negative*"))</f>
        <v>0</v>
      </c>
      <c r="AQ75" s="15">
        <f>SUM(COUNTIFS('Data entry'!$R$6:$R$200,'Summary Data'!$A75,'Data entry'!$B$6:$B$200,{"Confirmed";"Probable"},'Data entry'!$AQ$6:$AQ$200,'Data Validation'!$V$4, 'Data entry'!$AP$6:$AP$200,'Data Validation'!$U$3, 'Data entry'!$BD$6:$BD$200,"&lt;&gt;*Negative*"))</f>
        <v>0</v>
      </c>
      <c r="AR75" s="15">
        <f>SUM(COUNTIFS('Data entry'!$R$6:$R$200,'Summary Data'!$A75,'Data entry'!$B$6:$B$200,{"Confirmed";"Probable"},'Data entry'!$AQ$6:$AQ$200,'Data Validation'!$V$4, 'Data entry'!$AP$6:$AP$200,'Data Validation'!$U$4, 'Data entry'!$BD$6:$BD$200,"&lt;&gt;*Negative*"))</f>
        <v>0</v>
      </c>
      <c r="AS75" s="15">
        <f>SUM(COUNTIFS('Data entry'!$R$6:$R$200,'Summary Data'!$A75,'Data entry'!$B$6:$B$200,{"Confirmed";"Probable"},'Data entry'!$AQ$6:$AQ$200,'Data Validation'!$V$4, 'Data entry'!$AP$6:$AP$200,'Data Validation'!$U$5, 'Data entry'!$BD$6:$BD$200,"&lt;&gt;*Negative*"))</f>
        <v>0</v>
      </c>
      <c r="AT75" s="15">
        <f>SUM(COUNTIFS('Data entry'!$R$6:$R$200,'Summary Data'!$A75,'Data entry'!$B$6:$B$200,{"Confirmed";"Probable"},'Data entry'!$AQ$6:$AQ$200,'Data Validation'!$V$4, 'Data entry'!$AP$6:$AP$200,'Data Validation'!$U$6, 'Data entry'!$BD$6:$BD$200,"&lt;&gt;*Negative*"))</f>
        <v>0</v>
      </c>
      <c r="AU75" s="15">
        <f>SUM(COUNTIFS('Data entry'!$R$6:$R$200,'Summary Data'!$A75,'Data entry'!$B$6:$B$200,{"Confirmed";"Probable"},'Data entry'!$AQ$6:$AQ$200,'Data Validation'!$V$5, 'Data entry'!$AP$6:$AP$200,'Data Validation'!$U$2, 'Data entry'!$BD$6:$BD$200,"&lt;&gt;*Negative*"))</f>
        <v>0</v>
      </c>
      <c r="AV75" s="15">
        <f>SUM(COUNTIFS('Data entry'!$R$6:$R$200,'Summary Data'!$A75,'Data entry'!$B$6:$B$200,{"Confirmed";"Probable"},'Data entry'!$AQ$6:$AQ$200,'Data Validation'!$V$5, 'Data entry'!$AP$6:$AP$200,'Data Validation'!$U$3, 'Data entry'!$BD$6:$BD$200,"&lt;&gt;*Negative*"))</f>
        <v>0</v>
      </c>
      <c r="AW75" s="15">
        <f>SUM(COUNTIFS('Data entry'!$R$6:$R$200,'Summary Data'!$A75,'Data entry'!$B$6:$B$200,{"Confirmed";"Probable"},'Data entry'!$AQ$6:$AQ$200,'Data Validation'!$V$5, 'Data entry'!$AP$6:$AP$200,'Data Validation'!$U$4, 'Data entry'!$BD$6:$BD$200,"&lt;&gt;*Negative*"))</f>
        <v>0</v>
      </c>
      <c r="AX75" s="15">
        <f>SUM(COUNTIFS('Data entry'!$R$6:$R$200,'Summary Data'!$A75,'Data entry'!$B$6:$B$200,{"Confirmed";"Probable"},'Data entry'!$AQ$6:$AQ$200,'Data Validation'!$V$5, 'Data entry'!$AP$6:$AP$200,'Data Validation'!$U$5, 'Data entry'!$BD$6:$BD$200,"&lt;&gt;*Negative*"))</f>
        <v>0</v>
      </c>
      <c r="AY75" s="15">
        <f>SUM(COUNTIFS('Data entry'!$R$6:$R$200,'Summary Data'!$A75,'Data entry'!$B$6:$B$200,{"Confirmed";"Probable"},'Data entry'!$AQ$6:$AQ$200,'Data Validation'!$V$5, 'Data entry'!$AP$6:$AP$200,'Data Validation'!$U$6, 'Data entry'!$BD$6:$BD$200,"&lt;&gt;*Negative*"))</f>
        <v>0</v>
      </c>
      <c r="AZ75" s="15">
        <f>SUM(COUNTIFS('Data entry'!$R$6:$R$200,'Summary Data'!$A75,'Data entry'!$B$6:$B$200,{"Confirmed";"Probable"},'Data entry'!$AQ$6:$AQ$200,'Data Validation'!$V$6, 'Data entry'!$AP$6:$AP$200,'Data Validation'!$U$2, 'Data entry'!$BD$6:$BD$200,"&lt;&gt;*Negative*"))</f>
        <v>0</v>
      </c>
      <c r="BA75" s="15">
        <f>SUM(COUNTIFS('Data entry'!$R$6:$R$200,'Summary Data'!$A75,'Data entry'!$B$6:$B$200,{"Confirmed";"Probable"},'Data entry'!$AQ$6:$AQ$200,'Data Validation'!$V$6, 'Data entry'!$AP$6:$AP$200,'Data Validation'!$U$3, 'Data entry'!$BD$6:$BD$200,"&lt;&gt;*Negative*"))</f>
        <v>0</v>
      </c>
      <c r="BB75" s="15">
        <f>SUM(COUNTIFS('Data entry'!$R$6:$R$200,'Summary Data'!$A75,'Data entry'!$B$6:$B$200,{"Confirmed";"Probable"},'Data entry'!$AQ$6:$AQ$200,'Data Validation'!$V$6, 'Data entry'!$AP$6:$AP$200,'Data Validation'!$U$4, 'Data entry'!$BD$6:$BD$200,"&lt;&gt;*Negative*"))</f>
        <v>0</v>
      </c>
      <c r="BC75" s="15">
        <f>SUM(COUNTIFS('Data entry'!$R$6:$R$200,'Summary Data'!$A75,'Data entry'!$B$6:$B$200,{"Confirmed";"Probable"},'Data entry'!$AQ$6:$AQ$200,'Data Validation'!$V$6, 'Data entry'!$AP$6:$AP$200,'Data Validation'!$U$5, 'Data entry'!$BD$6:$BD$200,"&lt;&gt;*Negative*"))</f>
        <v>0</v>
      </c>
      <c r="BD75" s="15">
        <f>SUM(COUNTIFS('Data entry'!$R$6:$R$200,'Summary Data'!$A75,'Data entry'!$B$6:$B$200,{"Confirmed";"Probable"},'Data entry'!$AQ$6:$AQ$200,'Data Validation'!$V$6, 'Data entry'!$AP$6:$AP$200,'Data Validation'!$U$6, 'Data entry'!$BD$6:$BD$200,"&lt;&gt;*Negative*"))</f>
        <v>0</v>
      </c>
      <c r="BE75" s="15">
        <f>SUM(COUNTIFS('Data entry'!$R$6:$R$200,'Summary Data'!$A75,'Data entry'!$B$6:$B$200,{"Confirmed";"Probable"},'Data entry'!$AQ$6:$AQ$200,'Data Validation'!$V$7, 'Data entry'!$AP$6:$AP$200,'Data Validation'!$U$2, 'Data entry'!$BD$6:$BD$200,"&lt;&gt;*Negative*"))</f>
        <v>0</v>
      </c>
      <c r="BF75" s="15">
        <f>SUM(COUNTIFS('Data entry'!$R$6:$R$200,'Summary Data'!$A75,'Data entry'!$B$6:$B$200,{"Confirmed";"Probable"},'Data entry'!$AQ$6:$AQ$200,'Data Validation'!$V$7, 'Data entry'!$AP$6:$AP$200,'Data Validation'!$U$3, 'Data entry'!$BD$6:$BD$200,"&lt;&gt;*Negative*"))</f>
        <v>0</v>
      </c>
      <c r="BG75" s="15">
        <f>SUM(COUNTIFS('Data entry'!$R$6:$R$200,'Summary Data'!$A75,'Data entry'!$B$6:$B$200,{"Confirmed";"Probable"},'Data entry'!$AQ$6:$AQ$200,'Data Validation'!$V$7, 'Data entry'!$AP$6:$AP$200,'Data Validation'!$U$4, 'Data entry'!$BD$6:$BD$200,"&lt;&gt;*Negative*"))</f>
        <v>0</v>
      </c>
      <c r="BH75" s="15">
        <f>SUM(COUNTIFS('Data entry'!$R$6:$R$200,'Summary Data'!$A75,'Data entry'!$B$6:$B$200,{"Confirmed";"Probable"},'Data entry'!$AQ$6:$AQ$200,'Data Validation'!$V$7, 'Data entry'!$AP$6:$AP$200,'Data Validation'!$U$5, 'Data entry'!$BD$6:$BD$200,"&lt;&gt;*Negative*"))</f>
        <v>0</v>
      </c>
      <c r="BI75" s="15">
        <f>SUM(COUNTIFS('Data entry'!$R$6:$R$200,'Summary Data'!$A75,'Data entry'!$B$6:$B$200,{"Confirmed";"Probable"},'Data entry'!$AQ$6:$AQ$200,'Data Validation'!$V$7, 'Data entry'!$AP$6:$AP$200,'Data Validation'!$U$6, 'Data entry'!$BD$6:$BD$200,"&lt;&gt;*Negative*"))</f>
        <v>0</v>
      </c>
      <c r="BJ75" s="15">
        <f>SUM(COUNTIFS('Data entry'!$R$6:$R$200,'Summary Data'!$A75,'Data entry'!$B$6:$B$200,{"Confirmed";"Probable"},'Data entry'!$AQ$6:$AQ$200,'Data Validation'!$V$8, 'Data entry'!$AP$6:$AP$200,'Data Validation'!$U$2, 'Data entry'!$BD$6:$BD$200,"&lt;&gt;*Negative*"))</f>
        <v>0</v>
      </c>
      <c r="BK75" s="15">
        <f>SUM(COUNTIFS('Data entry'!$R$6:$R$200,'Summary Data'!$A75,'Data entry'!$B$6:$B$200,{"Confirmed";"Probable"},'Data entry'!$AQ$6:$AQ$200,'Data Validation'!$V$8, 'Data entry'!$AP$6:$AP$200,'Data Validation'!$U$3, 'Data entry'!$BD$6:$BD$200,"&lt;&gt;*Negative*"))</f>
        <v>0</v>
      </c>
      <c r="BL75" s="15">
        <f>SUM(COUNTIFS('Data entry'!$R$6:$R$200,'Summary Data'!$A75,'Data entry'!$B$6:$B$200,{"Confirmed";"Probable"},'Data entry'!$AQ$6:$AQ$200,'Data Validation'!$V$8, 'Data entry'!$AP$6:$AP$200,'Data Validation'!$U$4, 'Data entry'!$BD$6:$BD$200,"&lt;&gt;*Negative*"))</f>
        <v>0</v>
      </c>
      <c r="BM75" s="15">
        <f>SUM(COUNTIFS('Data entry'!$R$6:$R$200,'Summary Data'!$A75,'Data entry'!$B$6:$B$200,{"Confirmed";"Probable"},'Data entry'!$AQ$6:$AQ$200,'Data Validation'!$V$8, 'Data entry'!$AP$6:$AP$200,'Data Validation'!$U$5, 'Data entry'!$BD$6:$BD$200,"&lt;&gt;*Negative*"))</f>
        <v>0</v>
      </c>
      <c r="BN75" s="15">
        <f>SUM(COUNTIFS('Data entry'!$R$6:$R$200,'Summary Data'!$A75,'Data entry'!$B$6:$B$200,{"Confirmed";"Probable"},'Data entry'!$AQ$6:$AQ$200,'Data Validation'!$V$8, 'Data entry'!$AP$6:$AP$200,'Data Validation'!$U$6, 'Data entry'!$BD$6:$BD$200,"&lt;&gt;*Negative*"))</f>
        <v>0</v>
      </c>
      <c r="BO75" s="15">
        <f>SUM(COUNTIFS('Data entry'!$R$6:$R$200,'Summary Data'!$A75,'Data entry'!$B$6:$B$200,{"Confirmed";"Probable"},'Data entry'!$AQ$6:$AQ$200,'Data Validation'!$V$9, 'Data entry'!$AP$6:$AP$200,'Data Validation'!$U$2, 'Data entry'!$BD$6:$BD$200,"&lt;&gt;*Negative*"))</f>
        <v>0</v>
      </c>
      <c r="BP75" s="15">
        <f>SUM(COUNTIFS('Data entry'!$R$6:$R$200,'Summary Data'!$A75,'Data entry'!$B$6:$B$200,{"Confirmed";"Probable"},'Data entry'!$AQ$6:$AQ$200,'Data Validation'!$V$9, 'Data entry'!$AP$6:$AP$200,'Data Validation'!$U$3, 'Data entry'!$BD$6:$BD$200,"&lt;&gt;*Negative*"))</f>
        <v>0</v>
      </c>
      <c r="BQ75" s="15">
        <f>SUM(COUNTIFS('Data entry'!$R$6:$R$200,'Summary Data'!$A75,'Data entry'!$B$6:$B$200,{"Confirmed";"Probable"},'Data entry'!$AQ$6:$AQ$200,'Data Validation'!$V$9, 'Data entry'!$AP$6:$AP$200,'Data Validation'!$U$4, 'Data entry'!$BD$6:$BD$200,"&lt;&gt;*Negative*"))</f>
        <v>0</v>
      </c>
      <c r="BR75" s="15">
        <f>SUM(COUNTIFS('Data entry'!$R$6:$R$200,'Summary Data'!$A75,'Data entry'!$B$6:$B$200,{"Confirmed";"Probable"},'Data entry'!$AQ$6:$AQ$200,'Data Validation'!$V$9, 'Data entry'!$AP$6:$AP$200,'Data Validation'!$U$5, 'Data entry'!$BD$6:$BD$200,"&lt;&gt;*Negative*"))</f>
        <v>0</v>
      </c>
      <c r="BS75" s="15">
        <f>SUM(COUNTIFS('Data entry'!$R$6:$R$200,'Summary Data'!$A75,'Data entry'!$B$6:$B$200,{"Confirmed";"Probable"},'Data entry'!$AQ$6:$AQ$200,'Data Validation'!$V$9, 'Data entry'!$AP$6:$AP$200,'Data Validation'!$U$6, 'Data entry'!$BD$6:$BD$200,"&lt;&gt;*Negative*"))</f>
        <v>0</v>
      </c>
      <c r="BT75" s="15">
        <f>SUM(COUNTIFS('Data entry'!$R$6:$R$200,'Summary Data'!$A75,'Data entry'!$B$6:$B$200,{"Confirmed";"Probable"},'Data entry'!$AQ$6:$AQ$200,'Data Validation'!$V$10, 'Data entry'!$AP$6:$AP$200,'Data Validation'!$U$2, 'Data entry'!$BD$6:$BD$200,"&lt;&gt;*Negative*"))</f>
        <v>0</v>
      </c>
      <c r="BU75" s="15">
        <f>SUM(COUNTIFS('Data entry'!$R$6:$R$200,'Summary Data'!$A75,'Data entry'!$B$6:$B$200,{"Confirmed";"Probable"},'Data entry'!$AQ$6:$AQ$200,'Data Validation'!$V$10, 'Data entry'!$AP$6:$AP$200,'Data Validation'!$U$3, 'Data entry'!$BD$6:$BD$200,"&lt;&gt;*Negative*"))</f>
        <v>0</v>
      </c>
      <c r="BV75" s="15">
        <f>SUM(COUNTIFS('Data entry'!$R$6:$R$200,'Summary Data'!$A75,'Data entry'!$B$6:$B$200,{"Confirmed";"Probable"},'Data entry'!$AQ$6:$AQ$200,'Data Validation'!$V$10, 'Data entry'!$AP$6:$AP$200,'Data Validation'!$U$4, 'Data entry'!$BD$6:$BD$200,"&lt;&gt;*Negative*"))</f>
        <v>0</v>
      </c>
      <c r="BW75" s="15">
        <f>SUM(COUNTIFS('Data entry'!$R$6:$R$200,'Summary Data'!$A75,'Data entry'!$B$6:$B$200,{"Confirmed";"Probable"},'Data entry'!$AQ$6:$AQ$200,'Data Validation'!$V$10, 'Data entry'!$AP$6:$AP$200,'Data Validation'!$U$5, 'Data entry'!$BD$6:$BD$200,"&lt;&gt;*Negative*"))</f>
        <v>0</v>
      </c>
      <c r="BX75" s="15">
        <f>SUM(COUNTIFS('Data entry'!$R$6:$R$200,'Summary Data'!$A75,'Data entry'!$B$6:$B$200,{"Confirmed";"Probable"},'Data entry'!$AQ$6:$AQ$200,'Data Validation'!$V$10, 'Data entry'!$AP$6:$AP$200,'Data Validation'!$U$6, 'Data entry'!$BD$6:$BD$200,"&lt;&gt;*Negative*"))</f>
        <v>0</v>
      </c>
      <c r="BY75" s="15">
        <f>SUM(COUNTIFS('Data entry'!$R$6:$R$200,'Summary Data'!$A75,'Data entry'!$B$6:$B$200,{"Confirmed";"Probable"},'Data entry'!$AQ$6:$AQ$200,'Data Validation'!$V$11, 'Data entry'!$AP$6:$AP$200,'Data Validation'!$U$2, 'Data entry'!$BD$6:$BD$200,"&lt;&gt;*Negative*"))</f>
        <v>0</v>
      </c>
      <c r="BZ75" s="15">
        <f>SUM(COUNTIFS('Data entry'!$R$6:$R$200,'Summary Data'!$A75,'Data entry'!$B$6:$B$200,{"Confirmed";"Probable"},'Data entry'!$AQ$6:$AQ$200,'Data Validation'!$V$11, 'Data entry'!$AP$6:$AP$200,'Data Validation'!$U$3, 'Data entry'!$BD$6:$BD$200,"&lt;&gt;*Negative*"))</f>
        <v>0</v>
      </c>
      <c r="CA75" s="15">
        <f>SUM(COUNTIFS('Data entry'!$R$6:$R$200,'Summary Data'!$A75,'Data entry'!$B$6:$B$200,{"Confirmed";"Probable"},'Data entry'!$AQ$6:$AQ$200,'Data Validation'!$V$11, 'Data entry'!$AP$6:$AP$200,'Data Validation'!$U$4, 'Data entry'!$BD$6:$BD$200,"&lt;&gt;*Negative*"))</f>
        <v>0</v>
      </c>
      <c r="CB75" s="15">
        <f>SUM(COUNTIFS('Data entry'!$R$6:$R$200,'Summary Data'!$A75,'Data entry'!$B$6:$B$200,{"Confirmed";"Probable"},'Data entry'!$AQ$6:$AQ$200,'Data Validation'!$V$11, 'Data entry'!$AP$6:$AP$200,'Data Validation'!$U$5, 'Data entry'!$BD$6:$BD$200,"&lt;&gt;*Negative*"))</f>
        <v>0</v>
      </c>
      <c r="CC75" s="15">
        <f>SUM(COUNTIFS('Data entry'!$R$6:$R$200,'Summary Data'!$A75,'Data entry'!$B$6:$B$200,{"Confirmed";"Probable"},'Data entry'!$AQ$6:$AQ$200,'Data Validation'!$V$11, 'Data entry'!$AP$6:$AP$200,'Data Validation'!$U$6, 'Data entry'!$BD$6:$BD$200,"&lt;&gt;*Negative*"))</f>
        <v>0</v>
      </c>
    </row>
    <row r="76" spans="1:81" x14ac:dyDescent="0.25">
      <c r="A76" s="12">
        <f t="shared" si="5"/>
        <v>64</v>
      </c>
      <c r="B76" s="13">
        <f t="shared" ref="B76:B139" si="6">SUM(C76:D76)</f>
        <v>0</v>
      </c>
      <c r="C76" s="13">
        <f>COUNTIFS('Data entry'!$R$6:$R$200,$A76,'Data entry'!$B$6:$B$200,"Confirmed",'Data entry'!$BD$6:$BD$200,"&lt;&gt;*Negative*")</f>
        <v>0</v>
      </c>
      <c r="D76" s="13">
        <f>COUNTIFS('Data entry'!$R$6:$R$200,$A76,'Data entry'!$B$6:$B$200,"Probable",'Data entry'!$BD$6:$BD$200,"&lt;&gt;*Negative*")</f>
        <v>0</v>
      </c>
      <c r="E76" s="13">
        <f>COUNTIFS('Data entry'!$R$6:$R$200,$A76,'Data entry'!$B$6:$B$200,"DNM")</f>
        <v>0</v>
      </c>
      <c r="F76" s="13">
        <f>SUM(COUNTIFS('Data entry'!$R$6:$R$200,'Summary Data'!$A76,'Data entry'!$B$6:$B$200,{"Confirmed";"Probable"},'Data entry'!$AO$6:$AO$200,$F$10, 'Data entry'!$BD$6:$BD$200,"&lt;&gt;*Negative*"))</f>
        <v>0</v>
      </c>
      <c r="G76" s="13">
        <f>SUM(COUNTIFS('Data entry'!$R$6:$R$200,'Summary Data'!$A76,'Data entry'!$B$6:$B$200,{"Confirmed";"Probable"},'Data entry'!$AO$6:$AO$200,$G$10, 'Data entry'!$BD$6:$BD$200,"&lt;&gt;*Negative*"))</f>
        <v>0</v>
      </c>
      <c r="H76" s="13">
        <f>SUM(COUNTIFS('Data entry'!$R$6:$R$200,'Summary Data'!$A76,'Data entry'!$B$6:$B$200,{"Confirmed";"Probable"},'Data entry'!$AO$6:$AO$200,$H$10, 'Data entry'!$BD$6:$BD$200,"&lt;&gt;*Negative*"))</f>
        <v>0</v>
      </c>
      <c r="I76" s="13">
        <f>SUM(COUNTIFS('Data entry'!$R$6:$R$200,'Summary Data'!$A76,'Data entry'!$B$6:$B$200,{"Confirmed";"Probable"},'Data entry'!$AO$6:$AO$200,$I$10, 'Data entry'!$BD$6:$BD$200,"&lt;&gt;*Negative*"))</f>
        <v>0</v>
      </c>
      <c r="J76" s="13">
        <f>SUM(COUNTIFS('Data entry'!$R$6:$R$200,'Summary Data'!$A76,'Data entry'!$B$6:$B$200,{"Confirmed";"Probable"},'Data entry'!$AO$6:$AO$200,$J$10, 'Data entry'!$BD$6:$BD$200,"&lt;&gt;*Negative*"))</f>
        <v>0</v>
      </c>
      <c r="K76" s="13">
        <f>SUM(COUNTIFS('Data entry'!$R$6:$R$200,'Summary Data'!$A76,'Data entry'!$B$6:$B$200,{"Confirmed";"Probable"},'Data entry'!$AO$6:$AO$200,$K$10, 'Data entry'!$BD$6:$BD$200,"&lt;&gt;*Negative*"))</f>
        <v>0</v>
      </c>
      <c r="L76" s="13">
        <f>SUM(COUNTIFS('Data entry'!$R$6:$R$200,'Summary Data'!$A76,'Data entry'!$B$6:$B$200,{"Confirmed";"Probable"},'Data entry'!$AO$6:$AO$200,$L$10, 'Data entry'!$BD$6:$BD$200,"&lt;&gt;*Negative*"))</f>
        <v>0</v>
      </c>
      <c r="M76" s="13">
        <f>SUM(COUNTIFS('Data entry'!$R$6:$R$200,'Summary Data'!$A76,'Data entry'!$B$6:$B$200,{"Confirmed";"Probable"},'Data entry'!$AO$6:$AO$200,$M$10, 'Data entry'!$BD$6:$BD$200,"&lt;&gt;*Negative*"))</f>
        <v>0</v>
      </c>
      <c r="N76" s="13">
        <f>SUM(COUNTIFS('Data entry'!$R$6:$R$200,'Summary Data'!$A76,'Data entry'!$B$6:$B$200,{"Confirmed";"Probable"},'Data entry'!$AO$6:$AO$200,$N$10, 'Data entry'!$BD$6:$BD$200,"&lt;&gt;*Negative*"))</f>
        <v>0</v>
      </c>
      <c r="O76" s="15">
        <f t="shared" ref="O76:O139" si="7">J76+M76</f>
        <v>0</v>
      </c>
      <c r="P76" s="15">
        <f t="shared" ref="P76:P139" si="8">F76+G76+H76+I76+K76+L76+N76</f>
        <v>0</v>
      </c>
      <c r="Q76" s="15">
        <f>SUM(COUNTIFS('Data entry'!$R$6:$R$200,'Summary Data'!$A76,'Data entry'!$B$6:$B$200,{"Confirmed";"Probable"},'Data entry'!$AP$6:$AP$200,'Data Validation'!$U$2, 'Data entry'!$BD$6:$BD$200,"&lt;&gt;*Negative*"))</f>
        <v>0</v>
      </c>
      <c r="R76" s="15">
        <f>SUM(COUNTIFS('Data entry'!$R$6:$R$200,'Summary Data'!$A76,'Data entry'!$B$6:$B$200,{"Confirmed";"Probable"},'Data entry'!$AP$6:$AP$200,'Data Validation'!$U$3, 'Data entry'!$BD$6:$BD$200,"&lt;&gt;*Negative*"))</f>
        <v>0</v>
      </c>
      <c r="S76" s="15">
        <f>SUM(COUNTIFS('Data entry'!$R$6:$R$200,'Summary Data'!$A76,'Data entry'!$B$6:$B$200,{"Confirmed";"Probable"},'Data entry'!$AP$6:$AP$200,'Data Validation'!$U$4, 'Data entry'!$BD$6:$BD$200,"&lt;&gt;*Negative*"))</f>
        <v>0</v>
      </c>
      <c r="T76" s="15">
        <f>SUM(COUNTIFS('Data entry'!$R$6:$R$200,'Summary Data'!$A76,'Data entry'!$B$6:$B$200,{"Confirmed";"Probable"},'Data entry'!$AP$6:$AP$200,'Data Validation'!$U$5, 'Data entry'!$BD$6:$BD$200,"&lt;&gt;*Negative*"))</f>
        <v>0</v>
      </c>
      <c r="U76" s="15">
        <f>SUM(COUNTIFS('Data entry'!$R$6:$R$200,'Summary Data'!$A76,'Data entry'!$B$6:$B$200,{"Confirmed";"Probable"},'Data entry'!$AP$6:$AP$200,'Data Validation'!$U$6, 'Data entry'!$BD$6:$BD$200,"&lt;&gt;*Negative*"))</f>
        <v>0</v>
      </c>
      <c r="V76" s="15">
        <f>SUM(COUNTIFS('Data entry'!$R$6:$R$200,'Summary Data'!$A76,'Data entry'!$B$6:$B$200,{"Confirmed";"Probable"},'Data entry'!$AQ$6:$AQ$200,'Data Validation'!$V$2, 'Data entry'!$BD$6:$BD$200,"&lt;&gt;*Negative*"))</f>
        <v>0</v>
      </c>
      <c r="W76" s="15">
        <f>SUM(COUNTIFS('Data entry'!$R$6:$R$200,'Summary Data'!$A76,'Data entry'!$B$6:$B$200,{"Confirmed";"Probable"},'Data entry'!$AQ$6:$AQ$200,'Data Validation'!$V$3, 'Data entry'!$BD$6:$BD$200,"&lt;&gt;*Negative*"))</f>
        <v>0</v>
      </c>
      <c r="X76" s="15">
        <f>SUM(COUNTIFS('Data entry'!$R$6:$R$200,'Summary Data'!$A76,'Data entry'!$B$6:$B$200,{"Confirmed";"Probable"},'Data entry'!$AQ$6:$AQ$200,'Data Validation'!$V$4, 'Data entry'!$BD$6:$BD$200,"&lt;&gt;*Negative*"))</f>
        <v>0</v>
      </c>
      <c r="Y76" s="15">
        <f>SUM(COUNTIFS('Data entry'!$R$6:$R$200,'Summary Data'!$A76,'Data entry'!$B$6:$B$200,{"Confirmed";"Probable"},'Data entry'!$AQ$6:$AQ$200,'Data Validation'!$V$5, 'Data entry'!$BD$6:$BD$200,"&lt;&gt;*Negative*"))</f>
        <v>0</v>
      </c>
      <c r="Z76" s="15">
        <f>SUM(COUNTIFS('Data entry'!$R$6:$R$200,'Summary Data'!$A76,'Data entry'!$B$6:$B$200,{"Confirmed";"Probable"},'Data entry'!$AQ$6:$AQ$200,'Data Validation'!$V$6, 'Data entry'!$BD$6:$BD$200,"&lt;&gt;*Negative*"))</f>
        <v>0</v>
      </c>
      <c r="AA76" s="15">
        <f>SUM(COUNTIFS('Data entry'!$R$6:$R$200,'Summary Data'!$A76,'Data entry'!$B$6:$B$200,{"Confirmed";"Probable"},'Data entry'!$AQ$6:$AQ$200,'Data Validation'!$V$7, 'Data entry'!$BD$6:$BD$200,"&lt;&gt;*Negative*"))</f>
        <v>0</v>
      </c>
      <c r="AB76" s="15">
        <f>SUM(COUNTIFS('Data entry'!$R$6:$R$200,'Summary Data'!$A76,'Data entry'!$B$6:$B$200,{"Confirmed";"Probable"},'Data entry'!$AQ$6:$AQ$200,'Data Validation'!$V$8, 'Data entry'!$BD$6:$BD$200,"&lt;&gt;*Negative*"))</f>
        <v>0</v>
      </c>
      <c r="AC76" s="15">
        <f>SUM(COUNTIFS('Data entry'!$R$6:$R$200,'Summary Data'!$A76,'Data entry'!$B$6:$B$200,{"Confirmed";"Probable"},'Data entry'!$AQ$6:$AQ$200,'Data Validation'!$V$9, 'Data entry'!$BD$6:$BD$200,"&lt;&gt;*Negative*"))</f>
        <v>0</v>
      </c>
      <c r="AD76" s="15">
        <f>SUM(COUNTIFS('Data entry'!$R$6:$R$200,'Summary Data'!$A76,'Data entry'!$B$6:$B$200,{"Confirmed";"Probable"},'Data entry'!$AQ$6:$AQ$200,'Data Validation'!$V$10, 'Data entry'!$BD$6:$BD$200,"&lt;&gt;*Negative*"))</f>
        <v>0</v>
      </c>
      <c r="AE76" s="15">
        <f>SUM(COUNTIFS('Data entry'!$R$6:$R$200,'Summary Data'!$A76,'Data entry'!$B$6:$B$200,{"Confirmed";"Probable"},'Data entry'!$AQ$6:$AQ$200,'Data Validation'!$V$11, 'Data entry'!$BD$6:$BD$200,"&lt;&gt;*Negative*"))</f>
        <v>0</v>
      </c>
      <c r="AF76" s="15">
        <f>SUM(COUNTIFS('Data entry'!$R$6:$R$200,'Summary Data'!$A76,'Data entry'!$B$6:$B$200,{"Confirmed";"Probable"},'Data entry'!$AQ$6:$AQ$200,'Data Validation'!$V$2, 'Data entry'!$AP$6:$AP$200,'Data Validation'!$U$2, 'Data entry'!$BD$6:$BD$200,"&lt;&gt;*Negative*"))</f>
        <v>0</v>
      </c>
      <c r="AG76" s="15">
        <f>SUM(COUNTIFS('Data entry'!$R$6:$R$200,'Summary Data'!$A76,'Data entry'!$B$6:$B$200,{"Confirmed";"Probable"},'Data entry'!$AQ$6:$AQ$200,'Data Validation'!$V$2, 'Data entry'!$AP$6:$AP$200,'Data Validation'!$U$3, 'Data entry'!$BD$6:$BD$200,"&lt;&gt;*Negative*"))</f>
        <v>0</v>
      </c>
      <c r="AH76" s="15">
        <f>SUM(COUNTIFS('Data entry'!$R$6:$R$200,'Summary Data'!$A76,'Data entry'!$B$6:$B$200,{"Confirmed";"Probable"},'Data entry'!$AQ$6:$AQ$200,'Data Validation'!$V$2, 'Data entry'!$AP$6:$AP$200,'Data Validation'!$U$4, 'Data entry'!$BD$6:$BD$200,"&lt;&gt;*Negative*"))</f>
        <v>0</v>
      </c>
      <c r="AI76" s="15">
        <f>SUM(COUNTIFS('Data entry'!$R$6:$R$200,'Summary Data'!$A76,'Data entry'!$B$6:$B$200,{"Confirmed";"Probable"},'Data entry'!$AQ$6:$AQ$200,'Data Validation'!$V$2, 'Data entry'!$AP$6:$AP$200,'Data Validation'!$U$5, 'Data entry'!$BD$6:$BD$200,"&lt;&gt;*Negative*"))</f>
        <v>0</v>
      </c>
      <c r="AJ76" s="15">
        <f>SUM(COUNTIFS('Data entry'!$R$6:$R$200,'Summary Data'!$A76,'Data entry'!$B$6:$B$200,{"Confirmed";"Probable"},'Data entry'!$AQ$6:$AQ$200,'Data Validation'!$V$2, 'Data entry'!$AP$6:$AP$200,'Data Validation'!$U$6, 'Data entry'!$BD$6:$BD$200,"&lt;&gt;*Negative*"))</f>
        <v>0</v>
      </c>
      <c r="AK76" s="15">
        <f>SUM(COUNTIFS('Data entry'!$R$6:$R$200,'Summary Data'!$A76,'Data entry'!$B$6:$B$200,{"Confirmed";"Probable"},'Data entry'!$AQ$6:$AQ$200,'Data Validation'!$V$3, 'Data entry'!$AP$6:$AP$200,'Data Validation'!$U$2, 'Data entry'!$BD$6:$BD$200,"&lt;&gt;*Negative*"))</f>
        <v>0</v>
      </c>
      <c r="AL76" s="15">
        <f>SUM(COUNTIFS('Data entry'!$R$6:$R$200,'Summary Data'!$A76,'Data entry'!$B$6:$B$200,{"Confirmed";"Probable"},'Data entry'!$AQ$6:$AQ$200,'Data Validation'!$V$3, 'Data entry'!$AP$6:$AP$200,'Data Validation'!$U$3, 'Data entry'!$BD$6:$BD$200,"&lt;&gt;*Negative*"))</f>
        <v>0</v>
      </c>
      <c r="AM76" s="15">
        <f>SUM(COUNTIFS('Data entry'!$R$6:$R$200,'Summary Data'!$A76,'Data entry'!$B$6:$B$200,{"Confirmed";"Probable"},'Data entry'!$AQ$6:$AQ$200,'Data Validation'!$V$3, 'Data entry'!$AP$6:$AP$200,'Data Validation'!$U$4, 'Data entry'!$BD$6:$BD$200,"&lt;&gt;*Negative*"))</f>
        <v>0</v>
      </c>
      <c r="AN76" s="15">
        <f>SUM(COUNTIFS('Data entry'!$R$6:$R$200,'Summary Data'!$A76,'Data entry'!$B$6:$B$200,{"Confirmed";"Probable"},'Data entry'!$AQ$6:$AQ$200,'Data Validation'!$V$3, 'Data entry'!$AP$6:$AP$200,'Data Validation'!$U$5, 'Data entry'!$BD$6:$BD$200,"&lt;&gt;*Negative*"))</f>
        <v>0</v>
      </c>
      <c r="AO76" s="15">
        <f>SUM(COUNTIFS('Data entry'!$R$6:$R$200,'Summary Data'!$A76,'Data entry'!$B$6:$B$200,{"Confirmed";"Probable"},'Data entry'!$AQ$6:$AQ$200,'Data Validation'!$V$3, 'Data entry'!$AP$6:$AP$200,'Data Validation'!$U$6, 'Data entry'!$BD$6:$BD$200,"&lt;&gt;*Negative*"))</f>
        <v>0</v>
      </c>
      <c r="AP76" s="15">
        <f>SUM(COUNTIFS('Data entry'!$R$6:$R$200,'Summary Data'!$A76,'Data entry'!$B$6:$B$200,{"Confirmed";"Probable"},'Data entry'!$AQ$6:$AQ$200,'Data Validation'!$V$4, 'Data entry'!$AP$6:$AP$200,'Data Validation'!$U$2, 'Data entry'!$BD$6:$BD$200,"&lt;&gt;*Negative*"))</f>
        <v>0</v>
      </c>
      <c r="AQ76" s="15">
        <f>SUM(COUNTIFS('Data entry'!$R$6:$R$200,'Summary Data'!$A76,'Data entry'!$B$6:$B$200,{"Confirmed";"Probable"},'Data entry'!$AQ$6:$AQ$200,'Data Validation'!$V$4, 'Data entry'!$AP$6:$AP$200,'Data Validation'!$U$3, 'Data entry'!$BD$6:$BD$200,"&lt;&gt;*Negative*"))</f>
        <v>0</v>
      </c>
      <c r="AR76" s="15">
        <f>SUM(COUNTIFS('Data entry'!$R$6:$R$200,'Summary Data'!$A76,'Data entry'!$B$6:$B$200,{"Confirmed";"Probable"},'Data entry'!$AQ$6:$AQ$200,'Data Validation'!$V$4, 'Data entry'!$AP$6:$AP$200,'Data Validation'!$U$4, 'Data entry'!$BD$6:$BD$200,"&lt;&gt;*Negative*"))</f>
        <v>0</v>
      </c>
      <c r="AS76" s="15">
        <f>SUM(COUNTIFS('Data entry'!$R$6:$R$200,'Summary Data'!$A76,'Data entry'!$B$6:$B$200,{"Confirmed";"Probable"},'Data entry'!$AQ$6:$AQ$200,'Data Validation'!$V$4, 'Data entry'!$AP$6:$AP$200,'Data Validation'!$U$5, 'Data entry'!$BD$6:$BD$200,"&lt;&gt;*Negative*"))</f>
        <v>0</v>
      </c>
      <c r="AT76" s="15">
        <f>SUM(COUNTIFS('Data entry'!$R$6:$R$200,'Summary Data'!$A76,'Data entry'!$B$6:$B$200,{"Confirmed";"Probable"},'Data entry'!$AQ$6:$AQ$200,'Data Validation'!$V$4, 'Data entry'!$AP$6:$AP$200,'Data Validation'!$U$6, 'Data entry'!$BD$6:$BD$200,"&lt;&gt;*Negative*"))</f>
        <v>0</v>
      </c>
      <c r="AU76" s="15">
        <f>SUM(COUNTIFS('Data entry'!$R$6:$R$200,'Summary Data'!$A76,'Data entry'!$B$6:$B$200,{"Confirmed";"Probable"},'Data entry'!$AQ$6:$AQ$200,'Data Validation'!$V$5, 'Data entry'!$AP$6:$AP$200,'Data Validation'!$U$2, 'Data entry'!$BD$6:$BD$200,"&lt;&gt;*Negative*"))</f>
        <v>0</v>
      </c>
      <c r="AV76" s="15">
        <f>SUM(COUNTIFS('Data entry'!$R$6:$R$200,'Summary Data'!$A76,'Data entry'!$B$6:$B$200,{"Confirmed";"Probable"},'Data entry'!$AQ$6:$AQ$200,'Data Validation'!$V$5, 'Data entry'!$AP$6:$AP$200,'Data Validation'!$U$3, 'Data entry'!$BD$6:$BD$200,"&lt;&gt;*Negative*"))</f>
        <v>0</v>
      </c>
      <c r="AW76" s="15">
        <f>SUM(COUNTIFS('Data entry'!$R$6:$R$200,'Summary Data'!$A76,'Data entry'!$B$6:$B$200,{"Confirmed";"Probable"},'Data entry'!$AQ$6:$AQ$200,'Data Validation'!$V$5, 'Data entry'!$AP$6:$AP$200,'Data Validation'!$U$4, 'Data entry'!$BD$6:$BD$200,"&lt;&gt;*Negative*"))</f>
        <v>0</v>
      </c>
      <c r="AX76" s="15">
        <f>SUM(COUNTIFS('Data entry'!$R$6:$R$200,'Summary Data'!$A76,'Data entry'!$B$6:$B$200,{"Confirmed";"Probable"},'Data entry'!$AQ$6:$AQ$200,'Data Validation'!$V$5, 'Data entry'!$AP$6:$AP$200,'Data Validation'!$U$5, 'Data entry'!$BD$6:$BD$200,"&lt;&gt;*Negative*"))</f>
        <v>0</v>
      </c>
      <c r="AY76" s="15">
        <f>SUM(COUNTIFS('Data entry'!$R$6:$R$200,'Summary Data'!$A76,'Data entry'!$B$6:$B$200,{"Confirmed";"Probable"},'Data entry'!$AQ$6:$AQ$200,'Data Validation'!$V$5, 'Data entry'!$AP$6:$AP$200,'Data Validation'!$U$6, 'Data entry'!$BD$6:$BD$200,"&lt;&gt;*Negative*"))</f>
        <v>0</v>
      </c>
      <c r="AZ76" s="15">
        <f>SUM(COUNTIFS('Data entry'!$R$6:$R$200,'Summary Data'!$A76,'Data entry'!$B$6:$B$200,{"Confirmed";"Probable"},'Data entry'!$AQ$6:$AQ$200,'Data Validation'!$V$6, 'Data entry'!$AP$6:$AP$200,'Data Validation'!$U$2, 'Data entry'!$BD$6:$BD$200,"&lt;&gt;*Negative*"))</f>
        <v>0</v>
      </c>
      <c r="BA76" s="15">
        <f>SUM(COUNTIFS('Data entry'!$R$6:$R$200,'Summary Data'!$A76,'Data entry'!$B$6:$B$200,{"Confirmed";"Probable"},'Data entry'!$AQ$6:$AQ$200,'Data Validation'!$V$6, 'Data entry'!$AP$6:$AP$200,'Data Validation'!$U$3, 'Data entry'!$BD$6:$BD$200,"&lt;&gt;*Negative*"))</f>
        <v>0</v>
      </c>
      <c r="BB76" s="15">
        <f>SUM(COUNTIFS('Data entry'!$R$6:$R$200,'Summary Data'!$A76,'Data entry'!$B$6:$B$200,{"Confirmed";"Probable"},'Data entry'!$AQ$6:$AQ$200,'Data Validation'!$V$6, 'Data entry'!$AP$6:$AP$200,'Data Validation'!$U$4, 'Data entry'!$BD$6:$BD$200,"&lt;&gt;*Negative*"))</f>
        <v>0</v>
      </c>
      <c r="BC76" s="15">
        <f>SUM(COUNTIFS('Data entry'!$R$6:$R$200,'Summary Data'!$A76,'Data entry'!$B$6:$B$200,{"Confirmed";"Probable"},'Data entry'!$AQ$6:$AQ$200,'Data Validation'!$V$6, 'Data entry'!$AP$6:$AP$200,'Data Validation'!$U$5, 'Data entry'!$BD$6:$BD$200,"&lt;&gt;*Negative*"))</f>
        <v>0</v>
      </c>
      <c r="BD76" s="15">
        <f>SUM(COUNTIFS('Data entry'!$R$6:$R$200,'Summary Data'!$A76,'Data entry'!$B$6:$B$200,{"Confirmed";"Probable"},'Data entry'!$AQ$6:$AQ$200,'Data Validation'!$V$6, 'Data entry'!$AP$6:$AP$200,'Data Validation'!$U$6, 'Data entry'!$BD$6:$BD$200,"&lt;&gt;*Negative*"))</f>
        <v>0</v>
      </c>
      <c r="BE76" s="15">
        <f>SUM(COUNTIFS('Data entry'!$R$6:$R$200,'Summary Data'!$A76,'Data entry'!$B$6:$B$200,{"Confirmed";"Probable"},'Data entry'!$AQ$6:$AQ$200,'Data Validation'!$V$7, 'Data entry'!$AP$6:$AP$200,'Data Validation'!$U$2, 'Data entry'!$BD$6:$BD$200,"&lt;&gt;*Negative*"))</f>
        <v>0</v>
      </c>
      <c r="BF76" s="15">
        <f>SUM(COUNTIFS('Data entry'!$R$6:$R$200,'Summary Data'!$A76,'Data entry'!$B$6:$B$200,{"Confirmed";"Probable"},'Data entry'!$AQ$6:$AQ$200,'Data Validation'!$V$7, 'Data entry'!$AP$6:$AP$200,'Data Validation'!$U$3, 'Data entry'!$BD$6:$BD$200,"&lt;&gt;*Negative*"))</f>
        <v>0</v>
      </c>
      <c r="BG76" s="15">
        <f>SUM(COUNTIFS('Data entry'!$R$6:$R$200,'Summary Data'!$A76,'Data entry'!$B$6:$B$200,{"Confirmed";"Probable"},'Data entry'!$AQ$6:$AQ$200,'Data Validation'!$V$7, 'Data entry'!$AP$6:$AP$200,'Data Validation'!$U$4, 'Data entry'!$BD$6:$BD$200,"&lt;&gt;*Negative*"))</f>
        <v>0</v>
      </c>
      <c r="BH76" s="15">
        <f>SUM(COUNTIFS('Data entry'!$R$6:$R$200,'Summary Data'!$A76,'Data entry'!$B$6:$B$200,{"Confirmed";"Probable"},'Data entry'!$AQ$6:$AQ$200,'Data Validation'!$V$7, 'Data entry'!$AP$6:$AP$200,'Data Validation'!$U$5, 'Data entry'!$BD$6:$BD$200,"&lt;&gt;*Negative*"))</f>
        <v>0</v>
      </c>
      <c r="BI76" s="15">
        <f>SUM(COUNTIFS('Data entry'!$R$6:$R$200,'Summary Data'!$A76,'Data entry'!$B$6:$B$200,{"Confirmed";"Probable"},'Data entry'!$AQ$6:$AQ$200,'Data Validation'!$V$7, 'Data entry'!$AP$6:$AP$200,'Data Validation'!$U$6, 'Data entry'!$BD$6:$BD$200,"&lt;&gt;*Negative*"))</f>
        <v>0</v>
      </c>
      <c r="BJ76" s="15">
        <f>SUM(COUNTIFS('Data entry'!$R$6:$R$200,'Summary Data'!$A76,'Data entry'!$B$6:$B$200,{"Confirmed";"Probable"},'Data entry'!$AQ$6:$AQ$200,'Data Validation'!$V$8, 'Data entry'!$AP$6:$AP$200,'Data Validation'!$U$2, 'Data entry'!$BD$6:$BD$200,"&lt;&gt;*Negative*"))</f>
        <v>0</v>
      </c>
      <c r="BK76" s="15">
        <f>SUM(COUNTIFS('Data entry'!$R$6:$R$200,'Summary Data'!$A76,'Data entry'!$B$6:$B$200,{"Confirmed";"Probable"},'Data entry'!$AQ$6:$AQ$200,'Data Validation'!$V$8, 'Data entry'!$AP$6:$AP$200,'Data Validation'!$U$3, 'Data entry'!$BD$6:$BD$200,"&lt;&gt;*Negative*"))</f>
        <v>0</v>
      </c>
      <c r="BL76" s="15">
        <f>SUM(COUNTIFS('Data entry'!$R$6:$R$200,'Summary Data'!$A76,'Data entry'!$B$6:$B$200,{"Confirmed";"Probable"},'Data entry'!$AQ$6:$AQ$200,'Data Validation'!$V$8, 'Data entry'!$AP$6:$AP$200,'Data Validation'!$U$4, 'Data entry'!$BD$6:$BD$200,"&lt;&gt;*Negative*"))</f>
        <v>0</v>
      </c>
      <c r="BM76" s="15">
        <f>SUM(COUNTIFS('Data entry'!$R$6:$R$200,'Summary Data'!$A76,'Data entry'!$B$6:$B$200,{"Confirmed";"Probable"},'Data entry'!$AQ$6:$AQ$200,'Data Validation'!$V$8, 'Data entry'!$AP$6:$AP$200,'Data Validation'!$U$5, 'Data entry'!$BD$6:$BD$200,"&lt;&gt;*Negative*"))</f>
        <v>0</v>
      </c>
      <c r="BN76" s="15">
        <f>SUM(COUNTIFS('Data entry'!$R$6:$R$200,'Summary Data'!$A76,'Data entry'!$B$6:$B$200,{"Confirmed";"Probable"},'Data entry'!$AQ$6:$AQ$200,'Data Validation'!$V$8, 'Data entry'!$AP$6:$AP$200,'Data Validation'!$U$6, 'Data entry'!$BD$6:$BD$200,"&lt;&gt;*Negative*"))</f>
        <v>0</v>
      </c>
      <c r="BO76" s="15">
        <f>SUM(COUNTIFS('Data entry'!$R$6:$R$200,'Summary Data'!$A76,'Data entry'!$B$6:$B$200,{"Confirmed";"Probable"},'Data entry'!$AQ$6:$AQ$200,'Data Validation'!$V$9, 'Data entry'!$AP$6:$AP$200,'Data Validation'!$U$2, 'Data entry'!$BD$6:$BD$200,"&lt;&gt;*Negative*"))</f>
        <v>0</v>
      </c>
      <c r="BP76" s="15">
        <f>SUM(COUNTIFS('Data entry'!$R$6:$R$200,'Summary Data'!$A76,'Data entry'!$B$6:$B$200,{"Confirmed";"Probable"},'Data entry'!$AQ$6:$AQ$200,'Data Validation'!$V$9, 'Data entry'!$AP$6:$AP$200,'Data Validation'!$U$3, 'Data entry'!$BD$6:$BD$200,"&lt;&gt;*Negative*"))</f>
        <v>0</v>
      </c>
      <c r="BQ76" s="15">
        <f>SUM(COUNTIFS('Data entry'!$R$6:$R$200,'Summary Data'!$A76,'Data entry'!$B$6:$B$200,{"Confirmed";"Probable"},'Data entry'!$AQ$6:$AQ$200,'Data Validation'!$V$9, 'Data entry'!$AP$6:$AP$200,'Data Validation'!$U$4, 'Data entry'!$BD$6:$BD$200,"&lt;&gt;*Negative*"))</f>
        <v>0</v>
      </c>
      <c r="BR76" s="15">
        <f>SUM(COUNTIFS('Data entry'!$R$6:$R$200,'Summary Data'!$A76,'Data entry'!$B$6:$B$200,{"Confirmed";"Probable"},'Data entry'!$AQ$6:$AQ$200,'Data Validation'!$V$9, 'Data entry'!$AP$6:$AP$200,'Data Validation'!$U$5, 'Data entry'!$BD$6:$BD$200,"&lt;&gt;*Negative*"))</f>
        <v>0</v>
      </c>
      <c r="BS76" s="15">
        <f>SUM(COUNTIFS('Data entry'!$R$6:$R$200,'Summary Data'!$A76,'Data entry'!$B$6:$B$200,{"Confirmed";"Probable"},'Data entry'!$AQ$6:$AQ$200,'Data Validation'!$V$9, 'Data entry'!$AP$6:$AP$200,'Data Validation'!$U$6, 'Data entry'!$BD$6:$BD$200,"&lt;&gt;*Negative*"))</f>
        <v>0</v>
      </c>
      <c r="BT76" s="15">
        <f>SUM(COUNTIFS('Data entry'!$R$6:$R$200,'Summary Data'!$A76,'Data entry'!$B$6:$B$200,{"Confirmed";"Probable"},'Data entry'!$AQ$6:$AQ$200,'Data Validation'!$V$10, 'Data entry'!$AP$6:$AP$200,'Data Validation'!$U$2, 'Data entry'!$BD$6:$BD$200,"&lt;&gt;*Negative*"))</f>
        <v>0</v>
      </c>
      <c r="BU76" s="15">
        <f>SUM(COUNTIFS('Data entry'!$R$6:$R$200,'Summary Data'!$A76,'Data entry'!$B$6:$B$200,{"Confirmed";"Probable"},'Data entry'!$AQ$6:$AQ$200,'Data Validation'!$V$10, 'Data entry'!$AP$6:$AP$200,'Data Validation'!$U$3, 'Data entry'!$BD$6:$BD$200,"&lt;&gt;*Negative*"))</f>
        <v>0</v>
      </c>
      <c r="BV76" s="15">
        <f>SUM(COUNTIFS('Data entry'!$R$6:$R$200,'Summary Data'!$A76,'Data entry'!$B$6:$B$200,{"Confirmed";"Probable"},'Data entry'!$AQ$6:$AQ$200,'Data Validation'!$V$10, 'Data entry'!$AP$6:$AP$200,'Data Validation'!$U$4, 'Data entry'!$BD$6:$BD$200,"&lt;&gt;*Negative*"))</f>
        <v>0</v>
      </c>
      <c r="BW76" s="15">
        <f>SUM(COUNTIFS('Data entry'!$R$6:$R$200,'Summary Data'!$A76,'Data entry'!$B$6:$B$200,{"Confirmed";"Probable"},'Data entry'!$AQ$6:$AQ$200,'Data Validation'!$V$10, 'Data entry'!$AP$6:$AP$200,'Data Validation'!$U$5, 'Data entry'!$BD$6:$BD$200,"&lt;&gt;*Negative*"))</f>
        <v>0</v>
      </c>
      <c r="BX76" s="15">
        <f>SUM(COUNTIFS('Data entry'!$R$6:$R$200,'Summary Data'!$A76,'Data entry'!$B$6:$B$200,{"Confirmed";"Probable"},'Data entry'!$AQ$6:$AQ$200,'Data Validation'!$V$10, 'Data entry'!$AP$6:$AP$200,'Data Validation'!$U$6, 'Data entry'!$BD$6:$BD$200,"&lt;&gt;*Negative*"))</f>
        <v>0</v>
      </c>
      <c r="BY76" s="15">
        <f>SUM(COUNTIFS('Data entry'!$R$6:$R$200,'Summary Data'!$A76,'Data entry'!$B$6:$B$200,{"Confirmed";"Probable"},'Data entry'!$AQ$6:$AQ$200,'Data Validation'!$V$11, 'Data entry'!$AP$6:$AP$200,'Data Validation'!$U$2, 'Data entry'!$BD$6:$BD$200,"&lt;&gt;*Negative*"))</f>
        <v>0</v>
      </c>
      <c r="BZ76" s="15">
        <f>SUM(COUNTIFS('Data entry'!$R$6:$R$200,'Summary Data'!$A76,'Data entry'!$B$6:$B$200,{"Confirmed";"Probable"},'Data entry'!$AQ$6:$AQ$200,'Data Validation'!$V$11, 'Data entry'!$AP$6:$AP$200,'Data Validation'!$U$3, 'Data entry'!$BD$6:$BD$200,"&lt;&gt;*Negative*"))</f>
        <v>0</v>
      </c>
      <c r="CA76" s="15">
        <f>SUM(COUNTIFS('Data entry'!$R$6:$R$200,'Summary Data'!$A76,'Data entry'!$B$6:$B$200,{"Confirmed";"Probable"},'Data entry'!$AQ$6:$AQ$200,'Data Validation'!$V$11, 'Data entry'!$AP$6:$AP$200,'Data Validation'!$U$4, 'Data entry'!$BD$6:$BD$200,"&lt;&gt;*Negative*"))</f>
        <v>0</v>
      </c>
      <c r="CB76" s="15">
        <f>SUM(COUNTIFS('Data entry'!$R$6:$R$200,'Summary Data'!$A76,'Data entry'!$B$6:$B$200,{"Confirmed";"Probable"},'Data entry'!$AQ$6:$AQ$200,'Data Validation'!$V$11, 'Data entry'!$AP$6:$AP$200,'Data Validation'!$U$5, 'Data entry'!$BD$6:$BD$200,"&lt;&gt;*Negative*"))</f>
        <v>0</v>
      </c>
      <c r="CC76" s="15">
        <f>SUM(COUNTIFS('Data entry'!$R$6:$R$200,'Summary Data'!$A76,'Data entry'!$B$6:$B$200,{"Confirmed";"Probable"},'Data entry'!$AQ$6:$AQ$200,'Data Validation'!$V$11, 'Data entry'!$AP$6:$AP$200,'Data Validation'!$U$6, 'Data entry'!$BD$6:$BD$200,"&lt;&gt;*Negative*"))</f>
        <v>0</v>
      </c>
    </row>
    <row r="77" spans="1:81" x14ac:dyDescent="0.25">
      <c r="A77" s="12">
        <f t="shared" si="5"/>
        <v>65</v>
      </c>
      <c r="B77" s="13">
        <f t="shared" si="6"/>
        <v>0</v>
      </c>
      <c r="C77" s="13">
        <f>COUNTIFS('Data entry'!$R$6:$R$200,$A77,'Data entry'!$B$6:$B$200,"Confirmed",'Data entry'!$BD$6:$BD$200,"&lt;&gt;*Negative*")</f>
        <v>0</v>
      </c>
      <c r="D77" s="13">
        <f>COUNTIFS('Data entry'!$R$6:$R$200,$A77,'Data entry'!$B$6:$B$200,"Probable",'Data entry'!$BD$6:$BD$200,"&lt;&gt;*Negative*")</f>
        <v>0</v>
      </c>
      <c r="E77" s="13">
        <f>COUNTIFS('Data entry'!$R$6:$R$200,$A77,'Data entry'!$B$6:$B$200,"DNM")</f>
        <v>0</v>
      </c>
      <c r="F77" s="13">
        <f>SUM(COUNTIFS('Data entry'!$R$6:$R$200,'Summary Data'!$A77,'Data entry'!$B$6:$B$200,{"Confirmed";"Probable"},'Data entry'!$AO$6:$AO$200,$F$10, 'Data entry'!$BD$6:$BD$200,"&lt;&gt;*Negative*"))</f>
        <v>0</v>
      </c>
      <c r="G77" s="13">
        <f>SUM(COUNTIFS('Data entry'!$R$6:$R$200,'Summary Data'!$A77,'Data entry'!$B$6:$B$200,{"Confirmed";"Probable"},'Data entry'!$AO$6:$AO$200,$G$10, 'Data entry'!$BD$6:$BD$200,"&lt;&gt;*Negative*"))</f>
        <v>0</v>
      </c>
      <c r="H77" s="13">
        <f>SUM(COUNTIFS('Data entry'!$R$6:$R$200,'Summary Data'!$A77,'Data entry'!$B$6:$B$200,{"Confirmed";"Probable"},'Data entry'!$AO$6:$AO$200,$H$10, 'Data entry'!$BD$6:$BD$200,"&lt;&gt;*Negative*"))</f>
        <v>0</v>
      </c>
      <c r="I77" s="13">
        <f>SUM(COUNTIFS('Data entry'!$R$6:$R$200,'Summary Data'!$A77,'Data entry'!$B$6:$B$200,{"Confirmed";"Probable"},'Data entry'!$AO$6:$AO$200,$I$10, 'Data entry'!$BD$6:$BD$200,"&lt;&gt;*Negative*"))</f>
        <v>0</v>
      </c>
      <c r="J77" s="13">
        <f>SUM(COUNTIFS('Data entry'!$R$6:$R$200,'Summary Data'!$A77,'Data entry'!$B$6:$B$200,{"Confirmed";"Probable"},'Data entry'!$AO$6:$AO$200,$J$10, 'Data entry'!$BD$6:$BD$200,"&lt;&gt;*Negative*"))</f>
        <v>0</v>
      </c>
      <c r="K77" s="13">
        <f>SUM(COUNTIFS('Data entry'!$R$6:$R$200,'Summary Data'!$A77,'Data entry'!$B$6:$B$200,{"Confirmed";"Probable"},'Data entry'!$AO$6:$AO$200,$K$10, 'Data entry'!$BD$6:$BD$200,"&lt;&gt;*Negative*"))</f>
        <v>0</v>
      </c>
      <c r="L77" s="13">
        <f>SUM(COUNTIFS('Data entry'!$R$6:$R$200,'Summary Data'!$A77,'Data entry'!$B$6:$B$200,{"Confirmed";"Probable"},'Data entry'!$AO$6:$AO$200,$L$10, 'Data entry'!$BD$6:$BD$200,"&lt;&gt;*Negative*"))</f>
        <v>0</v>
      </c>
      <c r="M77" s="13">
        <f>SUM(COUNTIFS('Data entry'!$R$6:$R$200,'Summary Data'!$A77,'Data entry'!$B$6:$B$200,{"Confirmed";"Probable"},'Data entry'!$AO$6:$AO$200,$M$10, 'Data entry'!$BD$6:$BD$200,"&lt;&gt;*Negative*"))</f>
        <v>0</v>
      </c>
      <c r="N77" s="13">
        <f>SUM(COUNTIFS('Data entry'!$R$6:$R$200,'Summary Data'!$A77,'Data entry'!$B$6:$B$200,{"Confirmed";"Probable"},'Data entry'!$AO$6:$AO$200,$N$10, 'Data entry'!$BD$6:$BD$200,"&lt;&gt;*Negative*"))</f>
        <v>0</v>
      </c>
      <c r="O77" s="15">
        <f t="shared" si="7"/>
        <v>0</v>
      </c>
      <c r="P77" s="15">
        <f t="shared" si="8"/>
        <v>0</v>
      </c>
      <c r="Q77" s="15">
        <f>SUM(COUNTIFS('Data entry'!$R$6:$R$200,'Summary Data'!$A77,'Data entry'!$B$6:$B$200,{"Confirmed";"Probable"},'Data entry'!$AP$6:$AP$200,'Data Validation'!$U$2, 'Data entry'!$BD$6:$BD$200,"&lt;&gt;*Negative*"))</f>
        <v>0</v>
      </c>
      <c r="R77" s="15">
        <f>SUM(COUNTIFS('Data entry'!$R$6:$R$200,'Summary Data'!$A77,'Data entry'!$B$6:$B$200,{"Confirmed";"Probable"},'Data entry'!$AP$6:$AP$200,'Data Validation'!$U$3, 'Data entry'!$BD$6:$BD$200,"&lt;&gt;*Negative*"))</f>
        <v>0</v>
      </c>
      <c r="S77" s="15">
        <f>SUM(COUNTIFS('Data entry'!$R$6:$R$200,'Summary Data'!$A77,'Data entry'!$B$6:$B$200,{"Confirmed";"Probable"},'Data entry'!$AP$6:$AP$200,'Data Validation'!$U$4, 'Data entry'!$BD$6:$BD$200,"&lt;&gt;*Negative*"))</f>
        <v>0</v>
      </c>
      <c r="T77" s="15">
        <f>SUM(COUNTIFS('Data entry'!$R$6:$R$200,'Summary Data'!$A77,'Data entry'!$B$6:$B$200,{"Confirmed";"Probable"},'Data entry'!$AP$6:$AP$200,'Data Validation'!$U$5, 'Data entry'!$BD$6:$BD$200,"&lt;&gt;*Negative*"))</f>
        <v>0</v>
      </c>
      <c r="U77" s="15">
        <f>SUM(COUNTIFS('Data entry'!$R$6:$R$200,'Summary Data'!$A77,'Data entry'!$B$6:$B$200,{"Confirmed";"Probable"},'Data entry'!$AP$6:$AP$200,'Data Validation'!$U$6, 'Data entry'!$BD$6:$BD$200,"&lt;&gt;*Negative*"))</f>
        <v>0</v>
      </c>
      <c r="V77" s="15">
        <f>SUM(COUNTIFS('Data entry'!$R$6:$R$200,'Summary Data'!$A77,'Data entry'!$B$6:$B$200,{"Confirmed";"Probable"},'Data entry'!$AQ$6:$AQ$200,'Data Validation'!$V$2, 'Data entry'!$BD$6:$BD$200,"&lt;&gt;*Negative*"))</f>
        <v>0</v>
      </c>
      <c r="W77" s="15">
        <f>SUM(COUNTIFS('Data entry'!$R$6:$R$200,'Summary Data'!$A77,'Data entry'!$B$6:$B$200,{"Confirmed";"Probable"},'Data entry'!$AQ$6:$AQ$200,'Data Validation'!$V$3, 'Data entry'!$BD$6:$BD$200,"&lt;&gt;*Negative*"))</f>
        <v>0</v>
      </c>
      <c r="X77" s="15">
        <f>SUM(COUNTIFS('Data entry'!$R$6:$R$200,'Summary Data'!$A77,'Data entry'!$B$6:$B$200,{"Confirmed";"Probable"},'Data entry'!$AQ$6:$AQ$200,'Data Validation'!$V$4, 'Data entry'!$BD$6:$BD$200,"&lt;&gt;*Negative*"))</f>
        <v>0</v>
      </c>
      <c r="Y77" s="15">
        <f>SUM(COUNTIFS('Data entry'!$R$6:$R$200,'Summary Data'!$A77,'Data entry'!$B$6:$B$200,{"Confirmed";"Probable"},'Data entry'!$AQ$6:$AQ$200,'Data Validation'!$V$5, 'Data entry'!$BD$6:$BD$200,"&lt;&gt;*Negative*"))</f>
        <v>0</v>
      </c>
      <c r="Z77" s="15">
        <f>SUM(COUNTIFS('Data entry'!$R$6:$R$200,'Summary Data'!$A77,'Data entry'!$B$6:$B$200,{"Confirmed";"Probable"},'Data entry'!$AQ$6:$AQ$200,'Data Validation'!$V$6, 'Data entry'!$BD$6:$BD$200,"&lt;&gt;*Negative*"))</f>
        <v>0</v>
      </c>
      <c r="AA77" s="15">
        <f>SUM(COUNTIFS('Data entry'!$R$6:$R$200,'Summary Data'!$A77,'Data entry'!$B$6:$B$200,{"Confirmed";"Probable"},'Data entry'!$AQ$6:$AQ$200,'Data Validation'!$V$7, 'Data entry'!$BD$6:$BD$200,"&lt;&gt;*Negative*"))</f>
        <v>0</v>
      </c>
      <c r="AB77" s="15">
        <f>SUM(COUNTIFS('Data entry'!$R$6:$R$200,'Summary Data'!$A77,'Data entry'!$B$6:$B$200,{"Confirmed";"Probable"},'Data entry'!$AQ$6:$AQ$200,'Data Validation'!$V$8, 'Data entry'!$BD$6:$BD$200,"&lt;&gt;*Negative*"))</f>
        <v>0</v>
      </c>
      <c r="AC77" s="15">
        <f>SUM(COUNTIFS('Data entry'!$R$6:$R$200,'Summary Data'!$A77,'Data entry'!$B$6:$B$200,{"Confirmed";"Probable"},'Data entry'!$AQ$6:$AQ$200,'Data Validation'!$V$9, 'Data entry'!$BD$6:$BD$200,"&lt;&gt;*Negative*"))</f>
        <v>0</v>
      </c>
      <c r="AD77" s="15">
        <f>SUM(COUNTIFS('Data entry'!$R$6:$R$200,'Summary Data'!$A77,'Data entry'!$B$6:$B$200,{"Confirmed";"Probable"},'Data entry'!$AQ$6:$AQ$200,'Data Validation'!$V$10, 'Data entry'!$BD$6:$BD$200,"&lt;&gt;*Negative*"))</f>
        <v>0</v>
      </c>
      <c r="AE77" s="15">
        <f>SUM(COUNTIFS('Data entry'!$R$6:$R$200,'Summary Data'!$A77,'Data entry'!$B$6:$B$200,{"Confirmed";"Probable"},'Data entry'!$AQ$6:$AQ$200,'Data Validation'!$V$11, 'Data entry'!$BD$6:$BD$200,"&lt;&gt;*Negative*"))</f>
        <v>0</v>
      </c>
      <c r="AF77" s="15">
        <f>SUM(COUNTIFS('Data entry'!$R$6:$R$200,'Summary Data'!$A77,'Data entry'!$B$6:$B$200,{"Confirmed";"Probable"},'Data entry'!$AQ$6:$AQ$200,'Data Validation'!$V$2, 'Data entry'!$AP$6:$AP$200,'Data Validation'!$U$2, 'Data entry'!$BD$6:$BD$200,"&lt;&gt;*Negative*"))</f>
        <v>0</v>
      </c>
      <c r="AG77" s="15">
        <f>SUM(COUNTIFS('Data entry'!$R$6:$R$200,'Summary Data'!$A77,'Data entry'!$B$6:$B$200,{"Confirmed";"Probable"},'Data entry'!$AQ$6:$AQ$200,'Data Validation'!$V$2, 'Data entry'!$AP$6:$AP$200,'Data Validation'!$U$3, 'Data entry'!$BD$6:$BD$200,"&lt;&gt;*Negative*"))</f>
        <v>0</v>
      </c>
      <c r="AH77" s="15">
        <f>SUM(COUNTIFS('Data entry'!$R$6:$R$200,'Summary Data'!$A77,'Data entry'!$B$6:$B$200,{"Confirmed";"Probable"},'Data entry'!$AQ$6:$AQ$200,'Data Validation'!$V$2, 'Data entry'!$AP$6:$AP$200,'Data Validation'!$U$4, 'Data entry'!$BD$6:$BD$200,"&lt;&gt;*Negative*"))</f>
        <v>0</v>
      </c>
      <c r="AI77" s="15">
        <f>SUM(COUNTIFS('Data entry'!$R$6:$R$200,'Summary Data'!$A77,'Data entry'!$B$6:$B$200,{"Confirmed";"Probable"},'Data entry'!$AQ$6:$AQ$200,'Data Validation'!$V$2, 'Data entry'!$AP$6:$AP$200,'Data Validation'!$U$5, 'Data entry'!$BD$6:$BD$200,"&lt;&gt;*Negative*"))</f>
        <v>0</v>
      </c>
      <c r="AJ77" s="15">
        <f>SUM(COUNTIFS('Data entry'!$R$6:$R$200,'Summary Data'!$A77,'Data entry'!$B$6:$B$200,{"Confirmed";"Probable"},'Data entry'!$AQ$6:$AQ$200,'Data Validation'!$V$2, 'Data entry'!$AP$6:$AP$200,'Data Validation'!$U$6, 'Data entry'!$BD$6:$BD$200,"&lt;&gt;*Negative*"))</f>
        <v>0</v>
      </c>
      <c r="AK77" s="15">
        <f>SUM(COUNTIFS('Data entry'!$R$6:$R$200,'Summary Data'!$A77,'Data entry'!$B$6:$B$200,{"Confirmed";"Probable"},'Data entry'!$AQ$6:$AQ$200,'Data Validation'!$V$3, 'Data entry'!$AP$6:$AP$200,'Data Validation'!$U$2, 'Data entry'!$BD$6:$BD$200,"&lt;&gt;*Negative*"))</f>
        <v>0</v>
      </c>
      <c r="AL77" s="15">
        <f>SUM(COUNTIFS('Data entry'!$R$6:$R$200,'Summary Data'!$A77,'Data entry'!$B$6:$B$200,{"Confirmed";"Probable"},'Data entry'!$AQ$6:$AQ$200,'Data Validation'!$V$3, 'Data entry'!$AP$6:$AP$200,'Data Validation'!$U$3, 'Data entry'!$BD$6:$BD$200,"&lt;&gt;*Negative*"))</f>
        <v>0</v>
      </c>
      <c r="AM77" s="15">
        <f>SUM(COUNTIFS('Data entry'!$R$6:$R$200,'Summary Data'!$A77,'Data entry'!$B$6:$B$200,{"Confirmed";"Probable"},'Data entry'!$AQ$6:$AQ$200,'Data Validation'!$V$3, 'Data entry'!$AP$6:$AP$200,'Data Validation'!$U$4, 'Data entry'!$BD$6:$BD$200,"&lt;&gt;*Negative*"))</f>
        <v>0</v>
      </c>
      <c r="AN77" s="15">
        <f>SUM(COUNTIFS('Data entry'!$R$6:$R$200,'Summary Data'!$A77,'Data entry'!$B$6:$B$200,{"Confirmed";"Probable"},'Data entry'!$AQ$6:$AQ$200,'Data Validation'!$V$3, 'Data entry'!$AP$6:$AP$200,'Data Validation'!$U$5, 'Data entry'!$BD$6:$BD$200,"&lt;&gt;*Negative*"))</f>
        <v>0</v>
      </c>
      <c r="AO77" s="15">
        <f>SUM(COUNTIFS('Data entry'!$R$6:$R$200,'Summary Data'!$A77,'Data entry'!$B$6:$B$200,{"Confirmed";"Probable"},'Data entry'!$AQ$6:$AQ$200,'Data Validation'!$V$3, 'Data entry'!$AP$6:$AP$200,'Data Validation'!$U$6, 'Data entry'!$BD$6:$BD$200,"&lt;&gt;*Negative*"))</f>
        <v>0</v>
      </c>
      <c r="AP77" s="15">
        <f>SUM(COUNTIFS('Data entry'!$R$6:$R$200,'Summary Data'!$A77,'Data entry'!$B$6:$B$200,{"Confirmed";"Probable"},'Data entry'!$AQ$6:$AQ$200,'Data Validation'!$V$4, 'Data entry'!$AP$6:$AP$200,'Data Validation'!$U$2, 'Data entry'!$BD$6:$BD$200,"&lt;&gt;*Negative*"))</f>
        <v>0</v>
      </c>
      <c r="AQ77" s="15">
        <f>SUM(COUNTIFS('Data entry'!$R$6:$R$200,'Summary Data'!$A77,'Data entry'!$B$6:$B$200,{"Confirmed";"Probable"},'Data entry'!$AQ$6:$AQ$200,'Data Validation'!$V$4, 'Data entry'!$AP$6:$AP$200,'Data Validation'!$U$3, 'Data entry'!$BD$6:$BD$200,"&lt;&gt;*Negative*"))</f>
        <v>0</v>
      </c>
      <c r="AR77" s="15">
        <f>SUM(COUNTIFS('Data entry'!$R$6:$R$200,'Summary Data'!$A77,'Data entry'!$B$6:$B$200,{"Confirmed";"Probable"},'Data entry'!$AQ$6:$AQ$200,'Data Validation'!$V$4, 'Data entry'!$AP$6:$AP$200,'Data Validation'!$U$4, 'Data entry'!$BD$6:$BD$200,"&lt;&gt;*Negative*"))</f>
        <v>0</v>
      </c>
      <c r="AS77" s="15">
        <f>SUM(COUNTIFS('Data entry'!$R$6:$R$200,'Summary Data'!$A77,'Data entry'!$B$6:$B$200,{"Confirmed";"Probable"},'Data entry'!$AQ$6:$AQ$200,'Data Validation'!$V$4, 'Data entry'!$AP$6:$AP$200,'Data Validation'!$U$5, 'Data entry'!$BD$6:$BD$200,"&lt;&gt;*Negative*"))</f>
        <v>0</v>
      </c>
      <c r="AT77" s="15">
        <f>SUM(COUNTIFS('Data entry'!$R$6:$R$200,'Summary Data'!$A77,'Data entry'!$B$6:$B$200,{"Confirmed";"Probable"},'Data entry'!$AQ$6:$AQ$200,'Data Validation'!$V$4, 'Data entry'!$AP$6:$AP$200,'Data Validation'!$U$6, 'Data entry'!$BD$6:$BD$200,"&lt;&gt;*Negative*"))</f>
        <v>0</v>
      </c>
      <c r="AU77" s="15">
        <f>SUM(COUNTIFS('Data entry'!$R$6:$R$200,'Summary Data'!$A77,'Data entry'!$B$6:$B$200,{"Confirmed";"Probable"},'Data entry'!$AQ$6:$AQ$200,'Data Validation'!$V$5, 'Data entry'!$AP$6:$AP$200,'Data Validation'!$U$2, 'Data entry'!$BD$6:$BD$200,"&lt;&gt;*Negative*"))</f>
        <v>0</v>
      </c>
      <c r="AV77" s="15">
        <f>SUM(COUNTIFS('Data entry'!$R$6:$R$200,'Summary Data'!$A77,'Data entry'!$B$6:$B$200,{"Confirmed";"Probable"},'Data entry'!$AQ$6:$AQ$200,'Data Validation'!$V$5, 'Data entry'!$AP$6:$AP$200,'Data Validation'!$U$3, 'Data entry'!$BD$6:$BD$200,"&lt;&gt;*Negative*"))</f>
        <v>0</v>
      </c>
      <c r="AW77" s="15">
        <f>SUM(COUNTIFS('Data entry'!$R$6:$R$200,'Summary Data'!$A77,'Data entry'!$B$6:$B$200,{"Confirmed";"Probable"},'Data entry'!$AQ$6:$AQ$200,'Data Validation'!$V$5, 'Data entry'!$AP$6:$AP$200,'Data Validation'!$U$4, 'Data entry'!$BD$6:$BD$200,"&lt;&gt;*Negative*"))</f>
        <v>0</v>
      </c>
      <c r="AX77" s="15">
        <f>SUM(COUNTIFS('Data entry'!$R$6:$R$200,'Summary Data'!$A77,'Data entry'!$B$6:$B$200,{"Confirmed";"Probable"},'Data entry'!$AQ$6:$AQ$200,'Data Validation'!$V$5, 'Data entry'!$AP$6:$AP$200,'Data Validation'!$U$5, 'Data entry'!$BD$6:$BD$200,"&lt;&gt;*Negative*"))</f>
        <v>0</v>
      </c>
      <c r="AY77" s="15">
        <f>SUM(COUNTIFS('Data entry'!$R$6:$R$200,'Summary Data'!$A77,'Data entry'!$B$6:$B$200,{"Confirmed";"Probable"},'Data entry'!$AQ$6:$AQ$200,'Data Validation'!$V$5, 'Data entry'!$AP$6:$AP$200,'Data Validation'!$U$6, 'Data entry'!$BD$6:$BD$200,"&lt;&gt;*Negative*"))</f>
        <v>0</v>
      </c>
      <c r="AZ77" s="15">
        <f>SUM(COUNTIFS('Data entry'!$R$6:$R$200,'Summary Data'!$A77,'Data entry'!$B$6:$B$200,{"Confirmed";"Probable"},'Data entry'!$AQ$6:$AQ$200,'Data Validation'!$V$6, 'Data entry'!$AP$6:$AP$200,'Data Validation'!$U$2, 'Data entry'!$BD$6:$BD$200,"&lt;&gt;*Negative*"))</f>
        <v>0</v>
      </c>
      <c r="BA77" s="15">
        <f>SUM(COUNTIFS('Data entry'!$R$6:$R$200,'Summary Data'!$A77,'Data entry'!$B$6:$B$200,{"Confirmed";"Probable"},'Data entry'!$AQ$6:$AQ$200,'Data Validation'!$V$6, 'Data entry'!$AP$6:$AP$200,'Data Validation'!$U$3, 'Data entry'!$BD$6:$BD$200,"&lt;&gt;*Negative*"))</f>
        <v>0</v>
      </c>
      <c r="BB77" s="15">
        <f>SUM(COUNTIFS('Data entry'!$R$6:$R$200,'Summary Data'!$A77,'Data entry'!$B$6:$B$200,{"Confirmed";"Probable"},'Data entry'!$AQ$6:$AQ$200,'Data Validation'!$V$6, 'Data entry'!$AP$6:$AP$200,'Data Validation'!$U$4, 'Data entry'!$BD$6:$BD$200,"&lt;&gt;*Negative*"))</f>
        <v>0</v>
      </c>
      <c r="BC77" s="15">
        <f>SUM(COUNTIFS('Data entry'!$R$6:$R$200,'Summary Data'!$A77,'Data entry'!$B$6:$B$200,{"Confirmed";"Probable"},'Data entry'!$AQ$6:$AQ$200,'Data Validation'!$V$6, 'Data entry'!$AP$6:$AP$200,'Data Validation'!$U$5, 'Data entry'!$BD$6:$BD$200,"&lt;&gt;*Negative*"))</f>
        <v>0</v>
      </c>
      <c r="BD77" s="15">
        <f>SUM(COUNTIFS('Data entry'!$R$6:$R$200,'Summary Data'!$A77,'Data entry'!$B$6:$B$200,{"Confirmed";"Probable"},'Data entry'!$AQ$6:$AQ$200,'Data Validation'!$V$6, 'Data entry'!$AP$6:$AP$200,'Data Validation'!$U$6, 'Data entry'!$BD$6:$BD$200,"&lt;&gt;*Negative*"))</f>
        <v>0</v>
      </c>
      <c r="BE77" s="15">
        <f>SUM(COUNTIFS('Data entry'!$R$6:$R$200,'Summary Data'!$A77,'Data entry'!$B$6:$B$200,{"Confirmed";"Probable"},'Data entry'!$AQ$6:$AQ$200,'Data Validation'!$V$7, 'Data entry'!$AP$6:$AP$200,'Data Validation'!$U$2, 'Data entry'!$BD$6:$BD$200,"&lt;&gt;*Negative*"))</f>
        <v>0</v>
      </c>
      <c r="BF77" s="15">
        <f>SUM(COUNTIFS('Data entry'!$R$6:$R$200,'Summary Data'!$A77,'Data entry'!$B$6:$B$200,{"Confirmed";"Probable"},'Data entry'!$AQ$6:$AQ$200,'Data Validation'!$V$7, 'Data entry'!$AP$6:$AP$200,'Data Validation'!$U$3, 'Data entry'!$BD$6:$BD$200,"&lt;&gt;*Negative*"))</f>
        <v>0</v>
      </c>
      <c r="BG77" s="15">
        <f>SUM(COUNTIFS('Data entry'!$R$6:$R$200,'Summary Data'!$A77,'Data entry'!$B$6:$B$200,{"Confirmed";"Probable"},'Data entry'!$AQ$6:$AQ$200,'Data Validation'!$V$7, 'Data entry'!$AP$6:$AP$200,'Data Validation'!$U$4, 'Data entry'!$BD$6:$BD$200,"&lt;&gt;*Negative*"))</f>
        <v>0</v>
      </c>
      <c r="BH77" s="15">
        <f>SUM(COUNTIFS('Data entry'!$R$6:$R$200,'Summary Data'!$A77,'Data entry'!$B$6:$B$200,{"Confirmed";"Probable"},'Data entry'!$AQ$6:$AQ$200,'Data Validation'!$V$7, 'Data entry'!$AP$6:$AP$200,'Data Validation'!$U$5, 'Data entry'!$BD$6:$BD$200,"&lt;&gt;*Negative*"))</f>
        <v>0</v>
      </c>
      <c r="BI77" s="15">
        <f>SUM(COUNTIFS('Data entry'!$R$6:$R$200,'Summary Data'!$A77,'Data entry'!$B$6:$B$200,{"Confirmed";"Probable"},'Data entry'!$AQ$6:$AQ$200,'Data Validation'!$V$7, 'Data entry'!$AP$6:$AP$200,'Data Validation'!$U$6, 'Data entry'!$BD$6:$BD$200,"&lt;&gt;*Negative*"))</f>
        <v>0</v>
      </c>
      <c r="BJ77" s="15">
        <f>SUM(COUNTIFS('Data entry'!$R$6:$R$200,'Summary Data'!$A77,'Data entry'!$B$6:$B$200,{"Confirmed";"Probable"},'Data entry'!$AQ$6:$AQ$200,'Data Validation'!$V$8, 'Data entry'!$AP$6:$AP$200,'Data Validation'!$U$2, 'Data entry'!$BD$6:$BD$200,"&lt;&gt;*Negative*"))</f>
        <v>0</v>
      </c>
      <c r="BK77" s="15">
        <f>SUM(COUNTIFS('Data entry'!$R$6:$R$200,'Summary Data'!$A77,'Data entry'!$B$6:$B$200,{"Confirmed";"Probable"},'Data entry'!$AQ$6:$AQ$200,'Data Validation'!$V$8, 'Data entry'!$AP$6:$AP$200,'Data Validation'!$U$3, 'Data entry'!$BD$6:$BD$200,"&lt;&gt;*Negative*"))</f>
        <v>0</v>
      </c>
      <c r="BL77" s="15">
        <f>SUM(COUNTIFS('Data entry'!$R$6:$R$200,'Summary Data'!$A77,'Data entry'!$B$6:$B$200,{"Confirmed";"Probable"},'Data entry'!$AQ$6:$AQ$200,'Data Validation'!$V$8, 'Data entry'!$AP$6:$AP$200,'Data Validation'!$U$4, 'Data entry'!$BD$6:$BD$200,"&lt;&gt;*Negative*"))</f>
        <v>0</v>
      </c>
      <c r="BM77" s="15">
        <f>SUM(COUNTIFS('Data entry'!$R$6:$R$200,'Summary Data'!$A77,'Data entry'!$B$6:$B$200,{"Confirmed";"Probable"},'Data entry'!$AQ$6:$AQ$200,'Data Validation'!$V$8, 'Data entry'!$AP$6:$AP$200,'Data Validation'!$U$5, 'Data entry'!$BD$6:$BD$200,"&lt;&gt;*Negative*"))</f>
        <v>0</v>
      </c>
      <c r="BN77" s="15">
        <f>SUM(COUNTIFS('Data entry'!$R$6:$R$200,'Summary Data'!$A77,'Data entry'!$B$6:$B$200,{"Confirmed";"Probable"},'Data entry'!$AQ$6:$AQ$200,'Data Validation'!$V$8, 'Data entry'!$AP$6:$AP$200,'Data Validation'!$U$6, 'Data entry'!$BD$6:$BD$200,"&lt;&gt;*Negative*"))</f>
        <v>0</v>
      </c>
      <c r="BO77" s="15">
        <f>SUM(COUNTIFS('Data entry'!$R$6:$R$200,'Summary Data'!$A77,'Data entry'!$B$6:$B$200,{"Confirmed";"Probable"},'Data entry'!$AQ$6:$AQ$200,'Data Validation'!$V$9, 'Data entry'!$AP$6:$AP$200,'Data Validation'!$U$2, 'Data entry'!$BD$6:$BD$200,"&lt;&gt;*Negative*"))</f>
        <v>0</v>
      </c>
      <c r="BP77" s="15">
        <f>SUM(COUNTIFS('Data entry'!$R$6:$R$200,'Summary Data'!$A77,'Data entry'!$B$6:$B$200,{"Confirmed";"Probable"},'Data entry'!$AQ$6:$AQ$200,'Data Validation'!$V$9, 'Data entry'!$AP$6:$AP$200,'Data Validation'!$U$3, 'Data entry'!$BD$6:$BD$200,"&lt;&gt;*Negative*"))</f>
        <v>0</v>
      </c>
      <c r="BQ77" s="15">
        <f>SUM(COUNTIFS('Data entry'!$R$6:$R$200,'Summary Data'!$A77,'Data entry'!$B$6:$B$200,{"Confirmed";"Probable"},'Data entry'!$AQ$6:$AQ$200,'Data Validation'!$V$9, 'Data entry'!$AP$6:$AP$200,'Data Validation'!$U$4, 'Data entry'!$BD$6:$BD$200,"&lt;&gt;*Negative*"))</f>
        <v>0</v>
      </c>
      <c r="BR77" s="15">
        <f>SUM(COUNTIFS('Data entry'!$R$6:$R$200,'Summary Data'!$A77,'Data entry'!$B$6:$B$200,{"Confirmed";"Probable"},'Data entry'!$AQ$6:$AQ$200,'Data Validation'!$V$9, 'Data entry'!$AP$6:$AP$200,'Data Validation'!$U$5, 'Data entry'!$BD$6:$BD$200,"&lt;&gt;*Negative*"))</f>
        <v>0</v>
      </c>
      <c r="BS77" s="15">
        <f>SUM(COUNTIFS('Data entry'!$R$6:$R$200,'Summary Data'!$A77,'Data entry'!$B$6:$B$200,{"Confirmed";"Probable"},'Data entry'!$AQ$6:$AQ$200,'Data Validation'!$V$9, 'Data entry'!$AP$6:$AP$200,'Data Validation'!$U$6, 'Data entry'!$BD$6:$BD$200,"&lt;&gt;*Negative*"))</f>
        <v>0</v>
      </c>
      <c r="BT77" s="15">
        <f>SUM(COUNTIFS('Data entry'!$R$6:$R$200,'Summary Data'!$A77,'Data entry'!$B$6:$B$200,{"Confirmed";"Probable"},'Data entry'!$AQ$6:$AQ$200,'Data Validation'!$V$10, 'Data entry'!$AP$6:$AP$200,'Data Validation'!$U$2, 'Data entry'!$BD$6:$BD$200,"&lt;&gt;*Negative*"))</f>
        <v>0</v>
      </c>
      <c r="BU77" s="15">
        <f>SUM(COUNTIFS('Data entry'!$R$6:$R$200,'Summary Data'!$A77,'Data entry'!$B$6:$B$200,{"Confirmed";"Probable"},'Data entry'!$AQ$6:$AQ$200,'Data Validation'!$V$10, 'Data entry'!$AP$6:$AP$200,'Data Validation'!$U$3, 'Data entry'!$BD$6:$BD$200,"&lt;&gt;*Negative*"))</f>
        <v>0</v>
      </c>
      <c r="BV77" s="15">
        <f>SUM(COUNTIFS('Data entry'!$R$6:$R$200,'Summary Data'!$A77,'Data entry'!$B$6:$B$200,{"Confirmed";"Probable"},'Data entry'!$AQ$6:$AQ$200,'Data Validation'!$V$10, 'Data entry'!$AP$6:$AP$200,'Data Validation'!$U$4, 'Data entry'!$BD$6:$BD$200,"&lt;&gt;*Negative*"))</f>
        <v>0</v>
      </c>
      <c r="BW77" s="15">
        <f>SUM(COUNTIFS('Data entry'!$R$6:$R$200,'Summary Data'!$A77,'Data entry'!$B$6:$B$200,{"Confirmed";"Probable"},'Data entry'!$AQ$6:$AQ$200,'Data Validation'!$V$10, 'Data entry'!$AP$6:$AP$200,'Data Validation'!$U$5, 'Data entry'!$BD$6:$BD$200,"&lt;&gt;*Negative*"))</f>
        <v>0</v>
      </c>
      <c r="BX77" s="15">
        <f>SUM(COUNTIFS('Data entry'!$R$6:$R$200,'Summary Data'!$A77,'Data entry'!$B$6:$B$200,{"Confirmed";"Probable"},'Data entry'!$AQ$6:$AQ$200,'Data Validation'!$V$10, 'Data entry'!$AP$6:$AP$200,'Data Validation'!$U$6, 'Data entry'!$BD$6:$BD$200,"&lt;&gt;*Negative*"))</f>
        <v>0</v>
      </c>
      <c r="BY77" s="15">
        <f>SUM(COUNTIFS('Data entry'!$R$6:$R$200,'Summary Data'!$A77,'Data entry'!$B$6:$B$200,{"Confirmed";"Probable"},'Data entry'!$AQ$6:$AQ$200,'Data Validation'!$V$11, 'Data entry'!$AP$6:$AP$200,'Data Validation'!$U$2, 'Data entry'!$BD$6:$BD$200,"&lt;&gt;*Negative*"))</f>
        <v>0</v>
      </c>
      <c r="BZ77" s="15">
        <f>SUM(COUNTIFS('Data entry'!$R$6:$R$200,'Summary Data'!$A77,'Data entry'!$B$6:$B$200,{"Confirmed";"Probable"},'Data entry'!$AQ$6:$AQ$200,'Data Validation'!$V$11, 'Data entry'!$AP$6:$AP$200,'Data Validation'!$U$3, 'Data entry'!$BD$6:$BD$200,"&lt;&gt;*Negative*"))</f>
        <v>0</v>
      </c>
      <c r="CA77" s="15">
        <f>SUM(COUNTIFS('Data entry'!$R$6:$R$200,'Summary Data'!$A77,'Data entry'!$B$6:$B$200,{"Confirmed";"Probable"},'Data entry'!$AQ$6:$AQ$200,'Data Validation'!$V$11, 'Data entry'!$AP$6:$AP$200,'Data Validation'!$U$4, 'Data entry'!$BD$6:$BD$200,"&lt;&gt;*Negative*"))</f>
        <v>0</v>
      </c>
      <c r="CB77" s="15">
        <f>SUM(COUNTIFS('Data entry'!$R$6:$R$200,'Summary Data'!$A77,'Data entry'!$B$6:$B$200,{"Confirmed";"Probable"},'Data entry'!$AQ$6:$AQ$200,'Data Validation'!$V$11, 'Data entry'!$AP$6:$AP$200,'Data Validation'!$U$5, 'Data entry'!$BD$6:$BD$200,"&lt;&gt;*Negative*"))</f>
        <v>0</v>
      </c>
      <c r="CC77" s="15">
        <f>SUM(COUNTIFS('Data entry'!$R$6:$R$200,'Summary Data'!$A77,'Data entry'!$B$6:$B$200,{"Confirmed";"Probable"},'Data entry'!$AQ$6:$AQ$200,'Data Validation'!$V$11, 'Data entry'!$AP$6:$AP$200,'Data Validation'!$U$6, 'Data entry'!$BD$6:$BD$200,"&lt;&gt;*Negative*"))</f>
        <v>0</v>
      </c>
    </row>
    <row r="78" spans="1:81" x14ac:dyDescent="0.25">
      <c r="A78" s="12">
        <f t="shared" ref="A78:A141" si="9">A77+1</f>
        <v>66</v>
      </c>
      <c r="B78" s="13">
        <f t="shared" si="6"/>
        <v>0</v>
      </c>
      <c r="C78" s="13">
        <f>COUNTIFS('Data entry'!$R$6:$R$200,$A78,'Data entry'!$B$6:$B$200,"Confirmed",'Data entry'!$BD$6:$BD$200,"&lt;&gt;*Negative*")</f>
        <v>0</v>
      </c>
      <c r="D78" s="13">
        <f>COUNTIFS('Data entry'!$R$6:$R$200,$A78,'Data entry'!$B$6:$B$200,"Probable",'Data entry'!$BD$6:$BD$200,"&lt;&gt;*Negative*")</f>
        <v>0</v>
      </c>
      <c r="E78" s="13">
        <f>COUNTIFS('Data entry'!$R$6:$R$200,$A78,'Data entry'!$B$6:$B$200,"DNM")</f>
        <v>0</v>
      </c>
      <c r="F78" s="13">
        <f>SUM(COUNTIFS('Data entry'!$R$6:$R$200,'Summary Data'!$A78,'Data entry'!$B$6:$B$200,{"Confirmed";"Probable"},'Data entry'!$AO$6:$AO$200,$F$10, 'Data entry'!$BD$6:$BD$200,"&lt;&gt;*Negative*"))</f>
        <v>0</v>
      </c>
      <c r="G78" s="13">
        <f>SUM(COUNTIFS('Data entry'!$R$6:$R$200,'Summary Data'!$A78,'Data entry'!$B$6:$B$200,{"Confirmed";"Probable"},'Data entry'!$AO$6:$AO$200,$G$10, 'Data entry'!$BD$6:$BD$200,"&lt;&gt;*Negative*"))</f>
        <v>0</v>
      </c>
      <c r="H78" s="13">
        <f>SUM(COUNTIFS('Data entry'!$R$6:$R$200,'Summary Data'!$A78,'Data entry'!$B$6:$B$200,{"Confirmed";"Probable"},'Data entry'!$AO$6:$AO$200,$H$10, 'Data entry'!$BD$6:$BD$200,"&lt;&gt;*Negative*"))</f>
        <v>0</v>
      </c>
      <c r="I78" s="13">
        <f>SUM(COUNTIFS('Data entry'!$R$6:$R$200,'Summary Data'!$A78,'Data entry'!$B$6:$B$200,{"Confirmed";"Probable"},'Data entry'!$AO$6:$AO$200,$I$10, 'Data entry'!$BD$6:$BD$200,"&lt;&gt;*Negative*"))</f>
        <v>0</v>
      </c>
      <c r="J78" s="13">
        <f>SUM(COUNTIFS('Data entry'!$R$6:$R$200,'Summary Data'!$A78,'Data entry'!$B$6:$B$200,{"Confirmed";"Probable"},'Data entry'!$AO$6:$AO$200,$J$10, 'Data entry'!$BD$6:$BD$200,"&lt;&gt;*Negative*"))</f>
        <v>0</v>
      </c>
      <c r="K78" s="13">
        <f>SUM(COUNTIFS('Data entry'!$R$6:$R$200,'Summary Data'!$A78,'Data entry'!$B$6:$B$200,{"Confirmed";"Probable"},'Data entry'!$AO$6:$AO$200,$K$10, 'Data entry'!$BD$6:$BD$200,"&lt;&gt;*Negative*"))</f>
        <v>0</v>
      </c>
      <c r="L78" s="13">
        <f>SUM(COUNTIFS('Data entry'!$R$6:$R$200,'Summary Data'!$A78,'Data entry'!$B$6:$B$200,{"Confirmed";"Probable"},'Data entry'!$AO$6:$AO$200,$L$10, 'Data entry'!$BD$6:$BD$200,"&lt;&gt;*Negative*"))</f>
        <v>0</v>
      </c>
      <c r="M78" s="13">
        <f>SUM(COUNTIFS('Data entry'!$R$6:$R$200,'Summary Data'!$A78,'Data entry'!$B$6:$B$200,{"Confirmed";"Probable"},'Data entry'!$AO$6:$AO$200,$M$10, 'Data entry'!$BD$6:$BD$200,"&lt;&gt;*Negative*"))</f>
        <v>0</v>
      </c>
      <c r="N78" s="13">
        <f>SUM(COUNTIFS('Data entry'!$R$6:$R$200,'Summary Data'!$A78,'Data entry'!$B$6:$B$200,{"Confirmed";"Probable"},'Data entry'!$AO$6:$AO$200,$N$10, 'Data entry'!$BD$6:$BD$200,"&lt;&gt;*Negative*"))</f>
        <v>0</v>
      </c>
      <c r="O78" s="15">
        <f t="shared" si="7"/>
        <v>0</v>
      </c>
      <c r="P78" s="15">
        <f t="shared" si="8"/>
        <v>0</v>
      </c>
      <c r="Q78" s="15">
        <f>SUM(COUNTIFS('Data entry'!$R$6:$R$200,'Summary Data'!$A78,'Data entry'!$B$6:$B$200,{"Confirmed";"Probable"},'Data entry'!$AP$6:$AP$200,'Data Validation'!$U$2, 'Data entry'!$BD$6:$BD$200,"&lt;&gt;*Negative*"))</f>
        <v>0</v>
      </c>
      <c r="R78" s="15">
        <f>SUM(COUNTIFS('Data entry'!$R$6:$R$200,'Summary Data'!$A78,'Data entry'!$B$6:$B$200,{"Confirmed";"Probable"},'Data entry'!$AP$6:$AP$200,'Data Validation'!$U$3, 'Data entry'!$BD$6:$BD$200,"&lt;&gt;*Negative*"))</f>
        <v>0</v>
      </c>
      <c r="S78" s="15">
        <f>SUM(COUNTIFS('Data entry'!$R$6:$R$200,'Summary Data'!$A78,'Data entry'!$B$6:$B$200,{"Confirmed";"Probable"},'Data entry'!$AP$6:$AP$200,'Data Validation'!$U$4, 'Data entry'!$BD$6:$BD$200,"&lt;&gt;*Negative*"))</f>
        <v>0</v>
      </c>
      <c r="T78" s="15">
        <f>SUM(COUNTIFS('Data entry'!$R$6:$R$200,'Summary Data'!$A78,'Data entry'!$B$6:$B$200,{"Confirmed";"Probable"},'Data entry'!$AP$6:$AP$200,'Data Validation'!$U$5, 'Data entry'!$BD$6:$BD$200,"&lt;&gt;*Negative*"))</f>
        <v>0</v>
      </c>
      <c r="U78" s="15">
        <f>SUM(COUNTIFS('Data entry'!$R$6:$R$200,'Summary Data'!$A78,'Data entry'!$B$6:$B$200,{"Confirmed";"Probable"},'Data entry'!$AP$6:$AP$200,'Data Validation'!$U$6, 'Data entry'!$BD$6:$BD$200,"&lt;&gt;*Negative*"))</f>
        <v>0</v>
      </c>
      <c r="V78" s="15">
        <f>SUM(COUNTIFS('Data entry'!$R$6:$R$200,'Summary Data'!$A78,'Data entry'!$B$6:$B$200,{"Confirmed";"Probable"},'Data entry'!$AQ$6:$AQ$200,'Data Validation'!$V$2, 'Data entry'!$BD$6:$BD$200,"&lt;&gt;*Negative*"))</f>
        <v>0</v>
      </c>
      <c r="W78" s="15">
        <f>SUM(COUNTIFS('Data entry'!$R$6:$R$200,'Summary Data'!$A78,'Data entry'!$B$6:$B$200,{"Confirmed";"Probable"},'Data entry'!$AQ$6:$AQ$200,'Data Validation'!$V$3, 'Data entry'!$BD$6:$BD$200,"&lt;&gt;*Negative*"))</f>
        <v>0</v>
      </c>
      <c r="X78" s="15">
        <f>SUM(COUNTIFS('Data entry'!$R$6:$R$200,'Summary Data'!$A78,'Data entry'!$B$6:$B$200,{"Confirmed";"Probable"},'Data entry'!$AQ$6:$AQ$200,'Data Validation'!$V$4, 'Data entry'!$BD$6:$BD$200,"&lt;&gt;*Negative*"))</f>
        <v>0</v>
      </c>
      <c r="Y78" s="15">
        <f>SUM(COUNTIFS('Data entry'!$R$6:$R$200,'Summary Data'!$A78,'Data entry'!$B$6:$B$200,{"Confirmed";"Probable"},'Data entry'!$AQ$6:$AQ$200,'Data Validation'!$V$5, 'Data entry'!$BD$6:$BD$200,"&lt;&gt;*Negative*"))</f>
        <v>0</v>
      </c>
      <c r="Z78" s="15">
        <f>SUM(COUNTIFS('Data entry'!$R$6:$R$200,'Summary Data'!$A78,'Data entry'!$B$6:$B$200,{"Confirmed";"Probable"},'Data entry'!$AQ$6:$AQ$200,'Data Validation'!$V$6, 'Data entry'!$BD$6:$BD$200,"&lt;&gt;*Negative*"))</f>
        <v>0</v>
      </c>
      <c r="AA78" s="15">
        <f>SUM(COUNTIFS('Data entry'!$R$6:$R$200,'Summary Data'!$A78,'Data entry'!$B$6:$B$200,{"Confirmed";"Probable"},'Data entry'!$AQ$6:$AQ$200,'Data Validation'!$V$7, 'Data entry'!$BD$6:$BD$200,"&lt;&gt;*Negative*"))</f>
        <v>0</v>
      </c>
      <c r="AB78" s="15">
        <f>SUM(COUNTIFS('Data entry'!$R$6:$R$200,'Summary Data'!$A78,'Data entry'!$B$6:$B$200,{"Confirmed";"Probable"},'Data entry'!$AQ$6:$AQ$200,'Data Validation'!$V$8, 'Data entry'!$BD$6:$BD$200,"&lt;&gt;*Negative*"))</f>
        <v>0</v>
      </c>
      <c r="AC78" s="15">
        <f>SUM(COUNTIFS('Data entry'!$R$6:$R$200,'Summary Data'!$A78,'Data entry'!$B$6:$B$200,{"Confirmed";"Probable"},'Data entry'!$AQ$6:$AQ$200,'Data Validation'!$V$9, 'Data entry'!$BD$6:$BD$200,"&lt;&gt;*Negative*"))</f>
        <v>0</v>
      </c>
      <c r="AD78" s="15">
        <f>SUM(COUNTIFS('Data entry'!$R$6:$R$200,'Summary Data'!$A78,'Data entry'!$B$6:$B$200,{"Confirmed";"Probable"},'Data entry'!$AQ$6:$AQ$200,'Data Validation'!$V$10, 'Data entry'!$BD$6:$BD$200,"&lt;&gt;*Negative*"))</f>
        <v>0</v>
      </c>
      <c r="AE78" s="15">
        <f>SUM(COUNTIFS('Data entry'!$R$6:$R$200,'Summary Data'!$A78,'Data entry'!$B$6:$B$200,{"Confirmed";"Probable"},'Data entry'!$AQ$6:$AQ$200,'Data Validation'!$V$11, 'Data entry'!$BD$6:$BD$200,"&lt;&gt;*Negative*"))</f>
        <v>0</v>
      </c>
      <c r="AF78" s="15">
        <f>SUM(COUNTIFS('Data entry'!$R$6:$R$200,'Summary Data'!$A78,'Data entry'!$B$6:$B$200,{"Confirmed";"Probable"},'Data entry'!$AQ$6:$AQ$200,'Data Validation'!$V$2, 'Data entry'!$AP$6:$AP$200,'Data Validation'!$U$2, 'Data entry'!$BD$6:$BD$200,"&lt;&gt;*Negative*"))</f>
        <v>0</v>
      </c>
      <c r="AG78" s="15">
        <f>SUM(COUNTIFS('Data entry'!$R$6:$R$200,'Summary Data'!$A78,'Data entry'!$B$6:$B$200,{"Confirmed";"Probable"},'Data entry'!$AQ$6:$AQ$200,'Data Validation'!$V$2, 'Data entry'!$AP$6:$AP$200,'Data Validation'!$U$3, 'Data entry'!$BD$6:$BD$200,"&lt;&gt;*Negative*"))</f>
        <v>0</v>
      </c>
      <c r="AH78" s="15">
        <f>SUM(COUNTIFS('Data entry'!$R$6:$R$200,'Summary Data'!$A78,'Data entry'!$B$6:$B$200,{"Confirmed";"Probable"},'Data entry'!$AQ$6:$AQ$200,'Data Validation'!$V$2, 'Data entry'!$AP$6:$AP$200,'Data Validation'!$U$4, 'Data entry'!$BD$6:$BD$200,"&lt;&gt;*Negative*"))</f>
        <v>0</v>
      </c>
      <c r="AI78" s="15">
        <f>SUM(COUNTIFS('Data entry'!$R$6:$R$200,'Summary Data'!$A78,'Data entry'!$B$6:$B$200,{"Confirmed";"Probable"},'Data entry'!$AQ$6:$AQ$200,'Data Validation'!$V$2, 'Data entry'!$AP$6:$AP$200,'Data Validation'!$U$5, 'Data entry'!$BD$6:$BD$200,"&lt;&gt;*Negative*"))</f>
        <v>0</v>
      </c>
      <c r="AJ78" s="15">
        <f>SUM(COUNTIFS('Data entry'!$R$6:$R$200,'Summary Data'!$A78,'Data entry'!$B$6:$B$200,{"Confirmed";"Probable"},'Data entry'!$AQ$6:$AQ$200,'Data Validation'!$V$2, 'Data entry'!$AP$6:$AP$200,'Data Validation'!$U$6, 'Data entry'!$BD$6:$BD$200,"&lt;&gt;*Negative*"))</f>
        <v>0</v>
      </c>
      <c r="AK78" s="15">
        <f>SUM(COUNTIFS('Data entry'!$R$6:$R$200,'Summary Data'!$A78,'Data entry'!$B$6:$B$200,{"Confirmed";"Probable"},'Data entry'!$AQ$6:$AQ$200,'Data Validation'!$V$3, 'Data entry'!$AP$6:$AP$200,'Data Validation'!$U$2, 'Data entry'!$BD$6:$BD$200,"&lt;&gt;*Negative*"))</f>
        <v>0</v>
      </c>
      <c r="AL78" s="15">
        <f>SUM(COUNTIFS('Data entry'!$R$6:$R$200,'Summary Data'!$A78,'Data entry'!$B$6:$B$200,{"Confirmed";"Probable"},'Data entry'!$AQ$6:$AQ$200,'Data Validation'!$V$3, 'Data entry'!$AP$6:$AP$200,'Data Validation'!$U$3, 'Data entry'!$BD$6:$BD$200,"&lt;&gt;*Negative*"))</f>
        <v>0</v>
      </c>
      <c r="AM78" s="15">
        <f>SUM(COUNTIFS('Data entry'!$R$6:$R$200,'Summary Data'!$A78,'Data entry'!$B$6:$B$200,{"Confirmed";"Probable"},'Data entry'!$AQ$6:$AQ$200,'Data Validation'!$V$3, 'Data entry'!$AP$6:$AP$200,'Data Validation'!$U$4, 'Data entry'!$BD$6:$BD$200,"&lt;&gt;*Negative*"))</f>
        <v>0</v>
      </c>
      <c r="AN78" s="15">
        <f>SUM(COUNTIFS('Data entry'!$R$6:$R$200,'Summary Data'!$A78,'Data entry'!$B$6:$B$200,{"Confirmed";"Probable"},'Data entry'!$AQ$6:$AQ$200,'Data Validation'!$V$3, 'Data entry'!$AP$6:$AP$200,'Data Validation'!$U$5, 'Data entry'!$BD$6:$BD$200,"&lt;&gt;*Negative*"))</f>
        <v>0</v>
      </c>
      <c r="AO78" s="15">
        <f>SUM(COUNTIFS('Data entry'!$R$6:$R$200,'Summary Data'!$A78,'Data entry'!$B$6:$B$200,{"Confirmed";"Probable"},'Data entry'!$AQ$6:$AQ$200,'Data Validation'!$V$3, 'Data entry'!$AP$6:$AP$200,'Data Validation'!$U$6, 'Data entry'!$BD$6:$BD$200,"&lt;&gt;*Negative*"))</f>
        <v>0</v>
      </c>
      <c r="AP78" s="15">
        <f>SUM(COUNTIFS('Data entry'!$R$6:$R$200,'Summary Data'!$A78,'Data entry'!$B$6:$B$200,{"Confirmed";"Probable"},'Data entry'!$AQ$6:$AQ$200,'Data Validation'!$V$4, 'Data entry'!$AP$6:$AP$200,'Data Validation'!$U$2, 'Data entry'!$BD$6:$BD$200,"&lt;&gt;*Negative*"))</f>
        <v>0</v>
      </c>
      <c r="AQ78" s="15">
        <f>SUM(COUNTIFS('Data entry'!$R$6:$R$200,'Summary Data'!$A78,'Data entry'!$B$6:$B$200,{"Confirmed";"Probable"},'Data entry'!$AQ$6:$AQ$200,'Data Validation'!$V$4, 'Data entry'!$AP$6:$AP$200,'Data Validation'!$U$3, 'Data entry'!$BD$6:$BD$200,"&lt;&gt;*Negative*"))</f>
        <v>0</v>
      </c>
      <c r="AR78" s="15">
        <f>SUM(COUNTIFS('Data entry'!$R$6:$R$200,'Summary Data'!$A78,'Data entry'!$B$6:$B$200,{"Confirmed";"Probable"},'Data entry'!$AQ$6:$AQ$200,'Data Validation'!$V$4, 'Data entry'!$AP$6:$AP$200,'Data Validation'!$U$4, 'Data entry'!$BD$6:$BD$200,"&lt;&gt;*Negative*"))</f>
        <v>0</v>
      </c>
      <c r="AS78" s="15">
        <f>SUM(COUNTIFS('Data entry'!$R$6:$R$200,'Summary Data'!$A78,'Data entry'!$B$6:$B$200,{"Confirmed";"Probable"},'Data entry'!$AQ$6:$AQ$200,'Data Validation'!$V$4, 'Data entry'!$AP$6:$AP$200,'Data Validation'!$U$5, 'Data entry'!$BD$6:$BD$200,"&lt;&gt;*Negative*"))</f>
        <v>0</v>
      </c>
      <c r="AT78" s="15">
        <f>SUM(COUNTIFS('Data entry'!$R$6:$R$200,'Summary Data'!$A78,'Data entry'!$B$6:$B$200,{"Confirmed";"Probable"},'Data entry'!$AQ$6:$AQ$200,'Data Validation'!$V$4, 'Data entry'!$AP$6:$AP$200,'Data Validation'!$U$6, 'Data entry'!$BD$6:$BD$200,"&lt;&gt;*Negative*"))</f>
        <v>0</v>
      </c>
      <c r="AU78" s="15">
        <f>SUM(COUNTIFS('Data entry'!$R$6:$R$200,'Summary Data'!$A78,'Data entry'!$B$6:$B$200,{"Confirmed";"Probable"},'Data entry'!$AQ$6:$AQ$200,'Data Validation'!$V$5, 'Data entry'!$AP$6:$AP$200,'Data Validation'!$U$2, 'Data entry'!$BD$6:$BD$200,"&lt;&gt;*Negative*"))</f>
        <v>0</v>
      </c>
      <c r="AV78" s="15">
        <f>SUM(COUNTIFS('Data entry'!$R$6:$R$200,'Summary Data'!$A78,'Data entry'!$B$6:$B$200,{"Confirmed";"Probable"},'Data entry'!$AQ$6:$AQ$200,'Data Validation'!$V$5, 'Data entry'!$AP$6:$AP$200,'Data Validation'!$U$3, 'Data entry'!$BD$6:$BD$200,"&lt;&gt;*Negative*"))</f>
        <v>0</v>
      </c>
      <c r="AW78" s="15">
        <f>SUM(COUNTIFS('Data entry'!$R$6:$R$200,'Summary Data'!$A78,'Data entry'!$B$6:$B$200,{"Confirmed";"Probable"},'Data entry'!$AQ$6:$AQ$200,'Data Validation'!$V$5, 'Data entry'!$AP$6:$AP$200,'Data Validation'!$U$4, 'Data entry'!$BD$6:$BD$200,"&lt;&gt;*Negative*"))</f>
        <v>0</v>
      </c>
      <c r="AX78" s="15">
        <f>SUM(COUNTIFS('Data entry'!$R$6:$R$200,'Summary Data'!$A78,'Data entry'!$B$6:$B$200,{"Confirmed";"Probable"},'Data entry'!$AQ$6:$AQ$200,'Data Validation'!$V$5, 'Data entry'!$AP$6:$AP$200,'Data Validation'!$U$5, 'Data entry'!$BD$6:$BD$200,"&lt;&gt;*Negative*"))</f>
        <v>0</v>
      </c>
      <c r="AY78" s="15">
        <f>SUM(COUNTIFS('Data entry'!$R$6:$R$200,'Summary Data'!$A78,'Data entry'!$B$6:$B$200,{"Confirmed";"Probable"},'Data entry'!$AQ$6:$AQ$200,'Data Validation'!$V$5, 'Data entry'!$AP$6:$AP$200,'Data Validation'!$U$6, 'Data entry'!$BD$6:$BD$200,"&lt;&gt;*Negative*"))</f>
        <v>0</v>
      </c>
      <c r="AZ78" s="15">
        <f>SUM(COUNTIFS('Data entry'!$R$6:$R$200,'Summary Data'!$A78,'Data entry'!$B$6:$B$200,{"Confirmed";"Probable"},'Data entry'!$AQ$6:$AQ$200,'Data Validation'!$V$6, 'Data entry'!$AP$6:$AP$200,'Data Validation'!$U$2, 'Data entry'!$BD$6:$BD$200,"&lt;&gt;*Negative*"))</f>
        <v>0</v>
      </c>
      <c r="BA78" s="15">
        <f>SUM(COUNTIFS('Data entry'!$R$6:$R$200,'Summary Data'!$A78,'Data entry'!$B$6:$B$200,{"Confirmed";"Probable"},'Data entry'!$AQ$6:$AQ$200,'Data Validation'!$V$6, 'Data entry'!$AP$6:$AP$200,'Data Validation'!$U$3, 'Data entry'!$BD$6:$BD$200,"&lt;&gt;*Negative*"))</f>
        <v>0</v>
      </c>
      <c r="BB78" s="15">
        <f>SUM(COUNTIFS('Data entry'!$R$6:$R$200,'Summary Data'!$A78,'Data entry'!$B$6:$B$200,{"Confirmed";"Probable"},'Data entry'!$AQ$6:$AQ$200,'Data Validation'!$V$6, 'Data entry'!$AP$6:$AP$200,'Data Validation'!$U$4, 'Data entry'!$BD$6:$BD$200,"&lt;&gt;*Negative*"))</f>
        <v>0</v>
      </c>
      <c r="BC78" s="15">
        <f>SUM(COUNTIFS('Data entry'!$R$6:$R$200,'Summary Data'!$A78,'Data entry'!$B$6:$B$200,{"Confirmed";"Probable"},'Data entry'!$AQ$6:$AQ$200,'Data Validation'!$V$6, 'Data entry'!$AP$6:$AP$200,'Data Validation'!$U$5, 'Data entry'!$BD$6:$BD$200,"&lt;&gt;*Negative*"))</f>
        <v>0</v>
      </c>
      <c r="BD78" s="15">
        <f>SUM(COUNTIFS('Data entry'!$R$6:$R$200,'Summary Data'!$A78,'Data entry'!$B$6:$B$200,{"Confirmed";"Probable"},'Data entry'!$AQ$6:$AQ$200,'Data Validation'!$V$6, 'Data entry'!$AP$6:$AP$200,'Data Validation'!$U$6, 'Data entry'!$BD$6:$BD$200,"&lt;&gt;*Negative*"))</f>
        <v>0</v>
      </c>
      <c r="BE78" s="15">
        <f>SUM(COUNTIFS('Data entry'!$R$6:$R$200,'Summary Data'!$A78,'Data entry'!$B$6:$B$200,{"Confirmed";"Probable"},'Data entry'!$AQ$6:$AQ$200,'Data Validation'!$V$7, 'Data entry'!$AP$6:$AP$200,'Data Validation'!$U$2, 'Data entry'!$BD$6:$BD$200,"&lt;&gt;*Negative*"))</f>
        <v>0</v>
      </c>
      <c r="BF78" s="15">
        <f>SUM(COUNTIFS('Data entry'!$R$6:$R$200,'Summary Data'!$A78,'Data entry'!$B$6:$B$200,{"Confirmed";"Probable"},'Data entry'!$AQ$6:$AQ$200,'Data Validation'!$V$7, 'Data entry'!$AP$6:$AP$200,'Data Validation'!$U$3, 'Data entry'!$BD$6:$BD$200,"&lt;&gt;*Negative*"))</f>
        <v>0</v>
      </c>
      <c r="BG78" s="15">
        <f>SUM(COUNTIFS('Data entry'!$R$6:$R$200,'Summary Data'!$A78,'Data entry'!$B$6:$B$200,{"Confirmed";"Probable"},'Data entry'!$AQ$6:$AQ$200,'Data Validation'!$V$7, 'Data entry'!$AP$6:$AP$200,'Data Validation'!$U$4, 'Data entry'!$BD$6:$BD$200,"&lt;&gt;*Negative*"))</f>
        <v>0</v>
      </c>
      <c r="BH78" s="15">
        <f>SUM(COUNTIFS('Data entry'!$R$6:$R$200,'Summary Data'!$A78,'Data entry'!$B$6:$B$200,{"Confirmed";"Probable"},'Data entry'!$AQ$6:$AQ$200,'Data Validation'!$V$7, 'Data entry'!$AP$6:$AP$200,'Data Validation'!$U$5, 'Data entry'!$BD$6:$BD$200,"&lt;&gt;*Negative*"))</f>
        <v>0</v>
      </c>
      <c r="BI78" s="15">
        <f>SUM(COUNTIFS('Data entry'!$R$6:$R$200,'Summary Data'!$A78,'Data entry'!$B$6:$B$200,{"Confirmed";"Probable"},'Data entry'!$AQ$6:$AQ$200,'Data Validation'!$V$7, 'Data entry'!$AP$6:$AP$200,'Data Validation'!$U$6, 'Data entry'!$BD$6:$BD$200,"&lt;&gt;*Negative*"))</f>
        <v>0</v>
      </c>
      <c r="BJ78" s="15">
        <f>SUM(COUNTIFS('Data entry'!$R$6:$R$200,'Summary Data'!$A78,'Data entry'!$B$6:$B$200,{"Confirmed";"Probable"},'Data entry'!$AQ$6:$AQ$200,'Data Validation'!$V$8, 'Data entry'!$AP$6:$AP$200,'Data Validation'!$U$2, 'Data entry'!$BD$6:$BD$200,"&lt;&gt;*Negative*"))</f>
        <v>0</v>
      </c>
      <c r="BK78" s="15">
        <f>SUM(COUNTIFS('Data entry'!$R$6:$R$200,'Summary Data'!$A78,'Data entry'!$B$6:$B$200,{"Confirmed";"Probable"},'Data entry'!$AQ$6:$AQ$200,'Data Validation'!$V$8, 'Data entry'!$AP$6:$AP$200,'Data Validation'!$U$3, 'Data entry'!$BD$6:$BD$200,"&lt;&gt;*Negative*"))</f>
        <v>0</v>
      </c>
      <c r="BL78" s="15">
        <f>SUM(COUNTIFS('Data entry'!$R$6:$R$200,'Summary Data'!$A78,'Data entry'!$B$6:$B$200,{"Confirmed";"Probable"},'Data entry'!$AQ$6:$AQ$200,'Data Validation'!$V$8, 'Data entry'!$AP$6:$AP$200,'Data Validation'!$U$4, 'Data entry'!$BD$6:$BD$200,"&lt;&gt;*Negative*"))</f>
        <v>0</v>
      </c>
      <c r="BM78" s="15">
        <f>SUM(COUNTIFS('Data entry'!$R$6:$R$200,'Summary Data'!$A78,'Data entry'!$B$6:$B$200,{"Confirmed";"Probable"},'Data entry'!$AQ$6:$AQ$200,'Data Validation'!$V$8, 'Data entry'!$AP$6:$AP$200,'Data Validation'!$U$5, 'Data entry'!$BD$6:$BD$200,"&lt;&gt;*Negative*"))</f>
        <v>0</v>
      </c>
      <c r="BN78" s="15">
        <f>SUM(COUNTIFS('Data entry'!$R$6:$R$200,'Summary Data'!$A78,'Data entry'!$B$6:$B$200,{"Confirmed";"Probable"},'Data entry'!$AQ$6:$AQ$200,'Data Validation'!$V$8, 'Data entry'!$AP$6:$AP$200,'Data Validation'!$U$6, 'Data entry'!$BD$6:$BD$200,"&lt;&gt;*Negative*"))</f>
        <v>0</v>
      </c>
      <c r="BO78" s="15">
        <f>SUM(COUNTIFS('Data entry'!$R$6:$R$200,'Summary Data'!$A78,'Data entry'!$B$6:$B$200,{"Confirmed";"Probable"},'Data entry'!$AQ$6:$AQ$200,'Data Validation'!$V$9, 'Data entry'!$AP$6:$AP$200,'Data Validation'!$U$2, 'Data entry'!$BD$6:$BD$200,"&lt;&gt;*Negative*"))</f>
        <v>0</v>
      </c>
      <c r="BP78" s="15">
        <f>SUM(COUNTIFS('Data entry'!$R$6:$R$200,'Summary Data'!$A78,'Data entry'!$B$6:$B$200,{"Confirmed";"Probable"},'Data entry'!$AQ$6:$AQ$200,'Data Validation'!$V$9, 'Data entry'!$AP$6:$AP$200,'Data Validation'!$U$3, 'Data entry'!$BD$6:$BD$200,"&lt;&gt;*Negative*"))</f>
        <v>0</v>
      </c>
      <c r="BQ78" s="15">
        <f>SUM(COUNTIFS('Data entry'!$R$6:$R$200,'Summary Data'!$A78,'Data entry'!$B$6:$B$200,{"Confirmed";"Probable"},'Data entry'!$AQ$6:$AQ$200,'Data Validation'!$V$9, 'Data entry'!$AP$6:$AP$200,'Data Validation'!$U$4, 'Data entry'!$BD$6:$BD$200,"&lt;&gt;*Negative*"))</f>
        <v>0</v>
      </c>
      <c r="BR78" s="15">
        <f>SUM(COUNTIFS('Data entry'!$R$6:$R$200,'Summary Data'!$A78,'Data entry'!$B$6:$B$200,{"Confirmed";"Probable"},'Data entry'!$AQ$6:$AQ$200,'Data Validation'!$V$9, 'Data entry'!$AP$6:$AP$200,'Data Validation'!$U$5, 'Data entry'!$BD$6:$BD$200,"&lt;&gt;*Negative*"))</f>
        <v>0</v>
      </c>
      <c r="BS78" s="15">
        <f>SUM(COUNTIFS('Data entry'!$R$6:$R$200,'Summary Data'!$A78,'Data entry'!$B$6:$B$200,{"Confirmed";"Probable"},'Data entry'!$AQ$6:$AQ$200,'Data Validation'!$V$9, 'Data entry'!$AP$6:$AP$200,'Data Validation'!$U$6, 'Data entry'!$BD$6:$BD$200,"&lt;&gt;*Negative*"))</f>
        <v>0</v>
      </c>
      <c r="BT78" s="15">
        <f>SUM(COUNTIFS('Data entry'!$R$6:$R$200,'Summary Data'!$A78,'Data entry'!$B$6:$B$200,{"Confirmed";"Probable"},'Data entry'!$AQ$6:$AQ$200,'Data Validation'!$V$10, 'Data entry'!$AP$6:$AP$200,'Data Validation'!$U$2, 'Data entry'!$BD$6:$BD$200,"&lt;&gt;*Negative*"))</f>
        <v>0</v>
      </c>
      <c r="BU78" s="15">
        <f>SUM(COUNTIFS('Data entry'!$R$6:$R$200,'Summary Data'!$A78,'Data entry'!$B$6:$B$200,{"Confirmed";"Probable"},'Data entry'!$AQ$6:$AQ$200,'Data Validation'!$V$10, 'Data entry'!$AP$6:$AP$200,'Data Validation'!$U$3, 'Data entry'!$BD$6:$BD$200,"&lt;&gt;*Negative*"))</f>
        <v>0</v>
      </c>
      <c r="BV78" s="15">
        <f>SUM(COUNTIFS('Data entry'!$R$6:$R$200,'Summary Data'!$A78,'Data entry'!$B$6:$B$200,{"Confirmed";"Probable"},'Data entry'!$AQ$6:$AQ$200,'Data Validation'!$V$10, 'Data entry'!$AP$6:$AP$200,'Data Validation'!$U$4, 'Data entry'!$BD$6:$BD$200,"&lt;&gt;*Negative*"))</f>
        <v>0</v>
      </c>
      <c r="BW78" s="15">
        <f>SUM(COUNTIFS('Data entry'!$R$6:$R$200,'Summary Data'!$A78,'Data entry'!$B$6:$B$200,{"Confirmed";"Probable"},'Data entry'!$AQ$6:$AQ$200,'Data Validation'!$V$10, 'Data entry'!$AP$6:$AP$200,'Data Validation'!$U$5, 'Data entry'!$BD$6:$BD$200,"&lt;&gt;*Negative*"))</f>
        <v>0</v>
      </c>
      <c r="BX78" s="15">
        <f>SUM(COUNTIFS('Data entry'!$R$6:$R$200,'Summary Data'!$A78,'Data entry'!$B$6:$B$200,{"Confirmed";"Probable"},'Data entry'!$AQ$6:$AQ$200,'Data Validation'!$V$10, 'Data entry'!$AP$6:$AP$200,'Data Validation'!$U$6, 'Data entry'!$BD$6:$BD$200,"&lt;&gt;*Negative*"))</f>
        <v>0</v>
      </c>
      <c r="BY78" s="15">
        <f>SUM(COUNTIFS('Data entry'!$R$6:$R$200,'Summary Data'!$A78,'Data entry'!$B$6:$B$200,{"Confirmed";"Probable"},'Data entry'!$AQ$6:$AQ$200,'Data Validation'!$V$11, 'Data entry'!$AP$6:$AP$200,'Data Validation'!$U$2, 'Data entry'!$BD$6:$BD$200,"&lt;&gt;*Negative*"))</f>
        <v>0</v>
      </c>
      <c r="BZ78" s="15">
        <f>SUM(COUNTIFS('Data entry'!$R$6:$R$200,'Summary Data'!$A78,'Data entry'!$B$6:$B$200,{"Confirmed";"Probable"},'Data entry'!$AQ$6:$AQ$200,'Data Validation'!$V$11, 'Data entry'!$AP$6:$AP$200,'Data Validation'!$U$3, 'Data entry'!$BD$6:$BD$200,"&lt;&gt;*Negative*"))</f>
        <v>0</v>
      </c>
      <c r="CA78" s="15">
        <f>SUM(COUNTIFS('Data entry'!$R$6:$R$200,'Summary Data'!$A78,'Data entry'!$B$6:$B$200,{"Confirmed";"Probable"},'Data entry'!$AQ$6:$AQ$200,'Data Validation'!$V$11, 'Data entry'!$AP$6:$AP$200,'Data Validation'!$U$4, 'Data entry'!$BD$6:$BD$200,"&lt;&gt;*Negative*"))</f>
        <v>0</v>
      </c>
      <c r="CB78" s="15">
        <f>SUM(COUNTIFS('Data entry'!$R$6:$R$200,'Summary Data'!$A78,'Data entry'!$B$6:$B$200,{"Confirmed";"Probable"},'Data entry'!$AQ$6:$AQ$200,'Data Validation'!$V$11, 'Data entry'!$AP$6:$AP$200,'Data Validation'!$U$5, 'Data entry'!$BD$6:$BD$200,"&lt;&gt;*Negative*"))</f>
        <v>0</v>
      </c>
      <c r="CC78" s="15">
        <f>SUM(COUNTIFS('Data entry'!$R$6:$R$200,'Summary Data'!$A78,'Data entry'!$B$6:$B$200,{"Confirmed";"Probable"},'Data entry'!$AQ$6:$AQ$200,'Data Validation'!$V$11, 'Data entry'!$AP$6:$AP$200,'Data Validation'!$U$6, 'Data entry'!$BD$6:$BD$200,"&lt;&gt;*Negative*"))</f>
        <v>0</v>
      </c>
    </row>
    <row r="79" spans="1:81" x14ac:dyDescent="0.25">
      <c r="A79" s="12">
        <f t="shared" si="9"/>
        <v>67</v>
      </c>
      <c r="B79" s="13">
        <f t="shared" si="6"/>
        <v>0</v>
      </c>
      <c r="C79" s="13">
        <f>COUNTIFS('Data entry'!$R$6:$R$200,$A79,'Data entry'!$B$6:$B$200,"Confirmed",'Data entry'!$BD$6:$BD$200,"&lt;&gt;*Negative*")</f>
        <v>0</v>
      </c>
      <c r="D79" s="13">
        <f>COUNTIFS('Data entry'!$R$6:$R$200,$A79,'Data entry'!$B$6:$B$200,"Probable",'Data entry'!$BD$6:$BD$200,"&lt;&gt;*Negative*")</f>
        <v>0</v>
      </c>
      <c r="E79" s="13">
        <f>COUNTIFS('Data entry'!$R$6:$R$200,$A79,'Data entry'!$B$6:$B$200,"DNM")</f>
        <v>0</v>
      </c>
      <c r="F79" s="13">
        <f>SUM(COUNTIFS('Data entry'!$R$6:$R$200,'Summary Data'!$A79,'Data entry'!$B$6:$B$200,{"Confirmed";"Probable"},'Data entry'!$AO$6:$AO$200,$F$10, 'Data entry'!$BD$6:$BD$200,"&lt;&gt;*Negative*"))</f>
        <v>0</v>
      </c>
      <c r="G79" s="13">
        <f>SUM(COUNTIFS('Data entry'!$R$6:$R$200,'Summary Data'!$A79,'Data entry'!$B$6:$B$200,{"Confirmed";"Probable"},'Data entry'!$AO$6:$AO$200,$G$10, 'Data entry'!$BD$6:$BD$200,"&lt;&gt;*Negative*"))</f>
        <v>0</v>
      </c>
      <c r="H79" s="13">
        <f>SUM(COUNTIFS('Data entry'!$R$6:$R$200,'Summary Data'!$A79,'Data entry'!$B$6:$B$200,{"Confirmed";"Probable"},'Data entry'!$AO$6:$AO$200,$H$10, 'Data entry'!$BD$6:$BD$200,"&lt;&gt;*Negative*"))</f>
        <v>0</v>
      </c>
      <c r="I79" s="13">
        <f>SUM(COUNTIFS('Data entry'!$R$6:$R$200,'Summary Data'!$A79,'Data entry'!$B$6:$B$200,{"Confirmed";"Probable"},'Data entry'!$AO$6:$AO$200,$I$10, 'Data entry'!$BD$6:$BD$200,"&lt;&gt;*Negative*"))</f>
        <v>0</v>
      </c>
      <c r="J79" s="13">
        <f>SUM(COUNTIFS('Data entry'!$R$6:$R$200,'Summary Data'!$A79,'Data entry'!$B$6:$B$200,{"Confirmed";"Probable"},'Data entry'!$AO$6:$AO$200,$J$10, 'Data entry'!$BD$6:$BD$200,"&lt;&gt;*Negative*"))</f>
        <v>0</v>
      </c>
      <c r="K79" s="13">
        <f>SUM(COUNTIFS('Data entry'!$R$6:$R$200,'Summary Data'!$A79,'Data entry'!$B$6:$B$200,{"Confirmed";"Probable"},'Data entry'!$AO$6:$AO$200,$K$10, 'Data entry'!$BD$6:$BD$200,"&lt;&gt;*Negative*"))</f>
        <v>0</v>
      </c>
      <c r="L79" s="13">
        <f>SUM(COUNTIFS('Data entry'!$R$6:$R$200,'Summary Data'!$A79,'Data entry'!$B$6:$B$200,{"Confirmed";"Probable"},'Data entry'!$AO$6:$AO$200,$L$10, 'Data entry'!$BD$6:$BD$200,"&lt;&gt;*Negative*"))</f>
        <v>0</v>
      </c>
      <c r="M79" s="13">
        <f>SUM(COUNTIFS('Data entry'!$R$6:$R$200,'Summary Data'!$A79,'Data entry'!$B$6:$B$200,{"Confirmed";"Probable"},'Data entry'!$AO$6:$AO$200,$M$10, 'Data entry'!$BD$6:$BD$200,"&lt;&gt;*Negative*"))</f>
        <v>0</v>
      </c>
      <c r="N79" s="13">
        <f>SUM(COUNTIFS('Data entry'!$R$6:$R$200,'Summary Data'!$A79,'Data entry'!$B$6:$B$200,{"Confirmed";"Probable"},'Data entry'!$AO$6:$AO$200,$N$10, 'Data entry'!$BD$6:$BD$200,"&lt;&gt;*Negative*"))</f>
        <v>0</v>
      </c>
      <c r="O79" s="15">
        <f t="shared" si="7"/>
        <v>0</v>
      </c>
      <c r="P79" s="15">
        <f t="shared" si="8"/>
        <v>0</v>
      </c>
      <c r="Q79" s="15">
        <f>SUM(COUNTIFS('Data entry'!$R$6:$R$200,'Summary Data'!$A79,'Data entry'!$B$6:$B$200,{"Confirmed";"Probable"},'Data entry'!$AP$6:$AP$200,'Data Validation'!$U$2, 'Data entry'!$BD$6:$BD$200,"&lt;&gt;*Negative*"))</f>
        <v>0</v>
      </c>
      <c r="R79" s="15">
        <f>SUM(COUNTIFS('Data entry'!$R$6:$R$200,'Summary Data'!$A79,'Data entry'!$B$6:$B$200,{"Confirmed";"Probable"},'Data entry'!$AP$6:$AP$200,'Data Validation'!$U$3, 'Data entry'!$BD$6:$BD$200,"&lt;&gt;*Negative*"))</f>
        <v>0</v>
      </c>
      <c r="S79" s="15">
        <f>SUM(COUNTIFS('Data entry'!$R$6:$R$200,'Summary Data'!$A79,'Data entry'!$B$6:$B$200,{"Confirmed";"Probable"},'Data entry'!$AP$6:$AP$200,'Data Validation'!$U$4, 'Data entry'!$BD$6:$BD$200,"&lt;&gt;*Negative*"))</f>
        <v>0</v>
      </c>
      <c r="T79" s="15">
        <f>SUM(COUNTIFS('Data entry'!$R$6:$R$200,'Summary Data'!$A79,'Data entry'!$B$6:$B$200,{"Confirmed";"Probable"},'Data entry'!$AP$6:$AP$200,'Data Validation'!$U$5, 'Data entry'!$BD$6:$BD$200,"&lt;&gt;*Negative*"))</f>
        <v>0</v>
      </c>
      <c r="U79" s="15">
        <f>SUM(COUNTIFS('Data entry'!$R$6:$R$200,'Summary Data'!$A79,'Data entry'!$B$6:$B$200,{"Confirmed";"Probable"},'Data entry'!$AP$6:$AP$200,'Data Validation'!$U$6, 'Data entry'!$BD$6:$BD$200,"&lt;&gt;*Negative*"))</f>
        <v>0</v>
      </c>
      <c r="V79" s="15">
        <f>SUM(COUNTIFS('Data entry'!$R$6:$R$200,'Summary Data'!$A79,'Data entry'!$B$6:$B$200,{"Confirmed";"Probable"},'Data entry'!$AQ$6:$AQ$200,'Data Validation'!$V$2, 'Data entry'!$BD$6:$BD$200,"&lt;&gt;*Negative*"))</f>
        <v>0</v>
      </c>
      <c r="W79" s="15">
        <f>SUM(COUNTIFS('Data entry'!$R$6:$R$200,'Summary Data'!$A79,'Data entry'!$B$6:$B$200,{"Confirmed";"Probable"},'Data entry'!$AQ$6:$AQ$200,'Data Validation'!$V$3, 'Data entry'!$BD$6:$BD$200,"&lt;&gt;*Negative*"))</f>
        <v>0</v>
      </c>
      <c r="X79" s="15">
        <f>SUM(COUNTIFS('Data entry'!$R$6:$R$200,'Summary Data'!$A79,'Data entry'!$B$6:$B$200,{"Confirmed";"Probable"},'Data entry'!$AQ$6:$AQ$200,'Data Validation'!$V$4, 'Data entry'!$BD$6:$BD$200,"&lt;&gt;*Negative*"))</f>
        <v>0</v>
      </c>
      <c r="Y79" s="15">
        <f>SUM(COUNTIFS('Data entry'!$R$6:$R$200,'Summary Data'!$A79,'Data entry'!$B$6:$B$200,{"Confirmed";"Probable"},'Data entry'!$AQ$6:$AQ$200,'Data Validation'!$V$5, 'Data entry'!$BD$6:$BD$200,"&lt;&gt;*Negative*"))</f>
        <v>0</v>
      </c>
      <c r="Z79" s="15">
        <f>SUM(COUNTIFS('Data entry'!$R$6:$R$200,'Summary Data'!$A79,'Data entry'!$B$6:$B$200,{"Confirmed";"Probable"},'Data entry'!$AQ$6:$AQ$200,'Data Validation'!$V$6, 'Data entry'!$BD$6:$BD$200,"&lt;&gt;*Negative*"))</f>
        <v>0</v>
      </c>
      <c r="AA79" s="15">
        <f>SUM(COUNTIFS('Data entry'!$R$6:$R$200,'Summary Data'!$A79,'Data entry'!$B$6:$B$200,{"Confirmed";"Probable"},'Data entry'!$AQ$6:$AQ$200,'Data Validation'!$V$7, 'Data entry'!$BD$6:$BD$200,"&lt;&gt;*Negative*"))</f>
        <v>0</v>
      </c>
      <c r="AB79" s="15">
        <f>SUM(COUNTIFS('Data entry'!$R$6:$R$200,'Summary Data'!$A79,'Data entry'!$B$6:$B$200,{"Confirmed";"Probable"},'Data entry'!$AQ$6:$AQ$200,'Data Validation'!$V$8, 'Data entry'!$BD$6:$BD$200,"&lt;&gt;*Negative*"))</f>
        <v>0</v>
      </c>
      <c r="AC79" s="15">
        <f>SUM(COUNTIFS('Data entry'!$R$6:$R$200,'Summary Data'!$A79,'Data entry'!$B$6:$B$200,{"Confirmed";"Probable"},'Data entry'!$AQ$6:$AQ$200,'Data Validation'!$V$9, 'Data entry'!$BD$6:$BD$200,"&lt;&gt;*Negative*"))</f>
        <v>0</v>
      </c>
      <c r="AD79" s="15">
        <f>SUM(COUNTIFS('Data entry'!$R$6:$R$200,'Summary Data'!$A79,'Data entry'!$B$6:$B$200,{"Confirmed";"Probable"},'Data entry'!$AQ$6:$AQ$200,'Data Validation'!$V$10, 'Data entry'!$BD$6:$BD$200,"&lt;&gt;*Negative*"))</f>
        <v>0</v>
      </c>
      <c r="AE79" s="15">
        <f>SUM(COUNTIFS('Data entry'!$R$6:$R$200,'Summary Data'!$A79,'Data entry'!$B$6:$B$200,{"Confirmed";"Probable"},'Data entry'!$AQ$6:$AQ$200,'Data Validation'!$V$11, 'Data entry'!$BD$6:$BD$200,"&lt;&gt;*Negative*"))</f>
        <v>0</v>
      </c>
      <c r="AF79" s="15">
        <f>SUM(COUNTIFS('Data entry'!$R$6:$R$200,'Summary Data'!$A79,'Data entry'!$B$6:$B$200,{"Confirmed";"Probable"},'Data entry'!$AQ$6:$AQ$200,'Data Validation'!$V$2, 'Data entry'!$AP$6:$AP$200,'Data Validation'!$U$2, 'Data entry'!$BD$6:$BD$200,"&lt;&gt;*Negative*"))</f>
        <v>0</v>
      </c>
      <c r="AG79" s="15">
        <f>SUM(COUNTIFS('Data entry'!$R$6:$R$200,'Summary Data'!$A79,'Data entry'!$B$6:$B$200,{"Confirmed";"Probable"},'Data entry'!$AQ$6:$AQ$200,'Data Validation'!$V$2, 'Data entry'!$AP$6:$AP$200,'Data Validation'!$U$3, 'Data entry'!$BD$6:$BD$200,"&lt;&gt;*Negative*"))</f>
        <v>0</v>
      </c>
      <c r="AH79" s="15">
        <f>SUM(COUNTIFS('Data entry'!$R$6:$R$200,'Summary Data'!$A79,'Data entry'!$B$6:$B$200,{"Confirmed";"Probable"},'Data entry'!$AQ$6:$AQ$200,'Data Validation'!$V$2, 'Data entry'!$AP$6:$AP$200,'Data Validation'!$U$4, 'Data entry'!$BD$6:$BD$200,"&lt;&gt;*Negative*"))</f>
        <v>0</v>
      </c>
      <c r="AI79" s="15">
        <f>SUM(COUNTIFS('Data entry'!$R$6:$R$200,'Summary Data'!$A79,'Data entry'!$B$6:$B$200,{"Confirmed";"Probable"},'Data entry'!$AQ$6:$AQ$200,'Data Validation'!$V$2, 'Data entry'!$AP$6:$AP$200,'Data Validation'!$U$5, 'Data entry'!$BD$6:$BD$200,"&lt;&gt;*Negative*"))</f>
        <v>0</v>
      </c>
      <c r="AJ79" s="15">
        <f>SUM(COUNTIFS('Data entry'!$R$6:$R$200,'Summary Data'!$A79,'Data entry'!$B$6:$B$200,{"Confirmed";"Probable"},'Data entry'!$AQ$6:$AQ$200,'Data Validation'!$V$2, 'Data entry'!$AP$6:$AP$200,'Data Validation'!$U$6, 'Data entry'!$BD$6:$BD$200,"&lt;&gt;*Negative*"))</f>
        <v>0</v>
      </c>
      <c r="AK79" s="15">
        <f>SUM(COUNTIFS('Data entry'!$R$6:$R$200,'Summary Data'!$A79,'Data entry'!$B$6:$B$200,{"Confirmed";"Probable"},'Data entry'!$AQ$6:$AQ$200,'Data Validation'!$V$3, 'Data entry'!$AP$6:$AP$200,'Data Validation'!$U$2, 'Data entry'!$BD$6:$BD$200,"&lt;&gt;*Negative*"))</f>
        <v>0</v>
      </c>
      <c r="AL79" s="15">
        <f>SUM(COUNTIFS('Data entry'!$R$6:$R$200,'Summary Data'!$A79,'Data entry'!$B$6:$B$200,{"Confirmed";"Probable"},'Data entry'!$AQ$6:$AQ$200,'Data Validation'!$V$3, 'Data entry'!$AP$6:$AP$200,'Data Validation'!$U$3, 'Data entry'!$BD$6:$BD$200,"&lt;&gt;*Negative*"))</f>
        <v>0</v>
      </c>
      <c r="AM79" s="15">
        <f>SUM(COUNTIFS('Data entry'!$R$6:$R$200,'Summary Data'!$A79,'Data entry'!$B$6:$B$200,{"Confirmed";"Probable"},'Data entry'!$AQ$6:$AQ$200,'Data Validation'!$V$3, 'Data entry'!$AP$6:$AP$200,'Data Validation'!$U$4, 'Data entry'!$BD$6:$BD$200,"&lt;&gt;*Negative*"))</f>
        <v>0</v>
      </c>
      <c r="AN79" s="15">
        <f>SUM(COUNTIFS('Data entry'!$R$6:$R$200,'Summary Data'!$A79,'Data entry'!$B$6:$B$200,{"Confirmed";"Probable"},'Data entry'!$AQ$6:$AQ$200,'Data Validation'!$V$3, 'Data entry'!$AP$6:$AP$200,'Data Validation'!$U$5, 'Data entry'!$BD$6:$BD$200,"&lt;&gt;*Negative*"))</f>
        <v>0</v>
      </c>
      <c r="AO79" s="15">
        <f>SUM(COUNTIFS('Data entry'!$R$6:$R$200,'Summary Data'!$A79,'Data entry'!$B$6:$B$200,{"Confirmed";"Probable"},'Data entry'!$AQ$6:$AQ$200,'Data Validation'!$V$3, 'Data entry'!$AP$6:$AP$200,'Data Validation'!$U$6, 'Data entry'!$BD$6:$BD$200,"&lt;&gt;*Negative*"))</f>
        <v>0</v>
      </c>
      <c r="AP79" s="15">
        <f>SUM(COUNTIFS('Data entry'!$R$6:$R$200,'Summary Data'!$A79,'Data entry'!$B$6:$B$200,{"Confirmed";"Probable"},'Data entry'!$AQ$6:$AQ$200,'Data Validation'!$V$4, 'Data entry'!$AP$6:$AP$200,'Data Validation'!$U$2, 'Data entry'!$BD$6:$BD$200,"&lt;&gt;*Negative*"))</f>
        <v>0</v>
      </c>
      <c r="AQ79" s="15">
        <f>SUM(COUNTIFS('Data entry'!$R$6:$R$200,'Summary Data'!$A79,'Data entry'!$B$6:$B$200,{"Confirmed";"Probable"},'Data entry'!$AQ$6:$AQ$200,'Data Validation'!$V$4, 'Data entry'!$AP$6:$AP$200,'Data Validation'!$U$3, 'Data entry'!$BD$6:$BD$200,"&lt;&gt;*Negative*"))</f>
        <v>0</v>
      </c>
      <c r="AR79" s="15">
        <f>SUM(COUNTIFS('Data entry'!$R$6:$R$200,'Summary Data'!$A79,'Data entry'!$B$6:$B$200,{"Confirmed";"Probable"},'Data entry'!$AQ$6:$AQ$200,'Data Validation'!$V$4, 'Data entry'!$AP$6:$AP$200,'Data Validation'!$U$4, 'Data entry'!$BD$6:$BD$200,"&lt;&gt;*Negative*"))</f>
        <v>0</v>
      </c>
      <c r="AS79" s="15">
        <f>SUM(COUNTIFS('Data entry'!$R$6:$R$200,'Summary Data'!$A79,'Data entry'!$B$6:$B$200,{"Confirmed";"Probable"},'Data entry'!$AQ$6:$AQ$200,'Data Validation'!$V$4, 'Data entry'!$AP$6:$AP$200,'Data Validation'!$U$5, 'Data entry'!$BD$6:$BD$200,"&lt;&gt;*Negative*"))</f>
        <v>0</v>
      </c>
      <c r="AT79" s="15">
        <f>SUM(COUNTIFS('Data entry'!$R$6:$R$200,'Summary Data'!$A79,'Data entry'!$B$6:$B$200,{"Confirmed";"Probable"},'Data entry'!$AQ$6:$AQ$200,'Data Validation'!$V$4, 'Data entry'!$AP$6:$AP$200,'Data Validation'!$U$6, 'Data entry'!$BD$6:$BD$200,"&lt;&gt;*Negative*"))</f>
        <v>0</v>
      </c>
      <c r="AU79" s="15">
        <f>SUM(COUNTIFS('Data entry'!$R$6:$R$200,'Summary Data'!$A79,'Data entry'!$B$6:$B$200,{"Confirmed";"Probable"},'Data entry'!$AQ$6:$AQ$200,'Data Validation'!$V$5, 'Data entry'!$AP$6:$AP$200,'Data Validation'!$U$2, 'Data entry'!$BD$6:$BD$200,"&lt;&gt;*Negative*"))</f>
        <v>0</v>
      </c>
      <c r="AV79" s="15">
        <f>SUM(COUNTIFS('Data entry'!$R$6:$R$200,'Summary Data'!$A79,'Data entry'!$B$6:$B$200,{"Confirmed";"Probable"},'Data entry'!$AQ$6:$AQ$200,'Data Validation'!$V$5, 'Data entry'!$AP$6:$AP$200,'Data Validation'!$U$3, 'Data entry'!$BD$6:$BD$200,"&lt;&gt;*Negative*"))</f>
        <v>0</v>
      </c>
      <c r="AW79" s="15">
        <f>SUM(COUNTIFS('Data entry'!$R$6:$R$200,'Summary Data'!$A79,'Data entry'!$B$6:$B$200,{"Confirmed";"Probable"},'Data entry'!$AQ$6:$AQ$200,'Data Validation'!$V$5, 'Data entry'!$AP$6:$AP$200,'Data Validation'!$U$4, 'Data entry'!$BD$6:$BD$200,"&lt;&gt;*Negative*"))</f>
        <v>0</v>
      </c>
      <c r="AX79" s="15">
        <f>SUM(COUNTIFS('Data entry'!$R$6:$R$200,'Summary Data'!$A79,'Data entry'!$B$6:$B$200,{"Confirmed";"Probable"},'Data entry'!$AQ$6:$AQ$200,'Data Validation'!$V$5, 'Data entry'!$AP$6:$AP$200,'Data Validation'!$U$5, 'Data entry'!$BD$6:$BD$200,"&lt;&gt;*Negative*"))</f>
        <v>0</v>
      </c>
      <c r="AY79" s="15">
        <f>SUM(COUNTIFS('Data entry'!$R$6:$R$200,'Summary Data'!$A79,'Data entry'!$B$6:$B$200,{"Confirmed";"Probable"},'Data entry'!$AQ$6:$AQ$200,'Data Validation'!$V$5, 'Data entry'!$AP$6:$AP$200,'Data Validation'!$U$6, 'Data entry'!$BD$6:$BD$200,"&lt;&gt;*Negative*"))</f>
        <v>0</v>
      </c>
      <c r="AZ79" s="15">
        <f>SUM(COUNTIFS('Data entry'!$R$6:$R$200,'Summary Data'!$A79,'Data entry'!$B$6:$B$200,{"Confirmed";"Probable"},'Data entry'!$AQ$6:$AQ$200,'Data Validation'!$V$6, 'Data entry'!$AP$6:$AP$200,'Data Validation'!$U$2, 'Data entry'!$BD$6:$BD$200,"&lt;&gt;*Negative*"))</f>
        <v>0</v>
      </c>
      <c r="BA79" s="15">
        <f>SUM(COUNTIFS('Data entry'!$R$6:$R$200,'Summary Data'!$A79,'Data entry'!$B$6:$B$200,{"Confirmed";"Probable"},'Data entry'!$AQ$6:$AQ$200,'Data Validation'!$V$6, 'Data entry'!$AP$6:$AP$200,'Data Validation'!$U$3, 'Data entry'!$BD$6:$BD$200,"&lt;&gt;*Negative*"))</f>
        <v>0</v>
      </c>
      <c r="BB79" s="15">
        <f>SUM(COUNTIFS('Data entry'!$R$6:$R$200,'Summary Data'!$A79,'Data entry'!$B$6:$B$200,{"Confirmed";"Probable"},'Data entry'!$AQ$6:$AQ$200,'Data Validation'!$V$6, 'Data entry'!$AP$6:$AP$200,'Data Validation'!$U$4, 'Data entry'!$BD$6:$BD$200,"&lt;&gt;*Negative*"))</f>
        <v>0</v>
      </c>
      <c r="BC79" s="15">
        <f>SUM(COUNTIFS('Data entry'!$R$6:$R$200,'Summary Data'!$A79,'Data entry'!$B$6:$B$200,{"Confirmed";"Probable"},'Data entry'!$AQ$6:$AQ$200,'Data Validation'!$V$6, 'Data entry'!$AP$6:$AP$200,'Data Validation'!$U$5, 'Data entry'!$BD$6:$BD$200,"&lt;&gt;*Negative*"))</f>
        <v>0</v>
      </c>
      <c r="BD79" s="15">
        <f>SUM(COUNTIFS('Data entry'!$R$6:$R$200,'Summary Data'!$A79,'Data entry'!$B$6:$B$200,{"Confirmed";"Probable"},'Data entry'!$AQ$6:$AQ$200,'Data Validation'!$V$6, 'Data entry'!$AP$6:$AP$200,'Data Validation'!$U$6, 'Data entry'!$BD$6:$BD$200,"&lt;&gt;*Negative*"))</f>
        <v>0</v>
      </c>
      <c r="BE79" s="15">
        <f>SUM(COUNTIFS('Data entry'!$R$6:$R$200,'Summary Data'!$A79,'Data entry'!$B$6:$B$200,{"Confirmed";"Probable"},'Data entry'!$AQ$6:$AQ$200,'Data Validation'!$V$7, 'Data entry'!$AP$6:$AP$200,'Data Validation'!$U$2, 'Data entry'!$BD$6:$BD$200,"&lt;&gt;*Negative*"))</f>
        <v>0</v>
      </c>
      <c r="BF79" s="15">
        <f>SUM(COUNTIFS('Data entry'!$R$6:$R$200,'Summary Data'!$A79,'Data entry'!$B$6:$B$200,{"Confirmed";"Probable"},'Data entry'!$AQ$6:$AQ$200,'Data Validation'!$V$7, 'Data entry'!$AP$6:$AP$200,'Data Validation'!$U$3, 'Data entry'!$BD$6:$BD$200,"&lt;&gt;*Negative*"))</f>
        <v>0</v>
      </c>
      <c r="BG79" s="15">
        <f>SUM(COUNTIFS('Data entry'!$R$6:$R$200,'Summary Data'!$A79,'Data entry'!$B$6:$B$200,{"Confirmed";"Probable"},'Data entry'!$AQ$6:$AQ$200,'Data Validation'!$V$7, 'Data entry'!$AP$6:$AP$200,'Data Validation'!$U$4, 'Data entry'!$BD$6:$BD$200,"&lt;&gt;*Negative*"))</f>
        <v>0</v>
      </c>
      <c r="BH79" s="15">
        <f>SUM(COUNTIFS('Data entry'!$R$6:$R$200,'Summary Data'!$A79,'Data entry'!$B$6:$B$200,{"Confirmed";"Probable"},'Data entry'!$AQ$6:$AQ$200,'Data Validation'!$V$7, 'Data entry'!$AP$6:$AP$200,'Data Validation'!$U$5, 'Data entry'!$BD$6:$BD$200,"&lt;&gt;*Negative*"))</f>
        <v>0</v>
      </c>
      <c r="BI79" s="15">
        <f>SUM(COUNTIFS('Data entry'!$R$6:$R$200,'Summary Data'!$A79,'Data entry'!$B$6:$B$200,{"Confirmed";"Probable"},'Data entry'!$AQ$6:$AQ$200,'Data Validation'!$V$7, 'Data entry'!$AP$6:$AP$200,'Data Validation'!$U$6, 'Data entry'!$BD$6:$BD$200,"&lt;&gt;*Negative*"))</f>
        <v>0</v>
      </c>
      <c r="BJ79" s="15">
        <f>SUM(COUNTIFS('Data entry'!$R$6:$R$200,'Summary Data'!$A79,'Data entry'!$B$6:$B$200,{"Confirmed";"Probable"},'Data entry'!$AQ$6:$AQ$200,'Data Validation'!$V$8, 'Data entry'!$AP$6:$AP$200,'Data Validation'!$U$2, 'Data entry'!$BD$6:$BD$200,"&lt;&gt;*Negative*"))</f>
        <v>0</v>
      </c>
      <c r="BK79" s="15">
        <f>SUM(COUNTIFS('Data entry'!$R$6:$R$200,'Summary Data'!$A79,'Data entry'!$B$6:$B$200,{"Confirmed";"Probable"},'Data entry'!$AQ$6:$AQ$200,'Data Validation'!$V$8, 'Data entry'!$AP$6:$AP$200,'Data Validation'!$U$3, 'Data entry'!$BD$6:$BD$200,"&lt;&gt;*Negative*"))</f>
        <v>0</v>
      </c>
      <c r="BL79" s="15">
        <f>SUM(COUNTIFS('Data entry'!$R$6:$R$200,'Summary Data'!$A79,'Data entry'!$B$6:$B$200,{"Confirmed";"Probable"},'Data entry'!$AQ$6:$AQ$200,'Data Validation'!$V$8, 'Data entry'!$AP$6:$AP$200,'Data Validation'!$U$4, 'Data entry'!$BD$6:$BD$200,"&lt;&gt;*Negative*"))</f>
        <v>0</v>
      </c>
      <c r="BM79" s="15">
        <f>SUM(COUNTIFS('Data entry'!$R$6:$R$200,'Summary Data'!$A79,'Data entry'!$B$6:$B$200,{"Confirmed";"Probable"},'Data entry'!$AQ$6:$AQ$200,'Data Validation'!$V$8, 'Data entry'!$AP$6:$AP$200,'Data Validation'!$U$5, 'Data entry'!$BD$6:$BD$200,"&lt;&gt;*Negative*"))</f>
        <v>0</v>
      </c>
      <c r="BN79" s="15">
        <f>SUM(COUNTIFS('Data entry'!$R$6:$R$200,'Summary Data'!$A79,'Data entry'!$B$6:$B$200,{"Confirmed";"Probable"},'Data entry'!$AQ$6:$AQ$200,'Data Validation'!$V$8, 'Data entry'!$AP$6:$AP$200,'Data Validation'!$U$6, 'Data entry'!$BD$6:$BD$200,"&lt;&gt;*Negative*"))</f>
        <v>0</v>
      </c>
      <c r="BO79" s="15">
        <f>SUM(COUNTIFS('Data entry'!$R$6:$R$200,'Summary Data'!$A79,'Data entry'!$B$6:$B$200,{"Confirmed";"Probable"},'Data entry'!$AQ$6:$AQ$200,'Data Validation'!$V$9, 'Data entry'!$AP$6:$AP$200,'Data Validation'!$U$2, 'Data entry'!$BD$6:$BD$200,"&lt;&gt;*Negative*"))</f>
        <v>0</v>
      </c>
      <c r="BP79" s="15">
        <f>SUM(COUNTIFS('Data entry'!$R$6:$R$200,'Summary Data'!$A79,'Data entry'!$B$6:$B$200,{"Confirmed";"Probable"},'Data entry'!$AQ$6:$AQ$200,'Data Validation'!$V$9, 'Data entry'!$AP$6:$AP$200,'Data Validation'!$U$3, 'Data entry'!$BD$6:$BD$200,"&lt;&gt;*Negative*"))</f>
        <v>0</v>
      </c>
      <c r="BQ79" s="15">
        <f>SUM(COUNTIFS('Data entry'!$R$6:$R$200,'Summary Data'!$A79,'Data entry'!$B$6:$B$200,{"Confirmed";"Probable"},'Data entry'!$AQ$6:$AQ$200,'Data Validation'!$V$9, 'Data entry'!$AP$6:$AP$200,'Data Validation'!$U$4, 'Data entry'!$BD$6:$BD$200,"&lt;&gt;*Negative*"))</f>
        <v>0</v>
      </c>
      <c r="BR79" s="15">
        <f>SUM(COUNTIFS('Data entry'!$R$6:$R$200,'Summary Data'!$A79,'Data entry'!$B$6:$B$200,{"Confirmed";"Probable"},'Data entry'!$AQ$6:$AQ$200,'Data Validation'!$V$9, 'Data entry'!$AP$6:$AP$200,'Data Validation'!$U$5, 'Data entry'!$BD$6:$BD$200,"&lt;&gt;*Negative*"))</f>
        <v>0</v>
      </c>
      <c r="BS79" s="15">
        <f>SUM(COUNTIFS('Data entry'!$R$6:$R$200,'Summary Data'!$A79,'Data entry'!$B$6:$B$200,{"Confirmed";"Probable"},'Data entry'!$AQ$6:$AQ$200,'Data Validation'!$V$9, 'Data entry'!$AP$6:$AP$200,'Data Validation'!$U$6, 'Data entry'!$BD$6:$BD$200,"&lt;&gt;*Negative*"))</f>
        <v>0</v>
      </c>
      <c r="BT79" s="15">
        <f>SUM(COUNTIFS('Data entry'!$R$6:$R$200,'Summary Data'!$A79,'Data entry'!$B$6:$B$200,{"Confirmed";"Probable"},'Data entry'!$AQ$6:$AQ$200,'Data Validation'!$V$10, 'Data entry'!$AP$6:$AP$200,'Data Validation'!$U$2, 'Data entry'!$BD$6:$BD$200,"&lt;&gt;*Negative*"))</f>
        <v>0</v>
      </c>
      <c r="BU79" s="15">
        <f>SUM(COUNTIFS('Data entry'!$R$6:$R$200,'Summary Data'!$A79,'Data entry'!$B$6:$B$200,{"Confirmed";"Probable"},'Data entry'!$AQ$6:$AQ$200,'Data Validation'!$V$10, 'Data entry'!$AP$6:$AP$200,'Data Validation'!$U$3, 'Data entry'!$BD$6:$BD$200,"&lt;&gt;*Negative*"))</f>
        <v>0</v>
      </c>
      <c r="BV79" s="15">
        <f>SUM(COUNTIFS('Data entry'!$R$6:$R$200,'Summary Data'!$A79,'Data entry'!$B$6:$B$200,{"Confirmed";"Probable"},'Data entry'!$AQ$6:$AQ$200,'Data Validation'!$V$10, 'Data entry'!$AP$6:$AP$200,'Data Validation'!$U$4, 'Data entry'!$BD$6:$BD$200,"&lt;&gt;*Negative*"))</f>
        <v>0</v>
      </c>
      <c r="BW79" s="15">
        <f>SUM(COUNTIFS('Data entry'!$R$6:$R$200,'Summary Data'!$A79,'Data entry'!$B$6:$B$200,{"Confirmed";"Probable"},'Data entry'!$AQ$6:$AQ$200,'Data Validation'!$V$10, 'Data entry'!$AP$6:$AP$200,'Data Validation'!$U$5, 'Data entry'!$BD$6:$BD$200,"&lt;&gt;*Negative*"))</f>
        <v>0</v>
      </c>
      <c r="BX79" s="15">
        <f>SUM(COUNTIFS('Data entry'!$R$6:$R$200,'Summary Data'!$A79,'Data entry'!$B$6:$B$200,{"Confirmed";"Probable"},'Data entry'!$AQ$6:$AQ$200,'Data Validation'!$V$10, 'Data entry'!$AP$6:$AP$200,'Data Validation'!$U$6, 'Data entry'!$BD$6:$BD$200,"&lt;&gt;*Negative*"))</f>
        <v>0</v>
      </c>
      <c r="BY79" s="15">
        <f>SUM(COUNTIFS('Data entry'!$R$6:$R$200,'Summary Data'!$A79,'Data entry'!$B$6:$B$200,{"Confirmed";"Probable"},'Data entry'!$AQ$6:$AQ$200,'Data Validation'!$V$11, 'Data entry'!$AP$6:$AP$200,'Data Validation'!$U$2, 'Data entry'!$BD$6:$BD$200,"&lt;&gt;*Negative*"))</f>
        <v>0</v>
      </c>
      <c r="BZ79" s="15">
        <f>SUM(COUNTIFS('Data entry'!$R$6:$R$200,'Summary Data'!$A79,'Data entry'!$B$6:$B$200,{"Confirmed";"Probable"},'Data entry'!$AQ$6:$AQ$200,'Data Validation'!$V$11, 'Data entry'!$AP$6:$AP$200,'Data Validation'!$U$3, 'Data entry'!$BD$6:$BD$200,"&lt;&gt;*Negative*"))</f>
        <v>0</v>
      </c>
      <c r="CA79" s="15">
        <f>SUM(COUNTIFS('Data entry'!$R$6:$R$200,'Summary Data'!$A79,'Data entry'!$B$6:$B$200,{"Confirmed";"Probable"},'Data entry'!$AQ$6:$AQ$200,'Data Validation'!$V$11, 'Data entry'!$AP$6:$AP$200,'Data Validation'!$U$4, 'Data entry'!$BD$6:$BD$200,"&lt;&gt;*Negative*"))</f>
        <v>0</v>
      </c>
      <c r="CB79" s="15">
        <f>SUM(COUNTIFS('Data entry'!$R$6:$R$200,'Summary Data'!$A79,'Data entry'!$B$6:$B$200,{"Confirmed";"Probable"},'Data entry'!$AQ$6:$AQ$200,'Data Validation'!$V$11, 'Data entry'!$AP$6:$AP$200,'Data Validation'!$U$5, 'Data entry'!$BD$6:$BD$200,"&lt;&gt;*Negative*"))</f>
        <v>0</v>
      </c>
      <c r="CC79" s="15">
        <f>SUM(COUNTIFS('Data entry'!$R$6:$R$200,'Summary Data'!$A79,'Data entry'!$B$6:$B$200,{"Confirmed";"Probable"},'Data entry'!$AQ$6:$AQ$200,'Data Validation'!$V$11, 'Data entry'!$AP$6:$AP$200,'Data Validation'!$U$6, 'Data entry'!$BD$6:$BD$200,"&lt;&gt;*Negative*"))</f>
        <v>0</v>
      </c>
    </row>
    <row r="80" spans="1:81" x14ac:dyDescent="0.25">
      <c r="A80" s="12">
        <f t="shared" si="9"/>
        <v>68</v>
      </c>
      <c r="B80" s="13">
        <f t="shared" si="6"/>
        <v>0</v>
      </c>
      <c r="C80" s="13">
        <f>COUNTIFS('Data entry'!$R$6:$R$200,$A80,'Data entry'!$B$6:$B$200,"Confirmed",'Data entry'!$BD$6:$BD$200,"&lt;&gt;*Negative*")</f>
        <v>0</v>
      </c>
      <c r="D80" s="13">
        <f>COUNTIFS('Data entry'!$R$6:$R$200,$A80,'Data entry'!$B$6:$B$200,"Probable",'Data entry'!$BD$6:$BD$200,"&lt;&gt;*Negative*")</f>
        <v>0</v>
      </c>
      <c r="E80" s="13">
        <f>COUNTIFS('Data entry'!$R$6:$R$200,$A80,'Data entry'!$B$6:$B$200,"DNM")</f>
        <v>0</v>
      </c>
      <c r="F80" s="13">
        <f>SUM(COUNTIFS('Data entry'!$R$6:$R$200,'Summary Data'!$A80,'Data entry'!$B$6:$B$200,{"Confirmed";"Probable"},'Data entry'!$AO$6:$AO$200,$F$10, 'Data entry'!$BD$6:$BD$200,"&lt;&gt;*Negative*"))</f>
        <v>0</v>
      </c>
      <c r="G80" s="13">
        <f>SUM(COUNTIFS('Data entry'!$R$6:$R$200,'Summary Data'!$A80,'Data entry'!$B$6:$B$200,{"Confirmed";"Probable"},'Data entry'!$AO$6:$AO$200,$G$10, 'Data entry'!$BD$6:$BD$200,"&lt;&gt;*Negative*"))</f>
        <v>0</v>
      </c>
      <c r="H80" s="13">
        <f>SUM(COUNTIFS('Data entry'!$R$6:$R$200,'Summary Data'!$A80,'Data entry'!$B$6:$B$200,{"Confirmed";"Probable"},'Data entry'!$AO$6:$AO$200,$H$10, 'Data entry'!$BD$6:$BD$200,"&lt;&gt;*Negative*"))</f>
        <v>0</v>
      </c>
      <c r="I80" s="13">
        <f>SUM(COUNTIFS('Data entry'!$R$6:$R$200,'Summary Data'!$A80,'Data entry'!$B$6:$B$200,{"Confirmed";"Probable"},'Data entry'!$AO$6:$AO$200,$I$10, 'Data entry'!$BD$6:$BD$200,"&lt;&gt;*Negative*"))</f>
        <v>0</v>
      </c>
      <c r="J80" s="13">
        <f>SUM(COUNTIFS('Data entry'!$R$6:$R$200,'Summary Data'!$A80,'Data entry'!$B$6:$B$200,{"Confirmed";"Probable"},'Data entry'!$AO$6:$AO$200,$J$10, 'Data entry'!$BD$6:$BD$200,"&lt;&gt;*Negative*"))</f>
        <v>0</v>
      </c>
      <c r="K80" s="13">
        <f>SUM(COUNTIFS('Data entry'!$R$6:$R$200,'Summary Data'!$A80,'Data entry'!$B$6:$B$200,{"Confirmed";"Probable"},'Data entry'!$AO$6:$AO$200,$K$10, 'Data entry'!$BD$6:$BD$200,"&lt;&gt;*Negative*"))</f>
        <v>0</v>
      </c>
      <c r="L80" s="13">
        <f>SUM(COUNTIFS('Data entry'!$R$6:$R$200,'Summary Data'!$A80,'Data entry'!$B$6:$B$200,{"Confirmed";"Probable"},'Data entry'!$AO$6:$AO$200,$L$10, 'Data entry'!$BD$6:$BD$200,"&lt;&gt;*Negative*"))</f>
        <v>0</v>
      </c>
      <c r="M80" s="13">
        <f>SUM(COUNTIFS('Data entry'!$R$6:$R$200,'Summary Data'!$A80,'Data entry'!$B$6:$B$200,{"Confirmed";"Probable"},'Data entry'!$AO$6:$AO$200,$M$10, 'Data entry'!$BD$6:$BD$200,"&lt;&gt;*Negative*"))</f>
        <v>0</v>
      </c>
      <c r="N80" s="13">
        <f>SUM(COUNTIFS('Data entry'!$R$6:$R$200,'Summary Data'!$A80,'Data entry'!$B$6:$B$200,{"Confirmed";"Probable"},'Data entry'!$AO$6:$AO$200,$N$10, 'Data entry'!$BD$6:$BD$200,"&lt;&gt;*Negative*"))</f>
        <v>0</v>
      </c>
      <c r="O80" s="15">
        <f t="shared" si="7"/>
        <v>0</v>
      </c>
      <c r="P80" s="15">
        <f t="shared" si="8"/>
        <v>0</v>
      </c>
      <c r="Q80" s="15">
        <f>SUM(COUNTIFS('Data entry'!$R$6:$R$200,'Summary Data'!$A80,'Data entry'!$B$6:$B$200,{"Confirmed";"Probable"},'Data entry'!$AP$6:$AP$200,'Data Validation'!$U$2, 'Data entry'!$BD$6:$BD$200,"&lt;&gt;*Negative*"))</f>
        <v>0</v>
      </c>
      <c r="R80" s="15">
        <f>SUM(COUNTIFS('Data entry'!$R$6:$R$200,'Summary Data'!$A80,'Data entry'!$B$6:$B$200,{"Confirmed";"Probable"},'Data entry'!$AP$6:$AP$200,'Data Validation'!$U$3, 'Data entry'!$BD$6:$BD$200,"&lt;&gt;*Negative*"))</f>
        <v>0</v>
      </c>
      <c r="S80" s="15">
        <f>SUM(COUNTIFS('Data entry'!$R$6:$R$200,'Summary Data'!$A80,'Data entry'!$B$6:$B$200,{"Confirmed";"Probable"},'Data entry'!$AP$6:$AP$200,'Data Validation'!$U$4, 'Data entry'!$BD$6:$BD$200,"&lt;&gt;*Negative*"))</f>
        <v>0</v>
      </c>
      <c r="T80" s="15">
        <f>SUM(COUNTIFS('Data entry'!$R$6:$R$200,'Summary Data'!$A80,'Data entry'!$B$6:$B$200,{"Confirmed";"Probable"},'Data entry'!$AP$6:$AP$200,'Data Validation'!$U$5, 'Data entry'!$BD$6:$BD$200,"&lt;&gt;*Negative*"))</f>
        <v>0</v>
      </c>
      <c r="U80" s="15">
        <f>SUM(COUNTIFS('Data entry'!$R$6:$R$200,'Summary Data'!$A80,'Data entry'!$B$6:$B$200,{"Confirmed";"Probable"},'Data entry'!$AP$6:$AP$200,'Data Validation'!$U$6, 'Data entry'!$BD$6:$BD$200,"&lt;&gt;*Negative*"))</f>
        <v>0</v>
      </c>
      <c r="V80" s="15">
        <f>SUM(COUNTIFS('Data entry'!$R$6:$R$200,'Summary Data'!$A80,'Data entry'!$B$6:$B$200,{"Confirmed";"Probable"},'Data entry'!$AQ$6:$AQ$200,'Data Validation'!$V$2, 'Data entry'!$BD$6:$BD$200,"&lt;&gt;*Negative*"))</f>
        <v>0</v>
      </c>
      <c r="W80" s="15">
        <f>SUM(COUNTIFS('Data entry'!$R$6:$R$200,'Summary Data'!$A80,'Data entry'!$B$6:$B$200,{"Confirmed";"Probable"},'Data entry'!$AQ$6:$AQ$200,'Data Validation'!$V$3, 'Data entry'!$BD$6:$BD$200,"&lt;&gt;*Negative*"))</f>
        <v>0</v>
      </c>
      <c r="X80" s="15">
        <f>SUM(COUNTIFS('Data entry'!$R$6:$R$200,'Summary Data'!$A80,'Data entry'!$B$6:$B$200,{"Confirmed";"Probable"},'Data entry'!$AQ$6:$AQ$200,'Data Validation'!$V$4, 'Data entry'!$BD$6:$BD$200,"&lt;&gt;*Negative*"))</f>
        <v>0</v>
      </c>
      <c r="Y80" s="15">
        <f>SUM(COUNTIFS('Data entry'!$R$6:$R$200,'Summary Data'!$A80,'Data entry'!$B$6:$B$200,{"Confirmed";"Probable"},'Data entry'!$AQ$6:$AQ$200,'Data Validation'!$V$5, 'Data entry'!$BD$6:$BD$200,"&lt;&gt;*Negative*"))</f>
        <v>0</v>
      </c>
      <c r="Z80" s="15">
        <f>SUM(COUNTIFS('Data entry'!$R$6:$R$200,'Summary Data'!$A80,'Data entry'!$B$6:$B$200,{"Confirmed";"Probable"},'Data entry'!$AQ$6:$AQ$200,'Data Validation'!$V$6, 'Data entry'!$BD$6:$BD$200,"&lt;&gt;*Negative*"))</f>
        <v>0</v>
      </c>
      <c r="AA80" s="15">
        <f>SUM(COUNTIFS('Data entry'!$R$6:$R$200,'Summary Data'!$A80,'Data entry'!$B$6:$B$200,{"Confirmed";"Probable"},'Data entry'!$AQ$6:$AQ$200,'Data Validation'!$V$7, 'Data entry'!$BD$6:$BD$200,"&lt;&gt;*Negative*"))</f>
        <v>0</v>
      </c>
      <c r="AB80" s="15">
        <f>SUM(COUNTIFS('Data entry'!$R$6:$R$200,'Summary Data'!$A80,'Data entry'!$B$6:$B$200,{"Confirmed";"Probable"},'Data entry'!$AQ$6:$AQ$200,'Data Validation'!$V$8, 'Data entry'!$BD$6:$BD$200,"&lt;&gt;*Negative*"))</f>
        <v>0</v>
      </c>
      <c r="AC80" s="15">
        <f>SUM(COUNTIFS('Data entry'!$R$6:$R$200,'Summary Data'!$A80,'Data entry'!$B$6:$B$200,{"Confirmed";"Probable"},'Data entry'!$AQ$6:$AQ$200,'Data Validation'!$V$9, 'Data entry'!$BD$6:$BD$200,"&lt;&gt;*Negative*"))</f>
        <v>0</v>
      </c>
      <c r="AD80" s="15">
        <f>SUM(COUNTIFS('Data entry'!$R$6:$R$200,'Summary Data'!$A80,'Data entry'!$B$6:$B$200,{"Confirmed";"Probable"},'Data entry'!$AQ$6:$AQ$200,'Data Validation'!$V$10, 'Data entry'!$BD$6:$BD$200,"&lt;&gt;*Negative*"))</f>
        <v>0</v>
      </c>
      <c r="AE80" s="15">
        <f>SUM(COUNTIFS('Data entry'!$R$6:$R$200,'Summary Data'!$A80,'Data entry'!$B$6:$B$200,{"Confirmed";"Probable"},'Data entry'!$AQ$6:$AQ$200,'Data Validation'!$V$11, 'Data entry'!$BD$6:$BD$200,"&lt;&gt;*Negative*"))</f>
        <v>0</v>
      </c>
      <c r="AF80" s="15">
        <f>SUM(COUNTIFS('Data entry'!$R$6:$R$200,'Summary Data'!$A80,'Data entry'!$B$6:$B$200,{"Confirmed";"Probable"},'Data entry'!$AQ$6:$AQ$200,'Data Validation'!$V$2, 'Data entry'!$AP$6:$AP$200,'Data Validation'!$U$2, 'Data entry'!$BD$6:$BD$200,"&lt;&gt;*Negative*"))</f>
        <v>0</v>
      </c>
      <c r="AG80" s="15">
        <f>SUM(COUNTIFS('Data entry'!$R$6:$R$200,'Summary Data'!$A80,'Data entry'!$B$6:$B$200,{"Confirmed";"Probable"},'Data entry'!$AQ$6:$AQ$200,'Data Validation'!$V$2, 'Data entry'!$AP$6:$AP$200,'Data Validation'!$U$3, 'Data entry'!$BD$6:$BD$200,"&lt;&gt;*Negative*"))</f>
        <v>0</v>
      </c>
      <c r="AH80" s="15">
        <f>SUM(COUNTIFS('Data entry'!$R$6:$R$200,'Summary Data'!$A80,'Data entry'!$B$6:$B$200,{"Confirmed";"Probable"},'Data entry'!$AQ$6:$AQ$200,'Data Validation'!$V$2, 'Data entry'!$AP$6:$AP$200,'Data Validation'!$U$4, 'Data entry'!$BD$6:$BD$200,"&lt;&gt;*Negative*"))</f>
        <v>0</v>
      </c>
      <c r="AI80" s="15">
        <f>SUM(COUNTIFS('Data entry'!$R$6:$R$200,'Summary Data'!$A80,'Data entry'!$B$6:$B$200,{"Confirmed";"Probable"},'Data entry'!$AQ$6:$AQ$200,'Data Validation'!$V$2, 'Data entry'!$AP$6:$AP$200,'Data Validation'!$U$5, 'Data entry'!$BD$6:$BD$200,"&lt;&gt;*Negative*"))</f>
        <v>0</v>
      </c>
      <c r="AJ80" s="15">
        <f>SUM(COUNTIFS('Data entry'!$R$6:$R$200,'Summary Data'!$A80,'Data entry'!$B$6:$B$200,{"Confirmed";"Probable"},'Data entry'!$AQ$6:$AQ$200,'Data Validation'!$V$2, 'Data entry'!$AP$6:$AP$200,'Data Validation'!$U$6, 'Data entry'!$BD$6:$BD$200,"&lt;&gt;*Negative*"))</f>
        <v>0</v>
      </c>
      <c r="AK80" s="15">
        <f>SUM(COUNTIFS('Data entry'!$R$6:$R$200,'Summary Data'!$A80,'Data entry'!$B$6:$B$200,{"Confirmed";"Probable"},'Data entry'!$AQ$6:$AQ$200,'Data Validation'!$V$3, 'Data entry'!$AP$6:$AP$200,'Data Validation'!$U$2, 'Data entry'!$BD$6:$BD$200,"&lt;&gt;*Negative*"))</f>
        <v>0</v>
      </c>
      <c r="AL80" s="15">
        <f>SUM(COUNTIFS('Data entry'!$R$6:$R$200,'Summary Data'!$A80,'Data entry'!$B$6:$B$200,{"Confirmed";"Probable"},'Data entry'!$AQ$6:$AQ$200,'Data Validation'!$V$3, 'Data entry'!$AP$6:$AP$200,'Data Validation'!$U$3, 'Data entry'!$BD$6:$BD$200,"&lt;&gt;*Negative*"))</f>
        <v>0</v>
      </c>
      <c r="AM80" s="15">
        <f>SUM(COUNTIFS('Data entry'!$R$6:$R$200,'Summary Data'!$A80,'Data entry'!$B$6:$B$200,{"Confirmed";"Probable"},'Data entry'!$AQ$6:$AQ$200,'Data Validation'!$V$3, 'Data entry'!$AP$6:$AP$200,'Data Validation'!$U$4, 'Data entry'!$BD$6:$BD$200,"&lt;&gt;*Negative*"))</f>
        <v>0</v>
      </c>
      <c r="AN80" s="15">
        <f>SUM(COUNTIFS('Data entry'!$R$6:$R$200,'Summary Data'!$A80,'Data entry'!$B$6:$B$200,{"Confirmed";"Probable"},'Data entry'!$AQ$6:$AQ$200,'Data Validation'!$V$3, 'Data entry'!$AP$6:$AP$200,'Data Validation'!$U$5, 'Data entry'!$BD$6:$BD$200,"&lt;&gt;*Negative*"))</f>
        <v>0</v>
      </c>
      <c r="AO80" s="15">
        <f>SUM(COUNTIFS('Data entry'!$R$6:$R$200,'Summary Data'!$A80,'Data entry'!$B$6:$B$200,{"Confirmed";"Probable"},'Data entry'!$AQ$6:$AQ$200,'Data Validation'!$V$3, 'Data entry'!$AP$6:$AP$200,'Data Validation'!$U$6, 'Data entry'!$BD$6:$BD$200,"&lt;&gt;*Negative*"))</f>
        <v>0</v>
      </c>
      <c r="AP80" s="15">
        <f>SUM(COUNTIFS('Data entry'!$R$6:$R$200,'Summary Data'!$A80,'Data entry'!$B$6:$B$200,{"Confirmed";"Probable"},'Data entry'!$AQ$6:$AQ$200,'Data Validation'!$V$4, 'Data entry'!$AP$6:$AP$200,'Data Validation'!$U$2, 'Data entry'!$BD$6:$BD$200,"&lt;&gt;*Negative*"))</f>
        <v>0</v>
      </c>
      <c r="AQ80" s="15">
        <f>SUM(COUNTIFS('Data entry'!$R$6:$R$200,'Summary Data'!$A80,'Data entry'!$B$6:$B$200,{"Confirmed";"Probable"},'Data entry'!$AQ$6:$AQ$200,'Data Validation'!$V$4, 'Data entry'!$AP$6:$AP$200,'Data Validation'!$U$3, 'Data entry'!$BD$6:$BD$200,"&lt;&gt;*Negative*"))</f>
        <v>0</v>
      </c>
      <c r="AR80" s="15">
        <f>SUM(COUNTIFS('Data entry'!$R$6:$R$200,'Summary Data'!$A80,'Data entry'!$B$6:$B$200,{"Confirmed";"Probable"},'Data entry'!$AQ$6:$AQ$200,'Data Validation'!$V$4, 'Data entry'!$AP$6:$AP$200,'Data Validation'!$U$4, 'Data entry'!$BD$6:$BD$200,"&lt;&gt;*Negative*"))</f>
        <v>0</v>
      </c>
      <c r="AS80" s="15">
        <f>SUM(COUNTIFS('Data entry'!$R$6:$R$200,'Summary Data'!$A80,'Data entry'!$B$6:$B$200,{"Confirmed";"Probable"},'Data entry'!$AQ$6:$AQ$200,'Data Validation'!$V$4, 'Data entry'!$AP$6:$AP$200,'Data Validation'!$U$5, 'Data entry'!$BD$6:$BD$200,"&lt;&gt;*Negative*"))</f>
        <v>0</v>
      </c>
      <c r="AT80" s="15">
        <f>SUM(COUNTIFS('Data entry'!$R$6:$R$200,'Summary Data'!$A80,'Data entry'!$B$6:$B$200,{"Confirmed";"Probable"},'Data entry'!$AQ$6:$AQ$200,'Data Validation'!$V$4, 'Data entry'!$AP$6:$AP$200,'Data Validation'!$U$6, 'Data entry'!$BD$6:$BD$200,"&lt;&gt;*Negative*"))</f>
        <v>0</v>
      </c>
      <c r="AU80" s="15">
        <f>SUM(COUNTIFS('Data entry'!$R$6:$R$200,'Summary Data'!$A80,'Data entry'!$B$6:$B$200,{"Confirmed";"Probable"},'Data entry'!$AQ$6:$AQ$200,'Data Validation'!$V$5, 'Data entry'!$AP$6:$AP$200,'Data Validation'!$U$2, 'Data entry'!$BD$6:$BD$200,"&lt;&gt;*Negative*"))</f>
        <v>0</v>
      </c>
      <c r="AV80" s="15">
        <f>SUM(COUNTIFS('Data entry'!$R$6:$R$200,'Summary Data'!$A80,'Data entry'!$B$6:$B$200,{"Confirmed";"Probable"},'Data entry'!$AQ$6:$AQ$200,'Data Validation'!$V$5, 'Data entry'!$AP$6:$AP$200,'Data Validation'!$U$3, 'Data entry'!$BD$6:$BD$200,"&lt;&gt;*Negative*"))</f>
        <v>0</v>
      </c>
      <c r="AW80" s="15">
        <f>SUM(COUNTIFS('Data entry'!$R$6:$R$200,'Summary Data'!$A80,'Data entry'!$B$6:$B$200,{"Confirmed";"Probable"},'Data entry'!$AQ$6:$AQ$200,'Data Validation'!$V$5, 'Data entry'!$AP$6:$AP$200,'Data Validation'!$U$4, 'Data entry'!$BD$6:$BD$200,"&lt;&gt;*Negative*"))</f>
        <v>0</v>
      </c>
      <c r="AX80" s="15">
        <f>SUM(COUNTIFS('Data entry'!$R$6:$R$200,'Summary Data'!$A80,'Data entry'!$B$6:$B$200,{"Confirmed";"Probable"},'Data entry'!$AQ$6:$AQ$200,'Data Validation'!$V$5, 'Data entry'!$AP$6:$AP$200,'Data Validation'!$U$5, 'Data entry'!$BD$6:$BD$200,"&lt;&gt;*Negative*"))</f>
        <v>0</v>
      </c>
      <c r="AY80" s="15">
        <f>SUM(COUNTIFS('Data entry'!$R$6:$R$200,'Summary Data'!$A80,'Data entry'!$B$6:$B$200,{"Confirmed";"Probable"},'Data entry'!$AQ$6:$AQ$200,'Data Validation'!$V$5, 'Data entry'!$AP$6:$AP$200,'Data Validation'!$U$6, 'Data entry'!$BD$6:$BD$200,"&lt;&gt;*Negative*"))</f>
        <v>0</v>
      </c>
      <c r="AZ80" s="15">
        <f>SUM(COUNTIFS('Data entry'!$R$6:$R$200,'Summary Data'!$A80,'Data entry'!$B$6:$B$200,{"Confirmed";"Probable"},'Data entry'!$AQ$6:$AQ$200,'Data Validation'!$V$6, 'Data entry'!$AP$6:$AP$200,'Data Validation'!$U$2, 'Data entry'!$BD$6:$BD$200,"&lt;&gt;*Negative*"))</f>
        <v>0</v>
      </c>
      <c r="BA80" s="15">
        <f>SUM(COUNTIFS('Data entry'!$R$6:$R$200,'Summary Data'!$A80,'Data entry'!$B$6:$B$200,{"Confirmed";"Probable"},'Data entry'!$AQ$6:$AQ$200,'Data Validation'!$V$6, 'Data entry'!$AP$6:$AP$200,'Data Validation'!$U$3, 'Data entry'!$BD$6:$BD$200,"&lt;&gt;*Negative*"))</f>
        <v>0</v>
      </c>
      <c r="BB80" s="15">
        <f>SUM(COUNTIFS('Data entry'!$R$6:$R$200,'Summary Data'!$A80,'Data entry'!$B$6:$B$200,{"Confirmed";"Probable"},'Data entry'!$AQ$6:$AQ$200,'Data Validation'!$V$6, 'Data entry'!$AP$6:$AP$200,'Data Validation'!$U$4, 'Data entry'!$BD$6:$BD$200,"&lt;&gt;*Negative*"))</f>
        <v>0</v>
      </c>
      <c r="BC80" s="15">
        <f>SUM(COUNTIFS('Data entry'!$R$6:$R$200,'Summary Data'!$A80,'Data entry'!$B$6:$B$200,{"Confirmed";"Probable"},'Data entry'!$AQ$6:$AQ$200,'Data Validation'!$V$6, 'Data entry'!$AP$6:$AP$200,'Data Validation'!$U$5, 'Data entry'!$BD$6:$BD$200,"&lt;&gt;*Negative*"))</f>
        <v>0</v>
      </c>
      <c r="BD80" s="15">
        <f>SUM(COUNTIFS('Data entry'!$R$6:$R$200,'Summary Data'!$A80,'Data entry'!$B$6:$B$200,{"Confirmed";"Probable"},'Data entry'!$AQ$6:$AQ$200,'Data Validation'!$V$6, 'Data entry'!$AP$6:$AP$200,'Data Validation'!$U$6, 'Data entry'!$BD$6:$BD$200,"&lt;&gt;*Negative*"))</f>
        <v>0</v>
      </c>
      <c r="BE80" s="15">
        <f>SUM(COUNTIFS('Data entry'!$R$6:$R$200,'Summary Data'!$A80,'Data entry'!$B$6:$B$200,{"Confirmed";"Probable"},'Data entry'!$AQ$6:$AQ$200,'Data Validation'!$V$7, 'Data entry'!$AP$6:$AP$200,'Data Validation'!$U$2, 'Data entry'!$BD$6:$BD$200,"&lt;&gt;*Negative*"))</f>
        <v>0</v>
      </c>
      <c r="BF80" s="15">
        <f>SUM(COUNTIFS('Data entry'!$R$6:$R$200,'Summary Data'!$A80,'Data entry'!$B$6:$B$200,{"Confirmed";"Probable"},'Data entry'!$AQ$6:$AQ$200,'Data Validation'!$V$7, 'Data entry'!$AP$6:$AP$200,'Data Validation'!$U$3, 'Data entry'!$BD$6:$BD$200,"&lt;&gt;*Negative*"))</f>
        <v>0</v>
      </c>
      <c r="BG80" s="15">
        <f>SUM(COUNTIFS('Data entry'!$R$6:$R$200,'Summary Data'!$A80,'Data entry'!$B$6:$B$200,{"Confirmed";"Probable"},'Data entry'!$AQ$6:$AQ$200,'Data Validation'!$V$7, 'Data entry'!$AP$6:$AP$200,'Data Validation'!$U$4, 'Data entry'!$BD$6:$BD$200,"&lt;&gt;*Negative*"))</f>
        <v>0</v>
      </c>
      <c r="BH80" s="15">
        <f>SUM(COUNTIFS('Data entry'!$R$6:$R$200,'Summary Data'!$A80,'Data entry'!$B$6:$B$200,{"Confirmed";"Probable"},'Data entry'!$AQ$6:$AQ$200,'Data Validation'!$V$7, 'Data entry'!$AP$6:$AP$200,'Data Validation'!$U$5, 'Data entry'!$BD$6:$BD$200,"&lt;&gt;*Negative*"))</f>
        <v>0</v>
      </c>
      <c r="BI80" s="15">
        <f>SUM(COUNTIFS('Data entry'!$R$6:$R$200,'Summary Data'!$A80,'Data entry'!$B$6:$B$200,{"Confirmed";"Probable"},'Data entry'!$AQ$6:$AQ$200,'Data Validation'!$V$7, 'Data entry'!$AP$6:$AP$200,'Data Validation'!$U$6, 'Data entry'!$BD$6:$BD$200,"&lt;&gt;*Negative*"))</f>
        <v>0</v>
      </c>
      <c r="BJ80" s="15">
        <f>SUM(COUNTIFS('Data entry'!$R$6:$R$200,'Summary Data'!$A80,'Data entry'!$B$6:$B$200,{"Confirmed";"Probable"},'Data entry'!$AQ$6:$AQ$200,'Data Validation'!$V$8, 'Data entry'!$AP$6:$AP$200,'Data Validation'!$U$2, 'Data entry'!$BD$6:$BD$200,"&lt;&gt;*Negative*"))</f>
        <v>0</v>
      </c>
      <c r="BK80" s="15">
        <f>SUM(COUNTIFS('Data entry'!$R$6:$R$200,'Summary Data'!$A80,'Data entry'!$B$6:$B$200,{"Confirmed";"Probable"},'Data entry'!$AQ$6:$AQ$200,'Data Validation'!$V$8, 'Data entry'!$AP$6:$AP$200,'Data Validation'!$U$3, 'Data entry'!$BD$6:$BD$200,"&lt;&gt;*Negative*"))</f>
        <v>0</v>
      </c>
      <c r="BL80" s="15">
        <f>SUM(COUNTIFS('Data entry'!$R$6:$R$200,'Summary Data'!$A80,'Data entry'!$B$6:$B$200,{"Confirmed";"Probable"},'Data entry'!$AQ$6:$AQ$200,'Data Validation'!$V$8, 'Data entry'!$AP$6:$AP$200,'Data Validation'!$U$4, 'Data entry'!$BD$6:$BD$200,"&lt;&gt;*Negative*"))</f>
        <v>0</v>
      </c>
      <c r="BM80" s="15">
        <f>SUM(COUNTIFS('Data entry'!$R$6:$R$200,'Summary Data'!$A80,'Data entry'!$B$6:$B$200,{"Confirmed";"Probable"},'Data entry'!$AQ$6:$AQ$200,'Data Validation'!$V$8, 'Data entry'!$AP$6:$AP$200,'Data Validation'!$U$5, 'Data entry'!$BD$6:$BD$200,"&lt;&gt;*Negative*"))</f>
        <v>0</v>
      </c>
      <c r="BN80" s="15">
        <f>SUM(COUNTIFS('Data entry'!$R$6:$R$200,'Summary Data'!$A80,'Data entry'!$B$6:$B$200,{"Confirmed";"Probable"},'Data entry'!$AQ$6:$AQ$200,'Data Validation'!$V$8, 'Data entry'!$AP$6:$AP$200,'Data Validation'!$U$6, 'Data entry'!$BD$6:$BD$200,"&lt;&gt;*Negative*"))</f>
        <v>0</v>
      </c>
      <c r="BO80" s="15">
        <f>SUM(COUNTIFS('Data entry'!$R$6:$R$200,'Summary Data'!$A80,'Data entry'!$B$6:$B$200,{"Confirmed";"Probable"},'Data entry'!$AQ$6:$AQ$200,'Data Validation'!$V$9, 'Data entry'!$AP$6:$AP$200,'Data Validation'!$U$2, 'Data entry'!$BD$6:$BD$200,"&lt;&gt;*Negative*"))</f>
        <v>0</v>
      </c>
      <c r="BP80" s="15">
        <f>SUM(COUNTIFS('Data entry'!$R$6:$R$200,'Summary Data'!$A80,'Data entry'!$B$6:$B$200,{"Confirmed";"Probable"},'Data entry'!$AQ$6:$AQ$200,'Data Validation'!$V$9, 'Data entry'!$AP$6:$AP$200,'Data Validation'!$U$3, 'Data entry'!$BD$6:$BD$200,"&lt;&gt;*Negative*"))</f>
        <v>0</v>
      </c>
      <c r="BQ80" s="15">
        <f>SUM(COUNTIFS('Data entry'!$R$6:$R$200,'Summary Data'!$A80,'Data entry'!$B$6:$B$200,{"Confirmed";"Probable"},'Data entry'!$AQ$6:$AQ$200,'Data Validation'!$V$9, 'Data entry'!$AP$6:$AP$200,'Data Validation'!$U$4, 'Data entry'!$BD$6:$BD$200,"&lt;&gt;*Negative*"))</f>
        <v>0</v>
      </c>
      <c r="BR80" s="15">
        <f>SUM(COUNTIFS('Data entry'!$R$6:$R$200,'Summary Data'!$A80,'Data entry'!$B$6:$B$200,{"Confirmed";"Probable"},'Data entry'!$AQ$6:$AQ$200,'Data Validation'!$V$9, 'Data entry'!$AP$6:$AP$200,'Data Validation'!$U$5, 'Data entry'!$BD$6:$BD$200,"&lt;&gt;*Negative*"))</f>
        <v>0</v>
      </c>
      <c r="BS80" s="15">
        <f>SUM(COUNTIFS('Data entry'!$R$6:$R$200,'Summary Data'!$A80,'Data entry'!$B$6:$B$200,{"Confirmed";"Probable"},'Data entry'!$AQ$6:$AQ$200,'Data Validation'!$V$9, 'Data entry'!$AP$6:$AP$200,'Data Validation'!$U$6, 'Data entry'!$BD$6:$BD$200,"&lt;&gt;*Negative*"))</f>
        <v>0</v>
      </c>
      <c r="BT80" s="15">
        <f>SUM(COUNTIFS('Data entry'!$R$6:$R$200,'Summary Data'!$A80,'Data entry'!$B$6:$B$200,{"Confirmed";"Probable"},'Data entry'!$AQ$6:$AQ$200,'Data Validation'!$V$10, 'Data entry'!$AP$6:$AP$200,'Data Validation'!$U$2, 'Data entry'!$BD$6:$BD$200,"&lt;&gt;*Negative*"))</f>
        <v>0</v>
      </c>
      <c r="BU80" s="15">
        <f>SUM(COUNTIFS('Data entry'!$R$6:$R$200,'Summary Data'!$A80,'Data entry'!$B$6:$B$200,{"Confirmed";"Probable"},'Data entry'!$AQ$6:$AQ$200,'Data Validation'!$V$10, 'Data entry'!$AP$6:$AP$200,'Data Validation'!$U$3, 'Data entry'!$BD$6:$BD$200,"&lt;&gt;*Negative*"))</f>
        <v>0</v>
      </c>
      <c r="BV80" s="15">
        <f>SUM(COUNTIFS('Data entry'!$R$6:$R$200,'Summary Data'!$A80,'Data entry'!$B$6:$B$200,{"Confirmed";"Probable"},'Data entry'!$AQ$6:$AQ$200,'Data Validation'!$V$10, 'Data entry'!$AP$6:$AP$200,'Data Validation'!$U$4, 'Data entry'!$BD$6:$BD$200,"&lt;&gt;*Negative*"))</f>
        <v>0</v>
      </c>
      <c r="BW80" s="15">
        <f>SUM(COUNTIFS('Data entry'!$R$6:$R$200,'Summary Data'!$A80,'Data entry'!$B$6:$B$200,{"Confirmed";"Probable"},'Data entry'!$AQ$6:$AQ$200,'Data Validation'!$V$10, 'Data entry'!$AP$6:$AP$200,'Data Validation'!$U$5, 'Data entry'!$BD$6:$BD$200,"&lt;&gt;*Negative*"))</f>
        <v>0</v>
      </c>
      <c r="BX80" s="15">
        <f>SUM(COUNTIFS('Data entry'!$R$6:$R$200,'Summary Data'!$A80,'Data entry'!$B$6:$B$200,{"Confirmed";"Probable"},'Data entry'!$AQ$6:$AQ$200,'Data Validation'!$V$10, 'Data entry'!$AP$6:$AP$200,'Data Validation'!$U$6, 'Data entry'!$BD$6:$BD$200,"&lt;&gt;*Negative*"))</f>
        <v>0</v>
      </c>
      <c r="BY80" s="15">
        <f>SUM(COUNTIFS('Data entry'!$R$6:$R$200,'Summary Data'!$A80,'Data entry'!$B$6:$B$200,{"Confirmed";"Probable"},'Data entry'!$AQ$6:$AQ$200,'Data Validation'!$V$11, 'Data entry'!$AP$6:$AP$200,'Data Validation'!$U$2, 'Data entry'!$BD$6:$BD$200,"&lt;&gt;*Negative*"))</f>
        <v>0</v>
      </c>
      <c r="BZ80" s="15">
        <f>SUM(COUNTIFS('Data entry'!$R$6:$R$200,'Summary Data'!$A80,'Data entry'!$B$6:$B$200,{"Confirmed";"Probable"},'Data entry'!$AQ$6:$AQ$200,'Data Validation'!$V$11, 'Data entry'!$AP$6:$AP$200,'Data Validation'!$U$3, 'Data entry'!$BD$6:$BD$200,"&lt;&gt;*Negative*"))</f>
        <v>0</v>
      </c>
      <c r="CA80" s="15">
        <f>SUM(COUNTIFS('Data entry'!$R$6:$R$200,'Summary Data'!$A80,'Data entry'!$B$6:$B$200,{"Confirmed";"Probable"},'Data entry'!$AQ$6:$AQ$200,'Data Validation'!$V$11, 'Data entry'!$AP$6:$AP$200,'Data Validation'!$U$4, 'Data entry'!$BD$6:$BD$200,"&lt;&gt;*Negative*"))</f>
        <v>0</v>
      </c>
      <c r="CB80" s="15">
        <f>SUM(COUNTIFS('Data entry'!$R$6:$R$200,'Summary Data'!$A80,'Data entry'!$B$6:$B$200,{"Confirmed";"Probable"},'Data entry'!$AQ$6:$AQ$200,'Data Validation'!$V$11, 'Data entry'!$AP$6:$AP$200,'Data Validation'!$U$5, 'Data entry'!$BD$6:$BD$200,"&lt;&gt;*Negative*"))</f>
        <v>0</v>
      </c>
      <c r="CC80" s="15">
        <f>SUM(COUNTIFS('Data entry'!$R$6:$R$200,'Summary Data'!$A80,'Data entry'!$B$6:$B$200,{"Confirmed";"Probable"},'Data entry'!$AQ$6:$AQ$200,'Data Validation'!$V$11, 'Data entry'!$AP$6:$AP$200,'Data Validation'!$U$6, 'Data entry'!$BD$6:$BD$200,"&lt;&gt;*Negative*"))</f>
        <v>0</v>
      </c>
    </row>
    <row r="81" spans="1:81" x14ac:dyDescent="0.25">
      <c r="A81" s="12">
        <f t="shared" si="9"/>
        <v>69</v>
      </c>
      <c r="B81" s="13">
        <f t="shared" si="6"/>
        <v>0</v>
      </c>
      <c r="C81" s="13">
        <f>COUNTIFS('Data entry'!$R$6:$R$200,$A81,'Data entry'!$B$6:$B$200,"Confirmed",'Data entry'!$BD$6:$BD$200,"&lt;&gt;*Negative*")</f>
        <v>0</v>
      </c>
      <c r="D81" s="13">
        <f>COUNTIFS('Data entry'!$R$6:$R$200,$A81,'Data entry'!$B$6:$B$200,"Probable",'Data entry'!$BD$6:$BD$200,"&lt;&gt;*Negative*")</f>
        <v>0</v>
      </c>
      <c r="E81" s="13">
        <f>COUNTIFS('Data entry'!$R$6:$R$200,$A81,'Data entry'!$B$6:$B$200,"DNM")</f>
        <v>0</v>
      </c>
      <c r="F81" s="13">
        <f>SUM(COUNTIFS('Data entry'!$R$6:$R$200,'Summary Data'!$A81,'Data entry'!$B$6:$B$200,{"Confirmed";"Probable"},'Data entry'!$AO$6:$AO$200,$F$10, 'Data entry'!$BD$6:$BD$200,"&lt;&gt;*Negative*"))</f>
        <v>0</v>
      </c>
      <c r="G81" s="13">
        <f>SUM(COUNTIFS('Data entry'!$R$6:$R$200,'Summary Data'!$A81,'Data entry'!$B$6:$B$200,{"Confirmed";"Probable"},'Data entry'!$AO$6:$AO$200,$G$10, 'Data entry'!$BD$6:$BD$200,"&lt;&gt;*Negative*"))</f>
        <v>0</v>
      </c>
      <c r="H81" s="13">
        <f>SUM(COUNTIFS('Data entry'!$R$6:$R$200,'Summary Data'!$A81,'Data entry'!$B$6:$B$200,{"Confirmed";"Probable"},'Data entry'!$AO$6:$AO$200,$H$10, 'Data entry'!$BD$6:$BD$200,"&lt;&gt;*Negative*"))</f>
        <v>0</v>
      </c>
      <c r="I81" s="13">
        <f>SUM(COUNTIFS('Data entry'!$R$6:$R$200,'Summary Data'!$A81,'Data entry'!$B$6:$B$200,{"Confirmed";"Probable"},'Data entry'!$AO$6:$AO$200,$I$10, 'Data entry'!$BD$6:$BD$200,"&lt;&gt;*Negative*"))</f>
        <v>0</v>
      </c>
      <c r="J81" s="13">
        <f>SUM(COUNTIFS('Data entry'!$R$6:$R$200,'Summary Data'!$A81,'Data entry'!$B$6:$B$200,{"Confirmed";"Probable"},'Data entry'!$AO$6:$AO$200,$J$10, 'Data entry'!$BD$6:$BD$200,"&lt;&gt;*Negative*"))</f>
        <v>0</v>
      </c>
      <c r="K81" s="13">
        <f>SUM(COUNTIFS('Data entry'!$R$6:$R$200,'Summary Data'!$A81,'Data entry'!$B$6:$B$200,{"Confirmed";"Probable"},'Data entry'!$AO$6:$AO$200,$K$10, 'Data entry'!$BD$6:$BD$200,"&lt;&gt;*Negative*"))</f>
        <v>0</v>
      </c>
      <c r="L81" s="13">
        <f>SUM(COUNTIFS('Data entry'!$R$6:$R$200,'Summary Data'!$A81,'Data entry'!$B$6:$B$200,{"Confirmed";"Probable"},'Data entry'!$AO$6:$AO$200,$L$10, 'Data entry'!$BD$6:$BD$200,"&lt;&gt;*Negative*"))</f>
        <v>0</v>
      </c>
      <c r="M81" s="13">
        <f>SUM(COUNTIFS('Data entry'!$R$6:$R$200,'Summary Data'!$A81,'Data entry'!$B$6:$B$200,{"Confirmed";"Probable"},'Data entry'!$AO$6:$AO$200,$M$10, 'Data entry'!$BD$6:$BD$200,"&lt;&gt;*Negative*"))</f>
        <v>0</v>
      </c>
      <c r="N81" s="13">
        <f>SUM(COUNTIFS('Data entry'!$R$6:$R$200,'Summary Data'!$A81,'Data entry'!$B$6:$B$200,{"Confirmed";"Probable"},'Data entry'!$AO$6:$AO$200,$N$10, 'Data entry'!$BD$6:$BD$200,"&lt;&gt;*Negative*"))</f>
        <v>0</v>
      </c>
      <c r="O81" s="15">
        <f t="shared" si="7"/>
        <v>0</v>
      </c>
      <c r="P81" s="15">
        <f t="shared" si="8"/>
        <v>0</v>
      </c>
      <c r="Q81" s="15">
        <f>SUM(COUNTIFS('Data entry'!$R$6:$R$200,'Summary Data'!$A81,'Data entry'!$B$6:$B$200,{"Confirmed";"Probable"},'Data entry'!$AP$6:$AP$200,'Data Validation'!$U$2, 'Data entry'!$BD$6:$BD$200,"&lt;&gt;*Negative*"))</f>
        <v>0</v>
      </c>
      <c r="R81" s="15">
        <f>SUM(COUNTIFS('Data entry'!$R$6:$R$200,'Summary Data'!$A81,'Data entry'!$B$6:$B$200,{"Confirmed";"Probable"},'Data entry'!$AP$6:$AP$200,'Data Validation'!$U$3, 'Data entry'!$BD$6:$BD$200,"&lt;&gt;*Negative*"))</f>
        <v>0</v>
      </c>
      <c r="S81" s="15">
        <f>SUM(COUNTIFS('Data entry'!$R$6:$R$200,'Summary Data'!$A81,'Data entry'!$B$6:$B$200,{"Confirmed";"Probable"},'Data entry'!$AP$6:$AP$200,'Data Validation'!$U$4, 'Data entry'!$BD$6:$BD$200,"&lt;&gt;*Negative*"))</f>
        <v>0</v>
      </c>
      <c r="T81" s="15">
        <f>SUM(COUNTIFS('Data entry'!$R$6:$R$200,'Summary Data'!$A81,'Data entry'!$B$6:$B$200,{"Confirmed";"Probable"},'Data entry'!$AP$6:$AP$200,'Data Validation'!$U$5, 'Data entry'!$BD$6:$BD$200,"&lt;&gt;*Negative*"))</f>
        <v>0</v>
      </c>
      <c r="U81" s="15">
        <f>SUM(COUNTIFS('Data entry'!$R$6:$R$200,'Summary Data'!$A81,'Data entry'!$B$6:$B$200,{"Confirmed";"Probable"},'Data entry'!$AP$6:$AP$200,'Data Validation'!$U$6, 'Data entry'!$BD$6:$BD$200,"&lt;&gt;*Negative*"))</f>
        <v>0</v>
      </c>
      <c r="V81" s="15">
        <f>SUM(COUNTIFS('Data entry'!$R$6:$R$200,'Summary Data'!$A81,'Data entry'!$B$6:$B$200,{"Confirmed";"Probable"},'Data entry'!$AQ$6:$AQ$200,'Data Validation'!$V$2, 'Data entry'!$BD$6:$BD$200,"&lt;&gt;*Negative*"))</f>
        <v>0</v>
      </c>
      <c r="W81" s="15">
        <f>SUM(COUNTIFS('Data entry'!$R$6:$R$200,'Summary Data'!$A81,'Data entry'!$B$6:$B$200,{"Confirmed";"Probable"},'Data entry'!$AQ$6:$AQ$200,'Data Validation'!$V$3, 'Data entry'!$BD$6:$BD$200,"&lt;&gt;*Negative*"))</f>
        <v>0</v>
      </c>
      <c r="X81" s="15">
        <f>SUM(COUNTIFS('Data entry'!$R$6:$R$200,'Summary Data'!$A81,'Data entry'!$B$6:$B$200,{"Confirmed";"Probable"},'Data entry'!$AQ$6:$AQ$200,'Data Validation'!$V$4, 'Data entry'!$BD$6:$BD$200,"&lt;&gt;*Negative*"))</f>
        <v>0</v>
      </c>
      <c r="Y81" s="15">
        <f>SUM(COUNTIFS('Data entry'!$R$6:$R$200,'Summary Data'!$A81,'Data entry'!$B$6:$B$200,{"Confirmed";"Probable"},'Data entry'!$AQ$6:$AQ$200,'Data Validation'!$V$5, 'Data entry'!$BD$6:$BD$200,"&lt;&gt;*Negative*"))</f>
        <v>0</v>
      </c>
      <c r="Z81" s="15">
        <f>SUM(COUNTIFS('Data entry'!$R$6:$R$200,'Summary Data'!$A81,'Data entry'!$B$6:$B$200,{"Confirmed";"Probable"},'Data entry'!$AQ$6:$AQ$200,'Data Validation'!$V$6, 'Data entry'!$BD$6:$BD$200,"&lt;&gt;*Negative*"))</f>
        <v>0</v>
      </c>
      <c r="AA81" s="15">
        <f>SUM(COUNTIFS('Data entry'!$R$6:$R$200,'Summary Data'!$A81,'Data entry'!$B$6:$B$200,{"Confirmed";"Probable"},'Data entry'!$AQ$6:$AQ$200,'Data Validation'!$V$7, 'Data entry'!$BD$6:$BD$200,"&lt;&gt;*Negative*"))</f>
        <v>0</v>
      </c>
      <c r="AB81" s="15">
        <f>SUM(COUNTIFS('Data entry'!$R$6:$R$200,'Summary Data'!$A81,'Data entry'!$B$6:$B$200,{"Confirmed";"Probable"},'Data entry'!$AQ$6:$AQ$200,'Data Validation'!$V$8, 'Data entry'!$BD$6:$BD$200,"&lt;&gt;*Negative*"))</f>
        <v>0</v>
      </c>
      <c r="AC81" s="15">
        <f>SUM(COUNTIFS('Data entry'!$R$6:$R$200,'Summary Data'!$A81,'Data entry'!$B$6:$B$200,{"Confirmed";"Probable"},'Data entry'!$AQ$6:$AQ$200,'Data Validation'!$V$9, 'Data entry'!$BD$6:$BD$200,"&lt;&gt;*Negative*"))</f>
        <v>0</v>
      </c>
      <c r="AD81" s="15">
        <f>SUM(COUNTIFS('Data entry'!$R$6:$R$200,'Summary Data'!$A81,'Data entry'!$B$6:$B$200,{"Confirmed";"Probable"},'Data entry'!$AQ$6:$AQ$200,'Data Validation'!$V$10, 'Data entry'!$BD$6:$BD$200,"&lt;&gt;*Negative*"))</f>
        <v>0</v>
      </c>
      <c r="AE81" s="15">
        <f>SUM(COUNTIFS('Data entry'!$R$6:$R$200,'Summary Data'!$A81,'Data entry'!$B$6:$B$200,{"Confirmed";"Probable"},'Data entry'!$AQ$6:$AQ$200,'Data Validation'!$V$11, 'Data entry'!$BD$6:$BD$200,"&lt;&gt;*Negative*"))</f>
        <v>0</v>
      </c>
      <c r="AF81" s="15">
        <f>SUM(COUNTIFS('Data entry'!$R$6:$R$200,'Summary Data'!$A81,'Data entry'!$B$6:$B$200,{"Confirmed";"Probable"},'Data entry'!$AQ$6:$AQ$200,'Data Validation'!$V$2, 'Data entry'!$AP$6:$AP$200,'Data Validation'!$U$2, 'Data entry'!$BD$6:$BD$200,"&lt;&gt;*Negative*"))</f>
        <v>0</v>
      </c>
      <c r="AG81" s="15">
        <f>SUM(COUNTIFS('Data entry'!$R$6:$R$200,'Summary Data'!$A81,'Data entry'!$B$6:$B$200,{"Confirmed";"Probable"},'Data entry'!$AQ$6:$AQ$200,'Data Validation'!$V$2, 'Data entry'!$AP$6:$AP$200,'Data Validation'!$U$3, 'Data entry'!$BD$6:$BD$200,"&lt;&gt;*Negative*"))</f>
        <v>0</v>
      </c>
      <c r="AH81" s="15">
        <f>SUM(COUNTIFS('Data entry'!$R$6:$R$200,'Summary Data'!$A81,'Data entry'!$B$6:$B$200,{"Confirmed";"Probable"},'Data entry'!$AQ$6:$AQ$200,'Data Validation'!$V$2, 'Data entry'!$AP$6:$AP$200,'Data Validation'!$U$4, 'Data entry'!$BD$6:$BD$200,"&lt;&gt;*Negative*"))</f>
        <v>0</v>
      </c>
      <c r="AI81" s="15">
        <f>SUM(COUNTIFS('Data entry'!$R$6:$R$200,'Summary Data'!$A81,'Data entry'!$B$6:$B$200,{"Confirmed";"Probable"},'Data entry'!$AQ$6:$AQ$200,'Data Validation'!$V$2, 'Data entry'!$AP$6:$AP$200,'Data Validation'!$U$5, 'Data entry'!$BD$6:$BD$200,"&lt;&gt;*Negative*"))</f>
        <v>0</v>
      </c>
      <c r="AJ81" s="15">
        <f>SUM(COUNTIFS('Data entry'!$R$6:$R$200,'Summary Data'!$A81,'Data entry'!$B$6:$B$200,{"Confirmed";"Probable"},'Data entry'!$AQ$6:$AQ$200,'Data Validation'!$V$2, 'Data entry'!$AP$6:$AP$200,'Data Validation'!$U$6, 'Data entry'!$BD$6:$BD$200,"&lt;&gt;*Negative*"))</f>
        <v>0</v>
      </c>
      <c r="AK81" s="15">
        <f>SUM(COUNTIFS('Data entry'!$R$6:$R$200,'Summary Data'!$A81,'Data entry'!$B$6:$B$200,{"Confirmed";"Probable"},'Data entry'!$AQ$6:$AQ$200,'Data Validation'!$V$3, 'Data entry'!$AP$6:$AP$200,'Data Validation'!$U$2, 'Data entry'!$BD$6:$BD$200,"&lt;&gt;*Negative*"))</f>
        <v>0</v>
      </c>
      <c r="AL81" s="15">
        <f>SUM(COUNTIFS('Data entry'!$R$6:$R$200,'Summary Data'!$A81,'Data entry'!$B$6:$B$200,{"Confirmed";"Probable"},'Data entry'!$AQ$6:$AQ$200,'Data Validation'!$V$3, 'Data entry'!$AP$6:$AP$200,'Data Validation'!$U$3, 'Data entry'!$BD$6:$BD$200,"&lt;&gt;*Negative*"))</f>
        <v>0</v>
      </c>
      <c r="AM81" s="15">
        <f>SUM(COUNTIFS('Data entry'!$R$6:$R$200,'Summary Data'!$A81,'Data entry'!$B$6:$B$200,{"Confirmed";"Probable"},'Data entry'!$AQ$6:$AQ$200,'Data Validation'!$V$3, 'Data entry'!$AP$6:$AP$200,'Data Validation'!$U$4, 'Data entry'!$BD$6:$BD$200,"&lt;&gt;*Negative*"))</f>
        <v>0</v>
      </c>
      <c r="AN81" s="15">
        <f>SUM(COUNTIFS('Data entry'!$R$6:$R$200,'Summary Data'!$A81,'Data entry'!$B$6:$B$200,{"Confirmed";"Probable"},'Data entry'!$AQ$6:$AQ$200,'Data Validation'!$V$3, 'Data entry'!$AP$6:$AP$200,'Data Validation'!$U$5, 'Data entry'!$BD$6:$BD$200,"&lt;&gt;*Negative*"))</f>
        <v>0</v>
      </c>
      <c r="AO81" s="15">
        <f>SUM(COUNTIFS('Data entry'!$R$6:$R$200,'Summary Data'!$A81,'Data entry'!$B$6:$B$200,{"Confirmed";"Probable"},'Data entry'!$AQ$6:$AQ$200,'Data Validation'!$V$3, 'Data entry'!$AP$6:$AP$200,'Data Validation'!$U$6, 'Data entry'!$BD$6:$BD$200,"&lt;&gt;*Negative*"))</f>
        <v>0</v>
      </c>
      <c r="AP81" s="15">
        <f>SUM(COUNTIFS('Data entry'!$R$6:$R$200,'Summary Data'!$A81,'Data entry'!$B$6:$B$200,{"Confirmed";"Probable"},'Data entry'!$AQ$6:$AQ$200,'Data Validation'!$V$4, 'Data entry'!$AP$6:$AP$200,'Data Validation'!$U$2, 'Data entry'!$BD$6:$BD$200,"&lt;&gt;*Negative*"))</f>
        <v>0</v>
      </c>
      <c r="AQ81" s="15">
        <f>SUM(COUNTIFS('Data entry'!$R$6:$R$200,'Summary Data'!$A81,'Data entry'!$B$6:$B$200,{"Confirmed";"Probable"},'Data entry'!$AQ$6:$AQ$200,'Data Validation'!$V$4, 'Data entry'!$AP$6:$AP$200,'Data Validation'!$U$3, 'Data entry'!$BD$6:$BD$200,"&lt;&gt;*Negative*"))</f>
        <v>0</v>
      </c>
      <c r="AR81" s="15">
        <f>SUM(COUNTIFS('Data entry'!$R$6:$R$200,'Summary Data'!$A81,'Data entry'!$B$6:$B$200,{"Confirmed";"Probable"},'Data entry'!$AQ$6:$AQ$200,'Data Validation'!$V$4, 'Data entry'!$AP$6:$AP$200,'Data Validation'!$U$4, 'Data entry'!$BD$6:$BD$200,"&lt;&gt;*Negative*"))</f>
        <v>0</v>
      </c>
      <c r="AS81" s="15">
        <f>SUM(COUNTIFS('Data entry'!$R$6:$R$200,'Summary Data'!$A81,'Data entry'!$B$6:$B$200,{"Confirmed";"Probable"},'Data entry'!$AQ$6:$AQ$200,'Data Validation'!$V$4, 'Data entry'!$AP$6:$AP$200,'Data Validation'!$U$5, 'Data entry'!$BD$6:$BD$200,"&lt;&gt;*Negative*"))</f>
        <v>0</v>
      </c>
      <c r="AT81" s="15">
        <f>SUM(COUNTIFS('Data entry'!$R$6:$R$200,'Summary Data'!$A81,'Data entry'!$B$6:$B$200,{"Confirmed";"Probable"},'Data entry'!$AQ$6:$AQ$200,'Data Validation'!$V$4, 'Data entry'!$AP$6:$AP$200,'Data Validation'!$U$6, 'Data entry'!$BD$6:$BD$200,"&lt;&gt;*Negative*"))</f>
        <v>0</v>
      </c>
      <c r="AU81" s="15">
        <f>SUM(COUNTIFS('Data entry'!$R$6:$R$200,'Summary Data'!$A81,'Data entry'!$B$6:$B$200,{"Confirmed";"Probable"},'Data entry'!$AQ$6:$AQ$200,'Data Validation'!$V$5, 'Data entry'!$AP$6:$AP$200,'Data Validation'!$U$2, 'Data entry'!$BD$6:$BD$200,"&lt;&gt;*Negative*"))</f>
        <v>0</v>
      </c>
      <c r="AV81" s="15">
        <f>SUM(COUNTIFS('Data entry'!$R$6:$R$200,'Summary Data'!$A81,'Data entry'!$B$6:$B$200,{"Confirmed";"Probable"},'Data entry'!$AQ$6:$AQ$200,'Data Validation'!$V$5, 'Data entry'!$AP$6:$AP$200,'Data Validation'!$U$3, 'Data entry'!$BD$6:$BD$200,"&lt;&gt;*Negative*"))</f>
        <v>0</v>
      </c>
      <c r="AW81" s="15">
        <f>SUM(COUNTIFS('Data entry'!$R$6:$R$200,'Summary Data'!$A81,'Data entry'!$B$6:$B$200,{"Confirmed";"Probable"},'Data entry'!$AQ$6:$AQ$200,'Data Validation'!$V$5, 'Data entry'!$AP$6:$AP$200,'Data Validation'!$U$4, 'Data entry'!$BD$6:$BD$200,"&lt;&gt;*Negative*"))</f>
        <v>0</v>
      </c>
      <c r="AX81" s="15">
        <f>SUM(COUNTIFS('Data entry'!$R$6:$R$200,'Summary Data'!$A81,'Data entry'!$B$6:$B$200,{"Confirmed";"Probable"},'Data entry'!$AQ$6:$AQ$200,'Data Validation'!$V$5, 'Data entry'!$AP$6:$AP$200,'Data Validation'!$U$5, 'Data entry'!$BD$6:$BD$200,"&lt;&gt;*Negative*"))</f>
        <v>0</v>
      </c>
      <c r="AY81" s="15">
        <f>SUM(COUNTIFS('Data entry'!$R$6:$R$200,'Summary Data'!$A81,'Data entry'!$B$6:$B$200,{"Confirmed";"Probable"},'Data entry'!$AQ$6:$AQ$200,'Data Validation'!$V$5, 'Data entry'!$AP$6:$AP$200,'Data Validation'!$U$6, 'Data entry'!$BD$6:$BD$200,"&lt;&gt;*Negative*"))</f>
        <v>0</v>
      </c>
      <c r="AZ81" s="15">
        <f>SUM(COUNTIFS('Data entry'!$R$6:$R$200,'Summary Data'!$A81,'Data entry'!$B$6:$B$200,{"Confirmed";"Probable"},'Data entry'!$AQ$6:$AQ$200,'Data Validation'!$V$6, 'Data entry'!$AP$6:$AP$200,'Data Validation'!$U$2, 'Data entry'!$BD$6:$BD$200,"&lt;&gt;*Negative*"))</f>
        <v>0</v>
      </c>
      <c r="BA81" s="15">
        <f>SUM(COUNTIFS('Data entry'!$R$6:$R$200,'Summary Data'!$A81,'Data entry'!$B$6:$B$200,{"Confirmed";"Probable"},'Data entry'!$AQ$6:$AQ$200,'Data Validation'!$V$6, 'Data entry'!$AP$6:$AP$200,'Data Validation'!$U$3, 'Data entry'!$BD$6:$BD$200,"&lt;&gt;*Negative*"))</f>
        <v>0</v>
      </c>
      <c r="BB81" s="15">
        <f>SUM(COUNTIFS('Data entry'!$R$6:$R$200,'Summary Data'!$A81,'Data entry'!$B$6:$B$200,{"Confirmed";"Probable"},'Data entry'!$AQ$6:$AQ$200,'Data Validation'!$V$6, 'Data entry'!$AP$6:$AP$200,'Data Validation'!$U$4, 'Data entry'!$BD$6:$BD$200,"&lt;&gt;*Negative*"))</f>
        <v>0</v>
      </c>
      <c r="BC81" s="15">
        <f>SUM(COUNTIFS('Data entry'!$R$6:$R$200,'Summary Data'!$A81,'Data entry'!$B$6:$B$200,{"Confirmed";"Probable"},'Data entry'!$AQ$6:$AQ$200,'Data Validation'!$V$6, 'Data entry'!$AP$6:$AP$200,'Data Validation'!$U$5, 'Data entry'!$BD$6:$BD$200,"&lt;&gt;*Negative*"))</f>
        <v>0</v>
      </c>
      <c r="BD81" s="15">
        <f>SUM(COUNTIFS('Data entry'!$R$6:$R$200,'Summary Data'!$A81,'Data entry'!$B$6:$B$200,{"Confirmed";"Probable"},'Data entry'!$AQ$6:$AQ$200,'Data Validation'!$V$6, 'Data entry'!$AP$6:$AP$200,'Data Validation'!$U$6, 'Data entry'!$BD$6:$BD$200,"&lt;&gt;*Negative*"))</f>
        <v>0</v>
      </c>
      <c r="BE81" s="15">
        <f>SUM(COUNTIFS('Data entry'!$R$6:$R$200,'Summary Data'!$A81,'Data entry'!$B$6:$B$200,{"Confirmed";"Probable"},'Data entry'!$AQ$6:$AQ$200,'Data Validation'!$V$7, 'Data entry'!$AP$6:$AP$200,'Data Validation'!$U$2, 'Data entry'!$BD$6:$BD$200,"&lt;&gt;*Negative*"))</f>
        <v>0</v>
      </c>
      <c r="BF81" s="15">
        <f>SUM(COUNTIFS('Data entry'!$R$6:$R$200,'Summary Data'!$A81,'Data entry'!$B$6:$B$200,{"Confirmed";"Probable"},'Data entry'!$AQ$6:$AQ$200,'Data Validation'!$V$7, 'Data entry'!$AP$6:$AP$200,'Data Validation'!$U$3, 'Data entry'!$BD$6:$BD$200,"&lt;&gt;*Negative*"))</f>
        <v>0</v>
      </c>
      <c r="BG81" s="15">
        <f>SUM(COUNTIFS('Data entry'!$R$6:$R$200,'Summary Data'!$A81,'Data entry'!$B$6:$B$200,{"Confirmed";"Probable"},'Data entry'!$AQ$6:$AQ$200,'Data Validation'!$V$7, 'Data entry'!$AP$6:$AP$200,'Data Validation'!$U$4, 'Data entry'!$BD$6:$BD$200,"&lt;&gt;*Negative*"))</f>
        <v>0</v>
      </c>
      <c r="BH81" s="15">
        <f>SUM(COUNTIFS('Data entry'!$R$6:$R$200,'Summary Data'!$A81,'Data entry'!$B$6:$B$200,{"Confirmed";"Probable"},'Data entry'!$AQ$6:$AQ$200,'Data Validation'!$V$7, 'Data entry'!$AP$6:$AP$200,'Data Validation'!$U$5, 'Data entry'!$BD$6:$BD$200,"&lt;&gt;*Negative*"))</f>
        <v>0</v>
      </c>
      <c r="BI81" s="15">
        <f>SUM(COUNTIFS('Data entry'!$R$6:$R$200,'Summary Data'!$A81,'Data entry'!$B$6:$B$200,{"Confirmed";"Probable"},'Data entry'!$AQ$6:$AQ$200,'Data Validation'!$V$7, 'Data entry'!$AP$6:$AP$200,'Data Validation'!$U$6, 'Data entry'!$BD$6:$BD$200,"&lt;&gt;*Negative*"))</f>
        <v>0</v>
      </c>
      <c r="BJ81" s="15">
        <f>SUM(COUNTIFS('Data entry'!$R$6:$R$200,'Summary Data'!$A81,'Data entry'!$B$6:$B$200,{"Confirmed";"Probable"},'Data entry'!$AQ$6:$AQ$200,'Data Validation'!$V$8, 'Data entry'!$AP$6:$AP$200,'Data Validation'!$U$2, 'Data entry'!$BD$6:$BD$200,"&lt;&gt;*Negative*"))</f>
        <v>0</v>
      </c>
      <c r="BK81" s="15">
        <f>SUM(COUNTIFS('Data entry'!$R$6:$R$200,'Summary Data'!$A81,'Data entry'!$B$6:$B$200,{"Confirmed";"Probable"},'Data entry'!$AQ$6:$AQ$200,'Data Validation'!$V$8, 'Data entry'!$AP$6:$AP$200,'Data Validation'!$U$3, 'Data entry'!$BD$6:$BD$200,"&lt;&gt;*Negative*"))</f>
        <v>0</v>
      </c>
      <c r="BL81" s="15">
        <f>SUM(COUNTIFS('Data entry'!$R$6:$R$200,'Summary Data'!$A81,'Data entry'!$B$6:$B$200,{"Confirmed";"Probable"},'Data entry'!$AQ$6:$AQ$200,'Data Validation'!$V$8, 'Data entry'!$AP$6:$AP$200,'Data Validation'!$U$4, 'Data entry'!$BD$6:$BD$200,"&lt;&gt;*Negative*"))</f>
        <v>0</v>
      </c>
      <c r="BM81" s="15">
        <f>SUM(COUNTIFS('Data entry'!$R$6:$R$200,'Summary Data'!$A81,'Data entry'!$B$6:$B$200,{"Confirmed";"Probable"},'Data entry'!$AQ$6:$AQ$200,'Data Validation'!$V$8, 'Data entry'!$AP$6:$AP$200,'Data Validation'!$U$5, 'Data entry'!$BD$6:$BD$200,"&lt;&gt;*Negative*"))</f>
        <v>0</v>
      </c>
      <c r="BN81" s="15">
        <f>SUM(COUNTIFS('Data entry'!$R$6:$R$200,'Summary Data'!$A81,'Data entry'!$B$6:$B$200,{"Confirmed";"Probable"},'Data entry'!$AQ$6:$AQ$200,'Data Validation'!$V$8, 'Data entry'!$AP$6:$AP$200,'Data Validation'!$U$6, 'Data entry'!$BD$6:$BD$200,"&lt;&gt;*Negative*"))</f>
        <v>0</v>
      </c>
      <c r="BO81" s="15">
        <f>SUM(COUNTIFS('Data entry'!$R$6:$R$200,'Summary Data'!$A81,'Data entry'!$B$6:$B$200,{"Confirmed";"Probable"},'Data entry'!$AQ$6:$AQ$200,'Data Validation'!$V$9, 'Data entry'!$AP$6:$AP$200,'Data Validation'!$U$2, 'Data entry'!$BD$6:$BD$200,"&lt;&gt;*Negative*"))</f>
        <v>0</v>
      </c>
      <c r="BP81" s="15">
        <f>SUM(COUNTIFS('Data entry'!$R$6:$R$200,'Summary Data'!$A81,'Data entry'!$B$6:$B$200,{"Confirmed";"Probable"},'Data entry'!$AQ$6:$AQ$200,'Data Validation'!$V$9, 'Data entry'!$AP$6:$AP$200,'Data Validation'!$U$3, 'Data entry'!$BD$6:$BD$200,"&lt;&gt;*Negative*"))</f>
        <v>0</v>
      </c>
      <c r="BQ81" s="15">
        <f>SUM(COUNTIFS('Data entry'!$R$6:$R$200,'Summary Data'!$A81,'Data entry'!$B$6:$B$200,{"Confirmed";"Probable"},'Data entry'!$AQ$6:$AQ$200,'Data Validation'!$V$9, 'Data entry'!$AP$6:$AP$200,'Data Validation'!$U$4, 'Data entry'!$BD$6:$BD$200,"&lt;&gt;*Negative*"))</f>
        <v>0</v>
      </c>
      <c r="BR81" s="15">
        <f>SUM(COUNTIFS('Data entry'!$R$6:$R$200,'Summary Data'!$A81,'Data entry'!$B$6:$B$200,{"Confirmed";"Probable"},'Data entry'!$AQ$6:$AQ$200,'Data Validation'!$V$9, 'Data entry'!$AP$6:$AP$200,'Data Validation'!$U$5, 'Data entry'!$BD$6:$BD$200,"&lt;&gt;*Negative*"))</f>
        <v>0</v>
      </c>
      <c r="BS81" s="15">
        <f>SUM(COUNTIFS('Data entry'!$R$6:$R$200,'Summary Data'!$A81,'Data entry'!$B$6:$B$200,{"Confirmed";"Probable"},'Data entry'!$AQ$6:$AQ$200,'Data Validation'!$V$9, 'Data entry'!$AP$6:$AP$200,'Data Validation'!$U$6, 'Data entry'!$BD$6:$BD$200,"&lt;&gt;*Negative*"))</f>
        <v>0</v>
      </c>
      <c r="BT81" s="15">
        <f>SUM(COUNTIFS('Data entry'!$R$6:$R$200,'Summary Data'!$A81,'Data entry'!$B$6:$B$200,{"Confirmed";"Probable"},'Data entry'!$AQ$6:$AQ$200,'Data Validation'!$V$10, 'Data entry'!$AP$6:$AP$200,'Data Validation'!$U$2, 'Data entry'!$BD$6:$BD$200,"&lt;&gt;*Negative*"))</f>
        <v>0</v>
      </c>
      <c r="BU81" s="15">
        <f>SUM(COUNTIFS('Data entry'!$R$6:$R$200,'Summary Data'!$A81,'Data entry'!$B$6:$B$200,{"Confirmed";"Probable"},'Data entry'!$AQ$6:$AQ$200,'Data Validation'!$V$10, 'Data entry'!$AP$6:$AP$200,'Data Validation'!$U$3, 'Data entry'!$BD$6:$BD$200,"&lt;&gt;*Negative*"))</f>
        <v>0</v>
      </c>
      <c r="BV81" s="15">
        <f>SUM(COUNTIFS('Data entry'!$R$6:$R$200,'Summary Data'!$A81,'Data entry'!$B$6:$B$200,{"Confirmed";"Probable"},'Data entry'!$AQ$6:$AQ$200,'Data Validation'!$V$10, 'Data entry'!$AP$6:$AP$200,'Data Validation'!$U$4, 'Data entry'!$BD$6:$BD$200,"&lt;&gt;*Negative*"))</f>
        <v>0</v>
      </c>
      <c r="BW81" s="15">
        <f>SUM(COUNTIFS('Data entry'!$R$6:$R$200,'Summary Data'!$A81,'Data entry'!$B$6:$B$200,{"Confirmed";"Probable"},'Data entry'!$AQ$6:$AQ$200,'Data Validation'!$V$10, 'Data entry'!$AP$6:$AP$200,'Data Validation'!$U$5, 'Data entry'!$BD$6:$BD$200,"&lt;&gt;*Negative*"))</f>
        <v>0</v>
      </c>
      <c r="BX81" s="15">
        <f>SUM(COUNTIFS('Data entry'!$R$6:$R$200,'Summary Data'!$A81,'Data entry'!$B$6:$B$200,{"Confirmed";"Probable"},'Data entry'!$AQ$6:$AQ$200,'Data Validation'!$V$10, 'Data entry'!$AP$6:$AP$200,'Data Validation'!$U$6, 'Data entry'!$BD$6:$BD$200,"&lt;&gt;*Negative*"))</f>
        <v>0</v>
      </c>
      <c r="BY81" s="15">
        <f>SUM(COUNTIFS('Data entry'!$R$6:$R$200,'Summary Data'!$A81,'Data entry'!$B$6:$B$200,{"Confirmed";"Probable"},'Data entry'!$AQ$6:$AQ$200,'Data Validation'!$V$11, 'Data entry'!$AP$6:$AP$200,'Data Validation'!$U$2, 'Data entry'!$BD$6:$BD$200,"&lt;&gt;*Negative*"))</f>
        <v>0</v>
      </c>
      <c r="BZ81" s="15">
        <f>SUM(COUNTIFS('Data entry'!$R$6:$R$200,'Summary Data'!$A81,'Data entry'!$B$6:$B$200,{"Confirmed";"Probable"},'Data entry'!$AQ$6:$AQ$200,'Data Validation'!$V$11, 'Data entry'!$AP$6:$AP$200,'Data Validation'!$U$3, 'Data entry'!$BD$6:$BD$200,"&lt;&gt;*Negative*"))</f>
        <v>0</v>
      </c>
      <c r="CA81" s="15">
        <f>SUM(COUNTIFS('Data entry'!$R$6:$R$200,'Summary Data'!$A81,'Data entry'!$B$6:$B$200,{"Confirmed";"Probable"},'Data entry'!$AQ$6:$AQ$200,'Data Validation'!$V$11, 'Data entry'!$AP$6:$AP$200,'Data Validation'!$U$4, 'Data entry'!$BD$6:$BD$200,"&lt;&gt;*Negative*"))</f>
        <v>0</v>
      </c>
      <c r="CB81" s="15">
        <f>SUM(COUNTIFS('Data entry'!$R$6:$R$200,'Summary Data'!$A81,'Data entry'!$B$6:$B$200,{"Confirmed";"Probable"},'Data entry'!$AQ$6:$AQ$200,'Data Validation'!$V$11, 'Data entry'!$AP$6:$AP$200,'Data Validation'!$U$5, 'Data entry'!$BD$6:$BD$200,"&lt;&gt;*Negative*"))</f>
        <v>0</v>
      </c>
      <c r="CC81" s="15">
        <f>SUM(COUNTIFS('Data entry'!$R$6:$R$200,'Summary Data'!$A81,'Data entry'!$B$6:$B$200,{"Confirmed";"Probable"},'Data entry'!$AQ$6:$AQ$200,'Data Validation'!$V$11, 'Data entry'!$AP$6:$AP$200,'Data Validation'!$U$6, 'Data entry'!$BD$6:$BD$200,"&lt;&gt;*Negative*"))</f>
        <v>0</v>
      </c>
    </row>
    <row r="82" spans="1:81" x14ac:dyDescent="0.25">
      <c r="A82" s="12">
        <f t="shared" si="9"/>
        <v>70</v>
      </c>
      <c r="B82" s="13">
        <f t="shared" si="6"/>
        <v>0</v>
      </c>
      <c r="C82" s="13">
        <f>COUNTIFS('Data entry'!$R$6:$R$200,$A82,'Data entry'!$B$6:$B$200,"Confirmed",'Data entry'!$BD$6:$BD$200,"&lt;&gt;*Negative*")</f>
        <v>0</v>
      </c>
      <c r="D82" s="13">
        <f>COUNTIFS('Data entry'!$R$6:$R$200,$A82,'Data entry'!$B$6:$B$200,"Probable",'Data entry'!$BD$6:$BD$200,"&lt;&gt;*Negative*")</f>
        <v>0</v>
      </c>
      <c r="E82" s="13">
        <f>COUNTIFS('Data entry'!$R$6:$R$200,$A82,'Data entry'!$B$6:$B$200,"DNM")</f>
        <v>0</v>
      </c>
      <c r="F82" s="13">
        <f>SUM(COUNTIFS('Data entry'!$R$6:$R$200,'Summary Data'!$A82,'Data entry'!$B$6:$B$200,{"Confirmed";"Probable"},'Data entry'!$AO$6:$AO$200,$F$10, 'Data entry'!$BD$6:$BD$200,"&lt;&gt;*Negative*"))</f>
        <v>0</v>
      </c>
      <c r="G82" s="13">
        <f>SUM(COUNTIFS('Data entry'!$R$6:$R$200,'Summary Data'!$A82,'Data entry'!$B$6:$B$200,{"Confirmed";"Probable"},'Data entry'!$AO$6:$AO$200,$G$10, 'Data entry'!$BD$6:$BD$200,"&lt;&gt;*Negative*"))</f>
        <v>0</v>
      </c>
      <c r="H82" s="13">
        <f>SUM(COUNTIFS('Data entry'!$R$6:$R$200,'Summary Data'!$A82,'Data entry'!$B$6:$B$200,{"Confirmed";"Probable"},'Data entry'!$AO$6:$AO$200,$H$10, 'Data entry'!$BD$6:$BD$200,"&lt;&gt;*Negative*"))</f>
        <v>0</v>
      </c>
      <c r="I82" s="13">
        <f>SUM(COUNTIFS('Data entry'!$R$6:$R$200,'Summary Data'!$A82,'Data entry'!$B$6:$B$200,{"Confirmed";"Probable"},'Data entry'!$AO$6:$AO$200,$I$10, 'Data entry'!$BD$6:$BD$200,"&lt;&gt;*Negative*"))</f>
        <v>0</v>
      </c>
      <c r="J82" s="13">
        <f>SUM(COUNTIFS('Data entry'!$R$6:$R$200,'Summary Data'!$A82,'Data entry'!$B$6:$B$200,{"Confirmed";"Probable"},'Data entry'!$AO$6:$AO$200,$J$10, 'Data entry'!$BD$6:$BD$200,"&lt;&gt;*Negative*"))</f>
        <v>0</v>
      </c>
      <c r="K82" s="13">
        <f>SUM(COUNTIFS('Data entry'!$R$6:$R$200,'Summary Data'!$A82,'Data entry'!$B$6:$B$200,{"Confirmed";"Probable"},'Data entry'!$AO$6:$AO$200,$K$10, 'Data entry'!$BD$6:$BD$200,"&lt;&gt;*Negative*"))</f>
        <v>0</v>
      </c>
      <c r="L82" s="13">
        <f>SUM(COUNTIFS('Data entry'!$R$6:$R$200,'Summary Data'!$A82,'Data entry'!$B$6:$B$200,{"Confirmed";"Probable"},'Data entry'!$AO$6:$AO$200,$L$10, 'Data entry'!$BD$6:$BD$200,"&lt;&gt;*Negative*"))</f>
        <v>0</v>
      </c>
      <c r="M82" s="13">
        <f>SUM(COUNTIFS('Data entry'!$R$6:$R$200,'Summary Data'!$A82,'Data entry'!$B$6:$B$200,{"Confirmed";"Probable"},'Data entry'!$AO$6:$AO$200,$M$10, 'Data entry'!$BD$6:$BD$200,"&lt;&gt;*Negative*"))</f>
        <v>0</v>
      </c>
      <c r="N82" s="13">
        <f>SUM(COUNTIFS('Data entry'!$R$6:$R$200,'Summary Data'!$A82,'Data entry'!$B$6:$B$200,{"Confirmed";"Probable"},'Data entry'!$AO$6:$AO$200,$N$10, 'Data entry'!$BD$6:$BD$200,"&lt;&gt;*Negative*"))</f>
        <v>0</v>
      </c>
      <c r="O82" s="15">
        <f t="shared" si="7"/>
        <v>0</v>
      </c>
      <c r="P82" s="15">
        <f t="shared" si="8"/>
        <v>0</v>
      </c>
      <c r="Q82" s="15">
        <f>SUM(COUNTIFS('Data entry'!$R$6:$R$200,'Summary Data'!$A82,'Data entry'!$B$6:$B$200,{"Confirmed";"Probable"},'Data entry'!$AP$6:$AP$200,'Data Validation'!$U$2, 'Data entry'!$BD$6:$BD$200,"&lt;&gt;*Negative*"))</f>
        <v>0</v>
      </c>
      <c r="R82" s="15">
        <f>SUM(COUNTIFS('Data entry'!$R$6:$R$200,'Summary Data'!$A82,'Data entry'!$B$6:$B$200,{"Confirmed";"Probable"},'Data entry'!$AP$6:$AP$200,'Data Validation'!$U$3, 'Data entry'!$BD$6:$BD$200,"&lt;&gt;*Negative*"))</f>
        <v>0</v>
      </c>
      <c r="S82" s="15">
        <f>SUM(COUNTIFS('Data entry'!$R$6:$R$200,'Summary Data'!$A82,'Data entry'!$B$6:$B$200,{"Confirmed";"Probable"},'Data entry'!$AP$6:$AP$200,'Data Validation'!$U$4, 'Data entry'!$BD$6:$BD$200,"&lt;&gt;*Negative*"))</f>
        <v>0</v>
      </c>
      <c r="T82" s="15">
        <f>SUM(COUNTIFS('Data entry'!$R$6:$R$200,'Summary Data'!$A82,'Data entry'!$B$6:$B$200,{"Confirmed";"Probable"},'Data entry'!$AP$6:$AP$200,'Data Validation'!$U$5, 'Data entry'!$BD$6:$BD$200,"&lt;&gt;*Negative*"))</f>
        <v>0</v>
      </c>
      <c r="U82" s="15">
        <f>SUM(COUNTIFS('Data entry'!$R$6:$R$200,'Summary Data'!$A82,'Data entry'!$B$6:$B$200,{"Confirmed";"Probable"},'Data entry'!$AP$6:$AP$200,'Data Validation'!$U$6, 'Data entry'!$BD$6:$BD$200,"&lt;&gt;*Negative*"))</f>
        <v>0</v>
      </c>
      <c r="V82" s="15">
        <f>SUM(COUNTIFS('Data entry'!$R$6:$R$200,'Summary Data'!$A82,'Data entry'!$B$6:$B$200,{"Confirmed";"Probable"},'Data entry'!$AQ$6:$AQ$200,'Data Validation'!$V$2, 'Data entry'!$BD$6:$BD$200,"&lt;&gt;*Negative*"))</f>
        <v>0</v>
      </c>
      <c r="W82" s="15">
        <f>SUM(COUNTIFS('Data entry'!$R$6:$R$200,'Summary Data'!$A82,'Data entry'!$B$6:$B$200,{"Confirmed";"Probable"},'Data entry'!$AQ$6:$AQ$200,'Data Validation'!$V$3, 'Data entry'!$BD$6:$BD$200,"&lt;&gt;*Negative*"))</f>
        <v>0</v>
      </c>
      <c r="X82" s="15">
        <f>SUM(COUNTIFS('Data entry'!$R$6:$R$200,'Summary Data'!$A82,'Data entry'!$B$6:$B$200,{"Confirmed";"Probable"},'Data entry'!$AQ$6:$AQ$200,'Data Validation'!$V$4, 'Data entry'!$BD$6:$BD$200,"&lt;&gt;*Negative*"))</f>
        <v>0</v>
      </c>
      <c r="Y82" s="15">
        <f>SUM(COUNTIFS('Data entry'!$R$6:$R$200,'Summary Data'!$A82,'Data entry'!$B$6:$B$200,{"Confirmed";"Probable"},'Data entry'!$AQ$6:$AQ$200,'Data Validation'!$V$5, 'Data entry'!$BD$6:$BD$200,"&lt;&gt;*Negative*"))</f>
        <v>0</v>
      </c>
      <c r="Z82" s="15">
        <f>SUM(COUNTIFS('Data entry'!$R$6:$R$200,'Summary Data'!$A82,'Data entry'!$B$6:$B$200,{"Confirmed";"Probable"},'Data entry'!$AQ$6:$AQ$200,'Data Validation'!$V$6, 'Data entry'!$BD$6:$BD$200,"&lt;&gt;*Negative*"))</f>
        <v>0</v>
      </c>
      <c r="AA82" s="15">
        <f>SUM(COUNTIFS('Data entry'!$R$6:$R$200,'Summary Data'!$A82,'Data entry'!$B$6:$B$200,{"Confirmed";"Probable"},'Data entry'!$AQ$6:$AQ$200,'Data Validation'!$V$7, 'Data entry'!$BD$6:$BD$200,"&lt;&gt;*Negative*"))</f>
        <v>0</v>
      </c>
      <c r="AB82" s="15">
        <f>SUM(COUNTIFS('Data entry'!$R$6:$R$200,'Summary Data'!$A82,'Data entry'!$B$6:$B$200,{"Confirmed";"Probable"},'Data entry'!$AQ$6:$AQ$200,'Data Validation'!$V$8, 'Data entry'!$BD$6:$BD$200,"&lt;&gt;*Negative*"))</f>
        <v>0</v>
      </c>
      <c r="AC82" s="15">
        <f>SUM(COUNTIFS('Data entry'!$R$6:$R$200,'Summary Data'!$A82,'Data entry'!$B$6:$B$200,{"Confirmed";"Probable"},'Data entry'!$AQ$6:$AQ$200,'Data Validation'!$V$9, 'Data entry'!$BD$6:$BD$200,"&lt;&gt;*Negative*"))</f>
        <v>0</v>
      </c>
      <c r="AD82" s="15">
        <f>SUM(COUNTIFS('Data entry'!$R$6:$R$200,'Summary Data'!$A82,'Data entry'!$B$6:$B$200,{"Confirmed";"Probable"},'Data entry'!$AQ$6:$AQ$200,'Data Validation'!$V$10, 'Data entry'!$BD$6:$BD$200,"&lt;&gt;*Negative*"))</f>
        <v>0</v>
      </c>
      <c r="AE82" s="15">
        <f>SUM(COUNTIFS('Data entry'!$R$6:$R$200,'Summary Data'!$A82,'Data entry'!$B$6:$B$200,{"Confirmed";"Probable"},'Data entry'!$AQ$6:$AQ$200,'Data Validation'!$V$11, 'Data entry'!$BD$6:$BD$200,"&lt;&gt;*Negative*"))</f>
        <v>0</v>
      </c>
      <c r="AF82" s="15">
        <f>SUM(COUNTIFS('Data entry'!$R$6:$R$200,'Summary Data'!$A82,'Data entry'!$B$6:$B$200,{"Confirmed";"Probable"},'Data entry'!$AQ$6:$AQ$200,'Data Validation'!$V$2, 'Data entry'!$AP$6:$AP$200,'Data Validation'!$U$2, 'Data entry'!$BD$6:$BD$200,"&lt;&gt;*Negative*"))</f>
        <v>0</v>
      </c>
      <c r="AG82" s="15">
        <f>SUM(COUNTIFS('Data entry'!$R$6:$R$200,'Summary Data'!$A82,'Data entry'!$B$6:$B$200,{"Confirmed";"Probable"},'Data entry'!$AQ$6:$AQ$200,'Data Validation'!$V$2, 'Data entry'!$AP$6:$AP$200,'Data Validation'!$U$3, 'Data entry'!$BD$6:$BD$200,"&lt;&gt;*Negative*"))</f>
        <v>0</v>
      </c>
      <c r="AH82" s="15">
        <f>SUM(COUNTIFS('Data entry'!$R$6:$R$200,'Summary Data'!$A82,'Data entry'!$B$6:$B$200,{"Confirmed";"Probable"},'Data entry'!$AQ$6:$AQ$200,'Data Validation'!$V$2, 'Data entry'!$AP$6:$AP$200,'Data Validation'!$U$4, 'Data entry'!$BD$6:$BD$200,"&lt;&gt;*Negative*"))</f>
        <v>0</v>
      </c>
      <c r="AI82" s="15">
        <f>SUM(COUNTIFS('Data entry'!$R$6:$R$200,'Summary Data'!$A82,'Data entry'!$B$6:$B$200,{"Confirmed";"Probable"},'Data entry'!$AQ$6:$AQ$200,'Data Validation'!$V$2, 'Data entry'!$AP$6:$AP$200,'Data Validation'!$U$5, 'Data entry'!$BD$6:$BD$200,"&lt;&gt;*Negative*"))</f>
        <v>0</v>
      </c>
      <c r="AJ82" s="15">
        <f>SUM(COUNTIFS('Data entry'!$R$6:$R$200,'Summary Data'!$A82,'Data entry'!$B$6:$B$200,{"Confirmed";"Probable"},'Data entry'!$AQ$6:$AQ$200,'Data Validation'!$V$2, 'Data entry'!$AP$6:$AP$200,'Data Validation'!$U$6, 'Data entry'!$BD$6:$BD$200,"&lt;&gt;*Negative*"))</f>
        <v>0</v>
      </c>
      <c r="AK82" s="15">
        <f>SUM(COUNTIFS('Data entry'!$R$6:$R$200,'Summary Data'!$A82,'Data entry'!$B$6:$B$200,{"Confirmed";"Probable"},'Data entry'!$AQ$6:$AQ$200,'Data Validation'!$V$3, 'Data entry'!$AP$6:$AP$200,'Data Validation'!$U$2, 'Data entry'!$BD$6:$BD$200,"&lt;&gt;*Negative*"))</f>
        <v>0</v>
      </c>
      <c r="AL82" s="15">
        <f>SUM(COUNTIFS('Data entry'!$R$6:$R$200,'Summary Data'!$A82,'Data entry'!$B$6:$B$200,{"Confirmed";"Probable"},'Data entry'!$AQ$6:$AQ$200,'Data Validation'!$V$3, 'Data entry'!$AP$6:$AP$200,'Data Validation'!$U$3, 'Data entry'!$BD$6:$BD$200,"&lt;&gt;*Negative*"))</f>
        <v>0</v>
      </c>
      <c r="AM82" s="15">
        <f>SUM(COUNTIFS('Data entry'!$R$6:$R$200,'Summary Data'!$A82,'Data entry'!$B$6:$B$200,{"Confirmed";"Probable"},'Data entry'!$AQ$6:$AQ$200,'Data Validation'!$V$3, 'Data entry'!$AP$6:$AP$200,'Data Validation'!$U$4, 'Data entry'!$BD$6:$BD$200,"&lt;&gt;*Negative*"))</f>
        <v>0</v>
      </c>
      <c r="AN82" s="15">
        <f>SUM(COUNTIFS('Data entry'!$R$6:$R$200,'Summary Data'!$A82,'Data entry'!$B$6:$B$200,{"Confirmed";"Probable"},'Data entry'!$AQ$6:$AQ$200,'Data Validation'!$V$3, 'Data entry'!$AP$6:$AP$200,'Data Validation'!$U$5, 'Data entry'!$BD$6:$BD$200,"&lt;&gt;*Negative*"))</f>
        <v>0</v>
      </c>
      <c r="AO82" s="15">
        <f>SUM(COUNTIFS('Data entry'!$R$6:$R$200,'Summary Data'!$A82,'Data entry'!$B$6:$B$200,{"Confirmed";"Probable"},'Data entry'!$AQ$6:$AQ$200,'Data Validation'!$V$3, 'Data entry'!$AP$6:$AP$200,'Data Validation'!$U$6, 'Data entry'!$BD$6:$BD$200,"&lt;&gt;*Negative*"))</f>
        <v>0</v>
      </c>
      <c r="AP82" s="15">
        <f>SUM(COUNTIFS('Data entry'!$R$6:$R$200,'Summary Data'!$A82,'Data entry'!$B$6:$B$200,{"Confirmed";"Probable"},'Data entry'!$AQ$6:$AQ$200,'Data Validation'!$V$4, 'Data entry'!$AP$6:$AP$200,'Data Validation'!$U$2, 'Data entry'!$BD$6:$BD$200,"&lt;&gt;*Negative*"))</f>
        <v>0</v>
      </c>
      <c r="AQ82" s="15">
        <f>SUM(COUNTIFS('Data entry'!$R$6:$R$200,'Summary Data'!$A82,'Data entry'!$B$6:$B$200,{"Confirmed";"Probable"},'Data entry'!$AQ$6:$AQ$200,'Data Validation'!$V$4, 'Data entry'!$AP$6:$AP$200,'Data Validation'!$U$3, 'Data entry'!$BD$6:$BD$200,"&lt;&gt;*Negative*"))</f>
        <v>0</v>
      </c>
      <c r="AR82" s="15">
        <f>SUM(COUNTIFS('Data entry'!$R$6:$R$200,'Summary Data'!$A82,'Data entry'!$B$6:$B$200,{"Confirmed";"Probable"},'Data entry'!$AQ$6:$AQ$200,'Data Validation'!$V$4, 'Data entry'!$AP$6:$AP$200,'Data Validation'!$U$4, 'Data entry'!$BD$6:$BD$200,"&lt;&gt;*Negative*"))</f>
        <v>0</v>
      </c>
      <c r="AS82" s="15">
        <f>SUM(COUNTIFS('Data entry'!$R$6:$R$200,'Summary Data'!$A82,'Data entry'!$B$6:$B$200,{"Confirmed";"Probable"},'Data entry'!$AQ$6:$AQ$200,'Data Validation'!$V$4, 'Data entry'!$AP$6:$AP$200,'Data Validation'!$U$5, 'Data entry'!$BD$6:$BD$200,"&lt;&gt;*Negative*"))</f>
        <v>0</v>
      </c>
      <c r="AT82" s="15">
        <f>SUM(COUNTIFS('Data entry'!$R$6:$R$200,'Summary Data'!$A82,'Data entry'!$B$6:$B$200,{"Confirmed";"Probable"},'Data entry'!$AQ$6:$AQ$200,'Data Validation'!$V$4, 'Data entry'!$AP$6:$AP$200,'Data Validation'!$U$6, 'Data entry'!$BD$6:$BD$200,"&lt;&gt;*Negative*"))</f>
        <v>0</v>
      </c>
      <c r="AU82" s="15">
        <f>SUM(COUNTIFS('Data entry'!$R$6:$R$200,'Summary Data'!$A82,'Data entry'!$B$6:$B$200,{"Confirmed";"Probable"},'Data entry'!$AQ$6:$AQ$200,'Data Validation'!$V$5, 'Data entry'!$AP$6:$AP$200,'Data Validation'!$U$2, 'Data entry'!$BD$6:$BD$200,"&lt;&gt;*Negative*"))</f>
        <v>0</v>
      </c>
      <c r="AV82" s="15">
        <f>SUM(COUNTIFS('Data entry'!$R$6:$R$200,'Summary Data'!$A82,'Data entry'!$B$6:$B$200,{"Confirmed";"Probable"},'Data entry'!$AQ$6:$AQ$200,'Data Validation'!$V$5, 'Data entry'!$AP$6:$AP$200,'Data Validation'!$U$3, 'Data entry'!$BD$6:$BD$200,"&lt;&gt;*Negative*"))</f>
        <v>0</v>
      </c>
      <c r="AW82" s="15">
        <f>SUM(COUNTIFS('Data entry'!$R$6:$R$200,'Summary Data'!$A82,'Data entry'!$B$6:$B$200,{"Confirmed";"Probable"},'Data entry'!$AQ$6:$AQ$200,'Data Validation'!$V$5, 'Data entry'!$AP$6:$AP$200,'Data Validation'!$U$4, 'Data entry'!$BD$6:$BD$200,"&lt;&gt;*Negative*"))</f>
        <v>0</v>
      </c>
      <c r="AX82" s="15">
        <f>SUM(COUNTIFS('Data entry'!$R$6:$R$200,'Summary Data'!$A82,'Data entry'!$B$6:$B$200,{"Confirmed";"Probable"},'Data entry'!$AQ$6:$AQ$200,'Data Validation'!$V$5, 'Data entry'!$AP$6:$AP$200,'Data Validation'!$U$5, 'Data entry'!$BD$6:$BD$200,"&lt;&gt;*Negative*"))</f>
        <v>0</v>
      </c>
      <c r="AY82" s="15">
        <f>SUM(COUNTIFS('Data entry'!$R$6:$R$200,'Summary Data'!$A82,'Data entry'!$B$6:$B$200,{"Confirmed";"Probable"},'Data entry'!$AQ$6:$AQ$200,'Data Validation'!$V$5, 'Data entry'!$AP$6:$AP$200,'Data Validation'!$U$6, 'Data entry'!$BD$6:$BD$200,"&lt;&gt;*Negative*"))</f>
        <v>0</v>
      </c>
      <c r="AZ82" s="15">
        <f>SUM(COUNTIFS('Data entry'!$R$6:$R$200,'Summary Data'!$A82,'Data entry'!$B$6:$B$200,{"Confirmed";"Probable"},'Data entry'!$AQ$6:$AQ$200,'Data Validation'!$V$6, 'Data entry'!$AP$6:$AP$200,'Data Validation'!$U$2, 'Data entry'!$BD$6:$BD$200,"&lt;&gt;*Negative*"))</f>
        <v>0</v>
      </c>
      <c r="BA82" s="15">
        <f>SUM(COUNTIFS('Data entry'!$R$6:$R$200,'Summary Data'!$A82,'Data entry'!$B$6:$B$200,{"Confirmed";"Probable"},'Data entry'!$AQ$6:$AQ$200,'Data Validation'!$V$6, 'Data entry'!$AP$6:$AP$200,'Data Validation'!$U$3, 'Data entry'!$BD$6:$BD$200,"&lt;&gt;*Negative*"))</f>
        <v>0</v>
      </c>
      <c r="BB82" s="15">
        <f>SUM(COUNTIFS('Data entry'!$R$6:$R$200,'Summary Data'!$A82,'Data entry'!$B$6:$B$200,{"Confirmed";"Probable"},'Data entry'!$AQ$6:$AQ$200,'Data Validation'!$V$6, 'Data entry'!$AP$6:$AP$200,'Data Validation'!$U$4, 'Data entry'!$BD$6:$BD$200,"&lt;&gt;*Negative*"))</f>
        <v>0</v>
      </c>
      <c r="BC82" s="15">
        <f>SUM(COUNTIFS('Data entry'!$R$6:$R$200,'Summary Data'!$A82,'Data entry'!$B$6:$B$200,{"Confirmed";"Probable"},'Data entry'!$AQ$6:$AQ$200,'Data Validation'!$V$6, 'Data entry'!$AP$6:$AP$200,'Data Validation'!$U$5, 'Data entry'!$BD$6:$BD$200,"&lt;&gt;*Negative*"))</f>
        <v>0</v>
      </c>
      <c r="BD82" s="15">
        <f>SUM(COUNTIFS('Data entry'!$R$6:$R$200,'Summary Data'!$A82,'Data entry'!$B$6:$B$200,{"Confirmed";"Probable"},'Data entry'!$AQ$6:$AQ$200,'Data Validation'!$V$6, 'Data entry'!$AP$6:$AP$200,'Data Validation'!$U$6, 'Data entry'!$BD$6:$BD$200,"&lt;&gt;*Negative*"))</f>
        <v>0</v>
      </c>
      <c r="BE82" s="15">
        <f>SUM(COUNTIFS('Data entry'!$R$6:$R$200,'Summary Data'!$A82,'Data entry'!$B$6:$B$200,{"Confirmed";"Probable"},'Data entry'!$AQ$6:$AQ$200,'Data Validation'!$V$7, 'Data entry'!$AP$6:$AP$200,'Data Validation'!$U$2, 'Data entry'!$BD$6:$BD$200,"&lt;&gt;*Negative*"))</f>
        <v>0</v>
      </c>
      <c r="BF82" s="15">
        <f>SUM(COUNTIFS('Data entry'!$R$6:$R$200,'Summary Data'!$A82,'Data entry'!$B$6:$B$200,{"Confirmed";"Probable"},'Data entry'!$AQ$6:$AQ$200,'Data Validation'!$V$7, 'Data entry'!$AP$6:$AP$200,'Data Validation'!$U$3, 'Data entry'!$BD$6:$BD$200,"&lt;&gt;*Negative*"))</f>
        <v>0</v>
      </c>
      <c r="BG82" s="15">
        <f>SUM(COUNTIFS('Data entry'!$R$6:$R$200,'Summary Data'!$A82,'Data entry'!$B$6:$B$200,{"Confirmed";"Probable"},'Data entry'!$AQ$6:$AQ$200,'Data Validation'!$V$7, 'Data entry'!$AP$6:$AP$200,'Data Validation'!$U$4, 'Data entry'!$BD$6:$BD$200,"&lt;&gt;*Negative*"))</f>
        <v>0</v>
      </c>
      <c r="BH82" s="15">
        <f>SUM(COUNTIFS('Data entry'!$R$6:$R$200,'Summary Data'!$A82,'Data entry'!$B$6:$B$200,{"Confirmed";"Probable"},'Data entry'!$AQ$6:$AQ$200,'Data Validation'!$V$7, 'Data entry'!$AP$6:$AP$200,'Data Validation'!$U$5, 'Data entry'!$BD$6:$BD$200,"&lt;&gt;*Negative*"))</f>
        <v>0</v>
      </c>
      <c r="BI82" s="15">
        <f>SUM(COUNTIFS('Data entry'!$R$6:$R$200,'Summary Data'!$A82,'Data entry'!$B$6:$B$200,{"Confirmed";"Probable"},'Data entry'!$AQ$6:$AQ$200,'Data Validation'!$V$7, 'Data entry'!$AP$6:$AP$200,'Data Validation'!$U$6, 'Data entry'!$BD$6:$BD$200,"&lt;&gt;*Negative*"))</f>
        <v>0</v>
      </c>
      <c r="BJ82" s="15">
        <f>SUM(COUNTIFS('Data entry'!$R$6:$R$200,'Summary Data'!$A82,'Data entry'!$B$6:$B$200,{"Confirmed";"Probable"},'Data entry'!$AQ$6:$AQ$200,'Data Validation'!$V$8, 'Data entry'!$AP$6:$AP$200,'Data Validation'!$U$2, 'Data entry'!$BD$6:$BD$200,"&lt;&gt;*Negative*"))</f>
        <v>0</v>
      </c>
      <c r="BK82" s="15">
        <f>SUM(COUNTIFS('Data entry'!$R$6:$R$200,'Summary Data'!$A82,'Data entry'!$B$6:$B$200,{"Confirmed";"Probable"},'Data entry'!$AQ$6:$AQ$200,'Data Validation'!$V$8, 'Data entry'!$AP$6:$AP$200,'Data Validation'!$U$3, 'Data entry'!$BD$6:$BD$200,"&lt;&gt;*Negative*"))</f>
        <v>0</v>
      </c>
      <c r="BL82" s="15">
        <f>SUM(COUNTIFS('Data entry'!$R$6:$R$200,'Summary Data'!$A82,'Data entry'!$B$6:$B$200,{"Confirmed";"Probable"},'Data entry'!$AQ$6:$AQ$200,'Data Validation'!$V$8, 'Data entry'!$AP$6:$AP$200,'Data Validation'!$U$4, 'Data entry'!$BD$6:$BD$200,"&lt;&gt;*Negative*"))</f>
        <v>0</v>
      </c>
      <c r="BM82" s="15">
        <f>SUM(COUNTIFS('Data entry'!$R$6:$R$200,'Summary Data'!$A82,'Data entry'!$B$6:$B$200,{"Confirmed";"Probable"},'Data entry'!$AQ$6:$AQ$200,'Data Validation'!$V$8, 'Data entry'!$AP$6:$AP$200,'Data Validation'!$U$5, 'Data entry'!$BD$6:$BD$200,"&lt;&gt;*Negative*"))</f>
        <v>0</v>
      </c>
      <c r="BN82" s="15">
        <f>SUM(COUNTIFS('Data entry'!$R$6:$R$200,'Summary Data'!$A82,'Data entry'!$B$6:$B$200,{"Confirmed";"Probable"},'Data entry'!$AQ$6:$AQ$200,'Data Validation'!$V$8, 'Data entry'!$AP$6:$AP$200,'Data Validation'!$U$6, 'Data entry'!$BD$6:$BD$200,"&lt;&gt;*Negative*"))</f>
        <v>0</v>
      </c>
      <c r="BO82" s="15">
        <f>SUM(COUNTIFS('Data entry'!$R$6:$R$200,'Summary Data'!$A82,'Data entry'!$B$6:$B$200,{"Confirmed";"Probable"},'Data entry'!$AQ$6:$AQ$200,'Data Validation'!$V$9, 'Data entry'!$AP$6:$AP$200,'Data Validation'!$U$2, 'Data entry'!$BD$6:$BD$200,"&lt;&gt;*Negative*"))</f>
        <v>0</v>
      </c>
      <c r="BP82" s="15">
        <f>SUM(COUNTIFS('Data entry'!$R$6:$R$200,'Summary Data'!$A82,'Data entry'!$B$6:$B$200,{"Confirmed";"Probable"},'Data entry'!$AQ$6:$AQ$200,'Data Validation'!$V$9, 'Data entry'!$AP$6:$AP$200,'Data Validation'!$U$3, 'Data entry'!$BD$6:$BD$200,"&lt;&gt;*Negative*"))</f>
        <v>0</v>
      </c>
      <c r="BQ82" s="15">
        <f>SUM(COUNTIFS('Data entry'!$R$6:$R$200,'Summary Data'!$A82,'Data entry'!$B$6:$B$200,{"Confirmed";"Probable"},'Data entry'!$AQ$6:$AQ$200,'Data Validation'!$V$9, 'Data entry'!$AP$6:$AP$200,'Data Validation'!$U$4, 'Data entry'!$BD$6:$BD$200,"&lt;&gt;*Negative*"))</f>
        <v>0</v>
      </c>
      <c r="BR82" s="15">
        <f>SUM(COUNTIFS('Data entry'!$R$6:$R$200,'Summary Data'!$A82,'Data entry'!$B$6:$B$200,{"Confirmed";"Probable"},'Data entry'!$AQ$6:$AQ$200,'Data Validation'!$V$9, 'Data entry'!$AP$6:$AP$200,'Data Validation'!$U$5, 'Data entry'!$BD$6:$BD$200,"&lt;&gt;*Negative*"))</f>
        <v>0</v>
      </c>
      <c r="BS82" s="15">
        <f>SUM(COUNTIFS('Data entry'!$R$6:$R$200,'Summary Data'!$A82,'Data entry'!$B$6:$B$200,{"Confirmed";"Probable"},'Data entry'!$AQ$6:$AQ$200,'Data Validation'!$V$9, 'Data entry'!$AP$6:$AP$200,'Data Validation'!$U$6, 'Data entry'!$BD$6:$BD$200,"&lt;&gt;*Negative*"))</f>
        <v>0</v>
      </c>
      <c r="BT82" s="15">
        <f>SUM(COUNTIFS('Data entry'!$R$6:$R$200,'Summary Data'!$A82,'Data entry'!$B$6:$B$200,{"Confirmed";"Probable"},'Data entry'!$AQ$6:$AQ$200,'Data Validation'!$V$10, 'Data entry'!$AP$6:$AP$200,'Data Validation'!$U$2, 'Data entry'!$BD$6:$BD$200,"&lt;&gt;*Negative*"))</f>
        <v>0</v>
      </c>
      <c r="BU82" s="15">
        <f>SUM(COUNTIFS('Data entry'!$R$6:$R$200,'Summary Data'!$A82,'Data entry'!$B$6:$B$200,{"Confirmed";"Probable"},'Data entry'!$AQ$6:$AQ$200,'Data Validation'!$V$10, 'Data entry'!$AP$6:$AP$200,'Data Validation'!$U$3, 'Data entry'!$BD$6:$BD$200,"&lt;&gt;*Negative*"))</f>
        <v>0</v>
      </c>
      <c r="BV82" s="15">
        <f>SUM(COUNTIFS('Data entry'!$R$6:$R$200,'Summary Data'!$A82,'Data entry'!$B$6:$B$200,{"Confirmed";"Probable"},'Data entry'!$AQ$6:$AQ$200,'Data Validation'!$V$10, 'Data entry'!$AP$6:$AP$200,'Data Validation'!$U$4, 'Data entry'!$BD$6:$BD$200,"&lt;&gt;*Negative*"))</f>
        <v>0</v>
      </c>
      <c r="BW82" s="15">
        <f>SUM(COUNTIFS('Data entry'!$R$6:$R$200,'Summary Data'!$A82,'Data entry'!$B$6:$B$200,{"Confirmed";"Probable"},'Data entry'!$AQ$6:$AQ$200,'Data Validation'!$V$10, 'Data entry'!$AP$6:$AP$200,'Data Validation'!$U$5, 'Data entry'!$BD$6:$BD$200,"&lt;&gt;*Negative*"))</f>
        <v>0</v>
      </c>
      <c r="BX82" s="15">
        <f>SUM(COUNTIFS('Data entry'!$R$6:$R$200,'Summary Data'!$A82,'Data entry'!$B$6:$B$200,{"Confirmed";"Probable"},'Data entry'!$AQ$6:$AQ$200,'Data Validation'!$V$10, 'Data entry'!$AP$6:$AP$200,'Data Validation'!$U$6, 'Data entry'!$BD$6:$BD$200,"&lt;&gt;*Negative*"))</f>
        <v>0</v>
      </c>
      <c r="BY82" s="15">
        <f>SUM(COUNTIFS('Data entry'!$R$6:$R$200,'Summary Data'!$A82,'Data entry'!$B$6:$B$200,{"Confirmed";"Probable"},'Data entry'!$AQ$6:$AQ$200,'Data Validation'!$V$11, 'Data entry'!$AP$6:$AP$200,'Data Validation'!$U$2, 'Data entry'!$BD$6:$BD$200,"&lt;&gt;*Negative*"))</f>
        <v>0</v>
      </c>
      <c r="BZ82" s="15">
        <f>SUM(COUNTIFS('Data entry'!$R$6:$R$200,'Summary Data'!$A82,'Data entry'!$B$6:$B$200,{"Confirmed";"Probable"},'Data entry'!$AQ$6:$AQ$200,'Data Validation'!$V$11, 'Data entry'!$AP$6:$AP$200,'Data Validation'!$U$3, 'Data entry'!$BD$6:$BD$200,"&lt;&gt;*Negative*"))</f>
        <v>0</v>
      </c>
      <c r="CA82" s="15">
        <f>SUM(COUNTIFS('Data entry'!$R$6:$R$200,'Summary Data'!$A82,'Data entry'!$B$6:$B$200,{"Confirmed";"Probable"},'Data entry'!$AQ$6:$AQ$200,'Data Validation'!$V$11, 'Data entry'!$AP$6:$AP$200,'Data Validation'!$U$4, 'Data entry'!$BD$6:$BD$200,"&lt;&gt;*Negative*"))</f>
        <v>0</v>
      </c>
      <c r="CB82" s="15">
        <f>SUM(COUNTIFS('Data entry'!$R$6:$R$200,'Summary Data'!$A82,'Data entry'!$B$6:$B$200,{"Confirmed";"Probable"},'Data entry'!$AQ$6:$AQ$200,'Data Validation'!$V$11, 'Data entry'!$AP$6:$AP$200,'Data Validation'!$U$5, 'Data entry'!$BD$6:$BD$200,"&lt;&gt;*Negative*"))</f>
        <v>0</v>
      </c>
      <c r="CC82" s="15">
        <f>SUM(COUNTIFS('Data entry'!$R$6:$R$200,'Summary Data'!$A82,'Data entry'!$B$6:$B$200,{"Confirmed";"Probable"},'Data entry'!$AQ$6:$AQ$200,'Data Validation'!$V$11, 'Data entry'!$AP$6:$AP$200,'Data Validation'!$U$6, 'Data entry'!$BD$6:$BD$200,"&lt;&gt;*Negative*"))</f>
        <v>0</v>
      </c>
    </row>
    <row r="83" spans="1:81" x14ac:dyDescent="0.25">
      <c r="A83" s="12">
        <f t="shared" si="9"/>
        <v>71</v>
      </c>
      <c r="B83" s="13">
        <f t="shared" si="6"/>
        <v>0</v>
      </c>
      <c r="C83" s="13">
        <f>COUNTIFS('Data entry'!$R$6:$R$200,$A83,'Data entry'!$B$6:$B$200,"Confirmed",'Data entry'!$BD$6:$BD$200,"&lt;&gt;*Negative*")</f>
        <v>0</v>
      </c>
      <c r="D83" s="13">
        <f>COUNTIFS('Data entry'!$R$6:$R$200,$A83,'Data entry'!$B$6:$B$200,"Probable",'Data entry'!$BD$6:$BD$200,"&lt;&gt;*Negative*")</f>
        <v>0</v>
      </c>
      <c r="E83" s="13">
        <f>COUNTIFS('Data entry'!$R$6:$R$200,$A83,'Data entry'!$B$6:$B$200,"DNM")</f>
        <v>0</v>
      </c>
      <c r="F83" s="13">
        <f>SUM(COUNTIFS('Data entry'!$R$6:$R$200,'Summary Data'!$A83,'Data entry'!$B$6:$B$200,{"Confirmed";"Probable"},'Data entry'!$AO$6:$AO$200,$F$10, 'Data entry'!$BD$6:$BD$200,"&lt;&gt;*Negative*"))</f>
        <v>0</v>
      </c>
      <c r="G83" s="13">
        <f>SUM(COUNTIFS('Data entry'!$R$6:$R$200,'Summary Data'!$A83,'Data entry'!$B$6:$B$200,{"Confirmed";"Probable"},'Data entry'!$AO$6:$AO$200,$G$10, 'Data entry'!$BD$6:$BD$200,"&lt;&gt;*Negative*"))</f>
        <v>0</v>
      </c>
      <c r="H83" s="13">
        <f>SUM(COUNTIFS('Data entry'!$R$6:$R$200,'Summary Data'!$A83,'Data entry'!$B$6:$B$200,{"Confirmed";"Probable"},'Data entry'!$AO$6:$AO$200,$H$10, 'Data entry'!$BD$6:$BD$200,"&lt;&gt;*Negative*"))</f>
        <v>0</v>
      </c>
      <c r="I83" s="13">
        <f>SUM(COUNTIFS('Data entry'!$R$6:$R$200,'Summary Data'!$A83,'Data entry'!$B$6:$B$200,{"Confirmed";"Probable"},'Data entry'!$AO$6:$AO$200,$I$10, 'Data entry'!$BD$6:$BD$200,"&lt;&gt;*Negative*"))</f>
        <v>0</v>
      </c>
      <c r="J83" s="13">
        <f>SUM(COUNTIFS('Data entry'!$R$6:$R$200,'Summary Data'!$A83,'Data entry'!$B$6:$B$200,{"Confirmed";"Probable"},'Data entry'!$AO$6:$AO$200,$J$10, 'Data entry'!$BD$6:$BD$200,"&lt;&gt;*Negative*"))</f>
        <v>0</v>
      </c>
      <c r="K83" s="13">
        <f>SUM(COUNTIFS('Data entry'!$R$6:$R$200,'Summary Data'!$A83,'Data entry'!$B$6:$B$200,{"Confirmed";"Probable"},'Data entry'!$AO$6:$AO$200,$K$10, 'Data entry'!$BD$6:$BD$200,"&lt;&gt;*Negative*"))</f>
        <v>0</v>
      </c>
      <c r="L83" s="13">
        <f>SUM(COUNTIFS('Data entry'!$R$6:$R$200,'Summary Data'!$A83,'Data entry'!$B$6:$B$200,{"Confirmed";"Probable"},'Data entry'!$AO$6:$AO$200,$L$10, 'Data entry'!$BD$6:$BD$200,"&lt;&gt;*Negative*"))</f>
        <v>0</v>
      </c>
      <c r="M83" s="13">
        <f>SUM(COUNTIFS('Data entry'!$R$6:$R$200,'Summary Data'!$A83,'Data entry'!$B$6:$B$200,{"Confirmed";"Probable"},'Data entry'!$AO$6:$AO$200,$M$10, 'Data entry'!$BD$6:$BD$200,"&lt;&gt;*Negative*"))</f>
        <v>0</v>
      </c>
      <c r="N83" s="13">
        <f>SUM(COUNTIFS('Data entry'!$R$6:$R$200,'Summary Data'!$A83,'Data entry'!$B$6:$B$200,{"Confirmed";"Probable"},'Data entry'!$AO$6:$AO$200,$N$10, 'Data entry'!$BD$6:$BD$200,"&lt;&gt;*Negative*"))</f>
        <v>0</v>
      </c>
      <c r="O83" s="15">
        <f t="shared" si="7"/>
        <v>0</v>
      </c>
      <c r="P83" s="15">
        <f t="shared" si="8"/>
        <v>0</v>
      </c>
      <c r="Q83" s="15">
        <f>SUM(COUNTIFS('Data entry'!$R$6:$R$200,'Summary Data'!$A83,'Data entry'!$B$6:$B$200,{"Confirmed";"Probable"},'Data entry'!$AP$6:$AP$200,'Data Validation'!$U$2, 'Data entry'!$BD$6:$BD$200,"&lt;&gt;*Negative*"))</f>
        <v>0</v>
      </c>
      <c r="R83" s="15">
        <f>SUM(COUNTIFS('Data entry'!$R$6:$R$200,'Summary Data'!$A83,'Data entry'!$B$6:$B$200,{"Confirmed";"Probable"},'Data entry'!$AP$6:$AP$200,'Data Validation'!$U$3, 'Data entry'!$BD$6:$BD$200,"&lt;&gt;*Negative*"))</f>
        <v>0</v>
      </c>
      <c r="S83" s="15">
        <f>SUM(COUNTIFS('Data entry'!$R$6:$R$200,'Summary Data'!$A83,'Data entry'!$B$6:$B$200,{"Confirmed";"Probable"},'Data entry'!$AP$6:$AP$200,'Data Validation'!$U$4, 'Data entry'!$BD$6:$BD$200,"&lt;&gt;*Negative*"))</f>
        <v>0</v>
      </c>
      <c r="T83" s="15">
        <f>SUM(COUNTIFS('Data entry'!$R$6:$R$200,'Summary Data'!$A83,'Data entry'!$B$6:$B$200,{"Confirmed";"Probable"},'Data entry'!$AP$6:$AP$200,'Data Validation'!$U$5, 'Data entry'!$BD$6:$BD$200,"&lt;&gt;*Negative*"))</f>
        <v>0</v>
      </c>
      <c r="U83" s="15">
        <f>SUM(COUNTIFS('Data entry'!$R$6:$R$200,'Summary Data'!$A83,'Data entry'!$B$6:$B$200,{"Confirmed";"Probable"},'Data entry'!$AP$6:$AP$200,'Data Validation'!$U$6, 'Data entry'!$BD$6:$BD$200,"&lt;&gt;*Negative*"))</f>
        <v>0</v>
      </c>
      <c r="V83" s="15">
        <f>SUM(COUNTIFS('Data entry'!$R$6:$R$200,'Summary Data'!$A83,'Data entry'!$B$6:$B$200,{"Confirmed";"Probable"},'Data entry'!$AQ$6:$AQ$200,'Data Validation'!$V$2, 'Data entry'!$BD$6:$BD$200,"&lt;&gt;*Negative*"))</f>
        <v>0</v>
      </c>
      <c r="W83" s="15">
        <f>SUM(COUNTIFS('Data entry'!$R$6:$R$200,'Summary Data'!$A83,'Data entry'!$B$6:$B$200,{"Confirmed";"Probable"},'Data entry'!$AQ$6:$AQ$200,'Data Validation'!$V$3, 'Data entry'!$BD$6:$BD$200,"&lt;&gt;*Negative*"))</f>
        <v>0</v>
      </c>
      <c r="X83" s="15">
        <f>SUM(COUNTIFS('Data entry'!$R$6:$R$200,'Summary Data'!$A83,'Data entry'!$B$6:$B$200,{"Confirmed";"Probable"},'Data entry'!$AQ$6:$AQ$200,'Data Validation'!$V$4, 'Data entry'!$BD$6:$BD$200,"&lt;&gt;*Negative*"))</f>
        <v>0</v>
      </c>
      <c r="Y83" s="15">
        <f>SUM(COUNTIFS('Data entry'!$R$6:$R$200,'Summary Data'!$A83,'Data entry'!$B$6:$B$200,{"Confirmed";"Probable"},'Data entry'!$AQ$6:$AQ$200,'Data Validation'!$V$5, 'Data entry'!$BD$6:$BD$200,"&lt;&gt;*Negative*"))</f>
        <v>0</v>
      </c>
      <c r="Z83" s="15">
        <f>SUM(COUNTIFS('Data entry'!$R$6:$R$200,'Summary Data'!$A83,'Data entry'!$B$6:$B$200,{"Confirmed";"Probable"},'Data entry'!$AQ$6:$AQ$200,'Data Validation'!$V$6, 'Data entry'!$BD$6:$BD$200,"&lt;&gt;*Negative*"))</f>
        <v>0</v>
      </c>
      <c r="AA83" s="15">
        <f>SUM(COUNTIFS('Data entry'!$R$6:$R$200,'Summary Data'!$A83,'Data entry'!$B$6:$B$200,{"Confirmed";"Probable"},'Data entry'!$AQ$6:$AQ$200,'Data Validation'!$V$7, 'Data entry'!$BD$6:$BD$200,"&lt;&gt;*Negative*"))</f>
        <v>0</v>
      </c>
      <c r="AB83" s="15">
        <f>SUM(COUNTIFS('Data entry'!$R$6:$R$200,'Summary Data'!$A83,'Data entry'!$B$6:$B$200,{"Confirmed";"Probable"},'Data entry'!$AQ$6:$AQ$200,'Data Validation'!$V$8, 'Data entry'!$BD$6:$BD$200,"&lt;&gt;*Negative*"))</f>
        <v>0</v>
      </c>
      <c r="AC83" s="15">
        <f>SUM(COUNTIFS('Data entry'!$R$6:$R$200,'Summary Data'!$A83,'Data entry'!$B$6:$B$200,{"Confirmed";"Probable"},'Data entry'!$AQ$6:$AQ$200,'Data Validation'!$V$9, 'Data entry'!$BD$6:$BD$200,"&lt;&gt;*Negative*"))</f>
        <v>0</v>
      </c>
      <c r="AD83" s="15">
        <f>SUM(COUNTIFS('Data entry'!$R$6:$R$200,'Summary Data'!$A83,'Data entry'!$B$6:$B$200,{"Confirmed";"Probable"},'Data entry'!$AQ$6:$AQ$200,'Data Validation'!$V$10, 'Data entry'!$BD$6:$BD$200,"&lt;&gt;*Negative*"))</f>
        <v>0</v>
      </c>
      <c r="AE83" s="15">
        <f>SUM(COUNTIFS('Data entry'!$R$6:$R$200,'Summary Data'!$A83,'Data entry'!$B$6:$B$200,{"Confirmed";"Probable"},'Data entry'!$AQ$6:$AQ$200,'Data Validation'!$V$11, 'Data entry'!$BD$6:$BD$200,"&lt;&gt;*Negative*"))</f>
        <v>0</v>
      </c>
      <c r="AF83" s="15">
        <f>SUM(COUNTIFS('Data entry'!$R$6:$R$200,'Summary Data'!$A83,'Data entry'!$B$6:$B$200,{"Confirmed";"Probable"},'Data entry'!$AQ$6:$AQ$200,'Data Validation'!$V$2, 'Data entry'!$AP$6:$AP$200,'Data Validation'!$U$2, 'Data entry'!$BD$6:$BD$200,"&lt;&gt;*Negative*"))</f>
        <v>0</v>
      </c>
      <c r="AG83" s="15">
        <f>SUM(COUNTIFS('Data entry'!$R$6:$R$200,'Summary Data'!$A83,'Data entry'!$B$6:$B$200,{"Confirmed";"Probable"},'Data entry'!$AQ$6:$AQ$200,'Data Validation'!$V$2, 'Data entry'!$AP$6:$AP$200,'Data Validation'!$U$3, 'Data entry'!$BD$6:$BD$200,"&lt;&gt;*Negative*"))</f>
        <v>0</v>
      </c>
      <c r="AH83" s="15">
        <f>SUM(COUNTIFS('Data entry'!$R$6:$R$200,'Summary Data'!$A83,'Data entry'!$B$6:$B$200,{"Confirmed";"Probable"},'Data entry'!$AQ$6:$AQ$200,'Data Validation'!$V$2, 'Data entry'!$AP$6:$AP$200,'Data Validation'!$U$4, 'Data entry'!$BD$6:$BD$200,"&lt;&gt;*Negative*"))</f>
        <v>0</v>
      </c>
      <c r="AI83" s="15">
        <f>SUM(COUNTIFS('Data entry'!$R$6:$R$200,'Summary Data'!$A83,'Data entry'!$B$6:$B$200,{"Confirmed";"Probable"},'Data entry'!$AQ$6:$AQ$200,'Data Validation'!$V$2, 'Data entry'!$AP$6:$AP$200,'Data Validation'!$U$5, 'Data entry'!$BD$6:$BD$200,"&lt;&gt;*Negative*"))</f>
        <v>0</v>
      </c>
      <c r="AJ83" s="15">
        <f>SUM(COUNTIFS('Data entry'!$R$6:$R$200,'Summary Data'!$A83,'Data entry'!$B$6:$B$200,{"Confirmed";"Probable"},'Data entry'!$AQ$6:$AQ$200,'Data Validation'!$V$2, 'Data entry'!$AP$6:$AP$200,'Data Validation'!$U$6, 'Data entry'!$BD$6:$BD$200,"&lt;&gt;*Negative*"))</f>
        <v>0</v>
      </c>
      <c r="AK83" s="15">
        <f>SUM(COUNTIFS('Data entry'!$R$6:$R$200,'Summary Data'!$A83,'Data entry'!$B$6:$B$200,{"Confirmed";"Probable"},'Data entry'!$AQ$6:$AQ$200,'Data Validation'!$V$3, 'Data entry'!$AP$6:$AP$200,'Data Validation'!$U$2, 'Data entry'!$BD$6:$BD$200,"&lt;&gt;*Negative*"))</f>
        <v>0</v>
      </c>
      <c r="AL83" s="15">
        <f>SUM(COUNTIFS('Data entry'!$R$6:$R$200,'Summary Data'!$A83,'Data entry'!$B$6:$B$200,{"Confirmed";"Probable"},'Data entry'!$AQ$6:$AQ$200,'Data Validation'!$V$3, 'Data entry'!$AP$6:$AP$200,'Data Validation'!$U$3, 'Data entry'!$BD$6:$BD$200,"&lt;&gt;*Negative*"))</f>
        <v>0</v>
      </c>
      <c r="AM83" s="15">
        <f>SUM(COUNTIFS('Data entry'!$R$6:$R$200,'Summary Data'!$A83,'Data entry'!$B$6:$B$200,{"Confirmed";"Probable"},'Data entry'!$AQ$6:$AQ$200,'Data Validation'!$V$3, 'Data entry'!$AP$6:$AP$200,'Data Validation'!$U$4, 'Data entry'!$BD$6:$BD$200,"&lt;&gt;*Negative*"))</f>
        <v>0</v>
      </c>
      <c r="AN83" s="15">
        <f>SUM(COUNTIFS('Data entry'!$R$6:$R$200,'Summary Data'!$A83,'Data entry'!$B$6:$B$200,{"Confirmed";"Probable"},'Data entry'!$AQ$6:$AQ$200,'Data Validation'!$V$3, 'Data entry'!$AP$6:$AP$200,'Data Validation'!$U$5, 'Data entry'!$BD$6:$BD$200,"&lt;&gt;*Negative*"))</f>
        <v>0</v>
      </c>
      <c r="AO83" s="15">
        <f>SUM(COUNTIFS('Data entry'!$R$6:$R$200,'Summary Data'!$A83,'Data entry'!$B$6:$B$200,{"Confirmed";"Probable"},'Data entry'!$AQ$6:$AQ$200,'Data Validation'!$V$3, 'Data entry'!$AP$6:$AP$200,'Data Validation'!$U$6, 'Data entry'!$BD$6:$BD$200,"&lt;&gt;*Negative*"))</f>
        <v>0</v>
      </c>
      <c r="AP83" s="15">
        <f>SUM(COUNTIFS('Data entry'!$R$6:$R$200,'Summary Data'!$A83,'Data entry'!$B$6:$B$200,{"Confirmed";"Probable"},'Data entry'!$AQ$6:$AQ$200,'Data Validation'!$V$4, 'Data entry'!$AP$6:$AP$200,'Data Validation'!$U$2, 'Data entry'!$BD$6:$BD$200,"&lt;&gt;*Negative*"))</f>
        <v>0</v>
      </c>
      <c r="AQ83" s="15">
        <f>SUM(COUNTIFS('Data entry'!$R$6:$R$200,'Summary Data'!$A83,'Data entry'!$B$6:$B$200,{"Confirmed";"Probable"},'Data entry'!$AQ$6:$AQ$200,'Data Validation'!$V$4, 'Data entry'!$AP$6:$AP$200,'Data Validation'!$U$3, 'Data entry'!$BD$6:$BD$200,"&lt;&gt;*Negative*"))</f>
        <v>0</v>
      </c>
      <c r="AR83" s="15">
        <f>SUM(COUNTIFS('Data entry'!$R$6:$R$200,'Summary Data'!$A83,'Data entry'!$B$6:$B$200,{"Confirmed";"Probable"},'Data entry'!$AQ$6:$AQ$200,'Data Validation'!$V$4, 'Data entry'!$AP$6:$AP$200,'Data Validation'!$U$4, 'Data entry'!$BD$6:$BD$200,"&lt;&gt;*Negative*"))</f>
        <v>0</v>
      </c>
      <c r="AS83" s="15">
        <f>SUM(COUNTIFS('Data entry'!$R$6:$R$200,'Summary Data'!$A83,'Data entry'!$B$6:$B$200,{"Confirmed";"Probable"},'Data entry'!$AQ$6:$AQ$200,'Data Validation'!$V$4, 'Data entry'!$AP$6:$AP$200,'Data Validation'!$U$5, 'Data entry'!$BD$6:$BD$200,"&lt;&gt;*Negative*"))</f>
        <v>0</v>
      </c>
      <c r="AT83" s="15">
        <f>SUM(COUNTIFS('Data entry'!$R$6:$R$200,'Summary Data'!$A83,'Data entry'!$B$6:$B$200,{"Confirmed";"Probable"},'Data entry'!$AQ$6:$AQ$200,'Data Validation'!$V$4, 'Data entry'!$AP$6:$AP$200,'Data Validation'!$U$6, 'Data entry'!$BD$6:$BD$200,"&lt;&gt;*Negative*"))</f>
        <v>0</v>
      </c>
      <c r="AU83" s="15">
        <f>SUM(COUNTIFS('Data entry'!$R$6:$R$200,'Summary Data'!$A83,'Data entry'!$B$6:$B$200,{"Confirmed";"Probable"},'Data entry'!$AQ$6:$AQ$200,'Data Validation'!$V$5, 'Data entry'!$AP$6:$AP$200,'Data Validation'!$U$2, 'Data entry'!$BD$6:$BD$200,"&lt;&gt;*Negative*"))</f>
        <v>0</v>
      </c>
      <c r="AV83" s="15">
        <f>SUM(COUNTIFS('Data entry'!$R$6:$R$200,'Summary Data'!$A83,'Data entry'!$B$6:$B$200,{"Confirmed";"Probable"},'Data entry'!$AQ$6:$AQ$200,'Data Validation'!$V$5, 'Data entry'!$AP$6:$AP$200,'Data Validation'!$U$3, 'Data entry'!$BD$6:$BD$200,"&lt;&gt;*Negative*"))</f>
        <v>0</v>
      </c>
      <c r="AW83" s="15">
        <f>SUM(COUNTIFS('Data entry'!$R$6:$R$200,'Summary Data'!$A83,'Data entry'!$B$6:$B$200,{"Confirmed";"Probable"},'Data entry'!$AQ$6:$AQ$200,'Data Validation'!$V$5, 'Data entry'!$AP$6:$AP$200,'Data Validation'!$U$4, 'Data entry'!$BD$6:$BD$200,"&lt;&gt;*Negative*"))</f>
        <v>0</v>
      </c>
      <c r="AX83" s="15">
        <f>SUM(COUNTIFS('Data entry'!$R$6:$R$200,'Summary Data'!$A83,'Data entry'!$B$6:$B$200,{"Confirmed";"Probable"},'Data entry'!$AQ$6:$AQ$200,'Data Validation'!$V$5, 'Data entry'!$AP$6:$AP$200,'Data Validation'!$U$5, 'Data entry'!$BD$6:$BD$200,"&lt;&gt;*Negative*"))</f>
        <v>0</v>
      </c>
      <c r="AY83" s="15">
        <f>SUM(COUNTIFS('Data entry'!$R$6:$R$200,'Summary Data'!$A83,'Data entry'!$B$6:$B$200,{"Confirmed";"Probable"},'Data entry'!$AQ$6:$AQ$200,'Data Validation'!$V$5, 'Data entry'!$AP$6:$AP$200,'Data Validation'!$U$6, 'Data entry'!$BD$6:$BD$200,"&lt;&gt;*Negative*"))</f>
        <v>0</v>
      </c>
      <c r="AZ83" s="15">
        <f>SUM(COUNTIFS('Data entry'!$R$6:$R$200,'Summary Data'!$A83,'Data entry'!$B$6:$B$200,{"Confirmed";"Probable"},'Data entry'!$AQ$6:$AQ$200,'Data Validation'!$V$6, 'Data entry'!$AP$6:$AP$200,'Data Validation'!$U$2, 'Data entry'!$BD$6:$BD$200,"&lt;&gt;*Negative*"))</f>
        <v>0</v>
      </c>
      <c r="BA83" s="15">
        <f>SUM(COUNTIFS('Data entry'!$R$6:$R$200,'Summary Data'!$A83,'Data entry'!$B$6:$B$200,{"Confirmed";"Probable"},'Data entry'!$AQ$6:$AQ$200,'Data Validation'!$V$6, 'Data entry'!$AP$6:$AP$200,'Data Validation'!$U$3, 'Data entry'!$BD$6:$BD$200,"&lt;&gt;*Negative*"))</f>
        <v>0</v>
      </c>
      <c r="BB83" s="15">
        <f>SUM(COUNTIFS('Data entry'!$R$6:$R$200,'Summary Data'!$A83,'Data entry'!$B$6:$B$200,{"Confirmed";"Probable"},'Data entry'!$AQ$6:$AQ$200,'Data Validation'!$V$6, 'Data entry'!$AP$6:$AP$200,'Data Validation'!$U$4, 'Data entry'!$BD$6:$BD$200,"&lt;&gt;*Negative*"))</f>
        <v>0</v>
      </c>
      <c r="BC83" s="15">
        <f>SUM(COUNTIFS('Data entry'!$R$6:$R$200,'Summary Data'!$A83,'Data entry'!$B$6:$B$200,{"Confirmed";"Probable"},'Data entry'!$AQ$6:$AQ$200,'Data Validation'!$V$6, 'Data entry'!$AP$6:$AP$200,'Data Validation'!$U$5, 'Data entry'!$BD$6:$BD$200,"&lt;&gt;*Negative*"))</f>
        <v>0</v>
      </c>
      <c r="BD83" s="15">
        <f>SUM(COUNTIFS('Data entry'!$R$6:$R$200,'Summary Data'!$A83,'Data entry'!$B$6:$B$200,{"Confirmed";"Probable"},'Data entry'!$AQ$6:$AQ$200,'Data Validation'!$V$6, 'Data entry'!$AP$6:$AP$200,'Data Validation'!$U$6, 'Data entry'!$BD$6:$BD$200,"&lt;&gt;*Negative*"))</f>
        <v>0</v>
      </c>
      <c r="BE83" s="15">
        <f>SUM(COUNTIFS('Data entry'!$R$6:$R$200,'Summary Data'!$A83,'Data entry'!$B$6:$B$200,{"Confirmed";"Probable"},'Data entry'!$AQ$6:$AQ$200,'Data Validation'!$V$7, 'Data entry'!$AP$6:$AP$200,'Data Validation'!$U$2, 'Data entry'!$BD$6:$BD$200,"&lt;&gt;*Negative*"))</f>
        <v>0</v>
      </c>
      <c r="BF83" s="15">
        <f>SUM(COUNTIFS('Data entry'!$R$6:$R$200,'Summary Data'!$A83,'Data entry'!$B$6:$B$200,{"Confirmed";"Probable"},'Data entry'!$AQ$6:$AQ$200,'Data Validation'!$V$7, 'Data entry'!$AP$6:$AP$200,'Data Validation'!$U$3, 'Data entry'!$BD$6:$BD$200,"&lt;&gt;*Negative*"))</f>
        <v>0</v>
      </c>
      <c r="BG83" s="15">
        <f>SUM(COUNTIFS('Data entry'!$R$6:$R$200,'Summary Data'!$A83,'Data entry'!$B$6:$B$200,{"Confirmed";"Probable"},'Data entry'!$AQ$6:$AQ$200,'Data Validation'!$V$7, 'Data entry'!$AP$6:$AP$200,'Data Validation'!$U$4, 'Data entry'!$BD$6:$BD$200,"&lt;&gt;*Negative*"))</f>
        <v>0</v>
      </c>
      <c r="BH83" s="15">
        <f>SUM(COUNTIFS('Data entry'!$R$6:$R$200,'Summary Data'!$A83,'Data entry'!$B$6:$B$200,{"Confirmed";"Probable"},'Data entry'!$AQ$6:$AQ$200,'Data Validation'!$V$7, 'Data entry'!$AP$6:$AP$200,'Data Validation'!$U$5, 'Data entry'!$BD$6:$BD$200,"&lt;&gt;*Negative*"))</f>
        <v>0</v>
      </c>
      <c r="BI83" s="15">
        <f>SUM(COUNTIFS('Data entry'!$R$6:$R$200,'Summary Data'!$A83,'Data entry'!$B$6:$B$200,{"Confirmed";"Probable"},'Data entry'!$AQ$6:$AQ$200,'Data Validation'!$V$7, 'Data entry'!$AP$6:$AP$200,'Data Validation'!$U$6, 'Data entry'!$BD$6:$BD$200,"&lt;&gt;*Negative*"))</f>
        <v>0</v>
      </c>
      <c r="BJ83" s="15">
        <f>SUM(COUNTIFS('Data entry'!$R$6:$R$200,'Summary Data'!$A83,'Data entry'!$B$6:$B$200,{"Confirmed";"Probable"},'Data entry'!$AQ$6:$AQ$200,'Data Validation'!$V$8, 'Data entry'!$AP$6:$AP$200,'Data Validation'!$U$2, 'Data entry'!$BD$6:$BD$200,"&lt;&gt;*Negative*"))</f>
        <v>0</v>
      </c>
      <c r="BK83" s="15">
        <f>SUM(COUNTIFS('Data entry'!$R$6:$R$200,'Summary Data'!$A83,'Data entry'!$B$6:$B$200,{"Confirmed";"Probable"},'Data entry'!$AQ$6:$AQ$200,'Data Validation'!$V$8, 'Data entry'!$AP$6:$AP$200,'Data Validation'!$U$3, 'Data entry'!$BD$6:$BD$200,"&lt;&gt;*Negative*"))</f>
        <v>0</v>
      </c>
      <c r="BL83" s="15">
        <f>SUM(COUNTIFS('Data entry'!$R$6:$R$200,'Summary Data'!$A83,'Data entry'!$B$6:$B$200,{"Confirmed";"Probable"},'Data entry'!$AQ$6:$AQ$200,'Data Validation'!$V$8, 'Data entry'!$AP$6:$AP$200,'Data Validation'!$U$4, 'Data entry'!$BD$6:$BD$200,"&lt;&gt;*Negative*"))</f>
        <v>0</v>
      </c>
      <c r="BM83" s="15">
        <f>SUM(COUNTIFS('Data entry'!$R$6:$R$200,'Summary Data'!$A83,'Data entry'!$B$6:$B$200,{"Confirmed";"Probable"},'Data entry'!$AQ$6:$AQ$200,'Data Validation'!$V$8, 'Data entry'!$AP$6:$AP$200,'Data Validation'!$U$5, 'Data entry'!$BD$6:$BD$200,"&lt;&gt;*Negative*"))</f>
        <v>0</v>
      </c>
      <c r="BN83" s="15">
        <f>SUM(COUNTIFS('Data entry'!$R$6:$R$200,'Summary Data'!$A83,'Data entry'!$B$6:$B$200,{"Confirmed";"Probable"},'Data entry'!$AQ$6:$AQ$200,'Data Validation'!$V$8, 'Data entry'!$AP$6:$AP$200,'Data Validation'!$U$6, 'Data entry'!$BD$6:$BD$200,"&lt;&gt;*Negative*"))</f>
        <v>0</v>
      </c>
      <c r="BO83" s="15">
        <f>SUM(COUNTIFS('Data entry'!$R$6:$R$200,'Summary Data'!$A83,'Data entry'!$B$6:$B$200,{"Confirmed";"Probable"},'Data entry'!$AQ$6:$AQ$200,'Data Validation'!$V$9, 'Data entry'!$AP$6:$AP$200,'Data Validation'!$U$2, 'Data entry'!$BD$6:$BD$200,"&lt;&gt;*Negative*"))</f>
        <v>0</v>
      </c>
      <c r="BP83" s="15">
        <f>SUM(COUNTIFS('Data entry'!$R$6:$R$200,'Summary Data'!$A83,'Data entry'!$B$6:$B$200,{"Confirmed";"Probable"},'Data entry'!$AQ$6:$AQ$200,'Data Validation'!$V$9, 'Data entry'!$AP$6:$AP$200,'Data Validation'!$U$3, 'Data entry'!$BD$6:$BD$200,"&lt;&gt;*Negative*"))</f>
        <v>0</v>
      </c>
      <c r="BQ83" s="15">
        <f>SUM(COUNTIFS('Data entry'!$R$6:$R$200,'Summary Data'!$A83,'Data entry'!$B$6:$B$200,{"Confirmed";"Probable"},'Data entry'!$AQ$6:$AQ$200,'Data Validation'!$V$9, 'Data entry'!$AP$6:$AP$200,'Data Validation'!$U$4, 'Data entry'!$BD$6:$BD$200,"&lt;&gt;*Negative*"))</f>
        <v>0</v>
      </c>
      <c r="BR83" s="15">
        <f>SUM(COUNTIFS('Data entry'!$R$6:$R$200,'Summary Data'!$A83,'Data entry'!$B$6:$B$200,{"Confirmed";"Probable"},'Data entry'!$AQ$6:$AQ$200,'Data Validation'!$V$9, 'Data entry'!$AP$6:$AP$200,'Data Validation'!$U$5, 'Data entry'!$BD$6:$BD$200,"&lt;&gt;*Negative*"))</f>
        <v>0</v>
      </c>
      <c r="BS83" s="15">
        <f>SUM(COUNTIFS('Data entry'!$R$6:$R$200,'Summary Data'!$A83,'Data entry'!$B$6:$B$200,{"Confirmed";"Probable"},'Data entry'!$AQ$6:$AQ$200,'Data Validation'!$V$9, 'Data entry'!$AP$6:$AP$200,'Data Validation'!$U$6, 'Data entry'!$BD$6:$BD$200,"&lt;&gt;*Negative*"))</f>
        <v>0</v>
      </c>
      <c r="BT83" s="15">
        <f>SUM(COUNTIFS('Data entry'!$R$6:$R$200,'Summary Data'!$A83,'Data entry'!$B$6:$B$200,{"Confirmed";"Probable"},'Data entry'!$AQ$6:$AQ$200,'Data Validation'!$V$10, 'Data entry'!$AP$6:$AP$200,'Data Validation'!$U$2, 'Data entry'!$BD$6:$BD$200,"&lt;&gt;*Negative*"))</f>
        <v>0</v>
      </c>
      <c r="BU83" s="15">
        <f>SUM(COUNTIFS('Data entry'!$R$6:$R$200,'Summary Data'!$A83,'Data entry'!$B$6:$B$200,{"Confirmed";"Probable"},'Data entry'!$AQ$6:$AQ$200,'Data Validation'!$V$10, 'Data entry'!$AP$6:$AP$200,'Data Validation'!$U$3, 'Data entry'!$BD$6:$BD$200,"&lt;&gt;*Negative*"))</f>
        <v>0</v>
      </c>
      <c r="BV83" s="15">
        <f>SUM(COUNTIFS('Data entry'!$R$6:$R$200,'Summary Data'!$A83,'Data entry'!$B$6:$B$200,{"Confirmed";"Probable"},'Data entry'!$AQ$6:$AQ$200,'Data Validation'!$V$10, 'Data entry'!$AP$6:$AP$200,'Data Validation'!$U$4, 'Data entry'!$BD$6:$BD$200,"&lt;&gt;*Negative*"))</f>
        <v>0</v>
      </c>
      <c r="BW83" s="15">
        <f>SUM(COUNTIFS('Data entry'!$R$6:$R$200,'Summary Data'!$A83,'Data entry'!$B$6:$B$200,{"Confirmed";"Probable"},'Data entry'!$AQ$6:$AQ$200,'Data Validation'!$V$10, 'Data entry'!$AP$6:$AP$200,'Data Validation'!$U$5, 'Data entry'!$BD$6:$BD$200,"&lt;&gt;*Negative*"))</f>
        <v>0</v>
      </c>
      <c r="BX83" s="15">
        <f>SUM(COUNTIFS('Data entry'!$R$6:$R$200,'Summary Data'!$A83,'Data entry'!$B$6:$B$200,{"Confirmed";"Probable"},'Data entry'!$AQ$6:$AQ$200,'Data Validation'!$V$10, 'Data entry'!$AP$6:$AP$200,'Data Validation'!$U$6, 'Data entry'!$BD$6:$BD$200,"&lt;&gt;*Negative*"))</f>
        <v>0</v>
      </c>
      <c r="BY83" s="15">
        <f>SUM(COUNTIFS('Data entry'!$R$6:$R$200,'Summary Data'!$A83,'Data entry'!$B$6:$B$200,{"Confirmed";"Probable"},'Data entry'!$AQ$6:$AQ$200,'Data Validation'!$V$11, 'Data entry'!$AP$6:$AP$200,'Data Validation'!$U$2, 'Data entry'!$BD$6:$BD$200,"&lt;&gt;*Negative*"))</f>
        <v>0</v>
      </c>
      <c r="BZ83" s="15">
        <f>SUM(COUNTIFS('Data entry'!$R$6:$R$200,'Summary Data'!$A83,'Data entry'!$B$6:$B$200,{"Confirmed";"Probable"},'Data entry'!$AQ$6:$AQ$200,'Data Validation'!$V$11, 'Data entry'!$AP$6:$AP$200,'Data Validation'!$U$3, 'Data entry'!$BD$6:$BD$200,"&lt;&gt;*Negative*"))</f>
        <v>0</v>
      </c>
      <c r="CA83" s="15">
        <f>SUM(COUNTIFS('Data entry'!$R$6:$R$200,'Summary Data'!$A83,'Data entry'!$B$6:$B$200,{"Confirmed";"Probable"},'Data entry'!$AQ$6:$AQ$200,'Data Validation'!$V$11, 'Data entry'!$AP$6:$AP$200,'Data Validation'!$U$4, 'Data entry'!$BD$6:$BD$200,"&lt;&gt;*Negative*"))</f>
        <v>0</v>
      </c>
      <c r="CB83" s="15">
        <f>SUM(COUNTIFS('Data entry'!$R$6:$R$200,'Summary Data'!$A83,'Data entry'!$B$6:$B$200,{"Confirmed";"Probable"},'Data entry'!$AQ$6:$AQ$200,'Data Validation'!$V$11, 'Data entry'!$AP$6:$AP$200,'Data Validation'!$U$5, 'Data entry'!$BD$6:$BD$200,"&lt;&gt;*Negative*"))</f>
        <v>0</v>
      </c>
      <c r="CC83" s="15">
        <f>SUM(COUNTIFS('Data entry'!$R$6:$R$200,'Summary Data'!$A83,'Data entry'!$B$6:$B$200,{"Confirmed";"Probable"},'Data entry'!$AQ$6:$AQ$200,'Data Validation'!$V$11, 'Data entry'!$AP$6:$AP$200,'Data Validation'!$U$6, 'Data entry'!$BD$6:$BD$200,"&lt;&gt;*Negative*"))</f>
        <v>0</v>
      </c>
    </row>
    <row r="84" spans="1:81" x14ac:dyDescent="0.25">
      <c r="A84" s="12">
        <f t="shared" si="9"/>
        <v>72</v>
      </c>
      <c r="B84" s="13">
        <f t="shared" si="6"/>
        <v>0</v>
      </c>
      <c r="C84" s="13">
        <f>COUNTIFS('Data entry'!$R$6:$R$200,$A84,'Data entry'!$B$6:$B$200,"Confirmed",'Data entry'!$BD$6:$BD$200,"&lt;&gt;*Negative*")</f>
        <v>0</v>
      </c>
      <c r="D84" s="13">
        <f>COUNTIFS('Data entry'!$R$6:$R$200,$A84,'Data entry'!$B$6:$B$200,"Probable",'Data entry'!$BD$6:$BD$200,"&lt;&gt;*Negative*")</f>
        <v>0</v>
      </c>
      <c r="E84" s="13">
        <f>COUNTIFS('Data entry'!$R$6:$R$200,$A84,'Data entry'!$B$6:$B$200,"DNM")</f>
        <v>0</v>
      </c>
      <c r="F84" s="13">
        <f>SUM(COUNTIFS('Data entry'!$R$6:$R$200,'Summary Data'!$A84,'Data entry'!$B$6:$B$200,{"Confirmed";"Probable"},'Data entry'!$AO$6:$AO$200,$F$10, 'Data entry'!$BD$6:$BD$200,"&lt;&gt;*Negative*"))</f>
        <v>0</v>
      </c>
      <c r="G84" s="13">
        <f>SUM(COUNTIFS('Data entry'!$R$6:$R$200,'Summary Data'!$A84,'Data entry'!$B$6:$B$200,{"Confirmed";"Probable"},'Data entry'!$AO$6:$AO$200,$G$10, 'Data entry'!$BD$6:$BD$200,"&lt;&gt;*Negative*"))</f>
        <v>0</v>
      </c>
      <c r="H84" s="13">
        <f>SUM(COUNTIFS('Data entry'!$R$6:$R$200,'Summary Data'!$A84,'Data entry'!$B$6:$B$200,{"Confirmed";"Probable"},'Data entry'!$AO$6:$AO$200,$H$10, 'Data entry'!$BD$6:$BD$200,"&lt;&gt;*Negative*"))</f>
        <v>0</v>
      </c>
      <c r="I84" s="13">
        <f>SUM(COUNTIFS('Data entry'!$R$6:$R$200,'Summary Data'!$A84,'Data entry'!$B$6:$B$200,{"Confirmed";"Probable"},'Data entry'!$AO$6:$AO$200,$I$10, 'Data entry'!$BD$6:$BD$200,"&lt;&gt;*Negative*"))</f>
        <v>0</v>
      </c>
      <c r="J84" s="13">
        <f>SUM(COUNTIFS('Data entry'!$R$6:$R$200,'Summary Data'!$A84,'Data entry'!$B$6:$B$200,{"Confirmed";"Probable"},'Data entry'!$AO$6:$AO$200,$J$10, 'Data entry'!$BD$6:$BD$200,"&lt;&gt;*Negative*"))</f>
        <v>0</v>
      </c>
      <c r="K84" s="13">
        <f>SUM(COUNTIFS('Data entry'!$R$6:$R$200,'Summary Data'!$A84,'Data entry'!$B$6:$B$200,{"Confirmed";"Probable"},'Data entry'!$AO$6:$AO$200,$K$10, 'Data entry'!$BD$6:$BD$200,"&lt;&gt;*Negative*"))</f>
        <v>0</v>
      </c>
      <c r="L84" s="13">
        <f>SUM(COUNTIFS('Data entry'!$R$6:$R$200,'Summary Data'!$A84,'Data entry'!$B$6:$B$200,{"Confirmed";"Probable"},'Data entry'!$AO$6:$AO$200,$L$10, 'Data entry'!$BD$6:$BD$200,"&lt;&gt;*Negative*"))</f>
        <v>0</v>
      </c>
      <c r="M84" s="13">
        <f>SUM(COUNTIFS('Data entry'!$R$6:$R$200,'Summary Data'!$A84,'Data entry'!$B$6:$B$200,{"Confirmed";"Probable"},'Data entry'!$AO$6:$AO$200,$M$10, 'Data entry'!$BD$6:$BD$200,"&lt;&gt;*Negative*"))</f>
        <v>0</v>
      </c>
      <c r="N84" s="13">
        <f>SUM(COUNTIFS('Data entry'!$R$6:$R$200,'Summary Data'!$A84,'Data entry'!$B$6:$B$200,{"Confirmed";"Probable"},'Data entry'!$AO$6:$AO$200,$N$10, 'Data entry'!$BD$6:$BD$200,"&lt;&gt;*Negative*"))</f>
        <v>0</v>
      </c>
      <c r="O84" s="15">
        <f t="shared" si="7"/>
        <v>0</v>
      </c>
      <c r="P84" s="15">
        <f t="shared" si="8"/>
        <v>0</v>
      </c>
      <c r="Q84" s="15">
        <f>SUM(COUNTIFS('Data entry'!$R$6:$R$200,'Summary Data'!$A84,'Data entry'!$B$6:$B$200,{"Confirmed";"Probable"},'Data entry'!$AP$6:$AP$200,'Data Validation'!$U$2, 'Data entry'!$BD$6:$BD$200,"&lt;&gt;*Negative*"))</f>
        <v>0</v>
      </c>
      <c r="R84" s="15">
        <f>SUM(COUNTIFS('Data entry'!$R$6:$R$200,'Summary Data'!$A84,'Data entry'!$B$6:$B$200,{"Confirmed";"Probable"},'Data entry'!$AP$6:$AP$200,'Data Validation'!$U$3, 'Data entry'!$BD$6:$BD$200,"&lt;&gt;*Negative*"))</f>
        <v>0</v>
      </c>
      <c r="S84" s="15">
        <f>SUM(COUNTIFS('Data entry'!$R$6:$R$200,'Summary Data'!$A84,'Data entry'!$B$6:$B$200,{"Confirmed";"Probable"},'Data entry'!$AP$6:$AP$200,'Data Validation'!$U$4, 'Data entry'!$BD$6:$BD$200,"&lt;&gt;*Negative*"))</f>
        <v>0</v>
      </c>
      <c r="T84" s="15">
        <f>SUM(COUNTIFS('Data entry'!$R$6:$R$200,'Summary Data'!$A84,'Data entry'!$B$6:$B$200,{"Confirmed";"Probable"},'Data entry'!$AP$6:$AP$200,'Data Validation'!$U$5, 'Data entry'!$BD$6:$BD$200,"&lt;&gt;*Negative*"))</f>
        <v>0</v>
      </c>
      <c r="U84" s="15">
        <f>SUM(COUNTIFS('Data entry'!$R$6:$R$200,'Summary Data'!$A84,'Data entry'!$B$6:$B$200,{"Confirmed";"Probable"},'Data entry'!$AP$6:$AP$200,'Data Validation'!$U$6, 'Data entry'!$BD$6:$BD$200,"&lt;&gt;*Negative*"))</f>
        <v>0</v>
      </c>
      <c r="V84" s="15">
        <f>SUM(COUNTIFS('Data entry'!$R$6:$R$200,'Summary Data'!$A84,'Data entry'!$B$6:$B$200,{"Confirmed";"Probable"},'Data entry'!$AQ$6:$AQ$200,'Data Validation'!$V$2, 'Data entry'!$BD$6:$BD$200,"&lt;&gt;*Negative*"))</f>
        <v>0</v>
      </c>
      <c r="W84" s="15">
        <f>SUM(COUNTIFS('Data entry'!$R$6:$R$200,'Summary Data'!$A84,'Data entry'!$B$6:$B$200,{"Confirmed";"Probable"},'Data entry'!$AQ$6:$AQ$200,'Data Validation'!$V$3, 'Data entry'!$BD$6:$BD$200,"&lt;&gt;*Negative*"))</f>
        <v>0</v>
      </c>
      <c r="X84" s="15">
        <f>SUM(COUNTIFS('Data entry'!$R$6:$R$200,'Summary Data'!$A84,'Data entry'!$B$6:$B$200,{"Confirmed";"Probable"},'Data entry'!$AQ$6:$AQ$200,'Data Validation'!$V$4, 'Data entry'!$BD$6:$BD$200,"&lt;&gt;*Negative*"))</f>
        <v>0</v>
      </c>
      <c r="Y84" s="15">
        <f>SUM(COUNTIFS('Data entry'!$R$6:$R$200,'Summary Data'!$A84,'Data entry'!$B$6:$B$200,{"Confirmed";"Probable"},'Data entry'!$AQ$6:$AQ$200,'Data Validation'!$V$5, 'Data entry'!$BD$6:$BD$200,"&lt;&gt;*Negative*"))</f>
        <v>0</v>
      </c>
      <c r="Z84" s="15">
        <f>SUM(COUNTIFS('Data entry'!$R$6:$R$200,'Summary Data'!$A84,'Data entry'!$B$6:$B$200,{"Confirmed";"Probable"},'Data entry'!$AQ$6:$AQ$200,'Data Validation'!$V$6, 'Data entry'!$BD$6:$BD$200,"&lt;&gt;*Negative*"))</f>
        <v>0</v>
      </c>
      <c r="AA84" s="15">
        <f>SUM(COUNTIFS('Data entry'!$R$6:$R$200,'Summary Data'!$A84,'Data entry'!$B$6:$B$200,{"Confirmed";"Probable"},'Data entry'!$AQ$6:$AQ$200,'Data Validation'!$V$7, 'Data entry'!$BD$6:$BD$200,"&lt;&gt;*Negative*"))</f>
        <v>0</v>
      </c>
      <c r="AB84" s="15">
        <f>SUM(COUNTIFS('Data entry'!$R$6:$R$200,'Summary Data'!$A84,'Data entry'!$B$6:$B$200,{"Confirmed";"Probable"},'Data entry'!$AQ$6:$AQ$200,'Data Validation'!$V$8, 'Data entry'!$BD$6:$BD$200,"&lt;&gt;*Negative*"))</f>
        <v>0</v>
      </c>
      <c r="AC84" s="15">
        <f>SUM(COUNTIFS('Data entry'!$R$6:$R$200,'Summary Data'!$A84,'Data entry'!$B$6:$B$200,{"Confirmed";"Probable"},'Data entry'!$AQ$6:$AQ$200,'Data Validation'!$V$9, 'Data entry'!$BD$6:$BD$200,"&lt;&gt;*Negative*"))</f>
        <v>0</v>
      </c>
      <c r="AD84" s="15">
        <f>SUM(COUNTIFS('Data entry'!$R$6:$R$200,'Summary Data'!$A84,'Data entry'!$B$6:$B$200,{"Confirmed";"Probable"},'Data entry'!$AQ$6:$AQ$200,'Data Validation'!$V$10, 'Data entry'!$BD$6:$BD$200,"&lt;&gt;*Negative*"))</f>
        <v>0</v>
      </c>
      <c r="AE84" s="15">
        <f>SUM(COUNTIFS('Data entry'!$R$6:$R$200,'Summary Data'!$A84,'Data entry'!$B$6:$B$200,{"Confirmed";"Probable"},'Data entry'!$AQ$6:$AQ$200,'Data Validation'!$V$11, 'Data entry'!$BD$6:$BD$200,"&lt;&gt;*Negative*"))</f>
        <v>0</v>
      </c>
      <c r="AF84" s="15">
        <f>SUM(COUNTIFS('Data entry'!$R$6:$R$200,'Summary Data'!$A84,'Data entry'!$B$6:$B$200,{"Confirmed";"Probable"},'Data entry'!$AQ$6:$AQ$200,'Data Validation'!$V$2, 'Data entry'!$AP$6:$AP$200,'Data Validation'!$U$2, 'Data entry'!$BD$6:$BD$200,"&lt;&gt;*Negative*"))</f>
        <v>0</v>
      </c>
      <c r="AG84" s="15">
        <f>SUM(COUNTIFS('Data entry'!$R$6:$R$200,'Summary Data'!$A84,'Data entry'!$B$6:$B$200,{"Confirmed";"Probable"},'Data entry'!$AQ$6:$AQ$200,'Data Validation'!$V$2, 'Data entry'!$AP$6:$AP$200,'Data Validation'!$U$3, 'Data entry'!$BD$6:$BD$200,"&lt;&gt;*Negative*"))</f>
        <v>0</v>
      </c>
      <c r="AH84" s="15">
        <f>SUM(COUNTIFS('Data entry'!$R$6:$R$200,'Summary Data'!$A84,'Data entry'!$B$6:$B$200,{"Confirmed";"Probable"},'Data entry'!$AQ$6:$AQ$200,'Data Validation'!$V$2, 'Data entry'!$AP$6:$AP$200,'Data Validation'!$U$4, 'Data entry'!$BD$6:$BD$200,"&lt;&gt;*Negative*"))</f>
        <v>0</v>
      </c>
      <c r="AI84" s="15">
        <f>SUM(COUNTIFS('Data entry'!$R$6:$R$200,'Summary Data'!$A84,'Data entry'!$B$6:$B$200,{"Confirmed";"Probable"},'Data entry'!$AQ$6:$AQ$200,'Data Validation'!$V$2, 'Data entry'!$AP$6:$AP$200,'Data Validation'!$U$5, 'Data entry'!$BD$6:$BD$200,"&lt;&gt;*Negative*"))</f>
        <v>0</v>
      </c>
      <c r="AJ84" s="15">
        <f>SUM(COUNTIFS('Data entry'!$R$6:$R$200,'Summary Data'!$A84,'Data entry'!$B$6:$B$200,{"Confirmed";"Probable"},'Data entry'!$AQ$6:$AQ$200,'Data Validation'!$V$2, 'Data entry'!$AP$6:$AP$200,'Data Validation'!$U$6, 'Data entry'!$BD$6:$BD$200,"&lt;&gt;*Negative*"))</f>
        <v>0</v>
      </c>
      <c r="AK84" s="15">
        <f>SUM(COUNTIFS('Data entry'!$R$6:$R$200,'Summary Data'!$A84,'Data entry'!$B$6:$B$200,{"Confirmed";"Probable"},'Data entry'!$AQ$6:$AQ$200,'Data Validation'!$V$3, 'Data entry'!$AP$6:$AP$200,'Data Validation'!$U$2, 'Data entry'!$BD$6:$BD$200,"&lt;&gt;*Negative*"))</f>
        <v>0</v>
      </c>
      <c r="AL84" s="15">
        <f>SUM(COUNTIFS('Data entry'!$R$6:$R$200,'Summary Data'!$A84,'Data entry'!$B$6:$B$200,{"Confirmed";"Probable"},'Data entry'!$AQ$6:$AQ$200,'Data Validation'!$V$3, 'Data entry'!$AP$6:$AP$200,'Data Validation'!$U$3, 'Data entry'!$BD$6:$BD$200,"&lt;&gt;*Negative*"))</f>
        <v>0</v>
      </c>
      <c r="AM84" s="15">
        <f>SUM(COUNTIFS('Data entry'!$R$6:$R$200,'Summary Data'!$A84,'Data entry'!$B$6:$B$200,{"Confirmed";"Probable"},'Data entry'!$AQ$6:$AQ$200,'Data Validation'!$V$3, 'Data entry'!$AP$6:$AP$200,'Data Validation'!$U$4, 'Data entry'!$BD$6:$BD$200,"&lt;&gt;*Negative*"))</f>
        <v>0</v>
      </c>
      <c r="AN84" s="15">
        <f>SUM(COUNTIFS('Data entry'!$R$6:$R$200,'Summary Data'!$A84,'Data entry'!$B$6:$B$200,{"Confirmed";"Probable"},'Data entry'!$AQ$6:$AQ$200,'Data Validation'!$V$3, 'Data entry'!$AP$6:$AP$200,'Data Validation'!$U$5, 'Data entry'!$BD$6:$BD$200,"&lt;&gt;*Negative*"))</f>
        <v>0</v>
      </c>
      <c r="AO84" s="15">
        <f>SUM(COUNTIFS('Data entry'!$R$6:$R$200,'Summary Data'!$A84,'Data entry'!$B$6:$B$200,{"Confirmed";"Probable"},'Data entry'!$AQ$6:$AQ$200,'Data Validation'!$V$3, 'Data entry'!$AP$6:$AP$200,'Data Validation'!$U$6, 'Data entry'!$BD$6:$BD$200,"&lt;&gt;*Negative*"))</f>
        <v>0</v>
      </c>
      <c r="AP84" s="15">
        <f>SUM(COUNTIFS('Data entry'!$R$6:$R$200,'Summary Data'!$A84,'Data entry'!$B$6:$B$200,{"Confirmed";"Probable"},'Data entry'!$AQ$6:$AQ$200,'Data Validation'!$V$4, 'Data entry'!$AP$6:$AP$200,'Data Validation'!$U$2, 'Data entry'!$BD$6:$BD$200,"&lt;&gt;*Negative*"))</f>
        <v>0</v>
      </c>
      <c r="AQ84" s="15">
        <f>SUM(COUNTIFS('Data entry'!$R$6:$R$200,'Summary Data'!$A84,'Data entry'!$B$6:$B$200,{"Confirmed";"Probable"},'Data entry'!$AQ$6:$AQ$200,'Data Validation'!$V$4, 'Data entry'!$AP$6:$AP$200,'Data Validation'!$U$3, 'Data entry'!$BD$6:$BD$200,"&lt;&gt;*Negative*"))</f>
        <v>0</v>
      </c>
      <c r="AR84" s="15">
        <f>SUM(COUNTIFS('Data entry'!$R$6:$R$200,'Summary Data'!$A84,'Data entry'!$B$6:$B$200,{"Confirmed";"Probable"},'Data entry'!$AQ$6:$AQ$200,'Data Validation'!$V$4, 'Data entry'!$AP$6:$AP$200,'Data Validation'!$U$4, 'Data entry'!$BD$6:$BD$200,"&lt;&gt;*Negative*"))</f>
        <v>0</v>
      </c>
      <c r="AS84" s="15">
        <f>SUM(COUNTIFS('Data entry'!$R$6:$R$200,'Summary Data'!$A84,'Data entry'!$B$6:$B$200,{"Confirmed";"Probable"},'Data entry'!$AQ$6:$AQ$200,'Data Validation'!$V$4, 'Data entry'!$AP$6:$AP$200,'Data Validation'!$U$5, 'Data entry'!$BD$6:$BD$200,"&lt;&gt;*Negative*"))</f>
        <v>0</v>
      </c>
      <c r="AT84" s="15">
        <f>SUM(COUNTIFS('Data entry'!$R$6:$R$200,'Summary Data'!$A84,'Data entry'!$B$6:$B$200,{"Confirmed";"Probable"},'Data entry'!$AQ$6:$AQ$200,'Data Validation'!$V$4, 'Data entry'!$AP$6:$AP$200,'Data Validation'!$U$6, 'Data entry'!$BD$6:$BD$200,"&lt;&gt;*Negative*"))</f>
        <v>0</v>
      </c>
      <c r="AU84" s="15">
        <f>SUM(COUNTIFS('Data entry'!$R$6:$R$200,'Summary Data'!$A84,'Data entry'!$B$6:$B$200,{"Confirmed";"Probable"},'Data entry'!$AQ$6:$AQ$200,'Data Validation'!$V$5, 'Data entry'!$AP$6:$AP$200,'Data Validation'!$U$2, 'Data entry'!$BD$6:$BD$200,"&lt;&gt;*Negative*"))</f>
        <v>0</v>
      </c>
      <c r="AV84" s="15">
        <f>SUM(COUNTIFS('Data entry'!$R$6:$R$200,'Summary Data'!$A84,'Data entry'!$B$6:$B$200,{"Confirmed";"Probable"},'Data entry'!$AQ$6:$AQ$200,'Data Validation'!$V$5, 'Data entry'!$AP$6:$AP$200,'Data Validation'!$U$3, 'Data entry'!$BD$6:$BD$200,"&lt;&gt;*Negative*"))</f>
        <v>0</v>
      </c>
      <c r="AW84" s="15">
        <f>SUM(COUNTIFS('Data entry'!$R$6:$R$200,'Summary Data'!$A84,'Data entry'!$B$6:$B$200,{"Confirmed";"Probable"},'Data entry'!$AQ$6:$AQ$200,'Data Validation'!$V$5, 'Data entry'!$AP$6:$AP$200,'Data Validation'!$U$4, 'Data entry'!$BD$6:$BD$200,"&lt;&gt;*Negative*"))</f>
        <v>0</v>
      </c>
      <c r="AX84" s="15">
        <f>SUM(COUNTIFS('Data entry'!$R$6:$R$200,'Summary Data'!$A84,'Data entry'!$B$6:$B$200,{"Confirmed";"Probable"},'Data entry'!$AQ$6:$AQ$200,'Data Validation'!$V$5, 'Data entry'!$AP$6:$AP$200,'Data Validation'!$U$5, 'Data entry'!$BD$6:$BD$200,"&lt;&gt;*Negative*"))</f>
        <v>0</v>
      </c>
      <c r="AY84" s="15">
        <f>SUM(COUNTIFS('Data entry'!$R$6:$R$200,'Summary Data'!$A84,'Data entry'!$B$6:$B$200,{"Confirmed";"Probable"},'Data entry'!$AQ$6:$AQ$200,'Data Validation'!$V$5, 'Data entry'!$AP$6:$AP$200,'Data Validation'!$U$6, 'Data entry'!$BD$6:$BD$200,"&lt;&gt;*Negative*"))</f>
        <v>0</v>
      </c>
      <c r="AZ84" s="15">
        <f>SUM(COUNTIFS('Data entry'!$R$6:$R$200,'Summary Data'!$A84,'Data entry'!$B$6:$B$200,{"Confirmed";"Probable"},'Data entry'!$AQ$6:$AQ$200,'Data Validation'!$V$6, 'Data entry'!$AP$6:$AP$200,'Data Validation'!$U$2, 'Data entry'!$BD$6:$BD$200,"&lt;&gt;*Negative*"))</f>
        <v>0</v>
      </c>
      <c r="BA84" s="15">
        <f>SUM(COUNTIFS('Data entry'!$R$6:$R$200,'Summary Data'!$A84,'Data entry'!$B$6:$B$200,{"Confirmed";"Probable"},'Data entry'!$AQ$6:$AQ$200,'Data Validation'!$V$6, 'Data entry'!$AP$6:$AP$200,'Data Validation'!$U$3, 'Data entry'!$BD$6:$BD$200,"&lt;&gt;*Negative*"))</f>
        <v>0</v>
      </c>
      <c r="BB84" s="15">
        <f>SUM(COUNTIFS('Data entry'!$R$6:$R$200,'Summary Data'!$A84,'Data entry'!$B$6:$B$200,{"Confirmed";"Probable"},'Data entry'!$AQ$6:$AQ$200,'Data Validation'!$V$6, 'Data entry'!$AP$6:$AP$200,'Data Validation'!$U$4, 'Data entry'!$BD$6:$BD$200,"&lt;&gt;*Negative*"))</f>
        <v>0</v>
      </c>
      <c r="BC84" s="15">
        <f>SUM(COUNTIFS('Data entry'!$R$6:$R$200,'Summary Data'!$A84,'Data entry'!$B$6:$B$200,{"Confirmed";"Probable"},'Data entry'!$AQ$6:$AQ$200,'Data Validation'!$V$6, 'Data entry'!$AP$6:$AP$200,'Data Validation'!$U$5, 'Data entry'!$BD$6:$BD$200,"&lt;&gt;*Negative*"))</f>
        <v>0</v>
      </c>
      <c r="BD84" s="15">
        <f>SUM(COUNTIFS('Data entry'!$R$6:$R$200,'Summary Data'!$A84,'Data entry'!$B$6:$B$200,{"Confirmed";"Probable"},'Data entry'!$AQ$6:$AQ$200,'Data Validation'!$V$6, 'Data entry'!$AP$6:$AP$200,'Data Validation'!$U$6, 'Data entry'!$BD$6:$BD$200,"&lt;&gt;*Negative*"))</f>
        <v>0</v>
      </c>
      <c r="BE84" s="15">
        <f>SUM(COUNTIFS('Data entry'!$R$6:$R$200,'Summary Data'!$A84,'Data entry'!$B$6:$B$200,{"Confirmed";"Probable"},'Data entry'!$AQ$6:$AQ$200,'Data Validation'!$V$7, 'Data entry'!$AP$6:$AP$200,'Data Validation'!$U$2, 'Data entry'!$BD$6:$BD$200,"&lt;&gt;*Negative*"))</f>
        <v>0</v>
      </c>
      <c r="BF84" s="15">
        <f>SUM(COUNTIFS('Data entry'!$R$6:$R$200,'Summary Data'!$A84,'Data entry'!$B$6:$B$200,{"Confirmed";"Probable"},'Data entry'!$AQ$6:$AQ$200,'Data Validation'!$V$7, 'Data entry'!$AP$6:$AP$200,'Data Validation'!$U$3, 'Data entry'!$BD$6:$BD$200,"&lt;&gt;*Negative*"))</f>
        <v>0</v>
      </c>
      <c r="BG84" s="15">
        <f>SUM(COUNTIFS('Data entry'!$R$6:$R$200,'Summary Data'!$A84,'Data entry'!$B$6:$B$200,{"Confirmed";"Probable"},'Data entry'!$AQ$6:$AQ$200,'Data Validation'!$V$7, 'Data entry'!$AP$6:$AP$200,'Data Validation'!$U$4, 'Data entry'!$BD$6:$BD$200,"&lt;&gt;*Negative*"))</f>
        <v>0</v>
      </c>
      <c r="BH84" s="15">
        <f>SUM(COUNTIFS('Data entry'!$R$6:$R$200,'Summary Data'!$A84,'Data entry'!$B$6:$B$200,{"Confirmed";"Probable"},'Data entry'!$AQ$6:$AQ$200,'Data Validation'!$V$7, 'Data entry'!$AP$6:$AP$200,'Data Validation'!$U$5, 'Data entry'!$BD$6:$BD$200,"&lt;&gt;*Negative*"))</f>
        <v>0</v>
      </c>
      <c r="BI84" s="15">
        <f>SUM(COUNTIFS('Data entry'!$R$6:$R$200,'Summary Data'!$A84,'Data entry'!$B$6:$B$200,{"Confirmed";"Probable"},'Data entry'!$AQ$6:$AQ$200,'Data Validation'!$V$7, 'Data entry'!$AP$6:$AP$200,'Data Validation'!$U$6, 'Data entry'!$BD$6:$BD$200,"&lt;&gt;*Negative*"))</f>
        <v>0</v>
      </c>
      <c r="BJ84" s="15">
        <f>SUM(COUNTIFS('Data entry'!$R$6:$R$200,'Summary Data'!$A84,'Data entry'!$B$6:$B$200,{"Confirmed";"Probable"},'Data entry'!$AQ$6:$AQ$200,'Data Validation'!$V$8, 'Data entry'!$AP$6:$AP$200,'Data Validation'!$U$2, 'Data entry'!$BD$6:$BD$200,"&lt;&gt;*Negative*"))</f>
        <v>0</v>
      </c>
      <c r="BK84" s="15">
        <f>SUM(COUNTIFS('Data entry'!$R$6:$R$200,'Summary Data'!$A84,'Data entry'!$B$6:$B$200,{"Confirmed";"Probable"},'Data entry'!$AQ$6:$AQ$200,'Data Validation'!$V$8, 'Data entry'!$AP$6:$AP$200,'Data Validation'!$U$3, 'Data entry'!$BD$6:$BD$200,"&lt;&gt;*Negative*"))</f>
        <v>0</v>
      </c>
      <c r="BL84" s="15">
        <f>SUM(COUNTIFS('Data entry'!$R$6:$R$200,'Summary Data'!$A84,'Data entry'!$B$6:$B$200,{"Confirmed";"Probable"},'Data entry'!$AQ$6:$AQ$200,'Data Validation'!$V$8, 'Data entry'!$AP$6:$AP$200,'Data Validation'!$U$4, 'Data entry'!$BD$6:$BD$200,"&lt;&gt;*Negative*"))</f>
        <v>0</v>
      </c>
      <c r="BM84" s="15">
        <f>SUM(COUNTIFS('Data entry'!$R$6:$R$200,'Summary Data'!$A84,'Data entry'!$B$6:$B$200,{"Confirmed";"Probable"},'Data entry'!$AQ$6:$AQ$200,'Data Validation'!$V$8, 'Data entry'!$AP$6:$AP$200,'Data Validation'!$U$5, 'Data entry'!$BD$6:$BD$200,"&lt;&gt;*Negative*"))</f>
        <v>0</v>
      </c>
      <c r="BN84" s="15">
        <f>SUM(COUNTIFS('Data entry'!$R$6:$R$200,'Summary Data'!$A84,'Data entry'!$B$6:$B$200,{"Confirmed";"Probable"},'Data entry'!$AQ$6:$AQ$200,'Data Validation'!$V$8, 'Data entry'!$AP$6:$AP$200,'Data Validation'!$U$6, 'Data entry'!$BD$6:$BD$200,"&lt;&gt;*Negative*"))</f>
        <v>0</v>
      </c>
      <c r="BO84" s="15">
        <f>SUM(COUNTIFS('Data entry'!$R$6:$R$200,'Summary Data'!$A84,'Data entry'!$B$6:$B$200,{"Confirmed";"Probable"},'Data entry'!$AQ$6:$AQ$200,'Data Validation'!$V$9, 'Data entry'!$AP$6:$AP$200,'Data Validation'!$U$2, 'Data entry'!$BD$6:$BD$200,"&lt;&gt;*Negative*"))</f>
        <v>0</v>
      </c>
      <c r="BP84" s="15">
        <f>SUM(COUNTIFS('Data entry'!$R$6:$R$200,'Summary Data'!$A84,'Data entry'!$B$6:$B$200,{"Confirmed";"Probable"},'Data entry'!$AQ$6:$AQ$200,'Data Validation'!$V$9, 'Data entry'!$AP$6:$AP$200,'Data Validation'!$U$3, 'Data entry'!$BD$6:$BD$200,"&lt;&gt;*Negative*"))</f>
        <v>0</v>
      </c>
      <c r="BQ84" s="15">
        <f>SUM(COUNTIFS('Data entry'!$R$6:$R$200,'Summary Data'!$A84,'Data entry'!$B$6:$B$200,{"Confirmed";"Probable"},'Data entry'!$AQ$6:$AQ$200,'Data Validation'!$V$9, 'Data entry'!$AP$6:$AP$200,'Data Validation'!$U$4, 'Data entry'!$BD$6:$BD$200,"&lt;&gt;*Negative*"))</f>
        <v>0</v>
      </c>
      <c r="BR84" s="15">
        <f>SUM(COUNTIFS('Data entry'!$R$6:$R$200,'Summary Data'!$A84,'Data entry'!$B$6:$B$200,{"Confirmed";"Probable"},'Data entry'!$AQ$6:$AQ$200,'Data Validation'!$V$9, 'Data entry'!$AP$6:$AP$200,'Data Validation'!$U$5, 'Data entry'!$BD$6:$BD$200,"&lt;&gt;*Negative*"))</f>
        <v>0</v>
      </c>
      <c r="BS84" s="15">
        <f>SUM(COUNTIFS('Data entry'!$R$6:$R$200,'Summary Data'!$A84,'Data entry'!$B$6:$B$200,{"Confirmed";"Probable"},'Data entry'!$AQ$6:$AQ$200,'Data Validation'!$V$9, 'Data entry'!$AP$6:$AP$200,'Data Validation'!$U$6, 'Data entry'!$BD$6:$BD$200,"&lt;&gt;*Negative*"))</f>
        <v>0</v>
      </c>
      <c r="BT84" s="15">
        <f>SUM(COUNTIFS('Data entry'!$R$6:$R$200,'Summary Data'!$A84,'Data entry'!$B$6:$B$200,{"Confirmed";"Probable"},'Data entry'!$AQ$6:$AQ$200,'Data Validation'!$V$10, 'Data entry'!$AP$6:$AP$200,'Data Validation'!$U$2, 'Data entry'!$BD$6:$BD$200,"&lt;&gt;*Negative*"))</f>
        <v>0</v>
      </c>
      <c r="BU84" s="15">
        <f>SUM(COUNTIFS('Data entry'!$R$6:$R$200,'Summary Data'!$A84,'Data entry'!$B$6:$B$200,{"Confirmed";"Probable"},'Data entry'!$AQ$6:$AQ$200,'Data Validation'!$V$10, 'Data entry'!$AP$6:$AP$200,'Data Validation'!$U$3, 'Data entry'!$BD$6:$BD$200,"&lt;&gt;*Negative*"))</f>
        <v>0</v>
      </c>
      <c r="BV84" s="15">
        <f>SUM(COUNTIFS('Data entry'!$R$6:$R$200,'Summary Data'!$A84,'Data entry'!$B$6:$B$200,{"Confirmed";"Probable"},'Data entry'!$AQ$6:$AQ$200,'Data Validation'!$V$10, 'Data entry'!$AP$6:$AP$200,'Data Validation'!$U$4, 'Data entry'!$BD$6:$BD$200,"&lt;&gt;*Negative*"))</f>
        <v>0</v>
      </c>
      <c r="BW84" s="15">
        <f>SUM(COUNTIFS('Data entry'!$R$6:$R$200,'Summary Data'!$A84,'Data entry'!$B$6:$B$200,{"Confirmed";"Probable"},'Data entry'!$AQ$6:$AQ$200,'Data Validation'!$V$10, 'Data entry'!$AP$6:$AP$200,'Data Validation'!$U$5, 'Data entry'!$BD$6:$BD$200,"&lt;&gt;*Negative*"))</f>
        <v>0</v>
      </c>
      <c r="BX84" s="15">
        <f>SUM(COUNTIFS('Data entry'!$R$6:$R$200,'Summary Data'!$A84,'Data entry'!$B$6:$B$200,{"Confirmed";"Probable"},'Data entry'!$AQ$6:$AQ$200,'Data Validation'!$V$10, 'Data entry'!$AP$6:$AP$200,'Data Validation'!$U$6, 'Data entry'!$BD$6:$BD$200,"&lt;&gt;*Negative*"))</f>
        <v>0</v>
      </c>
      <c r="BY84" s="15">
        <f>SUM(COUNTIFS('Data entry'!$R$6:$R$200,'Summary Data'!$A84,'Data entry'!$B$6:$B$200,{"Confirmed";"Probable"},'Data entry'!$AQ$6:$AQ$200,'Data Validation'!$V$11, 'Data entry'!$AP$6:$AP$200,'Data Validation'!$U$2, 'Data entry'!$BD$6:$BD$200,"&lt;&gt;*Negative*"))</f>
        <v>0</v>
      </c>
      <c r="BZ84" s="15">
        <f>SUM(COUNTIFS('Data entry'!$R$6:$R$200,'Summary Data'!$A84,'Data entry'!$B$6:$B$200,{"Confirmed";"Probable"},'Data entry'!$AQ$6:$AQ$200,'Data Validation'!$V$11, 'Data entry'!$AP$6:$AP$200,'Data Validation'!$U$3, 'Data entry'!$BD$6:$BD$200,"&lt;&gt;*Negative*"))</f>
        <v>0</v>
      </c>
      <c r="CA84" s="15">
        <f>SUM(COUNTIFS('Data entry'!$R$6:$R$200,'Summary Data'!$A84,'Data entry'!$B$6:$B$200,{"Confirmed";"Probable"},'Data entry'!$AQ$6:$AQ$200,'Data Validation'!$V$11, 'Data entry'!$AP$6:$AP$200,'Data Validation'!$U$4, 'Data entry'!$BD$6:$BD$200,"&lt;&gt;*Negative*"))</f>
        <v>0</v>
      </c>
      <c r="CB84" s="15">
        <f>SUM(COUNTIFS('Data entry'!$R$6:$R$200,'Summary Data'!$A84,'Data entry'!$B$6:$B$200,{"Confirmed";"Probable"},'Data entry'!$AQ$6:$AQ$200,'Data Validation'!$V$11, 'Data entry'!$AP$6:$AP$200,'Data Validation'!$U$5, 'Data entry'!$BD$6:$BD$200,"&lt;&gt;*Negative*"))</f>
        <v>0</v>
      </c>
      <c r="CC84" s="15">
        <f>SUM(COUNTIFS('Data entry'!$R$6:$R$200,'Summary Data'!$A84,'Data entry'!$B$6:$B$200,{"Confirmed";"Probable"},'Data entry'!$AQ$6:$AQ$200,'Data Validation'!$V$11, 'Data entry'!$AP$6:$AP$200,'Data Validation'!$U$6, 'Data entry'!$BD$6:$BD$200,"&lt;&gt;*Negative*"))</f>
        <v>0</v>
      </c>
    </row>
    <row r="85" spans="1:81" x14ac:dyDescent="0.25">
      <c r="A85" s="12">
        <f t="shared" si="9"/>
        <v>73</v>
      </c>
      <c r="B85" s="13">
        <f t="shared" si="6"/>
        <v>0</v>
      </c>
      <c r="C85" s="13">
        <f>COUNTIFS('Data entry'!$R$6:$R$200,$A85,'Data entry'!$B$6:$B$200,"Confirmed",'Data entry'!$BD$6:$BD$200,"&lt;&gt;*Negative*")</f>
        <v>0</v>
      </c>
      <c r="D85" s="13">
        <f>COUNTIFS('Data entry'!$R$6:$R$200,$A85,'Data entry'!$B$6:$B$200,"Probable",'Data entry'!$BD$6:$BD$200,"&lt;&gt;*Negative*")</f>
        <v>0</v>
      </c>
      <c r="E85" s="13">
        <f>COUNTIFS('Data entry'!$R$6:$R$200,$A85,'Data entry'!$B$6:$B$200,"DNM")</f>
        <v>0</v>
      </c>
      <c r="F85" s="13">
        <f>SUM(COUNTIFS('Data entry'!$R$6:$R$200,'Summary Data'!$A85,'Data entry'!$B$6:$B$200,{"Confirmed";"Probable"},'Data entry'!$AO$6:$AO$200,$F$10, 'Data entry'!$BD$6:$BD$200,"&lt;&gt;*Negative*"))</f>
        <v>0</v>
      </c>
      <c r="G85" s="13">
        <f>SUM(COUNTIFS('Data entry'!$R$6:$R$200,'Summary Data'!$A85,'Data entry'!$B$6:$B$200,{"Confirmed";"Probable"},'Data entry'!$AO$6:$AO$200,$G$10, 'Data entry'!$BD$6:$BD$200,"&lt;&gt;*Negative*"))</f>
        <v>0</v>
      </c>
      <c r="H85" s="13">
        <f>SUM(COUNTIFS('Data entry'!$R$6:$R$200,'Summary Data'!$A85,'Data entry'!$B$6:$B$200,{"Confirmed";"Probable"},'Data entry'!$AO$6:$AO$200,$H$10, 'Data entry'!$BD$6:$BD$200,"&lt;&gt;*Negative*"))</f>
        <v>0</v>
      </c>
      <c r="I85" s="13">
        <f>SUM(COUNTIFS('Data entry'!$R$6:$R$200,'Summary Data'!$A85,'Data entry'!$B$6:$B$200,{"Confirmed";"Probable"},'Data entry'!$AO$6:$AO$200,$I$10, 'Data entry'!$BD$6:$BD$200,"&lt;&gt;*Negative*"))</f>
        <v>0</v>
      </c>
      <c r="J85" s="13">
        <f>SUM(COUNTIFS('Data entry'!$R$6:$R$200,'Summary Data'!$A85,'Data entry'!$B$6:$B$200,{"Confirmed";"Probable"},'Data entry'!$AO$6:$AO$200,$J$10, 'Data entry'!$BD$6:$BD$200,"&lt;&gt;*Negative*"))</f>
        <v>0</v>
      </c>
      <c r="K85" s="13">
        <f>SUM(COUNTIFS('Data entry'!$R$6:$R$200,'Summary Data'!$A85,'Data entry'!$B$6:$B$200,{"Confirmed";"Probable"},'Data entry'!$AO$6:$AO$200,$K$10, 'Data entry'!$BD$6:$BD$200,"&lt;&gt;*Negative*"))</f>
        <v>0</v>
      </c>
      <c r="L85" s="13">
        <f>SUM(COUNTIFS('Data entry'!$R$6:$R$200,'Summary Data'!$A85,'Data entry'!$B$6:$B$200,{"Confirmed";"Probable"},'Data entry'!$AO$6:$AO$200,$L$10, 'Data entry'!$BD$6:$BD$200,"&lt;&gt;*Negative*"))</f>
        <v>0</v>
      </c>
      <c r="M85" s="13">
        <f>SUM(COUNTIFS('Data entry'!$R$6:$R$200,'Summary Data'!$A85,'Data entry'!$B$6:$B$200,{"Confirmed";"Probable"},'Data entry'!$AO$6:$AO$200,$M$10, 'Data entry'!$BD$6:$BD$200,"&lt;&gt;*Negative*"))</f>
        <v>0</v>
      </c>
      <c r="N85" s="13">
        <f>SUM(COUNTIFS('Data entry'!$R$6:$R$200,'Summary Data'!$A85,'Data entry'!$B$6:$B$200,{"Confirmed";"Probable"},'Data entry'!$AO$6:$AO$200,$N$10, 'Data entry'!$BD$6:$BD$200,"&lt;&gt;*Negative*"))</f>
        <v>0</v>
      </c>
      <c r="O85" s="15">
        <f t="shared" si="7"/>
        <v>0</v>
      </c>
      <c r="P85" s="15">
        <f t="shared" si="8"/>
        <v>0</v>
      </c>
      <c r="Q85" s="15">
        <f>SUM(COUNTIFS('Data entry'!$R$6:$R$200,'Summary Data'!$A85,'Data entry'!$B$6:$B$200,{"Confirmed";"Probable"},'Data entry'!$AP$6:$AP$200,'Data Validation'!$U$2, 'Data entry'!$BD$6:$BD$200,"&lt;&gt;*Negative*"))</f>
        <v>0</v>
      </c>
      <c r="R85" s="15">
        <f>SUM(COUNTIFS('Data entry'!$R$6:$R$200,'Summary Data'!$A85,'Data entry'!$B$6:$B$200,{"Confirmed";"Probable"},'Data entry'!$AP$6:$AP$200,'Data Validation'!$U$3, 'Data entry'!$BD$6:$BD$200,"&lt;&gt;*Negative*"))</f>
        <v>0</v>
      </c>
      <c r="S85" s="15">
        <f>SUM(COUNTIFS('Data entry'!$R$6:$R$200,'Summary Data'!$A85,'Data entry'!$B$6:$B$200,{"Confirmed";"Probable"},'Data entry'!$AP$6:$AP$200,'Data Validation'!$U$4, 'Data entry'!$BD$6:$BD$200,"&lt;&gt;*Negative*"))</f>
        <v>0</v>
      </c>
      <c r="T85" s="15">
        <f>SUM(COUNTIFS('Data entry'!$R$6:$R$200,'Summary Data'!$A85,'Data entry'!$B$6:$B$200,{"Confirmed";"Probable"},'Data entry'!$AP$6:$AP$200,'Data Validation'!$U$5, 'Data entry'!$BD$6:$BD$200,"&lt;&gt;*Negative*"))</f>
        <v>0</v>
      </c>
      <c r="U85" s="15">
        <f>SUM(COUNTIFS('Data entry'!$R$6:$R$200,'Summary Data'!$A85,'Data entry'!$B$6:$B$200,{"Confirmed";"Probable"},'Data entry'!$AP$6:$AP$200,'Data Validation'!$U$6, 'Data entry'!$BD$6:$BD$200,"&lt;&gt;*Negative*"))</f>
        <v>0</v>
      </c>
      <c r="V85" s="15">
        <f>SUM(COUNTIFS('Data entry'!$R$6:$R$200,'Summary Data'!$A85,'Data entry'!$B$6:$B$200,{"Confirmed";"Probable"},'Data entry'!$AQ$6:$AQ$200,'Data Validation'!$V$2, 'Data entry'!$BD$6:$BD$200,"&lt;&gt;*Negative*"))</f>
        <v>0</v>
      </c>
      <c r="W85" s="15">
        <f>SUM(COUNTIFS('Data entry'!$R$6:$R$200,'Summary Data'!$A85,'Data entry'!$B$6:$B$200,{"Confirmed";"Probable"},'Data entry'!$AQ$6:$AQ$200,'Data Validation'!$V$3, 'Data entry'!$BD$6:$BD$200,"&lt;&gt;*Negative*"))</f>
        <v>0</v>
      </c>
      <c r="X85" s="15">
        <f>SUM(COUNTIFS('Data entry'!$R$6:$R$200,'Summary Data'!$A85,'Data entry'!$B$6:$B$200,{"Confirmed";"Probable"},'Data entry'!$AQ$6:$AQ$200,'Data Validation'!$V$4, 'Data entry'!$BD$6:$BD$200,"&lt;&gt;*Negative*"))</f>
        <v>0</v>
      </c>
      <c r="Y85" s="15">
        <f>SUM(COUNTIFS('Data entry'!$R$6:$R$200,'Summary Data'!$A85,'Data entry'!$B$6:$B$200,{"Confirmed";"Probable"},'Data entry'!$AQ$6:$AQ$200,'Data Validation'!$V$5, 'Data entry'!$BD$6:$BD$200,"&lt;&gt;*Negative*"))</f>
        <v>0</v>
      </c>
      <c r="Z85" s="15">
        <f>SUM(COUNTIFS('Data entry'!$R$6:$R$200,'Summary Data'!$A85,'Data entry'!$B$6:$B$200,{"Confirmed";"Probable"},'Data entry'!$AQ$6:$AQ$200,'Data Validation'!$V$6, 'Data entry'!$BD$6:$BD$200,"&lt;&gt;*Negative*"))</f>
        <v>0</v>
      </c>
      <c r="AA85" s="15">
        <f>SUM(COUNTIFS('Data entry'!$R$6:$R$200,'Summary Data'!$A85,'Data entry'!$B$6:$B$200,{"Confirmed";"Probable"},'Data entry'!$AQ$6:$AQ$200,'Data Validation'!$V$7, 'Data entry'!$BD$6:$BD$200,"&lt;&gt;*Negative*"))</f>
        <v>0</v>
      </c>
      <c r="AB85" s="15">
        <f>SUM(COUNTIFS('Data entry'!$R$6:$R$200,'Summary Data'!$A85,'Data entry'!$B$6:$B$200,{"Confirmed";"Probable"},'Data entry'!$AQ$6:$AQ$200,'Data Validation'!$V$8, 'Data entry'!$BD$6:$BD$200,"&lt;&gt;*Negative*"))</f>
        <v>0</v>
      </c>
      <c r="AC85" s="15">
        <f>SUM(COUNTIFS('Data entry'!$R$6:$R$200,'Summary Data'!$A85,'Data entry'!$B$6:$B$200,{"Confirmed";"Probable"},'Data entry'!$AQ$6:$AQ$200,'Data Validation'!$V$9, 'Data entry'!$BD$6:$BD$200,"&lt;&gt;*Negative*"))</f>
        <v>0</v>
      </c>
      <c r="AD85" s="15">
        <f>SUM(COUNTIFS('Data entry'!$R$6:$R$200,'Summary Data'!$A85,'Data entry'!$B$6:$B$200,{"Confirmed";"Probable"},'Data entry'!$AQ$6:$AQ$200,'Data Validation'!$V$10, 'Data entry'!$BD$6:$BD$200,"&lt;&gt;*Negative*"))</f>
        <v>0</v>
      </c>
      <c r="AE85" s="15">
        <f>SUM(COUNTIFS('Data entry'!$R$6:$R$200,'Summary Data'!$A85,'Data entry'!$B$6:$B$200,{"Confirmed";"Probable"},'Data entry'!$AQ$6:$AQ$200,'Data Validation'!$V$11, 'Data entry'!$BD$6:$BD$200,"&lt;&gt;*Negative*"))</f>
        <v>0</v>
      </c>
      <c r="AF85" s="15">
        <f>SUM(COUNTIFS('Data entry'!$R$6:$R$200,'Summary Data'!$A85,'Data entry'!$B$6:$B$200,{"Confirmed";"Probable"},'Data entry'!$AQ$6:$AQ$200,'Data Validation'!$V$2, 'Data entry'!$AP$6:$AP$200,'Data Validation'!$U$2, 'Data entry'!$BD$6:$BD$200,"&lt;&gt;*Negative*"))</f>
        <v>0</v>
      </c>
      <c r="AG85" s="15">
        <f>SUM(COUNTIFS('Data entry'!$R$6:$R$200,'Summary Data'!$A85,'Data entry'!$B$6:$B$200,{"Confirmed";"Probable"},'Data entry'!$AQ$6:$AQ$200,'Data Validation'!$V$2, 'Data entry'!$AP$6:$AP$200,'Data Validation'!$U$3, 'Data entry'!$BD$6:$BD$200,"&lt;&gt;*Negative*"))</f>
        <v>0</v>
      </c>
      <c r="AH85" s="15">
        <f>SUM(COUNTIFS('Data entry'!$R$6:$R$200,'Summary Data'!$A85,'Data entry'!$B$6:$B$200,{"Confirmed";"Probable"},'Data entry'!$AQ$6:$AQ$200,'Data Validation'!$V$2, 'Data entry'!$AP$6:$AP$200,'Data Validation'!$U$4, 'Data entry'!$BD$6:$BD$200,"&lt;&gt;*Negative*"))</f>
        <v>0</v>
      </c>
      <c r="AI85" s="15">
        <f>SUM(COUNTIFS('Data entry'!$R$6:$R$200,'Summary Data'!$A85,'Data entry'!$B$6:$B$200,{"Confirmed";"Probable"},'Data entry'!$AQ$6:$AQ$200,'Data Validation'!$V$2, 'Data entry'!$AP$6:$AP$200,'Data Validation'!$U$5, 'Data entry'!$BD$6:$BD$200,"&lt;&gt;*Negative*"))</f>
        <v>0</v>
      </c>
      <c r="AJ85" s="15">
        <f>SUM(COUNTIFS('Data entry'!$R$6:$R$200,'Summary Data'!$A85,'Data entry'!$B$6:$B$200,{"Confirmed";"Probable"},'Data entry'!$AQ$6:$AQ$200,'Data Validation'!$V$2, 'Data entry'!$AP$6:$AP$200,'Data Validation'!$U$6, 'Data entry'!$BD$6:$BD$200,"&lt;&gt;*Negative*"))</f>
        <v>0</v>
      </c>
      <c r="AK85" s="15">
        <f>SUM(COUNTIFS('Data entry'!$R$6:$R$200,'Summary Data'!$A85,'Data entry'!$B$6:$B$200,{"Confirmed";"Probable"},'Data entry'!$AQ$6:$AQ$200,'Data Validation'!$V$3, 'Data entry'!$AP$6:$AP$200,'Data Validation'!$U$2, 'Data entry'!$BD$6:$BD$200,"&lt;&gt;*Negative*"))</f>
        <v>0</v>
      </c>
      <c r="AL85" s="15">
        <f>SUM(COUNTIFS('Data entry'!$R$6:$R$200,'Summary Data'!$A85,'Data entry'!$B$6:$B$200,{"Confirmed";"Probable"},'Data entry'!$AQ$6:$AQ$200,'Data Validation'!$V$3, 'Data entry'!$AP$6:$AP$200,'Data Validation'!$U$3, 'Data entry'!$BD$6:$BD$200,"&lt;&gt;*Negative*"))</f>
        <v>0</v>
      </c>
      <c r="AM85" s="15">
        <f>SUM(COUNTIFS('Data entry'!$R$6:$R$200,'Summary Data'!$A85,'Data entry'!$B$6:$B$200,{"Confirmed";"Probable"},'Data entry'!$AQ$6:$AQ$200,'Data Validation'!$V$3, 'Data entry'!$AP$6:$AP$200,'Data Validation'!$U$4, 'Data entry'!$BD$6:$BD$200,"&lt;&gt;*Negative*"))</f>
        <v>0</v>
      </c>
      <c r="AN85" s="15">
        <f>SUM(COUNTIFS('Data entry'!$R$6:$R$200,'Summary Data'!$A85,'Data entry'!$B$6:$B$200,{"Confirmed";"Probable"},'Data entry'!$AQ$6:$AQ$200,'Data Validation'!$V$3, 'Data entry'!$AP$6:$AP$200,'Data Validation'!$U$5, 'Data entry'!$BD$6:$BD$200,"&lt;&gt;*Negative*"))</f>
        <v>0</v>
      </c>
      <c r="AO85" s="15">
        <f>SUM(COUNTIFS('Data entry'!$R$6:$R$200,'Summary Data'!$A85,'Data entry'!$B$6:$B$200,{"Confirmed";"Probable"},'Data entry'!$AQ$6:$AQ$200,'Data Validation'!$V$3, 'Data entry'!$AP$6:$AP$200,'Data Validation'!$U$6, 'Data entry'!$BD$6:$BD$200,"&lt;&gt;*Negative*"))</f>
        <v>0</v>
      </c>
      <c r="AP85" s="15">
        <f>SUM(COUNTIFS('Data entry'!$R$6:$R$200,'Summary Data'!$A85,'Data entry'!$B$6:$B$200,{"Confirmed";"Probable"},'Data entry'!$AQ$6:$AQ$200,'Data Validation'!$V$4, 'Data entry'!$AP$6:$AP$200,'Data Validation'!$U$2, 'Data entry'!$BD$6:$BD$200,"&lt;&gt;*Negative*"))</f>
        <v>0</v>
      </c>
      <c r="AQ85" s="15">
        <f>SUM(COUNTIFS('Data entry'!$R$6:$R$200,'Summary Data'!$A85,'Data entry'!$B$6:$B$200,{"Confirmed";"Probable"},'Data entry'!$AQ$6:$AQ$200,'Data Validation'!$V$4, 'Data entry'!$AP$6:$AP$200,'Data Validation'!$U$3, 'Data entry'!$BD$6:$BD$200,"&lt;&gt;*Negative*"))</f>
        <v>0</v>
      </c>
      <c r="AR85" s="15">
        <f>SUM(COUNTIFS('Data entry'!$R$6:$R$200,'Summary Data'!$A85,'Data entry'!$B$6:$B$200,{"Confirmed";"Probable"},'Data entry'!$AQ$6:$AQ$200,'Data Validation'!$V$4, 'Data entry'!$AP$6:$AP$200,'Data Validation'!$U$4, 'Data entry'!$BD$6:$BD$200,"&lt;&gt;*Negative*"))</f>
        <v>0</v>
      </c>
      <c r="AS85" s="15">
        <f>SUM(COUNTIFS('Data entry'!$R$6:$R$200,'Summary Data'!$A85,'Data entry'!$B$6:$B$200,{"Confirmed";"Probable"},'Data entry'!$AQ$6:$AQ$200,'Data Validation'!$V$4, 'Data entry'!$AP$6:$AP$200,'Data Validation'!$U$5, 'Data entry'!$BD$6:$BD$200,"&lt;&gt;*Negative*"))</f>
        <v>0</v>
      </c>
      <c r="AT85" s="15">
        <f>SUM(COUNTIFS('Data entry'!$R$6:$R$200,'Summary Data'!$A85,'Data entry'!$B$6:$B$200,{"Confirmed";"Probable"},'Data entry'!$AQ$6:$AQ$200,'Data Validation'!$V$4, 'Data entry'!$AP$6:$AP$200,'Data Validation'!$U$6, 'Data entry'!$BD$6:$BD$200,"&lt;&gt;*Negative*"))</f>
        <v>0</v>
      </c>
      <c r="AU85" s="15">
        <f>SUM(COUNTIFS('Data entry'!$R$6:$R$200,'Summary Data'!$A85,'Data entry'!$B$6:$B$200,{"Confirmed";"Probable"},'Data entry'!$AQ$6:$AQ$200,'Data Validation'!$V$5, 'Data entry'!$AP$6:$AP$200,'Data Validation'!$U$2, 'Data entry'!$BD$6:$BD$200,"&lt;&gt;*Negative*"))</f>
        <v>0</v>
      </c>
      <c r="AV85" s="15">
        <f>SUM(COUNTIFS('Data entry'!$R$6:$R$200,'Summary Data'!$A85,'Data entry'!$B$6:$B$200,{"Confirmed";"Probable"},'Data entry'!$AQ$6:$AQ$200,'Data Validation'!$V$5, 'Data entry'!$AP$6:$AP$200,'Data Validation'!$U$3, 'Data entry'!$BD$6:$BD$200,"&lt;&gt;*Negative*"))</f>
        <v>0</v>
      </c>
      <c r="AW85" s="15">
        <f>SUM(COUNTIFS('Data entry'!$R$6:$R$200,'Summary Data'!$A85,'Data entry'!$B$6:$B$200,{"Confirmed";"Probable"},'Data entry'!$AQ$6:$AQ$200,'Data Validation'!$V$5, 'Data entry'!$AP$6:$AP$200,'Data Validation'!$U$4, 'Data entry'!$BD$6:$BD$200,"&lt;&gt;*Negative*"))</f>
        <v>0</v>
      </c>
      <c r="AX85" s="15">
        <f>SUM(COUNTIFS('Data entry'!$R$6:$R$200,'Summary Data'!$A85,'Data entry'!$B$6:$B$200,{"Confirmed";"Probable"},'Data entry'!$AQ$6:$AQ$200,'Data Validation'!$V$5, 'Data entry'!$AP$6:$AP$200,'Data Validation'!$U$5, 'Data entry'!$BD$6:$BD$200,"&lt;&gt;*Negative*"))</f>
        <v>0</v>
      </c>
      <c r="AY85" s="15">
        <f>SUM(COUNTIFS('Data entry'!$R$6:$R$200,'Summary Data'!$A85,'Data entry'!$B$6:$B$200,{"Confirmed";"Probable"},'Data entry'!$AQ$6:$AQ$200,'Data Validation'!$V$5, 'Data entry'!$AP$6:$AP$200,'Data Validation'!$U$6, 'Data entry'!$BD$6:$BD$200,"&lt;&gt;*Negative*"))</f>
        <v>0</v>
      </c>
      <c r="AZ85" s="15">
        <f>SUM(COUNTIFS('Data entry'!$R$6:$R$200,'Summary Data'!$A85,'Data entry'!$B$6:$B$200,{"Confirmed";"Probable"},'Data entry'!$AQ$6:$AQ$200,'Data Validation'!$V$6, 'Data entry'!$AP$6:$AP$200,'Data Validation'!$U$2, 'Data entry'!$BD$6:$BD$200,"&lt;&gt;*Negative*"))</f>
        <v>0</v>
      </c>
      <c r="BA85" s="15">
        <f>SUM(COUNTIFS('Data entry'!$R$6:$R$200,'Summary Data'!$A85,'Data entry'!$B$6:$B$200,{"Confirmed";"Probable"},'Data entry'!$AQ$6:$AQ$200,'Data Validation'!$V$6, 'Data entry'!$AP$6:$AP$200,'Data Validation'!$U$3, 'Data entry'!$BD$6:$BD$200,"&lt;&gt;*Negative*"))</f>
        <v>0</v>
      </c>
      <c r="BB85" s="15">
        <f>SUM(COUNTIFS('Data entry'!$R$6:$R$200,'Summary Data'!$A85,'Data entry'!$B$6:$B$200,{"Confirmed";"Probable"},'Data entry'!$AQ$6:$AQ$200,'Data Validation'!$V$6, 'Data entry'!$AP$6:$AP$200,'Data Validation'!$U$4, 'Data entry'!$BD$6:$BD$200,"&lt;&gt;*Negative*"))</f>
        <v>0</v>
      </c>
      <c r="BC85" s="15">
        <f>SUM(COUNTIFS('Data entry'!$R$6:$R$200,'Summary Data'!$A85,'Data entry'!$B$6:$B$200,{"Confirmed";"Probable"},'Data entry'!$AQ$6:$AQ$200,'Data Validation'!$V$6, 'Data entry'!$AP$6:$AP$200,'Data Validation'!$U$5, 'Data entry'!$BD$6:$BD$200,"&lt;&gt;*Negative*"))</f>
        <v>0</v>
      </c>
      <c r="BD85" s="15">
        <f>SUM(COUNTIFS('Data entry'!$R$6:$R$200,'Summary Data'!$A85,'Data entry'!$B$6:$B$200,{"Confirmed";"Probable"},'Data entry'!$AQ$6:$AQ$200,'Data Validation'!$V$6, 'Data entry'!$AP$6:$AP$200,'Data Validation'!$U$6, 'Data entry'!$BD$6:$BD$200,"&lt;&gt;*Negative*"))</f>
        <v>0</v>
      </c>
      <c r="BE85" s="15">
        <f>SUM(COUNTIFS('Data entry'!$R$6:$R$200,'Summary Data'!$A85,'Data entry'!$B$6:$B$200,{"Confirmed";"Probable"},'Data entry'!$AQ$6:$AQ$200,'Data Validation'!$V$7, 'Data entry'!$AP$6:$AP$200,'Data Validation'!$U$2, 'Data entry'!$BD$6:$BD$200,"&lt;&gt;*Negative*"))</f>
        <v>0</v>
      </c>
      <c r="BF85" s="15">
        <f>SUM(COUNTIFS('Data entry'!$R$6:$R$200,'Summary Data'!$A85,'Data entry'!$B$6:$B$200,{"Confirmed";"Probable"},'Data entry'!$AQ$6:$AQ$200,'Data Validation'!$V$7, 'Data entry'!$AP$6:$AP$200,'Data Validation'!$U$3, 'Data entry'!$BD$6:$BD$200,"&lt;&gt;*Negative*"))</f>
        <v>0</v>
      </c>
      <c r="BG85" s="15">
        <f>SUM(COUNTIFS('Data entry'!$R$6:$R$200,'Summary Data'!$A85,'Data entry'!$B$6:$B$200,{"Confirmed";"Probable"},'Data entry'!$AQ$6:$AQ$200,'Data Validation'!$V$7, 'Data entry'!$AP$6:$AP$200,'Data Validation'!$U$4, 'Data entry'!$BD$6:$BD$200,"&lt;&gt;*Negative*"))</f>
        <v>0</v>
      </c>
      <c r="BH85" s="15">
        <f>SUM(COUNTIFS('Data entry'!$R$6:$R$200,'Summary Data'!$A85,'Data entry'!$B$6:$B$200,{"Confirmed";"Probable"},'Data entry'!$AQ$6:$AQ$200,'Data Validation'!$V$7, 'Data entry'!$AP$6:$AP$200,'Data Validation'!$U$5, 'Data entry'!$BD$6:$BD$200,"&lt;&gt;*Negative*"))</f>
        <v>0</v>
      </c>
      <c r="BI85" s="15">
        <f>SUM(COUNTIFS('Data entry'!$R$6:$R$200,'Summary Data'!$A85,'Data entry'!$B$6:$B$200,{"Confirmed";"Probable"},'Data entry'!$AQ$6:$AQ$200,'Data Validation'!$V$7, 'Data entry'!$AP$6:$AP$200,'Data Validation'!$U$6, 'Data entry'!$BD$6:$BD$200,"&lt;&gt;*Negative*"))</f>
        <v>0</v>
      </c>
      <c r="BJ85" s="15">
        <f>SUM(COUNTIFS('Data entry'!$R$6:$R$200,'Summary Data'!$A85,'Data entry'!$B$6:$B$200,{"Confirmed";"Probable"},'Data entry'!$AQ$6:$AQ$200,'Data Validation'!$V$8, 'Data entry'!$AP$6:$AP$200,'Data Validation'!$U$2, 'Data entry'!$BD$6:$BD$200,"&lt;&gt;*Negative*"))</f>
        <v>0</v>
      </c>
      <c r="BK85" s="15">
        <f>SUM(COUNTIFS('Data entry'!$R$6:$R$200,'Summary Data'!$A85,'Data entry'!$B$6:$B$200,{"Confirmed";"Probable"},'Data entry'!$AQ$6:$AQ$200,'Data Validation'!$V$8, 'Data entry'!$AP$6:$AP$200,'Data Validation'!$U$3, 'Data entry'!$BD$6:$BD$200,"&lt;&gt;*Negative*"))</f>
        <v>0</v>
      </c>
      <c r="BL85" s="15">
        <f>SUM(COUNTIFS('Data entry'!$R$6:$R$200,'Summary Data'!$A85,'Data entry'!$B$6:$B$200,{"Confirmed";"Probable"},'Data entry'!$AQ$6:$AQ$200,'Data Validation'!$V$8, 'Data entry'!$AP$6:$AP$200,'Data Validation'!$U$4, 'Data entry'!$BD$6:$BD$200,"&lt;&gt;*Negative*"))</f>
        <v>0</v>
      </c>
      <c r="BM85" s="15">
        <f>SUM(COUNTIFS('Data entry'!$R$6:$R$200,'Summary Data'!$A85,'Data entry'!$B$6:$B$200,{"Confirmed";"Probable"},'Data entry'!$AQ$6:$AQ$200,'Data Validation'!$V$8, 'Data entry'!$AP$6:$AP$200,'Data Validation'!$U$5, 'Data entry'!$BD$6:$BD$200,"&lt;&gt;*Negative*"))</f>
        <v>0</v>
      </c>
      <c r="BN85" s="15">
        <f>SUM(COUNTIFS('Data entry'!$R$6:$R$200,'Summary Data'!$A85,'Data entry'!$B$6:$B$200,{"Confirmed";"Probable"},'Data entry'!$AQ$6:$AQ$200,'Data Validation'!$V$8, 'Data entry'!$AP$6:$AP$200,'Data Validation'!$U$6, 'Data entry'!$BD$6:$BD$200,"&lt;&gt;*Negative*"))</f>
        <v>0</v>
      </c>
      <c r="BO85" s="15">
        <f>SUM(COUNTIFS('Data entry'!$R$6:$R$200,'Summary Data'!$A85,'Data entry'!$B$6:$B$200,{"Confirmed";"Probable"},'Data entry'!$AQ$6:$AQ$200,'Data Validation'!$V$9, 'Data entry'!$AP$6:$AP$200,'Data Validation'!$U$2, 'Data entry'!$BD$6:$BD$200,"&lt;&gt;*Negative*"))</f>
        <v>0</v>
      </c>
      <c r="BP85" s="15">
        <f>SUM(COUNTIFS('Data entry'!$R$6:$R$200,'Summary Data'!$A85,'Data entry'!$B$6:$B$200,{"Confirmed";"Probable"},'Data entry'!$AQ$6:$AQ$200,'Data Validation'!$V$9, 'Data entry'!$AP$6:$AP$200,'Data Validation'!$U$3, 'Data entry'!$BD$6:$BD$200,"&lt;&gt;*Negative*"))</f>
        <v>0</v>
      </c>
      <c r="BQ85" s="15">
        <f>SUM(COUNTIFS('Data entry'!$R$6:$R$200,'Summary Data'!$A85,'Data entry'!$B$6:$B$200,{"Confirmed";"Probable"},'Data entry'!$AQ$6:$AQ$200,'Data Validation'!$V$9, 'Data entry'!$AP$6:$AP$200,'Data Validation'!$U$4, 'Data entry'!$BD$6:$BD$200,"&lt;&gt;*Negative*"))</f>
        <v>0</v>
      </c>
      <c r="BR85" s="15">
        <f>SUM(COUNTIFS('Data entry'!$R$6:$R$200,'Summary Data'!$A85,'Data entry'!$B$6:$B$200,{"Confirmed";"Probable"},'Data entry'!$AQ$6:$AQ$200,'Data Validation'!$V$9, 'Data entry'!$AP$6:$AP$200,'Data Validation'!$U$5, 'Data entry'!$BD$6:$BD$200,"&lt;&gt;*Negative*"))</f>
        <v>0</v>
      </c>
      <c r="BS85" s="15">
        <f>SUM(COUNTIFS('Data entry'!$R$6:$R$200,'Summary Data'!$A85,'Data entry'!$B$6:$B$200,{"Confirmed";"Probable"},'Data entry'!$AQ$6:$AQ$200,'Data Validation'!$V$9, 'Data entry'!$AP$6:$AP$200,'Data Validation'!$U$6, 'Data entry'!$BD$6:$BD$200,"&lt;&gt;*Negative*"))</f>
        <v>0</v>
      </c>
      <c r="BT85" s="15">
        <f>SUM(COUNTIFS('Data entry'!$R$6:$R$200,'Summary Data'!$A85,'Data entry'!$B$6:$B$200,{"Confirmed";"Probable"},'Data entry'!$AQ$6:$AQ$200,'Data Validation'!$V$10, 'Data entry'!$AP$6:$AP$200,'Data Validation'!$U$2, 'Data entry'!$BD$6:$BD$200,"&lt;&gt;*Negative*"))</f>
        <v>0</v>
      </c>
      <c r="BU85" s="15">
        <f>SUM(COUNTIFS('Data entry'!$R$6:$R$200,'Summary Data'!$A85,'Data entry'!$B$6:$B$200,{"Confirmed";"Probable"},'Data entry'!$AQ$6:$AQ$200,'Data Validation'!$V$10, 'Data entry'!$AP$6:$AP$200,'Data Validation'!$U$3, 'Data entry'!$BD$6:$BD$200,"&lt;&gt;*Negative*"))</f>
        <v>0</v>
      </c>
      <c r="BV85" s="15">
        <f>SUM(COUNTIFS('Data entry'!$R$6:$R$200,'Summary Data'!$A85,'Data entry'!$B$6:$B$200,{"Confirmed";"Probable"},'Data entry'!$AQ$6:$AQ$200,'Data Validation'!$V$10, 'Data entry'!$AP$6:$AP$200,'Data Validation'!$U$4, 'Data entry'!$BD$6:$BD$200,"&lt;&gt;*Negative*"))</f>
        <v>0</v>
      </c>
      <c r="BW85" s="15">
        <f>SUM(COUNTIFS('Data entry'!$R$6:$R$200,'Summary Data'!$A85,'Data entry'!$B$6:$B$200,{"Confirmed";"Probable"},'Data entry'!$AQ$6:$AQ$200,'Data Validation'!$V$10, 'Data entry'!$AP$6:$AP$200,'Data Validation'!$U$5, 'Data entry'!$BD$6:$BD$200,"&lt;&gt;*Negative*"))</f>
        <v>0</v>
      </c>
      <c r="BX85" s="15">
        <f>SUM(COUNTIFS('Data entry'!$R$6:$R$200,'Summary Data'!$A85,'Data entry'!$B$6:$B$200,{"Confirmed";"Probable"},'Data entry'!$AQ$6:$AQ$200,'Data Validation'!$V$10, 'Data entry'!$AP$6:$AP$200,'Data Validation'!$U$6, 'Data entry'!$BD$6:$BD$200,"&lt;&gt;*Negative*"))</f>
        <v>0</v>
      </c>
      <c r="BY85" s="15">
        <f>SUM(COUNTIFS('Data entry'!$R$6:$R$200,'Summary Data'!$A85,'Data entry'!$B$6:$B$200,{"Confirmed";"Probable"},'Data entry'!$AQ$6:$AQ$200,'Data Validation'!$V$11, 'Data entry'!$AP$6:$AP$200,'Data Validation'!$U$2, 'Data entry'!$BD$6:$BD$200,"&lt;&gt;*Negative*"))</f>
        <v>0</v>
      </c>
      <c r="BZ85" s="15">
        <f>SUM(COUNTIFS('Data entry'!$R$6:$R$200,'Summary Data'!$A85,'Data entry'!$B$6:$B$200,{"Confirmed";"Probable"},'Data entry'!$AQ$6:$AQ$200,'Data Validation'!$V$11, 'Data entry'!$AP$6:$AP$200,'Data Validation'!$U$3, 'Data entry'!$BD$6:$BD$200,"&lt;&gt;*Negative*"))</f>
        <v>0</v>
      </c>
      <c r="CA85" s="15">
        <f>SUM(COUNTIFS('Data entry'!$R$6:$R$200,'Summary Data'!$A85,'Data entry'!$B$6:$B$200,{"Confirmed";"Probable"},'Data entry'!$AQ$6:$AQ$200,'Data Validation'!$V$11, 'Data entry'!$AP$6:$AP$200,'Data Validation'!$U$4, 'Data entry'!$BD$6:$BD$200,"&lt;&gt;*Negative*"))</f>
        <v>0</v>
      </c>
      <c r="CB85" s="15">
        <f>SUM(COUNTIFS('Data entry'!$R$6:$R$200,'Summary Data'!$A85,'Data entry'!$B$6:$B$200,{"Confirmed";"Probable"},'Data entry'!$AQ$6:$AQ$200,'Data Validation'!$V$11, 'Data entry'!$AP$6:$AP$200,'Data Validation'!$U$5, 'Data entry'!$BD$6:$BD$200,"&lt;&gt;*Negative*"))</f>
        <v>0</v>
      </c>
      <c r="CC85" s="15">
        <f>SUM(COUNTIFS('Data entry'!$R$6:$R$200,'Summary Data'!$A85,'Data entry'!$B$6:$B$200,{"Confirmed";"Probable"},'Data entry'!$AQ$6:$AQ$200,'Data Validation'!$V$11, 'Data entry'!$AP$6:$AP$200,'Data Validation'!$U$6, 'Data entry'!$BD$6:$BD$200,"&lt;&gt;*Negative*"))</f>
        <v>0</v>
      </c>
    </row>
    <row r="86" spans="1:81" x14ac:dyDescent="0.25">
      <c r="A86" s="12">
        <f t="shared" si="9"/>
        <v>74</v>
      </c>
      <c r="B86" s="13">
        <f t="shared" si="6"/>
        <v>0</v>
      </c>
      <c r="C86" s="13">
        <f>COUNTIFS('Data entry'!$R$6:$R$200,$A86,'Data entry'!$B$6:$B$200,"Confirmed",'Data entry'!$BD$6:$BD$200,"&lt;&gt;*Negative*")</f>
        <v>0</v>
      </c>
      <c r="D86" s="13">
        <f>COUNTIFS('Data entry'!$R$6:$R$200,$A86,'Data entry'!$B$6:$B$200,"Probable",'Data entry'!$BD$6:$BD$200,"&lt;&gt;*Negative*")</f>
        <v>0</v>
      </c>
      <c r="E86" s="13">
        <f>COUNTIFS('Data entry'!$R$6:$R$200,$A86,'Data entry'!$B$6:$B$200,"DNM")</f>
        <v>0</v>
      </c>
      <c r="F86" s="13">
        <f>SUM(COUNTIFS('Data entry'!$R$6:$R$200,'Summary Data'!$A86,'Data entry'!$B$6:$B$200,{"Confirmed";"Probable"},'Data entry'!$AO$6:$AO$200,$F$10, 'Data entry'!$BD$6:$BD$200,"&lt;&gt;*Negative*"))</f>
        <v>0</v>
      </c>
      <c r="G86" s="13">
        <f>SUM(COUNTIFS('Data entry'!$R$6:$R$200,'Summary Data'!$A86,'Data entry'!$B$6:$B$200,{"Confirmed";"Probable"},'Data entry'!$AO$6:$AO$200,$G$10, 'Data entry'!$BD$6:$BD$200,"&lt;&gt;*Negative*"))</f>
        <v>0</v>
      </c>
      <c r="H86" s="13">
        <f>SUM(COUNTIFS('Data entry'!$R$6:$R$200,'Summary Data'!$A86,'Data entry'!$B$6:$B$200,{"Confirmed";"Probable"},'Data entry'!$AO$6:$AO$200,$H$10, 'Data entry'!$BD$6:$BD$200,"&lt;&gt;*Negative*"))</f>
        <v>0</v>
      </c>
      <c r="I86" s="13">
        <f>SUM(COUNTIFS('Data entry'!$R$6:$R$200,'Summary Data'!$A86,'Data entry'!$B$6:$B$200,{"Confirmed";"Probable"},'Data entry'!$AO$6:$AO$200,$I$10, 'Data entry'!$BD$6:$BD$200,"&lt;&gt;*Negative*"))</f>
        <v>0</v>
      </c>
      <c r="J86" s="13">
        <f>SUM(COUNTIFS('Data entry'!$R$6:$R$200,'Summary Data'!$A86,'Data entry'!$B$6:$B$200,{"Confirmed";"Probable"},'Data entry'!$AO$6:$AO$200,$J$10, 'Data entry'!$BD$6:$BD$200,"&lt;&gt;*Negative*"))</f>
        <v>0</v>
      </c>
      <c r="K86" s="13">
        <f>SUM(COUNTIFS('Data entry'!$R$6:$R$200,'Summary Data'!$A86,'Data entry'!$B$6:$B$200,{"Confirmed";"Probable"},'Data entry'!$AO$6:$AO$200,$K$10, 'Data entry'!$BD$6:$BD$200,"&lt;&gt;*Negative*"))</f>
        <v>0</v>
      </c>
      <c r="L86" s="13">
        <f>SUM(COUNTIFS('Data entry'!$R$6:$R$200,'Summary Data'!$A86,'Data entry'!$B$6:$B$200,{"Confirmed";"Probable"},'Data entry'!$AO$6:$AO$200,$L$10, 'Data entry'!$BD$6:$BD$200,"&lt;&gt;*Negative*"))</f>
        <v>0</v>
      </c>
      <c r="M86" s="13">
        <f>SUM(COUNTIFS('Data entry'!$R$6:$R$200,'Summary Data'!$A86,'Data entry'!$B$6:$B$200,{"Confirmed";"Probable"},'Data entry'!$AO$6:$AO$200,$M$10, 'Data entry'!$BD$6:$BD$200,"&lt;&gt;*Negative*"))</f>
        <v>0</v>
      </c>
      <c r="N86" s="13">
        <f>SUM(COUNTIFS('Data entry'!$R$6:$R$200,'Summary Data'!$A86,'Data entry'!$B$6:$B$200,{"Confirmed";"Probable"},'Data entry'!$AO$6:$AO$200,$N$10, 'Data entry'!$BD$6:$BD$200,"&lt;&gt;*Negative*"))</f>
        <v>0</v>
      </c>
      <c r="O86" s="15">
        <f t="shared" si="7"/>
        <v>0</v>
      </c>
      <c r="P86" s="15">
        <f t="shared" si="8"/>
        <v>0</v>
      </c>
      <c r="Q86" s="15">
        <f>SUM(COUNTIFS('Data entry'!$R$6:$R$200,'Summary Data'!$A86,'Data entry'!$B$6:$B$200,{"Confirmed";"Probable"},'Data entry'!$AP$6:$AP$200,'Data Validation'!$U$2, 'Data entry'!$BD$6:$BD$200,"&lt;&gt;*Negative*"))</f>
        <v>0</v>
      </c>
      <c r="R86" s="15">
        <f>SUM(COUNTIFS('Data entry'!$R$6:$R$200,'Summary Data'!$A86,'Data entry'!$B$6:$B$200,{"Confirmed";"Probable"},'Data entry'!$AP$6:$AP$200,'Data Validation'!$U$3, 'Data entry'!$BD$6:$BD$200,"&lt;&gt;*Negative*"))</f>
        <v>0</v>
      </c>
      <c r="S86" s="15">
        <f>SUM(COUNTIFS('Data entry'!$R$6:$R$200,'Summary Data'!$A86,'Data entry'!$B$6:$B$200,{"Confirmed";"Probable"},'Data entry'!$AP$6:$AP$200,'Data Validation'!$U$4, 'Data entry'!$BD$6:$BD$200,"&lt;&gt;*Negative*"))</f>
        <v>0</v>
      </c>
      <c r="T86" s="15">
        <f>SUM(COUNTIFS('Data entry'!$R$6:$R$200,'Summary Data'!$A86,'Data entry'!$B$6:$B$200,{"Confirmed";"Probable"},'Data entry'!$AP$6:$AP$200,'Data Validation'!$U$5, 'Data entry'!$BD$6:$BD$200,"&lt;&gt;*Negative*"))</f>
        <v>0</v>
      </c>
      <c r="U86" s="15">
        <f>SUM(COUNTIFS('Data entry'!$R$6:$R$200,'Summary Data'!$A86,'Data entry'!$B$6:$B$200,{"Confirmed";"Probable"},'Data entry'!$AP$6:$AP$200,'Data Validation'!$U$6, 'Data entry'!$BD$6:$BD$200,"&lt;&gt;*Negative*"))</f>
        <v>0</v>
      </c>
      <c r="V86" s="15">
        <f>SUM(COUNTIFS('Data entry'!$R$6:$R$200,'Summary Data'!$A86,'Data entry'!$B$6:$B$200,{"Confirmed";"Probable"},'Data entry'!$AQ$6:$AQ$200,'Data Validation'!$V$2, 'Data entry'!$BD$6:$BD$200,"&lt;&gt;*Negative*"))</f>
        <v>0</v>
      </c>
      <c r="W86" s="15">
        <f>SUM(COUNTIFS('Data entry'!$R$6:$R$200,'Summary Data'!$A86,'Data entry'!$B$6:$B$200,{"Confirmed";"Probable"},'Data entry'!$AQ$6:$AQ$200,'Data Validation'!$V$3, 'Data entry'!$BD$6:$BD$200,"&lt;&gt;*Negative*"))</f>
        <v>0</v>
      </c>
      <c r="X86" s="15">
        <f>SUM(COUNTIFS('Data entry'!$R$6:$R$200,'Summary Data'!$A86,'Data entry'!$B$6:$B$200,{"Confirmed";"Probable"},'Data entry'!$AQ$6:$AQ$200,'Data Validation'!$V$4, 'Data entry'!$BD$6:$BD$200,"&lt;&gt;*Negative*"))</f>
        <v>0</v>
      </c>
      <c r="Y86" s="15">
        <f>SUM(COUNTIFS('Data entry'!$R$6:$R$200,'Summary Data'!$A86,'Data entry'!$B$6:$B$200,{"Confirmed";"Probable"},'Data entry'!$AQ$6:$AQ$200,'Data Validation'!$V$5, 'Data entry'!$BD$6:$BD$200,"&lt;&gt;*Negative*"))</f>
        <v>0</v>
      </c>
      <c r="Z86" s="15">
        <f>SUM(COUNTIFS('Data entry'!$R$6:$R$200,'Summary Data'!$A86,'Data entry'!$B$6:$B$200,{"Confirmed";"Probable"},'Data entry'!$AQ$6:$AQ$200,'Data Validation'!$V$6, 'Data entry'!$BD$6:$BD$200,"&lt;&gt;*Negative*"))</f>
        <v>0</v>
      </c>
      <c r="AA86" s="15">
        <f>SUM(COUNTIFS('Data entry'!$R$6:$R$200,'Summary Data'!$A86,'Data entry'!$B$6:$B$200,{"Confirmed";"Probable"},'Data entry'!$AQ$6:$AQ$200,'Data Validation'!$V$7, 'Data entry'!$BD$6:$BD$200,"&lt;&gt;*Negative*"))</f>
        <v>0</v>
      </c>
      <c r="AB86" s="15">
        <f>SUM(COUNTIFS('Data entry'!$R$6:$R$200,'Summary Data'!$A86,'Data entry'!$B$6:$B$200,{"Confirmed";"Probable"},'Data entry'!$AQ$6:$AQ$200,'Data Validation'!$V$8, 'Data entry'!$BD$6:$BD$200,"&lt;&gt;*Negative*"))</f>
        <v>0</v>
      </c>
      <c r="AC86" s="15">
        <f>SUM(COUNTIFS('Data entry'!$R$6:$R$200,'Summary Data'!$A86,'Data entry'!$B$6:$B$200,{"Confirmed";"Probable"},'Data entry'!$AQ$6:$AQ$200,'Data Validation'!$V$9, 'Data entry'!$BD$6:$BD$200,"&lt;&gt;*Negative*"))</f>
        <v>0</v>
      </c>
      <c r="AD86" s="15">
        <f>SUM(COUNTIFS('Data entry'!$R$6:$R$200,'Summary Data'!$A86,'Data entry'!$B$6:$B$200,{"Confirmed";"Probable"},'Data entry'!$AQ$6:$AQ$200,'Data Validation'!$V$10, 'Data entry'!$BD$6:$BD$200,"&lt;&gt;*Negative*"))</f>
        <v>0</v>
      </c>
      <c r="AE86" s="15">
        <f>SUM(COUNTIFS('Data entry'!$R$6:$R$200,'Summary Data'!$A86,'Data entry'!$B$6:$B$200,{"Confirmed";"Probable"},'Data entry'!$AQ$6:$AQ$200,'Data Validation'!$V$11, 'Data entry'!$BD$6:$BD$200,"&lt;&gt;*Negative*"))</f>
        <v>0</v>
      </c>
      <c r="AF86" s="15">
        <f>SUM(COUNTIFS('Data entry'!$R$6:$R$200,'Summary Data'!$A86,'Data entry'!$B$6:$B$200,{"Confirmed";"Probable"},'Data entry'!$AQ$6:$AQ$200,'Data Validation'!$V$2, 'Data entry'!$AP$6:$AP$200,'Data Validation'!$U$2, 'Data entry'!$BD$6:$BD$200,"&lt;&gt;*Negative*"))</f>
        <v>0</v>
      </c>
      <c r="AG86" s="15">
        <f>SUM(COUNTIFS('Data entry'!$R$6:$R$200,'Summary Data'!$A86,'Data entry'!$B$6:$B$200,{"Confirmed";"Probable"},'Data entry'!$AQ$6:$AQ$200,'Data Validation'!$V$2, 'Data entry'!$AP$6:$AP$200,'Data Validation'!$U$3, 'Data entry'!$BD$6:$BD$200,"&lt;&gt;*Negative*"))</f>
        <v>0</v>
      </c>
      <c r="AH86" s="15">
        <f>SUM(COUNTIFS('Data entry'!$R$6:$R$200,'Summary Data'!$A86,'Data entry'!$B$6:$B$200,{"Confirmed";"Probable"},'Data entry'!$AQ$6:$AQ$200,'Data Validation'!$V$2, 'Data entry'!$AP$6:$AP$200,'Data Validation'!$U$4, 'Data entry'!$BD$6:$BD$200,"&lt;&gt;*Negative*"))</f>
        <v>0</v>
      </c>
      <c r="AI86" s="15">
        <f>SUM(COUNTIFS('Data entry'!$R$6:$R$200,'Summary Data'!$A86,'Data entry'!$B$6:$B$200,{"Confirmed";"Probable"},'Data entry'!$AQ$6:$AQ$200,'Data Validation'!$V$2, 'Data entry'!$AP$6:$AP$200,'Data Validation'!$U$5, 'Data entry'!$BD$6:$BD$200,"&lt;&gt;*Negative*"))</f>
        <v>0</v>
      </c>
      <c r="AJ86" s="15">
        <f>SUM(COUNTIFS('Data entry'!$R$6:$R$200,'Summary Data'!$A86,'Data entry'!$B$6:$B$200,{"Confirmed";"Probable"},'Data entry'!$AQ$6:$AQ$200,'Data Validation'!$V$2, 'Data entry'!$AP$6:$AP$200,'Data Validation'!$U$6, 'Data entry'!$BD$6:$BD$200,"&lt;&gt;*Negative*"))</f>
        <v>0</v>
      </c>
      <c r="AK86" s="15">
        <f>SUM(COUNTIFS('Data entry'!$R$6:$R$200,'Summary Data'!$A86,'Data entry'!$B$6:$B$200,{"Confirmed";"Probable"},'Data entry'!$AQ$6:$AQ$200,'Data Validation'!$V$3, 'Data entry'!$AP$6:$AP$200,'Data Validation'!$U$2, 'Data entry'!$BD$6:$BD$200,"&lt;&gt;*Negative*"))</f>
        <v>0</v>
      </c>
      <c r="AL86" s="15">
        <f>SUM(COUNTIFS('Data entry'!$R$6:$R$200,'Summary Data'!$A86,'Data entry'!$B$6:$B$200,{"Confirmed";"Probable"},'Data entry'!$AQ$6:$AQ$200,'Data Validation'!$V$3, 'Data entry'!$AP$6:$AP$200,'Data Validation'!$U$3, 'Data entry'!$BD$6:$BD$200,"&lt;&gt;*Negative*"))</f>
        <v>0</v>
      </c>
      <c r="AM86" s="15">
        <f>SUM(COUNTIFS('Data entry'!$R$6:$R$200,'Summary Data'!$A86,'Data entry'!$B$6:$B$200,{"Confirmed";"Probable"},'Data entry'!$AQ$6:$AQ$200,'Data Validation'!$V$3, 'Data entry'!$AP$6:$AP$200,'Data Validation'!$U$4, 'Data entry'!$BD$6:$BD$200,"&lt;&gt;*Negative*"))</f>
        <v>0</v>
      </c>
      <c r="AN86" s="15">
        <f>SUM(COUNTIFS('Data entry'!$R$6:$R$200,'Summary Data'!$A86,'Data entry'!$B$6:$B$200,{"Confirmed";"Probable"},'Data entry'!$AQ$6:$AQ$200,'Data Validation'!$V$3, 'Data entry'!$AP$6:$AP$200,'Data Validation'!$U$5, 'Data entry'!$BD$6:$BD$200,"&lt;&gt;*Negative*"))</f>
        <v>0</v>
      </c>
      <c r="AO86" s="15">
        <f>SUM(COUNTIFS('Data entry'!$R$6:$R$200,'Summary Data'!$A86,'Data entry'!$B$6:$B$200,{"Confirmed";"Probable"},'Data entry'!$AQ$6:$AQ$200,'Data Validation'!$V$3, 'Data entry'!$AP$6:$AP$200,'Data Validation'!$U$6, 'Data entry'!$BD$6:$BD$200,"&lt;&gt;*Negative*"))</f>
        <v>0</v>
      </c>
      <c r="AP86" s="15">
        <f>SUM(COUNTIFS('Data entry'!$R$6:$R$200,'Summary Data'!$A86,'Data entry'!$B$6:$B$200,{"Confirmed";"Probable"},'Data entry'!$AQ$6:$AQ$200,'Data Validation'!$V$4, 'Data entry'!$AP$6:$AP$200,'Data Validation'!$U$2, 'Data entry'!$BD$6:$BD$200,"&lt;&gt;*Negative*"))</f>
        <v>0</v>
      </c>
      <c r="AQ86" s="15">
        <f>SUM(COUNTIFS('Data entry'!$R$6:$R$200,'Summary Data'!$A86,'Data entry'!$B$6:$B$200,{"Confirmed";"Probable"},'Data entry'!$AQ$6:$AQ$200,'Data Validation'!$V$4, 'Data entry'!$AP$6:$AP$200,'Data Validation'!$U$3, 'Data entry'!$BD$6:$BD$200,"&lt;&gt;*Negative*"))</f>
        <v>0</v>
      </c>
      <c r="AR86" s="15">
        <f>SUM(COUNTIFS('Data entry'!$R$6:$R$200,'Summary Data'!$A86,'Data entry'!$B$6:$B$200,{"Confirmed";"Probable"},'Data entry'!$AQ$6:$AQ$200,'Data Validation'!$V$4, 'Data entry'!$AP$6:$AP$200,'Data Validation'!$U$4, 'Data entry'!$BD$6:$BD$200,"&lt;&gt;*Negative*"))</f>
        <v>0</v>
      </c>
      <c r="AS86" s="15">
        <f>SUM(COUNTIFS('Data entry'!$R$6:$R$200,'Summary Data'!$A86,'Data entry'!$B$6:$B$200,{"Confirmed";"Probable"},'Data entry'!$AQ$6:$AQ$200,'Data Validation'!$V$4, 'Data entry'!$AP$6:$AP$200,'Data Validation'!$U$5, 'Data entry'!$BD$6:$BD$200,"&lt;&gt;*Negative*"))</f>
        <v>0</v>
      </c>
      <c r="AT86" s="15">
        <f>SUM(COUNTIFS('Data entry'!$R$6:$R$200,'Summary Data'!$A86,'Data entry'!$B$6:$B$200,{"Confirmed";"Probable"},'Data entry'!$AQ$6:$AQ$200,'Data Validation'!$V$4, 'Data entry'!$AP$6:$AP$200,'Data Validation'!$U$6, 'Data entry'!$BD$6:$BD$200,"&lt;&gt;*Negative*"))</f>
        <v>0</v>
      </c>
      <c r="AU86" s="15">
        <f>SUM(COUNTIFS('Data entry'!$R$6:$R$200,'Summary Data'!$A86,'Data entry'!$B$6:$B$200,{"Confirmed";"Probable"},'Data entry'!$AQ$6:$AQ$200,'Data Validation'!$V$5, 'Data entry'!$AP$6:$AP$200,'Data Validation'!$U$2, 'Data entry'!$BD$6:$BD$200,"&lt;&gt;*Negative*"))</f>
        <v>0</v>
      </c>
      <c r="AV86" s="15">
        <f>SUM(COUNTIFS('Data entry'!$R$6:$R$200,'Summary Data'!$A86,'Data entry'!$B$6:$B$200,{"Confirmed";"Probable"},'Data entry'!$AQ$6:$AQ$200,'Data Validation'!$V$5, 'Data entry'!$AP$6:$AP$200,'Data Validation'!$U$3, 'Data entry'!$BD$6:$BD$200,"&lt;&gt;*Negative*"))</f>
        <v>0</v>
      </c>
      <c r="AW86" s="15">
        <f>SUM(COUNTIFS('Data entry'!$R$6:$R$200,'Summary Data'!$A86,'Data entry'!$B$6:$B$200,{"Confirmed";"Probable"},'Data entry'!$AQ$6:$AQ$200,'Data Validation'!$V$5, 'Data entry'!$AP$6:$AP$200,'Data Validation'!$U$4, 'Data entry'!$BD$6:$BD$200,"&lt;&gt;*Negative*"))</f>
        <v>0</v>
      </c>
      <c r="AX86" s="15">
        <f>SUM(COUNTIFS('Data entry'!$R$6:$R$200,'Summary Data'!$A86,'Data entry'!$B$6:$B$200,{"Confirmed";"Probable"},'Data entry'!$AQ$6:$AQ$200,'Data Validation'!$V$5, 'Data entry'!$AP$6:$AP$200,'Data Validation'!$U$5, 'Data entry'!$BD$6:$BD$200,"&lt;&gt;*Negative*"))</f>
        <v>0</v>
      </c>
      <c r="AY86" s="15">
        <f>SUM(COUNTIFS('Data entry'!$R$6:$R$200,'Summary Data'!$A86,'Data entry'!$B$6:$B$200,{"Confirmed";"Probable"},'Data entry'!$AQ$6:$AQ$200,'Data Validation'!$V$5, 'Data entry'!$AP$6:$AP$200,'Data Validation'!$U$6, 'Data entry'!$BD$6:$BD$200,"&lt;&gt;*Negative*"))</f>
        <v>0</v>
      </c>
      <c r="AZ86" s="15">
        <f>SUM(COUNTIFS('Data entry'!$R$6:$R$200,'Summary Data'!$A86,'Data entry'!$B$6:$B$200,{"Confirmed";"Probable"},'Data entry'!$AQ$6:$AQ$200,'Data Validation'!$V$6, 'Data entry'!$AP$6:$AP$200,'Data Validation'!$U$2, 'Data entry'!$BD$6:$BD$200,"&lt;&gt;*Negative*"))</f>
        <v>0</v>
      </c>
      <c r="BA86" s="15">
        <f>SUM(COUNTIFS('Data entry'!$R$6:$R$200,'Summary Data'!$A86,'Data entry'!$B$6:$B$200,{"Confirmed";"Probable"},'Data entry'!$AQ$6:$AQ$200,'Data Validation'!$V$6, 'Data entry'!$AP$6:$AP$200,'Data Validation'!$U$3, 'Data entry'!$BD$6:$BD$200,"&lt;&gt;*Negative*"))</f>
        <v>0</v>
      </c>
      <c r="BB86" s="15">
        <f>SUM(COUNTIFS('Data entry'!$R$6:$R$200,'Summary Data'!$A86,'Data entry'!$B$6:$B$200,{"Confirmed";"Probable"},'Data entry'!$AQ$6:$AQ$200,'Data Validation'!$V$6, 'Data entry'!$AP$6:$AP$200,'Data Validation'!$U$4, 'Data entry'!$BD$6:$BD$200,"&lt;&gt;*Negative*"))</f>
        <v>0</v>
      </c>
      <c r="BC86" s="15">
        <f>SUM(COUNTIFS('Data entry'!$R$6:$R$200,'Summary Data'!$A86,'Data entry'!$B$6:$B$200,{"Confirmed";"Probable"},'Data entry'!$AQ$6:$AQ$200,'Data Validation'!$V$6, 'Data entry'!$AP$6:$AP$200,'Data Validation'!$U$5, 'Data entry'!$BD$6:$BD$200,"&lt;&gt;*Negative*"))</f>
        <v>0</v>
      </c>
      <c r="BD86" s="15">
        <f>SUM(COUNTIFS('Data entry'!$R$6:$R$200,'Summary Data'!$A86,'Data entry'!$B$6:$B$200,{"Confirmed";"Probable"},'Data entry'!$AQ$6:$AQ$200,'Data Validation'!$V$6, 'Data entry'!$AP$6:$AP$200,'Data Validation'!$U$6, 'Data entry'!$BD$6:$BD$200,"&lt;&gt;*Negative*"))</f>
        <v>0</v>
      </c>
      <c r="BE86" s="15">
        <f>SUM(COUNTIFS('Data entry'!$R$6:$R$200,'Summary Data'!$A86,'Data entry'!$B$6:$B$200,{"Confirmed";"Probable"},'Data entry'!$AQ$6:$AQ$200,'Data Validation'!$V$7, 'Data entry'!$AP$6:$AP$200,'Data Validation'!$U$2, 'Data entry'!$BD$6:$BD$200,"&lt;&gt;*Negative*"))</f>
        <v>0</v>
      </c>
      <c r="BF86" s="15">
        <f>SUM(COUNTIFS('Data entry'!$R$6:$R$200,'Summary Data'!$A86,'Data entry'!$B$6:$B$200,{"Confirmed";"Probable"},'Data entry'!$AQ$6:$AQ$200,'Data Validation'!$V$7, 'Data entry'!$AP$6:$AP$200,'Data Validation'!$U$3, 'Data entry'!$BD$6:$BD$200,"&lt;&gt;*Negative*"))</f>
        <v>0</v>
      </c>
      <c r="BG86" s="15">
        <f>SUM(COUNTIFS('Data entry'!$R$6:$R$200,'Summary Data'!$A86,'Data entry'!$B$6:$B$200,{"Confirmed";"Probable"},'Data entry'!$AQ$6:$AQ$200,'Data Validation'!$V$7, 'Data entry'!$AP$6:$AP$200,'Data Validation'!$U$4, 'Data entry'!$BD$6:$BD$200,"&lt;&gt;*Negative*"))</f>
        <v>0</v>
      </c>
      <c r="BH86" s="15">
        <f>SUM(COUNTIFS('Data entry'!$R$6:$R$200,'Summary Data'!$A86,'Data entry'!$B$6:$B$200,{"Confirmed";"Probable"},'Data entry'!$AQ$6:$AQ$200,'Data Validation'!$V$7, 'Data entry'!$AP$6:$AP$200,'Data Validation'!$U$5, 'Data entry'!$BD$6:$BD$200,"&lt;&gt;*Negative*"))</f>
        <v>0</v>
      </c>
      <c r="BI86" s="15">
        <f>SUM(COUNTIFS('Data entry'!$R$6:$R$200,'Summary Data'!$A86,'Data entry'!$B$6:$B$200,{"Confirmed";"Probable"},'Data entry'!$AQ$6:$AQ$200,'Data Validation'!$V$7, 'Data entry'!$AP$6:$AP$200,'Data Validation'!$U$6, 'Data entry'!$BD$6:$BD$200,"&lt;&gt;*Negative*"))</f>
        <v>0</v>
      </c>
      <c r="BJ86" s="15">
        <f>SUM(COUNTIFS('Data entry'!$R$6:$R$200,'Summary Data'!$A86,'Data entry'!$B$6:$B$200,{"Confirmed";"Probable"},'Data entry'!$AQ$6:$AQ$200,'Data Validation'!$V$8, 'Data entry'!$AP$6:$AP$200,'Data Validation'!$U$2, 'Data entry'!$BD$6:$BD$200,"&lt;&gt;*Negative*"))</f>
        <v>0</v>
      </c>
      <c r="BK86" s="15">
        <f>SUM(COUNTIFS('Data entry'!$R$6:$R$200,'Summary Data'!$A86,'Data entry'!$B$6:$B$200,{"Confirmed";"Probable"},'Data entry'!$AQ$6:$AQ$200,'Data Validation'!$V$8, 'Data entry'!$AP$6:$AP$200,'Data Validation'!$U$3, 'Data entry'!$BD$6:$BD$200,"&lt;&gt;*Negative*"))</f>
        <v>0</v>
      </c>
      <c r="BL86" s="15">
        <f>SUM(COUNTIFS('Data entry'!$R$6:$R$200,'Summary Data'!$A86,'Data entry'!$B$6:$B$200,{"Confirmed";"Probable"},'Data entry'!$AQ$6:$AQ$200,'Data Validation'!$V$8, 'Data entry'!$AP$6:$AP$200,'Data Validation'!$U$4, 'Data entry'!$BD$6:$BD$200,"&lt;&gt;*Negative*"))</f>
        <v>0</v>
      </c>
      <c r="BM86" s="15">
        <f>SUM(COUNTIFS('Data entry'!$R$6:$R$200,'Summary Data'!$A86,'Data entry'!$B$6:$B$200,{"Confirmed";"Probable"},'Data entry'!$AQ$6:$AQ$200,'Data Validation'!$V$8, 'Data entry'!$AP$6:$AP$200,'Data Validation'!$U$5, 'Data entry'!$BD$6:$BD$200,"&lt;&gt;*Negative*"))</f>
        <v>0</v>
      </c>
      <c r="BN86" s="15">
        <f>SUM(COUNTIFS('Data entry'!$R$6:$R$200,'Summary Data'!$A86,'Data entry'!$B$6:$B$200,{"Confirmed";"Probable"},'Data entry'!$AQ$6:$AQ$200,'Data Validation'!$V$8, 'Data entry'!$AP$6:$AP$200,'Data Validation'!$U$6, 'Data entry'!$BD$6:$BD$200,"&lt;&gt;*Negative*"))</f>
        <v>0</v>
      </c>
      <c r="BO86" s="15">
        <f>SUM(COUNTIFS('Data entry'!$R$6:$R$200,'Summary Data'!$A86,'Data entry'!$B$6:$B$200,{"Confirmed";"Probable"},'Data entry'!$AQ$6:$AQ$200,'Data Validation'!$V$9, 'Data entry'!$AP$6:$AP$200,'Data Validation'!$U$2, 'Data entry'!$BD$6:$BD$200,"&lt;&gt;*Negative*"))</f>
        <v>0</v>
      </c>
      <c r="BP86" s="15">
        <f>SUM(COUNTIFS('Data entry'!$R$6:$R$200,'Summary Data'!$A86,'Data entry'!$B$6:$B$200,{"Confirmed";"Probable"},'Data entry'!$AQ$6:$AQ$200,'Data Validation'!$V$9, 'Data entry'!$AP$6:$AP$200,'Data Validation'!$U$3, 'Data entry'!$BD$6:$BD$200,"&lt;&gt;*Negative*"))</f>
        <v>0</v>
      </c>
      <c r="BQ86" s="15">
        <f>SUM(COUNTIFS('Data entry'!$R$6:$R$200,'Summary Data'!$A86,'Data entry'!$B$6:$B$200,{"Confirmed";"Probable"},'Data entry'!$AQ$6:$AQ$200,'Data Validation'!$V$9, 'Data entry'!$AP$6:$AP$200,'Data Validation'!$U$4, 'Data entry'!$BD$6:$BD$200,"&lt;&gt;*Negative*"))</f>
        <v>0</v>
      </c>
      <c r="BR86" s="15">
        <f>SUM(COUNTIFS('Data entry'!$R$6:$R$200,'Summary Data'!$A86,'Data entry'!$B$6:$B$200,{"Confirmed";"Probable"},'Data entry'!$AQ$6:$AQ$200,'Data Validation'!$V$9, 'Data entry'!$AP$6:$AP$200,'Data Validation'!$U$5, 'Data entry'!$BD$6:$BD$200,"&lt;&gt;*Negative*"))</f>
        <v>0</v>
      </c>
      <c r="BS86" s="15">
        <f>SUM(COUNTIFS('Data entry'!$R$6:$R$200,'Summary Data'!$A86,'Data entry'!$B$6:$B$200,{"Confirmed";"Probable"},'Data entry'!$AQ$6:$AQ$200,'Data Validation'!$V$9, 'Data entry'!$AP$6:$AP$200,'Data Validation'!$U$6, 'Data entry'!$BD$6:$BD$200,"&lt;&gt;*Negative*"))</f>
        <v>0</v>
      </c>
      <c r="BT86" s="15">
        <f>SUM(COUNTIFS('Data entry'!$R$6:$R$200,'Summary Data'!$A86,'Data entry'!$B$6:$B$200,{"Confirmed";"Probable"},'Data entry'!$AQ$6:$AQ$200,'Data Validation'!$V$10, 'Data entry'!$AP$6:$AP$200,'Data Validation'!$U$2, 'Data entry'!$BD$6:$BD$200,"&lt;&gt;*Negative*"))</f>
        <v>0</v>
      </c>
      <c r="BU86" s="15">
        <f>SUM(COUNTIFS('Data entry'!$R$6:$R$200,'Summary Data'!$A86,'Data entry'!$B$6:$B$200,{"Confirmed";"Probable"},'Data entry'!$AQ$6:$AQ$200,'Data Validation'!$V$10, 'Data entry'!$AP$6:$AP$200,'Data Validation'!$U$3, 'Data entry'!$BD$6:$BD$200,"&lt;&gt;*Negative*"))</f>
        <v>0</v>
      </c>
      <c r="BV86" s="15">
        <f>SUM(COUNTIFS('Data entry'!$R$6:$R$200,'Summary Data'!$A86,'Data entry'!$B$6:$B$200,{"Confirmed";"Probable"},'Data entry'!$AQ$6:$AQ$200,'Data Validation'!$V$10, 'Data entry'!$AP$6:$AP$200,'Data Validation'!$U$4, 'Data entry'!$BD$6:$BD$200,"&lt;&gt;*Negative*"))</f>
        <v>0</v>
      </c>
      <c r="BW86" s="15">
        <f>SUM(COUNTIFS('Data entry'!$R$6:$R$200,'Summary Data'!$A86,'Data entry'!$B$6:$B$200,{"Confirmed";"Probable"},'Data entry'!$AQ$6:$AQ$200,'Data Validation'!$V$10, 'Data entry'!$AP$6:$AP$200,'Data Validation'!$U$5, 'Data entry'!$BD$6:$BD$200,"&lt;&gt;*Negative*"))</f>
        <v>0</v>
      </c>
      <c r="BX86" s="15">
        <f>SUM(COUNTIFS('Data entry'!$R$6:$R$200,'Summary Data'!$A86,'Data entry'!$B$6:$B$200,{"Confirmed";"Probable"},'Data entry'!$AQ$6:$AQ$200,'Data Validation'!$V$10, 'Data entry'!$AP$6:$AP$200,'Data Validation'!$U$6, 'Data entry'!$BD$6:$BD$200,"&lt;&gt;*Negative*"))</f>
        <v>0</v>
      </c>
      <c r="BY86" s="15">
        <f>SUM(COUNTIFS('Data entry'!$R$6:$R$200,'Summary Data'!$A86,'Data entry'!$B$6:$B$200,{"Confirmed";"Probable"},'Data entry'!$AQ$6:$AQ$200,'Data Validation'!$V$11, 'Data entry'!$AP$6:$AP$200,'Data Validation'!$U$2, 'Data entry'!$BD$6:$BD$200,"&lt;&gt;*Negative*"))</f>
        <v>0</v>
      </c>
      <c r="BZ86" s="15">
        <f>SUM(COUNTIFS('Data entry'!$R$6:$R$200,'Summary Data'!$A86,'Data entry'!$B$6:$B$200,{"Confirmed";"Probable"},'Data entry'!$AQ$6:$AQ$200,'Data Validation'!$V$11, 'Data entry'!$AP$6:$AP$200,'Data Validation'!$U$3, 'Data entry'!$BD$6:$BD$200,"&lt;&gt;*Negative*"))</f>
        <v>0</v>
      </c>
      <c r="CA86" s="15">
        <f>SUM(COUNTIFS('Data entry'!$R$6:$R$200,'Summary Data'!$A86,'Data entry'!$B$6:$B$200,{"Confirmed";"Probable"},'Data entry'!$AQ$6:$AQ$200,'Data Validation'!$V$11, 'Data entry'!$AP$6:$AP$200,'Data Validation'!$U$4, 'Data entry'!$BD$6:$BD$200,"&lt;&gt;*Negative*"))</f>
        <v>0</v>
      </c>
      <c r="CB86" s="15">
        <f>SUM(COUNTIFS('Data entry'!$R$6:$R$200,'Summary Data'!$A86,'Data entry'!$B$6:$B$200,{"Confirmed";"Probable"},'Data entry'!$AQ$6:$AQ$200,'Data Validation'!$V$11, 'Data entry'!$AP$6:$AP$200,'Data Validation'!$U$5, 'Data entry'!$BD$6:$BD$200,"&lt;&gt;*Negative*"))</f>
        <v>0</v>
      </c>
      <c r="CC86" s="15">
        <f>SUM(COUNTIFS('Data entry'!$R$6:$R$200,'Summary Data'!$A86,'Data entry'!$B$6:$B$200,{"Confirmed";"Probable"},'Data entry'!$AQ$6:$AQ$200,'Data Validation'!$V$11, 'Data entry'!$AP$6:$AP$200,'Data Validation'!$U$6, 'Data entry'!$BD$6:$BD$200,"&lt;&gt;*Negative*"))</f>
        <v>0</v>
      </c>
    </row>
    <row r="87" spans="1:81" x14ac:dyDescent="0.25">
      <c r="A87" s="12">
        <f t="shared" si="9"/>
        <v>75</v>
      </c>
      <c r="B87" s="13">
        <f t="shared" si="6"/>
        <v>0</v>
      </c>
      <c r="C87" s="13">
        <f>COUNTIFS('Data entry'!$R$6:$R$200,$A87,'Data entry'!$B$6:$B$200,"Confirmed",'Data entry'!$BD$6:$BD$200,"&lt;&gt;*Negative*")</f>
        <v>0</v>
      </c>
      <c r="D87" s="13">
        <f>COUNTIFS('Data entry'!$R$6:$R$200,$A87,'Data entry'!$B$6:$B$200,"Probable",'Data entry'!$BD$6:$BD$200,"&lt;&gt;*Negative*")</f>
        <v>0</v>
      </c>
      <c r="E87" s="13">
        <f>COUNTIFS('Data entry'!$R$6:$R$200,$A87,'Data entry'!$B$6:$B$200,"DNM")</f>
        <v>0</v>
      </c>
      <c r="F87" s="13">
        <f>SUM(COUNTIFS('Data entry'!$R$6:$R$200,'Summary Data'!$A87,'Data entry'!$B$6:$B$200,{"Confirmed";"Probable"},'Data entry'!$AO$6:$AO$200,$F$10, 'Data entry'!$BD$6:$BD$200,"&lt;&gt;*Negative*"))</f>
        <v>0</v>
      </c>
      <c r="G87" s="13">
        <f>SUM(COUNTIFS('Data entry'!$R$6:$R$200,'Summary Data'!$A87,'Data entry'!$B$6:$B$200,{"Confirmed";"Probable"},'Data entry'!$AO$6:$AO$200,$G$10, 'Data entry'!$BD$6:$BD$200,"&lt;&gt;*Negative*"))</f>
        <v>0</v>
      </c>
      <c r="H87" s="13">
        <f>SUM(COUNTIFS('Data entry'!$R$6:$R$200,'Summary Data'!$A87,'Data entry'!$B$6:$B$200,{"Confirmed";"Probable"},'Data entry'!$AO$6:$AO$200,$H$10, 'Data entry'!$BD$6:$BD$200,"&lt;&gt;*Negative*"))</f>
        <v>0</v>
      </c>
      <c r="I87" s="13">
        <f>SUM(COUNTIFS('Data entry'!$R$6:$R$200,'Summary Data'!$A87,'Data entry'!$B$6:$B$200,{"Confirmed";"Probable"},'Data entry'!$AO$6:$AO$200,$I$10, 'Data entry'!$BD$6:$BD$200,"&lt;&gt;*Negative*"))</f>
        <v>0</v>
      </c>
      <c r="J87" s="13">
        <f>SUM(COUNTIFS('Data entry'!$R$6:$R$200,'Summary Data'!$A87,'Data entry'!$B$6:$B$200,{"Confirmed";"Probable"},'Data entry'!$AO$6:$AO$200,$J$10, 'Data entry'!$BD$6:$BD$200,"&lt;&gt;*Negative*"))</f>
        <v>0</v>
      </c>
      <c r="K87" s="13">
        <f>SUM(COUNTIFS('Data entry'!$R$6:$R$200,'Summary Data'!$A87,'Data entry'!$B$6:$B$200,{"Confirmed";"Probable"},'Data entry'!$AO$6:$AO$200,$K$10, 'Data entry'!$BD$6:$BD$200,"&lt;&gt;*Negative*"))</f>
        <v>0</v>
      </c>
      <c r="L87" s="13">
        <f>SUM(COUNTIFS('Data entry'!$R$6:$R$200,'Summary Data'!$A87,'Data entry'!$B$6:$B$200,{"Confirmed";"Probable"},'Data entry'!$AO$6:$AO$200,$L$10, 'Data entry'!$BD$6:$BD$200,"&lt;&gt;*Negative*"))</f>
        <v>0</v>
      </c>
      <c r="M87" s="13">
        <f>SUM(COUNTIFS('Data entry'!$R$6:$R$200,'Summary Data'!$A87,'Data entry'!$B$6:$B$200,{"Confirmed";"Probable"},'Data entry'!$AO$6:$AO$200,$M$10, 'Data entry'!$BD$6:$BD$200,"&lt;&gt;*Negative*"))</f>
        <v>0</v>
      </c>
      <c r="N87" s="13">
        <f>SUM(COUNTIFS('Data entry'!$R$6:$R$200,'Summary Data'!$A87,'Data entry'!$B$6:$B$200,{"Confirmed";"Probable"},'Data entry'!$AO$6:$AO$200,$N$10, 'Data entry'!$BD$6:$BD$200,"&lt;&gt;*Negative*"))</f>
        <v>0</v>
      </c>
      <c r="O87" s="15">
        <f t="shared" si="7"/>
        <v>0</v>
      </c>
      <c r="P87" s="15">
        <f t="shared" si="8"/>
        <v>0</v>
      </c>
      <c r="Q87" s="15">
        <f>SUM(COUNTIFS('Data entry'!$R$6:$R$200,'Summary Data'!$A87,'Data entry'!$B$6:$B$200,{"Confirmed";"Probable"},'Data entry'!$AP$6:$AP$200,'Data Validation'!$U$2, 'Data entry'!$BD$6:$BD$200,"&lt;&gt;*Negative*"))</f>
        <v>0</v>
      </c>
      <c r="R87" s="15">
        <f>SUM(COUNTIFS('Data entry'!$R$6:$R$200,'Summary Data'!$A87,'Data entry'!$B$6:$B$200,{"Confirmed";"Probable"},'Data entry'!$AP$6:$AP$200,'Data Validation'!$U$3, 'Data entry'!$BD$6:$BD$200,"&lt;&gt;*Negative*"))</f>
        <v>0</v>
      </c>
      <c r="S87" s="15">
        <f>SUM(COUNTIFS('Data entry'!$R$6:$R$200,'Summary Data'!$A87,'Data entry'!$B$6:$B$200,{"Confirmed";"Probable"},'Data entry'!$AP$6:$AP$200,'Data Validation'!$U$4, 'Data entry'!$BD$6:$BD$200,"&lt;&gt;*Negative*"))</f>
        <v>0</v>
      </c>
      <c r="T87" s="15">
        <f>SUM(COUNTIFS('Data entry'!$R$6:$R$200,'Summary Data'!$A87,'Data entry'!$B$6:$B$200,{"Confirmed";"Probable"},'Data entry'!$AP$6:$AP$200,'Data Validation'!$U$5, 'Data entry'!$BD$6:$BD$200,"&lt;&gt;*Negative*"))</f>
        <v>0</v>
      </c>
      <c r="U87" s="15">
        <f>SUM(COUNTIFS('Data entry'!$R$6:$R$200,'Summary Data'!$A87,'Data entry'!$B$6:$B$200,{"Confirmed";"Probable"},'Data entry'!$AP$6:$AP$200,'Data Validation'!$U$6, 'Data entry'!$BD$6:$BD$200,"&lt;&gt;*Negative*"))</f>
        <v>0</v>
      </c>
      <c r="V87" s="15">
        <f>SUM(COUNTIFS('Data entry'!$R$6:$R$200,'Summary Data'!$A87,'Data entry'!$B$6:$B$200,{"Confirmed";"Probable"},'Data entry'!$AQ$6:$AQ$200,'Data Validation'!$V$2, 'Data entry'!$BD$6:$BD$200,"&lt;&gt;*Negative*"))</f>
        <v>0</v>
      </c>
      <c r="W87" s="15">
        <f>SUM(COUNTIFS('Data entry'!$R$6:$R$200,'Summary Data'!$A87,'Data entry'!$B$6:$B$200,{"Confirmed";"Probable"},'Data entry'!$AQ$6:$AQ$200,'Data Validation'!$V$3, 'Data entry'!$BD$6:$BD$200,"&lt;&gt;*Negative*"))</f>
        <v>0</v>
      </c>
      <c r="X87" s="15">
        <f>SUM(COUNTIFS('Data entry'!$R$6:$R$200,'Summary Data'!$A87,'Data entry'!$B$6:$B$200,{"Confirmed";"Probable"},'Data entry'!$AQ$6:$AQ$200,'Data Validation'!$V$4, 'Data entry'!$BD$6:$BD$200,"&lt;&gt;*Negative*"))</f>
        <v>0</v>
      </c>
      <c r="Y87" s="15">
        <f>SUM(COUNTIFS('Data entry'!$R$6:$R$200,'Summary Data'!$A87,'Data entry'!$B$6:$B$200,{"Confirmed";"Probable"},'Data entry'!$AQ$6:$AQ$200,'Data Validation'!$V$5, 'Data entry'!$BD$6:$BD$200,"&lt;&gt;*Negative*"))</f>
        <v>0</v>
      </c>
      <c r="Z87" s="15">
        <f>SUM(COUNTIFS('Data entry'!$R$6:$R$200,'Summary Data'!$A87,'Data entry'!$B$6:$B$200,{"Confirmed";"Probable"},'Data entry'!$AQ$6:$AQ$200,'Data Validation'!$V$6, 'Data entry'!$BD$6:$BD$200,"&lt;&gt;*Negative*"))</f>
        <v>0</v>
      </c>
      <c r="AA87" s="15">
        <f>SUM(COUNTIFS('Data entry'!$R$6:$R$200,'Summary Data'!$A87,'Data entry'!$B$6:$B$200,{"Confirmed";"Probable"},'Data entry'!$AQ$6:$AQ$200,'Data Validation'!$V$7, 'Data entry'!$BD$6:$BD$200,"&lt;&gt;*Negative*"))</f>
        <v>0</v>
      </c>
      <c r="AB87" s="15">
        <f>SUM(COUNTIFS('Data entry'!$R$6:$R$200,'Summary Data'!$A87,'Data entry'!$B$6:$B$200,{"Confirmed";"Probable"},'Data entry'!$AQ$6:$AQ$200,'Data Validation'!$V$8, 'Data entry'!$BD$6:$BD$200,"&lt;&gt;*Negative*"))</f>
        <v>0</v>
      </c>
      <c r="AC87" s="15">
        <f>SUM(COUNTIFS('Data entry'!$R$6:$R$200,'Summary Data'!$A87,'Data entry'!$B$6:$B$200,{"Confirmed";"Probable"},'Data entry'!$AQ$6:$AQ$200,'Data Validation'!$V$9, 'Data entry'!$BD$6:$BD$200,"&lt;&gt;*Negative*"))</f>
        <v>0</v>
      </c>
      <c r="AD87" s="15">
        <f>SUM(COUNTIFS('Data entry'!$R$6:$R$200,'Summary Data'!$A87,'Data entry'!$B$6:$B$200,{"Confirmed";"Probable"},'Data entry'!$AQ$6:$AQ$200,'Data Validation'!$V$10, 'Data entry'!$BD$6:$BD$200,"&lt;&gt;*Negative*"))</f>
        <v>0</v>
      </c>
      <c r="AE87" s="15">
        <f>SUM(COUNTIFS('Data entry'!$R$6:$R$200,'Summary Data'!$A87,'Data entry'!$B$6:$B$200,{"Confirmed";"Probable"},'Data entry'!$AQ$6:$AQ$200,'Data Validation'!$V$11, 'Data entry'!$BD$6:$BD$200,"&lt;&gt;*Negative*"))</f>
        <v>0</v>
      </c>
      <c r="AF87" s="15">
        <f>SUM(COUNTIFS('Data entry'!$R$6:$R$200,'Summary Data'!$A87,'Data entry'!$B$6:$B$200,{"Confirmed";"Probable"},'Data entry'!$AQ$6:$AQ$200,'Data Validation'!$V$2, 'Data entry'!$AP$6:$AP$200,'Data Validation'!$U$2, 'Data entry'!$BD$6:$BD$200,"&lt;&gt;*Negative*"))</f>
        <v>0</v>
      </c>
      <c r="AG87" s="15">
        <f>SUM(COUNTIFS('Data entry'!$R$6:$R$200,'Summary Data'!$A87,'Data entry'!$B$6:$B$200,{"Confirmed";"Probable"},'Data entry'!$AQ$6:$AQ$200,'Data Validation'!$V$2, 'Data entry'!$AP$6:$AP$200,'Data Validation'!$U$3, 'Data entry'!$BD$6:$BD$200,"&lt;&gt;*Negative*"))</f>
        <v>0</v>
      </c>
      <c r="AH87" s="15">
        <f>SUM(COUNTIFS('Data entry'!$R$6:$R$200,'Summary Data'!$A87,'Data entry'!$B$6:$B$200,{"Confirmed";"Probable"},'Data entry'!$AQ$6:$AQ$200,'Data Validation'!$V$2, 'Data entry'!$AP$6:$AP$200,'Data Validation'!$U$4, 'Data entry'!$BD$6:$BD$200,"&lt;&gt;*Negative*"))</f>
        <v>0</v>
      </c>
      <c r="AI87" s="15">
        <f>SUM(COUNTIFS('Data entry'!$R$6:$R$200,'Summary Data'!$A87,'Data entry'!$B$6:$B$200,{"Confirmed";"Probable"},'Data entry'!$AQ$6:$AQ$200,'Data Validation'!$V$2, 'Data entry'!$AP$6:$AP$200,'Data Validation'!$U$5, 'Data entry'!$BD$6:$BD$200,"&lt;&gt;*Negative*"))</f>
        <v>0</v>
      </c>
      <c r="AJ87" s="15">
        <f>SUM(COUNTIFS('Data entry'!$R$6:$R$200,'Summary Data'!$A87,'Data entry'!$B$6:$B$200,{"Confirmed";"Probable"},'Data entry'!$AQ$6:$AQ$200,'Data Validation'!$V$2, 'Data entry'!$AP$6:$AP$200,'Data Validation'!$U$6, 'Data entry'!$BD$6:$BD$200,"&lt;&gt;*Negative*"))</f>
        <v>0</v>
      </c>
      <c r="AK87" s="15">
        <f>SUM(COUNTIFS('Data entry'!$R$6:$R$200,'Summary Data'!$A87,'Data entry'!$B$6:$B$200,{"Confirmed";"Probable"},'Data entry'!$AQ$6:$AQ$200,'Data Validation'!$V$3, 'Data entry'!$AP$6:$AP$200,'Data Validation'!$U$2, 'Data entry'!$BD$6:$BD$200,"&lt;&gt;*Negative*"))</f>
        <v>0</v>
      </c>
      <c r="AL87" s="15">
        <f>SUM(COUNTIFS('Data entry'!$R$6:$R$200,'Summary Data'!$A87,'Data entry'!$B$6:$B$200,{"Confirmed";"Probable"},'Data entry'!$AQ$6:$AQ$200,'Data Validation'!$V$3, 'Data entry'!$AP$6:$AP$200,'Data Validation'!$U$3, 'Data entry'!$BD$6:$BD$200,"&lt;&gt;*Negative*"))</f>
        <v>0</v>
      </c>
      <c r="AM87" s="15">
        <f>SUM(COUNTIFS('Data entry'!$R$6:$R$200,'Summary Data'!$A87,'Data entry'!$B$6:$B$200,{"Confirmed";"Probable"},'Data entry'!$AQ$6:$AQ$200,'Data Validation'!$V$3, 'Data entry'!$AP$6:$AP$200,'Data Validation'!$U$4, 'Data entry'!$BD$6:$BD$200,"&lt;&gt;*Negative*"))</f>
        <v>0</v>
      </c>
      <c r="AN87" s="15">
        <f>SUM(COUNTIFS('Data entry'!$R$6:$R$200,'Summary Data'!$A87,'Data entry'!$B$6:$B$200,{"Confirmed";"Probable"},'Data entry'!$AQ$6:$AQ$200,'Data Validation'!$V$3, 'Data entry'!$AP$6:$AP$200,'Data Validation'!$U$5, 'Data entry'!$BD$6:$BD$200,"&lt;&gt;*Negative*"))</f>
        <v>0</v>
      </c>
      <c r="AO87" s="15">
        <f>SUM(COUNTIFS('Data entry'!$R$6:$R$200,'Summary Data'!$A87,'Data entry'!$B$6:$B$200,{"Confirmed";"Probable"},'Data entry'!$AQ$6:$AQ$200,'Data Validation'!$V$3, 'Data entry'!$AP$6:$AP$200,'Data Validation'!$U$6, 'Data entry'!$BD$6:$BD$200,"&lt;&gt;*Negative*"))</f>
        <v>0</v>
      </c>
      <c r="AP87" s="15">
        <f>SUM(COUNTIFS('Data entry'!$R$6:$R$200,'Summary Data'!$A87,'Data entry'!$B$6:$B$200,{"Confirmed";"Probable"},'Data entry'!$AQ$6:$AQ$200,'Data Validation'!$V$4, 'Data entry'!$AP$6:$AP$200,'Data Validation'!$U$2, 'Data entry'!$BD$6:$BD$200,"&lt;&gt;*Negative*"))</f>
        <v>0</v>
      </c>
      <c r="AQ87" s="15">
        <f>SUM(COUNTIFS('Data entry'!$R$6:$R$200,'Summary Data'!$A87,'Data entry'!$B$6:$B$200,{"Confirmed";"Probable"},'Data entry'!$AQ$6:$AQ$200,'Data Validation'!$V$4, 'Data entry'!$AP$6:$AP$200,'Data Validation'!$U$3, 'Data entry'!$BD$6:$BD$200,"&lt;&gt;*Negative*"))</f>
        <v>0</v>
      </c>
      <c r="AR87" s="15">
        <f>SUM(COUNTIFS('Data entry'!$R$6:$R$200,'Summary Data'!$A87,'Data entry'!$B$6:$B$200,{"Confirmed";"Probable"},'Data entry'!$AQ$6:$AQ$200,'Data Validation'!$V$4, 'Data entry'!$AP$6:$AP$200,'Data Validation'!$U$4, 'Data entry'!$BD$6:$BD$200,"&lt;&gt;*Negative*"))</f>
        <v>0</v>
      </c>
      <c r="AS87" s="15">
        <f>SUM(COUNTIFS('Data entry'!$R$6:$R$200,'Summary Data'!$A87,'Data entry'!$B$6:$B$200,{"Confirmed";"Probable"},'Data entry'!$AQ$6:$AQ$200,'Data Validation'!$V$4, 'Data entry'!$AP$6:$AP$200,'Data Validation'!$U$5, 'Data entry'!$BD$6:$BD$200,"&lt;&gt;*Negative*"))</f>
        <v>0</v>
      </c>
      <c r="AT87" s="15">
        <f>SUM(COUNTIFS('Data entry'!$R$6:$R$200,'Summary Data'!$A87,'Data entry'!$B$6:$B$200,{"Confirmed";"Probable"},'Data entry'!$AQ$6:$AQ$200,'Data Validation'!$V$4, 'Data entry'!$AP$6:$AP$200,'Data Validation'!$U$6, 'Data entry'!$BD$6:$BD$200,"&lt;&gt;*Negative*"))</f>
        <v>0</v>
      </c>
      <c r="AU87" s="15">
        <f>SUM(COUNTIFS('Data entry'!$R$6:$R$200,'Summary Data'!$A87,'Data entry'!$B$6:$B$200,{"Confirmed";"Probable"},'Data entry'!$AQ$6:$AQ$200,'Data Validation'!$V$5, 'Data entry'!$AP$6:$AP$200,'Data Validation'!$U$2, 'Data entry'!$BD$6:$BD$200,"&lt;&gt;*Negative*"))</f>
        <v>0</v>
      </c>
      <c r="AV87" s="15">
        <f>SUM(COUNTIFS('Data entry'!$R$6:$R$200,'Summary Data'!$A87,'Data entry'!$B$6:$B$200,{"Confirmed";"Probable"},'Data entry'!$AQ$6:$AQ$200,'Data Validation'!$V$5, 'Data entry'!$AP$6:$AP$200,'Data Validation'!$U$3, 'Data entry'!$BD$6:$BD$200,"&lt;&gt;*Negative*"))</f>
        <v>0</v>
      </c>
      <c r="AW87" s="15">
        <f>SUM(COUNTIFS('Data entry'!$R$6:$R$200,'Summary Data'!$A87,'Data entry'!$B$6:$B$200,{"Confirmed";"Probable"},'Data entry'!$AQ$6:$AQ$200,'Data Validation'!$V$5, 'Data entry'!$AP$6:$AP$200,'Data Validation'!$U$4, 'Data entry'!$BD$6:$BD$200,"&lt;&gt;*Negative*"))</f>
        <v>0</v>
      </c>
      <c r="AX87" s="15">
        <f>SUM(COUNTIFS('Data entry'!$R$6:$R$200,'Summary Data'!$A87,'Data entry'!$B$6:$B$200,{"Confirmed";"Probable"},'Data entry'!$AQ$6:$AQ$200,'Data Validation'!$V$5, 'Data entry'!$AP$6:$AP$200,'Data Validation'!$U$5, 'Data entry'!$BD$6:$BD$200,"&lt;&gt;*Negative*"))</f>
        <v>0</v>
      </c>
      <c r="AY87" s="15">
        <f>SUM(COUNTIFS('Data entry'!$R$6:$R$200,'Summary Data'!$A87,'Data entry'!$B$6:$B$200,{"Confirmed";"Probable"},'Data entry'!$AQ$6:$AQ$200,'Data Validation'!$V$5, 'Data entry'!$AP$6:$AP$200,'Data Validation'!$U$6, 'Data entry'!$BD$6:$BD$200,"&lt;&gt;*Negative*"))</f>
        <v>0</v>
      </c>
      <c r="AZ87" s="15">
        <f>SUM(COUNTIFS('Data entry'!$R$6:$R$200,'Summary Data'!$A87,'Data entry'!$B$6:$B$200,{"Confirmed";"Probable"},'Data entry'!$AQ$6:$AQ$200,'Data Validation'!$V$6, 'Data entry'!$AP$6:$AP$200,'Data Validation'!$U$2, 'Data entry'!$BD$6:$BD$200,"&lt;&gt;*Negative*"))</f>
        <v>0</v>
      </c>
      <c r="BA87" s="15">
        <f>SUM(COUNTIFS('Data entry'!$R$6:$R$200,'Summary Data'!$A87,'Data entry'!$B$6:$B$200,{"Confirmed";"Probable"},'Data entry'!$AQ$6:$AQ$200,'Data Validation'!$V$6, 'Data entry'!$AP$6:$AP$200,'Data Validation'!$U$3, 'Data entry'!$BD$6:$BD$200,"&lt;&gt;*Negative*"))</f>
        <v>0</v>
      </c>
      <c r="BB87" s="15">
        <f>SUM(COUNTIFS('Data entry'!$R$6:$R$200,'Summary Data'!$A87,'Data entry'!$B$6:$B$200,{"Confirmed";"Probable"},'Data entry'!$AQ$6:$AQ$200,'Data Validation'!$V$6, 'Data entry'!$AP$6:$AP$200,'Data Validation'!$U$4, 'Data entry'!$BD$6:$BD$200,"&lt;&gt;*Negative*"))</f>
        <v>0</v>
      </c>
      <c r="BC87" s="15">
        <f>SUM(COUNTIFS('Data entry'!$R$6:$R$200,'Summary Data'!$A87,'Data entry'!$B$6:$B$200,{"Confirmed";"Probable"},'Data entry'!$AQ$6:$AQ$200,'Data Validation'!$V$6, 'Data entry'!$AP$6:$AP$200,'Data Validation'!$U$5, 'Data entry'!$BD$6:$BD$200,"&lt;&gt;*Negative*"))</f>
        <v>0</v>
      </c>
      <c r="BD87" s="15">
        <f>SUM(COUNTIFS('Data entry'!$R$6:$R$200,'Summary Data'!$A87,'Data entry'!$B$6:$B$200,{"Confirmed";"Probable"},'Data entry'!$AQ$6:$AQ$200,'Data Validation'!$V$6, 'Data entry'!$AP$6:$AP$200,'Data Validation'!$U$6, 'Data entry'!$BD$6:$BD$200,"&lt;&gt;*Negative*"))</f>
        <v>0</v>
      </c>
      <c r="BE87" s="15">
        <f>SUM(COUNTIFS('Data entry'!$R$6:$R$200,'Summary Data'!$A87,'Data entry'!$B$6:$B$200,{"Confirmed";"Probable"},'Data entry'!$AQ$6:$AQ$200,'Data Validation'!$V$7, 'Data entry'!$AP$6:$AP$200,'Data Validation'!$U$2, 'Data entry'!$BD$6:$BD$200,"&lt;&gt;*Negative*"))</f>
        <v>0</v>
      </c>
      <c r="BF87" s="15">
        <f>SUM(COUNTIFS('Data entry'!$R$6:$R$200,'Summary Data'!$A87,'Data entry'!$B$6:$B$200,{"Confirmed";"Probable"},'Data entry'!$AQ$6:$AQ$200,'Data Validation'!$V$7, 'Data entry'!$AP$6:$AP$200,'Data Validation'!$U$3, 'Data entry'!$BD$6:$BD$200,"&lt;&gt;*Negative*"))</f>
        <v>0</v>
      </c>
      <c r="BG87" s="15">
        <f>SUM(COUNTIFS('Data entry'!$R$6:$R$200,'Summary Data'!$A87,'Data entry'!$B$6:$B$200,{"Confirmed";"Probable"},'Data entry'!$AQ$6:$AQ$200,'Data Validation'!$V$7, 'Data entry'!$AP$6:$AP$200,'Data Validation'!$U$4, 'Data entry'!$BD$6:$BD$200,"&lt;&gt;*Negative*"))</f>
        <v>0</v>
      </c>
      <c r="BH87" s="15">
        <f>SUM(COUNTIFS('Data entry'!$R$6:$R$200,'Summary Data'!$A87,'Data entry'!$B$6:$B$200,{"Confirmed";"Probable"},'Data entry'!$AQ$6:$AQ$200,'Data Validation'!$V$7, 'Data entry'!$AP$6:$AP$200,'Data Validation'!$U$5, 'Data entry'!$BD$6:$BD$200,"&lt;&gt;*Negative*"))</f>
        <v>0</v>
      </c>
      <c r="BI87" s="15">
        <f>SUM(COUNTIFS('Data entry'!$R$6:$R$200,'Summary Data'!$A87,'Data entry'!$B$6:$B$200,{"Confirmed";"Probable"},'Data entry'!$AQ$6:$AQ$200,'Data Validation'!$V$7, 'Data entry'!$AP$6:$AP$200,'Data Validation'!$U$6, 'Data entry'!$BD$6:$BD$200,"&lt;&gt;*Negative*"))</f>
        <v>0</v>
      </c>
      <c r="BJ87" s="15">
        <f>SUM(COUNTIFS('Data entry'!$R$6:$R$200,'Summary Data'!$A87,'Data entry'!$B$6:$B$200,{"Confirmed";"Probable"},'Data entry'!$AQ$6:$AQ$200,'Data Validation'!$V$8, 'Data entry'!$AP$6:$AP$200,'Data Validation'!$U$2, 'Data entry'!$BD$6:$BD$200,"&lt;&gt;*Negative*"))</f>
        <v>0</v>
      </c>
      <c r="BK87" s="15">
        <f>SUM(COUNTIFS('Data entry'!$R$6:$R$200,'Summary Data'!$A87,'Data entry'!$B$6:$B$200,{"Confirmed";"Probable"},'Data entry'!$AQ$6:$AQ$200,'Data Validation'!$V$8, 'Data entry'!$AP$6:$AP$200,'Data Validation'!$U$3, 'Data entry'!$BD$6:$BD$200,"&lt;&gt;*Negative*"))</f>
        <v>0</v>
      </c>
      <c r="BL87" s="15">
        <f>SUM(COUNTIFS('Data entry'!$R$6:$R$200,'Summary Data'!$A87,'Data entry'!$B$6:$B$200,{"Confirmed";"Probable"},'Data entry'!$AQ$6:$AQ$200,'Data Validation'!$V$8, 'Data entry'!$AP$6:$AP$200,'Data Validation'!$U$4, 'Data entry'!$BD$6:$BD$200,"&lt;&gt;*Negative*"))</f>
        <v>0</v>
      </c>
      <c r="BM87" s="15">
        <f>SUM(COUNTIFS('Data entry'!$R$6:$R$200,'Summary Data'!$A87,'Data entry'!$B$6:$B$200,{"Confirmed";"Probable"},'Data entry'!$AQ$6:$AQ$200,'Data Validation'!$V$8, 'Data entry'!$AP$6:$AP$200,'Data Validation'!$U$5, 'Data entry'!$BD$6:$BD$200,"&lt;&gt;*Negative*"))</f>
        <v>0</v>
      </c>
      <c r="BN87" s="15">
        <f>SUM(COUNTIFS('Data entry'!$R$6:$R$200,'Summary Data'!$A87,'Data entry'!$B$6:$B$200,{"Confirmed";"Probable"},'Data entry'!$AQ$6:$AQ$200,'Data Validation'!$V$8, 'Data entry'!$AP$6:$AP$200,'Data Validation'!$U$6, 'Data entry'!$BD$6:$BD$200,"&lt;&gt;*Negative*"))</f>
        <v>0</v>
      </c>
      <c r="BO87" s="15">
        <f>SUM(COUNTIFS('Data entry'!$R$6:$R$200,'Summary Data'!$A87,'Data entry'!$B$6:$B$200,{"Confirmed";"Probable"},'Data entry'!$AQ$6:$AQ$200,'Data Validation'!$V$9, 'Data entry'!$AP$6:$AP$200,'Data Validation'!$U$2, 'Data entry'!$BD$6:$BD$200,"&lt;&gt;*Negative*"))</f>
        <v>0</v>
      </c>
      <c r="BP87" s="15">
        <f>SUM(COUNTIFS('Data entry'!$R$6:$R$200,'Summary Data'!$A87,'Data entry'!$B$6:$B$200,{"Confirmed";"Probable"},'Data entry'!$AQ$6:$AQ$200,'Data Validation'!$V$9, 'Data entry'!$AP$6:$AP$200,'Data Validation'!$U$3, 'Data entry'!$BD$6:$BD$200,"&lt;&gt;*Negative*"))</f>
        <v>0</v>
      </c>
      <c r="BQ87" s="15">
        <f>SUM(COUNTIFS('Data entry'!$R$6:$R$200,'Summary Data'!$A87,'Data entry'!$B$6:$B$200,{"Confirmed";"Probable"},'Data entry'!$AQ$6:$AQ$200,'Data Validation'!$V$9, 'Data entry'!$AP$6:$AP$200,'Data Validation'!$U$4, 'Data entry'!$BD$6:$BD$200,"&lt;&gt;*Negative*"))</f>
        <v>0</v>
      </c>
      <c r="BR87" s="15">
        <f>SUM(COUNTIFS('Data entry'!$R$6:$R$200,'Summary Data'!$A87,'Data entry'!$B$6:$B$200,{"Confirmed";"Probable"},'Data entry'!$AQ$6:$AQ$200,'Data Validation'!$V$9, 'Data entry'!$AP$6:$AP$200,'Data Validation'!$U$5, 'Data entry'!$BD$6:$BD$200,"&lt;&gt;*Negative*"))</f>
        <v>0</v>
      </c>
      <c r="BS87" s="15">
        <f>SUM(COUNTIFS('Data entry'!$R$6:$R$200,'Summary Data'!$A87,'Data entry'!$B$6:$B$200,{"Confirmed";"Probable"},'Data entry'!$AQ$6:$AQ$200,'Data Validation'!$V$9, 'Data entry'!$AP$6:$AP$200,'Data Validation'!$U$6, 'Data entry'!$BD$6:$BD$200,"&lt;&gt;*Negative*"))</f>
        <v>0</v>
      </c>
      <c r="BT87" s="15">
        <f>SUM(COUNTIFS('Data entry'!$R$6:$R$200,'Summary Data'!$A87,'Data entry'!$B$6:$B$200,{"Confirmed";"Probable"},'Data entry'!$AQ$6:$AQ$200,'Data Validation'!$V$10, 'Data entry'!$AP$6:$AP$200,'Data Validation'!$U$2, 'Data entry'!$BD$6:$BD$200,"&lt;&gt;*Negative*"))</f>
        <v>0</v>
      </c>
      <c r="BU87" s="15">
        <f>SUM(COUNTIFS('Data entry'!$R$6:$R$200,'Summary Data'!$A87,'Data entry'!$B$6:$B$200,{"Confirmed";"Probable"},'Data entry'!$AQ$6:$AQ$200,'Data Validation'!$V$10, 'Data entry'!$AP$6:$AP$200,'Data Validation'!$U$3, 'Data entry'!$BD$6:$BD$200,"&lt;&gt;*Negative*"))</f>
        <v>0</v>
      </c>
      <c r="BV87" s="15">
        <f>SUM(COUNTIFS('Data entry'!$R$6:$R$200,'Summary Data'!$A87,'Data entry'!$B$6:$B$200,{"Confirmed";"Probable"},'Data entry'!$AQ$6:$AQ$200,'Data Validation'!$V$10, 'Data entry'!$AP$6:$AP$200,'Data Validation'!$U$4, 'Data entry'!$BD$6:$BD$200,"&lt;&gt;*Negative*"))</f>
        <v>0</v>
      </c>
      <c r="BW87" s="15">
        <f>SUM(COUNTIFS('Data entry'!$R$6:$R$200,'Summary Data'!$A87,'Data entry'!$B$6:$B$200,{"Confirmed";"Probable"},'Data entry'!$AQ$6:$AQ$200,'Data Validation'!$V$10, 'Data entry'!$AP$6:$AP$200,'Data Validation'!$U$5, 'Data entry'!$BD$6:$BD$200,"&lt;&gt;*Negative*"))</f>
        <v>0</v>
      </c>
      <c r="BX87" s="15">
        <f>SUM(COUNTIFS('Data entry'!$R$6:$R$200,'Summary Data'!$A87,'Data entry'!$B$6:$B$200,{"Confirmed";"Probable"},'Data entry'!$AQ$6:$AQ$200,'Data Validation'!$V$10, 'Data entry'!$AP$6:$AP$200,'Data Validation'!$U$6, 'Data entry'!$BD$6:$BD$200,"&lt;&gt;*Negative*"))</f>
        <v>0</v>
      </c>
      <c r="BY87" s="15">
        <f>SUM(COUNTIFS('Data entry'!$R$6:$R$200,'Summary Data'!$A87,'Data entry'!$B$6:$B$200,{"Confirmed";"Probable"},'Data entry'!$AQ$6:$AQ$200,'Data Validation'!$V$11, 'Data entry'!$AP$6:$AP$200,'Data Validation'!$U$2, 'Data entry'!$BD$6:$BD$200,"&lt;&gt;*Negative*"))</f>
        <v>0</v>
      </c>
      <c r="BZ87" s="15">
        <f>SUM(COUNTIFS('Data entry'!$R$6:$R$200,'Summary Data'!$A87,'Data entry'!$B$6:$B$200,{"Confirmed";"Probable"},'Data entry'!$AQ$6:$AQ$200,'Data Validation'!$V$11, 'Data entry'!$AP$6:$AP$200,'Data Validation'!$U$3, 'Data entry'!$BD$6:$BD$200,"&lt;&gt;*Negative*"))</f>
        <v>0</v>
      </c>
      <c r="CA87" s="15">
        <f>SUM(COUNTIFS('Data entry'!$R$6:$R$200,'Summary Data'!$A87,'Data entry'!$B$6:$B$200,{"Confirmed";"Probable"},'Data entry'!$AQ$6:$AQ$200,'Data Validation'!$V$11, 'Data entry'!$AP$6:$AP$200,'Data Validation'!$U$4, 'Data entry'!$BD$6:$BD$200,"&lt;&gt;*Negative*"))</f>
        <v>0</v>
      </c>
      <c r="CB87" s="15">
        <f>SUM(COUNTIFS('Data entry'!$R$6:$R$200,'Summary Data'!$A87,'Data entry'!$B$6:$B$200,{"Confirmed";"Probable"},'Data entry'!$AQ$6:$AQ$200,'Data Validation'!$V$11, 'Data entry'!$AP$6:$AP$200,'Data Validation'!$U$5, 'Data entry'!$BD$6:$BD$200,"&lt;&gt;*Negative*"))</f>
        <v>0</v>
      </c>
      <c r="CC87" s="15">
        <f>SUM(COUNTIFS('Data entry'!$R$6:$R$200,'Summary Data'!$A87,'Data entry'!$B$6:$B$200,{"Confirmed";"Probable"},'Data entry'!$AQ$6:$AQ$200,'Data Validation'!$V$11, 'Data entry'!$AP$6:$AP$200,'Data Validation'!$U$6, 'Data entry'!$BD$6:$BD$200,"&lt;&gt;*Negative*"))</f>
        <v>0</v>
      </c>
    </row>
    <row r="88" spans="1:81" x14ac:dyDescent="0.25">
      <c r="A88" s="12">
        <f t="shared" si="9"/>
        <v>76</v>
      </c>
      <c r="B88" s="13">
        <f t="shared" si="6"/>
        <v>0</v>
      </c>
      <c r="C88" s="13">
        <f>COUNTIFS('Data entry'!$R$6:$R$200,$A88,'Data entry'!$B$6:$B$200,"Confirmed",'Data entry'!$BD$6:$BD$200,"&lt;&gt;*Negative*")</f>
        <v>0</v>
      </c>
      <c r="D88" s="13">
        <f>COUNTIFS('Data entry'!$R$6:$R$200,$A88,'Data entry'!$B$6:$B$200,"Probable",'Data entry'!$BD$6:$BD$200,"&lt;&gt;*Negative*")</f>
        <v>0</v>
      </c>
      <c r="E88" s="13">
        <f>COUNTIFS('Data entry'!$R$6:$R$200,$A88,'Data entry'!$B$6:$B$200,"DNM")</f>
        <v>0</v>
      </c>
      <c r="F88" s="13">
        <f>SUM(COUNTIFS('Data entry'!$R$6:$R$200,'Summary Data'!$A88,'Data entry'!$B$6:$B$200,{"Confirmed";"Probable"},'Data entry'!$AO$6:$AO$200,$F$10, 'Data entry'!$BD$6:$BD$200,"&lt;&gt;*Negative*"))</f>
        <v>0</v>
      </c>
      <c r="G88" s="13">
        <f>SUM(COUNTIFS('Data entry'!$R$6:$R$200,'Summary Data'!$A88,'Data entry'!$B$6:$B$200,{"Confirmed";"Probable"},'Data entry'!$AO$6:$AO$200,$G$10, 'Data entry'!$BD$6:$BD$200,"&lt;&gt;*Negative*"))</f>
        <v>0</v>
      </c>
      <c r="H88" s="13">
        <f>SUM(COUNTIFS('Data entry'!$R$6:$R$200,'Summary Data'!$A88,'Data entry'!$B$6:$B$200,{"Confirmed";"Probable"},'Data entry'!$AO$6:$AO$200,$H$10, 'Data entry'!$BD$6:$BD$200,"&lt;&gt;*Negative*"))</f>
        <v>0</v>
      </c>
      <c r="I88" s="13">
        <f>SUM(COUNTIFS('Data entry'!$R$6:$R$200,'Summary Data'!$A88,'Data entry'!$B$6:$B$200,{"Confirmed";"Probable"},'Data entry'!$AO$6:$AO$200,$I$10, 'Data entry'!$BD$6:$BD$200,"&lt;&gt;*Negative*"))</f>
        <v>0</v>
      </c>
      <c r="J88" s="13">
        <f>SUM(COUNTIFS('Data entry'!$R$6:$R$200,'Summary Data'!$A88,'Data entry'!$B$6:$B$200,{"Confirmed";"Probable"},'Data entry'!$AO$6:$AO$200,$J$10, 'Data entry'!$BD$6:$BD$200,"&lt;&gt;*Negative*"))</f>
        <v>0</v>
      </c>
      <c r="K88" s="13">
        <f>SUM(COUNTIFS('Data entry'!$R$6:$R$200,'Summary Data'!$A88,'Data entry'!$B$6:$B$200,{"Confirmed";"Probable"},'Data entry'!$AO$6:$AO$200,$K$10, 'Data entry'!$BD$6:$BD$200,"&lt;&gt;*Negative*"))</f>
        <v>0</v>
      </c>
      <c r="L88" s="13">
        <f>SUM(COUNTIFS('Data entry'!$R$6:$R$200,'Summary Data'!$A88,'Data entry'!$B$6:$B$200,{"Confirmed";"Probable"},'Data entry'!$AO$6:$AO$200,$L$10, 'Data entry'!$BD$6:$BD$200,"&lt;&gt;*Negative*"))</f>
        <v>0</v>
      </c>
      <c r="M88" s="13">
        <f>SUM(COUNTIFS('Data entry'!$R$6:$R$200,'Summary Data'!$A88,'Data entry'!$B$6:$B$200,{"Confirmed";"Probable"},'Data entry'!$AO$6:$AO$200,$M$10, 'Data entry'!$BD$6:$BD$200,"&lt;&gt;*Negative*"))</f>
        <v>0</v>
      </c>
      <c r="N88" s="13">
        <f>SUM(COUNTIFS('Data entry'!$R$6:$R$200,'Summary Data'!$A88,'Data entry'!$B$6:$B$200,{"Confirmed";"Probable"},'Data entry'!$AO$6:$AO$200,$N$10, 'Data entry'!$BD$6:$BD$200,"&lt;&gt;*Negative*"))</f>
        <v>0</v>
      </c>
      <c r="O88" s="15">
        <f t="shared" si="7"/>
        <v>0</v>
      </c>
      <c r="P88" s="15">
        <f t="shared" si="8"/>
        <v>0</v>
      </c>
      <c r="Q88" s="15">
        <f>SUM(COUNTIFS('Data entry'!$R$6:$R$200,'Summary Data'!$A88,'Data entry'!$B$6:$B$200,{"Confirmed";"Probable"},'Data entry'!$AP$6:$AP$200,'Data Validation'!$U$2, 'Data entry'!$BD$6:$BD$200,"&lt;&gt;*Negative*"))</f>
        <v>0</v>
      </c>
      <c r="R88" s="15">
        <f>SUM(COUNTIFS('Data entry'!$R$6:$R$200,'Summary Data'!$A88,'Data entry'!$B$6:$B$200,{"Confirmed";"Probable"},'Data entry'!$AP$6:$AP$200,'Data Validation'!$U$3, 'Data entry'!$BD$6:$BD$200,"&lt;&gt;*Negative*"))</f>
        <v>0</v>
      </c>
      <c r="S88" s="15">
        <f>SUM(COUNTIFS('Data entry'!$R$6:$R$200,'Summary Data'!$A88,'Data entry'!$B$6:$B$200,{"Confirmed";"Probable"},'Data entry'!$AP$6:$AP$200,'Data Validation'!$U$4, 'Data entry'!$BD$6:$BD$200,"&lt;&gt;*Negative*"))</f>
        <v>0</v>
      </c>
      <c r="T88" s="15">
        <f>SUM(COUNTIFS('Data entry'!$R$6:$R$200,'Summary Data'!$A88,'Data entry'!$B$6:$B$200,{"Confirmed";"Probable"},'Data entry'!$AP$6:$AP$200,'Data Validation'!$U$5, 'Data entry'!$BD$6:$BD$200,"&lt;&gt;*Negative*"))</f>
        <v>0</v>
      </c>
      <c r="U88" s="15">
        <f>SUM(COUNTIFS('Data entry'!$R$6:$R$200,'Summary Data'!$A88,'Data entry'!$B$6:$B$200,{"Confirmed";"Probable"},'Data entry'!$AP$6:$AP$200,'Data Validation'!$U$6, 'Data entry'!$BD$6:$BD$200,"&lt;&gt;*Negative*"))</f>
        <v>0</v>
      </c>
      <c r="V88" s="15">
        <f>SUM(COUNTIFS('Data entry'!$R$6:$R$200,'Summary Data'!$A88,'Data entry'!$B$6:$B$200,{"Confirmed";"Probable"},'Data entry'!$AQ$6:$AQ$200,'Data Validation'!$V$2, 'Data entry'!$BD$6:$BD$200,"&lt;&gt;*Negative*"))</f>
        <v>0</v>
      </c>
      <c r="W88" s="15">
        <f>SUM(COUNTIFS('Data entry'!$R$6:$R$200,'Summary Data'!$A88,'Data entry'!$B$6:$B$200,{"Confirmed";"Probable"},'Data entry'!$AQ$6:$AQ$200,'Data Validation'!$V$3, 'Data entry'!$BD$6:$BD$200,"&lt;&gt;*Negative*"))</f>
        <v>0</v>
      </c>
      <c r="X88" s="15">
        <f>SUM(COUNTIFS('Data entry'!$R$6:$R$200,'Summary Data'!$A88,'Data entry'!$B$6:$B$200,{"Confirmed";"Probable"},'Data entry'!$AQ$6:$AQ$200,'Data Validation'!$V$4, 'Data entry'!$BD$6:$BD$200,"&lt;&gt;*Negative*"))</f>
        <v>0</v>
      </c>
      <c r="Y88" s="15">
        <f>SUM(COUNTIFS('Data entry'!$R$6:$R$200,'Summary Data'!$A88,'Data entry'!$B$6:$B$200,{"Confirmed";"Probable"},'Data entry'!$AQ$6:$AQ$200,'Data Validation'!$V$5, 'Data entry'!$BD$6:$BD$200,"&lt;&gt;*Negative*"))</f>
        <v>0</v>
      </c>
      <c r="Z88" s="15">
        <f>SUM(COUNTIFS('Data entry'!$R$6:$R$200,'Summary Data'!$A88,'Data entry'!$B$6:$B$200,{"Confirmed";"Probable"},'Data entry'!$AQ$6:$AQ$200,'Data Validation'!$V$6, 'Data entry'!$BD$6:$BD$200,"&lt;&gt;*Negative*"))</f>
        <v>0</v>
      </c>
      <c r="AA88" s="15">
        <f>SUM(COUNTIFS('Data entry'!$R$6:$R$200,'Summary Data'!$A88,'Data entry'!$B$6:$B$200,{"Confirmed";"Probable"},'Data entry'!$AQ$6:$AQ$200,'Data Validation'!$V$7, 'Data entry'!$BD$6:$BD$200,"&lt;&gt;*Negative*"))</f>
        <v>0</v>
      </c>
      <c r="AB88" s="15">
        <f>SUM(COUNTIFS('Data entry'!$R$6:$R$200,'Summary Data'!$A88,'Data entry'!$B$6:$B$200,{"Confirmed";"Probable"},'Data entry'!$AQ$6:$AQ$200,'Data Validation'!$V$8, 'Data entry'!$BD$6:$BD$200,"&lt;&gt;*Negative*"))</f>
        <v>0</v>
      </c>
      <c r="AC88" s="15">
        <f>SUM(COUNTIFS('Data entry'!$R$6:$R$200,'Summary Data'!$A88,'Data entry'!$B$6:$B$200,{"Confirmed";"Probable"},'Data entry'!$AQ$6:$AQ$200,'Data Validation'!$V$9, 'Data entry'!$BD$6:$BD$200,"&lt;&gt;*Negative*"))</f>
        <v>0</v>
      </c>
      <c r="AD88" s="15">
        <f>SUM(COUNTIFS('Data entry'!$R$6:$R$200,'Summary Data'!$A88,'Data entry'!$B$6:$B$200,{"Confirmed";"Probable"},'Data entry'!$AQ$6:$AQ$200,'Data Validation'!$V$10, 'Data entry'!$BD$6:$BD$200,"&lt;&gt;*Negative*"))</f>
        <v>0</v>
      </c>
      <c r="AE88" s="15">
        <f>SUM(COUNTIFS('Data entry'!$R$6:$R$200,'Summary Data'!$A88,'Data entry'!$B$6:$B$200,{"Confirmed";"Probable"},'Data entry'!$AQ$6:$AQ$200,'Data Validation'!$V$11, 'Data entry'!$BD$6:$BD$200,"&lt;&gt;*Negative*"))</f>
        <v>0</v>
      </c>
      <c r="AF88" s="15">
        <f>SUM(COUNTIFS('Data entry'!$R$6:$R$200,'Summary Data'!$A88,'Data entry'!$B$6:$B$200,{"Confirmed";"Probable"},'Data entry'!$AQ$6:$AQ$200,'Data Validation'!$V$2, 'Data entry'!$AP$6:$AP$200,'Data Validation'!$U$2, 'Data entry'!$BD$6:$BD$200,"&lt;&gt;*Negative*"))</f>
        <v>0</v>
      </c>
      <c r="AG88" s="15">
        <f>SUM(COUNTIFS('Data entry'!$R$6:$R$200,'Summary Data'!$A88,'Data entry'!$B$6:$B$200,{"Confirmed";"Probable"},'Data entry'!$AQ$6:$AQ$200,'Data Validation'!$V$2, 'Data entry'!$AP$6:$AP$200,'Data Validation'!$U$3, 'Data entry'!$BD$6:$BD$200,"&lt;&gt;*Negative*"))</f>
        <v>0</v>
      </c>
      <c r="AH88" s="15">
        <f>SUM(COUNTIFS('Data entry'!$R$6:$R$200,'Summary Data'!$A88,'Data entry'!$B$6:$B$200,{"Confirmed";"Probable"},'Data entry'!$AQ$6:$AQ$200,'Data Validation'!$V$2, 'Data entry'!$AP$6:$AP$200,'Data Validation'!$U$4, 'Data entry'!$BD$6:$BD$200,"&lt;&gt;*Negative*"))</f>
        <v>0</v>
      </c>
      <c r="AI88" s="15">
        <f>SUM(COUNTIFS('Data entry'!$R$6:$R$200,'Summary Data'!$A88,'Data entry'!$B$6:$B$200,{"Confirmed";"Probable"},'Data entry'!$AQ$6:$AQ$200,'Data Validation'!$V$2, 'Data entry'!$AP$6:$AP$200,'Data Validation'!$U$5, 'Data entry'!$BD$6:$BD$200,"&lt;&gt;*Negative*"))</f>
        <v>0</v>
      </c>
      <c r="AJ88" s="15">
        <f>SUM(COUNTIFS('Data entry'!$R$6:$R$200,'Summary Data'!$A88,'Data entry'!$B$6:$B$200,{"Confirmed";"Probable"},'Data entry'!$AQ$6:$AQ$200,'Data Validation'!$V$2, 'Data entry'!$AP$6:$AP$200,'Data Validation'!$U$6, 'Data entry'!$BD$6:$BD$200,"&lt;&gt;*Negative*"))</f>
        <v>0</v>
      </c>
      <c r="AK88" s="15">
        <f>SUM(COUNTIFS('Data entry'!$R$6:$R$200,'Summary Data'!$A88,'Data entry'!$B$6:$B$200,{"Confirmed";"Probable"},'Data entry'!$AQ$6:$AQ$200,'Data Validation'!$V$3, 'Data entry'!$AP$6:$AP$200,'Data Validation'!$U$2, 'Data entry'!$BD$6:$BD$200,"&lt;&gt;*Negative*"))</f>
        <v>0</v>
      </c>
      <c r="AL88" s="15">
        <f>SUM(COUNTIFS('Data entry'!$R$6:$R$200,'Summary Data'!$A88,'Data entry'!$B$6:$B$200,{"Confirmed";"Probable"},'Data entry'!$AQ$6:$AQ$200,'Data Validation'!$V$3, 'Data entry'!$AP$6:$AP$200,'Data Validation'!$U$3, 'Data entry'!$BD$6:$BD$200,"&lt;&gt;*Negative*"))</f>
        <v>0</v>
      </c>
      <c r="AM88" s="15">
        <f>SUM(COUNTIFS('Data entry'!$R$6:$R$200,'Summary Data'!$A88,'Data entry'!$B$6:$B$200,{"Confirmed";"Probable"},'Data entry'!$AQ$6:$AQ$200,'Data Validation'!$V$3, 'Data entry'!$AP$6:$AP$200,'Data Validation'!$U$4, 'Data entry'!$BD$6:$BD$200,"&lt;&gt;*Negative*"))</f>
        <v>0</v>
      </c>
      <c r="AN88" s="15">
        <f>SUM(COUNTIFS('Data entry'!$R$6:$R$200,'Summary Data'!$A88,'Data entry'!$B$6:$B$200,{"Confirmed";"Probable"},'Data entry'!$AQ$6:$AQ$200,'Data Validation'!$V$3, 'Data entry'!$AP$6:$AP$200,'Data Validation'!$U$5, 'Data entry'!$BD$6:$BD$200,"&lt;&gt;*Negative*"))</f>
        <v>0</v>
      </c>
      <c r="AO88" s="15">
        <f>SUM(COUNTIFS('Data entry'!$R$6:$R$200,'Summary Data'!$A88,'Data entry'!$B$6:$B$200,{"Confirmed";"Probable"},'Data entry'!$AQ$6:$AQ$200,'Data Validation'!$V$3, 'Data entry'!$AP$6:$AP$200,'Data Validation'!$U$6, 'Data entry'!$BD$6:$BD$200,"&lt;&gt;*Negative*"))</f>
        <v>0</v>
      </c>
      <c r="AP88" s="15">
        <f>SUM(COUNTIFS('Data entry'!$R$6:$R$200,'Summary Data'!$A88,'Data entry'!$B$6:$B$200,{"Confirmed";"Probable"},'Data entry'!$AQ$6:$AQ$200,'Data Validation'!$V$4, 'Data entry'!$AP$6:$AP$200,'Data Validation'!$U$2, 'Data entry'!$BD$6:$BD$200,"&lt;&gt;*Negative*"))</f>
        <v>0</v>
      </c>
      <c r="AQ88" s="15">
        <f>SUM(COUNTIFS('Data entry'!$R$6:$R$200,'Summary Data'!$A88,'Data entry'!$B$6:$B$200,{"Confirmed";"Probable"},'Data entry'!$AQ$6:$AQ$200,'Data Validation'!$V$4, 'Data entry'!$AP$6:$AP$200,'Data Validation'!$U$3, 'Data entry'!$BD$6:$BD$200,"&lt;&gt;*Negative*"))</f>
        <v>0</v>
      </c>
      <c r="AR88" s="15">
        <f>SUM(COUNTIFS('Data entry'!$R$6:$R$200,'Summary Data'!$A88,'Data entry'!$B$6:$B$200,{"Confirmed";"Probable"},'Data entry'!$AQ$6:$AQ$200,'Data Validation'!$V$4, 'Data entry'!$AP$6:$AP$200,'Data Validation'!$U$4, 'Data entry'!$BD$6:$BD$200,"&lt;&gt;*Negative*"))</f>
        <v>0</v>
      </c>
      <c r="AS88" s="15">
        <f>SUM(COUNTIFS('Data entry'!$R$6:$R$200,'Summary Data'!$A88,'Data entry'!$B$6:$B$200,{"Confirmed";"Probable"},'Data entry'!$AQ$6:$AQ$200,'Data Validation'!$V$4, 'Data entry'!$AP$6:$AP$200,'Data Validation'!$U$5, 'Data entry'!$BD$6:$BD$200,"&lt;&gt;*Negative*"))</f>
        <v>0</v>
      </c>
      <c r="AT88" s="15">
        <f>SUM(COUNTIFS('Data entry'!$R$6:$R$200,'Summary Data'!$A88,'Data entry'!$B$6:$B$200,{"Confirmed";"Probable"},'Data entry'!$AQ$6:$AQ$200,'Data Validation'!$V$4, 'Data entry'!$AP$6:$AP$200,'Data Validation'!$U$6, 'Data entry'!$BD$6:$BD$200,"&lt;&gt;*Negative*"))</f>
        <v>0</v>
      </c>
      <c r="AU88" s="15">
        <f>SUM(COUNTIFS('Data entry'!$R$6:$R$200,'Summary Data'!$A88,'Data entry'!$B$6:$B$200,{"Confirmed";"Probable"},'Data entry'!$AQ$6:$AQ$200,'Data Validation'!$V$5, 'Data entry'!$AP$6:$AP$200,'Data Validation'!$U$2, 'Data entry'!$BD$6:$BD$200,"&lt;&gt;*Negative*"))</f>
        <v>0</v>
      </c>
      <c r="AV88" s="15">
        <f>SUM(COUNTIFS('Data entry'!$R$6:$R$200,'Summary Data'!$A88,'Data entry'!$B$6:$B$200,{"Confirmed";"Probable"},'Data entry'!$AQ$6:$AQ$200,'Data Validation'!$V$5, 'Data entry'!$AP$6:$AP$200,'Data Validation'!$U$3, 'Data entry'!$BD$6:$BD$200,"&lt;&gt;*Negative*"))</f>
        <v>0</v>
      </c>
      <c r="AW88" s="15">
        <f>SUM(COUNTIFS('Data entry'!$R$6:$R$200,'Summary Data'!$A88,'Data entry'!$B$6:$B$200,{"Confirmed";"Probable"},'Data entry'!$AQ$6:$AQ$200,'Data Validation'!$V$5, 'Data entry'!$AP$6:$AP$200,'Data Validation'!$U$4, 'Data entry'!$BD$6:$BD$200,"&lt;&gt;*Negative*"))</f>
        <v>0</v>
      </c>
      <c r="AX88" s="15">
        <f>SUM(COUNTIFS('Data entry'!$R$6:$R$200,'Summary Data'!$A88,'Data entry'!$B$6:$B$200,{"Confirmed";"Probable"},'Data entry'!$AQ$6:$AQ$200,'Data Validation'!$V$5, 'Data entry'!$AP$6:$AP$200,'Data Validation'!$U$5, 'Data entry'!$BD$6:$BD$200,"&lt;&gt;*Negative*"))</f>
        <v>0</v>
      </c>
      <c r="AY88" s="15">
        <f>SUM(COUNTIFS('Data entry'!$R$6:$R$200,'Summary Data'!$A88,'Data entry'!$B$6:$B$200,{"Confirmed";"Probable"},'Data entry'!$AQ$6:$AQ$200,'Data Validation'!$V$5, 'Data entry'!$AP$6:$AP$200,'Data Validation'!$U$6, 'Data entry'!$BD$6:$BD$200,"&lt;&gt;*Negative*"))</f>
        <v>0</v>
      </c>
      <c r="AZ88" s="15">
        <f>SUM(COUNTIFS('Data entry'!$R$6:$R$200,'Summary Data'!$A88,'Data entry'!$B$6:$B$200,{"Confirmed";"Probable"},'Data entry'!$AQ$6:$AQ$200,'Data Validation'!$V$6, 'Data entry'!$AP$6:$AP$200,'Data Validation'!$U$2, 'Data entry'!$BD$6:$BD$200,"&lt;&gt;*Negative*"))</f>
        <v>0</v>
      </c>
      <c r="BA88" s="15">
        <f>SUM(COUNTIFS('Data entry'!$R$6:$R$200,'Summary Data'!$A88,'Data entry'!$B$6:$B$200,{"Confirmed";"Probable"},'Data entry'!$AQ$6:$AQ$200,'Data Validation'!$V$6, 'Data entry'!$AP$6:$AP$200,'Data Validation'!$U$3, 'Data entry'!$BD$6:$BD$200,"&lt;&gt;*Negative*"))</f>
        <v>0</v>
      </c>
      <c r="BB88" s="15">
        <f>SUM(COUNTIFS('Data entry'!$R$6:$R$200,'Summary Data'!$A88,'Data entry'!$B$6:$B$200,{"Confirmed";"Probable"},'Data entry'!$AQ$6:$AQ$200,'Data Validation'!$V$6, 'Data entry'!$AP$6:$AP$200,'Data Validation'!$U$4, 'Data entry'!$BD$6:$BD$200,"&lt;&gt;*Negative*"))</f>
        <v>0</v>
      </c>
      <c r="BC88" s="15">
        <f>SUM(COUNTIFS('Data entry'!$R$6:$R$200,'Summary Data'!$A88,'Data entry'!$B$6:$B$200,{"Confirmed";"Probable"},'Data entry'!$AQ$6:$AQ$200,'Data Validation'!$V$6, 'Data entry'!$AP$6:$AP$200,'Data Validation'!$U$5, 'Data entry'!$BD$6:$BD$200,"&lt;&gt;*Negative*"))</f>
        <v>0</v>
      </c>
      <c r="BD88" s="15">
        <f>SUM(COUNTIFS('Data entry'!$R$6:$R$200,'Summary Data'!$A88,'Data entry'!$B$6:$B$200,{"Confirmed";"Probable"},'Data entry'!$AQ$6:$AQ$200,'Data Validation'!$V$6, 'Data entry'!$AP$6:$AP$200,'Data Validation'!$U$6, 'Data entry'!$BD$6:$BD$200,"&lt;&gt;*Negative*"))</f>
        <v>0</v>
      </c>
      <c r="BE88" s="15">
        <f>SUM(COUNTIFS('Data entry'!$R$6:$R$200,'Summary Data'!$A88,'Data entry'!$B$6:$B$200,{"Confirmed";"Probable"},'Data entry'!$AQ$6:$AQ$200,'Data Validation'!$V$7, 'Data entry'!$AP$6:$AP$200,'Data Validation'!$U$2, 'Data entry'!$BD$6:$BD$200,"&lt;&gt;*Negative*"))</f>
        <v>0</v>
      </c>
      <c r="BF88" s="15">
        <f>SUM(COUNTIFS('Data entry'!$R$6:$R$200,'Summary Data'!$A88,'Data entry'!$B$6:$B$200,{"Confirmed";"Probable"},'Data entry'!$AQ$6:$AQ$200,'Data Validation'!$V$7, 'Data entry'!$AP$6:$AP$200,'Data Validation'!$U$3, 'Data entry'!$BD$6:$BD$200,"&lt;&gt;*Negative*"))</f>
        <v>0</v>
      </c>
      <c r="BG88" s="15">
        <f>SUM(COUNTIFS('Data entry'!$R$6:$R$200,'Summary Data'!$A88,'Data entry'!$B$6:$B$200,{"Confirmed";"Probable"},'Data entry'!$AQ$6:$AQ$200,'Data Validation'!$V$7, 'Data entry'!$AP$6:$AP$200,'Data Validation'!$U$4, 'Data entry'!$BD$6:$BD$200,"&lt;&gt;*Negative*"))</f>
        <v>0</v>
      </c>
      <c r="BH88" s="15">
        <f>SUM(COUNTIFS('Data entry'!$R$6:$R$200,'Summary Data'!$A88,'Data entry'!$B$6:$B$200,{"Confirmed";"Probable"},'Data entry'!$AQ$6:$AQ$200,'Data Validation'!$V$7, 'Data entry'!$AP$6:$AP$200,'Data Validation'!$U$5, 'Data entry'!$BD$6:$BD$200,"&lt;&gt;*Negative*"))</f>
        <v>0</v>
      </c>
      <c r="BI88" s="15">
        <f>SUM(COUNTIFS('Data entry'!$R$6:$R$200,'Summary Data'!$A88,'Data entry'!$B$6:$B$200,{"Confirmed";"Probable"},'Data entry'!$AQ$6:$AQ$200,'Data Validation'!$V$7, 'Data entry'!$AP$6:$AP$200,'Data Validation'!$U$6, 'Data entry'!$BD$6:$BD$200,"&lt;&gt;*Negative*"))</f>
        <v>0</v>
      </c>
      <c r="BJ88" s="15">
        <f>SUM(COUNTIFS('Data entry'!$R$6:$R$200,'Summary Data'!$A88,'Data entry'!$B$6:$B$200,{"Confirmed";"Probable"},'Data entry'!$AQ$6:$AQ$200,'Data Validation'!$V$8, 'Data entry'!$AP$6:$AP$200,'Data Validation'!$U$2, 'Data entry'!$BD$6:$BD$200,"&lt;&gt;*Negative*"))</f>
        <v>0</v>
      </c>
      <c r="BK88" s="15">
        <f>SUM(COUNTIFS('Data entry'!$R$6:$R$200,'Summary Data'!$A88,'Data entry'!$B$6:$B$200,{"Confirmed";"Probable"},'Data entry'!$AQ$6:$AQ$200,'Data Validation'!$V$8, 'Data entry'!$AP$6:$AP$200,'Data Validation'!$U$3, 'Data entry'!$BD$6:$BD$200,"&lt;&gt;*Negative*"))</f>
        <v>0</v>
      </c>
      <c r="BL88" s="15">
        <f>SUM(COUNTIFS('Data entry'!$R$6:$R$200,'Summary Data'!$A88,'Data entry'!$B$6:$B$200,{"Confirmed";"Probable"},'Data entry'!$AQ$6:$AQ$200,'Data Validation'!$V$8, 'Data entry'!$AP$6:$AP$200,'Data Validation'!$U$4, 'Data entry'!$BD$6:$BD$200,"&lt;&gt;*Negative*"))</f>
        <v>0</v>
      </c>
      <c r="BM88" s="15">
        <f>SUM(COUNTIFS('Data entry'!$R$6:$R$200,'Summary Data'!$A88,'Data entry'!$B$6:$B$200,{"Confirmed";"Probable"},'Data entry'!$AQ$6:$AQ$200,'Data Validation'!$V$8, 'Data entry'!$AP$6:$AP$200,'Data Validation'!$U$5, 'Data entry'!$BD$6:$BD$200,"&lt;&gt;*Negative*"))</f>
        <v>0</v>
      </c>
      <c r="BN88" s="15">
        <f>SUM(COUNTIFS('Data entry'!$R$6:$R$200,'Summary Data'!$A88,'Data entry'!$B$6:$B$200,{"Confirmed";"Probable"},'Data entry'!$AQ$6:$AQ$200,'Data Validation'!$V$8, 'Data entry'!$AP$6:$AP$200,'Data Validation'!$U$6, 'Data entry'!$BD$6:$BD$200,"&lt;&gt;*Negative*"))</f>
        <v>0</v>
      </c>
      <c r="BO88" s="15">
        <f>SUM(COUNTIFS('Data entry'!$R$6:$R$200,'Summary Data'!$A88,'Data entry'!$B$6:$B$200,{"Confirmed";"Probable"},'Data entry'!$AQ$6:$AQ$200,'Data Validation'!$V$9, 'Data entry'!$AP$6:$AP$200,'Data Validation'!$U$2, 'Data entry'!$BD$6:$BD$200,"&lt;&gt;*Negative*"))</f>
        <v>0</v>
      </c>
      <c r="BP88" s="15">
        <f>SUM(COUNTIFS('Data entry'!$R$6:$R$200,'Summary Data'!$A88,'Data entry'!$B$6:$B$200,{"Confirmed";"Probable"},'Data entry'!$AQ$6:$AQ$200,'Data Validation'!$V$9, 'Data entry'!$AP$6:$AP$200,'Data Validation'!$U$3, 'Data entry'!$BD$6:$BD$200,"&lt;&gt;*Negative*"))</f>
        <v>0</v>
      </c>
      <c r="BQ88" s="15">
        <f>SUM(COUNTIFS('Data entry'!$R$6:$R$200,'Summary Data'!$A88,'Data entry'!$B$6:$B$200,{"Confirmed";"Probable"},'Data entry'!$AQ$6:$AQ$200,'Data Validation'!$V$9, 'Data entry'!$AP$6:$AP$200,'Data Validation'!$U$4, 'Data entry'!$BD$6:$BD$200,"&lt;&gt;*Negative*"))</f>
        <v>0</v>
      </c>
      <c r="BR88" s="15">
        <f>SUM(COUNTIFS('Data entry'!$R$6:$R$200,'Summary Data'!$A88,'Data entry'!$B$6:$B$200,{"Confirmed";"Probable"},'Data entry'!$AQ$6:$AQ$200,'Data Validation'!$V$9, 'Data entry'!$AP$6:$AP$200,'Data Validation'!$U$5, 'Data entry'!$BD$6:$BD$200,"&lt;&gt;*Negative*"))</f>
        <v>0</v>
      </c>
      <c r="BS88" s="15">
        <f>SUM(COUNTIFS('Data entry'!$R$6:$R$200,'Summary Data'!$A88,'Data entry'!$B$6:$B$200,{"Confirmed";"Probable"},'Data entry'!$AQ$6:$AQ$200,'Data Validation'!$V$9, 'Data entry'!$AP$6:$AP$200,'Data Validation'!$U$6, 'Data entry'!$BD$6:$BD$200,"&lt;&gt;*Negative*"))</f>
        <v>0</v>
      </c>
      <c r="BT88" s="15">
        <f>SUM(COUNTIFS('Data entry'!$R$6:$R$200,'Summary Data'!$A88,'Data entry'!$B$6:$B$200,{"Confirmed";"Probable"},'Data entry'!$AQ$6:$AQ$200,'Data Validation'!$V$10, 'Data entry'!$AP$6:$AP$200,'Data Validation'!$U$2, 'Data entry'!$BD$6:$BD$200,"&lt;&gt;*Negative*"))</f>
        <v>0</v>
      </c>
      <c r="BU88" s="15">
        <f>SUM(COUNTIFS('Data entry'!$R$6:$R$200,'Summary Data'!$A88,'Data entry'!$B$6:$B$200,{"Confirmed";"Probable"},'Data entry'!$AQ$6:$AQ$200,'Data Validation'!$V$10, 'Data entry'!$AP$6:$AP$200,'Data Validation'!$U$3, 'Data entry'!$BD$6:$BD$200,"&lt;&gt;*Negative*"))</f>
        <v>0</v>
      </c>
      <c r="BV88" s="15">
        <f>SUM(COUNTIFS('Data entry'!$R$6:$R$200,'Summary Data'!$A88,'Data entry'!$B$6:$B$200,{"Confirmed";"Probable"},'Data entry'!$AQ$6:$AQ$200,'Data Validation'!$V$10, 'Data entry'!$AP$6:$AP$200,'Data Validation'!$U$4, 'Data entry'!$BD$6:$BD$200,"&lt;&gt;*Negative*"))</f>
        <v>0</v>
      </c>
      <c r="BW88" s="15">
        <f>SUM(COUNTIFS('Data entry'!$R$6:$R$200,'Summary Data'!$A88,'Data entry'!$B$6:$B$200,{"Confirmed";"Probable"},'Data entry'!$AQ$6:$AQ$200,'Data Validation'!$V$10, 'Data entry'!$AP$6:$AP$200,'Data Validation'!$U$5, 'Data entry'!$BD$6:$BD$200,"&lt;&gt;*Negative*"))</f>
        <v>0</v>
      </c>
      <c r="BX88" s="15">
        <f>SUM(COUNTIFS('Data entry'!$R$6:$R$200,'Summary Data'!$A88,'Data entry'!$B$6:$B$200,{"Confirmed";"Probable"},'Data entry'!$AQ$6:$AQ$200,'Data Validation'!$V$10, 'Data entry'!$AP$6:$AP$200,'Data Validation'!$U$6, 'Data entry'!$BD$6:$BD$200,"&lt;&gt;*Negative*"))</f>
        <v>0</v>
      </c>
      <c r="BY88" s="15">
        <f>SUM(COUNTIFS('Data entry'!$R$6:$R$200,'Summary Data'!$A88,'Data entry'!$B$6:$B$200,{"Confirmed";"Probable"},'Data entry'!$AQ$6:$AQ$200,'Data Validation'!$V$11, 'Data entry'!$AP$6:$AP$200,'Data Validation'!$U$2, 'Data entry'!$BD$6:$BD$200,"&lt;&gt;*Negative*"))</f>
        <v>0</v>
      </c>
      <c r="BZ88" s="15">
        <f>SUM(COUNTIFS('Data entry'!$R$6:$R$200,'Summary Data'!$A88,'Data entry'!$B$6:$B$200,{"Confirmed";"Probable"},'Data entry'!$AQ$6:$AQ$200,'Data Validation'!$V$11, 'Data entry'!$AP$6:$AP$200,'Data Validation'!$U$3, 'Data entry'!$BD$6:$BD$200,"&lt;&gt;*Negative*"))</f>
        <v>0</v>
      </c>
      <c r="CA88" s="15">
        <f>SUM(COUNTIFS('Data entry'!$R$6:$R$200,'Summary Data'!$A88,'Data entry'!$B$6:$B$200,{"Confirmed";"Probable"},'Data entry'!$AQ$6:$AQ$200,'Data Validation'!$V$11, 'Data entry'!$AP$6:$AP$200,'Data Validation'!$U$4, 'Data entry'!$BD$6:$BD$200,"&lt;&gt;*Negative*"))</f>
        <v>0</v>
      </c>
      <c r="CB88" s="15">
        <f>SUM(COUNTIFS('Data entry'!$R$6:$R$200,'Summary Data'!$A88,'Data entry'!$B$6:$B$200,{"Confirmed";"Probable"},'Data entry'!$AQ$6:$AQ$200,'Data Validation'!$V$11, 'Data entry'!$AP$6:$AP$200,'Data Validation'!$U$5, 'Data entry'!$BD$6:$BD$200,"&lt;&gt;*Negative*"))</f>
        <v>0</v>
      </c>
      <c r="CC88" s="15">
        <f>SUM(COUNTIFS('Data entry'!$R$6:$R$200,'Summary Data'!$A88,'Data entry'!$B$6:$B$200,{"Confirmed";"Probable"},'Data entry'!$AQ$6:$AQ$200,'Data Validation'!$V$11, 'Data entry'!$AP$6:$AP$200,'Data Validation'!$U$6, 'Data entry'!$BD$6:$BD$200,"&lt;&gt;*Negative*"))</f>
        <v>0</v>
      </c>
    </row>
    <row r="89" spans="1:81" x14ac:dyDescent="0.25">
      <c r="A89" s="12">
        <f t="shared" si="9"/>
        <v>77</v>
      </c>
      <c r="B89" s="13">
        <f t="shared" si="6"/>
        <v>0</v>
      </c>
      <c r="C89" s="13">
        <f>COUNTIFS('Data entry'!$R$6:$R$200,$A89,'Data entry'!$B$6:$B$200,"Confirmed",'Data entry'!$BD$6:$BD$200,"&lt;&gt;*Negative*")</f>
        <v>0</v>
      </c>
      <c r="D89" s="13">
        <f>COUNTIFS('Data entry'!$R$6:$R$200,$A89,'Data entry'!$B$6:$B$200,"Probable",'Data entry'!$BD$6:$BD$200,"&lt;&gt;*Negative*")</f>
        <v>0</v>
      </c>
      <c r="E89" s="13">
        <f>COUNTIFS('Data entry'!$R$6:$R$200,$A89,'Data entry'!$B$6:$B$200,"DNM")</f>
        <v>0</v>
      </c>
      <c r="F89" s="13">
        <f>SUM(COUNTIFS('Data entry'!$R$6:$R$200,'Summary Data'!$A89,'Data entry'!$B$6:$B$200,{"Confirmed";"Probable"},'Data entry'!$AO$6:$AO$200,$F$10, 'Data entry'!$BD$6:$BD$200,"&lt;&gt;*Negative*"))</f>
        <v>0</v>
      </c>
      <c r="G89" s="13">
        <f>SUM(COUNTIFS('Data entry'!$R$6:$R$200,'Summary Data'!$A89,'Data entry'!$B$6:$B$200,{"Confirmed";"Probable"},'Data entry'!$AO$6:$AO$200,$G$10, 'Data entry'!$BD$6:$BD$200,"&lt;&gt;*Negative*"))</f>
        <v>0</v>
      </c>
      <c r="H89" s="13">
        <f>SUM(COUNTIFS('Data entry'!$R$6:$R$200,'Summary Data'!$A89,'Data entry'!$B$6:$B$200,{"Confirmed";"Probable"},'Data entry'!$AO$6:$AO$200,$H$10, 'Data entry'!$BD$6:$BD$200,"&lt;&gt;*Negative*"))</f>
        <v>0</v>
      </c>
      <c r="I89" s="13">
        <f>SUM(COUNTIFS('Data entry'!$R$6:$R$200,'Summary Data'!$A89,'Data entry'!$B$6:$B$200,{"Confirmed";"Probable"},'Data entry'!$AO$6:$AO$200,$I$10, 'Data entry'!$BD$6:$BD$200,"&lt;&gt;*Negative*"))</f>
        <v>0</v>
      </c>
      <c r="J89" s="13">
        <f>SUM(COUNTIFS('Data entry'!$R$6:$R$200,'Summary Data'!$A89,'Data entry'!$B$6:$B$200,{"Confirmed";"Probable"},'Data entry'!$AO$6:$AO$200,$J$10, 'Data entry'!$BD$6:$BD$200,"&lt;&gt;*Negative*"))</f>
        <v>0</v>
      </c>
      <c r="K89" s="13">
        <f>SUM(COUNTIFS('Data entry'!$R$6:$R$200,'Summary Data'!$A89,'Data entry'!$B$6:$B$200,{"Confirmed";"Probable"},'Data entry'!$AO$6:$AO$200,$K$10, 'Data entry'!$BD$6:$BD$200,"&lt;&gt;*Negative*"))</f>
        <v>0</v>
      </c>
      <c r="L89" s="13">
        <f>SUM(COUNTIFS('Data entry'!$R$6:$R$200,'Summary Data'!$A89,'Data entry'!$B$6:$B$200,{"Confirmed";"Probable"},'Data entry'!$AO$6:$AO$200,$L$10, 'Data entry'!$BD$6:$BD$200,"&lt;&gt;*Negative*"))</f>
        <v>0</v>
      </c>
      <c r="M89" s="13">
        <f>SUM(COUNTIFS('Data entry'!$R$6:$R$200,'Summary Data'!$A89,'Data entry'!$B$6:$B$200,{"Confirmed";"Probable"},'Data entry'!$AO$6:$AO$200,$M$10, 'Data entry'!$BD$6:$BD$200,"&lt;&gt;*Negative*"))</f>
        <v>0</v>
      </c>
      <c r="N89" s="13">
        <f>SUM(COUNTIFS('Data entry'!$R$6:$R$200,'Summary Data'!$A89,'Data entry'!$B$6:$B$200,{"Confirmed";"Probable"},'Data entry'!$AO$6:$AO$200,$N$10, 'Data entry'!$BD$6:$BD$200,"&lt;&gt;*Negative*"))</f>
        <v>0</v>
      </c>
      <c r="O89" s="15">
        <f t="shared" si="7"/>
        <v>0</v>
      </c>
      <c r="P89" s="15">
        <f t="shared" si="8"/>
        <v>0</v>
      </c>
      <c r="Q89" s="15">
        <f>SUM(COUNTIFS('Data entry'!$R$6:$R$200,'Summary Data'!$A89,'Data entry'!$B$6:$B$200,{"Confirmed";"Probable"},'Data entry'!$AP$6:$AP$200,'Data Validation'!$U$2, 'Data entry'!$BD$6:$BD$200,"&lt;&gt;*Negative*"))</f>
        <v>0</v>
      </c>
      <c r="R89" s="15">
        <f>SUM(COUNTIFS('Data entry'!$R$6:$R$200,'Summary Data'!$A89,'Data entry'!$B$6:$B$200,{"Confirmed";"Probable"},'Data entry'!$AP$6:$AP$200,'Data Validation'!$U$3, 'Data entry'!$BD$6:$BD$200,"&lt;&gt;*Negative*"))</f>
        <v>0</v>
      </c>
      <c r="S89" s="15">
        <f>SUM(COUNTIFS('Data entry'!$R$6:$R$200,'Summary Data'!$A89,'Data entry'!$B$6:$B$200,{"Confirmed";"Probable"},'Data entry'!$AP$6:$AP$200,'Data Validation'!$U$4, 'Data entry'!$BD$6:$BD$200,"&lt;&gt;*Negative*"))</f>
        <v>0</v>
      </c>
      <c r="T89" s="15">
        <f>SUM(COUNTIFS('Data entry'!$R$6:$R$200,'Summary Data'!$A89,'Data entry'!$B$6:$B$200,{"Confirmed";"Probable"},'Data entry'!$AP$6:$AP$200,'Data Validation'!$U$5, 'Data entry'!$BD$6:$BD$200,"&lt;&gt;*Negative*"))</f>
        <v>0</v>
      </c>
      <c r="U89" s="15">
        <f>SUM(COUNTIFS('Data entry'!$R$6:$R$200,'Summary Data'!$A89,'Data entry'!$B$6:$B$200,{"Confirmed";"Probable"},'Data entry'!$AP$6:$AP$200,'Data Validation'!$U$6, 'Data entry'!$BD$6:$BD$200,"&lt;&gt;*Negative*"))</f>
        <v>0</v>
      </c>
      <c r="V89" s="15">
        <f>SUM(COUNTIFS('Data entry'!$R$6:$R$200,'Summary Data'!$A89,'Data entry'!$B$6:$B$200,{"Confirmed";"Probable"},'Data entry'!$AQ$6:$AQ$200,'Data Validation'!$V$2, 'Data entry'!$BD$6:$BD$200,"&lt;&gt;*Negative*"))</f>
        <v>0</v>
      </c>
      <c r="W89" s="15">
        <f>SUM(COUNTIFS('Data entry'!$R$6:$R$200,'Summary Data'!$A89,'Data entry'!$B$6:$B$200,{"Confirmed";"Probable"},'Data entry'!$AQ$6:$AQ$200,'Data Validation'!$V$3, 'Data entry'!$BD$6:$BD$200,"&lt;&gt;*Negative*"))</f>
        <v>0</v>
      </c>
      <c r="X89" s="15">
        <f>SUM(COUNTIFS('Data entry'!$R$6:$R$200,'Summary Data'!$A89,'Data entry'!$B$6:$B$200,{"Confirmed";"Probable"},'Data entry'!$AQ$6:$AQ$200,'Data Validation'!$V$4, 'Data entry'!$BD$6:$BD$200,"&lt;&gt;*Negative*"))</f>
        <v>0</v>
      </c>
      <c r="Y89" s="15">
        <f>SUM(COUNTIFS('Data entry'!$R$6:$R$200,'Summary Data'!$A89,'Data entry'!$B$6:$B$200,{"Confirmed";"Probable"},'Data entry'!$AQ$6:$AQ$200,'Data Validation'!$V$5, 'Data entry'!$BD$6:$BD$200,"&lt;&gt;*Negative*"))</f>
        <v>0</v>
      </c>
      <c r="Z89" s="15">
        <f>SUM(COUNTIFS('Data entry'!$R$6:$R$200,'Summary Data'!$A89,'Data entry'!$B$6:$B$200,{"Confirmed";"Probable"},'Data entry'!$AQ$6:$AQ$200,'Data Validation'!$V$6, 'Data entry'!$BD$6:$BD$200,"&lt;&gt;*Negative*"))</f>
        <v>0</v>
      </c>
      <c r="AA89" s="15">
        <f>SUM(COUNTIFS('Data entry'!$R$6:$R$200,'Summary Data'!$A89,'Data entry'!$B$6:$B$200,{"Confirmed";"Probable"},'Data entry'!$AQ$6:$AQ$200,'Data Validation'!$V$7, 'Data entry'!$BD$6:$BD$200,"&lt;&gt;*Negative*"))</f>
        <v>0</v>
      </c>
      <c r="AB89" s="15">
        <f>SUM(COUNTIFS('Data entry'!$R$6:$R$200,'Summary Data'!$A89,'Data entry'!$B$6:$B$200,{"Confirmed";"Probable"},'Data entry'!$AQ$6:$AQ$200,'Data Validation'!$V$8, 'Data entry'!$BD$6:$BD$200,"&lt;&gt;*Negative*"))</f>
        <v>0</v>
      </c>
      <c r="AC89" s="15">
        <f>SUM(COUNTIFS('Data entry'!$R$6:$R$200,'Summary Data'!$A89,'Data entry'!$B$6:$B$200,{"Confirmed";"Probable"},'Data entry'!$AQ$6:$AQ$200,'Data Validation'!$V$9, 'Data entry'!$BD$6:$BD$200,"&lt;&gt;*Negative*"))</f>
        <v>0</v>
      </c>
      <c r="AD89" s="15">
        <f>SUM(COUNTIFS('Data entry'!$R$6:$R$200,'Summary Data'!$A89,'Data entry'!$B$6:$B$200,{"Confirmed";"Probable"},'Data entry'!$AQ$6:$AQ$200,'Data Validation'!$V$10, 'Data entry'!$BD$6:$BD$200,"&lt;&gt;*Negative*"))</f>
        <v>0</v>
      </c>
      <c r="AE89" s="15">
        <f>SUM(COUNTIFS('Data entry'!$R$6:$R$200,'Summary Data'!$A89,'Data entry'!$B$6:$B$200,{"Confirmed";"Probable"},'Data entry'!$AQ$6:$AQ$200,'Data Validation'!$V$11, 'Data entry'!$BD$6:$BD$200,"&lt;&gt;*Negative*"))</f>
        <v>0</v>
      </c>
      <c r="AF89" s="15">
        <f>SUM(COUNTIFS('Data entry'!$R$6:$R$200,'Summary Data'!$A89,'Data entry'!$B$6:$B$200,{"Confirmed";"Probable"},'Data entry'!$AQ$6:$AQ$200,'Data Validation'!$V$2, 'Data entry'!$AP$6:$AP$200,'Data Validation'!$U$2, 'Data entry'!$BD$6:$BD$200,"&lt;&gt;*Negative*"))</f>
        <v>0</v>
      </c>
      <c r="AG89" s="15">
        <f>SUM(COUNTIFS('Data entry'!$R$6:$R$200,'Summary Data'!$A89,'Data entry'!$B$6:$B$200,{"Confirmed";"Probable"},'Data entry'!$AQ$6:$AQ$200,'Data Validation'!$V$2, 'Data entry'!$AP$6:$AP$200,'Data Validation'!$U$3, 'Data entry'!$BD$6:$BD$200,"&lt;&gt;*Negative*"))</f>
        <v>0</v>
      </c>
      <c r="AH89" s="15">
        <f>SUM(COUNTIFS('Data entry'!$R$6:$R$200,'Summary Data'!$A89,'Data entry'!$B$6:$B$200,{"Confirmed";"Probable"},'Data entry'!$AQ$6:$AQ$200,'Data Validation'!$V$2, 'Data entry'!$AP$6:$AP$200,'Data Validation'!$U$4, 'Data entry'!$BD$6:$BD$200,"&lt;&gt;*Negative*"))</f>
        <v>0</v>
      </c>
      <c r="AI89" s="15">
        <f>SUM(COUNTIFS('Data entry'!$R$6:$R$200,'Summary Data'!$A89,'Data entry'!$B$6:$B$200,{"Confirmed";"Probable"},'Data entry'!$AQ$6:$AQ$200,'Data Validation'!$V$2, 'Data entry'!$AP$6:$AP$200,'Data Validation'!$U$5, 'Data entry'!$BD$6:$BD$200,"&lt;&gt;*Negative*"))</f>
        <v>0</v>
      </c>
      <c r="AJ89" s="15">
        <f>SUM(COUNTIFS('Data entry'!$R$6:$R$200,'Summary Data'!$A89,'Data entry'!$B$6:$B$200,{"Confirmed";"Probable"},'Data entry'!$AQ$6:$AQ$200,'Data Validation'!$V$2, 'Data entry'!$AP$6:$AP$200,'Data Validation'!$U$6, 'Data entry'!$BD$6:$BD$200,"&lt;&gt;*Negative*"))</f>
        <v>0</v>
      </c>
      <c r="AK89" s="15">
        <f>SUM(COUNTIFS('Data entry'!$R$6:$R$200,'Summary Data'!$A89,'Data entry'!$B$6:$B$200,{"Confirmed";"Probable"},'Data entry'!$AQ$6:$AQ$200,'Data Validation'!$V$3, 'Data entry'!$AP$6:$AP$200,'Data Validation'!$U$2, 'Data entry'!$BD$6:$BD$200,"&lt;&gt;*Negative*"))</f>
        <v>0</v>
      </c>
      <c r="AL89" s="15">
        <f>SUM(COUNTIFS('Data entry'!$R$6:$R$200,'Summary Data'!$A89,'Data entry'!$B$6:$B$200,{"Confirmed";"Probable"},'Data entry'!$AQ$6:$AQ$200,'Data Validation'!$V$3, 'Data entry'!$AP$6:$AP$200,'Data Validation'!$U$3, 'Data entry'!$BD$6:$BD$200,"&lt;&gt;*Negative*"))</f>
        <v>0</v>
      </c>
      <c r="AM89" s="15">
        <f>SUM(COUNTIFS('Data entry'!$R$6:$R$200,'Summary Data'!$A89,'Data entry'!$B$6:$B$200,{"Confirmed";"Probable"},'Data entry'!$AQ$6:$AQ$200,'Data Validation'!$V$3, 'Data entry'!$AP$6:$AP$200,'Data Validation'!$U$4, 'Data entry'!$BD$6:$BD$200,"&lt;&gt;*Negative*"))</f>
        <v>0</v>
      </c>
      <c r="AN89" s="15">
        <f>SUM(COUNTIFS('Data entry'!$R$6:$R$200,'Summary Data'!$A89,'Data entry'!$B$6:$B$200,{"Confirmed";"Probable"},'Data entry'!$AQ$6:$AQ$200,'Data Validation'!$V$3, 'Data entry'!$AP$6:$AP$200,'Data Validation'!$U$5, 'Data entry'!$BD$6:$BD$200,"&lt;&gt;*Negative*"))</f>
        <v>0</v>
      </c>
      <c r="AO89" s="15">
        <f>SUM(COUNTIFS('Data entry'!$R$6:$R$200,'Summary Data'!$A89,'Data entry'!$B$6:$B$200,{"Confirmed";"Probable"},'Data entry'!$AQ$6:$AQ$200,'Data Validation'!$V$3, 'Data entry'!$AP$6:$AP$200,'Data Validation'!$U$6, 'Data entry'!$BD$6:$BD$200,"&lt;&gt;*Negative*"))</f>
        <v>0</v>
      </c>
      <c r="AP89" s="15">
        <f>SUM(COUNTIFS('Data entry'!$R$6:$R$200,'Summary Data'!$A89,'Data entry'!$B$6:$B$200,{"Confirmed";"Probable"},'Data entry'!$AQ$6:$AQ$200,'Data Validation'!$V$4, 'Data entry'!$AP$6:$AP$200,'Data Validation'!$U$2, 'Data entry'!$BD$6:$BD$200,"&lt;&gt;*Negative*"))</f>
        <v>0</v>
      </c>
      <c r="AQ89" s="15">
        <f>SUM(COUNTIFS('Data entry'!$R$6:$R$200,'Summary Data'!$A89,'Data entry'!$B$6:$B$200,{"Confirmed";"Probable"},'Data entry'!$AQ$6:$AQ$200,'Data Validation'!$V$4, 'Data entry'!$AP$6:$AP$200,'Data Validation'!$U$3, 'Data entry'!$BD$6:$BD$200,"&lt;&gt;*Negative*"))</f>
        <v>0</v>
      </c>
      <c r="AR89" s="15">
        <f>SUM(COUNTIFS('Data entry'!$R$6:$R$200,'Summary Data'!$A89,'Data entry'!$B$6:$B$200,{"Confirmed";"Probable"},'Data entry'!$AQ$6:$AQ$200,'Data Validation'!$V$4, 'Data entry'!$AP$6:$AP$200,'Data Validation'!$U$4, 'Data entry'!$BD$6:$BD$200,"&lt;&gt;*Negative*"))</f>
        <v>0</v>
      </c>
      <c r="AS89" s="15">
        <f>SUM(COUNTIFS('Data entry'!$R$6:$R$200,'Summary Data'!$A89,'Data entry'!$B$6:$B$200,{"Confirmed";"Probable"},'Data entry'!$AQ$6:$AQ$200,'Data Validation'!$V$4, 'Data entry'!$AP$6:$AP$200,'Data Validation'!$U$5, 'Data entry'!$BD$6:$BD$200,"&lt;&gt;*Negative*"))</f>
        <v>0</v>
      </c>
      <c r="AT89" s="15">
        <f>SUM(COUNTIFS('Data entry'!$R$6:$R$200,'Summary Data'!$A89,'Data entry'!$B$6:$B$200,{"Confirmed";"Probable"},'Data entry'!$AQ$6:$AQ$200,'Data Validation'!$V$4, 'Data entry'!$AP$6:$AP$200,'Data Validation'!$U$6, 'Data entry'!$BD$6:$BD$200,"&lt;&gt;*Negative*"))</f>
        <v>0</v>
      </c>
      <c r="AU89" s="15">
        <f>SUM(COUNTIFS('Data entry'!$R$6:$R$200,'Summary Data'!$A89,'Data entry'!$B$6:$B$200,{"Confirmed";"Probable"},'Data entry'!$AQ$6:$AQ$200,'Data Validation'!$V$5, 'Data entry'!$AP$6:$AP$200,'Data Validation'!$U$2, 'Data entry'!$BD$6:$BD$200,"&lt;&gt;*Negative*"))</f>
        <v>0</v>
      </c>
      <c r="AV89" s="15">
        <f>SUM(COUNTIFS('Data entry'!$R$6:$R$200,'Summary Data'!$A89,'Data entry'!$B$6:$B$200,{"Confirmed";"Probable"},'Data entry'!$AQ$6:$AQ$200,'Data Validation'!$V$5, 'Data entry'!$AP$6:$AP$200,'Data Validation'!$U$3, 'Data entry'!$BD$6:$BD$200,"&lt;&gt;*Negative*"))</f>
        <v>0</v>
      </c>
      <c r="AW89" s="15">
        <f>SUM(COUNTIFS('Data entry'!$R$6:$R$200,'Summary Data'!$A89,'Data entry'!$B$6:$B$200,{"Confirmed";"Probable"},'Data entry'!$AQ$6:$AQ$200,'Data Validation'!$V$5, 'Data entry'!$AP$6:$AP$200,'Data Validation'!$U$4, 'Data entry'!$BD$6:$BD$200,"&lt;&gt;*Negative*"))</f>
        <v>0</v>
      </c>
      <c r="AX89" s="15">
        <f>SUM(COUNTIFS('Data entry'!$R$6:$R$200,'Summary Data'!$A89,'Data entry'!$B$6:$B$200,{"Confirmed";"Probable"},'Data entry'!$AQ$6:$AQ$200,'Data Validation'!$V$5, 'Data entry'!$AP$6:$AP$200,'Data Validation'!$U$5, 'Data entry'!$BD$6:$BD$200,"&lt;&gt;*Negative*"))</f>
        <v>0</v>
      </c>
      <c r="AY89" s="15">
        <f>SUM(COUNTIFS('Data entry'!$R$6:$R$200,'Summary Data'!$A89,'Data entry'!$B$6:$B$200,{"Confirmed";"Probable"},'Data entry'!$AQ$6:$AQ$200,'Data Validation'!$V$5, 'Data entry'!$AP$6:$AP$200,'Data Validation'!$U$6, 'Data entry'!$BD$6:$BD$200,"&lt;&gt;*Negative*"))</f>
        <v>0</v>
      </c>
      <c r="AZ89" s="15">
        <f>SUM(COUNTIFS('Data entry'!$R$6:$R$200,'Summary Data'!$A89,'Data entry'!$B$6:$B$200,{"Confirmed";"Probable"},'Data entry'!$AQ$6:$AQ$200,'Data Validation'!$V$6, 'Data entry'!$AP$6:$AP$200,'Data Validation'!$U$2, 'Data entry'!$BD$6:$BD$200,"&lt;&gt;*Negative*"))</f>
        <v>0</v>
      </c>
      <c r="BA89" s="15">
        <f>SUM(COUNTIFS('Data entry'!$R$6:$R$200,'Summary Data'!$A89,'Data entry'!$B$6:$B$200,{"Confirmed";"Probable"},'Data entry'!$AQ$6:$AQ$200,'Data Validation'!$V$6, 'Data entry'!$AP$6:$AP$200,'Data Validation'!$U$3, 'Data entry'!$BD$6:$BD$200,"&lt;&gt;*Negative*"))</f>
        <v>0</v>
      </c>
      <c r="BB89" s="15">
        <f>SUM(COUNTIFS('Data entry'!$R$6:$R$200,'Summary Data'!$A89,'Data entry'!$B$6:$B$200,{"Confirmed";"Probable"},'Data entry'!$AQ$6:$AQ$200,'Data Validation'!$V$6, 'Data entry'!$AP$6:$AP$200,'Data Validation'!$U$4, 'Data entry'!$BD$6:$BD$200,"&lt;&gt;*Negative*"))</f>
        <v>0</v>
      </c>
      <c r="BC89" s="15">
        <f>SUM(COUNTIFS('Data entry'!$R$6:$R$200,'Summary Data'!$A89,'Data entry'!$B$6:$B$200,{"Confirmed";"Probable"},'Data entry'!$AQ$6:$AQ$200,'Data Validation'!$V$6, 'Data entry'!$AP$6:$AP$200,'Data Validation'!$U$5, 'Data entry'!$BD$6:$BD$200,"&lt;&gt;*Negative*"))</f>
        <v>0</v>
      </c>
      <c r="BD89" s="15">
        <f>SUM(COUNTIFS('Data entry'!$R$6:$R$200,'Summary Data'!$A89,'Data entry'!$B$6:$B$200,{"Confirmed";"Probable"},'Data entry'!$AQ$6:$AQ$200,'Data Validation'!$V$6, 'Data entry'!$AP$6:$AP$200,'Data Validation'!$U$6, 'Data entry'!$BD$6:$BD$200,"&lt;&gt;*Negative*"))</f>
        <v>0</v>
      </c>
      <c r="BE89" s="15">
        <f>SUM(COUNTIFS('Data entry'!$R$6:$R$200,'Summary Data'!$A89,'Data entry'!$B$6:$B$200,{"Confirmed";"Probable"},'Data entry'!$AQ$6:$AQ$200,'Data Validation'!$V$7, 'Data entry'!$AP$6:$AP$200,'Data Validation'!$U$2, 'Data entry'!$BD$6:$BD$200,"&lt;&gt;*Negative*"))</f>
        <v>0</v>
      </c>
      <c r="BF89" s="15">
        <f>SUM(COUNTIFS('Data entry'!$R$6:$R$200,'Summary Data'!$A89,'Data entry'!$B$6:$B$200,{"Confirmed";"Probable"},'Data entry'!$AQ$6:$AQ$200,'Data Validation'!$V$7, 'Data entry'!$AP$6:$AP$200,'Data Validation'!$U$3, 'Data entry'!$BD$6:$BD$200,"&lt;&gt;*Negative*"))</f>
        <v>0</v>
      </c>
      <c r="BG89" s="15">
        <f>SUM(COUNTIFS('Data entry'!$R$6:$R$200,'Summary Data'!$A89,'Data entry'!$B$6:$B$200,{"Confirmed";"Probable"},'Data entry'!$AQ$6:$AQ$200,'Data Validation'!$V$7, 'Data entry'!$AP$6:$AP$200,'Data Validation'!$U$4, 'Data entry'!$BD$6:$BD$200,"&lt;&gt;*Negative*"))</f>
        <v>0</v>
      </c>
      <c r="BH89" s="15">
        <f>SUM(COUNTIFS('Data entry'!$R$6:$R$200,'Summary Data'!$A89,'Data entry'!$B$6:$B$200,{"Confirmed";"Probable"},'Data entry'!$AQ$6:$AQ$200,'Data Validation'!$V$7, 'Data entry'!$AP$6:$AP$200,'Data Validation'!$U$5, 'Data entry'!$BD$6:$BD$200,"&lt;&gt;*Negative*"))</f>
        <v>0</v>
      </c>
      <c r="BI89" s="15">
        <f>SUM(COUNTIFS('Data entry'!$R$6:$R$200,'Summary Data'!$A89,'Data entry'!$B$6:$B$200,{"Confirmed";"Probable"},'Data entry'!$AQ$6:$AQ$200,'Data Validation'!$V$7, 'Data entry'!$AP$6:$AP$200,'Data Validation'!$U$6, 'Data entry'!$BD$6:$BD$200,"&lt;&gt;*Negative*"))</f>
        <v>0</v>
      </c>
      <c r="BJ89" s="15">
        <f>SUM(COUNTIFS('Data entry'!$R$6:$R$200,'Summary Data'!$A89,'Data entry'!$B$6:$B$200,{"Confirmed";"Probable"},'Data entry'!$AQ$6:$AQ$200,'Data Validation'!$V$8, 'Data entry'!$AP$6:$AP$200,'Data Validation'!$U$2, 'Data entry'!$BD$6:$BD$200,"&lt;&gt;*Negative*"))</f>
        <v>0</v>
      </c>
      <c r="BK89" s="15">
        <f>SUM(COUNTIFS('Data entry'!$R$6:$R$200,'Summary Data'!$A89,'Data entry'!$B$6:$B$200,{"Confirmed";"Probable"},'Data entry'!$AQ$6:$AQ$200,'Data Validation'!$V$8, 'Data entry'!$AP$6:$AP$200,'Data Validation'!$U$3, 'Data entry'!$BD$6:$BD$200,"&lt;&gt;*Negative*"))</f>
        <v>0</v>
      </c>
      <c r="BL89" s="15">
        <f>SUM(COUNTIFS('Data entry'!$R$6:$R$200,'Summary Data'!$A89,'Data entry'!$B$6:$B$200,{"Confirmed";"Probable"},'Data entry'!$AQ$6:$AQ$200,'Data Validation'!$V$8, 'Data entry'!$AP$6:$AP$200,'Data Validation'!$U$4, 'Data entry'!$BD$6:$BD$200,"&lt;&gt;*Negative*"))</f>
        <v>0</v>
      </c>
      <c r="BM89" s="15">
        <f>SUM(COUNTIFS('Data entry'!$R$6:$R$200,'Summary Data'!$A89,'Data entry'!$B$6:$B$200,{"Confirmed";"Probable"},'Data entry'!$AQ$6:$AQ$200,'Data Validation'!$V$8, 'Data entry'!$AP$6:$AP$200,'Data Validation'!$U$5, 'Data entry'!$BD$6:$BD$200,"&lt;&gt;*Negative*"))</f>
        <v>0</v>
      </c>
      <c r="BN89" s="15">
        <f>SUM(COUNTIFS('Data entry'!$R$6:$R$200,'Summary Data'!$A89,'Data entry'!$B$6:$B$200,{"Confirmed";"Probable"},'Data entry'!$AQ$6:$AQ$200,'Data Validation'!$V$8, 'Data entry'!$AP$6:$AP$200,'Data Validation'!$U$6, 'Data entry'!$BD$6:$BD$200,"&lt;&gt;*Negative*"))</f>
        <v>0</v>
      </c>
      <c r="BO89" s="15">
        <f>SUM(COUNTIFS('Data entry'!$R$6:$R$200,'Summary Data'!$A89,'Data entry'!$B$6:$B$200,{"Confirmed";"Probable"},'Data entry'!$AQ$6:$AQ$200,'Data Validation'!$V$9, 'Data entry'!$AP$6:$AP$200,'Data Validation'!$U$2, 'Data entry'!$BD$6:$BD$200,"&lt;&gt;*Negative*"))</f>
        <v>0</v>
      </c>
      <c r="BP89" s="15">
        <f>SUM(COUNTIFS('Data entry'!$R$6:$R$200,'Summary Data'!$A89,'Data entry'!$B$6:$B$200,{"Confirmed";"Probable"},'Data entry'!$AQ$6:$AQ$200,'Data Validation'!$V$9, 'Data entry'!$AP$6:$AP$200,'Data Validation'!$U$3, 'Data entry'!$BD$6:$BD$200,"&lt;&gt;*Negative*"))</f>
        <v>0</v>
      </c>
      <c r="BQ89" s="15">
        <f>SUM(COUNTIFS('Data entry'!$R$6:$R$200,'Summary Data'!$A89,'Data entry'!$B$6:$B$200,{"Confirmed";"Probable"},'Data entry'!$AQ$6:$AQ$200,'Data Validation'!$V$9, 'Data entry'!$AP$6:$AP$200,'Data Validation'!$U$4, 'Data entry'!$BD$6:$BD$200,"&lt;&gt;*Negative*"))</f>
        <v>0</v>
      </c>
      <c r="BR89" s="15">
        <f>SUM(COUNTIFS('Data entry'!$R$6:$R$200,'Summary Data'!$A89,'Data entry'!$B$6:$B$200,{"Confirmed";"Probable"},'Data entry'!$AQ$6:$AQ$200,'Data Validation'!$V$9, 'Data entry'!$AP$6:$AP$200,'Data Validation'!$U$5, 'Data entry'!$BD$6:$BD$200,"&lt;&gt;*Negative*"))</f>
        <v>0</v>
      </c>
      <c r="BS89" s="15">
        <f>SUM(COUNTIFS('Data entry'!$R$6:$R$200,'Summary Data'!$A89,'Data entry'!$B$6:$B$200,{"Confirmed";"Probable"},'Data entry'!$AQ$6:$AQ$200,'Data Validation'!$V$9, 'Data entry'!$AP$6:$AP$200,'Data Validation'!$U$6, 'Data entry'!$BD$6:$BD$200,"&lt;&gt;*Negative*"))</f>
        <v>0</v>
      </c>
      <c r="BT89" s="15">
        <f>SUM(COUNTIFS('Data entry'!$R$6:$R$200,'Summary Data'!$A89,'Data entry'!$B$6:$B$200,{"Confirmed";"Probable"},'Data entry'!$AQ$6:$AQ$200,'Data Validation'!$V$10, 'Data entry'!$AP$6:$AP$200,'Data Validation'!$U$2, 'Data entry'!$BD$6:$BD$200,"&lt;&gt;*Negative*"))</f>
        <v>0</v>
      </c>
      <c r="BU89" s="15">
        <f>SUM(COUNTIFS('Data entry'!$R$6:$R$200,'Summary Data'!$A89,'Data entry'!$B$6:$B$200,{"Confirmed";"Probable"},'Data entry'!$AQ$6:$AQ$200,'Data Validation'!$V$10, 'Data entry'!$AP$6:$AP$200,'Data Validation'!$U$3, 'Data entry'!$BD$6:$BD$200,"&lt;&gt;*Negative*"))</f>
        <v>0</v>
      </c>
      <c r="BV89" s="15">
        <f>SUM(COUNTIFS('Data entry'!$R$6:$R$200,'Summary Data'!$A89,'Data entry'!$B$6:$B$200,{"Confirmed";"Probable"},'Data entry'!$AQ$6:$AQ$200,'Data Validation'!$V$10, 'Data entry'!$AP$6:$AP$200,'Data Validation'!$U$4, 'Data entry'!$BD$6:$BD$200,"&lt;&gt;*Negative*"))</f>
        <v>0</v>
      </c>
      <c r="BW89" s="15">
        <f>SUM(COUNTIFS('Data entry'!$R$6:$R$200,'Summary Data'!$A89,'Data entry'!$B$6:$B$200,{"Confirmed";"Probable"},'Data entry'!$AQ$6:$AQ$200,'Data Validation'!$V$10, 'Data entry'!$AP$6:$AP$200,'Data Validation'!$U$5, 'Data entry'!$BD$6:$BD$200,"&lt;&gt;*Negative*"))</f>
        <v>0</v>
      </c>
      <c r="BX89" s="15">
        <f>SUM(COUNTIFS('Data entry'!$R$6:$R$200,'Summary Data'!$A89,'Data entry'!$B$6:$B$200,{"Confirmed";"Probable"},'Data entry'!$AQ$6:$AQ$200,'Data Validation'!$V$10, 'Data entry'!$AP$6:$AP$200,'Data Validation'!$U$6, 'Data entry'!$BD$6:$BD$200,"&lt;&gt;*Negative*"))</f>
        <v>0</v>
      </c>
      <c r="BY89" s="15">
        <f>SUM(COUNTIFS('Data entry'!$R$6:$R$200,'Summary Data'!$A89,'Data entry'!$B$6:$B$200,{"Confirmed";"Probable"},'Data entry'!$AQ$6:$AQ$200,'Data Validation'!$V$11, 'Data entry'!$AP$6:$AP$200,'Data Validation'!$U$2, 'Data entry'!$BD$6:$BD$200,"&lt;&gt;*Negative*"))</f>
        <v>0</v>
      </c>
      <c r="BZ89" s="15">
        <f>SUM(COUNTIFS('Data entry'!$R$6:$R$200,'Summary Data'!$A89,'Data entry'!$B$6:$B$200,{"Confirmed";"Probable"},'Data entry'!$AQ$6:$AQ$200,'Data Validation'!$V$11, 'Data entry'!$AP$6:$AP$200,'Data Validation'!$U$3, 'Data entry'!$BD$6:$BD$200,"&lt;&gt;*Negative*"))</f>
        <v>0</v>
      </c>
      <c r="CA89" s="15">
        <f>SUM(COUNTIFS('Data entry'!$R$6:$R$200,'Summary Data'!$A89,'Data entry'!$B$6:$B$200,{"Confirmed";"Probable"},'Data entry'!$AQ$6:$AQ$200,'Data Validation'!$V$11, 'Data entry'!$AP$6:$AP$200,'Data Validation'!$U$4, 'Data entry'!$BD$6:$BD$200,"&lt;&gt;*Negative*"))</f>
        <v>0</v>
      </c>
      <c r="CB89" s="15">
        <f>SUM(COUNTIFS('Data entry'!$R$6:$R$200,'Summary Data'!$A89,'Data entry'!$B$6:$B$200,{"Confirmed";"Probable"},'Data entry'!$AQ$6:$AQ$200,'Data Validation'!$V$11, 'Data entry'!$AP$6:$AP$200,'Data Validation'!$U$5, 'Data entry'!$BD$6:$BD$200,"&lt;&gt;*Negative*"))</f>
        <v>0</v>
      </c>
      <c r="CC89" s="15">
        <f>SUM(COUNTIFS('Data entry'!$R$6:$R$200,'Summary Data'!$A89,'Data entry'!$B$6:$B$200,{"Confirmed";"Probable"},'Data entry'!$AQ$6:$AQ$200,'Data Validation'!$V$11, 'Data entry'!$AP$6:$AP$200,'Data Validation'!$U$6, 'Data entry'!$BD$6:$BD$200,"&lt;&gt;*Negative*"))</f>
        <v>0</v>
      </c>
    </row>
    <row r="90" spans="1:81" x14ac:dyDescent="0.25">
      <c r="A90" s="12">
        <f t="shared" si="9"/>
        <v>78</v>
      </c>
      <c r="B90" s="13">
        <f t="shared" si="6"/>
        <v>0</v>
      </c>
      <c r="C90" s="13">
        <f>COUNTIFS('Data entry'!$R$6:$R$200,$A90,'Data entry'!$B$6:$B$200,"Confirmed",'Data entry'!$BD$6:$BD$200,"&lt;&gt;*Negative*")</f>
        <v>0</v>
      </c>
      <c r="D90" s="13">
        <f>COUNTIFS('Data entry'!$R$6:$R$200,$A90,'Data entry'!$B$6:$B$200,"Probable",'Data entry'!$BD$6:$BD$200,"&lt;&gt;*Negative*")</f>
        <v>0</v>
      </c>
      <c r="E90" s="13">
        <f>COUNTIFS('Data entry'!$R$6:$R$200,$A90,'Data entry'!$B$6:$B$200,"DNM")</f>
        <v>0</v>
      </c>
      <c r="F90" s="13">
        <f>SUM(COUNTIFS('Data entry'!$R$6:$R$200,'Summary Data'!$A90,'Data entry'!$B$6:$B$200,{"Confirmed";"Probable"},'Data entry'!$AO$6:$AO$200,$F$10, 'Data entry'!$BD$6:$BD$200,"&lt;&gt;*Negative*"))</f>
        <v>0</v>
      </c>
      <c r="G90" s="13">
        <f>SUM(COUNTIFS('Data entry'!$R$6:$R$200,'Summary Data'!$A90,'Data entry'!$B$6:$B$200,{"Confirmed";"Probable"},'Data entry'!$AO$6:$AO$200,$G$10, 'Data entry'!$BD$6:$BD$200,"&lt;&gt;*Negative*"))</f>
        <v>0</v>
      </c>
      <c r="H90" s="13">
        <f>SUM(COUNTIFS('Data entry'!$R$6:$R$200,'Summary Data'!$A90,'Data entry'!$B$6:$B$200,{"Confirmed";"Probable"},'Data entry'!$AO$6:$AO$200,$H$10, 'Data entry'!$BD$6:$BD$200,"&lt;&gt;*Negative*"))</f>
        <v>0</v>
      </c>
      <c r="I90" s="13">
        <f>SUM(COUNTIFS('Data entry'!$R$6:$R$200,'Summary Data'!$A90,'Data entry'!$B$6:$B$200,{"Confirmed";"Probable"},'Data entry'!$AO$6:$AO$200,$I$10, 'Data entry'!$BD$6:$BD$200,"&lt;&gt;*Negative*"))</f>
        <v>0</v>
      </c>
      <c r="J90" s="13">
        <f>SUM(COUNTIFS('Data entry'!$R$6:$R$200,'Summary Data'!$A90,'Data entry'!$B$6:$B$200,{"Confirmed";"Probable"},'Data entry'!$AO$6:$AO$200,$J$10, 'Data entry'!$BD$6:$BD$200,"&lt;&gt;*Negative*"))</f>
        <v>0</v>
      </c>
      <c r="K90" s="13">
        <f>SUM(COUNTIFS('Data entry'!$R$6:$R$200,'Summary Data'!$A90,'Data entry'!$B$6:$B$200,{"Confirmed";"Probable"},'Data entry'!$AO$6:$AO$200,$K$10, 'Data entry'!$BD$6:$BD$200,"&lt;&gt;*Negative*"))</f>
        <v>0</v>
      </c>
      <c r="L90" s="13">
        <f>SUM(COUNTIFS('Data entry'!$R$6:$R$200,'Summary Data'!$A90,'Data entry'!$B$6:$B$200,{"Confirmed";"Probable"},'Data entry'!$AO$6:$AO$200,$L$10, 'Data entry'!$BD$6:$BD$200,"&lt;&gt;*Negative*"))</f>
        <v>0</v>
      </c>
      <c r="M90" s="13">
        <f>SUM(COUNTIFS('Data entry'!$R$6:$R$200,'Summary Data'!$A90,'Data entry'!$B$6:$B$200,{"Confirmed";"Probable"},'Data entry'!$AO$6:$AO$200,$M$10, 'Data entry'!$BD$6:$BD$200,"&lt;&gt;*Negative*"))</f>
        <v>0</v>
      </c>
      <c r="N90" s="13">
        <f>SUM(COUNTIFS('Data entry'!$R$6:$R$200,'Summary Data'!$A90,'Data entry'!$B$6:$B$200,{"Confirmed";"Probable"},'Data entry'!$AO$6:$AO$200,$N$10, 'Data entry'!$BD$6:$BD$200,"&lt;&gt;*Negative*"))</f>
        <v>0</v>
      </c>
      <c r="O90" s="15">
        <f t="shared" si="7"/>
        <v>0</v>
      </c>
      <c r="P90" s="15">
        <f t="shared" si="8"/>
        <v>0</v>
      </c>
      <c r="Q90" s="15">
        <f>SUM(COUNTIFS('Data entry'!$R$6:$R$200,'Summary Data'!$A90,'Data entry'!$B$6:$B$200,{"Confirmed";"Probable"},'Data entry'!$AP$6:$AP$200,'Data Validation'!$U$2, 'Data entry'!$BD$6:$BD$200,"&lt;&gt;*Negative*"))</f>
        <v>0</v>
      </c>
      <c r="R90" s="15">
        <f>SUM(COUNTIFS('Data entry'!$R$6:$R$200,'Summary Data'!$A90,'Data entry'!$B$6:$B$200,{"Confirmed";"Probable"},'Data entry'!$AP$6:$AP$200,'Data Validation'!$U$3, 'Data entry'!$BD$6:$BD$200,"&lt;&gt;*Negative*"))</f>
        <v>0</v>
      </c>
      <c r="S90" s="15">
        <f>SUM(COUNTIFS('Data entry'!$R$6:$R$200,'Summary Data'!$A90,'Data entry'!$B$6:$B$200,{"Confirmed";"Probable"},'Data entry'!$AP$6:$AP$200,'Data Validation'!$U$4, 'Data entry'!$BD$6:$BD$200,"&lt;&gt;*Negative*"))</f>
        <v>0</v>
      </c>
      <c r="T90" s="15">
        <f>SUM(COUNTIFS('Data entry'!$R$6:$R$200,'Summary Data'!$A90,'Data entry'!$B$6:$B$200,{"Confirmed";"Probable"},'Data entry'!$AP$6:$AP$200,'Data Validation'!$U$5, 'Data entry'!$BD$6:$BD$200,"&lt;&gt;*Negative*"))</f>
        <v>0</v>
      </c>
      <c r="U90" s="15">
        <f>SUM(COUNTIFS('Data entry'!$R$6:$R$200,'Summary Data'!$A90,'Data entry'!$B$6:$B$200,{"Confirmed";"Probable"},'Data entry'!$AP$6:$AP$200,'Data Validation'!$U$6, 'Data entry'!$BD$6:$BD$200,"&lt;&gt;*Negative*"))</f>
        <v>0</v>
      </c>
      <c r="V90" s="15">
        <f>SUM(COUNTIFS('Data entry'!$R$6:$R$200,'Summary Data'!$A90,'Data entry'!$B$6:$B$200,{"Confirmed";"Probable"},'Data entry'!$AQ$6:$AQ$200,'Data Validation'!$V$2, 'Data entry'!$BD$6:$BD$200,"&lt;&gt;*Negative*"))</f>
        <v>0</v>
      </c>
      <c r="W90" s="15">
        <f>SUM(COUNTIFS('Data entry'!$R$6:$R$200,'Summary Data'!$A90,'Data entry'!$B$6:$B$200,{"Confirmed";"Probable"},'Data entry'!$AQ$6:$AQ$200,'Data Validation'!$V$3, 'Data entry'!$BD$6:$BD$200,"&lt;&gt;*Negative*"))</f>
        <v>0</v>
      </c>
      <c r="X90" s="15">
        <f>SUM(COUNTIFS('Data entry'!$R$6:$R$200,'Summary Data'!$A90,'Data entry'!$B$6:$B$200,{"Confirmed";"Probable"},'Data entry'!$AQ$6:$AQ$200,'Data Validation'!$V$4, 'Data entry'!$BD$6:$BD$200,"&lt;&gt;*Negative*"))</f>
        <v>0</v>
      </c>
      <c r="Y90" s="15">
        <f>SUM(COUNTIFS('Data entry'!$R$6:$R$200,'Summary Data'!$A90,'Data entry'!$B$6:$B$200,{"Confirmed";"Probable"},'Data entry'!$AQ$6:$AQ$200,'Data Validation'!$V$5, 'Data entry'!$BD$6:$BD$200,"&lt;&gt;*Negative*"))</f>
        <v>0</v>
      </c>
      <c r="Z90" s="15">
        <f>SUM(COUNTIFS('Data entry'!$R$6:$R$200,'Summary Data'!$A90,'Data entry'!$B$6:$B$200,{"Confirmed";"Probable"},'Data entry'!$AQ$6:$AQ$200,'Data Validation'!$V$6, 'Data entry'!$BD$6:$BD$200,"&lt;&gt;*Negative*"))</f>
        <v>0</v>
      </c>
      <c r="AA90" s="15">
        <f>SUM(COUNTIFS('Data entry'!$R$6:$R$200,'Summary Data'!$A90,'Data entry'!$B$6:$B$200,{"Confirmed";"Probable"},'Data entry'!$AQ$6:$AQ$200,'Data Validation'!$V$7, 'Data entry'!$BD$6:$BD$200,"&lt;&gt;*Negative*"))</f>
        <v>0</v>
      </c>
      <c r="AB90" s="15">
        <f>SUM(COUNTIFS('Data entry'!$R$6:$R$200,'Summary Data'!$A90,'Data entry'!$B$6:$B$200,{"Confirmed";"Probable"},'Data entry'!$AQ$6:$AQ$200,'Data Validation'!$V$8, 'Data entry'!$BD$6:$BD$200,"&lt;&gt;*Negative*"))</f>
        <v>0</v>
      </c>
      <c r="AC90" s="15">
        <f>SUM(COUNTIFS('Data entry'!$R$6:$R$200,'Summary Data'!$A90,'Data entry'!$B$6:$B$200,{"Confirmed";"Probable"},'Data entry'!$AQ$6:$AQ$200,'Data Validation'!$V$9, 'Data entry'!$BD$6:$BD$200,"&lt;&gt;*Negative*"))</f>
        <v>0</v>
      </c>
      <c r="AD90" s="15">
        <f>SUM(COUNTIFS('Data entry'!$R$6:$R$200,'Summary Data'!$A90,'Data entry'!$B$6:$B$200,{"Confirmed";"Probable"},'Data entry'!$AQ$6:$AQ$200,'Data Validation'!$V$10, 'Data entry'!$BD$6:$BD$200,"&lt;&gt;*Negative*"))</f>
        <v>0</v>
      </c>
      <c r="AE90" s="15">
        <f>SUM(COUNTIFS('Data entry'!$R$6:$R$200,'Summary Data'!$A90,'Data entry'!$B$6:$B$200,{"Confirmed";"Probable"},'Data entry'!$AQ$6:$AQ$200,'Data Validation'!$V$11, 'Data entry'!$BD$6:$BD$200,"&lt;&gt;*Negative*"))</f>
        <v>0</v>
      </c>
      <c r="AF90" s="15">
        <f>SUM(COUNTIFS('Data entry'!$R$6:$R$200,'Summary Data'!$A90,'Data entry'!$B$6:$B$200,{"Confirmed";"Probable"},'Data entry'!$AQ$6:$AQ$200,'Data Validation'!$V$2, 'Data entry'!$AP$6:$AP$200,'Data Validation'!$U$2, 'Data entry'!$BD$6:$BD$200,"&lt;&gt;*Negative*"))</f>
        <v>0</v>
      </c>
      <c r="AG90" s="15">
        <f>SUM(COUNTIFS('Data entry'!$R$6:$R$200,'Summary Data'!$A90,'Data entry'!$B$6:$B$200,{"Confirmed";"Probable"},'Data entry'!$AQ$6:$AQ$200,'Data Validation'!$V$2, 'Data entry'!$AP$6:$AP$200,'Data Validation'!$U$3, 'Data entry'!$BD$6:$BD$200,"&lt;&gt;*Negative*"))</f>
        <v>0</v>
      </c>
      <c r="AH90" s="15">
        <f>SUM(COUNTIFS('Data entry'!$R$6:$R$200,'Summary Data'!$A90,'Data entry'!$B$6:$B$200,{"Confirmed";"Probable"},'Data entry'!$AQ$6:$AQ$200,'Data Validation'!$V$2, 'Data entry'!$AP$6:$AP$200,'Data Validation'!$U$4, 'Data entry'!$BD$6:$BD$200,"&lt;&gt;*Negative*"))</f>
        <v>0</v>
      </c>
      <c r="AI90" s="15">
        <f>SUM(COUNTIFS('Data entry'!$R$6:$R$200,'Summary Data'!$A90,'Data entry'!$B$6:$B$200,{"Confirmed";"Probable"},'Data entry'!$AQ$6:$AQ$200,'Data Validation'!$V$2, 'Data entry'!$AP$6:$AP$200,'Data Validation'!$U$5, 'Data entry'!$BD$6:$BD$200,"&lt;&gt;*Negative*"))</f>
        <v>0</v>
      </c>
      <c r="AJ90" s="15">
        <f>SUM(COUNTIFS('Data entry'!$R$6:$R$200,'Summary Data'!$A90,'Data entry'!$B$6:$B$200,{"Confirmed";"Probable"},'Data entry'!$AQ$6:$AQ$200,'Data Validation'!$V$2, 'Data entry'!$AP$6:$AP$200,'Data Validation'!$U$6, 'Data entry'!$BD$6:$BD$200,"&lt;&gt;*Negative*"))</f>
        <v>0</v>
      </c>
      <c r="AK90" s="15">
        <f>SUM(COUNTIFS('Data entry'!$R$6:$R$200,'Summary Data'!$A90,'Data entry'!$B$6:$B$200,{"Confirmed";"Probable"},'Data entry'!$AQ$6:$AQ$200,'Data Validation'!$V$3, 'Data entry'!$AP$6:$AP$200,'Data Validation'!$U$2, 'Data entry'!$BD$6:$BD$200,"&lt;&gt;*Negative*"))</f>
        <v>0</v>
      </c>
      <c r="AL90" s="15">
        <f>SUM(COUNTIFS('Data entry'!$R$6:$R$200,'Summary Data'!$A90,'Data entry'!$B$6:$B$200,{"Confirmed";"Probable"},'Data entry'!$AQ$6:$AQ$200,'Data Validation'!$V$3, 'Data entry'!$AP$6:$AP$200,'Data Validation'!$U$3, 'Data entry'!$BD$6:$BD$200,"&lt;&gt;*Negative*"))</f>
        <v>0</v>
      </c>
      <c r="AM90" s="15">
        <f>SUM(COUNTIFS('Data entry'!$R$6:$R$200,'Summary Data'!$A90,'Data entry'!$B$6:$B$200,{"Confirmed";"Probable"},'Data entry'!$AQ$6:$AQ$200,'Data Validation'!$V$3, 'Data entry'!$AP$6:$AP$200,'Data Validation'!$U$4, 'Data entry'!$BD$6:$BD$200,"&lt;&gt;*Negative*"))</f>
        <v>0</v>
      </c>
      <c r="AN90" s="15">
        <f>SUM(COUNTIFS('Data entry'!$R$6:$R$200,'Summary Data'!$A90,'Data entry'!$B$6:$B$200,{"Confirmed";"Probable"},'Data entry'!$AQ$6:$AQ$200,'Data Validation'!$V$3, 'Data entry'!$AP$6:$AP$200,'Data Validation'!$U$5, 'Data entry'!$BD$6:$BD$200,"&lt;&gt;*Negative*"))</f>
        <v>0</v>
      </c>
      <c r="AO90" s="15">
        <f>SUM(COUNTIFS('Data entry'!$R$6:$R$200,'Summary Data'!$A90,'Data entry'!$B$6:$B$200,{"Confirmed";"Probable"},'Data entry'!$AQ$6:$AQ$200,'Data Validation'!$V$3, 'Data entry'!$AP$6:$AP$200,'Data Validation'!$U$6, 'Data entry'!$BD$6:$BD$200,"&lt;&gt;*Negative*"))</f>
        <v>0</v>
      </c>
      <c r="AP90" s="15">
        <f>SUM(COUNTIFS('Data entry'!$R$6:$R$200,'Summary Data'!$A90,'Data entry'!$B$6:$B$200,{"Confirmed";"Probable"},'Data entry'!$AQ$6:$AQ$200,'Data Validation'!$V$4, 'Data entry'!$AP$6:$AP$200,'Data Validation'!$U$2, 'Data entry'!$BD$6:$BD$200,"&lt;&gt;*Negative*"))</f>
        <v>0</v>
      </c>
      <c r="AQ90" s="15">
        <f>SUM(COUNTIFS('Data entry'!$R$6:$R$200,'Summary Data'!$A90,'Data entry'!$B$6:$B$200,{"Confirmed";"Probable"},'Data entry'!$AQ$6:$AQ$200,'Data Validation'!$V$4, 'Data entry'!$AP$6:$AP$200,'Data Validation'!$U$3, 'Data entry'!$BD$6:$BD$200,"&lt;&gt;*Negative*"))</f>
        <v>0</v>
      </c>
      <c r="AR90" s="15">
        <f>SUM(COUNTIFS('Data entry'!$R$6:$R$200,'Summary Data'!$A90,'Data entry'!$B$6:$B$200,{"Confirmed";"Probable"},'Data entry'!$AQ$6:$AQ$200,'Data Validation'!$V$4, 'Data entry'!$AP$6:$AP$200,'Data Validation'!$U$4, 'Data entry'!$BD$6:$BD$200,"&lt;&gt;*Negative*"))</f>
        <v>0</v>
      </c>
      <c r="AS90" s="15">
        <f>SUM(COUNTIFS('Data entry'!$R$6:$R$200,'Summary Data'!$A90,'Data entry'!$B$6:$B$200,{"Confirmed";"Probable"},'Data entry'!$AQ$6:$AQ$200,'Data Validation'!$V$4, 'Data entry'!$AP$6:$AP$200,'Data Validation'!$U$5, 'Data entry'!$BD$6:$BD$200,"&lt;&gt;*Negative*"))</f>
        <v>0</v>
      </c>
      <c r="AT90" s="15">
        <f>SUM(COUNTIFS('Data entry'!$R$6:$R$200,'Summary Data'!$A90,'Data entry'!$B$6:$B$200,{"Confirmed";"Probable"},'Data entry'!$AQ$6:$AQ$200,'Data Validation'!$V$4, 'Data entry'!$AP$6:$AP$200,'Data Validation'!$U$6, 'Data entry'!$BD$6:$BD$200,"&lt;&gt;*Negative*"))</f>
        <v>0</v>
      </c>
      <c r="AU90" s="15">
        <f>SUM(COUNTIFS('Data entry'!$R$6:$R$200,'Summary Data'!$A90,'Data entry'!$B$6:$B$200,{"Confirmed";"Probable"},'Data entry'!$AQ$6:$AQ$200,'Data Validation'!$V$5, 'Data entry'!$AP$6:$AP$200,'Data Validation'!$U$2, 'Data entry'!$BD$6:$BD$200,"&lt;&gt;*Negative*"))</f>
        <v>0</v>
      </c>
      <c r="AV90" s="15">
        <f>SUM(COUNTIFS('Data entry'!$R$6:$R$200,'Summary Data'!$A90,'Data entry'!$B$6:$B$200,{"Confirmed";"Probable"},'Data entry'!$AQ$6:$AQ$200,'Data Validation'!$V$5, 'Data entry'!$AP$6:$AP$200,'Data Validation'!$U$3, 'Data entry'!$BD$6:$BD$200,"&lt;&gt;*Negative*"))</f>
        <v>0</v>
      </c>
      <c r="AW90" s="15">
        <f>SUM(COUNTIFS('Data entry'!$R$6:$R$200,'Summary Data'!$A90,'Data entry'!$B$6:$B$200,{"Confirmed";"Probable"},'Data entry'!$AQ$6:$AQ$200,'Data Validation'!$V$5, 'Data entry'!$AP$6:$AP$200,'Data Validation'!$U$4, 'Data entry'!$BD$6:$BD$200,"&lt;&gt;*Negative*"))</f>
        <v>0</v>
      </c>
      <c r="AX90" s="15">
        <f>SUM(COUNTIFS('Data entry'!$R$6:$R$200,'Summary Data'!$A90,'Data entry'!$B$6:$B$200,{"Confirmed";"Probable"},'Data entry'!$AQ$6:$AQ$200,'Data Validation'!$V$5, 'Data entry'!$AP$6:$AP$200,'Data Validation'!$U$5, 'Data entry'!$BD$6:$BD$200,"&lt;&gt;*Negative*"))</f>
        <v>0</v>
      </c>
      <c r="AY90" s="15">
        <f>SUM(COUNTIFS('Data entry'!$R$6:$R$200,'Summary Data'!$A90,'Data entry'!$B$6:$B$200,{"Confirmed";"Probable"},'Data entry'!$AQ$6:$AQ$200,'Data Validation'!$V$5, 'Data entry'!$AP$6:$AP$200,'Data Validation'!$U$6, 'Data entry'!$BD$6:$BD$200,"&lt;&gt;*Negative*"))</f>
        <v>0</v>
      </c>
      <c r="AZ90" s="15">
        <f>SUM(COUNTIFS('Data entry'!$R$6:$R$200,'Summary Data'!$A90,'Data entry'!$B$6:$B$200,{"Confirmed";"Probable"},'Data entry'!$AQ$6:$AQ$200,'Data Validation'!$V$6, 'Data entry'!$AP$6:$AP$200,'Data Validation'!$U$2, 'Data entry'!$BD$6:$BD$200,"&lt;&gt;*Negative*"))</f>
        <v>0</v>
      </c>
      <c r="BA90" s="15">
        <f>SUM(COUNTIFS('Data entry'!$R$6:$R$200,'Summary Data'!$A90,'Data entry'!$B$6:$B$200,{"Confirmed";"Probable"},'Data entry'!$AQ$6:$AQ$200,'Data Validation'!$V$6, 'Data entry'!$AP$6:$AP$200,'Data Validation'!$U$3, 'Data entry'!$BD$6:$BD$200,"&lt;&gt;*Negative*"))</f>
        <v>0</v>
      </c>
      <c r="BB90" s="15">
        <f>SUM(COUNTIFS('Data entry'!$R$6:$R$200,'Summary Data'!$A90,'Data entry'!$B$6:$B$200,{"Confirmed";"Probable"},'Data entry'!$AQ$6:$AQ$200,'Data Validation'!$V$6, 'Data entry'!$AP$6:$AP$200,'Data Validation'!$U$4, 'Data entry'!$BD$6:$BD$200,"&lt;&gt;*Negative*"))</f>
        <v>0</v>
      </c>
      <c r="BC90" s="15">
        <f>SUM(COUNTIFS('Data entry'!$R$6:$R$200,'Summary Data'!$A90,'Data entry'!$B$6:$B$200,{"Confirmed";"Probable"},'Data entry'!$AQ$6:$AQ$200,'Data Validation'!$V$6, 'Data entry'!$AP$6:$AP$200,'Data Validation'!$U$5, 'Data entry'!$BD$6:$BD$200,"&lt;&gt;*Negative*"))</f>
        <v>0</v>
      </c>
      <c r="BD90" s="15">
        <f>SUM(COUNTIFS('Data entry'!$R$6:$R$200,'Summary Data'!$A90,'Data entry'!$B$6:$B$200,{"Confirmed";"Probable"},'Data entry'!$AQ$6:$AQ$200,'Data Validation'!$V$6, 'Data entry'!$AP$6:$AP$200,'Data Validation'!$U$6, 'Data entry'!$BD$6:$BD$200,"&lt;&gt;*Negative*"))</f>
        <v>0</v>
      </c>
      <c r="BE90" s="15">
        <f>SUM(COUNTIFS('Data entry'!$R$6:$R$200,'Summary Data'!$A90,'Data entry'!$B$6:$B$200,{"Confirmed";"Probable"},'Data entry'!$AQ$6:$AQ$200,'Data Validation'!$V$7, 'Data entry'!$AP$6:$AP$200,'Data Validation'!$U$2, 'Data entry'!$BD$6:$BD$200,"&lt;&gt;*Negative*"))</f>
        <v>0</v>
      </c>
      <c r="BF90" s="15">
        <f>SUM(COUNTIFS('Data entry'!$R$6:$R$200,'Summary Data'!$A90,'Data entry'!$B$6:$B$200,{"Confirmed";"Probable"},'Data entry'!$AQ$6:$AQ$200,'Data Validation'!$V$7, 'Data entry'!$AP$6:$AP$200,'Data Validation'!$U$3, 'Data entry'!$BD$6:$BD$200,"&lt;&gt;*Negative*"))</f>
        <v>0</v>
      </c>
      <c r="BG90" s="15">
        <f>SUM(COUNTIFS('Data entry'!$R$6:$R$200,'Summary Data'!$A90,'Data entry'!$B$6:$B$200,{"Confirmed";"Probable"},'Data entry'!$AQ$6:$AQ$200,'Data Validation'!$V$7, 'Data entry'!$AP$6:$AP$200,'Data Validation'!$U$4, 'Data entry'!$BD$6:$BD$200,"&lt;&gt;*Negative*"))</f>
        <v>0</v>
      </c>
      <c r="BH90" s="15">
        <f>SUM(COUNTIFS('Data entry'!$R$6:$R$200,'Summary Data'!$A90,'Data entry'!$B$6:$B$200,{"Confirmed";"Probable"},'Data entry'!$AQ$6:$AQ$200,'Data Validation'!$V$7, 'Data entry'!$AP$6:$AP$200,'Data Validation'!$U$5, 'Data entry'!$BD$6:$BD$200,"&lt;&gt;*Negative*"))</f>
        <v>0</v>
      </c>
      <c r="BI90" s="15">
        <f>SUM(COUNTIFS('Data entry'!$R$6:$R$200,'Summary Data'!$A90,'Data entry'!$B$6:$B$200,{"Confirmed";"Probable"},'Data entry'!$AQ$6:$AQ$200,'Data Validation'!$V$7, 'Data entry'!$AP$6:$AP$200,'Data Validation'!$U$6, 'Data entry'!$BD$6:$BD$200,"&lt;&gt;*Negative*"))</f>
        <v>0</v>
      </c>
      <c r="BJ90" s="15">
        <f>SUM(COUNTIFS('Data entry'!$R$6:$R$200,'Summary Data'!$A90,'Data entry'!$B$6:$B$200,{"Confirmed";"Probable"},'Data entry'!$AQ$6:$AQ$200,'Data Validation'!$V$8, 'Data entry'!$AP$6:$AP$200,'Data Validation'!$U$2, 'Data entry'!$BD$6:$BD$200,"&lt;&gt;*Negative*"))</f>
        <v>0</v>
      </c>
      <c r="BK90" s="15">
        <f>SUM(COUNTIFS('Data entry'!$R$6:$R$200,'Summary Data'!$A90,'Data entry'!$B$6:$B$200,{"Confirmed";"Probable"},'Data entry'!$AQ$6:$AQ$200,'Data Validation'!$V$8, 'Data entry'!$AP$6:$AP$200,'Data Validation'!$U$3, 'Data entry'!$BD$6:$BD$200,"&lt;&gt;*Negative*"))</f>
        <v>0</v>
      </c>
      <c r="BL90" s="15">
        <f>SUM(COUNTIFS('Data entry'!$R$6:$R$200,'Summary Data'!$A90,'Data entry'!$B$6:$B$200,{"Confirmed";"Probable"},'Data entry'!$AQ$6:$AQ$200,'Data Validation'!$V$8, 'Data entry'!$AP$6:$AP$200,'Data Validation'!$U$4, 'Data entry'!$BD$6:$BD$200,"&lt;&gt;*Negative*"))</f>
        <v>0</v>
      </c>
      <c r="BM90" s="15">
        <f>SUM(COUNTIFS('Data entry'!$R$6:$R$200,'Summary Data'!$A90,'Data entry'!$B$6:$B$200,{"Confirmed";"Probable"},'Data entry'!$AQ$6:$AQ$200,'Data Validation'!$V$8, 'Data entry'!$AP$6:$AP$200,'Data Validation'!$U$5, 'Data entry'!$BD$6:$BD$200,"&lt;&gt;*Negative*"))</f>
        <v>0</v>
      </c>
      <c r="BN90" s="15">
        <f>SUM(COUNTIFS('Data entry'!$R$6:$R$200,'Summary Data'!$A90,'Data entry'!$B$6:$B$200,{"Confirmed";"Probable"},'Data entry'!$AQ$6:$AQ$200,'Data Validation'!$V$8, 'Data entry'!$AP$6:$AP$200,'Data Validation'!$U$6, 'Data entry'!$BD$6:$BD$200,"&lt;&gt;*Negative*"))</f>
        <v>0</v>
      </c>
      <c r="BO90" s="15">
        <f>SUM(COUNTIFS('Data entry'!$R$6:$R$200,'Summary Data'!$A90,'Data entry'!$B$6:$B$200,{"Confirmed";"Probable"},'Data entry'!$AQ$6:$AQ$200,'Data Validation'!$V$9, 'Data entry'!$AP$6:$AP$200,'Data Validation'!$U$2, 'Data entry'!$BD$6:$BD$200,"&lt;&gt;*Negative*"))</f>
        <v>0</v>
      </c>
      <c r="BP90" s="15">
        <f>SUM(COUNTIFS('Data entry'!$R$6:$R$200,'Summary Data'!$A90,'Data entry'!$B$6:$B$200,{"Confirmed";"Probable"},'Data entry'!$AQ$6:$AQ$200,'Data Validation'!$V$9, 'Data entry'!$AP$6:$AP$200,'Data Validation'!$U$3, 'Data entry'!$BD$6:$BD$200,"&lt;&gt;*Negative*"))</f>
        <v>0</v>
      </c>
      <c r="BQ90" s="15">
        <f>SUM(COUNTIFS('Data entry'!$R$6:$R$200,'Summary Data'!$A90,'Data entry'!$B$6:$B$200,{"Confirmed";"Probable"},'Data entry'!$AQ$6:$AQ$200,'Data Validation'!$V$9, 'Data entry'!$AP$6:$AP$200,'Data Validation'!$U$4, 'Data entry'!$BD$6:$BD$200,"&lt;&gt;*Negative*"))</f>
        <v>0</v>
      </c>
      <c r="BR90" s="15">
        <f>SUM(COUNTIFS('Data entry'!$R$6:$R$200,'Summary Data'!$A90,'Data entry'!$B$6:$B$200,{"Confirmed";"Probable"},'Data entry'!$AQ$6:$AQ$200,'Data Validation'!$V$9, 'Data entry'!$AP$6:$AP$200,'Data Validation'!$U$5, 'Data entry'!$BD$6:$BD$200,"&lt;&gt;*Negative*"))</f>
        <v>0</v>
      </c>
      <c r="BS90" s="15">
        <f>SUM(COUNTIFS('Data entry'!$R$6:$R$200,'Summary Data'!$A90,'Data entry'!$B$6:$B$200,{"Confirmed";"Probable"},'Data entry'!$AQ$6:$AQ$200,'Data Validation'!$V$9, 'Data entry'!$AP$6:$AP$200,'Data Validation'!$U$6, 'Data entry'!$BD$6:$BD$200,"&lt;&gt;*Negative*"))</f>
        <v>0</v>
      </c>
      <c r="BT90" s="15">
        <f>SUM(COUNTIFS('Data entry'!$R$6:$R$200,'Summary Data'!$A90,'Data entry'!$B$6:$B$200,{"Confirmed";"Probable"},'Data entry'!$AQ$6:$AQ$200,'Data Validation'!$V$10, 'Data entry'!$AP$6:$AP$200,'Data Validation'!$U$2, 'Data entry'!$BD$6:$BD$200,"&lt;&gt;*Negative*"))</f>
        <v>0</v>
      </c>
      <c r="BU90" s="15">
        <f>SUM(COUNTIFS('Data entry'!$R$6:$R$200,'Summary Data'!$A90,'Data entry'!$B$6:$B$200,{"Confirmed";"Probable"},'Data entry'!$AQ$6:$AQ$200,'Data Validation'!$V$10, 'Data entry'!$AP$6:$AP$200,'Data Validation'!$U$3, 'Data entry'!$BD$6:$BD$200,"&lt;&gt;*Negative*"))</f>
        <v>0</v>
      </c>
      <c r="BV90" s="15">
        <f>SUM(COUNTIFS('Data entry'!$R$6:$R$200,'Summary Data'!$A90,'Data entry'!$B$6:$B$200,{"Confirmed";"Probable"},'Data entry'!$AQ$6:$AQ$200,'Data Validation'!$V$10, 'Data entry'!$AP$6:$AP$200,'Data Validation'!$U$4, 'Data entry'!$BD$6:$BD$200,"&lt;&gt;*Negative*"))</f>
        <v>0</v>
      </c>
      <c r="BW90" s="15">
        <f>SUM(COUNTIFS('Data entry'!$R$6:$R$200,'Summary Data'!$A90,'Data entry'!$B$6:$B$200,{"Confirmed";"Probable"},'Data entry'!$AQ$6:$AQ$200,'Data Validation'!$V$10, 'Data entry'!$AP$6:$AP$200,'Data Validation'!$U$5, 'Data entry'!$BD$6:$BD$200,"&lt;&gt;*Negative*"))</f>
        <v>0</v>
      </c>
      <c r="BX90" s="15">
        <f>SUM(COUNTIFS('Data entry'!$R$6:$R$200,'Summary Data'!$A90,'Data entry'!$B$6:$B$200,{"Confirmed";"Probable"},'Data entry'!$AQ$6:$AQ$200,'Data Validation'!$V$10, 'Data entry'!$AP$6:$AP$200,'Data Validation'!$U$6, 'Data entry'!$BD$6:$BD$200,"&lt;&gt;*Negative*"))</f>
        <v>0</v>
      </c>
      <c r="BY90" s="15">
        <f>SUM(COUNTIFS('Data entry'!$R$6:$R$200,'Summary Data'!$A90,'Data entry'!$B$6:$B$200,{"Confirmed";"Probable"},'Data entry'!$AQ$6:$AQ$200,'Data Validation'!$V$11, 'Data entry'!$AP$6:$AP$200,'Data Validation'!$U$2, 'Data entry'!$BD$6:$BD$200,"&lt;&gt;*Negative*"))</f>
        <v>0</v>
      </c>
      <c r="BZ90" s="15">
        <f>SUM(COUNTIFS('Data entry'!$R$6:$R$200,'Summary Data'!$A90,'Data entry'!$B$6:$B$200,{"Confirmed";"Probable"},'Data entry'!$AQ$6:$AQ$200,'Data Validation'!$V$11, 'Data entry'!$AP$6:$AP$200,'Data Validation'!$U$3, 'Data entry'!$BD$6:$BD$200,"&lt;&gt;*Negative*"))</f>
        <v>0</v>
      </c>
      <c r="CA90" s="15">
        <f>SUM(COUNTIFS('Data entry'!$R$6:$R$200,'Summary Data'!$A90,'Data entry'!$B$6:$B$200,{"Confirmed";"Probable"},'Data entry'!$AQ$6:$AQ$200,'Data Validation'!$V$11, 'Data entry'!$AP$6:$AP$200,'Data Validation'!$U$4, 'Data entry'!$BD$6:$BD$200,"&lt;&gt;*Negative*"))</f>
        <v>0</v>
      </c>
      <c r="CB90" s="15">
        <f>SUM(COUNTIFS('Data entry'!$R$6:$R$200,'Summary Data'!$A90,'Data entry'!$B$6:$B$200,{"Confirmed";"Probable"},'Data entry'!$AQ$6:$AQ$200,'Data Validation'!$V$11, 'Data entry'!$AP$6:$AP$200,'Data Validation'!$U$5, 'Data entry'!$BD$6:$BD$200,"&lt;&gt;*Negative*"))</f>
        <v>0</v>
      </c>
      <c r="CC90" s="15">
        <f>SUM(COUNTIFS('Data entry'!$R$6:$R$200,'Summary Data'!$A90,'Data entry'!$B$6:$B$200,{"Confirmed";"Probable"},'Data entry'!$AQ$6:$AQ$200,'Data Validation'!$V$11, 'Data entry'!$AP$6:$AP$200,'Data Validation'!$U$6, 'Data entry'!$BD$6:$BD$200,"&lt;&gt;*Negative*"))</f>
        <v>0</v>
      </c>
    </row>
    <row r="91" spans="1:81" x14ac:dyDescent="0.25">
      <c r="A91" s="12">
        <f t="shared" si="9"/>
        <v>79</v>
      </c>
      <c r="B91" s="13">
        <f t="shared" si="6"/>
        <v>0</v>
      </c>
      <c r="C91" s="13">
        <f>COUNTIFS('Data entry'!$R$6:$R$200,$A91,'Data entry'!$B$6:$B$200,"Confirmed",'Data entry'!$BD$6:$BD$200,"&lt;&gt;*Negative*")</f>
        <v>0</v>
      </c>
      <c r="D91" s="13">
        <f>COUNTIFS('Data entry'!$R$6:$R$200,$A91,'Data entry'!$B$6:$B$200,"Probable",'Data entry'!$BD$6:$BD$200,"&lt;&gt;*Negative*")</f>
        <v>0</v>
      </c>
      <c r="E91" s="13">
        <f>COUNTIFS('Data entry'!$R$6:$R$200,$A91,'Data entry'!$B$6:$B$200,"DNM")</f>
        <v>0</v>
      </c>
      <c r="F91" s="13">
        <f>SUM(COUNTIFS('Data entry'!$R$6:$R$200,'Summary Data'!$A91,'Data entry'!$B$6:$B$200,{"Confirmed";"Probable"},'Data entry'!$AO$6:$AO$200,$F$10, 'Data entry'!$BD$6:$BD$200,"&lt;&gt;*Negative*"))</f>
        <v>0</v>
      </c>
      <c r="G91" s="13">
        <f>SUM(COUNTIFS('Data entry'!$R$6:$R$200,'Summary Data'!$A91,'Data entry'!$B$6:$B$200,{"Confirmed";"Probable"},'Data entry'!$AO$6:$AO$200,$G$10, 'Data entry'!$BD$6:$BD$200,"&lt;&gt;*Negative*"))</f>
        <v>0</v>
      </c>
      <c r="H91" s="13">
        <f>SUM(COUNTIFS('Data entry'!$R$6:$R$200,'Summary Data'!$A91,'Data entry'!$B$6:$B$200,{"Confirmed";"Probable"},'Data entry'!$AO$6:$AO$200,$H$10, 'Data entry'!$BD$6:$BD$200,"&lt;&gt;*Negative*"))</f>
        <v>0</v>
      </c>
      <c r="I91" s="13">
        <f>SUM(COUNTIFS('Data entry'!$R$6:$R$200,'Summary Data'!$A91,'Data entry'!$B$6:$B$200,{"Confirmed";"Probable"},'Data entry'!$AO$6:$AO$200,$I$10, 'Data entry'!$BD$6:$BD$200,"&lt;&gt;*Negative*"))</f>
        <v>0</v>
      </c>
      <c r="J91" s="13">
        <f>SUM(COUNTIFS('Data entry'!$R$6:$R$200,'Summary Data'!$A91,'Data entry'!$B$6:$B$200,{"Confirmed";"Probable"},'Data entry'!$AO$6:$AO$200,$J$10, 'Data entry'!$BD$6:$BD$200,"&lt;&gt;*Negative*"))</f>
        <v>0</v>
      </c>
      <c r="K91" s="13">
        <f>SUM(COUNTIFS('Data entry'!$R$6:$R$200,'Summary Data'!$A91,'Data entry'!$B$6:$B$200,{"Confirmed";"Probable"},'Data entry'!$AO$6:$AO$200,$K$10, 'Data entry'!$BD$6:$BD$200,"&lt;&gt;*Negative*"))</f>
        <v>0</v>
      </c>
      <c r="L91" s="13">
        <f>SUM(COUNTIFS('Data entry'!$R$6:$R$200,'Summary Data'!$A91,'Data entry'!$B$6:$B$200,{"Confirmed";"Probable"},'Data entry'!$AO$6:$AO$200,$L$10, 'Data entry'!$BD$6:$BD$200,"&lt;&gt;*Negative*"))</f>
        <v>0</v>
      </c>
      <c r="M91" s="13">
        <f>SUM(COUNTIFS('Data entry'!$R$6:$R$200,'Summary Data'!$A91,'Data entry'!$B$6:$B$200,{"Confirmed";"Probable"},'Data entry'!$AO$6:$AO$200,$M$10, 'Data entry'!$BD$6:$BD$200,"&lt;&gt;*Negative*"))</f>
        <v>0</v>
      </c>
      <c r="N91" s="13">
        <f>SUM(COUNTIFS('Data entry'!$R$6:$R$200,'Summary Data'!$A91,'Data entry'!$B$6:$B$200,{"Confirmed";"Probable"},'Data entry'!$AO$6:$AO$200,$N$10, 'Data entry'!$BD$6:$BD$200,"&lt;&gt;*Negative*"))</f>
        <v>0</v>
      </c>
      <c r="O91" s="15">
        <f t="shared" si="7"/>
        <v>0</v>
      </c>
      <c r="P91" s="15">
        <f t="shared" si="8"/>
        <v>0</v>
      </c>
      <c r="Q91" s="15">
        <f>SUM(COUNTIFS('Data entry'!$R$6:$R$200,'Summary Data'!$A91,'Data entry'!$B$6:$B$200,{"Confirmed";"Probable"},'Data entry'!$AP$6:$AP$200,'Data Validation'!$U$2, 'Data entry'!$BD$6:$BD$200,"&lt;&gt;*Negative*"))</f>
        <v>0</v>
      </c>
      <c r="R91" s="15">
        <f>SUM(COUNTIFS('Data entry'!$R$6:$R$200,'Summary Data'!$A91,'Data entry'!$B$6:$B$200,{"Confirmed";"Probable"},'Data entry'!$AP$6:$AP$200,'Data Validation'!$U$3, 'Data entry'!$BD$6:$BD$200,"&lt;&gt;*Negative*"))</f>
        <v>0</v>
      </c>
      <c r="S91" s="15">
        <f>SUM(COUNTIFS('Data entry'!$R$6:$R$200,'Summary Data'!$A91,'Data entry'!$B$6:$B$200,{"Confirmed";"Probable"},'Data entry'!$AP$6:$AP$200,'Data Validation'!$U$4, 'Data entry'!$BD$6:$BD$200,"&lt;&gt;*Negative*"))</f>
        <v>0</v>
      </c>
      <c r="T91" s="15">
        <f>SUM(COUNTIFS('Data entry'!$R$6:$R$200,'Summary Data'!$A91,'Data entry'!$B$6:$B$200,{"Confirmed";"Probable"},'Data entry'!$AP$6:$AP$200,'Data Validation'!$U$5, 'Data entry'!$BD$6:$BD$200,"&lt;&gt;*Negative*"))</f>
        <v>0</v>
      </c>
      <c r="U91" s="15">
        <f>SUM(COUNTIFS('Data entry'!$R$6:$R$200,'Summary Data'!$A91,'Data entry'!$B$6:$B$200,{"Confirmed";"Probable"},'Data entry'!$AP$6:$AP$200,'Data Validation'!$U$6, 'Data entry'!$BD$6:$BD$200,"&lt;&gt;*Negative*"))</f>
        <v>0</v>
      </c>
      <c r="V91" s="15">
        <f>SUM(COUNTIFS('Data entry'!$R$6:$R$200,'Summary Data'!$A91,'Data entry'!$B$6:$B$200,{"Confirmed";"Probable"},'Data entry'!$AQ$6:$AQ$200,'Data Validation'!$V$2, 'Data entry'!$BD$6:$BD$200,"&lt;&gt;*Negative*"))</f>
        <v>0</v>
      </c>
      <c r="W91" s="15">
        <f>SUM(COUNTIFS('Data entry'!$R$6:$R$200,'Summary Data'!$A91,'Data entry'!$B$6:$B$200,{"Confirmed";"Probable"},'Data entry'!$AQ$6:$AQ$200,'Data Validation'!$V$3, 'Data entry'!$BD$6:$BD$200,"&lt;&gt;*Negative*"))</f>
        <v>0</v>
      </c>
      <c r="X91" s="15">
        <f>SUM(COUNTIFS('Data entry'!$R$6:$R$200,'Summary Data'!$A91,'Data entry'!$B$6:$B$200,{"Confirmed";"Probable"},'Data entry'!$AQ$6:$AQ$200,'Data Validation'!$V$4, 'Data entry'!$BD$6:$BD$200,"&lt;&gt;*Negative*"))</f>
        <v>0</v>
      </c>
      <c r="Y91" s="15">
        <f>SUM(COUNTIFS('Data entry'!$R$6:$R$200,'Summary Data'!$A91,'Data entry'!$B$6:$B$200,{"Confirmed";"Probable"},'Data entry'!$AQ$6:$AQ$200,'Data Validation'!$V$5, 'Data entry'!$BD$6:$BD$200,"&lt;&gt;*Negative*"))</f>
        <v>0</v>
      </c>
      <c r="Z91" s="15">
        <f>SUM(COUNTIFS('Data entry'!$R$6:$R$200,'Summary Data'!$A91,'Data entry'!$B$6:$B$200,{"Confirmed";"Probable"},'Data entry'!$AQ$6:$AQ$200,'Data Validation'!$V$6, 'Data entry'!$BD$6:$BD$200,"&lt;&gt;*Negative*"))</f>
        <v>0</v>
      </c>
      <c r="AA91" s="15">
        <f>SUM(COUNTIFS('Data entry'!$R$6:$R$200,'Summary Data'!$A91,'Data entry'!$B$6:$B$200,{"Confirmed";"Probable"},'Data entry'!$AQ$6:$AQ$200,'Data Validation'!$V$7, 'Data entry'!$BD$6:$BD$200,"&lt;&gt;*Negative*"))</f>
        <v>0</v>
      </c>
      <c r="AB91" s="15">
        <f>SUM(COUNTIFS('Data entry'!$R$6:$R$200,'Summary Data'!$A91,'Data entry'!$B$6:$B$200,{"Confirmed";"Probable"},'Data entry'!$AQ$6:$AQ$200,'Data Validation'!$V$8, 'Data entry'!$BD$6:$BD$200,"&lt;&gt;*Negative*"))</f>
        <v>0</v>
      </c>
      <c r="AC91" s="15">
        <f>SUM(COUNTIFS('Data entry'!$R$6:$R$200,'Summary Data'!$A91,'Data entry'!$B$6:$B$200,{"Confirmed";"Probable"},'Data entry'!$AQ$6:$AQ$200,'Data Validation'!$V$9, 'Data entry'!$BD$6:$BD$200,"&lt;&gt;*Negative*"))</f>
        <v>0</v>
      </c>
      <c r="AD91" s="15">
        <f>SUM(COUNTIFS('Data entry'!$R$6:$R$200,'Summary Data'!$A91,'Data entry'!$B$6:$B$200,{"Confirmed";"Probable"},'Data entry'!$AQ$6:$AQ$200,'Data Validation'!$V$10, 'Data entry'!$BD$6:$BD$200,"&lt;&gt;*Negative*"))</f>
        <v>0</v>
      </c>
      <c r="AE91" s="15">
        <f>SUM(COUNTIFS('Data entry'!$R$6:$R$200,'Summary Data'!$A91,'Data entry'!$B$6:$B$200,{"Confirmed";"Probable"},'Data entry'!$AQ$6:$AQ$200,'Data Validation'!$V$11, 'Data entry'!$BD$6:$BD$200,"&lt;&gt;*Negative*"))</f>
        <v>0</v>
      </c>
      <c r="AF91" s="15">
        <f>SUM(COUNTIFS('Data entry'!$R$6:$R$200,'Summary Data'!$A91,'Data entry'!$B$6:$B$200,{"Confirmed";"Probable"},'Data entry'!$AQ$6:$AQ$200,'Data Validation'!$V$2, 'Data entry'!$AP$6:$AP$200,'Data Validation'!$U$2, 'Data entry'!$BD$6:$BD$200,"&lt;&gt;*Negative*"))</f>
        <v>0</v>
      </c>
      <c r="AG91" s="15">
        <f>SUM(COUNTIFS('Data entry'!$R$6:$R$200,'Summary Data'!$A91,'Data entry'!$B$6:$B$200,{"Confirmed";"Probable"},'Data entry'!$AQ$6:$AQ$200,'Data Validation'!$V$2, 'Data entry'!$AP$6:$AP$200,'Data Validation'!$U$3, 'Data entry'!$BD$6:$BD$200,"&lt;&gt;*Negative*"))</f>
        <v>0</v>
      </c>
      <c r="AH91" s="15">
        <f>SUM(COUNTIFS('Data entry'!$R$6:$R$200,'Summary Data'!$A91,'Data entry'!$B$6:$B$200,{"Confirmed";"Probable"},'Data entry'!$AQ$6:$AQ$200,'Data Validation'!$V$2, 'Data entry'!$AP$6:$AP$200,'Data Validation'!$U$4, 'Data entry'!$BD$6:$BD$200,"&lt;&gt;*Negative*"))</f>
        <v>0</v>
      </c>
      <c r="AI91" s="15">
        <f>SUM(COUNTIFS('Data entry'!$R$6:$R$200,'Summary Data'!$A91,'Data entry'!$B$6:$B$200,{"Confirmed";"Probable"},'Data entry'!$AQ$6:$AQ$200,'Data Validation'!$V$2, 'Data entry'!$AP$6:$AP$200,'Data Validation'!$U$5, 'Data entry'!$BD$6:$BD$200,"&lt;&gt;*Negative*"))</f>
        <v>0</v>
      </c>
      <c r="AJ91" s="15">
        <f>SUM(COUNTIFS('Data entry'!$R$6:$R$200,'Summary Data'!$A91,'Data entry'!$B$6:$B$200,{"Confirmed";"Probable"},'Data entry'!$AQ$6:$AQ$200,'Data Validation'!$V$2, 'Data entry'!$AP$6:$AP$200,'Data Validation'!$U$6, 'Data entry'!$BD$6:$BD$200,"&lt;&gt;*Negative*"))</f>
        <v>0</v>
      </c>
      <c r="AK91" s="15">
        <f>SUM(COUNTIFS('Data entry'!$R$6:$R$200,'Summary Data'!$A91,'Data entry'!$B$6:$B$200,{"Confirmed";"Probable"},'Data entry'!$AQ$6:$AQ$200,'Data Validation'!$V$3, 'Data entry'!$AP$6:$AP$200,'Data Validation'!$U$2, 'Data entry'!$BD$6:$BD$200,"&lt;&gt;*Negative*"))</f>
        <v>0</v>
      </c>
      <c r="AL91" s="15">
        <f>SUM(COUNTIFS('Data entry'!$R$6:$R$200,'Summary Data'!$A91,'Data entry'!$B$6:$B$200,{"Confirmed";"Probable"},'Data entry'!$AQ$6:$AQ$200,'Data Validation'!$V$3, 'Data entry'!$AP$6:$AP$200,'Data Validation'!$U$3, 'Data entry'!$BD$6:$BD$200,"&lt;&gt;*Negative*"))</f>
        <v>0</v>
      </c>
      <c r="AM91" s="15">
        <f>SUM(COUNTIFS('Data entry'!$R$6:$R$200,'Summary Data'!$A91,'Data entry'!$B$6:$B$200,{"Confirmed";"Probable"},'Data entry'!$AQ$6:$AQ$200,'Data Validation'!$V$3, 'Data entry'!$AP$6:$AP$200,'Data Validation'!$U$4, 'Data entry'!$BD$6:$BD$200,"&lt;&gt;*Negative*"))</f>
        <v>0</v>
      </c>
      <c r="AN91" s="15">
        <f>SUM(COUNTIFS('Data entry'!$R$6:$R$200,'Summary Data'!$A91,'Data entry'!$B$6:$B$200,{"Confirmed";"Probable"},'Data entry'!$AQ$6:$AQ$200,'Data Validation'!$V$3, 'Data entry'!$AP$6:$AP$200,'Data Validation'!$U$5, 'Data entry'!$BD$6:$BD$200,"&lt;&gt;*Negative*"))</f>
        <v>0</v>
      </c>
      <c r="AO91" s="15">
        <f>SUM(COUNTIFS('Data entry'!$R$6:$R$200,'Summary Data'!$A91,'Data entry'!$B$6:$B$200,{"Confirmed";"Probable"},'Data entry'!$AQ$6:$AQ$200,'Data Validation'!$V$3, 'Data entry'!$AP$6:$AP$200,'Data Validation'!$U$6, 'Data entry'!$BD$6:$BD$200,"&lt;&gt;*Negative*"))</f>
        <v>0</v>
      </c>
      <c r="AP91" s="15">
        <f>SUM(COUNTIFS('Data entry'!$R$6:$R$200,'Summary Data'!$A91,'Data entry'!$B$6:$B$200,{"Confirmed";"Probable"},'Data entry'!$AQ$6:$AQ$200,'Data Validation'!$V$4, 'Data entry'!$AP$6:$AP$200,'Data Validation'!$U$2, 'Data entry'!$BD$6:$BD$200,"&lt;&gt;*Negative*"))</f>
        <v>0</v>
      </c>
      <c r="AQ91" s="15">
        <f>SUM(COUNTIFS('Data entry'!$R$6:$R$200,'Summary Data'!$A91,'Data entry'!$B$6:$B$200,{"Confirmed";"Probable"},'Data entry'!$AQ$6:$AQ$200,'Data Validation'!$V$4, 'Data entry'!$AP$6:$AP$200,'Data Validation'!$U$3, 'Data entry'!$BD$6:$BD$200,"&lt;&gt;*Negative*"))</f>
        <v>0</v>
      </c>
      <c r="AR91" s="15">
        <f>SUM(COUNTIFS('Data entry'!$R$6:$R$200,'Summary Data'!$A91,'Data entry'!$B$6:$B$200,{"Confirmed";"Probable"},'Data entry'!$AQ$6:$AQ$200,'Data Validation'!$V$4, 'Data entry'!$AP$6:$AP$200,'Data Validation'!$U$4, 'Data entry'!$BD$6:$BD$200,"&lt;&gt;*Negative*"))</f>
        <v>0</v>
      </c>
      <c r="AS91" s="15">
        <f>SUM(COUNTIFS('Data entry'!$R$6:$R$200,'Summary Data'!$A91,'Data entry'!$B$6:$B$200,{"Confirmed";"Probable"},'Data entry'!$AQ$6:$AQ$200,'Data Validation'!$V$4, 'Data entry'!$AP$6:$AP$200,'Data Validation'!$U$5, 'Data entry'!$BD$6:$BD$200,"&lt;&gt;*Negative*"))</f>
        <v>0</v>
      </c>
      <c r="AT91" s="15">
        <f>SUM(COUNTIFS('Data entry'!$R$6:$R$200,'Summary Data'!$A91,'Data entry'!$B$6:$B$200,{"Confirmed";"Probable"},'Data entry'!$AQ$6:$AQ$200,'Data Validation'!$V$4, 'Data entry'!$AP$6:$AP$200,'Data Validation'!$U$6, 'Data entry'!$BD$6:$BD$200,"&lt;&gt;*Negative*"))</f>
        <v>0</v>
      </c>
      <c r="AU91" s="15">
        <f>SUM(COUNTIFS('Data entry'!$R$6:$R$200,'Summary Data'!$A91,'Data entry'!$B$6:$B$200,{"Confirmed";"Probable"},'Data entry'!$AQ$6:$AQ$200,'Data Validation'!$V$5, 'Data entry'!$AP$6:$AP$200,'Data Validation'!$U$2, 'Data entry'!$BD$6:$BD$200,"&lt;&gt;*Negative*"))</f>
        <v>0</v>
      </c>
      <c r="AV91" s="15">
        <f>SUM(COUNTIFS('Data entry'!$R$6:$R$200,'Summary Data'!$A91,'Data entry'!$B$6:$B$200,{"Confirmed";"Probable"},'Data entry'!$AQ$6:$AQ$200,'Data Validation'!$V$5, 'Data entry'!$AP$6:$AP$200,'Data Validation'!$U$3, 'Data entry'!$BD$6:$BD$200,"&lt;&gt;*Negative*"))</f>
        <v>0</v>
      </c>
      <c r="AW91" s="15">
        <f>SUM(COUNTIFS('Data entry'!$R$6:$R$200,'Summary Data'!$A91,'Data entry'!$B$6:$B$200,{"Confirmed";"Probable"},'Data entry'!$AQ$6:$AQ$200,'Data Validation'!$V$5, 'Data entry'!$AP$6:$AP$200,'Data Validation'!$U$4, 'Data entry'!$BD$6:$BD$200,"&lt;&gt;*Negative*"))</f>
        <v>0</v>
      </c>
      <c r="AX91" s="15">
        <f>SUM(COUNTIFS('Data entry'!$R$6:$R$200,'Summary Data'!$A91,'Data entry'!$B$6:$B$200,{"Confirmed";"Probable"},'Data entry'!$AQ$6:$AQ$200,'Data Validation'!$V$5, 'Data entry'!$AP$6:$AP$200,'Data Validation'!$U$5, 'Data entry'!$BD$6:$BD$200,"&lt;&gt;*Negative*"))</f>
        <v>0</v>
      </c>
      <c r="AY91" s="15">
        <f>SUM(COUNTIFS('Data entry'!$R$6:$R$200,'Summary Data'!$A91,'Data entry'!$B$6:$B$200,{"Confirmed";"Probable"},'Data entry'!$AQ$6:$AQ$200,'Data Validation'!$V$5, 'Data entry'!$AP$6:$AP$200,'Data Validation'!$U$6, 'Data entry'!$BD$6:$BD$200,"&lt;&gt;*Negative*"))</f>
        <v>0</v>
      </c>
      <c r="AZ91" s="15">
        <f>SUM(COUNTIFS('Data entry'!$R$6:$R$200,'Summary Data'!$A91,'Data entry'!$B$6:$B$200,{"Confirmed";"Probable"},'Data entry'!$AQ$6:$AQ$200,'Data Validation'!$V$6, 'Data entry'!$AP$6:$AP$200,'Data Validation'!$U$2, 'Data entry'!$BD$6:$BD$200,"&lt;&gt;*Negative*"))</f>
        <v>0</v>
      </c>
      <c r="BA91" s="15">
        <f>SUM(COUNTIFS('Data entry'!$R$6:$R$200,'Summary Data'!$A91,'Data entry'!$B$6:$B$200,{"Confirmed";"Probable"},'Data entry'!$AQ$6:$AQ$200,'Data Validation'!$V$6, 'Data entry'!$AP$6:$AP$200,'Data Validation'!$U$3, 'Data entry'!$BD$6:$BD$200,"&lt;&gt;*Negative*"))</f>
        <v>0</v>
      </c>
      <c r="BB91" s="15">
        <f>SUM(COUNTIFS('Data entry'!$R$6:$R$200,'Summary Data'!$A91,'Data entry'!$B$6:$B$200,{"Confirmed";"Probable"},'Data entry'!$AQ$6:$AQ$200,'Data Validation'!$V$6, 'Data entry'!$AP$6:$AP$200,'Data Validation'!$U$4, 'Data entry'!$BD$6:$BD$200,"&lt;&gt;*Negative*"))</f>
        <v>0</v>
      </c>
      <c r="BC91" s="15">
        <f>SUM(COUNTIFS('Data entry'!$R$6:$R$200,'Summary Data'!$A91,'Data entry'!$B$6:$B$200,{"Confirmed";"Probable"},'Data entry'!$AQ$6:$AQ$200,'Data Validation'!$V$6, 'Data entry'!$AP$6:$AP$200,'Data Validation'!$U$5, 'Data entry'!$BD$6:$BD$200,"&lt;&gt;*Negative*"))</f>
        <v>0</v>
      </c>
      <c r="BD91" s="15">
        <f>SUM(COUNTIFS('Data entry'!$R$6:$R$200,'Summary Data'!$A91,'Data entry'!$B$6:$B$200,{"Confirmed";"Probable"},'Data entry'!$AQ$6:$AQ$200,'Data Validation'!$V$6, 'Data entry'!$AP$6:$AP$200,'Data Validation'!$U$6, 'Data entry'!$BD$6:$BD$200,"&lt;&gt;*Negative*"))</f>
        <v>0</v>
      </c>
      <c r="BE91" s="15">
        <f>SUM(COUNTIFS('Data entry'!$R$6:$R$200,'Summary Data'!$A91,'Data entry'!$B$6:$B$200,{"Confirmed";"Probable"},'Data entry'!$AQ$6:$AQ$200,'Data Validation'!$V$7, 'Data entry'!$AP$6:$AP$200,'Data Validation'!$U$2, 'Data entry'!$BD$6:$BD$200,"&lt;&gt;*Negative*"))</f>
        <v>0</v>
      </c>
      <c r="BF91" s="15">
        <f>SUM(COUNTIFS('Data entry'!$R$6:$R$200,'Summary Data'!$A91,'Data entry'!$B$6:$B$200,{"Confirmed";"Probable"},'Data entry'!$AQ$6:$AQ$200,'Data Validation'!$V$7, 'Data entry'!$AP$6:$AP$200,'Data Validation'!$U$3, 'Data entry'!$BD$6:$BD$200,"&lt;&gt;*Negative*"))</f>
        <v>0</v>
      </c>
      <c r="BG91" s="15">
        <f>SUM(COUNTIFS('Data entry'!$R$6:$R$200,'Summary Data'!$A91,'Data entry'!$B$6:$B$200,{"Confirmed";"Probable"},'Data entry'!$AQ$6:$AQ$200,'Data Validation'!$V$7, 'Data entry'!$AP$6:$AP$200,'Data Validation'!$U$4, 'Data entry'!$BD$6:$BD$200,"&lt;&gt;*Negative*"))</f>
        <v>0</v>
      </c>
      <c r="BH91" s="15">
        <f>SUM(COUNTIFS('Data entry'!$R$6:$R$200,'Summary Data'!$A91,'Data entry'!$B$6:$B$200,{"Confirmed";"Probable"},'Data entry'!$AQ$6:$AQ$200,'Data Validation'!$V$7, 'Data entry'!$AP$6:$AP$200,'Data Validation'!$U$5, 'Data entry'!$BD$6:$BD$200,"&lt;&gt;*Negative*"))</f>
        <v>0</v>
      </c>
      <c r="BI91" s="15">
        <f>SUM(COUNTIFS('Data entry'!$R$6:$R$200,'Summary Data'!$A91,'Data entry'!$B$6:$B$200,{"Confirmed";"Probable"},'Data entry'!$AQ$6:$AQ$200,'Data Validation'!$V$7, 'Data entry'!$AP$6:$AP$200,'Data Validation'!$U$6, 'Data entry'!$BD$6:$BD$200,"&lt;&gt;*Negative*"))</f>
        <v>0</v>
      </c>
      <c r="BJ91" s="15">
        <f>SUM(COUNTIFS('Data entry'!$R$6:$R$200,'Summary Data'!$A91,'Data entry'!$B$6:$B$200,{"Confirmed";"Probable"},'Data entry'!$AQ$6:$AQ$200,'Data Validation'!$V$8, 'Data entry'!$AP$6:$AP$200,'Data Validation'!$U$2, 'Data entry'!$BD$6:$BD$200,"&lt;&gt;*Negative*"))</f>
        <v>0</v>
      </c>
      <c r="BK91" s="15">
        <f>SUM(COUNTIFS('Data entry'!$R$6:$R$200,'Summary Data'!$A91,'Data entry'!$B$6:$B$200,{"Confirmed";"Probable"},'Data entry'!$AQ$6:$AQ$200,'Data Validation'!$V$8, 'Data entry'!$AP$6:$AP$200,'Data Validation'!$U$3, 'Data entry'!$BD$6:$BD$200,"&lt;&gt;*Negative*"))</f>
        <v>0</v>
      </c>
      <c r="BL91" s="15">
        <f>SUM(COUNTIFS('Data entry'!$R$6:$R$200,'Summary Data'!$A91,'Data entry'!$B$6:$B$200,{"Confirmed";"Probable"},'Data entry'!$AQ$6:$AQ$200,'Data Validation'!$V$8, 'Data entry'!$AP$6:$AP$200,'Data Validation'!$U$4, 'Data entry'!$BD$6:$BD$200,"&lt;&gt;*Negative*"))</f>
        <v>0</v>
      </c>
      <c r="BM91" s="15">
        <f>SUM(COUNTIFS('Data entry'!$R$6:$R$200,'Summary Data'!$A91,'Data entry'!$B$6:$B$200,{"Confirmed";"Probable"},'Data entry'!$AQ$6:$AQ$200,'Data Validation'!$V$8, 'Data entry'!$AP$6:$AP$200,'Data Validation'!$U$5, 'Data entry'!$BD$6:$BD$200,"&lt;&gt;*Negative*"))</f>
        <v>0</v>
      </c>
      <c r="BN91" s="15">
        <f>SUM(COUNTIFS('Data entry'!$R$6:$R$200,'Summary Data'!$A91,'Data entry'!$B$6:$B$200,{"Confirmed";"Probable"},'Data entry'!$AQ$6:$AQ$200,'Data Validation'!$V$8, 'Data entry'!$AP$6:$AP$200,'Data Validation'!$U$6, 'Data entry'!$BD$6:$BD$200,"&lt;&gt;*Negative*"))</f>
        <v>0</v>
      </c>
      <c r="BO91" s="15">
        <f>SUM(COUNTIFS('Data entry'!$R$6:$R$200,'Summary Data'!$A91,'Data entry'!$B$6:$B$200,{"Confirmed";"Probable"},'Data entry'!$AQ$6:$AQ$200,'Data Validation'!$V$9, 'Data entry'!$AP$6:$AP$200,'Data Validation'!$U$2, 'Data entry'!$BD$6:$BD$200,"&lt;&gt;*Negative*"))</f>
        <v>0</v>
      </c>
      <c r="BP91" s="15">
        <f>SUM(COUNTIFS('Data entry'!$R$6:$R$200,'Summary Data'!$A91,'Data entry'!$B$6:$B$200,{"Confirmed";"Probable"},'Data entry'!$AQ$6:$AQ$200,'Data Validation'!$V$9, 'Data entry'!$AP$6:$AP$200,'Data Validation'!$U$3, 'Data entry'!$BD$6:$BD$200,"&lt;&gt;*Negative*"))</f>
        <v>0</v>
      </c>
      <c r="BQ91" s="15">
        <f>SUM(COUNTIFS('Data entry'!$R$6:$R$200,'Summary Data'!$A91,'Data entry'!$B$6:$B$200,{"Confirmed";"Probable"},'Data entry'!$AQ$6:$AQ$200,'Data Validation'!$V$9, 'Data entry'!$AP$6:$AP$200,'Data Validation'!$U$4, 'Data entry'!$BD$6:$BD$200,"&lt;&gt;*Negative*"))</f>
        <v>0</v>
      </c>
      <c r="BR91" s="15">
        <f>SUM(COUNTIFS('Data entry'!$R$6:$R$200,'Summary Data'!$A91,'Data entry'!$B$6:$B$200,{"Confirmed";"Probable"},'Data entry'!$AQ$6:$AQ$200,'Data Validation'!$V$9, 'Data entry'!$AP$6:$AP$200,'Data Validation'!$U$5, 'Data entry'!$BD$6:$BD$200,"&lt;&gt;*Negative*"))</f>
        <v>0</v>
      </c>
      <c r="BS91" s="15">
        <f>SUM(COUNTIFS('Data entry'!$R$6:$R$200,'Summary Data'!$A91,'Data entry'!$B$6:$B$200,{"Confirmed";"Probable"},'Data entry'!$AQ$6:$AQ$200,'Data Validation'!$V$9, 'Data entry'!$AP$6:$AP$200,'Data Validation'!$U$6, 'Data entry'!$BD$6:$BD$200,"&lt;&gt;*Negative*"))</f>
        <v>0</v>
      </c>
      <c r="BT91" s="15">
        <f>SUM(COUNTIFS('Data entry'!$R$6:$R$200,'Summary Data'!$A91,'Data entry'!$B$6:$B$200,{"Confirmed";"Probable"},'Data entry'!$AQ$6:$AQ$200,'Data Validation'!$V$10, 'Data entry'!$AP$6:$AP$200,'Data Validation'!$U$2, 'Data entry'!$BD$6:$BD$200,"&lt;&gt;*Negative*"))</f>
        <v>0</v>
      </c>
      <c r="BU91" s="15">
        <f>SUM(COUNTIFS('Data entry'!$R$6:$R$200,'Summary Data'!$A91,'Data entry'!$B$6:$B$200,{"Confirmed";"Probable"},'Data entry'!$AQ$6:$AQ$200,'Data Validation'!$V$10, 'Data entry'!$AP$6:$AP$200,'Data Validation'!$U$3, 'Data entry'!$BD$6:$BD$200,"&lt;&gt;*Negative*"))</f>
        <v>0</v>
      </c>
      <c r="BV91" s="15">
        <f>SUM(COUNTIFS('Data entry'!$R$6:$R$200,'Summary Data'!$A91,'Data entry'!$B$6:$B$200,{"Confirmed";"Probable"},'Data entry'!$AQ$6:$AQ$200,'Data Validation'!$V$10, 'Data entry'!$AP$6:$AP$200,'Data Validation'!$U$4, 'Data entry'!$BD$6:$BD$200,"&lt;&gt;*Negative*"))</f>
        <v>0</v>
      </c>
      <c r="BW91" s="15">
        <f>SUM(COUNTIFS('Data entry'!$R$6:$R$200,'Summary Data'!$A91,'Data entry'!$B$6:$B$200,{"Confirmed";"Probable"},'Data entry'!$AQ$6:$AQ$200,'Data Validation'!$V$10, 'Data entry'!$AP$6:$AP$200,'Data Validation'!$U$5, 'Data entry'!$BD$6:$BD$200,"&lt;&gt;*Negative*"))</f>
        <v>0</v>
      </c>
      <c r="BX91" s="15">
        <f>SUM(COUNTIFS('Data entry'!$R$6:$R$200,'Summary Data'!$A91,'Data entry'!$B$6:$B$200,{"Confirmed";"Probable"},'Data entry'!$AQ$6:$AQ$200,'Data Validation'!$V$10, 'Data entry'!$AP$6:$AP$200,'Data Validation'!$U$6, 'Data entry'!$BD$6:$BD$200,"&lt;&gt;*Negative*"))</f>
        <v>0</v>
      </c>
      <c r="BY91" s="15">
        <f>SUM(COUNTIFS('Data entry'!$R$6:$R$200,'Summary Data'!$A91,'Data entry'!$B$6:$B$200,{"Confirmed";"Probable"},'Data entry'!$AQ$6:$AQ$200,'Data Validation'!$V$11, 'Data entry'!$AP$6:$AP$200,'Data Validation'!$U$2, 'Data entry'!$BD$6:$BD$200,"&lt;&gt;*Negative*"))</f>
        <v>0</v>
      </c>
      <c r="BZ91" s="15">
        <f>SUM(COUNTIFS('Data entry'!$R$6:$R$200,'Summary Data'!$A91,'Data entry'!$B$6:$B$200,{"Confirmed";"Probable"},'Data entry'!$AQ$6:$AQ$200,'Data Validation'!$V$11, 'Data entry'!$AP$6:$AP$200,'Data Validation'!$U$3, 'Data entry'!$BD$6:$BD$200,"&lt;&gt;*Negative*"))</f>
        <v>0</v>
      </c>
      <c r="CA91" s="15">
        <f>SUM(COUNTIFS('Data entry'!$R$6:$R$200,'Summary Data'!$A91,'Data entry'!$B$6:$B$200,{"Confirmed";"Probable"},'Data entry'!$AQ$6:$AQ$200,'Data Validation'!$V$11, 'Data entry'!$AP$6:$AP$200,'Data Validation'!$U$4, 'Data entry'!$BD$6:$BD$200,"&lt;&gt;*Negative*"))</f>
        <v>0</v>
      </c>
      <c r="CB91" s="15">
        <f>SUM(COUNTIFS('Data entry'!$R$6:$R$200,'Summary Data'!$A91,'Data entry'!$B$6:$B$200,{"Confirmed";"Probable"},'Data entry'!$AQ$6:$AQ$200,'Data Validation'!$V$11, 'Data entry'!$AP$6:$AP$200,'Data Validation'!$U$5, 'Data entry'!$BD$6:$BD$200,"&lt;&gt;*Negative*"))</f>
        <v>0</v>
      </c>
      <c r="CC91" s="15">
        <f>SUM(COUNTIFS('Data entry'!$R$6:$R$200,'Summary Data'!$A91,'Data entry'!$B$6:$B$200,{"Confirmed";"Probable"},'Data entry'!$AQ$6:$AQ$200,'Data Validation'!$V$11, 'Data entry'!$AP$6:$AP$200,'Data Validation'!$U$6, 'Data entry'!$BD$6:$BD$200,"&lt;&gt;*Negative*"))</f>
        <v>0</v>
      </c>
    </row>
    <row r="92" spans="1:81" x14ac:dyDescent="0.25">
      <c r="A92" s="12">
        <f t="shared" si="9"/>
        <v>80</v>
      </c>
      <c r="B92" s="13">
        <f t="shared" si="6"/>
        <v>0</v>
      </c>
      <c r="C92" s="13">
        <f>COUNTIFS('Data entry'!$R$6:$R$200,$A92,'Data entry'!$B$6:$B$200,"Confirmed",'Data entry'!$BD$6:$BD$200,"&lt;&gt;*Negative*")</f>
        <v>0</v>
      </c>
      <c r="D92" s="13">
        <f>COUNTIFS('Data entry'!$R$6:$R$200,$A92,'Data entry'!$B$6:$B$200,"Probable",'Data entry'!$BD$6:$BD$200,"&lt;&gt;*Negative*")</f>
        <v>0</v>
      </c>
      <c r="E92" s="13">
        <f>COUNTIFS('Data entry'!$R$6:$R$200,$A92,'Data entry'!$B$6:$B$200,"DNM")</f>
        <v>0</v>
      </c>
      <c r="F92" s="13">
        <f>SUM(COUNTIFS('Data entry'!$R$6:$R$200,'Summary Data'!$A92,'Data entry'!$B$6:$B$200,{"Confirmed";"Probable"},'Data entry'!$AO$6:$AO$200,$F$10, 'Data entry'!$BD$6:$BD$200,"&lt;&gt;*Negative*"))</f>
        <v>0</v>
      </c>
      <c r="G92" s="13">
        <f>SUM(COUNTIFS('Data entry'!$R$6:$R$200,'Summary Data'!$A92,'Data entry'!$B$6:$B$200,{"Confirmed";"Probable"},'Data entry'!$AO$6:$AO$200,$G$10, 'Data entry'!$BD$6:$BD$200,"&lt;&gt;*Negative*"))</f>
        <v>0</v>
      </c>
      <c r="H92" s="13">
        <f>SUM(COUNTIFS('Data entry'!$R$6:$R$200,'Summary Data'!$A92,'Data entry'!$B$6:$B$200,{"Confirmed";"Probable"},'Data entry'!$AO$6:$AO$200,$H$10, 'Data entry'!$BD$6:$BD$200,"&lt;&gt;*Negative*"))</f>
        <v>0</v>
      </c>
      <c r="I92" s="13">
        <f>SUM(COUNTIFS('Data entry'!$R$6:$R$200,'Summary Data'!$A92,'Data entry'!$B$6:$B$200,{"Confirmed";"Probable"},'Data entry'!$AO$6:$AO$200,$I$10, 'Data entry'!$BD$6:$BD$200,"&lt;&gt;*Negative*"))</f>
        <v>0</v>
      </c>
      <c r="J92" s="13">
        <f>SUM(COUNTIFS('Data entry'!$R$6:$R$200,'Summary Data'!$A92,'Data entry'!$B$6:$B$200,{"Confirmed";"Probable"},'Data entry'!$AO$6:$AO$200,$J$10, 'Data entry'!$BD$6:$BD$200,"&lt;&gt;*Negative*"))</f>
        <v>0</v>
      </c>
      <c r="K92" s="13">
        <f>SUM(COUNTIFS('Data entry'!$R$6:$R$200,'Summary Data'!$A92,'Data entry'!$B$6:$B$200,{"Confirmed";"Probable"},'Data entry'!$AO$6:$AO$200,$K$10, 'Data entry'!$BD$6:$BD$200,"&lt;&gt;*Negative*"))</f>
        <v>0</v>
      </c>
      <c r="L92" s="13">
        <f>SUM(COUNTIFS('Data entry'!$R$6:$R$200,'Summary Data'!$A92,'Data entry'!$B$6:$B$200,{"Confirmed";"Probable"},'Data entry'!$AO$6:$AO$200,$L$10, 'Data entry'!$BD$6:$BD$200,"&lt;&gt;*Negative*"))</f>
        <v>0</v>
      </c>
      <c r="M92" s="13">
        <f>SUM(COUNTIFS('Data entry'!$R$6:$R$200,'Summary Data'!$A92,'Data entry'!$B$6:$B$200,{"Confirmed";"Probable"},'Data entry'!$AO$6:$AO$200,$M$10, 'Data entry'!$BD$6:$BD$200,"&lt;&gt;*Negative*"))</f>
        <v>0</v>
      </c>
      <c r="N92" s="13">
        <f>SUM(COUNTIFS('Data entry'!$R$6:$R$200,'Summary Data'!$A92,'Data entry'!$B$6:$B$200,{"Confirmed";"Probable"},'Data entry'!$AO$6:$AO$200,$N$10, 'Data entry'!$BD$6:$BD$200,"&lt;&gt;*Negative*"))</f>
        <v>0</v>
      </c>
      <c r="O92" s="15">
        <f t="shared" si="7"/>
        <v>0</v>
      </c>
      <c r="P92" s="15">
        <f t="shared" si="8"/>
        <v>0</v>
      </c>
      <c r="Q92" s="15">
        <f>SUM(COUNTIFS('Data entry'!$R$6:$R$200,'Summary Data'!$A92,'Data entry'!$B$6:$B$200,{"Confirmed";"Probable"},'Data entry'!$AP$6:$AP$200,'Data Validation'!$U$2, 'Data entry'!$BD$6:$BD$200,"&lt;&gt;*Negative*"))</f>
        <v>0</v>
      </c>
      <c r="R92" s="15">
        <f>SUM(COUNTIFS('Data entry'!$R$6:$R$200,'Summary Data'!$A92,'Data entry'!$B$6:$B$200,{"Confirmed";"Probable"},'Data entry'!$AP$6:$AP$200,'Data Validation'!$U$3, 'Data entry'!$BD$6:$BD$200,"&lt;&gt;*Negative*"))</f>
        <v>0</v>
      </c>
      <c r="S92" s="15">
        <f>SUM(COUNTIFS('Data entry'!$R$6:$R$200,'Summary Data'!$A92,'Data entry'!$B$6:$B$200,{"Confirmed";"Probable"},'Data entry'!$AP$6:$AP$200,'Data Validation'!$U$4, 'Data entry'!$BD$6:$BD$200,"&lt;&gt;*Negative*"))</f>
        <v>0</v>
      </c>
      <c r="T92" s="15">
        <f>SUM(COUNTIFS('Data entry'!$R$6:$R$200,'Summary Data'!$A92,'Data entry'!$B$6:$B$200,{"Confirmed";"Probable"},'Data entry'!$AP$6:$AP$200,'Data Validation'!$U$5, 'Data entry'!$BD$6:$BD$200,"&lt;&gt;*Negative*"))</f>
        <v>0</v>
      </c>
      <c r="U92" s="15">
        <f>SUM(COUNTIFS('Data entry'!$R$6:$R$200,'Summary Data'!$A92,'Data entry'!$B$6:$B$200,{"Confirmed";"Probable"},'Data entry'!$AP$6:$AP$200,'Data Validation'!$U$6, 'Data entry'!$BD$6:$BD$200,"&lt;&gt;*Negative*"))</f>
        <v>0</v>
      </c>
      <c r="V92" s="15">
        <f>SUM(COUNTIFS('Data entry'!$R$6:$R$200,'Summary Data'!$A92,'Data entry'!$B$6:$B$200,{"Confirmed";"Probable"},'Data entry'!$AQ$6:$AQ$200,'Data Validation'!$V$2, 'Data entry'!$BD$6:$BD$200,"&lt;&gt;*Negative*"))</f>
        <v>0</v>
      </c>
      <c r="W92" s="15">
        <f>SUM(COUNTIFS('Data entry'!$R$6:$R$200,'Summary Data'!$A92,'Data entry'!$B$6:$B$200,{"Confirmed";"Probable"},'Data entry'!$AQ$6:$AQ$200,'Data Validation'!$V$3, 'Data entry'!$BD$6:$BD$200,"&lt;&gt;*Negative*"))</f>
        <v>0</v>
      </c>
      <c r="X92" s="15">
        <f>SUM(COUNTIFS('Data entry'!$R$6:$R$200,'Summary Data'!$A92,'Data entry'!$B$6:$B$200,{"Confirmed";"Probable"},'Data entry'!$AQ$6:$AQ$200,'Data Validation'!$V$4, 'Data entry'!$BD$6:$BD$200,"&lt;&gt;*Negative*"))</f>
        <v>0</v>
      </c>
      <c r="Y92" s="15">
        <f>SUM(COUNTIFS('Data entry'!$R$6:$R$200,'Summary Data'!$A92,'Data entry'!$B$6:$B$200,{"Confirmed";"Probable"},'Data entry'!$AQ$6:$AQ$200,'Data Validation'!$V$5, 'Data entry'!$BD$6:$BD$200,"&lt;&gt;*Negative*"))</f>
        <v>0</v>
      </c>
      <c r="Z92" s="15">
        <f>SUM(COUNTIFS('Data entry'!$R$6:$R$200,'Summary Data'!$A92,'Data entry'!$B$6:$B$200,{"Confirmed";"Probable"},'Data entry'!$AQ$6:$AQ$200,'Data Validation'!$V$6, 'Data entry'!$BD$6:$BD$200,"&lt;&gt;*Negative*"))</f>
        <v>0</v>
      </c>
      <c r="AA92" s="15">
        <f>SUM(COUNTIFS('Data entry'!$R$6:$R$200,'Summary Data'!$A92,'Data entry'!$B$6:$B$200,{"Confirmed";"Probable"},'Data entry'!$AQ$6:$AQ$200,'Data Validation'!$V$7, 'Data entry'!$BD$6:$BD$200,"&lt;&gt;*Negative*"))</f>
        <v>0</v>
      </c>
      <c r="AB92" s="15">
        <f>SUM(COUNTIFS('Data entry'!$R$6:$R$200,'Summary Data'!$A92,'Data entry'!$B$6:$B$200,{"Confirmed";"Probable"},'Data entry'!$AQ$6:$AQ$200,'Data Validation'!$V$8, 'Data entry'!$BD$6:$BD$200,"&lt;&gt;*Negative*"))</f>
        <v>0</v>
      </c>
      <c r="AC92" s="15">
        <f>SUM(COUNTIFS('Data entry'!$R$6:$R$200,'Summary Data'!$A92,'Data entry'!$B$6:$B$200,{"Confirmed";"Probable"},'Data entry'!$AQ$6:$AQ$200,'Data Validation'!$V$9, 'Data entry'!$BD$6:$BD$200,"&lt;&gt;*Negative*"))</f>
        <v>0</v>
      </c>
      <c r="AD92" s="15">
        <f>SUM(COUNTIFS('Data entry'!$R$6:$R$200,'Summary Data'!$A92,'Data entry'!$B$6:$B$200,{"Confirmed";"Probable"},'Data entry'!$AQ$6:$AQ$200,'Data Validation'!$V$10, 'Data entry'!$BD$6:$BD$200,"&lt;&gt;*Negative*"))</f>
        <v>0</v>
      </c>
      <c r="AE92" s="15">
        <f>SUM(COUNTIFS('Data entry'!$R$6:$R$200,'Summary Data'!$A92,'Data entry'!$B$6:$B$200,{"Confirmed";"Probable"},'Data entry'!$AQ$6:$AQ$200,'Data Validation'!$V$11, 'Data entry'!$BD$6:$BD$200,"&lt;&gt;*Negative*"))</f>
        <v>0</v>
      </c>
      <c r="AF92" s="15">
        <f>SUM(COUNTIFS('Data entry'!$R$6:$R$200,'Summary Data'!$A92,'Data entry'!$B$6:$B$200,{"Confirmed";"Probable"},'Data entry'!$AQ$6:$AQ$200,'Data Validation'!$V$2, 'Data entry'!$AP$6:$AP$200,'Data Validation'!$U$2, 'Data entry'!$BD$6:$BD$200,"&lt;&gt;*Negative*"))</f>
        <v>0</v>
      </c>
      <c r="AG92" s="15">
        <f>SUM(COUNTIFS('Data entry'!$R$6:$R$200,'Summary Data'!$A92,'Data entry'!$B$6:$B$200,{"Confirmed";"Probable"},'Data entry'!$AQ$6:$AQ$200,'Data Validation'!$V$2, 'Data entry'!$AP$6:$AP$200,'Data Validation'!$U$3, 'Data entry'!$BD$6:$BD$200,"&lt;&gt;*Negative*"))</f>
        <v>0</v>
      </c>
      <c r="AH92" s="15">
        <f>SUM(COUNTIFS('Data entry'!$R$6:$R$200,'Summary Data'!$A92,'Data entry'!$B$6:$B$200,{"Confirmed";"Probable"},'Data entry'!$AQ$6:$AQ$200,'Data Validation'!$V$2, 'Data entry'!$AP$6:$AP$200,'Data Validation'!$U$4, 'Data entry'!$BD$6:$BD$200,"&lt;&gt;*Negative*"))</f>
        <v>0</v>
      </c>
      <c r="AI92" s="15">
        <f>SUM(COUNTIFS('Data entry'!$R$6:$R$200,'Summary Data'!$A92,'Data entry'!$B$6:$B$200,{"Confirmed";"Probable"},'Data entry'!$AQ$6:$AQ$200,'Data Validation'!$V$2, 'Data entry'!$AP$6:$AP$200,'Data Validation'!$U$5, 'Data entry'!$BD$6:$BD$200,"&lt;&gt;*Negative*"))</f>
        <v>0</v>
      </c>
      <c r="AJ92" s="15">
        <f>SUM(COUNTIFS('Data entry'!$R$6:$R$200,'Summary Data'!$A92,'Data entry'!$B$6:$B$200,{"Confirmed";"Probable"},'Data entry'!$AQ$6:$AQ$200,'Data Validation'!$V$2, 'Data entry'!$AP$6:$AP$200,'Data Validation'!$U$6, 'Data entry'!$BD$6:$BD$200,"&lt;&gt;*Negative*"))</f>
        <v>0</v>
      </c>
      <c r="AK92" s="15">
        <f>SUM(COUNTIFS('Data entry'!$R$6:$R$200,'Summary Data'!$A92,'Data entry'!$B$6:$B$200,{"Confirmed";"Probable"},'Data entry'!$AQ$6:$AQ$200,'Data Validation'!$V$3, 'Data entry'!$AP$6:$AP$200,'Data Validation'!$U$2, 'Data entry'!$BD$6:$BD$200,"&lt;&gt;*Negative*"))</f>
        <v>0</v>
      </c>
      <c r="AL92" s="15">
        <f>SUM(COUNTIFS('Data entry'!$R$6:$R$200,'Summary Data'!$A92,'Data entry'!$B$6:$B$200,{"Confirmed";"Probable"},'Data entry'!$AQ$6:$AQ$200,'Data Validation'!$V$3, 'Data entry'!$AP$6:$AP$200,'Data Validation'!$U$3, 'Data entry'!$BD$6:$BD$200,"&lt;&gt;*Negative*"))</f>
        <v>0</v>
      </c>
      <c r="AM92" s="15">
        <f>SUM(COUNTIFS('Data entry'!$R$6:$R$200,'Summary Data'!$A92,'Data entry'!$B$6:$B$200,{"Confirmed";"Probable"},'Data entry'!$AQ$6:$AQ$200,'Data Validation'!$V$3, 'Data entry'!$AP$6:$AP$200,'Data Validation'!$U$4, 'Data entry'!$BD$6:$BD$200,"&lt;&gt;*Negative*"))</f>
        <v>0</v>
      </c>
      <c r="AN92" s="15">
        <f>SUM(COUNTIFS('Data entry'!$R$6:$R$200,'Summary Data'!$A92,'Data entry'!$B$6:$B$200,{"Confirmed";"Probable"},'Data entry'!$AQ$6:$AQ$200,'Data Validation'!$V$3, 'Data entry'!$AP$6:$AP$200,'Data Validation'!$U$5, 'Data entry'!$BD$6:$BD$200,"&lt;&gt;*Negative*"))</f>
        <v>0</v>
      </c>
      <c r="AO92" s="15">
        <f>SUM(COUNTIFS('Data entry'!$R$6:$R$200,'Summary Data'!$A92,'Data entry'!$B$6:$B$200,{"Confirmed";"Probable"},'Data entry'!$AQ$6:$AQ$200,'Data Validation'!$V$3, 'Data entry'!$AP$6:$AP$200,'Data Validation'!$U$6, 'Data entry'!$BD$6:$BD$200,"&lt;&gt;*Negative*"))</f>
        <v>0</v>
      </c>
      <c r="AP92" s="15">
        <f>SUM(COUNTIFS('Data entry'!$R$6:$R$200,'Summary Data'!$A92,'Data entry'!$B$6:$B$200,{"Confirmed";"Probable"},'Data entry'!$AQ$6:$AQ$200,'Data Validation'!$V$4, 'Data entry'!$AP$6:$AP$200,'Data Validation'!$U$2, 'Data entry'!$BD$6:$BD$200,"&lt;&gt;*Negative*"))</f>
        <v>0</v>
      </c>
      <c r="AQ92" s="15">
        <f>SUM(COUNTIFS('Data entry'!$R$6:$R$200,'Summary Data'!$A92,'Data entry'!$B$6:$B$200,{"Confirmed";"Probable"},'Data entry'!$AQ$6:$AQ$200,'Data Validation'!$V$4, 'Data entry'!$AP$6:$AP$200,'Data Validation'!$U$3, 'Data entry'!$BD$6:$BD$200,"&lt;&gt;*Negative*"))</f>
        <v>0</v>
      </c>
      <c r="AR92" s="15">
        <f>SUM(COUNTIFS('Data entry'!$R$6:$R$200,'Summary Data'!$A92,'Data entry'!$B$6:$B$200,{"Confirmed";"Probable"},'Data entry'!$AQ$6:$AQ$200,'Data Validation'!$V$4, 'Data entry'!$AP$6:$AP$200,'Data Validation'!$U$4, 'Data entry'!$BD$6:$BD$200,"&lt;&gt;*Negative*"))</f>
        <v>0</v>
      </c>
      <c r="AS92" s="15">
        <f>SUM(COUNTIFS('Data entry'!$R$6:$R$200,'Summary Data'!$A92,'Data entry'!$B$6:$B$200,{"Confirmed";"Probable"},'Data entry'!$AQ$6:$AQ$200,'Data Validation'!$V$4, 'Data entry'!$AP$6:$AP$200,'Data Validation'!$U$5, 'Data entry'!$BD$6:$BD$200,"&lt;&gt;*Negative*"))</f>
        <v>0</v>
      </c>
      <c r="AT92" s="15">
        <f>SUM(COUNTIFS('Data entry'!$R$6:$R$200,'Summary Data'!$A92,'Data entry'!$B$6:$B$200,{"Confirmed";"Probable"},'Data entry'!$AQ$6:$AQ$200,'Data Validation'!$V$4, 'Data entry'!$AP$6:$AP$200,'Data Validation'!$U$6, 'Data entry'!$BD$6:$BD$200,"&lt;&gt;*Negative*"))</f>
        <v>0</v>
      </c>
      <c r="AU92" s="15">
        <f>SUM(COUNTIFS('Data entry'!$R$6:$R$200,'Summary Data'!$A92,'Data entry'!$B$6:$B$200,{"Confirmed";"Probable"},'Data entry'!$AQ$6:$AQ$200,'Data Validation'!$V$5, 'Data entry'!$AP$6:$AP$200,'Data Validation'!$U$2, 'Data entry'!$BD$6:$BD$200,"&lt;&gt;*Negative*"))</f>
        <v>0</v>
      </c>
      <c r="AV92" s="15">
        <f>SUM(COUNTIFS('Data entry'!$R$6:$R$200,'Summary Data'!$A92,'Data entry'!$B$6:$B$200,{"Confirmed";"Probable"},'Data entry'!$AQ$6:$AQ$200,'Data Validation'!$V$5, 'Data entry'!$AP$6:$AP$200,'Data Validation'!$U$3, 'Data entry'!$BD$6:$BD$200,"&lt;&gt;*Negative*"))</f>
        <v>0</v>
      </c>
      <c r="AW92" s="15">
        <f>SUM(COUNTIFS('Data entry'!$R$6:$R$200,'Summary Data'!$A92,'Data entry'!$B$6:$B$200,{"Confirmed";"Probable"},'Data entry'!$AQ$6:$AQ$200,'Data Validation'!$V$5, 'Data entry'!$AP$6:$AP$200,'Data Validation'!$U$4, 'Data entry'!$BD$6:$BD$200,"&lt;&gt;*Negative*"))</f>
        <v>0</v>
      </c>
      <c r="AX92" s="15">
        <f>SUM(COUNTIFS('Data entry'!$R$6:$R$200,'Summary Data'!$A92,'Data entry'!$B$6:$B$200,{"Confirmed";"Probable"},'Data entry'!$AQ$6:$AQ$200,'Data Validation'!$V$5, 'Data entry'!$AP$6:$AP$200,'Data Validation'!$U$5, 'Data entry'!$BD$6:$BD$200,"&lt;&gt;*Negative*"))</f>
        <v>0</v>
      </c>
      <c r="AY92" s="15">
        <f>SUM(COUNTIFS('Data entry'!$R$6:$R$200,'Summary Data'!$A92,'Data entry'!$B$6:$B$200,{"Confirmed";"Probable"},'Data entry'!$AQ$6:$AQ$200,'Data Validation'!$V$5, 'Data entry'!$AP$6:$AP$200,'Data Validation'!$U$6, 'Data entry'!$BD$6:$BD$200,"&lt;&gt;*Negative*"))</f>
        <v>0</v>
      </c>
      <c r="AZ92" s="15">
        <f>SUM(COUNTIFS('Data entry'!$R$6:$R$200,'Summary Data'!$A92,'Data entry'!$B$6:$B$200,{"Confirmed";"Probable"},'Data entry'!$AQ$6:$AQ$200,'Data Validation'!$V$6, 'Data entry'!$AP$6:$AP$200,'Data Validation'!$U$2, 'Data entry'!$BD$6:$BD$200,"&lt;&gt;*Negative*"))</f>
        <v>0</v>
      </c>
      <c r="BA92" s="15">
        <f>SUM(COUNTIFS('Data entry'!$R$6:$R$200,'Summary Data'!$A92,'Data entry'!$B$6:$B$200,{"Confirmed";"Probable"},'Data entry'!$AQ$6:$AQ$200,'Data Validation'!$V$6, 'Data entry'!$AP$6:$AP$200,'Data Validation'!$U$3, 'Data entry'!$BD$6:$BD$200,"&lt;&gt;*Negative*"))</f>
        <v>0</v>
      </c>
      <c r="BB92" s="15">
        <f>SUM(COUNTIFS('Data entry'!$R$6:$R$200,'Summary Data'!$A92,'Data entry'!$B$6:$B$200,{"Confirmed";"Probable"},'Data entry'!$AQ$6:$AQ$200,'Data Validation'!$V$6, 'Data entry'!$AP$6:$AP$200,'Data Validation'!$U$4, 'Data entry'!$BD$6:$BD$200,"&lt;&gt;*Negative*"))</f>
        <v>0</v>
      </c>
      <c r="BC92" s="15">
        <f>SUM(COUNTIFS('Data entry'!$R$6:$R$200,'Summary Data'!$A92,'Data entry'!$B$6:$B$200,{"Confirmed";"Probable"},'Data entry'!$AQ$6:$AQ$200,'Data Validation'!$V$6, 'Data entry'!$AP$6:$AP$200,'Data Validation'!$U$5, 'Data entry'!$BD$6:$BD$200,"&lt;&gt;*Negative*"))</f>
        <v>0</v>
      </c>
      <c r="BD92" s="15">
        <f>SUM(COUNTIFS('Data entry'!$R$6:$R$200,'Summary Data'!$A92,'Data entry'!$B$6:$B$200,{"Confirmed";"Probable"},'Data entry'!$AQ$6:$AQ$200,'Data Validation'!$V$6, 'Data entry'!$AP$6:$AP$200,'Data Validation'!$U$6, 'Data entry'!$BD$6:$BD$200,"&lt;&gt;*Negative*"))</f>
        <v>0</v>
      </c>
      <c r="BE92" s="15">
        <f>SUM(COUNTIFS('Data entry'!$R$6:$R$200,'Summary Data'!$A92,'Data entry'!$B$6:$B$200,{"Confirmed";"Probable"},'Data entry'!$AQ$6:$AQ$200,'Data Validation'!$V$7, 'Data entry'!$AP$6:$AP$200,'Data Validation'!$U$2, 'Data entry'!$BD$6:$BD$200,"&lt;&gt;*Negative*"))</f>
        <v>0</v>
      </c>
      <c r="BF92" s="15">
        <f>SUM(COUNTIFS('Data entry'!$R$6:$R$200,'Summary Data'!$A92,'Data entry'!$B$6:$B$200,{"Confirmed";"Probable"},'Data entry'!$AQ$6:$AQ$200,'Data Validation'!$V$7, 'Data entry'!$AP$6:$AP$200,'Data Validation'!$U$3, 'Data entry'!$BD$6:$BD$200,"&lt;&gt;*Negative*"))</f>
        <v>0</v>
      </c>
      <c r="BG92" s="15">
        <f>SUM(COUNTIFS('Data entry'!$R$6:$R$200,'Summary Data'!$A92,'Data entry'!$B$6:$B$200,{"Confirmed";"Probable"},'Data entry'!$AQ$6:$AQ$200,'Data Validation'!$V$7, 'Data entry'!$AP$6:$AP$200,'Data Validation'!$U$4, 'Data entry'!$BD$6:$BD$200,"&lt;&gt;*Negative*"))</f>
        <v>0</v>
      </c>
      <c r="BH92" s="15">
        <f>SUM(COUNTIFS('Data entry'!$R$6:$R$200,'Summary Data'!$A92,'Data entry'!$B$6:$B$200,{"Confirmed";"Probable"},'Data entry'!$AQ$6:$AQ$200,'Data Validation'!$V$7, 'Data entry'!$AP$6:$AP$200,'Data Validation'!$U$5, 'Data entry'!$BD$6:$BD$200,"&lt;&gt;*Negative*"))</f>
        <v>0</v>
      </c>
      <c r="BI92" s="15">
        <f>SUM(COUNTIFS('Data entry'!$R$6:$R$200,'Summary Data'!$A92,'Data entry'!$B$6:$B$200,{"Confirmed";"Probable"},'Data entry'!$AQ$6:$AQ$200,'Data Validation'!$V$7, 'Data entry'!$AP$6:$AP$200,'Data Validation'!$U$6, 'Data entry'!$BD$6:$BD$200,"&lt;&gt;*Negative*"))</f>
        <v>0</v>
      </c>
      <c r="BJ92" s="15">
        <f>SUM(COUNTIFS('Data entry'!$R$6:$R$200,'Summary Data'!$A92,'Data entry'!$B$6:$B$200,{"Confirmed";"Probable"},'Data entry'!$AQ$6:$AQ$200,'Data Validation'!$V$8, 'Data entry'!$AP$6:$AP$200,'Data Validation'!$U$2, 'Data entry'!$BD$6:$BD$200,"&lt;&gt;*Negative*"))</f>
        <v>0</v>
      </c>
      <c r="BK92" s="15">
        <f>SUM(COUNTIFS('Data entry'!$R$6:$R$200,'Summary Data'!$A92,'Data entry'!$B$6:$B$200,{"Confirmed";"Probable"},'Data entry'!$AQ$6:$AQ$200,'Data Validation'!$V$8, 'Data entry'!$AP$6:$AP$200,'Data Validation'!$U$3, 'Data entry'!$BD$6:$BD$200,"&lt;&gt;*Negative*"))</f>
        <v>0</v>
      </c>
      <c r="BL92" s="15">
        <f>SUM(COUNTIFS('Data entry'!$R$6:$R$200,'Summary Data'!$A92,'Data entry'!$B$6:$B$200,{"Confirmed";"Probable"},'Data entry'!$AQ$6:$AQ$200,'Data Validation'!$V$8, 'Data entry'!$AP$6:$AP$200,'Data Validation'!$U$4, 'Data entry'!$BD$6:$BD$200,"&lt;&gt;*Negative*"))</f>
        <v>0</v>
      </c>
      <c r="BM92" s="15">
        <f>SUM(COUNTIFS('Data entry'!$R$6:$R$200,'Summary Data'!$A92,'Data entry'!$B$6:$B$200,{"Confirmed";"Probable"},'Data entry'!$AQ$6:$AQ$200,'Data Validation'!$V$8, 'Data entry'!$AP$6:$AP$200,'Data Validation'!$U$5, 'Data entry'!$BD$6:$BD$200,"&lt;&gt;*Negative*"))</f>
        <v>0</v>
      </c>
      <c r="BN92" s="15">
        <f>SUM(COUNTIFS('Data entry'!$R$6:$R$200,'Summary Data'!$A92,'Data entry'!$B$6:$B$200,{"Confirmed";"Probable"},'Data entry'!$AQ$6:$AQ$200,'Data Validation'!$V$8, 'Data entry'!$AP$6:$AP$200,'Data Validation'!$U$6, 'Data entry'!$BD$6:$BD$200,"&lt;&gt;*Negative*"))</f>
        <v>0</v>
      </c>
      <c r="BO92" s="15">
        <f>SUM(COUNTIFS('Data entry'!$R$6:$R$200,'Summary Data'!$A92,'Data entry'!$B$6:$B$200,{"Confirmed";"Probable"},'Data entry'!$AQ$6:$AQ$200,'Data Validation'!$V$9, 'Data entry'!$AP$6:$AP$200,'Data Validation'!$U$2, 'Data entry'!$BD$6:$BD$200,"&lt;&gt;*Negative*"))</f>
        <v>0</v>
      </c>
      <c r="BP92" s="15">
        <f>SUM(COUNTIFS('Data entry'!$R$6:$R$200,'Summary Data'!$A92,'Data entry'!$B$6:$B$200,{"Confirmed";"Probable"},'Data entry'!$AQ$6:$AQ$200,'Data Validation'!$V$9, 'Data entry'!$AP$6:$AP$200,'Data Validation'!$U$3, 'Data entry'!$BD$6:$BD$200,"&lt;&gt;*Negative*"))</f>
        <v>0</v>
      </c>
      <c r="BQ92" s="15">
        <f>SUM(COUNTIFS('Data entry'!$R$6:$R$200,'Summary Data'!$A92,'Data entry'!$B$6:$B$200,{"Confirmed";"Probable"},'Data entry'!$AQ$6:$AQ$200,'Data Validation'!$V$9, 'Data entry'!$AP$6:$AP$200,'Data Validation'!$U$4, 'Data entry'!$BD$6:$BD$200,"&lt;&gt;*Negative*"))</f>
        <v>0</v>
      </c>
      <c r="BR92" s="15">
        <f>SUM(COUNTIFS('Data entry'!$R$6:$R$200,'Summary Data'!$A92,'Data entry'!$B$6:$B$200,{"Confirmed";"Probable"},'Data entry'!$AQ$6:$AQ$200,'Data Validation'!$V$9, 'Data entry'!$AP$6:$AP$200,'Data Validation'!$U$5, 'Data entry'!$BD$6:$BD$200,"&lt;&gt;*Negative*"))</f>
        <v>0</v>
      </c>
      <c r="BS92" s="15">
        <f>SUM(COUNTIFS('Data entry'!$R$6:$R$200,'Summary Data'!$A92,'Data entry'!$B$6:$B$200,{"Confirmed";"Probable"},'Data entry'!$AQ$6:$AQ$200,'Data Validation'!$V$9, 'Data entry'!$AP$6:$AP$200,'Data Validation'!$U$6, 'Data entry'!$BD$6:$BD$200,"&lt;&gt;*Negative*"))</f>
        <v>0</v>
      </c>
      <c r="BT92" s="15">
        <f>SUM(COUNTIFS('Data entry'!$R$6:$R$200,'Summary Data'!$A92,'Data entry'!$B$6:$B$200,{"Confirmed";"Probable"},'Data entry'!$AQ$6:$AQ$200,'Data Validation'!$V$10, 'Data entry'!$AP$6:$AP$200,'Data Validation'!$U$2, 'Data entry'!$BD$6:$BD$200,"&lt;&gt;*Negative*"))</f>
        <v>0</v>
      </c>
      <c r="BU92" s="15">
        <f>SUM(COUNTIFS('Data entry'!$R$6:$R$200,'Summary Data'!$A92,'Data entry'!$B$6:$B$200,{"Confirmed";"Probable"},'Data entry'!$AQ$6:$AQ$200,'Data Validation'!$V$10, 'Data entry'!$AP$6:$AP$200,'Data Validation'!$U$3, 'Data entry'!$BD$6:$BD$200,"&lt;&gt;*Negative*"))</f>
        <v>0</v>
      </c>
      <c r="BV92" s="15">
        <f>SUM(COUNTIFS('Data entry'!$R$6:$R$200,'Summary Data'!$A92,'Data entry'!$B$6:$B$200,{"Confirmed";"Probable"},'Data entry'!$AQ$6:$AQ$200,'Data Validation'!$V$10, 'Data entry'!$AP$6:$AP$200,'Data Validation'!$U$4, 'Data entry'!$BD$6:$BD$200,"&lt;&gt;*Negative*"))</f>
        <v>0</v>
      </c>
      <c r="BW92" s="15">
        <f>SUM(COUNTIFS('Data entry'!$R$6:$R$200,'Summary Data'!$A92,'Data entry'!$B$6:$B$200,{"Confirmed";"Probable"},'Data entry'!$AQ$6:$AQ$200,'Data Validation'!$V$10, 'Data entry'!$AP$6:$AP$200,'Data Validation'!$U$5, 'Data entry'!$BD$6:$BD$200,"&lt;&gt;*Negative*"))</f>
        <v>0</v>
      </c>
      <c r="BX92" s="15">
        <f>SUM(COUNTIFS('Data entry'!$R$6:$R$200,'Summary Data'!$A92,'Data entry'!$B$6:$B$200,{"Confirmed";"Probable"},'Data entry'!$AQ$6:$AQ$200,'Data Validation'!$V$10, 'Data entry'!$AP$6:$AP$200,'Data Validation'!$U$6, 'Data entry'!$BD$6:$BD$200,"&lt;&gt;*Negative*"))</f>
        <v>0</v>
      </c>
      <c r="BY92" s="15">
        <f>SUM(COUNTIFS('Data entry'!$R$6:$R$200,'Summary Data'!$A92,'Data entry'!$B$6:$B$200,{"Confirmed";"Probable"},'Data entry'!$AQ$6:$AQ$200,'Data Validation'!$V$11, 'Data entry'!$AP$6:$AP$200,'Data Validation'!$U$2, 'Data entry'!$BD$6:$BD$200,"&lt;&gt;*Negative*"))</f>
        <v>0</v>
      </c>
      <c r="BZ92" s="15">
        <f>SUM(COUNTIFS('Data entry'!$R$6:$R$200,'Summary Data'!$A92,'Data entry'!$B$6:$B$200,{"Confirmed";"Probable"},'Data entry'!$AQ$6:$AQ$200,'Data Validation'!$V$11, 'Data entry'!$AP$6:$AP$200,'Data Validation'!$U$3, 'Data entry'!$BD$6:$BD$200,"&lt;&gt;*Negative*"))</f>
        <v>0</v>
      </c>
      <c r="CA92" s="15">
        <f>SUM(COUNTIFS('Data entry'!$R$6:$R$200,'Summary Data'!$A92,'Data entry'!$B$6:$B$200,{"Confirmed";"Probable"},'Data entry'!$AQ$6:$AQ$200,'Data Validation'!$V$11, 'Data entry'!$AP$6:$AP$200,'Data Validation'!$U$4, 'Data entry'!$BD$6:$BD$200,"&lt;&gt;*Negative*"))</f>
        <v>0</v>
      </c>
      <c r="CB92" s="15">
        <f>SUM(COUNTIFS('Data entry'!$R$6:$R$200,'Summary Data'!$A92,'Data entry'!$B$6:$B$200,{"Confirmed";"Probable"},'Data entry'!$AQ$6:$AQ$200,'Data Validation'!$V$11, 'Data entry'!$AP$6:$AP$200,'Data Validation'!$U$5, 'Data entry'!$BD$6:$BD$200,"&lt;&gt;*Negative*"))</f>
        <v>0</v>
      </c>
      <c r="CC92" s="15">
        <f>SUM(COUNTIFS('Data entry'!$R$6:$R$200,'Summary Data'!$A92,'Data entry'!$B$6:$B$200,{"Confirmed";"Probable"},'Data entry'!$AQ$6:$AQ$200,'Data Validation'!$V$11, 'Data entry'!$AP$6:$AP$200,'Data Validation'!$U$6, 'Data entry'!$BD$6:$BD$200,"&lt;&gt;*Negative*"))</f>
        <v>0</v>
      </c>
    </row>
    <row r="93" spans="1:81" x14ac:dyDescent="0.25">
      <c r="A93" s="12">
        <f t="shared" si="9"/>
        <v>81</v>
      </c>
      <c r="B93" s="13">
        <f t="shared" si="6"/>
        <v>0</v>
      </c>
      <c r="C93" s="13">
        <f>COUNTIFS('Data entry'!$R$6:$R$200,$A93,'Data entry'!$B$6:$B$200,"Confirmed",'Data entry'!$BD$6:$BD$200,"&lt;&gt;*Negative*")</f>
        <v>0</v>
      </c>
      <c r="D93" s="13">
        <f>COUNTIFS('Data entry'!$R$6:$R$200,$A93,'Data entry'!$B$6:$B$200,"Probable",'Data entry'!$BD$6:$BD$200,"&lt;&gt;*Negative*")</f>
        <v>0</v>
      </c>
      <c r="E93" s="13">
        <f>COUNTIFS('Data entry'!$R$6:$R$200,$A93,'Data entry'!$B$6:$B$200,"DNM")</f>
        <v>0</v>
      </c>
      <c r="F93" s="13">
        <f>SUM(COUNTIFS('Data entry'!$R$6:$R$200,'Summary Data'!$A93,'Data entry'!$B$6:$B$200,{"Confirmed";"Probable"},'Data entry'!$AO$6:$AO$200,$F$10, 'Data entry'!$BD$6:$BD$200,"&lt;&gt;*Negative*"))</f>
        <v>0</v>
      </c>
      <c r="G93" s="13">
        <f>SUM(COUNTIFS('Data entry'!$R$6:$R$200,'Summary Data'!$A93,'Data entry'!$B$6:$B$200,{"Confirmed";"Probable"},'Data entry'!$AO$6:$AO$200,$G$10, 'Data entry'!$BD$6:$BD$200,"&lt;&gt;*Negative*"))</f>
        <v>0</v>
      </c>
      <c r="H93" s="13">
        <f>SUM(COUNTIFS('Data entry'!$R$6:$R$200,'Summary Data'!$A93,'Data entry'!$B$6:$B$200,{"Confirmed";"Probable"},'Data entry'!$AO$6:$AO$200,$H$10, 'Data entry'!$BD$6:$BD$200,"&lt;&gt;*Negative*"))</f>
        <v>0</v>
      </c>
      <c r="I93" s="13">
        <f>SUM(COUNTIFS('Data entry'!$R$6:$R$200,'Summary Data'!$A93,'Data entry'!$B$6:$B$200,{"Confirmed";"Probable"},'Data entry'!$AO$6:$AO$200,$I$10, 'Data entry'!$BD$6:$BD$200,"&lt;&gt;*Negative*"))</f>
        <v>0</v>
      </c>
      <c r="J93" s="13">
        <f>SUM(COUNTIFS('Data entry'!$R$6:$R$200,'Summary Data'!$A93,'Data entry'!$B$6:$B$200,{"Confirmed";"Probable"},'Data entry'!$AO$6:$AO$200,$J$10, 'Data entry'!$BD$6:$BD$200,"&lt;&gt;*Negative*"))</f>
        <v>0</v>
      </c>
      <c r="K93" s="13">
        <f>SUM(COUNTIFS('Data entry'!$R$6:$R$200,'Summary Data'!$A93,'Data entry'!$B$6:$B$200,{"Confirmed";"Probable"},'Data entry'!$AO$6:$AO$200,$K$10, 'Data entry'!$BD$6:$BD$200,"&lt;&gt;*Negative*"))</f>
        <v>0</v>
      </c>
      <c r="L93" s="13">
        <f>SUM(COUNTIFS('Data entry'!$R$6:$R$200,'Summary Data'!$A93,'Data entry'!$B$6:$B$200,{"Confirmed";"Probable"},'Data entry'!$AO$6:$AO$200,$L$10, 'Data entry'!$BD$6:$BD$200,"&lt;&gt;*Negative*"))</f>
        <v>0</v>
      </c>
      <c r="M93" s="13">
        <f>SUM(COUNTIFS('Data entry'!$R$6:$R$200,'Summary Data'!$A93,'Data entry'!$B$6:$B$200,{"Confirmed";"Probable"},'Data entry'!$AO$6:$AO$200,$M$10, 'Data entry'!$BD$6:$BD$200,"&lt;&gt;*Negative*"))</f>
        <v>0</v>
      </c>
      <c r="N93" s="13">
        <f>SUM(COUNTIFS('Data entry'!$R$6:$R$200,'Summary Data'!$A93,'Data entry'!$B$6:$B$200,{"Confirmed";"Probable"},'Data entry'!$AO$6:$AO$200,$N$10, 'Data entry'!$BD$6:$BD$200,"&lt;&gt;*Negative*"))</f>
        <v>0</v>
      </c>
      <c r="O93" s="15">
        <f t="shared" si="7"/>
        <v>0</v>
      </c>
      <c r="P93" s="15">
        <f t="shared" si="8"/>
        <v>0</v>
      </c>
      <c r="Q93" s="15">
        <f>SUM(COUNTIFS('Data entry'!$R$6:$R$200,'Summary Data'!$A93,'Data entry'!$B$6:$B$200,{"Confirmed";"Probable"},'Data entry'!$AP$6:$AP$200,'Data Validation'!$U$2, 'Data entry'!$BD$6:$BD$200,"&lt;&gt;*Negative*"))</f>
        <v>0</v>
      </c>
      <c r="R93" s="15">
        <f>SUM(COUNTIFS('Data entry'!$R$6:$R$200,'Summary Data'!$A93,'Data entry'!$B$6:$B$200,{"Confirmed";"Probable"},'Data entry'!$AP$6:$AP$200,'Data Validation'!$U$3, 'Data entry'!$BD$6:$BD$200,"&lt;&gt;*Negative*"))</f>
        <v>0</v>
      </c>
      <c r="S93" s="15">
        <f>SUM(COUNTIFS('Data entry'!$R$6:$R$200,'Summary Data'!$A93,'Data entry'!$B$6:$B$200,{"Confirmed";"Probable"},'Data entry'!$AP$6:$AP$200,'Data Validation'!$U$4, 'Data entry'!$BD$6:$BD$200,"&lt;&gt;*Negative*"))</f>
        <v>0</v>
      </c>
      <c r="T93" s="15">
        <f>SUM(COUNTIFS('Data entry'!$R$6:$R$200,'Summary Data'!$A93,'Data entry'!$B$6:$B$200,{"Confirmed";"Probable"},'Data entry'!$AP$6:$AP$200,'Data Validation'!$U$5, 'Data entry'!$BD$6:$BD$200,"&lt;&gt;*Negative*"))</f>
        <v>0</v>
      </c>
      <c r="U93" s="15">
        <f>SUM(COUNTIFS('Data entry'!$R$6:$R$200,'Summary Data'!$A93,'Data entry'!$B$6:$B$200,{"Confirmed";"Probable"},'Data entry'!$AP$6:$AP$200,'Data Validation'!$U$6, 'Data entry'!$BD$6:$BD$200,"&lt;&gt;*Negative*"))</f>
        <v>0</v>
      </c>
      <c r="V93" s="15">
        <f>SUM(COUNTIFS('Data entry'!$R$6:$R$200,'Summary Data'!$A93,'Data entry'!$B$6:$B$200,{"Confirmed";"Probable"},'Data entry'!$AQ$6:$AQ$200,'Data Validation'!$V$2, 'Data entry'!$BD$6:$BD$200,"&lt;&gt;*Negative*"))</f>
        <v>0</v>
      </c>
      <c r="W93" s="15">
        <f>SUM(COUNTIFS('Data entry'!$R$6:$R$200,'Summary Data'!$A93,'Data entry'!$B$6:$B$200,{"Confirmed";"Probable"},'Data entry'!$AQ$6:$AQ$200,'Data Validation'!$V$3, 'Data entry'!$BD$6:$BD$200,"&lt;&gt;*Negative*"))</f>
        <v>0</v>
      </c>
      <c r="X93" s="15">
        <f>SUM(COUNTIFS('Data entry'!$R$6:$R$200,'Summary Data'!$A93,'Data entry'!$B$6:$B$200,{"Confirmed";"Probable"},'Data entry'!$AQ$6:$AQ$200,'Data Validation'!$V$4, 'Data entry'!$BD$6:$BD$200,"&lt;&gt;*Negative*"))</f>
        <v>0</v>
      </c>
      <c r="Y93" s="15">
        <f>SUM(COUNTIFS('Data entry'!$R$6:$R$200,'Summary Data'!$A93,'Data entry'!$B$6:$B$200,{"Confirmed";"Probable"},'Data entry'!$AQ$6:$AQ$200,'Data Validation'!$V$5, 'Data entry'!$BD$6:$BD$200,"&lt;&gt;*Negative*"))</f>
        <v>0</v>
      </c>
      <c r="Z93" s="15">
        <f>SUM(COUNTIFS('Data entry'!$R$6:$R$200,'Summary Data'!$A93,'Data entry'!$B$6:$B$200,{"Confirmed";"Probable"},'Data entry'!$AQ$6:$AQ$200,'Data Validation'!$V$6, 'Data entry'!$BD$6:$BD$200,"&lt;&gt;*Negative*"))</f>
        <v>0</v>
      </c>
      <c r="AA93" s="15">
        <f>SUM(COUNTIFS('Data entry'!$R$6:$R$200,'Summary Data'!$A93,'Data entry'!$B$6:$B$200,{"Confirmed";"Probable"},'Data entry'!$AQ$6:$AQ$200,'Data Validation'!$V$7, 'Data entry'!$BD$6:$BD$200,"&lt;&gt;*Negative*"))</f>
        <v>0</v>
      </c>
      <c r="AB93" s="15">
        <f>SUM(COUNTIFS('Data entry'!$R$6:$R$200,'Summary Data'!$A93,'Data entry'!$B$6:$B$200,{"Confirmed";"Probable"},'Data entry'!$AQ$6:$AQ$200,'Data Validation'!$V$8, 'Data entry'!$BD$6:$BD$200,"&lt;&gt;*Negative*"))</f>
        <v>0</v>
      </c>
      <c r="AC93" s="15">
        <f>SUM(COUNTIFS('Data entry'!$R$6:$R$200,'Summary Data'!$A93,'Data entry'!$B$6:$B$200,{"Confirmed";"Probable"},'Data entry'!$AQ$6:$AQ$200,'Data Validation'!$V$9, 'Data entry'!$BD$6:$BD$200,"&lt;&gt;*Negative*"))</f>
        <v>0</v>
      </c>
      <c r="AD93" s="15">
        <f>SUM(COUNTIFS('Data entry'!$R$6:$R$200,'Summary Data'!$A93,'Data entry'!$B$6:$B$200,{"Confirmed";"Probable"},'Data entry'!$AQ$6:$AQ$200,'Data Validation'!$V$10, 'Data entry'!$BD$6:$BD$200,"&lt;&gt;*Negative*"))</f>
        <v>0</v>
      </c>
      <c r="AE93" s="15">
        <f>SUM(COUNTIFS('Data entry'!$R$6:$R$200,'Summary Data'!$A93,'Data entry'!$B$6:$B$200,{"Confirmed";"Probable"},'Data entry'!$AQ$6:$AQ$200,'Data Validation'!$V$11, 'Data entry'!$BD$6:$BD$200,"&lt;&gt;*Negative*"))</f>
        <v>0</v>
      </c>
      <c r="AF93" s="15">
        <f>SUM(COUNTIFS('Data entry'!$R$6:$R$200,'Summary Data'!$A93,'Data entry'!$B$6:$B$200,{"Confirmed";"Probable"},'Data entry'!$AQ$6:$AQ$200,'Data Validation'!$V$2, 'Data entry'!$AP$6:$AP$200,'Data Validation'!$U$2, 'Data entry'!$BD$6:$BD$200,"&lt;&gt;*Negative*"))</f>
        <v>0</v>
      </c>
      <c r="AG93" s="15">
        <f>SUM(COUNTIFS('Data entry'!$R$6:$R$200,'Summary Data'!$A93,'Data entry'!$B$6:$B$200,{"Confirmed";"Probable"},'Data entry'!$AQ$6:$AQ$200,'Data Validation'!$V$2, 'Data entry'!$AP$6:$AP$200,'Data Validation'!$U$3, 'Data entry'!$BD$6:$BD$200,"&lt;&gt;*Negative*"))</f>
        <v>0</v>
      </c>
      <c r="AH93" s="15">
        <f>SUM(COUNTIFS('Data entry'!$R$6:$R$200,'Summary Data'!$A93,'Data entry'!$B$6:$B$200,{"Confirmed";"Probable"},'Data entry'!$AQ$6:$AQ$200,'Data Validation'!$V$2, 'Data entry'!$AP$6:$AP$200,'Data Validation'!$U$4, 'Data entry'!$BD$6:$BD$200,"&lt;&gt;*Negative*"))</f>
        <v>0</v>
      </c>
      <c r="AI93" s="15">
        <f>SUM(COUNTIFS('Data entry'!$R$6:$R$200,'Summary Data'!$A93,'Data entry'!$B$6:$B$200,{"Confirmed";"Probable"},'Data entry'!$AQ$6:$AQ$200,'Data Validation'!$V$2, 'Data entry'!$AP$6:$AP$200,'Data Validation'!$U$5, 'Data entry'!$BD$6:$BD$200,"&lt;&gt;*Negative*"))</f>
        <v>0</v>
      </c>
      <c r="AJ93" s="15">
        <f>SUM(COUNTIFS('Data entry'!$R$6:$R$200,'Summary Data'!$A93,'Data entry'!$B$6:$B$200,{"Confirmed";"Probable"},'Data entry'!$AQ$6:$AQ$200,'Data Validation'!$V$2, 'Data entry'!$AP$6:$AP$200,'Data Validation'!$U$6, 'Data entry'!$BD$6:$BD$200,"&lt;&gt;*Negative*"))</f>
        <v>0</v>
      </c>
      <c r="AK93" s="15">
        <f>SUM(COUNTIFS('Data entry'!$R$6:$R$200,'Summary Data'!$A93,'Data entry'!$B$6:$B$200,{"Confirmed";"Probable"},'Data entry'!$AQ$6:$AQ$200,'Data Validation'!$V$3, 'Data entry'!$AP$6:$AP$200,'Data Validation'!$U$2, 'Data entry'!$BD$6:$BD$200,"&lt;&gt;*Negative*"))</f>
        <v>0</v>
      </c>
      <c r="AL93" s="15">
        <f>SUM(COUNTIFS('Data entry'!$R$6:$R$200,'Summary Data'!$A93,'Data entry'!$B$6:$B$200,{"Confirmed";"Probable"},'Data entry'!$AQ$6:$AQ$200,'Data Validation'!$V$3, 'Data entry'!$AP$6:$AP$200,'Data Validation'!$U$3, 'Data entry'!$BD$6:$BD$200,"&lt;&gt;*Negative*"))</f>
        <v>0</v>
      </c>
      <c r="AM93" s="15">
        <f>SUM(COUNTIFS('Data entry'!$R$6:$R$200,'Summary Data'!$A93,'Data entry'!$B$6:$B$200,{"Confirmed";"Probable"},'Data entry'!$AQ$6:$AQ$200,'Data Validation'!$V$3, 'Data entry'!$AP$6:$AP$200,'Data Validation'!$U$4, 'Data entry'!$BD$6:$BD$200,"&lt;&gt;*Negative*"))</f>
        <v>0</v>
      </c>
      <c r="AN93" s="15">
        <f>SUM(COUNTIFS('Data entry'!$R$6:$R$200,'Summary Data'!$A93,'Data entry'!$B$6:$B$200,{"Confirmed";"Probable"},'Data entry'!$AQ$6:$AQ$200,'Data Validation'!$V$3, 'Data entry'!$AP$6:$AP$200,'Data Validation'!$U$5, 'Data entry'!$BD$6:$BD$200,"&lt;&gt;*Negative*"))</f>
        <v>0</v>
      </c>
      <c r="AO93" s="15">
        <f>SUM(COUNTIFS('Data entry'!$R$6:$R$200,'Summary Data'!$A93,'Data entry'!$B$6:$B$200,{"Confirmed";"Probable"},'Data entry'!$AQ$6:$AQ$200,'Data Validation'!$V$3, 'Data entry'!$AP$6:$AP$200,'Data Validation'!$U$6, 'Data entry'!$BD$6:$BD$200,"&lt;&gt;*Negative*"))</f>
        <v>0</v>
      </c>
      <c r="AP93" s="15">
        <f>SUM(COUNTIFS('Data entry'!$R$6:$R$200,'Summary Data'!$A93,'Data entry'!$B$6:$B$200,{"Confirmed";"Probable"},'Data entry'!$AQ$6:$AQ$200,'Data Validation'!$V$4, 'Data entry'!$AP$6:$AP$200,'Data Validation'!$U$2, 'Data entry'!$BD$6:$BD$200,"&lt;&gt;*Negative*"))</f>
        <v>0</v>
      </c>
      <c r="AQ93" s="15">
        <f>SUM(COUNTIFS('Data entry'!$R$6:$R$200,'Summary Data'!$A93,'Data entry'!$B$6:$B$200,{"Confirmed";"Probable"},'Data entry'!$AQ$6:$AQ$200,'Data Validation'!$V$4, 'Data entry'!$AP$6:$AP$200,'Data Validation'!$U$3, 'Data entry'!$BD$6:$BD$200,"&lt;&gt;*Negative*"))</f>
        <v>0</v>
      </c>
      <c r="AR93" s="15">
        <f>SUM(COUNTIFS('Data entry'!$R$6:$R$200,'Summary Data'!$A93,'Data entry'!$B$6:$B$200,{"Confirmed";"Probable"},'Data entry'!$AQ$6:$AQ$200,'Data Validation'!$V$4, 'Data entry'!$AP$6:$AP$200,'Data Validation'!$U$4, 'Data entry'!$BD$6:$BD$200,"&lt;&gt;*Negative*"))</f>
        <v>0</v>
      </c>
      <c r="AS93" s="15">
        <f>SUM(COUNTIFS('Data entry'!$R$6:$R$200,'Summary Data'!$A93,'Data entry'!$B$6:$B$200,{"Confirmed";"Probable"},'Data entry'!$AQ$6:$AQ$200,'Data Validation'!$V$4, 'Data entry'!$AP$6:$AP$200,'Data Validation'!$U$5, 'Data entry'!$BD$6:$BD$200,"&lt;&gt;*Negative*"))</f>
        <v>0</v>
      </c>
      <c r="AT93" s="15">
        <f>SUM(COUNTIFS('Data entry'!$R$6:$R$200,'Summary Data'!$A93,'Data entry'!$B$6:$B$200,{"Confirmed";"Probable"},'Data entry'!$AQ$6:$AQ$200,'Data Validation'!$V$4, 'Data entry'!$AP$6:$AP$200,'Data Validation'!$U$6, 'Data entry'!$BD$6:$BD$200,"&lt;&gt;*Negative*"))</f>
        <v>0</v>
      </c>
      <c r="AU93" s="15">
        <f>SUM(COUNTIFS('Data entry'!$R$6:$R$200,'Summary Data'!$A93,'Data entry'!$B$6:$B$200,{"Confirmed";"Probable"},'Data entry'!$AQ$6:$AQ$200,'Data Validation'!$V$5, 'Data entry'!$AP$6:$AP$200,'Data Validation'!$U$2, 'Data entry'!$BD$6:$BD$200,"&lt;&gt;*Negative*"))</f>
        <v>0</v>
      </c>
      <c r="AV93" s="15">
        <f>SUM(COUNTIFS('Data entry'!$R$6:$R$200,'Summary Data'!$A93,'Data entry'!$B$6:$B$200,{"Confirmed";"Probable"},'Data entry'!$AQ$6:$AQ$200,'Data Validation'!$V$5, 'Data entry'!$AP$6:$AP$200,'Data Validation'!$U$3, 'Data entry'!$BD$6:$BD$200,"&lt;&gt;*Negative*"))</f>
        <v>0</v>
      </c>
      <c r="AW93" s="15">
        <f>SUM(COUNTIFS('Data entry'!$R$6:$R$200,'Summary Data'!$A93,'Data entry'!$B$6:$B$200,{"Confirmed";"Probable"},'Data entry'!$AQ$6:$AQ$200,'Data Validation'!$V$5, 'Data entry'!$AP$6:$AP$200,'Data Validation'!$U$4, 'Data entry'!$BD$6:$BD$200,"&lt;&gt;*Negative*"))</f>
        <v>0</v>
      </c>
      <c r="AX93" s="15">
        <f>SUM(COUNTIFS('Data entry'!$R$6:$R$200,'Summary Data'!$A93,'Data entry'!$B$6:$B$200,{"Confirmed";"Probable"},'Data entry'!$AQ$6:$AQ$200,'Data Validation'!$V$5, 'Data entry'!$AP$6:$AP$200,'Data Validation'!$U$5, 'Data entry'!$BD$6:$BD$200,"&lt;&gt;*Negative*"))</f>
        <v>0</v>
      </c>
      <c r="AY93" s="15">
        <f>SUM(COUNTIFS('Data entry'!$R$6:$R$200,'Summary Data'!$A93,'Data entry'!$B$6:$B$200,{"Confirmed";"Probable"},'Data entry'!$AQ$6:$AQ$200,'Data Validation'!$V$5, 'Data entry'!$AP$6:$AP$200,'Data Validation'!$U$6, 'Data entry'!$BD$6:$BD$200,"&lt;&gt;*Negative*"))</f>
        <v>0</v>
      </c>
      <c r="AZ93" s="15">
        <f>SUM(COUNTIFS('Data entry'!$R$6:$R$200,'Summary Data'!$A93,'Data entry'!$B$6:$B$200,{"Confirmed";"Probable"},'Data entry'!$AQ$6:$AQ$200,'Data Validation'!$V$6, 'Data entry'!$AP$6:$AP$200,'Data Validation'!$U$2, 'Data entry'!$BD$6:$BD$200,"&lt;&gt;*Negative*"))</f>
        <v>0</v>
      </c>
      <c r="BA93" s="15">
        <f>SUM(COUNTIFS('Data entry'!$R$6:$R$200,'Summary Data'!$A93,'Data entry'!$B$6:$B$200,{"Confirmed";"Probable"},'Data entry'!$AQ$6:$AQ$200,'Data Validation'!$V$6, 'Data entry'!$AP$6:$AP$200,'Data Validation'!$U$3, 'Data entry'!$BD$6:$BD$200,"&lt;&gt;*Negative*"))</f>
        <v>0</v>
      </c>
      <c r="BB93" s="15">
        <f>SUM(COUNTIFS('Data entry'!$R$6:$R$200,'Summary Data'!$A93,'Data entry'!$B$6:$B$200,{"Confirmed";"Probable"},'Data entry'!$AQ$6:$AQ$200,'Data Validation'!$V$6, 'Data entry'!$AP$6:$AP$200,'Data Validation'!$U$4, 'Data entry'!$BD$6:$BD$200,"&lt;&gt;*Negative*"))</f>
        <v>0</v>
      </c>
      <c r="BC93" s="15">
        <f>SUM(COUNTIFS('Data entry'!$R$6:$R$200,'Summary Data'!$A93,'Data entry'!$B$6:$B$200,{"Confirmed";"Probable"},'Data entry'!$AQ$6:$AQ$200,'Data Validation'!$V$6, 'Data entry'!$AP$6:$AP$200,'Data Validation'!$U$5, 'Data entry'!$BD$6:$BD$200,"&lt;&gt;*Negative*"))</f>
        <v>0</v>
      </c>
      <c r="BD93" s="15">
        <f>SUM(COUNTIFS('Data entry'!$R$6:$R$200,'Summary Data'!$A93,'Data entry'!$B$6:$B$200,{"Confirmed";"Probable"},'Data entry'!$AQ$6:$AQ$200,'Data Validation'!$V$6, 'Data entry'!$AP$6:$AP$200,'Data Validation'!$U$6, 'Data entry'!$BD$6:$BD$200,"&lt;&gt;*Negative*"))</f>
        <v>0</v>
      </c>
      <c r="BE93" s="15">
        <f>SUM(COUNTIFS('Data entry'!$R$6:$R$200,'Summary Data'!$A93,'Data entry'!$B$6:$B$200,{"Confirmed";"Probable"},'Data entry'!$AQ$6:$AQ$200,'Data Validation'!$V$7, 'Data entry'!$AP$6:$AP$200,'Data Validation'!$U$2, 'Data entry'!$BD$6:$BD$200,"&lt;&gt;*Negative*"))</f>
        <v>0</v>
      </c>
      <c r="BF93" s="15">
        <f>SUM(COUNTIFS('Data entry'!$R$6:$R$200,'Summary Data'!$A93,'Data entry'!$B$6:$B$200,{"Confirmed";"Probable"},'Data entry'!$AQ$6:$AQ$200,'Data Validation'!$V$7, 'Data entry'!$AP$6:$AP$200,'Data Validation'!$U$3, 'Data entry'!$BD$6:$BD$200,"&lt;&gt;*Negative*"))</f>
        <v>0</v>
      </c>
      <c r="BG93" s="15">
        <f>SUM(COUNTIFS('Data entry'!$R$6:$R$200,'Summary Data'!$A93,'Data entry'!$B$6:$B$200,{"Confirmed";"Probable"},'Data entry'!$AQ$6:$AQ$200,'Data Validation'!$V$7, 'Data entry'!$AP$6:$AP$200,'Data Validation'!$U$4, 'Data entry'!$BD$6:$BD$200,"&lt;&gt;*Negative*"))</f>
        <v>0</v>
      </c>
      <c r="BH93" s="15">
        <f>SUM(COUNTIFS('Data entry'!$R$6:$R$200,'Summary Data'!$A93,'Data entry'!$B$6:$B$200,{"Confirmed";"Probable"},'Data entry'!$AQ$6:$AQ$200,'Data Validation'!$V$7, 'Data entry'!$AP$6:$AP$200,'Data Validation'!$U$5, 'Data entry'!$BD$6:$BD$200,"&lt;&gt;*Negative*"))</f>
        <v>0</v>
      </c>
      <c r="BI93" s="15">
        <f>SUM(COUNTIFS('Data entry'!$R$6:$R$200,'Summary Data'!$A93,'Data entry'!$B$6:$B$200,{"Confirmed";"Probable"},'Data entry'!$AQ$6:$AQ$200,'Data Validation'!$V$7, 'Data entry'!$AP$6:$AP$200,'Data Validation'!$U$6, 'Data entry'!$BD$6:$BD$200,"&lt;&gt;*Negative*"))</f>
        <v>0</v>
      </c>
      <c r="BJ93" s="15">
        <f>SUM(COUNTIFS('Data entry'!$R$6:$R$200,'Summary Data'!$A93,'Data entry'!$B$6:$B$200,{"Confirmed";"Probable"},'Data entry'!$AQ$6:$AQ$200,'Data Validation'!$V$8, 'Data entry'!$AP$6:$AP$200,'Data Validation'!$U$2, 'Data entry'!$BD$6:$BD$200,"&lt;&gt;*Negative*"))</f>
        <v>0</v>
      </c>
      <c r="BK93" s="15">
        <f>SUM(COUNTIFS('Data entry'!$R$6:$R$200,'Summary Data'!$A93,'Data entry'!$B$6:$B$200,{"Confirmed";"Probable"},'Data entry'!$AQ$6:$AQ$200,'Data Validation'!$V$8, 'Data entry'!$AP$6:$AP$200,'Data Validation'!$U$3, 'Data entry'!$BD$6:$BD$200,"&lt;&gt;*Negative*"))</f>
        <v>0</v>
      </c>
      <c r="BL93" s="15">
        <f>SUM(COUNTIFS('Data entry'!$R$6:$R$200,'Summary Data'!$A93,'Data entry'!$B$6:$B$200,{"Confirmed";"Probable"},'Data entry'!$AQ$6:$AQ$200,'Data Validation'!$V$8, 'Data entry'!$AP$6:$AP$200,'Data Validation'!$U$4, 'Data entry'!$BD$6:$BD$200,"&lt;&gt;*Negative*"))</f>
        <v>0</v>
      </c>
      <c r="BM93" s="15">
        <f>SUM(COUNTIFS('Data entry'!$R$6:$R$200,'Summary Data'!$A93,'Data entry'!$B$6:$B$200,{"Confirmed";"Probable"},'Data entry'!$AQ$6:$AQ$200,'Data Validation'!$V$8, 'Data entry'!$AP$6:$AP$200,'Data Validation'!$U$5, 'Data entry'!$BD$6:$BD$200,"&lt;&gt;*Negative*"))</f>
        <v>0</v>
      </c>
      <c r="BN93" s="15">
        <f>SUM(COUNTIFS('Data entry'!$R$6:$R$200,'Summary Data'!$A93,'Data entry'!$B$6:$B$200,{"Confirmed";"Probable"},'Data entry'!$AQ$6:$AQ$200,'Data Validation'!$V$8, 'Data entry'!$AP$6:$AP$200,'Data Validation'!$U$6, 'Data entry'!$BD$6:$BD$200,"&lt;&gt;*Negative*"))</f>
        <v>0</v>
      </c>
      <c r="BO93" s="15">
        <f>SUM(COUNTIFS('Data entry'!$R$6:$R$200,'Summary Data'!$A93,'Data entry'!$B$6:$B$200,{"Confirmed";"Probable"},'Data entry'!$AQ$6:$AQ$200,'Data Validation'!$V$9, 'Data entry'!$AP$6:$AP$200,'Data Validation'!$U$2, 'Data entry'!$BD$6:$BD$200,"&lt;&gt;*Negative*"))</f>
        <v>0</v>
      </c>
      <c r="BP93" s="15">
        <f>SUM(COUNTIFS('Data entry'!$R$6:$R$200,'Summary Data'!$A93,'Data entry'!$B$6:$B$200,{"Confirmed";"Probable"},'Data entry'!$AQ$6:$AQ$200,'Data Validation'!$V$9, 'Data entry'!$AP$6:$AP$200,'Data Validation'!$U$3, 'Data entry'!$BD$6:$BD$200,"&lt;&gt;*Negative*"))</f>
        <v>0</v>
      </c>
      <c r="BQ93" s="15">
        <f>SUM(COUNTIFS('Data entry'!$R$6:$R$200,'Summary Data'!$A93,'Data entry'!$B$6:$B$200,{"Confirmed";"Probable"},'Data entry'!$AQ$6:$AQ$200,'Data Validation'!$V$9, 'Data entry'!$AP$6:$AP$200,'Data Validation'!$U$4, 'Data entry'!$BD$6:$BD$200,"&lt;&gt;*Negative*"))</f>
        <v>0</v>
      </c>
      <c r="BR93" s="15">
        <f>SUM(COUNTIFS('Data entry'!$R$6:$R$200,'Summary Data'!$A93,'Data entry'!$B$6:$B$200,{"Confirmed";"Probable"},'Data entry'!$AQ$6:$AQ$200,'Data Validation'!$V$9, 'Data entry'!$AP$6:$AP$200,'Data Validation'!$U$5, 'Data entry'!$BD$6:$BD$200,"&lt;&gt;*Negative*"))</f>
        <v>0</v>
      </c>
      <c r="BS93" s="15">
        <f>SUM(COUNTIFS('Data entry'!$R$6:$R$200,'Summary Data'!$A93,'Data entry'!$B$6:$B$200,{"Confirmed";"Probable"},'Data entry'!$AQ$6:$AQ$200,'Data Validation'!$V$9, 'Data entry'!$AP$6:$AP$200,'Data Validation'!$U$6, 'Data entry'!$BD$6:$BD$200,"&lt;&gt;*Negative*"))</f>
        <v>0</v>
      </c>
      <c r="BT93" s="15">
        <f>SUM(COUNTIFS('Data entry'!$R$6:$R$200,'Summary Data'!$A93,'Data entry'!$B$6:$B$200,{"Confirmed";"Probable"},'Data entry'!$AQ$6:$AQ$200,'Data Validation'!$V$10, 'Data entry'!$AP$6:$AP$200,'Data Validation'!$U$2, 'Data entry'!$BD$6:$BD$200,"&lt;&gt;*Negative*"))</f>
        <v>0</v>
      </c>
      <c r="BU93" s="15">
        <f>SUM(COUNTIFS('Data entry'!$R$6:$R$200,'Summary Data'!$A93,'Data entry'!$B$6:$B$200,{"Confirmed";"Probable"},'Data entry'!$AQ$6:$AQ$200,'Data Validation'!$V$10, 'Data entry'!$AP$6:$AP$200,'Data Validation'!$U$3, 'Data entry'!$BD$6:$BD$200,"&lt;&gt;*Negative*"))</f>
        <v>0</v>
      </c>
      <c r="BV93" s="15">
        <f>SUM(COUNTIFS('Data entry'!$R$6:$R$200,'Summary Data'!$A93,'Data entry'!$B$6:$B$200,{"Confirmed";"Probable"},'Data entry'!$AQ$6:$AQ$200,'Data Validation'!$V$10, 'Data entry'!$AP$6:$AP$200,'Data Validation'!$U$4, 'Data entry'!$BD$6:$BD$200,"&lt;&gt;*Negative*"))</f>
        <v>0</v>
      </c>
      <c r="BW93" s="15">
        <f>SUM(COUNTIFS('Data entry'!$R$6:$R$200,'Summary Data'!$A93,'Data entry'!$B$6:$B$200,{"Confirmed";"Probable"},'Data entry'!$AQ$6:$AQ$200,'Data Validation'!$V$10, 'Data entry'!$AP$6:$AP$200,'Data Validation'!$U$5, 'Data entry'!$BD$6:$BD$200,"&lt;&gt;*Negative*"))</f>
        <v>0</v>
      </c>
      <c r="BX93" s="15">
        <f>SUM(COUNTIFS('Data entry'!$R$6:$R$200,'Summary Data'!$A93,'Data entry'!$B$6:$B$200,{"Confirmed";"Probable"},'Data entry'!$AQ$6:$AQ$200,'Data Validation'!$V$10, 'Data entry'!$AP$6:$AP$200,'Data Validation'!$U$6, 'Data entry'!$BD$6:$BD$200,"&lt;&gt;*Negative*"))</f>
        <v>0</v>
      </c>
      <c r="BY93" s="15">
        <f>SUM(COUNTIFS('Data entry'!$R$6:$R$200,'Summary Data'!$A93,'Data entry'!$B$6:$B$200,{"Confirmed";"Probable"},'Data entry'!$AQ$6:$AQ$200,'Data Validation'!$V$11, 'Data entry'!$AP$6:$AP$200,'Data Validation'!$U$2, 'Data entry'!$BD$6:$BD$200,"&lt;&gt;*Negative*"))</f>
        <v>0</v>
      </c>
      <c r="BZ93" s="15">
        <f>SUM(COUNTIFS('Data entry'!$R$6:$R$200,'Summary Data'!$A93,'Data entry'!$B$6:$B$200,{"Confirmed";"Probable"},'Data entry'!$AQ$6:$AQ$200,'Data Validation'!$V$11, 'Data entry'!$AP$6:$AP$200,'Data Validation'!$U$3, 'Data entry'!$BD$6:$BD$200,"&lt;&gt;*Negative*"))</f>
        <v>0</v>
      </c>
      <c r="CA93" s="15">
        <f>SUM(COUNTIFS('Data entry'!$R$6:$R$200,'Summary Data'!$A93,'Data entry'!$B$6:$B$200,{"Confirmed";"Probable"},'Data entry'!$AQ$6:$AQ$200,'Data Validation'!$V$11, 'Data entry'!$AP$6:$AP$200,'Data Validation'!$U$4, 'Data entry'!$BD$6:$BD$200,"&lt;&gt;*Negative*"))</f>
        <v>0</v>
      </c>
      <c r="CB93" s="15">
        <f>SUM(COUNTIFS('Data entry'!$R$6:$R$200,'Summary Data'!$A93,'Data entry'!$B$6:$B$200,{"Confirmed";"Probable"},'Data entry'!$AQ$6:$AQ$200,'Data Validation'!$V$11, 'Data entry'!$AP$6:$AP$200,'Data Validation'!$U$5, 'Data entry'!$BD$6:$BD$200,"&lt;&gt;*Negative*"))</f>
        <v>0</v>
      </c>
      <c r="CC93" s="15">
        <f>SUM(COUNTIFS('Data entry'!$R$6:$R$200,'Summary Data'!$A93,'Data entry'!$B$6:$B$200,{"Confirmed";"Probable"},'Data entry'!$AQ$6:$AQ$200,'Data Validation'!$V$11, 'Data entry'!$AP$6:$AP$200,'Data Validation'!$U$6, 'Data entry'!$BD$6:$BD$200,"&lt;&gt;*Negative*"))</f>
        <v>0</v>
      </c>
    </row>
    <row r="94" spans="1:81" x14ac:dyDescent="0.25">
      <c r="A94" s="12">
        <f t="shared" si="9"/>
        <v>82</v>
      </c>
      <c r="B94" s="13">
        <f t="shared" si="6"/>
        <v>0</v>
      </c>
      <c r="C94" s="13">
        <f>COUNTIFS('Data entry'!$R$6:$R$200,$A94,'Data entry'!$B$6:$B$200,"Confirmed",'Data entry'!$BD$6:$BD$200,"&lt;&gt;*Negative*")</f>
        <v>0</v>
      </c>
      <c r="D94" s="13">
        <f>COUNTIFS('Data entry'!$R$6:$R$200,$A94,'Data entry'!$B$6:$B$200,"Probable",'Data entry'!$BD$6:$BD$200,"&lt;&gt;*Negative*")</f>
        <v>0</v>
      </c>
      <c r="E94" s="13">
        <f>COUNTIFS('Data entry'!$R$6:$R$200,$A94,'Data entry'!$B$6:$B$200,"DNM")</f>
        <v>0</v>
      </c>
      <c r="F94" s="13">
        <f>SUM(COUNTIFS('Data entry'!$R$6:$R$200,'Summary Data'!$A94,'Data entry'!$B$6:$B$200,{"Confirmed";"Probable"},'Data entry'!$AO$6:$AO$200,$F$10, 'Data entry'!$BD$6:$BD$200,"&lt;&gt;*Negative*"))</f>
        <v>0</v>
      </c>
      <c r="G94" s="13">
        <f>SUM(COUNTIFS('Data entry'!$R$6:$R$200,'Summary Data'!$A94,'Data entry'!$B$6:$B$200,{"Confirmed";"Probable"},'Data entry'!$AO$6:$AO$200,$G$10, 'Data entry'!$BD$6:$BD$200,"&lt;&gt;*Negative*"))</f>
        <v>0</v>
      </c>
      <c r="H94" s="13">
        <f>SUM(COUNTIFS('Data entry'!$R$6:$R$200,'Summary Data'!$A94,'Data entry'!$B$6:$B$200,{"Confirmed";"Probable"},'Data entry'!$AO$6:$AO$200,$H$10, 'Data entry'!$BD$6:$BD$200,"&lt;&gt;*Negative*"))</f>
        <v>0</v>
      </c>
      <c r="I94" s="13">
        <f>SUM(COUNTIFS('Data entry'!$R$6:$R$200,'Summary Data'!$A94,'Data entry'!$B$6:$B$200,{"Confirmed";"Probable"},'Data entry'!$AO$6:$AO$200,$I$10, 'Data entry'!$BD$6:$BD$200,"&lt;&gt;*Negative*"))</f>
        <v>0</v>
      </c>
      <c r="J94" s="13">
        <f>SUM(COUNTIFS('Data entry'!$R$6:$R$200,'Summary Data'!$A94,'Data entry'!$B$6:$B$200,{"Confirmed";"Probable"},'Data entry'!$AO$6:$AO$200,$J$10, 'Data entry'!$BD$6:$BD$200,"&lt;&gt;*Negative*"))</f>
        <v>0</v>
      </c>
      <c r="K94" s="13">
        <f>SUM(COUNTIFS('Data entry'!$R$6:$R$200,'Summary Data'!$A94,'Data entry'!$B$6:$B$200,{"Confirmed";"Probable"},'Data entry'!$AO$6:$AO$200,$K$10, 'Data entry'!$BD$6:$BD$200,"&lt;&gt;*Negative*"))</f>
        <v>0</v>
      </c>
      <c r="L94" s="13">
        <f>SUM(COUNTIFS('Data entry'!$R$6:$R$200,'Summary Data'!$A94,'Data entry'!$B$6:$B$200,{"Confirmed";"Probable"},'Data entry'!$AO$6:$AO$200,$L$10, 'Data entry'!$BD$6:$BD$200,"&lt;&gt;*Negative*"))</f>
        <v>0</v>
      </c>
      <c r="M94" s="13">
        <f>SUM(COUNTIFS('Data entry'!$R$6:$R$200,'Summary Data'!$A94,'Data entry'!$B$6:$B$200,{"Confirmed";"Probable"},'Data entry'!$AO$6:$AO$200,$M$10, 'Data entry'!$BD$6:$BD$200,"&lt;&gt;*Negative*"))</f>
        <v>0</v>
      </c>
      <c r="N94" s="13">
        <f>SUM(COUNTIFS('Data entry'!$R$6:$R$200,'Summary Data'!$A94,'Data entry'!$B$6:$B$200,{"Confirmed";"Probable"},'Data entry'!$AO$6:$AO$200,$N$10, 'Data entry'!$BD$6:$BD$200,"&lt;&gt;*Negative*"))</f>
        <v>0</v>
      </c>
      <c r="O94" s="15">
        <f t="shared" si="7"/>
        <v>0</v>
      </c>
      <c r="P94" s="15">
        <f t="shared" si="8"/>
        <v>0</v>
      </c>
      <c r="Q94" s="15">
        <f>SUM(COUNTIFS('Data entry'!$R$6:$R$200,'Summary Data'!$A94,'Data entry'!$B$6:$B$200,{"Confirmed";"Probable"},'Data entry'!$AP$6:$AP$200,'Data Validation'!$U$2, 'Data entry'!$BD$6:$BD$200,"&lt;&gt;*Negative*"))</f>
        <v>0</v>
      </c>
      <c r="R94" s="15">
        <f>SUM(COUNTIFS('Data entry'!$R$6:$R$200,'Summary Data'!$A94,'Data entry'!$B$6:$B$200,{"Confirmed";"Probable"},'Data entry'!$AP$6:$AP$200,'Data Validation'!$U$3, 'Data entry'!$BD$6:$BD$200,"&lt;&gt;*Negative*"))</f>
        <v>0</v>
      </c>
      <c r="S94" s="15">
        <f>SUM(COUNTIFS('Data entry'!$R$6:$R$200,'Summary Data'!$A94,'Data entry'!$B$6:$B$200,{"Confirmed";"Probable"},'Data entry'!$AP$6:$AP$200,'Data Validation'!$U$4, 'Data entry'!$BD$6:$BD$200,"&lt;&gt;*Negative*"))</f>
        <v>0</v>
      </c>
      <c r="T94" s="15">
        <f>SUM(COUNTIFS('Data entry'!$R$6:$R$200,'Summary Data'!$A94,'Data entry'!$B$6:$B$200,{"Confirmed";"Probable"},'Data entry'!$AP$6:$AP$200,'Data Validation'!$U$5, 'Data entry'!$BD$6:$BD$200,"&lt;&gt;*Negative*"))</f>
        <v>0</v>
      </c>
      <c r="U94" s="15">
        <f>SUM(COUNTIFS('Data entry'!$R$6:$R$200,'Summary Data'!$A94,'Data entry'!$B$6:$B$200,{"Confirmed";"Probable"},'Data entry'!$AP$6:$AP$200,'Data Validation'!$U$6, 'Data entry'!$BD$6:$BD$200,"&lt;&gt;*Negative*"))</f>
        <v>0</v>
      </c>
      <c r="V94" s="15">
        <f>SUM(COUNTIFS('Data entry'!$R$6:$R$200,'Summary Data'!$A94,'Data entry'!$B$6:$B$200,{"Confirmed";"Probable"},'Data entry'!$AQ$6:$AQ$200,'Data Validation'!$V$2, 'Data entry'!$BD$6:$BD$200,"&lt;&gt;*Negative*"))</f>
        <v>0</v>
      </c>
      <c r="W94" s="15">
        <f>SUM(COUNTIFS('Data entry'!$R$6:$R$200,'Summary Data'!$A94,'Data entry'!$B$6:$B$200,{"Confirmed";"Probable"},'Data entry'!$AQ$6:$AQ$200,'Data Validation'!$V$3, 'Data entry'!$BD$6:$BD$200,"&lt;&gt;*Negative*"))</f>
        <v>0</v>
      </c>
      <c r="X94" s="15">
        <f>SUM(COUNTIFS('Data entry'!$R$6:$R$200,'Summary Data'!$A94,'Data entry'!$B$6:$B$200,{"Confirmed";"Probable"},'Data entry'!$AQ$6:$AQ$200,'Data Validation'!$V$4, 'Data entry'!$BD$6:$BD$200,"&lt;&gt;*Negative*"))</f>
        <v>0</v>
      </c>
      <c r="Y94" s="15">
        <f>SUM(COUNTIFS('Data entry'!$R$6:$R$200,'Summary Data'!$A94,'Data entry'!$B$6:$B$200,{"Confirmed";"Probable"},'Data entry'!$AQ$6:$AQ$200,'Data Validation'!$V$5, 'Data entry'!$BD$6:$BD$200,"&lt;&gt;*Negative*"))</f>
        <v>0</v>
      </c>
      <c r="Z94" s="15">
        <f>SUM(COUNTIFS('Data entry'!$R$6:$R$200,'Summary Data'!$A94,'Data entry'!$B$6:$B$200,{"Confirmed";"Probable"},'Data entry'!$AQ$6:$AQ$200,'Data Validation'!$V$6, 'Data entry'!$BD$6:$BD$200,"&lt;&gt;*Negative*"))</f>
        <v>0</v>
      </c>
      <c r="AA94" s="15">
        <f>SUM(COUNTIFS('Data entry'!$R$6:$R$200,'Summary Data'!$A94,'Data entry'!$B$6:$B$200,{"Confirmed";"Probable"},'Data entry'!$AQ$6:$AQ$200,'Data Validation'!$V$7, 'Data entry'!$BD$6:$BD$200,"&lt;&gt;*Negative*"))</f>
        <v>0</v>
      </c>
      <c r="AB94" s="15">
        <f>SUM(COUNTIFS('Data entry'!$R$6:$R$200,'Summary Data'!$A94,'Data entry'!$B$6:$B$200,{"Confirmed";"Probable"},'Data entry'!$AQ$6:$AQ$200,'Data Validation'!$V$8, 'Data entry'!$BD$6:$BD$200,"&lt;&gt;*Negative*"))</f>
        <v>0</v>
      </c>
      <c r="AC94" s="15">
        <f>SUM(COUNTIFS('Data entry'!$R$6:$R$200,'Summary Data'!$A94,'Data entry'!$B$6:$B$200,{"Confirmed";"Probable"},'Data entry'!$AQ$6:$AQ$200,'Data Validation'!$V$9, 'Data entry'!$BD$6:$BD$200,"&lt;&gt;*Negative*"))</f>
        <v>0</v>
      </c>
      <c r="AD94" s="15">
        <f>SUM(COUNTIFS('Data entry'!$R$6:$R$200,'Summary Data'!$A94,'Data entry'!$B$6:$B$200,{"Confirmed";"Probable"},'Data entry'!$AQ$6:$AQ$200,'Data Validation'!$V$10, 'Data entry'!$BD$6:$BD$200,"&lt;&gt;*Negative*"))</f>
        <v>0</v>
      </c>
      <c r="AE94" s="15">
        <f>SUM(COUNTIFS('Data entry'!$R$6:$R$200,'Summary Data'!$A94,'Data entry'!$B$6:$B$200,{"Confirmed";"Probable"},'Data entry'!$AQ$6:$AQ$200,'Data Validation'!$V$11, 'Data entry'!$BD$6:$BD$200,"&lt;&gt;*Negative*"))</f>
        <v>0</v>
      </c>
      <c r="AF94" s="15">
        <f>SUM(COUNTIFS('Data entry'!$R$6:$R$200,'Summary Data'!$A94,'Data entry'!$B$6:$B$200,{"Confirmed";"Probable"},'Data entry'!$AQ$6:$AQ$200,'Data Validation'!$V$2, 'Data entry'!$AP$6:$AP$200,'Data Validation'!$U$2, 'Data entry'!$BD$6:$BD$200,"&lt;&gt;*Negative*"))</f>
        <v>0</v>
      </c>
      <c r="AG94" s="15">
        <f>SUM(COUNTIFS('Data entry'!$R$6:$R$200,'Summary Data'!$A94,'Data entry'!$B$6:$B$200,{"Confirmed";"Probable"},'Data entry'!$AQ$6:$AQ$200,'Data Validation'!$V$2, 'Data entry'!$AP$6:$AP$200,'Data Validation'!$U$3, 'Data entry'!$BD$6:$BD$200,"&lt;&gt;*Negative*"))</f>
        <v>0</v>
      </c>
      <c r="AH94" s="15">
        <f>SUM(COUNTIFS('Data entry'!$R$6:$R$200,'Summary Data'!$A94,'Data entry'!$B$6:$B$200,{"Confirmed";"Probable"},'Data entry'!$AQ$6:$AQ$200,'Data Validation'!$V$2, 'Data entry'!$AP$6:$AP$200,'Data Validation'!$U$4, 'Data entry'!$BD$6:$BD$200,"&lt;&gt;*Negative*"))</f>
        <v>0</v>
      </c>
      <c r="AI94" s="15">
        <f>SUM(COUNTIFS('Data entry'!$R$6:$R$200,'Summary Data'!$A94,'Data entry'!$B$6:$B$200,{"Confirmed";"Probable"},'Data entry'!$AQ$6:$AQ$200,'Data Validation'!$V$2, 'Data entry'!$AP$6:$AP$200,'Data Validation'!$U$5, 'Data entry'!$BD$6:$BD$200,"&lt;&gt;*Negative*"))</f>
        <v>0</v>
      </c>
      <c r="AJ94" s="15">
        <f>SUM(COUNTIFS('Data entry'!$R$6:$R$200,'Summary Data'!$A94,'Data entry'!$B$6:$B$200,{"Confirmed";"Probable"},'Data entry'!$AQ$6:$AQ$200,'Data Validation'!$V$2, 'Data entry'!$AP$6:$AP$200,'Data Validation'!$U$6, 'Data entry'!$BD$6:$BD$200,"&lt;&gt;*Negative*"))</f>
        <v>0</v>
      </c>
      <c r="AK94" s="15">
        <f>SUM(COUNTIFS('Data entry'!$R$6:$R$200,'Summary Data'!$A94,'Data entry'!$B$6:$B$200,{"Confirmed";"Probable"},'Data entry'!$AQ$6:$AQ$200,'Data Validation'!$V$3, 'Data entry'!$AP$6:$AP$200,'Data Validation'!$U$2, 'Data entry'!$BD$6:$BD$200,"&lt;&gt;*Negative*"))</f>
        <v>0</v>
      </c>
      <c r="AL94" s="15">
        <f>SUM(COUNTIFS('Data entry'!$R$6:$R$200,'Summary Data'!$A94,'Data entry'!$B$6:$B$200,{"Confirmed";"Probable"},'Data entry'!$AQ$6:$AQ$200,'Data Validation'!$V$3, 'Data entry'!$AP$6:$AP$200,'Data Validation'!$U$3, 'Data entry'!$BD$6:$BD$200,"&lt;&gt;*Negative*"))</f>
        <v>0</v>
      </c>
      <c r="AM94" s="15">
        <f>SUM(COUNTIFS('Data entry'!$R$6:$R$200,'Summary Data'!$A94,'Data entry'!$B$6:$B$200,{"Confirmed";"Probable"},'Data entry'!$AQ$6:$AQ$200,'Data Validation'!$V$3, 'Data entry'!$AP$6:$AP$200,'Data Validation'!$U$4, 'Data entry'!$BD$6:$BD$200,"&lt;&gt;*Negative*"))</f>
        <v>0</v>
      </c>
      <c r="AN94" s="15">
        <f>SUM(COUNTIFS('Data entry'!$R$6:$R$200,'Summary Data'!$A94,'Data entry'!$B$6:$B$200,{"Confirmed";"Probable"},'Data entry'!$AQ$6:$AQ$200,'Data Validation'!$V$3, 'Data entry'!$AP$6:$AP$200,'Data Validation'!$U$5, 'Data entry'!$BD$6:$BD$200,"&lt;&gt;*Negative*"))</f>
        <v>0</v>
      </c>
      <c r="AO94" s="15">
        <f>SUM(COUNTIFS('Data entry'!$R$6:$R$200,'Summary Data'!$A94,'Data entry'!$B$6:$B$200,{"Confirmed";"Probable"},'Data entry'!$AQ$6:$AQ$200,'Data Validation'!$V$3, 'Data entry'!$AP$6:$AP$200,'Data Validation'!$U$6, 'Data entry'!$BD$6:$BD$200,"&lt;&gt;*Negative*"))</f>
        <v>0</v>
      </c>
      <c r="AP94" s="15">
        <f>SUM(COUNTIFS('Data entry'!$R$6:$R$200,'Summary Data'!$A94,'Data entry'!$B$6:$B$200,{"Confirmed";"Probable"},'Data entry'!$AQ$6:$AQ$200,'Data Validation'!$V$4, 'Data entry'!$AP$6:$AP$200,'Data Validation'!$U$2, 'Data entry'!$BD$6:$BD$200,"&lt;&gt;*Negative*"))</f>
        <v>0</v>
      </c>
      <c r="AQ94" s="15">
        <f>SUM(COUNTIFS('Data entry'!$R$6:$R$200,'Summary Data'!$A94,'Data entry'!$B$6:$B$200,{"Confirmed";"Probable"},'Data entry'!$AQ$6:$AQ$200,'Data Validation'!$V$4, 'Data entry'!$AP$6:$AP$200,'Data Validation'!$U$3, 'Data entry'!$BD$6:$BD$200,"&lt;&gt;*Negative*"))</f>
        <v>0</v>
      </c>
      <c r="AR94" s="15">
        <f>SUM(COUNTIFS('Data entry'!$R$6:$R$200,'Summary Data'!$A94,'Data entry'!$B$6:$B$200,{"Confirmed";"Probable"},'Data entry'!$AQ$6:$AQ$200,'Data Validation'!$V$4, 'Data entry'!$AP$6:$AP$200,'Data Validation'!$U$4, 'Data entry'!$BD$6:$BD$200,"&lt;&gt;*Negative*"))</f>
        <v>0</v>
      </c>
      <c r="AS94" s="15">
        <f>SUM(COUNTIFS('Data entry'!$R$6:$R$200,'Summary Data'!$A94,'Data entry'!$B$6:$B$200,{"Confirmed";"Probable"},'Data entry'!$AQ$6:$AQ$200,'Data Validation'!$V$4, 'Data entry'!$AP$6:$AP$200,'Data Validation'!$U$5, 'Data entry'!$BD$6:$BD$200,"&lt;&gt;*Negative*"))</f>
        <v>0</v>
      </c>
      <c r="AT94" s="15">
        <f>SUM(COUNTIFS('Data entry'!$R$6:$R$200,'Summary Data'!$A94,'Data entry'!$B$6:$B$200,{"Confirmed";"Probable"},'Data entry'!$AQ$6:$AQ$200,'Data Validation'!$V$4, 'Data entry'!$AP$6:$AP$200,'Data Validation'!$U$6, 'Data entry'!$BD$6:$BD$200,"&lt;&gt;*Negative*"))</f>
        <v>0</v>
      </c>
      <c r="AU94" s="15">
        <f>SUM(COUNTIFS('Data entry'!$R$6:$R$200,'Summary Data'!$A94,'Data entry'!$B$6:$B$200,{"Confirmed";"Probable"},'Data entry'!$AQ$6:$AQ$200,'Data Validation'!$V$5, 'Data entry'!$AP$6:$AP$200,'Data Validation'!$U$2, 'Data entry'!$BD$6:$BD$200,"&lt;&gt;*Negative*"))</f>
        <v>0</v>
      </c>
      <c r="AV94" s="15">
        <f>SUM(COUNTIFS('Data entry'!$R$6:$R$200,'Summary Data'!$A94,'Data entry'!$B$6:$B$200,{"Confirmed";"Probable"},'Data entry'!$AQ$6:$AQ$200,'Data Validation'!$V$5, 'Data entry'!$AP$6:$AP$200,'Data Validation'!$U$3, 'Data entry'!$BD$6:$BD$200,"&lt;&gt;*Negative*"))</f>
        <v>0</v>
      </c>
      <c r="AW94" s="15">
        <f>SUM(COUNTIFS('Data entry'!$R$6:$R$200,'Summary Data'!$A94,'Data entry'!$B$6:$B$200,{"Confirmed";"Probable"},'Data entry'!$AQ$6:$AQ$200,'Data Validation'!$V$5, 'Data entry'!$AP$6:$AP$200,'Data Validation'!$U$4, 'Data entry'!$BD$6:$BD$200,"&lt;&gt;*Negative*"))</f>
        <v>0</v>
      </c>
      <c r="AX94" s="15">
        <f>SUM(COUNTIFS('Data entry'!$R$6:$R$200,'Summary Data'!$A94,'Data entry'!$B$6:$B$200,{"Confirmed";"Probable"},'Data entry'!$AQ$6:$AQ$200,'Data Validation'!$V$5, 'Data entry'!$AP$6:$AP$200,'Data Validation'!$U$5, 'Data entry'!$BD$6:$BD$200,"&lt;&gt;*Negative*"))</f>
        <v>0</v>
      </c>
      <c r="AY94" s="15">
        <f>SUM(COUNTIFS('Data entry'!$R$6:$R$200,'Summary Data'!$A94,'Data entry'!$B$6:$B$200,{"Confirmed";"Probable"},'Data entry'!$AQ$6:$AQ$200,'Data Validation'!$V$5, 'Data entry'!$AP$6:$AP$200,'Data Validation'!$U$6, 'Data entry'!$BD$6:$BD$200,"&lt;&gt;*Negative*"))</f>
        <v>0</v>
      </c>
      <c r="AZ94" s="15">
        <f>SUM(COUNTIFS('Data entry'!$R$6:$R$200,'Summary Data'!$A94,'Data entry'!$B$6:$B$200,{"Confirmed";"Probable"},'Data entry'!$AQ$6:$AQ$200,'Data Validation'!$V$6, 'Data entry'!$AP$6:$AP$200,'Data Validation'!$U$2, 'Data entry'!$BD$6:$BD$200,"&lt;&gt;*Negative*"))</f>
        <v>0</v>
      </c>
      <c r="BA94" s="15">
        <f>SUM(COUNTIFS('Data entry'!$R$6:$R$200,'Summary Data'!$A94,'Data entry'!$B$6:$B$200,{"Confirmed";"Probable"},'Data entry'!$AQ$6:$AQ$200,'Data Validation'!$V$6, 'Data entry'!$AP$6:$AP$200,'Data Validation'!$U$3, 'Data entry'!$BD$6:$BD$200,"&lt;&gt;*Negative*"))</f>
        <v>0</v>
      </c>
      <c r="BB94" s="15">
        <f>SUM(COUNTIFS('Data entry'!$R$6:$R$200,'Summary Data'!$A94,'Data entry'!$B$6:$B$200,{"Confirmed";"Probable"},'Data entry'!$AQ$6:$AQ$200,'Data Validation'!$V$6, 'Data entry'!$AP$6:$AP$200,'Data Validation'!$U$4, 'Data entry'!$BD$6:$BD$200,"&lt;&gt;*Negative*"))</f>
        <v>0</v>
      </c>
      <c r="BC94" s="15">
        <f>SUM(COUNTIFS('Data entry'!$R$6:$R$200,'Summary Data'!$A94,'Data entry'!$B$6:$B$200,{"Confirmed";"Probable"},'Data entry'!$AQ$6:$AQ$200,'Data Validation'!$V$6, 'Data entry'!$AP$6:$AP$200,'Data Validation'!$U$5, 'Data entry'!$BD$6:$BD$200,"&lt;&gt;*Negative*"))</f>
        <v>0</v>
      </c>
      <c r="BD94" s="15">
        <f>SUM(COUNTIFS('Data entry'!$R$6:$R$200,'Summary Data'!$A94,'Data entry'!$B$6:$B$200,{"Confirmed";"Probable"},'Data entry'!$AQ$6:$AQ$200,'Data Validation'!$V$6, 'Data entry'!$AP$6:$AP$200,'Data Validation'!$U$6, 'Data entry'!$BD$6:$BD$200,"&lt;&gt;*Negative*"))</f>
        <v>0</v>
      </c>
      <c r="BE94" s="15">
        <f>SUM(COUNTIFS('Data entry'!$R$6:$R$200,'Summary Data'!$A94,'Data entry'!$B$6:$B$200,{"Confirmed";"Probable"},'Data entry'!$AQ$6:$AQ$200,'Data Validation'!$V$7, 'Data entry'!$AP$6:$AP$200,'Data Validation'!$U$2, 'Data entry'!$BD$6:$BD$200,"&lt;&gt;*Negative*"))</f>
        <v>0</v>
      </c>
      <c r="BF94" s="15">
        <f>SUM(COUNTIFS('Data entry'!$R$6:$R$200,'Summary Data'!$A94,'Data entry'!$B$6:$B$200,{"Confirmed";"Probable"},'Data entry'!$AQ$6:$AQ$200,'Data Validation'!$V$7, 'Data entry'!$AP$6:$AP$200,'Data Validation'!$U$3, 'Data entry'!$BD$6:$BD$200,"&lt;&gt;*Negative*"))</f>
        <v>0</v>
      </c>
      <c r="BG94" s="15">
        <f>SUM(COUNTIFS('Data entry'!$R$6:$R$200,'Summary Data'!$A94,'Data entry'!$B$6:$B$200,{"Confirmed";"Probable"},'Data entry'!$AQ$6:$AQ$200,'Data Validation'!$V$7, 'Data entry'!$AP$6:$AP$200,'Data Validation'!$U$4, 'Data entry'!$BD$6:$BD$200,"&lt;&gt;*Negative*"))</f>
        <v>0</v>
      </c>
      <c r="BH94" s="15">
        <f>SUM(COUNTIFS('Data entry'!$R$6:$R$200,'Summary Data'!$A94,'Data entry'!$B$6:$B$200,{"Confirmed";"Probable"},'Data entry'!$AQ$6:$AQ$200,'Data Validation'!$V$7, 'Data entry'!$AP$6:$AP$200,'Data Validation'!$U$5, 'Data entry'!$BD$6:$BD$200,"&lt;&gt;*Negative*"))</f>
        <v>0</v>
      </c>
      <c r="BI94" s="15">
        <f>SUM(COUNTIFS('Data entry'!$R$6:$R$200,'Summary Data'!$A94,'Data entry'!$B$6:$B$200,{"Confirmed";"Probable"},'Data entry'!$AQ$6:$AQ$200,'Data Validation'!$V$7, 'Data entry'!$AP$6:$AP$200,'Data Validation'!$U$6, 'Data entry'!$BD$6:$BD$200,"&lt;&gt;*Negative*"))</f>
        <v>0</v>
      </c>
      <c r="BJ94" s="15">
        <f>SUM(COUNTIFS('Data entry'!$R$6:$R$200,'Summary Data'!$A94,'Data entry'!$B$6:$B$200,{"Confirmed";"Probable"},'Data entry'!$AQ$6:$AQ$200,'Data Validation'!$V$8, 'Data entry'!$AP$6:$AP$200,'Data Validation'!$U$2, 'Data entry'!$BD$6:$BD$200,"&lt;&gt;*Negative*"))</f>
        <v>0</v>
      </c>
      <c r="BK94" s="15">
        <f>SUM(COUNTIFS('Data entry'!$R$6:$R$200,'Summary Data'!$A94,'Data entry'!$B$6:$B$200,{"Confirmed";"Probable"},'Data entry'!$AQ$6:$AQ$200,'Data Validation'!$V$8, 'Data entry'!$AP$6:$AP$200,'Data Validation'!$U$3, 'Data entry'!$BD$6:$BD$200,"&lt;&gt;*Negative*"))</f>
        <v>0</v>
      </c>
      <c r="BL94" s="15">
        <f>SUM(COUNTIFS('Data entry'!$R$6:$R$200,'Summary Data'!$A94,'Data entry'!$B$6:$B$200,{"Confirmed";"Probable"},'Data entry'!$AQ$6:$AQ$200,'Data Validation'!$V$8, 'Data entry'!$AP$6:$AP$200,'Data Validation'!$U$4, 'Data entry'!$BD$6:$BD$200,"&lt;&gt;*Negative*"))</f>
        <v>0</v>
      </c>
      <c r="BM94" s="15">
        <f>SUM(COUNTIFS('Data entry'!$R$6:$R$200,'Summary Data'!$A94,'Data entry'!$B$6:$B$200,{"Confirmed";"Probable"},'Data entry'!$AQ$6:$AQ$200,'Data Validation'!$V$8, 'Data entry'!$AP$6:$AP$200,'Data Validation'!$U$5, 'Data entry'!$BD$6:$BD$200,"&lt;&gt;*Negative*"))</f>
        <v>0</v>
      </c>
      <c r="BN94" s="15">
        <f>SUM(COUNTIFS('Data entry'!$R$6:$R$200,'Summary Data'!$A94,'Data entry'!$B$6:$B$200,{"Confirmed";"Probable"},'Data entry'!$AQ$6:$AQ$200,'Data Validation'!$V$8, 'Data entry'!$AP$6:$AP$200,'Data Validation'!$U$6, 'Data entry'!$BD$6:$BD$200,"&lt;&gt;*Negative*"))</f>
        <v>0</v>
      </c>
      <c r="BO94" s="15">
        <f>SUM(COUNTIFS('Data entry'!$R$6:$R$200,'Summary Data'!$A94,'Data entry'!$B$6:$B$200,{"Confirmed";"Probable"},'Data entry'!$AQ$6:$AQ$200,'Data Validation'!$V$9, 'Data entry'!$AP$6:$AP$200,'Data Validation'!$U$2, 'Data entry'!$BD$6:$BD$200,"&lt;&gt;*Negative*"))</f>
        <v>0</v>
      </c>
      <c r="BP94" s="15">
        <f>SUM(COUNTIFS('Data entry'!$R$6:$R$200,'Summary Data'!$A94,'Data entry'!$B$6:$B$200,{"Confirmed";"Probable"},'Data entry'!$AQ$6:$AQ$200,'Data Validation'!$V$9, 'Data entry'!$AP$6:$AP$200,'Data Validation'!$U$3, 'Data entry'!$BD$6:$BD$200,"&lt;&gt;*Negative*"))</f>
        <v>0</v>
      </c>
      <c r="BQ94" s="15">
        <f>SUM(COUNTIFS('Data entry'!$R$6:$R$200,'Summary Data'!$A94,'Data entry'!$B$6:$B$200,{"Confirmed";"Probable"},'Data entry'!$AQ$6:$AQ$200,'Data Validation'!$V$9, 'Data entry'!$AP$6:$AP$200,'Data Validation'!$U$4, 'Data entry'!$BD$6:$BD$200,"&lt;&gt;*Negative*"))</f>
        <v>0</v>
      </c>
      <c r="BR94" s="15">
        <f>SUM(COUNTIFS('Data entry'!$R$6:$R$200,'Summary Data'!$A94,'Data entry'!$B$6:$B$200,{"Confirmed";"Probable"},'Data entry'!$AQ$6:$AQ$200,'Data Validation'!$V$9, 'Data entry'!$AP$6:$AP$200,'Data Validation'!$U$5, 'Data entry'!$BD$6:$BD$200,"&lt;&gt;*Negative*"))</f>
        <v>0</v>
      </c>
      <c r="BS94" s="15">
        <f>SUM(COUNTIFS('Data entry'!$R$6:$R$200,'Summary Data'!$A94,'Data entry'!$B$6:$B$200,{"Confirmed";"Probable"},'Data entry'!$AQ$6:$AQ$200,'Data Validation'!$V$9, 'Data entry'!$AP$6:$AP$200,'Data Validation'!$U$6, 'Data entry'!$BD$6:$BD$200,"&lt;&gt;*Negative*"))</f>
        <v>0</v>
      </c>
      <c r="BT94" s="15">
        <f>SUM(COUNTIFS('Data entry'!$R$6:$R$200,'Summary Data'!$A94,'Data entry'!$B$6:$B$200,{"Confirmed";"Probable"},'Data entry'!$AQ$6:$AQ$200,'Data Validation'!$V$10, 'Data entry'!$AP$6:$AP$200,'Data Validation'!$U$2, 'Data entry'!$BD$6:$BD$200,"&lt;&gt;*Negative*"))</f>
        <v>0</v>
      </c>
      <c r="BU94" s="15">
        <f>SUM(COUNTIFS('Data entry'!$R$6:$R$200,'Summary Data'!$A94,'Data entry'!$B$6:$B$200,{"Confirmed";"Probable"},'Data entry'!$AQ$6:$AQ$200,'Data Validation'!$V$10, 'Data entry'!$AP$6:$AP$200,'Data Validation'!$U$3, 'Data entry'!$BD$6:$BD$200,"&lt;&gt;*Negative*"))</f>
        <v>0</v>
      </c>
      <c r="BV94" s="15">
        <f>SUM(COUNTIFS('Data entry'!$R$6:$R$200,'Summary Data'!$A94,'Data entry'!$B$6:$B$200,{"Confirmed";"Probable"},'Data entry'!$AQ$6:$AQ$200,'Data Validation'!$V$10, 'Data entry'!$AP$6:$AP$200,'Data Validation'!$U$4, 'Data entry'!$BD$6:$BD$200,"&lt;&gt;*Negative*"))</f>
        <v>0</v>
      </c>
      <c r="BW94" s="15">
        <f>SUM(COUNTIFS('Data entry'!$R$6:$R$200,'Summary Data'!$A94,'Data entry'!$B$6:$B$200,{"Confirmed";"Probable"},'Data entry'!$AQ$6:$AQ$200,'Data Validation'!$V$10, 'Data entry'!$AP$6:$AP$200,'Data Validation'!$U$5, 'Data entry'!$BD$6:$BD$200,"&lt;&gt;*Negative*"))</f>
        <v>0</v>
      </c>
      <c r="BX94" s="15">
        <f>SUM(COUNTIFS('Data entry'!$R$6:$R$200,'Summary Data'!$A94,'Data entry'!$B$6:$B$200,{"Confirmed";"Probable"},'Data entry'!$AQ$6:$AQ$200,'Data Validation'!$V$10, 'Data entry'!$AP$6:$AP$200,'Data Validation'!$U$6, 'Data entry'!$BD$6:$BD$200,"&lt;&gt;*Negative*"))</f>
        <v>0</v>
      </c>
      <c r="BY94" s="15">
        <f>SUM(COUNTIFS('Data entry'!$R$6:$R$200,'Summary Data'!$A94,'Data entry'!$B$6:$B$200,{"Confirmed";"Probable"},'Data entry'!$AQ$6:$AQ$200,'Data Validation'!$V$11, 'Data entry'!$AP$6:$AP$200,'Data Validation'!$U$2, 'Data entry'!$BD$6:$BD$200,"&lt;&gt;*Negative*"))</f>
        <v>0</v>
      </c>
      <c r="BZ94" s="15">
        <f>SUM(COUNTIFS('Data entry'!$R$6:$R$200,'Summary Data'!$A94,'Data entry'!$B$6:$B$200,{"Confirmed";"Probable"},'Data entry'!$AQ$6:$AQ$200,'Data Validation'!$V$11, 'Data entry'!$AP$6:$AP$200,'Data Validation'!$U$3, 'Data entry'!$BD$6:$BD$200,"&lt;&gt;*Negative*"))</f>
        <v>0</v>
      </c>
      <c r="CA94" s="15">
        <f>SUM(COUNTIFS('Data entry'!$R$6:$R$200,'Summary Data'!$A94,'Data entry'!$B$6:$B$200,{"Confirmed";"Probable"},'Data entry'!$AQ$6:$AQ$200,'Data Validation'!$V$11, 'Data entry'!$AP$6:$AP$200,'Data Validation'!$U$4, 'Data entry'!$BD$6:$BD$200,"&lt;&gt;*Negative*"))</f>
        <v>0</v>
      </c>
      <c r="CB94" s="15">
        <f>SUM(COUNTIFS('Data entry'!$R$6:$R$200,'Summary Data'!$A94,'Data entry'!$B$6:$B$200,{"Confirmed";"Probable"},'Data entry'!$AQ$6:$AQ$200,'Data Validation'!$V$11, 'Data entry'!$AP$6:$AP$200,'Data Validation'!$U$5, 'Data entry'!$BD$6:$BD$200,"&lt;&gt;*Negative*"))</f>
        <v>0</v>
      </c>
      <c r="CC94" s="15">
        <f>SUM(COUNTIFS('Data entry'!$R$6:$R$200,'Summary Data'!$A94,'Data entry'!$B$6:$B$200,{"Confirmed";"Probable"},'Data entry'!$AQ$6:$AQ$200,'Data Validation'!$V$11, 'Data entry'!$AP$6:$AP$200,'Data Validation'!$U$6, 'Data entry'!$BD$6:$BD$200,"&lt;&gt;*Negative*"))</f>
        <v>0</v>
      </c>
    </row>
    <row r="95" spans="1:81" x14ac:dyDescent="0.25">
      <c r="A95" s="12">
        <f t="shared" si="9"/>
        <v>83</v>
      </c>
      <c r="B95" s="13">
        <f t="shared" si="6"/>
        <v>0</v>
      </c>
      <c r="C95" s="13">
        <f>COUNTIFS('Data entry'!$R$6:$R$200,$A95,'Data entry'!$B$6:$B$200,"Confirmed",'Data entry'!$BD$6:$BD$200,"&lt;&gt;*Negative*")</f>
        <v>0</v>
      </c>
      <c r="D95" s="13">
        <f>COUNTIFS('Data entry'!$R$6:$R$200,$A95,'Data entry'!$B$6:$B$200,"Probable",'Data entry'!$BD$6:$BD$200,"&lt;&gt;*Negative*")</f>
        <v>0</v>
      </c>
      <c r="E95" s="13">
        <f>COUNTIFS('Data entry'!$R$6:$R$200,$A95,'Data entry'!$B$6:$B$200,"DNM")</f>
        <v>0</v>
      </c>
      <c r="F95" s="13">
        <f>SUM(COUNTIFS('Data entry'!$R$6:$R$200,'Summary Data'!$A95,'Data entry'!$B$6:$B$200,{"Confirmed";"Probable"},'Data entry'!$AO$6:$AO$200,$F$10, 'Data entry'!$BD$6:$BD$200,"&lt;&gt;*Negative*"))</f>
        <v>0</v>
      </c>
      <c r="G95" s="13">
        <f>SUM(COUNTIFS('Data entry'!$R$6:$R$200,'Summary Data'!$A95,'Data entry'!$B$6:$B$200,{"Confirmed";"Probable"},'Data entry'!$AO$6:$AO$200,$G$10, 'Data entry'!$BD$6:$BD$200,"&lt;&gt;*Negative*"))</f>
        <v>0</v>
      </c>
      <c r="H95" s="13">
        <f>SUM(COUNTIFS('Data entry'!$R$6:$R$200,'Summary Data'!$A95,'Data entry'!$B$6:$B$200,{"Confirmed";"Probable"},'Data entry'!$AO$6:$AO$200,$H$10, 'Data entry'!$BD$6:$BD$200,"&lt;&gt;*Negative*"))</f>
        <v>0</v>
      </c>
      <c r="I95" s="13">
        <f>SUM(COUNTIFS('Data entry'!$R$6:$R$200,'Summary Data'!$A95,'Data entry'!$B$6:$B$200,{"Confirmed";"Probable"},'Data entry'!$AO$6:$AO$200,$I$10, 'Data entry'!$BD$6:$BD$200,"&lt;&gt;*Negative*"))</f>
        <v>0</v>
      </c>
      <c r="J95" s="13">
        <f>SUM(COUNTIFS('Data entry'!$R$6:$R$200,'Summary Data'!$A95,'Data entry'!$B$6:$B$200,{"Confirmed";"Probable"},'Data entry'!$AO$6:$AO$200,$J$10, 'Data entry'!$BD$6:$BD$200,"&lt;&gt;*Negative*"))</f>
        <v>0</v>
      </c>
      <c r="K95" s="13">
        <f>SUM(COUNTIFS('Data entry'!$R$6:$R$200,'Summary Data'!$A95,'Data entry'!$B$6:$B$200,{"Confirmed";"Probable"},'Data entry'!$AO$6:$AO$200,$K$10, 'Data entry'!$BD$6:$BD$200,"&lt;&gt;*Negative*"))</f>
        <v>0</v>
      </c>
      <c r="L95" s="13">
        <f>SUM(COUNTIFS('Data entry'!$R$6:$R$200,'Summary Data'!$A95,'Data entry'!$B$6:$B$200,{"Confirmed";"Probable"},'Data entry'!$AO$6:$AO$200,$L$10, 'Data entry'!$BD$6:$BD$200,"&lt;&gt;*Negative*"))</f>
        <v>0</v>
      </c>
      <c r="M95" s="13">
        <f>SUM(COUNTIFS('Data entry'!$R$6:$R$200,'Summary Data'!$A95,'Data entry'!$B$6:$B$200,{"Confirmed";"Probable"},'Data entry'!$AO$6:$AO$200,$M$10, 'Data entry'!$BD$6:$BD$200,"&lt;&gt;*Negative*"))</f>
        <v>0</v>
      </c>
      <c r="N95" s="13">
        <f>SUM(COUNTIFS('Data entry'!$R$6:$R$200,'Summary Data'!$A95,'Data entry'!$B$6:$B$200,{"Confirmed";"Probable"},'Data entry'!$AO$6:$AO$200,$N$10, 'Data entry'!$BD$6:$BD$200,"&lt;&gt;*Negative*"))</f>
        <v>0</v>
      </c>
      <c r="O95" s="15">
        <f t="shared" si="7"/>
        <v>0</v>
      </c>
      <c r="P95" s="15">
        <f t="shared" si="8"/>
        <v>0</v>
      </c>
      <c r="Q95" s="15">
        <f>SUM(COUNTIFS('Data entry'!$R$6:$R$200,'Summary Data'!$A95,'Data entry'!$B$6:$B$200,{"Confirmed";"Probable"},'Data entry'!$AP$6:$AP$200,'Data Validation'!$U$2, 'Data entry'!$BD$6:$BD$200,"&lt;&gt;*Negative*"))</f>
        <v>0</v>
      </c>
      <c r="R95" s="15">
        <f>SUM(COUNTIFS('Data entry'!$R$6:$R$200,'Summary Data'!$A95,'Data entry'!$B$6:$B$200,{"Confirmed";"Probable"},'Data entry'!$AP$6:$AP$200,'Data Validation'!$U$3, 'Data entry'!$BD$6:$BD$200,"&lt;&gt;*Negative*"))</f>
        <v>0</v>
      </c>
      <c r="S95" s="15">
        <f>SUM(COUNTIFS('Data entry'!$R$6:$R$200,'Summary Data'!$A95,'Data entry'!$B$6:$B$200,{"Confirmed";"Probable"},'Data entry'!$AP$6:$AP$200,'Data Validation'!$U$4, 'Data entry'!$BD$6:$BD$200,"&lt;&gt;*Negative*"))</f>
        <v>0</v>
      </c>
      <c r="T95" s="15">
        <f>SUM(COUNTIFS('Data entry'!$R$6:$R$200,'Summary Data'!$A95,'Data entry'!$B$6:$B$200,{"Confirmed";"Probable"},'Data entry'!$AP$6:$AP$200,'Data Validation'!$U$5, 'Data entry'!$BD$6:$BD$200,"&lt;&gt;*Negative*"))</f>
        <v>0</v>
      </c>
      <c r="U95" s="15">
        <f>SUM(COUNTIFS('Data entry'!$R$6:$R$200,'Summary Data'!$A95,'Data entry'!$B$6:$B$200,{"Confirmed";"Probable"},'Data entry'!$AP$6:$AP$200,'Data Validation'!$U$6, 'Data entry'!$BD$6:$BD$200,"&lt;&gt;*Negative*"))</f>
        <v>0</v>
      </c>
      <c r="V95" s="15">
        <f>SUM(COUNTIFS('Data entry'!$R$6:$R$200,'Summary Data'!$A95,'Data entry'!$B$6:$B$200,{"Confirmed";"Probable"},'Data entry'!$AQ$6:$AQ$200,'Data Validation'!$V$2, 'Data entry'!$BD$6:$BD$200,"&lt;&gt;*Negative*"))</f>
        <v>0</v>
      </c>
      <c r="W95" s="15">
        <f>SUM(COUNTIFS('Data entry'!$R$6:$R$200,'Summary Data'!$A95,'Data entry'!$B$6:$B$200,{"Confirmed";"Probable"},'Data entry'!$AQ$6:$AQ$200,'Data Validation'!$V$3, 'Data entry'!$BD$6:$BD$200,"&lt;&gt;*Negative*"))</f>
        <v>0</v>
      </c>
      <c r="X95" s="15">
        <f>SUM(COUNTIFS('Data entry'!$R$6:$R$200,'Summary Data'!$A95,'Data entry'!$B$6:$B$200,{"Confirmed";"Probable"},'Data entry'!$AQ$6:$AQ$200,'Data Validation'!$V$4, 'Data entry'!$BD$6:$BD$200,"&lt;&gt;*Negative*"))</f>
        <v>0</v>
      </c>
      <c r="Y95" s="15">
        <f>SUM(COUNTIFS('Data entry'!$R$6:$R$200,'Summary Data'!$A95,'Data entry'!$B$6:$B$200,{"Confirmed";"Probable"},'Data entry'!$AQ$6:$AQ$200,'Data Validation'!$V$5, 'Data entry'!$BD$6:$BD$200,"&lt;&gt;*Negative*"))</f>
        <v>0</v>
      </c>
      <c r="Z95" s="15">
        <f>SUM(COUNTIFS('Data entry'!$R$6:$R$200,'Summary Data'!$A95,'Data entry'!$B$6:$B$200,{"Confirmed";"Probable"},'Data entry'!$AQ$6:$AQ$200,'Data Validation'!$V$6, 'Data entry'!$BD$6:$BD$200,"&lt;&gt;*Negative*"))</f>
        <v>0</v>
      </c>
      <c r="AA95" s="15">
        <f>SUM(COUNTIFS('Data entry'!$R$6:$R$200,'Summary Data'!$A95,'Data entry'!$B$6:$B$200,{"Confirmed";"Probable"},'Data entry'!$AQ$6:$AQ$200,'Data Validation'!$V$7, 'Data entry'!$BD$6:$BD$200,"&lt;&gt;*Negative*"))</f>
        <v>0</v>
      </c>
      <c r="AB95" s="15">
        <f>SUM(COUNTIFS('Data entry'!$R$6:$R$200,'Summary Data'!$A95,'Data entry'!$B$6:$B$200,{"Confirmed";"Probable"},'Data entry'!$AQ$6:$AQ$200,'Data Validation'!$V$8, 'Data entry'!$BD$6:$BD$200,"&lt;&gt;*Negative*"))</f>
        <v>0</v>
      </c>
      <c r="AC95" s="15">
        <f>SUM(COUNTIFS('Data entry'!$R$6:$R$200,'Summary Data'!$A95,'Data entry'!$B$6:$B$200,{"Confirmed";"Probable"},'Data entry'!$AQ$6:$AQ$200,'Data Validation'!$V$9, 'Data entry'!$BD$6:$BD$200,"&lt;&gt;*Negative*"))</f>
        <v>0</v>
      </c>
      <c r="AD95" s="15">
        <f>SUM(COUNTIFS('Data entry'!$R$6:$R$200,'Summary Data'!$A95,'Data entry'!$B$6:$B$200,{"Confirmed";"Probable"},'Data entry'!$AQ$6:$AQ$200,'Data Validation'!$V$10, 'Data entry'!$BD$6:$BD$200,"&lt;&gt;*Negative*"))</f>
        <v>0</v>
      </c>
      <c r="AE95" s="15">
        <f>SUM(COUNTIFS('Data entry'!$R$6:$R$200,'Summary Data'!$A95,'Data entry'!$B$6:$B$200,{"Confirmed";"Probable"},'Data entry'!$AQ$6:$AQ$200,'Data Validation'!$V$11, 'Data entry'!$BD$6:$BD$200,"&lt;&gt;*Negative*"))</f>
        <v>0</v>
      </c>
      <c r="AF95" s="15">
        <f>SUM(COUNTIFS('Data entry'!$R$6:$R$200,'Summary Data'!$A95,'Data entry'!$B$6:$B$200,{"Confirmed";"Probable"},'Data entry'!$AQ$6:$AQ$200,'Data Validation'!$V$2, 'Data entry'!$AP$6:$AP$200,'Data Validation'!$U$2, 'Data entry'!$BD$6:$BD$200,"&lt;&gt;*Negative*"))</f>
        <v>0</v>
      </c>
      <c r="AG95" s="15">
        <f>SUM(COUNTIFS('Data entry'!$R$6:$R$200,'Summary Data'!$A95,'Data entry'!$B$6:$B$200,{"Confirmed";"Probable"},'Data entry'!$AQ$6:$AQ$200,'Data Validation'!$V$2, 'Data entry'!$AP$6:$AP$200,'Data Validation'!$U$3, 'Data entry'!$BD$6:$BD$200,"&lt;&gt;*Negative*"))</f>
        <v>0</v>
      </c>
      <c r="AH95" s="15">
        <f>SUM(COUNTIFS('Data entry'!$R$6:$R$200,'Summary Data'!$A95,'Data entry'!$B$6:$B$200,{"Confirmed";"Probable"},'Data entry'!$AQ$6:$AQ$200,'Data Validation'!$V$2, 'Data entry'!$AP$6:$AP$200,'Data Validation'!$U$4, 'Data entry'!$BD$6:$BD$200,"&lt;&gt;*Negative*"))</f>
        <v>0</v>
      </c>
      <c r="AI95" s="15">
        <f>SUM(COUNTIFS('Data entry'!$R$6:$R$200,'Summary Data'!$A95,'Data entry'!$B$6:$B$200,{"Confirmed";"Probable"},'Data entry'!$AQ$6:$AQ$200,'Data Validation'!$V$2, 'Data entry'!$AP$6:$AP$200,'Data Validation'!$U$5, 'Data entry'!$BD$6:$BD$200,"&lt;&gt;*Negative*"))</f>
        <v>0</v>
      </c>
      <c r="AJ95" s="15">
        <f>SUM(COUNTIFS('Data entry'!$R$6:$R$200,'Summary Data'!$A95,'Data entry'!$B$6:$B$200,{"Confirmed";"Probable"},'Data entry'!$AQ$6:$AQ$200,'Data Validation'!$V$2, 'Data entry'!$AP$6:$AP$200,'Data Validation'!$U$6, 'Data entry'!$BD$6:$BD$200,"&lt;&gt;*Negative*"))</f>
        <v>0</v>
      </c>
      <c r="AK95" s="15">
        <f>SUM(COUNTIFS('Data entry'!$R$6:$R$200,'Summary Data'!$A95,'Data entry'!$B$6:$B$200,{"Confirmed";"Probable"},'Data entry'!$AQ$6:$AQ$200,'Data Validation'!$V$3, 'Data entry'!$AP$6:$AP$200,'Data Validation'!$U$2, 'Data entry'!$BD$6:$BD$200,"&lt;&gt;*Negative*"))</f>
        <v>0</v>
      </c>
      <c r="AL95" s="15">
        <f>SUM(COUNTIFS('Data entry'!$R$6:$R$200,'Summary Data'!$A95,'Data entry'!$B$6:$B$200,{"Confirmed";"Probable"},'Data entry'!$AQ$6:$AQ$200,'Data Validation'!$V$3, 'Data entry'!$AP$6:$AP$200,'Data Validation'!$U$3, 'Data entry'!$BD$6:$BD$200,"&lt;&gt;*Negative*"))</f>
        <v>0</v>
      </c>
      <c r="AM95" s="15">
        <f>SUM(COUNTIFS('Data entry'!$R$6:$R$200,'Summary Data'!$A95,'Data entry'!$B$6:$B$200,{"Confirmed";"Probable"},'Data entry'!$AQ$6:$AQ$200,'Data Validation'!$V$3, 'Data entry'!$AP$6:$AP$200,'Data Validation'!$U$4, 'Data entry'!$BD$6:$BD$200,"&lt;&gt;*Negative*"))</f>
        <v>0</v>
      </c>
      <c r="AN95" s="15">
        <f>SUM(COUNTIFS('Data entry'!$R$6:$R$200,'Summary Data'!$A95,'Data entry'!$B$6:$B$200,{"Confirmed";"Probable"},'Data entry'!$AQ$6:$AQ$200,'Data Validation'!$V$3, 'Data entry'!$AP$6:$AP$200,'Data Validation'!$U$5, 'Data entry'!$BD$6:$BD$200,"&lt;&gt;*Negative*"))</f>
        <v>0</v>
      </c>
      <c r="AO95" s="15">
        <f>SUM(COUNTIFS('Data entry'!$R$6:$R$200,'Summary Data'!$A95,'Data entry'!$B$6:$B$200,{"Confirmed";"Probable"},'Data entry'!$AQ$6:$AQ$200,'Data Validation'!$V$3, 'Data entry'!$AP$6:$AP$200,'Data Validation'!$U$6, 'Data entry'!$BD$6:$BD$200,"&lt;&gt;*Negative*"))</f>
        <v>0</v>
      </c>
      <c r="AP95" s="15">
        <f>SUM(COUNTIFS('Data entry'!$R$6:$R$200,'Summary Data'!$A95,'Data entry'!$B$6:$B$200,{"Confirmed";"Probable"},'Data entry'!$AQ$6:$AQ$200,'Data Validation'!$V$4, 'Data entry'!$AP$6:$AP$200,'Data Validation'!$U$2, 'Data entry'!$BD$6:$BD$200,"&lt;&gt;*Negative*"))</f>
        <v>0</v>
      </c>
      <c r="AQ95" s="15">
        <f>SUM(COUNTIFS('Data entry'!$R$6:$R$200,'Summary Data'!$A95,'Data entry'!$B$6:$B$200,{"Confirmed";"Probable"},'Data entry'!$AQ$6:$AQ$200,'Data Validation'!$V$4, 'Data entry'!$AP$6:$AP$200,'Data Validation'!$U$3, 'Data entry'!$BD$6:$BD$200,"&lt;&gt;*Negative*"))</f>
        <v>0</v>
      </c>
      <c r="AR95" s="15">
        <f>SUM(COUNTIFS('Data entry'!$R$6:$R$200,'Summary Data'!$A95,'Data entry'!$B$6:$B$200,{"Confirmed";"Probable"},'Data entry'!$AQ$6:$AQ$200,'Data Validation'!$V$4, 'Data entry'!$AP$6:$AP$200,'Data Validation'!$U$4, 'Data entry'!$BD$6:$BD$200,"&lt;&gt;*Negative*"))</f>
        <v>0</v>
      </c>
      <c r="AS95" s="15">
        <f>SUM(COUNTIFS('Data entry'!$R$6:$R$200,'Summary Data'!$A95,'Data entry'!$B$6:$B$200,{"Confirmed";"Probable"},'Data entry'!$AQ$6:$AQ$200,'Data Validation'!$V$4, 'Data entry'!$AP$6:$AP$200,'Data Validation'!$U$5, 'Data entry'!$BD$6:$BD$200,"&lt;&gt;*Negative*"))</f>
        <v>0</v>
      </c>
      <c r="AT95" s="15">
        <f>SUM(COUNTIFS('Data entry'!$R$6:$R$200,'Summary Data'!$A95,'Data entry'!$B$6:$B$200,{"Confirmed";"Probable"},'Data entry'!$AQ$6:$AQ$200,'Data Validation'!$V$4, 'Data entry'!$AP$6:$AP$200,'Data Validation'!$U$6, 'Data entry'!$BD$6:$BD$200,"&lt;&gt;*Negative*"))</f>
        <v>0</v>
      </c>
      <c r="AU95" s="15">
        <f>SUM(COUNTIFS('Data entry'!$R$6:$R$200,'Summary Data'!$A95,'Data entry'!$B$6:$B$200,{"Confirmed";"Probable"},'Data entry'!$AQ$6:$AQ$200,'Data Validation'!$V$5, 'Data entry'!$AP$6:$AP$200,'Data Validation'!$U$2, 'Data entry'!$BD$6:$BD$200,"&lt;&gt;*Negative*"))</f>
        <v>0</v>
      </c>
      <c r="AV95" s="15">
        <f>SUM(COUNTIFS('Data entry'!$R$6:$R$200,'Summary Data'!$A95,'Data entry'!$B$6:$B$200,{"Confirmed";"Probable"},'Data entry'!$AQ$6:$AQ$200,'Data Validation'!$V$5, 'Data entry'!$AP$6:$AP$200,'Data Validation'!$U$3, 'Data entry'!$BD$6:$BD$200,"&lt;&gt;*Negative*"))</f>
        <v>0</v>
      </c>
      <c r="AW95" s="15">
        <f>SUM(COUNTIFS('Data entry'!$R$6:$R$200,'Summary Data'!$A95,'Data entry'!$B$6:$B$200,{"Confirmed";"Probable"},'Data entry'!$AQ$6:$AQ$200,'Data Validation'!$V$5, 'Data entry'!$AP$6:$AP$200,'Data Validation'!$U$4, 'Data entry'!$BD$6:$BD$200,"&lt;&gt;*Negative*"))</f>
        <v>0</v>
      </c>
      <c r="AX95" s="15">
        <f>SUM(COUNTIFS('Data entry'!$R$6:$R$200,'Summary Data'!$A95,'Data entry'!$B$6:$B$200,{"Confirmed";"Probable"},'Data entry'!$AQ$6:$AQ$200,'Data Validation'!$V$5, 'Data entry'!$AP$6:$AP$200,'Data Validation'!$U$5, 'Data entry'!$BD$6:$BD$200,"&lt;&gt;*Negative*"))</f>
        <v>0</v>
      </c>
      <c r="AY95" s="15">
        <f>SUM(COUNTIFS('Data entry'!$R$6:$R$200,'Summary Data'!$A95,'Data entry'!$B$6:$B$200,{"Confirmed";"Probable"},'Data entry'!$AQ$6:$AQ$200,'Data Validation'!$V$5, 'Data entry'!$AP$6:$AP$200,'Data Validation'!$U$6, 'Data entry'!$BD$6:$BD$200,"&lt;&gt;*Negative*"))</f>
        <v>0</v>
      </c>
      <c r="AZ95" s="15">
        <f>SUM(COUNTIFS('Data entry'!$R$6:$R$200,'Summary Data'!$A95,'Data entry'!$B$6:$B$200,{"Confirmed";"Probable"},'Data entry'!$AQ$6:$AQ$200,'Data Validation'!$V$6, 'Data entry'!$AP$6:$AP$200,'Data Validation'!$U$2, 'Data entry'!$BD$6:$BD$200,"&lt;&gt;*Negative*"))</f>
        <v>0</v>
      </c>
      <c r="BA95" s="15">
        <f>SUM(COUNTIFS('Data entry'!$R$6:$R$200,'Summary Data'!$A95,'Data entry'!$B$6:$B$200,{"Confirmed";"Probable"},'Data entry'!$AQ$6:$AQ$200,'Data Validation'!$V$6, 'Data entry'!$AP$6:$AP$200,'Data Validation'!$U$3, 'Data entry'!$BD$6:$BD$200,"&lt;&gt;*Negative*"))</f>
        <v>0</v>
      </c>
      <c r="BB95" s="15">
        <f>SUM(COUNTIFS('Data entry'!$R$6:$R$200,'Summary Data'!$A95,'Data entry'!$B$6:$B$200,{"Confirmed";"Probable"},'Data entry'!$AQ$6:$AQ$200,'Data Validation'!$V$6, 'Data entry'!$AP$6:$AP$200,'Data Validation'!$U$4, 'Data entry'!$BD$6:$BD$200,"&lt;&gt;*Negative*"))</f>
        <v>0</v>
      </c>
      <c r="BC95" s="15">
        <f>SUM(COUNTIFS('Data entry'!$R$6:$R$200,'Summary Data'!$A95,'Data entry'!$B$6:$B$200,{"Confirmed";"Probable"},'Data entry'!$AQ$6:$AQ$200,'Data Validation'!$V$6, 'Data entry'!$AP$6:$AP$200,'Data Validation'!$U$5, 'Data entry'!$BD$6:$BD$200,"&lt;&gt;*Negative*"))</f>
        <v>0</v>
      </c>
      <c r="BD95" s="15">
        <f>SUM(COUNTIFS('Data entry'!$R$6:$R$200,'Summary Data'!$A95,'Data entry'!$B$6:$B$200,{"Confirmed";"Probable"},'Data entry'!$AQ$6:$AQ$200,'Data Validation'!$V$6, 'Data entry'!$AP$6:$AP$200,'Data Validation'!$U$6, 'Data entry'!$BD$6:$BD$200,"&lt;&gt;*Negative*"))</f>
        <v>0</v>
      </c>
      <c r="BE95" s="15">
        <f>SUM(COUNTIFS('Data entry'!$R$6:$R$200,'Summary Data'!$A95,'Data entry'!$B$6:$B$200,{"Confirmed";"Probable"},'Data entry'!$AQ$6:$AQ$200,'Data Validation'!$V$7, 'Data entry'!$AP$6:$AP$200,'Data Validation'!$U$2, 'Data entry'!$BD$6:$BD$200,"&lt;&gt;*Negative*"))</f>
        <v>0</v>
      </c>
      <c r="BF95" s="15">
        <f>SUM(COUNTIFS('Data entry'!$R$6:$R$200,'Summary Data'!$A95,'Data entry'!$B$6:$B$200,{"Confirmed";"Probable"},'Data entry'!$AQ$6:$AQ$200,'Data Validation'!$V$7, 'Data entry'!$AP$6:$AP$200,'Data Validation'!$U$3, 'Data entry'!$BD$6:$BD$200,"&lt;&gt;*Negative*"))</f>
        <v>0</v>
      </c>
      <c r="BG95" s="15">
        <f>SUM(COUNTIFS('Data entry'!$R$6:$R$200,'Summary Data'!$A95,'Data entry'!$B$6:$B$200,{"Confirmed";"Probable"},'Data entry'!$AQ$6:$AQ$200,'Data Validation'!$V$7, 'Data entry'!$AP$6:$AP$200,'Data Validation'!$U$4, 'Data entry'!$BD$6:$BD$200,"&lt;&gt;*Negative*"))</f>
        <v>0</v>
      </c>
      <c r="BH95" s="15">
        <f>SUM(COUNTIFS('Data entry'!$R$6:$R$200,'Summary Data'!$A95,'Data entry'!$B$6:$B$200,{"Confirmed";"Probable"},'Data entry'!$AQ$6:$AQ$200,'Data Validation'!$V$7, 'Data entry'!$AP$6:$AP$200,'Data Validation'!$U$5, 'Data entry'!$BD$6:$BD$200,"&lt;&gt;*Negative*"))</f>
        <v>0</v>
      </c>
      <c r="BI95" s="15">
        <f>SUM(COUNTIFS('Data entry'!$R$6:$R$200,'Summary Data'!$A95,'Data entry'!$B$6:$B$200,{"Confirmed";"Probable"},'Data entry'!$AQ$6:$AQ$200,'Data Validation'!$V$7, 'Data entry'!$AP$6:$AP$200,'Data Validation'!$U$6, 'Data entry'!$BD$6:$BD$200,"&lt;&gt;*Negative*"))</f>
        <v>0</v>
      </c>
      <c r="BJ95" s="15">
        <f>SUM(COUNTIFS('Data entry'!$R$6:$R$200,'Summary Data'!$A95,'Data entry'!$B$6:$B$200,{"Confirmed";"Probable"},'Data entry'!$AQ$6:$AQ$200,'Data Validation'!$V$8, 'Data entry'!$AP$6:$AP$200,'Data Validation'!$U$2, 'Data entry'!$BD$6:$BD$200,"&lt;&gt;*Negative*"))</f>
        <v>0</v>
      </c>
      <c r="BK95" s="15">
        <f>SUM(COUNTIFS('Data entry'!$R$6:$R$200,'Summary Data'!$A95,'Data entry'!$B$6:$B$200,{"Confirmed";"Probable"},'Data entry'!$AQ$6:$AQ$200,'Data Validation'!$V$8, 'Data entry'!$AP$6:$AP$200,'Data Validation'!$U$3, 'Data entry'!$BD$6:$BD$200,"&lt;&gt;*Negative*"))</f>
        <v>0</v>
      </c>
      <c r="BL95" s="15">
        <f>SUM(COUNTIFS('Data entry'!$R$6:$R$200,'Summary Data'!$A95,'Data entry'!$B$6:$B$200,{"Confirmed";"Probable"},'Data entry'!$AQ$6:$AQ$200,'Data Validation'!$V$8, 'Data entry'!$AP$6:$AP$200,'Data Validation'!$U$4, 'Data entry'!$BD$6:$BD$200,"&lt;&gt;*Negative*"))</f>
        <v>0</v>
      </c>
      <c r="BM95" s="15">
        <f>SUM(COUNTIFS('Data entry'!$R$6:$R$200,'Summary Data'!$A95,'Data entry'!$B$6:$B$200,{"Confirmed";"Probable"},'Data entry'!$AQ$6:$AQ$200,'Data Validation'!$V$8, 'Data entry'!$AP$6:$AP$200,'Data Validation'!$U$5, 'Data entry'!$BD$6:$BD$200,"&lt;&gt;*Negative*"))</f>
        <v>0</v>
      </c>
      <c r="BN95" s="15">
        <f>SUM(COUNTIFS('Data entry'!$R$6:$R$200,'Summary Data'!$A95,'Data entry'!$B$6:$B$200,{"Confirmed";"Probable"},'Data entry'!$AQ$6:$AQ$200,'Data Validation'!$V$8, 'Data entry'!$AP$6:$AP$200,'Data Validation'!$U$6, 'Data entry'!$BD$6:$BD$200,"&lt;&gt;*Negative*"))</f>
        <v>0</v>
      </c>
      <c r="BO95" s="15">
        <f>SUM(COUNTIFS('Data entry'!$R$6:$R$200,'Summary Data'!$A95,'Data entry'!$B$6:$B$200,{"Confirmed";"Probable"},'Data entry'!$AQ$6:$AQ$200,'Data Validation'!$V$9, 'Data entry'!$AP$6:$AP$200,'Data Validation'!$U$2, 'Data entry'!$BD$6:$BD$200,"&lt;&gt;*Negative*"))</f>
        <v>0</v>
      </c>
      <c r="BP95" s="15">
        <f>SUM(COUNTIFS('Data entry'!$R$6:$R$200,'Summary Data'!$A95,'Data entry'!$B$6:$B$200,{"Confirmed";"Probable"},'Data entry'!$AQ$6:$AQ$200,'Data Validation'!$V$9, 'Data entry'!$AP$6:$AP$200,'Data Validation'!$U$3, 'Data entry'!$BD$6:$BD$200,"&lt;&gt;*Negative*"))</f>
        <v>0</v>
      </c>
      <c r="BQ95" s="15">
        <f>SUM(COUNTIFS('Data entry'!$R$6:$R$200,'Summary Data'!$A95,'Data entry'!$B$6:$B$200,{"Confirmed";"Probable"},'Data entry'!$AQ$6:$AQ$200,'Data Validation'!$V$9, 'Data entry'!$AP$6:$AP$200,'Data Validation'!$U$4, 'Data entry'!$BD$6:$BD$200,"&lt;&gt;*Negative*"))</f>
        <v>0</v>
      </c>
      <c r="BR95" s="15">
        <f>SUM(COUNTIFS('Data entry'!$R$6:$R$200,'Summary Data'!$A95,'Data entry'!$B$6:$B$200,{"Confirmed";"Probable"},'Data entry'!$AQ$6:$AQ$200,'Data Validation'!$V$9, 'Data entry'!$AP$6:$AP$200,'Data Validation'!$U$5, 'Data entry'!$BD$6:$BD$200,"&lt;&gt;*Negative*"))</f>
        <v>0</v>
      </c>
      <c r="BS95" s="15">
        <f>SUM(COUNTIFS('Data entry'!$R$6:$R$200,'Summary Data'!$A95,'Data entry'!$B$6:$B$200,{"Confirmed";"Probable"},'Data entry'!$AQ$6:$AQ$200,'Data Validation'!$V$9, 'Data entry'!$AP$6:$AP$200,'Data Validation'!$U$6, 'Data entry'!$BD$6:$BD$200,"&lt;&gt;*Negative*"))</f>
        <v>0</v>
      </c>
      <c r="BT95" s="15">
        <f>SUM(COUNTIFS('Data entry'!$R$6:$R$200,'Summary Data'!$A95,'Data entry'!$B$6:$B$200,{"Confirmed";"Probable"},'Data entry'!$AQ$6:$AQ$200,'Data Validation'!$V$10, 'Data entry'!$AP$6:$AP$200,'Data Validation'!$U$2, 'Data entry'!$BD$6:$BD$200,"&lt;&gt;*Negative*"))</f>
        <v>0</v>
      </c>
      <c r="BU95" s="15">
        <f>SUM(COUNTIFS('Data entry'!$R$6:$R$200,'Summary Data'!$A95,'Data entry'!$B$6:$B$200,{"Confirmed";"Probable"},'Data entry'!$AQ$6:$AQ$200,'Data Validation'!$V$10, 'Data entry'!$AP$6:$AP$200,'Data Validation'!$U$3, 'Data entry'!$BD$6:$BD$200,"&lt;&gt;*Negative*"))</f>
        <v>0</v>
      </c>
      <c r="BV95" s="15">
        <f>SUM(COUNTIFS('Data entry'!$R$6:$R$200,'Summary Data'!$A95,'Data entry'!$B$6:$B$200,{"Confirmed";"Probable"},'Data entry'!$AQ$6:$AQ$200,'Data Validation'!$V$10, 'Data entry'!$AP$6:$AP$200,'Data Validation'!$U$4, 'Data entry'!$BD$6:$BD$200,"&lt;&gt;*Negative*"))</f>
        <v>0</v>
      </c>
      <c r="BW95" s="15">
        <f>SUM(COUNTIFS('Data entry'!$R$6:$R$200,'Summary Data'!$A95,'Data entry'!$B$6:$B$200,{"Confirmed";"Probable"},'Data entry'!$AQ$6:$AQ$200,'Data Validation'!$V$10, 'Data entry'!$AP$6:$AP$200,'Data Validation'!$U$5, 'Data entry'!$BD$6:$BD$200,"&lt;&gt;*Negative*"))</f>
        <v>0</v>
      </c>
      <c r="BX95" s="15">
        <f>SUM(COUNTIFS('Data entry'!$R$6:$R$200,'Summary Data'!$A95,'Data entry'!$B$6:$B$200,{"Confirmed";"Probable"},'Data entry'!$AQ$6:$AQ$200,'Data Validation'!$V$10, 'Data entry'!$AP$6:$AP$200,'Data Validation'!$U$6, 'Data entry'!$BD$6:$BD$200,"&lt;&gt;*Negative*"))</f>
        <v>0</v>
      </c>
      <c r="BY95" s="15">
        <f>SUM(COUNTIFS('Data entry'!$R$6:$R$200,'Summary Data'!$A95,'Data entry'!$B$6:$B$200,{"Confirmed";"Probable"},'Data entry'!$AQ$6:$AQ$200,'Data Validation'!$V$11, 'Data entry'!$AP$6:$AP$200,'Data Validation'!$U$2, 'Data entry'!$BD$6:$BD$200,"&lt;&gt;*Negative*"))</f>
        <v>0</v>
      </c>
      <c r="BZ95" s="15">
        <f>SUM(COUNTIFS('Data entry'!$R$6:$R$200,'Summary Data'!$A95,'Data entry'!$B$6:$B$200,{"Confirmed";"Probable"},'Data entry'!$AQ$6:$AQ$200,'Data Validation'!$V$11, 'Data entry'!$AP$6:$AP$200,'Data Validation'!$U$3, 'Data entry'!$BD$6:$BD$200,"&lt;&gt;*Negative*"))</f>
        <v>0</v>
      </c>
      <c r="CA95" s="15">
        <f>SUM(COUNTIFS('Data entry'!$R$6:$R$200,'Summary Data'!$A95,'Data entry'!$B$6:$B$200,{"Confirmed";"Probable"},'Data entry'!$AQ$6:$AQ$200,'Data Validation'!$V$11, 'Data entry'!$AP$6:$AP$200,'Data Validation'!$U$4, 'Data entry'!$BD$6:$BD$200,"&lt;&gt;*Negative*"))</f>
        <v>0</v>
      </c>
      <c r="CB95" s="15">
        <f>SUM(COUNTIFS('Data entry'!$R$6:$R$200,'Summary Data'!$A95,'Data entry'!$B$6:$B$200,{"Confirmed";"Probable"},'Data entry'!$AQ$6:$AQ$200,'Data Validation'!$V$11, 'Data entry'!$AP$6:$AP$200,'Data Validation'!$U$5, 'Data entry'!$BD$6:$BD$200,"&lt;&gt;*Negative*"))</f>
        <v>0</v>
      </c>
      <c r="CC95" s="15">
        <f>SUM(COUNTIFS('Data entry'!$R$6:$R$200,'Summary Data'!$A95,'Data entry'!$B$6:$B$200,{"Confirmed";"Probable"},'Data entry'!$AQ$6:$AQ$200,'Data Validation'!$V$11, 'Data entry'!$AP$6:$AP$200,'Data Validation'!$U$6, 'Data entry'!$BD$6:$BD$200,"&lt;&gt;*Negative*"))</f>
        <v>0</v>
      </c>
    </row>
    <row r="96" spans="1:81" x14ac:dyDescent="0.25">
      <c r="A96" s="12">
        <f t="shared" si="9"/>
        <v>84</v>
      </c>
      <c r="B96" s="13">
        <f t="shared" si="6"/>
        <v>0</v>
      </c>
      <c r="C96" s="13">
        <f>COUNTIFS('Data entry'!$R$6:$R$200,$A96,'Data entry'!$B$6:$B$200,"Confirmed",'Data entry'!$BD$6:$BD$200,"&lt;&gt;*Negative*")</f>
        <v>0</v>
      </c>
      <c r="D96" s="13">
        <f>COUNTIFS('Data entry'!$R$6:$R$200,$A96,'Data entry'!$B$6:$B$200,"Probable",'Data entry'!$BD$6:$BD$200,"&lt;&gt;*Negative*")</f>
        <v>0</v>
      </c>
      <c r="E96" s="13">
        <f>COUNTIFS('Data entry'!$R$6:$R$200,$A96,'Data entry'!$B$6:$B$200,"DNM")</f>
        <v>0</v>
      </c>
      <c r="F96" s="13">
        <f>SUM(COUNTIFS('Data entry'!$R$6:$R$200,'Summary Data'!$A96,'Data entry'!$B$6:$B$200,{"Confirmed";"Probable"},'Data entry'!$AO$6:$AO$200,$F$10, 'Data entry'!$BD$6:$BD$200,"&lt;&gt;*Negative*"))</f>
        <v>0</v>
      </c>
      <c r="G96" s="13">
        <f>SUM(COUNTIFS('Data entry'!$R$6:$R$200,'Summary Data'!$A96,'Data entry'!$B$6:$B$200,{"Confirmed";"Probable"},'Data entry'!$AO$6:$AO$200,$G$10, 'Data entry'!$BD$6:$BD$200,"&lt;&gt;*Negative*"))</f>
        <v>0</v>
      </c>
      <c r="H96" s="13">
        <f>SUM(COUNTIFS('Data entry'!$R$6:$R$200,'Summary Data'!$A96,'Data entry'!$B$6:$B$200,{"Confirmed";"Probable"},'Data entry'!$AO$6:$AO$200,$H$10, 'Data entry'!$BD$6:$BD$200,"&lt;&gt;*Negative*"))</f>
        <v>0</v>
      </c>
      <c r="I96" s="13">
        <f>SUM(COUNTIFS('Data entry'!$R$6:$R$200,'Summary Data'!$A96,'Data entry'!$B$6:$B$200,{"Confirmed";"Probable"},'Data entry'!$AO$6:$AO$200,$I$10, 'Data entry'!$BD$6:$BD$200,"&lt;&gt;*Negative*"))</f>
        <v>0</v>
      </c>
      <c r="J96" s="13">
        <f>SUM(COUNTIFS('Data entry'!$R$6:$R$200,'Summary Data'!$A96,'Data entry'!$B$6:$B$200,{"Confirmed";"Probable"},'Data entry'!$AO$6:$AO$200,$J$10, 'Data entry'!$BD$6:$BD$200,"&lt;&gt;*Negative*"))</f>
        <v>0</v>
      </c>
      <c r="K96" s="13">
        <f>SUM(COUNTIFS('Data entry'!$R$6:$R$200,'Summary Data'!$A96,'Data entry'!$B$6:$B$200,{"Confirmed";"Probable"},'Data entry'!$AO$6:$AO$200,$K$10, 'Data entry'!$BD$6:$BD$200,"&lt;&gt;*Negative*"))</f>
        <v>0</v>
      </c>
      <c r="L96" s="13">
        <f>SUM(COUNTIFS('Data entry'!$R$6:$R$200,'Summary Data'!$A96,'Data entry'!$B$6:$B$200,{"Confirmed";"Probable"},'Data entry'!$AO$6:$AO$200,$L$10, 'Data entry'!$BD$6:$BD$200,"&lt;&gt;*Negative*"))</f>
        <v>0</v>
      </c>
      <c r="M96" s="13">
        <f>SUM(COUNTIFS('Data entry'!$R$6:$R$200,'Summary Data'!$A96,'Data entry'!$B$6:$B$200,{"Confirmed";"Probable"},'Data entry'!$AO$6:$AO$200,$M$10, 'Data entry'!$BD$6:$BD$200,"&lt;&gt;*Negative*"))</f>
        <v>0</v>
      </c>
      <c r="N96" s="13">
        <f>SUM(COUNTIFS('Data entry'!$R$6:$R$200,'Summary Data'!$A96,'Data entry'!$B$6:$B$200,{"Confirmed";"Probable"},'Data entry'!$AO$6:$AO$200,$N$10, 'Data entry'!$BD$6:$BD$200,"&lt;&gt;*Negative*"))</f>
        <v>0</v>
      </c>
      <c r="O96" s="15">
        <f t="shared" si="7"/>
        <v>0</v>
      </c>
      <c r="P96" s="15">
        <f t="shared" si="8"/>
        <v>0</v>
      </c>
      <c r="Q96" s="15">
        <f>SUM(COUNTIFS('Data entry'!$R$6:$R$200,'Summary Data'!$A96,'Data entry'!$B$6:$B$200,{"Confirmed";"Probable"},'Data entry'!$AP$6:$AP$200,'Data Validation'!$U$2, 'Data entry'!$BD$6:$BD$200,"&lt;&gt;*Negative*"))</f>
        <v>0</v>
      </c>
      <c r="R96" s="15">
        <f>SUM(COUNTIFS('Data entry'!$R$6:$R$200,'Summary Data'!$A96,'Data entry'!$B$6:$B$200,{"Confirmed";"Probable"},'Data entry'!$AP$6:$AP$200,'Data Validation'!$U$3, 'Data entry'!$BD$6:$BD$200,"&lt;&gt;*Negative*"))</f>
        <v>0</v>
      </c>
      <c r="S96" s="15">
        <f>SUM(COUNTIFS('Data entry'!$R$6:$R$200,'Summary Data'!$A96,'Data entry'!$B$6:$B$200,{"Confirmed";"Probable"},'Data entry'!$AP$6:$AP$200,'Data Validation'!$U$4, 'Data entry'!$BD$6:$BD$200,"&lt;&gt;*Negative*"))</f>
        <v>0</v>
      </c>
      <c r="T96" s="15">
        <f>SUM(COUNTIFS('Data entry'!$R$6:$R$200,'Summary Data'!$A96,'Data entry'!$B$6:$B$200,{"Confirmed";"Probable"},'Data entry'!$AP$6:$AP$200,'Data Validation'!$U$5, 'Data entry'!$BD$6:$BD$200,"&lt;&gt;*Negative*"))</f>
        <v>0</v>
      </c>
      <c r="U96" s="15">
        <f>SUM(COUNTIFS('Data entry'!$R$6:$R$200,'Summary Data'!$A96,'Data entry'!$B$6:$B$200,{"Confirmed";"Probable"},'Data entry'!$AP$6:$AP$200,'Data Validation'!$U$6, 'Data entry'!$BD$6:$BD$200,"&lt;&gt;*Negative*"))</f>
        <v>0</v>
      </c>
      <c r="V96" s="15">
        <f>SUM(COUNTIFS('Data entry'!$R$6:$R$200,'Summary Data'!$A96,'Data entry'!$B$6:$B$200,{"Confirmed";"Probable"},'Data entry'!$AQ$6:$AQ$200,'Data Validation'!$V$2, 'Data entry'!$BD$6:$BD$200,"&lt;&gt;*Negative*"))</f>
        <v>0</v>
      </c>
      <c r="W96" s="15">
        <f>SUM(COUNTIFS('Data entry'!$R$6:$R$200,'Summary Data'!$A96,'Data entry'!$B$6:$B$200,{"Confirmed";"Probable"},'Data entry'!$AQ$6:$AQ$200,'Data Validation'!$V$3, 'Data entry'!$BD$6:$BD$200,"&lt;&gt;*Negative*"))</f>
        <v>0</v>
      </c>
      <c r="X96" s="15">
        <f>SUM(COUNTIFS('Data entry'!$R$6:$R$200,'Summary Data'!$A96,'Data entry'!$B$6:$B$200,{"Confirmed";"Probable"},'Data entry'!$AQ$6:$AQ$200,'Data Validation'!$V$4, 'Data entry'!$BD$6:$BD$200,"&lt;&gt;*Negative*"))</f>
        <v>0</v>
      </c>
      <c r="Y96" s="15">
        <f>SUM(COUNTIFS('Data entry'!$R$6:$R$200,'Summary Data'!$A96,'Data entry'!$B$6:$B$200,{"Confirmed";"Probable"},'Data entry'!$AQ$6:$AQ$200,'Data Validation'!$V$5, 'Data entry'!$BD$6:$BD$200,"&lt;&gt;*Negative*"))</f>
        <v>0</v>
      </c>
      <c r="Z96" s="15">
        <f>SUM(COUNTIFS('Data entry'!$R$6:$R$200,'Summary Data'!$A96,'Data entry'!$B$6:$B$200,{"Confirmed";"Probable"},'Data entry'!$AQ$6:$AQ$200,'Data Validation'!$V$6, 'Data entry'!$BD$6:$BD$200,"&lt;&gt;*Negative*"))</f>
        <v>0</v>
      </c>
      <c r="AA96" s="15">
        <f>SUM(COUNTIFS('Data entry'!$R$6:$R$200,'Summary Data'!$A96,'Data entry'!$B$6:$B$200,{"Confirmed";"Probable"},'Data entry'!$AQ$6:$AQ$200,'Data Validation'!$V$7, 'Data entry'!$BD$6:$BD$200,"&lt;&gt;*Negative*"))</f>
        <v>0</v>
      </c>
      <c r="AB96" s="15">
        <f>SUM(COUNTIFS('Data entry'!$R$6:$R$200,'Summary Data'!$A96,'Data entry'!$B$6:$B$200,{"Confirmed";"Probable"},'Data entry'!$AQ$6:$AQ$200,'Data Validation'!$V$8, 'Data entry'!$BD$6:$BD$200,"&lt;&gt;*Negative*"))</f>
        <v>0</v>
      </c>
      <c r="AC96" s="15">
        <f>SUM(COUNTIFS('Data entry'!$R$6:$R$200,'Summary Data'!$A96,'Data entry'!$B$6:$B$200,{"Confirmed";"Probable"},'Data entry'!$AQ$6:$AQ$200,'Data Validation'!$V$9, 'Data entry'!$BD$6:$BD$200,"&lt;&gt;*Negative*"))</f>
        <v>0</v>
      </c>
      <c r="AD96" s="15">
        <f>SUM(COUNTIFS('Data entry'!$R$6:$R$200,'Summary Data'!$A96,'Data entry'!$B$6:$B$200,{"Confirmed";"Probable"},'Data entry'!$AQ$6:$AQ$200,'Data Validation'!$V$10, 'Data entry'!$BD$6:$BD$200,"&lt;&gt;*Negative*"))</f>
        <v>0</v>
      </c>
      <c r="AE96" s="15">
        <f>SUM(COUNTIFS('Data entry'!$R$6:$R$200,'Summary Data'!$A96,'Data entry'!$B$6:$B$200,{"Confirmed";"Probable"},'Data entry'!$AQ$6:$AQ$200,'Data Validation'!$V$11, 'Data entry'!$BD$6:$BD$200,"&lt;&gt;*Negative*"))</f>
        <v>0</v>
      </c>
      <c r="AF96" s="15">
        <f>SUM(COUNTIFS('Data entry'!$R$6:$R$200,'Summary Data'!$A96,'Data entry'!$B$6:$B$200,{"Confirmed";"Probable"},'Data entry'!$AQ$6:$AQ$200,'Data Validation'!$V$2, 'Data entry'!$AP$6:$AP$200,'Data Validation'!$U$2, 'Data entry'!$BD$6:$BD$200,"&lt;&gt;*Negative*"))</f>
        <v>0</v>
      </c>
      <c r="AG96" s="15">
        <f>SUM(COUNTIFS('Data entry'!$R$6:$R$200,'Summary Data'!$A96,'Data entry'!$B$6:$B$200,{"Confirmed";"Probable"},'Data entry'!$AQ$6:$AQ$200,'Data Validation'!$V$2, 'Data entry'!$AP$6:$AP$200,'Data Validation'!$U$3, 'Data entry'!$BD$6:$BD$200,"&lt;&gt;*Negative*"))</f>
        <v>0</v>
      </c>
      <c r="AH96" s="15">
        <f>SUM(COUNTIFS('Data entry'!$R$6:$R$200,'Summary Data'!$A96,'Data entry'!$B$6:$B$200,{"Confirmed";"Probable"},'Data entry'!$AQ$6:$AQ$200,'Data Validation'!$V$2, 'Data entry'!$AP$6:$AP$200,'Data Validation'!$U$4, 'Data entry'!$BD$6:$BD$200,"&lt;&gt;*Negative*"))</f>
        <v>0</v>
      </c>
      <c r="AI96" s="15">
        <f>SUM(COUNTIFS('Data entry'!$R$6:$R$200,'Summary Data'!$A96,'Data entry'!$B$6:$B$200,{"Confirmed";"Probable"},'Data entry'!$AQ$6:$AQ$200,'Data Validation'!$V$2, 'Data entry'!$AP$6:$AP$200,'Data Validation'!$U$5, 'Data entry'!$BD$6:$BD$200,"&lt;&gt;*Negative*"))</f>
        <v>0</v>
      </c>
      <c r="AJ96" s="15">
        <f>SUM(COUNTIFS('Data entry'!$R$6:$R$200,'Summary Data'!$A96,'Data entry'!$B$6:$B$200,{"Confirmed";"Probable"},'Data entry'!$AQ$6:$AQ$200,'Data Validation'!$V$2, 'Data entry'!$AP$6:$AP$200,'Data Validation'!$U$6, 'Data entry'!$BD$6:$BD$200,"&lt;&gt;*Negative*"))</f>
        <v>0</v>
      </c>
      <c r="AK96" s="15">
        <f>SUM(COUNTIFS('Data entry'!$R$6:$R$200,'Summary Data'!$A96,'Data entry'!$B$6:$B$200,{"Confirmed";"Probable"},'Data entry'!$AQ$6:$AQ$200,'Data Validation'!$V$3, 'Data entry'!$AP$6:$AP$200,'Data Validation'!$U$2, 'Data entry'!$BD$6:$BD$200,"&lt;&gt;*Negative*"))</f>
        <v>0</v>
      </c>
      <c r="AL96" s="15">
        <f>SUM(COUNTIFS('Data entry'!$R$6:$R$200,'Summary Data'!$A96,'Data entry'!$B$6:$B$200,{"Confirmed";"Probable"},'Data entry'!$AQ$6:$AQ$200,'Data Validation'!$V$3, 'Data entry'!$AP$6:$AP$200,'Data Validation'!$U$3, 'Data entry'!$BD$6:$BD$200,"&lt;&gt;*Negative*"))</f>
        <v>0</v>
      </c>
      <c r="AM96" s="15">
        <f>SUM(COUNTIFS('Data entry'!$R$6:$R$200,'Summary Data'!$A96,'Data entry'!$B$6:$B$200,{"Confirmed";"Probable"},'Data entry'!$AQ$6:$AQ$200,'Data Validation'!$V$3, 'Data entry'!$AP$6:$AP$200,'Data Validation'!$U$4, 'Data entry'!$BD$6:$BD$200,"&lt;&gt;*Negative*"))</f>
        <v>0</v>
      </c>
      <c r="AN96" s="15">
        <f>SUM(COUNTIFS('Data entry'!$R$6:$R$200,'Summary Data'!$A96,'Data entry'!$B$6:$B$200,{"Confirmed";"Probable"},'Data entry'!$AQ$6:$AQ$200,'Data Validation'!$V$3, 'Data entry'!$AP$6:$AP$200,'Data Validation'!$U$5, 'Data entry'!$BD$6:$BD$200,"&lt;&gt;*Negative*"))</f>
        <v>0</v>
      </c>
      <c r="AO96" s="15">
        <f>SUM(COUNTIFS('Data entry'!$R$6:$R$200,'Summary Data'!$A96,'Data entry'!$B$6:$B$200,{"Confirmed";"Probable"},'Data entry'!$AQ$6:$AQ$200,'Data Validation'!$V$3, 'Data entry'!$AP$6:$AP$200,'Data Validation'!$U$6, 'Data entry'!$BD$6:$BD$200,"&lt;&gt;*Negative*"))</f>
        <v>0</v>
      </c>
      <c r="AP96" s="15">
        <f>SUM(COUNTIFS('Data entry'!$R$6:$R$200,'Summary Data'!$A96,'Data entry'!$B$6:$B$200,{"Confirmed";"Probable"},'Data entry'!$AQ$6:$AQ$200,'Data Validation'!$V$4, 'Data entry'!$AP$6:$AP$200,'Data Validation'!$U$2, 'Data entry'!$BD$6:$BD$200,"&lt;&gt;*Negative*"))</f>
        <v>0</v>
      </c>
      <c r="AQ96" s="15">
        <f>SUM(COUNTIFS('Data entry'!$R$6:$R$200,'Summary Data'!$A96,'Data entry'!$B$6:$B$200,{"Confirmed";"Probable"},'Data entry'!$AQ$6:$AQ$200,'Data Validation'!$V$4, 'Data entry'!$AP$6:$AP$200,'Data Validation'!$U$3, 'Data entry'!$BD$6:$BD$200,"&lt;&gt;*Negative*"))</f>
        <v>0</v>
      </c>
      <c r="AR96" s="15">
        <f>SUM(COUNTIFS('Data entry'!$R$6:$R$200,'Summary Data'!$A96,'Data entry'!$B$6:$B$200,{"Confirmed";"Probable"},'Data entry'!$AQ$6:$AQ$200,'Data Validation'!$V$4, 'Data entry'!$AP$6:$AP$200,'Data Validation'!$U$4, 'Data entry'!$BD$6:$BD$200,"&lt;&gt;*Negative*"))</f>
        <v>0</v>
      </c>
      <c r="AS96" s="15">
        <f>SUM(COUNTIFS('Data entry'!$R$6:$R$200,'Summary Data'!$A96,'Data entry'!$B$6:$B$200,{"Confirmed";"Probable"},'Data entry'!$AQ$6:$AQ$200,'Data Validation'!$V$4, 'Data entry'!$AP$6:$AP$200,'Data Validation'!$U$5, 'Data entry'!$BD$6:$BD$200,"&lt;&gt;*Negative*"))</f>
        <v>0</v>
      </c>
      <c r="AT96" s="15">
        <f>SUM(COUNTIFS('Data entry'!$R$6:$R$200,'Summary Data'!$A96,'Data entry'!$B$6:$B$200,{"Confirmed";"Probable"},'Data entry'!$AQ$6:$AQ$200,'Data Validation'!$V$4, 'Data entry'!$AP$6:$AP$200,'Data Validation'!$U$6, 'Data entry'!$BD$6:$BD$200,"&lt;&gt;*Negative*"))</f>
        <v>0</v>
      </c>
      <c r="AU96" s="15">
        <f>SUM(COUNTIFS('Data entry'!$R$6:$R$200,'Summary Data'!$A96,'Data entry'!$B$6:$B$200,{"Confirmed";"Probable"},'Data entry'!$AQ$6:$AQ$200,'Data Validation'!$V$5, 'Data entry'!$AP$6:$AP$200,'Data Validation'!$U$2, 'Data entry'!$BD$6:$BD$200,"&lt;&gt;*Negative*"))</f>
        <v>0</v>
      </c>
      <c r="AV96" s="15">
        <f>SUM(COUNTIFS('Data entry'!$R$6:$R$200,'Summary Data'!$A96,'Data entry'!$B$6:$B$200,{"Confirmed";"Probable"},'Data entry'!$AQ$6:$AQ$200,'Data Validation'!$V$5, 'Data entry'!$AP$6:$AP$200,'Data Validation'!$U$3, 'Data entry'!$BD$6:$BD$200,"&lt;&gt;*Negative*"))</f>
        <v>0</v>
      </c>
      <c r="AW96" s="15">
        <f>SUM(COUNTIFS('Data entry'!$R$6:$R$200,'Summary Data'!$A96,'Data entry'!$B$6:$B$200,{"Confirmed";"Probable"},'Data entry'!$AQ$6:$AQ$200,'Data Validation'!$V$5, 'Data entry'!$AP$6:$AP$200,'Data Validation'!$U$4, 'Data entry'!$BD$6:$BD$200,"&lt;&gt;*Negative*"))</f>
        <v>0</v>
      </c>
      <c r="AX96" s="15">
        <f>SUM(COUNTIFS('Data entry'!$R$6:$R$200,'Summary Data'!$A96,'Data entry'!$B$6:$B$200,{"Confirmed";"Probable"},'Data entry'!$AQ$6:$AQ$200,'Data Validation'!$V$5, 'Data entry'!$AP$6:$AP$200,'Data Validation'!$U$5, 'Data entry'!$BD$6:$BD$200,"&lt;&gt;*Negative*"))</f>
        <v>0</v>
      </c>
      <c r="AY96" s="15">
        <f>SUM(COUNTIFS('Data entry'!$R$6:$R$200,'Summary Data'!$A96,'Data entry'!$B$6:$B$200,{"Confirmed";"Probable"},'Data entry'!$AQ$6:$AQ$200,'Data Validation'!$V$5, 'Data entry'!$AP$6:$AP$200,'Data Validation'!$U$6, 'Data entry'!$BD$6:$BD$200,"&lt;&gt;*Negative*"))</f>
        <v>0</v>
      </c>
      <c r="AZ96" s="15">
        <f>SUM(COUNTIFS('Data entry'!$R$6:$R$200,'Summary Data'!$A96,'Data entry'!$B$6:$B$200,{"Confirmed";"Probable"},'Data entry'!$AQ$6:$AQ$200,'Data Validation'!$V$6, 'Data entry'!$AP$6:$AP$200,'Data Validation'!$U$2, 'Data entry'!$BD$6:$BD$200,"&lt;&gt;*Negative*"))</f>
        <v>0</v>
      </c>
      <c r="BA96" s="15">
        <f>SUM(COUNTIFS('Data entry'!$R$6:$R$200,'Summary Data'!$A96,'Data entry'!$B$6:$B$200,{"Confirmed";"Probable"},'Data entry'!$AQ$6:$AQ$200,'Data Validation'!$V$6, 'Data entry'!$AP$6:$AP$200,'Data Validation'!$U$3, 'Data entry'!$BD$6:$BD$200,"&lt;&gt;*Negative*"))</f>
        <v>0</v>
      </c>
      <c r="BB96" s="15">
        <f>SUM(COUNTIFS('Data entry'!$R$6:$R$200,'Summary Data'!$A96,'Data entry'!$B$6:$B$200,{"Confirmed";"Probable"},'Data entry'!$AQ$6:$AQ$200,'Data Validation'!$V$6, 'Data entry'!$AP$6:$AP$200,'Data Validation'!$U$4, 'Data entry'!$BD$6:$BD$200,"&lt;&gt;*Negative*"))</f>
        <v>0</v>
      </c>
      <c r="BC96" s="15">
        <f>SUM(COUNTIFS('Data entry'!$R$6:$R$200,'Summary Data'!$A96,'Data entry'!$B$6:$B$200,{"Confirmed";"Probable"},'Data entry'!$AQ$6:$AQ$200,'Data Validation'!$V$6, 'Data entry'!$AP$6:$AP$200,'Data Validation'!$U$5, 'Data entry'!$BD$6:$BD$200,"&lt;&gt;*Negative*"))</f>
        <v>0</v>
      </c>
      <c r="BD96" s="15">
        <f>SUM(COUNTIFS('Data entry'!$R$6:$R$200,'Summary Data'!$A96,'Data entry'!$B$6:$B$200,{"Confirmed";"Probable"},'Data entry'!$AQ$6:$AQ$200,'Data Validation'!$V$6, 'Data entry'!$AP$6:$AP$200,'Data Validation'!$U$6, 'Data entry'!$BD$6:$BD$200,"&lt;&gt;*Negative*"))</f>
        <v>0</v>
      </c>
      <c r="BE96" s="15">
        <f>SUM(COUNTIFS('Data entry'!$R$6:$R$200,'Summary Data'!$A96,'Data entry'!$B$6:$B$200,{"Confirmed";"Probable"},'Data entry'!$AQ$6:$AQ$200,'Data Validation'!$V$7, 'Data entry'!$AP$6:$AP$200,'Data Validation'!$U$2, 'Data entry'!$BD$6:$BD$200,"&lt;&gt;*Negative*"))</f>
        <v>0</v>
      </c>
      <c r="BF96" s="15">
        <f>SUM(COUNTIFS('Data entry'!$R$6:$R$200,'Summary Data'!$A96,'Data entry'!$B$6:$B$200,{"Confirmed";"Probable"},'Data entry'!$AQ$6:$AQ$200,'Data Validation'!$V$7, 'Data entry'!$AP$6:$AP$200,'Data Validation'!$U$3, 'Data entry'!$BD$6:$BD$200,"&lt;&gt;*Negative*"))</f>
        <v>0</v>
      </c>
      <c r="BG96" s="15">
        <f>SUM(COUNTIFS('Data entry'!$R$6:$R$200,'Summary Data'!$A96,'Data entry'!$B$6:$B$200,{"Confirmed";"Probable"},'Data entry'!$AQ$6:$AQ$200,'Data Validation'!$V$7, 'Data entry'!$AP$6:$AP$200,'Data Validation'!$U$4, 'Data entry'!$BD$6:$BD$200,"&lt;&gt;*Negative*"))</f>
        <v>0</v>
      </c>
      <c r="BH96" s="15">
        <f>SUM(COUNTIFS('Data entry'!$R$6:$R$200,'Summary Data'!$A96,'Data entry'!$B$6:$B$200,{"Confirmed";"Probable"},'Data entry'!$AQ$6:$AQ$200,'Data Validation'!$V$7, 'Data entry'!$AP$6:$AP$200,'Data Validation'!$U$5, 'Data entry'!$BD$6:$BD$200,"&lt;&gt;*Negative*"))</f>
        <v>0</v>
      </c>
      <c r="BI96" s="15">
        <f>SUM(COUNTIFS('Data entry'!$R$6:$R$200,'Summary Data'!$A96,'Data entry'!$B$6:$B$200,{"Confirmed";"Probable"},'Data entry'!$AQ$6:$AQ$200,'Data Validation'!$V$7, 'Data entry'!$AP$6:$AP$200,'Data Validation'!$U$6, 'Data entry'!$BD$6:$BD$200,"&lt;&gt;*Negative*"))</f>
        <v>0</v>
      </c>
      <c r="BJ96" s="15">
        <f>SUM(COUNTIFS('Data entry'!$R$6:$R$200,'Summary Data'!$A96,'Data entry'!$B$6:$B$200,{"Confirmed";"Probable"},'Data entry'!$AQ$6:$AQ$200,'Data Validation'!$V$8, 'Data entry'!$AP$6:$AP$200,'Data Validation'!$U$2, 'Data entry'!$BD$6:$BD$200,"&lt;&gt;*Negative*"))</f>
        <v>0</v>
      </c>
      <c r="BK96" s="15">
        <f>SUM(COUNTIFS('Data entry'!$R$6:$R$200,'Summary Data'!$A96,'Data entry'!$B$6:$B$200,{"Confirmed";"Probable"},'Data entry'!$AQ$6:$AQ$200,'Data Validation'!$V$8, 'Data entry'!$AP$6:$AP$200,'Data Validation'!$U$3, 'Data entry'!$BD$6:$BD$200,"&lt;&gt;*Negative*"))</f>
        <v>0</v>
      </c>
      <c r="BL96" s="15">
        <f>SUM(COUNTIFS('Data entry'!$R$6:$R$200,'Summary Data'!$A96,'Data entry'!$B$6:$B$200,{"Confirmed";"Probable"},'Data entry'!$AQ$6:$AQ$200,'Data Validation'!$V$8, 'Data entry'!$AP$6:$AP$200,'Data Validation'!$U$4, 'Data entry'!$BD$6:$BD$200,"&lt;&gt;*Negative*"))</f>
        <v>0</v>
      </c>
      <c r="BM96" s="15">
        <f>SUM(COUNTIFS('Data entry'!$R$6:$R$200,'Summary Data'!$A96,'Data entry'!$B$6:$B$200,{"Confirmed";"Probable"},'Data entry'!$AQ$6:$AQ$200,'Data Validation'!$V$8, 'Data entry'!$AP$6:$AP$200,'Data Validation'!$U$5, 'Data entry'!$BD$6:$BD$200,"&lt;&gt;*Negative*"))</f>
        <v>0</v>
      </c>
      <c r="BN96" s="15">
        <f>SUM(COUNTIFS('Data entry'!$R$6:$R$200,'Summary Data'!$A96,'Data entry'!$B$6:$B$200,{"Confirmed";"Probable"},'Data entry'!$AQ$6:$AQ$200,'Data Validation'!$V$8, 'Data entry'!$AP$6:$AP$200,'Data Validation'!$U$6, 'Data entry'!$BD$6:$BD$200,"&lt;&gt;*Negative*"))</f>
        <v>0</v>
      </c>
      <c r="BO96" s="15">
        <f>SUM(COUNTIFS('Data entry'!$R$6:$R$200,'Summary Data'!$A96,'Data entry'!$B$6:$B$200,{"Confirmed";"Probable"},'Data entry'!$AQ$6:$AQ$200,'Data Validation'!$V$9, 'Data entry'!$AP$6:$AP$200,'Data Validation'!$U$2, 'Data entry'!$BD$6:$BD$200,"&lt;&gt;*Negative*"))</f>
        <v>0</v>
      </c>
      <c r="BP96" s="15">
        <f>SUM(COUNTIFS('Data entry'!$R$6:$R$200,'Summary Data'!$A96,'Data entry'!$B$6:$B$200,{"Confirmed";"Probable"},'Data entry'!$AQ$6:$AQ$200,'Data Validation'!$V$9, 'Data entry'!$AP$6:$AP$200,'Data Validation'!$U$3, 'Data entry'!$BD$6:$BD$200,"&lt;&gt;*Negative*"))</f>
        <v>0</v>
      </c>
      <c r="BQ96" s="15">
        <f>SUM(COUNTIFS('Data entry'!$R$6:$R$200,'Summary Data'!$A96,'Data entry'!$B$6:$B$200,{"Confirmed";"Probable"},'Data entry'!$AQ$6:$AQ$200,'Data Validation'!$V$9, 'Data entry'!$AP$6:$AP$200,'Data Validation'!$U$4, 'Data entry'!$BD$6:$BD$200,"&lt;&gt;*Negative*"))</f>
        <v>0</v>
      </c>
      <c r="BR96" s="15">
        <f>SUM(COUNTIFS('Data entry'!$R$6:$R$200,'Summary Data'!$A96,'Data entry'!$B$6:$B$200,{"Confirmed";"Probable"},'Data entry'!$AQ$6:$AQ$200,'Data Validation'!$V$9, 'Data entry'!$AP$6:$AP$200,'Data Validation'!$U$5, 'Data entry'!$BD$6:$BD$200,"&lt;&gt;*Negative*"))</f>
        <v>0</v>
      </c>
      <c r="BS96" s="15">
        <f>SUM(COUNTIFS('Data entry'!$R$6:$R$200,'Summary Data'!$A96,'Data entry'!$B$6:$B$200,{"Confirmed";"Probable"},'Data entry'!$AQ$6:$AQ$200,'Data Validation'!$V$9, 'Data entry'!$AP$6:$AP$200,'Data Validation'!$U$6, 'Data entry'!$BD$6:$BD$200,"&lt;&gt;*Negative*"))</f>
        <v>0</v>
      </c>
      <c r="BT96" s="15">
        <f>SUM(COUNTIFS('Data entry'!$R$6:$R$200,'Summary Data'!$A96,'Data entry'!$B$6:$B$200,{"Confirmed";"Probable"},'Data entry'!$AQ$6:$AQ$200,'Data Validation'!$V$10, 'Data entry'!$AP$6:$AP$200,'Data Validation'!$U$2, 'Data entry'!$BD$6:$BD$200,"&lt;&gt;*Negative*"))</f>
        <v>0</v>
      </c>
      <c r="BU96" s="15">
        <f>SUM(COUNTIFS('Data entry'!$R$6:$R$200,'Summary Data'!$A96,'Data entry'!$B$6:$B$200,{"Confirmed";"Probable"},'Data entry'!$AQ$6:$AQ$200,'Data Validation'!$V$10, 'Data entry'!$AP$6:$AP$200,'Data Validation'!$U$3, 'Data entry'!$BD$6:$BD$200,"&lt;&gt;*Negative*"))</f>
        <v>0</v>
      </c>
      <c r="BV96" s="15">
        <f>SUM(COUNTIFS('Data entry'!$R$6:$R$200,'Summary Data'!$A96,'Data entry'!$B$6:$B$200,{"Confirmed";"Probable"},'Data entry'!$AQ$6:$AQ$200,'Data Validation'!$V$10, 'Data entry'!$AP$6:$AP$200,'Data Validation'!$U$4, 'Data entry'!$BD$6:$BD$200,"&lt;&gt;*Negative*"))</f>
        <v>0</v>
      </c>
      <c r="BW96" s="15">
        <f>SUM(COUNTIFS('Data entry'!$R$6:$R$200,'Summary Data'!$A96,'Data entry'!$B$6:$B$200,{"Confirmed";"Probable"},'Data entry'!$AQ$6:$AQ$200,'Data Validation'!$V$10, 'Data entry'!$AP$6:$AP$200,'Data Validation'!$U$5, 'Data entry'!$BD$6:$BD$200,"&lt;&gt;*Negative*"))</f>
        <v>0</v>
      </c>
      <c r="BX96" s="15">
        <f>SUM(COUNTIFS('Data entry'!$R$6:$R$200,'Summary Data'!$A96,'Data entry'!$B$6:$B$200,{"Confirmed";"Probable"},'Data entry'!$AQ$6:$AQ$200,'Data Validation'!$V$10, 'Data entry'!$AP$6:$AP$200,'Data Validation'!$U$6, 'Data entry'!$BD$6:$BD$200,"&lt;&gt;*Negative*"))</f>
        <v>0</v>
      </c>
      <c r="BY96" s="15">
        <f>SUM(COUNTIFS('Data entry'!$R$6:$R$200,'Summary Data'!$A96,'Data entry'!$B$6:$B$200,{"Confirmed";"Probable"},'Data entry'!$AQ$6:$AQ$200,'Data Validation'!$V$11, 'Data entry'!$AP$6:$AP$200,'Data Validation'!$U$2, 'Data entry'!$BD$6:$BD$200,"&lt;&gt;*Negative*"))</f>
        <v>0</v>
      </c>
      <c r="BZ96" s="15">
        <f>SUM(COUNTIFS('Data entry'!$R$6:$R$200,'Summary Data'!$A96,'Data entry'!$B$6:$B$200,{"Confirmed";"Probable"},'Data entry'!$AQ$6:$AQ$200,'Data Validation'!$V$11, 'Data entry'!$AP$6:$AP$200,'Data Validation'!$U$3, 'Data entry'!$BD$6:$BD$200,"&lt;&gt;*Negative*"))</f>
        <v>0</v>
      </c>
      <c r="CA96" s="15">
        <f>SUM(COUNTIFS('Data entry'!$R$6:$R$200,'Summary Data'!$A96,'Data entry'!$B$6:$B$200,{"Confirmed";"Probable"},'Data entry'!$AQ$6:$AQ$200,'Data Validation'!$V$11, 'Data entry'!$AP$6:$AP$200,'Data Validation'!$U$4, 'Data entry'!$BD$6:$BD$200,"&lt;&gt;*Negative*"))</f>
        <v>0</v>
      </c>
      <c r="CB96" s="15">
        <f>SUM(COUNTIFS('Data entry'!$R$6:$R$200,'Summary Data'!$A96,'Data entry'!$B$6:$B$200,{"Confirmed";"Probable"},'Data entry'!$AQ$6:$AQ$200,'Data Validation'!$V$11, 'Data entry'!$AP$6:$AP$200,'Data Validation'!$U$5, 'Data entry'!$BD$6:$BD$200,"&lt;&gt;*Negative*"))</f>
        <v>0</v>
      </c>
      <c r="CC96" s="15">
        <f>SUM(COUNTIFS('Data entry'!$R$6:$R$200,'Summary Data'!$A96,'Data entry'!$B$6:$B$200,{"Confirmed";"Probable"},'Data entry'!$AQ$6:$AQ$200,'Data Validation'!$V$11, 'Data entry'!$AP$6:$AP$200,'Data Validation'!$U$6, 'Data entry'!$BD$6:$BD$200,"&lt;&gt;*Negative*"))</f>
        <v>0</v>
      </c>
    </row>
    <row r="97" spans="1:81" x14ac:dyDescent="0.25">
      <c r="A97" s="12">
        <f t="shared" si="9"/>
        <v>85</v>
      </c>
      <c r="B97" s="13">
        <f t="shared" si="6"/>
        <v>0</v>
      </c>
      <c r="C97" s="13">
        <f>COUNTIFS('Data entry'!$R$6:$R$200,$A97,'Data entry'!$B$6:$B$200,"Confirmed",'Data entry'!$BD$6:$BD$200,"&lt;&gt;*Negative*")</f>
        <v>0</v>
      </c>
      <c r="D97" s="13">
        <f>COUNTIFS('Data entry'!$R$6:$R$200,$A97,'Data entry'!$B$6:$B$200,"Probable",'Data entry'!$BD$6:$BD$200,"&lt;&gt;*Negative*")</f>
        <v>0</v>
      </c>
      <c r="E97" s="13">
        <f>COUNTIFS('Data entry'!$R$6:$R$200,$A97,'Data entry'!$B$6:$B$200,"DNM")</f>
        <v>0</v>
      </c>
      <c r="F97" s="13">
        <f>SUM(COUNTIFS('Data entry'!$R$6:$R$200,'Summary Data'!$A97,'Data entry'!$B$6:$B$200,{"Confirmed";"Probable"},'Data entry'!$AO$6:$AO$200,$F$10, 'Data entry'!$BD$6:$BD$200,"&lt;&gt;*Negative*"))</f>
        <v>0</v>
      </c>
      <c r="G97" s="13">
        <f>SUM(COUNTIFS('Data entry'!$R$6:$R$200,'Summary Data'!$A97,'Data entry'!$B$6:$B$200,{"Confirmed";"Probable"},'Data entry'!$AO$6:$AO$200,$G$10, 'Data entry'!$BD$6:$BD$200,"&lt;&gt;*Negative*"))</f>
        <v>0</v>
      </c>
      <c r="H97" s="13">
        <f>SUM(COUNTIFS('Data entry'!$R$6:$R$200,'Summary Data'!$A97,'Data entry'!$B$6:$B$200,{"Confirmed";"Probable"},'Data entry'!$AO$6:$AO$200,$H$10, 'Data entry'!$BD$6:$BD$200,"&lt;&gt;*Negative*"))</f>
        <v>0</v>
      </c>
      <c r="I97" s="13">
        <f>SUM(COUNTIFS('Data entry'!$R$6:$R$200,'Summary Data'!$A97,'Data entry'!$B$6:$B$200,{"Confirmed";"Probable"},'Data entry'!$AO$6:$AO$200,$I$10, 'Data entry'!$BD$6:$BD$200,"&lt;&gt;*Negative*"))</f>
        <v>0</v>
      </c>
      <c r="J97" s="13">
        <f>SUM(COUNTIFS('Data entry'!$R$6:$R$200,'Summary Data'!$A97,'Data entry'!$B$6:$B$200,{"Confirmed";"Probable"},'Data entry'!$AO$6:$AO$200,$J$10, 'Data entry'!$BD$6:$BD$200,"&lt;&gt;*Negative*"))</f>
        <v>0</v>
      </c>
      <c r="K97" s="13">
        <f>SUM(COUNTIFS('Data entry'!$R$6:$R$200,'Summary Data'!$A97,'Data entry'!$B$6:$B$200,{"Confirmed";"Probable"},'Data entry'!$AO$6:$AO$200,$K$10, 'Data entry'!$BD$6:$BD$200,"&lt;&gt;*Negative*"))</f>
        <v>0</v>
      </c>
      <c r="L97" s="13">
        <f>SUM(COUNTIFS('Data entry'!$R$6:$R$200,'Summary Data'!$A97,'Data entry'!$B$6:$B$200,{"Confirmed";"Probable"},'Data entry'!$AO$6:$AO$200,$L$10, 'Data entry'!$BD$6:$BD$200,"&lt;&gt;*Negative*"))</f>
        <v>0</v>
      </c>
      <c r="M97" s="13">
        <f>SUM(COUNTIFS('Data entry'!$R$6:$R$200,'Summary Data'!$A97,'Data entry'!$B$6:$B$200,{"Confirmed";"Probable"},'Data entry'!$AO$6:$AO$200,$M$10, 'Data entry'!$BD$6:$BD$200,"&lt;&gt;*Negative*"))</f>
        <v>0</v>
      </c>
      <c r="N97" s="13">
        <f>SUM(COUNTIFS('Data entry'!$R$6:$R$200,'Summary Data'!$A97,'Data entry'!$B$6:$B$200,{"Confirmed";"Probable"},'Data entry'!$AO$6:$AO$200,$N$10, 'Data entry'!$BD$6:$BD$200,"&lt;&gt;*Negative*"))</f>
        <v>0</v>
      </c>
      <c r="O97" s="15">
        <f t="shared" si="7"/>
        <v>0</v>
      </c>
      <c r="P97" s="15">
        <f t="shared" si="8"/>
        <v>0</v>
      </c>
      <c r="Q97" s="15">
        <f>SUM(COUNTIFS('Data entry'!$R$6:$R$200,'Summary Data'!$A97,'Data entry'!$B$6:$B$200,{"Confirmed";"Probable"},'Data entry'!$AP$6:$AP$200,'Data Validation'!$U$2, 'Data entry'!$BD$6:$BD$200,"&lt;&gt;*Negative*"))</f>
        <v>0</v>
      </c>
      <c r="R97" s="15">
        <f>SUM(COUNTIFS('Data entry'!$R$6:$R$200,'Summary Data'!$A97,'Data entry'!$B$6:$B$200,{"Confirmed";"Probable"},'Data entry'!$AP$6:$AP$200,'Data Validation'!$U$3, 'Data entry'!$BD$6:$BD$200,"&lt;&gt;*Negative*"))</f>
        <v>0</v>
      </c>
      <c r="S97" s="15">
        <f>SUM(COUNTIFS('Data entry'!$R$6:$R$200,'Summary Data'!$A97,'Data entry'!$B$6:$B$200,{"Confirmed";"Probable"},'Data entry'!$AP$6:$AP$200,'Data Validation'!$U$4, 'Data entry'!$BD$6:$BD$200,"&lt;&gt;*Negative*"))</f>
        <v>0</v>
      </c>
      <c r="T97" s="15">
        <f>SUM(COUNTIFS('Data entry'!$R$6:$R$200,'Summary Data'!$A97,'Data entry'!$B$6:$B$200,{"Confirmed";"Probable"},'Data entry'!$AP$6:$AP$200,'Data Validation'!$U$5, 'Data entry'!$BD$6:$BD$200,"&lt;&gt;*Negative*"))</f>
        <v>0</v>
      </c>
      <c r="U97" s="15">
        <f>SUM(COUNTIFS('Data entry'!$R$6:$R$200,'Summary Data'!$A97,'Data entry'!$B$6:$B$200,{"Confirmed";"Probable"},'Data entry'!$AP$6:$AP$200,'Data Validation'!$U$6, 'Data entry'!$BD$6:$BD$200,"&lt;&gt;*Negative*"))</f>
        <v>0</v>
      </c>
      <c r="V97" s="15">
        <f>SUM(COUNTIFS('Data entry'!$R$6:$R$200,'Summary Data'!$A97,'Data entry'!$B$6:$B$200,{"Confirmed";"Probable"},'Data entry'!$AQ$6:$AQ$200,'Data Validation'!$V$2, 'Data entry'!$BD$6:$BD$200,"&lt;&gt;*Negative*"))</f>
        <v>0</v>
      </c>
      <c r="W97" s="15">
        <f>SUM(COUNTIFS('Data entry'!$R$6:$R$200,'Summary Data'!$A97,'Data entry'!$B$6:$B$200,{"Confirmed";"Probable"},'Data entry'!$AQ$6:$AQ$200,'Data Validation'!$V$3, 'Data entry'!$BD$6:$BD$200,"&lt;&gt;*Negative*"))</f>
        <v>0</v>
      </c>
      <c r="X97" s="15">
        <f>SUM(COUNTIFS('Data entry'!$R$6:$R$200,'Summary Data'!$A97,'Data entry'!$B$6:$B$200,{"Confirmed";"Probable"},'Data entry'!$AQ$6:$AQ$200,'Data Validation'!$V$4, 'Data entry'!$BD$6:$BD$200,"&lt;&gt;*Negative*"))</f>
        <v>0</v>
      </c>
      <c r="Y97" s="15">
        <f>SUM(COUNTIFS('Data entry'!$R$6:$R$200,'Summary Data'!$A97,'Data entry'!$B$6:$B$200,{"Confirmed";"Probable"},'Data entry'!$AQ$6:$AQ$200,'Data Validation'!$V$5, 'Data entry'!$BD$6:$BD$200,"&lt;&gt;*Negative*"))</f>
        <v>0</v>
      </c>
      <c r="Z97" s="15">
        <f>SUM(COUNTIFS('Data entry'!$R$6:$R$200,'Summary Data'!$A97,'Data entry'!$B$6:$B$200,{"Confirmed";"Probable"},'Data entry'!$AQ$6:$AQ$200,'Data Validation'!$V$6, 'Data entry'!$BD$6:$BD$200,"&lt;&gt;*Negative*"))</f>
        <v>0</v>
      </c>
      <c r="AA97" s="15">
        <f>SUM(COUNTIFS('Data entry'!$R$6:$R$200,'Summary Data'!$A97,'Data entry'!$B$6:$B$200,{"Confirmed";"Probable"},'Data entry'!$AQ$6:$AQ$200,'Data Validation'!$V$7, 'Data entry'!$BD$6:$BD$200,"&lt;&gt;*Negative*"))</f>
        <v>0</v>
      </c>
      <c r="AB97" s="15">
        <f>SUM(COUNTIFS('Data entry'!$R$6:$R$200,'Summary Data'!$A97,'Data entry'!$B$6:$B$200,{"Confirmed";"Probable"},'Data entry'!$AQ$6:$AQ$200,'Data Validation'!$V$8, 'Data entry'!$BD$6:$BD$200,"&lt;&gt;*Negative*"))</f>
        <v>0</v>
      </c>
      <c r="AC97" s="15">
        <f>SUM(COUNTIFS('Data entry'!$R$6:$R$200,'Summary Data'!$A97,'Data entry'!$B$6:$B$200,{"Confirmed";"Probable"},'Data entry'!$AQ$6:$AQ$200,'Data Validation'!$V$9, 'Data entry'!$BD$6:$BD$200,"&lt;&gt;*Negative*"))</f>
        <v>0</v>
      </c>
      <c r="AD97" s="15">
        <f>SUM(COUNTIFS('Data entry'!$R$6:$R$200,'Summary Data'!$A97,'Data entry'!$B$6:$B$200,{"Confirmed";"Probable"},'Data entry'!$AQ$6:$AQ$200,'Data Validation'!$V$10, 'Data entry'!$BD$6:$BD$200,"&lt;&gt;*Negative*"))</f>
        <v>0</v>
      </c>
      <c r="AE97" s="15">
        <f>SUM(COUNTIFS('Data entry'!$R$6:$R$200,'Summary Data'!$A97,'Data entry'!$B$6:$B$200,{"Confirmed";"Probable"},'Data entry'!$AQ$6:$AQ$200,'Data Validation'!$V$11, 'Data entry'!$BD$6:$BD$200,"&lt;&gt;*Negative*"))</f>
        <v>0</v>
      </c>
      <c r="AF97" s="15">
        <f>SUM(COUNTIFS('Data entry'!$R$6:$R$200,'Summary Data'!$A97,'Data entry'!$B$6:$B$200,{"Confirmed";"Probable"},'Data entry'!$AQ$6:$AQ$200,'Data Validation'!$V$2, 'Data entry'!$AP$6:$AP$200,'Data Validation'!$U$2, 'Data entry'!$BD$6:$BD$200,"&lt;&gt;*Negative*"))</f>
        <v>0</v>
      </c>
      <c r="AG97" s="15">
        <f>SUM(COUNTIFS('Data entry'!$R$6:$R$200,'Summary Data'!$A97,'Data entry'!$B$6:$B$200,{"Confirmed";"Probable"},'Data entry'!$AQ$6:$AQ$200,'Data Validation'!$V$2, 'Data entry'!$AP$6:$AP$200,'Data Validation'!$U$3, 'Data entry'!$BD$6:$BD$200,"&lt;&gt;*Negative*"))</f>
        <v>0</v>
      </c>
      <c r="AH97" s="15">
        <f>SUM(COUNTIFS('Data entry'!$R$6:$R$200,'Summary Data'!$A97,'Data entry'!$B$6:$B$200,{"Confirmed";"Probable"},'Data entry'!$AQ$6:$AQ$200,'Data Validation'!$V$2, 'Data entry'!$AP$6:$AP$200,'Data Validation'!$U$4, 'Data entry'!$BD$6:$BD$200,"&lt;&gt;*Negative*"))</f>
        <v>0</v>
      </c>
      <c r="AI97" s="15">
        <f>SUM(COUNTIFS('Data entry'!$R$6:$R$200,'Summary Data'!$A97,'Data entry'!$B$6:$B$200,{"Confirmed";"Probable"},'Data entry'!$AQ$6:$AQ$200,'Data Validation'!$V$2, 'Data entry'!$AP$6:$AP$200,'Data Validation'!$U$5, 'Data entry'!$BD$6:$BD$200,"&lt;&gt;*Negative*"))</f>
        <v>0</v>
      </c>
      <c r="AJ97" s="15">
        <f>SUM(COUNTIFS('Data entry'!$R$6:$R$200,'Summary Data'!$A97,'Data entry'!$B$6:$B$200,{"Confirmed";"Probable"},'Data entry'!$AQ$6:$AQ$200,'Data Validation'!$V$2, 'Data entry'!$AP$6:$AP$200,'Data Validation'!$U$6, 'Data entry'!$BD$6:$BD$200,"&lt;&gt;*Negative*"))</f>
        <v>0</v>
      </c>
      <c r="AK97" s="15">
        <f>SUM(COUNTIFS('Data entry'!$R$6:$R$200,'Summary Data'!$A97,'Data entry'!$B$6:$B$200,{"Confirmed";"Probable"},'Data entry'!$AQ$6:$AQ$200,'Data Validation'!$V$3, 'Data entry'!$AP$6:$AP$200,'Data Validation'!$U$2, 'Data entry'!$BD$6:$BD$200,"&lt;&gt;*Negative*"))</f>
        <v>0</v>
      </c>
      <c r="AL97" s="15">
        <f>SUM(COUNTIFS('Data entry'!$R$6:$R$200,'Summary Data'!$A97,'Data entry'!$B$6:$B$200,{"Confirmed";"Probable"},'Data entry'!$AQ$6:$AQ$200,'Data Validation'!$V$3, 'Data entry'!$AP$6:$AP$200,'Data Validation'!$U$3, 'Data entry'!$BD$6:$BD$200,"&lt;&gt;*Negative*"))</f>
        <v>0</v>
      </c>
      <c r="AM97" s="15">
        <f>SUM(COUNTIFS('Data entry'!$R$6:$R$200,'Summary Data'!$A97,'Data entry'!$B$6:$B$200,{"Confirmed";"Probable"},'Data entry'!$AQ$6:$AQ$200,'Data Validation'!$V$3, 'Data entry'!$AP$6:$AP$200,'Data Validation'!$U$4, 'Data entry'!$BD$6:$BD$200,"&lt;&gt;*Negative*"))</f>
        <v>0</v>
      </c>
      <c r="AN97" s="15">
        <f>SUM(COUNTIFS('Data entry'!$R$6:$R$200,'Summary Data'!$A97,'Data entry'!$B$6:$B$200,{"Confirmed";"Probable"},'Data entry'!$AQ$6:$AQ$200,'Data Validation'!$V$3, 'Data entry'!$AP$6:$AP$200,'Data Validation'!$U$5, 'Data entry'!$BD$6:$BD$200,"&lt;&gt;*Negative*"))</f>
        <v>0</v>
      </c>
      <c r="AO97" s="15">
        <f>SUM(COUNTIFS('Data entry'!$R$6:$R$200,'Summary Data'!$A97,'Data entry'!$B$6:$B$200,{"Confirmed";"Probable"},'Data entry'!$AQ$6:$AQ$200,'Data Validation'!$V$3, 'Data entry'!$AP$6:$AP$200,'Data Validation'!$U$6, 'Data entry'!$BD$6:$BD$200,"&lt;&gt;*Negative*"))</f>
        <v>0</v>
      </c>
      <c r="AP97" s="15">
        <f>SUM(COUNTIFS('Data entry'!$R$6:$R$200,'Summary Data'!$A97,'Data entry'!$B$6:$B$200,{"Confirmed";"Probable"},'Data entry'!$AQ$6:$AQ$200,'Data Validation'!$V$4, 'Data entry'!$AP$6:$AP$200,'Data Validation'!$U$2, 'Data entry'!$BD$6:$BD$200,"&lt;&gt;*Negative*"))</f>
        <v>0</v>
      </c>
      <c r="AQ97" s="15">
        <f>SUM(COUNTIFS('Data entry'!$R$6:$R$200,'Summary Data'!$A97,'Data entry'!$B$6:$B$200,{"Confirmed";"Probable"},'Data entry'!$AQ$6:$AQ$200,'Data Validation'!$V$4, 'Data entry'!$AP$6:$AP$200,'Data Validation'!$U$3, 'Data entry'!$BD$6:$BD$200,"&lt;&gt;*Negative*"))</f>
        <v>0</v>
      </c>
      <c r="AR97" s="15">
        <f>SUM(COUNTIFS('Data entry'!$R$6:$R$200,'Summary Data'!$A97,'Data entry'!$B$6:$B$200,{"Confirmed";"Probable"},'Data entry'!$AQ$6:$AQ$200,'Data Validation'!$V$4, 'Data entry'!$AP$6:$AP$200,'Data Validation'!$U$4, 'Data entry'!$BD$6:$BD$200,"&lt;&gt;*Negative*"))</f>
        <v>0</v>
      </c>
      <c r="AS97" s="15">
        <f>SUM(COUNTIFS('Data entry'!$R$6:$R$200,'Summary Data'!$A97,'Data entry'!$B$6:$B$200,{"Confirmed";"Probable"},'Data entry'!$AQ$6:$AQ$200,'Data Validation'!$V$4, 'Data entry'!$AP$6:$AP$200,'Data Validation'!$U$5, 'Data entry'!$BD$6:$BD$200,"&lt;&gt;*Negative*"))</f>
        <v>0</v>
      </c>
      <c r="AT97" s="15">
        <f>SUM(COUNTIFS('Data entry'!$R$6:$R$200,'Summary Data'!$A97,'Data entry'!$B$6:$B$200,{"Confirmed";"Probable"},'Data entry'!$AQ$6:$AQ$200,'Data Validation'!$V$4, 'Data entry'!$AP$6:$AP$200,'Data Validation'!$U$6, 'Data entry'!$BD$6:$BD$200,"&lt;&gt;*Negative*"))</f>
        <v>0</v>
      </c>
      <c r="AU97" s="15">
        <f>SUM(COUNTIFS('Data entry'!$R$6:$R$200,'Summary Data'!$A97,'Data entry'!$B$6:$B$200,{"Confirmed";"Probable"},'Data entry'!$AQ$6:$AQ$200,'Data Validation'!$V$5, 'Data entry'!$AP$6:$AP$200,'Data Validation'!$U$2, 'Data entry'!$BD$6:$BD$200,"&lt;&gt;*Negative*"))</f>
        <v>0</v>
      </c>
      <c r="AV97" s="15">
        <f>SUM(COUNTIFS('Data entry'!$R$6:$R$200,'Summary Data'!$A97,'Data entry'!$B$6:$B$200,{"Confirmed";"Probable"},'Data entry'!$AQ$6:$AQ$200,'Data Validation'!$V$5, 'Data entry'!$AP$6:$AP$200,'Data Validation'!$U$3, 'Data entry'!$BD$6:$BD$200,"&lt;&gt;*Negative*"))</f>
        <v>0</v>
      </c>
      <c r="AW97" s="15">
        <f>SUM(COUNTIFS('Data entry'!$R$6:$R$200,'Summary Data'!$A97,'Data entry'!$B$6:$B$200,{"Confirmed";"Probable"},'Data entry'!$AQ$6:$AQ$200,'Data Validation'!$V$5, 'Data entry'!$AP$6:$AP$200,'Data Validation'!$U$4, 'Data entry'!$BD$6:$BD$200,"&lt;&gt;*Negative*"))</f>
        <v>0</v>
      </c>
      <c r="AX97" s="15">
        <f>SUM(COUNTIFS('Data entry'!$R$6:$R$200,'Summary Data'!$A97,'Data entry'!$B$6:$B$200,{"Confirmed";"Probable"},'Data entry'!$AQ$6:$AQ$200,'Data Validation'!$V$5, 'Data entry'!$AP$6:$AP$200,'Data Validation'!$U$5, 'Data entry'!$BD$6:$BD$200,"&lt;&gt;*Negative*"))</f>
        <v>0</v>
      </c>
      <c r="AY97" s="15">
        <f>SUM(COUNTIFS('Data entry'!$R$6:$R$200,'Summary Data'!$A97,'Data entry'!$B$6:$B$200,{"Confirmed";"Probable"},'Data entry'!$AQ$6:$AQ$200,'Data Validation'!$V$5, 'Data entry'!$AP$6:$AP$200,'Data Validation'!$U$6, 'Data entry'!$BD$6:$BD$200,"&lt;&gt;*Negative*"))</f>
        <v>0</v>
      </c>
      <c r="AZ97" s="15">
        <f>SUM(COUNTIFS('Data entry'!$R$6:$R$200,'Summary Data'!$A97,'Data entry'!$B$6:$B$200,{"Confirmed";"Probable"},'Data entry'!$AQ$6:$AQ$200,'Data Validation'!$V$6, 'Data entry'!$AP$6:$AP$200,'Data Validation'!$U$2, 'Data entry'!$BD$6:$BD$200,"&lt;&gt;*Negative*"))</f>
        <v>0</v>
      </c>
      <c r="BA97" s="15">
        <f>SUM(COUNTIFS('Data entry'!$R$6:$R$200,'Summary Data'!$A97,'Data entry'!$B$6:$B$200,{"Confirmed";"Probable"},'Data entry'!$AQ$6:$AQ$200,'Data Validation'!$V$6, 'Data entry'!$AP$6:$AP$200,'Data Validation'!$U$3, 'Data entry'!$BD$6:$BD$200,"&lt;&gt;*Negative*"))</f>
        <v>0</v>
      </c>
      <c r="BB97" s="15">
        <f>SUM(COUNTIFS('Data entry'!$R$6:$R$200,'Summary Data'!$A97,'Data entry'!$B$6:$B$200,{"Confirmed";"Probable"},'Data entry'!$AQ$6:$AQ$200,'Data Validation'!$V$6, 'Data entry'!$AP$6:$AP$200,'Data Validation'!$U$4, 'Data entry'!$BD$6:$BD$200,"&lt;&gt;*Negative*"))</f>
        <v>0</v>
      </c>
      <c r="BC97" s="15">
        <f>SUM(COUNTIFS('Data entry'!$R$6:$R$200,'Summary Data'!$A97,'Data entry'!$B$6:$B$200,{"Confirmed";"Probable"},'Data entry'!$AQ$6:$AQ$200,'Data Validation'!$V$6, 'Data entry'!$AP$6:$AP$200,'Data Validation'!$U$5, 'Data entry'!$BD$6:$BD$200,"&lt;&gt;*Negative*"))</f>
        <v>0</v>
      </c>
      <c r="BD97" s="15">
        <f>SUM(COUNTIFS('Data entry'!$R$6:$R$200,'Summary Data'!$A97,'Data entry'!$B$6:$B$200,{"Confirmed";"Probable"},'Data entry'!$AQ$6:$AQ$200,'Data Validation'!$V$6, 'Data entry'!$AP$6:$AP$200,'Data Validation'!$U$6, 'Data entry'!$BD$6:$BD$200,"&lt;&gt;*Negative*"))</f>
        <v>0</v>
      </c>
      <c r="BE97" s="15">
        <f>SUM(COUNTIFS('Data entry'!$R$6:$R$200,'Summary Data'!$A97,'Data entry'!$B$6:$B$200,{"Confirmed";"Probable"},'Data entry'!$AQ$6:$AQ$200,'Data Validation'!$V$7, 'Data entry'!$AP$6:$AP$200,'Data Validation'!$U$2, 'Data entry'!$BD$6:$BD$200,"&lt;&gt;*Negative*"))</f>
        <v>0</v>
      </c>
      <c r="BF97" s="15">
        <f>SUM(COUNTIFS('Data entry'!$R$6:$R$200,'Summary Data'!$A97,'Data entry'!$B$6:$B$200,{"Confirmed";"Probable"},'Data entry'!$AQ$6:$AQ$200,'Data Validation'!$V$7, 'Data entry'!$AP$6:$AP$200,'Data Validation'!$U$3, 'Data entry'!$BD$6:$BD$200,"&lt;&gt;*Negative*"))</f>
        <v>0</v>
      </c>
      <c r="BG97" s="15">
        <f>SUM(COUNTIFS('Data entry'!$R$6:$R$200,'Summary Data'!$A97,'Data entry'!$B$6:$B$200,{"Confirmed";"Probable"},'Data entry'!$AQ$6:$AQ$200,'Data Validation'!$V$7, 'Data entry'!$AP$6:$AP$200,'Data Validation'!$U$4, 'Data entry'!$BD$6:$BD$200,"&lt;&gt;*Negative*"))</f>
        <v>0</v>
      </c>
      <c r="BH97" s="15">
        <f>SUM(COUNTIFS('Data entry'!$R$6:$R$200,'Summary Data'!$A97,'Data entry'!$B$6:$B$200,{"Confirmed";"Probable"},'Data entry'!$AQ$6:$AQ$200,'Data Validation'!$V$7, 'Data entry'!$AP$6:$AP$200,'Data Validation'!$U$5, 'Data entry'!$BD$6:$BD$200,"&lt;&gt;*Negative*"))</f>
        <v>0</v>
      </c>
      <c r="BI97" s="15">
        <f>SUM(COUNTIFS('Data entry'!$R$6:$R$200,'Summary Data'!$A97,'Data entry'!$B$6:$B$200,{"Confirmed";"Probable"},'Data entry'!$AQ$6:$AQ$200,'Data Validation'!$V$7, 'Data entry'!$AP$6:$AP$200,'Data Validation'!$U$6, 'Data entry'!$BD$6:$BD$200,"&lt;&gt;*Negative*"))</f>
        <v>0</v>
      </c>
      <c r="BJ97" s="15">
        <f>SUM(COUNTIFS('Data entry'!$R$6:$R$200,'Summary Data'!$A97,'Data entry'!$B$6:$B$200,{"Confirmed";"Probable"},'Data entry'!$AQ$6:$AQ$200,'Data Validation'!$V$8, 'Data entry'!$AP$6:$AP$200,'Data Validation'!$U$2, 'Data entry'!$BD$6:$BD$200,"&lt;&gt;*Negative*"))</f>
        <v>0</v>
      </c>
      <c r="BK97" s="15">
        <f>SUM(COUNTIFS('Data entry'!$R$6:$R$200,'Summary Data'!$A97,'Data entry'!$B$6:$B$200,{"Confirmed";"Probable"},'Data entry'!$AQ$6:$AQ$200,'Data Validation'!$V$8, 'Data entry'!$AP$6:$AP$200,'Data Validation'!$U$3, 'Data entry'!$BD$6:$BD$200,"&lt;&gt;*Negative*"))</f>
        <v>0</v>
      </c>
      <c r="BL97" s="15">
        <f>SUM(COUNTIFS('Data entry'!$R$6:$R$200,'Summary Data'!$A97,'Data entry'!$B$6:$B$200,{"Confirmed";"Probable"},'Data entry'!$AQ$6:$AQ$200,'Data Validation'!$V$8, 'Data entry'!$AP$6:$AP$200,'Data Validation'!$U$4, 'Data entry'!$BD$6:$BD$200,"&lt;&gt;*Negative*"))</f>
        <v>0</v>
      </c>
      <c r="BM97" s="15">
        <f>SUM(COUNTIFS('Data entry'!$R$6:$R$200,'Summary Data'!$A97,'Data entry'!$B$6:$B$200,{"Confirmed";"Probable"},'Data entry'!$AQ$6:$AQ$200,'Data Validation'!$V$8, 'Data entry'!$AP$6:$AP$200,'Data Validation'!$U$5, 'Data entry'!$BD$6:$BD$200,"&lt;&gt;*Negative*"))</f>
        <v>0</v>
      </c>
      <c r="BN97" s="15">
        <f>SUM(COUNTIFS('Data entry'!$R$6:$R$200,'Summary Data'!$A97,'Data entry'!$B$6:$B$200,{"Confirmed";"Probable"},'Data entry'!$AQ$6:$AQ$200,'Data Validation'!$V$8, 'Data entry'!$AP$6:$AP$200,'Data Validation'!$U$6, 'Data entry'!$BD$6:$BD$200,"&lt;&gt;*Negative*"))</f>
        <v>0</v>
      </c>
      <c r="BO97" s="15">
        <f>SUM(COUNTIFS('Data entry'!$R$6:$R$200,'Summary Data'!$A97,'Data entry'!$B$6:$B$200,{"Confirmed";"Probable"},'Data entry'!$AQ$6:$AQ$200,'Data Validation'!$V$9, 'Data entry'!$AP$6:$AP$200,'Data Validation'!$U$2, 'Data entry'!$BD$6:$BD$200,"&lt;&gt;*Negative*"))</f>
        <v>0</v>
      </c>
      <c r="BP97" s="15">
        <f>SUM(COUNTIFS('Data entry'!$R$6:$R$200,'Summary Data'!$A97,'Data entry'!$B$6:$B$200,{"Confirmed";"Probable"},'Data entry'!$AQ$6:$AQ$200,'Data Validation'!$V$9, 'Data entry'!$AP$6:$AP$200,'Data Validation'!$U$3, 'Data entry'!$BD$6:$BD$200,"&lt;&gt;*Negative*"))</f>
        <v>0</v>
      </c>
      <c r="BQ97" s="15">
        <f>SUM(COUNTIFS('Data entry'!$R$6:$R$200,'Summary Data'!$A97,'Data entry'!$B$6:$B$200,{"Confirmed";"Probable"},'Data entry'!$AQ$6:$AQ$200,'Data Validation'!$V$9, 'Data entry'!$AP$6:$AP$200,'Data Validation'!$U$4, 'Data entry'!$BD$6:$BD$200,"&lt;&gt;*Negative*"))</f>
        <v>0</v>
      </c>
      <c r="BR97" s="15">
        <f>SUM(COUNTIFS('Data entry'!$R$6:$R$200,'Summary Data'!$A97,'Data entry'!$B$6:$B$200,{"Confirmed";"Probable"},'Data entry'!$AQ$6:$AQ$200,'Data Validation'!$V$9, 'Data entry'!$AP$6:$AP$200,'Data Validation'!$U$5, 'Data entry'!$BD$6:$BD$200,"&lt;&gt;*Negative*"))</f>
        <v>0</v>
      </c>
      <c r="BS97" s="15">
        <f>SUM(COUNTIFS('Data entry'!$R$6:$R$200,'Summary Data'!$A97,'Data entry'!$B$6:$B$200,{"Confirmed";"Probable"},'Data entry'!$AQ$6:$AQ$200,'Data Validation'!$V$9, 'Data entry'!$AP$6:$AP$200,'Data Validation'!$U$6, 'Data entry'!$BD$6:$BD$200,"&lt;&gt;*Negative*"))</f>
        <v>0</v>
      </c>
      <c r="BT97" s="15">
        <f>SUM(COUNTIFS('Data entry'!$R$6:$R$200,'Summary Data'!$A97,'Data entry'!$B$6:$B$200,{"Confirmed";"Probable"},'Data entry'!$AQ$6:$AQ$200,'Data Validation'!$V$10, 'Data entry'!$AP$6:$AP$200,'Data Validation'!$U$2, 'Data entry'!$BD$6:$BD$200,"&lt;&gt;*Negative*"))</f>
        <v>0</v>
      </c>
      <c r="BU97" s="15">
        <f>SUM(COUNTIFS('Data entry'!$R$6:$R$200,'Summary Data'!$A97,'Data entry'!$B$6:$B$200,{"Confirmed";"Probable"},'Data entry'!$AQ$6:$AQ$200,'Data Validation'!$V$10, 'Data entry'!$AP$6:$AP$200,'Data Validation'!$U$3, 'Data entry'!$BD$6:$BD$200,"&lt;&gt;*Negative*"))</f>
        <v>0</v>
      </c>
      <c r="BV97" s="15">
        <f>SUM(COUNTIFS('Data entry'!$R$6:$R$200,'Summary Data'!$A97,'Data entry'!$B$6:$B$200,{"Confirmed";"Probable"},'Data entry'!$AQ$6:$AQ$200,'Data Validation'!$V$10, 'Data entry'!$AP$6:$AP$200,'Data Validation'!$U$4, 'Data entry'!$BD$6:$BD$200,"&lt;&gt;*Negative*"))</f>
        <v>0</v>
      </c>
      <c r="BW97" s="15">
        <f>SUM(COUNTIFS('Data entry'!$R$6:$R$200,'Summary Data'!$A97,'Data entry'!$B$6:$B$200,{"Confirmed";"Probable"},'Data entry'!$AQ$6:$AQ$200,'Data Validation'!$V$10, 'Data entry'!$AP$6:$AP$200,'Data Validation'!$U$5, 'Data entry'!$BD$6:$BD$200,"&lt;&gt;*Negative*"))</f>
        <v>0</v>
      </c>
      <c r="BX97" s="15">
        <f>SUM(COUNTIFS('Data entry'!$R$6:$R$200,'Summary Data'!$A97,'Data entry'!$B$6:$B$200,{"Confirmed";"Probable"},'Data entry'!$AQ$6:$AQ$200,'Data Validation'!$V$10, 'Data entry'!$AP$6:$AP$200,'Data Validation'!$U$6, 'Data entry'!$BD$6:$BD$200,"&lt;&gt;*Negative*"))</f>
        <v>0</v>
      </c>
      <c r="BY97" s="15">
        <f>SUM(COUNTIFS('Data entry'!$R$6:$R$200,'Summary Data'!$A97,'Data entry'!$B$6:$B$200,{"Confirmed";"Probable"},'Data entry'!$AQ$6:$AQ$200,'Data Validation'!$V$11, 'Data entry'!$AP$6:$AP$200,'Data Validation'!$U$2, 'Data entry'!$BD$6:$BD$200,"&lt;&gt;*Negative*"))</f>
        <v>0</v>
      </c>
      <c r="BZ97" s="15">
        <f>SUM(COUNTIFS('Data entry'!$R$6:$R$200,'Summary Data'!$A97,'Data entry'!$B$6:$B$200,{"Confirmed";"Probable"},'Data entry'!$AQ$6:$AQ$200,'Data Validation'!$V$11, 'Data entry'!$AP$6:$AP$200,'Data Validation'!$U$3, 'Data entry'!$BD$6:$BD$200,"&lt;&gt;*Negative*"))</f>
        <v>0</v>
      </c>
      <c r="CA97" s="15">
        <f>SUM(COUNTIFS('Data entry'!$R$6:$R$200,'Summary Data'!$A97,'Data entry'!$B$6:$B$200,{"Confirmed";"Probable"},'Data entry'!$AQ$6:$AQ$200,'Data Validation'!$V$11, 'Data entry'!$AP$6:$AP$200,'Data Validation'!$U$4, 'Data entry'!$BD$6:$BD$200,"&lt;&gt;*Negative*"))</f>
        <v>0</v>
      </c>
      <c r="CB97" s="15">
        <f>SUM(COUNTIFS('Data entry'!$R$6:$R$200,'Summary Data'!$A97,'Data entry'!$B$6:$B$200,{"Confirmed";"Probable"},'Data entry'!$AQ$6:$AQ$200,'Data Validation'!$V$11, 'Data entry'!$AP$6:$AP$200,'Data Validation'!$U$5, 'Data entry'!$BD$6:$BD$200,"&lt;&gt;*Negative*"))</f>
        <v>0</v>
      </c>
      <c r="CC97" s="15">
        <f>SUM(COUNTIFS('Data entry'!$R$6:$R$200,'Summary Data'!$A97,'Data entry'!$B$6:$B$200,{"Confirmed";"Probable"},'Data entry'!$AQ$6:$AQ$200,'Data Validation'!$V$11, 'Data entry'!$AP$6:$AP$200,'Data Validation'!$U$6, 'Data entry'!$BD$6:$BD$200,"&lt;&gt;*Negative*"))</f>
        <v>0</v>
      </c>
    </row>
    <row r="98" spans="1:81" x14ac:dyDescent="0.25">
      <c r="A98" s="12">
        <f t="shared" si="9"/>
        <v>86</v>
      </c>
      <c r="B98" s="13">
        <f t="shared" si="6"/>
        <v>0</v>
      </c>
      <c r="C98" s="13">
        <f>COUNTIFS('Data entry'!$R$6:$R$200,$A98,'Data entry'!$B$6:$B$200,"Confirmed",'Data entry'!$BD$6:$BD$200,"&lt;&gt;*Negative*")</f>
        <v>0</v>
      </c>
      <c r="D98" s="13">
        <f>COUNTIFS('Data entry'!$R$6:$R$200,$A98,'Data entry'!$B$6:$B$200,"Probable",'Data entry'!$BD$6:$BD$200,"&lt;&gt;*Negative*")</f>
        <v>0</v>
      </c>
      <c r="E98" s="13">
        <f>COUNTIFS('Data entry'!$R$6:$R$200,$A98,'Data entry'!$B$6:$B$200,"DNM")</f>
        <v>0</v>
      </c>
      <c r="F98" s="13">
        <f>SUM(COUNTIFS('Data entry'!$R$6:$R$200,'Summary Data'!$A98,'Data entry'!$B$6:$B$200,{"Confirmed";"Probable"},'Data entry'!$AO$6:$AO$200,$F$10, 'Data entry'!$BD$6:$BD$200,"&lt;&gt;*Negative*"))</f>
        <v>0</v>
      </c>
      <c r="G98" s="13">
        <f>SUM(COUNTIFS('Data entry'!$R$6:$R$200,'Summary Data'!$A98,'Data entry'!$B$6:$B$200,{"Confirmed";"Probable"},'Data entry'!$AO$6:$AO$200,$G$10, 'Data entry'!$BD$6:$BD$200,"&lt;&gt;*Negative*"))</f>
        <v>0</v>
      </c>
      <c r="H98" s="13">
        <f>SUM(COUNTIFS('Data entry'!$R$6:$R$200,'Summary Data'!$A98,'Data entry'!$B$6:$B$200,{"Confirmed";"Probable"},'Data entry'!$AO$6:$AO$200,$H$10, 'Data entry'!$BD$6:$BD$200,"&lt;&gt;*Negative*"))</f>
        <v>0</v>
      </c>
      <c r="I98" s="13">
        <f>SUM(COUNTIFS('Data entry'!$R$6:$R$200,'Summary Data'!$A98,'Data entry'!$B$6:$B$200,{"Confirmed";"Probable"},'Data entry'!$AO$6:$AO$200,$I$10, 'Data entry'!$BD$6:$BD$200,"&lt;&gt;*Negative*"))</f>
        <v>0</v>
      </c>
      <c r="J98" s="13">
        <f>SUM(COUNTIFS('Data entry'!$R$6:$R$200,'Summary Data'!$A98,'Data entry'!$B$6:$B$200,{"Confirmed";"Probable"},'Data entry'!$AO$6:$AO$200,$J$10, 'Data entry'!$BD$6:$BD$200,"&lt;&gt;*Negative*"))</f>
        <v>0</v>
      </c>
      <c r="K98" s="13">
        <f>SUM(COUNTIFS('Data entry'!$R$6:$R$200,'Summary Data'!$A98,'Data entry'!$B$6:$B$200,{"Confirmed";"Probable"},'Data entry'!$AO$6:$AO$200,$K$10, 'Data entry'!$BD$6:$BD$200,"&lt;&gt;*Negative*"))</f>
        <v>0</v>
      </c>
      <c r="L98" s="13">
        <f>SUM(COUNTIFS('Data entry'!$R$6:$R$200,'Summary Data'!$A98,'Data entry'!$B$6:$B$200,{"Confirmed";"Probable"},'Data entry'!$AO$6:$AO$200,$L$10, 'Data entry'!$BD$6:$BD$200,"&lt;&gt;*Negative*"))</f>
        <v>0</v>
      </c>
      <c r="M98" s="13">
        <f>SUM(COUNTIFS('Data entry'!$R$6:$R$200,'Summary Data'!$A98,'Data entry'!$B$6:$B$200,{"Confirmed";"Probable"},'Data entry'!$AO$6:$AO$200,$M$10, 'Data entry'!$BD$6:$BD$200,"&lt;&gt;*Negative*"))</f>
        <v>0</v>
      </c>
      <c r="N98" s="13">
        <f>SUM(COUNTIFS('Data entry'!$R$6:$R$200,'Summary Data'!$A98,'Data entry'!$B$6:$B$200,{"Confirmed";"Probable"},'Data entry'!$AO$6:$AO$200,$N$10, 'Data entry'!$BD$6:$BD$200,"&lt;&gt;*Negative*"))</f>
        <v>0</v>
      </c>
      <c r="O98" s="15">
        <f t="shared" si="7"/>
        <v>0</v>
      </c>
      <c r="P98" s="15">
        <f t="shared" si="8"/>
        <v>0</v>
      </c>
      <c r="Q98" s="15">
        <f>SUM(COUNTIFS('Data entry'!$R$6:$R$200,'Summary Data'!$A98,'Data entry'!$B$6:$B$200,{"Confirmed";"Probable"},'Data entry'!$AP$6:$AP$200,'Data Validation'!$U$2, 'Data entry'!$BD$6:$BD$200,"&lt;&gt;*Negative*"))</f>
        <v>0</v>
      </c>
      <c r="R98" s="15">
        <f>SUM(COUNTIFS('Data entry'!$R$6:$R$200,'Summary Data'!$A98,'Data entry'!$B$6:$B$200,{"Confirmed";"Probable"},'Data entry'!$AP$6:$AP$200,'Data Validation'!$U$3, 'Data entry'!$BD$6:$BD$200,"&lt;&gt;*Negative*"))</f>
        <v>0</v>
      </c>
      <c r="S98" s="15">
        <f>SUM(COUNTIFS('Data entry'!$R$6:$R$200,'Summary Data'!$A98,'Data entry'!$B$6:$B$200,{"Confirmed";"Probable"},'Data entry'!$AP$6:$AP$200,'Data Validation'!$U$4, 'Data entry'!$BD$6:$BD$200,"&lt;&gt;*Negative*"))</f>
        <v>0</v>
      </c>
      <c r="T98" s="15">
        <f>SUM(COUNTIFS('Data entry'!$R$6:$R$200,'Summary Data'!$A98,'Data entry'!$B$6:$B$200,{"Confirmed";"Probable"},'Data entry'!$AP$6:$AP$200,'Data Validation'!$U$5, 'Data entry'!$BD$6:$BD$200,"&lt;&gt;*Negative*"))</f>
        <v>0</v>
      </c>
      <c r="U98" s="15">
        <f>SUM(COUNTIFS('Data entry'!$R$6:$R$200,'Summary Data'!$A98,'Data entry'!$B$6:$B$200,{"Confirmed";"Probable"},'Data entry'!$AP$6:$AP$200,'Data Validation'!$U$6, 'Data entry'!$BD$6:$BD$200,"&lt;&gt;*Negative*"))</f>
        <v>0</v>
      </c>
      <c r="V98" s="15">
        <f>SUM(COUNTIFS('Data entry'!$R$6:$R$200,'Summary Data'!$A98,'Data entry'!$B$6:$B$200,{"Confirmed";"Probable"},'Data entry'!$AQ$6:$AQ$200,'Data Validation'!$V$2, 'Data entry'!$BD$6:$BD$200,"&lt;&gt;*Negative*"))</f>
        <v>0</v>
      </c>
      <c r="W98" s="15">
        <f>SUM(COUNTIFS('Data entry'!$R$6:$R$200,'Summary Data'!$A98,'Data entry'!$B$6:$B$200,{"Confirmed";"Probable"},'Data entry'!$AQ$6:$AQ$200,'Data Validation'!$V$3, 'Data entry'!$BD$6:$BD$200,"&lt;&gt;*Negative*"))</f>
        <v>0</v>
      </c>
      <c r="X98" s="15">
        <f>SUM(COUNTIFS('Data entry'!$R$6:$R$200,'Summary Data'!$A98,'Data entry'!$B$6:$B$200,{"Confirmed";"Probable"},'Data entry'!$AQ$6:$AQ$200,'Data Validation'!$V$4, 'Data entry'!$BD$6:$BD$200,"&lt;&gt;*Negative*"))</f>
        <v>0</v>
      </c>
      <c r="Y98" s="15">
        <f>SUM(COUNTIFS('Data entry'!$R$6:$R$200,'Summary Data'!$A98,'Data entry'!$B$6:$B$200,{"Confirmed";"Probable"},'Data entry'!$AQ$6:$AQ$200,'Data Validation'!$V$5, 'Data entry'!$BD$6:$BD$200,"&lt;&gt;*Negative*"))</f>
        <v>0</v>
      </c>
      <c r="Z98" s="15">
        <f>SUM(COUNTIFS('Data entry'!$R$6:$R$200,'Summary Data'!$A98,'Data entry'!$B$6:$B$200,{"Confirmed";"Probable"},'Data entry'!$AQ$6:$AQ$200,'Data Validation'!$V$6, 'Data entry'!$BD$6:$BD$200,"&lt;&gt;*Negative*"))</f>
        <v>0</v>
      </c>
      <c r="AA98" s="15">
        <f>SUM(COUNTIFS('Data entry'!$R$6:$R$200,'Summary Data'!$A98,'Data entry'!$B$6:$B$200,{"Confirmed";"Probable"},'Data entry'!$AQ$6:$AQ$200,'Data Validation'!$V$7, 'Data entry'!$BD$6:$BD$200,"&lt;&gt;*Negative*"))</f>
        <v>0</v>
      </c>
      <c r="AB98" s="15">
        <f>SUM(COUNTIFS('Data entry'!$R$6:$R$200,'Summary Data'!$A98,'Data entry'!$B$6:$B$200,{"Confirmed";"Probable"},'Data entry'!$AQ$6:$AQ$200,'Data Validation'!$V$8, 'Data entry'!$BD$6:$BD$200,"&lt;&gt;*Negative*"))</f>
        <v>0</v>
      </c>
      <c r="AC98" s="15">
        <f>SUM(COUNTIFS('Data entry'!$R$6:$R$200,'Summary Data'!$A98,'Data entry'!$B$6:$B$200,{"Confirmed";"Probable"},'Data entry'!$AQ$6:$AQ$200,'Data Validation'!$V$9, 'Data entry'!$BD$6:$BD$200,"&lt;&gt;*Negative*"))</f>
        <v>0</v>
      </c>
      <c r="AD98" s="15">
        <f>SUM(COUNTIFS('Data entry'!$R$6:$R$200,'Summary Data'!$A98,'Data entry'!$B$6:$B$200,{"Confirmed";"Probable"},'Data entry'!$AQ$6:$AQ$200,'Data Validation'!$V$10, 'Data entry'!$BD$6:$BD$200,"&lt;&gt;*Negative*"))</f>
        <v>0</v>
      </c>
      <c r="AE98" s="15">
        <f>SUM(COUNTIFS('Data entry'!$R$6:$R$200,'Summary Data'!$A98,'Data entry'!$B$6:$B$200,{"Confirmed";"Probable"},'Data entry'!$AQ$6:$AQ$200,'Data Validation'!$V$11, 'Data entry'!$BD$6:$BD$200,"&lt;&gt;*Negative*"))</f>
        <v>0</v>
      </c>
      <c r="AF98" s="15">
        <f>SUM(COUNTIFS('Data entry'!$R$6:$R$200,'Summary Data'!$A98,'Data entry'!$B$6:$B$200,{"Confirmed";"Probable"},'Data entry'!$AQ$6:$AQ$200,'Data Validation'!$V$2, 'Data entry'!$AP$6:$AP$200,'Data Validation'!$U$2, 'Data entry'!$BD$6:$BD$200,"&lt;&gt;*Negative*"))</f>
        <v>0</v>
      </c>
      <c r="AG98" s="15">
        <f>SUM(COUNTIFS('Data entry'!$R$6:$R$200,'Summary Data'!$A98,'Data entry'!$B$6:$B$200,{"Confirmed";"Probable"},'Data entry'!$AQ$6:$AQ$200,'Data Validation'!$V$2, 'Data entry'!$AP$6:$AP$200,'Data Validation'!$U$3, 'Data entry'!$BD$6:$BD$200,"&lt;&gt;*Negative*"))</f>
        <v>0</v>
      </c>
      <c r="AH98" s="15">
        <f>SUM(COUNTIFS('Data entry'!$R$6:$R$200,'Summary Data'!$A98,'Data entry'!$B$6:$B$200,{"Confirmed";"Probable"},'Data entry'!$AQ$6:$AQ$200,'Data Validation'!$V$2, 'Data entry'!$AP$6:$AP$200,'Data Validation'!$U$4, 'Data entry'!$BD$6:$BD$200,"&lt;&gt;*Negative*"))</f>
        <v>0</v>
      </c>
      <c r="AI98" s="15">
        <f>SUM(COUNTIFS('Data entry'!$R$6:$R$200,'Summary Data'!$A98,'Data entry'!$B$6:$B$200,{"Confirmed";"Probable"},'Data entry'!$AQ$6:$AQ$200,'Data Validation'!$V$2, 'Data entry'!$AP$6:$AP$200,'Data Validation'!$U$5, 'Data entry'!$BD$6:$BD$200,"&lt;&gt;*Negative*"))</f>
        <v>0</v>
      </c>
      <c r="AJ98" s="15">
        <f>SUM(COUNTIFS('Data entry'!$R$6:$R$200,'Summary Data'!$A98,'Data entry'!$B$6:$B$200,{"Confirmed";"Probable"},'Data entry'!$AQ$6:$AQ$200,'Data Validation'!$V$2, 'Data entry'!$AP$6:$AP$200,'Data Validation'!$U$6, 'Data entry'!$BD$6:$BD$200,"&lt;&gt;*Negative*"))</f>
        <v>0</v>
      </c>
      <c r="AK98" s="15">
        <f>SUM(COUNTIFS('Data entry'!$R$6:$R$200,'Summary Data'!$A98,'Data entry'!$B$6:$B$200,{"Confirmed";"Probable"},'Data entry'!$AQ$6:$AQ$200,'Data Validation'!$V$3, 'Data entry'!$AP$6:$AP$200,'Data Validation'!$U$2, 'Data entry'!$BD$6:$BD$200,"&lt;&gt;*Negative*"))</f>
        <v>0</v>
      </c>
      <c r="AL98" s="15">
        <f>SUM(COUNTIFS('Data entry'!$R$6:$R$200,'Summary Data'!$A98,'Data entry'!$B$6:$B$200,{"Confirmed";"Probable"},'Data entry'!$AQ$6:$AQ$200,'Data Validation'!$V$3, 'Data entry'!$AP$6:$AP$200,'Data Validation'!$U$3, 'Data entry'!$BD$6:$BD$200,"&lt;&gt;*Negative*"))</f>
        <v>0</v>
      </c>
      <c r="AM98" s="15">
        <f>SUM(COUNTIFS('Data entry'!$R$6:$R$200,'Summary Data'!$A98,'Data entry'!$B$6:$B$200,{"Confirmed";"Probable"},'Data entry'!$AQ$6:$AQ$200,'Data Validation'!$V$3, 'Data entry'!$AP$6:$AP$200,'Data Validation'!$U$4, 'Data entry'!$BD$6:$BD$200,"&lt;&gt;*Negative*"))</f>
        <v>0</v>
      </c>
      <c r="AN98" s="15">
        <f>SUM(COUNTIFS('Data entry'!$R$6:$R$200,'Summary Data'!$A98,'Data entry'!$B$6:$B$200,{"Confirmed";"Probable"},'Data entry'!$AQ$6:$AQ$200,'Data Validation'!$V$3, 'Data entry'!$AP$6:$AP$200,'Data Validation'!$U$5, 'Data entry'!$BD$6:$BD$200,"&lt;&gt;*Negative*"))</f>
        <v>0</v>
      </c>
      <c r="AO98" s="15">
        <f>SUM(COUNTIFS('Data entry'!$R$6:$R$200,'Summary Data'!$A98,'Data entry'!$B$6:$B$200,{"Confirmed";"Probable"},'Data entry'!$AQ$6:$AQ$200,'Data Validation'!$V$3, 'Data entry'!$AP$6:$AP$200,'Data Validation'!$U$6, 'Data entry'!$BD$6:$BD$200,"&lt;&gt;*Negative*"))</f>
        <v>0</v>
      </c>
      <c r="AP98" s="15">
        <f>SUM(COUNTIFS('Data entry'!$R$6:$R$200,'Summary Data'!$A98,'Data entry'!$B$6:$B$200,{"Confirmed";"Probable"},'Data entry'!$AQ$6:$AQ$200,'Data Validation'!$V$4, 'Data entry'!$AP$6:$AP$200,'Data Validation'!$U$2, 'Data entry'!$BD$6:$BD$200,"&lt;&gt;*Negative*"))</f>
        <v>0</v>
      </c>
      <c r="AQ98" s="15">
        <f>SUM(COUNTIFS('Data entry'!$R$6:$R$200,'Summary Data'!$A98,'Data entry'!$B$6:$B$200,{"Confirmed";"Probable"},'Data entry'!$AQ$6:$AQ$200,'Data Validation'!$V$4, 'Data entry'!$AP$6:$AP$200,'Data Validation'!$U$3, 'Data entry'!$BD$6:$BD$200,"&lt;&gt;*Negative*"))</f>
        <v>0</v>
      </c>
      <c r="AR98" s="15">
        <f>SUM(COUNTIFS('Data entry'!$R$6:$R$200,'Summary Data'!$A98,'Data entry'!$B$6:$B$200,{"Confirmed";"Probable"},'Data entry'!$AQ$6:$AQ$200,'Data Validation'!$V$4, 'Data entry'!$AP$6:$AP$200,'Data Validation'!$U$4, 'Data entry'!$BD$6:$BD$200,"&lt;&gt;*Negative*"))</f>
        <v>0</v>
      </c>
      <c r="AS98" s="15">
        <f>SUM(COUNTIFS('Data entry'!$R$6:$R$200,'Summary Data'!$A98,'Data entry'!$B$6:$B$200,{"Confirmed";"Probable"},'Data entry'!$AQ$6:$AQ$200,'Data Validation'!$V$4, 'Data entry'!$AP$6:$AP$200,'Data Validation'!$U$5, 'Data entry'!$BD$6:$BD$200,"&lt;&gt;*Negative*"))</f>
        <v>0</v>
      </c>
      <c r="AT98" s="15">
        <f>SUM(COUNTIFS('Data entry'!$R$6:$R$200,'Summary Data'!$A98,'Data entry'!$B$6:$B$200,{"Confirmed";"Probable"},'Data entry'!$AQ$6:$AQ$200,'Data Validation'!$V$4, 'Data entry'!$AP$6:$AP$200,'Data Validation'!$U$6, 'Data entry'!$BD$6:$BD$200,"&lt;&gt;*Negative*"))</f>
        <v>0</v>
      </c>
      <c r="AU98" s="15">
        <f>SUM(COUNTIFS('Data entry'!$R$6:$R$200,'Summary Data'!$A98,'Data entry'!$B$6:$B$200,{"Confirmed";"Probable"},'Data entry'!$AQ$6:$AQ$200,'Data Validation'!$V$5, 'Data entry'!$AP$6:$AP$200,'Data Validation'!$U$2, 'Data entry'!$BD$6:$BD$200,"&lt;&gt;*Negative*"))</f>
        <v>0</v>
      </c>
      <c r="AV98" s="15">
        <f>SUM(COUNTIFS('Data entry'!$R$6:$R$200,'Summary Data'!$A98,'Data entry'!$B$6:$B$200,{"Confirmed";"Probable"},'Data entry'!$AQ$6:$AQ$200,'Data Validation'!$V$5, 'Data entry'!$AP$6:$AP$200,'Data Validation'!$U$3, 'Data entry'!$BD$6:$BD$200,"&lt;&gt;*Negative*"))</f>
        <v>0</v>
      </c>
      <c r="AW98" s="15">
        <f>SUM(COUNTIFS('Data entry'!$R$6:$R$200,'Summary Data'!$A98,'Data entry'!$B$6:$B$200,{"Confirmed";"Probable"},'Data entry'!$AQ$6:$AQ$200,'Data Validation'!$V$5, 'Data entry'!$AP$6:$AP$200,'Data Validation'!$U$4, 'Data entry'!$BD$6:$BD$200,"&lt;&gt;*Negative*"))</f>
        <v>0</v>
      </c>
      <c r="AX98" s="15">
        <f>SUM(COUNTIFS('Data entry'!$R$6:$R$200,'Summary Data'!$A98,'Data entry'!$B$6:$B$200,{"Confirmed";"Probable"},'Data entry'!$AQ$6:$AQ$200,'Data Validation'!$V$5, 'Data entry'!$AP$6:$AP$200,'Data Validation'!$U$5, 'Data entry'!$BD$6:$BD$200,"&lt;&gt;*Negative*"))</f>
        <v>0</v>
      </c>
      <c r="AY98" s="15">
        <f>SUM(COUNTIFS('Data entry'!$R$6:$R$200,'Summary Data'!$A98,'Data entry'!$B$6:$B$200,{"Confirmed";"Probable"},'Data entry'!$AQ$6:$AQ$200,'Data Validation'!$V$5, 'Data entry'!$AP$6:$AP$200,'Data Validation'!$U$6, 'Data entry'!$BD$6:$BD$200,"&lt;&gt;*Negative*"))</f>
        <v>0</v>
      </c>
      <c r="AZ98" s="15">
        <f>SUM(COUNTIFS('Data entry'!$R$6:$R$200,'Summary Data'!$A98,'Data entry'!$B$6:$B$200,{"Confirmed";"Probable"},'Data entry'!$AQ$6:$AQ$200,'Data Validation'!$V$6, 'Data entry'!$AP$6:$AP$200,'Data Validation'!$U$2, 'Data entry'!$BD$6:$BD$200,"&lt;&gt;*Negative*"))</f>
        <v>0</v>
      </c>
      <c r="BA98" s="15">
        <f>SUM(COUNTIFS('Data entry'!$R$6:$R$200,'Summary Data'!$A98,'Data entry'!$B$6:$B$200,{"Confirmed";"Probable"},'Data entry'!$AQ$6:$AQ$200,'Data Validation'!$V$6, 'Data entry'!$AP$6:$AP$200,'Data Validation'!$U$3, 'Data entry'!$BD$6:$BD$200,"&lt;&gt;*Negative*"))</f>
        <v>0</v>
      </c>
      <c r="BB98" s="15">
        <f>SUM(COUNTIFS('Data entry'!$R$6:$R$200,'Summary Data'!$A98,'Data entry'!$B$6:$B$200,{"Confirmed";"Probable"},'Data entry'!$AQ$6:$AQ$200,'Data Validation'!$V$6, 'Data entry'!$AP$6:$AP$200,'Data Validation'!$U$4, 'Data entry'!$BD$6:$BD$200,"&lt;&gt;*Negative*"))</f>
        <v>0</v>
      </c>
      <c r="BC98" s="15">
        <f>SUM(COUNTIFS('Data entry'!$R$6:$R$200,'Summary Data'!$A98,'Data entry'!$B$6:$B$200,{"Confirmed";"Probable"},'Data entry'!$AQ$6:$AQ$200,'Data Validation'!$V$6, 'Data entry'!$AP$6:$AP$200,'Data Validation'!$U$5, 'Data entry'!$BD$6:$BD$200,"&lt;&gt;*Negative*"))</f>
        <v>0</v>
      </c>
      <c r="BD98" s="15">
        <f>SUM(COUNTIFS('Data entry'!$R$6:$R$200,'Summary Data'!$A98,'Data entry'!$B$6:$B$200,{"Confirmed";"Probable"},'Data entry'!$AQ$6:$AQ$200,'Data Validation'!$V$6, 'Data entry'!$AP$6:$AP$200,'Data Validation'!$U$6, 'Data entry'!$BD$6:$BD$200,"&lt;&gt;*Negative*"))</f>
        <v>0</v>
      </c>
      <c r="BE98" s="15">
        <f>SUM(COUNTIFS('Data entry'!$R$6:$R$200,'Summary Data'!$A98,'Data entry'!$B$6:$B$200,{"Confirmed";"Probable"},'Data entry'!$AQ$6:$AQ$200,'Data Validation'!$V$7, 'Data entry'!$AP$6:$AP$200,'Data Validation'!$U$2, 'Data entry'!$BD$6:$BD$200,"&lt;&gt;*Negative*"))</f>
        <v>0</v>
      </c>
      <c r="BF98" s="15">
        <f>SUM(COUNTIFS('Data entry'!$R$6:$R$200,'Summary Data'!$A98,'Data entry'!$B$6:$B$200,{"Confirmed";"Probable"},'Data entry'!$AQ$6:$AQ$200,'Data Validation'!$V$7, 'Data entry'!$AP$6:$AP$200,'Data Validation'!$U$3, 'Data entry'!$BD$6:$BD$200,"&lt;&gt;*Negative*"))</f>
        <v>0</v>
      </c>
      <c r="BG98" s="15">
        <f>SUM(COUNTIFS('Data entry'!$R$6:$R$200,'Summary Data'!$A98,'Data entry'!$B$6:$B$200,{"Confirmed";"Probable"},'Data entry'!$AQ$6:$AQ$200,'Data Validation'!$V$7, 'Data entry'!$AP$6:$AP$200,'Data Validation'!$U$4, 'Data entry'!$BD$6:$BD$200,"&lt;&gt;*Negative*"))</f>
        <v>0</v>
      </c>
      <c r="BH98" s="15">
        <f>SUM(COUNTIFS('Data entry'!$R$6:$R$200,'Summary Data'!$A98,'Data entry'!$B$6:$B$200,{"Confirmed";"Probable"},'Data entry'!$AQ$6:$AQ$200,'Data Validation'!$V$7, 'Data entry'!$AP$6:$AP$200,'Data Validation'!$U$5, 'Data entry'!$BD$6:$BD$200,"&lt;&gt;*Negative*"))</f>
        <v>0</v>
      </c>
      <c r="BI98" s="15">
        <f>SUM(COUNTIFS('Data entry'!$R$6:$R$200,'Summary Data'!$A98,'Data entry'!$B$6:$B$200,{"Confirmed";"Probable"},'Data entry'!$AQ$6:$AQ$200,'Data Validation'!$V$7, 'Data entry'!$AP$6:$AP$200,'Data Validation'!$U$6, 'Data entry'!$BD$6:$BD$200,"&lt;&gt;*Negative*"))</f>
        <v>0</v>
      </c>
      <c r="BJ98" s="15">
        <f>SUM(COUNTIFS('Data entry'!$R$6:$R$200,'Summary Data'!$A98,'Data entry'!$B$6:$B$200,{"Confirmed";"Probable"},'Data entry'!$AQ$6:$AQ$200,'Data Validation'!$V$8, 'Data entry'!$AP$6:$AP$200,'Data Validation'!$U$2, 'Data entry'!$BD$6:$BD$200,"&lt;&gt;*Negative*"))</f>
        <v>0</v>
      </c>
      <c r="BK98" s="15">
        <f>SUM(COUNTIFS('Data entry'!$R$6:$R$200,'Summary Data'!$A98,'Data entry'!$B$6:$B$200,{"Confirmed";"Probable"},'Data entry'!$AQ$6:$AQ$200,'Data Validation'!$V$8, 'Data entry'!$AP$6:$AP$200,'Data Validation'!$U$3, 'Data entry'!$BD$6:$BD$200,"&lt;&gt;*Negative*"))</f>
        <v>0</v>
      </c>
      <c r="BL98" s="15">
        <f>SUM(COUNTIFS('Data entry'!$R$6:$R$200,'Summary Data'!$A98,'Data entry'!$B$6:$B$200,{"Confirmed";"Probable"},'Data entry'!$AQ$6:$AQ$200,'Data Validation'!$V$8, 'Data entry'!$AP$6:$AP$200,'Data Validation'!$U$4, 'Data entry'!$BD$6:$BD$200,"&lt;&gt;*Negative*"))</f>
        <v>0</v>
      </c>
      <c r="BM98" s="15">
        <f>SUM(COUNTIFS('Data entry'!$R$6:$R$200,'Summary Data'!$A98,'Data entry'!$B$6:$B$200,{"Confirmed";"Probable"},'Data entry'!$AQ$6:$AQ$200,'Data Validation'!$V$8, 'Data entry'!$AP$6:$AP$200,'Data Validation'!$U$5, 'Data entry'!$BD$6:$BD$200,"&lt;&gt;*Negative*"))</f>
        <v>0</v>
      </c>
      <c r="BN98" s="15">
        <f>SUM(COUNTIFS('Data entry'!$R$6:$R$200,'Summary Data'!$A98,'Data entry'!$B$6:$B$200,{"Confirmed";"Probable"},'Data entry'!$AQ$6:$AQ$200,'Data Validation'!$V$8, 'Data entry'!$AP$6:$AP$200,'Data Validation'!$U$6, 'Data entry'!$BD$6:$BD$200,"&lt;&gt;*Negative*"))</f>
        <v>0</v>
      </c>
      <c r="BO98" s="15">
        <f>SUM(COUNTIFS('Data entry'!$R$6:$R$200,'Summary Data'!$A98,'Data entry'!$B$6:$B$200,{"Confirmed";"Probable"},'Data entry'!$AQ$6:$AQ$200,'Data Validation'!$V$9, 'Data entry'!$AP$6:$AP$200,'Data Validation'!$U$2, 'Data entry'!$BD$6:$BD$200,"&lt;&gt;*Negative*"))</f>
        <v>0</v>
      </c>
      <c r="BP98" s="15">
        <f>SUM(COUNTIFS('Data entry'!$R$6:$R$200,'Summary Data'!$A98,'Data entry'!$B$6:$B$200,{"Confirmed";"Probable"},'Data entry'!$AQ$6:$AQ$200,'Data Validation'!$V$9, 'Data entry'!$AP$6:$AP$200,'Data Validation'!$U$3, 'Data entry'!$BD$6:$BD$200,"&lt;&gt;*Negative*"))</f>
        <v>0</v>
      </c>
      <c r="BQ98" s="15">
        <f>SUM(COUNTIFS('Data entry'!$R$6:$R$200,'Summary Data'!$A98,'Data entry'!$B$6:$B$200,{"Confirmed";"Probable"},'Data entry'!$AQ$6:$AQ$200,'Data Validation'!$V$9, 'Data entry'!$AP$6:$AP$200,'Data Validation'!$U$4, 'Data entry'!$BD$6:$BD$200,"&lt;&gt;*Negative*"))</f>
        <v>0</v>
      </c>
      <c r="BR98" s="15">
        <f>SUM(COUNTIFS('Data entry'!$R$6:$R$200,'Summary Data'!$A98,'Data entry'!$B$6:$B$200,{"Confirmed";"Probable"},'Data entry'!$AQ$6:$AQ$200,'Data Validation'!$V$9, 'Data entry'!$AP$6:$AP$200,'Data Validation'!$U$5, 'Data entry'!$BD$6:$BD$200,"&lt;&gt;*Negative*"))</f>
        <v>0</v>
      </c>
      <c r="BS98" s="15">
        <f>SUM(COUNTIFS('Data entry'!$R$6:$R$200,'Summary Data'!$A98,'Data entry'!$B$6:$B$200,{"Confirmed";"Probable"},'Data entry'!$AQ$6:$AQ$200,'Data Validation'!$V$9, 'Data entry'!$AP$6:$AP$200,'Data Validation'!$U$6, 'Data entry'!$BD$6:$BD$200,"&lt;&gt;*Negative*"))</f>
        <v>0</v>
      </c>
      <c r="BT98" s="15">
        <f>SUM(COUNTIFS('Data entry'!$R$6:$R$200,'Summary Data'!$A98,'Data entry'!$B$6:$B$200,{"Confirmed";"Probable"},'Data entry'!$AQ$6:$AQ$200,'Data Validation'!$V$10, 'Data entry'!$AP$6:$AP$200,'Data Validation'!$U$2, 'Data entry'!$BD$6:$BD$200,"&lt;&gt;*Negative*"))</f>
        <v>0</v>
      </c>
      <c r="BU98" s="15">
        <f>SUM(COUNTIFS('Data entry'!$R$6:$R$200,'Summary Data'!$A98,'Data entry'!$B$6:$B$200,{"Confirmed";"Probable"},'Data entry'!$AQ$6:$AQ$200,'Data Validation'!$V$10, 'Data entry'!$AP$6:$AP$200,'Data Validation'!$U$3, 'Data entry'!$BD$6:$BD$200,"&lt;&gt;*Negative*"))</f>
        <v>0</v>
      </c>
      <c r="BV98" s="15">
        <f>SUM(COUNTIFS('Data entry'!$R$6:$R$200,'Summary Data'!$A98,'Data entry'!$B$6:$B$200,{"Confirmed";"Probable"},'Data entry'!$AQ$6:$AQ$200,'Data Validation'!$V$10, 'Data entry'!$AP$6:$AP$200,'Data Validation'!$U$4, 'Data entry'!$BD$6:$BD$200,"&lt;&gt;*Negative*"))</f>
        <v>0</v>
      </c>
      <c r="BW98" s="15">
        <f>SUM(COUNTIFS('Data entry'!$R$6:$R$200,'Summary Data'!$A98,'Data entry'!$B$6:$B$200,{"Confirmed";"Probable"},'Data entry'!$AQ$6:$AQ$200,'Data Validation'!$V$10, 'Data entry'!$AP$6:$AP$200,'Data Validation'!$U$5, 'Data entry'!$BD$6:$BD$200,"&lt;&gt;*Negative*"))</f>
        <v>0</v>
      </c>
      <c r="BX98" s="15">
        <f>SUM(COUNTIFS('Data entry'!$R$6:$R$200,'Summary Data'!$A98,'Data entry'!$B$6:$B$200,{"Confirmed";"Probable"},'Data entry'!$AQ$6:$AQ$200,'Data Validation'!$V$10, 'Data entry'!$AP$6:$AP$200,'Data Validation'!$U$6, 'Data entry'!$BD$6:$BD$200,"&lt;&gt;*Negative*"))</f>
        <v>0</v>
      </c>
      <c r="BY98" s="15">
        <f>SUM(COUNTIFS('Data entry'!$R$6:$R$200,'Summary Data'!$A98,'Data entry'!$B$6:$B$200,{"Confirmed";"Probable"},'Data entry'!$AQ$6:$AQ$200,'Data Validation'!$V$11, 'Data entry'!$AP$6:$AP$200,'Data Validation'!$U$2, 'Data entry'!$BD$6:$BD$200,"&lt;&gt;*Negative*"))</f>
        <v>0</v>
      </c>
      <c r="BZ98" s="15">
        <f>SUM(COUNTIFS('Data entry'!$R$6:$R$200,'Summary Data'!$A98,'Data entry'!$B$6:$B$200,{"Confirmed";"Probable"},'Data entry'!$AQ$6:$AQ$200,'Data Validation'!$V$11, 'Data entry'!$AP$6:$AP$200,'Data Validation'!$U$3, 'Data entry'!$BD$6:$BD$200,"&lt;&gt;*Negative*"))</f>
        <v>0</v>
      </c>
      <c r="CA98" s="15">
        <f>SUM(COUNTIFS('Data entry'!$R$6:$R$200,'Summary Data'!$A98,'Data entry'!$B$6:$B$200,{"Confirmed";"Probable"},'Data entry'!$AQ$6:$AQ$200,'Data Validation'!$V$11, 'Data entry'!$AP$6:$AP$200,'Data Validation'!$U$4, 'Data entry'!$BD$6:$BD$200,"&lt;&gt;*Negative*"))</f>
        <v>0</v>
      </c>
      <c r="CB98" s="15">
        <f>SUM(COUNTIFS('Data entry'!$R$6:$R$200,'Summary Data'!$A98,'Data entry'!$B$6:$B$200,{"Confirmed";"Probable"},'Data entry'!$AQ$6:$AQ$200,'Data Validation'!$V$11, 'Data entry'!$AP$6:$AP$200,'Data Validation'!$U$5, 'Data entry'!$BD$6:$BD$200,"&lt;&gt;*Negative*"))</f>
        <v>0</v>
      </c>
      <c r="CC98" s="15">
        <f>SUM(COUNTIFS('Data entry'!$R$6:$R$200,'Summary Data'!$A98,'Data entry'!$B$6:$B$200,{"Confirmed";"Probable"},'Data entry'!$AQ$6:$AQ$200,'Data Validation'!$V$11, 'Data entry'!$AP$6:$AP$200,'Data Validation'!$U$6, 'Data entry'!$BD$6:$BD$200,"&lt;&gt;*Negative*"))</f>
        <v>0</v>
      </c>
    </row>
    <row r="99" spans="1:81" x14ac:dyDescent="0.25">
      <c r="A99" s="12">
        <f t="shared" si="9"/>
        <v>87</v>
      </c>
      <c r="B99" s="13">
        <f t="shared" si="6"/>
        <v>0</v>
      </c>
      <c r="C99" s="13">
        <f>COUNTIFS('Data entry'!$R$6:$R$200,$A99,'Data entry'!$B$6:$B$200,"Confirmed",'Data entry'!$BD$6:$BD$200,"&lt;&gt;*Negative*")</f>
        <v>0</v>
      </c>
      <c r="D99" s="13">
        <f>COUNTIFS('Data entry'!$R$6:$R$200,$A99,'Data entry'!$B$6:$B$200,"Probable",'Data entry'!$BD$6:$BD$200,"&lt;&gt;*Negative*")</f>
        <v>0</v>
      </c>
      <c r="E99" s="13">
        <f>COUNTIFS('Data entry'!$R$6:$R$200,$A99,'Data entry'!$B$6:$B$200,"DNM")</f>
        <v>0</v>
      </c>
      <c r="F99" s="13">
        <f>SUM(COUNTIFS('Data entry'!$R$6:$R$200,'Summary Data'!$A99,'Data entry'!$B$6:$B$200,{"Confirmed";"Probable"},'Data entry'!$AO$6:$AO$200,$F$10, 'Data entry'!$BD$6:$BD$200,"&lt;&gt;*Negative*"))</f>
        <v>0</v>
      </c>
      <c r="G99" s="13">
        <f>SUM(COUNTIFS('Data entry'!$R$6:$R$200,'Summary Data'!$A99,'Data entry'!$B$6:$B$200,{"Confirmed";"Probable"},'Data entry'!$AO$6:$AO$200,$G$10, 'Data entry'!$BD$6:$BD$200,"&lt;&gt;*Negative*"))</f>
        <v>0</v>
      </c>
      <c r="H99" s="13">
        <f>SUM(COUNTIFS('Data entry'!$R$6:$R$200,'Summary Data'!$A99,'Data entry'!$B$6:$B$200,{"Confirmed";"Probable"},'Data entry'!$AO$6:$AO$200,$H$10, 'Data entry'!$BD$6:$BD$200,"&lt;&gt;*Negative*"))</f>
        <v>0</v>
      </c>
      <c r="I99" s="13">
        <f>SUM(COUNTIFS('Data entry'!$R$6:$R$200,'Summary Data'!$A99,'Data entry'!$B$6:$B$200,{"Confirmed";"Probable"},'Data entry'!$AO$6:$AO$200,$I$10, 'Data entry'!$BD$6:$BD$200,"&lt;&gt;*Negative*"))</f>
        <v>0</v>
      </c>
      <c r="J99" s="13">
        <f>SUM(COUNTIFS('Data entry'!$R$6:$R$200,'Summary Data'!$A99,'Data entry'!$B$6:$B$200,{"Confirmed";"Probable"},'Data entry'!$AO$6:$AO$200,$J$10, 'Data entry'!$BD$6:$BD$200,"&lt;&gt;*Negative*"))</f>
        <v>0</v>
      </c>
      <c r="K99" s="13">
        <f>SUM(COUNTIFS('Data entry'!$R$6:$R$200,'Summary Data'!$A99,'Data entry'!$B$6:$B$200,{"Confirmed";"Probable"},'Data entry'!$AO$6:$AO$200,$K$10, 'Data entry'!$BD$6:$BD$200,"&lt;&gt;*Negative*"))</f>
        <v>0</v>
      </c>
      <c r="L99" s="13">
        <f>SUM(COUNTIFS('Data entry'!$R$6:$R$200,'Summary Data'!$A99,'Data entry'!$B$6:$B$200,{"Confirmed";"Probable"},'Data entry'!$AO$6:$AO$200,$L$10, 'Data entry'!$BD$6:$BD$200,"&lt;&gt;*Negative*"))</f>
        <v>0</v>
      </c>
      <c r="M99" s="13">
        <f>SUM(COUNTIFS('Data entry'!$R$6:$R$200,'Summary Data'!$A99,'Data entry'!$B$6:$B$200,{"Confirmed";"Probable"},'Data entry'!$AO$6:$AO$200,$M$10, 'Data entry'!$BD$6:$BD$200,"&lt;&gt;*Negative*"))</f>
        <v>0</v>
      </c>
      <c r="N99" s="13">
        <f>SUM(COUNTIFS('Data entry'!$R$6:$R$200,'Summary Data'!$A99,'Data entry'!$B$6:$B$200,{"Confirmed";"Probable"},'Data entry'!$AO$6:$AO$200,$N$10, 'Data entry'!$BD$6:$BD$200,"&lt;&gt;*Negative*"))</f>
        <v>0</v>
      </c>
      <c r="O99" s="15">
        <f t="shared" si="7"/>
        <v>0</v>
      </c>
      <c r="P99" s="15">
        <f t="shared" si="8"/>
        <v>0</v>
      </c>
      <c r="Q99" s="15">
        <f>SUM(COUNTIFS('Data entry'!$R$6:$R$200,'Summary Data'!$A99,'Data entry'!$B$6:$B$200,{"Confirmed";"Probable"},'Data entry'!$AP$6:$AP$200,'Data Validation'!$U$2, 'Data entry'!$BD$6:$BD$200,"&lt;&gt;*Negative*"))</f>
        <v>0</v>
      </c>
      <c r="R99" s="15">
        <f>SUM(COUNTIFS('Data entry'!$R$6:$R$200,'Summary Data'!$A99,'Data entry'!$B$6:$B$200,{"Confirmed";"Probable"},'Data entry'!$AP$6:$AP$200,'Data Validation'!$U$3, 'Data entry'!$BD$6:$BD$200,"&lt;&gt;*Negative*"))</f>
        <v>0</v>
      </c>
      <c r="S99" s="15">
        <f>SUM(COUNTIFS('Data entry'!$R$6:$R$200,'Summary Data'!$A99,'Data entry'!$B$6:$B$200,{"Confirmed";"Probable"},'Data entry'!$AP$6:$AP$200,'Data Validation'!$U$4, 'Data entry'!$BD$6:$BD$200,"&lt;&gt;*Negative*"))</f>
        <v>0</v>
      </c>
      <c r="T99" s="15">
        <f>SUM(COUNTIFS('Data entry'!$R$6:$R$200,'Summary Data'!$A99,'Data entry'!$B$6:$B$200,{"Confirmed";"Probable"},'Data entry'!$AP$6:$AP$200,'Data Validation'!$U$5, 'Data entry'!$BD$6:$BD$200,"&lt;&gt;*Negative*"))</f>
        <v>0</v>
      </c>
      <c r="U99" s="15">
        <f>SUM(COUNTIFS('Data entry'!$R$6:$R$200,'Summary Data'!$A99,'Data entry'!$B$6:$B$200,{"Confirmed";"Probable"},'Data entry'!$AP$6:$AP$200,'Data Validation'!$U$6, 'Data entry'!$BD$6:$BD$200,"&lt;&gt;*Negative*"))</f>
        <v>0</v>
      </c>
      <c r="V99" s="15">
        <f>SUM(COUNTIFS('Data entry'!$R$6:$R$200,'Summary Data'!$A99,'Data entry'!$B$6:$B$200,{"Confirmed";"Probable"},'Data entry'!$AQ$6:$AQ$200,'Data Validation'!$V$2, 'Data entry'!$BD$6:$BD$200,"&lt;&gt;*Negative*"))</f>
        <v>0</v>
      </c>
      <c r="W99" s="15">
        <f>SUM(COUNTIFS('Data entry'!$R$6:$R$200,'Summary Data'!$A99,'Data entry'!$B$6:$B$200,{"Confirmed";"Probable"},'Data entry'!$AQ$6:$AQ$200,'Data Validation'!$V$3, 'Data entry'!$BD$6:$BD$200,"&lt;&gt;*Negative*"))</f>
        <v>0</v>
      </c>
      <c r="X99" s="15">
        <f>SUM(COUNTIFS('Data entry'!$R$6:$R$200,'Summary Data'!$A99,'Data entry'!$B$6:$B$200,{"Confirmed";"Probable"},'Data entry'!$AQ$6:$AQ$200,'Data Validation'!$V$4, 'Data entry'!$BD$6:$BD$200,"&lt;&gt;*Negative*"))</f>
        <v>0</v>
      </c>
      <c r="Y99" s="15">
        <f>SUM(COUNTIFS('Data entry'!$R$6:$R$200,'Summary Data'!$A99,'Data entry'!$B$6:$B$200,{"Confirmed";"Probable"},'Data entry'!$AQ$6:$AQ$200,'Data Validation'!$V$5, 'Data entry'!$BD$6:$BD$200,"&lt;&gt;*Negative*"))</f>
        <v>0</v>
      </c>
      <c r="Z99" s="15">
        <f>SUM(COUNTIFS('Data entry'!$R$6:$R$200,'Summary Data'!$A99,'Data entry'!$B$6:$B$200,{"Confirmed";"Probable"},'Data entry'!$AQ$6:$AQ$200,'Data Validation'!$V$6, 'Data entry'!$BD$6:$BD$200,"&lt;&gt;*Negative*"))</f>
        <v>0</v>
      </c>
      <c r="AA99" s="15">
        <f>SUM(COUNTIFS('Data entry'!$R$6:$R$200,'Summary Data'!$A99,'Data entry'!$B$6:$B$200,{"Confirmed";"Probable"},'Data entry'!$AQ$6:$AQ$200,'Data Validation'!$V$7, 'Data entry'!$BD$6:$BD$200,"&lt;&gt;*Negative*"))</f>
        <v>0</v>
      </c>
      <c r="AB99" s="15">
        <f>SUM(COUNTIFS('Data entry'!$R$6:$R$200,'Summary Data'!$A99,'Data entry'!$B$6:$B$200,{"Confirmed";"Probable"},'Data entry'!$AQ$6:$AQ$200,'Data Validation'!$V$8, 'Data entry'!$BD$6:$BD$200,"&lt;&gt;*Negative*"))</f>
        <v>0</v>
      </c>
      <c r="AC99" s="15">
        <f>SUM(COUNTIFS('Data entry'!$R$6:$R$200,'Summary Data'!$A99,'Data entry'!$B$6:$B$200,{"Confirmed";"Probable"},'Data entry'!$AQ$6:$AQ$200,'Data Validation'!$V$9, 'Data entry'!$BD$6:$BD$200,"&lt;&gt;*Negative*"))</f>
        <v>0</v>
      </c>
      <c r="AD99" s="15">
        <f>SUM(COUNTIFS('Data entry'!$R$6:$R$200,'Summary Data'!$A99,'Data entry'!$B$6:$B$200,{"Confirmed";"Probable"},'Data entry'!$AQ$6:$AQ$200,'Data Validation'!$V$10, 'Data entry'!$BD$6:$BD$200,"&lt;&gt;*Negative*"))</f>
        <v>0</v>
      </c>
      <c r="AE99" s="15">
        <f>SUM(COUNTIFS('Data entry'!$R$6:$R$200,'Summary Data'!$A99,'Data entry'!$B$6:$B$200,{"Confirmed";"Probable"},'Data entry'!$AQ$6:$AQ$200,'Data Validation'!$V$11, 'Data entry'!$BD$6:$BD$200,"&lt;&gt;*Negative*"))</f>
        <v>0</v>
      </c>
      <c r="AF99" s="15">
        <f>SUM(COUNTIFS('Data entry'!$R$6:$R$200,'Summary Data'!$A99,'Data entry'!$B$6:$B$200,{"Confirmed";"Probable"},'Data entry'!$AQ$6:$AQ$200,'Data Validation'!$V$2, 'Data entry'!$AP$6:$AP$200,'Data Validation'!$U$2, 'Data entry'!$BD$6:$BD$200,"&lt;&gt;*Negative*"))</f>
        <v>0</v>
      </c>
      <c r="AG99" s="15">
        <f>SUM(COUNTIFS('Data entry'!$R$6:$R$200,'Summary Data'!$A99,'Data entry'!$B$6:$B$200,{"Confirmed";"Probable"},'Data entry'!$AQ$6:$AQ$200,'Data Validation'!$V$2, 'Data entry'!$AP$6:$AP$200,'Data Validation'!$U$3, 'Data entry'!$BD$6:$BD$200,"&lt;&gt;*Negative*"))</f>
        <v>0</v>
      </c>
      <c r="AH99" s="15">
        <f>SUM(COUNTIFS('Data entry'!$R$6:$R$200,'Summary Data'!$A99,'Data entry'!$B$6:$B$200,{"Confirmed";"Probable"},'Data entry'!$AQ$6:$AQ$200,'Data Validation'!$V$2, 'Data entry'!$AP$6:$AP$200,'Data Validation'!$U$4, 'Data entry'!$BD$6:$BD$200,"&lt;&gt;*Negative*"))</f>
        <v>0</v>
      </c>
      <c r="AI99" s="15">
        <f>SUM(COUNTIFS('Data entry'!$R$6:$R$200,'Summary Data'!$A99,'Data entry'!$B$6:$B$200,{"Confirmed";"Probable"},'Data entry'!$AQ$6:$AQ$200,'Data Validation'!$V$2, 'Data entry'!$AP$6:$AP$200,'Data Validation'!$U$5, 'Data entry'!$BD$6:$BD$200,"&lt;&gt;*Negative*"))</f>
        <v>0</v>
      </c>
      <c r="AJ99" s="15">
        <f>SUM(COUNTIFS('Data entry'!$R$6:$R$200,'Summary Data'!$A99,'Data entry'!$B$6:$B$200,{"Confirmed";"Probable"},'Data entry'!$AQ$6:$AQ$200,'Data Validation'!$V$2, 'Data entry'!$AP$6:$AP$200,'Data Validation'!$U$6, 'Data entry'!$BD$6:$BD$200,"&lt;&gt;*Negative*"))</f>
        <v>0</v>
      </c>
      <c r="AK99" s="15">
        <f>SUM(COUNTIFS('Data entry'!$R$6:$R$200,'Summary Data'!$A99,'Data entry'!$B$6:$B$200,{"Confirmed";"Probable"},'Data entry'!$AQ$6:$AQ$200,'Data Validation'!$V$3, 'Data entry'!$AP$6:$AP$200,'Data Validation'!$U$2, 'Data entry'!$BD$6:$BD$200,"&lt;&gt;*Negative*"))</f>
        <v>0</v>
      </c>
      <c r="AL99" s="15">
        <f>SUM(COUNTIFS('Data entry'!$R$6:$R$200,'Summary Data'!$A99,'Data entry'!$B$6:$B$200,{"Confirmed";"Probable"},'Data entry'!$AQ$6:$AQ$200,'Data Validation'!$V$3, 'Data entry'!$AP$6:$AP$200,'Data Validation'!$U$3, 'Data entry'!$BD$6:$BD$200,"&lt;&gt;*Negative*"))</f>
        <v>0</v>
      </c>
      <c r="AM99" s="15">
        <f>SUM(COUNTIFS('Data entry'!$R$6:$R$200,'Summary Data'!$A99,'Data entry'!$B$6:$B$200,{"Confirmed";"Probable"},'Data entry'!$AQ$6:$AQ$200,'Data Validation'!$V$3, 'Data entry'!$AP$6:$AP$200,'Data Validation'!$U$4, 'Data entry'!$BD$6:$BD$200,"&lt;&gt;*Negative*"))</f>
        <v>0</v>
      </c>
      <c r="AN99" s="15">
        <f>SUM(COUNTIFS('Data entry'!$R$6:$R$200,'Summary Data'!$A99,'Data entry'!$B$6:$B$200,{"Confirmed";"Probable"},'Data entry'!$AQ$6:$AQ$200,'Data Validation'!$V$3, 'Data entry'!$AP$6:$AP$200,'Data Validation'!$U$5, 'Data entry'!$BD$6:$BD$200,"&lt;&gt;*Negative*"))</f>
        <v>0</v>
      </c>
      <c r="AO99" s="15">
        <f>SUM(COUNTIFS('Data entry'!$R$6:$R$200,'Summary Data'!$A99,'Data entry'!$B$6:$B$200,{"Confirmed";"Probable"},'Data entry'!$AQ$6:$AQ$200,'Data Validation'!$V$3, 'Data entry'!$AP$6:$AP$200,'Data Validation'!$U$6, 'Data entry'!$BD$6:$BD$200,"&lt;&gt;*Negative*"))</f>
        <v>0</v>
      </c>
      <c r="AP99" s="15">
        <f>SUM(COUNTIFS('Data entry'!$R$6:$R$200,'Summary Data'!$A99,'Data entry'!$B$6:$B$200,{"Confirmed";"Probable"},'Data entry'!$AQ$6:$AQ$200,'Data Validation'!$V$4, 'Data entry'!$AP$6:$AP$200,'Data Validation'!$U$2, 'Data entry'!$BD$6:$BD$200,"&lt;&gt;*Negative*"))</f>
        <v>0</v>
      </c>
      <c r="AQ99" s="15">
        <f>SUM(COUNTIFS('Data entry'!$R$6:$R$200,'Summary Data'!$A99,'Data entry'!$B$6:$B$200,{"Confirmed";"Probable"},'Data entry'!$AQ$6:$AQ$200,'Data Validation'!$V$4, 'Data entry'!$AP$6:$AP$200,'Data Validation'!$U$3, 'Data entry'!$BD$6:$BD$200,"&lt;&gt;*Negative*"))</f>
        <v>0</v>
      </c>
      <c r="AR99" s="15">
        <f>SUM(COUNTIFS('Data entry'!$R$6:$R$200,'Summary Data'!$A99,'Data entry'!$B$6:$B$200,{"Confirmed";"Probable"},'Data entry'!$AQ$6:$AQ$200,'Data Validation'!$V$4, 'Data entry'!$AP$6:$AP$200,'Data Validation'!$U$4, 'Data entry'!$BD$6:$BD$200,"&lt;&gt;*Negative*"))</f>
        <v>0</v>
      </c>
      <c r="AS99" s="15">
        <f>SUM(COUNTIFS('Data entry'!$R$6:$R$200,'Summary Data'!$A99,'Data entry'!$B$6:$B$200,{"Confirmed";"Probable"},'Data entry'!$AQ$6:$AQ$200,'Data Validation'!$V$4, 'Data entry'!$AP$6:$AP$200,'Data Validation'!$U$5, 'Data entry'!$BD$6:$BD$200,"&lt;&gt;*Negative*"))</f>
        <v>0</v>
      </c>
      <c r="AT99" s="15">
        <f>SUM(COUNTIFS('Data entry'!$R$6:$R$200,'Summary Data'!$A99,'Data entry'!$B$6:$B$200,{"Confirmed";"Probable"},'Data entry'!$AQ$6:$AQ$200,'Data Validation'!$V$4, 'Data entry'!$AP$6:$AP$200,'Data Validation'!$U$6, 'Data entry'!$BD$6:$BD$200,"&lt;&gt;*Negative*"))</f>
        <v>0</v>
      </c>
      <c r="AU99" s="15">
        <f>SUM(COUNTIFS('Data entry'!$R$6:$R$200,'Summary Data'!$A99,'Data entry'!$B$6:$B$200,{"Confirmed";"Probable"},'Data entry'!$AQ$6:$AQ$200,'Data Validation'!$V$5, 'Data entry'!$AP$6:$AP$200,'Data Validation'!$U$2, 'Data entry'!$BD$6:$BD$200,"&lt;&gt;*Negative*"))</f>
        <v>0</v>
      </c>
      <c r="AV99" s="15">
        <f>SUM(COUNTIFS('Data entry'!$R$6:$R$200,'Summary Data'!$A99,'Data entry'!$B$6:$B$200,{"Confirmed";"Probable"},'Data entry'!$AQ$6:$AQ$200,'Data Validation'!$V$5, 'Data entry'!$AP$6:$AP$200,'Data Validation'!$U$3, 'Data entry'!$BD$6:$BD$200,"&lt;&gt;*Negative*"))</f>
        <v>0</v>
      </c>
      <c r="AW99" s="15">
        <f>SUM(COUNTIFS('Data entry'!$R$6:$R$200,'Summary Data'!$A99,'Data entry'!$B$6:$B$200,{"Confirmed";"Probable"},'Data entry'!$AQ$6:$AQ$200,'Data Validation'!$V$5, 'Data entry'!$AP$6:$AP$200,'Data Validation'!$U$4, 'Data entry'!$BD$6:$BD$200,"&lt;&gt;*Negative*"))</f>
        <v>0</v>
      </c>
      <c r="AX99" s="15">
        <f>SUM(COUNTIFS('Data entry'!$R$6:$R$200,'Summary Data'!$A99,'Data entry'!$B$6:$B$200,{"Confirmed";"Probable"},'Data entry'!$AQ$6:$AQ$200,'Data Validation'!$V$5, 'Data entry'!$AP$6:$AP$200,'Data Validation'!$U$5, 'Data entry'!$BD$6:$BD$200,"&lt;&gt;*Negative*"))</f>
        <v>0</v>
      </c>
      <c r="AY99" s="15">
        <f>SUM(COUNTIFS('Data entry'!$R$6:$R$200,'Summary Data'!$A99,'Data entry'!$B$6:$B$200,{"Confirmed";"Probable"},'Data entry'!$AQ$6:$AQ$200,'Data Validation'!$V$5, 'Data entry'!$AP$6:$AP$200,'Data Validation'!$U$6, 'Data entry'!$BD$6:$BD$200,"&lt;&gt;*Negative*"))</f>
        <v>0</v>
      </c>
      <c r="AZ99" s="15">
        <f>SUM(COUNTIFS('Data entry'!$R$6:$R$200,'Summary Data'!$A99,'Data entry'!$B$6:$B$200,{"Confirmed";"Probable"},'Data entry'!$AQ$6:$AQ$200,'Data Validation'!$V$6, 'Data entry'!$AP$6:$AP$200,'Data Validation'!$U$2, 'Data entry'!$BD$6:$BD$200,"&lt;&gt;*Negative*"))</f>
        <v>0</v>
      </c>
      <c r="BA99" s="15">
        <f>SUM(COUNTIFS('Data entry'!$R$6:$R$200,'Summary Data'!$A99,'Data entry'!$B$6:$B$200,{"Confirmed";"Probable"},'Data entry'!$AQ$6:$AQ$200,'Data Validation'!$V$6, 'Data entry'!$AP$6:$AP$200,'Data Validation'!$U$3, 'Data entry'!$BD$6:$BD$200,"&lt;&gt;*Negative*"))</f>
        <v>0</v>
      </c>
      <c r="BB99" s="15">
        <f>SUM(COUNTIFS('Data entry'!$R$6:$R$200,'Summary Data'!$A99,'Data entry'!$B$6:$B$200,{"Confirmed";"Probable"},'Data entry'!$AQ$6:$AQ$200,'Data Validation'!$V$6, 'Data entry'!$AP$6:$AP$200,'Data Validation'!$U$4, 'Data entry'!$BD$6:$BD$200,"&lt;&gt;*Negative*"))</f>
        <v>0</v>
      </c>
      <c r="BC99" s="15">
        <f>SUM(COUNTIFS('Data entry'!$R$6:$R$200,'Summary Data'!$A99,'Data entry'!$B$6:$B$200,{"Confirmed";"Probable"},'Data entry'!$AQ$6:$AQ$200,'Data Validation'!$V$6, 'Data entry'!$AP$6:$AP$200,'Data Validation'!$U$5, 'Data entry'!$BD$6:$BD$200,"&lt;&gt;*Negative*"))</f>
        <v>0</v>
      </c>
      <c r="BD99" s="15">
        <f>SUM(COUNTIFS('Data entry'!$R$6:$R$200,'Summary Data'!$A99,'Data entry'!$B$6:$B$200,{"Confirmed";"Probable"},'Data entry'!$AQ$6:$AQ$200,'Data Validation'!$V$6, 'Data entry'!$AP$6:$AP$200,'Data Validation'!$U$6, 'Data entry'!$BD$6:$BD$200,"&lt;&gt;*Negative*"))</f>
        <v>0</v>
      </c>
      <c r="BE99" s="15">
        <f>SUM(COUNTIFS('Data entry'!$R$6:$R$200,'Summary Data'!$A99,'Data entry'!$B$6:$B$200,{"Confirmed";"Probable"},'Data entry'!$AQ$6:$AQ$200,'Data Validation'!$V$7, 'Data entry'!$AP$6:$AP$200,'Data Validation'!$U$2, 'Data entry'!$BD$6:$BD$200,"&lt;&gt;*Negative*"))</f>
        <v>0</v>
      </c>
      <c r="BF99" s="15">
        <f>SUM(COUNTIFS('Data entry'!$R$6:$R$200,'Summary Data'!$A99,'Data entry'!$B$6:$B$200,{"Confirmed";"Probable"},'Data entry'!$AQ$6:$AQ$200,'Data Validation'!$V$7, 'Data entry'!$AP$6:$AP$200,'Data Validation'!$U$3, 'Data entry'!$BD$6:$BD$200,"&lt;&gt;*Negative*"))</f>
        <v>0</v>
      </c>
      <c r="BG99" s="15">
        <f>SUM(COUNTIFS('Data entry'!$R$6:$R$200,'Summary Data'!$A99,'Data entry'!$B$6:$B$200,{"Confirmed";"Probable"},'Data entry'!$AQ$6:$AQ$200,'Data Validation'!$V$7, 'Data entry'!$AP$6:$AP$200,'Data Validation'!$U$4, 'Data entry'!$BD$6:$BD$200,"&lt;&gt;*Negative*"))</f>
        <v>0</v>
      </c>
      <c r="BH99" s="15">
        <f>SUM(COUNTIFS('Data entry'!$R$6:$R$200,'Summary Data'!$A99,'Data entry'!$B$6:$B$200,{"Confirmed";"Probable"},'Data entry'!$AQ$6:$AQ$200,'Data Validation'!$V$7, 'Data entry'!$AP$6:$AP$200,'Data Validation'!$U$5, 'Data entry'!$BD$6:$BD$200,"&lt;&gt;*Negative*"))</f>
        <v>0</v>
      </c>
      <c r="BI99" s="15">
        <f>SUM(COUNTIFS('Data entry'!$R$6:$R$200,'Summary Data'!$A99,'Data entry'!$B$6:$B$200,{"Confirmed";"Probable"},'Data entry'!$AQ$6:$AQ$200,'Data Validation'!$V$7, 'Data entry'!$AP$6:$AP$200,'Data Validation'!$U$6, 'Data entry'!$BD$6:$BD$200,"&lt;&gt;*Negative*"))</f>
        <v>0</v>
      </c>
      <c r="BJ99" s="15">
        <f>SUM(COUNTIFS('Data entry'!$R$6:$R$200,'Summary Data'!$A99,'Data entry'!$B$6:$B$200,{"Confirmed";"Probable"},'Data entry'!$AQ$6:$AQ$200,'Data Validation'!$V$8, 'Data entry'!$AP$6:$AP$200,'Data Validation'!$U$2, 'Data entry'!$BD$6:$BD$200,"&lt;&gt;*Negative*"))</f>
        <v>0</v>
      </c>
      <c r="BK99" s="15">
        <f>SUM(COUNTIFS('Data entry'!$R$6:$R$200,'Summary Data'!$A99,'Data entry'!$B$6:$B$200,{"Confirmed";"Probable"},'Data entry'!$AQ$6:$AQ$200,'Data Validation'!$V$8, 'Data entry'!$AP$6:$AP$200,'Data Validation'!$U$3, 'Data entry'!$BD$6:$BD$200,"&lt;&gt;*Negative*"))</f>
        <v>0</v>
      </c>
      <c r="BL99" s="15">
        <f>SUM(COUNTIFS('Data entry'!$R$6:$R$200,'Summary Data'!$A99,'Data entry'!$B$6:$B$200,{"Confirmed";"Probable"},'Data entry'!$AQ$6:$AQ$200,'Data Validation'!$V$8, 'Data entry'!$AP$6:$AP$200,'Data Validation'!$U$4, 'Data entry'!$BD$6:$BD$200,"&lt;&gt;*Negative*"))</f>
        <v>0</v>
      </c>
      <c r="BM99" s="15">
        <f>SUM(COUNTIFS('Data entry'!$R$6:$R$200,'Summary Data'!$A99,'Data entry'!$B$6:$B$200,{"Confirmed";"Probable"},'Data entry'!$AQ$6:$AQ$200,'Data Validation'!$V$8, 'Data entry'!$AP$6:$AP$200,'Data Validation'!$U$5, 'Data entry'!$BD$6:$BD$200,"&lt;&gt;*Negative*"))</f>
        <v>0</v>
      </c>
      <c r="BN99" s="15">
        <f>SUM(COUNTIFS('Data entry'!$R$6:$R$200,'Summary Data'!$A99,'Data entry'!$B$6:$B$200,{"Confirmed";"Probable"},'Data entry'!$AQ$6:$AQ$200,'Data Validation'!$V$8, 'Data entry'!$AP$6:$AP$200,'Data Validation'!$U$6, 'Data entry'!$BD$6:$BD$200,"&lt;&gt;*Negative*"))</f>
        <v>0</v>
      </c>
      <c r="BO99" s="15">
        <f>SUM(COUNTIFS('Data entry'!$R$6:$R$200,'Summary Data'!$A99,'Data entry'!$B$6:$B$200,{"Confirmed";"Probable"},'Data entry'!$AQ$6:$AQ$200,'Data Validation'!$V$9, 'Data entry'!$AP$6:$AP$200,'Data Validation'!$U$2, 'Data entry'!$BD$6:$BD$200,"&lt;&gt;*Negative*"))</f>
        <v>0</v>
      </c>
      <c r="BP99" s="15">
        <f>SUM(COUNTIFS('Data entry'!$R$6:$R$200,'Summary Data'!$A99,'Data entry'!$B$6:$B$200,{"Confirmed";"Probable"},'Data entry'!$AQ$6:$AQ$200,'Data Validation'!$V$9, 'Data entry'!$AP$6:$AP$200,'Data Validation'!$U$3, 'Data entry'!$BD$6:$BD$200,"&lt;&gt;*Negative*"))</f>
        <v>0</v>
      </c>
      <c r="BQ99" s="15">
        <f>SUM(COUNTIFS('Data entry'!$R$6:$R$200,'Summary Data'!$A99,'Data entry'!$B$6:$B$200,{"Confirmed";"Probable"},'Data entry'!$AQ$6:$AQ$200,'Data Validation'!$V$9, 'Data entry'!$AP$6:$AP$200,'Data Validation'!$U$4, 'Data entry'!$BD$6:$BD$200,"&lt;&gt;*Negative*"))</f>
        <v>0</v>
      </c>
      <c r="BR99" s="15">
        <f>SUM(COUNTIFS('Data entry'!$R$6:$R$200,'Summary Data'!$A99,'Data entry'!$B$6:$B$200,{"Confirmed";"Probable"},'Data entry'!$AQ$6:$AQ$200,'Data Validation'!$V$9, 'Data entry'!$AP$6:$AP$200,'Data Validation'!$U$5, 'Data entry'!$BD$6:$BD$200,"&lt;&gt;*Negative*"))</f>
        <v>0</v>
      </c>
      <c r="BS99" s="15">
        <f>SUM(COUNTIFS('Data entry'!$R$6:$R$200,'Summary Data'!$A99,'Data entry'!$B$6:$B$200,{"Confirmed";"Probable"},'Data entry'!$AQ$6:$AQ$200,'Data Validation'!$V$9, 'Data entry'!$AP$6:$AP$200,'Data Validation'!$U$6, 'Data entry'!$BD$6:$BD$200,"&lt;&gt;*Negative*"))</f>
        <v>0</v>
      </c>
      <c r="BT99" s="15">
        <f>SUM(COUNTIFS('Data entry'!$R$6:$R$200,'Summary Data'!$A99,'Data entry'!$B$6:$B$200,{"Confirmed";"Probable"},'Data entry'!$AQ$6:$AQ$200,'Data Validation'!$V$10, 'Data entry'!$AP$6:$AP$200,'Data Validation'!$U$2, 'Data entry'!$BD$6:$BD$200,"&lt;&gt;*Negative*"))</f>
        <v>0</v>
      </c>
      <c r="BU99" s="15">
        <f>SUM(COUNTIFS('Data entry'!$R$6:$R$200,'Summary Data'!$A99,'Data entry'!$B$6:$B$200,{"Confirmed";"Probable"},'Data entry'!$AQ$6:$AQ$200,'Data Validation'!$V$10, 'Data entry'!$AP$6:$AP$200,'Data Validation'!$U$3, 'Data entry'!$BD$6:$BD$200,"&lt;&gt;*Negative*"))</f>
        <v>0</v>
      </c>
      <c r="BV99" s="15">
        <f>SUM(COUNTIFS('Data entry'!$R$6:$R$200,'Summary Data'!$A99,'Data entry'!$B$6:$B$200,{"Confirmed";"Probable"},'Data entry'!$AQ$6:$AQ$200,'Data Validation'!$V$10, 'Data entry'!$AP$6:$AP$200,'Data Validation'!$U$4, 'Data entry'!$BD$6:$BD$200,"&lt;&gt;*Negative*"))</f>
        <v>0</v>
      </c>
      <c r="BW99" s="15">
        <f>SUM(COUNTIFS('Data entry'!$R$6:$R$200,'Summary Data'!$A99,'Data entry'!$B$6:$B$200,{"Confirmed";"Probable"},'Data entry'!$AQ$6:$AQ$200,'Data Validation'!$V$10, 'Data entry'!$AP$6:$AP$200,'Data Validation'!$U$5, 'Data entry'!$BD$6:$BD$200,"&lt;&gt;*Negative*"))</f>
        <v>0</v>
      </c>
      <c r="BX99" s="15">
        <f>SUM(COUNTIFS('Data entry'!$R$6:$R$200,'Summary Data'!$A99,'Data entry'!$B$6:$B$200,{"Confirmed";"Probable"},'Data entry'!$AQ$6:$AQ$200,'Data Validation'!$V$10, 'Data entry'!$AP$6:$AP$200,'Data Validation'!$U$6, 'Data entry'!$BD$6:$BD$200,"&lt;&gt;*Negative*"))</f>
        <v>0</v>
      </c>
      <c r="BY99" s="15">
        <f>SUM(COUNTIFS('Data entry'!$R$6:$R$200,'Summary Data'!$A99,'Data entry'!$B$6:$B$200,{"Confirmed";"Probable"},'Data entry'!$AQ$6:$AQ$200,'Data Validation'!$V$11, 'Data entry'!$AP$6:$AP$200,'Data Validation'!$U$2, 'Data entry'!$BD$6:$BD$200,"&lt;&gt;*Negative*"))</f>
        <v>0</v>
      </c>
      <c r="BZ99" s="15">
        <f>SUM(COUNTIFS('Data entry'!$R$6:$R$200,'Summary Data'!$A99,'Data entry'!$B$6:$B$200,{"Confirmed";"Probable"},'Data entry'!$AQ$6:$AQ$200,'Data Validation'!$V$11, 'Data entry'!$AP$6:$AP$200,'Data Validation'!$U$3, 'Data entry'!$BD$6:$BD$200,"&lt;&gt;*Negative*"))</f>
        <v>0</v>
      </c>
      <c r="CA99" s="15">
        <f>SUM(COUNTIFS('Data entry'!$R$6:$R$200,'Summary Data'!$A99,'Data entry'!$B$6:$B$200,{"Confirmed";"Probable"},'Data entry'!$AQ$6:$AQ$200,'Data Validation'!$V$11, 'Data entry'!$AP$6:$AP$200,'Data Validation'!$U$4, 'Data entry'!$BD$6:$BD$200,"&lt;&gt;*Negative*"))</f>
        <v>0</v>
      </c>
      <c r="CB99" s="15">
        <f>SUM(COUNTIFS('Data entry'!$R$6:$R$200,'Summary Data'!$A99,'Data entry'!$B$6:$B$200,{"Confirmed";"Probable"},'Data entry'!$AQ$6:$AQ$200,'Data Validation'!$V$11, 'Data entry'!$AP$6:$AP$200,'Data Validation'!$U$5, 'Data entry'!$BD$6:$BD$200,"&lt;&gt;*Negative*"))</f>
        <v>0</v>
      </c>
      <c r="CC99" s="15">
        <f>SUM(COUNTIFS('Data entry'!$R$6:$R$200,'Summary Data'!$A99,'Data entry'!$B$6:$B$200,{"Confirmed";"Probable"},'Data entry'!$AQ$6:$AQ$200,'Data Validation'!$V$11, 'Data entry'!$AP$6:$AP$200,'Data Validation'!$U$6, 'Data entry'!$BD$6:$BD$200,"&lt;&gt;*Negative*"))</f>
        <v>0</v>
      </c>
    </row>
    <row r="100" spans="1:81" x14ac:dyDescent="0.25">
      <c r="A100" s="12">
        <f t="shared" si="9"/>
        <v>88</v>
      </c>
      <c r="B100" s="13">
        <f t="shared" si="6"/>
        <v>0</v>
      </c>
      <c r="C100" s="13">
        <f>COUNTIFS('Data entry'!$R$6:$R$200,$A100,'Data entry'!$B$6:$B$200,"Confirmed",'Data entry'!$BD$6:$BD$200,"&lt;&gt;*Negative*")</f>
        <v>0</v>
      </c>
      <c r="D100" s="13">
        <f>COUNTIFS('Data entry'!$R$6:$R$200,$A100,'Data entry'!$B$6:$B$200,"Probable",'Data entry'!$BD$6:$BD$200,"&lt;&gt;*Negative*")</f>
        <v>0</v>
      </c>
      <c r="E100" s="13">
        <f>COUNTIFS('Data entry'!$R$6:$R$200,$A100,'Data entry'!$B$6:$B$200,"DNM")</f>
        <v>0</v>
      </c>
      <c r="F100" s="13">
        <f>SUM(COUNTIFS('Data entry'!$R$6:$R$200,'Summary Data'!$A100,'Data entry'!$B$6:$B$200,{"Confirmed";"Probable"},'Data entry'!$AO$6:$AO$200,$F$10, 'Data entry'!$BD$6:$BD$200,"&lt;&gt;*Negative*"))</f>
        <v>0</v>
      </c>
      <c r="G100" s="13">
        <f>SUM(COUNTIFS('Data entry'!$R$6:$R$200,'Summary Data'!$A100,'Data entry'!$B$6:$B$200,{"Confirmed";"Probable"},'Data entry'!$AO$6:$AO$200,$G$10, 'Data entry'!$BD$6:$BD$200,"&lt;&gt;*Negative*"))</f>
        <v>0</v>
      </c>
      <c r="H100" s="13">
        <f>SUM(COUNTIFS('Data entry'!$R$6:$R$200,'Summary Data'!$A100,'Data entry'!$B$6:$B$200,{"Confirmed";"Probable"},'Data entry'!$AO$6:$AO$200,$H$10, 'Data entry'!$BD$6:$BD$200,"&lt;&gt;*Negative*"))</f>
        <v>0</v>
      </c>
      <c r="I100" s="13">
        <f>SUM(COUNTIFS('Data entry'!$R$6:$R$200,'Summary Data'!$A100,'Data entry'!$B$6:$B$200,{"Confirmed";"Probable"},'Data entry'!$AO$6:$AO$200,$I$10, 'Data entry'!$BD$6:$BD$200,"&lt;&gt;*Negative*"))</f>
        <v>0</v>
      </c>
      <c r="J100" s="13">
        <f>SUM(COUNTIFS('Data entry'!$R$6:$R$200,'Summary Data'!$A100,'Data entry'!$B$6:$B$200,{"Confirmed";"Probable"},'Data entry'!$AO$6:$AO$200,$J$10, 'Data entry'!$BD$6:$BD$200,"&lt;&gt;*Negative*"))</f>
        <v>0</v>
      </c>
      <c r="K100" s="13">
        <f>SUM(COUNTIFS('Data entry'!$R$6:$R$200,'Summary Data'!$A100,'Data entry'!$B$6:$B$200,{"Confirmed";"Probable"},'Data entry'!$AO$6:$AO$200,$K$10, 'Data entry'!$BD$6:$BD$200,"&lt;&gt;*Negative*"))</f>
        <v>0</v>
      </c>
      <c r="L100" s="13">
        <f>SUM(COUNTIFS('Data entry'!$R$6:$R$200,'Summary Data'!$A100,'Data entry'!$B$6:$B$200,{"Confirmed";"Probable"},'Data entry'!$AO$6:$AO$200,$L$10, 'Data entry'!$BD$6:$BD$200,"&lt;&gt;*Negative*"))</f>
        <v>0</v>
      </c>
      <c r="M100" s="13">
        <f>SUM(COUNTIFS('Data entry'!$R$6:$R$200,'Summary Data'!$A100,'Data entry'!$B$6:$B$200,{"Confirmed";"Probable"},'Data entry'!$AO$6:$AO$200,$M$10, 'Data entry'!$BD$6:$BD$200,"&lt;&gt;*Negative*"))</f>
        <v>0</v>
      </c>
      <c r="N100" s="13">
        <f>SUM(COUNTIFS('Data entry'!$R$6:$R$200,'Summary Data'!$A100,'Data entry'!$B$6:$B$200,{"Confirmed";"Probable"},'Data entry'!$AO$6:$AO$200,$N$10, 'Data entry'!$BD$6:$BD$200,"&lt;&gt;*Negative*"))</f>
        <v>0</v>
      </c>
      <c r="O100" s="15">
        <f t="shared" si="7"/>
        <v>0</v>
      </c>
      <c r="P100" s="15">
        <f t="shared" si="8"/>
        <v>0</v>
      </c>
      <c r="Q100" s="15">
        <f>SUM(COUNTIFS('Data entry'!$R$6:$R$200,'Summary Data'!$A100,'Data entry'!$B$6:$B$200,{"Confirmed";"Probable"},'Data entry'!$AP$6:$AP$200,'Data Validation'!$U$2, 'Data entry'!$BD$6:$BD$200,"&lt;&gt;*Negative*"))</f>
        <v>0</v>
      </c>
      <c r="R100" s="15">
        <f>SUM(COUNTIFS('Data entry'!$R$6:$R$200,'Summary Data'!$A100,'Data entry'!$B$6:$B$200,{"Confirmed";"Probable"},'Data entry'!$AP$6:$AP$200,'Data Validation'!$U$3, 'Data entry'!$BD$6:$BD$200,"&lt;&gt;*Negative*"))</f>
        <v>0</v>
      </c>
      <c r="S100" s="15">
        <f>SUM(COUNTIFS('Data entry'!$R$6:$R$200,'Summary Data'!$A100,'Data entry'!$B$6:$B$200,{"Confirmed";"Probable"},'Data entry'!$AP$6:$AP$200,'Data Validation'!$U$4, 'Data entry'!$BD$6:$BD$200,"&lt;&gt;*Negative*"))</f>
        <v>0</v>
      </c>
      <c r="T100" s="15">
        <f>SUM(COUNTIFS('Data entry'!$R$6:$R$200,'Summary Data'!$A100,'Data entry'!$B$6:$B$200,{"Confirmed";"Probable"},'Data entry'!$AP$6:$AP$200,'Data Validation'!$U$5, 'Data entry'!$BD$6:$BD$200,"&lt;&gt;*Negative*"))</f>
        <v>0</v>
      </c>
      <c r="U100" s="15">
        <f>SUM(COUNTIFS('Data entry'!$R$6:$R$200,'Summary Data'!$A100,'Data entry'!$B$6:$B$200,{"Confirmed";"Probable"},'Data entry'!$AP$6:$AP$200,'Data Validation'!$U$6, 'Data entry'!$BD$6:$BD$200,"&lt;&gt;*Negative*"))</f>
        <v>0</v>
      </c>
      <c r="V100" s="15">
        <f>SUM(COUNTIFS('Data entry'!$R$6:$R$200,'Summary Data'!$A100,'Data entry'!$B$6:$B$200,{"Confirmed";"Probable"},'Data entry'!$AQ$6:$AQ$200,'Data Validation'!$V$2, 'Data entry'!$BD$6:$BD$200,"&lt;&gt;*Negative*"))</f>
        <v>0</v>
      </c>
      <c r="W100" s="15">
        <f>SUM(COUNTIFS('Data entry'!$R$6:$R$200,'Summary Data'!$A100,'Data entry'!$B$6:$B$200,{"Confirmed";"Probable"},'Data entry'!$AQ$6:$AQ$200,'Data Validation'!$V$3, 'Data entry'!$BD$6:$BD$200,"&lt;&gt;*Negative*"))</f>
        <v>0</v>
      </c>
      <c r="X100" s="15">
        <f>SUM(COUNTIFS('Data entry'!$R$6:$R$200,'Summary Data'!$A100,'Data entry'!$B$6:$B$200,{"Confirmed";"Probable"},'Data entry'!$AQ$6:$AQ$200,'Data Validation'!$V$4, 'Data entry'!$BD$6:$BD$200,"&lt;&gt;*Negative*"))</f>
        <v>0</v>
      </c>
      <c r="Y100" s="15">
        <f>SUM(COUNTIFS('Data entry'!$R$6:$R$200,'Summary Data'!$A100,'Data entry'!$B$6:$B$200,{"Confirmed";"Probable"},'Data entry'!$AQ$6:$AQ$200,'Data Validation'!$V$5, 'Data entry'!$BD$6:$BD$200,"&lt;&gt;*Negative*"))</f>
        <v>0</v>
      </c>
      <c r="Z100" s="15">
        <f>SUM(COUNTIFS('Data entry'!$R$6:$R$200,'Summary Data'!$A100,'Data entry'!$B$6:$B$200,{"Confirmed";"Probable"},'Data entry'!$AQ$6:$AQ$200,'Data Validation'!$V$6, 'Data entry'!$BD$6:$BD$200,"&lt;&gt;*Negative*"))</f>
        <v>0</v>
      </c>
      <c r="AA100" s="15">
        <f>SUM(COUNTIFS('Data entry'!$R$6:$R$200,'Summary Data'!$A100,'Data entry'!$B$6:$B$200,{"Confirmed";"Probable"},'Data entry'!$AQ$6:$AQ$200,'Data Validation'!$V$7, 'Data entry'!$BD$6:$BD$200,"&lt;&gt;*Negative*"))</f>
        <v>0</v>
      </c>
      <c r="AB100" s="15">
        <f>SUM(COUNTIFS('Data entry'!$R$6:$R$200,'Summary Data'!$A100,'Data entry'!$B$6:$B$200,{"Confirmed";"Probable"},'Data entry'!$AQ$6:$AQ$200,'Data Validation'!$V$8, 'Data entry'!$BD$6:$BD$200,"&lt;&gt;*Negative*"))</f>
        <v>0</v>
      </c>
      <c r="AC100" s="15">
        <f>SUM(COUNTIFS('Data entry'!$R$6:$R$200,'Summary Data'!$A100,'Data entry'!$B$6:$B$200,{"Confirmed";"Probable"},'Data entry'!$AQ$6:$AQ$200,'Data Validation'!$V$9, 'Data entry'!$BD$6:$BD$200,"&lt;&gt;*Negative*"))</f>
        <v>0</v>
      </c>
      <c r="AD100" s="15">
        <f>SUM(COUNTIFS('Data entry'!$R$6:$R$200,'Summary Data'!$A100,'Data entry'!$B$6:$B$200,{"Confirmed";"Probable"},'Data entry'!$AQ$6:$AQ$200,'Data Validation'!$V$10, 'Data entry'!$BD$6:$BD$200,"&lt;&gt;*Negative*"))</f>
        <v>0</v>
      </c>
      <c r="AE100" s="15">
        <f>SUM(COUNTIFS('Data entry'!$R$6:$R$200,'Summary Data'!$A100,'Data entry'!$B$6:$B$200,{"Confirmed";"Probable"},'Data entry'!$AQ$6:$AQ$200,'Data Validation'!$V$11, 'Data entry'!$BD$6:$BD$200,"&lt;&gt;*Negative*"))</f>
        <v>0</v>
      </c>
      <c r="AF100" s="15">
        <f>SUM(COUNTIFS('Data entry'!$R$6:$R$200,'Summary Data'!$A100,'Data entry'!$B$6:$B$200,{"Confirmed";"Probable"},'Data entry'!$AQ$6:$AQ$200,'Data Validation'!$V$2, 'Data entry'!$AP$6:$AP$200,'Data Validation'!$U$2, 'Data entry'!$BD$6:$BD$200,"&lt;&gt;*Negative*"))</f>
        <v>0</v>
      </c>
      <c r="AG100" s="15">
        <f>SUM(COUNTIFS('Data entry'!$R$6:$R$200,'Summary Data'!$A100,'Data entry'!$B$6:$B$200,{"Confirmed";"Probable"},'Data entry'!$AQ$6:$AQ$200,'Data Validation'!$V$2, 'Data entry'!$AP$6:$AP$200,'Data Validation'!$U$3, 'Data entry'!$BD$6:$BD$200,"&lt;&gt;*Negative*"))</f>
        <v>0</v>
      </c>
      <c r="AH100" s="15">
        <f>SUM(COUNTIFS('Data entry'!$R$6:$R$200,'Summary Data'!$A100,'Data entry'!$B$6:$B$200,{"Confirmed";"Probable"},'Data entry'!$AQ$6:$AQ$200,'Data Validation'!$V$2, 'Data entry'!$AP$6:$AP$200,'Data Validation'!$U$4, 'Data entry'!$BD$6:$BD$200,"&lt;&gt;*Negative*"))</f>
        <v>0</v>
      </c>
      <c r="AI100" s="15">
        <f>SUM(COUNTIFS('Data entry'!$R$6:$R$200,'Summary Data'!$A100,'Data entry'!$B$6:$B$200,{"Confirmed";"Probable"},'Data entry'!$AQ$6:$AQ$200,'Data Validation'!$V$2, 'Data entry'!$AP$6:$AP$200,'Data Validation'!$U$5, 'Data entry'!$BD$6:$BD$200,"&lt;&gt;*Negative*"))</f>
        <v>0</v>
      </c>
      <c r="AJ100" s="15">
        <f>SUM(COUNTIFS('Data entry'!$R$6:$R$200,'Summary Data'!$A100,'Data entry'!$B$6:$B$200,{"Confirmed";"Probable"},'Data entry'!$AQ$6:$AQ$200,'Data Validation'!$V$2, 'Data entry'!$AP$6:$AP$200,'Data Validation'!$U$6, 'Data entry'!$BD$6:$BD$200,"&lt;&gt;*Negative*"))</f>
        <v>0</v>
      </c>
      <c r="AK100" s="15">
        <f>SUM(COUNTIFS('Data entry'!$R$6:$R$200,'Summary Data'!$A100,'Data entry'!$B$6:$B$200,{"Confirmed";"Probable"},'Data entry'!$AQ$6:$AQ$200,'Data Validation'!$V$3, 'Data entry'!$AP$6:$AP$200,'Data Validation'!$U$2, 'Data entry'!$BD$6:$BD$200,"&lt;&gt;*Negative*"))</f>
        <v>0</v>
      </c>
      <c r="AL100" s="15">
        <f>SUM(COUNTIFS('Data entry'!$R$6:$R$200,'Summary Data'!$A100,'Data entry'!$B$6:$B$200,{"Confirmed";"Probable"},'Data entry'!$AQ$6:$AQ$200,'Data Validation'!$V$3, 'Data entry'!$AP$6:$AP$200,'Data Validation'!$U$3, 'Data entry'!$BD$6:$BD$200,"&lt;&gt;*Negative*"))</f>
        <v>0</v>
      </c>
      <c r="AM100" s="15">
        <f>SUM(COUNTIFS('Data entry'!$R$6:$R$200,'Summary Data'!$A100,'Data entry'!$B$6:$B$200,{"Confirmed";"Probable"},'Data entry'!$AQ$6:$AQ$200,'Data Validation'!$V$3, 'Data entry'!$AP$6:$AP$200,'Data Validation'!$U$4, 'Data entry'!$BD$6:$BD$200,"&lt;&gt;*Negative*"))</f>
        <v>0</v>
      </c>
      <c r="AN100" s="15">
        <f>SUM(COUNTIFS('Data entry'!$R$6:$R$200,'Summary Data'!$A100,'Data entry'!$B$6:$B$200,{"Confirmed";"Probable"},'Data entry'!$AQ$6:$AQ$200,'Data Validation'!$V$3, 'Data entry'!$AP$6:$AP$200,'Data Validation'!$U$5, 'Data entry'!$BD$6:$BD$200,"&lt;&gt;*Negative*"))</f>
        <v>0</v>
      </c>
      <c r="AO100" s="15">
        <f>SUM(COUNTIFS('Data entry'!$R$6:$R$200,'Summary Data'!$A100,'Data entry'!$B$6:$B$200,{"Confirmed";"Probable"},'Data entry'!$AQ$6:$AQ$200,'Data Validation'!$V$3, 'Data entry'!$AP$6:$AP$200,'Data Validation'!$U$6, 'Data entry'!$BD$6:$BD$200,"&lt;&gt;*Negative*"))</f>
        <v>0</v>
      </c>
      <c r="AP100" s="15">
        <f>SUM(COUNTIFS('Data entry'!$R$6:$R$200,'Summary Data'!$A100,'Data entry'!$B$6:$B$200,{"Confirmed";"Probable"},'Data entry'!$AQ$6:$AQ$200,'Data Validation'!$V$4, 'Data entry'!$AP$6:$AP$200,'Data Validation'!$U$2, 'Data entry'!$BD$6:$BD$200,"&lt;&gt;*Negative*"))</f>
        <v>0</v>
      </c>
      <c r="AQ100" s="15">
        <f>SUM(COUNTIFS('Data entry'!$R$6:$R$200,'Summary Data'!$A100,'Data entry'!$B$6:$B$200,{"Confirmed";"Probable"},'Data entry'!$AQ$6:$AQ$200,'Data Validation'!$V$4, 'Data entry'!$AP$6:$AP$200,'Data Validation'!$U$3, 'Data entry'!$BD$6:$BD$200,"&lt;&gt;*Negative*"))</f>
        <v>0</v>
      </c>
      <c r="AR100" s="15">
        <f>SUM(COUNTIFS('Data entry'!$R$6:$R$200,'Summary Data'!$A100,'Data entry'!$B$6:$B$200,{"Confirmed";"Probable"},'Data entry'!$AQ$6:$AQ$200,'Data Validation'!$V$4, 'Data entry'!$AP$6:$AP$200,'Data Validation'!$U$4, 'Data entry'!$BD$6:$BD$200,"&lt;&gt;*Negative*"))</f>
        <v>0</v>
      </c>
      <c r="AS100" s="15">
        <f>SUM(COUNTIFS('Data entry'!$R$6:$R$200,'Summary Data'!$A100,'Data entry'!$B$6:$B$200,{"Confirmed";"Probable"},'Data entry'!$AQ$6:$AQ$200,'Data Validation'!$V$4, 'Data entry'!$AP$6:$AP$200,'Data Validation'!$U$5, 'Data entry'!$BD$6:$BD$200,"&lt;&gt;*Negative*"))</f>
        <v>0</v>
      </c>
      <c r="AT100" s="15">
        <f>SUM(COUNTIFS('Data entry'!$R$6:$R$200,'Summary Data'!$A100,'Data entry'!$B$6:$B$200,{"Confirmed";"Probable"},'Data entry'!$AQ$6:$AQ$200,'Data Validation'!$V$4, 'Data entry'!$AP$6:$AP$200,'Data Validation'!$U$6, 'Data entry'!$BD$6:$BD$200,"&lt;&gt;*Negative*"))</f>
        <v>0</v>
      </c>
      <c r="AU100" s="15">
        <f>SUM(COUNTIFS('Data entry'!$R$6:$R$200,'Summary Data'!$A100,'Data entry'!$B$6:$B$200,{"Confirmed";"Probable"},'Data entry'!$AQ$6:$AQ$200,'Data Validation'!$V$5, 'Data entry'!$AP$6:$AP$200,'Data Validation'!$U$2, 'Data entry'!$BD$6:$BD$200,"&lt;&gt;*Negative*"))</f>
        <v>0</v>
      </c>
      <c r="AV100" s="15">
        <f>SUM(COUNTIFS('Data entry'!$R$6:$R$200,'Summary Data'!$A100,'Data entry'!$B$6:$B$200,{"Confirmed";"Probable"},'Data entry'!$AQ$6:$AQ$200,'Data Validation'!$V$5, 'Data entry'!$AP$6:$AP$200,'Data Validation'!$U$3, 'Data entry'!$BD$6:$BD$200,"&lt;&gt;*Negative*"))</f>
        <v>0</v>
      </c>
      <c r="AW100" s="15">
        <f>SUM(COUNTIFS('Data entry'!$R$6:$R$200,'Summary Data'!$A100,'Data entry'!$B$6:$B$200,{"Confirmed";"Probable"},'Data entry'!$AQ$6:$AQ$200,'Data Validation'!$V$5, 'Data entry'!$AP$6:$AP$200,'Data Validation'!$U$4, 'Data entry'!$BD$6:$BD$200,"&lt;&gt;*Negative*"))</f>
        <v>0</v>
      </c>
      <c r="AX100" s="15">
        <f>SUM(COUNTIFS('Data entry'!$R$6:$R$200,'Summary Data'!$A100,'Data entry'!$B$6:$B$200,{"Confirmed";"Probable"},'Data entry'!$AQ$6:$AQ$200,'Data Validation'!$V$5, 'Data entry'!$AP$6:$AP$200,'Data Validation'!$U$5, 'Data entry'!$BD$6:$BD$200,"&lt;&gt;*Negative*"))</f>
        <v>0</v>
      </c>
      <c r="AY100" s="15">
        <f>SUM(COUNTIFS('Data entry'!$R$6:$R$200,'Summary Data'!$A100,'Data entry'!$B$6:$B$200,{"Confirmed";"Probable"},'Data entry'!$AQ$6:$AQ$200,'Data Validation'!$V$5, 'Data entry'!$AP$6:$AP$200,'Data Validation'!$U$6, 'Data entry'!$BD$6:$BD$200,"&lt;&gt;*Negative*"))</f>
        <v>0</v>
      </c>
      <c r="AZ100" s="15">
        <f>SUM(COUNTIFS('Data entry'!$R$6:$R$200,'Summary Data'!$A100,'Data entry'!$B$6:$B$200,{"Confirmed";"Probable"},'Data entry'!$AQ$6:$AQ$200,'Data Validation'!$V$6, 'Data entry'!$AP$6:$AP$200,'Data Validation'!$U$2, 'Data entry'!$BD$6:$BD$200,"&lt;&gt;*Negative*"))</f>
        <v>0</v>
      </c>
      <c r="BA100" s="15">
        <f>SUM(COUNTIFS('Data entry'!$R$6:$R$200,'Summary Data'!$A100,'Data entry'!$B$6:$B$200,{"Confirmed";"Probable"},'Data entry'!$AQ$6:$AQ$200,'Data Validation'!$V$6, 'Data entry'!$AP$6:$AP$200,'Data Validation'!$U$3, 'Data entry'!$BD$6:$BD$200,"&lt;&gt;*Negative*"))</f>
        <v>0</v>
      </c>
      <c r="BB100" s="15">
        <f>SUM(COUNTIFS('Data entry'!$R$6:$R$200,'Summary Data'!$A100,'Data entry'!$B$6:$B$200,{"Confirmed";"Probable"},'Data entry'!$AQ$6:$AQ$200,'Data Validation'!$V$6, 'Data entry'!$AP$6:$AP$200,'Data Validation'!$U$4, 'Data entry'!$BD$6:$BD$200,"&lt;&gt;*Negative*"))</f>
        <v>0</v>
      </c>
      <c r="BC100" s="15">
        <f>SUM(COUNTIFS('Data entry'!$R$6:$R$200,'Summary Data'!$A100,'Data entry'!$B$6:$B$200,{"Confirmed";"Probable"},'Data entry'!$AQ$6:$AQ$200,'Data Validation'!$V$6, 'Data entry'!$AP$6:$AP$200,'Data Validation'!$U$5, 'Data entry'!$BD$6:$BD$200,"&lt;&gt;*Negative*"))</f>
        <v>0</v>
      </c>
      <c r="BD100" s="15">
        <f>SUM(COUNTIFS('Data entry'!$R$6:$R$200,'Summary Data'!$A100,'Data entry'!$B$6:$B$200,{"Confirmed";"Probable"},'Data entry'!$AQ$6:$AQ$200,'Data Validation'!$V$6, 'Data entry'!$AP$6:$AP$200,'Data Validation'!$U$6, 'Data entry'!$BD$6:$BD$200,"&lt;&gt;*Negative*"))</f>
        <v>0</v>
      </c>
      <c r="BE100" s="15">
        <f>SUM(COUNTIFS('Data entry'!$R$6:$R$200,'Summary Data'!$A100,'Data entry'!$B$6:$B$200,{"Confirmed";"Probable"},'Data entry'!$AQ$6:$AQ$200,'Data Validation'!$V$7, 'Data entry'!$AP$6:$AP$200,'Data Validation'!$U$2, 'Data entry'!$BD$6:$BD$200,"&lt;&gt;*Negative*"))</f>
        <v>0</v>
      </c>
      <c r="BF100" s="15">
        <f>SUM(COUNTIFS('Data entry'!$R$6:$R$200,'Summary Data'!$A100,'Data entry'!$B$6:$B$200,{"Confirmed";"Probable"},'Data entry'!$AQ$6:$AQ$200,'Data Validation'!$V$7, 'Data entry'!$AP$6:$AP$200,'Data Validation'!$U$3, 'Data entry'!$BD$6:$BD$200,"&lt;&gt;*Negative*"))</f>
        <v>0</v>
      </c>
      <c r="BG100" s="15">
        <f>SUM(COUNTIFS('Data entry'!$R$6:$R$200,'Summary Data'!$A100,'Data entry'!$B$6:$B$200,{"Confirmed";"Probable"},'Data entry'!$AQ$6:$AQ$200,'Data Validation'!$V$7, 'Data entry'!$AP$6:$AP$200,'Data Validation'!$U$4, 'Data entry'!$BD$6:$BD$200,"&lt;&gt;*Negative*"))</f>
        <v>0</v>
      </c>
      <c r="BH100" s="15">
        <f>SUM(COUNTIFS('Data entry'!$R$6:$R$200,'Summary Data'!$A100,'Data entry'!$B$6:$B$200,{"Confirmed";"Probable"},'Data entry'!$AQ$6:$AQ$200,'Data Validation'!$V$7, 'Data entry'!$AP$6:$AP$200,'Data Validation'!$U$5, 'Data entry'!$BD$6:$BD$200,"&lt;&gt;*Negative*"))</f>
        <v>0</v>
      </c>
      <c r="BI100" s="15">
        <f>SUM(COUNTIFS('Data entry'!$R$6:$R$200,'Summary Data'!$A100,'Data entry'!$B$6:$B$200,{"Confirmed";"Probable"},'Data entry'!$AQ$6:$AQ$200,'Data Validation'!$V$7, 'Data entry'!$AP$6:$AP$200,'Data Validation'!$U$6, 'Data entry'!$BD$6:$BD$200,"&lt;&gt;*Negative*"))</f>
        <v>0</v>
      </c>
      <c r="BJ100" s="15">
        <f>SUM(COUNTIFS('Data entry'!$R$6:$R$200,'Summary Data'!$A100,'Data entry'!$B$6:$B$200,{"Confirmed";"Probable"},'Data entry'!$AQ$6:$AQ$200,'Data Validation'!$V$8, 'Data entry'!$AP$6:$AP$200,'Data Validation'!$U$2, 'Data entry'!$BD$6:$BD$200,"&lt;&gt;*Negative*"))</f>
        <v>0</v>
      </c>
      <c r="BK100" s="15">
        <f>SUM(COUNTIFS('Data entry'!$R$6:$R$200,'Summary Data'!$A100,'Data entry'!$B$6:$B$200,{"Confirmed";"Probable"},'Data entry'!$AQ$6:$AQ$200,'Data Validation'!$V$8, 'Data entry'!$AP$6:$AP$200,'Data Validation'!$U$3, 'Data entry'!$BD$6:$BD$200,"&lt;&gt;*Negative*"))</f>
        <v>0</v>
      </c>
      <c r="BL100" s="15">
        <f>SUM(COUNTIFS('Data entry'!$R$6:$R$200,'Summary Data'!$A100,'Data entry'!$B$6:$B$200,{"Confirmed";"Probable"},'Data entry'!$AQ$6:$AQ$200,'Data Validation'!$V$8, 'Data entry'!$AP$6:$AP$200,'Data Validation'!$U$4, 'Data entry'!$BD$6:$BD$200,"&lt;&gt;*Negative*"))</f>
        <v>0</v>
      </c>
      <c r="BM100" s="15">
        <f>SUM(COUNTIFS('Data entry'!$R$6:$R$200,'Summary Data'!$A100,'Data entry'!$B$6:$B$200,{"Confirmed";"Probable"},'Data entry'!$AQ$6:$AQ$200,'Data Validation'!$V$8, 'Data entry'!$AP$6:$AP$200,'Data Validation'!$U$5, 'Data entry'!$BD$6:$BD$200,"&lt;&gt;*Negative*"))</f>
        <v>0</v>
      </c>
      <c r="BN100" s="15">
        <f>SUM(COUNTIFS('Data entry'!$R$6:$R$200,'Summary Data'!$A100,'Data entry'!$B$6:$B$200,{"Confirmed";"Probable"},'Data entry'!$AQ$6:$AQ$200,'Data Validation'!$V$8, 'Data entry'!$AP$6:$AP$200,'Data Validation'!$U$6, 'Data entry'!$BD$6:$BD$200,"&lt;&gt;*Negative*"))</f>
        <v>0</v>
      </c>
      <c r="BO100" s="15">
        <f>SUM(COUNTIFS('Data entry'!$R$6:$R$200,'Summary Data'!$A100,'Data entry'!$B$6:$B$200,{"Confirmed";"Probable"},'Data entry'!$AQ$6:$AQ$200,'Data Validation'!$V$9, 'Data entry'!$AP$6:$AP$200,'Data Validation'!$U$2, 'Data entry'!$BD$6:$BD$200,"&lt;&gt;*Negative*"))</f>
        <v>0</v>
      </c>
      <c r="BP100" s="15">
        <f>SUM(COUNTIFS('Data entry'!$R$6:$R$200,'Summary Data'!$A100,'Data entry'!$B$6:$B$200,{"Confirmed";"Probable"},'Data entry'!$AQ$6:$AQ$200,'Data Validation'!$V$9, 'Data entry'!$AP$6:$AP$200,'Data Validation'!$U$3, 'Data entry'!$BD$6:$BD$200,"&lt;&gt;*Negative*"))</f>
        <v>0</v>
      </c>
      <c r="BQ100" s="15">
        <f>SUM(COUNTIFS('Data entry'!$R$6:$R$200,'Summary Data'!$A100,'Data entry'!$B$6:$B$200,{"Confirmed";"Probable"},'Data entry'!$AQ$6:$AQ$200,'Data Validation'!$V$9, 'Data entry'!$AP$6:$AP$200,'Data Validation'!$U$4, 'Data entry'!$BD$6:$BD$200,"&lt;&gt;*Negative*"))</f>
        <v>0</v>
      </c>
      <c r="BR100" s="15">
        <f>SUM(COUNTIFS('Data entry'!$R$6:$R$200,'Summary Data'!$A100,'Data entry'!$B$6:$B$200,{"Confirmed";"Probable"},'Data entry'!$AQ$6:$AQ$200,'Data Validation'!$V$9, 'Data entry'!$AP$6:$AP$200,'Data Validation'!$U$5, 'Data entry'!$BD$6:$BD$200,"&lt;&gt;*Negative*"))</f>
        <v>0</v>
      </c>
      <c r="BS100" s="15">
        <f>SUM(COUNTIFS('Data entry'!$R$6:$R$200,'Summary Data'!$A100,'Data entry'!$B$6:$B$200,{"Confirmed";"Probable"},'Data entry'!$AQ$6:$AQ$200,'Data Validation'!$V$9, 'Data entry'!$AP$6:$AP$200,'Data Validation'!$U$6, 'Data entry'!$BD$6:$BD$200,"&lt;&gt;*Negative*"))</f>
        <v>0</v>
      </c>
      <c r="BT100" s="15">
        <f>SUM(COUNTIFS('Data entry'!$R$6:$R$200,'Summary Data'!$A100,'Data entry'!$B$6:$B$200,{"Confirmed";"Probable"},'Data entry'!$AQ$6:$AQ$200,'Data Validation'!$V$10, 'Data entry'!$AP$6:$AP$200,'Data Validation'!$U$2, 'Data entry'!$BD$6:$BD$200,"&lt;&gt;*Negative*"))</f>
        <v>0</v>
      </c>
      <c r="BU100" s="15">
        <f>SUM(COUNTIFS('Data entry'!$R$6:$R$200,'Summary Data'!$A100,'Data entry'!$B$6:$B$200,{"Confirmed";"Probable"},'Data entry'!$AQ$6:$AQ$200,'Data Validation'!$V$10, 'Data entry'!$AP$6:$AP$200,'Data Validation'!$U$3, 'Data entry'!$BD$6:$BD$200,"&lt;&gt;*Negative*"))</f>
        <v>0</v>
      </c>
      <c r="BV100" s="15">
        <f>SUM(COUNTIFS('Data entry'!$R$6:$R$200,'Summary Data'!$A100,'Data entry'!$B$6:$B$200,{"Confirmed";"Probable"},'Data entry'!$AQ$6:$AQ$200,'Data Validation'!$V$10, 'Data entry'!$AP$6:$AP$200,'Data Validation'!$U$4, 'Data entry'!$BD$6:$BD$200,"&lt;&gt;*Negative*"))</f>
        <v>0</v>
      </c>
      <c r="BW100" s="15">
        <f>SUM(COUNTIFS('Data entry'!$R$6:$R$200,'Summary Data'!$A100,'Data entry'!$B$6:$B$200,{"Confirmed";"Probable"},'Data entry'!$AQ$6:$AQ$200,'Data Validation'!$V$10, 'Data entry'!$AP$6:$AP$200,'Data Validation'!$U$5, 'Data entry'!$BD$6:$BD$200,"&lt;&gt;*Negative*"))</f>
        <v>0</v>
      </c>
      <c r="BX100" s="15">
        <f>SUM(COUNTIFS('Data entry'!$R$6:$R$200,'Summary Data'!$A100,'Data entry'!$B$6:$B$200,{"Confirmed";"Probable"},'Data entry'!$AQ$6:$AQ$200,'Data Validation'!$V$10, 'Data entry'!$AP$6:$AP$200,'Data Validation'!$U$6, 'Data entry'!$BD$6:$BD$200,"&lt;&gt;*Negative*"))</f>
        <v>0</v>
      </c>
      <c r="BY100" s="15">
        <f>SUM(COUNTIFS('Data entry'!$R$6:$R$200,'Summary Data'!$A100,'Data entry'!$B$6:$B$200,{"Confirmed";"Probable"},'Data entry'!$AQ$6:$AQ$200,'Data Validation'!$V$11, 'Data entry'!$AP$6:$AP$200,'Data Validation'!$U$2, 'Data entry'!$BD$6:$BD$200,"&lt;&gt;*Negative*"))</f>
        <v>0</v>
      </c>
      <c r="BZ100" s="15">
        <f>SUM(COUNTIFS('Data entry'!$R$6:$R$200,'Summary Data'!$A100,'Data entry'!$B$6:$B$200,{"Confirmed";"Probable"},'Data entry'!$AQ$6:$AQ$200,'Data Validation'!$V$11, 'Data entry'!$AP$6:$AP$200,'Data Validation'!$U$3, 'Data entry'!$BD$6:$BD$200,"&lt;&gt;*Negative*"))</f>
        <v>0</v>
      </c>
      <c r="CA100" s="15">
        <f>SUM(COUNTIFS('Data entry'!$R$6:$R$200,'Summary Data'!$A100,'Data entry'!$B$6:$B$200,{"Confirmed";"Probable"},'Data entry'!$AQ$6:$AQ$200,'Data Validation'!$V$11, 'Data entry'!$AP$6:$AP$200,'Data Validation'!$U$4, 'Data entry'!$BD$6:$BD$200,"&lt;&gt;*Negative*"))</f>
        <v>0</v>
      </c>
      <c r="CB100" s="15">
        <f>SUM(COUNTIFS('Data entry'!$R$6:$R$200,'Summary Data'!$A100,'Data entry'!$B$6:$B$200,{"Confirmed";"Probable"},'Data entry'!$AQ$6:$AQ$200,'Data Validation'!$V$11, 'Data entry'!$AP$6:$AP$200,'Data Validation'!$U$5, 'Data entry'!$BD$6:$BD$200,"&lt;&gt;*Negative*"))</f>
        <v>0</v>
      </c>
      <c r="CC100" s="15">
        <f>SUM(COUNTIFS('Data entry'!$R$6:$R$200,'Summary Data'!$A100,'Data entry'!$B$6:$B$200,{"Confirmed";"Probable"},'Data entry'!$AQ$6:$AQ$200,'Data Validation'!$V$11, 'Data entry'!$AP$6:$AP$200,'Data Validation'!$U$6, 'Data entry'!$BD$6:$BD$200,"&lt;&gt;*Negative*"))</f>
        <v>0</v>
      </c>
    </row>
    <row r="101" spans="1:81" x14ac:dyDescent="0.25">
      <c r="A101" s="12">
        <f t="shared" si="9"/>
        <v>89</v>
      </c>
      <c r="B101" s="13">
        <f t="shared" si="6"/>
        <v>0</v>
      </c>
      <c r="C101" s="13">
        <f>COUNTIFS('Data entry'!$R$6:$R$200,$A101,'Data entry'!$B$6:$B$200,"Confirmed",'Data entry'!$BD$6:$BD$200,"&lt;&gt;*Negative*")</f>
        <v>0</v>
      </c>
      <c r="D101" s="13">
        <f>COUNTIFS('Data entry'!$R$6:$R$200,$A101,'Data entry'!$B$6:$B$200,"Probable",'Data entry'!$BD$6:$BD$200,"&lt;&gt;*Negative*")</f>
        <v>0</v>
      </c>
      <c r="E101" s="13">
        <f>COUNTIFS('Data entry'!$R$6:$R$200,$A101,'Data entry'!$B$6:$B$200,"DNM")</f>
        <v>0</v>
      </c>
      <c r="F101" s="13">
        <f>SUM(COUNTIFS('Data entry'!$R$6:$R$200,'Summary Data'!$A101,'Data entry'!$B$6:$B$200,{"Confirmed";"Probable"},'Data entry'!$AO$6:$AO$200,$F$10, 'Data entry'!$BD$6:$BD$200,"&lt;&gt;*Negative*"))</f>
        <v>0</v>
      </c>
      <c r="G101" s="13">
        <f>SUM(COUNTIFS('Data entry'!$R$6:$R$200,'Summary Data'!$A101,'Data entry'!$B$6:$B$200,{"Confirmed";"Probable"},'Data entry'!$AO$6:$AO$200,$G$10, 'Data entry'!$BD$6:$BD$200,"&lt;&gt;*Negative*"))</f>
        <v>0</v>
      </c>
      <c r="H101" s="13">
        <f>SUM(COUNTIFS('Data entry'!$R$6:$R$200,'Summary Data'!$A101,'Data entry'!$B$6:$B$200,{"Confirmed";"Probable"},'Data entry'!$AO$6:$AO$200,$H$10, 'Data entry'!$BD$6:$BD$200,"&lt;&gt;*Negative*"))</f>
        <v>0</v>
      </c>
      <c r="I101" s="13">
        <f>SUM(COUNTIFS('Data entry'!$R$6:$R$200,'Summary Data'!$A101,'Data entry'!$B$6:$B$200,{"Confirmed";"Probable"},'Data entry'!$AO$6:$AO$200,$I$10, 'Data entry'!$BD$6:$BD$200,"&lt;&gt;*Negative*"))</f>
        <v>0</v>
      </c>
      <c r="J101" s="13">
        <f>SUM(COUNTIFS('Data entry'!$R$6:$R$200,'Summary Data'!$A101,'Data entry'!$B$6:$B$200,{"Confirmed";"Probable"},'Data entry'!$AO$6:$AO$200,$J$10, 'Data entry'!$BD$6:$BD$200,"&lt;&gt;*Negative*"))</f>
        <v>0</v>
      </c>
      <c r="K101" s="13">
        <f>SUM(COUNTIFS('Data entry'!$R$6:$R$200,'Summary Data'!$A101,'Data entry'!$B$6:$B$200,{"Confirmed";"Probable"},'Data entry'!$AO$6:$AO$200,$K$10, 'Data entry'!$BD$6:$BD$200,"&lt;&gt;*Negative*"))</f>
        <v>0</v>
      </c>
      <c r="L101" s="13">
        <f>SUM(COUNTIFS('Data entry'!$R$6:$R$200,'Summary Data'!$A101,'Data entry'!$B$6:$B$200,{"Confirmed";"Probable"},'Data entry'!$AO$6:$AO$200,$L$10, 'Data entry'!$BD$6:$BD$200,"&lt;&gt;*Negative*"))</f>
        <v>0</v>
      </c>
      <c r="M101" s="13">
        <f>SUM(COUNTIFS('Data entry'!$R$6:$R$200,'Summary Data'!$A101,'Data entry'!$B$6:$B$200,{"Confirmed";"Probable"},'Data entry'!$AO$6:$AO$200,$M$10, 'Data entry'!$BD$6:$BD$200,"&lt;&gt;*Negative*"))</f>
        <v>0</v>
      </c>
      <c r="N101" s="13">
        <f>SUM(COUNTIFS('Data entry'!$R$6:$R$200,'Summary Data'!$A101,'Data entry'!$B$6:$B$200,{"Confirmed";"Probable"},'Data entry'!$AO$6:$AO$200,$N$10, 'Data entry'!$BD$6:$BD$200,"&lt;&gt;*Negative*"))</f>
        <v>0</v>
      </c>
      <c r="O101" s="15">
        <f t="shared" si="7"/>
        <v>0</v>
      </c>
      <c r="P101" s="15">
        <f t="shared" si="8"/>
        <v>0</v>
      </c>
      <c r="Q101" s="15">
        <f>SUM(COUNTIFS('Data entry'!$R$6:$R$200,'Summary Data'!$A101,'Data entry'!$B$6:$B$200,{"Confirmed";"Probable"},'Data entry'!$AP$6:$AP$200,'Data Validation'!$U$2, 'Data entry'!$BD$6:$BD$200,"&lt;&gt;*Negative*"))</f>
        <v>0</v>
      </c>
      <c r="R101" s="15">
        <f>SUM(COUNTIFS('Data entry'!$R$6:$R$200,'Summary Data'!$A101,'Data entry'!$B$6:$B$200,{"Confirmed";"Probable"},'Data entry'!$AP$6:$AP$200,'Data Validation'!$U$3, 'Data entry'!$BD$6:$BD$200,"&lt;&gt;*Negative*"))</f>
        <v>0</v>
      </c>
      <c r="S101" s="15">
        <f>SUM(COUNTIFS('Data entry'!$R$6:$R$200,'Summary Data'!$A101,'Data entry'!$B$6:$B$200,{"Confirmed";"Probable"},'Data entry'!$AP$6:$AP$200,'Data Validation'!$U$4, 'Data entry'!$BD$6:$BD$200,"&lt;&gt;*Negative*"))</f>
        <v>0</v>
      </c>
      <c r="T101" s="15">
        <f>SUM(COUNTIFS('Data entry'!$R$6:$R$200,'Summary Data'!$A101,'Data entry'!$B$6:$B$200,{"Confirmed";"Probable"},'Data entry'!$AP$6:$AP$200,'Data Validation'!$U$5, 'Data entry'!$BD$6:$BD$200,"&lt;&gt;*Negative*"))</f>
        <v>0</v>
      </c>
      <c r="U101" s="15">
        <f>SUM(COUNTIFS('Data entry'!$R$6:$R$200,'Summary Data'!$A101,'Data entry'!$B$6:$B$200,{"Confirmed";"Probable"},'Data entry'!$AP$6:$AP$200,'Data Validation'!$U$6, 'Data entry'!$BD$6:$BD$200,"&lt;&gt;*Negative*"))</f>
        <v>0</v>
      </c>
      <c r="V101" s="15">
        <f>SUM(COUNTIFS('Data entry'!$R$6:$R$200,'Summary Data'!$A101,'Data entry'!$B$6:$B$200,{"Confirmed";"Probable"},'Data entry'!$AQ$6:$AQ$200,'Data Validation'!$V$2, 'Data entry'!$BD$6:$BD$200,"&lt;&gt;*Negative*"))</f>
        <v>0</v>
      </c>
      <c r="W101" s="15">
        <f>SUM(COUNTIFS('Data entry'!$R$6:$R$200,'Summary Data'!$A101,'Data entry'!$B$6:$B$200,{"Confirmed";"Probable"},'Data entry'!$AQ$6:$AQ$200,'Data Validation'!$V$3, 'Data entry'!$BD$6:$BD$200,"&lt;&gt;*Negative*"))</f>
        <v>0</v>
      </c>
      <c r="X101" s="15">
        <f>SUM(COUNTIFS('Data entry'!$R$6:$R$200,'Summary Data'!$A101,'Data entry'!$B$6:$B$200,{"Confirmed";"Probable"},'Data entry'!$AQ$6:$AQ$200,'Data Validation'!$V$4, 'Data entry'!$BD$6:$BD$200,"&lt;&gt;*Negative*"))</f>
        <v>0</v>
      </c>
      <c r="Y101" s="15">
        <f>SUM(COUNTIFS('Data entry'!$R$6:$R$200,'Summary Data'!$A101,'Data entry'!$B$6:$B$200,{"Confirmed";"Probable"},'Data entry'!$AQ$6:$AQ$200,'Data Validation'!$V$5, 'Data entry'!$BD$6:$BD$200,"&lt;&gt;*Negative*"))</f>
        <v>0</v>
      </c>
      <c r="Z101" s="15">
        <f>SUM(COUNTIFS('Data entry'!$R$6:$R$200,'Summary Data'!$A101,'Data entry'!$B$6:$B$200,{"Confirmed";"Probable"},'Data entry'!$AQ$6:$AQ$200,'Data Validation'!$V$6, 'Data entry'!$BD$6:$BD$200,"&lt;&gt;*Negative*"))</f>
        <v>0</v>
      </c>
      <c r="AA101" s="15">
        <f>SUM(COUNTIFS('Data entry'!$R$6:$R$200,'Summary Data'!$A101,'Data entry'!$B$6:$B$200,{"Confirmed";"Probable"},'Data entry'!$AQ$6:$AQ$200,'Data Validation'!$V$7, 'Data entry'!$BD$6:$BD$200,"&lt;&gt;*Negative*"))</f>
        <v>0</v>
      </c>
      <c r="AB101" s="15">
        <f>SUM(COUNTIFS('Data entry'!$R$6:$R$200,'Summary Data'!$A101,'Data entry'!$B$6:$B$200,{"Confirmed";"Probable"},'Data entry'!$AQ$6:$AQ$200,'Data Validation'!$V$8, 'Data entry'!$BD$6:$BD$200,"&lt;&gt;*Negative*"))</f>
        <v>0</v>
      </c>
      <c r="AC101" s="15">
        <f>SUM(COUNTIFS('Data entry'!$R$6:$R$200,'Summary Data'!$A101,'Data entry'!$B$6:$B$200,{"Confirmed";"Probable"},'Data entry'!$AQ$6:$AQ$200,'Data Validation'!$V$9, 'Data entry'!$BD$6:$BD$200,"&lt;&gt;*Negative*"))</f>
        <v>0</v>
      </c>
      <c r="AD101" s="15">
        <f>SUM(COUNTIFS('Data entry'!$R$6:$R$200,'Summary Data'!$A101,'Data entry'!$B$6:$B$200,{"Confirmed";"Probable"},'Data entry'!$AQ$6:$AQ$200,'Data Validation'!$V$10, 'Data entry'!$BD$6:$BD$200,"&lt;&gt;*Negative*"))</f>
        <v>0</v>
      </c>
      <c r="AE101" s="15">
        <f>SUM(COUNTIFS('Data entry'!$R$6:$R$200,'Summary Data'!$A101,'Data entry'!$B$6:$B$200,{"Confirmed";"Probable"},'Data entry'!$AQ$6:$AQ$200,'Data Validation'!$V$11, 'Data entry'!$BD$6:$BD$200,"&lt;&gt;*Negative*"))</f>
        <v>0</v>
      </c>
      <c r="AF101" s="15">
        <f>SUM(COUNTIFS('Data entry'!$R$6:$R$200,'Summary Data'!$A101,'Data entry'!$B$6:$B$200,{"Confirmed";"Probable"},'Data entry'!$AQ$6:$AQ$200,'Data Validation'!$V$2, 'Data entry'!$AP$6:$AP$200,'Data Validation'!$U$2, 'Data entry'!$BD$6:$BD$200,"&lt;&gt;*Negative*"))</f>
        <v>0</v>
      </c>
      <c r="AG101" s="15">
        <f>SUM(COUNTIFS('Data entry'!$R$6:$R$200,'Summary Data'!$A101,'Data entry'!$B$6:$B$200,{"Confirmed";"Probable"},'Data entry'!$AQ$6:$AQ$200,'Data Validation'!$V$2, 'Data entry'!$AP$6:$AP$200,'Data Validation'!$U$3, 'Data entry'!$BD$6:$BD$200,"&lt;&gt;*Negative*"))</f>
        <v>0</v>
      </c>
      <c r="AH101" s="15">
        <f>SUM(COUNTIFS('Data entry'!$R$6:$R$200,'Summary Data'!$A101,'Data entry'!$B$6:$B$200,{"Confirmed";"Probable"},'Data entry'!$AQ$6:$AQ$200,'Data Validation'!$V$2, 'Data entry'!$AP$6:$AP$200,'Data Validation'!$U$4, 'Data entry'!$BD$6:$BD$200,"&lt;&gt;*Negative*"))</f>
        <v>0</v>
      </c>
      <c r="AI101" s="15">
        <f>SUM(COUNTIFS('Data entry'!$R$6:$R$200,'Summary Data'!$A101,'Data entry'!$B$6:$B$200,{"Confirmed";"Probable"},'Data entry'!$AQ$6:$AQ$200,'Data Validation'!$V$2, 'Data entry'!$AP$6:$AP$200,'Data Validation'!$U$5, 'Data entry'!$BD$6:$BD$200,"&lt;&gt;*Negative*"))</f>
        <v>0</v>
      </c>
      <c r="AJ101" s="15">
        <f>SUM(COUNTIFS('Data entry'!$R$6:$R$200,'Summary Data'!$A101,'Data entry'!$B$6:$B$200,{"Confirmed";"Probable"},'Data entry'!$AQ$6:$AQ$200,'Data Validation'!$V$2, 'Data entry'!$AP$6:$AP$200,'Data Validation'!$U$6, 'Data entry'!$BD$6:$BD$200,"&lt;&gt;*Negative*"))</f>
        <v>0</v>
      </c>
      <c r="AK101" s="15">
        <f>SUM(COUNTIFS('Data entry'!$R$6:$R$200,'Summary Data'!$A101,'Data entry'!$B$6:$B$200,{"Confirmed";"Probable"},'Data entry'!$AQ$6:$AQ$200,'Data Validation'!$V$3, 'Data entry'!$AP$6:$AP$200,'Data Validation'!$U$2, 'Data entry'!$BD$6:$BD$200,"&lt;&gt;*Negative*"))</f>
        <v>0</v>
      </c>
      <c r="AL101" s="15">
        <f>SUM(COUNTIFS('Data entry'!$R$6:$R$200,'Summary Data'!$A101,'Data entry'!$B$6:$B$200,{"Confirmed";"Probable"},'Data entry'!$AQ$6:$AQ$200,'Data Validation'!$V$3, 'Data entry'!$AP$6:$AP$200,'Data Validation'!$U$3, 'Data entry'!$BD$6:$BD$200,"&lt;&gt;*Negative*"))</f>
        <v>0</v>
      </c>
      <c r="AM101" s="15">
        <f>SUM(COUNTIFS('Data entry'!$R$6:$R$200,'Summary Data'!$A101,'Data entry'!$B$6:$B$200,{"Confirmed";"Probable"},'Data entry'!$AQ$6:$AQ$200,'Data Validation'!$V$3, 'Data entry'!$AP$6:$AP$200,'Data Validation'!$U$4, 'Data entry'!$BD$6:$BD$200,"&lt;&gt;*Negative*"))</f>
        <v>0</v>
      </c>
      <c r="AN101" s="15">
        <f>SUM(COUNTIFS('Data entry'!$R$6:$R$200,'Summary Data'!$A101,'Data entry'!$B$6:$B$200,{"Confirmed";"Probable"},'Data entry'!$AQ$6:$AQ$200,'Data Validation'!$V$3, 'Data entry'!$AP$6:$AP$200,'Data Validation'!$U$5, 'Data entry'!$BD$6:$BD$200,"&lt;&gt;*Negative*"))</f>
        <v>0</v>
      </c>
      <c r="AO101" s="15">
        <f>SUM(COUNTIFS('Data entry'!$R$6:$R$200,'Summary Data'!$A101,'Data entry'!$B$6:$B$200,{"Confirmed";"Probable"},'Data entry'!$AQ$6:$AQ$200,'Data Validation'!$V$3, 'Data entry'!$AP$6:$AP$200,'Data Validation'!$U$6, 'Data entry'!$BD$6:$BD$200,"&lt;&gt;*Negative*"))</f>
        <v>0</v>
      </c>
      <c r="AP101" s="15">
        <f>SUM(COUNTIFS('Data entry'!$R$6:$R$200,'Summary Data'!$A101,'Data entry'!$B$6:$B$200,{"Confirmed";"Probable"},'Data entry'!$AQ$6:$AQ$200,'Data Validation'!$V$4, 'Data entry'!$AP$6:$AP$200,'Data Validation'!$U$2, 'Data entry'!$BD$6:$BD$200,"&lt;&gt;*Negative*"))</f>
        <v>0</v>
      </c>
      <c r="AQ101" s="15">
        <f>SUM(COUNTIFS('Data entry'!$R$6:$R$200,'Summary Data'!$A101,'Data entry'!$B$6:$B$200,{"Confirmed";"Probable"},'Data entry'!$AQ$6:$AQ$200,'Data Validation'!$V$4, 'Data entry'!$AP$6:$AP$200,'Data Validation'!$U$3, 'Data entry'!$BD$6:$BD$200,"&lt;&gt;*Negative*"))</f>
        <v>0</v>
      </c>
      <c r="AR101" s="15">
        <f>SUM(COUNTIFS('Data entry'!$R$6:$R$200,'Summary Data'!$A101,'Data entry'!$B$6:$B$200,{"Confirmed";"Probable"},'Data entry'!$AQ$6:$AQ$200,'Data Validation'!$V$4, 'Data entry'!$AP$6:$AP$200,'Data Validation'!$U$4, 'Data entry'!$BD$6:$BD$200,"&lt;&gt;*Negative*"))</f>
        <v>0</v>
      </c>
      <c r="AS101" s="15">
        <f>SUM(COUNTIFS('Data entry'!$R$6:$R$200,'Summary Data'!$A101,'Data entry'!$B$6:$B$200,{"Confirmed";"Probable"},'Data entry'!$AQ$6:$AQ$200,'Data Validation'!$V$4, 'Data entry'!$AP$6:$AP$200,'Data Validation'!$U$5, 'Data entry'!$BD$6:$BD$200,"&lt;&gt;*Negative*"))</f>
        <v>0</v>
      </c>
      <c r="AT101" s="15">
        <f>SUM(COUNTIFS('Data entry'!$R$6:$R$200,'Summary Data'!$A101,'Data entry'!$B$6:$B$200,{"Confirmed";"Probable"},'Data entry'!$AQ$6:$AQ$200,'Data Validation'!$V$4, 'Data entry'!$AP$6:$AP$200,'Data Validation'!$U$6, 'Data entry'!$BD$6:$BD$200,"&lt;&gt;*Negative*"))</f>
        <v>0</v>
      </c>
      <c r="AU101" s="15">
        <f>SUM(COUNTIFS('Data entry'!$R$6:$R$200,'Summary Data'!$A101,'Data entry'!$B$6:$B$200,{"Confirmed";"Probable"},'Data entry'!$AQ$6:$AQ$200,'Data Validation'!$V$5, 'Data entry'!$AP$6:$AP$200,'Data Validation'!$U$2, 'Data entry'!$BD$6:$BD$200,"&lt;&gt;*Negative*"))</f>
        <v>0</v>
      </c>
      <c r="AV101" s="15">
        <f>SUM(COUNTIFS('Data entry'!$R$6:$R$200,'Summary Data'!$A101,'Data entry'!$B$6:$B$200,{"Confirmed";"Probable"},'Data entry'!$AQ$6:$AQ$200,'Data Validation'!$V$5, 'Data entry'!$AP$6:$AP$200,'Data Validation'!$U$3, 'Data entry'!$BD$6:$BD$200,"&lt;&gt;*Negative*"))</f>
        <v>0</v>
      </c>
      <c r="AW101" s="15">
        <f>SUM(COUNTIFS('Data entry'!$R$6:$R$200,'Summary Data'!$A101,'Data entry'!$B$6:$B$200,{"Confirmed";"Probable"},'Data entry'!$AQ$6:$AQ$200,'Data Validation'!$V$5, 'Data entry'!$AP$6:$AP$200,'Data Validation'!$U$4, 'Data entry'!$BD$6:$BD$200,"&lt;&gt;*Negative*"))</f>
        <v>0</v>
      </c>
      <c r="AX101" s="15">
        <f>SUM(COUNTIFS('Data entry'!$R$6:$R$200,'Summary Data'!$A101,'Data entry'!$B$6:$B$200,{"Confirmed";"Probable"},'Data entry'!$AQ$6:$AQ$200,'Data Validation'!$V$5, 'Data entry'!$AP$6:$AP$200,'Data Validation'!$U$5, 'Data entry'!$BD$6:$BD$200,"&lt;&gt;*Negative*"))</f>
        <v>0</v>
      </c>
      <c r="AY101" s="15">
        <f>SUM(COUNTIFS('Data entry'!$R$6:$R$200,'Summary Data'!$A101,'Data entry'!$B$6:$B$200,{"Confirmed";"Probable"},'Data entry'!$AQ$6:$AQ$200,'Data Validation'!$V$5, 'Data entry'!$AP$6:$AP$200,'Data Validation'!$U$6, 'Data entry'!$BD$6:$BD$200,"&lt;&gt;*Negative*"))</f>
        <v>0</v>
      </c>
      <c r="AZ101" s="15">
        <f>SUM(COUNTIFS('Data entry'!$R$6:$R$200,'Summary Data'!$A101,'Data entry'!$B$6:$B$200,{"Confirmed";"Probable"},'Data entry'!$AQ$6:$AQ$200,'Data Validation'!$V$6, 'Data entry'!$AP$6:$AP$200,'Data Validation'!$U$2, 'Data entry'!$BD$6:$BD$200,"&lt;&gt;*Negative*"))</f>
        <v>0</v>
      </c>
      <c r="BA101" s="15">
        <f>SUM(COUNTIFS('Data entry'!$R$6:$R$200,'Summary Data'!$A101,'Data entry'!$B$6:$B$200,{"Confirmed";"Probable"},'Data entry'!$AQ$6:$AQ$200,'Data Validation'!$V$6, 'Data entry'!$AP$6:$AP$200,'Data Validation'!$U$3, 'Data entry'!$BD$6:$BD$200,"&lt;&gt;*Negative*"))</f>
        <v>0</v>
      </c>
      <c r="BB101" s="15">
        <f>SUM(COUNTIFS('Data entry'!$R$6:$R$200,'Summary Data'!$A101,'Data entry'!$B$6:$B$200,{"Confirmed";"Probable"},'Data entry'!$AQ$6:$AQ$200,'Data Validation'!$V$6, 'Data entry'!$AP$6:$AP$200,'Data Validation'!$U$4, 'Data entry'!$BD$6:$BD$200,"&lt;&gt;*Negative*"))</f>
        <v>0</v>
      </c>
      <c r="BC101" s="15">
        <f>SUM(COUNTIFS('Data entry'!$R$6:$R$200,'Summary Data'!$A101,'Data entry'!$B$6:$B$200,{"Confirmed";"Probable"},'Data entry'!$AQ$6:$AQ$200,'Data Validation'!$V$6, 'Data entry'!$AP$6:$AP$200,'Data Validation'!$U$5, 'Data entry'!$BD$6:$BD$200,"&lt;&gt;*Negative*"))</f>
        <v>0</v>
      </c>
      <c r="BD101" s="15">
        <f>SUM(COUNTIFS('Data entry'!$R$6:$R$200,'Summary Data'!$A101,'Data entry'!$B$6:$B$200,{"Confirmed";"Probable"},'Data entry'!$AQ$6:$AQ$200,'Data Validation'!$V$6, 'Data entry'!$AP$6:$AP$200,'Data Validation'!$U$6, 'Data entry'!$BD$6:$BD$200,"&lt;&gt;*Negative*"))</f>
        <v>0</v>
      </c>
      <c r="BE101" s="15">
        <f>SUM(COUNTIFS('Data entry'!$R$6:$R$200,'Summary Data'!$A101,'Data entry'!$B$6:$B$200,{"Confirmed";"Probable"},'Data entry'!$AQ$6:$AQ$200,'Data Validation'!$V$7, 'Data entry'!$AP$6:$AP$200,'Data Validation'!$U$2, 'Data entry'!$BD$6:$BD$200,"&lt;&gt;*Negative*"))</f>
        <v>0</v>
      </c>
      <c r="BF101" s="15">
        <f>SUM(COUNTIFS('Data entry'!$R$6:$R$200,'Summary Data'!$A101,'Data entry'!$B$6:$B$200,{"Confirmed";"Probable"},'Data entry'!$AQ$6:$AQ$200,'Data Validation'!$V$7, 'Data entry'!$AP$6:$AP$200,'Data Validation'!$U$3, 'Data entry'!$BD$6:$BD$200,"&lt;&gt;*Negative*"))</f>
        <v>0</v>
      </c>
      <c r="BG101" s="15">
        <f>SUM(COUNTIFS('Data entry'!$R$6:$R$200,'Summary Data'!$A101,'Data entry'!$B$6:$B$200,{"Confirmed";"Probable"},'Data entry'!$AQ$6:$AQ$200,'Data Validation'!$V$7, 'Data entry'!$AP$6:$AP$200,'Data Validation'!$U$4, 'Data entry'!$BD$6:$BD$200,"&lt;&gt;*Negative*"))</f>
        <v>0</v>
      </c>
      <c r="BH101" s="15">
        <f>SUM(COUNTIFS('Data entry'!$R$6:$R$200,'Summary Data'!$A101,'Data entry'!$B$6:$B$200,{"Confirmed";"Probable"},'Data entry'!$AQ$6:$AQ$200,'Data Validation'!$V$7, 'Data entry'!$AP$6:$AP$200,'Data Validation'!$U$5, 'Data entry'!$BD$6:$BD$200,"&lt;&gt;*Negative*"))</f>
        <v>0</v>
      </c>
      <c r="BI101" s="15">
        <f>SUM(COUNTIFS('Data entry'!$R$6:$R$200,'Summary Data'!$A101,'Data entry'!$B$6:$B$200,{"Confirmed";"Probable"},'Data entry'!$AQ$6:$AQ$200,'Data Validation'!$V$7, 'Data entry'!$AP$6:$AP$200,'Data Validation'!$U$6, 'Data entry'!$BD$6:$BD$200,"&lt;&gt;*Negative*"))</f>
        <v>0</v>
      </c>
      <c r="BJ101" s="15">
        <f>SUM(COUNTIFS('Data entry'!$R$6:$R$200,'Summary Data'!$A101,'Data entry'!$B$6:$B$200,{"Confirmed";"Probable"},'Data entry'!$AQ$6:$AQ$200,'Data Validation'!$V$8, 'Data entry'!$AP$6:$AP$200,'Data Validation'!$U$2, 'Data entry'!$BD$6:$BD$200,"&lt;&gt;*Negative*"))</f>
        <v>0</v>
      </c>
      <c r="BK101" s="15">
        <f>SUM(COUNTIFS('Data entry'!$R$6:$R$200,'Summary Data'!$A101,'Data entry'!$B$6:$B$200,{"Confirmed";"Probable"},'Data entry'!$AQ$6:$AQ$200,'Data Validation'!$V$8, 'Data entry'!$AP$6:$AP$200,'Data Validation'!$U$3, 'Data entry'!$BD$6:$BD$200,"&lt;&gt;*Negative*"))</f>
        <v>0</v>
      </c>
      <c r="BL101" s="15">
        <f>SUM(COUNTIFS('Data entry'!$R$6:$R$200,'Summary Data'!$A101,'Data entry'!$B$6:$B$200,{"Confirmed";"Probable"},'Data entry'!$AQ$6:$AQ$200,'Data Validation'!$V$8, 'Data entry'!$AP$6:$AP$200,'Data Validation'!$U$4, 'Data entry'!$BD$6:$BD$200,"&lt;&gt;*Negative*"))</f>
        <v>0</v>
      </c>
      <c r="BM101" s="15">
        <f>SUM(COUNTIFS('Data entry'!$R$6:$R$200,'Summary Data'!$A101,'Data entry'!$B$6:$B$200,{"Confirmed";"Probable"},'Data entry'!$AQ$6:$AQ$200,'Data Validation'!$V$8, 'Data entry'!$AP$6:$AP$200,'Data Validation'!$U$5, 'Data entry'!$BD$6:$BD$200,"&lt;&gt;*Negative*"))</f>
        <v>0</v>
      </c>
      <c r="BN101" s="15">
        <f>SUM(COUNTIFS('Data entry'!$R$6:$R$200,'Summary Data'!$A101,'Data entry'!$B$6:$B$200,{"Confirmed";"Probable"},'Data entry'!$AQ$6:$AQ$200,'Data Validation'!$V$8, 'Data entry'!$AP$6:$AP$200,'Data Validation'!$U$6, 'Data entry'!$BD$6:$BD$200,"&lt;&gt;*Negative*"))</f>
        <v>0</v>
      </c>
      <c r="BO101" s="15">
        <f>SUM(COUNTIFS('Data entry'!$R$6:$R$200,'Summary Data'!$A101,'Data entry'!$B$6:$B$200,{"Confirmed";"Probable"},'Data entry'!$AQ$6:$AQ$200,'Data Validation'!$V$9, 'Data entry'!$AP$6:$AP$200,'Data Validation'!$U$2, 'Data entry'!$BD$6:$BD$200,"&lt;&gt;*Negative*"))</f>
        <v>0</v>
      </c>
      <c r="BP101" s="15">
        <f>SUM(COUNTIFS('Data entry'!$R$6:$R$200,'Summary Data'!$A101,'Data entry'!$B$6:$B$200,{"Confirmed";"Probable"},'Data entry'!$AQ$6:$AQ$200,'Data Validation'!$V$9, 'Data entry'!$AP$6:$AP$200,'Data Validation'!$U$3, 'Data entry'!$BD$6:$BD$200,"&lt;&gt;*Negative*"))</f>
        <v>0</v>
      </c>
      <c r="BQ101" s="15">
        <f>SUM(COUNTIFS('Data entry'!$R$6:$R$200,'Summary Data'!$A101,'Data entry'!$B$6:$B$200,{"Confirmed";"Probable"},'Data entry'!$AQ$6:$AQ$200,'Data Validation'!$V$9, 'Data entry'!$AP$6:$AP$200,'Data Validation'!$U$4, 'Data entry'!$BD$6:$BD$200,"&lt;&gt;*Negative*"))</f>
        <v>0</v>
      </c>
      <c r="BR101" s="15">
        <f>SUM(COUNTIFS('Data entry'!$R$6:$R$200,'Summary Data'!$A101,'Data entry'!$B$6:$B$200,{"Confirmed";"Probable"},'Data entry'!$AQ$6:$AQ$200,'Data Validation'!$V$9, 'Data entry'!$AP$6:$AP$200,'Data Validation'!$U$5, 'Data entry'!$BD$6:$BD$200,"&lt;&gt;*Negative*"))</f>
        <v>0</v>
      </c>
      <c r="BS101" s="15">
        <f>SUM(COUNTIFS('Data entry'!$R$6:$R$200,'Summary Data'!$A101,'Data entry'!$B$6:$B$200,{"Confirmed";"Probable"},'Data entry'!$AQ$6:$AQ$200,'Data Validation'!$V$9, 'Data entry'!$AP$6:$AP$200,'Data Validation'!$U$6, 'Data entry'!$BD$6:$BD$200,"&lt;&gt;*Negative*"))</f>
        <v>0</v>
      </c>
      <c r="BT101" s="15">
        <f>SUM(COUNTIFS('Data entry'!$R$6:$R$200,'Summary Data'!$A101,'Data entry'!$B$6:$B$200,{"Confirmed";"Probable"},'Data entry'!$AQ$6:$AQ$200,'Data Validation'!$V$10, 'Data entry'!$AP$6:$AP$200,'Data Validation'!$U$2, 'Data entry'!$BD$6:$BD$200,"&lt;&gt;*Negative*"))</f>
        <v>0</v>
      </c>
      <c r="BU101" s="15">
        <f>SUM(COUNTIFS('Data entry'!$R$6:$R$200,'Summary Data'!$A101,'Data entry'!$B$6:$B$200,{"Confirmed";"Probable"},'Data entry'!$AQ$6:$AQ$200,'Data Validation'!$V$10, 'Data entry'!$AP$6:$AP$200,'Data Validation'!$U$3, 'Data entry'!$BD$6:$BD$200,"&lt;&gt;*Negative*"))</f>
        <v>0</v>
      </c>
      <c r="BV101" s="15">
        <f>SUM(COUNTIFS('Data entry'!$R$6:$R$200,'Summary Data'!$A101,'Data entry'!$B$6:$B$200,{"Confirmed";"Probable"},'Data entry'!$AQ$6:$AQ$200,'Data Validation'!$V$10, 'Data entry'!$AP$6:$AP$200,'Data Validation'!$U$4, 'Data entry'!$BD$6:$BD$200,"&lt;&gt;*Negative*"))</f>
        <v>0</v>
      </c>
      <c r="BW101" s="15">
        <f>SUM(COUNTIFS('Data entry'!$R$6:$R$200,'Summary Data'!$A101,'Data entry'!$B$6:$B$200,{"Confirmed";"Probable"},'Data entry'!$AQ$6:$AQ$200,'Data Validation'!$V$10, 'Data entry'!$AP$6:$AP$200,'Data Validation'!$U$5, 'Data entry'!$BD$6:$BD$200,"&lt;&gt;*Negative*"))</f>
        <v>0</v>
      </c>
      <c r="BX101" s="15">
        <f>SUM(COUNTIFS('Data entry'!$R$6:$R$200,'Summary Data'!$A101,'Data entry'!$B$6:$B$200,{"Confirmed";"Probable"},'Data entry'!$AQ$6:$AQ$200,'Data Validation'!$V$10, 'Data entry'!$AP$6:$AP$200,'Data Validation'!$U$6, 'Data entry'!$BD$6:$BD$200,"&lt;&gt;*Negative*"))</f>
        <v>0</v>
      </c>
      <c r="BY101" s="15">
        <f>SUM(COUNTIFS('Data entry'!$R$6:$R$200,'Summary Data'!$A101,'Data entry'!$B$6:$B$200,{"Confirmed";"Probable"},'Data entry'!$AQ$6:$AQ$200,'Data Validation'!$V$11, 'Data entry'!$AP$6:$AP$200,'Data Validation'!$U$2, 'Data entry'!$BD$6:$BD$200,"&lt;&gt;*Negative*"))</f>
        <v>0</v>
      </c>
      <c r="BZ101" s="15">
        <f>SUM(COUNTIFS('Data entry'!$R$6:$R$200,'Summary Data'!$A101,'Data entry'!$B$6:$B$200,{"Confirmed";"Probable"},'Data entry'!$AQ$6:$AQ$200,'Data Validation'!$V$11, 'Data entry'!$AP$6:$AP$200,'Data Validation'!$U$3, 'Data entry'!$BD$6:$BD$200,"&lt;&gt;*Negative*"))</f>
        <v>0</v>
      </c>
      <c r="CA101" s="15">
        <f>SUM(COUNTIFS('Data entry'!$R$6:$R$200,'Summary Data'!$A101,'Data entry'!$B$6:$B$200,{"Confirmed";"Probable"},'Data entry'!$AQ$6:$AQ$200,'Data Validation'!$V$11, 'Data entry'!$AP$6:$AP$200,'Data Validation'!$U$4, 'Data entry'!$BD$6:$BD$200,"&lt;&gt;*Negative*"))</f>
        <v>0</v>
      </c>
      <c r="CB101" s="15">
        <f>SUM(COUNTIFS('Data entry'!$R$6:$R$200,'Summary Data'!$A101,'Data entry'!$B$6:$B$200,{"Confirmed";"Probable"},'Data entry'!$AQ$6:$AQ$200,'Data Validation'!$V$11, 'Data entry'!$AP$6:$AP$200,'Data Validation'!$U$5, 'Data entry'!$BD$6:$BD$200,"&lt;&gt;*Negative*"))</f>
        <v>0</v>
      </c>
      <c r="CC101" s="15">
        <f>SUM(COUNTIFS('Data entry'!$R$6:$R$200,'Summary Data'!$A101,'Data entry'!$B$6:$B$200,{"Confirmed";"Probable"},'Data entry'!$AQ$6:$AQ$200,'Data Validation'!$V$11, 'Data entry'!$AP$6:$AP$200,'Data Validation'!$U$6, 'Data entry'!$BD$6:$BD$200,"&lt;&gt;*Negative*"))</f>
        <v>0</v>
      </c>
    </row>
    <row r="102" spans="1:81" x14ac:dyDescent="0.25">
      <c r="A102" s="12">
        <f t="shared" si="9"/>
        <v>90</v>
      </c>
      <c r="B102" s="13">
        <f t="shared" si="6"/>
        <v>0</v>
      </c>
      <c r="C102" s="13">
        <f>COUNTIFS('Data entry'!$R$6:$R$200,$A102,'Data entry'!$B$6:$B$200,"Confirmed",'Data entry'!$BD$6:$BD$200,"&lt;&gt;*Negative*")</f>
        <v>0</v>
      </c>
      <c r="D102" s="13">
        <f>COUNTIFS('Data entry'!$R$6:$R$200,$A102,'Data entry'!$B$6:$B$200,"Probable",'Data entry'!$BD$6:$BD$200,"&lt;&gt;*Negative*")</f>
        <v>0</v>
      </c>
      <c r="E102" s="13">
        <f>COUNTIFS('Data entry'!$R$6:$R$200,$A102,'Data entry'!$B$6:$B$200,"DNM")</f>
        <v>0</v>
      </c>
      <c r="F102" s="13">
        <f>SUM(COUNTIFS('Data entry'!$R$6:$R$200,'Summary Data'!$A102,'Data entry'!$B$6:$B$200,{"Confirmed";"Probable"},'Data entry'!$AO$6:$AO$200,$F$10, 'Data entry'!$BD$6:$BD$200,"&lt;&gt;*Negative*"))</f>
        <v>0</v>
      </c>
      <c r="G102" s="13">
        <f>SUM(COUNTIFS('Data entry'!$R$6:$R$200,'Summary Data'!$A102,'Data entry'!$B$6:$B$200,{"Confirmed";"Probable"},'Data entry'!$AO$6:$AO$200,$G$10, 'Data entry'!$BD$6:$BD$200,"&lt;&gt;*Negative*"))</f>
        <v>0</v>
      </c>
      <c r="H102" s="13">
        <f>SUM(COUNTIFS('Data entry'!$R$6:$R$200,'Summary Data'!$A102,'Data entry'!$B$6:$B$200,{"Confirmed";"Probable"},'Data entry'!$AO$6:$AO$200,$H$10, 'Data entry'!$BD$6:$BD$200,"&lt;&gt;*Negative*"))</f>
        <v>0</v>
      </c>
      <c r="I102" s="13">
        <f>SUM(COUNTIFS('Data entry'!$R$6:$R$200,'Summary Data'!$A102,'Data entry'!$B$6:$B$200,{"Confirmed";"Probable"},'Data entry'!$AO$6:$AO$200,$I$10, 'Data entry'!$BD$6:$BD$200,"&lt;&gt;*Negative*"))</f>
        <v>0</v>
      </c>
      <c r="J102" s="13">
        <f>SUM(COUNTIFS('Data entry'!$R$6:$R$200,'Summary Data'!$A102,'Data entry'!$B$6:$B$200,{"Confirmed";"Probable"},'Data entry'!$AO$6:$AO$200,$J$10, 'Data entry'!$BD$6:$BD$200,"&lt;&gt;*Negative*"))</f>
        <v>0</v>
      </c>
      <c r="K102" s="13">
        <f>SUM(COUNTIFS('Data entry'!$R$6:$R$200,'Summary Data'!$A102,'Data entry'!$B$6:$B$200,{"Confirmed";"Probable"},'Data entry'!$AO$6:$AO$200,$K$10, 'Data entry'!$BD$6:$BD$200,"&lt;&gt;*Negative*"))</f>
        <v>0</v>
      </c>
      <c r="L102" s="13">
        <f>SUM(COUNTIFS('Data entry'!$R$6:$R$200,'Summary Data'!$A102,'Data entry'!$B$6:$B$200,{"Confirmed";"Probable"},'Data entry'!$AO$6:$AO$200,$L$10, 'Data entry'!$BD$6:$BD$200,"&lt;&gt;*Negative*"))</f>
        <v>0</v>
      </c>
      <c r="M102" s="13">
        <f>SUM(COUNTIFS('Data entry'!$R$6:$R$200,'Summary Data'!$A102,'Data entry'!$B$6:$B$200,{"Confirmed";"Probable"},'Data entry'!$AO$6:$AO$200,$M$10, 'Data entry'!$BD$6:$BD$200,"&lt;&gt;*Negative*"))</f>
        <v>0</v>
      </c>
      <c r="N102" s="13">
        <f>SUM(COUNTIFS('Data entry'!$R$6:$R$200,'Summary Data'!$A102,'Data entry'!$B$6:$B$200,{"Confirmed";"Probable"},'Data entry'!$AO$6:$AO$200,$N$10, 'Data entry'!$BD$6:$BD$200,"&lt;&gt;*Negative*"))</f>
        <v>0</v>
      </c>
      <c r="O102" s="15">
        <f t="shared" si="7"/>
        <v>0</v>
      </c>
      <c r="P102" s="15">
        <f t="shared" si="8"/>
        <v>0</v>
      </c>
      <c r="Q102" s="15">
        <f>SUM(COUNTIFS('Data entry'!$R$6:$R$200,'Summary Data'!$A102,'Data entry'!$B$6:$B$200,{"Confirmed";"Probable"},'Data entry'!$AP$6:$AP$200,'Data Validation'!$U$2, 'Data entry'!$BD$6:$BD$200,"&lt;&gt;*Negative*"))</f>
        <v>0</v>
      </c>
      <c r="R102" s="15">
        <f>SUM(COUNTIFS('Data entry'!$R$6:$R$200,'Summary Data'!$A102,'Data entry'!$B$6:$B$200,{"Confirmed";"Probable"},'Data entry'!$AP$6:$AP$200,'Data Validation'!$U$3, 'Data entry'!$BD$6:$BD$200,"&lt;&gt;*Negative*"))</f>
        <v>0</v>
      </c>
      <c r="S102" s="15">
        <f>SUM(COUNTIFS('Data entry'!$R$6:$R$200,'Summary Data'!$A102,'Data entry'!$B$6:$B$200,{"Confirmed";"Probable"},'Data entry'!$AP$6:$AP$200,'Data Validation'!$U$4, 'Data entry'!$BD$6:$BD$200,"&lt;&gt;*Negative*"))</f>
        <v>0</v>
      </c>
      <c r="T102" s="15">
        <f>SUM(COUNTIFS('Data entry'!$R$6:$R$200,'Summary Data'!$A102,'Data entry'!$B$6:$B$200,{"Confirmed";"Probable"},'Data entry'!$AP$6:$AP$200,'Data Validation'!$U$5, 'Data entry'!$BD$6:$BD$200,"&lt;&gt;*Negative*"))</f>
        <v>0</v>
      </c>
      <c r="U102" s="15">
        <f>SUM(COUNTIFS('Data entry'!$R$6:$R$200,'Summary Data'!$A102,'Data entry'!$B$6:$B$200,{"Confirmed";"Probable"},'Data entry'!$AP$6:$AP$200,'Data Validation'!$U$6, 'Data entry'!$BD$6:$BD$200,"&lt;&gt;*Negative*"))</f>
        <v>0</v>
      </c>
      <c r="V102" s="15">
        <f>SUM(COUNTIFS('Data entry'!$R$6:$R$200,'Summary Data'!$A102,'Data entry'!$B$6:$B$200,{"Confirmed";"Probable"},'Data entry'!$AQ$6:$AQ$200,'Data Validation'!$V$2, 'Data entry'!$BD$6:$BD$200,"&lt;&gt;*Negative*"))</f>
        <v>0</v>
      </c>
      <c r="W102" s="15">
        <f>SUM(COUNTIFS('Data entry'!$R$6:$R$200,'Summary Data'!$A102,'Data entry'!$B$6:$B$200,{"Confirmed";"Probable"},'Data entry'!$AQ$6:$AQ$200,'Data Validation'!$V$3, 'Data entry'!$BD$6:$BD$200,"&lt;&gt;*Negative*"))</f>
        <v>0</v>
      </c>
      <c r="X102" s="15">
        <f>SUM(COUNTIFS('Data entry'!$R$6:$R$200,'Summary Data'!$A102,'Data entry'!$B$6:$B$200,{"Confirmed";"Probable"},'Data entry'!$AQ$6:$AQ$200,'Data Validation'!$V$4, 'Data entry'!$BD$6:$BD$200,"&lt;&gt;*Negative*"))</f>
        <v>0</v>
      </c>
      <c r="Y102" s="15">
        <f>SUM(COUNTIFS('Data entry'!$R$6:$R$200,'Summary Data'!$A102,'Data entry'!$B$6:$B$200,{"Confirmed";"Probable"},'Data entry'!$AQ$6:$AQ$200,'Data Validation'!$V$5, 'Data entry'!$BD$6:$BD$200,"&lt;&gt;*Negative*"))</f>
        <v>0</v>
      </c>
      <c r="Z102" s="15">
        <f>SUM(COUNTIFS('Data entry'!$R$6:$R$200,'Summary Data'!$A102,'Data entry'!$B$6:$B$200,{"Confirmed";"Probable"},'Data entry'!$AQ$6:$AQ$200,'Data Validation'!$V$6, 'Data entry'!$BD$6:$BD$200,"&lt;&gt;*Negative*"))</f>
        <v>0</v>
      </c>
      <c r="AA102" s="15">
        <f>SUM(COUNTIFS('Data entry'!$R$6:$R$200,'Summary Data'!$A102,'Data entry'!$B$6:$B$200,{"Confirmed";"Probable"},'Data entry'!$AQ$6:$AQ$200,'Data Validation'!$V$7, 'Data entry'!$BD$6:$BD$200,"&lt;&gt;*Negative*"))</f>
        <v>0</v>
      </c>
      <c r="AB102" s="15">
        <f>SUM(COUNTIFS('Data entry'!$R$6:$R$200,'Summary Data'!$A102,'Data entry'!$B$6:$B$200,{"Confirmed";"Probable"},'Data entry'!$AQ$6:$AQ$200,'Data Validation'!$V$8, 'Data entry'!$BD$6:$BD$200,"&lt;&gt;*Negative*"))</f>
        <v>0</v>
      </c>
      <c r="AC102" s="15">
        <f>SUM(COUNTIFS('Data entry'!$R$6:$R$200,'Summary Data'!$A102,'Data entry'!$B$6:$B$200,{"Confirmed";"Probable"},'Data entry'!$AQ$6:$AQ$200,'Data Validation'!$V$9, 'Data entry'!$BD$6:$BD$200,"&lt;&gt;*Negative*"))</f>
        <v>0</v>
      </c>
      <c r="AD102" s="15">
        <f>SUM(COUNTIFS('Data entry'!$R$6:$R$200,'Summary Data'!$A102,'Data entry'!$B$6:$B$200,{"Confirmed";"Probable"},'Data entry'!$AQ$6:$AQ$200,'Data Validation'!$V$10, 'Data entry'!$BD$6:$BD$200,"&lt;&gt;*Negative*"))</f>
        <v>0</v>
      </c>
      <c r="AE102" s="15">
        <f>SUM(COUNTIFS('Data entry'!$R$6:$R$200,'Summary Data'!$A102,'Data entry'!$B$6:$B$200,{"Confirmed";"Probable"},'Data entry'!$AQ$6:$AQ$200,'Data Validation'!$V$11, 'Data entry'!$BD$6:$BD$200,"&lt;&gt;*Negative*"))</f>
        <v>0</v>
      </c>
      <c r="AF102" s="15">
        <f>SUM(COUNTIFS('Data entry'!$R$6:$R$200,'Summary Data'!$A102,'Data entry'!$B$6:$B$200,{"Confirmed";"Probable"},'Data entry'!$AQ$6:$AQ$200,'Data Validation'!$V$2, 'Data entry'!$AP$6:$AP$200,'Data Validation'!$U$2, 'Data entry'!$BD$6:$BD$200,"&lt;&gt;*Negative*"))</f>
        <v>0</v>
      </c>
      <c r="AG102" s="15">
        <f>SUM(COUNTIFS('Data entry'!$R$6:$R$200,'Summary Data'!$A102,'Data entry'!$B$6:$B$200,{"Confirmed";"Probable"},'Data entry'!$AQ$6:$AQ$200,'Data Validation'!$V$2, 'Data entry'!$AP$6:$AP$200,'Data Validation'!$U$3, 'Data entry'!$BD$6:$BD$200,"&lt;&gt;*Negative*"))</f>
        <v>0</v>
      </c>
      <c r="AH102" s="15">
        <f>SUM(COUNTIFS('Data entry'!$R$6:$R$200,'Summary Data'!$A102,'Data entry'!$B$6:$B$200,{"Confirmed";"Probable"},'Data entry'!$AQ$6:$AQ$200,'Data Validation'!$V$2, 'Data entry'!$AP$6:$AP$200,'Data Validation'!$U$4, 'Data entry'!$BD$6:$BD$200,"&lt;&gt;*Negative*"))</f>
        <v>0</v>
      </c>
      <c r="AI102" s="15">
        <f>SUM(COUNTIFS('Data entry'!$R$6:$R$200,'Summary Data'!$A102,'Data entry'!$B$6:$B$200,{"Confirmed";"Probable"},'Data entry'!$AQ$6:$AQ$200,'Data Validation'!$V$2, 'Data entry'!$AP$6:$AP$200,'Data Validation'!$U$5, 'Data entry'!$BD$6:$BD$200,"&lt;&gt;*Negative*"))</f>
        <v>0</v>
      </c>
      <c r="AJ102" s="15">
        <f>SUM(COUNTIFS('Data entry'!$R$6:$R$200,'Summary Data'!$A102,'Data entry'!$B$6:$B$200,{"Confirmed";"Probable"},'Data entry'!$AQ$6:$AQ$200,'Data Validation'!$V$2, 'Data entry'!$AP$6:$AP$200,'Data Validation'!$U$6, 'Data entry'!$BD$6:$BD$200,"&lt;&gt;*Negative*"))</f>
        <v>0</v>
      </c>
      <c r="AK102" s="15">
        <f>SUM(COUNTIFS('Data entry'!$R$6:$R$200,'Summary Data'!$A102,'Data entry'!$B$6:$B$200,{"Confirmed";"Probable"},'Data entry'!$AQ$6:$AQ$200,'Data Validation'!$V$3, 'Data entry'!$AP$6:$AP$200,'Data Validation'!$U$2, 'Data entry'!$BD$6:$BD$200,"&lt;&gt;*Negative*"))</f>
        <v>0</v>
      </c>
      <c r="AL102" s="15">
        <f>SUM(COUNTIFS('Data entry'!$R$6:$R$200,'Summary Data'!$A102,'Data entry'!$B$6:$B$200,{"Confirmed";"Probable"},'Data entry'!$AQ$6:$AQ$200,'Data Validation'!$V$3, 'Data entry'!$AP$6:$AP$200,'Data Validation'!$U$3, 'Data entry'!$BD$6:$BD$200,"&lt;&gt;*Negative*"))</f>
        <v>0</v>
      </c>
      <c r="AM102" s="15">
        <f>SUM(COUNTIFS('Data entry'!$R$6:$R$200,'Summary Data'!$A102,'Data entry'!$B$6:$B$200,{"Confirmed";"Probable"},'Data entry'!$AQ$6:$AQ$200,'Data Validation'!$V$3, 'Data entry'!$AP$6:$AP$200,'Data Validation'!$U$4, 'Data entry'!$BD$6:$BD$200,"&lt;&gt;*Negative*"))</f>
        <v>0</v>
      </c>
      <c r="AN102" s="15">
        <f>SUM(COUNTIFS('Data entry'!$R$6:$R$200,'Summary Data'!$A102,'Data entry'!$B$6:$B$200,{"Confirmed";"Probable"},'Data entry'!$AQ$6:$AQ$200,'Data Validation'!$V$3, 'Data entry'!$AP$6:$AP$200,'Data Validation'!$U$5, 'Data entry'!$BD$6:$BD$200,"&lt;&gt;*Negative*"))</f>
        <v>0</v>
      </c>
      <c r="AO102" s="15">
        <f>SUM(COUNTIFS('Data entry'!$R$6:$R$200,'Summary Data'!$A102,'Data entry'!$B$6:$B$200,{"Confirmed";"Probable"},'Data entry'!$AQ$6:$AQ$200,'Data Validation'!$V$3, 'Data entry'!$AP$6:$AP$200,'Data Validation'!$U$6, 'Data entry'!$BD$6:$BD$200,"&lt;&gt;*Negative*"))</f>
        <v>0</v>
      </c>
      <c r="AP102" s="15">
        <f>SUM(COUNTIFS('Data entry'!$R$6:$R$200,'Summary Data'!$A102,'Data entry'!$B$6:$B$200,{"Confirmed";"Probable"},'Data entry'!$AQ$6:$AQ$200,'Data Validation'!$V$4, 'Data entry'!$AP$6:$AP$200,'Data Validation'!$U$2, 'Data entry'!$BD$6:$BD$200,"&lt;&gt;*Negative*"))</f>
        <v>0</v>
      </c>
      <c r="AQ102" s="15">
        <f>SUM(COUNTIFS('Data entry'!$R$6:$R$200,'Summary Data'!$A102,'Data entry'!$B$6:$B$200,{"Confirmed";"Probable"},'Data entry'!$AQ$6:$AQ$200,'Data Validation'!$V$4, 'Data entry'!$AP$6:$AP$200,'Data Validation'!$U$3, 'Data entry'!$BD$6:$BD$200,"&lt;&gt;*Negative*"))</f>
        <v>0</v>
      </c>
      <c r="AR102" s="15">
        <f>SUM(COUNTIFS('Data entry'!$R$6:$R$200,'Summary Data'!$A102,'Data entry'!$B$6:$B$200,{"Confirmed";"Probable"},'Data entry'!$AQ$6:$AQ$200,'Data Validation'!$V$4, 'Data entry'!$AP$6:$AP$200,'Data Validation'!$U$4, 'Data entry'!$BD$6:$BD$200,"&lt;&gt;*Negative*"))</f>
        <v>0</v>
      </c>
      <c r="AS102" s="15">
        <f>SUM(COUNTIFS('Data entry'!$R$6:$R$200,'Summary Data'!$A102,'Data entry'!$B$6:$B$200,{"Confirmed";"Probable"},'Data entry'!$AQ$6:$AQ$200,'Data Validation'!$V$4, 'Data entry'!$AP$6:$AP$200,'Data Validation'!$U$5, 'Data entry'!$BD$6:$BD$200,"&lt;&gt;*Negative*"))</f>
        <v>0</v>
      </c>
      <c r="AT102" s="15">
        <f>SUM(COUNTIFS('Data entry'!$R$6:$R$200,'Summary Data'!$A102,'Data entry'!$B$6:$B$200,{"Confirmed";"Probable"},'Data entry'!$AQ$6:$AQ$200,'Data Validation'!$V$4, 'Data entry'!$AP$6:$AP$200,'Data Validation'!$U$6, 'Data entry'!$BD$6:$BD$200,"&lt;&gt;*Negative*"))</f>
        <v>0</v>
      </c>
      <c r="AU102" s="15">
        <f>SUM(COUNTIFS('Data entry'!$R$6:$R$200,'Summary Data'!$A102,'Data entry'!$B$6:$B$200,{"Confirmed";"Probable"},'Data entry'!$AQ$6:$AQ$200,'Data Validation'!$V$5, 'Data entry'!$AP$6:$AP$200,'Data Validation'!$U$2, 'Data entry'!$BD$6:$BD$200,"&lt;&gt;*Negative*"))</f>
        <v>0</v>
      </c>
      <c r="AV102" s="15">
        <f>SUM(COUNTIFS('Data entry'!$R$6:$R$200,'Summary Data'!$A102,'Data entry'!$B$6:$B$200,{"Confirmed";"Probable"},'Data entry'!$AQ$6:$AQ$200,'Data Validation'!$V$5, 'Data entry'!$AP$6:$AP$200,'Data Validation'!$U$3, 'Data entry'!$BD$6:$BD$200,"&lt;&gt;*Negative*"))</f>
        <v>0</v>
      </c>
      <c r="AW102" s="15">
        <f>SUM(COUNTIFS('Data entry'!$R$6:$R$200,'Summary Data'!$A102,'Data entry'!$B$6:$B$200,{"Confirmed";"Probable"},'Data entry'!$AQ$6:$AQ$200,'Data Validation'!$V$5, 'Data entry'!$AP$6:$AP$200,'Data Validation'!$U$4, 'Data entry'!$BD$6:$BD$200,"&lt;&gt;*Negative*"))</f>
        <v>0</v>
      </c>
      <c r="AX102" s="15">
        <f>SUM(COUNTIFS('Data entry'!$R$6:$R$200,'Summary Data'!$A102,'Data entry'!$B$6:$B$200,{"Confirmed";"Probable"},'Data entry'!$AQ$6:$AQ$200,'Data Validation'!$V$5, 'Data entry'!$AP$6:$AP$200,'Data Validation'!$U$5, 'Data entry'!$BD$6:$BD$200,"&lt;&gt;*Negative*"))</f>
        <v>0</v>
      </c>
      <c r="AY102" s="15">
        <f>SUM(COUNTIFS('Data entry'!$R$6:$R$200,'Summary Data'!$A102,'Data entry'!$B$6:$B$200,{"Confirmed";"Probable"},'Data entry'!$AQ$6:$AQ$200,'Data Validation'!$V$5, 'Data entry'!$AP$6:$AP$200,'Data Validation'!$U$6, 'Data entry'!$BD$6:$BD$200,"&lt;&gt;*Negative*"))</f>
        <v>0</v>
      </c>
      <c r="AZ102" s="15">
        <f>SUM(COUNTIFS('Data entry'!$R$6:$R$200,'Summary Data'!$A102,'Data entry'!$B$6:$B$200,{"Confirmed";"Probable"},'Data entry'!$AQ$6:$AQ$200,'Data Validation'!$V$6, 'Data entry'!$AP$6:$AP$200,'Data Validation'!$U$2, 'Data entry'!$BD$6:$BD$200,"&lt;&gt;*Negative*"))</f>
        <v>0</v>
      </c>
      <c r="BA102" s="15">
        <f>SUM(COUNTIFS('Data entry'!$R$6:$R$200,'Summary Data'!$A102,'Data entry'!$B$6:$B$200,{"Confirmed";"Probable"},'Data entry'!$AQ$6:$AQ$200,'Data Validation'!$V$6, 'Data entry'!$AP$6:$AP$200,'Data Validation'!$U$3, 'Data entry'!$BD$6:$BD$200,"&lt;&gt;*Negative*"))</f>
        <v>0</v>
      </c>
      <c r="BB102" s="15">
        <f>SUM(COUNTIFS('Data entry'!$R$6:$R$200,'Summary Data'!$A102,'Data entry'!$B$6:$B$200,{"Confirmed";"Probable"},'Data entry'!$AQ$6:$AQ$200,'Data Validation'!$V$6, 'Data entry'!$AP$6:$AP$200,'Data Validation'!$U$4, 'Data entry'!$BD$6:$BD$200,"&lt;&gt;*Negative*"))</f>
        <v>0</v>
      </c>
      <c r="BC102" s="15">
        <f>SUM(COUNTIFS('Data entry'!$R$6:$R$200,'Summary Data'!$A102,'Data entry'!$B$6:$B$200,{"Confirmed";"Probable"},'Data entry'!$AQ$6:$AQ$200,'Data Validation'!$V$6, 'Data entry'!$AP$6:$AP$200,'Data Validation'!$U$5, 'Data entry'!$BD$6:$BD$200,"&lt;&gt;*Negative*"))</f>
        <v>0</v>
      </c>
      <c r="BD102" s="15">
        <f>SUM(COUNTIFS('Data entry'!$R$6:$R$200,'Summary Data'!$A102,'Data entry'!$B$6:$B$200,{"Confirmed";"Probable"},'Data entry'!$AQ$6:$AQ$200,'Data Validation'!$V$6, 'Data entry'!$AP$6:$AP$200,'Data Validation'!$U$6, 'Data entry'!$BD$6:$BD$200,"&lt;&gt;*Negative*"))</f>
        <v>0</v>
      </c>
      <c r="BE102" s="15">
        <f>SUM(COUNTIFS('Data entry'!$R$6:$R$200,'Summary Data'!$A102,'Data entry'!$B$6:$B$200,{"Confirmed";"Probable"},'Data entry'!$AQ$6:$AQ$200,'Data Validation'!$V$7, 'Data entry'!$AP$6:$AP$200,'Data Validation'!$U$2, 'Data entry'!$BD$6:$BD$200,"&lt;&gt;*Negative*"))</f>
        <v>0</v>
      </c>
      <c r="BF102" s="15">
        <f>SUM(COUNTIFS('Data entry'!$R$6:$R$200,'Summary Data'!$A102,'Data entry'!$B$6:$B$200,{"Confirmed";"Probable"},'Data entry'!$AQ$6:$AQ$200,'Data Validation'!$V$7, 'Data entry'!$AP$6:$AP$200,'Data Validation'!$U$3, 'Data entry'!$BD$6:$BD$200,"&lt;&gt;*Negative*"))</f>
        <v>0</v>
      </c>
      <c r="BG102" s="15">
        <f>SUM(COUNTIFS('Data entry'!$R$6:$R$200,'Summary Data'!$A102,'Data entry'!$B$6:$B$200,{"Confirmed";"Probable"},'Data entry'!$AQ$6:$AQ$200,'Data Validation'!$V$7, 'Data entry'!$AP$6:$AP$200,'Data Validation'!$U$4, 'Data entry'!$BD$6:$BD$200,"&lt;&gt;*Negative*"))</f>
        <v>0</v>
      </c>
      <c r="BH102" s="15">
        <f>SUM(COUNTIFS('Data entry'!$R$6:$R$200,'Summary Data'!$A102,'Data entry'!$B$6:$B$200,{"Confirmed";"Probable"},'Data entry'!$AQ$6:$AQ$200,'Data Validation'!$V$7, 'Data entry'!$AP$6:$AP$200,'Data Validation'!$U$5, 'Data entry'!$BD$6:$BD$200,"&lt;&gt;*Negative*"))</f>
        <v>0</v>
      </c>
      <c r="BI102" s="15">
        <f>SUM(COUNTIFS('Data entry'!$R$6:$R$200,'Summary Data'!$A102,'Data entry'!$B$6:$B$200,{"Confirmed";"Probable"},'Data entry'!$AQ$6:$AQ$200,'Data Validation'!$V$7, 'Data entry'!$AP$6:$AP$200,'Data Validation'!$U$6, 'Data entry'!$BD$6:$BD$200,"&lt;&gt;*Negative*"))</f>
        <v>0</v>
      </c>
      <c r="BJ102" s="15">
        <f>SUM(COUNTIFS('Data entry'!$R$6:$R$200,'Summary Data'!$A102,'Data entry'!$B$6:$B$200,{"Confirmed";"Probable"},'Data entry'!$AQ$6:$AQ$200,'Data Validation'!$V$8, 'Data entry'!$AP$6:$AP$200,'Data Validation'!$U$2, 'Data entry'!$BD$6:$BD$200,"&lt;&gt;*Negative*"))</f>
        <v>0</v>
      </c>
      <c r="BK102" s="15">
        <f>SUM(COUNTIFS('Data entry'!$R$6:$R$200,'Summary Data'!$A102,'Data entry'!$B$6:$B$200,{"Confirmed";"Probable"},'Data entry'!$AQ$6:$AQ$200,'Data Validation'!$V$8, 'Data entry'!$AP$6:$AP$200,'Data Validation'!$U$3, 'Data entry'!$BD$6:$BD$200,"&lt;&gt;*Negative*"))</f>
        <v>0</v>
      </c>
      <c r="BL102" s="15">
        <f>SUM(COUNTIFS('Data entry'!$R$6:$R$200,'Summary Data'!$A102,'Data entry'!$B$6:$B$200,{"Confirmed";"Probable"},'Data entry'!$AQ$6:$AQ$200,'Data Validation'!$V$8, 'Data entry'!$AP$6:$AP$200,'Data Validation'!$U$4, 'Data entry'!$BD$6:$BD$200,"&lt;&gt;*Negative*"))</f>
        <v>0</v>
      </c>
      <c r="BM102" s="15">
        <f>SUM(COUNTIFS('Data entry'!$R$6:$R$200,'Summary Data'!$A102,'Data entry'!$B$6:$B$200,{"Confirmed";"Probable"},'Data entry'!$AQ$6:$AQ$200,'Data Validation'!$V$8, 'Data entry'!$AP$6:$AP$200,'Data Validation'!$U$5, 'Data entry'!$BD$6:$BD$200,"&lt;&gt;*Negative*"))</f>
        <v>0</v>
      </c>
      <c r="BN102" s="15">
        <f>SUM(COUNTIFS('Data entry'!$R$6:$R$200,'Summary Data'!$A102,'Data entry'!$B$6:$B$200,{"Confirmed";"Probable"},'Data entry'!$AQ$6:$AQ$200,'Data Validation'!$V$8, 'Data entry'!$AP$6:$AP$200,'Data Validation'!$U$6, 'Data entry'!$BD$6:$BD$200,"&lt;&gt;*Negative*"))</f>
        <v>0</v>
      </c>
      <c r="BO102" s="15">
        <f>SUM(COUNTIFS('Data entry'!$R$6:$R$200,'Summary Data'!$A102,'Data entry'!$B$6:$B$200,{"Confirmed";"Probable"},'Data entry'!$AQ$6:$AQ$200,'Data Validation'!$V$9, 'Data entry'!$AP$6:$AP$200,'Data Validation'!$U$2, 'Data entry'!$BD$6:$BD$200,"&lt;&gt;*Negative*"))</f>
        <v>0</v>
      </c>
      <c r="BP102" s="15">
        <f>SUM(COUNTIFS('Data entry'!$R$6:$R$200,'Summary Data'!$A102,'Data entry'!$B$6:$B$200,{"Confirmed";"Probable"},'Data entry'!$AQ$6:$AQ$200,'Data Validation'!$V$9, 'Data entry'!$AP$6:$AP$200,'Data Validation'!$U$3, 'Data entry'!$BD$6:$BD$200,"&lt;&gt;*Negative*"))</f>
        <v>0</v>
      </c>
      <c r="BQ102" s="15">
        <f>SUM(COUNTIFS('Data entry'!$R$6:$R$200,'Summary Data'!$A102,'Data entry'!$B$6:$B$200,{"Confirmed";"Probable"},'Data entry'!$AQ$6:$AQ$200,'Data Validation'!$V$9, 'Data entry'!$AP$6:$AP$200,'Data Validation'!$U$4, 'Data entry'!$BD$6:$BD$200,"&lt;&gt;*Negative*"))</f>
        <v>0</v>
      </c>
      <c r="BR102" s="15">
        <f>SUM(COUNTIFS('Data entry'!$R$6:$R$200,'Summary Data'!$A102,'Data entry'!$B$6:$B$200,{"Confirmed";"Probable"},'Data entry'!$AQ$6:$AQ$200,'Data Validation'!$V$9, 'Data entry'!$AP$6:$AP$200,'Data Validation'!$U$5, 'Data entry'!$BD$6:$BD$200,"&lt;&gt;*Negative*"))</f>
        <v>0</v>
      </c>
      <c r="BS102" s="15">
        <f>SUM(COUNTIFS('Data entry'!$R$6:$R$200,'Summary Data'!$A102,'Data entry'!$B$6:$B$200,{"Confirmed";"Probable"},'Data entry'!$AQ$6:$AQ$200,'Data Validation'!$V$9, 'Data entry'!$AP$6:$AP$200,'Data Validation'!$U$6, 'Data entry'!$BD$6:$BD$200,"&lt;&gt;*Negative*"))</f>
        <v>0</v>
      </c>
      <c r="BT102" s="15">
        <f>SUM(COUNTIFS('Data entry'!$R$6:$R$200,'Summary Data'!$A102,'Data entry'!$B$6:$B$200,{"Confirmed";"Probable"},'Data entry'!$AQ$6:$AQ$200,'Data Validation'!$V$10, 'Data entry'!$AP$6:$AP$200,'Data Validation'!$U$2, 'Data entry'!$BD$6:$BD$200,"&lt;&gt;*Negative*"))</f>
        <v>0</v>
      </c>
      <c r="BU102" s="15">
        <f>SUM(COUNTIFS('Data entry'!$R$6:$R$200,'Summary Data'!$A102,'Data entry'!$B$6:$B$200,{"Confirmed";"Probable"},'Data entry'!$AQ$6:$AQ$200,'Data Validation'!$V$10, 'Data entry'!$AP$6:$AP$200,'Data Validation'!$U$3, 'Data entry'!$BD$6:$BD$200,"&lt;&gt;*Negative*"))</f>
        <v>0</v>
      </c>
      <c r="BV102" s="15">
        <f>SUM(COUNTIFS('Data entry'!$R$6:$R$200,'Summary Data'!$A102,'Data entry'!$B$6:$B$200,{"Confirmed";"Probable"},'Data entry'!$AQ$6:$AQ$200,'Data Validation'!$V$10, 'Data entry'!$AP$6:$AP$200,'Data Validation'!$U$4, 'Data entry'!$BD$6:$BD$200,"&lt;&gt;*Negative*"))</f>
        <v>0</v>
      </c>
      <c r="BW102" s="15">
        <f>SUM(COUNTIFS('Data entry'!$R$6:$R$200,'Summary Data'!$A102,'Data entry'!$B$6:$B$200,{"Confirmed";"Probable"},'Data entry'!$AQ$6:$AQ$200,'Data Validation'!$V$10, 'Data entry'!$AP$6:$AP$200,'Data Validation'!$U$5, 'Data entry'!$BD$6:$BD$200,"&lt;&gt;*Negative*"))</f>
        <v>0</v>
      </c>
      <c r="BX102" s="15">
        <f>SUM(COUNTIFS('Data entry'!$R$6:$R$200,'Summary Data'!$A102,'Data entry'!$B$6:$B$200,{"Confirmed";"Probable"},'Data entry'!$AQ$6:$AQ$200,'Data Validation'!$V$10, 'Data entry'!$AP$6:$AP$200,'Data Validation'!$U$6, 'Data entry'!$BD$6:$BD$200,"&lt;&gt;*Negative*"))</f>
        <v>0</v>
      </c>
      <c r="BY102" s="15">
        <f>SUM(COUNTIFS('Data entry'!$R$6:$R$200,'Summary Data'!$A102,'Data entry'!$B$6:$B$200,{"Confirmed";"Probable"},'Data entry'!$AQ$6:$AQ$200,'Data Validation'!$V$11, 'Data entry'!$AP$6:$AP$200,'Data Validation'!$U$2, 'Data entry'!$BD$6:$BD$200,"&lt;&gt;*Negative*"))</f>
        <v>0</v>
      </c>
      <c r="BZ102" s="15">
        <f>SUM(COUNTIFS('Data entry'!$R$6:$R$200,'Summary Data'!$A102,'Data entry'!$B$6:$B$200,{"Confirmed";"Probable"},'Data entry'!$AQ$6:$AQ$200,'Data Validation'!$V$11, 'Data entry'!$AP$6:$AP$200,'Data Validation'!$U$3, 'Data entry'!$BD$6:$BD$200,"&lt;&gt;*Negative*"))</f>
        <v>0</v>
      </c>
      <c r="CA102" s="15">
        <f>SUM(COUNTIFS('Data entry'!$R$6:$R$200,'Summary Data'!$A102,'Data entry'!$B$6:$B$200,{"Confirmed";"Probable"},'Data entry'!$AQ$6:$AQ$200,'Data Validation'!$V$11, 'Data entry'!$AP$6:$AP$200,'Data Validation'!$U$4, 'Data entry'!$BD$6:$BD$200,"&lt;&gt;*Negative*"))</f>
        <v>0</v>
      </c>
      <c r="CB102" s="15">
        <f>SUM(COUNTIFS('Data entry'!$R$6:$R$200,'Summary Data'!$A102,'Data entry'!$B$6:$B$200,{"Confirmed";"Probable"},'Data entry'!$AQ$6:$AQ$200,'Data Validation'!$V$11, 'Data entry'!$AP$6:$AP$200,'Data Validation'!$U$5, 'Data entry'!$BD$6:$BD$200,"&lt;&gt;*Negative*"))</f>
        <v>0</v>
      </c>
      <c r="CC102" s="15">
        <f>SUM(COUNTIFS('Data entry'!$R$6:$R$200,'Summary Data'!$A102,'Data entry'!$B$6:$B$200,{"Confirmed";"Probable"},'Data entry'!$AQ$6:$AQ$200,'Data Validation'!$V$11, 'Data entry'!$AP$6:$AP$200,'Data Validation'!$U$6, 'Data entry'!$BD$6:$BD$200,"&lt;&gt;*Negative*"))</f>
        <v>0</v>
      </c>
    </row>
    <row r="103" spans="1:81" x14ac:dyDescent="0.25">
      <c r="A103" s="12">
        <f t="shared" si="9"/>
        <v>91</v>
      </c>
      <c r="B103" s="13">
        <f t="shared" si="6"/>
        <v>0</v>
      </c>
      <c r="C103" s="13">
        <f>COUNTIFS('Data entry'!$R$6:$R$200,$A103,'Data entry'!$B$6:$B$200,"Confirmed",'Data entry'!$BD$6:$BD$200,"&lt;&gt;*Negative*")</f>
        <v>0</v>
      </c>
      <c r="D103" s="13">
        <f>COUNTIFS('Data entry'!$R$6:$R$200,$A103,'Data entry'!$B$6:$B$200,"Probable",'Data entry'!$BD$6:$BD$200,"&lt;&gt;*Negative*")</f>
        <v>0</v>
      </c>
      <c r="E103" s="13">
        <f>COUNTIFS('Data entry'!$R$6:$R$200,$A103,'Data entry'!$B$6:$B$200,"DNM")</f>
        <v>0</v>
      </c>
      <c r="F103" s="13">
        <f>SUM(COUNTIFS('Data entry'!$R$6:$R$200,'Summary Data'!$A103,'Data entry'!$B$6:$B$200,{"Confirmed";"Probable"},'Data entry'!$AO$6:$AO$200,$F$10, 'Data entry'!$BD$6:$BD$200,"&lt;&gt;*Negative*"))</f>
        <v>0</v>
      </c>
      <c r="G103" s="13">
        <f>SUM(COUNTIFS('Data entry'!$R$6:$R$200,'Summary Data'!$A103,'Data entry'!$B$6:$B$200,{"Confirmed";"Probable"},'Data entry'!$AO$6:$AO$200,$G$10, 'Data entry'!$BD$6:$BD$200,"&lt;&gt;*Negative*"))</f>
        <v>0</v>
      </c>
      <c r="H103" s="13">
        <f>SUM(COUNTIFS('Data entry'!$R$6:$R$200,'Summary Data'!$A103,'Data entry'!$B$6:$B$200,{"Confirmed";"Probable"},'Data entry'!$AO$6:$AO$200,$H$10, 'Data entry'!$BD$6:$BD$200,"&lt;&gt;*Negative*"))</f>
        <v>0</v>
      </c>
      <c r="I103" s="13">
        <f>SUM(COUNTIFS('Data entry'!$R$6:$R$200,'Summary Data'!$A103,'Data entry'!$B$6:$B$200,{"Confirmed";"Probable"},'Data entry'!$AO$6:$AO$200,$I$10, 'Data entry'!$BD$6:$BD$200,"&lt;&gt;*Negative*"))</f>
        <v>0</v>
      </c>
      <c r="J103" s="13">
        <f>SUM(COUNTIFS('Data entry'!$R$6:$R$200,'Summary Data'!$A103,'Data entry'!$B$6:$B$200,{"Confirmed";"Probable"},'Data entry'!$AO$6:$AO$200,$J$10, 'Data entry'!$BD$6:$BD$200,"&lt;&gt;*Negative*"))</f>
        <v>0</v>
      </c>
      <c r="K103" s="13">
        <f>SUM(COUNTIFS('Data entry'!$R$6:$R$200,'Summary Data'!$A103,'Data entry'!$B$6:$B$200,{"Confirmed";"Probable"},'Data entry'!$AO$6:$AO$200,$K$10, 'Data entry'!$BD$6:$BD$200,"&lt;&gt;*Negative*"))</f>
        <v>0</v>
      </c>
      <c r="L103" s="13">
        <f>SUM(COUNTIFS('Data entry'!$R$6:$R$200,'Summary Data'!$A103,'Data entry'!$B$6:$B$200,{"Confirmed";"Probable"},'Data entry'!$AO$6:$AO$200,$L$10, 'Data entry'!$BD$6:$BD$200,"&lt;&gt;*Negative*"))</f>
        <v>0</v>
      </c>
      <c r="M103" s="13">
        <f>SUM(COUNTIFS('Data entry'!$R$6:$R$200,'Summary Data'!$A103,'Data entry'!$B$6:$B$200,{"Confirmed";"Probable"},'Data entry'!$AO$6:$AO$200,$M$10, 'Data entry'!$BD$6:$BD$200,"&lt;&gt;*Negative*"))</f>
        <v>0</v>
      </c>
      <c r="N103" s="13">
        <f>SUM(COUNTIFS('Data entry'!$R$6:$R$200,'Summary Data'!$A103,'Data entry'!$B$6:$B$200,{"Confirmed";"Probable"},'Data entry'!$AO$6:$AO$200,$N$10, 'Data entry'!$BD$6:$BD$200,"&lt;&gt;*Negative*"))</f>
        <v>0</v>
      </c>
      <c r="O103" s="15">
        <f t="shared" si="7"/>
        <v>0</v>
      </c>
      <c r="P103" s="15">
        <f t="shared" si="8"/>
        <v>0</v>
      </c>
      <c r="Q103" s="15">
        <f>SUM(COUNTIFS('Data entry'!$R$6:$R$200,'Summary Data'!$A103,'Data entry'!$B$6:$B$200,{"Confirmed";"Probable"},'Data entry'!$AP$6:$AP$200,'Data Validation'!$U$2, 'Data entry'!$BD$6:$BD$200,"&lt;&gt;*Negative*"))</f>
        <v>0</v>
      </c>
      <c r="R103" s="15">
        <f>SUM(COUNTIFS('Data entry'!$R$6:$R$200,'Summary Data'!$A103,'Data entry'!$B$6:$B$200,{"Confirmed";"Probable"},'Data entry'!$AP$6:$AP$200,'Data Validation'!$U$3, 'Data entry'!$BD$6:$BD$200,"&lt;&gt;*Negative*"))</f>
        <v>0</v>
      </c>
      <c r="S103" s="15">
        <f>SUM(COUNTIFS('Data entry'!$R$6:$R$200,'Summary Data'!$A103,'Data entry'!$B$6:$B$200,{"Confirmed";"Probable"},'Data entry'!$AP$6:$AP$200,'Data Validation'!$U$4, 'Data entry'!$BD$6:$BD$200,"&lt;&gt;*Negative*"))</f>
        <v>0</v>
      </c>
      <c r="T103" s="15">
        <f>SUM(COUNTIFS('Data entry'!$R$6:$R$200,'Summary Data'!$A103,'Data entry'!$B$6:$B$200,{"Confirmed";"Probable"},'Data entry'!$AP$6:$AP$200,'Data Validation'!$U$5, 'Data entry'!$BD$6:$BD$200,"&lt;&gt;*Negative*"))</f>
        <v>0</v>
      </c>
      <c r="U103" s="15">
        <f>SUM(COUNTIFS('Data entry'!$R$6:$R$200,'Summary Data'!$A103,'Data entry'!$B$6:$B$200,{"Confirmed";"Probable"},'Data entry'!$AP$6:$AP$200,'Data Validation'!$U$6, 'Data entry'!$BD$6:$BD$200,"&lt;&gt;*Negative*"))</f>
        <v>0</v>
      </c>
      <c r="V103" s="15">
        <f>SUM(COUNTIFS('Data entry'!$R$6:$R$200,'Summary Data'!$A103,'Data entry'!$B$6:$B$200,{"Confirmed";"Probable"},'Data entry'!$AQ$6:$AQ$200,'Data Validation'!$V$2, 'Data entry'!$BD$6:$BD$200,"&lt;&gt;*Negative*"))</f>
        <v>0</v>
      </c>
      <c r="W103" s="15">
        <f>SUM(COUNTIFS('Data entry'!$R$6:$R$200,'Summary Data'!$A103,'Data entry'!$B$6:$B$200,{"Confirmed";"Probable"},'Data entry'!$AQ$6:$AQ$200,'Data Validation'!$V$3, 'Data entry'!$BD$6:$BD$200,"&lt;&gt;*Negative*"))</f>
        <v>0</v>
      </c>
      <c r="X103" s="15">
        <f>SUM(COUNTIFS('Data entry'!$R$6:$R$200,'Summary Data'!$A103,'Data entry'!$B$6:$B$200,{"Confirmed";"Probable"},'Data entry'!$AQ$6:$AQ$200,'Data Validation'!$V$4, 'Data entry'!$BD$6:$BD$200,"&lt;&gt;*Negative*"))</f>
        <v>0</v>
      </c>
      <c r="Y103" s="15">
        <f>SUM(COUNTIFS('Data entry'!$R$6:$R$200,'Summary Data'!$A103,'Data entry'!$B$6:$B$200,{"Confirmed";"Probable"},'Data entry'!$AQ$6:$AQ$200,'Data Validation'!$V$5, 'Data entry'!$BD$6:$BD$200,"&lt;&gt;*Negative*"))</f>
        <v>0</v>
      </c>
      <c r="Z103" s="15">
        <f>SUM(COUNTIFS('Data entry'!$R$6:$R$200,'Summary Data'!$A103,'Data entry'!$B$6:$B$200,{"Confirmed";"Probable"},'Data entry'!$AQ$6:$AQ$200,'Data Validation'!$V$6, 'Data entry'!$BD$6:$BD$200,"&lt;&gt;*Negative*"))</f>
        <v>0</v>
      </c>
      <c r="AA103" s="15">
        <f>SUM(COUNTIFS('Data entry'!$R$6:$R$200,'Summary Data'!$A103,'Data entry'!$B$6:$B$200,{"Confirmed";"Probable"},'Data entry'!$AQ$6:$AQ$200,'Data Validation'!$V$7, 'Data entry'!$BD$6:$BD$200,"&lt;&gt;*Negative*"))</f>
        <v>0</v>
      </c>
      <c r="AB103" s="15">
        <f>SUM(COUNTIFS('Data entry'!$R$6:$R$200,'Summary Data'!$A103,'Data entry'!$B$6:$B$200,{"Confirmed";"Probable"},'Data entry'!$AQ$6:$AQ$200,'Data Validation'!$V$8, 'Data entry'!$BD$6:$BD$200,"&lt;&gt;*Negative*"))</f>
        <v>0</v>
      </c>
      <c r="AC103" s="15">
        <f>SUM(COUNTIFS('Data entry'!$R$6:$R$200,'Summary Data'!$A103,'Data entry'!$B$6:$B$200,{"Confirmed";"Probable"},'Data entry'!$AQ$6:$AQ$200,'Data Validation'!$V$9, 'Data entry'!$BD$6:$BD$200,"&lt;&gt;*Negative*"))</f>
        <v>0</v>
      </c>
      <c r="AD103" s="15">
        <f>SUM(COUNTIFS('Data entry'!$R$6:$R$200,'Summary Data'!$A103,'Data entry'!$B$6:$B$200,{"Confirmed";"Probable"},'Data entry'!$AQ$6:$AQ$200,'Data Validation'!$V$10, 'Data entry'!$BD$6:$BD$200,"&lt;&gt;*Negative*"))</f>
        <v>0</v>
      </c>
      <c r="AE103" s="15">
        <f>SUM(COUNTIFS('Data entry'!$R$6:$R$200,'Summary Data'!$A103,'Data entry'!$B$6:$B$200,{"Confirmed";"Probable"},'Data entry'!$AQ$6:$AQ$200,'Data Validation'!$V$11, 'Data entry'!$BD$6:$BD$200,"&lt;&gt;*Negative*"))</f>
        <v>0</v>
      </c>
      <c r="AF103" s="15">
        <f>SUM(COUNTIFS('Data entry'!$R$6:$R$200,'Summary Data'!$A103,'Data entry'!$B$6:$B$200,{"Confirmed";"Probable"},'Data entry'!$AQ$6:$AQ$200,'Data Validation'!$V$2, 'Data entry'!$AP$6:$AP$200,'Data Validation'!$U$2, 'Data entry'!$BD$6:$BD$200,"&lt;&gt;*Negative*"))</f>
        <v>0</v>
      </c>
      <c r="AG103" s="15">
        <f>SUM(COUNTIFS('Data entry'!$R$6:$R$200,'Summary Data'!$A103,'Data entry'!$B$6:$B$200,{"Confirmed";"Probable"},'Data entry'!$AQ$6:$AQ$200,'Data Validation'!$V$2, 'Data entry'!$AP$6:$AP$200,'Data Validation'!$U$3, 'Data entry'!$BD$6:$BD$200,"&lt;&gt;*Negative*"))</f>
        <v>0</v>
      </c>
      <c r="AH103" s="15">
        <f>SUM(COUNTIFS('Data entry'!$R$6:$R$200,'Summary Data'!$A103,'Data entry'!$B$6:$B$200,{"Confirmed";"Probable"},'Data entry'!$AQ$6:$AQ$200,'Data Validation'!$V$2, 'Data entry'!$AP$6:$AP$200,'Data Validation'!$U$4, 'Data entry'!$BD$6:$BD$200,"&lt;&gt;*Negative*"))</f>
        <v>0</v>
      </c>
      <c r="AI103" s="15">
        <f>SUM(COUNTIFS('Data entry'!$R$6:$R$200,'Summary Data'!$A103,'Data entry'!$B$6:$B$200,{"Confirmed";"Probable"},'Data entry'!$AQ$6:$AQ$200,'Data Validation'!$V$2, 'Data entry'!$AP$6:$AP$200,'Data Validation'!$U$5, 'Data entry'!$BD$6:$BD$200,"&lt;&gt;*Negative*"))</f>
        <v>0</v>
      </c>
      <c r="AJ103" s="15">
        <f>SUM(COUNTIFS('Data entry'!$R$6:$R$200,'Summary Data'!$A103,'Data entry'!$B$6:$B$200,{"Confirmed";"Probable"},'Data entry'!$AQ$6:$AQ$200,'Data Validation'!$V$2, 'Data entry'!$AP$6:$AP$200,'Data Validation'!$U$6, 'Data entry'!$BD$6:$BD$200,"&lt;&gt;*Negative*"))</f>
        <v>0</v>
      </c>
      <c r="AK103" s="15">
        <f>SUM(COUNTIFS('Data entry'!$R$6:$R$200,'Summary Data'!$A103,'Data entry'!$B$6:$B$200,{"Confirmed";"Probable"},'Data entry'!$AQ$6:$AQ$200,'Data Validation'!$V$3, 'Data entry'!$AP$6:$AP$200,'Data Validation'!$U$2, 'Data entry'!$BD$6:$BD$200,"&lt;&gt;*Negative*"))</f>
        <v>0</v>
      </c>
      <c r="AL103" s="15">
        <f>SUM(COUNTIFS('Data entry'!$R$6:$R$200,'Summary Data'!$A103,'Data entry'!$B$6:$B$200,{"Confirmed";"Probable"},'Data entry'!$AQ$6:$AQ$200,'Data Validation'!$V$3, 'Data entry'!$AP$6:$AP$200,'Data Validation'!$U$3, 'Data entry'!$BD$6:$BD$200,"&lt;&gt;*Negative*"))</f>
        <v>0</v>
      </c>
      <c r="AM103" s="15">
        <f>SUM(COUNTIFS('Data entry'!$R$6:$R$200,'Summary Data'!$A103,'Data entry'!$B$6:$B$200,{"Confirmed";"Probable"},'Data entry'!$AQ$6:$AQ$200,'Data Validation'!$V$3, 'Data entry'!$AP$6:$AP$200,'Data Validation'!$U$4, 'Data entry'!$BD$6:$BD$200,"&lt;&gt;*Negative*"))</f>
        <v>0</v>
      </c>
      <c r="AN103" s="15">
        <f>SUM(COUNTIFS('Data entry'!$R$6:$R$200,'Summary Data'!$A103,'Data entry'!$B$6:$B$200,{"Confirmed";"Probable"},'Data entry'!$AQ$6:$AQ$200,'Data Validation'!$V$3, 'Data entry'!$AP$6:$AP$200,'Data Validation'!$U$5, 'Data entry'!$BD$6:$BD$200,"&lt;&gt;*Negative*"))</f>
        <v>0</v>
      </c>
      <c r="AO103" s="15">
        <f>SUM(COUNTIFS('Data entry'!$R$6:$R$200,'Summary Data'!$A103,'Data entry'!$B$6:$B$200,{"Confirmed";"Probable"},'Data entry'!$AQ$6:$AQ$200,'Data Validation'!$V$3, 'Data entry'!$AP$6:$AP$200,'Data Validation'!$U$6, 'Data entry'!$BD$6:$BD$200,"&lt;&gt;*Negative*"))</f>
        <v>0</v>
      </c>
      <c r="AP103" s="15">
        <f>SUM(COUNTIFS('Data entry'!$R$6:$R$200,'Summary Data'!$A103,'Data entry'!$B$6:$B$200,{"Confirmed";"Probable"},'Data entry'!$AQ$6:$AQ$200,'Data Validation'!$V$4, 'Data entry'!$AP$6:$AP$200,'Data Validation'!$U$2, 'Data entry'!$BD$6:$BD$200,"&lt;&gt;*Negative*"))</f>
        <v>0</v>
      </c>
      <c r="AQ103" s="15">
        <f>SUM(COUNTIFS('Data entry'!$R$6:$R$200,'Summary Data'!$A103,'Data entry'!$B$6:$B$200,{"Confirmed";"Probable"},'Data entry'!$AQ$6:$AQ$200,'Data Validation'!$V$4, 'Data entry'!$AP$6:$AP$200,'Data Validation'!$U$3, 'Data entry'!$BD$6:$BD$200,"&lt;&gt;*Negative*"))</f>
        <v>0</v>
      </c>
      <c r="AR103" s="15">
        <f>SUM(COUNTIFS('Data entry'!$R$6:$R$200,'Summary Data'!$A103,'Data entry'!$B$6:$B$200,{"Confirmed";"Probable"},'Data entry'!$AQ$6:$AQ$200,'Data Validation'!$V$4, 'Data entry'!$AP$6:$AP$200,'Data Validation'!$U$4, 'Data entry'!$BD$6:$BD$200,"&lt;&gt;*Negative*"))</f>
        <v>0</v>
      </c>
      <c r="AS103" s="15">
        <f>SUM(COUNTIFS('Data entry'!$R$6:$R$200,'Summary Data'!$A103,'Data entry'!$B$6:$B$200,{"Confirmed";"Probable"},'Data entry'!$AQ$6:$AQ$200,'Data Validation'!$V$4, 'Data entry'!$AP$6:$AP$200,'Data Validation'!$U$5, 'Data entry'!$BD$6:$BD$200,"&lt;&gt;*Negative*"))</f>
        <v>0</v>
      </c>
      <c r="AT103" s="15">
        <f>SUM(COUNTIFS('Data entry'!$R$6:$R$200,'Summary Data'!$A103,'Data entry'!$B$6:$B$200,{"Confirmed";"Probable"},'Data entry'!$AQ$6:$AQ$200,'Data Validation'!$V$4, 'Data entry'!$AP$6:$AP$200,'Data Validation'!$U$6, 'Data entry'!$BD$6:$BD$200,"&lt;&gt;*Negative*"))</f>
        <v>0</v>
      </c>
      <c r="AU103" s="15">
        <f>SUM(COUNTIFS('Data entry'!$R$6:$R$200,'Summary Data'!$A103,'Data entry'!$B$6:$B$200,{"Confirmed";"Probable"},'Data entry'!$AQ$6:$AQ$200,'Data Validation'!$V$5, 'Data entry'!$AP$6:$AP$200,'Data Validation'!$U$2, 'Data entry'!$BD$6:$BD$200,"&lt;&gt;*Negative*"))</f>
        <v>0</v>
      </c>
      <c r="AV103" s="15">
        <f>SUM(COUNTIFS('Data entry'!$R$6:$R$200,'Summary Data'!$A103,'Data entry'!$B$6:$B$200,{"Confirmed";"Probable"},'Data entry'!$AQ$6:$AQ$200,'Data Validation'!$V$5, 'Data entry'!$AP$6:$AP$200,'Data Validation'!$U$3, 'Data entry'!$BD$6:$BD$200,"&lt;&gt;*Negative*"))</f>
        <v>0</v>
      </c>
      <c r="AW103" s="15">
        <f>SUM(COUNTIFS('Data entry'!$R$6:$R$200,'Summary Data'!$A103,'Data entry'!$B$6:$B$200,{"Confirmed";"Probable"},'Data entry'!$AQ$6:$AQ$200,'Data Validation'!$V$5, 'Data entry'!$AP$6:$AP$200,'Data Validation'!$U$4, 'Data entry'!$BD$6:$BD$200,"&lt;&gt;*Negative*"))</f>
        <v>0</v>
      </c>
      <c r="AX103" s="15">
        <f>SUM(COUNTIFS('Data entry'!$R$6:$R$200,'Summary Data'!$A103,'Data entry'!$B$6:$B$200,{"Confirmed";"Probable"},'Data entry'!$AQ$6:$AQ$200,'Data Validation'!$V$5, 'Data entry'!$AP$6:$AP$200,'Data Validation'!$U$5, 'Data entry'!$BD$6:$BD$200,"&lt;&gt;*Negative*"))</f>
        <v>0</v>
      </c>
      <c r="AY103" s="15">
        <f>SUM(COUNTIFS('Data entry'!$R$6:$R$200,'Summary Data'!$A103,'Data entry'!$B$6:$B$200,{"Confirmed";"Probable"},'Data entry'!$AQ$6:$AQ$200,'Data Validation'!$V$5, 'Data entry'!$AP$6:$AP$200,'Data Validation'!$U$6, 'Data entry'!$BD$6:$BD$200,"&lt;&gt;*Negative*"))</f>
        <v>0</v>
      </c>
      <c r="AZ103" s="15">
        <f>SUM(COUNTIFS('Data entry'!$R$6:$R$200,'Summary Data'!$A103,'Data entry'!$B$6:$B$200,{"Confirmed";"Probable"},'Data entry'!$AQ$6:$AQ$200,'Data Validation'!$V$6, 'Data entry'!$AP$6:$AP$200,'Data Validation'!$U$2, 'Data entry'!$BD$6:$BD$200,"&lt;&gt;*Negative*"))</f>
        <v>0</v>
      </c>
      <c r="BA103" s="15">
        <f>SUM(COUNTIFS('Data entry'!$R$6:$R$200,'Summary Data'!$A103,'Data entry'!$B$6:$B$200,{"Confirmed";"Probable"},'Data entry'!$AQ$6:$AQ$200,'Data Validation'!$V$6, 'Data entry'!$AP$6:$AP$200,'Data Validation'!$U$3, 'Data entry'!$BD$6:$BD$200,"&lt;&gt;*Negative*"))</f>
        <v>0</v>
      </c>
      <c r="BB103" s="15">
        <f>SUM(COUNTIFS('Data entry'!$R$6:$R$200,'Summary Data'!$A103,'Data entry'!$B$6:$B$200,{"Confirmed";"Probable"},'Data entry'!$AQ$6:$AQ$200,'Data Validation'!$V$6, 'Data entry'!$AP$6:$AP$200,'Data Validation'!$U$4, 'Data entry'!$BD$6:$BD$200,"&lt;&gt;*Negative*"))</f>
        <v>0</v>
      </c>
      <c r="BC103" s="15">
        <f>SUM(COUNTIFS('Data entry'!$R$6:$R$200,'Summary Data'!$A103,'Data entry'!$B$6:$B$200,{"Confirmed";"Probable"},'Data entry'!$AQ$6:$AQ$200,'Data Validation'!$V$6, 'Data entry'!$AP$6:$AP$200,'Data Validation'!$U$5, 'Data entry'!$BD$6:$BD$200,"&lt;&gt;*Negative*"))</f>
        <v>0</v>
      </c>
      <c r="BD103" s="15">
        <f>SUM(COUNTIFS('Data entry'!$R$6:$R$200,'Summary Data'!$A103,'Data entry'!$B$6:$B$200,{"Confirmed";"Probable"},'Data entry'!$AQ$6:$AQ$200,'Data Validation'!$V$6, 'Data entry'!$AP$6:$AP$200,'Data Validation'!$U$6, 'Data entry'!$BD$6:$BD$200,"&lt;&gt;*Negative*"))</f>
        <v>0</v>
      </c>
      <c r="BE103" s="15">
        <f>SUM(COUNTIFS('Data entry'!$R$6:$R$200,'Summary Data'!$A103,'Data entry'!$B$6:$B$200,{"Confirmed";"Probable"},'Data entry'!$AQ$6:$AQ$200,'Data Validation'!$V$7, 'Data entry'!$AP$6:$AP$200,'Data Validation'!$U$2, 'Data entry'!$BD$6:$BD$200,"&lt;&gt;*Negative*"))</f>
        <v>0</v>
      </c>
      <c r="BF103" s="15">
        <f>SUM(COUNTIFS('Data entry'!$R$6:$R$200,'Summary Data'!$A103,'Data entry'!$B$6:$B$200,{"Confirmed";"Probable"},'Data entry'!$AQ$6:$AQ$200,'Data Validation'!$V$7, 'Data entry'!$AP$6:$AP$200,'Data Validation'!$U$3, 'Data entry'!$BD$6:$BD$200,"&lt;&gt;*Negative*"))</f>
        <v>0</v>
      </c>
      <c r="BG103" s="15">
        <f>SUM(COUNTIFS('Data entry'!$R$6:$R$200,'Summary Data'!$A103,'Data entry'!$B$6:$B$200,{"Confirmed";"Probable"},'Data entry'!$AQ$6:$AQ$200,'Data Validation'!$V$7, 'Data entry'!$AP$6:$AP$200,'Data Validation'!$U$4, 'Data entry'!$BD$6:$BD$200,"&lt;&gt;*Negative*"))</f>
        <v>0</v>
      </c>
      <c r="BH103" s="15">
        <f>SUM(COUNTIFS('Data entry'!$R$6:$R$200,'Summary Data'!$A103,'Data entry'!$B$6:$B$200,{"Confirmed";"Probable"},'Data entry'!$AQ$6:$AQ$200,'Data Validation'!$V$7, 'Data entry'!$AP$6:$AP$200,'Data Validation'!$U$5, 'Data entry'!$BD$6:$BD$200,"&lt;&gt;*Negative*"))</f>
        <v>0</v>
      </c>
      <c r="BI103" s="15">
        <f>SUM(COUNTIFS('Data entry'!$R$6:$R$200,'Summary Data'!$A103,'Data entry'!$B$6:$B$200,{"Confirmed";"Probable"},'Data entry'!$AQ$6:$AQ$200,'Data Validation'!$V$7, 'Data entry'!$AP$6:$AP$200,'Data Validation'!$U$6, 'Data entry'!$BD$6:$BD$200,"&lt;&gt;*Negative*"))</f>
        <v>0</v>
      </c>
      <c r="BJ103" s="15">
        <f>SUM(COUNTIFS('Data entry'!$R$6:$R$200,'Summary Data'!$A103,'Data entry'!$B$6:$B$200,{"Confirmed";"Probable"},'Data entry'!$AQ$6:$AQ$200,'Data Validation'!$V$8, 'Data entry'!$AP$6:$AP$200,'Data Validation'!$U$2, 'Data entry'!$BD$6:$BD$200,"&lt;&gt;*Negative*"))</f>
        <v>0</v>
      </c>
      <c r="BK103" s="15">
        <f>SUM(COUNTIFS('Data entry'!$R$6:$R$200,'Summary Data'!$A103,'Data entry'!$B$6:$B$200,{"Confirmed";"Probable"},'Data entry'!$AQ$6:$AQ$200,'Data Validation'!$V$8, 'Data entry'!$AP$6:$AP$200,'Data Validation'!$U$3, 'Data entry'!$BD$6:$BD$200,"&lt;&gt;*Negative*"))</f>
        <v>0</v>
      </c>
      <c r="BL103" s="15">
        <f>SUM(COUNTIFS('Data entry'!$R$6:$R$200,'Summary Data'!$A103,'Data entry'!$B$6:$B$200,{"Confirmed";"Probable"},'Data entry'!$AQ$6:$AQ$200,'Data Validation'!$V$8, 'Data entry'!$AP$6:$AP$200,'Data Validation'!$U$4, 'Data entry'!$BD$6:$BD$200,"&lt;&gt;*Negative*"))</f>
        <v>0</v>
      </c>
      <c r="BM103" s="15">
        <f>SUM(COUNTIFS('Data entry'!$R$6:$R$200,'Summary Data'!$A103,'Data entry'!$B$6:$B$200,{"Confirmed";"Probable"},'Data entry'!$AQ$6:$AQ$200,'Data Validation'!$V$8, 'Data entry'!$AP$6:$AP$200,'Data Validation'!$U$5, 'Data entry'!$BD$6:$BD$200,"&lt;&gt;*Negative*"))</f>
        <v>0</v>
      </c>
      <c r="BN103" s="15">
        <f>SUM(COUNTIFS('Data entry'!$R$6:$R$200,'Summary Data'!$A103,'Data entry'!$B$6:$B$200,{"Confirmed";"Probable"},'Data entry'!$AQ$6:$AQ$200,'Data Validation'!$V$8, 'Data entry'!$AP$6:$AP$200,'Data Validation'!$U$6, 'Data entry'!$BD$6:$BD$200,"&lt;&gt;*Negative*"))</f>
        <v>0</v>
      </c>
      <c r="BO103" s="15">
        <f>SUM(COUNTIFS('Data entry'!$R$6:$R$200,'Summary Data'!$A103,'Data entry'!$B$6:$B$200,{"Confirmed";"Probable"},'Data entry'!$AQ$6:$AQ$200,'Data Validation'!$V$9, 'Data entry'!$AP$6:$AP$200,'Data Validation'!$U$2, 'Data entry'!$BD$6:$BD$200,"&lt;&gt;*Negative*"))</f>
        <v>0</v>
      </c>
      <c r="BP103" s="15">
        <f>SUM(COUNTIFS('Data entry'!$R$6:$R$200,'Summary Data'!$A103,'Data entry'!$B$6:$B$200,{"Confirmed";"Probable"},'Data entry'!$AQ$6:$AQ$200,'Data Validation'!$V$9, 'Data entry'!$AP$6:$AP$200,'Data Validation'!$U$3, 'Data entry'!$BD$6:$BD$200,"&lt;&gt;*Negative*"))</f>
        <v>0</v>
      </c>
      <c r="BQ103" s="15">
        <f>SUM(COUNTIFS('Data entry'!$R$6:$R$200,'Summary Data'!$A103,'Data entry'!$B$6:$B$200,{"Confirmed";"Probable"},'Data entry'!$AQ$6:$AQ$200,'Data Validation'!$V$9, 'Data entry'!$AP$6:$AP$200,'Data Validation'!$U$4, 'Data entry'!$BD$6:$BD$200,"&lt;&gt;*Negative*"))</f>
        <v>0</v>
      </c>
      <c r="BR103" s="15">
        <f>SUM(COUNTIFS('Data entry'!$R$6:$R$200,'Summary Data'!$A103,'Data entry'!$B$6:$B$200,{"Confirmed";"Probable"},'Data entry'!$AQ$6:$AQ$200,'Data Validation'!$V$9, 'Data entry'!$AP$6:$AP$200,'Data Validation'!$U$5, 'Data entry'!$BD$6:$BD$200,"&lt;&gt;*Negative*"))</f>
        <v>0</v>
      </c>
      <c r="BS103" s="15">
        <f>SUM(COUNTIFS('Data entry'!$R$6:$R$200,'Summary Data'!$A103,'Data entry'!$B$6:$B$200,{"Confirmed";"Probable"},'Data entry'!$AQ$6:$AQ$200,'Data Validation'!$V$9, 'Data entry'!$AP$6:$AP$200,'Data Validation'!$U$6, 'Data entry'!$BD$6:$BD$200,"&lt;&gt;*Negative*"))</f>
        <v>0</v>
      </c>
      <c r="BT103" s="15">
        <f>SUM(COUNTIFS('Data entry'!$R$6:$R$200,'Summary Data'!$A103,'Data entry'!$B$6:$B$200,{"Confirmed";"Probable"},'Data entry'!$AQ$6:$AQ$200,'Data Validation'!$V$10, 'Data entry'!$AP$6:$AP$200,'Data Validation'!$U$2, 'Data entry'!$BD$6:$BD$200,"&lt;&gt;*Negative*"))</f>
        <v>0</v>
      </c>
      <c r="BU103" s="15">
        <f>SUM(COUNTIFS('Data entry'!$R$6:$R$200,'Summary Data'!$A103,'Data entry'!$B$6:$B$200,{"Confirmed";"Probable"},'Data entry'!$AQ$6:$AQ$200,'Data Validation'!$V$10, 'Data entry'!$AP$6:$AP$200,'Data Validation'!$U$3, 'Data entry'!$BD$6:$BD$200,"&lt;&gt;*Negative*"))</f>
        <v>0</v>
      </c>
      <c r="BV103" s="15">
        <f>SUM(COUNTIFS('Data entry'!$R$6:$R$200,'Summary Data'!$A103,'Data entry'!$B$6:$B$200,{"Confirmed";"Probable"},'Data entry'!$AQ$6:$AQ$200,'Data Validation'!$V$10, 'Data entry'!$AP$6:$AP$200,'Data Validation'!$U$4, 'Data entry'!$BD$6:$BD$200,"&lt;&gt;*Negative*"))</f>
        <v>0</v>
      </c>
      <c r="BW103" s="15">
        <f>SUM(COUNTIFS('Data entry'!$R$6:$R$200,'Summary Data'!$A103,'Data entry'!$B$6:$B$200,{"Confirmed";"Probable"},'Data entry'!$AQ$6:$AQ$200,'Data Validation'!$V$10, 'Data entry'!$AP$6:$AP$200,'Data Validation'!$U$5, 'Data entry'!$BD$6:$BD$200,"&lt;&gt;*Negative*"))</f>
        <v>0</v>
      </c>
      <c r="BX103" s="15">
        <f>SUM(COUNTIFS('Data entry'!$R$6:$R$200,'Summary Data'!$A103,'Data entry'!$B$6:$B$200,{"Confirmed";"Probable"},'Data entry'!$AQ$6:$AQ$200,'Data Validation'!$V$10, 'Data entry'!$AP$6:$AP$200,'Data Validation'!$U$6, 'Data entry'!$BD$6:$BD$200,"&lt;&gt;*Negative*"))</f>
        <v>0</v>
      </c>
      <c r="BY103" s="15">
        <f>SUM(COUNTIFS('Data entry'!$R$6:$R$200,'Summary Data'!$A103,'Data entry'!$B$6:$B$200,{"Confirmed";"Probable"},'Data entry'!$AQ$6:$AQ$200,'Data Validation'!$V$11, 'Data entry'!$AP$6:$AP$200,'Data Validation'!$U$2, 'Data entry'!$BD$6:$BD$200,"&lt;&gt;*Negative*"))</f>
        <v>0</v>
      </c>
      <c r="BZ103" s="15">
        <f>SUM(COUNTIFS('Data entry'!$R$6:$R$200,'Summary Data'!$A103,'Data entry'!$B$6:$B$200,{"Confirmed";"Probable"},'Data entry'!$AQ$6:$AQ$200,'Data Validation'!$V$11, 'Data entry'!$AP$6:$AP$200,'Data Validation'!$U$3, 'Data entry'!$BD$6:$BD$200,"&lt;&gt;*Negative*"))</f>
        <v>0</v>
      </c>
      <c r="CA103" s="15">
        <f>SUM(COUNTIFS('Data entry'!$R$6:$R$200,'Summary Data'!$A103,'Data entry'!$B$6:$B$200,{"Confirmed";"Probable"},'Data entry'!$AQ$6:$AQ$200,'Data Validation'!$V$11, 'Data entry'!$AP$6:$AP$200,'Data Validation'!$U$4, 'Data entry'!$BD$6:$BD$200,"&lt;&gt;*Negative*"))</f>
        <v>0</v>
      </c>
      <c r="CB103" s="15">
        <f>SUM(COUNTIFS('Data entry'!$R$6:$R$200,'Summary Data'!$A103,'Data entry'!$B$6:$B$200,{"Confirmed";"Probable"},'Data entry'!$AQ$6:$AQ$200,'Data Validation'!$V$11, 'Data entry'!$AP$6:$AP$200,'Data Validation'!$U$5, 'Data entry'!$BD$6:$BD$200,"&lt;&gt;*Negative*"))</f>
        <v>0</v>
      </c>
      <c r="CC103" s="15">
        <f>SUM(COUNTIFS('Data entry'!$R$6:$R$200,'Summary Data'!$A103,'Data entry'!$B$6:$B$200,{"Confirmed";"Probable"},'Data entry'!$AQ$6:$AQ$200,'Data Validation'!$V$11, 'Data entry'!$AP$6:$AP$200,'Data Validation'!$U$6, 'Data entry'!$BD$6:$BD$200,"&lt;&gt;*Negative*"))</f>
        <v>0</v>
      </c>
    </row>
    <row r="104" spans="1:81" x14ac:dyDescent="0.25">
      <c r="A104" s="12">
        <f t="shared" si="9"/>
        <v>92</v>
      </c>
      <c r="B104" s="13">
        <f t="shared" si="6"/>
        <v>0</v>
      </c>
      <c r="C104" s="13">
        <f>COUNTIFS('Data entry'!$R$6:$R$200,$A104,'Data entry'!$B$6:$B$200,"Confirmed",'Data entry'!$BD$6:$BD$200,"&lt;&gt;*Negative*")</f>
        <v>0</v>
      </c>
      <c r="D104" s="13">
        <f>COUNTIFS('Data entry'!$R$6:$R$200,$A104,'Data entry'!$B$6:$B$200,"Probable",'Data entry'!$BD$6:$BD$200,"&lt;&gt;*Negative*")</f>
        <v>0</v>
      </c>
      <c r="E104" s="13">
        <f>COUNTIFS('Data entry'!$R$6:$R$200,$A104,'Data entry'!$B$6:$B$200,"DNM")</f>
        <v>0</v>
      </c>
      <c r="F104" s="13">
        <f>SUM(COUNTIFS('Data entry'!$R$6:$R$200,'Summary Data'!$A104,'Data entry'!$B$6:$B$200,{"Confirmed";"Probable"},'Data entry'!$AO$6:$AO$200,$F$10, 'Data entry'!$BD$6:$BD$200,"&lt;&gt;*Negative*"))</f>
        <v>0</v>
      </c>
      <c r="G104" s="13">
        <f>SUM(COUNTIFS('Data entry'!$R$6:$R$200,'Summary Data'!$A104,'Data entry'!$B$6:$B$200,{"Confirmed";"Probable"},'Data entry'!$AO$6:$AO$200,$G$10, 'Data entry'!$BD$6:$BD$200,"&lt;&gt;*Negative*"))</f>
        <v>0</v>
      </c>
      <c r="H104" s="13">
        <f>SUM(COUNTIFS('Data entry'!$R$6:$R$200,'Summary Data'!$A104,'Data entry'!$B$6:$B$200,{"Confirmed";"Probable"},'Data entry'!$AO$6:$AO$200,$H$10, 'Data entry'!$BD$6:$BD$200,"&lt;&gt;*Negative*"))</f>
        <v>0</v>
      </c>
      <c r="I104" s="13">
        <f>SUM(COUNTIFS('Data entry'!$R$6:$R$200,'Summary Data'!$A104,'Data entry'!$B$6:$B$200,{"Confirmed";"Probable"},'Data entry'!$AO$6:$AO$200,$I$10, 'Data entry'!$BD$6:$BD$200,"&lt;&gt;*Negative*"))</f>
        <v>0</v>
      </c>
      <c r="J104" s="13">
        <f>SUM(COUNTIFS('Data entry'!$R$6:$R$200,'Summary Data'!$A104,'Data entry'!$B$6:$B$200,{"Confirmed";"Probable"},'Data entry'!$AO$6:$AO$200,$J$10, 'Data entry'!$BD$6:$BD$200,"&lt;&gt;*Negative*"))</f>
        <v>0</v>
      </c>
      <c r="K104" s="13">
        <f>SUM(COUNTIFS('Data entry'!$R$6:$R$200,'Summary Data'!$A104,'Data entry'!$B$6:$B$200,{"Confirmed";"Probable"},'Data entry'!$AO$6:$AO$200,$K$10, 'Data entry'!$BD$6:$BD$200,"&lt;&gt;*Negative*"))</f>
        <v>0</v>
      </c>
      <c r="L104" s="13">
        <f>SUM(COUNTIFS('Data entry'!$R$6:$R$200,'Summary Data'!$A104,'Data entry'!$B$6:$B$200,{"Confirmed";"Probable"},'Data entry'!$AO$6:$AO$200,$L$10, 'Data entry'!$BD$6:$BD$200,"&lt;&gt;*Negative*"))</f>
        <v>0</v>
      </c>
      <c r="M104" s="13">
        <f>SUM(COUNTIFS('Data entry'!$R$6:$R$200,'Summary Data'!$A104,'Data entry'!$B$6:$B$200,{"Confirmed";"Probable"},'Data entry'!$AO$6:$AO$200,$M$10, 'Data entry'!$BD$6:$BD$200,"&lt;&gt;*Negative*"))</f>
        <v>0</v>
      </c>
      <c r="N104" s="13">
        <f>SUM(COUNTIFS('Data entry'!$R$6:$R$200,'Summary Data'!$A104,'Data entry'!$B$6:$B$200,{"Confirmed";"Probable"},'Data entry'!$AO$6:$AO$200,$N$10, 'Data entry'!$BD$6:$BD$200,"&lt;&gt;*Negative*"))</f>
        <v>0</v>
      </c>
      <c r="O104" s="15">
        <f t="shared" si="7"/>
        <v>0</v>
      </c>
      <c r="P104" s="15">
        <f t="shared" si="8"/>
        <v>0</v>
      </c>
      <c r="Q104" s="15">
        <f>SUM(COUNTIFS('Data entry'!$R$6:$R$200,'Summary Data'!$A104,'Data entry'!$B$6:$B$200,{"Confirmed";"Probable"},'Data entry'!$AP$6:$AP$200,'Data Validation'!$U$2, 'Data entry'!$BD$6:$BD$200,"&lt;&gt;*Negative*"))</f>
        <v>0</v>
      </c>
      <c r="R104" s="15">
        <f>SUM(COUNTIFS('Data entry'!$R$6:$R$200,'Summary Data'!$A104,'Data entry'!$B$6:$B$200,{"Confirmed";"Probable"},'Data entry'!$AP$6:$AP$200,'Data Validation'!$U$3, 'Data entry'!$BD$6:$BD$200,"&lt;&gt;*Negative*"))</f>
        <v>0</v>
      </c>
      <c r="S104" s="15">
        <f>SUM(COUNTIFS('Data entry'!$R$6:$R$200,'Summary Data'!$A104,'Data entry'!$B$6:$B$200,{"Confirmed";"Probable"},'Data entry'!$AP$6:$AP$200,'Data Validation'!$U$4, 'Data entry'!$BD$6:$BD$200,"&lt;&gt;*Negative*"))</f>
        <v>0</v>
      </c>
      <c r="T104" s="15">
        <f>SUM(COUNTIFS('Data entry'!$R$6:$R$200,'Summary Data'!$A104,'Data entry'!$B$6:$B$200,{"Confirmed";"Probable"},'Data entry'!$AP$6:$AP$200,'Data Validation'!$U$5, 'Data entry'!$BD$6:$BD$200,"&lt;&gt;*Negative*"))</f>
        <v>0</v>
      </c>
      <c r="U104" s="15">
        <f>SUM(COUNTIFS('Data entry'!$R$6:$R$200,'Summary Data'!$A104,'Data entry'!$B$6:$B$200,{"Confirmed";"Probable"},'Data entry'!$AP$6:$AP$200,'Data Validation'!$U$6, 'Data entry'!$BD$6:$BD$200,"&lt;&gt;*Negative*"))</f>
        <v>0</v>
      </c>
      <c r="V104" s="15">
        <f>SUM(COUNTIFS('Data entry'!$R$6:$R$200,'Summary Data'!$A104,'Data entry'!$B$6:$B$200,{"Confirmed";"Probable"},'Data entry'!$AQ$6:$AQ$200,'Data Validation'!$V$2, 'Data entry'!$BD$6:$BD$200,"&lt;&gt;*Negative*"))</f>
        <v>0</v>
      </c>
      <c r="W104" s="15">
        <f>SUM(COUNTIFS('Data entry'!$R$6:$R$200,'Summary Data'!$A104,'Data entry'!$B$6:$B$200,{"Confirmed";"Probable"},'Data entry'!$AQ$6:$AQ$200,'Data Validation'!$V$3, 'Data entry'!$BD$6:$BD$200,"&lt;&gt;*Negative*"))</f>
        <v>0</v>
      </c>
      <c r="X104" s="15">
        <f>SUM(COUNTIFS('Data entry'!$R$6:$R$200,'Summary Data'!$A104,'Data entry'!$B$6:$B$200,{"Confirmed";"Probable"},'Data entry'!$AQ$6:$AQ$200,'Data Validation'!$V$4, 'Data entry'!$BD$6:$BD$200,"&lt;&gt;*Negative*"))</f>
        <v>0</v>
      </c>
      <c r="Y104" s="15">
        <f>SUM(COUNTIFS('Data entry'!$R$6:$R$200,'Summary Data'!$A104,'Data entry'!$B$6:$B$200,{"Confirmed";"Probable"},'Data entry'!$AQ$6:$AQ$200,'Data Validation'!$V$5, 'Data entry'!$BD$6:$BD$200,"&lt;&gt;*Negative*"))</f>
        <v>0</v>
      </c>
      <c r="Z104" s="15">
        <f>SUM(COUNTIFS('Data entry'!$R$6:$R$200,'Summary Data'!$A104,'Data entry'!$B$6:$B$200,{"Confirmed";"Probable"},'Data entry'!$AQ$6:$AQ$200,'Data Validation'!$V$6, 'Data entry'!$BD$6:$BD$200,"&lt;&gt;*Negative*"))</f>
        <v>0</v>
      </c>
      <c r="AA104" s="15">
        <f>SUM(COUNTIFS('Data entry'!$R$6:$R$200,'Summary Data'!$A104,'Data entry'!$B$6:$B$200,{"Confirmed";"Probable"},'Data entry'!$AQ$6:$AQ$200,'Data Validation'!$V$7, 'Data entry'!$BD$6:$BD$200,"&lt;&gt;*Negative*"))</f>
        <v>0</v>
      </c>
      <c r="AB104" s="15">
        <f>SUM(COUNTIFS('Data entry'!$R$6:$R$200,'Summary Data'!$A104,'Data entry'!$B$6:$B$200,{"Confirmed";"Probable"},'Data entry'!$AQ$6:$AQ$200,'Data Validation'!$V$8, 'Data entry'!$BD$6:$BD$200,"&lt;&gt;*Negative*"))</f>
        <v>0</v>
      </c>
      <c r="AC104" s="15">
        <f>SUM(COUNTIFS('Data entry'!$R$6:$R$200,'Summary Data'!$A104,'Data entry'!$B$6:$B$200,{"Confirmed";"Probable"},'Data entry'!$AQ$6:$AQ$200,'Data Validation'!$V$9, 'Data entry'!$BD$6:$BD$200,"&lt;&gt;*Negative*"))</f>
        <v>0</v>
      </c>
      <c r="AD104" s="15">
        <f>SUM(COUNTIFS('Data entry'!$R$6:$R$200,'Summary Data'!$A104,'Data entry'!$B$6:$B$200,{"Confirmed";"Probable"},'Data entry'!$AQ$6:$AQ$200,'Data Validation'!$V$10, 'Data entry'!$BD$6:$BD$200,"&lt;&gt;*Negative*"))</f>
        <v>0</v>
      </c>
      <c r="AE104" s="15">
        <f>SUM(COUNTIFS('Data entry'!$R$6:$R$200,'Summary Data'!$A104,'Data entry'!$B$6:$B$200,{"Confirmed";"Probable"},'Data entry'!$AQ$6:$AQ$200,'Data Validation'!$V$11, 'Data entry'!$BD$6:$BD$200,"&lt;&gt;*Negative*"))</f>
        <v>0</v>
      </c>
      <c r="AF104" s="15">
        <f>SUM(COUNTIFS('Data entry'!$R$6:$R$200,'Summary Data'!$A104,'Data entry'!$B$6:$B$200,{"Confirmed";"Probable"},'Data entry'!$AQ$6:$AQ$200,'Data Validation'!$V$2, 'Data entry'!$AP$6:$AP$200,'Data Validation'!$U$2, 'Data entry'!$BD$6:$BD$200,"&lt;&gt;*Negative*"))</f>
        <v>0</v>
      </c>
      <c r="AG104" s="15">
        <f>SUM(COUNTIFS('Data entry'!$R$6:$R$200,'Summary Data'!$A104,'Data entry'!$B$6:$B$200,{"Confirmed";"Probable"},'Data entry'!$AQ$6:$AQ$200,'Data Validation'!$V$2, 'Data entry'!$AP$6:$AP$200,'Data Validation'!$U$3, 'Data entry'!$BD$6:$BD$200,"&lt;&gt;*Negative*"))</f>
        <v>0</v>
      </c>
      <c r="AH104" s="15">
        <f>SUM(COUNTIFS('Data entry'!$R$6:$R$200,'Summary Data'!$A104,'Data entry'!$B$6:$B$200,{"Confirmed";"Probable"},'Data entry'!$AQ$6:$AQ$200,'Data Validation'!$V$2, 'Data entry'!$AP$6:$AP$200,'Data Validation'!$U$4, 'Data entry'!$BD$6:$BD$200,"&lt;&gt;*Negative*"))</f>
        <v>0</v>
      </c>
      <c r="AI104" s="15">
        <f>SUM(COUNTIFS('Data entry'!$R$6:$R$200,'Summary Data'!$A104,'Data entry'!$B$6:$B$200,{"Confirmed";"Probable"},'Data entry'!$AQ$6:$AQ$200,'Data Validation'!$V$2, 'Data entry'!$AP$6:$AP$200,'Data Validation'!$U$5, 'Data entry'!$BD$6:$BD$200,"&lt;&gt;*Negative*"))</f>
        <v>0</v>
      </c>
      <c r="AJ104" s="15">
        <f>SUM(COUNTIFS('Data entry'!$R$6:$R$200,'Summary Data'!$A104,'Data entry'!$B$6:$B$200,{"Confirmed";"Probable"},'Data entry'!$AQ$6:$AQ$200,'Data Validation'!$V$2, 'Data entry'!$AP$6:$AP$200,'Data Validation'!$U$6, 'Data entry'!$BD$6:$BD$200,"&lt;&gt;*Negative*"))</f>
        <v>0</v>
      </c>
      <c r="AK104" s="15">
        <f>SUM(COUNTIFS('Data entry'!$R$6:$R$200,'Summary Data'!$A104,'Data entry'!$B$6:$B$200,{"Confirmed";"Probable"},'Data entry'!$AQ$6:$AQ$200,'Data Validation'!$V$3, 'Data entry'!$AP$6:$AP$200,'Data Validation'!$U$2, 'Data entry'!$BD$6:$BD$200,"&lt;&gt;*Negative*"))</f>
        <v>0</v>
      </c>
      <c r="AL104" s="15">
        <f>SUM(COUNTIFS('Data entry'!$R$6:$R$200,'Summary Data'!$A104,'Data entry'!$B$6:$B$200,{"Confirmed";"Probable"},'Data entry'!$AQ$6:$AQ$200,'Data Validation'!$V$3, 'Data entry'!$AP$6:$AP$200,'Data Validation'!$U$3, 'Data entry'!$BD$6:$BD$200,"&lt;&gt;*Negative*"))</f>
        <v>0</v>
      </c>
      <c r="AM104" s="15">
        <f>SUM(COUNTIFS('Data entry'!$R$6:$R$200,'Summary Data'!$A104,'Data entry'!$B$6:$B$200,{"Confirmed";"Probable"},'Data entry'!$AQ$6:$AQ$200,'Data Validation'!$V$3, 'Data entry'!$AP$6:$AP$200,'Data Validation'!$U$4, 'Data entry'!$BD$6:$BD$200,"&lt;&gt;*Negative*"))</f>
        <v>0</v>
      </c>
      <c r="AN104" s="15">
        <f>SUM(COUNTIFS('Data entry'!$R$6:$R$200,'Summary Data'!$A104,'Data entry'!$B$6:$B$200,{"Confirmed";"Probable"},'Data entry'!$AQ$6:$AQ$200,'Data Validation'!$V$3, 'Data entry'!$AP$6:$AP$200,'Data Validation'!$U$5, 'Data entry'!$BD$6:$BD$200,"&lt;&gt;*Negative*"))</f>
        <v>0</v>
      </c>
      <c r="AO104" s="15">
        <f>SUM(COUNTIFS('Data entry'!$R$6:$R$200,'Summary Data'!$A104,'Data entry'!$B$6:$B$200,{"Confirmed";"Probable"},'Data entry'!$AQ$6:$AQ$200,'Data Validation'!$V$3, 'Data entry'!$AP$6:$AP$200,'Data Validation'!$U$6, 'Data entry'!$BD$6:$BD$200,"&lt;&gt;*Negative*"))</f>
        <v>0</v>
      </c>
      <c r="AP104" s="15">
        <f>SUM(COUNTIFS('Data entry'!$R$6:$R$200,'Summary Data'!$A104,'Data entry'!$B$6:$B$200,{"Confirmed";"Probable"},'Data entry'!$AQ$6:$AQ$200,'Data Validation'!$V$4, 'Data entry'!$AP$6:$AP$200,'Data Validation'!$U$2, 'Data entry'!$BD$6:$BD$200,"&lt;&gt;*Negative*"))</f>
        <v>0</v>
      </c>
      <c r="AQ104" s="15">
        <f>SUM(COUNTIFS('Data entry'!$R$6:$R$200,'Summary Data'!$A104,'Data entry'!$B$6:$B$200,{"Confirmed";"Probable"},'Data entry'!$AQ$6:$AQ$200,'Data Validation'!$V$4, 'Data entry'!$AP$6:$AP$200,'Data Validation'!$U$3, 'Data entry'!$BD$6:$BD$200,"&lt;&gt;*Negative*"))</f>
        <v>0</v>
      </c>
      <c r="AR104" s="15">
        <f>SUM(COUNTIFS('Data entry'!$R$6:$R$200,'Summary Data'!$A104,'Data entry'!$B$6:$B$200,{"Confirmed";"Probable"},'Data entry'!$AQ$6:$AQ$200,'Data Validation'!$V$4, 'Data entry'!$AP$6:$AP$200,'Data Validation'!$U$4, 'Data entry'!$BD$6:$BD$200,"&lt;&gt;*Negative*"))</f>
        <v>0</v>
      </c>
      <c r="AS104" s="15">
        <f>SUM(COUNTIFS('Data entry'!$R$6:$R$200,'Summary Data'!$A104,'Data entry'!$B$6:$B$200,{"Confirmed";"Probable"},'Data entry'!$AQ$6:$AQ$200,'Data Validation'!$V$4, 'Data entry'!$AP$6:$AP$200,'Data Validation'!$U$5, 'Data entry'!$BD$6:$BD$200,"&lt;&gt;*Negative*"))</f>
        <v>0</v>
      </c>
      <c r="AT104" s="15">
        <f>SUM(COUNTIFS('Data entry'!$R$6:$R$200,'Summary Data'!$A104,'Data entry'!$B$6:$B$200,{"Confirmed";"Probable"},'Data entry'!$AQ$6:$AQ$200,'Data Validation'!$V$4, 'Data entry'!$AP$6:$AP$200,'Data Validation'!$U$6, 'Data entry'!$BD$6:$BD$200,"&lt;&gt;*Negative*"))</f>
        <v>0</v>
      </c>
      <c r="AU104" s="15">
        <f>SUM(COUNTIFS('Data entry'!$R$6:$R$200,'Summary Data'!$A104,'Data entry'!$B$6:$B$200,{"Confirmed";"Probable"},'Data entry'!$AQ$6:$AQ$200,'Data Validation'!$V$5, 'Data entry'!$AP$6:$AP$200,'Data Validation'!$U$2, 'Data entry'!$BD$6:$BD$200,"&lt;&gt;*Negative*"))</f>
        <v>0</v>
      </c>
      <c r="AV104" s="15">
        <f>SUM(COUNTIFS('Data entry'!$R$6:$R$200,'Summary Data'!$A104,'Data entry'!$B$6:$B$200,{"Confirmed";"Probable"},'Data entry'!$AQ$6:$AQ$200,'Data Validation'!$V$5, 'Data entry'!$AP$6:$AP$200,'Data Validation'!$U$3, 'Data entry'!$BD$6:$BD$200,"&lt;&gt;*Negative*"))</f>
        <v>0</v>
      </c>
      <c r="AW104" s="15">
        <f>SUM(COUNTIFS('Data entry'!$R$6:$R$200,'Summary Data'!$A104,'Data entry'!$B$6:$B$200,{"Confirmed";"Probable"},'Data entry'!$AQ$6:$AQ$200,'Data Validation'!$V$5, 'Data entry'!$AP$6:$AP$200,'Data Validation'!$U$4, 'Data entry'!$BD$6:$BD$200,"&lt;&gt;*Negative*"))</f>
        <v>0</v>
      </c>
      <c r="AX104" s="15">
        <f>SUM(COUNTIFS('Data entry'!$R$6:$R$200,'Summary Data'!$A104,'Data entry'!$B$6:$B$200,{"Confirmed";"Probable"},'Data entry'!$AQ$6:$AQ$200,'Data Validation'!$V$5, 'Data entry'!$AP$6:$AP$200,'Data Validation'!$U$5, 'Data entry'!$BD$6:$BD$200,"&lt;&gt;*Negative*"))</f>
        <v>0</v>
      </c>
      <c r="AY104" s="15">
        <f>SUM(COUNTIFS('Data entry'!$R$6:$R$200,'Summary Data'!$A104,'Data entry'!$B$6:$B$200,{"Confirmed";"Probable"},'Data entry'!$AQ$6:$AQ$200,'Data Validation'!$V$5, 'Data entry'!$AP$6:$AP$200,'Data Validation'!$U$6, 'Data entry'!$BD$6:$BD$200,"&lt;&gt;*Negative*"))</f>
        <v>0</v>
      </c>
      <c r="AZ104" s="15">
        <f>SUM(COUNTIFS('Data entry'!$R$6:$R$200,'Summary Data'!$A104,'Data entry'!$B$6:$B$200,{"Confirmed";"Probable"},'Data entry'!$AQ$6:$AQ$200,'Data Validation'!$V$6, 'Data entry'!$AP$6:$AP$200,'Data Validation'!$U$2, 'Data entry'!$BD$6:$BD$200,"&lt;&gt;*Negative*"))</f>
        <v>0</v>
      </c>
      <c r="BA104" s="15">
        <f>SUM(COUNTIFS('Data entry'!$R$6:$R$200,'Summary Data'!$A104,'Data entry'!$B$6:$B$200,{"Confirmed";"Probable"},'Data entry'!$AQ$6:$AQ$200,'Data Validation'!$V$6, 'Data entry'!$AP$6:$AP$200,'Data Validation'!$U$3, 'Data entry'!$BD$6:$BD$200,"&lt;&gt;*Negative*"))</f>
        <v>0</v>
      </c>
      <c r="BB104" s="15">
        <f>SUM(COUNTIFS('Data entry'!$R$6:$R$200,'Summary Data'!$A104,'Data entry'!$B$6:$B$200,{"Confirmed";"Probable"},'Data entry'!$AQ$6:$AQ$200,'Data Validation'!$V$6, 'Data entry'!$AP$6:$AP$200,'Data Validation'!$U$4, 'Data entry'!$BD$6:$BD$200,"&lt;&gt;*Negative*"))</f>
        <v>0</v>
      </c>
      <c r="BC104" s="15">
        <f>SUM(COUNTIFS('Data entry'!$R$6:$R$200,'Summary Data'!$A104,'Data entry'!$B$6:$B$200,{"Confirmed";"Probable"},'Data entry'!$AQ$6:$AQ$200,'Data Validation'!$V$6, 'Data entry'!$AP$6:$AP$200,'Data Validation'!$U$5, 'Data entry'!$BD$6:$BD$200,"&lt;&gt;*Negative*"))</f>
        <v>0</v>
      </c>
      <c r="BD104" s="15">
        <f>SUM(COUNTIFS('Data entry'!$R$6:$R$200,'Summary Data'!$A104,'Data entry'!$B$6:$B$200,{"Confirmed";"Probable"},'Data entry'!$AQ$6:$AQ$200,'Data Validation'!$V$6, 'Data entry'!$AP$6:$AP$200,'Data Validation'!$U$6, 'Data entry'!$BD$6:$BD$200,"&lt;&gt;*Negative*"))</f>
        <v>0</v>
      </c>
      <c r="BE104" s="15">
        <f>SUM(COUNTIFS('Data entry'!$R$6:$R$200,'Summary Data'!$A104,'Data entry'!$B$6:$B$200,{"Confirmed";"Probable"},'Data entry'!$AQ$6:$AQ$200,'Data Validation'!$V$7, 'Data entry'!$AP$6:$AP$200,'Data Validation'!$U$2, 'Data entry'!$BD$6:$BD$200,"&lt;&gt;*Negative*"))</f>
        <v>0</v>
      </c>
      <c r="BF104" s="15">
        <f>SUM(COUNTIFS('Data entry'!$R$6:$R$200,'Summary Data'!$A104,'Data entry'!$B$6:$B$200,{"Confirmed";"Probable"},'Data entry'!$AQ$6:$AQ$200,'Data Validation'!$V$7, 'Data entry'!$AP$6:$AP$200,'Data Validation'!$U$3, 'Data entry'!$BD$6:$BD$200,"&lt;&gt;*Negative*"))</f>
        <v>0</v>
      </c>
      <c r="BG104" s="15">
        <f>SUM(COUNTIFS('Data entry'!$R$6:$R$200,'Summary Data'!$A104,'Data entry'!$B$6:$B$200,{"Confirmed";"Probable"},'Data entry'!$AQ$6:$AQ$200,'Data Validation'!$V$7, 'Data entry'!$AP$6:$AP$200,'Data Validation'!$U$4, 'Data entry'!$BD$6:$BD$200,"&lt;&gt;*Negative*"))</f>
        <v>0</v>
      </c>
      <c r="BH104" s="15">
        <f>SUM(COUNTIFS('Data entry'!$R$6:$R$200,'Summary Data'!$A104,'Data entry'!$B$6:$B$200,{"Confirmed";"Probable"},'Data entry'!$AQ$6:$AQ$200,'Data Validation'!$V$7, 'Data entry'!$AP$6:$AP$200,'Data Validation'!$U$5, 'Data entry'!$BD$6:$BD$200,"&lt;&gt;*Negative*"))</f>
        <v>0</v>
      </c>
      <c r="BI104" s="15">
        <f>SUM(COUNTIFS('Data entry'!$R$6:$R$200,'Summary Data'!$A104,'Data entry'!$B$6:$B$200,{"Confirmed";"Probable"},'Data entry'!$AQ$6:$AQ$200,'Data Validation'!$V$7, 'Data entry'!$AP$6:$AP$200,'Data Validation'!$U$6, 'Data entry'!$BD$6:$BD$200,"&lt;&gt;*Negative*"))</f>
        <v>0</v>
      </c>
      <c r="BJ104" s="15">
        <f>SUM(COUNTIFS('Data entry'!$R$6:$R$200,'Summary Data'!$A104,'Data entry'!$B$6:$B$200,{"Confirmed";"Probable"},'Data entry'!$AQ$6:$AQ$200,'Data Validation'!$V$8, 'Data entry'!$AP$6:$AP$200,'Data Validation'!$U$2, 'Data entry'!$BD$6:$BD$200,"&lt;&gt;*Negative*"))</f>
        <v>0</v>
      </c>
      <c r="BK104" s="15">
        <f>SUM(COUNTIFS('Data entry'!$R$6:$R$200,'Summary Data'!$A104,'Data entry'!$B$6:$B$200,{"Confirmed";"Probable"},'Data entry'!$AQ$6:$AQ$200,'Data Validation'!$V$8, 'Data entry'!$AP$6:$AP$200,'Data Validation'!$U$3, 'Data entry'!$BD$6:$BD$200,"&lt;&gt;*Negative*"))</f>
        <v>0</v>
      </c>
      <c r="BL104" s="15">
        <f>SUM(COUNTIFS('Data entry'!$R$6:$R$200,'Summary Data'!$A104,'Data entry'!$B$6:$B$200,{"Confirmed";"Probable"},'Data entry'!$AQ$6:$AQ$200,'Data Validation'!$V$8, 'Data entry'!$AP$6:$AP$200,'Data Validation'!$U$4, 'Data entry'!$BD$6:$BD$200,"&lt;&gt;*Negative*"))</f>
        <v>0</v>
      </c>
      <c r="BM104" s="15">
        <f>SUM(COUNTIFS('Data entry'!$R$6:$R$200,'Summary Data'!$A104,'Data entry'!$B$6:$B$200,{"Confirmed";"Probable"},'Data entry'!$AQ$6:$AQ$200,'Data Validation'!$V$8, 'Data entry'!$AP$6:$AP$200,'Data Validation'!$U$5, 'Data entry'!$BD$6:$BD$200,"&lt;&gt;*Negative*"))</f>
        <v>0</v>
      </c>
      <c r="BN104" s="15">
        <f>SUM(COUNTIFS('Data entry'!$R$6:$R$200,'Summary Data'!$A104,'Data entry'!$B$6:$B$200,{"Confirmed";"Probable"},'Data entry'!$AQ$6:$AQ$200,'Data Validation'!$V$8, 'Data entry'!$AP$6:$AP$200,'Data Validation'!$U$6, 'Data entry'!$BD$6:$BD$200,"&lt;&gt;*Negative*"))</f>
        <v>0</v>
      </c>
      <c r="BO104" s="15">
        <f>SUM(COUNTIFS('Data entry'!$R$6:$R$200,'Summary Data'!$A104,'Data entry'!$B$6:$B$200,{"Confirmed";"Probable"},'Data entry'!$AQ$6:$AQ$200,'Data Validation'!$V$9, 'Data entry'!$AP$6:$AP$200,'Data Validation'!$U$2, 'Data entry'!$BD$6:$BD$200,"&lt;&gt;*Negative*"))</f>
        <v>0</v>
      </c>
      <c r="BP104" s="15">
        <f>SUM(COUNTIFS('Data entry'!$R$6:$R$200,'Summary Data'!$A104,'Data entry'!$B$6:$B$200,{"Confirmed";"Probable"},'Data entry'!$AQ$6:$AQ$200,'Data Validation'!$V$9, 'Data entry'!$AP$6:$AP$200,'Data Validation'!$U$3, 'Data entry'!$BD$6:$BD$200,"&lt;&gt;*Negative*"))</f>
        <v>0</v>
      </c>
      <c r="BQ104" s="15">
        <f>SUM(COUNTIFS('Data entry'!$R$6:$R$200,'Summary Data'!$A104,'Data entry'!$B$6:$B$200,{"Confirmed";"Probable"},'Data entry'!$AQ$6:$AQ$200,'Data Validation'!$V$9, 'Data entry'!$AP$6:$AP$200,'Data Validation'!$U$4, 'Data entry'!$BD$6:$BD$200,"&lt;&gt;*Negative*"))</f>
        <v>0</v>
      </c>
      <c r="BR104" s="15">
        <f>SUM(COUNTIFS('Data entry'!$R$6:$R$200,'Summary Data'!$A104,'Data entry'!$B$6:$B$200,{"Confirmed";"Probable"},'Data entry'!$AQ$6:$AQ$200,'Data Validation'!$V$9, 'Data entry'!$AP$6:$AP$200,'Data Validation'!$U$5, 'Data entry'!$BD$6:$BD$200,"&lt;&gt;*Negative*"))</f>
        <v>0</v>
      </c>
      <c r="BS104" s="15">
        <f>SUM(COUNTIFS('Data entry'!$R$6:$R$200,'Summary Data'!$A104,'Data entry'!$B$6:$B$200,{"Confirmed";"Probable"},'Data entry'!$AQ$6:$AQ$200,'Data Validation'!$V$9, 'Data entry'!$AP$6:$AP$200,'Data Validation'!$U$6, 'Data entry'!$BD$6:$BD$200,"&lt;&gt;*Negative*"))</f>
        <v>0</v>
      </c>
      <c r="BT104" s="15">
        <f>SUM(COUNTIFS('Data entry'!$R$6:$R$200,'Summary Data'!$A104,'Data entry'!$B$6:$B$200,{"Confirmed";"Probable"},'Data entry'!$AQ$6:$AQ$200,'Data Validation'!$V$10, 'Data entry'!$AP$6:$AP$200,'Data Validation'!$U$2, 'Data entry'!$BD$6:$BD$200,"&lt;&gt;*Negative*"))</f>
        <v>0</v>
      </c>
      <c r="BU104" s="15">
        <f>SUM(COUNTIFS('Data entry'!$R$6:$R$200,'Summary Data'!$A104,'Data entry'!$B$6:$B$200,{"Confirmed";"Probable"},'Data entry'!$AQ$6:$AQ$200,'Data Validation'!$V$10, 'Data entry'!$AP$6:$AP$200,'Data Validation'!$U$3, 'Data entry'!$BD$6:$BD$200,"&lt;&gt;*Negative*"))</f>
        <v>0</v>
      </c>
      <c r="BV104" s="15">
        <f>SUM(COUNTIFS('Data entry'!$R$6:$R$200,'Summary Data'!$A104,'Data entry'!$B$6:$B$200,{"Confirmed";"Probable"},'Data entry'!$AQ$6:$AQ$200,'Data Validation'!$V$10, 'Data entry'!$AP$6:$AP$200,'Data Validation'!$U$4, 'Data entry'!$BD$6:$BD$200,"&lt;&gt;*Negative*"))</f>
        <v>0</v>
      </c>
      <c r="BW104" s="15">
        <f>SUM(COUNTIFS('Data entry'!$R$6:$R$200,'Summary Data'!$A104,'Data entry'!$B$6:$B$200,{"Confirmed";"Probable"},'Data entry'!$AQ$6:$AQ$200,'Data Validation'!$V$10, 'Data entry'!$AP$6:$AP$200,'Data Validation'!$U$5, 'Data entry'!$BD$6:$BD$200,"&lt;&gt;*Negative*"))</f>
        <v>0</v>
      </c>
      <c r="BX104" s="15">
        <f>SUM(COUNTIFS('Data entry'!$R$6:$R$200,'Summary Data'!$A104,'Data entry'!$B$6:$B$200,{"Confirmed";"Probable"},'Data entry'!$AQ$6:$AQ$200,'Data Validation'!$V$10, 'Data entry'!$AP$6:$AP$200,'Data Validation'!$U$6, 'Data entry'!$BD$6:$BD$200,"&lt;&gt;*Negative*"))</f>
        <v>0</v>
      </c>
      <c r="BY104" s="15">
        <f>SUM(COUNTIFS('Data entry'!$R$6:$R$200,'Summary Data'!$A104,'Data entry'!$B$6:$B$200,{"Confirmed";"Probable"},'Data entry'!$AQ$6:$AQ$200,'Data Validation'!$V$11, 'Data entry'!$AP$6:$AP$200,'Data Validation'!$U$2, 'Data entry'!$BD$6:$BD$200,"&lt;&gt;*Negative*"))</f>
        <v>0</v>
      </c>
      <c r="BZ104" s="15">
        <f>SUM(COUNTIFS('Data entry'!$R$6:$R$200,'Summary Data'!$A104,'Data entry'!$B$6:$B$200,{"Confirmed";"Probable"},'Data entry'!$AQ$6:$AQ$200,'Data Validation'!$V$11, 'Data entry'!$AP$6:$AP$200,'Data Validation'!$U$3, 'Data entry'!$BD$6:$BD$200,"&lt;&gt;*Negative*"))</f>
        <v>0</v>
      </c>
      <c r="CA104" s="15">
        <f>SUM(COUNTIFS('Data entry'!$R$6:$R$200,'Summary Data'!$A104,'Data entry'!$B$6:$B$200,{"Confirmed";"Probable"},'Data entry'!$AQ$6:$AQ$200,'Data Validation'!$V$11, 'Data entry'!$AP$6:$AP$200,'Data Validation'!$U$4, 'Data entry'!$BD$6:$BD$200,"&lt;&gt;*Negative*"))</f>
        <v>0</v>
      </c>
      <c r="CB104" s="15">
        <f>SUM(COUNTIFS('Data entry'!$R$6:$R$200,'Summary Data'!$A104,'Data entry'!$B$6:$B$200,{"Confirmed";"Probable"},'Data entry'!$AQ$6:$AQ$200,'Data Validation'!$V$11, 'Data entry'!$AP$6:$AP$200,'Data Validation'!$U$5, 'Data entry'!$BD$6:$BD$200,"&lt;&gt;*Negative*"))</f>
        <v>0</v>
      </c>
      <c r="CC104" s="15">
        <f>SUM(COUNTIFS('Data entry'!$R$6:$R$200,'Summary Data'!$A104,'Data entry'!$B$6:$B$200,{"Confirmed";"Probable"},'Data entry'!$AQ$6:$AQ$200,'Data Validation'!$V$11, 'Data entry'!$AP$6:$AP$200,'Data Validation'!$U$6, 'Data entry'!$BD$6:$BD$200,"&lt;&gt;*Negative*"))</f>
        <v>0</v>
      </c>
    </row>
    <row r="105" spans="1:81" x14ac:dyDescent="0.25">
      <c r="A105" s="12">
        <f t="shared" si="9"/>
        <v>93</v>
      </c>
      <c r="B105" s="13">
        <f t="shared" si="6"/>
        <v>0</v>
      </c>
      <c r="C105" s="13">
        <f>COUNTIFS('Data entry'!$R$6:$R$200,$A105,'Data entry'!$B$6:$B$200,"Confirmed",'Data entry'!$BD$6:$BD$200,"&lt;&gt;*Negative*")</f>
        <v>0</v>
      </c>
      <c r="D105" s="13">
        <f>COUNTIFS('Data entry'!$R$6:$R$200,$A105,'Data entry'!$B$6:$B$200,"Probable",'Data entry'!$BD$6:$BD$200,"&lt;&gt;*Negative*")</f>
        <v>0</v>
      </c>
      <c r="E105" s="13">
        <f>COUNTIFS('Data entry'!$R$6:$R$200,$A105,'Data entry'!$B$6:$B$200,"DNM")</f>
        <v>0</v>
      </c>
      <c r="F105" s="13">
        <f>SUM(COUNTIFS('Data entry'!$R$6:$R$200,'Summary Data'!$A105,'Data entry'!$B$6:$B$200,{"Confirmed";"Probable"},'Data entry'!$AO$6:$AO$200,$F$10, 'Data entry'!$BD$6:$BD$200,"&lt;&gt;*Negative*"))</f>
        <v>0</v>
      </c>
      <c r="G105" s="13">
        <f>SUM(COUNTIFS('Data entry'!$R$6:$R$200,'Summary Data'!$A105,'Data entry'!$B$6:$B$200,{"Confirmed";"Probable"},'Data entry'!$AO$6:$AO$200,$G$10, 'Data entry'!$BD$6:$BD$200,"&lt;&gt;*Negative*"))</f>
        <v>0</v>
      </c>
      <c r="H105" s="13">
        <f>SUM(COUNTIFS('Data entry'!$R$6:$R$200,'Summary Data'!$A105,'Data entry'!$B$6:$B$200,{"Confirmed";"Probable"},'Data entry'!$AO$6:$AO$200,$H$10, 'Data entry'!$BD$6:$BD$200,"&lt;&gt;*Negative*"))</f>
        <v>0</v>
      </c>
      <c r="I105" s="13">
        <f>SUM(COUNTIFS('Data entry'!$R$6:$R$200,'Summary Data'!$A105,'Data entry'!$B$6:$B$200,{"Confirmed";"Probable"},'Data entry'!$AO$6:$AO$200,$I$10, 'Data entry'!$BD$6:$BD$200,"&lt;&gt;*Negative*"))</f>
        <v>0</v>
      </c>
      <c r="J105" s="13">
        <f>SUM(COUNTIFS('Data entry'!$R$6:$R$200,'Summary Data'!$A105,'Data entry'!$B$6:$B$200,{"Confirmed";"Probable"},'Data entry'!$AO$6:$AO$200,$J$10, 'Data entry'!$BD$6:$BD$200,"&lt;&gt;*Negative*"))</f>
        <v>0</v>
      </c>
      <c r="K105" s="13">
        <f>SUM(COUNTIFS('Data entry'!$R$6:$R$200,'Summary Data'!$A105,'Data entry'!$B$6:$B$200,{"Confirmed";"Probable"},'Data entry'!$AO$6:$AO$200,$K$10, 'Data entry'!$BD$6:$BD$200,"&lt;&gt;*Negative*"))</f>
        <v>0</v>
      </c>
      <c r="L105" s="13">
        <f>SUM(COUNTIFS('Data entry'!$R$6:$R$200,'Summary Data'!$A105,'Data entry'!$B$6:$B$200,{"Confirmed";"Probable"},'Data entry'!$AO$6:$AO$200,$L$10, 'Data entry'!$BD$6:$BD$200,"&lt;&gt;*Negative*"))</f>
        <v>0</v>
      </c>
      <c r="M105" s="13">
        <f>SUM(COUNTIFS('Data entry'!$R$6:$R$200,'Summary Data'!$A105,'Data entry'!$B$6:$B$200,{"Confirmed";"Probable"},'Data entry'!$AO$6:$AO$200,$M$10, 'Data entry'!$BD$6:$BD$200,"&lt;&gt;*Negative*"))</f>
        <v>0</v>
      </c>
      <c r="N105" s="13">
        <f>SUM(COUNTIFS('Data entry'!$R$6:$R$200,'Summary Data'!$A105,'Data entry'!$B$6:$B$200,{"Confirmed";"Probable"},'Data entry'!$AO$6:$AO$200,$N$10, 'Data entry'!$BD$6:$BD$200,"&lt;&gt;*Negative*"))</f>
        <v>0</v>
      </c>
      <c r="O105" s="15">
        <f t="shared" si="7"/>
        <v>0</v>
      </c>
      <c r="P105" s="15">
        <f t="shared" si="8"/>
        <v>0</v>
      </c>
      <c r="Q105" s="15">
        <f>SUM(COUNTIFS('Data entry'!$R$6:$R$200,'Summary Data'!$A105,'Data entry'!$B$6:$B$200,{"Confirmed";"Probable"},'Data entry'!$AP$6:$AP$200,'Data Validation'!$U$2, 'Data entry'!$BD$6:$BD$200,"&lt;&gt;*Negative*"))</f>
        <v>0</v>
      </c>
      <c r="R105" s="15">
        <f>SUM(COUNTIFS('Data entry'!$R$6:$R$200,'Summary Data'!$A105,'Data entry'!$B$6:$B$200,{"Confirmed";"Probable"},'Data entry'!$AP$6:$AP$200,'Data Validation'!$U$3, 'Data entry'!$BD$6:$BD$200,"&lt;&gt;*Negative*"))</f>
        <v>0</v>
      </c>
      <c r="S105" s="15">
        <f>SUM(COUNTIFS('Data entry'!$R$6:$R$200,'Summary Data'!$A105,'Data entry'!$B$6:$B$200,{"Confirmed";"Probable"},'Data entry'!$AP$6:$AP$200,'Data Validation'!$U$4, 'Data entry'!$BD$6:$BD$200,"&lt;&gt;*Negative*"))</f>
        <v>0</v>
      </c>
      <c r="T105" s="15">
        <f>SUM(COUNTIFS('Data entry'!$R$6:$R$200,'Summary Data'!$A105,'Data entry'!$B$6:$B$200,{"Confirmed";"Probable"},'Data entry'!$AP$6:$AP$200,'Data Validation'!$U$5, 'Data entry'!$BD$6:$BD$200,"&lt;&gt;*Negative*"))</f>
        <v>0</v>
      </c>
      <c r="U105" s="15">
        <f>SUM(COUNTIFS('Data entry'!$R$6:$R$200,'Summary Data'!$A105,'Data entry'!$B$6:$B$200,{"Confirmed";"Probable"},'Data entry'!$AP$6:$AP$200,'Data Validation'!$U$6, 'Data entry'!$BD$6:$BD$200,"&lt;&gt;*Negative*"))</f>
        <v>0</v>
      </c>
      <c r="V105" s="15">
        <f>SUM(COUNTIFS('Data entry'!$R$6:$R$200,'Summary Data'!$A105,'Data entry'!$B$6:$B$200,{"Confirmed";"Probable"},'Data entry'!$AQ$6:$AQ$200,'Data Validation'!$V$2, 'Data entry'!$BD$6:$BD$200,"&lt;&gt;*Negative*"))</f>
        <v>0</v>
      </c>
      <c r="W105" s="15">
        <f>SUM(COUNTIFS('Data entry'!$R$6:$R$200,'Summary Data'!$A105,'Data entry'!$B$6:$B$200,{"Confirmed";"Probable"},'Data entry'!$AQ$6:$AQ$200,'Data Validation'!$V$3, 'Data entry'!$BD$6:$BD$200,"&lt;&gt;*Negative*"))</f>
        <v>0</v>
      </c>
      <c r="X105" s="15">
        <f>SUM(COUNTIFS('Data entry'!$R$6:$R$200,'Summary Data'!$A105,'Data entry'!$B$6:$B$200,{"Confirmed";"Probable"},'Data entry'!$AQ$6:$AQ$200,'Data Validation'!$V$4, 'Data entry'!$BD$6:$BD$200,"&lt;&gt;*Negative*"))</f>
        <v>0</v>
      </c>
      <c r="Y105" s="15">
        <f>SUM(COUNTIFS('Data entry'!$R$6:$R$200,'Summary Data'!$A105,'Data entry'!$B$6:$B$200,{"Confirmed";"Probable"},'Data entry'!$AQ$6:$AQ$200,'Data Validation'!$V$5, 'Data entry'!$BD$6:$BD$200,"&lt;&gt;*Negative*"))</f>
        <v>0</v>
      </c>
      <c r="Z105" s="15">
        <f>SUM(COUNTIFS('Data entry'!$R$6:$R$200,'Summary Data'!$A105,'Data entry'!$B$6:$B$200,{"Confirmed";"Probable"},'Data entry'!$AQ$6:$AQ$200,'Data Validation'!$V$6, 'Data entry'!$BD$6:$BD$200,"&lt;&gt;*Negative*"))</f>
        <v>0</v>
      </c>
      <c r="AA105" s="15">
        <f>SUM(COUNTIFS('Data entry'!$R$6:$R$200,'Summary Data'!$A105,'Data entry'!$B$6:$B$200,{"Confirmed";"Probable"},'Data entry'!$AQ$6:$AQ$200,'Data Validation'!$V$7, 'Data entry'!$BD$6:$BD$200,"&lt;&gt;*Negative*"))</f>
        <v>0</v>
      </c>
      <c r="AB105" s="15">
        <f>SUM(COUNTIFS('Data entry'!$R$6:$R$200,'Summary Data'!$A105,'Data entry'!$B$6:$B$200,{"Confirmed";"Probable"},'Data entry'!$AQ$6:$AQ$200,'Data Validation'!$V$8, 'Data entry'!$BD$6:$BD$200,"&lt;&gt;*Negative*"))</f>
        <v>0</v>
      </c>
      <c r="AC105" s="15">
        <f>SUM(COUNTIFS('Data entry'!$R$6:$R$200,'Summary Data'!$A105,'Data entry'!$B$6:$B$200,{"Confirmed";"Probable"},'Data entry'!$AQ$6:$AQ$200,'Data Validation'!$V$9, 'Data entry'!$BD$6:$BD$200,"&lt;&gt;*Negative*"))</f>
        <v>0</v>
      </c>
      <c r="AD105" s="15">
        <f>SUM(COUNTIFS('Data entry'!$R$6:$R$200,'Summary Data'!$A105,'Data entry'!$B$6:$B$200,{"Confirmed";"Probable"},'Data entry'!$AQ$6:$AQ$200,'Data Validation'!$V$10, 'Data entry'!$BD$6:$BD$200,"&lt;&gt;*Negative*"))</f>
        <v>0</v>
      </c>
      <c r="AE105" s="15">
        <f>SUM(COUNTIFS('Data entry'!$R$6:$R$200,'Summary Data'!$A105,'Data entry'!$B$6:$B$200,{"Confirmed";"Probable"},'Data entry'!$AQ$6:$AQ$200,'Data Validation'!$V$11, 'Data entry'!$BD$6:$BD$200,"&lt;&gt;*Negative*"))</f>
        <v>0</v>
      </c>
      <c r="AF105" s="15">
        <f>SUM(COUNTIFS('Data entry'!$R$6:$R$200,'Summary Data'!$A105,'Data entry'!$B$6:$B$200,{"Confirmed";"Probable"},'Data entry'!$AQ$6:$AQ$200,'Data Validation'!$V$2, 'Data entry'!$AP$6:$AP$200,'Data Validation'!$U$2, 'Data entry'!$BD$6:$BD$200,"&lt;&gt;*Negative*"))</f>
        <v>0</v>
      </c>
      <c r="AG105" s="15">
        <f>SUM(COUNTIFS('Data entry'!$R$6:$R$200,'Summary Data'!$A105,'Data entry'!$B$6:$B$200,{"Confirmed";"Probable"},'Data entry'!$AQ$6:$AQ$200,'Data Validation'!$V$2, 'Data entry'!$AP$6:$AP$200,'Data Validation'!$U$3, 'Data entry'!$BD$6:$BD$200,"&lt;&gt;*Negative*"))</f>
        <v>0</v>
      </c>
      <c r="AH105" s="15">
        <f>SUM(COUNTIFS('Data entry'!$R$6:$R$200,'Summary Data'!$A105,'Data entry'!$B$6:$B$200,{"Confirmed";"Probable"},'Data entry'!$AQ$6:$AQ$200,'Data Validation'!$V$2, 'Data entry'!$AP$6:$AP$200,'Data Validation'!$U$4, 'Data entry'!$BD$6:$BD$200,"&lt;&gt;*Negative*"))</f>
        <v>0</v>
      </c>
      <c r="AI105" s="15">
        <f>SUM(COUNTIFS('Data entry'!$R$6:$R$200,'Summary Data'!$A105,'Data entry'!$B$6:$B$200,{"Confirmed";"Probable"},'Data entry'!$AQ$6:$AQ$200,'Data Validation'!$V$2, 'Data entry'!$AP$6:$AP$200,'Data Validation'!$U$5, 'Data entry'!$BD$6:$BD$200,"&lt;&gt;*Negative*"))</f>
        <v>0</v>
      </c>
      <c r="AJ105" s="15">
        <f>SUM(COUNTIFS('Data entry'!$R$6:$R$200,'Summary Data'!$A105,'Data entry'!$B$6:$B$200,{"Confirmed";"Probable"},'Data entry'!$AQ$6:$AQ$200,'Data Validation'!$V$2, 'Data entry'!$AP$6:$AP$200,'Data Validation'!$U$6, 'Data entry'!$BD$6:$BD$200,"&lt;&gt;*Negative*"))</f>
        <v>0</v>
      </c>
      <c r="AK105" s="15">
        <f>SUM(COUNTIFS('Data entry'!$R$6:$R$200,'Summary Data'!$A105,'Data entry'!$B$6:$B$200,{"Confirmed";"Probable"},'Data entry'!$AQ$6:$AQ$200,'Data Validation'!$V$3, 'Data entry'!$AP$6:$AP$200,'Data Validation'!$U$2, 'Data entry'!$BD$6:$BD$200,"&lt;&gt;*Negative*"))</f>
        <v>0</v>
      </c>
      <c r="AL105" s="15">
        <f>SUM(COUNTIFS('Data entry'!$R$6:$R$200,'Summary Data'!$A105,'Data entry'!$B$6:$B$200,{"Confirmed";"Probable"},'Data entry'!$AQ$6:$AQ$200,'Data Validation'!$V$3, 'Data entry'!$AP$6:$AP$200,'Data Validation'!$U$3, 'Data entry'!$BD$6:$BD$200,"&lt;&gt;*Negative*"))</f>
        <v>0</v>
      </c>
      <c r="AM105" s="15">
        <f>SUM(COUNTIFS('Data entry'!$R$6:$R$200,'Summary Data'!$A105,'Data entry'!$B$6:$B$200,{"Confirmed";"Probable"},'Data entry'!$AQ$6:$AQ$200,'Data Validation'!$V$3, 'Data entry'!$AP$6:$AP$200,'Data Validation'!$U$4, 'Data entry'!$BD$6:$BD$200,"&lt;&gt;*Negative*"))</f>
        <v>0</v>
      </c>
      <c r="AN105" s="15">
        <f>SUM(COUNTIFS('Data entry'!$R$6:$R$200,'Summary Data'!$A105,'Data entry'!$B$6:$B$200,{"Confirmed";"Probable"},'Data entry'!$AQ$6:$AQ$200,'Data Validation'!$V$3, 'Data entry'!$AP$6:$AP$200,'Data Validation'!$U$5, 'Data entry'!$BD$6:$BD$200,"&lt;&gt;*Negative*"))</f>
        <v>0</v>
      </c>
      <c r="AO105" s="15">
        <f>SUM(COUNTIFS('Data entry'!$R$6:$R$200,'Summary Data'!$A105,'Data entry'!$B$6:$B$200,{"Confirmed";"Probable"},'Data entry'!$AQ$6:$AQ$200,'Data Validation'!$V$3, 'Data entry'!$AP$6:$AP$200,'Data Validation'!$U$6, 'Data entry'!$BD$6:$BD$200,"&lt;&gt;*Negative*"))</f>
        <v>0</v>
      </c>
      <c r="AP105" s="15">
        <f>SUM(COUNTIFS('Data entry'!$R$6:$R$200,'Summary Data'!$A105,'Data entry'!$B$6:$B$200,{"Confirmed";"Probable"},'Data entry'!$AQ$6:$AQ$200,'Data Validation'!$V$4, 'Data entry'!$AP$6:$AP$200,'Data Validation'!$U$2, 'Data entry'!$BD$6:$BD$200,"&lt;&gt;*Negative*"))</f>
        <v>0</v>
      </c>
      <c r="AQ105" s="15">
        <f>SUM(COUNTIFS('Data entry'!$R$6:$R$200,'Summary Data'!$A105,'Data entry'!$B$6:$B$200,{"Confirmed";"Probable"},'Data entry'!$AQ$6:$AQ$200,'Data Validation'!$V$4, 'Data entry'!$AP$6:$AP$200,'Data Validation'!$U$3, 'Data entry'!$BD$6:$BD$200,"&lt;&gt;*Negative*"))</f>
        <v>0</v>
      </c>
      <c r="AR105" s="15">
        <f>SUM(COUNTIFS('Data entry'!$R$6:$R$200,'Summary Data'!$A105,'Data entry'!$B$6:$B$200,{"Confirmed";"Probable"},'Data entry'!$AQ$6:$AQ$200,'Data Validation'!$V$4, 'Data entry'!$AP$6:$AP$200,'Data Validation'!$U$4, 'Data entry'!$BD$6:$BD$200,"&lt;&gt;*Negative*"))</f>
        <v>0</v>
      </c>
      <c r="AS105" s="15">
        <f>SUM(COUNTIFS('Data entry'!$R$6:$R$200,'Summary Data'!$A105,'Data entry'!$B$6:$B$200,{"Confirmed";"Probable"},'Data entry'!$AQ$6:$AQ$200,'Data Validation'!$V$4, 'Data entry'!$AP$6:$AP$200,'Data Validation'!$U$5, 'Data entry'!$BD$6:$BD$200,"&lt;&gt;*Negative*"))</f>
        <v>0</v>
      </c>
      <c r="AT105" s="15">
        <f>SUM(COUNTIFS('Data entry'!$R$6:$R$200,'Summary Data'!$A105,'Data entry'!$B$6:$B$200,{"Confirmed";"Probable"},'Data entry'!$AQ$6:$AQ$200,'Data Validation'!$V$4, 'Data entry'!$AP$6:$AP$200,'Data Validation'!$U$6, 'Data entry'!$BD$6:$BD$200,"&lt;&gt;*Negative*"))</f>
        <v>0</v>
      </c>
      <c r="AU105" s="15">
        <f>SUM(COUNTIFS('Data entry'!$R$6:$R$200,'Summary Data'!$A105,'Data entry'!$B$6:$B$200,{"Confirmed";"Probable"},'Data entry'!$AQ$6:$AQ$200,'Data Validation'!$V$5, 'Data entry'!$AP$6:$AP$200,'Data Validation'!$U$2, 'Data entry'!$BD$6:$BD$200,"&lt;&gt;*Negative*"))</f>
        <v>0</v>
      </c>
      <c r="AV105" s="15">
        <f>SUM(COUNTIFS('Data entry'!$R$6:$R$200,'Summary Data'!$A105,'Data entry'!$B$6:$B$200,{"Confirmed";"Probable"},'Data entry'!$AQ$6:$AQ$200,'Data Validation'!$V$5, 'Data entry'!$AP$6:$AP$200,'Data Validation'!$U$3, 'Data entry'!$BD$6:$BD$200,"&lt;&gt;*Negative*"))</f>
        <v>0</v>
      </c>
      <c r="AW105" s="15">
        <f>SUM(COUNTIFS('Data entry'!$R$6:$R$200,'Summary Data'!$A105,'Data entry'!$B$6:$B$200,{"Confirmed";"Probable"},'Data entry'!$AQ$6:$AQ$200,'Data Validation'!$V$5, 'Data entry'!$AP$6:$AP$200,'Data Validation'!$U$4, 'Data entry'!$BD$6:$BD$200,"&lt;&gt;*Negative*"))</f>
        <v>0</v>
      </c>
      <c r="AX105" s="15">
        <f>SUM(COUNTIFS('Data entry'!$R$6:$R$200,'Summary Data'!$A105,'Data entry'!$B$6:$B$200,{"Confirmed";"Probable"},'Data entry'!$AQ$6:$AQ$200,'Data Validation'!$V$5, 'Data entry'!$AP$6:$AP$200,'Data Validation'!$U$5, 'Data entry'!$BD$6:$BD$200,"&lt;&gt;*Negative*"))</f>
        <v>0</v>
      </c>
      <c r="AY105" s="15">
        <f>SUM(COUNTIFS('Data entry'!$R$6:$R$200,'Summary Data'!$A105,'Data entry'!$B$6:$B$200,{"Confirmed";"Probable"},'Data entry'!$AQ$6:$AQ$200,'Data Validation'!$V$5, 'Data entry'!$AP$6:$AP$200,'Data Validation'!$U$6, 'Data entry'!$BD$6:$BD$200,"&lt;&gt;*Negative*"))</f>
        <v>0</v>
      </c>
      <c r="AZ105" s="15">
        <f>SUM(COUNTIFS('Data entry'!$R$6:$R$200,'Summary Data'!$A105,'Data entry'!$B$6:$B$200,{"Confirmed";"Probable"},'Data entry'!$AQ$6:$AQ$200,'Data Validation'!$V$6, 'Data entry'!$AP$6:$AP$200,'Data Validation'!$U$2, 'Data entry'!$BD$6:$BD$200,"&lt;&gt;*Negative*"))</f>
        <v>0</v>
      </c>
      <c r="BA105" s="15">
        <f>SUM(COUNTIFS('Data entry'!$R$6:$R$200,'Summary Data'!$A105,'Data entry'!$B$6:$B$200,{"Confirmed";"Probable"},'Data entry'!$AQ$6:$AQ$200,'Data Validation'!$V$6, 'Data entry'!$AP$6:$AP$200,'Data Validation'!$U$3, 'Data entry'!$BD$6:$BD$200,"&lt;&gt;*Negative*"))</f>
        <v>0</v>
      </c>
      <c r="BB105" s="15">
        <f>SUM(COUNTIFS('Data entry'!$R$6:$R$200,'Summary Data'!$A105,'Data entry'!$B$6:$B$200,{"Confirmed";"Probable"},'Data entry'!$AQ$6:$AQ$200,'Data Validation'!$V$6, 'Data entry'!$AP$6:$AP$200,'Data Validation'!$U$4, 'Data entry'!$BD$6:$BD$200,"&lt;&gt;*Negative*"))</f>
        <v>0</v>
      </c>
      <c r="BC105" s="15">
        <f>SUM(COUNTIFS('Data entry'!$R$6:$R$200,'Summary Data'!$A105,'Data entry'!$B$6:$B$200,{"Confirmed";"Probable"},'Data entry'!$AQ$6:$AQ$200,'Data Validation'!$V$6, 'Data entry'!$AP$6:$AP$200,'Data Validation'!$U$5, 'Data entry'!$BD$6:$BD$200,"&lt;&gt;*Negative*"))</f>
        <v>0</v>
      </c>
      <c r="BD105" s="15">
        <f>SUM(COUNTIFS('Data entry'!$R$6:$R$200,'Summary Data'!$A105,'Data entry'!$B$6:$B$200,{"Confirmed";"Probable"},'Data entry'!$AQ$6:$AQ$200,'Data Validation'!$V$6, 'Data entry'!$AP$6:$AP$200,'Data Validation'!$U$6, 'Data entry'!$BD$6:$BD$200,"&lt;&gt;*Negative*"))</f>
        <v>0</v>
      </c>
      <c r="BE105" s="15">
        <f>SUM(COUNTIFS('Data entry'!$R$6:$R$200,'Summary Data'!$A105,'Data entry'!$B$6:$B$200,{"Confirmed";"Probable"},'Data entry'!$AQ$6:$AQ$200,'Data Validation'!$V$7, 'Data entry'!$AP$6:$AP$200,'Data Validation'!$U$2, 'Data entry'!$BD$6:$BD$200,"&lt;&gt;*Negative*"))</f>
        <v>0</v>
      </c>
      <c r="BF105" s="15">
        <f>SUM(COUNTIFS('Data entry'!$R$6:$R$200,'Summary Data'!$A105,'Data entry'!$B$6:$B$200,{"Confirmed";"Probable"},'Data entry'!$AQ$6:$AQ$200,'Data Validation'!$V$7, 'Data entry'!$AP$6:$AP$200,'Data Validation'!$U$3, 'Data entry'!$BD$6:$BD$200,"&lt;&gt;*Negative*"))</f>
        <v>0</v>
      </c>
      <c r="BG105" s="15">
        <f>SUM(COUNTIFS('Data entry'!$R$6:$R$200,'Summary Data'!$A105,'Data entry'!$B$6:$B$200,{"Confirmed";"Probable"},'Data entry'!$AQ$6:$AQ$200,'Data Validation'!$V$7, 'Data entry'!$AP$6:$AP$200,'Data Validation'!$U$4, 'Data entry'!$BD$6:$BD$200,"&lt;&gt;*Negative*"))</f>
        <v>0</v>
      </c>
      <c r="BH105" s="15">
        <f>SUM(COUNTIFS('Data entry'!$R$6:$R$200,'Summary Data'!$A105,'Data entry'!$B$6:$B$200,{"Confirmed";"Probable"},'Data entry'!$AQ$6:$AQ$200,'Data Validation'!$V$7, 'Data entry'!$AP$6:$AP$200,'Data Validation'!$U$5, 'Data entry'!$BD$6:$BD$200,"&lt;&gt;*Negative*"))</f>
        <v>0</v>
      </c>
      <c r="BI105" s="15">
        <f>SUM(COUNTIFS('Data entry'!$R$6:$R$200,'Summary Data'!$A105,'Data entry'!$B$6:$B$200,{"Confirmed";"Probable"},'Data entry'!$AQ$6:$AQ$200,'Data Validation'!$V$7, 'Data entry'!$AP$6:$AP$200,'Data Validation'!$U$6, 'Data entry'!$BD$6:$BD$200,"&lt;&gt;*Negative*"))</f>
        <v>0</v>
      </c>
      <c r="BJ105" s="15">
        <f>SUM(COUNTIFS('Data entry'!$R$6:$R$200,'Summary Data'!$A105,'Data entry'!$B$6:$B$200,{"Confirmed";"Probable"},'Data entry'!$AQ$6:$AQ$200,'Data Validation'!$V$8, 'Data entry'!$AP$6:$AP$200,'Data Validation'!$U$2, 'Data entry'!$BD$6:$BD$200,"&lt;&gt;*Negative*"))</f>
        <v>0</v>
      </c>
      <c r="BK105" s="15">
        <f>SUM(COUNTIFS('Data entry'!$R$6:$R$200,'Summary Data'!$A105,'Data entry'!$B$6:$B$200,{"Confirmed";"Probable"},'Data entry'!$AQ$6:$AQ$200,'Data Validation'!$V$8, 'Data entry'!$AP$6:$AP$200,'Data Validation'!$U$3, 'Data entry'!$BD$6:$BD$200,"&lt;&gt;*Negative*"))</f>
        <v>0</v>
      </c>
      <c r="BL105" s="15">
        <f>SUM(COUNTIFS('Data entry'!$R$6:$R$200,'Summary Data'!$A105,'Data entry'!$B$6:$B$200,{"Confirmed";"Probable"},'Data entry'!$AQ$6:$AQ$200,'Data Validation'!$V$8, 'Data entry'!$AP$6:$AP$200,'Data Validation'!$U$4, 'Data entry'!$BD$6:$BD$200,"&lt;&gt;*Negative*"))</f>
        <v>0</v>
      </c>
      <c r="BM105" s="15">
        <f>SUM(COUNTIFS('Data entry'!$R$6:$R$200,'Summary Data'!$A105,'Data entry'!$B$6:$B$200,{"Confirmed";"Probable"},'Data entry'!$AQ$6:$AQ$200,'Data Validation'!$V$8, 'Data entry'!$AP$6:$AP$200,'Data Validation'!$U$5, 'Data entry'!$BD$6:$BD$200,"&lt;&gt;*Negative*"))</f>
        <v>0</v>
      </c>
      <c r="BN105" s="15">
        <f>SUM(COUNTIFS('Data entry'!$R$6:$R$200,'Summary Data'!$A105,'Data entry'!$B$6:$B$200,{"Confirmed";"Probable"},'Data entry'!$AQ$6:$AQ$200,'Data Validation'!$V$8, 'Data entry'!$AP$6:$AP$200,'Data Validation'!$U$6, 'Data entry'!$BD$6:$BD$200,"&lt;&gt;*Negative*"))</f>
        <v>0</v>
      </c>
      <c r="BO105" s="15">
        <f>SUM(COUNTIFS('Data entry'!$R$6:$R$200,'Summary Data'!$A105,'Data entry'!$B$6:$B$200,{"Confirmed";"Probable"},'Data entry'!$AQ$6:$AQ$200,'Data Validation'!$V$9, 'Data entry'!$AP$6:$AP$200,'Data Validation'!$U$2, 'Data entry'!$BD$6:$BD$200,"&lt;&gt;*Negative*"))</f>
        <v>0</v>
      </c>
      <c r="BP105" s="15">
        <f>SUM(COUNTIFS('Data entry'!$R$6:$R$200,'Summary Data'!$A105,'Data entry'!$B$6:$B$200,{"Confirmed";"Probable"},'Data entry'!$AQ$6:$AQ$200,'Data Validation'!$V$9, 'Data entry'!$AP$6:$AP$200,'Data Validation'!$U$3, 'Data entry'!$BD$6:$BD$200,"&lt;&gt;*Negative*"))</f>
        <v>0</v>
      </c>
      <c r="BQ105" s="15">
        <f>SUM(COUNTIFS('Data entry'!$R$6:$R$200,'Summary Data'!$A105,'Data entry'!$B$6:$B$200,{"Confirmed";"Probable"},'Data entry'!$AQ$6:$AQ$200,'Data Validation'!$V$9, 'Data entry'!$AP$6:$AP$200,'Data Validation'!$U$4, 'Data entry'!$BD$6:$BD$200,"&lt;&gt;*Negative*"))</f>
        <v>0</v>
      </c>
      <c r="BR105" s="15">
        <f>SUM(COUNTIFS('Data entry'!$R$6:$R$200,'Summary Data'!$A105,'Data entry'!$B$6:$B$200,{"Confirmed";"Probable"},'Data entry'!$AQ$6:$AQ$200,'Data Validation'!$V$9, 'Data entry'!$AP$6:$AP$200,'Data Validation'!$U$5, 'Data entry'!$BD$6:$BD$200,"&lt;&gt;*Negative*"))</f>
        <v>0</v>
      </c>
      <c r="BS105" s="15">
        <f>SUM(COUNTIFS('Data entry'!$R$6:$R$200,'Summary Data'!$A105,'Data entry'!$B$6:$B$200,{"Confirmed";"Probable"},'Data entry'!$AQ$6:$AQ$200,'Data Validation'!$V$9, 'Data entry'!$AP$6:$AP$200,'Data Validation'!$U$6, 'Data entry'!$BD$6:$BD$200,"&lt;&gt;*Negative*"))</f>
        <v>0</v>
      </c>
      <c r="BT105" s="15">
        <f>SUM(COUNTIFS('Data entry'!$R$6:$R$200,'Summary Data'!$A105,'Data entry'!$B$6:$B$200,{"Confirmed";"Probable"},'Data entry'!$AQ$6:$AQ$200,'Data Validation'!$V$10, 'Data entry'!$AP$6:$AP$200,'Data Validation'!$U$2, 'Data entry'!$BD$6:$BD$200,"&lt;&gt;*Negative*"))</f>
        <v>0</v>
      </c>
      <c r="BU105" s="15">
        <f>SUM(COUNTIFS('Data entry'!$R$6:$R$200,'Summary Data'!$A105,'Data entry'!$B$6:$B$200,{"Confirmed";"Probable"},'Data entry'!$AQ$6:$AQ$200,'Data Validation'!$V$10, 'Data entry'!$AP$6:$AP$200,'Data Validation'!$U$3, 'Data entry'!$BD$6:$BD$200,"&lt;&gt;*Negative*"))</f>
        <v>0</v>
      </c>
      <c r="BV105" s="15">
        <f>SUM(COUNTIFS('Data entry'!$R$6:$R$200,'Summary Data'!$A105,'Data entry'!$B$6:$B$200,{"Confirmed";"Probable"},'Data entry'!$AQ$6:$AQ$200,'Data Validation'!$V$10, 'Data entry'!$AP$6:$AP$200,'Data Validation'!$U$4, 'Data entry'!$BD$6:$BD$200,"&lt;&gt;*Negative*"))</f>
        <v>0</v>
      </c>
      <c r="BW105" s="15">
        <f>SUM(COUNTIFS('Data entry'!$R$6:$R$200,'Summary Data'!$A105,'Data entry'!$B$6:$B$200,{"Confirmed";"Probable"},'Data entry'!$AQ$6:$AQ$200,'Data Validation'!$V$10, 'Data entry'!$AP$6:$AP$200,'Data Validation'!$U$5, 'Data entry'!$BD$6:$BD$200,"&lt;&gt;*Negative*"))</f>
        <v>0</v>
      </c>
      <c r="BX105" s="15">
        <f>SUM(COUNTIFS('Data entry'!$R$6:$R$200,'Summary Data'!$A105,'Data entry'!$B$6:$B$200,{"Confirmed";"Probable"},'Data entry'!$AQ$6:$AQ$200,'Data Validation'!$V$10, 'Data entry'!$AP$6:$AP$200,'Data Validation'!$U$6, 'Data entry'!$BD$6:$BD$200,"&lt;&gt;*Negative*"))</f>
        <v>0</v>
      </c>
      <c r="BY105" s="15">
        <f>SUM(COUNTIFS('Data entry'!$R$6:$R$200,'Summary Data'!$A105,'Data entry'!$B$6:$B$200,{"Confirmed";"Probable"},'Data entry'!$AQ$6:$AQ$200,'Data Validation'!$V$11, 'Data entry'!$AP$6:$AP$200,'Data Validation'!$U$2, 'Data entry'!$BD$6:$BD$200,"&lt;&gt;*Negative*"))</f>
        <v>0</v>
      </c>
      <c r="BZ105" s="15">
        <f>SUM(COUNTIFS('Data entry'!$R$6:$R$200,'Summary Data'!$A105,'Data entry'!$B$6:$B$200,{"Confirmed";"Probable"},'Data entry'!$AQ$6:$AQ$200,'Data Validation'!$V$11, 'Data entry'!$AP$6:$AP$200,'Data Validation'!$U$3, 'Data entry'!$BD$6:$BD$200,"&lt;&gt;*Negative*"))</f>
        <v>0</v>
      </c>
      <c r="CA105" s="15">
        <f>SUM(COUNTIFS('Data entry'!$R$6:$R$200,'Summary Data'!$A105,'Data entry'!$B$6:$B$200,{"Confirmed";"Probable"},'Data entry'!$AQ$6:$AQ$200,'Data Validation'!$V$11, 'Data entry'!$AP$6:$AP$200,'Data Validation'!$U$4, 'Data entry'!$BD$6:$BD$200,"&lt;&gt;*Negative*"))</f>
        <v>0</v>
      </c>
      <c r="CB105" s="15">
        <f>SUM(COUNTIFS('Data entry'!$R$6:$R$200,'Summary Data'!$A105,'Data entry'!$B$6:$B$200,{"Confirmed";"Probable"},'Data entry'!$AQ$6:$AQ$200,'Data Validation'!$V$11, 'Data entry'!$AP$6:$AP$200,'Data Validation'!$U$5, 'Data entry'!$BD$6:$BD$200,"&lt;&gt;*Negative*"))</f>
        <v>0</v>
      </c>
      <c r="CC105" s="15">
        <f>SUM(COUNTIFS('Data entry'!$R$6:$R$200,'Summary Data'!$A105,'Data entry'!$B$6:$B$200,{"Confirmed";"Probable"},'Data entry'!$AQ$6:$AQ$200,'Data Validation'!$V$11, 'Data entry'!$AP$6:$AP$200,'Data Validation'!$U$6, 'Data entry'!$BD$6:$BD$200,"&lt;&gt;*Negative*"))</f>
        <v>0</v>
      </c>
    </row>
    <row r="106" spans="1:81" x14ac:dyDescent="0.25">
      <c r="A106" s="12">
        <f t="shared" si="9"/>
        <v>94</v>
      </c>
      <c r="B106" s="13">
        <f t="shared" si="6"/>
        <v>0</v>
      </c>
      <c r="C106" s="13">
        <f>COUNTIFS('Data entry'!$R$6:$R$200,$A106,'Data entry'!$B$6:$B$200,"Confirmed",'Data entry'!$BD$6:$BD$200,"&lt;&gt;*Negative*")</f>
        <v>0</v>
      </c>
      <c r="D106" s="13">
        <f>COUNTIFS('Data entry'!$R$6:$R$200,$A106,'Data entry'!$B$6:$B$200,"Probable",'Data entry'!$BD$6:$BD$200,"&lt;&gt;*Negative*")</f>
        <v>0</v>
      </c>
      <c r="E106" s="13">
        <f>COUNTIFS('Data entry'!$R$6:$R$200,$A106,'Data entry'!$B$6:$B$200,"DNM")</f>
        <v>0</v>
      </c>
      <c r="F106" s="13">
        <f>SUM(COUNTIFS('Data entry'!$R$6:$R$200,'Summary Data'!$A106,'Data entry'!$B$6:$B$200,{"Confirmed";"Probable"},'Data entry'!$AO$6:$AO$200,$F$10, 'Data entry'!$BD$6:$BD$200,"&lt;&gt;*Negative*"))</f>
        <v>0</v>
      </c>
      <c r="G106" s="13">
        <f>SUM(COUNTIFS('Data entry'!$R$6:$R$200,'Summary Data'!$A106,'Data entry'!$B$6:$B$200,{"Confirmed";"Probable"},'Data entry'!$AO$6:$AO$200,$G$10, 'Data entry'!$BD$6:$BD$200,"&lt;&gt;*Negative*"))</f>
        <v>0</v>
      </c>
      <c r="H106" s="13">
        <f>SUM(COUNTIFS('Data entry'!$R$6:$R$200,'Summary Data'!$A106,'Data entry'!$B$6:$B$200,{"Confirmed";"Probable"},'Data entry'!$AO$6:$AO$200,$H$10, 'Data entry'!$BD$6:$BD$200,"&lt;&gt;*Negative*"))</f>
        <v>0</v>
      </c>
      <c r="I106" s="13">
        <f>SUM(COUNTIFS('Data entry'!$R$6:$R$200,'Summary Data'!$A106,'Data entry'!$B$6:$B$200,{"Confirmed";"Probable"},'Data entry'!$AO$6:$AO$200,$I$10, 'Data entry'!$BD$6:$BD$200,"&lt;&gt;*Negative*"))</f>
        <v>0</v>
      </c>
      <c r="J106" s="13">
        <f>SUM(COUNTIFS('Data entry'!$R$6:$R$200,'Summary Data'!$A106,'Data entry'!$B$6:$B$200,{"Confirmed";"Probable"},'Data entry'!$AO$6:$AO$200,$J$10, 'Data entry'!$BD$6:$BD$200,"&lt;&gt;*Negative*"))</f>
        <v>0</v>
      </c>
      <c r="K106" s="13">
        <f>SUM(COUNTIFS('Data entry'!$R$6:$R$200,'Summary Data'!$A106,'Data entry'!$B$6:$B$200,{"Confirmed";"Probable"},'Data entry'!$AO$6:$AO$200,$K$10, 'Data entry'!$BD$6:$BD$200,"&lt;&gt;*Negative*"))</f>
        <v>0</v>
      </c>
      <c r="L106" s="13">
        <f>SUM(COUNTIFS('Data entry'!$R$6:$R$200,'Summary Data'!$A106,'Data entry'!$B$6:$B$200,{"Confirmed";"Probable"},'Data entry'!$AO$6:$AO$200,$L$10, 'Data entry'!$BD$6:$BD$200,"&lt;&gt;*Negative*"))</f>
        <v>0</v>
      </c>
      <c r="M106" s="13">
        <f>SUM(COUNTIFS('Data entry'!$R$6:$R$200,'Summary Data'!$A106,'Data entry'!$B$6:$B$200,{"Confirmed";"Probable"},'Data entry'!$AO$6:$AO$200,$M$10, 'Data entry'!$BD$6:$BD$200,"&lt;&gt;*Negative*"))</f>
        <v>0</v>
      </c>
      <c r="N106" s="13">
        <f>SUM(COUNTIFS('Data entry'!$R$6:$R$200,'Summary Data'!$A106,'Data entry'!$B$6:$B$200,{"Confirmed";"Probable"},'Data entry'!$AO$6:$AO$200,$N$10, 'Data entry'!$BD$6:$BD$200,"&lt;&gt;*Negative*"))</f>
        <v>0</v>
      </c>
      <c r="O106" s="15">
        <f t="shared" si="7"/>
        <v>0</v>
      </c>
      <c r="P106" s="15">
        <f t="shared" si="8"/>
        <v>0</v>
      </c>
      <c r="Q106" s="15">
        <f>SUM(COUNTIFS('Data entry'!$R$6:$R$200,'Summary Data'!$A106,'Data entry'!$B$6:$B$200,{"Confirmed";"Probable"},'Data entry'!$AP$6:$AP$200,'Data Validation'!$U$2, 'Data entry'!$BD$6:$BD$200,"&lt;&gt;*Negative*"))</f>
        <v>0</v>
      </c>
      <c r="R106" s="15">
        <f>SUM(COUNTIFS('Data entry'!$R$6:$R$200,'Summary Data'!$A106,'Data entry'!$B$6:$B$200,{"Confirmed";"Probable"},'Data entry'!$AP$6:$AP$200,'Data Validation'!$U$3, 'Data entry'!$BD$6:$BD$200,"&lt;&gt;*Negative*"))</f>
        <v>0</v>
      </c>
      <c r="S106" s="15">
        <f>SUM(COUNTIFS('Data entry'!$R$6:$R$200,'Summary Data'!$A106,'Data entry'!$B$6:$B$200,{"Confirmed";"Probable"},'Data entry'!$AP$6:$AP$200,'Data Validation'!$U$4, 'Data entry'!$BD$6:$BD$200,"&lt;&gt;*Negative*"))</f>
        <v>0</v>
      </c>
      <c r="T106" s="15">
        <f>SUM(COUNTIFS('Data entry'!$R$6:$R$200,'Summary Data'!$A106,'Data entry'!$B$6:$B$200,{"Confirmed";"Probable"},'Data entry'!$AP$6:$AP$200,'Data Validation'!$U$5, 'Data entry'!$BD$6:$BD$200,"&lt;&gt;*Negative*"))</f>
        <v>0</v>
      </c>
      <c r="U106" s="15">
        <f>SUM(COUNTIFS('Data entry'!$R$6:$R$200,'Summary Data'!$A106,'Data entry'!$B$6:$B$200,{"Confirmed";"Probable"},'Data entry'!$AP$6:$AP$200,'Data Validation'!$U$6, 'Data entry'!$BD$6:$BD$200,"&lt;&gt;*Negative*"))</f>
        <v>0</v>
      </c>
      <c r="V106" s="15">
        <f>SUM(COUNTIFS('Data entry'!$R$6:$R$200,'Summary Data'!$A106,'Data entry'!$B$6:$B$200,{"Confirmed";"Probable"},'Data entry'!$AQ$6:$AQ$200,'Data Validation'!$V$2, 'Data entry'!$BD$6:$BD$200,"&lt;&gt;*Negative*"))</f>
        <v>0</v>
      </c>
      <c r="W106" s="15">
        <f>SUM(COUNTIFS('Data entry'!$R$6:$R$200,'Summary Data'!$A106,'Data entry'!$B$6:$B$200,{"Confirmed";"Probable"},'Data entry'!$AQ$6:$AQ$200,'Data Validation'!$V$3, 'Data entry'!$BD$6:$BD$200,"&lt;&gt;*Negative*"))</f>
        <v>0</v>
      </c>
      <c r="X106" s="15">
        <f>SUM(COUNTIFS('Data entry'!$R$6:$R$200,'Summary Data'!$A106,'Data entry'!$B$6:$B$200,{"Confirmed";"Probable"},'Data entry'!$AQ$6:$AQ$200,'Data Validation'!$V$4, 'Data entry'!$BD$6:$BD$200,"&lt;&gt;*Negative*"))</f>
        <v>0</v>
      </c>
      <c r="Y106" s="15">
        <f>SUM(COUNTIFS('Data entry'!$R$6:$R$200,'Summary Data'!$A106,'Data entry'!$B$6:$B$200,{"Confirmed";"Probable"},'Data entry'!$AQ$6:$AQ$200,'Data Validation'!$V$5, 'Data entry'!$BD$6:$BD$200,"&lt;&gt;*Negative*"))</f>
        <v>0</v>
      </c>
      <c r="Z106" s="15">
        <f>SUM(COUNTIFS('Data entry'!$R$6:$R$200,'Summary Data'!$A106,'Data entry'!$B$6:$B$200,{"Confirmed";"Probable"},'Data entry'!$AQ$6:$AQ$200,'Data Validation'!$V$6, 'Data entry'!$BD$6:$BD$200,"&lt;&gt;*Negative*"))</f>
        <v>0</v>
      </c>
      <c r="AA106" s="15">
        <f>SUM(COUNTIFS('Data entry'!$R$6:$R$200,'Summary Data'!$A106,'Data entry'!$B$6:$B$200,{"Confirmed";"Probable"},'Data entry'!$AQ$6:$AQ$200,'Data Validation'!$V$7, 'Data entry'!$BD$6:$BD$200,"&lt;&gt;*Negative*"))</f>
        <v>0</v>
      </c>
      <c r="AB106" s="15">
        <f>SUM(COUNTIFS('Data entry'!$R$6:$R$200,'Summary Data'!$A106,'Data entry'!$B$6:$B$200,{"Confirmed";"Probable"},'Data entry'!$AQ$6:$AQ$200,'Data Validation'!$V$8, 'Data entry'!$BD$6:$BD$200,"&lt;&gt;*Negative*"))</f>
        <v>0</v>
      </c>
      <c r="AC106" s="15">
        <f>SUM(COUNTIFS('Data entry'!$R$6:$R$200,'Summary Data'!$A106,'Data entry'!$B$6:$B$200,{"Confirmed";"Probable"},'Data entry'!$AQ$6:$AQ$200,'Data Validation'!$V$9, 'Data entry'!$BD$6:$BD$200,"&lt;&gt;*Negative*"))</f>
        <v>0</v>
      </c>
      <c r="AD106" s="15">
        <f>SUM(COUNTIFS('Data entry'!$R$6:$R$200,'Summary Data'!$A106,'Data entry'!$B$6:$B$200,{"Confirmed";"Probable"},'Data entry'!$AQ$6:$AQ$200,'Data Validation'!$V$10, 'Data entry'!$BD$6:$BD$200,"&lt;&gt;*Negative*"))</f>
        <v>0</v>
      </c>
      <c r="AE106" s="15">
        <f>SUM(COUNTIFS('Data entry'!$R$6:$R$200,'Summary Data'!$A106,'Data entry'!$B$6:$B$200,{"Confirmed";"Probable"},'Data entry'!$AQ$6:$AQ$200,'Data Validation'!$V$11, 'Data entry'!$BD$6:$BD$200,"&lt;&gt;*Negative*"))</f>
        <v>0</v>
      </c>
      <c r="AF106" s="15">
        <f>SUM(COUNTIFS('Data entry'!$R$6:$R$200,'Summary Data'!$A106,'Data entry'!$B$6:$B$200,{"Confirmed";"Probable"},'Data entry'!$AQ$6:$AQ$200,'Data Validation'!$V$2, 'Data entry'!$AP$6:$AP$200,'Data Validation'!$U$2, 'Data entry'!$BD$6:$BD$200,"&lt;&gt;*Negative*"))</f>
        <v>0</v>
      </c>
      <c r="AG106" s="15">
        <f>SUM(COUNTIFS('Data entry'!$R$6:$R$200,'Summary Data'!$A106,'Data entry'!$B$6:$B$200,{"Confirmed";"Probable"},'Data entry'!$AQ$6:$AQ$200,'Data Validation'!$V$2, 'Data entry'!$AP$6:$AP$200,'Data Validation'!$U$3, 'Data entry'!$BD$6:$BD$200,"&lt;&gt;*Negative*"))</f>
        <v>0</v>
      </c>
      <c r="AH106" s="15">
        <f>SUM(COUNTIFS('Data entry'!$R$6:$R$200,'Summary Data'!$A106,'Data entry'!$B$6:$B$200,{"Confirmed";"Probable"},'Data entry'!$AQ$6:$AQ$200,'Data Validation'!$V$2, 'Data entry'!$AP$6:$AP$200,'Data Validation'!$U$4, 'Data entry'!$BD$6:$BD$200,"&lt;&gt;*Negative*"))</f>
        <v>0</v>
      </c>
      <c r="AI106" s="15">
        <f>SUM(COUNTIFS('Data entry'!$R$6:$R$200,'Summary Data'!$A106,'Data entry'!$B$6:$B$200,{"Confirmed";"Probable"},'Data entry'!$AQ$6:$AQ$200,'Data Validation'!$V$2, 'Data entry'!$AP$6:$AP$200,'Data Validation'!$U$5, 'Data entry'!$BD$6:$BD$200,"&lt;&gt;*Negative*"))</f>
        <v>0</v>
      </c>
      <c r="AJ106" s="15">
        <f>SUM(COUNTIFS('Data entry'!$R$6:$R$200,'Summary Data'!$A106,'Data entry'!$B$6:$B$200,{"Confirmed";"Probable"},'Data entry'!$AQ$6:$AQ$200,'Data Validation'!$V$2, 'Data entry'!$AP$6:$AP$200,'Data Validation'!$U$6, 'Data entry'!$BD$6:$BD$200,"&lt;&gt;*Negative*"))</f>
        <v>0</v>
      </c>
      <c r="AK106" s="15">
        <f>SUM(COUNTIFS('Data entry'!$R$6:$R$200,'Summary Data'!$A106,'Data entry'!$B$6:$B$200,{"Confirmed";"Probable"},'Data entry'!$AQ$6:$AQ$200,'Data Validation'!$V$3, 'Data entry'!$AP$6:$AP$200,'Data Validation'!$U$2, 'Data entry'!$BD$6:$BD$200,"&lt;&gt;*Negative*"))</f>
        <v>0</v>
      </c>
      <c r="AL106" s="15">
        <f>SUM(COUNTIFS('Data entry'!$R$6:$R$200,'Summary Data'!$A106,'Data entry'!$B$6:$B$200,{"Confirmed";"Probable"},'Data entry'!$AQ$6:$AQ$200,'Data Validation'!$V$3, 'Data entry'!$AP$6:$AP$200,'Data Validation'!$U$3, 'Data entry'!$BD$6:$BD$200,"&lt;&gt;*Negative*"))</f>
        <v>0</v>
      </c>
      <c r="AM106" s="15">
        <f>SUM(COUNTIFS('Data entry'!$R$6:$R$200,'Summary Data'!$A106,'Data entry'!$B$6:$B$200,{"Confirmed";"Probable"},'Data entry'!$AQ$6:$AQ$200,'Data Validation'!$V$3, 'Data entry'!$AP$6:$AP$200,'Data Validation'!$U$4, 'Data entry'!$BD$6:$BD$200,"&lt;&gt;*Negative*"))</f>
        <v>0</v>
      </c>
      <c r="AN106" s="15">
        <f>SUM(COUNTIFS('Data entry'!$R$6:$R$200,'Summary Data'!$A106,'Data entry'!$B$6:$B$200,{"Confirmed";"Probable"},'Data entry'!$AQ$6:$AQ$200,'Data Validation'!$V$3, 'Data entry'!$AP$6:$AP$200,'Data Validation'!$U$5, 'Data entry'!$BD$6:$BD$200,"&lt;&gt;*Negative*"))</f>
        <v>0</v>
      </c>
      <c r="AO106" s="15">
        <f>SUM(COUNTIFS('Data entry'!$R$6:$R$200,'Summary Data'!$A106,'Data entry'!$B$6:$B$200,{"Confirmed";"Probable"},'Data entry'!$AQ$6:$AQ$200,'Data Validation'!$V$3, 'Data entry'!$AP$6:$AP$200,'Data Validation'!$U$6, 'Data entry'!$BD$6:$BD$200,"&lt;&gt;*Negative*"))</f>
        <v>0</v>
      </c>
      <c r="AP106" s="15">
        <f>SUM(COUNTIFS('Data entry'!$R$6:$R$200,'Summary Data'!$A106,'Data entry'!$B$6:$B$200,{"Confirmed";"Probable"},'Data entry'!$AQ$6:$AQ$200,'Data Validation'!$V$4, 'Data entry'!$AP$6:$AP$200,'Data Validation'!$U$2, 'Data entry'!$BD$6:$BD$200,"&lt;&gt;*Negative*"))</f>
        <v>0</v>
      </c>
      <c r="AQ106" s="15">
        <f>SUM(COUNTIFS('Data entry'!$R$6:$R$200,'Summary Data'!$A106,'Data entry'!$B$6:$B$200,{"Confirmed";"Probable"},'Data entry'!$AQ$6:$AQ$200,'Data Validation'!$V$4, 'Data entry'!$AP$6:$AP$200,'Data Validation'!$U$3, 'Data entry'!$BD$6:$BD$200,"&lt;&gt;*Negative*"))</f>
        <v>0</v>
      </c>
      <c r="AR106" s="15">
        <f>SUM(COUNTIFS('Data entry'!$R$6:$R$200,'Summary Data'!$A106,'Data entry'!$B$6:$B$200,{"Confirmed";"Probable"},'Data entry'!$AQ$6:$AQ$200,'Data Validation'!$V$4, 'Data entry'!$AP$6:$AP$200,'Data Validation'!$U$4, 'Data entry'!$BD$6:$BD$200,"&lt;&gt;*Negative*"))</f>
        <v>0</v>
      </c>
      <c r="AS106" s="15">
        <f>SUM(COUNTIFS('Data entry'!$R$6:$R$200,'Summary Data'!$A106,'Data entry'!$B$6:$B$200,{"Confirmed";"Probable"},'Data entry'!$AQ$6:$AQ$200,'Data Validation'!$V$4, 'Data entry'!$AP$6:$AP$200,'Data Validation'!$U$5, 'Data entry'!$BD$6:$BD$200,"&lt;&gt;*Negative*"))</f>
        <v>0</v>
      </c>
      <c r="AT106" s="15">
        <f>SUM(COUNTIFS('Data entry'!$R$6:$R$200,'Summary Data'!$A106,'Data entry'!$B$6:$B$200,{"Confirmed";"Probable"},'Data entry'!$AQ$6:$AQ$200,'Data Validation'!$V$4, 'Data entry'!$AP$6:$AP$200,'Data Validation'!$U$6, 'Data entry'!$BD$6:$BD$200,"&lt;&gt;*Negative*"))</f>
        <v>0</v>
      </c>
      <c r="AU106" s="15">
        <f>SUM(COUNTIFS('Data entry'!$R$6:$R$200,'Summary Data'!$A106,'Data entry'!$B$6:$B$200,{"Confirmed";"Probable"},'Data entry'!$AQ$6:$AQ$200,'Data Validation'!$V$5, 'Data entry'!$AP$6:$AP$200,'Data Validation'!$U$2, 'Data entry'!$BD$6:$BD$200,"&lt;&gt;*Negative*"))</f>
        <v>0</v>
      </c>
      <c r="AV106" s="15">
        <f>SUM(COUNTIFS('Data entry'!$R$6:$R$200,'Summary Data'!$A106,'Data entry'!$B$6:$B$200,{"Confirmed";"Probable"},'Data entry'!$AQ$6:$AQ$200,'Data Validation'!$V$5, 'Data entry'!$AP$6:$AP$200,'Data Validation'!$U$3, 'Data entry'!$BD$6:$BD$200,"&lt;&gt;*Negative*"))</f>
        <v>0</v>
      </c>
      <c r="AW106" s="15">
        <f>SUM(COUNTIFS('Data entry'!$R$6:$R$200,'Summary Data'!$A106,'Data entry'!$B$6:$B$200,{"Confirmed";"Probable"},'Data entry'!$AQ$6:$AQ$200,'Data Validation'!$V$5, 'Data entry'!$AP$6:$AP$200,'Data Validation'!$U$4, 'Data entry'!$BD$6:$BD$200,"&lt;&gt;*Negative*"))</f>
        <v>0</v>
      </c>
      <c r="AX106" s="15">
        <f>SUM(COUNTIFS('Data entry'!$R$6:$R$200,'Summary Data'!$A106,'Data entry'!$B$6:$B$200,{"Confirmed";"Probable"},'Data entry'!$AQ$6:$AQ$200,'Data Validation'!$V$5, 'Data entry'!$AP$6:$AP$200,'Data Validation'!$U$5, 'Data entry'!$BD$6:$BD$200,"&lt;&gt;*Negative*"))</f>
        <v>0</v>
      </c>
      <c r="AY106" s="15">
        <f>SUM(COUNTIFS('Data entry'!$R$6:$R$200,'Summary Data'!$A106,'Data entry'!$B$6:$B$200,{"Confirmed";"Probable"},'Data entry'!$AQ$6:$AQ$200,'Data Validation'!$V$5, 'Data entry'!$AP$6:$AP$200,'Data Validation'!$U$6, 'Data entry'!$BD$6:$BD$200,"&lt;&gt;*Negative*"))</f>
        <v>0</v>
      </c>
      <c r="AZ106" s="15">
        <f>SUM(COUNTIFS('Data entry'!$R$6:$R$200,'Summary Data'!$A106,'Data entry'!$B$6:$B$200,{"Confirmed";"Probable"},'Data entry'!$AQ$6:$AQ$200,'Data Validation'!$V$6, 'Data entry'!$AP$6:$AP$200,'Data Validation'!$U$2, 'Data entry'!$BD$6:$BD$200,"&lt;&gt;*Negative*"))</f>
        <v>0</v>
      </c>
      <c r="BA106" s="15">
        <f>SUM(COUNTIFS('Data entry'!$R$6:$R$200,'Summary Data'!$A106,'Data entry'!$B$6:$B$200,{"Confirmed";"Probable"},'Data entry'!$AQ$6:$AQ$200,'Data Validation'!$V$6, 'Data entry'!$AP$6:$AP$200,'Data Validation'!$U$3, 'Data entry'!$BD$6:$BD$200,"&lt;&gt;*Negative*"))</f>
        <v>0</v>
      </c>
      <c r="BB106" s="15">
        <f>SUM(COUNTIFS('Data entry'!$R$6:$R$200,'Summary Data'!$A106,'Data entry'!$B$6:$B$200,{"Confirmed";"Probable"},'Data entry'!$AQ$6:$AQ$200,'Data Validation'!$V$6, 'Data entry'!$AP$6:$AP$200,'Data Validation'!$U$4, 'Data entry'!$BD$6:$BD$200,"&lt;&gt;*Negative*"))</f>
        <v>0</v>
      </c>
      <c r="BC106" s="15">
        <f>SUM(COUNTIFS('Data entry'!$R$6:$R$200,'Summary Data'!$A106,'Data entry'!$B$6:$B$200,{"Confirmed";"Probable"},'Data entry'!$AQ$6:$AQ$200,'Data Validation'!$V$6, 'Data entry'!$AP$6:$AP$200,'Data Validation'!$U$5, 'Data entry'!$BD$6:$BD$200,"&lt;&gt;*Negative*"))</f>
        <v>0</v>
      </c>
      <c r="BD106" s="15">
        <f>SUM(COUNTIFS('Data entry'!$R$6:$R$200,'Summary Data'!$A106,'Data entry'!$B$6:$B$200,{"Confirmed";"Probable"},'Data entry'!$AQ$6:$AQ$200,'Data Validation'!$V$6, 'Data entry'!$AP$6:$AP$200,'Data Validation'!$U$6, 'Data entry'!$BD$6:$BD$200,"&lt;&gt;*Negative*"))</f>
        <v>0</v>
      </c>
      <c r="BE106" s="15">
        <f>SUM(COUNTIFS('Data entry'!$R$6:$R$200,'Summary Data'!$A106,'Data entry'!$B$6:$B$200,{"Confirmed";"Probable"},'Data entry'!$AQ$6:$AQ$200,'Data Validation'!$V$7, 'Data entry'!$AP$6:$AP$200,'Data Validation'!$U$2, 'Data entry'!$BD$6:$BD$200,"&lt;&gt;*Negative*"))</f>
        <v>0</v>
      </c>
      <c r="BF106" s="15">
        <f>SUM(COUNTIFS('Data entry'!$R$6:$R$200,'Summary Data'!$A106,'Data entry'!$B$6:$B$200,{"Confirmed";"Probable"},'Data entry'!$AQ$6:$AQ$200,'Data Validation'!$V$7, 'Data entry'!$AP$6:$AP$200,'Data Validation'!$U$3, 'Data entry'!$BD$6:$BD$200,"&lt;&gt;*Negative*"))</f>
        <v>0</v>
      </c>
      <c r="BG106" s="15">
        <f>SUM(COUNTIFS('Data entry'!$R$6:$R$200,'Summary Data'!$A106,'Data entry'!$B$6:$B$200,{"Confirmed";"Probable"},'Data entry'!$AQ$6:$AQ$200,'Data Validation'!$V$7, 'Data entry'!$AP$6:$AP$200,'Data Validation'!$U$4, 'Data entry'!$BD$6:$BD$200,"&lt;&gt;*Negative*"))</f>
        <v>0</v>
      </c>
      <c r="BH106" s="15">
        <f>SUM(COUNTIFS('Data entry'!$R$6:$R$200,'Summary Data'!$A106,'Data entry'!$B$6:$B$200,{"Confirmed";"Probable"},'Data entry'!$AQ$6:$AQ$200,'Data Validation'!$V$7, 'Data entry'!$AP$6:$AP$200,'Data Validation'!$U$5, 'Data entry'!$BD$6:$BD$200,"&lt;&gt;*Negative*"))</f>
        <v>0</v>
      </c>
      <c r="BI106" s="15">
        <f>SUM(COUNTIFS('Data entry'!$R$6:$R$200,'Summary Data'!$A106,'Data entry'!$B$6:$B$200,{"Confirmed";"Probable"},'Data entry'!$AQ$6:$AQ$200,'Data Validation'!$V$7, 'Data entry'!$AP$6:$AP$200,'Data Validation'!$U$6, 'Data entry'!$BD$6:$BD$200,"&lt;&gt;*Negative*"))</f>
        <v>0</v>
      </c>
      <c r="BJ106" s="15">
        <f>SUM(COUNTIFS('Data entry'!$R$6:$R$200,'Summary Data'!$A106,'Data entry'!$B$6:$B$200,{"Confirmed";"Probable"},'Data entry'!$AQ$6:$AQ$200,'Data Validation'!$V$8, 'Data entry'!$AP$6:$AP$200,'Data Validation'!$U$2, 'Data entry'!$BD$6:$BD$200,"&lt;&gt;*Negative*"))</f>
        <v>0</v>
      </c>
      <c r="BK106" s="15">
        <f>SUM(COUNTIFS('Data entry'!$R$6:$R$200,'Summary Data'!$A106,'Data entry'!$B$6:$B$200,{"Confirmed";"Probable"},'Data entry'!$AQ$6:$AQ$200,'Data Validation'!$V$8, 'Data entry'!$AP$6:$AP$200,'Data Validation'!$U$3, 'Data entry'!$BD$6:$BD$200,"&lt;&gt;*Negative*"))</f>
        <v>0</v>
      </c>
      <c r="BL106" s="15">
        <f>SUM(COUNTIFS('Data entry'!$R$6:$R$200,'Summary Data'!$A106,'Data entry'!$B$6:$B$200,{"Confirmed";"Probable"},'Data entry'!$AQ$6:$AQ$200,'Data Validation'!$V$8, 'Data entry'!$AP$6:$AP$200,'Data Validation'!$U$4, 'Data entry'!$BD$6:$BD$200,"&lt;&gt;*Negative*"))</f>
        <v>0</v>
      </c>
      <c r="BM106" s="15">
        <f>SUM(COUNTIFS('Data entry'!$R$6:$R$200,'Summary Data'!$A106,'Data entry'!$B$6:$B$200,{"Confirmed";"Probable"},'Data entry'!$AQ$6:$AQ$200,'Data Validation'!$V$8, 'Data entry'!$AP$6:$AP$200,'Data Validation'!$U$5, 'Data entry'!$BD$6:$BD$200,"&lt;&gt;*Negative*"))</f>
        <v>0</v>
      </c>
      <c r="BN106" s="15">
        <f>SUM(COUNTIFS('Data entry'!$R$6:$R$200,'Summary Data'!$A106,'Data entry'!$B$6:$B$200,{"Confirmed";"Probable"},'Data entry'!$AQ$6:$AQ$200,'Data Validation'!$V$8, 'Data entry'!$AP$6:$AP$200,'Data Validation'!$U$6, 'Data entry'!$BD$6:$BD$200,"&lt;&gt;*Negative*"))</f>
        <v>0</v>
      </c>
      <c r="BO106" s="15">
        <f>SUM(COUNTIFS('Data entry'!$R$6:$R$200,'Summary Data'!$A106,'Data entry'!$B$6:$B$200,{"Confirmed";"Probable"},'Data entry'!$AQ$6:$AQ$200,'Data Validation'!$V$9, 'Data entry'!$AP$6:$AP$200,'Data Validation'!$U$2, 'Data entry'!$BD$6:$BD$200,"&lt;&gt;*Negative*"))</f>
        <v>0</v>
      </c>
      <c r="BP106" s="15">
        <f>SUM(COUNTIFS('Data entry'!$R$6:$R$200,'Summary Data'!$A106,'Data entry'!$B$6:$B$200,{"Confirmed";"Probable"},'Data entry'!$AQ$6:$AQ$200,'Data Validation'!$V$9, 'Data entry'!$AP$6:$AP$200,'Data Validation'!$U$3, 'Data entry'!$BD$6:$BD$200,"&lt;&gt;*Negative*"))</f>
        <v>0</v>
      </c>
      <c r="BQ106" s="15">
        <f>SUM(COUNTIFS('Data entry'!$R$6:$R$200,'Summary Data'!$A106,'Data entry'!$B$6:$B$200,{"Confirmed";"Probable"},'Data entry'!$AQ$6:$AQ$200,'Data Validation'!$V$9, 'Data entry'!$AP$6:$AP$200,'Data Validation'!$U$4, 'Data entry'!$BD$6:$BD$200,"&lt;&gt;*Negative*"))</f>
        <v>0</v>
      </c>
      <c r="BR106" s="15">
        <f>SUM(COUNTIFS('Data entry'!$R$6:$R$200,'Summary Data'!$A106,'Data entry'!$B$6:$B$200,{"Confirmed";"Probable"},'Data entry'!$AQ$6:$AQ$200,'Data Validation'!$V$9, 'Data entry'!$AP$6:$AP$200,'Data Validation'!$U$5, 'Data entry'!$BD$6:$BD$200,"&lt;&gt;*Negative*"))</f>
        <v>0</v>
      </c>
      <c r="BS106" s="15">
        <f>SUM(COUNTIFS('Data entry'!$R$6:$R$200,'Summary Data'!$A106,'Data entry'!$B$6:$B$200,{"Confirmed";"Probable"},'Data entry'!$AQ$6:$AQ$200,'Data Validation'!$V$9, 'Data entry'!$AP$6:$AP$200,'Data Validation'!$U$6, 'Data entry'!$BD$6:$BD$200,"&lt;&gt;*Negative*"))</f>
        <v>0</v>
      </c>
      <c r="BT106" s="15">
        <f>SUM(COUNTIFS('Data entry'!$R$6:$R$200,'Summary Data'!$A106,'Data entry'!$B$6:$B$200,{"Confirmed";"Probable"},'Data entry'!$AQ$6:$AQ$200,'Data Validation'!$V$10, 'Data entry'!$AP$6:$AP$200,'Data Validation'!$U$2, 'Data entry'!$BD$6:$BD$200,"&lt;&gt;*Negative*"))</f>
        <v>0</v>
      </c>
      <c r="BU106" s="15">
        <f>SUM(COUNTIFS('Data entry'!$R$6:$R$200,'Summary Data'!$A106,'Data entry'!$B$6:$B$200,{"Confirmed";"Probable"},'Data entry'!$AQ$6:$AQ$200,'Data Validation'!$V$10, 'Data entry'!$AP$6:$AP$200,'Data Validation'!$U$3, 'Data entry'!$BD$6:$BD$200,"&lt;&gt;*Negative*"))</f>
        <v>0</v>
      </c>
      <c r="BV106" s="15">
        <f>SUM(COUNTIFS('Data entry'!$R$6:$R$200,'Summary Data'!$A106,'Data entry'!$B$6:$B$200,{"Confirmed";"Probable"},'Data entry'!$AQ$6:$AQ$200,'Data Validation'!$V$10, 'Data entry'!$AP$6:$AP$200,'Data Validation'!$U$4, 'Data entry'!$BD$6:$BD$200,"&lt;&gt;*Negative*"))</f>
        <v>0</v>
      </c>
      <c r="BW106" s="15">
        <f>SUM(COUNTIFS('Data entry'!$R$6:$R$200,'Summary Data'!$A106,'Data entry'!$B$6:$B$200,{"Confirmed";"Probable"},'Data entry'!$AQ$6:$AQ$200,'Data Validation'!$V$10, 'Data entry'!$AP$6:$AP$200,'Data Validation'!$U$5, 'Data entry'!$BD$6:$BD$200,"&lt;&gt;*Negative*"))</f>
        <v>0</v>
      </c>
      <c r="BX106" s="15">
        <f>SUM(COUNTIFS('Data entry'!$R$6:$R$200,'Summary Data'!$A106,'Data entry'!$B$6:$B$200,{"Confirmed";"Probable"},'Data entry'!$AQ$6:$AQ$200,'Data Validation'!$V$10, 'Data entry'!$AP$6:$AP$200,'Data Validation'!$U$6, 'Data entry'!$BD$6:$BD$200,"&lt;&gt;*Negative*"))</f>
        <v>0</v>
      </c>
      <c r="BY106" s="15">
        <f>SUM(COUNTIFS('Data entry'!$R$6:$R$200,'Summary Data'!$A106,'Data entry'!$B$6:$B$200,{"Confirmed";"Probable"},'Data entry'!$AQ$6:$AQ$200,'Data Validation'!$V$11, 'Data entry'!$AP$6:$AP$200,'Data Validation'!$U$2, 'Data entry'!$BD$6:$BD$200,"&lt;&gt;*Negative*"))</f>
        <v>0</v>
      </c>
      <c r="BZ106" s="15">
        <f>SUM(COUNTIFS('Data entry'!$R$6:$R$200,'Summary Data'!$A106,'Data entry'!$B$6:$B$200,{"Confirmed";"Probable"},'Data entry'!$AQ$6:$AQ$200,'Data Validation'!$V$11, 'Data entry'!$AP$6:$AP$200,'Data Validation'!$U$3, 'Data entry'!$BD$6:$BD$200,"&lt;&gt;*Negative*"))</f>
        <v>0</v>
      </c>
      <c r="CA106" s="15">
        <f>SUM(COUNTIFS('Data entry'!$R$6:$R$200,'Summary Data'!$A106,'Data entry'!$B$6:$B$200,{"Confirmed";"Probable"},'Data entry'!$AQ$6:$AQ$200,'Data Validation'!$V$11, 'Data entry'!$AP$6:$AP$200,'Data Validation'!$U$4, 'Data entry'!$BD$6:$BD$200,"&lt;&gt;*Negative*"))</f>
        <v>0</v>
      </c>
      <c r="CB106" s="15">
        <f>SUM(COUNTIFS('Data entry'!$R$6:$R$200,'Summary Data'!$A106,'Data entry'!$B$6:$B$200,{"Confirmed";"Probable"},'Data entry'!$AQ$6:$AQ$200,'Data Validation'!$V$11, 'Data entry'!$AP$6:$AP$200,'Data Validation'!$U$5, 'Data entry'!$BD$6:$BD$200,"&lt;&gt;*Negative*"))</f>
        <v>0</v>
      </c>
      <c r="CC106" s="15">
        <f>SUM(COUNTIFS('Data entry'!$R$6:$R$200,'Summary Data'!$A106,'Data entry'!$B$6:$B$200,{"Confirmed";"Probable"},'Data entry'!$AQ$6:$AQ$200,'Data Validation'!$V$11, 'Data entry'!$AP$6:$AP$200,'Data Validation'!$U$6, 'Data entry'!$BD$6:$BD$200,"&lt;&gt;*Negative*"))</f>
        <v>0</v>
      </c>
    </row>
    <row r="107" spans="1:81" x14ac:dyDescent="0.25">
      <c r="A107" s="12">
        <f t="shared" si="9"/>
        <v>95</v>
      </c>
      <c r="B107" s="13">
        <f t="shared" si="6"/>
        <v>0</v>
      </c>
      <c r="C107" s="13">
        <f>COUNTIFS('Data entry'!$R$6:$R$200,$A107,'Data entry'!$B$6:$B$200,"Confirmed",'Data entry'!$BD$6:$BD$200,"&lt;&gt;*Negative*")</f>
        <v>0</v>
      </c>
      <c r="D107" s="13">
        <f>COUNTIFS('Data entry'!$R$6:$R$200,$A107,'Data entry'!$B$6:$B$200,"Probable",'Data entry'!$BD$6:$BD$200,"&lt;&gt;*Negative*")</f>
        <v>0</v>
      </c>
      <c r="E107" s="13">
        <f>COUNTIFS('Data entry'!$R$6:$R$200,$A107,'Data entry'!$B$6:$B$200,"DNM")</f>
        <v>0</v>
      </c>
      <c r="F107" s="13">
        <f>SUM(COUNTIFS('Data entry'!$R$6:$R$200,'Summary Data'!$A107,'Data entry'!$B$6:$B$200,{"Confirmed";"Probable"},'Data entry'!$AO$6:$AO$200,$F$10, 'Data entry'!$BD$6:$BD$200,"&lt;&gt;*Negative*"))</f>
        <v>0</v>
      </c>
      <c r="G107" s="13">
        <f>SUM(COUNTIFS('Data entry'!$R$6:$R$200,'Summary Data'!$A107,'Data entry'!$B$6:$B$200,{"Confirmed";"Probable"},'Data entry'!$AO$6:$AO$200,$G$10, 'Data entry'!$BD$6:$BD$200,"&lt;&gt;*Negative*"))</f>
        <v>0</v>
      </c>
      <c r="H107" s="13">
        <f>SUM(COUNTIFS('Data entry'!$R$6:$R$200,'Summary Data'!$A107,'Data entry'!$B$6:$B$200,{"Confirmed";"Probable"},'Data entry'!$AO$6:$AO$200,$H$10, 'Data entry'!$BD$6:$BD$200,"&lt;&gt;*Negative*"))</f>
        <v>0</v>
      </c>
      <c r="I107" s="13">
        <f>SUM(COUNTIFS('Data entry'!$R$6:$R$200,'Summary Data'!$A107,'Data entry'!$B$6:$B$200,{"Confirmed";"Probable"},'Data entry'!$AO$6:$AO$200,$I$10, 'Data entry'!$BD$6:$BD$200,"&lt;&gt;*Negative*"))</f>
        <v>0</v>
      </c>
      <c r="J107" s="13">
        <f>SUM(COUNTIFS('Data entry'!$R$6:$R$200,'Summary Data'!$A107,'Data entry'!$B$6:$B$200,{"Confirmed";"Probable"},'Data entry'!$AO$6:$AO$200,$J$10, 'Data entry'!$BD$6:$BD$200,"&lt;&gt;*Negative*"))</f>
        <v>0</v>
      </c>
      <c r="K107" s="13">
        <f>SUM(COUNTIFS('Data entry'!$R$6:$R$200,'Summary Data'!$A107,'Data entry'!$B$6:$B$200,{"Confirmed";"Probable"},'Data entry'!$AO$6:$AO$200,$K$10, 'Data entry'!$BD$6:$BD$200,"&lt;&gt;*Negative*"))</f>
        <v>0</v>
      </c>
      <c r="L107" s="13">
        <f>SUM(COUNTIFS('Data entry'!$R$6:$R$200,'Summary Data'!$A107,'Data entry'!$B$6:$B$200,{"Confirmed";"Probable"},'Data entry'!$AO$6:$AO$200,$L$10, 'Data entry'!$BD$6:$BD$200,"&lt;&gt;*Negative*"))</f>
        <v>0</v>
      </c>
      <c r="M107" s="13">
        <f>SUM(COUNTIFS('Data entry'!$R$6:$R$200,'Summary Data'!$A107,'Data entry'!$B$6:$B$200,{"Confirmed";"Probable"},'Data entry'!$AO$6:$AO$200,$M$10, 'Data entry'!$BD$6:$BD$200,"&lt;&gt;*Negative*"))</f>
        <v>0</v>
      </c>
      <c r="N107" s="13">
        <f>SUM(COUNTIFS('Data entry'!$R$6:$R$200,'Summary Data'!$A107,'Data entry'!$B$6:$B$200,{"Confirmed";"Probable"},'Data entry'!$AO$6:$AO$200,$N$10, 'Data entry'!$BD$6:$BD$200,"&lt;&gt;*Negative*"))</f>
        <v>0</v>
      </c>
      <c r="O107" s="15">
        <f t="shared" si="7"/>
        <v>0</v>
      </c>
      <c r="P107" s="15">
        <f t="shared" si="8"/>
        <v>0</v>
      </c>
      <c r="Q107" s="15">
        <f>SUM(COUNTIFS('Data entry'!$R$6:$R$200,'Summary Data'!$A107,'Data entry'!$B$6:$B$200,{"Confirmed";"Probable"},'Data entry'!$AP$6:$AP$200,'Data Validation'!$U$2, 'Data entry'!$BD$6:$BD$200,"&lt;&gt;*Negative*"))</f>
        <v>0</v>
      </c>
      <c r="R107" s="15">
        <f>SUM(COUNTIFS('Data entry'!$R$6:$R$200,'Summary Data'!$A107,'Data entry'!$B$6:$B$200,{"Confirmed";"Probable"},'Data entry'!$AP$6:$AP$200,'Data Validation'!$U$3, 'Data entry'!$BD$6:$BD$200,"&lt;&gt;*Negative*"))</f>
        <v>0</v>
      </c>
      <c r="S107" s="15">
        <f>SUM(COUNTIFS('Data entry'!$R$6:$R$200,'Summary Data'!$A107,'Data entry'!$B$6:$B$200,{"Confirmed";"Probable"},'Data entry'!$AP$6:$AP$200,'Data Validation'!$U$4, 'Data entry'!$BD$6:$BD$200,"&lt;&gt;*Negative*"))</f>
        <v>0</v>
      </c>
      <c r="T107" s="15">
        <f>SUM(COUNTIFS('Data entry'!$R$6:$R$200,'Summary Data'!$A107,'Data entry'!$B$6:$B$200,{"Confirmed";"Probable"},'Data entry'!$AP$6:$AP$200,'Data Validation'!$U$5, 'Data entry'!$BD$6:$BD$200,"&lt;&gt;*Negative*"))</f>
        <v>0</v>
      </c>
      <c r="U107" s="15">
        <f>SUM(COUNTIFS('Data entry'!$R$6:$R$200,'Summary Data'!$A107,'Data entry'!$B$6:$B$200,{"Confirmed";"Probable"},'Data entry'!$AP$6:$AP$200,'Data Validation'!$U$6, 'Data entry'!$BD$6:$BD$200,"&lt;&gt;*Negative*"))</f>
        <v>0</v>
      </c>
      <c r="V107" s="15">
        <f>SUM(COUNTIFS('Data entry'!$R$6:$R$200,'Summary Data'!$A107,'Data entry'!$B$6:$B$200,{"Confirmed";"Probable"},'Data entry'!$AQ$6:$AQ$200,'Data Validation'!$V$2, 'Data entry'!$BD$6:$BD$200,"&lt;&gt;*Negative*"))</f>
        <v>0</v>
      </c>
      <c r="W107" s="15">
        <f>SUM(COUNTIFS('Data entry'!$R$6:$R$200,'Summary Data'!$A107,'Data entry'!$B$6:$B$200,{"Confirmed";"Probable"},'Data entry'!$AQ$6:$AQ$200,'Data Validation'!$V$3, 'Data entry'!$BD$6:$BD$200,"&lt;&gt;*Negative*"))</f>
        <v>0</v>
      </c>
      <c r="X107" s="15">
        <f>SUM(COUNTIFS('Data entry'!$R$6:$R$200,'Summary Data'!$A107,'Data entry'!$B$6:$B$200,{"Confirmed";"Probable"},'Data entry'!$AQ$6:$AQ$200,'Data Validation'!$V$4, 'Data entry'!$BD$6:$BD$200,"&lt;&gt;*Negative*"))</f>
        <v>0</v>
      </c>
      <c r="Y107" s="15">
        <f>SUM(COUNTIFS('Data entry'!$R$6:$R$200,'Summary Data'!$A107,'Data entry'!$B$6:$B$200,{"Confirmed";"Probable"},'Data entry'!$AQ$6:$AQ$200,'Data Validation'!$V$5, 'Data entry'!$BD$6:$BD$200,"&lt;&gt;*Negative*"))</f>
        <v>0</v>
      </c>
      <c r="Z107" s="15">
        <f>SUM(COUNTIFS('Data entry'!$R$6:$R$200,'Summary Data'!$A107,'Data entry'!$B$6:$B$200,{"Confirmed";"Probable"},'Data entry'!$AQ$6:$AQ$200,'Data Validation'!$V$6, 'Data entry'!$BD$6:$BD$200,"&lt;&gt;*Negative*"))</f>
        <v>0</v>
      </c>
      <c r="AA107" s="15">
        <f>SUM(COUNTIFS('Data entry'!$R$6:$R$200,'Summary Data'!$A107,'Data entry'!$B$6:$B$200,{"Confirmed";"Probable"},'Data entry'!$AQ$6:$AQ$200,'Data Validation'!$V$7, 'Data entry'!$BD$6:$BD$200,"&lt;&gt;*Negative*"))</f>
        <v>0</v>
      </c>
      <c r="AB107" s="15">
        <f>SUM(COUNTIFS('Data entry'!$R$6:$R$200,'Summary Data'!$A107,'Data entry'!$B$6:$B$200,{"Confirmed";"Probable"},'Data entry'!$AQ$6:$AQ$200,'Data Validation'!$V$8, 'Data entry'!$BD$6:$BD$200,"&lt;&gt;*Negative*"))</f>
        <v>0</v>
      </c>
      <c r="AC107" s="15">
        <f>SUM(COUNTIFS('Data entry'!$R$6:$R$200,'Summary Data'!$A107,'Data entry'!$B$6:$B$200,{"Confirmed";"Probable"},'Data entry'!$AQ$6:$AQ$200,'Data Validation'!$V$9, 'Data entry'!$BD$6:$BD$200,"&lt;&gt;*Negative*"))</f>
        <v>0</v>
      </c>
      <c r="AD107" s="15">
        <f>SUM(COUNTIFS('Data entry'!$R$6:$R$200,'Summary Data'!$A107,'Data entry'!$B$6:$B$200,{"Confirmed";"Probable"},'Data entry'!$AQ$6:$AQ$200,'Data Validation'!$V$10, 'Data entry'!$BD$6:$BD$200,"&lt;&gt;*Negative*"))</f>
        <v>0</v>
      </c>
      <c r="AE107" s="15">
        <f>SUM(COUNTIFS('Data entry'!$R$6:$R$200,'Summary Data'!$A107,'Data entry'!$B$6:$B$200,{"Confirmed";"Probable"},'Data entry'!$AQ$6:$AQ$200,'Data Validation'!$V$11, 'Data entry'!$BD$6:$BD$200,"&lt;&gt;*Negative*"))</f>
        <v>0</v>
      </c>
      <c r="AF107" s="15">
        <f>SUM(COUNTIFS('Data entry'!$R$6:$R$200,'Summary Data'!$A107,'Data entry'!$B$6:$B$200,{"Confirmed";"Probable"},'Data entry'!$AQ$6:$AQ$200,'Data Validation'!$V$2, 'Data entry'!$AP$6:$AP$200,'Data Validation'!$U$2, 'Data entry'!$BD$6:$BD$200,"&lt;&gt;*Negative*"))</f>
        <v>0</v>
      </c>
      <c r="AG107" s="15">
        <f>SUM(COUNTIFS('Data entry'!$R$6:$R$200,'Summary Data'!$A107,'Data entry'!$B$6:$B$200,{"Confirmed";"Probable"},'Data entry'!$AQ$6:$AQ$200,'Data Validation'!$V$2, 'Data entry'!$AP$6:$AP$200,'Data Validation'!$U$3, 'Data entry'!$BD$6:$BD$200,"&lt;&gt;*Negative*"))</f>
        <v>0</v>
      </c>
      <c r="AH107" s="15">
        <f>SUM(COUNTIFS('Data entry'!$R$6:$R$200,'Summary Data'!$A107,'Data entry'!$B$6:$B$200,{"Confirmed";"Probable"},'Data entry'!$AQ$6:$AQ$200,'Data Validation'!$V$2, 'Data entry'!$AP$6:$AP$200,'Data Validation'!$U$4, 'Data entry'!$BD$6:$BD$200,"&lt;&gt;*Negative*"))</f>
        <v>0</v>
      </c>
      <c r="AI107" s="15">
        <f>SUM(COUNTIFS('Data entry'!$R$6:$R$200,'Summary Data'!$A107,'Data entry'!$B$6:$B$200,{"Confirmed";"Probable"},'Data entry'!$AQ$6:$AQ$200,'Data Validation'!$V$2, 'Data entry'!$AP$6:$AP$200,'Data Validation'!$U$5, 'Data entry'!$BD$6:$BD$200,"&lt;&gt;*Negative*"))</f>
        <v>0</v>
      </c>
      <c r="AJ107" s="15">
        <f>SUM(COUNTIFS('Data entry'!$R$6:$R$200,'Summary Data'!$A107,'Data entry'!$B$6:$B$200,{"Confirmed";"Probable"},'Data entry'!$AQ$6:$AQ$200,'Data Validation'!$V$2, 'Data entry'!$AP$6:$AP$200,'Data Validation'!$U$6, 'Data entry'!$BD$6:$BD$200,"&lt;&gt;*Negative*"))</f>
        <v>0</v>
      </c>
      <c r="AK107" s="15">
        <f>SUM(COUNTIFS('Data entry'!$R$6:$R$200,'Summary Data'!$A107,'Data entry'!$B$6:$B$200,{"Confirmed";"Probable"},'Data entry'!$AQ$6:$AQ$200,'Data Validation'!$V$3, 'Data entry'!$AP$6:$AP$200,'Data Validation'!$U$2, 'Data entry'!$BD$6:$BD$200,"&lt;&gt;*Negative*"))</f>
        <v>0</v>
      </c>
      <c r="AL107" s="15">
        <f>SUM(COUNTIFS('Data entry'!$R$6:$R$200,'Summary Data'!$A107,'Data entry'!$B$6:$B$200,{"Confirmed";"Probable"},'Data entry'!$AQ$6:$AQ$200,'Data Validation'!$V$3, 'Data entry'!$AP$6:$AP$200,'Data Validation'!$U$3, 'Data entry'!$BD$6:$BD$200,"&lt;&gt;*Negative*"))</f>
        <v>0</v>
      </c>
      <c r="AM107" s="15">
        <f>SUM(COUNTIFS('Data entry'!$R$6:$R$200,'Summary Data'!$A107,'Data entry'!$B$6:$B$200,{"Confirmed";"Probable"},'Data entry'!$AQ$6:$AQ$200,'Data Validation'!$V$3, 'Data entry'!$AP$6:$AP$200,'Data Validation'!$U$4, 'Data entry'!$BD$6:$BD$200,"&lt;&gt;*Negative*"))</f>
        <v>0</v>
      </c>
      <c r="AN107" s="15">
        <f>SUM(COUNTIFS('Data entry'!$R$6:$R$200,'Summary Data'!$A107,'Data entry'!$B$6:$B$200,{"Confirmed";"Probable"},'Data entry'!$AQ$6:$AQ$200,'Data Validation'!$V$3, 'Data entry'!$AP$6:$AP$200,'Data Validation'!$U$5, 'Data entry'!$BD$6:$BD$200,"&lt;&gt;*Negative*"))</f>
        <v>0</v>
      </c>
      <c r="AO107" s="15">
        <f>SUM(COUNTIFS('Data entry'!$R$6:$R$200,'Summary Data'!$A107,'Data entry'!$B$6:$B$200,{"Confirmed";"Probable"},'Data entry'!$AQ$6:$AQ$200,'Data Validation'!$V$3, 'Data entry'!$AP$6:$AP$200,'Data Validation'!$U$6, 'Data entry'!$BD$6:$BD$200,"&lt;&gt;*Negative*"))</f>
        <v>0</v>
      </c>
      <c r="AP107" s="15">
        <f>SUM(COUNTIFS('Data entry'!$R$6:$R$200,'Summary Data'!$A107,'Data entry'!$B$6:$B$200,{"Confirmed";"Probable"},'Data entry'!$AQ$6:$AQ$200,'Data Validation'!$V$4, 'Data entry'!$AP$6:$AP$200,'Data Validation'!$U$2, 'Data entry'!$BD$6:$BD$200,"&lt;&gt;*Negative*"))</f>
        <v>0</v>
      </c>
      <c r="AQ107" s="15">
        <f>SUM(COUNTIFS('Data entry'!$R$6:$R$200,'Summary Data'!$A107,'Data entry'!$B$6:$B$200,{"Confirmed";"Probable"},'Data entry'!$AQ$6:$AQ$200,'Data Validation'!$V$4, 'Data entry'!$AP$6:$AP$200,'Data Validation'!$U$3, 'Data entry'!$BD$6:$BD$200,"&lt;&gt;*Negative*"))</f>
        <v>0</v>
      </c>
      <c r="AR107" s="15">
        <f>SUM(COUNTIFS('Data entry'!$R$6:$R$200,'Summary Data'!$A107,'Data entry'!$B$6:$B$200,{"Confirmed";"Probable"},'Data entry'!$AQ$6:$AQ$200,'Data Validation'!$V$4, 'Data entry'!$AP$6:$AP$200,'Data Validation'!$U$4, 'Data entry'!$BD$6:$BD$200,"&lt;&gt;*Negative*"))</f>
        <v>0</v>
      </c>
      <c r="AS107" s="15">
        <f>SUM(COUNTIFS('Data entry'!$R$6:$R$200,'Summary Data'!$A107,'Data entry'!$B$6:$B$200,{"Confirmed";"Probable"},'Data entry'!$AQ$6:$AQ$200,'Data Validation'!$V$4, 'Data entry'!$AP$6:$AP$200,'Data Validation'!$U$5, 'Data entry'!$BD$6:$BD$200,"&lt;&gt;*Negative*"))</f>
        <v>0</v>
      </c>
      <c r="AT107" s="15">
        <f>SUM(COUNTIFS('Data entry'!$R$6:$R$200,'Summary Data'!$A107,'Data entry'!$B$6:$B$200,{"Confirmed";"Probable"},'Data entry'!$AQ$6:$AQ$200,'Data Validation'!$V$4, 'Data entry'!$AP$6:$AP$200,'Data Validation'!$U$6, 'Data entry'!$BD$6:$BD$200,"&lt;&gt;*Negative*"))</f>
        <v>0</v>
      </c>
      <c r="AU107" s="15">
        <f>SUM(COUNTIFS('Data entry'!$R$6:$R$200,'Summary Data'!$A107,'Data entry'!$B$6:$B$200,{"Confirmed";"Probable"},'Data entry'!$AQ$6:$AQ$200,'Data Validation'!$V$5, 'Data entry'!$AP$6:$AP$200,'Data Validation'!$U$2, 'Data entry'!$BD$6:$BD$200,"&lt;&gt;*Negative*"))</f>
        <v>0</v>
      </c>
      <c r="AV107" s="15">
        <f>SUM(COUNTIFS('Data entry'!$R$6:$R$200,'Summary Data'!$A107,'Data entry'!$B$6:$B$200,{"Confirmed";"Probable"},'Data entry'!$AQ$6:$AQ$200,'Data Validation'!$V$5, 'Data entry'!$AP$6:$AP$200,'Data Validation'!$U$3, 'Data entry'!$BD$6:$BD$200,"&lt;&gt;*Negative*"))</f>
        <v>0</v>
      </c>
      <c r="AW107" s="15">
        <f>SUM(COUNTIFS('Data entry'!$R$6:$R$200,'Summary Data'!$A107,'Data entry'!$B$6:$B$200,{"Confirmed";"Probable"},'Data entry'!$AQ$6:$AQ$200,'Data Validation'!$V$5, 'Data entry'!$AP$6:$AP$200,'Data Validation'!$U$4, 'Data entry'!$BD$6:$BD$200,"&lt;&gt;*Negative*"))</f>
        <v>0</v>
      </c>
      <c r="AX107" s="15">
        <f>SUM(COUNTIFS('Data entry'!$R$6:$R$200,'Summary Data'!$A107,'Data entry'!$B$6:$B$200,{"Confirmed";"Probable"},'Data entry'!$AQ$6:$AQ$200,'Data Validation'!$V$5, 'Data entry'!$AP$6:$AP$200,'Data Validation'!$U$5, 'Data entry'!$BD$6:$BD$200,"&lt;&gt;*Negative*"))</f>
        <v>0</v>
      </c>
      <c r="AY107" s="15">
        <f>SUM(COUNTIFS('Data entry'!$R$6:$R$200,'Summary Data'!$A107,'Data entry'!$B$6:$B$200,{"Confirmed";"Probable"},'Data entry'!$AQ$6:$AQ$200,'Data Validation'!$V$5, 'Data entry'!$AP$6:$AP$200,'Data Validation'!$U$6, 'Data entry'!$BD$6:$BD$200,"&lt;&gt;*Negative*"))</f>
        <v>0</v>
      </c>
      <c r="AZ107" s="15">
        <f>SUM(COUNTIFS('Data entry'!$R$6:$R$200,'Summary Data'!$A107,'Data entry'!$B$6:$B$200,{"Confirmed";"Probable"},'Data entry'!$AQ$6:$AQ$200,'Data Validation'!$V$6, 'Data entry'!$AP$6:$AP$200,'Data Validation'!$U$2, 'Data entry'!$BD$6:$BD$200,"&lt;&gt;*Negative*"))</f>
        <v>0</v>
      </c>
      <c r="BA107" s="15">
        <f>SUM(COUNTIFS('Data entry'!$R$6:$R$200,'Summary Data'!$A107,'Data entry'!$B$6:$B$200,{"Confirmed";"Probable"},'Data entry'!$AQ$6:$AQ$200,'Data Validation'!$V$6, 'Data entry'!$AP$6:$AP$200,'Data Validation'!$U$3, 'Data entry'!$BD$6:$BD$200,"&lt;&gt;*Negative*"))</f>
        <v>0</v>
      </c>
      <c r="BB107" s="15">
        <f>SUM(COUNTIFS('Data entry'!$R$6:$R$200,'Summary Data'!$A107,'Data entry'!$B$6:$B$200,{"Confirmed";"Probable"},'Data entry'!$AQ$6:$AQ$200,'Data Validation'!$V$6, 'Data entry'!$AP$6:$AP$200,'Data Validation'!$U$4, 'Data entry'!$BD$6:$BD$200,"&lt;&gt;*Negative*"))</f>
        <v>0</v>
      </c>
      <c r="BC107" s="15">
        <f>SUM(COUNTIFS('Data entry'!$R$6:$R$200,'Summary Data'!$A107,'Data entry'!$B$6:$B$200,{"Confirmed";"Probable"},'Data entry'!$AQ$6:$AQ$200,'Data Validation'!$V$6, 'Data entry'!$AP$6:$AP$200,'Data Validation'!$U$5, 'Data entry'!$BD$6:$BD$200,"&lt;&gt;*Negative*"))</f>
        <v>0</v>
      </c>
      <c r="BD107" s="15">
        <f>SUM(COUNTIFS('Data entry'!$R$6:$R$200,'Summary Data'!$A107,'Data entry'!$B$6:$B$200,{"Confirmed";"Probable"},'Data entry'!$AQ$6:$AQ$200,'Data Validation'!$V$6, 'Data entry'!$AP$6:$AP$200,'Data Validation'!$U$6, 'Data entry'!$BD$6:$BD$200,"&lt;&gt;*Negative*"))</f>
        <v>0</v>
      </c>
      <c r="BE107" s="15">
        <f>SUM(COUNTIFS('Data entry'!$R$6:$R$200,'Summary Data'!$A107,'Data entry'!$B$6:$B$200,{"Confirmed";"Probable"},'Data entry'!$AQ$6:$AQ$200,'Data Validation'!$V$7, 'Data entry'!$AP$6:$AP$200,'Data Validation'!$U$2, 'Data entry'!$BD$6:$BD$200,"&lt;&gt;*Negative*"))</f>
        <v>0</v>
      </c>
      <c r="BF107" s="15">
        <f>SUM(COUNTIFS('Data entry'!$R$6:$R$200,'Summary Data'!$A107,'Data entry'!$B$6:$B$200,{"Confirmed";"Probable"},'Data entry'!$AQ$6:$AQ$200,'Data Validation'!$V$7, 'Data entry'!$AP$6:$AP$200,'Data Validation'!$U$3, 'Data entry'!$BD$6:$BD$200,"&lt;&gt;*Negative*"))</f>
        <v>0</v>
      </c>
      <c r="BG107" s="15">
        <f>SUM(COUNTIFS('Data entry'!$R$6:$R$200,'Summary Data'!$A107,'Data entry'!$B$6:$B$200,{"Confirmed";"Probable"},'Data entry'!$AQ$6:$AQ$200,'Data Validation'!$V$7, 'Data entry'!$AP$6:$AP$200,'Data Validation'!$U$4, 'Data entry'!$BD$6:$BD$200,"&lt;&gt;*Negative*"))</f>
        <v>0</v>
      </c>
      <c r="BH107" s="15">
        <f>SUM(COUNTIFS('Data entry'!$R$6:$R$200,'Summary Data'!$A107,'Data entry'!$B$6:$B$200,{"Confirmed";"Probable"},'Data entry'!$AQ$6:$AQ$200,'Data Validation'!$V$7, 'Data entry'!$AP$6:$AP$200,'Data Validation'!$U$5, 'Data entry'!$BD$6:$BD$200,"&lt;&gt;*Negative*"))</f>
        <v>0</v>
      </c>
      <c r="BI107" s="15">
        <f>SUM(COUNTIFS('Data entry'!$R$6:$R$200,'Summary Data'!$A107,'Data entry'!$B$6:$B$200,{"Confirmed";"Probable"},'Data entry'!$AQ$6:$AQ$200,'Data Validation'!$V$7, 'Data entry'!$AP$6:$AP$200,'Data Validation'!$U$6, 'Data entry'!$BD$6:$BD$200,"&lt;&gt;*Negative*"))</f>
        <v>0</v>
      </c>
      <c r="BJ107" s="15">
        <f>SUM(COUNTIFS('Data entry'!$R$6:$R$200,'Summary Data'!$A107,'Data entry'!$B$6:$B$200,{"Confirmed";"Probable"},'Data entry'!$AQ$6:$AQ$200,'Data Validation'!$V$8, 'Data entry'!$AP$6:$AP$200,'Data Validation'!$U$2, 'Data entry'!$BD$6:$BD$200,"&lt;&gt;*Negative*"))</f>
        <v>0</v>
      </c>
      <c r="BK107" s="15">
        <f>SUM(COUNTIFS('Data entry'!$R$6:$R$200,'Summary Data'!$A107,'Data entry'!$B$6:$B$200,{"Confirmed";"Probable"},'Data entry'!$AQ$6:$AQ$200,'Data Validation'!$V$8, 'Data entry'!$AP$6:$AP$200,'Data Validation'!$U$3, 'Data entry'!$BD$6:$BD$200,"&lt;&gt;*Negative*"))</f>
        <v>0</v>
      </c>
      <c r="BL107" s="15">
        <f>SUM(COUNTIFS('Data entry'!$R$6:$R$200,'Summary Data'!$A107,'Data entry'!$B$6:$B$200,{"Confirmed";"Probable"},'Data entry'!$AQ$6:$AQ$200,'Data Validation'!$V$8, 'Data entry'!$AP$6:$AP$200,'Data Validation'!$U$4, 'Data entry'!$BD$6:$BD$200,"&lt;&gt;*Negative*"))</f>
        <v>0</v>
      </c>
      <c r="BM107" s="15">
        <f>SUM(COUNTIFS('Data entry'!$R$6:$R$200,'Summary Data'!$A107,'Data entry'!$B$6:$B$200,{"Confirmed";"Probable"},'Data entry'!$AQ$6:$AQ$200,'Data Validation'!$V$8, 'Data entry'!$AP$6:$AP$200,'Data Validation'!$U$5, 'Data entry'!$BD$6:$BD$200,"&lt;&gt;*Negative*"))</f>
        <v>0</v>
      </c>
      <c r="BN107" s="15">
        <f>SUM(COUNTIFS('Data entry'!$R$6:$R$200,'Summary Data'!$A107,'Data entry'!$B$6:$B$200,{"Confirmed";"Probable"},'Data entry'!$AQ$6:$AQ$200,'Data Validation'!$V$8, 'Data entry'!$AP$6:$AP$200,'Data Validation'!$U$6, 'Data entry'!$BD$6:$BD$200,"&lt;&gt;*Negative*"))</f>
        <v>0</v>
      </c>
      <c r="BO107" s="15">
        <f>SUM(COUNTIFS('Data entry'!$R$6:$R$200,'Summary Data'!$A107,'Data entry'!$B$6:$B$200,{"Confirmed";"Probable"},'Data entry'!$AQ$6:$AQ$200,'Data Validation'!$V$9, 'Data entry'!$AP$6:$AP$200,'Data Validation'!$U$2, 'Data entry'!$BD$6:$BD$200,"&lt;&gt;*Negative*"))</f>
        <v>0</v>
      </c>
      <c r="BP107" s="15">
        <f>SUM(COUNTIFS('Data entry'!$R$6:$R$200,'Summary Data'!$A107,'Data entry'!$B$6:$B$200,{"Confirmed";"Probable"},'Data entry'!$AQ$6:$AQ$200,'Data Validation'!$V$9, 'Data entry'!$AP$6:$AP$200,'Data Validation'!$U$3, 'Data entry'!$BD$6:$BD$200,"&lt;&gt;*Negative*"))</f>
        <v>0</v>
      </c>
      <c r="BQ107" s="15">
        <f>SUM(COUNTIFS('Data entry'!$R$6:$R$200,'Summary Data'!$A107,'Data entry'!$B$6:$B$200,{"Confirmed";"Probable"},'Data entry'!$AQ$6:$AQ$200,'Data Validation'!$V$9, 'Data entry'!$AP$6:$AP$200,'Data Validation'!$U$4, 'Data entry'!$BD$6:$BD$200,"&lt;&gt;*Negative*"))</f>
        <v>0</v>
      </c>
      <c r="BR107" s="15">
        <f>SUM(COUNTIFS('Data entry'!$R$6:$R$200,'Summary Data'!$A107,'Data entry'!$B$6:$B$200,{"Confirmed";"Probable"},'Data entry'!$AQ$6:$AQ$200,'Data Validation'!$V$9, 'Data entry'!$AP$6:$AP$200,'Data Validation'!$U$5, 'Data entry'!$BD$6:$BD$200,"&lt;&gt;*Negative*"))</f>
        <v>0</v>
      </c>
      <c r="BS107" s="15">
        <f>SUM(COUNTIFS('Data entry'!$R$6:$R$200,'Summary Data'!$A107,'Data entry'!$B$6:$B$200,{"Confirmed";"Probable"},'Data entry'!$AQ$6:$AQ$200,'Data Validation'!$V$9, 'Data entry'!$AP$6:$AP$200,'Data Validation'!$U$6, 'Data entry'!$BD$6:$BD$200,"&lt;&gt;*Negative*"))</f>
        <v>0</v>
      </c>
      <c r="BT107" s="15">
        <f>SUM(COUNTIFS('Data entry'!$R$6:$R$200,'Summary Data'!$A107,'Data entry'!$B$6:$B$200,{"Confirmed";"Probable"},'Data entry'!$AQ$6:$AQ$200,'Data Validation'!$V$10, 'Data entry'!$AP$6:$AP$200,'Data Validation'!$U$2, 'Data entry'!$BD$6:$BD$200,"&lt;&gt;*Negative*"))</f>
        <v>0</v>
      </c>
      <c r="BU107" s="15">
        <f>SUM(COUNTIFS('Data entry'!$R$6:$R$200,'Summary Data'!$A107,'Data entry'!$B$6:$B$200,{"Confirmed";"Probable"},'Data entry'!$AQ$6:$AQ$200,'Data Validation'!$V$10, 'Data entry'!$AP$6:$AP$200,'Data Validation'!$U$3, 'Data entry'!$BD$6:$BD$200,"&lt;&gt;*Negative*"))</f>
        <v>0</v>
      </c>
      <c r="BV107" s="15">
        <f>SUM(COUNTIFS('Data entry'!$R$6:$R$200,'Summary Data'!$A107,'Data entry'!$B$6:$B$200,{"Confirmed";"Probable"},'Data entry'!$AQ$6:$AQ$200,'Data Validation'!$V$10, 'Data entry'!$AP$6:$AP$200,'Data Validation'!$U$4, 'Data entry'!$BD$6:$BD$200,"&lt;&gt;*Negative*"))</f>
        <v>0</v>
      </c>
      <c r="BW107" s="15">
        <f>SUM(COUNTIFS('Data entry'!$R$6:$R$200,'Summary Data'!$A107,'Data entry'!$B$6:$B$200,{"Confirmed";"Probable"},'Data entry'!$AQ$6:$AQ$200,'Data Validation'!$V$10, 'Data entry'!$AP$6:$AP$200,'Data Validation'!$U$5, 'Data entry'!$BD$6:$BD$200,"&lt;&gt;*Negative*"))</f>
        <v>0</v>
      </c>
      <c r="BX107" s="15">
        <f>SUM(COUNTIFS('Data entry'!$R$6:$R$200,'Summary Data'!$A107,'Data entry'!$B$6:$B$200,{"Confirmed";"Probable"},'Data entry'!$AQ$6:$AQ$200,'Data Validation'!$V$10, 'Data entry'!$AP$6:$AP$200,'Data Validation'!$U$6, 'Data entry'!$BD$6:$BD$200,"&lt;&gt;*Negative*"))</f>
        <v>0</v>
      </c>
      <c r="BY107" s="15">
        <f>SUM(COUNTIFS('Data entry'!$R$6:$R$200,'Summary Data'!$A107,'Data entry'!$B$6:$B$200,{"Confirmed";"Probable"},'Data entry'!$AQ$6:$AQ$200,'Data Validation'!$V$11, 'Data entry'!$AP$6:$AP$200,'Data Validation'!$U$2, 'Data entry'!$BD$6:$BD$200,"&lt;&gt;*Negative*"))</f>
        <v>0</v>
      </c>
      <c r="BZ107" s="15">
        <f>SUM(COUNTIFS('Data entry'!$R$6:$R$200,'Summary Data'!$A107,'Data entry'!$B$6:$B$200,{"Confirmed";"Probable"},'Data entry'!$AQ$6:$AQ$200,'Data Validation'!$V$11, 'Data entry'!$AP$6:$AP$200,'Data Validation'!$U$3, 'Data entry'!$BD$6:$BD$200,"&lt;&gt;*Negative*"))</f>
        <v>0</v>
      </c>
      <c r="CA107" s="15">
        <f>SUM(COUNTIFS('Data entry'!$R$6:$R$200,'Summary Data'!$A107,'Data entry'!$B$6:$B$200,{"Confirmed";"Probable"},'Data entry'!$AQ$6:$AQ$200,'Data Validation'!$V$11, 'Data entry'!$AP$6:$AP$200,'Data Validation'!$U$4, 'Data entry'!$BD$6:$BD$200,"&lt;&gt;*Negative*"))</f>
        <v>0</v>
      </c>
      <c r="CB107" s="15">
        <f>SUM(COUNTIFS('Data entry'!$R$6:$R$200,'Summary Data'!$A107,'Data entry'!$B$6:$B$200,{"Confirmed";"Probable"},'Data entry'!$AQ$6:$AQ$200,'Data Validation'!$V$11, 'Data entry'!$AP$6:$AP$200,'Data Validation'!$U$5, 'Data entry'!$BD$6:$BD$200,"&lt;&gt;*Negative*"))</f>
        <v>0</v>
      </c>
      <c r="CC107" s="15">
        <f>SUM(COUNTIFS('Data entry'!$R$6:$R$200,'Summary Data'!$A107,'Data entry'!$B$6:$B$200,{"Confirmed";"Probable"},'Data entry'!$AQ$6:$AQ$200,'Data Validation'!$V$11, 'Data entry'!$AP$6:$AP$200,'Data Validation'!$U$6, 'Data entry'!$BD$6:$BD$200,"&lt;&gt;*Negative*"))</f>
        <v>0</v>
      </c>
    </row>
    <row r="108" spans="1:81" x14ac:dyDescent="0.25">
      <c r="A108" s="12">
        <f t="shared" si="9"/>
        <v>96</v>
      </c>
      <c r="B108" s="13">
        <f t="shared" si="6"/>
        <v>0</v>
      </c>
      <c r="C108" s="13">
        <f>COUNTIFS('Data entry'!$R$6:$R$200,$A108,'Data entry'!$B$6:$B$200,"Confirmed",'Data entry'!$BD$6:$BD$200,"&lt;&gt;*Negative*")</f>
        <v>0</v>
      </c>
      <c r="D108" s="13">
        <f>COUNTIFS('Data entry'!$R$6:$R$200,$A108,'Data entry'!$B$6:$B$200,"Probable",'Data entry'!$BD$6:$BD$200,"&lt;&gt;*Negative*")</f>
        <v>0</v>
      </c>
      <c r="E108" s="13">
        <f>COUNTIFS('Data entry'!$R$6:$R$200,$A108,'Data entry'!$B$6:$B$200,"DNM")</f>
        <v>0</v>
      </c>
      <c r="F108" s="13">
        <f>SUM(COUNTIFS('Data entry'!$R$6:$R$200,'Summary Data'!$A108,'Data entry'!$B$6:$B$200,{"Confirmed";"Probable"},'Data entry'!$AO$6:$AO$200,$F$10, 'Data entry'!$BD$6:$BD$200,"&lt;&gt;*Negative*"))</f>
        <v>0</v>
      </c>
      <c r="G108" s="13">
        <f>SUM(COUNTIFS('Data entry'!$R$6:$R$200,'Summary Data'!$A108,'Data entry'!$B$6:$B$200,{"Confirmed";"Probable"},'Data entry'!$AO$6:$AO$200,$G$10, 'Data entry'!$BD$6:$BD$200,"&lt;&gt;*Negative*"))</f>
        <v>0</v>
      </c>
      <c r="H108" s="13">
        <f>SUM(COUNTIFS('Data entry'!$R$6:$R$200,'Summary Data'!$A108,'Data entry'!$B$6:$B$200,{"Confirmed";"Probable"},'Data entry'!$AO$6:$AO$200,$H$10, 'Data entry'!$BD$6:$BD$200,"&lt;&gt;*Negative*"))</f>
        <v>0</v>
      </c>
      <c r="I108" s="13">
        <f>SUM(COUNTIFS('Data entry'!$R$6:$R$200,'Summary Data'!$A108,'Data entry'!$B$6:$B$200,{"Confirmed";"Probable"},'Data entry'!$AO$6:$AO$200,$I$10, 'Data entry'!$BD$6:$BD$200,"&lt;&gt;*Negative*"))</f>
        <v>0</v>
      </c>
      <c r="J108" s="13">
        <f>SUM(COUNTIFS('Data entry'!$R$6:$R$200,'Summary Data'!$A108,'Data entry'!$B$6:$B$200,{"Confirmed";"Probable"},'Data entry'!$AO$6:$AO$200,$J$10, 'Data entry'!$BD$6:$BD$200,"&lt;&gt;*Negative*"))</f>
        <v>0</v>
      </c>
      <c r="K108" s="13">
        <f>SUM(COUNTIFS('Data entry'!$R$6:$R$200,'Summary Data'!$A108,'Data entry'!$B$6:$B$200,{"Confirmed";"Probable"},'Data entry'!$AO$6:$AO$200,$K$10, 'Data entry'!$BD$6:$BD$200,"&lt;&gt;*Negative*"))</f>
        <v>0</v>
      </c>
      <c r="L108" s="13">
        <f>SUM(COUNTIFS('Data entry'!$R$6:$R$200,'Summary Data'!$A108,'Data entry'!$B$6:$B$200,{"Confirmed";"Probable"},'Data entry'!$AO$6:$AO$200,$L$10, 'Data entry'!$BD$6:$BD$200,"&lt;&gt;*Negative*"))</f>
        <v>0</v>
      </c>
      <c r="M108" s="13">
        <f>SUM(COUNTIFS('Data entry'!$R$6:$R$200,'Summary Data'!$A108,'Data entry'!$B$6:$B$200,{"Confirmed";"Probable"},'Data entry'!$AO$6:$AO$200,$M$10, 'Data entry'!$BD$6:$BD$200,"&lt;&gt;*Negative*"))</f>
        <v>0</v>
      </c>
      <c r="N108" s="13">
        <f>SUM(COUNTIFS('Data entry'!$R$6:$R$200,'Summary Data'!$A108,'Data entry'!$B$6:$B$200,{"Confirmed";"Probable"},'Data entry'!$AO$6:$AO$200,$N$10, 'Data entry'!$BD$6:$BD$200,"&lt;&gt;*Negative*"))</f>
        <v>0</v>
      </c>
      <c r="O108" s="15">
        <f t="shared" si="7"/>
        <v>0</v>
      </c>
      <c r="P108" s="15">
        <f t="shared" si="8"/>
        <v>0</v>
      </c>
      <c r="Q108" s="15">
        <f>SUM(COUNTIFS('Data entry'!$R$6:$R$200,'Summary Data'!$A108,'Data entry'!$B$6:$B$200,{"Confirmed";"Probable"},'Data entry'!$AP$6:$AP$200,'Data Validation'!$U$2, 'Data entry'!$BD$6:$BD$200,"&lt;&gt;*Negative*"))</f>
        <v>0</v>
      </c>
      <c r="R108" s="15">
        <f>SUM(COUNTIFS('Data entry'!$R$6:$R$200,'Summary Data'!$A108,'Data entry'!$B$6:$B$200,{"Confirmed";"Probable"},'Data entry'!$AP$6:$AP$200,'Data Validation'!$U$3, 'Data entry'!$BD$6:$BD$200,"&lt;&gt;*Negative*"))</f>
        <v>0</v>
      </c>
      <c r="S108" s="15">
        <f>SUM(COUNTIFS('Data entry'!$R$6:$R$200,'Summary Data'!$A108,'Data entry'!$B$6:$B$200,{"Confirmed";"Probable"},'Data entry'!$AP$6:$AP$200,'Data Validation'!$U$4, 'Data entry'!$BD$6:$BD$200,"&lt;&gt;*Negative*"))</f>
        <v>0</v>
      </c>
      <c r="T108" s="15">
        <f>SUM(COUNTIFS('Data entry'!$R$6:$R$200,'Summary Data'!$A108,'Data entry'!$B$6:$B$200,{"Confirmed";"Probable"},'Data entry'!$AP$6:$AP$200,'Data Validation'!$U$5, 'Data entry'!$BD$6:$BD$200,"&lt;&gt;*Negative*"))</f>
        <v>0</v>
      </c>
      <c r="U108" s="15">
        <f>SUM(COUNTIFS('Data entry'!$R$6:$R$200,'Summary Data'!$A108,'Data entry'!$B$6:$B$200,{"Confirmed";"Probable"},'Data entry'!$AP$6:$AP$200,'Data Validation'!$U$6, 'Data entry'!$BD$6:$BD$200,"&lt;&gt;*Negative*"))</f>
        <v>0</v>
      </c>
      <c r="V108" s="15">
        <f>SUM(COUNTIFS('Data entry'!$R$6:$R$200,'Summary Data'!$A108,'Data entry'!$B$6:$B$200,{"Confirmed";"Probable"},'Data entry'!$AQ$6:$AQ$200,'Data Validation'!$V$2, 'Data entry'!$BD$6:$BD$200,"&lt;&gt;*Negative*"))</f>
        <v>0</v>
      </c>
      <c r="W108" s="15">
        <f>SUM(COUNTIFS('Data entry'!$R$6:$R$200,'Summary Data'!$A108,'Data entry'!$B$6:$B$200,{"Confirmed";"Probable"},'Data entry'!$AQ$6:$AQ$200,'Data Validation'!$V$3, 'Data entry'!$BD$6:$BD$200,"&lt;&gt;*Negative*"))</f>
        <v>0</v>
      </c>
      <c r="X108" s="15">
        <f>SUM(COUNTIFS('Data entry'!$R$6:$R$200,'Summary Data'!$A108,'Data entry'!$B$6:$B$200,{"Confirmed";"Probable"},'Data entry'!$AQ$6:$AQ$200,'Data Validation'!$V$4, 'Data entry'!$BD$6:$BD$200,"&lt;&gt;*Negative*"))</f>
        <v>0</v>
      </c>
      <c r="Y108" s="15">
        <f>SUM(COUNTIFS('Data entry'!$R$6:$R$200,'Summary Data'!$A108,'Data entry'!$B$6:$B$200,{"Confirmed";"Probable"},'Data entry'!$AQ$6:$AQ$200,'Data Validation'!$V$5, 'Data entry'!$BD$6:$BD$200,"&lt;&gt;*Negative*"))</f>
        <v>0</v>
      </c>
      <c r="Z108" s="15">
        <f>SUM(COUNTIFS('Data entry'!$R$6:$R$200,'Summary Data'!$A108,'Data entry'!$B$6:$B$200,{"Confirmed";"Probable"},'Data entry'!$AQ$6:$AQ$200,'Data Validation'!$V$6, 'Data entry'!$BD$6:$BD$200,"&lt;&gt;*Negative*"))</f>
        <v>0</v>
      </c>
      <c r="AA108" s="15">
        <f>SUM(COUNTIFS('Data entry'!$R$6:$R$200,'Summary Data'!$A108,'Data entry'!$B$6:$B$200,{"Confirmed";"Probable"},'Data entry'!$AQ$6:$AQ$200,'Data Validation'!$V$7, 'Data entry'!$BD$6:$BD$200,"&lt;&gt;*Negative*"))</f>
        <v>0</v>
      </c>
      <c r="AB108" s="15">
        <f>SUM(COUNTIFS('Data entry'!$R$6:$R$200,'Summary Data'!$A108,'Data entry'!$B$6:$B$200,{"Confirmed";"Probable"},'Data entry'!$AQ$6:$AQ$200,'Data Validation'!$V$8, 'Data entry'!$BD$6:$BD$200,"&lt;&gt;*Negative*"))</f>
        <v>0</v>
      </c>
      <c r="AC108" s="15">
        <f>SUM(COUNTIFS('Data entry'!$R$6:$R$200,'Summary Data'!$A108,'Data entry'!$B$6:$B$200,{"Confirmed";"Probable"},'Data entry'!$AQ$6:$AQ$200,'Data Validation'!$V$9, 'Data entry'!$BD$6:$BD$200,"&lt;&gt;*Negative*"))</f>
        <v>0</v>
      </c>
      <c r="AD108" s="15">
        <f>SUM(COUNTIFS('Data entry'!$R$6:$R$200,'Summary Data'!$A108,'Data entry'!$B$6:$B$200,{"Confirmed";"Probable"},'Data entry'!$AQ$6:$AQ$200,'Data Validation'!$V$10, 'Data entry'!$BD$6:$BD$200,"&lt;&gt;*Negative*"))</f>
        <v>0</v>
      </c>
      <c r="AE108" s="15">
        <f>SUM(COUNTIFS('Data entry'!$R$6:$R$200,'Summary Data'!$A108,'Data entry'!$B$6:$B$200,{"Confirmed";"Probable"},'Data entry'!$AQ$6:$AQ$200,'Data Validation'!$V$11, 'Data entry'!$BD$6:$BD$200,"&lt;&gt;*Negative*"))</f>
        <v>0</v>
      </c>
      <c r="AF108" s="15">
        <f>SUM(COUNTIFS('Data entry'!$R$6:$R$200,'Summary Data'!$A108,'Data entry'!$B$6:$B$200,{"Confirmed";"Probable"},'Data entry'!$AQ$6:$AQ$200,'Data Validation'!$V$2, 'Data entry'!$AP$6:$AP$200,'Data Validation'!$U$2, 'Data entry'!$BD$6:$BD$200,"&lt;&gt;*Negative*"))</f>
        <v>0</v>
      </c>
      <c r="AG108" s="15">
        <f>SUM(COUNTIFS('Data entry'!$R$6:$R$200,'Summary Data'!$A108,'Data entry'!$B$6:$B$200,{"Confirmed";"Probable"},'Data entry'!$AQ$6:$AQ$200,'Data Validation'!$V$2, 'Data entry'!$AP$6:$AP$200,'Data Validation'!$U$3, 'Data entry'!$BD$6:$BD$200,"&lt;&gt;*Negative*"))</f>
        <v>0</v>
      </c>
      <c r="AH108" s="15">
        <f>SUM(COUNTIFS('Data entry'!$R$6:$R$200,'Summary Data'!$A108,'Data entry'!$B$6:$B$200,{"Confirmed";"Probable"},'Data entry'!$AQ$6:$AQ$200,'Data Validation'!$V$2, 'Data entry'!$AP$6:$AP$200,'Data Validation'!$U$4, 'Data entry'!$BD$6:$BD$200,"&lt;&gt;*Negative*"))</f>
        <v>0</v>
      </c>
      <c r="AI108" s="15">
        <f>SUM(COUNTIFS('Data entry'!$R$6:$R$200,'Summary Data'!$A108,'Data entry'!$B$6:$B$200,{"Confirmed";"Probable"},'Data entry'!$AQ$6:$AQ$200,'Data Validation'!$V$2, 'Data entry'!$AP$6:$AP$200,'Data Validation'!$U$5, 'Data entry'!$BD$6:$BD$200,"&lt;&gt;*Negative*"))</f>
        <v>0</v>
      </c>
      <c r="AJ108" s="15">
        <f>SUM(COUNTIFS('Data entry'!$R$6:$R$200,'Summary Data'!$A108,'Data entry'!$B$6:$B$200,{"Confirmed";"Probable"},'Data entry'!$AQ$6:$AQ$200,'Data Validation'!$V$2, 'Data entry'!$AP$6:$AP$200,'Data Validation'!$U$6, 'Data entry'!$BD$6:$BD$200,"&lt;&gt;*Negative*"))</f>
        <v>0</v>
      </c>
      <c r="AK108" s="15">
        <f>SUM(COUNTIFS('Data entry'!$R$6:$R$200,'Summary Data'!$A108,'Data entry'!$B$6:$B$200,{"Confirmed";"Probable"},'Data entry'!$AQ$6:$AQ$200,'Data Validation'!$V$3, 'Data entry'!$AP$6:$AP$200,'Data Validation'!$U$2, 'Data entry'!$BD$6:$BD$200,"&lt;&gt;*Negative*"))</f>
        <v>0</v>
      </c>
      <c r="AL108" s="15">
        <f>SUM(COUNTIFS('Data entry'!$R$6:$R$200,'Summary Data'!$A108,'Data entry'!$B$6:$B$200,{"Confirmed";"Probable"},'Data entry'!$AQ$6:$AQ$200,'Data Validation'!$V$3, 'Data entry'!$AP$6:$AP$200,'Data Validation'!$U$3, 'Data entry'!$BD$6:$BD$200,"&lt;&gt;*Negative*"))</f>
        <v>0</v>
      </c>
      <c r="AM108" s="15">
        <f>SUM(COUNTIFS('Data entry'!$R$6:$R$200,'Summary Data'!$A108,'Data entry'!$B$6:$B$200,{"Confirmed";"Probable"},'Data entry'!$AQ$6:$AQ$200,'Data Validation'!$V$3, 'Data entry'!$AP$6:$AP$200,'Data Validation'!$U$4, 'Data entry'!$BD$6:$BD$200,"&lt;&gt;*Negative*"))</f>
        <v>0</v>
      </c>
      <c r="AN108" s="15">
        <f>SUM(COUNTIFS('Data entry'!$R$6:$R$200,'Summary Data'!$A108,'Data entry'!$B$6:$B$200,{"Confirmed";"Probable"},'Data entry'!$AQ$6:$AQ$200,'Data Validation'!$V$3, 'Data entry'!$AP$6:$AP$200,'Data Validation'!$U$5, 'Data entry'!$BD$6:$BD$200,"&lt;&gt;*Negative*"))</f>
        <v>0</v>
      </c>
      <c r="AO108" s="15">
        <f>SUM(COUNTIFS('Data entry'!$R$6:$R$200,'Summary Data'!$A108,'Data entry'!$B$6:$B$200,{"Confirmed";"Probable"},'Data entry'!$AQ$6:$AQ$200,'Data Validation'!$V$3, 'Data entry'!$AP$6:$AP$200,'Data Validation'!$U$6, 'Data entry'!$BD$6:$BD$200,"&lt;&gt;*Negative*"))</f>
        <v>0</v>
      </c>
      <c r="AP108" s="15">
        <f>SUM(COUNTIFS('Data entry'!$R$6:$R$200,'Summary Data'!$A108,'Data entry'!$B$6:$B$200,{"Confirmed";"Probable"},'Data entry'!$AQ$6:$AQ$200,'Data Validation'!$V$4, 'Data entry'!$AP$6:$AP$200,'Data Validation'!$U$2, 'Data entry'!$BD$6:$BD$200,"&lt;&gt;*Negative*"))</f>
        <v>0</v>
      </c>
      <c r="AQ108" s="15">
        <f>SUM(COUNTIFS('Data entry'!$R$6:$R$200,'Summary Data'!$A108,'Data entry'!$B$6:$B$200,{"Confirmed";"Probable"},'Data entry'!$AQ$6:$AQ$200,'Data Validation'!$V$4, 'Data entry'!$AP$6:$AP$200,'Data Validation'!$U$3, 'Data entry'!$BD$6:$BD$200,"&lt;&gt;*Negative*"))</f>
        <v>0</v>
      </c>
      <c r="AR108" s="15">
        <f>SUM(COUNTIFS('Data entry'!$R$6:$R$200,'Summary Data'!$A108,'Data entry'!$B$6:$B$200,{"Confirmed";"Probable"},'Data entry'!$AQ$6:$AQ$200,'Data Validation'!$V$4, 'Data entry'!$AP$6:$AP$200,'Data Validation'!$U$4, 'Data entry'!$BD$6:$BD$200,"&lt;&gt;*Negative*"))</f>
        <v>0</v>
      </c>
      <c r="AS108" s="15">
        <f>SUM(COUNTIFS('Data entry'!$R$6:$R$200,'Summary Data'!$A108,'Data entry'!$B$6:$B$200,{"Confirmed";"Probable"},'Data entry'!$AQ$6:$AQ$200,'Data Validation'!$V$4, 'Data entry'!$AP$6:$AP$200,'Data Validation'!$U$5, 'Data entry'!$BD$6:$BD$200,"&lt;&gt;*Negative*"))</f>
        <v>0</v>
      </c>
      <c r="AT108" s="15">
        <f>SUM(COUNTIFS('Data entry'!$R$6:$R$200,'Summary Data'!$A108,'Data entry'!$B$6:$B$200,{"Confirmed";"Probable"},'Data entry'!$AQ$6:$AQ$200,'Data Validation'!$V$4, 'Data entry'!$AP$6:$AP$200,'Data Validation'!$U$6, 'Data entry'!$BD$6:$BD$200,"&lt;&gt;*Negative*"))</f>
        <v>0</v>
      </c>
      <c r="AU108" s="15">
        <f>SUM(COUNTIFS('Data entry'!$R$6:$R$200,'Summary Data'!$A108,'Data entry'!$B$6:$B$200,{"Confirmed";"Probable"},'Data entry'!$AQ$6:$AQ$200,'Data Validation'!$V$5, 'Data entry'!$AP$6:$AP$200,'Data Validation'!$U$2, 'Data entry'!$BD$6:$BD$200,"&lt;&gt;*Negative*"))</f>
        <v>0</v>
      </c>
      <c r="AV108" s="15">
        <f>SUM(COUNTIFS('Data entry'!$R$6:$R$200,'Summary Data'!$A108,'Data entry'!$B$6:$B$200,{"Confirmed";"Probable"},'Data entry'!$AQ$6:$AQ$200,'Data Validation'!$V$5, 'Data entry'!$AP$6:$AP$200,'Data Validation'!$U$3, 'Data entry'!$BD$6:$BD$200,"&lt;&gt;*Negative*"))</f>
        <v>0</v>
      </c>
      <c r="AW108" s="15">
        <f>SUM(COUNTIFS('Data entry'!$R$6:$R$200,'Summary Data'!$A108,'Data entry'!$B$6:$B$200,{"Confirmed";"Probable"},'Data entry'!$AQ$6:$AQ$200,'Data Validation'!$V$5, 'Data entry'!$AP$6:$AP$200,'Data Validation'!$U$4, 'Data entry'!$BD$6:$BD$200,"&lt;&gt;*Negative*"))</f>
        <v>0</v>
      </c>
      <c r="AX108" s="15">
        <f>SUM(COUNTIFS('Data entry'!$R$6:$R$200,'Summary Data'!$A108,'Data entry'!$B$6:$B$200,{"Confirmed";"Probable"},'Data entry'!$AQ$6:$AQ$200,'Data Validation'!$V$5, 'Data entry'!$AP$6:$AP$200,'Data Validation'!$U$5, 'Data entry'!$BD$6:$BD$200,"&lt;&gt;*Negative*"))</f>
        <v>0</v>
      </c>
      <c r="AY108" s="15">
        <f>SUM(COUNTIFS('Data entry'!$R$6:$R$200,'Summary Data'!$A108,'Data entry'!$B$6:$B$200,{"Confirmed";"Probable"},'Data entry'!$AQ$6:$AQ$200,'Data Validation'!$V$5, 'Data entry'!$AP$6:$AP$200,'Data Validation'!$U$6, 'Data entry'!$BD$6:$BD$200,"&lt;&gt;*Negative*"))</f>
        <v>0</v>
      </c>
      <c r="AZ108" s="15">
        <f>SUM(COUNTIFS('Data entry'!$R$6:$R$200,'Summary Data'!$A108,'Data entry'!$B$6:$B$200,{"Confirmed";"Probable"},'Data entry'!$AQ$6:$AQ$200,'Data Validation'!$V$6, 'Data entry'!$AP$6:$AP$200,'Data Validation'!$U$2, 'Data entry'!$BD$6:$BD$200,"&lt;&gt;*Negative*"))</f>
        <v>0</v>
      </c>
      <c r="BA108" s="15">
        <f>SUM(COUNTIFS('Data entry'!$R$6:$R$200,'Summary Data'!$A108,'Data entry'!$B$6:$B$200,{"Confirmed";"Probable"},'Data entry'!$AQ$6:$AQ$200,'Data Validation'!$V$6, 'Data entry'!$AP$6:$AP$200,'Data Validation'!$U$3, 'Data entry'!$BD$6:$BD$200,"&lt;&gt;*Negative*"))</f>
        <v>0</v>
      </c>
      <c r="BB108" s="15">
        <f>SUM(COUNTIFS('Data entry'!$R$6:$R$200,'Summary Data'!$A108,'Data entry'!$B$6:$B$200,{"Confirmed";"Probable"},'Data entry'!$AQ$6:$AQ$200,'Data Validation'!$V$6, 'Data entry'!$AP$6:$AP$200,'Data Validation'!$U$4, 'Data entry'!$BD$6:$BD$200,"&lt;&gt;*Negative*"))</f>
        <v>0</v>
      </c>
      <c r="BC108" s="15">
        <f>SUM(COUNTIFS('Data entry'!$R$6:$R$200,'Summary Data'!$A108,'Data entry'!$B$6:$B$200,{"Confirmed";"Probable"},'Data entry'!$AQ$6:$AQ$200,'Data Validation'!$V$6, 'Data entry'!$AP$6:$AP$200,'Data Validation'!$U$5, 'Data entry'!$BD$6:$BD$200,"&lt;&gt;*Negative*"))</f>
        <v>0</v>
      </c>
      <c r="BD108" s="15">
        <f>SUM(COUNTIFS('Data entry'!$R$6:$R$200,'Summary Data'!$A108,'Data entry'!$B$6:$B$200,{"Confirmed";"Probable"},'Data entry'!$AQ$6:$AQ$200,'Data Validation'!$V$6, 'Data entry'!$AP$6:$AP$200,'Data Validation'!$U$6, 'Data entry'!$BD$6:$BD$200,"&lt;&gt;*Negative*"))</f>
        <v>0</v>
      </c>
      <c r="BE108" s="15">
        <f>SUM(COUNTIFS('Data entry'!$R$6:$R$200,'Summary Data'!$A108,'Data entry'!$B$6:$B$200,{"Confirmed";"Probable"},'Data entry'!$AQ$6:$AQ$200,'Data Validation'!$V$7, 'Data entry'!$AP$6:$AP$200,'Data Validation'!$U$2, 'Data entry'!$BD$6:$BD$200,"&lt;&gt;*Negative*"))</f>
        <v>0</v>
      </c>
      <c r="BF108" s="15">
        <f>SUM(COUNTIFS('Data entry'!$R$6:$R$200,'Summary Data'!$A108,'Data entry'!$B$6:$B$200,{"Confirmed";"Probable"},'Data entry'!$AQ$6:$AQ$200,'Data Validation'!$V$7, 'Data entry'!$AP$6:$AP$200,'Data Validation'!$U$3, 'Data entry'!$BD$6:$BD$200,"&lt;&gt;*Negative*"))</f>
        <v>0</v>
      </c>
      <c r="BG108" s="15">
        <f>SUM(COUNTIFS('Data entry'!$R$6:$R$200,'Summary Data'!$A108,'Data entry'!$B$6:$B$200,{"Confirmed";"Probable"},'Data entry'!$AQ$6:$AQ$200,'Data Validation'!$V$7, 'Data entry'!$AP$6:$AP$200,'Data Validation'!$U$4, 'Data entry'!$BD$6:$BD$200,"&lt;&gt;*Negative*"))</f>
        <v>0</v>
      </c>
      <c r="BH108" s="15">
        <f>SUM(COUNTIFS('Data entry'!$R$6:$R$200,'Summary Data'!$A108,'Data entry'!$B$6:$B$200,{"Confirmed";"Probable"},'Data entry'!$AQ$6:$AQ$200,'Data Validation'!$V$7, 'Data entry'!$AP$6:$AP$200,'Data Validation'!$U$5, 'Data entry'!$BD$6:$BD$200,"&lt;&gt;*Negative*"))</f>
        <v>0</v>
      </c>
      <c r="BI108" s="15">
        <f>SUM(COUNTIFS('Data entry'!$R$6:$R$200,'Summary Data'!$A108,'Data entry'!$B$6:$B$200,{"Confirmed";"Probable"},'Data entry'!$AQ$6:$AQ$200,'Data Validation'!$V$7, 'Data entry'!$AP$6:$AP$200,'Data Validation'!$U$6, 'Data entry'!$BD$6:$BD$200,"&lt;&gt;*Negative*"))</f>
        <v>0</v>
      </c>
      <c r="BJ108" s="15">
        <f>SUM(COUNTIFS('Data entry'!$R$6:$R$200,'Summary Data'!$A108,'Data entry'!$B$6:$B$200,{"Confirmed";"Probable"},'Data entry'!$AQ$6:$AQ$200,'Data Validation'!$V$8, 'Data entry'!$AP$6:$AP$200,'Data Validation'!$U$2, 'Data entry'!$BD$6:$BD$200,"&lt;&gt;*Negative*"))</f>
        <v>0</v>
      </c>
      <c r="BK108" s="15">
        <f>SUM(COUNTIFS('Data entry'!$R$6:$R$200,'Summary Data'!$A108,'Data entry'!$B$6:$B$200,{"Confirmed";"Probable"},'Data entry'!$AQ$6:$AQ$200,'Data Validation'!$V$8, 'Data entry'!$AP$6:$AP$200,'Data Validation'!$U$3, 'Data entry'!$BD$6:$BD$200,"&lt;&gt;*Negative*"))</f>
        <v>0</v>
      </c>
      <c r="BL108" s="15">
        <f>SUM(COUNTIFS('Data entry'!$R$6:$R$200,'Summary Data'!$A108,'Data entry'!$B$6:$B$200,{"Confirmed";"Probable"},'Data entry'!$AQ$6:$AQ$200,'Data Validation'!$V$8, 'Data entry'!$AP$6:$AP$200,'Data Validation'!$U$4, 'Data entry'!$BD$6:$BD$200,"&lt;&gt;*Negative*"))</f>
        <v>0</v>
      </c>
      <c r="BM108" s="15">
        <f>SUM(COUNTIFS('Data entry'!$R$6:$R$200,'Summary Data'!$A108,'Data entry'!$B$6:$B$200,{"Confirmed";"Probable"},'Data entry'!$AQ$6:$AQ$200,'Data Validation'!$V$8, 'Data entry'!$AP$6:$AP$200,'Data Validation'!$U$5, 'Data entry'!$BD$6:$BD$200,"&lt;&gt;*Negative*"))</f>
        <v>0</v>
      </c>
      <c r="BN108" s="15">
        <f>SUM(COUNTIFS('Data entry'!$R$6:$R$200,'Summary Data'!$A108,'Data entry'!$B$6:$B$200,{"Confirmed";"Probable"},'Data entry'!$AQ$6:$AQ$200,'Data Validation'!$V$8, 'Data entry'!$AP$6:$AP$200,'Data Validation'!$U$6, 'Data entry'!$BD$6:$BD$200,"&lt;&gt;*Negative*"))</f>
        <v>0</v>
      </c>
      <c r="BO108" s="15">
        <f>SUM(COUNTIFS('Data entry'!$R$6:$R$200,'Summary Data'!$A108,'Data entry'!$B$6:$B$200,{"Confirmed";"Probable"},'Data entry'!$AQ$6:$AQ$200,'Data Validation'!$V$9, 'Data entry'!$AP$6:$AP$200,'Data Validation'!$U$2, 'Data entry'!$BD$6:$BD$200,"&lt;&gt;*Negative*"))</f>
        <v>0</v>
      </c>
      <c r="BP108" s="15">
        <f>SUM(COUNTIFS('Data entry'!$R$6:$R$200,'Summary Data'!$A108,'Data entry'!$B$6:$B$200,{"Confirmed";"Probable"},'Data entry'!$AQ$6:$AQ$200,'Data Validation'!$V$9, 'Data entry'!$AP$6:$AP$200,'Data Validation'!$U$3, 'Data entry'!$BD$6:$BD$200,"&lt;&gt;*Negative*"))</f>
        <v>0</v>
      </c>
      <c r="BQ108" s="15">
        <f>SUM(COUNTIFS('Data entry'!$R$6:$R$200,'Summary Data'!$A108,'Data entry'!$B$6:$B$200,{"Confirmed";"Probable"},'Data entry'!$AQ$6:$AQ$200,'Data Validation'!$V$9, 'Data entry'!$AP$6:$AP$200,'Data Validation'!$U$4, 'Data entry'!$BD$6:$BD$200,"&lt;&gt;*Negative*"))</f>
        <v>0</v>
      </c>
      <c r="BR108" s="15">
        <f>SUM(COUNTIFS('Data entry'!$R$6:$R$200,'Summary Data'!$A108,'Data entry'!$B$6:$B$200,{"Confirmed";"Probable"},'Data entry'!$AQ$6:$AQ$200,'Data Validation'!$V$9, 'Data entry'!$AP$6:$AP$200,'Data Validation'!$U$5, 'Data entry'!$BD$6:$BD$200,"&lt;&gt;*Negative*"))</f>
        <v>0</v>
      </c>
      <c r="BS108" s="15">
        <f>SUM(COUNTIFS('Data entry'!$R$6:$R$200,'Summary Data'!$A108,'Data entry'!$B$6:$B$200,{"Confirmed";"Probable"},'Data entry'!$AQ$6:$AQ$200,'Data Validation'!$V$9, 'Data entry'!$AP$6:$AP$200,'Data Validation'!$U$6, 'Data entry'!$BD$6:$BD$200,"&lt;&gt;*Negative*"))</f>
        <v>0</v>
      </c>
      <c r="BT108" s="15">
        <f>SUM(COUNTIFS('Data entry'!$R$6:$R$200,'Summary Data'!$A108,'Data entry'!$B$6:$B$200,{"Confirmed";"Probable"},'Data entry'!$AQ$6:$AQ$200,'Data Validation'!$V$10, 'Data entry'!$AP$6:$AP$200,'Data Validation'!$U$2, 'Data entry'!$BD$6:$BD$200,"&lt;&gt;*Negative*"))</f>
        <v>0</v>
      </c>
      <c r="BU108" s="15">
        <f>SUM(COUNTIFS('Data entry'!$R$6:$R$200,'Summary Data'!$A108,'Data entry'!$B$6:$B$200,{"Confirmed";"Probable"},'Data entry'!$AQ$6:$AQ$200,'Data Validation'!$V$10, 'Data entry'!$AP$6:$AP$200,'Data Validation'!$U$3, 'Data entry'!$BD$6:$BD$200,"&lt;&gt;*Negative*"))</f>
        <v>0</v>
      </c>
      <c r="BV108" s="15">
        <f>SUM(COUNTIFS('Data entry'!$R$6:$R$200,'Summary Data'!$A108,'Data entry'!$B$6:$B$200,{"Confirmed";"Probable"},'Data entry'!$AQ$6:$AQ$200,'Data Validation'!$V$10, 'Data entry'!$AP$6:$AP$200,'Data Validation'!$U$4, 'Data entry'!$BD$6:$BD$200,"&lt;&gt;*Negative*"))</f>
        <v>0</v>
      </c>
      <c r="BW108" s="15">
        <f>SUM(COUNTIFS('Data entry'!$R$6:$R$200,'Summary Data'!$A108,'Data entry'!$B$6:$B$200,{"Confirmed";"Probable"},'Data entry'!$AQ$6:$AQ$200,'Data Validation'!$V$10, 'Data entry'!$AP$6:$AP$200,'Data Validation'!$U$5, 'Data entry'!$BD$6:$BD$200,"&lt;&gt;*Negative*"))</f>
        <v>0</v>
      </c>
      <c r="BX108" s="15">
        <f>SUM(COUNTIFS('Data entry'!$R$6:$R$200,'Summary Data'!$A108,'Data entry'!$B$6:$B$200,{"Confirmed";"Probable"},'Data entry'!$AQ$6:$AQ$200,'Data Validation'!$V$10, 'Data entry'!$AP$6:$AP$200,'Data Validation'!$U$6, 'Data entry'!$BD$6:$BD$200,"&lt;&gt;*Negative*"))</f>
        <v>0</v>
      </c>
      <c r="BY108" s="15">
        <f>SUM(COUNTIFS('Data entry'!$R$6:$R$200,'Summary Data'!$A108,'Data entry'!$B$6:$B$200,{"Confirmed";"Probable"},'Data entry'!$AQ$6:$AQ$200,'Data Validation'!$V$11, 'Data entry'!$AP$6:$AP$200,'Data Validation'!$U$2, 'Data entry'!$BD$6:$BD$200,"&lt;&gt;*Negative*"))</f>
        <v>0</v>
      </c>
      <c r="BZ108" s="15">
        <f>SUM(COUNTIFS('Data entry'!$R$6:$R$200,'Summary Data'!$A108,'Data entry'!$B$6:$B$200,{"Confirmed";"Probable"},'Data entry'!$AQ$6:$AQ$200,'Data Validation'!$V$11, 'Data entry'!$AP$6:$AP$200,'Data Validation'!$U$3, 'Data entry'!$BD$6:$BD$200,"&lt;&gt;*Negative*"))</f>
        <v>0</v>
      </c>
      <c r="CA108" s="15">
        <f>SUM(COUNTIFS('Data entry'!$R$6:$R$200,'Summary Data'!$A108,'Data entry'!$B$6:$B$200,{"Confirmed";"Probable"},'Data entry'!$AQ$6:$AQ$200,'Data Validation'!$V$11, 'Data entry'!$AP$6:$AP$200,'Data Validation'!$U$4, 'Data entry'!$BD$6:$BD$200,"&lt;&gt;*Negative*"))</f>
        <v>0</v>
      </c>
      <c r="CB108" s="15">
        <f>SUM(COUNTIFS('Data entry'!$R$6:$R$200,'Summary Data'!$A108,'Data entry'!$B$6:$B$200,{"Confirmed";"Probable"},'Data entry'!$AQ$6:$AQ$200,'Data Validation'!$V$11, 'Data entry'!$AP$6:$AP$200,'Data Validation'!$U$5, 'Data entry'!$BD$6:$BD$200,"&lt;&gt;*Negative*"))</f>
        <v>0</v>
      </c>
      <c r="CC108" s="15">
        <f>SUM(COUNTIFS('Data entry'!$R$6:$R$200,'Summary Data'!$A108,'Data entry'!$B$6:$B$200,{"Confirmed";"Probable"},'Data entry'!$AQ$6:$AQ$200,'Data Validation'!$V$11, 'Data entry'!$AP$6:$AP$200,'Data Validation'!$U$6, 'Data entry'!$BD$6:$BD$200,"&lt;&gt;*Negative*"))</f>
        <v>0</v>
      </c>
    </row>
    <row r="109" spans="1:81" x14ac:dyDescent="0.25">
      <c r="A109" s="12">
        <f t="shared" si="9"/>
        <v>97</v>
      </c>
      <c r="B109" s="13">
        <f t="shared" si="6"/>
        <v>0</v>
      </c>
      <c r="C109" s="13">
        <f>COUNTIFS('Data entry'!$R$6:$R$200,$A109,'Data entry'!$B$6:$B$200,"Confirmed",'Data entry'!$BD$6:$BD$200,"&lt;&gt;*Negative*")</f>
        <v>0</v>
      </c>
      <c r="D109" s="13">
        <f>COUNTIFS('Data entry'!$R$6:$R$200,$A109,'Data entry'!$B$6:$B$200,"Probable",'Data entry'!$BD$6:$BD$200,"&lt;&gt;*Negative*")</f>
        <v>0</v>
      </c>
      <c r="E109" s="13">
        <f>COUNTIFS('Data entry'!$R$6:$R$200,$A109,'Data entry'!$B$6:$B$200,"DNM")</f>
        <v>0</v>
      </c>
      <c r="F109" s="13">
        <f>SUM(COUNTIFS('Data entry'!$R$6:$R$200,'Summary Data'!$A109,'Data entry'!$B$6:$B$200,{"Confirmed";"Probable"},'Data entry'!$AO$6:$AO$200,$F$10, 'Data entry'!$BD$6:$BD$200,"&lt;&gt;*Negative*"))</f>
        <v>0</v>
      </c>
      <c r="G109" s="13">
        <f>SUM(COUNTIFS('Data entry'!$R$6:$R$200,'Summary Data'!$A109,'Data entry'!$B$6:$B$200,{"Confirmed";"Probable"},'Data entry'!$AO$6:$AO$200,$G$10, 'Data entry'!$BD$6:$BD$200,"&lt;&gt;*Negative*"))</f>
        <v>0</v>
      </c>
      <c r="H109" s="13">
        <f>SUM(COUNTIFS('Data entry'!$R$6:$R$200,'Summary Data'!$A109,'Data entry'!$B$6:$B$200,{"Confirmed";"Probable"},'Data entry'!$AO$6:$AO$200,$H$10, 'Data entry'!$BD$6:$BD$200,"&lt;&gt;*Negative*"))</f>
        <v>0</v>
      </c>
      <c r="I109" s="13">
        <f>SUM(COUNTIFS('Data entry'!$R$6:$R$200,'Summary Data'!$A109,'Data entry'!$B$6:$B$200,{"Confirmed";"Probable"},'Data entry'!$AO$6:$AO$200,$I$10, 'Data entry'!$BD$6:$BD$200,"&lt;&gt;*Negative*"))</f>
        <v>0</v>
      </c>
      <c r="J109" s="13">
        <f>SUM(COUNTIFS('Data entry'!$R$6:$R$200,'Summary Data'!$A109,'Data entry'!$B$6:$B$200,{"Confirmed";"Probable"},'Data entry'!$AO$6:$AO$200,$J$10, 'Data entry'!$BD$6:$BD$200,"&lt;&gt;*Negative*"))</f>
        <v>0</v>
      </c>
      <c r="K109" s="13">
        <f>SUM(COUNTIFS('Data entry'!$R$6:$R$200,'Summary Data'!$A109,'Data entry'!$B$6:$B$200,{"Confirmed";"Probable"},'Data entry'!$AO$6:$AO$200,$K$10, 'Data entry'!$BD$6:$BD$200,"&lt;&gt;*Negative*"))</f>
        <v>0</v>
      </c>
      <c r="L109" s="13">
        <f>SUM(COUNTIFS('Data entry'!$R$6:$R$200,'Summary Data'!$A109,'Data entry'!$B$6:$B$200,{"Confirmed";"Probable"},'Data entry'!$AO$6:$AO$200,$L$10, 'Data entry'!$BD$6:$BD$200,"&lt;&gt;*Negative*"))</f>
        <v>0</v>
      </c>
      <c r="M109" s="13">
        <f>SUM(COUNTIFS('Data entry'!$R$6:$R$200,'Summary Data'!$A109,'Data entry'!$B$6:$B$200,{"Confirmed";"Probable"},'Data entry'!$AO$6:$AO$200,$M$10, 'Data entry'!$BD$6:$BD$200,"&lt;&gt;*Negative*"))</f>
        <v>0</v>
      </c>
      <c r="N109" s="13">
        <f>SUM(COUNTIFS('Data entry'!$R$6:$R$200,'Summary Data'!$A109,'Data entry'!$B$6:$B$200,{"Confirmed";"Probable"},'Data entry'!$AO$6:$AO$200,$N$10, 'Data entry'!$BD$6:$BD$200,"&lt;&gt;*Negative*"))</f>
        <v>0</v>
      </c>
      <c r="O109" s="15">
        <f t="shared" si="7"/>
        <v>0</v>
      </c>
      <c r="P109" s="15">
        <f t="shared" si="8"/>
        <v>0</v>
      </c>
      <c r="Q109" s="15">
        <f>SUM(COUNTIFS('Data entry'!$R$6:$R$200,'Summary Data'!$A109,'Data entry'!$B$6:$B$200,{"Confirmed";"Probable"},'Data entry'!$AP$6:$AP$200,'Data Validation'!$U$2, 'Data entry'!$BD$6:$BD$200,"&lt;&gt;*Negative*"))</f>
        <v>0</v>
      </c>
      <c r="R109" s="15">
        <f>SUM(COUNTIFS('Data entry'!$R$6:$R$200,'Summary Data'!$A109,'Data entry'!$B$6:$B$200,{"Confirmed";"Probable"},'Data entry'!$AP$6:$AP$200,'Data Validation'!$U$3, 'Data entry'!$BD$6:$BD$200,"&lt;&gt;*Negative*"))</f>
        <v>0</v>
      </c>
      <c r="S109" s="15">
        <f>SUM(COUNTIFS('Data entry'!$R$6:$R$200,'Summary Data'!$A109,'Data entry'!$B$6:$B$200,{"Confirmed";"Probable"},'Data entry'!$AP$6:$AP$200,'Data Validation'!$U$4, 'Data entry'!$BD$6:$BD$200,"&lt;&gt;*Negative*"))</f>
        <v>0</v>
      </c>
      <c r="T109" s="15">
        <f>SUM(COUNTIFS('Data entry'!$R$6:$R$200,'Summary Data'!$A109,'Data entry'!$B$6:$B$200,{"Confirmed";"Probable"},'Data entry'!$AP$6:$AP$200,'Data Validation'!$U$5, 'Data entry'!$BD$6:$BD$200,"&lt;&gt;*Negative*"))</f>
        <v>0</v>
      </c>
      <c r="U109" s="15">
        <f>SUM(COUNTIFS('Data entry'!$R$6:$R$200,'Summary Data'!$A109,'Data entry'!$B$6:$B$200,{"Confirmed";"Probable"},'Data entry'!$AP$6:$AP$200,'Data Validation'!$U$6, 'Data entry'!$BD$6:$BD$200,"&lt;&gt;*Negative*"))</f>
        <v>0</v>
      </c>
      <c r="V109" s="15">
        <f>SUM(COUNTIFS('Data entry'!$R$6:$R$200,'Summary Data'!$A109,'Data entry'!$B$6:$B$200,{"Confirmed";"Probable"},'Data entry'!$AQ$6:$AQ$200,'Data Validation'!$V$2, 'Data entry'!$BD$6:$BD$200,"&lt;&gt;*Negative*"))</f>
        <v>0</v>
      </c>
      <c r="W109" s="15">
        <f>SUM(COUNTIFS('Data entry'!$R$6:$R$200,'Summary Data'!$A109,'Data entry'!$B$6:$B$200,{"Confirmed";"Probable"},'Data entry'!$AQ$6:$AQ$200,'Data Validation'!$V$3, 'Data entry'!$BD$6:$BD$200,"&lt;&gt;*Negative*"))</f>
        <v>0</v>
      </c>
      <c r="X109" s="15">
        <f>SUM(COUNTIFS('Data entry'!$R$6:$R$200,'Summary Data'!$A109,'Data entry'!$B$6:$B$200,{"Confirmed";"Probable"},'Data entry'!$AQ$6:$AQ$200,'Data Validation'!$V$4, 'Data entry'!$BD$6:$BD$200,"&lt;&gt;*Negative*"))</f>
        <v>0</v>
      </c>
      <c r="Y109" s="15">
        <f>SUM(COUNTIFS('Data entry'!$R$6:$R$200,'Summary Data'!$A109,'Data entry'!$B$6:$B$200,{"Confirmed";"Probable"},'Data entry'!$AQ$6:$AQ$200,'Data Validation'!$V$5, 'Data entry'!$BD$6:$BD$200,"&lt;&gt;*Negative*"))</f>
        <v>0</v>
      </c>
      <c r="Z109" s="15">
        <f>SUM(COUNTIFS('Data entry'!$R$6:$R$200,'Summary Data'!$A109,'Data entry'!$B$6:$B$200,{"Confirmed";"Probable"},'Data entry'!$AQ$6:$AQ$200,'Data Validation'!$V$6, 'Data entry'!$BD$6:$BD$200,"&lt;&gt;*Negative*"))</f>
        <v>0</v>
      </c>
      <c r="AA109" s="15">
        <f>SUM(COUNTIFS('Data entry'!$R$6:$R$200,'Summary Data'!$A109,'Data entry'!$B$6:$B$200,{"Confirmed";"Probable"},'Data entry'!$AQ$6:$AQ$200,'Data Validation'!$V$7, 'Data entry'!$BD$6:$BD$200,"&lt;&gt;*Negative*"))</f>
        <v>0</v>
      </c>
      <c r="AB109" s="15">
        <f>SUM(COUNTIFS('Data entry'!$R$6:$R$200,'Summary Data'!$A109,'Data entry'!$B$6:$B$200,{"Confirmed";"Probable"},'Data entry'!$AQ$6:$AQ$200,'Data Validation'!$V$8, 'Data entry'!$BD$6:$BD$200,"&lt;&gt;*Negative*"))</f>
        <v>0</v>
      </c>
      <c r="AC109" s="15">
        <f>SUM(COUNTIFS('Data entry'!$R$6:$R$200,'Summary Data'!$A109,'Data entry'!$B$6:$B$200,{"Confirmed";"Probable"},'Data entry'!$AQ$6:$AQ$200,'Data Validation'!$V$9, 'Data entry'!$BD$6:$BD$200,"&lt;&gt;*Negative*"))</f>
        <v>0</v>
      </c>
      <c r="AD109" s="15">
        <f>SUM(COUNTIFS('Data entry'!$R$6:$R$200,'Summary Data'!$A109,'Data entry'!$B$6:$B$200,{"Confirmed";"Probable"},'Data entry'!$AQ$6:$AQ$200,'Data Validation'!$V$10, 'Data entry'!$BD$6:$BD$200,"&lt;&gt;*Negative*"))</f>
        <v>0</v>
      </c>
      <c r="AE109" s="15">
        <f>SUM(COUNTIFS('Data entry'!$R$6:$R$200,'Summary Data'!$A109,'Data entry'!$B$6:$B$200,{"Confirmed";"Probable"},'Data entry'!$AQ$6:$AQ$200,'Data Validation'!$V$11, 'Data entry'!$BD$6:$BD$200,"&lt;&gt;*Negative*"))</f>
        <v>0</v>
      </c>
      <c r="AF109" s="15">
        <f>SUM(COUNTIFS('Data entry'!$R$6:$R$200,'Summary Data'!$A109,'Data entry'!$B$6:$B$200,{"Confirmed";"Probable"},'Data entry'!$AQ$6:$AQ$200,'Data Validation'!$V$2, 'Data entry'!$AP$6:$AP$200,'Data Validation'!$U$2, 'Data entry'!$BD$6:$BD$200,"&lt;&gt;*Negative*"))</f>
        <v>0</v>
      </c>
      <c r="AG109" s="15">
        <f>SUM(COUNTIFS('Data entry'!$R$6:$R$200,'Summary Data'!$A109,'Data entry'!$B$6:$B$200,{"Confirmed";"Probable"},'Data entry'!$AQ$6:$AQ$200,'Data Validation'!$V$2, 'Data entry'!$AP$6:$AP$200,'Data Validation'!$U$3, 'Data entry'!$BD$6:$BD$200,"&lt;&gt;*Negative*"))</f>
        <v>0</v>
      </c>
      <c r="AH109" s="15">
        <f>SUM(COUNTIFS('Data entry'!$R$6:$R$200,'Summary Data'!$A109,'Data entry'!$B$6:$B$200,{"Confirmed";"Probable"},'Data entry'!$AQ$6:$AQ$200,'Data Validation'!$V$2, 'Data entry'!$AP$6:$AP$200,'Data Validation'!$U$4, 'Data entry'!$BD$6:$BD$200,"&lt;&gt;*Negative*"))</f>
        <v>0</v>
      </c>
      <c r="AI109" s="15">
        <f>SUM(COUNTIFS('Data entry'!$R$6:$R$200,'Summary Data'!$A109,'Data entry'!$B$6:$B$200,{"Confirmed";"Probable"},'Data entry'!$AQ$6:$AQ$200,'Data Validation'!$V$2, 'Data entry'!$AP$6:$AP$200,'Data Validation'!$U$5, 'Data entry'!$BD$6:$BD$200,"&lt;&gt;*Negative*"))</f>
        <v>0</v>
      </c>
      <c r="AJ109" s="15">
        <f>SUM(COUNTIFS('Data entry'!$R$6:$R$200,'Summary Data'!$A109,'Data entry'!$B$6:$B$200,{"Confirmed";"Probable"},'Data entry'!$AQ$6:$AQ$200,'Data Validation'!$V$2, 'Data entry'!$AP$6:$AP$200,'Data Validation'!$U$6, 'Data entry'!$BD$6:$BD$200,"&lt;&gt;*Negative*"))</f>
        <v>0</v>
      </c>
      <c r="AK109" s="15">
        <f>SUM(COUNTIFS('Data entry'!$R$6:$R$200,'Summary Data'!$A109,'Data entry'!$B$6:$B$200,{"Confirmed";"Probable"},'Data entry'!$AQ$6:$AQ$200,'Data Validation'!$V$3, 'Data entry'!$AP$6:$AP$200,'Data Validation'!$U$2, 'Data entry'!$BD$6:$BD$200,"&lt;&gt;*Negative*"))</f>
        <v>0</v>
      </c>
      <c r="AL109" s="15">
        <f>SUM(COUNTIFS('Data entry'!$R$6:$R$200,'Summary Data'!$A109,'Data entry'!$B$6:$B$200,{"Confirmed";"Probable"},'Data entry'!$AQ$6:$AQ$200,'Data Validation'!$V$3, 'Data entry'!$AP$6:$AP$200,'Data Validation'!$U$3, 'Data entry'!$BD$6:$BD$200,"&lt;&gt;*Negative*"))</f>
        <v>0</v>
      </c>
      <c r="AM109" s="15">
        <f>SUM(COUNTIFS('Data entry'!$R$6:$R$200,'Summary Data'!$A109,'Data entry'!$B$6:$B$200,{"Confirmed";"Probable"},'Data entry'!$AQ$6:$AQ$200,'Data Validation'!$V$3, 'Data entry'!$AP$6:$AP$200,'Data Validation'!$U$4, 'Data entry'!$BD$6:$BD$200,"&lt;&gt;*Negative*"))</f>
        <v>0</v>
      </c>
      <c r="AN109" s="15">
        <f>SUM(COUNTIFS('Data entry'!$R$6:$R$200,'Summary Data'!$A109,'Data entry'!$B$6:$B$200,{"Confirmed";"Probable"},'Data entry'!$AQ$6:$AQ$200,'Data Validation'!$V$3, 'Data entry'!$AP$6:$AP$200,'Data Validation'!$U$5, 'Data entry'!$BD$6:$BD$200,"&lt;&gt;*Negative*"))</f>
        <v>0</v>
      </c>
      <c r="AO109" s="15">
        <f>SUM(COUNTIFS('Data entry'!$R$6:$R$200,'Summary Data'!$A109,'Data entry'!$B$6:$B$200,{"Confirmed";"Probable"},'Data entry'!$AQ$6:$AQ$200,'Data Validation'!$V$3, 'Data entry'!$AP$6:$AP$200,'Data Validation'!$U$6, 'Data entry'!$BD$6:$BD$200,"&lt;&gt;*Negative*"))</f>
        <v>0</v>
      </c>
      <c r="AP109" s="15">
        <f>SUM(COUNTIFS('Data entry'!$R$6:$R$200,'Summary Data'!$A109,'Data entry'!$B$6:$B$200,{"Confirmed";"Probable"},'Data entry'!$AQ$6:$AQ$200,'Data Validation'!$V$4, 'Data entry'!$AP$6:$AP$200,'Data Validation'!$U$2, 'Data entry'!$BD$6:$BD$200,"&lt;&gt;*Negative*"))</f>
        <v>0</v>
      </c>
      <c r="AQ109" s="15">
        <f>SUM(COUNTIFS('Data entry'!$R$6:$R$200,'Summary Data'!$A109,'Data entry'!$B$6:$B$200,{"Confirmed";"Probable"},'Data entry'!$AQ$6:$AQ$200,'Data Validation'!$V$4, 'Data entry'!$AP$6:$AP$200,'Data Validation'!$U$3, 'Data entry'!$BD$6:$BD$200,"&lt;&gt;*Negative*"))</f>
        <v>0</v>
      </c>
      <c r="AR109" s="15">
        <f>SUM(COUNTIFS('Data entry'!$R$6:$R$200,'Summary Data'!$A109,'Data entry'!$B$6:$B$200,{"Confirmed";"Probable"},'Data entry'!$AQ$6:$AQ$200,'Data Validation'!$V$4, 'Data entry'!$AP$6:$AP$200,'Data Validation'!$U$4, 'Data entry'!$BD$6:$BD$200,"&lt;&gt;*Negative*"))</f>
        <v>0</v>
      </c>
      <c r="AS109" s="15">
        <f>SUM(COUNTIFS('Data entry'!$R$6:$R$200,'Summary Data'!$A109,'Data entry'!$B$6:$B$200,{"Confirmed";"Probable"},'Data entry'!$AQ$6:$AQ$200,'Data Validation'!$V$4, 'Data entry'!$AP$6:$AP$200,'Data Validation'!$U$5, 'Data entry'!$BD$6:$BD$200,"&lt;&gt;*Negative*"))</f>
        <v>0</v>
      </c>
      <c r="AT109" s="15">
        <f>SUM(COUNTIFS('Data entry'!$R$6:$R$200,'Summary Data'!$A109,'Data entry'!$B$6:$B$200,{"Confirmed";"Probable"},'Data entry'!$AQ$6:$AQ$200,'Data Validation'!$V$4, 'Data entry'!$AP$6:$AP$200,'Data Validation'!$U$6, 'Data entry'!$BD$6:$BD$200,"&lt;&gt;*Negative*"))</f>
        <v>0</v>
      </c>
      <c r="AU109" s="15">
        <f>SUM(COUNTIFS('Data entry'!$R$6:$R$200,'Summary Data'!$A109,'Data entry'!$B$6:$B$200,{"Confirmed";"Probable"},'Data entry'!$AQ$6:$AQ$200,'Data Validation'!$V$5, 'Data entry'!$AP$6:$AP$200,'Data Validation'!$U$2, 'Data entry'!$BD$6:$BD$200,"&lt;&gt;*Negative*"))</f>
        <v>0</v>
      </c>
      <c r="AV109" s="15">
        <f>SUM(COUNTIFS('Data entry'!$R$6:$R$200,'Summary Data'!$A109,'Data entry'!$B$6:$B$200,{"Confirmed";"Probable"},'Data entry'!$AQ$6:$AQ$200,'Data Validation'!$V$5, 'Data entry'!$AP$6:$AP$200,'Data Validation'!$U$3, 'Data entry'!$BD$6:$BD$200,"&lt;&gt;*Negative*"))</f>
        <v>0</v>
      </c>
      <c r="AW109" s="15">
        <f>SUM(COUNTIFS('Data entry'!$R$6:$R$200,'Summary Data'!$A109,'Data entry'!$B$6:$B$200,{"Confirmed";"Probable"},'Data entry'!$AQ$6:$AQ$200,'Data Validation'!$V$5, 'Data entry'!$AP$6:$AP$200,'Data Validation'!$U$4, 'Data entry'!$BD$6:$BD$200,"&lt;&gt;*Negative*"))</f>
        <v>0</v>
      </c>
      <c r="AX109" s="15">
        <f>SUM(COUNTIFS('Data entry'!$R$6:$R$200,'Summary Data'!$A109,'Data entry'!$B$6:$B$200,{"Confirmed";"Probable"},'Data entry'!$AQ$6:$AQ$200,'Data Validation'!$V$5, 'Data entry'!$AP$6:$AP$200,'Data Validation'!$U$5, 'Data entry'!$BD$6:$BD$200,"&lt;&gt;*Negative*"))</f>
        <v>0</v>
      </c>
      <c r="AY109" s="15">
        <f>SUM(COUNTIFS('Data entry'!$R$6:$R$200,'Summary Data'!$A109,'Data entry'!$B$6:$B$200,{"Confirmed";"Probable"},'Data entry'!$AQ$6:$AQ$200,'Data Validation'!$V$5, 'Data entry'!$AP$6:$AP$200,'Data Validation'!$U$6, 'Data entry'!$BD$6:$BD$200,"&lt;&gt;*Negative*"))</f>
        <v>0</v>
      </c>
      <c r="AZ109" s="15">
        <f>SUM(COUNTIFS('Data entry'!$R$6:$R$200,'Summary Data'!$A109,'Data entry'!$B$6:$B$200,{"Confirmed";"Probable"},'Data entry'!$AQ$6:$AQ$200,'Data Validation'!$V$6, 'Data entry'!$AP$6:$AP$200,'Data Validation'!$U$2, 'Data entry'!$BD$6:$BD$200,"&lt;&gt;*Negative*"))</f>
        <v>0</v>
      </c>
      <c r="BA109" s="15">
        <f>SUM(COUNTIFS('Data entry'!$R$6:$R$200,'Summary Data'!$A109,'Data entry'!$B$6:$B$200,{"Confirmed";"Probable"},'Data entry'!$AQ$6:$AQ$200,'Data Validation'!$V$6, 'Data entry'!$AP$6:$AP$200,'Data Validation'!$U$3, 'Data entry'!$BD$6:$BD$200,"&lt;&gt;*Negative*"))</f>
        <v>0</v>
      </c>
      <c r="BB109" s="15">
        <f>SUM(COUNTIFS('Data entry'!$R$6:$R$200,'Summary Data'!$A109,'Data entry'!$B$6:$B$200,{"Confirmed";"Probable"},'Data entry'!$AQ$6:$AQ$200,'Data Validation'!$V$6, 'Data entry'!$AP$6:$AP$200,'Data Validation'!$U$4, 'Data entry'!$BD$6:$BD$200,"&lt;&gt;*Negative*"))</f>
        <v>0</v>
      </c>
      <c r="BC109" s="15">
        <f>SUM(COUNTIFS('Data entry'!$R$6:$R$200,'Summary Data'!$A109,'Data entry'!$B$6:$B$200,{"Confirmed";"Probable"},'Data entry'!$AQ$6:$AQ$200,'Data Validation'!$V$6, 'Data entry'!$AP$6:$AP$200,'Data Validation'!$U$5, 'Data entry'!$BD$6:$BD$200,"&lt;&gt;*Negative*"))</f>
        <v>0</v>
      </c>
      <c r="BD109" s="15">
        <f>SUM(COUNTIFS('Data entry'!$R$6:$R$200,'Summary Data'!$A109,'Data entry'!$B$6:$B$200,{"Confirmed";"Probable"},'Data entry'!$AQ$6:$AQ$200,'Data Validation'!$V$6, 'Data entry'!$AP$6:$AP$200,'Data Validation'!$U$6, 'Data entry'!$BD$6:$BD$200,"&lt;&gt;*Negative*"))</f>
        <v>0</v>
      </c>
      <c r="BE109" s="15">
        <f>SUM(COUNTIFS('Data entry'!$R$6:$R$200,'Summary Data'!$A109,'Data entry'!$B$6:$B$200,{"Confirmed";"Probable"},'Data entry'!$AQ$6:$AQ$200,'Data Validation'!$V$7, 'Data entry'!$AP$6:$AP$200,'Data Validation'!$U$2, 'Data entry'!$BD$6:$BD$200,"&lt;&gt;*Negative*"))</f>
        <v>0</v>
      </c>
      <c r="BF109" s="15">
        <f>SUM(COUNTIFS('Data entry'!$R$6:$R$200,'Summary Data'!$A109,'Data entry'!$B$6:$B$200,{"Confirmed";"Probable"},'Data entry'!$AQ$6:$AQ$200,'Data Validation'!$V$7, 'Data entry'!$AP$6:$AP$200,'Data Validation'!$U$3, 'Data entry'!$BD$6:$BD$200,"&lt;&gt;*Negative*"))</f>
        <v>0</v>
      </c>
      <c r="BG109" s="15">
        <f>SUM(COUNTIFS('Data entry'!$R$6:$R$200,'Summary Data'!$A109,'Data entry'!$B$6:$B$200,{"Confirmed";"Probable"},'Data entry'!$AQ$6:$AQ$200,'Data Validation'!$V$7, 'Data entry'!$AP$6:$AP$200,'Data Validation'!$U$4, 'Data entry'!$BD$6:$BD$200,"&lt;&gt;*Negative*"))</f>
        <v>0</v>
      </c>
      <c r="BH109" s="15">
        <f>SUM(COUNTIFS('Data entry'!$R$6:$R$200,'Summary Data'!$A109,'Data entry'!$B$6:$B$200,{"Confirmed";"Probable"},'Data entry'!$AQ$6:$AQ$200,'Data Validation'!$V$7, 'Data entry'!$AP$6:$AP$200,'Data Validation'!$U$5, 'Data entry'!$BD$6:$BD$200,"&lt;&gt;*Negative*"))</f>
        <v>0</v>
      </c>
      <c r="BI109" s="15">
        <f>SUM(COUNTIFS('Data entry'!$R$6:$R$200,'Summary Data'!$A109,'Data entry'!$B$6:$B$200,{"Confirmed";"Probable"},'Data entry'!$AQ$6:$AQ$200,'Data Validation'!$V$7, 'Data entry'!$AP$6:$AP$200,'Data Validation'!$U$6, 'Data entry'!$BD$6:$BD$200,"&lt;&gt;*Negative*"))</f>
        <v>0</v>
      </c>
      <c r="BJ109" s="15">
        <f>SUM(COUNTIFS('Data entry'!$R$6:$R$200,'Summary Data'!$A109,'Data entry'!$B$6:$B$200,{"Confirmed";"Probable"},'Data entry'!$AQ$6:$AQ$200,'Data Validation'!$V$8, 'Data entry'!$AP$6:$AP$200,'Data Validation'!$U$2, 'Data entry'!$BD$6:$BD$200,"&lt;&gt;*Negative*"))</f>
        <v>0</v>
      </c>
      <c r="BK109" s="15">
        <f>SUM(COUNTIFS('Data entry'!$R$6:$R$200,'Summary Data'!$A109,'Data entry'!$B$6:$B$200,{"Confirmed";"Probable"},'Data entry'!$AQ$6:$AQ$200,'Data Validation'!$V$8, 'Data entry'!$AP$6:$AP$200,'Data Validation'!$U$3, 'Data entry'!$BD$6:$BD$200,"&lt;&gt;*Negative*"))</f>
        <v>0</v>
      </c>
      <c r="BL109" s="15">
        <f>SUM(COUNTIFS('Data entry'!$R$6:$R$200,'Summary Data'!$A109,'Data entry'!$B$6:$B$200,{"Confirmed";"Probable"},'Data entry'!$AQ$6:$AQ$200,'Data Validation'!$V$8, 'Data entry'!$AP$6:$AP$200,'Data Validation'!$U$4, 'Data entry'!$BD$6:$BD$200,"&lt;&gt;*Negative*"))</f>
        <v>0</v>
      </c>
      <c r="BM109" s="15">
        <f>SUM(COUNTIFS('Data entry'!$R$6:$R$200,'Summary Data'!$A109,'Data entry'!$B$6:$B$200,{"Confirmed";"Probable"},'Data entry'!$AQ$6:$AQ$200,'Data Validation'!$V$8, 'Data entry'!$AP$6:$AP$200,'Data Validation'!$U$5, 'Data entry'!$BD$6:$BD$200,"&lt;&gt;*Negative*"))</f>
        <v>0</v>
      </c>
      <c r="BN109" s="15">
        <f>SUM(COUNTIFS('Data entry'!$R$6:$R$200,'Summary Data'!$A109,'Data entry'!$B$6:$B$200,{"Confirmed";"Probable"},'Data entry'!$AQ$6:$AQ$200,'Data Validation'!$V$8, 'Data entry'!$AP$6:$AP$200,'Data Validation'!$U$6, 'Data entry'!$BD$6:$BD$200,"&lt;&gt;*Negative*"))</f>
        <v>0</v>
      </c>
      <c r="BO109" s="15">
        <f>SUM(COUNTIFS('Data entry'!$R$6:$R$200,'Summary Data'!$A109,'Data entry'!$B$6:$B$200,{"Confirmed";"Probable"},'Data entry'!$AQ$6:$AQ$200,'Data Validation'!$V$9, 'Data entry'!$AP$6:$AP$200,'Data Validation'!$U$2, 'Data entry'!$BD$6:$BD$200,"&lt;&gt;*Negative*"))</f>
        <v>0</v>
      </c>
      <c r="BP109" s="15">
        <f>SUM(COUNTIFS('Data entry'!$R$6:$R$200,'Summary Data'!$A109,'Data entry'!$B$6:$B$200,{"Confirmed";"Probable"},'Data entry'!$AQ$6:$AQ$200,'Data Validation'!$V$9, 'Data entry'!$AP$6:$AP$200,'Data Validation'!$U$3, 'Data entry'!$BD$6:$BD$200,"&lt;&gt;*Negative*"))</f>
        <v>0</v>
      </c>
      <c r="BQ109" s="15">
        <f>SUM(COUNTIFS('Data entry'!$R$6:$R$200,'Summary Data'!$A109,'Data entry'!$B$6:$B$200,{"Confirmed";"Probable"},'Data entry'!$AQ$6:$AQ$200,'Data Validation'!$V$9, 'Data entry'!$AP$6:$AP$200,'Data Validation'!$U$4, 'Data entry'!$BD$6:$BD$200,"&lt;&gt;*Negative*"))</f>
        <v>0</v>
      </c>
      <c r="BR109" s="15">
        <f>SUM(COUNTIFS('Data entry'!$R$6:$R$200,'Summary Data'!$A109,'Data entry'!$B$6:$B$200,{"Confirmed";"Probable"},'Data entry'!$AQ$6:$AQ$200,'Data Validation'!$V$9, 'Data entry'!$AP$6:$AP$200,'Data Validation'!$U$5, 'Data entry'!$BD$6:$BD$200,"&lt;&gt;*Negative*"))</f>
        <v>0</v>
      </c>
      <c r="BS109" s="15">
        <f>SUM(COUNTIFS('Data entry'!$R$6:$R$200,'Summary Data'!$A109,'Data entry'!$B$6:$B$200,{"Confirmed";"Probable"},'Data entry'!$AQ$6:$AQ$200,'Data Validation'!$V$9, 'Data entry'!$AP$6:$AP$200,'Data Validation'!$U$6, 'Data entry'!$BD$6:$BD$200,"&lt;&gt;*Negative*"))</f>
        <v>0</v>
      </c>
      <c r="BT109" s="15">
        <f>SUM(COUNTIFS('Data entry'!$R$6:$R$200,'Summary Data'!$A109,'Data entry'!$B$6:$B$200,{"Confirmed";"Probable"},'Data entry'!$AQ$6:$AQ$200,'Data Validation'!$V$10, 'Data entry'!$AP$6:$AP$200,'Data Validation'!$U$2, 'Data entry'!$BD$6:$BD$200,"&lt;&gt;*Negative*"))</f>
        <v>0</v>
      </c>
      <c r="BU109" s="15">
        <f>SUM(COUNTIFS('Data entry'!$R$6:$R$200,'Summary Data'!$A109,'Data entry'!$B$6:$B$200,{"Confirmed";"Probable"},'Data entry'!$AQ$6:$AQ$200,'Data Validation'!$V$10, 'Data entry'!$AP$6:$AP$200,'Data Validation'!$U$3, 'Data entry'!$BD$6:$BD$200,"&lt;&gt;*Negative*"))</f>
        <v>0</v>
      </c>
      <c r="BV109" s="15">
        <f>SUM(COUNTIFS('Data entry'!$R$6:$R$200,'Summary Data'!$A109,'Data entry'!$B$6:$B$200,{"Confirmed";"Probable"},'Data entry'!$AQ$6:$AQ$200,'Data Validation'!$V$10, 'Data entry'!$AP$6:$AP$200,'Data Validation'!$U$4, 'Data entry'!$BD$6:$BD$200,"&lt;&gt;*Negative*"))</f>
        <v>0</v>
      </c>
      <c r="BW109" s="15">
        <f>SUM(COUNTIFS('Data entry'!$R$6:$R$200,'Summary Data'!$A109,'Data entry'!$B$6:$B$200,{"Confirmed";"Probable"},'Data entry'!$AQ$6:$AQ$200,'Data Validation'!$V$10, 'Data entry'!$AP$6:$AP$200,'Data Validation'!$U$5, 'Data entry'!$BD$6:$BD$200,"&lt;&gt;*Negative*"))</f>
        <v>0</v>
      </c>
      <c r="BX109" s="15">
        <f>SUM(COUNTIFS('Data entry'!$R$6:$R$200,'Summary Data'!$A109,'Data entry'!$B$6:$B$200,{"Confirmed";"Probable"},'Data entry'!$AQ$6:$AQ$200,'Data Validation'!$V$10, 'Data entry'!$AP$6:$AP$200,'Data Validation'!$U$6, 'Data entry'!$BD$6:$BD$200,"&lt;&gt;*Negative*"))</f>
        <v>0</v>
      </c>
      <c r="BY109" s="15">
        <f>SUM(COUNTIFS('Data entry'!$R$6:$R$200,'Summary Data'!$A109,'Data entry'!$B$6:$B$200,{"Confirmed";"Probable"},'Data entry'!$AQ$6:$AQ$200,'Data Validation'!$V$11, 'Data entry'!$AP$6:$AP$200,'Data Validation'!$U$2, 'Data entry'!$BD$6:$BD$200,"&lt;&gt;*Negative*"))</f>
        <v>0</v>
      </c>
      <c r="BZ109" s="15">
        <f>SUM(COUNTIFS('Data entry'!$R$6:$R$200,'Summary Data'!$A109,'Data entry'!$B$6:$B$200,{"Confirmed";"Probable"},'Data entry'!$AQ$6:$AQ$200,'Data Validation'!$V$11, 'Data entry'!$AP$6:$AP$200,'Data Validation'!$U$3, 'Data entry'!$BD$6:$BD$200,"&lt;&gt;*Negative*"))</f>
        <v>0</v>
      </c>
      <c r="CA109" s="15">
        <f>SUM(COUNTIFS('Data entry'!$R$6:$R$200,'Summary Data'!$A109,'Data entry'!$B$6:$B$200,{"Confirmed";"Probable"},'Data entry'!$AQ$6:$AQ$200,'Data Validation'!$V$11, 'Data entry'!$AP$6:$AP$200,'Data Validation'!$U$4, 'Data entry'!$BD$6:$BD$200,"&lt;&gt;*Negative*"))</f>
        <v>0</v>
      </c>
      <c r="CB109" s="15">
        <f>SUM(COUNTIFS('Data entry'!$R$6:$R$200,'Summary Data'!$A109,'Data entry'!$B$6:$B$200,{"Confirmed";"Probable"},'Data entry'!$AQ$6:$AQ$200,'Data Validation'!$V$11, 'Data entry'!$AP$6:$AP$200,'Data Validation'!$U$5, 'Data entry'!$BD$6:$BD$200,"&lt;&gt;*Negative*"))</f>
        <v>0</v>
      </c>
      <c r="CC109" s="15">
        <f>SUM(COUNTIFS('Data entry'!$R$6:$R$200,'Summary Data'!$A109,'Data entry'!$B$6:$B$200,{"Confirmed";"Probable"},'Data entry'!$AQ$6:$AQ$200,'Data Validation'!$V$11, 'Data entry'!$AP$6:$AP$200,'Data Validation'!$U$6, 'Data entry'!$BD$6:$BD$200,"&lt;&gt;*Negative*"))</f>
        <v>0</v>
      </c>
    </row>
    <row r="110" spans="1:81" x14ac:dyDescent="0.25">
      <c r="A110" s="12">
        <f t="shared" si="9"/>
        <v>98</v>
      </c>
      <c r="B110" s="13">
        <f t="shared" si="6"/>
        <v>0</v>
      </c>
      <c r="C110" s="13">
        <f>COUNTIFS('Data entry'!$R$6:$R$200,$A110,'Data entry'!$B$6:$B$200,"Confirmed",'Data entry'!$BD$6:$BD$200,"&lt;&gt;*Negative*")</f>
        <v>0</v>
      </c>
      <c r="D110" s="13">
        <f>COUNTIFS('Data entry'!$R$6:$R$200,$A110,'Data entry'!$B$6:$B$200,"Probable",'Data entry'!$BD$6:$BD$200,"&lt;&gt;*Negative*")</f>
        <v>0</v>
      </c>
      <c r="E110" s="13">
        <f>COUNTIFS('Data entry'!$R$6:$R$200,$A110,'Data entry'!$B$6:$B$200,"DNM")</f>
        <v>0</v>
      </c>
      <c r="F110" s="13">
        <f>SUM(COUNTIFS('Data entry'!$R$6:$R$200,'Summary Data'!$A110,'Data entry'!$B$6:$B$200,{"Confirmed";"Probable"},'Data entry'!$AO$6:$AO$200,$F$10, 'Data entry'!$BD$6:$BD$200,"&lt;&gt;*Negative*"))</f>
        <v>0</v>
      </c>
      <c r="G110" s="13">
        <f>SUM(COUNTIFS('Data entry'!$R$6:$R$200,'Summary Data'!$A110,'Data entry'!$B$6:$B$200,{"Confirmed";"Probable"},'Data entry'!$AO$6:$AO$200,$G$10, 'Data entry'!$BD$6:$BD$200,"&lt;&gt;*Negative*"))</f>
        <v>0</v>
      </c>
      <c r="H110" s="13">
        <f>SUM(COUNTIFS('Data entry'!$R$6:$R$200,'Summary Data'!$A110,'Data entry'!$B$6:$B$200,{"Confirmed";"Probable"},'Data entry'!$AO$6:$AO$200,$H$10, 'Data entry'!$BD$6:$BD$200,"&lt;&gt;*Negative*"))</f>
        <v>0</v>
      </c>
      <c r="I110" s="13">
        <f>SUM(COUNTIFS('Data entry'!$R$6:$R$200,'Summary Data'!$A110,'Data entry'!$B$6:$B$200,{"Confirmed";"Probable"},'Data entry'!$AO$6:$AO$200,$I$10, 'Data entry'!$BD$6:$BD$200,"&lt;&gt;*Negative*"))</f>
        <v>0</v>
      </c>
      <c r="J110" s="13">
        <f>SUM(COUNTIFS('Data entry'!$R$6:$R$200,'Summary Data'!$A110,'Data entry'!$B$6:$B$200,{"Confirmed";"Probable"},'Data entry'!$AO$6:$AO$200,$J$10, 'Data entry'!$BD$6:$BD$200,"&lt;&gt;*Negative*"))</f>
        <v>0</v>
      </c>
      <c r="K110" s="13">
        <f>SUM(COUNTIFS('Data entry'!$R$6:$R$200,'Summary Data'!$A110,'Data entry'!$B$6:$B$200,{"Confirmed";"Probable"},'Data entry'!$AO$6:$AO$200,$K$10, 'Data entry'!$BD$6:$BD$200,"&lt;&gt;*Negative*"))</f>
        <v>0</v>
      </c>
      <c r="L110" s="13">
        <f>SUM(COUNTIFS('Data entry'!$R$6:$R$200,'Summary Data'!$A110,'Data entry'!$B$6:$B$200,{"Confirmed";"Probable"},'Data entry'!$AO$6:$AO$200,$L$10, 'Data entry'!$BD$6:$BD$200,"&lt;&gt;*Negative*"))</f>
        <v>0</v>
      </c>
      <c r="M110" s="13">
        <f>SUM(COUNTIFS('Data entry'!$R$6:$R$200,'Summary Data'!$A110,'Data entry'!$B$6:$B$200,{"Confirmed";"Probable"},'Data entry'!$AO$6:$AO$200,$M$10, 'Data entry'!$BD$6:$BD$200,"&lt;&gt;*Negative*"))</f>
        <v>0</v>
      </c>
      <c r="N110" s="13">
        <f>SUM(COUNTIFS('Data entry'!$R$6:$R$200,'Summary Data'!$A110,'Data entry'!$B$6:$B$200,{"Confirmed";"Probable"},'Data entry'!$AO$6:$AO$200,$N$10, 'Data entry'!$BD$6:$BD$200,"&lt;&gt;*Negative*"))</f>
        <v>0</v>
      </c>
      <c r="O110" s="15">
        <f t="shared" si="7"/>
        <v>0</v>
      </c>
      <c r="P110" s="15">
        <f t="shared" si="8"/>
        <v>0</v>
      </c>
      <c r="Q110" s="15">
        <f>SUM(COUNTIFS('Data entry'!$R$6:$R$200,'Summary Data'!$A110,'Data entry'!$B$6:$B$200,{"Confirmed";"Probable"},'Data entry'!$AP$6:$AP$200,'Data Validation'!$U$2, 'Data entry'!$BD$6:$BD$200,"&lt;&gt;*Negative*"))</f>
        <v>0</v>
      </c>
      <c r="R110" s="15">
        <f>SUM(COUNTIFS('Data entry'!$R$6:$R$200,'Summary Data'!$A110,'Data entry'!$B$6:$B$200,{"Confirmed";"Probable"},'Data entry'!$AP$6:$AP$200,'Data Validation'!$U$3, 'Data entry'!$BD$6:$BD$200,"&lt;&gt;*Negative*"))</f>
        <v>0</v>
      </c>
      <c r="S110" s="15">
        <f>SUM(COUNTIFS('Data entry'!$R$6:$R$200,'Summary Data'!$A110,'Data entry'!$B$6:$B$200,{"Confirmed";"Probable"},'Data entry'!$AP$6:$AP$200,'Data Validation'!$U$4, 'Data entry'!$BD$6:$BD$200,"&lt;&gt;*Negative*"))</f>
        <v>0</v>
      </c>
      <c r="T110" s="15">
        <f>SUM(COUNTIFS('Data entry'!$R$6:$R$200,'Summary Data'!$A110,'Data entry'!$B$6:$B$200,{"Confirmed";"Probable"},'Data entry'!$AP$6:$AP$200,'Data Validation'!$U$5, 'Data entry'!$BD$6:$BD$200,"&lt;&gt;*Negative*"))</f>
        <v>0</v>
      </c>
      <c r="U110" s="15">
        <f>SUM(COUNTIFS('Data entry'!$R$6:$R$200,'Summary Data'!$A110,'Data entry'!$B$6:$B$200,{"Confirmed";"Probable"},'Data entry'!$AP$6:$AP$200,'Data Validation'!$U$6, 'Data entry'!$BD$6:$BD$200,"&lt;&gt;*Negative*"))</f>
        <v>0</v>
      </c>
      <c r="V110" s="15">
        <f>SUM(COUNTIFS('Data entry'!$R$6:$R$200,'Summary Data'!$A110,'Data entry'!$B$6:$B$200,{"Confirmed";"Probable"},'Data entry'!$AQ$6:$AQ$200,'Data Validation'!$V$2, 'Data entry'!$BD$6:$BD$200,"&lt;&gt;*Negative*"))</f>
        <v>0</v>
      </c>
      <c r="W110" s="15">
        <f>SUM(COUNTIFS('Data entry'!$R$6:$R$200,'Summary Data'!$A110,'Data entry'!$B$6:$B$200,{"Confirmed";"Probable"},'Data entry'!$AQ$6:$AQ$200,'Data Validation'!$V$3, 'Data entry'!$BD$6:$BD$200,"&lt;&gt;*Negative*"))</f>
        <v>0</v>
      </c>
      <c r="X110" s="15">
        <f>SUM(COUNTIFS('Data entry'!$R$6:$R$200,'Summary Data'!$A110,'Data entry'!$B$6:$B$200,{"Confirmed";"Probable"},'Data entry'!$AQ$6:$AQ$200,'Data Validation'!$V$4, 'Data entry'!$BD$6:$BD$200,"&lt;&gt;*Negative*"))</f>
        <v>0</v>
      </c>
      <c r="Y110" s="15">
        <f>SUM(COUNTIFS('Data entry'!$R$6:$R$200,'Summary Data'!$A110,'Data entry'!$B$6:$B$200,{"Confirmed";"Probable"},'Data entry'!$AQ$6:$AQ$200,'Data Validation'!$V$5, 'Data entry'!$BD$6:$BD$200,"&lt;&gt;*Negative*"))</f>
        <v>0</v>
      </c>
      <c r="Z110" s="15">
        <f>SUM(COUNTIFS('Data entry'!$R$6:$R$200,'Summary Data'!$A110,'Data entry'!$B$6:$B$200,{"Confirmed";"Probable"},'Data entry'!$AQ$6:$AQ$200,'Data Validation'!$V$6, 'Data entry'!$BD$6:$BD$200,"&lt;&gt;*Negative*"))</f>
        <v>0</v>
      </c>
      <c r="AA110" s="15">
        <f>SUM(COUNTIFS('Data entry'!$R$6:$R$200,'Summary Data'!$A110,'Data entry'!$B$6:$B$200,{"Confirmed";"Probable"},'Data entry'!$AQ$6:$AQ$200,'Data Validation'!$V$7, 'Data entry'!$BD$6:$BD$200,"&lt;&gt;*Negative*"))</f>
        <v>0</v>
      </c>
      <c r="AB110" s="15">
        <f>SUM(COUNTIFS('Data entry'!$R$6:$R$200,'Summary Data'!$A110,'Data entry'!$B$6:$B$200,{"Confirmed";"Probable"},'Data entry'!$AQ$6:$AQ$200,'Data Validation'!$V$8, 'Data entry'!$BD$6:$BD$200,"&lt;&gt;*Negative*"))</f>
        <v>0</v>
      </c>
      <c r="AC110" s="15">
        <f>SUM(COUNTIFS('Data entry'!$R$6:$R$200,'Summary Data'!$A110,'Data entry'!$B$6:$B$200,{"Confirmed";"Probable"},'Data entry'!$AQ$6:$AQ$200,'Data Validation'!$V$9, 'Data entry'!$BD$6:$BD$200,"&lt;&gt;*Negative*"))</f>
        <v>0</v>
      </c>
      <c r="AD110" s="15">
        <f>SUM(COUNTIFS('Data entry'!$R$6:$R$200,'Summary Data'!$A110,'Data entry'!$B$6:$B$200,{"Confirmed";"Probable"},'Data entry'!$AQ$6:$AQ$200,'Data Validation'!$V$10, 'Data entry'!$BD$6:$BD$200,"&lt;&gt;*Negative*"))</f>
        <v>0</v>
      </c>
      <c r="AE110" s="15">
        <f>SUM(COUNTIFS('Data entry'!$R$6:$R$200,'Summary Data'!$A110,'Data entry'!$B$6:$B$200,{"Confirmed";"Probable"},'Data entry'!$AQ$6:$AQ$200,'Data Validation'!$V$11, 'Data entry'!$BD$6:$BD$200,"&lt;&gt;*Negative*"))</f>
        <v>0</v>
      </c>
      <c r="AF110" s="15">
        <f>SUM(COUNTIFS('Data entry'!$R$6:$R$200,'Summary Data'!$A110,'Data entry'!$B$6:$B$200,{"Confirmed";"Probable"},'Data entry'!$AQ$6:$AQ$200,'Data Validation'!$V$2, 'Data entry'!$AP$6:$AP$200,'Data Validation'!$U$2, 'Data entry'!$BD$6:$BD$200,"&lt;&gt;*Negative*"))</f>
        <v>0</v>
      </c>
      <c r="AG110" s="15">
        <f>SUM(COUNTIFS('Data entry'!$R$6:$R$200,'Summary Data'!$A110,'Data entry'!$B$6:$B$200,{"Confirmed";"Probable"},'Data entry'!$AQ$6:$AQ$200,'Data Validation'!$V$2, 'Data entry'!$AP$6:$AP$200,'Data Validation'!$U$3, 'Data entry'!$BD$6:$BD$200,"&lt;&gt;*Negative*"))</f>
        <v>0</v>
      </c>
      <c r="AH110" s="15">
        <f>SUM(COUNTIFS('Data entry'!$R$6:$R$200,'Summary Data'!$A110,'Data entry'!$B$6:$B$200,{"Confirmed";"Probable"},'Data entry'!$AQ$6:$AQ$200,'Data Validation'!$V$2, 'Data entry'!$AP$6:$AP$200,'Data Validation'!$U$4, 'Data entry'!$BD$6:$BD$200,"&lt;&gt;*Negative*"))</f>
        <v>0</v>
      </c>
      <c r="AI110" s="15">
        <f>SUM(COUNTIFS('Data entry'!$R$6:$R$200,'Summary Data'!$A110,'Data entry'!$B$6:$B$200,{"Confirmed";"Probable"},'Data entry'!$AQ$6:$AQ$200,'Data Validation'!$V$2, 'Data entry'!$AP$6:$AP$200,'Data Validation'!$U$5, 'Data entry'!$BD$6:$BD$200,"&lt;&gt;*Negative*"))</f>
        <v>0</v>
      </c>
      <c r="AJ110" s="15">
        <f>SUM(COUNTIFS('Data entry'!$R$6:$R$200,'Summary Data'!$A110,'Data entry'!$B$6:$B$200,{"Confirmed";"Probable"},'Data entry'!$AQ$6:$AQ$200,'Data Validation'!$V$2, 'Data entry'!$AP$6:$AP$200,'Data Validation'!$U$6, 'Data entry'!$BD$6:$BD$200,"&lt;&gt;*Negative*"))</f>
        <v>0</v>
      </c>
      <c r="AK110" s="15">
        <f>SUM(COUNTIFS('Data entry'!$R$6:$R$200,'Summary Data'!$A110,'Data entry'!$B$6:$B$200,{"Confirmed";"Probable"},'Data entry'!$AQ$6:$AQ$200,'Data Validation'!$V$3, 'Data entry'!$AP$6:$AP$200,'Data Validation'!$U$2, 'Data entry'!$BD$6:$BD$200,"&lt;&gt;*Negative*"))</f>
        <v>0</v>
      </c>
      <c r="AL110" s="15">
        <f>SUM(COUNTIFS('Data entry'!$R$6:$R$200,'Summary Data'!$A110,'Data entry'!$B$6:$B$200,{"Confirmed";"Probable"},'Data entry'!$AQ$6:$AQ$200,'Data Validation'!$V$3, 'Data entry'!$AP$6:$AP$200,'Data Validation'!$U$3, 'Data entry'!$BD$6:$BD$200,"&lt;&gt;*Negative*"))</f>
        <v>0</v>
      </c>
      <c r="AM110" s="15">
        <f>SUM(COUNTIFS('Data entry'!$R$6:$R$200,'Summary Data'!$A110,'Data entry'!$B$6:$B$200,{"Confirmed";"Probable"},'Data entry'!$AQ$6:$AQ$200,'Data Validation'!$V$3, 'Data entry'!$AP$6:$AP$200,'Data Validation'!$U$4, 'Data entry'!$BD$6:$BD$200,"&lt;&gt;*Negative*"))</f>
        <v>0</v>
      </c>
      <c r="AN110" s="15">
        <f>SUM(COUNTIFS('Data entry'!$R$6:$R$200,'Summary Data'!$A110,'Data entry'!$B$6:$B$200,{"Confirmed";"Probable"},'Data entry'!$AQ$6:$AQ$200,'Data Validation'!$V$3, 'Data entry'!$AP$6:$AP$200,'Data Validation'!$U$5, 'Data entry'!$BD$6:$BD$200,"&lt;&gt;*Negative*"))</f>
        <v>0</v>
      </c>
      <c r="AO110" s="15">
        <f>SUM(COUNTIFS('Data entry'!$R$6:$R$200,'Summary Data'!$A110,'Data entry'!$B$6:$B$200,{"Confirmed";"Probable"},'Data entry'!$AQ$6:$AQ$200,'Data Validation'!$V$3, 'Data entry'!$AP$6:$AP$200,'Data Validation'!$U$6, 'Data entry'!$BD$6:$BD$200,"&lt;&gt;*Negative*"))</f>
        <v>0</v>
      </c>
      <c r="AP110" s="15">
        <f>SUM(COUNTIFS('Data entry'!$R$6:$R$200,'Summary Data'!$A110,'Data entry'!$B$6:$B$200,{"Confirmed";"Probable"},'Data entry'!$AQ$6:$AQ$200,'Data Validation'!$V$4, 'Data entry'!$AP$6:$AP$200,'Data Validation'!$U$2, 'Data entry'!$BD$6:$BD$200,"&lt;&gt;*Negative*"))</f>
        <v>0</v>
      </c>
      <c r="AQ110" s="15">
        <f>SUM(COUNTIFS('Data entry'!$R$6:$R$200,'Summary Data'!$A110,'Data entry'!$B$6:$B$200,{"Confirmed";"Probable"},'Data entry'!$AQ$6:$AQ$200,'Data Validation'!$V$4, 'Data entry'!$AP$6:$AP$200,'Data Validation'!$U$3, 'Data entry'!$BD$6:$BD$200,"&lt;&gt;*Negative*"))</f>
        <v>0</v>
      </c>
      <c r="AR110" s="15">
        <f>SUM(COUNTIFS('Data entry'!$R$6:$R$200,'Summary Data'!$A110,'Data entry'!$B$6:$B$200,{"Confirmed";"Probable"},'Data entry'!$AQ$6:$AQ$200,'Data Validation'!$V$4, 'Data entry'!$AP$6:$AP$200,'Data Validation'!$U$4, 'Data entry'!$BD$6:$BD$200,"&lt;&gt;*Negative*"))</f>
        <v>0</v>
      </c>
      <c r="AS110" s="15">
        <f>SUM(COUNTIFS('Data entry'!$R$6:$R$200,'Summary Data'!$A110,'Data entry'!$B$6:$B$200,{"Confirmed";"Probable"},'Data entry'!$AQ$6:$AQ$200,'Data Validation'!$V$4, 'Data entry'!$AP$6:$AP$200,'Data Validation'!$U$5, 'Data entry'!$BD$6:$BD$200,"&lt;&gt;*Negative*"))</f>
        <v>0</v>
      </c>
      <c r="AT110" s="15">
        <f>SUM(COUNTIFS('Data entry'!$R$6:$R$200,'Summary Data'!$A110,'Data entry'!$B$6:$B$200,{"Confirmed";"Probable"},'Data entry'!$AQ$6:$AQ$200,'Data Validation'!$V$4, 'Data entry'!$AP$6:$AP$200,'Data Validation'!$U$6, 'Data entry'!$BD$6:$BD$200,"&lt;&gt;*Negative*"))</f>
        <v>0</v>
      </c>
      <c r="AU110" s="15">
        <f>SUM(COUNTIFS('Data entry'!$R$6:$R$200,'Summary Data'!$A110,'Data entry'!$B$6:$B$200,{"Confirmed";"Probable"},'Data entry'!$AQ$6:$AQ$200,'Data Validation'!$V$5, 'Data entry'!$AP$6:$AP$200,'Data Validation'!$U$2, 'Data entry'!$BD$6:$BD$200,"&lt;&gt;*Negative*"))</f>
        <v>0</v>
      </c>
      <c r="AV110" s="15">
        <f>SUM(COUNTIFS('Data entry'!$R$6:$R$200,'Summary Data'!$A110,'Data entry'!$B$6:$B$200,{"Confirmed";"Probable"},'Data entry'!$AQ$6:$AQ$200,'Data Validation'!$V$5, 'Data entry'!$AP$6:$AP$200,'Data Validation'!$U$3, 'Data entry'!$BD$6:$BD$200,"&lt;&gt;*Negative*"))</f>
        <v>0</v>
      </c>
      <c r="AW110" s="15">
        <f>SUM(COUNTIFS('Data entry'!$R$6:$R$200,'Summary Data'!$A110,'Data entry'!$B$6:$B$200,{"Confirmed";"Probable"},'Data entry'!$AQ$6:$AQ$200,'Data Validation'!$V$5, 'Data entry'!$AP$6:$AP$200,'Data Validation'!$U$4, 'Data entry'!$BD$6:$BD$200,"&lt;&gt;*Negative*"))</f>
        <v>0</v>
      </c>
      <c r="AX110" s="15">
        <f>SUM(COUNTIFS('Data entry'!$R$6:$R$200,'Summary Data'!$A110,'Data entry'!$B$6:$B$200,{"Confirmed";"Probable"},'Data entry'!$AQ$6:$AQ$200,'Data Validation'!$V$5, 'Data entry'!$AP$6:$AP$200,'Data Validation'!$U$5, 'Data entry'!$BD$6:$BD$200,"&lt;&gt;*Negative*"))</f>
        <v>0</v>
      </c>
      <c r="AY110" s="15">
        <f>SUM(COUNTIFS('Data entry'!$R$6:$R$200,'Summary Data'!$A110,'Data entry'!$B$6:$B$200,{"Confirmed";"Probable"},'Data entry'!$AQ$6:$AQ$200,'Data Validation'!$V$5, 'Data entry'!$AP$6:$AP$200,'Data Validation'!$U$6, 'Data entry'!$BD$6:$BD$200,"&lt;&gt;*Negative*"))</f>
        <v>0</v>
      </c>
      <c r="AZ110" s="15">
        <f>SUM(COUNTIFS('Data entry'!$R$6:$R$200,'Summary Data'!$A110,'Data entry'!$B$6:$B$200,{"Confirmed";"Probable"},'Data entry'!$AQ$6:$AQ$200,'Data Validation'!$V$6, 'Data entry'!$AP$6:$AP$200,'Data Validation'!$U$2, 'Data entry'!$BD$6:$BD$200,"&lt;&gt;*Negative*"))</f>
        <v>0</v>
      </c>
      <c r="BA110" s="15">
        <f>SUM(COUNTIFS('Data entry'!$R$6:$R$200,'Summary Data'!$A110,'Data entry'!$B$6:$B$200,{"Confirmed";"Probable"},'Data entry'!$AQ$6:$AQ$200,'Data Validation'!$V$6, 'Data entry'!$AP$6:$AP$200,'Data Validation'!$U$3, 'Data entry'!$BD$6:$BD$200,"&lt;&gt;*Negative*"))</f>
        <v>0</v>
      </c>
      <c r="BB110" s="15">
        <f>SUM(COUNTIFS('Data entry'!$R$6:$R$200,'Summary Data'!$A110,'Data entry'!$B$6:$B$200,{"Confirmed";"Probable"},'Data entry'!$AQ$6:$AQ$200,'Data Validation'!$V$6, 'Data entry'!$AP$6:$AP$200,'Data Validation'!$U$4, 'Data entry'!$BD$6:$BD$200,"&lt;&gt;*Negative*"))</f>
        <v>0</v>
      </c>
      <c r="BC110" s="15">
        <f>SUM(COUNTIFS('Data entry'!$R$6:$R$200,'Summary Data'!$A110,'Data entry'!$B$6:$B$200,{"Confirmed";"Probable"},'Data entry'!$AQ$6:$AQ$200,'Data Validation'!$V$6, 'Data entry'!$AP$6:$AP$200,'Data Validation'!$U$5, 'Data entry'!$BD$6:$BD$200,"&lt;&gt;*Negative*"))</f>
        <v>0</v>
      </c>
      <c r="BD110" s="15">
        <f>SUM(COUNTIFS('Data entry'!$R$6:$R$200,'Summary Data'!$A110,'Data entry'!$B$6:$B$200,{"Confirmed";"Probable"},'Data entry'!$AQ$6:$AQ$200,'Data Validation'!$V$6, 'Data entry'!$AP$6:$AP$200,'Data Validation'!$U$6, 'Data entry'!$BD$6:$BD$200,"&lt;&gt;*Negative*"))</f>
        <v>0</v>
      </c>
      <c r="BE110" s="15">
        <f>SUM(COUNTIFS('Data entry'!$R$6:$R$200,'Summary Data'!$A110,'Data entry'!$B$6:$B$200,{"Confirmed";"Probable"},'Data entry'!$AQ$6:$AQ$200,'Data Validation'!$V$7, 'Data entry'!$AP$6:$AP$200,'Data Validation'!$U$2, 'Data entry'!$BD$6:$BD$200,"&lt;&gt;*Negative*"))</f>
        <v>0</v>
      </c>
      <c r="BF110" s="15">
        <f>SUM(COUNTIFS('Data entry'!$R$6:$R$200,'Summary Data'!$A110,'Data entry'!$B$6:$B$200,{"Confirmed";"Probable"},'Data entry'!$AQ$6:$AQ$200,'Data Validation'!$V$7, 'Data entry'!$AP$6:$AP$200,'Data Validation'!$U$3, 'Data entry'!$BD$6:$BD$200,"&lt;&gt;*Negative*"))</f>
        <v>0</v>
      </c>
      <c r="BG110" s="15">
        <f>SUM(COUNTIFS('Data entry'!$R$6:$R$200,'Summary Data'!$A110,'Data entry'!$B$6:$B$200,{"Confirmed";"Probable"},'Data entry'!$AQ$6:$AQ$200,'Data Validation'!$V$7, 'Data entry'!$AP$6:$AP$200,'Data Validation'!$U$4, 'Data entry'!$BD$6:$BD$200,"&lt;&gt;*Negative*"))</f>
        <v>0</v>
      </c>
      <c r="BH110" s="15">
        <f>SUM(COUNTIFS('Data entry'!$R$6:$R$200,'Summary Data'!$A110,'Data entry'!$B$6:$B$200,{"Confirmed";"Probable"},'Data entry'!$AQ$6:$AQ$200,'Data Validation'!$V$7, 'Data entry'!$AP$6:$AP$200,'Data Validation'!$U$5, 'Data entry'!$BD$6:$BD$200,"&lt;&gt;*Negative*"))</f>
        <v>0</v>
      </c>
      <c r="BI110" s="15">
        <f>SUM(COUNTIFS('Data entry'!$R$6:$R$200,'Summary Data'!$A110,'Data entry'!$B$6:$B$200,{"Confirmed";"Probable"},'Data entry'!$AQ$6:$AQ$200,'Data Validation'!$V$7, 'Data entry'!$AP$6:$AP$200,'Data Validation'!$U$6, 'Data entry'!$BD$6:$BD$200,"&lt;&gt;*Negative*"))</f>
        <v>0</v>
      </c>
      <c r="BJ110" s="15">
        <f>SUM(COUNTIFS('Data entry'!$R$6:$R$200,'Summary Data'!$A110,'Data entry'!$B$6:$B$200,{"Confirmed";"Probable"},'Data entry'!$AQ$6:$AQ$200,'Data Validation'!$V$8, 'Data entry'!$AP$6:$AP$200,'Data Validation'!$U$2, 'Data entry'!$BD$6:$BD$200,"&lt;&gt;*Negative*"))</f>
        <v>0</v>
      </c>
      <c r="BK110" s="15">
        <f>SUM(COUNTIFS('Data entry'!$R$6:$R$200,'Summary Data'!$A110,'Data entry'!$B$6:$B$200,{"Confirmed";"Probable"},'Data entry'!$AQ$6:$AQ$200,'Data Validation'!$V$8, 'Data entry'!$AP$6:$AP$200,'Data Validation'!$U$3, 'Data entry'!$BD$6:$BD$200,"&lt;&gt;*Negative*"))</f>
        <v>0</v>
      </c>
      <c r="BL110" s="15">
        <f>SUM(COUNTIFS('Data entry'!$R$6:$R$200,'Summary Data'!$A110,'Data entry'!$B$6:$B$200,{"Confirmed";"Probable"},'Data entry'!$AQ$6:$AQ$200,'Data Validation'!$V$8, 'Data entry'!$AP$6:$AP$200,'Data Validation'!$U$4, 'Data entry'!$BD$6:$BD$200,"&lt;&gt;*Negative*"))</f>
        <v>0</v>
      </c>
      <c r="BM110" s="15">
        <f>SUM(COUNTIFS('Data entry'!$R$6:$R$200,'Summary Data'!$A110,'Data entry'!$B$6:$B$200,{"Confirmed";"Probable"},'Data entry'!$AQ$6:$AQ$200,'Data Validation'!$V$8, 'Data entry'!$AP$6:$AP$200,'Data Validation'!$U$5, 'Data entry'!$BD$6:$BD$200,"&lt;&gt;*Negative*"))</f>
        <v>0</v>
      </c>
      <c r="BN110" s="15">
        <f>SUM(COUNTIFS('Data entry'!$R$6:$R$200,'Summary Data'!$A110,'Data entry'!$B$6:$B$200,{"Confirmed";"Probable"},'Data entry'!$AQ$6:$AQ$200,'Data Validation'!$V$8, 'Data entry'!$AP$6:$AP$200,'Data Validation'!$U$6, 'Data entry'!$BD$6:$BD$200,"&lt;&gt;*Negative*"))</f>
        <v>0</v>
      </c>
      <c r="BO110" s="15">
        <f>SUM(COUNTIFS('Data entry'!$R$6:$R$200,'Summary Data'!$A110,'Data entry'!$B$6:$B$200,{"Confirmed";"Probable"},'Data entry'!$AQ$6:$AQ$200,'Data Validation'!$V$9, 'Data entry'!$AP$6:$AP$200,'Data Validation'!$U$2, 'Data entry'!$BD$6:$BD$200,"&lt;&gt;*Negative*"))</f>
        <v>0</v>
      </c>
      <c r="BP110" s="15">
        <f>SUM(COUNTIFS('Data entry'!$R$6:$R$200,'Summary Data'!$A110,'Data entry'!$B$6:$B$200,{"Confirmed";"Probable"},'Data entry'!$AQ$6:$AQ$200,'Data Validation'!$V$9, 'Data entry'!$AP$6:$AP$200,'Data Validation'!$U$3, 'Data entry'!$BD$6:$BD$200,"&lt;&gt;*Negative*"))</f>
        <v>0</v>
      </c>
      <c r="BQ110" s="15">
        <f>SUM(COUNTIFS('Data entry'!$R$6:$R$200,'Summary Data'!$A110,'Data entry'!$B$6:$B$200,{"Confirmed";"Probable"},'Data entry'!$AQ$6:$AQ$200,'Data Validation'!$V$9, 'Data entry'!$AP$6:$AP$200,'Data Validation'!$U$4, 'Data entry'!$BD$6:$BD$200,"&lt;&gt;*Negative*"))</f>
        <v>0</v>
      </c>
      <c r="BR110" s="15">
        <f>SUM(COUNTIFS('Data entry'!$R$6:$R$200,'Summary Data'!$A110,'Data entry'!$B$6:$B$200,{"Confirmed";"Probable"},'Data entry'!$AQ$6:$AQ$200,'Data Validation'!$V$9, 'Data entry'!$AP$6:$AP$200,'Data Validation'!$U$5, 'Data entry'!$BD$6:$BD$200,"&lt;&gt;*Negative*"))</f>
        <v>0</v>
      </c>
      <c r="BS110" s="15">
        <f>SUM(COUNTIFS('Data entry'!$R$6:$R$200,'Summary Data'!$A110,'Data entry'!$B$6:$B$200,{"Confirmed";"Probable"},'Data entry'!$AQ$6:$AQ$200,'Data Validation'!$V$9, 'Data entry'!$AP$6:$AP$200,'Data Validation'!$U$6, 'Data entry'!$BD$6:$BD$200,"&lt;&gt;*Negative*"))</f>
        <v>0</v>
      </c>
      <c r="BT110" s="15">
        <f>SUM(COUNTIFS('Data entry'!$R$6:$R$200,'Summary Data'!$A110,'Data entry'!$B$6:$B$200,{"Confirmed";"Probable"},'Data entry'!$AQ$6:$AQ$200,'Data Validation'!$V$10, 'Data entry'!$AP$6:$AP$200,'Data Validation'!$U$2, 'Data entry'!$BD$6:$BD$200,"&lt;&gt;*Negative*"))</f>
        <v>0</v>
      </c>
      <c r="BU110" s="15">
        <f>SUM(COUNTIFS('Data entry'!$R$6:$R$200,'Summary Data'!$A110,'Data entry'!$B$6:$B$200,{"Confirmed";"Probable"},'Data entry'!$AQ$6:$AQ$200,'Data Validation'!$V$10, 'Data entry'!$AP$6:$AP$200,'Data Validation'!$U$3, 'Data entry'!$BD$6:$BD$200,"&lt;&gt;*Negative*"))</f>
        <v>0</v>
      </c>
      <c r="BV110" s="15">
        <f>SUM(COUNTIFS('Data entry'!$R$6:$R$200,'Summary Data'!$A110,'Data entry'!$B$6:$B$200,{"Confirmed";"Probable"},'Data entry'!$AQ$6:$AQ$200,'Data Validation'!$V$10, 'Data entry'!$AP$6:$AP$200,'Data Validation'!$U$4, 'Data entry'!$BD$6:$BD$200,"&lt;&gt;*Negative*"))</f>
        <v>0</v>
      </c>
      <c r="BW110" s="15">
        <f>SUM(COUNTIFS('Data entry'!$R$6:$R$200,'Summary Data'!$A110,'Data entry'!$B$6:$B$200,{"Confirmed";"Probable"},'Data entry'!$AQ$6:$AQ$200,'Data Validation'!$V$10, 'Data entry'!$AP$6:$AP$200,'Data Validation'!$U$5, 'Data entry'!$BD$6:$BD$200,"&lt;&gt;*Negative*"))</f>
        <v>0</v>
      </c>
      <c r="BX110" s="15">
        <f>SUM(COUNTIFS('Data entry'!$R$6:$R$200,'Summary Data'!$A110,'Data entry'!$B$6:$B$200,{"Confirmed";"Probable"},'Data entry'!$AQ$6:$AQ$200,'Data Validation'!$V$10, 'Data entry'!$AP$6:$AP$200,'Data Validation'!$U$6, 'Data entry'!$BD$6:$BD$200,"&lt;&gt;*Negative*"))</f>
        <v>0</v>
      </c>
      <c r="BY110" s="15">
        <f>SUM(COUNTIFS('Data entry'!$R$6:$R$200,'Summary Data'!$A110,'Data entry'!$B$6:$B$200,{"Confirmed";"Probable"},'Data entry'!$AQ$6:$AQ$200,'Data Validation'!$V$11, 'Data entry'!$AP$6:$AP$200,'Data Validation'!$U$2, 'Data entry'!$BD$6:$BD$200,"&lt;&gt;*Negative*"))</f>
        <v>0</v>
      </c>
      <c r="BZ110" s="15">
        <f>SUM(COUNTIFS('Data entry'!$R$6:$R$200,'Summary Data'!$A110,'Data entry'!$B$6:$B$200,{"Confirmed";"Probable"},'Data entry'!$AQ$6:$AQ$200,'Data Validation'!$V$11, 'Data entry'!$AP$6:$AP$200,'Data Validation'!$U$3, 'Data entry'!$BD$6:$BD$200,"&lt;&gt;*Negative*"))</f>
        <v>0</v>
      </c>
      <c r="CA110" s="15">
        <f>SUM(COUNTIFS('Data entry'!$R$6:$R$200,'Summary Data'!$A110,'Data entry'!$B$6:$B$200,{"Confirmed";"Probable"},'Data entry'!$AQ$6:$AQ$200,'Data Validation'!$V$11, 'Data entry'!$AP$6:$AP$200,'Data Validation'!$U$4, 'Data entry'!$BD$6:$BD$200,"&lt;&gt;*Negative*"))</f>
        <v>0</v>
      </c>
      <c r="CB110" s="15">
        <f>SUM(COUNTIFS('Data entry'!$R$6:$R$200,'Summary Data'!$A110,'Data entry'!$B$6:$B$200,{"Confirmed";"Probable"},'Data entry'!$AQ$6:$AQ$200,'Data Validation'!$V$11, 'Data entry'!$AP$6:$AP$200,'Data Validation'!$U$5, 'Data entry'!$BD$6:$BD$200,"&lt;&gt;*Negative*"))</f>
        <v>0</v>
      </c>
      <c r="CC110" s="15">
        <f>SUM(COUNTIFS('Data entry'!$R$6:$R$200,'Summary Data'!$A110,'Data entry'!$B$6:$B$200,{"Confirmed";"Probable"},'Data entry'!$AQ$6:$AQ$200,'Data Validation'!$V$11, 'Data entry'!$AP$6:$AP$200,'Data Validation'!$U$6, 'Data entry'!$BD$6:$BD$200,"&lt;&gt;*Negative*"))</f>
        <v>0</v>
      </c>
    </row>
    <row r="111" spans="1:81" x14ac:dyDescent="0.25">
      <c r="A111" s="12">
        <f t="shared" si="9"/>
        <v>99</v>
      </c>
      <c r="B111" s="13">
        <f t="shared" si="6"/>
        <v>0</v>
      </c>
      <c r="C111" s="13">
        <f>COUNTIFS('Data entry'!$R$6:$R$200,$A111,'Data entry'!$B$6:$B$200,"Confirmed",'Data entry'!$BD$6:$BD$200,"&lt;&gt;*Negative*")</f>
        <v>0</v>
      </c>
      <c r="D111" s="13">
        <f>COUNTIFS('Data entry'!$R$6:$R$200,$A111,'Data entry'!$B$6:$B$200,"Probable",'Data entry'!$BD$6:$BD$200,"&lt;&gt;*Negative*")</f>
        <v>0</v>
      </c>
      <c r="E111" s="13">
        <f>COUNTIFS('Data entry'!$R$6:$R$200,$A111,'Data entry'!$B$6:$B$200,"DNM")</f>
        <v>0</v>
      </c>
      <c r="F111" s="13">
        <f>SUM(COUNTIFS('Data entry'!$R$6:$R$200,'Summary Data'!$A111,'Data entry'!$B$6:$B$200,{"Confirmed";"Probable"},'Data entry'!$AO$6:$AO$200,$F$10, 'Data entry'!$BD$6:$BD$200,"&lt;&gt;*Negative*"))</f>
        <v>0</v>
      </c>
      <c r="G111" s="13">
        <f>SUM(COUNTIFS('Data entry'!$R$6:$R$200,'Summary Data'!$A111,'Data entry'!$B$6:$B$200,{"Confirmed";"Probable"},'Data entry'!$AO$6:$AO$200,$G$10, 'Data entry'!$BD$6:$BD$200,"&lt;&gt;*Negative*"))</f>
        <v>0</v>
      </c>
      <c r="H111" s="13">
        <f>SUM(COUNTIFS('Data entry'!$R$6:$R$200,'Summary Data'!$A111,'Data entry'!$B$6:$B$200,{"Confirmed";"Probable"},'Data entry'!$AO$6:$AO$200,$H$10, 'Data entry'!$BD$6:$BD$200,"&lt;&gt;*Negative*"))</f>
        <v>0</v>
      </c>
      <c r="I111" s="13">
        <f>SUM(COUNTIFS('Data entry'!$R$6:$R$200,'Summary Data'!$A111,'Data entry'!$B$6:$B$200,{"Confirmed";"Probable"},'Data entry'!$AO$6:$AO$200,$I$10, 'Data entry'!$BD$6:$BD$200,"&lt;&gt;*Negative*"))</f>
        <v>0</v>
      </c>
      <c r="J111" s="13">
        <f>SUM(COUNTIFS('Data entry'!$R$6:$R$200,'Summary Data'!$A111,'Data entry'!$B$6:$B$200,{"Confirmed";"Probable"},'Data entry'!$AO$6:$AO$200,$J$10, 'Data entry'!$BD$6:$BD$200,"&lt;&gt;*Negative*"))</f>
        <v>0</v>
      </c>
      <c r="K111" s="13">
        <f>SUM(COUNTIFS('Data entry'!$R$6:$R$200,'Summary Data'!$A111,'Data entry'!$B$6:$B$200,{"Confirmed";"Probable"},'Data entry'!$AO$6:$AO$200,$K$10, 'Data entry'!$BD$6:$BD$200,"&lt;&gt;*Negative*"))</f>
        <v>0</v>
      </c>
      <c r="L111" s="13">
        <f>SUM(COUNTIFS('Data entry'!$R$6:$R$200,'Summary Data'!$A111,'Data entry'!$B$6:$B$200,{"Confirmed";"Probable"},'Data entry'!$AO$6:$AO$200,$L$10, 'Data entry'!$BD$6:$BD$200,"&lt;&gt;*Negative*"))</f>
        <v>0</v>
      </c>
      <c r="M111" s="13">
        <f>SUM(COUNTIFS('Data entry'!$R$6:$R$200,'Summary Data'!$A111,'Data entry'!$B$6:$B$200,{"Confirmed";"Probable"},'Data entry'!$AO$6:$AO$200,$M$10, 'Data entry'!$BD$6:$BD$200,"&lt;&gt;*Negative*"))</f>
        <v>0</v>
      </c>
      <c r="N111" s="13">
        <f>SUM(COUNTIFS('Data entry'!$R$6:$R$200,'Summary Data'!$A111,'Data entry'!$B$6:$B$200,{"Confirmed";"Probable"},'Data entry'!$AO$6:$AO$200,$N$10, 'Data entry'!$BD$6:$BD$200,"&lt;&gt;*Negative*"))</f>
        <v>0</v>
      </c>
      <c r="O111" s="15">
        <f t="shared" si="7"/>
        <v>0</v>
      </c>
      <c r="P111" s="15">
        <f t="shared" si="8"/>
        <v>0</v>
      </c>
      <c r="Q111" s="15">
        <f>SUM(COUNTIFS('Data entry'!$R$6:$R$200,'Summary Data'!$A111,'Data entry'!$B$6:$B$200,{"Confirmed";"Probable"},'Data entry'!$AP$6:$AP$200,'Data Validation'!$U$2, 'Data entry'!$BD$6:$BD$200,"&lt;&gt;*Negative*"))</f>
        <v>0</v>
      </c>
      <c r="R111" s="15">
        <f>SUM(COUNTIFS('Data entry'!$R$6:$R$200,'Summary Data'!$A111,'Data entry'!$B$6:$B$200,{"Confirmed";"Probable"},'Data entry'!$AP$6:$AP$200,'Data Validation'!$U$3, 'Data entry'!$BD$6:$BD$200,"&lt;&gt;*Negative*"))</f>
        <v>0</v>
      </c>
      <c r="S111" s="15">
        <f>SUM(COUNTIFS('Data entry'!$R$6:$R$200,'Summary Data'!$A111,'Data entry'!$B$6:$B$200,{"Confirmed";"Probable"},'Data entry'!$AP$6:$AP$200,'Data Validation'!$U$4, 'Data entry'!$BD$6:$BD$200,"&lt;&gt;*Negative*"))</f>
        <v>0</v>
      </c>
      <c r="T111" s="15">
        <f>SUM(COUNTIFS('Data entry'!$R$6:$R$200,'Summary Data'!$A111,'Data entry'!$B$6:$B$200,{"Confirmed";"Probable"},'Data entry'!$AP$6:$AP$200,'Data Validation'!$U$5, 'Data entry'!$BD$6:$BD$200,"&lt;&gt;*Negative*"))</f>
        <v>0</v>
      </c>
      <c r="U111" s="15">
        <f>SUM(COUNTIFS('Data entry'!$R$6:$R$200,'Summary Data'!$A111,'Data entry'!$B$6:$B$200,{"Confirmed";"Probable"},'Data entry'!$AP$6:$AP$200,'Data Validation'!$U$6, 'Data entry'!$BD$6:$BD$200,"&lt;&gt;*Negative*"))</f>
        <v>0</v>
      </c>
      <c r="V111" s="15">
        <f>SUM(COUNTIFS('Data entry'!$R$6:$R$200,'Summary Data'!$A111,'Data entry'!$B$6:$B$200,{"Confirmed";"Probable"},'Data entry'!$AQ$6:$AQ$200,'Data Validation'!$V$2, 'Data entry'!$BD$6:$BD$200,"&lt;&gt;*Negative*"))</f>
        <v>0</v>
      </c>
      <c r="W111" s="15">
        <f>SUM(COUNTIFS('Data entry'!$R$6:$R$200,'Summary Data'!$A111,'Data entry'!$B$6:$B$200,{"Confirmed";"Probable"},'Data entry'!$AQ$6:$AQ$200,'Data Validation'!$V$3, 'Data entry'!$BD$6:$BD$200,"&lt;&gt;*Negative*"))</f>
        <v>0</v>
      </c>
      <c r="X111" s="15">
        <f>SUM(COUNTIFS('Data entry'!$R$6:$R$200,'Summary Data'!$A111,'Data entry'!$B$6:$B$200,{"Confirmed";"Probable"},'Data entry'!$AQ$6:$AQ$200,'Data Validation'!$V$4, 'Data entry'!$BD$6:$BD$200,"&lt;&gt;*Negative*"))</f>
        <v>0</v>
      </c>
      <c r="Y111" s="15">
        <f>SUM(COUNTIFS('Data entry'!$R$6:$R$200,'Summary Data'!$A111,'Data entry'!$B$6:$B$200,{"Confirmed";"Probable"},'Data entry'!$AQ$6:$AQ$200,'Data Validation'!$V$5, 'Data entry'!$BD$6:$BD$200,"&lt;&gt;*Negative*"))</f>
        <v>0</v>
      </c>
      <c r="Z111" s="15">
        <f>SUM(COUNTIFS('Data entry'!$R$6:$R$200,'Summary Data'!$A111,'Data entry'!$B$6:$B$200,{"Confirmed";"Probable"},'Data entry'!$AQ$6:$AQ$200,'Data Validation'!$V$6, 'Data entry'!$BD$6:$BD$200,"&lt;&gt;*Negative*"))</f>
        <v>0</v>
      </c>
      <c r="AA111" s="15">
        <f>SUM(COUNTIFS('Data entry'!$R$6:$R$200,'Summary Data'!$A111,'Data entry'!$B$6:$B$200,{"Confirmed";"Probable"},'Data entry'!$AQ$6:$AQ$200,'Data Validation'!$V$7, 'Data entry'!$BD$6:$BD$200,"&lt;&gt;*Negative*"))</f>
        <v>0</v>
      </c>
      <c r="AB111" s="15">
        <f>SUM(COUNTIFS('Data entry'!$R$6:$R$200,'Summary Data'!$A111,'Data entry'!$B$6:$B$200,{"Confirmed";"Probable"},'Data entry'!$AQ$6:$AQ$200,'Data Validation'!$V$8, 'Data entry'!$BD$6:$BD$200,"&lt;&gt;*Negative*"))</f>
        <v>0</v>
      </c>
      <c r="AC111" s="15">
        <f>SUM(COUNTIFS('Data entry'!$R$6:$R$200,'Summary Data'!$A111,'Data entry'!$B$6:$B$200,{"Confirmed";"Probable"},'Data entry'!$AQ$6:$AQ$200,'Data Validation'!$V$9, 'Data entry'!$BD$6:$BD$200,"&lt;&gt;*Negative*"))</f>
        <v>0</v>
      </c>
      <c r="AD111" s="15">
        <f>SUM(COUNTIFS('Data entry'!$R$6:$R$200,'Summary Data'!$A111,'Data entry'!$B$6:$B$200,{"Confirmed";"Probable"},'Data entry'!$AQ$6:$AQ$200,'Data Validation'!$V$10, 'Data entry'!$BD$6:$BD$200,"&lt;&gt;*Negative*"))</f>
        <v>0</v>
      </c>
      <c r="AE111" s="15">
        <f>SUM(COUNTIFS('Data entry'!$R$6:$R$200,'Summary Data'!$A111,'Data entry'!$B$6:$B$200,{"Confirmed";"Probable"},'Data entry'!$AQ$6:$AQ$200,'Data Validation'!$V$11, 'Data entry'!$BD$6:$BD$200,"&lt;&gt;*Negative*"))</f>
        <v>0</v>
      </c>
      <c r="AF111" s="15">
        <f>SUM(COUNTIFS('Data entry'!$R$6:$R$200,'Summary Data'!$A111,'Data entry'!$B$6:$B$200,{"Confirmed";"Probable"},'Data entry'!$AQ$6:$AQ$200,'Data Validation'!$V$2, 'Data entry'!$AP$6:$AP$200,'Data Validation'!$U$2, 'Data entry'!$BD$6:$BD$200,"&lt;&gt;*Negative*"))</f>
        <v>0</v>
      </c>
      <c r="AG111" s="15">
        <f>SUM(COUNTIFS('Data entry'!$R$6:$R$200,'Summary Data'!$A111,'Data entry'!$B$6:$B$200,{"Confirmed";"Probable"},'Data entry'!$AQ$6:$AQ$200,'Data Validation'!$V$2, 'Data entry'!$AP$6:$AP$200,'Data Validation'!$U$3, 'Data entry'!$BD$6:$BD$200,"&lt;&gt;*Negative*"))</f>
        <v>0</v>
      </c>
      <c r="AH111" s="15">
        <f>SUM(COUNTIFS('Data entry'!$R$6:$R$200,'Summary Data'!$A111,'Data entry'!$B$6:$B$200,{"Confirmed";"Probable"},'Data entry'!$AQ$6:$AQ$200,'Data Validation'!$V$2, 'Data entry'!$AP$6:$AP$200,'Data Validation'!$U$4, 'Data entry'!$BD$6:$BD$200,"&lt;&gt;*Negative*"))</f>
        <v>0</v>
      </c>
      <c r="AI111" s="15">
        <f>SUM(COUNTIFS('Data entry'!$R$6:$R$200,'Summary Data'!$A111,'Data entry'!$B$6:$B$200,{"Confirmed";"Probable"},'Data entry'!$AQ$6:$AQ$200,'Data Validation'!$V$2, 'Data entry'!$AP$6:$AP$200,'Data Validation'!$U$5, 'Data entry'!$BD$6:$BD$200,"&lt;&gt;*Negative*"))</f>
        <v>0</v>
      </c>
      <c r="AJ111" s="15">
        <f>SUM(COUNTIFS('Data entry'!$R$6:$R$200,'Summary Data'!$A111,'Data entry'!$B$6:$B$200,{"Confirmed";"Probable"},'Data entry'!$AQ$6:$AQ$200,'Data Validation'!$V$2, 'Data entry'!$AP$6:$AP$200,'Data Validation'!$U$6, 'Data entry'!$BD$6:$BD$200,"&lt;&gt;*Negative*"))</f>
        <v>0</v>
      </c>
      <c r="AK111" s="15">
        <f>SUM(COUNTIFS('Data entry'!$R$6:$R$200,'Summary Data'!$A111,'Data entry'!$B$6:$B$200,{"Confirmed";"Probable"},'Data entry'!$AQ$6:$AQ$200,'Data Validation'!$V$3, 'Data entry'!$AP$6:$AP$200,'Data Validation'!$U$2, 'Data entry'!$BD$6:$BD$200,"&lt;&gt;*Negative*"))</f>
        <v>0</v>
      </c>
      <c r="AL111" s="15">
        <f>SUM(COUNTIFS('Data entry'!$R$6:$R$200,'Summary Data'!$A111,'Data entry'!$B$6:$B$200,{"Confirmed";"Probable"},'Data entry'!$AQ$6:$AQ$200,'Data Validation'!$V$3, 'Data entry'!$AP$6:$AP$200,'Data Validation'!$U$3, 'Data entry'!$BD$6:$BD$200,"&lt;&gt;*Negative*"))</f>
        <v>0</v>
      </c>
      <c r="AM111" s="15">
        <f>SUM(COUNTIFS('Data entry'!$R$6:$R$200,'Summary Data'!$A111,'Data entry'!$B$6:$B$200,{"Confirmed";"Probable"},'Data entry'!$AQ$6:$AQ$200,'Data Validation'!$V$3, 'Data entry'!$AP$6:$AP$200,'Data Validation'!$U$4, 'Data entry'!$BD$6:$BD$200,"&lt;&gt;*Negative*"))</f>
        <v>0</v>
      </c>
      <c r="AN111" s="15">
        <f>SUM(COUNTIFS('Data entry'!$R$6:$R$200,'Summary Data'!$A111,'Data entry'!$B$6:$B$200,{"Confirmed";"Probable"},'Data entry'!$AQ$6:$AQ$200,'Data Validation'!$V$3, 'Data entry'!$AP$6:$AP$200,'Data Validation'!$U$5, 'Data entry'!$BD$6:$BD$200,"&lt;&gt;*Negative*"))</f>
        <v>0</v>
      </c>
      <c r="AO111" s="15">
        <f>SUM(COUNTIFS('Data entry'!$R$6:$R$200,'Summary Data'!$A111,'Data entry'!$B$6:$B$200,{"Confirmed";"Probable"},'Data entry'!$AQ$6:$AQ$200,'Data Validation'!$V$3, 'Data entry'!$AP$6:$AP$200,'Data Validation'!$U$6, 'Data entry'!$BD$6:$BD$200,"&lt;&gt;*Negative*"))</f>
        <v>0</v>
      </c>
      <c r="AP111" s="15">
        <f>SUM(COUNTIFS('Data entry'!$R$6:$R$200,'Summary Data'!$A111,'Data entry'!$B$6:$B$200,{"Confirmed";"Probable"},'Data entry'!$AQ$6:$AQ$200,'Data Validation'!$V$4, 'Data entry'!$AP$6:$AP$200,'Data Validation'!$U$2, 'Data entry'!$BD$6:$BD$200,"&lt;&gt;*Negative*"))</f>
        <v>0</v>
      </c>
      <c r="AQ111" s="15">
        <f>SUM(COUNTIFS('Data entry'!$R$6:$R$200,'Summary Data'!$A111,'Data entry'!$B$6:$B$200,{"Confirmed";"Probable"},'Data entry'!$AQ$6:$AQ$200,'Data Validation'!$V$4, 'Data entry'!$AP$6:$AP$200,'Data Validation'!$U$3, 'Data entry'!$BD$6:$BD$200,"&lt;&gt;*Negative*"))</f>
        <v>0</v>
      </c>
      <c r="AR111" s="15">
        <f>SUM(COUNTIFS('Data entry'!$R$6:$R$200,'Summary Data'!$A111,'Data entry'!$B$6:$B$200,{"Confirmed";"Probable"},'Data entry'!$AQ$6:$AQ$200,'Data Validation'!$V$4, 'Data entry'!$AP$6:$AP$200,'Data Validation'!$U$4, 'Data entry'!$BD$6:$BD$200,"&lt;&gt;*Negative*"))</f>
        <v>0</v>
      </c>
      <c r="AS111" s="15">
        <f>SUM(COUNTIFS('Data entry'!$R$6:$R$200,'Summary Data'!$A111,'Data entry'!$B$6:$B$200,{"Confirmed";"Probable"},'Data entry'!$AQ$6:$AQ$200,'Data Validation'!$V$4, 'Data entry'!$AP$6:$AP$200,'Data Validation'!$U$5, 'Data entry'!$BD$6:$BD$200,"&lt;&gt;*Negative*"))</f>
        <v>0</v>
      </c>
      <c r="AT111" s="15">
        <f>SUM(COUNTIFS('Data entry'!$R$6:$R$200,'Summary Data'!$A111,'Data entry'!$B$6:$B$200,{"Confirmed";"Probable"},'Data entry'!$AQ$6:$AQ$200,'Data Validation'!$V$4, 'Data entry'!$AP$6:$AP$200,'Data Validation'!$U$6, 'Data entry'!$BD$6:$BD$200,"&lt;&gt;*Negative*"))</f>
        <v>0</v>
      </c>
      <c r="AU111" s="15">
        <f>SUM(COUNTIFS('Data entry'!$R$6:$R$200,'Summary Data'!$A111,'Data entry'!$B$6:$B$200,{"Confirmed";"Probable"},'Data entry'!$AQ$6:$AQ$200,'Data Validation'!$V$5, 'Data entry'!$AP$6:$AP$200,'Data Validation'!$U$2, 'Data entry'!$BD$6:$BD$200,"&lt;&gt;*Negative*"))</f>
        <v>0</v>
      </c>
      <c r="AV111" s="15">
        <f>SUM(COUNTIFS('Data entry'!$R$6:$R$200,'Summary Data'!$A111,'Data entry'!$B$6:$B$200,{"Confirmed";"Probable"},'Data entry'!$AQ$6:$AQ$200,'Data Validation'!$V$5, 'Data entry'!$AP$6:$AP$200,'Data Validation'!$U$3, 'Data entry'!$BD$6:$BD$200,"&lt;&gt;*Negative*"))</f>
        <v>0</v>
      </c>
      <c r="AW111" s="15">
        <f>SUM(COUNTIFS('Data entry'!$R$6:$R$200,'Summary Data'!$A111,'Data entry'!$B$6:$B$200,{"Confirmed";"Probable"},'Data entry'!$AQ$6:$AQ$200,'Data Validation'!$V$5, 'Data entry'!$AP$6:$AP$200,'Data Validation'!$U$4, 'Data entry'!$BD$6:$BD$200,"&lt;&gt;*Negative*"))</f>
        <v>0</v>
      </c>
      <c r="AX111" s="15">
        <f>SUM(COUNTIFS('Data entry'!$R$6:$R$200,'Summary Data'!$A111,'Data entry'!$B$6:$B$200,{"Confirmed";"Probable"},'Data entry'!$AQ$6:$AQ$200,'Data Validation'!$V$5, 'Data entry'!$AP$6:$AP$200,'Data Validation'!$U$5, 'Data entry'!$BD$6:$BD$200,"&lt;&gt;*Negative*"))</f>
        <v>0</v>
      </c>
      <c r="AY111" s="15">
        <f>SUM(COUNTIFS('Data entry'!$R$6:$R$200,'Summary Data'!$A111,'Data entry'!$B$6:$B$200,{"Confirmed";"Probable"},'Data entry'!$AQ$6:$AQ$200,'Data Validation'!$V$5, 'Data entry'!$AP$6:$AP$200,'Data Validation'!$U$6, 'Data entry'!$BD$6:$BD$200,"&lt;&gt;*Negative*"))</f>
        <v>0</v>
      </c>
      <c r="AZ111" s="15">
        <f>SUM(COUNTIFS('Data entry'!$R$6:$R$200,'Summary Data'!$A111,'Data entry'!$B$6:$B$200,{"Confirmed";"Probable"},'Data entry'!$AQ$6:$AQ$200,'Data Validation'!$V$6, 'Data entry'!$AP$6:$AP$200,'Data Validation'!$U$2, 'Data entry'!$BD$6:$BD$200,"&lt;&gt;*Negative*"))</f>
        <v>0</v>
      </c>
      <c r="BA111" s="15">
        <f>SUM(COUNTIFS('Data entry'!$R$6:$R$200,'Summary Data'!$A111,'Data entry'!$B$6:$B$200,{"Confirmed";"Probable"},'Data entry'!$AQ$6:$AQ$200,'Data Validation'!$V$6, 'Data entry'!$AP$6:$AP$200,'Data Validation'!$U$3, 'Data entry'!$BD$6:$BD$200,"&lt;&gt;*Negative*"))</f>
        <v>0</v>
      </c>
      <c r="BB111" s="15">
        <f>SUM(COUNTIFS('Data entry'!$R$6:$R$200,'Summary Data'!$A111,'Data entry'!$B$6:$B$200,{"Confirmed";"Probable"},'Data entry'!$AQ$6:$AQ$200,'Data Validation'!$V$6, 'Data entry'!$AP$6:$AP$200,'Data Validation'!$U$4, 'Data entry'!$BD$6:$BD$200,"&lt;&gt;*Negative*"))</f>
        <v>0</v>
      </c>
      <c r="BC111" s="15">
        <f>SUM(COUNTIFS('Data entry'!$R$6:$R$200,'Summary Data'!$A111,'Data entry'!$B$6:$B$200,{"Confirmed";"Probable"},'Data entry'!$AQ$6:$AQ$200,'Data Validation'!$V$6, 'Data entry'!$AP$6:$AP$200,'Data Validation'!$U$5, 'Data entry'!$BD$6:$BD$200,"&lt;&gt;*Negative*"))</f>
        <v>0</v>
      </c>
      <c r="BD111" s="15">
        <f>SUM(COUNTIFS('Data entry'!$R$6:$R$200,'Summary Data'!$A111,'Data entry'!$B$6:$B$200,{"Confirmed";"Probable"},'Data entry'!$AQ$6:$AQ$200,'Data Validation'!$V$6, 'Data entry'!$AP$6:$AP$200,'Data Validation'!$U$6, 'Data entry'!$BD$6:$BD$200,"&lt;&gt;*Negative*"))</f>
        <v>0</v>
      </c>
      <c r="BE111" s="15">
        <f>SUM(COUNTIFS('Data entry'!$R$6:$R$200,'Summary Data'!$A111,'Data entry'!$B$6:$B$200,{"Confirmed";"Probable"},'Data entry'!$AQ$6:$AQ$200,'Data Validation'!$V$7, 'Data entry'!$AP$6:$AP$200,'Data Validation'!$U$2, 'Data entry'!$BD$6:$BD$200,"&lt;&gt;*Negative*"))</f>
        <v>0</v>
      </c>
      <c r="BF111" s="15">
        <f>SUM(COUNTIFS('Data entry'!$R$6:$R$200,'Summary Data'!$A111,'Data entry'!$B$6:$B$200,{"Confirmed";"Probable"},'Data entry'!$AQ$6:$AQ$200,'Data Validation'!$V$7, 'Data entry'!$AP$6:$AP$200,'Data Validation'!$U$3, 'Data entry'!$BD$6:$BD$200,"&lt;&gt;*Negative*"))</f>
        <v>0</v>
      </c>
      <c r="BG111" s="15">
        <f>SUM(COUNTIFS('Data entry'!$R$6:$R$200,'Summary Data'!$A111,'Data entry'!$B$6:$B$200,{"Confirmed";"Probable"},'Data entry'!$AQ$6:$AQ$200,'Data Validation'!$V$7, 'Data entry'!$AP$6:$AP$200,'Data Validation'!$U$4, 'Data entry'!$BD$6:$BD$200,"&lt;&gt;*Negative*"))</f>
        <v>0</v>
      </c>
      <c r="BH111" s="15">
        <f>SUM(COUNTIFS('Data entry'!$R$6:$R$200,'Summary Data'!$A111,'Data entry'!$B$6:$B$200,{"Confirmed";"Probable"},'Data entry'!$AQ$6:$AQ$200,'Data Validation'!$V$7, 'Data entry'!$AP$6:$AP$200,'Data Validation'!$U$5, 'Data entry'!$BD$6:$BD$200,"&lt;&gt;*Negative*"))</f>
        <v>0</v>
      </c>
      <c r="BI111" s="15">
        <f>SUM(COUNTIFS('Data entry'!$R$6:$R$200,'Summary Data'!$A111,'Data entry'!$B$6:$B$200,{"Confirmed";"Probable"},'Data entry'!$AQ$6:$AQ$200,'Data Validation'!$V$7, 'Data entry'!$AP$6:$AP$200,'Data Validation'!$U$6, 'Data entry'!$BD$6:$BD$200,"&lt;&gt;*Negative*"))</f>
        <v>0</v>
      </c>
      <c r="BJ111" s="15">
        <f>SUM(COUNTIFS('Data entry'!$R$6:$R$200,'Summary Data'!$A111,'Data entry'!$B$6:$B$200,{"Confirmed";"Probable"},'Data entry'!$AQ$6:$AQ$200,'Data Validation'!$V$8, 'Data entry'!$AP$6:$AP$200,'Data Validation'!$U$2, 'Data entry'!$BD$6:$BD$200,"&lt;&gt;*Negative*"))</f>
        <v>0</v>
      </c>
      <c r="BK111" s="15">
        <f>SUM(COUNTIFS('Data entry'!$R$6:$R$200,'Summary Data'!$A111,'Data entry'!$B$6:$B$200,{"Confirmed";"Probable"},'Data entry'!$AQ$6:$AQ$200,'Data Validation'!$V$8, 'Data entry'!$AP$6:$AP$200,'Data Validation'!$U$3, 'Data entry'!$BD$6:$BD$200,"&lt;&gt;*Negative*"))</f>
        <v>0</v>
      </c>
      <c r="BL111" s="15">
        <f>SUM(COUNTIFS('Data entry'!$R$6:$R$200,'Summary Data'!$A111,'Data entry'!$B$6:$B$200,{"Confirmed";"Probable"},'Data entry'!$AQ$6:$AQ$200,'Data Validation'!$V$8, 'Data entry'!$AP$6:$AP$200,'Data Validation'!$U$4, 'Data entry'!$BD$6:$BD$200,"&lt;&gt;*Negative*"))</f>
        <v>0</v>
      </c>
      <c r="BM111" s="15">
        <f>SUM(COUNTIFS('Data entry'!$R$6:$R$200,'Summary Data'!$A111,'Data entry'!$B$6:$B$200,{"Confirmed";"Probable"},'Data entry'!$AQ$6:$AQ$200,'Data Validation'!$V$8, 'Data entry'!$AP$6:$AP$200,'Data Validation'!$U$5, 'Data entry'!$BD$6:$BD$200,"&lt;&gt;*Negative*"))</f>
        <v>0</v>
      </c>
      <c r="BN111" s="15">
        <f>SUM(COUNTIFS('Data entry'!$R$6:$R$200,'Summary Data'!$A111,'Data entry'!$B$6:$B$200,{"Confirmed";"Probable"},'Data entry'!$AQ$6:$AQ$200,'Data Validation'!$V$8, 'Data entry'!$AP$6:$AP$200,'Data Validation'!$U$6, 'Data entry'!$BD$6:$BD$200,"&lt;&gt;*Negative*"))</f>
        <v>0</v>
      </c>
      <c r="BO111" s="15">
        <f>SUM(COUNTIFS('Data entry'!$R$6:$R$200,'Summary Data'!$A111,'Data entry'!$B$6:$B$200,{"Confirmed";"Probable"},'Data entry'!$AQ$6:$AQ$200,'Data Validation'!$V$9, 'Data entry'!$AP$6:$AP$200,'Data Validation'!$U$2, 'Data entry'!$BD$6:$BD$200,"&lt;&gt;*Negative*"))</f>
        <v>0</v>
      </c>
      <c r="BP111" s="15">
        <f>SUM(COUNTIFS('Data entry'!$R$6:$R$200,'Summary Data'!$A111,'Data entry'!$B$6:$B$200,{"Confirmed";"Probable"},'Data entry'!$AQ$6:$AQ$200,'Data Validation'!$V$9, 'Data entry'!$AP$6:$AP$200,'Data Validation'!$U$3, 'Data entry'!$BD$6:$BD$200,"&lt;&gt;*Negative*"))</f>
        <v>0</v>
      </c>
      <c r="BQ111" s="15">
        <f>SUM(COUNTIFS('Data entry'!$R$6:$R$200,'Summary Data'!$A111,'Data entry'!$B$6:$B$200,{"Confirmed";"Probable"},'Data entry'!$AQ$6:$AQ$200,'Data Validation'!$V$9, 'Data entry'!$AP$6:$AP$200,'Data Validation'!$U$4, 'Data entry'!$BD$6:$BD$200,"&lt;&gt;*Negative*"))</f>
        <v>0</v>
      </c>
      <c r="BR111" s="15">
        <f>SUM(COUNTIFS('Data entry'!$R$6:$R$200,'Summary Data'!$A111,'Data entry'!$B$6:$B$200,{"Confirmed";"Probable"},'Data entry'!$AQ$6:$AQ$200,'Data Validation'!$V$9, 'Data entry'!$AP$6:$AP$200,'Data Validation'!$U$5, 'Data entry'!$BD$6:$BD$200,"&lt;&gt;*Negative*"))</f>
        <v>0</v>
      </c>
      <c r="BS111" s="15">
        <f>SUM(COUNTIFS('Data entry'!$R$6:$R$200,'Summary Data'!$A111,'Data entry'!$B$6:$B$200,{"Confirmed";"Probable"},'Data entry'!$AQ$6:$AQ$200,'Data Validation'!$V$9, 'Data entry'!$AP$6:$AP$200,'Data Validation'!$U$6, 'Data entry'!$BD$6:$BD$200,"&lt;&gt;*Negative*"))</f>
        <v>0</v>
      </c>
      <c r="BT111" s="15">
        <f>SUM(COUNTIFS('Data entry'!$R$6:$R$200,'Summary Data'!$A111,'Data entry'!$B$6:$B$200,{"Confirmed";"Probable"},'Data entry'!$AQ$6:$AQ$200,'Data Validation'!$V$10, 'Data entry'!$AP$6:$AP$200,'Data Validation'!$U$2, 'Data entry'!$BD$6:$BD$200,"&lt;&gt;*Negative*"))</f>
        <v>0</v>
      </c>
      <c r="BU111" s="15">
        <f>SUM(COUNTIFS('Data entry'!$R$6:$R$200,'Summary Data'!$A111,'Data entry'!$B$6:$B$200,{"Confirmed";"Probable"},'Data entry'!$AQ$6:$AQ$200,'Data Validation'!$V$10, 'Data entry'!$AP$6:$AP$200,'Data Validation'!$U$3, 'Data entry'!$BD$6:$BD$200,"&lt;&gt;*Negative*"))</f>
        <v>0</v>
      </c>
      <c r="BV111" s="15">
        <f>SUM(COUNTIFS('Data entry'!$R$6:$R$200,'Summary Data'!$A111,'Data entry'!$B$6:$B$200,{"Confirmed";"Probable"},'Data entry'!$AQ$6:$AQ$200,'Data Validation'!$V$10, 'Data entry'!$AP$6:$AP$200,'Data Validation'!$U$4, 'Data entry'!$BD$6:$BD$200,"&lt;&gt;*Negative*"))</f>
        <v>0</v>
      </c>
      <c r="BW111" s="15">
        <f>SUM(COUNTIFS('Data entry'!$R$6:$R$200,'Summary Data'!$A111,'Data entry'!$B$6:$B$200,{"Confirmed";"Probable"},'Data entry'!$AQ$6:$AQ$200,'Data Validation'!$V$10, 'Data entry'!$AP$6:$AP$200,'Data Validation'!$U$5, 'Data entry'!$BD$6:$BD$200,"&lt;&gt;*Negative*"))</f>
        <v>0</v>
      </c>
      <c r="BX111" s="15">
        <f>SUM(COUNTIFS('Data entry'!$R$6:$R$200,'Summary Data'!$A111,'Data entry'!$B$6:$B$200,{"Confirmed";"Probable"},'Data entry'!$AQ$6:$AQ$200,'Data Validation'!$V$10, 'Data entry'!$AP$6:$AP$200,'Data Validation'!$U$6, 'Data entry'!$BD$6:$BD$200,"&lt;&gt;*Negative*"))</f>
        <v>0</v>
      </c>
      <c r="BY111" s="15">
        <f>SUM(COUNTIFS('Data entry'!$R$6:$R$200,'Summary Data'!$A111,'Data entry'!$B$6:$B$200,{"Confirmed";"Probable"},'Data entry'!$AQ$6:$AQ$200,'Data Validation'!$V$11, 'Data entry'!$AP$6:$AP$200,'Data Validation'!$U$2, 'Data entry'!$BD$6:$BD$200,"&lt;&gt;*Negative*"))</f>
        <v>0</v>
      </c>
      <c r="BZ111" s="15">
        <f>SUM(COUNTIFS('Data entry'!$R$6:$R$200,'Summary Data'!$A111,'Data entry'!$B$6:$B$200,{"Confirmed";"Probable"},'Data entry'!$AQ$6:$AQ$200,'Data Validation'!$V$11, 'Data entry'!$AP$6:$AP$200,'Data Validation'!$U$3, 'Data entry'!$BD$6:$BD$200,"&lt;&gt;*Negative*"))</f>
        <v>0</v>
      </c>
      <c r="CA111" s="15">
        <f>SUM(COUNTIFS('Data entry'!$R$6:$R$200,'Summary Data'!$A111,'Data entry'!$B$6:$B$200,{"Confirmed";"Probable"},'Data entry'!$AQ$6:$AQ$200,'Data Validation'!$V$11, 'Data entry'!$AP$6:$AP$200,'Data Validation'!$U$4, 'Data entry'!$BD$6:$BD$200,"&lt;&gt;*Negative*"))</f>
        <v>0</v>
      </c>
      <c r="CB111" s="15">
        <f>SUM(COUNTIFS('Data entry'!$R$6:$R$200,'Summary Data'!$A111,'Data entry'!$B$6:$B$200,{"Confirmed";"Probable"},'Data entry'!$AQ$6:$AQ$200,'Data Validation'!$V$11, 'Data entry'!$AP$6:$AP$200,'Data Validation'!$U$5, 'Data entry'!$BD$6:$BD$200,"&lt;&gt;*Negative*"))</f>
        <v>0</v>
      </c>
      <c r="CC111" s="15">
        <f>SUM(COUNTIFS('Data entry'!$R$6:$R$200,'Summary Data'!$A111,'Data entry'!$B$6:$B$200,{"Confirmed";"Probable"},'Data entry'!$AQ$6:$AQ$200,'Data Validation'!$V$11, 'Data entry'!$AP$6:$AP$200,'Data Validation'!$U$6, 'Data entry'!$BD$6:$BD$200,"&lt;&gt;*Negative*"))</f>
        <v>0</v>
      </c>
    </row>
    <row r="112" spans="1:81" x14ac:dyDescent="0.25">
      <c r="A112" s="12">
        <f t="shared" si="9"/>
        <v>100</v>
      </c>
      <c r="B112" s="13">
        <f t="shared" si="6"/>
        <v>0</v>
      </c>
      <c r="C112" s="13">
        <f>COUNTIFS('Data entry'!$R$6:$R$200,$A112,'Data entry'!$B$6:$B$200,"Confirmed",'Data entry'!$BD$6:$BD$200,"&lt;&gt;*Negative*")</f>
        <v>0</v>
      </c>
      <c r="D112" s="13">
        <f>COUNTIFS('Data entry'!$R$6:$R$200,$A112,'Data entry'!$B$6:$B$200,"Probable",'Data entry'!$BD$6:$BD$200,"&lt;&gt;*Negative*")</f>
        <v>0</v>
      </c>
      <c r="E112" s="13">
        <f>COUNTIFS('Data entry'!$R$6:$R$200,$A112,'Data entry'!$B$6:$B$200,"DNM")</f>
        <v>0</v>
      </c>
      <c r="F112" s="13">
        <f>SUM(COUNTIFS('Data entry'!$R$6:$R$200,'Summary Data'!$A112,'Data entry'!$B$6:$B$200,{"Confirmed";"Probable"},'Data entry'!$AO$6:$AO$200,$F$10, 'Data entry'!$BD$6:$BD$200,"&lt;&gt;*Negative*"))</f>
        <v>0</v>
      </c>
      <c r="G112" s="13">
        <f>SUM(COUNTIFS('Data entry'!$R$6:$R$200,'Summary Data'!$A112,'Data entry'!$B$6:$B$200,{"Confirmed";"Probable"},'Data entry'!$AO$6:$AO$200,$G$10, 'Data entry'!$BD$6:$BD$200,"&lt;&gt;*Negative*"))</f>
        <v>0</v>
      </c>
      <c r="H112" s="13">
        <f>SUM(COUNTIFS('Data entry'!$R$6:$R$200,'Summary Data'!$A112,'Data entry'!$B$6:$B$200,{"Confirmed";"Probable"},'Data entry'!$AO$6:$AO$200,$H$10, 'Data entry'!$BD$6:$BD$200,"&lt;&gt;*Negative*"))</f>
        <v>0</v>
      </c>
      <c r="I112" s="13">
        <f>SUM(COUNTIFS('Data entry'!$R$6:$R$200,'Summary Data'!$A112,'Data entry'!$B$6:$B$200,{"Confirmed";"Probable"},'Data entry'!$AO$6:$AO$200,$I$10, 'Data entry'!$BD$6:$BD$200,"&lt;&gt;*Negative*"))</f>
        <v>0</v>
      </c>
      <c r="J112" s="13">
        <f>SUM(COUNTIFS('Data entry'!$R$6:$R$200,'Summary Data'!$A112,'Data entry'!$B$6:$B$200,{"Confirmed";"Probable"},'Data entry'!$AO$6:$AO$200,$J$10, 'Data entry'!$BD$6:$BD$200,"&lt;&gt;*Negative*"))</f>
        <v>0</v>
      </c>
      <c r="K112" s="13">
        <f>SUM(COUNTIFS('Data entry'!$R$6:$R$200,'Summary Data'!$A112,'Data entry'!$B$6:$B$200,{"Confirmed";"Probable"},'Data entry'!$AO$6:$AO$200,$K$10, 'Data entry'!$BD$6:$BD$200,"&lt;&gt;*Negative*"))</f>
        <v>0</v>
      </c>
      <c r="L112" s="13">
        <f>SUM(COUNTIFS('Data entry'!$R$6:$R$200,'Summary Data'!$A112,'Data entry'!$B$6:$B$200,{"Confirmed";"Probable"},'Data entry'!$AO$6:$AO$200,$L$10, 'Data entry'!$BD$6:$BD$200,"&lt;&gt;*Negative*"))</f>
        <v>0</v>
      </c>
      <c r="M112" s="13">
        <f>SUM(COUNTIFS('Data entry'!$R$6:$R$200,'Summary Data'!$A112,'Data entry'!$B$6:$B$200,{"Confirmed";"Probable"},'Data entry'!$AO$6:$AO$200,$M$10, 'Data entry'!$BD$6:$BD$200,"&lt;&gt;*Negative*"))</f>
        <v>0</v>
      </c>
      <c r="N112" s="13">
        <f>SUM(COUNTIFS('Data entry'!$R$6:$R$200,'Summary Data'!$A112,'Data entry'!$B$6:$B$200,{"Confirmed";"Probable"},'Data entry'!$AO$6:$AO$200,$N$10, 'Data entry'!$BD$6:$BD$200,"&lt;&gt;*Negative*"))</f>
        <v>0</v>
      </c>
      <c r="O112" s="15">
        <f t="shared" si="7"/>
        <v>0</v>
      </c>
      <c r="P112" s="15">
        <f t="shared" si="8"/>
        <v>0</v>
      </c>
      <c r="Q112" s="15">
        <f>SUM(COUNTIFS('Data entry'!$R$6:$R$200,'Summary Data'!$A112,'Data entry'!$B$6:$B$200,{"Confirmed";"Probable"},'Data entry'!$AP$6:$AP$200,'Data Validation'!$U$2, 'Data entry'!$BD$6:$BD$200,"&lt;&gt;*Negative*"))</f>
        <v>0</v>
      </c>
      <c r="R112" s="15">
        <f>SUM(COUNTIFS('Data entry'!$R$6:$R$200,'Summary Data'!$A112,'Data entry'!$B$6:$B$200,{"Confirmed";"Probable"},'Data entry'!$AP$6:$AP$200,'Data Validation'!$U$3, 'Data entry'!$BD$6:$BD$200,"&lt;&gt;*Negative*"))</f>
        <v>0</v>
      </c>
      <c r="S112" s="15">
        <f>SUM(COUNTIFS('Data entry'!$R$6:$R$200,'Summary Data'!$A112,'Data entry'!$B$6:$B$200,{"Confirmed";"Probable"},'Data entry'!$AP$6:$AP$200,'Data Validation'!$U$4, 'Data entry'!$BD$6:$BD$200,"&lt;&gt;*Negative*"))</f>
        <v>0</v>
      </c>
      <c r="T112" s="15">
        <f>SUM(COUNTIFS('Data entry'!$R$6:$R$200,'Summary Data'!$A112,'Data entry'!$B$6:$B$200,{"Confirmed";"Probable"},'Data entry'!$AP$6:$AP$200,'Data Validation'!$U$5, 'Data entry'!$BD$6:$BD$200,"&lt;&gt;*Negative*"))</f>
        <v>0</v>
      </c>
      <c r="U112" s="15">
        <f>SUM(COUNTIFS('Data entry'!$R$6:$R$200,'Summary Data'!$A112,'Data entry'!$B$6:$B$200,{"Confirmed";"Probable"},'Data entry'!$AP$6:$AP$200,'Data Validation'!$U$6, 'Data entry'!$BD$6:$BD$200,"&lt;&gt;*Negative*"))</f>
        <v>0</v>
      </c>
      <c r="V112" s="15">
        <f>SUM(COUNTIFS('Data entry'!$R$6:$R$200,'Summary Data'!$A112,'Data entry'!$B$6:$B$200,{"Confirmed";"Probable"},'Data entry'!$AQ$6:$AQ$200,'Data Validation'!$V$2, 'Data entry'!$BD$6:$BD$200,"&lt;&gt;*Negative*"))</f>
        <v>0</v>
      </c>
      <c r="W112" s="15">
        <f>SUM(COUNTIFS('Data entry'!$R$6:$R$200,'Summary Data'!$A112,'Data entry'!$B$6:$B$200,{"Confirmed";"Probable"},'Data entry'!$AQ$6:$AQ$200,'Data Validation'!$V$3, 'Data entry'!$BD$6:$BD$200,"&lt;&gt;*Negative*"))</f>
        <v>0</v>
      </c>
      <c r="X112" s="15">
        <f>SUM(COUNTIFS('Data entry'!$R$6:$R$200,'Summary Data'!$A112,'Data entry'!$B$6:$B$200,{"Confirmed";"Probable"},'Data entry'!$AQ$6:$AQ$200,'Data Validation'!$V$4, 'Data entry'!$BD$6:$BD$200,"&lt;&gt;*Negative*"))</f>
        <v>0</v>
      </c>
      <c r="Y112" s="15">
        <f>SUM(COUNTIFS('Data entry'!$R$6:$R$200,'Summary Data'!$A112,'Data entry'!$B$6:$B$200,{"Confirmed";"Probable"},'Data entry'!$AQ$6:$AQ$200,'Data Validation'!$V$5, 'Data entry'!$BD$6:$BD$200,"&lt;&gt;*Negative*"))</f>
        <v>0</v>
      </c>
      <c r="Z112" s="15">
        <f>SUM(COUNTIFS('Data entry'!$R$6:$R$200,'Summary Data'!$A112,'Data entry'!$B$6:$B$200,{"Confirmed";"Probable"},'Data entry'!$AQ$6:$AQ$200,'Data Validation'!$V$6, 'Data entry'!$BD$6:$BD$200,"&lt;&gt;*Negative*"))</f>
        <v>0</v>
      </c>
      <c r="AA112" s="15">
        <f>SUM(COUNTIFS('Data entry'!$R$6:$R$200,'Summary Data'!$A112,'Data entry'!$B$6:$B$200,{"Confirmed";"Probable"},'Data entry'!$AQ$6:$AQ$200,'Data Validation'!$V$7, 'Data entry'!$BD$6:$BD$200,"&lt;&gt;*Negative*"))</f>
        <v>0</v>
      </c>
      <c r="AB112" s="15">
        <f>SUM(COUNTIFS('Data entry'!$R$6:$R$200,'Summary Data'!$A112,'Data entry'!$B$6:$B$200,{"Confirmed";"Probable"},'Data entry'!$AQ$6:$AQ$200,'Data Validation'!$V$8, 'Data entry'!$BD$6:$BD$200,"&lt;&gt;*Negative*"))</f>
        <v>0</v>
      </c>
      <c r="AC112" s="15">
        <f>SUM(COUNTIFS('Data entry'!$R$6:$R$200,'Summary Data'!$A112,'Data entry'!$B$6:$B$200,{"Confirmed";"Probable"},'Data entry'!$AQ$6:$AQ$200,'Data Validation'!$V$9, 'Data entry'!$BD$6:$BD$200,"&lt;&gt;*Negative*"))</f>
        <v>0</v>
      </c>
      <c r="AD112" s="15">
        <f>SUM(COUNTIFS('Data entry'!$R$6:$R$200,'Summary Data'!$A112,'Data entry'!$B$6:$B$200,{"Confirmed";"Probable"},'Data entry'!$AQ$6:$AQ$200,'Data Validation'!$V$10, 'Data entry'!$BD$6:$BD$200,"&lt;&gt;*Negative*"))</f>
        <v>0</v>
      </c>
      <c r="AE112" s="15">
        <f>SUM(COUNTIFS('Data entry'!$R$6:$R$200,'Summary Data'!$A112,'Data entry'!$B$6:$B$200,{"Confirmed";"Probable"},'Data entry'!$AQ$6:$AQ$200,'Data Validation'!$V$11, 'Data entry'!$BD$6:$BD$200,"&lt;&gt;*Negative*"))</f>
        <v>0</v>
      </c>
      <c r="AF112" s="15">
        <f>SUM(COUNTIFS('Data entry'!$R$6:$R$200,'Summary Data'!$A112,'Data entry'!$B$6:$B$200,{"Confirmed";"Probable"},'Data entry'!$AQ$6:$AQ$200,'Data Validation'!$V$2, 'Data entry'!$AP$6:$AP$200,'Data Validation'!$U$2, 'Data entry'!$BD$6:$BD$200,"&lt;&gt;*Negative*"))</f>
        <v>0</v>
      </c>
      <c r="AG112" s="15">
        <f>SUM(COUNTIFS('Data entry'!$R$6:$R$200,'Summary Data'!$A112,'Data entry'!$B$6:$B$200,{"Confirmed";"Probable"},'Data entry'!$AQ$6:$AQ$200,'Data Validation'!$V$2, 'Data entry'!$AP$6:$AP$200,'Data Validation'!$U$3, 'Data entry'!$BD$6:$BD$200,"&lt;&gt;*Negative*"))</f>
        <v>0</v>
      </c>
      <c r="AH112" s="15">
        <f>SUM(COUNTIFS('Data entry'!$R$6:$R$200,'Summary Data'!$A112,'Data entry'!$B$6:$B$200,{"Confirmed";"Probable"},'Data entry'!$AQ$6:$AQ$200,'Data Validation'!$V$2, 'Data entry'!$AP$6:$AP$200,'Data Validation'!$U$4, 'Data entry'!$BD$6:$BD$200,"&lt;&gt;*Negative*"))</f>
        <v>0</v>
      </c>
      <c r="AI112" s="15">
        <f>SUM(COUNTIFS('Data entry'!$R$6:$R$200,'Summary Data'!$A112,'Data entry'!$B$6:$B$200,{"Confirmed";"Probable"},'Data entry'!$AQ$6:$AQ$200,'Data Validation'!$V$2, 'Data entry'!$AP$6:$AP$200,'Data Validation'!$U$5, 'Data entry'!$BD$6:$BD$200,"&lt;&gt;*Negative*"))</f>
        <v>0</v>
      </c>
      <c r="AJ112" s="15">
        <f>SUM(COUNTIFS('Data entry'!$R$6:$R$200,'Summary Data'!$A112,'Data entry'!$B$6:$B$200,{"Confirmed";"Probable"},'Data entry'!$AQ$6:$AQ$200,'Data Validation'!$V$2, 'Data entry'!$AP$6:$AP$200,'Data Validation'!$U$6, 'Data entry'!$BD$6:$BD$200,"&lt;&gt;*Negative*"))</f>
        <v>0</v>
      </c>
      <c r="AK112" s="15">
        <f>SUM(COUNTIFS('Data entry'!$R$6:$R$200,'Summary Data'!$A112,'Data entry'!$B$6:$B$200,{"Confirmed";"Probable"},'Data entry'!$AQ$6:$AQ$200,'Data Validation'!$V$3, 'Data entry'!$AP$6:$AP$200,'Data Validation'!$U$2, 'Data entry'!$BD$6:$BD$200,"&lt;&gt;*Negative*"))</f>
        <v>0</v>
      </c>
      <c r="AL112" s="15">
        <f>SUM(COUNTIFS('Data entry'!$R$6:$R$200,'Summary Data'!$A112,'Data entry'!$B$6:$B$200,{"Confirmed";"Probable"},'Data entry'!$AQ$6:$AQ$200,'Data Validation'!$V$3, 'Data entry'!$AP$6:$AP$200,'Data Validation'!$U$3, 'Data entry'!$BD$6:$BD$200,"&lt;&gt;*Negative*"))</f>
        <v>0</v>
      </c>
      <c r="AM112" s="15">
        <f>SUM(COUNTIFS('Data entry'!$R$6:$R$200,'Summary Data'!$A112,'Data entry'!$B$6:$B$200,{"Confirmed";"Probable"},'Data entry'!$AQ$6:$AQ$200,'Data Validation'!$V$3, 'Data entry'!$AP$6:$AP$200,'Data Validation'!$U$4, 'Data entry'!$BD$6:$BD$200,"&lt;&gt;*Negative*"))</f>
        <v>0</v>
      </c>
      <c r="AN112" s="15">
        <f>SUM(COUNTIFS('Data entry'!$R$6:$R$200,'Summary Data'!$A112,'Data entry'!$B$6:$B$200,{"Confirmed";"Probable"},'Data entry'!$AQ$6:$AQ$200,'Data Validation'!$V$3, 'Data entry'!$AP$6:$AP$200,'Data Validation'!$U$5, 'Data entry'!$BD$6:$BD$200,"&lt;&gt;*Negative*"))</f>
        <v>0</v>
      </c>
      <c r="AO112" s="15">
        <f>SUM(COUNTIFS('Data entry'!$R$6:$R$200,'Summary Data'!$A112,'Data entry'!$B$6:$B$200,{"Confirmed";"Probable"},'Data entry'!$AQ$6:$AQ$200,'Data Validation'!$V$3, 'Data entry'!$AP$6:$AP$200,'Data Validation'!$U$6, 'Data entry'!$BD$6:$BD$200,"&lt;&gt;*Negative*"))</f>
        <v>0</v>
      </c>
      <c r="AP112" s="15">
        <f>SUM(COUNTIFS('Data entry'!$R$6:$R$200,'Summary Data'!$A112,'Data entry'!$B$6:$B$200,{"Confirmed";"Probable"},'Data entry'!$AQ$6:$AQ$200,'Data Validation'!$V$4, 'Data entry'!$AP$6:$AP$200,'Data Validation'!$U$2, 'Data entry'!$BD$6:$BD$200,"&lt;&gt;*Negative*"))</f>
        <v>0</v>
      </c>
      <c r="AQ112" s="15">
        <f>SUM(COUNTIFS('Data entry'!$R$6:$R$200,'Summary Data'!$A112,'Data entry'!$B$6:$B$200,{"Confirmed";"Probable"},'Data entry'!$AQ$6:$AQ$200,'Data Validation'!$V$4, 'Data entry'!$AP$6:$AP$200,'Data Validation'!$U$3, 'Data entry'!$BD$6:$BD$200,"&lt;&gt;*Negative*"))</f>
        <v>0</v>
      </c>
      <c r="AR112" s="15">
        <f>SUM(COUNTIFS('Data entry'!$R$6:$R$200,'Summary Data'!$A112,'Data entry'!$B$6:$B$200,{"Confirmed";"Probable"},'Data entry'!$AQ$6:$AQ$200,'Data Validation'!$V$4, 'Data entry'!$AP$6:$AP$200,'Data Validation'!$U$4, 'Data entry'!$BD$6:$BD$200,"&lt;&gt;*Negative*"))</f>
        <v>0</v>
      </c>
      <c r="AS112" s="15">
        <f>SUM(COUNTIFS('Data entry'!$R$6:$R$200,'Summary Data'!$A112,'Data entry'!$B$6:$B$200,{"Confirmed";"Probable"},'Data entry'!$AQ$6:$AQ$200,'Data Validation'!$V$4, 'Data entry'!$AP$6:$AP$200,'Data Validation'!$U$5, 'Data entry'!$BD$6:$BD$200,"&lt;&gt;*Negative*"))</f>
        <v>0</v>
      </c>
      <c r="AT112" s="15">
        <f>SUM(COUNTIFS('Data entry'!$R$6:$R$200,'Summary Data'!$A112,'Data entry'!$B$6:$B$200,{"Confirmed";"Probable"},'Data entry'!$AQ$6:$AQ$200,'Data Validation'!$V$4, 'Data entry'!$AP$6:$AP$200,'Data Validation'!$U$6, 'Data entry'!$BD$6:$BD$200,"&lt;&gt;*Negative*"))</f>
        <v>0</v>
      </c>
      <c r="AU112" s="15">
        <f>SUM(COUNTIFS('Data entry'!$R$6:$R$200,'Summary Data'!$A112,'Data entry'!$B$6:$B$200,{"Confirmed";"Probable"},'Data entry'!$AQ$6:$AQ$200,'Data Validation'!$V$5, 'Data entry'!$AP$6:$AP$200,'Data Validation'!$U$2, 'Data entry'!$BD$6:$BD$200,"&lt;&gt;*Negative*"))</f>
        <v>0</v>
      </c>
      <c r="AV112" s="15">
        <f>SUM(COUNTIFS('Data entry'!$R$6:$R$200,'Summary Data'!$A112,'Data entry'!$B$6:$B$200,{"Confirmed";"Probable"},'Data entry'!$AQ$6:$AQ$200,'Data Validation'!$V$5, 'Data entry'!$AP$6:$AP$200,'Data Validation'!$U$3, 'Data entry'!$BD$6:$BD$200,"&lt;&gt;*Negative*"))</f>
        <v>0</v>
      </c>
      <c r="AW112" s="15">
        <f>SUM(COUNTIFS('Data entry'!$R$6:$R$200,'Summary Data'!$A112,'Data entry'!$B$6:$B$200,{"Confirmed";"Probable"},'Data entry'!$AQ$6:$AQ$200,'Data Validation'!$V$5, 'Data entry'!$AP$6:$AP$200,'Data Validation'!$U$4, 'Data entry'!$BD$6:$BD$200,"&lt;&gt;*Negative*"))</f>
        <v>0</v>
      </c>
      <c r="AX112" s="15">
        <f>SUM(COUNTIFS('Data entry'!$R$6:$R$200,'Summary Data'!$A112,'Data entry'!$B$6:$B$200,{"Confirmed";"Probable"},'Data entry'!$AQ$6:$AQ$200,'Data Validation'!$V$5, 'Data entry'!$AP$6:$AP$200,'Data Validation'!$U$5, 'Data entry'!$BD$6:$BD$200,"&lt;&gt;*Negative*"))</f>
        <v>0</v>
      </c>
      <c r="AY112" s="15">
        <f>SUM(COUNTIFS('Data entry'!$R$6:$R$200,'Summary Data'!$A112,'Data entry'!$B$6:$B$200,{"Confirmed";"Probable"},'Data entry'!$AQ$6:$AQ$200,'Data Validation'!$V$5, 'Data entry'!$AP$6:$AP$200,'Data Validation'!$U$6, 'Data entry'!$BD$6:$BD$200,"&lt;&gt;*Negative*"))</f>
        <v>0</v>
      </c>
      <c r="AZ112" s="15">
        <f>SUM(COUNTIFS('Data entry'!$R$6:$R$200,'Summary Data'!$A112,'Data entry'!$B$6:$B$200,{"Confirmed";"Probable"},'Data entry'!$AQ$6:$AQ$200,'Data Validation'!$V$6, 'Data entry'!$AP$6:$AP$200,'Data Validation'!$U$2, 'Data entry'!$BD$6:$BD$200,"&lt;&gt;*Negative*"))</f>
        <v>0</v>
      </c>
      <c r="BA112" s="15">
        <f>SUM(COUNTIFS('Data entry'!$R$6:$R$200,'Summary Data'!$A112,'Data entry'!$B$6:$B$200,{"Confirmed";"Probable"},'Data entry'!$AQ$6:$AQ$200,'Data Validation'!$V$6, 'Data entry'!$AP$6:$AP$200,'Data Validation'!$U$3, 'Data entry'!$BD$6:$BD$200,"&lt;&gt;*Negative*"))</f>
        <v>0</v>
      </c>
      <c r="BB112" s="15">
        <f>SUM(COUNTIFS('Data entry'!$R$6:$R$200,'Summary Data'!$A112,'Data entry'!$B$6:$B$200,{"Confirmed";"Probable"},'Data entry'!$AQ$6:$AQ$200,'Data Validation'!$V$6, 'Data entry'!$AP$6:$AP$200,'Data Validation'!$U$4, 'Data entry'!$BD$6:$BD$200,"&lt;&gt;*Negative*"))</f>
        <v>0</v>
      </c>
      <c r="BC112" s="15">
        <f>SUM(COUNTIFS('Data entry'!$R$6:$R$200,'Summary Data'!$A112,'Data entry'!$B$6:$B$200,{"Confirmed";"Probable"},'Data entry'!$AQ$6:$AQ$200,'Data Validation'!$V$6, 'Data entry'!$AP$6:$AP$200,'Data Validation'!$U$5, 'Data entry'!$BD$6:$BD$200,"&lt;&gt;*Negative*"))</f>
        <v>0</v>
      </c>
      <c r="BD112" s="15">
        <f>SUM(COUNTIFS('Data entry'!$R$6:$R$200,'Summary Data'!$A112,'Data entry'!$B$6:$B$200,{"Confirmed";"Probable"},'Data entry'!$AQ$6:$AQ$200,'Data Validation'!$V$6, 'Data entry'!$AP$6:$AP$200,'Data Validation'!$U$6, 'Data entry'!$BD$6:$BD$200,"&lt;&gt;*Negative*"))</f>
        <v>0</v>
      </c>
      <c r="BE112" s="15">
        <f>SUM(COUNTIFS('Data entry'!$R$6:$R$200,'Summary Data'!$A112,'Data entry'!$B$6:$B$200,{"Confirmed";"Probable"},'Data entry'!$AQ$6:$AQ$200,'Data Validation'!$V$7, 'Data entry'!$AP$6:$AP$200,'Data Validation'!$U$2, 'Data entry'!$BD$6:$BD$200,"&lt;&gt;*Negative*"))</f>
        <v>0</v>
      </c>
      <c r="BF112" s="15">
        <f>SUM(COUNTIFS('Data entry'!$R$6:$R$200,'Summary Data'!$A112,'Data entry'!$B$6:$B$200,{"Confirmed";"Probable"},'Data entry'!$AQ$6:$AQ$200,'Data Validation'!$V$7, 'Data entry'!$AP$6:$AP$200,'Data Validation'!$U$3, 'Data entry'!$BD$6:$BD$200,"&lt;&gt;*Negative*"))</f>
        <v>0</v>
      </c>
      <c r="BG112" s="15">
        <f>SUM(COUNTIFS('Data entry'!$R$6:$R$200,'Summary Data'!$A112,'Data entry'!$B$6:$B$200,{"Confirmed";"Probable"},'Data entry'!$AQ$6:$AQ$200,'Data Validation'!$V$7, 'Data entry'!$AP$6:$AP$200,'Data Validation'!$U$4, 'Data entry'!$BD$6:$BD$200,"&lt;&gt;*Negative*"))</f>
        <v>0</v>
      </c>
      <c r="BH112" s="15">
        <f>SUM(COUNTIFS('Data entry'!$R$6:$R$200,'Summary Data'!$A112,'Data entry'!$B$6:$B$200,{"Confirmed";"Probable"},'Data entry'!$AQ$6:$AQ$200,'Data Validation'!$V$7, 'Data entry'!$AP$6:$AP$200,'Data Validation'!$U$5, 'Data entry'!$BD$6:$BD$200,"&lt;&gt;*Negative*"))</f>
        <v>0</v>
      </c>
      <c r="BI112" s="15">
        <f>SUM(COUNTIFS('Data entry'!$R$6:$R$200,'Summary Data'!$A112,'Data entry'!$B$6:$B$200,{"Confirmed";"Probable"},'Data entry'!$AQ$6:$AQ$200,'Data Validation'!$V$7, 'Data entry'!$AP$6:$AP$200,'Data Validation'!$U$6, 'Data entry'!$BD$6:$BD$200,"&lt;&gt;*Negative*"))</f>
        <v>0</v>
      </c>
      <c r="BJ112" s="15">
        <f>SUM(COUNTIFS('Data entry'!$R$6:$R$200,'Summary Data'!$A112,'Data entry'!$B$6:$B$200,{"Confirmed";"Probable"},'Data entry'!$AQ$6:$AQ$200,'Data Validation'!$V$8, 'Data entry'!$AP$6:$AP$200,'Data Validation'!$U$2, 'Data entry'!$BD$6:$BD$200,"&lt;&gt;*Negative*"))</f>
        <v>0</v>
      </c>
      <c r="BK112" s="15">
        <f>SUM(COUNTIFS('Data entry'!$R$6:$R$200,'Summary Data'!$A112,'Data entry'!$B$6:$B$200,{"Confirmed";"Probable"},'Data entry'!$AQ$6:$AQ$200,'Data Validation'!$V$8, 'Data entry'!$AP$6:$AP$200,'Data Validation'!$U$3, 'Data entry'!$BD$6:$BD$200,"&lt;&gt;*Negative*"))</f>
        <v>0</v>
      </c>
      <c r="BL112" s="15">
        <f>SUM(COUNTIFS('Data entry'!$R$6:$R$200,'Summary Data'!$A112,'Data entry'!$B$6:$B$200,{"Confirmed";"Probable"},'Data entry'!$AQ$6:$AQ$200,'Data Validation'!$V$8, 'Data entry'!$AP$6:$AP$200,'Data Validation'!$U$4, 'Data entry'!$BD$6:$BD$200,"&lt;&gt;*Negative*"))</f>
        <v>0</v>
      </c>
      <c r="BM112" s="15">
        <f>SUM(COUNTIFS('Data entry'!$R$6:$R$200,'Summary Data'!$A112,'Data entry'!$B$6:$B$200,{"Confirmed";"Probable"},'Data entry'!$AQ$6:$AQ$200,'Data Validation'!$V$8, 'Data entry'!$AP$6:$AP$200,'Data Validation'!$U$5, 'Data entry'!$BD$6:$BD$200,"&lt;&gt;*Negative*"))</f>
        <v>0</v>
      </c>
      <c r="BN112" s="15">
        <f>SUM(COUNTIFS('Data entry'!$R$6:$R$200,'Summary Data'!$A112,'Data entry'!$B$6:$B$200,{"Confirmed";"Probable"},'Data entry'!$AQ$6:$AQ$200,'Data Validation'!$V$8, 'Data entry'!$AP$6:$AP$200,'Data Validation'!$U$6, 'Data entry'!$BD$6:$BD$200,"&lt;&gt;*Negative*"))</f>
        <v>0</v>
      </c>
      <c r="BO112" s="15">
        <f>SUM(COUNTIFS('Data entry'!$R$6:$R$200,'Summary Data'!$A112,'Data entry'!$B$6:$B$200,{"Confirmed";"Probable"},'Data entry'!$AQ$6:$AQ$200,'Data Validation'!$V$9, 'Data entry'!$AP$6:$AP$200,'Data Validation'!$U$2, 'Data entry'!$BD$6:$BD$200,"&lt;&gt;*Negative*"))</f>
        <v>0</v>
      </c>
      <c r="BP112" s="15">
        <f>SUM(COUNTIFS('Data entry'!$R$6:$R$200,'Summary Data'!$A112,'Data entry'!$B$6:$B$200,{"Confirmed";"Probable"},'Data entry'!$AQ$6:$AQ$200,'Data Validation'!$V$9, 'Data entry'!$AP$6:$AP$200,'Data Validation'!$U$3, 'Data entry'!$BD$6:$BD$200,"&lt;&gt;*Negative*"))</f>
        <v>0</v>
      </c>
      <c r="BQ112" s="15">
        <f>SUM(COUNTIFS('Data entry'!$R$6:$R$200,'Summary Data'!$A112,'Data entry'!$B$6:$B$200,{"Confirmed";"Probable"},'Data entry'!$AQ$6:$AQ$200,'Data Validation'!$V$9, 'Data entry'!$AP$6:$AP$200,'Data Validation'!$U$4, 'Data entry'!$BD$6:$BD$200,"&lt;&gt;*Negative*"))</f>
        <v>0</v>
      </c>
      <c r="BR112" s="15">
        <f>SUM(COUNTIFS('Data entry'!$R$6:$R$200,'Summary Data'!$A112,'Data entry'!$B$6:$B$200,{"Confirmed";"Probable"},'Data entry'!$AQ$6:$AQ$200,'Data Validation'!$V$9, 'Data entry'!$AP$6:$AP$200,'Data Validation'!$U$5, 'Data entry'!$BD$6:$BD$200,"&lt;&gt;*Negative*"))</f>
        <v>0</v>
      </c>
      <c r="BS112" s="15">
        <f>SUM(COUNTIFS('Data entry'!$R$6:$R$200,'Summary Data'!$A112,'Data entry'!$B$6:$B$200,{"Confirmed";"Probable"},'Data entry'!$AQ$6:$AQ$200,'Data Validation'!$V$9, 'Data entry'!$AP$6:$AP$200,'Data Validation'!$U$6, 'Data entry'!$BD$6:$BD$200,"&lt;&gt;*Negative*"))</f>
        <v>0</v>
      </c>
      <c r="BT112" s="15">
        <f>SUM(COUNTIFS('Data entry'!$R$6:$R$200,'Summary Data'!$A112,'Data entry'!$B$6:$B$200,{"Confirmed";"Probable"},'Data entry'!$AQ$6:$AQ$200,'Data Validation'!$V$10, 'Data entry'!$AP$6:$AP$200,'Data Validation'!$U$2, 'Data entry'!$BD$6:$BD$200,"&lt;&gt;*Negative*"))</f>
        <v>0</v>
      </c>
      <c r="BU112" s="15">
        <f>SUM(COUNTIFS('Data entry'!$R$6:$R$200,'Summary Data'!$A112,'Data entry'!$B$6:$B$200,{"Confirmed";"Probable"},'Data entry'!$AQ$6:$AQ$200,'Data Validation'!$V$10, 'Data entry'!$AP$6:$AP$200,'Data Validation'!$U$3, 'Data entry'!$BD$6:$BD$200,"&lt;&gt;*Negative*"))</f>
        <v>0</v>
      </c>
      <c r="BV112" s="15">
        <f>SUM(COUNTIFS('Data entry'!$R$6:$R$200,'Summary Data'!$A112,'Data entry'!$B$6:$B$200,{"Confirmed";"Probable"},'Data entry'!$AQ$6:$AQ$200,'Data Validation'!$V$10, 'Data entry'!$AP$6:$AP$200,'Data Validation'!$U$4, 'Data entry'!$BD$6:$BD$200,"&lt;&gt;*Negative*"))</f>
        <v>0</v>
      </c>
      <c r="BW112" s="15">
        <f>SUM(COUNTIFS('Data entry'!$R$6:$R$200,'Summary Data'!$A112,'Data entry'!$B$6:$B$200,{"Confirmed";"Probable"},'Data entry'!$AQ$6:$AQ$200,'Data Validation'!$V$10, 'Data entry'!$AP$6:$AP$200,'Data Validation'!$U$5, 'Data entry'!$BD$6:$BD$200,"&lt;&gt;*Negative*"))</f>
        <v>0</v>
      </c>
      <c r="BX112" s="15">
        <f>SUM(COUNTIFS('Data entry'!$R$6:$R$200,'Summary Data'!$A112,'Data entry'!$B$6:$B$200,{"Confirmed";"Probable"},'Data entry'!$AQ$6:$AQ$200,'Data Validation'!$V$10, 'Data entry'!$AP$6:$AP$200,'Data Validation'!$U$6, 'Data entry'!$BD$6:$BD$200,"&lt;&gt;*Negative*"))</f>
        <v>0</v>
      </c>
      <c r="BY112" s="15">
        <f>SUM(COUNTIFS('Data entry'!$R$6:$R$200,'Summary Data'!$A112,'Data entry'!$B$6:$B$200,{"Confirmed";"Probable"},'Data entry'!$AQ$6:$AQ$200,'Data Validation'!$V$11, 'Data entry'!$AP$6:$AP$200,'Data Validation'!$U$2, 'Data entry'!$BD$6:$BD$200,"&lt;&gt;*Negative*"))</f>
        <v>0</v>
      </c>
      <c r="BZ112" s="15">
        <f>SUM(COUNTIFS('Data entry'!$R$6:$R$200,'Summary Data'!$A112,'Data entry'!$B$6:$B$200,{"Confirmed";"Probable"},'Data entry'!$AQ$6:$AQ$200,'Data Validation'!$V$11, 'Data entry'!$AP$6:$AP$200,'Data Validation'!$U$3, 'Data entry'!$BD$6:$BD$200,"&lt;&gt;*Negative*"))</f>
        <v>0</v>
      </c>
      <c r="CA112" s="15">
        <f>SUM(COUNTIFS('Data entry'!$R$6:$R$200,'Summary Data'!$A112,'Data entry'!$B$6:$B$200,{"Confirmed";"Probable"},'Data entry'!$AQ$6:$AQ$200,'Data Validation'!$V$11, 'Data entry'!$AP$6:$AP$200,'Data Validation'!$U$4, 'Data entry'!$BD$6:$BD$200,"&lt;&gt;*Negative*"))</f>
        <v>0</v>
      </c>
      <c r="CB112" s="15">
        <f>SUM(COUNTIFS('Data entry'!$R$6:$R$200,'Summary Data'!$A112,'Data entry'!$B$6:$B$200,{"Confirmed";"Probable"},'Data entry'!$AQ$6:$AQ$200,'Data Validation'!$V$11, 'Data entry'!$AP$6:$AP$200,'Data Validation'!$U$5, 'Data entry'!$BD$6:$BD$200,"&lt;&gt;*Negative*"))</f>
        <v>0</v>
      </c>
      <c r="CC112" s="15">
        <f>SUM(COUNTIFS('Data entry'!$R$6:$R$200,'Summary Data'!$A112,'Data entry'!$B$6:$B$200,{"Confirmed";"Probable"},'Data entry'!$AQ$6:$AQ$200,'Data Validation'!$V$11, 'Data entry'!$AP$6:$AP$200,'Data Validation'!$U$6, 'Data entry'!$BD$6:$BD$200,"&lt;&gt;*Negative*"))</f>
        <v>0</v>
      </c>
    </row>
    <row r="113" spans="1:81" x14ac:dyDescent="0.25">
      <c r="A113" s="12">
        <f t="shared" si="9"/>
        <v>101</v>
      </c>
      <c r="B113" s="13">
        <f t="shared" si="6"/>
        <v>0</v>
      </c>
      <c r="C113" s="13">
        <f>COUNTIFS('Data entry'!$R$6:$R$200,$A113,'Data entry'!$B$6:$B$200,"Confirmed",'Data entry'!$BD$6:$BD$200,"&lt;&gt;*Negative*")</f>
        <v>0</v>
      </c>
      <c r="D113" s="13">
        <f>COUNTIFS('Data entry'!$R$6:$R$200,$A113,'Data entry'!$B$6:$B$200,"Probable",'Data entry'!$BD$6:$BD$200,"&lt;&gt;*Negative*")</f>
        <v>0</v>
      </c>
      <c r="E113" s="13">
        <f>COUNTIFS('Data entry'!$R$6:$R$200,$A113,'Data entry'!$B$6:$B$200,"DNM")</f>
        <v>0</v>
      </c>
      <c r="F113" s="13">
        <f>SUM(COUNTIFS('Data entry'!$R$6:$R$200,'Summary Data'!$A113,'Data entry'!$B$6:$B$200,{"Confirmed";"Probable"},'Data entry'!$AO$6:$AO$200,$F$10, 'Data entry'!$BD$6:$BD$200,"&lt;&gt;*Negative*"))</f>
        <v>0</v>
      </c>
      <c r="G113" s="13">
        <f>SUM(COUNTIFS('Data entry'!$R$6:$R$200,'Summary Data'!$A113,'Data entry'!$B$6:$B$200,{"Confirmed";"Probable"},'Data entry'!$AO$6:$AO$200,$G$10, 'Data entry'!$BD$6:$BD$200,"&lt;&gt;*Negative*"))</f>
        <v>0</v>
      </c>
      <c r="H113" s="13">
        <f>SUM(COUNTIFS('Data entry'!$R$6:$R$200,'Summary Data'!$A113,'Data entry'!$B$6:$B$200,{"Confirmed";"Probable"},'Data entry'!$AO$6:$AO$200,$H$10, 'Data entry'!$BD$6:$BD$200,"&lt;&gt;*Negative*"))</f>
        <v>0</v>
      </c>
      <c r="I113" s="13">
        <f>SUM(COUNTIFS('Data entry'!$R$6:$R$200,'Summary Data'!$A113,'Data entry'!$B$6:$B$200,{"Confirmed";"Probable"},'Data entry'!$AO$6:$AO$200,$I$10, 'Data entry'!$BD$6:$BD$200,"&lt;&gt;*Negative*"))</f>
        <v>0</v>
      </c>
      <c r="J113" s="13">
        <f>SUM(COUNTIFS('Data entry'!$R$6:$R$200,'Summary Data'!$A113,'Data entry'!$B$6:$B$200,{"Confirmed";"Probable"},'Data entry'!$AO$6:$AO$200,$J$10, 'Data entry'!$BD$6:$BD$200,"&lt;&gt;*Negative*"))</f>
        <v>0</v>
      </c>
      <c r="K113" s="13">
        <f>SUM(COUNTIFS('Data entry'!$R$6:$R$200,'Summary Data'!$A113,'Data entry'!$B$6:$B$200,{"Confirmed";"Probable"},'Data entry'!$AO$6:$AO$200,$K$10, 'Data entry'!$BD$6:$BD$200,"&lt;&gt;*Negative*"))</f>
        <v>0</v>
      </c>
      <c r="L113" s="13">
        <f>SUM(COUNTIFS('Data entry'!$R$6:$R$200,'Summary Data'!$A113,'Data entry'!$B$6:$B$200,{"Confirmed";"Probable"},'Data entry'!$AO$6:$AO$200,$L$10, 'Data entry'!$BD$6:$BD$200,"&lt;&gt;*Negative*"))</f>
        <v>0</v>
      </c>
      <c r="M113" s="13">
        <f>SUM(COUNTIFS('Data entry'!$R$6:$R$200,'Summary Data'!$A113,'Data entry'!$B$6:$B$200,{"Confirmed";"Probable"},'Data entry'!$AO$6:$AO$200,$M$10, 'Data entry'!$BD$6:$BD$200,"&lt;&gt;*Negative*"))</f>
        <v>0</v>
      </c>
      <c r="N113" s="13">
        <f>SUM(COUNTIFS('Data entry'!$R$6:$R$200,'Summary Data'!$A113,'Data entry'!$B$6:$B$200,{"Confirmed";"Probable"},'Data entry'!$AO$6:$AO$200,$N$10, 'Data entry'!$BD$6:$BD$200,"&lt;&gt;*Negative*"))</f>
        <v>0</v>
      </c>
      <c r="O113" s="15">
        <f t="shared" si="7"/>
        <v>0</v>
      </c>
      <c r="P113" s="15">
        <f t="shared" si="8"/>
        <v>0</v>
      </c>
      <c r="Q113" s="15">
        <f>SUM(COUNTIFS('Data entry'!$R$6:$R$200,'Summary Data'!$A113,'Data entry'!$B$6:$B$200,{"Confirmed";"Probable"},'Data entry'!$AP$6:$AP$200,'Data Validation'!$U$2, 'Data entry'!$BD$6:$BD$200,"&lt;&gt;*Negative*"))</f>
        <v>0</v>
      </c>
      <c r="R113" s="15">
        <f>SUM(COUNTIFS('Data entry'!$R$6:$R$200,'Summary Data'!$A113,'Data entry'!$B$6:$B$200,{"Confirmed";"Probable"},'Data entry'!$AP$6:$AP$200,'Data Validation'!$U$3, 'Data entry'!$BD$6:$BD$200,"&lt;&gt;*Negative*"))</f>
        <v>0</v>
      </c>
      <c r="S113" s="15">
        <f>SUM(COUNTIFS('Data entry'!$R$6:$R$200,'Summary Data'!$A113,'Data entry'!$B$6:$B$200,{"Confirmed";"Probable"},'Data entry'!$AP$6:$AP$200,'Data Validation'!$U$4, 'Data entry'!$BD$6:$BD$200,"&lt;&gt;*Negative*"))</f>
        <v>0</v>
      </c>
      <c r="T113" s="15">
        <f>SUM(COUNTIFS('Data entry'!$R$6:$R$200,'Summary Data'!$A113,'Data entry'!$B$6:$B$200,{"Confirmed";"Probable"},'Data entry'!$AP$6:$AP$200,'Data Validation'!$U$5, 'Data entry'!$BD$6:$BD$200,"&lt;&gt;*Negative*"))</f>
        <v>0</v>
      </c>
      <c r="U113" s="15">
        <f>SUM(COUNTIFS('Data entry'!$R$6:$R$200,'Summary Data'!$A113,'Data entry'!$B$6:$B$200,{"Confirmed";"Probable"},'Data entry'!$AP$6:$AP$200,'Data Validation'!$U$6, 'Data entry'!$BD$6:$BD$200,"&lt;&gt;*Negative*"))</f>
        <v>0</v>
      </c>
      <c r="V113" s="15">
        <f>SUM(COUNTIFS('Data entry'!$R$6:$R$200,'Summary Data'!$A113,'Data entry'!$B$6:$B$200,{"Confirmed";"Probable"},'Data entry'!$AQ$6:$AQ$200,'Data Validation'!$V$2, 'Data entry'!$BD$6:$BD$200,"&lt;&gt;*Negative*"))</f>
        <v>0</v>
      </c>
      <c r="W113" s="15">
        <f>SUM(COUNTIFS('Data entry'!$R$6:$R$200,'Summary Data'!$A113,'Data entry'!$B$6:$B$200,{"Confirmed";"Probable"},'Data entry'!$AQ$6:$AQ$200,'Data Validation'!$V$3, 'Data entry'!$BD$6:$BD$200,"&lt;&gt;*Negative*"))</f>
        <v>0</v>
      </c>
      <c r="X113" s="15">
        <f>SUM(COUNTIFS('Data entry'!$R$6:$R$200,'Summary Data'!$A113,'Data entry'!$B$6:$B$200,{"Confirmed";"Probable"},'Data entry'!$AQ$6:$AQ$200,'Data Validation'!$V$4, 'Data entry'!$BD$6:$BD$200,"&lt;&gt;*Negative*"))</f>
        <v>0</v>
      </c>
      <c r="Y113" s="15">
        <f>SUM(COUNTIFS('Data entry'!$R$6:$R$200,'Summary Data'!$A113,'Data entry'!$B$6:$B$200,{"Confirmed";"Probable"},'Data entry'!$AQ$6:$AQ$200,'Data Validation'!$V$5, 'Data entry'!$BD$6:$BD$200,"&lt;&gt;*Negative*"))</f>
        <v>0</v>
      </c>
      <c r="Z113" s="15">
        <f>SUM(COUNTIFS('Data entry'!$R$6:$R$200,'Summary Data'!$A113,'Data entry'!$B$6:$B$200,{"Confirmed";"Probable"},'Data entry'!$AQ$6:$AQ$200,'Data Validation'!$V$6, 'Data entry'!$BD$6:$BD$200,"&lt;&gt;*Negative*"))</f>
        <v>0</v>
      </c>
      <c r="AA113" s="15">
        <f>SUM(COUNTIFS('Data entry'!$R$6:$R$200,'Summary Data'!$A113,'Data entry'!$B$6:$B$200,{"Confirmed";"Probable"},'Data entry'!$AQ$6:$AQ$200,'Data Validation'!$V$7, 'Data entry'!$BD$6:$BD$200,"&lt;&gt;*Negative*"))</f>
        <v>0</v>
      </c>
      <c r="AB113" s="15">
        <f>SUM(COUNTIFS('Data entry'!$R$6:$R$200,'Summary Data'!$A113,'Data entry'!$B$6:$B$200,{"Confirmed";"Probable"},'Data entry'!$AQ$6:$AQ$200,'Data Validation'!$V$8, 'Data entry'!$BD$6:$BD$200,"&lt;&gt;*Negative*"))</f>
        <v>0</v>
      </c>
      <c r="AC113" s="15">
        <f>SUM(COUNTIFS('Data entry'!$R$6:$R$200,'Summary Data'!$A113,'Data entry'!$B$6:$B$200,{"Confirmed";"Probable"},'Data entry'!$AQ$6:$AQ$200,'Data Validation'!$V$9, 'Data entry'!$BD$6:$BD$200,"&lt;&gt;*Negative*"))</f>
        <v>0</v>
      </c>
      <c r="AD113" s="15">
        <f>SUM(COUNTIFS('Data entry'!$R$6:$R$200,'Summary Data'!$A113,'Data entry'!$B$6:$B$200,{"Confirmed";"Probable"},'Data entry'!$AQ$6:$AQ$200,'Data Validation'!$V$10, 'Data entry'!$BD$6:$BD$200,"&lt;&gt;*Negative*"))</f>
        <v>0</v>
      </c>
      <c r="AE113" s="15">
        <f>SUM(COUNTIFS('Data entry'!$R$6:$R$200,'Summary Data'!$A113,'Data entry'!$B$6:$B$200,{"Confirmed";"Probable"},'Data entry'!$AQ$6:$AQ$200,'Data Validation'!$V$11, 'Data entry'!$BD$6:$BD$200,"&lt;&gt;*Negative*"))</f>
        <v>0</v>
      </c>
      <c r="AF113" s="15">
        <f>SUM(COUNTIFS('Data entry'!$R$6:$R$200,'Summary Data'!$A113,'Data entry'!$B$6:$B$200,{"Confirmed";"Probable"},'Data entry'!$AQ$6:$AQ$200,'Data Validation'!$V$2, 'Data entry'!$AP$6:$AP$200,'Data Validation'!$U$2, 'Data entry'!$BD$6:$BD$200,"&lt;&gt;*Negative*"))</f>
        <v>0</v>
      </c>
      <c r="AG113" s="15">
        <f>SUM(COUNTIFS('Data entry'!$R$6:$R$200,'Summary Data'!$A113,'Data entry'!$B$6:$B$200,{"Confirmed";"Probable"},'Data entry'!$AQ$6:$AQ$200,'Data Validation'!$V$2, 'Data entry'!$AP$6:$AP$200,'Data Validation'!$U$3, 'Data entry'!$BD$6:$BD$200,"&lt;&gt;*Negative*"))</f>
        <v>0</v>
      </c>
      <c r="AH113" s="15">
        <f>SUM(COUNTIFS('Data entry'!$R$6:$R$200,'Summary Data'!$A113,'Data entry'!$B$6:$B$200,{"Confirmed";"Probable"},'Data entry'!$AQ$6:$AQ$200,'Data Validation'!$V$2, 'Data entry'!$AP$6:$AP$200,'Data Validation'!$U$4, 'Data entry'!$BD$6:$BD$200,"&lt;&gt;*Negative*"))</f>
        <v>0</v>
      </c>
      <c r="AI113" s="15">
        <f>SUM(COUNTIFS('Data entry'!$R$6:$R$200,'Summary Data'!$A113,'Data entry'!$B$6:$B$200,{"Confirmed";"Probable"},'Data entry'!$AQ$6:$AQ$200,'Data Validation'!$V$2, 'Data entry'!$AP$6:$AP$200,'Data Validation'!$U$5, 'Data entry'!$BD$6:$BD$200,"&lt;&gt;*Negative*"))</f>
        <v>0</v>
      </c>
      <c r="AJ113" s="15">
        <f>SUM(COUNTIFS('Data entry'!$R$6:$R$200,'Summary Data'!$A113,'Data entry'!$B$6:$B$200,{"Confirmed";"Probable"},'Data entry'!$AQ$6:$AQ$200,'Data Validation'!$V$2, 'Data entry'!$AP$6:$AP$200,'Data Validation'!$U$6, 'Data entry'!$BD$6:$BD$200,"&lt;&gt;*Negative*"))</f>
        <v>0</v>
      </c>
      <c r="AK113" s="15">
        <f>SUM(COUNTIFS('Data entry'!$R$6:$R$200,'Summary Data'!$A113,'Data entry'!$B$6:$B$200,{"Confirmed";"Probable"},'Data entry'!$AQ$6:$AQ$200,'Data Validation'!$V$3, 'Data entry'!$AP$6:$AP$200,'Data Validation'!$U$2, 'Data entry'!$BD$6:$BD$200,"&lt;&gt;*Negative*"))</f>
        <v>0</v>
      </c>
      <c r="AL113" s="15">
        <f>SUM(COUNTIFS('Data entry'!$R$6:$R$200,'Summary Data'!$A113,'Data entry'!$B$6:$B$200,{"Confirmed";"Probable"},'Data entry'!$AQ$6:$AQ$200,'Data Validation'!$V$3, 'Data entry'!$AP$6:$AP$200,'Data Validation'!$U$3, 'Data entry'!$BD$6:$BD$200,"&lt;&gt;*Negative*"))</f>
        <v>0</v>
      </c>
      <c r="AM113" s="15">
        <f>SUM(COUNTIFS('Data entry'!$R$6:$R$200,'Summary Data'!$A113,'Data entry'!$B$6:$B$200,{"Confirmed";"Probable"},'Data entry'!$AQ$6:$AQ$200,'Data Validation'!$V$3, 'Data entry'!$AP$6:$AP$200,'Data Validation'!$U$4, 'Data entry'!$BD$6:$BD$200,"&lt;&gt;*Negative*"))</f>
        <v>0</v>
      </c>
      <c r="AN113" s="15">
        <f>SUM(COUNTIFS('Data entry'!$R$6:$R$200,'Summary Data'!$A113,'Data entry'!$B$6:$B$200,{"Confirmed";"Probable"},'Data entry'!$AQ$6:$AQ$200,'Data Validation'!$V$3, 'Data entry'!$AP$6:$AP$200,'Data Validation'!$U$5, 'Data entry'!$BD$6:$BD$200,"&lt;&gt;*Negative*"))</f>
        <v>0</v>
      </c>
      <c r="AO113" s="15">
        <f>SUM(COUNTIFS('Data entry'!$R$6:$R$200,'Summary Data'!$A113,'Data entry'!$B$6:$B$200,{"Confirmed";"Probable"},'Data entry'!$AQ$6:$AQ$200,'Data Validation'!$V$3, 'Data entry'!$AP$6:$AP$200,'Data Validation'!$U$6, 'Data entry'!$BD$6:$BD$200,"&lt;&gt;*Negative*"))</f>
        <v>0</v>
      </c>
      <c r="AP113" s="15">
        <f>SUM(COUNTIFS('Data entry'!$R$6:$R$200,'Summary Data'!$A113,'Data entry'!$B$6:$B$200,{"Confirmed";"Probable"},'Data entry'!$AQ$6:$AQ$200,'Data Validation'!$V$4, 'Data entry'!$AP$6:$AP$200,'Data Validation'!$U$2, 'Data entry'!$BD$6:$BD$200,"&lt;&gt;*Negative*"))</f>
        <v>0</v>
      </c>
      <c r="AQ113" s="15">
        <f>SUM(COUNTIFS('Data entry'!$R$6:$R$200,'Summary Data'!$A113,'Data entry'!$B$6:$B$200,{"Confirmed";"Probable"},'Data entry'!$AQ$6:$AQ$200,'Data Validation'!$V$4, 'Data entry'!$AP$6:$AP$200,'Data Validation'!$U$3, 'Data entry'!$BD$6:$BD$200,"&lt;&gt;*Negative*"))</f>
        <v>0</v>
      </c>
      <c r="AR113" s="15">
        <f>SUM(COUNTIFS('Data entry'!$R$6:$R$200,'Summary Data'!$A113,'Data entry'!$B$6:$B$200,{"Confirmed";"Probable"},'Data entry'!$AQ$6:$AQ$200,'Data Validation'!$V$4, 'Data entry'!$AP$6:$AP$200,'Data Validation'!$U$4, 'Data entry'!$BD$6:$BD$200,"&lt;&gt;*Negative*"))</f>
        <v>0</v>
      </c>
      <c r="AS113" s="15">
        <f>SUM(COUNTIFS('Data entry'!$R$6:$R$200,'Summary Data'!$A113,'Data entry'!$B$6:$B$200,{"Confirmed";"Probable"},'Data entry'!$AQ$6:$AQ$200,'Data Validation'!$V$4, 'Data entry'!$AP$6:$AP$200,'Data Validation'!$U$5, 'Data entry'!$BD$6:$BD$200,"&lt;&gt;*Negative*"))</f>
        <v>0</v>
      </c>
      <c r="AT113" s="15">
        <f>SUM(COUNTIFS('Data entry'!$R$6:$R$200,'Summary Data'!$A113,'Data entry'!$B$6:$B$200,{"Confirmed";"Probable"},'Data entry'!$AQ$6:$AQ$200,'Data Validation'!$V$4, 'Data entry'!$AP$6:$AP$200,'Data Validation'!$U$6, 'Data entry'!$BD$6:$BD$200,"&lt;&gt;*Negative*"))</f>
        <v>0</v>
      </c>
      <c r="AU113" s="15">
        <f>SUM(COUNTIFS('Data entry'!$R$6:$R$200,'Summary Data'!$A113,'Data entry'!$B$6:$B$200,{"Confirmed";"Probable"},'Data entry'!$AQ$6:$AQ$200,'Data Validation'!$V$5, 'Data entry'!$AP$6:$AP$200,'Data Validation'!$U$2, 'Data entry'!$BD$6:$BD$200,"&lt;&gt;*Negative*"))</f>
        <v>0</v>
      </c>
      <c r="AV113" s="15">
        <f>SUM(COUNTIFS('Data entry'!$R$6:$R$200,'Summary Data'!$A113,'Data entry'!$B$6:$B$200,{"Confirmed";"Probable"},'Data entry'!$AQ$6:$AQ$200,'Data Validation'!$V$5, 'Data entry'!$AP$6:$AP$200,'Data Validation'!$U$3, 'Data entry'!$BD$6:$BD$200,"&lt;&gt;*Negative*"))</f>
        <v>0</v>
      </c>
      <c r="AW113" s="15">
        <f>SUM(COUNTIFS('Data entry'!$R$6:$R$200,'Summary Data'!$A113,'Data entry'!$B$6:$B$200,{"Confirmed";"Probable"},'Data entry'!$AQ$6:$AQ$200,'Data Validation'!$V$5, 'Data entry'!$AP$6:$AP$200,'Data Validation'!$U$4, 'Data entry'!$BD$6:$BD$200,"&lt;&gt;*Negative*"))</f>
        <v>0</v>
      </c>
      <c r="AX113" s="15">
        <f>SUM(COUNTIFS('Data entry'!$R$6:$R$200,'Summary Data'!$A113,'Data entry'!$B$6:$B$200,{"Confirmed";"Probable"},'Data entry'!$AQ$6:$AQ$200,'Data Validation'!$V$5, 'Data entry'!$AP$6:$AP$200,'Data Validation'!$U$5, 'Data entry'!$BD$6:$BD$200,"&lt;&gt;*Negative*"))</f>
        <v>0</v>
      </c>
      <c r="AY113" s="15">
        <f>SUM(COUNTIFS('Data entry'!$R$6:$R$200,'Summary Data'!$A113,'Data entry'!$B$6:$B$200,{"Confirmed";"Probable"},'Data entry'!$AQ$6:$AQ$200,'Data Validation'!$V$5, 'Data entry'!$AP$6:$AP$200,'Data Validation'!$U$6, 'Data entry'!$BD$6:$BD$200,"&lt;&gt;*Negative*"))</f>
        <v>0</v>
      </c>
      <c r="AZ113" s="15">
        <f>SUM(COUNTIFS('Data entry'!$R$6:$R$200,'Summary Data'!$A113,'Data entry'!$B$6:$B$200,{"Confirmed";"Probable"},'Data entry'!$AQ$6:$AQ$200,'Data Validation'!$V$6, 'Data entry'!$AP$6:$AP$200,'Data Validation'!$U$2, 'Data entry'!$BD$6:$BD$200,"&lt;&gt;*Negative*"))</f>
        <v>0</v>
      </c>
      <c r="BA113" s="15">
        <f>SUM(COUNTIFS('Data entry'!$R$6:$R$200,'Summary Data'!$A113,'Data entry'!$B$6:$B$200,{"Confirmed";"Probable"},'Data entry'!$AQ$6:$AQ$200,'Data Validation'!$V$6, 'Data entry'!$AP$6:$AP$200,'Data Validation'!$U$3, 'Data entry'!$BD$6:$BD$200,"&lt;&gt;*Negative*"))</f>
        <v>0</v>
      </c>
      <c r="BB113" s="15">
        <f>SUM(COUNTIFS('Data entry'!$R$6:$R$200,'Summary Data'!$A113,'Data entry'!$B$6:$B$200,{"Confirmed";"Probable"},'Data entry'!$AQ$6:$AQ$200,'Data Validation'!$V$6, 'Data entry'!$AP$6:$AP$200,'Data Validation'!$U$4, 'Data entry'!$BD$6:$BD$200,"&lt;&gt;*Negative*"))</f>
        <v>0</v>
      </c>
      <c r="BC113" s="15">
        <f>SUM(COUNTIFS('Data entry'!$R$6:$R$200,'Summary Data'!$A113,'Data entry'!$B$6:$B$200,{"Confirmed";"Probable"},'Data entry'!$AQ$6:$AQ$200,'Data Validation'!$V$6, 'Data entry'!$AP$6:$AP$200,'Data Validation'!$U$5, 'Data entry'!$BD$6:$BD$200,"&lt;&gt;*Negative*"))</f>
        <v>0</v>
      </c>
      <c r="BD113" s="15">
        <f>SUM(COUNTIFS('Data entry'!$R$6:$R$200,'Summary Data'!$A113,'Data entry'!$B$6:$B$200,{"Confirmed";"Probable"},'Data entry'!$AQ$6:$AQ$200,'Data Validation'!$V$6, 'Data entry'!$AP$6:$AP$200,'Data Validation'!$U$6, 'Data entry'!$BD$6:$BD$200,"&lt;&gt;*Negative*"))</f>
        <v>0</v>
      </c>
      <c r="BE113" s="15">
        <f>SUM(COUNTIFS('Data entry'!$R$6:$R$200,'Summary Data'!$A113,'Data entry'!$B$6:$B$200,{"Confirmed";"Probable"},'Data entry'!$AQ$6:$AQ$200,'Data Validation'!$V$7, 'Data entry'!$AP$6:$AP$200,'Data Validation'!$U$2, 'Data entry'!$BD$6:$BD$200,"&lt;&gt;*Negative*"))</f>
        <v>0</v>
      </c>
      <c r="BF113" s="15">
        <f>SUM(COUNTIFS('Data entry'!$R$6:$R$200,'Summary Data'!$A113,'Data entry'!$B$6:$B$200,{"Confirmed";"Probable"},'Data entry'!$AQ$6:$AQ$200,'Data Validation'!$V$7, 'Data entry'!$AP$6:$AP$200,'Data Validation'!$U$3, 'Data entry'!$BD$6:$BD$200,"&lt;&gt;*Negative*"))</f>
        <v>0</v>
      </c>
      <c r="BG113" s="15">
        <f>SUM(COUNTIFS('Data entry'!$R$6:$R$200,'Summary Data'!$A113,'Data entry'!$B$6:$B$200,{"Confirmed";"Probable"},'Data entry'!$AQ$6:$AQ$200,'Data Validation'!$V$7, 'Data entry'!$AP$6:$AP$200,'Data Validation'!$U$4, 'Data entry'!$BD$6:$BD$200,"&lt;&gt;*Negative*"))</f>
        <v>0</v>
      </c>
      <c r="BH113" s="15">
        <f>SUM(COUNTIFS('Data entry'!$R$6:$R$200,'Summary Data'!$A113,'Data entry'!$B$6:$B$200,{"Confirmed";"Probable"},'Data entry'!$AQ$6:$AQ$200,'Data Validation'!$V$7, 'Data entry'!$AP$6:$AP$200,'Data Validation'!$U$5, 'Data entry'!$BD$6:$BD$200,"&lt;&gt;*Negative*"))</f>
        <v>0</v>
      </c>
      <c r="BI113" s="15">
        <f>SUM(COUNTIFS('Data entry'!$R$6:$R$200,'Summary Data'!$A113,'Data entry'!$B$6:$B$200,{"Confirmed";"Probable"},'Data entry'!$AQ$6:$AQ$200,'Data Validation'!$V$7, 'Data entry'!$AP$6:$AP$200,'Data Validation'!$U$6, 'Data entry'!$BD$6:$BD$200,"&lt;&gt;*Negative*"))</f>
        <v>0</v>
      </c>
      <c r="BJ113" s="15">
        <f>SUM(COUNTIFS('Data entry'!$R$6:$R$200,'Summary Data'!$A113,'Data entry'!$B$6:$B$200,{"Confirmed";"Probable"},'Data entry'!$AQ$6:$AQ$200,'Data Validation'!$V$8, 'Data entry'!$AP$6:$AP$200,'Data Validation'!$U$2, 'Data entry'!$BD$6:$BD$200,"&lt;&gt;*Negative*"))</f>
        <v>0</v>
      </c>
      <c r="BK113" s="15">
        <f>SUM(COUNTIFS('Data entry'!$R$6:$R$200,'Summary Data'!$A113,'Data entry'!$B$6:$B$200,{"Confirmed";"Probable"},'Data entry'!$AQ$6:$AQ$200,'Data Validation'!$V$8, 'Data entry'!$AP$6:$AP$200,'Data Validation'!$U$3, 'Data entry'!$BD$6:$BD$200,"&lt;&gt;*Negative*"))</f>
        <v>0</v>
      </c>
      <c r="BL113" s="15">
        <f>SUM(COUNTIFS('Data entry'!$R$6:$R$200,'Summary Data'!$A113,'Data entry'!$B$6:$B$200,{"Confirmed";"Probable"},'Data entry'!$AQ$6:$AQ$200,'Data Validation'!$V$8, 'Data entry'!$AP$6:$AP$200,'Data Validation'!$U$4, 'Data entry'!$BD$6:$BD$200,"&lt;&gt;*Negative*"))</f>
        <v>0</v>
      </c>
      <c r="BM113" s="15">
        <f>SUM(COUNTIFS('Data entry'!$R$6:$R$200,'Summary Data'!$A113,'Data entry'!$B$6:$B$200,{"Confirmed";"Probable"},'Data entry'!$AQ$6:$AQ$200,'Data Validation'!$V$8, 'Data entry'!$AP$6:$AP$200,'Data Validation'!$U$5, 'Data entry'!$BD$6:$BD$200,"&lt;&gt;*Negative*"))</f>
        <v>0</v>
      </c>
      <c r="BN113" s="15">
        <f>SUM(COUNTIFS('Data entry'!$R$6:$R$200,'Summary Data'!$A113,'Data entry'!$B$6:$B$200,{"Confirmed";"Probable"},'Data entry'!$AQ$6:$AQ$200,'Data Validation'!$V$8, 'Data entry'!$AP$6:$AP$200,'Data Validation'!$U$6, 'Data entry'!$BD$6:$BD$200,"&lt;&gt;*Negative*"))</f>
        <v>0</v>
      </c>
      <c r="BO113" s="15">
        <f>SUM(COUNTIFS('Data entry'!$R$6:$R$200,'Summary Data'!$A113,'Data entry'!$B$6:$B$200,{"Confirmed";"Probable"},'Data entry'!$AQ$6:$AQ$200,'Data Validation'!$V$9, 'Data entry'!$AP$6:$AP$200,'Data Validation'!$U$2, 'Data entry'!$BD$6:$BD$200,"&lt;&gt;*Negative*"))</f>
        <v>0</v>
      </c>
      <c r="BP113" s="15">
        <f>SUM(COUNTIFS('Data entry'!$R$6:$R$200,'Summary Data'!$A113,'Data entry'!$B$6:$B$200,{"Confirmed";"Probable"},'Data entry'!$AQ$6:$AQ$200,'Data Validation'!$V$9, 'Data entry'!$AP$6:$AP$200,'Data Validation'!$U$3, 'Data entry'!$BD$6:$BD$200,"&lt;&gt;*Negative*"))</f>
        <v>0</v>
      </c>
      <c r="BQ113" s="15">
        <f>SUM(COUNTIFS('Data entry'!$R$6:$R$200,'Summary Data'!$A113,'Data entry'!$B$6:$B$200,{"Confirmed";"Probable"},'Data entry'!$AQ$6:$AQ$200,'Data Validation'!$V$9, 'Data entry'!$AP$6:$AP$200,'Data Validation'!$U$4, 'Data entry'!$BD$6:$BD$200,"&lt;&gt;*Negative*"))</f>
        <v>0</v>
      </c>
      <c r="BR113" s="15">
        <f>SUM(COUNTIFS('Data entry'!$R$6:$R$200,'Summary Data'!$A113,'Data entry'!$B$6:$B$200,{"Confirmed";"Probable"},'Data entry'!$AQ$6:$AQ$200,'Data Validation'!$V$9, 'Data entry'!$AP$6:$AP$200,'Data Validation'!$U$5, 'Data entry'!$BD$6:$BD$200,"&lt;&gt;*Negative*"))</f>
        <v>0</v>
      </c>
      <c r="BS113" s="15">
        <f>SUM(COUNTIFS('Data entry'!$R$6:$R$200,'Summary Data'!$A113,'Data entry'!$B$6:$B$200,{"Confirmed";"Probable"},'Data entry'!$AQ$6:$AQ$200,'Data Validation'!$V$9, 'Data entry'!$AP$6:$AP$200,'Data Validation'!$U$6, 'Data entry'!$BD$6:$BD$200,"&lt;&gt;*Negative*"))</f>
        <v>0</v>
      </c>
      <c r="BT113" s="15">
        <f>SUM(COUNTIFS('Data entry'!$R$6:$R$200,'Summary Data'!$A113,'Data entry'!$B$6:$B$200,{"Confirmed";"Probable"},'Data entry'!$AQ$6:$AQ$200,'Data Validation'!$V$10, 'Data entry'!$AP$6:$AP$200,'Data Validation'!$U$2, 'Data entry'!$BD$6:$BD$200,"&lt;&gt;*Negative*"))</f>
        <v>0</v>
      </c>
      <c r="BU113" s="15">
        <f>SUM(COUNTIFS('Data entry'!$R$6:$R$200,'Summary Data'!$A113,'Data entry'!$B$6:$B$200,{"Confirmed";"Probable"},'Data entry'!$AQ$6:$AQ$200,'Data Validation'!$V$10, 'Data entry'!$AP$6:$AP$200,'Data Validation'!$U$3, 'Data entry'!$BD$6:$BD$200,"&lt;&gt;*Negative*"))</f>
        <v>0</v>
      </c>
      <c r="BV113" s="15">
        <f>SUM(COUNTIFS('Data entry'!$R$6:$R$200,'Summary Data'!$A113,'Data entry'!$B$6:$B$200,{"Confirmed";"Probable"},'Data entry'!$AQ$6:$AQ$200,'Data Validation'!$V$10, 'Data entry'!$AP$6:$AP$200,'Data Validation'!$U$4, 'Data entry'!$BD$6:$BD$200,"&lt;&gt;*Negative*"))</f>
        <v>0</v>
      </c>
      <c r="BW113" s="15">
        <f>SUM(COUNTIFS('Data entry'!$R$6:$R$200,'Summary Data'!$A113,'Data entry'!$B$6:$B$200,{"Confirmed";"Probable"},'Data entry'!$AQ$6:$AQ$200,'Data Validation'!$V$10, 'Data entry'!$AP$6:$AP$200,'Data Validation'!$U$5, 'Data entry'!$BD$6:$BD$200,"&lt;&gt;*Negative*"))</f>
        <v>0</v>
      </c>
      <c r="BX113" s="15">
        <f>SUM(COUNTIFS('Data entry'!$R$6:$R$200,'Summary Data'!$A113,'Data entry'!$B$6:$B$200,{"Confirmed";"Probable"},'Data entry'!$AQ$6:$AQ$200,'Data Validation'!$V$10, 'Data entry'!$AP$6:$AP$200,'Data Validation'!$U$6, 'Data entry'!$BD$6:$BD$200,"&lt;&gt;*Negative*"))</f>
        <v>0</v>
      </c>
      <c r="BY113" s="15">
        <f>SUM(COUNTIFS('Data entry'!$R$6:$R$200,'Summary Data'!$A113,'Data entry'!$B$6:$B$200,{"Confirmed";"Probable"},'Data entry'!$AQ$6:$AQ$200,'Data Validation'!$V$11, 'Data entry'!$AP$6:$AP$200,'Data Validation'!$U$2, 'Data entry'!$BD$6:$BD$200,"&lt;&gt;*Negative*"))</f>
        <v>0</v>
      </c>
      <c r="BZ113" s="15">
        <f>SUM(COUNTIFS('Data entry'!$R$6:$R$200,'Summary Data'!$A113,'Data entry'!$B$6:$B$200,{"Confirmed";"Probable"},'Data entry'!$AQ$6:$AQ$200,'Data Validation'!$V$11, 'Data entry'!$AP$6:$AP$200,'Data Validation'!$U$3, 'Data entry'!$BD$6:$BD$200,"&lt;&gt;*Negative*"))</f>
        <v>0</v>
      </c>
      <c r="CA113" s="15">
        <f>SUM(COUNTIFS('Data entry'!$R$6:$R$200,'Summary Data'!$A113,'Data entry'!$B$6:$B$200,{"Confirmed";"Probable"},'Data entry'!$AQ$6:$AQ$200,'Data Validation'!$V$11, 'Data entry'!$AP$6:$AP$200,'Data Validation'!$U$4, 'Data entry'!$BD$6:$BD$200,"&lt;&gt;*Negative*"))</f>
        <v>0</v>
      </c>
      <c r="CB113" s="15">
        <f>SUM(COUNTIFS('Data entry'!$R$6:$R$200,'Summary Data'!$A113,'Data entry'!$B$6:$B$200,{"Confirmed";"Probable"},'Data entry'!$AQ$6:$AQ$200,'Data Validation'!$V$11, 'Data entry'!$AP$6:$AP$200,'Data Validation'!$U$5, 'Data entry'!$BD$6:$BD$200,"&lt;&gt;*Negative*"))</f>
        <v>0</v>
      </c>
      <c r="CC113" s="15">
        <f>SUM(COUNTIFS('Data entry'!$R$6:$R$200,'Summary Data'!$A113,'Data entry'!$B$6:$B$200,{"Confirmed";"Probable"},'Data entry'!$AQ$6:$AQ$200,'Data Validation'!$V$11, 'Data entry'!$AP$6:$AP$200,'Data Validation'!$U$6, 'Data entry'!$BD$6:$BD$200,"&lt;&gt;*Negative*"))</f>
        <v>0</v>
      </c>
    </row>
    <row r="114" spans="1:81" x14ac:dyDescent="0.25">
      <c r="A114" s="12">
        <f t="shared" si="9"/>
        <v>102</v>
      </c>
      <c r="B114" s="13">
        <f t="shared" si="6"/>
        <v>0</v>
      </c>
      <c r="C114" s="13">
        <f>COUNTIFS('Data entry'!$R$6:$R$200,$A114,'Data entry'!$B$6:$B$200,"Confirmed",'Data entry'!$BD$6:$BD$200,"&lt;&gt;*Negative*")</f>
        <v>0</v>
      </c>
      <c r="D114" s="13">
        <f>COUNTIFS('Data entry'!$R$6:$R$200,$A114,'Data entry'!$B$6:$B$200,"Probable",'Data entry'!$BD$6:$BD$200,"&lt;&gt;*Negative*")</f>
        <v>0</v>
      </c>
      <c r="E114" s="13">
        <f>COUNTIFS('Data entry'!$R$6:$R$200,$A114,'Data entry'!$B$6:$B$200,"DNM")</f>
        <v>0</v>
      </c>
      <c r="F114" s="13">
        <f>SUM(COUNTIFS('Data entry'!$R$6:$R$200,'Summary Data'!$A114,'Data entry'!$B$6:$B$200,{"Confirmed";"Probable"},'Data entry'!$AO$6:$AO$200,$F$10, 'Data entry'!$BD$6:$BD$200,"&lt;&gt;*Negative*"))</f>
        <v>0</v>
      </c>
      <c r="G114" s="13">
        <f>SUM(COUNTIFS('Data entry'!$R$6:$R$200,'Summary Data'!$A114,'Data entry'!$B$6:$B$200,{"Confirmed";"Probable"},'Data entry'!$AO$6:$AO$200,$G$10, 'Data entry'!$BD$6:$BD$200,"&lt;&gt;*Negative*"))</f>
        <v>0</v>
      </c>
      <c r="H114" s="13">
        <f>SUM(COUNTIFS('Data entry'!$R$6:$R$200,'Summary Data'!$A114,'Data entry'!$B$6:$B$200,{"Confirmed";"Probable"},'Data entry'!$AO$6:$AO$200,$H$10, 'Data entry'!$BD$6:$BD$200,"&lt;&gt;*Negative*"))</f>
        <v>0</v>
      </c>
      <c r="I114" s="13">
        <f>SUM(COUNTIFS('Data entry'!$R$6:$R$200,'Summary Data'!$A114,'Data entry'!$B$6:$B$200,{"Confirmed";"Probable"},'Data entry'!$AO$6:$AO$200,$I$10, 'Data entry'!$BD$6:$BD$200,"&lt;&gt;*Negative*"))</f>
        <v>0</v>
      </c>
      <c r="J114" s="13">
        <f>SUM(COUNTIFS('Data entry'!$R$6:$R$200,'Summary Data'!$A114,'Data entry'!$B$6:$B$200,{"Confirmed";"Probable"},'Data entry'!$AO$6:$AO$200,$J$10, 'Data entry'!$BD$6:$BD$200,"&lt;&gt;*Negative*"))</f>
        <v>0</v>
      </c>
      <c r="K114" s="13">
        <f>SUM(COUNTIFS('Data entry'!$R$6:$R$200,'Summary Data'!$A114,'Data entry'!$B$6:$B$200,{"Confirmed";"Probable"},'Data entry'!$AO$6:$AO$200,$K$10, 'Data entry'!$BD$6:$BD$200,"&lt;&gt;*Negative*"))</f>
        <v>0</v>
      </c>
      <c r="L114" s="13">
        <f>SUM(COUNTIFS('Data entry'!$R$6:$R$200,'Summary Data'!$A114,'Data entry'!$B$6:$B$200,{"Confirmed";"Probable"},'Data entry'!$AO$6:$AO$200,$L$10, 'Data entry'!$BD$6:$BD$200,"&lt;&gt;*Negative*"))</f>
        <v>0</v>
      </c>
      <c r="M114" s="13">
        <f>SUM(COUNTIFS('Data entry'!$R$6:$R$200,'Summary Data'!$A114,'Data entry'!$B$6:$B$200,{"Confirmed";"Probable"},'Data entry'!$AO$6:$AO$200,$M$10, 'Data entry'!$BD$6:$BD$200,"&lt;&gt;*Negative*"))</f>
        <v>0</v>
      </c>
      <c r="N114" s="13">
        <f>SUM(COUNTIFS('Data entry'!$R$6:$R$200,'Summary Data'!$A114,'Data entry'!$B$6:$B$200,{"Confirmed";"Probable"},'Data entry'!$AO$6:$AO$200,$N$10, 'Data entry'!$BD$6:$BD$200,"&lt;&gt;*Negative*"))</f>
        <v>0</v>
      </c>
      <c r="O114" s="15">
        <f t="shared" si="7"/>
        <v>0</v>
      </c>
      <c r="P114" s="15">
        <f t="shared" si="8"/>
        <v>0</v>
      </c>
      <c r="Q114" s="15">
        <f>SUM(COUNTIFS('Data entry'!$R$6:$R$200,'Summary Data'!$A114,'Data entry'!$B$6:$B$200,{"Confirmed";"Probable"},'Data entry'!$AP$6:$AP$200,'Data Validation'!$U$2, 'Data entry'!$BD$6:$BD$200,"&lt;&gt;*Negative*"))</f>
        <v>0</v>
      </c>
      <c r="R114" s="15">
        <f>SUM(COUNTIFS('Data entry'!$R$6:$R$200,'Summary Data'!$A114,'Data entry'!$B$6:$B$200,{"Confirmed";"Probable"},'Data entry'!$AP$6:$AP$200,'Data Validation'!$U$3, 'Data entry'!$BD$6:$BD$200,"&lt;&gt;*Negative*"))</f>
        <v>0</v>
      </c>
      <c r="S114" s="15">
        <f>SUM(COUNTIFS('Data entry'!$R$6:$R$200,'Summary Data'!$A114,'Data entry'!$B$6:$B$200,{"Confirmed";"Probable"},'Data entry'!$AP$6:$AP$200,'Data Validation'!$U$4, 'Data entry'!$BD$6:$BD$200,"&lt;&gt;*Negative*"))</f>
        <v>0</v>
      </c>
      <c r="T114" s="15">
        <f>SUM(COUNTIFS('Data entry'!$R$6:$R$200,'Summary Data'!$A114,'Data entry'!$B$6:$B$200,{"Confirmed";"Probable"},'Data entry'!$AP$6:$AP$200,'Data Validation'!$U$5, 'Data entry'!$BD$6:$BD$200,"&lt;&gt;*Negative*"))</f>
        <v>0</v>
      </c>
      <c r="U114" s="15">
        <f>SUM(COUNTIFS('Data entry'!$R$6:$R$200,'Summary Data'!$A114,'Data entry'!$B$6:$B$200,{"Confirmed";"Probable"},'Data entry'!$AP$6:$AP$200,'Data Validation'!$U$6, 'Data entry'!$BD$6:$BD$200,"&lt;&gt;*Negative*"))</f>
        <v>0</v>
      </c>
      <c r="V114" s="15">
        <f>SUM(COUNTIFS('Data entry'!$R$6:$R$200,'Summary Data'!$A114,'Data entry'!$B$6:$B$200,{"Confirmed";"Probable"},'Data entry'!$AQ$6:$AQ$200,'Data Validation'!$V$2, 'Data entry'!$BD$6:$BD$200,"&lt;&gt;*Negative*"))</f>
        <v>0</v>
      </c>
      <c r="W114" s="15">
        <f>SUM(COUNTIFS('Data entry'!$R$6:$R$200,'Summary Data'!$A114,'Data entry'!$B$6:$B$200,{"Confirmed";"Probable"},'Data entry'!$AQ$6:$AQ$200,'Data Validation'!$V$3, 'Data entry'!$BD$6:$BD$200,"&lt;&gt;*Negative*"))</f>
        <v>0</v>
      </c>
      <c r="X114" s="15">
        <f>SUM(COUNTIFS('Data entry'!$R$6:$R$200,'Summary Data'!$A114,'Data entry'!$B$6:$B$200,{"Confirmed";"Probable"},'Data entry'!$AQ$6:$AQ$200,'Data Validation'!$V$4, 'Data entry'!$BD$6:$BD$200,"&lt;&gt;*Negative*"))</f>
        <v>0</v>
      </c>
      <c r="Y114" s="15">
        <f>SUM(COUNTIFS('Data entry'!$R$6:$R$200,'Summary Data'!$A114,'Data entry'!$B$6:$B$200,{"Confirmed";"Probable"},'Data entry'!$AQ$6:$AQ$200,'Data Validation'!$V$5, 'Data entry'!$BD$6:$BD$200,"&lt;&gt;*Negative*"))</f>
        <v>0</v>
      </c>
      <c r="Z114" s="15">
        <f>SUM(COUNTIFS('Data entry'!$R$6:$R$200,'Summary Data'!$A114,'Data entry'!$B$6:$B$200,{"Confirmed";"Probable"},'Data entry'!$AQ$6:$AQ$200,'Data Validation'!$V$6, 'Data entry'!$BD$6:$BD$200,"&lt;&gt;*Negative*"))</f>
        <v>0</v>
      </c>
      <c r="AA114" s="15">
        <f>SUM(COUNTIFS('Data entry'!$R$6:$R$200,'Summary Data'!$A114,'Data entry'!$B$6:$B$200,{"Confirmed";"Probable"},'Data entry'!$AQ$6:$AQ$200,'Data Validation'!$V$7, 'Data entry'!$BD$6:$BD$200,"&lt;&gt;*Negative*"))</f>
        <v>0</v>
      </c>
      <c r="AB114" s="15">
        <f>SUM(COUNTIFS('Data entry'!$R$6:$R$200,'Summary Data'!$A114,'Data entry'!$B$6:$B$200,{"Confirmed";"Probable"},'Data entry'!$AQ$6:$AQ$200,'Data Validation'!$V$8, 'Data entry'!$BD$6:$BD$200,"&lt;&gt;*Negative*"))</f>
        <v>0</v>
      </c>
      <c r="AC114" s="15">
        <f>SUM(COUNTIFS('Data entry'!$R$6:$R$200,'Summary Data'!$A114,'Data entry'!$B$6:$B$200,{"Confirmed";"Probable"},'Data entry'!$AQ$6:$AQ$200,'Data Validation'!$V$9, 'Data entry'!$BD$6:$BD$200,"&lt;&gt;*Negative*"))</f>
        <v>0</v>
      </c>
      <c r="AD114" s="15">
        <f>SUM(COUNTIFS('Data entry'!$R$6:$R$200,'Summary Data'!$A114,'Data entry'!$B$6:$B$200,{"Confirmed";"Probable"},'Data entry'!$AQ$6:$AQ$200,'Data Validation'!$V$10, 'Data entry'!$BD$6:$BD$200,"&lt;&gt;*Negative*"))</f>
        <v>0</v>
      </c>
      <c r="AE114" s="15">
        <f>SUM(COUNTIFS('Data entry'!$R$6:$R$200,'Summary Data'!$A114,'Data entry'!$B$6:$B$200,{"Confirmed";"Probable"},'Data entry'!$AQ$6:$AQ$200,'Data Validation'!$V$11, 'Data entry'!$BD$6:$BD$200,"&lt;&gt;*Negative*"))</f>
        <v>0</v>
      </c>
      <c r="AF114" s="15">
        <f>SUM(COUNTIFS('Data entry'!$R$6:$R$200,'Summary Data'!$A114,'Data entry'!$B$6:$B$200,{"Confirmed";"Probable"},'Data entry'!$AQ$6:$AQ$200,'Data Validation'!$V$2, 'Data entry'!$AP$6:$AP$200,'Data Validation'!$U$2, 'Data entry'!$BD$6:$BD$200,"&lt;&gt;*Negative*"))</f>
        <v>0</v>
      </c>
      <c r="AG114" s="15">
        <f>SUM(COUNTIFS('Data entry'!$R$6:$R$200,'Summary Data'!$A114,'Data entry'!$B$6:$B$200,{"Confirmed";"Probable"},'Data entry'!$AQ$6:$AQ$200,'Data Validation'!$V$2, 'Data entry'!$AP$6:$AP$200,'Data Validation'!$U$3, 'Data entry'!$BD$6:$BD$200,"&lt;&gt;*Negative*"))</f>
        <v>0</v>
      </c>
      <c r="AH114" s="15">
        <f>SUM(COUNTIFS('Data entry'!$R$6:$R$200,'Summary Data'!$A114,'Data entry'!$B$6:$B$200,{"Confirmed";"Probable"},'Data entry'!$AQ$6:$AQ$200,'Data Validation'!$V$2, 'Data entry'!$AP$6:$AP$200,'Data Validation'!$U$4, 'Data entry'!$BD$6:$BD$200,"&lt;&gt;*Negative*"))</f>
        <v>0</v>
      </c>
      <c r="AI114" s="15">
        <f>SUM(COUNTIFS('Data entry'!$R$6:$R$200,'Summary Data'!$A114,'Data entry'!$B$6:$B$200,{"Confirmed";"Probable"},'Data entry'!$AQ$6:$AQ$200,'Data Validation'!$V$2, 'Data entry'!$AP$6:$AP$200,'Data Validation'!$U$5, 'Data entry'!$BD$6:$BD$200,"&lt;&gt;*Negative*"))</f>
        <v>0</v>
      </c>
      <c r="AJ114" s="15">
        <f>SUM(COUNTIFS('Data entry'!$R$6:$R$200,'Summary Data'!$A114,'Data entry'!$B$6:$B$200,{"Confirmed";"Probable"},'Data entry'!$AQ$6:$AQ$200,'Data Validation'!$V$2, 'Data entry'!$AP$6:$AP$200,'Data Validation'!$U$6, 'Data entry'!$BD$6:$BD$200,"&lt;&gt;*Negative*"))</f>
        <v>0</v>
      </c>
      <c r="AK114" s="15">
        <f>SUM(COUNTIFS('Data entry'!$R$6:$R$200,'Summary Data'!$A114,'Data entry'!$B$6:$B$200,{"Confirmed";"Probable"},'Data entry'!$AQ$6:$AQ$200,'Data Validation'!$V$3, 'Data entry'!$AP$6:$AP$200,'Data Validation'!$U$2, 'Data entry'!$BD$6:$BD$200,"&lt;&gt;*Negative*"))</f>
        <v>0</v>
      </c>
      <c r="AL114" s="15">
        <f>SUM(COUNTIFS('Data entry'!$R$6:$R$200,'Summary Data'!$A114,'Data entry'!$B$6:$B$200,{"Confirmed";"Probable"},'Data entry'!$AQ$6:$AQ$200,'Data Validation'!$V$3, 'Data entry'!$AP$6:$AP$200,'Data Validation'!$U$3, 'Data entry'!$BD$6:$BD$200,"&lt;&gt;*Negative*"))</f>
        <v>0</v>
      </c>
      <c r="AM114" s="15">
        <f>SUM(COUNTIFS('Data entry'!$R$6:$R$200,'Summary Data'!$A114,'Data entry'!$B$6:$B$200,{"Confirmed";"Probable"},'Data entry'!$AQ$6:$AQ$200,'Data Validation'!$V$3, 'Data entry'!$AP$6:$AP$200,'Data Validation'!$U$4, 'Data entry'!$BD$6:$BD$200,"&lt;&gt;*Negative*"))</f>
        <v>0</v>
      </c>
      <c r="AN114" s="15">
        <f>SUM(COUNTIFS('Data entry'!$R$6:$R$200,'Summary Data'!$A114,'Data entry'!$B$6:$B$200,{"Confirmed";"Probable"},'Data entry'!$AQ$6:$AQ$200,'Data Validation'!$V$3, 'Data entry'!$AP$6:$AP$200,'Data Validation'!$U$5, 'Data entry'!$BD$6:$BD$200,"&lt;&gt;*Negative*"))</f>
        <v>0</v>
      </c>
      <c r="AO114" s="15">
        <f>SUM(COUNTIFS('Data entry'!$R$6:$R$200,'Summary Data'!$A114,'Data entry'!$B$6:$B$200,{"Confirmed";"Probable"},'Data entry'!$AQ$6:$AQ$200,'Data Validation'!$V$3, 'Data entry'!$AP$6:$AP$200,'Data Validation'!$U$6, 'Data entry'!$BD$6:$BD$200,"&lt;&gt;*Negative*"))</f>
        <v>0</v>
      </c>
      <c r="AP114" s="15">
        <f>SUM(COUNTIFS('Data entry'!$R$6:$R$200,'Summary Data'!$A114,'Data entry'!$B$6:$B$200,{"Confirmed";"Probable"},'Data entry'!$AQ$6:$AQ$200,'Data Validation'!$V$4, 'Data entry'!$AP$6:$AP$200,'Data Validation'!$U$2, 'Data entry'!$BD$6:$BD$200,"&lt;&gt;*Negative*"))</f>
        <v>0</v>
      </c>
      <c r="AQ114" s="15">
        <f>SUM(COUNTIFS('Data entry'!$R$6:$R$200,'Summary Data'!$A114,'Data entry'!$B$6:$B$200,{"Confirmed";"Probable"},'Data entry'!$AQ$6:$AQ$200,'Data Validation'!$V$4, 'Data entry'!$AP$6:$AP$200,'Data Validation'!$U$3, 'Data entry'!$BD$6:$BD$200,"&lt;&gt;*Negative*"))</f>
        <v>0</v>
      </c>
      <c r="AR114" s="15">
        <f>SUM(COUNTIFS('Data entry'!$R$6:$R$200,'Summary Data'!$A114,'Data entry'!$B$6:$B$200,{"Confirmed";"Probable"},'Data entry'!$AQ$6:$AQ$200,'Data Validation'!$V$4, 'Data entry'!$AP$6:$AP$200,'Data Validation'!$U$4, 'Data entry'!$BD$6:$BD$200,"&lt;&gt;*Negative*"))</f>
        <v>0</v>
      </c>
      <c r="AS114" s="15">
        <f>SUM(COUNTIFS('Data entry'!$R$6:$R$200,'Summary Data'!$A114,'Data entry'!$B$6:$B$200,{"Confirmed";"Probable"},'Data entry'!$AQ$6:$AQ$200,'Data Validation'!$V$4, 'Data entry'!$AP$6:$AP$200,'Data Validation'!$U$5, 'Data entry'!$BD$6:$BD$200,"&lt;&gt;*Negative*"))</f>
        <v>0</v>
      </c>
      <c r="AT114" s="15">
        <f>SUM(COUNTIFS('Data entry'!$R$6:$R$200,'Summary Data'!$A114,'Data entry'!$B$6:$B$200,{"Confirmed";"Probable"},'Data entry'!$AQ$6:$AQ$200,'Data Validation'!$V$4, 'Data entry'!$AP$6:$AP$200,'Data Validation'!$U$6, 'Data entry'!$BD$6:$BD$200,"&lt;&gt;*Negative*"))</f>
        <v>0</v>
      </c>
      <c r="AU114" s="15">
        <f>SUM(COUNTIFS('Data entry'!$R$6:$R$200,'Summary Data'!$A114,'Data entry'!$B$6:$B$200,{"Confirmed";"Probable"},'Data entry'!$AQ$6:$AQ$200,'Data Validation'!$V$5, 'Data entry'!$AP$6:$AP$200,'Data Validation'!$U$2, 'Data entry'!$BD$6:$BD$200,"&lt;&gt;*Negative*"))</f>
        <v>0</v>
      </c>
      <c r="AV114" s="15">
        <f>SUM(COUNTIFS('Data entry'!$R$6:$R$200,'Summary Data'!$A114,'Data entry'!$B$6:$B$200,{"Confirmed";"Probable"},'Data entry'!$AQ$6:$AQ$200,'Data Validation'!$V$5, 'Data entry'!$AP$6:$AP$200,'Data Validation'!$U$3, 'Data entry'!$BD$6:$BD$200,"&lt;&gt;*Negative*"))</f>
        <v>0</v>
      </c>
      <c r="AW114" s="15">
        <f>SUM(COUNTIFS('Data entry'!$R$6:$R$200,'Summary Data'!$A114,'Data entry'!$B$6:$B$200,{"Confirmed";"Probable"},'Data entry'!$AQ$6:$AQ$200,'Data Validation'!$V$5, 'Data entry'!$AP$6:$AP$200,'Data Validation'!$U$4, 'Data entry'!$BD$6:$BD$200,"&lt;&gt;*Negative*"))</f>
        <v>0</v>
      </c>
      <c r="AX114" s="15">
        <f>SUM(COUNTIFS('Data entry'!$R$6:$R$200,'Summary Data'!$A114,'Data entry'!$B$6:$B$200,{"Confirmed";"Probable"},'Data entry'!$AQ$6:$AQ$200,'Data Validation'!$V$5, 'Data entry'!$AP$6:$AP$200,'Data Validation'!$U$5, 'Data entry'!$BD$6:$BD$200,"&lt;&gt;*Negative*"))</f>
        <v>0</v>
      </c>
      <c r="AY114" s="15">
        <f>SUM(COUNTIFS('Data entry'!$R$6:$R$200,'Summary Data'!$A114,'Data entry'!$B$6:$B$200,{"Confirmed";"Probable"},'Data entry'!$AQ$6:$AQ$200,'Data Validation'!$V$5, 'Data entry'!$AP$6:$AP$200,'Data Validation'!$U$6, 'Data entry'!$BD$6:$BD$200,"&lt;&gt;*Negative*"))</f>
        <v>0</v>
      </c>
      <c r="AZ114" s="15">
        <f>SUM(COUNTIFS('Data entry'!$R$6:$R$200,'Summary Data'!$A114,'Data entry'!$B$6:$B$200,{"Confirmed";"Probable"},'Data entry'!$AQ$6:$AQ$200,'Data Validation'!$V$6, 'Data entry'!$AP$6:$AP$200,'Data Validation'!$U$2, 'Data entry'!$BD$6:$BD$200,"&lt;&gt;*Negative*"))</f>
        <v>0</v>
      </c>
      <c r="BA114" s="15">
        <f>SUM(COUNTIFS('Data entry'!$R$6:$R$200,'Summary Data'!$A114,'Data entry'!$B$6:$B$200,{"Confirmed";"Probable"},'Data entry'!$AQ$6:$AQ$200,'Data Validation'!$V$6, 'Data entry'!$AP$6:$AP$200,'Data Validation'!$U$3, 'Data entry'!$BD$6:$BD$200,"&lt;&gt;*Negative*"))</f>
        <v>0</v>
      </c>
      <c r="BB114" s="15">
        <f>SUM(COUNTIFS('Data entry'!$R$6:$R$200,'Summary Data'!$A114,'Data entry'!$B$6:$B$200,{"Confirmed";"Probable"},'Data entry'!$AQ$6:$AQ$200,'Data Validation'!$V$6, 'Data entry'!$AP$6:$AP$200,'Data Validation'!$U$4, 'Data entry'!$BD$6:$BD$200,"&lt;&gt;*Negative*"))</f>
        <v>0</v>
      </c>
      <c r="BC114" s="15">
        <f>SUM(COUNTIFS('Data entry'!$R$6:$R$200,'Summary Data'!$A114,'Data entry'!$B$6:$B$200,{"Confirmed";"Probable"},'Data entry'!$AQ$6:$AQ$200,'Data Validation'!$V$6, 'Data entry'!$AP$6:$AP$200,'Data Validation'!$U$5, 'Data entry'!$BD$6:$BD$200,"&lt;&gt;*Negative*"))</f>
        <v>0</v>
      </c>
      <c r="BD114" s="15">
        <f>SUM(COUNTIFS('Data entry'!$R$6:$R$200,'Summary Data'!$A114,'Data entry'!$B$6:$B$200,{"Confirmed";"Probable"},'Data entry'!$AQ$6:$AQ$200,'Data Validation'!$V$6, 'Data entry'!$AP$6:$AP$200,'Data Validation'!$U$6, 'Data entry'!$BD$6:$BD$200,"&lt;&gt;*Negative*"))</f>
        <v>0</v>
      </c>
      <c r="BE114" s="15">
        <f>SUM(COUNTIFS('Data entry'!$R$6:$R$200,'Summary Data'!$A114,'Data entry'!$B$6:$B$200,{"Confirmed";"Probable"},'Data entry'!$AQ$6:$AQ$200,'Data Validation'!$V$7, 'Data entry'!$AP$6:$AP$200,'Data Validation'!$U$2, 'Data entry'!$BD$6:$BD$200,"&lt;&gt;*Negative*"))</f>
        <v>0</v>
      </c>
      <c r="BF114" s="15">
        <f>SUM(COUNTIFS('Data entry'!$R$6:$R$200,'Summary Data'!$A114,'Data entry'!$B$6:$B$200,{"Confirmed";"Probable"},'Data entry'!$AQ$6:$AQ$200,'Data Validation'!$V$7, 'Data entry'!$AP$6:$AP$200,'Data Validation'!$U$3, 'Data entry'!$BD$6:$BD$200,"&lt;&gt;*Negative*"))</f>
        <v>0</v>
      </c>
      <c r="BG114" s="15">
        <f>SUM(COUNTIFS('Data entry'!$R$6:$R$200,'Summary Data'!$A114,'Data entry'!$B$6:$B$200,{"Confirmed";"Probable"},'Data entry'!$AQ$6:$AQ$200,'Data Validation'!$V$7, 'Data entry'!$AP$6:$AP$200,'Data Validation'!$U$4, 'Data entry'!$BD$6:$BD$200,"&lt;&gt;*Negative*"))</f>
        <v>0</v>
      </c>
      <c r="BH114" s="15">
        <f>SUM(COUNTIFS('Data entry'!$R$6:$R$200,'Summary Data'!$A114,'Data entry'!$B$6:$B$200,{"Confirmed";"Probable"},'Data entry'!$AQ$6:$AQ$200,'Data Validation'!$V$7, 'Data entry'!$AP$6:$AP$200,'Data Validation'!$U$5, 'Data entry'!$BD$6:$BD$200,"&lt;&gt;*Negative*"))</f>
        <v>0</v>
      </c>
      <c r="BI114" s="15">
        <f>SUM(COUNTIFS('Data entry'!$R$6:$R$200,'Summary Data'!$A114,'Data entry'!$B$6:$B$200,{"Confirmed";"Probable"},'Data entry'!$AQ$6:$AQ$200,'Data Validation'!$V$7, 'Data entry'!$AP$6:$AP$200,'Data Validation'!$U$6, 'Data entry'!$BD$6:$BD$200,"&lt;&gt;*Negative*"))</f>
        <v>0</v>
      </c>
      <c r="BJ114" s="15">
        <f>SUM(COUNTIFS('Data entry'!$R$6:$R$200,'Summary Data'!$A114,'Data entry'!$B$6:$B$200,{"Confirmed";"Probable"},'Data entry'!$AQ$6:$AQ$200,'Data Validation'!$V$8, 'Data entry'!$AP$6:$AP$200,'Data Validation'!$U$2, 'Data entry'!$BD$6:$BD$200,"&lt;&gt;*Negative*"))</f>
        <v>0</v>
      </c>
      <c r="BK114" s="15">
        <f>SUM(COUNTIFS('Data entry'!$R$6:$R$200,'Summary Data'!$A114,'Data entry'!$B$6:$B$200,{"Confirmed";"Probable"},'Data entry'!$AQ$6:$AQ$200,'Data Validation'!$V$8, 'Data entry'!$AP$6:$AP$200,'Data Validation'!$U$3, 'Data entry'!$BD$6:$BD$200,"&lt;&gt;*Negative*"))</f>
        <v>0</v>
      </c>
      <c r="BL114" s="15">
        <f>SUM(COUNTIFS('Data entry'!$R$6:$R$200,'Summary Data'!$A114,'Data entry'!$B$6:$B$200,{"Confirmed";"Probable"},'Data entry'!$AQ$6:$AQ$200,'Data Validation'!$V$8, 'Data entry'!$AP$6:$AP$200,'Data Validation'!$U$4, 'Data entry'!$BD$6:$BD$200,"&lt;&gt;*Negative*"))</f>
        <v>0</v>
      </c>
      <c r="BM114" s="15">
        <f>SUM(COUNTIFS('Data entry'!$R$6:$R$200,'Summary Data'!$A114,'Data entry'!$B$6:$B$200,{"Confirmed";"Probable"},'Data entry'!$AQ$6:$AQ$200,'Data Validation'!$V$8, 'Data entry'!$AP$6:$AP$200,'Data Validation'!$U$5, 'Data entry'!$BD$6:$BD$200,"&lt;&gt;*Negative*"))</f>
        <v>0</v>
      </c>
      <c r="BN114" s="15">
        <f>SUM(COUNTIFS('Data entry'!$R$6:$R$200,'Summary Data'!$A114,'Data entry'!$B$6:$B$200,{"Confirmed";"Probable"},'Data entry'!$AQ$6:$AQ$200,'Data Validation'!$V$8, 'Data entry'!$AP$6:$AP$200,'Data Validation'!$U$6, 'Data entry'!$BD$6:$BD$200,"&lt;&gt;*Negative*"))</f>
        <v>0</v>
      </c>
      <c r="BO114" s="15">
        <f>SUM(COUNTIFS('Data entry'!$R$6:$R$200,'Summary Data'!$A114,'Data entry'!$B$6:$B$200,{"Confirmed";"Probable"},'Data entry'!$AQ$6:$AQ$200,'Data Validation'!$V$9, 'Data entry'!$AP$6:$AP$200,'Data Validation'!$U$2, 'Data entry'!$BD$6:$BD$200,"&lt;&gt;*Negative*"))</f>
        <v>0</v>
      </c>
      <c r="BP114" s="15">
        <f>SUM(COUNTIFS('Data entry'!$R$6:$R$200,'Summary Data'!$A114,'Data entry'!$B$6:$B$200,{"Confirmed";"Probable"},'Data entry'!$AQ$6:$AQ$200,'Data Validation'!$V$9, 'Data entry'!$AP$6:$AP$200,'Data Validation'!$U$3, 'Data entry'!$BD$6:$BD$200,"&lt;&gt;*Negative*"))</f>
        <v>0</v>
      </c>
      <c r="BQ114" s="15">
        <f>SUM(COUNTIFS('Data entry'!$R$6:$R$200,'Summary Data'!$A114,'Data entry'!$B$6:$B$200,{"Confirmed";"Probable"},'Data entry'!$AQ$6:$AQ$200,'Data Validation'!$V$9, 'Data entry'!$AP$6:$AP$200,'Data Validation'!$U$4, 'Data entry'!$BD$6:$BD$200,"&lt;&gt;*Negative*"))</f>
        <v>0</v>
      </c>
      <c r="BR114" s="15">
        <f>SUM(COUNTIFS('Data entry'!$R$6:$R$200,'Summary Data'!$A114,'Data entry'!$B$6:$B$200,{"Confirmed";"Probable"},'Data entry'!$AQ$6:$AQ$200,'Data Validation'!$V$9, 'Data entry'!$AP$6:$AP$200,'Data Validation'!$U$5, 'Data entry'!$BD$6:$BD$200,"&lt;&gt;*Negative*"))</f>
        <v>0</v>
      </c>
      <c r="BS114" s="15">
        <f>SUM(COUNTIFS('Data entry'!$R$6:$R$200,'Summary Data'!$A114,'Data entry'!$B$6:$B$200,{"Confirmed";"Probable"},'Data entry'!$AQ$6:$AQ$200,'Data Validation'!$V$9, 'Data entry'!$AP$6:$AP$200,'Data Validation'!$U$6, 'Data entry'!$BD$6:$BD$200,"&lt;&gt;*Negative*"))</f>
        <v>0</v>
      </c>
      <c r="BT114" s="15">
        <f>SUM(COUNTIFS('Data entry'!$R$6:$R$200,'Summary Data'!$A114,'Data entry'!$B$6:$B$200,{"Confirmed";"Probable"},'Data entry'!$AQ$6:$AQ$200,'Data Validation'!$V$10, 'Data entry'!$AP$6:$AP$200,'Data Validation'!$U$2, 'Data entry'!$BD$6:$BD$200,"&lt;&gt;*Negative*"))</f>
        <v>0</v>
      </c>
      <c r="BU114" s="15">
        <f>SUM(COUNTIFS('Data entry'!$R$6:$R$200,'Summary Data'!$A114,'Data entry'!$B$6:$B$200,{"Confirmed";"Probable"},'Data entry'!$AQ$6:$AQ$200,'Data Validation'!$V$10, 'Data entry'!$AP$6:$AP$200,'Data Validation'!$U$3, 'Data entry'!$BD$6:$BD$200,"&lt;&gt;*Negative*"))</f>
        <v>0</v>
      </c>
      <c r="BV114" s="15">
        <f>SUM(COUNTIFS('Data entry'!$R$6:$R$200,'Summary Data'!$A114,'Data entry'!$B$6:$B$200,{"Confirmed";"Probable"},'Data entry'!$AQ$6:$AQ$200,'Data Validation'!$V$10, 'Data entry'!$AP$6:$AP$200,'Data Validation'!$U$4, 'Data entry'!$BD$6:$BD$200,"&lt;&gt;*Negative*"))</f>
        <v>0</v>
      </c>
      <c r="BW114" s="15">
        <f>SUM(COUNTIFS('Data entry'!$R$6:$R$200,'Summary Data'!$A114,'Data entry'!$B$6:$B$200,{"Confirmed";"Probable"},'Data entry'!$AQ$6:$AQ$200,'Data Validation'!$V$10, 'Data entry'!$AP$6:$AP$200,'Data Validation'!$U$5, 'Data entry'!$BD$6:$BD$200,"&lt;&gt;*Negative*"))</f>
        <v>0</v>
      </c>
      <c r="BX114" s="15">
        <f>SUM(COUNTIFS('Data entry'!$R$6:$R$200,'Summary Data'!$A114,'Data entry'!$B$6:$B$200,{"Confirmed";"Probable"},'Data entry'!$AQ$6:$AQ$200,'Data Validation'!$V$10, 'Data entry'!$AP$6:$AP$200,'Data Validation'!$U$6, 'Data entry'!$BD$6:$BD$200,"&lt;&gt;*Negative*"))</f>
        <v>0</v>
      </c>
      <c r="BY114" s="15">
        <f>SUM(COUNTIFS('Data entry'!$R$6:$R$200,'Summary Data'!$A114,'Data entry'!$B$6:$B$200,{"Confirmed";"Probable"},'Data entry'!$AQ$6:$AQ$200,'Data Validation'!$V$11, 'Data entry'!$AP$6:$AP$200,'Data Validation'!$U$2, 'Data entry'!$BD$6:$BD$200,"&lt;&gt;*Negative*"))</f>
        <v>0</v>
      </c>
      <c r="BZ114" s="15">
        <f>SUM(COUNTIFS('Data entry'!$R$6:$R$200,'Summary Data'!$A114,'Data entry'!$B$6:$B$200,{"Confirmed";"Probable"},'Data entry'!$AQ$6:$AQ$200,'Data Validation'!$V$11, 'Data entry'!$AP$6:$AP$200,'Data Validation'!$U$3, 'Data entry'!$BD$6:$BD$200,"&lt;&gt;*Negative*"))</f>
        <v>0</v>
      </c>
      <c r="CA114" s="15">
        <f>SUM(COUNTIFS('Data entry'!$R$6:$R$200,'Summary Data'!$A114,'Data entry'!$B$6:$B$200,{"Confirmed";"Probable"},'Data entry'!$AQ$6:$AQ$200,'Data Validation'!$V$11, 'Data entry'!$AP$6:$AP$200,'Data Validation'!$U$4, 'Data entry'!$BD$6:$BD$200,"&lt;&gt;*Negative*"))</f>
        <v>0</v>
      </c>
      <c r="CB114" s="15">
        <f>SUM(COUNTIFS('Data entry'!$R$6:$R$200,'Summary Data'!$A114,'Data entry'!$B$6:$B$200,{"Confirmed";"Probable"},'Data entry'!$AQ$6:$AQ$200,'Data Validation'!$V$11, 'Data entry'!$AP$6:$AP$200,'Data Validation'!$U$5, 'Data entry'!$BD$6:$BD$200,"&lt;&gt;*Negative*"))</f>
        <v>0</v>
      </c>
      <c r="CC114" s="15">
        <f>SUM(COUNTIFS('Data entry'!$R$6:$R$200,'Summary Data'!$A114,'Data entry'!$B$6:$B$200,{"Confirmed";"Probable"},'Data entry'!$AQ$6:$AQ$200,'Data Validation'!$V$11, 'Data entry'!$AP$6:$AP$200,'Data Validation'!$U$6, 'Data entry'!$BD$6:$BD$200,"&lt;&gt;*Negative*"))</f>
        <v>0</v>
      </c>
    </row>
    <row r="115" spans="1:81" x14ac:dyDescent="0.25">
      <c r="A115" s="12">
        <f t="shared" si="9"/>
        <v>103</v>
      </c>
      <c r="B115" s="13">
        <f t="shared" si="6"/>
        <v>0</v>
      </c>
      <c r="C115" s="13">
        <f>COUNTIFS('Data entry'!$R$6:$R$200,$A115,'Data entry'!$B$6:$B$200,"Confirmed",'Data entry'!$BD$6:$BD$200,"&lt;&gt;*Negative*")</f>
        <v>0</v>
      </c>
      <c r="D115" s="13">
        <f>COUNTIFS('Data entry'!$R$6:$R$200,$A115,'Data entry'!$B$6:$B$200,"Probable",'Data entry'!$BD$6:$BD$200,"&lt;&gt;*Negative*")</f>
        <v>0</v>
      </c>
      <c r="E115" s="13">
        <f>COUNTIFS('Data entry'!$R$6:$R$200,$A115,'Data entry'!$B$6:$B$200,"DNM")</f>
        <v>0</v>
      </c>
      <c r="F115" s="13">
        <f>SUM(COUNTIFS('Data entry'!$R$6:$R$200,'Summary Data'!$A115,'Data entry'!$B$6:$B$200,{"Confirmed";"Probable"},'Data entry'!$AO$6:$AO$200,$F$10, 'Data entry'!$BD$6:$BD$200,"&lt;&gt;*Negative*"))</f>
        <v>0</v>
      </c>
      <c r="G115" s="13">
        <f>SUM(COUNTIFS('Data entry'!$R$6:$R$200,'Summary Data'!$A115,'Data entry'!$B$6:$B$200,{"Confirmed";"Probable"},'Data entry'!$AO$6:$AO$200,$G$10, 'Data entry'!$BD$6:$BD$200,"&lt;&gt;*Negative*"))</f>
        <v>0</v>
      </c>
      <c r="H115" s="13">
        <f>SUM(COUNTIFS('Data entry'!$R$6:$R$200,'Summary Data'!$A115,'Data entry'!$B$6:$B$200,{"Confirmed";"Probable"},'Data entry'!$AO$6:$AO$200,$H$10, 'Data entry'!$BD$6:$BD$200,"&lt;&gt;*Negative*"))</f>
        <v>0</v>
      </c>
      <c r="I115" s="13">
        <f>SUM(COUNTIFS('Data entry'!$R$6:$R$200,'Summary Data'!$A115,'Data entry'!$B$6:$B$200,{"Confirmed";"Probable"},'Data entry'!$AO$6:$AO$200,$I$10, 'Data entry'!$BD$6:$BD$200,"&lt;&gt;*Negative*"))</f>
        <v>0</v>
      </c>
      <c r="J115" s="13">
        <f>SUM(COUNTIFS('Data entry'!$R$6:$R$200,'Summary Data'!$A115,'Data entry'!$B$6:$B$200,{"Confirmed";"Probable"},'Data entry'!$AO$6:$AO$200,$J$10, 'Data entry'!$BD$6:$BD$200,"&lt;&gt;*Negative*"))</f>
        <v>0</v>
      </c>
      <c r="K115" s="13">
        <f>SUM(COUNTIFS('Data entry'!$R$6:$R$200,'Summary Data'!$A115,'Data entry'!$B$6:$B$200,{"Confirmed";"Probable"},'Data entry'!$AO$6:$AO$200,$K$10, 'Data entry'!$BD$6:$BD$200,"&lt;&gt;*Negative*"))</f>
        <v>0</v>
      </c>
      <c r="L115" s="13">
        <f>SUM(COUNTIFS('Data entry'!$R$6:$R$200,'Summary Data'!$A115,'Data entry'!$B$6:$B$200,{"Confirmed";"Probable"},'Data entry'!$AO$6:$AO$200,$L$10, 'Data entry'!$BD$6:$BD$200,"&lt;&gt;*Negative*"))</f>
        <v>0</v>
      </c>
      <c r="M115" s="13">
        <f>SUM(COUNTIFS('Data entry'!$R$6:$R$200,'Summary Data'!$A115,'Data entry'!$B$6:$B$200,{"Confirmed";"Probable"},'Data entry'!$AO$6:$AO$200,$M$10, 'Data entry'!$BD$6:$BD$200,"&lt;&gt;*Negative*"))</f>
        <v>0</v>
      </c>
      <c r="N115" s="13">
        <f>SUM(COUNTIFS('Data entry'!$R$6:$R$200,'Summary Data'!$A115,'Data entry'!$B$6:$B$200,{"Confirmed";"Probable"},'Data entry'!$AO$6:$AO$200,$N$10, 'Data entry'!$BD$6:$BD$200,"&lt;&gt;*Negative*"))</f>
        <v>0</v>
      </c>
      <c r="O115" s="15">
        <f t="shared" si="7"/>
        <v>0</v>
      </c>
      <c r="P115" s="15">
        <f t="shared" si="8"/>
        <v>0</v>
      </c>
      <c r="Q115" s="15">
        <f>SUM(COUNTIFS('Data entry'!$R$6:$R$200,'Summary Data'!$A115,'Data entry'!$B$6:$B$200,{"Confirmed";"Probable"},'Data entry'!$AP$6:$AP$200,'Data Validation'!$U$2, 'Data entry'!$BD$6:$BD$200,"&lt;&gt;*Negative*"))</f>
        <v>0</v>
      </c>
      <c r="R115" s="15">
        <f>SUM(COUNTIFS('Data entry'!$R$6:$R$200,'Summary Data'!$A115,'Data entry'!$B$6:$B$200,{"Confirmed";"Probable"},'Data entry'!$AP$6:$AP$200,'Data Validation'!$U$3, 'Data entry'!$BD$6:$BD$200,"&lt;&gt;*Negative*"))</f>
        <v>0</v>
      </c>
      <c r="S115" s="15">
        <f>SUM(COUNTIFS('Data entry'!$R$6:$R$200,'Summary Data'!$A115,'Data entry'!$B$6:$B$200,{"Confirmed";"Probable"},'Data entry'!$AP$6:$AP$200,'Data Validation'!$U$4, 'Data entry'!$BD$6:$BD$200,"&lt;&gt;*Negative*"))</f>
        <v>0</v>
      </c>
      <c r="T115" s="15">
        <f>SUM(COUNTIFS('Data entry'!$R$6:$R$200,'Summary Data'!$A115,'Data entry'!$B$6:$B$200,{"Confirmed";"Probable"},'Data entry'!$AP$6:$AP$200,'Data Validation'!$U$5, 'Data entry'!$BD$6:$BD$200,"&lt;&gt;*Negative*"))</f>
        <v>0</v>
      </c>
      <c r="U115" s="15">
        <f>SUM(COUNTIFS('Data entry'!$R$6:$R$200,'Summary Data'!$A115,'Data entry'!$B$6:$B$200,{"Confirmed";"Probable"},'Data entry'!$AP$6:$AP$200,'Data Validation'!$U$6, 'Data entry'!$BD$6:$BD$200,"&lt;&gt;*Negative*"))</f>
        <v>0</v>
      </c>
      <c r="V115" s="15">
        <f>SUM(COUNTIFS('Data entry'!$R$6:$R$200,'Summary Data'!$A115,'Data entry'!$B$6:$B$200,{"Confirmed";"Probable"},'Data entry'!$AQ$6:$AQ$200,'Data Validation'!$V$2, 'Data entry'!$BD$6:$BD$200,"&lt;&gt;*Negative*"))</f>
        <v>0</v>
      </c>
      <c r="W115" s="15">
        <f>SUM(COUNTIFS('Data entry'!$R$6:$R$200,'Summary Data'!$A115,'Data entry'!$B$6:$B$200,{"Confirmed";"Probable"},'Data entry'!$AQ$6:$AQ$200,'Data Validation'!$V$3, 'Data entry'!$BD$6:$BD$200,"&lt;&gt;*Negative*"))</f>
        <v>0</v>
      </c>
      <c r="X115" s="15">
        <f>SUM(COUNTIFS('Data entry'!$R$6:$R$200,'Summary Data'!$A115,'Data entry'!$B$6:$B$200,{"Confirmed";"Probable"},'Data entry'!$AQ$6:$AQ$200,'Data Validation'!$V$4, 'Data entry'!$BD$6:$BD$200,"&lt;&gt;*Negative*"))</f>
        <v>0</v>
      </c>
      <c r="Y115" s="15">
        <f>SUM(COUNTIFS('Data entry'!$R$6:$R$200,'Summary Data'!$A115,'Data entry'!$B$6:$B$200,{"Confirmed";"Probable"},'Data entry'!$AQ$6:$AQ$200,'Data Validation'!$V$5, 'Data entry'!$BD$6:$BD$200,"&lt;&gt;*Negative*"))</f>
        <v>0</v>
      </c>
      <c r="Z115" s="15">
        <f>SUM(COUNTIFS('Data entry'!$R$6:$R$200,'Summary Data'!$A115,'Data entry'!$B$6:$B$200,{"Confirmed";"Probable"},'Data entry'!$AQ$6:$AQ$200,'Data Validation'!$V$6, 'Data entry'!$BD$6:$BD$200,"&lt;&gt;*Negative*"))</f>
        <v>0</v>
      </c>
      <c r="AA115" s="15">
        <f>SUM(COUNTIFS('Data entry'!$R$6:$R$200,'Summary Data'!$A115,'Data entry'!$B$6:$B$200,{"Confirmed";"Probable"},'Data entry'!$AQ$6:$AQ$200,'Data Validation'!$V$7, 'Data entry'!$BD$6:$BD$200,"&lt;&gt;*Negative*"))</f>
        <v>0</v>
      </c>
      <c r="AB115" s="15">
        <f>SUM(COUNTIFS('Data entry'!$R$6:$R$200,'Summary Data'!$A115,'Data entry'!$B$6:$B$200,{"Confirmed";"Probable"},'Data entry'!$AQ$6:$AQ$200,'Data Validation'!$V$8, 'Data entry'!$BD$6:$BD$200,"&lt;&gt;*Negative*"))</f>
        <v>0</v>
      </c>
      <c r="AC115" s="15">
        <f>SUM(COUNTIFS('Data entry'!$R$6:$R$200,'Summary Data'!$A115,'Data entry'!$B$6:$B$200,{"Confirmed";"Probable"},'Data entry'!$AQ$6:$AQ$200,'Data Validation'!$V$9, 'Data entry'!$BD$6:$BD$200,"&lt;&gt;*Negative*"))</f>
        <v>0</v>
      </c>
      <c r="AD115" s="15">
        <f>SUM(COUNTIFS('Data entry'!$R$6:$R$200,'Summary Data'!$A115,'Data entry'!$B$6:$B$200,{"Confirmed";"Probable"},'Data entry'!$AQ$6:$AQ$200,'Data Validation'!$V$10, 'Data entry'!$BD$6:$BD$200,"&lt;&gt;*Negative*"))</f>
        <v>0</v>
      </c>
      <c r="AE115" s="15">
        <f>SUM(COUNTIFS('Data entry'!$R$6:$R$200,'Summary Data'!$A115,'Data entry'!$B$6:$B$200,{"Confirmed";"Probable"},'Data entry'!$AQ$6:$AQ$200,'Data Validation'!$V$11, 'Data entry'!$BD$6:$BD$200,"&lt;&gt;*Negative*"))</f>
        <v>0</v>
      </c>
      <c r="AF115" s="15">
        <f>SUM(COUNTIFS('Data entry'!$R$6:$R$200,'Summary Data'!$A115,'Data entry'!$B$6:$B$200,{"Confirmed";"Probable"},'Data entry'!$AQ$6:$AQ$200,'Data Validation'!$V$2, 'Data entry'!$AP$6:$AP$200,'Data Validation'!$U$2, 'Data entry'!$BD$6:$BD$200,"&lt;&gt;*Negative*"))</f>
        <v>0</v>
      </c>
      <c r="AG115" s="15">
        <f>SUM(COUNTIFS('Data entry'!$R$6:$R$200,'Summary Data'!$A115,'Data entry'!$B$6:$B$200,{"Confirmed";"Probable"},'Data entry'!$AQ$6:$AQ$200,'Data Validation'!$V$2, 'Data entry'!$AP$6:$AP$200,'Data Validation'!$U$3, 'Data entry'!$BD$6:$BD$200,"&lt;&gt;*Negative*"))</f>
        <v>0</v>
      </c>
      <c r="AH115" s="15">
        <f>SUM(COUNTIFS('Data entry'!$R$6:$R$200,'Summary Data'!$A115,'Data entry'!$B$6:$B$200,{"Confirmed";"Probable"},'Data entry'!$AQ$6:$AQ$200,'Data Validation'!$V$2, 'Data entry'!$AP$6:$AP$200,'Data Validation'!$U$4, 'Data entry'!$BD$6:$BD$200,"&lt;&gt;*Negative*"))</f>
        <v>0</v>
      </c>
      <c r="AI115" s="15">
        <f>SUM(COUNTIFS('Data entry'!$R$6:$R$200,'Summary Data'!$A115,'Data entry'!$B$6:$B$200,{"Confirmed";"Probable"},'Data entry'!$AQ$6:$AQ$200,'Data Validation'!$V$2, 'Data entry'!$AP$6:$AP$200,'Data Validation'!$U$5, 'Data entry'!$BD$6:$BD$200,"&lt;&gt;*Negative*"))</f>
        <v>0</v>
      </c>
      <c r="AJ115" s="15">
        <f>SUM(COUNTIFS('Data entry'!$R$6:$R$200,'Summary Data'!$A115,'Data entry'!$B$6:$B$200,{"Confirmed";"Probable"},'Data entry'!$AQ$6:$AQ$200,'Data Validation'!$V$2, 'Data entry'!$AP$6:$AP$200,'Data Validation'!$U$6, 'Data entry'!$BD$6:$BD$200,"&lt;&gt;*Negative*"))</f>
        <v>0</v>
      </c>
      <c r="AK115" s="15">
        <f>SUM(COUNTIFS('Data entry'!$R$6:$R$200,'Summary Data'!$A115,'Data entry'!$B$6:$B$200,{"Confirmed";"Probable"},'Data entry'!$AQ$6:$AQ$200,'Data Validation'!$V$3, 'Data entry'!$AP$6:$AP$200,'Data Validation'!$U$2, 'Data entry'!$BD$6:$BD$200,"&lt;&gt;*Negative*"))</f>
        <v>0</v>
      </c>
      <c r="AL115" s="15">
        <f>SUM(COUNTIFS('Data entry'!$R$6:$R$200,'Summary Data'!$A115,'Data entry'!$B$6:$B$200,{"Confirmed";"Probable"},'Data entry'!$AQ$6:$AQ$200,'Data Validation'!$V$3, 'Data entry'!$AP$6:$AP$200,'Data Validation'!$U$3, 'Data entry'!$BD$6:$BD$200,"&lt;&gt;*Negative*"))</f>
        <v>0</v>
      </c>
      <c r="AM115" s="15">
        <f>SUM(COUNTIFS('Data entry'!$R$6:$R$200,'Summary Data'!$A115,'Data entry'!$B$6:$B$200,{"Confirmed";"Probable"},'Data entry'!$AQ$6:$AQ$200,'Data Validation'!$V$3, 'Data entry'!$AP$6:$AP$200,'Data Validation'!$U$4, 'Data entry'!$BD$6:$BD$200,"&lt;&gt;*Negative*"))</f>
        <v>0</v>
      </c>
      <c r="AN115" s="15">
        <f>SUM(COUNTIFS('Data entry'!$R$6:$R$200,'Summary Data'!$A115,'Data entry'!$B$6:$B$200,{"Confirmed";"Probable"},'Data entry'!$AQ$6:$AQ$200,'Data Validation'!$V$3, 'Data entry'!$AP$6:$AP$200,'Data Validation'!$U$5, 'Data entry'!$BD$6:$BD$200,"&lt;&gt;*Negative*"))</f>
        <v>0</v>
      </c>
      <c r="AO115" s="15">
        <f>SUM(COUNTIFS('Data entry'!$R$6:$R$200,'Summary Data'!$A115,'Data entry'!$B$6:$B$200,{"Confirmed";"Probable"},'Data entry'!$AQ$6:$AQ$200,'Data Validation'!$V$3, 'Data entry'!$AP$6:$AP$200,'Data Validation'!$U$6, 'Data entry'!$BD$6:$BD$200,"&lt;&gt;*Negative*"))</f>
        <v>0</v>
      </c>
      <c r="AP115" s="15">
        <f>SUM(COUNTIFS('Data entry'!$R$6:$R$200,'Summary Data'!$A115,'Data entry'!$B$6:$B$200,{"Confirmed";"Probable"},'Data entry'!$AQ$6:$AQ$200,'Data Validation'!$V$4, 'Data entry'!$AP$6:$AP$200,'Data Validation'!$U$2, 'Data entry'!$BD$6:$BD$200,"&lt;&gt;*Negative*"))</f>
        <v>0</v>
      </c>
      <c r="AQ115" s="15">
        <f>SUM(COUNTIFS('Data entry'!$R$6:$R$200,'Summary Data'!$A115,'Data entry'!$B$6:$B$200,{"Confirmed";"Probable"},'Data entry'!$AQ$6:$AQ$200,'Data Validation'!$V$4, 'Data entry'!$AP$6:$AP$200,'Data Validation'!$U$3, 'Data entry'!$BD$6:$BD$200,"&lt;&gt;*Negative*"))</f>
        <v>0</v>
      </c>
      <c r="AR115" s="15">
        <f>SUM(COUNTIFS('Data entry'!$R$6:$R$200,'Summary Data'!$A115,'Data entry'!$B$6:$B$200,{"Confirmed";"Probable"},'Data entry'!$AQ$6:$AQ$200,'Data Validation'!$V$4, 'Data entry'!$AP$6:$AP$200,'Data Validation'!$U$4, 'Data entry'!$BD$6:$BD$200,"&lt;&gt;*Negative*"))</f>
        <v>0</v>
      </c>
      <c r="AS115" s="15">
        <f>SUM(COUNTIFS('Data entry'!$R$6:$R$200,'Summary Data'!$A115,'Data entry'!$B$6:$B$200,{"Confirmed";"Probable"},'Data entry'!$AQ$6:$AQ$200,'Data Validation'!$V$4, 'Data entry'!$AP$6:$AP$200,'Data Validation'!$U$5, 'Data entry'!$BD$6:$BD$200,"&lt;&gt;*Negative*"))</f>
        <v>0</v>
      </c>
      <c r="AT115" s="15">
        <f>SUM(COUNTIFS('Data entry'!$R$6:$R$200,'Summary Data'!$A115,'Data entry'!$B$6:$B$200,{"Confirmed";"Probable"},'Data entry'!$AQ$6:$AQ$200,'Data Validation'!$V$4, 'Data entry'!$AP$6:$AP$200,'Data Validation'!$U$6, 'Data entry'!$BD$6:$BD$200,"&lt;&gt;*Negative*"))</f>
        <v>0</v>
      </c>
      <c r="AU115" s="15">
        <f>SUM(COUNTIFS('Data entry'!$R$6:$R$200,'Summary Data'!$A115,'Data entry'!$B$6:$B$200,{"Confirmed";"Probable"},'Data entry'!$AQ$6:$AQ$200,'Data Validation'!$V$5, 'Data entry'!$AP$6:$AP$200,'Data Validation'!$U$2, 'Data entry'!$BD$6:$BD$200,"&lt;&gt;*Negative*"))</f>
        <v>0</v>
      </c>
      <c r="AV115" s="15">
        <f>SUM(COUNTIFS('Data entry'!$R$6:$R$200,'Summary Data'!$A115,'Data entry'!$B$6:$B$200,{"Confirmed";"Probable"},'Data entry'!$AQ$6:$AQ$200,'Data Validation'!$V$5, 'Data entry'!$AP$6:$AP$200,'Data Validation'!$U$3, 'Data entry'!$BD$6:$BD$200,"&lt;&gt;*Negative*"))</f>
        <v>0</v>
      </c>
      <c r="AW115" s="15">
        <f>SUM(COUNTIFS('Data entry'!$R$6:$R$200,'Summary Data'!$A115,'Data entry'!$B$6:$B$200,{"Confirmed";"Probable"},'Data entry'!$AQ$6:$AQ$200,'Data Validation'!$V$5, 'Data entry'!$AP$6:$AP$200,'Data Validation'!$U$4, 'Data entry'!$BD$6:$BD$200,"&lt;&gt;*Negative*"))</f>
        <v>0</v>
      </c>
      <c r="AX115" s="15">
        <f>SUM(COUNTIFS('Data entry'!$R$6:$R$200,'Summary Data'!$A115,'Data entry'!$B$6:$B$200,{"Confirmed";"Probable"},'Data entry'!$AQ$6:$AQ$200,'Data Validation'!$V$5, 'Data entry'!$AP$6:$AP$200,'Data Validation'!$U$5, 'Data entry'!$BD$6:$BD$200,"&lt;&gt;*Negative*"))</f>
        <v>0</v>
      </c>
      <c r="AY115" s="15">
        <f>SUM(COUNTIFS('Data entry'!$R$6:$R$200,'Summary Data'!$A115,'Data entry'!$B$6:$B$200,{"Confirmed";"Probable"},'Data entry'!$AQ$6:$AQ$200,'Data Validation'!$V$5, 'Data entry'!$AP$6:$AP$200,'Data Validation'!$U$6, 'Data entry'!$BD$6:$BD$200,"&lt;&gt;*Negative*"))</f>
        <v>0</v>
      </c>
      <c r="AZ115" s="15">
        <f>SUM(COUNTIFS('Data entry'!$R$6:$R$200,'Summary Data'!$A115,'Data entry'!$B$6:$B$200,{"Confirmed";"Probable"},'Data entry'!$AQ$6:$AQ$200,'Data Validation'!$V$6, 'Data entry'!$AP$6:$AP$200,'Data Validation'!$U$2, 'Data entry'!$BD$6:$BD$200,"&lt;&gt;*Negative*"))</f>
        <v>0</v>
      </c>
      <c r="BA115" s="15">
        <f>SUM(COUNTIFS('Data entry'!$R$6:$R$200,'Summary Data'!$A115,'Data entry'!$B$6:$B$200,{"Confirmed";"Probable"},'Data entry'!$AQ$6:$AQ$200,'Data Validation'!$V$6, 'Data entry'!$AP$6:$AP$200,'Data Validation'!$U$3, 'Data entry'!$BD$6:$BD$200,"&lt;&gt;*Negative*"))</f>
        <v>0</v>
      </c>
      <c r="BB115" s="15">
        <f>SUM(COUNTIFS('Data entry'!$R$6:$R$200,'Summary Data'!$A115,'Data entry'!$B$6:$B$200,{"Confirmed";"Probable"},'Data entry'!$AQ$6:$AQ$200,'Data Validation'!$V$6, 'Data entry'!$AP$6:$AP$200,'Data Validation'!$U$4, 'Data entry'!$BD$6:$BD$200,"&lt;&gt;*Negative*"))</f>
        <v>0</v>
      </c>
      <c r="BC115" s="15">
        <f>SUM(COUNTIFS('Data entry'!$R$6:$R$200,'Summary Data'!$A115,'Data entry'!$B$6:$B$200,{"Confirmed";"Probable"},'Data entry'!$AQ$6:$AQ$200,'Data Validation'!$V$6, 'Data entry'!$AP$6:$AP$200,'Data Validation'!$U$5, 'Data entry'!$BD$6:$BD$200,"&lt;&gt;*Negative*"))</f>
        <v>0</v>
      </c>
      <c r="BD115" s="15">
        <f>SUM(COUNTIFS('Data entry'!$R$6:$R$200,'Summary Data'!$A115,'Data entry'!$B$6:$B$200,{"Confirmed";"Probable"},'Data entry'!$AQ$6:$AQ$200,'Data Validation'!$V$6, 'Data entry'!$AP$6:$AP$200,'Data Validation'!$U$6, 'Data entry'!$BD$6:$BD$200,"&lt;&gt;*Negative*"))</f>
        <v>0</v>
      </c>
      <c r="BE115" s="15">
        <f>SUM(COUNTIFS('Data entry'!$R$6:$R$200,'Summary Data'!$A115,'Data entry'!$B$6:$B$200,{"Confirmed";"Probable"},'Data entry'!$AQ$6:$AQ$200,'Data Validation'!$V$7, 'Data entry'!$AP$6:$AP$200,'Data Validation'!$U$2, 'Data entry'!$BD$6:$BD$200,"&lt;&gt;*Negative*"))</f>
        <v>0</v>
      </c>
      <c r="BF115" s="15">
        <f>SUM(COUNTIFS('Data entry'!$R$6:$R$200,'Summary Data'!$A115,'Data entry'!$B$6:$B$200,{"Confirmed";"Probable"},'Data entry'!$AQ$6:$AQ$200,'Data Validation'!$V$7, 'Data entry'!$AP$6:$AP$200,'Data Validation'!$U$3, 'Data entry'!$BD$6:$BD$200,"&lt;&gt;*Negative*"))</f>
        <v>0</v>
      </c>
      <c r="BG115" s="15">
        <f>SUM(COUNTIFS('Data entry'!$R$6:$R$200,'Summary Data'!$A115,'Data entry'!$B$6:$B$200,{"Confirmed";"Probable"},'Data entry'!$AQ$6:$AQ$200,'Data Validation'!$V$7, 'Data entry'!$AP$6:$AP$200,'Data Validation'!$U$4, 'Data entry'!$BD$6:$BD$200,"&lt;&gt;*Negative*"))</f>
        <v>0</v>
      </c>
      <c r="BH115" s="15">
        <f>SUM(COUNTIFS('Data entry'!$R$6:$R$200,'Summary Data'!$A115,'Data entry'!$B$6:$B$200,{"Confirmed";"Probable"},'Data entry'!$AQ$6:$AQ$200,'Data Validation'!$V$7, 'Data entry'!$AP$6:$AP$200,'Data Validation'!$U$5, 'Data entry'!$BD$6:$BD$200,"&lt;&gt;*Negative*"))</f>
        <v>0</v>
      </c>
      <c r="BI115" s="15">
        <f>SUM(COUNTIFS('Data entry'!$R$6:$R$200,'Summary Data'!$A115,'Data entry'!$B$6:$B$200,{"Confirmed";"Probable"},'Data entry'!$AQ$6:$AQ$200,'Data Validation'!$V$7, 'Data entry'!$AP$6:$AP$200,'Data Validation'!$U$6, 'Data entry'!$BD$6:$BD$200,"&lt;&gt;*Negative*"))</f>
        <v>0</v>
      </c>
      <c r="BJ115" s="15">
        <f>SUM(COUNTIFS('Data entry'!$R$6:$R$200,'Summary Data'!$A115,'Data entry'!$B$6:$B$200,{"Confirmed";"Probable"},'Data entry'!$AQ$6:$AQ$200,'Data Validation'!$V$8, 'Data entry'!$AP$6:$AP$200,'Data Validation'!$U$2, 'Data entry'!$BD$6:$BD$200,"&lt;&gt;*Negative*"))</f>
        <v>0</v>
      </c>
      <c r="BK115" s="15">
        <f>SUM(COUNTIFS('Data entry'!$R$6:$R$200,'Summary Data'!$A115,'Data entry'!$B$6:$B$200,{"Confirmed";"Probable"},'Data entry'!$AQ$6:$AQ$200,'Data Validation'!$V$8, 'Data entry'!$AP$6:$AP$200,'Data Validation'!$U$3, 'Data entry'!$BD$6:$BD$200,"&lt;&gt;*Negative*"))</f>
        <v>0</v>
      </c>
      <c r="BL115" s="15">
        <f>SUM(COUNTIFS('Data entry'!$R$6:$R$200,'Summary Data'!$A115,'Data entry'!$B$6:$B$200,{"Confirmed";"Probable"},'Data entry'!$AQ$6:$AQ$200,'Data Validation'!$V$8, 'Data entry'!$AP$6:$AP$200,'Data Validation'!$U$4, 'Data entry'!$BD$6:$BD$200,"&lt;&gt;*Negative*"))</f>
        <v>0</v>
      </c>
      <c r="BM115" s="15">
        <f>SUM(COUNTIFS('Data entry'!$R$6:$R$200,'Summary Data'!$A115,'Data entry'!$B$6:$B$200,{"Confirmed";"Probable"},'Data entry'!$AQ$6:$AQ$200,'Data Validation'!$V$8, 'Data entry'!$AP$6:$AP$200,'Data Validation'!$U$5, 'Data entry'!$BD$6:$BD$200,"&lt;&gt;*Negative*"))</f>
        <v>0</v>
      </c>
      <c r="BN115" s="15">
        <f>SUM(COUNTIFS('Data entry'!$R$6:$R$200,'Summary Data'!$A115,'Data entry'!$B$6:$B$200,{"Confirmed";"Probable"},'Data entry'!$AQ$6:$AQ$200,'Data Validation'!$V$8, 'Data entry'!$AP$6:$AP$200,'Data Validation'!$U$6, 'Data entry'!$BD$6:$BD$200,"&lt;&gt;*Negative*"))</f>
        <v>0</v>
      </c>
      <c r="BO115" s="15">
        <f>SUM(COUNTIFS('Data entry'!$R$6:$R$200,'Summary Data'!$A115,'Data entry'!$B$6:$B$200,{"Confirmed";"Probable"},'Data entry'!$AQ$6:$AQ$200,'Data Validation'!$V$9, 'Data entry'!$AP$6:$AP$200,'Data Validation'!$U$2, 'Data entry'!$BD$6:$BD$200,"&lt;&gt;*Negative*"))</f>
        <v>0</v>
      </c>
      <c r="BP115" s="15">
        <f>SUM(COUNTIFS('Data entry'!$R$6:$R$200,'Summary Data'!$A115,'Data entry'!$B$6:$B$200,{"Confirmed";"Probable"},'Data entry'!$AQ$6:$AQ$200,'Data Validation'!$V$9, 'Data entry'!$AP$6:$AP$200,'Data Validation'!$U$3, 'Data entry'!$BD$6:$BD$200,"&lt;&gt;*Negative*"))</f>
        <v>0</v>
      </c>
      <c r="BQ115" s="15">
        <f>SUM(COUNTIFS('Data entry'!$R$6:$R$200,'Summary Data'!$A115,'Data entry'!$B$6:$B$200,{"Confirmed";"Probable"},'Data entry'!$AQ$6:$AQ$200,'Data Validation'!$V$9, 'Data entry'!$AP$6:$AP$200,'Data Validation'!$U$4, 'Data entry'!$BD$6:$BD$200,"&lt;&gt;*Negative*"))</f>
        <v>0</v>
      </c>
      <c r="BR115" s="15">
        <f>SUM(COUNTIFS('Data entry'!$R$6:$R$200,'Summary Data'!$A115,'Data entry'!$B$6:$B$200,{"Confirmed";"Probable"},'Data entry'!$AQ$6:$AQ$200,'Data Validation'!$V$9, 'Data entry'!$AP$6:$AP$200,'Data Validation'!$U$5, 'Data entry'!$BD$6:$BD$200,"&lt;&gt;*Negative*"))</f>
        <v>0</v>
      </c>
      <c r="BS115" s="15">
        <f>SUM(COUNTIFS('Data entry'!$R$6:$R$200,'Summary Data'!$A115,'Data entry'!$B$6:$B$200,{"Confirmed";"Probable"},'Data entry'!$AQ$6:$AQ$200,'Data Validation'!$V$9, 'Data entry'!$AP$6:$AP$200,'Data Validation'!$U$6, 'Data entry'!$BD$6:$BD$200,"&lt;&gt;*Negative*"))</f>
        <v>0</v>
      </c>
      <c r="BT115" s="15">
        <f>SUM(COUNTIFS('Data entry'!$R$6:$R$200,'Summary Data'!$A115,'Data entry'!$B$6:$B$200,{"Confirmed";"Probable"},'Data entry'!$AQ$6:$AQ$200,'Data Validation'!$V$10, 'Data entry'!$AP$6:$AP$200,'Data Validation'!$U$2, 'Data entry'!$BD$6:$BD$200,"&lt;&gt;*Negative*"))</f>
        <v>0</v>
      </c>
      <c r="BU115" s="15">
        <f>SUM(COUNTIFS('Data entry'!$R$6:$R$200,'Summary Data'!$A115,'Data entry'!$B$6:$B$200,{"Confirmed";"Probable"},'Data entry'!$AQ$6:$AQ$200,'Data Validation'!$V$10, 'Data entry'!$AP$6:$AP$200,'Data Validation'!$U$3, 'Data entry'!$BD$6:$BD$200,"&lt;&gt;*Negative*"))</f>
        <v>0</v>
      </c>
      <c r="BV115" s="15">
        <f>SUM(COUNTIFS('Data entry'!$R$6:$R$200,'Summary Data'!$A115,'Data entry'!$B$6:$B$200,{"Confirmed";"Probable"},'Data entry'!$AQ$6:$AQ$200,'Data Validation'!$V$10, 'Data entry'!$AP$6:$AP$200,'Data Validation'!$U$4, 'Data entry'!$BD$6:$BD$200,"&lt;&gt;*Negative*"))</f>
        <v>0</v>
      </c>
      <c r="BW115" s="15">
        <f>SUM(COUNTIFS('Data entry'!$R$6:$R$200,'Summary Data'!$A115,'Data entry'!$B$6:$B$200,{"Confirmed";"Probable"},'Data entry'!$AQ$6:$AQ$200,'Data Validation'!$V$10, 'Data entry'!$AP$6:$AP$200,'Data Validation'!$U$5, 'Data entry'!$BD$6:$BD$200,"&lt;&gt;*Negative*"))</f>
        <v>0</v>
      </c>
      <c r="BX115" s="15">
        <f>SUM(COUNTIFS('Data entry'!$R$6:$R$200,'Summary Data'!$A115,'Data entry'!$B$6:$B$200,{"Confirmed";"Probable"},'Data entry'!$AQ$6:$AQ$200,'Data Validation'!$V$10, 'Data entry'!$AP$6:$AP$200,'Data Validation'!$U$6, 'Data entry'!$BD$6:$BD$200,"&lt;&gt;*Negative*"))</f>
        <v>0</v>
      </c>
      <c r="BY115" s="15">
        <f>SUM(COUNTIFS('Data entry'!$R$6:$R$200,'Summary Data'!$A115,'Data entry'!$B$6:$B$200,{"Confirmed";"Probable"},'Data entry'!$AQ$6:$AQ$200,'Data Validation'!$V$11, 'Data entry'!$AP$6:$AP$200,'Data Validation'!$U$2, 'Data entry'!$BD$6:$BD$200,"&lt;&gt;*Negative*"))</f>
        <v>0</v>
      </c>
      <c r="BZ115" s="15">
        <f>SUM(COUNTIFS('Data entry'!$R$6:$R$200,'Summary Data'!$A115,'Data entry'!$B$6:$B$200,{"Confirmed";"Probable"},'Data entry'!$AQ$6:$AQ$200,'Data Validation'!$V$11, 'Data entry'!$AP$6:$AP$200,'Data Validation'!$U$3, 'Data entry'!$BD$6:$BD$200,"&lt;&gt;*Negative*"))</f>
        <v>0</v>
      </c>
      <c r="CA115" s="15">
        <f>SUM(COUNTIFS('Data entry'!$R$6:$R$200,'Summary Data'!$A115,'Data entry'!$B$6:$B$200,{"Confirmed";"Probable"},'Data entry'!$AQ$6:$AQ$200,'Data Validation'!$V$11, 'Data entry'!$AP$6:$AP$200,'Data Validation'!$U$4, 'Data entry'!$BD$6:$BD$200,"&lt;&gt;*Negative*"))</f>
        <v>0</v>
      </c>
      <c r="CB115" s="15">
        <f>SUM(COUNTIFS('Data entry'!$R$6:$R$200,'Summary Data'!$A115,'Data entry'!$B$6:$B$200,{"Confirmed";"Probable"},'Data entry'!$AQ$6:$AQ$200,'Data Validation'!$V$11, 'Data entry'!$AP$6:$AP$200,'Data Validation'!$U$5, 'Data entry'!$BD$6:$BD$200,"&lt;&gt;*Negative*"))</f>
        <v>0</v>
      </c>
      <c r="CC115" s="15">
        <f>SUM(COUNTIFS('Data entry'!$R$6:$R$200,'Summary Data'!$A115,'Data entry'!$B$6:$B$200,{"Confirmed";"Probable"},'Data entry'!$AQ$6:$AQ$200,'Data Validation'!$V$11, 'Data entry'!$AP$6:$AP$200,'Data Validation'!$U$6, 'Data entry'!$BD$6:$BD$200,"&lt;&gt;*Negative*"))</f>
        <v>0</v>
      </c>
    </row>
    <row r="116" spans="1:81" x14ac:dyDescent="0.25">
      <c r="A116" s="12">
        <f t="shared" si="9"/>
        <v>104</v>
      </c>
      <c r="B116" s="13">
        <f t="shared" si="6"/>
        <v>0</v>
      </c>
      <c r="C116" s="13">
        <f>COUNTIFS('Data entry'!$R$6:$R$200,$A116,'Data entry'!$B$6:$B$200,"Confirmed",'Data entry'!$BD$6:$BD$200,"&lt;&gt;*Negative*")</f>
        <v>0</v>
      </c>
      <c r="D116" s="13">
        <f>COUNTIFS('Data entry'!$R$6:$R$200,$A116,'Data entry'!$B$6:$B$200,"Probable",'Data entry'!$BD$6:$BD$200,"&lt;&gt;*Negative*")</f>
        <v>0</v>
      </c>
      <c r="E116" s="13">
        <f>COUNTIFS('Data entry'!$R$6:$R$200,$A116,'Data entry'!$B$6:$B$200,"DNM")</f>
        <v>0</v>
      </c>
      <c r="F116" s="13">
        <f>SUM(COUNTIFS('Data entry'!$R$6:$R$200,'Summary Data'!$A116,'Data entry'!$B$6:$B$200,{"Confirmed";"Probable"},'Data entry'!$AO$6:$AO$200,$F$10, 'Data entry'!$BD$6:$BD$200,"&lt;&gt;*Negative*"))</f>
        <v>0</v>
      </c>
      <c r="G116" s="13">
        <f>SUM(COUNTIFS('Data entry'!$R$6:$R$200,'Summary Data'!$A116,'Data entry'!$B$6:$B$200,{"Confirmed";"Probable"},'Data entry'!$AO$6:$AO$200,$G$10, 'Data entry'!$BD$6:$BD$200,"&lt;&gt;*Negative*"))</f>
        <v>0</v>
      </c>
      <c r="H116" s="13">
        <f>SUM(COUNTIFS('Data entry'!$R$6:$R$200,'Summary Data'!$A116,'Data entry'!$B$6:$B$200,{"Confirmed";"Probable"},'Data entry'!$AO$6:$AO$200,$H$10, 'Data entry'!$BD$6:$BD$200,"&lt;&gt;*Negative*"))</f>
        <v>0</v>
      </c>
      <c r="I116" s="13">
        <f>SUM(COUNTIFS('Data entry'!$R$6:$R$200,'Summary Data'!$A116,'Data entry'!$B$6:$B$200,{"Confirmed";"Probable"},'Data entry'!$AO$6:$AO$200,$I$10, 'Data entry'!$BD$6:$BD$200,"&lt;&gt;*Negative*"))</f>
        <v>0</v>
      </c>
      <c r="J116" s="13">
        <f>SUM(COUNTIFS('Data entry'!$R$6:$R$200,'Summary Data'!$A116,'Data entry'!$B$6:$B$200,{"Confirmed";"Probable"},'Data entry'!$AO$6:$AO$200,$J$10, 'Data entry'!$BD$6:$BD$200,"&lt;&gt;*Negative*"))</f>
        <v>0</v>
      </c>
      <c r="K116" s="13">
        <f>SUM(COUNTIFS('Data entry'!$R$6:$R$200,'Summary Data'!$A116,'Data entry'!$B$6:$B$200,{"Confirmed";"Probable"},'Data entry'!$AO$6:$AO$200,$K$10, 'Data entry'!$BD$6:$BD$200,"&lt;&gt;*Negative*"))</f>
        <v>0</v>
      </c>
      <c r="L116" s="13">
        <f>SUM(COUNTIFS('Data entry'!$R$6:$R$200,'Summary Data'!$A116,'Data entry'!$B$6:$B$200,{"Confirmed";"Probable"},'Data entry'!$AO$6:$AO$200,$L$10, 'Data entry'!$BD$6:$BD$200,"&lt;&gt;*Negative*"))</f>
        <v>0</v>
      </c>
      <c r="M116" s="13">
        <f>SUM(COUNTIFS('Data entry'!$R$6:$R$200,'Summary Data'!$A116,'Data entry'!$B$6:$B$200,{"Confirmed";"Probable"},'Data entry'!$AO$6:$AO$200,$M$10, 'Data entry'!$BD$6:$BD$200,"&lt;&gt;*Negative*"))</f>
        <v>0</v>
      </c>
      <c r="N116" s="13">
        <f>SUM(COUNTIFS('Data entry'!$R$6:$R$200,'Summary Data'!$A116,'Data entry'!$B$6:$B$200,{"Confirmed";"Probable"},'Data entry'!$AO$6:$AO$200,$N$10, 'Data entry'!$BD$6:$BD$200,"&lt;&gt;*Negative*"))</f>
        <v>0</v>
      </c>
      <c r="O116" s="15">
        <f t="shared" si="7"/>
        <v>0</v>
      </c>
      <c r="P116" s="15">
        <f t="shared" si="8"/>
        <v>0</v>
      </c>
      <c r="Q116" s="15">
        <f>SUM(COUNTIFS('Data entry'!$R$6:$R$200,'Summary Data'!$A116,'Data entry'!$B$6:$B$200,{"Confirmed";"Probable"},'Data entry'!$AP$6:$AP$200,'Data Validation'!$U$2, 'Data entry'!$BD$6:$BD$200,"&lt;&gt;*Negative*"))</f>
        <v>0</v>
      </c>
      <c r="R116" s="15">
        <f>SUM(COUNTIFS('Data entry'!$R$6:$R$200,'Summary Data'!$A116,'Data entry'!$B$6:$B$200,{"Confirmed";"Probable"},'Data entry'!$AP$6:$AP$200,'Data Validation'!$U$3, 'Data entry'!$BD$6:$BD$200,"&lt;&gt;*Negative*"))</f>
        <v>0</v>
      </c>
      <c r="S116" s="15">
        <f>SUM(COUNTIFS('Data entry'!$R$6:$R$200,'Summary Data'!$A116,'Data entry'!$B$6:$B$200,{"Confirmed";"Probable"},'Data entry'!$AP$6:$AP$200,'Data Validation'!$U$4, 'Data entry'!$BD$6:$BD$200,"&lt;&gt;*Negative*"))</f>
        <v>0</v>
      </c>
      <c r="T116" s="15">
        <f>SUM(COUNTIFS('Data entry'!$R$6:$R$200,'Summary Data'!$A116,'Data entry'!$B$6:$B$200,{"Confirmed";"Probable"},'Data entry'!$AP$6:$AP$200,'Data Validation'!$U$5, 'Data entry'!$BD$6:$BD$200,"&lt;&gt;*Negative*"))</f>
        <v>0</v>
      </c>
      <c r="U116" s="15">
        <f>SUM(COUNTIFS('Data entry'!$R$6:$R$200,'Summary Data'!$A116,'Data entry'!$B$6:$B$200,{"Confirmed";"Probable"},'Data entry'!$AP$6:$AP$200,'Data Validation'!$U$6, 'Data entry'!$BD$6:$BD$200,"&lt;&gt;*Negative*"))</f>
        <v>0</v>
      </c>
      <c r="V116" s="15">
        <f>SUM(COUNTIFS('Data entry'!$R$6:$R$200,'Summary Data'!$A116,'Data entry'!$B$6:$B$200,{"Confirmed";"Probable"},'Data entry'!$AQ$6:$AQ$200,'Data Validation'!$V$2, 'Data entry'!$BD$6:$BD$200,"&lt;&gt;*Negative*"))</f>
        <v>0</v>
      </c>
      <c r="W116" s="15">
        <f>SUM(COUNTIFS('Data entry'!$R$6:$R$200,'Summary Data'!$A116,'Data entry'!$B$6:$B$200,{"Confirmed";"Probable"},'Data entry'!$AQ$6:$AQ$200,'Data Validation'!$V$3, 'Data entry'!$BD$6:$BD$200,"&lt;&gt;*Negative*"))</f>
        <v>0</v>
      </c>
      <c r="X116" s="15">
        <f>SUM(COUNTIFS('Data entry'!$R$6:$R$200,'Summary Data'!$A116,'Data entry'!$B$6:$B$200,{"Confirmed";"Probable"},'Data entry'!$AQ$6:$AQ$200,'Data Validation'!$V$4, 'Data entry'!$BD$6:$BD$200,"&lt;&gt;*Negative*"))</f>
        <v>0</v>
      </c>
      <c r="Y116" s="15">
        <f>SUM(COUNTIFS('Data entry'!$R$6:$R$200,'Summary Data'!$A116,'Data entry'!$B$6:$B$200,{"Confirmed";"Probable"},'Data entry'!$AQ$6:$AQ$200,'Data Validation'!$V$5, 'Data entry'!$BD$6:$BD$200,"&lt;&gt;*Negative*"))</f>
        <v>0</v>
      </c>
      <c r="Z116" s="15">
        <f>SUM(COUNTIFS('Data entry'!$R$6:$R$200,'Summary Data'!$A116,'Data entry'!$B$6:$B$200,{"Confirmed";"Probable"},'Data entry'!$AQ$6:$AQ$200,'Data Validation'!$V$6, 'Data entry'!$BD$6:$BD$200,"&lt;&gt;*Negative*"))</f>
        <v>0</v>
      </c>
      <c r="AA116" s="15">
        <f>SUM(COUNTIFS('Data entry'!$R$6:$R$200,'Summary Data'!$A116,'Data entry'!$B$6:$B$200,{"Confirmed";"Probable"},'Data entry'!$AQ$6:$AQ$200,'Data Validation'!$V$7, 'Data entry'!$BD$6:$BD$200,"&lt;&gt;*Negative*"))</f>
        <v>0</v>
      </c>
      <c r="AB116" s="15">
        <f>SUM(COUNTIFS('Data entry'!$R$6:$R$200,'Summary Data'!$A116,'Data entry'!$B$6:$B$200,{"Confirmed";"Probable"},'Data entry'!$AQ$6:$AQ$200,'Data Validation'!$V$8, 'Data entry'!$BD$6:$BD$200,"&lt;&gt;*Negative*"))</f>
        <v>0</v>
      </c>
      <c r="AC116" s="15">
        <f>SUM(COUNTIFS('Data entry'!$R$6:$R$200,'Summary Data'!$A116,'Data entry'!$B$6:$B$200,{"Confirmed";"Probable"},'Data entry'!$AQ$6:$AQ$200,'Data Validation'!$V$9, 'Data entry'!$BD$6:$BD$200,"&lt;&gt;*Negative*"))</f>
        <v>0</v>
      </c>
      <c r="AD116" s="15">
        <f>SUM(COUNTIFS('Data entry'!$R$6:$R$200,'Summary Data'!$A116,'Data entry'!$B$6:$B$200,{"Confirmed";"Probable"},'Data entry'!$AQ$6:$AQ$200,'Data Validation'!$V$10, 'Data entry'!$BD$6:$BD$200,"&lt;&gt;*Negative*"))</f>
        <v>0</v>
      </c>
      <c r="AE116" s="15">
        <f>SUM(COUNTIFS('Data entry'!$R$6:$R$200,'Summary Data'!$A116,'Data entry'!$B$6:$B$200,{"Confirmed";"Probable"},'Data entry'!$AQ$6:$AQ$200,'Data Validation'!$V$11, 'Data entry'!$BD$6:$BD$200,"&lt;&gt;*Negative*"))</f>
        <v>0</v>
      </c>
      <c r="AF116" s="15">
        <f>SUM(COUNTIFS('Data entry'!$R$6:$R$200,'Summary Data'!$A116,'Data entry'!$B$6:$B$200,{"Confirmed";"Probable"},'Data entry'!$AQ$6:$AQ$200,'Data Validation'!$V$2, 'Data entry'!$AP$6:$AP$200,'Data Validation'!$U$2, 'Data entry'!$BD$6:$BD$200,"&lt;&gt;*Negative*"))</f>
        <v>0</v>
      </c>
      <c r="AG116" s="15">
        <f>SUM(COUNTIFS('Data entry'!$R$6:$R$200,'Summary Data'!$A116,'Data entry'!$B$6:$B$200,{"Confirmed";"Probable"},'Data entry'!$AQ$6:$AQ$200,'Data Validation'!$V$2, 'Data entry'!$AP$6:$AP$200,'Data Validation'!$U$3, 'Data entry'!$BD$6:$BD$200,"&lt;&gt;*Negative*"))</f>
        <v>0</v>
      </c>
      <c r="AH116" s="15">
        <f>SUM(COUNTIFS('Data entry'!$R$6:$R$200,'Summary Data'!$A116,'Data entry'!$B$6:$B$200,{"Confirmed";"Probable"},'Data entry'!$AQ$6:$AQ$200,'Data Validation'!$V$2, 'Data entry'!$AP$6:$AP$200,'Data Validation'!$U$4, 'Data entry'!$BD$6:$BD$200,"&lt;&gt;*Negative*"))</f>
        <v>0</v>
      </c>
      <c r="AI116" s="15">
        <f>SUM(COUNTIFS('Data entry'!$R$6:$R$200,'Summary Data'!$A116,'Data entry'!$B$6:$B$200,{"Confirmed";"Probable"},'Data entry'!$AQ$6:$AQ$200,'Data Validation'!$V$2, 'Data entry'!$AP$6:$AP$200,'Data Validation'!$U$5, 'Data entry'!$BD$6:$BD$200,"&lt;&gt;*Negative*"))</f>
        <v>0</v>
      </c>
      <c r="AJ116" s="15">
        <f>SUM(COUNTIFS('Data entry'!$R$6:$R$200,'Summary Data'!$A116,'Data entry'!$B$6:$B$200,{"Confirmed";"Probable"},'Data entry'!$AQ$6:$AQ$200,'Data Validation'!$V$2, 'Data entry'!$AP$6:$AP$200,'Data Validation'!$U$6, 'Data entry'!$BD$6:$BD$200,"&lt;&gt;*Negative*"))</f>
        <v>0</v>
      </c>
      <c r="AK116" s="15">
        <f>SUM(COUNTIFS('Data entry'!$R$6:$R$200,'Summary Data'!$A116,'Data entry'!$B$6:$B$200,{"Confirmed";"Probable"},'Data entry'!$AQ$6:$AQ$200,'Data Validation'!$V$3, 'Data entry'!$AP$6:$AP$200,'Data Validation'!$U$2, 'Data entry'!$BD$6:$BD$200,"&lt;&gt;*Negative*"))</f>
        <v>0</v>
      </c>
      <c r="AL116" s="15">
        <f>SUM(COUNTIFS('Data entry'!$R$6:$R$200,'Summary Data'!$A116,'Data entry'!$B$6:$B$200,{"Confirmed";"Probable"},'Data entry'!$AQ$6:$AQ$200,'Data Validation'!$V$3, 'Data entry'!$AP$6:$AP$200,'Data Validation'!$U$3, 'Data entry'!$BD$6:$BD$200,"&lt;&gt;*Negative*"))</f>
        <v>0</v>
      </c>
      <c r="AM116" s="15">
        <f>SUM(COUNTIFS('Data entry'!$R$6:$R$200,'Summary Data'!$A116,'Data entry'!$B$6:$B$200,{"Confirmed";"Probable"},'Data entry'!$AQ$6:$AQ$200,'Data Validation'!$V$3, 'Data entry'!$AP$6:$AP$200,'Data Validation'!$U$4, 'Data entry'!$BD$6:$BD$200,"&lt;&gt;*Negative*"))</f>
        <v>0</v>
      </c>
      <c r="AN116" s="15">
        <f>SUM(COUNTIFS('Data entry'!$R$6:$R$200,'Summary Data'!$A116,'Data entry'!$B$6:$B$200,{"Confirmed";"Probable"},'Data entry'!$AQ$6:$AQ$200,'Data Validation'!$V$3, 'Data entry'!$AP$6:$AP$200,'Data Validation'!$U$5, 'Data entry'!$BD$6:$BD$200,"&lt;&gt;*Negative*"))</f>
        <v>0</v>
      </c>
      <c r="AO116" s="15">
        <f>SUM(COUNTIFS('Data entry'!$R$6:$R$200,'Summary Data'!$A116,'Data entry'!$B$6:$B$200,{"Confirmed";"Probable"},'Data entry'!$AQ$6:$AQ$200,'Data Validation'!$V$3, 'Data entry'!$AP$6:$AP$200,'Data Validation'!$U$6, 'Data entry'!$BD$6:$BD$200,"&lt;&gt;*Negative*"))</f>
        <v>0</v>
      </c>
      <c r="AP116" s="15">
        <f>SUM(COUNTIFS('Data entry'!$R$6:$R$200,'Summary Data'!$A116,'Data entry'!$B$6:$B$200,{"Confirmed";"Probable"},'Data entry'!$AQ$6:$AQ$200,'Data Validation'!$V$4, 'Data entry'!$AP$6:$AP$200,'Data Validation'!$U$2, 'Data entry'!$BD$6:$BD$200,"&lt;&gt;*Negative*"))</f>
        <v>0</v>
      </c>
      <c r="AQ116" s="15">
        <f>SUM(COUNTIFS('Data entry'!$R$6:$R$200,'Summary Data'!$A116,'Data entry'!$B$6:$B$200,{"Confirmed";"Probable"},'Data entry'!$AQ$6:$AQ$200,'Data Validation'!$V$4, 'Data entry'!$AP$6:$AP$200,'Data Validation'!$U$3, 'Data entry'!$BD$6:$BD$200,"&lt;&gt;*Negative*"))</f>
        <v>0</v>
      </c>
      <c r="AR116" s="15">
        <f>SUM(COUNTIFS('Data entry'!$R$6:$R$200,'Summary Data'!$A116,'Data entry'!$B$6:$B$200,{"Confirmed";"Probable"},'Data entry'!$AQ$6:$AQ$200,'Data Validation'!$V$4, 'Data entry'!$AP$6:$AP$200,'Data Validation'!$U$4, 'Data entry'!$BD$6:$BD$200,"&lt;&gt;*Negative*"))</f>
        <v>0</v>
      </c>
      <c r="AS116" s="15">
        <f>SUM(COUNTIFS('Data entry'!$R$6:$R$200,'Summary Data'!$A116,'Data entry'!$B$6:$B$200,{"Confirmed";"Probable"},'Data entry'!$AQ$6:$AQ$200,'Data Validation'!$V$4, 'Data entry'!$AP$6:$AP$200,'Data Validation'!$U$5, 'Data entry'!$BD$6:$BD$200,"&lt;&gt;*Negative*"))</f>
        <v>0</v>
      </c>
      <c r="AT116" s="15">
        <f>SUM(COUNTIFS('Data entry'!$R$6:$R$200,'Summary Data'!$A116,'Data entry'!$B$6:$B$200,{"Confirmed";"Probable"},'Data entry'!$AQ$6:$AQ$200,'Data Validation'!$V$4, 'Data entry'!$AP$6:$AP$200,'Data Validation'!$U$6, 'Data entry'!$BD$6:$BD$200,"&lt;&gt;*Negative*"))</f>
        <v>0</v>
      </c>
      <c r="AU116" s="15">
        <f>SUM(COUNTIFS('Data entry'!$R$6:$R$200,'Summary Data'!$A116,'Data entry'!$B$6:$B$200,{"Confirmed";"Probable"},'Data entry'!$AQ$6:$AQ$200,'Data Validation'!$V$5, 'Data entry'!$AP$6:$AP$200,'Data Validation'!$U$2, 'Data entry'!$BD$6:$BD$200,"&lt;&gt;*Negative*"))</f>
        <v>0</v>
      </c>
      <c r="AV116" s="15">
        <f>SUM(COUNTIFS('Data entry'!$R$6:$R$200,'Summary Data'!$A116,'Data entry'!$B$6:$B$200,{"Confirmed";"Probable"},'Data entry'!$AQ$6:$AQ$200,'Data Validation'!$V$5, 'Data entry'!$AP$6:$AP$200,'Data Validation'!$U$3, 'Data entry'!$BD$6:$BD$200,"&lt;&gt;*Negative*"))</f>
        <v>0</v>
      </c>
      <c r="AW116" s="15">
        <f>SUM(COUNTIFS('Data entry'!$R$6:$R$200,'Summary Data'!$A116,'Data entry'!$B$6:$B$200,{"Confirmed";"Probable"},'Data entry'!$AQ$6:$AQ$200,'Data Validation'!$V$5, 'Data entry'!$AP$6:$AP$200,'Data Validation'!$U$4, 'Data entry'!$BD$6:$BD$200,"&lt;&gt;*Negative*"))</f>
        <v>0</v>
      </c>
      <c r="AX116" s="15">
        <f>SUM(COUNTIFS('Data entry'!$R$6:$R$200,'Summary Data'!$A116,'Data entry'!$B$6:$B$200,{"Confirmed";"Probable"},'Data entry'!$AQ$6:$AQ$200,'Data Validation'!$V$5, 'Data entry'!$AP$6:$AP$200,'Data Validation'!$U$5, 'Data entry'!$BD$6:$BD$200,"&lt;&gt;*Negative*"))</f>
        <v>0</v>
      </c>
      <c r="AY116" s="15">
        <f>SUM(COUNTIFS('Data entry'!$R$6:$R$200,'Summary Data'!$A116,'Data entry'!$B$6:$B$200,{"Confirmed";"Probable"},'Data entry'!$AQ$6:$AQ$200,'Data Validation'!$V$5, 'Data entry'!$AP$6:$AP$200,'Data Validation'!$U$6, 'Data entry'!$BD$6:$BD$200,"&lt;&gt;*Negative*"))</f>
        <v>0</v>
      </c>
      <c r="AZ116" s="15">
        <f>SUM(COUNTIFS('Data entry'!$R$6:$R$200,'Summary Data'!$A116,'Data entry'!$B$6:$B$200,{"Confirmed";"Probable"},'Data entry'!$AQ$6:$AQ$200,'Data Validation'!$V$6, 'Data entry'!$AP$6:$AP$200,'Data Validation'!$U$2, 'Data entry'!$BD$6:$BD$200,"&lt;&gt;*Negative*"))</f>
        <v>0</v>
      </c>
      <c r="BA116" s="15">
        <f>SUM(COUNTIFS('Data entry'!$R$6:$R$200,'Summary Data'!$A116,'Data entry'!$B$6:$B$200,{"Confirmed";"Probable"},'Data entry'!$AQ$6:$AQ$200,'Data Validation'!$V$6, 'Data entry'!$AP$6:$AP$200,'Data Validation'!$U$3, 'Data entry'!$BD$6:$BD$200,"&lt;&gt;*Negative*"))</f>
        <v>0</v>
      </c>
      <c r="BB116" s="15">
        <f>SUM(COUNTIFS('Data entry'!$R$6:$R$200,'Summary Data'!$A116,'Data entry'!$B$6:$B$200,{"Confirmed";"Probable"},'Data entry'!$AQ$6:$AQ$200,'Data Validation'!$V$6, 'Data entry'!$AP$6:$AP$200,'Data Validation'!$U$4, 'Data entry'!$BD$6:$BD$200,"&lt;&gt;*Negative*"))</f>
        <v>0</v>
      </c>
      <c r="BC116" s="15">
        <f>SUM(COUNTIFS('Data entry'!$R$6:$R$200,'Summary Data'!$A116,'Data entry'!$B$6:$B$200,{"Confirmed";"Probable"},'Data entry'!$AQ$6:$AQ$200,'Data Validation'!$V$6, 'Data entry'!$AP$6:$AP$200,'Data Validation'!$U$5, 'Data entry'!$BD$6:$BD$200,"&lt;&gt;*Negative*"))</f>
        <v>0</v>
      </c>
      <c r="BD116" s="15">
        <f>SUM(COUNTIFS('Data entry'!$R$6:$R$200,'Summary Data'!$A116,'Data entry'!$B$6:$B$200,{"Confirmed";"Probable"},'Data entry'!$AQ$6:$AQ$200,'Data Validation'!$V$6, 'Data entry'!$AP$6:$AP$200,'Data Validation'!$U$6, 'Data entry'!$BD$6:$BD$200,"&lt;&gt;*Negative*"))</f>
        <v>0</v>
      </c>
      <c r="BE116" s="15">
        <f>SUM(COUNTIFS('Data entry'!$R$6:$R$200,'Summary Data'!$A116,'Data entry'!$B$6:$B$200,{"Confirmed";"Probable"},'Data entry'!$AQ$6:$AQ$200,'Data Validation'!$V$7, 'Data entry'!$AP$6:$AP$200,'Data Validation'!$U$2, 'Data entry'!$BD$6:$BD$200,"&lt;&gt;*Negative*"))</f>
        <v>0</v>
      </c>
      <c r="BF116" s="15">
        <f>SUM(COUNTIFS('Data entry'!$R$6:$R$200,'Summary Data'!$A116,'Data entry'!$B$6:$B$200,{"Confirmed";"Probable"},'Data entry'!$AQ$6:$AQ$200,'Data Validation'!$V$7, 'Data entry'!$AP$6:$AP$200,'Data Validation'!$U$3, 'Data entry'!$BD$6:$BD$200,"&lt;&gt;*Negative*"))</f>
        <v>0</v>
      </c>
      <c r="BG116" s="15">
        <f>SUM(COUNTIFS('Data entry'!$R$6:$R$200,'Summary Data'!$A116,'Data entry'!$B$6:$B$200,{"Confirmed";"Probable"},'Data entry'!$AQ$6:$AQ$200,'Data Validation'!$V$7, 'Data entry'!$AP$6:$AP$200,'Data Validation'!$U$4, 'Data entry'!$BD$6:$BD$200,"&lt;&gt;*Negative*"))</f>
        <v>0</v>
      </c>
      <c r="BH116" s="15">
        <f>SUM(COUNTIFS('Data entry'!$R$6:$R$200,'Summary Data'!$A116,'Data entry'!$B$6:$B$200,{"Confirmed";"Probable"},'Data entry'!$AQ$6:$AQ$200,'Data Validation'!$V$7, 'Data entry'!$AP$6:$AP$200,'Data Validation'!$U$5, 'Data entry'!$BD$6:$BD$200,"&lt;&gt;*Negative*"))</f>
        <v>0</v>
      </c>
      <c r="BI116" s="15">
        <f>SUM(COUNTIFS('Data entry'!$R$6:$R$200,'Summary Data'!$A116,'Data entry'!$B$6:$B$200,{"Confirmed";"Probable"},'Data entry'!$AQ$6:$AQ$200,'Data Validation'!$V$7, 'Data entry'!$AP$6:$AP$200,'Data Validation'!$U$6, 'Data entry'!$BD$6:$BD$200,"&lt;&gt;*Negative*"))</f>
        <v>0</v>
      </c>
      <c r="BJ116" s="15">
        <f>SUM(COUNTIFS('Data entry'!$R$6:$R$200,'Summary Data'!$A116,'Data entry'!$B$6:$B$200,{"Confirmed";"Probable"},'Data entry'!$AQ$6:$AQ$200,'Data Validation'!$V$8, 'Data entry'!$AP$6:$AP$200,'Data Validation'!$U$2, 'Data entry'!$BD$6:$BD$200,"&lt;&gt;*Negative*"))</f>
        <v>0</v>
      </c>
      <c r="BK116" s="15">
        <f>SUM(COUNTIFS('Data entry'!$R$6:$R$200,'Summary Data'!$A116,'Data entry'!$B$6:$B$200,{"Confirmed";"Probable"},'Data entry'!$AQ$6:$AQ$200,'Data Validation'!$V$8, 'Data entry'!$AP$6:$AP$200,'Data Validation'!$U$3, 'Data entry'!$BD$6:$BD$200,"&lt;&gt;*Negative*"))</f>
        <v>0</v>
      </c>
      <c r="BL116" s="15">
        <f>SUM(COUNTIFS('Data entry'!$R$6:$R$200,'Summary Data'!$A116,'Data entry'!$B$6:$B$200,{"Confirmed";"Probable"},'Data entry'!$AQ$6:$AQ$200,'Data Validation'!$V$8, 'Data entry'!$AP$6:$AP$200,'Data Validation'!$U$4, 'Data entry'!$BD$6:$BD$200,"&lt;&gt;*Negative*"))</f>
        <v>0</v>
      </c>
      <c r="BM116" s="15">
        <f>SUM(COUNTIFS('Data entry'!$R$6:$R$200,'Summary Data'!$A116,'Data entry'!$B$6:$B$200,{"Confirmed";"Probable"},'Data entry'!$AQ$6:$AQ$200,'Data Validation'!$V$8, 'Data entry'!$AP$6:$AP$200,'Data Validation'!$U$5, 'Data entry'!$BD$6:$BD$200,"&lt;&gt;*Negative*"))</f>
        <v>0</v>
      </c>
      <c r="BN116" s="15">
        <f>SUM(COUNTIFS('Data entry'!$R$6:$R$200,'Summary Data'!$A116,'Data entry'!$B$6:$B$200,{"Confirmed";"Probable"},'Data entry'!$AQ$6:$AQ$200,'Data Validation'!$V$8, 'Data entry'!$AP$6:$AP$200,'Data Validation'!$U$6, 'Data entry'!$BD$6:$BD$200,"&lt;&gt;*Negative*"))</f>
        <v>0</v>
      </c>
      <c r="BO116" s="15">
        <f>SUM(COUNTIFS('Data entry'!$R$6:$R$200,'Summary Data'!$A116,'Data entry'!$B$6:$B$200,{"Confirmed";"Probable"},'Data entry'!$AQ$6:$AQ$200,'Data Validation'!$V$9, 'Data entry'!$AP$6:$AP$200,'Data Validation'!$U$2, 'Data entry'!$BD$6:$BD$200,"&lt;&gt;*Negative*"))</f>
        <v>0</v>
      </c>
      <c r="BP116" s="15">
        <f>SUM(COUNTIFS('Data entry'!$R$6:$R$200,'Summary Data'!$A116,'Data entry'!$B$6:$B$200,{"Confirmed";"Probable"},'Data entry'!$AQ$6:$AQ$200,'Data Validation'!$V$9, 'Data entry'!$AP$6:$AP$200,'Data Validation'!$U$3, 'Data entry'!$BD$6:$BD$200,"&lt;&gt;*Negative*"))</f>
        <v>0</v>
      </c>
      <c r="BQ116" s="15">
        <f>SUM(COUNTIFS('Data entry'!$R$6:$R$200,'Summary Data'!$A116,'Data entry'!$B$6:$B$200,{"Confirmed";"Probable"},'Data entry'!$AQ$6:$AQ$200,'Data Validation'!$V$9, 'Data entry'!$AP$6:$AP$200,'Data Validation'!$U$4, 'Data entry'!$BD$6:$BD$200,"&lt;&gt;*Negative*"))</f>
        <v>0</v>
      </c>
      <c r="BR116" s="15">
        <f>SUM(COUNTIFS('Data entry'!$R$6:$R$200,'Summary Data'!$A116,'Data entry'!$B$6:$B$200,{"Confirmed";"Probable"},'Data entry'!$AQ$6:$AQ$200,'Data Validation'!$V$9, 'Data entry'!$AP$6:$AP$200,'Data Validation'!$U$5, 'Data entry'!$BD$6:$BD$200,"&lt;&gt;*Negative*"))</f>
        <v>0</v>
      </c>
      <c r="BS116" s="15">
        <f>SUM(COUNTIFS('Data entry'!$R$6:$R$200,'Summary Data'!$A116,'Data entry'!$B$6:$B$200,{"Confirmed";"Probable"},'Data entry'!$AQ$6:$AQ$200,'Data Validation'!$V$9, 'Data entry'!$AP$6:$AP$200,'Data Validation'!$U$6, 'Data entry'!$BD$6:$BD$200,"&lt;&gt;*Negative*"))</f>
        <v>0</v>
      </c>
      <c r="BT116" s="15">
        <f>SUM(COUNTIFS('Data entry'!$R$6:$R$200,'Summary Data'!$A116,'Data entry'!$B$6:$B$200,{"Confirmed";"Probable"},'Data entry'!$AQ$6:$AQ$200,'Data Validation'!$V$10, 'Data entry'!$AP$6:$AP$200,'Data Validation'!$U$2, 'Data entry'!$BD$6:$BD$200,"&lt;&gt;*Negative*"))</f>
        <v>0</v>
      </c>
      <c r="BU116" s="15">
        <f>SUM(COUNTIFS('Data entry'!$R$6:$R$200,'Summary Data'!$A116,'Data entry'!$B$6:$B$200,{"Confirmed";"Probable"},'Data entry'!$AQ$6:$AQ$200,'Data Validation'!$V$10, 'Data entry'!$AP$6:$AP$200,'Data Validation'!$U$3, 'Data entry'!$BD$6:$BD$200,"&lt;&gt;*Negative*"))</f>
        <v>0</v>
      </c>
      <c r="BV116" s="15">
        <f>SUM(COUNTIFS('Data entry'!$R$6:$R$200,'Summary Data'!$A116,'Data entry'!$B$6:$B$200,{"Confirmed";"Probable"},'Data entry'!$AQ$6:$AQ$200,'Data Validation'!$V$10, 'Data entry'!$AP$6:$AP$200,'Data Validation'!$U$4, 'Data entry'!$BD$6:$BD$200,"&lt;&gt;*Negative*"))</f>
        <v>0</v>
      </c>
      <c r="BW116" s="15">
        <f>SUM(COUNTIFS('Data entry'!$R$6:$R$200,'Summary Data'!$A116,'Data entry'!$B$6:$B$200,{"Confirmed";"Probable"},'Data entry'!$AQ$6:$AQ$200,'Data Validation'!$V$10, 'Data entry'!$AP$6:$AP$200,'Data Validation'!$U$5, 'Data entry'!$BD$6:$BD$200,"&lt;&gt;*Negative*"))</f>
        <v>0</v>
      </c>
      <c r="BX116" s="15">
        <f>SUM(COUNTIFS('Data entry'!$R$6:$R$200,'Summary Data'!$A116,'Data entry'!$B$6:$B$200,{"Confirmed";"Probable"},'Data entry'!$AQ$6:$AQ$200,'Data Validation'!$V$10, 'Data entry'!$AP$6:$AP$200,'Data Validation'!$U$6, 'Data entry'!$BD$6:$BD$200,"&lt;&gt;*Negative*"))</f>
        <v>0</v>
      </c>
      <c r="BY116" s="15">
        <f>SUM(COUNTIFS('Data entry'!$R$6:$R$200,'Summary Data'!$A116,'Data entry'!$B$6:$B$200,{"Confirmed";"Probable"},'Data entry'!$AQ$6:$AQ$200,'Data Validation'!$V$11, 'Data entry'!$AP$6:$AP$200,'Data Validation'!$U$2, 'Data entry'!$BD$6:$BD$200,"&lt;&gt;*Negative*"))</f>
        <v>0</v>
      </c>
      <c r="BZ116" s="15">
        <f>SUM(COUNTIFS('Data entry'!$R$6:$R$200,'Summary Data'!$A116,'Data entry'!$B$6:$B$200,{"Confirmed";"Probable"},'Data entry'!$AQ$6:$AQ$200,'Data Validation'!$V$11, 'Data entry'!$AP$6:$AP$200,'Data Validation'!$U$3, 'Data entry'!$BD$6:$BD$200,"&lt;&gt;*Negative*"))</f>
        <v>0</v>
      </c>
      <c r="CA116" s="15">
        <f>SUM(COUNTIFS('Data entry'!$R$6:$R$200,'Summary Data'!$A116,'Data entry'!$B$6:$B$200,{"Confirmed";"Probable"},'Data entry'!$AQ$6:$AQ$200,'Data Validation'!$V$11, 'Data entry'!$AP$6:$AP$200,'Data Validation'!$U$4, 'Data entry'!$BD$6:$BD$200,"&lt;&gt;*Negative*"))</f>
        <v>0</v>
      </c>
      <c r="CB116" s="15">
        <f>SUM(COUNTIFS('Data entry'!$R$6:$R$200,'Summary Data'!$A116,'Data entry'!$B$6:$B$200,{"Confirmed";"Probable"},'Data entry'!$AQ$6:$AQ$200,'Data Validation'!$V$11, 'Data entry'!$AP$6:$AP$200,'Data Validation'!$U$5, 'Data entry'!$BD$6:$BD$200,"&lt;&gt;*Negative*"))</f>
        <v>0</v>
      </c>
      <c r="CC116" s="15">
        <f>SUM(COUNTIFS('Data entry'!$R$6:$R$200,'Summary Data'!$A116,'Data entry'!$B$6:$B$200,{"Confirmed";"Probable"},'Data entry'!$AQ$6:$AQ$200,'Data Validation'!$V$11, 'Data entry'!$AP$6:$AP$200,'Data Validation'!$U$6, 'Data entry'!$BD$6:$BD$200,"&lt;&gt;*Negative*"))</f>
        <v>0</v>
      </c>
    </row>
    <row r="117" spans="1:81" x14ac:dyDescent="0.25">
      <c r="A117" s="12">
        <f t="shared" si="9"/>
        <v>105</v>
      </c>
      <c r="B117" s="13">
        <f t="shared" si="6"/>
        <v>0</v>
      </c>
      <c r="C117" s="13">
        <f>COUNTIFS('Data entry'!$R$6:$R$200,$A117,'Data entry'!$B$6:$B$200,"Confirmed",'Data entry'!$BD$6:$BD$200,"&lt;&gt;*Negative*")</f>
        <v>0</v>
      </c>
      <c r="D117" s="13">
        <f>COUNTIFS('Data entry'!$R$6:$R$200,$A117,'Data entry'!$B$6:$B$200,"Probable",'Data entry'!$BD$6:$BD$200,"&lt;&gt;*Negative*")</f>
        <v>0</v>
      </c>
      <c r="E117" s="13">
        <f>COUNTIFS('Data entry'!$R$6:$R$200,$A117,'Data entry'!$B$6:$B$200,"DNM")</f>
        <v>0</v>
      </c>
      <c r="F117" s="13">
        <f>SUM(COUNTIFS('Data entry'!$R$6:$R$200,'Summary Data'!$A117,'Data entry'!$B$6:$B$200,{"Confirmed";"Probable"},'Data entry'!$AO$6:$AO$200,$F$10, 'Data entry'!$BD$6:$BD$200,"&lt;&gt;*Negative*"))</f>
        <v>0</v>
      </c>
      <c r="G117" s="13">
        <f>SUM(COUNTIFS('Data entry'!$R$6:$R$200,'Summary Data'!$A117,'Data entry'!$B$6:$B$200,{"Confirmed";"Probable"},'Data entry'!$AO$6:$AO$200,$G$10, 'Data entry'!$BD$6:$BD$200,"&lt;&gt;*Negative*"))</f>
        <v>0</v>
      </c>
      <c r="H117" s="13">
        <f>SUM(COUNTIFS('Data entry'!$R$6:$R$200,'Summary Data'!$A117,'Data entry'!$B$6:$B$200,{"Confirmed";"Probable"},'Data entry'!$AO$6:$AO$200,$H$10, 'Data entry'!$BD$6:$BD$200,"&lt;&gt;*Negative*"))</f>
        <v>0</v>
      </c>
      <c r="I117" s="13">
        <f>SUM(COUNTIFS('Data entry'!$R$6:$R$200,'Summary Data'!$A117,'Data entry'!$B$6:$B$200,{"Confirmed";"Probable"},'Data entry'!$AO$6:$AO$200,$I$10, 'Data entry'!$BD$6:$BD$200,"&lt;&gt;*Negative*"))</f>
        <v>0</v>
      </c>
      <c r="J117" s="13">
        <f>SUM(COUNTIFS('Data entry'!$R$6:$R$200,'Summary Data'!$A117,'Data entry'!$B$6:$B$200,{"Confirmed";"Probable"},'Data entry'!$AO$6:$AO$200,$J$10, 'Data entry'!$BD$6:$BD$200,"&lt;&gt;*Negative*"))</f>
        <v>0</v>
      </c>
      <c r="K117" s="13">
        <f>SUM(COUNTIFS('Data entry'!$R$6:$R$200,'Summary Data'!$A117,'Data entry'!$B$6:$B$200,{"Confirmed";"Probable"},'Data entry'!$AO$6:$AO$200,$K$10, 'Data entry'!$BD$6:$BD$200,"&lt;&gt;*Negative*"))</f>
        <v>0</v>
      </c>
      <c r="L117" s="13">
        <f>SUM(COUNTIFS('Data entry'!$R$6:$R$200,'Summary Data'!$A117,'Data entry'!$B$6:$B$200,{"Confirmed";"Probable"},'Data entry'!$AO$6:$AO$200,$L$10, 'Data entry'!$BD$6:$BD$200,"&lt;&gt;*Negative*"))</f>
        <v>0</v>
      </c>
      <c r="M117" s="13">
        <f>SUM(COUNTIFS('Data entry'!$R$6:$R$200,'Summary Data'!$A117,'Data entry'!$B$6:$B$200,{"Confirmed";"Probable"},'Data entry'!$AO$6:$AO$200,$M$10, 'Data entry'!$BD$6:$BD$200,"&lt;&gt;*Negative*"))</f>
        <v>0</v>
      </c>
      <c r="N117" s="13">
        <f>SUM(COUNTIFS('Data entry'!$R$6:$R$200,'Summary Data'!$A117,'Data entry'!$B$6:$B$200,{"Confirmed";"Probable"},'Data entry'!$AO$6:$AO$200,$N$10, 'Data entry'!$BD$6:$BD$200,"&lt;&gt;*Negative*"))</f>
        <v>0</v>
      </c>
      <c r="O117" s="15">
        <f t="shared" si="7"/>
        <v>0</v>
      </c>
      <c r="P117" s="15">
        <f t="shared" si="8"/>
        <v>0</v>
      </c>
      <c r="Q117" s="15">
        <f>SUM(COUNTIFS('Data entry'!$R$6:$R$200,'Summary Data'!$A117,'Data entry'!$B$6:$B$200,{"Confirmed";"Probable"},'Data entry'!$AP$6:$AP$200,'Data Validation'!$U$2, 'Data entry'!$BD$6:$BD$200,"&lt;&gt;*Negative*"))</f>
        <v>0</v>
      </c>
      <c r="R117" s="15">
        <f>SUM(COUNTIFS('Data entry'!$R$6:$R$200,'Summary Data'!$A117,'Data entry'!$B$6:$B$200,{"Confirmed";"Probable"},'Data entry'!$AP$6:$AP$200,'Data Validation'!$U$3, 'Data entry'!$BD$6:$BD$200,"&lt;&gt;*Negative*"))</f>
        <v>0</v>
      </c>
      <c r="S117" s="15">
        <f>SUM(COUNTIFS('Data entry'!$R$6:$R$200,'Summary Data'!$A117,'Data entry'!$B$6:$B$200,{"Confirmed";"Probable"},'Data entry'!$AP$6:$AP$200,'Data Validation'!$U$4, 'Data entry'!$BD$6:$BD$200,"&lt;&gt;*Negative*"))</f>
        <v>0</v>
      </c>
      <c r="T117" s="15">
        <f>SUM(COUNTIFS('Data entry'!$R$6:$R$200,'Summary Data'!$A117,'Data entry'!$B$6:$B$200,{"Confirmed";"Probable"},'Data entry'!$AP$6:$AP$200,'Data Validation'!$U$5, 'Data entry'!$BD$6:$BD$200,"&lt;&gt;*Negative*"))</f>
        <v>0</v>
      </c>
      <c r="U117" s="15">
        <f>SUM(COUNTIFS('Data entry'!$R$6:$R$200,'Summary Data'!$A117,'Data entry'!$B$6:$B$200,{"Confirmed";"Probable"},'Data entry'!$AP$6:$AP$200,'Data Validation'!$U$6, 'Data entry'!$BD$6:$BD$200,"&lt;&gt;*Negative*"))</f>
        <v>0</v>
      </c>
      <c r="V117" s="15">
        <f>SUM(COUNTIFS('Data entry'!$R$6:$R$200,'Summary Data'!$A117,'Data entry'!$B$6:$B$200,{"Confirmed";"Probable"},'Data entry'!$AQ$6:$AQ$200,'Data Validation'!$V$2, 'Data entry'!$BD$6:$BD$200,"&lt;&gt;*Negative*"))</f>
        <v>0</v>
      </c>
      <c r="W117" s="15">
        <f>SUM(COUNTIFS('Data entry'!$R$6:$R$200,'Summary Data'!$A117,'Data entry'!$B$6:$B$200,{"Confirmed";"Probable"},'Data entry'!$AQ$6:$AQ$200,'Data Validation'!$V$3, 'Data entry'!$BD$6:$BD$200,"&lt;&gt;*Negative*"))</f>
        <v>0</v>
      </c>
      <c r="X117" s="15">
        <f>SUM(COUNTIFS('Data entry'!$R$6:$R$200,'Summary Data'!$A117,'Data entry'!$B$6:$B$200,{"Confirmed";"Probable"},'Data entry'!$AQ$6:$AQ$200,'Data Validation'!$V$4, 'Data entry'!$BD$6:$BD$200,"&lt;&gt;*Negative*"))</f>
        <v>0</v>
      </c>
      <c r="Y117" s="15">
        <f>SUM(COUNTIFS('Data entry'!$R$6:$R$200,'Summary Data'!$A117,'Data entry'!$B$6:$B$200,{"Confirmed";"Probable"},'Data entry'!$AQ$6:$AQ$200,'Data Validation'!$V$5, 'Data entry'!$BD$6:$BD$200,"&lt;&gt;*Negative*"))</f>
        <v>0</v>
      </c>
      <c r="Z117" s="15">
        <f>SUM(COUNTIFS('Data entry'!$R$6:$R$200,'Summary Data'!$A117,'Data entry'!$B$6:$B$200,{"Confirmed";"Probable"},'Data entry'!$AQ$6:$AQ$200,'Data Validation'!$V$6, 'Data entry'!$BD$6:$BD$200,"&lt;&gt;*Negative*"))</f>
        <v>0</v>
      </c>
      <c r="AA117" s="15">
        <f>SUM(COUNTIFS('Data entry'!$R$6:$R$200,'Summary Data'!$A117,'Data entry'!$B$6:$B$200,{"Confirmed";"Probable"},'Data entry'!$AQ$6:$AQ$200,'Data Validation'!$V$7, 'Data entry'!$BD$6:$BD$200,"&lt;&gt;*Negative*"))</f>
        <v>0</v>
      </c>
      <c r="AB117" s="15">
        <f>SUM(COUNTIFS('Data entry'!$R$6:$R$200,'Summary Data'!$A117,'Data entry'!$B$6:$B$200,{"Confirmed";"Probable"},'Data entry'!$AQ$6:$AQ$200,'Data Validation'!$V$8, 'Data entry'!$BD$6:$BD$200,"&lt;&gt;*Negative*"))</f>
        <v>0</v>
      </c>
      <c r="AC117" s="15">
        <f>SUM(COUNTIFS('Data entry'!$R$6:$R$200,'Summary Data'!$A117,'Data entry'!$B$6:$B$200,{"Confirmed";"Probable"},'Data entry'!$AQ$6:$AQ$200,'Data Validation'!$V$9, 'Data entry'!$BD$6:$BD$200,"&lt;&gt;*Negative*"))</f>
        <v>0</v>
      </c>
      <c r="AD117" s="15">
        <f>SUM(COUNTIFS('Data entry'!$R$6:$R$200,'Summary Data'!$A117,'Data entry'!$B$6:$B$200,{"Confirmed";"Probable"},'Data entry'!$AQ$6:$AQ$200,'Data Validation'!$V$10, 'Data entry'!$BD$6:$BD$200,"&lt;&gt;*Negative*"))</f>
        <v>0</v>
      </c>
      <c r="AE117" s="15">
        <f>SUM(COUNTIFS('Data entry'!$R$6:$R$200,'Summary Data'!$A117,'Data entry'!$B$6:$B$200,{"Confirmed";"Probable"},'Data entry'!$AQ$6:$AQ$200,'Data Validation'!$V$11, 'Data entry'!$BD$6:$BD$200,"&lt;&gt;*Negative*"))</f>
        <v>0</v>
      </c>
      <c r="AF117" s="15">
        <f>SUM(COUNTIFS('Data entry'!$R$6:$R$200,'Summary Data'!$A117,'Data entry'!$B$6:$B$200,{"Confirmed";"Probable"},'Data entry'!$AQ$6:$AQ$200,'Data Validation'!$V$2, 'Data entry'!$AP$6:$AP$200,'Data Validation'!$U$2, 'Data entry'!$BD$6:$BD$200,"&lt;&gt;*Negative*"))</f>
        <v>0</v>
      </c>
      <c r="AG117" s="15">
        <f>SUM(COUNTIFS('Data entry'!$R$6:$R$200,'Summary Data'!$A117,'Data entry'!$B$6:$B$200,{"Confirmed";"Probable"},'Data entry'!$AQ$6:$AQ$200,'Data Validation'!$V$2, 'Data entry'!$AP$6:$AP$200,'Data Validation'!$U$3, 'Data entry'!$BD$6:$BD$200,"&lt;&gt;*Negative*"))</f>
        <v>0</v>
      </c>
      <c r="AH117" s="15">
        <f>SUM(COUNTIFS('Data entry'!$R$6:$R$200,'Summary Data'!$A117,'Data entry'!$B$6:$B$200,{"Confirmed";"Probable"},'Data entry'!$AQ$6:$AQ$200,'Data Validation'!$V$2, 'Data entry'!$AP$6:$AP$200,'Data Validation'!$U$4, 'Data entry'!$BD$6:$BD$200,"&lt;&gt;*Negative*"))</f>
        <v>0</v>
      </c>
      <c r="AI117" s="15">
        <f>SUM(COUNTIFS('Data entry'!$R$6:$R$200,'Summary Data'!$A117,'Data entry'!$B$6:$B$200,{"Confirmed";"Probable"},'Data entry'!$AQ$6:$AQ$200,'Data Validation'!$V$2, 'Data entry'!$AP$6:$AP$200,'Data Validation'!$U$5, 'Data entry'!$BD$6:$BD$200,"&lt;&gt;*Negative*"))</f>
        <v>0</v>
      </c>
      <c r="AJ117" s="15">
        <f>SUM(COUNTIFS('Data entry'!$R$6:$R$200,'Summary Data'!$A117,'Data entry'!$B$6:$B$200,{"Confirmed";"Probable"},'Data entry'!$AQ$6:$AQ$200,'Data Validation'!$V$2, 'Data entry'!$AP$6:$AP$200,'Data Validation'!$U$6, 'Data entry'!$BD$6:$BD$200,"&lt;&gt;*Negative*"))</f>
        <v>0</v>
      </c>
      <c r="AK117" s="15">
        <f>SUM(COUNTIFS('Data entry'!$R$6:$R$200,'Summary Data'!$A117,'Data entry'!$B$6:$B$200,{"Confirmed";"Probable"},'Data entry'!$AQ$6:$AQ$200,'Data Validation'!$V$3, 'Data entry'!$AP$6:$AP$200,'Data Validation'!$U$2, 'Data entry'!$BD$6:$BD$200,"&lt;&gt;*Negative*"))</f>
        <v>0</v>
      </c>
      <c r="AL117" s="15">
        <f>SUM(COUNTIFS('Data entry'!$R$6:$R$200,'Summary Data'!$A117,'Data entry'!$B$6:$B$200,{"Confirmed";"Probable"},'Data entry'!$AQ$6:$AQ$200,'Data Validation'!$V$3, 'Data entry'!$AP$6:$AP$200,'Data Validation'!$U$3, 'Data entry'!$BD$6:$BD$200,"&lt;&gt;*Negative*"))</f>
        <v>0</v>
      </c>
      <c r="AM117" s="15">
        <f>SUM(COUNTIFS('Data entry'!$R$6:$R$200,'Summary Data'!$A117,'Data entry'!$B$6:$B$200,{"Confirmed";"Probable"},'Data entry'!$AQ$6:$AQ$200,'Data Validation'!$V$3, 'Data entry'!$AP$6:$AP$200,'Data Validation'!$U$4, 'Data entry'!$BD$6:$BD$200,"&lt;&gt;*Negative*"))</f>
        <v>0</v>
      </c>
      <c r="AN117" s="15">
        <f>SUM(COUNTIFS('Data entry'!$R$6:$R$200,'Summary Data'!$A117,'Data entry'!$B$6:$B$200,{"Confirmed";"Probable"},'Data entry'!$AQ$6:$AQ$200,'Data Validation'!$V$3, 'Data entry'!$AP$6:$AP$200,'Data Validation'!$U$5, 'Data entry'!$BD$6:$BD$200,"&lt;&gt;*Negative*"))</f>
        <v>0</v>
      </c>
      <c r="AO117" s="15">
        <f>SUM(COUNTIFS('Data entry'!$R$6:$R$200,'Summary Data'!$A117,'Data entry'!$B$6:$B$200,{"Confirmed";"Probable"},'Data entry'!$AQ$6:$AQ$200,'Data Validation'!$V$3, 'Data entry'!$AP$6:$AP$200,'Data Validation'!$U$6, 'Data entry'!$BD$6:$BD$200,"&lt;&gt;*Negative*"))</f>
        <v>0</v>
      </c>
      <c r="AP117" s="15">
        <f>SUM(COUNTIFS('Data entry'!$R$6:$R$200,'Summary Data'!$A117,'Data entry'!$B$6:$B$200,{"Confirmed";"Probable"},'Data entry'!$AQ$6:$AQ$200,'Data Validation'!$V$4, 'Data entry'!$AP$6:$AP$200,'Data Validation'!$U$2, 'Data entry'!$BD$6:$BD$200,"&lt;&gt;*Negative*"))</f>
        <v>0</v>
      </c>
      <c r="AQ117" s="15">
        <f>SUM(COUNTIFS('Data entry'!$R$6:$R$200,'Summary Data'!$A117,'Data entry'!$B$6:$B$200,{"Confirmed";"Probable"},'Data entry'!$AQ$6:$AQ$200,'Data Validation'!$V$4, 'Data entry'!$AP$6:$AP$200,'Data Validation'!$U$3, 'Data entry'!$BD$6:$BD$200,"&lt;&gt;*Negative*"))</f>
        <v>0</v>
      </c>
      <c r="AR117" s="15">
        <f>SUM(COUNTIFS('Data entry'!$R$6:$R$200,'Summary Data'!$A117,'Data entry'!$B$6:$B$200,{"Confirmed";"Probable"},'Data entry'!$AQ$6:$AQ$200,'Data Validation'!$V$4, 'Data entry'!$AP$6:$AP$200,'Data Validation'!$U$4, 'Data entry'!$BD$6:$BD$200,"&lt;&gt;*Negative*"))</f>
        <v>0</v>
      </c>
      <c r="AS117" s="15">
        <f>SUM(COUNTIFS('Data entry'!$R$6:$R$200,'Summary Data'!$A117,'Data entry'!$B$6:$B$200,{"Confirmed";"Probable"},'Data entry'!$AQ$6:$AQ$200,'Data Validation'!$V$4, 'Data entry'!$AP$6:$AP$200,'Data Validation'!$U$5, 'Data entry'!$BD$6:$BD$200,"&lt;&gt;*Negative*"))</f>
        <v>0</v>
      </c>
      <c r="AT117" s="15">
        <f>SUM(COUNTIFS('Data entry'!$R$6:$R$200,'Summary Data'!$A117,'Data entry'!$B$6:$B$200,{"Confirmed";"Probable"},'Data entry'!$AQ$6:$AQ$200,'Data Validation'!$V$4, 'Data entry'!$AP$6:$AP$200,'Data Validation'!$U$6, 'Data entry'!$BD$6:$BD$200,"&lt;&gt;*Negative*"))</f>
        <v>0</v>
      </c>
      <c r="AU117" s="15">
        <f>SUM(COUNTIFS('Data entry'!$R$6:$R$200,'Summary Data'!$A117,'Data entry'!$B$6:$B$200,{"Confirmed";"Probable"},'Data entry'!$AQ$6:$AQ$200,'Data Validation'!$V$5, 'Data entry'!$AP$6:$AP$200,'Data Validation'!$U$2, 'Data entry'!$BD$6:$BD$200,"&lt;&gt;*Negative*"))</f>
        <v>0</v>
      </c>
      <c r="AV117" s="15">
        <f>SUM(COUNTIFS('Data entry'!$R$6:$R$200,'Summary Data'!$A117,'Data entry'!$B$6:$B$200,{"Confirmed";"Probable"},'Data entry'!$AQ$6:$AQ$200,'Data Validation'!$V$5, 'Data entry'!$AP$6:$AP$200,'Data Validation'!$U$3, 'Data entry'!$BD$6:$BD$200,"&lt;&gt;*Negative*"))</f>
        <v>0</v>
      </c>
      <c r="AW117" s="15">
        <f>SUM(COUNTIFS('Data entry'!$R$6:$R$200,'Summary Data'!$A117,'Data entry'!$B$6:$B$200,{"Confirmed";"Probable"},'Data entry'!$AQ$6:$AQ$200,'Data Validation'!$V$5, 'Data entry'!$AP$6:$AP$200,'Data Validation'!$U$4, 'Data entry'!$BD$6:$BD$200,"&lt;&gt;*Negative*"))</f>
        <v>0</v>
      </c>
      <c r="AX117" s="15">
        <f>SUM(COUNTIFS('Data entry'!$R$6:$R$200,'Summary Data'!$A117,'Data entry'!$B$6:$B$200,{"Confirmed";"Probable"},'Data entry'!$AQ$6:$AQ$200,'Data Validation'!$V$5, 'Data entry'!$AP$6:$AP$200,'Data Validation'!$U$5, 'Data entry'!$BD$6:$BD$200,"&lt;&gt;*Negative*"))</f>
        <v>0</v>
      </c>
      <c r="AY117" s="15">
        <f>SUM(COUNTIFS('Data entry'!$R$6:$R$200,'Summary Data'!$A117,'Data entry'!$B$6:$B$200,{"Confirmed";"Probable"},'Data entry'!$AQ$6:$AQ$200,'Data Validation'!$V$5, 'Data entry'!$AP$6:$AP$200,'Data Validation'!$U$6, 'Data entry'!$BD$6:$BD$200,"&lt;&gt;*Negative*"))</f>
        <v>0</v>
      </c>
      <c r="AZ117" s="15">
        <f>SUM(COUNTIFS('Data entry'!$R$6:$R$200,'Summary Data'!$A117,'Data entry'!$B$6:$B$200,{"Confirmed";"Probable"},'Data entry'!$AQ$6:$AQ$200,'Data Validation'!$V$6, 'Data entry'!$AP$6:$AP$200,'Data Validation'!$U$2, 'Data entry'!$BD$6:$BD$200,"&lt;&gt;*Negative*"))</f>
        <v>0</v>
      </c>
      <c r="BA117" s="15">
        <f>SUM(COUNTIFS('Data entry'!$R$6:$R$200,'Summary Data'!$A117,'Data entry'!$B$6:$B$200,{"Confirmed";"Probable"},'Data entry'!$AQ$6:$AQ$200,'Data Validation'!$V$6, 'Data entry'!$AP$6:$AP$200,'Data Validation'!$U$3, 'Data entry'!$BD$6:$BD$200,"&lt;&gt;*Negative*"))</f>
        <v>0</v>
      </c>
      <c r="BB117" s="15">
        <f>SUM(COUNTIFS('Data entry'!$R$6:$R$200,'Summary Data'!$A117,'Data entry'!$B$6:$B$200,{"Confirmed";"Probable"},'Data entry'!$AQ$6:$AQ$200,'Data Validation'!$V$6, 'Data entry'!$AP$6:$AP$200,'Data Validation'!$U$4, 'Data entry'!$BD$6:$BD$200,"&lt;&gt;*Negative*"))</f>
        <v>0</v>
      </c>
      <c r="BC117" s="15">
        <f>SUM(COUNTIFS('Data entry'!$R$6:$R$200,'Summary Data'!$A117,'Data entry'!$B$6:$B$200,{"Confirmed";"Probable"},'Data entry'!$AQ$6:$AQ$200,'Data Validation'!$V$6, 'Data entry'!$AP$6:$AP$200,'Data Validation'!$U$5, 'Data entry'!$BD$6:$BD$200,"&lt;&gt;*Negative*"))</f>
        <v>0</v>
      </c>
      <c r="BD117" s="15">
        <f>SUM(COUNTIFS('Data entry'!$R$6:$R$200,'Summary Data'!$A117,'Data entry'!$B$6:$B$200,{"Confirmed";"Probable"},'Data entry'!$AQ$6:$AQ$200,'Data Validation'!$V$6, 'Data entry'!$AP$6:$AP$200,'Data Validation'!$U$6, 'Data entry'!$BD$6:$BD$200,"&lt;&gt;*Negative*"))</f>
        <v>0</v>
      </c>
      <c r="BE117" s="15">
        <f>SUM(COUNTIFS('Data entry'!$R$6:$R$200,'Summary Data'!$A117,'Data entry'!$B$6:$B$200,{"Confirmed";"Probable"},'Data entry'!$AQ$6:$AQ$200,'Data Validation'!$V$7, 'Data entry'!$AP$6:$AP$200,'Data Validation'!$U$2, 'Data entry'!$BD$6:$BD$200,"&lt;&gt;*Negative*"))</f>
        <v>0</v>
      </c>
      <c r="BF117" s="15">
        <f>SUM(COUNTIFS('Data entry'!$R$6:$R$200,'Summary Data'!$A117,'Data entry'!$B$6:$B$200,{"Confirmed";"Probable"},'Data entry'!$AQ$6:$AQ$200,'Data Validation'!$V$7, 'Data entry'!$AP$6:$AP$200,'Data Validation'!$U$3, 'Data entry'!$BD$6:$BD$200,"&lt;&gt;*Negative*"))</f>
        <v>0</v>
      </c>
      <c r="BG117" s="15">
        <f>SUM(COUNTIFS('Data entry'!$R$6:$R$200,'Summary Data'!$A117,'Data entry'!$B$6:$B$200,{"Confirmed";"Probable"},'Data entry'!$AQ$6:$AQ$200,'Data Validation'!$V$7, 'Data entry'!$AP$6:$AP$200,'Data Validation'!$U$4, 'Data entry'!$BD$6:$BD$200,"&lt;&gt;*Negative*"))</f>
        <v>0</v>
      </c>
      <c r="BH117" s="15">
        <f>SUM(COUNTIFS('Data entry'!$R$6:$R$200,'Summary Data'!$A117,'Data entry'!$B$6:$B$200,{"Confirmed";"Probable"},'Data entry'!$AQ$6:$AQ$200,'Data Validation'!$V$7, 'Data entry'!$AP$6:$AP$200,'Data Validation'!$U$5, 'Data entry'!$BD$6:$BD$200,"&lt;&gt;*Negative*"))</f>
        <v>0</v>
      </c>
      <c r="BI117" s="15">
        <f>SUM(COUNTIFS('Data entry'!$R$6:$R$200,'Summary Data'!$A117,'Data entry'!$B$6:$B$200,{"Confirmed";"Probable"},'Data entry'!$AQ$6:$AQ$200,'Data Validation'!$V$7, 'Data entry'!$AP$6:$AP$200,'Data Validation'!$U$6, 'Data entry'!$BD$6:$BD$200,"&lt;&gt;*Negative*"))</f>
        <v>0</v>
      </c>
      <c r="BJ117" s="15">
        <f>SUM(COUNTIFS('Data entry'!$R$6:$R$200,'Summary Data'!$A117,'Data entry'!$B$6:$B$200,{"Confirmed";"Probable"},'Data entry'!$AQ$6:$AQ$200,'Data Validation'!$V$8, 'Data entry'!$AP$6:$AP$200,'Data Validation'!$U$2, 'Data entry'!$BD$6:$BD$200,"&lt;&gt;*Negative*"))</f>
        <v>0</v>
      </c>
      <c r="BK117" s="15">
        <f>SUM(COUNTIFS('Data entry'!$R$6:$R$200,'Summary Data'!$A117,'Data entry'!$B$6:$B$200,{"Confirmed";"Probable"},'Data entry'!$AQ$6:$AQ$200,'Data Validation'!$V$8, 'Data entry'!$AP$6:$AP$200,'Data Validation'!$U$3, 'Data entry'!$BD$6:$BD$200,"&lt;&gt;*Negative*"))</f>
        <v>0</v>
      </c>
      <c r="BL117" s="15">
        <f>SUM(COUNTIFS('Data entry'!$R$6:$R$200,'Summary Data'!$A117,'Data entry'!$B$6:$B$200,{"Confirmed";"Probable"},'Data entry'!$AQ$6:$AQ$200,'Data Validation'!$V$8, 'Data entry'!$AP$6:$AP$200,'Data Validation'!$U$4, 'Data entry'!$BD$6:$BD$200,"&lt;&gt;*Negative*"))</f>
        <v>0</v>
      </c>
      <c r="BM117" s="15">
        <f>SUM(COUNTIFS('Data entry'!$R$6:$R$200,'Summary Data'!$A117,'Data entry'!$B$6:$B$200,{"Confirmed";"Probable"},'Data entry'!$AQ$6:$AQ$200,'Data Validation'!$V$8, 'Data entry'!$AP$6:$AP$200,'Data Validation'!$U$5, 'Data entry'!$BD$6:$BD$200,"&lt;&gt;*Negative*"))</f>
        <v>0</v>
      </c>
      <c r="BN117" s="15">
        <f>SUM(COUNTIFS('Data entry'!$R$6:$R$200,'Summary Data'!$A117,'Data entry'!$B$6:$B$200,{"Confirmed";"Probable"},'Data entry'!$AQ$6:$AQ$200,'Data Validation'!$V$8, 'Data entry'!$AP$6:$AP$200,'Data Validation'!$U$6, 'Data entry'!$BD$6:$BD$200,"&lt;&gt;*Negative*"))</f>
        <v>0</v>
      </c>
      <c r="BO117" s="15">
        <f>SUM(COUNTIFS('Data entry'!$R$6:$R$200,'Summary Data'!$A117,'Data entry'!$B$6:$B$200,{"Confirmed";"Probable"},'Data entry'!$AQ$6:$AQ$200,'Data Validation'!$V$9, 'Data entry'!$AP$6:$AP$200,'Data Validation'!$U$2, 'Data entry'!$BD$6:$BD$200,"&lt;&gt;*Negative*"))</f>
        <v>0</v>
      </c>
      <c r="BP117" s="15">
        <f>SUM(COUNTIFS('Data entry'!$R$6:$R$200,'Summary Data'!$A117,'Data entry'!$B$6:$B$200,{"Confirmed";"Probable"},'Data entry'!$AQ$6:$AQ$200,'Data Validation'!$V$9, 'Data entry'!$AP$6:$AP$200,'Data Validation'!$U$3, 'Data entry'!$BD$6:$BD$200,"&lt;&gt;*Negative*"))</f>
        <v>0</v>
      </c>
      <c r="BQ117" s="15">
        <f>SUM(COUNTIFS('Data entry'!$R$6:$R$200,'Summary Data'!$A117,'Data entry'!$B$6:$B$200,{"Confirmed";"Probable"},'Data entry'!$AQ$6:$AQ$200,'Data Validation'!$V$9, 'Data entry'!$AP$6:$AP$200,'Data Validation'!$U$4, 'Data entry'!$BD$6:$BD$200,"&lt;&gt;*Negative*"))</f>
        <v>0</v>
      </c>
      <c r="BR117" s="15">
        <f>SUM(COUNTIFS('Data entry'!$R$6:$R$200,'Summary Data'!$A117,'Data entry'!$B$6:$B$200,{"Confirmed";"Probable"},'Data entry'!$AQ$6:$AQ$200,'Data Validation'!$V$9, 'Data entry'!$AP$6:$AP$200,'Data Validation'!$U$5, 'Data entry'!$BD$6:$BD$200,"&lt;&gt;*Negative*"))</f>
        <v>0</v>
      </c>
      <c r="BS117" s="15">
        <f>SUM(COUNTIFS('Data entry'!$R$6:$R$200,'Summary Data'!$A117,'Data entry'!$B$6:$B$200,{"Confirmed";"Probable"},'Data entry'!$AQ$6:$AQ$200,'Data Validation'!$V$9, 'Data entry'!$AP$6:$AP$200,'Data Validation'!$U$6, 'Data entry'!$BD$6:$BD$200,"&lt;&gt;*Negative*"))</f>
        <v>0</v>
      </c>
      <c r="BT117" s="15">
        <f>SUM(COUNTIFS('Data entry'!$R$6:$R$200,'Summary Data'!$A117,'Data entry'!$B$6:$B$200,{"Confirmed";"Probable"},'Data entry'!$AQ$6:$AQ$200,'Data Validation'!$V$10, 'Data entry'!$AP$6:$AP$200,'Data Validation'!$U$2, 'Data entry'!$BD$6:$BD$200,"&lt;&gt;*Negative*"))</f>
        <v>0</v>
      </c>
      <c r="BU117" s="15">
        <f>SUM(COUNTIFS('Data entry'!$R$6:$R$200,'Summary Data'!$A117,'Data entry'!$B$6:$B$200,{"Confirmed";"Probable"},'Data entry'!$AQ$6:$AQ$200,'Data Validation'!$V$10, 'Data entry'!$AP$6:$AP$200,'Data Validation'!$U$3, 'Data entry'!$BD$6:$BD$200,"&lt;&gt;*Negative*"))</f>
        <v>0</v>
      </c>
      <c r="BV117" s="15">
        <f>SUM(COUNTIFS('Data entry'!$R$6:$R$200,'Summary Data'!$A117,'Data entry'!$B$6:$B$200,{"Confirmed";"Probable"},'Data entry'!$AQ$6:$AQ$200,'Data Validation'!$V$10, 'Data entry'!$AP$6:$AP$200,'Data Validation'!$U$4, 'Data entry'!$BD$6:$BD$200,"&lt;&gt;*Negative*"))</f>
        <v>0</v>
      </c>
      <c r="BW117" s="15">
        <f>SUM(COUNTIFS('Data entry'!$R$6:$R$200,'Summary Data'!$A117,'Data entry'!$B$6:$B$200,{"Confirmed";"Probable"},'Data entry'!$AQ$6:$AQ$200,'Data Validation'!$V$10, 'Data entry'!$AP$6:$AP$200,'Data Validation'!$U$5, 'Data entry'!$BD$6:$BD$200,"&lt;&gt;*Negative*"))</f>
        <v>0</v>
      </c>
      <c r="BX117" s="15">
        <f>SUM(COUNTIFS('Data entry'!$R$6:$R$200,'Summary Data'!$A117,'Data entry'!$B$6:$B$200,{"Confirmed";"Probable"},'Data entry'!$AQ$6:$AQ$200,'Data Validation'!$V$10, 'Data entry'!$AP$6:$AP$200,'Data Validation'!$U$6, 'Data entry'!$BD$6:$BD$200,"&lt;&gt;*Negative*"))</f>
        <v>0</v>
      </c>
      <c r="BY117" s="15">
        <f>SUM(COUNTIFS('Data entry'!$R$6:$R$200,'Summary Data'!$A117,'Data entry'!$B$6:$B$200,{"Confirmed";"Probable"},'Data entry'!$AQ$6:$AQ$200,'Data Validation'!$V$11, 'Data entry'!$AP$6:$AP$200,'Data Validation'!$U$2, 'Data entry'!$BD$6:$BD$200,"&lt;&gt;*Negative*"))</f>
        <v>0</v>
      </c>
      <c r="BZ117" s="15">
        <f>SUM(COUNTIFS('Data entry'!$R$6:$R$200,'Summary Data'!$A117,'Data entry'!$B$6:$B$200,{"Confirmed";"Probable"},'Data entry'!$AQ$6:$AQ$200,'Data Validation'!$V$11, 'Data entry'!$AP$6:$AP$200,'Data Validation'!$U$3, 'Data entry'!$BD$6:$BD$200,"&lt;&gt;*Negative*"))</f>
        <v>0</v>
      </c>
      <c r="CA117" s="15">
        <f>SUM(COUNTIFS('Data entry'!$R$6:$R$200,'Summary Data'!$A117,'Data entry'!$B$6:$B$200,{"Confirmed";"Probable"},'Data entry'!$AQ$6:$AQ$200,'Data Validation'!$V$11, 'Data entry'!$AP$6:$AP$200,'Data Validation'!$U$4, 'Data entry'!$BD$6:$BD$200,"&lt;&gt;*Negative*"))</f>
        <v>0</v>
      </c>
      <c r="CB117" s="15">
        <f>SUM(COUNTIFS('Data entry'!$R$6:$R$200,'Summary Data'!$A117,'Data entry'!$B$6:$B$200,{"Confirmed";"Probable"},'Data entry'!$AQ$6:$AQ$200,'Data Validation'!$V$11, 'Data entry'!$AP$6:$AP$200,'Data Validation'!$U$5, 'Data entry'!$BD$6:$BD$200,"&lt;&gt;*Negative*"))</f>
        <v>0</v>
      </c>
      <c r="CC117" s="15">
        <f>SUM(COUNTIFS('Data entry'!$R$6:$R$200,'Summary Data'!$A117,'Data entry'!$B$6:$B$200,{"Confirmed";"Probable"},'Data entry'!$AQ$6:$AQ$200,'Data Validation'!$V$11, 'Data entry'!$AP$6:$AP$200,'Data Validation'!$U$6, 'Data entry'!$BD$6:$BD$200,"&lt;&gt;*Negative*"))</f>
        <v>0</v>
      </c>
    </row>
    <row r="118" spans="1:81" x14ac:dyDescent="0.25">
      <c r="A118" s="12">
        <f t="shared" si="9"/>
        <v>106</v>
      </c>
      <c r="B118" s="13">
        <f t="shared" si="6"/>
        <v>0</v>
      </c>
      <c r="C118" s="13">
        <f>COUNTIFS('Data entry'!$R$6:$R$200,$A118,'Data entry'!$B$6:$B$200,"Confirmed",'Data entry'!$BD$6:$BD$200,"&lt;&gt;*Negative*")</f>
        <v>0</v>
      </c>
      <c r="D118" s="13">
        <f>COUNTIFS('Data entry'!$R$6:$R$200,$A118,'Data entry'!$B$6:$B$200,"Probable",'Data entry'!$BD$6:$BD$200,"&lt;&gt;*Negative*")</f>
        <v>0</v>
      </c>
      <c r="E118" s="13">
        <f>COUNTIFS('Data entry'!$R$6:$R$200,$A118,'Data entry'!$B$6:$B$200,"DNM")</f>
        <v>0</v>
      </c>
      <c r="F118" s="13">
        <f>SUM(COUNTIFS('Data entry'!$R$6:$R$200,'Summary Data'!$A118,'Data entry'!$B$6:$B$200,{"Confirmed";"Probable"},'Data entry'!$AO$6:$AO$200,$F$10, 'Data entry'!$BD$6:$BD$200,"&lt;&gt;*Negative*"))</f>
        <v>0</v>
      </c>
      <c r="G118" s="13">
        <f>SUM(COUNTIFS('Data entry'!$R$6:$R$200,'Summary Data'!$A118,'Data entry'!$B$6:$B$200,{"Confirmed";"Probable"},'Data entry'!$AO$6:$AO$200,$G$10, 'Data entry'!$BD$6:$BD$200,"&lt;&gt;*Negative*"))</f>
        <v>0</v>
      </c>
      <c r="H118" s="13">
        <f>SUM(COUNTIFS('Data entry'!$R$6:$R$200,'Summary Data'!$A118,'Data entry'!$B$6:$B$200,{"Confirmed";"Probable"},'Data entry'!$AO$6:$AO$200,$H$10, 'Data entry'!$BD$6:$BD$200,"&lt;&gt;*Negative*"))</f>
        <v>0</v>
      </c>
      <c r="I118" s="13">
        <f>SUM(COUNTIFS('Data entry'!$R$6:$R$200,'Summary Data'!$A118,'Data entry'!$B$6:$B$200,{"Confirmed";"Probable"},'Data entry'!$AO$6:$AO$200,$I$10, 'Data entry'!$BD$6:$BD$200,"&lt;&gt;*Negative*"))</f>
        <v>0</v>
      </c>
      <c r="J118" s="13">
        <f>SUM(COUNTIFS('Data entry'!$R$6:$R$200,'Summary Data'!$A118,'Data entry'!$B$6:$B$200,{"Confirmed";"Probable"},'Data entry'!$AO$6:$AO$200,$J$10, 'Data entry'!$BD$6:$BD$200,"&lt;&gt;*Negative*"))</f>
        <v>0</v>
      </c>
      <c r="K118" s="13">
        <f>SUM(COUNTIFS('Data entry'!$R$6:$R$200,'Summary Data'!$A118,'Data entry'!$B$6:$B$200,{"Confirmed";"Probable"},'Data entry'!$AO$6:$AO$200,$K$10, 'Data entry'!$BD$6:$BD$200,"&lt;&gt;*Negative*"))</f>
        <v>0</v>
      </c>
      <c r="L118" s="13">
        <f>SUM(COUNTIFS('Data entry'!$R$6:$R$200,'Summary Data'!$A118,'Data entry'!$B$6:$B$200,{"Confirmed";"Probable"},'Data entry'!$AO$6:$AO$200,$L$10, 'Data entry'!$BD$6:$BD$200,"&lt;&gt;*Negative*"))</f>
        <v>0</v>
      </c>
      <c r="M118" s="13">
        <f>SUM(COUNTIFS('Data entry'!$R$6:$R$200,'Summary Data'!$A118,'Data entry'!$B$6:$B$200,{"Confirmed";"Probable"},'Data entry'!$AO$6:$AO$200,$M$10, 'Data entry'!$BD$6:$BD$200,"&lt;&gt;*Negative*"))</f>
        <v>0</v>
      </c>
      <c r="N118" s="13">
        <f>SUM(COUNTIFS('Data entry'!$R$6:$R$200,'Summary Data'!$A118,'Data entry'!$B$6:$B$200,{"Confirmed";"Probable"},'Data entry'!$AO$6:$AO$200,$N$10, 'Data entry'!$BD$6:$BD$200,"&lt;&gt;*Negative*"))</f>
        <v>0</v>
      </c>
      <c r="O118" s="15">
        <f t="shared" si="7"/>
        <v>0</v>
      </c>
      <c r="P118" s="15">
        <f t="shared" si="8"/>
        <v>0</v>
      </c>
      <c r="Q118" s="15">
        <f>SUM(COUNTIFS('Data entry'!$R$6:$R$200,'Summary Data'!$A118,'Data entry'!$B$6:$B$200,{"Confirmed";"Probable"},'Data entry'!$AP$6:$AP$200,'Data Validation'!$U$2, 'Data entry'!$BD$6:$BD$200,"&lt;&gt;*Negative*"))</f>
        <v>0</v>
      </c>
      <c r="R118" s="15">
        <f>SUM(COUNTIFS('Data entry'!$R$6:$R$200,'Summary Data'!$A118,'Data entry'!$B$6:$B$200,{"Confirmed";"Probable"},'Data entry'!$AP$6:$AP$200,'Data Validation'!$U$3, 'Data entry'!$BD$6:$BD$200,"&lt;&gt;*Negative*"))</f>
        <v>0</v>
      </c>
      <c r="S118" s="15">
        <f>SUM(COUNTIFS('Data entry'!$R$6:$R$200,'Summary Data'!$A118,'Data entry'!$B$6:$B$200,{"Confirmed";"Probable"},'Data entry'!$AP$6:$AP$200,'Data Validation'!$U$4, 'Data entry'!$BD$6:$BD$200,"&lt;&gt;*Negative*"))</f>
        <v>0</v>
      </c>
      <c r="T118" s="15">
        <f>SUM(COUNTIFS('Data entry'!$R$6:$R$200,'Summary Data'!$A118,'Data entry'!$B$6:$B$200,{"Confirmed";"Probable"},'Data entry'!$AP$6:$AP$200,'Data Validation'!$U$5, 'Data entry'!$BD$6:$BD$200,"&lt;&gt;*Negative*"))</f>
        <v>0</v>
      </c>
      <c r="U118" s="15">
        <f>SUM(COUNTIFS('Data entry'!$R$6:$R$200,'Summary Data'!$A118,'Data entry'!$B$6:$B$200,{"Confirmed";"Probable"},'Data entry'!$AP$6:$AP$200,'Data Validation'!$U$6, 'Data entry'!$BD$6:$BD$200,"&lt;&gt;*Negative*"))</f>
        <v>0</v>
      </c>
      <c r="V118" s="15">
        <f>SUM(COUNTIFS('Data entry'!$R$6:$R$200,'Summary Data'!$A118,'Data entry'!$B$6:$B$200,{"Confirmed";"Probable"},'Data entry'!$AQ$6:$AQ$200,'Data Validation'!$V$2, 'Data entry'!$BD$6:$BD$200,"&lt;&gt;*Negative*"))</f>
        <v>0</v>
      </c>
      <c r="W118" s="15">
        <f>SUM(COUNTIFS('Data entry'!$R$6:$R$200,'Summary Data'!$A118,'Data entry'!$B$6:$B$200,{"Confirmed";"Probable"},'Data entry'!$AQ$6:$AQ$200,'Data Validation'!$V$3, 'Data entry'!$BD$6:$BD$200,"&lt;&gt;*Negative*"))</f>
        <v>0</v>
      </c>
      <c r="X118" s="15">
        <f>SUM(COUNTIFS('Data entry'!$R$6:$R$200,'Summary Data'!$A118,'Data entry'!$B$6:$B$200,{"Confirmed";"Probable"},'Data entry'!$AQ$6:$AQ$200,'Data Validation'!$V$4, 'Data entry'!$BD$6:$BD$200,"&lt;&gt;*Negative*"))</f>
        <v>0</v>
      </c>
      <c r="Y118" s="15">
        <f>SUM(COUNTIFS('Data entry'!$R$6:$R$200,'Summary Data'!$A118,'Data entry'!$B$6:$B$200,{"Confirmed";"Probable"},'Data entry'!$AQ$6:$AQ$200,'Data Validation'!$V$5, 'Data entry'!$BD$6:$BD$200,"&lt;&gt;*Negative*"))</f>
        <v>0</v>
      </c>
      <c r="Z118" s="15">
        <f>SUM(COUNTIFS('Data entry'!$R$6:$R$200,'Summary Data'!$A118,'Data entry'!$B$6:$B$200,{"Confirmed";"Probable"},'Data entry'!$AQ$6:$AQ$200,'Data Validation'!$V$6, 'Data entry'!$BD$6:$BD$200,"&lt;&gt;*Negative*"))</f>
        <v>0</v>
      </c>
      <c r="AA118" s="15">
        <f>SUM(COUNTIFS('Data entry'!$R$6:$R$200,'Summary Data'!$A118,'Data entry'!$B$6:$B$200,{"Confirmed";"Probable"},'Data entry'!$AQ$6:$AQ$200,'Data Validation'!$V$7, 'Data entry'!$BD$6:$BD$200,"&lt;&gt;*Negative*"))</f>
        <v>0</v>
      </c>
      <c r="AB118" s="15">
        <f>SUM(COUNTIFS('Data entry'!$R$6:$R$200,'Summary Data'!$A118,'Data entry'!$B$6:$B$200,{"Confirmed";"Probable"},'Data entry'!$AQ$6:$AQ$200,'Data Validation'!$V$8, 'Data entry'!$BD$6:$BD$200,"&lt;&gt;*Negative*"))</f>
        <v>0</v>
      </c>
      <c r="AC118" s="15">
        <f>SUM(COUNTIFS('Data entry'!$R$6:$R$200,'Summary Data'!$A118,'Data entry'!$B$6:$B$200,{"Confirmed";"Probable"},'Data entry'!$AQ$6:$AQ$200,'Data Validation'!$V$9, 'Data entry'!$BD$6:$BD$200,"&lt;&gt;*Negative*"))</f>
        <v>0</v>
      </c>
      <c r="AD118" s="15">
        <f>SUM(COUNTIFS('Data entry'!$R$6:$R$200,'Summary Data'!$A118,'Data entry'!$B$6:$B$200,{"Confirmed";"Probable"},'Data entry'!$AQ$6:$AQ$200,'Data Validation'!$V$10, 'Data entry'!$BD$6:$BD$200,"&lt;&gt;*Negative*"))</f>
        <v>0</v>
      </c>
      <c r="AE118" s="15">
        <f>SUM(COUNTIFS('Data entry'!$R$6:$R$200,'Summary Data'!$A118,'Data entry'!$B$6:$B$200,{"Confirmed";"Probable"},'Data entry'!$AQ$6:$AQ$200,'Data Validation'!$V$11, 'Data entry'!$BD$6:$BD$200,"&lt;&gt;*Negative*"))</f>
        <v>0</v>
      </c>
      <c r="AF118" s="15">
        <f>SUM(COUNTIFS('Data entry'!$R$6:$R$200,'Summary Data'!$A118,'Data entry'!$B$6:$B$200,{"Confirmed";"Probable"},'Data entry'!$AQ$6:$AQ$200,'Data Validation'!$V$2, 'Data entry'!$AP$6:$AP$200,'Data Validation'!$U$2, 'Data entry'!$BD$6:$BD$200,"&lt;&gt;*Negative*"))</f>
        <v>0</v>
      </c>
      <c r="AG118" s="15">
        <f>SUM(COUNTIFS('Data entry'!$R$6:$R$200,'Summary Data'!$A118,'Data entry'!$B$6:$B$200,{"Confirmed";"Probable"},'Data entry'!$AQ$6:$AQ$200,'Data Validation'!$V$2, 'Data entry'!$AP$6:$AP$200,'Data Validation'!$U$3, 'Data entry'!$BD$6:$BD$200,"&lt;&gt;*Negative*"))</f>
        <v>0</v>
      </c>
      <c r="AH118" s="15">
        <f>SUM(COUNTIFS('Data entry'!$R$6:$R$200,'Summary Data'!$A118,'Data entry'!$B$6:$B$200,{"Confirmed";"Probable"},'Data entry'!$AQ$6:$AQ$200,'Data Validation'!$V$2, 'Data entry'!$AP$6:$AP$200,'Data Validation'!$U$4, 'Data entry'!$BD$6:$BD$200,"&lt;&gt;*Negative*"))</f>
        <v>0</v>
      </c>
      <c r="AI118" s="15">
        <f>SUM(COUNTIFS('Data entry'!$R$6:$R$200,'Summary Data'!$A118,'Data entry'!$B$6:$B$200,{"Confirmed";"Probable"},'Data entry'!$AQ$6:$AQ$200,'Data Validation'!$V$2, 'Data entry'!$AP$6:$AP$200,'Data Validation'!$U$5, 'Data entry'!$BD$6:$BD$200,"&lt;&gt;*Negative*"))</f>
        <v>0</v>
      </c>
      <c r="AJ118" s="15">
        <f>SUM(COUNTIFS('Data entry'!$R$6:$R$200,'Summary Data'!$A118,'Data entry'!$B$6:$B$200,{"Confirmed";"Probable"},'Data entry'!$AQ$6:$AQ$200,'Data Validation'!$V$2, 'Data entry'!$AP$6:$AP$200,'Data Validation'!$U$6, 'Data entry'!$BD$6:$BD$200,"&lt;&gt;*Negative*"))</f>
        <v>0</v>
      </c>
      <c r="AK118" s="15">
        <f>SUM(COUNTIFS('Data entry'!$R$6:$R$200,'Summary Data'!$A118,'Data entry'!$B$6:$B$200,{"Confirmed";"Probable"},'Data entry'!$AQ$6:$AQ$200,'Data Validation'!$V$3, 'Data entry'!$AP$6:$AP$200,'Data Validation'!$U$2, 'Data entry'!$BD$6:$BD$200,"&lt;&gt;*Negative*"))</f>
        <v>0</v>
      </c>
      <c r="AL118" s="15">
        <f>SUM(COUNTIFS('Data entry'!$R$6:$R$200,'Summary Data'!$A118,'Data entry'!$B$6:$B$200,{"Confirmed";"Probable"},'Data entry'!$AQ$6:$AQ$200,'Data Validation'!$V$3, 'Data entry'!$AP$6:$AP$200,'Data Validation'!$U$3, 'Data entry'!$BD$6:$BD$200,"&lt;&gt;*Negative*"))</f>
        <v>0</v>
      </c>
      <c r="AM118" s="15">
        <f>SUM(COUNTIFS('Data entry'!$R$6:$R$200,'Summary Data'!$A118,'Data entry'!$B$6:$B$200,{"Confirmed";"Probable"},'Data entry'!$AQ$6:$AQ$200,'Data Validation'!$V$3, 'Data entry'!$AP$6:$AP$200,'Data Validation'!$U$4, 'Data entry'!$BD$6:$BD$200,"&lt;&gt;*Negative*"))</f>
        <v>0</v>
      </c>
      <c r="AN118" s="15">
        <f>SUM(COUNTIFS('Data entry'!$R$6:$R$200,'Summary Data'!$A118,'Data entry'!$B$6:$B$200,{"Confirmed";"Probable"},'Data entry'!$AQ$6:$AQ$200,'Data Validation'!$V$3, 'Data entry'!$AP$6:$AP$200,'Data Validation'!$U$5, 'Data entry'!$BD$6:$BD$200,"&lt;&gt;*Negative*"))</f>
        <v>0</v>
      </c>
      <c r="AO118" s="15">
        <f>SUM(COUNTIFS('Data entry'!$R$6:$R$200,'Summary Data'!$A118,'Data entry'!$B$6:$B$200,{"Confirmed";"Probable"},'Data entry'!$AQ$6:$AQ$200,'Data Validation'!$V$3, 'Data entry'!$AP$6:$AP$200,'Data Validation'!$U$6, 'Data entry'!$BD$6:$BD$200,"&lt;&gt;*Negative*"))</f>
        <v>0</v>
      </c>
      <c r="AP118" s="15">
        <f>SUM(COUNTIFS('Data entry'!$R$6:$R$200,'Summary Data'!$A118,'Data entry'!$B$6:$B$200,{"Confirmed";"Probable"},'Data entry'!$AQ$6:$AQ$200,'Data Validation'!$V$4, 'Data entry'!$AP$6:$AP$200,'Data Validation'!$U$2, 'Data entry'!$BD$6:$BD$200,"&lt;&gt;*Negative*"))</f>
        <v>0</v>
      </c>
      <c r="AQ118" s="15">
        <f>SUM(COUNTIFS('Data entry'!$R$6:$R$200,'Summary Data'!$A118,'Data entry'!$B$6:$B$200,{"Confirmed";"Probable"},'Data entry'!$AQ$6:$AQ$200,'Data Validation'!$V$4, 'Data entry'!$AP$6:$AP$200,'Data Validation'!$U$3, 'Data entry'!$BD$6:$BD$200,"&lt;&gt;*Negative*"))</f>
        <v>0</v>
      </c>
      <c r="AR118" s="15">
        <f>SUM(COUNTIFS('Data entry'!$R$6:$R$200,'Summary Data'!$A118,'Data entry'!$B$6:$B$200,{"Confirmed";"Probable"},'Data entry'!$AQ$6:$AQ$200,'Data Validation'!$V$4, 'Data entry'!$AP$6:$AP$200,'Data Validation'!$U$4, 'Data entry'!$BD$6:$BD$200,"&lt;&gt;*Negative*"))</f>
        <v>0</v>
      </c>
      <c r="AS118" s="15">
        <f>SUM(COUNTIFS('Data entry'!$R$6:$R$200,'Summary Data'!$A118,'Data entry'!$B$6:$B$200,{"Confirmed";"Probable"},'Data entry'!$AQ$6:$AQ$200,'Data Validation'!$V$4, 'Data entry'!$AP$6:$AP$200,'Data Validation'!$U$5, 'Data entry'!$BD$6:$BD$200,"&lt;&gt;*Negative*"))</f>
        <v>0</v>
      </c>
      <c r="AT118" s="15">
        <f>SUM(COUNTIFS('Data entry'!$R$6:$R$200,'Summary Data'!$A118,'Data entry'!$B$6:$B$200,{"Confirmed";"Probable"},'Data entry'!$AQ$6:$AQ$200,'Data Validation'!$V$4, 'Data entry'!$AP$6:$AP$200,'Data Validation'!$U$6, 'Data entry'!$BD$6:$BD$200,"&lt;&gt;*Negative*"))</f>
        <v>0</v>
      </c>
      <c r="AU118" s="15">
        <f>SUM(COUNTIFS('Data entry'!$R$6:$R$200,'Summary Data'!$A118,'Data entry'!$B$6:$B$200,{"Confirmed";"Probable"},'Data entry'!$AQ$6:$AQ$200,'Data Validation'!$V$5, 'Data entry'!$AP$6:$AP$200,'Data Validation'!$U$2, 'Data entry'!$BD$6:$BD$200,"&lt;&gt;*Negative*"))</f>
        <v>0</v>
      </c>
      <c r="AV118" s="15">
        <f>SUM(COUNTIFS('Data entry'!$R$6:$R$200,'Summary Data'!$A118,'Data entry'!$B$6:$B$200,{"Confirmed";"Probable"},'Data entry'!$AQ$6:$AQ$200,'Data Validation'!$V$5, 'Data entry'!$AP$6:$AP$200,'Data Validation'!$U$3, 'Data entry'!$BD$6:$BD$200,"&lt;&gt;*Negative*"))</f>
        <v>0</v>
      </c>
      <c r="AW118" s="15">
        <f>SUM(COUNTIFS('Data entry'!$R$6:$R$200,'Summary Data'!$A118,'Data entry'!$B$6:$B$200,{"Confirmed";"Probable"},'Data entry'!$AQ$6:$AQ$200,'Data Validation'!$V$5, 'Data entry'!$AP$6:$AP$200,'Data Validation'!$U$4, 'Data entry'!$BD$6:$BD$200,"&lt;&gt;*Negative*"))</f>
        <v>0</v>
      </c>
      <c r="AX118" s="15">
        <f>SUM(COUNTIFS('Data entry'!$R$6:$R$200,'Summary Data'!$A118,'Data entry'!$B$6:$B$200,{"Confirmed";"Probable"},'Data entry'!$AQ$6:$AQ$200,'Data Validation'!$V$5, 'Data entry'!$AP$6:$AP$200,'Data Validation'!$U$5, 'Data entry'!$BD$6:$BD$200,"&lt;&gt;*Negative*"))</f>
        <v>0</v>
      </c>
      <c r="AY118" s="15">
        <f>SUM(COUNTIFS('Data entry'!$R$6:$R$200,'Summary Data'!$A118,'Data entry'!$B$6:$B$200,{"Confirmed";"Probable"},'Data entry'!$AQ$6:$AQ$200,'Data Validation'!$V$5, 'Data entry'!$AP$6:$AP$200,'Data Validation'!$U$6, 'Data entry'!$BD$6:$BD$200,"&lt;&gt;*Negative*"))</f>
        <v>0</v>
      </c>
      <c r="AZ118" s="15">
        <f>SUM(COUNTIFS('Data entry'!$R$6:$R$200,'Summary Data'!$A118,'Data entry'!$B$6:$B$200,{"Confirmed";"Probable"},'Data entry'!$AQ$6:$AQ$200,'Data Validation'!$V$6, 'Data entry'!$AP$6:$AP$200,'Data Validation'!$U$2, 'Data entry'!$BD$6:$BD$200,"&lt;&gt;*Negative*"))</f>
        <v>0</v>
      </c>
      <c r="BA118" s="15">
        <f>SUM(COUNTIFS('Data entry'!$R$6:$R$200,'Summary Data'!$A118,'Data entry'!$B$6:$B$200,{"Confirmed";"Probable"},'Data entry'!$AQ$6:$AQ$200,'Data Validation'!$V$6, 'Data entry'!$AP$6:$AP$200,'Data Validation'!$U$3, 'Data entry'!$BD$6:$BD$200,"&lt;&gt;*Negative*"))</f>
        <v>0</v>
      </c>
      <c r="BB118" s="15">
        <f>SUM(COUNTIFS('Data entry'!$R$6:$R$200,'Summary Data'!$A118,'Data entry'!$B$6:$B$200,{"Confirmed";"Probable"},'Data entry'!$AQ$6:$AQ$200,'Data Validation'!$V$6, 'Data entry'!$AP$6:$AP$200,'Data Validation'!$U$4, 'Data entry'!$BD$6:$BD$200,"&lt;&gt;*Negative*"))</f>
        <v>0</v>
      </c>
      <c r="BC118" s="15">
        <f>SUM(COUNTIFS('Data entry'!$R$6:$R$200,'Summary Data'!$A118,'Data entry'!$B$6:$B$200,{"Confirmed";"Probable"},'Data entry'!$AQ$6:$AQ$200,'Data Validation'!$V$6, 'Data entry'!$AP$6:$AP$200,'Data Validation'!$U$5, 'Data entry'!$BD$6:$BD$200,"&lt;&gt;*Negative*"))</f>
        <v>0</v>
      </c>
      <c r="BD118" s="15">
        <f>SUM(COUNTIFS('Data entry'!$R$6:$R$200,'Summary Data'!$A118,'Data entry'!$B$6:$B$200,{"Confirmed";"Probable"},'Data entry'!$AQ$6:$AQ$200,'Data Validation'!$V$6, 'Data entry'!$AP$6:$AP$200,'Data Validation'!$U$6, 'Data entry'!$BD$6:$BD$200,"&lt;&gt;*Negative*"))</f>
        <v>0</v>
      </c>
      <c r="BE118" s="15">
        <f>SUM(COUNTIFS('Data entry'!$R$6:$R$200,'Summary Data'!$A118,'Data entry'!$B$6:$B$200,{"Confirmed";"Probable"},'Data entry'!$AQ$6:$AQ$200,'Data Validation'!$V$7, 'Data entry'!$AP$6:$AP$200,'Data Validation'!$U$2, 'Data entry'!$BD$6:$BD$200,"&lt;&gt;*Negative*"))</f>
        <v>0</v>
      </c>
      <c r="BF118" s="15">
        <f>SUM(COUNTIFS('Data entry'!$R$6:$R$200,'Summary Data'!$A118,'Data entry'!$B$6:$B$200,{"Confirmed";"Probable"},'Data entry'!$AQ$6:$AQ$200,'Data Validation'!$V$7, 'Data entry'!$AP$6:$AP$200,'Data Validation'!$U$3, 'Data entry'!$BD$6:$BD$200,"&lt;&gt;*Negative*"))</f>
        <v>0</v>
      </c>
      <c r="BG118" s="15">
        <f>SUM(COUNTIFS('Data entry'!$R$6:$R$200,'Summary Data'!$A118,'Data entry'!$B$6:$B$200,{"Confirmed";"Probable"},'Data entry'!$AQ$6:$AQ$200,'Data Validation'!$V$7, 'Data entry'!$AP$6:$AP$200,'Data Validation'!$U$4, 'Data entry'!$BD$6:$BD$200,"&lt;&gt;*Negative*"))</f>
        <v>0</v>
      </c>
      <c r="BH118" s="15">
        <f>SUM(COUNTIFS('Data entry'!$R$6:$R$200,'Summary Data'!$A118,'Data entry'!$B$6:$B$200,{"Confirmed";"Probable"},'Data entry'!$AQ$6:$AQ$200,'Data Validation'!$V$7, 'Data entry'!$AP$6:$AP$200,'Data Validation'!$U$5, 'Data entry'!$BD$6:$BD$200,"&lt;&gt;*Negative*"))</f>
        <v>0</v>
      </c>
      <c r="BI118" s="15">
        <f>SUM(COUNTIFS('Data entry'!$R$6:$R$200,'Summary Data'!$A118,'Data entry'!$B$6:$B$200,{"Confirmed";"Probable"},'Data entry'!$AQ$6:$AQ$200,'Data Validation'!$V$7, 'Data entry'!$AP$6:$AP$200,'Data Validation'!$U$6, 'Data entry'!$BD$6:$BD$200,"&lt;&gt;*Negative*"))</f>
        <v>0</v>
      </c>
      <c r="BJ118" s="15">
        <f>SUM(COUNTIFS('Data entry'!$R$6:$R$200,'Summary Data'!$A118,'Data entry'!$B$6:$B$200,{"Confirmed";"Probable"},'Data entry'!$AQ$6:$AQ$200,'Data Validation'!$V$8, 'Data entry'!$AP$6:$AP$200,'Data Validation'!$U$2, 'Data entry'!$BD$6:$BD$200,"&lt;&gt;*Negative*"))</f>
        <v>0</v>
      </c>
      <c r="BK118" s="15">
        <f>SUM(COUNTIFS('Data entry'!$R$6:$R$200,'Summary Data'!$A118,'Data entry'!$B$6:$B$200,{"Confirmed";"Probable"},'Data entry'!$AQ$6:$AQ$200,'Data Validation'!$V$8, 'Data entry'!$AP$6:$AP$200,'Data Validation'!$U$3, 'Data entry'!$BD$6:$BD$200,"&lt;&gt;*Negative*"))</f>
        <v>0</v>
      </c>
      <c r="BL118" s="15">
        <f>SUM(COUNTIFS('Data entry'!$R$6:$R$200,'Summary Data'!$A118,'Data entry'!$B$6:$B$200,{"Confirmed";"Probable"},'Data entry'!$AQ$6:$AQ$200,'Data Validation'!$V$8, 'Data entry'!$AP$6:$AP$200,'Data Validation'!$U$4, 'Data entry'!$BD$6:$BD$200,"&lt;&gt;*Negative*"))</f>
        <v>0</v>
      </c>
      <c r="BM118" s="15">
        <f>SUM(COUNTIFS('Data entry'!$R$6:$R$200,'Summary Data'!$A118,'Data entry'!$B$6:$B$200,{"Confirmed";"Probable"},'Data entry'!$AQ$6:$AQ$200,'Data Validation'!$V$8, 'Data entry'!$AP$6:$AP$200,'Data Validation'!$U$5, 'Data entry'!$BD$6:$BD$200,"&lt;&gt;*Negative*"))</f>
        <v>0</v>
      </c>
      <c r="BN118" s="15">
        <f>SUM(COUNTIFS('Data entry'!$R$6:$R$200,'Summary Data'!$A118,'Data entry'!$B$6:$B$200,{"Confirmed";"Probable"},'Data entry'!$AQ$6:$AQ$200,'Data Validation'!$V$8, 'Data entry'!$AP$6:$AP$200,'Data Validation'!$U$6, 'Data entry'!$BD$6:$BD$200,"&lt;&gt;*Negative*"))</f>
        <v>0</v>
      </c>
      <c r="BO118" s="15">
        <f>SUM(COUNTIFS('Data entry'!$R$6:$R$200,'Summary Data'!$A118,'Data entry'!$B$6:$B$200,{"Confirmed";"Probable"},'Data entry'!$AQ$6:$AQ$200,'Data Validation'!$V$9, 'Data entry'!$AP$6:$AP$200,'Data Validation'!$U$2, 'Data entry'!$BD$6:$BD$200,"&lt;&gt;*Negative*"))</f>
        <v>0</v>
      </c>
      <c r="BP118" s="15">
        <f>SUM(COUNTIFS('Data entry'!$R$6:$R$200,'Summary Data'!$A118,'Data entry'!$B$6:$B$200,{"Confirmed";"Probable"},'Data entry'!$AQ$6:$AQ$200,'Data Validation'!$V$9, 'Data entry'!$AP$6:$AP$200,'Data Validation'!$U$3, 'Data entry'!$BD$6:$BD$200,"&lt;&gt;*Negative*"))</f>
        <v>0</v>
      </c>
      <c r="BQ118" s="15">
        <f>SUM(COUNTIFS('Data entry'!$R$6:$R$200,'Summary Data'!$A118,'Data entry'!$B$6:$B$200,{"Confirmed";"Probable"},'Data entry'!$AQ$6:$AQ$200,'Data Validation'!$V$9, 'Data entry'!$AP$6:$AP$200,'Data Validation'!$U$4, 'Data entry'!$BD$6:$BD$200,"&lt;&gt;*Negative*"))</f>
        <v>0</v>
      </c>
      <c r="BR118" s="15">
        <f>SUM(COUNTIFS('Data entry'!$R$6:$R$200,'Summary Data'!$A118,'Data entry'!$B$6:$B$200,{"Confirmed";"Probable"},'Data entry'!$AQ$6:$AQ$200,'Data Validation'!$V$9, 'Data entry'!$AP$6:$AP$200,'Data Validation'!$U$5, 'Data entry'!$BD$6:$BD$200,"&lt;&gt;*Negative*"))</f>
        <v>0</v>
      </c>
      <c r="BS118" s="15">
        <f>SUM(COUNTIFS('Data entry'!$R$6:$R$200,'Summary Data'!$A118,'Data entry'!$B$6:$B$200,{"Confirmed";"Probable"},'Data entry'!$AQ$6:$AQ$200,'Data Validation'!$V$9, 'Data entry'!$AP$6:$AP$200,'Data Validation'!$U$6, 'Data entry'!$BD$6:$BD$200,"&lt;&gt;*Negative*"))</f>
        <v>0</v>
      </c>
      <c r="BT118" s="15">
        <f>SUM(COUNTIFS('Data entry'!$R$6:$R$200,'Summary Data'!$A118,'Data entry'!$B$6:$B$200,{"Confirmed";"Probable"},'Data entry'!$AQ$6:$AQ$200,'Data Validation'!$V$10, 'Data entry'!$AP$6:$AP$200,'Data Validation'!$U$2, 'Data entry'!$BD$6:$BD$200,"&lt;&gt;*Negative*"))</f>
        <v>0</v>
      </c>
      <c r="BU118" s="15">
        <f>SUM(COUNTIFS('Data entry'!$R$6:$R$200,'Summary Data'!$A118,'Data entry'!$B$6:$B$200,{"Confirmed";"Probable"},'Data entry'!$AQ$6:$AQ$200,'Data Validation'!$V$10, 'Data entry'!$AP$6:$AP$200,'Data Validation'!$U$3, 'Data entry'!$BD$6:$BD$200,"&lt;&gt;*Negative*"))</f>
        <v>0</v>
      </c>
      <c r="BV118" s="15">
        <f>SUM(COUNTIFS('Data entry'!$R$6:$R$200,'Summary Data'!$A118,'Data entry'!$B$6:$B$200,{"Confirmed";"Probable"},'Data entry'!$AQ$6:$AQ$200,'Data Validation'!$V$10, 'Data entry'!$AP$6:$AP$200,'Data Validation'!$U$4, 'Data entry'!$BD$6:$BD$200,"&lt;&gt;*Negative*"))</f>
        <v>0</v>
      </c>
      <c r="BW118" s="15">
        <f>SUM(COUNTIFS('Data entry'!$R$6:$R$200,'Summary Data'!$A118,'Data entry'!$B$6:$B$200,{"Confirmed";"Probable"},'Data entry'!$AQ$6:$AQ$200,'Data Validation'!$V$10, 'Data entry'!$AP$6:$AP$200,'Data Validation'!$U$5, 'Data entry'!$BD$6:$BD$200,"&lt;&gt;*Negative*"))</f>
        <v>0</v>
      </c>
      <c r="BX118" s="15">
        <f>SUM(COUNTIFS('Data entry'!$R$6:$R$200,'Summary Data'!$A118,'Data entry'!$B$6:$B$200,{"Confirmed";"Probable"},'Data entry'!$AQ$6:$AQ$200,'Data Validation'!$V$10, 'Data entry'!$AP$6:$AP$200,'Data Validation'!$U$6, 'Data entry'!$BD$6:$BD$200,"&lt;&gt;*Negative*"))</f>
        <v>0</v>
      </c>
      <c r="BY118" s="15">
        <f>SUM(COUNTIFS('Data entry'!$R$6:$R$200,'Summary Data'!$A118,'Data entry'!$B$6:$B$200,{"Confirmed";"Probable"},'Data entry'!$AQ$6:$AQ$200,'Data Validation'!$V$11, 'Data entry'!$AP$6:$AP$200,'Data Validation'!$U$2, 'Data entry'!$BD$6:$BD$200,"&lt;&gt;*Negative*"))</f>
        <v>0</v>
      </c>
      <c r="BZ118" s="15">
        <f>SUM(COUNTIFS('Data entry'!$R$6:$R$200,'Summary Data'!$A118,'Data entry'!$B$6:$B$200,{"Confirmed";"Probable"},'Data entry'!$AQ$6:$AQ$200,'Data Validation'!$V$11, 'Data entry'!$AP$6:$AP$200,'Data Validation'!$U$3, 'Data entry'!$BD$6:$BD$200,"&lt;&gt;*Negative*"))</f>
        <v>0</v>
      </c>
      <c r="CA118" s="15">
        <f>SUM(COUNTIFS('Data entry'!$R$6:$R$200,'Summary Data'!$A118,'Data entry'!$B$6:$B$200,{"Confirmed";"Probable"},'Data entry'!$AQ$6:$AQ$200,'Data Validation'!$V$11, 'Data entry'!$AP$6:$AP$200,'Data Validation'!$U$4, 'Data entry'!$BD$6:$BD$200,"&lt;&gt;*Negative*"))</f>
        <v>0</v>
      </c>
      <c r="CB118" s="15">
        <f>SUM(COUNTIFS('Data entry'!$R$6:$R$200,'Summary Data'!$A118,'Data entry'!$B$6:$B$200,{"Confirmed";"Probable"},'Data entry'!$AQ$6:$AQ$200,'Data Validation'!$V$11, 'Data entry'!$AP$6:$AP$200,'Data Validation'!$U$5, 'Data entry'!$BD$6:$BD$200,"&lt;&gt;*Negative*"))</f>
        <v>0</v>
      </c>
      <c r="CC118" s="15">
        <f>SUM(COUNTIFS('Data entry'!$R$6:$R$200,'Summary Data'!$A118,'Data entry'!$B$6:$B$200,{"Confirmed";"Probable"},'Data entry'!$AQ$6:$AQ$200,'Data Validation'!$V$11, 'Data entry'!$AP$6:$AP$200,'Data Validation'!$U$6, 'Data entry'!$BD$6:$BD$200,"&lt;&gt;*Negative*"))</f>
        <v>0</v>
      </c>
    </row>
    <row r="119" spans="1:81" x14ac:dyDescent="0.25">
      <c r="A119" s="12">
        <f t="shared" si="9"/>
        <v>107</v>
      </c>
      <c r="B119" s="13">
        <f t="shared" si="6"/>
        <v>0</v>
      </c>
      <c r="C119" s="13">
        <f>COUNTIFS('Data entry'!$R$6:$R$200,$A119,'Data entry'!$B$6:$B$200,"Confirmed",'Data entry'!$BD$6:$BD$200,"&lt;&gt;*Negative*")</f>
        <v>0</v>
      </c>
      <c r="D119" s="13">
        <f>COUNTIFS('Data entry'!$R$6:$R$200,$A119,'Data entry'!$B$6:$B$200,"Probable",'Data entry'!$BD$6:$BD$200,"&lt;&gt;*Negative*")</f>
        <v>0</v>
      </c>
      <c r="E119" s="13">
        <f>COUNTIFS('Data entry'!$R$6:$R$200,$A119,'Data entry'!$B$6:$B$200,"DNM")</f>
        <v>0</v>
      </c>
      <c r="F119" s="13">
        <f>SUM(COUNTIFS('Data entry'!$R$6:$R$200,'Summary Data'!$A119,'Data entry'!$B$6:$B$200,{"Confirmed";"Probable"},'Data entry'!$AO$6:$AO$200,$F$10, 'Data entry'!$BD$6:$BD$200,"&lt;&gt;*Negative*"))</f>
        <v>0</v>
      </c>
      <c r="G119" s="13">
        <f>SUM(COUNTIFS('Data entry'!$R$6:$R$200,'Summary Data'!$A119,'Data entry'!$B$6:$B$200,{"Confirmed";"Probable"},'Data entry'!$AO$6:$AO$200,$G$10, 'Data entry'!$BD$6:$BD$200,"&lt;&gt;*Negative*"))</f>
        <v>0</v>
      </c>
      <c r="H119" s="13">
        <f>SUM(COUNTIFS('Data entry'!$R$6:$R$200,'Summary Data'!$A119,'Data entry'!$B$6:$B$200,{"Confirmed";"Probable"},'Data entry'!$AO$6:$AO$200,$H$10, 'Data entry'!$BD$6:$BD$200,"&lt;&gt;*Negative*"))</f>
        <v>0</v>
      </c>
      <c r="I119" s="13">
        <f>SUM(COUNTIFS('Data entry'!$R$6:$R$200,'Summary Data'!$A119,'Data entry'!$B$6:$B$200,{"Confirmed";"Probable"},'Data entry'!$AO$6:$AO$200,$I$10, 'Data entry'!$BD$6:$BD$200,"&lt;&gt;*Negative*"))</f>
        <v>0</v>
      </c>
      <c r="J119" s="13">
        <f>SUM(COUNTIFS('Data entry'!$R$6:$R$200,'Summary Data'!$A119,'Data entry'!$B$6:$B$200,{"Confirmed";"Probable"},'Data entry'!$AO$6:$AO$200,$J$10, 'Data entry'!$BD$6:$BD$200,"&lt;&gt;*Negative*"))</f>
        <v>0</v>
      </c>
      <c r="K119" s="13">
        <f>SUM(COUNTIFS('Data entry'!$R$6:$R$200,'Summary Data'!$A119,'Data entry'!$B$6:$B$200,{"Confirmed";"Probable"},'Data entry'!$AO$6:$AO$200,$K$10, 'Data entry'!$BD$6:$BD$200,"&lt;&gt;*Negative*"))</f>
        <v>0</v>
      </c>
      <c r="L119" s="13">
        <f>SUM(COUNTIFS('Data entry'!$R$6:$R$200,'Summary Data'!$A119,'Data entry'!$B$6:$B$200,{"Confirmed";"Probable"},'Data entry'!$AO$6:$AO$200,$L$10, 'Data entry'!$BD$6:$BD$200,"&lt;&gt;*Negative*"))</f>
        <v>0</v>
      </c>
      <c r="M119" s="13">
        <f>SUM(COUNTIFS('Data entry'!$R$6:$R$200,'Summary Data'!$A119,'Data entry'!$B$6:$B$200,{"Confirmed";"Probable"},'Data entry'!$AO$6:$AO$200,$M$10, 'Data entry'!$BD$6:$BD$200,"&lt;&gt;*Negative*"))</f>
        <v>0</v>
      </c>
      <c r="N119" s="13">
        <f>SUM(COUNTIFS('Data entry'!$R$6:$R$200,'Summary Data'!$A119,'Data entry'!$B$6:$B$200,{"Confirmed";"Probable"},'Data entry'!$AO$6:$AO$200,$N$10, 'Data entry'!$BD$6:$BD$200,"&lt;&gt;*Negative*"))</f>
        <v>0</v>
      </c>
      <c r="O119" s="15">
        <f t="shared" si="7"/>
        <v>0</v>
      </c>
      <c r="P119" s="15">
        <f t="shared" si="8"/>
        <v>0</v>
      </c>
      <c r="Q119" s="15">
        <f>SUM(COUNTIFS('Data entry'!$R$6:$R$200,'Summary Data'!$A119,'Data entry'!$B$6:$B$200,{"Confirmed";"Probable"},'Data entry'!$AP$6:$AP$200,'Data Validation'!$U$2, 'Data entry'!$BD$6:$BD$200,"&lt;&gt;*Negative*"))</f>
        <v>0</v>
      </c>
      <c r="R119" s="15">
        <f>SUM(COUNTIFS('Data entry'!$R$6:$R$200,'Summary Data'!$A119,'Data entry'!$B$6:$B$200,{"Confirmed";"Probable"},'Data entry'!$AP$6:$AP$200,'Data Validation'!$U$3, 'Data entry'!$BD$6:$BD$200,"&lt;&gt;*Negative*"))</f>
        <v>0</v>
      </c>
      <c r="S119" s="15">
        <f>SUM(COUNTIFS('Data entry'!$R$6:$R$200,'Summary Data'!$A119,'Data entry'!$B$6:$B$200,{"Confirmed";"Probable"},'Data entry'!$AP$6:$AP$200,'Data Validation'!$U$4, 'Data entry'!$BD$6:$BD$200,"&lt;&gt;*Negative*"))</f>
        <v>0</v>
      </c>
      <c r="T119" s="15">
        <f>SUM(COUNTIFS('Data entry'!$R$6:$R$200,'Summary Data'!$A119,'Data entry'!$B$6:$B$200,{"Confirmed";"Probable"},'Data entry'!$AP$6:$AP$200,'Data Validation'!$U$5, 'Data entry'!$BD$6:$BD$200,"&lt;&gt;*Negative*"))</f>
        <v>0</v>
      </c>
      <c r="U119" s="15">
        <f>SUM(COUNTIFS('Data entry'!$R$6:$R$200,'Summary Data'!$A119,'Data entry'!$B$6:$B$200,{"Confirmed";"Probable"},'Data entry'!$AP$6:$AP$200,'Data Validation'!$U$6, 'Data entry'!$BD$6:$BD$200,"&lt;&gt;*Negative*"))</f>
        <v>0</v>
      </c>
      <c r="V119" s="15">
        <f>SUM(COUNTIFS('Data entry'!$R$6:$R$200,'Summary Data'!$A119,'Data entry'!$B$6:$B$200,{"Confirmed";"Probable"},'Data entry'!$AQ$6:$AQ$200,'Data Validation'!$V$2, 'Data entry'!$BD$6:$BD$200,"&lt;&gt;*Negative*"))</f>
        <v>0</v>
      </c>
      <c r="W119" s="15">
        <f>SUM(COUNTIFS('Data entry'!$R$6:$R$200,'Summary Data'!$A119,'Data entry'!$B$6:$B$200,{"Confirmed";"Probable"},'Data entry'!$AQ$6:$AQ$200,'Data Validation'!$V$3, 'Data entry'!$BD$6:$BD$200,"&lt;&gt;*Negative*"))</f>
        <v>0</v>
      </c>
      <c r="X119" s="15">
        <f>SUM(COUNTIFS('Data entry'!$R$6:$R$200,'Summary Data'!$A119,'Data entry'!$B$6:$B$200,{"Confirmed";"Probable"},'Data entry'!$AQ$6:$AQ$200,'Data Validation'!$V$4, 'Data entry'!$BD$6:$BD$200,"&lt;&gt;*Negative*"))</f>
        <v>0</v>
      </c>
      <c r="Y119" s="15">
        <f>SUM(COUNTIFS('Data entry'!$R$6:$R$200,'Summary Data'!$A119,'Data entry'!$B$6:$B$200,{"Confirmed";"Probable"},'Data entry'!$AQ$6:$AQ$200,'Data Validation'!$V$5, 'Data entry'!$BD$6:$BD$200,"&lt;&gt;*Negative*"))</f>
        <v>0</v>
      </c>
      <c r="Z119" s="15">
        <f>SUM(COUNTIFS('Data entry'!$R$6:$R$200,'Summary Data'!$A119,'Data entry'!$B$6:$B$200,{"Confirmed";"Probable"},'Data entry'!$AQ$6:$AQ$200,'Data Validation'!$V$6, 'Data entry'!$BD$6:$BD$200,"&lt;&gt;*Negative*"))</f>
        <v>0</v>
      </c>
      <c r="AA119" s="15">
        <f>SUM(COUNTIFS('Data entry'!$R$6:$R$200,'Summary Data'!$A119,'Data entry'!$B$6:$B$200,{"Confirmed";"Probable"},'Data entry'!$AQ$6:$AQ$200,'Data Validation'!$V$7, 'Data entry'!$BD$6:$BD$200,"&lt;&gt;*Negative*"))</f>
        <v>0</v>
      </c>
      <c r="AB119" s="15">
        <f>SUM(COUNTIFS('Data entry'!$R$6:$R$200,'Summary Data'!$A119,'Data entry'!$B$6:$B$200,{"Confirmed";"Probable"},'Data entry'!$AQ$6:$AQ$200,'Data Validation'!$V$8, 'Data entry'!$BD$6:$BD$200,"&lt;&gt;*Negative*"))</f>
        <v>0</v>
      </c>
      <c r="AC119" s="15">
        <f>SUM(COUNTIFS('Data entry'!$R$6:$R$200,'Summary Data'!$A119,'Data entry'!$B$6:$B$200,{"Confirmed";"Probable"},'Data entry'!$AQ$6:$AQ$200,'Data Validation'!$V$9, 'Data entry'!$BD$6:$BD$200,"&lt;&gt;*Negative*"))</f>
        <v>0</v>
      </c>
      <c r="AD119" s="15">
        <f>SUM(COUNTIFS('Data entry'!$R$6:$R$200,'Summary Data'!$A119,'Data entry'!$B$6:$B$200,{"Confirmed";"Probable"},'Data entry'!$AQ$6:$AQ$200,'Data Validation'!$V$10, 'Data entry'!$BD$6:$BD$200,"&lt;&gt;*Negative*"))</f>
        <v>0</v>
      </c>
      <c r="AE119" s="15">
        <f>SUM(COUNTIFS('Data entry'!$R$6:$R$200,'Summary Data'!$A119,'Data entry'!$B$6:$B$200,{"Confirmed";"Probable"},'Data entry'!$AQ$6:$AQ$200,'Data Validation'!$V$11, 'Data entry'!$BD$6:$BD$200,"&lt;&gt;*Negative*"))</f>
        <v>0</v>
      </c>
      <c r="AF119" s="15">
        <f>SUM(COUNTIFS('Data entry'!$R$6:$R$200,'Summary Data'!$A119,'Data entry'!$B$6:$B$200,{"Confirmed";"Probable"},'Data entry'!$AQ$6:$AQ$200,'Data Validation'!$V$2, 'Data entry'!$AP$6:$AP$200,'Data Validation'!$U$2, 'Data entry'!$BD$6:$BD$200,"&lt;&gt;*Negative*"))</f>
        <v>0</v>
      </c>
      <c r="AG119" s="15">
        <f>SUM(COUNTIFS('Data entry'!$R$6:$R$200,'Summary Data'!$A119,'Data entry'!$B$6:$B$200,{"Confirmed";"Probable"},'Data entry'!$AQ$6:$AQ$200,'Data Validation'!$V$2, 'Data entry'!$AP$6:$AP$200,'Data Validation'!$U$3, 'Data entry'!$BD$6:$BD$200,"&lt;&gt;*Negative*"))</f>
        <v>0</v>
      </c>
      <c r="AH119" s="15">
        <f>SUM(COUNTIFS('Data entry'!$R$6:$R$200,'Summary Data'!$A119,'Data entry'!$B$6:$B$200,{"Confirmed";"Probable"},'Data entry'!$AQ$6:$AQ$200,'Data Validation'!$V$2, 'Data entry'!$AP$6:$AP$200,'Data Validation'!$U$4, 'Data entry'!$BD$6:$BD$200,"&lt;&gt;*Negative*"))</f>
        <v>0</v>
      </c>
      <c r="AI119" s="15">
        <f>SUM(COUNTIFS('Data entry'!$R$6:$R$200,'Summary Data'!$A119,'Data entry'!$B$6:$B$200,{"Confirmed";"Probable"},'Data entry'!$AQ$6:$AQ$200,'Data Validation'!$V$2, 'Data entry'!$AP$6:$AP$200,'Data Validation'!$U$5, 'Data entry'!$BD$6:$BD$200,"&lt;&gt;*Negative*"))</f>
        <v>0</v>
      </c>
      <c r="AJ119" s="15">
        <f>SUM(COUNTIFS('Data entry'!$R$6:$R$200,'Summary Data'!$A119,'Data entry'!$B$6:$B$200,{"Confirmed";"Probable"},'Data entry'!$AQ$6:$AQ$200,'Data Validation'!$V$2, 'Data entry'!$AP$6:$AP$200,'Data Validation'!$U$6, 'Data entry'!$BD$6:$BD$200,"&lt;&gt;*Negative*"))</f>
        <v>0</v>
      </c>
      <c r="AK119" s="15">
        <f>SUM(COUNTIFS('Data entry'!$R$6:$R$200,'Summary Data'!$A119,'Data entry'!$B$6:$B$200,{"Confirmed";"Probable"},'Data entry'!$AQ$6:$AQ$200,'Data Validation'!$V$3, 'Data entry'!$AP$6:$AP$200,'Data Validation'!$U$2, 'Data entry'!$BD$6:$BD$200,"&lt;&gt;*Negative*"))</f>
        <v>0</v>
      </c>
      <c r="AL119" s="15">
        <f>SUM(COUNTIFS('Data entry'!$R$6:$R$200,'Summary Data'!$A119,'Data entry'!$B$6:$B$200,{"Confirmed";"Probable"},'Data entry'!$AQ$6:$AQ$200,'Data Validation'!$V$3, 'Data entry'!$AP$6:$AP$200,'Data Validation'!$U$3, 'Data entry'!$BD$6:$BD$200,"&lt;&gt;*Negative*"))</f>
        <v>0</v>
      </c>
      <c r="AM119" s="15">
        <f>SUM(COUNTIFS('Data entry'!$R$6:$R$200,'Summary Data'!$A119,'Data entry'!$B$6:$B$200,{"Confirmed";"Probable"},'Data entry'!$AQ$6:$AQ$200,'Data Validation'!$V$3, 'Data entry'!$AP$6:$AP$200,'Data Validation'!$U$4, 'Data entry'!$BD$6:$BD$200,"&lt;&gt;*Negative*"))</f>
        <v>0</v>
      </c>
      <c r="AN119" s="15">
        <f>SUM(COUNTIFS('Data entry'!$R$6:$R$200,'Summary Data'!$A119,'Data entry'!$B$6:$B$200,{"Confirmed";"Probable"},'Data entry'!$AQ$6:$AQ$200,'Data Validation'!$V$3, 'Data entry'!$AP$6:$AP$200,'Data Validation'!$U$5, 'Data entry'!$BD$6:$BD$200,"&lt;&gt;*Negative*"))</f>
        <v>0</v>
      </c>
      <c r="AO119" s="15">
        <f>SUM(COUNTIFS('Data entry'!$R$6:$R$200,'Summary Data'!$A119,'Data entry'!$B$6:$B$200,{"Confirmed";"Probable"},'Data entry'!$AQ$6:$AQ$200,'Data Validation'!$V$3, 'Data entry'!$AP$6:$AP$200,'Data Validation'!$U$6, 'Data entry'!$BD$6:$BD$200,"&lt;&gt;*Negative*"))</f>
        <v>0</v>
      </c>
      <c r="AP119" s="15">
        <f>SUM(COUNTIFS('Data entry'!$R$6:$R$200,'Summary Data'!$A119,'Data entry'!$B$6:$B$200,{"Confirmed";"Probable"},'Data entry'!$AQ$6:$AQ$200,'Data Validation'!$V$4, 'Data entry'!$AP$6:$AP$200,'Data Validation'!$U$2, 'Data entry'!$BD$6:$BD$200,"&lt;&gt;*Negative*"))</f>
        <v>0</v>
      </c>
      <c r="AQ119" s="15">
        <f>SUM(COUNTIFS('Data entry'!$R$6:$R$200,'Summary Data'!$A119,'Data entry'!$B$6:$B$200,{"Confirmed";"Probable"},'Data entry'!$AQ$6:$AQ$200,'Data Validation'!$V$4, 'Data entry'!$AP$6:$AP$200,'Data Validation'!$U$3, 'Data entry'!$BD$6:$BD$200,"&lt;&gt;*Negative*"))</f>
        <v>0</v>
      </c>
      <c r="AR119" s="15">
        <f>SUM(COUNTIFS('Data entry'!$R$6:$R$200,'Summary Data'!$A119,'Data entry'!$B$6:$B$200,{"Confirmed";"Probable"},'Data entry'!$AQ$6:$AQ$200,'Data Validation'!$V$4, 'Data entry'!$AP$6:$AP$200,'Data Validation'!$U$4, 'Data entry'!$BD$6:$BD$200,"&lt;&gt;*Negative*"))</f>
        <v>0</v>
      </c>
      <c r="AS119" s="15">
        <f>SUM(COUNTIFS('Data entry'!$R$6:$R$200,'Summary Data'!$A119,'Data entry'!$B$6:$B$200,{"Confirmed";"Probable"},'Data entry'!$AQ$6:$AQ$200,'Data Validation'!$V$4, 'Data entry'!$AP$6:$AP$200,'Data Validation'!$U$5, 'Data entry'!$BD$6:$BD$200,"&lt;&gt;*Negative*"))</f>
        <v>0</v>
      </c>
      <c r="AT119" s="15">
        <f>SUM(COUNTIFS('Data entry'!$R$6:$R$200,'Summary Data'!$A119,'Data entry'!$B$6:$B$200,{"Confirmed";"Probable"},'Data entry'!$AQ$6:$AQ$200,'Data Validation'!$V$4, 'Data entry'!$AP$6:$AP$200,'Data Validation'!$U$6, 'Data entry'!$BD$6:$BD$200,"&lt;&gt;*Negative*"))</f>
        <v>0</v>
      </c>
      <c r="AU119" s="15">
        <f>SUM(COUNTIFS('Data entry'!$R$6:$R$200,'Summary Data'!$A119,'Data entry'!$B$6:$B$200,{"Confirmed";"Probable"},'Data entry'!$AQ$6:$AQ$200,'Data Validation'!$V$5, 'Data entry'!$AP$6:$AP$200,'Data Validation'!$U$2, 'Data entry'!$BD$6:$BD$200,"&lt;&gt;*Negative*"))</f>
        <v>0</v>
      </c>
      <c r="AV119" s="15">
        <f>SUM(COUNTIFS('Data entry'!$R$6:$R$200,'Summary Data'!$A119,'Data entry'!$B$6:$B$200,{"Confirmed";"Probable"},'Data entry'!$AQ$6:$AQ$200,'Data Validation'!$V$5, 'Data entry'!$AP$6:$AP$200,'Data Validation'!$U$3, 'Data entry'!$BD$6:$BD$200,"&lt;&gt;*Negative*"))</f>
        <v>0</v>
      </c>
      <c r="AW119" s="15">
        <f>SUM(COUNTIFS('Data entry'!$R$6:$R$200,'Summary Data'!$A119,'Data entry'!$B$6:$B$200,{"Confirmed";"Probable"},'Data entry'!$AQ$6:$AQ$200,'Data Validation'!$V$5, 'Data entry'!$AP$6:$AP$200,'Data Validation'!$U$4, 'Data entry'!$BD$6:$BD$200,"&lt;&gt;*Negative*"))</f>
        <v>0</v>
      </c>
      <c r="AX119" s="15">
        <f>SUM(COUNTIFS('Data entry'!$R$6:$R$200,'Summary Data'!$A119,'Data entry'!$B$6:$B$200,{"Confirmed";"Probable"},'Data entry'!$AQ$6:$AQ$200,'Data Validation'!$V$5, 'Data entry'!$AP$6:$AP$200,'Data Validation'!$U$5, 'Data entry'!$BD$6:$BD$200,"&lt;&gt;*Negative*"))</f>
        <v>0</v>
      </c>
      <c r="AY119" s="15">
        <f>SUM(COUNTIFS('Data entry'!$R$6:$R$200,'Summary Data'!$A119,'Data entry'!$B$6:$B$200,{"Confirmed";"Probable"},'Data entry'!$AQ$6:$AQ$200,'Data Validation'!$V$5, 'Data entry'!$AP$6:$AP$200,'Data Validation'!$U$6, 'Data entry'!$BD$6:$BD$200,"&lt;&gt;*Negative*"))</f>
        <v>0</v>
      </c>
      <c r="AZ119" s="15">
        <f>SUM(COUNTIFS('Data entry'!$R$6:$R$200,'Summary Data'!$A119,'Data entry'!$B$6:$B$200,{"Confirmed";"Probable"},'Data entry'!$AQ$6:$AQ$200,'Data Validation'!$V$6, 'Data entry'!$AP$6:$AP$200,'Data Validation'!$U$2, 'Data entry'!$BD$6:$BD$200,"&lt;&gt;*Negative*"))</f>
        <v>0</v>
      </c>
      <c r="BA119" s="15">
        <f>SUM(COUNTIFS('Data entry'!$R$6:$R$200,'Summary Data'!$A119,'Data entry'!$B$6:$B$200,{"Confirmed";"Probable"},'Data entry'!$AQ$6:$AQ$200,'Data Validation'!$V$6, 'Data entry'!$AP$6:$AP$200,'Data Validation'!$U$3, 'Data entry'!$BD$6:$BD$200,"&lt;&gt;*Negative*"))</f>
        <v>0</v>
      </c>
      <c r="BB119" s="15">
        <f>SUM(COUNTIFS('Data entry'!$R$6:$R$200,'Summary Data'!$A119,'Data entry'!$B$6:$B$200,{"Confirmed";"Probable"},'Data entry'!$AQ$6:$AQ$200,'Data Validation'!$V$6, 'Data entry'!$AP$6:$AP$200,'Data Validation'!$U$4, 'Data entry'!$BD$6:$BD$200,"&lt;&gt;*Negative*"))</f>
        <v>0</v>
      </c>
      <c r="BC119" s="15">
        <f>SUM(COUNTIFS('Data entry'!$R$6:$R$200,'Summary Data'!$A119,'Data entry'!$B$6:$B$200,{"Confirmed";"Probable"},'Data entry'!$AQ$6:$AQ$200,'Data Validation'!$V$6, 'Data entry'!$AP$6:$AP$200,'Data Validation'!$U$5, 'Data entry'!$BD$6:$BD$200,"&lt;&gt;*Negative*"))</f>
        <v>0</v>
      </c>
      <c r="BD119" s="15">
        <f>SUM(COUNTIFS('Data entry'!$R$6:$R$200,'Summary Data'!$A119,'Data entry'!$B$6:$B$200,{"Confirmed";"Probable"},'Data entry'!$AQ$6:$AQ$200,'Data Validation'!$V$6, 'Data entry'!$AP$6:$AP$200,'Data Validation'!$U$6, 'Data entry'!$BD$6:$BD$200,"&lt;&gt;*Negative*"))</f>
        <v>0</v>
      </c>
      <c r="BE119" s="15">
        <f>SUM(COUNTIFS('Data entry'!$R$6:$R$200,'Summary Data'!$A119,'Data entry'!$B$6:$B$200,{"Confirmed";"Probable"},'Data entry'!$AQ$6:$AQ$200,'Data Validation'!$V$7, 'Data entry'!$AP$6:$AP$200,'Data Validation'!$U$2, 'Data entry'!$BD$6:$BD$200,"&lt;&gt;*Negative*"))</f>
        <v>0</v>
      </c>
      <c r="BF119" s="15">
        <f>SUM(COUNTIFS('Data entry'!$R$6:$R$200,'Summary Data'!$A119,'Data entry'!$B$6:$B$200,{"Confirmed";"Probable"},'Data entry'!$AQ$6:$AQ$200,'Data Validation'!$V$7, 'Data entry'!$AP$6:$AP$200,'Data Validation'!$U$3, 'Data entry'!$BD$6:$BD$200,"&lt;&gt;*Negative*"))</f>
        <v>0</v>
      </c>
      <c r="BG119" s="15">
        <f>SUM(COUNTIFS('Data entry'!$R$6:$R$200,'Summary Data'!$A119,'Data entry'!$B$6:$B$200,{"Confirmed";"Probable"},'Data entry'!$AQ$6:$AQ$200,'Data Validation'!$V$7, 'Data entry'!$AP$6:$AP$200,'Data Validation'!$U$4, 'Data entry'!$BD$6:$BD$200,"&lt;&gt;*Negative*"))</f>
        <v>0</v>
      </c>
      <c r="BH119" s="15">
        <f>SUM(COUNTIFS('Data entry'!$R$6:$R$200,'Summary Data'!$A119,'Data entry'!$B$6:$B$200,{"Confirmed";"Probable"},'Data entry'!$AQ$6:$AQ$200,'Data Validation'!$V$7, 'Data entry'!$AP$6:$AP$200,'Data Validation'!$U$5, 'Data entry'!$BD$6:$BD$200,"&lt;&gt;*Negative*"))</f>
        <v>0</v>
      </c>
      <c r="BI119" s="15">
        <f>SUM(COUNTIFS('Data entry'!$R$6:$R$200,'Summary Data'!$A119,'Data entry'!$B$6:$B$200,{"Confirmed";"Probable"},'Data entry'!$AQ$6:$AQ$200,'Data Validation'!$V$7, 'Data entry'!$AP$6:$AP$200,'Data Validation'!$U$6, 'Data entry'!$BD$6:$BD$200,"&lt;&gt;*Negative*"))</f>
        <v>0</v>
      </c>
      <c r="BJ119" s="15">
        <f>SUM(COUNTIFS('Data entry'!$R$6:$R$200,'Summary Data'!$A119,'Data entry'!$B$6:$B$200,{"Confirmed";"Probable"},'Data entry'!$AQ$6:$AQ$200,'Data Validation'!$V$8, 'Data entry'!$AP$6:$AP$200,'Data Validation'!$U$2, 'Data entry'!$BD$6:$BD$200,"&lt;&gt;*Negative*"))</f>
        <v>0</v>
      </c>
      <c r="BK119" s="15">
        <f>SUM(COUNTIFS('Data entry'!$R$6:$R$200,'Summary Data'!$A119,'Data entry'!$B$6:$B$200,{"Confirmed";"Probable"},'Data entry'!$AQ$6:$AQ$200,'Data Validation'!$V$8, 'Data entry'!$AP$6:$AP$200,'Data Validation'!$U$3, 'Data entry'!$BD$6:$BD$200,"&lt;&gt;*Negative*"))</f>
        <v>0</v>
      </c>
      <c r="BL119" s="15">
        <f>SUM(COUNTIFS('Data entry'!$R$6:$R$200,'Summary Data'!$A119,'Data entry'!$B$6:$B$200,{"Confirmed";"Probable"},'Data entry'!$AQ$6:$AQ$200,'Data Validation'!$V$8, 'Data entry'!$AP$6:$AP$200,'Data Validation'!$U$4, 'Data entry'!$BD$6:$BD$200,"&lt;&gt;*Negative*"))</f>
        <v>0</v>
      </c>
      <c r="BM119" s="15">
        <f>SUM(COUNTIFS('Data entry'!$R$6:$R$200,'Summary Data'!$A119,'Data entry'!$B$6:$B$200,{"Confirmed";"Probable"},'Data entry'!$AQ$6:$AQ$200,'Data Validation'!$V$8, 'Data entry'!$AP$6:$AP$200,'Data Validation'!$U$5, 'Data entry'!$BD$6:$BD$200,"&lt;&gt;*Negative*"))</f>
        <v>0</v>
      </c>
      <c r="BN119" s="15">
        <f>SUM(COUNTIFS('Data entry'!$R$6:$R$200,'Summary Data'!$A119,'Data entry'!$B$6:$B$200,{"Confirmed";"Probable"},'Data entry'!$AQ$6:$AQ$200,'Data Validation'!$V$8, 'Data entry'!$AP$6:$AP$200,'Data Validation'!$U$6, 'Data entry'!$BD$6:$BD$200,"&lt;&gt;*Negative*"))</f>
        <v>0</v>
      </c>
      <c r="BO119" s="15">
        <f>SUM(COUNTIFS('Data entry'!$R$6:$R$200,'Summary Data'!$A119,'Data entry'!$B$6:$B$200,{"Confirmed";"Probable"},'Data entry'!$AQ$6:$AQ$200,'Data Validation'!$V$9, 'Data entry'!$AP$6:$AP$200,'Data Validation'!$U$2, 'Data entry'!$BD$6:$BD$200,"&lt;&gt;*Negative*"))</f>
        <v>0</v>
      </c>
      <c r="BP119" s="15">
        <f>SUM(COUNTIFS('Data entry'!$R$6:$R$200,'Summary Data'!$A119,'Data entry'!$B$6:$B$200,{"Confirmed";"Probable"},'Data entry'!$AQ$6:$AQ$200,'Data Validation'!$V$9, 'Data entry'!$AP$6:$AP$200,'Data Validation'!$U$3, 'Data entry'!$BD$6:$BD$200,"&lt;&gt;*Negative*"))</f>
        <v>0</v>
      </c>
      <c r="BQ119" s="15">
        <f>SUM(COUNTIFS('Data entry'!$R$6:$R$200,'Summary Data'!$A119,'Data entry'!$B$6:$B$200,{"Confirmed";"Probable"},'Data entry'!$AQ$6:$AQ$200,'Data Validation'!$V$9, 'Data entry'!$AP$6:$AP$200,'Data Validation'!$U$4, 'Data entry'!$BD$6:$BD$200,"&lt;&gt;*Negative*"))</f>
        <v>0</v>
      </c>
      <c r="BR119" s="15">
        <f>SUM(COUNTIFS('Data entry'!$R$6:$R$200,'Summary Data'!$A119,'Data entry'!$B$6:$B$200,{"Confirmed";"Probable"},'Data entry'!$AQ$6:$AQ$200,'Data Validation'!$V$9, 'Data entry'!$AP$6:$AP$200,'Data Validation'!$U$5, 'Data entry'!$BD$6:$BD$200,"&lt;&gt;*Negative*"))</f>
        <v>0</v>
      </c>
      <c r="BS119" s="15">
        <f>SUM(COUNTIFS('Data entry'!$R$6:$R$200,'Summary Data'!$A119,'Data entry'!$B$6:$B$200,{"Confirmed";"Probable"},'Data entry'!$AQ$6:$AQ$200,'Data Validation'!$V$9, 'Data entry'!$AP$6:$AP$200,'Data Validation'!$U$6, 'Data entry'!$BD$6:$BD$200,"&lt;&gt;*Negative*"))</f>
        <v>0</v>
      </c>
      <c r="BT119" s="15">
        <f>SUM(COUNTIFS('Data entry'!$R$6:$R$200,'Summary Data'!$A119,'Data entry'!$B$6:$B$200,{"Confirmed";"Probable"},'Data entry'!$AQ$6:$AQ$200,'Data Validation'!$V$10, 'Data entry'!$AP$6:$AP$200,'Data Validation'!$U$2, 'Data entry'!$BD$6:$BD$200,"&lt;&gt;*Negative*"))</f>
        <v>0</v>
      </c>
      <c r="BU119" s="15">
        <f>SUM(COUNTIFS('Data entry'!$R$6:$R$200,'Summary Data'!$A119,'Data entry'!$B$6:$B$200,{"Confirmed";"Probable"},'Data entry'!$AQ$6:$AQ$200,'Data Validation'!$V$10, 'Data entry'!$AP$6:$AP$200,'Data Validation'!$U$3, 'Data entry'!$BD$6:$BD$200,"&lt;&gt;*Negative*"))</f>
        <v>0</v>
      </c>
      <c r="BV119" s="15">
        <f>SUM(COUNTIFS('Data entry'!$R$6:$R$200,'Summary Data'!$A119,'Data entry'!$B$6:$B$200,{"Confirmed";"Probable"},'Data entry'!$AQ$6:$AQ$200,'Data Validation'!$V$10, 'Data entry'!$AP$6:$AP$200,'Data Validation'!$U$4, 'Data entry'!$BD$6:$BD$200,"&lt;&gt;*Negative*"))</f>
        <v>0</v>
      </c>
      <c r="BW119" s="15">
        <f>SUM(COUNTIFS('Data entry'!$R$6:$R$200,'Summary Data'!$A119,'Data entry'!$B$6:$B$200,{"Confirmed";"Probable"},'Data entry'!$AQ$6:$AQ$200,'Data Validation'!$V$10, 'Data entry'!$AP$6:$AP$200,'Data Validation'!$U$5, 'Data entry'!$BD$6:$BD$200,"&lt;&gt;*Negative*"))</f>
        <v>0</v>
      </c>
      <c r="BX119" s="15">
        <f>SUM(COUNTIFS('Data entry'!$R$6:$R$200,'Summary Data'!$A119,'Data entry'!$B$6:$B$200,{"Confirmed";"Probable"},'Data entry'!$AQ$6:$AQ$200,'Data Validation'!$V$10, 'Data entry'!$AP$6:$AP$200,'Data Validation'!$U$6, 'Data entry'!$BD$6:$BD$200,"&lt;&gt;*Negative*"))</f>
        <v>0</v>
      </c>
      <c r="BY119" s="15">
        <f>SUM(COUNTIFS('Data entry'!$R$6:$R$200,'Summary Data'!$A119,'Data entry'!$B$6:$B$200,{"Confirmed";"Probable"},'Data entry'!$AQ$6:$AQ$200,'Data Validation'!$V$11, 'Data entry'!$AP$6:$AP$200,'Data Validation'!$U$2, 'Data entry'!$BD$6:$BD$200,"&lt;&gt;*Negative*"))</f>
        <v>0</v>
      </c>
      <c r="BZ119" s="15">
        <f>SUM(COUNTIFS('Data entry'!$R$6:$R$200,'Summary Data'!$A119,'Data entry'!$B$6:$B$200,{"Confirmed";"Probable"},'Data entry'!$AQ$6:$AQ$200,'Data Validation'!$V$11, 'Data entry'!$AP$6:$AP$200,'Data Validation'!$U$3, 'Data entry'!$BD$6:$BD$200,"&lt;&gt;*Negative*"))</f>
        <v>0</v>
      </c>
      <c r="CA119" s="15">
        <f>SUM(COUNTIFS('Data entry'!$R$6:$R$200,'Summary Data'!$A119,'Data entry'!$B$6:$B$200,{"Confirmed";"Probable"},'Data entry'!$AQ$6:$AQ$200,'Data Validation'!$V$11, 'Data entry'!$AP$6:$AP$200,'Data Validation'!$U$4, 'Data entry'!$BD$6:$BD$200,"&lt;&gt;*Negative*"))</f>
        <v>0</v>
      </c>
      <c r="CB119" s="15">
        <f>SUM(COUNTIFS('Data entry'!$R$6:$R$200,'Summary Data'!$A119,'Data entry'!$B$6:$B$200,{"Confirmed";"Probable"},'Data entry'!$AQ$6:$AQ$200,'Data Validation'!$V$11, 'Data entry'!$AP$6:$AP$200,'Data Validation'!$U$5, 'Data entry'!$BD$6:$BD$200,"&lt;&gt;*Negative*"))</f>
        <v>0</v>
      </c>
      <c r="CC119" s="15">
        <f>SUM(COUNTIFS('Data entry'!$R$6:$R$200,'Summary Data'!$A119,'Data entry'!$B$6:$B$200,{"Confirmed";"Probable"},'Data entry'!$AQ$6:$AQ$200,'Data Validation'!$V$11, 'Data entry'!$AP$6:$AP$200,'Data Validation'!$U$6, 'Data entry'!$BD$6:$BD$200,"&lt;&gt;*Negative*"))</f>
        <v>0</v>
      </c>
    </row>
    <row r="120" spans="1:81" x14ac:dyDescent="0.25">
      <c r="A120" s="12">
        <f t="shared" si="9"/>
        <v>108</v>
      </c>
      <c r="B120" s="13">
        <f t="shared" si="6"/>
        <v>0</v>
      </c>
      <c r="C120" s="13">
        <f>COUNTIFS('Data entry'!$R$6:$R$200,$A120,'Data entry'!$B$6:$B$200,"Confirmed",'Data entry'!$BD$6:$BD$200,"&lt;&gt;*Negative*")</f>
        <v>0</v>
      </c>
      <c r="D120" s="13">
        <f>COUNTIFS('Data entry'!$R$6:$R$200,$A120,'Data entry'!$B$6:$B$200,"Probable",'Data entry'!$BD$6:$BD$200,"&lt;&gt;*Negative*")</f>
        <v>0</v>
      </c>
      <c r="E120" s="13">
        <f>COUNTIFS('Data entry'!$R$6:$R$200,$A120,'Data entry'!$B$6:$B$200,"DNM")</f>
        <v>0</v>
      </c>
      <c r="F120" s="13">
        <f>SUM(COUNTIFS('Data entry'!$R$6:$R$200,'Summary Data'!$A120,'Data entry'!$B$6:$B$200,{"Confirmed";"Probable"},'Data entry'!$AO$6:$AO$200,$F$10, 'Data entry'!$BD$6:$BD$200,"&lt;&gt;*Negative*"))</f>
        <v>0</v>
      </c>
      <c r="G120" s="13">
        <f>SUM(COUNTIFS('Data entry'!$R$6:$R$200,'Summary Data'!$A120,'Data entry'!$B$6:$B$200,{"Confirmed";"Probable"},'Data entry'!$AO$6:$AO$200,$G$10, 'Data entry'!$BD$6:$BD$200,"&lt;&gt;*Negative*"))</f>
        <v>0</v>
      </c>
      <c r="H120" s="13">
        <f>SUM(COUNTIFS('Data entry'!$R$6:$R$200,'Summary Data'!$A120,'Data entry'!$B$6:$B$200,{"Confirmed";"Probable"},'Data entry'!$AO$6:$AO$200,$H$10, 'Data entry'!$BD$6:$BD$200,"&lt;&gt;*Negative*"))</f>
        <v>0</v>
      </c>
      <c r="I120" s="13">
        <f>SUM(COUNTIFS('Data entry'!$R$6:$R$200,'Summary Data'!$A120,'Data entry'!$B$6:$B$200,{"Confirmed";"Probable"},'Data entry'!$AO$6:$AO$200,$I$10, 'Data entry'!$BD$6:$BD$200,"&lt;&gt;*Negative*"))</f>
        <v>0</v>
      </c>
      <c r="J120" s="13">
        <f>SUM(COUNTIFS('Data entry'!$R$6:$R$200,'Summary Data'!$A120,'Data entry'!$B$6:$B$200,{"Confirmed";"Probable"},'Data entry'!$AO$6:$AO$200,$J$10, 'Data entry'!$BD$6:$BD$200,"&lt;&gt;*Negative*"))</f>
        <v>0</v>
      </c>
      <c r="K120" s="13">
        <f>SUM(COUNTIFS('Data entry'!$R$6:$R$200,'Summary Data'!$A120,'Data entry'!$B$6:$B$200,{"Confirmed";"Probable"},'Data entry'!$AO$6:$AO$200,$K$10, 'Data entry'!$BD$6:$BD$200,"&lt;&gt;*Negative*"))</f>
        <v>0</v>
      </c>
      <c r="L120" s="13">
        <f>SUM(COUNTIFS('Data entry'!$R$6:$R$200,'Summary Data'!$A120,'Data entry'!$B$6:$B$200,{"Confirmed";"Probable"},'Data entry'!$AO$6:$AO$200,$L$10, 'Data entry'!$BD$6:$BD$200,"&lt;&gt;*Negative*"))</f>
        <v>0</v>
      </c>
      <c r="M120" s="13">
        <f>SUM(COUNTIFS('Data entry'!$R$6:$R$200,'Summary Data'!$A120,'Data entry'!$B$6:$B$200,{"Confirmed";"Probable"},'Data entry'!$AO$6:$AO$200,$M$10, 'Data entry'!$BD$6:$BD$200,"&lt;&gt;*Negative*"))</f>
        <v>0</v>
      </c>
      <c r="N120" s="13">
        <f>SUM(COUNTIFS('Data entry'!$R$6:$R$200,'Summary Data'!$A120,'Data entry'!$B$6:$B$200,{"Confirmed";"Probable"},'Data entry'!$AO$6:$AO$200,$N$10, 'Data entry'!$BD$6:$BD$200,"&lt;&gt;*Negative*"))</f>
        <v>0</v>
      </c>
      <c r="O120" s="15">
        <f t="shared" si="7"/>
        <v>0</v>
      </c>
      <c r="P120" s="15">
        <f t="shared" si="8"/>
        <v>0</v>
      </c>
      <c r="Q120" s="15">
        <f>SUM(COUNTIFS('Data entry'!$R$6:$R$200,'Summary Data'!$A120,'Data entry'!$B$6:$B$200,{"Confirmed";"Probable"},'Data entry'!$AP$6:$AP$200,'Data Validation'!$U$2, 'Data entry'!$BD$6:$BD$200,"&lt;&gt;*Negative*"))</f>
        <v>0</v>
      </c>
      <c r="R120" s="15">
        <f>SUM(COUNTIFS('Data entry'!$R$6:$R$200,'Summary Data'!$A120,'Data entry'!$B$6:$B$200,{"Confirmed";"Probable"},'Data entry'!$AP$6:$AP$200,'Data Validation'!$U$3, 'Data entry'!$BD$6:$BD$200,"&lt;&gt;*Negative*"))</f>
        <v>0</v>
      </c>
      <c r="S120" s="15">
        <f>SUM(COUNTIFS('Data entry'!$R$6:$R$200,'Summary Data'!$A120,'Data entry'!$B$6:$B$200,{"Confirmed";"Probable"},'Data entry'!$AP$6:$AP$200,'Data Validation'!$U$4, 'Data entry'!$BD$6:$BD$200,"&lt;&gt;*Negative*"))</f>
        <v>0</v>
      </c>
      <c r="T120" s="15">
        <f>SUM(COUNTIFS('Data entry'!$R$6:$R$200,'Summary Data'!$A120,'Data entry'!$B$6:$B$200,{"Confirmed";"Probable"},'Data entry'!$AP$6:$AP$200,'Data Validation'!$U$5, 'Data entry'!$BD$6:$BD$200,"&lt;&gt;*Negative*"))</f>
        <v>0</v>
      </c>
      <c r="U120" s="15">
        <f>SUM(COUNTIFS('Data entry'!$R$6:$R$200,'Summary Data'!$A120,'Data entry'!$B$6:$B$200,{"Confirmed";"Probable"},'Data entry'!$AP$6:$AP$200,'Data Validation'!$U$6, 'Data entry'!$BD$6:$BD$200,"&lt;&gt;*Negative*"))</f>
        <v>0</v>
      </c>
      <c r="V120" s="15">
        <f>SUM(COUNTIFS('Data entry'!$R$6:$R$200,'Summary Data'!$A120,'Data entry'!$B$6:$B$200,{"Confirmed";"Probable"},'Data entry'!$AQ$6:$AQ$200,'Data Validation'!$V$2, 'Data entry'!$BD$6:$BD$200,"&lt;&gt;*Negative*"))</f>
        <v>0</v>
      </c>
      <c r="W120" s="15">
        <f>SUM(COUNTIFS('Data entry'!$R$6:$R$200,'Summary Data'!$A120,'Data entry'!$B$6:$B$200,{"Confirmed";"Probable"},'Data entry'!$AQ$6:$AQ$200,'Data Validation'!$V$3, 'Data entry'!$BD$6:$BD$200,"&lt;&gt;*Negative*"))</f>
        <v>0</v>
      </c>
      <c r="X120" s="15">
        <f>SUM(COUNTIFS('Data entry'!$R$6:$R$200,'Summary Data'!$A120,'Data entry'!$B$6:$B$200,{"Confirmed";"Probable"},'Data entry'!$AQ$6:$AQ$200,'Data Validation'!$V$4, 'Data entry'!$BD$6:$BD$200,"&lt;&gt;*Negative*"))</f>
        <v>0</v>
      </c>
      <c r="Y120" s="15">
        <f>SUM(COUNTIFS('Data entry'!$R$6:$R$200,'Summary Data'!$A120,'Data entry'!$B$6:$B$200,{"Confirmed";"Probable"},'Data entry'!$AQ$6:$AQ$200,'Data Validation'!$V$5, 'Data entry'!$BD$6:$BD$200,"&lt;&gt;*Negative*"))</f>
        <v>0</v>
      </c>
      <c r="Z120" s="15">
        <f>SUM(COUNTIFS('Data entry'!$R$6:$R$200,'Summary Data'!$A120,'Data entry'!$B$6:$B$200,{"Confirmed";"Probable"},'Data entry'!$AQ$6:$AQ$200,'Data Validation'!$V$6, 'Data entry'!$BD$6:$BD$200,"&lt;&gt;*Negative*"))</f>
        <v>0</v>
      </c>
      <c r="AA120" s="15">
        <f>SUM(COUNTIFS('Data entry'!$R$6:$R$200,'Summary Data'!$A120,'Data entry'!$B$6:$B$200,{"Confirmed";"Probable"},'Data entry'!$AQ$6:$AQ$200,'Data Validation'!$V$7, 'Data entry'!$BD$6:$BD$200,"&lt;&gt;*Negative*"))</f>
        <v>0</v>
      </c>
      <c r="AB120" s="15">
        <f>SUM(COUNTIFS('Data entry'!$R$6:$R$200,'Summary Data'!$A120,'Data entry'!$B$6:$B$200,{"Confirmed";"Probable"},'Data entry'!$AQ$6:$AQ$200,'Data Validation'!$V$8, 'Data entry'!$BD$6:$BD$200,"&lt;&gt;*Negative*"))</f>
        <v>0</v>
      </c>
      <c r="AC120" s="15">
        <f>SUM(COUNTIFS('Data entry'!$R$6:$R$200,'Summary Data'!$A120,'Data entry'!$B$6:$B$200,{"Confirmed";"Probable"},'Data entry'!$AQ$6:$AQ$200,'Data Validation'!$V$9, 'Data entry'!$BD$6:$BD$200,"&lt;&gt;*Negative*"))</f>
        <v>0</v>
      </c>
      <c r="AD120" s="15">
        <f>SUM(COUNTIFS('Data entry'!$R$6:$R$200,'Summary Data'!$A120,'Data entry'!$B$6:$B$200,{"Confirmed";"Probable"},'Data entry'!$AQ$6:$AQ$200,'Data Validation'!$V$10, 'Data entry'!$BD$6:$BD$200,"&lt;&gt;*Negative*"))</f>
        <v>0</v>
      </c>
      <c r="AE120" s="15">
        <f>SUM(COUNTIFS('Data entry'!$R$6:$R$200,'Summary Data'!$A120,'Data entry'!$B$6:$B$200,{"Confirmed";"Probable"},'Data entry'!$AQ$6:$AQ$200,'Data Validation'!$V$11, 'Data entry'!$BD$6:$BD$200,"&lt;&gt;*Negative*"))</f>
        <v>0</v>
      </c>
      <c r="AF120" s="15">
        <f>SUM(COUNTIFS('Data entry'!$R$6:$R$200,'Summary Data'!$A120,'Data entry'!$B$6:$B$200,{"Confirmed";"Probable"},'Data entry'!$AQ$6:$AQ$200,'Data Validation'!$V$2, 'Data entry'!$AP$6:$AP$200,'Data Validation'!$U$2, 'Data entry'!$BD$6:$BD$200,"&lt;&gt;*Negative*"))</f>
        <v>0</v>
      </c>
      <c r="AG120" s="15">
        <f>SUM(COUNTIFS('Data entry'!$R$6:$R$200,'Summary Data'!$A120,'Data entry'!$B$6:$B$200,{"Confirmed";"Probable"},'Data entry'!$AQ$6:$AQ$200,'Data Validation'!$V$2, 'Data entry'!$AP$6:$AP$200,'Data Validation'!$U$3, 'Data entry'!$BD$6:$BD$200,"&lt;&gt;*Negative*"))</f>
        <v>0</v>
      </c>
      <c r="AH120" s="15">
        <f>SUM(COUNTIFS('Data entry'!$R$6:$R$200,'Summary Data'!$A120,'Data entry'!$B$6:$B$200,{"Confirmed";"Probable"},'Data entry'!$AQ$6:$AQ$200,'Data Validation'!$V$2, 'Data entry'!$AP$6:$AP$200,'Data Validation'!$U$4, 'Data entry'!$BD$6:$BD$200,"&lt;&gt;*Negative*"))</f>
        <v>0</v>
      </c>
      <c r="AI120" s="15">
        <f>SUM(COUNTIFS('Data entry'!$R$6:$R$200,'Summary Data'!$A120,'Data entry'!$B$6:$B$200,{"Confirmed";"Probable"},'Data entry'!$AQ$6:$AQ$200,'Data Validation'!$V$2, 'Data entry'!$AP$6:$AP$200,'Data Validation'!$U$5, 'Data entry'!$BD$6:$BD$200,"&lt;&gt;*Negative*"))</f>
        <v>0</v>
      </c>
      <c r="AJ120" s="15">
        <f>SUM(COUNTIFS('Data entry'!$R$6:$R$200,'Summary Data'!$A120,'Data entry'!$B$6:$B$200,{"Confirmed";"Probable"},'Data entry'!$AQ$6:$AQ$200,'Data Validation'!$V$2, 'Data entry'!$AP$6:$AP$200,'Data Validation'!$U$6, 'Data entry'!$BD$6:$BD$200,"&lt;&gt;*Negative*"))</f>
        <v>0</v>
      </c>
      <c r="AK120" s="15">
        <f>SUM(COUNTIFS('Data entry'!$R$6:$R$200,'Summary Data'!$A120,'Data entry'!$B$6:$B$200,{"Confirmed";"Probable"},'Data entry'!$AQ$6:$AQ$200,'Data Validation'!$V$3, 'Data entry'!$AP$6:$AP$200,'Data Validation'!$U$2, 'Data entry'!$BD$6:$BD$200,"&lt;&gt;*Negative*"))</f>
        <v>0</v>
      </c>
      <c r="AL120" s="15">
        <f>SUM(COUNTIFS('Data entry'!$R$6:$R$200,'Summary Data'!$A120,'Data entry'!$B$6:$B$200,{"Confirmed";"Probable"},'Data entry'!$AQ$6:$AQ$200,'Data Validation'!$V$3, 'Data entry'!$AP$6:$AP$200,'Data Validation'!$U$3, 'Data entry'!$BD$6:$BD$200,"&lt;&gt;*Negative*"))</f>
        <v>0</v>
      </c>
      <c r="AM120" s="15">
        <f>SUM(COUNTIFS('Data entry'!$R$6:$R$200,'Summary Data'!$A120,'Data entry'!$B$6:$B$200,{"Confirmed";"Probable"},'Data entry'!$AQ$6:$AQ$200,'Data Validation'!$V$3, 'Data entry'!$AP$6:$AP$200,'Data Validation'!$U$4, 'Data entry'!$BD$6:$BD$200,"&lt;&gt;*Negative*"))</f>
        <v>0</v>
      </c>
      <c r="AN120" s="15">
        <f>SUM(COUNTIFS('Data entry'!$R$6:$R$200,'Summary Data'!$A120,'Data entry'!$B$6:$B$200,{"Confirmed";"Probable"},'Data entry'!$AQ$6:$AQ$200,'Data Validation'!$V$3, 'Data entry'!$AP$6:$AP$200,'Data Validation'!$U$5, 'Data entry'!$BD$6:$BD$200,"&lt;&gt;*Negative*"))</f>
        <v>0</v>
      </c>
      <c r="AO120" s="15">
        <f>SUM(COUNTIFS('Data entry'!$R$6:$R$200,'Summary Data'!$A120,'Data entry'!$B$6:$B$200,{"Confirmed";"Probable"},'Data entry'!$AQ$6:$AQ$200,'Data Validation'!$V$3, 'Data entry'!$AP$6:$AP$200,'Data Validation'!$U$6, 'Data entry'!$BD$6:$BD$200,"&lt;&gt;*Negative*"))</f>
        <v>0</v>
      </c>
      <c r="AP120" s="15">
        <f>SUM(COUNTIFS('Data entry'!$R$6:$R$200,'Summary Data'!$A120,'Data entry'!$B$6:$B$200,{"Confirmed";"Probable"},'Data entry'!$AQ$6:$AQ$200,'Data Validation'!$V$4, 'Data entry'!$AP$6:$AP$200,'Data Validation'!$U$2, 'Data entry'!$BD$6:$BD$200,"&lt;&gt;*Negative*"))</f>
        <v>0</v>
      </c>
      <c r="AQ120" s="15">
        <f>SUM(COUNTIFS('Data entry'!$R$6:$R$200,'Summary Data'!$A120,'Data entry'!$B$6:$B$200,{"Confirmed";"Probable"},'Data entry'!$AQ$6:$AQ$200,'Data Validation'!$V$4, 'Data entry'!$AP$6:$AP$200,'Data Validation'!$U$3, 'Data entry'!$BD$6:$BD$200,"&lt;&gt;*Negative*"))</f>
        <v>0</v>
      </c>
      <c r="AR120" s="15">
        <f>SUM(COUNTIFS('Data entry'!$R$6:$R$200,'Summary Data'!$A120,'Data entry'!$B$6:$B$200,{"Confirmed";"Probable"},'Data entry'!$AQ$6:$AQ$200,'Data Validation'!$V$4, 'Data entry'!$AP$6:$AP$200,'Data Validation'!$U$4, 'Data entry'!$BD$6:$BD$200,"&lt;&gt;*Negative*"))</f>
        <v>0</v>
      </c>
      <c r="AS120" s="15">
        <f>SUM(COUNTIFS('Data entry'!$R$6:$R$200,'Summary Data'!$A120,'Data entry'!$B$6:$B$200,{"Confirmed";"Probable"},'Data entry'!$AQ$6:$AQ$200,'Data Validation'!$V$4, 'Data entry'!$AP$6:$AP$200,'Data Validation'!$U$5, 'Data entry'!$BD$6:$BD$200,"&lt;&gt;*Negative*"))</f>
        <v>0</v>
      </c>
      <c r="AT120" s="15">
        <f>SUM(COUNTIFS('Data entry'!$R$6:$R$200,'Summary Data'!$A120,'Data entry'!$B$6:$B$200,{"Confirmed";"Probable"},'Data entry'!$AQ$6:$AQ$200,'Data Validation'!$V$4, 'Data entry'!$AP$6:$AP$200,'Data Validation'!$U$6, 'Data entry'!$BD$6:$BD$200,"&lt;&gt;*Negative*"))</f>
        <v>0</v>
      </c>
      <c r="AU120" s="15">
        <f>SUM(COUNTIFS('Data entry'!$R$6:$R$200,'Summary Data'!$A120,'Data entry'!$B$6:$B$200,{"Confirmed";"Probable"},'Data entry'!$AQ$6:$AQ$200,'Data Validation'!$V$5, 'Data entry'!$AP$6:$AP$200,'Data Validation'!$U$2, 'Data entry'!$BD$6:$BD$200,"&lt;&gt;*Negative*"))</f>
        <v>0</v>
      </c>
      <c r="AV120" s="15">
        <f>SUM(COUNTIFS('Data entry'!$R$6:$R$200,'Summary Data'!$A120,'Data entry'!$B$6:$B$200,{"Confirmed";"Probable"},'Data entry'!$AQ$6:$AQ$200,'Data Validation'!$V$5, 'Data entry'!$AP$6:$AP$200,'Data Validation'!$U$3, 'Data entry'!$BD$6:$BD$200,"&lt;&gt;*Negative*"))</f>
        <v>0</v>
      </c>
      <c r="AW120" s="15">
        <f>SUM(COUNTIFS('Data entry'!$R$6:$R$200,'Summary Data'!$A120,'Data entry'!$B$6:$B$200,{"Confirmed";"Probable"},'Data entry'!$AQ$6:$AQ$200,'Data Validation'!$V$5, 'Data entry'!$AP$6:$AP$200,'Data Validation'!$U$4, 'Data entry'!$BD$6:$BD$200,"&lt;&gt;*Negative*"))</f>
        <v>0</v>
      </c>
      <c r="AX120" s="15">
        <f>SUM(COUNTIFS('Data entry'!$R$6:$R$200,'Summary Data'!$A120,'Data entry'!$B$6:$B$200,{"Confirmed";"Probable"},'Data entry'!$AQ$6:$AQ$200,'Data Validation'!$V$5, 'Data entry'!$AP$6:$AP$200,'Data Validation'!$U$5, 'Data entry'!$BD$6:$BD$200,"&lt;&gt;*Negative*"))</f>
        <v>0</v>
      </c>
      <c r="AY120" s="15">
        <f>SUM(COUNTIFS('Data entry'!$R$6:$R$200,'Summary Data'!$A120,'Data entry'!$B$6:$B$200,{"Confirmed";"Probable"},'Data entry'!$AQ$6:$AQ$200,'Data Validation'!$V$5, 'Data entry'!$AP$6:$AP$200,'Data Validation'!$U$6, 'Data entry'!$BD$6:$BD$200,"&lt;&gt;*Negative*"))</f>
        <v>0</v>
      </c>
      <c r="AZ120" s="15">
        <f>SUM(COUNTIFS('Data entry'!$R$6:$R$200,'Summary Data'!$A120,'Data entry'!$B$6:$B$200,{"Confirmed";"Probable"},'Data entry'!$AQ$6:$AQ$200,'Data Validation'!$V$6, 'Data entry'!$AP$6:$AP$200,'Data Validation'!$U$2, 'Data entry'!$BD$6:$BD$200,"&lt;&gt;*Negative*"))</f>
        <v>0</v>
      </c>
      <c r="BA120" s="15">
        <f>SUM(COUNTIFS('Data entry'!$R$6:$R$200,'Summary Data'!$A120,'Data entry'!$B$6:$B$200,{"Confirmed";"Probable"},'Data entry'!$AQ$6:$AQ$200,'Data Validation'!$V$6, 'Data entry'!$AP$6:$AP$200,'Data Validation'!$U$3, 'Data entry'!$BD$6:$BD$200,"&lt;&gt;*Negative*"))</f>
        <v>0</v>
      </c>
      <c r="BB120" s="15">
        <f>SUM(COUNTIFS('Data entry'!$R$6:$R$200,'Summary Data'!$A120,'Data entry'!$B$6:$B$200,{"Confirmed";"Probable"},'Data entry'!$AQ$6:$AQ$200,'Data Validation'!$V$6, 'Data entry'!$AP$6:$AP$200,'Data Validation'!$U$4, 'Data entry'!$BD$6:$BD$200,"&lt;&gt;*Negative*"))</f>
        <v>0</v>
      </c>
      <c r="BC120" s="15">
        <f>SUM(COUNTIFS('Data entry'!$R$6:$R$200,'Summary Data'!$A120,'Data entry'!$B$6:$B$200,{"Confirmed";"Probable"},'Data entry'!$AQ$6:$AQ$200,'Data Validation'!$V$6, 'Data entry'!$AP$6:$AP$200,'Data Validation'!$U$5, 'Data entry'!$BD$6:$BD$200,"&lt;&gt;*Negative*"))</f>
        <v>0</v>
      </c>
      <c r="BD120" s="15">
        <f>SUM(COUNTIFS('Data entry'!$R$6:$R$200,'Summary Data'!$A120,'Data entry'!$B$6:$B$200,{"Confirmed";"Probable"},'Data entry'!$AQ$6:$AQ$200,'Data Validation'!$V$6, 'Data entry'!$AP$6:$AP$200,'Data Validation'!$U$6, 'Data entry'!$BD$6:$BD$200,"&lt;&gt;*Negative*"))</f>
        <v>0</v>
      </c>
      <c r="BE120" s="15">
        <f>SUM(COUNTIFS('Data entry'!$R$6:$R$200,'Summary Data'!$A120,'Data entry'!$B$6:$B$200,{"Confirmed";"Probable"},'Data entry'!$AQ$6:$AQ$200,'Data Validation'!$V$7, 'Data entry'!$AP$6:$AP$200,'Data Validation'!$U$2, 'Data entry'!$BD$6:$BD$200,"&lt;&gt;*Negative*"))</f>
        <v>0</v>
      </c>
      <c r="BF120" s="15">
        <f>SUM(COUNTIFS('Data entry'!$R$6:$R$200,'Summary Data'!$A120,'Data entry'!$B$6:$B$200,{"Confirmed";"Probable"},'Data entry'!$AQ$6:$AQ$200,'Data Validation'!$V$7, 'Data entry'!$AP$6:$AP$200,'Data Validation'!$U$3, 'Data entry'!$BD$6:$BD$200,"&lt;&gt;*Negative*"))</f>
        <v>0</v>
      </c>
      <c r="BG120" s="15">
        <f>SUM(COUNTIFS('Data entry'!$R$6:$R$200,'Summary Data'!$A120,'Data entry'!$B$6:$B$200,{"Confirmed";"Probable"},'Data entry'!$AQ$6:$AQ$200,'Data Validation'!$V$7, 'Data entry'!$AP$6:$AP$200,'Data Validation'!$U$4, 'Data entry'!$BD$6:$BD$200,"&lt;&gt;*Negative*"))</f>
        <v>0</v>
      </c>
      <c r="BH120" s="15">
        <f>SUM(COUNTIFS('Data entry'!$R$6:$R$200,'Summary Data'!$A120,'Data entry'!$B$6:$B$200,{"Confirmed";"Probable"},'Data entry'!$AQ$6:$AQ$200,'Data Validation'!$V$7, 'Data entry'!$AP$6:$AP$200,'Data Validation'!$U$5, 'Data entry'!$BD$6:$BD$200,"&lt;&gt;*Negative*"))</f>
        <v>0</v>
      </c>
      <c r="BI120" s="15">
        <f>SUM(COUNTIFS('Data entry'!$R$6:$R$200,'Summary Data'!$A120,'Data entry'!$B$6:$B$200,{"Confirmed";"Probable"},'Data entry'!$AQ$6:$AQ$200,'Data Validation'!$V$7, 'Data entry'!$AP$6:$AP$200,'Data Validation'!$U$6, 'Data entry'!$BD$6:$BD$200,"&lt;&gt;*Negative*"))</f>
        <v>0</v>
      </c>
      <c r="BJ120" s="15">
        <f>SUM(COUNTIFS('Data entry'!$R$6:$R$200,'Summary Data'!$A120,'Data entry'!$B$6:$B$200,{"Confirmed";"Probable"},'Data entry'!$AQ$6:$AQ$200,'Data Validation'!$V$8, 'Data entry'!$AP$6:$AP$200,'Data Validation'!$U$2, 'Data entry'!$BD$6:$BD$200,"&lt;&gt;*Negative*"))</f>
        <v>0</v>
      </c>
      <c r="BK120" s="15">
        <f>SUM(COUNTIFS('Data entry'!$R$6:$R$200,'Summary Data'!$A120,'Data entry'!$B$6:$B$200,{"Confirmed";"Probable"},'Data entry'!$AQ$6:$AQ$200,'Data Validation'!$V$8, 'Data entry'!$AP$6:$AP$200,'Data Validation'!$U$3, 'Data entry'!$BD$6:$BD$200,"&lt;&gt;*Negative*"))</f>
        <v>0</v>
      </c>
      <c r="BL120" s="15">
        <f>SUM(COUNTIFS('Data entry'!$R$6:$R$200,'Summary Data'!$A120,'Data entry'!$B$6:$B$200,{"Confirmed";"Probable"},'Data entry'!$AQ$6:$AQ$200,'Data Validation'!$V$8, 'Data entry'!$AP$6:$AP$200,'Data Validation'!$U$4, 'Data entry'!$BD$6:$BD$200,"&lt;&gt;*Negative*"))</f>
        <v>0</v>
      </c>
      <c r="BM120" s="15">
        <f>SUM(COUNTIFS('Data entry'!$R$6:$R$200,'Summary Data'!$A120,'Data entry'!$B$6:$B$200,{"Confirmed";"Probable"},'Data entry'!$AQ$6:$AQ$200,'Data Validation'!$V$8, 'Data entry'!$AP$6:$AP$200,'Data Validation'!$U$5, 'Data entry'!$BD$6:$BD$200,"&lt;&gt;*Negative*"))</f>
        <v>0</v>
      </c>
      <c r="BN120" s="15">
        <f>SUM(COUNTIFS('Data entry'!$R$6:$R$200,'Summary Data'!$A120,'Data entry'!$B$6:$B$200,{"Confirmed";"Probable"},'Data entry'!$AQ$6:$AQ$200,'Data Validation'!$V$8, 'Data entry'!$AP$6:$AP$200,'Data Validation'!$U$6, 'Data entry'!$BD$6:$BD$200,"&lt;&gt;*Negative*"))</f>
        <v>0</v>
      </c>
      <c r="BO120" s="15">
        <f>SUM(COUNTIFS('Data entry'!$R$6:$R$200,'Summary Data'!$A120,'Data entry'!$B$6:$B$200,{"Confirmed";"Probable"},'Data entry'!$AQ$6:$AQ$200,'Data Validation'!$V$9, 'Data entry'!$AP$6:$AP$200,'Data Validation'!$U$2, 'Data entry'!$BD$6:$BD$200,"&lt;&gt;*Negative*"))</f>
        <v>0</v>
      </c>
      <c r="BP120" s="15">
        <f>SUM(COUNTIFS('Data entry'!$R$6:$R$200,'Summary Data'!$A120,'Data entry'!$B$6:$B$200,{"Confirmed";"Probable"},'Data entry'!$AQ$6:$AQ$200,'Data Validation'!$V$9, 'Data entry'!$AP$6:$AP$200,'Data Validation'!$U$3, 'Data entry'!$BD$6:$BD$200,"&lt;&gt;*Negative*"))</f>
        <v>0</v>
      </c>
      <c r="BQ120" s="15">
        <f>SUM(COUNTIFS('Data entry'!$R$6:$R$200,'Summary Data'!$A120,'Data entry'!$B$6:$B$200,{"Confirmed";"Probable"},'Data entry'!$AQ$6:$AQ$200,'Data Validation'!$V$9, 'Data entry'!$AP$6:$AP$200,'Data Validation'!$U$4, 'Data entry'!$BD$6:$BD$200,"&lt;&gt;*Negative*"))</f>
        <v>0</v>
      </c>
      <c r="BR120" s="15">
        <f>SUM(COUNTIFS('Data entry'!$R$6:$R$200,'Summary Data'!$A120,'Data entry'!$B$6:$B$200,{"Confirmed";"Probable"},'Data entry'!$AQ$6:$AQ$200,'Data Validation'!$V$9, 'Data entry'!$AP$6:$AP$200,'Data Validation'!$U$5, 'Data entry'!$BD$6:$BD$200,"&lt;&gt;*Negative*"))</f>
        <v>0</v>
      </c>
      <c r="BS120" s="15">
        <f>SUM(COUNTIFS('Data entry'!$R$6:$R$200,'Summary Data'!$A120,'Data entry'!$B$6:$B$200,{"Confirmed";"Probable"},'Data entry'!$AQ$6:$AQ$200,'Data Validation'!$V$9, 'Data entry'!$AP$6:$AP$200,'Data Validation'!$U$6, 'Data entry'!$BD$6:$BD$200,"&lt;&gt;*Negative*"))</f>
        <v>0</v>
      </c>
      <c r="BT120" s="15">
        <f>SUM(COUNTIFS('Data entry'!$R$6:$R$200,'Summary Data'!$A120,'Data entry'!$B$6:$B$200,{"Confirmed";"Probable"},'Data entry'!$AQ$6:$AQ$200,'Data Validation'!$V$10, 'Data entry'!$AP$6:$AP$200,'Data Validation'!$U$2, 'Data entry'!$BD$6:$BD$200,"&lt;&gt;*Negative*"))</f>
        <v>0</v>
      </c>
      <c r="BU120" s="15">
        <f>SUM(COUNTIFS('Data entry'!$R$6:$R$200,'Summary Data'!$A120,'Data entry'!$B$6:$B$200,{"Confirmed";"Probable"},'Data entry'!$AQ$6:$AQ$200,'Data Validation'!$V$10, 'Data entry'!$AP$6:$AP$200,'Data Validation'!$U$3, 'Data entry'!$BD$6:$BD$200,"&lt;&gt;*Negative*"))</f>
        <v>0</v>
      </c>
      <c r="BV120" s="15">
        <f>SUM(COUNTIFS('Data entry'!$R$6:$R$200,'Summary Data'!$A120,'Data entry'!$B$6:$B$200,{"Confirmed";"Probable"},'Data entry'!$AQ$6:$AQ$200,'Data Validation'!$V$10, 'Data entry'!$AP$6:$AP$200,'Data Validation'!$U$4, 'Data entry'!$BD$6:$BD$200,"&lt;&gt;*Negative*"))</f>
        <v>0</v>
      </c>
      <c r="BW120" s="15">
        <f>SUM(COUNTIFS('Data entry'!$R$6:$R$200,'Summary Data'!$A120,'Data entry'!$B$6:$B$200,{"Confirmed";"Probable"},'Data entry'!$AQ$6:$AQ$200,'Data Validation'!$V$10, 'Data entry'!$AP$6:$AP$200,'Data Validation'!$U$5, 'Data entry'!$BD$6:$BD$200,"&lt;&gt;*Negative*"))</f>
        <v>0</v>
      </c>
      <c r="BX120" s="15">
        <f>SUM(COUNTIFS('Data entry'!$R$6:$R$200,'Summary Data'!$A120,'Data entry'!$B$6:$B$200,{"Confirmed";"Probable"},'Data entry'!$AQ$6:$AQ$200,'Data Validation'!$V$10, 'Data entry'!$AP$6:$AP$200,'Data Validation'!$U$6, 'Data entry'!$BD$6:$BD$200,"&lt;&gt;*Negative*"))</f>
        <v>0</v>
      </c>
      <c r="BY120" s="15">
        <f>SUM(COUNTIFS('Data entry'!$R$6:$R$200,'Summary Data'!$A120,'Data entry'!$B$6:$B$200,{"Confirmed";"Probable"},'Data entry'!$AQ$6:$AQ$200,'Data Validation'!$V$11, 'Data entry'!$AP$6:$AP$200,'Data Validation'!$U$2, 'Data entry'!$BD$6:$BD$200,"&lt;&gt;*Negative*"))</f>
        <v>0</v>
      </c>
      <c r="BZ120" s="15">
        <f>SUM(COUNTIFS('Data entry'!$R$6:$R$200,'Summary Data'!$A120,'Data entry'!$B$6:$B$200,{"Confirmed";"Probable"},'Data entry'!$AQ$6:$AQ$200,'Data Validation'!$V$11, 'Data entry'!$AP$6:$AP$200,'Data Validation'!$U$3, 'Data entry'!$BD$6:$BD$200,"&lt;&gt;*Negative*"))</f>
        <v>0</v>
      </c>
      <c r="CA120" s="15">
        <f>SUM(COUNTIFS('Data entry'!$R$6:$R$200,'Summary Data'!$A120,'Data entry'!$B$6:$B$200,{"Confirmed";"Probable"},'Data entry'!$AQ$6:$AQ$200,'Data Validation'!$V$11, 'Data entry'!$AP$6:$AP$200,'Data Validation'!$U$4, 'Data entry'!$BD$6:$BD$200,"&lt;&gt;*Negative*"))</f>
        <v>0</v>
      </c>
      <c r="CB120" s="15">
        <f>SUM(COUNTIFS('Data entry'!$R$6:$R$200,'Summary Data'!$A120,'Data entry'!$B$6:$B$200,{"Confirmed";"Probable"},'Data entry'!$AQ$6:$AQ$200,'Data Validation'!$V$11, 'Data entry'!$AP$6:$AP$200,'Data Validation'!$U$5, 'Data entry'!$BD$6:$BD$200,"&lt;&gt;*Negative*"))</f>
        <v>0</v>
      </c>
      <c r="CC120" s="15">
        <f>SUM(COUNTIFS('Data entry'!$R$6:$R$200,'Summary Data'!$A120,'Data entry'!$B$6:$B$200,{"Confirmed";"Probable"},'Data entry'!$AQ$6:$AQ$200,'Data Validation'!$V$11, 'Data entry'!$AP$6:$AP$200,'Data Validation'!$U$6, 'Data entry'!$BD$6:$BD$200,"&lt;&gt;*Negative*"))</f>
        <v>0</v>
      </c>
    </row>
    <row r="121" spans="1:81" x14ac:dyDescent="0.25">
      <c r="A121" s="12">
        <f t="shared" si="9"/>
        <v>109</v>
      </c>
      <c r="B121" s="13">
        <f t="shared" si="6"/>
        <v>0</v>
      </c>
      <c r="C121" s="13">
        <f>COUNTIFS('Data entry'!$R$6:$R$200,$A121,'Data entry'!$B$6:$B$200,"Confirmed",'Data entry'!$BD$6:$BD$200,"&lt;&gt;*Negative*")</f>
        <v>0</v>
      </c>
      <c r="D121" s="13">
        <f>COUNTIFS('Data entry'!$R$6:$R$200,$A121,'Data entry'!$B$6:$B$200,"Probable",'Data entry'!$BD$6:$BD$200,"&lt;&gt;*Negative*")</f>
        <v>0</v>
      </c>
      <c r="E121" s="13">
        <f>COUNTIFS('Data entry'!$R$6:$R$200,$A121,'Data entry'!$B$6:$B$200,"DNM")</f>
        <v>0</v>
      </c>
      <c r="F121" s="13">
        <f>SUM(COUNTIFS('Data entry'!$R$6:$R$200,'Summary Data'!$A121,'Data entry'!$B$6:$B$200,{"Confirmed";"Probable"},'Data entry'!$AO$6:$AO$200,$F$10, 'Data entry'!$BD$6:$BD$200,"&lt;&gt;*Negative*"))</f>
        <v>0</v>
      </c>
      <c r="G121" s="13">
        <f>SUM(COUNTIFS('Data entry'!$R$6:$R$200,'Summary Data'!$A121,'Data entry'!$B$6:$B$200,{"Confirmed";"Probable"},'Data entry'!$AO$6:$AO$200,$G$10, 'Data entry'!$BD$6:$BD$200,"&lt;&gt;*Negative*"))</f>
        <v>0</v>
      </c>
      <c r="H121" s="13">
        <f>SUM(COUNTIFS('Data entry'!$R$6:$R$200,'Summary Data'!$A121,'Data entry'!$B$6:$B$200,{"Confirmed";"Probable"},'Data entry'!$AO$6:$AO$200,$H$10, 'Data entry'!$BD$6:$BD$200,"&lt;&gt;*Negative*"))</f>
        <v>0</v>
      </c>
      <c r="I121" s="13">
        <f>SUM(COUNTIFS('Data entry'!$R$6:$R$200,'Summary Data'!$A121,'Data entry'!$B$6:$B$200,{"Confirmed";"Probable"},'Data entry'!$AO$6:$AO$200,$I$10, 'Data entry'!$BD$6:$BD$200,"&lt;&gt;*Negative*"))</f>
        <v>0</v>
      </c>
      <c r="J121" s="13">
        <f>SUM(COUNTIFS('Data entry'!$R$6:$R$200,'Summary Data'!$A121,'Data entry'!$B$6:$B$200,{"Confirmed";"Probable"},'Data entry'!$AO$6:$AO$200,$J$10, 'Data entry'!$BD$6:$BD$200,"&lt;&gt;*Negative*"))</f>
        <v>0</v>
      </c>
      <c r="K121" s="13">
        <f>SUM(COUNTIFS('Data entry'!$R$6:$R$200,'Summary Data'!$A121,'Data entry'!$B$6:$B$200,{"Confirmed";"Probable"},'Data entry'!$AO$6:$AO$200,$K$10, 'Data entry'!$BD$6:$BD$200,"&lt;&gt;*Negative*"))</f>
        <v>0</v>
      </c>
      <c r="L121" s="13">
        <f>SUM(COUNTIFS('Data entry'!$R$6:$R$200,'Summary Data'!$A121,'Data entry'!$B$6:$B$200,{"Confirmed";"Probable"},'Data entry'!$AO$6:$AO$200,$L$10, 'Data entry'!$BD$6:$BD$200,"&lt;&gt;*Negative*"))</f>
        <v>0</v>
      </c>
      <c r="M121" s="13">
        <f>SUM(COUNTIFS('Data entry'!$R$6:$R$200,'Summary Data'!$A121,'Data entry'!$B$6:$B$200,{"Confirmed";"Probable"},'Data entry'!$AO$6:$AO$200,$M$10, 'Data entry'!$BD$6:$BD$200,"&lt;&gt;*Negative*"))</f>
        <v>0</v>
      </c>
      <c r="N121" s="13">
        <f>SUM(COUNTIFS('Data entry'!$R$6:$R$200,'Summary Data'!$A121,'Data entry'!$B$6:$B$200,{"Confirmed";"Probable"},'Data entry'!$AO$6:$AO$200,$N$10, 'Data entry'!$BD$6:$BD$200,"&lt;&gt;*Negative*"))</f>
        <v>0</v>
      </c>
      <c r="O121" s="15">
        <f t="shared" si="7"/>
        <v>0</v>
      </c>
      <c r="P121" s="15">
        <f t="shared" si="8"/>
        <v>0</v>
      </c>
      <c r="Q121" s="15">
        <f>SUM(COUNTIFS('Data entry'!$R$6:$R$200,'Summary Data'!$A121,'Data entry'!$B$6:$B$200,{"Confirmed";"Probable"},'Data entry'!$AP$6:$AP$200,'Data Validation'!$U$2, 'Data entry'!$BD$6:$BD$200,"&lt;&gt;*Negative*"))</f>
        <v>0</v>
      </c>
      <c r="R121" s="15">
        <f>SUM(COUNTIFS('Data entry'!$R$6:$R$200,'Summary Data'!$A121,'Data entry'!$B$6:$B$200,{"Confirmed";"Probable"},'Data entry'!$AP$6:$AP$200,'Data Validation'!$U$3, 'Data entry'!$BD$6:$BD$200,"&lt;&gt;*Negative*"))</f>
        <v>0</v>
      </c>
      <c r="S121" s="15">
        <f>SUM(COUNTIFS('Data entry'!$R$6:$R$200,'Summary Data'!$A121,'Data entry'!$B$6:$B$200,{"Confirmed";"Probable"},'Data entry'!$AP$6:$AP$200,'Data Validation'!$U$4, 'Data entry'!$BD$6:$BD$200,"&lt;&gt;*Negative*"))</f>
        <v>0</v>
      </c>
      <c r="T121" s="15">
        <f>SUM(COUNTIFS('Data entry'!$R$6:$R$200,'Summary Data'!$A121,'Data entry'!$B$6:$B$200,{"Confirmed";"Probable"},'Data entry'!$AP$6:$AP$200,'Data Validation'!$U$5, 'Data entry'!$BD$6:$BD$200,"&lt;&gt;*Negative*"))</f>
        <v>0</v>
      </c>
      <c r="U121" s="15">
        <f>SUM(COUNTIFS('Data entry'!$R$6:$R$200,'Summary Data'!$A121,'Data entry'!$B$6:$B$200,{"Confirmed";"Probable"},'Data entry'!$AP$6:$AP$200,'Data Validation'!$U$6, 'Data entry'!$BD$6:$BD$200,"&lt;&gt;*Negative*"))</f>
        <v>0</v>
      </c>
      <c r="V121" s="15">
        <f>SUM(COUNTIFS('Data entry'!$R$6:$R$200,'Summary Data'!$A121,'Data entry'!$B$6:$B$200,{"Confirmed";"Probable"},'Data entry'!$AQ$6:$AQ$200,'Data Validation'!$V$2, 'Data entry'!$BD$6:$BD$200,"&lt;&gt;*Negative*"))</f>
        <v>0</v>
      </c>
      <c r="W121" s="15">
        <f>SUM(COUNTIFS('Data entry'!$R$6:$R$200,'Summary Data'!$A121,'Data entry'!$B$6:$B$200,{"Confirmed";"Probable"},'Data entry'!$AQ$6:$AQ$200,'Data Validation'!$V$3, 'Data entry'!$BD$6:$BD$200,"&lt;&gt;*Negative*"))</f>
        <v>0</v>
      </c>
      <c r="X121" s="15">
        <f>SUM(COUNTIFS('Data entry'!$R$6:$R$200,'Summary Data'!$A121,'Data entry'!$B$6:$B$200,{"Confirmed";"Probable"},'Data entry'!$AQ$6:$AQ$200,'Data Validation'!$V$4, 'Data entry'!$BD$6:$BD$200,"&lt;&gt;*Negative*"))</f>
        <v>0</v>
      </c>
      <c r="Y121" s="15">
        <f>SUM(COUNTIFS('Data entry'!$R$6:$R$200,'Summary Data'!$A121,'Data entry'!$B$6:$B$200,{"Confirmed";"Probable"},'Data entry'!$AQ$6:$AQ$200,'Data Validation'!$V$5, 'Data entry'!$BD$6:$BD$200,"&lt;&gt;*Negative*"))</f>
        <v>0</v>
      </c>
      <c r="Z121" s="15">
        <f>SUM(COUNTIFS('Data entry'!$R$6:$R$200,'Summary Data'!$A121,'Data entry'!$B$6:$B$200,{"Confirmed";"Probable"},'Data entry'!$AQ$6:$AQ$200,'Data Validation'!$V$6, 'Data entry'!$BD$6:$BD$200,"&lt;&gt;*Negative*"))</f>
        <v>0</v>
      </c>
      <c r="AA121" s="15">
        <f>SUM(COUNTIFS('Data entry'!$R$6:$R$200,'Summary Data'!$A121,'Data entry'!$B$6:$B$200,{"Confirmed";"Probable"},'Data entry'!$AQ$6:$AQ$200,'Data Validation'!$V$7, 'Data entry'!$BD$6:$BD$200,"&lt;&gt;*Negative*"))</f>
        <v>0</v>
      </c>
      <c r="AB121" s="15">
        <f>SUM(COUNTIFS('Data entry'!$R$6:$R$200,'Summary Data'!$A121,'Data entry'!$B$6:$B$200,{"Confirmed";"Probable"},'Data entry'!$AQ$6:$AQ$200,'Data Validation'!$V$8, 'Data entry'!$BD$6:$BD$200,"&lt;&gt;*Negative*"))</f>
        <v>0</v>
      </c>
      <c r="AC121" s="15">
        <f>SUM(COUNTIFS('Data entry'!$R$6:$R$200,'Summary Data'!$A121,'Data entry'!$B$6:$B$200,{"Confirmed";"Probable"},'Data entry'!$AQ$6:$AQ$200,'Data Validation'!$V$9, 'Data entry'!$BD$6:$BD$200,"&lt;&gt;*Negative*"))</f>
        <v>0</v>
      </c>
      <c r="AD121" s="15">
        <f>SUM(COUNTIFS('Data entry'!$R$6:$R$200,'Summary Data'!$A121,'Data entry'!$B$6:$B$200,{"Confirmed";"Probable"},'Data entry'!$AQ$6:$AQ$200,'Data Validation'!$V$10, 'Data entry'!$BD$6:$BD$200,"&lt;&gt;*Negative*"))</f>
        <v>0</v>
      </c>
      <c r="AE121" s="15">
        <f>SUM(COUNTIFS('Data entry'!$R$6:$R$200,'Summary Data'!$A121,'Data entry'!$B$6:$B$200,{"Confirmed";"Probable"},'Data entry'!$AQ$6:$AQ$200,'Data Validation'!$V$11, 'Data entry'!$BD$6:$BD$200,"&lt;&gt;*Negative*"))</f>
        <v>0</v>
      </c>
      <c r="AF121" s="15">
        <f>SUM(COUNTIFS('Data entry'!$R$6:$R$200,'Summary Data'!$A121,'Data entry'!$B$6:$B$200,{"Confirmed";"Probable"},'Data entry'!$AQ$6:$AQ$200,'Data Validation'!$V$2, 'Data entry'!$AP$6:$AP$200,'Data Validation'!$U$2, 'Data entry'!$BD$6:$BD$200,"&lt;&gt;*Negative*"))</f>
        <v>0</v>
      </c>
      <c r="AG121" s="15">
        <f>SUM(COUNTIFS('Data entry'!$R$6:$R$200,'Summary Data'!$A121,'Data entry'!$B$6:$B$200,{"Confirmed";"Probable"},'Data entry'!$AQ$6:$AQ$200,'Data Validation'!$V$2, 'Data entry'!$AP$6:$AP$200,'Data Validation'!$U$3, 'Data entry'!$BD$6:$BD$200,"&lt;&gt;*Negative*"))</f>
        <v>0</v>
      </c>
      <c r="AH121" s="15">
        <f>SUM(COUNTIFS('Data entry'!$R$6:$R$200,'Summary Data'!$A121,'Data entry'!$B$6:$B$200,{"Confirmed";"Probable"},'Data entry'!$AQ$6:$AQ$200,'Data Validation'!$V$2, 'Data entry'!$AP$6:$AP$200,'Data Validation'!$U$4, 'Data entry'!$BD$6:$BD$200,"&lt;&gt;*Negative*"))</f>
        <v>0</v>
      </c>
      <c r="AI121" s="15">
        <f>SUM(COUNTIFS('Data entry'!$R$6:$R$200,'Summary Data'!$A121,'Data entry'!$B$6:$B$200,{"Confirmed";"Probable"},'Data entry'!$AQ$6:$AQ$200,'Data Validation'!$V$2, 'Data entry'!$AP$6:$AP$200,'Data Validation'!$U$5, 'Data entry'!$BD$6:$BD$200,"&lt;&gt;*Negative*"))</f>
        <v>0</v>
      </c>
      <c r="AJ121" s="15">
        <f>SUM(COUNTIFS('Data entry'!$R$6:$R$200,'Summary Data'!$A121,'Data entry'!$B$6:$B$200,{"Confirmed";"Probable"},'Data entry'!$AQ$6:$AQ$200,'Data Validation'!$V$2, 'Data entry'!$AP$6:$AP$200,'Data Validation'!$U$6, 'Data entry'!$BD$6:$BD$200,"&lt;&gt;*Negative*"))</f>
        <v>0</v>
      </c>
      <c r="AK121" s="15">
        <f>SUM(COUNTIFS('Data entry'!$R$6:$R$200,'Summary Data'!$A121,'Data entry'!$B$6:$B$200,{"Confirmed";"Probable"},'Data entry'!$AQ$6:$AQ$200,'Data Validation'!$V$3, 'Data entry'!$AP$6:$AP$200,'Data Validation'!$U$2, 'Data entry'!$BD$6:$BD$200,"&lt;&gt;*Negative*"))</f>
        <v>0</v>
      </c>
      <c r="AL121" s="15">
        <f>SUM(COUNTIFS('Data entry'!$R$6:$R$200,'Summary Data'!$A121,'Data entry'!$B$6:$B$200,{"Confirmed";"Probable"},'Data entry'!$AQ$6:$AQ$200,'Data Validation'!$V$3, 'Data entry'!$AP$6:$AP$200,'Data Validation'!$U$3, 'Data entry'!$BD$6:$BD$200,"&lt;&gt;*Negative*"))</f>
        <v>0</v>
      </c>
      <c r="AM121" s="15">
        <f>SUM(COUNTIFS('Data entry'!$R$6:$R$200,'Summary Data'!$A121,'Data entry'!$B$6:$B$200,{"Confirmed";"Probable"},'Data entry'!$AQ$6:$AQ$200,'Data Validation'!$V$3, 'Data entry'!$AP$6:$AP$200,'Data Validation'!$U$4, 'Data entry'!$BD$6:$BD$200,"&lt;&gt;*Negative*"))</f>
        <v>0</v>
      </c>
      <c r="AN121" s="15">
        <f>SUM(COUNTIFS('Data entry'!$R$6:$R$200,'Summary Data'!$A121,'Data entry'!$B$6:$B$200,{"Confirmed";"Probable"},'Data entry'!$AQ$6:$AQ$200,'Data Validation'!$V$3, 'Data entry'!$AP$6:$AP$200,'Data Validation'!$U$5, 'Data entry'!$BD$6:$BD$200,"&lt;&gt;*Negative*"))</f>
        <v>0</v>
      </c>
      <c r="AO121" s="15">
        <f>SUM(COUNTIFS('Data entry'!$R$6:$R$200,'Summary Data'!$A121,'Data entry'!$B$6:$B$200,{"Confirmed";"Probable"},'Data entry'!$AQ$6:$AQ$200,'Data Validation'!$V$3, 'Data entry'!$AP$6:$AP$200,'Data Validation'!$U$6, 'Data entry'!$BD$6:$BD$200,"&lt;&gt;*Negative*"))</f>
        <v>0</v>
      </c>
      <c r="AP121" s="15">
        <f>SUM(COUNTIFS('Data entry'!$R$6:$R$200,'Summary Data'!$A121,'Data entry'!$B$6:$B$200,{"Confirmed";"Probable"},'Data entry'!$AQ$6:$AQ$200,'Data Validation'!$V$4, 'Data entry'!$AP$6:$AP$200,'Data Validation'!$U$2, 'Data entry'!$BD$6:$BD$200,"&lt;&gt;*Negative*"))</f>
        <v>0</v>
      </c>
      <c r="AQ121" s="15">
        <f>SUM(COUNTIFS('Data entry'!$R$6:$R$200,'Summary Data'!$A121,'Data entry'!$B$6:$B$200,{"Confirmed";"Probable"},'Data entry'!$AQ$6:$AQ$200,'Data Validation'!$V$4, 'Data entry'!$AP$6:$AP$200,'Data Validation'!$U$3, 'Data entry'!$BD$6:$BD$200,"&lt;&gt;*Negative*"))</f>
        <v>0</v>
      </c>
      <c r="AR121" s="15">
        <f>SUM(COUNTIFS('Data entry'!$R$6:$R$200,'Summary Data'!$A121,'Data entry'!$B$6:$B$200,{"Confirmed";"Probable"},'Data entry'!$AQ$6:$AQ$200,'Data Validation'!$V$4, 'Data entry'!$AP$6:$AP$200,'Data Validation'!$U$4, 'Data entry'!$BD$6:$BD$200,"&lt;&gt;*Negative*"))</f>
        <v>0</v>
      </c>
      <c r="AS121" s="15">
        <f>SUM(COUNTIFS('Data entry'!$R$6:$R$200,'Summary Data'!$A121,'Data entry'!$B$6:$B$200,{"Confirmed";"Probable"},'Data entry'!$AQ$6:$AQ$200,'Data Validation'!$V$4, 'Data entry'!$AP$6:$AP$200,'Data Validation'!$U$5, 'Data entry'!$BD$6:$BD$200,"&lt;&gt;*Negative*"))</f>
        <v>0</v>
      </c>
      <c r="AT121" s="15">
        <f>SUM(COUNTIFS('Data entry'!$R$6:$R$200,'Summary Data'!$A121,'Data entry'!$B$6:$B$200,{"Confirmed";"Probable"},'Data entry'!$AQ$6:$AQ$200,'Data Validation'!$V$4, 'Data entry'!$AP$6:$AP$200,'Data Validation'!$U$6, 'Data entry'!$BD$6:$BD$200,"&lt;&gt;*Negative*"))</f>
        <v>0</v>
      </c>
      <c r="AU121" s="15">
        <f>SUM(COUNTIFS('Data entry'!$R$6:$R$200,'Summary Data'!$A121,'Data entry'!$B$6:$B$200,{"Confirmed";"Probable"},'Data entry'!$AQ$6:$AQ$200,'Data Validation'!$V$5, 'Data entry'!$AP$6:$AP$200,'Data Validation'!$U$2, 'Data entry'!$BD$6:$BD$200,"&lt;&gt;*Negative*"))</f>
        <v>0</v>
      </c>
      <c r="AV121" s="15">
        <f>SUM(COUNTIFS('Data entry'!$R$6:$R$200,'Summary Data'!$A121,'Data entry'!$B$6:$B$200,{"Confirmed";"Probable"},'Data entry'!$AQ$6:$AQ$200,'Data Validation'!$V$5, 'Data entry'!$AP$6:$AP$200,'Data Validation'!$U$3, 'Data entry'!$BD$6:$BD$200,"&lt;&gt;*Negative*"))</f>
        <v>0</v>
      </c>
      <c r="AW121" s="15">
        <f>SUM(COUNTIFS('Data entry'!$R$6:$R$200,'Summary Data'!$A121,'Data entry'!$B$6:$B$200,{"Confirmed";"Probable"},'Data entry'!$AQ$6:$AQ$200,'Data Validation'!$V$5, 'Data entry'!$AP$6:$AP$200,'Data Validation'!$U$4, 'Data entry'!$BD$6:$BD$200,"&lt;&gt;*Negative*"))</f>
        <v>0</v>
      </c>
      <c r="AX121" s="15">
        <f>SUM(COUNTIFS('Data entry'!$R$6:$R$200,'Summary Data'!$A121,'Data entry'!$B$6:$B$200,{"Confirmed";"Probable"},'Data entry'!$AQ$6:$AQ$200,'Data Validation'!$V$5, 'Data entry'!$AP$6:$AP$200,'Data Validation'!$U$5, 'Data entry'!$BD$6:$BD$200,"&lt;&gt;*Negative*"))</f>
        <v>0</v>
      </c>
      <c r="AY121" s="15">
        <f>SUM(COUNTIFS('Data entry'!$R$6:$R$200,'Summary Data'!$A121,'Data entry'!$B$6:$B$200,{"Confirmed";"Probable"},'Data entry'!$AQ$6:$AQ$200,'Data Validation'!$V$5, 'Data entry'!$AP$6:$AP$200,'Data Validation'!$U$6, 'Data entry'!$BD$6:$BD$200,"&lt;&gt;*Negative*"))</f>
        <v>0</v>
      </c>
      <c r="AZ121" s="15">
        <f>SUM(COUNTIFS('Data entry'!$R$6:$R$200,'Summary Data'!$A121,'Data entry'!$B$6:$B$200,{"Confirmed";"Probable"},'Data entry'!$AQ$6:$AQ$200,'Data Validation'!$V$6, 'Data entry'!$AP$6:$AP$200,'Data Validation'!$U$2, 'Data entry'!$BD$6:$BD$200,"&lt;&gt;*Negative*"))</f>
        <v>0</v>
      </c>
      <c r="BA121" s="15">
        <f>SUM(COUNTIFS('Data entry'!$R$6:$R$200,'Summary Data'!$A121,'Data entry'!$B$6:$B$200,{"Confirmed";"Probable"},'Data entry'!$AQ$6:$AQ$200,'Data Validation'!$V$6, 'Data entry'!$AP$6:$AP$200,'Data Validation'!$U$3, 'Data entry'!$BD$6:$BD$200,"&lt;&gt;*Negative*"))</f>
        <v>0</v>
      </c>
      <c r="BB121" s="15">
        <f>SUM(COUNTIFS('Data entry'!$R$6:$R$200,'Summary Data'!$A121,'Data entry'!$B$6:$B$200,{"Confirmed";"Probable"},'Data entry'!$AQ$6:$AQ$200,'Data Validation'!$V$6, 'Data entry'!$AP$6:$AP$200,'Data Validation'!$U$4, 'Data entry'!$BD$6:$BD$200,"&lt;&gt;*Negative*"))</f>
        <v>0</v>
      </c>
      <c r="BC121" s="15">
        <f>SUM(COUNTIFS('Data entry'!$R$6:$R$200,'Summary Data'!$A121,'Data entry'!$B$6:$B$200,{"Confirmed";"Probable"},'Data entry'!$AQ$6:$AQ$200,'Data Validation'!$V$6, 'Data entry'!$AP$6:$AP$200,'Data Validation'!$U$5, 'Data entry'!$BD$6:$BD$200,"&lt;&gt;*Negative*"))</f>
        <v>0</v>
      </c>
      <c r="BD121" s="15">
        <f>SUM(COUNTIFS('Data entry'!$R$6:$R$200,'Summary Data'!$A121,'Data entry'!$B$6:$B$200,{"Confirmed";"Probable"},'Data entry'!$AQ$6:$AQ$200,'Data Validation'!$V$6, 'Data entry'!$AP$6:$AP$200,'Data Validation'!$U$6, 'Data entry'!$BD$6:$BD$200,"&lt;&gt;*Negative*"))</f>
        <v>0</v>
      </c>
      <c r="BE121" s="15">
        <f>SUM(COUNTIFS('Data entry'!$R$6:$R$200,'Summary Data'!$A121,'Data entry'!$B$6:$B$200,{"Confirmed";"Probable"},'Data entry'!$AQ$6:$AQ$200,'Data Validation'!$V$7, 'Data entry'!$AP$6:$AP$200,'Data Validation'!$U$2, 'Data entry'!$BD$6:$BD$200,"&lt;&gt;*Negative*"))</f>
        <v>0</v>
      </c>
      <c r="BF121" s="15">
        <f>SUM(COUNTIFS('Data entry'!$R$6:$R$200,'Summary Data'!$A121,'Data entry'!$B$6:$B$200,{"Confirmed";"Probable"},'Data entry'!$AQ$6:$AQ$200,'Data Validation'!$V$7, 'Data entry'!$AP$6:$AP$200,'Data Validation'!$U$3, 'Data entry'!$BD$6:$BD$200,"&lt;&gt;*Negative*"))</f>
        <v>0</v>
      </c>
      <c r="BG121" s="15">
        <f>SUM(COUNTIFS('Data entry'!$R$6:$R$200,'Summary Data'!$A121,'Data entry'!$B$6:$B$200,{"Confirmed";"Probable"},'Data entry'!$AQ$6:$AQ$200,'Data Validation'!$V$7, 'Data entry'!$AP$6:$AP$200,'Data Validation'!$U$4, 'Data entry'!$BD$6:$BD$200,"&lt;&gt;*Negative*"))</f>
        <v>0</v>
      </c>
      <c r="BH121" s="15">
        <f>SUM(COUNTIFS('Data entry'!$R$6:$R$200,'Summary Data'!$A121,'Data entry'!$B$6:$B$200,{"Confirmed";"Probable"},'Data entry'!$AQ$6:$AQ$200,'Data Validation'!$V$7, 'Data entry'!$AP$6:$AP$200,'Data Validation'!$U$5, 'Data entry'!$BD$6:$BD$200,"&lt;&gt;*Negative*"))</f>
        <v>0</v>
      </c>
      <c r="BI121" s="15">
        <f>SUM(COUNTIFS('Data entry'!$R$6:$R$200,'Summary Data'!$A121,'Data entry'!$B$6:$B$200,{"Confirmed";"Probable"},'Data entry'!$AQ$6:$AQ$200,'Data Validation'!$V$7, 'Data entry'!$AP$6:$AP$200,'Data Validation'!$U$6, 'Data entry'!$BD$6:$BD$200,"&lt;&gt;*Negative*"))</f>
        <v>0</v>
      </c>
      <c r="BJ121" s="15">
        <f>SUM(COUNTIFS('Data entry'!$R$6:$R$200,'Summary Data'!$A121,'Data entry'!$B$6:$B$200,{"Confirmed";"Probable"},'Data entry'!$AQ$6:$AQ$200,'Data Validation'!$V$8, 'Data entry'!$AP$6:$AP$200,'Data Validation'!$U$2, 'Data entry'!$BD$6:$BD$200,"&lt;&gt;*Negative*"))</f>
        <v>0</v>
      </c>
      <c r="BK121" s="15">
        <f>SUM(COUNTIFS('Data entry'!$R$6:$R$200,'Summary Data'!$A121,'Data entry'!$B$6:$B$200,{"Confirmed";"Probable"},'Data entry'!$AQ$6:$AQ$200,'Data Validation'!$V$8, 'Data entry'!$AP$6:$AP$200,'Data Validation'!$U$3, 'Data entry'!$BD$6:$BD$200,"&lt;&gt;*Negative*"))</f>
        <v>0</v>
      </c>
      <c r="BL121" s="15">
        <f>SUM(COUNTIFS('Data entry'!$R$6:$R$200,'Summary Data'!$A121,'Data entry'!$B$6:$B$200,{"Confirmed";"Probable"},'Data entry'!$AQ$6:$AQ$200,'Data Validation'!$V$8, 'Data entry'!$AP$6:$AP$200,'Data Validation'!$U$4, 'Data entry'!$BD$6:$BD$200,"&lt;&gt;*Negative*"))</f>
        <v>0</v>
      </c>
      <c r="BM121" s="15">
        <f>SUM(COUNTIFS('Data entry'!$R$6:$R$200,'Summary Data'!$A121,'Data entry'!$B$6:$B$200,{"Confirmed";"Probable"},'Data entry'!$AQ$6:$AQ$200,'Data Validation'!$V$8, 'Data entry'!$AP$6:$AP$200,'Data Validation'!$U$5, 'Data entry'!$BD$6:$BD$200,"&lt;&gt;*Negative*"))</f>
        <v>0</v>
      </c>
      <c r="BN121" s="15">
        <f>SUM(COUNTIFS('Data entry'!$R$6:$R$200,'Summary Data'!$A121,'Data entry'!$B$6:$B$200,{"Confirmed";"Probable"},'Data entry'!$AQ$6:$AQ$200,'Data Validation'!$V$8, 'Data entry'!$AP$6:$AP$200,'Data Validation'!$U$6, 'Data entry'!$BD$6:$BD$200,"&lt;&gt;*Negative*"))</f>
        <v>0</v>
      </c>
      <c r="BO121" s="15">
        <f>SUM(COUNTIFS('Data entry'!$R$6:$R$200,'Summary Data'!$A121,'Data entry'!$B$6:$B$200,{"Confirmed";"Probable"},'Data entry'!$AQ$6:$AQ$200,'Data Validation'!$V$9, 'Data entry'!$AP$6:$AP$200,'Data Validation'!$U$2, 'Data entry'!$BD$6:$BD$200,"&lt;&gt;*Negative*"))</f>
        <v>0</v>
      </c>
      <c r="BP121" s="15">
        <f>SUM(COUNTIFS('Data entry'!$R$6:$R$200,'Summary Data'!$A121,'Data entry'!$B$6:$B$200,{"Confirmed";"Probable"},'Data entry'!$AQ$6:$AQ$200,'Data Validation'!$V$9, 'Data entry'!$AP$6:$AP$200,'Data Validation'!$U$3, 'Data entry'!$BD$6:$BD$200,"&lt;&gt;*Negative*"))</f>
        <v>0</v>
      </c>
      <c r="BQ121" s="15">
        <f>SUM(COUNTIFS('Data entry'!$R$6:$R$200,'Summary Data'!$A121,'Data entry'!$B$6:$B$200,{"Confirmed";"Probable"},'Data entry'!$AQ$6:$AQ$200,'Data Validation'!$V$9, 'Data entry'!$AP$6:$AP$200,'Data Validation'!$U$4, 'Data entry'!$BD$6:$BD$200,"&lt;&gt;*Negative*"))</f>
        <v>0</v>
      </c>
      <c r="BR121" s="15">
        <f>SUM(COUNTIFS('Data entry'!$R$6:$R$200,'Summary Data'!$A121,'Data entry'!$B$6:$B$200,{"Confirmed";"Probable"},'Data entry'!$AQ$6:$AQ$200,'Data Validation'!$V$9, 'Data entry'!$AP$6:$AP$200,'Data Validation'!$U$5, 'Data entry'!$BD$6:$BD$200,"&lt;&gt;*Negative*"))</f>
        <v>0</v>
      </c>
      <c r="BS121" s="15">
        <f>SUM(COUNTIFS('Data entry'!$R$6:$R$200,'Summary Data'!$A121,'Data entry'!$B$6:$B$200,{"Confirmed";"Probable"},'Data entry'!$AQ$6:$AQ$200,'Data Validation'!$V$9, 'Data entry'!$AP$6:$AP$200,'Data Validation'!$U$6, 'Data entry'!$BD$6:$BD$200,"&lt;&gt;*Negative*"))</f>
        <v>0</v>
      </c>
      <c r="BT121" s="15">
        <f>SUM(COUNTIFS('Data entry'!$R$6:$R$200,'Summary Data'!$A121,'Data entry'!$B$6:$B$200,{"Confirmed";"Probable"},'Data entry'!$AQ$6:$AQ$200,'Data Validation'!$V$10, 'Data entry'!$AP$6:$AP$200,'Data Validation'!$U$2, 'Data entry'!$BD$6:$BD$200,"&lt;&gt;*Negative*"))</f>
        <v>0</v>
      </c>
      <c r="BU121" s="15">
        <f>SUM(COUNTIFS('Data entry'!$R$6:$R$200,'Summary Data'!$A121,'Data entry'!$B$6:$B$200,{"Confirmed";"Probable"},'Data entry'!$AQ$6:$AQ$200,'Data Validation'!$V$10, 'Data entry'!$AP$6:$AP$200,'Data Validation'!$U$3, 'Data entry'!$BD$6:$BD$200,"&lt;&gt;*Negative*"))</f>
        <v>0</v>
      </c>
      <c r="BV121" s="15">
        <f>SUM(COUNTIFS('Data entry'!$R$6:$R$200,'Summary Data'!$A121,'Data entry'!$B$6:$B$200,{"Confirmed";"Probable"},'Data entry'!$AQ$6:$AQ$200,'Data Validation'!$V$10, 'Data entry'!$AP$6:$AP$200,'Data Validation'!$U$4, 'Data entry'!$BD$6:$BD$200,"&lt;&gt;*Negative*"))</f>
        <v>0</v>
      </c>
      <c r="BW121" s="15">
        <f>SUM(COUNTIFS('Data entry'!$R$6:$R$200,'Summary Data'!$A121,'Data entry'!$B$6:$B$200,{"Confirmed";"Probable"},'Data entry'!$AQ$6:$AQ$200,'Data Validation'!$V$10, 'Data entry'!$AP$6:$AP$200,'Data Validation'!$U$5, 'Data entry'!$BD$6:$BD$200,"&lt;&gt;*Negative*"))</f>
        <v>0</v>
      </c>
      <c r="BX121" s="15">
        <f>SUM(COUNTIFS('Data entry'!$R$6:$R$200,'Summary Data'!$A121,'Data entry'!$B$6:$B$200,{"Confirmed";"Probable"},'Data entry'!$AQ$6:$AQ$200,'Data Validation'!$V$10, 'Data entry'!$AP$6:$AP$200,'Data Validation'!$U$6, 'Data entry'!$BD$6:$BD$200,"&lt;&gt;*Negative*"))</f>
        <v>0</v>
      </c>
      <c r="BY121" s="15">
        <f>SUM(COUNTIFS('Data entry'!$R$6:$R$200,'Summary Data'!$A121,'Data entry'!$B$6:$B$200,{"Confirmed";"Probable"},'Data entry'!$AQ$6:$AQ$200,'Data Validation'!$V$11, 'Data entry'!$AP$6:$AP$200,'Data Validation'!$U$2, 'Data entry'!$BD$6:$BD$200,"&lt;&gt;*Negative*"))</f>
        <v>0</v>
      </c>
      <c r="BZ121" s="15">
        <f>SUM(COUNTIFS('Data entry'!$R$6:$R$200,'Summary Data'!$A121,'Data entry'!$B$6:$B$200,{"Confirmed";"Probable"},'Data entry'!$AQ$6:$AQ$200,'Data Validation'!$V$11, 'Data entry'!$AP$6:$AP$200,'Data Validation'!$U$3, 'Data entry'!$BD$6:$BD$200,"&lt;&gt;*Negative*"))</f>
        <v>0</v>
      </c>
      <c r="CA121" s="15">
        <f>SUM(COUNTIFS('Data entry'!$R$6:$R$200,'Summary Data'!$A121,'Data entry'!$B$6:$B$200,{"Confirmed";"Probable"},'Data entry'!$AQ$6:$AQ$200,'Data Validation'!$V$11, 'Data entry'!$AP$6:$AP$200,'Data Validation'!$U$4, 'Data entry'!$BD$6:$BD$200,"&lt;&gt;*Negative*"))</f>
        <v>0</v>
      </c>
      <c r="CB121" s="15">
        <f>SUM(COUNTIFS('Data entry'!$R$6:$R$200,'Summary Data'!$A121,'Data entry'!$B$6:$B$200,{"Confirmed";"Probable"},'Data entry'!$AQ$6:$AQ$200,'Data Validation'!$V$11, 'Data entry'!$AP$6:$AP$200,'Data Validation'!$U$5, 'Data entry'!$BD$6:$BD$200,"&lt;&gt;*Negative*"))</f>
        <v>0</v>
      </c>
      <c r="CC121" s="15">
        <f>SUM(COUNTIFS('Data entry'!$R$6:$R$200,'Summary Data'!$A121,'Data entry'!$B$6:$B$200,{"Confirmed";"Probable"},'Data entry'!$AQ$6:$AQ$200,'Data Validation'!$V$11, 'Data entry'!$AP$6:$AP$200,'Data Validation'!$U$6, 'Data entry'!$BD$6:$BD$200,"&lt;&gt;*Negative*"))</f>
        <v>0</v>
      </c>
    </row>
    <row r="122" spans="1:81" x14ac:dyDescent="0.25">
      <c r="A122" s="12">
        <f t="shared" si="9"/>
        <v>110</v>
      </c>
      <c r="B122" s="13">
        <f t="shared" si="6"/>
        <v>0</v>
      </c>
      <c r="C122" s="13">
        <f>COUNTIFS('Data entry'!$R$6:$R$200,$A122,'Data entry'!$B$6:$B$200,"Confirmed",'Data entry'!$BD$6:$BD$200,"&lt;&gt;*Negative*")</f>
        <v>0</v>
      </c>
      <c r="D122" s="13">
        <f>COUNTIFS('Data entry'!$R$6:$R$200,$A122,'Data entry'!$B$6:$B$200,"Probable",'Data entry'!$BD$6:$BD$200,"&lt;&gt;*Negative*")</f>
        <v>0</v>
      </c>
      <c r="E122" s="13">
        <f>COUNTIFS('Data entry'!$R$6:$R$200,$A122,'Data entry'!$B$6:$B$200,"DNM")</f>
        <v>0</v>
      </c>
      <c r="F122" s="13">
        <f>SUM(COUNTIFS('Data entry'!$R$6:$R$200,'Summary Data'!$A122,'Data entry'!$B$6:$B$200,{"Confirmed";"Probable"},'Data entry'!$AO$6:$AO$200,$F$10, 'Data entry'!$BD$6:$BD$200,"&lt;&gt;*Negative*"))</f>
        <v>0</v>
      </c>
      <c r="G122" s="13">
        <f>SUM(COUNTIFS('Data entry'!$R$6:$R$200,'Summary Data'!$A122,'Data entry'!$B$6:$B$200,{"Confirmed";"Probable"},'Data entry'!$AO$6:$AO$200,$G$10, 'Data entry'!$BD$6:$BD$200,"&lt;&gt;*Negative*"))</f>
        <v>0</v>
      </c>
      <c r="H122" s="13">
        <f>SUM(COUNTIFS('Data entry'!$R$6:$R$200,'Summary Data'!$A122,'Data entry'!$B$6:$B$200,{"Confirmed";"Probable"},'Data entry'!$AO$6:$AO$200,$H$10, 'Data entry'!$BD$6:$BD$200,"&lt;&gt;*Negative*"))</f>
        <v>0</v>
      </c>
      <c r="I122" s="13">
        <f>SUM(COUNTIFS('Data entry'!$R$6:$R$200,'Summary Data'!$A122,'Data entry'!$B$6:$B$200,{"Confirmed";"Probable"},'Data entry'!$AO$6:$AO$200,$I$10, 'Data entry'!$BD$6:$BD$200,"&lt;&gt;*Negative*"))</f>
        <v>0</v>
      </c>
      <c r="J122" s="13">
        <f>SUM(COUNTIFS('Data entry'!$R$6:$R$200,'Summary Data'!$A122,'Data entry'!$B$6:$B$200,{"Confirmed";"Probable"},'Data entry'!$AO$6:$AO$200,$J$10, 'Data entry'!$BD$6:$BD$200,"&lt;&gt;*Negative*"))</f>
        <v>0</v>
      </c>
      <c r="K122" s="13">
        <f>SUM(COUNTIFS('Data entry'!$R$6:$R$200,'Summary Data'!$A122,'Data entry'!$B$6:$B$200,{"Confirmed";"Probable"},'Data entry'!$AO$6:$AO$200,$K$10, 'Data entry'!$BD$6:$BD$200,"&lt;&gt;*Negative*"))</f>
        <v>0</v>
      </c>
      <c r="L122" s="13">
        <f>SUM(COUNTIFS('Data entry'!$R$6:$R$200,'Summary Data'!$A122,'Data entry'!$B$6:$B$200,{"Confirmed";"Probable"},'Data entry'!$AO$6:$AO$200,$L$10, 'Data entry'!$BD$6:$BD$200,"&lt;&gt;*Negative*"))</f>
        <v>0</v>
      </c>
      <c r="M122" s="13">
        <f>SUM(COUNTIFS('Data entry'!$R$6:$R$200,'Summary Data'!$A122,'Data entry'!$B$6:$B$200,{"Confirmed";"Probable"},'Data entry'!$AO$6:$AO$200,$M$10, 'Data entry'!$BD$6:$BD$200,"&lt;&gt;*Negative*"))</f>
        <v>0</v>
      </c>
      <c r="N122" s="13">
        <f>SUM(COUNTIFS('Data entry'!$R$6:$R$200,'Summary Data'!$A122,'Data entry'!$B$6:$B$200,{"Confirmed";"Probable"},'Data entry'!$AO$6:$AO$200,$N$10, 'Data entry'!$BD$6:$BD$200,"&lt;&gt;*Negative*"))</f>
        <v>0</v>
      </c>
      <c r="O122" s="15">
        <f t="shared" si="7"/>
        <v>0</v>
      </c>
      <c r="P122" s="15">
        <f t="shared" si="8"/>
        <v>0</v>
      </c>
      <c r="Q122" s="15">
        <f>SUM(COUNTIFS('Data entry'!$R$6:$R$200,'Summary Data'!$A122,'Data entry'!$B$6:$B$200,{"Confirmed";"Probable"},'Data entry'!$AP$6:$AP$200,'Data Validation'!$U$2, 'Data entry'!$BD$6:$BD$200,"&lt;&gt;*Negative*"))</f>
        <v>0</v>
      </c>
      <c r="R122" s="15">
        <f>SUM(COUNTIFS('Data entry'!$R$6:$R$200,'Summary Data'!$A122,'Data entry'!$B$6:$B$200,{"Confirmed";"Probable"},'Data entry'!$AP$6:$AP$200,'Data Validation'!$U$3, 'Data entry'!$BD$6:$BD$200,"&lt;&gt;*Negative*"))</f>
        <v>0</v>
      </c>
      <c r="S122" s="15">
        <f>SUM(COUNTIFS('Data entry'!$R$6:$R$200,'Summary Data'!$A122,'Data entry'!$B$6:$B$200,{"Confirmed";"Probable"},'Data entry'!$AP$6:$AP$200,'Data Validation'!$U$4, 'Data entry'!$BD$6:$BD$200,"&lt;&gt;*Negative*"))</f>
        <v>0</v>
      </c>
      <c r="T122" s="15">
        <f>SUM(COUNTIFS('Data entry'!$R$6:$R$200,'Summary Data'!$A122,'Data entry'!$B$6:$B$200,{"Confirmed";"Probable"},'Data entry'!$AP$6:$AP$200,'Data Validation'!$U$5, 'Data entry'!$BD$6:$BD$200,"&lt;&gt;*Negative*"))</f>
        <v>0</v>
      </c>
      <c r="U122" s="15">
        <f>SUM(COUNTIFS('Data entry'!$R$6:$R$200,'Summary Data'!$A122,'Data entry'!$B$6:$B$200,{"Confirmed";"Probable"},'Data entry'!$AP$6:$AP$200,'Data Validation'!$U$6, 'Data entry'!$BD$6:$BD$200,"&lt;&gt;*Negative*"))</f>
        <v>0</v>
      </c>
      <c r="V122" s="15">
        <f>SUM(COUNTIFS('Data entry'!$R$6:$R$200,'Summary Data'!$A122,'Data entry'!$B$6:$B$200,{"Confirmed";"Probable"},'Data entry'!$AQ$6:$AQ$200,'Data Validation'!$V$2, 'Data entry'!$BD$6:$BD$200,"&lt;&gt;*Negative*"))</f>
        <v>0</v>
      </c>
      <c r="W122" s="15">
        <f>SUM(COUNTIFS('Data entry'!$R$6:$R$200,'Summary Data'!$A122,'Data entry'!$B$6:$B$200,{"Confirmed";"Probable"},'Data entry'!$AQ$6:$AQ$200,'Data Validation'!$V$3, 'Data entry'!$BD$6:$BD$200,"&lt;&gt;*Negative*"))</f>
        <v>0</v>
      </c>
      <c r="X122" s="15">
        <f>SUM(COUNTIFS('Data entry'!$R$6:$R$200,'Summary Data'!$A122,'Data entry'!$B$6:$B$200,{"Confirmed";"Probable"},'Data entry'!$AQ$6:$AQ$200,'Data Validation'!$V$4, 'Data entry'!$BD$6:$BD$200,"&lt;&gt;*Negative*"))</f>
        <v>0</v>
      </c>
      <c r="Y122" s="15">
        <f>SUM(COUNTIFS('Data entry'!$R$6:$R$200,'Summary Data'!$A122,'Data entry'!$B$6:$B$200,{"Confirmed";"Probable"},'Data entry'!$AQ$6:$AQ$200,'Data Validation'!$V$5, 'Data entry'!$BD$6:$BD$200,"&lt;&gt;*Negative*"))</f>
        <v>0</v>
      </c>
      <c r="Z122" s="15">
        <f>SUM(COUNTIFS('Data entry'!$R$6:$R$200,'Summary Data'!$A122,'Data entry'!$B$6:$B$200,{"Confirmed";"Probable"},'Data entry'!$AQ$6:$AQ$200,'Data Validation'!$V$6, 'Data entry'!$BD$6:$BD$200,"&lt;&gt;*Negative*"))</f>
        <v>0</v>
      </c>
      <c r="AA122" s="15">
        <f>SUM(COUNTIFS('Data entry'!$R$6:$R$200,'Summary Data'!$A122,'Data entry'!$B$6:$B$200,{"Confirmed";"Probable"},'Data entry'!$AQ$6:$AQ$200,'Data Validation'!$V$7, 'Data entry'!$BD$6:$BD$200,"&lt;&gt;*Negative*"))</f>
        <v>0</v>
      </c>
      <c r="AB122" s="15">
        <f>SUM(COUNTIFS('Data entry'!$R$6:$R$200,'Summary Data'!$A122,'Data entry'!$B$6:$B$200,{"Confirmed";"Probable"},'Data entry'!$AQ$6:$AQ$200,'Data Validation'!$V$8, 'Data entry'!$BD$6:$BD$200,"&lt;&gt;*Negative*"))</f>
        <v>0</v>
      </c>
      <c r="AC122" s="15">
        <f>SUM(COUNTIFS('Data entry'!$R$6:$R$200,'Summary Data'!$A122,'Data entry'!$B$6:$B$200,{"Confirmed";"Probable"},'Data entry'!$AQ$6:$AQ$200,'Data Validation'!$V$9, 'Data entry'!$BD$6:$BD$200,"&lt;&gt;*Negative*"))</f>
        <v>0</v>
      </c>
      <c r="AD122" s="15">
        <f>SUM(COUNTIFS('Data entry'!$R$6:$R$200,'Summary Data'!$A122,'Data entry'!$B$6:$B$200,{"Confirmed";"Probable"},'Data entry'!$AQ$6:$AQ$200,'Data Validation'!$V$10, 'Data entry'!$BD$6:$BD$200,"&lt;&gt;*Negative*"))</f>
        <v>0</v>
      </c>
      <c r="AE122" s="15">
        <f>SUM(COUNTIFS('Data entry'!$R$6:$R$200,'Summary Data'!$A122,'Data entry'!$B$6:$B$200,{"Confirmed";"Probable"},'Data entry'!$AQ$6:$AQ$200,'Data Validation'!$V$11, 'Data entry'!$BD$6:$BD$200,"&lt;&gt;*Negative*"))</f>
        <v>0</v>
      </c>
      <c r="AF122" s="15">
        <f>SUM(COUNTIFS('Data entry'!$R$6:$R$200,'Summary Data'!$A122,'Data entry'!$B$6:$B$200,{"Confirmed";"Probable"},'Data entry'!$AQ$6:$AQ$200,'Data Validation'!$V$2, 'Data entry'!$AP$6:$AP$200,'Data Validation'!$U$2, 'Data entry'!$BD$6:$BD$200,"&lt;&gt;*Negative*"))</f>
        <v>0</v>
      </c>
      <c r="AG122" s="15">
        <f>SUM(COUNTIFS('Data entry'!$R$6:$R$200,'Summary Data'!$A122,'Data entry'!$B$6:$B$200,{"Confirmed";"Probable"},'Data entry'!$AQ$6:$AQ$200,'Data Validation'!$V$2, 'Data entry'!$AP$6:$AP$200,'Data Validation'!$U$3, 'Data entry'!$BD$6:$BD$200,"&lt;&gt;*Negative*"))</f>
        <v>0</v>
      </c>
      <c r="AH122" s="15">
        <f>SUM(COUNTIFS('Data entry'!$R$6:$R$200,'Summary Data'!$A122,'Data entry'!$B$6:$B$200,{"Confirmed";"Probable"},'Data entry'!$AQ$6:$AQ$200,'Data Validation'!$V$2, 'Data entry'!$AP$6:$AP$200,'Data Validation'!$U$4, 'Data entry'!$BD$6:$BD$200,"&lt;&gt;*Negative*"))</f>
        <v>0</v>
      </c>
      <c r="AI122" s="15">
        <f>SUM(COUNTIFS('Data entry'!$R$6:$R$200,'Summary Data'!$A122,'Data entry'!$B$6:$B$200,{"Confirmed";"Probable"},'Data entry'!$AQ$6:$AQ$200,'Data Validation'!$V$2, 'Data entry'!$AP$6:$AP$200,'Data Validation'!$U$5, 'Data entry'!$BD$6:$BD$200,"&lt;&gt;*Negative*"))</f>
        <v>0</v>
      </c>
      <c r="AJ122" s="15">
        <f>SUM(COUNTIFS('Data entry'!$R$6:$R$200,'Summary Data'!$A122,'Data entry'!$B$6:$B$200,{"Confirmed";"Probable"},'Data entry'!$AQ$6:$AQ$200,'Data Validation'!$V$2, 'Data entry'!$AP$6:$AP$200,'Data Validation'!$U$6, 'Data entry'!$BD$6:$BD$200,"&lt;&gt;*Negative*"))</f>
        <v>0</v>
      </c>
      <c r="AK122" s="15">
        <f>SUM(COUNTIFS('Data entry'!$R$6:$R$200,'Summary Data'!$A122,'Data entry'!$B$6:$B$200,{"Confirmed";"Probable"},'Data entry'!$AQ$6:$AQ$200,'Data Validation'!$V$3, 'Data entry'!$AP$6:$AP$200,'Data Validation'!$U$2, 'Data entry'!$BD$6:$BD$200,"&lt;&gt;*Negative*"))</f>
        <v>0</v>
      </c>
      <c r="AL122" s="15">
        <f>SUM(COUNTIFS('Data entry'!$R$6:$R$200,'Summary Data'!$A122,'Data entry'!$B$6:$B$200,{"Confirmed";"Probable"},'Data entry'!$AQ$6:$AQ$200,'Data Validation'!$V$3, 'Data entry'!$AP$6:$AP$200,'Data Validation'!$U$3, 'Data entry'!$BD$6:$BD$200,"&lt;&gt;*Negative*"))</f>
        <v>0</v>
      </c>
      <c r="AM122" s="15">
        <f>SUM(COUNTIFS('Data entry'!$R$6:$R$200,'Summary Data'!$A122,'Data entry'!$B$6:$B$200,{"Confirmed";"Probable"},'Data entry'!$AQ$6:$AQ$200,'Data Validation'!$V$3, 'Data entry'!$AP$6:$AP$200,'Data Validation'!$U$4, 'Data entry'!$BD$6:$BD$200,"&lt;&gt;*Negative*"))</f>
        <v>0</v>
      </c>
      <c r="AN122" s="15">
        <f>SUM(COUNTIFS('Data entry'!$R$6:$R$200,'Summary Data'!$A122,'Data entry'!$B$6:$B$200,{"Confirmed";"Probable"},'Data entry'!$AQ$6:$AQ$200,'Data Validation'!$V$3, 'Data entry'!$AP$6:$AP$200,'Data Validation'!$U$5, 'Data entry'!$BD$6:$BD$200,"&lt;&gt;*Negative*"))</f>
        <v>0</v>
      </c>
      <c r="AO122" s="15">
        <f>SUM(COUNTIFS('Data entry'!$R$6:$R$200,'Summary Data'!$A122,'Data entry'!$B$6:$B$200,{"Confirmed";"Probable"},'Data entry'!$AQ$6:$AQ$200,'Data Validation'!$V$3, 'Data entry'!$AP$6:$AP$200,'Data Validation'!$U$6, 'Data entry'!$BD$6:$BD$200,"&lt;&gt;*Negative*"))</f>
        <v>0</v>
      </c>
      <c r="AP122" s="15">
        <f>SUM(COUNTIFS('Data entry'!$R$6:$R$200,'Summary Data'!$A122,'Data entry'!$B$6:$B$200,{"Confirmed";"Probable"},'Data entry'!$AQ$6:$AQ$200,'Data Validation'!$V$4, 'Data entry'!$AP$6:$AP$200,'Data Validation'!$U$2, 'Data entry'!$BD$6:$BD$200,"&lt;&gt;*Negative*"))</f>
        <v>0</v>
      </c>
      <c r="AQ122" s="15">
        <f>SUM(COUNTIFS('Data entry'!$R$6:$R$200,'Summary Data'!$A122,'Data entry'!$B$6:$B$200,{"Confirmed";"Probable"},'Data entry'!$AQ$6:$AQ$200,'Data Validation'!$V$4, 'Data entry'!$AP$6:$AP$200,'Data Validation'!$U$3, 'Data entry'!$BD$6:$BD$200,"&lt;&gt;*Negative*"))</f>
        <v>0</v>
      </c>
      <c r="AR122" s="15">
        <f>SUM(COUNTIFS('Data entry'!$R$6:$R$200,'Summary Data'!$A122,'Data entry'!$B$6:$B$200,{"Confirmed";"Probable"},'Data entry'!$AQ$6:$AQ$200,'Data Validation'!$V$4, 'Data entry'!$AP$6:$AP$200,'Data Validation'!$U$4, 'Data entry'!$BD$6:$BD$200,"&lt;&gt;*Negative*"))</f>
        <v>0</v>
      </c>
      <c r="AS122" s="15">
        <f>SUM(COUNTIFS('Data entry'!$R$6:$R$200,'Summary Data'!$A122,'Data entry'!$B$6:$B$200,{"Confirmed";"Probable"},'Data entry'!$AQ$6:$AQ$200,'Data Validation'!$V$4, 'Data entry'!$AP$6:$AP$200,'Data Validation'!$U$5, 'Data entry'!$BD$6:$BD$200,"&lt;&gt;*Negative*"))</f>
        <v>0</v>
      </c>
      <c r="AT122" s="15">
        <f>SUM(COUNTIFS('Data entry'!$R$6:$R$200,'Summary Data'!$A122,'Data entry'!$B$6:$B$200,{"Confirmed";"Probable"},'Data entry'!$AQ$6:$AQ$200,'Data Validation'!$V$4, 'Data entry'!$AP$6:$AP$200,'Data Validation'!$U$6, 'Data entry'!$BD$6:$BD$200,"&lt;&gt;*Negative*"))</f>
        <v>0</v>
      </c>
      <c r="AU122" s="15">
        <f>SUM(COUNTIFS('Data entry'!$R$6:$R$200,'Summary Data'!$A122,'Data entry'!$B$6:$B$200,{"Confirmed";"Probable"},'Data entry'!$AQ$6:$AQ$200,'Data Validation'!$V$5, 'Data entry'!$AP$6:$AP$200,'Data Validation'!$U$2, 'Data entry'!$BD$6:$BD$200,"&lt;&gt;*Negative*"))</f>
        <v>0</v>
      </c>
      <c r="AV122" s="15">
        <f>SUM(COUNTIFS('Data entry'!$R$6:$R$200,'Summary Data'!$A122,'Data entry'!$B$6:$B$200,{"Confirmed";"Probable"},'Data entry'!$AQ$6:$AQ$200,'Data Validation'!$V$5, 'Data entry'!$AP$6:$AP$200,'Data Validation'!$U$3, 'Data entry'!$BD$6:$BD$200,"&lt;&gt;*Negative*"))</f>
        <v>0</v>
      </c>
      <c r="AW122" s="15">
        <f>SUM(COUNTIFS('Data entry'!$R$6:$R$200,'Summary Data'!$A122,'Data entry'!$B$6:$B$200,{"Confirmed";"Probable"},'Data entry'!$AQ$6:$AQ$200,'Data Validation'!$V$5, 'Data entry'!$AP$6:$AP$200,'Data Validation'!$U$4, 'Data entry'!$BD$6:$BD$200,"&lt;&gt;*Negative*"))</f>
        <v>0</v>
      </c>
      <c r="AX122" s="15">
        <f>SUM(COUNTIFS('Data entry'!$R$6:$R$200,'Summary Data'!$A122,'Data entry'!$B$6:$B$200,{"Confirmed";"Probable"},'Data entry'!$AQ$6:$AQ$200,'Data Validation'!$V$5, 'Data entry'!$AP$6:$AP$200,'Data Validation'!$U$5, 'Data entry'!$BD$6:$BD$200,"&lt;&gt;*Negative*"))</f>
        <v>0</v>
      </c>
      <c r="AY122" s="15">
        <f>SUM(COUNTIFS('Data entry'!$R$6:$R$200,'Summary Data'!$A122,'Data entry'!$B$6:$B$200,{"Confirmed";"Probable"},'Data entry'!$AQ$6:$AQ$200,'Data Validation'!$V$5, 'Data entry'!$AP$6:$AP$200,'Data Validation'!$U$6, 'Data entry'!$BD$6:$BD$200,"&lt;&gt;*Negative*"))</f>
        <v>0</v>
      </c>
      <c r="AZ122" s="15">
        <f>SUM(COUNTIFS('Data entry'!$R$6:$R$200,'Summary Data'!$A122,'Data entry'!$B$6:$B$200,{"Confirmed";"Probable"},'Data entry'!$AQ$6:$AQ$200,'Data Validation'!$V$6, 'Data entry'!$AP$6:$AP$200,'Data Validation'!$U$2, 'Data entry'!$BD$6:$BD$200,"&lt;&gt;*Negative*"))</f>
        <v>0</v>
      </c>
      <c r="BA122" s="15">
        <f>SUM(COUNTIFS('Data entry'!$R$6:$R$200,'Summary Data'!$A122,'Data entry'!$B$6:$B$200,{"Confirmed";"Probable"},'Data entry'!$AQ$6:$AQ$200,'Data Validation'!$V$6, 'Data entry'!$AP$6:$AP$200,'Data Validation'!$U$3, 'Data entry'!$BD$6:$BD$200,"&lt;&gt;*Negative*"))</f>
        <v>0</v>
      </c>
      <c r="BB122" s="15">
        <f>SUM(COUNTIFS('Data entry'!$R$6:$R$200,'Summary Data'!$A122,'Data entry'!$B$6:$B$200,{"Confirmed";"Probable"},'Data entry'!$AQ$6:$AQ$200,'Data Validation'!$V$6, 'Data entry'!$AP$6:$AP$200,'Data Validation'!$U$4, 'Data entry'!$BD$6:$BD$200,"&lt;&gt;*Negative*"))</f>
        <v>0</v>
      </c>
      <c r="BC122" s="15">
        <f>SUM(COUNTIFS('Data entry'!$R$6:$R$200,'Summary Data'!$A122,'Data entry'!$B$6:$B$200,{"Confirmed";"Probable"},'Data entry'!$AQ$6:$AQ$200,'Data Validation'!$V$6, 'Data entry'!$AP$6:$AP$200,'Data Validation'!$U$5, 'Data entry'!$BD$6:$BD$200,"&lt;&gt;*Negative*"))</f>
        <v>0</v>
      </c>
      <c r="BD122" s="15">
        <f>SUM(COUNTIFS('Data entry'!$R$6:$R$200,'Summary Data'!$A122,'Data entry'!$B$6:$B$200,{"Confirmed";"Probable"},'Data entry'!$AQ$6:$AQ$200,'Data Validation'!$V$6, 'Data entry'!$AP$6:$AP$200,'Data Validation'!$U$6, 'Data entry'!$BD$6:$BD$200,"&lt;&gt;*Negative*"))</f>
        <v>0</v>
      </c>
      <c r="BE122" s="15">
        <f>SUM(COUNTIFS('Data entry'!$R$6:$R$200,'Summary Data'!$A122,'Data entry'!$B$6:$B$200,{"Confirmed";"Probable"},'Data entry'!$AQ$6:$AQ$200,'Data Validation'!$V$7, 'Data entry'!$AP$6:$AP$200,'Data Validation'!$U$2, 'Data entry'!$BD$6:$BD$200,"&lt;&gt;*Negative*"))</f>
        <v>0</v>
      </c>
      <c r="BF122" s="15">
        <f>SUM(COUNTIFS('Data entry'!$R$6:$R$200,'Summary Data'!$A122,'Data entry'!$B$6:$B$200,{"Confirmed";"Probable"},'Data entry'!$AQ$6:$AQ$200,'Data Validation'!$V$7, 'Data entry'!$AP$6:$AP$200,'Data Validation'!$U$3, 'Data entry'!$BD$6:$BD$200,"&lt;&gt;*Negative*"))</f>
        <v>0</v>
      </c>
      <c r="BG122" s="15">
        <f>SUM(COUNTIFS('Data entry'!$R$6:$R$200,'Summary Data'!$A122,'Data entry'!$B$6:$B$200,{"Confirmed";"Probable"},'Data entry'!$AQ$6:$AQ$200,'Data Validation'!$V$7, 'Data entry'!$AP$6:$AP$200,'Data Validation'!$U$4, 'Data entry'!$BD$6:$BD$200,"&lt;&gt;*Negative*"))</f>
        <v>0</v>
      </c>
      <c r="BH122" s="15">
        <f>SUM(COUNTIFS('Data entry'!$R$6:$R$200,'Summary Data'!$A122,'Data entry'!$B$6:$B$200,{"Confirmed";"Probable"},'Data entry'!$AQ$6:$AQ$200,'Data Validation'!$V$7, 'Data entry'!$AP$6:$AP$200,'Data Validation'!$U$5, 'Data entry'!$BD$6:$BD$200,"&lt;&gt;*Negative*"))</f>
        <v>0</v>
      </c>
      <c r="BI122" s="15">
        <f>SUM(COUNTIFS('Data entry'!$R$6:$R$200,'Summary Data'!$A122,'Data entry'!$B$6:$B$200,{"Confirmed";"Probable"},'Data entry'!$AQ$6:$AQ$200,'Data Validation'!$V$7, 'Data entry'!$AP$6:$AP$200,'Data Validation'!$U$6, 'Data entry'!$BD$6:$BD$200,"&lt;&gt;*Negative*"))</f>
        <v>0</v>
      </c>
      <c r="BJ122" s="15">
        <f>SUM(COUNTIFS('Data entry'!$R$6:$R$200,'Summary Data'!$A122,'Data entry'!$B$6:$B$200,{"Confirmed";"Probable"},'Data entry'!$AQ$6:$AQ$200,'Data Validation'!$V$8, 'Data entry'!$AP$6:$AP$200,'Data Validation'!$U$2, 'Data entry'!$BD$6:$BD$200,"&lt;&gt;*Negative*"))</f>
        <v>0</v>
      </c>
      <c r="BK122" s="15">
        <f>SUM(COUNTIFS('Data entry'!$R$6:$R$200,'Summary Data'!$A122,'Data entry'!$B$6:$B$200,{"Confirmed";"Probable"},'Data entry'!$AQ$6:$AQ$200,'Data Validation'!$V$8, 'Data entry'!$AP$6:$AP$200,'Data Validation'!$U$3, 'Data entry'!$BD$6:$BD$200,"&lt;&gt;*Negative*"))</f>
        <v>0</v>
      </c>
      <c r="BL122" s="15">
        <f>SUM(COUNTIFS('Data entry'!$R$6:$R$200,'Summary Data'!$A122,'Data entry'!$B$6:$B$200,{"Confirmed";"Probable"},'Data entry'!$AQ$6:$AQ$200,'Data Validation'!$V$8, 'Data entry'!$AP$6:$AP$200,'Data Validation'!$U$4, 'Data entry'!$BD$6:$BD$200,"&lt;&gt;*Negative*"))</f>
        <v>0</v>
      </c>
      <c r="BM122" s="15">
        <f>SUM(COUNTIFS('Data entry'!$R$6:$R$200,'Summary Data'!$A122,'Data entry'!$B$6:$B$200,{"Confirmed";"Probable"},'Data entry'!$AQ$6:$AQ$200,'Data Validation'!$V$8, 'Data entry'!$AP$6:$AP$200,'Data Validation'!$U$5, 'Data entry'!$BD$6:$BD$200,"&lt;&gt;*Negative*"))</f>
        <v>0</v>
      </c>
      <c r="BN122" s="15">
        <f>SUM(COUNTIFS('Data entry'!$R$6:$R$200,'Summary Data'!$A122,'Data entry'!$B$6:$B$200,{"Confirmed";"Probable"},'Data entry'!$AQ$6:$AQ$200,'Data Validation'!$V$8, 'Data entry'!$AP$6:$AP$200,'Data Validation'!$U$6, 'Data entry'!$BD$6:$BD$200,"&lt;&gt;*Negative*"))</f>
        <v>0</v>
      </c>
      <c r="BO122" s="15">
        <f>SUM(COUNTIFS('Data entry'!$R$6:$R$200,'Summary Data'!$A122,'Data entry'!$B$6:$B$200,{"Confirmed";"Probable"},'Data entry'!$AQ$6:$AQ$200,'Data Validation'!$V$9, 'Data entry'!$AP$6:$AP$200,'Data Validation'!$U$2, 'Data entry'!$BD$6:$BD$200,"&lt;&gt;*Negative*"))</f>
        <v>0</v>
      </c>
      <c r="BP122" s="15">
        <f>SUM(COUNTIFS('Data entry'!$R$6:$R$200,'Summary Data'!$A122,'Data entry'!$B$6:$B$200,{"Confirmed";"Probable"},'Data entry'!$AQ$6:$AQ$200,'Data Validation'!$V$9, 'Data entry'!$AP$6:$AP$200,'Data Validation'!$U$3, 'Data entry'!$BD$6:$BD$200,"&lt;&gt;*Negative*"))</f>
        <v>0</v>
      </c>
      <c r="BQ122" s="15">
        <f>SUM(COUNTIFS('Data entry'!$R$6:$R$200,'Summary Data'!$A122,'Data entry'!$B$6:$B$200,{"Confirmed";"Probable"},'Data entry'!$AQ$6:$AQ$200,'Data Validation'!$V$9, 'Data entry'!$AP$6:$AP$200,'Data Validation'!$U$4, 'Data entry'!$BD$6:$BD$200,"&lt;&gt;*Negative*"))</f>
        <v>0</v>
      </c>
      <c r="BR122" s="15">
        <f>SUM(COUNTIFS('Data entry'!$R$6:$R$200,'Summary Data'!$A122,'Data entry'!$B$6:$B$200,{"Confirmed";"Probable"},'Data entry'!$AQ$6:$AQ$200,'Data Validation'!$V$9, 'Data entry'!$AP$6:$AP$200,'Data Validation'!$U$5, 'Data entry'!$BD$6:$BD$200,"&lt;&gt;*Negative*"))</f>
        <v>0</v>
      </c>
      <c r="BS122" s="15">
        <f>SUM(COUNTIFS('Data entry'!$R$6:$R$200,'Summary Data'!$A122,'Data entry'!$B$6:$B$200,{"Confirmed";"Probable"},'Data entry'!$AQ$6:$AQ$200,'Data Validation'!$V$9, 'Data entry'!$AP$6:$AP$200,'Data Validation'!$U$6, 'Data entry'!$BD$6:$BD$200,"&lt;&gt;*Negative*"))</f>
        <v>0</v>
      </c>
      <c r="BT122" s="15">
        <f>SUM(COUNTIFS('Data entry'!$R$6:$R$200,'Summary Data'!$A122,'Data entry'!$B$6:$B$200,{"Confirmed";"Probable"},'Data entry'!$AQ$6:$AQ$200,'Data Validation'!$V$10, 'Data entry'!$AP$6:$AP$200,'Data Validation'!$U$2, 'Data entry'!$BD$6:$BD$200,"&lt;&gt;*Negative*"))</f>
        <v>0</v>
      </c>
      <c r="BU122" s="15">
        <f>SUM(COUNTIFS('Data entry'!$R$6:$R$200,'Summary Data'!$A122,'Data entry'!$B$6:$B$200,{"Confirmed";"Probable"},'Data entry'!$AQ$6:$AQ$200,'Data Validation'!$V$10, 'Data entry'!$AP$6:$AP$200,'Data Validation'!$U$3, 'Data entry'!$BD$6:$BD$200,"&lt;&gt;*Negative*"))</f>
        <v>0</v>
      </c>
      <c r="BV122" s="15">
        <f>SUM(COUNTIFS('Data entry'!$R$6:$R$200,'Summary Data'!$A122,'Data entry'!$B$6:$B$200,{"Confirmed";"Probable"},'Data entry'!$AQ$6:$AQ$200,'Data Validation'!$V$10, 'Data entry'!$AP$6:$AP$200,'Data Validation'!$U$4, 'Data entry'!$BD$6:$BD$200,"&lt;&gt;*Negative*"))</f>
        <v>0</v>
      </c>
      <c r="BW122" s="15">
        <f>SUM(COUNTIFS('Data entry'!$R$6:$R$200,'Summary Data'!$A122,'Data entry'!$B$6:$B$200,{"Confirmed";"Probable"},'Data entry'!$AQ$6:$AQ$200,'Data Validation'!$V$10, 'Data entry'!$AP$6:$AP$200,'Data Validation'!$U$5, 'Data entry'!$BD$6:$BD$200,"&lt;&gt;*Negative*"))</f>
        <v>0</v>
      </c>
      <c r="BX122" s="15">
        <f>SUM(COUNTIFS('Data entry'!$R$6:$R$200,'Summary Data'!$A122,'Data entry'!$B$6:$B$200,{"Confirmed";"Probable"},'Data entry'!$AQ$6:$AQ$200,'Data Validation'!$V$10, 'Data entry'!$AP$6:$AP$200,'Data Validation'!$U$6, 'Data entry'!$BD$6:$BD$200,"&lt;&gt;*Negative*"))</f>
        <v>0</v>
      </c>
      <c r="BY122" s="15">
        <f>SUM(COUNTIFS('Data entry'!$R$6:$R$200,'Summary Data'!$A122,'Data entry'!$B$6:$B$200,{"Confirmed";"Probable"},'Data entry'!$AQ$6:$AQ$200,'Data Validation'!$V$11, 'Data entry'!$AP$6:$AP$200,'Data Validation'!$U$2, 'Data entry'!$BD$6:$BD$200,"&lt;&gt;*Negative*"))</f>
        <v>0</v>
      </c>
      <c r="BZ122" s="15">
        <f>SUM(COUNTIFS('Data entry'!$R$6:$R$200,'Summary Data'!$A122,'Data entry'!$B$6:$B$200,{"Confirmed";"Probable"},'Data entry'!$AQ$6:$AQ$200,'Data Validation'!$V$11, 'Data entry'!$AP$6:$AP$200,'Data Validation'!$U$3, 'Data entry'!$BD$6:$BD$200,"&lt;&gt;*Negative*"))</f>
        <v>0</v>
      </c>
      <c r="CA122" s="15">
        <f>SUM(COUNTIFS('Data entry'!$R$6:$R$200,'Summary Data'!$A122,'Data entry'!$B$6:$B$200,{"Confirmed";"Probable"},'Data entry'!$AQ$6:$AQ$200,'Data Validation'!$V$11, 'Data entry'!$AP$6:$AP$200,'Data Validation'!$U$4, 'Data entry'!$BD$6:$BD$200,"&lt;&gt;*Negative*"))</f>
        <v>0</v>
      </c>
      <c r="CB122" s="15">
        <f>SUM(COUNTIFS('Data entry'!$R$6:$R$200,'Summary Data'!$A122,'Data entry'!$B$6:$B$200,{"Confirmed";"Probable"},'Data entry'!$AQ$6:$AQ$200,'Data Validation'!$V$11, 'Data entry'!$AP$6:$AP$200,'Data Validation'!$U$5, 'Data entry'!$BD$6:$BD$200,"&lt;&gt;*Negative*"))</f>
        <v>0</v>
      </c>
      <c r="CC122" s="15">
        <f>SUM(COUNTIFS('Data entry'!$R$6:$R$200,'Summary Data'!$A122,'Data entry'!$B$6:$B$200,{"Confirmed";"Probable"},'Data entry'!$AQ$6:$AQ$200,'Data Validation'!$V$11, 'Data entry'!$AP$6:$AP$200,'Data Validation'!$U$6, 'Data entry'!$BD$6:$BD$200,"&lt;&gt;*Negative*"))</f>
        <v>0</v>
      </c>
    </row>
    <row r="123" spans="1:81" x14ac:dyDescent="0.25">
      <c r="A123" s="12">
        <f t="shared" si="9"/>
        <v>111</v>
      </c>
      <c r="B123" s="13">
        <f t="shared" si="6"/>
        <v>0</v>
      </c>
      <c r="C123" s="13">
        <f>COUNTIFS('Data entry'!$R$6:$R$200,$A123,'Data entry'!$B$6:$B$200,"Confirmed",'Data entry'!$BD$6:$BD$200,"&lt;&gt;*Negative*")</f>
        <v>0</v>
      </c>
      <c r="D123" s="13">
        <f>COUNTIFS('Data entry'!$R$6:$R$200,$A123,'Data entry'!$B$6:$B$200,"Probable",'Data entry'!$BD$6:$BD$200,"&lt;&gt;*Negative*")</f>
        <v>0</v>
      </c>
      <c r="E123" s="13">
        <f>COUNTIFS('Data entry'!$R$6:$R$200,$A123,'Data entry'!$B$6:$B$200,"DNM")</f>
        <v>0</v>
      </c>
      <c r="F123" s="13">
        <f>SUM(COUNTIFS('Data entry'!$R$6:$R$200,'Summary Data'!$A123,'Data entry'!$B$6:$B$200,{"Confirmed";"Probable"},'Data entry'!$AO$6:$AO$200,$F$10, 'Data entry'!$BD$6:$BD$200,"&lt;&gt;*Negative*"))</f>
        <v>0</v>
      </c>
      <c r="G123" s="13">
        <f>SUM(COUNTIFS('Data entry'!$R$6:$R$200,'Summary Data'!$A123,'Data entry'!$B$6:$B$200,{"Confirmed";"Probable"},'Data entry'!$AO$6:$AO$200,$G$10, 'Data entry'!$BD$6:$BD$200,"&lt;&gt;*Negative*"))</f>
        <v>0</v>
      </c>
      <c r="H123" s="13">
        <f>SUM(COUNTIFS('Data entry'!$R$6:$R$200,'Summary Data'!$A123,'Data entry'!$B$6:$B$200,{"Confirmed";"Probable"},'Data entry'!$AO$6:$AO$200,$H$10, 'Data entry'!$BD$6:$BD$200,"&lt;&gt;*Negative*"))</f>
        <v>0</v>
      </c>
      <c r="I123" s="13">
        <f>SUM(COUNTIFS('Data entry'!$R$6:$R$200,'Summary Data'!$A123,'Data entry'!$B$6:$B$200,{"Confirmed";"Probable"},'Data entry'!$AO$6:$AO$200,$I$10, 'Data entry'!$BD$6:$BD$200,"&lt;&gt;*Negative*"))</f>
        <v>0</v>
      </c>
      <c r="J123" s="13">
        <f>SUM(COUNTIFS('Data entry'!$R$6:$R$200,'Summary Data'!$A123,'Data entry'!$B$6:$B$200,{"Confirmed";"Probable"},'Data entry'!$AO$6:$AO$200,$J$10, 'Data entry'!$BD$6:$BD$200,"&lt;&gt;*Negative*"))</f>
        <v>0</v>
      </c>
      <c r="K123" s="13">
        <f>SUM(COUNTIFS('Data entry'!$R$6:$R$200,'Summary Data'!$A123,'Data entry'!$B$6:$B$200,{"Confirmed";"Probable"},'Data entry'!$AO$6:$AO$200,$K$10, 'Data entry'!$BD$6:$BD$200,"&lt;&gt;*Negative*"))</f>
        <v>0</v>
      </c>
      <c r="L123" s="13">
        <f>SUM(COUNTIFS('Data entry'!$R$6:$R$200,'Summary Data'!$A123,'Data entry'!$B$6:$B$200,{"Confirmed";"Probable"},'Data entry'!$AO$6:$AO$200,$L$10, 'Data entry'!$BD$6:$BD$200,"&lt;&gt;*Negative*"))</f>
        <v>0</v>
      </c>
      <c r="M123" s="13">
        <f>SUM(COUNTIFS('Data entry'!$R$6:$R$200,'Summary Data'!$A123,'Data entry'!$B$6:$B$200,{"Confirmed";"Probable"},'Data entry'!$AO$6:$AO$200,$M$10, 'Data entry'!$BD$6:$BD$200,"&lt;&gt;*Negative*"))</f>
        <v>0</v>
      </c>
      <c r="N123" s="13">
        <f>SUM(COUNTIFS('Data entry'!$R$6:$R$200,'Summary Data'!$A123,'Data entry'!$B$6:$B$200,{"Confirmed";"Probable"},'Data entry'!$AO$6:$AO$200,$N$10, 'Data entry'!$BD$6:$BD$200,"&lt;&gt;*Negative*"))</f>
        <v>0</v>
      </c>
      <c r="O123" s="15">
        <f t="shared" si="7"/>
        <v>0</v>
      </c>
      <c r="P123" s="15">
        <f t="shared" si="8"/>
        <v>0</v>
      </c>
      <c r="Q123" s="15">
        <f>SUM(COUNTIFS('Data entry'!$R$6:$R$200,'Summary Data'!$A123,'Data entry'!$B$6:$B$200,{"Confirmed";"Probable"},'Data entry'!$AP$6:$AP$200,'Data Validation'!$U$2, 'Data entry'!$BD$6:$BD$200,"&lt;&gt;*Negative*"))</f>
        <v>0</v>
      </c>
      <c r="R123" s="15">
        <f>SUM(COUNTIFS('Data entry'!$R$6:$R$200,'Summary Data'!$A123,'Data entry'!$B$6:$B$200,{"Confirmed";"Probable"},'Data entry'!$AP$6:$AP$200,'Data Validation'!$U$3, 'Data entry'!$BD$6:$BD$200,"&lt;&gt;*Negative*"))</f>
        <v>0</v>
      </c>
      <c r="S123" s="15">
        <f>SUM(COUNTIFS('Data entry'!$R$6:$R$200,'Summary Data'!$A123,'Data entry'!$B$6:$B$200,{"Confirmed";"Probable"},'Data entry'!$AP$6:$AP$200,'Data Validation'!$U$4, 'Data entry'!$BD$6:$BD$200,"&lt;&gt;*Negative*"))</f>
        <v>0</v>
      </c>
      <c r="T123" s="15">
        <f>SUM(COUNTIFS('Data entry'!$R$6:$R$200,'Summary Data'!$A123,'Data entry'!$B$6:$B$200,{"Confirmed";"Probable"},'Data entry'!$AP$6:$AP$200,'Data Validation'!$U$5, 'Data entry'!$BD$6:$BD$200,"&lt;&gt;*Negative*"))</f>
        <v>0</v>
      </c>
      <c r="U123" s="15">
        <f>SUM(COUNTIFS('Data entry'!$R$6:$R$200,'Summary Data'!$A123,'Data entry'!$B$6:$B$200,{"Confirmed";"Probable"},'Data entry'!$AP$6:$AP$200,'Data Validation'!$U$6, 'Data entry'!$BD$6:$BD$200,"&lt;&gt;*Negative*"))</f>
        <v>0</v>
      </c>
      <c r="V123" s="15">
        <f>SUM(COUNTIFS('Data entry'!$R$6:$R$200,'Summary Data'!$A123,'Data entry'!$B$6:$B$200,{"Confirmed";"Probable"},'Data entry'!$AQ$6:$AQ$200,'Data Validation'!$V$2, 'Data entry'!$BD$6:$BD$200,"&lt;&gt;*Negative*"))</f>
        <v>0</v>
      </c>
      <c r="W123" s="15">
        <f>SUM(COUNTIFS('Data entry'!$R$6:$R$200,'Summary Data'!$A123,'Data entry'!$B$6:$B$200,{"Confirmed";"Probable"},'Data entry'!$AQ$6:$AQ$200,'Data Validation'!$V$3, 'Data entry'!$BD$6:$BD$200,"&lt;&gt;*Negative*"))</f>
        <v>0</v>
      </c>
      <c r="X123" s="15">
        <f>SUM(COUNTIFS('Data entry'!$R$6:$R$200,'Summary Data'!$A123,'Data entry'!$B$6:$B$200,{"Confirmed";"Probable"},'Data entry'!$AQ$6:$AQ$200,'Data Validation'!$V$4, 'Data entry'!$BD$6:$BD$200,"&lt;&gt;*Negative*"))</f>
        <v>0</v>
      </c>
      <c r="Y123" s="15">
        <f>SUM(COUNTIFS('Data entry'!$R$6:$R$200,'Summary Data'!$A123,'Data entry'!$B$6:$B$200,{"Confirmed";"Probable"},'Data entry'!$AQ$6:$AQ$200,'Data Validation'!$V$5, 'Data entry'!$BD$6:$BD$200,"&lt;&gt;*Negative*"))</f>
        <v>0</v>
      </c>
      <c r="Z123" s="15">
        <f>SUM(COUNTIFS('Data entry'!$R$6:$R$200,'Summary Data'!$A123,'Data entry'!$B$6:$B$200,{"Confirmed";"Probable"},'Data entry'!$AQ$6:$AQ$200,'Data Validation'!$V$6, 'Data entry'!$BD$6:$BD$200,"&lt;&gt;*Negative*"))</f>
        <v>0</v>
      </c>
      <c r="AA123" s="15">
        <f>SUM(COUNTIFS('Data entry'!$R$6:$R$200,'Summary Data'!$A123,'Data entry'!$B$6:$B$200,{"Confirmed";"Probable"},'Data entry'!$AQ$6:$AQ$200,'Data Validation'!$V$7, 'Data entry'!$BD$6:$BD$200,"&lt;&gt;*Negative*"))</f>
        <v>0</v>
      </c>
      <c r="AB123" s="15">
        <f>SUM(COUNTIFS('Data entry'!$R$6:$R$200,'Summary Data'!$A123,'Data entry'!$B$6:$B$200,{"Confirmed";"Probable"},'Data entry'!$AQ$6:$AQ$200,'Data Validation'!$V$8, 'Data entry'!$BD$6:$BD$200,"&lt;&gt;*Negative*"))</f>
        <v>0</v>
      </c>
      <c r="AC123" s="15">
        <f>SUM(COUNTIFS('Data entry'!$R$6:$R$200,'Summary Data'!$A123,'Data entry'!$B$6:$B$200,{"Confirmed";"Probable"},'Data entry'!$AQ$6:$AQ$200,'Data Validation'!$V$9, 'Data entry'!$BD$6:$BD$200,"&lt;&gt;*Negative*"))</f>
        <v>0</v>
      </c>
      <c r="AD123" s="15">
        <f>SUM(COUNTIFS('Data entry'!$R$6:$R$200,'Summary Data'!$A123,'Data entry'!$B$6:$B$200,{"Confirmed";"Probable"},'Data entry'!$AQ$6:$AQ$200,'Data Validation'!$V$10, 'Data entry'!$BD$6:$BD$200,"&lt;&gt;*Negative*"))</f>
        <v>0</v>
      </c>
      <c r="AE123" s="15">
        <f>SUM(COUNTIFS('Data entry'!$R$6:$R$200,'Summary Data'!$A123,'Data entry'!$B$6:$B$200,{"Confirmed";"Probable"},'Data entry'!$AQ$6:$AQ$200,'Data Validation'!$V$11, 'Data entry'!$BD$6:$BD$200,"&lt;&gt;*Negative*"))</f>
        <v>0</v>
      </c>
      <c r="AF123" s="15">
        <f>SUM(COUNTIFS('Data entry'!$R$6:$R$200,'Summary Data'!$A123,'Data entry'!$B$6:$B$200,{"Confirmed";"Probable"},'Data entry'!$AQ$6:$AQ$200,'Data Validation'!$V$2, 'Data entry'!$AP$6:$AP$200,'Data Validation'!$U$2, 'Data entry'!$BD$6:$BD$200,"&lt;&gt;*Negative*"))</f>
        <v>0</v>
      </c>
      <c r="AG123" s="15">
        <f>SUM(COUNTIFS('Data entry'!$R$6:$R$200,'Summary Data'!$A123,'Data entry'!$B$6:$B$200,{"Confirmed";"Probable"},'Data entry'!$AQ$6:$AQ$200,'Data Validation'!$V$2, 'Data entry'!$AP$6:$AP$200,'Data Validation'!$U$3, 'Data entry'!$BD$6:$BD$200,"&lt;&gt;*Negative*"))</f>
        <v>0</v>
      </c>
      <c r="AH123" s="15">
        <f>SUM(COUNTIFS('Data entry'!$R$6:$R$200,'Summary Data'!$A123,'Data entry'!$B$6:$B$200,{"Confirmed";"Probable"},'Data entry'!$AQ$6:$AQ$200,'Data Validation'!$V$2, 'Data entry'!$AP$6:$AP$200,'Data Validation'!$U$4, 'Data entry'!$BD$6:$BD$200,"&lt;&gt;*Negative*"))</f>
        <v>0</v>
      </c>
      <c r="AI123" s="15">
        <f>SUM(COUNTIFS('Data entry'!$R$6:$R$200,'Summary Data'!$A123,'Data entry'!$B$6:$B$200,{"Confirmed";"Probable"},'Data entry'!$AQ$6:$AQ$200,'Data Validation'!$V$2, 'Data entry'!$AP$6:$AP$200,'Data Validation'!$U$5, 'Data entry'!$BD$6:$BD$200,"&lt;&gt;*Negative*"))</f>
        <v>0</v>
      </c>
      <c r="AJ123" s="15">
        <f>SUM(COUNTIFS('Data entry'!$R$6:$R$200,'Summary Data'!$A123,'Data entry'!$B$6:$B$200,{"Confirmed";"Probable"},'Data entry'!$AQ$6:$AQ$200,'Data Validation'!$V$2, 'Data entry'!$AP$6:$AP$200,'Data Validation'!$U$6, 'Data entry'!$BD$6:$BD$200,"&lt;&gt;*Negative*"))</f>
        <v>0</v>
      </c>
      <c r="AK123" s="15">
        <f>SUM(COUNTIFS('Data entry'!$R$6:$R$200,'Summary Data'!$A123,'Data entry'!$B$6:$B$200,{"Confirmed";"Probable"},'Data entry'!$AQ$6:$AQ$200,'Data Validation'!$V$3, 'Data entry'!$AP$6:$AP$200,'Data Validation'!$U$2, 'Data entry'!$BD$6:$BD$200,"&lt;&gt;*Negative*"))</f>
        <v>0</v>
      </c>
      <c r="AL123" s="15">
        <f>SUM(COUNTIFS('Data entry'!$R$6:$R$200,'Summary Data'!$A123,'Data entry'!$B$6:$B$200,{"Confirmed";"Probable"},'Data entry'!$AQ$6:$AQ$200,'Data Validation'!$V$3, 'Data entry'!$AP$6:$AP$200,'Data Validation'!$U$3, 'Data entry'!$BD$6:$BD$200,"&lt;&gt;*Negative*"))</f>
        <v>0</v>
      </c>
      <c r="AM123" s="15">
        <f>SUM(COUNTIFS('Data entry'!$R$6:$R$200,'Summary Data'!$A123,'Data entry'!$B$6:$B$200,{"Confirmed";"Probable"},'Data entry'!$AQ$6:$AQ$200,'Data Validation'!$V$3, 'Data entry'!$AP$6:$AP$200,'Data Validation'!$U$4, 'Data entry'!$BD$6:$BD$200,"&lt;&gt;*Negative*"))</f>
        <v>0</v>
      </c>
      <c r="AN123" s="15">
        <f>SUM(COUNTIFS('Data entry'!$R$6:$R$200,'Summary Data'!$A123,'Data entry'!$B$6:$B$200,{"Confirmed";"Probable"},'Data entry'!$AQ$6:$AQ$200,'Data Validation'!$V$3, 'Data entry'!$AP$6:$AP$200,'Data Validation'!$U$5, 'Data entry'!$BD$6:$BD$200,"&lt;&gt;*Negative*"))</f>
        <v>0</v>
      </c>
      <c r="AO123" s="15">
        <f>SUM(COUNTIFS('Data entry'!$R$6:$R$200,'Summary Data'!$A123,'Data entry'!$B$6:$B$200,{"Confirmed";"Probable"},'Data entry'!$AQ$6:$AQ$200,'Data Validation'!$V$3, 'Data entry'!$AP$6:$AP$200,'Data Validation'!$U$6, 'Data entry'!$BD$6:$BD$200,"&lt;&gt;*Negative*"))</f>
        <v>0</v>
      </c>
      <c r="AP123" s="15">
        <f>SUM(COUNTIFS('Data entry'!$R$6:$R$200,'Summary Data'!$A123,'Data entry'!$B$6:$B$200,{"Confirmed";"Probable"},'Data entry'!$AQ$6:$AQ$200,'Data Validation'!$V$4, 'Data entry'!$AP$6:$AP$200,'Data Validation'!$U$2, 'Data entry'!$BD$6:$BD$200,"&lt;&gt;*Negative*"))</f>
        <v>0</v>
      </c>
      <c r="AQ123" s="15">
        <f>SUM(COUNTIFS('Data entry'!$R$6:$R$200,'Summary Data'!$A123,'Data entry'!$B$6:$B$200,{"Confirmed";"Probable"},'Data entry'!$AQ$6:$AQ$200,'Data Validation'!$V$4, 'Data entry'!$AP$6:$AP$200,'Data Validation'!$U$3, 'Data entry'!$BD$6:$BD$200,"&lt;&gt;*Negative*"))</f>
        <v>0</v>
      </c>
      <c r="AR123" s="15">
        <f>SUM(COUNTIFS('Data entry'!$R$6:$R$200,'Summary Data'!$A123,'Data entry'!$B$6:$B$200,{"Confirmed";"Probable"},'Data entry'!$AQ$6:$AQ$200,'Data Validation'!$V$4, 'Data entry'!$AP$6:$AP$200,'Data Validation'!$U$4, 'Data entry'!$BD$6:$BD$200,"&lt;&gt;*Negative*"))</f>
        <v>0</v>
      </c>
      <c r="AS123" s="15">
        <f>SUM(COUNTIFS('Data entry'!$R$6:$R$200,'Summary Data'!$A123,'Data entry'!$B$6:$B$200,{"Confirmed";"Probable"},'Data entry'!$AQ$6:$AQ$200,'Data Validation'!$V$4, 'Data entry'!$AP$6:$AP$200,'Data Validation'!$U$5, 'Data entry'!$BD$6:$BD$200,"&lt;&gt;*Negative*"))</f>
        <v>0</v>
      </c>
      <c r="AT123" s="15">
        <f>SUM(COUNTIFS('Data entry'!$R$6:$R$200,'Summary Data'!$A123,'Data entry'!$B$6:$B$200,{"Confirmed";"Probable"},'Data entry'!$AQ$6:$AQ$200,'Data Validation'!$V$4, 'Data entry'!$AP$6:$AP$200,'Data Validation'!$U$6, 'Data entry'!$BD$6:$BD$200,"&lt;&gt;*Negative*"))</f>
        <v>0</v>
      </c>
      <c r="AU123" s="15">
        <f>SUM(COUNTIFS('Data entry'!$R$6:$R$200,'Summary Data'!$A123,'Data entry'!$B$6:$B$200,{"Confirmed";"Probable"},'Data entry'!$AQ$6:$AQ$200,'Data Validation'!$V$5, 'Data entry'!$AP$6:$AP$200,'Data Validation'!$U$2, 'Data entry'!$BD$6:$BD$200,"&lt;&gt;*Negative*"))</f>
        <v>0</v>
      </c>
      <c r="AV123" s="15">
        <f>SUM(COUNTIFS('Data entry'!$R$6:$R$200,'Summary Data'!$A123,'Data entry'!$B$6:$B$200,{"Confirmed";"Probable"},'Data entry'!$AQ$6:$AQ$200,'Data Validation'!$V$5, 'Data entry'!$AP$6:$AP$200,'Data Validation'!$U$3, 'Data entry'!$BD$6:$BD$200,"&lt;&gt;*Negative*"))</f>
        <v>0</v>
      </c>
      <c r="AW123" s="15">
        <f>SUM(COUNTIFS('Data entry'!$R$6:$R$200,'Summary Data'!$A123,'Data entry'!$B$6:$B$200,{"Confirmed";"Probable"},'Data entry'!$AQ$6:$AQ$200,'Data Validation'!$V$5, 'Data entry'!$AP$6:$AP$200,'Data Validation'!$U$4, 'Data entry'!$BD$6:$BD$200,"&lt;&gt;*Negative*"))</f>
        <v>0</v>
      </c>
      <c r="AX123" s="15">
        <f>SUM(COUNTIFS('Data entry'!$R$6:$R$200,'Summary Data'!$A123,'Data entry'!$B$6:$B$200,{"Confirmed";"Probable"},'Data entry'!$AQ$6:$AQ$200,'Data Validation'!$V$5, 'Data entry'!$AP$6:$AP$200,'Data Validation'!$U$5, 'Data entry'!$BD$6:$BD$200,"&lt;&gt;*Negative*"))</f>
        <v>0</v>
      </c>
      <c r="AY123" s="15">
        <f>SUM(COUNTIFS('Data entry'!$R$6:$R$200,'Summary Data'!$A123,'Data entry'!$B$6:$B$200,{"Confirmed";"Probable"},'Data entry'!$AQ$6:$AQ$200,'Data Validation'!$V$5, 'Data entry'!$AP$6:$AP$200,'Data Validation'!$U$6, 'Data entry'!$BD$6:$BD$200,"&lt;&gt;*Negative*"))</f>
        <v>0</v>
      </c>
      <c r="AZ123" s="15">
        <f>SUM(COUNTIFS('Data entry'!$R$6:$R$200,'Summary Data'!$A123,'Data entry'!$B$6:$B$200,{"Confirmed";"Probable"},'Data entry'!$AQ$6:$AQ$200,'Data Validation'!$V$6, 'Data entry'!$AP$6:$AP$200,'Data Validation'!$U$2, 'Data entry'!$BD$6:$BD$200,"&lt;&gt;*Negative*"))</f>
        <v>0</v>
      </c>
      <c r="BA123" s="15">
        <f>SUM(COUNTIFS('Data entry'!$R$6:$R$200,'Summary Data'!$A123,'Data entry'!$B$6:$B$200,{"Confirmed";"Probable"},'Data entry'!$AQ$6:$AQ$200,'Data Validation'!$V$6, 'Data entry'!$AP$6:$AP$200,'Data Validation'!$U$3, 'Data entry'!$BD$6:$BD$200,"&lt;&gt;*Negative*"))</f>
        <v>0</v>
      </c>
      <c r="BB123" s="15">
        <f>SUM(COUNTIFS('Data entry'!$R$6:$R$200,'Summary Data'!$A123,'Data entry'!$B$6:$B$200,{"Confirmed";"Probable"},'Data entry'!$AQ$6:$AQ$200,'Data Validation'!$V$6, 'Data entry'!$AP$6:$AP$200,'Data Validation'!$U$4, 'Data entry'!$BD$6:$BD$200,"&lt;&gt;*Negative*"))</f>
        <v>0</v>
      </c>
      <c r="BC123" s="15">
        <f>SUM(COUNTIFS('Data entry'!$R$6:$R$200,'Summary Data'!$A123,'Data entry'!$B$6:$B$200,{"Confirmed";"Probable"},'Data entry'!$AQ$6:$AQ$200,'Data Validation'!$V$6, 'Data entry'!$AP$6:$AP$200,'Data Validation'!$U$5, 'Data entry'!$BD$6:$BD$200,"&lt;&gt;*Negative*"))</f>
        <v>0</v>
      </c>
      <c r="BD123" s="15">
        <f>SUM(COUNTIFS('Data entry'!$R$6:$R$200,'Summary Data'!$A123,'Data entry'!$B$6:$B$200,{"Confirmed";"Probable"},'Data entry'!$AQ$6:$AQ$200,'Data Validation'!$V$6, 'Data entry'!$AP$6:$AP$200,'Data Validation'!$U$6, 'Data entry'!$BD$6:$BD$200,"&lt;&gt;*Negative*"))</f>
        <v>0</v>
      </c>
      <c r="BE123" s="15">
        <f>SUM(COUNTIFS('Data entry'!$R$6:$R$200,'Summary Data'!$A123,'Data entry'!$B$6:$B$200,{"Confirmed";"Probable"},'Data entry'!$AQ$6:$AQ$200,'Data Validation'!$V$7, 'Data entry'!$AP$6:$AP$200,'Data Validation'!$U$2, 'Data entry'!$BD$6:$BD$200,"&lt;&gt;*Negative*"))</f>
        <v>0</v>
      </c>
      <c r="BF123" s="15">
        <f>SUM(COUNTIFS('Data entry'!$R$6:$R$200,'Summary Data'!$A123,'Data entry'!$B$6:$B$200,{"Confirmed";"Probable"},'Data entry'!$AQ$6:$AQ$200,'Data Validation'!$V$7, 'Data entry'!$AP$6:$AP$200,'Data Validation'!$U$3, 'Data entry'!$BD$6:$BD$200,"&lt;&gt;*Negative*"))</f>
        <v>0</v>
      </c>
      <c r="BG123" s="15">
        <f>SUM(COUNTIFS('Data entry'!$R$6:$R$200,'Summary Data'!$A123,'Data entry'!$B$6:$B$200,{"Confirmed";"Probable"},'Data entry'!$AQ$6:$AQ$200,'Data Validation'!$V$7, 'Data entry'!$AP$6:$AP$200,'Data Validation'!$U$4, 'Data entry'!$BD$6:$BD$200,"&lt;&gt;*Negative*"))</f>
        <v>0</v>
      </c>
      <c r="BH123" s="15">
        <f>SUM(COUNTIFS('Data entry'!$R$6:$R$200,'Summary Data'!$A123,'Data entry'!$B$6:$B$200,{"Confirmed";"Probable"},'Data entry'!$AQ$6:$AQ$200,'Data Validation'!$V$7, 'Data entry'!$AP$6:$AP$200,'Data Validation'!$U$5, 'Data entry'!$BD$6:$BD$200,"&lt;&gt;*Negative*"))</f>
        <v>0</v>
      </c>
      <c r="BI123" s="15">
        <f>SUM(COUNTIFS('Data entry'!$R$6:$R$200,'Summary Data'!$A123,'Data entry'!$B$6:$B$200,{"Confirmed";"Probable"},'Data entry'!$AQ$6:$AQ$200,'Data Validation'!$V$7, 'Data entry'!$AP$6:$AP$200,'Data Validation'!$U$6, 'Data entry'!$BD$6:$BD$200,"&lt;&gt;*Negative*"))</f>
        <v>0</v>
      </c>
      <c r="BJ123" s="15">
        <f>SUM(COUNTIFS('Data entry'!$R$6:$R$200,'Summary Data'!$A123,'Data entry'!$B$6:$B$200,{"Confirmed";"Probable"},'Data entry'!$AQ$6:$AQ$200,'Data Validation'!$V$8, 'Data entry'!$AP$6:$AP$200,'Data Validation'!$U$2, 'Data entry'!$BD$6:$BD$200,"&lt;&gt;*Negative*"))</f>
        <v>0</v>
      </c>
      <c r="BK123" s="15">
        <f>SUM(COUNTIFS('Data entry'!$R$6:$R$200,'Summary Data'!$A123,'Data entry'!$B$6:$B$200,{"Confirmed";"Probable"},'Data entry'!$AQ$6:$AQ$200,'Data Validation'!$V$8, 'Data entry'!$AP$6:$AP$200,'Data Validation'!$U$3, 'Data entry'!$BD$6:$BD$200,"&lt;&gt;*Negative*"))</f>
        <v>0</v>
      </c>
      <c r="BL123" s="15">
        <f>SUM(COUNTIFS('Data entry'!$R$6:$R$200,'Summary Data'!$A123,'Data entry'!$B$6:$B$200,{"Confirmed";"Probable"},'Data entry'!$AQ$6:$AQ$200,'Data Validation'!$V$8, 'Data entry'!$AP$6:$AP$200,'Data Validation'!$U$4, 'Data entry'!$BD$6:$BD$200,"&lt;&gt;*Negative*"))</f>
        <v>0</v>
      </c>
      <c r="BM123" s="15">
        <f>SUM(COUNTIFS('Data entry'!$R$6:$R$200,'Summary Data'!$A123,'Data entry'!$B$6:$B$200,{"Confirmed";"Probable"},'Data entry'!$AQ$6:$AQ$200,'Data Validation'!$V$8, 'Data entry'!$AP$6:$AP$200,'Data Validation'!$U$5, 'Data entry'!$BD$6:$BD$200,"&lt;&gt;*Negative*"))</f>
        <v>0</v>
      </c>
      <c r="BN123" s="15">
        <f>SUM(COUNTIFS('Data entry'!$R$6:$R$200,'Summary Data'!$A123,'Data entry'!$B$6:$B$200,{"Confirmed";"Probable"},'Data entry'!$AQ$6:$AQ$200,'Data Validation'!$V$8, 'Data entry'!$AP$6:$AP$200,'Data Validation'!$U$6, 'Data entry'!$BD$6:$BD$200,"&lt;&gt;*Negative*"))</f>
        <v>0</v>
      </c>
      <c r="BO123" s="15">
        <f>SUM(COUNTIFS('Data entry'!$R$6:$R$200,'Summary Data'!$A123,'Data entry'!$B$6:$B$200,{"Confirmed";"Probable"},'Data entry'!$AQ$6:$AQ$200,'Data Validation'!$V$9, 'Data entry'!$AP$6:$AP$200,'Data Validation'!$U$2, 'Data entry'!$BD$6:$BD$200,"&lt;&gt;*Negative*"))</f>
        <v>0</v>
      </c>
      <c r="BP123" s="15">
        <f>SUM(COUNTIFS('Data entry'!$R$6:$R$200,'Summary Data'!$A123,'Data entry'!$B$6:$B$200,{"Confirmed";"Probable"},'Data entry'!$AQ$6:$AQ$200,'Data Validation'!$V$9, 'Data entry'!$AP$6:$AP$200,'Data Validation'!$U$3, 'Data entry'!$BD$6:$BD$200,"&lt;&gt;*Negative*"))</f>
        <v>0</v>
      </c>
      <c r="BQ123" s="15">
        <f>SUM(COUNTIFS('Data entry'!$R$6:$R$200,'Summary Data'!$A123,'Data entry'!$B$6:$B$200,{"Confirmed";"Probable"},'Data entry'!$AQ$6:$AQ$200,'Data Validation'!$V$9, 'Data entry'!$AP$6:$AP$200,'Data Validation'!$U$4, 'Data entry'!$BD$6:$BD$200,"&lt;&gt;*Negative*"))</f>
        <v>0</v>
      </c>
      <c r="BR123" s="15">
        <f>SUM(COUNTIFS('Data entry'!$R$6:$R$200,'Summary Data'!$A123,'Data entry'!$B$6:$B$200,{"Confirmed";"Probable"},'Data entry'!$AQ$6:$AQ$200,'Data Validation'!$V$9, 'Data entry'!$AP$6:$AP$200,'Data Validation'!$U$5, 'Data entry'!$BD$6:$BD$200,"&lt;&gt;*Negative*"))</f>
        <v>0</v>
      </c>
      <c r="BS123" s="15">
        <f>SUM(COUNTIFS('Data entry'!$R$6:$R$200,'Summary Data'!$A123,'Data entry'!$B$6:$B$200,{"Confirmed";"Probable"},'Data entry'!$AQ$6:$AQ$200,'Data Validation'!$V$9, 'Data entry'!$AP$6:$AP$200,'Data Validation'!$U$6, 'Data entry'!$BD$6:$BD$200,"&lt;&gt;*Negative*"))</f>
        <v>0</v>
      </c>
      <c r="BT123" s="15">
        <f>SUM(COUNTIFS('Data entry'!$R$6:$R$200,'Summary Data'!$A123,'Data entry'!$B$6:$B$200,{"Confirmed";"Probable"},'Data entry'!$AQ$6:$AQ$200,'Data Validation'!$V$10, 'Data entry'!$AP$6:$AP$200,'Data Validation'!$U$2, 'Data entry'!$BD$6:$BD$200,"&lt;&gt;*Negative*"))</f>
        <v>0</v>
      </c>
      <c r="BU123" s="15">
        <f>SUM(COUNTIFS('Data entry'!$R$6:$R$200,'Summary Data'!$A123,'Data entry'!$B$6:$B$200,{"Confirmed";"Probable"},'Data entry'!$AQ$6:$AQ$200,'Data Validation'!$V$10, 'Data entry'!$AP$6:$AP$200,'Data Validation'!$U$3, 'Data entry'!$BD$6:$BD$200,"&lt;&gt;*Negative*"))</f>
        <v>0</v>
      </c>
      <c r="BV123" s="15">
        <f>SUM(COUNTIFS('Data entry'!$R$6:$R$200,'Summary Data'!$A123,'Data entry'!$B$6:$B$200,{"Confirmed";"Probable"},'Data entry'!$AQ$6:$AQ$200,'Data Validation'!$V$10, 'Data entry'!$AP$6:$AP$200,'Data Validation'!$U$4, 'Data entry'!$BD$6:$BD$200,"&lt;&gt;*Negative*"))</f>
        <v>0</v>
      </c>
      <c r="BW123" s="15">
        <f>SUM(COUNTIFS('Data entry'!$R$6:$R$200,'Summary Data'!$A123,'Data entry'!$B$6:$B$200,{"Confirmed";"Probable"},'Data entry'!$AQ$6:$AQ$200,'Data Validation'!$V$10, 'Data entry'!$AP$6:$AP$200,'Data Validation'!$U$5, 'Data entry'!$BD$6:$BD$200,"&lt;&gt;*Negative*"))</f>
        <v>0</v>
      </c>
      <c r="BX123" s="15">
        <f>SUM(COUNTIFS('Data entry'!$R$6:$R$200,'Summary Data'!$A123,'Data entry'!$B$6:$B$200,{"Confirmed";"Probable"},'Data entry'!$AQ$6:$AQ$200,'Data Validation'!$V$10, 'Data entry'!$AP$6:$AP$200,'Data Validation'!$U$6, 'Data entry'!$BD$6:$BD$200,"&lt;&gt;*Negative*"))</f>
        <v>0</v>
      </c>
      <c r="BY123" s="15">
        <f>SUM(COUNTIFS('Data entry'!$R$6:$R$200,'Summary Data'!$A123,'Data entry'!$B$6:$B$200,{"Confirmed";"Probable"},'Data entry'!$AQ$6:$AQ$200,'Data Validation'!$V$11, 'Data entry'!$AP$6:$AP$200,'Data Validation'!$U$2, 'Data entry'!$BD$6:$BD$200,"&lt;&gt;*Negative*"))</f>
        <v>0</v>
      </c>
      <c r="BZ123" s="15">
        <f>SUM(COUNTIFS('Data entry'!$R$6:$R$200,'Summary Data'!$A123,'Data entry'!$B$6:$B$200,{"Confirmed";"Probable"},'Data entry'!$AQ$6:$AQ$200,'Data Validation'!$V$11, 'Data entry'!$AP$6:$AP$200,'Data Validation'!$U$3, 'Data entry'!$BD$6:$BD$200,"&lt;&gt;*Negative*"))</f>
        <v>0</v>
      </c>
      <c r="CA123" s="15">
        <f>SUM(COUNTIFS('Data entry'!$R$6:$R$200,'Summary Data'!$A123,'Data entry'!$B$6:$B$200,{"Confirmed";"Probable"},'Data entry'!$AQ$6:$AQ$200,'Data Validation'!$V$11, 'Data entry'!$AP$6:$AP$200,'Data Validation'!$U$4, 'Data entry'!$BD$6:$BD$200,"&lt;&gt;*Negative*"))</f>
        <v>0</v>
      </c>
      <c r="CB123" s="15">
        <f>SUM(COUNTIFS('Data entry'!$R$6:$R$200,'Summary Data'!$A123,'Data entry'!$B$6:$B$200,{"Confirmed";"Probable"},'Data entry'!$AQ$6:$AQ$200,'Data Validation'!$V$11, 'Data entry'!$AP$6:$AP$200,'Data Validation'!$U$5, 'Data entry'!$BD$6:$BD$200,"&lt;&gt;*Negative*"))</f>
        <v>0</v>
      </c>
      <c r="CC123" s="15">
        <f>SUM(COUNTIFS('Data entry'!$R$6:$R$200,'Summary Data'!$A123,'Data entry'!$B$6:$B$200,{"Confirmed";"Probable"},'Data entry'!$AQ$6:$AQ$200,'Data Validation'!$V$11, 'Data entry'!$AP$6:$AP$200,'Data Validation'!$U$6, 'Data entry'!$BD$6:$BD$200,"&lt;&gt;*Negative*"))</f>
        <v>0</v>
      </c>
    </row>
    <row r="124" spans="1:81" x14ac:dyDescent="0.25">
      <c r="A124" s="12">
        <f t="shared" si="9"/>
        <v>112</v>
      </c>
      <c r="B124" s="13">
        <f t="shared" si="6"/>
        <v>0</v>
      </c>
      <c r="C124" s="13">
        <f>COUNTIFS('Data entry'!$R$6:$R$200,$A124,'Data entry'!$B$6:$B$200,"Confirmed",'Data entry'!$BD$6:$BD$200,"&lt;&gt;*Negative*")</f>
        <v>0</v>
      </c>
      <c r="D124" s="13">
        <f>COUNTIFS('Data entry'!$R$6:$R$200,$A124,'Data entry'!$B$6:$B$200,"Probable",'Data entry'!$BD$6:$BD$200,"&lt;&gt;*Negative*")</f>
        <v>0</v>
      </c>
      <c r="E124" s="13">
        <f>COUNTIFS('Data entry'!$R$6:$R$200,$A124,'Data entry'!$B$6:$B$200,"DNM")</f>
        <v>0</v>
      </c>
      <c r="F124" s="13">
        <f>SUM(COUNTIFS('Data entry'!$R$6:$R$200,'Summary Data'!$A124,'Data entry'!$B$6:$B$200,{"Confirmed";"Probable"},'Data entry'!$AO$6:$AO$200,$F$10, 'Data entry'!$BD$6:$BD$200,"&lt;&gt;*Negative*"))</f>
        <v>0</v>
      </c>
      <c r="G124" s="13">
        <f>SUM(COUNTIFS('Data entry'!$R$6:$R$200,'Summary Data'!$A124,'Data entry'!$B$6:$B$200,{"Confirmed";"Probable"},'Data entry'!$AO$6:$AO$200,$G$10, 'Data entry'!$BD$6:$BD$200,"&lt;&gt;*Negative*"))</f>
        <v>0</v>
      </c>
      <c r="H124" s="13">
        <f>SUM(COUNTIFS('Data entry'!$R$6:$R$200,'Summary Data'!$A124,'Data entry'!$B$6:$B$200,{"Confirmed";"Probable"},'Data entry'!$AO$6:$AO$200,$H$10, 'Data entry'!$BD$6:$BD$200,"&lt;&gt;*Negative*"))</f>
        <v>0</v>
      </c>
      <c r="I124" s="13">
        <f>SUM(COUNTIFS('Data entry'!$R$6:$R$200,'Summary Data'!$A124,'Data entry'!$B$6:$B$200,{"Confirmed";"Probable"},'Data entry'!$AO$6:$AO$200,$I$10, 'Data entry'!$BD$6:$BD$200,"&lt;&gt;*Negative*"))</f>
        <v>0</v>
      </c>
      <c r="J124" s="13">
        <f>SUM(COUNTIFS('Data entry'!$R$6:$R$200,'Summary Data'!$A124,'Data entry'!$B$6:$B$200,{"Confirmed";"Probable"},'Data entry'!$AO$6:$AO$200,$J$10, 'Data entry'!$BD$6:$BD$200,"&lt;&gt;*Negative*"))</f>
        <v>0</v>
      </c>
      <c r="K124" s="13">
        <f>SUM(COUNTIFS('Data entry'!$R$6:$R$200,'Summary Data'!$A124,'Data entry'!$B$6:$B$200,{"Confirmed";"Probable"},'Data entry'!$AO$6:$AO$200,$K$10, 'Data entry'!$BD$6:$BD$200,"&lt;&gt;*Negative*"))</f>
        <v>0</v>
      </c>
      <c r="L124" s="13">
        <f>SUM(COUNTIFS('Data entry'!$R$6:$R$200,'Summary Data'!$A124,'Data entry'!$B$6:$B$200,{"Confirmed";"Probable"},'Data entry'!$AO$6:$AO$200,$L$10, 'Data entry'!$BD$6:$BD$200,"&lt;&gt;*Negative*"))</f>
        <v>0</v>
      </c>
      <c r="M124" s="13">
        <f>SUM(COUNTIFS('Data entry'!$R$6:$R$200,'Summary Data'!$A124,'Data entry'!$B$6:$B$200,{"Confirmed";"Probable"},'Data entry'!$AO$6:$AO$200,$M$10, 'Data entry'!$BD$6:$BD$200,"&lt;&gt;*Negative*"))</f>
        <v>0</v>
      </c>
      <c r="N124" s="13">
        <f>SUM(COUNTIFS('Data entry'!$R$6:$R$200,'Summary Data'!$A124,'Data entry'!$B$6:$B$200,{"Confirmed";"Probable"},'Data entry'!$AO$6:$AO$200,$N$10, 'Data entry'!$BD$6:$BD$200,"&lt;&gt;*Negative*"))</f>
        <v>0</v>
      </c>
      <c r="O124" s="15">
        <f t="shared" si="7"/>
        <v>0</v>
      </c>
      <c r="P124" s="15">
        <f t="shared" si="8"/>
        <v>0</v>
      </c>
      <c r="Q124" s="15">
        <f>SUM(COUNTIFS('Data entry'!$R$6:$R$200,'Summary Data'!$A124,'Data entry'!$B$6:$B$200,{"Confirmed";"Probable"},'Data entry'!$AP$6:$AP$200,'Data Validation'!$U$2, 'Data entry'!$BD$6:$BD$200,"&lt;&gt;*Negative*"))</f>
        <v>0</v>
      </c>
      <c r="R124" s="15">
        <f>SUM(COUNTIFS('Data entry'!$R$6:$R$200,'Summary Data'!$A124,'Data entry'!$B$6:$B$200,{"Confirmed";"Probable"},'Data entry'!$AP$6:$AP$200,'Data Validation'!$U$3, 'Data entry'!$BD$6:$BD$200,"&lt;&gt;*Negative*"))</f>
        <v>0</v>
      </c>
      <c r="S124" s="15">
        <f>SUM(COUNTIFS('Data entry'!$R$6:$R$200,'Summary Data'!$A124,'Data entry'!$B$6:$B$200,{"Confirmed";"Probable"},'Data entry'!$AP$6:$AP$200,'Data Validation'!$U$4, 'Data entry'!$BD$6:$BD$200,"&lt;&gt;*Negative*"))</f>
        <v>0</v>
      </c>
      <c r="T124" s="15">
        <f>SUM(COUNTIFS('Data entry'!$R$6:$R$200,'Summary Data'!$A124,'Data entry'!$B$6:$B$200,{"Confirmed";"Probable"},'Data entry'!$AP$6:$AP$200,'Data Validation'!$U$5, 'Data entry'!$BD$6:$BD$200,"&lt;&gt;*Negative*"))</f>
        <v>0</v>
      </c>
      <c r="U124" s="15">
        <f>SUM(COUNTIFS('Data entry'!$R$6:$R$200,'Summary Data'!$A124,'Data entry'!$B$6:$B$200,{"Confirmed";"Probable"},'Data entry'!$AP$6:$AP$200,'Data Validation'!$U$6, 'Data entry'!$BD$6:$BD$200,"&lt;&gt;*Negative*"))</f>
        <v>0</v>
      </c>
      <c r="V124" s="15">
        <f>SUM(COUNTIFS('Data entry'!$R$6:$R$200,'Summary Data'!$A124,'Data entry'!$B$6:$B$200,{"Confirmed";"Probable"},'Data entry'!$AQ$6:$AQ$200,'Data Validation'!$V$2, 'Data entry'!$BD$6:$BD$200,"&lt;&gt;*Negative*"))</f>
        <v>0</v>
      </c>
      <c r="W124" s="15">
        <f>SUM(COUNTIFS('Data entry'!$R$6:$R$200,'Summary Data'!$A124,'Data entry'!$B$6:$B$200,{"Confirmed";"Probable"},'Data entry'!$AQ$6:$AQ$200,'Data Validation'!$V$3, 'Data entry'!$BD$6:$BD$200,"&lt;&gt;*Negative*"))</f>
        <v>0</v>
      </c>
      <c r="X124" s="15">
        <f>SUM(COUNTIFS('Data entry'!$R$6:$R$200,'Summary Data'!$A124,'Data entry'!$B$6:$B$200,{"Confirmed";"Probable"},'Data entry'!$AQ$6:$AQ$200,'Data Validation'!$V$4, 'Data entry'!$BD$6:$BD$200,"&lt;&gt;*Negative*"))</f>
        <v>0</v>
      </c>
      <c r="Y124" s="15">
        <f>SUM(COUNTIFS('Data entry'!$R$6:$R$200,'Summary Data'!$A124,'Data entry'!$B$6:$B$200,{"Confirmed";"Probable"},'Data entry'!$AQ$6:$AQ$200,'Data Validation'!$V$5, 'Data entry'!$BD$6:$BD$200,"&lt;&gt;*Negative*"))</f>
        <v>0</v>
      </c>
      <c r="Z124" s="15">
        <f>SUM(COUNTIFS('Data entry'!$R$6:$R$200,'Summary Data'!$A124,'Data entry'!$B$6:$B$200,{"Confirmed";"Probable"},'Data entry'!$AQ$6:$AQ$200,'Data Validation'!$V$6, 'Data entry'!$BD$6:$BD$200,"&lt;&gt;*Negative*"))</f>
        <v>0</v>
      </c>
      <c r="AA124" s="15">
        <f>SUM(COUNTIFS('Data entry'!$R$6:$R$200,'Summary Data'!$A124,'Data entry'!$B$6:$B$200,{"Confirmed";"Probable"},'Data entry'!$AQ$6:$AQ$200,'Data Validation'!$V$7, 'Data entry'!$BD$6:$BD$200,"&lt;&gt;*Negative*"))</f>
        <v>0</v>
      </c>
      <c r="AB124" s="15">
        <f>SUM(COUNTIFS('Data entry'!$R$6:$R$200,'Summary Data'!$A124,'Data entry'!$B$6:$B$200,{"Confirmed";"Probable"},'Data entry'!$AQ$6:$AQ$200,'Data Validation'!$V$8, 'Data entry'!$BD$6:$BD$200,"&lt;&gt;*Negative*"))</f>
        <v>0</v>
      </c>
      <c r="AC124" s="15">
        <f>SUM(COUNTIFS('Data entry'!$R$6:$R$200,'Summary Data'!$A124,'Data entry'!$B$6:$B$200,{"Confirmed";"Probable"},'Data entry'!$AQ$6:$AQ$200,'Data Validation'!$V$9, 'Data entry'!$BD$6:$BD$200,"&lt;&gt;*Negative*"))</f>
        <v>0</v>
      </c>
      <c r="AD124" s="15">
        <f>SUM(COUNTIFS('Data entry'!$R$6:$R$200,'Summary Data'!$A124,'Data entry'!$B$6:$B$200,{"Confirmed";"Probable"},'Data entry'!$AQ$6:$AQ$200,'Data Validation'!$V$10, 'Data entry'!$BD$6:$BD$200,"&lt;&gt;*Negative*"))</f>
        <v>0</v>
      </c>
      <c r="AE124" s="15">
        <f>SUM(COUNTIFS('Data entry'!$R$6:$R$200,'Summary Data'!$A124,'Data entry'!$B$6:$B$200,{"Confirmed";"Probable"},'Data entry'!$AQ$6:$AQ$200,'Data Validation'!$V$11, 'Data entry'!$BD$6:$BD$200,"&lt;&gt;*Negative*"))</f>
        <v>0</v>
      </c>
      <c r="AF124" s="15">
        <f>SUM(COUNTIFS('Data entry'!$R$6:$R$200,'Summary Data'!$A124,'Data entry'!$B$6:$B$200,{"Confirmed";"Probable"},'Data entry'!$AQ$6:$AQ$200,'Data Validation'!$V$2, 'Data entry'!$AP$6:$AP$200,'Data Validation'!$U$2, 'Data entry'!$BD$6:$BD$200,"&lt;&gt;*Negative*"))</f>
        <v>0</v>
      </c>
      <c r="AG124" s="15">
        <f>SUM(COUNTIFS('Data entry'!$R$6:$R$200,'Summary Data'!$A124,'Data entry'!$B$6:$B$200,{"Confirmed";"Probable"},'Data entry'!$AQ$6:$AQ$200,'Data Validation'!$V$2, 'Data entry'!$AP$6:$AP$200,'Data Validation'!$U$3, 'Data entry'!$BD$6:$BD$200,"&lt;&gt;*Negative*"))</f>
        <v>0</v>
      </c>
      <c r="AH124" s="15">
        <f>SUM(COUNTIFS('Data entry'!$R$6:$R$200,'Summary Data'!$A124,'Data entry'!$B$6:$B$200,{"Confirmed";"Probable"},'Data entry'!$AQ$6:$AQ$200,'Data Validation'!$V$2, 'Data entry'!$AP$6:$AP$200,'Data Validation'!$U$4, 'Data entry'!$BD$6:$BD$200,"&lt;&gt;*Negative*"))</f>
        <v>0</v>
      </c>
      <c r="AI124" s="15">
        <f>SUM(COUNTIFS('Data entry'!$R$6:$R$200,'Summary Data'!$A124,'Data entry'!$B$6:$B$200,{"Confirmed";"Probable"},'Data entry'!$AQ$6:$AQ$200,'Data Validation'!$V$2, 'Data entry'!$AP$6:$AP$200,'Data Validation'!$U$5, 'Data entry'!$BD$6:$BD$200,"&lt;&gt;*Negative*"))</f>
        <v>0</v>
      </c>
      <c r="AJ124" s="15">
        <f>SUM(COUNTIFS('Data entry'!$R$6:$R$200,'Summary Data'!$A124,'Data entry'!$B$6:$B$200,{"Confirmed";"Probable"},'Data entry'!$AQ$6:$AQ$200,'Data Validation'!$V$2, 'Data entry'!$AP$6:$AP$200,'Data Validation'!$U$6, 'Data entry'!$BD$6:$BD$200,"&lt;&gt;*Negative*"))</f>
        <v>0</v>
      </c>
      <c r="AK124" s="15">
        <f>SUM(COUNTIFS('Data entry'!$R$6:$R$200,'Summary Data'!$A124,'Data entry'!$B$6:$B$200,{"Confirmed";"Probable"},'Data entry'!$AQ$6:$AQ$200,'Data Validation'!$V$3, 'Data entry'!$AP$6:$AP$200,'Data Validation'!$U$2, 'Data entry'!$BD$6:$BD$200,"&lt;&gt;*Negative*"))</f>
        <v>0</v>
      </c>
      <c r="AL124" s="15">
        <f>SUM(COUNTIFS('Data entry'!$R$6:$R$200,'Summary Data'!$A124,'Data entry'!$B$6:$B$200,{"Confirmed";"Probable"},'Data entry'!$AQ$6:$AQ$200,'Data Validation'!$V$3, 'Data entry'!$AP$6:$AP$200,'Data Validation'!$U$3, 'Data entry'!$BD$6:$BD$200,"&lt;&gt;*Negative*"))</f>
        <v>0</v>
      </c>
      <c r="AM124" s="15">
        <f>SUM(COUNTIFS('Data entry'!$R$6:$R$200,'Summary Data'!$A124,'Data entry'!$B$6:$B$200,{"Confirmed";"Probable"},'Data entry'!$AQ$6:$AQ$200,'Data Validation'!$V$3, 'Data entry'!$AP$6:$AP$200,'Data Validation'!$U$4, 'Data entry'!$BD$6:$BD$200,"&lt;&gt;*Negative*"))</f>
        <v>0</v>
      </c>
      <c r="AN124" s="15">
        <f>SUM(COUNTIFS('Data entry'!$R$6:$R$200,'Summary Data'!$A124,'Data entry'!$B$6:$B$200,{"Confirmed";"Probable"},'Data entry'!$AQ$6:$AQ$200,'Data Validation'!$V$3, 'Data entry'!$AP$6:$AP$200,'Data Validation'!$U$5, 'Data entry'!$BD$6:$BD$200,"&lt;&gt;*Negative*"))</f>
        <v>0</v>
      </c>
      <c r="AO124" s="15">
        <f>SUM(COUNTIFS('Data entry'!$R$6:$R$200,'Summary Data'!$A124,'Data entry'!$B$6:$B$200,{"Confirmed";"Probable"},'Data entry'!$AQ$6:$AQ$200,'Data Validation'!$V$3, 'Data entry'!$AP$6:$AP$200,'Data Validation'!$U$6, 'Data entry'!$BD$6:$BD$200,"&lt;&gt;*Negative*"))</f>
        <v>0</v>
      </c>
      <c r="AP124" s="15">
        <f>SUM(COUNTIFS('Data entry'!$R$6:$R$200,'Summary Data'!$A124,'Data entry'!$B$6:$B$200,{"Confirmed";"Probable"},'Data entry'!$AQ$6:$AQ$200,'Data Validation'!$V$4, 'Data entry'!$AP$6:$AP$200,'Data Validation'!$U$2, 'Data entry'!$BD$6:$BD$200,"&lt;&gt;*Negative*"))</f>
        <v>0</v>
      </c>
      <c r="AQ124" s="15">
        <f>SUM(COUNTIFS('Data entry'!$R$6:$R$200,'Summary Data'!$A124,'Data entry'!$B$6:$B$200,{"Confirmed";"Probable"},'Data entry'!$AQ$6:$AQ$200,'Data Validation'!$V$4, 'Data entry'!$AP$6:$AP$200,'Data Validation'!$U$3, 'Data entry'!$BD$6:$BD$200,"&lt;&gt;*Negative*"))</f>
        <v>0</v>
      </c>
      <c r="AR124" s="15">
        <f>SUM(COUNTIFS('Data entry'!$R$6:$R$200,'Summary Data'!$A124,'Data entry'!$B$6:$B$200,{"Confirmed";"Probable"},'Data entry'!$AQ$6:$AQ$200,'Data Validation'!$V$4, 'Data entry'!$AP$6:$AP$200,'Data Validation'!$U$4, 'Data entry'!$BD$6:$BD$200,"&lt;&gt;*Negative*"))</f>
        <v>0</v>
      </c>
      <c r="AS124" s="15">
        <f>SUM(COUNTIFS('Data entry'!$R$6:$R$200,'Summary Data'!$A124,'Data entry'!$B$6:$B$200,{"Confirmed";"Probable"},'Data entry'!$AQ$6:$AQ$200,'Data Validation'!$V$4, 'Data entry'!$AP$6:$AP$200,'Data Validation'!$U$5, 'Data entry'!$BD$6:$BD$200,"&lt;&gt;*Negative*"))</f>
        <v>0</v>
      </c>
      <c r="AT124" s="15">
        <f>SUM(COUNTIFS('Data entry'!$R$6:$R$200,'Summary Data'!$A124,'Data entry'!$B$6:$B$200,{"Confirmed";"Probable"},'Data entry'!$AQ$6:$AQ$200,'Data Validation'!$V$4, 'Data entry'!$AP$6:$AP$200,'Data Validation'!$U$6, 'Data entry'!$BD$6:$BD$200,"&lt;&gt;*Negative*"))</f>
        <v>0</v>
      </c>
      <c r="AU124" s="15">
        <f>SUM(COUNTIFS('Data entry'!$R$6:$R$200,'Summary Data'!$A124,'Data entry'!$B$6:$B$200,{"Confirmed";"Probable"},'Data entry'!$AQ$6:$AQ$200,'Data Validation'!$V$5, 'Data entry'!$AP$6:$AP$200,'Data Validation'!$U$2, 'Data entry'!$BD$6:$BD$200,"&lt;&gt;*Negative*"))</f>
        <v>0</v>
      </c>
      <c r="AV124" s="15">
        <f>SUM(COUNTIFS('Data entry'!$R$6:$R$200,'Summary Data'!$A124,'Data entry'!$B$6:$B$200,{"Confirmed";"Probable"},'Data entry'!$AQ$6:$AQ$200,'Data Validation'!$V$5, 'Data entry'!$AP$6:$AP$200,'Data Validation'!$U$3, 'Data entry'!$BD$6:$BD$200,"&lt;&gt;*Negative*"))</f>
        <v>0</v>
      </c>
      <c r="AW124" s="15">
        <f>SUM(COUNTIFS('Data entry'!$R$6:$R$200,'Summary Data'!$A124,'Data entry'!$B$6:$B$200,{"Confirmed";"Probable"},'Data entry'!$AQ$6:$AQ$200,'Data Validation'!$V$5, 'Data entry'!$AP$6:$AP$200,'Data Validation'!$U$4, 'Data entry'!$BD$6:$BD$200,"&lt;&gt;*Negative*"))</f>
        <v>0</v>
      </c>
      <c r="AX124" s="15">
        <f>SUM(COUNTIFS('Data entry'!$R$6:$R$200,'Summary Data'!$A124,'Data entry'!$B$6:$B$200,{"Confirmed";"Probable"},'Data entry'!$AQ$6:$AQ$200,'Data Validation'!$V$5, 'Data entry'!$AP$6:$AP$200,'Data Validation'!$U$5, 'Data entry'!$BD$6:$BD$200,"&lt;&gt;*Negative*"))</f>
        <v>0</v>
      </c>
      <c r="AY124" s="15">
        <f>SUM(COUNTIFS('Data entry'!$R$6:$R$200,'Summary Data'!$A124,'Data entry'!$B$6:$B$200,{"Confirmed";"Probable"},'Data entry'!$AQ$6:$AQ$200,'Data Validation'!$V$5, 'Data entry'!$AP$6:$AP$200,'Data Validation'!$U$6, 'Data entry'!$BD$6:$BD$200,"&lt;&gt;*Negative*"))</f>
        <v>0</v>
      </c>
      <c r="AZ124" s="15">
        <f>SUM(COUNTIFS('Data entry'!$R$6:$R$200,'Summary Data'!$A124,'Data entry'!$B$6:$B$200,{"Confirmed";"Probable"},'Data entry'!$AQ$6:$AQ$200,'Data Validation'!$V$6, 'Data entry'!$AP$6:$AP$200,'Data Validation'!$U$2, 'Data entry'!$BD$6:$BD$200,"&lt;&gt;*Negative*"))</f>
        <v>0</v>
      </c>
      <c r="BA124" s="15">
        <f>SUM(COUNTIFS('Data entry'!$R$6:$R$200,'Summary Data'!$A124,'Data entry'!$B$6:$B$200,{"Confirmed";"Probable"},'Data entry'!$AQ$6:$AQ$200,'Data Validation'!$V$6, 'Data entry'!$AP$6:$AP$200,'Data Validation'!$U$3, 'Data entry'!$BD$6:$BD$200,"&lt;&gt;*Negative*"))</f>
        <v>0</v>
      </c>
      <c r="BB124" s="15">
        <f>SUM(COUNTIFS('Data entry'!$R$6:$R$200,'Summary Data'!$A124,'Data entry'!$B$6:$B$200,{"Confirmed";"Probable"},'Data entry'!$AQ$6:$AQ$200,'Data Validation'!$V$6, 'Data entry'!$AP$6:$AP$200,'Data Validation'!$U$4, 'Data entry'!$BD$6:$BD$200,"&lt;&gt;*Negative*"))</f>
        <v>0</v>
      </c>
      <c r="BC124" s="15">
        <f>SUM(COUNTIFS('Data entry'!$R$6:$R$200,'Summary Data'!$A124,'Data entry'!$B$6:$B$200,{"Confirmed";"Probable"},'Data entry'!$AQ$6:$AQ$200,'Data Validation'!$V$6, 'Data entry'!$AP$6:$AP$200,'Data Validation'!$U$5, 'Data entry'!$BD$6:$BD$200,"&lt;&gt;*Negative*"))</f>
        <v>0</v>
      </c>
      <c r="BD124" s="15">
        <f>SUM(COUNTIFS('Data entry'!$R$6:$R$200,'Summary Data'!$A124,'Data entry'!$B$6:$B$200,{"Confirmed";"Probable"},'Data entry'!$AQ$6:$AQ$200,'Data Validation'!$V$6, 'Data entry'!$AP$6:$AP$200,'Data Validation'!$U$6, 'Data entry'!$BD$6:$BD$200,"&lt;&gt;*Negative*"))</f>
        <v>0</v>
      </c>
      <c r="BE124" s="15">
        <f>SUM(COUNTIFS('Data entry'!$R$6:$R$200,'Summary Data'!$A124,'Data entry'!$B$6:$B$200,{"Confirmed";"Probable"},'Data entry'!$AQ$6:$AQ$200,'Data Validation'!$V$7, 'Data entry'!$AP$6:$AP$200,'Data Validation'!$U$2, 'Data entry'!$BD$6:$BD$200,"&lt;&gt;*Negative*"))</f>
        <v>0</v>
      </c>
      <c r="BF124" s="15">
        <f>SUM(COUNTIFS('Data entry'!$R$6:$R$200,'Summary Data'!$A124,'Data entry'!$B$6:$B$200,{"Confirmed";"Probable"},'Data entry'!$AQ$6:$AQ$200,'Data Validation'!$V$7, 'Data entry'!$AP$6:$AP$200,'Data Validation'!$U$3, 'Data entry'!$BD$6:$BD$200,"&lt;&gt;*Negative*"))</f>
        <v>0</v>
      </c>
      <c r="BG124" s="15">
        <f>SUM(COUNTIFS('Data entry'!$R$6:$R$200,'Summary Data'!$A124,'Data entry'!$B$6:$B$200,{"Confirmed";"Probable"},'Data entry'!$AQ$6:$AQ$200,'Data Validation'!$V$7, 'Data entry'!$AP$6:$AP$200,'Data Validation'!$U$4, 'Data entry'!$BD$6:$BD$200,"&lt;&gt;*Negative*"))</f>
        <v>0</v>
      </c>
      <c r="BH124" s="15">
        <f>SUM(COUNTIFS('Data entry'!$R$6:$R$200,'Summary Data'!$A124,'Data entry'!$B$6:$B$200,{"Confirmed";"Probable"},'Data entry'!$AQ$6:$AQ$200,'Data Validation'!$V$7, 'Data entry'!$AP$6:$AP$200,'Data Validation'!$U$5, 'Data entry'!$BD$6:$BD$200,"&lt;&gt;*Negative*"))</f>
        <v>0</v>
      </c>
      <c r="BI124" s="15">
        <f>SUM(COUNTIFS('Data entry'!$R$6:$R$200,'Summary Data'!$A124,'Data entry'!$B$6:$B$200,{"Confirmed";"Probable"},'Data entry'!$AQ$6:$AQ$200,'Data Validation'!$V$7, 'Data entry'!$AP$6:$AP$200,'Data Validation'!$U$6, 'Data entry'!$BD$6:$BD$200,"&lt;&gt;*Negative*"))</f>
        <v>0</v>
      </c>
      <c r="BJ124" s="15">
        <f>SUM(COUNTIFS('Data entry'!$R$6:$R$200,'Summary Data'!$A124,'Data entry'!$B$6:$B$200,{"Confirmed";"Probable"},'Data entry'!$AQ$6:$AQ$200,'Data Validation'!$V$8, 'Data entry'!$AP$6:$AP$200,'Data Validation'!$U$2, 'Data entry'!$BD$6:$BD$200,"&lt;&gt;*Negative*"))</f>
        <v>0</v>
      </c>
      <c r="BK124" s="15">
        <f>SUM(COUNTIFS('Data entry'!$R$6:$R$200,'Summary Data'!$A124,'Data entry'!$B$6:$B$200,{"Confirmed";"Probable"},'Data entry'!$AQ$6:$AQ$200,'Data Validation'!$V$8, 'Data entry'!$AP$6:$AP$200,'Data Validation'!$U$3, 'Data entry'!$BD$6:$BD$200,"&lt;&gt;*Negative*"))</f>
        <v>0</v>
      </c>
      <c r="BL124" s="15">
        <f>SUM(COUNTIFS('Data entry'!$R$6:$R$200,'Summary Data'!$A124,'Data entry'!$B$6:$B$200,{"Confirmed";"Probable"},'Data entry'!$AQ$6:$AQ$200,'Data Validation'!$V$8, 'Data entry'!$AP$6:$AP$200,'Data Validation'!$U$4, 'Data entry'!$BD$6:$BD$200,"&lt;&gt;*Negative*"))</f>
        <v>0</v>
      </c>
      <c r="BM124" s="15">
        <f>SUM(COUNTIFS('Data entry'!$R$6:$R$200,'Summary Data'!$A124,'Data entry'!$B$6:$B$200,{"Confirmed";"Probable"},'Data entry'!$AQ$6:$AQ$200,'Data Validation'!$V$8, 'Data entry'!$AP$6:$AP$200,'Data Validation'!$U$5, 'Data entry'!$BD$6:$BD$200,"&lt;&gt;*Negative*"))</f>
        <v>0</v>
      </c>
      <c r="BN124" s="15">
        <f>SUM(COUNTIFS('Data entry'!$R$6:$R$200,'Summary Data'!$A124,'Data entry'!$B$6:$B$200,{"Confirmed";"Probable"},'Data entry'!$AQ$6:$AQ$200,'Data Validation'!$V$8, 'Data entry'!$AP$6:$AP$200,'Data Validation'!$U$6, 'Data entry'!$BD$6:$BD$200,"&lt;&gt;*Negative*"))</f>
        <v>0</v>
      </c>
      <c r="BO124" s="15">
        <f>SUM(COUNTIFS('Data entry'!$R$6:$R$200,'Summary Data'!$A124,'Data entry'!$B$6:$B$200,{"Confirmed";"Probable"},'Data entry'!$AQ$6:$AQ$200,'Data Validation'!$V$9, 'Data entry'!$AP$6:$AP$200,'Data Validation'!$U$2, 'Data entry'!$BD$6:$BD$200,"&lt;&gt;*Negative*"))</f>
        <v>0</v>
      </c>
      <c r="BP124" s="15">
        <f>SUM(COUNTIFS('Data entry'!$R$6:$R$200,'Summary Data'!$A124,'Data entry'!$B$6:$B$200,{"Confirmed";"Probable"},'Data entry'!$AQ$6:$AQ$200,'Data Validation'!$V$9, 'Data entry'!$AP$6:$AP$200,'Data Validation'!$U$3, 'Data entry'!$BD$6:$BD$200,"&lt;&gt;*Negative*"))</f>
        <v>0</v>
      </c>
      <c r="BQ124" s="15">
        <f>SUM(COUNTIFS('Data entry'!$R$6:$R$200,'Summary Data'!$A124,'Data entry'!$B$6:$B$200,{"Confirmed";"Probable"},'Data entry'!$AQ$6:$AQ$200,'Data Validation'!$V$9, 'Data entry'!$AP$6:$AP$200,'Data Validation'!$U$4, 'Data entry'!$BD$6:$BD$200,"&lt;&gt;*Negative*"))</f>
        <v>0</v>
      </c>
      <c r="BR124" s="15">
        <f>SUM(COUNTIFS('Data entry'!$R$6:$R$200,'Summary Data'!$A124,'Data entry'!$B$6:$B$200,{"Confirmed";"Probable"},'Data entry'!$AQ$6:$AQ$200,'Data Validation'!$V$9, 'Data entry'!$AP$6:$AP$200,'Data Validation'!$U$5, 'Data entry'!$BD$6:$BD$200,"&lt;&gt;*Negative*"))</f>
        <v>0</v>
      </c>
      <c r="BS124" s="15">
        <f>SUM(COUNTIFS('Data entry'!$R$6:$R$200,'Summary Data'!$A124,'Data entry'!$B$6:$B$200,{"Confirmed";"Probable"},'Data entry'!$AQ$6:$AQ$200,'Data Validation'!$V$9, 'Data entry'!$AP$6:$AP$200,'Data Validation'!$U$6, 'Data entry'!$BD$6:$BD$200,"&lt;&gt;*Negative*"))</f>
        <v>0</v>
      </c>
      <c r="BT124" s="15">
        <f>SUM(COUNTIFS('Data entry'!$R$6:$R$200,'Summary Data'!$A124,'Data entry'!$B$6:$B$200,{"Confirmed";"Probable"},'Data entry'!$AQ$6:$AQ$200,'Data Validation'!$V$10, 'Data entry'!$AP$6:$AP$200,'Data Validation'!$U$2, 'Data entry'!$BD$6:$BD$200,"&lt;&gt;*Negative*"))</f>
        <v>0</v>
      </c>
      <c r="BU124" s="15">
        <f>SUM(COUNTIFS('Data entry'!$R$6:$R$200,'Summary Data'!$A124,'Data entry'!$B$6:$B$200,{"Confirmed";"Probable"},'Data entry'!$AQ$6:$AQ$200,'Data Validation'!$V$10, 'Data entry'!$AP$6:$AP$200,'Data Validation'!$U$3, 'Data entry'!$BD$6:$BD$200,"&lt;&gt;*Negative*"))</f>
        <v>0</v>
      </c>
      <c r="BV124" s="15">
        <f>SUM(COUNTIFS('Data entry'!$R$6:$R$200,'Summary Data'!$A124,'Data entry'!$B$6:$B$200,{"Confirmed";"Probable"},'Data entry'!$AQ$6:$AQ$200,'Data Validation'!$V$10, 'Data entry'!$AP$6:$AP$200,'Data Validation'!$U$4, 'Data entry'!$BD$6:$BD$200,"&lt;&gt;*Negative*"))</f>
        <v>0</v>
      </c>
      <c r="BW124" s="15">
        <f>SUM(COUNTIFS('Data entry'!$R$6:$R$200,'Summary Data'!$A124,'Data entry'!$B$6:$B$200,{"Confirmed";"Probable"},'Data entry'!$AQ$6:$AQ$200,'Data Validation'!$V$10, 'Data entry'!$AP$6:$AP$200,'Data Validation'!$U$5, 'Data entry'!$BD$6:$BD$200,"&lt;&gt;*Negative*"))</f>
        <v>0</v>
      </c>
      <c r="BX124" s="15">
        <f>SUM(COUNTIFS('Data entry'!$R$6:$R$200,'Summary Data'!$A124,'Data entry'!$B$6:$B$200,{"Confirmed";"Probable"},'Data entry'!$AQ$6:$AQ$200,'Data Validation'!$V$10, 'Data entry'!$AP$6:$AP$200,'Data Validation'!$U$6, 'Data entry'!$BD$6:$BD$200,"&lt;&gt;*Negative*"))</f>
        <v>0</v>
      </c>
      <c r="BY124" s="15">
        <f>SUM(COUNTIFS('Data entry'!$R$6:$R$200,'Summary Data'!$A124,'Data entry'!$B$6:$B$200,{"Confirmed";"Probable"},'Data entry'!$AQ$6:$AQ$200,'Data Validation'!$V$11, 'Data entry'!$AP$6:$AP$200,'Data Validation'!$U$2, 'Data entry'!$BD$6:$BD$200,"&lt;&gt;*Negative*"))</f>
        <v>0</v>
      </c>
      <c r="BZ124" s="15">
        <f>SUM(COUNTIFS('Data entry'!$R$6:$R$200,'Summary Data'!$A124,'Data entry'!$B$6:$B$200,{"Confirmed";"Probable"},'Data entry'!$AQ$6:$AQ$200,'Data Validation'!$V$11, 'Data entry'!$AP$6:$AP$200,'Data Validation'!$U$3, 'Data entry'!$BD$6:$BD$200,"&lt;&gt;*Negative*"))</f>
        <v>0</v>
      </c>
      <c r="CA124" s="15">
        <f>SUM(COUNTIFS('Data entry'!$R$6:$R$200,'Summary Data'!$A124,'Data entry'!$B$6:$B$200,{"Confirmed";"Probable"},'Data entry'!$AQ$6:$AQ$200,'Data Validation'!$V$11, 'Data entry'!$AP$6:$AP$200,'Data Validation'!$U$4, 'Data entry'!$BD$6:$BD$200,"&lt;&gt;*Negative*"))</f>
        <v>0</v>
      </c>
      <c r="CB124" s="15">
        <f>SUM(COUNTIFS('Data entry'!$R$6:$R$200,'Summary Data'!$A124,'Data entry'!$B$6:$B$200,{"Confirmed";"Probable"},'Data entry'!$AQ$6:$AQ$200,'Data Validation'!$V$11, 'Data entry'!$AP$6:$AP$200,'Data Validation'!$U$5, 'Data entry'!$BD$6:$BD$200,"&lt;&gt;*Negative*"))</f>
        <v>0</v>
      </c>
      <c r="CC124" s="15">
        <f>SUM(COUNTIFS('Data entry'!$R$6:$R$200,'Summary Data'!$A124,'Data entry'!$B$6:$B$200,{"Confirmed";"Probable"},'Data entry'!$AQ$6:$AQ$200,'Data Validation'!$V$11, 'Data entry'!$AP$6:$AP$200,'Data Validation'!$U$6, 'Data entry'!$BD$6:$BD$200,"&lt;&gt;*Negative*"))</f>
        <v>0</v>
      </c>
    </row>
    <row r="125" spans="1:81" x14ac:dyDescent="0.25">
      <c r="A125" s="12">
        <f t="shared" si="9"/>
        <v>113</v>
      </c>
      <c r="B125" s="13">
        <f t="shared" si="6"/>
        <v>0</v>
      </c>
      <c r="C125" s="13">
        <f>COUNTIFS('Data entry'!$R$6:$R$200,$A125,'Data entry'!$B$6:$B$200,"Confirmed",'Data entry'!$BD$6:$BD$200,"&lt;&gt;*Negative*")</f>
        <v>0</v>
      </c>
      <c r="D125" s="13">
        <f>COUNTIFS('Data entry'!$R$6:$R$200,$A125,'Data entry'!$B$6:$B$200,"Probable",'Data entry'!$BD$6:$BD$200,"&lt;&gt;*Negative*")</f>
        <v>0</v>
      </c>
      <c r="E125" s="13">
        <f>COUNTIFS('Data entry'!$R$6:$R$200,$A125,'Data entry'!$B$6:$B$200,"DNM")</f>
        <v>0</v>
      </c>
      <c r="F125" s="13">
        <f>SUM(COUNTIFS('Data entry'!$R$6:$R$200,'Summary Data'!$A125,'Data entry'!$B$6:$B$200,{"Confirmed";"Probable"},'Data entry'!$AO$6:$AO$200,$F$10, 'Data entry'!$BD$6:$BD$200,"&lt;&gt;*Negative*"))</f>
        <v>0</v>
      </c>
      <c r="G125" s="13">
        <f>SUM(COUNTIFS('Data entry'!$R$6:$R$200,'Summary Data'!$A125,'Data entry'!$B$6:$B$200,{"Confirmed";"Probable"},'Data entry'!$AO$6:$AO$200,$G$10, 'Data entry'!$BD$6:$BD$200,"&lt;&gt;*Negative*"))</f>
        <v>0</v>
      </c>
      <c r="H125" s="13">
        <f>SUM(COUNTIFS('Data entry'!$R$6:$R$200,'Summary Data'!$A125,'Data entry'!$B$6:$B$200,{"Confirmed";"Probable"},'Data entry'!$AO$6:$AO$200,$H$10, 'Data entry'!$BD$6:$BD$200,"&lt;&gt;*Negative*"))</f>
        <v>0</v>
      </c>
      <c r="I125" s="13">
        <f>SUM(COUNTIFS('Data entry'!$R$6:$R$200,'Summary Data'!$A125,'Data entry'!$B$6:$B$200,{"Confirmed";"Probable"},'Data entry'!$AO$6:$AO$200,$I$10, 'Data entry'!$BD$6:$BD$200,"&lt;&gt;*Negative*"))</f>
        <v>0</v>
      </c>
      <c r="J125" s="13">
        <f>SUM(COUNTIFS('Data entry'!$R$6:$R$200,'Summary Data'!$A125,'Data entry'!$B$6:$B$200,{"Confirmed";"Probable"},'Data entry'!$AO$6:$AO$200,$J$10, 'Data entry'!$BD$6:$BD$200,"&lt;&gt;*Negative*"))</f>
        <v>0</v>
      </c>
      <c r="K125" s="13">
        <f>SUM(COUNTIFS('Data entry'!$R$6:$R$200,'Summary Data'!$A125,'Data entry'!$B$6:$B$200,{"Confirmed";"Probable"},'Data entry'!$AO$6:$AO$200,$K$10, 'Data entry'!$BD$6:$BD$200,"&lt;&gt;*Negative*"))</f>
        <v>0</v>
      </c>
      <c r="L125" s="13">
        <f>SUM(COUNTIFS('Data entry'!$R$6:$R$200,'Summary Data'!$A125,'Data entry'!$B$6:$B$200,{"Confirmed";"Probable"},'Data entry'!$AO$6:$AO$200,$L$10, 'Data entry'!$BD$6:$BD$200,"&lt;&gt;*Negative*"))</f>
        <v>0</v>
      </c>
      <c r="M125" s="13">
        <f>SUM(COUNTIFS('Data entry'!$R$6:$R$200,'Summary Data'!$A125,'Data entry'!$B$6:$B$200,{"Confirmed";"Probable"},'Data entry'!$AO$6:$AO$200,$M$10, 'Data entry'!$BD$6:$BD$200,"&lt;&gt;*Negative*"))</f>
        <v>0</v>
      </c>
      <c r="N125" s="13">
        <f>SUM(COUNTIFS('Data entry'!$R$6:$R$200,'Summary Data'!$A125,'Data entry'!$B$6:$B$200,{"Confirmed";"Probable"},'Data entry'!$AO$6:$AO$200,$N$10, 'Data entry'!$BD$6:$BD$200,"&lt;&gt;*Negative*"))</f>
        <v>0</v>
      </c>
      <c r="O125" s="15">
        <f>J125+M125</f>
        <v>0</v>
      </c>
      <c r="P125" s="15">
        <f t="shared" si="8"/>
        <v>0</v>
      </c>
      <c r="Q125" s="15">
        <f>SUM(COUNTIFS('Data entry'!$R$6:$R$200,'Summary Data'!$A125,'Data entry'!$B$6:$B$200,{"Confirmed";"Probable"},'Data entry'!$AP$6:$AP$200,'Data Validation'!$U$2, 'Data entry'!$BD$6:$BD$200,"&lt;&gt;*Negative*"))</f>
        <v>0</v>
      </c>
      <c r="R125" s="15">
        <f>SUM(COUNTIFS('Data entry'!$R$6:$R$200,'Summary Data'!$A125,'Data entry'!$B$6:$B$200,{"Confirmed";"Probable"},'Data entry'!$AP$6:$AP$200,'Data Validation'!$U$3, 'Data entry'!$BD$6:$BD$200,"&lt;&gt;*Negative*"))</f>
        <v>0</v>
      </c>
      <c r="S125" s="15">
        <f>SUM(COUNTIFS('Data entry'!$R$6:$R$200,'Summary Data'!$A125,'Data entry'!$B$6:$B$200,{"Confirmed";"Probable"},'Data entry'!$AP$6:$AP$200,'Data Validation'!$U$4, 'Data entry'!$BD$6:$BD$200,"&lt;&gt;*Negative*"))</f>
        <v>0</v>
      </c>
      <c r="T125" s="15">
        <f>SUM(COUNTIFS('Data entry'!$R$6:$R$200,'Summary Data'!$A125,'Data entry'!$B$6:$B$200,{"Confirmed";"Probable"},'Data entry'!$AP$6:$AP$200,'Data Validation'!$U$5, 'Data entry'!$BD$6:$BD$200,"&lt;&gt;*Negative*"))</f>
        <v>0</v>
      </c>
      <c r="U125" s="15">
        <f>SUM(COUNTIFS('Data entry'!$R$6:$R$200,'Summary Data'!$A125,'Data entry'!$B$6:$B$200,{"Confirmed";"Probable"},'Data entry'!$AP$6:$AP$200,'Data Validation'!$U$6, 'Data entry'!$BD$6:$BD$200,"&lt;&gt;*Negative*"))</f>
        <v>0</v>
      </c>
      <c r="V125" s="15">
        <f>SUM(COUNTIFS('Data entry'!$R$6:$R$200,'Summary Data'!$A125,'Data entry'!$B$6:$B$200,{"Confirmed";"Probable"},'Data entry'!$AQ$6:$AQ$200,'Data Validation'!$V$2, 'Data entry'!$BD$6:$BD$200,"&lt;&gt;*Negative*"))</f>
        <v>0</v>
      </c>
      <c r="W125" s="15">
        <f>SUM(COUNTIFS('Data entry'!$R$6:$R$200,'Summary Data'!$A125,'Data entry'!$B$6:$B$200,{"Confirmed";"Probable"},'Data entry'!$AQ$6:$AQ$200,'Data Validation'!$V$3, 'Data entry'!$BD$6:$BD$200,"&lt;&gt;*Negative*"))</f>
        <v>0</v>
      </c>
      <c r="X125" s="15">
        <f>SUM(COUNTIFS('Data entry'!$R$6:$R$200,'Summary Data'!$A125,'Data entry'!$B$6:$B$200,{"Confirmed";"Probable"},'Data entry'!$AQ$6:$AQ$200,'Data Validation'!$V$4, 'Data entry'!$BD$6:$BD$200,"&lt;&gt;*Negative*"))</f>
        <v>0</v>
      </c>
      <c r="Y125" s="15">
        <f>SUM(COUNTIFS('Data entry'!$R$6:$R$200,'Summary Data'!$A125,'Data entry'!$B$6:$B$200,{"Confirmed";"Probable"},'Data entry'!$AQ$6:$AQ$200,'Data Validation'!$V$5, 'Data entry'!$BD$6:$BD$200,"&lt;&gt;*Negative*"))</f>
        <v>0</v>
      </c>
      <c r="Z125" s="15">
        <f>SUM(COUNTIFS('Data entry'!$R$6:$R$200,'Summary Data'!$A125,'Data entry'!$B$6:$B$200,{"Confirmed";"Probable"},'Data entry'!$AQ$6:$AQ$200,'Data Validation'!$V$6, 'Data entry'!$BD$6:$BD$200,"&lt;&gt;*Negative*"))</f>
        <v>0</v>
      </c>
      <c r="AA125" s="15">
        <f>SUM(COUNTIFS('Data entry'!$R$6:$R$200,'Summary Data'!$A125,'Data entry'!$B$6:$B$200,{"Confirmed";"Probable"},'Data entry'!$AQ$6:$AQ$200,'Data Validation'!$V$7, 'Data entry'!$BD$6:$BD$200,"&lt;&gt;*Negative*"))</f>
        <v>0</v>
      </c>
      <c r="AB125" s="15">
        <f>SUM(COUNTIFS('Data entry'!$R$6:$R$200,'Summary Data'!$A125,'Data entry'!$B$6:$B$200,{"Confirmed";"Probable"},'Data entry'!$AQ$6:$AQ$200,'Data Validation'!$V$8, 'Data entry'!$BD$6:$BD$200,"&lt;&gt;*Negative*"))</f>
        <v>0</v>
      </c>
      <c r="AC125" s="15">
        <f>SUM(COUNTIFS('Data entry'!$R$6:$R$200,'Summary Data'!$A125,'Data entry'!$B$6:$B$200,{"Confirmed";"Probable"},'Data entry'!$AQ$6:$AQ$200,'Data Validation'!$V$9, 'Data entry'!$BD$6:$BD$200,"&lt;&gt;*Negative*"))</f>
        <v>0</v>
      </c>
      <c r="AD125" s="15">
        <f>SUM(COUNTIFS('Data entry'!$R$6:$R$200,'Summary Data'!$A125,'Data entry'!$B$6:$B$200,{"Confirmed";"Probable"},'Data entry'!$AQ$6:$AQ$200,'Data Validation'!$V$10, 'Data entry'!$BD$6:$BD$200,"&lt;&gt;*Negative*"))</f>
        <v>0</v>
      </c>
      <c r="AE125" s="15">
        <f>SUM(COUNTIFS('Data entry'!$R$6:$R$200,'Summary Data'!$A125,'Data entry'!$B$6:$B$200,{"Confirmed";"Probable"},'Data entry'!$AQ$6:$AQ$200,'Data Validation'!$V$11, 'Data entry'!$BD$6:$BD$200,"&lt;&gt;*Negative*"))</f>
        <v>0</v>
      </c>
      <c r="AF125" s="15">
        <f>SUM(COUNTIFS('Data entry'!$R$6:$R$200,'Summary Data'!$A125,'Data entry'!$B$6:$B$200,{"Confirmed";"Probable"},'Data entry'!$AQ$6:$AQ$200,'Data Validation'!$V$2, 'Data entry'!$AP$6:$AP$200,'Data Validation'!$U$2, 'Data entry'!$BD$6:$BD$200,"&lt;&gt;*Negative*"))</f>
        <v>0</v>
      </c>
      <c r="AG125" s="15">
        <f>SUM(COUNTIFS('Data entry'!$R$6:$R$200,'Summary Data'!$A125,'Data entry'!$B$6:$B$200,{"Confirmed";"Probable"},'Data entry'!$AQ$6:$AQ$200,'Data Validation'!$V$2, 'Data entry'!$AP$6:$AP$200,'Data Validation'!$U$3, 'Data entry'!$BD$6:$BD$200,"&lt;&gt;*Negative*"))</f>
        <v>0</v>
      </c>
      <c r="AH125" s="15">
        <f>SUM(COUNTIFS('Data entry'!$R$6:$R$200,'Summary Data'!$A125,'Data entry'!$B$6:$B$200,{"Confirmed";"Probable"},'Data entry'!$AQ$6:$AQ$200,'Data Validation'!$V$2, 'Data entry'!$AP$6:$AP$200,'Data Validation'!$U$4, 'Data entry'!$BD$6:$BD$200,"&lt;&gt;*Negative*"))</f>
        <v>0</v>
      </c>
      <c r="AI125" s="15">
        <f>SUM(COUNTIFS('Data entry'!$R$6:$R$200,'Summary Data'!$A125,'Data entry'!$B$6:$B$200,{"Confirmed";"Probable"},'Data entry'!$AQ$6:$AQ$200,'Data Validation'!$V$2, 'Data entry'!$AP$6:$AP$200,'Data Validation'!$U$5, 'Data entry'!$BD$6:$BD$200,"&lt;&gt;*Negative*"))</f>
        <v>0</v>
      </c>
      <c r="AJ125" s="15">
        <f>SUM(COUNTIFS('Data entry'!$R$6:$R$200,'Summary Data'!$A125,'Data entry'!$B$6:$B$200,{"Confirmed";"Probable"},'Data entry'!$AQ$6:$AQ$200,'Data Validation'!$V$2, 'Data entry'!$AP$6:$AP$200,'Data Validation'!$U$6, 'Data entry'!$BD$6:$BD$200,"&lt;&gt;*Negative*"))</f>
        <v>0</v>
      </c>
      <c r="AK125" s="15">
        <f>SUM(COUNTIFS('Data entry'!$R$6:$R$200,'Summary Data'!$A125,'Data entry'!$B$6:$B$200,{"Confirmed";"Probable"},'Data entry'!$AQ$6:$AQ$200,'Data Validation'!$V$3, 'Data entry'!$AP$6:$AP$200,'Data Validation'!$U$2, 'Data entry'!$BD$6:$BD$200,"&lt;&gt;*Negative*"))</f>
        <v>0</v>
      </c>
      <c r="AL125" s="15">
        <f>SUM(COUNTIFS('Data entry'!$R$6:$R$200,'Summary Data'!$A125,'Data entry'!$B$6:$B$200,{"Confirmed";"Probable"},'Data entry'!$AQ$6:$AQ$200,'Data Validation'!$V$3, 'Data entry'!$AP$6:$AP$200,'Data Validation'!$U$3, 'Data entry'!$BD$6:$BD$200,"&lt;&gt;*Negative*"))</f>
        <v>0</v>
      </c>
      <c r="AM125" s="15">
        <f>SUM(COUNTIFS('Data entry'!$R$6:$R$200,'Summary Data'!$A125,'Data entry'!$B$6:$B$200,{"Confirmed";"Probable"},'Data entry'!$AQ$6:$AQ$200,'Data Validation'!$V$3, 'Data entry'!$AP$6:$AP$200,'Data Validation'!$U$4, 'Data entry'!$BD$6:$BD$200,"&lt;&gt;*Negative*"))</f>
        <v>0</v>
      </c>
      <c r="AN125" s="15">
        <f>SUM(COUNTIFS('Data entry'!$R$6:$R$200,'Summary Data'!$A125,'Data entry'!$B$6:$B$200,{"Confirmed";"Probable"},'Data entry'!$AQ$6:$AQ$200,'Data Validation'!$V$3, 'Data entry'!$AP$6:$AP$200,'Data Validation'!$U$5, 'Data entry'!$BD$6:$BD$200,"&lt;&gt;*Negative*"))</f>
        <v>0</v>
      </c>
      <c r="AO125" s="15">
        <f>SUM(COUNTIFS('Data entry'!$R$6:$R$200,'Summary Data'!$A125,'Data entry'!$B$6:$B$200,{"Confirmed";"Probable"},'Data entry'!$AQ$6:$AQ$200,'Data Validation'!$V$3, 'Data entry'!$AP$6:$AP$200,'Data Validation'!$U$6, 'Data entry'!$BD$6:$BD$200,"&lt;&gt;*Negative*"))</f>
        <v>0</v>
      </c>
      <c r="AP125" s="15">
        <f>SUM(COUNTIFS('Data entry'!$R$6:$R$200,'Summary Data'!$A125,'Data entry'!$B$6:$B$200,{"Confirmed";"Probable"},'Data entry'!$AQ$6:$AQ$200,'Data Validation'!$V$4, 'Data entry'!$AP$6:$AP$200,'Data Validation'!$U$2, 'Data entry'!$BD$6:$BD$200,"&lt;&gt;*Negative*"))</f>
        <v>0</v>
      </c>
      <c r="AQ125" s="15">
        <f>SUM(COUNTIFS('Data entry'!$R$6:$R$200,'Summary Data'!$A125,'Data entry'!$B$6:$B$200,{"Confirmed";"Probable"},'Data entry'!$AQ$6:$AQ$200,'Data Validation'!$V$4, 'Data entry'!$AP$6:$AP$200,'Data Validation'!$U$3, 'Data entry'!$BD$6:$BD$200,"&lt;&gt;*Negative*"))</f>
        <v>0</v>
      </c>
      <c r="AR125" s="15">
        <f>SUM(COUNTIFS('Data entry'!$R$6:$R$200,'Summary Data'!$A125,'Data entry'!$B$6:$B$200,{"Confirmed";"Probable"},'Data entry'!$AQ$6:$AQ$200,'Data Validation'!$V$4, 'Data entry'!$AP$6:$AP$200,'Data Validation'!$U$4, 'Data entry'!$BD$6:$BD$200,"&lt;&gt;*Negative*"))</f>
        <v>0</v>
      </c>
      <c r="AS125" s="15">
        <f>SUM(COUNTIFS('Data entry'!$R$6:$R$200,'Summary Data'!$A125,'Data entry'!$B$6:$B$200,{"Confirmed";"Probable"},'Data entry'!$AQ$6:$AQ$200,'Data Validation'!$V$4, 'Data entry'!$AP$6:$AP$200,'Data Validation'!$U$5, 'Data entry'!$BD$6:$BD$200,"&lt;&gt;*Negative*"))</f>
        <v>0</v>
      </c>
      <c r="AT125" s="15">
        <f>SUM(COUNTIFS('Data entry'!$R$6:$R$200,'Summary Data'!$A125,'Data entry'!$B$6:$B$200,{"Confirmed";"Probable"},'Data entry'!$AQ$6:$AQ$200,'Data Validation'!$V$4, 'Data entry'!$AP$6:$AP$200,'Data Validation'!$U$6, 'Data entry'!$BD$6:$BD$200,"&lt;&gt;*Negative*"))</f>
        <v>0</v>
      </c>
      <c r="AU125" s="15">
        <f>SUM(COUNTIFS('Data entry'!$R$6:$R$200,'Summary Data'!$A125,'Data entry'!$B$6:$B$200,{"Confirmed";"Probable"},'Data entry'!$AQ$6:$AQ$200,'Data Validation'!$V$5, 'Data entry'!$AP$6:$AP$200,'Data Validation'!$U$2, 'Data entry'!$BD$6:$BD$200,"&lt;&gt;*Negative*"))</f>
        <v>0</v>
      </c>
      <c r="AV125" s="15">
        <f>SUM(COUNTIFS('Data entry'!$R$6:$R$200,'Summary Data'!$A125,'Data entry'!$B$6:$B$200,{"Confirmed";"Probable"},'Data entry'!$AQ$6:$AQ$200,'Data Validation'!$V$5, 'Data entry'!$AP$6:$AP$200,'Data Validation'!$U$3, 'Data entry'!$BD$6:$BD$200,"&lt;&gt;*Negative*"))</f>
        <v>0</v>
      </c>
      <c r="AW125" s="15">
        <f>SUM(COUNTIFS('Data entry'!$R$6:$R$200,'Summary Data'!$A125,'Data entry'!$B$6:$B$200,{"Confirmed";"Probable"},'Data entry'!$AQ$6:$AQ$200,'Data Validation'!$V$5, 'Data entry'!$AP$6:$AP$200,'Data Validation'!$U$4, 'Data entry'!$BD$6:$BD$200,"&lt;&gt;*Negative*"))</f>
        <v>0</v>
      </c>
      <c r="AX125" s="15">
        <f>SUM(COUNTIFS('Data entry'!$R$6:$R$200,'Summary Data'!$A125,'Data entry'!$B$6:$B$200,{"Confirmed";"Probable"},'Data entry'!$AQ$6:$AQ$200,'Data Validation'!$V$5, 'Data entry'!$AP$6:$AP$200,'Data Validation'!$U$5, 'Data entry'!$BD$6:$BD$200,"&lt;&gt;*Negative*"))</f>
        <v>0</v>
      </c>
      <c r="AY125" s="15">
        <f>SUM(COUNTIFS('Data entry'!$R$6:$R$200,'Summary Data'!$A125,'Data entry'!$B$6:$B$200,{"Confirmed";"Probable"},'Data entry'!$AQ$6:$AQ$200,'Data Validation'!$V$5, 'Data entry'!$AP$6:$AP$200,'Data Validation'!$U$6, 'Data entry'!$BD$6:$BD$200,"&lt;&gt;*Negative*"))</f>
        <v>0</v>
      </c>
      <c r="AZ125" s="15">
        <f>SUM(COUNTIFS('Data entry'!$R$6:$R$200,'Summary Data'!$A125,'Data entry'!$B$6:$B$200,{"Confirmed";"Probable"},'Data entry'!$AQ$6:$AQ$200,'Data Validation'!$V$6, 'Data entry'!$AP$6:$AP$200,'Data Validation'!$U$2, 'Data entry'!$BD$6:$BD$200,"&lt;&gt;*Negative*"))</f>
        <v>0</v>
      </c>
      <c r="BA125" s="15">
        <f>SUM(COUNTIFS('Data entry'!$R$6:$R$200,'Summary Data'!$A125,'Data entry'!$B$6:$B$200,{"Confirmed";"Probable"},'Data entry'!$AQ$6:$AQ$200,'Data Validation'!$V$6, 'Data entry'!$AP$6:$AP$200,'Data Validation'!$U$3, 'Data entry'!$BD$6:$BD$200,"&lt;&gt;*Negative*"))</f>
        <v>0</v>
      </c>
      <c r="BB125" s="15">
        <f>SUM(COUNTIFS('Data entry'!$R$6:$R$200,'Summary Data'!$A125,'Data entry'!$B$6:$B$200,{"Confirmed";"Probable"},'Data entry'!$AQ$6:$AQ$200,'Data Validation'!$V$6, 'Data entry'!$AP$6:$AP$200,'Data Validation'!$U$4, 'Data entry'!$BD$6:$BD$200,"&lt;&gt;*Negative*"))</f>
        <v>0</v>
      </c>
      <c r="BC125" s="15">
        <f>SUM(COUNTIFS('Data entry'!$R$6:$R$200,'Summary Data'!$A125,'Data entry'!$B$6:$B$200,{"Confirmed";"Probable"},'Data entry'!$AQ$6:$AQ$200,'Data Validation'!$V$6, 'Data entry'!$AP$6:$AP$200,'Data Validation'!$U$5, 'Data entry'!$BD$6:$BD$200,"&lt;&gt;*Negative*"))</f>
        <v>0</v>
      </c>
      <c r="BD125" s="15">
        <f>SUM(COUNTIFS('Data entry'!$R$6:$R$200,'Summary Data'!$A125,'Data entry'!$B$6:$B$200,{"Confirmed";"Probable"},'Data entry'!$AQ$6:$AQ$200,'Data Validation'!$V$6, 'Data entry'!$AP$6:$AP$200,'Data Validation'!$U$6, 'Data entry'!$BD$6:$BD$200,"&lt;&gt;*Negative*"))</f>
        <v>0</v>
      </c>
      <c r="BE125" s="15">
        <f>SUM(COUNTIFS('Data entry'!$R$6:$R$200,'Summary Data'!$A125,'Data entry'!$B$6:$B$200,{"Confirmed";"Probable"},'Data entry'!$AQ$6:$AQ$200,'Data Validation'!$V$7, 'Data entry'!$AP$6:$AP$200,'Data Validation'!$U$2, 'Data entry'!$BD$6:$BD$200,"&lt;&gt;*Negative*"))</f>
        <v>0</v>
      </c>
      <c r="BF125" s="15">
        <f>SUM(COUNTIFS('Data entry'!$R$6:$R$200,'Summary Data'!$A125,'Data entry'!$B$6:$B$200,{"Confirmed";"Probable"},'Data entry'!$AQ$6:$AQ$200,'Data Validation'!$V$7, 'Data entry'!$AP$6:$AP$200,'Data Validation'!$U$3, 'Data entry'!$BD$6:$BD$200,"&lt;&gt;*Negative*"))</f>
        <v>0</v>
      </c>
      <c r="BG125" s="15">
        <f>SUM(COUNTIFS('Data entry'!$R$6:$R$200,'Summary Data'!$A125,'Data entry'!$B$6:$B$200,{"Confirmed";"Probable"},'Data entry'!$AQ$6:$AQ$200,'Data Validation'!$V$7, 'Data entry'!$AP$6:$AP$200,'Data Validation'!$U$4, 'Data entry'!$BD$6:$BD$200,"&lt;&gt;*Negative*"))</f>
        <v>0</v>
      </c>
      <c r="BH125" s="15">
        <f>SUM(COUNTIFS('Data entry'!$R$6:$R$200,'Summary Data'!$A125,'Data entry'!$B$6:$B$200,{"Confirmed";"Probable"},'Data entry'!$AQ$6:$AQ$200,'Data Validation'!$V$7, 'Data entry'!$AP$6:$AP$200,'Data Validation'!$U$5, 'Data entry'!$BD$6:$BD$200,"&lt;&gt;*Negative*"))</f>
        <v>0</v>
      </c>
      <c r="BI125" s="15">
        <f>SUM(COUNTIFS('Data entry'!$R$6:$R$200,'Summary Data'!$A125,'Data entry'!$B$6:$B$200,{"Confirmed";"Probable"},'Data entry'!$AQ$6:$AQ$200,'Data Validation'!$V$7, 'Data entry'!$AP$6:$AP$200,'Data Validation'!$U$6, 'Data entry'!$BD$6:$BD$200,"&lt;&gt;*Negative*"))</f>
        <v>0</v>
      </c>
      <c r="BJ125" s="15">
        <f>SUM(COUNTIFS('Data entry'!$R$6:$R$200,'Summary Data'!$A125,'Data entry'!$B$6:$B$200,{"Confirmed";"Probable"},'Data entry'!$AQ$6:$AQ$200,'Data Validation'!$V$8, 'Data entry'!$AP$6:$AP$200,'Data Validation'!$U$2, 'Data entry'!$BD$6:$BD$200,"&lt;&gt;*Negative*"))</f>
        <v>0</v>
      </c>
      <c r="BK125" s="15">
        <f>SUM(COUNTIFS('Data entry'!$R$6:$R$200,'Summary Data'!$A125,'Data entry'!$B$6:$B$200,{"Confirmed";"Probable"},'Data entry'!$AQ$6:$AQ$200,'Data Validation'!$V$8, 'Data entry'!$AP$6:$AP$200,'Data Validation'!$U$3, 'Data entry'!$BD$6:$BD$200,"&lt;&gt;*Negative*"))</f>
        <v>0</v>
      </c>
      <c r="BL125" s="15">
        <f>SUM(COUNTIFS('Data entry'!$R$6:$R$200,'Summary Data'!$A125,'Data entry'!$B$6:$B$200,{"Confirmed";"Probable"},'Data entry'!$AQ$6:$AQ$200,'Data Validation'!$V$8, 'Data entry'!$AP$6:$AP$200,'Data Validation'!$U$4, 'Data entry'!$BD$6:$BD$200,"&lt;&gt;*Negative*"))</f>
        <v>0</v>
      </c>
      <c r="BM125" s="15">
        <f>SUM(COUNTIFS('Data entry'!$R$6:$R$200,'Summary Data'!$A125,'Data entry'!$B$6:$B$200,{"Confirmed";"Probable"},'Data entry'!$AQ$6:$AQ$200,'Data Validation'!$V$8, 'Data entry'!$AP$6:$AP$200,'Data Validation'!$U$5, 'Data entry'!$BD$6:$BD$200,"&lt;&gt;*Negative*"))</f>
        <v>0</v>
      </c>
      <c r="BN125" s="15">
        <f>SUM(COUNTIFS('Data entry'!$R$6:$R$200,'Summary Data'!$A125,'Data entry'!$B$6:$B$200,{"Confirmed";"Probable"},'Data entry'!$AQ$6:$AQ$200,'Data Validation'!$V$8, 'Data entry'!$AP$6:$AP$200,'Data Validation'!$U$6, 'Data entry'!$BD$6:$BD$200,"&lt;&gt;*Negative*"))</f>
        <v>0</v>
      </c>
      <c r="BO125" s="15">
        <f>SUM(COUNTIFS('Data entry'!$R$6:$R$200,'Summary Data'!$A125,'Data entry'!$B$6:$B$200,{"Confirmed";"Probable"},'Data entry'!$AQ$6:$AQ$200,'Data Validation'!$V$9, 'Data entry'!$AP$6:$AP$200,'Data Validation'!$U$2, 'Data entry'!$BD$6:$BD$200,"&lt;&gt;*Negative*"))</f>
        <v>0</v>
      </c>
      <c r="BP125" s="15">
        <f>SUM(COUNTIFS('Data entry'!$R$6:$R$200,'Summary Data'!$A125,'Data entry'!$B$6:$B$200,{"Confirmed";"Probable"},'Data entry'!$AQ$6:$AQ$200,'Data Validation'!$V$9, 'Data entry'!$AP$6:$AP$200,'Data Validation'!$U$3, 'Data entry'!$BD$6:$BD$200,"&lt;&gt;*Negative*"))</f>
        <v>0</v>
      </c>
      <c r="BQ125" s="15">
        <f>SUM(COUNTIFS('Data entry'!$R$6:$R$200,'Summary Data'!$A125,'Data entry'!$B$6:$B$200,{"Confirmed";"Probable"},'Data entry'!$AQ$6:$AQ$200,'Data Validation'!$V$9, 'Data entry'!$AP$6:$AP$200,'Data Validation'!$U$4, 'Data entry'!$BD$6:$BD$200,"&lt;&gt;*Negative*"))</f>
        <v>0</v>
      </c>
      <c r="BR125" s="15">
        <f>SUM(COUNTIFS('Data entry'!$R$6:$R$200,'Summary Data'!$A125,'Data entry'!$B$6:$B$200,{"Confirmed";"Probable"},'Data entry'!$AQ$6:$AQ$200,'Data Validation'!$V$9, 'Data entry'!$AP$6:$AP$200,'Data Validation'!$U$5, 'Data entry'!$BD$6:$BD$200,"&lt;&gt;*Negative*"))</f>
        <v>0</v>
      </c>
      <c r="BS125" s="15">
        <f>SUM(COUNTIFS('Data entry'!$R$6:$R$200,'Summary Data'!$A125,'Data entry'!$B$6:$B$200,{"Confirmed";"Probable"},'Data entry'!$AQ$6:$AQ$200,'Data Validation'!$V$9, 'Data entry'!$AP$6:$AP$200,'Data Validation'!$U$6, 'Data entry'!$BD$6:$BD$200,"&lt;&gt;*Negative*"))</f>
        <v>0</v>
      </c>
      <c r="BT125" s="15">
        <f>SUM(COUNTIFS('Data entry'!$R$6:$R$200,'Summary Data'!$A125,'Data entry'!$B$6:$B$200,{"Confirmed";"Probable"},'Data entry'!$AQ$6:$AQ$200,'Data Validation'!$V$10, 'Data entry'!$AP$6:$AP$200,'Data Validation'!$U$2, 'Data entry'!$BD$6:$BD$200,"&lt;&gt;*Negative*"))</f>
        <v>0</v>
      </c>
      <c r="BU125" s="15">
        <f>SUM(COUNTIFS('Data entry'!$R$6:$R$200,'Summary Data'!$A125,'Data entry'!$B$6:$B$200,{"Confirmed";"Probable"},'Data entry'!$AQ$6:$AQ$200,'Data Validation'!$V$10, 'Data entry'!$AP$6:$AP$200,'Data Validation'!$U$3, 'Data entry'!$BD$6:$BD$200,"&lt;&gt;*Negative*"))</f>
        <v>0</v>
      </c>
      <c r="BV125" s="15">
        <f>SUM(COUNTIFS('Data entry'!$R$6:$R$200,'Summary Data'!$A125,'Data entry'!$B$6:$B$200,{"Confirmed";"Probable"},'Data entry'!$AQ$6:$AQ$200,'Data Validation'!$V$10, 'Data entry'!$AP$6:$AP$200,'Data Validation'!$U$4, 'Data entry'!$BD$6:$BD$200,"&lt;&gt;*Negative*"))</f>
        <v>0</v>
      </c>
      <c r="BW125" s="15">
        <f>SUM(COUNTIFS('Data entry'!$R$6:$R$200,'Summary Data'!$A125,'Data entry'!$B$6:$B$200,{"Confirmed";"Probable"},'Data entry'!$AQ$6:$AQ$200,'Data Validation'!$V$10, 'Data entry'!$AP$6:$AP$200,'Data Validation'!$U$5, 'Data entry'!$BD$6:$BD$200,"&lt;&gt;*Negative*"))</f>
        <v>0</v>
      </c>
      <c r="BX125" s="15">
        <f>SUM(COUNTIFS('Data entry'!$R$6:$R$200,'Summary Data'!$A125,'Data entry'!$B$6:$B$200,{"Confirmed";"Probable"},'Data entry'!$AQ$6:$AQ$200,'Data Validation'!$V$10, 'Data entry'!$AP$6:$AP$200,'Data Validation'!$U$6, 'Data entry'!$BD$6:$BD$200,"&lt;&gt;*Negative*"))</f>
        <v>0</v>
      </c>
      <c r="BY125" s="15">
        <f>SUM(COUNTIFS('Data entry'!$R$6:$R$200,'Summary Data'!$A125,'Data entry'!$B$6:$B$200,{"Confirmed";"Probable"},'Data entry'!$AQ$6:$AQ$200,'Data Validation'!$V$11, 'Data entry'!$AP$6:$AP$200,'Data Validation'!$U$2, 'Data entry'!$BD$6:$BD$200,"&lt;&gt;*Negative*"))</f>
        <v>0</v>
      </c>
      <c r="BZ125" s="15">
        <f>SUM(COUNTIFS('Data entry'!$R$6:$R$200,'Summary Data'!$A125,'Data entry'!$B$6:$B$200,{"Confirmed";"Probable"},'Data entry'!$AQ$6:$AQ$200,'Data Validation'!$V$11, 'Data entry'!$AP$6:$AP$200,'Data Validation'!$U$3, 'Data entry'!$BD$6:$BD$200,"&lt;&gt;*Negative*"))</f>
        <v>0</v>
      </c>
      <c r="CA125" s="15">
        <f>SUM(COUNTIFS('Data entry'!$R$6:$R$200,'Summary Data'!$A125,'Data entry'!$B$6:$B$200,{"Confirmed";"Probable"},'Data entry'!$AQ$6:$AQ$200,'Data Validation'!$V$11, 'Data entry'!$AP$6:$AP$200,'Data Validation'!$U$4, 'Data entry'!$BD$6:$BD$200,"&lt;&gt;*Negative*"))</f>
        <v>0</v>
      </c>
      <c r="CB125" s="15">
        <f>SUM(COUNTIFS('Data entry'!$R$6:$R$200,'Summary Data'!$A125,'Data entry'!$B$6:$B$200,{"Confirmed";"Probable"},'Data entry'!$AQ$6:$AQ$200,'Data Validation'!$V$11, 'Data entry'!$AP$6:$AP$200,'Data Validation'!$U$5, 'Data entry'!$BD$6:$BD$200,"&lt;&gt;*Negative*"))</f>
        <v>0</v>
      </c>
      <c r="CC125" s="15">
        <f>SUM(COUNTIFS('Data entry'!$R$6:$R$200,'Summary Data'!$A125,'Data entry'!$B$6:$B$200,{"Confirmed";"Probable"},'Data entry'!$AQ$6:$AQ$200,'Data Validation'!$V$11, 'Data entry'!$AP$6:$AP$200,'Data Validation'!$U$6, 'Data entry'!$BD$6:$BD$200,"&lt;&gt;*Negative*"))</f>
        <v>0</v>
      </c>
    </row>
    <row r="126" spans="1:81" x14ac:dyDescent="0.25">
      <c r="A126" s="12">
        <f t="shared" si="9"/>
        <v>114</v>
      </c>
      <c r="B126" s="13">
        <f t="shared" si="6"/>
        <v>0</v>
      </c>
      <c r="C126" s="13">
        <f>COUNTIFS('Data entry'!$R$6:$R$200,$A126,'Data entry'!$B$6:$B$200,"Confirmed",'Data entry'!$BD$6:$BD$200,"&lt;&gt;*Negative*")</f>
        <v>0</v>
      </c>
      <c r="D126" s="13">
        <f>COUNTIFS('Data entry'!$R$6:$R$200,$A126,'Data entry'!$B$6:$B$200,"Probable",'Data entry'!$BD$6:$BD$200,"&lt;&gt;*Negative*")</f>
        <v>0</v>
      </c>
      <c r="E126" s="13">
        <f>COUNTIFS('Data entry'!$R$6:$R$200,$A126,'Data entry'!$B$6:$B$200,"DNM")</f>
        <v>0</v>
      </c>
      <c r="F126" s="13">
        <f>SUM(COUNTIFS('Data entry'!$R$6:$R$200,'Summary Data'!$A126,'Data entry'!$B$6:$B$200,{"Confirmed";"Probable"},'Data entry'!$AO$6:$AO$200,$F$10, 'Data entry'!$BD$6:$BD$200,"&lt;&gt;*Negative*"))</f>
        <v>0</v>
      </c>
      <c r="G126" s="13">
        <f>SUM(COUNTIFS('Data entry'!$R$6:$R$200,'Summary Data'!$A126,'Data entry'!$B$6:$B$200,{"Confirmed";"Probable"},'Data entry'!$AO$6:$AO$200,$G$10, 'Data entry'!$BD$6:$BD$200,"&lt;&gt;*Negative*"))</f>
        <v>0</v>
      </c>
      <c r="H126" s="13">
        <f>SUM(COUNTIFS('Data entry'!$R$6:$R$200,'Summary Data'!$A126,'Data entry'!$B$6:$B$200,{"Confirmed";"Probable"},'Data entry'!$AO$6:$AO$200,$H$10, 'Data entry'!$BD$6:$BD$200,"&lt;&gt;*Negative*"))</f>
        <v>0</v>
      </c>
      <c r="I126" s="13">
        <f>SUM(COUNTIFS('Data entry'!$R$6:$R$200,'Summary Data'!$A126,'Data entry'!$B$6:$B$200,{"Confirmed";"Probable"},'Data entry'!$AO$6:$AO$200,$I$10, 'Data entry'!$BD$6:$BD$200,"&lt;&gt;*Negative*"))</f>
        <v>0</v>
      </c>
      <c r="J126" s="13">
        <f>SUM(COUNTIFS('Data entry'!$R$6:$R$200,'Summary Data'!$A126,'Data entry'!$B$6:$B$200,{"Confirmed";"Probable"},'Data entry'!$AO$6:$AO$200,$J$10, 'Data entry'!$BD$6:$BD$200,"&lt;&gt;*Negative*"))</f>
        <v>0</v>
      </c>
      <c r="K126" s="13">
        <f>SUM(COUNTIFS('Data entry'!$R$6:$R$200,'Summary Data'!$A126,'Data entry'!$B$6:$B$200,{"Confirmed";"Probable"},'Data entry'!$AO$6:$AO$200,$K$10, 'Data entry'!$BD$6:$BD$200,"&lt;&gt;*Negative*"))</f>
        <v>0</v>
      </c>
      <c r="L126" s="13">
        <f>SUM(COUNTIFS('Data entry'!$R$6:$R$200,'Summary Data'!$A126,'Data entry'!$B$6:$B$200,{"Confirmed";"Probable"},'Data entry'!$AO$6:$AO$200,$L$10, 'Data entry'!$BD$6:$BD$200,"&lt;&gt;*Negative*"))</f>
        <v>0</v>
      </c>
      <c r="M126" s="13">
        <f>SUM(COUNTIFS('Data entry'!$R$6:$R$200,'Summary Data'!$A126,'Data entry'!$B$6:$B$200,{"Confirmed";"Probable"},'Data entry'!$AO$6:$AO$200,$M$10, 'Data entry'!$BD$6:$BD$200,"&lt;&gt;*Negative*"))</f>
        <v>0</v>
      </c>
      <c r="N126" s="13">
        <f>SUM(COUNTIFS('Data entry'!$R$6:$R$200,'Summary Data'!$A126,'Data entry'!$B$6:$B$200,{"Confirmed";"Probable"},'Data entry'!$AO$6:$AO$200,$N$10, 'Data entry'!$BD$6:$BD$200,"&lt;&gt;*Negative*"))</f>
        <v>0</v>
      </c>
      <c r="O126" s="15">
        <f t="shared" si="7"/>
        <v>0</v>
      </c>
      <c r="P126" s="15">
        <f t="shared" si="8"/>
        <v>0</v>
      </c>
      <c r="Q126" s="15">
        <f>SUM(COUNTIFS('Data entry'!$R$6:$R$200,'Summary Data'!$A126,'Data entry'!$B$6:$B$200,{"Confirmed";"Probable"},'Data entry'!$AP$6:$AP$200,'Data Validation'!$U$2, 'Data entry'!$BD$6:$BD$200,"&lt;&gt;*Negative*"))</f>
        <v>0</v>
      </c>
      <c r="R126" s="15">
        <f>SUM(COUNTIFS('Data entry'!$R$6:$R$200,'Summary Data'!$A126,'Data entry'!$B$6:$B$200,{"Confirmed";"Probable"},'Data entry'!$AP$6:$AP$200,'Data Validation'!$U$3, 'Data entry'!$BD$6:$BD$200,"&lt;&gt;*Negative*"))</f>
        <v>0</v>
      </c>
      <c r="S126" s="15">
        <f>SUM(COUNTIFS('Data entry'!$R$6:$R$200,'Summary Data'!$A126,'Data entry'!$B$6:$B$200,{"Confirmed";"Probable"},'Data entry'!$AP$6:$AP$200,'Data Validation'!$U$4, 'Data entry'!$BD$6:$BD$200,"&lt;&gt;*Negative*"))</f>
        <v>0</v>
      </c>
      <c r="T126" s="15">
        <f>SUM(COUNTIFS('Data entry'!$R$6:$R$200,'Summary Data'!$A126,'Data entry'!$B$6:$B$200,{"Confirmed";"Probable"},'Data entry'!$AP$6:$AP$200,'Data Validation'!$U$5, 'Data entry'!$BD$6:$BD$200,"&lt;&gt;*Negative*"))</f>
        <v>0</v>
      </c>
      <c r="U126" s="15">
        <f>SUM(COUNTIFS('Data entry'!$R$6:$R$200,'Summary Data'!$A126,'Data entry'!$B$6:$B$200,{"Confirmed";"Probable"},'Data entry'!$AP$6:$AP$200,'Data Validation'!$U$6, 'Data entry'!$BD$6:$BD$200,"&lt;&gt;*Negative*"))</f>
        <v>0</v>
      </c>
      <c r="V126" s="15">
        <f>SUM(COUNTIFS('Data entry'!$R$6:$R$200,'Summary Data'!$A126,'Data entry'!$B$6:$B$200,{"Confirmed";"Probable"},'Data entry'!$AQ$6:$AQ$200,'Data Validation'!$V$2, 'Data entry'!$BD$6:$BD$200,"&lt;&gt;*Negative*"))</f>
        <v>0</v>
      </c>
      <c r="W126" s="15">
        <f>SUM(COUNTIFS('Data entry'!$R$6:$R$200,'Summary Data'!$A126,'Data entry'!$B$6:$B$200,{"Confirmed";"Probable"},'Data entry'!$AQ$6:$AQ$200,'Data Validation'!$V$3, 'Data entry'!$BD$6:$BD$200,"&lt;&gt;*Negative*"))</f>
        <v>0</v>
      </c>
      <c r="X126" s="15">
        <f>SUM(COUNTIFS('Data entry'!$R$6:$R$200,'Summary Data'!$A126,'Data entry'!$B$6:$B$200,{"Confirmed";"Probable"},'Data entry'!$AQ$6:$AQ$200,'Data Validation'!$V$4, 'Data entry'!$BD$6:$BD$200,"&lt;&gt;*Negative*"))</f>
        <v>0</v>
      </c>
      <c r="Y126" s="15">
        <f>SUM(COUNTIFS('Data entry'!$R$6:$R$200,'Summary Data'!$A126,'Data entry'!$B$6:$B$200,{"Confirmed";"Probable"},'Data entry'!$AQ$6:$AQ$200,'Data Validation'!$V$5, 'Data entry'!$BD$6:$BD$200,"&lt;&gt;*Negative*"))</f>
        <v>0</v>
      </c>
      <c r="Z126" s="15">
        <f>SUM(COUNTIFS('Data entry'!$R$6:$R$200,'Summary Data'!$A126,'Data entry'!$B$6:$B$200,{"Confirmed";"Probable"},'Data entry'!$AQ$6:$AQ$200,'Data Validation'!$V$6, 'Data entry'!$BD$6:$BD$200,"&lt;&gt;*Negative*"))</f>
        <v>0</v>
      </c>
      <c r="AA126" s="15">
        <f>SUM(COUNTIFS('Data entry'!$R$6:$R$200,'Summary Data'!$A126,'Data entry'!$B$6:$B$200,{"Confirmed";"Probable"},'Data entry'!$AQ$6:$AQ$200,'Data Validation'!$V$7, 'Data entry'!$BD$6:$BD$200,"&lt;&gt;*Negative*"))</f>
        <v>0</v>
      </c>
      <c r="AB126" s="15">
        <f>SUM(COUNTIFS('Data entry'!$R$6:$R$200,'Summary Data'!$A126,'Data entry'!$B$6:$B$200,{"Confirmed";"Probable"},'Data entry'!$AQ$6:$AQ$200,'Data Validation'!$V$8, 'Data entry'!$BD$6:$BD$200,"&lt;&gt;*Negative*"))</f>
        <v>0</v>
      </c>
      <c r="AC126" s="15">
        <f>SUM(COUNTIFS('Data entry'!$R$6:$R$200,'Summary Data'!$A126,'Data entry'!$B$6:$B$200,{"Confirmed";"Probable"},'Data entry'!$AQ$6:$AQ$200,'Data Validation'!$V$9, 'Data entry'!$BD$6:$BD$200,"&lt;&gt;*Negative*"))</f>
        <v>0</v>
      </c>
      <c r="AD126" s="15">
        <f>SUM(COUNTIFS('Data entry'!$R$6:$R$200,'Summary Data'!$A126,'Data entry'!$B$6:$B$200,{"Confirmed";"Probable"},'Data entry'!$AQ$6:$AQ$200,'Data Validation'!$V$10, 'Data entry'!$BD$6:$BD$200,"&lt;&gt;*Negative*"))</f>
        <v>0</v>
      </c>
      <c r="AE126" s="15">
        <f>SUM(COUNTIFS('Data entry'!$R$6:$R$200,'Summary Data'!$A126,'Data entry'!$B$6:$B$200,{"Confirmed";"Probable"},'Data entry'!$AQ$6:$AQ$200,'Data Validation'!$V$11, 'Data entry'!$BD$6:$BD$200,"&lt;&gt;*Negative*"))</f>
        <v>0</v>
      </c>
      <c r="AF126" s="15">
        <f>SUM(COUNTIFS('Data entry'!$R$6:$R$200,'Summary Data'!$A126,'Data entry'!$B$6:$B$200,{"Confirmed";"Probable"},'Data entry'!$AQ$6:$AQ$200,'Data Validation'!$V$2, 'Data entry'!$AP$6:$AP$200,'Data Validation'!$U$2, 'Data entry'!$BD$6:$BD$200,"&lt;&gt;*Negative*"))</f>
        <v>0</v>
      </c>
      <c r="AG126" s="15">
        <f>SUM(COUNTIFS('Data entry'!$R$6:$R$200,'Summary Data'!$A126,'Data entry'!$B$6:$B$200,{"Confirmed";"Probable"},'Data entry'!$AQ$6:$AQ$200,'Data Validation'!$V$2, 'Data entry'!$AP$6:$AP$200,'Data Validation'!$U$3, 'Data entry'!$BD$6:$BD$200,"&lt;&gt;*Negative*"))</f>
        <v>0</v>
      </c>
      <c r="AH126" s="15">
        <f>SUM(COUNTIFS('Data entry'!$R$6:$R$200,'Summary Data'!$A126,'Data entry'!$B$6:$B$200,{"Confirmed";"Probable"},'Data entry'!$AQ$6:$AQ$200,'Data Validation'!$V$2, 'Data entry'!$AP$6:$AP$200,'Data Validation'!$U$4, 'Data entry'!$BD$6:$BD$200,"&lt;&gt;*Negative*"))</f>
        <v>0</v>
      </c>
      <c r="AI126" s="15">
        <f>SUM(COUNTIFS('Data entry'!$R$6:$R$200,'Summary Data'!$A126,'Data entry'!$B$6:$B$200,{"Confirmed";"Probable"},'Data entry'!$AQ$6:$AQ$200,'Data Validation'!$V$2, 'Data entry'!$AP$6:$AP$200,'Data Validation'!$U$5, 'Data entry'!$BD$6:$BD$200,"&lt;&gt;*Negative*"))</f>
        <v>0</v>
      </c>
      <c r="AJ126" s="15">
        <f>SUM(COUNTIFS('Data entry'!$R$6:$R$200,'Summary Data'!$A126,'Data entry'!$B$6:$B$200,{"Confirmed";"Probable"},'Data entry'!$AQ$6:$AQ$200,'Data Validation'!$V$2, 'Data entry'!$AP$6:$AP$200,'Data Validation'!$U$6, 'Data entry'!$BD$6:$BD$200,"&lt;&gt;*Negative*"))</f>
        <v>0</v>
      </c>
      <c r="AK126" s="15">
        <f>SUM(COUNTIFS('Data entry'!$R$6:$R$200,'Summary Data'!$A126,'Data entry'!$B$6:$B$200,{"Confirmed";"Probable"},'Data entry'!$AQ$6:$AQ$200,'Data Validation'!$V$3, 'Data entry'!$AP$6:$AP$200,'Data Validation'!$U$2, 'Data entry'!$BD$6:$BD$200,"&lt;&gt;*Negative*"))</f>
        <v>0</v>
      </c>
      <c r="AL126" s="15">
        <f>SUM(COUNTIFS('Data entry'!$R$6:$R$200,'Summary Data'!$A126,'Data entry'!$B$6:$B$200,{"Confirmed";"Probable"},'Data entry'!$AQ$6:$AQ$200,'Data Validation'!$V$3, 'Data entry'!$AP$6:$AP$200,'Data Validation'!$U$3, 'Data entry'!$BD$6:$BD$200,"&lt;&gt;*Negative*"))</f>
        <v>0</v>
      </c>
      <c r="AM126" s="15">
        <f>SUM(COUNTIFS('Data entry'!$R$6:$R$200,'Summary Data'!$A126,'Data entry'!$B$6:$B$200,{"Confirmed";"Probable"},'Data entry'!$AQ$6:$AQ$200,'Data Validation'!$V$3, 'Data entry'!$AP$6:$AP$200,'Data Validation'!$U$4, 'Data entry'!$BD$6:$BD$200,"&lt;&gt;*Negative*"))</f>
        <v>0</v>
      </c>
      <c r="AN126" s="15">
        <f>SUM(COUNTIFS('Data entry'!$R$6:$R$200,'Summary Data'!$A126,'Data entry'!$B$6:$B$200,{"Confirmed";"Probable"},'Data entry'!$AQ$6:$AQ$200,'Data Validation'!$V$3, 'Data entry'!$AP$6:$AP$200,'Data Validation'!$U$5, 'Data entry'!$BD$6:$BD$200,"&lt;&gt;*Negative*"))</f>
        <v>0</v>
      </c>
      <c r="AO126" s="15">
        <f>SUM(COUNTIFS('Data entry'!$R$6:$R$200,'Summary Data'!$A126,'Data entry'!$B$6:$B$200,{"Confirmed";"Probable"},'Data entry'!$AQ$6:$AQ$200,'Data Validation'!$V$3, 'Data entry'!$AP$6:$AP$200,'Data Validation'!$U$6, 'Data entry'!$BD$6:$BD$200,"&lt;&gt;*Negative*"))</f>
        <v>0</v>
      </c>
      <c r="AP126" s="15">
        <f>SUM(COUNTIFS('Data entry'!$R$6:$R$200,'Summary Data'!$A126,'Data entry'!$B$6:$B$200,{"Confirmed";"Probable"},'Data entry'!$AQ$6:$AQ$200,'Data Validation'!$V$4, 'Data entry'!$AP$6:$AP$200,'Data Validation'!$U$2, 'Data entry'!$BD$6:$BD$200,"&lt;&gt;*Negative*"))</f>
        <v>0</v>
      </c>
      <c r="AQ126" s="15">
        <f>SUM(COUNTIFS('Data entry'!$R$6:$R$200,'Summary Data'!$A126,'Data entry'!$B$6:$B$200,{"Confirmed";"Probable"},'Data entry'!$AQ$6:$AQ$200,'Data Validation'!$V$4, 'Data entry'!$AP$6:$AP$200,'Data Validation'!$U$3, 'Data entry'!$BD$6:$BD$200,"&lt;&gt;*Negative*"))</f>
        <v>0</v>
      </c>
      <c r="AR126" s="15">
        <f>SUM(COUNTIFS('Data entry'!$R$6:$R$200,'Summary Data'!$A126,'Data entry'!$B$6:$B$200,{"Confirmed";"Probable"},'Data entry'!$AQ$6:$AQ$200,'Data Validation'!$V$4, 'Data entry'!$AP$6:$AP$200,'Data Validation'!$U$4, 'Data entry'!$BD$6:$BD$200,"&lt;&gt;*Negative*"))</f>
        <v>0</v>
      </c>
      <c r="AS126" s="15">
        <f>SUM(COUNTIFS('Data entry'!$R$6:$R$200,'Summary Data'!$A126,'Data entry'!$B$6:$B$200,{"Confirmed";"Probable"},'Data entry'!$AQ$6:$AQ$200,'Data Validation'!$V$4, 'Data entry'!$AP$6:$AP$200,'Data Validation'!$U$5, 'Data entry'!$BD$6:$BD$200,"&lt;&gt;*Negative*"))</f>
        <v>0</v>
      </c>
      <c r="AT126" s="15">
        <f>SUM(COUNTIFS('Data entry'!$R$6:$R$200,'Summary Data'!$A126,'Data entry'!$B$6:$B$200,{"Confirmed";"Probable"},'Data entry'!$AQ$6:$AQ$200,'Data Validation'!$V$4, 'Data entry'!$AP$6:$AP$200,'Data Validation'!$U$6, 'Data entry'!$BD$6:$BD$200,"&lt;&gt;*Negative*"))</f>
        <v>0</v>
      </c>
      <c r="AU126" s="15">
        <f>SUM(COUNTIFS('Data entry'!$R$6:$R$200,'Summary Data'!$A126,'Data entry'!$B$6:$B$200,{"Confirmed";"Probable"},'Data entry'!$AQ$6:$AQ$200,'Data Validation'!$V$5, 'Data entry'!$AP$6:$AP$200,'Data Validation'!$U$2, 'Data entry'!$BD$6:$BD$200,"&lt;&gt;*Negative*"))</f>
        <v>0</v>
      </c>
      <c r="AV126" s="15">
        <f>SUM(COUNTIFS('Data entry'!$R$6:$R$200,'Summary Data'!$A126,'Data entry'!$B$6:$B$200,{"Confirmed";"Probable"},'Data entry'!$AQ$6:$AQ$200,'Data Validation'!$V$5, 'Data entry'!$AP$6:$AP$200,'Data Validation'!$U$3, 'Data entry'!$BD$6:$BD$200,"&lt;&gt;*Negative*"))</f>
        <v>0</v>
      </c>
      <c r="AW126" s="15">
        <f>SUM(COUNTIFS('Data entry'!$R$6:$R$200,'Summary Data'!$A126,'Data entry'!$B$6:$B$200,{"Confirmed";"Probable"},'Data entry'!$AQ$6:$AQ$200,'Data Validation'!$V$5, 'Data entry'!$AP$6:$AP$200,'Data Validation'!$U$4, 'Data entry'!$BD$6:$BD$200,"&lt;&gt;*Negative*"))</f>
        <v>0</v>
      </c>
      <c r="AX126" s="15">
        <f>SUM(COUNTIFS('Data entry'!$R$6:$R$200,'Summary Data'!$A126,'Data entry'!$B$6:$B$200,{"Confirmed";"Probable"},'Data entry'!$AQ$6:$AQ$200,'Data Validation'!$V$5, 'Data entry'!$AP$6:$AP$200,'Data Validation'!$U$5, 'Data entry'!$BD$6:$BD$200,"&lt;&gt;*Negative*"))</f>
        <v>0</v>
      </c>
      <c r="AY126" s="15">
        <f>SUM(COUNTIFS('Data entry'!$R$6:$R$200,'Summary Data'!$A126,'Data entry'!$B$6:$B$200,{"Confirmed";"Probable"},'Data entry'!$AQ$6:$AQ$200,'Data Validation'!$V$5, 'Data entry'!$AP$6:$AP$200,'Data Validation'!$U$6, 'Data entry'!$BD$6:$BD$200,"&lt;&gt;*Negative*"))</f>
        <v>0</v>
      </c>
      <c r="AZ126" s="15">
        <f>SUM(COUNTIFS('Data entry'!$R$6:$R$200,'Summary Data'!$A126,'Data entry'!$B$6:$B$200,{"Confirmed";"Probable"},'Data entry'!$AQ$6:$AQ$200,'Data Validation'!$V$6, 'Data entry'!$AP$6:$AP$200,'Data Validation'!$U$2, 'Data entry'!$BD$6:$BD$200,"&lt;&gt;*Negative*"))</f>
        <v>0</v>
      </c>
      <c r="BA126" s="15">
        <f>SUM(COUNTIFS('Data entry'!$R$6:$R$200,'Summary Data'!$A126,'Data entry'!$B$6:$B$200,{"Confirmed";"Probable"},'Data entry'!$AQ$6:$AQ$200,'Data Validation'!$V$6, 'Data entry'!$AP$6:$AP$200,'Data Validation'!$U$3, 'Data entry'!$BD$6:$BD$200,"&lt;&gt;*Negative*"))</f>
        <v>0</v>
      </c>
      <c r="BB126" s="15">
        <f>SUM(COUNTIFS('Data entry'!$R$6:$R$200,'Summary Data'!$A126,'Data entry'!$B$6:$B$200,{"Confirmed";"Probable"},'Data entry'!$AQ$6:$AQ$200,'Data Validation'!$V$6, 'Data entry'!$AP$6:$AP$200,'Data Validation'!$U$4, 'Data entry'!$BD$6:$BD$200,"&lt;&gt;*Negative*"))</f>
        <v>0</v>
      </c>
      <c r="BC126" s="15">
        <f>SUM(COUNTIFS('Data entry'!$R$6:$R$200,'Summary Data'!$A126,'Data entry'!$B$6:$B$200,{"Confirmed";"Probable"},'Data entry'!$AQ$6:$AQ$200,'Data Validation'!$V$6, 'Data entry'!$AP$6:$AP$200,'Data Validation'!$U$5, 'Data entry'!$BD$6:$BD$200,"&lt;&gt;*Negative*"))</f>
        <v>0</v>
      </c>
      <c r="BD126" s="15">
        <f>SUM(COUNTIFS('Data entry'!$R$6:$R$200,'Summary Data'!$A126,'Data entry'!$B$6:$B$200,{"Confirmed";"Probable"},'Data entry'!$AQ$6:$AQ$200,'Data Validation'!$V$6, 'Data entry'!$AP$6:$AP$200,'Data Validation'!$U$6, 'Data entry'!$BD$6:$BD$200,"&lt;&gt;*Negative*"))</f>
        <v>0</v>
      </c>
      <c r="BE126" s="15">
        <f>SUM(COUNTIFS('Data entry'!$R$6:$R$200,'Summary Data'!$A126,'Data entry'!$B$6:$B$200,{"Confirmed";"Probable"},'Data entry'!$AQ$6:$AQ$200,'Data Validation'!$V$7, 'Data entry'!$AP$6:$AP$200,'Data Validation'!$U$2, 'Data entry'!$BD$6:$BD$200,"&lt;&gt;*Negative*"))</f>
        <v>0</v>
      </c>
      <c r="BF126" s="15">
        <f>SUM(COUNTIFS('Data entry'!$R$6:$R$200,'Summary Data'!$A126,'Data entry'!$B$6:$B$200,{"Confirmed";"Probable"},'Data entry'!$AQ$6:$AQ$200,'Data Validation'!$V$7, 'Data entry'!$AP$6:$AP$200,'Data Validation'!$U$3, 'Data entry'!$BD$6:$BD$200,"&lt;&gt;*Negative*"))</f>
        <v>0</v>
      </c>
      <c r="BG126" s="15">
        <f>SUM(COUNTIFS('Data entry'!$R$6:$R$200,'Summary Data'!$A126,'Data entry'!$B$6:$B$200,{"Confirmed";"Probable"},'Data entry'!$AQ$6:$AQ$200,'Data Validation'!$V$7, 'Data entry'!$AP$6:$AP$200,'Data Validation'!$U$4, 'Data entry'!$BD$6:$BD$200,"&lt;&gt;*Negative*"))</f>
        <v>0</v>
      </c>
      <c r="BH126" s="15">
        <f>SUM(COUNTIFS('Data entry'!$R$6:$R$200,'Summary Data'!$A126,'Data entry'!$B$6:$B$200,{"Confirmed";"Probable"},'Data entry'!$AQ$6:$AQ$200,'Data Validation'!$V$7, 'Data entry'!$AP$6:$AP$200,'Data Validation'!$U$5, 'Data entry'!$BD$6:$BD$200,"&lt;&gt;*Negative*"))</f>
        <v>0</v>
      </c>
      <c r="BI126" s="15">
        <f>SUM(COUNTIFS('Data entry'!$R$6:$R$200,'Summary Data'!$A126,'Data entry'!$B$6:$B$200,{"Confirmed";"Probable"},'Data entry'!$AQ$6:$AQ$200,'Data Validation'!$V$7, 'Data entry'!$AP$6:$AP$200,'Data Validation'!$U$6, 'Data entry'!$BD$6:$BD$200,"&lt;&gt;*Negative*"))</f>
        <v>0</v>
      </c>
      <c r="BJ126" s="15">
        <f>SUM(COUNTIFS('Data entry'!$R$6:$R$200,'Summary Data'!$A126,'Data entry'!$B$6:$B$200,{"Confirmed";"Probable"},'Data entry'!$AQ$6:$AQ$200,'Data Validation'!$V$8, 'Data entry'!$AP$6:$AP$200,'Data Validation'!$U$2, 'Data entry'!$BD$6:$BD$200,"&lt;&gt;*Negative*"))</f>
        <v>0</v>
      </c>
      <c r="BK126" s="15">
        <f>SUM(COUNTIFS('Data entry'!$R$6:$R$200,'Summary Data'!$A126,'Data entry'!$B$6:$B$200,{"Confirmed";"Probable"},'Data entry'!$AQ$6:$AQ$200,'Data Validation'!$V$8, 'Data entry'!$AP$6:$AP$200,'Data Validation'!$U$3, 'Data entry'!$BD$6:$BD$200,"&lt;&gt;*Negative*"))</f>
        <v>0</v>
      </c>
      <c r="BL126" s="15">
        <f>SUM(COUNTIFS('Data entry'!$R$6:$R$200,'Summary Data'!$A126,'Data entry'!$B$6:$B$200,{"Confirmed";"Probable"},'Data entry'!$AQ$6:$AQ$200,'Data Validation'!$V$8, 'Data entry'!$AP$6:$AP$200,'Data Validation'!$U$4, 'Data entry'!$BD$6:$BD$200,"&lt;&gt;*Negative*"))</f>
        <v>0</v>
      </c>
      <c r="BM126" s="15">
        <f>SUM(COUNTIFS('Data entry'!$R$6:$R$200,'Summary Data'!$A126,'Data entry'!$B$6:$B$200,{"Confirmed";"Probable"},'Data entry'!$AQ$6:$AQ$200,'Data Validation'!$V$8, 'Data entry'!$AP$6:$AP$200,'Data Validation'!$U$5, 'Data entry'!$BD$6:$BD$200,"&lt;&gt;*Negative*"))</f>
        <v>0</v>
      </c>
      <c r="BN126" s="15">
        <f>SUM(COUNTIFS('Data entry'!$R$6:$R$200,'Summary Data'!$A126,'Data entry'!$B$6:$B$200,{"Confirmed";"Probable"},'Data entry'!$AQ$6:$AQ$200,'Data Validation'!$V$8, 'Data entry'!$AP$6:$AP$200,'Data Validation'!$U$6, 'Data entry'!$BD$6:$BD$200,"&lt;&gt;*Negative*"))</f>
        <v>0</v>
      </c>
      <c r="BO126" s="15">
        <f>SUM(COUNTIFS('Data entry'!$R$6:$R$200,'Summary Data'!$A126,'Data entry'!$B$6:$B$200,{"Confirmed";"Probable"},'Data entry'!$AQ$6:$AQ$200,'Data Validation'!$V$9, 'Data entry'!$AP$6:$AP$200,'Data Validation'!$U$2, 'Data entry'!$BD$6:$BD$200,"&lt;&gt;*Negative*"))</f>
        <v>0</v>
      </c>
      <c r="BP126" s="15">
        <f>SUM(COUNTIFS('Data entry'!$R$6:$R$200,'Summary Data'!$A126,'Data entry'!$B$6:$B$200,{"Confirmed";"Probable"},'Data entry'!$AQ$6:$AQ$200,'Data Validation'!$V$9, 'Data entry'!$AP$6:$AP$200,'Data Validation'!$U$3, 'Data entry'!$BD$6:$BD$200,"&lt;&gt;*Negative*"))</f>
        <v>0</v>
      </c>
      <c r="BQ126" s="15">
        <f>SUM(COUNTIFS('Data entry'!$R$6:$R$200,'Summary Data'!$A126,'Data entry'!$B$6:$B$200,{"Confirmed";"Probable"},'Data entry'!$AQ$6:$AQ$200,'Data Validation'!$V$9, 'Data entry'!$AP$6:$AP$200,'Data Validation'!$U$4, 'Data entry'!$BD$6:$BD$200,"&lt;&gt;*Negative*"))</f>
        <v>0</v>
      </c>
      <c r="BR126" s="15">
        <f>SUM(COUNTIFS('Data entry'!$R$6:$R$200,'Summary Data'!$A126,'Data entry'!$B$6:$B$200,{"Confirmed";"Probable"},'Data entry'!$AQ$6:$AQ$200,'Data Validation'!$V$9, 'Data entry'!$AP$6:$AP$200,'Data Validation'!$U$5, 'Data entry'!$BD$6:$BD$200,"&lt;&gt;*Negative*"))</f>
        <v>0</v>
      </c>
      <c r="BS126" s="15">
        <f>SUM(COUNTIFS('Data entry'!$R$6:$R$200,'Summary Data'!$A126,'Data entry'!$B$6:$B$200,{"Confirmed";"Probable"},'Data entry'!$AQ$6:$AQ$200,'Data Validation'!$V$9, 'Data entry'!$AP$6:$AP$200,'Data Validation'!$U$6, 'Data entry'!$BD$6:$BD$200,"&lt;&gt;*Negative*"))</f>
        <v>0</v>
      </c>
      <c r="BT126" s="15">
        <f>SUM(COUNTIFS('Data entry'!$R$6:$R$200,'Summary Data'!$A126,'Data entry'!$B$6:$B$200,{"Confirmed";"Probable"},'Data entry'!$AQ$6:$AQ$200,'Data Validation'!$V$10, 'Data entry'!$AP$6:$AP$200,'Data Validation'!$U$2, 'Data entry'!$BD$6:$BD$200,"&lt;&gt;*Negative*"))</f>
        <v>0</v>
      </c>
      <c r="BU126" s="15">
        <f>SUM(COUNTIFS('Data entry'!$R$6:$R$200,'Summary Data'!$A126,'Data entry'!$B$6:$B$200,{"Confirmed";"Probable"},'Data entry'!$AQ$6:$AQ$200,'Data Validation'!$V$10, 'Data entry'!$AP$6:$AP$200,'Data Validation'!$U$3, 'Data entry'!$BD$6:$BD$200,"&lt;&gt;*Negative*"))</f>
        <v>0</v>
      </c>
      <c r="BV126" s="15">
        <f>SUM(COUNTIFS('Data entry'!$R$6:$R$200,'Summary Data'!$A126,'Data entry'!$B$6:$B$200,{"Confirmed";"Probable"},'Data entry'!$AQ$6:$AQ$200,'Data Validation'!$V$10, 'Data entry'!$AP$6:$AP$200,'Data Validation'!$U$4, 'Data entry'!$BD$6:$BD$200,"&lt;&gt;*Negative*"))</f>
        <v>0</v>
      </c>
      <c r="BW126" s="15">
        <f>SUM(COUNTIFS('Data entry'!$R$6:$R$200,'Summary Data'!$A126,'Data entry'!$B$6:$B$200,{"Confirmed";"Probable"},'Data entry'!$AQ$6:$AQ$200,'Data Validation'!$V$10, 'Data entry'!$AP$6:$AP$200,'Data Validation'!$U$5, 'Data entry'!$BD$6:$BD$200,"&lt;&gt;*Negative*"))</f>
        <v>0</v>
      </c>
      <c r="BX126" s="15">
        <f>SUM(COUNTIFS('Data entry'!$R$6:$R$200,'Summary Data'!$A126,'Data entry'!$B$6:$B$200,{"Confirmed";"Probable"},'Data entry'!$AQ$6:$AQ$200,'Data Validation'!$V$10, 'Data entry'!$AP$6:$AP$200,'Data Validation'!$U$6, 'Data entry'!$BD$6:$BD$200,"&lt;&gt;*Negative*"))</f>
        <v>0</v>
      </c>
      <c r="BY126" s="15">
        <f>SUM(COUNTIFS('Data entry'!$R$6:$R$200,'Summary Data'!$A126,'Data entry'!$B$6:$B$200,{"Confirmed";"Probable"},'Data entry'!$AQ$6:$AQ$200,'Data Validation'!$V$11, 'Data entry'!$AP$6:$AP$200,'Data Validation'!$U$2, 'Data entry'!$BD$6:$BD$200,"&lt;&gt;*Negative*"))</f>
        <v>0</v>
      </c>
      <c r="BZ126" s="15">
        <f>SUM(COUNTIFS('Data entry'!$R$6:$R$200,'Summary Data'!$A126,'Data entry'!$B$6:$B$200,{"Confirmed";"Probable"},'Data entry'!$AQ$6:$AQ$200,'Data Validation'!$V$11, 'Data entry'!$AP$6:$AP$200,'Data Validation'!$U$3, 'Data entry'!$BD$6:$BD$200,"&lt;&gt;*Negative*"))</f>
        <v>0</v>
      </c>
      <c r="CA126" s="15">
        <f>SUM(COUNTIFS('Data entry'!$R$6:$R$200,'Summary Data'!$A126,'Data entry'!$B$6:$B$200,{"Confirmed";"Probable"},'Data entry'!$AQ$6:$AQ$200,'Data Validation'!$V$11, 'Data entry'!$AP$6:$AP$200,'Data Validation'!$U$4, 'Data entry'!$BD$6:$BD$200,"&lt;&gt;*Negative*"))</f>
        <v>0</v>
      </c>
      <c r="CB126" s="15">
        <f>SUM(COUNTIFS('Data entry'!$R$6:$R$200,'Summary Data'!$A126,'Data entry'!$B$6:$B$200,{"Confirmed";"Probable"},'Data entry'!$AQ$6:$AQ$200,'Data Validation'!$V$11, 'Data entry'!$AP$6:$AP$200,'Data Validation'!$U$5, 'Data entry'!$BD$6:$BD$200,"&lt;&gt;*Negative*"))</f>
        <v>0</v>
      </c>
      <c r="CC126" s="15">
        <f>SUM(COUNTIFS('Data entry'!$R$6:$R$200,'Summary Data'!$A126,'Data entry'!$B$6:$B$200,{"Confirmed";"Probable"},'Data entry'!$AQ$6:$AQ$200,'Data Validation'!$V$11, 'Data entry'!$AP$6:$AP$200,'Data Validation'!$U$6, 'Data entry'!$BD$6:$BD$200,"&lt;&gt;*Negative*"))</f>
        <v>0</v>
      </c>
    </row>
    <row r="127" spans="1:81" x14ac:dyDescent="0.25">
      <c r="A127" s="12">
        <f t="shared" si="9"/>
        <v>115</v>
      </c>
      <c r="B127" s="13">
        <f t="shared" si="6"/>
        <v>0</v>
      </c>
      <c r="C127" s="13">
        <f>COUNTIFS('Data entry'!$R$6:$R$200,$A127,'Data entry'!$B$6:$B$200,"Confirmed",'Data entry'!$BD$6:$BD$200,"&lt;&gt;*Negative*")</f>
        <v>0</v>
      </c>
      <c r="D127" s="13">
        <f>COUNTIFS('Data entry'!$R$6:$R$200,$A127,'Data entry'!$B$6:$B$200,"Probable",'Data entry'!$BD$6:$BD$200,"&lt;&gt;*Negative*")</f>
        <v>0</v>
      </c>
      <c r="E127" s="13">
        <f>COUNTIFS('Data entry'!$R$6:$R$200,$A127,'Data entry'!$B$6:$B$200,"DNM")</f>
        <v>0</v>
      </c>
      <c r="F127" s="13">
        <f>SUM(COUNTIFS('Data entry'!$R$6:$R$200,'Summary Data'!$A127,'Data entry'!$B$6:$B$200,{"Confirmed";"Probable"},'Data entry'!$AO$6:$AO$200,$F$10, 'Data entry'!$BD$6:$BD$200,"&lt;&gt;*Negative*"))</f>
        <v>0</v>
      </c>
      <c r="G127" s="13">
        <f>SUM(COUNTIFS('Data entry'!$R$6:$R$200,'Summary Data'!$A127,'Data entry'!$B$6:$B$200,{"Confirmed";"Probable"},'Data entry'!$AO$6:$AO$200,$G$10, 'Data entry'!$BD$6:$BD$200,"&lt;&gt;*Negative*"))</f>
        <v>0</v>
      </c>
      <c r="H127" s="13">
        <f>SUM(COUNTIFS('Data entry'!$R$6:$R$200,'Summary Data'!$A127,'Data entry'!$B$6:$B$200,{"Confirmed";"Probable"},'Data entry'!$AO$6:$AO$200,$H$10, 'Data entry'!$BD$6:$BD$200,"&lt;&gt;*Negative*"))</f>
        <v>0</v>
      </c>
      <c r="I127" s="13">
        <f>SUM(COUNTIFS('Data entry'!$R$6:$R$200,'Summary Data'!$A127,'Data entry'!$B$6:$B$200,{"Confirmed";"Probable"},'Data entry'!$AO$6:$AO$200,$I$10, 'Data entry'!$BD$6:$BD$200,"&lt;&gt;*Negative*"))</f>
        <v>0</v>
      </c>
      <c r="J127" s="13">
        <f>SUM(COUNTIFS('Data entry'!$R$6:$R$200,'Summary Data'!$A127,'Data entry'!$B$6:$B$200,{"Confirmed";"Probable"},'Data entry'!$AO$6:$AO$200,$J$10, 'Data entry'!$BD$6:$BD$200,"&lt;&gt;*Negative*"))</f>
        <v>0</v>
      </c>
      <c r="K127" s="13">
        <f>SUM(COUNTIFS('Data entry'!$R$6:$R$200,'Summary Data'!$A127,'Data entry'!$B$6:$B$200,{"Confirmed";"Probable"},'Data entry'!$AO$6:$AO$200,$K$10, 'Data entry'!$BD$6:$BD$200,"&lt;&gt;*Negative*"))</f>
        <v>0</v>
      </c>
      <c r="L127" s="13">
        <f>SUM(COUNTIFS('Data entry'!$R$6:$R$200,'Summary Data'!$A127,'Data entry'!$B$6:$B$200,{"Confirmed";"Probable"},'Data entry'!$AO$6:$AO$200,$L$10, 'Data entry'!$BD$6:$BD$200,"&lt;&gt;*Negative*"))</f>
        <v>0</v>
      </c>
      <c r="M127" s="13">
        <f>SUM(COUNTIFS('Data entry'!$R$6:$R$200,'Summary Data'!$A127,'Data entry'!$B$6:$B$200,{"Confirmed";"Probable"},'Data entry'!$AO$6:$AO$200,$M$10, 'Data entry'!$BD$6:$BD$200,"&lt;&gt;*Negative*"))</f>
        <v>0</v>
      </c>
      <c r="N127" s="13">
        <f>SUM(COUNTIFS('Data entry'!$R$6:$R$200,'Summary Data'!$A127,'Data entry'!$B$6:$B$200,{"Confirmed";"Probable"},'Data entry'!$AO$6:$AO$200,$N$10, 'Data entry'!$BD$6:$BD$200,"&lt;&gt;*Negative*"))</f>
        <v>0</v>
      </c>
      <c r="O127" s="15">
        <f t="shared" si="7"/>
        <v>0</v>
      </c>
      <c r="P127" s="15">
        <f t="shared" si="8"/>
        <v>0</v>
      </c>
      <c r="Q127" s="15">
        <f>SUM(COUNTIFS('Data entry'!$R$6:$R$200,'Summary Data'!$A127,'Data entry'!$B$6:$B$200,{"Confirmed";"Probable"},'Data entry'!$AP$6:$AP$200,'Data Validation'!$U$2, 'Data entry'!$BD$6:$BD$200,"&lt;&gt;*Negative*"))</f>
        <v>0</v>
      </c>
      <c r="R127" s="15">
        <f>SUM(COUNTIFS('Data entry'!$R$6:$R$200,'Summary Data'!$A127,'Data entry'!$B$6:$B$200,{"Confirmed";"Probable"},'Data entry'!$AP$6:$AP$200,'Data Validation'!$U$3, 'Data entry'!$BD$6:$BD$200,"&lt;&gt;*Negative*"))</f>
        <v>0</v>
      </c>
      <c r="S127" s="15">
        <f>SUM(COUNTIFS('Data entry'!$R$6:$R$200,'Summary Data'!$A127,'Data entry'!$B$6:$B$200,{"Confirmed";"Probable"},'Data entry'!$AP$6:$AP$200,'Data Validation'!$U$4, 'Data entry'!$BD$6:$BD$200,"&lt;&gt;*Negative*"))</f>
        <v>0</v>
      </c>
      <c r="T127" s="15">
        <f>SUM(COUNTIFS('Data entry'!$R$6:$R$200,'Summary Data'!$A127,'Data entry'!$B$6:$B$200,{"Confirmed";"Probable"},'Data entry'!$AP$6:$AP$200,'Data Validation'!$U$5, 'Data entry'!$BD$6:$BD$200,"&lt;&gt;*Negative*"))</f>
        <v>0</v>
      </c>
      <c r="U127" s="15">
        <f>SUM(COUNTIFS('Data entry'!$R$6:$R$200,'Summary Data'!$A127,'Data entry'!$B$6:$B$200,{"Confirmed";"Probable"},'Data entry'!$AP$6:$AP$200,'Data Validation'!$U$6, 'Data entry'!$BD$6:$BD$200,"&lt;&gt;*Negative*"))</f>
        <v>0</v>
      </c>
      <c r="V127" s="15">
        <f>SUM(COUNTIFS('Data entry'!$R$6:$R$200,'Summary Data'!$A127,'Data entry'!$B$6:$B$200,{"Confirmed";"Probable"},'Data entry'!$AQ$6:$AQ$200,'Data Validation'!$V$2, 'Data entry'!$BD$6:$BD$200,"&lt;&gt;*Negative*"))</f>
        <v>0</v>
      </c>
      <c r="W127" s="15">
        <f>SUM(COUNTIFS('Data entry'!$R$6:$R$200,'Summary Data'!$A127,'Data entry'!$B$6:$B$200,{"Confirmed";"Probable"},'Data entry'!$AQ$6:$AQ$200,'Data Validation'!$V$3, 'Data entry'!$BD$6:$BD$200,"&lt;&gt;*Negative*"))</f>
        <v>0</v>
      </c>
      <c r="X127" s="15">
        <f>SUM(COUNTIFS('Data entry'!$R$6:$R$200,'Summary Data'!$A127,'Data entry'!$B$6:$B$200,{"Confirmed";"Probable"},'Data entry'!$AQ$6:$AQ$200,'Data Validation'!$V$4, 'Data entry'!$BD$6:$BD$200,"&lt;&gt;*Negative*"))</f>
        <v>0</v>
      </c>
      <c r="Y127" s="15">
        <f>SUM(COUNTIFS('Data entry'!$R$6:$R$200,'Summary Data'!$A127,'Data entry'!$B$6:$B$200,{"Confirmed";"Probable"},'Data entry'!$AQ$6:$AQ$200,'Data Validation'!$V$5, 'Data entry'!$BD$6:$BD$200,"&lt;&gt;*Negative*"))</f>
        <v>0</v>
      </c>
      <c r="Z127" s="15">
        <f>SUM(COUNTIFS('Data entry'!$R$6:$R$200,'Summary Data'!$A127,'Data entry'!$B$6:$B$200,{"Confirmed";"Probable"},'Data entry'!$AQ$6:$AQ$200,'Data Validation'!$V$6, 'Data entry'!$BD$6:$BD$200,"&lt;&gt;*Negative*"))</f>
        <v>0</v>
      </c>
      <c r="AA127" s="15">
        <f>SUM(COUNTIFS('Data entry'!$R$6:$R$200,'Summary Data'!$A127,'Data entry'!$B$6:$B$200,{"Confirmed";"Probable"},'Data entry'!$AQ$6:$AQ$200,'Data Validation'!$V$7, 'Data entry'!$BD$6:$BD$200,"&lt;&gt;*Negative*"))</f>
        <v>0</v>
      </c>
      <c r="AB127" s="15">
        <f>SUM(COUNTIFS('Data entry'!$R$6:$R$200,'Summary Data'!$A127,'Data entry'!$B$6:$B$200,{"Confirmed";"Probable"},'Data entry'!$AQ$6:$AQ$200,'Data Validation'!$V$8, 'Data entry'!$BD$6:$BD$200,"&lt;&gt;*Negative*"))</f>
        <v>0</v>
      </c>
      <c r="AC127" s="15">
        <f>SUM(COUNTIFS('Data entry'!$R$6:$R$200,'Summary Data'!$A127,'Data entry'!$B$6:$B$200,{"Confirmed";"Probable"},'Data entry'!$AQ$6:$AQ$200,'Data Validation'!$V$9, 'Data entry'!$BD$6:$BD$200,"&lt;&gt;*Negative*"))</f>
        <v>0</v>
      </c>
      <c r="AD127" s="15">
        <f>SUM(COUNTIFS('Data entry'!$R$6:$R$200,'Summary Data'!$A127,'Data entry'!$B$6:$B$200,{"Confirmed";"Probable"},'Data entry'!$AQ$6:$AQ$200,'Data Validation'!$V$10, 'Data entry'!$BD$6:$BD$200,"&lt;&gt;*Negative*"))</f>
        <v>0</v>
      </c>
      <c r="AE127" s="15">
        <f>SUM(COUNTIFS('Data entry'!$R$6:$R$200,'Summary Data'!$A127,'Data entry'!$B$6:$B$200,{"Confirmed";"Probable"},'Data entry'!$AQ$6:$AQ$200,'Data Validation'!$V$11, 'Data entry'!$BD$6:$BD$200,"&lt;&gt;*Negative*"))</f>
        <v>0</v>
      </c>
      <c r="AF127" s="15">
        <f>SUM(COUNTIFS('Data entry'!$R$6:$R$200,'Summary Data'!$A127,'Data entry'!$B$6:$B$200,{"Confirmed";"Probable"},'Data entry'!$AQ$6:$AQ$200,'Data Validation'!$V$2, 'Data entry'!$AP$6:$AP$200,'Data Validation'!$U$2, 'Data entry'!$BD$6:$BD$200,"&lt;&gt;*Negative*"))</f>
        <v>0</v>
      </c>
      <c r="AG127" s="15">
        <f>SUM(COUNTIFS('Data entry'!$R$6:$R$200,'Summary Data'!$A127,'Data entry'!$B$6:$B$200,{"Confirmed";"Probable"},'Data entry'!$AQ$6:$AQ$200,'Data Validation'!$V$2, 'Data entry'!$AP$6:$AP$200,'Data Validation'!$U$3, 'Data entry'!$BD$6:$BD$200,"&lt;&gt;*Negative*"))</f>
        <v>0</v>
      </c>
      <c r="AH127" s="15">
        <f>SUM(COUNTIFS('Data entry'!$R$6:$R$200,'Summary Data'!$A127,'Data entry'!$B$6:$B$200,{"Confirmed";"Probable"},'Data entry'!$AQ$6:$AQ$200,'Data Validation'!$V$2, 'Data entry'!$AP$6:$AP$200,'Data Validation'!$U$4, 'Data entry'!$BD$6:$BD$200,"&lt;&gt;*Negative*"))</f>
        <v>0</v>
      </c>
      <c r="AI127" s="15">
        <f>SUM(COUNTIFS('Data entry'!$R$6:$R$200,'Summary Data'!$A127,'Data entry'!$B$6:$B$200,{"Confirmed";"Probable"},'Data entry'!$AQ$6:$AQ$200,'Data Validation'!$V$2, 'Data entry'!$AP$6:$AP$200,'Data Validation'!$U$5, 'Data entry'!$BD$6:$BD$200,"&lt;&gt;*Negative*"))</f>
        <v>0</v>
      </c>
      <c r="AJ127" s="15">
        <f>SUM(COUNTIFS('Data entry'!$R$6:$R$200,'Summary Data'!$A127,'Data entry'!$B$6:$B$200,{"Confirmed";"Probable"},'Data entry'!$AQ$6:$AQ$200,'Data Validation'!$V$2, 'Data entry'!$AP$6:$AP$200,'Data Validation'!$U$6, 'Data entry'!$BD$6:$BD$200,"&lt;&gt;*Negative*"))</f>
        <v>0</v>
      </c>
      <c r="AK127" s="15">
        <f>SUM(COUNTIFS('Data entry'!$R$6:$R$200,'Summary Data'!$A127,'Data entry'!$B$6:$B$200,{"Confirmed";"Probable"},'Data entry'!$AQ$6:$AQ$200,'Data Validation'!$V$3, 'Data entry'!$AP$6:$AP$200,'Data Validation'!$U$2, 'Data entry'!$BD$6:$BD$200,"&lt;&gt;*Negative*"))</f>
        <v>0</v>
      </c>
      <c r="AL127" s="15">
        <f>SUM(COUNTIFS('Data entry'!$R$6:$R$200,'Summary Data'!$A127,'Data entry'!$B$6:$B$200,{"Confirmed";"Probable"},'Data entry'!$AQ$6:$AQ$200,'Data Validation'!$V$3, 'Data entry'!$AP$6:$AP$200,'Data Validation'!$U$3, 'Data entry'!$BD$6:$BD$200,"&lt;&gt;*Negative*"))</f>
        <v>0</v>
      </c>
      <c r="AM127" s="15">
        <f>SUM(COUNTIFS('Data entry'!$R$6:$R$200,'Summary Data'!$A127,'Data entry'!$B$6:$B$200,{"Confirmed";"Probable"},'Data entry'!$AQ$6:$AQ$200,'Data Validation'!$V$3, 'Data entry'!$AP$6:$AP$200,'Data Validation'!$U$4, 'Data entry'!$BD$6:$BD$200,"&lt;&gt;*Negative*"))</f>
        <v>0</v>
      </c>
      <c r="AN127" s="15">
        <f>SUM(COUNTIFS('Data entry'!$R$6:$R$200,'Summary Data'!$A127,'Data entry'!$B$6:$B$200,{"Confirmed";"Probable"},'Data entry'!$AQ$6:$AQ$200,'Data Validation'!$V$3, 'Data entry'!$AP$6:$AP$200,'Data Validation'!$U$5, 'Data entry'!$BD$6:$BD$200,"&lt;&gt;*Negative*"))</f>
        <v>0</v>
      </c>
      <c r="AO127" s="15">
        <f>SUM(COUNTIFS('Data entry'!$R$6:$R$200,'Summary Data'!$A127,'Data entry'!$B$6:$B$200,{"Confirmed";"Probable"},'Data entry'!$AQ$6:$AQ$200,'Data Validation'!$V$3, 'Data entry'!$AP$6:$AP$200,'Data Validation'!$U$6, 'Data entry'!$BD$6:$BD$200,"&lt;&gt;*Negative*"))</f>
        <v>0</v>
      </c>
      <c r="AP127" s="15">
        <f>SUM(COUNTIFS('Data entry'!$R$6:$R$200,'Summary Data'!$A127,'Data entry'!$B$6:$B$200,{"Confirmed";"Probable"},'Data entry'!$AQ$6:$AQ$200,'Data Validation'!$V$4, 'Data entry'!$AP$6:$AP$200,'Data Validation'!$U$2, 'Data entry'!$BD$6:$BD$200,"&lt;&gt;*Negative*"))</f>
        <v>0</v>
      </c>
      <c r="AQ127" s="15">
        <f>SUM(COUNTIFS('Data entry'!$R$6:$R$200,'Summary Data'!$A127,'Data entry'!$B$6:$B$200,{"Confirmed";"Probable"},'Data entry'!$AQ$6:$AQ$200,'Data Validation'!$V$4, 'Data entry'!$AP$6:$AP$200,'Data Validation'!$U$3, 'Data entry'!$BD$6:$BD$200,"&lt;&gt;*Negative*"))</f>
        <v>0</v>
      </c>
      <c r="AR127" s="15">
        <f>SUM(COUNTIFS('Data entry'!$R$6:$R$200,'Summary Data'!$A127,'Data entry'!$B$6:$B$200,{"Confirmed";"Probable"},'Data entry'!$AQ$6:$AQ$200,'Data Validation'!$V$4, 'Data entry'!$AP$6:$AP$200,'Data Validation'!$U$4, 'Data entry'!$BD$6:$BD$200,"&lt;&gt;*Negative*"))</f>
        <v>0</v>
      </c>
      <c r="AS127" s="15">
        <f>SUM(COUNTIFS('Data entry'!$R$6:$R$200,'Summary Data'!$A127,'Data entry'!$B$6:$B$200,{"Confirmed";"Probable"},'Data entry'!$AQ$6:$AQ$200,'Data Validation'!$V$4, 'Data entry'!$AP$6:$AP$200,'Data Validation'!$U$5, 'Data entry'!$BD$6:$BD$200,"&lt;&gt;*Negative*"))</f>
        <v>0</v>
      </c>
      <c r="AT127" s="15">
        <f>SUM(COUNTIFS('Data entry'!$R$6:$R$200,'Summary Data'!$A127,'Data entry'!$B$6:$B$200,{"Confirmed";"Probable"},'Data entry'!$AQ$6:$AQ$200,'Data Validation'!$V$4, 'Data entry'!$AP$6:$AP$200,'Data Validation'!$U$6, 'Data entry'!$BD$6:$BD$200,"&lt;&gt;*Negative*"))</f>
        <v>0</v>
      </c>
      <c r="AU127" s="15">
        <f>SUM(COUNTIFS('Data entry'!$R$6:$R$200,'Summary Data'!$A127,'Data entry'!$B$6:$B$200,{"Confirmed";"Probable"},'Data entry'!$AQ$6:$AQ$200,'Data Validation'!$V$5, 'Data entry'!$AP$6:$AP$200,'Data Validation'!$U$2, 'Data entry'!$BD$6:$BD$200,"&lt;&gt;*Negative*"))</f>
        <v>0</v>
      </c>
      <c r="AV127" s="15">
        <f>SUM(COUNTIFS('Data entry'!$R$6:$R$200,'Summary Data'!$A127,'Data entry'!$B$6:$B$200,{"Confirmed";"Probable"},'Data entry'!$AQ$6:$AQ$200,'Data Validation'!$V$5, 'Data entry'!$AP$6:$AP$200,'Data Validation'!$U$3, 'Data entry'!$BD$6:$BD$200,"&lt;&gt;*Negative*"))</f>
        <v>0</v>
      </c>
      <c r="AW127" s="15">
        <f>SUM(COUNTIFS('Data entry'!$R$6:$R$200,'Summary Data'!$A127,'Data entry'!$B$6:$B$200,{"Confirmed";"Probable"},'Data entry'!$AQ$6:$AQ$200,'Data Validation'!$V$5, 'Data entry'!$AP$6:$AP$200,'Data Validation'!$U$4, 'Data entry'!$BD$6:$BD$200,"&lt;&gt;*Negative*"))</f>
        <v>0</v>
      </c>
      <c r="AX127" s="15">
        <f>SUM(COUNTIFS('Data entry'!$R$6:$R$200,'Summary Data'!$A127,'Data entry'!$B$6:$B$200,{"Confirmed";"Probable"},'Data entry'!$AQ$6:$AQ$200,'Data Validation'!$V$5, 'Data entry'!$AP$6:$AP$200,'Data Validation'!$U$5, 'Data entry'!$BD$6:$BD$200,"&lt;&gt;*Negative*"))</f>
        <v>0</v>
      </c>
      <c r="AY127" s="15">
        <f>SUM(COUNTIFS('Data entry'!$R$6:$R$200,'Summary Data'!$A127,'Data entry'!$B$6:$B$200,{"Confirmed";"Probable"},'Data entry'!$AQ$6:$AQ$200,'Data Validation'!$V$5, 'Data entry'!$AP$6:$AP$200,'Data Validation'!$U$6, 'Data entry'!$BD$6:$BD$200,"&lt;&gt;*Negative*"))</f>
        <v>0</v>
      </c>
      <c r="AZ127" s="15">
        <f>SUM(COUNTIFS('Data entry'!$R$6:$R$200,'Summary Data'!$A127,'Data entry'!$B$6:$B$200,{"Confirmed";"Probable"},'Data entry'!$AQ$6:$AQ$200,'Data Validation'!$V$6, 'Data entry'!$AP$6:$AP$200,'Data Validation'!$U$2, 'Data entry'!$BD$6:$BD$200,"&lt;&gt;*Negative*"))</f>
        <v>0</v>
      </c>
      <c r="BA127" s="15">
        <f>SUM(COUNTIFS('Data entry'!$R$6:$R$200,'Summary Data'!$A127,'Data entry'!$B$6:$B$200,{"Confirmed";"Probable"},'Data entry'!$AQ$6:$AQ$200,'Data Validation'!$V$6, 'Data entry'!$AP$6:$AP$200,'Data Validation'!$U$3, 'Data entry'!$BD$6:$BD$200,"&lt;&gt;*Negative*"))</f>
        <v>0</v>
      </c>
      <c r="BB127" s="15">
        <f>SUM(COUNTIFS('Data entry'!$R$6:$R$200,'Summary Data'!$A127,'Data entry'!$B$6:$B$200,{"Confirmed";"Probable"},'Data entry'!$AQ$6:$AQ$200,'Data Validation'!$V$6, 'Data entry'!$AP$6:$AP$200,'Data Validation'!$U$4, 'Data entry'!$BD$6:$BD$200,"&lt;&gt;*Negative*"))</f>
        <v>0</v>
      </c>
      <c r="BC127" s="15">
        <f>SUM(COUNTIFS('Data entry'!$R$6:$R$200,'Summary Data'!$A127,'Data entry'!$B$6:$B$200,{"Confirmed";"Probable"},'Data entry'!$AQ$6:$AQ$200,'Data Validation'!$V$6, 'Data entry'!$AP$6:$AP$200,'Data Validation'!$U$5, 'Data entry'!$BD$6:$BD$200,"&lt;&gt;*Negative*"))</f>
        <v>0</v>
      </c>
      <c r="BD127" s="15">
        <f>SUM(COUNTIFS('Data entry'!$R$6:$R$200,'Summary Data'!$A127,'Data entry'!$B$6:$B$200,{"Confirmed";"Probable"},'Data entry'!$AQ$6:$AQ$200,'Data Validation'!$V$6, 'Data entry'!$AP$6:$AP$200,'Data Validation'!$U$6, 'Data entry'!$BD$6:$BD$200,"&lt;&gt;*Negative*"))</f>
        <v>0</v>
      </c>
      <c r="BE127" s="15">
        <f>SUM(COUNTIFS('Data entry'!$R$6:$R$200,'Summary Data'!$A127,'Data entry'!$B$6:$B$200,{"Confirmed";"Probable"},'Data entry'!$AQ$6:$AQ$200,'Data Validation'!$V$7, 'Data entry'!$AP$6:$AP$200,'Data Validation'!$U$2, 'Data entry'!$BD$6:$BD$200,"&lt;&gt;*Negative*"))</f>
        <v>0</v>
      </c>
      <c r="BF127" s="15">
        <f>SUM(COUNTIFS('Data entry'!$R$6:$R$200,'Summary Data'!$A127,'Data entry'!$B$6:$B$200,{"Confirmed";"Probable"},'Data entry'!$AQ$6:$AQ$200,'Data Validation'!$V$7, 'Data entry'!$AP$6:$AP$200,'Data Validation'!$U$3, 'Data entry'!$BD$6:$BD$200,"&lt;&gt;*Negative*"))</f>
        <v>0</v>
      </c>
      <c r="BG127" s="15">
        <f>SUM(COUNTIFS('Data entry'!$R$6:$R$200,'Summary Data'!$A127,'Data entry'!$B$6:$B$200,{"Confirmed";"Probable"},'Data entry'!$AQ$6:$AQ$200,'Data Validation'!$V$7, 'Data entry'!$AP$6:$AP$200,'Data Validation'!$U$4, 'Data entry'!$BD$6:$BD$200,"&lt;&gt;*Negative*"))</f>
        <v>0</v>
      </c>
      <c r="BH127" s="15">
        <f>SUM(COUNTIFS('Data entry'!$R$6:$R$200,'Summary Data'!$A127,'Data entry'!$B$6:$B$200,{"Confirmed";"Probable"},'Data entry'!$AQ$6:$AQ$200,'Data Validation'!$V$7, 'Data entry'!$AP$6:$AP$200,'Data Validation'!$U$5, 'Data entry'!$BD$6:$BD$200,"&lt;&gt;*Negative*"))</f>
        <v>0</v>
      </c>
      <c r="BI127" s="15">
        <f>SUM(COUNTIFS('Data entry'!$R$6:$R$200,'Summary Data'!$A127,'Data entry'!$B$6:$B$200,{"Confirmed";"Probable"},'Data entry'!$AQ$6:$AQ$200,'Data Validation'!$V$7, 'Data entry'!$AP$6:$AP$200,'Data Validation'!$U$6, 'Data entry'!$BD$6:$BD$200,"&lt;&gt;*Negative*"))</f>
        <v>0</v>
      </c>
      <c r="BJ127" s="15">
        <f>SUM(COUNTIFS('Data entry'!$R$6:$R$200,'Summary Data'!$A127,'Data entry'!$B$6:$B$200,{"Confirmed";"Probable"},'Data entry'!$AQ$6:$AQ$200,'Data Validation'!$V$8, 'Data entry'!$AP$6:$AP$200,'Data Validation'!$U$2, 'Data entry'!$BD$6:$BD$200,"&lt;&gt;*Negative*"))</f>
        <v>0</v>
      </c>
      <c r="BK127" s="15">
        <f>SUM(COUNTIFS('Data entry'!$R$6:$R$200,'Summary Data'!$A127,'Data entry'!$B$6:$B$200,{"Confirmed";"Probable"},'Data entry'!$AQ$6:$AQ$200,'Data Validation'!$V$8, 'Data entry'!$AP$6:$AP$200,'Data Validation'!$U$3, 'Data entry'!$BD$6:$BD$200,"&lt;&gt;*Negative*"))</f>
        <v>0</v>
      </c>
      <c r="BL127" s="15">
        <f>SUM(COUNTIFS('Data entry'!$R$6:$R$200,'Summary Data'!$A127,'Data entry'!$B$6:$B$200,{"Confirmed";"Probable"},'Data entry'!$AQ$6:$AQ$200,'Data Validation'!$V$8, 'Data entry'!$AP$6:$AP$200,'Data Validation'!$U$4, 'Data entry'!$BD$6:$BD$200,"&lt;&gt;*Negative*"))</f>
        <v>0</v>
      </c>
      <c r="BM127" s="15">
        <f>SUM(COUNTIFS('Data entry'!$R$6:$R$200,'Summary Data'!$A127,'Data entry'!$B$6:$B$200,{"Confirmed";"Probable"},'Data entry'!$AQ$6:$AQ$200,'Data Validation'!$V$8, 'Data entry'!$AP$6:$AP$200,'Data Validation'!$U$5, 'Data entry'!$BD$6:$BD$200,"&lt;&gt;*Negative*"))</f>
        <v>0</v>
      </c>
      <c r="BN127" s="15">
        <f>SUM(COUNTIFS('Data entry'!$R$6:$R$200,'Summary Data'!$A127,'Data entry'!$B$6:$B$200,{"Confirmed";"Probable"},'Data entry'!$AQ$6:$AQ$200,'Data Validation'!$V$8, 'Data entry'!$AP$6:$AP$200,'Data Validation'!$U$6, 'Data entry'!$BD$6:$BD$200,"&lt;&gt;*Negative*"))</f>
        <v>0</v>
      </c>
      <c r="BO127" s="15">
        <f>SUM(COUNTIFS('Data entry'!$R$6:$R$200,'Summary Data'!$A127,'Data entry'!$B$6:$B$200,{"Confirmed";"Probable"},'Data entry'!$AQ$6:$AQ$200,'Data Validation'!$V$9, 'Data entry'!$AP$6:$AP$200,'Data Validation'!$U$2, 'Data entry'!$BD$6:$BD$200,"&lt;&gt;*Negative*"))</f>
        <v>0</v>
      </c>
      <c r="BP127" s="15">
        <f>SUM(COUNTIFS('Data entry'!$R$6:$R$200,'Summary Data'!$A127,'Data entry'!$B$6:$B$200,{"Confirmed";"Probable"},'Data entry'!$AQ$6:$AQ$200,'Data Validation'!$V$9, 'Data entry'!$AP$6:$AP$200,'Data Validation'!$U$3, 'Data entry'!$BD$6:$BD$200,"&lt;&gt;*Negative*"))</f>
        <v>0</v>
      </c>
      <c r="BQ127" s="15">
        <f>SUM(COUNTIFS('Data entry'!$R$6:$R$200,'Summary Data'!$A127,'Data entry'!$B$6:$B$200,{"Confirmed";"Probable"},'Data entry'!$AQ$6:$AQ$200,'Data Validation'!$V$9, 'Data entry'!$AP$6:$AP$200,'Data Validation'!$U$4, 'Data entry'!$BD$6:$BD$200,"&lt;&gt;*Negative*"))</f>
        <v>0</v>
      </c>
      <c r="BR127" s="15">
        <f>SUM(COUNTIFS('Data entry'!$R$6:$R$200,'Summary Data'!$A127,'Data entry'!$B$6:$B$200,{"Confirmed";"Probable"},'Data entry'!$AQ$6:$AQ$200,'Data Validation'!$V$9, 'Data entry'!$AP$6:$AP$200,'Data Validation'!$U$5, 'Data entry'!$BD$6:$BD$200,"&lt;&gt;*Negative*"))</f>
        <v>0</v>
      </c>
      <c r="BS127" s="15">
        <f>SUM(COUNTIFS('Data entry'!$R$6:$R$200,'Summary Data'!$A127,'Data entry'!$B$6:$B$200,{"Confirmed";"Probable"},'Data entry'!$AQ$6:$AQ$200,'Data Validation'!$V$9, 'Data entry'!$AP$6:$AP$200,'Data Validation'!$U$6, 'Data entry'!$BD$6:$BD$200,"&lt;&gt;*Negative*"))</f>
        <v>0</v>
      </c>
      <c r="BT127" s="15">
        <f>SUM(COUNTIFS('Data entry'!$R$6:$R$200,'Summary Data'!$A127,'Data entry'!$B$6:$B$200,{"Confirmed";"Probable"},'Data entry'!$AQ$6:$AQ$200,'Data Validation'!$V$10, 'Data entry'!$AP$6:$AP$200,'Data Validation'!$U$2, 'Data entry'!$BD$6:$BD$200,"&lt;&gt;*Negative*"))</f>
        <v>0</v>
      </c>
      <c r="BU127" s="15">
        <f>SUM(COUNTIFS('Data entry'!$R$6:$R$200,'Summary Data'!$A127,'Data entry'!$B$6:$B$200,{"Confirmed";"Probable"},'Data entry'!$AQ$6:$AQ$200,'Data Validation'!$V$10, 'Data entry'!$AP$6:$AP$200,'Data Validation'!$U$3, 'Data entry'!$BD$6:$BD$200,"&lt;&gt;*Negative*"))</f>
        <v>0</v>
      </c>
      <c r="BV127" s="15">
        <f>SUM(COUNTIFS('Data entry'!$R$6:$R$200,'Summary Data'!$A127,'Data entry'!$B$6:$B$200,{"Confirmed";"Probable"},'Data entry'!$AQ$6:$AQ$200,'Data Validation'!$V$10, 'Data entry'!$AP$6:$AP$200,'Data Validation'!$U$4, 'Data entry'!$BD$6:$BD$200,"&lt;&gt;*Negative*"))</f>
        <v>0</v>
      </c>
      <c r="BW127" s="15">
        <f>SUM(COUNTIFS('Data entry'!$R$6:$R$200,'Summary Data'!$A127,'Data entry'!$B$6:$B$200,{"Confirmed";"Probable"},'Data entry'!$AQ$6:$AQ$200,'Data Validation'!$V$10, 'Data entry'!$AP$6:$AP$200,'Data Validation'!$U$5, 'Data entry'!$BD$6:$BD$200,"&lt;&gt;*Negative*"))</f>
        <v>0</v>
      </c>
      <c r="BX127" s="15">
        <f>SUM(COUNTIFS('Data entry'!$R$6:$R$200,'Summary Data'!$A127,'Data entry'!$B$6:$B$200,{"Confirmed";"Probable"},'Data entry'!$AQ$6:$AQ$200,'Data Validation'!$V$10, 'Data entry'!$AP$6:$AP$200,'Data Validation'!$U$6, 'Data entry'!$BD$6:$BD$200,"&lt;&gt;*Negative*"))</f>
        <v>0</v>
      </c>
      <c r="BY127" s="15">
        <f>SUM(COUNTIFS('Data entry'!$R$6:$R$200,'Summary Data'!$A127,'Data entry'!$B$6:$B$200,{"Confirmed";"Probable"},'Data entry'!$AQ$6:$AQ$200,'Data Validation'!$V$11, 'Data entry'!$AP$6:$AP$200,'Data Validation'!$U$2, 'Data entry'!$BD$6:$BD$200,"&lt;&gt;*Negative*"))</f>
        <v>0</v>
      </c>
      <c r="BZ127" s="15">
        <f>SUM(COUNTIFS('Data entry'!$R$6:$R$200,'Summary Data'!$A127,'Data entry'!$B$6:$B$200,{"Confirmed";"Probable"},'Data entry'!$AQ$6:$AQ$200,'Data Validation'!$V$11, 'Data entry'!$AP$6:$AP$200,'Data Validation'!$U$3, 'Data entry'!$BD$6:$BD$200,"&lt;&gt;*Negative*"))</f>
        <v>0</v>
      </c>
      <c r="CA127" s="15">
        <f>SUM(COUNTIFS('Data entry'!$R$6:$R$200,'Summary Data'!$A127,'Data entry'!$B$6:$B$200,{"Confirmed";"Probable"},'Data entry'!$AQ$6:$AQ$200,'Data Validation'!$V$11, 'Data entry'!$AP$6:$AP$200,'Data Validation'!$U$4, 'Data entry'!$BD$6:$BD$200,"&lt;&gt;*Negative*"))</f>
        <v>0</v>
      </c>
      <c r="CB127" s="15">
        <f>SUM(COUNTIFS('Data entry'!$R$6:$R$200,'Summary Data'!$A127,'Data entry'!$B$6:$B$200,{"Confirmed";"Probable"},'Data entry'!$AQ$6:$AQ$200,'Data Validation'!$V$11, 'Data entry'!$AP$6:$AP$200,'Data Validation'!$U$5, 'Data entry'!$BD$6:$BD$200,"&lt;&gt;*Negative*"))</f>
        <v>0</v>
      </c>
      <c r="CC127" s="15">
        <f>SUM(COUNTIFS('Data entry'!$R$6:$R$200,'Summary Data'!$A127,'Data entry'!$B$6:$B$200,{"Confirmed";"Probable"},'Data entry'!$AQ$6:$AQ$200,'Data Validation'!$V$11, 'Data entry'!$AP$6:$AP$200,'Data Validation'!$U$6, 'Data entry'!$BD$6:$BD$200,"&lt;&gt;*Negative*"))</f>
        <v>0</v>
      </c>
    </row>
    <row r="128" spans="1:81" x14ac:dyDescent="0.25">
      <c r="A128" s="12">
        <f t="shared" si="9"/>
        <v>116</v>
      </c>
      <c r="B128" s="13">
        <f t="shared" si="6"/>
        <v>0</v>
      </c>
      <c r="C128" s="13">
        <f>COUNTIFS('Data entry'!$R$6:$R$200,$A128,'Data entry'!$B$6:$B$200,"Confirmed",'Data entry'!$BD$6:$BD$200,"&lt;&gt;*Negative*")</f>
        <v>0</v>
      </c>
      <c r="D128" s="13">
        <f>COUNTIFS('Data entry'!$R$6:$R$200,$A128,'Data entry'!$B$6:$B$200,"Probable",'Data entry'!$BD$6:$BD$200,"&lt;&gt;*Negative*")</f>
        <v>0</v>
      </c>
      <c r="E128" s="13">
        <f>COUNTIFS('Data entry'!$R$6:$R$200,$A128,'Data entry'!$B$6:$B$200,"DNM")</f>
        <v>0</v>
      </c>
      <c r="F128" s="13">
        <f>SUM(COUNTIFS('Data entry'!$R$6:$R$200,'Summary Data'!$A128,'Data entry'!$B$6:$B$200,{"Confirmed";"Probable"},'Data entry'!$AO$6:$AO$200,$F$10, 'Data entry'!$BD$6:$BD$200,"&lt;&gt;*Negative*"))</f>
        <v>0</v>
      </c>
      <c r="G128" s="13">
        <f>SUM(COUNTIFS('Data entry'!$R$6:$R$200,'Summary Data'!$A128,'Data entry'!$B$6:$B$200,{"Confirmed";"Probable"},'Data entry'!$AO$6:$AO$200,$G$10, 'Data entry'!$BD$6:$BD$200,"&lt;&gt;*Negative*"))</f>
        <v>0</v>
      </c>
      <c r="H128" s="13">
        <f>SUM(COUNTIFS('Data entry'!$R$6:$R$200,'Summary Data'!$A128,'Data entry'!$B$6:$B$200,{"Confirmed";"Probable"},'Data entry'!$AO$6:$AO$200,$H$10, 'Data entry'!$BD$6:$BD$200,"&lt;&gt;*Negative*"))</f>
        <v>0</v>
      </c>
      <c r="I128" s="13">
        <f>SUM(COUNTIFS('Data entry'!$R$6:$R$200,'Summary Data'!$A128,'Data entry'!$B$6:$B$200,{"Confirmed";"Probable"},'Data entry'!$AO$6:$AO$200,$I$10, 'Data entry'!$BD$6:$BD$200,"&lt;&gt;*Negative*"))</f>
        <v>0</v>
      </c>
      <c r="J128" s="13">
        <f>SUM(COUNTIFS('Data entry'!$R$6:$R$200,'Summary Data'!$A128,'Data entry'!$B$6:$B$200,{"Confirmed";"Probable"},'Data entry'!$AO$6:$AO$200,$J$10, 'Data entry'!$BD$6:$BD$200,"&lt;&gt;*Negative*"))</f>
        <v>0</v>
      </c>
      <c r="K128" s="13">
        <f>SUM(COUNTIFS('Data entry'!$R$6:$R$200,'Summary Data'!$A128,'Data entry'!$B$6:$B$200,{"Confirmed";"Probable"},'Data entry'!$AO$6:$AO$200,$K$10, 'Data entry'!$BD$6:$BD$200,"&lt;&gt;*Negative*"))</f>
        <v>0</v>
      </c>
      <c r="L128" s="13">
        <f>SUM(COUNTIFS('Data entry'!$R$6:$R$200,'Summary Data'!$A128,'Data entry'!$B$6:$B$200,{"Confirmed";"Probable"},'Data entry'!$AO$6:$AO$200,$L$10, 'Data entry'!$BD$6:$BD$200,"&lt;&gt;*Negative*"))</f>
        <v>0</v>
      </c>
      <c r="M128" s="13">
        <f>SUM(COUNTIFS('Data entry'!$R$6:$R$200,'Summary Data'!$A128,'Data entry'!$B$6:$B$200,{"Confirmed";"Probable"},'Data entry'!$AO$6:$AO$200,$M$10, 'Data entry'!$BD$6:$BD$200,"&lt;&gt;*Negative*"))</f>
        <v>0</v>
      </c>
      <c r="N128" s="13">
        <f>SUM(COUNTIFS('Data entry'!$R$6:$R$200,'Summary Data'!$A128,'Data entry'!$B$6:$B$200,{"Confirmed";"Probable"},'Data entry'!$AO$6:$AO$200,$N$10, 'Data entry'!$BD$6:$BD$200,"&lt;&gt;*Negative*"))</f>
        <v>0</v>
      </c>
      <c r="O128" s="15">
        <f t="shared" si="7"/>
        <v>0</v>
      </c>
      <c r="P128" s="15">
        <f t="shared" si="8"/>
        <v>0</v>
      </c>
      <c r="Q128" s="15">
        <f>SUM(COUNTIFS('Data entry'!$R$6:$R$200,'Summary Data'!$A128,'Data entry'!$B$6:$B$200,{"Confirmed";"Probable"},'Data entry'!$AP$6:$AP$200,'Data Validation'!$U$2, 'Data entry'!$BD$6:$BD$200,"&lt;&gt;*Negative*"))</f>
        <v>0</v>
      </c>
      <c r="R128" s="15">
        <f>SUM(COUNTIFS('Data entry'!$R$6:$R$200,'Summary Data'!$A128,'Data entry'!$B$6:$B$200,{"Confirmed";"Probable"},'Data entry'!$AP$6:$AP$200,'Data Validation'!$U$3, 'Data entry'!$BD$6:$BD$200,"&lt;&gt;*Negative*"))</f>
        <v>0</v>
      </c>
      <c r="S128" s="15">
        <f>SUM(COUNTIFS('Data entry'!$R$6:$R$200,'Summary Data'!$A128,'Data entry'!$B$6:$B$200,{"Confirmed";"Probable"},'Data entry'!$AP$6:$AP$200,'Data Validation'!$U$4, 'Data entry'!$BD$6:$BD$200,"&lt;&gt;*Negative*"))</f>
        <v>0</v>
      </c>
      <c r="T128" s="15">
        <f>SUM(COUNTIFS('Data entry'!$R$6:$R$200,'Summary Data'!$A128,'Data entry'!$B$6:$B$200,{"Confirmed";"Probable"},'Data entry'!$AP$6:$AP$200,'Data Validation'!$U$5, 'Data entry'!$BD$6:$BD$200,"&lt;&gt;*Negative*"))</f>
        <v>0</v>
      </c>
      <c r="U128" s="15">
        <f>SUM(COUNTIFS('Data entry'!$R$6:$R$200,'Summary Data'!$A128,'Data entry'!$B$6:$B$200,{"Confirmed";"Probable"},'Data entry'!$AP$6:$AP$200,'Data Validation'!$U$6, 'Data entry'!$BD$6:$BD$200,"&lt;&gt;*Negative*"))</f>
        <v>0</v>
      </c>
      <c r="V128" s="15">
        <f>SUM(COUNTIFS('Data entry'!$R$6:$R$200,'Summary Data'!$A128,'Data entry'!$B$6:$B$200,{"Confirmed";"Probable"},'Data entry'!$AQ$6:$AQ$200,'Data Validation'!$V$2, 'Data entry'!$BD$6:$BD$200,"&lt;&gt;*Negative*"))</f>
        <v>0</v>
      </c>
      <c r="W128" s="15">
        <f>SUM(COUNTIFS('Data entry'!$R$6:$R$200,'Summary Data'!$A128,'Data entry'!$B$6:$B$200,{"Confirmed";"Probable"},'Data entry'!$AQ$6:$AQ$200,'Data Validation'!$V$3, 'Data entry'!$BD$6:$BD$200,"&lt;&gt;*Negative*"))</f>
        <v>0</v>
      </c>
      <c r="X128" s="15">
        <f>SUM(COUNTIFS('Data entry'!$R$6:$R$200,'Summary Data'!$A128,'Data entry'!$B$6:$B$200,{"Confirmed";"Probable"},'Data entry'!$AQ$6:$AQ$200,'Data Validation'!$V$4, 'Data entry'!$BD$6:$BD$200,"&lt;&gt;*Negative*"))</f>
        <v>0</v>
      </c>
      <c r="Y128" s="15">
        <f>SUM(COUNTIFS('Data entry'!$R$6:$R$200,'Summary Data'!$A128,'Data entry'!$B$6:$B$200,{"Confirmed";"Probable"},'Data entry'!$AQ$6:$AQ$200,'Data Validation'!$V$5, 'Data entry'!$BD$6:$BD$200,"&lt;&gt;*Negative*"))</f>
        <v>0</v>
      </c>
      <c r="Z128" s="15">
        <f>SUM(COUNTIFS('Data entry'!$R$6:$R$200,'Summary Data'!$A128,'Data entry'!$B$6:$B$200,{"Confirmed";"Probable"},'Data entry'!$AQ$6:$AQ$200,'Data Validation'!$V$6, 'Data entry'!$BD$6:$BD$200,"&lt;&gt;*Negative*"))</f>
        <v>0</v>
      </c>
      <c r="AA128" s="15">
        <f>SUM(COUNTIFS('Data entry'!$R$6:$R$200,'Summary Data'!$A128,'Data entry'!$B$6:$B$200,{"Confirmed";"Probable"},'Data entry'!$AQ$6:$AQ$200,'Data Validation'!$V$7, 'Data entry'!$BD$6:$BD$200,"&lt;&gt;*Negative*"))</f>
        <v>0</v>
      </c>
      <c r="AB128" s="15">
        <f>SUM(COUNTIFS('Data entry'!$R$6:$R$200,'Summary Data'!$A128,'Data entry'!$B$6:$B$200,{"Confirmed";"Probable"},'Data entry'!$AQ$6:$AQ$200,'Data Validation'!$V$8, 'Data entry'!$BD$6:$BD$200,"&lt;&gt;*Negative*"))</f>
        <v>0</v>
      </c>
      <c r="AC128" s="15">
        <f>SUM(COUNTIFS('Data entry'!$R$6:$R$200,'Summary Data'!$A128,'Data entry'!$B$6:$B$200,{"Confirmed";"Probable"},'Data entry'!$AQ$6:$AQ$200,'Data Validation'!$V$9, 'Data entry'!$BD$6:$BD$200,"&lt;&gt;*Negative*"))</f>
        <v>0</v>
      </c>
      <c r="AD128" s="15">
        <f>SUM(COUNTIFS('Data entry'!$R$6:$R$200,'Summary Data'!$A128,'Data entry'!$B$6:$B$200,{"Confirmed";"Probable"},'Data entry'!$AQ$6:$AQ$200,'Data Validation'!$V$10, 'Data entry'!$BD$6:$BD$200,"&lt;&gt;*Negative*"))</f>
        <v>0</v>
      </c>
      <c r="AE128" s="15">
        <f>SUM(COUNTIFS('Data entry'!$R$6:$R$200,'Summary Data'!$A128,'Data entry'!$B$6:$B$200,{"Confirmed";"Probable"},'Data entry'!$AQ$6:$AQ$200,'Data Validation'!$V$11, 'Data entry'!$BD$6:$BD$200,"&lt;&gt;*Negative*"))</f>
        <v>0</v>
      </c>
      <c r="AF128" s="15">
        <f>SUM(COUNTIFS('Data entry'!$R$6:$R$200,'Summary Data'!$A128,'Data entry'!$B$6:$B$200,{"Confirmed";"Probable"},'Data entry'!$AQ$6:$AQ$200,'Data Validation'!$V$2, 'Data entry'!$AP$6:$AP$200,'Data Validation'!$U$2, 'Data entry'!$BD$6:$BD$200,"&lt;&gt;*Negative*"))</f>
        <v>0</v>
      </c>
      <c r="AG128" s="15">
        <f>SUM(COUNTIFS('Data entry'!$R$6:$R$200,'Summary Data'!$A128,'Data entry'!$B$6:$B$200,{"Confirmed";"Probable"},'Data entry'!$AQ$6:$AQ$200,'Data Validation'!$V$2, 'Data entry'!$AP$6:$AP$200,'Data Validation'!$U$3, 'Data entry'!$BD$6:$BD$200,"&lt;&gt;*Negative*"))</f>
        <v>0</v>
      </c>
      <c r="AH128" s="15">
        <f>SUM(COUNTIFS('Data entry'!$R$6:$R$200,'Summary Data'!$A128,'Data entry'!$B$6:$B$200,{"Confirmed";"Probable"},'Data entry'!$AQ$6:$AQ$200,'Data Validation'!$V$2, 'Data entry'!$AP$6:$AP$200,'Data Validation'!$U$4, 'Data entry'!$BD$6:$BD$200,"&lt;&gt;*Negative*"))</f>
        <v>0</v>
      </c>
      <c r="AI128" s="15">
        <f>SUM(COUNTIFS('Data entry'!$R$6:$R$200,'Summary Data'!$A128,'Data entry'!$B$6:$B$200,{"Confirmed";"Probable"},'Data entry'!$AQ$6:$AQ$200,'Data Validation'!$V$2, 'Data entry'!$AP$6:$AP$200,'Data Validation'!$U$5, 'Data entry'!$BD$6:$BD$200,"&lt;&gt;*Negative*"))</f>
        <v>0</v>
      </c>
      <c r="AJ128" s="15">
        <f>SUM(COUNTIFS('Data entry'!$R$6:$R$200,'Summary Data'!$A128,'Data entry'!$B$6:$B$200,{"Confirmed";"Probable"},'Data entry'!$AQ$6:$AQ$200,'Data Validation'!$V$2, 'Data entry'!$AP$6:$AP$200,'Data Validation'!$U$6, 'Data entry'!$BD$6:$BD$200,"&lt;&gt;*Negative*"))</f>
        <v>0</v>
      </c>
      <c r="AK128" s="15">
        <f>SUM(COUNTIFS('Data entry'!$R$6:$R$200,'Summary Data'!$A128,'Data entry'!$B$6:$B$200,{"Confirmed";"Probable"},'Data entry'!$AQ$6:$AQ$200,'Data Validation'!$V$3, 'Data entry'!$AP$6:$AP$200,'Data Validation'!$U$2, 'Data entry'!$BD$6:$BD$200,"&lt;&gt;*Negative*"))</f>
        <v>0</v>
      </c>
      <c r="AL128" s="15">
        <f>SUM(COUNTIFS('Data entry'!$R$6:$R$200,'Summary Data'!$A128,'Data entry'!$B$6:$B$200,{"Confirmed";"Probable"},'Data entry'!$AQ$6:$AQ$200,'Data Validation'!$V$3, 'Data entry'!$AP$6:$AP$200,'Data Validation'!$U$3, 'Data entry'!$BD$6:$BD$200,"&lt;&gt;*Negative*"))</f>
        <v>0</v>
      </c>
      <c r="AM128" s="15">
        <f>SUM(COUNTIFS('Data entry'!$R$6:$R$200,'Summary Data'!$A128,'Data entry'!$B$6:$B$200,{"Confirmed";"Probable"},'Data entry'!$AQ$6:$AQ$200,'Data Validation'!$V$3, 'Data entry'!$AP$6:$AP$200,'Data Validation'!$U$4, 'Data entry'!$BD$6:$BD$200,"&lt;&gt;*Negative*"))</f>
        <v>0</v>
      </c>
      <c r="AN128" s="15">
        <f>SUM(COUNTIFS('Data entry'!$R$6:$R$200,'Summary Data'!$A128,'Data entry'!$B$6:$B$200,{"Confirmed";"Probable"},'Data entry'!$AQ$6:$AQ$200,'Data Validation'!$V$3, 'Data entry'!$AP$6:$AP$200,'Data Validation'!$U$5, 'Data entry'!$BD$6:$BD$200,"&lt;&gt;*Negative*"))</f>
        <v>0</v>
      </c>
      <c r="AO128" s="15">
        <f>SUM(COUNTIFS('Data entry'!$R$6:$R$200,'Summary Data'!$A128,'Data entry'!$B$6:$B$200,{"Confirmed";"Probable"},'Data entry'!$AQ$6:$AQ$200,'Data Validation'!$V$3, 'Data entry'!$AP$6:$AP$200,'Data Validation'!$U$6, 'Data entry'!$BD$6:$BD$200,"&lt;&gt;*Negative*"))</f>
        <v>0</v>
      </c>
      <c r="AP128" s="15">
        <f>SUM(COUNTIFS('Data entry'!$R$6:$R$200,'Summary Data'!$A128,'Data entry'!$B$6:$B$200,{"Confirmed";"Probable"},'Data entry'!$AQ$6:$AQ$200,'Data Validation'!$V$4, 'Data entry'!$AP$6:$AP$200,'Data Validation'!$U$2, 'Data entry'!$BD$6:$BD$200,"&lt;&gt;*Negative*"))</f>
        <v>0</v>
      </c>
      <c r="AQ128" s="15">
        <f>SUM(COUNTIFS('Data entry'!$R$6:$R$200,'Summary Data'!$A128,'Data entry'!$B$6:$B$200,{"Confirmed";"Probable"},'Data entry'!$AQ$6:$AQ$200,'Data Validation'!$V$4, 'Data entry'!$AP$6:$AP$200,'Data Validation'!$U$3, 'Data entry'!$BD$6:$BD$200,"&lt;&gt;*Negative*"))</f>
        <v>0</v>
      </c>
      <c r="AR128" s="15">
        <f>SUM(COUNTIFS('Data entry'!$R$6:$R$200,'Summary Data'!$A128,'Data entry'!$B$6:$B$200,{"Confirmed";"Probable"},'Data entry'!$AQ$6:$AQ$200,'Data Validation'!$V$4, 'Data entry'!$AP$6:$AP$200,'Data Validation'!$U$4, 'Data entry'!$BD$6:$BD$200,"&lt;&gt;*Negative*"))</f>
        <v>0</v>
      </c>
      <c r="AS128" s="15">
        <f>SUM(COUNTIFS('Data entry'!$R$6:$R$200,'Summary Data'!$A128,'Data entry'!$B$6:$B$200,{"Confirmed";"Probable"},'Data entry'!$AQ$6:$AQ$200,'Data Validation'!$V$4, 'Data entry'!$AP$6:$AP$200,'Data Validation'!$U$5, 'Data entry'!$BD$6:$BD$200,"&lt;&gt;*Negative*"))</f>
        <v>0</v>
      </c>
      <c r="AT128" s="15">
        <f>SUM(COUNTIFS('Data entry'!$R$6:$R$200,'Summary Data'!$A128,'Data entry'!$B$6:$B$200,{"Confirmed";"Probable"},'Data entry'!$AQ$6:$AQ$200,'Data Validation'!$V$4, 'Data entry'!$AP$6:$AP$200,'Data Validation'!$U$6, 'Data entry'!$BD$6:$BD$200,"&lt;&gt;*Negative*"))</f>
        <v>0</v>
      </c>
      <c r="AU128" s="15">
        <f>SUM(COUNTIFS('Data entry'!$R$6:$R$200,'Summary Data'!$A128,'Data entry'!$B$6:$B$200,{"Confirmed";"Probable"},'Data entry'!$AQ$6:$AQ$200,'Data Validation'!$V$5, 'Data entry'!$AP$6:$AP$200,'Data Validation'!$U$2, 'Data entry'!$BD$6:$BD$200,"&lt;&gt;*Negative*"))</f>
        <v>0</v>
      </c>
      <c r="AV128" s="15">
        <f>SUM(COUNTIFS('Data entry'!$R$6:$R$200,'Summary Data'!$A128,'Data entry'!$B$6:$B$200,{"Confirmed";"Probable"},'Data entry'!$AQ$6:$AQ$200,'Data Validation'!$V$5, 'Data entry'!$AP$6:$AP$200,'Data Validation'!$U$3, 'Data entry'!$BD$6:$BD$200,"&lt;&gt;*Negative*"))</f>
        <v>0</v>
      </c>
      <c r="AW128" s="15">
        <f>SUM(COUNTIFS('Data entry'!$R$6:$R$200,'Summary Data'!$A128,'Data entry'!$B$6:$B$200,{"Confirmed";"Probable"},'Data entry'!$AQ$6:$AQ$200,'Data Validation'!$V$5, 'Data entry'!$AP$6:$AP$200,'Data Validation'!$U$4, 'Data entry'!$BD$6:$BD$200,"&lt;&gt;*Negative*"))</f>
        <v>0</v>
      </c>
      <c r="AX128" s="15">
        <f>SUM(COUNTIFS('Data entry'!$R$6:$R$200,'Summary Data'!$A128,'Data entry'!$B$6:$B$200,{"Confirmed";"Probable"},'Data entry'!$AQ$6:$AQ$200,'Data Validation'!$V$5, 'Data entry'!$AP$6:$AP$200,'Data Validation'!$U$5, 'Data entry'!$BD$6:$BD$200,"&lt;&gt;*Negative*"))</f>
        <v>0</v>
      </c>
      <c r="AY128" s="15">
        <f>SUM(COUNTIFS('Data entry'!$R$6:$R$200,'Summary Data'!$A128,'Data entry'!$B$6:$B$200,{"Confirmed";"Probable"},'Data entry'!$AQ$6:$AQ$200,'Data Validation'!$V$5, 'Data entry'!$AP$6:$AP$200,'Data Validation'!$U$6, 'Data entry'!$BD$6:$BD$200,"&lt;&gt;*Negative*"))</f>
        <v>0</v>
      </c>
      <c r="AZ128" s="15">
        <f>SUM(COUNTIFS('Data entry'!$R$6:$R$200,'Summary Data'!$A128,'Data entry'!$B$6:$B$200,{"Confirmed";"Probable"},'Data entry'!$AQ$6:$AQ$200,'Data Validation'!$V$6, 'Data entry'!$AP$6:$AP$200,'Data Validation'!$U$2, 'Data entry'!$BD$6:$BD$200,"&lt;&gt;*Negative*"))</f>
        <v>0</v>
      </c>
      <c r="BA128" s="15">
        <f>SUM(COUNTIFS('Data entry'!$R$6:$R$200,'Summary Data'!$A128,'Data entry'!$B$6:$B$200,{"Confirmed";"Probable"},'Data entry'!$AQ$6:$AQ$200,'Data Validation'!$V$6, 'Data entry'!$AP$6:$AP$200,'Data Validation'!$U$3, 'Data entry'!$BD$6:$BD$200,"&lt;&gt;*Negative*"))</f>
        <v>0</v>
      </c>
      <c r="BB128" s="15">
        <f>SUM(COUNTIFS('Data entry'!$R$6:$R$200,'Summary Data'!$A128,'Data entry'!$B$6:$B$200,{"Confirmed";"Probable"},'Data entry'!$AQ$6:$AQ$200,'Data Validation'!$V$6, 'Data entry'!$AP$6:$AP$200,'Data Validation'!$U$4, 'Data entry'!$BD$6:$BD$200,"&lt;&gt;*Negative*"))</f>
        <v>0</v>
      </c>
      <c r="BC128" s="15">
        <f>SUM(COUNTIFS('Data entry'!$R$6:$R$200,'Summary Data'!$A128,'Data entry'!$B$6:$B$200,{"Confirmed";"Probable"},'Data entry'!$AQ$6:$AQ$200,'Data Validation'!$V$6, 'Data entry'!$AP$6:$AP$200,'Data Validation'!$U$5, 'Data entry'!$BD$6:$BD$200,"&lt;&gt;*Negative*"))</f>
        <v>0</v>
      </c>
      <c r="BD128" s="15">
        <f>SUM(COUNTIFS('Data entry'!$R$6:$R$200,'Summary Data'!$A128,'Data entry'!$B$6:$B$200,{"Confirmed";"Probable"},'Data entry'!$AQ$6:$AQ$200,'Data Validation'!$V$6, 'Data entry'!$AP$6:$AP$200,'Data Validation'!$U$6, 'Data entry'!$BD$6:$BD$200,"&lt;&gt;*Negative*"))</f>
        <v>0</v>
      </c>
      <c r="BE128" s="15">
        <f>SUM(COUNTIFS('Data entry'!$R$6:$R$200,'Summary Data'!$A128,'Data entry'!$B$6:$B$200,{"Confirmed";"Probable"},'Data entry'!$AQ$6:$AQ$200,'Data Validation'!$V$7, 'Data entry'!$AP$6:$AP$200,'Data Validation'!$U$2, 'Data entry'!$BD$6:$BD$200,"&lt;&gt;*Negative*"))</f>
        <v>0</v>
      </c>
      <c r="BF128" s="15">
        <f>SUM(COUNTIFS('Data entry'!$R$6:$R$200,'Summary Data'!$A128,'Data entry'!$B$6:$B$200,{"Confirmed";"Probable"},'Data entry'!$AQ$6:$AQ$200,'Data Validation'!$V$7, 'Data entry'!$AP$6:$AP$200,'Data Validation'!$U$3, 'Data entry'!$BD$6:$BD$200,"&lt;&gt;*Negative*"))</f>
        <v>0</v>
      </c>
      <c r="BG128" s="15">
        <f>SUM(COUNTIFS('Data entry'!$R$6:$R$200,'Summary Data'!$A128,'Data entry'!$B$6:$B$200,{"Confirmed";"Probable"},'Data entry'!$AQ$6:$AQ$200,'Data Validation'!$V$7, 'Data entry'!$AP$6:$AP$200,'Data Validation'!$U$4, 'Data entry'!$BD$6:$BD$200,"&lt;&gt;*Negative*"))</f>
        <v>0</v>
      </c>
      <c r="BH128" s="15">
        <f>SUM(COUNTIFS('Data entry'!$R$6:$R$200,'Summary Data'!$A128,'Data entry'!$B$6:$B$200,{"Confirmed";"Probable"},'Data entry'!$AQ$6:$AQ$200,'Data Validation'!$V$7, 'Data entry'!$AP$6:$AP$200,'Data Validation'!$U$5, 'Data entry'!$BD$6:$BD$200,"&lt;&gt;*Negative*"))</f>
        <v>0</v>
      </c>
      <c r="BI128" s="15">
        <f>SUM(COUNTIFS('Data entry'!$R$6:$R$200,'Summary Data'!$A128,'Data entry'!$B$6:$B$200,{"Confirmed";"Probable"},'Data entry'!$AQ$6:$AQ$200,'Data Validation'!$V$7, 'Data entry'!$AP$6:$AP$200,'Data Validation'!$U$6, 'Data entry'!$BD$6:$BD$200,"&lt;&gt;*Negative*"))</f>
        <v>0</v>
      </c>
      <c r="BJ128" s="15">
        <f>SUM(COUNTIFS('Data entry'!$R$6:$R$200,'Summary Data'!$A128,'Data entry'!$B$6:$B$200,{"Confirmed";"Probable"},'Data entry'!$AQ$6:$AQ$200,'Data Validation'!$V$8, 'Data entry'!$AP$6:$AP$200,'Data Validation'!$U$2, 'Data entry'!$BD$6:$BD$200,"&lt;&gt;*Negative*"))</f>
        <v>0</v>
      </c>
      <c r="BK128" s="15">
        <f>SUM(COUNTIFS('Data entry'!$R$6:$R$200,'Summary Data'!$A128,'Data entry'!$B$6:$B$200,{"Confirmed";"Probable"},'Data entry'!$AQ$6:$AQ$200,'Data Validation'!$V$8, 'Data entry'!$AP$6:$AP$200,'Data Validation'!$U$3, 'Data entry'!$BD$6:$BD$200,"&lt;&gt;*Negative*"))</f>
        <v>0</v>
      </c>
      <c r="BL128" s="15">
        <f>SUM(COUNTIFS('Data entry'!$R$6:$R$200,'Summary Data'!$A128,'Data entry'!$B$6:$B$200,{"Confirmed";"Probable"},'Data entry'!$AQ$6:$AQ$200,'Data Validation'!$V$8, 'Data entry'!$AP$6:$AP$200,'Data Validation'!$U$4, 'Data entry'!$BD$6:$BD$200,"&lt;&gt;*Negative*"))</f>
        <v>0</v>
      </c>
      <c r="BM128" s="15">
        <f>SUM(COUNTIFS('Data entry'!$R$6:$R$200,'Summary Data'!$A128,'Data entry'!$B$6:$B$200,{"Confirmed";"Probable"},'Data entry'!$AQ$6:$AQ$200,'Data Validation'!$V$8, 'Data entry'!$AP$6:$AP$200,'Data Validation'!$U$5, 'Data entry'!$BD$6:$BD$200,"&lt;&gt;*Negative*"))</f>
        <v>0</v>
      </c>
      <c r="BN128" s="15">
        <f>SUM(COUNTIFS('Data entry'!$R$6:$R$200,'Summary Data'!$A128,'Data entry'!$B$6:$B$200,{"Confirmed";"Probable"},'Data entry'!$AQ$6:$AQ$200,'Data Validation'!$V$8, 'Data entry'!$AP$6:$AP$200,'Data Validation'!$U$6, 'Data entry'!$BD$6:$BD$200,"&lt;&gt;*Negative*"))</f>
        <v>0</v>
      </c>
      <c r="BO128" s="15">
        <f>SUM(COUNTIFS('Data entry'!$R$6:$R$200,'Summary Data'!$A128,'Data entry'!$B$6:$B$200,{"Confirmed";"Probable"},'Data entry'!$AQ$6:$AQ$200,'Data Validation'!$V$9, 'Data entry'!$AP$6:$AP$200,'Data Validation'!$U$2, 'Data entry'!$BD$6:$BD$200,"&lt;&gt;*Negative*"))</f>
        <v>0</v>
      </c>
      <c r="BP128" s="15">
        <f>SUM(COUNTIFS('Data entry'!$R$6:$R$200,'Summary Data'!$A128,'Data entry'!$B$6:$B$200,{"Confirmed";"Probable"},'Data entry'!$AQ$6:$AQ$200,'Data Validation'!$V$9, 'Data entry'!$AP$6:$AP$200,'Data Validation'!$U$3, 'Data entry'!$BD$6:$BD$200,"&lt;&gt;*Negative*"))</f>
        <v>0</v>
      </c>
      <c r="BQ128" s="15">
        <f>SUM(COUNTIFS('Data entry'!$R$6:$R$200,'Summary Data'!$A128,'Data entry'!$B$6:$B$200,{"Confirmed";"Probable"},'Data entry'!$AQ$6:$AQ$200,'Data Validation'!$V$9, 'Data entry'!$AP$6:$AP$200,'Data Validation'!$U$4, 'Data entry'!$BD$6:$BD$200,"&lt;&gt;*Negative*"))</f>
        <v>0</v>
      </c>
      <c r="BR128" s="15">
        <f>SUM(COUNTIFS('Data entry'!$R$6:$R$200,'Summary Data'!$A128,'Data entry'!$B$6:$B$200,{"Confirmed";"Probable"},'Data entry'!$AQ$6:$AQ$200,'Data Validation'!$V$9, 'Data entry'!$AP$6:$AP$200,'Data Validation'!$U$5, 'Data entry'!$BD$6:$BD$200,"&lt;&gt;*Negative*"))</f>
        <v>0</v>
      </c>
      <c r="BS128" s="15">
        <f>SUM(COUNTIFS('Data entry'!$R$6:$R$200,'Summary Data'!$A128,'Data entry'!$B$6:$B$200,{"Confirmed";"Probable"},'Data entry'!$AQ$6:$AQ$200,'Data Validation'!$V$9, 'Data entry'!$AP$6:$AP$200,'Data Validation'!$U$6, 'Data entry'!$BD$6:$BD$200,"&lt;&gt;*Negative*"))</f>
        <v>0</v>
      </c>
      <c r="BT128" s="15">
        <f>SUM(COUNTIFS('Data entry'!$R$6:$R$200,'Summary Data'!$A128,'Data entry'!$B$6:$B$200,{"Confirmed";"Probable"},'Data entry'!$AQ$6:$AQ$200,'Data Validation'!$V$10, 'Data entry'!$AP$6:$AP$200,'Data Validation'!$U$2, 'Data entry'!$BD$6:$BD$200,"&lt;&gt;*Negative*"))</f>
        <v>0</v>
      </c>
      <c r="BU128" s="15">
        <f>SUM(COUNTIFS('Data entry'!$R$6:$R$200,'Summary Data'!$A128,'Data entry'!$B$6:$B$200,{"Confirmed";"Probable"},'Data entry'!$AQ$6:$AQ$200,'Data Validation'!$V$10, 'Data entry'!$AP$6:$AP$200,'Data Validation'!$U$3, 'Data entry'!$BD$6:$BD$200,"&lt;&gt;*Negative*"))</f>
        <v>0</v>
      </c>
      <c r="BV128" s="15">
        <f>SUM(COUNTIFS('Data entry'!$R$6:$R$200,'Summary Data'!$A128,'Data entry'!$B$6:$B$200,{"Confirmed";"Probable"},'Data entry'!$AQ$6:$AQ$200,'Data Validation'!$V$10, 'Data entry'!$AP$6:$AP$200,'Data Validation'!$U$4, 'Data entry'!$BD$6:$BD$200,"&lt;&gt;*Negative*"))</f>
        <v>0</v>
      </c>
      <c r="BW128" s="15">
        <f>SUM(COUNTIFS('Data entry'!$R$6:$R$200,'Summary Data'!$A128,'Data entry'!$B$6:$B$200,{"Confirmed";"Probable"},'Data entry'!$AQ$6:$AQ$200,'Data Validation'!$V$10, 'Data entry'!$AP$6:$AP$200,'Data Validation'!$U$5, 'Data entry'!$BD$6:$BD$200,"&lt;&gt;*Negative*"))</f>
        <v>0</v>
      </c>
      <c r="BX128" s="15">
        <f>SUM(COUNTIFS('Data entry'!$R$6:$R$200,'Summary Data'!$A128,'Data entry'!$B$6:$B$200,{"Confirmed";"Probable"},'Data entry'!$AQ$6:$AQ$200,'Data Validation'!$V$10, 'Data entry'!$AP$6:$AP$200,'Data Validation'!$U$6, 'Data entry'!$BD$6:$BD$200,"&lt;&gt;*Negative*"))</f>
        <v>0</v>
      </c>
      <c r="BY128" s="15">
        <f>SUM(COUNTIFS('Data entry'!$R$6:$R$200,'Summary Data'!$A128,'Data entry'!$B$6:$B$200,{"Confirmed";"Probable"},'Data entry'!$AQ$6:$AQ$200,'Data Validation'!$V$11, 'Data entry'!$AP$6:$AP$200,'Data Validation'!$U$2, 'Data entry'!$BD$6:$BD$200,"&lt;&gt;*Negative*"))</f>
        <v>0</v>
      </c>
      <c r="BZ128" s="15">
        <f>SUM(COUNTIFS('Data entry'!$R$6:$R$200,'Summary Data'!$A128,'Data entry'!$B$6:$B$200,{"Confirmed";"Probable"},'Data entry'!$AQ$6:$AQ$200,'Data Validation'!$V$11, 'Data entry'!$AP$6:$AP$200,'Data Validation'!$U$3, 'Data entry'!$BD$6:$BD$200,"&lt;&gt;*Negative*"))</f>
        <v>0</v>
      </c>
      <c r="CA128" s="15">
        <f>SUM(COUNTIFS('Data entry'!$R$6:$R$200,'Summary Data'!$A128,'Data entry'!$B$6:$B$200,{"Confirmed";"Probable"},'Data entry'!$AQ$6:$AQ$200,'Data Validation'!$V$11, 'Data entry'!$AP$6:$AP$200,'Data Validation'!$U$4, 'Data entry'!$BD$6:$BD$200,"&lt;&gt;*Negative*"))</f>
        <v>0</v>
      </c>
      <c r="CB128" s="15">
        <f>SUM(COUNTIFS('Data entry'!$R$6:$R$200,'Summary Data'!$A128,'Data entry'!$B$6:$B$200,{"Confirmed";"Probable"},'Data entry'!$AQ$6:$AQ$200,'Data Validation'!$V$11, 'Data entry'!$AP$6:$AP$200,'Data Validation'!$U$5, 'Data entry'!$BD$6:$BD$200,"&lt;&gt;*Negative*"))</f>
        <v>0</v>
      </c>
      <c r="CC128" s="15">
        <f>SUM(COUNTIFS('Data entry'!$R$6:$R$200,'Summary Data'!$A128,'Data entry'!$B$6:$B$200,{"Confirmed";"Probable"},'Data entry'!$AQ$6:$AQ$200,'Data Validation'!$V$11, 'Data entry'!$AP$6:$AP$200,'Data Validation'!$U$6, 'Data entry'!$BD$6:$BD$200,"&lt;&gt;*Negative*"))</f>
        <v>0</v>
      </c>
    </row>
    <row r="129" spans="1:81" x14ac:dyDescent="0.25">
      <c r="A129" s="12">
        <f t="shared" si="9"/>
        <v>117</v>
      </c>
      <c r="B129" s="13">
        <f t="shared" si="6"/>
        <v>0</v>
      </c>
      <c r="C129" s="13">
        <f>COUNTIFS('Data entry'!$R$6:$R$200,$A129,'Data entry'!$B$6:$B$200,"Confirmed",'Data entry'!$BD$6:$BD$200,"&lt;&gt;*Negative*")</f>
        <v>0</v>
      </c>
      <c r="D129" s="13">
        <f>COUNTIFS('Data entry'!$R$6:$R$200,$A129,'Data entry'!$B$6:$B$200,"Probable",'Data entry'!$BD$6:$BD$200,"&lt;&gt;*Negative*")</f>
        <v>0</v>
      </c>
      <c r="E129" s="13">
        <f>COUNTIFS('Data entry'!$R$6:$R$200,$A129,'Data entry'!$B$6:$B$200,"DNM")</f>
        <v>0</v>
      </c>
      <c r="F129" s="13">
        <f>SUM(COUNTIFS('Data entry'!$R$6:$R$200,'Summary Data'!$A129,'Data entry'!$B$6:$B$200,{"Confirmed";"Probable"},'Data entry'!$AO$6:$AO$200,$F$10, 'Data entry'!$BD$6:$BD$200,"&lt;&gt;*Negative*"))</f>
        <v>0</v>
      </c>
      <c r="G129" s="13">
        <f>SUM(COUNTIFS('Data entry'!$R$6:$R$200,'Summary Data'!$A129,'Data entry'!$B$6:$B$200,{"Confirmed";"Probable"},'Data entry'!$AO$6:$AO$200,$G$10, 'Data entry'!$BD$6:$BD$200,"&lt;&gt;*Negative*"))</f>
        <v>0</v>
      </c>
      <c r="H129" s="13">
        <f>SUM(COUNTIFS('Data entry'!$R$6:$R$200,'Summary Data'!$A129,'Data entry'!$B$6:$B$200,{"Confirmed";"Probable"},'Data entry'!$AO$6:$AO$200,$H$10, 'Data entry'!$BD$6:$BD$200,"&lt;&gt;*Negative*"))</f>
        <v>0</v>
      </c>
      <c r="I129" s="13">
        <f>SUM(COUNTIFS('Data entry'!$R$6:$R$200,'Summary Data'!$A129,'Data entry'!$B$6:$B$200,{"Confirmed";"Probable"},'Data entry'!$AO$6:$AO$200,$I$10, 'Data entry'!$BD$6:$BD$200,"&lt;&gt;*Negative*"))</f>
        <v>0</v>
      </c>
      <c r="J129" s="13">
        <f>SUM(COUNTIFS('Data entry'!$R$6:$R$200,'Summary Data'!$A129,'Data entry'!$B$6:$B$200,{"Confirmed";"Probable"},'Data entry'!$AO$6:$AO$200,$J$10, 'Data entry'!$BD$6:$BD$200,"&lt;&gt;*Negative*"))</f>
        <v>0</v>
      </c>
      <c r="K129" s="13">
        <f>SUM(COUNTIFS('Data entry'!$R$6:$R$200,'Summary Data'!$A129,'Data entry'!$B$6:$B$200,{"Confirmed";"Probable"},'Data entry'!$AO$6:$AO$200,$K$10, 'Data entry'!$BD$6:$BD$200,"&lt;&gt;*Negative*"))</f>
        <v>0</v>
      </c>
      <c r="L129" s="13">
        <f>SUM(COUNTIFS('Data entry'!$R$6:$R$200,'Summary Data'!$A129,'Data entry'!$B$6:$B$200,{"Confirmed";"Probable"},'Data entry'!$AO$6:$AO$200,$L$10, 'Data entry'!$BD$6:$BD$200,"&lt;&gt;*Negative*"))</f>
        <v>0</v>
      </c>
      <c r="M129" s="13">
        <f>SUM(COUNTIFS('Data entry'!$R$6:$R$200,'Summary Data'!$A129,'Data entry'!$B$6:$B$200,{"Confirmed";"Probable"},'Data entry'!$AO$6:$AO$200,$M$10, 'Data entry'!$BD$6:$BD$200,"&lt;&gt;*Negative*"))</f>
        <v>0</v>
      </c>
      <c r="N129" s="13">
        <f>SUM(COUNTIFS('Data entry'!$R$6:$R$200,'Summary Data'!$A129,'Data entry'!$B$6:$B$200,{"Confirmed";"Probable"},'Data entry'!$AO$6:$AO$200,$N$10, 'Data entry'!$BD$6:$BD$200,"&lt;&gt;*Negative*"))</f>
        <v>0</v>
      </c>
      <c r="O129" s="15">
        <f t="shared" si="7"/>
        <v>0</v>
      </c>
      <c r="P129" s="15">
        <f t="shared" si="8"/>
        <v>0</v>
      </c>
      <c r="Q129" s="15">
        <f>SUM(COUNTIFS('Data entry'!$R$6:$R$200,'Summary Data'!$A129,'Data entry'!$B$6:$B$200,{"Confirmed";"Probable"},'Data entry'!$AP$6:$AP$200,'Data Validation'!$U$2, 'Data entry'!$BD$6:$BD$200,"&lt;&gt;*Negative*"))</f>
        <v>0</v>
      </c>
      <c r="R129" s="15">
        <f>SUM(COUNTIFS('Data entry'!$R$6:$R$200,'Summary Data'!$A129,'Data entry'!$B$6:$B$200,{"Confirmed";"Probable"},'Data entry'!$AP$6:$AP$200,'Data Validation'!$U$3, 'Data entry'!$BD$6:$BD$200,"&lt;&gt;*Negative*"))</f>
        <v>0</v>
      </c>
      <c r="S129" s="15">
        <f>SUM(COUNTIFS('Data entry'!$R$6:$R$200,'Summary Data'!$A129,'Data entry'!$B$6:$B$200,{"Confirmed";"Probable"},'Data entry'!$AP$6:$AP$200,'Data Validation'!$U$4, 'Data entry'!$BD$6:$BD$200,"&lt;&gt;*Negative*"))</f>
        <v>0</v>
      </c>
      <c r="T129" s="15">
        <f>SUM(COUNTIFS('Data entry'!$R$6:$R$200,'Summary Data'!$A129,'Data entry'!$B$6:$B$200,{"Confirmed";"Probable"},'Data entry'!$AP$6:$AP$200,'Data Validation'!$U$5, 'Data entry'!$BD$6:$BD$200,"&lt;&gt;*Negative*"))</f>
        <v>0</v>
      </c>
      <c r="U129" s="15">
        <f>SUM(COUNTIFS('Data entry'!$R$6:$R$200,'Summary Data'!$A129,'Data entry'!$B$6:$B$200,{"Confirmed";"Probable"},'Data entry'!$AP$6:$AP$200,'Data Validation'!$U$6, 'Data entry'!$BD$6:$BD$200,"&lt;&gt;*Negative*"))</f>
        <v>0</v>
      </c>
      <c r="V129" s="15">
        <f>SUM(COUNTIFS('Data entry'!$R$6:$R$200,'Summary Data'!$A129,'Data entry'!$B$6:$B$200,{"Confirmed";"Probable"},'Data entry'!$AQ$6:$AQ$200,'Data Validation'!$V$2, 'Data entry'!$BD$6:$BD$200,"&lt;&gt;*Negative*"))</f>
        <v>0</v>
      </c>
      <c r="W129" s="15">
        <f>SUM(COUNTIFS('Data entry'!$R$6:$R$200,'Summary Data'!$A129,'Data entry'!$B$6:$B$200,{"Confirmed";"Probable"},'Data entry'!$AQ$6:$AQ$200,'Data Validation'!$V$3, 'Data entry'!$BD$6:$BD$200,"&lt;&gt;*Negative*"))</f>
        <v>0</v>
      </c>
      <c r="X129" s="15">
        <f>SUM(COUNTIFS('Data entry'!$R$6:$R$200,'Summary Data'!$A129,'Data entry'!$B$6:$B$200,{"Confirmed";"Probable"},'Data entry'!$AQ$6:$AQ$200,'Data Validation'!$V$4, 'Data entry'!$BD$6:$BD$200,"&lt;&gt;*Negative*"))</f>
        <v>0</v>
      </c>
      <c r="Y129" s="15">
        <f>SUM(COUNTIFS('Data entry'!$R$6:$R$200,'Summary Data'!$A129,'Data entry'!$B$6:$B$200,{"Confirmed";"Probable"},'Data entry'!$AQ$6:$AQ$200,'Data Validation'!$V$5, 'Data entry'!$BD$6:$BD$200,"&lt;&gt;*Negative*"))</f>
        <v>0</v>
      </c>
      <c r="Z129" s="15">
        <f>SUM(COUNTIFS('Data entry'!$R$6:$R$200,'Summary Data'!$A129,'Data entry'!$B$6:$B$200,{"Confirmed";"Probable"},'Data entry'!$AQ$6:$AQ$200,'Data Validation'!$V$6, 'Data entry'!$BD$6:$BD$200,"&lt;&gt;*Negative*"))</f>
        <v>0</v>
      </c>
      <c r="AA129" s="15">
        <f>SUM(COUNTIFS('Data entry'!$R$6:$R$200,'Summary Data'!$A129,'Data entry'!$B$6:$B$200,{"Confirmed";"Probable"},'Data entry'!$AQ$6:$AQ$200,'Data Validation'!$V$7, 'Data entry'!$BD$6:$BD$200,"&lt;&gt;*Negative*"))</f>
        <v>0</v>
      </c>
      <c r="AB129" s="15">
        <f>SUM(COUNTIFS('Data entry'!$R$6:$R$200,'Summary Data'!$A129,'Data entry'!$B$6:$B$200,{"Confirmed";"Probable"},'Data entry'!$AQ$6:$AQ$200,'Data Validation'!$V$8, 'Data entry'!$BD$6:$BD$200,"&lt;&gt;*Negative*"))</f>
        <v>0</v>
      </c>
      <c r="AC129" s="15">
        <f>SUM(COUNTIFS('Data entry'!$R$6:$R$200,'Summary Data'!$A129,'Data entry'!$B$6:$B$200,{"Confirmed";"Probable"},'Data entry'!$AQ$6:$AQ$200,'Data Validation'!$V$9, 'Data entry'!$BD$6:$BD$200,"&lt;&gt;*Negative*"))</f>
        <v>0</v>
      </c>
      <c r="AD129" s="15">
        <f>SUM(COUNTIFS('Data entry'!$R$6:$R$200,'Summary Data'!$A129,'Data entry'!$B$6:$B$200,{"Confirmed";"Probable"},'Data entry'!$AQ$6:$AQ$200,'Data Validation'!$V$10, 'Data entry'!$BD$6:$BD$200,"&lt;&gt;*Negative*"))</f>
        <v>0</v>
      </c>
      <c r="AE129" s="15">
        <f>SUM(COUNTIFS('Data entry'!$R$6:$R$200,'Summary Data'!$A129,'Data entry'!$B$6:$B$200,{"Confirmed";"Probable"},'Data entry'!$AQ$6:$AQ$200,'Data Validation'!$V$11, 'Data entry'!$BD$6:$BD$200,"&lt;&gt;*Negative*"))</f>
        <v>0</v>
      </c>
      <c r="AF129" s="15">
        <f>SUM(COUNTIFS('Data entry'!$R$6:$R$200,'Summary Data'!$A129,'Data entry'!$B$6:$B$200,{"Confirmed";"Probable"},'Data entry'!$AQ$6:$AQ$200,'Data Validation'!$V$2, 'Data entry'!$AP$6:$AP$200,'Data Validation'!$U$2, 'Data entry'!$BD$6:$BD$200,"&lt;&gt;*Negative*"))</f>
        <v>0</v>
      </c>
      <c r="AG129" s="15">
        <f>SUM(COUNTIFS('Data entry'!$R$6:$R$200,'Summary Data'!$A129,'Data entry'!$B$6:$B$200,{"Confirmed";"Probable"},'Data entry'!$AQ$6:$AQ$200,'Data Validation'!$V$2, 'Data entry'!$AP$6:$AP$200,'Data Validation'!$U$3, 'Data entry'!$BD$6:$BD$200,"&lt;&gt;*Negative*"))</f>
        <v>0</v>
      </c>
      <c r="AH129" s="15">
        <f>SUM(COUNTIFS('Data entry'!$R$6:$R$200,'Summary Data'!$A129,'Data entry'!$B$6:$B$200,{"Confirmed";"Probable"},'Data entry'!$AQ$6:$AQ$200,'Data Validation'!$V$2, 'Data entry'!$AP$6:$AP$200,'Data Validation'!$U$4, 'Data entry'!$BD$6:$BD$200,"&lt;&gt;*Negative*"))</f>
        <v>0</v>
      </c>
      <c r="AI129" s="15">
        <f>SUM(COUNTIFS('Data entry'!$R$6:$R$200,'Summary Data'!$A129,'Data entry'!$B$6:$B$200,{"Confirmed";"Probable"},'Data entry'!$AQ$6:$AQ$200,'Data Validation'!$V$2, 'Data entry'!$AP$6:$AP$200,'Data Validation'!$U$5, 'Data entry'!$BD$6:$BD$200,"&lt;&gt;*Negative*"))</f>
        <v>0</v>
      </c>
      <c r="AJ129" s="15">
        <f>SUM(COUNTIFS('Data entry'!$R$6:$R$200,'Summary Data'!$A129,'Data entry'!$B$6:$B$200,{"Confirmed";"Probable"},'Data entry'!$AQ$6:$AQ$200,'Data Validation'!$V$2, 'Data entry'!$AP$6:$AP$200,'Data Validation'!$U$6, 'Data entry'!$BD$6:$BD$200,"&lt;&gt;*Negative*"))</f>
        <v>0</v>
      </c>
      <c r="AK129" s="15">
        <f>SUM(COUNTIFS('Data entry'!$R$6:$R$200,'Summary Data'!$A129,'Data entry'!$B$6:$B$200,{"Confirmed";"Probable"},'Data entry'!$AQ$6:$AQ$200,'Data Validation'!$V$3, 'Data entry'!$AP$6:$AP$200,'Data Validation'!$U$2, 'Data entry'!$BD$6:$BD$200,"&lt;&gt;*Negative*"))</f>
        <v>0</v>
      </c>
      <c r="AL129" s="15">
        <f>SUM(COUNTIFS('Data entry'!$R$6:$R$200,'Summary Data'!$A129,'Data entry'!$B$6:$B$200,{"Confirmed";"Probable"},'Data entry'!$AQ$6:$AQ$200,'Data Validation'!$V$3, 'Data entry'!$AP$6:$AP$200,'Data Validation'!$U$3, 'Data entry'!$BD$6:$BD$200,"&lt;&gt;*Negative*"))</f>
        <v>0</v>
      </c>
      <c r="AM129" s="15">
        <f>SUM(COUNTIFS('Data entry'!$R$6:$R$200,'Summary Data'!$A129,'Data entry'!$B$6:$B$200,{"Confirmed";"Probable"},'Data entry'!$AQ$6:$AQ$200,'Data Validation'!$V$3, 'Data entry'!$AP$6:$AP$200,'Data Validation'!$U$4, 'Data entry'!$BD$6:$BD$200,"&lt;&gt;*Negative*"))</f>
        <v>0</v>
      </c>
      <c r="AN129" s="15">
        <f>SUM(COUNTIFS('Data entry'!$R$6:$R$200,'Summary Data'!$A129,'Data entry'!$B$6:$B$200,{"Confirmed";"Probable"},'Data entry'!$AQ$6:$AQ$200,'Data Validation'!$V$3, 'Data entry'!$AP$6:$AP$200,'Data Validation'!$U$5, 'Data entry'!$BD$6:$BD$200,"&lt;&gt;*Negative*"))</f>
        <v>0</v>
      </c>
      <c r="AO129" s="15">
        <f>SUM(COUNTIFS('Data entry'!$R$6:$R$200,'Summary Data'!$A129,'Data entry'!$B$6:$B$200,{"Confirmed";"Probable"},'Data entry'!$AQ$6:$AQ$200,'Data Validation'!$V$3, 'Data entry'!$AP$6:$AP$200,'Data Validation'!$U$6, 'Data entry'!$BD$6:$BD$200,"&lt;&gt;*Negative*"))</f>
        <v>0</v>
      </c>
      <c r="AP129" s="15">
        <f>SUM(COUNTIFS('Data entry'!$R$6:$R$200,'Summary Data'!$A129,'Data entry'!$B$6:$B$200,{"Confirmed";"Probable"},'Data entry'!$AQ$6:$AQ$200,'Data Validation'!$V$4, 'Data entry'!$AP$6:$AP$200,'Data Validation'!$U$2, 'Data entry'!$BD$6:$BD$200,"&lt;&gt;*Negative*"))</f>
        <v>0</v>
      </c>
      <c r="AQ129" s="15">
        <f>SUM(COUNTIFS('Data entry'!$R$6:$R$200,'Summary Data'!$A129,'Data entry'!$B$6:$B$200,{"Confirmed";"Probable"},'Data entry'!$AQ$6:$AQ$200,'Data Validation'!$V$4, 'Data entry'!$AP$6:$AP$200,'Data Validation'!$U$3, 'Data entry'!$BD$6:$BD$200,"&lt;&gt;*Negative*"))</f>
        <v>0</v>
      </c>
      <c r="AR129" s="15">
        <f>SUM(COUNTIFS('Data entry'!$R$6:$R$200,'Summary Data'!$A129,'Data entry'!$B$6:$B$200,{"Confirmed";"Probable"},'Data entry'!$AQ$6:$AQ$200,'Data Validation'!$V$4, 'Data entry'!$AP$6:$AP$200,'Data Validation'!$U$4, 'Data entry'!$BD$6:$BD$200,"&lt;&gt;*Negative*"))</f>
        <v>0</v>
      </c>
      <c r="AS129" s="15">
        <f>SUM(COUNTIFS('Data entry'!$R$6:$R$200,'Summary Data'!$A129,'Data entry'!$B$6:$B$200,{"Confirmed";"Probable"},'Data entry'!$AQ$6:$AQ$200,'Data Validation'!$V$4, 'Data entry'!$AP$6:$AP$200,'Data Validation'!$U$5, 'Data entry'!$BD$6:$BD$200,"&lt;&gt;*Negative*"))</f>
        <v>0</v>
      </c>
      <c r="AT129" s="15">
        <f>SUM(COUNTIFS('Data entry'!$R$6:$R$200,'Summary Data'!$A129,'Data entry'!$B$6:$B$200,{"Confirmed";"Probable"},'Data entry'!$AQ$6:$AQ$200,'Data Validation'!$V$4, 'Data entry'!$AP$6:$AP$200,'Data Validation'!$U$6, 'Data entry'!$BD$6:$BD$200,"&lt;&gt;*Negative*"))</f>
        <v>0</v>
      </c>
      <c r="AU129" s="15">
        <f>SUM(COUNTIFS('Data entry'!$R$6:$R$200,'Summary Data'!$A129,'Data entry'!$B$6:$B$200,{"Confirmed";"Probable"},'Data entry'!$AQ$6:$AQ$200,'Data Validation'!$V$5, 'Data entry'!$AP$6:$AP$200,'Data Validation'!$U$2, 'Data entry'!$BD$6:$BD$200,"&lt;&gt;*Negative*"))</f>
        <v>0</v>
      </c>
      <c r="AV129" s="15">
        <f>SUM(COUNTIFS('Data entry'!$R$6:$R$200,'Summary Data'!$A129,'Data entry'!$B$6:$B$200,{"Confirmed";"Probable"},'Data entry'!$AQ$6:$AQ$200,'Data Validation'!$V$5, 'Data entry'!$AP$6:$AP$200,'Data Validation'!$U$3, 'Data entry'!$BD$6:$BD$200,"&lt;&gt;*Negative*"))</f>
        <v>0</v>
      </c>
      <c r="AW129" s="15">
        <f>SUM(COUNTIFS('Data entry'!$R$6:$R$200,'Summary Data'!$A129,'Data entry'!$B$6:$B$200,{"Confirmed";"Probable"},'Data entry'!$AQ$6:$AQ$200,'Data Validation'!$V$5, 'Data entry'!$AP$6:$AP$200,'Data Validation'!$U$4, 'Data entry'!$BD$6:$BD$200,"&lt;&gt;*Negative*"))</f>
        <v>0</v>
      </c>
      <c r="AX129" s="15">
        <f>SUM(COUNTIFS('Data entry'!$R$6:$R$200,'Summary Data'!$A129,'Data entry'!$B$6:$B$200,{"Confirmed";"Probable"},'Data entry'!$AQ$6:$AQ$200,'Data Validation'!$V$5, 'Data entry'!$AP$6:$AP$200,'Data Validation'!$U$5, 'Data entry'!$BD$6:$BD$200,"&lt;&gt;*Negative*"))</f>
        <v>0</v>
      </c>
      <c r="AY129" s="15">
        <f>SUM(COUNTIFS('Data entry'!$R$6:$R$200,'Summary Data'!$A129,'Data entry'!$B$6:$B$200,{"Confirmed";"Probable"},'Data entry'!$AQ$6:$AQ$200,'Data Validation'!$V$5, 'Data entry'!$AP$6:$AP$200,'Data Validation'!$U$6, 'Data entry'!$BD$6:$BD$200,"&lt;&gt;*Negative*"))</f>
        <v>0</v>
      </c>
      <c r="AZ129" s="15">
        <f>SUM(COUNTIFS('Data entry'!$R$6:$R$200,'Summary Data'!$A129,'Data entry'!$B$6:$B$200,{"Confirmed";"Probable"},'Data entry'!$AQ$6:$AQ$200,'Data Validation'!$V$6, 'Data entry'!$AP$6:$AP$200,'Data Validation'!$U$2, 'Data entry'!$BD$6:$BD$200,"&lt;&gt;*Negative*"))</f>
        <v>0</v>
      </c>
      <c r="BA129" s="15">
        <f>SUM(COUNTIFS('Data entry'!$R$6:$R$200,'Summary Data'!$A129,'Data entry'!$B$6:$B$200,{"Confirmed";"Probable"},'Data entry'!$AQ$6:$AQ$200,'Data Validation'!$V$6, 'Data entry'!$AP$6:$AP$200,'Data Validation'!$U$3, 'Data entry'!$BD$6:$BD$200,"&lt;&gt;*Negative*"))</f>
        <v>0</v>
      </c>
      <c r="BB129" s="15">
        <f>SUM(COUNTIFS('Data entry'!$R$6:$R$200,'Summary Data'!$A129,'Data entry'!$B$6:$B$200,{"Confirmed";"Probable"},'Data entry'!$AQ$6:$AQ$200,'Data Validation'!$V$6, 'Data entry'!$AP$6:$AP$200,'Data Validation'!$U$4, 'Data entry'!$BD$6:$BD$200,"&lt;&gt;*Negative*"))</f>
        <v>0</v>
      </c>
      <c r="BC129" s="15">
        <f>SUM(COUNTIFS('Data entry'!$R$6:$R$200,'Summary Data'!$A129,'Data entry'!$B$6:$B$200,{"Confirmed";"Probable"},'Data entry'!$AQ$6:$AQ$200,'Data Validation'!$V$6, 'Data entry'!$AP$6:$AP$200,'Data Validation'!$U$5, 'Data entry'!$BD$6:$BD$200,"&lt;&gt;*Negative*"))</f>
        <v>0</v>
      </c>
      <c r="BD129" s="15">
        <f>SUM(COUNTIFS('Data entry'!$R$6:$R$200,'Summary Data'!$A129,'Data entry'!$B$6:$B$200,{"Confirmed";"Probable"},'Data entry'!$AQ$6:$AQ$200,'Data Validation'!$V$6, 'Data entry'!$AP$6:$AP$200,'Data Validation'!$U$6, 'Data entry'!$BD$6:$BD$200,"&lt;&gt;*Negative*"))</f>
        <v>0</v>
      </c>
      <c r="BE129" s="15">
        <f>SUM(COUNTIFS('Data entry'!$R$6:$R$200,'Summary Data'!$A129,'Data entry'!$B$6:$B$200,{"Confirmed";"Probable"},'Data entry'!$AQ$6:$AQ$200,'Data Validation'!$V$7, 'Data entry'!$AP$6:$AP$200,'Data Validation'!$U$2, 'Data entry'!$BD$6:$BD$200,"&lt;&gt;*Negative*"))</f>
        <v>0</v>
      </c>
      <c r="BF129" s="15">
        <f>SUM(COUNTIFS('Data entry'!$R$6:$R$200,'Summary Data'!$A129,'Data entry'!$B$6:$B$200,{"Confirmed";"Probable"},'Data entry'!$AQ$6:$AQ$200,'Data Validation'!$V$7, 'Data entry'!$AP$6:$AP$200,'Data Validation'!$U$3, 'Data entry'!$BD$6:$BD$200,"&lt;&gt;*Negative*"))</f>
        <v>0</v>
      </c>
      <c r="BG129" s="15">
        <f>SUM(COUNTIFS('Data entry'!$R$6:$R$200,'Summary Data'!$A129,'Data entry'!$B$6:$B$200,{"Confirmed";"Probable"},'Data entry'!$AQ$6:$AQ$200,'Data Validation'!$V$7, 'Data entry'!$AP$6:$AP$200,'Data Validation'!$U$4, 'Data entry'!$BD$6:$BD$200,"&lt;&gt;*Negative*"))</f>
        <v>0</v>
      </c>
      <c r="BH129" s="15">
        <f>SUM(COUNTIFS('Data entry'!$R$6:$R$200,'Summary Data'!$A129,'Data entry'!$B$6:$B$200,{"Confirmed";"Probable"},'Data entry'!$AQ$6:$AQ$200,'Data Validation'!$V$7, 'Data entry'!$AP$6:$AP$200,'Data Validation'!$U$5, 'Data entry'!$BD$6:$BD$200,"&lt;&gt;*Negative*"))</f>
        <v>0</v>
      </c>
      <c r="BI129" s="15">
        <f>SUM(COUNTIFS('Data entry'!$R$6:$R$200,'Summary Data'!$A129,'Data entry'!$B$6:$B$200,{"Confirmed";"Probable"},'Data entry'!$AQ$6:$AQ$200,'Data Validation'!$V$7, 'Data entry'!$AP$6:$AP$200,'Data Validation'!$U$6, 'Data entry'!$BD$6:$BD$200,"&lt;&gt;*Negative*"))</f>
        <v>0</v>
      </c>
      <c r="BJ129" s="15">
        <f>SUM(COUNTIFS('Data entry'!$R$6:$R$200,'Summary Data'!$A129,'Data entry'!$B$6:$B$200,{"Confirmed";"Probable"},'Data entry'!$AQ$6:$AQ$200,'Data Validation'!$V$8, 'Data entry'!$AP$6:$AP$200,'Data Validation'!$U$2, 'Data entry'!$BD$6:$BD$200,"&lt;&gt;*Negative*"))</f>
        <v>0</v>
      </c>
      <c r="BK129" s="15">
        <f>SUM(COUNTIFS('Data entry'!$R$6:$R$200,'Summary Data'!$A129,'Data entry'!$B$6:$B$200,{"Confirmed";"Probable"},'Data entry'!$AQ$6:$AQ$200,'Data Validation'!$V$8, 'Data entry'!$AP$6:$AP$200,'Data Validation'!$U$3, 'Data entry'!$BD$6:$BD$200,"&lt;&gt;*Negative*"))</f>
        <v>0</v>
      </c>
      <c r="BL129" s="15">
        <f>SUM(COUNTIFS('Data entry'!$R$6:$R$200,'Summary Data'!$A129,'Data entry'!$B$6:$B$200,{"Confirmed";"Probable"},'Data entry'!$AQ$6:$AQ$200,'Data Validation'!$V$8, 'Data entry'!$AP$6:$AP$200,'Data Validation'!$U$4, 'Data entry'!$BD$6:$BD$200,"&lt;&gt;*Negative*"))</f>
        <v>0</v>
      </c>
      <c r="BM129" s="15">
        <f>SUM(COUNTIFS('Data entry'!$R$6:$R$200,'Summary Data'!$A129,'Data entry'!$B$6:$B$200,{"Confirmed";"Probable"},'Data entry'!$AQ$6:$AQ$200,'Data Validation'!$V$8, 'Data entry'!$AP$6:$AP$200,'Data Validation'!$U$5, 'Data entry'!$BD$6:$BD$200,"&lt;&gt;*Negative*"))</f>
        <v>0</v>
      </c>
      <c r="BN129" s="15">
        <f>SUM(COUNTIFS('Data entry'!$R$6:$R$200,'Summary Data'!$A129,'Data entry'!$B$6:$B$200,{"Confirmed";"Probable"},'Data entry'!$AQ$6:$AQ$200,'Data Validation'!$V$8, 'Data entry'!$AP$6:$AP$200,'Data Validation'!$U$6, 'Data entry'!$BD$6:$BD$200,"&lt;&gt;*Negative*"))</f>
        <v>0</v>
      </c>
      <c r="BO129" s="15">
        <f>SUM(COUNTIFS('Data entry'!$R$6:$R$200,'Summary Data'!$A129,'Data entry'!$B$6:$B$200,{"Confirmed";"Probable"},'Data entry'!$AQ$6:$AQ$200,'Data Validation'!$V$9, 'Data entry'!$AP$6:$AP$200,'Data Validation'!$U$2, 'Data entry'!$BD$6:$BD$200,"&lt;&gt;*Negative*"))</f>
        <v>0</v>
      </c>
      <c r="BP129" s="15">
        <f>SUM(COUNTIFS('Data entry'!$R$6:$R$200,'Summary Data'!$A129,'Data entry'!$B$6:$B$200,{"Confirmed";"Probable"},'Data entry'!$AQ$6:$AQ$200,'Data Validation'!$V$9, 'Data entry'!$AP$6:$AP$200,'Data Validation'!$U$3, 'Data entry'!$BD$6:$BD$200,"&lt;&gt;*Negative*"))</f>
        <v>0</v>
      </c>
      <c r="BQ129" s="15">
        <f>SUM(COUNTIFS('Data entry'!$R$6:$R$200,'Summary Data'!$A129,'Data entry'!$B$6:$B$200,{"Confirmed";"Probable"},'Data entry'!$AQ$6:$AQ$200,'Data Validation'!$V$9, 'Data entry'!$AP$6:$AP$200,'Data Validation'!$U$4, 'Data entry'!$BD$6:$BD$200,"&lt;&gt;*Negative*"))</f>
        <v>0</v>
      </c>
      <c r="BR129" s="15">
        <f>SUM(COUNTIFS('Data entry'!$R$6:$R$200,'Summary Data'!$A129,'Data entry'!$B$6:$B$200,{"Confirmed";"Probable"},'Data entry'!$AQ$6:$AQ$200,'Data Validation'!$V$9, 'Data entry'!$AP$6:$AP$200,'Data Validation'!$U$5, 'Data entry'!$BD$6:$BD$200,"&lt;&gt;*Negative*"))</f>
        <v>0</v>
      </c>
      <c r="BS129" s="15">
        <f>SUM(COUNTIFS('Data entry'!$R$6:$R$200,'Summary Data'!$A129,'Data entry'!$B$6:$B$200,{"Confirmed";"Probable"},'Data entry'!$AQ$6:$AQ$200,'Data Validation'!$V$9, 'Data entry'!$AP$6:$AP$200,'Data Validation'!$U$6, 'Data entry'!$BD$6:$BD$200,"&lt;&gt;*Negative*"))</f>
        <v>0</v>
      </c>
      <c r="BT129" s="15">
        <f>SUM(COUNTIFS('Data entry'!$R$6:$R$200,'Summary Data'!$A129,'Data entry'!$B$6:$B$200,{"Confirmed";"Probable"},'Data entry'!$AQ$6:$AQ$200,'Data Validation'!$V$10, 'Data entry'!$AP$6:$AP$200,'Data Validation'!$U$2, 'Data entry'!$BD$6:$BD$200,"&lt;&gt;*Negative*"))</f>
        <v>0</v>
      </c>
      <c r="BU129" s="15">
        <f>SUM(COUNTIFS('Data entry'!$R$6:$R$200,'Summary Data'!$A129,'Data entry'!$B$6:$B$200,{"Confirmed";"Probable"},'Data entry'!$AQ$6:$AQ$200,'Data Validation'!$V$10, 'Data entry'!$AP$6:$AP$200,'Data Validation'!$U$3, 'Data entry'!$BD$6:$BD$200,"&lt;&gt;*Negative*"))</f>
        <v>0</v>
      </c>
      <c r="BV129" s="15">
        <f>SUM(COUNTIFS('Data entry'!$R$6:$R$200,'Summary Data'!$A129,'Data entry'!$B$6:$B$200,{"Confirmed";"Probable"},'Data entry'!$AQ$6:$AQ$200,'Data Validation'!$V$10, 'Data entry'!$AP$6:$AP$200,'Data Validation'!$U$4, 'Data entry'!$BD$6:$BD$200,"&lt;&gt;*Negative*"))</f>
        <v>0</v>
      </c>
      <c r="BW129" s="15">
        <f>SUM(COUNTIFS('Data entry'!$R$6:$R$200,'Summary Data'!$A129,'Data entry'!$B$6:$B$200,{"Confirmed";"Probable"},'Data entry'!$AQ$6:$AQ$200,'Data Validation'!$V$10, 'Data entry'!$AP$6:$AP$200,'Data Validation'!$U$5, 'Data entry'!$BD$6:$BD$200,"&lt;&gt;*Negative*"))</f>
        <v>0</v>
      </c>
      <c r="BX129" s="15">
        <f>SUM(COUNTIFS('Data entry'!$R$6:$R$200,'Summary Data'!$A129,'Data entry'!$B$6:$B$200,{"Confirmed";"Probable"},'Data entry'!$AQ$6:$AQ$200,'Data Validation'!$V$10, 'Data entry'!$AP$6:$AP$200,'Data Validation'!$U$6, 'Data entry'!$BD$6:$BD$200,"&lt;&gt;*Negative*"))</f>
        <v>0</v>
      </c>
      <c r="BY129" s="15">
        <f>SUM(COUNTIFS('Data entry'!$R$6:$R$200,'Summary Data'!$A129,'Data entry'!$B$6:$B$200,{"Confirmed";"Probable"},'Data entry'!$AQ$6:$AQ$200,'Data Validation'!$V$11, 'Data entry'!$AP$6:$AP$200,'Data Validation'!$U$2, 'Data entry'!$BD$6:$BD$200,"&lt;&gt;*Negative*"))</f>
        <v>0</v>
      </c>
      <c r="BZ129" s="15">
        <f>SUM(COUNTIFS('Data entry'!$R$6:$R$200,'Summary Data'!$A129,'Data entry'!$B$6:$B$200,{"Confirmed";"Probable"},'Data entry'!$AQ$6:$AQ$200,'Data Validation'!$V$11, 'Data entry'!$AP$6:$AP$200,'Data Validation'!$U$3, 'Data entry'!$BD$6:$BD$200,"&lt;&gt;*Negative*"))</f>
        <v>0</v>
      </c>
      <c r="CA129" s="15">
        <f>SUM(COUNTIFS('Data entry'!$R$6:$R$200,'Summary Data'!$A129,'Data entry'!$B$6:$B$200,{"Confirmed";"Probable"},'Data entry'!$AQ$6:$AQ$200,'Data Validation'!$V$11, 'Data entry'!$AP$6:$AP$200,'Data Validation'!$U$4, 'Data entry'!$BD$6:$BD$200,"&lt;&gt;*Negative*"))</f>
        <v>0</v>
      </c>
      <c r="CB129" s="15">
        <f>SUM(COUNTIFS('Data entry'!$R$6:$R$200,'Summary Data'!$A129,'Data entry'!$B$6:$B$200,{"Confirmed";"Probable"},'Data entry'!$AQ$6:$AQ$200,'Data Validation'!$V$11, 'Data entry'!$AP$6:$AP$200,'Data Validation'!$U$5, 'Data entry'!$BD$6:$BD$200,"&lt;&gt;*Negative*"))</f>
        <v>0</v>
      </c>
      <c r="CC129" s="15">
        <f>SUM(COUNTIFS('Data entry'!$R$6:$R$200,'Summary Data'!$A129,'Data entry'!$B$6:$B$200,{"Confirmed";"Probable"},'Data entry'!$AQ$6:$AQ$200,'Data Validation'!$V$11, 'Data entry'!$AP$6:$AP$200,'Data Validation'!$U$6, 'Data entry'!$BD$6:$BD$200,"&lt;&gt;*Negative*"))</f>
        <v>0</v>
      </c>
    </row>
    <row r="130" spans="1:81" x14ac:dyDescent="0.25">
      <c r="A130" s="12">
        <f t="shared" si="9"/>
        <v>118</v>
      </c>
      <c r="B130" s="13">
        <f t="shared" si="6"/>
        <v>0</v>
      </c>
      <c r="C130" s="13">
        <f>COUNTIFS('Data entry'!$R$6:$R$200,$A130,'Data entry'!$B$6:$B$200,"Confirmed",'Data entry'!$BD$6:$BD$200,"&lt;&gt;*Negative*")</f>
        <v>0</v>
      </c>
      <c r="D130" s="13">
        <f>COUNTIFS('Data entry'!$R$6:$R$200,$A130,'Data entry'!$B$6:$B$200,"Probable",'Data entry'!$BD$6:$BD$200,"&lt;&gt;*Negative*")</f>
        <v>0</v>
      </c>
      <c r="E130" s="13">
        <f>COUNTIFS('Data entry'!$R$6:$R$200,$A130,'Data entry'!$B$6:$B$200,"DNM")</f>
        <v>0</v>
      </c>
      <c r="F130" s="13">
        <f>SUM(COUNTIFS('Data entry'!$R$6:$R$200,'Summary Data'!$A130,'Data entry'!$B$6:$B$200,{"Confirmed";"Probable"},'Data entry'!$AO$6:$AO$200,$F$10, 'Data entry'!$BD$6:$BD$200,"&lt;&gt;*Negative*"))</f>
        <v>0</v>
      </c>
      <c r="G130" s="13">
        <f>SUM(COUNTIFS('Data entry'!$R$6:$R$200,'Summary Data'!$A130,'Data entry'!$B$6:$B$200,{"Confirmed";"Probable"},'Data entry'!$AO$6:$AO$200,$G$10, 'Data entry'!$BD$6:$BD$200,"&lt;&gt;*Negative*"))</f>
        <v>0</v>
      </c>
      <c r="H130" s="13">
        <f>SUM(COUNTIFS('Data entry'!$R$6:$R$200,'Summary Data'!$A130,'Data entry'!$B$6:$B$200,{"Confirmed";"Probable"},'Data entry'!$AO$6:$AO$200,$H$10, 'Data entry'!$BD$6:$BD$200,"&lt;&gt;*Negative*"))</f>
        <v>0</v>
      </c>
      <c r="I130" s="13">
        <f>SUM(COUNTIFS('Data entry'!$R$6:$R$200,'Summary Data'!$A130,'Data entry'!$B$6:$B$200,{"Confirmed";"Probable"},'Data entry'!$AO$6:$AO$200,$I$10, 'Data entry'!$BD$6:$BD$200,"&lt;&gt;*Negative*"))</f>
        <v>0</v>
      </c>
      <c r="J130" s="13">
        <f>SUM(COUNTIFS('Data entry'!$R$6:$R$200,'Summary Data'!$A130,'Data entry'!$B$6:$B$200,{"Confirmed";"Probable"},'Data entry'!$AO$6:$AO$200,$J$10, 'Data entry'!$BD$6:$BD$200,"&lt;&gt;*Negative*"))</f>
        <v>0</v>
      </c>
      <c r="K130" s="13">
        <f>SUM(COUNTIFS('Data entry'!$R$6:$R$200,'Summary Data'!$A130,'Data entry'!$B$6:$B$200,{"Confirmed";"Probable"},'Data entry'!$AO$6:$AO$200,$K$10, 'Data entry'!$BD$6:$BD$200,"&lt;&gt;*Negative*"))</f>
        <v>0</v>
      </c>
      <c r="L130" s="13">
        <f>SUM(COUNTIFS('Data entry'!$R$6:$R$200,'Summary Data'!$A130,'Data entry'!$B$6:$B$200,{"Confirmed";"Probable"},'Data entry'!$AO$6:$AO$200,$L$10, 'Data entry'!$BD$6:$BD$200,"&lt;&gt;*Negative*"))</f>
        <v>0</v>
      </c>
      <c r="M130" s="13">
        <f>SUM(COUNTIFS('Data entry'!$R$6:$R$200,'Summary Data'!$A130,'Data entry'!$B$6:$B$200,{"Confirmed";"Probable"},'Data entry'!$AO$6:$AO$200,$M$10, 'Data entry'!$BD$6:$BD$200,"&lt;&gt;*Negative*"))</f>
        <v>0</v>
      </c>
      <c r="N130" s="13">
        <f>SUM(COUNTIFS('Data entry'!$R$6:$R$200,'Summary Data'!$A130,'Data entry'!$B$6:$B$200,{"Confirmed";"Probable"},'Data entry'!$AO$6:$AO$200,$N$10, 'Data entry'!$BD$6:$BD$200,"&lt;&gt;*Negative*"))</f>
        <v>0</v>
      </c>
      <c r="O130" s="15">
        <f t="shared" si="7"/>
        <v>0</v>
      </c>
      <c r="P130" s="15">
        <f t="shared" si="8"/>
        <v>0</v>
      </c>
      <c r="Q130" s="15">
        <f>SUM(COUNTIFS('Data entry'!$R$6:$R$200,'Summary Data'!$A130,'Data entry'!$B$6:$B$200,{"Confirmed";"Probable"},'Data entry'!$AP$6:$AP$200,'Data Validation'!$U$2, 'Data entry'!$BD$6:$BD$200,"&lt;&gt;*Negative*"))</f>
        <v>0</v>
      </c>
      <c r="R130" s="15">
        <f>SUM(COUNTIFS('Data entry'!$R$6:$R$200,'Summary Data'!$A130,'Data entry'!$B$6:$B$200,{"Confirmed";"Probable"},'Data entry'!$AP$6:$AP$200,'Data Validation'!$U$3, 'Data entry'!$BD$6:$BD$200,"&lt;&gt;*Negative*"))</f>
        <v>0</v>
      </c>
      <c r="S130" s="15">
        <f>SUM(COUNTIFS('Data entry'!$R$6:$R$200,'Summary Data'!$A130,'Data entry'!$B$6:$B$200,{"Confirmed";"Probable"},'Data entry'!$AP$6:$AP$200,'Data Validation'!$U$4, 'Data entry'!$BD$6:$BD$200,"&lt;&gt;*Negative*"))</f>
        <v>0</v>
      </c>
      <c r="T130" s="15">
        <f>SUM(COUNTIFS('Data entry'!$R$6:$R$200,'Summary Data'!$A130,'Data entry'!$B$6:$B$200,{"Confirmed";"Probable"},'Data entry'!$AP$6:$AP$200,'Data Validation'!$U$5, 'Data entry'!$BD$6:$BD$200,"&lt;&gt;*Negative*"))</f>
        <v>0</v>
      </c>
      <c r="U130" s="15">
        <f>SUM(COUNTIFS('Data entry'!$R$6:$R$200,'Summary Data'!$A130,'Data entry'!$B$6:$B$200,{"Confirmed";"Probable"},'Data entry'!$AP$6:$AP$200,'Data Validation'!$U$6, 'Data entry'!$BD$6:$BD$200,"&lt;&gt;*Negative*"))</f>
        <v>0</v>
      </c>
      <c r="V130" s="15">
        <f>SUM(COUNTIFS('Data entry'!$R$6:$R$200,'Summary Data'!$A130,'Data entry'!$B$6:$B$200,{"Confirmed";"Probable"},'Data entry'!$AQ$6:$AQ$200,'Data Validation'!$V$2, 'Data entry'!$BD$6:$BD$200,"&lt;&gt;*Negative*"))</f>
        <v>0</v>
      </c>
      <c r="W130" s="15">
        <f>SUM(COUNTIFS('Data entry'!$R$6:$R$200,'Summary Data'!$A130,'Data entry'!$B$6:$B$200,{"Confirmed";"Probable"},'Data entry'!$AQ$6:$AQ$200,'Data Validation'!$V$3, 'Data entry'!$BD$6:$BD$200,"&lt;&gt;*Negative*"))</f>
        <v>0</v>
      </c>
      <c r="X130" s="15">
        <f>SUM(COUNTIFS('Data entry'!$R$6:$R$200,'Summary Data'!$A130,'Data entry'!$B$6:$B$200,{"Confirmed";"Probable"},'Data entry'!$AQ$6:$AQ$200,'Data Validation'!$V$4, 'Data entry'!$BD$6:$BD$200,"&lt;&gt;*Negative*"))</f>
        <v>0</v>
      </c>
      <c r="Y130" s="15">
        <f>SUM(COUNTIFS('Data entry'!$R$6:$R$200,'Summary Data'!$A130,'Data entry'!$B$6:$B$200,{"Confirmed";"Probable"},'Data entry'!$AQ$6:$AQ$200,'Data Validation'!$V$5, 'Data entry'!$BD$6:$BD$200,"&lt;&gt;*Negative*"))</f>
        <v>0</v>
      </c>
      <c r="Z130" s="15">
        <f>SUM(COUNTIFS('Data entry'!$R$6:$R$200,'Summary Data'!$A130,'Data entry'!$B$6:$B$200,{"Confirmed";"Probable"},'Data entry'!$AQ$6:$AQ$200,'Data Validation'!$V$6, 'Data entry'!$BD$6:$BD$200,"&lt;&gt;*Negative*"))</f>
        <v>0</v>
      </c>
      <c r="AA130" s="15">
        <f>SUM(COUNTIFS('Data entry'!$R$6:$R$200,'Summary Data'!$A130,'Data entry'!$B$6:$B$200,{"Confirmed";"Probable"},'Data entry'!$AQ$6:$AQ$200,'Data Validation'!$V$7, 'Data entry'!$BD$6:$BD$200,"&lt;&gt;*Negative*"))</f>
        <v>0</v>
      </c>
      <c r="AB130" s="15">
        <f>SUM(COUNTIFS('Data entry'!$R$6:$R$200,'Summary Data'!$A130,'Data entry'!$B$6:$B$200,{"Confirmed";"Probable"},'Data entry'!$AQ$6:$AQ$200,'Data Validation'!$V$8, 'Data entry'!$BD$6:$BD$200,"&lt;&gt;*Negative*"))</f>
        <v>0</v>
      </c>
      <c r="AC130" s="15">
        <f>SUM(COUNTIFS('Data entry'!$R$6:$R$200,'Summary Data'!$A130,'Data entry'!$B$6:$B$200,{"Confirmed";"Probable"},'Data entry'!$AQ$6:$AQ$200,'Data Validation'!$V$9, 'Data entry'!$BD$6:$BD$200,"&lt;&gt;*Negative*"))</f>
        <v>0</v>
      </c>
      <c r="AD130" s="15">
        <f>SUM(COUNTIFS('Data entry'!$R$6:$R$200,'Summary Data'!$A130,'Data entry'!$B$6:$B$200,{"Confirmed";"Probable"},'Data entry'!$AQ$6:$AQ$200,'Data Validation'!$V$10, 'Data entry'!$BD$6:$BD$200,"&lt;&gt;*Negative*"))</f>
        <v>0</v>
      </c>
      <c r="AE130" s="15">
        <f>SUM(COUNTIFS('Data entry'!$R$6:$R$200,'Summary Data'!$A130,'Data entry'!$B$6:$B$200,{"Confirmed";"Probable"},'Data entry'!$AQ$6:$AQ$200,'Data Validation'!$V$11, 'Data entry'!$BD$6:$BD$200,"&lt;&gt;*Negative*"))</f>
        <v>0</v>
      </c>
      <c r="AF130" s="15">
        <f>SUM(COUNTIFS('Data entry'!$R$6:$R$200,'Summary Data'!$A130,'Data entry'!$B$6:$B$200,{"Confirmed";"Probable"},'Data entry'!$AQ$6:$AQ$200,'Data Validation'!$V$2, 'Data entry'!$AP$6:$AP$200,'Data Validation'!$U$2, 'Data entry'!$BD$6:$BD$200,"&lt;&gt;*Negative*"))</f>
        <v>0</v>
      </c>
      <c r="AG130" s="15">
        <f>SUM(COUNTIFS('Data entry'!$R$6:$R$200,'Summary Data'!$A130,'Data entry'!$B$6:$B$200,{"Confirmed";"Probable"},'Data entry'!$AQ$6:$AQ$200,'Data Validation'!$V$2, 'Data entry'!$AP$6:$AP$200,'Data Validation'!$U$3, 'Data entry'!$BD$6:$BD$200,"&lt;&gt;*Negative*"))</f>
        <v>0</v>
      </c>
      <c r="AH130" s="15">
        <f>SUM(COUNTIFS('Data entry'!$R$6:$R$200,'Summary Data'!$A130,'Data entry'!$B$6:$B$200,{"Confirmed";"Probable"},'Data entry'!$AQ$6:$AQ$200,'Data Validation'!$V$2, 'Data entry'!$AP$6:$AP$200,'Data Validation'!$U$4, 'Data entry'!$BD$6:$BD$200,"&lt;&gt;*Negative*"))</f>
        <v>0</v>
      </c>
      <c r="AI130" s="15">
        <f>SUM(COUNTIFS('Data entry'!$R$6:$R$200,'Summary Data'!$A130,'Data entry'!$B$6:$B$200,{"Confirmed";"Probable"},'Data entry'!$AQ$6:$AQ$200,'Data Validation'!$V$2, 'Data entry'!$AP$6:$AP$200,'Data Validation'!$U$5, 'Data entry'!$BD$6:$BD$200,"&lt;&gt;*Negative*"))</f>
        <v>0</v>
      </c>
      <c r="AJ130" s="15">
        <f>SUM(COUNTIFS('Data entry'!$R$6:$R$200,'Summary Data'!$A130,'Data entry'!$B$6:$B$200,{"Confirmed";"Probable"},'Data entry'!$AQ$6:$AQ$200,'Data Validation'!$V$2, 'Data entry'!$AP$6:$AP$200,'Data Validation'!$U$6, 'Data entry'!$BD$6:$BD$200,"&lt;&gt;*Negative*"))</f>
        <v>0</v>
      </c>
      <c r="AK130" s="15">
        <f>SUM(COUNTIFS('Data entry'!$R$6:$R$200,'Summary Data'!$A130,'Data entry'!$B$6:$B$200,{"Confirmed";"Probable"},'Data entry'!$AQ$6:$AQ$200,'Data Validation'!$V$3, 'Data entry'!$AP$6:$AP$200,'Data Validation'!$U$2, 'Data entry'!$BD$6:$BD$200,"&lt;&gt;*Negative*"))</f>
        <v>0</v>
      </c>
      <c r="AL130" s="15">
        <f>SUM(COUNTIFS('Data entry'!$R$6:$R$200,'Summary Data'!$A130,'Data entry'!$B$6:$B$200,{"Confirmed";"Probable"},'Data entry'!$AQ$6:$AQ$200,'Data Validation'!$V$3, 'Data entry'!$AP$6:$AP$200,'Data Validation'!$U$3, 'Data entry'!$BD$6:$BD$200,"&lt;&gt;*Negative*"))</f>
        <v>0</v>
      </c>
      <c r="AM130" s="15">
        <f>SUM(COUNTIFS('Data entry'!$R$6:$R$200,'Summary Data'!$A130,'Data entry'!$B$6:$B$200,{"Confirmed";"Probable"},'Data entry'!$AQ$6:$AQ$200,'Data Validation'!$V$3, 'Data entry'!$AP$6:$AP$200,'Data Validation'!$U$4, 'Data entry'!$BD$6:$BD$200,"&lt;&gt;*Negative*"))</f>
        <v>0</v>
      </c>
      <c r="AN130" s="15">
        <f>SUM(COUNTIFS('Data entry'!$R$6:$R$200,'Summary Data'!$A130,'Data entry'!$B$6:$B$200,{"Confirmed";"Probable"},'Data entry'!$AQ$6:$AQ$200,'Data Validation'!$V$3, 'Data entry'!$AP$6:$AP$200,'Data Validation'!$U$5, 'Data entry'!$BD$6:$BD$200,"&lt;&gt;*Negative*"))</f>
        <v>0</v>
      </c>
      <c r="AO130" s="15">
        <f>SUM(COUNTIFS('Data entry'!$R$6:$R$200,'Summary Data'!$A130,'Data entry'!$B$6:$B$200,{"Confirmed";"Probable"},'Data entry'!$AQ$6:$AQ$200,'Data Validation'!$V$3, 'Data entry'!$AP$6:$AP$200,'Data Validation'!$U$6, 'Data entry'!$BD$6:$BD$200,"&lt;&gt;*Negative*"))</f>
        <v>0</v>
      </c>
      <c r="AP130" s="15">
        <f>SUM(COUNTIFS('Data entry'!$R$6:$R$200,'Summary Data'!$A130,'Data entry'!$B$6:$B$200,{"Confirmed";"Probable"},'Data entry'!$AQ$6:$AQ$200,'Data Validation'!$V$4, 'Data entry'!$AP$6:$AP$200,'Data Validation'!$U$2, 'Data entry'!$BD$6:$BD$200,"&lt;&gt;*Negative*"))</f>
        <v>0</v>
      </c>
      <c r="AQ130" s="15">
        <f>SUM(COUNTIFS('Data entry'!$R$6:$R$200,'Summary Data'!$A130,'Data entry'!$B$6:$B$200,{"Confirmed";"Probable"},'Data entry'!$AQ$6:$AQ$200,'Data Validation'!$V$4, 'Data entry'!$AP$6:$AP$200,'Data Validation'!$U$3, 'Data entry'!$BD$6:$BD$200,"&lt;&gt;*Negative*"))</f>
        <v>0</v>
      </c>
      <c r="AR130" s="15">
        <f>SUM(COUNTIFS('Data entry'!$R$6:$R$200,'Summary Data'!$A130,'Data entry'!$B$6:$B$200,{"Confirmed";"Probable"},'Data entry'!$AQ$6:$AQ$200,'Data Validation'!$V$4, 'Data entry'!$AP$6:$AP$200,'Data Validation'!$U$4, 'Data entry'!$BD$6:$BD$200,"&lt;&gt;*Negative*"))</f>
        <v>0</v>
      </c>
      <c r="AS130" s="15">
        <f>SUM(COUNTIFS('Data entry'!$R$6:$R$200,'Summary Data'!$A130,'Data entry'!$B$6:$B$200,{"Confirmed";"Probable"},'Data entry'!$AQ$6:$AQ$200,'Data Validation'!$V$4, 'Data entry'!$AP$6:$AP$200,'Data Validation'!$U$5, 'Data entry'!$BD$6:$BD$200,"&lt;&gt;*Negative*"))</f>
        <v>0</v>
      </c>
      <c r="AT130" s="15">
        <f>SUM(COUNTIFS('Data entry'!$R$6:$R$200,'Summary Data'!$A130,'Data entry'!$B$6:$B$200,{"Confirmed";"Probable"},'Data entry'!$AQ$6:$AQ$200,'Data Validation'!$V$4, 'Data entry'!$AP$6:$AP$200,'Data Validation'!$U$6, 'Data entry'!$BD$6:$BD$200,"&lt;&gt;*Negative*"))</f>
        <v>0</v>
      </c>
      <c r="AU130" s="15">
        <f>SUM(COUNTIFS('Data entry'!$R$6:$R$200,'Summary Data'!$A130,'Data entry'!$B$6:$B$200,{"Confirmed";"Probable"},'Data entry'!$AQ$6:$AQ$200,'Data Validation'!$V$5, 'Data entry'!$AP$6:$AP$200,'Data Validation'!$U$2, 'Data entry'!$BD$6:$BD$200,"&lt;&gt;*Negative*"))</f>
        <v>0</v>
      </c>
      <c r="AV130" s="15">
        <f>SUM(COUNTIFS('Data entry'!$R$6:$R$200,'Summary Data'!$A130,'Data entry'!$B$6:$B$200,{"Confirmed";"Probable"},'Data entry'!$AQ$6:$AQ$200,'Data Validation'!$V$5, 'Data entry'!$AP$6:$AP$200,'Data Validation'!$U$3, 'Data entry'!$BD$6:$BD$200,"&lt;&gt;*Negative*"))</f>
        <v>0</v>
      </c>
      <c r="AW130" s="15">
        <f>SUM(COUNTIFS('Data entry'!$R$6:$R$200,'Summary Data'!$A130,'Data entry'!$B$6:$B$200,{"Confirmed";"Probable"},'Data entry'!$AQ$6:$AQ$200,'Data Validation'!$V$5, 'Data entry'!$AP$6:$AP$200,'Data Validation'!$U$4, 'Data entry'!$BD$6:$BD$200,"&lt;&gt;*Negative*"))</f>
        <v>0</v>
      </c>
      <c r="AX130" s="15">
        <f>SUM(COUNTIFS('Data entry'!$R$6:$R$200,'Summary Data'!$A130,'Data entry'!$B$6:$B$200,{"Confirmed";"Probable"},'Data entry'!$AQ$6:$AQ$200,'Data Validation'!$V$5, 'Data entry'!$AP$6:$AP$200,'Data Validation'!$U$5, 'Data entry'!$BD$6:$BD$200,"&lt;&gt;*Negative*"))</f>
        <v>0</v>
      </c>
      <c r="AY130" s="15">
        <f>SUM(COUNTIFS('Data entry'!$R$6:$R$200,'Summary Data'!$A130,'Data entry'!$B$6:$B$200,{"Confirmed";"Probable"},'Data entry'!$AQ$6:$AQ$200,'Data Validation'!$V$5, 'Data entry'!$AP$6:$AP$200,'Data Validation'!$U$6, 'Data entry'!$BD$6:$BD$200,"&lt;&gt;*Negative*"))</f>
        <v>0</v>
      </c>
      <c r="AZ130" s="15">
        <f>SUM(COUNTIFS('Data entry'!$R$6:$R$200,'Summary Data'!$A130,'Data entry'!$B$6:$B$200,{"Confirmed";"Probable"},'Data entry'!$AQ$6:$AQ$200,'Data Validation'!$V$6, 'Data entry'!$AP$6:$AP$200,'Data Validation'!$U$2, 'Data entry'!$BD$6:$BD$200,"&lt;&gt;*Negative*"))</f>
        <v>0</v>
      </c>
      <c r="BA130" s="15">
        <f>SUM(COUNTIFS('Data entry'!$R$6:$R$200,'Summary Data'!$A130,'Data entry'!$B$6:$B$200,{"Confirmed";"Probable"},'Data entry'!$AQ$6:$AQ$200,'Data Validation'!$V$6, 'Data entry'!$AP$6:$AP$200,'Data Validation'!$U$3, 'Data entry'!$BD$6:$BD$200,"&lt;&gt;*Negative*"))</f>
        <v>0</v>
      </c>
      <c r="BB130" s="15">
        <f>SUM(COUNTIFS('Data entry'!$R$6:$R$200,'Summary Data'!$A130,'Data entry'!$B$6:$B$200,{"Confirmed";"Probable"},'Data entry'!$AQ$6:$AQ$200,'Data Validation'!$V$6, 'Data entry'!$AP$6:$AP$200,'Data Validation'!$U$4, 'Data entry'!$BD$6:$BD$200,"&lt;&gt;*Negative*"))</f>
        <v>0</v>
      </c>
      <c r="BC130" s="15">
        <f>SUM(COUNTIFS('Data entry'!$R$6:$R$200,'Summary Data'!$A130,'Data entry'!$B$6:$B$200,{"Confirmed";"Probable"},'Data entry'!$AQ$6:$AQ$200,'Data Validation'!$V$6, 'Data entry'!$AP$6:$AP$200,'Data Validation'!$U$5, 'Data entry'!$BD$6:$BD$200,"&lt;&gt;*Negative*"))</f>
        <v>0</v>
      </c>
      <c r="BD130" s="15">
        <f>SUM(COUNTIFS('Data entry'!$R$6:$R$200,'Summary Data'!$A130,'Data entry'!$B$6:$B$200,{"Confirmed";"Probable"},'Data entry'!$AQ$6:$AQ$200,'Data Validation'!$V$6, 'Data entry'!$AP$6:$AP$200,'Data Validation'!$U$6, 'Data entry'!$BD$6:$BD$200,"&lt;&gt;*Negative*"))</f>
        <v>0</v>
      </c>
      <c r="BE130" s="15">
        <f>SUM(COUNTIFS('Data entry'!$R$6:$R$200,'Summary Data'!$A130,'Data entry'!$B$6:$B$200,{"Confirmed";"Probable"},'Data entry'!$AQ$6:$AQ$200,'Data Validation'!$V$7, 'Data entry'!$AP$6:$AP$200,'Data Validation'!$U$2, 'Data entry'!$BD$6:$BD$200,"&lt;&gt;*Negative*"))</f>
        <v>0</v>
      </c>
      <c r="BF130" s="15">
        <f>SUM(COUNTIFS('Data entry'!$R$6:$R$200,'Summary Data'!$A130,'Data entry'!$B$6:$B$200,{"Confirmed";"Probable"},'Data entry'!$AQ$6:$AQ$200,'Data Validation'!$V$7, 'Data entry'!$AP$6:$AP$200,'Data Validation'!$U$3, 'Data entry'!$BD$6:$BD$200,"&lt;&gt;*Negative*"))</f>
        <v>0</v>
      </c>
      <c r="BG130" s="15">
        <f>SUM(COUNTIFS('Data entry'!$R$6:$R$200,'Summary Data'!$A130,'Data entry'!$B$6:$B$200,{"Confirmed";"Probable"},'Data entry'!$AQ$6:$AQ$200,'Data Validation'!$V$7, 'Data entry'!$AP$6:$AP$200,'Data Validation'!$U$4, 'Data entry'!$BD$6:$BD$200,"&lt;&gt;*Negative*"))</f>
        <v>0</v>
      </c>
      <c r="BH130" s="15">
        <f>SUM(COUNTIFS('Data entry'!$R$6:$R$200,'Summary Data'!$A130,'Data entry'!$B$6:$B$200,{"Confirmed";"Probable"},'Data entry'!$AQ$6:$AQ$200,'Data Validation'!$V$7, 'Data entry'!$AP$6:$AP$200,'Data Validation'!$U$5, 'Data entry'!$BD$6:$BD$200,"&lt;&gt;*Negative*"))</f>
        <v>0</v>
      </c>
      <c r="BI130" s="15">
        <f>SUM(COUNTIFS('Data entry'!$R$6:$R$200,'Summary Data'!$A130,'Data entry'!$B$6:$B$200,{"Confirmed";"Probable"},'Data entry'!$AQ$6:$AQ$200,'Data Validation'!$V$7, 'Data entry'!$AP$6:$AP$200,'Data Validation'!$U$6, 'Data entry'!$BD$6:$BD$200,"&lt;&gt;*Negative*"))</f>
        <v>0</v>
      </c>
      <c r="BJ130" s="15">
        <f>SUM(COUNTIFS('Data entry'!$R$6:$R$200,'Summary Data'!$A130,'Data entry'!$B$6:$B$200,{"Confirmed";"Probable"},'Data entry'!$AQ$6:$AQ$200,'Data Validation'!$V$8, 'Data entry'!$AP$6:$AP$200,'Data Validation'!$U$2, 'Data entry'!$BD$6:$BD$200,"&lt;&gt;*Negative*"))</f>
        <v>0</v>
      </c>
      <c r="BK130" s="15">
        <f>SUM(COUNTIFS('Data entry'!$R$6:$R$200,'Summary Data'!$A130,'Data entry'!$B$6:$B$200,{"Confirmed";"Probable"},'Data entry'!$AQ$6:$AQ$200,'Data Validation'!$V$8, 'Data entry'!$AP$6:$AP$200,'Data Validation'!$U$3, 'Data entry'!$BD$6:$BD$200,"&lt;&gt;*Negative*"))</f>
        <v>0</v>
      </c>
      <c r="BL130" s="15">
        <f>SUM(COUNTIFS('Data entry'!$R$6:$R$200,'Summary Data'!$A130,'Data entry'!$B$6:$B$200,{"Confirmed";"Probable"},'Data entry'!$AQ$6:$AQ$200,'Data Validation'!$V$8, 'Data entry'!$AP$6:$AP$200,'Data Validation'!$U$4, 'Data entry'!$BD$6:$BD$200,"&lt;&gt;*Negative*"))</f>
        <v>0</v>
      </c>
      <c r="BM130" s="15">
        <f>SUM(COUNTIFS('Data entry'!$R$6:$R$200,'Summary Data'!$A130,'Data entry'!$B$6:$B$200,{"Confirmed";"Probable"},'Data entry'!$AQ$6:$AQ$200,'Data Validation'!$V$8, 'Data entry'!$AP$6:$AP$200,'Data Validation'!$U$5, 'Data entry'!$BD$6:$BD$200,"&lt;&gt;*Negative*"))</f>
        <v>0</v>
      </c>
      <c r="BN130" s="15">
        <f>SUM(COUNTIFS('Data entry'!$R$6:$R$200,'Summary Data'!$A130,'Data entry'!$B$6:$B$200,{"Confirmed";"Probable"},'Data entry'!$AQ$6:$AQ$200,'Data Validation'!$V$8, 'Data entry'!$AP$6:$AP$200,'Data Validation'!$U$6, 'Data entry'!$BD$6:$BD$200,"&lt;&gt;*Negative*"))</f>
        <v>0</v>
      </c>
      <c r="BO130" s="15">
        <f>SUM(COUNTIFS('Data entry'!$R$6:$R$200,'Summary Data'!$A130,'Data entry'!$B$6:$B$200,{"Confirmed";"Probable"},'Data entry'!$AQ$6:$AQ$200,'Data Validation'!$V$9, 'Data entry'!$AP$6:$AP$200,'Data Validation'!$U$2, 'Data entry'!$BD$6:$BD$200,"&lt;&gt;*Negative*"))</f>
        <v>0</v>
      </c>
      <c r="BP130" s="15">
        <f>SUM(COUNTIFS('Data entry'!$R$6:$R$200,'Summary Data'!$A130,'Data entry'!$B$6:$B$200,{"Confirmed";"Probable"},'Data entry'!$AQ$6:$AQ$200,'Data Validation'!$V$9, 'Data entry'!$AP$6:$AP$200,'Data Validation'!$U$3, 'Data entry'!$BD$6:$BD$200,"&lt;&gt;*Negative*"))</f>
        <v>0</v>
      </c>
      <c r="BQ130" s="15">
        <f>SUM(COUNTIFS('Data entry'!$R$6:$R$200,'Summary Data'!$A130,'Data entry'!$B$6:$B$200,{"Confirmed";"Probable"},'Data entry'!$AQ$6:$AQ$200,'Data Validation'!$V$9, 'Data entry'!$AP$6:$AP$200,'Data Validation'!$U$4, 'Data entry'!$BD$6:$BD$200,"&lt;&gt;*Negative*"))</f>
        <v>0</v>
      </c>
      <c r="BR130" s="15">
        <f>SUM(COUNTIFS('Data entry'!$R$6:$R$200,'Summary Data'!$A130,'Data entry'!$B$6:$B$200,{"Confirmed";"Probable"},'Data entry'!$AQ$6:$AQ$200,'Data Validation'!$V$9, 'Data entry'!$AP$6:$AP$200,'Data Validation'!$U$5, 'Data entry'!$BD$6:$BD$200,"&lt;&gt;*Negative*"))</f>
        <v>0</v>
      </c>
      <c r="BS130" s="15">
        <f>SUM(COUNTIFS('Data entry'!$R$6:$R$200,'Summary Data'!$A130,'Data entry'!$B$6:$B$200,{"Confirmed";"Probable"},'Data entry'!$AQ$6:$AQ$200,'Data Validation'!$V$9, 'Data entry'!$AP$6:$AP$200,'Data Validation'!$U$6, 'Data entry'!$BD$6:$BD$200,"&lt;&gt;*Negative*"))</f>
        <v>0</v>
      </c>
      <c r="BT130" s="15">
        <f>SUM(COUNTIFS('Data entry'!$R$6:$R$200,'Summary Data'!$A130,'Data entry'!$B$6:$B$200,{"Confirmed";"Probable"},'Data entry'!$AQ$6:$AQ$200,'Data Validation'!$V$10, 'Data entry'!$AP$6:$AP$200,'Data Validation'!$U$2, 'Data entry'!$BD$6:$BD$200,"&lt;&gt;*Negative*"))</f>
        <v>0</v>
      </c>
      <c r="BU130" s="15">
        <f>SUM(COUNTIFS('Data entry'!$R$6:$R$200,'Summary Data'!$A130,'Data entry'!$B$6:$B$200,{"Confirmed";"Probable"},'Data entry'!$AQ$6:$AQ$200,'Data Validation'!$V$10, 'Data entry'!$AP$6:$AP$200,'Data Validation'!$U$3, 'Data entry'!$BD$6:$BD$200,"&lt;&gt;*Negative*"))</f>
        <v>0</v>
      </c>
      <c r="BV130" s="15">
        <f>SUM(COUNTIFS('Data entry'!$R$6:$R$200,'Summary Data'!$A130,'Data entry'!$B$6:$B$200,{"Confirmed";"Probable"},'Data entry'!$AQ$6:$AQ$200,'Data Validation'!$V$10, 'Data entry'!$AP$6:$AP$200,'Data Validation'!$U$4, 'Data entry'!$BD$6:$BD$200,"&lt;&gt;*Negative*"))</f>
        <v>0</v>
      </c>
      <c r="BW130" s="15">
        <f>SUM(COUNTIFS('Data entry'!$R$6:$R$200,'Summary Data'!$A130,'Data entry'!$B$6:$B$200,{"Confirmed";"Probable"},'Data entry'!$AQ$6:$AQ$200,'Data Validation'!$V$10, 'Data entry'!$AP$6:$AP$200,'Data Validation'!$U$5, 'Data entry'!$BD$6:$BD$200,"&lt;&gt;*Negative*"))</f>
        <v>0</v>
      </c>
      <c r="BX130" s="15">
        <f>SUM(COUNTIFS('Data entry'!$R$6:$R$200,'Summary Data'!$A130,'Data entry'!$B$6:$B$200,{"Confirmed";"Probable"},'Data entry'!$AQ$6:$AQ$200,'Data Validation'!$V$10, 'Data entry'!$AP$6:$AP$200,'Data Validation'!$U$6, 'Data entry'!$BD$6:$BD$200,"&lt;&gt;*Negative*"))</f>
        <v>0</v>
      </c>
      <c r="BY130" s="15">
        <f>SUM(COUNTIFS('Data entry'!$R$6:$R$200,'Summary Data'!$A130,'Data entry'!$B$6:$B$200,{"Confirmed";"Probable"},'Data entry'!$AQ$6:$AQ$200,'Data Validation'!$V$11, 'Data entry'!$AP$6:$AP$200,'Data Validation'!$U$2, 'Data entry'!$BD$6:$BD$200,"&lt;&gt;*Negative*"))</f>
        <v>0</v>
      </c>
      <c r="BZ130" s="15">
        <f>SUM(COUNTIFS('Data entry'!$R$6:$R$200,'Summary Data'!$A130,'Data entry'!$B$6:$B$200,{"Confirmed";"Probable"},'Data entry'!$AQ$6:$AQ$200,'Data Validation'!$V$11, 'Data entry'!$AP$6:$AP$200,'Data Validation'!$U$3, 'Data entry'!$BD$6:$BD$200,"&lt;&gt;*Negative*"))</f>
        <v>0</v>
      </c>
      <c r="CA130" s="15">
        <f>SUM(COUNTIFS('Data entry'!$R$6:$R$200,'Summary Data'!$A130,'Data entry'!$B$6:$B$200,{"Confirmed";"Probable"},'Data entry'!$AQ$6:$AQ$200,'Data Validation'!$V$11, 'Data entry'!$AP$6:$AP$200,'Data Validation'!$U$4, 'Data entry'!$BD$6:$BD$200,"&lt;&gt;*Negative*"))</f>
        <v>0</v>
      </c>
      <c r="CB130" s="15">
        <f>SUM(COUNTIFS('Data entry'!$R$6:$R$200,'Summary Data'!$A130,'Data entry'!$B$6:$B$200,{"Confirmed";"Probable"},'Data entry'!$AQ$6:$AQ$200,'Data Validation'!$V$11, 'Data entry'!$AP$6:$AP$200,'Data Validation'!$U$5, 'Data entry'!$BD$6:$BD$200,"&lt;&gt;*Negative*"))</f>
        <v>0</v>
      </c>
      <c r="CC130" s="15">
        <f>SUM(COUNTIFS('Data entry'!$R$6:$R$200,'Summary Data'!$A130,'Data entry'!$B$6:$B$200,{"Confirmed";"Probable"},'Data entry'!$AQ$6:$AQ$200,'Data Validation'!$V$11, 'Data entry'!$AP$6:$AP$200,'Data Validation'!$U$6, 'Data entry'!$BD$6:$BD$200,"&lt;&gt;*Negative*"))</f>
        <v>0</v>
      </c>
    </row>
    <row r="131" spans="1:81" x14ac:dyDescent="0.25">
      <c r="A131" s="12">
        <f t="shared" si="9"/>
        <v>119</v>
      </c>
      <c r="B131" s="13">
        <f t="shared" si="6"/>
        <v>0</v>
      </c>
      <c r="C131" s="13">
        <f>COUNTIFS('Data entry'!$R$6:$R$200,$A131,'Data entry'!$B$6:$B$200,"Confirmed",'Data entry'!$BD$6:$BD$200,"&lt;&gt;*Negative*")</f>
        <v>0</v>
      </c>
      <c r="D131" s="13">
        <f>COUNTIFS('Data entry'!$R$6:$R$200,$A131,'Data entry'!$B$6:$B$200,"Probable",'Data entry'!$BD$6:$BD$200,"&lt;&gt;*Negative*")</f>
        <v>0</v>
      </c>
      <c r="E131" s="13">
        <f>COUNTIFS('Data entry'!$R$6:$R$200,$A131,'Data entry'!$B$6:$B$200,"DNM")</f>
        <v>0</v>
      </c>
      <c r="F131" s="13">
        <f>SUM(COUNTIFS('Data entry'!$R$6:$R$200,'Summary Data'!$A131,'Data entry'!$B$6:$B$200,{"Confirmed";"Probable"},'Data entry'!$AO$6:$AO$200,$F$10, 'Data entry'!$BD$6:$BD$200,"&lt;&gt;*Negative*"))</f>
        <v>0</v>
      </c>
      <c r="G131" s="13">
        <f>SUM(COUNTIFS('Data entry'!$R$6:$R$200,'Summary Data'!$A131,'Data entry'!$B$6:$B$200,{"Confirmed";"Probable"},'Data entry'!$AO$6:$AO$200,$G$10, 'Data entry'!$BD$6:$BD$200,"&lt;&gt;*Negative*"))</f>
        <v>0</v>
      </c>
      <c r="H131" s="13">
        <f>SUM(COUNTIFS('Data entry'!$R$6:$R$200,'Summary Data'!$A131,'Data entry'!$B$6:$B$200,{"Confirmed";"Probable"},'Data entry'!$AO$6:$AO$200,$H$10, 'Data entry'!$BD$6:$BD$200,"&lt;&gt;*Negative*"))</f>
        <v>0</v>
      </c>
      <c r="I131" s="13">
        <f>SUM(COUNTIFS('Data entry'!$R$6:$R$200,'Summary Data'!$A131,'Data entry'!$B$6:$B$200,{"Confirmed";"Probable"},'Data entry'!$AO$6:$AO$200,$I$10, 'Data entry'!$BD$6:$BD$200,"&lt;&gt;*Negative*"))</f>
        <v>0</v>
      </c>
      <c r="J131" s="13">
        <f>SUM(COUNTIFS('Data entry'!$R$6:$R$200,'Summary Data'!$A131,'Data entry'!$B$6:$B$200,{"Confirmed";"Probable"},'Data entry'!$AO$6:$AO$200,$J$10, 'Data entry'!$BD$6:$BD$200,"&lt;&gt;*Negative*"))</f>
        <v>0</v>
      </c>
      <c r="K131" s="13">
        <f>SUM(COUNTIFS('Data entry'!$R$6:$R$200,'Summary Data'!$A131,'Data entry'!$B$6:$B$200,{"Confirmed";"Probable"},'Data entry'!$AO$6:$AO$200,$K$10, 'Data entry'!$BD$6:$BD$200,"&lt;&gt;*Negative*"))</f>
        <v>0</v>
      </c>
      <c r="L131" s="13">
        <f>SUM(COUNTIFS('Data entry'!$R$6:$R$200,'Summary Data'!$A131,'Data entry'!$B$6:$B$200,{"Confirmed";"Probable"},'Data entry'!$AO$6:$AO$200,$L$10, 'Data entry'!$BD$6:$BD$200,"&lt;&gt;*Negative*"))</f>
        <v>0</v>
      </c>
      <c r="M131" s="13">
        <f>SUM(COUNTIFS('Data entry'!$R$6:$R$200,'Summary Data'!$A131,'Data entry'!$B$6:$B$200,{"Confirmed";"Probable"},'Data entry'!$AO$6:$AO$200,$M$10, 'Data entry'!$BD$6:$BD$200,"&lt;&gt;*Negative*"))</f>
        <v>0</v>
      </c>
      <c r="N131" s="13">
        <f>SUM(COUNTIFS('Data entry'!$R$6:$R$200,'Summary Data'!$A131,'Data entry'!$B$6:$B$200,{"Confirmed";"Probable"},'Data entry'!$AO$6:$AO$200,$N$10, 'Data entry'!$BD$6:$BD$200,"&lt;&gt;*Negative*"))</f>
        <v>0</v>
      </c>
      <c r="O131" s="15">
        <f t="shared" si="7"/>
        <v>0</v>
      </c>
      <c r="P131" s="15">
        <f t="shared" si="8"/>
        <v>0</v>
      </c>
      <c r="Q131" s="15">
        <f>SUM(COUNTIFS('Data entry'!$R$6:$R$200,'Summary Data'!$A131,'Data entry'!$B$6:$B$200,{"Confirmed";"Probable"},'Data entry'!$AP$6:$AP$200,'Data Validation'!$U$2, 'Data entry'!$BD$6:$BD$200,"&lt;&gt;*Negative*"))</f>
        <v>0</v>
      </c>
      <c r="R131" s="15">
        <f>SUM(COUNTIFS('Data entry'!$R$6:$R$200,'Summary Data'!$A131,'Data entry'!$B$6:$B$200,{"Confirmed";"Probable"},'Data entry'!$AP$6:$AP$200,'Data Validation'!$U$3, 'Data entry'!$BD$6:$BD$200,"&lt;&gt;*Negative*"))</f>
        <v>0</v>
      </c>
      <c r="S131" s="15">
        <f>SUM(COUNTIFS('Data entry'!$R$6:$R$200,'Summary Data'!$A131,'Data entry'!$B$6:$B$200,{"Confirmed";"Probable"},'Data entry'!$AP$6:$AP$200,'Data Validation'!$U$4, 'Data entry'!$BD$6:$BD$200,"&lt;&gt;*Negative*"))</f>
        <v>0</v>
      </c>
      <c r="T131" s="15">
        <f>SUM(COUNTIFS('Data entry'!$R$6:$R$200,'Summary Data'!$A131,'Data entry'!$B$6:$B$200,{"Confirmed";"Probable"},'Data entry'!$AP$6:$AP$200,'Data Validation'!$U$5, 'Data entry'!$BD$6:$BD$200,"&lt;&gt;*Negative*"))</f>
        <v>0</v>
      </c>
      <c r="U131" s="15">
        <f>SUM(COUNTIFS('Data entry'!$R$6:$R$200,'Summary Data'!$A131,'Data entry'!$B$6:$B$200,{"Confirmed";"Probable"},'Data entry'!$AP$6:$AP$200,'Data Validation'!$U$6, 'Data entry'!$BD$6:$BD$200,"&lt;&gt;*Negative*"))</f>
        <v>0</v>
      </c>
      <c r="V131" s="15">
        <f>SUM(COUNTIFS('Data entry'!$R$6:$R$200,'Summary Data'!$A131,'Data entry'!$B$6:$B$200,{"Confirmed";"Probable"},'Data entry'!$AQ$6:$AQ$200,'Data Validation'!$V$2, 'Data entry'!$BD$6:$BD$200,"&lt;&gt;*Negative*"))</f>
        <v>0</v>
      </c>
      <c r="W131" s="15">
        <f>SUM(COUNTIFS('Data entry'!$R$6:$R$200,'Summary Data'!$A131,'Data entry'!$B$6:$B$200,{"Confirmed";"Probable"},'Data entry'!$AQ$6:$AQ$200,'Data Validation'!$V$3, 'Data entry'!$BD$6:$BD$200,"&lt;&gt;*Negative*"))</f>
        <v>0</v>
      </c>
      <c r="X131" s="15">
        <f>SUM(COUNTIFS('Data entry'!$R$6:$R$200,'Summary Data'!$A131,'Data entry'!$B$6:$B$200,{"Confirmed";"Probable"},'Data entry'!$AQ$6:$AQ$200,'Data Validation'!$V$4, 'Data entry'!$BD$6:$BD$200,"&lt;&gt;*Negative*"))</f>
        <v>0</v>
      </c>
      <c r="Y131" s="15">
        <f>SUM(COUNTIFS('Data entry'!$R$6:$R$200,'Summary Data'!$A131,'Data entry'!$B$6:$B$200,{"Confirmed";"Probable"},'Data entry'!$AQ$6:$AQ$200,'Data Validation'!$V$5, 'Data entry'!$BD$6:$BD$200,"&lt;&gt;*Negative*"))</f>
        <v>0</v>
      </c>
      <c r="Z131" s="15">
        <f>SUM(COUNTIFS('Data entry'!$R$6:$R$200,'Summary Data'!$A131,'Data entry'!$B$6:$B$200,{"Confirmed";"Probable"},'Data entry'!$AQ$6:$AQ$200,'Data Validation'!$V$6, 'Data entry'!$BD$6:$BD$200,"&lt;&gt;*Negative*"))</f>
        <v>0</v>
      </c>
      <c r="AA131" s="15">
        <f>SUM(COUNTIFS('Data entry'!$R$6:$R$200,'Summary Data'!$A131,'Data entry'!$B$6:$B$200,{"Confirmed";"Probable"},'Data entry'!$AQ$6:$AQ$200,'Data Validation'!$V$7, 'Data entry'!$BD$6:$BD$200,"&lt;&gt;*Negative*"))</f>
        <v>0</v>
      </c>
      <c r="AB131" s="15">
        <f>SUM(COUNTIFS('Data entry'!$R$6:$R$200,'Summary Data'!$A131,'Data entry'!$B$6:$B$200,{"Confirmed";"Probable"},'Data entry'!$AQ$6:$AQ$200,'Data Validation'!$V$8, 'Data entry'!$BD$6:$BD$200,"&lt;&gt;*Negative*"))</f>
        <v>0</v>
      </c>
      <c r="AC131" s="15">
        <f>SUM(COUNTIFS('Data entry'!$R$6:$R$200,'Summary Data'!$A131,'Data entry'!$B$6:$B$200,{"Confirmed";"Probable"},'Data entry'!$AQ$6:$AQ$200,'Data Validation'!$V$9, 'Data entry'!$BD$6:$BD$200,"&lt;&gt;*Negative*"))</f>
        <v>0</v>
      </c>
      <c r="AD131" s="15">
        <f>SUM(COUNTIFS('Data entry'!$R$6:$R$200,'Summary Data'!$A131,'Data entry'!$B$6:$B$200,{"Confirmed";"Probable"},'Data entry'!$AQ$6:$AQ$200,'Data Validation'!$V$10, 'Data entry'!$BD$6:$BD$200,"&lt;&gt;*Negative*"))</f>
        <v>0</v>
      </c>
      <c r="AE131" s="15">
        <f>SUM(COUNTIFS('Data entry'!$R$6:$R$200,'Summary Data'!$A131,'Data entry'!$B$6:$B$200,{"Confirmed";"Probable"},'Data entry'!$AQ$6:$AQ$200,'Data Validation'!$V$11, 'Data entry'!$BD$6:$BD$200,"&lt;&gt;*Negative*"))</f>
        <v>0</v>
      </c>
      <c r="AF131" s="15">
        <f>SUM(COUNTIFS('Data entry'!$R$6:$R$200,'Summary Data'!$A131,'Data entry'!$B$6:$B$200,{"Confirmed";"Probable"},'Data entry'!$AQ$6:$AQ$200,'Data Validation'!$V$2, 'Data entry'!$AP$6:$AP$200,'Data Validation'!$U$2, 'Data entry'!$BD$6:$BD$200,"&lt;&gt;*Negative*"))</f>
        <v>0</v>
      </c>
      <c r="AG131" s="15">
        <f>SUM(COUNTIFS('Data entry'!$R$6:$R$200,'Summary Data'!$A131,'Data entry'!$B$6:$B$200,{"Confirmed";"Probable"},'Data entry'!$AQ$6:$AQ$200,'Data Validation'!$V$2, 'Data entry'!$AP$6:$AP$200,'Data Validation'!$U$3, 'Data entry'!$BD$6:$BD$200,"&lt;&gt;*Negative*"))</f>
        <v>0</v>
      </c>
      <c r="AH131" s="15">
        <f>SUM(COUNTIFS('Data entry'!$R$6:$R$200,'Summary Data'!$A131,'Data entry'!$B$6:$B$200,{"Confirmed";"Probable"},'Data entry'!$AQ$6:$AQ$200,'Data Validation'!$V$2, 'Data entry'!$AP$6:$AP$200,'Data Validation'!$U$4, 'Data entry'!$BD$6:$BD$200,"&lt;&gt;*Negative*"))</f>
        <v>0</v>
      </c>
      <c r="AI131" s="15">
        <f>SUM(COUNTIFS('Data entry'!$R$6:$R$200,'Summary Data'!$A131,'Data entry'!$B$6:$B$200,{"Confirmed";"Probable"},'Data entry'!$AQ$6:$AQ$200,'Data Validation'!$V$2, 'Data entry'!$AP$6:$AP$200,'Data Validation'!$U$5, 'Data entry'!$BD$6:$BD$200,"&lt;&gt;*Negative*"))</f>
        <v>0</v>
      </c>
      <c r="AJ131" s="15">
        <f>SUM(COUNTIFS('Data entry'!$R$6:$R$200,'Summary Data'!$A131,'Data entry'!$B$6:$B$200,{"Confirmed";"Probable"},'Data entry'!$AQ$6:$AQ$200,'Data Validation'!$V$2, 'Data entry'!$AP$6:$AP$200,'Data Validation'!$U$6, 'Data entry'!$BD$6:$BD$200,"&lt;&gt;*Negative*"))</f>
        <v>0</v>
      </c>
      <c r="AK131" s="15">
        <f>SUM(COUNTIFS('Data entry'!$R$6:$R$200,'Summary Data'!$A131,'Data entry'!$B$6:$B$200,{"Confirmed";"Probable"},'Data entry'!$AQ$6:$AQ$200,'Data Validation'!$V$3, 'Data entry'!$AP$6:$AP$200,'Data Validation'!$U$2, 'Data entry'!$BD$6:$BD$200,"&lt;&gt;*Negative*"))</f>
        <v>0</v>
      </c>
      <c r="AL131" s="15">
        <f>SUM(COUNTIFS('Data entry'!$R$6:$R$200,'Summary Data'!$A131,'Data entry'!$B$6:$B$200,{"Confirmed";"Probable"},'Data entry'!$AQ$6:$AQ$200,'Data Validation'!$V$3, 'Data entry'!$AP$6:$AP$200,'Data Validation'!$U$3, 'Data entry'!$BD$6:$BD$200,"&lt;&gt;*Negative*"))</f>
        <v>0</v>
      </c>
      <c r="AM131" s="15">
        <f>SUM(COUNTIFS('Data entry'!$R$6:$R$200,'Summary Data'!$A131,'Data entry'!$B$6:$B$200,{"Confirmed";"Probable"},'Data entry'!$AQ$6:$AQ$200,'Data Validation'!$V$3, 'Data entry'!$AP$6:$AP$200,'Data Validation'!$U$4, 'Data entry'!$BD$6:$BD$200,"&lt;&gt;*Negative*"))</f>
        <v>0</v>
      </c>
      <c r="AN131" s="15">
        <f>SUM(COUNTIFS('Data entry'!$R$6:$R$200,'Summary Data'!$A131,'Data entry'!$B$6:$B$200,{"Confirmed";"Probable"},'Data entry'!$AQ$6:$AQ$200,'Data Validation'!$V$3, 'Data entry'!$AP$6:$AP$200,'Data Validation'!$U$5, 'Data entry'!$BD$6:$BD$200,"&lt;&gt;*Negative*"))</f>
        <v>0</v>
      </c>
      <c r="AO131" s="15">
        <f>SUM(COUNTIFS('Data entry'!$R$6:$R$200,'Summary Data'!$A131,'Data entry'!$B$6:$B$200,{"Confirmed";"Probable"},'Data entry'!$AQ$6:$AQ$200,'Data Validation'!$V$3, 'Data entry'!$AP$6:$AP$200,'Data Validation'!$U$6, 'Data entry'!$BD$6:$BD$200,"&lt;&gt;*Negative*"))</f>
        <v>0</v>
      </c>
      <c r="AP131" s="15">
        <f>SUM(COUNTIFS('Data entry'!$R$6:$R$200,'Summary Data'!$A131,'Data entry'!$B$6:$B$200,{"Confirmed";"Probable"},'Data entry'!$AQ$6:$AQ$200,'Data Validation'!$V$4, 'Data entry'!$AP$6:$AP$200,'Data Validation'!$U$2, 'Data entry'!$BD$6:$BD$200,"&lt;&gt;*Negative*"))</f>
        <v>0</v>
      </c>
      <c r="AQ131" s="15">
        <f>SUM(COUNTIFS('Data entry'!$R$6:$R$200,'Summary Data'!$A131,'Data entry'!$B$6:$B$200,{"Confirmed";"Probable"},'Data entry'!$AQ$6:$AQ$200,'Data Validation'!$V$4, 'Data entry'!$AP$6:$AP$200,'Data Validation'!$U$3, 'Data entry'!$BD$6:$BD$200,"&lt;&gt;*Negative*"))</f>
        <v>0</v>
      </c>
      <c r="AR131" s="15">
        <f>SUM(COUNTIFS('Data entry'!$R$6:$R$200,'Summary Data'!$A131,'Data entry'!$B$6:$B$200,{"Confirmed";"Probable"},'Data entry'!$AQ$6:$AQ$200,'Data Validation'!$V$4, 'Data entry'!$AP$6:$AP$200,'Data Validation'!$U$4, 'Data entry'!$BD$6:$BD$200,"&lt;&gt;*Negative*"))</f>
        <v>0</v>
      </c>
      <c r="AS131" s="15">
        <f>SUM(COUNTIFS('Data entry'!$R$6:$R$200,'Summary Data'!$A131,'Data entry'!$B$6:$B$200,{"Confirmed";"Probable"},'Data entry'!$AQ$6:$AQ$200,'Data Validation'!$V$4, 'Data entry'!$AP$6:$AP$200,'Data Validation'!$U$5, 'Data entry'!$BD$6:$BD$200,"&lt;&gt;*Negative*"))</f>
        <v>0</v>
      </c>
      <c r="AT131" s="15">
        <f>SUM(COUNTIFS('Data entry'!$R$6:$R$200,'Summary Data'!$A131,'Data entry'!$B$6:$B$200,{"Confirmed";"Probable"},'Data entry'!$AQ$6:$AQ$200,'Data Validation'!$V$4, 'Data entry'!$AP$6:$AP$200,'Data Validation'!$U$6, 'Data entry'!$BD$6:$BD$200,"&lt;&gt;*Negative*"))</f>
        <v>0</v>
      </c>
      <c r="AU131" s="15">
        <f>SUM(COUNTIFS('Data entry'!$R$6:$R$200,'Summary Data'!$A131,'Data entry'!$B$6:$B$200,{"Confirmed";"Probable"},'Data entry'!$AQ$6:$AQ$200,'Data Validation'!$V$5, 'Data entry'!$AP$6:$AP$200,'Data Validation'!$U$2, 'Data entry'!$BD$6:$BD$200,"&lt;&gt;*Negative*"))</f>
        <v>0</v>
      </c>
      <c r="AV131" s="15">
        <f>SUM(COUNTIFS('Data entry'!$R$6:$R$200,'Summary Data'!$A131,'Data entry'!$B$6:$B$200,{"Confirmed";"Probable"},'Data entry'!$AQ$6:$AQ$200,'Data Validation'!$V$5, 'Data entry'!$AP$6:$AP$200,'Data Validation'!$U$3, 'Data entry'!$BD$6:$BD$200,"&lt;&gt;*Negative*"))</f>
        <v>0</v>
      </c>
      <c r="AW131" s="15">
        <f>SUM(COUNTIFS('Data entry'!$R$6:$R$200,'Summary Data'!$A131,'Data entry'!$B$6:$B$200,{"Confirmed";"Probable"},'Data entry'!$AQ$6:$AQ$200,'Data Validation'!$V$5, 'Data entry'!$AP$6:$AP$200,'Data Validation'!$U$4, 'Data entry'!$BD$6:$BD$200,"&lt;&gt;*Negative*"))</f>
        <v>0</v>
      </c>
      <c r="AX131" s="15">
        <f>SUM(COUNTIFS('Data entry'!$R$6:$R$200,'Summary Data'!$A131,'Data entry'!$B$6:$B$200,{"Confirmed";"Probable"},'Data entry'!$AQ$6:$AQ$200,'Data Validation'!$V$5, 'Data entry'!$AP$6:$AP$200,'Data Validation'!$U$5, 'Data entry'!$BD$6:$BD$200,"&lt;&gt;*Negative*"))</f>
        <v>0</v>
      </c>
      <c r="AY131" s="15">
        <f>SUM(COUNTIFS('Data entry'!$R$6:$R$200,'Summary Data'!$A131,'Data entry'!$B$6:$B$200,{"Confirmed";"Probable"},'Data entry'!$AQ$6:$AQ$200,'Data Validation'!$V$5, 'Data entry'!$AP$6:$AP$200,'Data Validation'!$U$6, 'Data entry'!$BD$6:$BD$200,"&lt;&gt;*Negative*"))</f>
        <v>0</v>
      </c>
      <c r="AZ131" s="15">
        <f>SUM(COUNTIFS('Data entry'!$R$6:$R$200,'Summary Data'!$A131,'Data entry'!$B$6:$B$200,{"Confirmed";"Probable"},'Data entry'!$AQ$6:$AQ$200,'Data Validation'!$V$6, 'Data entry'!$AP$6:$AP$200,'Data Validation'!$U$2, 'Data entry'!$BD$6:$BD$200,"&lt;&gt;*Negative*"))</f>
        <v>0</v>
      </c>
      <c r="BA131" s="15">
        <f>SUM(COUNTIFS('Data entry'!$R$6:$R$200,'Summary Data'!$A131,'Data entry'!$B$6:$B$200,{"Confirmed";"Probable"},'Data entry'!$AQ$6:$AQ$200,'Data Validation'!$V$6, 'Data entry'!$AP$6:$AP$200,'Data Validation'!$U$3, 'Data entry'!$BD$6:$BD$200,"&lt;&gt;*Negative*"))</f>
        <v>0</v>
      </c>
      <c r="BB131" s="15">
        <f>SUM(COUNTIFS('Data entry'!$R$6:$R$200,'Summary Data'!$A131,'Data entry'!$B$6:$B$200,{"Confirmed";"Probable"},'Data entry'!$AQ$6:$AQ$200,'Data Validation'!$V$6, 'Data entry'!$AP$6:$AP$200,'Data Validation'!$U$4, 'Data entry'!$BD$6:$BD$200,"&lt;&gt;*Negative*"))</f>
        <v>0</v>
      </c>
      <c r="BC131" s="15">
        <f>SUM(COUNTIFS('Data entry'!$R$6:$R$200,'Summary Data'!$A131,'Data entry'!$B$6:$B$200,{"Confirmed";"Probable"},'Data entry'!$AQ$6:$AQ$200,'Data Validation'!$V$6, 'Data entry'!$AP$6:$AP$200,'Data Validation'!$U$5, 'Data entry'!$BD$6:$BD$200,"&lt;&gt;*Negative*"))</f>
        <v>0</v>
      </c>
      <c r="BD131" s="15">
        <f>SUM(COUNTIFS('Data entry'!$R$6:$R$200,'Summary Data'!$A131,'Data entry'!$B$6:$B$200,{"Confirmed";"Probable"},'Data entry'!$AQ$6:$AQ$200,'Data Validation'!$V$6, 'Data entry'!$AP$6:$AP$200,'Data Validation'!$U$6, 'Data entry'!$BD$6:$BD$200,"&lt;&gt;*Negative*"))</f>
        <v>0</v>
      </c>
      <c r="BE131" s="15">
        <f>SUM(COUNTIFS('Data entry'!$R$6:$R$200,'Summary Data'!$A131,'Data entry'!$B$6:$B$200,{"Confirmed";"Probable"},'Data entry'!$AQ$6:$AQ$200,'Data Validation'!$V$7, 'Data entry'!$AP$6:$AP$200,'Data Validation'!$U$2, 'Data entry'!$BD$6:$BD$200,"&lt;&gt;*Negative*"))</f>
        <v>0</v>
      </c>
      <c r="BF131" s="15">
        <f>SUM(COUNTIFS('Data entry'!$R$6:$R$200,'Summary Data'!$A131,'Data entry'!$B$6:$B$200,{"Confirmed";"Probable"},'Data entry'!$AQ$6:$AQ$200,'Data Validation'!$V$7, 'Data entry'!$AP$6:$AP$200,'Data Validation'!$U$3, 'Data entry'!$BD$6:$BD$200,"&lt;&gt;*Negative*"))</f>
        <v>0</v>
      </c>
      <c r="BG131" s="15">
        <f>SUM(COUNTIFS('Data entry'!$R$6:$R$200,'Summary Data'!$A131,'Data entry'!$B$6:$B$200,{"Confirmed";"Probable"},'Data entry'!$AQ$6:$AQ$200,'Data Validation'!$V$7, 'Data entry'!$AP$6:$AP$200,'Data Validation'!$U$4, 'Data entry'!$BD$6:$BD$200,"&lt;&gt;*Negative*"))</f>
        <v>0</v>
      </c>
      <c r="BH131" s="15">
        <f>SUM(COUNTIFS('Data entry'!$R$6:$R$200,'Summary Data'!$A131,'Data entry'!$B$6:$B$200,{"Confirmed";"Probable"},'Data entry'!$AQ$6:$AQ$200,'Data Validation'!$V$7, 'Data entry'!$AP$6:$AP$200,'Data Validation'!$U$5, 'Data entry'!$BD$6:$BD$200,"&lt;&gt;*Negative*"))</f>
        <v>0</v>
      </c>
      <c r="BI131" s="15">
        <f>SUM(COUNTIFS('Data entry'!$R$6:$R$200,'Summary Data'!$A131,'Data entry'!$B$6:$B$200,{"Confirmed";"Probable"},'Data entry'!$AQ$6:$AQ$200,'Data Validation'!$V$7, 'Data entry'!$AP$6:$AP$200,'Data Validation'!$U$6, 'Data entry'!$BD$6:$BD$200,"&lt;&gt;*Negative*"))</f>
        <v>0</v>
      </c>
      <c r="BJ131" s="15">
        <f>SUM(COUNTIFS('Data entry'!$R$6:$R$200,'Summary Data'!$A131,'Data entry'!$B$6:$B$200,{"Confirmed";"Probable"},'Data entry'!$AQ$6:$AQ$200,'Data Validation'!$V$8, 'Data entry'!$AP$6:$AP$200,'Data Validation'!$U$2, 'Data entry'!$BD$6:$BD$200,"&lt;&gt;*Negative*"))</f>
        <v>0</v>
      </c>
      <c r="BK131" s="15">
        <f>SUM(COUNTIFS('Data entry'!$R$6:$R$200,'Summary Data'!$A131,'Data entry'!$B$6:$B$200,{"Confirmed";"Probable"},'Data entry'!$AQ$6:$AQ$200,'Data Validation'!$V$8, 'Data entry'!$AP$6:$AP$200,'Data Validation'!$U$3, 'Data entry'!$BD$6:$BD$200,"&lt;&gt;*Negative*"))</f>
        <v>0</v>
      </c>
      <c r="BL131" s="15">
        <f>SUM(COUNTIFS('Data entry'!$R$6:$R$200,'Summary Data'!$A131,'Data entry'!$B$6:$B$200,{"Confirmed";"Probable"},'Data entry'!$AQ$6:$AQ$200,'Data Validation'!$V$8, 'Data entry'!$AP$6:$AP$200,'Data Validation'!$U$4, 'Data entry'!$BD$6:$BD$200,"&lt;&gt;*Negative*"))</f>
        <v>0</v>
      </c>
      <c r="BM131" s="15">
        <f>SUM(COUNTIFS('Data entry'!$R$6:$R$200,'Summary Data'!$A131,'Data entry'!$B$6:$B$200,{"Confirmed";"Probable"},'Data entry'!$AQ$6:$AQ$200,'Data Validation'!$V$8, 'Data entry'!$AP$6:$AP$200,'Data Validation'!$U$5, 'Data entry'!$BD$6:$BD$200,"&lt;&gt;*Negative*"))</f>
        <v>0</v>
      </c>
      <c r="BN131" s="15">
        <f>SUM(COUNTIFS('Data entry'!$R$6:$R$200,'Summary Data'!$A131,'Data entry'!$B$6:$B$200,{"Confirmed";"Probable"},'Data entry'!$AQ$6:$AQ$200,'Data Validation'!$V$8, 'Data entry'!$AP$6:$AP$200,'Data Validation'!$U$6, 'Data entry'!$BD$6:$BD$200,"&lt;&gt;*Negative*"))</f>
        <v>0</v>
      </c>
      <c r="BO131" s="15">
        <f>SUM(COUNTIFS('Data entry'!$R$6:$R$200,'Summary Data'!$A131,'Data entry'!$B$6:$B$200,{"Confirmed";"Probable"},'Data entry'!$AQ$6:$AQ$200,'Data Validation'!$V$9, 'Data entry'!$AP$6:$AP$200,'Data Validation'!$U$2, 'Data entry'!$BD$6:$BD$200,"&lt;&gt;*Negative*"))</f>
        <v>0</v>
      </c>
      <c r="BP131" s="15">
        <f>SUM(COUNTIFS('Data entry'!$R$6:$R$200,'Summary Data'!$A131,'Data entry'!$B$6:$B$200,{"Confirmed";"Probable"},'Data entry'!$AQ$6:$AQ$200,'Data Validation'!$V$9, 'Data entry'!$AP$6:$AP$200,'Data Validation'!$U$3, 'Data entry'!$BD$6:$BD$200,"&lt;&gt;*Negative*"))</f>
        <v>0</v>
      </c>
      <c r="BQ131" s="15">
        <f>SUM(COUNTIFS('Data entry'!$R$6:$R$200,'Summary Data'!$A131,'Data entry'!$B$6:$B$200,{"Confirmed";"Probable"},'Data entry'!$AQ$6:$AQ$200,'Data Validation'!$V$9, 'Data entry'!$AP$6:$AP$200,'Data Validation'!$U$4, 'Data entry'!$BD$6:$BD$200,"&lt;&gt;*Negative*"))</f>
        <v>0</v>
      </c>
      <c r="BR131" s="15">
        <f>SUM(COUNTIFS('Data entry'!$R$6:$R$200,'Summary Data'!$A131,'Data entry'!$B$6:$B$200,{"Confirmed";"Probable"},'Data entry'!$AQ$6:$AQ$200,'Data Validation'!$V$9, 'Data entry'!$AP$6:$AP$200,'Data Validation'!$U$5, 'Data entry'!$BD$6:$BD$200,"&lt;&gt;*Negative*"))</f>
        <v>0</v>
      </c>
      <c r="BS131" s="15">
        <f>SUM(COUNTIFS('Data entry'!$R$6:$R$200,'Summary Data'!$A131,'Data entry'!$B$6:$B$200,{"Confirmed";"Probable"},'Data entry'!$AQ$6:$AQ$200,'Data Validation'!$V$9, 'Data entry'!$AP$6:$AP$200,'Data Validation'!$U$6, 'Data entry'!$BD$6:$BD$200,"&lt;&gt;*Negative*"))</f>
        <v>0</v>
      </c>
      <c r="BT131" s="15">
        <f>SUM(COUNTIFS('Data entry'!$R$6:$R$200,'Summary Data'!$A131,'Data entry'!$B$6:$B$200,{"Confirmed";"Probable"},'Data entry'!$AQ$6:$AQ$200,'Data Validation'!$V$10, 'Data entry'!$AP$6:$AP$200,'Data Validation'!$U$2, 'Data entry'!$BD$6:$BD$200,"&lt;&gt;*Negative*"))</f>
        <v>0</v>
      </c>
      <c r="BU131" s="15">
        <f>SUM(COUNTIFS('Data entry'!$R$6:$R$200,'Summary Data'!$A131,'Data entry'!$B$6:$B$200,{"Confirmed";"Probable"},'Data entry'!$AQ$6:$AQ$200,'Data Validation'!$V$10, 'Data entry'!$AP$6:$AP$200,'Data Validation'!$U$3, 'Data entry'!$BD$6:$BD$200,"&lt;&gt;*Negative*"))</f>
        <v>0</v>
      </c>
      <c r="BV131" s="15">
        <f>SUM(COUNTIFS('Data entry'!$R$6:$R$200,'Summary Data'!$A131,'Data entry'!$B$6:$B$200,{"Confirmed";"Probable"},'Data entry'!$AQ$6:$AQ$200,'Data Validation'!$V$10, 'Data entry'!$AP$6:$AP$200,'Data Validation'!$U$4, 'Data entry'!$BD$6:$BD$200,"&lt;&gt;*Negative*"))</f>
        <v>0</v>
      </c>
      <c r="BW131" s="15">
        <f>SUM(COUNTIFS('Data entry'!$R$6:$R$200,'Summary Data'!$A131,'Data entry'!$B$6:$B$200,{"Confirmed";"Probable"},'Data entry'!$AQ$6:$AQ$200,'Data Validation'!$V$10, 'Data entry'!$AP$6:$AP$200,'Data Validation'!$U$5, 'Data entry'!$BD$6:$BD$200,"&lt;&gt;*Negative*"))</f>
        <v>0</v>
      </c>
      <c r="BX131" s="15">
        <f>SUM(COUNTIFS('Data entry'!$R$6:$R$200,'Summary Data'!$A131,'Data entry'!$B$6:$B$200,{"Confirmed";"Probable"},'Data entry'!$AQ$6:$AQ$200,'Data Validation'!$V$10, 'Data entry'!$AP$6:$AP$200,'Data Validation'!$U$6, 'Data entry'!$BD$6:$BD$200,"&lt;&gt;*Negative*"))</f>
        <v>0</v>
      </c>
      <c r="BY131" s="15">
        <f>SUM(COUNTIFS('Data entry'!$R$6:$R$200,'Summary Data'!$A131,'Data entry'!$B$6:$B$200,{"Confirmed";"Probable"},'Data entry'!$AQ$6:$AQ$200,'Data Validation'!$V$11, 'Data entry'!$AP$6:$AP$200,'Data Validation'!$U$2, 'Data entry'!$BD$6:$BD$200,"&lt;&gt;*Negative*"))</f>
        <v>0</v>
      </c>
      <c r="BZ131" s="15">
        <f>SUM(COUNTIFS('Data entry'!$R$6:$R$200,'Summary Data'!$A131,'Data entry'!$B$6:$B$200,{"Confirmed";"Probable"},'Data entry'!$AQ$6:$AQ$200,'Data Validation'!$V$11, 'Data entry'!$AP$6:$AP$200,'Data Validation'!$U$3, 'Data entry'!$BD$6:$BD$200,"&lt;&gt;*Negative*"))</f>
        <v>0</v>
      </c>
      <c r="CA131" s="15">
        <f>SUM(COUNTIFS('Data entry'!$R$6:$R$200,'Summary Data'!$A131,'Data entry'!$B$6:$B$200,{"Confirmed";"Probable"},'Data entry'!$AQ$6:$AQ$200,'Data Validation'!$V$11, 'Data entry'!$AP$6:$AP$200,'Data Validation'!$U$4, 'Data entry'!$BD$6:$BD$200,"&lt;&gt;*Negative*"))</f>
        <v>0</v>
      </c>
      <c r="CB131" s="15">
        <f>SUM(COUNTIFS('Data entry'!$R$6:$R$200,'Summary Data'!$A131,'Data entry'!$B$6:$B$200,{"Confirmed";"Probable"},'Data entry'!$AQ$6:$AQ$200,'Data Validation'!$V$11, 'Data entry'!$AP$6:$AP$200,'Data Validation'!$U$5, 'Data entry'!$BD$6:$BD$200,"&lt;&gt;*Negative*"))</f>
        <v>0</v>
      </c>
      <c r="CC131" s="15">
        <f>SUM(COUNTIFS('Data entry'!$R$6:$R$200,'Summary Data'!$A131,'Data entry'!$B$6:$B$200,{"Confirmed";"Probable"},'Data entry'!$AQ$6:$AQ$200,'Data Validation'!$V$11, 'Data entry'!$AP$6:$AP$200,'Data Validation'!$U$6, 'Data entry'!$BD$6:$BD$200,"&lt;&gt;*Negative*"))</f>
        <v>0</v>
      </c>
    </row>
    <row r="132" spans="1:81" x14ac:dyDescent="0.25">
      <c r="A132" s="12">
        <f t="shared" si="9"/>
        <v>120</v>
      </c>
      <c r="B132" s="13">
        <f t="shared" si="6"/>
        <v>0</v>
      </c>
      <c r="C132" s="13">
        <f>COUNTIFS('Data entry'!$R$6:$R$200,$A132,'Data entry'!$B$6:$B$200,"Confirmed",'Data entry'!$BD$6:$BD$200,"&lt;&gt;*Negative*")</f>
        <v>0</v>
      </c>
      <c r="D132" s="13">
        <f>COUNTIFS('Data entry'!$R$6:$R$200,$A132,'Data entry'!$B$6:$B$200,"Probable",'Data entry'!$BD$6:$BD$200,"&lt;&gt;*Negative*")</f>
        <v>0</v>
      </c>
      <c r="E132" s="13">
        <f>COUNTIFS('Data entry'!$R$6:$R$200,$A132,'Data entry'!$B$6:$B$200,"DNM")</f>
        <v>0</v>
      </c>
      <c r="F132" s="13">
        <f>SUM(COUNTIFS('Data entry'!$R$6:$R$200,'Summary Data'!$A132,'Data entry'!$B$6:$B$200,{"Confirmed";"Probable"},'Data entry'!$AO$6:$AO$200,$F$10, 'Data entry'!$BD$6:$BD$200,"&lt;&gt;*Negative*"))</f>
        <v>0</v>
      </c>
      <c r="G132" s="13">
        <f>SUM(COUNTIFS('Data entry'!$R$6:$R$200,'Summary Data'!$A132,'Data entry'!$B$6:$B$200,{"Confirmed";"Probable"},'Data entry'!$AO$6:$AO$200,$G$10, 'Data entry'!$BD$6:$BD$200,"&lt;&gt;*Negative*"))</f>
        <v>0</v>
      </c>
      <c r="H132" s="13">
        <f>SUM(COUNTIFS('Data entry'!$R$6:$R$200,'Summary Data'!$A132,'Data entry'!$B$6:$B$200,{"Confirmed";"Probable"},'Data entry'!$AO$6:$AO$200,$H$10, 'Data entry'!$BD$6:$BD$200,"&lt;&gt;*Negative*"))</f>
        <v>0</v>
      </c>
      <c r="I132" s="13">
        <f>SUM(COUNTIFS('Data entry'!$R$6:$R$200,'Summary Data'!$A132,'Data entry'!$B$6:$B$200,{"Confirmed";"Probable"},'Data entry'!$AO$6:$AO$200,$I$10, 'Data entry'!$BD$6:$BD$200,"&lt;&gt;*Negative*"))</f>
        <v>0</v>
      </c>
      <c r="J132" s="13">
        <f>SUM(COUNTIFS('Data entry'!$R$6:$R$200,'Summary Data'!$A132,'Data entry'!$B$6:$B$200,{"Confirmed";"Probable"},'Data entry'!$AO$6:$AO$200,$J$10, 'Data entry'!$BD$6:$BD$200,"&lt;&gt;*Negative*"))</f>
        <v>0</v>
      </c>
      <c r="K132" s="13">
        <f>SUM(COUNTIFS('Data entry'!$R$6:$R$200,'Summary Data'!$A132,'Data entry'!$B$6:$B$200,{"Confirmed";"Probable"},'Data entry'!$AO$6:$AO$200,$K$10, 'Data entry'!$BD$6:$BD$200,"&lt;&gt;*Negative*"))</f>
        <v>0</v>
      </c>
      <c r="L132" s="13">
        <f>SUM(COUNTIFS('Data entry'!$R$6:$R$200,'Summary Data'!$A132,'Data entry'!$B$6:$B$200,{"Confirmed";"Probable"},'Data entry'!$AO$6:$AO$200,$L$10, 'Data entry'!$BD$6:$BD$200,"&lt;&gt;*Negative*"))</f>
        <v>0</v>
      </c>
      <c r="M132" s="13">
        <f>SUM(COUNTIFS('Data entry'!$R$6:$R$200,'Summary Data'!$A132,'Data entry'!$B$6:$B$200,{"Confirmed";"Probable"},'Data entry'!$AO$6:$AO$200,$M$10, 'Data entry'!$BD$6:$BD$200,"&lt;&gt;*Negative*"))</f>
        <v>0</v>
      </c>
      <c r="N132" s="13">
        <f>SUM(COUNTIFS('Data entry'!$R$6:$R$200,'Summary Data'!$A132,'Data entry'!$B$6:$B$200,{"Confirmed";"Probable"},'Data entry'!$AO$6:$AO$200,$N$10, 'Data entry'!$BD$6:$BD$200,"&lt;&gt;*Negative*"))</f>
        <v>0</v>
      </c>
      <c r="O132" s="15">
        <f t="shared" si="7"/>
        <v>0</v>
      </c>
      <c r="P132" s="15">
        <f t="shared" si="8"/>
        <v>0</v>
      </c>
      <c r="Q132" s="15">
        <f>SUM(COUNTIFS('Data entry'!$R$6:$R$200,'Summary Data'!$A132,'Data entry'!$B$6:$B$200,{"Confirmed";"Probable"},'Data entry'!$AP$6:$AP$200,'Data Validation'!$U$2, 'Data entry'!$BD$6:$BD$200,"&lt;&gt;*Negative*"))</f>
        <v>0</v>
      </c>
      <c r="R132" s="15">
        <f>SUM(COUNTIFS('Data entry'!$R$6:$R$200,'Summary Data'!$A132,'Data entry'!$B$6:$B$200,{"Confirmed";"Probable"},'Data entry'!$AP$6:$AP$200,'Data Validation'!$U$3, 'Data entry'!$BD$6:$BD$200,"&lt;&gt;*Negative*"))</f>
        <v>0</v>
      </c>
      <c r="S132" s="15">
        <f>SUM(COUNTIFS('Data entry'!$R$6:$R$200,'Summary Data'!$A132,'Data entry'!$B$6:$B$200,{"Confirmed";"Probable"},'Data entry'!$AP$6:$AP$200,'Data Validation'!$U$4, 'Data entry'!$BD$6:$BD$200,"&lt;&gt;*Negative*"))</f>
        <v>0</v>
      </c>
      <c r="T132" s="15">
        <f>SUM(COUNTIFS('Data entry'!$R$6:$R$200,'Summary Data'!$A132,'Data entry'!$B$6:$B$200,{"Confirmed";"Probable"},'Data entry'!$AP$6:$AP$200,'Data Validation'!$U$5, 'Data entry'!$BD$6:$BD$200,"&lt;&gt;*Negative*"))</f>
        <v>0</v>
      </c>
      <c r="U132" s="15">
        <f>SUM(COUNTIFS('Data entry'!$R$6:$R$200,'Summary Data'!$A132,'Data entry'!$B$6:$B$200,{"Confirmed";"Probable"},'Data entry'!$AP$6:$AP$200,'Data Validation'!$U$6, 'Data entry'!$BD$6:$BD$200,"&lt;&gt;*Negative*"))</f>
        <v>0</v>
      </c>
      <c r="V132" s="15">
        <f>SUM(COUNTIFS('Data entry'!$R$6:$R$200,'Summary Data'!$A132,'Data entry'!$B$6:$B$200,{"Confirmed";"Probable"},'Data entry'!$AQ$6:$AQ$200,'Data Validation'!$V$2, 'Data entry'!$BD$6:$BD$200,"&lt;&gt;*Negative*"))</f>
        <v>0</v>
      </c>
      <c r="W132" s="15">
        <f>SUM(COUNTIFS('Data entry'!$R$6:$R$200,'Summary Data'!$A132,'Data entry'!$B$6:$B$200,{"Confirmed";"Probable"},'Data entry'!$AQ$6:$AQ$200,'Data Validation'!$V$3, 'Data entry'!$BD$6:$BD$200,"&lt;&gt;*Negative*"))</f>
        <v>0</v>
      </c>
      <c r="X132" s="15">
        <f>SUM(COUNTIFS('Data entry'!$R$6:$R$200,'Summary Data'!$A132,'Data entry'!$B$6:$B$200,{"Confirmed";"Probable"},'Data entry'!$AQ$6:$AQ$200,'Data Validation'!$V$4, 'Data entry'!$BD$6:$BD$200,"&lt;&gt;*Negative*"))</f>
        <v>0</v>
      </c>
      <c r="Y132" s="15">
        <f>SUM(COUNTIFS('Data entry'!$R$6:$R$200,'Summary Data'!$A132,'Data entry'!$B$6:$B$200,{"Confirmed";"Probable"},'Data entry'!$AQ$6:$AQ$200,'Data Validation'!$V$5, 'Data entry'!$BD$6:$BD$200,"&lt;&gt;*Negative*"))</f>
        <v>0</v>
      </c>
      <c r="Z132" s="15">
        <f>SUM(COUNTIFS('Data entry'!$R$6:$R$200,'Summary Data'!$A132,'Data entry'!$B$6:$B$200,{"Confirmed";"Probable"},'Data entry'!$AQ$6:$AQ$200,'Data Validation'!$V$6, 'Data entry'!$BD$6:$BD$200,"&lt;&gt;*Negative*"))</f>
        <v>0</v>
      </c>
      <c r="AA132" s="15">
        <f>SUM(COUNTIFS('Data entry'!$R$6:$R$200,'Summary Data'!$A132,'Data entry'!$B$6:$B$200,{"Confirmed";"Probable"},'Data entry'!$AQ$6:$AQ$200,'Data Validation'!$V$7, 'Data entry'!$BD$6:$BD$200,"&lt;&gt;*Negative*"))</f>
        <v>0</v>
      </c>
      <c r="AB132" s="15">
        <f>SUM(COUNTIFS('Data entry'!$R$6:$R$200,'Summary Data'!$A132,'Data entry'!$B$6:$B$200,{"Confirmed";"Probable"},'Data entry'!$AQ$6:$AQ$200,'Data Validation'!$V$8, 'Data entry'!$BD$6:$BD$200,"&lt;&gt;*Negative*"))</f>
        <v>0</v>
      </c>
      <c r="AC132" s="15">
        <f>SUM(COUNTIFS('Data entry'!$R$6:$R$200,'Summary Data'!$A132,'Data entry'!$B$6:$B$200,{"Confirmed";"Probable"},'Data entry'!$AQ$6:$AQ$200,'Data Validation'!$V$9, 'Data entry'!$BD$6:$BD$200,"&lt;&gt;*Negative*"))</f>
        <v>0</v>
      </c>
      <c r="AD132" s="15">
        <f>SUM(COUNTIFS('Data entry'!$R$6:$R$200,'Summary Data'!$A132,'Data entry'!$B$6:$B$200,{"Confirmed";"Probable"},'Data entry'!$AQ$6:$AQ$200,'Data Validation'!$V$10, 'Data entry'!$BD$6:$BD$200,"&lt;&gt;*Negative*"))</f>
        <v>0</v>
      </c>
      <c r="AE132" s="15">
        <f>SUM(COUNTIFS('Data entry'!$R$6:$R$200,'Summary Data'!$A132,'Data entry'!$B$6:$B$200,{"Confirmed";"Probable"},'Data entry'!$AQ$6:$AQ$200,'Data Validation'!$V$11, 'Data entry'!$BD$6:$BD$200,"&lt;&gt;*Negative*"))</f>
        <v>0</v>
      </c>
      <c r="AF132" s="15">
        <f>SUM(COUNTIFS('Data entry'!$R$6:$R$200,'Summary Data'!$A132,'Data entry'!$B$6:$B$200,{"Confirmed";"Probable"},'Data entry'!$AQ$6:$AQ$200,'Data Validation'!$V$2, 'Data entry'!$AP$6:$AP$200,'Data Validation'!$U$2, 'Data entry'!$BD$6:$BD$200,"&lt;&gt;*Negative*"))</f>
        <v>0</v>
      </c>
      <c r="AG132" s="15">
        <f>SUM(COUNTIFS('Data entry'!$R$6:$R$200,'Summary Data'!$A132,'Data entry'!$B$6:$B$200,{"Confirmed";"Probable"},'Data entry'!$AQ$6:$AQ$200,'Data Validation'!$V$2, 'Data entry'!$AP$6:$AP$200,'Data Validation'!$U$3, 'Data entry'!$BD$6:$BD$200,"&lt;&gt;*Negative*"))</f>
        <v>0</v>
      </c>
      <c r="AH132" s="15">
        <f>SUM(COUNTIFS('Data entry'!$R$6:$R$200,'Summary Data'!$A132,'Data entry'!$B$6:$B$200,{"Confirmed";"Probable"},'Data entry'!$AQ$6:$AQ$200,'Data Validation'!$V$2, 'Data entry'!$AP$6:$AP$200,'Data Validation'!$U$4, 'Data entry'!$BD$6:$BD$200,"&lt;&gt;*Negative*"))</f>
        <v>0</v>
      </c>
      <c r="AI132" s="15">
        <f>SUM(COUNTIFS('Data entry'!$R$6:$R$200,'Summary Data'!$A132,'Data entry'!$B$6:$B$200,{"Confirmed";"Probable"},'Data entry'!$AQ$6:$AQ$200,'Data Validation'!$V$2, 'Data entry'!$AP$6:$AP$200,'Data Validation'!$U$5, 'Data entry'!$BD$6:$BD$200,"&lt;&gt;*Negative*"))</f>
        <v>0</v>
      </c>
      <c r="AJ132" s="15">
        <f>SUM(COUNTIFS('Data entry'!$R$6:$R$200,'Summary Data'!$A132,'Data entry'!$B$6:$B$200,{"Confirmed";"Probable"},'Data entry'!$AQ$6:$AQ$200,'Data Validation'!$V$2, 'Data entry'!$AP$6:$AP$200,'Data Validation'!$U$6, 'Data entry'!$BD$6:$BD$200,"&lt;&gt;*Negative*"))</f>
        <v>0</v>
      </c>
      <c r="AK132" s="15">
        <f>SUM(COUNTIFS('Data entry'!$R$6:$R$200,'Summary Data'!$A132,'Data entry'!$B$6:$B$200,{"Confirmed";"Probable"},'Data entry'!$AQ$6:$AQ$200,'Data Validation'!$V$3, 'Data entry'!$AP$6:$AP$200,'Data Validation'!$U$2, 'Data entry'!$BD$6:$BD$200,"&lt;&gt;*Negative*"))</f>
        <v>0</v>
      </c>
      <c r="AL132" s="15">
        <f>SUM(COUNTIFS('Data entry'!$R$6:$R$200,'Summary Data'!$A132,'Data entry'!$B$6:$B$200,{"Confirmed";"Probable"},'Data entry'!$AQ$6:$AQ$200,'Data Validation'!$V$3, 'Data entry'!$AP$6:$AP$200,'Data Validation'!$U$3, 'Data entry'!$BD$6:$BD$200,"&lt;&gt;*Negative*"))</f>
        <v>0</v>
      </c>
      <c r="AM132" s="15">
        <f>SUM(COUNTIFS('Data entry'!$R$6:$R$200,'Summary Data'!$A132,'Data entry'!$B$6:$B$200,{"Confirmed";"Probable"},'Data entry'!$AQ$6:$AQ$200,'Data Validation'!$V$3, 'Data entry'!$AP$6:$AP$200,'Data Validation'!$U$4, 'Data entry'!$BD$6:$BD$200,"&lt;&gt;*Negative*"))</f>
        <v>0</v>
      </c>
      <c r="AN132" s="15">
        <f>SUM(COUNTIFS('Data entry'!$R$6:$R$200,'Summary Data'!$A132,'Data entry'!$B$6:$B$200,{"Confirmed";"Probable"},'Data entry'!$AQ$6:$AQ$200,'Data Validation'!$V$3, 'Data entry'!$AP$6:$AP$200,'Data Validation'!$U$5, 'Data entry'!$BD$6:$BD$200,"&lt;&gt;*Negative*"))</f>
        <v>0</v>
      </c>
      <c r="AO132" s="15">
        <f>SUM(COUNTIFS('Data entry'!$R$6:$R$200,'Summary Data'!$A132,'Data entry'!$B$6:$B$200,{"Confirmed";"Probable"},'Data entry'!$AQ$6:$AQ$200,'Data Validation'!$V$3, 'Data entry'!$AP$6:$AP$200,'Data Validation'!$U$6, 'Data entry'!$BD$6:$BD$200,"&lt;&gt;*Negative*"))</f>
        <v>0</v>
      </c>
      <c r="AP132" s="15">
        <f>SUM(COUNTIFS('Data entry'!$R$6:$R$200,'Summary Data'!$A132,'Data entry'!$B$6:$B$200,{"Confirmed";"Probable"},'Data entry'!$AQ$6:$AQ$200,'Data Validation'!$V$4, 'Data entry'!$AP$6:$AP$200,'Data Validation'!$U$2, 'Data entry'!$BD$6:$BD$200,"&lt;&gt;*Negative*"))</f>
        <v>0</v>
      </c>
      <c r="AQ132" s="15">
        <f>SUM(COUNTIFS('Data entry'!$R$6:$R$200,'Summary Data'!$A132,'Data entry'!$B$6:$B$200,{"Confirmed";"Probable"},'Data entry'!$AQ$6:$AQ$200,'Data Validation'!$V$4, 'Data entry'!$AP$6:$AP$200,'Data Validation'!$U$3, 'Data entry'!$BD$6:$BD$200,"&lt;&gt;*Negative*"))</f>
        <v>0</v>
      </c>
      <c r="AR132" s="15">
        <f>SUM(COUNTIFS('Data entry'!$R$6:$R$200,'Summary Data'!$A132,'Data entry'!$B$6:$B$200,{"Confirmed";"Probable"},'Data entry'!$AQ$6:$AQ$200,'Data Validation'!$V$4, 'Data entry'!$AP$6:$AP$200,'Data Validation'!$U$4, 'Data entry'!$BD$6:$BD$200,"&lt;&gt;*Negative*"))</f>
        <v>0</v>
      </c>
      <c r="AS132" s="15">
        <f>SUM(COUNTIFS('Data entry'!$R$6:$R$200,'Summary Data'!$A132,'Data entry'!$B$6:$B$200,{"Confirmed";"Probable"},'Data entry'!$AQ$6:$AQ$200,'Data Validation'!$V$4, 'Data entry'!$AP$6:$AP$200,'Data Validation'!$U$5, 'Data entry'!$BD$6:$BD$200,"&lt;&gt;*Negative*"))</f>
        <v>0</v>
      </c>
      <c r="AT132" s="15">
        <f>SUM(COUNTIFS('Data entry'!$R$6:$R$200,'Summary Data'!$A132,'Data entry'!$B$6:$B$200,{"Confirmed";"Probable"},'Data entry'!$AQ$6:$AQ$200,'Data Validation'!$V$4, 'Data entry'!$AP$6:$AP$200,'Data Validation'!$U$6, 'Data entry'!$BD$6:$BD$200,"&lt;&gt;*Negative*"))</f>
        <v>0</v>
      </c>
      <c r="AU132" s="15">
        <f>SUM(COUNTIFS('Data entry'!$R$6:$R$200,'Summary Data'!$A132,'Data entry'!$B$6:$B$200,{"Confirmed";"Probable"},'Data entry'!$AQ$6:$AQ$200,'Data Validation'!$V$5, 'Data entry'!$AP$6:$AP$200,'Data Validation'!$U$2, 'Data entry'!$BD$6:$BD$200,"&lt;&gt;*Negative*"))</f>
        <v>0</v>
      </c>
      <c r="AV132" s="15">
        <f>SUM(COUNTIFS('Data entry'!$R$6:$R$200,'Summary Data'!$A132,'Data entry'!$B$6:$B$200,{"Confirmed";"Probable"},'Data entry'!$AQ$6:$AQ$200,'Data Validation'!$V$5, 'Data entry'!$AP$6:$AP$200,'Data Validation'!$U$3, 'Data entry'!$BD$6:$BD$200,"&lt;&gt;*Negative*"))</f>
        <v>0</v>
      </c>
      <c r="AW132" s="15">
        <f>SUM(COUNTIFS('Data entry'!$R$6:$R$200,'Summary Data'!$A132,'Data entry'!$B$6:$B$200,{"Confirmed";"Probable"},'Data entry'!$AQ$6:$AQ$200,'Data Validation'!$V$5, 'Data entry'!$AP$6:$AP$200,'Data Validation'!$U$4, 'Data entry'!$BD$6:$BD$200,"&lt;&gt;*Negative*"))</f>
        <v>0</v>
      </c>
      <c r="AX132" s="15">
        <f>SUM(COUNTIFS('Data entry'!$R$6:$R$200,'Summary Data'!$A132,'Data entry'!$B$6:$B$200,{"Confirmed";"Probable"},'Data entry'!$AQ$6:$AQ$200,'Data Validation'!$V$5, 'Data entry'!$AP$6:$AP$200,'Data Validation'!$U$5, 'Data entry'!$BD$6:$BD$200,"&lt;&gt;*Negative*"))</f>
        <v>0</v>
      </c>
      <c r="AY132" s="15">
        <f>SUM(COUNTIFS('Data entry'!$R$6:$R$200,'Summary Data'!$A132,'Data entry'!$B$6:$B$200,{"Confirmed";"Probable"},'Data entry'!$AQ$6:$AQ$200,'Data Validation'!$V$5, 'Data entry'!$AP$6:$AP$200,'Data Validation'!$U$6, 'Data entry'!$BD$6:$BD$200,"&lt;&gt;*Negative*"))</f>
        <v>0</v>
      </c>
      <c r="AZ132" s="15">
        <f>SUM(COUNTIFS('Data entry'!$R$6:$R$200,'Summary Data'!$A132,'Data entry'!$B$6:$B$200,{"Confirmed";"Probable"},'Data entry'!$AQ$6:$AQ$200,'Data Validation'!$V$6, 'Data entry'!$AP$6:$AP$200,'Data Validation'!$U$2, 'Data entry'!$BD$6:$BD$200,"&lt;&gt;*Negative*"))</f>
        <v>0</v>
      </c>
      <c r="BA132" s="15">
        <f>SUM(COUNTIFS('Data entry'!$R$6:$R$200,'Summary Data'!$A132,'Data entry'!$B$6:$B$200,{"Confirmed";"Probable"},'Data entry'!$AQ$6:$AQ$200,'Data Validation'!$V$6, 'Data entry'!$AP$6:$AP$200,'Data Validation'!$U$3, 'Data entry'!$BD$6:$BD$200,"&lt;&gt;*Negative*"))</f>
        <v>0</v>
      </c>
      <c r="BB132" s="15">
        <f>SUM(COUNTIFS('Data entry'!$R$6:$R$200,'Summary Data'!$A132,'Data entry'!$B$6:$B$200,{"Confirmed";"Probable"},'Data entry'!$AQ$6:$AQ$200,'Data Validation'!$V$6, 'Data entry'!$AP$6:$AP$200,'Data Validation'!$U$4, 'Data entry'!$BD$6:$BD$200,"&lt;&gt;*Negative*"))</f>
        <v>0</v>
      </c>
      <c r="BC132" s="15">
        <f>SUM(COUNTIFS('Data entry'!$R$6:$R$200,'Summary Data'!$A132,'Data entry'!$B$6:$B$200,{"Confirmed";"Probable"},'Data entry'!$AQ$6:$AQ$200,'Data Validation'!$V$6, 'Data entry'!$AP$6:$AP$200,'Data Validation'!$U$5, 'Data entry'!$BD$6:$BD$200,"&lt;&gt;*Negative*"))</f>
        <v>0</v>
      </c>
      <c r="BD132" s="15">
        <f>SUM(COUNTIFS('Data entry'!$R$6:$R$200,'Summary Data'!$A132,'Data entry'!$B$6:$B$200,{"Confirmed";"Probable"},'Data entry'!$AQ$6:$AQ$200,'Data Validation'!$V$6, 'Data entry'!$AP$6:$AP$200,'Data Validation'!$U$6, 'Data entry'!$BD$6:$BD$200,"&lt;&gt;*Negative*"))</f>
        <v>0</v>
      </c>
      <c r="BE132" s="15">
        <f>SUM(COUNTIFS('Data entry'!$R$6:$R$200,'Summary Data'!$A132,'Data entry'!$B$6:$B$200,{"Confirmed";"Probable"},'Data entry'!$AQ$6:$AQ$200,'Data Validation'!$V$7, 'Data entry'!$AP$6:$AP$200,'Data Validation'!$U$2, 'Data entry'!$BD$6:$BD$200,"&lt;&gt;*Negative*"))</f>
        <v>0</v>
      </c>
      <c r="BF132" s="15">
        <f>SUM(COUNTIFS('Data entry'!$R$6:$R$200,'Summary Data'!$A132,'Data entry'!$B$6:$B$200,{"Confirmed";"Probable"},'Data entry'!$AQ$6:$AQ$200,'Data Validation'!$V$7, 'Data entry'!$AP$6:$AP$200,'Data Validation'!$U$3, 'Data entry'!$BD$6:$BD$200,"&lt;&gt;*Negative*"))</f>
        <v>0</v>
      </c>
      <c r="BG132" s="15">
        <f>SUM(COUNTIFS('Data entry'!$R$6:$R$200,'Summary Data'!$A132,'Data entry'!$B$6:$B$200,{"Confirmed";"Probable"},'Data entry'!$AQ$6:$AQ$200,'Data Validation'!$V$7, 'Data entry'!$AP$6:$AP$200,'Data Validation'!$U$4, 'Data entry'!$BD$6:$BD$200,"&lt;&gt;*Negative*"))</f>
        <v>0</v>
      </c>
      <c r="BH132" s="15">
        <f>SUM(COUNTIFS('Data entry'!$R$6:$R$200,'Summary Data'!$A132,'Data entry'!$B$6:$B$200,{"Confirmed";"Probable"},'Data entry'!$AQ$6:$AQ$200,'Data Validation'!$V$7, 'Data entry'!$AP$6:$AP$200,'Data Validation'!$U$5, 'Data entry'!$BD$6:$BD$200,"&lt;&gt;*Negative*"))</f>
        <v>0</v>
      </c>
      <c r="BI132" s="15">
        <f>SUM(COUNTIFS('Data entry'!$R$6:$R$200,'Summary Data'!$A132,'Data entry'!$B$6:$B$200,{"Confirmed";"Probable"},'Data entry'!$AQ$6:$AQ$200,'Data Validation'!$V$7, 'Data entry'!$AP$6:$AP$200,'Data Validation'!$U$6, 'Data entry'!$BD$6:$BD$200,"&lt;&gt;*Negative*"))</f>
        <v>0</v>
      </c>
      <c r="BJ132" s="15">
        <f>SUM(COUNTIFS('Data entry'!$R$6:$R$200,'Summary Data'!$A132,'Data entry'!$B$6:$B$200,{"Confirmed";"Probable"},'Data entry'!$AQ$6:$AQ$200,'Data Validation'!$V$8, 'Data entry'!$AP$6:$AP$200,'Data Validation'!$U$2, 'Data entry'!$BD$6:$BD$200,"&lt;&gt;*Negative*"))</f>
        <v>0</v>
      </c>
      <c r="BK132" s="15">
        <f>SUM(COUNTIFS('Data entry'!$R$6:$R$200,'Summary Data'!$A132,'Data entry'!$B$6:$B$200,{"Confirmed";"Probable"},'Data entry'!$AQ$6:$AQ$200,'Data Validation'!$V$8, 'Data entry'!$AP$6:$AP$200,'Data Validation'!$U$3, 'Data entry'!$BD$6:$BD$200,"&lt;&gt;*Negative*"))</f>
        <v>0</v>
      </c>
      <c r="BL132" s="15">
        <f>SUM(COUNTIFS('Data entry'!$R$6:$R$200,'Summary Data'!$A132,'Data entry'!$B$6:$B$200,{"Confirmed";"Probable"},'Data entry'!$AQ$6:$AQ$200,'Data Validation'!$V$8, 'Data entry'!$AP$6:$AP$200,'Data Validation'!$U$4, 'Data entry'!$BD$6:$BD$200,"&lt;&gt;*Negative*"))</f>
        <v>0</v>
      </c>
      <c r="BM132" s="15">
        <f>SUM(COUNTIFS('Data entry'!$R$6:$R$200,'Summary Data'!$A132,'Data entry'!$B$6:$B$200,{"Confirmed";"Probable"},'Data entry'!$AQ$6:$AQ$200,'Data Validation'!$V$8, 'Data entry'!$AP$6:$AP$200,'Data Validation'!$U$5, 'Data entry'!$BD$6:$BD$200,"&lt;&gt;*Negative*"))</f>
        <v>0</v>
      </c>
      <c r="BN132" s="15">
        <f>SUM(COUNTIFS('Data entry'!$R$6:$R$200,'Summary Data'!$A132,'Data entry'!$B$6:$B$200,{"Confirmed";"Probable"},'Data entry'!$AQ$6:$AQ$200,'Data Validation'!$V$8, 'Data entry'!$AP$6:$AP$200,'Data Validation'!$U$6, 'Data entry'!$BD$6:$BD$200,"&lt;&gt;*Negative*"))</f>
        <v>0</v>
      </c>
      <c r="BO132" s="15">
        <f>SUM(COUNTIFS('Data entry'!$R$6:$R$200,'Summary Data'!$A132,'Data entry'!$B$6:$B$200,{"Confirmed";"Probable"},'Data entry'!$AQ$6:$AQ$200,'Data Validation'!$V$9, 'Data entry'!$AP$6:$AP$200,'Data Validation'!$U$2, 'Data entry'!$BD$6:$BD$200,"&lt;&gt;*Negative*"))</f>
        <v>0</v>
      </c>
      <c r="BP132" s="15">
        <f>SUM(COUNTIFS('Data entry'!$R$6:$R$200,'Summary Data'!$A132,'Data entry'!$B$6:$B$200,{"Confirmed";"Probable"},'Data entry'!$AQ$6:$AQ$200,'Data Validation'!$V$9, 'Data entry'!$AP$6:$AP$200,'Data Validation'!$U$3, 'Data entry'!$BD$6:$BD$200,"&lt;&gt;*Negative*"))</f>
        <v>0</v>
      </c>
      <c r="BQ132" s="15">
        <f>SUM(COUNTIFS('Data entry'!$R$6:$R$200,'Summary Data'!$A132,'Data entry'!$B$6:$B$200,{"Confirmed";"Probable"},'Data entry'!$AQ$6:$AQ$200,'Data Validation'!$V$9, 'Data entry'!$AP$6:$AP$200,'Data Validation'!$U$4, 'Data entry'!$BD$6:$BD$200,"&lt;&gt;*Negative*"))</f>
        <v>0</v>
      </c>
      <c r="BR132" s="15">
        <f>SUM(COUNTIFS('Data entry'!$R$6:$R$200,'Summary Data'!$A132,'Data entry'!$B$6:$B$200,{"Confirmed";"Probable"},'Data entry'!$AQ$6:$AQ$200,'Data Validation'!$V$9, 'Data entry'!$AP$6:$AP$200,'Data Validation'!$U$5, 'Data entry'!$BD$6:$BD$200,"&lt;&gt;*Negative*"))</f>
        <v>0</v>
      </c>
      <c r="BS132" s="15">
        <f>SUM(COUNTIFS('Data entry'!$R$6:$R$200,'Summary Data'!$A132,'Data entry'!$B$6:$B$200,{"Confirmed";"Probable"},'Data entry'!$AQ$6:$AQ$200,'Data Validation'!$V$9, 'Data entry'!$AP$6:$AP$200,'Data Validation'!$U$6, 'Data entry'!$BD$6:$BD$200,"&lt;&gt;*Negative*"))</f>
        <v>0</v>
      </c>
      <c r="BT132" s="15">
        <f>SUM(COUNTIFS('Data entry'!$R$6:$R$200,'Summary Data'!$A132,'Data entry'!$B$6:$B$200,{"Confirmed";"Probable"},'Data entry'!$AQ$6:$AQ$200,'Data Validation'!$V$10, 'Data entry'!$AP$6:$AP$200,'Data Validation'!$U$2, 'Data entry'!$BD$6:$BD$200,"&lt;&gt;*Negative*"))</f>
        <v>0</v>
      </c>
      <c r="BU132" s="15">
        <f>SUM(COUNTIFS('Data entry'!$R$6:$R$200,'Summary Data'!$A132,'Data entry'!$B$6:$B$200,{"Confirmed";"Probable"},'Data entry'!$AQ$6:$AQ$200,'Data Validation'!$V$10, 'Data entry'!$AP$6:$AP$200,'Data Validation'!$U$3, 'Data entry'!$BD$6:$BD$200,"&lt;&gt;*Negative*"))</f>
        <v>0</v>
      </c>
      <c r="BV132" s="15">
        <f>SUM(COUNTIFS('Data entry'!$R$6:$R$200,'Summary Data'!$A132,'Data entry'!$B$6:$B$200,{"Confirmed";"Probable"},'Data entry'!$AQ$6:$AQ$200,'Data Validation'!$V$10, 'Data entry'!$AP$6:$AP$200,'Data Validation'!$U$4, 'Data entry'!$BD$6:$BD$200,"&lt;&gt;*Negative*"))</f>
        <v>0</v>
      </c>
      <c r="BW132" s="15">
        <f>SUM(COUNTIFS('Data entry'!$R$6:$R$200,'Summary Data'!$A132,'Data entry'!$B$6:$B$200,{"Confirmed";"Probable"},'Data entry'!$AQ$6:$AQ$200,'Data Validation'!$V$10, 'Data entry'!$AP$6:$AP$200,'Data Validation'!$U$5, 'Data entry'!$BD$6:$BD$200,"&lt;&gt;*Negative*"))</f>
        <v>0</v>
      </c>
      <c r="BX132" s="15">
        <f>SUM(COUNTIFS('Data entry'!$R$6:$R$200,'Summary Data'!$A132,'Data entry'!$B$6:$B$200,{"Confirmed";"Probable"},'Data entry'!$AQ$6:$AQ$200,'Data Validation'!$V$10, 'Data entry'!$AP$6:$AP$200,'Data Validation'!$U$6, 'Data entry'!$BD$6:$BD$200,"&lt;&gt;*Negative*"))</f>
        <v>0</v>
      </c>
      <c r="BY132" s="15">
        <f>SUM(COUNTIFS('Data entry'!$R$6:$R$200,'Summary Data'!$A132,'Data entry'!$B$6:$B$200,{"Confirmed";"Probable"},'Data entry'!$AQ$6:$AQ$200,'Data Validation'!$V$11, 'Data entry'!$AP$6:$AP$200,'Data Validation'!$U$2, 'Data entry'!$BD$6:$BD$200,"&lt;&gt;*Negative*"))</f>
        <v>0</v>
      </c>
      <c r="BZ132" s="15">
        <f>SUM(COUNTIFS('Data entry'!$R$6:$R$200,'Summary Data'!$A132,'Data entry'!$B$6:$B$200,{"Confirmed";"Probable"},'Data entry'!$AQ$6:$AQ$200,'Data Validation'!$V$11, 'Data entry'!$AP$6:$AP$200,'Data Validation'!$U$3, 'Data entry'!$BD$6:$BD$200,"&lt;&gt;*Negative*"))</f>
        <v>0</v>
      </c>
      <c r="CA132" s="15">
        <f>SUM(COUNTIFS('Data entry'!$R$6:$R$200,'Summary Data'!$A132,'Data entry'!$B$6:$B$200,{"Confirmed";"Probable"},'Data entry'!$AQ$6:$AQ$200,'Data Validation'!$V$11, 'Data entry'!$AP$6:$AP$200,'Data Validation'!$U$4, 'Data entry'!$BD$6:$BD$200,"&lt;&gt;*Negative*"))</f>
        <v>0</v>
      </c>
      <c r="CB132" s="15">
        <f>SUM(COUNTIFS('Data entry'!$R$6:$R$200,'Summary Data'!$A132,'Data entry'!$B$6:$B$200,{"Confirmed";"Probable"},'Data entry'!$AQ$6:$AQ$200,'Data Validation'!$V$11, 'Data entry'!$AP$6:$AP$200,'Data Validation'!$U$5, 'Data entry'!$BD$6:$BD$200,"&lt;&gt;*Negative*"))</f>
        <v>0</v>
      </c>
      <c r="CC132" s="15">
        <f>SUM(COUNTIFS('Data entry'!$R$6:$R$200,'Summary Data'!$A132,'Data entry'!$B$6:$B$200,{"Confirmed";"Probable"},'Data entry'!$AQ$6:$AQ$200,'Data Validation'!$V$11, 'Data entry'!$AP$6:$AP$200,'Data Validation'!$U$6, 'Data entry'!$BD$6:$BD$200,"&lt;&gt;*Negative*"))</f>
        <v>0</v>
      </c>
    </row>
    <row r="133" spans="1:81" x14ac:dyDescent="0.25">
      <c r="A133" s="12">
        <f t="shared" si="9"/>
        <v>121</v>
      </c>
      <c r="B133" s="13">
        <f t="shared" si="6"/>
        <v>0</v>
      </c>
      <c r="C133" s="13">
        <f>COUNTIFS('Data entry'!$R$6:$R$200,$A133,'Data entry'!$B$6:$B$200,"Confirmed",'Data entry'!$BD$6:$BD$200,"&lt;&gt;*Negative*")</f>
        <v>0</v>
      </c>
      <c r="D133" s="13">
        <f>COUNTIFS('Data entry'!$R$6:$R$200,$A133,'Data entry'!$B$6:$B$200,"Probable",'Data entry'!$BD$6:$BD$200,"&lt;&gt;*Negative*")</f>
        <v>0</v>
      </c>
      <c r="E133" s="13">
        <f>COUNTIFS('Data entry'!$R$6:$R$200,$A133,'Data entry'!$B$6:$B$200,"DNM")</f>
        <v>0</v>
      </c>
      <c r="F133" s="13">
        <f>SUM(COUNTIFS('Data entry'!$R$6:$R$200,'Summary Data'!$A133,'Data entry'!$B$6:$B$200,{"Confirmed";"Probable"},'Data entry'!$AO$6:$AO$200,$F$10, 'Data entry'!$BD$6:$BD$200,"&lt;&gt;*Negative*"))</f>
        <v>0</v>
      </c>
      <c r="G133" s="13">
        <f>SUM(COUNTIFS('Data entry'!$R$6:$R$200,'Summary Data'!$A133,'Data entry'!$B$6:$B$200,{"Confirmed";"Probable"},'Data entry'!$AO$6:$AO$200,$G$10, 'Data entry'!$BD$6:$BD$200,"&lt;&gt;*Negative*"))</f>
        <v>0</v>
      </c>
      <c r="H133" s="13">
        <f>SUM(COUNTIFS('Data entry'!$R$6:$R$200,'Summary Data'!$A133,'Data entry'!$B$6:$B$200,{"Confirmed";"Probable"},'Data entry'!$AO$6:$AO$200,$H$10, 'Data entry'!$BD$6:$BD$200,"&lt;&gt;*Negative*"))</f>
        <v>0</v>
      </c>
      <c r="I133" s="13">
        <f>SUM(COUNTIFS('Data entry'!$R$6:$R$200,'Summary Data'!$A133,'Data entry'!$B$6:$B$200,{"Confirmed";"Probable"},'Data entry'!$AO$6:$AO$200,$I$10, 'Data entry'!$BD$6:$BD$200,"&lt;&gt;*Negative*"))</f>
        <v>0</v>
      </c>
      <c r="J133" s="13">
        <f>SUM(COUNTIFS('Data entry'!$R$6:$R$200,'Summary Data'!$A133,'Data entry'!$B$6:$B$200,{"Confirmed";"Probable"},'Data entry'!$AO$6:$AO$200,$J$10, 'Data entry'!$BD$6:$BD$200,"&lt;&gt;*Negative*"))</f>
        <v>0</v>
      </c>
      <c r="K133" s="13">
        <f>SUM(COUNTIFS('Data entry'!$R$6:$R$200,'Summary Data'!$A133,'Data entry'!$B$6:$B$200,{"Confirmed";"Probable"},'Data entry'!$AO$6:$AO$200,$K$10, 'Data entry'!$BD$6:$BD$200,"&lt;&gt;*Negative*"))</f>
        <v>0</v>
      </c>
      <c r="L133" s="13">
        <f>SUM(COUNTIFS('Data entry'!$R$6:$R$200,'Summary Data'!$A133,'Data entry'!$B$6:$B$200,{"Confirmed";"Probable"},'Data entry'!$AO$6:$AO$200,$L$10, 'Data entry'!$BD$6:$BD$200,"&lt;&gt;*Negative*"))</f>
        <v>0</v>
      </c>
      <c r="M133" s="13">
        <f>SUM(COUNTIFS('Data entry'!$R$6:$R$200,'Summary Data'!$A133,'Data entry'!$B$6:$B$200,{"Confirmed";"Probable"},'Data entry'!$AO$6:$AO$200,$M$10, 'Data entry'!$BD$6:$BD$200,"&lt;&gt;*Negative*"))</f>
        <v>0</v>
      </c>
      <c r="N133" s="13">
        <f>SUM(COUNTIFS('Data entry'!$R$6:$R$200,'Summary Data'!$A133,'Data entry'!$B$6:$B$200,{"Confirmed";"Probable"},'Data entry'!$AO$6:$AO$200,$N$10, 'Data entry'!$BD$6:$BD$200,"&lt;&gt;*Negative*"))</f>
        <v>0</v>
      </c>
      <c r="O133" s="15">
        <f t="shared" si="7"/>
        <v>0</v>
      </c>
      <c r="P133" s="15">
        <f t="shared" si="8"/>
        <v>0</v>
      </c>
      <c r="Q133" s="15">
        <f>SUM(COUNTIFS('Data entry'!$R$6:$R$200,'Summary Data'!$A133,'Data entry'!$B$6:$B$200,{"Confirmed";"Probable"},'Data entry'!$AP$6:$AP$200,'Data Validation'!$U$2, 'Data entry'!$BD$6:$BD$200,"&lt;&gt;*Negative*"))</f>
        <v>0</v>
      </c>
      <c r="R133" s="15">
        <f>SUM(COUNTIFS('Data entry'!$R$6:$R$200,'Summary Data'!$A133,'Data entry'!$B$6:$B$200,{"Confirmed";"Probable"},'Data entry'!$AP$6:$AP$200,'Data Validation'!$U$3, 'Data entry'!$BD$6:$BD$200,"&lt;&gt;*Negative*"))</f>
        <v>0</v>
      </c>
      <c r="S133" s="15">
        <f>SUM(COUNTIFS('Data entry'!$R$6:$R$200,'Summary Data'!$A133,'Data entry'!$B$6:$B$200,{"Confirmed";"Probable"},'Data entry'!$AP$6:$AP$200,'Data Validation'!$U$4, 'Data entry'!$BD$6:$BD$200,"&lt;&gt;*Negative*"))</f>
        <v>0</v>
      </c>
      <c r="T133" s="15">
        <f>SUM(COUNTIFS('Data entry'!$R$6:$R$200,'Summary Data'!$A133,'Data entry'!$B$6:$B$200,{"Confirmed";"Probable"},'Data entry'!$AP$6:$AP$200,'Data Validation'!$U$5, 'Data entry'!$BD$6:$BD$200,"&lt;&gt;*Negative*"))</f>
        <v>0</v>
      </c>
      <c r="U133" s="15">
        <f>SUM(COUNTIFS('Data entry'!$R$6:$R$200,'Summary Data'!$A133,'Data entry'!$B$6:$B$200,{"Confirmed";"Probable"},'Data entry'!$AP$6:$AP$200,'Data Validation'!$U$6, 'Data entry'!$BD$6:$BD$200,"&lt;&gt;*Negative*"))</f>
        <v>0</v>
      </c>
      <c r="V133" s="15">
        <f>SUM(COUNTIFS('Data entry'!$R$6:$R$200,'Summary Data'!$A133,'Data entry'!$B$6:$B$200,{"Confirmed";"Probable"},'Data entry'!$AQ$6:$AQ$200,'Data Validation'!$V$2, 'Data entry'!$BD$6:$BD$200,"&lt;&gt;*Negative*"))</f>
        <v>0</v>
      </c>
      <c r="W133" s="15">
        <f>SUM(COUNTIFS('Data entry'!$R$6:$R$200,'Summary Data'!$A133,'Data entry'!$B$6:$B$200,{"Confirmed";"Probable"},'Data entry'!$AQ$6:$AQ$200,'Data Validation'!$V$3, 'Data entry'!$BD$6:$BD$200,"&lt;&gt;*Negative*"))</f>
        <v>0</v>
      </c>
      <c r="X133" s="15">
        <f>SUM(COUNTIFS('Data entry'!$R$6:$R$200,'Summary Data'!$A133,'Data entry'!$B$6:$B$200,{"Confirmed";"Probable"},'Data entry'!$AQ$6:$AQ$200,'Data Validation'!$V$4, 'Data entry'!$BD$6:$BD$200,"&lt;&gt;*Negative*"))</f>
        <v>0</v>
      </c>
      <c r="Y133" s="15">
        <f>SUM(COUNTIFS('Data entry'!$R$6:$R$200,'Summary Data'!$A133,'Data entry'!$B$6:$B$200,{"Confirmed";"Probable"},'Data entry'!$AQ$6:$AQ$200,'Data Validation'!$V$5, 'Data entry'!$BD$6:$BD$200,"&lt;&gt;*Negative*"))</f>
        <v>0</v>
      </c>
      <c r="Z133" s="15">
        <f>SUM(COUNTIFS('Data entry'!$R$6:$R$200,'Summary Data'!$A133,'Data entry'!$B$6:$B$200,{"Confirmed";"Probable"},'Data entry'!$AQ$6:$AQ$200,'Data Validation'!$V$6, 'Data entry'!$BD$6:$BD$200,"&lt;&gt;*Negative*"))</f>
        <v>0</v>
      </c>
      <c r="AA133" s="15">
        <f>SUM(COUNTIFS('Data entry'!$R$6:$R$200,'Summary Data'!$A133,'Data entry'!$B$6:$B$200,{"Confirmed";"Probable"},'Data entry'!$AQ$6:$AQ$200,'Data Validation'!$V$7, 'Data entry'!$BD$6:$BD$200,"&lt;&gt;*Negative*"))</f>
        <v>0</v>
      </c>
      <c r="AB133" s="15">
        <f>SUM(COUNTIFS('Data entry'!$R$6:$R$200,'Summary Data'!$A133,'Data entry'!$B$6:$B$200,{"Confirmed";"Probable"},'Data entry'!$AQ$6:$AQ$200,'Data Validation'!$V$8, 'Data entry'!$BD$6:$BD$200,"&lt;&gt;*Negative*"))</f>
        <v>0</v>
      </c>
      <c r="AC133" s="15">
        <f>SUM(COUNTIFS('Data entry'!$R$6:$R$200,'Summary Data'!$A133,'Data entry'!$B$6:$B$200,{"Confirmed";"Probable"},'Data entry'!$AQ$6:$AQ$200,'Data Validation'!$V$9, 'Data entry'!$BD$6:$BD$200,"&lt;&gt;*Negative*"))</f>
        <v>0</v>
      </c>
      <c r="AD133" s="15">
        <f>SUM(COUNTIFS('Data entry'!$R$6:$R$200,'Summary Data'!$A133,'Data entry'!$B$6:$B$200,{"Confirmed";"Probable"},'Data entry'!$AQ$6:$AQ$200,'Data Validation'!$V$10, 'Data entry'!$BD$6:$BD$200,"&lt;&gt;*Negative*"))</f>
        <v>0</v>
      </c>
      <c r="AE133" s="15">
        <f>SUM(COUNTIFS('Data entry'!$R$6:$R$200,'Summary Data'!$A133,'Data entry'!$B$6:$B$200,{"Confirmed";"Probable"},'Data entry'!$AQ$6:$AQ$200,'Data Validation'!$V$11, 'Data entry'!$BD$6:$BD$200,"&lt;&gt;*Negative*"))</f>
        <v>0</v>
      </c>
      <c r="AF133" s="15">
        <f>SUM(COUNTIFS('Data entry'!$R$6:$R$200,'Summary Data'!$A133,'Data entry'!$B$6:$B$200,{"Confirmed";"Probable"},'Data entry'!$AQ$6:$AQ$200,'Data Validation'!$V$2, 'Data entry'!$AP$6:$AP$200,'Data Validation'!$U$2, 'Data entry'!$BD$6:$BD$200,"&lt;&gt;*Negative*"))</f>
        <v>0</v>
      </c>
      <c r="AG133" s="15">
        <f>SUM(COUNTIFS('Data entry'!$R$6:$R$200,'Summary Data'!$A133,'Data entry'!$B$6:$B$200,{"Confirmed";"Probable"},'Data entry'!$AQ$6:$AQ$200,'Data Validation'!$V$2, 'Data entry'!$AP$6:$AP$200,'Data Validation'!$U$3, 'Data entry'!$BD$6:$BD$200,"&lt;&gt;*Negative*"))</f>
        <v>0</v>
      </c>
      <c r="AH133" s="15">
        <f>SUM(COUNTIFS('Data entry'!$R$6:$R$200,'Summary Data'!$A133,'Data entry'!$B$6:$B$200,{"Confirmed";"Probable"},'Data entry'!$AQ$6:$AQ$200,'Data Validation'!$V$2, 'Data entry'!$AP$6:$AP$200,'Data Validation'!$U$4, 'Data entry'!$BD$6:$BD$200,"&lt;&gt;*Negative*"))</f>
        <v>0</v>
      </c>
      <c r="AI133" s="15">
        <f>SUM(COUNTIFS('Data entry'!$R$6:$R$200,'Summary Data'!$A133,'Data entry'!$B$6:$B$200,{"Confirmed";"Probable"},'Data entry'!$AQ$6:$AQ$200,'Data Validation'!$V$2, 'Data entry'!$AP$6:$AP$200,'Data Validation'!$U$5, 'Data entry'!$BD$6:$BD$200,"&lt;&gt;*Negative*"))</f>
        <v>0</v>
      </c>
      <c r="AJ133" s="15">
        <f>SUM(COUNTIFS('Data entry'!$R$6:$R$200,'Summary Data'!$A133,'Data entry'!$B$6:$B$200,{"Confirmed";"Probable"},'Data entry'!$AQ$6:$AQ$200,'Data Validation'!$V$2, 'Data entry'!$AP$6:$AP$200,'Data Validation'!$U$6, 'Data entry'!$BD$6:$BD$200,"&lt;&gt;*Negative*"))</f>
        <v>0</v>
      </c>
      <c r="AK133" s="15">
        <f>SUM(COUNTIFS('Data entry'!$R$6:$R$200,'Summary Data'!$A133,'Data entry'!$B$6:$B$200,{"Confirmed";"Probable"},'Data entry'!$AQ$6:$AQ$200,'Data Validation'!$V$3, 'Data entry'!$AP$6:$AP$200,'Data Validation'!$U$2, 'Data entry'!$BD$6:$BD$200,"&lt;&gt;*Negative*"))</f>
        <v>0</v>
      </c>
      <c r="AL133" s="15">
        <f>SUM(COUNTIFS('Data entry'!$R$6:$R$200,'Summary Data'!$A133,'Data entry'!$B$6:$B$200,{"Confirmed";"Probable"},'Data entry'!$AQ$6:$AQ$200,'Data Validation'!$V$3, 'Data entry'!$AP$6:$AP$200,'Data Validation'!$U$3, 'Data entry'!$BD$6:$BD$200,"&lt;&gt;*Negative*"))</f>
        <v>0</v>
      </c>
      <c r="AM133" s="15">
        <f>SUM(COUNTIFS('Data entry'!$R$6:$R$200,'Summary Data'!$A133,'Data entry'!$B$6:$B$200,{"Confirmed";"Probable"},'Data entry'!$AQ$6:$AQ$200,'Data Validation'!$V$3, 'Data entry'!$AP$6:$AP$200,'Data Validation'!$U$4, 'Data entry'!$BD$6:$BD$200,"&lt;&gt;*Negative*"))</f>
        <v>0</v>
      </c>
      <c r="AN133" s="15">
        <f>SUM(COUNTIFS('Data entry'!$R$6:$R$200,'Summary Data'!$A133,'Data entry'!$B$6:$B$200,{"Confirmed";"Probable"},'Data entry'!$AQ$6:$AQ$200,'Data Validation'!$V$3, 'Data entry'!$AP$6:$AP$200,'Data Validation'!$U$5, 'Data entry'!$BD$6:$BD$200,"&lt;&gt;*Negative*"))</f>
        <v>0</v>
      </c>
      <c r="AO133" s="15">
        <f>SUM(COUNTIFS('Data entry'!$R$6:$R$200,'Summary Data'!$A133,'Data entry'!$B$6:$B$200,{"Confirmed";"Probable"},'Data entry'!$AQ$6:$AQ$200,'Data Validation'!$V$3, 'Data entry'!$AP$6:$AP$200,'Data Validation'!$U$6, 'Data entry'!$BD$6:$BD$200,"&lt;&gt;*Negative*"))</f>
        <v>0</v>
      </c>
      <c r="AP133" s="15">
        <f>SUM(COUNTIFS('Data entry'!$R$6:$R$200,'Summary Data'!$A133,'Data entry'!$B$6:$B$200,{"Confirmed";"Probable"},'Data entry'!$AQ$6:$AQ$200,'Data Validation'!$V$4, 'Data entry'!$AP$6:$AP$200,'Data Validation'!$U$2, 'Data entry'!$BD$6:$BD$200,"&lt;&gt;*Negative*"))</f>
        <v>0</v>
      </c>
      <c r="AQ133" s="15">
        <f>SUM(COUNTIFS('Data entry'!$R$6:$R$200,'Summary Data'!$A133,'Data entry'!$B$6:$B$200,{"Confirmed";"Probable"},'Data entry'!$AQ$6:$AQ$200,'Data Validation'!$V$4, 'Data entry'!$AP$6:$AP$200,'Data Validation'!$U$3, 'Data entry'!$BD$6:$BD$200,"&lt;&gt;*Negative*"))</f>
        <v>0</v>
      </c>
      <c r="AR133" s="15">
        <f>SUM(COUNTIFS('Data entry'!$R$6:$R$200,'Summary Data'!$A133,'Data entry'!$B$6:$B$200,{"Confirmed";"Probable"},'Data entry'!$AQ$6:$AQ$200,'Data Validation'!$V$4, 'Data entry'!$AP$6:$AP$200,'Data Validation'!$U$4, 'Data entry'!$BD$6:$BD$200,"&lt;&gt;*Negative*"))</f>
        <v>0</v>
      </c>
      <c r="AS133" s="15">
        <f>SUM(COUNTIFS('Data entry'!$R$6:$R$200,'Summary Data'!$A133,'Data entry'!$B$6:$B$200,{"Confirmed";"Probable"},'Data entry'!$AQ$6:$AQ$200,'Data Validation'!$V$4, 'Data entry'!$AP$6:$AP$200,'Data Validation'!$U$5, 'Data entry'!$BD$6:$BD$200,"&lt;&gt;*Negative*"))</f>
        <v>0</v>
      </c>
      <c r="AT133" s="15">
        <f>SUM(COUNTIFS('Data entry'!$R$6:$R$200,'Summary Data'!$A133,'Data entry'!$B$6:$B$200,{"Confirmed";"Probable"},'Data entry'!$AQ$6:$AQ$200,'Data Validation'!$V$4, 'Data entry'!$AP$6:$AP$200,'Data Validation'!$U$6, 'Data entry'!$BD$6:$BD$200,"&lt;&gt;*Negative*"))</f>
        <v>0</v>
      </c>
      <c r="AU133" s="15">
        <f>SUM(COUNTIFS('Data entry'!$R$6:$R$200,'Summary Data'!$A133,'Data entry'!$B$6:$B$200,{"Confirmed";"Probable"},'Data entry'!$AQ$6:$AQ$200,'Data Validation'!$V$5, 'Data entry'!$AP$6:$AP$200,'Data Validation'!$U$2, 'Data entry'!$BD$6:$BD$200,"&lt;&gt;*Negative*"))</f>
        <v>0</v>
      </c>
      <c r="AV133" s="15">
        <f>SUM(COUNTIFS('Data entry'!$R$6:$R$200,'Summary Data'!$A133,'Data entry'!$B$6:$B$200,{"Confirmed";"Probable"},'Data entry'!$AQ$6:$AQ$200,'Data Validation'!$V$5, 'Data entry'!$AP$6:$AP$200,'Data Validation'!$U$3, 'Data entry'!$BD$6:$BD$200,"&lt;&gt;*Negative*"))</f>
        <v>0</v>
      </c>
      <c r="AW133" s="15">
        <f>SUM(COUNTIFS('Data entry'!$R$6:$R$200,'Summary Data'!$A133,'Data entry'!$B$6:$B$200,{"Confirmed";"Probable"},'Data entry'!$AQ$6:$AQ$200,'Data Validation'!$V$5, 'Data entry'!$AP$6:$AP$200,'Data Validation'!$U$4, 'Data entry'!$BD$6:$BD$200,"&lt;&gt;*Negative*"))</f>
        <v>0</v>
      </c>
      <c r="AX133" s="15">
        <f>SUM(COUNTIFS('Data entry'!$R$6:$R$200,'Summary Data'!$A133,'Data entry'!$B$6:$B$200,{"Confirmed";"Probable"},'Data entry'!$AQ$6:$AQ$200,'Data Validation'!$V$5, 'Data entry'!$AP$6:$AP$200,'Data Validation'!$U$5, 'Data entry'!$BD$6:$BD$200,"&lt;&gt;*Negative*"))</f>
        <v>0</v>
      </c>
      <c r="AY133" s="15">
        <f>SUM(COUNTIFS('Data entry'!$R$6:$R$200,'Summary Data'!$A133,'Data entry'!$B$6:$B$200,{"Confirmed";"Probable"},'Data entry'!$AQ$6:$AQ$200,'Data Validation'!$V$5, 'Data entry'!$AP$6:$AP$200,'Data Validation'!$U$6, 'Data entry'!$BD$6:$BD$200,"&lt;&gt;*Negative*"))</f>
        <v>0</v>
      </c>
      <c r="AZ133" s="15">
        <f>SUM(COUNTIFS('Data entry'!$R$6:$R$200,'Summary Data'!$A133,'Data entry'!$B$6:$B$200,{"Confirmed";"Probable"},'Data entry'!$AQ$6:$AQ$200,'Data Validation'!$V$6, 'Data entry'!$AP$6:$AP$200,'Data Validation'!$U$2, 'Data entry'!$BD$6:$BD$200,"&lt;&gt;*Negative*"))</f>
        <v>0</v>
      </c>
      <c r="BA133" s="15">
        <f>SUM(COUNTIFS('Data entry'!$R$6:$R$200,'Summary Data'!$A133,'Data entry'!$B$6:$B$200,{"Confirmed";"Probable"},'Data entry'!$AQ$6:$AQ$200,'Data Validation'!$V$6, 'Data entry'!$AP$6:$AP$200,'Data Validation'!$U$3, 'Data entry'!$BD$6:$BD$200,"&lt;&gt;*Negative*"))</f>
        <v>0</v>
      </c>
      <c r="BB133" s="15">
        <f>SUM(COUNTIFS('Data entry'!$R$6:$R$200,'Summary Data'!$A133,'Data entry'!$B$6:$B$200,{"Confirmed";"Probable"},'Data entry'!$AQ$6:$AQ$200,'Data Validation'!$V$6, 'Data entry'!$AP$6:$AP$200,'Data Validation'!$U$4, 'Data entry'!$BD$6:$BD$200,"&lt;&gt;*Negative*"))</f>
        <v>0</v>
      </c>
      <c r="BC133" s="15">
        <f>SUM(COUNTIFS('Data entry'!$R$6:$R$200,'Summary Data'!$A133,'Data entry'!$B$6:$B$200,{"Confirmed";"Probable"},'Data entry'!$AQ$6:$AQ$200,'Data Validation'!$V$6, 'Data entry'!$AP$6:$AP$200,'Data Validation'!$U$5, 'Data entry'!$BD$6:$BD$200,"&lt;&gt;*Negative*"))</f>
        <v>0</v>
      </c>
      <c r="BD133" s="15">
        <f>SUM(COUNTIFS('Data entry'!$R$6:$R$200,'Summary Data'!$A133,'Data entry'!$B$6:$B$200,{"Confirmed";"Probable"},'Data entry'!$AQ$6:$AQ$200,'Data Validation'!$V$6, 'Data entry'!$AP$6:$AP$200,'Data Validation'!$U$6, 'Data entry'!$BD$6:$BD$200,"&lt;&gt;*Negative*"))</f>
        <v>0</v>
      </c>
      <c r="BE133" s="15">
        <f>SUM(COUNTIFS('Data entry'!$R$6:$R$200,'Summary Data'!$A133,'Data entry'!$B$6:$B$200,{"Confirmed";"Probable"},'Data entry'!$AQ$6:$AQ$200,'Data Validation'!$V$7, 'Data entry'!$AP$6:$AP$200,'Data Validation'!$U$2, 'Data entry'!$BD$6:$BD$200,"&lt;&gt;*Negative*"))</f>
        <v>0</v>
      </c>
      <c r="BF133" s="15">
        <f>SUM(COUNTIFS('Data entry'!$R$6:$R$200,'Summary Data'!$A133,'Data entry'!$B$6:$B$200,{"Confirmed";"Probable"},'Data entry'!$AQ$6:$AQ$200,'Data Validation'!$V$7, 'Data entry'!$AP$6:$AP$200,'Data Validation'!$U$3, 'Data entry'!$BD$6:$BD$200,"&lt;&gt;*Negative*"))</f>
        <v>0</v>
      </c>
      <c r="BG133" s="15">
        <f>SUM(COUNTIFS('Data entry'!$R$6:$R$200,'Summary Data'!$A133,'Data entry'!$B$6:$B$200,{"Confirmed";"Probable"},'Data entry'!$AQ$6:$AQ$200,'Data Validation'!$V$7, 'Data entry'!$AP$6:$AP$200,'Data Validation'!$U$4, 'Data entry'!$BD$6:$BD$200,"&lt;&gt;*Negative*"))</f>
        <v>0</v>
      </c>
      <c r="BH133" s="15">
        <f>SUM(COUNTIFS('Data entry'!$R$6:$R$200,'Summary Data'!$A133,'Data entry'!$B$6:$B$200,{"Confirmed";"Probable"},'Data entry'!$AQ$6:$AQ$200,'Data Validation'!$V$7, 'Data entry'!$AP$6:$AP$200,'Data Validation'!$U$5, 'Data entry'!$BD$6:$BD$200,"&lt;&gt;*Negative*"))</f>
        <v>0</v>
      </c>
      <c r="BI133" s="15">
        <f>SUM(COUNTIFS('Data entry'!$R$6:$R$200,'Summary Data'!$A133,'Data entry'!$B$6:$B$200,{"Confirmed";"Probable"},'Data entry'!$AQ$6:$AQ$200,'Data Validation'!$V$7, 'Data entry'!$AP$6:$AP$200,'Data Validation'!$U$6, 'Data entry'!$BD$6:$BD$200,"&lt;&gt;*Negative*"))</f>
        <v>0</v>
      </c>
      <c r="BJ133" s="15">
        <f>SUM(COUNTIFS('Data entry'!$R$6:$R$200,'Summary Data'!$A133,'Data entry'!$B$6:$B$200,{"Confirmed";"Probable"},'Data entry'!$AQ$6:$AQ$200,'Data Validation'!$V$8, 'Data entry'!$AP$6:$AP$200,'Data Validation'!$U$2, 'Data entry'!$BD$6:$BD$200,"&lt;&gt;*Negative*"))</f>
        <v>0</v>
      </c>
      <c r="BK133" s="15">
        <f>SUM(COUNTIFS('Data entry'!$R$6:$R$200,'Summary Data'!$A133,'Data entry'!$B$6:$B$200,{"Confirmed";"Probable"},'Data entry'!$AQ$6:$AQ$200,'Data Validation'!$V$8, 'Data entry'!$AP$6:$AP$200,'Data Validation'!$U$3, 'Data entry'!$BD$6:$BD$200,"&lt;&gt;*Negative*"))</f>
        <v>0</v>
      </c>
      <c r="BL133" s="15">
        <f>SUM(COUNTIFS('Data entry'!$R$6:$R$200,'Summary Data'!$A133,'Data entry'!$B$6:$B$200,{"Confirmed";"Probable"},'Data entry'!$AQ$6:$AQ$200,'Data Validation'!$V$8, 'Data entry'!$AP$6:$AP$200,'Data Validation'!$U$4, 'Data entry'!$BD$6:$BD$200,"&lt;&gt;*Negative*"))</f>
        <v>0</v>
      </c>
      <c r="BM133" s="15">
        <f>SUM(COUNTIFS('Data entry'!$R$6:$R$200,'Summary Data'!$A133,'Data entry'!$B$6:$B$200,{"Confirmed";"Probable"},'Data entry'!$AQ$6:$AQ$200,'Data Validation'!$V$8, 'Data entry'!$AP$6:$AP$200,'Data Validation'!$U$5, 'Data entry'!$BD$6:$BD$200,"&lt;&gt;*Negative*"))</f>
        <v>0</v>
      </c>
      <c r="BN133" s="15">
        <f>SUM(COUNTIFS('Data entry'!$R$6:$R$200,'Summary Data'!$A133,'Data entry'!$B$6:$B$200,{"Confirmed";"Probable"},'Data entry'!$AQ$6:$AQ$200,'Data Validation'!$V$8, 'Data entry'!$AP$6:$AP$200,'Data Validation'!$U$6, 'Data entry'!$BD$6:$BD$200,"&lt;&gt;*Negative*"))</f>
        <v>0</v>
      </c>
      <c r="BO133" s="15">
        <f>SUM(COUNTIFS('Data entry'!$R$6:$R$200,'Summary Data'!$A133,'Data entry'!$B$6:$B$200,{"Confirmed";"Probable"},'Data entry'!$AQ$6:$AQ$200,'Data Validation'!$V$9, 'Data entry'!$AP$6:$AP$200,'Data Validation'!$U$2, 'Data entry'!$BD$6:$BD$200,"&lt;&gt;*Negative*"))</f>
        <v>0</v>
      </c>
      <c r="BP133" s="15">
        <f>SUM(COUNTIFS('Data entry'!$R$6:$R$200,'Summary Data'!$A133,'Data entry'!$B$6:$B$200,{"Confirmed";"Probable"},'Data entry'!$AQ$6:$AQ$200,'Data Validation'!$V$9, 'Data entry'!$AP$6:$AP$200,'Data Validation'!$U$3, 'Data entry'!$BD$6:$BD$200,"&lt;&gt;*Negative*"))</f>
        <v>0</v>
      </c>
      <c r="BQ133" s="15">
        <f>SUM(COUNTIFS('Data entry'!$R$6:$R$200,'Summary Data'!$A133,'Data entry'!$B$6:$B$200,{"Confirmed";"Probable"},'Data entry'!$AQ$6:$AQ$200,'Data Validation'!$V$9, 'Data entry'!$AP$6:$AP$200,'Data Validation'!$U$4, 'Data entry'!$BD$6:$BD$200,"&lt;&gt;*Negative*"))</f>
        <v>0</v>
      </c>
      <c r="BR133" s="15">
        <f>SUM(COUNTIFS('Data entry'!$R$6:$R$200,'Summary Data'!$A133,'Data entry'!$B$6:$B$200,{"Confirmed";"Probable"},'Data entry'!$AQ$6:$AQ$200,'Data Validation'!$V$9, 'Data entry'!$AP$6:$AP$200,'Data Validation'!$U$5, 'Data entry'!$BD$6:$BD$200,"&lt;&gt;*Negative*"))</f>
        <v>0</v>
      </c>
      <c r="BS133" s="15">
        <f>SUM(COUNTIFS('Data entry'!$R$6:$R$200,'Summary Data'!$A133,'Data entry'!$B$6:$B$200,{"Confirmed";"Probable"},'Data entry'!$AQ$6:$AQ$200,'Data Validation'!$V$9, 'Data entry'!$AP$6:$AP$200,'Data Validation'!$U$6, 'Data entry'!$BD$6:$BD$200,"&lt;&gt;*Negative*"))</f>
        <v>0</v>
      </c>
      <c r="BT133" s="15">
        <f>SUM(COUNTIFS('Data entry'!$R$6:$R$200,'Summary Data'!$A133,'Data entry'!$B$6:$B$200,{"Confirmed";"Probable"},'Data entry'!$AQ$6:$AQ$200,'Data Validation'!$V$10, 'Data entry'!$AP$6:$AP$200,'Data Validation'!$U$2, 'Data entry'!$BD$6:$BD$200,"&lt;&gt;*Negative*"))</f>
        <v>0</v>
      </c>
      <c r="BU133" s="15">
        <f>SUM(COUNTIFS('Data entry'!$R$6:$R$200,'Summary Data'!$A133,'Data entry'!$B$6:$B$200,{"Confirmed";"Probable"},'Data entry'!$AQ$6:$AQ$200,'Data Validation'!$V$10, 'Data entry'!$AP$6:$AP$200,'Data Validation'!$U$3, 'Data entry'!$BD$6:$BD$200,"&lt;&gt;*Negative*"))</f>
        <v>0</v>
      </c>
      <c r="BV133" s="15">
        <f>SUM(COUNTIFS('Data entry'!$R$6:$R$200,'Summary Data'!$A133,'Data entry'!$B$6:$B$200,{"Confirmed";"Probable"},'Data entry'!$AQ$6:$AQ$200,'Data Validation'!$V$10, 'Data entry'!$AP$6:$AP$200,'Data Validation'!$U$4, 'Data entry'!$BD$6:$BD$200,"&lt;&gt;*Negative*"))</f>
        <v>0</v>
      </c>
      <c r="BW133" s="15">
        <f>SUM(COUNTIFS('Data entry'!$R$6:$R$200,'Summary Data'!$A133,'Data entry'!$B$6:$B$200,{"Confirmed";"Probable"},'Data entry'!$AQ$6:$AQ$200,'Data Validation'!$V$10, 'Data entry'!$AP$6:$AP$200,'Data Validation'!$U$5, 'Data entry'!$BD$6:$BD$200,"&lt;&gt;*Negative*"))</f>
        <v>0</v>
      </c>
      <c r="BX133" s="15">
        <f>SUM(COUNTIFS('Data entry'!$R$6:$R$200,'Summary Data'!$A133,'Data entry'!$B$6:$B$200,{"Confirmed";"Probable"},'Data entry'!$AQ$6:$AQ$200,'Data Validation'!$V$10, 'Data entry'!$AP$6:$AP$200,'Data Validation'!$U$6, 'Data entry'!$BD$6:$BD$200,"&lt;&gt;*Negative*"))</f>
        <v>0</v>
      </c>
      <c r="BY133" s="15">
        <f>SUM(COUNTIFS('Data entry'!$R$6:$R$200,'Summary Data'!$A133,'Data entry'!$B$6:$B$200,{"Confirmed";"Probable"},'Data entry'!$AQ$6:$AQ$200,'Data Validation'!$V$11, 'Data entry'!$AP$6:$AP$200,'Data Validation'!$U$2, 'Data entry'!$BD$6:$BD$200,"&lt;&gt;*Negative*"))</f>
        <v>0</v>
      </c>
      <c r="BZ133" s="15">
        <f>SUM(COUNTIFS('Data entry'!$R$6:$R$200,'Summary Data'!$A133,'Data entry'!$B$6:$B$200,{"Confirmed";"Probable"},'Data entry'!$AQ$6:$AQ$200,'Data Validation'!$V$11, 'Data entry'!$AP$6:$AP$200,'Data Validation'!$U$3, 'Data entry'!$BD$6:$BD$200,"&lt;&gt;*Negative*"))</f>
        <v>0</v>
      </c>
      <c r="CA133" s="15">
        <f>SUM(COUNTIFS('Data entry'!$R$6:$R$200,'Summary Data'!$A133,'Data entry'!$B$6:$B$200,{"Confirmed";"Probable"},'Data entry'!$AQ$6:$AQ$200,'Data Validation'!$V$11, 'Data entry'!$AP$6:$AP$200,'Data Validation'!$U$4, 'Data entry'!$BD$6:$BD$200,"&lt;&gt;*Negative*"))</f>
        <v>0</v>
      </c>
      <c r="CB133" s="15">
        <f>SUM(COUNTIFS('Data entry'!$R$6:$R$200,'Summary Data'!$A133,'Data entry'!$B$6:$B$200,{"Confirmed";"Probable"},'Data entry'!$AQ$6:$AQ$200,'Data Validation'!$V$11, 'Data entry'!$AP$6:$AP$200,'Data Validation'!$U$5, 'Data entry'!$BD$6:$BD$200,"&lt;&gt;*Negative*"))</f>
        <v>0</v>
      </c>
      <c r="CC133" s="15">
        <f>SUM(COUNTIFS('Data entry'!$R$6:$R$200,'Summary Data'!$A133,'Data entry'!$B$6:$B$200,{"Confirmed";"Probable"},'Data entry'!$AQ$6:$AQ$200,'Data Validation'!$V$11, 'Data entry'!$AP$6:$AP$200,'Data Validation'!$U$6, 'Data entry'!$BD$6:$BD$200,"&lt;&gt;*Negative*"))</f>
        <v>0</v>
      </c>
    </row>
    <row r="134" spans="1:81" x14ac:dyDescent="0.25">
      <c r="A134" s="12">
        <f t="shared" si="9"/>
        <v>122</v>
      </c>
      <c r="B134" s="13">
        <f t="shared" si="6"/>
        <v>0</v>
      </c>
      <c r="C134" s="13">
        <f>COUNTIFS('Data entry'!$R$6:$R$200,$A134,'Data entry'!$B$6:$B$200,"Confirmed",'Data entry'!$BD$6:$BD$200,"&lt;&gt;*Negative*")</f>
        <v>0</v>
      </c>
      <c r="D134" s="13">
        <f>COUNTIFS('Data entry'!$R$6:$R$200,$A134,'Data entry'!$B$6:$B$200,"Probable",'Data entry'!$BD$6:$BD$200,"&lt;&gt;*Negative*")</f>
        <v>0</v>
      </c>
      <c r="E134" s="13">
        <f>COUNTIFS('Data entry'!$R$6:$R$200,$A134,'Data entry'!$B$6:$B$200,"DNM")</f>
        <v>0</v>
      </c>
      <c r="F134" s="13">
        <f>SUM(COUNTIFS('Data entry'!$R$6:$R$200,'Summary Data'!$A134,'Data entry'!$B$6:$B$200,{"Confirmed";"Probable"},'Data entry'!$AO$6:$AO$200,$F$10, 'Data entry'!$BD$6:$BD$200,"&lt;&gt;*Negative*"))</f>
        <v>0</v>
      </c>
      <c r="G134" s="13">
        <f>SUM(COUNTIFS('Data entry'!$R$6:$R$200,'Summary Data'!$A134,'Data entry'!$B$6:$B$200,{"Confirmed";"Probable"},'Data entry'!$AO$6:$AO$200,$G$10, 'Data entry'!$BD$6:$BD$200,"&lt;&gt;*Negative*"))</f>
        <v>0</v>
      </c>
      <c r="H134" s="13">
        <f>SUM(COUNTIFS('Data entry'!$R$6:$R$200,'Summary Data'!$A134,'Data entry'!$B$6:$B$200,{"Confirmed";"Probable"},'Data entry'!$AO$6:$AO$200,$H$10, 'Data entry'!$BD$6:$BD$200,"&lt;&gt;*Negative*"))</f>
        <v>0</v>
      </c>
      <c r="I134" s="13">
        <f>SUM(COUNTIFS('Data entry'!$R$6:$R$200,'Summary Data'!$A134,'Data entry'!$B$6:$B$200,{"Confirmed";"Probable"},'Data entry'!$AO$6:$AO$200,$I$10, 'Data entry'!$BD$6:$BD$200,"&lt;&gt;*Negative*"))</f>
        <v>0</v>
      </c>
      <c r="J134" s="13">
        <f>SUM(COUNTIFS('Data entry'!$R$6:$R$200,'Summary Data'!$A134,'Data entry'!$B$6:$B$200,{"Confirmed";"Probable"},'Data entry'!$AO$6:$AO$200,$J$10, 'Data entry'!$BD$6:$BD$200,"&lt;&gt;*Negative*"))</f>
        <v>0</v>
      </c>
      <c r="K134" s="13">
        <f>SUM(COUNTIFS('Data entry'!$R$6:$R$200,'Summary Data'!$A134,'Data entry'!$B$6:$B$200,{"Confirmed";"Probable"},'Data entry'!$AO$6:$AO$200,$K$10, 'Data entry'!$BD$6:$BD$200,"&lt;&gt;*Negative*"))</f>
        <v>0</v>
      </c>
      <c r="L134" s="13">
        <f>SUM(COUNTIFS('Data entry'!$R$6:$R$200,'Summary Data'!$A134,'Data entry'!$B$6:$B$200,{"Confirmed";"Probable"},'Data entry'!$AO$6:$AO$200,$L$10, 'Data entry'!$BD$6:$BD$200,"&lt;&gt;*Negative*"))</f>
        <v>0</v>
      </c>
      <c r="M134" s="13">
        <f>SUM(COUNTIFS('Data entry'!$R$6:$R$200,'Summary Data'!$A134,'Data entry'!$B$6:$B$200,{"Confirmed";"Probable"},'Data entry'!$AO$6:$AO$200,$M$10, 'Data entry'!$BD$6:$BD$200,"&lt;&gt;*Negative*"))</f>
        <v>0</v>
      </c>
      <c r="N134" s="13">
        <f>SUM(COUNTIFS('Data entry'!$R$6:$R$200,'Summary Data'!$A134,'Data entry'!$B$6:$B$200,{"Confirmed";"Probable"},'Data entry'!$AO$6:$AO$200,$N$10, 'Data entry'!$BD$6:$BD$200,"&lt;&gt;*Negative*"))</f>
        <v>0</v>
      </c>
      <c r="O134" s="15">
        <f t="shared" si="7"/>
        <v>0</v>
      </c>
      <c r="P134" s="15">
        <f t="shared" si="8"/>
        <v>0</v>
      </c>
      <c r="Q134" s="15">
        <f>SUM(COUNTIFS('Data entry'!$R$6:$R$200,'Summary Data'!$A134,'Data entry'!$B$6:$B$200,{"Confirmed";"Probable"},'Data entry'!$AP$6:$AP$200,'Data Validation'!$U$2, 'Data entry'!$BD$6:$BD$200,"&lt;&gt;*Negative*"))</f>
        <v>0</v>
      </c>
      <c r="R134" s="15">
        <f>SUM(COUNTIFS('Data entry'!$R$6:$R$200,'Summary Data'!$A134,'Data entry'!$B$6:$B$200,{"Confirmed";"Probable"},'Data entry'!$AP$6:$AP$200,'Data Validation'!$U$3, 'Data entry'!$BD$6:$BD$200,"&lt;&gt;*Negative*"))</f>
        <v>0</v>
      </c>
      <c r="S134" s="15">
        <f>SUM(COUNTIFS('Data entry'!$R$6:$R$200,'Summary Data'!$A134,'Data entry'!$B$6:$B$200,{"Confirmed";"Probable"},'Data entry'!$AP$6:$AP$200,'Data Validation'!$U$4, 'Data entry'!$BD$6:$BD$200,"&lt;&gt;*Negative*"))</f>
        <v>0</v>
      </c>
      <c r="T134" s="15">
        <f>SUM(COUNTIFS('Data entry'!$R$6:$R$200,'Summary Data'!$A134,'Data entry'!$B$6:$B$200,{"Confirmed";"Probable"},'Data entry'!$AP$6:$AP$200,'Data Validation'!$U$5, 'Data entry'!$BD$6:$BD$200,"&lt;&gt;*Negative*"))</f>
        <v>0</v>
      </c>
      <c r="U134" s="15">
        <f>SUM(COUNTIFS('Data entry'!$R$6:$R$200,'Summary Data'!$A134,'Data entry'!$B$6:$B$200,{"Confirmed";"Probable"},'Data entry'!$AP$6:$AP$200,'Data Validation'!$U$6, 'Data entry'!$BD$6:$BD$200,"&lt;&gt;*Negative*"))</f>
        <v>0</v>
      </c>
      <c r="V134" s="15">
        <f>SUM(COUNTIFS('Data entry'!$R$6:$R$200,'Summary Data'!$A134,'Data entry'!$B$6:$B$200,{"Confirmed";"Probable"},'Data entry'!$AQ$6:$AQ$200,'Data Validation'!$V$2, 'Data entry'!$BD$6:$BD$200,"&lt;&gt;*Negative*"))</f>
        <v>0</v>
      </c>
      <c r="W134" s="15">
        <f>SUM(COUNTIFS('Data entry'!$R$6:$R$200,'Summary Data'!$A134,'Data entry'!$B$6:$B$200,{"Confirmed";"Probable"},'Data entry'!$AQ$6:$AQ$200,'Data Validation'!$V$3, 'Data entry'!$BD$6:$BD$200,"&lt;&gt;*Negative*"))</f>
        <v>0</v>
      </c>
      <c r="X134" s="15">
        <f>SUM(COUNTIFS('Data entry'!$R$6:$R$200,'Summary Data'!$A134,'Data entry'!$B$6:$B$200,{"Confirmed";"Probable"},'Data entry'!$AQ$6:$AQ$200,'Data Validation'!$V$4, 'Data entry'!$BD$6:$BD$200,"&lt;&gt;*Negative*"))</f>
        <v>0</v>
      </c>
      <c r="Y134" s="15">
        <f>SUM(COUNTIFS('Data entry'!$R$6:$R$200,'Summary Data'!$A134,'Data entry'!$B$6:$B$200,{"Confirmed";"Probable"},'Data entry'!$AQ$6:$AQ$200,'Data Validation'!$V$5, 'Data entry'!$BD$6:$BD$200,"&lt;&gt;*Negative*"))</f>
        <v>0</v>
      </c>
      <c r="Z134" s="15">
        <f>SUM(COUNTIFS('Data entry'!$R$6:$R$200,'Summary Data'!$A134,'Data entry'!$B$6:$B$200,{"Confirmed";"Probable"},'Data entry'!$AQ$6:$AQ$200,'Data Validation'!$V$6, 'Data entry'!$BD$6:$BD$200,"&lt;&gt;*Negative*"))</f>
        <v>0</v>
      </c>
      <c r="AA134" s="15">
        <f>SUM(COUNTIFS('Data entry'!$R$6:$R$200,'Summary Data'!$A134,'Data entry'!$B$6:$B$200,{"Confirmed";"Probable"},'Data entry'!$AQ$6:$AQ$200,'Data Validation'!$V$7, 'Data entry'!$BD$6:$BD$200,"&lt;&gt;*Negative*"))</f>
        <v>0</v>
      </c>
      <c r="AB134" s="15">
        <f>SUM(COUNTIFS('Data entry'!$R$6:$R$200,'Summary Data'!$A134,'Data entry'!$B$6:$B$200,{"Confirmed";"Probable"},'Data entry'!$AQ$6:$AQ$200,'Data Validation'!$V$8, 'Data entry'!$BD$6:$BD$200,"&lt;&gt;*Negative*"))</f>
        <v>0</v>
      </c>
      <c r="AC134" s="15">
        <f>SUM(COUNTIFS('Data entry'!$R$6:$R$200,'Summary Data'!$A134,'Data entry'!$B$6:$B$200,{"Confirmed";"Probable"},'Data entry'!$AQ$6:$AQ$200,'Data Validation'!$V$9, 'Data entry'!$BD$6:$BD$200,"&lt;&gt;*Negative*"))</f>
        <v>0</v>
      </c>
      <c r="AD134" s="15">
        <f>SUM(COUNTIFS('Data entry'!$R$6:$R$200,'Summary Data'!$A134,'Data entry'!$B$6:$B$200,{"Confirmed";"Probable"},'Data entry'!$AQ$6:$AQ$200,'Data Validation'!$V$10, 'Data entry'!$BD$6:$BD$200,"&lt;&gt;*Negative*"))</f>
        <v>0</v>
      </c>
      <c r="AE134" s="15">
        <f>SUM(COUNTIFS('Data entry'!$R$6:$R$200,'Summary Data'!$A134,'Data entry'!$B$6:$B$200,{"Confirmed";"Probable"},'Data entry'!$AQ$6:$AQ$200,'Data Validation'!$V$11, 'Data entry'!$BD$6:$BD$200,"&lt;&gt;*Negative*"))</f>
        <v>0</v>
      </c>
      <c r="AF134" s="15">
        <f>SUM(COUNTIFS('Data entry'!$R$6:$R$200,'Summary Data'!$A134,'Data entry'!$B$6:$B$200,{"Confirmed";"Probable"},'Data entry'!$AQ$6:$AQ$200,'Data Validation'!$V$2, 'Data entry'!$AP$6:$AP$200,'Data Validation'!$U$2, 'Data entry'!$BD$6:$BD$200,"&lt;&gt;*Negative*"))</f>
        <v>0</v>
      </c>
      <c r="AG134" s="15">
        <f>SUM(COUNTIFS('Data entry'!$R$6:$R$200,'Summary Data'!$A134,'Data entry'!$B$6:$B$200,{"Confirmed";"Probable"},'Data entry'!$AQ$6:$AQ$200,'Data Validation'!$V$2, 'Data entry'!$AP$6:$AP$200,'Data Validation'!$U$3, 'Data entry'!$BD$6:$BD$200,"&lt;&gt;*Negative*"))</f>
        <v>0</v>
      </c>
      <c r="AH134" s="15">
        <f>SUM(COUNTIFS('Data entry'!$R$6:$R$200,'Summary Data'!$A134,'Data entry'!$B$6:$B$200,{"Confirmed";"Probable"},'Data entry'!$AQ$6:$AQ$200,'Data Validation'!$V$2, 'Data entry'!$AP$6:$AP$200,'Data Validation'!$U$4, 'Data entry'!$BD$6:$BD$200,"&lt;&gt;*Negative*"))</f>
        <v>0</v>
      </c>
      <c r="AI134" s="15">
        <f>SUM(COUNTIFS('Data entry'!$R$6:$R$200,'Summary Data'!$A134,'Data entry'!$B$6:$B$200,{"Confirmed";"Probable"},'Data entry'!$AQ$6:$AQ$200,'Data Validation'!$V$2, 'Data entry'!$AP$6:$AP$200,'Data Validation'!$U$5, 'Data entry'!$BD$6:$BD$200,"&lt;&gt;*Negative*"))</f>
        <v>0</v>
      </c>
      <c r="AJ134" s="15">
        <f>SUM(COUNTIFS('Data entry'!$R$6:$R$200,'Summary Data'!$A134,'Data entry'!$B$6:$B$200,{"Confirmed";"Probable"},'Data entry'!$AQ$6:$AQ$200,'Data Validation'!$V$2, 'Data entry'!$AP$6:$AP$200,'Data Validation'!$U$6, 'Data entry'!$BD$6:$BD$200,"&lt;&gt;*Negative*"))</f>
        <v>0</v>
      </c>
      <c r="AK134" s="15">
        <f>SUM(COUNTIFS('Data entry'!$R$6:$R$200,'Summary Data'!$A134,'Data entry'!$B$6:$B$200,{"Confirmed";"Probable"},'Data entry'!$AQ$6:$AQ$200,'Data Validation'!$V$3, 'Data entry'!$AP$6:$AP$200,'Data Validation'!$U$2, 'Data entry'!$BD$6:$BD$200,"&lt;&gt;*Negative*"))</f>
        <v>0</v>
      </c>
      <c r="AL134" s="15">
        <f>SUM(COUNTIFS('Data entry'!$R$6:$R$200,'Summary Data'!$A134,'Data entry'!$B$6:$B$200,{"Confirmed";"Probable"},'Data entry'!$AQ$6:$AQ$200,'Data Validation'!$V$3, 'Data entry'!$AP$6:$AP$200,'Data Validation'!$U$3, 'Data entry'!$BD$6:$BD$200,"&lt;&gt;*Negative*"))</f>
        <v>0</v>
      </c>
      <c r="AM134" s="15">
        <f>SUM(COUNTIFS('Data entry'!$R$6:$R$200,'Summary Data'!$A134,'Data entry'!$B$6:$B$200,{"Confirmed";"Probable"},'Data entry'!$AQ$6:$AQ$200,'Data Validation'!$V$3, 'Data entry'!$AP$6:$AP$200,'Data Validation'!$U$4, 'Data entry'!$BD$6:$BD$200,"&lt;&gt;*Negative*"))</f>
        <v>0</v>
      </c>
      <c r="AN134" s="15">
        <f>SUM(COUNTIFS('Data entry'!$R$6:$R$200,'Summary Data'!$A134,'Data entry'!$B$6:$B$200,{"Confirmed";"Probable"},'Data entry'!$AQ$6:$AQ$200,'Data Validation'!$V$3, 'Data entry'!$AP$6:$AP$200,'Data Validation'!$U$5, 'Data entry'!$BD$6:$BD$200,"&lt;&gt;*Negative*"))</f>
        <v>0</v>
      </c>
      <c r="AO134" s="15">
        <f>SUM(COUNTIFS('Data entry'!$R$6:$R$200,'Summary Data'!$A134,'Data entry'!$B$6:$B$200,{"Confirmed";"Probable"},'Data entry'!$AQ$6:$AQ$200,'Data Validation'!$V$3, 'Data entry'!$AP$6:$AP$200,'Data Validation'!$U$6, 'Data entry'!$BD$6:$BD$200,"&lt;&gt;*Negative*"))</f>
        <v>0</v>
      </c>
      <c r="AP134" s="15">
        <f>SUM(COUNTIFS('Data entry'!$R$6:$R$200,'Summary Data'!$A134,'Data entry'!$B$6:$B$200,{"Confirmed";"Probable"},'Data entry'!$AQ$6:$AQ$200,'Data Validation'!$V$4, 'Data entry'!$AP$6:$AP$200,'Data Validation'!$U$2, 'Data entry'!$BD$6:$BD$200,"&lt;&gt;*Negative*"))</f>
        <v>0</v>
      </c>
      <c r="AQ134" s="15">
        <f>SUM(COUNTIFS('Data entry'!$R$6:$R$200,'Summary Data'!$A134,'Data entry'!$B$6:$B$200,{"Confirmed";"Probable"},'Data entry'!$AQ$6:$AQ$200,'Data Validation'!$V$4, 'Data entry'!$AP$6:$AP$200,'Data Validation'!$U$3, 'Data entry'!$BD$6:$BD$200,"&lt;&gt;*Negative*"))</f>
        <v>0</v>
      </c>
      <c r="AR134" s="15">
        <f>SUM(COUNTIFS('Data entry'!$R$6:$R$200,'Summary Data'!$A134,'Data entry'!$B$6:$B$200,{"Confirmed";"Probable"},'Data entry'!$AQ$6:$AQ$200,'Data Validation'!$V$4, 'Data entry'!$AP$6:$AP$200,'Data Validation'!$U$4, 'Data entry'!$BD$6:$BD$200,"&lt;&gt;*Negative*"))</f>
        <v>0</v>
      </c>
      <c r="AS134" s="15">
        <f>SUM(COUNTIFS('Data entry'!$R$6:$R$200,'Summary Data'!$A134,'Data entry'!$B$6:$B$200,{"Confirmed";"Probable"},'Data entry'!$AQ$6:$AQ$200,'Data Validation'!$V$4, 'Data entry'!$AP$6:$AP$200,'Data Validation'!$U$5, 'Data entry'!$BD$6:$BD$200,"&lt;&gt;*Negative*"))</f>
        <v>0</v>
      </c>
      <c r="AT134" s="15">
        <f>SUM(COUNTIFS('Data entry'!$R$6:$R$200,'Summary Data'!$A134,'Data entry'!$B$6:$B$200,{"Confirmed";"Probable"},'Data entry'!$AQ$6:$AQ$200,'Data Validation'!$V$4, 'Data entry'!$AP$6:$AP$200,'Data Validation'!$U$6, 'Data entry'!$BD$6:$BD$200,"&lt;&gt;*Negative*"))</f>
        <v>0</v>
      </c>
      <c r="AU134" s="15">
        <f>SUM(COUNTIFS('Data entry'!$R$6:$R$200,'Summary Data'!$A134,'Data entry'!$B$6:$B$200,{"Confirmed";"Probable"},'Data entry'!$AQ$6:$AQ$200,'Data Validation'!$V$5, 'Data entry'!$AP$6:$AP$200,'Data Validation'!$U$2, 'Data entry'!$BD$6:$BD$200,"&lt;&gt;*Negative*"))</f>
        <v>0</v>
      </c>
      <c r="AV134" s="15">
        <f>SUM(COUNTIFS('Data entry'!$R$6:$R$200,'Summary Data'!$A134,'Data entry'!$B$6:$B$200,{"Confirmed";"Probable"},'Data entry'!$AQ$6:$AQ$200,'Data Validation'!$V$5, 'Data entry'!$AP$6:$AP$200,'Data Validation'!$U$3, 'Data entry'!$BD$6:$BD$200,"&lt;&gt;*Negative*"))</f>
        <v>0</v>
      </c>
      <c r="AW134" s="15">
        <f>SUM(COUNTIFS('Data entry'!$R$6:$R$200,'Summary Data'!$A134,'Data entry'!$B$6:$B$200,{"Confirmed";"Probable"},'Data entry'!$AQ$6:$AQ$200,'Data Validation'!$V$5, 'Data entry'!$AP$6:$AP$200,'Data Validation'!$U$4, 'Data entry'!$BD$6:$BD$200,"&lt;&gt;*Negative*"))</f>
        <v>0</v>
      </c>
      <c r="AX134" s="15">
        <f>SUM(COUNTIFS('Data entry'!$R$6:$R$200,'Summary Data'!$A134,'Data entry'!$B$6:$B$200,{"Confirmed";"Probable"},'Data entry'!$AQ$6:$AQ$200,'Data Validation'!$V$5, 'Data entry'!$AP$6:$AP$200,'Data Validation'!$U$5, 'Data entry'!$BD$6:$BD$200,"&lt;&gt;*Negative*"))</f>
        <v>0</v>
      </c>
      <c r="AY134" s="15">
        <f>SUM(COUNTIFS('Data entry'!$R$6:$R$200,'Summary Data'!$A134,'Data entry'!$B$6:$B$200,{"Confirmed";"Probable"},'Data entry'!$AQ$6:$AQ$200,'Data Validation'!$V$5, 'Data entry'!$AP$6:$AP$200,'Data Validation'!$U$6, 'Data entry'!$BD$6:$BD$200,"&lt;&gt;*Negative*"))</f>
        <v>0</v>
      </c>
      <c r="AZ134" s="15">
        <f>SUM(COUNTIFS('Data entry'!$R$6:$R$200,'Summary Data'!$A134,'Data entry'!$B$6:$B$200,{"Confirmed";"Probable"},'Data entry'!$AQ$6:$AQ$200,'Data Validation'!$V$6, 'Data entry'!$AP$6:$AP$200,'Data Validation'!$U$2, 'Data entry'!$BD$6:$BD$200,"&lt;&gt;*Negative*"))</f>
        <v>0</v>
      </c>
      <c r="BA134" s="15">
        <f>SUM(COUNTIFS('Data entry'!$R$6:$R$200,'Summary Data'!$A134,'Data entry'!$B$6:$B$200,{"Confirmed";"Probable"},'Data entry'!$AQ$6:$AQ$200,'Data Validation'!$V$6, 'Data entry'!$AP$6:$AP$200,'Data Validation'!$U$3, 'Data entry'!$BD$6:$BD$200,"&lt;&gt;*Negative*"))</f>
        <v>0</v>
      </c>
      <c r="BB134" s="15">
        <f>SUM(COUNTIFS('Data entry'!$R$6:$R$200,'Summary Data'!$A134,'Data entry'!$B$6:$B$200,{"Confirmed";"Probable"},'Data entry'!$AQ$6:$AQ$200,'Data Validation'!$V$6, 'Data entry'!$AP$6:$AP$200,'Data Validation'!$U$4, 'Data entry'!$BD$6:$BD$200,"&lt;&gt;*Negative*"))</f>
        <v>0</v>
      </c>
      <c r="BC134" s="15">
        <f>SUM(COUNTIFS('Data entry'!$R$6:$R$200,'Summary Data'!$A134,'Data entry'!$B$6:$B$200,{"Confirmed";"Probable"},'Data entry'!$AQ$6:$AQ$200,'Data Validation'!$V$6, 'Data entry'!$AP$6:$AP$200,'Data Validation'!$U$5, 'Data entry'!$BD$6:$BD$200,"&lt;&gt;*Negative*"))</f>
        <v>0</v>
      </c>
      <c r="BD134" s="15">
        <f>SUM(COUNTIFS('Data entry'!$R$6:$R$200,'Summary Data'!$A134,'Data entry'!$B$6:$B$200,{"Confirmed";"Probable"},'Data entry'!$AQ$6:$AQ$200,'Data Validation'!$V$6, 'Data entry'!$AP$6:$AP$200,'Data Validation'!$U$6, 'Data entry'!$BD$6:$BD$200,"&lt;&gt;*Negative*"))</f>
        <v>0</v>
      </c>
      <c r="BE134" s="15">
        <f>SUM(COUNTIFS('Data entry'!$R$6:$R$200,'Summary Data'!$A134,'Data entry'!$B$6:$B$200,{"Confirmed";"Probable"},'Data entry'!$AQ$6:$AQ$200,'Data Validation'!$V$7, 'Data entry'!$AP$6:$AP$200,'Data Validation'!$U$2, 'Data entry'!$BD$6:$BD$200,"&lt;&gt;*Negative*"))</f>
        <v>0</v>
      </c>
      <c r="BF134" s="15">
        <f>SUM(COUNTIFS('Data entry'!$R$6:$R$200,'Summary Data'!$A134,'Data entry'!$B$6:$B$200,{"Confirmed";"Probable"},'Data entry'!$AQ$6:$AQ$200,'Data Validation'!$V$7, 'Data entry'!$AP$6:$AP$200,'Data Validation'!$U$3, 'Data entry'!$BD$6:$BD$200,"&lt;&gt;*Negative*"))</f>
        <v>0</v>
      </c>
      <c r="BG134" s="15">
        <f>SUM(COUNTIFS('Data entry'!$R$6:$R$200,'Summary Data'!$A134,'Data entry'!$B$6:$B$200,{"Confirmed";"Probable"},'Data entry'!$AQ$6:$AQ$200,'Data Validation'!$V$7, 'Data entry'!$AP$6:$AP$200,'Data Validation'!$U$4, 'Data entry'!$BD$6:$BD$200,"&lt;&gt;*Negative*"))</f>
        <v>0</v>
      </c>
      <c r="BH134" s="15">
        <f>SUM(COUNTIFS('Data entry'!$R$6:$R$200,'Summary Data'!$A134,'Data entry'!$B$6:$B$200,{"Confirmed";"Probable"},'Data entry'!$AQ$6:$AQ$200,'Data Validation'!$V$7, 'Data entry'!$AP$6:$AP$200,'Data Validation'!$U$5, 'Data entry'!$BD$6:$BD$200,"&lt;&gt;*Negative*"))</f>
        <v>0</v>
      </c>
      <c r="BI134" s="15">
        <f>SUM(COUNTIFS('Data entry'!$R$6:$R$200,'Summary Data'!$A134,'Data entry'!$B$6:$B$200,{"Confirmed";"Probable"},'Data entry'!$AQ$6:$AQ$200,'Data Validation'!$V$7, 'Data entry'!$AP$6:$AP$200,'Data Validation'!$U$6, 'Data entry'!$BD$6:$BD$200,"&lt;&gt;*Negative*"))</f>
        <v>0</v>
      </c>
      <c r="BJ134" s="15">
        <f>SUM(COUNTIFS('Data entry'!$R$6:$R$200,'Summary Data'!$A134,'Data entry'!$B$6:$B$200,{"Confirmed";"Probable"},'Data entry'!$AQ$6:$AQ$200,'Data Validation'!$V$8, 'Data entry'!$AP$6:$AP$200,'Data Validation'!$U$2, 'Data entry'!$BD$6:$BD$200,"&lt;&gt;*Negative*"))</f>
        <v>0</v>
      </c>
      <c r="BK134" s="15">
        <f>SUM(COUNTIFS('Data entry'!$R$6:$R$200,'Summary Data'!$A134,'Data entry'!$B$6:$B$200,{"Confirmed";"Probable"},'Data entry'!$AQ$6:$AQ$200,'Data Validation'!$V$8, 'Data entry'!$AP$6:$AP$200,'Data Validation'!$U$3, 'Data entry'!$BD$6:$BD$200,"&lt;&gt;*Negative*"))</f>
        <v>0</v>
      </c>
      <c r="BL134" s="15">
        <f>SUM(COUNTIFS('Data entry'!$R$6:$R$200,'Summary Data'!$A134,'Data entry'!$B$6:$B$200,{"Confirmed";"Probable"},'Data entry'!$AQ$6:$AQ$200,'Data Validation'!$V$8, 'Data entry'!$AP$6:$AP$200,'Data Validation'!$U$4, 'Data entry'!$BD$6:$BD$200,"&lt;&gt;*Negative*"))</f>
        <v>0</v>
      </c>
      <c r="BM134" s="15">
        <f>SUM(COUNTIFS('Data entry'!$R$6:$R$200,'Summary Data'!$A134,'Data entry'!$B$6:$B$200,{"Confirmed";"Probable"},'Data entry'!$AQ$6:$AQ$200,'Data Validation'!$V$8, 'Data entry'!$AP$6:$AP$200,'Data Validation'!$U$5, 'Data entry'!$BD$6:$BD$200,"&lt;&gt;*Negative*"))</f>
        <v>0</v>
      </c>
      <c r="BN134" s="15">
        <f>SUM(COUNTIFS('Data entry'!$R$6:$R$200,'Summary Data'!$A134,'Data entry'!$B$6:$B$200,{"Confirmed";"Probable"},'Data entry'!$AQ$6:$AQ$200,'Data Validation'!$V$8, 'Data entry'!$AP$6:$AP$200,'Data Validation'!$U$6, 'Data entry'!$BD$6:$BD$200,"&lt;&gt;*Negative*"))</f>
        <v>0</v>
      </c>
      <c r="BO134" s="15">
        <f>SUM(COUNTIFS('Data entry'!$R$6:$R$200,'Summary Data'!$A134,'Data entry'!$B$6:$B$200,{"Confirmed";"Probable"},'Data entry'!$AQ$6:$AQ$200,'Data Validation'!$V$9, 'Data entry'!$AP$6:$AP$200,'Data Validation'!$U$2, 'Data entry'!$BD$6:$BD$200,"&lt;&gt;*Negative*"))</f>
        <v>0</v>
      </c>
      <c r="BP134" s="15">
        <f>SUM(COUNTIFS('Data entry'!$R$6:$R$200,'Summary Data'!$A134,'Data entry'!$B$6:$B$200,{"Confirmed";"Probable"},'Data entry'!$AQ$6:$AQ$200,'Data Validation'!$V$9, 'Data entry'!$AP$6:$AP$200,'Data Validation'!$U$3, 'Data entry'!$BD$6:$BD$200,"&lt;&gt;*Negative*"))</f>
        <v>0</v>
      </c>
      <c r="BQ134" s="15">
        <f>SUM(COUNTIFS('Data entry'!$R$6:$R$200,'Summary Data'!$A134,'Data entry'!$B$6:$B$200,{"Confirmed";"Probable"},'Data entry'!$AQ$6:$AQ$200,'Data Validation'!$V$9, 'Data entry'!$AP$6:$AP$200,'Data Validation'!$U$4, 'Data entry'!$BD$6:$BD$200,"&lt;&gt;*Negative*"))</f>
        <v>0</v>
      </c>
      <c r="BR134" s="15">
        <f>SUM(COUNTIFS('Data entry'!$R$6:$R$200,'Summary Data'!$A134,'Data entry'!$B$6:$B$200,{"Confirmed";"Probable"},'Data entry'!$AQ$6:$AQ$200,'Data Validation'!$V$9, 'Data entry'!$AP$6:$AP$200,'Data Validation'!$U$5, 'Data entry'!$BD$6:$BD$200,"&lt;&gt;*Negative*"))</f>
        <v>0</v>
      </c>
      <c r="BS134" s="15">
        <f>SUM(COUNTIFS('Data entry'!$R$6:$R$200,'Summary Data'!$A134,'Data entry'!$B$6:$B$200,{"Confirmed";"Probable"},'Data entry'!$AQ$6:$AQ$200,'Data Validation'!$V$9, 'Data entry'!$AP$6:$AP$200,'Data Validation'!$U$6, 'Data entry'!$BD$6:$BD$200,"&lt;&gt;*Negative*"))</f>
        <v>0</v>
      </c>
      <c r="BT134" s="15">
        <f>SUM(COUNTIFS('Data entry'!$R$6:$R$200,'Summary Data'!$A134,'Data entry'!$B$6:$B$200,{"Confirmed";"Probable"},'Data entry'!$AQ$6:$AQ$200,'Data Validation'!$V$10, 'Data entry'!$AP$6:$AP$200,'Data Validation'!$U$2, 'Data entry'!$BD$6:$BD$200,"&lt;&gt;*Negative*"))</f>
        <v>0</v>
      </c>
      <c r="BU134" s="15">
        <f>SUM(COUNTIFS('Data entry'!$R$6:$R$200,'Summary Data'!$A134,'Data entry'!$B$6:$B$200,{"Confirmed";"Probable"},'Data entry'!$AQ$6:$AQ$200,'Data Validation'!$V$10, 'Data entry'!$AP$6:$AP$200,'Data Validation'!$U$3, 'Data entry'!$BD$6:$BD$200,"&lt;&gt;*Negative*"))</f>
        <v>0</v>
      </c>
      <c r="BV134" s="15">
        <f>SUM(COUNTIFS('Data entry'!$R$6:$R$200,'Summary Data'!$A134,'Data entry'!$B$6:$B$200,{"Confirmed";"Probable"},'Data entry'!$AQ$6:$AQ$200,'Data Validation'!$V$10, 'Data entry'!$AP$6:$AP$200,'Data Validation'!$U$4, 'Data entry'!$BD$6:$BD$200,"&lt;&gt;*Negative*"))</f>
        <v>0</v>
      </c>
      <c r="BW134" s="15">
        <f>SUM(COUNTIFS('Data entry'!$R$6:$R$200,'Summary Data'!$A134,'Data entry'!$B$6:$B$200,{"Confirmed";"Probable"},'Data entry'!$AQ$6:$AQ$200,'Data Validation'!$V$10, 'Data entry'!$AP$6:$AP$200,'Data Validation'!$U$5, 'Data entry'!$BD$6:$BD$200,"&lt;&gt;*Negative*"))</f>
        <v>0</v>
      </c>
      <c r="BX134" s="15">
        <f>SUM(COUNTIFS('Data entry'!$R$6:$R$200,'Summary Data'!$A134,'Data entry'!$B$6:$B$200,{"Confirmed";"Probable"},'Data entry'!$AQ$6:$AQ$200,'Data Validation'!$V$10, 'Data entry'!$AP$6:$AP$200,'Data Validation'!$U$6, 'Data entry'!$BD$6:$BD$200,"&lt;&gt;*Negative*"))</f>
        <v>0</v>
      </c>
      <c r="BY134" s="15">
        <f>SUM(COUNTIFS('Data entry'!$R$6:$R$200,'Summary Data'!$A134,'Data entry'!$B$6:$B$200,{"Confirmed";"Probable"},'Data entry'!$AQ$6:$AQ$200,'Data Validation'!$V$11, 'Data entry'!$AP$6:$AP$200,'Data Validation'!$U$2, 'Data entry'!$BD$6:$BD$200,"&lt;&gt;*Negative*"))</f>
        <v>0</v>
      </c>
      <c r="BZ134" s="15">
        <f>SUM(COUNTIFS('Data entry'!$R$6:$R$200,'Summary Data'!$A134,'Data entry'!$B$6:$B$200,{"Confirmed";"Probable"},'Data entry'!$AQ$6:$AQ$200,'Data Validation'!$V$11, 'Data entry'!$AP$6:$AP$200,'Data Validation'!$U$3, 'Data entry'!$BD$6:$BD$200,"&lt;&gt;*Negative*"))</f>
        <v>0</v>
      </c>
      <c r="CA134" s="15">
        <f>SUM(COUNTIFS('Data entry'!$R$6:$R$200,'Summary Data'!$A134,'Data entry'!$B$6:$B$200,{"Confirmed";"Probable"},'Data entry'!$AQ$6:$AQ$200,'Data Validation'!$V$11, 'Data entry'!$AP$6:$AP$200,'Data Validation'!$U$4, 'Data entry'!$BD$6:$BD$200,"&lt;&gt;*Negative*"))</f>
        <v>0</v>
      </c>
      <c r="CB134" s="15">
        <f>SUM(COUNTIFS('Data entry'!$R$6:$R$200,'Summary Data'!$A134,'Data entry'!$B$6:$B$200,{"Confirmed";"Probable"},'Data entry'!$AQ$6:$AQ$200,'Data Validation'!$V$11, 'Data entry'!$AP$6:$AP$200,'Data Validation'!$U$5, 'Data entry'!$BD$6:$BD$200,"&lt;&gt;*Negative*"))</f>
        <v>0</v>
      </c>
      <c r="CC134" s="15">
        <f>SUM(COUNTIFS('Data entry'!$R$6:$R$200,'Summary Data'!$A134,'Data entry'!$B$6:$B$200,{"Confirmed";"Probable"},'Data entry'!$AQ$6:$AQ$200,'Data Validation'!$V$11, 'Data entry'!$AP$6:$AP$200,'Data Validation'!$U$6, 'Data entry'!$BD$6:$BD$200,"&lt;&gt;*Negative*"))</f>
        <v>0</v>
      </c>
    </row>
    <row r="135" spans="1:81" x14ac:dyDescent="0.25">
      <c r="A135" s="12">
        <f t="shared" si="9"/>
        <v>123</v>
      </c>
      <c r="B135" s="13">
        <f t="shared" si="6"/>
        <v>0</v>
      </c>
      <c r="C135" s="13">
        <f>COUNTIFS('Data entry'!$R$6:$R$200,$A135,'Data entry'!$B$6:$B$200,"Confirmed",'Data entry'!$BD$6:$BD$200,"&lt;&gt;*Negative*")</f>
        <v>0</v>
      </c>
      <c r="D135" s="13">
        <f>COUNTIFS('Data entry'!$R$6:$R$200,$A135,'Data entry'!$B$6:$B$200,"Probable",'Data entry'!$BD$6:$BD$200,"&lt;&gt;*Negative*")</f>
        <v>0</v>
      </c>
      <c r="E135" s="13">
        <f>COUNTIFS('Data entry'!$R$6:$R$200,$A135,'Data entry'!$B$6:$B$200,"DNM")</f>
        <v>0</v>
      </c>
      <c r="F135" s="13">
        <f>SUM(COUNTIFS('Data entry'!$R$6:$R$200,'Summary Data'!$A135,'Data entry'!$B$6:$B$200,{"Confirmed";"Probable"},'Data entry'!$AO$6:$AO$200,$F$10, 'Data entry'!$BD$6:$BD$200,"&lt;&gt;*Negative*"))</f>
        <v>0</v>
      </c>
      <c r="G135" s="13">
        <f>SUM(COUNTIFS('Data entry'!$R$6:$R$200,'Summary Data'!$A135,'Data entry'!$B$6:$B$200,{"Confirmed";"Probable"},'Data entry'!$AO$6:$AO$200,$G$10, 'Data entry'!$BD$6:$BD$200,"&lt;&gt;*Negative*"))</f>
        <v>0</v>
      </c>
      <c r="H135" s="13">
        <f>SUM(COUNTIFS('Data entry'!$R$6:$R$200,'Summary Data'!$A135,'Data entry'!$B$6:$B$200,{"Confirmed";"Probable"},'Data entry'!$AO$6:$AO$200,$H$10, 'Data entry'!$BD$6:$BD$200,"&lt;&gt;*Negative*"))</f>
        <v>0</v>
      </c>
      <c r="I135" s="13">
        <f>SUM(COUNTIFS('Data entry'!$R$6:$R$200,'Summary Data'!$A135,'Data entry'!$B$6:$B$200,{"Confirmed";"Probable"},'Data entry'!$AO$6:$AO$200,$I$10, 'Data entry'!$BD$6:$BD$200,"&lt;&gt;*Negative*"))</f>
        <v>0</v>
      </c>
      <c r="J135" s="13">
        <f>SUM(COUNTIFS('Data entry'!$R$6:$R$200,'Summary Data'!$A135,'Data entry'!$B$6:$B$200,{"Confirmed";"Probable"},'Data entry'!$AO$6:$AO$200,$J$10, 'Data entry'!$BD$6:$BD$200,"&lt;&gt;*Negative*"))</f>
        <v>0</v>
      </c>
      <c r="K135" s="13">
        <f>SUM(COUNTIFS('Data entry'!$R$6:$R$200,'Summary Data'!$A135,'Data entry'!$B$6:$B$200,{"Confirmed";"Probable"},'Data entry'!$AO$6:$AO$200,$K$10, 'Data entry'!$BD$6:$BD$200,"&lt;&gt;*Negative*"))</f>
        <v>0</v>
      </c>
      <c r="L135" s="13">
        <f>SUM(COUNTIFS('Data entry'!$R$6:$R$200,'Summary Data'!$A135,'Data entry'!$B$6:$B$200,{"Confirmed";"Probable"},'Data entry'!$AO$6:$AO$200,$L$10, 'Data entry'!$BD$6:$BD$200,"&lt;&gt;*Negative*"))</f>
        <v>0</v>
      </c>
      <c r="M135" s="13">
        <f>SUM(COUNTIFS('Data entry'!$R$6:$R$200,'Summary Data'!$A135,'Data entry'!$B$6:$B$200,{"Confirmed";"Probable"},'Data entry'!$AO$6:$AO$200,$M$10, 'Data entry'!$BD$6:$BD$200,"&lt;&gt;*Negative*"))</f>
        <v>0</v>
      </c>
      <c r="N135" s="13">
        <f>SUM(COUNTIFS('Data entry'!$R$6:$R$200,'Summary Data'!$A135,'Data entry'!$B$6:$B$200,{"Confirmed";"Probable"},'Data entry'!$AO$6:$AO$200,$N$10, 'Data entry'!$BD$6:$BD$200,"&lt;&gt;*Negative*"))</f>
        <v>0</v>
      </c>
      <c r="O135" s="15">
        <f t="shared" si="7"/>
        <v>0</v>
      </c>
      <c r="P135" s="15">
        <f t="shared" si="8"/>
        <v>0</v>
      </c>
      <c r="Q135" s="15">
        <f>SUM(COUNTIFS('Data entry'!$R$6:$R$200,'Summary Data'!$A135,'Data entry'!$B$6:$B$200,{"Confirmed";"Probable"},'Data entry'!$AP$6:$AP$200,'Data Validation'!$U$2, 'Data entry'!$BD$6:$BD$200,"&lt;&gt;*Negative*"))</f>
        <v>0</v>
      </c>
      <c r="R135" s="15">
        <f>SUM(COUNTIFS('Data entry'!$R$6:$R$200,'Summary Data'!$A135,'Data entry'!$B$6:$B$200,{"Confirmed";"Probable"},'Data entry'!$AP$6:$AP$200,'Data Validation'!$U$3, 'Data entry'!$BD$6:$BD$200,"&lt;&gt;*Negative*"))</f>
        <v>0</v>
      </c>
      <c r="S135" s="15">
        <f>SUM(COUNTIFS('Data entry'!$R$6:$R$200,'Summary Data'!$A135,'Data entry'!$B$6:$B$200,{"Confirmed";"Probable"},'Data entry'!$AP$6:$AP$200,'Data Validation'!$U$4, 'Data entry'!$BD$6:$BD$200,"&lt;&gt;*Negative*"))</f>
        <v>0</v>
      </c>
      <c r="T135" s="15">
        <f>SUM(COUNTIFS('Data entry'!$R$6:$R$200,'Summary Data'!$A135,'Data entry'!$B$6:$B$200,{"Confirmed";"Probable"},'Data entry'!$AP$6:$AP$200,'Data Validation'!$U$5, 'Data entry'!$BD$6:$BD$200,"&lt;&gt;*Negative*"))</f>
        <v>0</v>
      </c>
      <c r="U135" s="15">
        <f>SUM(COUNTIFS('Data entry'!$R$6:$R$200,'Summary Data'!$A135,'Data entry'!$B$6:$B$200,{"Confirmed";"Probable"},'Data entry'!$AP$6:$AP$200,'Data Validation'!$U$6, 'Data entry'!$BD$6:$BD$200,"&lt;&gt;*Negative*"))</f>
        <v>0</v>
      </c>
      <c r="V135" s="15">
        <f>SUM(COUNTIFS('Data entry'!$R$6:$R$200,'Summary Data'!$A135,'Data entry'!$B$6:$B$200,{"Confirmed";"Probable"},'Data entry'!$AQ$6:$AQ$200,'Data Validation'!$V$2, 'Data entry'!$BD$6:$BD$200,"&lt;&gt;*Negative*"))</f>
        <v>0</v>
      </c>
      <c r="W135" s="15">
        <f>SUM(COUNTIFS('Data entry'!$R$6:$R$200,'Summary Data'!$A135,'Data entry'!$B$6:$B$200,{"Confirmed";"Probable"},'Data entry'!$AQ$6:$AQ$200,'Data Validation'!$V$3, 'Data entry'!$BD$6:$BD$200,"&lt;&gt;*Negative*"))</f>
        <v>0</v>
      </c>
      <c r="X135" s="15">
        <f>SUM(COUNTIFS('Data entry'!$R$6:$R$200,'Summary Data'!$A135,'Data entry'!$B$6:$B$200,{"Confirmed";"Probable"},'Data entry'!$AQ$6:$AQ$200,'Data Validation'!$V$4, 'Data entry'!$BD$6:$BD$200,"&lt;&gt;*Negative*"))</f>
        <v>0</v>
      </c>
      <c r="Y135" s="15">
        <f>SUM(COUNTIFS('Data entry'!$R$6:$R$200,'Summary Data'!$A135,'Data entry'!$B$6:$B$200,{"Confirmed";"Probable"},'Data entry'!$AQ$6:$AQ$200,'Data Validation'!$V$5, 'Data entry'!$BD$6:$BD$200,"&lt;&gt;*Negative*"))</f>
        <v>0</v>
      </c>
      <c r="Z135" s="15">
        <f>SUM(COUNTIFS('Data entry'!$R$6:$R$200,'Summary Data'!$A135,'Data entry'!$B$6:$B$200,{"Confirmed";"Probable"},'Data entry'!$AQ$6:$AQ$200,'Data Validation'!$V$6, 'Data entry'!$BD$6:$BD$200,"&lt;&gt;*Negative*"))</f>
        <v>0</v>
      </c>
      <c r="AA135" s="15">
        <f>SUM(COUNTIFS('Data entry'!$R$6:$R$200,'Summary Data'!$A135,'Data entry'!$B$6:$B$200,{"Confirmed";"Probable"},'Data entry'!$AQ$6:$AQ$200,'Data Validation'!$V$7, 'Data entry'!$BD$6:$BD$200,"&lt;&gt;*Negative*"))</f>
        <v>0</v>
      </c>
      <c r="AB135" s="15">
        <f>SUM(COUNTIFS('Data entry'!$R$6:$R$200,'Summary Data'!$A135,'Data entry'!$B$6:$B$200,{"Confirmed";"Probable"},'Data entry'!$AQ$6:$AQ$200,'Data Validation'!$V$8, 'Data entry'!$BD$6:$BD$200,"&lt;&gt;*Negative*"))</f>
        <v>0</v>
      </c>
      <c r="AC135" s="15">
        <f>SUM(COUNTIFS('Data entry'!$R$6:$R$200,'Summary Data'!$A135,'Data entry'!$B$6:$B$200,{"Confirmed";"Probable"},'Data entry'!$AQ$6:$AQ$200,'Data Validation'!$V$9, 'Data entry'!$BD$6:$BD$200,"&lt;&gt;*Negative*"))</f>
        <v>0</v>
      </c>
      <c r="AD135" s="15">
        <f>SUM(COUNTIFS('Data entry'!$R$6:$R$200,'Summary Data'!$A135,'Data entry'!$B$6:$B$200,{"Confirmed";"Probable"},'Data entry'!$AQ$6:$AQ$200,'Data Validation'!$V$10, 'Data entry'!$BD$6:$BD$200,"&lt;&gt;*Negative*"))</f>
        <v>0</v>
      </c>
      <c r="AE135" s="15">
        <f>SUM(COUNTIFS('Data entry'!$R$6:$R$200,'Summary Data'!$A135,'Data entry'!$B$6:$B$200,{"Confirmed";"Probable"},'Data entry'!$AQ$6:$AQ$200,'Data Validation'!$V$11, 'Data entry'!$BD$6:$BD$200,"&lt;&gt;*Negative*"))</f>
        <v>0</v>
      </c>
      <c r="AF135" s="15">
        <f>SUM(COUNTIFS('Data entry'!$R$6:$R$200,'Summary Data'!$A135,'Data entry'!$B$6:$B$200,{"Confirmed";"Probable"},'Data entry'!$AQ$6:$AQ$200,'Data Validation'!$V$2, 'Data entry'!$AP$6:$AP$200,'Data Validation'!$U$2, 'Data entry'!$BD$6:$BD$200,"&lt;&gt;*Negative*"))</f>
        <v>0</v>
      </c>
      <c r="AG135" s="15">
        <f>SUM(COUNTIFS('Data entry'!$R$6:$R$200,'Summary Data'!$A135,'Data entry'!$B$6:$B$200,{"Confirmed";"Probable"},'Data entry'!$AQ$6:$AQ$200,'Data Validation'!$V$2, 'Data entry'!$AP$6:$AP$200,'Data Validation'!$U$3, 'Data entry'!$BD$6:$BD$200,"&lt;&gt;*Negative*"))</f>
        <v>0</v>
      </c>
      <c r="AH135" s="15">
        <f>SUM(COUNTIFS('Data entry'!$R$6:$R$200,'Summary Data'!$A135,'Data entry'!$B$6:$B$200,{"Confirmed";"Probable"},'Data entry'!$AQ$6:$AQ$200,'Data Validation'!$V$2, 'Data entry'!$AP$6:$AP$200,'Data Validation'!$U$4, 'Data entry'!$BD$6:$BD$200,"&lt;&gt;*Negative*"))</f>
        <v>0</v>
      </c>
      <c r="AI135" s="15">
        <f>SUM(COUNTIFS('Data entry'!$R$6:$R$200,'Summary Data'!$A135,'Data entry'!$B$6:$B$200,{"Confirmed";"Probable"},'Data entry'!$AQ$6:$AQ$200,'Data Validation'!$V$2, 'Data entry'!$AP$6:$AP$200,'Data Validation'!$U$5, 'Data entry'!$BD$6:$BD$200,"&lt;&gt;*Negative*"))</f>
        <v>0</v>
      </c>
      <c r="AJ135" s="15">
        <f>SUM(COUNTIFS('Data entry'!$R$6:$R$200,'Summary Data'!$A135,'Data entry'!$B$6:$B$200,{"Confirmed";"Probable"},'Data entry'!$AQ$6:$AQ$200,'Data Validation'!$V$2, 'Data entry'!$AP$6:$AP$200,'Data Validation'!$U$6, 'Data entry'!$BD$6:$BD$200,"&lt;&gt;*Negative*"))</f>
        <v>0</v>
      </c>
      <c r="AK135" s="15">
        <f>SUM(COUNTIFS('Data entry'!$R$6:$R$200,'Summary Data'!$A135,'Data entry'!$B$6:$B$200,{"Confirmed";"Probable"},'Data entry'!$AQ$6:$AQ$200,'Data Validation'!$V$3, 'Data entry'!$AP$6:$AP$200,'Data Validation'!$U$2, 'Data entry'!$BD$6:$BD$200,"&lt;&gt;*Negative*"))</f>
        <v>0</v>
      </c>
      <c r="AL135" s="15">
        <f>SUM(COUNTIFS('Data entry'!$R$6:$R$200,'Summary Data'!$A135,'Data entry'!$B$6:$B$200,{"Confirmed";"Probable"},'Data entry'!$AQ$6:$AQ$200,'Data Validation'!$V$3, 'Data entry'!$AP$6:$AP$200,'Data Validation'!$U$3, 'Data entry'!$BD$6:$BD$200,"&lt;&gt;*Negative*"))</f>
        <v>0</v>
      </c>
      <c r="AM135" s="15">
        <f>SUM(COUNTIFS('Data entry'!$R$6:$R$200,'Summary Data'!$A135,'Data entry'!$B$6:$B$200,{"Confirmed";"Probable"},'Data entry'!$AQ$6:$AQ$200,'Data Validation'!$V$3, 'Data entry'!$AP$6:$AP$200,'Data Validation'!$U$4, 'Data entry'!$BD$6:$BD$200,"&lt;&gt;*Negative*"))</f>
        <v>0</v>
      </c>
      <c r="AN135" s="15">
        <f>SUM(COUNTIFS('Data entry'!$R$6:$R$200,'Summary Data'!$A135,'Data entry'!$B$6:$B$200,{"Confirmed";"Probable"},'Data entry'!$AQ$6:$AQ$200,'Data Validation'!$V$3, 'Data entry'!$AP$6:$AP$200,'Data Validation'!$U$5, 'Data entry'!$BD$6:$BD$200,"&lt;&gt;*Negative*"))</f>
        <v>0</v>
      </c>
      <c r="AO135" s="15">
        <f>SUM(COUNTIFS('Data entry'!$R$6:$R$200,'Summary Data'!$A135,'Data entry'!$B$6:$B$200,{"Confirmed";"Probable"},'Data entry'!$AQ$6:$AQ$200,'Data Validation'!$V$3, 'Data entry'!$AP$6:$AP$200,'Data Validation'!$U$6, 'Data entry'!$BD$6:$BD$200,"&lt;&gt;*Negative*"))</f>
        <v>0</v>
      </c>
      <c r="AP135" s="15">
        <f>SUM(COUNTIFS('Data entry'!$R$6:$R$200,'Summary Data'!$A135,'Data entry'!$B$6:$B$200,{"Confirmed";"Probable"},'Data entry'!$AQ$6:$AQ$200,'Data Validation'!$V$4, 'Data entry'!$AP$6:$AP$200,'Data Validation'!$U$2, 'Data entry'!$BD$6:$BD$200,"&lt;&gt;*Negative*"))</f>
        <v>0</v>
      </c>
      <c r="AQ135" s="15">
        <f>SUM(COUNTIFS('Data entry'!$R$6:$R$200,'Summary Data'!$A135,'Data entry'!$B$6:$B$200,{"Confirmed";"Probable"},'Data entry'!$AQ$6:$AQ$200,'Data Validation'!$V$4, 'Data entry'!$AP$6:$AP$200,'Data Validation'!$U$3, 'Data entry'!$BD$6:$BD$200,"&lt;&gt;*Negative*"))</f>
        <v>0</v>
      </c>
      <c r="AR135" s="15">
        <f>SUM(COUNTIFS('Data entry'!$R$6:$R$200,'Summary Data'!$A135,'Data entry'!$B$6:$B$200,{"Confirmed";"Probable"},'Data entry'!$AQ$6:$AQ$200,'Data Validation'!$V$4, 'Data entry'!$AP$6:$AP$200,'Data Validation'!$U$4, 'Data entry'!$BD$6:$BD$200,"&lt;&gt;*Negative*"))</f>
        <v>0</v>
      </c>
      <c r="AS135" s="15">
        <f>SUM(COUNTIFS('Data entry'!$R$6:$R$200,'Summary Data'!$A135,'Data entry'!$B$6:$B$200,{"Confirmed";"Probable"},'Data entry'!$AQ$6:$AQ$200,'Data Validation'!$V$4, 'Data entry'!$AP$6:$AP$200,'Data Validation'!$U$5, 'Data entry'!$BD$6:$BD$200,"&lt;&gt;*Negative*"))</f>
        <v>0</v>
      </c>
      <c r="AT135" s="15">
        <f>SUM(COUNTIFS('Data entry'!$R$6:$R$200,'Summary Data'!$A135,'Data entry'!$B$6:$B$200,{"Confirmed";"Probable"},'Data entry'!$AQ$6:$AQ$200,'Data Validation'!$V$4, 'Data entry'!$AP$6:$AP$200,'Data Validation'!$U$6, 'Data entry'!$BD$6:$BD$200,"&lt;&gt;*Negative*"))</f>
        <v>0</v>
      </c>
      <c r="AU135" s="15">
        <f>SUM(COUNTIFS('Data entry'!$R$6:$R$200,'Summary Data'!$A135,'Data entry'!$B$6:$B$200,{"Confirmed";"Probable"},'Data entry'!$AQ$6:$AQ$200,'Data Validation'!$V$5, 'Data entry'!$AP$6:$AP$200,'Data Validation'!$U$2, 'Data entry'!$BD$6:$BD$200,"&lt;&gt;*Negative*"))</f>
        <v>0</v>
      </c>
      <c r="AV135" s="15">
        <f>SUM(COUNTIFS('Data entry'!$R$6:$R$200,'Summary Data'!$A135,'Data entry'!$B$6:$B$200,{"Confirmed";"Probable"},'Data entry'!$AQ$6:$AQ$200,'Data Validation'!$V$5, 'Data entry'!$AP$6:$AP$200,'Data Validation'!$U$3, 'Data entry'!$BD$6:$BD$200,"&lt;&gt;*Negative*"))</f>
        <v>0</v>
      </c>
      <c r="AW135" s="15">
        <f>SUM(COUNTIFS('Data entry'!$R$6:$R$200,'Summary Data'!$A135,'Data entry'!$B$6:$B$200,{"Confirmed";"Probable"},'Data entry'!$AQ$6:$AQ$200,'Data Validation'!$V$5, 'Data entry'!$AP$6:$AP$200,'Data Validation'!$U$4, 'Data entry'!$BD$6:$BD$200,"&lt;&gt;*Negative*"))</f>
        <v>0</v>
      </c>
      <c r="AX135" s="15">
        <f>SUM(COUNTIFS('Data entry'!$R$6:$R$200,'Summary Data'!$A135,'Data entry'!$B$6:$B$200,{"Confirmed";"Probable"},'Data entry'!$AQ$6:$AQ$200,'Data Validation'!$V$5, 'Data entry'!$AP$6:$AP$200,'Data Validation'!$U$5, 'Data entry'!$BD$6:$BD$200,"&lt;&gt;*Negative*"))</f>
        <v>0</v>
      </c>
      <c r="AY135" s="15">
        <f>SUM(COUNTIFS('Data entry'!$R$6:$R$200,'Summary Data'!$A135,'Data entry'!$B$6:$B$200,{"Confirmed";"Probable"},'Data entry'!$AQ$6:$AQ$200,'Data Validation'!$V$5, 'Data entry'!$AP$6:$AP$200,'Data Validation'!$U$6, 'Data entry'!$BD$6:$BD$200,"&lt;&gt;*Negative*"))</f>
        <v>0</v>
      </c>
      <c r="AZ135" s="15">
        <f>SUM(COUNTIFS('Data entry'!$R$6:$R$200,'Summary Data'!$A135,'Data entry'!$B$6:$B$200,{"Confirmed";"Probable"},'Data entry'!$AQ$6:$AQ$200,'Data Validation'!$V$6, 'Data entry'!$AP$6:$AP$200,'Data Validation'!$U$2, 'Data entry'!$BD$6:$BD$200,"&lt;&gt;*Negative*"))</f>
        <v>0</v>
      </c>
      <c r="BA135" s="15">
        <f>SUM(COUNTIFS('Data entry'!$R$6:$R$200,'Summary Data'!$A135,'Data entry'!$B$6:$B$200,{"Confirmed";"Probable"},'Data entry'!$AQ$6:$AQ$200,'Data Validation'!$V$6, 'Data entry'!$AP$6:$AP$200,'Data Validation'!$U$3, 'Data entry'!$BD$6:$BD$200,"&lt;&gt;*Negative*"))</f>
        <v>0</v>
      </c>
      <c r="BB135" s="15">
        <f>SUM(COUNTIFS('Data entry'!$R$6:$R$200,'Summary Data'!$A135,'Data entry'!$B$6:$B$200,{"Confirmed";"Probable"},'Data entry'!$AQ$6:$AQ$200,'Data Validation'!$V$6, 'Data entry'!$AP$6:$AP$200,'Data Validation'!$U$4, 'Data entry'!$BD$6:$BD$200,"&lt;&gt;*Negative*"))</f>
        <v>0</v>
      </c>
      <c r="BC135" s="15">
        <f>SUM(COUNTIFS('Data entry'!$R$6:$R$200,'Summary Data'!$A135,'Data entry'!$B$6:$B$200,{"Confirmed";"Probable"},'Data entry'!$AQ$6:$AQ$200,'Data Validation'!$V$6, 'Data entry'!$AP$6:$AP$200,'Data Validation'!$U$5, 'Data entry'!$BD$6:$BD$200,"&lt;&gt;*Negative*"))</f>
        <v>0</v>
      </c>
      <c r="BD135" s="15">
        <f>SUM(COUNTIFS('Data entry'!$R$6:$R$200,'Summary Data'!$A135,'Data entry'!$B$6:$B$200,{"Confirmed";"Probable"},'Data entry'!$AQ$6:$AQ$200,'Data Validation'!$V$6, 'Data entry'!$AP$6:$AP$200,'Data Validation'!$U$6, 'Data entry'!$BD$6:$BD$200,"&lt;&gt;*Negative*"))</f>
        <v>0</v>
      </c>
      <c r="BE135" s="15">
        <f>SUM(COUNTIFS('Data entry'!$R$6:$R$200,'Summary Data'!$A135,'Data entry'!$B$6:$B$200,{"Confirmed";"Probable"},'Data entry'!$AQ$6:$AQ$200,'Data Validation'!$V$7, 'Data entry'!$AP$6:$AP$200,'Data Validation'!$U$2, 'Data entry'!$BD$6:$BD$200,"&lt;&gt;*Negative*"))</f>
        <v>0</v>
      </c>
      <c r="BF135" s="15">
        <f>SUM(COUNTIFS('Data entry'!$R$6:$R$200,'Summary Data'!$A135,'Data entry'!$B$6:$B$200,{"Confirmed";"Probable"},'Data entry'!$AQ$6:$AQ$200,'Data Validation'!$V$7, 'Data entry'!$AP$6:$AP$200,'Data Validation'!$U$3, 'Data entry'!$BD$6:$BD$200,"&lt;&gt;*Negative*"))</f>
        <v>0</v>
      </c>
      <c r="BG135" s="15">
        <f>SUM(COUNTIFS('Data entry'!$R$6:$R$200,'Summary Data'!$A135,'Data entry'!$B$6:$B$200,{"Confirmed";"Probable"},'Data entry'!$AQ$6:$AQ$200,'Data Validation'!$V$7, 'Data entry'!$AP$6:$AP$200,'Data Validation'!$U$4, 'Data entry'!$BD$6:$BD$200,"&lt;&gt;*Negative*"))</f>
        <v>0</v>
      </c>
      <c r="BH135" s="15">
        <f>SUM(COUNTIFS('Data entry'!$R$6:$R$200,'Summary Data'!$A135,'Data entry'!$B$6:$B$200,{"Confirmed";"Probable"},'Data entry'!$AQ$6:$AQ$200,'Data Validation'!$V$7, 'Data entry'!$AP$6:$AP$200,'Data Validation'!$U$5, 'Data entry'!$BD$6:$BD$200,"&lt;&gt;*Negative*"))</f>
        <v>0</v>
      </c>
      <c r="BI135" s="15">
        <f>SUM(COUNTIFS('Data entry'!$R$6:$R$200,'Summary Data'!$A135,'Data entry'!$B$6:$B$200,{"Confirmed";"Probable"},'Data entry'!$AQ$6:$AQ$200,'Data Validation'!$V$7, 'Data entry'!$AP$6:$AP$200,'Data Validation'!$U$6, 'Data entry'!$BD$6:$BD$200,"&lt;&gt;*Negative*"))</f>
        <v>0</v>
      </c>
      <c r="BJ135" s="15">
        <f>SUM(COUNTIFS('Data entry'!$R$6:$R$200,'Summary Data'!$A135,'Data entry'!$B$6:$B$200,{"Confirmed";"Probable"},'Data entry'!$AQ$6:$AQ$200,'Data Validation'!$V$8, 'Data entry'!$AP$6:$AP$200,'Data Validation'!$U$2, 'Data entry'!$BD$6:$BD$200,"&lt;&gt;*Negative*"))</f>
        <v>0</v>
      </c>
      <c r="BK135" s="15">
        <f>SUM(COUNTIFS('Data entry'!$R$6:$R$200,'Summary Data'!$A135,'Data entry'!$B$6:$B$200,{"Confirmed";"Probable"},'Data entry'!$AQ$6:$AQ$200,'Data Validation'!$V$8, 'Data entry'!$AP$6:$AP$200,'Data Validation'!$U$3, 'Data entry'!$BD$6:$BD$200,"&lt;&gt;*Negative*"))</f>
        <v>0</v>
      </c>
      <c r="BL135" s="15">
        <f>SUM(COUNTIFS('Data entry'!$R$6:$R$200,'Summary Data'!$A135,'Data entry'!$B$6:$B$200,{"Confirmed";"Probable"},'Data entry'!$AQ$6:$AQ$200,'Data Validation'!$V$8, 'Data entry'!$AP$6:$AP$200,'Data Validation'!$U$4, 'Data entry'!$BD$6:$BD$200,"&lt;&gt;*Negative*"))</f>
        <v>0</v>
      </c>
      <c r="BM135" s="15">
        <f>SUM(COUNTIFS('Data entry'!$R$6:$R$200,'Summary Data'!$A135,'Data entry'!$B$6:$B$200,{"Confirmed";"Probable"},'Data entry'!$AQ$6:$AQ$200,'Data Validation'!$V$8, 'Data entry'!$AP$6:$AP$200,'Data Validation'!$U$5, 'Data entry'!$BD$6:$BD$200,"&lt;&gt;*Negative*"))</f>
        <v>0</v>
      </c>
      <c r="BN135" s="15">
        <f>SUM(COUNTIFS('Data entry'!$R$6:$R$200,'Summary Data'!$A135,'Data entry'!$B$6:$B$200,{"Confirmed";"Probable"},'Data entry'!$AQ$6:$AQ$200,'Data Validation'!$V$8, 'Data entry'!$AP$6:$AP$200,'Data Validation'!$U$6, 'Data entry'!$BD$6:$BD$200,"&lt;&gt;*Negative*"))</f>
        <v>0</v>
      </c>
      <c r="BO135" s="15">
        <f>SUM(COUNTIFS('Data entry'!$R$6:$R$200,'Summary Data'!$A135,'Data entry'!$B$6:$B$200,{"Confirmed";"Probable"},'Data entry'!$AQ$6:$AQ$200,'Data Validation'!$V$9, 'Data entry'!$AP$6:$AP$200,'Data Validation'!$U$2, 'Data entry'!$BD$6:$BD$200,"&lt;&gt;*Negative*"))</f>
        <v>0</v>
      </c>
      <c r="BP135" s="15">
        <f>SUM(COUNTIFS('Data entry'!$R$6:$R$200,'Summary Data'!$A135,'Data entry'!$B$6:$B$200,{"Confirmed";"Probable"},'Data entry'!$AQ$6:$AQ$200,'Data Validation'!$V$9, 'Data entry'!$AP$6:$AP$200,'Data Validation'!$U$3, 'Data entry'!$BD$6:$BD$200,"&lt;&gt;*Negative*"))</f>
        <v>0</v>
      </c>
      <c r="BQ135" s="15">
        <f>SUM(COUNTIFS('Data entry'!$R$6:$R$200,'Summary Data'!$A135,'Data entry'!$B$6:$B$200,{"Confirmed";"Probable"},'Data entry'!$AQ$6:$AQ$200,'Data Validation'!$V$9, 'Data entry'!$AP$6:$AP$200,'Data Validation'!$U$4, 'Data entry'!$BD$6:$BD$200,"&lt;&gt;*Negative*"))</f>
        <v>0</v>
      </c>
      <c r="BR135" s="15">
        <f>SUM(COUNTIFS('Data entry'!$R$6:$R$200,'Summary Data'!$A135,'Data entry'!$B$6:$B$200,{"Confirmed";"Probable"},'Data entry'!$AQ$6:$AQ$200,'Data Validation'!$V$9, 'Data entry'!$AP$6:$AP$200,'Data Validation'!$U$5, 'Data entry'!$BD$6:$BD$200,"&lt;&gt;*Negative*"))</f>
        <v>0</v>
      </c>
      <c r="BS135" s="15">
        <f>SUM(COUNTIFS('Data entry'!$R$6:$R$200,'Summary Data'!$A135,'Data entry'!$B$6:$B$200,{"Confirmed";"Probable"},'Data entry'!$AQ$6:$AQ$200,'Data Validation'!$V$9, 'Data entry'!$AP$6:$AP$200,'Data Validation'!$U$6, 'Data entry'!$BD$6:$BD$200,"&lt;&gt;*Negative*"))</f>
        <v>0</v>
      </c>
      <c r="BT135" s="15">
        <f>SUM(COUNTIFS('Data entry'!$R$6:$R$200,'Summary Data'!$A135,'Data entry'!$B$6:$B$200,{"Confirmed";"Probable"},'Data entry'!$AQ$6:$AQ$200,'Data Validation'!$V$10, 'Data entry'!$AP$6:$AP$200,'Data Validation'!$U$2, 'Data entry'!$BD$6:$BD$200,"&lt;&gt;*Negative*"))</f>
        <v>0</v>
      </c>
      <c r="BU135" s="15">
        <f>SUM(COUNTIFS('Data entry'!$R$6:$R$200,'Summary Data'!$A135,'Data entry'!$B$6:$B$200,{"Confirmed";"Probable"},'Data entry'!$AQ$6:$AQ$200,'Data Validation'!$V$10, 'Data entry'!$AP$6:$AP$200,'Data Validation'!$U$3, 'Data entry'!$BD$6:$BD$200,"&lt;&gt;*Negative*"))</f>
        <v>0</v>
      </c>
      <c r="BV135" s="15">
        <f>SUM(COUNTIFS('Data entry'!$R$6:$R$200,'Summary Data'!$A135,'Data entry'!$B$6:$B$200,{"Confirmed";"Probable"},'Data entry'!$AQ$6:$AQ$200,'Data Validation'!$V$10, 'Data entry'!$AP$6:$AP$200,'Data Validation'!$U$4, 'Data entry'!$BD$6:$BD$200,"&lt;&gt;*Negative*"))</f>
        <v>0</v>
      </c>
      <c r="BW135" s="15">
        <f>SUM(COUNTIFS('Data entry'!$R$6:$R$200,'Summary Data'!$A135,'Data entry'!$B$6:$B$200,{"Confirmed";"Probable"},'Data entry'!$AQ$6:$AQ$200,'Data Validation'!$V$10, 'Data entry'!$AP$6:$AP$200,'Data Validation'!$U$5, 'Data entry'!$BD$6:$BD$200,"&lt;&gt;*Negative*"))</f>
        <v>0</v>
      </c>
      <c r="BX135" s="15">
        <f>SUM(COUNTIFS('Data entry'!$R$6:$R$200,'Summary Data'!$A135,'Data entry'!$B$6:$B$200,{"Confirmed";"Probable"},'Data entry'!$AQ$6:$AQ$200,'Data Validation'!$V$10, 'Data entry'!$AP$6:$AP$200,'Data Validation'!$U$6, 'Data entry'!$BD$6:$BD$200,"&lt;&gt;*Negative*"))</f>
        <v>0</v>
      </c>
      <c r="BY135" s="15">
        <f>SUM(COUNTIFS('Data entry'!$R$6:$R$200,'Summary Data'!$A135,'Data entry'!$B$6:$B$200,{"Confirmed";"Probable"},'Data entry'!$AQ$6:$AQ$200,'Data Validation'!$V$11, 'Data entry'!$AP$6:$AP$200,'Data Validation'!$U$2, 'Data entry'!$BD$6:$BD$200,"&lt;&gt;*Negative*"))</f>
        <v>0</v>
      </c>
      <c r="BZ135" s="15">
        <f>SUM(COUNTIFS('Data entry'!$R$6:$R$200,'Summary Data'!$A135,'Data entry'!$B$6:$B$200,{"Confirmed";"Probable"},'Data entry'!$AQ$6:$AQ$200,'Data Validation'!$V$11, 'Data entry'!$AP$6:$AP$200,'Data Validation'!$U$3, 'Data entry'!$BD$6:$BD$200,"&lt;&gt;*Negative*"))</f>
        <v>0</v>
      </c>
      <c r="CA135" s="15">
        <f>SUM(COUNTIFS('Data entry'!$R$6:$R$200,'Summary Data'!$A135,'Data entry'!$B$6:$B$200,{"Confirmed";"Probable"},'Data entry'!$AQ$6:$AQ$200,'Data Validation'!$V$11, 'Data entry'!$AP$6:$AP$200,'Data Validation'!$U$4, 'Data entry'!$BD$6:$BD$200,"&lt;&gt;*Negative*"))</f>
        <v>0</v>
      </c>
      <c r="CB135" s="15">
        <f>SUM(COUNTIFS('Data entry'!$R$6:$R$200,'Summary Data'!$A135,'Data entry'!$B$6:$B$200,{"Confirmed";"Probable"},'Data entry'!$AQ$6:$AQ$200,'Data Validation'!$V$11, 'Data entry'!$AP$6:$AP$200,'Data Validation'!$U$5, 'Data entry'!$BD$6:$BD$200,"&lt;&gt;*Negative*"))</f>
        <v>0</v>
      </c>
      <c r="CC135" s="15">
        <f>SUM(COUNTIFS('Data entry'!$R$6:$R$200,'Summary Data'!$A135,'Data entry'!$B$6:$B$200,{"Confirmed";"Probable"},'Data entry'!$AQ$6:$AQ$200,'Data Validation'!$V$11, 'Data entry'!$AP$6:$AP$200,'Data Validation'!$U$6, 'Data entry'!$BD$6:$BD$200,"&lt;&gt;*Negative*"))</f>
        <v>0</v>
      </c>
    </row>
    <row r="136" spans="1:81" x14ac:dyDescent="0.25">
      <c r="A136" s="12">
        <f t="shared" si="9"/>
        <v>124</v>
      </c>
      <c r="B136" s="13">
        <f t="shared" si="6"/>
        <v>0</v>
      </c>
      <c r="C136" s="13">
        <f>COUNTIFS('Data entry'!$R$6:$R$200,$A136,'Data entry'!$B$6:$B$200,"Confirmed",'Data entry'!$BD$6:$BD$200,"&lt;&gt;*Negative*")</f>
        <v>0</v>
      </c>
      <c r="D136" s="13">
        <f>COUNTIFS('Data entry'!$R$6:$R$200,$A136,'Data entry'!$B$6:$B$200,"Probable",'Data entry'!$BD$6:$BD$200,"&lt;&gt;*Negative*")</f>
        <v>0</v>
      </c>
      <c r="E136" s="13">
        <f>COUNTIFS('Data entry'!$R$6:$R$200,$A136,'Data entry'!$B$6:$B$200,"DNM")</f>
        <v>0</v>
      </c>
      <c r="F136" s="13">
        <f>SUM(COUNTIFS('Data entry'!$R$6:$R$200,'Summary Data'!$A136,'Data entry'!$B$6:$B$200,{"Confirmed";"Probable"},'Data entry'!$AO$6:$AO$200,$F$10, 'Data entry'!$BD$6:$BD$200,"&lt;&gt;*Negative*"))</f>
        <v>0</v>
      </c>
      <c r="G136" s="13">
        <f>SUM(COUNTIFS('Data entry'!$R$6:$R$200,'Summary Data'!$A136,'Data entry'!$B$6:$B$200,{"Confirmed";"Probable"},'Data entry'!$AO$6:$AO$200,$G$10, 'Data entry'!$BD$6:$BD$200,"&lt;&gt;*Negative*"))</f>
        <v>0</v>
      </c>
      <c r="H136" s="13">
        <f>SUM(COUNTIFS('Data entry'!$R$6:$R$200,'Summary Data'!$A136,'Data entry'!$B$6:$B$200,{"Confirmed";"Probable"},'Data entry'!$AO$6:$AO$200,$H$10, 'Data entry'!$BD$6:$BD$200,"&lt;&gt;*Negative*"))</f>
        <v>0</v>
      </c>
      <c r="I136" s="13">
        <f>SUM(COUNTIFS('Data entry'!$R$6:$R$200,'Summary Data'!$A136,'Data entry'!$B$6:$B$200,{"Confirmed";"Probable"},'Data entry'!$AO$6:$AO$200,$I$10, 'Data entry'!$BD$6:$BD$200,"&lt;&gt;*Negative*"))</f>
        <v>0</v>
      </c>
      <c r="J136" s="13">
        <f>SUM(COUNTIFS('Data entry'!$R$6:$R$200,'Summary Data'!$A136,'Data entry'!$B$6:$B$200,{"Confirmed";"Probable"},'Data entry'!$AO$6:$AO$200,$J$10, 'Data entry'!$BD$6:$BD$200,"&lt;&gt;*Negative*"))</f>
        <v>0</v>
      </c>
      <c r="K136" s="13">
        <f>SUM(COUNTIFS('Data entry'!$R$6:$R$200,'Summary Data'!$A136,'Data entry'!$B$6:$B$200,{"Confirmed";"Probable"},'Data entry'!$AO$6:$AO$200,$K$10, 'Data entry'!$BD$6:$BD$200,"&lt;&gt;*Negative*"))</f>
        <v>0</v>
      </c>
      <c r="L136" s="13">
        <f>SUM(COUNTIFS('Data entry'!$R$6:$R$200,'Summary Data'!$A136,'Data entry'!$B$6:$B$200,{"Confirmed";"Probable"},'Data entry'!$AO$6:$AO$200,$L$10, 'Data entry'!$BD$6:$BD$200,"&lt;&gt;*Negative*"))</f>
        <v>0</v>
      </c>
      <c r="M136" s="13">
        <f>SUM(COUNTIFS('Data entry'!$R$6:$R$200,'Summary Data'!$A136,'Data entry'!$B$6:$B$200,{"Confirmed";"Probable"},'Data entry'!$AO$6:$AO$200,$M$10, 'Data entry'!$BD$6:$BD$200,"&lt;&gt;*Negative*"))</f>
        <v>0</v>
      </c>
      <c r="N136" s="13">
        <f>SUM(COUNTIFS('Data entry'!$R$6:$R$200,'Summary Data'!$A136,'Data entry'!$B$6:$B$200,{"Confirmed";"Probable"},'Data entry'!$AO$6:$AO$200,$N$10, 'Data entry'!$BD$6:$BD$200,"&lt;&gt;*Negative*"))</f>
        <v>0</v>
      </c>
      <c r="O136" s="15">
        <f t="shared" si="7"/>
        <v>0</v>
      </c>
      <c r="P136" s="15">
        <f t="shared" si="8"/>
        <v>0</v>
      </c>
      <c r="Q136" s="15">
        <f>SUM(COUNTIFS('Data entry'!$R$6:$R$200,'Summary Data'!$A136,'Data entry'!$B$6:$B$200,{"Confirmed";"Probable"},'Data entry'!$AP$6:$AP$200,'Data Validation'!$U$2, 'Data entry'!$BD$6:$BD$200,"&lt;&gt;*Negative*"))</f>
        <v>0</v>
      </c>
      <c r="R136" s="15">
        <f>SUM(COUNTIFS('Data entry'!$R$6:$R$200,'Summary Data'!$A136,'Data entry'!$B$6:$B$200,{"Confirmed";"Probable"},'Data entry'!$AP$6:$AP$200,'Data Validation'!$U$3, 'Data entry'!$BD$6:$BD$200,"&lt;&gt;*Negative*"))</f>
        <v>0</v>
      </c>
      <c r="S136" s="15">
        <f>SUM(COUNTIFS('Data entry'!$R$6:$R$200,'Summary Data'!$A136,'Data entry'!$B$6:$B$200,{"Confirmed";"Probable"},'Data entry'!$AP$6:$AP$200,'Data Validation'!$U$4, 'Data entry'!$BD$6:$BD$200,"&lt;&gt;*Negative*"))</f>
        <v>0</v>
      </c>
      <c r="T136" s="15">
        <f>SUM(COUNTIFS('Data entry'!$R$6:$R$200,'Summary Data'!$A136,'Data entry'!$B$6:$B$200,{"Confirmed";"Probable"},'Data entry'!$AP$6:$AP$200,'Data Validation'!$U$5, 'Data entry'!$BD$6:$BD$200,"&lt;&gt;*Negative*"))</f>
        <v>0</v>
      </c>
      <c r="U136" s="15">
        <f>SUM(COUNTIFS('Data entry'!$R$6:$R$200,'Summary Data'!$A136,'Data entry'!$B$6:$B$200,{"Confirmed";"Probable"},'Data entry'!$AP$6:$AP$200,'Data Validation'!$U$6, 'Data entry'!$BD$6:$BD$200,"&lt;&gt;*Negative*"))</f>
        <v>0</v>
      </c>
      <c r="V136" s="15">
        <f>SUM(COUNTIFS('Data entry'!$R$6:$R$200,'Summary Data'!$A136,'Data entry'!$B$6:$B$200,{"Confirmed";"Probable"},'Data entry'!$AQ$6:$AQ$200,'Data Validation'!$V$2, 'Data entry'!$BD$6:$BD$200,"&lt;&gt;*Negative*"))</f>
        <v>0</v>
      </c>
      <c r="W136" s="15">
        <f>SUM(COUNTIFS('Data entry'!$R$6:$R$200,'Summary Data'!$A136,'Data entry'!$B$6:$B$200,{"Confirmed";"Probable"},'Data entry'!$AQ$6:$AQ$200,'Data Validation'!$V$3, 'Data entry'!$BD$6:$BD$200,"&lt;&gt;*Negative*"))</f>
        <v>0</v>
      </c>
      <c r="X136" s="15">
        <f>SUM(COUNTIFS('Data entry'!$R$6:$R$200,'Summary Data'!$A136,'Data entry'!$B$6:$B$200,{"Confirmed";"Probable"},'Data entry'!$AQ$6:$AQ$200,'Data Validation'!$V$4, 'Data entry'!$BD$6:$BD$200,"&lt;&gt;*Negative*"))</f>
        <v>0</v>
      </c>
      <c r="Y136" s="15">
        <f>SUM(COUNTIFS('Data entry'!$R$6:$R$200,'Summary Data'!$A136,'Data entry'!$B$6:$B$200,{"Confirmed";"Probable"},'Data entry'!$AQ$6:$AQ$200,'Data Validation'!$V$5, 'Data entry'!$BD$6:$BD$200,"&lt;&gt;*Negative*"))</f>
        <v>0</v>
      </c>
      <c r="Z136" s="15">
        <f>SUM(COUNTIFS('Data entry'!$R$6:$R$200,'Summary Data'!$A136,'Data entry'!$B$6:$B$200,{"Confirmed";"Probable"},'Data entry'!$AQ$6:$AQ$200,'Data Validation'!$V$6, 'Data entry'!$BD$6:$BD$200,"&lt;&gt;*Negative*"))</f>
        <v>0</v>
      </c>
      <c r="AA136" s="15">
        <f>SUM(COUNTIFS('Data entry'!$R$6:$R$200,'Summary Data'!$A136,'Data entry'!$B$6:$B$200,{"Confirmed";"Probable"},'Data entry'!$AQ$6:$AQ$200,'Data Validation'!$V$7, 'Data entry'!$BD$6:$BD$200,"&lt;&gt;*Negative*"))</f>
        <v>0</v>
      </c>
      <c r="AB136" s="15">
        <f>SUM(COUNTIFS('Data entry'!$R$6:$R$200,'Summary Data'!$A136,'Data entry'!$B$6:$B$200,{"Confirmed";"Probable"},'Data entry'!$AQ$6:$AQ$200,'Data Validation'!$V$8, 'Data entry'!$BD$6:$BD$200,"&lt;&gt;*Negative*"))</f>
        <v>0</v>
      </c>
      <c r="AC136" s="15">
        <f>SUM(COUNTIFS('Data entry'!$R$6:$R$200,'Summary Data'!$A136,'Data entry'!$B$6:$B$200,{"Confirmed";"Probable"},'Data entry'!$AQ$6:$AQ$200,'Data Validation'!$V$9, 'Data entry'!$BD$6:$BD$200,"&lt;&gt;*Negative*"))</f>
        <v>0</v>
      </c>
      <c r="AD136" s="15">
        <f>SUM(COUNTIFS('Data entry'!$R$6:$R$200,'Summary Data'!$A136,'Data entry'!$B$6:$B$200,{"Confirmed";"Probable"},'Data entry'!$AQ$6:$AQ$200,'Data Validation'!$V$10, 'Data entry'!$BD$6:$BD$200,"&lt;&gt;*Negative*"))</f>
        <v>0</v>
      </c>
      <c r="AE136" s="15">
        <f>SUM(COUNTIFS('Data entry'!$R$6:$R$200,'Summary Data'!$A136,'Data entry'!$B$6:$B$200,{"Confirmed";"Probable"},'Data entry'!$AQ$6:$AQ$200,'Data Validation'!$V$11, 'Data entry'!$BD$6:$BD$200,"&lt;&gt;*Negative*"))</f>
        <v>0</v>
      </c>
      <c r="AF136" s="15">
        <f>SUM(COUNTIFS('Data entry'!$R$6:$R$200,'Summary Data'!$A136,'Data entry'!$B$6:$B$200,{"Confirmed";"Probable"},'Data entry'!$AQ$6:$AQ$200,'Data Validation'!$V$2, 'Data entry'!$AP$6:$AP$200,'Data Validation'!$U$2, 'Data entry'!$BD$6:$BD$200,"&lt;&gt;*Negative*"))</f>
        <v>0</v>
      </c>
      <c r="AG136" s="15">
        <f>SUM(COUNTIFS('Data entry'!$R$6:$R$200,'Summary Data'!$A136,'Data entry'!$B$6:$B$200,{"Confirmed";"Probable"},'Data entry'!$AQ$6:$AQ$200,'Data Validation'!$V$2, 'Data entry'!$AP$6:$AP$200,'Data Validation'!$U$3, 'Data entry'!$BD$6:$BD$200,"&lt;&gt;*Negative*"))</f>
        <v>0</v>
      </c>
      <c r="AH136" s="15">
        <f>SUM(COUNTIFS('Data entry'!$R$6:$R$200,'Summary Data'!$A136,'Data entry'!$B$6:$B$200,{"Confirmed";"Probable"},'Data entry'!$AQ$6:$AQ$200,'Data Validation'!$V$2, 'Data entry'!$AP$6:$AP$200,'Data Validation'!$U$4, 'Data entry'!$BD$6:$BD$200,"&lt;&gt;*Negative*"))</f>
        <v>0</v>
      </c>
      <c r="AI136" s="15">
        <f>SUM(COUNTIFS('Data entry'!$R$6:$R$200,'Summary Data'!$A136,'Data entry'!$B$6:$B$200,{"Confirmed";"Probable"},'Data entry'!$AQ$6:$AQ$200,'Data Validation'!$V$2, 'Data entry'!$AP$6:$AP$200,'Data Validation'!$U$5, 'Data entry'!$BD$6:$BD$200,"&lt;&gt;*Negative*"))</f>
        <v>0</v>
      </c>
      <c r="AJ136" s="15">
        <f>SUM(COUNTIFS('Data entry'!$R$6:$R$200,'Summary Data'!$A136,'Data entry'!$B$6:$B$200,{"Confirmed";"Probable"},'Data entry'!$AQ$6:$AQ$200,'Data Validation'!$V$2, 'Data entry'!$AP$6:$AP$200,'Data Validation'!$U$6, 'Data entry'!$BD$6:$BD$200,"&lt;&gt;*Negative*"))</f>
        <v>0</v>
      </c>
      <c r="AK136" s="15">
        <f>SUM(COUNTIFS('Data entry'!$R$6:$R$200,'Summary Data'!$A136,'Data entry'!$B$6:$B$200,{"Confirmed";"Probable"},'Data entry'!$AQ$6:$AQ$200,'Data Validation'!$V$3, 'Data entry'!$AP$6:$AP$200,'Data Validation'!$U$2, 'Data entry'!$BD$6:$BD$200,"&lt;&gt;*Negative*"))</f>
        <v>0</v>
      </c>
      <c r="AL136" s="15">
        <f>SUM(COUNTIFS('Data entry'!$R$6:$R$200,'Summary Data'!$A136,'Data entry'!$B$6:$B$200,{"Confirmed";"Probable"},'Data entry'!$AQ$6:$AQ$200,'Data Validation'!$V$3, 'Data entry'!$AP$6:$AP$200,'Data Validation'!$U$3, 'Data entry'!$BD$6:$BD$200,"&lt;&gt;*Negative*"))</f>
        <v>0</v>
      </c>
      <c r="AM136" s="15">
        <f>SUM(COUNTIFS('Data entry'!$R$6:$R$200,'Summary Data'!$A136,'Data entry'!$B$6:$B$200,{"Confirmed";"Probable"},'Data entry'!$AQ$6:$AQ$200,'Data Validation'!$V$3, 'Data entry'!$AP$6:$AP$200,'Data Validation'!$U$4, 'Data entry'!$BD$6:$BD$200,"&lt;&gt;*Negative*"))</f>
        <v>0</v>
      </c>
      <c r="AN136" s="15">
        <f>SUM(COUNTIFS('Data entry'!$R$6:$R$200,'Summary Data'!$A136,'Data entry'!$B$6:$B$200,{"Confirmed";"Probable"},'Data entry'!$AQ$6:$AQ$200,'Data Validation'!$V$3, 'Data entry'!$AP$6:$AP$200,'Data Validation'!$U$5, 'Data entry'!$BD$6:$BD$200,"&lt;&gt;*Negative*"))</f>
        <v>0</v>
      </c>
      <c r="AO136" s="15">
        <f>SUM(COUNTIFS('Data entry'!$R$6:$R$200,'Summary Data'!$A136,'Data entry'!$B$6:$B$200,{"Confirmed";"Probable"},'Data entry'!$AQ$6:$AQ$200,'Data Validation'!$V$3, 'Data entry'!$AP$6:$AP$200,'Data Validation'!$U$6, 'Data entry'!$BD$6:$BD$200,"&lt;&gt;*Negative*"))</f>
        <v>0</v>
      </c>
      <c r="AP136" s="15">
        <f>SUM(COUNTIFS('Data entry'!$R$6:$R$200,'Summary Data'!$A136,'Data entry'!$B$6:$B$200,{"Confirmed";"Probable"},'Data entry'!$AQ$6:$AQ$200,'Data Validation'!$V$4, 'Data entry'!$AP$6:$AP$200,'Data Validation'!$U$2, 'Data entry'!$BD$6:$BD$200,"&lt;&gt;*Negative*"))</f>
        <v>0</v>
      </c>
      <c r="AQ136" s="15">
        <f>SUM(COUNTIFS('Data entry'!$R$6:$R$200,'Summary Data'!$A136,'Data entry'!$B$6:$B$200,{"Confirmed";"Probable"},'Data entry'!$AQ$6:$AQ$200,'Data Validation'!$V$4, 'Data entry'!$AP$6:$AP$200,'Data Validation'!$U$3, 'Data entry'!$BD$6:$BD$200,"&lt;&gt;*Negative*"))</f>
        <v>0</v>
      </c>
      <c r="AR136" s="15">
        <f>SUM(COUNTIFS('Data entry'!$R$6:$R$200,'Summary Data'!$A136,'Data entry'!$B$6:$B$200,{"Confirmed";"Probable"},'Data entry'!$AQ$6:$AQ$200,'Data Validation'!$V$4, 'Data entry'!$AP$6:$AP$200,'Data Validation'!$U$4, 'Data entry'!$BD$6:$BD$200,"&lt;&gt;*Negative*"))</f>
        <v>0</v>
      </c>
      <c r="AS136" s="15">
        <f>SUM(COUNTIFS('Data entry'!$R$6:$R$200,'Summary Data'!$A136,'Data entry'!$B$6:$B$200,{"Confirmed";"Probable"},'Data entry'!$AQ$6:$AQ$200,'Data Validation'!$V$4, 'Data entry'!$AP$6:$AP$200,'Data Validation'!$U$5, 'Data entry'!$BD$6:$BD$200,"&lt;&gt;*Negative*"))</f>
        <v>0</v>
      </c>
      <c r="AT136" s="15">
        <f>SUM(COUNTIFS('Data entry'!$R$6:$R$200,'Summary Data'!$A136,'Data entry'!$B$6:$B$200,{"Confirmed";"Probable"},'Data entry'!$AQ$6:$AQ$200,'Data Validation'!$V$4, 'Data entry'!$AP$6:$AP$200,'Data Validation'!$U$6, 'Data entry'!$BD$6:$BD$200,"&lt;&gt;*Negative*"))</f>
        <v>0</v>
      </c>
      <c r="AU136" s="15">
        <f>SUM(COUNTIFS('Data entry'!$R$6:$R$200,'Summary Data'!$A136,'Data entry'!$B$6:$B$200,{"Confirmed";"Probable"},'Data entry'!$AQ$6:$AQ$200,'Data Validation'!$V$5, 'Data entry'!$AP$6:$AP$200,'Data Validation'!$U$2, 'Data entry'!$BD$6:$BD$200,"&lt;&gt;*Negative*"))</f>
        <v>0</v>
      </c>
      <c r="AV136" s="15">
        <f>SUM(COUNTIFS('Data entry'!$R$6:$R$200,'Summary Data'!$A136,'Data entry'!$B$6:$B$200,{"Confirmed";"Probable"},'Data entry'!$AQ$6:$AQ$200,'Data Validation'!$V$5, 'Data entry'!$AP$6:$AP$200,'Data Validation'!$U$3, 'Data entry'!$BD$6:$BD$200,"&lt;&gt;*Negative*"))</f>
        <v>0</v>
      </c>
      <c r="AW136" s="15">
        <f>SUM(COUNTIFS('Data entry'!$R$6:$R$200,'Summary Data'!$A136,'Data entry'!$B$6:$B$200,{"Confirmed";"Probable"},'Data entry'!$AQ$6:$AQ$200,'Data Validation'!$V$5, 'Data entry'!$AP$6:$AP$200,'Data Validation'!$U$4, 'Data entry'!$BD$6:$BD$200,"&lt;&gt;*Negative*"))</f>
        <v>0</v>
      </c>
      <c r="AX136" s="15">
        <f>SUM(COUNTIFS('Data entry'!$R$6:$R$200,'Summary Data'!$A136,'Data entry'!$B$6:$B$200,{"Confirmed";"Probable"},'Data entry'!$AQ$6:$AQ$200,'Data Validation'!$V$5, 'Data entry'!$AP$6:$AP$200,'Data Validation'!$U$5, 'Data entry'!$BD$6:$BD$200,"&lt;&gt;*Negative*"))</f>
        <v>0</v>
      </c>
      <c r="AY136" s="15">
        <f>SUM(COUNTIFS('Data entry'!$R$6:$R$200,'Summary Data'!$A136,'Data entry'!$B$6:$B$200,{"Confirmed";"Probable"},'Data entry'!$AQ$6:$AQ$200,'Data Validation'!$V$5, 'Data entry'!$AP$6:$AP$200,'Data Validation'!$U$6, 'Data entry'!$BD$6:$BD$200,"&lt;&gt;*Negative*"))</f>
        <v>0</v>
      </c>
      <c r="AZ136" s="15">
        <f>SUM(COUNTIFS('Data entry'!$R$6:$R$200,'Summary Data'!$A136,'Data entry'!$B$6:$B$200,{"Confirmed";"Probable"},'Data entry'!$AQ$6:$AQ$200,'Data Validation'!$V$6, 'Data entry'!$AP$6:$AP$200,'Data Validation'!$U$2, 'Data entry'!$BD$6:$BD$200,"&lt;&gt;*Negative*"))</f>
        <v>0</v>
      </c>
      <c r="BA136" s="15">
        <f>SUM(COUNTIFS('Data entry'!$R$6:$R$200,'Summary Data'!$A136,'Data entry'!$B$6:$B$200,{"Confirmed";"Probable"},'Data entry'!$AQ$6:$AQ$200,'Data Validation'!$V$6, 'Data entry'!$AP$6:$AP$200,'Data Validation'!$U$3, 'Data entry'!$BD$6:$BD$200,"&lt;&gt;*Negative*"))</f>
        <v>0</v>
      </c>
      <c r="BB136" s="15">
        <f>SUM(COUNTIFS('Data entry'!$R$6:$R$200,'Summary Data'!$A136,'Data entry'!$B$6:$B$200,{"Confirmed";"Probable"},'Data entry'!$AQ$6:$AQ$200,'Data Validation'!$V$6, 'Data entry'!$AP$6:$AP$200,'Data Validation'!$U$4, 'Data entry'!$BD$6:$BD$200,"&lt;&gt;*Negative*"))</f>
        <v>0</v>
      </c>
      <c r="BC136" s="15">
        <f>SUM(COUNTIFS('Data entry'!$R$6:$R$200,'Summary Data'!$A136,'Data entry'!$B$6:$B$200,{"Confirmed";"Probable"},'Data entry'!$AQ$6:$AQ$200,'Data Validation'!$V$6, 'Data entry'!$AP$6:$AP$200,'Data Validation'!$U$5, 'Data entry'!$BD$6:$BD$200,"&lt;&gt;*Negative*"))</f>
        <v>0</v>
      </c>
      <c r="BD136" s="15">
        <f>SUM(COUNTIFS('Data entry'!$R$6:$R$200,'Summary Data'!$A136,'Data entry'!$B$6:$B$200,{"Confirmed";"Probable"},'Data entry'!$AQ$6:$AQ$200,'Data Validation'!$V$6, 'Data entry'!$AP$6:$AP$200,'Data Validation'!$U$6, 'Data entry'!$BD$6:$BD$200,"&lt;&gt;*Negative*"))</f>
        <v>0</v>
      </c>
      <c r="BE136" s="15">
        <f>SUM(COUNTIFS('Data entry'!$R$6:$R$200,'Summary Data'!$A136,'Data entry'!$B$6:$B$200,{"Confirmed";"Probable"},'Data entry'!$AQ$6:$AQ$200,'Data Validation'!$V$7, 'Data entry'!$AP$6:$AP$200,'Data Validation'!$U$2, 'Data entry'!$BD$6:$BD$200,"&lt;&gt;*Negative*"))</f>
        <v>0</v>
      </c>
      <c r="BF136" s="15">
        <f>SUM(COUNTIFS('Data entry'!$R$6:$R$200,'Summary Data'!$A136,'Data entry'!$B$6:$B$200,{"Confirmed";"Probable"},'Data entry'!$AQ$6:$AQ$200,'Data Validation'!$V$7, 'Data entry'!$AP$6:$AP$200,'Data Validation'!$U$3, 'Data entry'!$BD$6:$BD$200,"&lt;&gt;*Negative*"))</f>
        <v>0</v>
      </c>
      <c r="BG136" s="15">
        <f>SUM(COUNTIFS('Data entry'!$R$6:$R$200,'Summary Data'!$A136,'Data entry'!$B$6:$B$200,{"Confirmed";"Probable"},'Data entry'!$AQ$6:$AQ$200,'Data Validation'!$V$7, 'Data entry'!$AP$6:$AP$200,'Data Validation'!$U$4, 'Data entry'!$BD$6:$BD$200,"&lt;&gt;*Negative*"))</f>
        <v>0</v>
      </c>
      <c r="BH136" s="15">
        <f>SUM(COUNTIFS('Data entry'!$R$6:$R$200,'Summary Data'!$A136,'Data entry'!$B$6:$B$200,{"Confirmed";"Probable"},'Data entry'!$AQ$6:$AQ$200,'Data Validation'!$V$7, 'Data entry'!$AP$6:$AP$200,'Data Validation'!$U$5, 'Data entry'!$BD$6:$BD$200,"&lt;&gt;*Negative*"))</f>
        <v>0</v>
      </c>
      <c r="BI136" s="15">
        <f>SUM(COUNTIFS('Data entry'!$R$6:$R$200,'Summary Data'!$A136,'Data entry'!$B$6:$B$200,{"Confirmed";"Probable"},'Data entry'!$AQ$6:$AQ$200,'Data Validation'!$V$7, 'Data entry'!$AP$6:$AP$200,'Data Validation'!$U$6, 'Data entry'!$BD$6:$BD$200,"&lt;&gt;*Negative*"))</f>
        <v>0</v>
      </c>
      <c r="BJ136" s="15">
        <f>SUM(COUNTIFS('Data entry'!$R$6:$R$200,'Summary Data'!$A136,'Data entry'!$B$6:$B$200,{"Confirmed";"Probable"},'Data entry'!$AQ$6:$AQ$200,'Data Validation'!$V$8, 'Data entry'!$AP$6:$AP$200,'Data Validation'!$U$2, 'Data entry'!$BD$6:$BD$200,"&lt;&gt;*Negative*"))</f>
        <v>0</v>
      </c>
      <c r="BK136" s="15">
        <f>SUM(COUNTIFS('Data entry'!$R$6:$R$200,'Summary Data'!$A136,'Data entry'!$B$6:$B$200,{"Confirmed";"Probable"},'Data entry'!$AQ$6:$AQ$200,'Data Validation'!$V$8, 'Data entry'!$AP$6:$AP$200,'Data Validation'!$U$3, 'Data entry'!$BD$6:$BD$200,"&lt;&gt;*Negative*"))</f>
        <v>0</v>
      </c>
      <c r="BL136" s="15">
        <f>SUM(COUNTIFS('Data entry'!$R$6:$R$200,'Summary Data'!$A136,'Data entry'!$B$6:$B$200,{"Confirmed";"Probable"},'Data entry'!$AQ$6:$AQ$200,'Data Validation'!$V$8, 'Data entry'!$AP$6:$AP$200,'Data Validation'!$U$4, 'Data entry'!$BD$6:$BD$200,"&lt;&gt;*Negative*"))</f>
        <v>0</v>
      </c>
      <c r="BM136" s="15">
        <f>SUM(COUNTIFS('Data entry'!$R$6:$R$200,'Summary Data'!$A136,'Data entry'!$B$6:$B$200,{"Confirmed";"Probable"},'Data entry'!$AQ$6:$AQ$200,'Data Validation'!$V$8, 'Data entry'!$AP$6:$AP$200,'Data Validation'!$U$5, 'Data entry'!$BD$6:$BD$200,"&lt;&gt;*Negative*"))</f>
        <v>0</v>
      </c>
      <c r="BN136" s="15">
        <f>SUM(COUNTIFS('Data entry'!$R$6:$R$200,'Summary Data'!$A136,'Data entry'!$B$6:$B$200,{"Confirmed";"Probable"},'Data entry'!$AQ$6:$AQ$200,'Data Validation'!$V$8, 'Data entry'!$AP$6:$AP$200,'Data Validation'!$U$6, 'Data entry'!$BD$6:$BD$200,"&lt;&gt;*Negative*"))</f>
        <v>0</v>
      </c>
      <c r="BO136" s="15">
        <f>SUM(COUNTIFS('Data entry'!$R$6:$R$200,'Summary Data'!$A136,'Data entry'!$B$6:$B$200,{"Confirmed";"Probable"},'Data entry'!$AQ$6:$AQ$200,'Data Validation'!$V$9, 'Data entry'!$AP$6:$AP$200,'Data Validation'!$U$2, 'Data entry'!$BD$6:$BD$200,"&lt;&gt;*Negative*"))</f>
        <v>0</v>
      </c>
      <c r="BP136" s="15">
        <f>SUM(COUNTIFS('Data entry'!$R$6:$R$200,'Summary Data'!$A136,'Data entry'!$B$6:$B$200,{"Confirmed";"Probable"},'Data entry'!$AQ$6:$AQ$200,'Data Validation'!$V$9, 'Data entry'!$AP$6:$AP$200,'Data Validation'!$U$3, 'Data entry'!$BD$6:$BD$200,"&lt;&gt;*Negative*"))</f>
        <v>0</v>
      </c>
      <c r="BQ136" s="15">
        <f>SUM(COUNTIFS('Data entry'!$R$6:$R$200,'Summary Data'!$A136,'Data entry'!$B$6:$B$200,{"Confirmed";"Probable"},'Data entry'!$AQ$6:$AQ$200,'Data Validation'!$V$9, 'Data entry'!$AP$6:$AP$200,'Data Validation'!$U$4, 'Data entry'!$BD$6:$BD$200,"&lt;&gt;*Negative*"))</f>
        <v>0</v>
      </c>
      <c r="BR136" s="15">
        <f>SUM(COUNTIFS('Data entry'!$R$6:$R$200,'Summary Data'!$A136,'Data entry'!$B$6:$B$200,{"Confirmed";"Probable"},'Data entry'!$AQ$6:$AQ$200,'Data Validation'!$V$9, 'Data entry'!$AP$6:$AP$200,'Data Validation'!$U$5, 'Data entry'!$BD$6:$BD$200,"&lt;&gt;*Negative*"))</f>
        <v>0</v>
      </c>
      <c r="BS136" s="15">
        <f>SUM(COUNTIFS('Data entry'!$R$6:$R$200,'Summary Data'!$A136,'Data entry'!$B$6:$B$200,{"Confirmed";"Probable"},'Data entry'!$AQ$6:$AQ$200,'Data Validation'!$V$9, 'Data entry'!$AP$6:$AP$200,'Data Validation'!$U$6, 'Data entry'!$BD$6:$BD$200,"&lt;&gt;*Negative*"))</f>
        <v>0</v>
      </c>
      <c r="BT136" s="15">
        <f>SUM(COUNTIFS('Data entry'!$R$6:$R$200,'Summary Data'!$A136,'Data entry'!$B$6:$B$200,{"Confirmed";"Probable"},'Data entry'!$AQ$6:$AQ$200,'Data Validation'!$V$10, 'Data entry'!$AP$6:$AP$200,'Data Validation'!$U$2, 'Data entry'!$BD$6:$BD$200,"&lt;&gt;*Negative*"))</f>
        <v>0</v>
      </c>
      <c r="BU136" s="15">
        <f>SUM(COUNTIFS('Data entry'!$R$6:$R$200,'Summary Data'!$A136,'Data entry'!$B$6:$B$200,{"Confirmed";"Probable"},'Data entry'!$AQ$6:$AQ$200,'Data Validation'!$V$10, 'Data entry'!$AP$6:$AP$200,'Data Validation'!$U$3, 'Data entry'!$BD$6:$BD$200,"&lt;&gt;*Negative*"))</f>
        <v>0</v>
      </c>
      <c r="BV136" s="15">
        <f>SUM(COUNTIFS('Data entry'!$R$6:$R$200,'Summary Data'!$A136,'Data entry'!$B$6:$B$200,{"Confirmed";"Probable"},'Data entry'!$AQ$6:$AQ$200,'Data Validation'!$V$10, 'Data entry'!$AP$6:$AP$200,'Data Validation'!$U$4, 'Data entry'!$BD$6:$BD$200,"&lt;&gt;*Negative*"))</f>
        <v>0</v>
      </c>
      <c r="BW136" s="15">
        <f>SUM(COUNTIFS('Data entry'!$R$6:$R$200,'Summary Data'!$A136,'Data entry'!$B$6:$B$200,{"Confirmed";"Probable"},'Data entry'!$AQ$6:$AQ$200,'Data Validation'!$V$10, 'Data entry'!$AP$6:$AP$200,'Data Validation'!$U$5, 'Data entry'!$BD$6:$BD$200,"&lt;&gt;*Negative*"))</f>
        <v>0</v>
      </c>
      <c r="BX136" s="15">
        <f>SUM(COUNTIFS('Data entry'!$R$6:$R$200,'Summary Data'!$A136,'Data entry'!$B$6:$B$200,{"Confirmed";"Probable"},'Data entry'!$AQ$6:$AQ$200,'Data Validation'!$V$10, 'Data entry'!$AP$6:$AP$200,'Data Validation'!$U$6, 'Data entry'!$BD$6:$BD$200,"&lt;&gt;*Negative*"))</f>
        <v>0</v>
      </c>
      <c r="BY136" s="15">
        <f>SUM(COUNTIFS('Data entry'!$R$6:$R$200,'Summary Data'!$A136,'Data entry'!$B$6:$B$200,{"Confirmed";"Probable"},'Data entry'!$AQ$6:$AQ$200,'Data Validation'!$V$11, 'Data entry'!$AP$6:$AP$200,'Data Validation'!$U$2, 'Data entry'!$BD$6:$BD$200,"&lt;&gt;*Negative*"))</f>
        <v>0</v>
      </c>
      <c r="BZ136" s="15">
        <f>SUM(COUNTIFS('Data entry'!$R$6:$R$200,'Summary Data'!$A136,'Data entry'!$B$6:$B$200,{"Confirmed";"Probable"},'Data entry'!$AQ$6:$AQ$200,'Data Validation'!$V$11, 'Data entry'!$AP$6:$AP$200,'Data Validation'!$U$3, 'Data entry'!$BD$6:$BD$200,"&lt;&gt;*Negative*"))</f>
        <v>0</v>
      </c>
      <c r="CA136" s="15">
        <f>SUM(COUNTIFS('Data entry'!$R$6:$R$200,'Summary Data'!$A136,'Data entry'!$B$6:$B$200,{"Confirmed";"Probable"},'Data entry'!$AQ$6:$AQ$200,'Data Validation'!$V$11, 'Data entry'!$AP$6:$AP$200,'Data Validation'!$U$4, 'Data entry'!$BD$6:$BD$200,"&lt;&gt;*Negative*"))</f>
        <v>0</v>
      </c>
      <c r="CB136" s="15">
        <f>SUM(COUNTIFS('Data entry'!$R$6:$R$200,'Summary Data'!$A136,'Data entry'!$B$6:$B$200,{"Confirmed";"Probable"},'Data entry'!$AQ$6:$AQ$200,'Data Validation'!$V$11, 'Data entry'!$AP$6:$AP$200,'Data Validation'!$U$5, 'Data entry'!$BD$6:$BD$200,"&lt;&gt;*Negative*"))</f>
        <v>0</v>
      </c>
      <c r="CC136" s="15">
        <f>SUM(COUNTIFS('Data entry'!$R$6:$R$200,'Summary Data'!$A136,'Data entry'!$B$6:$B$200,{"Confirmed";"Probable"},'Data entry'!$AQ$6:$AQ$200,'Data Validation'!$V$11, 'Data entry'!$AP$6:$AP$200,'Data Validation'!$U$6, 'Data entry'!$BD$6:$BD$200,"&lt;&gt;*Negative*"))</f>
        <v>0</v>
      </c>
    </row>
    <row r="137" spans="1:81" x14ac:dyDescent="0.25">
      <c r="A137" s="12">
        <f t="shared" si="9"/>
        <v>125</v>
      </c>
      <c r="B137" s="13">
        <f t="shared" si="6"/>
        <v>0</v>
      </c>
      <c r="C137" s="13">
        <f>COUNTIFS('Data entry'!$R$6:$R$200,$A137,'Data entry'!$B$6:$B$200,"Confirmed",'Data entry'!$BD$6:$BD$200,"&lt;&gt;*Negative*")</f>
        <v>0</v>
      </c>
      <c r="D137" s="13">
        <f>COUNTIFS('Data entry'!$R$6:$R$200,$A137,'Data entry'!$B$6:$B$200,"Probable",'Data entry'!$BD$6:$BD$200,"&lt;&gt;*Negative*")</f>
        <v>0</v>
      </c>
      <c r="E137" s="13">
        <f>COUNTIFS('Data entry'!$R$6:$R$200,$A137,'Data entry'!$B$6:$B$200,"DNM")</f>
        <v>0</v>
      </c>
      <c r="F137" s="13">
        <f>SUM(COUNTIFS('Data entry'!$R$6:$R$200,'Summary Data'!$A137,'Data entry'!$B$6:$B$200,{"Confirmed";"Probable"},'Data entry'!$AO$6:$AO$200,$F$10, 'Data entry'!$BD$6:$BD$200,"&lt;&gt;*Negative*"))</f>
        <v>0</v>
      </c>
      <c r="G137" s="13">
        <f>SUM(COUNTIFS('Data entry'!$R$6:$R$200,'Summary Data'!$A137,'Data entry'!$B$6:$B$200,{"Confirmed";"Probable"},'Data entry'!$AO$6:$AO$200,$G$10, 'Data entry'!$BD$6:$BD$200,"&lt;&gt;*Negative*"))</f>
        <v>0</v>
      </c>
      <c r="H137" s="13">
        <f>SUM(COUNTIFS('Data entry'!$R$6:$R$200,'Summary Data'!$A137,'Data entry'!$B$6:$B$200,{"Confirmed";"Probable"},'Data entry'!$AO$6:$AO$200,$H$10, 'Data entry'!$BD$6:$BD$200,"&lt;&gt;*Negative*"))</f>
        <v>0</v>
      </c>
      <c r="I137" s="13">
        <f>SUM(COUNTIFS('Data entry'!$R$6:$R$200,'Summary Data'!$A137,'Data entry'!$B$6:$B$200,{"Confirmed";"Probable"},'Data entry'!$AO$6:$AO$200,$I$10, 'Data entry'!$BD$6:$BD$200,"&lt;&gt;*Negative*"))</f>
        <v>0</v>
      </c>
      <c r="J137" s="13">
        <f>SUM(COUNTIFS('Data entry'!$R$6:$R$200,'Summary Data'!$A137,'Data entry'!$B$6:$B$200,{"Confirmed";"Probable"},'Data entry'!$AO$6:$AO$200,$J$10, 'Data entry'!$BD$6:$BD$200,"&lt;&gt;*Negative*"))</f>
        <v>0</v>
      </c>
      <c r="K137" s="13">
        <f>SUM(COUNTIFS('Data entry'!$R$6:$R$200,'Summary Data'!$A137,'Data entry'!$B$6:$B$200,{"Confirmed";"Probable"},'Data entry'!$AO$6:$AO$200,$K$10, 'Data entry'!$BD$6:$BD$200,"&lt;&gt;*Negative*"))</f>
        <v>0</v>
      </c>
      <c r="L137" s="13">
        <f>SUM(COUNTIFS('Data entry'!$R$6:$R$200,'Summary Data'!$A137,'Data entry'!$B$6:$B$200,{"Confirmed";"Probable"},'Data entry'!$AO$6:$AO$200,$L$10, 'Data entry'!$BD$6:$BD$200,"&lt;&gt;*Negative*"))</f>
        <v>0</v>
      </c>
      <c r="M137" s="13">
        <f>SUM(COUNTIFS('Data entry'!$R$6:$R$200,'Summary Data'!$A137,'Data entry'!$B$6:$B$200,{"Confirmed";"Probable"},'Data entry'!$AO$6:$AO$200,$M$10, 'Data entry'!$BD$6:$BD$200,"&lt;&gt;*Negative*"))</f>
        <v>0</v>
      </c>
      <c r="N137" s="13">
        <f>SUM(COUNTIFS('Data entry'!$R$6:$R$200,'Summary Data'!$A137,'Data entry'!$B$6:$B$200,{"Confirmed";"Probable"},'Data entry'!$AO$6:$AO$200,$N$10, 'Data entry'!$BD$6:$BD$200,"&lt;&gt;*Negative*"))</f>
        <v>0</v>
      </c>
      <c r="O137" s="15">
        <f t="shared" si="7"/>
        <v>0</v>
      </c>
      <c r="P137" s="15">
        <f t="shared" si="8"/>
        <v>0</v>
      </c>
      <c r="Q137" s="15">
        <f>SUM(COUNTIFS('Data entry'!$R$6:$R$200,'Summary Data'!$A137,'Data entry'!$B$6:$B$200,{"Confirmed";"Probable"},'Data entry'!$AP$6:$AP$200,'Data Validation'!$U$2, 'Data entry'!$BD$6:$BD$200,"&lt;&gt;*Negative*"))</f>
        <v>0</v>
      </c>
      <c r="R137" s="15">
        <f>SUM(COUNTIFS('Data entry'!$R$6:$R$200,'Summary Data'!$A137,'Data entry'!$B$6:$B$200,{"Confirmed";"Probable"},'Data entry'!$AP$6:$AP$200,'Data Validation'!$U$3, 'Data entry'!$BD$6:$BD$200,"&lt;&gt;*Negative*"))</f>
        <v>0</v>
      </c>
      <c r="S137" s="15">
        <f>SUM(COUNTIFS('Data entry'!$R$6:$R$200,'Summary Data'!$A137,'Data entry'!$B$6:$B$200,{"Confirmed";"Probable"},'Data entry'!$AP$6:$AP$200,'Data Validation'!$U$4, 'Data entry'!$BD$6:$BD$200,"&lt;&gt;*Negative*"))</f>
        <v>0</v>
      </c>
      <c r="T137" s="15">
        <f>SUM(COUNTIFS('Data entry'!$R$6:$R$200,'Summary Data'!$A137,'Data entry'!$B$6:$B$200,{"Confirmed";"Probable"},'Data entry'!$AP$6:$AP$200,'Data Validation'!$U$5, 'Data entry'!$BD$6:$BD$200,"&lt;&gt;*Negative*"))</f>
        <v>0</v>
      </c>
      <c r="U137" s="15">
        <f>SUM(COUNTIFS('Data entry'!$R$6:$R$200,'Summary Data'!$A137,'Data entry'!$B$6:$B$200,{"Confirmed";"Probable"},'Data entry'!$AP$6:$AP$200,'Data Validation'!$U$6, 'Data entry'!$BD$6:$BD$200,"&lt;&gt;*Negative*"))</f>
        <v>0</v>
      </c>
      <c r="V137" s="15">
        <f>SUM(COUNTIFS('Data entry'!$R$6:$R$200,'Summary Data'!$A137,'Data entry'!$B$6:$B$200,{"Confirmed";"Probable"},'Data entry'!$AQ$6:$AQ$200,'Data Validation'!$V$2, 'Data entry'!$BD$6:$BD$200,"&lt;&gt;*Negative*"))</f>
        <v>0</v>
      </c>
      <c r="W137" s="15">
        <f>SUM(COUNTIFS('Data entry'!$R$6:$R$200,'Summary Data'!$A137,'Data entry'!$B$6:$B$200,{"Confirmed";"Probable"},'Data entry'!$AQ$6:$AQ$200,'Data Validation'!$V$3, 'Data entry'!$BD$6:$BD$200,"&lt;&gt;*Negative*"))</f>
        <v>0</v>
      </c>
      <c r="X137" s="15">
        <f>SUM(COUNTIFS('Data entry'!$R$6:$R$200,'Summary Data'!$A137,'Data entry'!$B$6:$B$200,{"Confirmed";"Probable"},'Data entry'!$AQ$6:$AQ$200,'Data Validation'!$V$4, 'Data entry'!$BD$6:$BD$200,"&lt;&gt;*Negative*"))</f>
        <v>0</v>
      </c>
      <c r="Y137" s="15">
        <f>SUM(COUNTIFS('Data entry'!$R$6:$R$200,'Summary Data'!$A137,'Data entry'!$B$6:$B$200,{"Confirmed";"Probable"},'Data entry'!$AQ$6:$AQ$200,'Data Validation'!$V$5, 'Data entry'!$BD$6:$BD$200,"&lt;&gt;*Negative*"))</f>
        <v>0</v>
      </c>
      <c r="Z137" s="15">
        <f>SUM(COUNTIFS('Data entry'!$R$6:$R$200,'Summary Data'!$A137,'Data entry'!$B$6:$B$200,{"Confirmed";"Probable"},'Data entry'!$AQ$6:$AQ$200,'Data Validation'!$V$6, 'Data entry'!$BD$6:$BD$200,"&lt;&gt;*Negative*"))</f>
        <v>0</v>
      </c>
      <c r="AA137" s="15">
        <f>SUM(COUNTIFS('Data entry'!$R$6:$R$200,'Summary Data'!$A137,'Data entry'!$B$6:$B$200,{"Confirmed";"Probable"},'Data entry'!$AQ$6:$AQ$200,'Data Validation'!$V$7, 'Data entry'!$BD$6:$BD$200,"&lt;&gt;*Negative*"))</f>
        <v>0</v>
      </c>
      <c r="AB137" s="15">
        <f>SUM(COUNTIFS('Data entry'!$R$6:$R$200,'Summary Data'!$A137,'Data entry'!$B$6:$B$200,{"Confirmed";"Probable"},'Data entry'!$AQ$6:$AQ$200,'Data Validation'!$V$8, 'Data entry'!$BD$6:$BD$200,"&lt;&gt;*Negative*"))</f>
        <v>0</v>
      </c>
      <c r="AC137" s="15">
        <f>SUM(COUNTIFS('Data entry'!$R$6:$R$200,'Summary Data'!$A137,'Data entry'!$B$6:$B$200,{"Confirmed";"Probable"},'Data entry'!$AQ$6:$AQ$200,'Data Validation'!$V$9, 'Data entry'!$BD$6:$BD$200,"&lt;&gt;*Negative*"))</f>
        <v>0</v>
      </c>
      <c r="AD137" s="15">
        <f>SUM(COUNTIFS('Data entry'!$R$6:$R$200,'Summary Data'!$A137,'Data entry'!$B$6:$B$200,{"Confirmed";"Probable"},'Data entry'!$AQ$6:$AQ$200,'Data Validation'!$V$10, 'Data entry'!$BD$6:$BD$200,"&lt;&gt;*Negative*"))</f>
        <v>0</v>
      </c>
      <c r="AE137" s="15">
        <f>SUM(COUNTIFS('Data entry'!$R$6:$R$200,'Summary Data'!$A137,'Data entry'!$B$6:$B$200,{"Confirmed";"Probable"},'Data entry'!$AQ$6:$AQ$200,'Data Validation'!$V$11, 'Data entry'!$BD$6:$BD$200,"&lt;&gt;*Negative*"))</f>
        <v>0</v>
      </c>
      <c r="AF137" s="15">
        <f>SUM(COUNTIFS('Data entry'!$R$6:$R$200,'Summary Data'!$A137,'Data entry'!$B$6:$B$200,{"Confirmed";"Probable"},'Data entry'!$AQ$6:$AQ$200,'Data Validation'!$V$2, 'Data entry'!$AP$6:$AP$200,'Data Validation'!$U$2, 'Data entry'!$BD$6:$BD$200,"&lt;&gt;*Negative*"))</f>
        <v>0</v>
      </c>
      <c r="AG137" s="15">
        <f>SUM(COUNTIFS('Data entry'!$R$6:$R$200,'Summary Data'!$A137,'Data entry'!$B$6:$B$200,{"Confirmed";"Probable"},'Data entry'!$AQ$6:$AQ$200,'Data Validation'!$V$2, 'Data entry'!$AP$6:$AP$200,'Data Validation'!$U$3, 'Data entry'!$BD$6:$BD$200,"&lt;&gt;*Negative*"))</f>
        <v>0</v>
      </c>
      <c r="AH137" s="15">
        <f>SUM(COUNTIFS('Data entry'!$R$6:$R$200,'Summary Data'!$A137,'Data entry'!$B$6:$B$200,{"Confirmed";"Probable"},'Data entry'!$AQ$6:$AQ$200,'Data Validation'!$V$2, 'Data entry'!$AP$6:$AP$200,'Data Validation'!$U$4, 'Data entry'!$BD$6:$BD$200,"&lt;&gt;*Negative*"))</f>
        <v>0</v>
      </c>
      <c r="AI137" s="15">
        <f>SUM(COUNTIFS('Data entry'!$R$6:$R$200,'Summary Data'!$A137,'Data entry'!$B$6:$B$200,{"Confirmed";"Probable"},'Data entry'!$AQ$6:$AQ$200,'Data Validation'!$V$2, 'Data entry'!$AP$6:$AP$200,'Data Validation'!$U$5, 'Data entry'!$BD$6:$BD$200,"&lt;&gt;*Negative*"))</f>
        <v>0</v>
      </c>
      <c r="AJ137" s="15">
        <f>SUM(COUNTIFS('Data entry'!$R$6:$R$200,'Summary Data'!$A137,'Data entry'!$B$6:$B$200,{"Confirmed";"Probable"},'Data entry'!$AQ$6:$AQ$200,'Data Validation'!$V$2, 'Data entry'!$AP$6:$AP$200,'Data Validation'!$U$6, 'Data entry'!$BD$6:$BD$200,"&lt;&gt;*Negative*"))</f>
        <v>0</v>
      </c>
      <c r="AK137" s="15">
        <f>SUM(COUNTIFS('Data entry'!$R$6:$R$200,'Summary Data'!$A137,'Data entry'!$B$6:$B$200,{"Confirmed";"Probable"},'Data entry'!$AQ$6:$AQ$200,'Data Validation'!$V$3, 'Data entry'!$AP$6:$AP$200,'Data Validation'!$U$2, 'Data entry'!$BD$6:$BD$200,"&lt;&gt;*Negative*"))</f>
        <v>0</v>
      </c>
      <c r="AL137" s="15">
        <f>SUM(COUNTIFS('Data entry'!$R$6:$R$200,'Summary Data'!$A137,'Data entry'!$B$6:$B$200,{"Confirmed";"Probable"},'Data entry'!$AQ$6:$AQ$200,'Data Validation'!$V$3, 'Data entry'!$AP$6:$AP$200,'Data Validation'!$U$3, 'Data entry'!$BD$6:$BD$200,"&lt;&gt;*Negative*"))</f>
        <v>0</v>
      </c>
      <c r="AM137" s="15">
        <f>SUM(COUNTIFS('Data entry'!$R$6:$R$200,'Summary Data'!$A137,'Data entry'!$B$6:$B$200,{"Confirmed";"Probable"},'Data entry'!$AQ$6:$AQ$200,'Data Validation'!$V$3, 'Data entry'!$AP$6:$AP$200,'Data Validation'!$U$4, 'Data entry'!$BD$6:$BD$200,"&lt;&gt;*Negative*"))</f>
        <v>0</v>
      </c>
      <c r="AN137" s="15">
        <f>SUM(COUNTIFS('Data entry'!$R$6:$R$200,'Summary Data'!$A137,'Data entry'!$B$6:$B$200,{"Confirmed";"Probable"},'Data entry'!$AQ$6:$AQ$200,'Data Validation'!$V$3, 'Data entry'!$AP$6:$AP$200,'Data Validation'!$U$5, 'Data entry'!$BD$6:$BD$200,"&lt;&gt;*Negative*"))</f>
        <v>0</v>
      </c>
      <c r="AO137" s="15">
        <f>SUM(COUNTIFS('Data entry'!$R$6:$R$200,'Summary Data'!$A137,'Data entry'!$B$6:$B$200,{"Confirmed";"Probable"},'Data entry'!$AQ$6:$AQ$200,'Data Validation'!$V$3, 'Data entry'!$AP$6:$AP$200,'Data Validation'!$U$6, 'Data entry'!$BD$6:$BD$200,"&lt;&gt;*Negative*"))</f>
        <v>0</v>
      </c>
      <c r="AP137" s="15">
        <f>SUM(COUNTIFS('Data entry'!$R$6:$R$200,'Summary Data'!$A137,'Data entry'!$B$6:$B$200,{"Confirmed";"Probable"},'Data entry'!$AQ$6:$AQ$200,'Data Validation'!$V$4, 'Data entry'!$AP$6:$AP$200,'Data Validation'!$U$2, 'Data entry'!$BD$6:$BD$200,"&lt;&gt;*Negative*"))</f>
        <v>0</v>
      </c>
      <c r="AQ137" s="15">
        <f>SUM(COUNTIFS('Data entry'!$R$6:$R$200,'Summary Data'!$A137,'Data entry'!$B$6:$B$200,{"Confirmed";"Probable"},'Data entry'!$AQ$6:$AQ$200,'Data Validation'!$V$4, 'Data entry'!$AP$6:$AP$200,'Data Validation'!$U$3, 'Data entry'!$BD$6:$BD$200,"&lt;&gt;*Negative*"))</f>
        <v>0</v>
      </c>
      <c r="AR137" s="15">
        <f>SUM(COUNTIFS('Data entry'!$R$6:$R$200,'Summary Data'!$A137,'Data entry'!$B$6:$B$200,{"Confirmed";"Probable"},'Data entry'!$AQ$6:$AQ$200,'Data Validation'!$V$4, 'Data entry'!$AP$6:$AP$200,'Data Validation'!$U$4, 'Data entry'!$BD$6:$BD$200,"&lt;&gt;*Negative*"))</f>
        <v>0</v>
      </c>
      <c r="AS137" s="15">
        <f>SUM(COUNTIFS('Data entry'!$R$6:$R$200,'Summary Data'!$A137,'Data entry'!$B$6:$B$200,{"Confirmed";"Probable"},'Data entry'!$AQ$6:$AQ$200,'Data Validation'!$V$4, 'Data entry'!$AP$6:$AP$200,'Data Validation'!$U$5, 'Data entry'!$BD$6:$BD$200,"&lt;&gt;*Negative*"))</f>
        <v>0</v>
      </c>
      <c r="AT137" s="15">
        <f>SUM(COUNTIFS('Data entry'!$R$6:$R$200,'Summary Data'!$A137,'Data entry'!$B$6:$B$200,{"Confirmed";"Probable"},'Data entry'!$AQ$6:$AQ$200,'Data Validation'!$V$4, 'Data entry'!$AP$6:$AP$200,'Data Validation'!$U$6, 'Data entry'!$BD$6:$BD$200,"&lt;&gt;*Negative*"))</f>
        <v>0</v>
      </c>
      <c r="AU137" s="15">
        <f>SUM(COUNTIFS('Data entry'!$R$6:$R$200,'Summary Data'!$A137,'Data entry'!$B$6:$B$200,{"Confirmed";"Probable"},'Data entry'!$AQ$6:$AQ$200,'Data Validation'!$V$5, 'Data entry'!$AP$6:$AP$200,'Data Validation'!$U$2, 'Data entry'!$BD$6:$BD$200,"&lt;&gt;*Negative*"))</f>
        <v>0</v>
      </c>
      <c r="AV137" s="15">
        <f>SUM(COUNTIFS('Data entry'!$R$6:$R$200,'Summary Data'!$A137,'Data entry'!$B$6:$B$200,{"Confirmed";"Probable"},'Data entry'!$AQ$6:$AQ$200,'Data Validation'!$V$5, 'Data entry'!$AP$6:$AP$200,'Data Validation'!$U$3, 'Data entry'!$BD$6:$BD$200,"&lt;&gt;*Negative*"))</f>
        <v>0</v>
      </c>
      <c r="AW137" s="15">
        <f>SUM(COUNTIFS('Data entry'!$R$6:$R$200,'Summary Data'!$A137,'Data entry'!$B$6:$B$200,{"Confirmed";"Probable"},'Data entry'!$AQ$6:$AQ$200,'Data Validation'!$V$5, 'Data entry'!$AP$6:$AP$200,'Data Validation'!$U$4, 'Data entry'!$BD$6:$BD$200,"&lt;&gt;*Negative*"))</f>
        <v>0</v>
      </c>
      <c r="AX137" s="15">
        <f>SUM(COUNTIFS('Data entry'!$R$6:$R$200,'Summary Data'!$A137,'Data entry'!$B$6:$B$200,{"Confirmed";"Probable"},'Data entry'!$AQ$6:$AQ$200,'Data Validation'!$V$5, 'Data entry'!$AP$6:$AP$200,'Data Validation'!$U$5, 'Data entry'!$BD$6:$BD$200,"&lt;&gt;*Negative*"))</f>
        <v>0</v>
      </c>
      <c r="AY137" s="15">
        <f>SUM(COUNTIFS('Data entry'!$R$6:$R$200,'Summary Data'!$A137,'Data entry'!$B$6:$B$200,{"Confirmed";"Probable"},'Data entry'!$AQ$6:$AQ$200,'Data Validation'!$V$5, 'Data entry'!$AP$6:$AP$200,'Data Validation'!$U$6, 'Data entry'!$BD$6:$BD$200,"&lt;&gt;*Negative*"))</f>
        <v>0</v>
      </c>
      <c r="AZ137" s="15">
        <f>SUM(COUNTIFS('Data entry'!$R$6:$R$200,'Summary Data'!$A137,'Data entry'!$B$6:$B$200,{"Confirmed";"Probable"},'Data entry'!$AQ$6:$AQ$200,'Data Validation'!$V$6, 'Data entry'!$AP$6:$AP$200,'Data Validation'!$U$2, 'Data entry'!$BD$6:$BD$200,"&lt;&gt;*Negative*"))</f>
        <v>0</v>
      </c>
      <c r="BA137" s="15">
        <f>SUM(COUNTIFS('Data entry'!$R$6:$R$200,'Summary Data'!$A137,'Data entry'!$B$6:$B$200,{"Confirmed";"Probable"},'Data entry'!$AQ$6:$AQ$200,'Data Validation'!$V$6, 'Data entry'!$AP$6:$AP$200,'Data Validation'!$U$3, 'Data entry'!$BD$6:$BD$200,"&lt;&gt;*Negative*"))</f>
        <v>0</v>
      </c>
      <c r="BB137" s="15">
        <f>SUM(COUNTIFS('Data entry'!$R$6:$R$200,'Summary Data'!$A137,'Data entry'!$B$6:$B$200,{"Confirmed";"Probable"},'Data entry'!$AQ$6:$AQ$200,'Data Validation'!$V$6, 'Data entry'!$AP$6:$AP$200,'Data Validation'!$U$4, 'Data entry'!$BD$6:$BD$200,"&lt;&gt;*Negative*"))</f>
        <v>0</v>
      </c>
      <c r="BC137" s="15">
        <f>SUM(COUNTIFS('Data entry'!$R$6:$R$200,'Summary Data'!$A137,'Data entry'!$B$6:$B$200,{"Confirmed";"Probable"},'Data entry'!$AQ$6:$AQ$200,'Data Validation'!$V$6, 'Data entry'!$AP$6:$AP$200,'Data Validation'!$U$5, 'Data entry'!$BD$6:$BD$200,"&lt;&gt;*Negative*"))</f>
        <v>0</v>
      </c>
      <c r="BD137" s="15">
        <f>SUM(COUNTIFS('Data entry'!$R$6:$R$200,'Summary Data'!$A137,'Data entry'!$B$6:$B$200,{"Confirmed";"Probable"},'Data entry'!$AQ$6:$AQ$200,'Data Validation'!$V$6, 'Data entry'!$AP$6:$AP$200,'Data Validation'!$U$6, 'Data entry'!$BD$6:$BD$200,"&lt;&gt;*Negative*"))</f>
        <v>0</v>
      </c>
      <c r="BE137" s="15">
        <f>SUM(COUNTIFS('Data entry'!$R$6:$R$200,'Summary Data'!$A137,'Data entry'!$B$6:$B$200,{"Confirmed";"Probable"},'Data entry'!$AQ$6:$AQ$200,'Data Validation'!$V$7, 'Data entry'!$AP$6:$AP$200,'Data Validation'!$U$2, 'Data entry'!$BD$6:$BD$200,"&lt;&gt;*Negative*"))</f>
        <v>0</v>
      </c>
      <c r="BF137" s="15">
        <f>SUM(COUNTIFS('Data entry'!$R$6:$R$200,'Summary Data'!$A137,'Data entry'!$B$6:$B$200,{"Confirmed";"Probable"},'Data entry'!$AQ$6:$AQ$200,'Data Validation'!$V$7, 'Data entry'!$AP$6:$AP$200,'Data Validation'!$U$3, 'Data entry'!$BD$6:$BD$200,"&lt;&gt;*Negative*"))</f>
        <v>0</v>
      </c>
      <c r="BG137" s="15">
        <f>SUM(COUNTIFS('Data entry'!$R$6:$R$200,'Summary Data'!$A137,'Data entry'!$B$6:$B$200,{"Confirmed";"Probable"},'Data entry'!$AQ$6:$AQ$200,'Data Validation'!$V$7, 'Data entry'!$AP$6:$AP$200,'Data Validation'!$U$4, 'Data entry'!$BD$6:$BD$200,"&lt;&gt;*Negative*"))</f>
        <v>0</v>
      </c>
      <c r="BH137" s="15">
        <f>SUM(COUNTIFS('Data entry'!$R$6:$R$200,'Summary Data'!$A137,'Data entry'!$B$6:$B$200,{"Confirmed";"Probable"},'Data entry'!$AQ$6:$AQ$200,'Data Validation'!$V$7, 'Data entry'!$AP$6:$AP$200,'Data Validation'!$U$5, 'Data entry'!$BD$6:$BD$200,"&lt;&gt;*Negative*"))</f>
        <v>0</v>
      </c>
      <c r="BI137" s="15">
        <f>SUM(COUNTIFS('Data entry'!$R$6:$R$200,'Summary Data'!$A137,'Data entry'!$B$6:$B$200,{"Confirmed";"Probable"},'Data entry'!$AQ$6:$AQ$200,'Data Validation'!$V$7, 'Data entry'!$AP$6:$AP$200,'Data Validation'!$U$6, 'Data entry'!$BD$6:$BD$200,"&lt;&gt;*Negative*"))</f>
        <v>0</v>
      </c>
      <c r="BJ137" s="15">
        <f>SUM(COUNTIFS('Data entry'!$R$6:$R$200,'Summary Data'!$A137,'Data entry'!$B$6:$B$200,{"Confirmed";"Probable"},'Data entry'!$AQ$6:$AQ$200,'Data Validation'!$V$8, 'Data entry'!$AP$6:$AP$200,'Data Validation'!$U$2, 'Data entry'!$BD$6:$BD$200,"&lt;&gt;*Negative*"))</f>
        <v>0</v>
      </c>
      <c r="BK137" s="15">
        <f>SUM(COUNTIFS('Data entry'!$R$6:$R$200,'Summary Data'!$A137,'Data entry'!$B$6:$B$200,{"Confirmed";"Probable"},'Data entry'!$AQ$6:$AQ$200,'Data Validation'!$V$8, 'Data entry'!$AP$6:$AP$200,'Data Validation'!$U$3, 'Data entry'!$BD$6:$BD$200,"&lt;&gt;*Negative*"))</f>
        <v>0</v>
      </c>
      <c r="BL137" s="15">
        <f>SUM(COUNTIFS('Data entry'!$R$6:$R$200,'Summary Data'!$A137,'Data entry'!$B$6:$B$200,{"Confirmed";"Probable"},'Data entry'!$AQ$6:$AQ$200,'Data Validation'!$V$8, 'Data entry'!$AP$6:$AP$200,'Data Validation'!$U$4, 'Data entry'!$BD$6:$BD$200,"&lt;&gt;*Negative*"))</f>
        <v>0</v>
      </c>
      <c r="BM137" s="15">
        <f>SUM(COUNTIFS('Data entry'!$R$6:$R$200,'Summary Data'!$A137,'Data entry'!$B$6:$B$200,{"Confirmed";"Probable"},'Data entry'!$AQ$6:$AQ$200,'Data Validation'!$V$8, 'Data entry'!$AP$6:$AP$200,'Data Validation'!$U$5, 'Data entry'!$BD$6:$BD$200,"&lt;&gt;*Negative*"))</f>
        <v>0</v>
      </c>
      <c r="BN137" s="15">
        <f>SUM(COUNTIFS('Data entry'!$R$6:$R$200,'Summary Data'!$A137,'Data entry'!$B$6:$B$200,{"Confirmed";"Probable"},'Data entry'!$AQ$6:$AQ$200,'Data Validation'!$V$8, 'Data entry'!$AP$6:$AP$200,'Data Validation'!$U$6, 'Data entry'!$BD$6:$BD$200,"&lt;&gt;*Negative*"))</f>
        <v>0</v>
      </c>
      <c r="BO137" s="15">
        <f>SUM(COUNTIFS('Data entry'!$R$6:$R$200,'Summary Data'!$A137,'Data entry'!$B$6:$B$200,{"Confirmed";"Probable"},'Data entry'!$AQ$6:$AQ$200,'Data Validation'!$V$9, 'Data entry'!$AP$6:$AP$200,'Data Validation'!$U$2, 'Data entry'!$BD$6:$BD$200,"&lt;&gt;*Negative*"))</f>
        <v>0</v>
      </c>
      <c r="BP137" s="15">
        <f>SUM(COUNTIFS('Data entry'!$R$6:$R$200,'Summary Data'!$A137,'Data entry'!$B$6:$B$200,{"Confirmed";"Probable"},'Data entry'!$AQ$6:$AQ$200,'Data Validation'!$V$9, 'Data entry'!$AP$6:$AP$200,'Data Validation'!$U$3, 'Data entry'!$BD$6:$BD$200,"&lt;&gt;*Negative*"))</f>
        <v>0</v>
      </c>
      <c r="BQ137" s="15">
        <f>SUM(COUNTIFS('Data entry'!$R$6:$R$200,'Summary Data'!$A137,'Data entry'!$B$6:$B$200,{"Confirmed";"Probable"},'Data entry'!$AQ$6:$AQ$200,'Data Validation'!$V$9, 'Data entry'!$AP$6:$AP$200,'Data Validation'!$U$4, 'Data entry'!$BD$6:$BD$200,"&lt;&gt;*Negative*"))</f>
        <v>0</v>
      </c>
      <c r="BR137" s="15">
        <f>SUM(COUNTIFS('Data entry'!$R$6:$R$200,'Summary Data'!$A137,'Data entry'!$B$6:$B$200,{"Confirmed";"Probable"},'Data entry'!$AQ$6:$AQ$200,'Data Validation'!$V$9, 'Data entry'!$AP$6:$AP$200,'Data Validation'!$U$5, 'Data entry'!$BD$6:$BD$200,"&lt;&gt;*Negative*"))</f>
        <v>0</v>
      </c>
      <c r="BS137" s="15">
        <f>SUM(COUNTIFS('Data entry'!$R$6:$R$200,'Summary Data'!$A137,'Data entry'!$B$6:$B$200,{"Confirmed";"Probable"},'Data entry'!$AQ$6:$AQ$200,'Data Validation'!$V$9, 'Data entry'!$AP$6:$AP$200,'Data Validation'!$U$6, 'Data entry'!$BD$6:$BD$200,"&lt;&gt;*Negative*"))</f>
        <v>0</v>
      </c>
      <c r="BT137" s="15">
        <f>SUM(COUNTIFS('Data entry'!$R$6:$R$200,'Summary Data'!$A137,'Data entry'!$B$6:$B$200,{"Confirmed";"Probable"},'Data entry'!$AQ$6:$AQ$200,'Data Validation'!$V$10, 'Data entry'!$AP$6:$AP$200,'Data Validation'!$U$2, 'Data entry'!$BD$6:$BD$200,"&lt;&gt;*Negative*"))</f>
        <v>0</v>
      </c>
      <c r="BU137" s="15">
        <f>SUM(COUNTIFS('Data entry'!$R$6:$R$200,'Summary Data'!$A137,'Data entry'!$B$6:$B$200,{"Confirmed";"Probable"},'Data entry'!$AQ$6:$AQ$200,'Data Validation'!$V$10, 'Data entry'!$AP$6:$AP$200,'Data Validation'!$U$3, 'Data entry'!$BD$6:$BD$200,"&lt;&gt;*Negative*"))</f>
        <v>0</v>
      </c>
      <c r="BV137" s="15">
        <f>SUM(COUNTIFS('Data entry'!$R$6:$R$200,'Summary Data'!$A137,'Data entry'!$B$6:$B$200,{"Confirmed";"Probable"},'Data entry'!$AQ$6:$AQ$200,'Data Validation'!$V$10, 'Data entry'!$AP$6:$AP$200,'Data Validation'!$U$4, 'Data entry'!$BD$6:$BD$200,"&lt;&gt;*Negative*"))</f>
        <v>0</v>
      </c>
      <c r="BW137" s="15">
        <f>SUM(COUNTIFS('Data entry'!$R$6:$R$200,'Summary Data'!$A137,'Data entry'!$B$6:$B$200,{"Confirmed";"Probable"},'Data entry'!$AQ$6:$AQ$200,'Data Validation'!$V$10, 'Data entry'!$AP$6:$AP$200,'Data Validation'!$U$5, 'Data entry'!$BD$6:$BD$200,"&lt;&gt;*Negative*"))</f>
        <v>0</v>
      </c>
      <c r="BX137" s="15">
        <f>SUM(COUNTIFS('Data entry'!$R$6:$R$200,'Summary Data'!$A137,'Data entry'!$B$6:$B$200,{"Confirmed";"Probable"},'Data entry'!$AQ$6:$AQ$200,'Data Validation'!$V$10, 'Data entry'!$AP$6:$AP$200,'Data Validation'!$U$6, 'Data entry'!$BD$6:$BD$200,"&lt;&gt;*Negative*"))</f>
        <v>0</v>
      </c>
      <c r="BY137" s="15">
        <f>SUM(COUNTIFS('Data entry'!$R$6:$R$200,'Summary Data'!$A137,'Data entry'!$B$6:$B$200,{"Confirmed";"Probable"},'Data entry'!$AQ$6:$AQ$200,'Data Validation'!$V$11, 'Data entry'!$AP$6:$AP$200,'Data Validation'!$U$2, 'Data entry'!$BD$6:$BD$200,"&lt;&gt;*Negative*"))</f>
        <v>0</v>
      </c>
      <c r="BZ137" s="15">
        <f>SUM(COUNTIFS('Data entry'!$R$6:$R$200,'Summary Data'!$A137,'Data entry'!$B$6:$B$200,{"Confirmed";"Probable"},'Data entry'!$AQ$6:$AQ$200,'Data Validation'!$V$11, 'Data entry'!$AP$6:$AP$200,'Data Validation'!$U$3, 'Data entry'!$BD$6:$BD$200,"&lt;&gt;*Negative*"))</f>
        <v>0</v>
      </c>
      <c r="CA137" s="15">
        <f>SUM(COUNTIFS('Data entry'!$R$6:$R$200,'Summary Data'!$A137,'Data entry'!$B$6:$B$200,{"Confirmed";"Probable"},'Data entry'!$AQ$6:$AQ$200,'Data Validation'!$V$11, 'Data entry'!$AP$6:$AP$200,'Data Validation'!$U$4, 'Data entry'!$BD$6:$BD$200,"&lt;&gt;*Negative*"))</f>
        <v>0</v>
      </c>
      <c r="CB137" s="15">
        <f>SUM(COUNTIFS('Data entry'!$R$6:$R$200,'Summary Data'!$A137,'Data entry'!$B$6:$B$200,{"Confirmed";"Probable"},'Data entry'!$AQ$6:$AQ$200,'Data Validation'!$V$11, 'Data entry'!$AP$6:$AP$200,'Data Validation'!$U$5, 'Data entry'!$BD$6:$BD$200,"&lt;&gt;*Negative*"))</f>
        <v>0</v>
      </c>
      <c r="CC137" s="15">
        <f>SUM(COUNTIFS('Data entry'!$R$6:$R$200,'Summary Data'!$A137,'Data entry'!$B$6:$B$200,{"Confirmed";"Probable"},'Data entry'!$AQ$6:$AQ$200,'Data Validation'!$V$11, 'Data entry'!$AP$6:$AP$200,'Data Validation'!$U$6, 'Data entry'!$BD$6:$BD$200,"&lt;&gt;*Negative*"))</f>
        <v>0</v>
      </c>
    </row>
    <row r="138" spans="1:81" x14ac:dyDescent="0.25">
      <c r="A138" s="12">
        <f t="shared" si="9"/>
        <v>126</v>
      </c>
      <c r="B138" s="13">
        <f t="shared" si="6"/>
        <v>0</v>
      </c>
      <c r="C138" s="13">
        <f>COUNTIFS('Data entry'!$R$6:$R$200,$A138,'Data entry'!$B$6:$B$200,"Confirmed",'Data entry'!$BD$6:$BD$200,"&lt;&gt;*Negative*")</f>
        <v>0</v>
      </c>
      <c r="D138" s="13">
        <f>COUNTIFS('Data entry'!$R$6:$R$200,$A138,'Data entry'!$B$6:$B$200,"Probable",'Data entry'!$BD$6:$BD$200,"&lt;&gt;*Negative*")</f>
        <v>0</v>
      </c>
      <c r="E138" s="13">
        <f>COUNTIFS('Data entry'!$R$6:$R$200,$A138,'Data entry'!$B$6:$B$200,"DNM")</f>
        <v>0</v>
      </c>
      <c r="F138" s="13">
        <f>SUM(COUNTIFS('Data entry'!$R$6:$R$200,'Summary Data'!$A138,'Data entry'!$B$6:$B$200,{"Confirmed";"Probable"},'Data entry'!$AO$6:$AO$200,$F$10, 'Data entry'!$BD$6:$BD$200,"&lt;&gt;*Negative*"))</f>
        <v>0</v>
      </c>
      <c r="G138" s="13">
        <f>SUM(COUNTIFS('Data entry'!$R$6:$R$200,'Summary Data'!$A138,'Data entry'!$B$6:$B$200,{"Confirmed";"Probable"},'Data entry'!$AO$6:$AO$200,$G$10, 'Data entry'!$BD$6:$BD$200,"&lt;&gt;*Negative*"))</f>
        <v>0</v>
      </c>
      <c r="H138" s="13">
        <f>SUM(COUNTIFS('Data entry'!$R$6:$R$200,'Summary Data'!$A138,'Data entry'!$B$6:$B$200,{"Confirmed";"Probable"},'Data entry'!$AO$6:$AO$200,$H$10, 'Data entry'!$BD$6:$BD$200,"&lt;&gt;*Negative*"))</f>
        <v>0</v>
      </c>
      <c r="I138" s="13">
        <f>SUM(COUNTIFS('Data entry'!$R$6:$R$200,'Summary Data'!$A138,'Data entry'!$B$6:$B$200,{"Confirmed";"Probable"},'Data entry'!$AO$6:$AO$200,$I$10, 'Data entry'!$BD$6:$BD$200,"&lt;&gt;*Negative*"))</f>
        <v>0</v>
      </c>
      <c r="J138" s="13">
        <f>SUM(COUNTIFS('Data entry'!$R$6:$R$200,'Summary Data'!$A138,'Data entry'!$B$6:$B$200,{"Confirmed";"Probable"},'Data entry'!$AO$6:$AO$200,$J$10, 'Data entry'!$BD$6:$BD$200,"&lt;&gt;*Negative*"))</f>
        <v>0</v>
      </c>
      <c r="K138" s="13">
        <f>SUM(COUNTIFS('Data entry'!$R$6:$R$200,'Summary Data'!$A138,'Data entry'!$B$6:$B$200,{"Confirmed";"Probable"},'Data entry'!$AO$6:$AO$200,$K$10, 'Data entry'!$BD$6:$BD$200,"&lt;&gt;*Negative*"))</f>
        <v>0</v>
      </c>
      <c r="L138" s="13">
        <f>SUM(COUNTIFS('Data entry'!$R$6:$R$200,'Summary Data'!$A138,'Data entry'!$B$6:$B$200,{"Confirmed";"Probable"},'Data entry'!$AO$6:$AO$200,$L$10, 'Data entry'!$BD$6:$BD$200,"&lt;&gt;*Negative*"))</f>
        <v>0</v>
      </c>
      <c r="M138" s="13">
        <f>SUM(COUNTIFS('Data entry'!$R$6:$R$200,'Summary Data'!$A138,'Data entry'!$B$6:$B$200,{"Confirmed";"Probable"},'Data entry'!$AO$6:$AO$200,$M$10, 'Data entry'!$BD$6:$BD$200,"&lt;&gt;*Negative*"))</f>
        <v>0</v>
      </c>
      <c r="N138" s="13">
        <f>SUM(COUNTIFS('Data entry'!$R$6:$R$200,'Summary Data'!$A138,'Data entry'!$B$6:$B$200,{"Confirmed";"Probable"},'Data entry'!$AO$6:$AO$200,$N$10, 'Data entry'!$BD$6:$BD$200,"&lt;&gt;*Negative*"))</f>
        <v>0</v>
      </c>
      <c r="O138" s="15">
        <f t="shared" si="7"/>
        <v>0</v>
      </c>
      <c r="P138" s="15">
        <f t="shared" si="8"/>
        <v>0</v>
      </c>
      <c r="Q138" s="15">
        <f>SUM(COUNTIFS('Data entry'!$R$6:$R$200,'Summary Data'!$A138,'Data entry'!$B$6:$B$200,{"Confirmed";"Probable"},'Data entry'!$AP$6:$AP$200,'Data Validation'!$U$2, 'Data entry'!$BD$6:$BD$200,"&lt;&gt;*Negative*"))</f>
        <v>0</v>
      </c>
      <c r="R138" s="15">
        <f>SUM(COUNTIFS('Data entry'!$R$6:$R$200,'Summary Data'!$A138,'Data entry'!$B$6:$B$200,{"Confirmed";"Probable"},'Data entry'!$AP$6:$AP$200,'Data Validation'!$U$3, 'Data entry'!$BD$6:$BD$200,"&lt;&gt;*Negative*"))</f>
        <v>0</v>
      </c>
      <c r="S138" s="15">
        <f>SUM(COUNTIFS('Data entry'!$R$6:$R$200,'Summary Data'!$A138,'Data entry'!$B$6:$B$200,{"Confirmed";"Probable"},'Data entry'!$AP$6:$AP$200,'Data Validation'!$U$4, 'Data entry'!$BD$6:$BD$200,"&lt;&gt;*Negative*"))</f>
        <v>0</v>
      </c>
      <c r="T138" s="15">
        <f>SUM(COUNTIFS('Data entry'!$R$6:$R$200,'Summary Data'!$A138,'Data entry'!$B$6:$B$200,{"Confirmed";"Probable"},'Data entry'!$AP$6:$AP$200,'Data Validation'!$U$5, 'Data entry'!$BD$6:$BD$200,"&lt;&gt;*Negative*"))</f>
        <v>0</v>
      </c>
      <c r="U138" s="15">
        <f>SUM(COUNTIFS('Data entry'!$R$6:$R$200,'Summary Data'!$A138,'Data entry'!$B$6:$B$200,{"Confirmed";"Probable"},'Data entry'!$AP$6:$AP$200,'Data Validation'!$U$6, 'Data entry'!$BD$6:$BD$200,"&lt;&gt;*Negative*"))</f>
        <v>0</v>
      </c>
      <c r="V138" s="15">
        <f>SUM(COUNTIFS('Data entry'!$R$6:$R$200,'Summary Data'!$A138,'Data entry'!$B$6:$B$200,{"Confirmed";"Probable"},'Data entry'!$AQ$6:$AQ$200,'Data Validation'!$V$2, 'Data entry'!$BD$6:$BD$200,"&lt;&gt;*Negative*"))</f>
        <v>0</v>
      </c>
      <c r="W138" s="15">
        <f>SUM(COUNTIFS('Data entry'!$R$6:$R$200,'Summary Data'!$A138,'Data entry'!$B$6:$B$200,{"Confirmed";"Probable"},'Data entry'!$AQ$6:$AQ$200,'Data Validation'!$V$3, 'Data entry'!$BD$6:$BD$200,"&lt;&gt;*Negative*"))</f>
        <v>0</v>
      </c>
      <c r="X138" s="15">
        <f>SUM(COUNTIFS('Data entry'!$R$6:$R$200,'Summary Data'!$A138,'Data entry'!$B$6:$B$200,{"Confirmed";"Probable"},'Data entry'!$AQ$6:$AQ$200,'Data Validation'!$V$4, 'Data entry'!$BD$6:$BD$200,"&lt;&gt;*Negative*"))</f>
        <v>0</v>
      </c>
      <c r="Y138" s="15">
        <f>SUM(COUNTIFS('Data entry'!$R$6:$R$200,'Summary Data'!$A138,'Data entry'!$B$6:$B$200,{"Confirmed";"Probable"},'Data entry'!$AQ$6:$AQ$200,'Data Validation'!$V$5, 'Data entry'!$BD$6:$BD$200,"&lt;&gt;*Negative*"))</f>
        <v>0</v>
      </c>
      <c r="Z138" s="15">
        <f>SUM(COUNTIFS('Data entry'!$R$6:$R$200,'Summary Data'!$A138,'Data entry'!$B$6:$B$200,{"Confirmed";"Probable"},'Data entry'!$AQ$6:$AQ$200,'Data Validation'!$V$6, 'Data entry'!$BD$6:$BD$200,"&lt;&gt;*Negative*"))</f>
        <v>0</v>
      </c>
      <c r="AA138" s="15">
        <f>SUM(COUNTIFS('Data entry'!$R$6:$R$200,'Summary Data'!$A138,'Data entry'!$B$6:$B$200,{"Confirmed";"Probable"},'Data entry'!$AQ$6:$AQ$200,'Data Validation'!$V$7, 'Data entry'!$BD$6:$BD$200,"&lt;&gt;*Negative*"))</f>
        <v>0</v>
      </c>
      <c r="AB138" s="15">
        <f>SUM(COUNTIFS('Data entry'!$R$6:$R$200,'Summary Data'!$A138,'Data entry'!$B$6:$B$200,{"Confirmed";"Probable"},'Data entry'!$AQ$6:$AQ$200,'Data Validation'!$V$8, 'Data entry'!$BD$6:$BD$200,"&lt;&gt;*Negative*"))</f>
        <v>0</v>
      </c>
      <c r="AC138" s="15">
        <f>SUM(COUNTIFS('Data entry'!$R$6:$R$200,'Summary Data'!$A138,'Data entry'!$B$6:$B$200,{"Confirmed";"Probable"},'Data entry'!$AQ$6:$AQ$200,'Data Validation'!$V$9, 'Data entry'!$BD$6:$BD$200,"&lt;&gt;*Negative*"))</f>
        <v>0</v>
      </c>
      <c r="AD138" s="15">
        <f>SUM(COUNTIFS('Data entry'!$R$6:$R$200,'Summary Data'!$A138,'Data entry'!$B$6:$B$200,{"Confirmed";"Probable"},'Data entry'!$AQ$6:$AQ$200,'Data Validation'!$V$10, 'Data entry'!$BD$6:$BD$200,"&lt;&gt;*Negative*"))</f>
        <v>0</v>
      </c>
      <c r="AE138" s="15">
        <f>SUM(COUNTIFS('Data entry'!$R$6:$R$200,'Summary Data'!$A138,'Data entry'!$B$6:$B$200,{"Confirmed";"Probable"},'Data entry'!$AQ$6:$AQ$200,'Data Validation'!$V$11, 'Data entry'!$BD$6:$BD$200,"&lt;&gt;*Negative*"))</f>
        <v>0</v>
      </c>
      <c r="AF138" s="15">
        <f>SUM(COUNTIFS('Data entry'!$R$6:$R$200,'Summary Data'!$A138,'Data entry'!$B$6:$B$200,{"Confirmed";"Probable"},'Data entry'!$AQ$6:$AQ$200,'Data Validation'!$V$2, 'Data entry'!$AP$6:$AP$200,'Data Validation'!$U$2, 'Data entry'!$BD$6:$BD$200,"&lt;&gt;*Negative*"))</f>
        <v>0</v>
      </c>
      <c r="AG138" s="15">
        <f>SUM(COUNTIFS('Data entry'!$R$6:$R$200,'Summary Data'!$A138,'Data entry'!$B$6:$B$200,{"Confirmed";"Probable"},'Data entry'!$AQ$6:$AQ$200,'Data Validation'!$V$2, 'Data entry'!$AP$6:$AP$200,'Data Validation'!$U$3, 'Data entry'!$BD$6:$BD$200,"&lt;&gt;*Negative*"))</f>
        <v>0</v>
      </c>
      <c r="AH138" s="15">
        <f>SUM(COUNTIFS('Data entry'!$R$6:$R$200,'Summary Data'!$A138,'Data entry'!$B$6:$B$200,{"Confirmed";"Probable"},'Data entry'!$AQ$6:$AQ$200,'Data Validation'!$V$2, 'Data entry'!$AP$6:$AP$200,'Data Validation'!$U$4, 'Data entry'!$BD$6:$BD$200,"&lt;&gt;*Negative*"))</f>
        <v>0</v>
      </c>
      <c r="AI138" s="15">
        <f>SUM(COUNTIFS('Data entry'!$R$6:$R$200,'Summary Data'!$A138,'Data entry'!$B$6:$B$200,{"Confirmed";"Probable"},'Data entry'!$AQ$6:$AQ$200,'Data Validation'!$V$2, 'Data entry'!$AP$6:$AP$200,'Data Validation'!$U$5, 'Data entry'!$BD$6:$BD$200,"&lt;&gt;*Negative*"))</f>
        <v>0</v>
      </c>
      <c r="AJ138" s="15">
        <f>SUM(COUNTIFS('Data entry'!$R$6:$R$200,'Summary Data'!$A138,'Data entry'!$B$6:$B$200,{"Confirmed";"Probable"},'Data entry'!$AQ$6:$AQ$200,'Data Validation'!$V$2, 'Data entry'!$AP$6:$AP$200,'Data Validation'!$U$6, 'Data entry'!$BD$6:$BD$200,"&lt;&gt;*Negative*"))</f>
        <v>0</v>
      </c>
      <c r="AK138" s="15">
        <f>SUM(COUNTIFS('Data entry'!$R$6:$R$200,'Summary Data'!$A138,'Data entry'!$B$6:$B$200,{"Confirmed";"Probable"},'Data entry'!$AQ$6:$AQ$200,'Data Validation'!$V$3, 'Data entry'!$AP$6:$AP$200,'Data Validation'!$U$2, 'Data entry'!$BD$6:$BD$200,"&lt;&gt;*Negative*"))</f>
        <v>0</v>
      </c>
      <c r="AL138" s="15">
        <f>SUM(COUNTIFS('Data entry'!$R$6:$R$200,'Summary Data'!$A138,'Data entry'!$B$6:$B$200,{"Confirmed";"Probable"},'Data entry'!$AQ$6:$AQ$200,'Data Validation'!$V$3, 'Data entry'!$AP$6:$AP$200,'Data Validation'!$U$3, 'Data entry'!$BD$6:$BD$200,"&lt;&gt;*Negative*"))</f>
        <v>0</v>
      </c>
      <c r="AM138" s="15">
        <f>SUM(COUNTIFS('Data entry'!$R$6:$R$200,'Summary Data'!$A138,'Data entry'!$B$6:$B$200,{"Confirmed";"Probable"},'Data entry'!$AQ$6:$AQ$200,'Data Validation'!$V$3, 'Data entry'!$AP$6:$AP$200,'Data Validation'!$U$4, 'Data entry'!$BD$6:$BD$200,"&lt;&gt;*Negative*"))</f>
        <v>0</v>
      </c>
      <c r="AN138" s="15">
        <f>SUM(COUNTIFS('Data entry'!$R$6:$R$200,'Summary Data'!$A138,'Data entry'!$B$6:$B$200,{"Confirmed";"Probable"},'Data entry'!$AQ$6:$AQ$200,'Data Validation'!$V$3, 'Data entry'!$AP$6:$AP$200,'Data Validation'!$U$5, 'Data entry'!$BD$6:$BD$200,"&lt;&gt;*Negative*"))</f>
        <v>0</v>
      </c>
      <c r="AO138" s="15">
        <f>SUM(COUNTIFS('Data entry'!$R$6:$R$200,'Summary Data'!$A138,'Data entry'!$B$6:$B$200,{"Confirmed";"Probable"},'Data entry'!$AQ$6:$AQ$200,'Data Validation'!$V$3, 'Data entry'!$AP$6:$AP$200,'Data Validation'!$U$6, 'Data entry'!$BD$6:$BD$200,"&lt;&gt;*Negative*"))</f>
        <v>0</v>
      </c>
      <c r="AP138" s="15">
        <f>SUM(COUNTIFS('Data entry'!$R$6:$R$200,'Summary Data'!$A138,'Data entry'!$B$6:$B$200,{"Confirmed";"Probable"},'Data entry'!$AQ$6:$AQ$200,'Data Validation'!$V$4, 'Data entry'!$AP$6:$AP$200,'Data Validation'!$U$2, 'Data entry'!$BD$6:$BD$200,"&lt;&gt;*Negative*"))</f>
        <v>0</v>
      </c>
      <c r="AQ138" s="15">
        <f>SUM(COUNTIFS('Data entry'!$R$6:$R$200,'Summary Data'!$A138,'Data entry'!$B$6:$B$200,{"Confirmed";"Probable"},'Data entry'!$AQ$6:$AQ$200,'Data Validation'!$V$4, 'Data entry'!$AP$6:$AP$200,'Data Validation'!$U$3, 'Data entry'!$BD$6:$BD$200,"&lt;&gt;*Negative*"))</f>
        <v>0</v>
      </c>
      <c r="AR138" s="15">
        <f>SUM(COUNTIFS('Data entry'!$R$6:$R$200,'Summary Data'!$A138,'Data entry'!$B$6:$B$200,{"Confirmed";"Probable"},'Data entry'!$AQ$6:$AQ$200,'Data Validation'!$V$4, 'Data entry'!$AP$6:$AP$200,'Data Validation'!$U$4, 'Data entry'!$BD$6:$BD$200,"&lt;&gt;*Negative*"))</f>
        <v>0</v>
      </c>
      <c r="AS138" s="15">
        <f>SUM(COUNTIFS('Data entry'!$R$6:$R$200,'Summary Data'!$A138,'Data entry'!$B$6:$B$200,{"Confirmed";"Probable"},'Data entry'!$AQ$6:$AQ$200,'Data Validation'!$V$4, 'Data entry'!$AP$6:$AP$200,'Data Validation'!$U$5, 'Data entry'!$BD$6:$BD$200,"&lt;&gt;*Negative*"))</f>
        <v>0</v>
      </c>
      <c r="AT138" s="15">
        <f>SUM(COUNTIFS('Data entry'!$R$6:$R$200,'Summary Data'!$A138,'Data entry'!$B$6:$B$200,{"Confirmed";"Probable"},'Data entry'!$AQ$6:$AQ$200,'Data Validation'!$V$4, 'Data entry'!$AP$6:$AP$200,'Data Validation'!$U$6, 'Data entry'!$BD$6:$BD$200,"&lt;&gt;*Negative*"))</f>
        <v>0</v>
      </c>
      <c r="AU138" s="15">
        <f>SUM(COUNTIFS('Data entry'!$R$6:$R$200,'Summary Data'!$A138,'Data entry'!$B$6:$B$200,{"Confirmed";"Probable"},'Data entry'!$AQ$6:$AQ$200,'Data Validation'!$V$5, 'Data entry'!$AP$6:$AP$200,'Data Validation'!$U$2, 'Data entry'!$BD$6:$BD$200,"&lt;&gt;*Negative*"))</f>
        <v>0</v>
      </c>
      <c r="AV138" s="15">
        <f>SUM(COUNTIFS('Data entry'!$R$6:$R$200,'Summary Data'!$A138,'Data entry'!$B$6:$B$200,{"Confirmed";"Probable"},'Data entry'!$AQ$6:$AQ$200,'Data Validation'!$V$5, 'Data entry'!$AP$6:$AP$200,'Data Validation'!$U$3, 'Data entry'!$BD$6:$BD$200,"&lt;&gt;*Negative*"))</f>
        <v>0</v>
      </c>
      <c r="AW138" s="15">
        <f>SUM(COUNTIFS('Data entry'!$R$6:$R$200,'Summary Data'!$A138,'Data entry'!$B$6:$B$200,{"Confirmed";"Probable"},'Data entry'!$AQ$6:$AQ$200,'Data Validation'!$V$5, 'Data entry'!$AP$6:$AP$200,'Data Validation'!$U$4, 'Data entry'!$BD$6:$BD$200,"&lt;&gt;*Negative*"))</f>
        <v>0</v>
      </c>
      <c r="AX138" s="15">
        <f>SUM(COUNTIFS('Data entry'!$R$6:$R$200,'Summary Data'!$A138,'Data entry'!$B$6:$B$200,{"Confirmed";"Probable"},'Data entry'!$AQ$6:$AQ$200,'Data Validation'!$V$5, 'Data entry'!$AP$6:$AP$200,'Data Validation'!$U$5, 'Data entry'!$BD$6:$BD$200,"&lt;&gt;*Negative*"))</f>
        <v>0</v>
      </c>
      <c r="AY138" s="15">
        <f>SUM(COUNTIFS('Data entry'!$R$6:$R$200,'Summary Data'!$A138,'Data entry'!$B$6:$B$200,{"Confirmed";"Probable"},'Data entry'!$AQ$6:$AQ$200,'Data Validation'!$V$5, 'Data entry'!$AP$6:$AP$200,'Data Validation'!$U$6, 'Data entry'!$BD$6:$BD$200,"&lt;&gt;*Negative*"))</f>
        <v>0</v>
      </c>
      <c r="AZ138" s="15">
        <f>SUM(COUNTIFS('Data entry'!$R$6:$R$200,'Summary Data'!$A138,'Data entry'!$B$6:$B$200,{"Confirmed";"Probable"},'Data entry'!$AQ$6:$AQ$200,'Data Validation'!$V$6, 'Data entry'!$AP$6:$AP$200,'Data Validation'!$U$2, 'Data entry'!$BD$6:$BD$200,"&lt;&gt;*Negative*"))</f>
        <v>0</v>
      </c>
      <c r="BA138" s="15">
        <f>SUM(COUNTIFS('Data entry'!$R$6:$R$200,'Summary Data'!$A138,'Data entry'!$B$6:$B$200,{"Confirmed";"Probable"},'Data entry'!$AQ$6:$AQ$200,'Data Validation'!$V$6, 'Data entry'!$AP$6:$AP$200,'Data Validation'!$U$3, 'Data entry'!$BD$6:$BD$200,"&lt;&gt;*Negative*"))</f>
        <v>0</v>
      </c>
      <c r="BB138" s="15">
        <f>SUM(COUNTIFS('Data entry'!$R$6:$R$200,'Summary Data'!$A138,'Data entry'!$B$6:$B$200,{"Confirmed";"Probable"},'Data entry'!$AQ$6:$AQ$200,'Data Validation'!$V$6, 'Data entry'!$AP$6:$AP$200,'Data Validation'!$U$4, 'Data entry'!$BD$6:$BD$200,"&lt;&gt;*Negative*"))</f>
        <v>0</v>
      </c>
      <c r="BC138" s="15">
        <f>SUM(COUNTIFS('Data entry'!$R$6:$R$200,'Summary Data'!$A138,'Data entry'!$B$6:$B$200,{"Confirmed";"Probable"},'Data entry'!$AQ$6:$AQ$200,'Data Validation'!$V$6, 'Data entry'!$AP$6:$AP$200,'Data Validation'!$U$5, 'Data entry'!$BD$6:$BD$200,"&lt;&gt;*Negative*"))</f>
        <v>0</v>
      </c>
      <c r="BD138" s="15">
        <f>SUM(COUNTIFS('Data entry'!$R$6:$R$200,'Summary Data'!$A138,'Data entry'!$B$6:$B$200,{"Confirmed";"Probable"},'Data entry'!$AQ$6:$AQ$200,'Data Validation'!$V$6, 'Data entry'!$AP$6:$AP$200,'Data Validation'!$U$6, 'Data entry'!$BD$6:$BD$200,"&lt;&gt;*Negative*"))</f>
        <v>0</v>
      </c>
      <c r="BE138" s="15">
        <f>SUM(COUNTIFS('Data entry'!$R$6:$R$200,'Summary Data'!$A138,'Data entry'!$B$6:$B$200,{"Confirmed";"Probable"},'Data entry'!$AQ$6:$AQ$200,'Data Validation'!$V$7, 'Data entry'!$AP$6:$AP$200,'Data Validation'!$U$2, 'Data entry'!$BD$6:$BD$200,"&lt;&gt;*Negative*"))</f>
        <v>0</v>
      </c>
      <c r="BF138" s="15">
        <f>SUM(COUNTIFS('Data entry'!$R$6:$R$200,'Summary Data'!$A138,'Data entry'!$B$6:$B$200,{"Confirmed";"Probable"},'Data entry'!$AQ$6:$AQ$200,'Data Validation'!$V$7, 'Data entry'!$AP$6:$AP$200,'Data Validation'!$U$3, 'Data entry'!$BD$6:$BD$200,"&lt;&gt;*Negative*"))</f>
        <v>0</v>
      </c>
      <c r="BG138" s="15">
        <f>SUM(COUNTIFS('Data entry'!$R$6:$R$200,'Summary Data'!$A138,'Data entry'!$B$6:$B$200,{"Confirmed";"Probable"},'Data entry'!$AQ$6:$AQ$200,'Data Validation'!$V$7, 'Data entry'!$AP$6:$AP$200,'Data Validation'!$U$4, 'Data entry'!$BD$6:$BD$200,"&lt;&gt;*Negative*"))</f>
        <v>0</v>
      </c>
      <c r="BH138" s="15">
        <f>SUM(COUNTIFS('Data entry'!$R$6:$R$200,'Summary Data'!$A138,'Data entry'!$B$6:$B$200,{"Confirmed";"Probable"},'Data entry'!$AQ$6:$AQ$200,'Data Validation'!$V$7, 'Data entry'!$AP$6:$AP$200,'Data Validation'!$U$5, 'Data entry'!$BD$6:$BD$200,"&lt;&gt;*Negative*"))</f>
        <v>0</v>
      </c>
      <c r="BI138" s="15">
        <f>SUM(COUNTIFS('Data entry'!$R$6:$R$200,'Summary Data'!$A138,'Data entry'!$B$6:$B$200,{"Confirmed";"Probable"},'Data entry'!$AQ$6:$AQ$200,'Data Validation'!$V$7, 'Data entry'!$AP$6:$AP$200,'Data Validation'!$U$6, 'Data entry'!$BD$6:$BD$200,"&lt;&gt;*Negative*"))</f>
        <v>0</v>
      </c>
      <c r="BJ138" s="15">
        <f>SUM(COUNTIFS('Data entry'!$R$6:$R$200,'Summary Data'!$A138,'Data entry'!$B$6:$B$200,{"Confirmed";"Probable"},'Data entry'!$AQ$6:$AQ$200,'Data Validation'!$V$8, 'Data entry'!$AP$6:$AP$200,'Data Validation'!$U$2, 'Data entry'!$BD$6:$BD$200,"&lt;&gt;*Negative*"))</f>
        <v>0</v>
      </c>
      <c r="BK138" s="15">
        <f>SUM(COUNTIFS('Data entry'!$R$6:$R$200,'Summary Data'!$A138,'Data entry'!$B$6:$B$200,{"Confirmed";"Probable"},'Data entry'!$AQ$6:$AQ$200,'Data Validation'!$V$8, 'Data entry'!$AP$6:$AP$200,'Data Validation'!$U$3, 'Data entry'!$BD$6:$BD$200,"&lt;&gt;*Negative*"))</f>
        <v>0</v>
      </c>
      <c r="BL138" s="15">
        <f>SUM(COUNTIFS('Data entry'!$R$6:$R$200,'Summary Data'!$A138,'Data entry'!$B$6:$B$200,{"Confirmed";"Probable"},'Data entry'!$AQ$6:$AQ$200,'Data Validation'!$V$8, 'Data entry'!$AP$6:$AP$200,'Data Validation'!$U$4, 'Data entry'!$BD$6:$BD$200,"&lt;&gt;*Negative*"))</f>
        <v>0</v>
      </c>
      <c r="BM138" s="15">
        <f>SUM(COUNTIFS('Data entry'!$R$6:$R$200,'Summary Data'!$A138,'Data entry'!$B$6:$B$200,{"Confirmed";"Probable"},'Data entry'!$AQ$6:$AQ$200,'Data Validation'!$V$8, 'Data entry'!$AP$6:$AP$200,'Data Validation'!$U$5, 'Data entry'!$BD$6:$BD$200,"&lt;&gt;*Negative*"))</f>
        <v>0</v>
      </c>
      <c r="BN138" s="15">
        <f>SUM(COUNTIFS('Data entry'!$R$6:$R$200,'Summary Data'!$A138,'Data entry'!$B$6:$B$200,{"Confirmed";"Probable"},'Data entry'!$AQ$6:$AQ$200,'Data Validation'!$V$8, 'Data entry'!$AP$6:$AP$200,'Data Validation'!$U$6, 'Data entry'!$BD$6:$BD$200,"&lt;&gt;*Negative*"))</f>
        <v>0</v>
      </c>
      <c r="BO138" s="15">
        <f>SUM(COUNTIFS('Data entry'!$R$6:$R$200,'Summary Data'!$A138,'Data entry'!$B$6:$B$200,{"Confirmed";"Probable"},'Data entry'!$AQ$6:$AQ$200,'Data Validation'!$V$9, 'Data entry'!$AP$6:$AP$200,'Data Validation'!$U$2, 'Data entry'!$BD$6:$BD$200,"&lt;&gt;*Negative*"))</f>
        <v>0</v>
      </c>
      <c r="BP138" s="15">
        <f>SUM(COUNTIFS('Data entry'!$R$6:$R$200,'Summary Data'!$A138,'Data entry'!$B$6:$B$200,{"Confirmed";"Probable"},'Data entry'!$AQ$6:$AQ$200,'Data Validation'!$V$9, 'Data entry'!$AP$6:$AP$200,'Data Validation'!$U$3, 'Data entry'!$BD$6:$BD$200,"&lt;&gt;*Negative*"))</f>
        <v>0</v>
      </c>
      <c r="BQ138" s="15">
        <f>SUM(COUNTIFS('Data entry'!$R$6:$R$200,'Summary Data'!$A138,'Data entry'!$B$6:$B$200,{"Confirmed";"Probable"},'Data entry'!$AQ$6:$AQ$200,'Data Validation'!$V$9, 'Data entry'!$AP$6:$AP$200,'Data Validation'!$U$4, 'Data entry'!$BD$6:$BD$200,"&lt;&gt;*Negative*"))</f>
        <v>0</v>
      </c>
      <c r="BR138" s="15">
        <f>SUM(COUNTIFS('Data entry'!$R$6:$R$200,'Summary Data'!$A138,'Data entry'!$B$6:$B$200,{"Confirmed";"Probable"},'Data entry'!$AQ$6:$AQ$200,'Data Validation'!$V$9, 'Data entry'!$AP$6:$AP$200,'Data Validation'!$U$5, 'Data entry'!$BD$6:$BD$200,"&lt;&gt;*Negative*"))</f>
        <v>0</v>
      </c>
      <c r="BS138" s="15">
        <f>SUM(COUNTIFS('Data entry'!$R$6:$R$200,'Summary Data'!$A138,'Data entry'!$B$6:$B$200,{"Confirmed";"Probable"},'Data entry'!$AQ$6:$AQ$200,'Data Validation'!$V$9, 'Data entry'!$AP$6:$AP$200,'Data Validation'!$U$6, 'Data entry'!$BD$6:$BD$200,"&lt;&gt;*Negative*"))</f>
        <v>0</v>
      </c>
      <c r="BT138" s="15">
        <f>SUM(COUNTIFS('Data entry'!$R$6:$R$200,'Summary Data'!$A138,'Data entry'!$B$6:$B$200,{"Confirmed";"Probable"},'Data entry'!$AQ$6:$AQ$200,'Data Validation'!$V$10, 'Data entry'!$AP$6:$AP$200,'Data Validation'!$U$2, 'Data entry'!$BD$6:$BD$200,"&lt;&gt;*Negative*"))</f>
        <v>0</v>
      </c>
      <c r="BU138" s="15">
        <f>SUM(COUNTIFS('Data entry'!$R$6:$R$200,'Summary Data'!$A138,'Data entry'!$B$6:$B$200,{"Confirmed";"Probable"},'Data entry'!$AQ$6:$AQ$200,'Data Validation'!$V$10, 'Data entry'!$AP$6:$AP$200,'Data Validation'!$U$3, 'Data entry'!$BD$6:$BD$200,"&lt;&gt;*Negative*"))</f>
        <v>0</v>
      </c>
      <c r="BV138" s="15">
        <f>SUM(COUNTIFS('Data entry'!$R$6:$R$200,'Summary Data'!$A138,'Data entry'!$B$6:$B$200,{"Confirmed";"Probable"},'Data entry'!$AQ$6:$AQ$200,'Data Validation'!$V$10, 'Data entry'!$AP$6:$AP$200,'Data Validation'!$U$4, 'Data entry'!$BD$6:$BD$200,"&lt;&gt;*Negative*"))</f>
        <v>0</v>
      </c>
      <c r="BW138" s="15">
        <f>SUM(COUNTIFS('Data entry'!$R$6:$R$200,'Summary Data'!$A138,'Data entry'!$B$6:$B$200,{"Confirmed";"Probable"},'Data entry'!$AQ$6:$AQ$200,'Data Validation'!$V$10, 'Data entry'!$AP$6:$AP$200,'Data Validation'!$U$5, 'Data entry'!$BD$6:$BD$200,"&lt;&gt;*Negative*"))</f>
        <v>0</v>
      </c>
      <c r="BX138" s="15">
        <f>SUM(COUNTIFS('Data entry'!$R$6:$R$200,'Summary Data'!$A138,'Data entry'!$B$6:$B$200,{"Confirmed";"Probable"},'Data entry'!$AQ$6:$AQ$200,'Data Validation'!$V$10, 'Data entry'!$AP$6:$AP$200,'Data Validation'!$U$6, 'Data entry'!$BD$6:$BD$200,"&lt;&gt;*Negative*"))</f>
        <v>0</v>
      </c>
      <c r="BY138" s="15">
        <f>SUM(COUNTIFS('Data entry'!$R$6:$R$200,'Summary Data'!$A138,'Data entry'!$B$6:$B$200,{"Confirmed";"Probable"},'Data entry'!$AQ$6:$AQ$200,'Data Validation'!$V$11, 'Data entry'!$AP$6:$AP$200,'Data Validation'!$U$2, 'Data entry'!$BD$6:$BD$200,"&lt;&gt;*Negative*"))</f>
        <v>0</v>
      </c>
      <c r="BZ138" s="15">
        <f>SUM(COUNTIFS('Data entry'!$R$6:$R$200,'Summary Data'!$A138,'Data entry'!$B$6:$B$200,{"Confirmed";"Probable"},'Data entry'!$AQ$6:$AQ$200,'Data Validation'!$V$11, 'Data entry'!$AP$6:$AP$200,'Data Validation'!$U$3, 'Data entry'!$BD$6:$BD$200,"&lt;&gt;*Negative*"))</f>
        <v>0</v>
      </c>
      <c r="CA138" s="15">
        <f>SUM(COUNTIFS('Data entry'!$R$6:$R$200,'Summary Data'!$A138,'Data entry'!$B$6:$B$200,{"Confirmed";"Probable"},'Data entry'!$AQ$6:$AQ$200,'Data Validation'!$V$11, 'Data entry'!$AP$6:$AP$200,'Data Validation'!$U$4, 'Data entry'!$BD$6:$BD$200,"&lt;&gt;*Negative*"))</f>
        <v>0</v>
      </c>
      <c r="CB138" s="15">
        <f>SUM(COUNTIFS('Data entry'!$R$6:$R$200,'Summary Data'!$A138,'Data entry'!$B$6:$B$200,{"Confirmed";"Probable"},'Data entry'!$AQ$6:$AQ$200,'Data Validation'!$V$11, 'Data entry'!$AP$6:$AP$200,'Data Validation'!$U$5, 'Data entry'!$BD$6:$BD$200,"&lt;&gt;*Negative*"))</f>
        <v>0</v>
      </c>
      <c r="CC138" s="15">
        <f>SUM(COUNTIFS('Data entry'!$R$6:$R$200,'Summary Data'!$A138,'Data entry'!$B$6:$B$200,{"Confirmed";"Probable"},'Data entry'!$AQ$6:$AQ$200,'Data Validation'!$V$11, 'Data entry'!$AP$6:$AP$200,'Data Validation'!$U$6, 'Data entry'!$BD$6:$BD$200,"&lt;&gt;*Negative*"))</f>
        <v>0</v>
      </c>
    </row>
    <row r="139" spans="1:81" x14ac:dyDescent="0.25">
      <c r="A139" s="12">
        <f t="shared" si="9"/>
        <v>127</v>
      </c>
      <c r="B139" s="13">
        <f t="shared" si="6"/>
        <v>0</v>
      </c>
      <c r="C139" s="13">
        <f>COUNTIFS('Data entry'!$R$6:$R$200,$A139,'Data entry'!$B$6:$B$200,"Confirmed",'Data entry'!$BD$6:$BD$200,"&lt;&gt;*Negative*")</f>
        <v>0</v>
      </c>
      <c r="D139" s="13">
        <f>COUNTIFS('Data entry'!$R$6:$R$200,$A139,'Data entry'!$B$6:$B$200,"Probable",'Data entry'!$BD$6:$BD$200,"&lt;&gt;*Negative*")</f>
        <v>0</v>
      </c>
      <c r="E139" s="13">
        <f>COUNTIFS('Data entry'!$R$6:$R$200,$A139,'Data entry'!$B$6:$B$200,"DNM")</f>
        <v>0</v>
      </c>
      <c r="F139" s="13">
        <f>SUM(COUNTIFS('Data entry'!$R$6:$R$200,'Summary Data'!$A139,'Data entry'!$B$6:$B$200,{"Confirmed";"Probable"},'Data entry'!$AO$6:$AO$200,$F$10, 'Data entry'!$BD$6:$BD$200,"&lt;&gt;*Negative*"))</f>
        <v>0</v>
      </c>
      <c r="G139" s="13">
        <f>SUM(COUNTIFS('Data entry'!$R$6:$R$200,'Summary Data'!$A139,'Data entry'!$B$6:$B$200,{"Confirmed";"Probable"},'Data entry'!$AO$6:$AO$200,$G$10, 'Data entry'!$BD$6:$BD$200,"&lt;&gt;*Negative*"))</f>
        <v>0</v>
      </c>
      <c r="H139" s="13">
        <f>SUM(COUNTIFS('Data entry'!$R$6:$R$200,'Summary Data'!$A139,'Data entry'!$B$6:$B$200,{"Confirmed";"Probable"},'Data entry'!$AO$6:$AO$200,$H$10, 'Data entry'!$BD$6:$BD$200,"&lt;&gt;*Negative*"))</f>
        <v>0</v>
      </c>
      <c r="I139" s="13">
        <f>SUM(COUNTIFS('Data entry'!$R$6:$R$200,'Summary Data'!$A139,'Data entry'!$B$6:$B$200,{"Confirmed";"Probable"},'Data entry'!$AO$6:$AO$200,$I$10, 'Data entry'!$BD$6:$BD$200,"&lt;&gt;*Negative*"))</f>
        <v>0</v>
      </c>
      <c r="J139" s="13">
        <f>SUM(COUNTIFS('Data entry'!$R$6:$R$200,'Summary Data'!$A139,'Data entry'!$B$6:$B$200,{"Confirmed";"Probable"},'Data entry'!$AO$6:$AO$200,$J$10, 'Data entry'!$BD$6:$BD$200,"&lt;&gt;*Negative*"))</f>
        <v>0</v>
      </c>
      <c r="K139" s="13">
        <f>SUM(COUNTIFS('Data entry'!$R$6:$R$200,'Summary Data'!$A139,'Data entry'!$B$6:$B$200,{"Confirmed";"Probable"},'Data entry'!$AO$6:$AO$200,$K$10, 'Data entry'!$BD$6:$BD$200,"&lt;&gt;*Negative*"))</f>
        <v>0</v>
      </c>
      <c r="L139" s="13">
        <f>SUM(COUNTIFS('Data entry'!$R$6:$R$200,'Summary Data'!$A139,'Data entry'!$B$6:$B$200,{"Confirmed";"Probable"},'Data entry'!$AO$6:$AO$200,$L$10, 'Data entry'!$BD$6:$BD$200,"&lt;&gt;*Negative*"))</f>
        <v>0</v>
      </c>
      <c r="M139" s="13">
        <f>SUM(COUNTIFS('Data entry'!$R$6:$R$200,'Summary Data'!$A139,'Data entry'!$B$6:$B$200,{"Confirmed";"Probable"},'Data entry'!$AO$6:$AO$200,$M$10, 'Data entry'!$BD$6:$BD$200,"&lt;&gt;*Negative*"))</f>
        <v>0</v>
      </c>
      <c r="N139" s="13">
        <f>SUM(COUNTIFS('Data entry'!$R$6:$R$200,'Summary Data'!$A139,'Data entry'!$B$6:$B$200,{"Confirmed";"Probable"},'Data entry'!$AO$6:$AO$200,$N$10, 'Data entry'!$BD$6:$BD$200,"&lt;&gt;*Negative*"))</f>
        <v>0</v>
      </c>
      <c r="O139" s="15">
        <f t="shared" si="7"/>
        <v>0</v>
      </c>
      <c r="P139" s="15">
        <f t="shared" si="8"/>
        <v>0</v>
      </c>
      <c r="Q139" s="15">
        <f>SUM(COUNTIFS('Data entry'!$R$6:$R$200,'Summary Data'!$A139,'Data entry'!$B$6:$B$200,{"Confirmed";"Probable"},'Data entry'!$AP$6:$AP$200,'Data Validation'!$U$2, 'Data entry'!$BD$6:$BD$200,"&lt;&gt;*Negative*"))</f>
        <v>0</v>
      </c>
      <c r="R139" s="15">
        <f>SUM(COUNTIFS('Data entry'!$R$6:$R$200,'Summary Data'!$A139,'Data entry'!$B$6:$B$200,{"Confirmed";"Probable"},'Data entry'!$AP$6:$AP$200,'Data Validation'!$U$3, 'Data entry'!$BD$6:$BD$200,"&lt;&gt;*Negative*"))</f>
        <v>0</v>
      </c>
      <c r="S139" s="15">
        <f>SUM(COUNTIFS('Data entry'!$R$6:$R$200,'Summary Data'!$A139,'Data entry'!$B$6:$B$200,{"Confirmed";"Probable"},'Data entry'!$AP$6:$AP$200,'Data Validation'!$U$4, 'Data entry'!$BD$6:$BD$200,"&lt;&gt;*Negative*"))</f>
        <v>0</v>
      </c>
      <c r="T139" s="15">
        <f>SUM(COUNTIFS('Data entry'!$R$6:$R$200,'Summary Data'!$A139,'Data entry'!$B$6:$B$200,{"Confirmed";"Probable"},'Data entry'!$AP$6:$AP$200,'Data Validation'!$U$5, 'Data entry'!$BD$6:$BD$200,"&lt;&gt;*Negative*"))</f>
        <v>0</v>
      </c>
      <c r="U139" s="15">
        <f>SUM(COUNTIFS('Data entry'!$R$6:$R$200,'Summary Data'!$A139,'Data entry'!$B$6:$B$200,{"Confirmed";"Probable"},'Data entry'!$AP$6:$AP$200,'Data Validation'!$U$6, 'Data entry'!$BD$6:$BD$200,"&lt;&gt;*Negative*"))</f>
        <v>0</v>
      </c>
      <c r="V139" s="15">
        <f>SUM(COUNTIFS('Data entry'!$R$6:$R$200,'Summary Data'!$A139,'Data entry'!$B$6:$B$200,{"Confirmed";"Probable"},'Data entry'!$AQ$6:$AQ$200,'Data Validation'!$V$2, 'Data entry'!$BD$6:$BD$200,"&lt;&gt;*Negative*"))</f>
        <v>0</v>
      </c>
      <c r="W139" s="15">
        <f>SUM(COUNTIFS('Data entry'!$R$6:$R$200,'Summary Data'!$A139,'Data entry'!$B$6:$B$200,{"Confirmed";"Probable"},'Data entry'!$AQ$6:$AQ$200,'Data Validation'!$V$3, 'Data entry'!$BD$6:$BD$200,"&lt;&gt;*Negative*"))</f>
        <v>0</v>
      </c>
      <c r="X139" s="15">
        <f>SUM(COUNTIFS('Data entry'!$R$6:$R$200,'Summary Data'!$A139,'Data entry'!$B$6:$B$200,{"Confirmed";"Probable"},'Data entry'!$AQ$6:$AQ$200,'Data Validation'!$V$4, 'Data entry'!$BD$6:$BD$200,"&lt;&gt;*Negative*"))</f>
        <v>0</v>
      </c>
      <c r="Y139" s="15">
        <f>SUM(COUNTIFS('Data entry'!$R$6:$R$200,'Summary Data'!$A139,'Data entry'!$B$6:$B$200,{"Confirmed";"Probable"},'Data entry'!$AQ$6:$AQ$200,'Data Validation'!$V$5, 'Data entry'!$BD$6:$BD$200,"&lt;&gt;*Negative*"))</f>
        <v>0</v>
      </c>
      <c r="Z139" s="15">
        <f>SUM(COUNTIFS('Data entry'!$R$6:$R$200,'Summary Data'!$A139,'Data entry'!$B$6:$B$200,{"Confirmed";"Probable"},'Data entry'!$AQ$6:$AQ$200,'Data Validation'!$V$6, 'Data entry'!$BD$6:$BD$200,"&lt;&gt;*Negative*"))</f>
        <v>0</v>
      </c>
      <c r="AA139" s="15">
        <f>SUM(COUNTIFS('Data entry'!$R$6:$R$200,'Summary Data'!$A139,'Data entry'!$B$6:$B$200,{"Confirmed";"Probable"},'Data entry'!$AQ$6:$AQ$200,'Data Validation'!$V$7, 'Data entry'!$BD$6:$BD$200,"&lt;&gt;*Negative*"))</f>
        <v>0</v>
      </c>
      <c r="AB139" s="15">
        <f>SUM(COUNTIFS('Data entry'!$R$6:$R$200,'Summary Data'!$A139,'Data entry'!$B$6:$B$200,{"Confirmed";"Probable"},'Data entry'!$AQ$6:$AQ$200,'Data Validation'!$V$8, 'Data entry'!$BD$6:$BD$200,"&lt;&gt;*Negative*"))</f>
        <v>0</v>
      </c>
      <c r="AC139" s="15">
        <f>SUM(COUNTIFS('Data entry'!$R$6:$R$200,'Summary Data'!$A139,'Data entry'!$B$6:$B$200,{"Confirmed";"Probable"},'Data entry'!$AQ$6:$AQ$200,'Data Validation'!$V$9, 'Data entry'!$BD$6:$BD$200,"&lt;&gt;*Negative*"))</f>
        <v>0</v>
      </c>
      <c r="AD139" s="15">
        <f>SUM(COUNTIFS('Data entry'!$R$6:$R$200,'Summary Data'!$A139,'Data entry'!$B$6:$B$200,{"Confirmed";"Probable"},'Data entry'!$AQ$6:$AQ$200,'Data Validation'!$V$10, 'Data entry'!$BD$6:$BD$200,"&lt;&gt;*Negative*"))</f>
        <v>0</v>
      </c>
      <c r="AE139" s="15">
        <f>SUM(COUNTIFS('Data entry'!$R$6:$R$200,'Summary Data'!$A139,'Data entry'!$B$6:$B$200,{"Confirmed";"Probable"},'Data entry'!$AQ$6:$AQ$200,'Data Validation'!$V$11, 'Data entry'!$BD$6:$BD$200,"&lt;&gt;*Negative*"))</f>
        <v>0</v>
      </c>
      <c r="AF139" s="15">
        <f>SUM(COUNTIFS('Data entry'!$R$6:$R$200,'Summary Data'!$A139,'Data entry'!$B$6:$B$200,{"Confirmed";"Probable"},'Data entry'!$AQ$6:$AQ$200,'Data Validation'!$V$2, 'Data entry'!$AP$6:$AP$200,'Data Validation'!$U$2, 'Data entry'!$BD$6:$BD$200,"&lt;&gt;*Negative*"))</f>
        <v>0</v>
      </c>
      <c r="AG139" s="15">
        <f>SUM(COUNTIFS('Data entry'!$R$6:$R$200,'Summary Data'!$A139,'Data entry'!$B$6:$B$200,{"Confirmed";"Probable"},'Data entry'!$AQ$6:$AQ$200,'Data Validation'!$V$2, 'Data entry'!$AP$6:$AP$200,'Data Validation'!$U$3, 'Data entry'!$BD$6:$BD$200,"&lt;&gt;*Negative*"))</f>
        <v>0</v>
      </c>
      <c r="AH139" s="15">
        <f>SUM(COUNTIFS('Data entry'!$R$6:$R$200,'Summary Data'!$A139,'Data entry'!$B$6:$B$200,{"Confirmed";"Probable"},'Data entry'!$AQ$6:$AQ$200,'Data Validation'!$V$2, 'Data entry'!$AP$6:$AP$200,'Data Validation'!$U$4, 'Data entry'!$BD$6:$BD$200,"&lt;&gt;*Negative*"))</f>
        <v>0</v>
      </c>
      <c r="AI139" s="15">
        <f>SUM(COUNTIFS('Data entry'!$R$6:$R$200,'Summary Data'!$A139,'Data entry'!$B$6:$B$200,{"Confirmed";"Probable"},'Data entry'!$AQ$6:$AQ$200,'Data Validation'!$V$2, 'Data entry'!$AP$6:$AP$200,'Data Validation'!$U$5, 'Data entry'!$BD$6:$BD$200,"&lt;&gt;*Negative*"))</f>
        <v>0</v>
      </c>
      <c r="AJ139" s="15">
        <f>SUM(COUNTIFS('Data entry'!$R$6:$R$200,'Summary Data'!$A139,'Data entry'!$B$6:$B$200,{"Confirmed";"Probable"},'Data entry'!$AQ$6:$AQ$200,'Data Validation'!$V$2, 'Data entry'!$AP$6:$AP$200,'Data Validation'!$U$6, 'Data entry'!$BD$6:$BD$200,"&lt;&gt;*Negative*"))</f>
        <v>0</v>
      </c>
      <c r="AK139" s="15">
        <f>SUM(COUNTIFS('Data entry'!$R$6:$R$200,'Summary Data'!$A139,'Data entry'!$B$6:$B$200,{"Confirmed";"Probable"},'Data entry'!$AQ$6:$AQ$200,'Data Validation'!$V$3, 'Data entry'!$AP$6:$AP$200,'Data Validation'!$U$2, 'Data entry'!$BD$6:$BD$200,"&lt;&gt;*Negative*"))</f>
        <v>0</v>
      </c>
      <c r="AL139" s="15">
        <f>SUM(COUNTIFS('Data entry'!$R$6:$R$200,'Summary Data'!$A139,'Data entry'!$B$6:$B$200,{"Confirmed";"Probable"},'Data entry'!$AQ$6:$AQ$200,'Data Validation'!$V$3, 'Data entry'!$AP$6:$AP$200,'Data Validation'!$U$3, 'Data entry'!$BD$6:$BD$200,"&lt;&gt;*Negative*"))</f>
        <v>0</v>
      </c>
      <c r="AM139" s="15">
        <f>SUM(COUNTIFS('Data entry'!$R$6:$R$200,'Summary Data'!$A139,'Data entry'!$B$6:$B$200,{"Confirmed";"Probable"},'Data entry'!$AQ$6:$AQ$200,'Data Validation'!$V$3, 'Data entry'!$AP$6:$AP$200,'Data Validation'!$U$4, 'Data entry'!$BD$6:$BD$200,"&lt;&gt;*Negative*"))</f>
        <v>0</v>
      </c>
      <c r="AN139" s="15">
        <f>SUM(COUNTIFS('Data entry'!$R$6:$R$200,'Summary Data'!$A139,'Data entry'!$B$6:$B$200,{"Confirmed";"Probable"},'Data entry'!$AQ$6:$AQ$200,'Data Validation'!$V$3, 'Data entry'!$AP$6:$AP$200,'Data Validation'!$U$5, 'Data entry'!$BD$6:$BD$200,"&lt;&gt;*Negative*"))</f>
        <v>0</v>
      </c>
      <c r="AO139" s="15">
        <f>SUM(COUNTIFS('Data entry'!$R$6:$R$200,'Summary Data'!$A139,'Data entry'!$B$6:$B$200,{"Confirmed";"Probable"},'Data entry'!$AQ$6:$AQ$200,'Data Validation'!$V$3, 'Data entry'!$AP$6:$AP$200,'Data Validation'!$U$6, 'Data entry'!$BD$6:$BD$200,"&lt;&gt;*Negative*"))</f>
        <v>0</v>
      </c>
      <c r="AP139" s="15">
        <f>SUM(COUNTIFS('Data entry'!$R$6:$R$200,'Summary Data'!$A139,'Data entry'!$B$6:$B$200,{"Confirmed";"Probable"},'Data entry'!$AQ$6:$AQ$200,'Data Validation'!$V$4, 'Data entry'!$AP$6:$AP$200,'Data Validation'!$U$2, 'Data entry'!$BD$6:$BD$200,"&lt;&gt;*Negative*"))</f>
        <v>0</v>
      </c>
      <c r="AQ139" s="15">
        <f>SUM(COUNTIFS('Data entry'!$R$6:$R$200,'Summary Data'!$A139,'Data entry'!$B$6:$B$200,{"Confirmed";"Probable"},'Data entry'!$AQ$6:$AQ$200,'Data Validation'!$V$4, 'Data entry'!$AP$6:$AP$200,'Data Validation'!$U$3, 'Data entry'!$BD$6:$BD$200,"&lt;&gt;*Negative*"))</f>
        <v>0</v>
      </c>
      <c r="AR139" s="15">
        <f>SUM(COUNTIFS('Data entry'!$R$6:$R$200,'Summary Data'!$A139,'Data entry'!$B$6:$B$200,{"Confirmed";"Probable"},'Data entry'!$AQ$6:$AQ$200,'Data Validation'!$V$4, 'Data entry'!$AP$6:$AP$200,'Data Validation'!$U$4, 'Data entry'!$BD$6:$BD$200,"&lt;&gt;*Negative*"))</f>
        <v>0</v>
      </c>
      <c r="AS139" s="15">
        <f>SUM(COUNTIFS('Data entry'!$R$6:$R$200,'Summary Data'!$A139,'Data entry'!$B$6:$B$200,{"Confirmed";"Probable"},'Data entry'!$AQ$6:$AQ$200,'Data Validation'!$V$4, 'Data entry'!$AP$6:$AP$200,'Data Validation'!$U$5, 'Data entry'!$BD$6:$BD$200,"&lt;&gt;*Negative*"))</f>
        <v>0</v>
      </c>
      <c r="AT139" s="15">
        <f>SUM(COUNTIFS('Data entry'!$R$6:$R$200,'Summary Data'!$A139,'Data entry'!$B$6:$B$200,{"Confirmed";"Probable"},'Data entry'!$AQ$6:$AQ$200,'Data Validation'!$V$4, 'Data entry'!$AP$6:$AP$200,'Data Validation'!$U$6, 'Data entry'!$BD$6:$BD$200,"&lt;&gt;*Negative*"))</f>
        <v>0</v>
      </c>
      <c r="AU139" s="15">
        <f>SUM(COUNTIFS('Data entry'!$R$6:$R$200,'Summary Data'!$A139,'Data entry'!$B$6:$B$200,{"Confirmed";"Probable"},'Data entry'!$AQ$6:$AQ$200,'Data Validation'!$V$5, 'Data entry'!$AP$6:$AP$200,'Data Validation'!$U$2, 'Data entry'!$BD$6:$BD$200,"&lt;&gt;*Negative*"))</f>
        <v>0</v>
      </c>
      <c r="AV139" s="15">
        <f>SUM(COUNTIFS('Data entry'!$R$6:$R$200,'Summary Data'!$A139,'Data entry'!$B$6:$B$200,{"Confirmed";"Probable"},'Data entry'!$AQ$6:$AQ$200,'Data Validation'!$V$5, 'Data entry'!$AP$6:$AP$200,'Data Validation'!$U$3, 'Data entry'!$BD$6:$BD$200,"&lt;&gt;*Negative*"))</f>
        <v>0</v>
      </c>
      <c r="AW139" s="15">
        <f>SUM(COUNTIFS('Data entry'!$R$6:$R$200,'Summary Data'!$A139,'Data entry'!$B$6:$B$200,{"Confirmed";"Probable"},'Data entry'!$AQ$6:$AQ$200,'Data Validation'!$V$5, 'Data entry'!$AP$6:$AP$200,'Data Validation'!$U$4, 'Data entry'!$BD$6:$BD$200,"&lt;&gt;*Negative*"))</f>
        <v>0</v>
      </c>
      <c r="AX139" s="15">
        <f>SUM(COUNTIFS('Data entry'!$R$6:$R$200,'Summary Data'!$A139,'Data entry'!$B$6:$B$200,{"Confirmed";"Probable"},'Data entry'!$AQ$6:$AQ$200,'Data Validation'!$V$5, 'Data entry'!$AP$6:$AP$200,'Data Validation'!$U$5, 'Data entry'!$BD$6:$BD$200,"&lt;&gt;*Negative*"))</f>
        <v>0</v>
      </c>
      <c r="AY139" s="15">
        <f>SUM(COUNTIFS('Data entry'!$R$6:$R$200,'Summary Data'!$A139,'Data entry'!$B$6:$B$200,{"Confirmed";"Probable"},'Data entry'!$AQ$6:$AQ$200,'Data Validation'!$V$5, 'Data entry'!$AP$6:$AP$200,'Data Validation'!$U$6, 'Data entry'!$BD$6:$BD$200,"&lt;&gt;*Negative*"))</f>
        <v>0</v>
      </c>
      <c r="AZ139" s="15">
        <f>SUM(COUNTIFS('Data entry'!$R$6:$R$200,'Summary Data'!$A139,'Data entry'!$B$6:$B$200,{"Confirmed";"Probable"},'Data entry'!$AQ$6:$AQ$200,'Data Validation'!$V$6, 'Data entry'!$AP$6:$AP$200,'Data Validation'!$U$2, 'Data entry'!$BD$6:$BD$200,"&lt;&gt;*Negative*"))</f>
        <v>0</v>
      </c>
      <c r="BA139" s="15">
        <f>SUM(COUNTIFS('Data entry'!$R$6:$R$200,'Summary Data'!$A139,'Data entry'!$B$6:$B$200,{"Confirmed";"Probable"},'Data entry'!$AQ$6:$AQ$200,'Data Validation'!$V$6, 'Data entry'!$AP$6:$AP$200,'Data Validation'!$U$3, 'Data entry'!$BD$6:$BD$200,"&lt;&gt;*Negative*"))</f>
        <v>0</v>
      </c>
      <c r="BB139" s="15">
        <f>SUM(COUNTIFS('Data entry'!$R$6:$R$200,'Summary Data'!$A139,'Data entry'!$B$6:$B$200,{"Confirmed";"Probable"},'Data entry'!$AQ$6:$AQ$200,'Data Validation'!$V$6, 'Data entry'!$AP$6:$AP$200,'Data Validation'!$U$4, 'Data entry'!$BD$6:$BD$200,"&lt;&gt;*Negative*"))</f>
        <v>0</v>
      </c>
      <c r="BC139" s="15">
        <f>SUM(COUNTIFS('Data entry'!$R$6:$R$200,'Summary Data'!$A139,'Data entry'!$B$6:$B$200,{"Confirmed";"Probable"},'Data entry'!$AQ$6:$AQ$200,'Data Validation'!$V$6, 'Data entry'!$AP$6:$AP$200,'Data Validation'!$U$5, 'Data entry'!$BD$6:$BD$200,"&lt;&gt;*Negative*"))</f>
        <v>0</v>
      </c>
      <c r="BD139" s="15">
        <f>SUM(COUNTIFS('Data entry'!$R$6:$R$200,'Summary Data'!$A139,'Data entry'!$B$6:$B$200,{"Confirmed";"Probable"},'Data entry'!$AQ$6:$AQ$200,'Data Validation'!$V$6, 'Data entry'!$AP$6:$AP$200,'Data Validation'!$U$6, 'Data entry'!$BD$6:$BD$200,"&lt;&gt;*Negative*"))</f>
        <v>0</v>
      </c>
      <c r="BE139" s="15">
        <f>SUM(COUNTIFS('Data entry'!$R$6:$R$200,'Summary Data'!$A139,'Data entry'!$B$6:$B$200,{"Confirmed";"Probable"},'Data entry'!$AQ$6:$AQ$200,'Data Validation'!$V$7, 'Data entry'!$AP$6:$AP$200,'Data Validation'!$U$2, 'Data entry'!$BD$6:$BD$200,"&lt;&gt;*Negative*"))</f>
        <v>0</v>
      </c>
      <c r="BF139" s="15">
        <f>SUM(COUNTIFS('Data entry'!$R$6:$R$200,'Summary Data'!$A139,'Data entry'!$B$6:$B$200,{"Confirmed";"Probable"},'Data entry'!$AQ$6:$AQ$200,'Data Validation'!$V$7, 'Data entry'!$AP$6:$AP$200,'Data Validation'!$U$3, 'Data entry'!$BD$6:$BD$200,"&lt;&gt;*Negative*"))</f>
        <v>0</v>
      </c>
      <c r="BG139" s="15">
        <f>SUM(COUNTIFS('Data entry'!$R$6:$R$200,'Summary Data'!$A139,'Data entry'!$B$6:$B$200,{"Confirmed";"Probable"},'Data entry'!$AQ$6:$AQ$200,'Data Validation'!$V$7, 'Data entry'!$AP$6:$AP$200,'Data Validation'!$U$4, 'Data entry'!$BD$6:$BD$200,"&lt;&gt;*Negative*"))</f>
        <v>0</v>
      </c>
      <c r="BH139" s="15">
        <f>SUM(COUNTIFS('Data entry'!$R$6:$R$200,'Summary Data'!$A139,'Data entry'!$B$6:$B$200,{"Confirmed";"Probable"},'Data entry'!$AQ$6:$AQ$200,'Data Validation'!$V$7, 'Data entry'!$AP$6:$AP$200,'Data Validation'!$U$5, 'Data entry'!$BD$6:$BD$200,"&lt;&gt;*Negative*"))</f>
        <v>0</v>
      </c>
      <c r="BI139" s="15">
        <f>SUM(COUNTIFS('Data entry'!$R$6:$R$200,'Summary Data'!$A139,'Data entry'!$B$6:$B$200,{"Confirmed";"Probable"},'Data entry'!$AQ$6:$AQ$200,'Data Validation'!$V$7, 'Data entry'!$AP$6:$AP$200,'Data Validation'!$U$6, 'Data entry'!$BD$6:$BD$200,"&lt;&gt;*Negative*"))</f>
        <v>0</v>
      </c>
      <c r="BJ139" s="15">
        <f>SUM(COUNTIFS('Data entry'!$R$6:$R$200,'Summary Data'!$A139,'Data entry'!$B$6:$B$200,{"Confirmed";"Probable"},'Data entry'!$AQ$6:$AQ$200,'Data Validation'!$V$8, 'Data entry'!$AP$6:$AP$200,'Data Validation'!$U$2, 'Data entry'!$BD$6:$BD$200,"&lt;&gt;*Negative*"))</f>
        <v>0</v>
      </c>
      <c r="BK139" s="15">
        <f>SUM(COUNTIFS('Data entry'!$R$6:$R$200,'Summary Data'!$A139,'Data entry'!$B$6:$B$200,{"Confirmed";"Probable"},'Data entry'!$AQ$6:$AQ$200,'Data Validation'!$V$8, 'Data entry'!$AP$6:$AP$200,'Data Validation'!$U$3, 'Data entry'!$BD$6:$BD$200,"&lt;&gt;*Negative*"))</f>
        <v>0</v>
      </c>
      <c r="BL139" s="15">
        <f>SUM(COUNTIFS('Data entry'!$R$6:$R$200,'Summary Data'!$A139,'Data entry'!$B$6:$B$200,{"Confirmed";"Probable"},'Data entry'!$AQ$6:$AQ$200,'Data Validation'!$V$8, 'Data entry'!$AP$6:$AP$200,'Data Validation'!$U$4, 'Data entry'!$BD$6:$BD$200,"&lt;&gt;*Negative*"))</f>
        <v>0</v>
      </c>
      <c r="BM139" s="15">
        <f>SUM(COUNTIFS('Data entry'!$R$6:$R$200,'Summary Data'!$A139,'Data entry'!$B$6:$B$200,{"Confirmed";"Probable"},'Data entry'!$AQ$6:$AQ$200,'Data Validation'!$V$8, 'Data entry'!$AP$6:$AP$200,'Data Validation'!$U$5, 'Data entry'!$BD$6:$BD$200,"&lt;&gt;*Negative*"))</f>
        <v>0</v>
      </c>
      <c r="BN139" s="15">
        <f>SUM(COUNTIFS('Data entry'!$R$6:$R$200,'Summary Data'!$A139,'Data entry'!$B$6:$B$200,{"Confirmed";"Probable"},'Data entry'!$AQ$6:$AQ$200,'Data Validation'!$V$8, 'Data entry'!$AP$6:$AP$200,'Data Validation'!$U$6, 'Data entry'!$BD$6:$BD$200,"&lt;&gt;*Negative*"))</f>
        <v>0</v>
      </c>
      <c r="BO139" s="15">
        <f>SUM(COUNTIFS('Data entry'!$R$6:$R$200,'Summary Data'!$A139,'Data entry'!$B$6:$B$200,{"Confirmed";"Probable"},'Data entry'!$AQ$6:$AQ$200,'Data Validation'!$V$9, 'Data entry'!$AP$6:$AP$200,'Data Validation'!$U$2, 'Data entry'!$BD$6:$BD$200,"&lt;&gt;*Negative*"))</f>
        <v>0</v>
      </c>
      <c r="BP139" s="15">
        <f>SUM(COUNTIFS('Data entry'!$R$6:$R$200,'Summary Data'!$A139,'Data entry'!$B$6:$B$200,{"Confirmed";"Probable"},'Data entry'!$AQ$6:$AQ$200,'Data Validation'!$V$9, 'Data entry'!$AP$6:$AP$200,'Data Validation'!$U$3, 'Data entry'!$BD$6:$BD$200,"&lt;&gt;*Negative*"))</f>
        <v>0</v>
      </c>
      <c r="BQ139" s="15">
        <f>SUM(COUNTIFS('Data entry'!$R$6:$R$200,'Summary Data'!$A139,'Data entry'!$B$6:$B$200,{"Confirmed";"Probable"},'Data entry'!$AQ$6:$AQ$200,'Data Validation'!$V$9, 'Data entry'!$AP$6:$AP$200,'Data Validation'!$U$4, 'Data entry'!$BD$6:$BD$200,"&lt;&gt;*Negative*"))</f>
        <v>0</v>
      </c>
      <c r="BR139" s="15">
        <f>SUM(COUNTIFS('Data entry'!$R$6:$R$200,'Summary Data'!$A139,'Data entry'!$B$6:$B$200,{"Confirmed";"Probable"},'Data entry'!$AQ$6:$AQ$200,'Data Validation'!$V$9, 'Data entry'!$AP$6:$AP$200,'Data Validation'!$U$5, 'Data entry'!$BD$6:$BD$200,"&lt;&gt;*Negative*"))</f>
        <v>0</v>
      </c>
      <c r="BS139" s="15">
        <f>SUM(COUNTIFS('Data entry'!$R$6:$R$200,'Summary Data'!$A139,'Data entry'!$B$6:$B$200,{"Confirmed";"Probable"},'Data entry'!$AQ$6:$AQ$200,'Data Validation'!$V$9, 'Data entry'!$AP$6:$AP$200,'Data Validation'!$U$6, 'Data entry'!$BD$6:$BD$200,"&lt;&gt;*Negative*"))</f>
        <v>0</v>
      </c>
      <c r="BT139" s="15">
        <f>SUM(COUNTIFS('Data entry'!$R$6:$R$200,'Summary Data'!$A139,'Data entry'!$B$6:$B$200,{"Confirmed";"Probable"},'Data entry'!$AQ$6:$AQ$200,'Data Validation'!$V$10, 'Data entry'!$AP$6:$AP$200,'Data Validation'!$U$2, 'Data entry'!$BD$6:$BD$200,"&lt;&gt;*Negative*"))</f>
        <v>0</v>
      </c>
      <c r="BU139" s="15">
        <f>SUM(COUNTIFS('Data entry'!$R$6:$R$200,'Summary Data'!$A139,'Data entry'!$B$6:$B$200,{"Confirmed";"Probable"},'Data entry'!$AQ$6:$AQ$200,'Data Validation'!$V$10, 'Data entry'!$AP$6:$AP$200,'Data Validation'!$U$3, 'Data entry'!$BD$6:$BD$200,"&lt;&gt;*Negative*"))</f>
        <v>0</v>
      </c>
      <c r="BV139" s="15">
        <f>SUM(COUNTIFS('Data entry'!$R$6:$R$200,'Summary Data'!$A139,'Data entry'!$B$6:$B$200,{"Confirmed";"Probable"},'Data entry'!$AQ$6:$AQ$200,'Data Validation'!$V$10, 'Data entry'!$AP$6:$AP$200,'Data Validation'!$U$4, 'Data entry'!$BD$6:$BD$200,"&lt;&gt;*Negative*"))</f>
        <v>0</v>
      </c>
      <c r="BW139" s="15">
        <f>SUM(COUNTIFS('Data entry'!$R$6:$R$200,'Summary Data'!$A139,'Data entry'!$B$6:$B$200,{"Confirmed";"Probable"},'Data entry'!$AQ$6:$AQ$200,'Data Validation'!$V$10, 'Data entry'!$AP$6:$AP$200,'Data Validation'!$U$5, 'Data entry'!$BD$6:$BD$200,"&lt;&gt;*Negative*"))</f>
        <v>0</v>
      </c>
      <c r="BX139" s="15">
        <f>SUM(COUNTIFS('Data entry'!$R$6:$R$200,'Summary Data'!$A139,'Data entry'!$B$6:$B$200,{"Confirmed";"Probable"},'Data entry'!$AQ$6:$AQ$200,'Data Validation'!$V$10, 'Data entry'!$AP$6:$AP$200,'Data Validation'!$U$6, 'Data entry'!$BD$6:$BD$200,"&lt;&gt;*Negative*"))</f>
        <v>0</v>
      </c>
      <c r="BY139" s="15">
        <f>SUM(COUNTIFS('Data entry'!$R$6:$R$200,'Summary Data'!$A139,'Data entry'!$B$6:$B$200,{"Confirmed";"Probable"},'Data entry'!$AQ$6:$AQ$200,'Data Validation'!$V$11, 'Data entry'!$AP$6:$AP$200,'Data Validation'!$U$2, 'Data entry'!$BD$6:$BD$200,"&lt;&gt;*Negative*"))</f>
        <v>0</v>
      </c>
      <c r="BZ139" s="15">
        <f>SUM(COUNTIFS('Data entry'!$R$6:$R$200,'Summary Data'!$A139,'Data entry'!$B$6:$B$200,{"Confirmed";"Probable"},'Data entry'!$AQ$6:$AQ$200,'Data Validation'!$V$11, 'Data entry'!$AP$6:$AP$200,'Data Validation'!$U$3, 'Data entry'!$BD$6:$BD$200,"&lt;&gt;*Negative*"))</f>
        <v>0</v>
      </c>
      <c r="CA139" s="15">
        <f>SUM(COUNTIFS('Data entry'!$R$6:$R$200,'Summary Data'!$A139,'Data entry'!$B$6:$B$200,{"Confirmed";"Probable"},'Data entry'!$AQ$6:$AQ$200,'Data Validation'!$V$11, 'Data entry'!$AP$6:$AP$200,'Data Validation'!$U$4, 'Data entry'!$BD$6:$BD$200,"&lt;&gt;*Negative*"))</f>
        <v>0</v>
      </c>
      <c r="CB139" s="15">
        <f>SUM(COUNTIFS('Data entry'!$R$6:$R$200,'Summary Data'!$A139,'Data entry'!$B$6:$B$200,{"Confirmed";"Probable"},'Data entry'!$AQ$6:$AQ$200,'Data Validation'!$V$11, 'Data entry'!$AP$6:$AP$200,'Data Validation'!$U$5, 'Data entry'!$BD$6:$BD$200,"&lt;&gt;*Negative*"))</f>
        <v>0</v>
      </c>
      <c r="CC139" s="15">
        <f>SUM(COUNTIFS('Data entry'!$R$6:$R$200,'Summary Data'!$A139,'Data entry'!$B$6:$B$200,{"Confirmed";"Probable"},'Data entry'!$AQ$6:$AQ$200,'Data Validation'!$V$11, 'Data entry'!$AP$6:$AP$200,'Data Validation'!$U$6, 'Data entry'!$BD$6:$BD$200,"&lt;&gt;*Negative*"))</f>
        <v>0</v>
      </c>
    </row>
    <row r="140" spans="1:81" x14ac:dyDescent="0.25">
      <c r="A140" s="12">
        <f t="shared" si="9"/>
        <v>128</v>
      </c>
      <c r="B140" s="13">
        <f>SUM(C140:D140)</f>
        <v>0</v>
      </c>
      <c r="C140" s="13">
        <f>COUNTIFS('Data entry'!$R$6:$R$200,$A140,'Data entry'!$B$6:$B$200,"Confirmed",'Data entry'!$BD$6:$BD$200,"&lt;&gt;*Negative*")</f>
        <v>0</v>
      </c>
      <c r="D140" s="13">
        <f>COUNTIFS('Data entry'!$R$6:$R$200,$A140,'Data entry'!$B$6:$B$200,"Probable",'Data entry'!$BD$6:$BD$200,"&lt;&gt;*Negative*")</f>
        <v>0</v>
      </c>
      <c r="E140" s="13">
        <f>COUNTIFS('Data entry'!$R$6:$R$200,$A140,'Data entry'!$B$6:$B$200,"DNM")</f>
        <v>0</v>
      </c>
      <c r="F140" s="13">
        <f>SUM(COUNTIFS('Data entry'!$R$6:$R$200,'Summary Data'!$A140,'Data entry'!$B$6:$B$200,{"Confirmed";"Probable"},'Data entry'!$AO$6:$AO$200,$F$10, 'Data entry'!$BD$6:$BD$200,"&lt;&gt;*Negative*"))</f>
        <v>0</v>
      </c>
      <c r="G140" s="13">
        <f>SUM(COUNTIFS('Data entry'!$R$6:$R$200,'Summary Data'!$A140,'Data entry'!$B$6:$B$200,{"Confirmed";"Probable"},'Data entry'!$AO$6:$AO$200,$G$10, 'Data entry'!$BD$6:$BD$200,"&lt;&gt;*Negative*"))</f>
        <v>0</v>
      </c>
      <c r="H140" s="13">
        <f>SUM(COUNTIFS('Data entry'!$R$6:$R$200,'Summary Data'!$A140,'Data entry'!$B$6:$B$200,{"Confirmed";"Probable"},'Data entry'!$AO$6:$AO$200,$H$10, 'Data entry'!$BD$6:$BD$200,"&lt;&gt;*Negative*"))</f>
        <v>0</v>
      </c>
      <c r="I140" s="13">
        <f>SUM(COUNTIFS('Data entry'!$R$6:$R$200,'Summary Data'!$A140,'Data entry'!$B$6:$B$200,{"Confirmed";"Probable"},'Data entry'!$AO$6:$AO$200,$I$10, 'Data entry'!$BD$6:$BD$200,"&lt;&gt;*Negative*"))</f>
        <v>0</v>
      </c>
      <c r="J140" s="13">
        <f>SUM(COUNTIFS('Data entry'!$R$6:$R$200,'Summary Data'!$A140,'Data entry'!$B$6:$B$200,{"Confirmed";"Probable"},'Data entry'!$AO$6:$AO$200,$J$10, 'Data entry'!$BD$6:$BD$200,"&lt;&gt;*Negative*"))</f>
        <v>0</v>
      </c>
      <c r="K140" s="13">
        <f>SUM(COUNTIFS('Data entry'!$R$6:$R$200,'Summary Data'!$A140,'Data entry'!$B$6:$B$200,{"Confirmed";"Probable"},'Data entry'!$AO$6:$AO$200,$K$10, 'Data entry'!$BD$6:$BD$200,"&lt;&gt;*Negative*"))</f>
        <v>0</v>
      </c>
      <c r="L140" s="13">
        <f>SUM(COUNTIFS('Data entry'!$R$6:$R$200,'Summary Data'!$A140,'Data entry'!$B$6:$B$200,{"Confirmed";"Probable"},'Data entry'!$AO$6:$AO$200,$L$10, 'Data entry'!$BD$6:$BD$200,"&lt;&gt;*Negative*"))</f>
        <v>0</v>
      </c>
      <c r="M140" s="13">
        <f>SUM(COUNTIFS('Data entry'!$R$6:$R$200,'Summary Data'!$A140,'Data entry'!$B$6:$B$200,{"Confirmed";"Probable"},'Data entry'!$AO$6:$AO$200,$M$10, 'Data entry'!$BD$6:$BD$200,"&lt;&gt;*Negative*"))</f>
        <v>0</v>
      </c>
      <c r="N140" s="13">
        <f>SUM(COUNTIFS('Data entry'!$R$6:$R$200,'Summary Data'!$A140,'Data entry'!$B$6:$B$200,{"Confirmed";"Probable"},'Data entry'!$AO$6:$AO$200,$N$10, 'Data entry'!$BD$6:$BD$200,"&lt;&gt;*Negative*"))</f>
        <v>0</v>
      </c>
      <c r="O140" s="15">
        <f>J140+M140</f>
        <v>0</v>
      </c>
      <c r="P140" s="15">
        <f>F140+G140+H140+I140+K140+L140+N140</f>
        <v>0</v>
      </c>
      <c r="Q140" s="15">
        <f>SUM(COUNTIFS('Data entry'!$R$6:$R$200,'Summary Data'!$A140,'Data entry'!$B$6:$B$200,{"Confirmed";"Probable"},'Data entry'!$AP$6:$AP$200,'Data Validation'!$U$2, 'Data entry'!$BD$6:$BD$200,"&lt;&gt;*Negative*"))</f>
        <v>0</v>
      </c>
      <c r="R140" s="15">
        <f>SUM(COUNTIFS('Data entry'!$R$6:$R$200,'Summary Data'!$A140,'Data entry'!$B$6:$B$200,{"Confirmed";"Probable"},'Data entry'!$AP$6:$AP$200,'Data Validation'!$U$3, 'Data entry'!$BD$6:$BD$200,"&lt;&gt;*Negative*"))</f>
        <v>0</v>
      </c>
      <c r="S140" s="15">
        <f>SUM(COUNTIFS('Data entry'!$R$6:$R$200,'Summary Data'!$A140,'Data entry'!$B$6:$B$200,{"Confirmed";"Probable"},'Data entry'!$AP$6:$AP$200,'Data Validation'!$U$4, 'Data entry'!$BD$6:$BD$200,"&lt;&gt;*Negative*"))</f>
        <v>0</v>
      </c>
      <c r="T140" s="15">
        <f>SUM(COUNTIFS('Data entry'!$R$6:$R$200,'Summary Data'!$A140,'Data entry'!$B$6:$B$200,{"Confirmed";"Probable"},'Data entry'!$AP$6:$AP$200,'Data Validation'!$U$5, 'Data entry'!$BD$6:$BD$200,"&lt;&gt;*Negative*"))</f>
        <v>0</v>
      </c>
      <c r="U140" s="15">
        <f>SUM(COUNTIFS('Data entry'!$R$6:$R$200,'Summary Data'!$A140,'Data entry'!$B$6:$B$200,{"Confirmed";"Probable"},'Data entry'!$AP$6:$AP$200,'Data Validation'!$U$6, 'Data entry'!$BD$6:$BD$200,"&lt;&gt;*Negative*"))</f>
        <v>0</v>
      </c>
      <c r="V140" s="15">
        <f>SUM(COUNTIFS('Data entry'!$R$6:$R$200,'Summary Data'!$A140,'Data entry'!$B$6:$B$200,{"Confirmed";"Probable"},'Data entry'!$AQ$6:$AQ$200,'Data Validation'!$V$2, 'Data entry'!$BD$6:$BD$200,"&lt;&gt;*Negative*"))</f>
        <v>0</v>
      </c>
      <c r="W140" s="15">
        <f>SUM(COUNTIFS('Data entry'!$R$6:$R$200,'Summary Data'!$A140,'Data entry'!$B$6:$B$200,{"Confirmed";"Probable"},'Data entry'!$AQ$6:$AQ$200,'Data Validation'!$V$3, 'Data entry'!$BD$6:$BD$200,"&lt;&gt;*Negative*"))</f>
        <v>0</v>
      </c>
      <c r="X140" s="15">
        <f>SUM(COUNTIFS('Data entry'!$R$6:$R$200,'Summary Data'!$A140,'Data entry'!$B$6:$B$200,{"Confirmed";"Probable"},'Data entry'!$AQ$6:$AQ$200,'Data Validation'!$V$4, 'Data entry'!$BD$6:$BD$200,"&lt;&gt;*Negative*"))</f>
        <v>0</v>
      </c>
      <c r="Y140" s="15">
        <f>SUM(COUNTIFS('Data entry'!$R$6:$R$200,'Summary Data'!$A140,'Data entry'!$B$6:$B$200,{"Confirmed";"Probable"},'Data entry'!$AQ$6:$AQ$200,'Data Validation'!$V$5, 'Data entry'!$BD$6:$BD$200,"&lt;&gt;*Negative*"))</f>
        <v>0</v>
      </c>
      <c r="Z140" s="15">
        <f>SUM(COUNTIFS('Data entry'!$R$6:$R$200,'Summary Data'!$A140,'Data entry'!$B$6:$B$200,{"Confirmed";"Probable"},'Data entry'!$AQ$6:$AQ$200,'Data Validation'!$V$6, 'Data entry'!$BD$6:$BD$200,"&lt;&gt;*Negative*"))</f>
        <v>0</v>
      </c>
      <c r="AA140" s="15">
        <f>SUM(COUNTIFS('Data entry'!$R$6:$R$200,'Summary Data'!$A140,'Data entry'!$B$6:$B$200,{"Confirmed";"Probable"},'Data entry'!$AQ$6:$AQ$200,'Data Validation'!$V$7, 'Data entry'!$BD$6:$BD$200,"&lt;&gt;*Negative*"))</f>
        <v>0</v>
      </c>
      <c r="AB140" s="15">
        <f>SUM(COUNTIFS('Data entry'!$R$6:$R$200,'Summary Data'!$A140,'Data entry'!$B$6:$B$200,{"Confirmed";"Probable"},'Data entry'!$AQ$6:$AQ$200,'Data Validation'!$V$8, 'Data entry'!$BD$6:$BD$200,"&lt;&gt;*Negative*"))</f>
        <v>0</v>
      </c>
      <c r="AC140" s="15">
        <f>SUM(COUNTIFS('Data entry'!$R$6:$R$200,'Summary Data'!$A140,'Data entry'!$B$6:$B$200,{"Confirmed";"Probable"},'Data entry'!$AQ$6:$AQ$200,'Data Validation'!$V$9, 'Data entry'!$BD$6:$BD$200,"&lt;&gt;*Negative*"))</f>
        <v>0</v>
      </c>
      <c r="AD140" s="15">
        <f>SUM(COUNTIFS('Data entry'!$R$6:$R$200,'Summary Data'!$A140,'Data entry'!$B$6:$B$200,{"Confirmed";"Probable"},'Data entry'!$AQ$6:$AQ$200,'Data Validation'!$V$10, 'Data entry'!$BD$6:$BD$200,"&lt;&gt;*Negative*"))</f>
        <v>0</v>
      </c>
      <c r="AE140" s="15">
        <f>SUM(COUNTIFS('Data entry'!$R$6:$R$200,'Summary Data'!$A140,'Data entry'!$B$6:$B$200,{"Confirmed";"Probable"},'Data entry'!$AQ$6:$AQ$200,'Data Validation'!$V$11, 'Data entry'!$BD$6:$BD$200,"&lt;&gt;*Negative*"))</f>
        <v>0</v>
      </c>
      <c r="AF140" s="15">
        <f>SUM(COUNTIFS('Data entry'!$R$6:$R$200,'Summary Data'!$A140,'Data entry'!$B$6:$B$200,{"Confirmed";"Probable"},'Data entry'!$AQ$6:$AQ$200,'Data Validation'!$V$2, 'Data entry'!$AP$6:$AP$200,'Data Validation'!$U$2, 'Data entry'!$BD$6:$BD$200,"&lt;&gt;*Negative*"))</f>
        <v>0</v>
      </c>
      <c r="AG140" s="15">
        <f>SUM(COUNTIFS('Data entry'!$R$6:$R$200,'Summary Data'!$A140,'Data entry'!$B$6:$B$200,{"Confirmed";"Probable"},'Data entry'!$AQ$6:$AQ$200,'Data Validation'!$V$2, 'Data entry'!$AP$6:$AP$200,'Data Validation'!$U$3, 'Data entry'!$BD$6:$BD$200,"&lt;&gt;*Negative*"))</f>
        <v>0</v>
      </c>
      <c r="AH140" s="15">
        <f>SUM(COUNTIFS('Data entry'!$R$6:$R$200,'Summary Data'!$A140,'Data entry'!$B$6:$B$200,{"Confirmed";"Probable"},'Data entry'!$AQ$6:$AQ$200,'Data Validation'!$V$2, 'Data entry'!$AP$6:$AP$200,'Data Validation'!$U$4, 'Data entry'!$BD$6:$BD$200,"&lt;&gt;*Negative*"))</f>
        <v>0</v>
      </c>
      <c r="AI140" s="15">
        <f>SUM(COUNTIFS('Data entry'!$R$6:$R$200,'Summary Data'!$A140,'Data entry'!$B$6:$B$200,{"Confirmed";"Probable"},'Data entry'!$AQ$6:$AQ$200,'Data Validation'!$V$2, 'Data entry'!$AP$6:$AP$200,'Data Validation'!$U$5, 'Data entry'!$BD$6:$BD$200,"&lt;&gt;*Negative*"))</f>
        <v>0</v>
      </c>
      <c r="AJ140" s="15">
        <f>SUM(COUNTIFS('Data entry'!$R$6:$R$200,'Summary Data'!$A140,'Data entry'!$B$6:$B$200,{"Confirmed";"Probable"},'Data entry'!$AQ$6:$AQ$200,'Data Validation'!$V$2, 'Data entry'!$AP$6:$AP$200,'Data Validation'!$U$6, 'Data entry'!$BD$6:$BD$200,"&lt;&gt;*Negative*"))</f>
        <v>0</v>
      </c>
      <c r="AK140" s="15">
        <f>SUM(COUNTIFS('Data entry'!$R$6:$R$200,'Summary Data'!$A140,'Data entry'!$B$6:$B$200,{"Confirmed";"Probable"},'Data entry'!$AQ$6:$AQ$200,'Data Validation'!$V$3, 'Data entry'!$AP$6:$AP$200,'Data Validation'!$U$2, 'Data entry'!$BD$6:$BD$200,"&lt;&gt;*Negative*"))</f>
        <v>0</v>
      </c>
      <c r="AL140" s="15">
        <f>SUM(COUNTIFS('Data entry'!$R$6:$R$200,'Summary Data'!$A140,'Data entry'!$B$6:$B$200,{"Confirmed";"Probable"},'Data entry'!$AQ$6:$AQ$200,'Data Validation'!$V$3, 'Data entry'!$AP$6:$AP$200,'Data Validation'!$U$3, 'Data entry'!$BD$6:$BD$200,"&lt;&gt;*Negative*"))</f>
        <v>0</v>
      </c>
      <c r="AM140" s="15">
        <f>SUM(COUNTIFS('Data entry'!$R$6:$R$200,'Summary Data'!$A140,'Data entry'!$B$6:$B$200,{"Confirmed";"Probable"},'Data entry'!$AQ$6:$AQ$200,'Data Validation'!$V$3, 'Data entry'!$AP$6:$AP$200,'Data Validation'!$U$4, 'Data entry'!$BD$6:$BD$200,"&lt;&gt;*Negative*"))</f>
        <v>0</v>
      </c>
      <c r="AN140" s="15">
        <f>SUM(COUNTIFS('Data entry'!$R$6:$R$200,'Summary Data'!$A140,'Data entry'!$B$6:$B$200,{"Confirmed";"Probable"},'Data entry'!$AQ$6:$AQ$200,'Data Validation'!$V$3, 'Data entry'!$AP$6:$AP$200,'Data Validation'!$U$5, 'Data entry'!$BD$6:$BD$200,"&lt;&gt;*Negative*"))</f>
        <v>0</v>
      </c>
      <c r="AO140" s="15">
        <f>SUM(COUNTIFS('Data entry'!$R$6:$R$200,'Summary Data'!$A140,'Data entry'!$B$6:$B$200,{"Confirmed";"Probable"},'Data entry'!$AQ$6:$AQ$200,'Data Validation'!$V$3, 'Data entry'!$AP$6:$AP$200,'Data Validation'!$U$6, 'Data entry'!$BD$6:$BD$200,"&lt;&gt;*Negative*"))</f>
        <v>0</v>
      </c>
      <c r="AP140" s="15">
        <f>SUM(COUNTIFS('Data entry'!$R$6:$R$200,'Summary Data'!$A140,'Data entry'!$B$6:$B$200,{"Confirmed";"Probable"},'Data entry'!$AQ$6:$AQ$200,'Data Validation'!$V$4, 'Data entry'!$AP$6:$AP$200,'Data Validation'!$U$2, 'Data entry'!$BD$6:$BD$200,"&lt;&gt;*Negative*"))</f>
        <v>0</v>
      </c>
      <c r="AQ140" s="15">
        <f>SUM(COUNTIFS('Data entry'!$R$6:$R$200,'Summary Data'!$A140,'Data entry'!$B$6:$B$200,{"Confirmed";"Probable"},'Data entry'!$AQ$6:$AQ$200,'Data Validation'!$V$4, 'Data entry'!$AP$6:$AP$200,'Data Validation'!$U$3, 'Data entry'!$BD$6:$BD$200,"&lt;&gt;*Negative*"))</f>
        <v>0</v>
      </c>
      <c r="AR140" s="15">
        <f>SUM(COUNTIFS('Data entry'!$R$6:$R$200,'Summary Data'!$A140,'Data entry'!$B$6:$B$200,{"Confirmed";"Probable"},'Data entry'!$AQ$6:$AQ$200,'Data Validation'!$V$4, 'Data entry'!$AP$6:$AP$200,'Data Validation'!$U$4, 'Data entry'!$BD$6:$BD$200,"&lt;&gt;*Negative*"))</f>
        <v>0</v>
      </c>
      <c r="AS140" s="15">
        <f>SUM(COUNTIFS('Data entry'!$R$6:$R$200,'Summary Data'!$A140,'Data entry'!$B$6:$B$200,{"Confirmed";"Probable"},'Data entry'!$AQ$6:$AQ$200,'Data Validation'!$V$4, 'Data entry'!$AP$6:$AP$200,'Data Validation'!$U$5, 'Data entry'!$BD$6:$BD$200,"&lt;&gt;*Negative*"))</f>
        <v>0</v>
      </c>
      <c r="AT140" s="15">
        <f>SUM(COUNTIFS('Data entry'!$R$6:$R$200,'Summary Data'!$A140,'Data entry'!$B$6:$B$200,{"Confirmed";"Probable"},'Data entry'!$AQ$6:$AQ$200,'Data Validation'!$V$4, 'Data entry'!$AP$6:$AP$200,'Data Validation'!$U$6, 'Data entry'!$BD$6:$BD$200,"&lt;&gt;*Negative*"))</f>
        <v>0</v>
      </c>
      <c r="AU140" s="15">
        <f>SUM(COUNTIFS('Data entry'!$R$6:$R$200,'Summary Data'!$A140,'Data entry'!$B$6:$B$200,{"Confirmed";"Probable"},'Data entry'!$AQ$6:$AQ$200,'Data Validation'!$V$5, 'Data entry'!$AP$6:$AP$200,'Data Validation'!$U$2, 'Data entry'!$BD$6:$BD$200,"&lt;&gt;*Negative*"))</f>
        <v>0</v>
      </c>
      <c r="AV140" s="15">
        <f>SUM(COUNTIFS('Data entry'!$R$6:$R$200,'Summary Data'!$A140,'Data entry'!$B$6:$B$200,{"Confirmed";"Probable"},'Data entry'!$AQ$6:$AQ$200,'Data Validation'!$V$5, 'Data entry'!$AP$6:$AP$200,'Data Validation'!$U$3, 'Data entry'!$BD$6:$BD$200,"&lt;&gt;*Negative*"))</f>
        <v>0</v>
      </c>
      <c r="AW140" s="15">
        <f>SUM(COUNTIFS('Data entry'!$R$6:$R$200,'Summary Data'!$A140,'Data entry'!$B$6:$B$200,{"Confirmed";"Probable"},'Data entry'!$AQ$6:$AQ$200,'Data Validation'!$V$5, 'Data entry'!$AP$6:$AP$200,'Data Validation'!$U$4, 'Data entry'!$BD$6:$BD$200,"&lt;&gt;*Negative*"))</f>
        <v>0</v>
      </c>
      <c r="AX140" s="15">
        <f>SUM(COUNTIFS('Data entry'!$R$6:$R$200,'Summary Data'!$A140,'Data entry'!$B$6:$B$200,{"Confirmed";"Probable"},'Data entry'!$AQ$6:$AQ$200,'Data Validation'!$V$5, 'Data entry'!$AP$6:$AP$200,'Data Validation'!$U$5, 'Data entry'!$BD$6:$BD$200,"&lt;&gt;*Negative*"))</f>
        <v>0</v>
      </c>
      <c r="AY140" s="15">
        <f>SUM(COUNTIFS('Data entry'!$R$6:$R$200,'Summary Data'!$A140,'Data entry'!$B$6:$B$200,{"Confirmed";"Probable"},'Data entry'!$AQ$6:$AQ$200,'Data Validation'!$V$5, 'Data entry'!$AP$6:$AP$200,'Data Validation'!$U$6, 'Data entry'!$BD$6:$BD$200,"&lt;&gt;*Negative*"))</f>
        <v>0</v>
      </c>
      <c r="AZ140" s="15">
        <f>SUM(COUNTIFS('Data entry'!$R$6:$R$200,'Summary Data'!$A140,'Data entry'!$B$6:$B$200,{"Confirmed";"Probable"},'Data entry'!$AQ$6:$AQ$200,'Data Validation'!$V$6, 'Data entry'!$AP$6:$AP$200,'Data Validation'!$U$2, 'Data entry'!$BD$6:$BD$200,"&lt;&gt;*Negative*"))</f>
        <v>0</v>
      </c>
      <c r="BA140" s="15">
        <f>SUM(COUNTIFS('Data entry'!$R$6:$R$200,'Summary Data'!$A140,'Data entry'!$B$6:$B$200,{"Confirmed";"Probable"},'Data entry'!$AQ$6:$AQ$200,'Data Validation'!$V$6, 'Data entry'!$AP$6:$AP$200,'Data Validation'!$U$3, 'Data entry'!$BD$6:$BD$200,"&lt;&gt;*Negative*"))</f>
        <v>0</v>
      </c>
      <c r="BB140" s="15">
        <f>SUM(COUNTIFS('Data entry'!$R$6:$R$200,'Summary Data'!$A140,'Data entry'!$B$6:$B$200,{"Confirmed";"Probable"},'Data entry'!$AQ$6:$AQ$200,'Data Validation'!$V$6, 'Data entry'!$AP$6:$AP$200,'Data Validation'!$U$4, 'Data entry'!$BD$6:$BD$200,"&lt;&gt;*Negative*"))</f>
        <v>0</v>
      </c>
      <c r="BC140" s="15">
        <f>SUM(COUNTIFS('Data entry'!$R$6:$R$200,'Summary Data'!$A140,'Data entry'!$B$6:$B$200,{"Confirmed";"Probable"},'Data entry'!$AQ$6:$AQ$200,'Data Validation'!$V$6, 'Data entry'!$AP$6:$AP$200,'Data Validation'!$U$5, 'Data entry'!$BD$6:$BD$200,"&lt;&gt;*Negative*"))</f>
        <v>0</v>
      </c>
      <c r="BD140" s="15">
        <f>SUM(COUNTIFS('Data entry'!$R$6:$R$200,'Summary Data'!$A140,'Data entry'!$B$6:$B$200,{"Confirmed";"Probable"},'Data entry'!$AQ$6:$AQ$200,'Data Validation'!$V$6, 'Data entry'!$AP$6:$AP$200,'Data Validation'!$U$6, 'Data entry'!$BD$6:$BD$200,"&lt;&gt;*Negative*"))</f>
        <v>0</v>
      </c>
      <c r="BE140" s="15">
        <f>SUM(COUNTIFS('Data entry'!$R$6:$R$200,'Summary Data'!$A140,'Data entry'!$B$6:$B$200,{"Confirmed";"Probable"},'Data entry'!$AQ$6:$AQ$200,'Data Validation'!$V$7, 'Data entry'!$AP$6:$AP$200,'Data Validation'!$U$2, 'Data entry'!$BD$6:$BD$200,"&lt;&gt;*Negative*"))</f>
        <v>0</v>
      </c>
      <c r="BF140" s="15">
        <f>SUM(COUNTIFS('Data entry'!$R$6:$R$200,'Summary Data'!$A140,'Data entry'!$B$6:$B$200,{"Confirmed";"Probable"},'Data entry'!$AQ$6:$AQ$200,'Data Validation'!$V$7, 'Data entry'!$AP$6:$AP$200,'Data Validation'!$U$3, 'Data entry'!$BD$6:$BD$200,"&lt;&gt;*Negative*"))</f>
        <v>0</v>
      </c>
      <c r="BG140" s="15">
        <f>SUM(COUNTIFS('Data entry'!$R$6:$R$200,'Summary Data'!$A140,'Data entry'!$B$6:$B$200,{"Confirmed";"Probable"},'Data entry'!$AQ$6:$AQ$200,'Data Validation'!$V$7, 'Data entry'!$AP$6:$AP$200,'Data Validation'!$U$4, 'Data entry'!$BD$6:$BD$200,"&lt;&gt;*Negative*"))</f>
        <v>0</v>
      </c>
      <c r="BH140" s="15">
        <f>SUM(COUNTIFS('Data entry'!$R$6:$R$200,'Summary Data'!$A140,'Data entry'!$B$6:$B$200,{"Confirmed";"Probable"},'Data entry'!$AQ$6:$AQ$200,'Data Validation'!$V$7, 'Data entry'!$AP$6:$AP$200,'Data Validation'!$U$5, 'Data entry'!$BD$6:$BD$200,"&lt;&gt;*Negative*"))</f>
        <v>0</v>
      </c>
      <c r="BI140" s="15">
        <f>SUM(COUNTIFS('Data entry'!$R$6:$R$200,'Summary Data'!$A140,'Data entry'!$B$6:$B$200,{"Confirmed";"Probable"},'Data entry'!$AQ$6:$AQ$200,'Data Validation'!$V$7, 'Data entry'!$AP$6:$AP$200,'Data Validation'!$U$6, 'Data entry'!$BD$6:$BD$200,"&lt;&gt;*Negative*"))</f>
        <v>0</v>
      </c>
      <c r="BJ140" s="15">
        <f>SUM(COUNTIFS('Data entry'!$R$6:$R$200,'Summary Data'!$A140,'Data entry'!$B$6:$B$200,{"Confirmed";"Probable"},'Data entry'!$AQ$6:$AQ$200,'Data Validation'!$V$8, 'Data entry'!$AP$6:$AP$200,'Data Validation'!$U$2, 'Data entry'!$BD$6:$BD$200,"&lt;&gt;*Negative*"))</f>
        <v>0</v>
      </c>
      <c r="BK140" s="15">
        <f>SUM(COUNTIFS('Data entry'!$R$6:$R$200,'Summary Data'!$A140,'Data entry'!$B$6:$B$200,{"Confirmed";"Probable"},'Data entry'!$AQ$6:$AQ$200,'Data Validation'!$V$8, 'Data entry'!$AP$6:$AP$200,'Data Validation'!$U$3, 'Data entry'!$BD$6:$BD$200,"&lt;&gt;*Negative*"))</f>
        <v>0</v>
      </c>
      <c r="BL140" s="15">
        <f>SUM(COUNTIFS('Data entry'!$R$6:$R$200,'Summary Data'!$A140,'Data entry'!$B$6:$B$200,{"Confirmed";"Probable"},'Data entry'!$AQ$6:$AQ$200,'Data Validation'!$V$8, 'Data entry'!$AP$6:$AP$200,'Data Validation'!$U$4, 'Data entry'!$BD$6:$BD$200,"&lt;&gt;*Negative*"))</f>
        <v>0</v>
      </c>
      <c r="BM140" s="15">
        <f>SUM(COUNTIFS('Data entry'!$R$6:$R$200,'Summary Data'!$A140,'Data entry'!$B$6:$B$200,{"Confirmed";"Probable"},'Data entry'!$AQ$6:$AQ$200,'Data Validation'!$V$8, 'Data entry'!$AP$6:$AP$200,'Data Validation'!$U$5, 'Data entry'!$BD$6:$BD$200,"&lt;&gt;*Negative*"))</f>
        <v>0</v>
      </c>
      <c r="BN140" s="15">
        <f>SUM(COUNTIFS('Data entry'!$R$6:$R$200,'Summary Data'!$A140,'Data entry'!$B$6:$B$200,{"Confirmed";"Probable"},'Data entry'!$AQ$6:$AQ$200,'Data Validation'!$V$8, 'Data entry'!$AP$6:$AP$200,'Data Validation'!$U$6, 'Data entry'!$BD$6:$BD$200,"&lt;&gt;*Negative*"))</f>
        <v>0</v>
      </c>
      <c r="BO140" s="15">
        <f>SUM(COUNTIFS('Data entry'!$R$6:$R$200,'Summary Data'!$A140,'Data entry'!$B$6:$B$200,{"Confirmed";"Probable"},'Data entry'!$AQ$6:$AQ$200,'Data Validation'!$V$9, 'Data entry'!$AP$6:$AP$200,'Data Validation'!$U$2, 'Data entry'!$BD$6:$BD$200,"&lt;&gt;*Negative*"))</f>
        <v>0</v>
      </c>
      <c r="BP140" s="15">
        <f>SUM(COUNTIFS('Data entry'!$R$6:$R$200,'Summary Data'!$A140,'Data entry'!$B$6:$B$200,{"Confirmed";"Probable"},'Data entry'!$AQ$6:$AQ$200,'Data Validation'!$V$9, 'Data entry'!$AP$6:$AP$200,'Data Validation'!$U$3, 'Data entry'!$BD$6:$BD$200,"&lt;&gt;*Negative*"))</f>
        <v>0</v>
      </c>
      <c r="BQ140" s="15">
        <f>SUM(COUNTIFS('Data entry'!$R$6:$R$200,'Summary Data'!$A140,'Data entry'!$B$6:$B$200,{"Confirmed";"Probable"},'Data entry'!$AQ$6:$AQ$200,'Data Validation'!$V$9, 'Data entry'!$AP$6:$AP$200,'Data Validation'!$U$4, 'Data entry'!$BD$6:$BD$200,"&lt;&gt;*Negative*"))</f>
        <v>0</v>
      </c>
      <c r="BR140" s="15">
        <f>SUM(COUNTIFS('Data entry'!$R$6:$R$200,'Summary Data'!$A140,'Data entry'!$B$6:$B$200,{"Confirmed";"Probable"},'Data entry'!$AQ$6:$AQ$200,'Data Validation'!$V$9, 'Data entry'!$AP$6:$AP$200,'Data Validation'!$U$5, 'Data entry'!$BD$6:$BD$200,"&lt;&gt;*Negative*"))</f>
        <v>0</v>
      </c>
      <c r="BS140" s="15">
        <f>SUM(COUNTIFS('Data entry'!$R$6:$R$200,'Summary Data'!$A140,'Data entry'!$B$6:$B$200,{"Confirmed";"Probable"},'Data entry'!$AQ$6:$AQ$200,'Data Validation'!$V$9, 'Data entry'!$AP$6:$AP$200,'Data Validation'!$U$6, 'Data entry'!$BD$6:$BD$200,"&lt;&gt;*Negative*"))</f>
        <v>0</v>
      </c>
      <c r="BT140" s="15">
        <f>SUM(COUNTIFS('Data entry'!$R$6:$R$200,'Summary Data'!$A140,'Data entry'!$B$6:$B$200,{"Confirmed";"Probable"},'Data entry'!$AQ$6:$AQ$200,'Data Validation'!$V$10, 'Data entry'!$AP$6:$AP$200,'Data Validation'!$U$2, 'Data entry'!$BD$6:$BD$200,"&lt;&gt;*Negative*"))</f>
        <v>0</v>
      </c>
      <c r="BU140" s="15">
        <f>SUM(COUNTIFS('Data entry'!$R$6:$R$200,'Summary Data'!$A140,'Data entry'!$B$6:$B$200,{"Confirmed";"Probable"},'Data entry'!$AQ$6:$AQ$200,'Data Validation'!$V$10, 'Data entry'!$AP$6:$AP$200,'Data Validation'!$U$3, 'Data entry'!$BD$6:$BD$200,"&lt;&gt;*Negative*"))</f>
        <v>0</v>
      </c>
      <c r="BV140" s="15">
        <f>SUM(COUNTIFS('Data entry'!$R$6:$R$200,'Summary Data'!$A140,'Data entry'!$B$6:$B$200,{"Confirmed";"Probable"},'Data entry'!$AQ$6:$AQ$200,'Data Validation'!$V$10, 'Data entry'!$AP$6:$AP$200,'Data Validation'!$U$4, 'Data entry'!$BD$6:$BD$200,"&lt;&gt;*Negative*"))</f>
        <v>0</v>
      </c>
      <c r="BW140" s="15">
        <f>SUM(COUNTIFS('Data entry'!$R$6:$R$200,'Summary Data'!$A140,'Data entry'!$B$6:$B$200,{"Confirmed";"Probable"},'Data entry'!$AQ$6:$AQ$200,'Data Validation'!$V$10, 'Data entry'!$AP$6:$AP$200,'Data Validation'!$U$5, 'Data entry'!$BD$6:$BD$200,"&lt;&gt;*Negative*"))</f>
        <v>0</v>
      </c>
      <c r="BX140" s="15">
        <f>SUM(COUNTIFS('Data entry'!$R$6:$R$200,'Summary Data'!$A140,'Data entry'!$B$6:$B$200,{"Confirmed";"Probable"},'Data entry'!$AQ$6:$AQ$200,'Data Validation'!$V$10, 'Data entry'!$AP$6:$AP$200,'Data Validation'!$U$6, 'Data entry'!$BD$6:$BD$200,"&lt;&gt;*Negative*"))</f>
        <v>0</v>
      </c>
      <c r="BY140" s="15">
        <f>SUM(COUNTIFS('Data entry'!$R$6:$R$200,'Summary Data'!$A140,'Data entry'!$B$6:$B$200,{"Confirmed";"Probable"},'Data entry'!$AQ$6:$AQ$200,'Data Validation'!$V$11, 'Data entry'!$AP$6:$AP$200,'Data Validation'!$U$2, 'Data entry'!$BD$6:$BD$200,"&lt;&gt;*Negative*"))</f>
        <v>0</v>
      </c>
      <c r="BZ140" s="15">
        <f>SUM(COUNTIFS('Data entry'!$R$6:$R$200,'Summary Data'!$A140,'Data entry'!$B$6:$B$200,{"Confirmed";"Probable"},'Data entry'!$AQ$6:$AQ$200,'Data Validation'!$V$11, 'Data entry'!$AP$6:$AP$200,'Data Validation'!$U$3, 'Data entry'!$BD$6:$BD$200,"&lt;&gt;*Negative*"))</f>
        <v>0</v>
      </c>
      <c r="CA140" s="15">
        <f>SUM(COUNTIFS('Data entry'!$R$6:$R$200,'Summary Data'!$A140,'Data entry'!$B$6:$B$200,{"Confirmed";"Probable"},'Data entry'!$AQ$6:$AQ$200,'Data Validation'!$V$11, 'Data entry'!$AP$6:$AP$200,'Data Validation'!$U$4, 'Data entry'!$BD$6:$BD$200,"&lt;&gt;*Negative*"))</f>
        <v>0</v>
      </c>
      <c r="CB140" s="15">
        <f>SUM(COUNTIFS('Data entry'!$R$6:$R$200,'Summary Data'!$A140,'Data entry'!$B$6:$B$200,{"Confirmed";"Probable"},'Data entry'!$AQ$6:$AQ$200,'Data Validation'!$V$11, 'Data entry'!$AP$6:$AP$200,'Data Validation'!$U$5, 'Data entry'!$BD$6:$BD$200,"&lt;&gt;*Negative*"))</f>
        <v>0</v>
      </c>
      <c r="CC140" s="15">
        <f>SUM(COUNTIFS('Data entry'!$R$6:$R$200,'Summary Data'!$A140,'Data entry'!$B$6:$B$200,{"Confirmed";"Probable"},'Data entry'!$AQ$6:$AQ$200,'Data Validation'!$V$11, 'Data entry'!$AP$6:$AP$200,'Data Validation'!$U$6, 'Data entry'!$BD$6:$BD$200,"&lt;&gt;*Negative*"))</f>
        <v>0</v>
      </c>
    </row>
    <row r="141" spans="1:81" x14ac:dyDescent="0.25">
      <c r="A141" s="12">
        <f t="shared" si="9"/>
        <v>129</v>
      </c>
      <c r="B141" s="13">
        <f>SUM(C141:D141)</f>
        <v>0</v>
      </c>
      <c r="C141" s="13">
        <f>COUNTIFS('Data entry'!$R$6:$R$200,$A141,'Data entry'!$B$6:$B$200,"Confirmed",'Data entry'!$BD$6:$BD$200,"&lt;&gt;*Negative*")</f>
        <v>0</v>
      </c>
      <c r="D141" s="13">
        <f>COUNTIFS('Data entry'!$R$6:$R$200,$A141,'Data entry'!$B$6:$B$200,"Probable",'Data entry'!$BD$6:$BD$200,"&lt;&gt;*Negative*")</f>
        <v>0</v>
      </c>
      <c r="E141" s="13">
        <f>COUNTIFS('Data entry'!$R$6:$R$200,$A141,'Data entry'!$B$6:$B$200,"DNM")</f>
        <v>0</v>
      </c>
      <c r="F141" s="13">
        <f>SUM(COUNTIFS('Data entry'!$R$6:$R$200,'Summary Data'!$A141,'Data entry'!$B$6:$B$200,{"Confirmed";"Probable"},'Data entry'!$AO$6:$AO$200,$F$10, 'Data entry'!$BD$6:$BD$200,"&lt;&gt;*Negative*"))</f>
        <v>0</v>
      </c>
      <c r="G141" s="13">
        <f>SUM(COUNTIFS('Data entry'!$R$6:$R$200,'Summary Data'!$A141,'Data entry'!$B$6:$B$200,{"Confirmed";"Probable"},'Data entry'!$AO$6:$AO$200,$G$10, 'Data entry'!$BD$6:$BD$200,"&lt;&gt;*Negative*"))</f>
        <v>0</v>
      </c>
      <c r="H141" s="13">
        <f>SUM(COUNTIFS('Data entry'!$R$6:$R$200,'Summary Data'!$A141,'Data entry'!$B$6:$B$200,{"Confirmed";"Probable"},'Data entry'!$AO$6:$AO$200,$H$10, 'Data entry'!$BD$6:$BD$200,"&lt;&gt;*Negative*"))</f>
        <v>0</v>
      </c>
      <c r="I141" s="13">
        <f>SUM(COUNTIFS('Data entry'!$R$6:$R$200,'Summary Data'!$A141,'Data entry'!$B$6:$B$200,{"Confirmed";"Probable"},'Data entry'!$AO$6:$AO$200,$I$10, 'Data entry'!$BD$6:$BD$200,"&lt;&gt;*Negative*"))</f>
        <v>0</v>
      </c>
      <c r="J141" s="13">
        <f>SUM(COUNTIFS('Data entry'!$R$6:$R$200,'Summary Data'!$A141,'Data entry'!$B$6:$B$200,{"Confirmed";"Probable"},'Data entry'!$AO$6:$AO$200,$J$10, 'Data entry'!$BD$6:$BD$200,"&lt;&gt;*Negative*"))</f>
        <v>0</v>
      </c>
      <c r="K141" s="13">
        <f>SUM(COUNTIFS('Data entry'!$R$6:$R$200,'Summary Data'!$A141,'Data entry'!$B$6:$B$200,{"Confirmed";"Probable"},'Data entry'!$AO$6:$AO$200,$K$10, 'Data entry'!$BD$6:$BD$200,"&lt;&gt;*Negative*"))</f>
        <v>0</v>
      </c>
      <c r="L141" s="13">
        <f>SUM(COUNTIFS('Data entry'!$R$6:$R$200,'Summary Data'!$A141,'Data entry'!$B$6:$B$200,{"Confirmed";"Probable"},'Data entry'!$AO$6:$AO$200,$L$10, 'Data entry'!$BD$6:$BD$200,"&lt;&gt;*Negative*"))</f>
        <v>0</v>
      </c>
      <c r="M141" s="13">
        <f>SUM(COUNTIFS('Data entry'!$R$6:$R$200,'Summary Data'!$A141,'Data entry'!$B$6:$B$200,{"Confirmed";"Probable"},'Data entry'!$AO$6:$AO$200,$M$10, 'Data entry'!$BD$6:$BD$200,"&lt;&gt;*Negative*"))</f>
        <v>0</v>
      </c>
      <c r="N141" s="13">
        <f>SUM(COUNTIFS('Data entry'!$R$6:$R$200,'Summary Data'!$A141,'Data entry'!$B$6:$B$200,{"Confirmed";"Probable"},'Data entry'!$AO$6:$AO$200,$N$10, 'Data entry'!$BD$6:$BD$200,"&lt;&gt;*Negative*"))</f>
        <v>0</v>
      </c>
      <c r="O141" s="15">
        <f>J141+M141</f>
        <v>0</v>
      </c>
      <c r="P141" s="15">
        <f>F141+G141+H141+I141+K141+L141+N141</f>
        <v>0</v>
      </c>
      <c r="Q141" s="15">
        <f>SUM(COUNTIFS('Data entry'!$R$6:$R$200,'Summary Data'!$A141,'Data entry'!$B$6:$B$200,{"Confirmed";"Probable"},'Data entry'!$AP$6:$AP$200,'Data Validation'!$U$2, 'Data entry'!$BD$6:$BD$200,"&lt;&gt;*Negative*"))</f>
        <v>0</v>
      </c>
      <c r="R141" s="15">
        <f>SUM(COUNTIFS('Data entry'!$R$6:$R$200,'Summary Data'!$A141,'Data entry'!$B$6:$B$200,{"Confirmed";"Probable"},'Data entry'!$AP$6:$AP$200,'Data Validation'!$U$3, 'Data entry'!$BD$6:$BD$200,"&lt;&gt;*Negative*"))</f>
        <v>0</v>
      </c>
      <c r="S141" s="15">
        <f>SUM(COUNTIFS('Data entry'!$R$6:$R$200,'Summary Data'!$A141,'Data entry'!$B$6:$B$200,{"Confirmed";"Probable"},'Data entry'!$AP$6:$AP$200,'Data Validation'!$U$4, 'Data entry'!$BD$6:$BD$200,"&lt;&gt;*Negative*"))</f>
        <v>0</v>
      </c>
      <c r="T141" s="15">
        <f>SUM(COUNTIFS('Data entry'!$R$6:$R$200,'Summary Data'!$A141,'Data entry'!$B$6:$B$200,{"Confirmed";"Probable"},'Data entry'!$AP$6:$AP$200,'Data Validation'!$U$5, 'Data entry'!$BD$6:$BD$200,"&lt;&gt;*Negative*"))</f>
        <v>0</v>
      </c>
      <c r="U141" s="15">
        <f>SUM(COUNTIFS('Data entry'!$R$6:$R$200,'Summary Data'!$A141,'Data entry'!$B$6:$B$200,{"Confirmed";"Probable"},'Data entry'!$AP$6:$AP$200,'Data Validation'!$U$6, 'Data entry'!$BD$6:$BD$200,"&lt;&gt;*Negative*"))</f>
        <v>0</v>
      </c>
      <c r="V141" s="15">
        <f>SUM(COUNTIFS('Data entry'!$R$6:$R$200,'Summary Data'!$A141,'Data entry'!$B$6:$B$200,{"Confirmed";"Probable"},'Data entry'!$AQ$6:$AQ$200,'Data Validation'!$V$2, 'Data entry'!$BD$6:$BD$200,"&lt;&gt;*Negative*"))</f>
        <v>0</v>
      </c>
      <c r="W141" s="15">
        <f>SUM(COUNTIFS('Data entry'!$R$6:$R$200,'Summary Data'!$A141,'Data entry'!$B$6:$B$200,{"Confirmed";"Probable"},'Data entry'!$AQ$6:$AQ$200,'Data Validation'!$V$3, 'Data entry'!$BD$6:$BD$200,"&lt;&gt;*Negative*"))</f>
        <v>0</v>
      </c>
      <c r="X141" s="15">
        <f>SUM(COUNTIFS('Data entry'!$R$6:$R$200,'Summary Data'!$A141,'Data entry'!$B$6:$B$200,{"Confirmed";"Probable"},'Data entry'!$AQ$6:$AQ$200,'Data Validation'!$V$4, 'Data entry'!$BD$6:$BD$200,"&lt;&gt;*Negative*"))</f>
        <v>0</v>
      </c>
      <c r="Y141" s="15">
        <f>SUM(COUNTIFS('Data entry'!$R$6:$R$200,'Summary Data'!$A141,'Data entry'!$B$6:$B$200,{"Confirmed";"Probable"},'Data entry'!$AQ$6:$AQ$200,'Data Validation'!$V$5, 'Data entry'!$BD$6:$BD$200,"&lt;&gt;*Negative*"))</f>
        <v>0</v>
      </c>
      <c r="Z141" s="15">
        <f>SUM(COUNTIFS('Data entry'!$R$6:$R$200,'Summary Data'!$A141,'Data entry'!$B$6:$B$200,{"Confirmed";"Probable"},'Data entry'!$AQ$6:$AQ$200,'Data Validation'!$V$6, 'Data entry'!$BD$6:$BD$200,"&lt;&gt;*Negative*"))</f>
        <v>0</v>
      </c>
      <c r="AA141" s="15">
        <f>SUM(COUNTIFS('Data entry'!$R$6:$R$200,'Summary Data'!$A141,'Data entry'!$B$6:$B$200,{"Confirmed";"Probable"},'Data entry'!$AQ$6:$AQ$200,'Data Validation'!$V$7, 'Data entry'!$BD$6:$BD$200,"&lt;&gt;*Negative*"))</f>
        <v>0</v>
      </c>
      <c r="AB141" s="15">
        <f>SUM(COUNTIFS('Data entry'!$R$6:$R$200,'Summary Data'!$A141,'Data entry'!$B$6:$B$200,{"Confirmed";"Probable"},'Data entry'!$AQ$6:$AQ$200,'Data Validation'!$V$8, 'Data entry'!$BD$6:$BD$200,"&lt;&gt;*Negative*"))</f>
        <v>0</v>
      </c>
      <c r="AC141" s="15">
        <f>SUM(COUNTIFS('Data entry'!$R$6:$R$200,'Summary Data'!$A141,'Data entry'!$B$6:$B$200,{"Confirmed";"Probable"},'Data entry'!$AQ$6:$AQ$200,'Data Validation'!$V$9, 'Data entry'!$BD$6:$BD$200,"&lt;&gt;*Negative*"))</f>
        <v>0</v>
      </c>
      <c r="AD141" s="15">
        <f>SUM(COUNTIFS('Data entry'!$R$6:$R$200,'Summary Data'!$A141,'Data entry'!$B$6:$B$200,{"Confirmed";"Probable"},'Data entry'!$AQ$6:$AQ$200,'Data Validation'!$V$10, 'Data entry'!$BD$6:$BD$200,"&lt;&gt;*Negative*"))</f>
        <v>0</v>
      </c>
      <c r="AE141" s="15">
        <f>SUM(COUNTIFS('Data entry'!$R$6:$R$200,'Summary Data'!$A141,'Data entry'!$B$6:$B$200,{"Confirmed";"Probable"},'Data entry'!$AQ$6:$AQ$200,'Data Validation'!$V$11, 'Data entry'!$BD$6:$BD$200,"&lt;&gt;*Negative*"))</f>
        <v>0</v>
      </c>
      <c r="AF141" s="15">
        <f>SUM(COUNTIFS('Data entry'!$R$6:$R$200,'Summary Data'!$A141,'Data entry'!$B$6:$B$200,{"Confirmed";"Probable"},'Data entry'!$AQ$6:$AQ$200,'Data Validation'!$V$2, 'Data entry'!$AP$6:$AP$200,'Data Validation'!$U$2, 'Data entry'!$BD$6:$BD$200,"&lt;&gt;*Negative*"))</f>
        <v>0</v>
      </c>
      <c r="AG141" s="15">
        <f>SUM(COUNTIFS('Data entry'!$R$6:$R$200,'Summary Data'!$A141,'Data entry'!$B$6:$B$200,{"Confirmed";"Probable"},'Data entry'!$AQ$6:$AQ$200,'Data Validation'!$V$2, 'Data entry'!$AP$6:$AP$200,'Data Validation'!$U$3, 'Data entry'!$BD$6:$BD$200,"&lt;&gt;*Negative*"))</f>
        <v>0</v>
      </c>
      <c r="AH141" s="15">
        <f>SUM(COUNTIFS('Data entry'!$R$6:$R$200,'Summary Data'!$A141,'Data entry'!$B$6:$B$200,{"Confirmed";"Probable"},'Data entry'!$AQ$6:$AQ$200,'Data Validation'!$V$2, 'Data entry'!$AP$6:$AP$200,'Data Validation'!$U$4, 'Data entry'!$BD$6:$BD$200,"&lt;&gt;*Negative*"))</f>
        <v>0</v>
      </c>
      <c r="AI141" s="15">
        <f>SUM(COUNTIFS('Data entry'!$R$6:$R$200,'Summary Data'!$A141,'Data entry'!$B$6:$B$200,{"Confirmed";"Probable"},'Data entry'!$AQ$6:$AQ$200,'Data Validation'!$V$2, 'Data entry'!$AP$6:$AP$200,'Data Validation'!$U$5, 'Data entry'!$BD$6:$BD$200,"&lt;&gt;*Negative*"))</f>
        <v>0</v>
      </c>
      <c r="AJ141" s="15">
        <f>SUM(COUNTIFS('Data entry'!$R$6:$R$200,'Summary Data'!$A141,'Data entry'!$B$6:$B$200,{"Confirmed";"Probable"},'Data entry'!$AQ$6:$AQ$200,'Data Validation'!$V$2, 'Data entry'!$AP$6:$AP$200,'Data Validation'!$U$6, 'Data entry'!$BD$6:$BD$200,"&lt;&gt;*Negative*"))</f>
        <v>0</v>
      </c>
      <c r="AK141" s="15">
        <f>SUM(COUNTIFS('Data entry'!$R$6:$R$200,'Summary Data'!$A141,'Data entry'!$B$6:$B$200,{"Confirmed";"Probable"},'Data entry'!$AQ$6:$AQ$200,'Data Validation'!$V$3, 'Data entry'!$AP$6:$AP$200,'Data Validation'!$U$2, 'Data entry'!$BD$6:$BD$200,"&lt;&gt;*Negative*"))</f>
        <v>0</v>
      </c>
      <c r="AL141" s="15">
        <f>SUM(COUNTIFS('Data entry'!$R$6:$R$200,'Summary Data'!$A141,'Data entry'!$B$6:$B$200,{"Confirmed";"Probable"},'Data entry'!$AQ$6:$AQ$200,'Data Validation'!$V$3, 'Data entry'!$AP$6:$AP$200,'Data Validation'!$U$3, 'Data entry'!$BD$6:$BD$200,"&lt;&gt;*Negative*"))</f>
        <v>0</v>
      </c>
      <c r="AM141" s="15">
        <f>SUM(COUNTIFS('Data entry'!$R$6:$R$200,'Summary Data'!$A141,'Data entry'!$B$6:$B$200,{"Confirmed";"Probable"},'Data entry'!$AQ$6:$AQ$200,'Data Validation'!$V$3, 'Data entry'!$AP$6:$AP$200,'Data Validation'!$U$4, 'Data entry'!$BD$6:$BD$200,"&lt;&gt;*Negative*"))</f>
        <v>0</v>
      </c>
      <c r="AN141" s="15">
        <f>SUM(COUNTIFS('Data entry'!$R$6:$R$200,'Summary Data'!$A141,'Data entry'!$B$6:$B$200,{"Confirmed";"Probable"},'Data entry'!$AQ$6:$AQ$200,'Data Validation'!$V$3, 'Data entry'!$AP$6:$AP$200,'Data Validation'!$U$5, 'Data entry'!$BD$6:$BD$200,"&lt;&gt;*Negative*"))</f>
        <v>0</v>
      </c>
      <c r="AO141" s="15">
        <f>SUM(COUNTIFS('Data entry'!$R$6:$R$200,'Summary Data'!$A141,'Data entry'!$B$6:$B$200,{"Confirmed";"Probable"},'Data entry'!$AQ$6:$AQ$200,'Data Validation'!$V$3, 'Data entry'!$AP$6:$AP$200,'Data Validation'!$U$6, 'Data entry'!$BD$6:$BD$200,"&lt;&gt;*Negative*"))</f>
        <v>0</v>
      </c>
      <c r="AP141" s="15">
        <f>SUM(COUNTIFS('Data entry'!$R$6:$R$200,'Summary Data'!$A141,'Data entry'!$B$6:$B$200,{"Confirmed";"Probable"},'Data entry'!$AQ$6:$AQ$200,'Data Validation'!$V$4, 'Data entry'!$AP$6:$AP$200,'Data Validation'!$U$2, 'Data entry'!$BD$6:$BD$200,"&lt;&gt;*Negative*"))</f>
        <v>0</v>
      </c>
      <c r="AQ141" s="15">
        <f>SUM(COUNTIFS('Data entry'!$R$6:$R$200,'Summary Data'!$A141,'Data entry'!$B$6:$B$200,{"Confirmed";"Probable"},'Data entry'!$AQ$6:$AQ$200,'Data Validation'!$V$4, 'Data entry'!$AP$6:$AP$200,'Data Validation'!$U$3, 'Data entry'!$BD$6:$BD$200,"&lt;&gt;*Negative*"))</f>
        <v>0</v>
      </c>
      <c r="AR141" s="15">
        <f>SUM(COUNTIFS('Data entry'!$R$6:$R$200,'Summary Data'!$A141,'Data entry'!$B$6:$B$200,{"Confirmed";"Probable"},'Data entry'!$AQ$6:$AQ$200,'Data Validation'!$V$4, 'Data entry'!$AP$6:$AP$200,'Data Validation'!$U$4, 'Data entry'!$BD$6:$BD$200,"&lt;&gt;*Negative*"))</f>
        <v>0</v>
      </c>
      <c r="AS141" s="15">
        <f>SUM(COUNTIFS('Data entry'!$R$6:$R$200,'Summary Data'!$A141,'Data entry'!$B$6:$B$200,{"Confirmed";"Probable"},'Data entry'!$AQ$6:$AQ$200,'Data Validation'!$V$4, 'Data entry'!$AP$6:$AP$200,'Data Validation'!$U$5, 'Data entry'!$BD$6:$BD$200,"&lt;&gt;*Negative*"))</f>
        <v>0</v>
      </c>
      <c r="AT141" s="15">
        <f>SUM(COUNTIFS('Data entry'!$R$6:$R$200,'Summary Data'!$A141,'Data entry'!$B$6:$B$200,{"Confirmed";"Probable"},'Data entry'!$AQ$6:$AQ$200,'Data Validation'!$V$4, 'Data entry'!$AP$6:$AP$200,'Data Validation'!$U$6, 'Data entry'!$BD$6:$BD$200,"&lt;&gt;*Negative*"))</f>
        <v>0</v>
      </c>
      <c r="AU141" s="15">
        <f>SUM(COUNTIFS('Data entry'!$R$6:$R$200,'Summary Data'!$A141,'Data entry'!$B$6:$B$200,{"Confirmed";"Probable"},'Data entry'!$AQ$6:$AQ$200,'Data Validation'!$V$5, 'Data entry'!$AP$6:$AP$200,'Data Validation'!$U$2, 'Data entry'!$BD$6:$BD$200,"&lt;&gt;*Negative*"))</f>
        <v>0</v>
      </c>
      <c r="AV141" s="15">
        <f>SUM(COUNTIFS('Data entry'!$R$6:$R$200,'Summary Data'!$A141,'Data entry'!$B$6:$B$200,{"Confirmed";"Probable"},'Data entry'!$AQ$6:$AQ$200,'Data Validation'!$V$5, 'Data entry'!$AP$6:$AP$200,'Data Validation'!$U$3, 'Data entry'!$BD$6:$BD$200,"&lt;&gt;*Negative*"))</f>
        <v>0</v>
      </c>
      <c r="AW141" s="15">
        <f>SUM(COUNTIFS('Data entry'!$R$6:$R$200,'Summary Data'!$A141,'Data entry'!$B$6:$B$200,{"Confirmed";"Probable"},'Data entry'!$AQ$6:$AQ$200,'Data Validation'!$V$5, 'Data entry'!$AP$6:$AP$200,'Data Validation'!$U$4, 'Data entry'!$BD$6:$BD$200,"&lt;&gt;*Negative*"))</f>
        <v>0</v>
      </c>
      <c r="AX141" s="15">
        <f>SUM(COUNTIFS('Data entry'!$R$6:$R$200,'Summary Data'!$A141,'Data entry'!$B$6:$B$200,{"Confirmed";"Probable"},'Data entry'!$AQ$6:$AQ$200,'Data Validation'!$V$5, 'Data entry'!$AP$6:$AP$200,'Data Validation'!$U$5, 'Data entry'!$BD$6:$BD$200,"&lt;&gt;*Negative*"))</f>
        <v>0</v>
      </c>
      <c r="AY141" s="15">
        <f>SUM(COUNTIFS('Data entry'!$R$6:$R$200,'Summary Data'!$A141,'Data entry'!$B$6:$B$200,{"Confirmed";"Probable"},'Data entry'!$AQ$6:$AQ$200,'Data Validation'!$V$5, 'Data entry'!$AP$6:$AP$200,'Data Validation'!$U$6, 'Data entry'!$BD$6:$BD$200,"&lt;&gt;*Negative*"))</f>
        <v>0</v>
      </c>
      <c r="AZ141" s="15">
        <f>SUM(COUNTIFS('Data entry'!$R$6:$R$200,'Summary Data'!$A141,'Data entry'!$B$6:$B$200,{"Confirmed";"Probable"},'Data entry'!$AQ$6:$AQ$200,'Data Validation'!$V$6, 'Data entry'!$AP$6:$AP$200,'Data Validation'!$U$2, 'Data entry'!$BD$6:$BD$200,"&lt;&gt;*Negative*"))</f>
        <v>0</v>
      </c>
      <c r="BA141" s="15">
        <f>SUM(COUNTIFS('Data entry'!$R$6:$R$200,'Summary Data'!$A141,'Data entry'!$B$6:$B$200,{"Confirmed";"Probable"},'Data entry'!$AQ$6:$AQ$200,'Data Validation'!$V$6, 'Data entry'!$AP$6:$AP$200,'Data Validation'!$U$3, 'Data entry'!$BD$6:$BD$200,"&lt;&gt;*Negative*"))</f>
        <v>0</v>
      </c>
      <c r="BB141" s="15">
        <f>SUM(COUNTIFS('Data entry'!$R$6:$R$200,'Summary Data'!$A141,'Data entry'!$B$6:$B$200,{"Confirmed";"Probable"},'Data entry'!$AQ$6:$AQ$200,'Data Validation'!$V$6, 'Data entry'!$AP$6:$AP$200,'Data Validation'!$U$4, 'Data entry'!$BD$6:$BD$200,"&lt;&gt;*Negative*"))</f>
        <v>0</v>
      </c>
      <c r="BC141" s="15">
        <f>SUM(COUNTIFS('Data entry'!$R$6:$R$200,'Summary Data'!$A141,'Data entry'!$B$6:$B$200,{"Confirmed";"Probable"},'Data entry'!$AQ$6:$AQ$200,'Data Validation'!$V$6, 'Data entry'!$AP$6:$AP$200,'Data Validation'!$U$5, 'Data entry'!$BD$6:$BD$200,"&lt;&gt;*Negative*"))</f>
        <v>0</v>
      </c>
      <c r="BD141" s="15">
        <f>SUM(COUNTIFS('Data entry'!$R$6:$R$200,'Summary Data'!$A141,'Data entry'!$B$6:$B$200,{"Confirmed";"Probable"},'Data entry'!$AQ$6:$AQ$200,'Data Validation'!$V$6, 'Data entry'!$AP$6:$AP$200,'Data Validation'!$U$6, 'Data entry'!$BD$6:$BD$200,"&lt;&gt;*Negative*"))</f>
        <v>0</v>
      </c>
      <c r="BE141" s="15">
        <f>SUM(COUNTIFS('Data entry'!$R$6:$R$200,'Summary Data'!$A141,'Data entry'!$B$6:$B$200,{"Confirmed";"Probable"},'Data entry'!$AQ$6:$AQ$200,'Data Validation'!$V$7, 'Data entry'!$AP$6:$AP$200,'Data Validation'!$U$2, 'Data entry'!$BD$6:$BD$200,"&lt;&gt;*Negative*"))</f>
        <v>0</v>
      </c>
      <c r="BF141" s="15">
        <f>SUM(COUNTIFS('Data entry'!$R$6:$R$200,'Summary Data'!$A141,'Data entry'!$B$6:$B$200,{"Confirmed";"Probable"},'Data entry'!$AQ$6:$AQ$200,'Data Validation'!$V$7, 'Data entry'!$AP$6:$AP$200,'Data Validation'!$U$3, 'Data entry'!$BD$6:$BD$200,"&lt;&gt;*Negative*"))</f>
        <v>0</v>
      </c>
      <c r="BG141" s="15">
        <f>SUM(COUNTIFS('Data entry'!$R$6:$R$200,'Summary Data'!$A141,'Data entry'!$B$6:$B$200,{"Confirmed";"Probable"},'Data entry'!$AQ$6:$AQ$200,'Data Validation'!$V$7, 'Data entry'!$AP$6:$AP$200,'Data Validation'!$U$4, 'Data entry'!$BD$6:$BD$200,"&lt;&gt;*Negative*"))</f>
        <v>0</v>
      </c>
      <c r="BH141" s="15">
        <f>SUM(COUNTIFS('Data entry'!$R$6:$R$200,'Summary Data'!$A141,'Data entry'!$B$6:$B$200,{"Confirmed";"Probable"},'Data entry'!$AQ$6:$AQ$200,'Data Validation'!$V$7, 'Data entry'!$AP$6:$AP$200,'Data Validation'!$U$5, 'Data entry'!$BD$6:$BD$200,"&lt;&gt;*Negative*"))</f>
        <v>0</v>
      </c>
      <c r="BI141" s="15">
        <f>SUM(COUNTIFS('Data entry'!$R$6:$R$200,'Summary Data'!$A141,'Data entry'!$B$6:$B$200,{"Confirmed";"Probable"},'Data entry'!$AQ$6:$AQ$200,'Data Validation'!$V$7, 'Data entry'!$AP$6:$AP$200,'Data Validation'!$U$6, 'Data entry'!$BD$6:$BD$200,"&lt;&gt;*Negative*"))</f>
        <v>0</v>
      </c>
      <c r="BJ141" s="15">
        <f>SUM(COUNTIFS('Data entry'!$R$6:$R$200,'Summary Data'!$A141,'Data entry'!$B$6:$B$200,{"Confirmed";"Probable"},'Data entry'!$AQ$6:$AQ$200,'Data Validation'!$V$8, 'Data entry'!$AP$6:$AP$200,'Data Validation'!$U$2, 'Data entry'!$BD$6:$BD$200,"&lt;&gt;*Negative*"))</f>
        <v>0</v>
      </c>
      <c r="BK141" s="15">
        <f>SUM(COUNTIFS('Data entry'!$R$6:$R$200,'Summary Data'!$A141,'Data entry'!$B$6:$B$200,{"Confirmed";"Probable"},'Data entry'!$AQ$6:$AQ$200,'Data Validation'!$V$8, 'Data entry'!$AP$6:$AP$200,'Data Validation'!$U$3, 'Data entry'!$BD$6:$BD$200,"&lt;&gt;*Negative*"))</f>
        <v>0</v>
      </c>
      <c r="BL141" s="15">
        <f>SUM(COUNTIFS('Data entry'!$R$6:$R$200,'Summary Data'!$A141,'Data entry'!$B$6:$B$200,{"Confirmed";"Probable"},'Data entry'!$AQ$6:$AQ$200,'Data Validation'!$V$8, 'Data entry'!$AP$6:$AP$200,'Data Validation'!$U$4, 'Data entry'!$BD$6:$BD$200,"&lt;&gt;*Negative*"))</f>
        <v>0</v>
      </c>
      <c r="BM141" s="15">
        <f>SUM(COUNTIFS('Data entry'!$R$6:$R$200,'Summary Data'!$A141,'Data entry'!$B$6:$B$200,{"Confirmed";"Probable"},'Data entry'!$AQ$6:$AQ$200,'Data Validation'!$V$8, 'Data entry'!$AP$6:$AP$200,'Data Validation'!$U$5, 'Data entry'!$BD$6:$BD$200,"&lt;&gt;*Negative*"))</f>
        <v>0</v>
      </c>
      <c r="BN141" s="15">
        <f>SUM(COUNTIFS('Data entry'!$R$6:$R$200,'Summary Data'!$A141,'Data entry'!$B$6:$B$200,{"Confirmed";"Probable"},'Data entry'!$AQ$6:$AQ$200,'Data Validation'!$V$8, 'Data entry'!$AP$6:$AP$200,'Data Validation'!$U$6, 'Data entry'!$BD$6:$BD$200,"&lt;&gt;*Negative*"))</f>
        <v>0</v>
      </c>
      <c r="BO141" s="15">
        <f>SUM(COUNTIFS('Data entry'!$R$6:$R$200,'Summary Data'!$A141,'Data entry'!$B$6:$B$200,{"Confirmed";"Probable"},'Data entry'!$AQ$6:$AQ$200,'Data Validation'!$V$9, 'Data entry'!$AP$6:$AP$200,'Data Validation'!$U$2, 'Data entry'!$BD$6:$BD$200,"&lt;&gt;*Negative*"))</f>
        <v>0</v>
      </c>
      <c r="BP141" s="15">
        <f>SUM(COUNTIFS('Data entry'!$R$6:$R$200,'Summary Data'!$A141,'Data entry'!$B$6:$B$200,{"Confirmed";"Probable"},'Data entry'!$AQ$6:$AQ$200,'Data Validation'!$V$9, 'Data entry'!$AP$6:$AP$200,'Data Validation'!$U$3, 'Data entry'!$BD$6:$BD$200,"&lt;&gt;*Negative*"))</f>
        <v>0</v>
      </c>
      <c r="BQ141" s="15">
        <f>SUM(COUNTIFS('Data entry'!$R$6:$R$200,'Summary Data'!$A141,'Data entry'!$B$6:$B$200,{"Confirmed";"Probable"},'Data entry'!$AQ$6:$AQ$200,'Data Validation'!$V$9, 'Data entry'!$AP$6:$AP$200,'Data Validation'!$U$4, 'Data entry'!$BD$6:$BD$200,"&lt;&gt;*Negative*"))</f>
        <v>0</v>
      </c>
      <c r="BR141" s="15">
        <f>SUM(COUNTIFS('Data entry'!$R$6:$R$200,'Summary Data'!$A141,'Data entry'!$B$6:$B$200,{"Confirmed";"Probable"},'Data entry'!$AQ$6:$AQ$200,'Data Validation'!$V$9, 'Data entry'!$AP$6:$AP$200,'Data Validation'!$U$5, 'Data entry'!$BD$6:$BD$200,"&lt;&gt;*Negative*"))</f>
        <v>0</v>
      </c>
      <c r="BS141" s="15">
        <f>SUM(COUNTIFS('Data entry'!$R$6:$R$200,'Summary Data'!$A141,'Data entry'!$B$6:$B$200,{"Confirmed";"Probable"},'Data entry'!$AQ$6:$AQ$200,'Data Validation'!$V$9, 'Data entry'!$AP$6:$AP$200,'Data Validation'!$U$6, 'Data entry'!$BD$6:$BD$200,"&lt;&gt;*Negative*"))</f>
        <v>0</v>
      </c>
      <c r="BT141" s="15">
        <f>SUM(COUNTIFS('Data entry'!$R$6:$R$200,'Summary Data'!$A141,'Data entry'!$B$6:$B$200,{"Confirmed";"Probable"},'Data entry'!$AQ$6:$AQ$200,'Data Validation'!$V$10, 'Data entry'!$AP$6:$AP$200,'Data Validation'!$U$2, 'Data entry'!$BD$6:$BD$200,"&lt;&gt;*Negative*"))</f>
        <v>0</v>
      </c>
      <c r="BU141" s="15">
        <f>SUM(COUNTIFS('Data entry'!$R$6:$R$200,'Summary Data'!$A141,'Data entry'!$B$6:$B$200,{"Confirmed";"Probable"},'Data entry'!$AQ$6:$AQ$200,'Data Validation'!$V$10, 'Data entry'!$AP$6:$AP$200,'Data Validation'!$U$3, 'Data entry'!$BD$6:$BD$200,"&lt;&gt;*Negative*"))</f>
        <v>0</v>
      </c>
      <c r="BV141" s="15">
        <f>SUM(COUNTIFS('Data entry'!$R$6:$R$200,'Summary Data'!$A141,'Data entry'!$B$6:$B$200,{"Confirmed";"Probable"},'Data entry'!$AQ$6:$AQ$200,'Data Validation'!$V$10, 'Data entry'!$AP$6:$AP$200,'Data Validation'!$U$4, 'Data entry'!$BD$6:$BD$200,"&lt;&gt;*Negative*"))</f>
        <v>0</v>
      </c>
      <c r="BW141" s="15">
        <f>SUM(COUNTIFS('Data entry'!$R$6:$R$200,'Summary Data'!$A141,'Data entry'!$B$6:$B$200,{"Confirmed";"Probable"},'Data entry'!$AQ$6:$AQ$200,'Data Validation'!$V$10, 'Data entry'!$AP$6:$AP$200,'Data Validation'!$U$5, 'Data entry'!$BD$6:$BD$200,"&lt;&gt;*Negative*"))</f>
        <v>0</v>
      </c>
      <c r="BX141" s="15">
        <f>SUM(COUNTIFS('Data entry'!$R$6:$R$200,'Summary Data'!$A141,'Data entry'!$B$6:$B$200,{"Confirmed";"Probable"},'Data entry'!$AQ$6:$AQ$200,'Data Validation'!$V$10, 'Data entry'!$AP$6:$AP$200,'Data Validation'!$U$6, 'Data entry'!$BD$6:$BD$200,"&lt;&gt;*Negative*"))</f>
        <v>0</v>
      </c>
      <c r="BY141" s="15">
        <f>SUM(COUNTIFS('Data entry'!$R$6:$R$200,'Summary Data'!$A141,'Data entry'!$B$6:$B$200,{"Confirmed";"Probable"},'Data entry'!$AQ$6:$AQ$200,'Data Validation'!$V$11, 'Data entry'!$AP$6:$AP$200,'Data Validation'!$U$2, 'Data entry'!$BD$6:$BD$200,"&lt;&gt;*Negative*"))</f>
        <v>0</v>
      </c>
      <c r="BZ141" s="15">
        <f>SUM(COUNTIFS('Data entry'!$R$6:$R$200,'Summary Data'!$A141,'Data entry'!$B$6:$B$200,{"Confirmed";"Probable"},'Data entry'!$AQ$6:$AQ$200,'Data Validation'!$V$11, 'Data entry'!$AP$6:$AP$200,'Data Validation'!$U$3, 'Data entry'!$BD$6:$BD$200,"&lt;&gt;*Negative*"))</f>
        <v>0</v>
      </c>
      <c r="CA141" s="15">
        <f>SUM(COUNTIFS('Data entry'!$R$6:$R$200,'Summary Data'!$A141,'Data entry'!$B$6:$B$200,{"Confirmed";"Probable"},'Data entry'!$AQ$6:$AQ$200,'Data Validation'!$V$11, 'Data entry'!$AP$6:$AP$200,'Data Validation'!$U$4, 'Data entry'!$BD$6:$BD$200,"&lt;&gt;*Negative*"))</f>
        <v>0</v>
      </c>
      <c r="CB141" s="15">
        <f>SUM(COUNTIFS('Data entry'!$R$6:$R$200,'Summary Data'!$A141,'Data entry'!$B$6:$B$200,{"Confirmed";"Probable"},'Data entry'!$AQ$6:$AQ$200,'Data Validation'!$V$11, 'Data entry'!$AP$6:$AP$200,'Data Validation'!$U$5, 'Data entry'!$BD$6:$BD$200,"&lt;&gt;*Negative*"))</f>
        <v>0</v>
      </c>
      <c r="CC141" s="15">
        <f>SUM(COUNTIFS('Data entry'!$R$6:$R$200,'Summary Data'!$A141,'Data entry'!$B$6:$B$200,{"Confirmed";"Probable"},'Data entry'!$AQ$6:$AQ$200,'Data Validation'!$V$11, 'Data entry'!$AP$6:$AP$200,'Data Validation'!$U$6, 'Data entry'!$BD$6:$BD$200,"&lt;&gt;*Negative*"))</f>
        <v>0</v>
      </c>
    </row>
    <row r="142" spans="1:81" x14ac:dyDescent="0.25">
      <c r="A142" s="12">
        <f>A141+1</f>
        <v>130</v>
      </c>
      <c r="B142" s="13">
        <f>SUM(C142:D142)</f>
        <v>0</v>
      </c>
      <c r="C142" s="13">
        <f>COUNTIFS('Data entry'!$R$6:$R$200,$A142,'Data entry'!$B$6:$B$200,"Confirmed",'Data entry'!$BD$6:$BD$200,"&lt;&gt;*Negative*")</f>
        <v>0</v>
      </c>
      <c r="D142" s="13">
        <f>COUNTIFS('Data entry'!$R$6:$R$200,$A142,'Data entry'!$B$6:$B$200,"Probable",'Data entry'!$BD$6:$BD$200,"&lt;&gt;*Negative*")</f>
        <v>0</v>
      </c>
      <c r="E142" s="13">
        <f>COUNTIFS('Data entry'!$R$6:$R$200,$A142,'Data entry'!$B$6:$B$200,"DNM")</f>
        <v>0</v>
      </c>
      <c r="F142" s="13">
        <f>SUM(COUNTIFS('Data entry'!$R$6:$R$200,'Summary Data'!$A142,'Data entry'!$B$6:$B$200,{"Confirmed";"Probable"},'Data entry'!$AO$6:$AO$200,$F$10, 'Data entry'!$BD$6:$BD$200,"&lt;&gt;*Negative*"))</f>
        <v>0</v>
      </c>
      <c r="G142" s="13">
        <f>SUM(COUNTIFS('Data entry'!$R$6:$R$200,'Summary Data'!$A142,'Data entry'!$B$6:$B$200,{"Confirmed";"Probable"},'Data entry'!$AO$6:$AO$200,$G$10, 'Data entry'!$BD$6:$BD$200,"&lt;&gt;*Negative*"))</f>
        <v>0</v>
      </c>
      <c r="H142" s="13">
        <f>SUM(COUNTIFS('Data entry'!$R$6:$R$200,'Summary Data'!$A142,'Data entry'!$B$6:$B$200,{"Confirmed";"Probable"},'Data entry'!$AO$6:$AO$200,$H$10, 'Data entry'!$BD$6:$BD$200,"&lt;&gt;*Negative*"))</f>
        <v>0</v>
      </c>
      <c r="I142" s="13">
        <f>SUM(COUNTIFS('Data entry'!$R$6:$R$200,'Summary Data'!$A142,'Data entry'!$B$6:$B$200,{"Confirmed";"Probable"},'Data entry'!$AO$6:$AO$200,$I$10, 'Data entry'!$BD$6:$BD$200,"&lt;&gt;*Negative*"))</f>
        <v>0</v>
      </c>
      <c r="J142" s="13">
        <f>SUM(COUNTIFS('Data entry'!$R$6:$R$200,'Summary Data'!$A142,'Data entry'!$B$6:$B$200,{"Confirmed";"Probable"},'Data entry'!$AO$6:$AO$200,$J$10, 'Data entry'!$BD$6:$BD$200,"&lt;&gt;*Negative*"))</f>
        <v>0</v>
      </c>
      <c r="K142" s="13">
        <f>SUM(COUNTIFS('Data entry'!$R$6:$R$200,'Summary Data'!$A142,'Data entry'!$B$6:$B$200,{"Confirmed";"Probable"},'Data entry'!$AO$6:$AO$200,$K$10, 'Data entry'!$BD$6:$BD$200,"&lt;&gt;*Negative*"))</f>
        <v>0</v>
      </c>
      <c r="L142" s="13">
        <f>SUM(COUNTIFS('Data entry'!$R$6:$R$200,'Summary Data'!$A142,'Data entry'!$B$6:$B$200,{"Confirmed";"Probable"},'Data entry'!$AO$6:$AO$200,$L$10, 'Data entry'!$BD$6:$BD$200,"&lt;&gt;*Negative*"))</f>
        <v>0</v>
      </c>
      <c r="M142" s="13">
        <f>SUM(COUNTIFS('Data entry'!$R$6:$R$200,'Summary Data'!$A142,'Data entry'!$B$6:$B$200,{"Confirmed";"Probable"},'Data entry'!$AO$6:$AO$200,$M$10, 'Data entry'!$BD$6:$BD$200,"&lt;&gt;*Negative*"))</f>
        <v>0</v>
      </c>
      <c r="N142" s="13">
        <f>SUM(COUNTIFS('Data entry'!$R$6:$R$200,'Summary Data'!$A142,'Data entry'!$B$6:$B$200,{"Confirmed";"Probable"},'Data entry'!$AO$6:$AO$200,$N$10, 'Data entry'!$BD$6:$BD$200,"&lt;&gt;*Negative*"))</f>
        <v>0</v>
      </c>
      <c r="O142" s="15">
        <f>J142+M142</f>
        <v>0</v>
      </c>
      <c r="P142" s="15">
        <f>F142+G142+H142+I142+K142+L142+N142</f>
        <v>0</v>
      </c>
      <c r="Q142" s="15">
        <f>SUM(COUNTIFS('Data entry'!$R$6:$R$200,'Summary Data'!$A142,'Data entry'!$B$6:$B$200,{"Confirmed";"Probable"},'Data entry'!$AP$6:$AP$200,'Data Validation'!$U$2, 'Data entry'!$BD$6:$BD$200,"&lt;&gt;*Negative*"))</f>
        <v>0</v>
      </c>
      <c r="R142" s="15">
        <f>SUM(COUNTIFS('Data entry'!$R$6:$R$200,'Summary Data'!$A142,'Data entry'!$B$6:$B$200,{"Confirmed";"Probable"},'Data entry'!$AP$6:$AP$200,'Data Validation'!$U$3, 'Data entry'!$BD$6:$BD$200,"&lt;&gt;*Negative*"))</f>
        <v>0</v>
      </c>
      <c r="S142" s="15">
        <f>SUM(COUNTIFS('Data entry'!$R$6:$R$200,'Summary Data'!$A142,'Data entry'!$B$6:$B$200,{"Confirmed";"Probable"},'Data entry'!$AP$6:$AP$200,'Data Validation'!$U$4, 'Data entry'!$BD$6:$BD$200,"&lt;&gt;*Negative*"))</f>
        <v>0</v>
      </c>
      <c r="T142" s="15">
        <f>SUM(COUNTIFS('Data entry'!$R$6:$R$200,'Summary Data'!$A142,'Data entry'!$B$6:$B$200,{"Confirmed";"Probable"},'Data entry'!$AP$6:$AP$200,'Data Validation'!$U$5, 'Data entry'!$BD$6:$BD$200,"&lt;&gt;*Negative*"))</f>
        <v>0</v>
      </c>
      <c r="U142" s="15">
        <f>SUM(COUNTIFS('Data entry'!$R$6:$R$200,'Summary Data'!$A142,'Data entry'!$B$6:$B$200,{"Confirmed";"Probable"},'Data entry'!$AP$6:$AP$200,'Data Validation'!$U$6, 'Data entry'!$BD$6:$BD$200,"&lt;&gt;*Negative*"))</f>
        <v>0</v>
      </c>
      <c r="V142" s="15">
        <f>SUM(COUNTIFS('Data entry'!$R$6:$R$200,'Summary Data'!$A142,'Data entry'!$B$6:$B$200,{"Confirmed";"Probable"},'Data entry'!$AQ$6:$AQ$200,'Data Validation'!$V$2, 'Data entry'!$BD$6:$BD$200,"&lt;&gt;*Negative*"))</f>
        <v>0</v>
      </c>
      <c r="W142" s="15">
        <f>SUM(COUNTIFS('Data entry'!$R$6:$R$200,'Summary Data'!$A142,'Data entry'!$B$6:$B$200,{"Confirmed";"Probable"},'Data entry'!$AQ$6:$AQ$200,'Data Validation'!$V$3, 'Data entry'!$BD$6:$BD$200,"&lt;&gt;*Negative*"))</f>
        <v>0</v>
      </c>
      <c r="X142" s="15">
        <f>SUM(COUNTIFS('Data entry'!$R$6:$R$200,'Summary Data'!$A142,'Data entry'!$B$6:$B$200,{"Confirmed";"Probable"},'Data entry'!$AQ$6:$AQ$200,'Data Validation'!$V$4, 'Data entry'!$BD$6:$BD$200,"&lt;&gt;*Negative*"))</f>
        <v>0</v>
      </c>
      <c r="Y142" s="15">
        <f>SUM(COUNTIFS('Data entry'!$R$6:$R$200,'Summary Data'!$A142,'Data entry'!$B$6:$B$200,{"Confirmed";"Probable"},'Data entry'!$AQ$6:$AQ$200,'Data Validation'!$V$5, 'Data entry'!$BD$6:$BD$200,"&lt;&gt;*Negative*"))</f>
        <v>0</v>
      </c>
      <c r="Z142" s="15">
        <f>SUM(COUNTIFS('Data entry'!$R$6:$R$200,'Summary Data'!$A142,'Data entry'!$B$6:$B$200,{"Confirmed";"Probable"},'Data entry'!$AQ$6:$AQ$200,'Data Validation'!$V$6, 'Data entry'!$BD$6:$BD$200,"&lt;&gt;*Negative*"))</f>
        <v>0</v>
      </c>
      <c r="AA142" s="15">
        <f>SUM(COUNTIFS('Data entry'!$R$6:$R$200,'Summary Data'!$A142,'Data entry'!$B$6:$B$200,{"Confirmed";"Probable"},'Data entry'!$AQ$6:$AQ$200,'Data Validation'!$V$7, 'Data entry'!$BD$6:$BD$200,"&lt;&gt;*Negative*"))</f>
        <v>0</v>
      </c>
      <c r="AB142" s="15">
        <f>SUM(COUNTIFS('Data entry'!$R$6:$R$200,'Summary Data'!$A142,'Data entry'!$B$6:$B$200,{"Confirmed";"Probable"},'Data entry'!$AQ$6:$AQ$200,'Data Validation'!$V$8, 'Data entry'!$BD$6:$BD$200,"&lt;&gt;*Negative*"))</f>
        <v>0</v>
      </c>
      <c r="AC142" s="15">
        <f>SUM(COUNTIFS('Data entry'!$R$6:$R$200,'Summary Data'!$A142,'Data entry'!$B$6:$B$200,{"Confirmed";"Probable"},'Data entry'!$AQ$6:$AQ$200,'Data Validation'!$V$9, 'Data entry'!$BD$6:$BD$200,"&lt;&gt;*Negative*"))</f>
        <v>0</v>
      </c>
      <c r="AD142" s="15">
        <f>SUM(COUNTIFS('Data entry'!$R$6:$R$200,'Summary Data'!$A142,'Data entry'!$B$6:$B$200,{"Confirmed";"Probable"},'Data entry'!$AQ$6:$AQ$200,'Data Validation'!$V$10, 'Data entry'!$BD$6:$BD$200,"&lt;&gt;*Negative*"))</f>
        <v>0</v>
      </c>
      <c r="AE142" s="15">
        <f>SUM(COUNTIFS('Data entry'!$R$6:$R$200,'Summary Data'!$A142,'Data entry'!$B$6:$B$200,{"Confirmed";"Probable"},'Data entry'!$AQ$6:$AQ$200,'Data Validation'!$V$11, 'Data entry'!$BD$6:$BD$200,"&lt;&gt;*Negative*"))</f>
        <v>0</v>
      </c>
      <c r="AF142" s="15">
        <f>SUM(COUNTIFS('Data entry'!$R$6:$R$200,'Summary Data'!$A142,'Data entry'!$B$6:$B$200,{"Confirmed";"Probable"},'Data entry'!$AQ$6:$AQ$200,'Data Validation'!$V$2, 'Data entry'!$AP$6:$AP$200,'Data Validation'!$U$2, 'Data entry'!$BD$6:$BD$200,"&lt;&gt;*Negative*"))</f>
        <v>0</v>
      </c>
      <c r="AG142" s="15">
        <f>SUM(COUNTIFS('Data entry'!$R$6:$R$200,'Summary Data'!$A142,'Data entry'!$B$6:$B$200,{"Confirmed";"Probable"},'Data entry'!$AQ$6:$AQ$200,'Data Validation'!$V$2, 'Data entry'!$AP$6:$AP$200,'Data Validation'!$U$3, 'Data entry'!$BD$6:$BD$200,"&lt;&gt;*Negative*"))</f>
        <v>0</v>
      </c>
      <c r="AH142" s="15">
        <f>SUM(COUNTIFS('Data entry'!$R$6:$R$200,'Summary Data'!$A142,'Data entry'!$B$6:$B$200,{"Confirmed";"Probable"},'Data entry'!$AQ$6:$AQ$200,'Data Validation'!$V$2, 'Data entry'!$AP$6:$AP$200,'Data Validation'!$U$4, 'Data entry'!$BD$6:$BD$200,"&lt;&gt;*Negative*"))</f>
        <v>0</v>
      </c>
      <c r="AI142" s="15">
        <f>SUM(COUNTIFS('Data entry'!$R$6:$R$200,'Summary Data'!$A142,'Data entry'!$B$6:$B$200,{"Confirmed";"Probable"},'Data entry'!$AQ$6:$AQ$200,'Data Validation'!$V$2, 'Data entry'!$AP$6:$AP$200,'Data Validation'!$U$5, 'Data entry'!$BD$6:$BD$200,"&lt;&gt;*Negative*"))</f>
        <v>0</v>
      </c>
      <c r="AJ142" s="15">
        <f>SUM(COUNTIFS('Data entry'!$R$6:$R$200,'Summary Data'!$A142,'Data entry'!$B$6:$B$200,{"Confirmed";"Probable"},'Data entry'!$AQ$6:$AQ$200,'Data Validation'!$V$2, 'Data entry'!$AP$6:$AP$200,'Data Validation'!$U$6, 'Data entry'!$BD$6:$BD$200,"&lt;&gt;*Negative*"))</f>
        <v>0</v>
      </c>
      <c r="AK142" s="15">
        <f>SUM(COUNTIFS('Data entry'!$R$6:$R$200,'Summary Data'!$A142,'Data entry'!$B$6:$B$200,{"Confirmed";"Probable"},'Data entry'!$AQ$6:$AQ$200,'Data Validation'!$V$3, 'Data entry'!$AP$6:$AP$200,'Data Validation'!$U$2, 'Data entry'!$BD$6:$BD$200,"&lt;&gt;*Negative*"))</f>
        <v>0</v>
      </c>
      <c r="AL142" s="15">
        <f>SUM(COUNTIFS('Data entry'!$R$6:$R$200,'Summary Data'!$A142,'Data entry'!$B$6:$B$200,{"Confirmed";"Probable"},'Data entry'!$AQ$6:$AQ$200,'Data Validation'!$V$3, 'Data entry'!$AP$6:$AP$200,'Data Validation'!$U$3, 'Data entry'!$BD$6:$BD$200,"&lt;&gt;*Negative*"))</f>
        <v>0</v>
      </c>
      <c r="AM142" s="15">
        <f>SUM(COUNTIFS('Data entry'!$R$6:$R$200,'Summary Data'!$A142,'Data entry'!$B$6:$B$200,{"Confirmed";"Probable"},'Data entry'!$AQ$6:$AQ$200,'Data Validation'!$V$3, 'Data entry'!$AP$6:$AP$200,'Data Validation'!$U$4, 'Data entry'!$BD$6:$BD$200,"&lt;&gt;*Negative*"))</f>
        <v>0</v>
      </c>
      <c r="AN142" s="15">
        <f>SUM(COUNTIFS('Data entry'!$R$6:$R$200,'Summary Data'!$A142,'Data entry'!$B$6:$B$200,{"Confirmed";"Probable"},'Data entry'!$AQ$6:$AQ$200,'Data Validation'!$V$3, 'Data entry'!$AP$6:$AP$200,'Data Validation'!$U$5, 'Data entry'!$BD$6:$BD$200,"&lt;&gt;*Negative*"))</f>
        <v>0</v>
      </c>
      <c r="AO142" s="15">
        <f>SUM(COUNTIFS('Data entry'!$R$6:$R$200,'Summary Data'!$A142,'Data entry'!$B$6:$B$200,{"Confirmed";"Probable"},'Data entry'!$AQ$6:$AQ$200,'Data Validation'!$V$3, 'Data entry'!$AP$6:$AP$200,'Data Validation'!$U$6, 'Data entry'!$BD$6:$BD$200,"&lt;&gt;*Negative*"))</f>
        <v>0</v>
      </c>
      <c r="AP142" s="15">
        <f>SUM(COUNTIFS('Data entry'!$R$6:$R$200,'Summary Data'!$A142,'Data entry'!$B$6:$B$200,{"Confirmed";"Probable"},'Data entry'!$AQ$6:$AQ$200,'Data Validation'!$V$4, 'Data entry'!$AP$6:$AP$200,'Data Validation'!$U$2, 'Data entry'!$BD$6:$BD$200,"&lt;&gt;*Negative*"))</f>
        <v>0</v>
      </c>
      <c r="AQ142" s="15">
        <f>SUM(COUNTIFS('Data entry'!$R$6:$R$200,'Summary Data'!$A142,'Data entry'!$B$6:$B$200,{"Confirmed";"Probable"},'Data entry'!$AQ$6:$AQ$200,'Data Validation'!$V$4, 'Data entry'!$AP$6:$AP$200,'Data Validation'!$U$3, 'Data entry'!$BD$6:$BD$200,"&lt;&gt;*Negative*"))</f>
        <v>0</v>
      </c>
      <c r="AR142" s="15">
        <f>SUM(COUNTIFS('Data entry'!$R$6:$R$200,'Summary Data'!$A142,'Data entry'!$B$6:$B$200,{"Confirmed";"Probable"},'Data entry'!$AQ$6:$AQ$200,'Data Validation'!$V$4, 'Data entry'!$AP$6:$AP$200,'Data Validation'!$U$4, 'Data entry'!$BD$6:$BD$200,"&lt;&gt;*Negative*"))</f>
        <v>0</v>
      </c>
      <c r="AS142" s="15">
        <f>SUM(COUNTIFS('Data entry'!$R$6:$R$200,'Summary Data'!$A142,'Data entry'!$B$6:$B$200,{"Confirmed";"Probable"},'Data entry'!$AQ$6:$AQ$200,'Data Validation'!$V$4, 'Data entry'!$AP$6:$AP$200,'Data Validation'!$U$5, 'Data entry'!$BD$6:$BD$200,"&lt;&gt;*Negative*"))</f>
        <v>0</v>
      </c>
      <c r="AT142" s="15">
        <f>SUM(COUNTIFS('Data entry'!$R$6:$R$200,'Summary Data'!$A142,'Data entry'!$B$6:$B$200,{"Confirmed";"Probable"},'Data entry'!$AQ$6:$AQ$200,'Data Validation'!$V$4, 'Data entry'!$AP$6:$AP$200,'Data Validation'!$U$6, 'Data entry'!$BD$6:$BD$200,"&lt;&gt;*Negative*"))</f>
        <v>0</v>
      </c>
      <c r="AU142" s="15">
        <f>SUM(COUNTIFS('Data entry'!$R$6:$R$200,'Summary Data'!$A142,'Data entry'!$B$6:$B$200,{"Confirmed";"Probable"},'Data entry'!$AQ$6:$AQ$200,'Data Validation'!$V$5, 'Data entry'!$AP$6:$AP$200,'Data Validation'!$U$2, 'Data entry'!$BD$6:$BD$200,"&lt;&gt;*Negative*"))</f>
        <v>0</v>
      </c>
      <c r="AV142" s="15">
        <f>SUM(COUNTIFS('Data entry'!$R$6:$R$200,'Summary Data'!$A142,'Data entry'!$B$6:$B$200,{"Confirmed";"Probable"},'Data entry'!$AQ$6:$AQ$200,'Data Validation'!$V$5, 'Data entry'!$AP$6:$AP$200,'Data Validation'!$U$3, 'Data entry'!$BD$6:$BD$200,"&lt;&gt;*Negative*"))</f>
        <v>0</v>
      </c>
      <c r="AW142" s="15">
        <f>SUM(COUNTIFS('Data entry'!$R$6:$R$200,'Summary Data'!$A142,'Data entry'!$B$6:$B$200,{"Confirmed";"Probable"},'Data entry'!$AQ$6:$AQ$200,'Data Validation'!$V$5, 'Data entry'!$AP$6:$AP$200,'Data Validation'!$U$4, 'Data entry'!$BD$6:$BD$200,"&lt;&gt;*Negative*"))</f>
        <v>0</v>
      </c>
      <c r="AX142" s="15">
        <f>SUM(COUNTIFS('Data entry'!$R$6:$R$200,'Summary Data'!$A142,'Data entry'!$B$6:$B$200,{"Confirmed";"Probable"},'Data entry'!$AQ$6:$AQ$200,'Data Validation'!$V$5, 'Data entry'!$AP$6:$AP$200,'Data Validation'!$U$5, 'Data entry'!$BD$6:$BD$200,"&lt;&gt;*Negative*"))</f>
        <v>0</v>
      </c>
      <c r="AY142" s="15">
        <f>SUM(COUNTIFS('Data entry'!$R$6:$R$200,'Summary Data'!$A142,'Data entry'!$B$6:$B$200,{"Confirmed";"Probable"},'Data entry'!$AQ$6:$AQ$200,'Data Validation'!$V$5, 'Data entry'!$AP$6:$AP$200,'Data Validation'!$U$6, 'Data entry'!$BD$6:$BD$200,"&lt;&gt;*Negative*"))</f>
        <v>0</v>
      </c>
      <c r="AZ142" s="15">
        <f>SUM(COUNTIFS('Data entry'!$R$6:$R$200,'Summary Data'!$A142,'Data entry'!$B$6:$B$200,{"Confirmed";"Probable"},'Data entry'!$AQ$6:$AQ$200,'Data Validation'!$V$6, 'Data entry'!$AP$6:$AP$200,'Data Validation'!$U$2, 'Data entry'!$BD$6:$BD$200,"&lt;&gt;*Negative*"))</f>
        <v>0</v>
      </c>
      <c r="BA142" s="15">
        <f>SUM(COUNTIFS('Data entry'!$R$6:$R$200,'Summary Data'!$A142,'Data entry'!$B$6:$B$200,{"Confirmed";"Probable"},'Data entry'!$AQ$6:$AQ$200,'Data Validation'!$V$6, 'Data entry'!$AP$6:$AP$200,'Data Validation'!$U$3, 'Data entry'!$BD$6:$BD$200,"&lt;&gt;*Negative*"))</f>
        <v>0</v>
      </c>
      <c r="BB142" s="15">
        <f>SUM(COUNTIFS('Data entry'!$R$6:$R$200,'Summary Data'!$A142,'Data entry'!$B$6:$B$200,{"Confirmed";"Probable"},'Data entry'!$AQ$6:$AQ$200,'Data Validation'!$V$6, 'Data entry'!$AP$6:$AP$200,'Data Validation'!$U$4, 'Data entry'!$BD$6:$BD$200,"&lt;&gt;*Negative*"))</f>
        <v>0</v>
      </c>
      <c r="BC142" s="15">
        <f>SUM(COUNTIFS('Data entry'!$R$6:$R$200,'Summary Data'!$A142,'Data entry'!$B$6:$B$200,{"Confirmed";"Probable"},'Data entry'!$AQ$6:$AQ$200,'Data Validation'!$V$6, 'Data entry'!$AP$6:$AP$200,'Data Validation'!$U$5, 'Data entry'!$BD$6:$BD$200,"&lt;&gt;*Negative*"))</f>
        <v>0</v>
      </c>
      <c r="BD142" s="15">
        <f>SUM(COUNTIFS('Data entry'!$R$6:$R$200,'Summary Data'!$A142,'Data entry'!$B$6:$B$200,{"Confirmed";"Probable"},'Data entry'!$AQ$6:$AQ$200,'Data Validation'!$V$6, 'Data entry'!$AP$6:$AP$200,'Data Validation'!$U$6, 'Data entry'!$BD$6:$BD$200,"&lt;&gt;*Negative*"))</f>
        <v>0</v>
      </c>
      <c r="BE142" s="15">
        <f>SUM(COUNTIFS('Data entry'!$R$6:$R$200,'Summary Data'!$A142,'Data entry'!$B$6:$B$200,{"Confirmed";"Probable"},'Data entry'!$AQ$6:$AQ$200,'Data Validation'!$V$7, 'Data entry'!$AP$6:$AP$200,'Data Validation'!$U$2, 'Data entry'!$BD$6:$BD$200,"&lt;&gt;*Negative*"))</f>
        <v>0</v>
      </c>
      <c r="BF142" s="15">
        <f>SUM(COUNTIFS('Data entry'!$R$6:$R$200,'Summary Data'!$A142,'Data entry'!$B$6:$B$200,{"Confirmed";"Probable"},'Data entry'!$AQ$6:$AQ$200,'Data Validation'!$V$7, 'Data entry'!$AP$6:$AP$200,'Data Validation'!$U$3, 'Data entry'!$BD$6:$BD$200,"&lt;&gt;*Negative*"))</f>
        <v>0</v>
      </c>
      <c r="BG142" s="15">
        <f>SUM(COUNTIFS('Data entry'!$R$6:$R$200,'Summary Data'!$A142,'Data entry'!$B$6:$B$200,{"Confirmed";"Probable"},'Data entry'!$AQ$6:$AQ$200,'Data Validation'!$V$7, 'Data entry'!$AP$6:$AP$200,'Data Validation'!$U$4, 'Data entry'!$BD$6:$BD$200,"&lt;&gt;*Negative*"))</f>
        <v>0</v>
      </c>
      <c r="BH142" s="15">
        <f>SUM(COUNTIFS('Data entry'!$R$6:$R$200,'Summary Data'!$A142,'Data entry'!$B$6:$B$200,{"Confirmed";"Probable"},'Data entry'!$AQ$6:$AQ$200,'Data Validation'!$V$7, 'Data entry'!$AP$6:$AP$200,'Data Validation'!$U$5, 'Data entry'!$BD$6:$BD$200,"&lt;&gt;*Negative*"))</f>
        <v>0</v>
      </c>
      <c r="BI142" s="15">
        <f>SUM(COUNTIFS('Data entry'!$R$6:$R$200,'Summary Data'!$A142,'Data entry'!$B$6:$B$200,{"Confirmed";"Probable"},'Data entry'!$AQ$6:$AQ$200,'Data Validation'!$V$7, 'Data entry'!$AP$6:$AP$200,'Data Validation'!$U$6, 'Data entry'!$BD$6:$BD$200,"&lt;&gt;*Negative*"))</f>
        <v>0</v>
      </c>
      <c r="BJ142" s="15">
        <f>SUM(COUNTIFS('Data entry'!$R$6:$R$200,'Summary Data'!$A142,'Data entry'!$B$6:$B$200,{"Confirmed";"Probable"},'Data entry'!$AQ$6:$AQ$200,'Data Validation'!$V$8, 'Data entry'!$AP$6:$AP$200,'Data Validation'!$U$2, 'Data entry'!$BD$6:$BD$200,"&lt;&gt;*Negative*"))</f>
        <v>0</v>
      </c>
      <c r="BK142" s="15">
        <f>SUM(COUNTIFS('Data entry'!$R$6:$R$200,'Summary Data'!$A142,'Data entry'!$B$6:$B$200,{"Confirmed";"Probable"},'Data entry'!$AQ$6:$AQ$200,'Data Validation'!$V$8, 'Data entry'!$AP$6:$AP$200,'Data Validation'!$U$3, 'Data entry'!$BD$6:$BD$200,"&lt;&gt;*Negative*"))</f>
        <v>0</v>
      </c>
      <c r="BL142" s="15">
        <f>SUM(COUNTIFS('Data entry'!$R$6:$R$200,'Summary Data'!$A142,'Data entry'!$B$6:$B$200,{"Confirmed";"Probable"},'Data entry'!$AQ$6:$AQ$200,'Data Validation'!$V$8, 'Data entry'!$AP$6:$AP$200,'Data Validation'!$U$4, 'Data entry'!$BD$6:$BD$200,"&lt;&gt;*Negative*"))</f>
        <v>0</v>
      </c>
      <c r="BM142" s="15">
        <f>SUM(COUNTIFS('Data entry'!$R$6:$R$200,'Summary Data'!$A142,'Data entry'!$B$6:$B$200,{"Confirmed";"Probable"},'Data entry'!$AQ$6:$AQ$200,'Data Validation'!$V$8, 'Data entry'!$AP$6:$AP$200,'Data Validation'!$U$5, 'Data entry'!$BD$6:$BD$200,"&lt;&gt;*Negative*"))</f>
        <v>0</v>
      </c>
      <c r="BN142" s="15">
        <f>SUM(COUNTIFS('Data entry'!$R$6:$R$200,'Summary Data'!$A142,'Data entry'!$B$6:$B$200,{"Confirmed";"Probable"},'Data entry'!$AQ$6:$AQ$200,'Data Validation'!$V$8, 'Data entry'!$AP$6:$AP$200,'Data Validation'!$U$6, 'Data entry'!$BD$6:$BD$200,"&lt;&gt;*Negative*"))</f>
        <v>0</v>
      </c>
      <c r="BO142" s="15">
        <f>SUM(COUNTIFS('Data entry'!$R$6:$R$200,'Summary Data'!$A142,'Data entry'!$B$6:$B$200,{"Confirmed";"Probable"},'Data entry'!$AQ$6:$AQ$200,'Data Validation'!$V$9, 'Data entry'!$AP$6:$AP$200,'Data Validation'!$U$2, 'Data entry'!$BD$6:$BD$200,"&lt;&gt;*Negative*"))</f>
        <v>0</v>
      </c>
      <c r="BP142" s="15">
        <f>SUM(COUNTIFS('Data entry'!$R$6:$R$200,'Summary Data'!$A142,'Data entry'!$B$6:$B$200,{"Confirmed";"Probable"},'Data entry'!$AQ$6:$AQ$200,'Data Validation'!$V$9, 'Data entry'!$AP$6:$AP$200,'Data Validation'!$U$3, 'Data entry'!$BD$6:$BD$200,"&lt;&gt;*Negative*"))</f>
        <v>0</v>
      </c>
      <c r="BQ142" s="15">
        <f>SUM(COUNTIFS('Data entry'!$R$6:$R$200,'Summary Data'!$A142,'Data entry'!$B$6:$B$200,{"Confirmed";"Probable"},'Data entry'!$AQ$6:$AQ$200,'Data Validation'!$V$9, 'Data entry'!$AP$6:$AP$200,'Data Validation'!$U$4, 'Data entry'!$BD$6:$BD$200,"&lt;&gt;*Negative*"))</f>
        <v>0</v>
      </c>
      <c r="BR142" s="15">
        <f>SUM(COUNTIFS('Data entry'!$R$6:$R$200,'Summary Data'!$A142,'Data entry'!$B$6:$B$200,{"Confirmed";"Probable"},'Data entry'!$AQ$6:$AQ$200,'Data Validation'!$V$9, 'Data entry'!$AP$6:$AP$200,'Data Validation'!$U$5, 'Data entry'!$BD$6:$BD$200,"&lt;&gt;*Negative*"))</f>
        <v>0</v>
      </c>
      <c r="BS142" s="15">
        <f>SUM(COUNTIFS('Data entry'!$R$6:$R$200,'Summary Data'!$A142,'Data entry'!$B$6:$B$200,{"Confirmed";"Probable"},'Data entry'!$AQ$6:$AQ$200,'Data Validation'!$V$9, 'Data entry'!$AP$6:$AP$200,'Data Validation'!$U$6, 'Data entry'!$BD$6:$BD$200,"&lt;&gt;*Negative*"))</f>
        <v>0</v>
      </c>
      <c r="BT142" s="15">
        <f>SUM(COUNTIFS('Data entry'!$R$6:$R$200,'Summary Data'!$A142,'Data entry'!$B$6:$B$200,{"Confirmed";"Probable"},'Data entry'!$AQ$6:$AQ$200,'Data Validation'!$V$10, 'Data entry'!$AP$6:$AP$200,'Data Validation'!$U$2, 'Data entry'!$BD$6:$BD$200,"&lt;&gt;*Negative*"))</f>
        <v>0</v>
      </c>
      <c r="BU142" s="15">
        <f>SUM(COUNTIFS('Data entry'!$R$6:$R$200,'Summary Data'!$A142,'Data entry'!$B$6:$B$200,{"Confirmed";"Probable"},'Data entry'!$AQ$6:$AQ$200,'Data Validation'!$V$10, 'Data entry'!$AP$6:$AP$200,'Data Validation'!$U$3, 'Data entry'!$BD$6:$BD$200,"&lt;&gt;*Negative*"))</f>
        <v>0</v>
      </c>
      <c r="BV142" s="15">
        <f>SUM(COUNTIFS('Data entry'!$R$6:$R$200,'Summary Data'!$A142,'Data entry'!$B$6:$B$200,{"Confirmed";"Probable"},'Data entry'!$AQ$6:$AQ$200,'Data Validation'!$V$10, 'Data entry'!$AP$6:$AP$200,'Data Validation'!$U$4, 'Data entry'!$BD$6:$BD$200,"&lt;&gt;*Negative*"))</f>
        <v>0</v>
      </c>
      <c r="BW142" s="15">
        <f>SUM(COUNTIFS('Data entry'!$R$6:$R$200,'Summary Data'!$A142,'Data entry'!$B$6:$B$200,{"Confirmed";"Probable"},'Data entry'!$AQ$6:$AQ$200,'Data Validation'!$V$10, 'Data entry'!$AP$6:$AP$200,'Data Validation'!$U$5, 'Data entry'!$BD$6:$BD$200,"&lt;&gt;*Negative*"))</f>
        <v>0</v>
      </c>
      <c r="BX142" s="15">
        <f>SUM(COUNTIFS('Data entry'!$R$6:$R$200,'Summary Data'!$A142,'Data entry'!$B$6:$B$200,{"Confirmed";"Probable"},'Data entry'!$AQ$6:$AQ$200,'Data Validation'!$V$10, 'Data entry'!$AP$6:$AP$200,'Data Validation'!$U$6, 'Data entry'!$BD$6:$BD$200,"&lt;&gt;*Negative*"))</f>
        <v>0</v>
      </c>
      <c r="BY142" s="15">
        <f>SUM(COUNTIFS('Data entry'!$R$6:$R$200,'Summary Data'!$A142,'Data entry'!$B$6:$B$200,{"Confirmed";"Probable"},'Data entry'!$AQ$6:$AQ$200,'Data Validation'!$V$11, 'Data entry'!$AP$6:$AP$200,'Data Validation'!$U$2, 'Data entry'!$BD$6:$BD$200,"&lt;&gt;*Negative*"))</f>
        <v>0</v>
      </c>
      <c r="BZ142" s="15">
        <f>SUM(COUNTIFS('Data entry'!$R$6:$R$200,'Summary Data'!$A142,'Data entry'!$B$6:$B$200,{"Confirmed";"Probable"},'Data entry'!$AQ$6:$AQ$200,'Data Validation'!$V$11, 'Data entry'!$AP$6:$AP$200,'Data Validation'!$U$3, 'Data entry'!$BD$6:$BD$200,"&lt;&gt;*Negative*"))</f>
        <v>0</v>
      </c>
      <c r="CA142" s="15">
        <f>SUM(COUNTIFS('Data entry'!$R$6:$R$200,'Summary Data'!$A142,'Data entry'!$B$6:$B$200,{"Confirmed";"Probable"},'Data entry'!$AQ$6:$AQ$200,'Data Validation'!$V$11, 'Data entry'!$AP$6:$AP$200,'Data Validation'!$U$4, 'Data entry'!$BD$6:$BD$200,"&lt;&gt;*Negative*"))</f>
        <v>0</v>
      </c>
      <c r="CB142" s="15">
        <f>SUM(COUNTIFS('Data entry'!$R$6:$R$200,'Summary Data'!$A142,'Data entry'!$B$6:$B$200,{"Confirmed";"Probable"},'Data entry'!$AQ$6:$AQ$200,'Data Validation'!$V$11, 'Data entry'!$AP$6:$AP$200,'Data Validation'!$U$5, 'Data entry'!$BD$6:$BD$200,"&lt;&gt;*Negative*"))</f>
        <v>0</v>
      </c>
      <c r="CC142" s="15">
        <f>SUM(COUNTIFS('Data entry'!$R$6:$R$200,'Summary Data'!$A142,'Data entry'!$B$6:$B$200,{"Confirmed";"Probable"},'Data entry'!$AQ$6:$AQ$200,'Data Validation'!$V$11, 'Data entry'!$AP$6:$AP$200,'Data Validation'!$U$6, 'Data entry'!$BD$6:$BD$200,"&lt;&gt;*Negative*"))</f>
        <v>0</v>
      </c>
    </row>
    <row r="143" spans="1:81" x14ac:dyDescent="0.25">
      <c r="A143" s="12">
        <f>A142+1</f>
        <v>131</v>
      </c>
      <c r="B143" s="13">
        <f>SUM(C143:D143)</f>
        <v>0</v>
      </c>
      <c r="C143" s="13">
        <f>COUNTIFS('Data entry'!$R$6:$R$200,$A143,'Data entry'!$B$6:$B$200,"Confirmed",'Data entry'!$BD$6:$BD$200,"&lt;&gt;*Negative*")</f>
        <v>0</v>
      </c>
      <c r="D143" s="13">
        <f>COUNTIFS('Data entry'!$R$6:$R$200,$A143,'Data entry'!$B$6:$B$200,"Probable",'Data entry'!$BD$6:$BD$200,"&lt;&gt;*Negative*")</f>
        <v>0</v>
      </c>
      <c r="E143" s="13">
        <f>COUNTIFS('Data entry'!$R$6:$R$200,$A143,'Data entry'!$B$6:$B$200,"DNM")</f>
        <v>0</v>
      </c>
      <c r="F143" s="13">
        <f>SUM(COUNTIFS('Data entry'!$R$6:$R$200,'Summary Data'!$A143,'Data entry'!$B$6:$B$200,{"Confirmed";"Probable"},'Data entry'!$AO$6:$AO$200,$F$10, 'Data entry'!$BD$6:$BD$200,"&lt;&gt;*Negative*"))</f>
        <v>0</v>
      </c>
      <c r="G143" s="13">
        <f>SUM(COUNTIFS('Data entry'!$R$6:$R$200,'Summary Data'!$A143,'Data entry'!$B$6:$B$200,{"Confirmed";"Probable"},'Data entry'!$AO$6:$AO$200,$G$10, 'Data entry'!$BD$6:$BD$200,"&lt;&gt;*Negative*"))</f>
        <v>0</v>
      </c>
      <c r="H143" s="13">
        <f>SUM(COUNTIFS('Data entry'!$R$6:$R$200,'Summary Data'!$A143,'Data entry'!$B$6:$B$200,{"Confirmed";"Probable"},'Data entry'!$AO$6:$AO$200,$H$10, 'Data entry'!$BD$6:$BD$200,"&lt;&gt;*Negative*"))</f>
        <v>0</v>
      </c>
      <c r="I143" s="13">
        <f>SUM(COUNTIFS('Data entry'!$R$6:$R$200,'Summary Data'!$A143,'Data entry'!$B$6:$B$200,{"Confirmed";"Probable"},'Data entry'!$AO$6:$AO$200,$I$10, 'Data entry'!$BD$6:$BD$200,"&lt;&gt;*Negative*"))</f>
        <v>0</v>
      </c>
      <c r="J143" s="13">
        <f>SUM(COUNTIFS('Data entry'!$R$6:$R$200,'Summary Data'!$A143,'Data entry'!$B$6:$B$200,{"Confirmed";"Probable"},'Data entry'!$AO$6:$AO$200,$J$10, 'Data entry'!$BD$6:$BD$200,"&lt;&gt;*Negative*"))</f>
        <v>0</v>
      </c>
      <c r="K143" s="13">
        <f>SUM(COUNTIFS('Data entry'!$R$6:$R$200,'Summary Data'!$A143,'Data entry'!$B$6:$B$200,{"Confirmed";"Probable"},'Data entry'!$AO$6:$AO$200,$K$10, 'Data entry'!$BD$6:$BD$200,"&lt;&gt;*Negative*"))</f>
        <v>0</v>
      </c>
      <c r="L143" s="13">
        <f>SUM(COUNTIFS('Data entry'!$R$6:$R$200,'Summary Data'!$A143,'Data entry'!$B$6:$B$200,{"Confirmed";"Probable"},'Data entry'!$AO$6:$AO$200,$L$10, 'Data entry'!$BD$6:$BD$200,"&lt;&gt;*Negative*"))</f>
        <v>0</v>
      </c>
      <c r="M143" s="13">
        <f>SUM(COUNTIFS('Data entry'!$R$6:$R$200,'Summary Data'!$A143,'Data entry'!$B$6:$B$200,{"Confirmed";"Probable"},'Data entry'!$AO$6:$AO$200,$M$10, 'Data entry'!$BD$6:$BD$200,"&lt;&gt;*Negative*"))</f>
        <v>0</v>
      </c>
      <c r="N143" s="13">
        <f>SUM(COUNTIFS('Data entry'!$R$6:$R$200,'Summary Data'!$A143,'Data entry'!$B$6:$B$200,{"Confirmed";"Probable"},'Data entry'!$AO$6:$AO$200,$N$10, 'Data entry'!$BD$6:$BD$200,"&lt;&gt;*Negative*"))</f>
        <v>0</v>
      </c>
      <c r="O143" s="15">
        <f>J143+M143</f>
        <v>0</v>
      </c>
      <c r="P143" s="15">
        <f>F143+G143+H143+I143+K143+L143+N143</f>
        <v>0</v>
      </c>
      <c r="Q143" s="15">
        <f>SUM(COUNTIFS('Data entry'!$R$6:$R$200,'Summary Data'!$A143,'Data entry'!$B$6:$B$200,{"Confirmed";"Probable"},'Data entry'!$AP$6:$AP$200,'Data Validation'!$U$2, 'Data entry'!$BD$6:$BD$200,"&lt;&gt;*Negative*"))</f>
        <v>0</v>
      </c>
      <c r="R143" s="15">
        <f>SUM(COUNTIFS('Data entry'!$R$6:$R$200,'Summary Data'!$A143,'Data entry'!$B$6:$B$200,{"Confirmed";"Probable"},'Data entry'!$AP$6:$AP$200,'Data Validation'!$U$3, 'Data entry'!$BD$6:$BD$200,"&lt;&gt;*Negative*"))</f>
        <v>0</v>
      </c>
      <c r="S143" s="15">
        <f>SUM(COUNTIFS('Data entry'!$R$6:$R$200,'Summary Data'!$A143,'Data entry'!$B$6:$B$200,{"Confirmed";"Probable"},'Data entry'!$AP$6:$AP$200,'Data Validation'!$U$4, 'Data entry'!$BD$6:$BD$200,"&lt;&gt;*Negative*"))</f>
        <v>0</v>
      </c>
      <c r="T143" s="15">
        <f>SUM(COUNTIFS('Data entry'!$R$6:$R$200,'Summary Data'!$A143,'Data entry'!$B$6:$B$200,{"Confirmed";"Probable"},'Data entry'!$AP$6:$AP$200,'Data Validation'!$U$5, 'Data entry'!$BD$6:$BD$200,"&lt;&gt;*Negative*"))</f>
        <v>0</v>
      </c>
      <c r="U143" s="15">
        <f>SUM(COUNTIFS('Data entry'!$R$6:$R$200,'Summary Data'!$A143,'Data entry'!$B$6:$B$200,{"Confirmed";"Probable"},'Data entry'!$AP$6:$AP$200,'Data Validation'!$U$6, 'Data entry'!$BD$6:$BD$200,"&lt;&gt;*Negative*"))</f>
        <v>0</v>
      </c>
      <c r="V143" s="15">
        <f>SUM(COUNTIFS('Data entry'!$R$6:$R$200,'Summary Data'!$A143,'Data entry'!$B$6:$B$200,{"Confirmed";"Probable"},'Data entry'!$AQ$6:$AQ$200,'Data Validation'!$V$2, 'Data entry'!$BD$6:$BD$200,"&lt;&gt;*Negative*"))</f>
        <v>0</v>
      </c>
      <c r="W143" s="15">
        <f>SUM(COUNTIFS('Data entry'!$R$6:$R$200,'Summary Data'!$A143,'Data entry'!$B$6:$B$200,{"Confirmed";"Probable"},'Data entry'!$AQ$6:$AQ$200,'Data Validation'!$V$3, 'Data entry'!$BD$6:$BD$200,"&lt;&gt;*Negative*"))</f>
        <v>0</v>
      </c>
      <c r="X143" s="15">
        <f>SUM(COUNTIFS('Data entry'!$R$6:$R$200,'Summary Data'!$A143,'Data entry'!$B$6:$B$200,{"Confirmed";"Probable"},'Data entry'!$AQ$6:$AQ$200,'Data Validation'!$V$4, 'Data entry'!$BD$6:$BD$200,"&lt;&gt;*Negative*"))</f>
        <v>0</v>
      </c>
      <c r="Y143" s="15">
        <f>SUM(COUNTIFS('Data entry'!$R$6:$R$200,'Summary Data'!$A143,'Data entry'!$B$6:$B$200,{"Confirmed";"Probable"},'Data entry'!$AQ$6:$AQ$200,'Data Validation'!$V$5, 'Data entry'!$BD$6:$BD$200,"&lt;&gt;*Negative*"))</f>
        <v>0</v>
      </c>
      <c r="Z143" s="15">
        <f>SUM(COUNTIFS('Data entry'!$R$6:$R$200,'Summary Data'!$A143,'Data entry'!$B$6:$B$200,{"Confirmed";"Probable"},'Data entry'!$AQ$6:$AQ$200,'Data Validation'!$V$6, 'Data entry'!$BD$6:$BD$200,"&lt;&gt;*Negative*"))</f>
        <v>0</v>
      </c>
      <c r="AA143" s="15">
        <f>SUM(COUNTIFS('Data entry'!$R$6:$R$200,'Summary Data'!$A143,'Data entry'!$B$6:$B$200,{"Confirmed";"Probable"},'Data entry'!$AQ$6:$AQ$200,'Data Validation'!$V$7, 'Data entry'!$BD$6:$BD$200,"&lt;&gt;*Negative*"))</f>
        <v>0</v>
      </c>
      <c r="AB143" s="15">
        <f>SUM(COUNTIFS('Data entry'!$R$6:$R$200,'Summary Data'!$A143,'Data entry'!$B$6:$B$200,{"Confirmed";"Probable"},'Data entry'!$AQ$6:$AQ$200,'Data Validation'!$V$8, 'Data entry'!$BD$6:$BD$200,"&lt;&gt;*Negative*"))</f>
        <v>0</v>
      </c>
      <c r="AC143" s="15">
        <f>SUM(COUNTIFS('Data entry'!$R$6:$R$200,'Summary Data'!$A143,'Data entry'!$B$6:$B$200,{"Confirmed";"Probable"},'Data entry'!$AQ$6:$AQ$200,'Data Validation'!$V$9, 'Data entry'!$BD$6:$BD$200,"&lt;&gt;*Negative*"))</f>
        <v>0</v>
      </c>
      <c r="AD143" s="15">
        <f>SUM(COUNTIFS('Data entry'!$R$6:$R$200,'Summary Data'!$A143,'Data entry'!$B$6:$B$200,{"Confirmed";"Probable"},'Data entry'!$AQ$6:$AQ$200,'Data Validation'!$V$10, 'Data entry'!$BD$6:$BD$200,"&lt;&gt;*Negative*"))</f>
        <v>0</v>
      </c>
      <c r="AE143" s="15">
        <f>SUM(COUNTIFS('Data entry'!$R$6:$R$200,'Summary Data'!$A143,'Data entry'!$B$6:$B$200,{"Confirmed";"Probable"},'Data entry'!$AQ$6:$AQ$200,'Data Validation'!$V$11, 'Data entry'!$BD$6:$BD$200,"&lt;&gt;*Negative*"))</f>
        <v>0</v>
      </c>
      <c r="AF143" s="15">
        <f>SUM(COUNTIFS('Data entry'!$R$6:$R$200,'Summary Data'!$A143,'Data entry'!$B$6:$B$200,{"Confirmed";"Probable"},'Data entry'!$AQ$6:$AQ$200,'Data Validation'!$V$2, 'Data entry'!$AP$6:$AP$200,'Data Validation'!$U$2, 'Data entry'!$BD$6:$BD$200,"&lt;&gt;*Negative*"))</f>
        <v>0</v>
      </c>
      <c r="AG143" s="15">
        <f>SUM(COUNTIFS('Data entry'!$R$6:$R$200,'Summary Data'!$A143,'Data entry'!$B$6:$B$200,{"Confirmed";"Probable"},'Data entry'!$AQ$6:$AQ$200,'Data Validation'!$V$2, 'Data entry'!$AP$6:$AP$200,'Data Validation'!$U$3, 'Data entry'!$BD$6:$BD$200,"&lt;&gt;*Negative*"))</f>
        <v>0</v>
      </c>
      <c r="AH143" s="15">
        <f>SUM(COUNTIFS('Data entry'!$R$6:$R$200,'Summary Data'!$A143,'Data entry'!$B$6:$B$200,{"Confirmed";"Probable"},'Data entry'!$AQ$6:$AQ$200,'Data Validation'!$V$2, 'Data entry'!$AP$6:$AP$200,'Data Validation'!$U$4, 'Data entry'!$BD$6:$BD$200,"&lt;&gt;*Negative*"))</f>
        <v>0</v>
      </c>
      <c r="AI143" s="15">
        <f>SUM(COUNTIFS('Data entry'!$R$6:$R$200,'Summary Data'!$A143,'Data entry'!$B$6:$B$200,{"Confirmed";"Probable"},'Data entry'!$AQ$6:$AQ$200,'Data Validation'!$V$2, 'Data entry'!$AP$6:$AP$200,'Data Validation'!$U$5, 'Data entry'!$BD$6:$BD$200,"&lt;&gt;*Negative*"))</f>
        <v>0</v>
      </c>
      <c r="AJ143" s="15">
        <f>SUM(COUNTIFS('Data entry'!$R$6:$R$200,'Summary Data'!$A143,'Data entry'!$B$6:$B$200,{"Confirmed";"Probable"},'Data entry'!$AQ$6:$AQ$200,'Data Validation'!$V$2, 'Data entry'!$AP$6:$AP$200,'Data Validation'!$U$6, 'Data entry'!$BD$6:$BD$200,"&lt;&gt;*Negative*"))</f>
        <v>0</v>
      </c>
      <c r="AK143" s="15">
        <f>SUM(COUNTIFS('Data entry'!$R$6:$R$200,'Summary Data'!$A143,'Data entry'!$B$6:$B$200,{"Confirmed";"Probable"},'Data entry'!$AQ$6:$AQ$200,'Data Validation'!$V$3, 'Data entry'!$AP$6:$AP$200,'Data Validation'!$U$2, 'Data entry'!$BD$6:$BD$200,"&lt;&gt;*Negative*"))</f>
        <v>0</v>
      </c>
      <c r="AL143" s="15">
        <f>SUM(COUNTIFS('Data entry'!$R$6:$R$200,'Summary Data'!$A143,'Data entry'!$B$6:$B$200,{"Confirmed";"Probable"},'Data entry'!$AQ$6:$AQ$200,'Data Validation'!$V$3, 'Data entry'!$AP$6:$AP$200,'Data Validation'!$U$3, 'Data entry'!$BD$6:$BD$200,"&lt;&gt;*Negative*"))</f>
        <v>0</v>
      </c>
      <c r="AM143" s="15">
        <f>SUM(COUNTIFS('Data entry'!$R$6:$R$200,'Summary Data'!$A143,'Data entry'!$B$6:$B$200,{"Confirmed";"Probable"},'Data entry'!$AQ$6:$AQ$200,'Data Validation'!$V$3, 'Data entry'!$AP$6:$AP$200,'Data Validation'!$U$4, 'Data entry'!$BD$6:$BD$200,"&lt;&gt;*Negative*"))</f>
        <v>0</v>
      </c>
      <c r="AN143" s="15">
        <f>SUM(COUNTIFS('Data entry'!$R$6:$R$200,'Summary Data'!$A143,'Data entry'!$B$6:$B$200,{"Confirmed";"Probable"},'Data entry'!$AQ$6:$AQ$200,'Data Validation'!$V$3, 'Data entry'!$AP$6:$AP$200,'Data Validation'!$U$5, 'Data entry'!$BD$6:$BD$200,"&lt;&gt;*Negative*"))</f>
        <v>0</v>
      </c>
      <c r="AO143" s="15">
        <f>SUM(COUNTIFS('Data entry'!$R$6:$R$200,'Summary Data'!$A143,'Data entry'!$B$6:$B$200,{"Confirmed";"Probable"},'Data entry'!$AQ$6:$AQ$200,'Data Validation'!$V$3, 'Data entry'!$AP$6:$AP$200,'Data Validation'!$U$6, 'Data entry'!$BD$6:$BD$200,"&lt;&gt;*Negative*"))</f>
        <v>0</v>
      </c>
      <c r="AP143" s="15">
        <f>SUM(COUNTIFS('Data entry'!$R$6:$R$200,'Summary Data'!$A143,'Data entry'!$B$6:$B$200,{"Confirmed";"Probable"},'Data entry'!$AQ$6:$AQ$200,'Data Validation'!$V$4, 'Data entry'!$AP$6:$AP$200,'Data Validation'!$U$2, 'Data entry'!$BD$6:$BD$200,"&lt;&gt;*Negative*"))</f>
        <v>0</v>
      </c>
      <c r="AQ143" s="15">
        <f>SUM(COUNTIFS('Data entry'!$R$6:$R$200,'Summary Data'!$A143,'Data entry'!$B$6:$B$200,{"Confirmed";"Probable"},'Data entry'!$AQ$6:$AQ$200,'Data Validation'!$V$4, 'Data entry'!$AP$6:$AP$200,'Data Validation'!$U$3, 'Data entry'!$BD$6:$BD$200,"&lt;&gt;*Negative*"))</f>
        <v>0</v>
      </c>
      <c r="AR143" s="15">
        <f>SUM(COUNTIFS('Data entry'!$R$6:$R$200,'Summary Data'!$A143,'Data entry'!$B$6:$B$200,{"Confirmed";"Probable"},'Data entry'!$AQ$6:$AQ$200,'Data Validation'!$V$4, 'Data entry'!$AP$6:$AP$200,'Data Validation'!$U$4, 'Data entry'!$BD$6:$BD$200,"&lt;&gt;*Negative*"))</f>
        <v>0</v>
      </c>
      <c r="AS143" s="15">
        <f>SUM(COUNTIFS('Data entry'!$R$6:$R$200,'Summary Data'!$A143,'Data entry'!$B$6:$B$200,{"Confirmed";"Probable"},'Data entry'!$AQ$6:$AQ$200,'Data Validation'!$V$4, 'Data entry'!$AP$6:$AP$200,'Data Validation'!$U$5, 'Data entry'!$BD$6:$BD$200,"&lt;&gt;*Negative*"))</f>
        <v>0</v>
      </c>
      <c r="AT143" s="15">
        <f>SUM(COUNTIFS('Data entry'!$R$6:$R$200,'Summary Data'!$A143,'Data entry'!$B$6:$B$200,{"Confirmed";"Probable"},'Data entry'!$AQ$6:$AQ$200,'Data Validation'!$V$4, 'Data entry'!$AP$6:$AP$200,'Data Validation'!$U$6, 'Data entry'!$BD$6:$BD$200,"&lt;&gt;*Negative*"))</f>
        <v>0</v>
      </c>
      <c r="AU143" s="15">
        <f>SUM(COUNTIFS('Data entry'!$R$6:$R$200,'Summary Data'!$A143,'Data entry'!$B$6:$B$200,{"Confirmed";"Probable"},'Data entry'!$AQ$6:$AQ$200,'Data Validation'!$V$5, 'Data entry'!$AP$6:$AP$200,'Data Validation'!$U$2, 'Data entry'!$BD$6:$BD$200,"&lt;&gt;*Negative*"))</f>
        <v>0</v>
      </c>
      <c r="AV143" s="15">
        <f>SUM(COUNTIFS('Data entry'!$R$6:$R$200,'Summary Data'!$A143,'Data entry'!$B$6:$B$200,{"Confirmed";"Probable"},'Data entry'!$AQ$6:$AQ$200,'Data Validation'!$V$5, 'Data entry'!$AP$6:$AP$200,'Data Validation'!$U$3, 'Data entry'!$BD$6:$BD$200,"&lt;&gt;*Negative*"))</f>
        <v>0</v>
      </c>
      <c r="AW143" s="15">
        <f>SUM(COUNTIFS('Data entry'!$R$6:$R$200,'Summary Data'!$A143,'Data entry'!$B$6:$B$200,{"Confirmed";"Probable"},'Data entry'!$AQ$6:$AQ$200,'Data Validation'!$V$5, 'Data entry'!$AP$6:$AP$200,'Data Validation'!$U$4, 'Data entry'!$BD$6:$BD$200,"&lt;&gt;*Negative*"))</f>
        <v>0</v>
      </c>
      <c r="AX143" s="15">
        <f>SUM(COUNTIFS('Data entry'!$R$6:$R$200,'Summary Data'!$A143,'Data entry'!$B$6:$B$200,{"Confirmed";"Probable"},'Data entry'!$AQ$6:$AQ$200,'Data Validation'!$V$5, 'Data entry'!$AP$6:$AP$200,'Data Validation'!$U$5, 'Data entry'!$BD$6:$BD$200,"&lt;&gt;*Negative*"))</f>
        <v>0</v>
      </c>
      <c r="AY143" s="15">
        <f>SUM(COUNTIFS('Data entry'!$R$6:$R$200,'Summary Data'!$A143,'Data entry'!$B$6:$B$200,{"Confirmed";"Probable"},'Data entry'!$AQ$6:$AQ$200,'Data Validation'!$V$5, 'Data entry'!$AP$6:$AP$200,'Data Validation'!$U$6, 'Data entry'!$BD$6:$BD$200,"&lt;&gt;*Negative*"))</f>
        <v>0</v>
      </c>
      <c r="AZ143" s="15">
        <f>SUM(COUNTIFS('Data entry'!$R$6:$R$200,'Summary Data'!$A143,'Data entry'!$B$6:$B$200,{"Confirmed";"Probable"},'Data entry'!$AQ$6:$AQ$200,'Data Validation'!$V$6, 'Data entry'!$AP$6:$AP$200,'Data Validation'!$U$2, 'Data entry'!$BD$6:$BD$200,"&lt;&gt;*Negative*"))</f>
        <v>0</v>
      </c>
      <c r="BA143" s="15">
        <f>SUM(COUNTIFS('Data entry'!$R$6:$R$200,'Summary Data'!$A143,'Data entry'!$B$6:$B$200,{"Confirmed";"Probable"},'Data entry'!$AQ$6:$AQ$200,'Data Validation'!$V$6, 'Data entry'!$AP$6:$AP$200,'Data Validation'!$U$3, 'Data entry'!$BD$6:$BD$200,"&lt;&gt;*Negative*"))</f>
        <v>0</v>
      </c>
      <c r="BB143" s="15">
        <f>SUM(COUNTIFS('Data entry'!$R$6:$R$200,'Summary Data'!$A143,'Data entry'!$B$6:$B$200,{"Confirmed";"Probable"},'Data entry'!$AQ$6:$AQ$200,'Data Validation'!$V$6, 'Data entry'!$AP$6:$AP$200,'Data Validation'!$U$4, 'Data entry'!$BD$6:$BD$200,"&lt;&gt;*Negative*"))</f>
        <v>0</v>
      </c>
      <c r="BC143" s="15">
        <f>SUM(COUNTIFS('Data entry'!$R$6:$R$200,'Summary Data'!$A143,'Data entry'!$B$6:$B$200,{"Confirmed";"Probable"},'Data entry'!$AQ$6:$AQ$200,'Data Validation'!$V$6, 'Data entry'!$AP$6:$AP$200,'Data Validation'!$U$5, 'Data entry'!$BD$6:$BD$200,"&lt;&gt;*Negative*"))</f>
        <v>0</v>
      </c>
      <c r="BD143" s="15">
        <f>SUM(COUNTIFS('Data entry'!$R$6:$R$200,'Summary Data'!$A143,'Data entry'!$B$6:$B$200,{"Confirmed";"Probable"},'Data entry'!$AQ$6:$AQ$200,'Data Validation'!$V$6, 'Data entry'!$AP$6:$AP$200,'Data Validation'!$U$6, 'Data entry'!$BD$6:$BD$200,"&lt;&gt;*Negative*"))</f>
        <v>0</v>
      </c>
      <c r="BE143" s="15">
        <f>SUM(COUNTIFS('Data entry'!$R$6:$R$200,'Summary Data'!$A143,'Data entry'!$B$6:$B$200,{"Confirmed";"Probable"},'Data entry'!$AQ$6:$AQ$200,'Data Validation'!$V$7, 'Data entry'!$AP$6:$AP$200,'Data Validation'!$U$2, 'Data entry'!$BD$6:$BD$200,"&lt;&gt;*Negative*"))</f>
        <v>0</v>
      </c>
      <c r="BF143" s="15">
        <f>SUM(COUNTIFS('Data entry'!$R$6:$R$200,'Summary Data'!$A143,'Data entry'!$B$6:$B$200,{"Confirmed";"Probable"},'Data entry'!$AQ$6:$AQ$200,'Data Validation'!$V$7, 'Data entry'!$AP$6:$AP$200,'Data Validation'!$U$3, 'Data entry'!$BD$6:$BD$200,"&lt;&gt;*Negative*"))</f>
        <v>0</v>
      </c>
      <c r="BG143" s="15">
        <f>SUM(COUNTIFS('Data entry'!$R$6:$R$200,'Summary Data'!$A143,'Data entry'!$B$6:$B$200,{"Confirmed";"Probable"},'Data entry'!$AQ$6:$AQ$200,'Data Validation'!$V$7, 'Data entry'!$AP$6:$AP$200,'Data Validation'!$U$4, 'Data entry'!$BD$6:$BD$200,"&lt;&gt;*Negative*"))</f>
        <v>0</v>
      </c>
      <c r="BH143" s="15">
        <f>SUM(COUNTIFS('Data entry'!$R$6:$R$200,'Summary Data'!$A143,'Data entry'!$B$6:$B$200,{"Confirmed";"Probable"},'Data entry'!$AQ$6:$AQ$200,'Data Validation'!$V$7, 'Data entry'!$AP$6:$AP$200,'Data Validation'!$U$5, 'Data entry'!$BD$6:$BD$200,"&lt;&gt;*Negative*"))</f>
        <v>0</v>
      </c>
      <c r="BI143" s="15">
        <f>SUM(COUNTIFS('Data entry'!$R$6:$R$200,'Summary Data'!$A143,'Data entry'!$B$6:$B$200,{"Confirmed";"Probable"},'Data entry'!$AQ$6:$AQ$200,'Data Validation'!$V$7, 'Data entry'!$AP$6:$AP$200,'Data Validation'!$U$6, 'Data entry'!$BD$6:$BD$200,"&lt;&gt;*Negative*"))</f>
        <v>0</v>
      </c>
      <c r="BJ143" s="15">
        <f>SUM(COUNTIFS('Data entry'!$R$6:$R$200,'Summary Data'!$A143,'Data entry'!$B$6:$B$200,{"Confirmed";"Probable"},'Data entry'!$AQ$6:$AQ$200,'Data Validation'!$V$8, 'Data entry'!$AP$6:$AP$200,'Data Validation'!$U$2, 'Data entry'!$BD$6:$BD$200,"&lt;&gt;*Negative*"))</f>
        <v>0</v>
      </c>
      <c r="BK143" s="15">
        <f>SUM(COUNTIFS('Data entry'!$R$6:$R$200,'Summary Data'!$A143,'Data entry'!$B$6:$B$200,{"Confirmed";"Probable"},'Data entry'!$AQ$6:$AQ$200,'Data Validation'!$V$8, 'Data entry'!$AP$6:$AP$200,'Data Validation'!$U$3, 'Data entry'!$BD$6:$BD$200,"&lt;&gt;*Negative*"))</f>
        <v>0</v>
      </c>
      <c r="BL143" s="15">
        <f>SUM(COUNTIFS('Data entry'!$R$6:$R$200,'Summary Data'!$A143,'Data entry'!$B$6:$B$200,{"Confirmed";"Probable"},'Data entry'!$AQ$6:$AQ$200,'Data Validation'!$V$8, 'Data entry'!$AP$6:$AP$200,'Data Validation'!$U$4, 'Data entry'!$BD$6:$BD$200,"&lt;&gt;*Negative*"))</f>
        <v>0</v>
      </c>
      <c r="BM143" s="15">
        <f>SUM(COUNTIFS('Data entry'!$R$6:$R$200,'Summary Data'!$A143,'Data entry'!$B$6:$B$200,{"Confirmed";"Probable"},'Data entry'!$AQ$6:$AQ$200,'Data Validation'!$V$8, 'Data entry'!$AP$6:$AP$200,'Data Validation'!$U$5, 'Data entry'!$BD$6:$BD$200,"&lt;&gt;*Negative*"))</f>
        <v>0</v>
      </c>
      <c r="BN143" s="15">
        <f>SUM(COUNTIFS('Data entry'!$R$6:$R$200,'Summary Data'!$A143,'Data entry'!$B$6:$B$200,{"Confirmed";"Probable"},'Data entry'!$AQ$6:$AQ$200,'Data Validation'!$V$8, 'Data entry'!$AP$6:$AP$200,'Data Validation'!$U$6, 'Data entry'!$BD$6:$BD$200,"&lt;&gt;*Negative*"))</f>
        <v>0</v>
      </c>
      <c r="BO143" s="15">
        <f>SUM(COUNTIFS('Data entry'!$R$6:$R$200,'Summary Data'!$A143,'Data entry'!$B$6:$B$200,{"Confirmed";"Probable"},'Data entry'!$AQ$6:$AQ$200,'Data Validation'!$V$9, 'Data entry'!$AP$6:$AP$200,'Data Validation'!$U$2, 'Data entry'!$BD$6:$BD$200,"&lt;&gt;*Negative*"))</f>
        <v>0</v>
      </c>
      <c r="BP143" s="15">
        <f>SUM(COUNTIFS('Data entry'!$R$6:$R$200,'Summary Data'!$A143,'Data entry'!$B$6:$B$200,{"Confirmed";"Probable"},'Data entry'!$AQ$6:$AQ$200,'Data Validation'!$V$9, 'Data entry'!$AP$6:$AP$200,'Data Validation'!$U$3, 'Data entry'!$BD$6:$BD$200,"&lt;&gt;*Negative*"))</f>
        <v>0</v>
      </c>
      <c r="BQ143" s="15">
        <f>SUM(COUNTIFS('Data entry'!$R$6:$R$200,'Summary Data'!$A143,'Data entry'!$B$6:$B$200,{"Confirmed";"Probable"},'Data entry'!$AQ$6:$AQ$200,'Data Validation'!$V$9, 'Data entry'!$AP$6:$AP$200,'Data Validation'!$U$4, 'Data entry'!$BD$6:$BD$200,"&lt;&gt;*Negative*"))</f>
        <v>0</v>
      </c>
      <c r="BR143" s="15">
        <f>SUM(COUNTIFS('Data entry'!$R$6:$R$200,'Summary Data'!$A143,'Data entry'!$B$6:$B$200,{"Confirmed";"Probable"},'Data entry'!$AQ$6:$AQ$200,'Data Validation'!$V$9, 'Data entry'!$AP$6:$AP$200,'Data Validation'!$U$5, 'Data entry'!$BD$6:$BD$200,"&lt;&gt;*Negative*"))</f>
        <v>0</v>
      </c>
      <c r="BS143" s="15">
        <f>SUM(COUNTIFS('Data entry'!$R$6:$R$200,'Summary Data'!$A143,'Data entry'!$B$6:$B$200,{"Confirmed";"Probable"},'Data entry'!$AQ$6:$AQ$200,'Data Validation'!$V$9, 'Data entry'!$AP$6:$AP$200,'Data Validation'!$U$6, 'Data entry'!$BD$6:$BD$200,"&lt;&gt;*Negative*"))</f>
        <v>0</v>
      </c>
      <c r="BT143" s="15">
        <f>SUM(COUNTIFS('Data entry'!$R$6:$R$200,'Summary Data'!$A143,'Data entry'!$B$6:$B$200,{"Confirmed";"Probable"},'Data entry'!$AQ$6:$AQ$200,'Data Validation'!$V$10, 'Data entry'!$AP$6:$AP$200,'Data Validation'!$U$2, 'Data entry'!$BD$6:$BD$200,"&lt;&gt;*Negative*"))</f>
        <v>0</v>
      </c>
      <c r="BU143" s="15">
        <f>SUM(COUNTIFS('Data entry'!$R$6:$R$200,'Summary Data'!$A143,'Data entry'!$B$6:$B$200,{"Confirmed";"Probable"},'Data entry'!$AQ$6:$AQ$200,'Data Validation'!$V$10, 'Data entry'!$AP$6:$AP$200,'Data Validation'!$U$3, 'Data entry'!$BD$6:$BD$200,"&lt;&gt;*Negative*"))</f>
        <v>0</v>
      </c>
      <c r="BV143" s="15">
        <f>SUM(COUNTIFS('Data entry'!$R$6:$R$200,'Summary Data'!$A143,'Data entry'!$B$6:$B$200,{"Confirmed";"Probable"},'Data entry'!$AQ$6:$AQ$200,'Data Validation'!$V$10, 'Data entry'!$AP$6:$AP$200,'Data Validation'!$U$4, 'Data entry'!$BD$6:$BD$200,"&lt;&gt;*Negative*"))</f>
        <v>0</v>
      </c>
      <c r="BW143" s="15">
        <f>SUM(COUNTIFS('Data entry'!$R$6:$R$200,'Summary Data'!$A143,'Data entry'!$B$6:$B$200,{"Confirmed";"Probable"},'Data entry'!$AQ$6:$AQ$200,'Data Validation'!$V$10, 'Data entry'!$AP$6:$AP$200,'Data Validation'!$U$5, 'Data entry'!$BD$6:$BD$200,"&lt;&gt;*Negative*"))</f>
        <v>0</v>
      </c>
      <c r="BX143" s="15">
        <f>SUM(COUNTIFS('Data entry'!$R$6:$R$200,'Summary Data'!$A143,'Data entry'!$B$6:$B$200,{"Confirmed";"Probable"},'Data entry'!$AQ$6:$AQ$200,'Data Validation'!$V$10, 'Data entry'!$AP$6:$AP$200,'Data Validation'!$U$6, 'Data entry'!$BD$6:$BD$200,"&lt;&gt;*Negative*"))</f>
        <v>0</v>
      </c>
      <c r="BY143" s="15">
        <f>SUM(COUNTIFS('Data entry'!$R$6:$R$200,'Summary Data'!$A143,'Data entry'!$B$6:$B$200,{"Confirmed";"Probable"},'Data entry'!$AQ$6:$AQ$200,'Data Validation'!$V$11, 'Data entry'!$AP$6:$AP$200,'Data Validation'!$U$2, 'Data entry'!$BD$6:$BD$200,"&lt;&gt;*Negative*"))</f>
        <v>0</v>
      </c>
      <c r="BZ143" s="15">
        <f>SUM(COUNTIFS('Data entry'!$R$6:$R$200,'Summary Data'!$A143,'Data entry'!$B$6:$B$200,{"Confirmed";"Probable"},'Data entry'!$AQ$6:$AQ$200,'Data Validation'!$V$11, 'Data entry'!$AP$6:$AP$200,'Data Validation'!$U$3, 'Data entry'!$BD$6:$BD$200,"&lt;&gt;*Negative*"))</f>
        <v>0</v>
      </c>
      <c r="CA143" s="15">
        <f>SUM(COUNTIFS('Data entry'!$R$6:$R$200,'Summary Data'!$A143,'Data entry'!$B$6:$B$200,{"Confirmed";"Probable"},'Data entry'!$AQ$6:$AQ$200,'Data Validation'!$V$11, 'Data entry'!$AP$6:$AP$200,'Data Validation'!$U$4, 'Data entry'!$BD$6:$BD$200,"&lt;&gt;*Negative*"))</f>
        <v>0</v>
      </c>
      <c r="CB143" s="15">
        <f>SUM(COUNTIFS('Data entry'!$R$6:$R$200,'Summary Data'!$A143,'Data entry'!$B$6:$B$200,{"Confirmed";"Probable"},'Data entry'!$AQ$6:$AQ$200,'Data Validation'!$V$11, 'Data entry'!$AP$6:$AP$200,'Data Validation'!$U$5, 'Data entry'!$BD$6:$BD$200,"&lt;&gt;*Negative*"))</f>
        <v>0</v>
      </c>
      <c r="CC143" s="15">
        <f>SUM(COUNTIFS('Data entry'!$R$6:$R$200,'Summary Data'!$A143,'Data entry'!$B$6:$B$200,{"Confirmed";"Probable"},'Data entry'!$AQ$6:$AQ$200,'Data Validation'!$V$11, 'Data entry'!$AP$6:$AP$200,'Data Validation'!$U$6, 'Data entry'!$BD$6:$BD$200,"&lt;&gt;*Negative*"))</f>
        <v>0</v>
      </c>
    </row>
  </sheetData>
  <sheetProtection sheet="1" objects="1" scenarios="1"/>
  <mergeCells count="12">
    <mergeCell ref="N6:P6"/>
    <mergeCell ref="N1:P1"/>
    <mergeCell ref="N2:P2"/>
    <mergeCell ref="N3:P3"/>
    <mergeCell ref="N4:P4"/>
    <mergeCell ref="N5:P5"/>
    <mergeCell ref="Q8:U8"/>
    <mergeCell ref="V8:AE8"/>
    <mergeCell ref="AF8:AJ8"/>
    <mergeCell ref="AY8:CC8"/>
    <mergeCell ref="C8:E8"/>
    <mergeCell ref="F8:P8"/>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AP44"/>
  <sheetViews>
    <sheetView zoomScale="80" zoomScaleNormal="80" workbookViewId="0">
      <selection activeCell="AB8" sqref="AB8:AE8"/>
    </sheetView>
  </sheetViews>
  <sheetFormatPr defaultRowHeight="15" x14ac:dyDescent="0.2"/>
  <cols>
    <col min="1" max="1" width="10.109375" customWidth="1"/>
    <col min="2" max="7" width="4.21875" customWidth="1"/>
    <col min="8" max="8" width="4.6640625" customWidth="1"/>
    <col min="9" max="42" width="4.21875" customWidth="1"/>
  </cols>
  <sheetData>
    <row r="1" spans="1:31" ht="15.75" x14ac:dyDescent="0.2">
      <c r="A1" s="293"/>
    </row>
    <row r="2" spans="1:31" ht="30" customHeight="1" x14ac:dyDescent="0.2">
      <c r="A2" s="667" t="s">
        <v>548</v>
      </c>
      <c r="B2" s="667"/>
      <c r="C2" s="667"/>
      <c r="D2" s="667"/>
      <c r="E2" s="667"/>
      <c r="F2" s="667"/>
      <c r="G2" s="667"/>
      <c r="H2" s="667"/>
      <c r="I2" s="667"/>
      <c r="J2" s="667"/>
      <c r="K2" s="667"/>
      <c r="L2" s="667"/>
      <c r="M2" s="667"/>
      <c r="N2" s="667"/>
      <c r="O2" s="667"/>
      <c r="P2" s="667"/>
      <c r="Q2" s="667"/>
      <c r="R2" s="667"/>
      <c r="S2" s="667"/>
      <c r="T2" s="667"/>
      <c r="U2" s="667"/>
      <c r="V2" s="667"/>
      <c r="W2" s="667"/>
      <c r="X2" s="667"/>
      <c r="Y2" s="667"/>
    </row>
    <row r="3" spans="1:31" x14ac:dyDescent="0.2">
      <c r="A3" s="294"/>
    </row>
    <row r="4" spans="1:31" ht="20.25" x14ac:dyDescent="0.3">
      <c r="E4" s="295"/>
      <c r="H4" s="295"/>
      <c r="I4" s="306"/>
    </row>
    <row r="5" spans="1:31" ht="20.25" x14ac:dyDescent="0.3">
      <c r="G5" s="295" t="s">
        <v>522</v>
      </c>
    </row>
    <row r="7" spans="1:31" s="1" customFormat="1" ht="44.45" customHeight="1" x14ac:dyDescent="0.2">
      <c r="A7" s="662" t="s">
        <v>523</v>
      </c>
      <c r="B7" s="662"/>
      <c r="C7" s="662"/>
      <c r="D7" s="662" t="s">
        <v>519</v>
      </c>
      <c r="E7" s="662"/>
      <c r="F7" s="662"/>
      <c r="G7" s="661">
        <f>'Cover Sheet'!R5</f>
        <v>0</v>
      </c>
      <c r="H7" s="661"/>
      <c r="I7" s="661"/>
      <c r="J7" s="661"/>
      <c r="K7" s="662" t="s">
        <v>524</v>
      </c>
      <c r="L7" s="662"/>
      <c r="M7" s="662"/>
      <c r="N7" s="662"/>
      <c r="O7" s="659">
        <f>'Cover Sheet'!R2</f>
        <v>0</v>
      </c>
      <c r="P7" s="659"/>
      <c r="Q7" s="659"/>
      <c r="R7" s="659"/>
      <c r="S7" s="659"/>
      <c r="T7" s="626" t="s">
        <v>525</v>
      </c>
      <c r="U7" s="626"/>
      <c r="V7" s="626"/>
      <c r="W7" s="626"/>
      <c r="X7" s="626"/>
      <c r="Y7" s="628"/>
      <c r="Z7" s="628"/>
      <c r="AA7" s="628"/>
      <c r="AB7" s="626" t="s">
        <v>526</v>
      </c>
      <c r="AC7" s="626"/>
      <c r="AD7" s="626"/>
      <c r="AE7" s="626"/>
    </row>
    <row r="8" spans="1:31" s="1" customFormat="1" ht="30.6" customHeight="1" x14ac:dyDescent="0.2">
      <c r="A8" s="659">
        <f>'Cover Sheet'!R12</f>
        <v>0</v>
      </c>
      <c r="B8" s="659"/>
      <c r="C8" s="659"/>
      <c r="D8" s="660" t="s">
        <v>520</v>
      </c>
      <c r="E8" s="660"/>
      <c r="F8" s="660"/>
      <c r="G8" s="661">
        <f>'Cover Sheet'!R6</f>
        <v>0</v>
      </c>
      <c r="H8" s="661"/>
      <c r="I8" s="661"/>
      <c r="J8" s="661"/>
      <c r="K8" s="662" t="s">
        <v>527</v>
      </c>
      <c r="L8" s="662"/>
      <c r="M8" s="662"/>
      <c r="N8" s="662"/>
      <c r="O8" s="663">
        <f>'Cover Sheet'!R4</f>
        <v>0</v>
      </c>
      <c r="P8" s="659"/>
      <c r="Q8" s="659"/>
      <c r="R8" s="659"/>
      <c r="S8" s="659"/>
      <c r="T8" s="626" t="s">
        <v>528</v>
      </c>
      <c r="U8" s="626"/>
      <c r="V8" s="626"/>
      <c r="W8" s="626"/>
      <c r="X8" s="626"/>
      <c r="Y8" s="627"/>
      <c r="Z8" s="627"/>
      <c r="AA8" s="627"/>
      <c r="AB8" s="627"/>
      <c r="AC8" s="627"/>
      <c r="AD8" s="627"/>
      <c r="AE8" s="627"/>
    </row>
    <row r="9" spans="1:31" s="1" customFormat="1" ht="33.6" customHeight="1" x14ac:dyDescent="0.2">
      <c r="D9" s="664" t="s">
        <v>529</v>
      </c>
      <c r="E9" s="664"/>
      <c r="F9" s="664"/>
      <c r="G9" s="665">
        <f>'Cover Sheet'!R7</f>
        <v>0</v>
      </c>
      <c r="H9" s="665"/>
      <c r="I9" s="665"/>
      <c r="J9" s="665"/>
    </row>
    <row r="10" spans="1:31" ht="12.6" customHeight="1" x14ac:dyDescent="0.2"/>
    <row r="11" spans="1:31" ht="15.75" x14ac:dyDescent="0.2">
      <c r="A11" s="666" t="s">
        <v>530</v>
      </c>
      <c r="B11" s="666"/>
      <c r="C11" s="658">
        <f ca="1">TODAY()</f>
        <v>46165</v>
      </c>
      <c r="D11" s="658"/>
      <c r="E11" s="658"/>
      <c r="H11" s="666" t="s">
        <v>531</v>
      </c>
      <c r="I11" s="666"/>
      <c r="J11" s="666"/>
      <c r="K11" s="666"/>
      <c r="L11" s="666"/>
      <c r="M11" s="666"/>
      <c r="N11" s="658">
        <f>'Cover Sheet'!R16</f>
        <v>10</v>
      </c>
      <c r="O11" s="658"/>
      <c r="P11" s="658"/>
    </row>
    <row r="12" spans="1:31" ht="9.9499999999999993" customHeight="1" thickBot="1" x14ac:dyDescent="0.25">
      <c r="U12" s="296"/>
      <c r="V12" s="297"/>
    </row>
    <row r="13" spans="1:31" ht="15.75" thickBot="1" x14ac:dyDescent="0.25">
      <c r="A13" s="26" t="s">
        <v>532</v>
      </c>
      <c r="P13" s="643" t="s">
        <v>533</v>
      </c>
      <c r="Q13" s="644"/>
      <c r="R13" s="644"/>
      <c r="S13" s="644"/>
      <c r="T13" s="644"/>
      <c r="U13" s="644"/>
      <c r="V13" s="644"/>
      <c r="W13" s="645"/>
    </row>
    <row r="14" spans="1:31" ht="15.6" customHeight="1" x14ac:dyDescent="0.2">
      <c r="A14" s="646" t="s">
        <v>369</v>
      </c>
      <c r="B14" s="646"/>
      <c r="C14" s="646"/>
      <c r="D14" s="298">
        <f>'Summary Data'!Q2</f>
        <v>0</v>
      </c>
      <c r="F14" s="647" t="s">
        <v>534</v>
      </c>
      <c r="G14" s="647"/>
      <c r="H14" s="647"/>
      <c r="I14" s="647"/>
      <c r="J14" s="647"/>
      <c r="K14" s="299" t="s">
        <v>471</v>
      </c>
      <c r="L14" s="299" t="s">
        <v>244</v>
      </c>
      <c r="P14" s="648" t="s">
        <v>535</v>
      </c>
      <c r="Q14" s="649"/>
      <c r="R14" s="649"/>
      <c r="S14" s="649"/>
      <c r="T14" s="650"/>
      <c r="U14" s="648" t="s">
        <v>536</v>
      </c>
      <c r="V14" s="649"/>
      <c r="W14" s="650"/>
    </row>
    <row r="15" spans="1:31" ht="15.6" customHeight="1" x14ac:dyDescent="0.2">
      <c r="A15" s="646" t="s">
        <v>338</v>
      </c>
      <c r="B15" s="646"/>
      <c r="C15" s="646"/>
      <c r="D15" s="298">
        <f>'Summary Data'!Q3</f>
        <v>0</v>
      </c>
      <c r="F15" s="638" t="s">
        <v>537</v>
      </c>
      <c r="G15" s="638"/>
      <c r="H15" s="638"/>
      <c r="I15" s="638"/>
      <c r="J15" s="639"/>
      <c r="K15" s="305">
        <f>'Data entry'!M4</f>
        <v>0</v>
      </c>
      <c r="L15" s="305">
        <f>SUM('Data entry'!I4:Q4)-K15</f>
        <v>0</v>
      </c>
      <c r="N15" s="651"/>
      <c r="O15" s="651"/>
      <c r="P15" s="652"/>
      <c r="Q15" s="653"/>
      <c r="R15" s="653"/>
      <c r="S15" s="653"/>
      <c r="T15" s="654"/>
      <c r="U15" s="655"/>
      <c r="V15" s="656"/>
      <c r="W15" s="657"/>
    </row>
    <row r="16" spans="1:31" ht="15.6" customHeight="1" x14ac:dyDescent="0.2">
      <c r="F16" s="638" t="s">
        <v>538</v>
      </c>
      <c r="G16" s="638"/>
      <c r="H16" s="638"/>
      <c r="I16" s="638"/>
      <c r="J16" s="639"/>
      <c r="K16" s="300">
        <f>'Summary Data'!J9</f>
        <v>0</v>
      </c>
      <c r="L16" s="300">
        <f>SUM('Summary Data'!F9:N9)-K16</f>
        <v>0</v>
      </c>
    </row>
    <row r="17" spans="1:42" ht="28.5" customHeight="1" x14ac:dyDescent="0.2">
      <c r="A17" s="26"/>
      <c r="F17" s="638" t="s">
        <v>566</v>
      </c>
      <c r="G17" s="638"/>
      <c r="H17" s="638"/>
      <c r="I17" s="638"/>
      <c r="J17" s="639"/>
      <c r="K17" s="300">
        <f>COUNTIFS('Data entry'!B6:B200,"Close Contact",'Data entry'!$AO$6:$AO$200,"Staff")</f>
        <v>0</v>
      </c>
      <c r="L17" s="300">
        <f>COUNTIF('Data entry'!B6:B200,"Close Contact")-K17</f>
        <v>0</v>
      </c>
    </row>
    <row r="18" spans="1:42" x14ac:dyDescent="0.2">
      <c r="A18" s="26"/>
    </row>
    <row r="19" spans="1:42" ht="15.75" thickBot="1" x14ac:dyDescent="0.25"/>
    <row r="20" spans="1:42" ht="15.75" thickBot="1" x14ac:dyDescent="0.25">
      <c r="A20" s="301" t="s">
        <v>471</v>
      </c>
      <c r="B20" s="308">
        <f>SUM(COUNTIFS('Data entry'!$R$6:$R$200,B37,'Data entry'!$B$6:$B$200,{"Confirmed";"Probable"},'Data entry'!$AO$6:$AO$200,"Staff", 'Data entry'!$BD$6:$BD$200,"&lt;&gt;*Negative*"))</f>
        <v>0</v>
      </c>
      <c r="C20" s="308">
        <f>SUM(COUNTIFS('Data entry'!$R$6:$R$200,C37,'Data entry'!$B$6:$B$200,{"Confirmed";"Probable"},'Data entry'!$AO$6:$AO$200,"Staff", 'Data entry'!$BD$6:$BD$200,"&lt;&gt;*Negative*"))</f>
        <v>0</v>
      </c>
      <c r="D20" s="308">
        <f>SUM(COUNTIFS('Data entry'!$R$6:$R$200,D37,'Data entry'!$B$6:$B$200,{"Confirmed";"Probable"},'Data entry'!$AO$6:$AO$200,"Staff", 'Data entry'!$BD$6:$BD$200,"&lt;&gt;*Negative*"))</f>
        <v>0</v>
      </c>
      <c r="E20" s="308">
        <f>SUM(COUNTIFS('Data entry'!$R$6:$R$200,E37,'Data entry'!$B$6:$B$200,{"Confirmed";"Probable"},'Data entry'!$AO$6:$AO$200,"Staff", 'Data entry'!$BD$6:$BD$200,"&lt;&gt;*Negative*"))</f>
        <v>0</v>
      </c>
      <c r="F20" s="308">
        <f>SUM(COUNTIFS('Data entry'!$R$6:$R$200,F37,'Data entry'!$B$6:$B$200,{"Confirmed";"Probable"},'Data entry'!$AO$6:$AO$200,"Staff", 'Data entry'!$BD$6:$BD$200,"&lt;&gt;*Negative*"))</f>
        <v>0</v>
      </c>
      <c r="G20" s="308">
        <f>SUM(COUNTIFS('Data entry'!$R$6:$R$200,G37,'Data entry'!$B$6:$B$200,{"Confirmed";"Probable"},'Data entry'!$AO$6:$AO$200,"Staff", 'Data entry'!$BD$6:$BD$200,"&lt;&gt;*Negative*"))</f>
        <v>0</v>
      </c>
      <c r="H20" s="308">
        <f>SUM(COUNTIFS('Data entry'!$R$6:$R$200,H37,'Data entry'!$B$6:$B$200,{"Confirmed";"Probable"},'Data entry'!$AO$6:$AO$200,"Staff", 'Data entry'!$BD$6:$BD$200,"&lt;&gt;*Negative*"))</f>
        <v>0</v>
      </c>
      <c r="I20" s="308">
        <f>SUM(COUNTIFS('Data entry'!$R$6:$R$200,I37,'Data entry'!$B$6:$B$200,{"Confirmed";"Probable"},'Data entry'!$AO$6:$AO$200,"Staff", 'Data entry'!$BD$6:$BD$200,"&lt;&gt;*Negative*"))</f>
        <v>0</v>
      </c>
      <c r="J20" s="308">
        <f>SUM(COUNTIFS('Data entry'!$R$6:$R$200,J37,'Data entry'!$B$6:$B$200,{"Confirmed";"Probable"},'Data entry'!$AO$6:$AO$200,"Staff", 'Data entry'!$BD$6:$BD$200,"&lt;&gt;*Negative*"))</f>
        <v>0</v>
      </c>
      <c r="K20" s="308">
        <f>SUM(COUNTIFS('Data entry'!$R$6:$R$200,K37,'Data entry'!$B$6:$B$200,{"Confirmed";"Probable"},'Data entry'!$AO$6:$AO$200,"Staff", 'Data entry'!$BD$6:$BD$200,"&lt;&gt;*Negative*"))</f>
        <v>0</v>
      </c>
      <c r="L20" s="308">
        <f>SUM(COUNTIFS('Data entry'!$R$6:$R$200,L37,'Data entry'!$B$6:$B$200,{"Confirmed";"Probable"},'Data entry'!$AO$6:$AO$200,"Staff", 'Data entry'!$BD$6:$BD$200,"&lt;&gt;*Negative*"))</f>
        <v>0</v>
      </c>
      <c r="M20" s="308">
        <f>SUM(COUNTIFS('Data entry'!$R$6:$R$200,M37,'Data entry'!$B$6:$B$200,{"Confirmed";"Probable"},'Data entry'!$AO$6:$AO$200,"Staff", 'Data entry'!$BD$6:$BD$200,"&lt;&gt;*Negative*"))</f>
        <v>0</v>
      </c>
      <c r="N20" s="308">
        <f>SUM(COUNTIFS('Data entry'!$R$6:$R$200,N37,'Data entry'!$B$6:$B$200,{"Confirmed";"Probable"},'Data entry'!$AO$6:$AO$200,"Staff", 'Data entry'!$BD$6:$BD$200,"&lt;&gt;*Negative*"))</f>
        <v>0</v>
      </c>
      <c r="O20" s="308">
        <f>SUM(COUNTIFS('Data entry'!$R$6:$R$200,O37,'Data entry'!$B$6:$B$200,{"Confirmed";"Probable"},'Data entry'!$AO$6:$AO$200,"Staff", 'Data entry'!$BD$6:$BD$200,"&lt;&gt;*Negative*"))</f>
        <v>0</v>
      </c>
      <c r="P20" s="308">
        <f>SUM(COUNTIFS('Data entry'!$R$6:$R$200,P37,'Data entry'!$B$6:$B$200,{"Confirmed";"Probable"},'Data entry'!$AO$6:$AO$200,"Staff", 'Data entry'!$BD$6:$BD$200,"&lt;&gt;*Negative*"))</f>
        <v>0</v>
      </c>
      <c r="Q20" s="308">
        <f>SUM(COUNTIFS('Data entry'!$R$6:$R$200,Q37,'Data entry'!$B$6:$B$200,{"Confirmed";"Probable"},'Data entry'!$AO$6:$AO$200,"Staff", 'Data entry'!$BD$6:$BD$200,"&lt;&gt;*Negative*"))</f>
        <v>0</v>
      </c>
      <c r="R20" s="308">
        <f>SUM(COUNTIFS('Data entry'!$R$6:$R$200,R37,'Data entry'!$B$6:$B$200,{"Confirmed";"Probable"},'Data entry'!$AO$6:$AO$200,"Staff", 'Data entry'!$BD$6:$BD$200,"&lt;&gt;*Negative*"))</f>
        <v>0</v>
      </c>
      <c r="S20" s="308">
        <f>SUM(COUNTIFS('Data entry'!$R$6:$R$200,S37,'Data entry'!$B$6:$B$200,{"Confirmed";"Probable"},'Data entry'!$AO$6:$AO$200,"Staff", 'Data entry'!$BD$6:$BD$200,"&lt;&gt;*Negative*"))</f>
        <v>0</v>
      </c>
      <c r="T20" s="308">
        <f>SUM(COUNTIFS('Data entry'!$R$6:$R$200,T37,'Data entry'!$B$6:$B$200,{"Confirmed";"Probable"},'Data entry'!$AO$6:$AO$200,"Staff", 'Data entry'!$BD$6:$BD$200,"&lt;&gt;*Negative*"))</f>
        <v>0</v>
      </c>
      <c r="U20" s="308">
        <f>SUM(COUNTIFS('Data entry'!$R$6:$R$200,U37,'Data entry'!$B$6:$B$200,{"Confirmed";"Probable"},'Data entry'!$AO$6:$AO$200,"Staff", 'Data entry'!$BD$6:$BD$200,"&lt;&gt;*Negative*"))</f>
        <v>0</v>
      </c>
      <c r="V20" s="308">
        <f>SUM(COUNTIFS('Data entry'!$R$6:$R$200,V37,'Data entry'!$B$6:$B$200,{"Confirmed";"Probable"},'Data entry'!$AO$6:$AO$200,"Staff", 'Data entry'!$BD$6:$BD$200,"&lt;&gt;*Negative*"))</f>
        <v>0</v>
      </c>
      <c r="W20" s="308">
        <f>SUM(COUNTIFS('Data entry'!$R$6:$R$200,W37,'Data entry'!$B$6:$B$200,{"Confirmed";"Probable"},'Data entry'!$AO$6:$AO$200,"Staff", 'Data entry'!$BD$6:$BD$200,"&lt;&gt;*Negative*"))</f>
        <v>0</v>
      </c>
      <c r="X20" s="308">
        <f>SUM(COUNTIFS('Data entry'!$R$6:$R$200,X37,'Data entry'!$B$6:$B$200,{"Confirmed";"Probable"},'Data entry'!$AO$6:$AO$200,"Staff", 'Data entry'!$BD$6:$BD$200,"&lt;&gt;*Negative*"))</f>
        <v>0</v>
      </c>
      <c r="Y20" s="308">
        <f>SUM(COUNTIFS('Data entry'!$R$6:$R$200,Y37,'Data entry'!$B$6:$B$200,{"Confirmed";"Probable"},'Data entry'!$AO$6:$AO$200,"Staff", 'Data entry'!$BD$6:$BD$200,"&lt;&gt;*Negative*"))</f>
        <v>0</v>
      </c>
      <c r="Z20" s="308">
        <f>SUM(COUNTIFS('Data entry'!$R$6:$R$200,Z37,'Data entry'!$B$6:$B$200,{"Confirmed";"Probable"},'Data entry'!$AO$6:$AO$200,"Staff", 'Data entry'!$BD$6:$BD$200,"&lt;&gt;*Negative*"))</f>
        <v>0</v>
      </c>
      <c r="AA20" s="308">
        <f>SUM(COUNTIFS('Data entry'!$R$6:$R$200,AA37,'Data entry'!$B$6:$B$200,{"Confirmed";"Probable"},'Data entry'!$AO$6:$AO$200,"Staff", 'Data entry'!$BD$6:$BD$200,"&lt;&gt;*Negative*"))</f>
        <v>0</v>
      </c>
      <c r="AB20" s="308">
        <f>SUM(COUNTIFS('Data entry'!$R$6:$R$200,AB37,'Data entry'!$B$6:$B$200,{"Confirmed";"Probable"},'Data entry'!$AO$6:$AO$200,"Staff", 'Data entry'!$BD$6:$BD$200,"&lt;&gt;*Negative*"))</f>
        <v>0</v>
      </c>
      <c r="AC20" s="308">
        <f>SUM(COUNTIFS('Data entry'!$R$6:$R$200,AC37,'Data entry'!$B$6:$B$200,{"Confirmed";"Probable"},'Data entry'!$AO$6:$AO$200,"Staff", 'Data entry'!$BD$6:$BD$200,"&lt;&gt;*Negative*"))</f>
        <v>0</v>
      </c>
      <c r="AD20" s="308">
        <f>SUM(COUNTIFS('Data entry'!$R$6:$R$200,AD37,'Data entry'!$B$6:$B$200,{"Confirmed";"Probable"},'Data entry'!$AO$6:$AO$200,"Staff", 'Data entry'!$BD$6:$BD$200,"&lt;&gt;*Negative*"))</f>
        <v>0</v>
      </c>
      <c r="AE20" s="308">
        <f>SUM(COUNTIFS('Data entry'!$R$6:$R$200,AE37,'Data entry'!$B$6:$B$200,{"Confirmed";"Probable"},'Data entry'!$AO$6:$AO$200,"Staff", 'Data entry'!$BD$6:$BD$200,"&lt;&gt;*Negative*"))</f>
        <v>0</v>
      </c>
      <c r="AF20" s="308">
        <f>SUM(COUNTIFS('Data entry'!$R$6:$R$200,AF37,'Data entry'!$B$6:$B$200,{"Confirmed";"Probable"},'Data entry'!$AO$6:$AO$200,"Staff", 'Data entry'!$BD$6:$BD$200,"&lt;&gt;*Negative*"))</f>
        <v>0</v>
      </c>
      <c r="AG20" s="308">
        <f>SUM(COUNTIFS('Data entry'!$R$6:$R$200,AG37,'Data entry'!$B$6:$B$200,{"Confirmed";"Probable"},'Data entry'!$AO$6:$AO$200,"Staff", 'Data entry'!$BD$6:$BD$200,"&lt;&gt;*Negative*"))</f>
        <v>0</v>
      </c>
      <c r="AH20" s="308">
        <f>SUM(COUNTIFS('Data entry'!$R$6:$R$200,AH37,'Data entry'!$B$6:$B$200,{"Confirmed";"Probable"},'Data entry'!$AO$6:$AO$200,"Staff", 'Data entry'!$BD$6:$BD$200,"&lt;&gt;*Negative*"))</f>
        <v>0</v>
      </c>
      <c r="AI20" s="308">
        <f>SUM(COUNTIFS('Data entry'!$R$6:$R$200,AI37,'Data entry'!$B$6:$B$200,{"Confirmed";"Probable"},'Data entry'!$AO$6:$AO$200,"Staff", 'Data entry'!$BD$6:$BD$200,"&lt;&gt;*Negative*"))</f>
        <v>0</v>
      </c>
      <c r="AJ20" s="308">
        <f>SUM(COUNTIFS('Data entry'!$R$6:$R$200,AJ37,'Data entry'!$B$6:$B$200,{"Confirmed";"Probable"},'Data entry'!$AO$6:$AO$200,"Staff", 'Data entry'!$BD$6:$BD$200,"&lt;&gt;*Negative*"))</f>
        <v>0</v>
      </c>
      <c r="AK20" s="308">
        <f>SUM(COUNTIFS('Data entry'!$R$6:$R$200,AK37,'Data entry'!$B$6:$B$200,{"Confirmed";"Probable"},'Data entry'!$AO$6:$AO$200,"Staff", 'Data entry'!$BD$6:$BD$200,"&lt;&gt;*Negative*"))</f>
        <v>0</v>
      </c>
      <c r="AL20" s="308">
        <f>SUM(COUNTIFS('Data entry'!$R$6:$R$200,AL37,'Data entry'!$B$6:$B$200,{"Confirmed";"Probable"},'Data entry'!$AO$6:$AO$200,"Staff", 'Data entry'!$BD$6:$BD$200,"&lt;&gt;*Negative*"))</f>
        <v>0</v>
      </c>
      <c r="AM20" s="308">
        <f>SUM(COUNTIFS('Data entry'!$R$6:$R$200,AM37,'Data entry'!$B$6:$B$200,{"Confirmed";"Probable"},'Data entry'!$AO$6:$AO$200,"Staff", 'Data entry'!$BD$6:$BD$200,"&lt;&gt;*Negative*"))</f>
        <v>0</v>
      </c>
      <c r="AN20" s="308">
        <f>SUM(COUNTIFS('Data entry'!$R$6:$R$200,AN37,'Data entry'!$B$6:$B$200,{"Confirmed";"Probable"},'Data entry'!$AO$6:$AO$200,"Staff", 'Data entry'!$BD$6:$BD$200,"&lt;&gt;*Negative*"))</f>
        <v>0</v>
      </c>
      <c r="AO20" s="308">
        <f>SUM(COUNTIFS('Data entry'!$R$6:$R$200,AO37,'Data entry'!$B$6:$B$200,{"Confirmed";"Probable"},'Data entry'!$AO$6:$AO$200,"Staff", 'Data entry'!$BD$6:$BD$200,"&lt;&gt;*Negative*"))</f>
        <v>0</v>
      </c>
      <c r="AP20" s="308">
        <f>SUM(COUNTIFS('Data entry'!$R$6:$R$200,AP37,'Data entry'!$B$6:$B$200,{"Confirmed";"Probable"},'Data entry'!$AO$6:$AO$200,"Staff", 'Data entry'!$BD$6:$BD$200,"&lt;&gt;*Negative*"))</f>
        <v>0</v>
      </c>
    </row>
    <row r="21" spans="1:42" ht="15.75" thickBot="1" x14ac:dyDescent="0.25">
      <c r="A21" s="302" t="s">
        <v>244</v>
      </c>
      <c r="B21" s="309">
        <f>IF(B37&lt;&gt;"",(SUM(COUNTIFS('Data entry'!$R$6:$R$200,B37,'Data entry'!$B$6:$B$200,{"Confirmed";"Probable"}))-B20),0)</f>
        <v>0</v>
      </c>
      <c r="C21" s="309">
        <f>IF(C37&lt;&gt;"",(SUM(COUNTIFS('Data entry'!$R$6:$R$200,C37,'Data entry'!$B$6:$B$200,{"Confirmed";"Probable"}))-C20),0)</f>
        <v>0</v>
      </c>
      <c r="D21" s="309">
        <f>IF(D37&lt;&gt;"",(SUM(COUNTIFS('Data entry'!$R$6:$R$200,D37,'Data entry'!$B$6:$B$200,{"Confirmed";"Probable"}))-D20),0)</f>
        <v>0</v>
      </c>
      <c r="E21" s="309">
        <f>IF(E37&lt;&gt;"",(SUM(COUNTIFS('Data entry'!$R$6:$R$200,E37,'Data entry'!$B$6:$B$200,{"Confirmed";"Probable"}))-E20),0)</f>
        <v>0</v>
      </c>
      <c r="F21" s="309">
        <f>IF(F37&lt;&gt;"",(SUM(COUNTIFS('Data entry'!$R$6:$R$200,F37,'Data entry'!$B$6:$B$200,{"Confirmed";"Probable"}))-F20),0)</f>
        <v>0</v>
      </c>
      <c r="G21" s="309">
        <f>IF(G37&lt;&gt;"",(SUM(COUNTIFS('Data entry'!$R$6:$R$200,G37,'Data entry'!$B$6:$B$200,{"Confirmed";"Probable"}))-G20),0)</f>
        <v>0</v>
      </c>
      <c r="H21" s="309">
        <f>IF(H37&lt;&gt;"",(SUM(COUNTIFS('Data entry'!$R$6:$R$200,H37,'Data entry'!$B$6:$B$200,{"Confirmed";"Probable"}))-H20),0)</f>
        <v>0</v>
      </c>
      <c r="I21" s="309">
        <f>IF(I37&lt;&gt;"",(SUM(COUNTIFS('Data entry'!$R$6:$R$200,I37,'Data entry'!$B$6:$B$200,{"Confirmed";"Probable"}))-I20),0)</f>
        <v>0</v>
      </c>
      <c r="J21" s="309">
        <f>IF(J37&lt;&gt;"",(SUM(COUNTIFS('Data entry'!$R$6:$R$200,J37,'Data entry'!$B$6:$B$200,{"Confirmed";"Probable"}))-J20),0)</f>
        <v>0</v>
      </c>
      <c r="K21" s="309">
        <f>IF(K37&lt;&gt;"",(SUM(COUNTIFS('Data entry'!$R$6:$R$200,K37,'Data entry'!$B$6:$B$200,{"Confirmed";"Probable"}))-K20),0)</f>
        <v>0</v>
      </c>
      <c r="L21" s="309">
        <f>IF(L37&lt;&gt;"",(SUM(COUNTIFS('Data entry'!$R$6:$R$200,L37,'Data entry'!$B$6:$B$200,{"Confirmed";"Probable"}))-L20),0)</f>
        <v>0</v>
      </c>
      <c r="M21" s="309">
        <f>IF(M37&lt;&gt;"",(SUM(COUNTIFS('Data entry'!$R$6:$R$200,M37,'Data entry'!$B$6:$B$200,{"Confirmed";"Probable"}))-M20),0)</f>
        <v>0</v>
      </c>
      <c r="N21" s="309">
        <f>IF(N37&lt;&gt;"",(SUM(COUNTIFS('Data entry'!$R$6:$R$200,N37,'Data entry'!$B$6:$B$200,{"Confirmed";"Probable"}))-N20),0)</f>
        <v>0</v>
      </c>
      <c r="O21" s="309">
        <f>IF(O37&lt;&gt;"",(SUM(COUNTIFS('Data entry'!$R$6:$R$200,O37,'Data entry'!$B$6:$B$200,{"Confirmed";"Probable"}))-O20),0)</f>
        <v>0</v>
      </c>
      <c r="P21" s="309">
        <f>IF(P37&lt;&gt;"",(SUM(COUNTIFS('Data entry'!$R$6:$R$200,P37,'Data entry'!$B$6:$B$200,{"Confirmed";"Probable"}))-P20),0)</f>
        <v>0</v>
      </c>
      <c r="Q21" s="309">
        <f>IF(Q37&lt;&gt;"",(SUM(COUNTIFS('Data entry'!$R$6:$R$200,Q37,'Data entry'!$B$6:$B$200,{"Confirmed";"Probable"}))-Q20),0)</f>
        <v>0</v>
      </c>
      <c r="R21" s="309">
        <f>IF(R37&lt;&gt;"",(SUM(COUNTIFS('Data entry'!$R$6:$R$200,R37,'Data entry'!$B$6:$B$200,{"Confirmed";"Probable"}))-R20),0)</f>
        <v>0</v>
      </c>
      <c r="S21" s="309">
        <f>IF(S37&lt;&gt;"",(SUM(COUNTIFS('Data entry'!$R$6:$R$200,S37,'Data entry'!$B$6:$B$200,{"Confirmed";"Probable"}))-S20),0)</f>
        <v>0</v>
      </c>
      <c r="T21" s="309">
        <f>IF(T37&lt;&gt;"",(SUM(COUNTIFS('Data entry'!$R$6:$R$200,T37,'Data entry'!$B$6:$B$200,{"Confirmed";"Probable"}))-T20),0)</f>
        <v>0</v>
      </c>
      <c r="U21" s="309">
        <f>IF(U37&lt;&gt;"",(SUM(COUNTIFS('Data entry'!$R$6:$R$200,U37,'Data entry'!$B$6:$B$200,{"Confirmed";"Probable"}))-U20),0)</f>
        <v>0</v>
      </c>
      <c r="V21" s="309">
        <f>IF(V37&lt;&gt;"",(SUM(COUNTIFS('Data entry'!$R$6:$R$200,V37,'Data entry'!$B$6:$B$200,{"Confirmed";"Probable"}))-V20),0)</f>
        <v>0</v>
      </c>
      <c r="W21" s="309">
        <f>IF(W37&lt;&gt;"",(SUM(COUNTIFS('Data entry'!$R$6:$R$200,W37,'Data entry'!$B$6:$B$200,{"Confirmed";"Probable"}))-W20),0)</f>
        <v>0</v>
      </c>
      <c r="X21" s="309">
        <f>IF(X37&lt;&gt;"",(SUM(COUNTIFS('Data entry'!$R$6:$R$200,X37,'Data entry'!$B$6:$B$200,{"Confirmed";"Probable"}))-X20),0)</f>
        <v>0</v>
      </c>
      <c r="Y21" s="309">
        <f>IF(Y37&lt;&gt;"",(SUM(COUNTIFS('Data entry'!$R$6:$R$200,Y37,'Data entry'!$B$6:$B$200,{"Confirmed";"Probable"}))-Y20),0)</f>
        <v>0</v>
      </c>
      <c r="Z21" s="309">
        <f>IF(Z37&lt;&gt;"",(SUM(COUNTIFS('Data entry'!$R$6:$R$200,Z37,'Data entry'!$B$6:$B$200,{"Confirmed";"Probable"}))-Z20),0)</f>
        <v>0</v>
      </c>
      <c r="AA21" s="309">
        <f>IF(AA37&lt;&gt;"",(SUM(COUNTIFS('Data entry'!$R$6:$R$200,AA37,'Data entry'!$B$6:$B$200,{"Confirmed";"Probable"}))-AA20),0)</f>
        <v>0</v>
      </c>
      <c r="AB21" s="309">
        <f>IF(AB37&lt;&gt;"",(SUM(COUNTIFS('Data entry'!$R$6:$R$200,AB37,'Data entry'!$B$6:$B$200,{"Confirmed";"Probable"}))-AB20),0)</f>
        <v>0</v>
      </c>
      <c r="AC21" s="309">
        <f>IF(AC37&lt;&gt;"",(SUM(COUNTIFS('Data entry'!$R$6:$R$200,AC37,'Data entry'!$B$6:$B$200,{"Confirmed";"Probable"}))-AC20),0)</f>
        <v>0</v>
      </c>
      <c r="AD21" s="309">
        <f>IF(AD37&lt;&gt;"",(SUM(COUNTIFS('Data entry'!$R$6:$R$200,AD37,'Data entry'!$B$6:$B$200,{"Confirmed";"Probable"}))-AD20),0)</f>
        <v>0</v>
      </c>
      <c r="AE21" s="309">
        <f>IF(AE37&lt;&gt;"",(SUM(COUNTIFS('Data entry'!$R$6:$R$200,AE37,'Data entry'!$B$6:$B$200,{"Confirmed";"Probable"}))-AE20),0)</f>
        <v>0</v>
      </c>
      <c r="AF21" s="309">
        <f>IF(AF37&lt;&gt;"",(SUM(COUNTIFS('Data entry'!$R$6:$R$200,AF37,'Data entry'!$B$6:$B$200,{"Confirmed";"Probable"}))-AF20),0)</f>
        <v>0</v>
      </c>
      <c r="AG21" s="309">
        <f>IF(AG37&lt;&gt;"",(SUM(COUNTIFS('Data entry'!$R$6:$R$200,AG37,'Data entry'!$B$6:$B$200,{"Confirmed";"Probable"}))-AG20),0)</f>
        <v>0</v>
      </c>
      <c r="AH21" s="309">
        <f>IF(AH37&lt;&gt;"",(SUM(COUNTIFS('Data entry'!$R$6:$R$200,AH37,'Data entry'!$B$6:$B$200,{"Confirmed";"Probable"}))-AH20),0)</f>
        <v>0</v>
      </c>
      <c r="AI21" s="309">
        <f>IF(AI37&lt;&gt;"",(SUM(COUNTIFS('Data entry'!$R$6:$R$200,AI37,'Data entry'!$B$6:$B$200,{"Confirmed";"Probable"}))-AI20),0)</f>
        <v>0</v>
      </c>
      <c r="AJ21" s="309">
        <f>IF(AJ37&lt;&gt;"",(SUM(COUNTIFS('Data entry'!$R$6:$R$200,AJ37,'Data entry'!$B$6:$B$200,{"Confirmed";"Probable"}))-AJ20),0)</f>
        <v>0</v>
      </c>
      <c r="AK21" s="309">
        <f>IF(AK37&lt;&gt;"",(SUM(COUNTIFS('Data entry'!$R$6:$R$200,AK37,'Data entry'!$B$6:$B$200,{"Confirmed";"Probable"}))-AK20),0)</f>
        <v>0</v>
      </c>
      <c r="AL21" s="309">
        <f>IF(AL37&lt;&gt;"",(SUM(COUNTIFS('Data entry'!$R$6:$R$200,AL37,'Data entry'!$B$6:$B$200,{"Confirmed";"Probable"}))-AL20),0)</f>
        <v>0</v>
      </c>
      <c r="AM21" s="309">
        <f>IF(AM37&lt;&gt;"",(SUM(COUNTIFS('Data entry'!$R$6:$R$200,AM37,'Data entry'!$B$6:$B$200,{"Confirmed";"Probable"}))-AM20),0)</f>
        <v>0</v>
      </c>
      <c r="AN21" s="309">
        <f>IF(AN37&lt;&gt;"",(SUM(COUNTIFS('Data entry'!$R$6:$R$200,AN37,'Data entry'!$B$6:$B$200,{"Confirmed";"Probable"}))-AN20),0)</f>
        <v>0</v>
      </c>
      <c r="AO21" s="309">
        <f>IF(AO37&lt;&gt;"",(SUM(COUNTIFS('Data entry'!$R$6:$R$200,AO37,'Data entry'!$B$6:$B$200,{"Confirmed";"Probable"}))-AO20),0)</f>
        <v>0</v>
      </c>
      <c r="AP21" s="309">
        <f>IF(AP37&lt;&gt;"",(SUM(COUNTIFS('Data entry'!$R$6:$R$200,AP37,'Data entry'!$B$6:$B$200,{"Confirmed";"Probable"}))-AP20),0)</f>
        <v>0</v>
      </c>
    </row>
    <row r="22" spans="1:42" ht="15.75" thickBot="1" x14ac:dyDescent="0.25">
      <c r="A22" s="302" t="s">
        <v>539</v>
      </c>
      <c r="B22" s="309">
        <f>B$20+B$21</f>
        <v>0</v>
      </c>
      <c r="C22" s="309">
        <f t="shared" ref="C22:AP22" si="0">C$20+C$21</f>
        <v>0</v>
      </c>
      <c r="D22" s="309">
        <f t="shared" si="0"/>
        <v>0</v>
      </c>
      <c r="E22" s="309">
        <f t="shared" si="0"/>
        <v>0</v>
      </c>
      <c r="F22" s="309">
        <f t="shared" si="0"/>
        <v>0</v>
      </c>
      <c r="G22" s="309">
        <f t="shared" si="0"/>
        <v>0</v>
      </c>
      <c r="H22" s="309">
        <f t="shared" si="0"/>
        <v>0</v>
      </c>
      <c r="I22" s="309">
        <f t="shared" si="0"/>
        <v>0</v>
      </c>
      <c r="J22" s="309">
        <f t="shared" si="0"/>
        <v>0</v>
      </c>
      <c r="K22" s="309">
        <f t="shared" si="0"/>
        <v>0</v>
      </c>
      <c r="L22" s="309">
        <f t="shared" si="0"/>
        <v>0</v>
      </c>
      <c r="M22" s="309">
        <f t="shared" si="0"/>
        <v>0</v>
      </c>
      <c r="N22" s="309">
        <f t="shared" si="0"/>
        <v>0</v>
      </c>
      <c r="O22" s="309">
        <f t="shared" si="0"/>
        <v>0</v>
      </c>
      <c r="P22" s="309">
        <f t="shared" si="0"/>
        <v>0</v>
      </c>
      <c r="Q22" s="309">
        <f t="shared" si="0"/>
        <v>0</v>
      </c>
      <c r="R22" s="309">
        <f t="shared" si="0"/>
        <v>0</v>
      </c>
      <c r="S22" s="309">
        <f t="shared" si="0"/>
        <v>0</v>
      </c>
      <c r="T22" s="309">
        <f t="shared" si="0"/>
        <v>0</v>
      </c>
      <c r="U22" s="309">
        <f t="shared" si="0"/>
        <v>0</v>
      </c>
      <c r="V22" s="309">
        <f t="shared" si="0"/>
        <v>0</v>
      </c>
      <c r="W22" s="309">
        <f t="shared" si="0"/>
        <v>0</v>
      </c>
      <c r="X22" s="309">
        <f t="shared" si="0"/>
        <v>0</v>
      </c>
      <c r="Y22" s="309">
        <f t="shared" si="0"/>
        <v>0</v>
      </c>
      <c r="Z22" s="309">
        <f t="shared" si="0"/>
        <v>0</v>
      </c>
      <c r="AA22" s="309">
        <f t="shared" si="0"/>
        <v>0</v>
      </c>
      <c r="AB22" s="309">
        <f t="shared" si="0"/>
        <v>0</v>
      </c>
      <c r="AC22" s="309">
        <f t="shared" si="0"/>
        <v>0</v>
      </c>
      <c r="AD22" s="309">
        <f t="shared" si="0"/>
        <v>0</v>
      </c>
      <c r="AE22" s="309">
        <f t="shared" si="0"/>
        <v>0</v>
      </c>
      <c r="AF22" s="309">
        <f t="shared" si="0"/>
        <v>0</v>
      </c>
      <c r="AG22" s="309">
        <f t="shared" si="0"/>
        <v>0</v>
      </c>
      <c r="AH22" s="309">
        <f t="shared" si="0"/>
        <v>0</v>
      </c>
      <c r="AI22" s="309">
        <f t="shared" si="0"/>
        <v>0</v>
      </c>
      <c r="AJ22" s="309">
        <f t="shared" si="0"/>
        <v>0</v>
      </c>
      <c r="AK22" s="309">
        <f t="shared" si="0"/>
        <v>0</v>
      </c>
      <c r="AL22" s="309">
        <f t="shared" si="0"/>
        <v>0</v>
      </c>
      <c r="AM22" s="309">
        <f t="shared" si="0"/>
        <v>0</v>
      </c>
      <c r="AN22" s="309">
        <f t="shared" si="0"/>
        <v>0</v>
      </c>
      <c r="AO22" s="309">
        <f t="shared" si="0"/>
        <v>0</v>
      </c>
      <c r="AP22" s="309">
        <f t="shared" si="0"/>
        <v>0</v>
      </c>
    </row>
    <row r="23" spans="1:42" ht="15.75" thickBot="1" x14ac:dyDescent="0.25">
      <c r="A23" s="640" t="s">
        <v>540</v>
      </c>
      <c r="B23" s="303" t="str">
        <f>IF(B$20&gt;13,"S",IF((B$21-COUNTIF(B24:B$36,"P"))&gt;0,"P",""))</f>
        <v/>
      </c>
      <c r="C23" s="303" t="str">
        <f>IF(C$20&gt;13,"S",IF((C$21-COUNTIF(C24:C$36,"P"))&gt;0,"P",""))</f>
        <v/>
      </c>
      <c r="D23" s="303" t="str">
        <f>IF(D$20&gt;13,"S",IF((D$21-COUNTIF(D24:D$36,"P"))&gt;0,"P",""))</f>
        <v/>
      </c>
      <c r="E23" s="303" t="str">
        <f>IF(E$20&gt;13,"S",IF((E$21-COUNTIF(E24:E$36,"P"))&gt;0,"P",""))</f>
        <v/>
      </c>
      <c r="F23" s="303" t="str">
        <f>IF(F$20&gt;13,"S",IF((F$21-COUNTIF(F24:F$36,"P"))&gt;0,"P",""))</f>
        <v/>
      </c>
      <c r="G23" s="303" t="str">
        <f>IF(G$20&gt;13,"S",IF((G$21-COUNTIF(G24:G$36,"P"))&gt;0,"P",""))</f>
        <v/>
      </c>
      <c r="H23" s="303" t="str">
        <f>IF(H$20&gt;13,"S",IF((H$21-COUNTIF(H24:H$36,"P"))&gt;0,"P",""))</f>
        <v/>
      </c>
      <c r="I23" s="303" t="str">
        <f>IF(I$20&gt;13,"S",IF((I$21-COUNTIF(I24:I$36,"P"))&gt;0,"P",""))</f>
        <v/>
      </c>
      <c r="J23" s="303" t="str">
        <f>IF(J$20&gt;13,"S",IF((J$21-COUNTIF(J24:J$36,"P"))&gt;0,"P",""))</f>
        <v/>
      </c>
      <c r="K23" s="303" t="str">
        <f>IF(K$20&gt;13,"S",IF((K$21-COUNTIF(K24:K$36,"P"))&gt;0,"P",""))</f>
        <v/>
      </c>
      <c r="L23" s="303" t="str">
        <f>IF(L$20&gt;13,"S",IF((L$21-COUNTIF(L24:L$36,"P"))&gt;0,"P",""))</f>
        <v/>
      </c>
      <c r="M23" s="303" t="str">
        <f>IF(M$20&gt;13,"S",IF((M$21-COUNTIF(M24:M$36,"P"))&gt;0,"P",""))</f>
        <v/>
      </c>
      <c r="N23" s="303" t="str">
        <f>IF(N$20&gt;13,"S",IF((N$21-COUNTIF(N24:N$36,"P"))&gt;0,"P",""))</f>
        <v/>
      </c>
      <c r="O23" s="303" t="str">
        <f>IF(O$20&gt;13,"S",IF((O$21-COUNTIF(O24:O$36,"P"))&gt;0,"P",""))</f>
        <v/>
      </c>
      <c r="P23" s="303" t="str">
        <f>IF(P$20&gt;13,"S",IF((P$21-COUNTIF(P24:P$36,"P"))&gt;0,"P",""))</f>
        <v/>
      </c>
      <c r="Q23" s="303" t="str">
        <f>IF(Q$20&gt;13,"S",IF((Q$21-COUNTIF(Q24:Q$36,"P"))&gt;0,"P",""))</f>
        <v/>
      </c>
      <c r="R23" s="303" t="str">
        <f>IF(R$20&gt;13,"S",IF((R$21-COUNTIF(R24:R$36,"P"))&gt;0,"P",""))</f>
        <v/>
      </c>
      <c r="S23" s="303" t="str">
        <f>IF(S$20&gt;13,"S",IF((S$21-COUNTIF(S24:S$36,"P"))&gt;0,"P",""))</f>
        <v/>
      </c>
      <c r="T23" s="303" t="str">
        <f>IF(T$20&gt;13,"S",IF((T$21-COUNTIF(T24:T$36,"P"))&gt;0,"P",""))</f>
        <v/>
      </c>
      <c r="U23" s="303" t="str">
        <f>IF(U$20&gt;13,"S",IF((U$21-COUNTIF(U24:U$36,"P"))&gt;0,"P",""))</f>
        <v/>
      </c>
      <c r="V23" s="303" t="str">
        <f>IF(V$20&gt;13,"S",IF((V$21-COUNTIF(V24:V$36,"P"))&gt;0,"P",""))</f>
        <v/>
      </c>
      <c r="W23" s="303" t="str">
        <f>IF(W$20&gt;13,"S",IF((W$21-COUNTIF(W24:W$36,"P"))&gt;0,"P",""))</f>
        <v/>
      </c>
      <c r="X23" s="303" t="str">
        <f>IF(X$20&gt;13,"S",IF((X$21-COUNTIF(X24:X$36,"P"))&gt;0,"P",""))</f>
        <v/>
      </c>
      <c r="Y23" s="303" t="str">
        <f>IF(Y$20&gt;13,"S",IF((Y$21-COUNTIF(Y24:Y$36,"P"))&gt;0,"P",""))</f>
        <v/>
      </c>
      <c r="Z23" s="303" t="str">
        <f>IF(Z$20&gt;13,"S",IF((Z$21-COUNTIF(Z24:Z$36,"P"))&gt;0,"P",""))</f>
        <v/>
      </c>
      <c r="AA23" s="303" t="str">
        <f>IF(AA$20&gt;13,"S",IF((AA$21-COUNTIF(AA24:AA$36,"P"))&gt;0,"P",""))</f>
        <v/>
      </c>
      <c r="AB23" s="303" t="str">
        <f>IF(AB$20&gt;13,"S",IF((AB$21-COUNTIF(AB24:AB$36,"P"))&gt;0,"P",""))</f>
        <v/>
      </c>
      <c r="AC23" s="303" t="str">
        <f>IF(AC$20&gt;13,"S",IF((AC$21-COUNTIF(AC24:AC$36,"P"))&gt;0,"P",""))</f>
        <v/>
      </c>
      <c r="AD23" s="303" t="str">
        <f>IF(AD$20&gt;13,"S",IF((AD$21-COUNTIF(AD24:AD$36,"P"))&gt;0,"P",""))</f>
        <v/>
      </c>
      <c r="AE23" s="303" t="str">
        <f>IF(AE$20&gt;13,"S",IF((AE$21-COUNTIF(AE24:AE$36,"P"))&gt;0,"P",""))</f>
        <v/>
      </c>
      <c r="AF23" s="303" t="str">
        <f>IF(AF$20&gt;13,"S",IF((AF$21-COUNTIF(AF24:AF$36,"P"))&gt;0,"P",""))</f>
        <v/>
      </c>
      <c r="AG23" s="303" t="str">
        <f>IF(AG$20&gt;13,"S",IF((AG$21-COUNTIF(AG24:AG$36,"P"))&gt;0,"P",""))</f>
        <v/>
      </c>
      <c r="AH23" s="303" t="str">
        <f>IF(AH$20&gt;13,"S",IF((AH$21-COUNTIF(AH24:AH$36,"P"))&gt;0,"P",""))</f>
        <v/>
      </c>
      <c r="AI23" s="303" t="str">
        <f>IF(AI$20&gt;13,"S",IF((AI$21-COUNTIF(AI24:AI$36,"P"))&gt;0,"P",""))</f>
        <v/>
      </c>
      <c r="AJ23" s="303" t="str">
        <f>IF(AJ$20&gt;13,"S",IF((AJ$21-COUNTIF(AJ24:AJ$36,"P"))&gt;0,"P",""))</f>
        <v/>
      </c>
      <c r="AK23" s="303" t="str">
        <f>IF(AK$20&gt;13,"S",IF((AK$21-COUNTIF(AK24:AK$36,"P"))&gt;0,"P",""))</f>
        <v/>
      </c>
      <c r="AL23" s="303" t="str">
        <f>IF(AL$20&gt;13,"S",IF((AL$21-COUNTIF(AL24:AL$36,"P"))&gt;0,"P",""))</f>
        <v/>
      </c>
      <c r="AM23" s="303" t="str">
        <f>IF(AM$20&gt;13,"S",IF((AM$21-COUNTIF(AM24:AM$36,"P"))&gt;0,"P",""))</f>
        <v/>
      </c>
      <c r="AN23" s="303" t="str">
        <f>IF(AN$20&gt;13,"S",IF((AN$21-COUNTIF(AN24:AN$36,"P"))&gt;0,"P",""))</f>
        <v/>
      </c>
      <c r="AO23" s="303" t="str">
        <f>IF(AO$20&gt;13,"S",IF((AO$21-COUNTIF(AO24:AO$36,"P"))&gt;0,"P",""))</f>
        <v/>
      </c>
      <c r="AP23" s="303" t="str">
        <f>IF(AP$20&gt;13,"S",IF((AP$21-COUNTIF(AP24:AP$36,"P"))&gt;0,"P",""))</f>
        <v/>
      </c>
    </row>
    <row r="24" spans="1:42" ht="15.75" thickBot="1" x14ac:dyDescent="0.25">
      <c r="A24" s="641"/>
      <c r="B24" s="303" t="str">
        <f>IF(B$20&gt;12,"S",IF((B$21-COUNTIF(B25:B$36,"P"))&gt;0,"P",""))</f>
        <v/>
      </c>
      <c r="C24" s="303" t="str">
        <f>IF(C$20&gt;12,"S",IF((C$21-COUNTIF(C25:C$36,"P"))&gt;0,"P",""))</f>
        <v/>
      </c>
      <c r="D24" s="303" t="str">
        <f>IF(D$20&gt;12,"S",IF((D$21-COUNTIF(D25:D$36,"P"))&gt;0,"P",""))</f>
        <v/>
      </c>
      <c r="E24" s="303" t="str">
        <f>IF(E$20&gt;12,"S",IF((E$21-COUNTIF(E25:E$36,"P"))&gt;0,"P",""))</f>
        <v/>
      </c>
      <c r="F24" s="303" t="str">
        <f>IF(F$20&gt;12,"S",IF((F$21-COUNTIF(F25:F$36,"P"))&gt;0,"P",""))</f>
        <v/>
      </c>
      <c r="G24" s="303" t="str">
        <f>IF(G$20&gt;12,"S",IF((G$21-COUNTIF(G25:G$36,"P"))&gt;0,"P",""))</f>
        <v/>
      </c>
      <c r="H24" s="303" t="str">
        <f>IF(H$20&gt;12,"S",IF((H$21-COUNTIF(H25:H$36,"P"))&gt;0,"P",""))</f>
        <v/>
      </c>
      <c r="I24" s="303" t="str">
        <f>IF(I$20&gt;12,"S",IF((I$21-COUNTIF(I25:I$36,"P"))&gt;0,"P",""))</f>
        <v/>
      </c>
      <c r="J24" s="303" t="str">
        <f>IF(J$20&gt;12,"S",IF((J$21-COUNTIF(J25:J$36,"P"))&gt;0,"P",""))</f>
        <v/>
      </c>
      <c r="K24" s="303" t="str">
        <f>IF(K$20&gt;12,"S",IF((K$21-COUNTIF(K25:K$36,"P"))&gt;0,"P",""))</f>
        <v/>
      </c>
      <c r="L24" s="303" t="str">
        <f>IF(L$20&gt;12,"S",IF((L$21-COUNTIF(L25:L$36,"P"))&gt;0,"P",""))</f>
        <v/>
      </c>
      <c r="M24" s="303" t="str">
        <f>IF(M$20&gt;12,"S",IF((M$21-COUNTIF(M25:M$36,"P"))&gt;0,"P",""))</f>
        <v/>
      </c>
      <c r="N24" s="303" t="str">
        <f>IF(N$20&gt;12,"S",IF((N$21-COUNTIF(N25:N$36,"P"))&gt;0,"P",""))</f>
        <v/>
      </c>
      <c r="O24" s="303" t="str">
        <f>IF(O$20&gt;12,"S",IF((O$21-COUNTIF(O25:O$36,"P"))&gt;0,"P",""))</f>
        <v/>
      </c>
      <c r="P24" s="303" t="str">
        <f>IF(P$20&gt;12,"S",IF((P$21-COUNTIF(P25:P$36,"P"))&gt;0,"P",""))</f>
        <v/>
      </c>
      <c r="Q24" s="303" t="str">
        <f>IF(Q$20&gt;12,"S",IF((Q$21-COUNTIF(Q25:Q$36,"P"))&gt;0,"P",""))</f>
        <v/>
      </c>
      <c r="R24" s="303" t="str">
        <f>IF(R$20&gt;12,"S",IF((R$21-COUNTIF(R25:R$36,"P"))&gt;0,"P",""))</f>
        <v/>
      </c>
      <c r="S24" s="303" t="str">
        <f>IF(S$20&gt;12,"S",IF((S$21-COUNTIF(S25:S$36,"P"))&gt;0,"P",""))</f>
        <v/>
      </c>
      <c r="T24" s="303" t="str">
        <f>IF(T$20&gt;12,"S",IF((T$21-COUNTIF(T25:T$36,"P"))&gt;0,"P",""))</f>
        <v/>
      </c>
      <c r="U24" s="303" t="str">
        <f>IF(U$20&gt;12,"S",IF((U$21-COUNTIF(U25:U$36,"P"))&gt;0,"P",""))</f>
        <v/>
      </c>
      <c r="V24" s="303" t="str">
        <f>IF(V$20&gt;12,"S",IF((V$21-COUNTIF(V25:V$36,"P"))&gt;0,"P",""))</f>
        <v/>
      </c>
      <c r="W24" s="303" t="str">
        <f>IF(W$20&gt;12,"S",IF((W$21-COUNTIF(W25:W$36,"P"))&gt;0,"P",""))</f>
        <v/>
      </c>
      <c r="X24" s="303" t="str">
        <f>IF(X$20&gt;12,"S",IF((X$21-COUNTIF(X25:X$36,"P"))&gt;0,"P",""))</f>
        <v/>
      </c>
      <c r="Y24" s="303" t="str">
        <f>IF(Y$20&gt;12,"S",IF((Y$21-COUNTIF(Y25:Y$36,"P"))&gt;0,"P",""))</f>
        <v/>
      </c>
      <c r="Z24" s="303" t="str">
        <f>IF(Z$20&gt;12,"S",IF((Z$21-COUNTIF(Z25:Z$36,"P"))&gt;0,"P",""))</f>
        <v/>
      </c>
      <c r="AA24" s="303" t="str">
        <f>IF(AA$20&gt;12,"S",IF((AA$21-COUNTIF(AA25:AA$36,"P"))&gt;0,"P",""))</f>
        <v/>
      </c>
      <c r="AB24" s="303" t="str">
        <f>IF(AB$20&gt;12,"S",IF((AB$21-COUNTIF(AB25:AB$36,"P"))&gt;0,"P",""))</f>
        <v/>
      </c>
      <c r="AC24" s="303" t="str">
        <f>IF(AC$20&gt;12,"S",IF((AC$21-COUNTIF(AC25:AC$36,"P"))&gt;0,"P",""))</f>
        <v/>
      </c>
      <c r="AD24" s="303" t="str">
        <f>IF(AD$20&gt;12,"S",IF((AD$21-COUNTIF(AD25:AD$36,"P"))&gt;0,"P",""))</f>
        <v/>
      </c>
      <c r="AE24" s="303" t="str">
        <f>IF(AE$20&gt;12,"S",IF((AE$21-COUNTIF(AE25:AE$36,"P"))&gt;0,"P",""))</f>
        <v/>
      </c>
      <c r="AF24" s="303" t="str">
        <f>IF(AF$20&gt;12,"S",IF((AF$21-COUNTIF(AF25:AF$36,"P"))&gt;0,"P",""))</f>
        <v/>
      </c>
      <c r="AG24" s="303" t="str">
        <f>IF(AG$20&gt;12,"S",IF((AG$21-COUNTIF(AG25:AG$36,"P"))&gt;0,"P",""))</f>
        <v/>
      </c>
      <c r="AH24" s="303" t="str">
        <f>IF(AH$20&gt;12,"S",IF((AH$21-COUNTIF(AH25:AH$36,"P"))&gt;0,"P",""))</f>
        <v/>
      </c>
      <c r="AI24" s="303" t="str">
        <f>IF(AI$20&gt;12,"S",IF((AI$21-COUNTIF(AI25:AI$36,"P"))&gt;0,"P",""))</f>
        <v/>
      </c>
      <c r="AJ24" s="303" t="str">
        <f>IF(AJ$20&gt;12,"S",IF((AJ$21-COUNTIF(AJ25:AJ$36,"P"))&gt;0,"P",""))</f>
        <v/>
      </c>
      <c r="AK24" s="303" t="str">
        <f>IF(AK$20&gt;12,"S",IF((AK$21-COUNTIF(AK25:AK$36,"P"))&gt;0,"P",""))</f>
        <v/>
      </c>
      <c r="AL24" s="303" t="str">
        <f>IF(AL$20&gt;12,"S",IF((AL$21-COUNTIF(AL25:AL$36,"P"))&gt;0,"P",""))</f>
        <v/>
      </c>
      <c r="AM24" s="303" t="str">
        <f>IF(AM$20&gt;12,"S",IF((AM$21-COUNTIF(AM25:AM$36,"P"))&gt;0,"P",""))</f>
        <v/>
      </c>
      <c r="AN24" s="303" t="str">
        <f>IF(AN$20&gt;12,"S",IF((AN$21-COUNTIF(AN25:AN$36,"P"))&gt;0,"P",""))</f>
        <v/>
      </c>
      <c r="AO24" s="303" t="str">
        <f>IF(AO$20&gt;12,"S",IF((AO$21-COUNTIF(AO25:AO$36,"P"))&gt;0,"P",""))</f>
        <v/>
      </c>
      <c r="AP24" s="303" t="str">
        <f>IF(AP$20&gt;12,"S",IF((AP$21-COUNTIF(AP25:AP$36,"P"))&gt;0,"P",""))</f>
        <v/>
      </c>
    </row>
    <row r="25" spans="1:42" ht="15.75" thickBot="1" x14ac:dyDescent="0.25">
      <c r="A25" s="641"/>
      <c r="B25" s="303" t="str">
        <f>IF(B$20&gt;11,"S",IF((B$21-COUNTIF(B26:B$36,"P"))&gt;0,"P",""))</f>
        <v/>
      </c>
      <c r="C25" s="303" t="str">
        <f>IF(C$20&gt;11,"S",IF((C$21-COUNTIF(C26:C$36,"P"))&gt;0,"P",""))</f>
        <v/>
      </c>
      <c r="D25" s="303" t="str">
        <f>IF(D$20&gt;11,"S",IF((D$21-COUNTIF(D26:D$36,"P"))&gt;0,"P",""))</f>
        <v/>
      </c>
      <c r="E25" s="303" t="str">
        <f>IF(E$20&gt;11,"S",IF((E$21-COUNTIF(E26:E$36,"P"))&gt;0,"P",""))</f>
        <v/>
      </c>
      <c r="F25" s="303" t="str">
        <f>IF(F$20&gt;11,"S",IF((F$21-COUNTIF(F26:F$36,"P"))&gt;0,"P",""))</f>
        <v/>
      </c>
      <c r="G25" s="303" t="str">
        <f>IF(G$20&gt;11,"S",IF((G$21-COUNTIF(G26:G$36,"P"))&gt;0,"P",""))</f>
        <v/>
      </c>
      <c r="H25" s="303" t="str">
        <f>IF(H$20&gt;11,"S",IF((H$21-COUNTIF(H26:H$36,"P"))&gt;0,"P",""))</f>
        <v/>
      </c>
      <c r="I25" s="303" t="str">
        <f>IF(I$20&gt;11,"S",IF((I$21-COUNTIF(I26:I$36,"P"))&gt;0,"P",""))</f>
        <v/>
      </c>
      <c r="J25" s="303" t="str">
        <f>IF(J$20&gt;11,"S",IF((J$21-COUNTIF(J26:J$36,"P"))&gt;0,"P",""))</f>
        <v/>
      </c>
      <c r="K25" s="303" t="str">
        <f>IF(K$20&gt;11,"S",IF((K$21-COUNTIF(K26:K$36,"P"))&gt;0,"P",""))</f>
        <v/>
      </c>
      <c r="L25" s="303" t="str">
        <f>IF(L$20&gt;11,"S",IF((L$21-COUNTIF(L26:L$36,"P"))&gt;0,"P",""))</f>
        <v/>
      </c>
      <c r="M25" s="303" t="str">
        <f>IF(M$20&gt;11,"S",IF((M$21-COUNTIF(M26:M$36,"P"))&gt;0,"P",""))</f>
        <v/>
      </c>
      <c r="N25" s="303" t="str">
        <f>IF(N$20&gt;11,"S",IF((N$21-COUNTIF(N26:N$36,"P"))&gt;0,"P",""))</f>
        <v/>
      </c>
      <c r="O25" s="303" t="str">
        <f>IF(O$20&gt;11,"S",IF((O$21-COUNTIF(O26:O$36,"P"))&gt;0,"P",""))</f>
        <v/>
      </c>
      <c r="P25" s="303" t="str">
        <f>IF(P$20&gt;11,"S",IF((P$21-COUNTIF(P26:P$36,"P"))&gt;0,"P",""))</f>
        <v/>
      </c>
      <c r="Q25" s="303" t="str">
        <f>IF(Q$20&gt;11,"S",IF((Q$21-COUNTIF(Q26:Q$36,"P"))&gt;0,"P",""))</f>
        <v/>
      </c>
      <c r="R25" s="303" t="str">
        <f>IF(R$20&gt;11,"S",IF((R$21-COUNTIF(R26:R$36,"P"))&gt;0,"P",""))</f>
        <v/>
      </c>
      <c r="S25" s="303" t="str">
        <f>IF(S$20&gt;11,"S",IF((S$21-COUNTIF(S26:S$36,"P"))&gt;0,"P",""))</f>
        <v/>
      </c>
      <c r="T25" s="303" t="str">
        <f>IF(T$20&gt;11,"S",IF((T$21-COUNTIF(T26:T$36,"P"))&gt;0,"P",""))</f>
        <v/>
      </c>
      <c r="U25" s="303" t="str">
        <f>IF(U$20&gt;11,"S",IF((U$21-COUNTIF(U26:U$36,"P"))&gt;0,"P",""))</f>
        <v/>
      </c>
      <c r="V25" s="303" t="str">
        <f>IF(V$20&gt;11,"S",IF((V$21-COUNTIF(V26:V$36,"P"))&gt;0,"P",""))</f>
        <v/>
      </c>
      <c r="W25" s="303" t="str">
        <f>IF(W$20&gt;11,"S",IF((W$21-COUNTIF(W26:W$36,"P"))&gt;0,"P",""))</f>
        <v/>
      </c>
      <c r="X25" s="303" t="str">
        <f>IF(X$20&gt;11,"S",IF((X$21-COUNTIF(X26:X$36,"P"))&gt;0,"P",""))</f>
        <v/>
      </c>
      <c r="Y25" s="303" t="str">
        <f>IF(Y$20&gt;11,"S",IF((Y$21-COUNTIF(Y26:Y$36,"P"))&gt;0,"P",""))</f>
        <v/>
      </c>
      <c r="Z25" s="303" t="str">
        <f>IF(Z$20&gt;11,"S",IF((Z$21-COUNTIF(Z26:Z$36,"P"))&gt;0,"P",""))</f>
        <v/>
      </c>
      <c r="AA25" s="303" t="str">
        <f>IF(AA$20&gt;11,"S",IF((AA$21-COUNTIF(AA26:AA$36,"P"))&gt;0,"P",""))</f>
        <v/>
      </c>
      <c r="AB25" s="303" t="str">
        <f>IF(AB$20&gt;11,"S",IF((AB$21-COUNTIF(AB26:AB$36,"P"))&gt;0,"P",""))</f>
        <v/>
      </c>
      <c r="AC25" s="303" t="str">
        <f>IF(AC$20&gt;11,"S",IF((AC$21-COUNTIF(AC26:AC$36,"P"))&gt;0,"P",""))</f>
        <v/>
      </c>
      <c r="AD25" s="303" t="str">
        <f>IF(AD$20&gt;11,"S",IF((AD$21-COUNTIF(AD26:AD$36,"P"))&gt;0,"P",""))</f>
        <v/>
      </c>
      <c r="AE25" s="303" t="str">
        <f>IF(AE$20&gt;11,"S",IF((AE$21-COUNTIF(AE26:AE$36,"P"))&gt;0,"P",""))</f>
        <v/>
      </c>
      <c r="AF25" s="303" t="str">
        <f>IF(AF$20&gt;11,"S",IF((AF$21-COUNTIF(AF26:AF$36,"P"))&gt;0,"P",""))</f>
        <v/>
      </c>
      <c r="AG25" s="303" t="str">
        <f>IF(AG$20&gt;11,"S",IF((AG$21-COUNTIF(AG26:AG$36,"P"))&gt;0,"P",""))</f>
        <v/>
      </c>
      <c r="AH25" s="303" t="str">
        <f>IF(AH$20&gt;11,"S",IF((AH$21-COUNTIF(AH26:AH$36,"P"))&gt;0,"P",""))</f>
        <v/>
      </c>
      <c r="AI25" s="303" t="str">
        <f>IF(AI$20&gt;11,"S",IF((AI$21-COUNTIF(AI26:AI$36,"P"))&gt;0,"P",""))</f>
        <v/>
      </c>
      <c r="AJ25" s="303" t="str">
        <f>IF(AJ$20&gt;11,"S",IF((AJ$21-COUNTIF(AJ26:AJ$36,"P"))&gt;0,"P",""))</f>
        <v/>
      </c>
      <c r="AK25" s="303" t="str">
        <f>IF(AK$20&gt;11,"S",IF((AK$21-COUNTIF(AK26:AK$36,"P"))&gt;0,"P",""))</f>
        <v/>
      </c>
      <c r="AL25" s="303" t="str">
        <f>IF(AL$20&gt;11,"S",IF((AL$21-COUNTIF(AL26:AL$36,"P"))&gt;0,"P",""))</f>
        <v/>
      </c>
      <c r="AM25" s="303" t="str">
        <f>IF(AM$20&gt;11,"S",IF((AM$21-COUNTIF(AM26:AM$36,"P"))&gt;0,"P",""))</f>
        <v/>
      </c>
      <c r="AN25" s="303" t="str">
        <f>IF(AN$20&gt;11,"S",IF((AN$21-COUNTIF(AN26:AN$36,"P"))&gt;0,"P",""))</f>
        <v/>
      </c>
      <c r="AO25" s="303" t="str">
        <f>IF(AO$20&gt;11,"S",IF((AO$21-COUNTIF(AO26:AO$36,"P"))&gt;0,"P",""))</f>
        <v/>
      </c>
      <c r="AP25" s="303" t="str">
        <f>IF(AP$20&gt;11,"S",IF((AP$21-COUNTIF(AP26:AP$36,"P"))&gt;0,"P",""))</f>
        <v/>
      </c>
    </row>
    <row r="26" spans="1:42" ht="15.75" thickBot="1" x14ac:dyDescent="0.25">
      <c r="A26" s="641"/>
      <c r="B26" s="303" t="str">
        <f>IF(B$20&gt;10,"S",IF((B$21-COUNTIF(B27:B$36,"P"))&gt;0,"P",""))</f>
        <v/>
      </c>
      <c r="C26" s="303" t="str">
        <f>IF(C$20&gt;10,"S",IF((C$21-COUNTIF(C27:C$36,"P"))&gt;0,"P",""))</f>
        <v/>
      </c>
      <c r="D26" s="303" t="str">
        <f>IF(D$20&gt;10,"S",IF((D$21-COUNTIF(D27:D$36,"P"))&gt;0,"P",""))</f>
        <v/>
      </c>
      <c r="E26" s="303" t="str">
        <f>IF(E$20&gt;10,"S",IF((E$21-COUNTIF(E27:E$36,"P"))&gt;0,"P",""))</f>
        <v/>
      </c>
      <c r="F26" s="303" t="str">
        <f>IF(F$20&gt;10,"S",IF((F$21-COUNTIF(F27:F$36,"P"))&gt;0,"P",""))</f>
        <v/>
      </c>
      <c r="G26" s="303" t="str">
        <f>IF(G$20&gt;10,"S",IF((G$21-COUNTIF(G27:G$36,"P"))&gt;0,"P",""))</f>
        <v/>
      </c>
      <c r="H26" s="303" t="str">
        <f>IF(H$20&gt;10,"S",IF((H$21-COUNTIF(H27:H$36,"P"))&gt;0,"P",""))</f>
        <v/>
      </c>
      <c r="I26" s="303" t="str">
        <f>IF(I$20&gt;10,"S",IF((I$21-COUNTIF(I27:I$36,"P"))&gt;0,"P",""))</f>
        <v/>
      </c>
      <c r="J26" s="303" t="str">
        <f>IF(J$20&gt;10,"S",IF((J$21-COUNTIF(J27:J$36,"P"))&gt;0,"P",""))</f>
        <v/>
      </c>
      <c r="K26" s="303" t="str">
        <f>IF(K$20&gt;10,"S",IF((K$21-COUNTIF(K27:K$36,"P"))&gt;0,"P",""))</f>
        <v/>
      </c>
      <c r="L26" s="303" t="str">
        <f>IF(L$20&gt;10,"S",IF((L$21-COUNTIF(L27:L$36,"P"))&gt;0,"P",""))</f>
        <v/>
      </c>
      <c r="M26" s="303" t="str">
        <f>IF(M$20&gt;10,"S",IF((M$21-COUNTIF(M27:M$36,"P"))&gt;0,"P",""))</f>
        <v/>
      </c>
      <c r="N26" s="303" t="str">
        <f>IF(N$20&gt;10,"S",IF((N$21-COUNTIF(N27:N$36,"P"))&gt;0,"P",""))</f>
        <v/>
      </c>
      <c r="O26" s="303" t="str">
        <f>IF(O$20&gt;10,"S",IF((O$21-COUNTIF(O27:O$36,"P"))&gt;0,"P",""))</f>
        <v/>
      </c>
      <c r="P26" s="303" t="str">
        <f>IF(P$20&gt;10,"S",IF((P$21-COUNTIF(P27:P$36,"P"))&gt;0,"P",""))</f>
        <v/>
      </c>
      <c r="Q26" s="303" t="str">
        <f>IF(Q$20&gt;10,"S",IF((Q$21-COUNTIF(Q27:Q$36,"P"))&gt;0,"P",""))</f>
        <v/>
      </c>
      <c r="R26" s="303" t="str">
        <f>IF(R$20&gt;10,"S",IF((R$21-COUNTIF(R27:R$36,"P"))&gt;0,"P",""))</f>
        <v/>
      </c>
      <c r="S26" s="303" t="str">
        <f>IF(S$20&gt;10,"S",IF((S$21-COUNTIF(S27:S$36,"P"))&gt;0,"P",""))</f>
        <v/>
      </c>
      <c r="T26" s="303" t="str">
        <f>IF(T$20&gt;10,"S",IF((T$21-COUNTIF(T27:T$36,"P"))&gt;0,"P",""))</f>
        <v/>
      </c>
      <c r="U26" s="303" t="str">
        <f>IF(U$20&gt;10,"S",IF((U$21-COUNTIF(U27:U$36,"P"))&gt;0,"P",""))</f>
        <v/>
      </c>
      <c r="V26" s="303" t="str">
        <f>IF(V$20&gt;10,"S",IF((V$21-COUNTIF(V27:V$36,"P"))&gt;0,"P",""))</f>
        <v/>
      </c>
      <c r="W26" s="303" t="str">
        <f>IF(W$20&gt;10,"S",IF((W$21-COUNTIF(W27:W$36,"P"))&gt;0,"P",""))</f>
        <v/>
      </c>
      <c r="X26" s="303" t="str">
        <f>IF(X$20&gt;10,"S",IF((X$21-COUNTIF(X27:X$36,"P"))&gt;0,"P",""))</f>
        <v/>
      </c>
      <c r="Y26" s="303" t="str">
        <f>IF(Y$20&gt;10,"S",IF((Y$21-COUNTIF(Y27:Y$36,"P"))&gt;0,"P",""))</f>
        <v/>
      </c>
      <c r="Z26" s="303" t="str">
        <f>IF(Z$20&gt;10,"S",IF((Z$21-COUNTIF(Z27:Z$36,"P"))&gt;0,"P",""))</f>
        <v/>
      </c>
      <c r="AA26" s="303" t="str">
        <f>IF(AA$20&gt;10,"S",IF((AA$21-COUNTIF(AA27:AA$36,"P"))&gt;0,"P",""))</f>
        <v/>
      </c>
      <c r="AB26" s="303" t="str">
        <f>IF(AB$20&gt;10,"S",IF((AB$21-COUNTIF(AB27:AB$36,"P"))&gt;0,"P",""))</f>
        <v/>
      </c>
      <c r="AC26" s="303" t="str">
        <f>IF(AC$20&gt;10,"S",IF((AC$21-COUNTIF(AC27:AC$36,"P"))&gt;0,"P",""))</f>
        <v/>
      </c>
      <c r="AD26" s="303" t="str">
        <f>IF(AD$20&gt;10,"S",IF((AD$21-COUNTIF(AD27:AD$36,"P"))&gt;0,"P",""))</f>
        <v/>
      </c>
      <c r="AE26" s="303" t="str">
        <f>IF(AE$20&gt;10,"S",IF((AE$21-COUNTIF(AE27:AE$36,"P"))&gt;0,"P",""))</f>
        <v/>
      </c>
      <c r="AF26" s="303" t="str">
        <f>IF(AF$20&gt;10,"S",IF((AF$21-COUNTIF(AF27:AF$36,"P"))&gt;0,"P",""))</f>
        <v/>
      </c>
      <c r="AG26" s="303" t="str">
        <f>IF(AG$20&gt;10,"S",IF((AG$21-COUNTIF(AG27:AG$36,"P"))&gt;0,"P",""))</f>
        <v/>
      </c>
      <c r="AH26" s="303" t="str">
        <f>IF(AH$20&gt;10,"S",IF((AH$21-COUNTIF(AH27:AH$36,"P"))&gt;0,"P",""))</f>
        <v/>
      </c>
      <c r="AI26" s="303" t="str">
        <f>IF(AI$20&gt;10,"S",IF((AI$21-COUNTIF(AI27:AI$36,"P"))&gt;0,"P",""))</f>
        <v/>
      </c>
      <c r="AJ26" s="303" t="str">
        <f>IF(AJ$20&gt;10,"S",IF((AJ$21-COUNTIF(AJ27:AJ$36,"P"))&gt;0,"P",""))</f>
        <v/>
      </c>
      <c r="AK26" s="303" t="str">
        <f>IF(AK$20&gt;10,"S",IF((AK$21-COUNTIF(AK27:AK$36,"P"))&gt;0,"P",""))</f>
        <v/>
      </c>
      <c r="AL26" s="303" t="str">
        <f>IF(AL$20&gt;10,"S",IF((AL$21-COUNTIF(AL27:AL$36,"P"))&gt;0,"P",""))</f>
        <v/>
      </c>
      <c r="AM26" s="303" t="str">
        <f>IF(AM$20&gt;10,"S",IF((AM$21-COUNTIF(AM27:AM$36,"P"))&gt;0,"P",""))</f>
        <v/>
      </c>
      <c r="AN26" s="303" t="str">
        <f>IF(AN$20&gt;10,"S",IF((AN$21-COUNTIF(AN27:AN$36,"P"))&gt;0,"P",""))</f>
        <v/>
      </c>
      <c r="AO26" s="303" t="str">
        <f>IF(AO$20&gt;10,"S",IF((AO$21-COUNTIF(AO27:AO$36,"P"))&gt;0,"P",""))</f>
        <v/>
      </c>
      <c r="AP26" s="303" t="str">
        <f>IF(AP$20&gt;10,"S",IF((AP$21-COUNTIF(AP27:AP$36,"P"))&gt;0,"P",""))</f>
        <v/>
      </c>
    </row>
    <row r="27" spans="1:42" ht="15.75" thickBot="1" x14ac:dyDescent="0.25">
      <c r="A27" s="641"/>
      <c r="B27" s="303" t="str">
        <f>IF(B$20&gt;9,"S",IF((B$21-COUNTIF(B28:B$36,"P"))&gt;0,"P",""))</f>
        <v/>
      </c>
      <c r="C27" s="303" t="str">
        <f>IF(C$20&gt;9,"S",IF((C$21-COUNTIF(C28:C$36,"P"))&gt;0,"P",""))</f>
        <v/>
      </c>
      <c r="D27" s="303" t="str">
        <f>IF(D$20&gt;9,"S",IF((D$21-COUNTIF(D28:D$36,"P"))&gt;0,"P",""))</f>
        <v/>
      </c>
      <c r="E27" s="303" t="str">
        <f>IF(E$20&gt;9,"S",IF((E$21-COUNTIF(E28:E$36,"P"))&gt;0,"P",""))</f>
        <v/>
      </c>
      <c r="F27" s="303" t="str">
        <f>IF(F$20&gt;9,"S",IF((F$21-COUNTIF(F28:F$36,"P"))&gt;0,"P",""))</f>
        <v/>
      </c>
      <c r="G27" s="303" t="str">
        <f>IF(G$20&gt;9,"S",IF((G$21-COUNTIF(G28:G$36,"P"))&gt;0,"P",""))</f>
        <v/>
      </c>
      <c r="H27" s="303" t="str">
        <f>IF(H$20&gt;9,"S",IF((H$21-COUNTIF(H28:H$36,"P"))&gt;0,"P",""))</f>
        <v/>
      </c>
      <c r="I27" s="303" t="str">
        <f>IF(I$20&gt;9,"S",IF((I$21-COUNTIF(I28:I$36,"P"))&gt;0,"P",""))</f>
        <v/>
      </c>
      <c r="J27" s="303" t="str">
        <f>IF(J$20&gt;9,"S",IF((J$21-COUNTIF(J28:J$36,"P"))&gt;0,"P",""))</f>
        <v/>
      </c>
      <c r="K27" s="303" t="str">
        <f>IF(K$20&gt;9,"S",IF((K$21-COUNTIF(K28:K$36,"P"))&gt;0,"P",""))</f>
        <v/>
      </c>
      <c r="L27" s="303" t="str">
        <f>IF(L$20&gt;9,"S",IF((L$21-COUNTIF(L28:L$36,"P"))&gt;0,"P",""))</f>
        <v/>
      </c>
      <c r="M27" s="303" t="str">
        <f>IF(M$20&gt;9,"S",IF((M$21-COUNTIF(M28:M$36,"P"))&gt;0,"P",""))</f>
        <v/>
      </c>
      <c r="N27" s="303" t="str">
        <f>IF(N$20&gt;9,"S",IF((N$21-COUNTIF(N28:N$36,"P"))&gt;0,"P",""))</f>
        <v/>
      </c>
      <c r="O27" s="303" t="str">
        <f>IF(O$20&gt;9,"S",IF((O$21-COUNTIF(O28:O$36,"P"))&gt;0,"P",""))</f>
        <v/>
      </c>
      <c r="P27" s="303" t="str">
        <f>IF(P$20&gt;9,"S",IF((P$21-COUNTIF(P28:P$36,"P"))&gt;0,"P",""))</f>
        <v/>
      </c>
      <c r="Q27" s="303" t="str">
        <f>IF(Q$20&gt;9,"S",IF((Q$21-COUNTIF(Q28:Q$36,"P"))&gt;0,"P",""))</f>
        <v/>
      </c>
      <c r="R27" s="303" t="str">
        <f>IF(R$20&gt;9,"S",IF((R$21-COUNTIF(R28:R$36,"P"))&gt;0,"P",""))</f>
        <v/>
      </c>
      <c r="S27" s="303" t="str">
        <f>IF(S$20&gt;9,"S",IF((S$21-COUNTIF(S28:S$36,"P"))&gt;0,"P",""))</f>
        <v/>
      </c>
      <c r="T27" s="303" t="str">
        <f>IF(T$20&gt;9,"S",IF((T$21-COUNTIF(T28:T$36,"P"))&gt;0,"P",""))</f>
        <v/>
      </c>
      <c r="U27" s="303" t="str">
        <f>IF(U$20&gt;9,"S",IF((U$21-COUNTIF(U28:U$36,"P"))&gt;0,"P",""))</f>
        <v/>
      </c>
      <c r="V27" s="303" t="str">
        <f>IF(V$20&gt;9,"S",IF((V$21-COUNTIF(V28:V$36,"P"))&gt;0,"P",""))</f>
        <v/>
      </c>
      <c r="W27" s="303" t="str">
        <f>IF(W$20&gt;9,"S",IF((W$21-COUNTIF(W28:W$36,"P"))&gt;0,"P",""))</f>
        <v/>
      </c>
      <c r="X27" s="303" t="str">
        <f>IF(X$20&gt;9,"S",IF((X$21-COUNTIF(X28:X$36,"P"))&gt;0,"P",""))</f>
        <v/>
      </c>
      <c r="Y27" s="303" t="str">
        <f>IF(Y$20&gt;9,"S",IF((Y$21-COUNTIF(Y28:Y$36,"P"))&gt;0,"P",""))</f>
        <v/>
      </c>
      <c r="Z27" s="303" t="str">
        <f>IF(Z$20&gt;9,"S",IF((Z$21-COUNTIF(Z28:Z$36,"P"))&gt;0,"P",""))</f>
        <v/>
      </c>
      <c r="AA27" s="303" t="str">
        <f>IF(AA$20&gt;9,"S",IF((AA$21-COUNTIF(AA28:AA$36,"P"))&gt;0,"P",""))</f>
        <v/>
      </c>
      <c r="AB27" s="303" t="str">
        <f>IF(AB$20&gt;9,"S",IF((AB$21-COUNTIF(AB28:AB$36,"P"))&gt;0,"P",""))</f>
        <v/>
      </c>
      <c r="AC27" s="303" t="str">
        <f>IF(AC$20&gt;9,"S",IF((AC$21-COUNTIF(AC28:AC$36,"P"))&gt;0,"P",""))</f>
        <v/>
      </c>
      <c r="AD27" s="303" t="str">
        <f>IF(AD$20&gt;9,"S",IF((AD$21-COUNTIF(AD28:AD$36,"P"))&gt;0,"P",""))</f>
        <v/>
      </c>
      <c r="AE27" s="303" t="str">
        <f>IF(AE$20&gt;9,"S",IF((AE$21-COUNTIF(AE28:AE$36,"P"))&gt;0,"P",""))</f>
        <v/>
      </c>
      <c r="AF27" s="303" t="str">
        <f>IF(AF$20&gt;9,"S",IF((AF$21-COUNTIF(AF28:AF$36,"P"))&gt;0,"P",""))</f>
        <v/>
      </c>
      <c r="AG27" s="303" t="str">
        <f>IF(AG$20&gt;9,"S",IF((AG$21-COUNTIF(AG28:AG$36,"P"))&gt;0,"P",""))</f>
        <v/>
      </c>
      <c r="AH27" s="303" t="str">
        <f>IF(AH$20&gt;9,"S",IF((AH$21-COUNTIF(AH28:AH$36,"P"))&gt;0,"P",""))</f>
        <v/>
      </c>
      <c r="AI27" s="303" t="str">
        <f>IF(AI$20&gt;9,"S",IF((AI$21-COUNTIF(AI28:AI$36,"P"))&gt;0,"P",""))</f>
        <v/>
      </c>
      <c r="AJ27" s="303" t="str">
        <f>IF(AJ$20&gt;9,"S",IF((AJ$21-COUNTIF(AJ28:AJ$36,"P"))&gt;0,"P",""))</f>
        <v/>
      </c>
      <c r="AK27" s="303" t="str">
        <f>IF(AK$20&gt;9,"S",IF((AK$21-COUNTIF(AK28:AK$36,"P"))&gt;0,"P",""))</f>
        <v/>
      </c>
      <c r="AL27" s="303" t="str">
        <f>IF(AL$20&gt;9,"S",IF((AL$21-COUNTIF(AL28:AL$36,"P"))&gt;0,"P",""))</f>
        <v/>
      </c>
      <c r="AM27" s="303" t="str">
        <f>IF(AM$20&gt;9,"S",IF((AM$21-COUNTIF(AM28:AM$36,"P"))&gt;0,"P",""))</f>
        <v/>
      </c>
      <c r="AN27" s="303" t="str">
        <f>IF(AN$20&gt;9,"S",IF((AN$21-COUNTIF(AN28:AN$36,"P"))&gt;0,"P",""))</f>
        <v/>
      </c>
      <c r="AO27" s="303" t="str">
        <f>IF(AO$20&gt;9,"S",IF((AO$21-COUNTIF(AO28:AO$36,"P"))&gt;0,"P",""))</f>
        <v/>
      </c>
      <c r="AP27" s="303" t="str">
        <f>IF(AP$20&gt;9,"S",IF((AP$21-COUNTIF(AP28:AP$36,"P"))&gt;0,"P",""))</f>
        <v/>
      </c>
    </row>
    <row r="28" spans="1:42" ht="15.75" thickBot="1" x14ac:dyDescent="0.25">
      <c r="A28" s="641"/>
      <c r="B28" s="303" t="str">
        <f>IF(B$20&gt;8,"S",IF((B$21-COUNTIF(B29:B$36,"P"))&gt;0,"P",""))</f>
        <v/>
      </c>
      <c r="C28" s="303" t="str">
        <f>IF(C$20&gt;8,"S",IF((C$21-COUNTIF(C29:C$36,"P"))&gt;0,"P",""))</f>
        <v/>
      </c>
      <c r="D28" s="303" t="str">
        <f>IF(D$20&gt;8,"S",IF((D$21-COUNTIF(D29:D$36,"P"))&gt;0,"P",""))</f>
        <v/>
      </c>
      <c r="E28" s="303" t="str">
        <f>IF(E$20&gt;8,"S",IF((E$21-COUNTIF(E29:E$36,"P"))&gt;0,"P",""))</f>
        <v/>
      </c>
      <c r="F28" s="303" t="str">
        <f>IF(F$20&gt;8,"S",IF((F$21-COUNTIF(F29:F$36,"P"))&gt;0,"P",""))</f>
        <v/>
      </c>
      <c r="G28" s="303" t="str">
        <f>IF(G$20&gt;8,"S",IF((G$21-COUNTIF(G29:G$36,"P"))&gt;0,"P",""))</f>
        <v/>
      </c>
      <c r="H28" s="303" t="str">
        <f>IF(H$20&gt;8,"S",IF((H$21-COUNTIF(H29:H$36,"P"))&gt;0,"P",""))</f>
        <v/>
      </c>
      <c r="I28" s="303" t="str">
        <f>IF(I$20&gt;8,"S",IF((I$21-COUNTIF(I29:I$36,"P"))&gt;0,"P",""))</f>
        <v/>
      </c>
      <c r="J28" s="303" t="str">
        <f>IF(J$20&gt;8,"S",IF((J$21-COUNTIF(J29:J$36,"P"))&gt;0,"P",""))</f>
        <v/>
      </c>
      <c r="K28" s="303" t="str">
        <f>IF(K$20&gt;8,"S",IF((K$21-COUNTIF(K29:K$36,"P"))&gt;0,"P",""))</f>
        <v/>
      </c>
      <c r="L28" s="303" t="str">
        <f>IF(L$20&gt;8,"S",IF((L$21-COUNTIF(L29:L$36,"P"))&gt;0,"P",""))</f>
        <v/>
      </c>
      <c r="M28" s="303" t="str">
        <f>IF(M$20&gt;8,"S",IF((M$21-COUNTIF(M29:M$36,"P"))&gt;0,"P",""))</f>
        <v/>
      </c>
      <c r="N28" s="303" t="str">
        <f>IF(N$20&gt;8,"S",IF((N$21-COUNTIF(N29:N$36,"P"))&gt;0,"P",""))</f>
        <v/>
      </c>
      <c r="O28" s="303" t="str">
        <f>IF(O$20&gt;8,"S",IF((O$21-COUNTIF(O29:O$36,"P"))&gt;0,"P",""))</f>
        <v/>
      </c>
      <c r="P28" s="303" t="str">
        <f>IF(P$20&gt;8,"S",IF((P$21-COUNTIF(P29:P$36,"P"))&gt;0,"P",""))</f>
        <v/>
      </c>
      <c r="Q28" s="303" t="str">
        <f>IF(Q$20&gt;8,"S",IF((Q$21-COUNTIF(Q29:Q$36,"P"))&gt;0,"P",""))</f>
        <v/>
      </c>
      <c r="R28" s="303" t="str">
        <f>IF(R$20&gt;8,"S",IF((R$21-COUNTIF(R29:R$36,"P"))&gt;0,"P",""))</f>
        <v/>
      </c>
      <c r="S28" s="303" t="str">
        <f>IF(S$20&gt;8,"S",IF((S$21-COUNTIF(S29:S$36,"P"))&gt;0,"P",""))</f>
        <v/>
      </c>
      <c r="T28" s="303" t="str">
        <f>IF(T$20&gt;8,"S",IF((T$21-COUNTIF(T29:T$36,"P"))&gt;0,"P",""))</f>
        <v/>
      </c>
      <c r="U28" s="303" t="str">
        <f>IF(U$20&gt;8,"S",IF((U$21-COUNTIF(U29:U$36,"P"))&gt;0,"P",""))</f>
        <v/>
      </c>
      <c r="V28" s="303" t="str">
        <f>IF(V$20&gt;8,"S",IF((V$21-COUNTIF(V29:V$36,"P"))&gt;0,"P",""))</f>
        <v/>
      </c>
      <c r="W28" s="303" t="str">
        <f>IF(W$20&gt;8,"S",IF((W$21-COUNTIF(W29:W$36,"P"))&gt;0,"P",""))</f>
        <v/>
      </c>
      <c r="X28" s="303" t="str">
        <f>IF(X$20&gt;8,"S",IF((X$21-COUNTIF(X29:X$36,"P"))&gt;0,"P",""))</f>
        <v/>
      </c>
      <c r="Y28" s="303" t="str">
        <f>IF(Y$20&gt;8,"S",IF((Y$21-COUNTIF(Y29:Y$36,"P"))&gt;0,"P",""))</f>
        <v/>
      </c>
      <c r="Z28" s="303" t="str">
        <f>IF(Z$20&gt;8,"S",IF((Z$21-COUNTIF(Z29:Z$36,"P"))&gt;0,"P",""))</f>
        <v/>
      </c>
      <c r="AA28" s="303" t="str">
        <f>IF(AA$20&gt;8,"S",IF((AA$21-COUNTIF(AA29:AA$36,"P"))&gt;0,"P",""))</f>
        <v/>
      </c>
      <c r="AB28" s="303" t="str">
        <f>IF(AB$20&gt;8,"S",IF((AB$21-COUNTIF(AB29:AB$36,"P"))&gt;0,"P",""))</f>
        <v/>
      </c>
      <c r="AC28" s="303" t="str">
        <f>IF(AC$20&gt;8,"S",IF((AC$21-COUNTIF(AC29:AC$36,"P"))&gt;0,"P",""))</f>
        <v/>
      </c>
      <c r="AD28" s="303" t="str">
        <f>IF(AD$20&gt;8,"S",IF((AD$21-COUNTIF(AD29:AD$36,"P"))&gt;0,"P",""))</f>
        <v/>
      </c>
      <c r="AE28" s="303" t="str">
        <f>IF(AE$20&gt;8,"S",IF((AE$21-COUNTIF(AE29:AE$36,"P"))&gt;0,"P",""))</f>
        <v/>
      </c>
      <c r="AF28" s="303" t="str">
        <f>IF(AF$20&gt;8,"S",IF((AF$21-COUNTIF(AF29:AF$36,"P"))&gt;0,"P",""))</f>
        <v/>
      </c>
      <c r="AG28" s="303" t="str">
        <f>IF(AG$20&gt;8,"S",IF((AG$21-COUNTIF(AG29:AG$36,"P"))&gt;0,"P",""))</f>
        <v/>
      </c>
      <c r="AH28" s="303" t="str">
        <f>IF(AH$20&gt;8,"S",IF((AH$21-COUNTIF(AH29:AH$36,"P"))&gt;0,"P",""))</f>
        <v/>
      </c>
      <c r="AI28" s="303" t="str">
        <f>IF(AI$20&gt;8,"S",IF((AI$21-COUNTIF(AI29:AI$36,"P"))&gt;0,"P",""))</f>
        <v/>
      </c>
      <c r="AJ28" s="303" t="str">
        <f>IF(AJ$20&gt;8,"S",IF((AJ$21-COUNTIF(AJ29:AJ$36,"P"))&gt;0,"P",""))</f>
        <v/>
      </c>
      <c r="AK28" s="303" t="str">
        <f>IF(AK$20&gt;8,"S",IF((AK$21-COUNTIF(AK29:AK$36,"P"))&gt;0,"P",""))</f>
        <v/>
      </c>
      <c r="AL28" s="303" t="str">
        <f>IF(AL$20&gt;8,"S",IF((AL$21-COUNTIF(AL29:AL$36,"P"))&gt;0,"P",""))</f>
        <v/>
      </c>
      <c r="AM28" s="303" t="str">
        <f>IF(AM$20&gt;8,"S",IF((AM$21-COUNTIF(AM29:AM$36,"P"))&gt;0,"P",""))</f>
        <v/>
      </c>
      <c r="AN28" s="303" t="str">
        <f>IF(AN$20&gt;8,"S",IF((AN$21-COUNTIF(AN29:AN$36,"P"))&gt;0,"P",""))</f>
        <v/>
      </c>
      <c r="AO28" s="303" t="str">
        <f>IF(AO$20&gt;8,"S",IF((AO$21-COUNTIF(AO29:AO$36,"P"))&gt;0,"P",""))</f>
        <v/>
      </c>
      <c r="AP28" s="303" t="str">
        <f>IF(AP$20&gt;8,"S",IF((AP$21-COUNTIF(AP29:AP$36,"P"))&gt;0,"P",""))</f>
        <v/>
      </c>
    </row>
    <row r="29" spans="1:42" ht="15.75" thickBot="1" x14ac:dyDescent="0.25">
      <c r="A29" s="641"/>
      <c r="B29" s="303" t="str">
        <f>IF(B$20&gt;7,"S",IF((B$21-COUNTIF(B30:B$36,"P"))&gt;0,"P",""))</f>
        <v/>
      </c>
      <c r="C29" s="303" t="str">
        <f>IF(C$20&gt;7,"S",IF((C$21-COUNTIF(C30:C$36,"P"))&gt;0,"P",""))</f>
        <v/>
      </c>
      <c r="D29" s="303" t="str">
        <f>IF(D$20&gt;7,"S",IF((D$21-COUNTIF(D30:D$36,"P"))&gt;0,"P",""))</f>
        <v/>
      </c>
      <c r="E29" s="303" t="str">
        <f>IF(E$20&gt;7,"S",IF((E$21-COUNTIF(E30:E$36,"P"))&gt;0,"P",""))</f>
        <v/>
      </c>
      <c r="F29" s="303" t="str">
        <f>IF(F$20&gt;7,"S",IF((F$21-COUNTIF(F30:F$36,"P"))&gt;0,"P",""))</f>
        <v/>
      </c>
      <c r="G29" s="303" t="str">
        <f>IF(G$20&gt;7,"S",IF((G$21-COUNTIF(G30:G$36,"P"))&gt;0,"P",""))</f>
        <v/>
      </c>
      <c r="H29" s="303" t="str">
        <f>IF(H$20&gt;7,"S",IF((H$21-COUNTIF(H30:H$36,"P"))&gt;0,"P",""))</f>
        <v/>
      </c>
      <c r="I29" s="303" t="str">
        <f>IF(I$20&gt;7,"S",IF((I$21-COUNTIF(I30:I$36,"P"))&gt;0,"P",""))</f>
        <v/>
      </c>
      <c r="J29" s="303" t="str">
        <f>IF(J$20&gt;7,"S",IF((J$21-COUNTIF(J30:J$36,"P"))&gt;0,"P",""))</f>
        <v/>
      </c>
      <c r="K29" s="303" t="str">
        <f>IF(K$20&gt;7,"S",IF((K$21-COUNTIF(K30:K$36,"P"))&gt;0,"P",""))</f>
        <v/>
      </c>
      <c r="L29" s="303" t="str">
        <f>IF(L$20&gt;7,"S",IF((L$21-COUNTIF(L30:L$36,"P"))&gt;0,"P",""))</f>
        <v/>
      </c>
      <c r="M29" s="303" t="str">
        <f>IF(M$20&gt;7,"S",IF((M$21-COUNTIF(M30:M$36,"P"))&gt;0,"P",""))</f>
        <v/>
      </c>
      <c r="N29" s="303" t="str">
        <f>IF(N$20&gt;7,"S",IF((N$21-COUNTIF(N30:N$36,"P"))&gt;0,"P",""))</f>
        <v/>
      </c>
      <c r="O29" s="303" t="str">
        <f>IF(O$20&gt;7,"S",IF((O$21-COUNTIF(O30:O$36,"P"))&gt;0,"P",""))</f>
        <v/>
      </c>
      <c r="P29" s="303" t="str">
        <f>IF(P$20&gt;7,"S",IF((P$21-COUNTIF(P30:P$36,"P"))&gt;0,"P",""))</f>
        <v/>
      </c>
      <c r="Q29" s="303" t="str">
        <f>IF(Q$20&gt;7,"S",IF((Q$21-COUNTIF(Q30:Q$36,"P"))&gt;0,"P",""))</f>
        <v/>
      </c>
      <c r="R29" s="303" t="str">
        <f>IF(R$20&gt;7,"S",IF((R$21-COUNTIF(R30:R$36,"P"))&gt;0,"P",""))</f>
        <v/>
      </c>
      <c r="S29" s="303" t="str">
        <f>IF(S$20&gt;7,"S",IF((S$21-COUNTIF(S30:S$36,"P"))&gt;0,"P",""))</f>
        <v/>
      </c>
      <c r="T29" s="303" t="str">
        <f>IF(T$20&gt;7,"S",IF((T$21-COUNTIF(T30:T$36,"P"))&gt;0,"P",""))</f>
        <v/>
      </c>
      <c r="U29" s="303" t="str">
        <f>IF(U$20&gt;7,"S",IF((U$21-COUNTIF(U30:U$36,"P"))&gt;0,"P",""))</f>
        <v/>
      </c>
      <c r="V29" s="303" t="str">
        <f>IF(V$20&gt;7,"S",IF((V$21-COUNTIF(V30:V$36,"P"))&gt;0,"P",""))</f>
        <v/>
      </c>
      <c r="W29" s="303" t="str">
        <f>IF(W$20&gt;7,"S",IF((W$21-COUNTIF(W30:W$36,"P"))&gt;0,"P",""))</f>
        <v/>
      </c>
      <c r="X29" s="303" t="str">
        <f>IF(X$20&gt;7,"S",IF((X$21-COUNTIF(X30:X$36,"P"))&gt;0,"P",""))</f>
        <v/>
      </c>
      <c r="Y29" s="303" t="str">
        <f>IF(Y$20&gt;7,"S",IF((Y$21-COUNTIF(Y30:Y$36,"P"))&gt;0,"P",""))</f>
        <v/>
      </c>
      <c r="Z29" s="303" t="str">
        <f>IF(Z$20&gt;7,"S",IF((Z$21-COUNTIF(Z30:Z$36,"P"))&gt;0,"P",""))</f>
        <v/>
      </c>
      <c r="AA29" s="303" t="str">
        <f>IF(AA$20&gt;7,"S",IF((AA$21-COUNTIF(AA30:AA$36,"P"))&gt;0,"P",""))</f>
        <v/>
      </c>
      <c r="AB29" s="303" t="str">
        <f>IF(AB$20&gt;7,"S",IF((AB$21-COUNTIF(AB30:AB$36,"P"))&gt;0,"P",""))</f>
        <v/>
      </c>
      <c r="AC29" s="303" t="str">
        <f>IF(AC$20&gt;7,"S",IF((AC$21-COUNTIF(AC30:AC$36,"P"))&gt;0,"P",""))</f>
        <v/>
      </c>
      <c r="AD29" s="303" t="str">
        <f>IF(AD$20&gt;7,"S",IF((AD$21-COUNTIF(AD30:AD$36,"P"))&gt;0,"P",""))</f>
        <v/>
      </c>
      <c r="AE29" s="303" t="str">
        <f>IF(AE$20&gt;7,"S",IF((AE$21-COUNTIF(AE30:AE$36,"P"))&gt;0,"P",""))</f>
        <v/>
      </c>
      <c r="AF29" s="303" t="str">
        <f>IF(AF$20&gt;7,"S",IF((AF$21-COUNTIF(AF30:AF$36,"P"))&gt;0,"P",""))</f>
        <v/>
      </c>
      <c r="AG29" s="303" t="str">
        <f>IF(AG$20&gt;7,"S",IF((AG$21-COUNTIF(AG30:AG$36,"P"))&gt;0,"P",""))</f>
        <v/>
      </c>
      <c r="AH29" s="303" t="str">
        <f>IF(AH$20&gt;7,"S",IF((AH$21-COUNTIF(AH30:AH$36,"P"))&gt;0,"P",""))</f>
        <v/>
      </c>
      <c r="AI29" s="303" t="str">
        <f>IF(AI$20&gt;7,"S",IF((AI$21-COUNTIF(AI30:AI$36,"P"))&gt;0,"P",""))</f>
        <v/>
      </c>
      <c r="AJ29" s="303" t="str">
        <f>IF(AJ$20&gt;7,"S",IF((AJ$21-COUNTIF(AJ30:AJ$36,"P"))&gt;0,"P",""))</f>
        <v/>
      </c>
      <c r="AK29" s="303" t="str">
        <f>IF(AK$20&gt;7,"S",IF((AK$21-COUNTIF(AK30:AK$36,"P"))&gt;0,"P",""))</f>
        <v/>
      </c>
      <c r="AL29" s="303" t="str">
        <f>IF(AL$20&gt;7,"S",IF((AL$21-COUNTIF(AL30:AL$36,"P"))&gt;0,"P",""))</f>
        <v/>
      </c>
      <c r="AM29" s="303" t="str">
        <f>IF(AM$20&gt;7,"S",IF((AM$21-COUNTIF(AM30:AM$36,"P"))&gt;0,"P",""))</f>
        <v/>
      </c>
      <c r="AN29" s="303" t="str">
        <f>IF(AN$20&gt;7,"S",IF((AN$21-COUNTIF(AN30:AN$36,"P"))&gt;0,"P",""))</f>
        <v/>
      </c>
      <c r="AO29" s="303" t="str">
        <f>IF(AO$20&gt;7,"S",IF((AO$21-COUNTIF(AO30:AO$36,"P"))&gt;0,"P",""))</f>
        <v/>
      </c>
      <c r="AP29" s="303" t="str">
        <f>IF(AP$20&gt;7,"S",IF((AP$21-COUNTIF(AP30:AP$36,"P"))&gt;0,"P",""))</f>
        <v/>
      </c>
    </row>
    <row r="30" spans="1:42" ht="15.75" thickBot="1" x14ac:dyDescent="0.25">
      <c r="A30" s="641"/>
      <c r="B30" s="303" t="str">
        <f>IF(B$20&gt;6,"S",IF((B$21-COUNTIF(B31:B$36,"P"))&gt;0,"P",""))</f>
        <v/>
      </c>
      <c r="C30" s="303" t="str">
        <f>IF(C$20&gt;6,"S",IF((C$21-COUNTIF(C31:C$36,"P"))&gt;0,"P",""))</f>
        <v/>
      </c>
      <c r="D30" s="303" t="str">
        <f>IF(D$20&gt;6,"S",IF((D$21-COUNTIF(D31:D$36,"P"))&gt;0,"P",""))</f>
        <v/>
      </c>
      <c r="E30" s="303" t="str">
        <f>IF(E$20&gt;6,"S",IF((E$21-COUNTIF(E31:E$36,"P"))&gt;0,"P",""))</f>
        <v/>
      </c>
      <c r="F30" s="303" t="str">
        <f>IF(F$20&gt;6,"S",IF((F$21-COUNTIF(F31:F$36,"P"))&gt;0,"P",""))</f>
        <v/>
      </c>
      <c r="G30" s="303" t="str">
        <f>IF(G$20&gt;6,"S",IF((G$21-COUNTIF(G31:G$36,"P"))&gt;0,"P",""))</f>
        <v/>
      </c>
      <c r="H30" s="303" t="str">
        <f>IF(H$20&gt;6,"S",IF((H$21-COUNTIF(H31:H$36,"P"))&gt;0,"P",""))</f>
        <v/>
      </c>
      <c r="I30" s="303" t="str">
        <f>IF(I$20&gt;6,"S",IF((I$21-COUNTIF(I31:I$36,"P"))&gt;0,"P",""))</f>
        <v/>
      </c>
      <c r="J30" s="303" t="str">
        <f>IF(J$20&gt;6,"S",IF((J$21-COUNTIF(J31:J$36,"P"))&gt;0,"P",""))</f>
        <v/>
      </c>
      <c r="K30" s="303" t="str">
        <f>IF(K$20&gt;6,"S",IF((K$21-COUNTIF(K31:K$36,"P"))&gt;0,"P",""))</f>
        <v/>
      </c>
      <c r="L30" s="303" t="str">
        <f>IF(L$20&gt;6,"S",IF((L$21-COUNTIF(L31:L$36,"P"))&gt;0,"P",""))</f>
        <v/>
      </c>
      <c r="M30" s="303" t="str">
        <f>IF(M$20&gt;6,"S",IF((M$21-COUNTIF(M31:M$36,"P"))&gt;0,"P",""))</f>
        <v/>
      </c>
      <c r="N30" s="303" t="str">
        <f>IF(N$20&gt;6,"S",IF((N$21-COUNTIF(N31:N$36,"P"))&gt;0,"P",""))</f>
        <v/>
      </c>
      <c r="O30" s="303" t="str">
        <f>IF(O$20&gt;6,"S",IF((O$21-COUNTIF(O31:O$36,"P"))&gt;0,"P",""))</f>
        <v/>
      </c>
      <c r="P30" s="303" t="str">
        <f>IF(P$20&gt;6,"S",IF((P$21-COUNTIF(P31:P$36,"P"))&gt;0,"P",""))</f>
        <v/>
      </c>
      <c r="Q30" s="303" t="str">
        <f>IF(Q$20&gt;6,"S",IF((Q$21-COUNTIF(Q31:Q$36,"P"))&gt;0,"P",""))</f>
        <v/>
      </c>
      <c r="R30" s="303" t="str">
        <f>IF(R$20&gt;6,"S",IF((R$21-COUNTIF(R31:R$36,"P"))&gt;0,"P",""))</f>
        <v/>
      </c>
      <c r="S30" s="303" t="str">
        <f>IF(S$20&gt;6,"S",IF((S$21-COUNTIF(S31:S$36,"P"))&gt;0,"P",""))</f>
        <v/>
      </c>
      <c r="T30" s="303" t="str">
        <f>IF(T$20&gt;6,"S",IF((T$21-COUNTIF(T31:T$36,"P"))&gt;0,"P",""))</f>
        <v/>
      </c>
      <c r="U30" s="303" t="str">
        <f>IF(U$20&gt;6,"S",IF((U$21-COUNTIF(U31:U$36,"P"))&gt;0,"P",""))</f>
        <v/>
      </c>
      <c r="V30" s="303" t="str">
        <f>IF(V$20&gt;6,"S",IF((V$21-COUNTIF(V31:V$36,"P"))&gt;0,"P",""))</f>
        <v/>
      </c>
      <c r="W30" s="303" t="str">
        <f>IF(W$20&gt;6,"S",IF((W$21-COUNTIF(W31:W$36,"P"))&gt;0,"P",""))</f>
        <v/>
      </c>
      <c r="X30" s="303" t="str">
        <f>IF(X$20&gt;6,"S",IF((X$21-COUNTIF(X31:X$36,"P"))&gt;0,"P",""))</f>
        <v/>
      </c>
      <c r="Y30" s="303" t="str">
        <f>IF(Y$20&gt;6,"S",IF((Y$21-COUNTIF(Y31:Y$36,"P"))&gt;0,"P",""))</f>
        <v/>
      </c>
      <c r="Z30" s="303" t="str">
        <f>IF(Z$20&gt;6,"S",IF((Z$21-COUNTIF(Z31:Z$36,"P"))&gt;0,"P",""))</f>
        <v/>
      </c>
      <c r="AA30" s="303" t="str">
        <f>IF(AA$20&gt;6,"S",IF((AA$21-COUNTIF(AA31:AA$36,"P"))&gt;0,"P",""))</f>
        <v/>
      </c>
      <c r="AB30" s="303" t="str">
        <f>IF(AB$20&gt;6,"S",IF((AB$21-COUNTIF(AB31:AB$36,"P"))&gt;0,"P",""))</f>
        <v/>
      </c>
      <c r="AC30" s="303" t="str">
        <f>IF(AC$20&gt;6,"S",IF((AC$21-COUNTIF(AC31:AC$36,"P"))&gt;0,"P",""))</f>
        <v/>
      </c>
      <c r="AD30" s="303" t="str">
        <f>IF(AD$20&gt;6,"S",IF((AD$21-COUNTIF(AD31:AD$36,"P"))&gt;0,"P",""))</f>
        <v/>
      </c>
      <c r="AE30" s="303" t="str">
        <f>IF(AE$20&gt;6,"S",IF((AE$21-COUNTIF(AE31:AE$36,"P"))&gt;0,"P",""))</f>
        <v/>
      </c>
      <c r="AF30" s="303" t="str">
        <f>IF(AF$20&gt;6,"S",IF((AF$21-COUNTIF(AF31:AF$36,"P"))&gt;0,"P",""))</f>
        <v/>
      </c>
      <c r="AG30" s="303" t="str">
        <f>IF(AG$20&gt;6,"S",IF((AG$21-COUNTIF(AG31:AG$36,"P"))&gt;0,"P",""))</f>
        <v/>
      </c>
      <c r="AH30" s="303" t="str">
        <f>IF(AH$20&gt;6,"S",IF((AH$21-COUNTIF(AH31:AH$36,"P"))&gt;0,"P",""))</f>
        <v/>
      </c>
      <c r="AI30" s="303" t="str">
        <f>IF(AI$20&gt;6,"S",IF((AI$21-COUNTIF(AI31:AI$36,"P"))&gt;0,"P",""))</f>
        <v/>
      </c>
      <c r="AJ30" s="303" t="str">
        <f>IF(AJ$20&gt;6,"S",IF((AJ$21-COUNTIF(AJ31:AJ$36,"P"))&gt;0,"P",""))</f>
        <v/>
      </c>
      <c r="AK30" s="303" t="str">
        <f>IF(AK$20&gt;6,"S",IF((AK$21-COUNTIF(AK31:AK$36,"P"))&gt;0,"P",""))</f>
        <v/>
      </c>
      <c r="AL30" s="303" t="str">
        <f>IF(AL$20&gt;6,"S",IF((AL$21-COUNTIF(AL31:AL$36,"P"))&gt;0,"P",""))</f>
        <v/>
      </c>
      <c r="AM30" s="303" t="str">
        <f>IF(AM$20&gt;6,"S",IF((AM$21-COUNTIF(AM31:AM$36,"P"))&gt;0,"P",""))</f>
        <v/>
      </c>
      <c r="AN30" s="303" t="str">
        <f>IF(AN$20&gt;6,"S",IF((AN$21-COUNTIF(AN31:AN$36,"P"))&gt;0,"P",""))</f>
        <v/>
      </c>
      <c r="AO30" s="303" t="str">
        <f>IF(AO$20&gt;6,"S",IF((AO$21-COUNTIF(AO31:AO$36,"P"))&gt;0,"P",""))</f>
        <v/>
      </c>
      <c r="AP30" s="303" t="str">
        <f>IF(AP$20&gt;6,"S",IF((AP$21-COUNTIF(AP31:AP$36,"P"))&gt;0,"P",""))</f>
        <v/>
      </c>
    </row>
    <row r="31" spans="1:42" ht="15.75" thickBot="1" x14ac:dyDescent="0.25">
      <c r="A31" s="641"/>
      <c r="B31" s="303" t="str">
        <f>IF(B$20&gt;5,"S",IF((B$21-COUNTIF(B32:B$36,"P"))&gt;0,"P",""))</f>
        <v/>
      </c>
      <c r="C31" s="303" t="str">
        <f>IF(C$20&gt;5,"S",IF((C$21-COUNTIF(C32:C$36,"P"))&gt;0,"P",""))</f>
        <v/>
      </c>
      <c r="D31" s="303" t="str">
        <f>IF(D$20&gt;5,"S",IF((D$21-COUNTIF(D32:D$36,"P"))&gt;0,"P",""))</f>
        <v/>
      </c>
      <c r="E31" s="303" t="str">
        <f>IF(E$20&gt;5,"S",IF((E$21-COUNTIF(E32:E$36,"P"))&gt;0,"P",""))</f>
        <v/>
      </c>
      <c r="F31" s="303" t="str">
        <f>IF(F$20&gt;5,"S",IF((F$21-COUNTIF(F32:F$36,"P"))&gt;0,"P",""))</f>
        <v/>
      </c>
      <c r="G31" s="303" t="str">
        <f>IF(G$20&gt;5,"S",IF((G$21-COUNTIF(G32:G$36,"P"))&gt;0,"P",""))</f>
        <v/>
      </c>
      <c r="H31" s="303" t="str">
        <f>IF(H$20&gt;5,"S",IF((H$21-COUNTIF(H32:H$36,"P"))&gt;0,"P",""))</f>
        <v/>
      </c>
      <c r="I31" s="303" t="str">
        <f>IF(I$20&gt;5,"S",IF((I$21-COUNTIF(I32:I$36,"P"))&gt;0,"P",""))</f>
        <v/>
      </c>
      <c r="J31" s="303" t="str">
        <f>IF(J$20&gt;5,"S",IF((J$21-COUNTIF(J32:J$36,"P"))&gt;0,"P",""))</f>
        <v/>
      </c>
      <c r="K31" s="303" t="str">
        <f>IF(K$20&gt;5,"S",IF((K$21-COUNTIF(K32:K$36,"P"))&gt;0,"P",""))</f>
        <v/>
      </c>
      <c r="L31" s="303" t="str">
        <f>IF(L$20&gt;5,"S",IF((L$21-COUNTIF(L32:L$36,"P"))&gt;0,"P",""))</f>
        <v/>
      </c>
      <c r="M31" s="303" t="str">
        <f>IF(M$20&gt;5,"S",IF((M$21-COUNTIF(M32:M$36,"P"))&gt;0,"P",""))</f>
        <v/>
      </c>
      <c r="N31" s="303" t="str">
        <f>IF(N$20&gt;5,"S",IF((N$21-COUNTIF(N32:N$36,"P"))&gt;0,"P",""))</f>
        <v/>
      </c>
      <c r="O31" s="303" t="str">
        <f>IF(O$20&gt;5,"S",IF((O$21-COUNTIF(O32:O$36,"P"))&gt;0,"P",""))</f>
        <v/>
      </c>
      <c r="P31" s="303" t="str">
        <f>IF(P$20&gt;5,"S",IF((P$21-COUNTIF(P32:P$36,"P"))&gt;0,"P",""))</f>
        <v/>
      </c>
      <c r="Q31" s="303" t="str">
        <f>IF(Q$20&gt;5,"S",IF((Q$21-COUNTIF(Q32:Q$36,"P"))&gt;0,"P",""))</f>
        <v/>
      </c>
      <c r="R31" s="303" t="str">
        <f>IF(R$20&gt;5,"S",IF((R$21-COUNTIF(R32:R$36,"P"))&gt;0,"P",""))</f>
        <v/>
      </c>
      <c r="S31" s="303" t="str">
        <f>IF(S$20&gt;5,"S",IF((S$21-COUNTIF(S32:S$36,"P"))&gt;0,"P",""))</f>
        <v/>
      </c>
      <c r="T31" s="303" t="str">
        <f>IF(T$20&gt;5,"S",IF((T$21-COUNTIF(T32:T$36,"P"))&gt;0,"P",""))</f>
        <v/>
      </c>
      <c r="U31" s="303" t="str">
        <f>IF(U$20&gt;5,"S",IF((U$21-COUNTIF(U32:U$36,"P"))&gt;0,"P",""))</f>
        <v/>
      </c>
      <c r="V31" s="303" t="str">
        <f>IF(V$20&gt;5,"S",IF((V$21-COUNTIF(V32:V$36,"P"))&gt;0,"P",""))</f>
        <v/>
      </c>
      <c r="W31" s="303" t="str">
        <f>IF(W$20&gt;5,"S",IF((W$21-COUNTIF(W32:W$36,"P"))&gt;0,"P",""))</f>
        <v/>
      </c>
      <c r="X31" s="303" t="str">
        <f>IF(X$20&gt;5,"S",IF((X$21-COUNTIF(X32:X$36,"P"))&gt;0,"P",""))</f>
        <v/>
      </c>
      <c r="Y31" s="303" t="str">
        <f>IF(Y$20&gt;5,"S",IF((Y$21-COUNTIF(Y32:Y$36,"P"))&gt;0,"P",""))</f>
        <v/>
      </c>
      <c r="Z31" s="303" t="str">
        <f>IF(Z$20&gt;5,"S",IF((Z$21-COUNTIF(Z32:Z$36,"P"))&gt;0,"P",""))</f>
        <v/>
      </c>
      <c r="AA31" s="303" t="str">
        <f>IF(AA$20&gt;5,"S",IF((AA$21-COUNTIF(AA32:AA$36,"P"))&gt;0,"P",""))</f>
        <v/>
      </c>
      <c r="AB31" s="303" t="str">
        <f>IF(AB$20&gt;5,"S",IF((AB$21-COUNTIF(AB32:AB$36,"P"))&gt;0,"P",""))</f>
        <v/>
      </c>
      <c r="AC31" s="303" t="str">
        <f>IF(AC$20&gt;5,"S",IF((AC$21-COUNTIF(AC32:AC$36,"P"))&gt;0,"P",""))</f>
        <v/>
      </c>
      <c r="AD31" s="303" t="str">
        <f>IF(AD$20&gt;5,"S",IF((AD$21-COUNTIF(AD32:AD$36,"P"))&gt;0,"P",""))</f>
        <v/>
      </c>
      <c r="AE31" s="303" t="str">
        <f>IF(AE$20&gt;5,"S",IF((AE$21-COUNTIF(AE32:AE$36,"P"))&gt;0,"P",""))</f>
        <v/>
      </c>
      <c r="AF31" s="303" t="str">
        <f>IF(AF$20&gt;5,"S",IF((AF$21-COUNTIF(AF32:AF$36,"P"))&gt;0,"P",""))</f>
        <v/>
      </c>
      <c r="AG31" s="303" t="str">
        <f>IF(AG$20&gt;5,"S",IF((AG$21-COUNTIF(AG32:AG$36,"P"))&gt;0,"P",""))</f>
        <v/>
      </c>
      <c r="AH31" s="303" t="str">
        <f>IF(AH$20&gt;5,"S",IF((AH$21-COUNTIF(AH32:AH$36,"P"))&gt;0,"P",""))</f>
        <v/>
      </c>
      <c r="AI31" s="303" t="str">
        <f>IF(AI$20&gt;5,"S",IF((AI$21-COUNTIF(AI32:AI$36,"P"))&gt;0,"P",""))</f>
        <v/>
      </c>
      <c r="AJ31" s="303" t="str">
        <f>IF(AJ$20&gt;5,"S",IF((AJ$21-COUNTIF(AJ32:AJ$36,"P"))&gt;0,"P",""))</f>
        <v/>
      </c>
      <c r="AK31" s="303" t="str">
        <f>IF(AK$20&gt;5,"S",IF((AK$21-COUNTIF(AK32:AK$36,"P"))&gt;0,"P",""))</f>
        <v/>
      </c>
      <c r="AL31" s="303" t="str">
        <f>IF(AL$20&gt;5,"S",IF((AL$21-COUNTIF(AL32:AL$36,"P"))&gt;0,"P",""))</f>
        <v/>
      </c>
      <c r="AM31" s="303" t="str">
        <f>IF(AM$20&gt;5,"S",IF((AM$21-COUNTIF(AM32:AM$36,"P"))&gt;0,"P",""))</f>
        <v/>
      </c>
      <c r="AN31" s="303" t="str">
        <f>IF(AN$20&gt;5,"S",IF((AN$21-COUNTIF(AN32:AN$36,"P"))&gt;0,"P",""))</f>
        <v/>
      </c>
      <c r="AO31" s="303" t="str">
        <f>IF(AO$20&gt;5,"S",IF((AO$21-COUNTIF(AO32:AO$36,"P"))&gt;0,"P",""))</f>
        <v/>
      </c>
      <c r="AP31" s="303" t="str">
        <f>IF(AP$20&gt;5,"S",IF((AP$21-COUNTIF(AP32:AP$36,"P"))&gt;0,"P",""))</f>
        <v/>
      </c>
    </row>
    <row r="32" spans="1:42" ht="15.75" thickBot="1" x14ac:dyDescent="0.25">
      <c r="A32" s="641"/>
      <c r="B32" s="303" t="str">
        <f>IF(B$20&gt;4,"S",IF((B$21-COUNTIF(B33:B$36,"P"))&gt;0,"P",""))</f>
        <v/>
      </c>
      <c r="C32" s="303" t="str">
        <f>IF(C$20&gt;4,"S",IF((C$21-COUNTIF(C33:C$36,"P"))&gt;0,"P",""))</f>
        <v/>
      </c>
      <c r="D32" s="303" t="str">
        <f>IF(D$20&gt;4,"S",IF((D$21-COUNTIF(D33:D$36,"P"))&gt;0,"P",""))</f>
        <v/>
      </c>
      <c r="E32" s="303" t="str">
        <f>IF(E$20&gt;4,"S",IF((E$21-COUNTIF(E33:E$36,"P"))&gt;0,"P",""))</f>
        <v/>
      </c>
      <c r="F32" s="303" t="str">
        <f>IF(F$20&gt;4,"S",IF((F$21-COUNTIF(F33:F$36,"P"))&gt;0,"P",""))</f>
        <v/>
      </c>
      <c r="G32" s="303" t="str">
        <f>IF(G$20&gt;4,"S",IF((G$21-COUNTIF(G33:G$36,"P"))&gt;0,"P",""))</f>
        <v/>
      </c>
      <c r="H32" s="303" t="str">
        <f>IF(H$20&gt;4,"S",IF((H$21-COUNTIF(H33:H$36,"P"))&gt;0,"P",""))</f>
        <v/>
      </c>
      <c r="I32" s="303" t="str">
        <f>IF(I$20&gt;4,"S",IF((I$21-COUNTIF(I33:I$36,"P"))&gt;0,"P",""))</f>
        <v/>
      </c>
      <c r="J32" s="303" t="str">
        <f>IF(J$20&gt;4,"S",IF((J$21-COUNTIF(J33:J$36,"P"))&gt;0,"P",""))</f>
        <v/>
      </c>
      <c r="K32" s="303" t="str">
        <f>IF(K$20&gt;4,"S",IF((K$21-COUNTIF(K33:K$36,"P"))&gt;0,"P",""))</f>
        <v/>
      </c>
      <c r="L32" s="303" t="str">
        <f>IF(L$20&gt;4,"S",IF((L$21-COUNTIF(L33:L$36,"P"))&gt;0,"P",""))</f>
        <v/>
      </c>
      <c r="M32" s="303" t="str">
        <f>IF(M$20&gt;4,"S",IF((M$21-COUNTIF(M33:M$36,"P"))&gt;0,"P",""))</f>
        <v/>
      </c>
      <c r="N32" s="303" t="str">
        <f>IF(N$20&gt;4,"S",IF((N$21-COUNTIF(N33:N$36,"P"))&gt;0,"P",""))</f>
        <v/>
      </c>
      <c r="O32" s="303" t="str">
        <f>IF(O$20&gt;4,"S",IF((O$21-COUNTIF(O33:O$36,"P"))&gt;0,"P",""))</f>
        <v/>
      </c>
      <c r="P32" s="303" t="str">
        <f>IF(P$20&gt;4,"S",IF((P$21-COUNTIF(P33:P$36,"P"))&gt;0,"P",""))</f>
        <v/>
      </c>
      <c r="Q32" s="303" t="str">
        <f>IF(Q$20&gt;4,"S",IF((Q$21-COUNTIF(Q33:Q$36,"P"))&gt;0,"P",""))</f>
        <v/>
      </c>
      <c r="R32" s="303" t="str">
        <f>IF(R$20&gt;4,"S",IF((R$21-COUNTIF(R33:R$36,"P"))&gt;0,"P",""))</f>
        <v/>
      </c>
      <c r="S32" s="303" t="str">
        <f>IF(S$20&gt;4,"S",IF((S$21-COUNTIF(S33:S$36,"P"))&gt;0,"P",""))</f>
        <v/>
      </c>
      <c r="T32" s="303" t="str">
        <f>IF(T$20&gt;4,"S",IF((T$21-COUNTIF(T33:T$36,"P"))&gt;0,"P",""))</f>
        <v/>
      </c>
      <c r="U32" s="303" t="str">
        <f>IF(U$20&gt;4,"S",IF((U$21-COUNTIF(U33:U$36,"P"))&gt;0,"P",""))</f>
        <v/>
      </c>
      <c r="V32" s="303" t="str">
        <f>IF(V$20&gt;4,"S",IF((V$21-COUNTIF(V33:V$36,"P"))&gt;0,"P",""))</f>
        <v/>
      </c>
      <c r="W32" s="303" t="str">
        <f>IF(W$20&gt;4,"S",IF((W$21-COUNTIF(W33:W$36,"P"))&gt;0,"P",""))</f>
        <v/>
      </c>
      <c r="X32" s="303" t="str">
        <f>IF(X$20&gt;4,"S",IF((X$21-COUNTIF(X33:X$36,"P"))&gt;0,"P",""))</f>
        <v/>
      </c>
      <c r="Y32" s="303" t="str">
        <f>IF(Y$20&gt;4,"S",IF((Y$21-COUNTIF(Y33:Y$36,"P"))&gt;0,"P",""))</f>
        <v/>
      </c>
      <c r="Z32" s="303" t="str">
        <f>IF(Z$20&gt;4,"S",IF((Z$21-COUNTIF(Z33:Z$36,"P"))&gt;0,"P",""))</f>
        <v/>
      </c>
      <c r="AA32" s="303" t="str">
        <f>IF(AA$20&gt;4,"S",IF((AA$21-COUNTIF(AA33:AA$36,"P"))&gt;0,"P",""))</f>
        <v/>
      </c>
      <c r="AB32" s="303" t="str">
        <f>IF(AB$20&gt;4,"S",IF((AB$21-COUNTIF(AB33:AB$36,"P"))&gt;0,"P",""))</f>
        <v/>
      </c>
      <c r="AC32" s="303" t="str">
        <f>IF(AC$20&gt;4,"S",IF((AC$21-COUNTIF(AC33:AC$36,"P"))&gt;0,"P",""))</f>
        <v/>
      </c>
      <c r="AD32" s="303" t="str">
        <f>IF(AD$20&gt;4,"S",IF((AD$21-COUNTIF(AD33:AD$36,"P"))&gt;0,"P",""))</f>
        <v/>
      </c>
      <c r="AE32" s="303" t="str">
        <f>IF(AE$20&gt;4,"S",IF((AE$21-COUNTIF(AE33:AE$36,"P"))&gt;0,"P",""))</f>
        <v/>
      </c>
      <c r="AF32" s="303" t="str">
        <f>IF(AF$20&gt;4,"S",IF((AF$21-COUNTIF(AF33:AF$36,"P"))&gt;0,"P",""))</f>
        <v/>
      </c>
      <c r="AG32" s="303" t="str">
        <f>IF(AG$20&gt;4,"S",IF((AG$21-COUNTIF(AG33:AG$36,"P"))&gt;0,"P",""))</f>
        <v/>
      </c>
      <c r="AH32" s="303" t="str">
        <f>IF(AH$20&gt;4,"S",IF((AH$21-COUNTIF(AH33:AH$36,"P"))&gt;0,"P",""))</f>
        <v/>
      </c>
      <c r="AI32" s="303" t="str">
        <f>IF(AI$20&gt;4,"S",IF((AI$21-COUNTIF(AI33:AI$36,"P"))&gt;0,"P",""))</f>
        <v/>
      </c>
      <c r="AJ32" s="303" t="str">
        <f>IF(AJ$20&gt;4,"S",IF((AJ$21-COUNTIF(AJ33:AJ$36,"P"))&gt;0,"P",""))</f>
        <v/>
      </c>
      <c r="AK32" s="303" t="str">
        <f>IF(AK$20&gt;4,"S",IF((AK$21-COUNTIF(AK33:AK$36,"P"))&gt;0,"P",""))</f>
        <v/>
      </c>
      <c r="AL32" s="303" t="str">
        <f>IF(AL$20&gt;4,"S",IF((AL$21-COUNTIF(AL33:AL$36,"P"))&gt;0,"P",""))</f>
        <v/>
      </c>
      <c r="AM32" s="303" t="str">
        <f>IF(AM$20&gt;4,"S",IF((AM$21-COUNTIF(AM33:AM$36,"P"))&gt;0,"P",""))</f>
        <v/>
      </c>
      <c r="AN32" s="303" t="str">
        <f>IF(AN$20&gt;4,"S",IF((AN$21-COUNTIF(AN33:AN$36,"P"))&gt;0,"P",""))</f>
        <v/>
      </c>
      <c r="AO32" s="303" t="str">
        <f>IF(AO$20&gt;4,"S",IF((AO$21-COUNTIF(AO33:AO$36,"P"))&gt;0,"P",""))</f>
        <v/>
      </c>
      <c r="AP32" s="303" t="str">
        <f>IF(AP$20&gt;4,"S",IF((AP$21-COUNTIF(AP33:AP$36,"P"))&gt;0,"P",""))</f>
        <v/>
      </c>
    </row>
    <row r="33" spans="1:42" ht="15.75" thickBot="1" x14ac:dyDescent="0.25">
      <c r="A33" s="641"/>
      <c r="B33" s="303" t="str">
        <f>IF(B$20&gt;3,"S",IF((B$21-COUNTIF(B34:B$36,"P"))&gt;0,"P",""))</f>
        <v/>
      </c>
      <c r="C33" s="303" t="str">
        <f>IF(C$20&gt;3,"S",IF((C$21-COUNTIF(C34:C$36,"P"))&gt;0,"P",""))</f>
        <v/>
      </c>
      <c r="D33" s="303" t="str">
        <f>IF(D$20&gt;3,"S",IF((D$21-COUNTIF(D34:D$36,"P"))&gt;0,"P",""))</f>
        <v/>
      </c>
      <c r="E33" s="303" t="str">
        <f>IF(E$20&gt;3,"S",IF((E$21-COUNTIF(E34:E$36,"P"))&gt;0,"P",""))</f>
        <v/>
      </c>
      <c r="F33" s="303" t="str">
        <f>IF(F$20&gt;3,"S",IF((F$21-COUNTIF(F34:F$36,"P"))&gt;0,"P",""))</f>
        <v/>
      </c>
      <c r="G33" s="303" t="str">
        <f>IF(G$20&gt;3,"S",IF((G$21-COUNTIF(G34:G$36,"P"))&gt;0,"P",""))</f>
        <v/>
      </c>
      <c r="H33" s="303" t="str">
        <f>IF(H$20&gt;3,"S",IF((H$21-COUNTIF(H34:H$36,"P"))&gt;0,"P",""))</f>
        <v/>
      </c>
      <c r="I33" s="303" t="str">
        <f>IF(I$20&gt;3,"S",IF((I$21-COUNTIF(I34:I$36,"P"))&gt;0,"P",""))</f>
        <v/>
      </c>
      <c r="J33" s="303" t="str">
        <f>IF(J$20&gt;3,"S",IF((J$21-COUNTIF(J34:J$36,"P"))&gt;0,"P",""))</f>
        <v/>
      </c>
      <c r="K33" s="303" t="str">
        <f>IF(K$20&gt;3,"S",IF((K$21-COUNTIF(K34:K$36,"P"))&gt;0,"P",""))</f>
        <v/>
      </c>
      <c r="L33" s="303" t="str">
        <f>IF(L$20&gt;3,"S",IF((L$21-COUNTIF(L34:L$36,"P"))&gt;0,"P",""))</f>
        <v/>
      </c>
      <c r="M33" s="303" t="str">
        <f>IF(M$20&gt;3,"S",IF((M$21-COUNTIF(M34:M$36,"P"))&gt;0,"P",""))</f>
        <v/>
      </c>
      <c r="N33" s="303" t="str">
        <f>IF(N$20&gt;3,"S",IF((N$21-COUNTIF(N34:N$36,"P"))&gt;0,"P",""))</f>
        <v/>
      </c>
      <c r="O33" s="303" t="str">
        <f>IF(O$20&gt;3,"S",IF((O$21-COUNTIF(O34:O$36,"P"))&gt;0,"P",""))</f>
        <v/>
      </c>
      <c r="P33" s="303" t="str">
        <f>IF(P$20&gt;3,"S",IF((P$21-COUNTIF(P34:P$36,"P"))&gt;0,"P",""))</f>
        <v/>
      </c>
      <c r="Q33" s="303" t="str">
        <f>IF(Q$20&gt;3,"S",IF((Q$21-COUNTIF(Q34:Q$36,"P"))&gt;0,"P",""))</f>
        <v/>
      </c>
      <c r="R33" s="303" t="str">
        <f>IF(R$20&gt;3,"S",IF((R$21-COUNTIF(R34:R$36,"P"))&gt;0,"P",""))</f>
        <v/>
      </c>
      <c r="S33" s="303" t="str">
        <f>IF(S$20&gt;3,"S",IF((S$21-COUNTIF(S34:S$36,"P"))&gt;0,"P",""))</f>
        <v/>
      </c>
      <c r="T33" s="303" t="str">
        <f>IF(T$20&gt;3,"S",IF((T$21-COUNTIF(T34:T$36,"P"))&gt;0,"P",""))</f>
        <v/>
      </c>
      <c r="U33" s="303" t="str">
        <f>IF(U$20&gt;3,"S",IF((U$21-COUNTIF(U34:U$36,"P"))&gt;0,"P",""))</f>
        <v/>
      </c>
      <c r="V33" s="303" t="str">
        <f>IF(V$20&gt;3,"S",IF((V$21-COUNTIF(V34:V$36,"P"))&gt;0,"P",""))</f>
        <v/>
      </c>
      <c r="W33" s="303" t="str">
        <f>IF(W$20&gt;3,"S",IF((W$21-COUNTIF(W34:W$36,"P"))&gt;0,"P",""))</f>
        <v/>
      </c>
      <c r="X33" s="303" t="str">
        <f>IF(X$20&gt;3,"S",IF((X$21-COUNTIF(X34:X$36,"P"))&gt;0,"P",""))</f>
        <v/>
      </c>
      <c r="Y33" s="303" t="str">
        <f>IF(Y$20&gt;3,"S",IF((Y$21-COUNTIF(Y34:Y$36,"P"))&gt;0,"P",""))</f>
        <v/>
      </c>
      <c r="Z33" s="303" t="str">
        <f>IF(Z$20&gt;3,"S",IF((Z$21-COUNTIF(Z34:Z$36,"P"))&gt;0,"P",""))</f>
        <v/>
      </c>
      <c r="AA33" s="303" t="str">
        <f>IF(AA$20&gt;3,"S",IF((AA$21-COUNTIF(AA34:AA$36,"P"))&gt;0,"P",""))</f>
        <v/>
      </c>
      <c r="AB33" s="303" t="str">
        <f>IF(AB$20&gt;3,"S",IF((AB$21-COUNTIF(AB34:AB$36,"P"))&gt;0,"P",""))</f>
        <v/>
      </c>
      <c r="AC33" s="303" t="str">
        <f>IF(AC$20&gt;3,"S",IF((AC$21-COUNTIF(AC34:AC$36,"P"))&gt;0,"P",""))</f>
        <v/>
      </c>
      <c r="AD33" s="303" t="str">
        <f>IF(AD$20&gt;3,"S",IF((AD$21-COUNTIF(AD34:AD$36,"P"))&gt;0,"P",""))</f>
        <v/>
      </c>
      <c r="AE33" s="303" t="str">
        <f>IF(AE$20&gt;3,"S",IF((AE$21-COUNTIF(AE34:AE$36,"P"))&gt;0,"P",""))</f>
        <v/>
      </c>
      <c r="AF33" s="303" t="str">
        <f>IF(AF$20&gt;3,"S",IF((AF$21-COUNTIF(AF34:AF$36,"P"))&gt;0,"P",""))</f>
        <v/>
      </c>
      <c r="AG33" s="303" t="str">
        <f>IF(AG$20&gt;3,"S",IF((AG$21-COUNTIF(AG34:AG$36,"P"))&gt;0,"P",""))</f>
        <v/>
      </c>
      <c r="AH33" s="303" t="str">
        <f>IF(AH$20&gt;3,"S",IF((AH$21-COUNTIF(AH34:AH$36,"P"))&gt;0,"P",""))</f>
        <v/>
      </c>
      <c r="AI33" s="303" t="str">
        <f>IF(AI$20&gt;3,"S",IF((AI$21-COUNTIF(AI34:AI$36,"P"))&gt;0,"P",""))</f>
        <v/>
      </c>
      <c r="AJ33" s="303" t="str">
        <f>IF(AJ$20&gt;3,"S",IF((AJ$21-COUNTIF(AJ34:AJ$36,"P"))&gt;0,"P",""))</f>
        <v/>
      </c>
      <c r="AK33" s="303" t="str">
        <f>IF(AK$20&gt;3,"S",IF((AK$21-COUNTIF(AK34:AK$36,"P"))&gt;0,"P",""))</f>
        <v/>
      </c>
      <c r="AL33" s="303" t="str">
        <f>IF(AL$20&gt;3,"S",IF((AL$21-COUNTIF(AL34:AL$36,"P"))&gt;0,"P",""))</f>
        <v/>
      </c>
      <c r="AM33" s="303" t="str">
        <f>IF(AM$20&gt;3,"S",IF((AM$21-COUNTIF(AM34:AM$36,"P"))&gt;0,"P",""))</f>
        <v/>
      </c>
      <c r="AN33" s="303" t="str">
        <f>IF(AN$20&gt;3,"S",IF((AN$21-COUNTIF(AN34:AN$36,"P"))&gt;0,"P",""))</f>
        <v/>
      </c>
      <c r="AO33" s="303" t="str">
        <f>IF(AO$20&gt;3,"S",IF((AO$21-COUNTIF(AO34:AO$36,"P"))&gt;0,"P",""))</f>
        <v/>
      </c>
      <c r="AP33" s="303" t="str">
        <f>IF(AP$20&gt;3,"S",IF((AP$21-COUNTIF(AP34:AP$36,"P"))&gt;0,"P",""))</f>
        <v/>
      </c>
    </row>
    <row r="34" spans="1:42" ht="15.75" thickBot="1" x14ac:dyDescent="0.25">
      <c r="A34" s="641"/>
      <c r="B34" s="303" t="str">
        <f>IF(B$20&gt;2,"S",IF((B$21-COUNTIF(B35:B$36,"P"))&gt;0,"P",""))</f>
        <v/>
      </c>
      <c r="C34" s="303" t="str">
        <f>IF(C$20&gt;2,"S",IF((C$21-COUNTIF(C35:C$36,"P"))&gt;0,"P",""))</f>
        <v/>
      </c>
      <c r="D34" s="303" t="str">
        <f>IF(D$20&gt;2,"S",IF((D$21-COUNTIF(D35:D$36,"P"))&gt;0,"P",""))</f>
        <v/>
      </c>
      <c r="E34" s="303" t="str">
        <f>IF(E$20&gt;2,"S",IF((E$21-COUNTIF(E35:E$36,"P"))&gt;0,"P",""))</f>
        <v/>
      </c>
      <c r="F34" s="303" t="str">
        <f>IF(F$20&gt;2,"S",IF((F$21-COUNTIF(F35:F$36,"P"))&gt;0,"P",""))</f>
        <v/>
      </c>
      <c r="G34" s="303" t="str">
        <f>IF(G$20&gt;2,"S",IF((G$21-COUNTIF(G35:G$36,"P"))&gt;0,"P",""))</f>
        <v/>
      </c>
      <c r="H34" s="303" t="str">
        <f>IF(H$20&gt;2,"S",IF((H$21-COUNTIF(H35:H$36,"P"))&gt;0,"P",""))</f>
        <v/>
      </c>
      <c r="I34" s="303" t="str">
        <f>IF(I$20&gt;2,"S",IF((I$21-COUNTIF(I35:I$36,"P"))&gt;0,"P",""))</f>
        <v/>
      </c>
      <c r="J34" s="303" t="str">
        <f>IF(J$20&gt;2,"S",IF((J$21-COUNTIF(J35:J$36,"P"))&gt;0,"P",""))</f>
        <v/>
      </c>
      <c r="K34" s="303" t="str">
        <f>IF(K$20&gt;2,"S",IF((K$21-COUNTIF(K35:K$36,"P"))&gt;0,"P",""))</f>
        <v/>
      </c>
      <c r="L34" s="303" t="str">
        <f>IF(L$20&gt;2,"S",IF((L$21-COUNTIF(L35:L$36,"P"))&gt;0,"P",""))</f>
        <v/>
      </c>
      <c r="M34" s="303" t="str">
        <f>IF(M$20&gt;2,"S",IF((M$21-COUNTIF(M35:M$36,"P"))&gt;0,"P",""))</f>
        <v/>
      </c>
      <c r="N34" s="303" t="str">
        <f>IF(N$20&gt;2,"S",IF((N$21-COUNTIF(N35:N$36,"P"))&gt;0,"P",""))</f>
        <v/>
      </c>
      <c r="O34" s="303" t="str">
        <f>IF(O$20&gt;2,"S",IF((O$21-COUNTIF(O35:O$36,"P"))&gt;0,"P",""))</f>
        <v/>
      </c>
      <c r="P34" s="303" t="str">
        <f>IF(P$20&gt;2,"S",IF((P$21-COUNTIF(P35:P$36,"P"))&gt;0,"P",""))</f>
        <v/>
      </c>
      <c r="Q34" s="303" t="str">
        <f>IF(Q$20&gt;2,"S",IF((Q$21-COUNTIF(Q35:Q$36,"P"))&gt;0,"P",""))</f>
        <v/>
      </c>
      <c r="R34" s="303" t="str">
        <f>IF(R$20&gt;2,"S",IF((R$21-COUNTIF(R35:R$36,"P"))&gt;0,"P",""))</f>
        <v/>
      </c>
      <c r="S34" s="303" t="str">
        <f>IF(S$20&gt;2,"S",IF((S$21-COUNTIF(S35:S$36,"P"))&gt;0,"P",""))</f>
        <v/>
      </c>
      <c r="T34" s="303" t="str">
        <f>IF(T$20&gt;2,"S",IF((T$21-COUNTIF(T35:T$36,"P"))&gt;0,"P",""))</f>
        <v/>
      </c>
      <c r="U34" s="303" t="str">
        <f>IF(U$20&gt;2,"S",IF((U$21-COUNTIF(U35:U$36,"P"))&gt;0,"P",""))</f>
        <v/>
      </c>
      <c r="V34" s="303" t="str">
        <f>IF(V$20&gt;2,"S",IF((V$21-COUNTIF(V35:V$36,"P"))&gt;0,"P",""))</f>
        <v/>
      </c>
      <c r="W34" s="303" t="str">
        <f>IF(W$20&gt;2,"S",IF((W$21-COUNTIF(W35:W$36,"P"))&gt;0,"P",""))</f>
        <v/>
      </c>
      <c r="X34" s="303" t="str">
        <f>IF(X$20&gt;2,"S",IF((X$21-COUNTIF(X35:X$36,"P"))&gt;0,"P",""))</f>
        <v/>
      </c>
      <c r="Y34" s="303" t="str">
        <f>IF(Y$20&gt;2,"S",IF((Y$21-COUNTIF(Y35:Y$36,"P"))&gt;0,"P",""))</f>
        <v/>
      </c>
      <c r="Z34" s="303" t="str">
        <f>IF(Z$20&gt;2,"S",IF((Z$21-COUNTIF(Z35:Z$36,"P"))&gt;0,"P",""))</f>
        <v/>
      </c>
      <c r="AA34" s="303" t="str">
        <f>IF(AA$20&gt;2,"S",IF((AA$21-COUNTIF(AA35:AA$36,"P"))&gt;0,"P",""))</f>
        <v/>
      </c>
      <c r="AB34" s="303" t="str">
        <f>IF(AB$20&gt;2,"S",IF((AB$21-COUNTIF(AB35:AB$36,"P"))&gt;0,"P",""))</f>
        <v/>
      </c>
      <c r="AC34" s="303" t="str">
        <f>IF(AC$20&gt;2,"S",IF((AC$21-COUNTIF(AC35:AC$36,"P"))&gt;0,"P",""))</f>
        <v/>
      </c>
      <c r="AD34" s="303" t="str">
        <f>IF(AD$20&gt;2,"S",IF((AD$21-COUNTIF(AD35:AD$36,"P"))&gt;0,"P",""))</f>
        <v/>
      </c>
      <c r="AE34" s="303" t="str">
        <f>IF(AE$20&gt;2,"S",IF((AE$21-COUNTIF(AE35:AE$36,"P"))&gt;0,"P",""))</f>
        <v/>
      </c>
      <c r="AF34" s="303" t="str">
        <f>IF(AF$20&gt;2,"S",IF((AF$21-COUNTIF(AF35:AF$36,"P"))&gt;0,"P",""))</f>
        <v/>
      </c>
      <c r="AG34" s="303" t="str">
        <f>IF(AG$20&gt;2,"S",IF((AG$21-COUNTIF(AG35:AG$36,"P"))&gt;0,"P",""))</f>
        <v/>
      </c>
      <c r="AH34" s="303" t="str">
        <f>IF(AH$20&gt;2,"S",IF((AH$21-COUNTIF(AH35:AH$36,"P"))&gt;0,"P",""))</f>
        <v/>
      </c>
      <c r="AI34" s="303" t="str">
        <f>IF(AI$20&gt;2,"S",IF((AI$21-COUNTIF(AI35:AI$36,"P"))&gt;0,"P",""))</f>
        <v/>
      </c>
      <c r="AJ34" s="303" t="str">
        <f>IF(AJ$20&gt;2,"S",IF((AJ$21-COUNTIF(AJ35:AJ$36,"P"))&gt;0,"P",""))</f>
        <v/>
      </c>
      <c r="AK34" s="303" t="str">
        <f>IF(AK$20&gt;2,"S",IF((AK$21-COUNTIF(AK35:AK$36,"P"))&gt;0,"P",""))</f>
        <v/>
      </c>
      <c r="AL34" s="303" t="str">
        <f>IF(AL$20&gt;2,"S",IF((AL$21-COUNTIF(AL35:AL$36,"P"))&gt;0,"P",""))</f>
        <v/>
      </c>
      <c r="AM34" s="303" t="str">
        <f>IF(AM$20&gt;2,"S",IF((AM$21-COUNTIF(AM35:AM$36,"P"))&gt;0,"P",""))</f>
        <v/>
      </c>
      <c r="AN34" s="303" t="str">
        <f>IF(AN$20&gt;2,"S",IF((AN$21-COUNTIF(AN35:AN$36,"P"))&gt;0,"P",""))</f>
        <v/>
      </c>
      <c r="AO34" s="303" t="str">
        <f>IF(AO$20&gt;2,"S",IF((AO$21-COUNTIF(AO35:AO$36,"P"))&gt;0,"P",""))</f>
        <v/>
      </c>
      <c r="AP34" s="303" t="str">
        <f>IF(AP$20&gt;2,"S",IF((AP$21-COUNTIF(AP35:AP$36,"P"))&gt;0,"P",""))</f>
        <v/>
      </c>
    </row>
    <row r="35" spans="1:42" ht="15.75" thickBot="1" x14ac:dyDescent="0.25">
      <c r="A35" s="641"/>
      <c r="B35" s="303" t="str">
        <f>IF(B$20&gt;1,"S",IF((B$21-COUNTIF(B$36,"P"))&gt;0,"P",""))</f>
        <v/>
      </c>
      <c r="C35" s="303" t="str">
        <f t="shared" ref="C35:AP35" si="1">IF(C$20&gt;1,"S",IF((C$21-COUNTIF(C$36,"P"))&gt;0,"P",""))</f>
        <v/>
      </c>
      <c r="D35" s="303" t="str">
        <f t="shared" si="1"/>
        <v/>
      </c>
      <c r="E35" s="303" t="str">
        <f t="shared" si="1"/>
        <v/>
      </c>
      <c r="F35" s="303" t="str">
        <f t="shared" si="1"/>
        <v/>
      </c>
      <c r="G35" s="303" t="str">
        <f t="shared" si="1"/>
        <v/>
      </c>
      <c r="H35" s="303" t="str">
        <f t="shared" si="1"/>
        <v/>
      </c>
      <c r="I35" s="303" t="str">
        <f t="shared" si="1"/>
        <v/>
      </c>
      <c r="J35" s="303" t="str">
        <f t="shared" si="1"/>
        <v/>
      </c>
      <c r="K35" s="303" t="str">
        <f t="shared" si="1"/>
        <v/>
      </c>
      <c r="L35" s="303" t="str">
        <f t="shared" si="1"/>
        <v/>
      </c>
      <c r="M35" s="303" t="str">
        <f t="shared" si="1"/>
        <v/>
      </c>
      <c r="N35" s="303" t="str">
        <f t="shared" si="1"/>
        <v/>
      </c>
      <c r="O35" s="303" t="str">
        <f t="shared" si="1"/>
        <v/>
      </c>
      <c r="P35" s="303" t="str">
        <f t="shared" si="1"/>
        <v/>
      </c>
      <c r="Q35" s="303" t="str">
        <f t="shared" si="1"/>
        <v/>
      </c>
      <c r="R35" s="303" t="str">
        <f t="shared" si="1"/>
        <v/>
      </c>
      <c r="S35" s="303" t="str">
        <f t="shared" si="1"/>
        <v/>
      </c>
      <c r="T35" s="303" t="str">
        <f t="shared" si="1"/>
        <v/>
      </c>
      <c r="U35" s="303" t="str">
        <f t="shared" si="1"/>
        <v/>
      </c>
      <c r="V35" s="303" t="str">
        <f t="shared" si="1"/>
        <v/>
      </c>
      <c r="W35" s="303" t="str">
        <f t="shared" si="1"/>
        <v/>
      </c>
      <c r="X35" s="303" t="str">
        <f t="shared" si="1"/>
        <v/>
      </c>
      <c r="Y35" s="303" t="str">
        <f t="shared" si="1"/>
        <v/>
      </c>
      <c r="Z35" s="303" t="str">
        <f t="shared" si="1"/>
        <v/>
      </c>
      <c r="AA35" s="303" t="str">
        <f t="shared" si="1"/>
        <v/>
      </c>
      <c r="AB35" s="303" t="str">
        <f t="shared" si="1"/>
        <v/>
      </c>
      <c r="AC35" s="303" t="str">
        <f t="shared" si="1"/>
        <v/>
      </c>
      <c r="AD35" s="303" t="str">
        <f t="shared" si="1"/>
        <v/>
      </c>
      <c r="AE35" s="303" t="str">
        <f t="shared" si="1"/>
        <v/>
      </c>
      <c r="AF35" s="303" t="str">
        <f t="shared" si="1"/>
        <v/>
      </c>
      <c r="AG35" s="303" t="str">
        <f t="shared" si="1"/>
        <v/>
      </c>
      <c r="AH35" s="303" t="str">
        <f t="shared" si="1"/>
        <v/>
      </c>
      <c r="AI35" s="303" t="str">
        <f t="shared" si="1"/>
        <v/>
      </c>
      <c r="AJ35" s="303" t="str">
        <f t="shared" si="1"/>
        <v/>
      </c>
      <c r="AK35" s="303" t="str">
        <f t="shared" si="1"/>
        <v/>
      </c>
      <c r="AL35" s="303" t="str">
        <f t="shared" si="1"/>
        <v/>
      </c>
      <c r="AM35" s="303" t="str">
        <f t="shared" si="1"/>
        <v/>
      </c>
      <c r="AN35" s="303" t="str">
        <f t="shared" si="1"/>
        <v/>
      </c>
      <c r="AO35" s="303" t="str">
        <f t="shared" si="1"/>
        <v/>
      </c>
      <c r="AP35" s="303" t="str">
        <f t="shared" si="1"/>
        <v/>
      </c>
    </row>
    <row r="36" spans="1:42" ht="15.75" thickBot="1" x14ac:dyDescent="0.25">
      <c r="A36" s="642"/>
      <c r="B36" s="303" t="str">
        <f>IF(B$20&gt;0,"S",IF(B$21&gt;0,"P",""))</f>
        <v/>
      </c>
      <c r="C36" s="303" t="str">
        <f t="shared" ref="C36:AP36" si="2">IF(C$20&gt;0,"S",IF(C$21&gt;0,"P",""))</f>
        <v/>
      </c>
      <c r="D36" s="303" t="str">
        <f t="shared" si="2"/>
        <v/>
      </c>
      <c r="E36" s="303" t="str">
        <f t="shared" si="2"/>
        <v/>
      </c>
      <c r="F36" s="303" t="str">
        <f t="shared" si="2"/>
        <v/>
      </c>
      <c r="G36" s="303" t="str">
        <f t="shared" si="2"/>
        <v/>
      </c>
      <c r="H36" s="303" t="str">
        <f t="shared" si="2"/>
        <v/>
      </c>
      <c r="I36" s="303" t="str">
        <f t="shared" si="2"/>
        <v/>
      </c>
      <c r="J36" s="303" t="str">
        <f t="shared" si="2"/>
        <v/>
      </c>
      <c r="K36" s="303" t="str">
        <f t="shared" si="2"/>
        <v/>
      </c>
      <c r="L36" s="303" t="str">
        <f t="shared" si="2"/>
        <v/>
      </c>
      <c r="M36" s="303" t="str">
        <f t="shared" si="2"/>
        <v/>
      </c>
      <c r="N36" s="303" t="str">
        <f t="shared" si="2"/>
        <v/>
      </c>
      <c r="O36" s="303" t="str">
        <f t="shared" si="2"/>
        <v/>
      </c>
      <c r="P36" s="303" t="str">
        <f t="shared" si="2"/>
        <v/>
      </c>
      <c r="Q36" s="303" t="str">
        <f t="shared" si="2"/>
        <v/>
      </c>
      <c r="R36" s="303" t="str">
        <f t="shared" si="2"/>
        <v/>
      </c>
      <c r="S36" s="303" t="str">
        <f t="shared" si="2"/>
        <v/>
      </c>
      <c r="T36" s="303" t="str">
        <f t="shared" si="2"/>
        <v/>
      </c>
      <c r="U36" s="303" t="str">
        <f t="shared" si="2"/>
        <v/>
      </c>
      <c r="V36" s="303" t="str">
        <f t="shared" si="2"/>
        <v/>
      </c>
      <c r="W36" s="303" t="str">
        <f t="shared" si="2"/>
        <v/>
      </c>
      <c r="X36" s="303" t="str">
        <f t="shared" si="2"/>
        <v/>
      </c>
      <c r="Y36" s="303" t="str">
        <f t="shared" si="2"/>
        <v/>
      </c>
      <c r="Z36" s="303" t="str">
        <f t="shared" si="2"/>
        <v/>
      </c>
      <c r="AA36" s="303" t="str">
        <f t="shared" si="2"/>
        <v/>
      </c>
      <c r="AB36" s="303" t="str">
        <f t="shared" si="2"/>
        <v/>
      </c>
      <c r="AC36" s="303" t="str">
        <f t="shared" si="2"/>
        <v/>
      </c>
      <c r="AD36" s="303" t="str">
        <f t="shared" si="2"/>
        <v/>
      </c>
      <c r="AE36" s="303" t="str">
        <f t="shared" si="2"/>
        <v/>
      </c>
      <c r="AF36" s="303" t="str">
        <f t="shared" si="2"/>
        <v/>
      </c>
      <c r="AG36" s="303" t="str">
        <f t="shared" si="2"/>
        <v/>
      </c>
      <c r="AH36" s="303" t="str">
        <f t="shared" si="2"/>
        <v/>
      </c>
      <c r="AI36" s="303" t="str">
        <f t="shared" si="2"/>
        <v/>
      </c>
      <c r="AJ36" s="303" t="str">
        <f t="shared" si="2"/>
        <v/>
      </c>
      <c r="AK36" s="303" t="str">
        <f t="shared" si="2"/>
        <v/>
      </c>
      <c r="AL36" s="303" t="str">
        <f t="shared" si="2"/>
        <v/>
      </c>
      <c r="AM36" s="303" t="str">
        <f t="shared" si="2"/>
        <v/>
      </c>
      <c r="AN36" s="303" t="str">
        <f t="shared" si="2"/>
        <v/>
      </c>
      <c r="AO36" s="303" t="str">
        <f t="shared" si="2"/>
        <v/>
      </c>
      <c r="AP36" s="303" t="str">
        <f t="shared" si="2"/>
        <v/>
      </c>
    </row>
    <row r="37" spans="1:42" ht="19.5" customHeight="1" x14ac:dyDescent="0.2">
      <c r="A37" s="312" t="s">
        <v>541</v>
      </c>
      <c r="B37" s="310">
        <f>MIN('Data entry'!$R$6:$R$200)</f>
        <v>0</v>
      </c>
      <c r="C37" s="310" t="str">
        <f>IF(B37&lt;(MAX('Data entry'!$R:$R)),B37+1,"")</f>
        <v/>
      </c>
      <c r="D37" s="310" t="str">
        <f>IF(C37&lt;(MAX('Data entry'!$R:$R)),C37+1,"")</f>
        <v/>
      </c>
      <c r="E37" s="310" t="str">
        <f>IF(D37&lt;(MAX('Data entry'!$R:$R)),D37+1,"")</f>
        <v/>
      </c>
      <c r="F37" s="310" t="str">
        <f>IF(E37&lt;(MAX('Data entry'!$R:$R)),E37+1,"")</f>
        <v/>
      </c>
      <c r="G37" s="310" t="str">
        <f>IF(F37&lt;(MAX('Data entry'!$R:$R)),F37+1,"")</f>
        <v/>
      </c>
      <c r="H37" s="310" t="str">
        <f>IF(G37&lt;(MAX('Data entry'!$R:$R)),G37+1,"")</f>
        <v/>
      </c>
      <c r="I37" s="310" t="str">
        <f>IF(H37&lt;(MAX('Data entry'!$R:$R)),H37+1,"")</f>
        <v/>
      </c>
      <c r="J37" s="310" t="str">
        <f>IF(I37&lt;(MAX('Data entry'!$R:$R)),I37+1,"")</f>
        <v/>
      </c>
      <c r="K37" s="310" t="str">
        <f>IF(J37&lt;(MAX('Data entry'!$R:$R)),J37+1,"")</f>
        <v/>
      </c>
      <c r="L37" s="310" t="str">
        <f>IF(K37&lt;(MAX('Data entry'!$R:$R)),K37+1,"")</f>
        <v/>
      </c>
      <c r="M37" s="310" t="str">
        <f>IF(L37&lt;(MAX('Data entry'!$R:$R)),L37+1,"")</f>
        <v/>
      </c>
      <c r="N37" s="310" t="str">
        <f>IF(M37&lt;(MAX('Data entry'!$R:$R)),M37+1,"")</f>
        <v/>
      </c>
      <c r="O37" s="310" t="str">
        <f>IF(N37&lt;(MAX('Data entry'!$R:$R)),N37+1,"")</f>
        <v/>
      </c>
      <c r="P37" s="310" t="str">
        <f>IF(O37&lt;(MAX('Data entry'!$R:$R)),O37+1,"")</f>
        <v/>
      </c>
      <c r="Q37" s="310" t="str">
        <f>IF(P37&lt;(MAX('Data entry'!$R:$R)),P37+1,"")</f>
        <v/>
      </c>
      <c r="R37" s="310" t="str">
        <f>IF(Q37&lt;(MAX('Data entry'!$R:$R)),Q37+1,"")</f>
        <v/>
      </c>
      <c r="S37" s="310" t="str">
        <f>IF(R37&lt;(MAX('Data entry'!$R:$R)),R37+1,"")</f>
        <v/>
      </c>
      <c r="T37" s="310" t="str">
        <f>IF(S37&lt;(MAX('Data entry'!$R:$R)),S37+1,"")</f>
        <v/>
      </c>
      <c r="U37" s="310" t="str">
        <f>IF(T37&lt;(MAX('Data entry'!$R:$R)),T37+1,"")</f>
        <v/>
      </c>
      <c r="V37" s="310" t="str">
        <f>IF(U37&lt;(MAX('Data entry'!$R:$R)),U37+1,"")</f>
        <v/>
      </c>
      <c r="W37" s="310" t="str">
        <f>IF(V37&lt;(MAX('Data entry'!$R:$R)),V37+1,"")</f>
        <v/>
      </c>
      <c r="X37" s="310" t="str">
        <f>IF(W37&lt;(MAX('Data entry'!$R:$R)),W37+1,"")</f>
        <v/>
      </c>
      <c r="Y37" s="310" t="str">
        <f>IF(X37&lt;(MAX('Data entry'!$R:$R)),X37+1,"")</f>
        <v/>
      </c>
      <c r="Z37" s="310" t="str">
        <f>IF(Y37&lt;(MAX('Data entry'!$R:$R)),Y37+1,"")</f>
        <v/>
      </c>
      <c r="AA37" s="310" t="str">
        <f>IF(Z37&lt;(MAX('Data entry'!$R:$R)),Z37+1,"")</f>
        <v/>
      </c>
      <c r="AB37" s="310" t="str">
        <f>IF(AA37&lt;(MAX('Data entry'!$R:$R)),AA37+1,"")</f>
        <v/>
      </c>
      <c r="AC37" s="310" t="str">
        <f>IF(AB37&lt;(MAX('Data entry'!$R:$R)),AB37+1,"")</f>
        <v/>
      </c>
      <c r="AD37" s="310" t="str">
        <f>IF(AC37&lt;(MAX('Data entry'!$R:$R)),AC37+1,"")</f>
        <v/>
      </c>
      <c r="AE37" s="310" t="str">
        <f>IF(AD37&lt;(MAX('Data entry'!$R:$R)),AD37+1,"")</f>
        <v/>
      </c>
      <c r="AF37" s="310" t="str">
        <f>IF(AE37&lt;(MAX('Data entry'!$R:$R)),AE37+1,"")</f>
        <v/>
      </c>
      <c r="AG37" s="310" t="str">
        <f>IF(AF37&lt;(MAX('Data entry'!$R:$R)),AF37+1,"")</f>
        <v/>
      </c>
      <c r="AH37" s="310" t="str">
        <f>IF(AG37&lt;(MAX('Data entry'!$R:$R)),AG37+1,"")</f>
        <v/>
      </c>
      <c r="AI37" s="310" t="str">
        <f>IF(AH37&lt;(MAX('Data entry'!$R:$R)),AH37+1,"")</f>
        <v/>
      </c>
      <c r="AJ37" s="310" t="str">
        <f>IF(AI37&lt;(MAX('Data entry'!$R:$R)),AI37+1,"")</f>
        <v/>
      </c>
      <c r="AK37" s="310" t="str">
        <f>IF(AJ37&lt;(MAX('Data entry'!$R:$R)),AJ37+1,"")</f>
        <v/>
      </c>
      <c r="AL37" s="310" t="str">
        <f>IF(AK37&lt;(MAX('Data entry'!$R:$R)),AK37+1,"")</f>
        <v/>
      </c>
      <c r="AM37" s="310" t="str">
        <f>IF(AL37&lt;(MAX('Data entry'!$R:$R)),AL37+1,"")</f>
        <v/>
      </c>
      <c r="AN37" s="310" t="str">
        <f>IF(AM37&lt;(MAX('Data entry'!$R:$R)),AM37+1,"")</f>
        <v/>
      </c>
      <c r="AO37" s="310" t="str">
        <f>IF(AN37&lt;(MAX('Data entry'!$R:$R)),AN37+1,"")</f>
        <v/>
      </c>
      <c r="AP37" s="310" t="str">
        <f>IF(AO37&lt;(MAX('Data entry'!$R:$R)),AO37+1,"")</f>
        <v/>
      </c>
    </row>
    <row r="38" spans="1:42" s="307" customFormat="1" ht="24.95" customHeight="1" thickBot="1" x14ac:dyDescent="0.25">
      <c r="A38" s="313" t="s">
        <v>555</v>
      </c>
      <c r="B38" s="311">
        <f>MIN('Data entry'!$R$6:$R$200)</f>
        <v>0</v>
      </c>
      <c r="C38" s="311" t="str">
        <f>IF(B37&lt;(MAX('Data entry'!$R:$R)),B37+1,"")</f>
        <v/>
      </c>
      <c r="D38" s="311" t="str">
        <f>IF(C37&lt;(MAX('Data entry'!$R:$R)),C37+1,"")</f>
        <v/>
      </c>
      <c r="E38" s="311" t="str">
        <f>IF(D37&lt;(MAX('Data entry'!$R:$R)),D37+1,"")</f>
        <v/>
      </c>
      <c r="F38" s="311" t="str">
        <f>IF(E37&lt;(MAX('Data entry'!$R:$R)),E37+1,"")</f>
        <v/>
      </c>
      <c r="G38" s="311" t="str">
        <f>IF(F37&lt;(MAX('Data entry'!$R:$R)),F37+1,"")</f>
        <v/>
      </c>
      <c r="H38" s="311" t="str">
        <f>IF(G37&lt;(MAX('Data entry'!$R:$R)),G37+1,"")</f>
        <v/>
      </c>
      <c r="I38" s="311" t="str">
        <f>IF(H37&lt;(MAX('Data entry'!$R:$R)),H37+1,"")</f>
        <v/>
      </c>
      <c r="J38" s="311" t="str">
        <f>IF(I37&lt;(MAX('Data entry'!$R:$R)),I37+1,"")</f>
        <v/>
      </c>
      <c r="K38" s="311" t="str">
        <f>IF(J37&lt;(MAX('Data entry'!$R:$R)),J37+1,"")</f>
        <v/>
      </c>
      <c r="L38" s="311" t="str">
        <f>IF(K37&lt;(MAX('Data entry'!$R:$R)),K37+1,"")</f>
        <v/>
      </c>
      <c r="M38" s="311" t="str">
        <f>IF(L37&lt;(MAX('Data entry'!$R:$R)),L37+1,"")</f>
        <v/>
      </c>
      <c r="N38" s="311" t="str">
        <f>IF(M37&lt;(MAX('Data entry'!$R:$R)),M37+1,"")</f>
        <v/>
      </c>
      <c r="O38" s="311" t="str">
        <f>IF(N37&lt;(MAX('Data entry'!$R:$R)),N37+1,"")</f>
        <v/>
      </c>
      <c r="P38" s="311" t="str">
        <f>IF(O37&lt;(MAX('Data entry'!$R:$R)),O37+1,"")</f>
        <v/>
      </c>
      <c r="Q38" s="311" t="str">
        <f>IF(P37&lt;(MAX('Data entry'!$R:$R)),P37+1,"")</f>
        <v/>
      </c>
      <c r="R38" s="311" t="str">
        <f>IF(Q37&lt;(MAX('Data entry'!$R:$R)),Q37+1,"")</f>
        <v/>
      </c>
      <c r="S38" s="311" t="str">
        <f>IF(R37&lt;(MAX('Data entry'!$R:$R)),R37+1,"")</f>
        <v/>
      </c>
      <c r="T38" s="311" t="str">
        <f>IF(S37&lt;(MAX('Data entry'!$R:$R)),S37+1,"")</f>
        <v/>
      </c>
      <c r="U38" s="311" t="str">
        <f>IF(T37&lt;(MAX('Data entry'!$R:$R)),T37+1,"")</f>
        <v/>
      </c>
      <c r="V38" s="311" t="str">
        <f>IF(U37&lt;(MAX('Data entry'!$R:$R)),U37+1,"")</f>
        <v/>
      </c>
      <c r="W38" s="311" t="str">
        <f>IF(V37&lt;(MAX('Data entry'!$R:$R)),V37+1,"")</f>
        <v/>
      </c>
      <c r="X38" s="311" t="str">
        <f>IF(W37&lt;(MAX('Data entry'!$R:$R)),W37+1,"")</f>
        <v/>
      </c>
      <c r="Y38" s="311" t="str">
        <f>IF(X37&lt;(MAX('Data entry'!$R:$R)),X37+1,"")</f>
        <v/>
      </c>
      <c r="Z38" s="311" t="str">
        <f>IF(Y37&lt;(MAX('Data entry'!$R:$R)),Y37+1,"")</f>
        <v/>
      </c>
      <c r="AA38" s="311" t="str">
        <f>IF(Z37&lt;(MAX('Data entry'!$R:$R)),Z37+1,"")</f>
        <v/>
      </c>
      <c r="AB38" s="311" t="str">
        <f>IF(AA37&lt;(MAX('Data entry'!$R:$R)),AA37+1,"")</f>
        <v/>
      </c>
      <c r="AC38" s="311" t="str">
        <f>IF(AB37&lt;(MAX('Data entry'!$R:$R)),AB37+1,"")</f>
        <v/>
      </c>
      <c r="AD38" s="311" t="str">
        <f>IF(AC37&lt;(MAX('Data entry'!$R:$R)),AC37+1,"")</f>
        <v/>
      </c>
      <c r="AE38" s="311" t="str">
        <f>IF(AD37&lt;(MAX('Data entry'!$R:$R)),AD37+1,"")</f>
        <v/>
      </c>
      <c r="AF38" s="311" t="str">
        <f>IF(AE37&lt;(MAX('Data entry'!$R:$R)),AE37+1,"")</f>
        <v/>
      </c>
      <c r="AG38" s="311" t="str">
        <f>IF(AF37&lt;(MAX('Data entry'!$R:$R)),AF37+1,"")</f>
        <v/>
      </c>
      <c r="AH38" s="311" t="str">
        <f>IF(AG37&lt;(MAX('Data entry'!$R:$R)),AG37+1,"")</f>
        <v/>
      </c>
      <c r="AI38" s="311" t="str">
        <f>IF(AH37&lt;(MAX('Data entry'!$R:$R)),AH37+1,"")</f>
        <v/>
      </c>
      <c r="AJ38" s="311" t="str">
        <f>IF(AI37&lt;(MAX('Data entry'!$R:$R)),AI37+1,"")</f>
        <v/>
      </c>
      <c r="AK38" s="311" t="str">
        <f>IF(AJ37&lt;(MAX('Data entry'!$R:$R)),AJ37+1,"")</f>
        <v/>
      </c>
      <c r="AL38" s="311" t="str">
        <f>IF(AK37&lt;(MAX('Data entry'!$R:$R)),AK37+1,"")</f>
        <v/>
      </c>
      <c r="AM38" s="311" t="str">
        <f>IF(AL37&lt;(MAX('Data entry'!$R:$R)),AL37+1,"")</f>
        <v/>
      </c>
      <c r="AN38" s="311" t="str">
        <f>IF(AM37&lt;(MAX('Data entry'!$R:$R)),AM37+1,"")</f>
        <v/>
      </c>
      <c r="AO38" s="311" t="str">
        <f>IF(AN37&lt;(MAX('Data entry'!$R:$R)),AN37+1,"")</f>
        <v/>
      </c>
      <c r="AP38" s="311" t="str">
        <f>IF(AO37&lt;(MAX('Data entry'!$R:$R)),AO37+1,"")</f>
        <v/>
      </c>
    </row>
    <row r="40" spans="1:42" ht="16.5" thickBot="1" x14ac:dyDescent="0.3">
      <c r="A40" s="304" t="s">
        <v>542</v>
      </c>
    </row>
    <row r="41" spans="1:42" x14ac:dyDescent="0.2">
      <c r="A41" s="629" t="s">
        <v>546</v>
      </c>
      <c r="B41" s="630"/>
      <c r="C41" s="630"/>
      <c r="D41" s="630"/>
      <c r="E41" s="630"/>
      <c r="F41" s="630"/>
      <c r="G41" s="630"/>
      <c r="H41" s="630"/>
      <c r="I41" s="630"/>
      <c r="J41" s="630"/>
      <c r="K41" s="630"/>
      <c r="L41" s="630"/>
      <c r="M41" s="630"/>
      <c r="N41" s="630"/>
      <c r="O41" s="630"/>
      <c r="P41" s="630"/>
      <c r="Q41" s="630"/>
      <c r="R41" s="630"/>
      <c r="S41" s="630"/>
      <c r="T41" s="630"/>
      <c r="U41" s="630"/>
      <c r="V41" s="630"/>
      <c r="W41" s="630"/>
      <c r="X41" s="630"/>
      <c r="Y41" s="630"/>
      <c r="Z41" s="630"/>
      <c r="AA41" s="630"/>
      <c r="AB41" s="630"/>
      <c r="AC41" s="630"/>
      <c r="AD41" s="630"/>
      <c r="AE41" s="630"/>
      <c r="AF41" s="630"/>
      <c r="AG41" s="630"/>
      <c r="AH41" s="630"/>
      <c r="AI41" s="630"/>
      <c r="AJ41" s="630"/>
      <c r="AK41" s="630"/>
      <c r="AL41" s="630"/>
      <c r="AM41" s="630"/>
      <c r="AN41" s="630"/>
      <c r="AO41" s="630"/>
      <c r="AP41" s="631"/>
    </row>
    <row r="42" spans="1:42" x14ac:dyDescent="0.2">
      <c r="A42" s="632"/>
      <c r="B42" s="633"/>
      <c r="C42" s="633"/>
      <c r="D42" s="633"/>
      <c r="E42" s="633"/>
      <c r="F42" s="633"/>
      <c r="G42" s="633"/>
      <c r="H42" s="633"/>
      <c r="I42" s="633"/>
      <c r="J42" s="633"/>
      <c r="K42" s="633"/>
      <c r="L42" s="633"/>
      <c r="M42" s="633"/>
      <c r="N42" s="633"/>
      <c r="O42" s="633"/>
      <c r="P42" s="633"/>
      <c r="Q42" s="633"/>
      <c r="R42" s="633"/>
      <c r="S42" s="633"/>
      <c r="T42" s="633"/>
      <c r="U42" s="633"/>
      <c r="V42" s="633"/>
      <c r="W42" s="633"/>
      <c r="X42" s="633"/>
      <c r="Y42" s="633"/>
      <c r="Z42" s="633"/>
      <c r="AA42" s="633"/>
      <c r="AB42" s="633"/>
      <c r="AC42" s="633"/>
      <c r="AD42" s="633"/>
      <c r="AE42" s="633"/>
      <c r="AF42" s="633"/>
      <c r="AG42" s="633"/>
      <c r="AH42" s="633"/>
      <c r="AI42" s="633"/>
      <c r="AJ42" s="633"/>
      <c r="AK42" s="633"/>
      <c r="AL42" s="633"/>
      <c r="AM42" s="633"/>
      <c r="AN42" s="633"/>
      <c r="AO42" s="633"/>
      <c r="AP42" s="634"/>
    </row>
    <row r="43" spans="1:42" x14ac:dyDescent="0.2">
      <c r="A43" s="632"/>
      <c r="B43" s="633"/>
      <c r="C43" s="633"/>
      <c r="D43" s="633"/>
      <c r="E43" s="633"/>
      <c r="F43" s="633"/>
      <c r="G43" s="633"/>
      <c r="H43" s="633"/>
      <c r="I43" s="633"/>
      <c r="J43" s="633"/>
      <c r="K43" s="633"/>
      <c r="L43" s="633"/>
      <c r="M43" s="633"/>
      <c r="N43" s="633"/>
      <c r="O43" s="633"/>
      <c r="P43" s="633"/>
      <c r="Q43" s="633"/>
      <c r="R43" s="633"/>
      <c r="S43" s="633"/>
      <c r="T43" s="633"/>
      <c r="U43" s="633"/>
      <c r="V43" s="633"/>
      <c r="W43" s="633"/>
      <c r="X43" s="633"/>
      <c r="Y43" s="633"/>
      <c r="Z43" s="633"/>
      <c r="AA43" s="633"/>
      <c r="AB43" s="633"/>
      <c r="AC43" s="633"/>
      <c r="AD43" s="633"/>
      <c r="AE43" s="633"/>
      <c r="AF43" s="633"/>
      <c r="AG43" s="633"/>
      <c r="AH43" s="633"/>
      <c r="AI43" s="633"/>
      <c r="AJ43" s="633"/>
      <c r="AK43" s="633"/>
      <c r="AL43" s="633"/>
      <c r="AM43" s="633"/>
      <c r="AN43" s="633"/>
      <c r="AO43" s="633"/>
      <c r="AP43" s="634"/>
    </row>
    <row r="44" spans="1:42" ht="15.75" thickBot="1" x14ac:dyDescent="0.25">
      <c r="A44" s="635"/>
      <c r="B44" s="636"/>
      <c r="C44" s="636"/>
      <c r="D44" s="636"/>
      <c r="E44" s="636"/>
      <c r="F44" s="636"/>
      <c r="G44" s="636"/>
      <c r="H44" s="636"/>
      <c r="I44" s="636"/>
      <c r="J44" s="636"/>
      <c r="K44" s="636"/>
      <c r="L44" s="636"/>
      <c r="M44" s="636"/>
      <c r="N44" s="636"/>
      <c r="O44" s="636"/>
      <c r="P44" s="636"/>
      <c r="Q44" s="636"/>
      <c r="R44" s="636"/>
      <c r="S44" s="636"/>
      <c r="T44" s="636"/>
      <c r="U44" s="636"/>
      <c r="V44" s="636"/>
      <c r="W44" s="636"/>
      <c r="X44" s="636"/>
      <c r="Y44" s="636"/>
      <c r="Z44" s="636"/>
      <c r="AA44" s="636"/>
      <c r="AB44" s="636"/>
      <c r="AC44" s="636"/>
      <c r="AD44" s="636"/>
      <c r="AE44" s="636"/>
      <c r="AF44" s="636"/>
      <c r="AG44" s="636"/>
      <c r="AH44" s="636"/>
      <c r="AI44" s="636"/>
      <c r="AJ44" s="636"/>
      <c r="AK44" s="636"/>
      <c r="AL44" s="636"/>
      <c r="AM44" s="636"/>
      <c r="AN44" s="636"/>
      <c r="AO44" s="636"/>
      <c r="AP44" s="637"/>
    </row>
  </sheetData>
  <mergeCells count="37">
    <mergeCell ref="A2:Y2"/>
    <mergeCell ref="A7:C7"/>
    <mergeCell ref="D7:F7"/>
    <mergeCell ref="G7:J7"/>
    <mergeCell ref="K7:N7"/>
    <mergeCell ref="O7:S7"/>
    <mergeCell ref="N11:P11"/>
    <mergeCell ref="A8:C8"/>
    <mergeCell ref="D8:F8"/>
    <mergeCell ref="G8:J8"/>
    <mergeCell ref="K8:N8"/>
    <mergeCell ref="O8:S8"/>
    <mergeCell ref="D9:F9"/>
    <mergeCell ref="G9:J9"/>
    <mergeCell ref="A11:B11"/>
    <mergeCell ref="C11:E11"/>
    <mergeCell ref="H11:M11"/>
    <mergeCell ref="A41:AP44"/>
    <mergeCell ref="F16:J16"/>
    <mergeCell ref="F17:J17"/>
    <mergeCell ref="A23:A36"/>
    <mergeCell ref="P13:W13"/>
    <mergeCell ref="A14:C14"/>
    <mergeCell ref="F14:J14"/>
    <mergeCell ref="P14:T14"/>
    <mergeCell ref="U14:W14"/>
    <mergeCell ref="A15:C15"/>
    <mergeCell ref="F15:J15"/>
    <mergeCell ref="N15:O15"/>
    <mergeCell ref="P15:T15"/>
    <mergeCell ref="U15:W15"/>
    <mergeCell ref="T8:X8"/>
    <mergeCell ref="AB7:AE7"/>
    <mergeCell ref="AB8:AE8"/>
    <mergeCell ref="Y7:AA7"/>
    <mergeCell ref="Y8:AA8"/>
    <mergeCell ref="T7:X7"/>
  </mergeCells>
  <conditionalFormatting sqref="B23:AP36">
    <cfRule type="containsText" dxfId="9656" priority="2" operator="containsText" text="S">
      <formula>NOT(ISERROR(SEARCH("S",B23)))</formula>
    </cfRule>
    <cfRule type="containsText" dxfId="9655" priority="5" operator="containsText" text="P">
      <formula>NOT(ISERROR(SEARCH("P",B23)))</formula>
    </cfRule>
  </conditionalFormatting>
  <pageMargins left="0.25" right="0.25" top="0.75" bottom="0.75" header="0.3" footer="0.3"/>
  <pageSetup paperSize="5" scale="65"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
  <sheetViews>
    <sheetView workbookViewId="0">
      <selection activeCell="M11" sqref="M11"/>
    </sheetView>
  </sheetViews>
  <sheetFormatPr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CG200"/>
  <sheetViews>
    <sheetView zoomScale="85" zoomScaleNormal="85" workbookViewId="0">
      <selection activeCell="C1" sqref="C1:C1048576"/>
    </sheetView>
  </sheetViews>
  <sheetFormatPr defaultRowHeight="15" x14ac:dyDescent="0.2"/>
  <cols>
    <col min="1" max="1" width="16.109375" customWidth="1"/>
    <col min="3" max="3" width="18.44140625" style="322" customWidth="1"/>
    <col min="4" max="4" width="17.6640625" customWidth="1"/>
    <col min="6" max="6" width="18.88671875" customWidth="1"/>
  </cols>
  <sheetData>
    <row r="1" spans="1:85" ht="44.45" customHeight="1" x14ac:dyDescent="0.25">
      <c r="A1" s="17" t="s">
        <v>549</v>
      </c>
      <c r="B1" s="17" t="s">
        <v>550</v>
      </c>
      <c r="C1" s="320" t="s">
        <v>551</v>
      </c>
      <c r="D1" s="17" t="s">
        <v>492</v>
      </c>
      <c r="E1" s="17" t="s">
        <v>400</v>
      </c>
      <c r="F1" s="17" t="s">
        <v>401</v>
      </c>
      <c r="G1" s="1" t="str">
        <f>'Summary Data'!AF10</f>
        <v>Functional Area 1, Shift 1</v>
      </c>
      <c r="H1" s="1" t="str">
        <f>'Summary Data'!AG10</f>
        <v>Functional Area 1, Shift 2</v>
      </c>
      <c r="I1" s="1" t="str">
        <f>'Summary Data'!AH10</f>
        <v>Functional Area 1, Shift 3</v>
      </c>
      <c r="J1" s="1" t="str">
        <f>'Summary Data'!AI10</f>
        <v>Functional Area 1, Shift 4</v>
      </c>
      <c r="K1" s="1" t="str">
        <f>'Summary Data'!AJ10</f>
        <v>Functional Area 1, Shift 5</v>
      </c>
      <c r="L1" s="1" t="str">
        <f>'Summary Data'!AK10</f>
        <v>Functional Area 2, Shift 1</v>
      </c>
      <c r="M1" s="1" t="str">
        <f>'Summary Data'!AL10</f>
        <v>Functional Area 2, Shift 2</v>
      </c>
      <c r="N1" s="1" t="str">
        <f>'Summary Data'!AM10</f>
        <v>Functional Area 2, Shift 3</v>
      </c>
      <c r="O1" s="1" t="str">
        <f>'Summary Data'!AN10</f>
        <v>Functional Area 2, Shift 4</v>
      </c>
      <c r="P1" s="1" t="str">
        <f>'Summary Data'!AO10</f>
        <v>Functional Area 2, Shift 5</v>
      </c>
      <c r="Q1" s="1" t="str">
        <f>'Summary Data'!AP10</f>
        <v>Functional Area 3, Shift 1</v>
      </c>
      <c r="R1" s="1" t="str">
        <f>'Summary Data'!AQ10</f>
        <v>Functional Area 3, Shift 2</v>
      </c>
      <c r="S1" s="1" t="str">
        <f>'Summary Data'!AR10</f>
        <v>Functional Area 3, Shift 3</v>
      </c>
      <c r="T1" s="1" t="str">
        <f>'Summary Data'!AS10</f>
        <v>Functional Area 3, Shift 4</v>
      </c>
      <c r="U1" s="1" t="str">
        <f>'Summary Data'!AT10</f>
        <v>Functional Area 3, Shift 5</v>
      </c>
      <c r="V1" s="1" t="str">
        <f>'Summary Data'!AU10</f>
        <v>Functional Area 4, Shift 1</v>
      </c>
      <c r="W1" s="1" t="str">
        <f>'Summary Data'!AV10</f>
        <v>Functional Area 4, Shift 2</v>
      </c>
      <c r="X1" s="1" t="str">
        <f>'Summary Data'!AW10</f>
        <v>Functional Area 4, Shift 3</v>
      </c>
      <c r="Y1" s="1" t="str">
        <f>'Summary Data'!AX10</f>
        <v>Functional Area 4, Shift 4</v>
      </c>
      <c r="Z1" s="1" t="str">
        <f>'Summary Data'!AY10</f>
        <v>Functional Area 4, Shift 5</v>
      </c>
      <c r="AA1" s="1" t="str">
        <f>'Summary Data'!AZ10</f>
        <v>Functional Area 5, Shift 1</v>
      </c>
      <c r="AB1" s="1" t="str">
        <f>'Summary Data'!BA10</f>
        <v>Functional Area 5, Shift 2</v>
      </c>
      <c r="AC1" s="1" t="str">
        <f>'Summary Data'!BB10</f>
        <v>Functional Area 5, Shift 3</v>
      </c>
      <c r="AD1" s="1" t="str">
        <f>'Summary Data'!BC10</f>
        <v>Functional Area 5, Shift 4</v>
      </c>
      <c r="AE1" s="1" t="str">
        <f>'Summary Data'!BD10</f>
        <v>Functional Area 5, Shift 5</v>
      </c>
      <c r="AF1" s="1" t="str">
        <f>'Summary Data'!BE10</f>
        <v>Functional Area 6, Shift 1</v>
      </c>
      <c r="AG1" s="1" t="str">
        <f>'Summary Data'!BF10</f>
        <v>Functional Area 6, Shift 2</v>
      </c>
      <c r="AH1" s="1" t="str">
        <f>'Summary Data'!BG10</f>
        <v>Functional Area 6, Shift 3</v>
      </c>
      <c r="AI1" s="1" t="str">
        <f>'Summary Data'!BH10</f>
        <v>Functional Area 6, Shift 4</v>
      </c>
      <c r="AJ1" s="1" t="str">
        <f>'Summary Data'!BI10</f>
        <v>Functional Area 6, Shift 5</v>
      </c>
      <c r="AK1" s="1" t="str">
        <f>'Summary Data'!BJ10</f>
        <v>Functional Area 7, Shift 1</v>
      </c>
      <c r="AL1" s="1" t="str">
        <f>'Summary Data'!BK10</f>
        <v>Functional Area 7, Shift 2</v>
      </c>
      <c r="AM1" s="1" t="str">
        <f>'Summary Data'!BL10</f>
        <v>Functional Area 7, Shift 3</v>
      </c>
      <c r="AN1" s="1" t="str">
        <f>'Summary Data'!BM10</f>
        <v>Functional Area 7, Shift 4</v>
      </c>
      <c r="AO1" s="1" t="str">
        <f>'Summary Data'!BN10</f>
        <v>Functional Area 7, Shift 5</v>
      </c>
      <c r="AP1" s="1" t="str">
        <f>'Summary Data'!BO10</f>
        <v>Functional Area 8, Shift 1</v>
      </c>
      <c r="AQ1" s="1" t="str">
        <f>'Summary Data'!BP10</f>
        <v>Functional Area 8, Shift 2</v>
      </c>
      <c r="AR1" s="1" t="str">
        <f>'Summary Data'!BQ10</f>
        <v>Functional Area 8, Shift 3</v>
      </c>
      <c r="AS1" s="1" t="str">
        <f>'Summary Data'!BR10</f>
        <v>Functional Area 8, Shift 4</v>
      </c>
      <c r="AT1" s="1" t="str">
        <f>'Summary Data'!BS10</f>
        <v>Functional Area 8, Shift 5</v>
      </c>
      <c r="AU1" s="1" t="str">
        <f>'Summary Data'!BT10</f>
        <v>Functional Area 9, Shift 1</v>
      </c>
      <c r="AV1" s="1" t="str">
        <f>'Summary Data'!BU10</f>
        <v>Functional Area 9, Shift 2</v>
      </c>
      <c r="AW1" s="1" t="str">
        <f>'Summary Data'!BV10</f>
        <v>Functional Area 9, Shift 3</v>
      </c>
      <c r="AX1" s="1" t="str">
        <f>'Summary Data'!BW10</f>
        <v>Functional Area 9, Shift 4</v>
      </c>
      <c r="AY1" s="1" t="str">
        <f>'Summary Data'!BX10</f>
        <v>Functional Area 9, Shift 5</v>
      </c>
      <c r="AZ1" s="1" t="str">
        <f>'Summary Data'!BY10</f>
        <v>Functional Area 10, Shift 1</v>
      </c>
      <c r="BA1" s="1" t="str">
        <f>'Summary Data'!BZ10</f>
        <v>Functional Area 10, Shift 2</v>
      </c>
      <c r="BB1" s="1" t="str">
        <f>'Summary Data'!CA10</f>
        <v>Functional Area 10, Shift 3</v>
      </c>
      <c r="BC1" s="1" t="str">
        <f>'Summary Data'!CB10</f>
        <v>Functional Area 10, Shift 4</v>
      </c>
      <c r="BD1" s="1" t="str">
        <f>'Summary Data'!CC10</f>
        <v>Functional Area 10, Shift 5</v>
      </c>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row>
    <row r="2" spans="1:85" x14ac:dyDescent="0.2">
      <c r="A2" s="1" t="str">
        <f>IF('Data entry'!B6="","",'Data entry'!B6)</f>
        <v/>
      </c>
      <c r="B2" s="1" t="str">
        <f>IF('Data entry'!O6="","",'Data entry'!O6)</f>
        <v/>
      </c>
      <c r="C2" s="321" t="str">
        <f>IF('Data entry'!R6="","",'Data entry'!R6)</f>
        <v/>
      </c>
      <c r="D2" s="1" t="str">
        <f>IF('Data entry'!AO6="","",'Data entry'!AO6)</f>
        <v/>
      </c>
      <c r="E2" s="1" t="str">
        <f>IF('Data entry'!AP6="","",'Data entry'!AP6)</f>
        <v/>
      </c>
      <c r="F2" s="1" t="str">
        <f>IF('Data entry'!AQ6="","",'Data entry'!AQ6)</f>
        <v/>
      </c>
      <c r="G2" t="str">
        <f>IF($C2="","",(SUM(COUNTIFS('Data entry'!$R$6:$R$200,$C2,'Data entry'!$B$6:$B$200,{"Confirmed";"Probable"},'Data entry'!$AQ$6:$AQ$200,'Data Validation'!$V$2, 'Data entry'!$AP$6:$AP$200,'Data Validation'!$U$2, 'Data entry'!$BD$6:$BD$200,"&lt;&gt;*Negative*"))))</f>
        <v/>
      </c>
      <c r="H2" t="str">
        <f>IF($C2="","",(SUM(COUNTIFS('Data entry'!$R$6:$R$200,$C2,'Data entry'!$B$6:$B$200,{"Confirmed";"Probable"},'Data entry'!$AQ$6:$AQ$200,'Data Validation'!$V$2, 'Data entry'!$AP$6:$AP$200,'Data Validation'!$U$3, 'Data entry'!$BD$6:$BD$200,"&lt;&gt;*Negative*"))))</f>
        <v/>
      </c>
      <c r="I2" t="str">
        <f>IF($C2="","",(SUM(COUNTIFS('Data entry'!$R$6:$R$200,$C2,'Data entry'!$B$6:$B$200,{"Confirmed";"Probable"},'Data entry'!$AQ$6:$AQ$200,'Data Validation'!$V$2, 'Data entry'!$AP$6:$AP$200,'Data Validation'!$U$4, 'Data entry'!$BD$6:$BD$200,"&lt;&gt;*Negative*"))))</f>
        <v/>
      </c>
      <c r="J2" t="str">
        <f>IF($C2="","",(SUM(COUNTIFS('Data entry'!$R$6:$R$200,$C2,'Data entry'!$B$6:$B$200,{"Confirmed";"Probable"},'Data entry'!$AQ$6:$AQ$200,'Data Validation'!$V$2, 'Data entry'!$AP$6:$AP$200,'Data Validation'!$U$5, 'Data entry'!$BD$6:$BD$200,"&lt;&gt;*Negative*"))))</f>
        <v/>
      </c>
      <c r="K2" t="str">
        <f>IF($C2="","",(SUM(COUNTIFS('Data entry'!$R$6:$R$200,$C2,'Data entry'!$B$6:$B$200,{"Confirmed";"Probable"},'Data entry'!$AQ$6:$AQ$200,'Data Validation'!$V$2, 'Data entry'!$AP$6:$AP$200,'Data Validation'!$U$6, 'Data entry'!$BD$6:$BD$200,"&lt;&gt;*Negative*"))))</f>
        <v/>
      </c>
      <c r="L2" t="str">
        <f>IF($C2="","",(SUM(COUNTIFS('Data entry'!$R$6:$R$200,$C2,'Data entry'!$B$6:$B$200,{"Confirmed";"Probable"},'Data entry'!$AQ$6:$AQ$200,'Data Validation'!$V$3, 'Data entry'!$AP$6:$AP$200,'Data Validation'!$U$2, 'Data entry'!$BD$6:$BD$200,"&lt;&gt;*Negative*"))))</f>
        <v/>
      </c>
      <c r="M2" t="str">
        <f>IF($C2="","",(SUM(COUNTIFS('Data entry'!$R$6:$R$200,$C2,'Data entry'!$B$6:$B$200,{"Confirmed";"Probable"},'Data entry'!$AQ$6:$AQ$200,'Data Validation'!$V$3, 'Data entry'!$AP$6:$AP$200,'Data Validation'!$U$3, 'Data entry'!$BD$6:$BD$200,"&lt;&gt;*Negative*"))))</f>
        <v/>
      </c>
      <c r="N2" t="str">
        <f>IF($C2="","",(SUM(COUNTIFS('Data entry'!$R$6:$R$200,$C2,'Data entry'!$B$6:$B$200,{"Confirmed";"Probable"},'Data entry'!$AQ$6:$AQ$200,'Data Validation'!$V$3, 'Data entry'!$AP$6:$AP$200,'Data Validation'!$U$4, 'Data entry'!$BD$6:$BD$200,"&lt;&gt;*Negative*"))))</f>
        <v/>
      </c>
      <c r="O2" t="str">
        <f>IF($C2="","",(SUM(COUNTIFS('Data entry'!$R$6:$R$200,$C2,'Data entry'!$B$6:$B$200,{"Confirmed";"Probable"},'Data entry'!$AQ$6:$AQ$200,'Data Validation'!$V$3, 'Data entry'!$AP$6:$AP$200,'Data Validation'!$U$5, 'Data entry'!$BD$6:$BD$200,"&lt;&gt;*Negative*"))))</f>
        <v/>
      </c>
      <c r="P2" t="str">
        <f>IF($C2="","",(SUM(COUNTIFS('Data entry'!$R$6:$R$200,$C2,'Data entry'!$B$6:$B$200,{"Confirmed";"Probable"},'Data entry'!$AQ$6:$AQ$200,'Data Validation'!$V$3, 'Data entry'!$AP$6:$AP$200,'Data Validation'!$U$6, 'Data entry'!$BD$6:$BD$200,"&lt;&gt;*Negative*"))))</f>
        <v/>
      </c>
    </row>
    <row r="3" spans="1:85" x14ac:dyDescent="0.2">
      <c r="A3" s="1" t="str">
        <f>IF('Data entry'!B7="","",'Data entry'!B7)</f>
        <v/>
      </c>
      <c r="B3" s="1" t="str">
        <f>IF('Data entry'!O7="","",'Data entry'!O7)</f>
        <v/>
      </c>
      <c r="C3" s="321" t="str">
        <f>IF('Data entry'!R7="","",'Data entry'!R7)</f>
        <v/>
      </c>
      <c r="D3" s="1" t="str">
        <f>IF('Data entry'!AO7="","",'Data entry'!AO7)</f>
        <v/>
      </c>
      <c r="E3" s="1" t="str">
        <f>IF('Data entry'!AP7="","",'Data entry'!AP7)</f>
        <v/>
      </c>
      <c r="F3" s="1" t="str">
        <f>IF('Data entry'!AQ7="","",'Data entry'!AQ7)</f>
        <v/>
      </c>
      <c r="G3" t="str">
        <f>IF($C3="","",(SUM(COUNTIFS('Data entry'!$R$6:$R$200,$C3,'Data entry'!$B$6:$B$200,{"Confirmed";"Probable"},'Data entry'!$AQ$6:$AQ$200,'Data Validation'!$V$2, 'Data entry'!$AP$6:$AP$200,'Data Validation'!$U$2, 'Data entry'!$BD$6:$BD$200,"&lt;&gt;*Negative*"))))</f>
        <v/>
      </c>
      <c r="H3" t="str">
        <f>IF($C3="","",(SUM(COUNTIFS('Data entry'!$R$6:$R$200,$C3,'Data entry'!$B$6:$B$200,{"Confirmed";"Probable"},'Data entry'!$AQ$6:$AQ$200,'Data Validation'!$V$2, 'Data entry'!$AP$6:$AP$200,'Data Validation'!$U$3, 'Data entry'!$BD$6:$BD$200,"&lt;&gt;*Negative*"))))</f>
        <v/>
      </c>
      <c r="I3" t="str">
        <f>IF($C3="","",(SUM(COUNTIFS('Data entry'!$R$6:$R$200,$C3,'Data entry'!$B$6:$B$200,{"Confirmed";"Probable"},'Data entry'!$AQ$6:$AQ$200,'Data Validation'!$V$2, 'Data entry'!$AP$6:$AP$200,'Data Validation'!$U$4, 'Data entry'!$BD$6:$BD$200,"&lt;&gt;*Negative*"))))</f>
        <v/>
      </c>
      <c r="J3" t="str">
        <f>IF($C3="","",(SUM(COUNTIFS('Data entry'!$R$6:$R$200,$C3,'Data entry'!$B$6:$B$200,{"Confirmed";"Probable"},'Data entry'!$AQ$6:$AQ$200,'Data Validation'!$V$2, 'Data entry'!$AP$6:$AP$200,'Data Validation'!$U$5, 'Data entry'!$BD$6:$BD$200,"&lt;&gt;*Negative*"))))</f>
        <v/>
      </c>
      <c r="K3" t="str">
        <f>IF($C3="","",(SUM(COUNTIFS('Data entry'!$R$6:$R$200,$C3,'Data entry'!$B$6:$B$200,{"Confirmed";"Probable"},'Data entry'!$AQ$6:$AQ$200,'Data Validation'!$V$2, 'Data entry'!$AP$6:$AP$200,'Data Validation'!$U$6, 'Data entry'!$BD$6:$BD$200,"&lt;&gt;*Negative*"))))</f>
        <v/>
      </c>
      <c r="L3" t="str">
        <f>IF($C3="","",(SUM(COUNTIFS('Data entry'!$R$6:$R$200,$C3,'Data entry'!$B$6:$B$200,{"Confirmed";"Probable"},'Data entry'!$AQ$6:$AQ$200,'Data Validation'!$V$3, 'Data entry'!$AP$6:$AP$200,'Data Validation'!$U$2, 'Data entry'!$BD$6:$BD$200,"&lt;&gt;*Negative*"))))</f>
        <v/>
      </c>
      <c r="M3" t="str">
        <f>IF($C3="","",(SUM(COUNTIFS('Data entry'!$R$6:$R$200,$C3,'Data entry'!$B$6:$B$200,{"Confirmed";"Probable"},'Data entry'!$AQ$6:$AQ$200,'Data Validation'!$V$3, 'Data entry'!$AP$6:$AP$200,'Data Validation'!$U$3, 'Data entry'!$BD$6:$BD$200,"&lt;&gt;*Negative*"))))</f>
        <v/>
      </c>
      <c r="N3" t="str">
        <f>IF($C3="","",(SUM(COUNTIFS('Data entry'!$R$6:$R$200,$C3,'Data entry'!$B$6:$B$200,{"Confirmed";"Probable"},'Data entry'!$AQ$6:$AQ$200,'Data Validation'!$V$3, 'Data entry'!$AP$6:$AP$200,'Data Validation'!$U$4, 'Data entry'!$BD$6:$BD$200,"&lt;&gt;*Negative*"))))</f>
        <v/>
      </c>
      <c r="O3" t="str">
        <f>IF($C3="","",(SUM(COUNTIFS('Data entry'!$R$6:$R$200,$C3,'Data entry'!$B$6:$B$200,{"Confirmed";"Probable"},'Data entry'!$AQ$6:$AQ$200,'Data Validation'!$V$3, 'Data entry'!$AP$6:$AP$200,'Data Validation'!$U$5, 'Data entry'!$BD$6:$BD$200,"&lt;&gt;*Negative*"))))</f>
        <v/>
      </c>
      <c r="P3" t="str">
        <f>IF($C3="","",(SUM(COUNTIFS('Data entry'!$R$6:$R$200,$C3,'Data entry'!$B$6:$B$200,{"Confirmed";"Probable"},'Data entry'!$AQ$6:$AQ$200,'Data Validation'!$V$3, 'Data entry'!$AP$6:$AP$200,'Data Validation'!$U$6, 'Data entry'!$BD$6:$BD$200,"&lt;&gt;*Negative*"))))</f>
        <v/>
      </c>
    </row>
    <row r="4" spans="1:85" x14ac:dyDescent="0.2">
      <c r="A4" s="1" t="str">
        <f>IF('Data entry'!B8="","",'Data entry'!B8)</f>
        <v/>
      </c>
      <c r="B4" s="1" t="str">
        <f>IF('Data entry'!O8="","",'Data entry'!O8)</f>
        <v/>
      </c>
      <c r="C4" s="321" t="str">
        <f>IF('Data entry'!R8="","",'Data entry'!R8)</f>
        <v/>
      </c>
      <c r="D4" s="1" t="str">
        <f>IF('Data entry'!AO8="","",'Data entry'!AO8)</f>
        <v/>
      </c>
      <c r="E4" s="1" t="str">
        <f>IF('Data entry'!AP8="","",'Data entry'!AP8)</f>
        <v/>
      </c>
      <c r="F4" s="1" t="str">
        <f>IF('Data entry'!AQ8="","",'Data entry'!AQ8)</f>
        <v/>
      </c>
      <c r="G4" t="str">
        <f>IF($C4="","",(SUM(COUNTIFS('Data entry'!$R$6:$R$200,$C4,'Data entry'!$B$6:$B$200,{"Confirmed";"Probable"},'Data entry'!$AQ$6:$AQ$200,'Data Validation'!$V$2, 'Data entry'!$AP$6:$AP$200,'Data Validation'!$U$2, 'Data entry'!$BD$6:$BD$200,"&lt;&gt;*Negative*"))))</f>
        <v/>
      </c>
      <c r="H4" t="str">
        <f>IF($C4="","",(SUM(COUNTIFS('Data entry'!$R$6:$R$200,$C4,'Data entry'!$B$6:$B$200,{"Confirmed";"Probable"},'Data entry'!$AQ$6:$AQ$200,'Data Validation'!$V$2, 'Data entry'!$AP$6:$AP$200,'Data Validation'!$U$3, 'Data entry'!$BD$6:$BD$200,"&lt;&gt;*Negative*"))))</f>
        <v/>
      </c>
      <c r="I4" t="str">
        <f>IF($C4="","",(SUM(COUNTIFS('Data entry'!$R$6:$R$200,$C4,'Data entry'!$B$6:$B$200,{"Confirmed";"Probable"},'Data entry'!$AQ$6:$AQ$200,'Data Validation'!$V$2, 'Data entry'!$AP$6:$AP$200,'Data Validation'!$U$4, 'Data entry'!$BD$6:$BD$200,"&lt;&gt;*Negative*"))))</f>
        <v/>
      </c>
      <c r="J4" t="str">
        <f>IF($C4="","",(SUM(COUNTIFS('Data entry'!$R$6:$R$200,$C4,'Data entry'!$B$6:$B$200,{"Confirmed";"Probable"},'Data entry'!$AQ$6:$AQ$200,'Data Validation'!$V$2, 'Data entry'!$AP$6:$AP$200,'Data Validation'!$U$5, 'Data entry'!$BD$6:$BD$200,"&lt;&gt;*Negative*"))))</f>
        <v/>
      </c>
      <c r="K4" t="str">
        <f>IF($C4="","",(SUM(COUNTIFS('Data entry'!$R$6:$R$200,$C4,'Data entry'!$B$6:$B$200,{"Confirmed";"Probable"},'Data entry'!$AQ$6:$AQ$200,'Data Validation'!$V$2, 'Data entry'!$AP$6:$AP$200,'Data Validation'!$U$6, 'Data entry'!$BD$6:$BD$200,"&lt;&gt;*Negative*"))))</f>
        <v/>
      </c>
      <c r="L4" t="str">
        <f>IF($C4="","",(SUM(COUNTIFS('Data entry'!$R$6:$R$200,$C4,'Data entry'!$B$6:$B$200,{"Confirmed";"Probable"},'Data entry'!$AQ$6:$AQ$200,'Data Validation'!$V$3, 'Data entry'!$AP$6:$AP$200,'Data Validation'!$U$2, 'Data entry'!$BD$6:$BD$200,"&lt;&gt;*Negative*"))))</f>
        <v/>
      </c>
      <c r="M4" t="str">
        <f>IF($C4="","",(SUM(COUNTIFS('Data entry'!$R$6:$R$200,$C4,'Data entry'!$B$6:$B$200,{"Confirmed";"Probable"},'Data entry'!$AQ$6:$AQ$200,'Data Validation'!$V$3, 'Data entry'!$AP$6:$AP$200,'Data Validation'!$U$3, 'Data entry'!$BD$6:$BD$200,"&lt;&gt;*Negative*"))))</f>
        <v/>
      </c>
      <c r="N4" t="str">
        <f>IF($C4="","",(SUM(COUNTIFS('Data entry'!$R$6:$R$200,$C4,'Data entry'!$B$6:$B$200,{"Confirmed";"Probable"},'Data entry'!$AQ$6:$AQ$200,'Data Validation'!$V$3, 'Data entry'!$AP$6:$AP$200,'Data Validation'!$U$4, 'Data entry'!$BD$6:$BD$200,"&lt;&gt;*Negative*"))))</f>
        <v/>
      </c>
      <c r="O4" t="str">
        <f>IF($C4="","",(SUM(COUNTIFS('Data entry'!$R$6:$R$200,$C4,'Data entry'!$B$6:$B$200,{"Confirmed";"Probable"},'Data entry'!$AQ$6:$AQ$200,'Data Validation'!$V$3, 'Data entry'!$AP$6:$AP$200,'Data Validation'!$U$5, 'Data entry'!$BD$6:$BD$200,"&lt;&gt;*Negative*"))))</f>
        <v/>
      </c>
      <c r="P4" t="str">
        <f>IF($C4="","",(SUM(COUNTIFS('Data entry'!$R$6:$R$200,$C4,'Data entry'!$B$6:$B$200,{"Confirmed";"Probable"},'Data entry'!$AQ$6:$AQ$200,'Data Validation'!$V$3, 'Data entry'!$AP$6:$AP$200,'Data Validation'!$U$6, 'Data entry'!$BD$6:$BD$200,"&lt;&gt;*Negative*"))))</f>
        <v/>
      </c>
    </row>
    <row r="5" spans="1:85" x14ac:dyDescent="0.2">
      <c r="A5" s="1" t="str">
        <f>IF('Data entry'!B9="","",'Data entry'!B9)</f>
        <v/>
      </c>
      <c r="B5" s="1" t="str">
        <f>IF('Data entry'!O9="","",'Data entry'!O9)</f>
        <v/>
      </c>
      <c r="C5" s="321" t="str">
        <f>IF('Data entry'!R9="","",'Data entry'!R9)</f>
        <v/>
      </c>
      <c r="D5" s="1" t="str">
        <f>IF('Data entry'!AO9="","",'Data entry'!AO9)</f>
        <v/>
      </c>
      <c r="E5" s="1" t="str">
        <f>IF('Data entry'!AP9="","",'Data entry'!AP9)</f>
        <v/>
      </c>
      <c r="F5" s="1" t="str">
        <f>IF('Data entry'!AQ9="","",'Data entry'!AQ9)</f>
        <v/>
      </c>
      <c r="G5" t="str">
        <f>IF($C5="","",(SUM(COUNTIFS('Data entry'!$R$6:$R$200,$C5,'Data entry'!$B$6:$B$200,{"Confirmed";"Probable"},'Data entry'!$AQ$6:$AQ$200,'Data Validation'!$V$2, 'Data entry'!$AP$6:$AP$200,'Data Validation'!$U$2, 'Data entry'!$BD$6:$BD$200,"&lt;&gt;*Negative*"))))</f>
        <v/>
      </c>
      <c r="H5" t="str">
        <f>IF($C5="","",(SUM(COUNTIFS('Data entry'!$R$6:$R$200,$C5,'Data entry'!$B$6:$B$200,{"Confirmed";"Probable"},'Data entry'!$AQ$6:$AQ$200,'Data Validation'!$V$2, 'Data entry'!$AP$6:$AP$200,'Data Validation'!$U$3, 'Data entry'!$BD$6:$BD$200,"&lt;&gt;*Negative*"))))</f>
        <v/>
      </c>
      <c r="I5" t="str">
        <f>IF($C5="","",(SUM(COUNTIFS('Data entry'!$R$6:$R$200,$C5,'Data entry'!$B$6:$B$200,{"Confirmed";"Probable"},'Data entry'!$AQ$6:$AQ$200,'Data Validation'!$V$2, 'Data entry'!$AP$6:$AP$200,'Data Validation'!$U$4, 'Data entry'!$BD$6:$BD$200,"&lt;&gt;*Negative*"))))</f>
        <v/>
      </c>
      <c r="J5" t="str">
        <f>IF($C5="","",(SUM(COUNTIFS('Data entry'!$R$6:$R$200,$C5,'Data entry'!$B$6:$B$200,{"Confirmed";"Probable"},'Data entry'!$AQ$6:$AQ$200,'Data Validation'!$V$2, 'Data entry'!$AP$6:$AP$200,'Data Validation'!$U$5, 'Data entry'!$BD$6:$BD$200,"&lt;&gt;*Negative*"))))</f>
        <v/>
      </c>
      <c r="K5" t="str">
        <f>IF($C5="","",(SUM(COUNTIFS('Data entry'!$R$6:$R$200,$C5,'Data entry'!$B$6:$B$200,{"Confirmed";"Probable"},'Data entry'!$AQ$6:$AQ$200,'Data Validation'!$V$2, 'Data entry'!$AP$6:$AP$200,'Data Validation'!$U$6, 'Data entry'!$BD$6:$BD$200,"&lt;&gt;*Negative*"))))</f>
        <v/>
      </c>
      <c r="L5" t="str">
        <f>IF($C5="","",(SUM(COUNTIFS('Data entry'!$R$6:$R$200,$C5,'Data entry'!$B$6:$B$200,{"Confirmed";"Probable"},'Data entry'!$AQ$6:$AQ$200,'Data Validation'!$V$3, 'Data entry'!$AP$6:$AP$200,'Data Validation'!$U$2, 'Data entry'!$BD$6:$BD$200,"&lt;&gt;*Negative*"))))</f>
        <v/>
      </c>
      <c r="M5" t="str">
        <f>IF($C5="","",(SUM(COUNTIFS('Data entry'!$R$6:$R$200,$C5,'Data entry'!$B$6:$B$200,{"Confirmed";"Probable"},'Data entry'!$AQ$6:$AQ$200,'Data Validation'!$V$3, 'Data entry'!$AP$6:$AP$200,'Data Validation'!$U$3, 'Data entry'!$BD$6:$BD$200,"&lt;&gt;*Negative*"))))</f>
        <v/>
      </c>
      <c r="N5" t="str">
        <f>IF($C5="","",(SUM(COUNTIFS('Data entry'!$R$6:$R$200,$C5,'Data entry'!$B$6:$B$200,{"Confirmed";"Probable"},'Data entry'!$AQ$6:$AQ$200,'Data Validation'!$V$3, 'Data entry'!$AP$6:$AP$200,'Data Validation'!$U$4, 'Data entry'!$BD$6:$BD$200,"&lt;&gt;*Negative*"))))</f>
        <v/>
      </c>
      <c r="O5" t="str">
        <f>IF($C5="","",(SUM(COUNTIFS('Data entry'!$R$6:$R$200,$C5,'Data entry'!$B$6:$B$200,{"Confirmed";"Probable"},'Data entry'!$AQ$6:$AQ$200,'Data Validation'!$V$3, 'Data entry'!$AP$6:$AP$200,'Data Validation'!$U$5, 'Data entry'!$BD$6:$BD$200,"&lt;&gt;*Negative*"))))</f>
        <v/>
      </c>
      <c r="P5" t="str">
        <f>IF($C5="","",(SUM(COUNTIFS('Data entry'!$R$6:$R$200,$C5,'Data entry'!$B$6:$B$200,{"Confirmed";"Probable"},'Data entry'!$AQ$6:$AQ$200,'Data Validation'!$V$3, 'Data entry'!$AP$6:$AP$200,'Data Validation'!$U$6, 'Data entry'!$BD$6:$BD$200,"&lt;&gt;*Negative*"))))</f>
        <v/>
      </c>
    </row>
    <row r="6" spans="1:85" x14ac:dyDescent="0.2">
      <c r="A6" s="1" t="str">
        <f>IF('Data entry'!B10="","",'Data entry'!B10)</f>
        <v/>
      </c>
      <c r="B6" s="1" t="str">
        <f>IF('Data entry'!O10="","",'Data entry'!O10)</f>
        <v/>
      </c>
      <c r="C6" s="321" t="str">
        <f>IF('Data entry'!R10="","",'Data entry'!R10)</f>
        <v/>
      </c>
      <c r="D6" s="1" t="str">
        <f>IF('Data entry'!AO10="","",'Data entry'!AO10)</f>
        <v/>
      </c>
      <c r="E6" s="1" t="str">
        <f>IF('Data entry'!AP10="","",'Data entry'!AP10)</f>
        <v/>
      </c>
      <c r="F6" s="1" t="str">
        <f>IF('Data entry'!AQ10="","",'Data entry'!AQ10)</f>
        <v/>
      </c>
      <c r="G6" t="str">
        <f>IF($C6="","",(SUM(COUNTIFS('Data entry'!$R$6:$R$200,$C6,'Data entry'!$B$6:$B$200,{"Confirmed";"Probable"},'Data entry'!$AQ$6:$AQ$200,'Data Validation'!$V$2, 'Data entry'!$AP$6:$AP$200,'Data Validation'!$U$2, 'Data entry'!$BD$6:$BD$200,"&lt;&gt;*Negative*"))))</f>
        <v/>
      </c>
      <c r="H6" t="str">
        <f>IF($C6="","",(SUM(COUNTIFS('Data entry'!$R$6:$R$200,$C6,'Data entry'!$B$6:$B$200,{"Confirmed";"Probable"},'Data entry'!$AQ$6:$AQ$200,'Data Validation'!$V$2, 'Data entry'!$AP$6:$AP$200,'Data Validation'!$U$3, 'Data entry'!$BD$6:$BD$200,"&lt;&gt;*Negative*"))))</f>
        <v/>
      </c>
      <c r="I6" t="str">
        <f>IF($C6="","",(SUM(COUNTIFS('Data entry'!$R$6:$R$200,$C6,'Data entry'!$B$6:$B$200,{"Confirmed";"Probable"},'Data entry'!$AQ$6:$AQ$200,'Data Validation'!$V$2, 'Data entry'!$AP$6:$AP$200,'Data Validation'!$U$4, 'Data entry'!$BD$6:$BD$200,"&lt;&gt;*Negative*"))))</f>
        <v/>
      </c>
      <c r="J6" t="str">
        <f>IF($C6="","",(SUM(COUNTIFS('Data entry'!$R$6:$R$200,$C6,'Data entry'!$B$6:$B$200,{"Confirmed";"Probable"},'Data entry'!$AQ$6:$AQ$200,'Data Validation'!$V$2, 'Data entry'!$AP$6:$AP$200,'Data Validation'!$U$5, 'Data entry'!$BD$6:$BD$200,"&lt;&gt;*Negative*"))))</f>
        <v/>
      </c>
      <c r="K6" t="str">
        <f>IF($C6="","",(SUM(COUNTIFS('Data entry'!$R$6:$R$200,$C6,'Data entry'!$B$6:$B$200,{"Confirmed";"Probable"},'Data entry'!$AQ$6:$AQ$200,'Data Validation'!$V$2, 'Data entry'!$AP$6:$AP$200,'Data Validation'!$U$6, 'Data entry'!$BD$6:$BD$200,"&lt;&gt;*Negative*"))))</f>
        <v/>
      </c>
      <c r="L6" t="str">
        <f>IF($C6="","",(SUM(COUNTIFS('Data entry'!$R$6:$R$200,$C6,'Data entry'!$B$6:$B$200,{"Confirmed";"Probable"},'Data entry'!$AQ$6:$AQ$200,'Data Validation'!$V$3, 'Data entry'!$AP$6:$AP$200,'Data Validation'!$U$2, 'Data entry'!$BD$6:$BD$200,"&lt;&gt;*Negative*"))))</f>
        <v/>
      </c>
      <c r="M6" t="str">
        <f>IF($C6="","",(SUM(COUNTIFS('Data entry'!$R$6:$R$200,$C6,'Data entry'!$B$6:$B$200,{"Confirmed";"Probable"},'Data entry'!$AQ$6:$AQ$200,'Data Validation'!$V$3, 'Data entry'!$AP$6:$AP$200,'Data Validation'!$U$3, 'Data entry'!$BD$6:$BD$200,"&lt;&gt;*Negative*"))))</f>
        <v/>
      </c>
      <c r="N6" t="str">
        <f>IF($C6="","",(SUM(COUNTIFS('Data entry'!$R$6:$R$200,$C6,'Data entry'!$B$6:$B$200,{"Confirmed";"Probable"},'Data entry'!$AQ$6:$AQ$200,'Data Validation'!$V$3, 'Data entry'!$AP$6:$AP$200,'Data Validation'!$U$4, 'Data entry'!$BD$6:$BD$200,"&lt;&gt;*Negative*"))))</f>
        <v/>
      </c>
      <c r="O6" t="str">
        <f>IF($C6="","",(SUM(COUNTIFS('Data entry'!$R$6:$R$200,$C6,'Data entry'!$B$6:$B$200,{"Confirmed";"Probable"},'Data entry'!$AQ$6:$AQ$200,'Data Validation'!$V$3, 'Data entry'!$AP$6:$AP$200,'Data Validation'!$U$5, 'Data entry'!$BD$6:$BD$200,"&lt;&gt;*Negative*"))))</f>
        <v/>
      </c>
      <c r="P6" t="str">
        <f>IF($C6="","",(SUM(COUNTIFS('Data entry'!$R$6:$R$200,$C6,'Data entry'!$B$6:$B$200,{"Confirmed";"Probable"},'Data entry'!$AQ$6:$AQ$200,'Data Validation'!$V$3, 'Data entry'!$AP$6:$AP$200,'Data Validation'!$U$6, 'Data entry'!$BD$6:$BD$200,"&lt;&gt;*Negative*"))))</f>
        <v/>
      </c>
    </row>
    <row r="7" spans="1:85" x14ac:dyDescent="0.2">
      <c r="A7" s="1" t="str">
        <f>IF('Data entry'!B11="","",'Data entry'!B11)</f>
        <v/>
      </c>
      <c r="B7" s="1" t="str">
        <f>IF('Data entry'!O11="","",'Data entry'!O11)</f>
        <v/>
      </c>
      <c r="C7" s="321" t="str">
        <f>IF('Data entry'!R11="","",'Data entry'!R11)</f>
        <v/>
      </c>
      <c r="D7" s="1" t="str">
        <f>IF('Data entry'!AO11="","",'Data entry'!AO11)</f>
        <v/>
      </c>
      <c r="E7" s="1" t="str">
        <f>IF('Data entry'!AP11="","",'Data entry'!AP11)</f>
        <v/>
      </c>
      <c r="F7" s="1" t="str">
        <f>IF('Data entry'!AQ11="","",'Data entry'!AQ11)</f>
        <v/>
      </c>
      <c r="G7" t="str">
        <f>IF($C7="","",(SUM(COUNTIFS('Data entry'!$R$6:$R$200,$C7,'Data entry'!$B$6:$B$200,{"Confirmed";"Probable"},'Data entry'!$AQ$6:$AQ$200,'Data Validation'!$V$2, 'Data entry'!$AP$6:$AP$200,'Data Validation'!$U$2, 'Data entry'!$BD$6:$BD$200,"&lt;&gt;*Negative*"))))</f>
        <v/>
      </c>
      <c r="H7" t="str">
        <f>IF($C7="","",(SUM(COUNTIFS('Data entry'!$R$6:$R$200,$C7,'Data entry'!$B$6:$B$200,{"Confirmed";"Probable"},'Data entry'!$AQ$6:$AQ$200,'Data Validation'!$V$2, 'Data entry'!$AP$6:$AP$200,'Data Validation'!$U$3, 'Data entry'!$BD$6:$BD$200,"&lt;&gt;*Negative*"))))</f>
        <v/>
      </c>
      <c r="I7" t="str">
        <f>IF($C7="","",(SUM(COUNTIFS('Data entry'!$R$6:$R$200,$C7,'Data entry'!$B$6:$B$200,{"Confirmed";"Probable"},'Data entry'!$AQ$6:$AQ$200,'Data Validation'!$V$2, 'Data entry'!$AP$6:$AP$200,'Data Validation'!$U$4, 'Data entry'!$BD$6:$BD$200,"&lt;&gt;*Negative*"))))</f>
        <v/>
      </c>
      <c r="J7" t="str">
        <f>IF($C7="","",(SUM(COUNTIFS('Data entry'!$R$6:$R$200,$C7,'Data entry'!$B$6:$B$200,{"Confirmed";"Probable"},'Data entry'!$AQ$6:$AQ$200,'Data Validation'!$V$2, 'Data entry'!$AP$6:$AP$200,'Data Validation'!$U$5, 'Data entry'!$BD$6:$BD$200,"&lt;&gt;*Negative*"))))</f>
        <v/>
      </c>
      <c r="K7" t="str">
        <f>IF($C7="","",(SUM(COUNTIFS('Data entry'!$R$6:$R$200,$C7,'Data entry'!$B$6:$B$200,{"Confirmed";"Probable"},'Data entry'!$AQ$6:$AQ$200,'Data Validation'!$V$2, 'Data entry'!$AP$6:$AP$200,'Data Validation'!$U$6, 'Data entry'!$BD$6:$BD$200,"&lt;&gt;*Negative*"))))</f>
        <v/>
      </c>
      <c r="L7" t="str">
        <f>IF($C7="","",(SUM(COUNTIFS('Data entry'!$R$6:$R$200,$C7,'Data entry'!$B$6:$B$200,{"Confirmed";"Probable"},'Data entry'!$AQ$6:$AQ$200,'Data Validation'!$V$3, 'Data entry'!$AP$6:$AP$200,'Data Validation'!$U$2, 'Data entry'!$BD$6:$BD$200,"&lt;&gt;*Negative*"))))</f>
        <v/>
      </c>
      <c r="M7" t="str">
        <f>IF($C7="","",(SUM(COUNTIFS('Data entry'!$R$6:$R$200,$C7,'Data entry'!$B$6:$B$200,{"Confirmed";"Probable"},'Data entry'!$AQ$6:$AQ$200,'Data Validation'!$V$3, 'Data entry'!$AP$6:$AP$200,'Data Validation'!$U$3, 'Data entry'!$BD$6:$BD$200,"&lt;&gt;*Negative*"))))</f>
        <v/>
      </c>
      <c r="N7" t="str">
        <f>IF($C7="","",(SUM(COUNTIFS('Data entry'!$R$6:$R$200,$C7,'Data entry'!$B$6:$B$200,{"Confirmed";"Probable"},'Data entry'!$AQ$6:$AQ$200,'Data Validation'!$V$3, 'Data entry'!$AP$6:$AP$200,'Data Validation'!$U$4, 'Data entry'!$BD$6:$BD$200,"&lt;&gt;*Negative*"))))</f>
        <v/>
      </c>
      <c r="O7" t="str">
        <f>IF($C7="","",(SUM(COUNTIFS('Data entry'!$R$6:$R$200,$C7,'Data entry'!$B$6:$B$200,{"Confirmed";"Probable"},'Data entry'!$AQ$6:$AQ$200,'Data Validation'!$V$3, 'Data entry'!$AP$6:$AP$200,'Data Validation'!$U$5, 'Data entry'!$BD$6:$BD$200,"&lt;&gt;*Negative*"))))</f>
        <v/>
      </c>
      <c r="P7" t="str">
        <f>IF($C7="","",(SUM(COUNTIFS('Data entry'!$R$6:$R$200,$C7,'Data entry'!$B$6:$B$200,{"Confirmed";"Probable"},'Data entry'!$AQ$6:$AQ$200,'Data Validation'!$V$3, 'Data entry'!$AP$6:$AP$200,'Data Validation'!$U$6, 'Data entry'!$BD$6:$BD$200,"&lt;&gt;*Negative*"))))</f>
        <v/>
      </c>
    </row>
    <row r="8" spans="1:85" x14ac:dyDescent="0.2">
      <c r="A8" s="1" t="str">
        <f>IF('Data entry'!B12="","",'Data entry'!B12)</f>
        <v/>
      </c>
      <c r="B8" s="1" t="str">
        <f>IF('Data entry'!O12="","",'Data entry'!O12)</f>
        <v/>
      </c>
      <c r="C8" s="321" t="str">
        <f>IF('Data entry'!R12="","",'Data entry'!R12)</f>
        <v/>
      </c>
      <c r="D8" s="1" t="str">
        <f>IF('Data entry'!AO12="","",'Data entry'!AO12)</f>
        <v/>
      </c>
      <c r="E8" s="1" t="str">
        <f>IF('Data entry'!AP12="","",'Data entry'!AP12)</f>
        <v/>
      </c>
      <c r="F8" s="1" t="str">
        <f>IF('Data entry'!AQ12="","",'Data entry'!AQ12)</f>
        <v/>
      </c>
      <c r="G8" t="str">
        <f>IF($C8="","",(SUM(COUNTIFS('Data entry'!$R$6:$R$200,$C8,'Data entry'!$B$6:$B$200,{"Confirmed";"Probable"},'Data entry'!$AQ$6:$AQ$200,'Data Validation'!$V$2, 'Data entry'!$AP$6:$AP$200,'Data Validation'!$U$2, 'Data entry'!$BD$6:$BD$200,"&lt;&gt;*Negative*"))))</f>
        <v/>
      </c>
      <c r="H8" t="str">
        <f>IF($C8="","",(SUM(COUNTIFS('Data entry'!$R$6:$R$200,$C8,'Data entry'!$B$6:$B$200,{"Confirmed";"Probable"},'Data entry'!$AQ$6:$AQ$200,'Data Validation'!$V$2, 'Data entry'!$AP$6:$AP$200,'Data Validation'!$U$3, 'Data entry'!$BD$6:$BD$200,"&lt;&gt;*Negative*"))))</f>
        <v/>
      </c>
      <c r="I8" t="str">
        <f>IF($C8="","",(SUM(COUNTIFS('Data entry'!$R$6:$R$200,$C8,'Data entry'!$B$6:$B$200,{"Confirmed";"Probable"},'Data entry'!$AQ$6:$AQ$200,'Data Validation'!$V$2, 'Data entry'!$AP$6:$AP$200,'Data Validation'!$U$4, 'Data entry'!$BD$6:$BD$200,"&lt;&gt;*Negative*"))))</f>
        <v/>
      </c>
      <c r="J8" t="str">
        <f>IF($C8="","",(SUM(COUNTIFS('Data entry'!$R$6:$R$200,$C8,'Data entry'!$B$6:$B$200,{"Confirmed";"Probable"},'Data entry'!$AQ$6:$AQ$200,'Data Validation'!$V$2, 'Data entry'!$AP$6:$AP$200,'Data Validation'!$U$5, 'Data entry'!$BD$6:$BD$200,"&lt;&gt;*Negative*"))))</f>
        <v/>
      </c>
      <c r="K8" t="str">
        <f>IF($C8="","",(SUM(COUNTIFS('Data entry'!$R$6:$R$200,$C8,'Data entry'!$B$6:$B$200,{"Confirmed";"Probable"},'Data entry'!$AQ$6:$AQ$200,'Data Validation'!$V$2, 'Data entry'!$AP$6:$AP$200,'Data Validation'!$U$6, 'Data entry'!$BD$6:$BD$200,"&lt;&gt;*Negative*"))))</f>
        <v/>
      </c>
      <c r="L8" t="str">
        <f>IF($C8="","",(SUM(COUNTIFS('Data entry'!$R$6:$R$200,$C8,'Data entry'!$B$6:$B$200,{"Confirmed";"Probable"},'Data entry'!$AQ$6:$AQ$200,'Data Validation'!$V$3, 'Data entry'!$AP$6:$AP$200,'Data Validation'!$U$2, 'Data entry'!$BD$6:$BD$200,"&lt;&gt;*Negative*"))))</f>
        <v/>
      </c>
      <c r="M8" t="str">
        <f>IF($C8="","",(SUM(COUNTIFS('Data entry'!$R$6:$R$200,$C8,'Data entry'!$B$6:$B$200,{"Confirmed";"Probable"},'Data entry'!$AQ$6:$AQ$200,'Data Validation'!$V$3, 'Data entry'!$AP$6:$AP$200,'Data Validation'!$U$3, 'Data entry'!$BD$6:$BD$200,"&lt;&gt;*Negative*"))))</f>
        <v/>
      </c>
      <c r="N8" t="str">
        <f>IF($C8="","",(SUM(COUNTIFS('Data entry'!$R$6:$R$200,$C8,'Data entry'!$B$6:$B$200,{"Confirmed";"Probable"},'Data entry'!$AQ$6:$AQ$200,'Data Validation'!$V$3, 'Data entry'!$AP$6:$AP$200,'Data Validation'!$U$4, 'Data entry'!$BD$6:$BD$200,"&lt;&gt;*Negative*"))))</f>
        <v/>
      </c>
      <c r="O8" t="str">
        <f>IF($C8="","",(SUM(COUNTIFS('Data entry'!$R$6:$R$200,$C8,'Data entry'!$B$6:$B$200,{"Confirmed";"Probable"},'Data entry'!$AQ$6:$AQ$200,'Data Validation'!$V$3, 'Data entry'!$AP$6:$AP$200,'Data Validation'!$U$5, 'Data entry'!$BD$6:$BD$200,"&lt;&gt;*Negative*"))))</f>
        <v/>
      </c>
      <c r="P8" t="str">
        <f>IF($C8="","",(SUM(COUNTIFS('Data entry'!$R$6:$R$200,$C8,'Data entry'!$B$6:$B$200,{"Confirmed";"Probable"},'Data entry'!$AQ$6:$AQ$200,'Data Validation'!$V$3, 'Data entry'!$AP$6:$AP$200,'Data Validation'!$U$6, 'Data entry'!$BD$6:$BD$200,"&lt;&gt;*Negative*"))))</f>
        <v/>
      </c>
    </row>
    <row r="9" spans="1:85" x14ac:dyDescent="0.2">
      <c r="A9" s="1" t="str">
        <f>IF('Data entry'!B13="","",'Data entry'!B13)</f>
        <v/>
      </c>
      <c r="B9" s="1" t="str">
        <f>IF('Data entry'!O13="","",'Data entry'!O13)</f>
        <v/>
      </c>
      <c r="C9" s="321" t="str">
        <f>IF('Data entry'!R13="","",'Data entry'!R13)</f>
        <v/>
      </c>
      <c r="D9" s="1" t="str">
        <f>IF('Data entry'!AO13="","",'Data entry'!AO13)</f>
        <v/>
      </c>
      <c r="E9" s="1" t="str">
        <f>IF('Data entry'!AP13="","",'Data entry'!AP13)</f>
        <v/>
      </c>
      <c r="F9" s="1" t="str">
        <f>IF('Data entry'!AQ13="","",'Data entry'!AQ13)</f>
        <v/>
      </c>
      <c r="G9" t="str">
        <f>IF($C9="","",(SUM(COUNTIFS('Data entry'!$R$6:$R$200,$C9,'Data entry'!$B$6:$B$200,{"Confirmed";"Probable"},'Data entry'!$AQ$6:$AQ$200,'Data Validation'!$V$2, 'Data entry'!$AP$6:$AP$200,'Data Validation'!$U$2, 'Data entry'!$BD$6:$BD$200,"&lt;&gt;*Negative*"))))</f>
        <v/>
      </c>
      <c r="H9" t="str">
        <f>IF($C9="","",(SUM(COUNTIFS('Data entry'!$R$6:$R$200,$C9,'Data entry'!$B$6:$B$200,{"Confirmed";"Probable"},'Data entry'!$AQ$6:$AQ$200,'Data Validation'!$V$2, 'Data entry'!$AP$6:$AP$200,'Data Validation'!$U$3, 'Data entry'!$BD$6:$BD$200,"&lt;&gt;*Negative*"))))</f>
        <v/>
      </c>
      <c r="I9" t="str">
        <f>IF($C9="","",(SUM(COUNTIFS('Data entry'!$R$6:$R$200,$C9,'Data entry'!$B$6:$B$200,{"Confirmed";"Probable"},'Data entry'!$AQ$6:$AQ$200,'Data Validation'!$V$2, 'Data entry'!$AP$6:$AP$200,'Data Validation'!$U$4, 'Data entry'!$BD$6:$BD$200,"&lt;&gt;*Negative*"))))</f>
        <v/>
      </c>
      <c r="J9" t="str">
        <f>IF($C9="","",(SUM(COUNTIFS('Data entry'!$R$6:$R$200,$C9,'Data entry'!$B$6:$B$200,{"Confirmed";"Probable"},'Data entry'!$AQ$6:$AQ$200,'Data Validation'!$V$2, 'Data entry'!$AP$6:$AP$200,'Data Validation'!$U$5, 'Data entry'!$BD$6:$BD$200,"&lt;&gt;*Negative*"))))</f>
        <v/>
      </c>
      <c r="K9" t="str">
        <f>IF($C9="","",(SUM(COUNTIFS('Data entry'!$R$6:$R$200,$C9,'Data entry'!$B$6:$B$200,{"Confirmed";"Probable"},'Data entry'!$AQ$6:$AQ$200,'Data Validation'!$V$2, 'Data entry'!$AP$6:$AP$200,'Data Validation'!$U$6, 'Data entry'!$BD$6:$BD$200,"&lt;&gt;*Negative*"))))</f>
        <v/>
      </c>
      <c r="L9" t="str">
        <f>IF($C9="","",(SUM(COUNTIFS('Data entry'!$R$6:$R$200,$C9,'Data entry'!$B$6:$B$200,{"Confirmed";"Probable"},'Data entry'!$AQ$6:$AQ$200,'Data Validation'!$V$3, 'Data entry'!$AP$6:$AP$200,'Data Validation'!$U$2, 'Data entry'!$BD$6:$BD$200,"&lt;&gt;*Negative*"))))</f>
        <v/>
      </c>
      <c r="M9" t="str">
        <f>IF($C9="","",(SUM(COUNTIFS('Data entry'!$R$6:$R$200,$C9,'Data entry'!$B$6:$B$200,{"Confirmed";"Probable"},'Data entry'!$AQ$6:$AQ$200,'Data Validation'!$V$3, 'Data entry'!$AP$6:$AP$200,'Data Validation'!$U$3, 'Data entry'!$BD$6:$BD$200,"&lt;&gt;*Negative*"))))</f>
        <v/>
      </c>
      <c r="N9" t="str">
        <f>IF($C9="","",(SUM(COUNTIFS('Data entry'!$R$6:$R$200,$C9,'Data entry'!$B$6:$B$200,{"Confirmed";"Probable"},'Data entry'!$AQ$6:$AQ$200,'Data Validation'!$V$3, 'Data entry'!$AP$6:$AP$200,'Data Validation'!$U$4, 'Data entry'!$BD$6:$BD$200,"&lt;&gt;*Negative*"))))</f>
        <v/>
      </c>
      <c r="O9" t="str">
        <f>IF($C9="","",(SUM(COUNTIFS('Data entry'!$R$6:$R$200,$C9,'Data entry'!$B$6:$B$200,{"Confirmed";"Probable"},'Data entry'!$AQ$6:$AQ$200,'Data Validation'!$V$3, 'Data entry'!$AP$6:$AP$200,'Data Validation'!$U$5, 'Data entry'!$BD$6:$BD$200,"&lt;&gt;*Negative*"))))</f>
        <v/>
      </c>
      <c r="P9" t="str">
        <f>IF($C9="","",(SUM(COUNTIFS('Data entry'!$R$6:$R$200,$C9,'Data entry'!$B$6:$B$200,{"Confirmed";"Probable"},'Data entry'!$AQ$6:$AQ$200,'Data Validation'!$V$3, 'Data entry'!$AP$6:$AP$200,'Data Validation'!$U$6, 'Data entry'!$BD$6:$BD$200,"&lt;&gt;*Negative*"))))</f>
        <v/>
      </c>
    </row>
    <row r="10" spans="1:85" x14ac:dyDescent="0.2">
      <c r="A10" s="1" t="str">
        <f>IF('Data entry'!B14="","",'Data entry'!B14)</f>
        <v/>
      </c>
      <c r="B10" s="1" t="str">
        <f>IF('Data entry'!O14="","",'Data entry'!O14)</f>
        <v/>
      </c>
      <c r="C10" s="321" t="str">
        <f>IF('Data entry'!R14="","",'Data entry'!R14)</f>
        <v/>
      </c>
      <c r="D10" s="1" t="str">
        <f>IF('Data entry'!AO14="","",'Data entry'!AO14)</f>
        <v/>
      </c>
      <c r="E10" s="1" t="str">
        <f>IF('Data entry'!AP14="","",'Data entry'!AP14)</f>
        <v/>
      </c>
      <c r="F10" s="1" t="str">
        <f>IF('Data entry'!AQ14="","",'Data entry'!AQ14)</f>
        <v/>
      </c>
      <c r="G10" t="str">
        <f>IF($C10="","",(SUM(COUNTIFS('Data entry'!$R$6:$R$200,$C10,'Data entry'!$B$6:$B$200,{"Confirmed";"Probable"},'Data entry'!$AQ$6:$AQ$200,'Data Validation'!$V$2, 'Data entry'!$AP$6:$AP$200,'Data Validation'!$U$2, 'Data entry'!$BD$6:$BD$200,"&lt;&gt;*Negative*"))))</f>
        <v/>
      </c>
      <c r="H10" t="str">
        <f>IF($C10="","",(SUM(COUNTIFS('Data entry'!$R$6:$R$200,$C10,'Data entry'!$B$6:$B$200,{"Confirmed";"Probable"},'Data entry'!$AQ$6:$AQ$200,'Data Validation'!$V$2, 'Data entry'!$AP$6:$AP$200,'Data Validation'!$U$3, 'Data entry'!$BD$6:$BD$200,"&lt;&gt;*Negative*"))))</f>
        <v/>
      </c>
      <c r="I10" t="str">
        <f>IF($C10="","",(SUM(COUNTIFS('Data entry'!$R$6:$R$200,$C10,'Data entry'!$B$6:$B$200,{"Confirmed";"Probable"},'Data entry'!$AQ$6:$AQ$200,'Data Validation'!$V$2, 'Data entry'!$AP$6:$AP$200,'Data Validation'!$U$4, 'Data entry'!$BD$6:$BD$200,"&lt;&gt;*Negative*"))))</f>
        <v/>
      </c>
      <c r="J10" t="str">
        <f>IF($C10="","",(SUM(COUNTIFS('Data entry'!$R$6:$R$200,$C10,'Data entry'!$B$6:$B$200,{"Confirmed";"Probable"},'Data entry'!$AQ$6:$AQ$200,'Data Validation'!$V$2, 'Data entry'!$AP$6:$AP$200,'Data Validation'!$U$5, 'Data entry'!$BD$6:$BD$200,"&lt;&gt;*Negative*"))))</f>
        <v/>
      </c>
      <c r="K10" t="str">
        <f>IF($C10="","",(SUM(COUNTIFS('Data entry'!$R$6:$R$200,$C10,'Data entry'!$B$6:$B$200,{"Confirmed";"Probable"},'Data entry'!$AQ$6:$AQ$200,'Data Validation'!$V$2, 'Data entry'!$AP$6:$AP$200,'Data Validation'!$U$6, 'Data entry'!$BD$6:$BD$200,"&lt;&gt;*Negative*"))))</f>
        <v/>
      </c>
      <c r="L10" t="str">
        <f>IF($C10="","",(SUM(COUNTIFS('Data entry'!$R$6:$R$200,$C10,'Data entry'!$B$6:$B$200,{"Confirmed";"Probable"},'Data entry'!$AQ$6:$AQ$200,'Data Validation'!$V$3, 'Data entry'!$AP$6:$AP$200,'Data Validation'!$U$2, 'Data entry'!$BD$6:$BD$200,"&lt;&gt;*Negative*"))))</f>
        <v/>
      </c>
      <c r="M10" t="str">
        <f>IF($C10="","",(SUM(COUNTIFS('Data entry'!$R$6:$R$200,$C10,'Data entry'!$B$6:$B$200,{"Confirmed";"Probable"},'Data entry'!$AQ$6:$AQ$200,'Data Validation'!$V$3, 'Data entry'!$AP$6:$AP$200,'Data Validation'!$U$3, 'Data entry'!$BD$6:$BD$200,"&lt;&gt;*Negative*"))))</f>
        <v/>
      </c>
      <c r="N10" t="str">
        <f>IF($C10="","",(SUM(COUNTIFS('Data entry'!$R$6:$R$200,$C10,'Data entry'!$B$6:$B$200,{"Confirmed";"Probable"},'Data entry'!$AQ$6:$AQ$200,'Data Validation'!$V$3, 'Data entry'!$AP$6:$AP$200,'Data Validation'!$U$4, 'Data entry'!$BD$6:$BD$200,"&lt;&gt;*Negative*"))))</f>
        <v/>
      </c>
      <c r="O10" t="str">
        <f>IF($C10="","",(SUM(COUNTIFS('Data entry'!$R$6:$R$200,$C10,'Data entry'!$B$6:$B$200,{"Confirmed";"Probable"},'Data entry'!$AQ$6:$AQ$200,'Data Validation'!$V$3, 'Data entry'!$AP$6:$AP$200,'Data Validation'!$U$5, 'Data entry'!$BD$6:$BD$200,"&lt;&gt;*Negative*"))))</f>
        <v/>
      </c>
      <c r="P10" t="str">
        <f>IF($C10="","",(SUM(COUNTIFS('Data entry'!$R$6:$R$200,$C10,'Data entry'!$B$6:$B$200,{"Confirmed";"Probable"},'Data entry'!$AQ$6:$AQ$200,'Data Validation'!$V$3, 'Data entry'!$AP$6:$AP$200,'Data Validation'!$U$6, 'Data entry'!$BD$6:$BD$200,"&lt;&gt;*Negative*"))))</f>
        <v/>
      </c>
    </row>
    <row r="11" spans="1:85" x14ac:dyDescent="0.2">
      <c r="A11" s="1" t="str">
        <f>IF('Data entry'!B15="","",'Data entry'!B15)</f>
        <v/>
      </c>
      <c r="B11" s="1" t="str">
        <f>IF('Data entry'!O15="","",'Data entry'!O15)</f>
        <v/>
      </c>
      <c r="C11" s="321" t="str">
        <f>IF('Data entry'!R15="","",'Data entry'!R15)</f>
        <v/>
      </c>
      <c r="D11" s="1" t="str">
        <f>IF('Data entry'!AO15="","",'Data entry'!AO15)</f>
        <v/>
      </c>
      <c r="E11" s="1" t="str">
        <f>IF('Data entry'!AP15="","",'Data entry'!AP15)</f>
        <v/>
      </c>
      <c r="F11" s="1" t="str">
        <f>IF('Data entry'!AQ15="","",'Data entry'!AQ15)</f>
        <v/>
      </c>
      <c r="G11" t="str">
        <f>IF($C11="","",(SUM(COUNTIFS('Data entry'!$R$6:$R$200,$C11,'Data entry'!$B$6:$B$200,{"Confirmed";"Probable"},'Data entry'!$AQ$6:$AQ$200,'Data Validation'!$V$2, 'Data entry'!$AP$6:$AP$200,'Data Validation'!$U$2, 'Data entry'!$BD$6:$BD$200,"&lt;&gt;*Negative*"))))</f>
        <v/>
      </c>
      <c r="H11" t="str">
        <f>IF($C11="","",(SUM(COUNTIFS('Data entry'!$R$6:$R$200,$C11,'Data entry'!$B$6:$B$200,{"Confirmed";"Probable"},'Data entry'!$AQ$6:$AQ$200,'Data Validation'!$V$2, 'Data entry'!$AP$6:$AP$200,'Data Validation'!$U$3, 'Data entry'!$BD$6:$BD$200,"&lt;&gt;*Negative*"))))</f>
        <v/>
      </c>
      <c r="I11" t="str">
        <f>IF($C11="","",(SUM(COUNTIFS('Data entry'!$R$6:$R$200,$C11,'Data entry'!$B$6:$B$200,{"Confirmed";"Probable"},'Data entry'!$AQ$6:$AQ$200,'Data Validation'!$V$2, 'Data entry'!$AP$6:$AP$200,'Data Validation'!$U$4, 'Data entry'!$BD$6:$BD$200,"&lt;&gt;*Negative*"))))</f>
        <v/>
      </c>
      <c r="J11" t="str">
        <f>IF($C11="","",(SUM(COUNTIFS('Data entry'!$R$6:$R$200,$C11,'Data entry'!$B$6:$B$200,{"Confirmed";"Probable"},'Data entry'!$AQ$6:$AQ$200,'Data Validation'!$V$2, 'Data entry'!$AP$6:$AP$200,'Data Validation'!$U$5, 'Data entry'!$BD$6:$BD$200,"&lt;&gt;*Negative*"))))</f>
        <v/>
      </c>
      <c r="K11" t="str">
        <f>IF($C11="","",(SUM(COUNTIFS('Data entry'!$R$6:$R$200,$C11,'Data entry'!$B$6:$B$200,{"Confirmed";"Probable"},'Data entry'!$AQ$6:$AQ$200,'Data Validation'!$V$2, 'Data entry'!$AP$6:$AP$200,'Data Validation'!$U$6, 'Data entry'!$BD$6:$BD$200,"&lt;&gt;*Negative*"))))</f>
        <v/>
      </c>
      <c r="L11" t="str">
        <f>IF($C11="","",(SUM(COUNTIFS('Data entry'!$R$6:$R$200,$C11,'Data entry'!$B$6:$B$200,{"Confirmed";"Probable"},'Data entry'!$AQ$6:$AQ$200,'Data Validation'!$V$3, 'Data entry'!$AP$6:$AP$200,'Data Validation'!$U$2, 'Data entry'!$BD$6:$BD$200,"&lt;&gt;*Negative*"))))</f>
        <v/>
      </c>
      <c r="M11" t="str">
        <f>IF($C11="","",(SUM(COUNTIFS('Data entry'!$R$6:$R$200,$C11,'Data entry'!$B$6:$B$200,{"Confirmed";"Probable"},'Data entry'!$AQ$6:$AQ$200,'Data Validation'!$V$3, 'Data entry'!$AP$6:$AP$200,'Data Validation'!$U$3, 'Data entry'!$BD$6:$BD$200,"&lt;&gt;*Negative*"))))</f>
        <v/>
      </c>
      <c r="N11" t="str">
        <f>IF($C11="","",(SUM(COUNTIFS('Data entry'!$R$6:$R$200,$C11,'Data entry'!$B$6:$B$200,{"Confirmed";"Probable"},'Data entry'!$AQ$6:$AQ$200,'Data Validation'!$V$3, 'Data entry'!$AP$6:$AP$200,'Data Validation'!$U$4, 'Data entry'!$BD$6:$BD$200,"&lt;&gt;*Negative*"))))</f>
        <v/>
      </c>
      <c r="O11" t="str">
        <f>IF($C11="","",(SUM(COUNTIFS('Data entry'!$R$6:$R$200,$C11,'Data entry'!$B$6:$B$200,{"Confirmed";"Probable"},'Data entry'!$AQ$6:$AQ$200,'Data Validation'!$V$3, 'Data entry'!$AP$6:$AP$200,'Data Validation'!$U$5, 'Data entry'!$BD$6:$BD$200,"&lt;&gt;*Negative*"))))</f>
        <v/>
      </c>
      <c r="P11" t="str">
        <f>IF($C11="","",(SUM(COUNTIFS('Data entry'!$R$6:$R$200,$C11,'Data entry'!$B$6:$B$200,{"Confirmed";"Probable"},'Data entry'!$AQ$6:$AQ$200,'Data Validation'!$V$3, 'Data entry'!$AP$6:$AP$200,'Data Validation'!$U$6, 'Data entry'!$BD$6:$BD$200,"&lt;&gt;*Negative*"))))</f>
        <v/>
      </c>
    </row>
    <row r="12" spans="1:85" x14ac:dyDescent="0.2">
      <c r="A12" s="1" t="str">
        <f>IF('Data entry'!B16="","",'Data entry'!B16)</f>
        <v/>
      </c>
      <c r="B12" s="1" t="str">
        <f>IF('Data entry'!O16="","",'Data entry'!O16)</f>
        <v/>
      </c>
      <c r="C12" s="321" t="str">
        <f>IF('Data entry'!R16="","",'Data entry'!R16)</f>
        <v/>
      </c>
      <c r="D12" s="1" t="str">
        <f>IF('Data entry'!AO16="","",'Data entry'!AO16)</f>
        <v/>
      </c>
      <c r="E12" s="1" t="str">
        <f>IF('Data entry'!AP16="","",'Data entry'!AP16)</f>
        <v/>
      </c>
      <c r="F12" s="1" t="str">
        <f>IF('Data entry'!AQ16="","",'Data entry'!AQ16)</f>
        <v/>
      </c>
      <c r="G12" t="str">
        <f>IF($C12="","",(SUM(COUNTIFS('Data entry'!$R$6:$R$200,$C12,'Data entry'!$B$6:$B$200,{"Confirmed";"Probable"},'Data entry'!$AQ$6:$AQ$200,'Data Validation'!$V$2, 'Data entry'!$AP$6:$AP$200,'Data Validation'!$U$2, 'Data entry'!$BD$6:$BD$200,"&lt;&gt;*Negative*"))))</f>
        <v/>
      </c>
      <c r="H12" t="str">
        <f>IF($C12="","",(SUM(COUNTIFS('Data entry'!$R$6:$R$200,$C12,'Data entry'!$B$6:$B$200,{"Confirmed";"Probable"},'Data entry'!$AQ$6:$AQ$200,'Data Validation'!$V$2, 'Data entry'!$AP$6:$AP$200,'Data Validation'!$U$3, 'Data entry'!$BD$6:$BD$200,"&lt;&gt;*Negative*"))))</f>
        <v/>
      </c>
      <c r="I12" t="str">
        <f>IF($C12="","",(SUM(COUNTIFS('Data entry'!$R$6:$R$200,$C12,'Data entry'!$B$6:$B$200,{"Confirmed";"Probable"},'Data entry'!$AQ$6:$AQ$200,'Data Validation'!$V$2, 'Data entry'!$AP$6:$AP$200,'Data Validation'!$U$4, 'Data entry'!$BD$6:$BD$200,"&lt;&gt;*Negative*"))))</f>
        <v/>
      </c>
      <c r="J12" t="str">
        <f>IF($C12="","",(SUM(COUNTIFS('Data entry'!$R$6:$R$200,$C12,'Data entry'!$B$6:$B$200,{"Confirmed";"Probable"},'Data entry'!$AQ$6:$AQ$200,'Data Validation'!$V$2, 'Data entry'!$AP$6:$AP$200,'Data Validation'!$U$5, 'Data entry'!$BD$6:$BD$200,"&lt;&gt;*Negative*"))))</f>
        <v/>
      </c>
      <c r="K12" t="str">
        <f>IF($C12="","",(SUM(COUNTIFS('Data entry'!$R$6:$R$200,$C12,'Data entry'!$B$6:$B$200,{"Confirmed";"Probable"},'Data entry'!$AQ$6:$AQ$200,'Data Validation'!$V$2, 'Data entry'!$AP$6:$AP$200,'Data Validation'!$U$6, 'Data entry'!$BD$6:$BD$200,"&lt;&gt;*Negative*"))))</f>
        <v/>
      </c>
      <c r="L12" t="str">
        <f>IF($C12="","",(SUM(COUNTIFS('Data entry'!$R$6:$R$200,$C12,'Data entry'!$B$6:$B$200,{"Confirmed";"Probable"},'Data entry'!$AQ$6:$AQ$200,'Data Validation'!$V$3, 'Data entry'!$AP$6:$AP$200,'Data Validation'!$U$2, 'Data entry'!$BD$6:$BD$200,"&lt;&gt;*Negative*"))))</f>
        <v/>
      </c>
      <c r="M12" t="str">
        <f>IF($C12="","",(SUM(COUNTIFS('Data entry'!$R$6:$R$200,$C12,'Data entry'!$B$6:$B$200,{"Confirmed";"Probable"},'Data entry'!$AQ$6:$AQ$200,'Data Validation'!$V$3, 'Data entry'!$AP$6:$AP$200,'Data Validation'!$U$3, 'Data entry'!$BD$6:$BD$200,"&lt;&gt;*Negative*"))))</f>
        <v/>
      </c>
      <c r="N12" t="str">
        <f>IF($C12="","",(SUM(COUNTIFS('Data entry'!$R$6:$R$200,$C12,'Data entry'!$B$6:$B$200,{"Confirmed";"Probable"},'Data entry'!$AQ$6:$AQ$200,'Data Validation'!$V$3, 'Data entry'!$AP$6:$AP$200,'Data Validation'!$U$4, 'Data entry'!$BD$6:$BD$200,"&lt;&gt;*Negative*"))))</f>
        <v/>
      </c>
      <c r="O12" t="str">
        <f>IF($C12="","",(SUM(COUNTIFS('Data entry'!$R$6:$R$200,$C12,'Data entry'!$B$6:$B$200,{"Confirmed";"Probable"},'Data entry'!$AQ$6:$AQ$200,'Data Validation'!$V$3, 'Data entry'!$AP$6:$AP$200,'Data Validation'!$U$5, 'Data entry'!$BD$6:$BD$200,"&lt;&gt;*Negative*"))))</f>
        <v/>
      </c>
      <c r="P12" t="str">
        <f>IF($C12="","",(SUM(COUNTIFS('Data entry'!$R$6:$R$200,$C12,'Data entry'!$B$6:$B$200,{"Confirmed";"Probable"},'Data entry'!$AQ$6:$AQ$200,'Data Validation'!$V$3, 'Data entry'!$AP$6:$AP$200,'Data Validation'!$U$6, 'Data entry'!$BD$6:$BD$200,"&lt;&gt;*Negative*"))))</f>
        <v/>
      </c>
    </row>
    <row r="13" spans="1:85" x14ac:dyDescent="0.2">
      <c r="A13" s="1" t="str">
        <f>IF('Data entry'!B17="","",'Data entry'!B17)</f>
        <v/>
      </c>
      <c r="B13" s="1" t="str">
        <f>IF('Data entry'!O17="","",'Data entry'!O17)</f>
        <v/>
      </c>
      <c r="C13" s="321" t="str">
        <f>IF('Data entry'!R17="","",'Data entry'!R17)</f>
        <v/>
      </c>
      <c r="D13" s="1" t="str">
        <f>IF('Data entry'!AO17="","",'Data entry'!AO17)</f>
        <v/>
      </c>
      <c r="E13" s="1" t="str">
        <f>IF('Data entry'!AP17="","",'Data entry'!AP17)</f>
        <v/>
      </c>
      <c r="F13" s="1" t="str">
        <f>IF('Data entry'!AQ17="","",'Data entry'!AQ17)</f>
        <v/>
      </c>
      <c r="G13" t="str">
        <f>IF($C13="","",(SUM(COUNTIFS('Data entry'!$R$6:$R$200,$C13,'Data entry'!$B$6:$B$200,{"Confirmed";"Probable"},'Data entry'!$AQ$6:$AQ$200,'Data Validation'!$V$2, 'Data entry'!$AP$6:$AP$200,'Data Validation'!$U$2, 'Data entry'!$BD$6:$BD$200,"&lt;&gt;*Negative*"))))</f>
        <v/>
      </c>
      <c r="H13" t="str">
        <f>IF($C13="","",(SUM(COUNTIFS('Data entry'!$R$6:$R$200,$C13,'Data entry'!$B$6:$B$200,{"Confirmed";"Probable"},'Data entry'!$AQ$6:$AQ$200,'Data Validation'!$V$2, 'Data entry'!$AP$6:$AP$200,'Data Validation'!$U$3, 'Data entry'!$BD$6:$BD$200,"&lt;&gt;*Negative*"))))</f>
        <v/>
      </c>
      <c r="I13" t="str">
        <f>IF($C13="","",(SUM(COUNTIFS('Data entry'!$R$6:$R$200,$C13,'Data entry'!$B$6:$B$200,{"Confirmed";"Probable"},'Data entry'!$AQ$6:$AQ$200,'Data Validation'!$V$2, 'Data entry'!$AP$6:$AP$200,'Data Validation'!$U$4, 'Data entry'!$BD$6:$BD$200,"&lt;&gt;*Negative*"))))</f>
        <v/>
      </c>
      <c r="J13" t="str">
        <f>IF($C13="","",(SUM(COUNTIFS('Data entry'!$R$6:$R$200,$C13,'Data entry'!$B$6:$B$200,{"Confirmed";"Probable"},'Data entry'!$AQ$6:$AQ$200,'Data Validation'!$V$2, 'Data entry'!$AP$6:$AP$200,'Data Validation'!$U$5, 'Data entry'!$BD$6:$BD$200,"&lt;&gt;*Negative*"))))</f>
        <v/>
      </c>
      <c r="K13" t="str">
        <f>IF($C13="","",(SUM(COUNTIFS('Data entry'!$R$6:$R$200,$C13,'Data entry'!$B$6:$B$200,{"Confirmed";"Probable"},'Data entry'!$AQ$6:$AQ$200,'Data Validation'!$V$2, 'Data entry'!$AP$6:$AP$200,'Data Validation'!$U$6, 'Data entry'!$BD$6:$BD$200,"&lt;&gt;*Negative*"))))</f>
        <v/>
      </c>
      <c r="L13" t="str">
        <f>IF($C13="","",(SUM(COUNTIFS('Data entry'!$R$6:$R$200,$C13,'Data entry'!$B$6:$B$200,{"Confirmed";"Probable"},'Data entry'!$AQ$6:$AQ$200,'Data Validation'!$V$3, 'Data entry'!$AP$6:$AP$200,'Data Validation'!$U$2, 'Data entry'!$BD$6:$BD$200,"&lt;&gt;*Negative*"))))</f>
        <v/>
      </c>
      <c r="M13" t="str">
        <f>IF($C13="","",(SUM(COUNTIFS('Data entry'!$R$6:$R$200,$C13,'Data entry'!$B$6:$B$200,{"Confirmed";"Probable"},'Data entry'!$AQ$6:$AQ$200,'Data Validation'!$V$3, 'Data entry'!$AP$6:$AP$200,'Data Validation'!$U$3, 'Data entry'!$BD$6:$BD$200,"&lt;&gt;*Negative*"))))</f>
        <v/>
      </c>
      <c r="N13" t="str">
        <f>IF($C13="","",(SUM(COUNTIFS('Data entry'!$R$6:$R$200,$C13,'Data entry'!$B$6:$B$200,{"Confirmed";"Probable"},'Data entry'!$AQ$6:$AQ$200,'Data Validation'!$V$3, 'Data entry'!$AP$6:$AP$200,'Data Validation'!$U$4, 'Data entry'!$BD$6:$BD$200,"&lt;&gt;*Negative*"))))</f>
        <v/>
      </c>
      <c r="O13" t="str">
        <f>IF($C13="","",(SUM(COUNTIFS('Data entry'!$R$6:$R$200,$C13,'Data entry'!$B$6:$B$200,{"Confirmed";"Probable"},'Data entry'!$AQ$6:$AQ$200,'Data Validation'!$V$3, 'Data entry'!$AP$6:$AP$200,'Data Validation'!$U$5, 'Data entry'!$BD$6:$BD$200,"&lt;&gt;*Negative*"))))</f>
        <v/>
      </c>
      <c r="P13" t="str">
        <f>IF($C13="","",(SUM(COUNTIFS('Data entry'!$R$6:$R$200,$C13,'Data entry'!$B$6:$B$200,{"Confirmed";"Probable"},'Data entry'!$AQ$6:$AQ$200,'Data Validation'!$V$3, 'Data entry'!$AP$6:$AP$200,'Data Validation'!$U$6, 'Data entry'!$BD$6:$BD$200,"&lt;&gt;*Negative*"))))</f>
        <v/>
      </c>
    </row>
    <row r="14" spans="1:85" x14ac:dyDescent="0.2">
      <c r="A14" s="1" t="str">
        <f>IF('Data entry'!B18="","",'Data entry'!B18)</f>
        <v/>
      </c>
      <c r="B14" s="1" t="str">
        <f>IF('Data entry'!O18="","",'Data entry'!O18)</f>
        <v/>
      </c>
      <c r="C14" s="321" t="str">
        <f>IF('Data entry'!R18="","",'Data entry'!R18)</f>
        <v/>
      </c>
      <c r="D14" s="1" t="str">
        <f>IF('Data entry'!AO18="","",'Data entry'!AO18)</f>
        <v/>
      </c>
      <c r="E14" s="1" t="str">
        <f>IF('Data entry'!AP18="","",'Data entry'!AP18)</f>
        <v/>
      </c>
      <c r="F14" s="1" t="str">
        <f>IF('Data entry'!AQ18="","",'Data entry'!AQ18)</f>
        <v/>
      </c>
      <c r="G14" t="str">
        <f>IF($C14="","",(SUM(COUNTIFS('Data entry'!$R$6:$R$200,$C14,'Data entry'!$B$6:$B$200,{"Confirmed";"Probable"},'Data entry'!$AQ$6:$AQ$200,'Data Validation'!$V$2, 'Data entry'!$AP$6:$AP$200,'Data Validation'!$U$2, 'Data entry'!$BD$6:$BD$200,"&lt;&gt;*Negative*"))))</f>
        <v/>
      </c>
      <c r="H14" t="str">
        <f>IF($C14="","",(SUM(COUNTIFS('Data entry'!$R$6:$R$200,$C14,'Data entry'!$B$6:$B$200,{"Confirmed";"Probable"},'Data entry'!$AQ$6:$AQ$200,'Data Validation'!$V$2, 'Data entry'!$AP$6:$AP$200,'Data Validation'!$U$3, 'Data entry'!$BD$6:$BD$200,"&lt;&gt;*Negative*"))))</f>
        <v/>
      </c>
      <c r="I14" t="str">
        <f>IF($C14="","",(SUM(COUNTIFS('Data entry'!$R$6:$R$200,$C14,'Data entry'!$B$6:$B$200,{"Confirmed";"Probable"},'Data entry'!$AQ$6:$AQ$200,'Data Validation'!$V$2, 'Data entry'!$AP$6:$AP$200,'Data Validation'!$U$4, 'Data entry'!$BD$6:$BD$200,"&lt;&gt;*Negative*"))))</f>
        <v/>
      </c>
      <c r="J14" t="str">
        <f>IF($C14="","",(SUM(COUNTIFS('Data entry'!$R$6:$R$200,$C14,'Data entry'!$B$6:$B$200,{"Confirmed";"Probable"},'Data entry'!$AQ$6:$AQ$200,'Data Validation'!$V$2, 'Data entry'!$AP$6:$AP$200,'Data Validation'!$U$5, 'Data entry'!$BD$6:$BD$200,"&lt;&gt;*Negative*"))))</f>
        <v/>
      </c>
      <c r="K14" t="str">
        <f>IF($C14="","",(SUM(COUNTIFS('Data entry'!$R$6:$R$200,$C14,'Data entry'!$B$6:$B$200,{"Confirmed";"Probable"},'Data entry'!$AQ$6:$AQ$200,'Data Validation'!$V$2, 'Data entry'!$AP$6:$AP$200,'Data Validation'!$U$6, 'Data entry'!$BD$6:$BD$200,"&lt;&gt;*Negative*"))))</f>
        <v/>
      </c>
      <c r="L14" t="str">
        <f>IF($C14="","",(SUM(COUNTIFS('Data entry'!$R$6:$R$200,$C14,'Data entry'!$B$6:$B$200,{"Confirmed";"Probable"},'Data entry'!$AQ$6:$AQ$200,'Data Validation'!$V$3, 'Data entry'!$AP$6:$AP$200,'Data Validation'!$U$2, 'Data entry'!$BD$6:$BD$200,"&lt;&gt;*Negative*"))))</f>
        <v/>
      </c>
      <c r="M14" t="str">
        <f>IF($C14="","",(SUM(COUNTIFS('Data entry'!$R$6:$R$200,$C14,'Data entry'!$B$6:$B$200,{"Confirmed";"Probable"},'Data entry'!$AQ$6:$AQ$200,'Data Validation'!$V$3, 'Data entry'!$AP$6:$AP$200,'Data Validation'!$U$3, 'Data entry'!$BD$6:$BD$200,"&lt;&gt;*Negative*"))))</f>
        <v/>
      </c>
      <c r="N14" t="str">
        <f>IF($C14="","",(SUM(COUNTIFS('Data entry'!$R$6:$R$200,$C14,'Data entry'!$B$6:$B$200,{"Confirmed";"Probable"},'Data entry'!$AQ$6:$AQ$200,'Data Validation'!$V$3, 'Data entry'!$AP$6:$AP$200,'Data Validation'!$U$4, 'Data entry'!$BD$6:$BD$200,"&lt;&gt;*Negative*"))))</f>
        <v/>
      </c>
      <c r="O14" t="str">
        <f>IF($C14="","",(SUM(COUNTIFS('Data entry'!$R$6:$R$200,$C14,'Data entry'!$B$6:$B$200,{"Confirmed";"Probable"},'Data entry'!$AQ$6:$AQ$200,'Data Validation'!$V$3, 'Data entry'!$AP$6:$AP$200,'Data Validation'!$U$5, 'Data entry'!$BD$6:$BD$200,"&lt;&gt;*Negative*"))))</f>
        <v/>
      </c>
      <c r="P14" t="str">
        <f>IF($C14="","",(SUM(COUNTIFS('Data entry'!$R$6:$R$200,$C14,'Data entry'!$B$6:$B$200,{"Confirmed";"Probable"},'Data entry'!$AQ$6:$AQ$200,'Data Validation'!$V$3, 'Data entry'!$AP$6:$AP$200,'Data Validation'!$U$6, 'Data entry'!$BD$6:$BD$200,"&lt;&gt;*Negative*"))))</f>
        <v/>
      </c>
    </row>
    <row r="15" spans="1:85" x14ac:dyDescent="0.2">
      <c r="A15" s="1" t="str">
        <f>IF('Data entry'!B19="","",'Data entry'!B19)</f>
        <v/>
      </c>
      <c r="B15" s="1" t="str">
        <f>IF('Data entry'!O19="","",'Data entry'!O19)</f>
        <v/>
      </c>
      <c r="C15" s="321" t="str">
        <f>IF('Data entry'!R19="","",'Data entry'!R19)</f>
        <v/>
      </c>
      <c r="D15" s="1" t="str">
        <f>IF('Data entry'!AO19="","",'Data entry'!AO19)</f>
        <v/>
      </c>
      <c r="E15" s="1" t="str">
        <f>IF('Data entry'!AP19="","",'Data entry'!AP19)</f>
        <v/>
      </c>
      <c r="F15" s="1" t="str">
        <f>IF('Data entry'!AQ19="","",'Data entry'!AQ19)</f>
        <v/>
      </c>
      <c r="G15" t="str">
        <f>IF($C15="","",(SUM(COUNTIFS('Data entry'!$R$6:$R$200,$C15,'Data entry'!$B$6:$B$200,{"Confirmed";"Probable"},'Data entry'!$AQ$6:$AQ$200,'Data Validation'!$V$2, 'Data entry'!$AP$6:$AP$200,'Data Validation'!$U$2, 'Data entry'!$BD$6:$BD$200,"&lt;&gt;*Negative*"))))</f>
        <v/>
      </c>
      <c r="H15" t="str">
        <f>IF($C15="","",(SUM(COUNTIFS('Data entry'!$R$6:$R$200,$C15,'Data entry'!$B$6:$B$200,{"Confirmed";"Probable"},'Data entry'!$AQ$6:$AQ$200,'Data Validation'!$V$2, 'Data entry'!$AP$6:$AP$200,'Data Validation'!$U$3, 'Data entry'!$BD$6:$BD$200,"&lt;&gt;*Negative*"))))</f>
        <v/>
      </c>
      <c r="I15" t="str">
        <f>IF($C15="","",(SUM(COUNTIFS('Data entry'!$R$6:$R$200,$C15,'Data entry'!$B$6:$B$200,{"Confirmed";"Probable"},'Data entry'!$AQ$6:$AQ$200,'Data Validation'!$V$2, 'Data entry'!$AP$6:$AP$200,'Data Validation'!$U$4, 'Data entry'!$BD$6:$BD$200,"&lt;&gt;*Negative*"))))</f>
        <v/>
      </c>
      <c r="J15" t="str">
        <f>IF($C15="","",(SUM(COUNTIFS('Data entry'!$R$6:$R$200,$C15,'Data entry'!$B$6:$B$200,{"Confirmed";"Probable"},'Data entry'!$AQ$6:$AQ$200,'Data Validation'!$V$2, 'Data entry'!$AP$6:$AP$200,'Data Validation'!$U$5, 'Data entry'!$BD$6:$BD$200,"&lt;&gt;*Negative*"))))</f>
        <v/>
      </c>
      <c r="K15" t="str">
        <f>IF($C15="","",(SUM(COUNTIFS('Data entry'!$R$6:$R$200,$C15,'Data entry'!$B$6:$B$200,{"Confirmed";"Probable"},'Data entry'!$AQ$6:$AQ$200,'Data Validation'!$V$2, 'Data entry'!$AP$6:$AP$200,'Data Validation'!$U$6, 'Data entry'!$BD$6:$BD$200,"&lt;&gt;*Negative*"))))</f>
        <v/>
      </c>
      <c r="L15" t="str">
        <f>IF($C15="","",(SUM(COUNTIFS('Data entry'!$R$6:$R$200,$C15,'Data entry'!$B$6:$B$200,{"Confirmed";"Probable"},'Data entry'!$AQ$6:$AQ$200,'Data Validation'!$V$3, 'Data entry'!$AP$6:$AP$200,'Data Validation'!$U$2, 'Data entry'!$BD$6:$BD$200,"&lt;&gt;*Negative*"))))</f>
        <v/>
      </c>
      <c r="M15" t="str">
        <f>IF($C15="","",(SUM(COUNTIFS('Data entry'!$R$6:$R$200,$C15,'Data entry'!$B$6:$B$200,{"Confirmed";"Probable"},'Data entry'!$AQ$6:$AQ$200,'Data Validation'!$V$3, 'Data entry'!$AP$6:$AP$200,'Data Validation'!$U$3, 'Data entry'!$BD$6:$BD$200,"&lt;&gt;*Negative*"))))</f>
        <v/>
      </c>
      <c r="N15" t="str">
        <f>IF($C15="","",(SUM(COUNTIFS('Data entry'!$R$6:$R$200,$C15,'Data entry'!$B$6:$B$200,{"Confirmed";"Probable"},'Data entry'!$AQ$6:$AQ$200,'Data Validation'!$V$3, 'Data entry'!$AP$6:$AP$200,'Data Validation'!$U$4, 'Data entry'!$BD$6:$BD$200,"&lt;&gt;*Negative*"))))</f>
        <v/>
      </c>
      <c r="O15" t="str">
        <f>IF($C15="","",(SUM(COUNTIFS('Data entry'!$R$6:$R$200,$C15,'Data entry'!$B$6:$B$200,{"Confirmed";"Probable"},'Data entry'!$AQ$6:$AQ$200,'Data Validation'!$V$3, 'Data entry'!$AP$6:$AP$200,'Data Validation'!$U$5, 'Data entry'!$BD$6:$BD$200,"&lt;&gt;*Negative*"))))</f>
        <v/>
      </c>
      <c r="P15" t="str">
        <f>IF($C15="","",(SUM(COUNTIFS('Data entry'!$R$6:$R$200,$C15,'Data entry'!$B$6:$B$200,{"Confirmed";"Probable"},'Data entry'!$AQ$6:$AQ$200,'Data Validation'!$V$3, 'Data entry'!$AP$6:$AP$200,'Data Validation'!$U$6, 'Data entry'!$BD$6:$BD$200,"&lt;&gt;*Negative*"))))</f>
        <v/>
      </c>
    </row>
    <row r="16" spans="1:85" x14ac:dyDescent="0.2">
      <c r="A16" s="1" t="str">
        <f>IF('Data entry'!B20="","",'Data entry'!B20)</f>
        <v/>
      </c>
      <c r="B16" s="1" t="str">
        <f>IF('Data entry'!O20="","",'Data entry'!O20)</f>
        <v/>
      </c>
      <c r="C16" s="321" t="str">
        <f>IF('Data entry'!R20="","",'Data entry'!R20)</f>
        <v/>
      </c>
      <c r="D16" s="1" t="str">
        <f>IF('Data entry'!AO20="","",'Data entry'!AO20)</f>
        <v/>
      </c>
      <c r="E16" s="1" t="str">
        <f>IF('Data entry'!AP20="","",'Data entry'!AP20)</f>
        <v/>
      </c>
      <c r="F16" s="1" t="str">
        <f>IF('Data entry'!AQ20="","",'Data entry'!AQ20)</f>
        <v/>
      </c>
      <c r="G16" t="str">
        <f>IF($C16="","",(SUM(COUNTIFS('Data entry'!$R$6:$R$200,$C16,'Data entry'!$B$6:$B$200,{"Confirmed";"Probable"},'Data entry'!$AQ$6:$AQ$200,'Data Validation'!$V$2, 'Data entry'!$AP$6:$AP$200,'Data Validation'!$U$2, 'Data entry'!$BD$6:$BD$200,"&lt;&gt;*Negative*"))))</f>
        <v/>
      </c>
      <c r="H16" t="str">
        <f>IF($C16="","",(SUM(COUNTIFS('Data entry'!$R$6:$R$200,$C16,'Data entry'!$B$6:$B$200,{"Confirmed";"Probable"},'Data entry'!$AQ$6:$AQ$200,'Data Validation'!$V$2, 'Data entry'!$AP$6:$AP$200,'Data Validation'!$U$3, 'Data entry'!$BD$6:$BD$200,"&lt;&gt;*Negative*"))))</f>
        <v/>
      </c>
      <c r="I16" t="str">
        <f>IF($C16="","",(SUM(COUNTIFS('Data entry'!$R$6:$R$200,$C16,'Data entry'!$B$6:$B$200,{"Confirmed";"Probable"},'Data entry'!$AQ$6:$AQ$200,'Data Validation'!$V$2, 'Data entry'!$AP$6:$AP$200,'Data Validation'!$U$4, 'Data entry'!$BD$6:$BD$200,"&lt;&gt;*Negative*"))))</f>
        <v/>
      </c>
      <c r="J16" t="str">
        <f>IF($C16="","",(SUM(COUNTIFS('Data entry'!$R$6:$R$200,$C16,'Data entry'!$B$6:$B$200,{"Confirmed";"Probable"},'Data entry'!$AQ$6:$AQ$200,'Data Validation'!$V$2, 'Data entry'!$AP$6:$AP$200,'Data Validation'!$U$5, 'Data entry'!$BD$6:$BD$200,"&lt;&gt;*Negative*"))))</f>
        <v/>
      </c>
      <c r="K16" t="str">
        <f>IF($C16="","",(SUM(COUNTIFS('Data entry'!$R$6:$R$200,$C16,'Data entry'!$B$6:$B$200,{"Confirmed";"Probable"},'Data entry'!$AQ$6:$AQ$200,'Data Validation'!$V$2, 'Data entry'!$AP$6:$AP$200,'Data Validation'!$U$6, 'Data entry'!$BD$6:$BD$200,"&lt;&gt;*Negative*"))))</f>
        <v/>
      </c>
      <c r="L16" t="str">
        <f>IF($C16="","",(SUM(COUNTIFS('Data entry'!$R$6:$R$200,$C16,'Data entry'!$B$6:$B$200,{"Confirmed";"Probable"},'Data entry'!$AQ$6:$AQ$200,'Data Validation'!$V$3, 'Data entry'!$AP$6:$AP$200,'Data Validation'!$U$2, 'Data entry'!$BD$6:$BD$200,"&lt;&gt;*Negative*"))))</f>
        <v/>
      </c>
      <c r="M16" t="str">
        <f>IF($C16="","",(SUM(COUNTIFS('Data entry'!$R$6:$R$200,$C16,'Data entry'!$B$6:$B$200,{"Confirmed";"Probable"},'Data entry'!$AQ$6:$AQ$200,'Data Validation'!$V$3, 'Data entry'!$AP$6:$AP$200,'Data Validation'!$U$3, 'Data entry'!$BD$6:$BD$200,"&lt;&gt;*Negative*"))))</f>
        <v/>
      </c>
      <c r="N16" t="str">
        <f>IF($C16="","",(SUM(COUNTIFS('Data entry'!$R$6:$R$200,$C16,'Data entry'!$B$6:$B$200,{"Confirmed";"Probable"},'Data entry'!$AQ$6:$AQ$200,'Data Validation'!$V$3, 'Data entry'!$AP$6:$AP$200,'Data Validation'!$U$4, 'Data entry'!$BD$6:$BD$200,"&lt;&gt;*Negative*"))))</f>
        <v/>
      </c>
      <c r="O16" t="str">
        <f>IF($C16="","",(SUM(COUNTIFS('Data entry'!$R$6:$R$200,$C16,'Data entry'!$B$6:$B$200,{"Confirmed";"Probable"},'Data entry'!$AQ$6:$AQ$200,'Data Validation'!$V$3, 'Data entry'!$AP$6:$AP$200,'Data Validation'!$U$5, 'Data entry'!$BD$6:$BD$200,"&lt;&gt;*Negative*"))))</f>
        <v/>
      </c>
      <c r="P16" t="str">
        <f>IF($C16="","",(SUM(COUNTIFS('Data entry'!$R$6:$R$200,$C16,'Data entry'!$B$6:$B$200,{"Confirmed";"Probable"},'Data entry'!$AQ$6:$AQ$200,'Data Validation'!$V$3, 'Data entry'!$AP$6:$AP$200,'Data Validation'!$U$6, 'Data entry'!$BD$6:$BD$200,"&lt;&gt;*Negative*"))))</f>
        <v/>
      </c>
    </row>
    <row r="17" spans="1:16" x14ac:dyDescent="0.2">
      <c r="A17" s="1" t="str">
        <f>IF('Data entry'!B21="","",'Data entry'!B21)</f>
        <v/>
      </c>
      <c r="B17" s="1" t="str">
        <f>IF('Data entry'!O21="","",'Data entry'!O21)</f>
        <v/>
      </c>
      <c r="C17" s="321" t="str">
        <f>IF('Data entry'!R21="","",'Data entry'!R21)</f>
        <v/>
      </c>
      <c r="D17" s="1" t="str">
        <f>IF('Data entry'!AO21="","",'Data entry'!AO21)</f>
        <v/>
      </c>
      <c r="E17" s="1" t="str">
        <f>IF('Data entry'!AP21="","",'Data entry'!AP21)</f>
        <v/>
      </c>
      <c r="F17" s="1" t="str">
        <f>IF('Data entry'!AQ21="","",'Data entry'!AQ21)</f>
        <v/>
      </c>
      <c r="G17" t="str">
        <f>IF($C17="","",(SUM(COUNTIFS('Data entry'!$R$6:$R$200,$C17,'Data entry'!$B$6:$B$200,{"Confirmed";"Probable"},'Data entry'!$AQ$6:$AQ$200,'Data Validation'!$V$2, 'Data entry'!$AP$6:$AP$200,'Data Validation'!$U$2, 'Data entry'!$BD$6:$BD$200,"&lt;&gt;*Negative*"))))</f>
        <v/>
      </c>
      <c r="H17" t="str">
        <f>IF($C17="","",(SUM(COUNTIFS('Data entry'!$R$6:$R$200,$C17,'Data entry'!$B$6:$B$200,{"Confirmed";"Probable"},'Data entry'!$AQ$6:$AQ$200,'Data Validation'!$V$2, 'Data entry'!$AP$6:$AP$200,'Data Validation'!$U$3, 'Data entry'!$BD$6:$BD$200,"&lt;&gt;*Negative*"))))</f>
        <v/>
      </c>
      <c r="I17" t="str">
        <f>IF($C17="","",(SUM(COUNTIFS('Data entry'!$R$6:$R$200,$C17,'Data entry'!$B$6:$B$200,{"Confirmed";"Probable"},'Data entry'!$AQ$6:$AQ$200,'Data Validation'!$V$2, 'Data entry'!$AP$6:$AP$200,'Data Validation'!$U$4, 'Data entry'!$BD$6:$BD$200,"&lt;&gt;*Negative*"))))</f>
        <v/>
      </c>
      <c r="J17" t="str">
        <f>IF($C17="","",(SUM(COUNTIFS('Data entry'!$R$6:$R$200,$C17,'Data entry'!$B$6:$B$200,{"Confirmed";"Probable"},'Data entry'!$AQ$6:$AQ$200,'Data Validation'!$V$2, 'Data entry'!$AP$6:$AP$200,'Data Validation'!$U$5, 'Data entry'!$BD$6:$BD$200,"&lt;&gt;*Negative*"))))</f>
        <v/>
      </c>
      <c r="K17" t="str">
        <f>IF($C17="","",(SUM(COUNTIFS('Data entry'!$R$6:$R$200,$C17,'Data entry'!$B$6:$B$200,{"Confirmed";"Probable"},'Data entry'!$AQ$6:$AQ$200,'Data Validation'!$V$2, 'Data entry'!$AP$6:$AP$200,'Data Validation'!$U$6, 'Data entry'!$BD$6:$BD$200,"&lt;&gt;*Negative*"))))</f>
        <v/>
      </c>
      <c r="L17" t="str">
        <f>IF($C17="","",(SUM(COUNTIFS('Data entry'!$R$6:$R$200,$C17,'Data entry'!$B$6:$B$200,{"Confirmed";"Probable"},'Data entry'!$AQ$6:$AQ$200,'Data Validation'!$V$3, 'Data entry'!$AP$6:$AP$200,'Data Validation'!$U$2, 'Data entry'!$BD$6:$BD$200,"&lt;&gt;*Negative*"))))</f>
        <v/>
      </c>
      <c r="M17" t="str">
        <f>IF($C17="","",(SUM(COUNTIFS('Data entry'!$R$6:$R$200,$C17,'Data entry'!$B$6:$B$200,{"Confirmed";"Probable"},'Data entry'!$AQ$6:$AQ$200,'Data Validation'!$V$3, 'Data entry'!$AP$6:$AP$200,'Data Validation'!$U$3, 'Data entry'!$BD$6:$BD$200,"&lt;&gt;*Negative*"))))</f>
        <v/>
      </c>
      <c r="N17" t="str">
        <f>IF($C17="","",(SUM(COUNTIFS('Data entry'!$R$6:$R$200,$C17,'Data entry'!$B$6:$B$200,{"Confirmed";"Probable"},'Data entry'!$AQ$6:$AQ$200,'Data Validation'!$V$3, 'Data entry'!$AP$6:$AP$200,'Data Validation'!$U$4, 'Data entry'!$BD$6:$BD$200,"&lt;&gt;*Negative*"))))</f>
        <v/>
      </c>
      <c r="O17" t="str">
        <f>IF($C17="","",(SUM(COUNTIFS('Data entry'!$R$6:$R$200,$C17,'Data entry'!$B$6:$B$200,{"Confirmed";"Probable"},'Data entry'!$AQ$6:$AQ$200,'Data Validation'!$V$3, 'Data entry'!$AP$6:$AP$200,'Data Validation'!$U$5, 'Data entry'!$BD$6:$BD$200,"&lt;&gt;*Negative*"))))</f>
        <v/>
      </c>
      <c r="P17" t="str">
        <f>IF($C17="","",(SUM(COUNTIFS('Data entry'!$R$6:$R$200,$C17,'Data entry'!$B$6:$B$200,{"Confirmed";"Probable"},'Data entry'!$AQ$6:$AQ$200,'Data Validation'!$V$3, 'Data entry'!$AP$6:$AP$200,'Data Validation'!$U$6, 'Data entry'!$BD$6:$BD$200,"&lt;&gt;*Negative*"))))</f>
        <v/>
      </c>
    </row>
    <row r="18" spans="1:16" x14ac:dyDescent="0.2">
      <c r="A18" s="1" t="str">
        <f>IF('Data entry'!B22="","",'Data entry'!B22)</f>
        <v/>
      </c>
      <c r="B18" s="1" t="str">
        <f>IF('Data entry'!O22="","",'Data entry'!O22)</f>
        <v/>
      </c>
      <c r="C18" s="321" t="str">
        <f>IF('Data entry'!R22="","",'Data entry'!R22)</f>
        <v/>
      </c>
      <c r="D18" s="1" t="str">
        <f>IF('Data entry'!AO22="","",'Data entry'!AO22)</f>
        <v/>
      </c>
      <c r="E18" s="1" t="str">
        <f>IF('Data entry'!AP22="","",'Data entry'!AP22)</f>
        <v/>
      </c>
      <c r="F18" s="1" t="str">
        <f>IF('Data entry'!AQ22="","",'Data entry'!AQ22)</f>
        <v/>
      </c>
      <c r="G18" t="str">
        <f>IF($C18="","",(SUM(COUNTIFS('Data entry'!$R$6:$R$200,$C18,'Data entry'!$B$6:$B$200,{"Confirmed";"Probable"},'Data entry'!$AQ$6:$AQ$200,'Data Validation'!$V$2, 'Data entry'!$AP$6:$AP$200,'Data Validation'!$U$2, 'Data entry'!$BD$6:$BD$200,"&lt;&gt;*Negative*"))))</f>
        <v/>
      </c>
      <c r="H18" t="str">
        <f>IF($C18="","",(SUM(COUNTIFS('Data entry'!$R$6:$R$200,$C18,'Data entry'!$B$6:$B$200,{"Confirmed";"Probable"},'Data entry'!$AQ$6:$AQ$200,'Data Validation'!$V$2, 'Data entry'!$AP$6:$AP$200,'Data Validation'!$U$3, 'Data entry'!$BD$6:$BD$200,"&lt;&gt;*Negative*"))))</f>
        <v/>
      </c>
      <c r="I18" t="str">
        <f>IF($C18="","",(SUM(COUNTIFS('Data entry'!$R$6:$R$200,$C18,'Data entry'!$B$6:$B$200,{"Confirmed";"Probable"},'Data entry'!$AQ$6:$AQ$200,'Data Validation'!$V$2, 'Data entry'!$AP$6:$AP$200,'Data Validation'!$U$4, 'Data entry'!$BD$6:$BD$200,"&lt;&gt;*Negative*"))))</f>
        <v/>
      </c>
      <c r="J18" t="str">
        <f>IF($C18="","",(SUM(COUNTIFS('Data entry'!$R$6:$R$200,$C18,'Data entry'!$B$6:$B$200,{"Confirmed";"Probable"},'Data entry'!$AQ$6:$AQ$200,'Data Validation'!$V$2, 'Data entry'!$AP$6:$AP$200,'Data Validation'!$U$5, 'Data entry'!$BD$6:$BD$200,"&lt;&gt;*Negative*"))))</f>
        <v/>
      </c>
      <c r="K18" t="str">
        <f>IF($C18="","",(SUM(COUNTIFS('Data entry'!$R$6:$R$200,$C18,'Data entry'!$B$6:$B$200,{"Confirmed";"Probable"},'Data entry'!$AQ$6:$AQ$200,'Data Validation'!$V$2, 'Data entry'!$AP$6:$AP$200,'Data Validation'!$U$6, 'Data entry'!$BD$6:$BD$200,"&lt;&gt;*Negative*"))))</f>
        <v/>
      </c>
      <c r="L18" t="str">
        <f>IF($C18="","",(SUM(COUNTIFS('Data entry'!$R$6:$R$200,$C18,'Data entry'!$B$6:$B$200,{"Confirmed";"Probable"},'Data entry'!$AQ$6:$AQ$200,'Data Validation'!$V$3, 'Data entry'!$AP$6:$AP$200,'Data Validation'!$U$2, 'Data entry'!$BD$6:$BD$200,"&lt;&gt;*Negative*"))))</f>
        <v/>
      </c>
      <c r="M18" t="str">
        <f>IF($C18="","",(SUM(COUNTIFS('Data entry'!$R$6:$R$200,$C18,'Data entry'!$B$6:$B$200,{"Confirmed";"Probable"},'Data entry'!$AQ$6:$AQ$200,'Data Validation'!$V$3, 'Data entry'!$AP$6:$AP$200,'Data Validation'!$U$3, 'Data entry'!$BD$6:$BD$200,"&lt;&gt;*Negative*"))))</f>
        <v/>
      </c>
      <c r="N18" t="str">
        <f>IF($C18="","",(SUM(COUNTIFS('Data entry'!$R$6:$R$200,$C18,'Data entry'!$B$6:$B$200,{"Confirmed";"Probable"},'Data entry'!$AQ$6:$AQ$200,'Data Validation'!$V$3, 'Data entry'!$AP$6:$AP$200,'Data Validation'!$U$4, 'Data entry'!$BD$6:$BD$200,"&lt;&gt;*Negative*"))))</f>
        <v/>
      </c>
      <c r="O18" t="str">
        <f>IF($C18="","",(SUM(COUNTIFS('Data entry'!$R$6:$R$200,$C18,'Data entry'!$B$6:$B$200,{"Confirmed";"Probable"},'Data entry'!$AQ$6:$AQ$200,'Data Validation'!$V$3, 'Data entry'!$AP$6:$AP$200,'Data Validation'!$U$5, 'Data entry'!$BD$6:$BD$200,"&lt;&gt;*Negative*"))))</f>
        <v/>
      </c>
      <c r="P18" t="str">
        <f>IF($C18="","",(SUM(COUNTIFS('Data entry'!$R$6:$R$200,$C18,'Data entry'!$B$6:$B$200,{"Confirmed";"Probable"},'Data entry'!$AQ$6:$AQ$200,'Data Validation'!$V$3, 'Data entry'!$AP$6:$AP$200,'Data Validation'!$U$6, 'Data entry'!$BD$6:$BD$200,"&lt;&gt;*Negative*"))))</f>
        <v/>
      </c>
    </row>
    <row r="19" spans="1:16" x14ac:dyDescent="0.2">
      <c r="A19" s="1" t="str">
        <f>IF('Data entry'!B23="","",'Data entry'!B23)</f>
        <v/>
      </c>
      <c r="B19" s="1" t="str">
        <f>IF('Data entry'!O23="","",'Data entry'!O23)</f>
        <v/>
      </c>
      <c r="C19" s="321" t="str">
        <f>IF('Data entry'!R23="","",'Data entry'!R23)</f>
        <v/>
      </c>
      <c r="D19" s="1" t="str">
        <f>IF('Data entry'!AO23="","",'Data entry'!AO23)</f>
        <v/>
      </c>
      <c r="E19" s="1" t="str">
        <f>IF('Data entry'!AP23="","",'Data entry'!AP23)</f>
        <v/>
      </c>
      <c r="F19" s="1" t="str">
        <f>IF('Data entry'!AQ23="","",'Data entry'!AQ23)</f>
        <v/>
      </c>
      <c r="G19" t="str">
        <f>IF($C19="","",(SUM(COUNTIFS('Data entry'!$R$6:$R$200,$C19,'Data entry'!$B$6:$B$200,{"Confirmed";"Probable"},'Data entry'!$AQ$6:$AQ$200,'Data Validation'!$V$2, 'Data entry'!$AP$6:$AP$200,'Data Validation'!$U$2, 'Data entry'!$BD$6:$BD$200,"&lt;&gt;*Negative*"))))</f>
        <v/>
      </c>
      <c r="H19" t="str">
        <f>IF($C19="","",(SUM(COUNTIFS('Data entry'!$R$6:$R$200,$C19,'Data entry'!$B$6:$B$200,{"Confirmed";"Probable"},'Data entry'!$AQ$6:$AQ$200,'Data Validation'!$V$2, 'Data entry'!$AP$6:$AP$200,'Data Validation'!$U$3, 'Data entry'!$BD$6:$BD$200,"&lt;&gt;*Negative*"))))</f>
        <v/>
      </c>
      <c r="I19" t="str">
        <f>IF($C19="","",(SUM(COUNTIFS('Data entry'!$R$6:$R$200,$C19,'Data entry'!$B$6:$B$200,{"Confirmed";"Probable"},'Data entry'!$AQ$6:$AQ$200,'Data Validation'!$V$2, 'Data entry'!$AP$6:$AP$200,'Data Validation'!$U$4, 'Data entry'!$BD$6:$BD$200,"&lt;&gt;*Negative*"))))</f>
        <v/>
      </c>
      <c r="J19" t="str">
        <f>IF($C19="","",(SUM(COUNTIFS('Data entry'!$R$6:$R$200,$C19,'Data entry'!$B$6:$B$200,{"Confirmed";"Probable"},'Data entry'!$AQ$6:$AQ$200,'Data Validation'!$V$2, 'Data entry'!$AP$6:$AP$200,'Data Validation'!$U$5, 'Data entry'!$BD$6:$BD$200,"&lt;&gt;*Negative*"))))</f>
        <v/>
      </c>
      <c r="K19" t="str">
        <f>IF($C19="","",(SUM(COUNTIFS('Data entry'!$R$6:$R$200,$C19,'Data entry'!$B$6:$B$200,{"Confirmed";"Probable"},'Data entry'!$AQ$6:$AQ$200,'Data Validation'!$V$2, 'Data entry'!$AP$6:$AP$200,'Data Validation'!$U$6, 'Data entry'!$BD$6:$BD$200,"&lt;&gt;*Negative*"))))</f>
        <v/>
      </c>
      <c r="L19" t="str">
        <f>IF($C19="","",(SUM(COUNTIFS('Data entry'!$R$6:$R$200,$C19,'Data entry'!$B$6:$B$200,{"Confirmed";"Probable"},'Data entry'!$AQ$6:$AQ$200,'Data Validation'!$V$3, 'Data entry'!$AP$6:$AP$200,'Data Validation'!$U$2, 'Data entry'!$BD$6:$BD$200,"&lt;&gt;*Negative*"))))</f>
        <v/>
      </c>
      <c r="M19" t="str">
        <f>IF($C19="","",(SUM(COUNTIFS('Data entry'!$R$6:$R$200,$C19,'Data entry'!$B$6:$B$200,{"Confirmed";"Probable"},'Data entry'!$AQ$6:$AQ$200,'Data Validation'!$V$3, 'Data entry'!$AP$6:$AP$200,'Data Validation'!$U$3, 'Data entry'!$BD$6:$BD$200,"&lt;&gt;*Negative*"))))</f>
        <v/>
      </c>
      <c r="N19" t="str">
        <f>IF($C19="","",(SUM(COUNTIFS('Data entry'!$R$6:$R$200,$C19,'Data entry'!$B$6:$B$200,{"Confirmed";"Probable"},'Data entry'!$AQ$6:$AQ$200,'Data Validation'!$V$3, 'Data entry'!$AP$6:$AP$200,'Data Validation'!$U$4, 'Data entry'!$BD$6:$BD$200,"&lt;&gt;*Negative*"))))</f>
        <v/>
      </c>
      <c r="O19" t="str">
        <f>IF($C19="","",(SUM(COUNTIFS('Data entry'!$R$6:$R$200,$C19,'Data entry'!$B$6:$B$200,{"Confirmed";"Probable"},'Data entry'!$AQ$6:$AQ$200,'Data Validation'!$V$3, 'Data entry'!$AP$6:$AP$200,'Data Validation'!$U$5, 'Data entry'!$BD$6:$BD$200,"&lt;&gt;*Negative*"))))</f>
        <v/>
      </c>
      <c r="P19" t="str">
        <f>IF($C19="","",(SUM(COUNTIFS('Data entry'!$R$6:$R$200,$C19,'Data entry'!$B$6:$B$200,{"Confirmed";"Probable"},'Data entry'!$AQ$6:$AQ$200,'Data Validation'!$V$3, 'Data entry'!$AP$6:$AP$200,'Data Validation'!$U$6, 'Data entry'!$BD$6:$BD$200,"&lt;&gt;*Negative*"))))</f>
        <v/>
      </c>
    </row>
    <row r="20" spans="1:16" x14ac:dyDescent="0.2">
      <c r="A20" s="1" t="str">
        <f>IF('Data entry'!B24="","",'Data entry'!B24)</f>
        <v/>
      </c>
      <c r="B20" s="1" t="str">
        <f>IF('Data entry'!O24="","",'Data entry'!O24)</f>
        <v/>
      </c>
      <c r="C20" s="321" t="str">
        <f>IF('Data entry'!R24="","",'Data entry'!R24)</f>
        <v/>
      </c>
      <c r="D20" s="1" t="str">
        <f>IF('Data entry'!AO24="","",'Data entry'!AO24)</f>
        <v/>
      </c>
      <c r="E20" s="1" t="str">
        <f>IF('Data entry'!AP24="","",'Data entry'!AP24)</f>
        <v/>
      </c>
      <c r="F20" s="1" t="str">
        <f>IF('Data entry'!AQ24="","",'Data entry'!AQ24)</f>
        <v/>
      </c>
      <c r="G20" t="str">
        <f>IF($C20="","",(SUM(COUNTIFS('Data entry'!$R$6:$R$200,$C20,'Data entry'!$B$6:$B$200,{"Confirmed";"Probable"},'Data entry'!$AQ$6:$AQ$200,'Data Validation'!$V$2, 'Data entry'!$AP$6:$AP$200,'Data Validation'!$U$2, 'Data entry'!$BD$6:$BD$200,"&lt;&gt;*Negative*"))))</f>
        <v/>
      </c>
      <c r="H20" t="str">
        <f>IF($C20="","",(SUM(COUNTIFS('Data entry'!$R$6:$R$200,$C20,'Data entry'!$B$6:$B$200,{"Confirmed";"Probable"},'Data entry'!$AQ$6:$AQ$200,'Data Validation'!$V$2, 'Data entry'!$AP$6:$AP$200,'Data Validation'!$U$3, 'Data entry'!$BD$6:$BD$200,"&lt;&gt;*Negative*"))))</f>
        <v/>
      </c>
      <c r="I20" t="str">
        <f>IF($C20="","",(SUM(COUNTIFS('Data entry'!$R$6:$R$200,$C20,'Data entry'!$B$6:$B$200,{"Confirmed";"Probable"},'Data entry'!$AQ$6:$AQ$200,'Data Validation'!$V$2, 'Data entry'!$AP$6:$AP$200,'Data Validation'!$U$4, 'Data entry'!$BD$6:$BD$200,"&lt;&gt;*Negative*"))))</f>
        <v/>
      </c>
      <c r="J20" t="str">
        <f>IF($C20="","",(SUM(COUNTIFS('Data entry'!$R$6:$R$200,$C20,'Data entry'!$B$6:$B$200,{"Confirmed";"Probable"},'Data entry'!$AQ$6:$AQ$200,'Data Validation'!$V$2, 'Data entry'!$AP$6:$AP$200,'Data Validation'!$U$5, 'Data entry'!$BD$6:$BD$200,"&lt;&gt;*Negative*"))))</f>
        <v/>
      </c>
      <c r="K20" t="str">
        <f>IF($C20="","",(SUM(COUNTIFS('Data entry'!$R$6:$R$200,$C20,'Data entry'!$B$6:$B$200,{"Confirmed";"Probable"},'Data entry'!$AQ$6:$AQ$200,'Data Validation'!$V$2, 'Data entry'!$AP$6:$AP$200,'Data Validation'!$U$6, 'Data entry'!$BD$6:$BD$200,"&lt;&gt;*Negative*"))))</f>
        <v/>
      </c>
      <c r="L20" t="str">
        <f>IF($C20="","",(SUM(COUNTIFS('Data entry'!$R$6:$R$200,$C20,'Data entry'!$B$6:$B$200,{"Confirmed";"Probable"},'Data entry'!$AQ$6:$AQ$200,'Data Validation'!$V$3, 'Data entry'!$AP$6:$AP$200,'Data Validation'!$U$2, 'Data entry'!$BD$6:$BD$200,"&lt;&gt;*Negative*"))))</f>
        <v/>
      </c>
      <c r="M20" t="str">
        <f>IF($C20="","",(SUM(COUNTIFS('Data entry'!$R$6:$R$200,$C20,'Data entry'!$B$6:$B$200,{"Confirmed";"Probable"},'Data entry'!$AQ$6:$AQ$200,'Data Validation'!$V$3, 'Data entry'!$AP$6:$AP$200,'Data Validation'!$U$3, 'Data entry'!$BD$6:$BD$200,"&lt;&gt;*Negative*"))))</f>
        <v/>
      </c>
      <c r="N20" t="str">
        <f>IF($C20="","",(SUM(COUNTIFS('Data entry'!$R$6:$R$200,$C20,'Data entry'!$B$6:$B$200,{"Confirmed";"Probable"},'Data entry'!$AQ$6:$AQ$200,'Data Validation'!$V$3, 'Data entry'!$AP$6:$AP$200,'Data Validation'!$U$4, 'Data entry'!$BD$6:$BD$200,"&lt;&gt;*Negative*"))))</f>
        <v/>
      </c>
      <c r="O20" t="str">
        <f>IF($C20="","",(SUM(COUNTIFS('Data entry'!$R$6:$R$200,$C20,'Data entry'!$B$6:$B$200,{"Confirmed";"Probable"},'Data entry'!$AQ$6:$AQ$200,'Data Validation'!$V$3, 'Data entry'!$AP$6:$AP$200,'Data Validation'!$U$5, 'Data entry'!$BD$6:$BD$200,"&lt;&gt;*Negative*"))))</f>
        <v/>
      </c>
      <c r="P20" t="str">
        <f>IF($C20="","",(SUM(COUNTIFS('Data entry'!$R$6:$R$200,$C20,'Data entry'!$B$6:$B$200,{"Confirmed";"Probable"},'Data entry'!$AQ$6:$AQ$200,'Data Validation'!$V$3, 'Data entry'!$AP$6:$AP$200,'Data Validation'!$U$6, 'Data entry'!$BD$6:$BD$200,"&lt;&gt;*Negative*"))))</f>
        <v/>
      </c>
    </row>
    <row r="21" spans="1:16" x14ac:dyDescent="0.2">
      <c r="A21" s="1" t="str">
        <f>IF('Data entry'!B25="","",'Data entry'!B25)</f>
        <v/>
      </c>
      <c r="B21" s="1" t="str">
        <f>IF('Data entry'!O25="","",'Data entry'!O25)</f>
        <v/>
      </c>
      <c r="C21" s="321" t="str">
        <f>IF('Data entry'!R25="","",'Data entry'!R25)</f>
        <v/>
      </c>
      <c r="D21" s="1" t="str">
        <f>IF('Data entry'!AO25="","",'Data entry'!AO25)</f>
        <v/>
      </c>
      <c r="E21" s="1" t="str">
        <f>IF('Data entry'!AP25="","",'Data entry'!AP25)</f>
        <v/>
      </c>
      <c r="F21" s="1" t="str">
        <f>IF('Data entry'!AQ25="","",'Data entry'!AQ25)</f>
        <v/>
      </c>
      <c r="G21" t="str">
        <f>IF($C21="","",(SUM(COUNTIFS('Data entry'!$R$6:$R$200,$C21,'Data entry'!$B$6:$B$200,{"Confirmed";"Probable"},'Data entry'!$AQ$6:$AQ$200,'Data Validation'!$V$2, 'Data entry'!$AP$6:$AP$200,'Data Validation'!$U$2, 'Data entry'!$BD$6:$BD$200,"&lt;&gt;*Negative*"))))</f>
        <v/>
      </c>
      <c r="H21" t="str">
        <f>IF($C21="","",(SUM(COUNTIFS('Data entry'!$R$6:$R$200,$C21,'Data entry'!$B$6:$B$200,{"Confirmed";"Probable"},'Data entry'!$AQ$6:$AQ$200,'Data Validation'!$V$2, 'Data entry'!$AP$6:$AP$200,'Data Validation'!$U$3, 'Data entry'!$BD$6:$BD$200,"&lt;&gt;*Negative*"))))</f>
        <v/>
      </c>
      <c r="I21" t="str">
        <f>IF($C21="","",(SUM(COUNTIFS('Data entry'!$R$6:$R$200,$C21,'Data entry'!$B$6:$B$200,{"Confirmed";"Probable"},'Data entry'!$AQ$6:$AQ$200,'Data Validation'!$V$2, 'Data entry'!$AP$6:$AP$200,'Data Validation'!$U$4, 'Data entry'!$BD$6:$BD$200,"&lt;&gt;*Negative*"))))</f>
        <v/>
      </c>
      <c r="J21" t="str">
        <f>IF($C21="","",(SUM(COUNTIFS('Data entry'!$R$6:$R$200,$C21,'Data entry'!$B$6:$B$200,{"Confirmed";"Probable"},'Data entry'!$AQ$6:$AQ$200,'Data Validation'!$V$2, 'Data entry'!$AP$6:$AP$200,'Data Validation'!$U$5, 'Data entry'!$BD$6:$BD$200,"&lt;&gt;*Negative*"))))</f>
        <v/>
      </c>
      <c r="K21" t="str">
        <f>IF($C21="","",(SUM(COUNTIFS('Data entry'!$R$6:$R$200,$C21,'Data entry'!$B$6:$B$200,{"Confirmed";"Probable"},'Data entry'!$AQ$6:$AQ$200,'Data Validation'!$V$2, 'Data entry'!$AP$6:$AP$200,'Data Validation'!$U$6, 'Data entry'!$BD$6:$BD$200,"&lt;&gt;*Negative*"))))</f>
        <v/>
      </c>
      <c r="L21" t="str">
        <f>IF($C21="","",(SUM(COUNTIFS('Data entry'!$R$6:$R$200,$C21,'Data entry'!$B$6:$B$200,{"Confirmed";"Probable"},'Data entry'!$AQ$6:$AQ$200,'Data Validation'!$V$3, 'Data entry'!$AP$6:$AP$200,'Data Validation'!$U$2, 'Data entry'!$BD$6:$BD$200,"&lt;&gt;*Negative*"))))</f>
        <v/>
      </c>
      <c r="M21" t="str">
        <f>IF($C21="","",(SUM(COUNTIFS('Data entry'!$R$6:$R$200,$C21,'Data entry'!$B$6:$B$200,{"Confirmed";"Probable"},'Data entry'!$AQ$6:$AQ$200,'Data Validation'!$V$3, 'Data entry'!$AP$6:$AP$200,'Data Validation'!$U$3, 'Data entry'!$BD$6:$BD$200,"&lt;&gt;*Negative*"))))</f>
        <v/>
      </c>
      <c r="N21" t="str">
        <f>IF($C21="","",(SUM(COUNTIFS('Data entry'!$R$6:$R$200,$C21,'Data entry'!$B$6:$B$200,{"Confirmed";"Probable"},'Data entry'!$AQ$6:$AQ$200,'Data Validation'!$V$3, 'Data entry'!$AP$6:$AP$200,'Data Validation'!$U$4, 'Data entry'!$BD$6:$BD$200,"&lt;&gt;*Negative*"))))</f>
        <v/>
      </c>
      <c r="O21" t="str">
        <f>IF($C21="","",(SUM(COUNTIFS('Data entry'!$R$6:$R$200,$C21,'Data entry'!$B$6:$B$200,{"Confirmed";"Probable"},'Data entry'!$AQ$6:$AQ$200,'Data Validation'!$V$3, 'Data entry'!$AP$6:$AP$200,'Data Validation'!$U$5, 'Data entry'!$BD$6:$BD$200,"&lt;&gt;*Negative*"))))</f>
        <v/>
      </c>
      <c r="P21" t="str">
        <f>IF($C21="","",(SUM(COUNTIFS('Data entry'!$R$6:$R$200,$C21,'Data entry'!$B$6:$B$200,{"Confirmed";"Probable"},'Data entry'!$AQ$6:$AQ$200,'Data Validation'!$V$3, 'Data entry'!$AP$6:$AP$200,'Data Validation'!$U$6, 'Data entry'!$BD$6:$BD$200,"&lt;&gt;*Negative*"))))</f>
        <v/>
      </c>
    </row>
    <row r="22" spans="1:16" x14ac:dyDescent="0.2">
      <c r="A22" s="1" t="str">
        <f>IF('Data entry'!B26="","",'Data entry'!B26)</f>
        <v/>
      </c>
      <c r="B22" s="1" t="str">
        <f>IF('Data entry'!O26="","",'Data entry'!O26)</f>
        <v/>
      </c>
      <c r="C22" s="321" t="str">
        <f>IF('Data entry'!R26="","",'Data entry'!R26)</f>
        <v/>
      </c>
      <c r="D22" s="1" t="str">
        <f>IF('Data entry'!AO26="","",'Data entry'!AO26)</f>
        <v/>
      </c>
      <c r="E22" s="1" t="str">
        <f>IF('Data entry'!AP26="","",'Data entry'!AP26)</f>
        <v/>
      </c>
      <c r="F22" s="1" t="str">
        <f>IF('Data entry'!AQ26="","",'Data entry'!AQ26)</f>
        <v/>
      </c>
      <c r="G22" t="str">
        <f>IF($C22="","",(SUM(COUNTIFS('Data entry'!$R$6:$R$200,$C22,'Data entry'!$B$6:$B$200,{"Confirmed";"Probable"},'Data entry'!$AQ$6:$AQ$200,'Data Validation'!$V$2, 'Data entry'!$AP$6:$AP$200,'Data Validation'!$U$2, 'Data entry'!$BD$6:$BD$200,"&lt;&gt;*Negative*"))))</f>
        <v/>
      </c>
      <c r="H22" t="str">
        <f>IF($C22="","",(SUM(COUNTIFS('Data entry'!$R$6:$R$200,$C22,'Data entry'!$B$6:$B$200,{"Confirmed";"Probable"},'Data entry'!$AQ$6:$AQ$200,'Data Validation'!$V$2, 'Data entry'!$AP$6:$AP$200,'Data Validation'!$U$3, 'Data entry'!$BD$6:$BD$200,"&lt;&gt;*Negative*"))))</f>
        <v/>
      </c>
      <c r="I22" t="str">
        <f>IF($C22="","",(SUM(COUNTIFS('Data entry'!$R$6:$R$200,$C22,'Data entry'!$B$6:$B$200,{"Confirmed";"Probable"},'Data entry'!$AQ$6:$AQ$200,'Data Validation'!$V$2, 'Data entry'!$AP$6:$AP$200,'Data Validation'!$U$4, 'Data entry'!$BD$6:$BD$200,"&lt;&gt;*Negative*"))))</f>
        <v/>
      </c>
      <c r="J22" t="str">
        <f>IF($C22="","",(SUM(COUNTIFS('Data entry'!$R$6:$R$200,$C22,'Data entry'!$B$6:$B$200,{"Confirmed";"Probable"},'Data entry'!$AQ$6:$AQ$200,'Data Validation'!$V$2, 'Data entry'!$AP$6:$AP$200,'Data Validation'!$U$5, 'Data entry'!$BD$6:$BD$200,"&lt;&gt;*Negative*"))))</f>
        <v/>
      </c>
      <c r="K22" t="str">
        <f>IF($C22="","",(SUM(COUNTIFS('Data entry'!$R$6:$R$200,$C22,'Data entry'!$B$6:$B$200,{"Confirmed";"Probable"},'Data entry'!$AQ$6:$AQ$200,'Data Validation'!$V$2, 'Data entry'!$AP$6:$AP$200,'Data Validation'!$U$6, 'Data entry'!$BD$6:$BD$200,"&lt;&gt;*Negative*"))))</f>
        <v/>
      </c>
      <c r="L22" t="str">
        <f>IF($C22="","",(SUM(COUNTIFS('Data entry'!$R$6:$R$200,$C22,'Data entry'!$B$6:$B$200,{"Confirmed";"Probable"},'Data entry'!$AQ$6:$AQ$200,'Data Validation'!$V$3, 'Data entry'!$AP$6:$AP$200,'Data Validation'!$U$2, 'Data entry'!$BD$6:$BD$200,"&lt;&gt;*Negative*"))))</f>
        <v/>
      </c>
      <c r="M22" t="str">
        <f>IF($C22="","",(SUM(COUNTIFS('Data entry'!$R$6:$R$200,$C22,'Data entry'!$B$6:$B$200,{"Confirmed";"Probable"},'Data entry'!$AQ$6:$AQ$200,'Data Validation'!$V$3, 'Data entry'!$AP$6:$AP$200,'Data Validation'!$U$3, 'Data entry'!$BD$6:$BD$200,"&lt;&gt;*Negative*"))))</f>
        <v/>
      </c>
      <c r="N22" t="str">
        <f>IF($C22="","",(SUM(COUNTIFS('Data entry'!$R$6:$R$200,$C22,'Data entry'!$B$6:$B$200,{"Confirmed";"Probable"},'Data entry'!$AQ$6:$AQ$200,'Data Validation'!$V$3, 'Data entry'!$AP$6:$AP$200,'Data Validation'!$U$4, 'Data entry'!$BD$6:$BD$200,"&lt;&gt;*Negative*"))))</f>
        <v/>
      </c>
      <c r="O22" t="str">
        <f>IF($C22="","",(SUM(COUNTIFS('Data entry'!$R$6:$R$200,$C22,'Data entry'!$B$6:$B$200,{"Confirmed";"Probable"},'Data entry'!$AQ$6:$AQ$200,'Data Validation'!$V$3, 'Data entry'!$AP$6:$AP$200,'Data Validation'!$U$5, 'Data entry'!$BD$6:$BD$200,"&lt;&gt;*Negative*"))))</f>
        <v/>
      </c>
      <c r="P22" t="str">
        <f>IF($C22="","",(SUM(COUNTIFS('Data entry'!$R$6:$R$200,$C22,'Data entry'!$B$6:$B$200,{"Confirmed";"Probable"},'Data entry'!$AQ$6:$AQ$200,'Data Validation'!$V$3, 'Data entry'!$AP$6:$AP$200,'Data Validation'!$U$6, 'Data entry'!$BD$6:$BD$200,"&lt;&gt;*Negative*"))))</f>
        <v/>
      </c>
    </row>
    <row r="23" spans="1:16" x14ac:dyDescent="0.2">
      <c r="A23" s="1" t="str">
        <f>IF('Data entry'!B27="","",'Data entry'!B27)</f>
        <v/>
      </c>
      <c r="B23" s="1" t="str">
        <f>IF('Data entry'!O27="","",'Data entry'!O27)</f>
        <v/>
      </c>
      <c r="C23" s="321" t="str">
        <f>IF('Data entry'!R27="","",'Data entry'!R27)</f>
        <v/>
      </c>
      <c r="D23" s="1" t="str">
        <f>IF('Data entry'!AO27="","",'Data entry'!AO27)</f>
        <v/>
      </c>
      <c r="E23" s="1" t="str">
        <f>IF('Data entry'!AP27="","",'Data entry'!AP27)</f>
        <v/>
      </c>
      <c r="F23" s="1" t="str">
        <f>IF('Data entry'!AQ27="","",'Data entry'!AQ27)</f>
        <v/>
      </c>
      <c r="G23" t="str">
        <f>IF($C23="","",(SUM(COUNTIFS('Data entry'!$R$6:$R$200,$C23,'Data entry'!$B$6:$B$200,{"Confirmed";"Probable"},'Data entry'!$AQ$6:$AQ$200,'Data Validation'!$V$2, 'Data entry'!$AP$6:$AP$200,'Data Validation'!$U$2, 'Data entry'!$BD$6:$BD$200,"&lt;&gt;*Negative*"))))</f>
        <v/>
      </c>
      <c r="H23" t="str">
        <f>IF($C23="","",(SUM(COUNTIFS('Data entry'!$R$6:$R$200,$C23,'Data entry'!$B$6:$B$200,{"Confirmed";"Probable"},'Data entry'!$AQ$6:$AQ$200,'Data Validation'!$V$2, 'Data entry'!$AP$6:$AP$200,'Data Validation'!$U$3, 'Data entry'!$BD$6:$BD$200,"&lt;&gt;*Negative*"))))</f>
        <v/>
      </c>
      <c r="I23" t="str">
        <f>IF($C23="","",(SUM(COUNTIFS('Data entry'!$R$6:$R$200,$C23,'Data entry'!$B$6:$B$200,{"Confirmed";"Probable"},'Data entry'!$AQ$6:$AQ$200,'Data Validation'!$V$2, 'Data entry'!$AP$6:$AP$200,'Data Validation'!$U$4, 'Data entry'!$BD$6:$BD$200,"&lt;&gt;*Negative*"))))</f>
        <v/>
      </c>
      <c r="J23" t="str">
        <f>IF($C23="","",(SUM(COUNTIFS('Data entry'!$R$6:$R$200,$C23,'Data entry'!$B$6:$B$200,{"Confirmed";"Probable"},'Data entry'!$AQ$6:$AQ$200,'Data Validation'!$V$2, 'Data entry'!$AP$6:$AP$200,'Data Validation'!$U$5, 'Data entry'!$BD$6:$BD$200,"&lt;&gt;*Negative*"))))</f>
        <v/>
      </c>
      <c r="K23" t="str">
        <f>IF($C23="","",(SUM(COUNTIFS('Data entry'!$R$6:$R$200,$C23,'Data entry'!$B$6:$B$200,{"Confirmed";"Probable"},'Data entry'!$AQ$6:$AQ$200,'Data Validation'!$V$2, 'Data entry'!$AP$6:$AP$200,'Data Validation'!$U$6, 'Data entry'!$BD$6:$BD$200,"&lt;&gt;*Negative*"))))</f>
        <v/>
      </c>
      <c r="L23" t="str">
        <f>IF($C23="","",(SUM(COUNTIFS('Data entry'!$R$6:$R$200,$C23,'Data entry'!$B$6:$B$200,{"Confirmed";"Probable"},'Data entry'!$AQ$6:$AQ$200,'Data Validation'!$V$3, 'Data entry'!$AP$6:$AP$200,'Data Validation'!$U$2, 'Data entry'!$BD$6:$BD$200,"&lt;&gt;*Negative*"))))</f>
        <v/>
      </c>
      <c r="M23" t="str">
        <f>IF($C23="","",(SUM(COUNTIFS('Data entry'!$R$6:$R$200,$C23,'Data entry'!$B$6:$B$200,{"Confirmed";"Probable"},'Data entry'!$AQ$6:$AQ$200,'Data Validation'!$V$3, 'Data entry'!$AP$6:$AP$200,'Data Validation'!$U$3, 'Data entry'!$BD$6:$BD$200,"&lt;&gt;*Negative*"))))</f>
        <v/>
      </c>
      <c r="N23" t="str">
        <f>IF($C23="","",(SUM(COUNTIFS('Data entry'!$R$6:$R$200,$C23,'Data entry'!$B$6:$B$200,{"Confirmed";"Probable"},'Data entry'!$AQ$6:$AQ$200,'Data Validation'!$V$3, 'Data entry'!$AP$6:$AP$200,'Data Validation'!$U$4, 'Data entry'!$BD$6:$BD$200,"&lt;&gt;*Negative*"))))</f>
        <v/>
      </c>
      <c r="O23" t="str">
        <f>IF($C23="","",(SUM(COUNTIFS('Data entry'!$R$6:$R$200,$C23,'Data entry'!$B$6:$B$200,{"Confirmed";"Probable"},'Data entry'!$AQ$6:$AQ$200,'Data Validation'!$V$3, 'Data entry'!$AP$6:$AP$200,'Data Validation'!$U$5, 'Data entry'!$BD$6:$BD$200,"&lt;&gt;*Negative*"))))</f>
        <v/>
      </c>
      <c r="P23" t="str">
        <f>IF($C23="","",(SUM(COUNTIFS('Data entry'!$R$6:$R$200,$C23,'Data entry'!$B$6:$B$200,{"Confirmed";"Probable"},'Data entry'!$AQ$6:$AQ$200,'Data Validation'!$V$3, 'Data entry'!$AP$6:$AP$200,'Data Validation'!$U$6, 'Data entry'!$BD$6:$BD$200,"&lt;&gt;*Negative*"))))</f>
        <v/>
      </c>
    </row>
    <row r="24" spans="1:16" x14ac:dyDescent="0.2">
      <c r="A24" s="1" t="str">
        <f>IF('Data entry'!B28="","",'Data entry'!B28)</f>
        <v/>
      </c>
      <c r="B24" s="1" t="str">
        <f>IF('Data entry'!O28="","",'Data entry'!O28)</f>
        <v/>
      </c>
      <c r="C24" s="321" t="str">
        <f>IF('Data entry'!R28="","",'Data entry'!R28)</f>
        <v/>
      </c>
      <c r="D24" s="1" t="str">
        <f>IF('Data entry'!AO28="","",'Data entry'!AO28)</f>
        <v/>
      </c>
      <c r="E24" s="1" t="str">
        <f>IF('Data entry'!AP28="","",'Data entry'!AP28)</f>
        <v/>
      </c>
      <c r="F24" s="1" t="str">
        <f>IF('Data entry'!AQ28="","",'Data entry'!AQ28)</f>
        <v/>
      </c>
      <c r="G24" t="str">
        <f>IF($C24="","",(SUM(COUNTIFS('Data entry'!$R$6:$R$200,$C24,'Data entry'!$B$6:$B$200,{"Confirmed";"Probable"},'Data entry'!$AQ$6:$AQ$200,'Data Validation'!$V$2, 'Data entry'!$AP$6:$AP$200,'Data Validation'!$U$2, 'Data entry'!$BD$6:$BD$200,"&lt;&gt;*Negative*"))))</f>
        <v/>
      </c>
      <c r="H24" t="str">
        <f>IF($C24="","",(SUM(COUNTIFS('Data entry'!$R$6:$R$200,$C24,'Data entry'!$B$6:$B$200,{"Confirmed";"Probable"},'Data entry'!$AQ$6:$AQ$200,'Data Validation'!$V$2, 'Data entry'!$AP$6:$AP$200,'Data Validation'!$U$3, 'Data entry'!$BD$6:$BD$200,"&lt;&gt;*Negative*"))))</f>
        <v/>
      </c>
      <c r="I24" t="str">
        <f>IF($C24="","",(SUM(COUNTIFS('Data entry'!$R$6:$R$200,$C24,'Data entry'!$B$6:$B$200,{"Confirmed";"Probable"},'Data entry'!$AQ$6:$AQ$200,'Data Validation'!$V$2, 'Data entry'!$AP$6:$AP$200,'Data Validation'!$U$4, 'Data entry'!$BD$6:$BD$200,"&lt;&gt;*Negative*"))))</f>
        <v/>
      </c>
      <c r="J24" t="str">
        <f>IF($C24="","",(SUM(COUNTIFS('Data entry'!$R$6:$R$200,$C24,'Data entry'!$B$6:$B$200,{"Confirmed";"Probable"},'Data entry'!$AQ$6:$AQ$200,'Data Validation'!$V$2, 'Data entry'!$AP$6:$AP$200,'Data Validation'!$U$5, 'Data entry'!$BD$6:$BD$200,"&lt;&gt;*Negative*"))))</f>
        <v/>
      </c>
      <c r="K24" t="str">
        <f>IF($C24="","",(SUM(COUNTIFS('Data entry'!$R$6:$R$200,$C24,'Data entry'!$B$6:$B$200,{"Confirmed";"Probable"},'Data entry'!$AQ$6:$AQ$200,'Data Validation'!$V$2, 'Data entry'!$AP$6:$AP$200,'Data Validation'!$U$6, 'Data entry'!$BD$6:$BD$200,"&lt;&gt;*Negative*"))))</f>
        <v/>
      </c>
      <c r="L24" t="str">
        <f>IF($C24="","",(SUM(COUNTIFS('Data entry'!$R$6:$R$200,$C24,'Data entry'!$B$6:$B$200,{"Confirmed";"Probable"},'Data entry'!$AQ$6:$AQ$200,'Data Validation'!$V$3, 'Data entry'!$AP$6:$AP$200,'Data Validation'!$U$2, 'Data entry'!$BD$6:$BD$200,"&lt;&gt;*Negative*"))))</f>
        <v/>
      </c>
      <c r="M24" t="str">
        <f>IF($C24="","",(SUM(COUNTIFS('Data entry'!$R$6:$R$200,$C24,'Data entry'!$B$6:$B$200,{"Confirmed";"Probable"},'Data entry'!$AQ$6:$AQ$200,'Data Validation'!$V$3, 'Data entry'!$AP$6:$AP$200,'Data Validation'!$U$3, 'Data entry'!$BD$6:$BD$200,"&lt;&gt;*Negative*"))))</f>
        <v/>
      </c>
      <c r="N24" t="str">
        <f>IF($C24="","",(SUM(COUNTIFS('Data entry'!$R$6:$R$200,$C24,'Data entry'!$B$6:$B$200,{"Confirmed";"Probable"},'Data entry'!$AQ$6:$AQ$200,'Data Validation'!$V$3, 'Data entry'!$AP$6:$AP$200,'Data Validation'!$U$4, 'Data entry'!$BD$6:$BD$200,"&lt;&gt;*Negative*"))))</f>
        <v/>
      </c>
      <c r="O24" t="str">
        <f>IF($C24="","",(SUM(COUNTIFS('Data entry'!$R$6:$R$200,$C24,'Data entry'!$B$6:$B$200,{"Confirmed";"Probable"},'Data entry'!$AQ$6:$AQ$200,'Data Validation'!$V$3, 'Data entry'!$AP$6:$AP$200,'Data Validation'!$U$5, 'Data entry'!$BD$6:$BD$200,"&lt;&gt;*Negative*"))))</f>
        <v/>
      </c>
      <c r="P24" t="str">
        <f>IF($C24="","",(SUM(COUNTIFS('Data entry'!$R$6:$R$200,$C24,'Data entry'!$B$6:$B$200,{"Confirmed";"Probable"},'Data entry'!$AQ$6:$AQ$200,'Data Validation'!$V$3, 'Data entry'!$AP$6:$AP$200,'Data Validation'!$U$6, 'Data entry'!$BD$6:$BD$200,"&lt;&gt;*Negative*"))))</f>
        <v/>
      </c>
    </row>
    <row r="25" spans="1:16" x14ac:dyDescent="0.2">
      <c r="A25" s="1" t="str">
        <f>IF('Data entry'!B29="","",'Data entry'!B29)</f>
        <v/>
      </c>
      <c r="B25" s="1" t="str">
        <f>IF('Data entry'!O29="","",'Data entry'!O29)</f>
        <v/>
      </c>
      <c r="C25" s="321" t="str">
        <f>IF('Data entry'!R29="","",'Data entry'!R29)</f>
        <v/>
      </c>
      <c r="D25" s="1" t="str">
        <f>IF('Data entry'!AO29="","",'Data entry'!AO29)</f>
        <v/>
      </c>
      <c r="E25" s="1" t="str">
        <f>IF('Data entry'!AP29="","",'Data entry'!AP29)</f>
        <v/>
      </c>
      <c r="F25" s="1" t="str">
        <f>IF('Data entry'!AQ29="","",'Data entry'!AQ29)</f>
        <v/>
      </c>
      <c r="G25" t="str">
        <f>IF($C25="","",(SUM(COUNTIFS('Data entry'!$R$6:$R$200,$C25,'Data entry'!$B$6:$B$200,{"Confirmed";"Probable"},'Data entry'!$AQ$6:$AQ$200,'Data Validation'!$V$2, 'Data entry'!$AP$6:$AP$200,'Data Validation'!$U$2, 'Data entry'!$BD$6:$BD$200,"&lt;&gt;*Negative*"))))</f>
        <v/>
      </c>
      <c r="H25" t="str">
        <f>IF($C25="","",(SUM(COUNTIFS('Data entry'!$R$6:$R$200,$C25,'Data entry'!$B$6:$B$200,{"Confirmed";"Probable"},'Data entry'!$AQ$6:$AQ$200,'Data Validation'!$V$2, 'Data entry'!$AP$6:$AP$200,'Data Validation'!$U$3, 'Data entry'!$BD$6:$BD$200,"&lt;&gt;*Negative*"))))</f>
        <v/>
      </c>
      <c r="I25" t="str">
        <f>IF($C25="","",(SUM(COUNTIFS('Data entry'!$R$6:$R$200,$C25,'Data entry'!$B$6:$B$200,{"Confirmed";"Probable"},'Data entry'!$AQ$6:$AQ$200,'Data Validation'!$V$2, 'Data entry'!$AP$6:$AP$200,'Data Validation'!$U$4, 'Data entry'!$BD$6:$BD$200,"&lt;&gt;*Negative*"))))</f>
        <v/>
      </c>
      <c r="J25" t="str">
        <f>IF($C25="","",(SUM(COUNTIFS('Data entry'!$R$6:$R$200,$C25,'Data entry'!$B$6:$B$200,{"Confirmed";"Probable"},'Data entry'!$AQ$6:$AQ$200,'Data Validation'!$V$2, 'Data entry'!$AP$6:$AP$200,'Data Validation'!$U$5, 'Data entry'!$BD$6:$BD$200,"&lt;&gt;*Negative*"))))</f>
        <v/>
      </c>
      <c r="K25" t="str">
        <f>IF($C25="","",(SUM(COUNTIFS('Data entry'!$R$6:$R$200,$C25,'Data entry'!$B$6:$B$200,{"Confirmed";"Probable"},'Data entry'!$AQ$6:$AQ$200,'Data Validation'!$V$2, 'Data entry'!$AP$6:$AP$200,'Data Validation'!$U$6, 'Data entry'!$BD$6:$BD$200,"&lt;&gt;*Negative*"))))</f>
        <v/>
      </c>
      <c r="L25" t="str">
        <f>IF($C25="","",(SUM(COUNTIFS('Data entry'!$R$6:$R$200,$C25,'Data entry'!$B$6:$B$200,{"Confirmed";"Probable"},'Data entry'!$AQ$6:$AQ$200,'Data Validation'!$V$3, 'Data entry'!$AP$6:$AP$200,'Data Validation'!$U$2, 'Data entry'!$BD$6:$BD$200,"&lt;&gt;*Negative*"))))</f>
        <v/>
      </c>
      <c r="M25" t="str">
        <f>IF($C25="","",(SUM(COUNTIFS('Data entry'!$R$6:$R$200,$C25,'Data entry'!$B$6:$B$200,{"Confirmed";"Probable"},'Data entry'!$AQ$6:$AQ$200,'Data Validation'!$V$3, 'Data entry'!$AP$6:$AP$200,'Data Validation'!$U$3, 'Data entry'!$BD$6:$BD$200,"&lt;&gt;*Negative*"))))</f>
        <v/>
      </c>
      <c r="N25" t="str">
        <f>IF($C25="","",(SUM(COUNTIFS('Data entry'!$R$6:$R$200,$C25,'Data entry'!$B$6:$B$200,{"Confirmed";"Probable"},'Data entry'!$AQ$6:$AQ$200,'Data Validation'!$V$3, 'Data entry'!$AP$6:$AP$200,'Data Validation'!$U$4, 'Data entry'!$BD$6:$BD$200,"&lt;&gt;*Negative*"))))</f>
        <v/>
      </c>
      <c r="O25" t="str">
        <f>IF($C25="","",(SUM(COUNTIFS('Data entry'!$R$6:$R$200,$C25,'Data entry'!$B$6:$B$200,{"Confirmed";"Probable"},'Data entry'!$AQ$6:$AQ$200,'Data Validation'!$V$3, 'Data entry'!$AP$6:$AP$200,'Data Validation'!$U$5, 'Data entry'!$BD$6:$BD$200,"&lt;&gt;*Negative*"))))</f>
        <v/>
      </c>
      <c r="P25" t="str">
        <f>IF($C25="","",(SUM(COUNTIFS('Data entry'!$R$6:$R$200,$C25,'Data entry'!$B$6:$B$200,{"Confirmed";"Probable"},'Data entry'!$AQ$6:$AQ$200,'Data Validation'!$V$3, 'Data entry'!$AP$6:$AP$200,'Data Validation'!$U$6, 'Data entry'!$BD$6:$BD$200,"&lt;&gt;*Negative*"))))</f>
        <v/>
      </c>
    </row>
    <row r="26" spans="1:16" x14ac:dyDescent="0.2">
      <c r="A26" s="1" t="str">
        <f>IF('Data entry'!B30="","",'Data entry'!B30)</f>
        <v/>
      </c>
      <c r="B26" s="1" t="str">
        <f>IF('Data entry'!O30="","",'Data entry'!O30)</f>
        <v/>
      </c>
      <c r="C26" s="321" t="str">
        <f>IF('Data entry'!R30="","",'Data entry'!R30)</f>
        <v/>
      </c>
      <c r="D26" s="1" t="str">
        <f>IF('Data entry'!AO30="","",'Data entry'!AO30)</f>
        <v/>
      </c>
      <c r="E26" s="1" t="str">
        <f>IF('Data entry'!AP30="","",'Data entry'!AP30)</f>
        <v/>
      </c>
      <c r="F26" s="1" t="str">
        <f>IF('Data entry'!AQ30="","",'Data entry'!AQ30)</f>
        <v/>
      </c>
      <c r="G26" t="str">
        <f>IF($C26="","",(SUM(COUNTIFS('Data entry'!$R$6:$R$200,$C26,'Data entry'!$B$6:$B$200,{"Confirmed";"Probable"},'Data entry'!$AQ$6:$AQ$200,'Data Validation'!$V$2, 'Data entry'!$AP$6:$AP$200,'Data Validation'!$U$2, 'Data entry'!$BD$6:$BD$200,"&lt;&gt;*Negative*"))))</f>
        <v/>
      </c>
      <c r="H26" t="str">
        <f>IF($C26="","",(SUM(COUNTIFS('Data entry'!$R$6:$R$200,$C26,'Data entry'!$B$6:$B$200,{"Confirmed";"Probable"},'Data entry'!$AQ$6:$AQ$200,'Data Validation'!$V$2, 'Data entry'!$AP$6:$AP$200,'Data Validation'!$U$3, 'Data entry'!$BD$6:$BD$200,"&lt;&gt;*Negative*"))))</f>
        <v/>
      </c>
      <c r="I26" t="str">
        <f>IF($C26="","",(SUM(COUNTIFS('Data entry'!$R$6:$R$200,$C26,'Data entry'!$B$6:$B$200,{"Confirmed";"Probable"},'Data entry'!$AQ$6:$AQ$200,'Data Validation'!$V$2, 'Data entry'!$AP$6:$AP$200,'Data Validation'!$U$4, 'Data entry'!$BD$6:$BD$200,"&lt;&gt;*Negative*"))))</f>
        <v/>
      </c>
      <c r="J26" t="str">
        <f>IF($C26="","",(SUM(COUNTIFS('Data entry'!$R$6:$R$200,$C26,'Data entry'!$B$6:$B$200,{"Confirmed";"Probable"},'Data entry'!$AQ$6:$AQ$200,'Data Validation'!$V$2, 'Data entry'!$AP$6:$AP$200,'Data Validation'!$U$5, 'Data entry'!$BD$6:$BD$200,"&lt;&gt;*Negative*"))))</f>
        <v/>
      </c>
      <c r="K26" t="str">
        <f>IF($C26="","",(SUM(COUNTIFS('Data entry'!$R$6:$R$200,$C26,'Data entry'!$B$6:$B$200,{"Confirmed";"Probable"},'Data entry'!$AQ$6:$AQ$200,'Data Validation'!$V$2, 'Data entry'!$AP$6:$AP$200,'Data Validation'!$U$6, 'Data entry'!$BD$6:$BD$200,"&lt;&gt;*Negative*"))))</f>
        <v/>
      </c>
      <c r="L26" t="str">
        <f>IF($C26="","",(SUM(COUNTIFS('Data entry'!$R$6:$R$200,$C26,'Data entry'!$B$6:$B$200,{"Confirmed";"Probable"},'Data entry'!$AQ$6:$AQ$200,'Data Validation'!$V$3, 'Data entry'!$AP$6:$AP$200,'Data Validation'!$U$2, 'Data entry'!$BD$6:$BD$200,"&lt;&gt;*Negative*"))))</f>
        <v/>
      </c>
      <c r="M26" t="str">
        <f>IF($C26="","",(SUM(COUNTIFS('Data entry'!$R$6:$R$200,$C26,'Data entry'!$B$6:$B$200,{"Confirmed";"Probable"},'Data entry'!$AQ$6:$AQ$200,'Data Validation'!$V$3, 'Data entry'!$AP$6:$AP$200,'Data Validation'!$U$3, 'Data entry'!$BD$6:$BD$200,"&lt;&gt;*Negative*"))))</f>
        <v/>
      </c>
      <c r="N26" t="str">
        <f>IF($C26="","",(SUM(COUNTIFS('Data entry'!$R$6:$R$200,$C26,'Data entry'!$B$6:$B$200,{"Confirmed";"Probable"},'Data entry'!$AQ$6:$AQ$200,'Data Validation'!$V$3, 'Data entry'!$AP$6:$AP$200,'Data Validation'!$U$4, 'Data entry'!$BD$6:$BD$200,"&lt;&gt;*Negative*"))))</f>
        <v/>
      </c>
      <c r="O26" t="str">
        <f>IF($C26="","",(SUM(COUNTIFS('Data entry'!$R$6:$R$200,$C26,'Data entry'!$B$6:$B$200,{"Confirmed";"Probable"},'Data entry'!$AQ$6:$AQ$200,'Data Validation'!$V$3, 'Data entry'!$AP$6:$AP$200,'Data Validation'!$U$5, 'Data entry'!$BD$6:$BD$200,"&lt;&gt;*Negative*"))))</f>
        <v/>
      </c>
      <c r="P26" t="str">
        <f>IF($C26="","",(SUM(COUNTIFS('Data entry'!$R$6:$R$200,$C26,'Data entry'!$B$6:$B$200,{"Confirmed";"Probable"},'Data entry'!$AQ$6:$AQ$200,'Data Validation'!$V$3, 'Data entry'!$AP$6:$AP$200,'Data Validation'!$U$6, 'Data entry'!$BD$6:$BD$200,"&lt;&gt;*Negative*"))))</f>
        <v/>
      </c>
    </row>
    <row r="27" spans="1:16" x14ac:dyDescent="0.2">
      <c r="A27" s="1" t="str">
        <f>IF('Data entry'!B31="","",'Data entry'!B31)</f>
        <v/>
      </c>
      <c r="B27" s="1" t="str">
        <f>IF('Data entry'!O31="","",'Data entry'!O31)</f>
        <v/>
      </c>
      <c r="C27" s="321" t="str">
        <f>IF('Data entry'!R31="","",'Data entry'!R31)</f>
        <v/>
      </c>
      <c r="D27" s="1" t="str">
        <f>IF('Data entry'!AO31="","",'Data entry'!AO31)</f>
        <v/>
      </c>
      <c r="E27" s="1" t="str">
        <f>IF('Data entry'!AP31="","",'Data entry'!AP31)</f>
        <v/>
      </c>
      <c r="F27" s="1" t="str">
        <f>IF('Data entry'!AQ31="","",'Data entry'!AQ31)</f>
        <v/>
      </c>
      <c r="G27" t="str">
        <f>IF($C27="","",(SUM(COUNTIFS('Data entry'!$R$6:$R$200,$C27,'Data entry'!$B$6:$B$200,{"Confirmed";"Probable"},'Data entry'!$AQ$6:$AQ$200,'Data Validation'!$V$2, 'Data entry'!$AP$6:$AP$200,'Data Validation'!$U$2, 'Data entry'!$BD$6:$BD$200,"&lt;&gt;*Negative*"))))</f>
        <v/>
      </c>
      <c r="H27" t="str">
        <f>IF($C27="","",(SUM(COUNTIFS('Data entry'!$R$6:$R$200,$C27,'Data entry'!$B$6:$B$200,{"Confirmed";"Probable"},'Data entry'!$AQ$6:$AQ$200,'Data Validation'!$V$2, 'Data entry'!$AP$6:$AP$200,'Data Validation'!$U$3, 'Data entry'!$BD$6:$BD$200,"&lt;&gt;*Negative*"))))</f>
        <v/>
      </c>
      <c r="I27" t="str">
        <f>IF($C27="","",(SUM(COUNTIFS('Data entry'!$R$6:$R$200,$C27,'Data entry'!$B$6:$B$200,{"Confirmed";"Probable"},'Data entry'!$AQ$6:$AQ$200,'Data Validation'!$V$2, 'Data entry'!$AP$6:$AP$200,'Data Validation'!$U$4, 'Data entry'!$BD$6:$BD$200,"&lt;&gt;*Negative*"))))</f>
        <v/>
      </c>
      <c r="J27" t="str">
        <f>IF($C27="","",(SUM(COUNTIFS('Data entry'!$R$6:$R$200,$C27,'Data entry'!$B$6:$B$200,{"Confirmed";"Probable"},'Data entry'!$AQ$6:$AQ$200,'Data Validation'!$V$2, 'Data entry'!$AP$6:$AP$200,'Data Validation'!$U$5, 'Data entry'!$BD$6:$BD$200,"&lt;&gt;*Negative*"))))</f>
        <v/>
      </c>
      <c r="K27" t="str">
        <f>IF($C27="","",(SUM(COUNTIFS('Data entry'!$R$6:$R$200,$C27,'Data entry'!$B$6:$B$200,{"Confirmed";"Probable"},'Data entry'!$AQ$6:$AQ$200,'Data Validation'!$V$2, 'Data entry'!$AP$6:$AP$200,'Data Validation'!$U$6, 'Data entry'!$BD$6:$BD$200,"&lt;&gt;*Negative*"))))</f>
        <v/>
      </c>
      <c r="L27" t="str">
        <f>IF($C27="","",(SUM(COUNTIFS('Data entry'!$R$6:$R$200,$C27,'Data entry'!$B$6:$B$200,{"Confirmed";"Probable"},'Data entry'!$AQ$6:$AQ$200,'Data Validation'!$V$3, 'Data entry'!$AP$6:$AP$200,'Data Validation'!$U$2, 'Data entry'!$BD$6:$BD$200,"&lt;&gt;*Negative*"))))</f>
        <v/>
      </c>
      <c r="M27" t="str">
        <f>IF($C27="","",(SUM(COUNTIFS('Data entry'!$R$6:$R$200,$C27,'Data entry'!$B$6:$B$200,{"Confirmed";"Probable"},'Data entry'!$AQ$6:$AQ$200,'Data Validation'!$V$3, 'Data entry'!$AP$6:$AP$200,'Data Validation'!$U$3, 'Data entry'!$BD$6:$BD$200,"&lt;&gt;*Negative*"))))</f>
        <v/>
      </c>
      <c r="N27" t="str">
        <f>IF($C27="","",(SUM(COUNTIFS('Data entry'!$R$6:$R$200,$C27,'Data entry'!$B$6:$B$200,{"Confirmed";"Probable"},'Data entry'!$AQ$6:$AQ$200,'Data Validation'!$V$3, 'Data entry'!$AP$6:$AP$200,'Data Validation'!$U$4, 'Data entry'!$BD$6:$BD$200,"&lt;&gt;*Negative*"))))</f>
        <v/>
      </c>
      <c r="O27" t="str">
        <f>IF($C27="","",(SUM(COUNTIFS('Data entry'!$R$6:$R$200,$C27,'Data entry'!$B$6:$B$200,{"Confirmed";"Probable"},'Data entry'!$AQ$6:$AQ$200,'Data Validation'!$V$3, 'Data entry'!$AP$6:$AP$200,'Data Validation'!$U$5, 'Data entry'!$BD$6:$BD$200,"&lt;&gt;*Negative*"))))</f>
        <v/>
      </c>
      <c r="P27" t="str">
        <f>IF($C27="","",(SUM(COUNTIFS('Data entry'!$R$6:$R$200,$C27,'Data entry'!$B$6:$B$200,{"Confirmed";"Probable"},'Data entry'!$AQ$6:$AQ$200,'Data Validation'!$V$3, 'Data entry'!$AP$6:$AP$200,'Data Validation'!$U$6, 'Data entry'!$BD$6:$BD$200,"&lt;&gt;*Negative*"))))</f>
        <v/>
      </c>
    </row>
    <row r="28" spans="1:16" x14ac:dyDescent="0.2">
      <c r="A28" s="1" t="str">
        <f>IF('Data entry'!B32="","",'Data entry'!B32)</f>
        <v/>
      </c>
      <c r="B28" s="1" t="str">
        <f>IF('Data entry'!O32="","",'Data entry'!O32)</f>
        <v/>
      </c>
      <c r="C28" s="321" t="str">
        <f>IF('Data entry'!R32="","",'Data entry'!R32)</f>
        <v/>
      </c>
      <c r="D28" s="1" t="str">
        <f>IF('Data entry'!AO32="","",'Data entry'!AO32)</f>
        <v/>
      </c>
      <c r="E28" s="1" t="str">
        <f>IF('Data entry'!AP32="","",'Data entry'!AP32)</f>
        <v/>
      </c>
      <c r="F28" s="1" t="str">
        <f>IF('Data entry'!AQ32="","",'Data entry'!AQ32)</f>
        <v/>
      </c>
      <c r="G28" t="str">
        <f>IF($C28="","",(SUM(COUNTIFS('Data entry'!$R$6:$R$200,$C28,'Data entry'!$B$6:$B$200,{"Confirmed";"Probable"},'Data entry'!$AQ$6:$AQ$200,'Data Validation'!$V$2, 'Data entry'!$AP$6:$AP$200,'Data Validation'!$U$2, 'Data entry'!$BD$6:$BD$200,"&lt;&gt;*Negative*"))))</f>
        <v/>
      </c>
      <c r="H28" t="str">
        <f>IF($C28="","",(SUM(COUNTIFS('Data entry'!$R$6:$R$200,$C28,'Data entry'!$B$6:$B$200,{"Confirmed";"Probable"},'Data entry'!$AQ$6:$AQ$200,'Data Validation'!$V$2, 'Data entry'!$AP$6:$AP$200,'Data Validation'!$U$3, 'Data entry'!$BD$6:$BD$200,"&lt;&gt;*Negative*"))))</f>
        <v/>
      </c>
      <c r="I28" t="str">
        <f>IF($C28="","",(SUM(COUNTIFS('Data entry'!$R$6:$R$200,$C28,'Data entry'!$B$6:$B$200,{"Confirmed";"Probable"},'Data entry'!$AQ$6:$AQ$200,'Data Validation'!$V$2, 'Data entry'!$AP$6:$AP$200,'Data Validation'!$U$4, 'Data entry'!$BD$6:$BD$200,"&lt;&gt;*Negative*"))))</f>
        <v/>
      </c>
      <c r="J28" t="str">
        <f>IF($C28="","",(SUM(COUNTIFS('Data entry'!$R$6:$R$200,$C28,'Data entry'!$B$6:$B$200,{"Confirmed";"Probable"},'Data entry'!$AQ$6:$AQ$200,'Data Validation'!$V$2, 'Data entry'!$AP$6:$AP$200,'Data Validation'!$U$5, 'Data entry'!$BD$6:$BD$200,"&lt;&gt;*Negative*"))))</f>
        <v/>
      </c>
      <c r="K28" t="str">
        <f>IF($C28="","",(SUM(COUNTIFS('Data entry'!$R$6:$R$200,$C28,'Data entry'!$B$6:$B$200,{"Confirmed";"Probable"},'Data entry'!$AQ$6:$AQ$200,'Data Validation'!$V$2, 'Data entry'!$AP$6:$AP$200,'Data Validation'!$U$6, 'Data entry'!$BD$6:$BD$200,"&lt;&gt;*Negative*"))))</f>
        <v/>
      </c>
      <c r="L28" t="str">
        <f>IF($C28="","",(SUM(COUNTIFS('Data entry'!$R$6:$R$200,$C28,'Data entry'!$B$6:$B$200,{"Confirmed";"Probable"},'Data entry'!$AQ$6:$AQ$200,'Data Validation'!$V$3, 'Data entry'!$AP$6:$AP$200,'Data Validation'!$U$2, 'Data entry'!$BD$6:$BD$200,"&lt;&gt;*Negative*"))))</f>
        <v/>
      </c>
      <c r="M28" t="str">
        <f>IF($C28="","",(SUM(COUNTIFS('Data entry'!$R$6:$R$200,$C28,'Data entry'!$B$6:$B$200,{"Confirmed";"Probable"},'Data entry'!$AQ$6:$AQ$200,'Data Validation'!$V$3, 'Data entry'!$AP$6:$AP$200,'Data Validation'!$U$3, 'Data entry'!$BD$6:$BD$200,"&lt;&gt;*Negative*"))))</f>
        <v/>
      </c>
      <c r="N28" t="str">
        <f>IF($C28="","",(SUM(COUNTIFS('Data entry'!$R$6:$R$200,$C28,'Data entry'!$B$6:$B$200,{"Confirmed";"Probable"},'Data entry'!$AQ$6:$AQ$200,'Data Validation'!$V$3, 'Data entry'!$AP$6:$AP$200,'Data Validation'!$U$4, 'Data entry'!$BD$6:$BD$200,"&lt;&gt;*Negative*"))))</f>
        <v/>
      </c>
      <c r="O28" t="str">
        <f>IF($C28="","",(SUM(COUNTIFS('Data entry'!$R$6:$R$200,$C28,'Data entry'!$B$6:$B$200,{"Confirmed";"Probable"},'Data entry'!$AQ$6:$AQ$200,'Data Validation'!$V$3, 'Data entry'!$AP$6:$AP$200,'Data Validation'!$U$5, 'Data entry'!$BD$6:$BD$200,"&lt;&gt;*Negative*"))))</f>
        <v/>
      </c>
      <c r="P28" t="str">
        <f>IF($C28="","",(SUM(COUNTIFS('Data entry'!$R$6:$R$200,$C28,'Data entry'!$B$6:$B$200,{"Confirmed";"Probable"},'Data entry'!$AQ$6:$AQ$200,'Data Validation'!$V$3, 'Data entry'!$AP$6:$AP$200,'Data Validation'!$U$6, 'Data entry'!$BD$6:$BD$200,"&lt;&gt;*Negative*"))))</f>
        <v/>
      </c>
    </row>
    <row r="29" spans="1:16" x14ac:dyDescent="0.2">
      <c r="A29" s="1" t="str">
        <f>IF('Data entry'!B33="","",'Data entry'!B33)</f>
        <v/>
      </c>
      <c r="B29" s="1" t="str">
        <f>IF('Data entry'!O33="","",'Data entry'!O33)</f>
        <v/>
      </c>
      <c r="C29" s="321" t="str">
        <f>IF('Data entry'!R33="","",'Data entry'!R33)</f>
        <v/>
      </c>
      <c r="D29" s="1" t="str">
        <f>IF('Data entry'!AO33="","",'Data entry'!AO33)</f>
        <v/>
      </c>
      <c r="E29" s="1" t="str">
        <f>IF('Data entry'!AP33="","",'Data entry'!AP33)</f>
        <v/>
      </c>
      <c r="F29" s="1" t="str">
        <f>IF('Data entry'!AQ33="","",'Data entry'!AQ33)</f>
        <v/>
      </c>
      <c r="G29" t="str">
        <f>IF($C29="","",(SUM(COUNTIFS('Data entry'!$R$6:$R$200,$C29,'Data entry'!$B$6:$B$200,{"Confirmed";"Probable"},'Data entry'!$AQ$6:$AQ$200,'Data Validation'!$V$2, 'Data entry'!$AP$6:$AP$200,'Data Validation'!$U$2, 'Data entry'!$BD$6:$BD$200,"&lt;&gt;*Negative*"))))</f>
        <v/>
      </c>
      <c r="H29" t="str">
        <f>IF($C29="","",(SUM(COUNTIFS('Data entry'!$R$6:$R$200,$C29,'Data entry'!$B$6:$B$200,{"Confirmed";"Probable"},'Data entry'!$AQ$6:$AQ$200,'Data Validation'!$V$2, 'Data entry'!$AP$6:$AP$200,'Data Validation'!$U$3, 'Data entry'!$BD$6:$BD$200,"&lt;&gt;*Negative*"))))</f>
        <v/>
      </c>
      <c r="I29" t="str">
        <f>IF($C29="","",(SUM(COUNTIFS('Data entry'!$R$6:$R$200,$C29,'Data entry'!$B$6:$B$200,{"Confirmed";"Probable"},'Data entry'!$AQ$6:$AQ$200,'Data Validation'!$V$2, 'Data entry'!$AP$6:$AP$200,'Data Validation'!$U$4, 'Data entry'!$BD$6:$BD$200,"&lt;&gt;*Negative*"))))</f>
        <v/>
      </c>
      <c r="J29" t="str">
        <f>IF($C29="","",(SUM(COUNTIFS('Data entry'!$R$6:$R$200,$C29,'Data entry'!$B$6:$B$200,{"Confirmed";"Probable"},'Data entry'!$AQ$6:$AQ$200,'Data Validation'!$V$2, 'Data entry'!$AP$6:$AP$200,'Data Validation'!$U$5, 'Data entry'!$BD$6:$BD$200,"&lt;&gt;*Negative*"))))</f>
        <v/>
      </c>
      <c r="K29" t="str">
        <f>IF($C29="","",(SUM(COUNTIFS('Data entry'!$R$6:$R$200,$C29,'Data entry'!$B$6:$B$200,{"Confirmed";"Probable"},'Data entry'!$AQ$6:$AQ$200,'Data Validation'!$V$2, 'Data entry'!$AP$6:$AP$200,'Data Validation'!$U$6, 'Data entry'!$BD$6:$BD$200,"&lt;&gt;*Negative*"))))</f>
        <v/>
      </c>
      <c r="L29" t="str">
        <f>IF($C29="","",(SUM(COUNTIFS('Data entry'!$R$6:$R$200,$C29,'Data entry'!$B$6:$B$200,{"Confirmed";"Probable"},'Data entry'!$AQ$6:$AQ$200,'Data Validation'!$V$3, 'Data entry'!$AP$6:$AP$200,'Data Validation'!$U$2, 'Data entry'!$BD$6:$BD$200,"&lt;&gt;*Negative*"))))</f>
        <v/>
      </c>
      <c r="M29" t="str">
        <f>IF($C29="","",(SUM(COUNTIFS('Data entry'!$R$6:$R$200,$C29,'Data entry'!$B$6:$B$200,{"Confirmed";"Probable"},'Data entry'!$AQ$6:$AQ$200,'Data Validation'!$V$3, 'Data entry'!$AP$6:$AP$200,'Data Validation'!$U$3, 'Data entry'!$BD$6:$BD$200,"&lt;&gt;*Negative*"))))</f>
        <v/>
      </c>
      <c r="N29" t="str">
        <f>IF($C29="","",(SUM(COUNTIFS('Data entry'!$R$6:$R$200,$C29,'Data entry'!$B$6:$B$200,{"Confirmed";"Probable"},'Data entry'!$AQ$6:$AQ$200,'Data Validation'!$V$3, 'Data entry'!$AP$6:$AP$200,'Data Validation'!$U$4, 'Data entry'!$BD$6:$BD$200,"&lt;&gt;*Negative*"))))</f>
        <v/>
      </c>
      <c r="O29" t="str">
        <f>IF($C29="","",(SUM(COUNTIFS('Data entry'!$R$6:$R$200,$C29,'Data entry'!$B$6:$B$200,{"Confirmed";"Probable"},'Data entry'!$AQ$6:$AQ$200,'Data Validation'!$V$3, 'Data entry'!$AP$6:$AP$200,'Data Validation'!$U$5, 'Data entry'!$BD$6:$BD$200,"&lt;&gt;*Negative*"))))</f>
        <v/>
      </c>
      <c r="P29" t="str">
        <f>IF($C29="","",(SUM(COUNTIFS('Data entry'!$R$6:$R$200,$C29,'Data entry'!$B$6:$B$200,{"Confirmed";"Probable"},'Data entry'!$AQ$6:$AQ$200,'Data Validation'!$V$3, 'Data entry'!$AP$6:$AP$200,'Data Validation'!$U$6, 'Data entry'!$BD$6:$BD$200,"&lt;&gt;*Negative*"))))</f>
        <v/>
      </c>
    </row>
    <row r="30" spans="1:16" x14ac:dyDescent="0.2">
      <c r="A30" s="1" t="str">
        <f>IF('Data entry'!B34="","",'Data entry'!B34)</f>
        <v/>
      </c>
      <c r="B30" s="1" t="str">
        <f>IF('Data entry'!O34="","",'Data entry'!O34)</f>
        <v/>
      </c>
      <c r="C30" s="321" t="str">
        <f>IF('Data entry'!R34="","",'Data entry'!R34)</f>
        <v/>
      </c>
      <c r="D30" s="1" t="str">
        <f>IF('Data entry'!AO34="","",'Data entry'!AO34)</f>
        <v/>
      </c>
      <c r="E30" s="1" t="str">
        <f>IF('Data entry'!AP34="","",'Data entry'!AP34)</f>
        <v/>
      </c>
      <c r="F30" s="1" t="str">
        <f>IF('Data entry'!AQ34="","",'Data entry'!AQ34)</f>
        <v/>
      </c>
      <c r="G30" t="str">
        <f>IF($C30="","",(SUM(COUNTIFS('Data entry'!$R$6:$R$200,$C30,'Data entry'!$B$6:$B$200,{"Confirmed";"Probable"},'Data entry'!$AQ$6:$AQ$200,'Data Validation'!$V$2, 'Data entry'!$AP$6:$AP$200,'Data Validation'!$U$2, 'Data entry'!$BD$6:$BD$200,"&lt;&gt;*Negative*"))))</f>
        <v/>
      </c>
      <c r="H30" t="str">
        <f>IF($C30="","",(SUM(COUNTIFS('Data entry'!$R$6:$R$200,$C30,'Data entry'!$B$6:$B$200,{"Confirmed";"Probable"},'Data entry'!$AQ$6:$AQ$200,'Data Validation'!$V$2, 'Data entry'!$AP$6:$AP$200,'Data Validation'!$U$3, 'Data entry'!$BD$6:$BD$200,"&lt;&gt;*Negative*"))))</f>
        <v/>
      </c>
      <c r="I30" t="str">
        <f>IF($C30="","",(SUM(COUNTIFS('Data entry'!$R$6:$R$200,$C30,'Data entry'!$B$6:$B$200,{"Confirmed";"Probable"},'Data entry'!$AQ$6:$AQ$200,'Data Validation'!$V$2, 'Data entry'!$AP$6:$AP$200,'Data Validation'!$U$4, 'Data entry'!$BD$6:$BD$200,"&lt;&gt;*Negative*"))))</f>
        <v/>
      </c>
      <c r="J30" t="str">
        <f>IF($C30="","",(SUM(COUNTIFS('Data entry'!$R$6:$R$200,$C30,'Data entry'!$B$6:$B$200,{"Confirmed";"Probable"},'Data entry'!$AQ$6:$AQ$200,'Data Validation'!$V$2, 'Data entry'!$AP$6:$AP$200,'Data Validation'!$U$5, 'Data entry'!$BD$6:$BD$200,"&lt;&gt;*Negative*"))))</f>
        <v/>
      </c>
      <c r="K30" t="str">
        <f>IF($C30="","",(SUM(COUNTIFS('Data entry'!$R$6:$R$200,$C30,'Data entry'!$B$6:$B$200,{"Confirmed";"Probable"},'Data entry'!$AQ$6:$AQ$200,'Data Validation'!$V$2, 'Data entry'!$AP$6:$AP$200,'Data Validation'!$U$6, 'Data entry'!$BD$6:$BD$200,"&lt;&gt;*Negative*"))))</f>
        <v/>
      </c>
      <c r="L30" t="str">
        <f>IF($C30="","",(SUM(COUNTIFS('Data entry'!$R$6:$R$200,$C30,'Data entry'!$B$6:$B$200,{"Confirmed";"Probable"},'Data entry'!$AQ$6:$AQ$200,'Data Validation'!$V$3, 'Data entry'!$AP$6:$AP$200,'Data Validation'!$U$2, 'Data entry'!$BD$6:$BD$200,"&lt;&gt;*Negative*"))))</f>
        <v/>
      </c>
      <c r="M30" t="str">
        <f>IF($C30="","",(SUM(COUNTIFS('Data entry'!$R$6:$R$200,$C30,'Data entry'!$B$6:$B$200,{"Confirmed";"Probable"},'Data entry'!$AQ$6:$AQ$200,'Data Validation'!$V$3, 'Data entry'!$AP$6:$AP$200,'Data Validation'!$U$3, 'Data entry'!$BD$6:$BD$200,"&lt;&gt;*Negative*"))))</f>
        <v/>
      </c>
      <c r="N30" t="str">
        <f>IF($C30="","",(SUM(COUNTIFS('Data entry'!$R$6:$R$200,$C30,'Data entry'!$B$6:$B$200,{"Confirmed";"Probable"},'Data entry'!$AQ$6:$AQ$200,'Data Validation'!$V$3, 'Data entry'!$AP$6:$AP$200,'Data Validation'!$U$4, 'Data entry'!$BD$6:$BD$200,"&lt;&gt;*Negative*"))))</f>
        <v/>
      </c>
      <c r="O30" t="str">
        <f>IF($C30="","",(SUM(COUNTIFS('Data entry'!$R$6:$R$200,$C30,'Data entry'!$B$6:$B$200,{"Confirmed";"Probable"},'Data entry'!$AQ$6:$AQ$200,'Data Validation'!$V$3, 'Data entry'!$AP$6:$AP$200,'Data Validation'!$U$5, 'Data entry'!$BD$6:$BD$200,"&lt;&gt;*Negative*"))))</f>
        <v/>
      </c>
      <c r="P30" t="str">
        <f>IF($C30="","",(SUM(COUNTIFS('Data entry'!$R$6:$R$200,$C30,'Data entry'!$B$6:$B$200,{"Confirmed";"Probable"},'Data entry'!$AQ$6:$AQ$200,'Data Validation'!$V$3, 'Data entry'!$AP$6:$AP$200,'Data Validation'!$U$6, 'Data entry'!$BD$6:$BD$200,"&lt;&gt;*Negative*"))))</f>
        <v/>
      </c>
    </row>
    <row r="31" spans="1:16" x14ac:dyDescent="0.2">
      <c r="A31" s="1" t="str">
        <f>IF('Data entry'!B35="","",'Data entry'!B35)</f>
        <v/>
      </c>
      <c r="B31" s="1" t="str">
        <f>IF('Data entry'!O35="","",'Data entry'!O35)</f>
        <v/>
      </c>
      <c r="C31" s="321" t="str">
        <f>IF('Data entry'!R35="","",'Data entry'!R35)</f>
        <v/>
      </c>
      <c r="D31" s="1" t="str">
        <f>IF('Data entry'!AO35="","",'Data entry'!AO35)</f>
        <v/>
      </c>
      <c r="E31" s="1" t="str">
        <f>IF('Data entry'!AP35="","",'Data entry'!AP35)</f>
        <v/>
      </c>
      <c r="F31" s="1" t="str">
        <f>IF('Data entry'!AQ35="","",'Data entry'!AQ35)</f>
        <v/>
      </c>
      <c r="G31" t="str">
        <f>IF($C31="","",(SUM(COUNTIFS('Data entry'!$R$6:$R$200,$C31,'Data entry'!$B$6:$B$200,{"Confirmed";"Probable"},'Data entry'!$AQ$6:$AQ$200,'Data Validation'!$V$2, 'Data entry'!$AP$6:$AP$200,'Data Validation'!$U$2, 'Data entry'!$BD$6:$BD$200,"&lt;&gt;*Negative*"))))</f>
        <v/>
      </c>
      <c r="H31" t="str">
        <f>IF($C31="","",(SUM(COUNTIFS('Data entry'!$R$6:$R$200,$C31,'Data entry'!$B$6:$B$200,{"Confirmed";"Probable"},'Data entry'!$AQ$6:$AQ$200,'Data Validation'!$V$2, 'Data entry'!$AP$6:$AP$200,'Data Validation'!$U$3, 'Data entry'!$BD$6:$BD$200,"&lt;&gt;*Negative*"))))</f>
        <v/>
      </c>
      <c r="I31" t="str">
        <f>IF($C31="","",(SUM(COUNTIFS('Data entry'!$R$6:$R$200,$C31,'Data entry'!$B$6:$B$200,{"Confirmed";"Probable"},'Data entry'!$AQ$6:$AQ$200,'Data Validation'!$V$2, 'Data entry'!$AP$6:$AP$200,'Data Validation'!$U$4, 'Data entry'!$BD$6:$BD$200,"&lt;&gt;*Negative*"))))</f>
        <v/>
      </c>
      <c r="J31" t="str">
        <f>IF($C31="","",(SUM(COUNTIFS('Data entry'!$R$6:$R$200,$C31,'Data entry'!$B$6:$B$200,{"Confirmed";"Probable"},'Data entry'!$AQ$6:$AQ$200,'Data Validation'!$V$2, 'Data entry'!$AP$6:$AP$200,'Data Validation'!$U$5, 'Data entry'!$BD$6:$BD$200,"&lt;&gt;*Negative*"))))</f>
        <v/>
      </c>
      <c r="K31" t="str">
        <f>IF($C31="","",(SUM(COUNTIFS('Data entry'!$R$6:$R$200,$C31,'Data entry'!$B$6:$B$200,{"Confirmed";"Probable"},'Data entry'!$AQ$6:$AQ$200,'Data Validation'!$V$2, 'Data entry'!$AP$6:$AP$200,'Data Validation'!$U$6, 'Data entry'!$BD$6:$BD$200,"&lt;&gt;*Negative*"))))</f>
        <v/>
      </c>
      <c r="L31" t="str">
        <f>IF($C31="","",(SUM(COUNTIFS('Data entry'!$R$6:$R$200,$C31,'Data entry'!$B$6:$B$200,{"Confirmed";"Probable"},'Data entry'!$AQ$6:$AQ$200,'Data Validation'!$V$3, 'Data entry'!$AP$6:$AP$200,'Data Validation'!$U$2, 'Data entry'!$BD$6:$BD$200,"&lt;&gt;*Negative*"))))</f>
        <v/>
      </c>
      <c r="M31" t="str">
        <f>IF($C31="","",(SUM(COUNTIFS('Data entry'!$R$6:$R$200,$C31,'Data entry'!$B$6:$B$200,{"Confirmed";"Probable"},'Data entry'!$AQ$6:$AQ$200,'Data Validation'!$V$3, 'Data entry'!$AP$6:$AP$200,'Data Validation'!$U$3, 'Data entry'!$BD$6:$BD$200,"&lt;&gt;*Negative*"))))</f>
        <v/>
      </c>
      <c r="N31" t="str">
        <f>IF($C31="","",(SUM(COUNTIFS('Data entry'!$R$6:$R$200,$C31,'Data entry'!$B$6:$B$200,{"Confirmed";"Probable"},'Data entry'!$AQ$6:$AQ$200,'Data Validation'!$V$3, 'Data entry'!$AP$6:$AP$200,'Data Validation'!$U$4, 'Data entry'!$BD$6:$BD$200,"&lt;&gt;*Negative*"))))</f>
        <v/>
      </c>
      <c r="O31" t="str">
        <f>IF($C31="","",(SUM(COUNTIFS('Data entry'!$R$6:$R$200,$C31,'Data entry'!$B$6:$B$200,{"Confirmed";"Probable"},'Data entry'!$AQ$6:$AQ$200,'Data Validation'!$V$3, 'Data entry'!$AP$6:$AP$200,'Data Validation'!$U$5, 'Data entry'!$BD$6:$BD$200,"&lt;&gt;*Negative*"))))</f>
        <v/>
      </c>
      <c r="P31" t="str">
        <f>IF($C31="","",(SUM(COUNTIFS('Data entry'!$R$6:$R$200,$C31,'Data entry'!$B$6:$B$200,{"Confirmed";"Probable"},'Data entry'!$AQ$6:$AQ$200,'Data Validation'!$V$3, 'Data entry'!$AP$6:$AP$200,'Data Validation'!$U$6, 'Data entry'!$BD$6:$BD$200,"&lt;&gt;*Negative*"))))</f>
        <v/>
      </c>
    </row>
    <row r="32" spans="1:16" x14ac:dyDescent="0.2">
      <c r="A32" s="1" t="str">
        <f>IF('Data entry'!B36="","",'Data entry'!B36)</f>
        <v/>
      </c>
      <c r="B32" s="1" t="str">
        <f>IF('Data entry'!O36="","",'Data entry'!O36)</f>
        <v/>
      </c>
      <c r="C32" s="321" t="str">
        <f>IF('Data entry'!R36="","",'Data entry'!R36)</f>
        <v/>
      </c>
      <c r="D32" s="1" t="str">
        <f>IF('Data entry'!AO36="","",'Data entry'!AO36)</f>
        <v/>
      </c>
      <c r="E32" s="1" t="str">
        <f>IF('Data entry'!AP36="","",'Data entry'!AP36)</f>
        <v/>
      </c>
      <c r="F32" s="1" t="str">
        <f>IF('Data entry'!AQ36="","",'Data entry'!AQ36)</f>
        <v/>
      </c>
      <c r="G32" t="str">
        <f>IF($C32="","",(SUM(COUNTIFS('Data entry'!$R$6:$R$200,$C32,'Data entry'!$B$6:$B$200,{"Confirmed";"Probable"},'Data entry'!$AQ$6:$AQ$200,'Data Validation'!$V$2, 'Data entry'!$AP$6:$AP$200,'Data Validation'!$U$2, 'Data entry'!$BD$6:$BD$200,"&lt;&gt;*Negative*"))))</f>
        <v/>
      </c>
      <c r="H32" t="str">
        <f>IF($C32="","",(SUM(COUNTIFS('Data entry'!$R$6:$R$200,$C32,'Data entry'!$B$6:$B$200,{"Confirmed";"Probable"},'Data entry'!$AQ$6:$AQ$200,'Data Validation'!$V$2, 'Data entry'!$AP$6:$AP$200,'Data Validation'!$U$3, 'Data entry'!$BD$6:$BD$200,"&lt;&gt;*Negative*"))))</f>
        <v/>
      </c>
      <c r="I32" t="str">
        <f>IF($C32="","",(SUM(COUNTIFS('Data entry'!$R$6:$R$200,$C32,'Data entry'!$B$6:$B$200,{"Confirmed";"Probable"},'Data entry'!$AQ$6:$AQ$200,'Data Validation'!$V$2, 'Data entry'!$AP$6:$AP$200,'Data Validation'!$U$4, 'Data entry'!$BD$6:$BD$200,"&lt;&gt;*Negative*"))))</f>
        <v/>
      </c>
      <c r="J32" t="str">
        <f>IF($C32="","",(SUM(COUNTIFS('Data entry'!$R$6:$R$200,$C32,'Data entry'!$B$6:$B$200,{"Confirmed";"Probable"},'Data entry'!$AQ$6:$AQ$200,'Data Validation'!$V$2, 'Data entry'!$AP$6:$AP$200,'Data Validation'!$U$5, 'Data entry'!$BD$6:$BD$200,"&lt;&gt;*Negative*"))))</f>
        <v/>
      </c>
      <c r="K32" t="str">
        <f>IF($C32="","",(SUM(COUNTIFS('Data entry'!$R$6:$R$200,$C32,'Data entry'!$B$6:$B$200,{"Confirmed";"Probable"},'Data entry'!$AQ$6:$AQ$200,'Data Validation'!$V$2, 'Data entry'!$AP$6:$AP$200,'Data Validation'!$U$6, 'Data entry'!$BD$6:$BD$200,"&lt;&gt;*Negative*"))))</f>
        <v/>
      </c>
      <c r="L32" t="str">
        <f>IF($C32="","",(SUM(COUNTIFS('Data entry'!$R$6:$R$200,$C32,'Data entry'!$B$6:$B$200,{"Confirmed";"Probable"},'Data entry'!$AQ$6:$AQ$200,'Data Validation'!$V$3, 'Data entry'!$AP$6:$AP$200,'Data Validation'!$U$2, 'Data entry'!$BD$6:$BD$200,"&lt;&gt;*Negative*"))))</f>
        <v/>
      </c>
      <c r="M32" t="str">
        <f>IF($C32="","",(SUM(COUNTIFS('Data entry'!$R$6:$R$200,$C32,'Data entry'!$B$6:$B$200,{"Confirmed";"Probable"},'Data entry'!$AQ$6:$AQ$200,'Data Validation'!$V$3, 'Data entry'!$AP$6:$AP$200,'Data Validation'!$U$3, 'Data entry'!$BD$6:$BD$200,"&lt;&gt;*Negative*"))))</f>
        <v/>
      </c>
      <c r="N32" t="str">
        <f>IF($C32="","",(SUM(COUNTIFS('Data entry'!$R$6:$R$200,$C32,'Data entry'!$B$6:$B$200,{"Confirmed";"Probable"},'Data entry'!$AQ$6:$AQ$200,'Data Validation'!$V$3, 'Data entry'!$AP$6:$AP$200,'Data Validation'!$U$4, 'Data entry'!$BD$6:$BD$200,"&lt;&gt;*Negative*"))))</f>
        <v/>
      </c>
      <c r="O32" t="str">
        <f>IF($C32="","",(SUM(COUNTIFS('Data entry'!$R$6:$R$200,$C32,'Data entry'!$B$6:$B$200,{"Confirmed";"Probable"},'Data entry'!$AQ$6:$AQ$200,'Data Validation'!$V$3, 'Data entry'!$AP$6:$AP$200,'Data Validation'!$U$5, 'Data entry'!$BD$6:$BD$200,"&lt;&gt;*Negative*"))))</f>
        <v/>
      </c>
      <c r="P32" t="str">
        <f>IF($C32="","",(SUM(COUNTIFS('Data entry'!$R$6:$R$200,$C32,'Data entry'!$B$6:$B$200,{"Confirmed";"Probable"},'Data entry'!$AQ$6:$AQ$200,'Data Validation'!$V$3, 'Data entry'!$AP$6:$AP$200,'Data Validation'!$U$6, 'Data entry'!$BD$6:$BD$200,"&lt;&gt;*Negative*"))))</f>
        <v/>
      </c>
    </row>
    <row r="33" spans="1:16" x14ac:dyDescent="0.2">
      <c r="A33" s="1" t="str">
        <f>IF('Data entry'!B37="","",'Data entry'!B37)</f>
        <v/>
      </c>
      <c r="B33" s="1" t="str">
        <f>IF('Data entry'!O37="","",'Data entry'!O37)</f>
        <v/>
      </c>
      <c r="C33" s="321" t="str">
        <f>IF('Data entry'!R37="","",'Data entry'!R37)</f>
        <v/>
      </c>
      <c r="D33" s="1" t="str">
        <f>IF('Data entry'!AO37="","",'Data entry'!AO37)</f>
        <v/>
      </c>
      <c r="E33" s="1" t="str">
        <f>IF('Data entry'!AP37="","",'Data entry'!AP37)</f>
        <v/>
      </c>
      <c r="F33" s="1" t="str">
        <f>IF('Data entry'!AQ37="","",'Data entry'!AQ37)</f>
        <v/>
      </c>
      <c r="G33" t="str">
        <f>IF($C33="","",(SUM(COUNTIFS('Data entry'!$R$6:$R$200,$C33,'Data entry'!$B$6:$B$200,{"Confirmed";"Probable"},'Data entry'!$AQ$6:$AQ$200,'Data Validation'!$V$2, 'Data entry'!$AP$6:$AP$200,'Data Validation'!$U$2, 'Data entry'!$BD$6:$BD$200,"&lt;&gt;*Negative*"))))</f>
        <v/>
      </c>
      <c r="H33" t="str">
        <f>IF($C33="","",(SUM(COUNTIFS('Data entry'!$R$6:$R$200,$C33,'Data entry'!$B$6:$B$200,{"Confirmed";"Probable"},'Data entry'!$AQ$6:$AQ$200,'Data Validation'!$V$2, 'Data entry'!$AP$6:$AP$200,'Data Validation'!$U$3, 'Data entry'!$BD$6:$BD$200,"&lt;&gt;*Negative*"))))</f>
        <v/>
      </c>
      <c r="I33" t="str">
        <f>IF($C33="","",(SUM(COUNTIFS('Data entry'!$R$6:$R$200,$C33,'Data entry'!$B$6:$B$200,{"Confirmed";"Probable"},'Data entry'!$AQ$6:$AQ$200,'Data Validation'!$V$2, 'Data entry'!$AP$6:$AP$200,'Data Validation'!$U$4, 'Data entry'!$BD$6:$BD$200,"&lt;&gt;*Negative*"))))</f>
        <v/>
      </c>
      <c r="J33" t="str">
        <f>IF($C33="","",(SUM(COUNTIFS('Data entry'!$R$6:$R$200,$C33,'Data entry'!$B$6:$B$200,{"Confirmed";"Probable"},'Data entry'!$AQ$6:$AQ$200,'Data Validation'!$V$2, 'Data entry'!$AP$6:$AP$200,'Data Validation'!$U$5, 'Data entry'!$BD$6:$BD$200,"&lt;&gt;*Negative*"))))</f>
        <v/>
      </c>
      <c r="K33" t="str">
        <f>IF($C33="","",(SUM(COUNTIFS('Data entry'!$R$6:$R$200,$C33,'Data entry'!$B$6:$B$200,{"Confirmed";"Probable"},'Data entry'!$AQ$6:$AQ$200,'Data Validation'!$V$2, 'Data entry'!$AP$6:$AP$200,'Data Validation'!$U$6, 'Data entry'!$BD$6:$BD$200,"&lt;&gt;*Negative*"))))</f>
        <v/>
      </c>
      <c r="L33" t="str">
        <f>IF($C33="","",(SUM(COUNTIFS('Data entry'!$R$6:$R$200,$C33,'Data entry'!$B$6:$B$200,{"Confirmed";"Probable"},'Data entry'!$AQ$6:$AQ$200,'Data Validation'!$V$3, 'Data entry'!$AP$6:$AP$200,'Data Validation'!$U$2, 'Data entry'!$BD$6:$BD$200,"&lt;&gt;*Negative*"))))</f>
        <v/>
      </c>
      <c r="M33" t="str">
        <f>IF($C33="","",(SUM(COUNTIFS('Data entry'!$R$6:$R$200,$C33,'Data entry'!$B$6:$B$200,{"Confirmed";"Probable"},'Data entry'!$AQ$6:$AQ$200,'Data Validation'!$V$3, 'Data entry'!$AP$6:$AP$200,'Data Validation'!$U$3, 'Data entry'!$BD$6:$BD$200,"&lt;&gt;*Negative*"))))</f>
        <v/>
      </c>
      <c r="N33" t="str">
        <f>IF($C33="","",(SUM(COUNTIFS('Data entry'!$R$6:$R$200,$C33,'Data entry'!$B$6:$B$200,{"Confirmed";"Probable"},'Data entry'!$AQ$6:$AQ$200,'Data Validation'!$V$3, 'Data entry'!$AP$6:$AP$200,'Data Validation'!$U$4, 'Data entry'!$BD$6:$BD$200,"&lt;&gt;*Negative*"))))</f>
        <v/>
      </c>
      <c r="O33" t="str">
        <f>IF($C33="","",(SUM(COUNTIFS('Data entry'!$R$6:$R$200,$C33,'Data entry'!$B$6:$B$200,{"Confirmed";"Probable"},'Data entry'!$AQ$6:$AQ$200,'Data Validation'!$V$3, 'Data entry'!$AP$6:$AP$200,'Data Validation'!$U$5, 'Data entry'!$BD$6:$BD$200,"&lt;&gt;*Negative*"))))</f>
        <v/>
      </c>
      <c r="P33" t="str">
        <f>IF($C33="","",(SUM(COUNTIFS('Data entry'!$R$6:$R$200,$C33,'Data entry'!$B$6:$B$200,{"Confirmed";"Probable"},'Data entry'!$AQ$6:$AQ$200,'Data Validation'!$V$3, 'Data entry'!$AP$6:$AP$200,'Data Validation'!$U$6, 'Data entry'!$BD$6:$BD$200,"&lt;&gt;*Negative*"))))</f>
        <v/>
      </c>
    </row>
    <row r="34" spans="1:16" ht="15.6" x14ac:dyDescent="0.35">
      <c r="A34" s="1" t="str">
        <f>IF('Data entry'!B38="","",'Data entry'!B38)</f>
        <v/>
      </c>
      <c r="B34" s="1" t="str">
        <f>IF('Data entry'!O38="","",'Data entry'!O38)</f>
        <v/>
      </c>
      <c r="C34" s="321" t="str">
        <f>IF('Data entry'!R38="","",'Data entry'!R38)</f>
        <v/>
      </c>
      <c r="D34" s="1" t="str">
        <f>IF('Data entry'!AO38="","",'Data entry'!AO38)</f>
        <v/>
      </c>
      <c r="E34" s="1" t="str">
        <f>IF('Data entry'!AP38="","",'Data entry'!AP38)</f>
        <v/>
      </c>
      <c r="F34" s="1" t="str">
        <f>IF('Data entry'!AQ38="","",'Data entry'!AQ38)</f>
        <v/>
      </c>
      <c r="G34" t="str">
        <f>IF($C34="","",(SUM(COUNTIFS('Data entry'!$R$6:$R$200,$C34,'Data entry'!$B$6:$B$200,{"Confirmed";"Probable"},'Data entry'!$AQ$6:$AQ$200,'Data Validation'!$V$2, 'Data entry'!$AP$6:$AP$200,'Data Validation'!$U$2, 'Data entry'!$BD$6:$BD$200,"&lt;&gt;*Negative*"))))</f>
        <v/>
      </c>
      <c r="H34" t="str">
        <f>IF($C34="","",(SUM(COUNTIFS('Data entry'!$R$6:$R$200,$C34,'Data entry'!$B$6:$B$200,{"Confirmed";"Probable"},'Data entry'!$AQ$6:$AQ$200,'Data Validation'!$V$2, 'Data entry'!$AP$6:$AP$200,'Data Validation'!$U$3, 'Data entry'!$BD$6:$BD$200,"&lt;&gt;*Negative*"))))</f>
        <v/>
      </c>
      <c r="I34" t="str">
        <f>IF($C34="","",(SUM(COUNTIFS('Data entry'!$R$6:$R$200,$C34,'Data entry'!$B$6:$B$200,{"Confirmed";"Probable"},'Data entry'!$AQ$6:$AQ$200,'Data Validation'!$V$2, 'Data entry'!$AP$6:$AP$200,'Data Validation'!$U$4, 'Data entry'!$BD$6:$BD$200,"&lt;&gt;*Negative*"))))</f>
        <v/>
      </c>
      <c r="J34" t="str">
        <f>IF($C34="","",(SUM(COUNTIFS('Data entry'!$R$6:$R$200,$C34,'Data entry'!$B$6:$B$200,{"Confirmed";"Probable"},'Data entry'!$AQ$6:$AQ$200,'Data Validation'!$V$2, 'Data entry'!$AP$6:$AP$200,'Data Validation'!$U$5, 'Data entry'!$BD$6:$BD$200,"&lt;&gt;*Negative*"))))</f>
        <v/>
      </c>
      <c r="K34" t="str">
        <f>IF($C34="","",(SUM(COUNTIFS('Data entry'!$R$6:$R$200,$C34,'Data entry'!$B$6:$B$200,{"Confirmed";"Probable"},'Data entry'!$AQ$6:$AQ$200,'Data Validation'!$V$2, 'Data entry'!$AP$6:$AP$200,'Data Validation'!$U$6, 'Data entry'!$BD$6:$BD$200,"&lt;&gt;*Negative*"))))</f>
        <v/>
      </c>
      <c r="L34" t="str">
        <f>IF($C34="","",(SUM(COUNTIFS('Data entry'!$R$6:$R$200,$C34,'Data entry'!$B$6:$B$200,{"Confirmed";"Probable"},'Data entry'!$AQ$6:$AQ$200,'Data Validation'!$V$3, 'Data entry'!$AP$6:$AP$200,'Data Validation'!$U$2, 'Data entry'!$BD$6:$BD$200,"&lt;&gt;*Negative*"))))</f>
        <v/>
      </c>
      <c r="M34" t="str">
        <f>IF($C34="","",(SUM(COUNTIFS('Data entry'!$R$6:$R$200,$C34,'Data entry'!$B$6:$B$200,{"Confirmed";"Probable"},'Data entry'!$AQ$6:$AQ$200,'Data Validation'!$V$3, 'Data entry'!$AP$6:$AP$200,'Data Validation'!$U$3, 'Data entry'!$BD$6:$BD$200,"&lt;&gt;*Negative*"))))</f>
        <v/>
      </c>
      <c r="N34" t="str">
        <f>IF($C34="","",(SUM(COUNTIFS('Data entry'!$R$6:$R$200,$C34,'Data entry'!$B$6:$B$200,{"Confirmed";"Probable"},'Data entry'!$AQ$6:$AQ$200,'Data Validation'!$V$3, 'Data entry'!$AP$6:$AP$200,'Data Validation'!$U$4, 'Data entry'!$BD$6:$BD$200,"&lt;&gt;*Negative*"))))</f>
        <v/>
      </c>
      <c r="O34" t="str">
        <f>IF($C34="","",(SUM(COUNTIFS('Data entry'!$R$6:$R$200,$C34,'Data entry'!$B$6:$B$200,{"Confirmed";"Probable"},'Data entry'!$AQ$6:$AQ$200,'Data Validation'!$V$3, 'Data entry'!$AP$6:$AP$200,'Data Validation'!$U$5, 'Data entry'!$BD$6:$BD$200,"&lt;&gt;*Negative*"))))</f>
        <v/>
      </c>
      <c r="P34" t="str">
        <f>IF($C34="","",(SUM(COUNTIFS('Data entry'!$R$6:$R$200,$C34,'Data entry'!$B$6:$B$200,{"Confirmed";"Probable"},'Data entry'!$AQ$6:$AQ$200,'Data Validation'!$V$3, 'Data entry'!$AP$6:$AP$200,'Data Validation'!$U$6, 'Data entry'!$BD$6:$BD$200,"&lt;&gt;*Negative*"))))</f>
        <v/>
      </c>
    </row>
    <row r="35" spans="1:16" ht="15.6" x14ac:dyDescent="0.35">
      <c r="A35" s="1" t="str">
        <f>IF('Data entry'!B39="","",'Data entry'!B39)</f>
        <v/>
      </c>
      <c r="B35" s="1" t="str">
        <f>IF('Data entry'!O39="","",'Data entry'!O39)</f>
        <v/>
      </c>
      <c r="C35" s="321" t="str">
        <f>IF('Data entry'!R39="","",'Data entry'!R39)</f>
        <v/>
      </c>
      <c r="D35" s="1" t="str">
        <f>IF('Data entry'!AO39="","",'Data entry'!AO39)</f>
        <v/>
      </c>
      <c r="E35" s="1" t="str">
        <f>IF('Data entry'!AP39="","",'Data entry'!AP39)</f>
        <v/>
      </c>
      <c r="F35" s="1" t="str">
        <f>IF('Data entry'!AQ39="","",'Data entry'!AQ39)</f>
        <v/>
      </c>
      <c r="G35" t="str">
        <f>IF($C35="","",(SUM(COUNTIFS('Data entry'!$R$6:$R$200,$C35,'Data entry'!$B$6:$B$200,{"Confirmed";"Probable"},'Data entry'!$AQ$6:$AQ$200,'Data Validation'!$V$2, 'Data entry'!$AP$6:$AP$200,'Data Validation'!$U$2, 'Data entry'!$BD$6:$BD$200,"&lt;&gt;*Negative*"))))</f>
        <v/>
      </c>
      <c r="H35" t="str">
        <f>IF($C35="","",(SUM(COUNTIFS('Data entry'!$R$6:$R$200,$C35,'Data entry'!$B$6:$B$200,{"Confirmed";"Probable"},'Data entry'!$AQ$6:$AQ$200,'Data Validation'!$V$2, 'Data entry'!$AP$6:$AP$200,'Data Validation'!$U$3, 'Data entry'!$BD$6:$BD$200,"&lt;&gt;*Negative*"))))</f>
        <v/>
      </c>
      <c r="I35" t="str">
        <f>IF($C35="","",(SUM(COUNTIFS('Data entry'!$R$6:$R$200,$C35,'Data entry'!$B$6:$B$200,{"Confirmed";"Probable"},'Data entry'!$AQ$6:$AQ$200,'Data Validation'!$V$2, 'Data entry'!$AP$6:$AP$200,'Data Validation'!$U$4, 'Data entry'!$BD$6:$BD$200,"&lt;&gt;*Negative*"))))</f>
        <v/>
      </c>
      <c r="J35" t="str">
        <f>IF($C35="","",(SUM(COUNTIFS('Data entry'!$R$6:$R$200,$C35,'Data entry'!$B$6:$B$200,{"Confirmed";"Probable"},'Data entry'!$AQ$6:$AQ$200,'Data Validation'!$V$2, 'Data entry'!$AP$6:$AP$200,'Data Validation'!$U$5, 'Data entry'!$BD$6:$BD$200,"&lt;&gt;*Negative*"))))</f>
        <v/>
      </c>
      <c r="K35" t="str">
        <f>IF($C35="","",(SUM(COUNTIFS('Data entry'!$R$6:$R$200,$C35,'Data entry'!$B$6:$B$200,{"Confirmed";"Probable"},'Data entry'!$AQ$6:$AQ$200,'Data Validation'!$V$2, 'Data entry'!$AP$6:$AP$200,'Data Validation'!$U$6, 'Data entry'!$BD$6:$BD$200,"&lt;&gt;*Negative*"))))</f>
        <v/>
      </c>
      <c r="L35" t="str">
        <f>IF($C35="","",(SUM(COUNTIFS('Data entry'!$R$6:$R$200,$C35,'Data entry'!$B$6:$B$200,{"Confirmed";"Probable"},'Data entry'!$AQ$6:$AQ$200,'Data Validation'!$V$3, 'Data entry'!$AP$6:$AP$200,'Data Validation'!$U$2, 'Data entry'!$BD$6:$BD$200,"&lt;&gt;*Negative*"))))</f>
        <v/>
      </c>
      <c r="M35" t="str">
        <f>IF($C35="","",(SUM(COUNTIFS('Data entry'!$R$6:$R$200,$C35,'Data entry'!$B$6:$B$200,{"Confirmed";"Probable"},'Data entry'!$AQ$6:$AQ$200,'Data Validation'!$V$3, 'Data entry'!$AP$6:$AP$200,'Data Validation'!$U$3, 'Data entry'!$BD$6:$BD$200,"&lt;&gt;*Negative*"))))</f>
        <v/>
      </c>
      <c r="N35" t="str">
        <f>IF($C35="","",(SUM(COUNTIFS('Data entry'!$R$6:$R$200,$C35,'Data entry'!$B$6:$B$200,{"Confirmed";"Probable"},'Data entry'!$AQ$6:$AQ$200,'Data Validation'!$V$3, 'Data entry'!$AP$6:$AP$200,'Data Validation'!$U$4, 'Data entry'!$BD$6:$BD$200,"&lt;&gt;*Negative*"))))</f>
        <v/>
      </c>
      <c r="O35" t="str">
        <f>IF($C35="","",(SUM(COUNTIFS('Data entry'!$R$6:$R$200,$C35,'Data entry'!$B$6:$B$200,{"Confirmed";"Probable"},'Data entry'!$AQ$6:$AQ$200,'Data Validation'!$V$3, 'Data entry'!$AP$6:$AP$200,'Data Validation'!$U$5, 'Data entry'!$BD$6:$BD$200,"&lt;&gt;*Negative*"))))</f>
        <v/>
      </c>
      <c r="P35" t="str">
        <f>IF($C35="","",(SUM(COUNTIFS('Data entry'!$R$6:$R$200,$C35,'Data entry'!$B$6:$B$200,{"Confirmed";"Probable"},'Data entry'!$AQ$6:$AQ$200,'Data Validation'!$V$3, 'Data entry'!$AP$6:$AP$200,'Data Validation'!$U$6, 'Data entry'!$BD$6:$BD$200,"&lt;&gt;*Negative*"))))</f>
        <v/>
      </c>
    </row>
    <row r="36" spans="1:16" ht="15.6" x14ac:dyDescent="0.35">
      <c r="A36" s="1" t="str">
        <f>IF('Data entry'!B40="","",'Data entry'!B40)</f>
        <v/>
      </c>
      <c r="B36" s="1" t="str">
        <f>IF('Data entry'!O40="","",'Data entry'!O40)</f>
        <v/>
      </c>
      <c r="C36" s="321" t="str">
        <f>IF('Data entry'!R40="","",'Data entry'!R40)</f>
        <v/>
      </c>
      <c r="D36" s="1" t="str">
        <f>IF('Data entry'!AO40="","",'Data entry'!AO40)</f>
        <v/>
      </c>
      <c r="E36" s="1" t="str">
        <f>IF('Data entry'!AP40="","",'Data entry'!AP40)</f>
        <v/>
      </c>
      <c r="F36" s="1" t="str">
        <f>IF('Data entry'!AQ40="","",'Data entry'!AQ40)</f>
        <v/>
      </c>
      <c r="G36" t="str">
        <f>IF($C36="","",(SUM(COUNTIFS('Data entry'!$R$6:$R$200,$C36,'Data entry'!$B$6:$B$200,{"Confirmed";"Probable"},'Data entry'!$AQ$6:$AQ$200,'Data Validation'!$V$2, 'Data entry'!$AP$6:$AP$200,'Data Validation'!$U$2, 'Data entry'!$BD$6:$BD$200,"&lt;&gt;*Negative*"))))</f>
        <v/>
      </c>
      <c r="H36" t="str">
        <f>IF($C36="","",(SUM(COUNTIFS('Data entry'!$R$6:$R$200,$C36,'Data entry'!$B$6:$B$200,{"Confirmed";"Probable"},'Data entry'!$AQ$6:$AQ$200,'Data Validation'!$V$2, 'Data entry'!$AP$6:$AP$200,'Data Validation'!$U$3, 'Data entry'!$BD$6:$BD$200,"&lt;&gt;*Negative*"))))</f>
        <v/>
      </c>
      <c r="I36" t="str">
        <f>IF($C36="","",(SUM(COUNTIFS('Data entry'!$R$6:$R$200,$C36,'Data entry'!$B$6:$B$200,{"Confirmed";"Probable"},'Data entry'!$AQ$6:$AQ$200,'Data Validation'!$V$2, 'Data entry'!$AP$6:$AP$200,'Data Validation'!$U$4, 'Data entry'!$BD$6:$BD$200,"&lt;&gt;*Negative*"))))</f>
        <v/>
      </c>
      <c r="J36" t="str">
        <f>IF($C36="","",(SUM(COUNTIFS('Data entry'!$R$6:$R$200,$C36,'Data entry'!$B$6:$B$200,{"Confirmed";"Probable"},'Data entry'!$AQ$6:$AQ$200,'Data Validation'!$V$2, 'Data entry'!$AP$6:$AP$200,'Data Validation'!$U$5, 'Data entry'!$BD$6:$BD$200,"&lt;&gt;*Negative*"))))</f>
        <v/>
      </c>
      <c r="K36" t="str">
        <f>IF($C36="","",(SUM(COUNTIFS('Data entry'!$R$6:$R$200,$C36,'Data entry'!$B$6:$B$200,{"Confirmed";"Probable"},'Data entry'!$AQ$6:$AQ$200,'Data Validation'!$V$2, 'Data entry'!$AP$6:$AP$200,'Data Validation'!$U$6, 'Data entry'!$BD$6:$BD$200,"&lt;&gt;*Negative*"))))</f>
        <v/>
      </c>
      <c r="L36" t="str">
        <f>IF($C36="","",(SUM(COUNTIFS('Data entry'!$R$6:$R$200,$C36,'Data entry'!$B$6:$B$200,{"Confirmed";"Probable"},'Data entry'!$AQ$6:$AQ$200,'Data Validation'!$V$3, 'Data entry'!$AP$6:$AP$200,'Data Validation'!$U$2, 'Data entry'!$BD$6:$BD$200,"&lt;&gt;*Negative*"))))</f>
        <v/>
      </c>
      <c r="M36" t="str">
        <f>IF($C36="","",(SUM(COUNTIFS('Data entry'!$R$6:$R$200,$C36,'Data entry'!$B$6:$B$200,{"Confirmed";"Probable"},'Data entry'!$AQ$6:$AQ$200,'Data Validation'!$V$3, 'Data entry'!$AP$6:$AP$200,'Data Validation'!$U$3, 'Data entry'!$BD$6:$BD$200,"&lt;&gt;*Negative*"))))</f>
        <v/>
      </c>
      <c r="N36" t="str">
        <f>IF($C36="","",(SUM(COUNTIFS('Data entry'!$R$6:$R$200,$C36,'Data entry'!$B$6:$B$200,{"Confirmed";"Probable"},'Data entry'!$AQ$6:$AQ$200,'Data Validation'!$V$3, 'Data entry'!$AP$6:$AP$200,'Data Validation'!$U$4, 'Data entry'!$BD$6:$BD$200,"&lt;&gt;*Negative*"))))</f>
        <v/>
      </c>
      <c r="O36" t="str">
        <f>IF($C36="","",(SUM(COUNTIFS('Data entry'!$R$6:$R$200,$C36,'Data entry'!$B$6:$B$200,{"Confirmed";"Probable"},'Data entry'!$AQ$6:$AQ$200,'Data Validation'!$V$3, 'Data entry'!$AP$6:$AP$200,'Data Validation'!$U$5, 'Data entry'!$BD$6:$BD$200,"&lt;&gt;*Negative*"))))</f>
        <v/>
      </c>
      <c r="P36" t="str">
        <f>IF($C36="","",(SUM(COUNTIFS('Data entry'!$R$6:$R$200,$C36,'Data entry'!$B$6:$B$200,{"Confirmed";"Probable"},'Data entry'!$AQ$6:$AQ$200,'Data Validation'!$V$3, 'Data entry'!$AP$6:$AP$200,'Data Validation'!$U$6, 'Data entry'!$BD$6:$BD$200,"&lt;&gt;*Negative*"))))</f>
        <v/>
      </c>
    </row>
    <row r="37" spans="1:16" ht="15.6" x14ac:dyDescent="0.35">
      <c r="A37" s="1" t="str">
        <f>IF('Data entry'!B41="","",'Data entry'!B41)</f>
        <v/>
      </c>
      <c r="B37" s="1" t="str">
        <f>IF('Data entry'!O41="","",'Data entry'!O41)</f>
        <v/>
      </c>
      <c r="C37" s="321" t="str">
        <f>IF('Data entry'!R41="","",'Data entry'!R41)</f>
        <v/>
      </c>
      <c r="D37" s="1" t="str">
        <f>IF('Data entry'!AO41="","",'Data entry'!AO41)</f>
        <v/>
      </c>
      <c r="E37" s="1" t="str">
        <f>IF('Data entry'!AP41="","",'Data entry'!AP41)</f>
        <v/>
      </c>
      <c r="F37" s="1" t="str">
        <f>IF('Data entry'!AQ41="","",'Data entry'!AQ41)</f>
        <v/>
      </c>
      <c r="G37" t="str">
        <f>IF($C37="","",(SUM(COUNTIFS('Data entry'!$R$6:$R$200,$C37,'Data entry'!$B$6:$B$200,{"Confirmed";"Probable"},'Data entry'!$AQ$6:$AQ$200,'Data Validation'!$V$2, 'Data entry'!$AP$6:$AP$200,'Data Validation'!$U$2, 'Data entry'!$BD$6:$BD$200,"&lt;&gt;*Negative*"))))</f>
        <v/>
      </c>
      <c r="H37" t="str">
        <f>IF($C37="","",(SUM(COUNTIFS('Data entry'!$R$6:$R$200,$C37,'Data entry'!$B$6:$B$200,{"Confirmed";"Probable"},'Data entry'!$AQ$6:$AQ$200,'Data Validation'!$V$2, 'Data entry'!$AP$6:$AP$200,'Data Validation'!$U$3, 'Data entry'!$BD$6:$BD$200,"&lt;&gt;*Negative*"))))</f>
        <v/>
      </c>
      <c r="I37" t="str">
        <f>IF($C37="","",(SUM(COUNTIFS('Data entry'!$R$6:$R$200,$C37,'Data entry'!$B$6:$B$200,{"Confirmed";"Probable"},'Data entry'!$AQ$6:$AQ$200,'Data Validation'!$V$2, 'Data entry'!$AP$6:$AP$200,'Data Validation'!$U$4, 'Data entry'!$BD$6:$BD$200,"&lt;&gt;*Negative*"))))</f>
        <v/>
      </c>
      <c r="J37" t="str">
        <f>IF($C37="","",(SUM(COUNTIFS('Data entry'!$R$6:$R$200,$C37,'Data entry'!$B$6:$B$200,{"Confirmed";"Probable"},'Data entry'!$AQ$6:$AQ$200,'Data Validation'!$V$2, 'Data entry'!$AP$6:$AP$200,'Data Validation'!$U$5, 'Data entry'!$BD$6:$BD$200,"&lt;&gt;*Negative*"))))</f>
        <v/>
      </c>
      <c r="K37" t="str">
        <f>IF($C37="","",(SUM(COUNTIFS('Data entry'!$R$6:$R$200,$C37,'Data entry'!$B$6:$B$200,{"Confirmed";"Probable"},'Data entry'!$AQ$6:$AQ$200,'Data Validation'!$V$2, 'Data entry'!$AP$6:$AP$200,'Data Validation'!$U$6, 'Data entry'!$BD$6:$BD$200,"&lt;&gt;*Negative*"))))</f>
        <v/>
      </c>
      <c r="L37" t="str">
        <f>IF($C37="","",(SUM(COUNTIFS('Data entry'!$R$6:$R$200,$C37,'Data entry'!$B$6:$B$200,{"Confirmed";"Probable"},'Data entry'!$AQ$6:$AQ$200,'Data Validation'!$V$3, 'Data entry'!$AP$6:$AP$200,'Data Validation'!$U$2, 'Data entry'!$BD$6:$BD$200,"&lt;&gt;*Negative*"))))</f>
        <v/>
      </c>
      <c r="M37" t="str">
        <f>IF($C37="","",(SUM(COUNTIFS('Data entry'!$R$6:$R$200,$C37,'Data entry'!$B$6:$B$200,{"Confirmed";"Probable"},'Data entry'!$AQ$6:$AQ$200,'Data Validation'!$V$3, 'Data entry'!$AP$6:$AP$200,'Data Validation'!$U$3, 'Data entry'!$BD$6:$BD$200,"&lt;&gt;*Negative*"))))</f>
        <v/>
      </c>
      <c r="N37" t="str">
        <f>IF($C37="","",(SUM(COUNTIFS('Data entry'!$R$6:$R$200,$C37,'Data entry'!$B$6:$B$200,{"Confirmed";"Probable"},'Data entry'!$AQ$6:$AQ$200,'Data Validation'!$V$3, 'Data entry'!$AP$6:$AP$200,'Data Validation'!$U$4, 'Data entry'!$BD$6:$BD$200,"&lt;&gt;*Negative*"))))</f>
        <v/>
      </c>
      <c r="O37" t="str">
        <f>IF($C37="","",(SUM(COUNTIFS('Data entry'!$R$6:$R$200,$C37,'Data entry'!$B$6:$B$200,{"Confirmed";"Probable"},'Data entry'!$AQ$6:$AQ$200,'Data Validation'!$V$3, 'Data entry'!$AP$6:$AP$200,'Data Validation'!$U$5, 'Data entry'!$BD$6:$BD$200,"&lt;&gt;*Negative*"))))</f>
        <v/>
      </c>
      <c r="P37" t="str">
        <f>IF($C37="","",(SUM(COUNTIFS('Data entry'!$R$6:$R$200,$C37,'Data entry'!$B$6:$B$200,{"Confirmed";"Probable"},'Data entry'!$AQ$6:$AQ$200,'Data Validation'!$V$3, 'Data entry'!$AP$6:$AP$200,'Data Validation'!$U$6, 'Data entry'!$BD$6:$BD$200,"&lt;&gt;*Negative*"))))</f>
        <v/>
      </c>
    </row>
    <row r="38" spans="1:16" ht="15.6" x14ac:dyDescent="0.35">
      <c r="A38" s="1" t="str">
        <f>IF('Data entry'!B42="","",'Data entry'!B42)</f>
        <v/>
      </c>
      <c r="B38" s="1" t="str">
        <f>IF('Data entry'!O42="","",'Data entry'!O42)</f>
        <v/>
      </c>
      <c r="C38" s="321" t="str">
        <f>IF('Data entry'!R42="","",'Data entry'!R42)</f>
        <v/>
      </c>
      <c r="D38" s="1" t="str">
        <f>IF('Data entry'!AO42="","",'Data entry'!AO42)</f>
        <v/>
      </c>
      <c r="E38" s="1" t="str">
        <f>IF('Data entry'!AP42="","",'Data entry'!AP42)</f>
        <v/>
      </c>
      <c r="F38" s="1" t="str">
        <f>IF('Data entry'!AQ42="","",'Data entry'!AQ42)</f>
        <v/>
      </c>
      <c r="G38" t="str">
        <f>IF($C38="","",(SUM(COUNTIFS('Data entry'!$R$6:$R$200,$C38,'Data entry'!$B$6:$B$200,{"Confirmed";"Probable"},'Data entry'!$AQ$6:$AQ$200,'Data Validation'!$V$2, 'Data entry'!$AP$6:$AP$200,'Data Validation'!$U$2, 'Data entry'!$BD$6:$BD$200,"&lt;&gt;*Negative*"))))</f>
        <v/>
      </c>
      <c r="H38" t="str">
        <f>IF($C38="","",(SUM(COUNTIFS('Data entry'!$R$6:$R$200,$C38,'Data entry'!$B$6:$B$200,{"Confirmed";"Probable"},'Data entry'!$AQ$6:$AQ$200,'Data Validation'!$V$2, 'Data entry'!$AP$6:$AP$200,'Data Validation'!$U$3, 'Data entry'!$BD$6:$BD$200,"&lt;&gt;*Negative*"))))</f>
        <v/>
      </c>
      <c r="I38" t="str">
        <f>IF($C38="","",(SUM(COUNTIFS('Data entry'!$R$6:$R$200,$C38,'Data entry'!$B$6:$B$200,{"Confirmed";"Probable"},'Data entry'!$AQ$6:$AQ$200,'Data Validation'!$V$2, 'Data entry'!$AP$6:$AP$200,'Data Validation'!$U$4, 'Data entry'!$BD$6:$BD$200,"&lt;&gt;*Negative*"))))</f>
        <v/>
      </c>
      <c r="J38" t="str">
        <f>IF($C38="","",(SUM(COUNTIFS('Data entry'!$R$6:$R$200,$C38,'Data entry'!$B$6:$B$200,{"Confirmed";"Probable"},'Data entry'!$AQ$6:$AQ$200,'Data Validation'!$V$2, 'Data entry'!$AP$6:$AP$200,'Data Validation'!$U$5, 'Data entry'!$BD$6:$BD$200,"&lt;&gt;*Negative*"))))</f>
        <v/>
      </c>
      <c r="K38" t="str">
        <f>IF($C38="","",(SUM(COUNTIFS('Data entry'!$R$6:$R$200,$C38,'Data entry'!$B$6:$B$200,{"Confirmed";"Probable"},'Data entry'!$AQ$6:$AQ$200,'Data Validation'!$V$2, 'Data entry'!$AP$6:$AP$200,'Data Validation'!$U$6, 'Data entry'!$BD$6:$BD$200,"&lt;&gt;*Negative*"))))</f>
        <v/>
      </c>
      <c r="L38" t="str">
        <f>IF($C38="","",(SUM(COUNTIFS('Data entry'!$R$6:$R$200,$C38,'Data entry'!$B$6:$B$200,{"Confirmed";"Probable"},'Data entry'!$AQ$6:$AQ$200,'Data Validation'!$V$3, 'Data entry'!$AP$6:$AP$200,'Data Validation'!$U$2, 'Data entry'!$BD$6:$BD$200,"&lt;&gt;*Negative*"))))</f>
        <v/>
      </c>
      <c r="M38" t="str">
        <f>IF($C38="","",(SUM(COUNTIFS('Data entry'!$R$6:$R$200,$C38,'Data entry'!$B$6:$B$200,{"Confirmed";"Probable"},'Data entry'!$AQ$6:$AQ$200,'Data Validation'!$V$3, 'Data entry'!$AP$6:$AP$200,'Data Validation'!$U$3, 'Data entry'!$BD$6:$BD$200,"&lt;&gt;*Negative*"))))</f>
        <v/>
      </c>
      <c r="N38" t="str">
        <f>IF($C38="","",(SUM(COUNTIFS('Data entry'!$R$6:$R$200,$C38,'Data entry'!$B$6:$B$200,{"Confirmed";"Probable"},'Data entry'!$AQ$6:$AQ$200,'Data Validation'!$V$3, 'Data entry'!$AP$6:$AP$200,'Data Validation'!$U$4, 'Data entry'!$BD$6:$BD$200,"&lt;&gt;*Negative*"))))</f>
        <v/>
      </c>
      <c r="O38" t="str">
        <f>IF($C38="","",(SUM(COUNTIFS('Data entry'!$R$6:$R$200,$C38,'Data entry'!$B$6:$B$200,{"Confirmed";"Probable"},'Data entry'!$AQ$6:$AQ$200,'Data Validation'!$V$3, 'Data entry'!$AP$6:$AP$200,'Data Validation'!$U$5, 'Data entry'!$BD$6:$BD$200,"&lt;&gt;*Negative*"))))</f>
        <v/>
      </c>
      <c r="P38" t="str">
        <f>IF($C38="","",(SUM(COUNTIFS('Data entry'!$R$6:$R$200,$C38,'Data entry'!$B$6:$B$200,{"Confirmed";"Probable"},'Data entry'!$AQ$6:$AQ$200,'Data Validation'!$V$3, 'Data entry'!$AP$6:$AP$200,'Data Validation'!$U$6, 'Data entry'!$BD$6:$BD$200,"&lt;&gt;*Negative*"))))</f>
        <v/>
      </c>
    </row>
    <row r="39" spans="1:16" ht="15.6" x14ac:dyDescent="0.35">
      <c r="A39" s="1" t="str">
        <f>IF('Data entry'!B43="","",'Data entry'!B43)</f>
        <v/>
      </c>
      <c r="B39" s="1" t="str">
        <f>IF('Data entry'!O43="","",'Data entry'!O43)</f>
        <v/>
      </c>
      <c r="C39" s="321" t="str">
        <f>IF('Data entry'!R43="","",'Data entry'!R43)</f>
        <v/>
      </c>
      <c r="D39" s="1" t="str">
        <f>IF('Data entry'!AO43="","",'Data entry'!AO43)</f>
        <v/>
      </c>
      <c r="E39" s="1" t="str">
        <f>IF('Data entry'!AP43="","",'Data entry'!AP43)</f>
        <v/>
      </c>
      <c r="F39" s="1" t="str">
        <f>IF('Data entry'!AQ43="","",'Data entry'!AQ43)</f>
        <v/>
      </c>
      <c r="G39" t="str">
        <f>IF($C39="","",(SUM(COUNTIFS('Data entry'!$R$6:$R$200,$C39,'Data entry'!$B$6:$B$200,{"Confirmed";"Probable"},'Data entry'!$AQ$6:$AQ$200,'Data Validation'!$V$2, 'Data entry'!$AP$6:$AP$200,'Data Validation'!$U$2, 'Data entry'!$BD$6:$BD$200,"&lt;&gt;*Negative*"))))</f>
        <v/>
      </c>
      <c r="H39" t="str">
        <f>IF($C39="","",(SUM(COUNTIFS('Data entry'!$R$6:$R$200,$C39,'Data entry'!$B$6:$B$200,{"Confirmed";"Probable"},'Data entry'!$AQ$6:$AQ$200,'Data Validation'!$V$2, 'Data entry'!$AP$6:$AP$200,'Data Validation'!$U$3, 'Data entry'!$BD$6:$BD$200,"&lt;&gt;*Negative*"))))</f>
        <v/>
      </c>
      <c r="I39" t="str">
        <f>IF($C39="","",(SUM(COUNTIFS('Data entry'!$R$6:$R$200,$C39,'Data entry'!$B$6:$B$200,{"Confirmed";"Probable"},'Data entry'!$AQ$6:$AQ$200,'Data Validation'!$V$2, 'Data entry'!$AP$6:$AP$200,'Data Validation'!$U$4, 'Data entry'!$BD$6:$BD$200,"&lt;&gt;*Negative*"))))</f>
        <v/>
      </c>
      <c r="J39" t="str">
        <f>IF($C39="","",(SUM(COUNTIFS('Data entry'!$R$6:$R$200,$C39,'Data entry'!$B$6:$B$200,{"Confirmed";"Probable"},'Data entry'!$AQ$6:$AQ$200,'Data Validation'!$V$2, 'Data entry'!$AP$6:$AP$200,'Data Validation'!$U$5, 'Data entry'!$BD$6:$BD$200,"&lt;&gt;*Negative*"))))</f>
        <v/>
      </c>
      <c r="K39" t="str">
        <f>IF($C39="","",(SUM(COUNTIFS('Data entry'!$R$6:$R$200,$C39,'Data entry'!$B$6:$B$200,{"Confirmed";"Probable"},'Data entry'!$AQ$6:$AQ$200,'Data Validation'!$V$2, 'Data entry'!$AP$6:$AP$200,'Data Validation'!$U$6, 'Data entry'!$BD$6:$BD$200,"&lt;&gt;*Negative*"))))</f>
        <v/>
      </c>
      <c r="L39" t="str">
        <f>IF($C39="","",(SUM(COUNTIFS('Data entry'!$R$6:$R$200,$C39,'Data entry'!$B$6:$B$200,{"Confirmed";"Probable"},'Data entry'!$AQ$6:$AQ$200,'Data Validation'!$V$3, 'Data entry'!$AP$6:$AP$200,'Data Validation'!$U$2, 'Data entry'!$BD$6:$BD$200,"&lt;&gt;*Negative*"))))</f>
        <v/>
      </c>
      <c r="M39" t="str">
        <f>IF($C39="","",(SUM(COUNTIFS('Data entry'!$R$6:$R$200,$C39,'Data entry'!$B$6:$B$200,{"Confirmed";"Probable"},'Data entry'!$AQ$6:$AQ$200,'Data Validation'!$V$3, 'Data entry'!$AP$6:$AP$200,'Data Validation'!$U$3, 'Data entry'!$BD$6:$BD$200,"&lt;&gt;*Negative*"))))</f>
        <v/>
      </c>
      <c r="N39" t="str">
        <f>IF($C39="","",(SUM(COUNTIFS('Data entry'!$R$6:$R$200,$C39,'Data entry'!$B$6:$B$200,{"Confirmed";"Probable"},'Data entry'!$AQ$6:$AQ$200,'Data Validation'!$V$3, 'Data entry'!$AP$6:$AP$200,'Data Validation'!$U$4, 'Data entry'!$BD$6:$BD$200,"&lt;&gt;*Negative*"))))</f>
        <v/>
      </c>
      <c r="O39" t="str">
        <f>IF($C39="","",(SUM(COUNTIFS('Data entry'!$R$6:$R$200,$C39,'Data entry'!$B$6:$B$200,{"Confirmed";"Probable"},'Data entry'!$AQ$6:$AQ$200,'Data Validation'!$V$3, 'Data entry'!$AP$6:$AP$200,'Data Validation'!$U$5, 'Data entry'!$BD$6:$BD$200,"&lt;&gt;*Negative*"))))</f>
        <v/>
      </c>
      <c r="P39" t="str">
        <f>IF($C39="","",(SUM(COUNTIFS('Data entry'!$R$6:$R$200,$C39,'Data entry'!$B$6:$B$200,{"Confirmed";"Probable"},'Data entry'!$AQ$6:$AQ$200,'Data Validation'!$V$3, 'Data entry'!$AP$6:$AP$200,'Data Validation'!$U$6, 'Data entry'!$BD$6:$BD$200,"&lt;&gt;*Negative*"))))</f>
        <v/>
      </c>
    </row>
    <row r="40" spans="1:16" ht="15.6" x14ac:dyDescent="0.35">
      <c r="A40" s="1" t="str">
        <f>IF('Data entry'!B44="","",'Data entry'!B44)</f>
        <v/>
      </c>
      <c r="B40" s="1" t="str">
        <f>IF('Data entry'!O44="","",'Data entry'!O44)</f>
        <v/>
      </c>
      <c r="C40" s="321" t="str">
        <f>IF('Data entry'!R44="","",'Data entry'!R44)</f>
        <v/>
      </c>
      <c r="D40" s="1" t="str">
        <f>IF('Data entry'!AO44="","",'Data entry'!AO44)</f>
        <v/>
      </c>
      <c r="E40" s="1" t="str">
        <f>IF('Data entry'!AP44="","",'Data entry'!AP44)</f>
        <v/>
      </c>
      <c r="F40" s="1" t="str">
        <f>IF('Data entry'!AQ44="","",'Data entry'!AQ44)</f>
        <v/>
      </c>
      <c r="G40" t="str">
        <f>IF($C40="","",(SUM(COUNTIFS('Data entry'!$R$6:$R$200,$C40,'Data entry'!$B$6:$B$200,{"Confirmed";"Probable"},'Data entry'!$AQ$6:$AQ$200,'Data Validation'!$V$2, 'Data entry'!$AP$6:$AP$200,'Data Validation'!$U$2, 'Data entry'!$BD$6:$BD$200,"&lt;&gt;*Negative*"))))</f>
        <v/>
      </c>
      <c r="H40" t="str">
        <f>IF($C40="","",(SUM(COUNTIFS('Data entry'!$R$6:$R$200,$C40,'Data entry'!$B$6:$B$200,{"Confirmed";"Probable"},'Data entry'!$AQ$6:$AQ$200,'Data Validation'!$V$2, 'Data entry'!$AP$6:$AP$200,'Data Validation'!$U$3, 'Data entry'!$BD$6:$BD$200,"&lt;&gt;*Negative*"))))</f>
        <v/>
      </c>
      <c r="I40" t="str">
        <f>IF($C40="","",(SUM(COUNTIFS('Data entry'!$R$6:$R$200,$C40,'Data entry'!$B$6:$B$200,{"Confirmed";"Probable"},'Data entry'!$AQ$6:$AQ$200,'Data Validation'!$V$2, 'Data entry'!$AP$6:$AP$200,'Data Validation'!$U$4, 'Data entry'!$BD$6:$BD$200,"&lt;&gt;*Negative*"))))</f>
        <v/>
      </c>
      <c r="J40" t="str">
        <f>IF($C40="","",(SUM(COUNTIFS('Data entry'!$R$6:$R$200,$C40,'Data entry'!$B$6:$B$200,{"Confirmed";"Probable"},'Data entry'!$AQ$6:$AQ$200,'Data Validation'!$V$2, 'Data entry'!$AP$6:$AP$200,'Data Validation'!$U$5, 'Data entry'!$BD$6:$BD$200,"&lt;&gt;*Negative*"))))</f>
        <v/>
      </c>
      <c r="K40" t="str">
        <f>IF($C40="","",(SUM(COUNTIFS('Data entry'!$R$6:$R$200,$C40,'Data entry'!$B$6:$B$200,{"Confirmed";"Probable"},'Data entry'!$AQ$6:$AQ$200,'Data Validation'!$V$2, 'Data entry'!$AP$6:$AP$200,'Data Validation'!$U$6, 'Data entry'!$BD$6:$BD$200,"&lt;&gt;*Negative*"))))</f>
        <v/>
      </c>
      <c r="L40" t="str">
        <f>IF($C40="","",(SUM(COUNTIFS('Data entry'!$R$6:$R$200,$C40,'Data entry'!$B$6:$B$200,{"Confirmed";"Probable"},'Data entry'!$AQ$6:$AQ$200,'Data Validation'!$V$3, 'Data entry'!$AP$6:$AP$200,'Data Validation'!$U$2, 'Data entry'!$BD$6:$BD$200,"&lt;&gt;*Negative*"))))</f>
        <v/>
      </c>
      <c r="M40" t="str">
        <f>IF($C40="","",(SUM(COUNTIFS('Data entry'!$R$6:$R$200,$C40,'Data entry'!$B$6:$B$200,{"Confirmed";"Probable"},'Data entry'!$AQ$6:$AQ$200,'Data Validation'!$V$3, 'Data entry'!$AP$6:$AP$200,'Data Validation'!$U$3, 'Data entry'!$BD$6:$BD$200,"&lt;&gt;*Negative*"))))</f>
        <v/>
      </c>
      <c r="N40" t="str">
        <f>IF($C40="","",(SUM(COUNTIFS('Data entry'!$R$6:$R$200,$C40,'Data entry'!$B$6:$B$200,{"Confirmed";"Probable"},'Data entry'!$AQ$6:$AQ$200,'Data Validation'!$V$3, 'Data entry'!$AP$6:$AP$200,'Data Validation'!$U$4, 'Data entry'!$BD$6:$BD$200,"&lt;&gt;*Negative*"))))</f>
        <v/>
      </c>
      <c r="O40" t="str">
        <f>IF($C40="","",(SUM(COUNTIFS('Data entry'!$R$6:$R$200,$C40,'Data entry'!$B$6:$B$200,{"Confirmed";"Probable"},'Data entry'!$AQ$6:$AQ$200,'Data Validation'!$V$3, 'Data entry'!$AP$6:$AP$200,'Data Validation'!$U$5, 'Data entry'!$BD$6:$BD$200,"&lt;&gt;*Negative*"))))</f>
        <v/>
      </c>
      <c r="P40" t="str">
        <f>IF($C40="","",(SUM(COUNTIFS('Data entry'!$R$6:$R$200,$C40,'Data entry'!$B$6:$B$200,{"Confirmed";"Probable"},'Data entry'!$AQ$6:$AQ$200,'Data Validation'!$V$3, 'Data entry'!$AP$6:$AP$200,'Data Validation'!$U$6, 'Data entry'!$BD$6:$BD$200,"&lt;&gt;*Negative*"))))</f>
        <v/>
      </c>
    </row>
    <row r="41" spans="1:16" ht="15.6" x14ac:dyDescent="0.35">
      <c r="A41" s="1" t="str">
        <f>IF('Data entry'!B45="","",'Data entry'!B45)</f>
        <v/>
      </c>
      <c r="B41" s="1" t="str">
        <f>IF('Data entry'!O45="","",'Data entry'!O45)</f>
        <v/>
      </c>
      <c r="C41" s="321" t="str">
        <f>IF('Data entry'!R45="","",'Data entry'!R45)</f>
        <v/>
      </c>
      <c r="D41" s="1" t="str">
        <f>IF('Data entry'!AO45="","",'Data entry'!AO45)</f>
        <v/>
      </c>
      <c r="E41" s="1" t="str">
        <f>IF('Data entry'!AP45="","",'Data entry'!AP45)</f>
        <v/>
      </c>
      <c r="F41" s="1" t="str">
        <f>IF('Data entry'!AQ45="","",'Data entry'!AQ45)</f>
        <v/>
      </c>
      <c r="G41" t="str">
        <f>IF($C41="","",(SUM(COUNTIFS('Data entry'!$R$6:$R$200,$C41,'Data entry'!$B$6:$B$200,{"Confirmed";"Probable"},'Data entry'!$AQ$6:$AQ$200,'Data Validation'!$V$2, 'Data entry'!$AP$6:$AP$200,'Data Validation'!$U$2, 'Data entry'!$BD$6:$BD$200,"&lt;&gt;*Negative*"))))</f>
        <v/>
      </c>
      <c r="H41" t="str">
        <f>IF($C41="","",(SUM(COUNTIFS('Data entry'!$R$6:$R$200,$C41,'Data entry'!$B$6:$B$200,{"Confirmed";"Probable"},'Data entry'!$AQ$6:$AQ$200,'Data Validation'!$V$2, 'Data entry'!$AP$6:$AP$200,'Data Validation'!$U$3, 'Data entry'!$BD$6:$BD$200,"&lt;&gt;*Negative*"))))</f>
        <v/>
      </c>
      <c r="I41" t="str">
        <f>IF($C41="","",(SUM(COUNTIFS('Data entry'!$R$6:$R$200,$C41,'Data entry'!$B$6:$B$200,{"Confirmed";"Probable"},'Data entry'!$AQ$6:$AQ$200,'Data Validation'!$V$2, 'Data entry'!$AP$6:$AP$200,'Data Validation'!$U$4, 'Data entry'!$BD$6:$BD$200,"&lt;&gt;*Negative*"))))</f>
        <v/>
      </c>
      <c r="J41" t="str">
        <f>IF($C41="","",(SUM(COUNTIFS('Data entry'!$R$6:$R$200,$C41,'Data entry'!$B$6:$B$200,{"Confirmed";"Probable"},'Data entry'!$AQ$6:$AQ$200,'Data Validation'!$V$2, 'Data entry'!$AP$6:$AP$200,'Data Validation'!$U$5, 'Data entry'!$BD$6:$BD$200,"&lt;&gt;*Negative*"))))</f>
        <v/>
      </c>
      <c r="K41" t="str">
        <f>IF($C41="","",(SUM(COUNTIFS('Data entry'!$R$6:$R$200,$C41,'Data entry'!$B$6:$B$200,{"Confirmed";"Probable"},'Data entry'!$AQ$6:$AQ$200,'Data Validation'!$V$2, 'Data entry'!$AP$6:$AP$200,'Data Validation'!$U$6, 'Data entry'!$BD$6:$BD$200,"&lt;&gt;*Negative*"))))</f>
        <v/>
      </c>
      <c r="L41" t="str">
        <f>IF($C41="","",(SUM(COUNTIFS('Data entry'!$R$6:$R$200,$C41,'Data entry'!$B$6:$B$200,{"Confirmed";"Probable"},'Data entry'!$AQ$6:$AQ$200,'Data Validation'!$V$3, 'Data entry'!$AP$6:$AP$200,'Data Validation'!$U$2, 'Data entry'!$BD$6:$BD$200,"&lt;&gt;*Negative*"))))</f>
        <v/>
      </c>
      <c r="M41" t="str">
        <f>IF($C41="","",(SUM(COUNTIFS('Data entry'!$R$6:$R$200,$C41,'Data entry'!$B$6:$B$200,{"Confirmed";"Probable"},'Data entry'!$AQ$6:$AQ$200,'Data Validation'!$V$3, 'Data entry'!$AP$6:$AP$200,'Data Validation'!$U$3, 'Data entry'!$BD$6:$BD$200,"&lt;&gt;*Negative*"))))</f>
        <v/>
      </c>
      <c r="N41" t="str">
        <f>IF($C41="","",(SUM(COUNTIFS('Data entry'!$R$6:$R$200,$C41,'Data entry'!$B$6:$B$200,{"Confirmed";"Probable"},'Data entry'!$AQ$6:$AQ$200,'Data Validation'!$V$3, 'Data entry'!$AP$6:$AP$200,'Data Validation'!$U$4, 'Data entry'!$BD$6:$BD$200,"&lt;&gt;*Negative*"))))</f>
        <v/>
      </c>
      <c r="O41" t="str">
        <f>IF($C41="","",(SUM(COUNTIFS('Data entry'!$R$6:$R$200,$C41,'Data entry'!$B$6:$B$200,{"Confirmed";"Probable"},'Data entry'!$AQ$6:$AQ$200,'Data Validation'!$V$3, 'Data entry'!$AP$6:$AP$200,'Data Validation'!$U$5, 'Data entry'!$BD$6:$BD$200,"&lt;&gt;*Negative*"))))</f>
        <v/>
      </c>
      <c r="P41" t="str">
        <f>IF($C41="","",(SUM(COUNTIFS('Data entry'!$R$6:$R$200,$C41,'Data entry'!$B$6:$B$200,{"Confirmed";"Probable"},'Data entry'!$AQ$6:$AQ$200,'Data Validation'!$V$3, 'Data entry'!$AP$6:$AP$200,'Data Validation'!$U$6, 'Data entry'!$BD$6:$BD$200,"&lt;&gt;*Negative*"))))</f>
        <v/>
      </c>
    </row>
    <row r="42" spans="1:16" ht="15.6" x14ac:dyDescent="0.35">
      <c r="A42" s="1" t="str">
        <f>IF('Data entry'!B46="","",'Data entry'!B46)</f>
        <v/>
      </c>
      <c r="B42" s="1" t="str">
        <f>IF('Data entry'!O46="","",'Data entry'!O46)</f>
        <v/>
      </c>
      <c r="C42" s="321" t="str">
        <f>IF('Data entry'!R46="","",'Data entry'!R46)</f>
        <v/>
      </c>
      <c r="D42" s="1" t="str">
        <f>IF('Data entry'!AO46="","",'Data entry'!AO46)</f>
        <v/>
      </c>
      <c r="E42" s="1" t="str">
        <f>IF('Data entry'!AP46="","",'Data entry'!AP46)</f>
        <v/>
      </c>
      <c r="F42" s="1" t="str">
        <f>IF('Data entry'!AQ46="","",'Data entry'!AQ46)</f>
        <v/>
      </c>
      <c r="G42" t="str">
        <f>IF($C42="","",(SUM(COUNTIFS('Data entry'!$R$6:$R$200,$C42,'Data entry'!$B$6:$B$200,{"Confirmed";"Probable"},'Data entry'!$AQ$6:$AQ$200,'Data Validation'!$V$2, 'Data entry'!$AP$6:$AP$200,'Data Validation'!$U$2, 'Data entry'!$BD$6:$BD$200,"&lt;&gt;*Negative*"))))</f>
        <v/>
      </c>
      <c r="H42" t="str">
        <f>IF($C42="","",(SUM(COUNTIFS('Data entry'!$R$6:$R$200,$C42,'Data entry'!$B$6:$B$200,{"Confirmed";"Probable"},'Data entry'!$AQ$6:$AQ$200,'Data Validation'!$V$2, 'Data entry'!$AP$6:$AP$200,'Data Validation'!$U$3, 'Data entry'!$BD$6:$BD$200,"&lt;&gt;*Negative*"))))</f>
        <v/>
      </c>
      <c r="I42" t="str">
        <f>IF($C42="","",(SUM(COUNTIFS('Data entry'!$R$6:$R$200,$C42,'Data entry'!$B$6:$B$200,{"Confirmed";"Probable"},'Data entry'!$AQ$6:$AQ$200,'Data Validation'!$V$2, 'Data entry'!$AP$6:$AP$200,'Data Validation'!$U$4, 'Data entry'!$BD$6:$BD$200,"&lt;&gt;*Negative*"))))</f>
        <v/>
      </c>
      <c r="J42" t="str">
        <f>IF($C42="","",(SUM(COUNTIFS('Data entry'!$R$6:$R$200,$C42,'Data entry'!$B$6:$B$200,{"Confirmed";"Probable"},'Data entry'!$AQ$6:$AQ$200,'Data Validation'!$V$2, 'Data entry'!$AP$6:$AP$200,'Data Validation'!$U$5, 'Data entry'!$BD$6:$BD$200,"&lt;&gt;*Negative*"))))</f>
        <v/>
      </c>
      <c r="K42" t="str">
        <f>IF($C42="","",(SUM(COUNTIFS('Data entry'!$R$6:$R$200,$C42,'Data entry'!$B$6:$B$200,{"Confirmed";"Probable"},'Data entry'!$AQ$6:$AQ$200,'Data Validation'!$V$2, 'Data entry'!$AP$6:$AP$200,'Data Validation'!$U$6, 'Data entry'!$BD$6:$BD$200,"&lt;&gt;*Negative*"))))</f>
        <v/>
      </c>
      <c r="L42" t="str">
        <f>IF($C42="","",(SUM(COUNTIFS('Data entry'!$R$6:$R$200,$C42,'Data entry'!$B$6:$B$200,{"Confirmed";"Probable"},'Data entry'!$AQ$6:$AQ$200,'Data Validation'!$V$3, 'Data entry'!$AP$6:$AP$200,'Data Validation'!$U$2, 'Data entry'!$BD$6:$BD$200,"&lt;&gt;*Negative*"))))</f>
        <v/>
      </c>
      <c r="M42" t="str">
        <f>IF($C42="","",(SUM(COUNTIFS('Data entry'!$R$6:$R$200,$C42,'Data entry'!$B$6:$B$200,{"Confirmed";"Probable"},'Data entry'!$AQ$6:$AQ$200,'Data Validation'!$V$3, 'Data entry'!$AP$6:$AP$200,'Data Validation'!$U$3, 'Data entry'!$BD$6:$BD$200,"&lt;&gt;*Negative*"))))</f>
        <v/>
      </c>
      <c r="N42" t="str">
        <f>IF($C42="","",(SUM(COUNTIFS('Data entry'!$R$6:$R$200,$C42,'Data entry'!$B$6:$B$200,{"Confirmed";"Probable"},'Data entry'!$AQ$6:$AQ$200,'Data Validation'!$V$3, 'Data entry'!$AP$6:$AP$200,'Data Validation'!$U$4, 'Data entry'!$BD$6:$BD$200,"&lt;&gt;*Negative*"))))</f>
        <v/>
      </c>
      <c r="O42" t="str">
        <f>IF($C42="","",(SUM(COUNTIFS('Data entry'!$R$6:$R$200,$C42,'Data entry'!$B$6:$B$200,{"Confirmed";"Probable"},'Data entry'!$AQ$6:$AQ$200,'Data Validation'!$V$3, 'Data entry'!$AP$6:$AP$200,'Data Validation'!$U$5, 'Data entry'!$BD$6:$BD$200,"&lt;&gt;*Negative*"))))</f>
        <v/>
      </c>
      <c r="P42" t="str">
        <f>IF($C42="","",(SUM(COUNTIFS('Data entry'!$R$6:$R$200,$C42,'Data entry'!$B$6:$B$200,{"Confirmed";"Probable"},'Data entry'!$AQ$6:$AQ$200,'Data Validation'!$V$3, 'Data entry'!$AP$6:$AP$200,'Data Validation'!$U$6, 'Data entry'!$BD$6:$BD$200,"&lt;&gt;*Negative*"))))</f>
        <v/>
      </c>
    </row>
    <row r="43" spans="1:16" ht="15.6" x14ac:dyDescent="0.35">
      <c r="A43" s="1" t="str">
        <f>IF('Data entry'!B47="","",'Data entry'!B47)</f>
        <v/>
      </c>
      <c r="B43" s="1" t="str">
        <f>IF('Data entry'!O47="","",'Data entry'!O47)</f>
        <v/>
      </c>
      <c r="C43" s="321" t="str">
        <f>IF('Data entry'!R47="","",'Data entry'!R47)</f>
        <v/>
      </c>
      <c r="D43" s="1" t="str">
        <f>IF('Data entry'!AO47="","",'Data entry'!AO47)</f>
        <v/>
      </c>
      <c r="E43" s="1" t="str">
        <f>IF('Data entry'!AP47="","",'Data entry'!AP47)</f>
        <v/>
      </c>
      <c r="F43" s="1" t="str">
        <f>IF('Data entry'!AQ47="","",'Data entry'!AQ47)</f>
        <v/>
      </c>
      <c r="G43" t="str">
        <f>IF($C43="","",(SUM(COUNTIFS('Data entry'!$R$6:$R$200,$C43,'Data entry'!$B$6:$B$200,{"Confirmed";"Probable"},'Data entry'!$AQ$6:$AQ$200,'Data Validation'!$V$2, 'Data entry'!$AP$6:$AP$200,'Data Validation'!$U$2, 'Data entry'!$BD$6:$BD$200,"&lt;&gt;*Negative*"))))</f>
        <v/>
      </c>
      <c r="H43" t="str">
        <f>IF($C43="","",(SUM(COUNTIFS('Data entry'!$R$6:$R$200,$C43,'Data entry'!$B$6:$B$200,{"Confirmed";"Probable"},'Data entry'!$AQ$6:$AQ$200,'Data Validation'!$V$2, 'Data entry'!$AP$6:$AP$200,'Data Validation'!$U$3, 'Data entry'!$BD$6:$BD$200,"&lt;&gt;*Negative*"))))</f>
        <v/>
      </c>
      <c r="I43" t="str">
        <f>IF($C43="","",(SUM(COUNTIFS('Data entry'!$R$6:$R$200,$C43,'Data entry'!$B$6:$B$200,{"Confirmed";"Probable"},'Data entry'!$AQ$6:$AQ$200,'Data Validation'!$V$2, 'Data entry'!$AP$6:$AP$200,'Data Validation'!$U$4, 'Data entry'!$BD$6:$BD$200,"&lt;&gt;*Negative*"))))</f>
        <v/>
      </c>
      <c r="J43" t="str">
        <f>IF($C43="","",(SUM(COUNTIFS('Data entry'!$R$6:$R$200,$C43,'Data entry'!$B$6:$B$200,{"Confirmed";"Probable"},'Data entry'!$AQ$6:$AQ$200,'Data Validation'!$V$2, 'Data entry'!$AP$6:$AP$200,'Data Validation'!$U$5, 'Data entry'!$BD$6:$BD$200,"&lt;&gt;*Negative*"))))</f>
        <v/>
      </c>
      <c r="K43" t="str">
        <f>IF($C43="","",(SUM(COUNTIFS('Data entry'!$R$6:$R$200,$C43,'Data entry'!$B$6:$B$200,{"Confirmed";"Probable"},'Data entry'!$AQ$6:$AQ$200,'Data Validation'!$V$2, 'Data entry'!$AP$6:$AP$200,'Data Validation'!$U$6, 'Data entry'!$BD$6:$BD$200,"&lt;&gt;*Negative*"))))</f>
        <v/>
      </c>
      <c r="L43" t="str">
        <f>IF($C43="","",(SUM(COUNTIFS('Data entry'!$R$6:$R$200,$C43,'Data entry'!$B$6:$B$200,{"Confirmed";"Probable"},'Data entry'!$AQ$6:$AQ$200,'Data Validation'!$V$3, 'Data entry'!$AP$6:$AP$200,'Data Validation'!$U$2, 'Data entry'!$BD$6:$BD$200,"&lt;&gt;*Negative*"))))</f>
        <v/>
      </c>
      <c r="M43" t="str">
        <f>IF($C43="","",(SUM(COUNTIFS('Data entry'!$R$6:$R$200,$C43,'Data entry'!$B$6:$B$200,{"Confirmed";"Probable"},'Data entry'!$AQ$6:$AQ$200,'Data Validation'!$V$3, 'Data entry'!$AP$6:$AP$200,'Data Validation'!$U$3, 'Data entry'!$BD$6:$BD$200,"&lt;&gt;*Negative*"))))</f>
        <v/>
      </c>
      <c r="N43" t="str">
        <f>IF($C43="","",(SUM(COUNTIFS('Data entry'!$R$6:$R$200,$C43,'Data entry'!$B$6:$B$200,{"Confirmed";"Probable"},'Data entry'!$AQ$6:$AQ$200,'Data Validation'!$V$3, 'Data entry'!$AP$6:$AP$200,'Data Validation'!$U$4, 'Data entry'!$BD$6:$BD$200,"&lt;&gt;*Negative*"))))</f>
        <v/>
      </c>
      <c r="O43" t="str">
        <f>IF($C43="","",(SUM(COUNTIFS('Data entry'!$R$6:$R$200,$C43,'Data entry'!$B$6:$B$200,{"Confirmed";"Probable"},'Data entry'!$AQ$6:$AQ$200,'Data Validation'!$V$3, 'Data entry'!$AP$6:$AP$200,'Data Validation'!$U$5, 'Data entry'!$BD$6:$BD$200,"&lt;&gt;*Negative*"))))</f>
        <v/>
      </c>
      <c r="P43" t="str">
        <f>IF($C43="","",(SUM(COUNTIFS('Data entry'!$R$6:$R$200,$C43,'Data entry'!$B$6:$B$200,{"Confirmed";"Probable"},'Data entry'!$AQ$6:$AQ$200,'Data Validation'!$V$3, 'Data entry'!$AP$6:$AP$200,'Data Validation'!$U$6, 'Data entry'!$BD$6:$BD$200,"&lt;&gt;*Negative*"))))</f>
        <v/>
      </c>
    </row>
    <row r="44" spans="1:16" ht="15.6" x14ac:dyDescent="0.35">
      <c r="A44" s="1" t="str">
        <f>IF('Data entry'!B48="","",'Data entry'!B48)</f>
        <v/>
      </c>
      <c r="B44" s="1" t="str">
        <f>IF('Data entry'!O48="","",'Data entry'!O48)</f>
        <v/>
      </c>
      <c r="C44" s="321" t="str">
        <f>IF('Data entry'!R48="","",'Data entry'!R48)</f>
        <v/>
      </c>
      <c r="D44" s="1" t="str">
        <f>IF('Data entry'!AO48="","",'Data entry'!AO48)</f>
        <v/>
      </c>
      <c r="E44" s="1" t="str">
        <f>IF('Data entry'!AP48="","",'Data entry'!AP48)</f>
        <v/>
      </c>
      <c r="F44" s="1" t="str">
        <f>IF('Data entry'!AQ48="","",'Data entry'!AQ48)</f>
        <v/>
      </c>
      <c r="G44" t="str">
        <f>IF($C44="","",(SUM(COUNTIFS('Data entry'!$R$6:$R$200,$C44,'Data entry'!$B$6:$B$200,{"Confirmed";"Probable"},'Data entry'!$AQ$6:$AQ$200,'Data Validation'!$V$2, 'Data entry'!$AP$6:$AP$200,'Data Validation'!$U$2, 'Data entry'!$BD$6:$BD$200,"&lt;&gt;*Negative*"))))</f>
        <v/>
      </c>
      <c r="H44" t="str">
        <f>IF($C44="","",(SUM(COUNTIFS('Data entry'!$R$6:$R$200,$C44,'Data entry'!$B$6:$B$200,{"Confirmed";"Probable"},'Data entry'!$AQ$6:$AQ$200,'Data Validation'!$V$2, 'Data entry'!$AP$6:$AP$200,'Data Validation'!$U$3, 'Data entry'!$BD$6:$BD$200,"&lt;&gt;*Negative*"))))</f>
        <v/>
      </c>
      <c r="I44" t="str">
        <f>IF($C44="","",(SUM(COUNTIFS('Data entry'!$R$6:$R$200,$C44,'Data entry'!$B$6:$B$200,{"Confirmed";"Probable"},'Data entry'!$AQ$6:$AQ$200,'Data Validation'!$V$2, 'Data entry'!$AP$6:$AP$200,'Data Validation'!$U$4, 'Data entry'!$BD$6:$BD$200,"&lt;&gt;*Negative*"))))</f>
        <v/>
      </c>
      <c r="J44" t="str">
        <f>IF($C44="","",(SUM(COUNTIFS('Data entry'!$R$6:$R$200,$C44,'Data entry'!$B$6:$B$200,{"Confirmed";"Probable"},'Data entry'!$AQ$6:$AQ$200,'Data Validation'!$V$2, 'Data entry'!$AP$6:$AP$200,'Data Validation'!$U$5, 'Data entry'!$BD$6:$BD$200,"&lt;&gt;*Negative*"))))</f>
        <v/>
      </c>
      <c r="K44" t="str">
        <f>IF($C44="","",(SUM(COUNTIFS('Data entry'!$R$6:$R$200,$C44,'Data entry'!$B$6:$B$200,{"Confirmed";"Probable"},'Data entry'!$AQ$6:$AQ$200,'Data Validation'!$V$2, 'Data entry'!$AP$6:$AP$200,'Data Validation'!$U$6, 'Data entry'!$BD$6:$BD$200,"&lt;&gt;*Negative*"))))</f>
        <v/>
      </c>
      <c r="L44" t="str">
        <f>IF($C44="","",(SUM(COUNTIFS('Data entry'!$R$6:$R$200,$C44,'Data entry'!$B$6:$B$200,{"Confirmed";"Probable"},'Data entry'!$AQ$6:$AQ$200,'Data Validation'!$V$3, 'Data entry'!$AP$6:$AP$200,'Data Validation'!$U$2, 'Data entry'!$BD$6:$BD$200,"&lt;&gt;*Negative*"))))</f>
        <v/>
      </c>
      <c r="M44" t="str">
        <f>IF($C44="","",(SUM(COUNTIFS('Data entry'!$R$6:$R$200,$C44,'Data entry'!$B$6:$B$200,{"Confirmed";"Probable"},'Data entry'!$AQ$6:$AQ$200,'Data Validation'!$V$3, 'Data entry'!$AP$6:$AP$200,'Data Validation'!$U$3, 'Data entry'!$BD$6:$BD$200,"&lt;&gt;*Negative*"))))</f>
        <v/>
      </c>
      <c r="N44" t="str">
        <f>IF($C44="","",(SUM(COUNTIFS('Data entry'!$R$6:$R$200,$C44,'Data entry'!$B$6:$B$200,{"Confirmed";"Probable"},'Data entry'!$AQ$6:$AQ$200,'Data Validation'!$V$3, 'Data entry'!$AP$6:$AP$200,'Data Validation'!$U$4, 'Data entry'!$BD$6:$BD$200,"&lt;&gt;*Negative*"))))</f>
        <v/>
      </c>
      <c r="O44" t="str">
        <f>IF($C44="","",(SUM(COUNTIFS('Data entry'!$R$6:$R$200,$C44,'Data entry'!$B$6:$B$200,{"Confirmed";"Probable"},'Data entry'!$AQ$6:$AQ$200,'Data Validation'!$V$3, 'Data entry'!$AP$6:$AP$200,'Data Validation'!$U$5, 'Data entry'!$BD$6:$BD$200,"&lt;&gt;*Negative*"))))</f>
        <v/>
      </c>
      <c r="P44" t="str">
        <f>IF($C44="","",(SUM(COUNTIFS('Data entry'!$R$6:$R$200,$C44,'Data entry'!$B$6:$B$200,{"Confirmed";"Probable"},'Data entry'!$AQ$6:$AQ$200,'Data Validation'!$V$3, 'Data entry'!$AP$6:$AP$200,'Data Validation'!$U$6, 'Data entry'!$BD$6:$BD$200,"&lt;&gt;*Negative*"))))</f>
        <v/>
      </c>
    </row>
    <row r="45" spans="1:16" ht="15.6" x14ac:dyDescent="0.35">
      <c r="A45" s="1" t="str">
        <f>IF('Data entry'!B49="","",'Data entry'!B49)</f>
        <v/>
      </c>
      <c r="B45" s="1" t="str">
        <f>IF('Data entry'!O49="","",'Data entry'!O49)</f>
        <v/>
      </c>
      <c r="C45" s="321" t="str">
        <f>IF('Data entry'!R49="","",'Data entry'!R49)</f>
        <v/>
      </c>
      <c r="D45" s="1" t="str">
        <f>IF('Data entry'!AO49="","",'Data entry'!AO49)</f>
        <v/>
      </c>
      <c r="E45" s="1" t="str">
        <f>IF('Data entry'!AP49="","",'Data entry'!AP49)</f>
        <v/>
      </c>
      <c r="F45" s="1" t="str">
        <f>IF('Data entry'!AQ49="","",'Data entry'!AQ49)</f>
        <v/>
      </c>
      <c r="G45" t="str">
        <f>IF($C45="","",(SUM(COUNTIFS('Data entry'!$R$6:$R$200,$C45,'Data entry'!$B$6:$B$200,{"Confirmed";"Probable"},'Data entry'!$AQ$6:$AQ$200,'Data Validation'!$V$2, 'Data entry'!$AP$6:$AP$200,'Data Validation'!$U$2, 'Data entry'!$BD$6:$BD$200,"&lt;&gt;*Negative*"))))</f>
        <v/>
      </c>
      <c r="H45" t="str">
        <f>IF($C45="","",(SUM(COUNTIFS('Data entry'!$R$6:$R$200,$C45,'Data entry'!$B$6:$B$200,{"Confirmed";"Probable"},'Data entry'!$AQ$6:$AQ$200,'Data Validation'!$V$2, 'Data entry'!$AP$6:$AP$200,'Data Validation'!$U$3, 'Data entry'!$BD$6:$BD$200,"&lt;&gt;*Negative*"))))</f>
        <v/>
      </c>
      <c r="I45" t="str">
        <f>IF($C45="","",(SUM(COUNTIFS('Data entry'!$R$6:$R$200,$C45,'Data entry'!$B$6:$B$200,{"Confirmed";"Probable"},'Data entry'!$AQ$6:$AQ$200,'Data Validation'!$V$2, 'Data entry'!$AP$6:$AP$200,'Data Validation'!$U$4, 'Data entry'!$BD$6:$BD$200,"&lt;&gt;*Negative*"))))</f>
        <v/>
      </c>
      <c r="J45" t="str">
        <f>IF($C45="","",(SUM(COUNTIFS('Data entry'!$R$6:$R$200,$C45,'Data entry'!$B$6:$B$200,{"Confirmed";"Probable"},'Data entry'!$AQ$6:$AQ$200,'Data Validation'!$V$2, 'Data entry'!$AP$6:$AP$200,'Data Validation'!$U$5, 'Data entry'!$BD$6:$BD$200,"&lt;&gt;*Negative*"))))</f>
        <v/>
      </c>
      <c r="K45" t="str">
        <f>IF($C45="","",(SUM(COUNTIFS('Data entry'!$R$6:$R$200,$C45,'Data entry'!$B$6:$B$200,{"Confirmed";"Probable"},'Data entry'!$AQ$6:$AQ$200,'Data Validation'!$V$2, 'Data entry'!$AP$6:$AP$200,'Data Validation'!$U$6, 'Data entry'!$BD$6:$BD$200,"&lt;&gt;*Negative*"))))</f>
        <v/>
      </c>
      <c r="L45" t="str">
        <f>IF($C45="","",(SUM(COUNTIFS('Data entry'!$R$6:$R$200,$C45,'Data entry'!$B$6:$B$200,{"Confirmed";"Probable"},'Data entry'!$AQ$6:$AQ$200,'Data Validation'!$V$3, 'Data entry'!$AP$6:$AP$200,'Data Validation'!$U$2, 'Data entry'!$BD$6:$BD$200,"&lt;&gt;*Negative*"))))</f>
        <v/>
      </c>
      <c r="M45" t="str">
        <f>IF($C45="","",(SUM(COUNTIFS('Data entry'!$R$6:$R$200,$C45,'Data entry'!$B$6:$B$200,{"Confirmed";"Probable"},'Data entry'!$AQ$6:$AQ$200,'Data Validation'!$V$3, 'Data entry'!$AP$6:$AP$200,'Data Validation'!$U$3, 'Data entry'!$BD$6:$BD$200,"&lt;&gt;*Negative*"))))</f>
        <v/>
      </c>
      <c r="N45" t="str">
        <f>IF($C45="","",(SUM(COUNTIFS('Data entry'!$R$6:$R$200,$C45,'Data entry'!$B$6:$B$200,{"Confirmed";"Probable"},'Data entry'!$AQ$6:$AQ$200,'Data Validation'!$V$3, 'Data entry'!$AP$6:$AP$200,'Data Validation'!$U$4, 'Data entry'!$BD$6:$BD$200,"&lt;&gt;*Negative*"))))</f>
        <v/>
      </c>
      <c r="O45" t="str">
        <f>IF($C45="","",(SUM(COUNTIFS('Data entry'!$R$6:$R$200,$C45,'Data entry'!$B$6:$B$200,{"Confirmed";"Probable"},'Data entry'!$AQ$6:$AQ$200,'Data Validation'!$V$3, 'Data entry'!$AP$6:$AP$200,'Data Validation'!$U$5, 'Data entry'!$BD$6:$BD$200,"&lt;&gt;*Negative*"))))</f>
        <v/>
      </c>
      <c r="P45" t="str">
        <f>IF($C45="","",(SUM(COUNTIFS('Data entry'!$R$6:$R$200,$C45,'Data entry'!$B$6:$B$200,{"Confirmed";"Probable"},'Data entry'!$AQ$6:$AQ$200,'Data Validation'!$V$3, 'Data entry'!$AP$6:$AP$200,'Data Validation'!$U$6, 'Data entry'!$BD$6:$BD$200,"&lt;&gt;*Negative*"))))</f>
        <v/>
      </c>
    </row>
    <row r="46" spans="1:16" ht="15.6" x14ac:dyDescent="0.35">
      <c r="A46" s="1" t="str">
        <f>IF('Data entry'!B50="","",'Data entry'!B50)</f>
        <v/>
      </c>
      <c r="B46" s="1" t="str">
        <f>IF('Data entry'!O50="","",'Data entry'!O50)</f>
        <v/>
      </c>
      <c r="C46" s="321" t="str">
        <f>IF('Data entry'!R50="","",'Data entry'!R50)</f>
        <v/>
      </c>
      <c r="D46" s="1" t="str">
        <f>IF('Data entry'!AO50="","",'Data entry'!AO50)</f>
        <v/>
      </c>
      <c r="E46" s="1" t="str">
        <f>IF('Data entry'!AP50="","",'Data entry'!AP50)</f>
        <v/>
      </c>
      <c r="F46" s="1" t="str">
        <f>IF('Data entry'!AQ50="","",'Data entry'!AQ50)</f>
        <v/>
      </c>
      <c r="G46" t="str">
        <f>IF($C46="","",(SUM(COUNTIFS('Data entry'!$R$6:$R$200,$C46,'Data entry'!$B$6:$B$200,{"Confirmed";"Probable"},'Data entry'!$AQ$6:$AQ$200,'Data Validation'!$V$2, 'Data entry'!$AP$6:$AP$200,'Data Validation'!$U$2, 'Data entry'!$BD$6:$BD$200,"&lt;&gt;*Negative*"))))</f>
        <v/>
      </c>
      <c r="H46" t="str">
        <f>IF($C46="","",(SUM(COUNTIFS('Data entry'!$R$6:$R$200,$C46,'Data entry'!$B$6:$B$200,{"Confirmed";"Probable"},'Data entry'!$AQ$6:$AQ$200,'Data Validation'!$V$2, 'Data entry'!$AP$6:$AP$200,'Data Validation'!$U$3, 'Data entry'!$BD$6:$BD$200,"&lt;&gt;*Negative*"))))</f>
        <v/>
      </c>
      <c r="I46" t="str">
        <f>IF($C46="","",(SUM(COUNTIFS('Data entry'!$R$6:$R$200,$C46,'Data entry'!$B$6:$B$200,{"Confirmed";"Probable"},'Data entry'!$AQ$6:$AQ$200,'Data Validation'!$V$2, 'Data entry'!$AP$6:$AP$200,'Data Validation'!$U$4, 'Data entry'!$BD$6:$BD$200,"&lt;&gt;*Negative*"))))</f>
        <v/>
      </c>
      <c r="J46" t="str">
        <f>IF($C46="","",(SUM(COUNTIFS('Data entry'!$R$6:$R$200,$C46,'Data entry'!$B$6:$B$200,{"Confirmed";"Probable"},'Data entry'!$AQ$6:$AQ$200,'Data Validation'!$V$2, 'Data entry'!$AP$6:$AP$200,'Data Validation'!$U$5, 'Data entry'!$BD$6:$BD$200,"&lt;&gt;*Negative*"))))</f>
        <v/>
      </c>
      <c r="K46" t="str">
        <f>IF($C46="","",(SUM(COUNTIFS('Data entry'!$R$6:$R$200,$C46,'Data entry'!$B$6:$B$200,{"Confirmed";"Probable"},'Data entry'!$AQ$6:$AQ$200,'Data Validation'!$V$2, 'Data entry'!$AP$6:$AP$200,'Data Validation'!$U$6, 'Data entry'!$BD$6:$BD$200,"&lt;&gt;*Negative*"))))</f>
        <v/>
      </c>
      <c r="L46" t="str">
        <f>IF($C46="","",(SUM(COUNTIFS('Data entry'!$R$6:$R$200,$C46,'Data entry'!$B$6:$B$200,{"Confirmed";"Probable"},'Data entry'!$AQ$6:$AQ$200,'Data Validation'!$V$3, 'Data entry'!$AP$6:$AP$200,'Data Validation'!$U$2, 'Data entry'!$BD$6:$BD$200,"&lt;&gt;*Negative*"))))</f>
        <v/>
      </c>
      <c r="M46" t="str">
        <f>IF($C46="","",(SUM(COUNTIFS('Data entry'!$R$6:$R$200,$C46,'Data entry'!$B$6:$B$200,{"Confirmed";"Probable"},'Data entry'!$AQ$6:$AQ$200,'Data Validation'!$V$3, 'Data entry'!$AP$6:$AP$200,'Data Validation'!$U$3, 'Data entry'!$BD$6:$BD$200,"&lt;&gt;*Negative*"))))</f>
        <v/>
      </c>
      <c r="N46" t="str">
        <f>IF($C46="","",(SUM(COUNTIFS('Data entry'!$R$6:$R$200,$C46,'Data entry'!$B$6:$B$200,{"Confirmed";"Probable"},'Data entry'!$AQ$6:$AQ$200,'Data Validation'!$V$3, 'Data entry'!$AP$6:$AP$200,'Data Validation'!$U$4, 'Data entry'!$BD$6:$BD$200,"&lt;&gt;*Negative*"))))</f>
        <v/>
      </c>
      <c r="O46" t="str">
        <f>IF($C46="","",(SUM(COUNTIFS('Data entry'!$R$6:$R$200,$C46,'Data entry'!$B$6:$B$200,{"Confirmed";"Probable"},'Data entry'!$AQ$6:$AQ$200,'Data Validation'!$V$3, 'Data entry'!$AP$6:$AP$200,'Data Validation'!$U$5, 'Data entry'!$BD$6:$BD$200,"&lt;&gt;*Negative*"))))</f>
        <v/>
      </c>
      <c r="P46" t="str">
        <f>IF($C46="","",(SUM(COUNTIFS('Data entry'!$R$6:$R$200,$C46,'Data entry'!$B$6:$B$200,{"Confirmed";"Probable"},'Data entry'!$AQ$6:$AQ$200,'Data Validation'!$V$3, 'Data entry'!$AP$6:$AP$200,'Data Validation'!$U$6, 'Data entry'!$BD$6:$BD$200,"&lt;&gt;*Negative*"))))</f>
        <v/>
      </c>
    </row>
    <row r="47" spans="1:16" ht="15.6" x14ac:dyDescent="0.35">
      <c r="A47" s="1" t="str">
        <f>IF('Data entry'!B51="","",'Data entry'!B51)</f>
        <v/>
      </c>
      <c r="B47" s="1" t="str">
        <f>IF('Data entry'!O51="","",'Data entry'!O51)</f>
        <v/>
      </c>
      <c r="C47" s="321" t="str">
        <f>IF('Data entry'!R51="","",'Data entry'!R51)</f>
        <v/>
      </c>
      <c r="D47" s="1" t="str">
        <f>IF('Data entry'!AO51="","",'Data entry'!AO51)</f>
        <v/>
      </c>
      <c r="E47" s="1" t="str">
        <f>IF('Data entry'!AP51="","",'Data entry'!AP51)</f>
        <v/>
      </c>
      <c r="F47" s="1" t="str">
        <f>IF('Data entry'!AQ51="","",'Data entry'!AQ51)</f>
        <v/>
      </c>
      <c r="G47" t="str">
        <f>IF($C47="","",(SUM(COUNTIFS('Data entry'!$R$6:$R$200,$C47,'Data entry'!$B$6:$B$200,{"Confirmed";"Probable"},'Data entry'!$AQ$6:$AQ$200,'Data Validation'!$V$2, 'Data entry'!$AP$6:$AP$200,'Data Validation'!$U$2, 'Data entry'!$BD$6:$BD$200,"&lt;&gt;*Negative*"))))</f>
        <v/>
      </c>
      <c r="H47" t="str">
        <f>IF($C47="","",(SUM(COUNTIFS('Data entry'!$R$6:$R$200,$C47,'Data entry'!$B$6:$B$200,{"Confirmed";"Probable"},'Data entry'!$AQ$6:$AQ$200,'Data Validation'!$V$2, 'Data entry'!$AP$6:$AP$200,'Data Validation'!$U$3, 'Data entry'!$BD$6:$BD$200,"&lt;&gt;*Negative*"))))</f>
        <v/>
      </c>
      <c r="I47" t="str">
        <f>IF($C47="","",(SUM(COUNTIFS('Data entry'!$R$6:$R$200,$C47,'Data entry'!$B$6:$B$200,{"Confirmed";"Probable"},'Data entry'!$AQ$6:$AQ$200,'Data Validation'!$V$2, 'Data entry'!$AP$6:$AP$200,'Data Validation'!$U$4, 'Data entry'!$BD$6:$BD$200,"&lt;&gt;*Negative*"))))</f>
        <v/>
      </c>
      <c r="J47" t="str">
        <f>IF($C47="","",(SUM(COUNTIFS('Data entry'!$R$6:$R$200,$C47,'Data entry'!$B$6:$B$200,{"Confirmed";"Probable"},'Data entry'!$AQ$6:$AQ$200,'Data Validation'!$V$2, 'Data entry'!$AP$6:$AP$200,'Data Validation'!$U$5, 'Data entry'!$BD$6:$BD$200,"&lt;&gt;*Negative*"))))</f>
        <v/>
      </c>
      <c r="K47" t="str">
        <f>IF($C47="","",(SUM(COUNTIFS('Data entry'!$R$6:$R$200,$C47,'Data entry'!$B$6:$B$200,{"Confirmed";"Probable"},'Data entry'!$AQ$6:$AQ$200,'Data Validation'!$V$2, 'Data entry'!$AP$6:$AP$200,'Data Validation'!$U$6, 'Data entry'!$BD$6:$BD$200,"&lt;&gt;*Negative*"))))</f>
        <v/>
      </c>
      <c r="L47" t="str">
        <f>IF($C47="","",(SUM(COUNTIFS('Data entry'!$R$6:$R$200,$C47,'Data entry'!$B$6:$B$200,{"Confirmed";"Probable"},'Data entry'!$AQ$6:$AQ$200,'Data Validation'!$V$3, 'Data entry'!$AP$6:$AP$200,'Data Validation'!$U$2, 'Data entry'!$BD$6:$BD$200,"&lt;&gt;*Negative*"))))</f>
        <v/>
      </c>
      <c r="M47" t="str">
        <f>IF($C47="","",(SUM(COUNTIFS('Data entry'!$R$6:$R$200,$C47,'Data entry'!$B$6:$B$200,{"Confirmed";"Probable"},'Data entry'!$AQ$6:$AQ$200,'Data Validation'!$V$3, 'Data entry'!$AP$6:$AP$200,'Data Validation'!$U$3, 'Data entry'!$BD$6:$BD$200,"&lt;&gt;*Negative*"))))</f>
        <v/>
      </c>
      <c r="N47" t="str">
        <f>IF($C47="","",(SUM(COUNTIFS('Data entry'!$R$6:$R$200,$C47,'Data entry'!$B$6:$B$200,{"Confirmed";"Probable"},'Data entry'!$AQ$6:$AQ$200,'Data Validation'!$V$3, 'Data entry'!$AP$6:$AP$200,'Data Validation'!$U$4, 'Data entry'!$BD$6:$BD$200,"&lt;&gt;*Negative*"))))</f>
        <v/>
      </c>
      <c r="O47" t="str">
        <f>IF($C47="","",(SUM(COUNTIFS('Data entry'!$R$6:$R$200,$C47,'Data entry'!$B$6:$B$200,{"Confirmed";"Probable"},'Data entry'!$AQ$6:$AQ$200,'Data Validation'!$V$3, 'Data entry'!$AP$6:$AP$200,'Data Validation'!$U$5, 'Data entry'!$BD$6:$BD$200,"&lt;&gt;*Negative*"))))</f>
        <v/>
      </c>
      <c r="P47" t="str">
        <f>IF($C47="","",(SUM(COUNTIFS('Data entry'!$R$6:$R$200,$C47,'Data entry'!$B$6:$B$200,{"Confirmed";"Probable"},'Data entry'!$AQ$6:$AQ$200,'Data Validation'!$V$3, 'Data entry'!$AP$6:$AP$200,'Data Validation'!$U$6, 'Data entry'!$BD$6:$BD$200,"&lt;&gt;*Negative*"))))</f>
        <v/>
      </c>
    </row>
    <row r="48" spans="1:16" ht="15.6" x14ac:dyDescent="0.35">
      <c r="A48" s="1" t="str">
        <f>IF('Data entry'!B52="","",'Data entry'!B52)</f>
        <v/>
      </c>
      <c r="B48" s="1" t="str">
        <f>IF('Data entry'!O52="","",'Data entry'!O52)</f>
        <v/>
      </c>
      <c r="C48" s="321" t="str">
        <f>IF('Data entry'!R52="","",'Data entry'!R52)</f>
        <v/>
      </c>
      <c r="D48" s="1" t="str">
        <f>IF('Data entry'!AO52="","",'Data entry'!AO52)</f>
        <v/>
      </c>
      <c r="E48" s="1" t="str">
        <f>IF('Data entry'!AP52="","",'Data entry'!AP52)</f>
        <v/>
      </c>
      <c r="F48" s="1" t="str">
        <f>IF('Data entry'!AQ52="","",'Data entry'!AQ52)</f>
        <v/>
      </c>
      <c r="G48" t="str">
        <f>IF($C48="","",(SUM(COUNTIFS('Data entry'!$R$6:$R$200,$C48,'Data entry'!$B$6:$B$200,{"Confirmed";"Probable"},'Data entry'!$AQ$6:$AQ$200,'Data Validation'!$V$2, 'Data entry'!$AP$6:$AP$200,'Data Validation'!$U$2, 'Data entry'!$BD$6:$BD$200,"&lt;&gt;*Negative*"))))</f>
        <v/>
      </c>
      <c r="H48" t="str">
        <f>IF($C48="","",(SUM(COUNTIFS('Data entry'!$R$6:$R$200,$C48,'Data entry'!$B$6:$B$200,{"Confirmed";"Probable"},'Data entry'!$AQ$6:$AQ$200,'Data Validation'!$V$2, 'Data entry'!$AP$6:$AP$200,'Data Validation'!$U$3, 'Data entry'!$BD$6:$BD$200,"&lt;&gt;*Negative*"))))</f>
        <v/>
      </c>
      <c r="I48" t="str">
        <f>IF($C48="","",(SUM(COUNTIFS('Data entry'!$R$6:$R$200,$C48,'Data entry'!$B$6:$B$200,{"Confirmed";"Probable"},'Data entry'!$AQ$6:$AQ$200,'Data Validation'!$V$2, 'Data entry'!$AP$6:$AP$200,'Data Validation'!$U$4, 'Data entry'!$BD$6:$BD$200,"&lt;&gt;*Negative*"))))</f>
        <v/>
      </c>
      <c r="J48" t="str">
        <f>IF($C48="","",(SUM(COUNTIFS('Data entry'!$R$6:$R$200,$C48,'Data entry'!$B$6:$B$200,{"Confirmed";"Probable"},'Data entry'!$AQ$6:$AQ$200,'Data Validation'!$V$2, 'Data entry'!$AP$6:$AP$200,'Data Validation'!$U$5, 'Data entry'!$BD$6:$BD$200,"&lt;&gt;*Negative*"))))</f>
        <v/>
      </c>
      <c r="K48" t="str">
        <f>IF($C48="","",(SUM(COUNTIFS('Data entry'!$R$6:$R$200,$C48,'Data entry'!$B$6:$B$200,{"Confirmed";"Probable"},'Data entry'!$AQ$6:$AQ$200,'Data Validation'!$V$2, 'Data entry'!$AP$6:$AP$200,'Data Validation'!$U$6, 'Data entry'!$BD$6:$BD$200,"&lt;&gt;*Negative*"))))</f>
        <v/>
      </c>
      <c r="L48" t="str">
        <f>IF($C48="","",(SUM(COUNTIFS('Data entry'!$R$6:$R$200,$C48,'Data entry'!$B$6:$B$200,{"Confirmed";"Probable"},'Data entry'!$AQ$6:$AQ$200,'Data Validation'!$V$3, 'Data entry'!$AP$6:$AP$200,'Data Validation'!$U$2, 'Data entry'!$BD$6:$BD$200,"&lt;&gt;*Negative*"))))</f>
        <v/>
      </c>
      <c r="M48" t="str">
        <f>IF($C48="","",(SUM(COUNTIFS('Data entry'!$R$6:$R$200,$C48,'Data entry'!$B$6:$B$200,{"Confirmed";"Probable"},'Data entry'!$AQ$6:$AQ$200,'Data Validation'!$V$3, 'Data entry'!$AP$6:$AP$200,'Data Validation'!$U$3, 'Data entry'!$BD$6:$BD$200,"&lt;&gt;*Negative*"))))</f>
        <v/>
      </c>
      <c r="N48" t="str">
        <f>IF($C48="","",(SUM(COUNTIFS('Data entry'!$R$6:$R$200,$C48,'Data entry'!$B$6:$B$200,{"Confirmed";"Probable"},'Data entry'!$AQ$6:$AQ$200,'Data Validation'!$V$3, 'Data entry'!$AP$6:$AP$200,'Data Validation'!$U$4, 'Data entry'!$BD$6:$BD$200,"&lt;&gt;*Negative*"))))</f>
        <v/>
      </c>
      <c r="O48" t="str">
        <f>IF($C48="","",(SUM(COUNTIFS('Data entry'!$R$6:$R$200,$C48,'Data entry'!$B$6:$B$200,{"Confirmed";"Probable"},'Data entry'!$AQ$6:$AQ$200,'Data Validation'!$V$3, 'Data entry'!$AP$6:$AP$200,'Data Validation'!$U$5, 'Data entry'!$BD$6:$BD$200,"&lt;&gt;*Negative*"))))</f>
        <v/>
      </c>
      <c r="P48" t="str">
        <f>IF($C48="","",(SUM(COUNTIFS('Data entry'!$R$6:$R$200,$C48,'Data entry'!$B$6:$B$200,{"Confirmed";"Probable"},'Data entry'!$AQ$6:$AQ$200,'Data Validation'!$V$3, 'Data entry'!$AP$6:$AP$200,'Data Validation'!$U$6, 'Data entry'!$BD$6:$BD$200,"&lt;&gt;*Negative*"))))</f>
        <v/>
      </c>
    </row>
    <row r="49" spans="1:16" ht="15.6" x14ac:dyDescent="0.35">
      <c r="A49" s="1" t="str">
        <f>IF('Data entry'!B53="","",'Data entry'!B53)</f>
        <v/>
      </c>
      <c r="B49" s="1" t="str">
        <f>IF('Data entry'!O53="","",'Data entry'!O53)</f>
        <v/>
      </c>
      <c r="C49" s="321" t="str">
        <f>IF('Data entry'!R53="","",'Data entry'!R53)</f>
        <v/>
      </c>
      <c r="D49" s="1" t="str">
        <f>IF('Data entry'!AO53="","",'Data entry'!AO53)</f>
        <v/>
      </c>
      <c r="E49" s="1" t="str">
        <f>IF('Data entry'!AP53="","",'Data entry'!AP53)</f>
        <v/>
      </c>
      <c r="F49" s="1" t="str">
        <f>IF('Data entry'!AQ53="","",'Data entry'!AQ53)</f>
        <v/>
      </c>
      <c r="G49" t="str">
        <f>IF($C49="","",(SUM(COUNTIFS('Data entry'!$R$6:$R$200,$C49,'Data entry'!$B$6:$B$200,{"Confirmed";"Probable"},'Data entry'!$AQ$6:$AQ$200,'Data Validation'!$V$2, 'Data entry'!$AP$6:$AP$200,'Data Validation'!$U$2, 'Data entry'!$BD$6:$BD$200,"&lt;&gt;*Negative*"))))</f>
        <v/>
      </c>
      <c r="H49" t="str">
        <f>IF($C49="","",(SUM(COUNTIFS('Data entry'!$R$6:$R$200,$C49,'Data entry'!$B$6:$B$200,{"Confirmed";"Probable"},'Data entry'!$AQ$6:$AQ$200,'Data Validation'!$V$2, 'Data entry'!$AP$6:$AP$200,'Data Validation'!$U$3, 'Data entry'!$BD$6:$BD$200,"&lt;&gt;*Negative*"))))</f>
        <v/>
      </c>
      <c r="I49" t="str">
        <f>IF($C49="","",(SUM(COUNTIFS('Data entry'!$R$6:$R$200,$C49,'Data entry'!$B$6:$B$200,{"Confirmed";"Probable"},'Data entry'!$AQ$6:$AQ$200,'Data Validation'!$V$2, 'Data entry'!$AP$6:$AP$200,'Data Validation'!$U$4, 'Data entry'!$BD$6:$BD$200,"&lt;&gt;*Negative*"))))</f>
        <v/>
      </c>
      <c r="J49" t="str">
        <f>IF($C49="","",(SUM(COUNTIFS('Data entry'!$R$6:$R$200,$C49,'Data entry'!$B$6:$B$200,{"Confirmed";"Probable"},'Data entry'!$AQ$6:$AQ$200,'Data Validation'!$V$2, 'Data entry'!$AP$6:$AP$200,'Data Validation'!$U$5, 'Data entry'!$BD$6:$BD$200,"&lt;&gt;*Negative*"))))</f>
        <v/>
      </c>
      <c r="K49" t="str">
        <f>IF($C49="","",(SUM(COUNTIFS('Data entry'!$R$6:$R$200,$C49,'Data entry'!$B$6:$B$200,{"Confirmed";"Probable"},'Data entry'!$AQ$6:$AQ$200,'Data Validation'!$V$2, 'Data entry'!$AP$6:$AP$200,'Data Validation'!$U$6, 'Data entry'!$BD$6:$BD$200,"&lt;&gt;*Negative*"))))</f>
        <v/>
      </c>
      <c r="L49" t="str">
        <f>IF($C49="","",(SUM(COUNTIFS('Data entry'!$R$6:$R$200,$C49,'Data entry'!$B$6:$B$200,{"Confirmed";"Probable"},'Data entry'!$AQ$6:$AQ$200,'Data Validation'!$V$3, 'Data entry'!$AP$6:$AP$200,'Data Validation'!$U$2, 'Data entry'!$BD$6:$BD$200,"&lt;&gt;*Negative*"))))</f>
        <v/>
      </c>
      <c r="M49" t="str">
        <f>IF($C49="","",(SUM(COUNTIFS('Data entry'!$R$6:$R$200,$C49,'Data entry'!$B$6:$B$200,{"Confirmed";"Probable"},'Data entry'!$AQ$6:$AQ$200,'Data Validation'!$V$3, 'Data entry'!$AP$6:$AP$200,'Data Validation'!$U$3, 'Data entry'!$BD$6:$BD$200,"&lt;&gt;*Negative*"))))</f>
        <v/>
      </c>
      <c r="N49" t="str">
        <f>IF($C49="","",(SUM(COUNTIFS('Data entry'!$R$6:$R$200,$C49,'Data entry'!$B$6:$B$200,{"Confirmed";"Probable"},'Data entry'!$AQ$6:$AQ$200,'Data Validation'!$V$3, 'Data entry'!$AP$6:$AP$200,'Data Validation'!$U$4, 'Data entry'!$BD$6:$BD$200,"&lt;&gt;*Negative*"))))</f>
        <v/>
      </c>
      <c r="O49" t="str">
        <f>IF($C49="","",(SUM(COUNTIFS('Data entry'!$R$6:$R$200,$C49,'Data entry'!$B$6:$B$200,{"Confirmed";"Probable"},'Data entry'!$AQ$6:$AQ$200,'Data Validation'!$V$3, 'Data entry'!$AP$6:$AP$200,'Data Validation'!$U$5, 'Data entry'!$BD$6:$BD$200,"&lt;&gt;*Negative*"))))</f>
        <v/>
      </c>
      <c r="P49" t="str">
        <f>IF($C49="","",(SUM(COUNTIFS('Data entry'!$R$6:$R$200,$C49,'Data entry'!$B$6:$B$200,{"Confirmed";"Probable"},'Data entry'!$AQ$6:$AQ$200,'Data Validation'!$V$3, 'Data entry'!$AP$6:$AP$200,'Data Validation'!$U$6, 'Data entry'!$BD$6:$BD$200,"&lt;&gt;*Negative*"))))</f>
        <v/>
      </c>
    </row>
    <row r="50" spans="1:16" ht="15.6" x14ac:dyDescent="0.35">
      <c r="A50" s="1" t="str">
        <f>IF('Data entry'!B54="","",'Data entry'!B54)</f>
        <v/>
      </c>
      <c r="B50" s="1" t="str">
        <f>IF('Data entry'!O54="","",'Data entry'!O54)</f>
        <v/>
      </c>
      <c r="C50" s="321" t="str">
        <f>IF('Data entry'!R54="","",'Data entry'!R54)</f>
        <v/>
      </c>
      <c r="D50" s="1" t="str">
        <f>IF('Data entry'!AO54="","",'Data entry'!AO54)</f>
        <v/>
      </c>
      <c r="E50" s="1" t="str">
        <f>IF('Data entry'!AP54="","",'Data entry'!AP54)</f>
        <v/>
      </c>
      <c r="F50" s="1" t="str">
        <f>IF('Data entry'!AQ54="","",'Data entry'!AQ54)</f>
        <v/>
      </c>
      <c r="G50" t="str">
        <f>IF($C50="","",(SUM(COUNTIFS('Data entry'!$R$6:$R$200,$C50,'Data entry'!$B$6:$B$200,{"Confirmed";"Probable"},'Data entry'!$AQ$6:$AQ$200,'Data Validation'!$V$2, 'Data entry'!$AP$6:$AP$200,'Data Validation'!$U$2, 'Data entry'!$BD$6:$BD$200,"&lt;&gt;*Negative*"))))</f>
        <v/>
      </c>
      <c r="H50" t="str">
        <f>IF($C50="","",(SUM(COUNTIFS('Data entry'!$R$6:$R$200,$C50,'Data entry'!$B$6:$B$200,{"Confirmed";"Probable"},'Data entry'!$AQ$6:$AQ$200,'Data Validation'!$V$2, 'Data entry'!$AP$6:$AP$200,'Data Validation'!$U$3, 'Data entry'!$BD$6:$BD$200,"&lt;&gt;*Negative*"))))</f>
        <v/>
      </c>
      <c r="I50" t="str">
        <f>IF($C50="","",(SUM(COUNTIFS('Data entry'!$R$6:$R$200,$C50,'Data entry'!$B$6:$B$200,{"Confirmed";"Probable"},'Data entry'!$AQ$6:$AQ$200,'Data Validation'!$V$2, 'Data entry'!$AP$6:$AP$200,'Data Validation'!$U$4, 'Data entry'!$BD$6:$BD$200,"&lt;&gt;*Negative*"))))</f>
        <v/>
      </c>
      <c r="J50" t="str">
        <f>IF($C50="","",(SUM(COUNTIFS('Data entry'!$R$6:$R$200,$C50,'Data entry'!$B$6:$B$200,{"Confirmed";"Probable"},'Data entry'!$AQ$6:$AQ$200,'Data Validation'!$V$2, 'Data entry'!$AP$6:$AP$200,'Data Validation'!$U$5, 'Data entry'!$BD$6:$BD$200,"&lt;&gt;*Negative*"))))</f>
        <v/>
      </c>
      <c r="K50" t="str">
        <f>IF($C50="","",(SUM(COUNTIFS('Data entry'!$R$6:$R$200,$C50,'Data entry'!$B$6:$B$200,{"Confirmed";"Probable"},'Data entry'!$AQ$6:$AQ$200,'Data Validation'!$V$2, 'Data entry'!$AP$6:$AP$200,'Data Validation'!$U$6, 'Data entry'!$BD$6:$BD$200,"&lt;&gt;*Negative*"))))</f>
        <v/>
      </c>
      <c r="L50" t="str">
        <f>IF($C50="","",(SUM(COUNTIFS('Data entry'!$R$6:$R$200,$C50,'Data entry'!$B$6:$B$200,{"Confirmed";"Probable"},'Data entry'!$AQ$6:$AQ$200,'Data Validation'!$V$3, 'Data entry'!$AP$6:$AP$200,'Data Validation'!$U$2, 'Data entry'!$BD$6:$BD$200,"&lt;&gt;*Negative*"))))</f>
        <v/>
      </c>
      <c r="M50" t="str">
        <f>IF($C50="","",(SUM(COUNTIFS('Data entry'!$R$6:$R$200,$C50,'Data entry'!$B$6:$B$200,{"Confirmed";"Probable"},'Data entry'!$AQ$6:$AQ$200,'Data Validation'!$V$3, 'Data entry'!$AP$6:$AP$200,'Data Validation'!$U$3, 'Data entry'!$BD$6:$BD$200,"&lt;&gt;*Negative*"))))</f>
        <v/>
      </c>
      <c r="N50" t="str">
        <f>IF($C50="","",(SUM(COUNTIFS('Data entry'!$R$6:$R$200,$C50,'Data entry'!$B$6:$B$200,{"Confirmed";"Probable"},'Data entry'!$AQ$6:$AQ$200,'Data Validation'!$V$3, 'Data entry'!$AP$6:$AP$200,'Data Validation'!$U$4, 'Data entry'!$BD$6:$BD$200,"&lt;&gt;*Negative*"))))</f>
        <v/>
      </c>
      <c r="O50" t="str">
        <f>IF($C50="","",(SUM(COUNTIFS('Data entry'!$R$6:$R$200,$C50,'Data entry'!$B$6:$B$200,{"Confirmed";"Probable"},'Data entry'!$AQ$6:$AQ$200,'Data Validation'!$V$3, 'Data entry'!$AP$6:$AP$200,'Data Validation'!$U$5, 'Data entry'!$BD$6:$BD$200,"&lt;&gt;*Negative*"))))</f>
        <v/>
      </c>
      <c r="P50" t="str">
        <f>IF($C50="","",(SUM(COUNTIFS('Data entry'!$R$6:$R$200,$C50,'Data entry'!$B$6:$B$200,{"Confirmed";"Probable"},'Data entry'!$AQ$6:$AQ$200,'Data Validation'!$V$3, 'Data entry'!$AP$6:$AP$200,'Data Validation'!$U$6, 'Data entry'!$BD$6:$BD$200,"&lt;&gt;*Negative*"))))</f>
        <v/>
      </c>
    </row>
    <row r="51" spans="1:16" ht="15.6" x14ac:dyDescent="0.35">
      <c r="A51" s="1" t="str">
        <f>IF('Data entry'!B55="","",'Data entry'!B55)</f>
        <v/>
      </c>
      <c r="B51" s="1" t="str">
        <f>IF('Data entry'!O55="","",'Data entry'!O55)</f>
        <v/>
      </c>
      <c r="C51" s="321" t="str">
        <f>IF('Data entry'!R55="","",'Data entry'!R55)</f>
        <v/>
      </c>
      <c r="D51" s="1" t="str">
        <f>IF('Data entry'!AO55="","",'Data entry'!AO55)</f>
        <v/>
      </c>
      <c r="E51" s="1" t="str">
        <f>IF('Data entry'!AP55="","",'Data entry'!AP55)</f>
        <v/>
      </c>
      <c r="F51" s="1" t="str">
        <f>IF('Data entry'!AQ55="","",'Data entry'!AQ55)</f>
        <v/>
      </c>
      <c r="G51" t="str">
        <f>IF($C51="","",(SUM(COUNTIFS('Data entry'!$R$6:$R$200,$C51,'Data entry'!$B$6:$B$200,{"Confirmed";"Probable"},'Data entry'!$AQ$6:$AQ$200,'Data Validation'!$V$2, 'Data entry'!$AP$6:$AP$200,'Data Validation'!$U$2, 'Data entry'!$BD$6:$BD$200,"&lt;&gt;*Negative*"))))</f>
        <v/>
      </c>
      <c r="H51" t="str">
        <f>IF($C51="","",(SUM(COUNTIFS('Data entry'!$R$6:$R$200,$C51,'Data entry'!$B$6:$B$200,{"Confirmed";"Probable"},'Data entry'!$AQ$6:$AQ$200,'Data Validation'!$V$2, 'Data entry'!$AP$6:$AP$200,'Data Validation'!$U$3, 'Data entry'!$BD$6:$BD$200,"&lt;&gt;*Negative*"))))</f>
        <v/>
      </c>
      <c r="I51" t="str">
        <f>IF($C51="","",(SUM(COUNTIFS('Data entry'!$R$6:$R$200,$C51,'Data entry'!$B$6:$B$200,{"Confirmed";"Probable"},'Data entry'!$AQ$6:$AQ$200,'Data Validation'!$V$2, 'Data entry'!$AP$6:$AP$200,'Data Validation'!$U$4, 'Data entry'!$BD$6:$BD$200,"&lt;&gt;*Negative*"))))</f>
        <v/>
      </c>
      <c r="J51" t="str">
        <f>IF($C51="","",(SUM(COUNTIFS('Data entry'!$R$6:$R$200,$C51,'Data entry'!$B$6:$B$200,{"Confirmed";"Probable"},'Data entry'!$AQ$6:$AQ$200,'Data Validation'!$V$2, 'Data entry'!$AP$6:$AP$200,'Data Validation'!$U$5, 'Data entry'!$BD$6:$BD$200,"&lt;&gt;*Negative*"))))</f>
        <v/>
      </c>
      <c r="K51" t="str">
        <f>IF($C51="","",(SUM(COUNTIFS('Data entry'!$R$6:$R$200,$C51,'Data entry'!$B$6:$B$200,{"Confirmed";"Probable"},'Data entry'!$AQ$6:$AQ$200,'Data Validation'!$V$2, 'Data entry'!$AP$6:$AP$200,'Data Validation'!$U$6, 'Data entry'!$BD$6:$BD$200,"&lt;&gt;*Negative*"))))</f>
        <v/>
      </c>
      <c r="L51" t="str">
        <f>IF($C51="","",(SUM(COUNTIFS('Data entry'!$R$6:$R$200,$C51,'Data entry'!$B$6:$B$200,{"Confirmed";"Probable"},'Data entry'!$AQ$6:$AQ$200,'Data Validation'!$V$3, 'Data entry'!$AP$6:$AP$200,'Data Validation'!$U$2, 'Data entry'!$BD$6:$BD$200,"&lt;&gt;*Negative*"))))</f>
        <v/>
      </c>
      <c r="M51" t="str">
        <f>IF($C51="","",(SUM(COUNTIFS('Data entry'!$R$6:$R$200,$C51,'Data entry'!$B$6:$B$200,{"Confirmed";"Probable"},'Data entry'!$AQ$6:$AQ$200,'Data Validation'!$V$3, 'Data entry'!$AP$6:$AP$200,'Data Validation'!$U$3, 'Data entry'!$BD$6:$BD$200,"&lt;&gt;*Negative*"))))</f>
        <v/>
      </c>
      <c r="N51" t="str">
        <f>IF($C51="","",(SUM(COUNTIFS('Data entry'!$R$6:$R$200,$C51,'Data entry'!$B$6:$B$200,{"Confirmed";"Probable"},'Data entry'!$AQ$6:$AQ$200,'Data Validation'!$V$3, 'Data entry'!$AP$6:$AP$200,'Data Validation'!$U$4, 'Data entry'!$BD$6:$BD$200,"&lt;&gt;*Negative*"))))</f>
        <v/>
      </c>
      <c r="O51" t="str">
        <f>IF($C51="","",(SUM(COUNTIFS('Data entry'!$R$6:$R$200,$C51,'Data entry'!$B$6:$B$200,{"Confirmed";"Probable"},'Data entry'!$AQ$6:$AQ$200,'Data Validation'!$V$3, 'Data entry'!$AP$6:$AP$200,'Data Validation'!$U$5, 'Data entry'!$BD$6:$BD$200,"&lt;&gt;*Negative*"))))</f>
        <v/>
      </c>
      <c r="P51" t="str">
        <f>IF($C51="","",(SUM(COUNTIFS('Data entry'!$R$6:$R$200,$C51,'Data entry'!$B$6:$B$200,{"Confirmed";"Probable"},'Data entry'!$AQ$6:$AQ$200,'Data Validation'!$V$3, 'Data entry'!$AP$6:$AP$200,'Data Validation'!$U$6, 'Data entry'!$BD$6:$BD$200,"&lt;&gt;*Negative*"))))</f>
        <v/>
      </c>
    </row>
    <row r="52" spans="1:16" ht="15.6" x14ac:dyDescent="0.35">
      <c r="A52" s="1" t="str">
        <f>IF('Data entry'!B56="","",'Data entry'!B56)</f>
        <v/>
      </c>
      <c r="B52" s="1" t="str">
        <f>IF('Data entry'!O56="","",'Data entry'!O56)</f>
        <v/>
      </c>
      <c r="C52" s="321" t="str">
        <f>IF('Data entry'!R56="","",'Data entry'!R56)</f>
        <v/>
      </c>
      <c r="D52" s="1" t="str">
        <f>IF('Data entry'!AO56="","",'Data entry'!AO56)</f>
        <v/>
      </c>
      <c r="E52" s="1" t="str">
        <f>IF('Data entry'!AP56="","",'Data entry'!AP56)</f>
        <v/>
      </c>
      <c r="F52" s="1" t="str">
        <f>IF('Data entry'!AQ56="","",'Data entry'!AQ56)</f>
        <v/>
      </c>
      <c r="G52" t="str">
        <f>IF($C52="","",(SUM(COUNTIFS('Data entry'!$R$6:$R$200,$C52,'Data entry'!$B$6:$B$200,{"Confirmed";"Probable"},'Data entry'!$AQ$6:$AQ$200,'Data Validation'!$V$2, 'Data entry'!$AP$6:$AP$200,'Data Validation'!$U$2, 'Data entry'!$BD$6:$BD$200,"&lt;&gt;*Negative*"))))</f>
        <v/>
      </c>
      <c r="H52" t="str">
        <f>IF($C52="","",(SUM(COUNTIFS('Data entry'!$R$6:$R$200,$C52,'Data entry'!$B$6:$B$200,{"Confirmed";"Probable"},'Data entry'!$AQ$6:$AQ$200,'Data Validation'!$V$2, 'Data entry'!$AP$6:$AP$200,'Data Validation'!$U$3, 'Data entry'!$BD$6:$BD$200,"&lt;&gt;*Negative*"))))</f>
        <v/>
      </c>
      <c r="I52" t="str">
        <f>IF($C52="","",(SUM(COUNTIFS('Data entry'!$R$6:$R$200,$C52,'Data entry'!$B$6:$B$200,{"Confirmed";"Probable"},'Data entry'!$AQ$6:$AQ$200,'Data Validation'!$V$2, 'Data entry'!$AP$6:$AP$200,'Data Validation'!$U$4, 'Data entry'!$BD$6:$BD$200,"&lt;&gt;*Negative*"))))</f>
        <v/>
      </c>
      <c r="J52" t="str">
        <f>IF($C52="","",(SUM(COUNTIFS('Data entry'!$R$6:$R$200,$C52,'Data entry'!$B$6:$B$200,{"Confirmed";"Probable"},'Data entry'!$AQ$6:$AQ$200,'Data Validation'!$V$2, 'Data entry'!$AP$6:$AP$200,'Data Validation'!$U$5, 'Data entry'!$BD$6:$BD$200,"&lt;&gt;*Negative*"))))</f>
        <v/>
      </c>
      <c r="K52" t="str">
        <f>IF($C52="","",(SUM(COUNTIFS('Data entry'!$R$6:$R$200,$C52,'Data entry'!$B$6:$B$200,{"Confirmed";"Probable"},'Data entry'!$AQ$6:$AQ$200,'Data Validation'!$V$2, 'Data entry'!$AP$6:$AP$200,'Data Validation'!$U$6, 'Data entry'!$BD$6:$BD$200,"&lt;&gt;*Negative*"))))</f>
        <v/>
      </c>
      <c r="L52" t="str">
        <f>IF($C52="","",(SUM(COUNTIFS('Data entry'!$R$6:$R$200,$C52,'Data entry'!$B$6:$B$200,{"Confirmed";"Probable"},'Data entry'!$AQ$6:$AQ$200,'Data Validation'!$V$3, 'Data entry'!$AP$6:$AP$200,'Data Validation'!$U$2, 'Data entry'!$BD$6:$BD$200,"&lt;&gt;*Negative*"))))</f>
        <v/>
      </c>
      <c r="M52" t="str">
        <f>IF($C52="","",(SUM(COUNTIFS('Data entry'!$R$6:$R$200,$C52,'Data entry'!$B$6:$B$200,{"Confirmed";"Probable"},'Data entry'!$AQ$6:$AQ$200,'Data Validation'!$V$3, 'Data entry'!$AP$6:$AP$200,'Data Validation'!$U$3, 'Data entry'!$BD$6:$BD$200,"&lt;&gt;*Negative*"))))</f>
        <v/>
      </c>
      <c r="N52" t="str">
        <f>IF($C52="","",(SUM(COUNTIFS('Data entry'!$R$6:$R$200,$C52,'Data entry'!$B$6:$B$200,{"Confirmed";"Probable"},'Data entry'!$AQ$6:$AQ$200,'Data Validation'!$V$3, 'Data entry'!$AP$6:$AP$200,'Data Validation'!$U$4, 'Data entry'!$BD$6:$BD$200,"&lt;&gt;*Negative*"))))</f>
        <v/>
      </c>
      <c r="O52" t="str">
        <f>IF($C52="","",(SUM(COUNTIFS('Data entry'!$R$6:$R$200,$C52,'Data entry'!$B$6:$B$200,{"Confirmed";"Probable"},'Data entry'!$AQ$6:$AQ$200,'Data Validation'!$V$3, 'Data entry'!$AP$6:$AP$200,'Data Validation'!$U$5, 'Data entry'!$BD$6:$BD$200,"&lt;&gt;*Negative*"))))</f>
        <v/>
      </c>
      <c r="P52" t="str">
        <f>IF($C52="","",(SUM(COUNTIFS('Data entry'!$R$6:$R$200,$C52,'Data entry'!$B$6:$B$200,{"Confirmed";"Probable"},'Data entry'!$AQ$6:$AQ$200,'Data Validation'!$V$3, 'Data entry'!$AP$6:$AP$200,'Data Validation'!$U$6, 'Data entry'!$BD$6:$BD$200,"&lt;&gt;*Negative*"))))</f>
        <v/>
      </c>
    </row>
    <row r="53" spans="1:16" ht="15.6" x14ac:dyDescent="0.35">
      <c r="A53" s="1" t="str">
        <f>IF('Data entry'!B57="","",'Data entry'!B57)</f>
        <v/>
      </c>
      <c r="B53" s="1" t="str">
        <f>IF('Data entry'!O57="","",'Data entry'!O57)</f>
        <v/>
      </c>
      <c r="C53" s="321" t="str">
        <f>IF('Data entry'!R57="","",'Data entry'!R57)</f>
        <v/>
      </c>
      <c r="D53" s="1" t="str">
        <f>IF('Data entry'!AO57="","",'Data entry'!AO57)</f>
        <v/>
      </c>
      <c r="E53" s="1" t="str">
        <f>IF('Data entry'!AP57="","",'Data entry'!AP57)</f>
        <v/>
      </c>
      <c r="F53" s="1" t="str">
        <f>IF('Data entry'!AQ57="","",'Data entry'!AQ57)</f>
        <v/>
      </c>
      <c r="G53" t="str">
        <f>IF($C53="","",(SUM(COUNTIFS('Data entry'!$R$6:$R$200,$C53,'Data entry'!$B$6:$B$200,{"Confirmed";"Probable"},'Data entry'!$AQ$6:$AQ$200,'Data Validation'!$V$2, 'Data entry'!$AP$6:$AP$200,'Data Validation'!$U$2, 'Data entry'!$BD$6:$BD$200,"&lt;&gt;*Negative*"))))</f>
        <v/>
      </c>
      <c r="H53" t="str">
        <f>IF($C53="","",(SUM(COUNTIFS('Data entry'!$R$6:$R$200,$C53,'Data entry'!$B$6:$B$200,{"Confirmed";"Probable"},'Data entry'!$AQ$6:$AQ$200,'Data Validation'!$V$2, 'Data entry'!$AP$6:$AP$200,'Data Validation'!$U$3, 'Data entry'!$BD$6:$BD$200,"&lt;&gt;*Negative*"))))</f>
        <v/>
      </c>
      <c r="I53" t="str">
        <f>IF($C53="","",(SUM(COUNTIFS('Data entry'!$R$6:$R$200,$C53,'Data entry'!$B$6:$B$200,{"Confirmed";"Probable"},'Data entry'!$AQ$6:$AQ$200,'Data Validation'!$V$2, 'Data entry'!$AP$6:$AP$200,'Data Validation'!$U$4, 'Data entry'!$BD$6:$BD$200,"&lt;&gt;*Negative*"))))</f>
        <v/>
      </c>
      <c r="J53" t="str">
        <f>IF($C53="","",(SUM(COUNTIFS('Data entry'!$R$6:$R$200,$C53,'Data entry'!$B$6:$B$200,{"Confirmed";"Probable"},'Data entry'!$AQ$6:$AQ$200,'Data Validation'!$V$2, 'Data entry'!$AP$6:$AP$200,'Data Validation'!$U$5, 'Data entry'!$BD$6:$BD$200,"&lt;&gt;*Negative*"))))</f>
        <v/>
      </c>
      <c r="K53" t="str">
        <f>IF($C53="","",(SUM(COUNTIFS('Data entry'!$R$6:$R$200,$C53,'Data entry'!$B$6:$B$200,{"Confirmed";"Probable"},'Data entry'!$AQ$6:$AQ$200,'Data Validation'!$V$2, 'Data entry'!$AP$6:$AP$200,'Data Validation'!$U$6, 'Data entry'!$BD$6:$BD$200,"&lt;&gt;*Negative*"))))</f>
        <v/>
      </c>
      <c r="L53" t="str">
        <f>IF($C53="","",(SUM(COUNTIFS('Data entry'!$R$6:$R$200,$C53,'Data entry'!$B$6:$B$200,{"Confirmed";"Probable"},'Data entry'!$AQ$6:$AQ$200,'Data Validation'!$V$3, 'Data entry'!$AP$6:$AP$200,'Data Validation'!$U$2, 'Data entry'!$BD$6:$BD$200,"&lt;&gt;*Negative*"))))</f>
        <v/>
      </c>
      <c r="M53" t="str">
        <f>IF($C53="","",(SUM(COUNTIFS('Data entry'!$R$6:$R$200,$C53,'Data entry'!$B$6:$B$200,{"Confirmed";"Probable"},'Data entry'!$AQ$6:$AQ$200,'Data Validation'!$V$3, 'Data entry'!$AP$6:$AP$200,'Data Validation'!$U$3, 'Data entry'!$BD$6:$BD$200,"&lt;&gt;*Negative*"))))</f>
        <v/>
      </c>
      <c r="N53" t="str">
        <f>IF($C53="","",(SUM(COUNTIFS('Data entry'!$R$6:$R$200,$C53,'Data entry'!$B$6:$B$200,{"Confirmed";"Probable"},'Data entry'!$AQ$6:$AQ$200,'Data Validation'!$V$3, 'Data entry'!$AP$6:$AP$200,'Data Validation'!$U$4, 'Data entry'!$BD$6:$BD$200,"&lt;&gt;*Negative*"))))</f>
        <v/>
      </c>
      <c r="O53" t="str">
        <f>IF($C53="","",(SUM(COUNTIFS('Data entry'!$R$6:$R$200,$C53,'Data entry'!$B$6:$B$200,{"Confirmed";"Probable"},'Data entry'!$AQ$6:$AQ$200,'Data Validation'!$V$3, 'Data entry'!$AP$6:$AP$200,'Data Validation'!$U$5, 'Data entry'!$BD$6:$BD$200,"&lt;&gt;*Negative*"))))</f>
        <v/>
      </c>
      <c r="P53" t="str">
        <f>IF($C53="","",(SUM(COUNTIFS('Data entry'!$R$6:$R$200,$C53,'Data entry'!$B$6:$B$200,{"Confirmed";"Probable"},'Data entry'!$AQ$6:$AQ$200,'Data Validation'!$V$3, 'Data entry'!$AP$6:$AP$200,'Data Validation'!$U$6, 'Data entry'!$BD$6:$BD$200,"&lt;&gt;*Negative*"))))</f>
        <v/>
      </c>
    </row>
    <row r="54" spans="1:16" ht="15.6" x14ac:dyDescent="0.35">
      <c r="A54" s="1" t="str">
        <f>IF('Data entry'!B58="","",'Data entry'!B58)</f>
        <v/>
      </c>
      <c r="B54" s="1" t="str">
        <f>IF('Data entry'!O58="","",'Data entry'!O58)</f>
        <v/>
      </c>
      <c r="C54" s="321" t="str">
        <f>IF('Data entry'!R58="","",'Data entry'!R58)</f>
        <v/>
      </c>
      <c r="D54" s="1" t="str">
        <f>IF('Data entry'!AO58="","",'Data entry'!AO58)</f>
        <v/>
      </c>
      <c r="E54" s="1" t="str">
        <f>IF('Data entry'!AP58="","",'Data entry'!AP58)</f>
        <v/>
      </c>
      <c r="F54" s="1" t="str">
        <f>IF('Data entry'!AQ58="","",'Data entry'!AQ58)</f>
        <v/>
      </c>
      <c r="G54" t="str">
        <f>IF($C54="","",(SUM(COUNTIFS('Data entry'!$R$6:$R$200,$C54,'Data entry'!$B$6:$B$200,{"Confirmed";"Probable"},'Data entry'!$AQ$6:$AQ$200,'Data Validation'!$V$2, 'Data entry'!$AP$6:$AP$200,'Data Validation'!$U$2, 'Data entry'!$BD$6:$BD$200,"&lt;&gt;*Negative*"))))</f>
        <v/>
      </c>
      <c r="H54" t="str">
        <f>IF($C54="","",(SUM(COUNTIFS('Data entry'!$R$6:$R$200,$C54,'Data entry'!$B$6:$B$200,{"Confirmed";"Probable"},'Data entry'!$AQ$6:$AQ$200,'Data Validation'!$V$2, 'Data entry'!$AP$6:$AP$200,'Data Validation'!$U$3, 'Data entry'!$BD$6:$BD$200,"&lt;&gt;*Negative*"))))</f>
        <v/>
      </c>
      <c r="I54" t="str">
        <f>IF($C54="","",(SUM(COUNTIFS('Data entry'!$R$6:$R$200,$C54,'Data entry'!$B$6:$B$200,{"Confirmed";"Probable"},'Data entry'!$AQ$6:$AQ$200,'Data Validation'!$V$2, 'Data entry'!$AP$6:$AP$200,'Data Validation'!$U$4, 'Data entry'!$BD$6:$BD$200,"&lt;&gt;*Negative*"))))</f>
        <v/>
      </c>
      <c r="J54" t="str">
        <f>IF($C54="","",(SUM(COUNTIFS('Data entry'!$R$6:$R$200,$C54,'Data entry'!$B$6:$B$200,{"Confirmed";"Probable"},'Data entry'!$AQ$6:$AQ$200,'Data Validation'!$V$2, 'Data entry'!$AP$6:$AP$200,'Data Validation'!$U$5, 'Data entry'!$BD$6:$BD$200,"&lt;&gt;*Negative*"))))</f>
        <v/>
      </c>
      <c r="K54" t="str">
        <f>IF($C54="","",(SUM(COUNTIFS('Data entry'!$R$6:$R$200,$C54,'Data entry'!$B$6:$B$200,{"Confirmed";"Probable"},'Data entry'!$AQ$6:$AQ$200,'Data Validation'!$V$2, 'Data entry'!$AP$6:$AP$200,'Data Validation'!$U$6, 'Data entry'!$BD$6:$BD$200,"&lt;&gt;*Negative*"))))</f>
        <v/>
      </c>
      <c r="L54" t="str">
        <f>IF($C54="","",(SUM(COUNTIFS('Data entry'!$R$6:$R$200,$C54,'Data entry'!$B$6:$B$200,{"Confirmed";"Probable"},'Data entry'!$AQ$6:$AQ$200,'Data Validation'!$V$3, 'Data entry'!$AP$6:$AP$200,'Data Validation'!$U$2, 'Data entry'!$BD$6:$BD$200,"&lt;&gt;*Negative*"))))</f>
        <v/>
      </c>
      <c r="M54" t="str">
        <f>IF($C54="","",(SUM(COUNTIFS('Data entry'!$R$6:$R$200,$C54,'Data entry'!$B$6:$B$200,{"Confirmed";"Probable"},'Data entry'!$AQ$6:$AQ$200,'Data Validation'!$V$3, 'Data entry'!$AP$6:$AP$200,'Data Validation'!$U$3, 'Data entry'!$BD$6:$BD$200,"&lt;&gt;*Negative*"))))</f>
        <v/>
      </c>
      <c r="N54" t="str">
        <f>IF($C54="","",(SUM(COUNTIFS('Data entry'!$R$6:$R$200,$C54,'Data entry'!$B$6:$B$200,{"Confirmed";"Probable"},'Data entry'!$AQ$6:$AQ$200,'Data Validation'!$V$3, 'Data entry'!$AP$6:$AP$200,'Data Validation'!$U$4, 'Data entry'!$BD$6:$BD$200,"&lt;&gt;*Negative*"))))</f>
        <v/>
      </c>
      <c r="O54" t="str">
        <f>IF($C54="","",(SUM(COUNTIFS('Data entry'!$R$6:$R$200,$C54,'Data entry'!$B$6:$B$200,{"Confirmed";"Probable"},'Data entry'!$AQ$6:$AQ$200,'Data Validation'!$V$3, 'Data entry'!$AP$6:$AP$200,'Data Validation'!$U$5, 'Data entry'!$BD$6:$BD$200,"&lt;&gt;*Negative*"))))</f>
        <v/>
      </c>
      <c r="P54" t="str">
        <f>IF($C54="","",(SUM(COUNTIFS('Data entry'!$R$6:$R$200,$C54,'Data entry'!$B$6:$B$200,{"Confirmed";"Probable"},'Data entry'!$AQ$6:$AQ$200,'Data Validation'!$V$3, 'Data entry'!$AP$6:$AP$200,'Data Validation'!$U$6, 'Data entry'!$BD$6:$BD$200,"&lt;&gt;*Negative*"))))</f>
        <v/>
      </c>
    </row>
    <row r="55" spans="1:16" ht="15.6" x14ac:dyDescent="0.35">
      <c r="A55" s="1" t="str">
        <f>IF('Data entry'!B59="","",'Data entry'!B59)</f>
        <v/>
      </c>
      <c r="B55" s="1" t="str">
        <f>IF('Data entry'!O59="","",'Data entry'!O59)</f>
        <v/>
      </c>
      <c r="C55" s="321" t="str">
        <f>IF('Data entry'!R59="","",'Data entry'!R59)</f>
        <v/>
      </c>
      <c r="D55" s="1" t="str">
        <f>IF('Data entry'!AO59="","",'Data entry'!AO59)</f>
        <v/>
      </c>
      <c r="E55" s="1" t="str">
        <f>IF('Data entry'!AP59="","",'Data entry'!AP59)</f>
        <v/>
      </c>
      <c r="F55" s="1" t="str">
        <f>IF('Data entry'!AQ59="","",'Data entry'!AQ59)</f>
        <v/>
      </c>
      <c r="G55" t="str">
        <f>IF($C55="","",(SUM(COUNTIFS('Data entry'!$R$6:$R$200,$C55,'Data entry'!$B$6:$B$200,{"Confirmed";"Probable"},'Data entry'!$AQ$6:$AQ$200,'Data Validation'!$V$2, 'Data entry'!$AP$6:$AP$200,'Data Validation'!$U$2, 'Data entry'!$BD$6:$BD$200,"&lt;&gt;*Negative*"))))</f>
        <v/>
      </c>
      <c r="H55" t="str">
        <f>IF($C55="","",(SUM(COUNTIFS('Data entry'!$R$6:$R$200,$C55,'Data entry'!$B$6:$B$200,{"Confirmed";"Probable"},'Data entry'!$AQ$6:$AQ$200,'Data Validation'!$V$2, 'Data entry'!$AP$6:$AP$200,'Data Validation'!$U$3, 'Data entry'!$BD$6:$BD$200,"&lt;&gt;*Negative*"))))</f>
        <v/>
      </c>
      <c r="I55" t="str">
        <f>IF($C55="","",(SUM(COUNTIFS('Data entry'!$R$6:$R$200,$C55,'Data entry'!$B$6:$B$200,{"Confirmed";"Probable"},'Data entry'!$AQ$6:$AQ$200,'Data Validation'!$V$2, 'Data entry'!$AP$6:$AP$200,'Data Validation'!$U$4, 'Data entry'!$BD$6:$BD$200,"&lt;&gt;*Negative*"))))</f>
        <v/>
      </c>
      <c r="J55" t="str">
        <f>IF($C55="","",(SUM(COUNTIFS('Data entry'!$R$6:$R$200,$C55,'Data entry'!$B$6:$B$200,{"Confirmed";"Probable"},'Data entry'!$AQ$6:$AQ$200,'Data Validation'!$V$2, 'Data entry'!$AP$6:$AP$200,'Data Validation'!$U$5, 'Data entry'!$BD$6:$BD$200,"&lt;&gt;*Negative*"))))</f>
        <v/>
      </c>
      <c r="K55" t="str">
        <f>IF($C55="","",(SUM(COUNTIFS('Data entry'!$R$6:$R$200,$C55,'Data entry'!$B$6:$B$200,{"Confirmed";"Probable"},'Data entry'!$AQ$6:$AQ$200,'Data Validation'!$V$2, 'Data entry'!$AP$6:$AP$200,'Data Validation'!$U$6, 'Data entry'!$BD$6:$BD$200,"&lt;&gt;*Negative*"))))</f>
        <v/>
      </c>
      <c r="L55" t="str">
        <f>IF($C55="","",(SUM(COUNTIFS('Data entry'!$R$6:$R$200,$C55,'Data entry'!$B$6:$B$200,{"Confirmed";"Probable"},'Data entry'!$AQ$6:$AQ$200,'Data Validation'!$V$3, 'Data entry'!$AP$6:$AP$200,'Data Validation'!$U$2, 'Data entry'!$BD$6:$BD$200,"&lt;&gt;*Negative*"))))</f>
        <v/>
      </c>
      <c r="M55" t="str">
        <f>IF($C55="","",(SUM(COUNTIFS('Data entry'!$R$6:$R$200,$C55,'Data entry'!$B$6:$B$200,{"Confirmed";"Probable"},'Data entry'!$AQ$6:$AQ$200,'Data Validation'!$V$3, 'Data entry'!$AP$6:$AP$200,'Data Validation'!$U$3, 'Data entry'!$BD$6:$BD$200,"&lt;&gt;*Negative*"))))</f>
        <v/>
      </c>
      <c r="N55" t="str">
        <f>IF($C55="","",(SUM(COUNTIFS('Data entry'!$R$6:$R$200,$C55,'Data entry'!$B$6:$B$200,{"Confirmed";"Probable"},'Data entry'!$AQ$6:$AQ$200,'Data Validation'!$V$3, 'Data entry'!$AP$6:$AP$200,'Data Validation'!$U$4, 'Data entry'!$BD$6:$BD$200,"&lt;&gt;*Negative*"))))</f>
        <v/>
      </c>
      <c r="O55" t="str">
        <f>IF($C55="","",(SUM(COUNTIFS('Data entry'!$R$6:$R$200,$C55,'Data entry'!$B$6:$B$200,{"Confirmed";"Probable"},'Data entry'!$AQ$6:$AQ$200,'Data Validation'!$V$3, 'Data entry'!$AP$6:$AP$200,'Data Validation'!$U$5, 'Data entry'!$BD$6:$BD$200,"&lt;&gt;*Negative*"))))</f>
        <v/>
      </c>
      <c r="P55" t="str">
        <f>IF($C55="","",(SUM(COUNTIFS('Data entry'!$R$6:$R$200,$C55,'Data entry'!$B$6:$B$200,{"Confirmed";"Probable"},'Data entry'!$AQ$6:$AQ$200,'Data Validation'!$V$3, 'Data entry'!$AP$6:$AP$200,'Data Validation'!$U$6, 'Data entry'!$BD$6:$BD$200,"&lt;&gt;*Negative*"))))</f>
        <v/>
      </c>
    </row>
    <row r="56" spans="1:16" ht="15.6" x14ac:dyDescent="0.35">
      <c r="A56" s="1" t="str">
        <f>IF('Data entry'!B60="","",'Data entry'!B60)</f>
        <v/>
      </c>
      <c r="B56" s="1" t="str">
        <f>IF('Data entry'!O60="","",'Data entry'!O60)</f>
        <v/>
      </c>
      <c r="C56" s="321" t="str">
        <f>IF('Data entry'!R60="","",'Data entry'!R60)</f>
        <v/>
      </c>
      <c r="D56" s="1" t="str">
        <f>IF('Data entry'!AO60="","",'Data entry'!AO60)</f>
        <v/>
      </c>
      <c r="E56" s="1" t="str">
        <f>IF('Data entry'!AP60="","",'Data entry'!AP60)</f>
        <v/>
      </c>
      <c r="F56" s="1" t="str">
        <f>IF('Data entry'!AQ60="","",'Data entry'!AQ60)</f>
        <v/>
      </c>
      <c r="G56" t="str">
        <f>IF($C56="","",(SUM(COUNTIFS('Data entry'!$R$6:$R$200,$C56,'Data entry'!$B$6:$B$200,{"Confirmed";"Probable"},'Data entry'!$AQ$6:$AQ$200,'Data Validation'!$V$2, 'Data entry'!$AP$6:$AP$200,'Data Validation'!$U$2, 'Data entry'!$BD$6:$BD$200,"&lt;&gt;*Negative*"))))</f>
        <v/>
      </c>
      <c r="H56" t="str">
        <f>IF($C56="","",(SUM(COUNTIFS('Data entry'!$R$6:$R$200,$C56,'Data entry'!$B$6:$B$200,{"Confirmed";"Probable"},'Data entry'!$AQ$6:$AQ$200,'Data Validation'!$V$2, 'Data entry'!$AP$6:$AP$200,'Data Validation'!$U$3, 'Data entry'!$BD$6:$BD$200,"&lt;&gt;*Negative*"))))</f>
        <v/>
      </c>
      <c r="I56" t="str">
        <f>IF($C56="","",(SUM(COUNTIFS('Data entry'!$R$6:$R$200,$C56,'Data entry'!$B$6:$B$200,{"Confirmed";"Probable"},'Data entry'!$AQ$6:$AQ$200,'Data Validation'!$V$2, 'Data entry'!$AP$6:$AP$200,'Data Validation'!$U$4, 'Data entry'!$BD$6:$BD$200,"&lt;&gt;*Negative*"))))</f>
        <v/>
      </c>
      <c r="J56" t="str">
        <f>IF($C56="","",(SUM(COUNTIFS('Data entry'!$R$6:$R$200,$C56,'Data entry'!$B$6:$B$200,{"Confirmed";"Probable"},'Data entry'!$AQ$6:$AQ$200,'Data Validation'!$V$2, 'Data entry'!$AP$6:$AP$200,'Data Validation'!$U$5, 'Data entry'!$BD$6:$BD$200,"&lt;&gt;*Negative*"))))</f>
        <v/>
      </c>
      <c r="K56" t="str">
        <f>IF($C56="","",(SUM(COUNTIFS('Data entry'!$R$6:$R$200,$C56,'Data entry'!$B$6:$B$200,{"Confirmed";"Probable"},'Data entry'!$AQ$6:$AQ$200,'Data Validation'!$V$2, 'Data entry'!$AP$6:$AP$200,'Data Validation'!$U$6, 'Data entry'!$BD$6:$BD$200,"&lt;&gt;*Negative*"))))</f>
        <v/>
      </c>
      <c r="L56" t="str">
        <f>IF($C56="","",(SUM(COUNTIFS('Data entry'!$R$6:$R$200,$C56,'Data entry'!$B$6:$B$200,{"Confirmed";"Probable"},'Data entry'!$AQ$6:$AQ$200,'Data Validation'!$V$3, 'Data entry'!$AP$6:$AP$200,'Data Validation'!$U$2, 'Data entry'!$BD$6:$BD$200,"&lt;&gt;*Negative*"))))</f>
        <v/>
      </c>
      <c r="M56" t="str">
        <f>IF($C56="","",(SUM(COUNTIFS('Data entry'!$R$6:$R$200,$C56,'Data entry'!$B$6:$B$200,{"Confirmed";"Probable"},'Data entry'!$AQ$6:$AQ$200,'Data Validation'!$V$3, 'Data entry'!$AP$6:$AP$200,'Data Validation'!$U$3, 'Data entry'!$BD$6:$BD$200,"&lt;&gt;*Negative*"))))</f>
        <v/>
      </c>
      <c r="N56" t="str">
        <f>IF($C56="","",(SUM(COUNTIFS('Data entry'!$R$6:$R$200,$C56,'Data entry'!$B$6:$B$200,{"Confirmed";"Probable"},'Data entry'!$AQ$6:$AQ$200,'Data Validation'!$V$3, 'Data entry'!$AP$6:$AP$200,'Data Validation'!$U$4, 'Data entry'!$BD$6:$BD$200,"&lt;&gt;*Negative*"))))</f>
        <v/>
      </c>
      <c r="O56" t="str">
        <f>IF($C56="","",(SUM(COUNTIFS('Data entry'!$R$6:$R$200,$C56,'Data entry'!$B$6:$B$200,{"Confirmed";"Probable"},'Data entry'!$AQ$6:$AQ$200,'Data Validation'!$V$3, 'Data entry'!$AP$6:$AP$200,'Data Validation'!$U$5, 'Data entry'!$BD$6:$BD$200,"&lt;&gt;*Negative*"))))</f>
        <v/>
      </c>
      <c r="P56" t="str">
        <f>IF($C56="","",(SUM(COUNTIFS('Data entry'!$R$6:$R$200,$C56,'Data entry'!$B$6:$B$200,{"Confirmed";"Probable"},'Data entry'!$AQ$6:$AQ$200,'Data Validation'!$V$3, 'Data entry'!$AP$6:$AP$200,'Data Validation'!$U$6, 'Data entry'!$BD$6:$BD$200,"&lt;&gt;*Negative*"))))</f>
        <v/>
      </c>
    </row>
    <row r="57" spans="1:16" ht="15.6" x14ac:dyDescent="0.35">
      <c r="A57" s="1" t="str">
        <f>IF('Data entry'!B61="","",'Data entry'!B61)</f>
        <v/>
      </c>
      <c r="B57" s="1" t="str">
        <f>IF('Data entry'!O61="","",'Data entry'!O61)</f>
        <v/>
      </c>
      <c r="C57" s="321" t="str">
        <f>IF('Data entry'!R61="","",'Data entry'!R61)</f>
        <v/>
      </c>
      <c r="D57" s="1" t="str">
        <f>IF('Data entry'!AO61="","",'Data entry'!AO61)</f>
        <v/>
      </c>
      <c r="E57" s="1" t="str">
        <f>IF('Data entry'!AP61="","",'Data entry'!AP61)</f>
        <v/>
      </c>
      <c r="F57" s="1" t="str">
        <f>IF('Data entry'!AQ61="","",'Data entry'!AQ61)</f>
        <v/>
      </c>
      <c r="G57" t="str">
        <f>IF($C57="","",(SUM(COUNTIFS('Data entry'!$R$6:$R$200,$C57,'Data entry'!$B$6:$B$200,{"Confirmed";"Probable"},'Data entry'!$AQ$6:$AQ$200,'Data Validation'!$V$2, 'Data entry'!$AP$6:$AP$200,'Data Validation'!$U$2, 'Data entry'!$BD$6:$BD$200,"&lt;&gt;*Negative*"))))</f>
        <v/>
      </c>
      <c r="H57" t="str">
        <f>IF($C57="","",(SUM(COUNTIFS('Data entry'!$R$6:$R$200,$C57,'Data entry'!$B$6:$B$200,{"Confirmed";"Probable"},'Data entry'!$AQ$6:$AQ$200,'Data Validation'!$V$2, 'Data entry'!$AP$6:$AP$200,'Data Validation'!$U$3, 'Data entry'!$BD$6:$BD$200,"&lt;&gt;*Negative*"))))</f>
        <v/>
      </c>
      <c r="I57" t="str">
        <f>IF($C57="","",(SUM(COUNTIFS('Data entry'!$R$6:$R$200,$C57,'Data entry'!$B$6:$B$200,{"Confirmed";"Probable"},'Data entry'!$AQ$6:$AQ$200,'Data Validation'!$V$2, 'Data entry'!$AP$6:$AP$200,'Data Validation'!$U$4, 'Data entry'!$BD$6:$BD$200,"&lt;&gt;*Negative*"))))</f>
        <v/>
      </c>
      <c r="J57" t="str">
        <f>IF($C57="","",(SUM(COUNTIFS('Data entry'!$R$6:$R$200,$C57,'Data entry'!$B$6:$B$200,{"Confirmed";"Probable"},'Data entry'!$AQ$6:$AQ$200,'Data Validation'!$V$2, 'Data entry'!$AP$6:$AP$200,'Data Validation'!$U$5, 'Data entry'!$BD$6:$BD$200,"&lt;&gt;*Negative*"))))</f>
        <v/>
      </c>
      <c r="K57" t="str">
        <f>IF($C57="","",(SUM(COUNTIFS('Data entry'!$R$6:$R$200,$C57,'Data entry'!$B$6:$B$200,{"Confirmed";"Probable"},'Data entry'!$AQ$6:$AQ$200,'Data Validation'!$V$2, 'Data entry'!$AP$6:$AP$200,'Data Validation'!$U$6, 'Data entry'!$BD$6:$BD$200,"&lt;&gt;*Negative*"))))</f>
        <v/>
      </c>
      <c r="L57" t="str">
        <f>IF($C57="","",(SUM(COUNTIFS('Data entry'!$R$6:$R$200,$C57,'Data entry'!$B$6:$B$200,{"Confirmed";"Probable"},'Data entry'!$AQ$6:$AQ$200,'Data Validation'!$V$3, 'Data entry'!$AP$6:$AP$200,'Data Validation'!$U$2, 'Data entry'!$BD$6:$BD$200,"&lt;&gt;*Negative*"))))</f>
        <v/>
      </c>
      <c r="M57" t="str">
        <f>IF($C57="","",(SUM(COUNTIFS('Data entry'!$R$6:$R$200,$C57,'Data entry'!$B$6:$B$200,{"Confirmed";"Probable"},'Data entry'!$AQ$6:$AQ$200,'Data Validation'!$V$3, 'Data entry'!$AP$6:$AP$200,'Data Validation'!$U$3, 'Data entry'!$BD$6:$BD$200,"&lt;&gt;*Negative*"))))</f>
        <v/>
      </c>
      <c r="N57" t="str">
        <f>IF($C57="","",(SUM(COUNTIFS('Data entry'!$R$6:$R$200,$C57,'Data entry'!$B$6:$B$200,{"Confirmed";"Probable"},'Data entry'!$AQ$6:$AQ$200,'Data Validation'!$V$3, 'Data entry'!$AP$6:$AP$200,'Data Validation'!$U$4, 'Data entry'!$BD$6:$BD$200,"&lt;&gt;*Negative*"))))</f>
        <v/>
      </c>
      <c r="O57" t="str">
        <f>IF($C57="","",(SUM(COUNTIFS('Data entry'!$R$6:$R$200,$C57,'Data entry'!$B$6:$B$200,{"Confirmed";"Probable"},'Data entry'!$AQ$6:$AQ$200,'Data Validation'!$V$3, 'Data entry'!$AP$6:$AP$200,'Data Validation'!$U$5, 'Data entry'!$BD$6:$BD$200,"&lt;&gt;*Negative*"))))</f>
        <v/>
      </c>
      <c r="P57" t="str">
        <f>IF($C57="","",(SUM(COUNTIFS('Data entry'!$R$6:$R$200,$C57,'Data entry'!$B$6:$B$200,{"Confirmed";"Probable"},'Data entry'!$AQ$6:$AQ$200,'Data Validation'!$V$3, 'Data entry'!$AP$6:$AP$200,'Data Validation'!$U$6, 'Data entry'!$BD$6:$BD$200,"&lt;&gt;*Negative*"))))</f>
        <v/>
      </c>
    </row>
    <row r="58" spans="1:16" ht="15.6" x14ac:dyDescent="0.35">
      <c r="A58" s="1" t="str">
        <f>IF('Data entry'!B62="","",'Data entry'!B62)</f>
        <v/>
      </c>
      <c r="B58" s="1" t="str">
        <f>IF('Data entry'!O62="","",'Data entry'!O62)</f>
        <v/>
      </c>
      <c r="C58" s="321" t="str">
        <f>IF('Data entry'!R62="","",'Data entry'!R62)</f>
        <v/>
      </c>
      <c r="D58" s="1" t="str">
        <f>IF('Data entry'!AO62="","",'Data entry'!AO62)</f>
        <v/>
      </c>
      <c r="E58" s="1" t="str">
        <f>IF('Data entry'!AP62="","",'Data entry'!AP62)</f>
        <v/>
      </c>
      <c r="F58" s="1" t="str">
        <f>IF('Data entry'!AQ62="","",'Data entry'!AQ62)</f>
        <v/>
      </c>
      <c r="G58" t="str">
        <f>IF($C58="","",(SUM(COUNTIFS('Data entry'!$R$6:$R$200,$C58,'Data entry'!$B$6:$B$200,{"Confirmed";"Probable"},'Data entry'!$AQ$6:$AQ$200,'Data Validation'!$V$2, 'Data entry'!$AP$6:$AP$200,'Data Validation'!$U$2, 'Data entry'!$BD$6:$BD$200,"&lt;&gt;*Negative*"))))</f>
        <v/>
      </c>
      <c r="H58" t="str">
        <f>IF($C58="","",(SUM(COUNTIFS('Data entry'!$R$6:$R$200,$C58,'Data entry'!$B$6:$B$200,{"Confirmed";"Probable"},'Data entry'!$AQ$6:$AQ$200,'Data Validation'!$V$2, 'Data entry'!$AP$6:$AP$200,'Data Validation'!$U$3, 'Data entry'!$BD$6:$BD$200,"&lt;&gt;*Negative*"))))</f>
        <v/>
      </c>
      <c r="I58" t="str">
        <f>IF($C58="","",(SUM(COUNTIFS('Data entry'!$R$6:$R$200,$C58,'Data entry'!$B$6:$B$200,{"Confirmed";"Probable"},'Data entry'!$AQ$6:$AQ$200,'Data Validation'!$V$2, 'Data entry'!$AP$6:$AP$200,'Data Validation'!$U$4, 'Data entry'!$BD$6:$BD$200,"&lt;&gt;*Negative*"))))</f>
        <v/>
      </c>
      <c r="J58" t="str">
        <f>IF($C58="","",(SUM(COUNTIFS('Data entry'!$R$6:$R$200,$C58,'Data entry'!$B$6:$B$200,{"Confirmed";"Probable"},'Data entry'!$AQ$6:$AQ$200,'Data Validation'!$V$2, 'Data entry'!$AP$6:$AP$200,'Data Validation'!$U$5, 'Data entry'!$BD$6:$BD$200,"&lt;&gt;*Negative*"))))</f>
        <v/>
      </c>
      <c r="K58" t="str">
        <f>IF($C58="","",(SUM(COUNTIFS('Data entry'!$R$6:$R$200,$C58,'Data entry'!$B$6:$B$200,{"Confirmed";"Probable"},'Data entry'!$AQ$6:$AQ$200,'Data Validation'!$V$2, 'Data entry'!$AP$6:$AP$200,'Data Validation'!$U$6, 'Data entry'!$BD$6:$BD$200,"&lt;&gt;*Negative*"))))</f>
        <v/>
      </c>
      <c r="L58" t="str">
        <f>IF($C58="","",(SUM(COUNTIFS('Data entry'!$R$6:$R$200,$C58,'Data entry'!$B$6:$B$200,{"Confirmed";"Probable"},'Data entry'!$AQ$6:$AQ$200,'Data Validation'!$V$3, 'Data entry'!$AP$6:$AP$200,'Data Validation'!$U$2, 'Data entry'!$BD$6:$BD$200,"&lt;&gt;*Negative*"))))</f>
        <v/>
      </c>
      <c r="M58" t="str">
        <f>IF($C58="","",(SUM(COUNTIFS('Data entry'!$R$6:$R$200,$C58,'Data entry'!$B$6:$B$200,{"Confirmed";"Probable"},'Data entry'!$AQ$6:$AQ$200,'Data Validation'!$V$3, 'Data entry'!$AP$6:$AP$200,'Data Validation'!$U$3, 'Data entry'!$BD$6:$BD$200,"&lt;&gt;*Negative*"))))</f>
        <v/>
      </c>
      <c r="N58" t="str">
        <f>IF($C58="","",(SUM(COUNTIFS('Data entry'!$R$6:$R$200,$C58,'Data entry'!$B$6:$B$200,{"Confirmed";"Probable"},'Data entry'!$AQ$6:$AQ$200,'Data Validation'!$V$3, 'Data entry'!$AP$6:$AP$200,'Data Validation'!$U$4, 'Data entry'!$BD$6:$BD$200,"&lt;&gt;*Negative*"))))</f>
        <v/>
      </c>
      <c r="O58" t="str">
        <f>IF($C58="","",(SUM(COUNTIFS('Data entry'!$R$6:$R$200,$C58,'Data entry'!$B$6:$B$200,{"Confirmed";"Probable"},'Data entry'!$AQ$6:$AQ$200,'Data Validation'!$V$3, 'Data entry'!$AP$6:$AP$200,'Data Validation'!$U$5, 'Data entry'!$BD$6:$BD$200,"&lt;&gt;*Negative*"))))</f>
        <v/>
      </c>
      <c r="P58" t="str">
        <f>IF($C58="","",(SUM(COUNTIFS('Data entry'!$R$6:$R$200,$C58,'Data entry'!$B$6:$B$200,{"Confirmed";"Probable"},'Data entry'!$AQ$6:$AQ$200,'Data Validation'!$V$3, 'Data entry'!$AP$6:$AP$200,'Data Validation'!$U$6, 'Data entry'!$BD$6:$BD$200,"&lt;&gt;*Negative*"))))</f>
        <v/>
      </c>
    </row>
    <row r="59" spans="1:16" ht="15.6" x14ac:dyDescent="0.35">
      <c r="A59" s="1" t="str">
        <f>IF('Data entry'!B63="","",'Data entry'!B63)</f>
        <v/>
      </c>
      <c r="B59" s="1" t="str">
        <f>IF('Data entry'!O63="","",'Data entry'!O63)</f>
        <v/>
      </c>
      <c r="C59" s="321" t="str">
        <f>IF('Data entry'!R63="","",'Data entry'!R63)</f>
        <v/>
      </c>
      <c r="D59" s="1" t="str">
        <f>IF('Data entry'!AO63="","",'Data entry'!AO63)</f>
        <v/>
      </c>
      <c r="E59" s="1" t="str">
        <f>IF('Data entry'!AP63="","",'Data entry'!AP63)</f>
        <v/>
      </c>
      <c r="F59" s="1" t="str">
        <f>IF('Data entry'!AQ63="","",'Data entry'!AQ63)</f>
        <v/>
      </c>
      <c r="G59" t="str">
        <f>IF($C59="","",(SUM(COUNTIFS('Data entry'!$R$6:$R$200,$C59,'Data entry'!$B$6:$B$200,{"Confirmed";"Probable"},'Data entry'!$AQ$6:$AQ$200,'Data Validation'!$V$2, 'Data entry'!$AP$6:$AP$200,'Data Validation'!$U$2, 'Data entry'!$BD$6:$BD$200,"&lt;&gt;*Negative*"))))</f>
        <v/>
      </c>
      <c r="H59" t="str">
        <f>IF($C59="","",(SUM(COUNTIFS('Data entry'!$R$6:$R$200,$C59,'Data entry'!$B$6:$B$200,{"Confirmed";"Probable"},'Data entry'!$AQ$6:$AQ$200,'Data Validation'!$V$2, 'Data entry'!$AP$6:$AP$200,'Data Validation'!$U$3, 'Data entry'!$BD$6:$BD$200,"&lt;&gt;*Negative*"))))</f>
        <v/>
      </c>
      <c r="I59" t="str">
        <f>IF($C59="","",(SUM(COUNTIFS('Data entry'!$R$6:$R$200,$C59,'Data entry'!$B$6:$B$200,{"Confirmed";"Probable"},'Data entry'!$AQ$6:$AQ$200,'Data Validation'!$V$2, 'Data entry'!$AP$6:$AP$200,'Data Validation'!$U$4, 'Data entry'!$BD$6:$BD$200,"&lt;&gt;*Negative*"))))</f>
        <v/>
      </c>
      <c r="J59" t="str">
        <f>IF($C59="","",(SUM(COUNTIFS('Data entry'!$R$6:$R$200,$C59,'Data entry'!$B$6:$B$200,{"Confirmed";"Probable"},'Data entry'!$AQ$6:$AQ$200,'Data Validation'!$V$2, 'Data entry'!$AP$6:$AP$200,'Data Validation'!$U$5, 'Data entry'!$BD$6:$BD$200,"&lt;&gt;*Negative*"))))</f>
        <v/>
      </c>
      <c r="K59" t="str">
        <f>IF($C59="","",(SUM(COUNTIFS('Data entry'!$R$6:$R$200,$C59,'Data entry'!$B$6:$B$200,{"Confirmed";"Probable"},'Data entry'!$AQ$6:$AQ$200,'Data Validation'!$V$2, 'Data entry'!$AP$6:$AP$200,'Data Validation'!$U$6, 'Data entry'!$BD$6:$BD$200,"&lt;&gt;*Negative*"))))</f>
        <v/>
      </c>
      <c r="L59" t="str">
        <f>IF($C59="","",(SUM(COUNTIFS('Data entry'!$R$6:$R$200,$C59,'Data entry'!$B$6:$B$200,{"Confirmed";"Probable"},'Data entry'!$AQ$6:$AQ$200,'Data Validation'!$V$3, 'Data entry'!$AP$6:$AP$200,'Data Validation'!$U$2, 'Data entry'!$BD$6:$BD$200,"&lt;&gt;*Negative*"))))</f>
        <v/>
      </c>
      <c r="M59" t="str">
        <f>IF($C59="","",(SUM(COUNTIFS('Data entry'!$R$6:$R$200,$C59,'Data entry'!$B$6:$B$200,{"Confirmed";"Probable"},'Data entry'!$AQ$6:$AQ$200,'Data Validation'!$V$3, 'Data entry'!$AP$6:$AP$200,'Data Validation'!$U$3, 'Data entry'!$BD$6:$BD$200,"&lt;&gt;*Negative*"))))</f>
        <v/>
      </c>
      <c r="N59" t="str">
        <f>IF($C59="","",(SUM(COUNTIFS('Data entry'!$R$6:$R$200,$C59,'Data entry'!$B$6:$B$200,{"Confirmed";"Probable"},'Data entry'!$AQ$6:$AQ$200,'Data Validation'!$V$3, 'Data entry'!$AP$6:$AP$200,'Data Validation'!$U$4, 'Data entry'!$BD$6:$BD$200,"&lt;&gt;*Negative*"))))</f>
        <v/>
      </c>
      <c r="O59" t="str">
        <f>IF($C59="","",(SUM(COUNTIFS('Data entry'!$R$6:$R$200,$C59,'Data entry'!$B$6:$B$200,{"Confirmed";"Probable"},'Data entry'!$AQ$6:$AQ$200,'Data Validation'!$V$3, 'Data entry'!$AP$6:$AP$200,'Data Validation'!$U$5, 'Data entry'!$BD$6:$BD$200,"&lt;&gt;*Negative*"))))</f>
        <v/>
      </c>
      <c r="P59" t="str">
        <f>IF($C59="","",(SUM(COUNTIFS('Data entry'!$R$6:$R$200,$C59,'Data entry'!$B$6:$B$200,{"Confirmed";"Probable"},'Data entry'!$AQ$6:$AQ$200,'Data Validation'!$V$3, 'Data entry'!$AP$6:$AP$200,'Data Validation'!$U$6, 'Data entry'!$BD$6:$BD$200,"&lt;&gt;*Negative*"))))</f>
        <v/>
      </c>
    </row>
    <row r="60" spans="1:16" ht="15.6" x14ac:dyDescent="0.35">
      <c r="A60" s="1" t="str">
        <f>IF('Data entry'!B64="","",'Data entry'!B64)</f>
        <v/>
      </c>
      <c r="B60" s="1" t="str">
        <f>IF('Data entry'!O64="","",'Data entry'!O64)</f>
        <v/>
      </c>
      <c r="C60" s="321" t="str">
        <f>IF('Data entry'!R64="","",'Data entry'!R64)</f>
        <v/>
      </c>
      <c r="D60" s="1" t="str">
        <f>IF('Data entry'!AO64="","",'Data entry'!AO64)</f>
        <v/>
      </c>
      <c r="E60" s="1" t="str">
        <f>IF('Data entry'!AP64="","",'Data entry'!AP64)</f>
        <v/>
      </c>
      <c r="F60" s="1" t="str">
        <f>IF('Data entry'!AQ64="","",'Data entry'!AQ64)</f>
        <v/>
      </c>
      <c r="G60" t="str">
        <f>IF($C60="","",(SUM(COUNTIFS('Data entry'!$R$6:$R$200,$C60,'Data entry'!$B$6:$B$200,{"Confirmed";"Probable"},'Data entry'!$AQ$6:$AQ$200,'Data Validation'!$V$2, 'Data entry'!$AP$6:$AP$200,'Data Validation'!$U$2, 'Data entry'!$BD$6:$BD$200,"&lt;&gt;*Negative*"))))</f>
        <v/>
      </c>
      <c r="H60" t="str">
        <f>IF($C60="","",(SUM(COUNTIFS('Data entry'!$R$6:$R$200,$C60,'Data entry'!$B$6:$B$200,{"Confirmed";"Probable"},'Data entry'!$AQ$6:$AQ$200,'Data Validation'!$V$2, 'Data entry'!$AP$6:$AP$200,'Data Validation'!$U$3, 'Data entry'!$BD$6:$BD$200,"&lt;&gt;*Negative*"))))</f>
        <v/>
      </c>
      <c r="I60" t="str">
        <f>IF($C60="","",(SUM(COUNTIFS('Data entry'!$R$6:$R$200,$C60,'Data entry'!$B$6:$B$200,{"Confirmed";"Probable"},'Data entry'!$AQ$6:$AQ$200,'Data Validation'!$V$2, 'Data entry'!$AP$6:$AP$200,'Data Validation'!$U$4, 'Data entry'!$BD$6:$BD$200,"&lt;&gt;*Negative*"))))</f>
        <v/>
      </c>
      <c r="J60" t="str">
        <f>IF($C60="","",(SUM(COUNTIFS('Data entry'!$R$6:$R$200,$C60,'Data entry'!$B$6:$B$200,{"Confirmed";"Probable"},'Data entry'!$AQ$6:$AQ$200,'Data Validation'!$V$2, 'Data entry'!$AP$6:$AP$200,'Data Validation'!$U$5, 'Data entry'!$BD$6:$BD$200,"&lt;&gt;*Negative*"))))</f>
        <v/>
      </c>
      <c r="K60" t="str">
        <f>IF($C60="","",(SUM(COUNTIFS('Data entry'!$R$6:$R$200,$C60,'Data entry'!$B$6:$B$200,{"Confirmed";"Probable"},'Data entry'!$AQ$6:$AQ$200,'Data Validation'!$V$2, 'Data entry'!$AP$6:$AP$200,'Data Validation'!$U$6, 'Data entry'!$BD$6:$BD$200,"&lt;&gt;*Negative*"))))</f>
        <v/>
      </c>
      <c r="L60" t="str">
        <f>IF($C60="","",(SUM(COUNTIFS('Data entry'!$R$6:$R$200,$C60,'Data entry'!$B$6:$B$200,{"Confirmed";"Probable"},'Data entry'!$AQ$6:$AQ$200,'Data Validation'!$V$3, 'Data entry'!$AP$6:$AP$200,'Data Validation'!$U$2, 'Data entry'!$BD$6:$BD$200,"&lt;&gt;*Negative*"))))</f>
        <v/>
      </c>
      <c r="M60" t="str">
        <f>IF($C60="","",(SUM(COUNTIFS('Data entry'!$R$6:$R$200,$C60,'Data entry'!$B$6:$B$200,{"Confirmed";"Probable"},'Data entry'!$AQ$6:$AQ$200,'Data Validation'!$V$3, 'Data entry'!$AP$6:$AP$200,'Data Validation'!$U$3, 'Data entry'!$BD$6:$BD$200,"&lt;&gt;*Negative*"))))</f>
        <v/>
      </c>
      <c r="N60" t="str">
        <f>IF($C60="","",(SUM(COUNTIFS('Data entry'!$R$6:$R$200,$C60,'Data entry'!$B$6:$B$200,{"Confirmed";"Probable"},'Data entry'!$AQ$6:$AQ$200,'Data Validation'!$V$3, 'Data entry'!$AP$6:$AP$200,'Data Validation'!$U$4, 'Data entry'!$BD$6:$BD$200,"&lt;&gt;*Negative*"))))</f>
        <v/>
      </c>
      <c r="O60" t="str">
        <f>IF($C60="","",(SUM(COUNTIFS('Data entry'!$R$6:$R$200,$C60,'Data entry'!$B$6:$B$200,{"Confirmed";"Probable"},'Data entry'!$AQ$6:$AQ$200,'Data Validation'!$V$3, 'Data entry'!$AP$6:$AP$200,'Data Validation'!$U$5, 'Data entry'!$BD$6:$BD$200,"&lt;&gt;*Negative*"))))</f>
        <v/>
      </c>
      <c r="P60" t="str">
        <f>IF($C60="","",(SUM(COUNTIFS('Data entry'!$R$6:$R$200,$C60,'Data entry'!$B$6:$B$200,{"Confirmed";"Probable"},'Data entry'!$AQ$6:$AQ$200,'Data Validation'!$V$3, 'Data entry'!$AP$6:$AP$200,'Data Validation'!$U$6, 'Data entry'!$BD$6:$BD$200,"&lt;&gt;*Negative*"))))</f>
        <v/>
      </c>
    </row>
    <row r="61" spans="1:16" ht="15.6" x14ac:dyDescent="0.35">
      <c r="A61" s="1" t="str">
        <f>IF('Data entry'!B65="","",'Data entry'!B65)</f>
        <v/>
      </c>
      <c r="B61" s="1" t="str">
        <f>IF('Data entry'!O65="","",'Data entry'!O65)</f>
        <v/>
      </c>
      <c r="C61" s="321" t="str">
        <f>IF('Data entry'!R65="","",'Data entry'!R65)</f>
        <v/>
      </c>
      <c r="D61" s="1" t="str">
        <f>IF('Data entry'!AO65="","",'Data entry'!AO65)</f>
        <v/>
      </c>
      <c r="E61" s="1" t="str">
        <f>IF('Data entry'!AP65="","",'Data entry'!AP65)</f>
        <v/>
      </c>
      <c r="F61" s="1" t="str">
        <f>IF('Data entry'!AQ65="","",'Data entry'!AQ65)</f>
        <v/>
      </c>
      <c r="G61" t="str">
        <f>IF($C61="","",(SUM(COUNTIFS('Data entry'!$R$6:$R$200,$C61,'Data entry'!$B$6:$B$200,{"Confirmed";"Probable"},'Data entry'!$AQ$6:$AQ$200,'Data Validation'!$V$2, 'Data entry'!$AP$6:$AP$200,'Data Validation'!$U$2, 'Data entry'!$BD$6:$BD$200,"&lt;&gt;*Negative*"))))</f>
        <v/>
      </c>
      <c r="H61" t="str">
        <f>IF($C61="","",(SUM(COUNTIFS('Data entry'!$R$6:$R$200,$C61,'Data entry'!$B$6:$B$200,{"Confirmed";"Probable"},'Data entry'!$AQ$6:$AQ$200,'Data Validation'!$V$2, 'Data entry'!$AP$6:$AP$200,'Data Validation'!$U$3, 'Data entry'!$BD$6:$BD$200,"&lt;&gt;*Negative*"))))</f>
        <v/>
      </c>
      <c r="I61" t="str">
        <f>IF($C61="","",(SUM(COUNTIFS('Data entry'!$R$6:$R$200,$C61,'Data entry'!$B$6:$B$200,{"Confirmed";"Probable"},'Data entry'!$AQ$6:$AQ$200,'Data Validation'!$V$2, 'Data entry'!$AP$6:$AP$200,'Data Validation'!$U$4, 'Data entry'!$BD$6:$BD$200,"&lt;&gt;*Negative*"))))</f>
        <v/>
      </c>
      <c r="J61" t="str">
        <f>IF($C61="","",(SUM(COUNTIFS('Data entry'!$R$6:$R$200,$C61,'Data entry'!$B$6:$B$200,{"Confirmed";"Probable"},'Data entry'!$AQ$6:$AQ$200,'Data Validation'!$V$2, 'Data entry'!$AP$6:$AP$200,'Data Validation'!$U$5, 'Data entry'!$BD$6:$BD$200,"&lt;&gt;*Negative*"))))</f>
        <v/>
      </c>
      <c r="K61" t="str">
        <f>IF($C61="","",(SUM(COUNTIFS('Data entry'!$R$6:$R$200,$C61,'Data entry'!$B$6:$B$200,{"Confirmed";"Probable"},'Data entry'!$AQ$6:$AQ$200,'Data Validation'!$V$2, 'Data entry'!$AP$6:$AP$200,'Data Validation'!$U$6, 'Data entry'!$BD$6:$BD$200,"&lt;&gt;*Negative*"))))</f>
        <v/>
      </c>
      <c r="L61" t="str">
        <f>IF($C61="","",(SUM(COUNTIFS('Data entry'!$R$6:$R$200,$C61,'Data entry'!$B$6:$B$200,{"Confirmed";"Probable"},'Data entry'!$AQ$6:$AQ$200,'Data Validation'!$V$3, 'Data entry'!$AP$6:$AP$200,'Data Validation'!$U$2, 'Data entry'!$BD$6:$BD$200,"&lt;&gt;*Negative*"))))</f>
        <v/>
      </c>
      <c r="M61" t="str">
        <f>IF($C61="","",(SUM(COUNTIFS('Data entry'!$R$6:$R$200,$C61,'Data entry'!$B$6:$B$200,{"Confirmed";"Probable"},'Data entry'!$AQ$6:$AQ$200,'Data Validation'!$V$3, 'Data entry'!$AP$6:$AP$200,'Data Validation'!$U$3, 'Data entry'!$BD$6:$BD$200,"&lt;&gt;*Negative*"))))</f>
        <v/>
      </c>
      <c r="N61" t="str">
        <f>IF($C61="","",(SUM(COUNTIFS('Data entry'!$R$6:$R$200,$C61,'Data entry'!$B$6:$B$200,{"Confirmed";"Probable"},'Data entry'!$AQ$6:$AQ$200,'Data Validation'!$V$3, 'Data entry'!$AP$6:$AP$200,'Data Validation'!$U$4, 'Data entry'!$BD$6:$BD$200,"&lt;&gt;*Negative*"))))</f>
        <v/>
      </c>
      <c r="O61" t="str">
        <f>IF($C61="","",(SUM(COUNTIFS('Data entry'!$R$6:$R$200,$C61,'Data entry'!$B$6:$B$200,{"Confirmed";"Probable"},'Data entry'!$AQ$6:$AQ$200,'Data Validation'!$V$3, 'Data entry'!$AP$6:$AP$200,'Data Validation'!$U$5, 'Data entry'!$BD$6:$BD$200,"&lt;&gt;*Negative*"))))</f>
        <v/>
      </c>
      <c r="P61" t="str">
        <f>IF($C61="","",(SUM(COUNTIFS('Data entry'!$R$6:$R$200,$C61,'Data entry'!$B$6:$B$200,{"Confirmed";"Probable"},'Data entry'!$AQ$6:$AQ$200,'Data Validation'!$V$3, 'Data entry'!$AP$6:$AP$200,'Data Validation'!$U$6, 'Data entry'!$BD$6:$BD$200,"&lt;&gt;*Negative*"))))</f>
        <v/>
      </c>
    </row>
    <row r="62" spans="1:16" ht="15.6" x14ac:dyDescent="0.35">
      <c r="A62" s="1" t="str">
        <f>IF('Data entry'!B66="","",'Data entry'!B66)</f>
        <v/>
      </c>
      <c r="B62" s="1" t="str">
        <f>IF('Data entry'!O66="","",'Data entry'!O66)</f>
        <v/>
      </c>
      <c r="C62" s="321" t="str">
        <f>IF('Data entry'!R66="","",'Data entry'!R66)</f>
        <v/>
      </c>
      <c r="D62" s="1" t="str">
        <f>IF('Data entry'!AO66="","",'Data entry'!AO66)</f>
        <v/>
      </c>
      <c r="E62" s="1" t="str">
        <f>IF('Data entry'!AP66="","",'Data entry'!AP66)</f>
        <v/>
      </c>
      <c r="F62" s="1" t="str">
        <f>IF('Data entry'!AQ66="","",'Data entry'!AQ66)</f>
        <v/>
      </c>
      <c r="G62" t="str">
        <f>IF($C62="","",(SUM(COUNTIFS('Data entry'!$R$6:$R$200,$C62,'Data entry'!$B$6:$B$200,{"Confirmed";"Probable"},'Data entry'!$AQ$6:$AQ$200,'Data Validation'!$V$2, 'Data entry'!$AP$6:$AP$200,'Data Validation'!$U$2, 'Data entry'!$BD$6:$BD$200,"&lt;&gt;*Negative*"))))</f>
        <v/>
      </c>
      <c r="H62" t="str">
        <f>IF($C62="","",(SUM(COUNTIFS('Data entry'!$R$6:$R$200,$C62,'Data entry'!$B$6:$B$200,{"Confirmed";"Probable"},'Data entry'!$AQ$6:$AQ$200,'Data Validation'!$V$2, 'Data entry'!$AP$6:$AP$200,'Data Validation'!$U$3, 'Data entry'!$BD$6:$BD$200,"&lt;&gt;*Negative*"))))</f>
        <v/>
      </c>
      <c r="I62" t="str">
        <f>IF($C62="","",(SUM(COUNTIFS('Data entry'!$R$6:$R$200,$C62,'Data entry'!$B$6:$B$200,{"Confirmed";"Probable"},'Data entry'!$AQ$6:$AQ$200,'Data Validation'!$V$2, 'Data entry'!$AP$6:$AP$200,'Data Validation'!$U$4, 'Data entry'!$BD$6:$BD$200,"&lt;&gt;*Negative*"))))</f>
        <v/>
      </c>
      <c r="J62" t="str">
        <f>IF($C62="","",(SUM(COUNTIFS('Data entry'!$R$6:$R$200,$C62,'Data entry'!$B$6:$B$200,{"Confirmed";"Probable"},'Data entry'!$AQ$6:$AQ$200,'Data Validation'!$V$2, 'Data entry'!$AP$6:$AP$200,'Data Validation'!$U$5, 'Data entry'!$BD$6:$BD$200,"&lt;&gt;*Negative*"))))</f>
        <v/>
      </c>
      <c r="K62" t="str">
        <f>IF($C62="","",(SUM(COUNTIFS('Data entry'!$R$6:$R$200,$C62,'Data entry'!$B$6:$B$200,{"Confirmed";"Probable"},'Data entry'!$AQ$6:$AQ$200,'Data Validation'!$V$2, 'Data entry'!$AP$6:$AP$200,'Data Validation'!$U$6, 'Data entry'!$BD$6:$BD$200,"&lt;&gt;*Negative*"))))</f>
        <v/>
      </c>
      <c r="L62" t="str">
        <f>IF($C62="","",(SUM(COUNTIFS('Data entry'!$R$6:$R$200,$C62,'Data entry'!$B$6:$B$200,{"Confirmed";"Probable"},'Data entry'!$AQ$6:$AQ$200,'Data Validation'!$V$3, 'Data entry'!$AP$6:$AP$200,'Data Validation'!$U$2, 'Data entry'!$BD$6:$BD$200,"&lt;&gt;*Negative*"))))</f>
        <v/>
      </c>
      <c r="M62" t="str">
        <f>IF($C62="","",(SUM(COUNTIFS('Data entry'!$R$6:$R$200,$C62,'Data entry'!$B$6:$B$200,{"Confirmed";"Probable"},'Data entry'!$AQ$6:$AQ$200,'Data Validation'!$V$3, 'Data entry'!$AP$6:$AP$200,'Data Validation'!$U$3, 'Data entry'!$BD$6:$BD$200,"&lt;&gt;*Negative*"))))</f>
        <v/>
      </c>
      <c r="N62" t="str">
        <f>IF($C62="","",(SUM(COUNTIFS('Data entry'!$R$6:$R$200,$C62,'Data entry'!$B$6:$B$200,{"Confirmed";"Probable"},'Data entry'!$AQ$6:$AQ$200,'Data Validation'!$V$3, 'Data entry'!$AP$6:$AP$200,'Data Validation'!$U$4, 'Data entry'!$BD$6:$BD$200,"&lt;&gt;*Negative*"))))</f>
        <v/>
      </c>
      <c r="O62" t="str">
        <f>IF($C62="","",(SUM(COUNTIFS('Data entry'!$R$6:$R$200,$C62,'Data entry'!$B$6:$B$200,{"Confirmed";"Probable"},'Data entry'!$AQ$6:$AQ$200,'Data Validation'!$V$3, 'Data entry'!$AP$6:$AP$200,'Data Validation'!$U$5, 'Data entry'!$BD$6:$BD$200,"&lt;&gt;*Negative*"))))</f>
        <v/>
      </c>
      <c r="P62" t="str">
        <f>IF($C62="","",(SUM(COUNTIFS('Data entry'!$R$6:$R$200,$C62,'Data entry'!$B$6:$B$200,{"Confirmed";"Probable"},'Data entry'!$AQ$6:$AQ$200,'Data Validation'!$V$3, 'Data entry'!$AP$6:$AP$200,'Data Validation'!$U$6, 'Data entry'!$BD$6:$BD$200,"&lt;&gt;*Negative*"))))</f>
        <v/>
      </c>
    </row>
    <row r="63" spans="1:16" ht="15.6" x14ac:dyDescent="0.35">
      <c r="A63" s="1" t="str">
        <f>IF('Data entry'!B67="","",'Data entry'!B67)</f>
        <v/>
      </c>
      <c r="B63" s="1" t="str">
        <f>IF('Data entry'!O67="","",'Data entry'!O67)</f>
        <v/>
      </c>
      <c r="C63" s="321" t="str">
        <f>IF('Data entry'!R67="","",'Data entry'!R67)</f>
        <v/>
      </c>
      <c r="D63" s="1" t="str">
        <f>IF('Data entry'!AO67="","",'Data entry'!AO67)</f>
        <v/>
      </c>
      <c r="E63" s="1" t="str">
        <f>IF('Data entry'!AP67="","",'Data entry'!AP67)</f>
        <v/>
      </c>
      <c r="F63" s="1" t="str">
        <f>IF('Data entry'!AQ67="","",'Data entry'!AQ67)</f>
        <v/>
      </c>
      <c r="G63" t="str">
        <f>IF($C63="","",(SUM(COUNTIFS('Data entry'!$R$6:$R$200,$C63,'Data entry'!$B$6:$B$200,{"Confirmed";"Probable"},'Data entry'!$AQ$6:$AQ$200,'Data Validation'!$V$2, 'Data entry'!$AP$6:$AP$200,'Data Validation'!$U$2, 'Data entry'!$BD$6:$BD$200,"&lt;&gt;*Negative*"))))</f>
        <v/>
      </c>
      <c r="H63" t="str">
        <f>IF($C63="","",(SUM(COUNTIFS('Data entry'!$R$6:$R$200,$C63,'Data entry'!$B$6:$B$200,{"Confirmed";"Probable"},'Data entry'!$AQ$6:$AQ$200,'Data Validation'!$V$2, 'Data entry'!$AP$6:$AP$200,'Data Validation'!$U$3, 'Data entry'!$BD$6:$BD$200,"&lt;&gt;*Negative*"))))</f>
        <v/>
      </c>
      <c r="I63" t="str">
        <f>IF($C63="","",(SUM(COUNTIFS('Data entry'!$R$6:$R$200,$C63,'Data entry'!$B$6:$B$200,{"Confirmed";"Probable"},'Data entry'!$AQ$6:$AQ$200,'Data Validation'!$V$2, 'Data entry'!$AP$6:$AP$200,'Data Validation'!$U$4, 'Data entry'!$BD$6:$BD$200,"&lt;&gt;*Negative*"))))</f>
        <v/>
      </c>
      <c r="J63" t="str">
        <f>IF($C63="","",(SUM(COUNTIFS('Data entry'!$R$6:$R$200,$C63,'Data entry'!$B$6:$B$200,{"Confirmed";"Probable"},'Data entry'!$AQ$6:$AQ$200,'Data Validation'!$V$2, 'Data entry'!$AP$6:$AP$200,'Data Validation'!$U$5, 'Data entry'!$BD$6:$BD$200,"&lt;&gt;*Negative*"))))</f>
        <v/>
      </c>
      <c r="K63" t="str">
        <f>IF($C63="","",(SUM(COUNTIFS('Data entry'!$R$6:$R$200,$C63,'Data entry'!$B$6:$B$200,{"Confirmed";"Probable"},'Data entry'!$AQ$6:$AQ$200,'Data Validation'!$V$2, 'Data entry'!$AP$6:$AP$200,'Data Validation'!$U$6, 'Data entry'!$BD$6:$BD$200,"&lt;&gt;*Negative*"))))</f>
        <v/>
      </c>
      <c r="L63" t="str">
        <f>IF($C63="","",(SUM(COUNTIFS('Data entry'!$R$6:$R$200,$C63,'Data entry'!$B$6:$B$200,{"Confirmed";"Probable"},'Data entry'!$AQ$6:$AQ$200,'Data Validation'!$V$3, 'Data entry'!$AP$6:$AP$200,'Data Validation'!$U$2, 'Data entry'!$BD$6:$BD$200,"&lt;&gt;*Negative*"))))</f>
        <v/>
      </c>
      <c r="M63" t="str">
        <f>IF($C63="","",(SUM(COUNTIFS('Data entry'!$R$6:$R$200,$C63,'Data entry'!$B$6:$B$200,{"Confirmed";"Probable"},'Data entry'!$AQ$6:$AQ$200,'Data Validation'!$V$3, 'Data entry'!$AP$6:$AP$200,'Data Validation'!$U$3, 'Data entry'!$BD$6:$BD$200,"&lt;&gt;*Negative*"))))</f>
        <v/>
      </c>
      <c r="N63" t="str">
        <f>IF($C63="","",(SUM(COUNTIFS('Data entry'!$R$6:$R$200,$C63,'Data entry'!$B$6:$B$200,{"Confirmed";"Probable"},'Data entry'!$AQ$6:$AQ$200,'Data Validation'!$V$3, 'Data entry'!$AP$6:$AP$200,'Data Validation'!$U$4, 'Data entry'!$BD$6:$BD$200,"&lt;&gt;*Negative*"))))</f>
        <v/>
      </c>
      <c r="O63" t="str">
        <f>IF($C63="","",(SUM(COUNTIFS('Data entry'!$R$6:$R$200,$C63,'Data entry'!$B$6:$B$200,{"Confirmed";"Probable"},'Data entry'!$AQ$6:$AQ$200,'Data Validation'!$V$3, 'Data entry'!$AP$6:$AP$200,'Data Validation'!$U$5, 'Data entry'!$BD$6:$BD$200,"&lt;&gt;*Negative*"))))</f>
        <v/>
      </c>
      <c r="P63" t="str">
        <f>IF($C63="","",(SUM(COUNTIFS('Data entry'!$R$6:$R$200,$C63,'Data entry'!$B$6:$B$200,{"Confirmed";"Probable"},'Data entry'!$AQ$6:$AQ$200,'Data Validation'!$V$3, 'Data entry'!$AP$6:$AP$200,'Data Validation'!$U$6, 'Data entry'!$BD$6:$BD$200,"&lt;&gt;*Negative*"))))</f>
        <v/>
      </c>
    </row>
    <row r="64" spans="1:16" ht="15.6" x14ac:dyDescent="0.35">
      <c r="A64" s="1" t="str">
        <f>IF('Data entry'!B68="","",'Data entry'!B68)</f>
        <v/>
      </c>
      <c r="B64" s="1" t="str">
        <f>IF('Data entry'!O68="","",'Data entry'!O68)</f>
        <v/>
      </c>
      <c r="C64" s="321" t="str">
        <f>IF('Data entry'!R68="","",'Data entry'!R68)</f>
        <v/>
      </c>
      <c r="D64" s="1" t="str">
        <f>IF('Data entry'!AO68="","",'Data entry'!AO68)</f>
        <v/>
      </c>
      <c r="E64" s="1" t="str">
        <f>IF('Data entry'!AP68="","",'Data entry'!AP68)</f>
        <v/>
      </c>
      <c r="F64" s="1" t="str">
        <f>IF('Data entry'!AQ68="","",'Data entry'!AQ68)</f>
        <v/>
      </c>
      <c r="G64" t="str">
        <f>IF($C64="","",(SUM(COUNTIFS('Data entry'!$R$6:$R$200,$C64,'Data entry'!$B$6:$B$200,{"Confirmed";"Probable"},'Data entry'!$AQ$6:$AQ$200,'Data Validation'!$V$2, 'Data entry'!$AP$6:$AP$200,'Data Validation'!$U$2, 'Data entry'!$BD$6:$BD$200,"&lt;&gt;*Negative*"))))</f>
        <v/>
      </c>
      <c r="H64" t="str">
        <f>IF($C64="","",(SUM(COUNTIFS('Data entry'!$R$6:$R$200,$C64,'Data entry'!$B$6:$B$200,{"Confirmed";"Probable"},'Data entry'!$AQ$6:$AQ$200,'Data Validation'!$V$2, 'Data entry'!$AP$6:$AP$200,'Data Validation'!$U$3, 'Data entry'!$BD$6:$BD$200,"&lt;&gt;*Negative*"))))</f>
        <v/>
      </c>
      <c r="I64" t="str">
        <f>IF($C64="","",(SUM(COUNTIFS('Data entry'!$R$6:$R$200,$C64,'Data entry'!$B$6:$B$200,{"Confirmed";"Probable"},'Data entry'!$AQ$6:$AQ$200,'Data Validation'!$V$2, 'Data entry'!$AP$6:$AP$200,'Data Validation'!$U$4, 'Data entry'!$BD$6:$BD$200,"&lt;&gt;*Negative*"))))</f>
        <v/>
      </c>
      <c r="J64" t="str">
        <f>IF($C64="","",(SUM(COUNTIFS('Data entry'!$R$6:$R$200,$C64,'Data entry'!$B$6:$B$200,{"Confirmed";"Probable"},'Data entry'!$AQ$6:$AQ$200,'Data Validation'!$V$2, 'Data entry'!$AP$6:$AP$200,'Data Validation'!$U$5, 'Data entry'!$BD$6:$BD$200,"&lt;&gt;*Negative*"))))</f>
        <v/>
      </c>
      <c r="K64" t="str">
        <f>IF($C64="","",(SUM(COUNTIFS('Data entry'!$R$6:$R$200,$C64,'Data entry'!$B$6:$B$200,{"Confirmed";"Probable"},'Data entry'!$AQ$6:$AQ$200,'Data Validation'!$V$2, 'Data entry'!$AP$6:$AP$200,'Data Validation'!$U$6, 'Data entry'!$BD$6:$BD$200,"&lt;&gt;*Negative*"))))</f>
        <v/>
      </c>
      <c r="L64" t="str">
        <f>IF($C64="","",(SUM(COUNTIFS('Data entry'!$R$6:$R$200,$C64,'Data entry'!$B$6:$B$200,{"Confirmed";"Probable"},'Data entry'!$AQ$6:$AQ$200,'Data Validation'!$V$3, 'Data entry'!$AP$6:$AP$200,'Data Validation'!$U$2, 'Data entry'!$BD$6:$BD$200,"&lt;&gt;*Negative*"))))</f>
        <v/>
      </c>
      <c r="M64" t="str">
        <f>IF($C64="","",(SUM(COUNTIFS('Data entry'!$R$6:$R$200,$C64,'Data entry'!$B$6:$B$200,{"Confirmed";"Probable"},'Data entry'!$AQ$6:$AQ$200,'Data Validation'!$V$3, 'Data entry'!$AP$6:$AP$200,'Data Validation'!$U$3, 'Data entry'!$BD$6:$BD$200,"&lt;&gt;*Negative*"))))</f>
        <v/>
      </c>
      <c r="N64" t="str">
        <f>IF($C64="","",(SUM(COUNTIFS('Data entry'!$R$6:$R$200,$C64,'Data entry'!$B$6:$B$200,{"Confirmed";"Probable"},'Data entry'!$AQ$6:$AQ$200,'Data Validation'!$V$3, 'Data entry'!$AP$6:$AP$200,'Data Validation'!$U$4, 'Data entry'!$BD$6:$BD$200,"&lt;&gt;*Negative*"))))</f>
        <v/>
      </c>
      <c r="O64" t="str">
        <f>IF($C64="","",(SUM(COUNTIFS('Data entry'!$R$6:$R$200,$C64,'Data entry'!$B$6:$B$200,{"Confirmed";"Probable"},'Data entry'!$AQ$6:$AQ$200,'Data Validation'!$V$3, 'Data entry'!$AP$6:$AP$200,'Data Validation'!$U$5, 'Data entry'!$BD$6:$BD$200,"&lt;&gt;*Negative*"))))</f>
        <v/>
      </c>
      <c r="P64" t="str">
        <f>IF($C64="","",(SUM(COUNTIFS('Data entry'!$R$6:$R$200,$C64,'Data entry'!$B$6:$B$200,{"Confirmed";"Probable"},'Data entry'!$AQ$6:$AQ$200,'Data Validation'!$V$3, 'Data entry'!$AP$6:$AP$200,'Data Validation'!$U$6, 'Data entry'!$BD$6:$BD$200,"&lt;&gt;*Negative*"))))</f>
        <v/>
      </c>
    </row>
    <row r="65" spans="1:16" ht="15.6" x14ac:dyDescent="0.35">
      <c r="A65" s="1" t="str">
        <f>IF('Data entry'!B69="","",'Data entry'!B69)</f>
        <v/>
      </c>
      <c r="B65" s="1" t="str">
        <f>IF('Data entry'!O69="","",'Data entry'!O69)</f>
        <v/>
      </c>
      <c r="C65" s="321" t="str">
        <f>IF('Data entry'!R69="","",'Data entry'!R69)</f>
        <v/>
      </c>
      <c r="D65" s="1" t="str">
        <f>IF('Data entry'!AO69="","",'Data entry'!AO69)</f>
        <v/>
      </c>
      <c r="E65" s="1" t="str">
        <f>IF('Data entry'!AP69="","",'Data entry'!AP69)</f>
        <v/>
      </c>
      <c r="F65" s="1" t="str">
        <f>IF('Data entry'!AQ69="","",'Data entry'!AQ69)</f>
        <v/>
      </c>
      <c r="G65" t="str">
        <f>IF($C65="","",(SUM(COUNTIFS('Data entry'!$R$6:$R$200,$C65,'Data entry'!$B$6:$B$200,{"Confirmed";"Probable"},'Data entry'!$AQ$6:$AQ$200,'Data Validation'!$V$2, 'Data entry'!$AP$6:$AP$200,'Data Validation'!$U$2, 'Data entry'!$BD$6:$BD$200,"&lt;&gt;*Negative*"))))</f>
        <v/>
      </c>
      <c r="H65" t="str">
        <f>IF($C65="","",(SUM(COUNTIFS('Data entry'!$R$6:$R$200,$C65,'Data entry'!$B$6:$B$200,{"Confirmed";"Probable"},'Data entry'!$AQ$6:$AQ$200,'Data Validation'!$V$2, 'Data entry'!$AP$6:$AP$200,'Data Validation'!$U$3, 'Data entry'!$BD$6:$BD$200,"&lt;&gt;*Negative*"))))</f>
        <v/>
      </c>
      <c r="I65" t="str">
        <f>IF($C65="","",(SUM(COUNTIFS('Data entry'!$R$6:$R$200,$C65,'Data entry'!$B$6:$B$200,{"Confirmed";"Probable"},'Data entry'!$AQ$6:$AQ$200,'Data Validation'!$V$2, 'Data entry'!$AP$6:$AP$200,'Data Validation'!$U$4, 'Data entry'!$BD$6:$BD$200,"&lt;&gt;*Negative*"))))</f>
        <v/>
      </c>
      <c r="J65" t="str">
        <f>IF($C65="","",(SUM(COUNTIFS('Data entry'!$R$6:$R$200,$C65,'Data entry'!$B$6:$B$200,{"Confirmed";"Probable"},'Data entry'!$AQ$6:$AQ$200,'Data Validation'!$V$2, 'Data entry'!$AP$6:$AP$200,'Data Validation'!$U$5, 'Data entry'!$BD$6:$BD$200,"&lt;&gt;*Negative*"))))</f>
        <v/>
      </c>
      <c r="K65" t="str">
        <f>IF($C65="","",(SUM(COUNTIFS('Data entry'!$R$6:$R$200,$C65,'Data entry'!$B$6:$B$200,{"Confirmed";"Probable"},'Data entry'!$AQ$6:$AQ$200,'Data Validation'!$V$2, 'Data entry'!$AP$6:$AP$200,'Data Validation'!$U$6, 'Data entry'!$BD$6:$BD$200,"&lt;&gt;*Negative*"))))</f>
        <v/>
      </c>
      <c r="L65" t="str">
        <f>IF($C65="","",(SUM(COUNTIFS('Data entry'!$R$6:$R$200,$C65,'Data entry'!$B$6:$B$200,{"Confirmed";"Probable"},'Data entry'!$AQ$6:$AQ$200,'Data Validation'!$V$3, 'Data entry'!$AP$6:$AP$200,'Data Validation'!$U$2, 'Data entry'!$BD$6:$BD$200,"&lt;&gt;*Negative*"))))</f>
        <v/>
      </c>
      <c r="M65" t="str">
        <f>IF($C65="","",(SUM(COUNTIFS('Data entry'!$R$6:$R$200,$C65,'Data entry'!$B$6:$B$200,{"Confirmed";"Probable"},'Data entry'!$AQ$6:$AQ$200,'Data Validation'!$V$3, 'Data entry'!$AP$6:$AP$200,'Data Validation'!$U$3, 'Data entry'!$BD$6:$BD$200,"&lt;&gt;*Negative*"))))</f>
        <v/>
      </c>
      <c r="N65" t="str">
        <f>IF($C65="","",(SUM(COUNTIFS('Data entry'!$R$6:$R$200,$C65,'Data entry'!$B$6:$B$200,{"Confirmed";"Probable"},'Data entry'!$AQ$6:$AQ$200,'Data Validation'!$V$3, 'Data entry'!$AP$6:$AP$200,'Data Validation'!$U$4, 'Data entry'!$BD$6:$BD$200,"&lt;&gt;*Negative*"))))</f>
        <v/>
      </c>
      <c r="O65" t="str">
        <f>IF($C65="","",(SUM(COUNTIFS('Data entry'!$R$6:$R$200,$C65,'Data entry'!$B$6:$B$200,{"Confirmed";"Probable"},'Data entry'!$AQ$6:$AQ$200,'Data Validation'!$V$3, 'Data entry'!$AP$6:$AP$200,'Data Validation'!$U$5, 'Data entry'!$BD$6:$BD$200,"&lt;&gt;*Negative*"))))</f>
        <v/>
      </c>
      <c r="P65" t="str">
        <f>IF($C65="","",(SUM(COUNTIFS('Data entry'!$R$6:$R$200,$C65,'Data entry'!$B$6:$B$200,{"Confirmed";"Probable"},'Data entry'!$AQ$6:$AQ$200,'Data Validation'!$V$3, 'Data entry'!$AP$6:$AP$200,'Data Validation'!$U$6, 'Data entry'!$BD$6:$BD$200,"&lt;&gt;*Negative*"))))</f>
        <v/>
      </c>
    </row>
    <row r="66" spans="1:16" ht="15.6" x14ac:dyDescent="0.35">
      <c r="A66" s="1" t="str">
        <f>IF('Data entry'!B70="","",'Data entry'!B70)</f>
        <v/>
      </c>
      <c r="B66" s="1" t="str">
        <f>IF('Data entry'!O70="","",'Data entry'!O70)</f>
        <v/>
      </c>
      <c r="C66" s="321" t="str">
        <f>IF('Data entry'!R70="","",'Data entry'!R70)</f>
        <v/>
      </c>
      <c r="D66" s="1" t="str">
        <f>IF('Data entry'!AO70="","",'Data entry'!AO70)</f>
        <v/>
      </c>
      <c r="E66" s="1" t="str">
        <f>IF('Data entry'!AP70="","",'Data entry'!AP70)</f>
        <v/>
      </c>
      <c r="F66" s="1" t="str">
        <f>IF('Data entry'!AQ70="","",'Data entry'!AQ70)</f>
        <v/>
      </c>
      <c r="G66" t="str">
        <f>IF($C66="","",(SUM(COUNTIFS('Data entry'!$R$6:$R$200,$C66,'Data entry'!$B$6:$B$200,{"Confirmed";"Probable"},'Data entry'!$AQ$6:$AQ$200,'Data Validation'!$V$2, 'Data entry'!$AP$6:$AP$200,'Data Validation'!$U$2, 'Data entry'!$BD$6:$BD$200,"&lt;&gt;*Negative*"))))</f>
        <v/>
      </c>
      <c r="H66" t="str">
        <f>IF($C66="","",(SUM(COUNTIFS('Data entry'!$R$6:$R$200,$C66,'Data entry'!$B$6:$B$200,{"Confirmed";"Probable"},'Data entry'!$AQ$6:$AQ$200,'Data Validation'!$V$2, 'Data entry'!$AP$6:$AP$200,'Data Validation'!$U$3, 'Data entry'!$BD$6:$BD$200,"&lt;&gt;*Negative*"))))</f>
        <v/>
      </c>
      <c r="I66" t="str">
        <f>IF($C66="","",(SUM(COUNTIFS('Data entry'!$R$6:$R$200,$C66,'Data entry'!$B$6:$B$200,{"Confirmed";"Probable"},'Data entry'!$AQ$6:$AQ$200,'Data Validation'!$V$2, 'Data entry'!$AP$6:$AP$200,'Data Validation'!$U$4, 'Data entry'!$BD$6:$BD$200,"&lt;&gt;*Negative*"))))</f>
        <v/>
      </c>
      <c r="J66" t="str">
        <f>IF($C66="","",(SUM(COUNTIFS('Data entry'!$R$6:$R$200,$C66,'Data entry'!$B$6:$B$200,{"Confirmed";"Probable"},'Data entry'!$AQ$6:$AQ$200,'Data Validation'!$V$2, 'Data entry'!$AP$6:$AP$200,'Data Validation'!$U$5, 'Data entry'!$BD$6:$BD$200,"&lt;&gt;*Negative*"))))</f>
        <v/>
      </c>
      <c r="K66" t="str">
        <f>IF($C66="","",(SUM(COUNTIFS('Data entry'!$R$6:$R$200,$C66,'Data entry'!$B$6:$B$200,{"Confirmed";"Probable"},'Data entry'!$AQ$6:$AQ$200,'Data Validation'!$V$2, 'Data entry'!$AP$6:$AP$200,'Data Validation'!$U$6, 'Data entry'!$BD$6:$BD$200,"&lt;&gt;*Negative*"))))</f>
        <v/>
      </c>
      <c r="L66" t="str">
        <f>IF($C66="","",(SUM(COUNTIFS('Data entry'!$R$6:$R$200,$C66,'Data entry'!$B$6:$B$200,{"Confirmed";"Probable"},'Data entry'!$AQ$6:$AQ$200,'Data Validation'!$V$3, 'Data entry'!$AP$6:$AP$200,'Data Validation'!$U$2, 'Data entry'!$BD$6:$BD$200,"&lt;&gt;*Negative*"))))</f>
        <v/>
      </c>
      <c r="M66" t="str">
        <f>IF($C66="","",(SUM(COUNTIFS('Data entry'!$R$6:$R$200,$C66,'Data entry'!$B$6:$B$200,{"Confirmed";"Probable"},'Data entry'!$AQ$6:$AQ$200,'Data Validation'!$V$3, 'Data entry'!$AP$6:$AP$200,'Data Validation'!$U$3, 'Data entry'!$BD$6:$BD$200,"&lt;&gt;*Negative*"))))</f>
        <v/>
      </c>
      <c r="N66" t="str">
        <f>IF($C66="","",(SUM(COUNTIFS('Data entry'!$R$6:$R$200,$C66,'Data entry'!$B$6:$B$200,{"Confirmed";"Probable"},'Data entry'!$AQ$6:$AQ$200,'Data Validation'!$V$3, 'Data entry'!$AP$6:$AP$200,'Data Validation'!$U$4, 'Data entry'!$BD$6:$BD$200,"&lt;&gt;*Negative*"))))</f>
        <v/>
      </c>
      <c r="O66" t="str">
        <f>IF($C66="","",(SUM(COUNTIFS('Data entry'!$R$6:$R$200,$C66,'Data entry'!$B$6:$B$200,{"Confirmed";"Probable"},'Data entry'!$AQ$6:$AQ$200,'Data Validation'!$V$3, 'Data entry'!$AP$6:$AP$200,'Data Validation'!$U$5, 'Data entry'!$BD$6:$BD$200,"&lt;&gt;*Negative*"))))</f>
        <v/>
      </c>
      <c r="P66" t="str">
        <f>IF($C66="","",(SUM(COUNTIFS('Data entry'!$R$6:$R$200,$C66,'Data entry'!$B$6:$B$200,{"Confirmed";"Probable"},'Data entry'!$AQ$6:$AQ$200,'Data Validation'!$V$3, 'Data entry'!$AP$6:$AP$200,'Data Validation'!$U$6, 'Data entry'!$BD$6:$BD$200,"&lt;&gt;*Negative*"))))</f>
        <v/>
      </c>
    </row>
    <row r="67" spans="1:16" ht="15.6" x14ac:dyDescent="0.35">
      <c r="A67" s="1" t="str">
        <f>IF('Data entry'!B71="","",'Data entry'!B71)</f>
        <v/>
      </c>
      <c r="B67" s="1" t="str">
        <f>IF('Data entry'!O71="","",'Data entry'!O71)</f>
        <v/>
      </c>
      <c r="C67" s="321" t="str">
        <f>IF('Data entry'!R71="","",'Data entry'!R71)</f>
        <v/>
      </c>
      <c r="D67" s="1" t="str">
        <f>IF('Data entry'!AO71="","",'Data entry'!AO71)</f>
        <v/>
      </c>
      <c r="E67" s="1" t="str">
        <f>IF('Data entry'!AP71="","",'Data entry'!AP71)</f>
        <v/>
      </c>
      <c r="F67" s="1" t="str">
        <f>IF('Data entry'!AQ71="","",'Data entry'!AQ71)</f>
        <v/>
      </c>
      <c r="G67" t="str">
        <f>IF($C67="","",(SUM(COUNTIFS('Data entry'!$R$6:$R$200,$C67,'Data entry'!$B$6:$B$200,{"Confirmed";"Probable"},'Data entry'!$AQ$6:$AQ$200,'Data Validation'!$V$2, 'Data entry'!$AP$6:$AP$200,'Data Validation'!$U$2, 'Data entry'!$BD$6:$BD$200,"&lt;&gt;*Negative*"))))</f>
        <v/>
      </c>
      <c r="H67" t="str">
        <f>IF($C67="","",(SUM(COUNTIFS('Data entry'!$R$6:$R$200,$C67,'Data entry'!$B$6:$B$200,{"Confirmed";"Probable"},'Data entry'!$AQ$6:$AQ$200,'Data Validation'!$V$2, 'Data entry'!$AP$6:$AP$200,'Data Validation'!$U$3, 'Data entry'!$BD$6:$BD$200,"&lt;&gt;*Negative*"))))</f>
        <v/>
      </c>
      <c r="I67" t="str">
        <f>IF($C67="","",(SUM(COUNTIFS('Data entry'!$R$6:$R$200,$C67,'Data entry'!$B$6:$B$200,{"Confirmed";"Probable"},'Data entry'!$AQ$6:$AQ$200,'Data Validation'!$V$2, 'Data entry'!$AP$6:$AP$200,'Data Validation'!$U$4, 'Data entry'!$BD$6:$BD$200,"&lt;&gt;*Negative*"))))</f>
        <v/>
      </c>
      <c r="J67" t="str">
        <f>IF($C67="","",(SUM(COUNTIFS('Data entry'!$R$6:$R$200,$C67,'Data entry'!$B$6:$B$200,{"Confirmed";"Probable"},'Data entry'!$AQ$6:$AQ$200,'Data Validation'!$V$2, 'Data entry'!$AP$6:$AP$200,'Data Validation'!$U$5, 'Data entry'!$BD$6:$BD$200,"&lt;&gt;*Negative*"))))</f>
        <v/>
      </c>
      <c r="K67" t="str">
        <f>IF($C67="","",(SUM(COUNTIFS('Data entry'!$R$6:$R$200,$C67,'Data entry'!$B$6:$B$200,{"Confirmed";"Probable"},'Data entry'!$AQ$6:$AQ$200,'Data Validation'!$V$2, 'Data entry'!$AP$6:$AP$200,'Data Validation'!$U$6, 'Data entry'!$BD$6:$BD$200,"&lt;&gt;*Negative*"))))</f>
        <v/>
      </c>
      <c r="L67" t="str">
        <f>IF($C67="","",(SUM(COUNTIFS('Data entry'!$R$6:$R$200,$C67,'Data entry'!$B$6:$B$200,{"Confirmed";"Probable"},'Data entry'!$AQ$6:$AQ$200,'Data Validation'!$V$3, 'Data entry'!$AP$6:$AP$200,'Data Validation'!$U$2, 'Data entry'!$BD$6:$BD$200,"&lt;&gt;*Negative*"))))</f>
        <v/>
      </c>
      <c r="M67" t="str">
        <f>IF($C67="","",(SUM(COUNTIFS('Data entry'!$R$6:$R$200,$C67,'Data entry'!$B$6:$B$200,{"Confirmed";"Probable"},'Data entry'!$AQ$6:$AQ$200,'Data Validation'!$V$3, 'Data entry'!$AP$6:$AP$200,'Data Validation'!$U$3, 'Data entry'!$BD$6:$BD$200,"&lt;&gt;*Negative*"))))</f>
        <v/>
      </c>
      <c r="N67" t="str">
        <f>IF($C67="","",(SUM(COUNTIFS('Data entry'!$R$6:$R$200,$C67,'Data entry'!$B$6:$B$200,{"Confirmed";"Probable"},'Data entry'!$AQ$6:$AQ$200,'Data Validation'!$V$3, 'Data entry'!$AP$6:$AP$200,'Data Validation'!$U$4, 'Data entry'!$BD$6:$BD$200,"&lt;&gt;*Negative*"))))</f>
        <v/>
      </c>
      <c r="O67" t="str">
        <f>IF($C67="","",(SUM(COUNTIFS('Data entry'!$R$6:$R$200,$C67,'Data entry'!$B$6:$B$200,{"Confirmed";"Probable"},'Data entry'!$AQ$6:$AQ$200,'Data Validation'!$V$3, 'Data entry'!$AP$6:$AP$200,'Data Validation'!$U$5, 'Data entry'!$BD$6:$BD$200,"&lt;&gt;*Negative*"))))</f>
        <v/>
      </c>
      <c r="P67" t="str">
        <f>IF($C67="","",(SUM(COUNTIFS('Data entry'!$R$6:$R$200,$C67,'Data entry'!$B$6:$B$200,{"Confirmed";"Probable"},'Data entry'!$AQ$6:$AQ$200,'Data Validation'!$V$3, 'Data entry'!$AP$6:$AP$200,'Data Validation'!$U$6, 'Data entry'!$BD$6:$BD$200,"&lt;&gt;*Negative*"))))</f>
        <v/>
      </c>
    </row>
    <row r="68" spans="1:16" ht="15.6" x14ac:dyDescent="0.35">
      <c r="A68" s="1" t="str">
        <f>IF('Data entry'!B72="","",'Data entry'!B72)</f>
        <v/>
      </c>
      <c r="B68" s="1" t="str">
        <f>IF('Data entry'!O72="","",'Data entry'!O72)</f>
        <v/>
      </c>
      <c r="C68" s="321" t="str">
        <f>IF('Data entry'!R72="","",'Data entry'!R72)</f>
        <v/>
      </c>
      <c r="D68" s="1" t="str">
        <f>IF('Data entry'!AO72="","",'Data entry'!AO72)</f>
        <v/>
      </c>
      <c r="E68" s="1" t="str">
        <f>IF('Data entry'!AP72="","",'Data entry'!AP72)</f>
        <v/>
      </c>
      <c r="F68" s="1" t="str">
        <f>IF('Data entry'!AQ72="","",'Data entry'!AQ72)</f>
        <v/>
      </c>
      <c r="G68" t="str">
        <f>IF($C68="","",(SUM(COUNTIFS('Data entry'!$R$6:$R$200,$C68,'Data entry'!$B$6:$B$200,{"Confirmed";"Probable"},'Data entry'!$AQ$6:$AQ$200,'Data Validation'!$V$2, 'Data entry'!$AP$6:$AP$200,'Data Validation'!$U$2, 'Data entry'!$BD$6:$BD$200,"&lt;&gt;*Negative*"))))</f>
        <v/>
      </c>
      <c r="H68" t="str">
        <f>IF($C68="","",(SUM(COUNTIFS('Data entry'!$R$6:$R$200,$C68,'Data entry'!$B$6:$B$200,{"Confirmed";"Probable"},'Data entry'!$AQ$6:$AQ$200,'Data Validation'!$V$2, 'Data entry'!$AP$6:$AP$200,'Data Validation'!$U$3, 'Data entry'!$BD$6:$BD$200,"&lt;&gt;*Negative*"))))</f>
        <v/>
      </c>
      <c r="I68" t="str">
        <f>IF($C68="","",(SUM(COUNTIFS('Data entry'!$R$6:$R$200,$C68,'Data entry'!$B$6:$B$200,{"Confirmed";"Probable"},'Data entry'!$AQ$6:$AQ$200,'Data Validation'!$V$2, 'Data entry'!$AP$6:$AP$200,'Data Validation'!$U$4, 'Data entry'!$BD$6:$BD$200,"&lt;&gt;*Negative*"))))</f>
        <v/>
      </c>
      <c r="J68" t="str">
        <f>IF($C68="","",(SUM(COUNTIFS('Data entry'!$R$6:$R$200,$C68,'Data entry'!$B$6:$B$200,{"Confirmed";"Probable"},'Data entry'!$AQ$6:$AQ$200,'Data Validation'!$V$2, 'Data entry'!$AP$6:$AP$200,'Data Validation'!$U$5, 'Data entry'!$BD$6:$BD$200,"&lt;&gt;*Negative*"))))</f>
        <v/>
      </c>
      <c r="K68" t="str">
        <f>IF($C68="","",(SUM(COUNTIFS('Data entry'!$R$6:$R$200,$C68,'Data entry'!$B$6:$B$200,{"Confirmed";"Probable"},'Data entry'!$AQ$6:$AQ$200,'Data Validation'!$V$2, 'Data entry'!$AP$6:$AP$200,'Data Validation'!$U$6, 'Data entry'!$BD$6:$BD$200,"&lt;&gt;*Negative*"))))</f>
        <v/>
      </c>
      <c r="L68" t="str">
        <f>IF($C68="","",(SUM(COUNTIFS('Data entry'!$R$6:$R$200,$C68,'Data entry'!$B$6:$B$200,{"Confirmed";"Probable"},'Data entry'!$AQ$6:$AQ$200,'Data Validation'!$V$3, 'Data entry'!$AP$6:$AP$200,'Data Validation'!$U$2, 'Data entry'!$BD$6:$BD$200,"&lt;&gt;*Negative*"))))</f>
        <v/>
      </c>
      <c r="M68" t="str">
        <f>IF($C68="","",(SUM(COUNTIFS('Data entry'!$R$6:$R$200,$C68,'Data entry'!$B$6:$B$200,{"Confirmed";"Probable"},'Data entry'!$AQ$6:$AQ$200,'Data Validation'!$V$3, 'Data entry'!$AP$6:$AP$200,'Data Validation'!$U$3, 'Data entry'!$BD$6:$BD$200,"&lt;&gt;*Negative*"))))</f>
        <v/>
      </c>
      <c r="N68" t="str">
        <f>IF($C68="","",(SUM(COUNTIFS('Data entry'!$R$6:$R$200,$C68,'Data entry'!$B$6:$B$200,{"Confirmed";"Probable"},'Data entry'!$AQ$6:$AQ$200,'Data Validation'!$V$3, 'Data entry'!$AP$6:$AP$200,'Data Validation'!$U$4, 'Data entry'!$BD$6:$BD$200,"&lt;&gt;*Negative*"))))</f>
        <v/>
      </c>
      <c r="O68" t="str">
        <f>IF($C68="","",(SUM(COUNTIFS('Data entry'!$R$6:$R$200,$C68,'Data entry'!$B$6:$B$200,{"Confirmed";"Probable"},'Data entry'!$AQ$6:$AQ$200,'Data Validation'!$V$3, 'Data entry'!$AP$6:$AP$200,'Data Validation'!$U$5, 'Data entry'!$BD$6:$BD$200,"&lt;&gt;*Negative*"))))</f>
        <v/>
      </c>
      <c r="P68" t="str">
        <f>IF($C68="","",(SUM(COUNTIFS('Data entry'!$R$6:$R$200,$C68,'Data entry'!$B$6:$B$200,{"Confirmed";"Probable"},'Data entry'!$AQ$6:$AQ$200,'Data Validation'!$V$3, 'Data entry'!$AP$6:$AP$200,'Data Validation'!$U$6, 'Data entry'!$BD$6:$BD$200,"&lt;&gt;*Negative*"))))</f>
        <v/>
      </c>
    </row>
    <row r="69" spans="1:16" ht="15.6" x14ac:dyDescent="0.35">
      <c r="A69" s="1" t="str">
        <f>IF('Data entry'!B73="","",'Data entry'!B73)</f>
        <v/>
      </c>
      <c r="B69" s="1" t="str">
        <f>IF('Data entry'!O73="","",'Data entry'!O73)</f>
        <v/>
      </c>
      <c r="C69" s="321" t="str">
        <f>IF('Data entry'!R73="","",'Data entry'!R73)</f>
        <v/>
      </c>
      <c r="D69" s="1" t="str">
        <f>IF('Data entry'!AO73="","",'Data entry'!AO73)</f>
        <v/>
      </c>
      <c r="E69" s="1" t="str">
        <f>IF('Data entry'!AP73="","",'Data entry'!AP73)</f>
        <v/>
      </c>
      <c r="F69" s="1" t="str">
        <f>IF('Data entry'!AQ73="","",'Data entry'!AQ73)</f>
        <v/>
      </c>
      <c r="G69" t="str">
        <f>IF($C69="","",(SUM(COUNTIFS('Data entry'!$R$6:$R$200,$C69,'Data entry'!$B$6:$B$200,{"Confirmed";"Probable"},'Data entry'!$AQ$6:$AQ$200,'Data Validation'!$V$2, 'Data entry'!$AP$6:$AP$200,'Data Validation'!$U$2, 'Data entry'!$BD$6:$BD$200,"&lt;&gt;*Negative*"))))</f>
        <v/>
      </c>
      <c r="H69" t="str">
        <f>IF($C69="","",(SUM(COUNTIFS('Data entry'!$R$6:$R$200,$C69,'Data entry'!$B$6:$B$200,{"Confirmed";"Probable"},'Data entry'!$AQ$6:$AQ$200,'Data Validation'!$V$2, 'Data entry'!$AP$6:$AP$200,'Data Validation'!$U$3, 'Data entry'!$BD$6:$BD$200,"&lt;&gt;*Negative*"))))</f>
        <v/>
      </c>
      <c r="I69" t="str">
        <f>IF($C69="","",(SUM(COUNTIFS('Data entry'!$R$6:$R$200,$C69,'Data entry'!$B$6:$B$200,{"Confirmed";"Probable"},'Data entry'!$AQ$6:$AQ$200,'Data Validation'!$V$2, 'Data entry'!$AP$6:$AP$200,'Data Validation'!$U$4, 'Data entry'!$BD$6:$BD$200,"&lt;&gt;*Negative*"))))</f>
        <v/>
      </c>
      <c r="J69" t="str">
        <f>IF($C69="","",(SUM(COUNTIFS('Data entry'!$R$6:$R$200,$C69,'Data entry'!$B$6:$B$200,{"Confirmed";"Probable"},'Data entry'!$AQ$6:$AQ$200,'Data Validation'!$V$2, 'Data entry'!$AP$6:$AP$200,'Data Validation'!$U$5, 'Data entry'!$BD$6:$BD$200,"&lt;&gt;*Negative*"))))</f>
        <v/>
      </c>
      <c r="K69" t="str">
        <f>IF($C69="","",(SUM(COUNTIFS('Data entry'!$R$6:$R$200,$C69,'Data entry'!$B$6:$B$200,{"Confirmed";"Probable"},'Data entry'!$AQ$6:$AQ$200,'Data Validation'!$V$2, 'Data entry'!$AP$6:$AP$200,'Data Validation'!$U$6, 'Data entry'!$BD$6:$BD$200,"&lt;&gt;*Negative*"))))</f>
        <v/>
      </c>
      <c r="L69" t="str">
        <f>IF($C69="","",(SUM(COUNTIFS('Data entry'!$R$6:$R$200,$C69,'Data entry'!$B$6:$B$200,{"Confirmed";"Probable"},'Data entry'!$AQ$6:$AQ$200,'Data Validation'!$V$3, 'Data entry'!$AP$6:$AP$200,'Data Validation'!$U$2, 'Data entry'!$BD$6:$BD$200,"&lt;&gt;*Negative*"))))</f>
        <v/>
      </c>
      <c r="M69" t="str">
        <f>IF($C69="","",(SUM(COUNTIFS('Data entry'!$R$6:$R$200,$C69,'Data entry'!$B$6:$B$200,{"Confirmed";"Probable"},'Data entry'!$AQ$6:$AQ$200,'Data Validation'!$V$3, 'Data entry'!$AP$6:$AP$200,'Data Validation'!$U$3, 'Data entry'!$BD$6:$BD$200,"&lt;&gt;*Negative*"))))</f>
        <v/>
      </c>
      <c r="N69" t="str">
        <f>IF($C69="","",(SUM(COUNTIFS('Data entry'!$R$6:$R$200,$C69,'Data entry'!$B$6:$B$200,{"Confirmed";"Probable"},'Data entry'!$AQ$6:$AQ$200,'Data Validation'!$V$3, 'Data entry'!$AP$6:$AP$200,'Data Validation'!$U$4, 'Data entry'!$BD$6:$BD$200,"&lt;&gt;*Negative*"))))</f>
        <v/>
      </c>
      <c r="O69" t="str">
        <f>IF($C69="","",(SUM(COUNTIFS('Data entry'!$R$6:$R$200,$C69,'Data entry'!$B$6:$B$200,{"Confirmed";"Probable"},'Data entry'!$AQ$6:$AQ$200,'Data Validation'!$V$3, 'Data entry'!$AP$6:$AP$200,'Data Validation'!$U$5, 'Data entry'!$BD$6:$BD$200,"&lt;&gt;*Negative*"))))</f>
        <v/>
      </c>
      <c r="P69" t="str">
        <f>IF($C69="","",(SUM(COUNTIFS('Data entry'!$R$6:$R$200,$C69,'Data entry'!$B$6:$B$200,{"Confirmed";"Probable"},'Data entry'!$AQ$6:$AQ$200,'Data Validation'!$V$3, 'Data entry'!$AP$6:$AP$200,'Data Validation'!$U$6, 'Data entry'!$BD$6:$BD$200,"&lt;&gt;*Negative*"))))</f>
        <v/>
      </c>
    </row>
    <row r="70" spans="1:16" ht="15.6" x14ac:dyDescent="0.35">
      <c r="A70" s="1" t="str">
        <f>IF('Data entry'!B74="","",'Data entry'!B74)</f>
        <v/>
      </c>
      <c r="B70" s="1" t="str">
        <f>IF('Data entry'!O74="","",'Data entry'!O74)</f>
        <v/>
      </c>
      <c r="C70" s="321" t="str">
        <f>IF('Data entry'!R74="","",'Data entry'!R74)</f>
        <v/>
      </c>
      <c r="D70" s="1" t="str">
        <f>IF('Data entry'!AO74="","",'Data entry'!AO74)</f>
        <v/>
      </c>
      <c r="E70" s="1" t="str">
        <f>IF('Data entry'!AP74="","",'Data entry'!AP74)</f>
        <v/>
      </c>
      <c r="F70" s="1" t="str">
        <f>IF('Data entry'!AQ74="","",'Data entry'!AQ74)</f>
        <v/>
      </c>
      <c r="G70" t="str">
        <f>IF($C70="","",(SUM(COUNTIFS('Data entry'!$R$6:$R$200,$C70,'Data entry'!$B$6:$B$200,{"Confirmed";"Probable"},'Data entry'!$AQ$6:$AQ$200,'Data Validation'!$V$2, 'Data entry'!$AP$6:$AP$200,'Data Validation'!$U$2, 'Data entry'!$BD$6:$BD$200,"&lt;&gt;*Negative*"))))</f>
        <v/>
      </c>
      <c r="H70" t="str">
        <f>IF($C70="","",(SUM(COUNTIFS('Data entry'!$R$6:$R$200,$C70,'Data entry'!$B$6:$B$200,{"Confirmed";"Probable"},'Data entry'!$AQ$6:$AQ$200,'Data Validation'!$V$2, 'Data entry'!$AP$6:$AP$200,'Data Validation'!$U$3, 'Data entry'!$BD$6:$BD$200,"&lt;&gt;*Negative*"))))</f>
        <v/>
      </c>
      <c r="I70" t="str">
        <f>IF($C70="","",(SUM(COUNTIFS('Data entry'!$R$6:$R$200,$C70,'Data entry'!$B$6:$B$200,{"Confirmed";"Probable"},'Data entry'!$AQ$6:$AQ$200,'Data Validation'!$V$2, 'Data entry'!$AP$6:$AP$200,'Data Validation'!$U$4, 'Data entry'!$BD$6:$BD$200,"&lt;&gt;*Negative*"))))</f>
        <v/>
      </c>
      <c r="J70" t="str">
        <f>IF($C70="","",(SUM(COUNTIFS('Data entry'!$R$6:$R$200,$C70,'Data entry'!$B$6:$B$200,{"Confirmed";"Probable"},'Data entry'!$AQ$6:$AQ$200,'Data Validation'!$V$2, 'Data entry'!$AP$6:$AP$200,'Data Validation'!$U$5, 'Data entry'!$BD$6:$BD$200,"&lt;&gt;*Negative*"))))</f>
        <v/>
      </c>
      <c r="K70" t="str">
        <f>IF($C70="","",(SUM(COUNTIFS('Data entry'!$R$6:$R$200,$C70,'Data entry'!$B$6:$B$200,{"Confirmed";"Probable"},'Data entry'!$AQ$6:$AQ$200,'Data Validation'!$V$2, 'Data entry'!$AP$6:$AP$200,'Data Validation'!$U$6, 'Data entry'!$BD$6:$BD$200,"&lt;&gt;*Negative*"))))</f>
        <v/>
      </c>
      <c r="L70" t="str">
        <f>IF($C70="","",(SUM(COUNTIFS('Data entry'!$R$6:$R$200,$C70,'Data entry'!$B$6:$B$200,{"Confirmed";"Probable"},'Data entry'!$AQ$6:$AQ$200,'Data Validation'!$V$3, 'Data entry'!$AP$6:$AP$200,'Data Validation'!$U$2, 'Data entry'!$BD$6:$BD$200,"&lt;&gt;*Negative*"))))</f>
        <v/>
      </c>
      <c r="M70" t="str">
        <f>IF($C70="","",(SUM(COUNTIFS('Data entry'!$R$6:$R$200,$C70,'Data entry'!$B$6:$B$200,{"Confirmed";"Probable"},'Data entry'!$AQ$6:$AQ$200,'Data Validation'!$V$3, 'Data entry'!$AP$6:$AP$200,'Data Validation'!$U$3, 'Data entry'!$BD$6:$BD$200,"&lt;&gt;*Negative*"))))</f>
        <v/>
      </c>
      <c r="N70" t="str">
        <f>IF($C70="","",(SUM(COUNTIFS('Data entry'!$R$6:$R$200,$C70,'Data entry'!$B$6:$B$200,{"Confirmed";"Probable"},'Data entry'!$AQ$6:$AQ$200,'Data Validation'!$V$3, 'Data entry'!$AP$6:$AP$200,'Data Validation'!$U$4, 'Data entry'!$BD$6:$BD$200,"&lt;&gt;*Negative*"))))</f>
        <v/>
      </c>
      <c r="O70" t="str">
        <f>IF($C70="","",(SUM(COUNTIFS('Data entry'!$R$6:$R$200,$C70,'Data entry'!$B$6:$B$200,{"Confirmed";"Probable"},'Data entry'!$AQ$6:$AQ$200,'Data Validation'!$V$3, 'Data entry'!$AP$6:$AP$200,'Data Validation'!$U$5, 'Data entry'!$BD$6:$BD$200,"&lt;&gt;*Negative*"))))</f>
        <v/>
      </c>
      <c r="P70" t="str">
        <f>IF($C70="","",(SUM(COUNTIFS('Data entry'!$R$6:$R$200,$C70,'Data entry'!$B$6:$B$200,{"Confirmed";"Probable"},'Data entry'!$AQ$6:$AQ$200,'Data Validation'!$V$3, 'Data entry'!$AP$6:$AP$200,'Data Validation'!$U$6, 'Data entry'!$BD$6:$BD$200,"&lt;&gt;*Negative*"))))</f>
        <v/>
      </c>
    </row>
    <row r="71" spans="1:16" ht="15.6" x14ac:dyDescent="0.35">
      <c r="A71" s="1" t="str">
        <f>IF('Data entry'!B75="","",'Data entry'!B75)</f>
        <v/>
      </c>
      <c r="B71" s="1" t="str">
        <f>IF('Data entry'!O75="","",'Data entry'!O75)</f>
        <v/>
      </c>
      <c r="C71" s="321" t="str">
        <f>IF('Data entry'!R75="","",'Data entry'!R75)</f>
        <v/>
      </c>
      <c r="D71" s="1" t="str">
        <f>IF('Data entry'!AO75="","",'Data entry'!AO75)</f>
        <v/>
      </c>
      <c r="E71" s="1" t="str">
        <f>IF('Data entry'!AP75="","",'Data entry'!AP75)</f>
        <v/>
      </c>
      <c r="F71" s="1" t="str">
        <f>IF('Data entry'!AQ75="","",'Data entry'!AQ75)</f>
        <v/>
      </c>
      <c r="G71" t="str">
        <f>IF($C71="","",(SUM(COUNTIFS('Data entry'!$R$6:$R$200,$C71,'Data entry'!$B$6:$B$200,{"Confirmed";"Probable"},'Data entry'!$AQ$6:$AQ$200,'Data Validation'!$V$2, 'Data entry'!$AP$6:$AP$200,'Data Validation'!$U$2, 'Data entry'!$BD$6:$BD$200,"&lt;&gt;*Negative*"))))</f>
        <v/>
      </c>
      <c r="H71" t="str">
        <f>IF($C71="","",(SUM(COUNTIFS('Data entry'!$R$6:$R$200,$C71,'Data entry'!$B$6:$B$200,{"Confirmed";"Probable"},'Data entry'!$AQ$6:$AQ$200,'Data Validation'!$V$2, 'Data entry'!$AP$6:$AP$200,'Data Validation'!$U$3, 'Data entry'!$BD$6:$BD$200,"&lt;&gt;*Negative*"))))</f>
        <v/>
      </c>
      <c r="I71" t="str">
        <f>IF($C71="","",(SUM(COUNTIFS('Data entry'!$R$6:$R$200,$C71,'Data entry'!$B$6:$B$200,{"Confirmed";"Probable"},'Data entry'!$AQ$6:$AQ$200,'Data Validation'!$V$2, 'Data entry'!$AP$6:$AP$200,'Data Validation'!$U$4, 'Data entry'!$BD$6:$BD$200,"&lt;&gt;*Negative*"))))</f>
        <v/>
      </c>
      <c r="J71" t="str">
        <f>IF($C71="","",(SUM(COUNTIFS('Data entry'!$R$6:$R$200,$C71,'Data entry'!$B$6:$B$200,{"Confirmed";"Probable"},'Data entry'!$AQ$6:$AQ$200,'Data Validation'!$V$2, 'Data entry'!$AP$6:$AP$200,'Data Validation'!$U$5, 'Data entry'!$BD$6:$BD$200,"&lt;&gt;*Negative*"))))</f>
        <v/>
      </c>
      <c r="K71" t="str">
        <f>IF($C71="","",(SUM(COUNTIFS('Data entry'!$R$6:$R$200,$C71,'Data entry'!$B$6:$B$200,{"Confirmed";"Probable"},'Data entry'!$AQ$6:$AQ$200,'Data Validation'!$V$2, 'Data entry'!$AP$6:$AP$200,'Data Validation'!$U$6, 'Data entry'!$BD$6:$BD$200,"&lt;&gt;*Negative*"))))</f>
        <v/>
      </c>
      <c r="L71" t="str">
        <f>IF($C71="","",(SUM(COUNTIFS('Data entry'!$R$6:$R$200,$C71,'Data entry'!$B$6:$B$200,{"Confirmed";"Probable"},'Data entry'!$AQ$6:$AQ$200,'Data Validation'!$V$3, 'Data entry'!$AP$6:$AP$200,'Data Validation'!$U$2, 'Data entry'!$BD$6:$BD$200,"&lt;&gt;*Negative*"))))</f>
        <v/>
      </c>
      <c r="M71" t="str">
        <f>IF($C71="","",(SUM(COUNTIFS('Data entry'!$R$6:$R$200,$C71,'Data entry'!$B$6:$B$200,{"Confirmed";"Probable"},'Data entry'!$AQ$6:$AQ$200,'Data Validation'!$V$3, 'Data entry'!$AP$6:$AP$200,'Data Validation'!$U$3, 'Data entry'!$BD$6:$BD$200,"&lt;&gt;*Negative*"))))</f>
        <v/>
      </c>
      <c r="N71" t="str">
        <f>IF($C71="","",(SUM(COUNTIFS('Data entry'!$R$6:$R$200,$C71,'Data entry'!$B$6:$B$200,{"Confirmed";"Probable"},'Data entry'!$AQ$6:$AQ$200,'Data Validation'!$V$3, 'Data entry'!$AP$6:$AP$200,'Data Validation'!$U$4, 'Data entry'!$BD$6:$BD$200,"&lt;&gt;*Negative*"))))</f>
        <v/>
      </c>
      <c r="O71" t="str">
        <f>IF($C71="","",(SUM(COUNTIFS('Data entry'!$R$6:$R$200,$C71,'Data entry'!$B$6:$B$200,{"Confirmed";"Probable"},'Data entry'!$AQ$6:$AQ$200,'Data Validation'!$V$3, 'Data entry'!$AP$6:$AP$200,'Data Validation'!$U$5, 'Data entry'!$BD$6:$BD$200,"&lt;&gt;*Negative*"))))</f>
        <v/>
      </c>
      <c r="P71" t="str">
        <f>IF($C71="","",(SUM(COUNTIFS('Data entry'!$R$6:$R$200,$C71,'Data entry'!$B$6:$B$200,{"Confirmed";"Probable"},'Data entry'!$AQ$6:$AQ$200,'Data Validation'!$V$3, 'Data entry'!$AP$6:$AP$200,'Data Validation'!$U$6, 'Data entry'!$BD$6:$BD$200,"&lt;&gt;*Negative*"))))</f>
        <v/>
      </c>
    </row>
    <row r="72" spans="1:16" ht="15.6" x14ac:dyDescent="0.35">
      <c r="A72" s="1" t="str">
        <f>IF('Data entry'!B76="","",'Data entry'!B76)</f>
        <v/>
      </c>
      <c r="B72" s="1" t="str">
        <f>IF('Data entry'!O76="","",'Data entry'!O76)</f>
        <v/>
      </c>
      <c r="C72" s="321" t="str">
        <f>IF('Data entry'!R76="","",'Data entry'!R76)</f>
        <v/>
      </c>
      <c r="D72" s="1" t="str">
        <f>IF('Data entry'!AO76="","",'Data entry'!AO76)</f>
        <v/>
      </c>
      <c r="E72" s="1" t="str">
        <f>IF('Data entry'!AP76="","",'Data entry'!AP76)</f>
        <v/>
      </c>
      <c r="F72" s="1" t="str">
        <f>IF('Data entry'!AQ76="","",'Data entry'!AQ76)</f>
        <v/>
      </c>
      <c r="G72" t="str">
        <f>IF($C72="","",(SUM(COUNTIFS('Data entry'!$R$6:$R$200,$C72,'Data entry'!$B$6:$B$200,{"Confirmed";"Probable"},'Data entry'!$AQ$6:$AQ$200,'Data Validation'!$V$2, 'Data entry'!$AP$6:$AP$200,'Data Validation'!$U$2, 'Data entry'!$BD$6:$BD$200,"&lt;&gt;*Negative*"))))</f>
        <v/>
      </c>
      <c r="H72" t="str">
        <f>IF($C72="","",(SUM(COUNTIFS('Data entry'!$R$6:$R$200,$C72,'Data entry'!$B$6:$B$200,{"Confirmed";"Probable"},'Data entry'!$AQ$6:$AQ$200,'Data Validation'!$V$2, 'Data entry'!$AP$6:$AP$200,'Data Validation'!$U$3, 'Data entry'!$BD$6:$BD$200,"&lt;&gt;*Negative*"))))</f>
        <v/>
      </c>
      <c r="I72" t="str">
        <f>IF($C72="","",(SUM(COUNTIFS('Data entry'!$R$6:$R$200,$C72,'Data entry'!$B$6:$B$200,{"Confirmed";"Probable"},'Data entry'!$AQ$6:$AQ$200,'Data Validation'!$V$2, 'Data entry'!$AP$6:$AP$200,'Data Validation'!$U$4, 'Data entry'!$BD$6:$BD$200,"&lt;&gt;*Negative*"))))</f>
        <v/>
      </c>
      <c r="J72" t="str">
        <f>IF($C72="","",(SUM(COUNTIFS('Data entry'!$R$6:$R$200,$C72,'Data entry'!$B$6:$B$200,{"Confirmed";"Probable"},'Data entry'!$AQ$6:$AQ$200,'Data Validation'!$V$2, 'Data entry'!$AP$6:$AP$200,'Data Validation'!$U$5, 'Data entry'!$BD$6:$BD$200,"&lt;&gt;*Negative*"))))</f>
        <v/>
      </c>
      <c r="K72" t="str">
        <f>IF($C72="","",(SUM(COUNTIFS('Data entry'!$R$6:$R$200,$C72,'Data entry'!$B$6:$B$200,{"Confirmed";"Probable"},'Data entry'!$AQ$6:$AQ$200,'Data Validation'!$V$2, 'Data entry'!$AP$6:$AP$200,'Data Validation'!$U$6, 'Data entry'!$BD$6:$BD$200,"&lt;&gt;*Negative*"))))</f>
        <v/>
      </c>
      <c r="L72" t="str">
        <f>IF($C72="","",(SUM(COUNTIFS('Data entry'!$R$6:$R$200,$C72,'Data entry'!$B$6:$B$200,{"Confirmed";"Probable"},'Data entry'!$AQ$6:$AQ$200,'Data Validation'!$V$3, 'Data entry'!$AP$6:$AP$200,'Data Validation'!$U$2, 'Data entry'!$BD$6:$BD$200,"&lt;&gt;*Negative*"))))</f>
        <v/>
      </c>
      <c r="M72" t="str">
        <f>IF($C72="","",(SUM(COUNTIFS('Data entry'!$R$6:$R$200,$C72,'Data entry'!$B$6:$B$200,{"Confirmed";"Probable"},'Data entry'!$AQ$6:$AQ$200,'Data Validation'!$V$3, 'Data entry'!$AP$6:$AP$200,'Data Validation'!$U$3, 'Data entry'!$BD$6:$BD$200,"&lt;&gt;*Negative*"))))</f>
        <v/>
      </c>
      <c r="N72" t="str">
        <f>IF($C72="","",(SUM(COUNTIFS('Data entry'!$R$6:$R$200,$C72,'Data entry'!$B$6:$B$200,{"Confirmed";"Probable"},'Data entry'!$AQ$6:$AQ$200,'Data Validation'!$V$3, 'Data entry'!$AP$6:$AP$200,'Data Validation'!$U$4, 'Data entry'!$BD$6:$BD$200,"&lt;&gt;*Negative*"))))</f>
        <v/>
      </c>
      <c r="O72" t="str">
        <f>IF($C72="","",(SUM(COUNTIFS('Data entry'!$R$6:$R$200,$C72,'Data entry'!$B$6:$B$200,{"Confirmed";"Probable"},'Data entry'!$AQ$6:$AQ$200,'Data Validation'!$V$3, 'Data entry'!$AP$6:$AP$200,'Data Validation'!$U$5, 'Data entry'!$BD$6:$BD$200,"&lt;&gt;*Negative*"))))</f>
        <v/>
      </c>
      <c r="P72" t="str">
        <f>IF($C72="","",(SUM(COUNTIFS('Data entry'!$R$6:$R$200,$C72,'Data entry'!$B$6:$B$200,{"Confirmed";"Probable"},'Data entry'!$AQ$6:$AQ$200,'Data Validation'!$V$3, 'Data entry'!$AP$6:$AP$200,'Data Validation'!$U$6, 'Data entry'!$BD$6:$BD$200,"&lt;&gt;*Negative*"))))</f>
        <v/>
      </c>
    </row>
    <row r="73" spans="1:16" ht="15.6" x14ac:dyDescent="0.35">
      <c r="A73" s="1" t="str">
        <f>IF('Data entry'!B77="","",'Data entry'!B77)</f>
        <v/>
      </c>
      <c r="B73" s="1" t="str">
        <f>IF('Data entry'!O77="","",'Data entry'!O77)</f>
        <v/>
      </c>
      <c r="C73" s="321" t="str">
        <f>IF('Data entry'!R77="","",'Data entry'!R77)</f>
        <v/>
      </c>
      <c r="D73" s="1" t="str">
        <f>IF('Data entry'!AO77="","",'Data entry'!AO77)</f>
        <v/>
      </c>
      <c r="E73" s="1" t="str">
        <f>IF('Data entry'!AP77="","",'Data entry'!AP77)</f>
        <v/>
      </c>
      <c r="F73" s="1" t="str">
        <f>IF('Data entry'!AQ77="","",'Data entry'!AQ77)</f>
        <v/>
      </c>
      <c r="G73" t="str">
        <f>IF($C73="","",(SUM(COUNTIFS('Data entry'!$R$6:$R$200,$C73,'Data entry'!$B$6:$B$200,{"Confirmed";"Probable"},'Data entry'!$AQ$6:$AQ$200,'Data Validation'!$V$2, 'Data entry'!$AP$6:$AP$200,'Data Validation'!$U$2, 'Data entry'!$BD$6:$BD$200,"&lt;&gt;*Negative*"))))</f>
        <v/>
      </c>
      <c r="H73" t="str">
        <f>IF($C73="","",(SUM(COUNTIFS('Data entry'!$R$6:$R$200,$C73,'Data entry'!$B$6:$B$200,{"Confirmed";"Probable"},'Data entry'!$AQ$6:$AQ$200,'Data Validation'!$V$2, 'Data entry'!$AP$6:$AP$200,'Data Validation'!$U$3, 'Data entry'!$BD$6:$BD$200,"&lt;&gt;*Negative*"))))</f>
        <v/>
      </c>
      <c r="I73" t="str">
        <f>IF($C73="","",(SUM(COUNTIFS('Data entry'!$R$6:$R$200,$C73,'Data entry'!$B$6:$B$200,{"Confirmed";"Probable"},'Data entry'!$AQ$6:$AQ$200,'Data Validation'!$V$2, 'Data entry'!$AP$6:$AP$200,'Data Validation'!$U$4, 'Data entry'!$BD$6:$BD$200,"&lt;&gt;*Negative*"))))</f>
        <v/>
      </c>
      <c r="J73" t="str">
        <f>IF($C73="","",(SUM(COUNTIFS('Data entry'!$R$6:$R$200,$C73,'Data entry'!$B$6:$B$200,{"Confirmed";"Probable"},'Data entry'!$AQ$6:$AQ$200,'Data Validation'!$V$2, 'Data entry'!$AP$6:$AP$200,'Data Validation'!$U$5, 'Data entry'!$BD$6:$BD$200,"&lt;&gt;*Negative*"))))</f>
        <v/>
      </c>
      <c r="K73" t="str">
        <f>IF($C73="","",(SUM(COUNTIFS('Data entry'!$R$6:$R$200,$C73,'Data entry'!$B$6:$B$200,{"Confirmed";"Probable"},'Data entry'!$AQ$6:$AQ$200,'Data Validation'!$V$2, 'Data entry'!$AP$6:$AP$200,'Data Validation'!$U$6, 'Data entry'!$BD$6:$BD$200,"&lt;&gt;*Negative*"))))</f>
        <v/>
      </c>
      <c r="L73" t="str">
        <f>IF($C73="","",(SUM(COUNTIFS('Data entry'!$R$6:$R$200,$C73,'Data entry'!$B$6:$B$200,{"Confirmed";"Probable"},'Data entry'!$AQ$6:$AQ$200,'Data Validation'!$V$3, 'Data entry'!$AP$6:$AP$200,'Data Validation'!$U$2, 'Data entry'!$BD$6:$BD$200,"&lt;&gt;*Negative*"))))</f>
        <v/>
      </c>
      <c r="M73" t="str">
        <f>IF($C73="","",(SUM(COUNTIFS('Data entry'!$R$6:$R$200,$C73,'Data entry'!$B$6:$B$200,{"Confirmed";"Probable"},'Data entry'!$AQ$6:$AQ$200,'Data Validation'!$V$3, 'Data entry'!$AP$6:$AP$200,'Data Validation'!$U$3, 'Data entry'!$BD$6:$BD$200,"&lt;&gt;*Negative*"))))</f>
        <v/>
      </c>
      <c r="N73" t="str">
        <f>IF($C73="","",(SUM(COUNTIFS('Data entry'!$R$6:$R$200,$C73,'Data entry'!$B$6:$B$200,{"Confirmed";"Probable"},'Data entry'!$AQ$6:$AQ$200,'Data Validation'!$V$3, 'Data entry'!$AP$6:$AP$200,'Data Validation'!$U$4, 'Data entry'!$BD$6:$BD$200,"&lt;&gt;*Negative*"))))</f>
        <v/>
      </c>
      <c r="O73" t="str">
        <f>IF($C73="","",(SUM(COUNTIFS('Data entry'!$R$6:$R$200,$C73,'Data entry'!$B$6:$B$200,{"Confirmed";"Probable"},'Data entry'!$AQ$6:$AQ$200,'Data Validation'!$V$3, 'Data entry'!$AP$6:$AP$200,'Data Validation'!$U$5, 'Data entry'!$BD$6:$BD$200,"&lt;&gt;*Negative*"))))</f>
        <v/>
      </c>
      <c r="P73" t="str">
        <f>IF($C73="","",(SUM(COUNTIFS('Data entry'!$R$6:$R$200,$C73,'Data entry'!$B$6:$B$200,{"Confirmed";"Probable"},'Data entry'!$AQ$6:$AQ$200,'Data Validation'!$V$3, 'Data entry'!$AP$6:$AP$200,'Data Validation'!$U$6, 'Data entry'!$BD$6:$BD$200,"&lt;&gt;*Negative*"))))</f>
        <v/>
      </c>
    </row>
    <row r="74" spans="1:16" ht="15.6" x14ac:dyDescent="0.35">
      <c r="A74" s="1" t="str">
        <f>IF('Data entry'!B78="","",'Data entry'!B78)</f>
        <v/>
      </c>
      <c r="B74" s="1" t="str">
        <f>IF('Data entry'!O78="","",'Data entry'!O78)</f>
        <v/>
      </c>
      <c r="C74" s="321" t="str">
        <f>IF('Data entry'!R78="","",'Data entry'!R78)</f>
        <v/>
      </c>
      <c r="D74" s="1" t="str">
        <f>IF('Data entry'!AO78="","",'Data entry'!AO78)</f>
        <v/>
      </c>
      <c r="E74" s="1" t="str">
        <f>IF('Data entry'!AP78="","",'Data entry'!AP78)</f>
        <v/>
      </c>
      <c r="F74" s="1" t="str">
        <f>IF('Data entry'!AQ78="","",'Data entry'!AQ78)</f>
        <v/>
      </c>
      <c r="G74" t="str">
        <f>IF($C74="","",(SUM(COUNTIFS('Data entry'!$R$6:$R$200,$C74,'Data entry'!$B$6:$B$200,{"Confirmed";"Probable"},'Data entry'!$AQ$6:$AQ$200,'Data Validation'!$V$2, 'Data entry'!$AP$6:$AP$200,'Data Validation'!$U$2, 'Data entry'!$BD$6:$BD$200,"&lt;&gt;*Negative*"))))</f>
        <v/>
      </c>
      <c r="H74" t="str">
        <f>IF($C74="","",(SUM(COUNTIFS('Data entry'!$R$6:$R$200,$C74,'Data entry'!$B$6:$B$200,{"Confirmed";"Probable"},'Data entry'!$AQ$6:$AQ$200,'Data Validation'!$V$2, 'Data entry'!$AP$6:$AP$200,'Data Validation'!$U$3, 'Data entry'!$BD$6:$BD$200,"&lt;&gt;*Negative*"))))</f>
        <v/>
      </c>
      <c r="I74" t="str">
        <f>IF($C74="","",(SUM(COUNTIFS('Data entry'!$R$6:$R$200,$C74,'Data entry'!$B$6:$B$200,{"Confirmed";"Probable"},'Data entry'!$AQ$6:$AQ$200,'Data Validation'!$V$2, 'Data entry'!$AP$6:$AP$200,'Data Validation'!$U$4, 'Data entry'!$BD$6:$BD$200,"&lt;&gt;*Negative*"))))</f>
        <v/>
      </c>
      <c r="J74" t="str">
        <f>IF($C74="","",(SUM(COUNTIFS('Data entry'!$R$6:$R$200,$C74,'Data entry'!$B$6:$B$200,{"Confirmed";"Probable"},'Data entry'!$AQ$6:$AQ$200,'Data Validation'!$V$2, 'Data entry'!$AP$6:$AP$200,'Data Validation'!$U$5, 'Data entry'!$BD$6:$BD$200,"&lt;&gt;*Negative*"))))</f>
        <v/>
      </c>
      <c r="K74" t="str">
        <f>IF($C74="","",(SUM(COUNTIFS('Data entry'!$R$6:$R$200,$C74,'Data entry'!$B$6:$B$200,{"Confirmed";"Probable"},'Data entry'!$AQ$6:$AQ$200,'Data Validation'!$V$2, 'Data entry'!$AP$6:$AP$200,'Data Validation'!$U$6, 'Data entry'!$BD$6:$BD$200,"&lt;&gt;*Negative*"))))</f>
        <v/>
      </c>
      <c r="L74" t="str">
        <f>IF($C74="","",(SUM(COUNTIFS('Data entry'!$R$6:$R$200,$C74,'Data entry'!$B$6:$B$200,{"Confirmed";"Probable"},'Data entry'!$AQ$6:$AQ$200,'Data Validation'!$V$3, 'Data entry'!$AP$6:$AP$200,'Data Validation'!$U$2, 'Data entry'!$BD$6:$BD$200,"&lt;&gt;*Negative*"))))</f>
        <v/>
      </c>
      <c r="M74" t="str">
        <f>IF($C74="","",(SUM(COUNTIFS('Data entry'!$R$6:$R$200,$C74,'Data entry'!$B$6:$B$200,{"Confirmed";"Probable"},'Data entry'!$AQ$6:$AQ$200,'Data Validation'!$V$3, 'Data entry'!$AP$6:$AP$200,'Data Validation'!$U$3, 'Data entry'!$BD$6:$BD$200,"&lt;&gt;*Negative*"))))</f>
        <v/>
      </c>
      <c r="N74" t="str">
        <f>IF($C74="","",(SUM(COUNTIFS('Data entry'!$R$6:$R$200,$C74,'Data entry'!$B$6:$B$200,{"Confirmed";"Probable"},'Data entry'!$AQ$6:$AQ$200,'Data Validation'!$V$3, 'Data entry'!$AP$6:$AP$200,'Data Validation'!$U$4, 'Data entry'!$BD$6:$BD$200,"&lt;&gt;*Negative*"))))</f>
        <v/>
      </c>
      <c r="O74" t="str">
        <f>IF($C74="","",(SUM(COUNTIFS('Data entry'!$R$6:$R$200,$C74,'Data entry'!$B$6:$B$200,{"Confirmed";"Probable"},'Data entry'!$AQ$6:$AQ$200,'Data Validation'!$V$3, 'Data entry'!$AP$6:$AP$200,'Data Validation'!$U$5, 'Data entry'!$BD$6:$BD$200,"&lt;&gt;*Negative*"))))</f>
        <v/>
      </c>
      <c r="P74" t="str">
        <f>IF($C74="","",(SUM(COUNTIFS('Data entry'!$R$6:$R$200,$C74,'Data entry'!$B$6:$B$200,{"Confirmed";"Probable"},'Data entry'!$AQ$6:$AQ$200,'Data Validation'!$V$3, 'Data entry'!$AP$6:$AP$200,'Data Validation'!$U$6, 'Data entry'!$BD$6:$BD$200,"&lt;&gt;*Negative*"))))</f>
        <v/>
      </c>
    </row>
    <row r="75" spans="1:16" ht="15.6" x14ac:dyDescent="0.35">
      <c r="A75" s="1" t="str">
        <f>IF('Data entry'!B79="","",'Data entry'!B79)</f>
        <v/>
      </c>
      <c r="B75" s="1" t="str">
        <f>IF('Data entry'!O79="","",'Data entry'!O79)</f>
        <v/>
      </c>
      <c r="C75" s="321" t="str">
        <f>IF('Data entry'!R79="","",'Data entry'!R79)</f>
        <v/>
      </c>
      <c r="D75" s="1" t="str">
        <f>IF('Data entry'!AO79="","",'Data entry'!AO79)</f>
        <v/>
      </c>
      <c r="E75" s="1" t="str">
        <f>IF('Data entry'!AP79="","",'Data entry'!AP79)</f>
        <v/>
      </c>
      <c r="F75" s="1" t="str">
        <f>IF('Data entry'!AQ79="","",'Data entry'!AQ79)</f>
        <v/>
      </c>
      <c r="G75" t="str">
        <f>IF($C75="","",(SUM(COUNTIFS('Data entry'!$R$6:$R$200,$C75,'Data entry'!$B$6:$B$200,{"Confirmed";"Probable"},'Data entry'!$AQ$6:$AQ$200,'Data Validation'!$V$2, 'Data entry'!$AP$6:$AP$200,'Data Validation'!$U$2, 'Data entry'!$BD$6:$BD$200,"&lt;&gt;*Negative*"))))</f>
        <v/>
      </c>
      <c r="H75" t="str">
        <f>IF($C75="","",(SUM(COUNTIFS('Data entry'!$R$6:$R$200,$C75,'Data entry'!$B$6:$B$200,{"Confirmed";"Probable"},'Data entry'!$AQ$6:$AQ$200,'Data Validation'!$V$2, 'Data entry'!$AP$6:$AP$200,'Data Validation'!$U$3, 'Data entry'!$BD$6:$BD$200,"&lt;&gt;*Negative*"))))</f>
        <v/>
      </c>
      <c r="I75" t="str">
        <f>IF($C75="","",(SUM(COUNTIFS('Data entry'!$R$6:$R$200,$C75,'Data entry'!$B$6:$B$200,{"Confirmed";"Probable"},'Data entry'!$AQ$6:$AQ$200,'Data Validation'!$V$2, 'Data entry'!$AP$6:$AP$200,'Data Validation'!$U$4, 'Data entry'!$BD$6:$BD$200,"&lt;&gt;*Negative*"))))</f>
        <v/>
      </c>
      <c r="J75" t="str">
        <f>IF($C75="","",(SUM(COUNTIFS('Data entry'!$R$6:$R$200,$C75,'Data entry'!$B$6:$B$200,{"Confirmed";"Probable"},'Data entry'!$AQ$6:$AQ$200,'Data Validation'!$V$2, 'Data entry'!$AP$6:$AP$200,'Data Validation'!$U$5, 'Data entry'!$BD$6:$BD$200,"&lt;&gt;*Negative*"))))</f>
        <v/>
      </c>
      <c r="K75" t="str">
        <f>IF($C75="","",(SUM(COUNTIFS('Data entry'!$R$6:$R$200,$C75,'Data entry'!$B$6:$B$200,{"Confirmed";"Probable"},'Data entry'!$AQ$6:$AQ$200,'Data Validation'!$V$2, 'Data entry'!$AP$6:$AP$200,'Data Validation'!$U$6, 'Data entry'!$BD$6:$BD$200,"&lt;&gt;*Negative*"))))</f>
        <v/>
      </c>
      <c r="L75" t="str">
        <f>IF($C75="","",(SUM(COUNTIFS('Data entry'!$R$6:$R$200,$C75,'Data entry'!$B$6:$B$200,{"Confirmed";"Probable"},'Data entry'!$AQ$6:$AQ$200,'Data Validation'!$V$3, 'Data entry'!$AP$6:$AP$200,'Data Validation'!$U$2, 'Data entry'!$BD$6:$BD$200,"&lt;&gt;*Negative*"))))</f>
        <v/>
      </c>
      <c r="M75" t="str">
        <f>IF($C75="","",(SUM(COUNTIFS('Data entry'!$R$6:$R$200,$C75,'Data entry'!$B$6:$B$200,{"Confirmed";"Probable"},'Data entry'!$AQ$6:$AQ$200,'Data Validation'!$V$3, 'Data entry'!$AP$6:$AP$200,'Data Validation'!$U$3, 'Data entry'!$BD$6:$BD$200,"&lt;&gt;*Negative*"))))</f>
        <v/>
      </c>
      <c r="N75" t="str">
        <f>IF($C75="","",(SUM(COUNTIFS('Data entry'!$R$6:$R$200,$C75,'Data entry'!$B$6:$B$200,{"Confirmed";"Probable"},'Data entry'!$AQ$6:$AQ$200,'Data Validation'!$V$3, 'Data entry'!$AP$6:$AP$200,'Data Validation'!$U$4, 'Data entry'!$BD$6:$BD$200,"&lt;&gt;*Negative*"))))</f>
        <v/>
      </c>
      <c r="O75" t="str">
        <f>IF($C75="","",(SUM(COUNTIFS('Data entry'!$R$6:$R$200,$C75,'Data entry'!$B$6:$B$200,{"Confirmed";"Probable"},'Data entry'!$AQ$6:$AQ$200,'Data Validation'!$V$3, 'Data entry'!$AP$6:$AP$200,'Data Validation'!$U$5, 'Data entry'!$BD$6:$BD$200,"&lt;&gt;*Negative*"))))</f>
        <v/>
      </c>
      <c r="P75" t="str">
        <f>IF($C75="","",(SUM(COUNTIFS('Data entry'!$R$6:$R$200,$C75,'Data entry'!$B$6:$B$200,{"Confirmed";"Probable"},'Data entry'!$AQ$6:$AQ$200,'Data Validation'!$V$3, 'Data entry'!$AP$6:$AP$200,'Data Validation'!$U$6, 'Data entry'!$BD$6:$BD$200,"&lt;&gt;*Negative*"))))</f>
        <v/>
      </c>
    </row>
    <row r="76" spans="1:16" ht="15.6" x14ac:dyDescent="0.35">
      <c r="A76" s="1" t="str">
        <f>IF('Data entry'!B80="","",'Data entry'!B80)</f>
        <v/>
      </c>
      <c r="B76" s="1" t="str">
        <f>IF('Data entry'!O80="","",'Data entry'!O80)</f>
        <v/>
      </c>
      <c r="C76" s="321" t="str">
        <f>IF('Data entry'!R80="","",'Data entry'!R80)</f>
        <v/>
      </c>
      <c r="D76" s="1" t="str">
        <f>IF('Data entry'!AO80="","",'Data entry'!AO80)</f>
        <v/>
      </c>
      <c r="E76" s="1" t="str">
        <f>IF('Data entry'!AP80="","",'Data entry'!AP80)</f>
        <v/>
      </c>
      <c r="F76" s="1" t="str">
        <f>IF('Data entry'!AQ80="","",'Data entry'!AQ80)</f>
        <v/>
      </c>
      <c r="G76" t="str">
        <f>IF($C76="","",(SUM(COUNTIFS('Data entry'!$R$6:$R$200,$C76,'Data entry'!$B$6:$B$200,{"Confirmed";"Probable"},'Data entry'!$AQ$6:$AQ$200,'Data Validation'!$V$2, 'Data entry'!$AP$6:$AP$200,'Data Validation'!$U$2, 'Data entry'!$BD$6:$BD$200,"&lt;&gt;*Negative*"))))</f>
        <v/>
      </c>
      <c r="H76" t="str">
        <f>IF($C76="","",(SUM(COUNTIFS('Data entry'!$R$6:$R$200,$C76,'Data entry'!$B$6:$B$200,{"Confirmed";"Probable"},'Data entry'!$AQ$6:$AQ$200,'Data Validation'!$V$2, 'Data entry'!$AP$6:$AP$200,'Data Validation'!$U$3, 'Data entry'!$BD$6:$BD$200,"&lt;&gt;*Negative*"))))</f>
        <v/>
      </c>
      <c r="I76" t="str">
        <f>IF($C76="","",(SUM(COUNTIFS('Data entry'!$R$6:$R$200,$C76,'Data entry'!$B$6:$B$200,{"Confirmed";"Probable"},'Data entry'!$AQ$6:$AQ$200,'Data Validation'!$V$2, 'Data entry'!$AP$6:$AP$200,'Data Validation'!$U$4, 'Data entry'!$BD$6:$BD$200,"&lt;&gt;*Negative*"))))</f>
        <v/>
      </c>
      <c r="J76" t="str">
        <f>IF($C76="","",(SUM(COUNTIFS('Data entry'!$R$6:$R$200,$C76,'Data entry'!$B$6:$B$200,{"Confirmed";"Probable"},'Data entry'!$AQ$6:$AQ$200,'Data Validation'!$V$2, 'Data entry'!$AP$6:$AP$200,'Data Validation'!$U$5, 'Data entry'!$BD$6:$BD$200,"&lt;&gt;*Negative*"))))</f>
        <v/>
      </c>
      <c r="K76" t="str">
        <f>IF($C76="","",(SUM(COUNTIFS('Data entry'!$R$6:$R$200,$C76,'Data entry'!$B$6:$B$200,{"Confirmed";"Probable"},'Data entry'!$AQ$6:$AQ$200,'Data Validation'!$V$2, 'Data entry'!$AP$6:$AP$200,'Data Validation'!$U$6, 'Data entry'!$BD$6:$BD$200,"&lt;&gt;*Negative*"))))</f>
        <v/>
      </c>
      <c r="L76" t="str">
        <f>IF($C76="","",(SUM(COUNTIFS('Data entry'!$R$6:$R$200,$C76,'Data entry'!$B$6:$B$200,{"Confirmed";"Probable"},'Data entry'!$AQ$6:$AQ$200,'Data Validation'!$V$3, 'Data entry'!$AP$6:$AP$200,'Data Validation'!$U$2, 'Data entry'!$BD$6:$BD$200,"&lt;&gt;*Negative*"))))</f>
        <v/>
      </c>
      <c r="M76" t="str">
        <f>IF($C76="","",(SUM(COUNTIFS('Data entry'!$R$6:$R$200,$C76,'Data entry'!$B$6:$B$200,{"Confirmed";"Probable"},'Data entry'!$AQ$6:$AQ$200,'Data Validation'!$V$3, 'Data entry'!$AP$6:$AP$200,'Data Validation'!$U$3, 'Data entry'!$BD$6:$BD$200,"&lt;&gt;*Negative*"))))</f>
        <v/>
      </c>
      <c r="N76" t="str">
        <f>IF($C76="","",(SUM(COUNTIFS('Data entry'!$R$6:$R$200,$C76,'Data entry'!$B$6:$B$200,{"Confirmed";"Probable"},'Data entry'!$AQ$6:$AQ$200,'Data Validation'!$V$3, 'Data entry'!$AP$6:$AP$200,'Data Validation'!$U$4, 'Data entry'!$BD$6:$BD$200,"&lt;&gt;*Negative*"))))</f>
        <v/>
      </c>
      <c r="O76" t="str">
        <f>IF($C76="","",(SUM(COUNTIFS('Data entry'!$R$6:$R$200,$C76,'Data entry'!$B$6:$B$200,{"Confirmed";"Probable"},'Data entry'!$AQ$6:$AQ$200,'Data Validation'!$V$3, 'Data entry'!$AP$6:$AP$200,'Data Validation'!$U$5, 'Data entry'!$BD$6:$BD$200,"&lt;&gt;*Negative*"))))</f>
        <v/>
      </c>
      <c r="P76" t="str">
        <f>IF($C76="","",(SUM(COUNTIFS('Data entry'!$R$6:$R$200,$C76,'Data entry'!$B$6:$B$200,{"Confirmed";"Probable"},'Data entry'!$AQ$6:$AQ$200,'Data Validation'!$V$3, 'Data entry'!$AP$6:$AP$200,'Data Validation'!$U$6, 'Data entry'!$BD$6:$BD$200,"&lt;&gt;*Negative*"))))</f>
        <v/>
      </c>
    </row>
    <row r="77" spans="1:16" ht="15.6" x14ac:dyDescent="0.35">
      <c r="A77" s="1" t="str">
        <f>IF('Data entry'!B81="","",'Data entry'!B81)</f>
        <v/>
      </c>
      <c r="B77" s="1" t="str">
        <f>IF('Data entry'!O81="","",'Data entry'!O81)</f>
        <v/>
      </c>
      <c r="C77" s="321" t="str">
        <f>IF('Data entry'!R81="","",'Data entry'!R81)</f>
        <v/>
      </c>
      <c r="D77" s="1" t="str">
        <f>IF('Data entry'!AO81="","",'Data entry'!AO81)</f>
        <v/>
      </c>
      <c r="E77" s="1" t="str">
        <f>IF('Data entry'!AP81="","",'Data entry'!AP81)</f>
        <v/>
      </c>
      <c r="F77" s="1" t="str">
        <f>IF('Data entry'!AQ81="","",'Data entry'!AQ81)</f>
        <v/>
      </c>
      <c r="G77" t="str">
        <f>IF($C77="","",(SUM(COUNTIFS('Data entry'!$R$6:$R$200,$C77,'Data entry'!$B$6:$B$200,{"Confirmed";"Probable"},'Data entry'!$AQ$6:$AQ$200,'Data Validation'!$V$2, 'Data entry'!$AP$6:$AP$200,'Data Validation'!$U$2, 'Data entry'!$BD$6:$BD$200,"&lt;&gt;*Negative*"))))</f>
        <v/>
      </c>
      <c r="H77" t="str">
        <f>IF($C77="","",(SUM(COUNTIFS('Data entry'!$R$6:$R$200,$C77,'Data entry'!$B$6:$B$200,{"Confirmed";"Probable"},'Data entry'!$AQ$6:$AQ$200,'Data Validation'!$V$2, 'Data entry'!$AP$6:$AP$200,'Data Validation'!$U$3, 'Data entry'!$BD$6:$BD$200,"&lt;&gt;*Negative*"))))</f>
        <v/>
      </c>
      <c r="I77" t="str">
        <f>IF($C77="","",(SUM(COUNTIFS('Data entry'!$R$6:$R$200,$C77,'Data entry'!$B$6:$B$200,{"Confirmed";"Probable"},'Data entry'!$AQ$6:$AQ$200,'Data Validation'!$V$2, 'Data entry'!$AP$6:$AP$200,'Data Validation'!$U$4, 'Data entry'!$BD$6:$BD$200,"&lt;&gt;*Negative*"))))</f>
        <v/>
      </c>
      <c r="J77" t="str">
        <f>IF($C77="","",(SUM(COUNTIFS('Data entry'!$R$6:$R$200,$C77,'Data entry'!$B$6:$B$200,{"Confirmed";"Probable"},'Data entry'!$AQ$6:$AQ$200,'Data Validation'!$V$2, 'Data entry'!$AP$6:$AP$200,'Data Validation'!$U$5, 'Data entry'!$BD$6:$BD$200,"&lt;&gt;*Negative*"))))</f>
        <v/>
      </c>
      <c r="K77" t="str">
        <f>IF($C77="","",(SUM(COUNTIFS('Data entry'!$R$6:$R$200,$C77,'Data entry'!$B$6:$B$200,{"Confirmed";"Probable"},'Data entry'!$AQ$6:$AQ$200,'Data Validation'!$V$2, 'Data entry'!$AP$6:$AP$200,'Data Validation'!$U$6, 'Data entry'!$BD$6:$BD$200,"&lt;&gt;*Negative*"))))</f>
        <v/>
      </c>
      <c r="L77" t="str">
        <f>IF($C77="","",(SUM(COUNTIFS('Data entry'!$R$6:$R$200,$C77,'Data entry'!$B$6:$B$200,{"Confirmed";"Probable"},'Data entry'!$AQ$6:$AQ$200,'Data Validation'!$V$3, 'Data entry'!$AP$6:$AP$200,'Data Validation'!$U$2, 'Data entry'!$BD$6:$BD$200,"&lt;&gt;*Negative*"))))</f>
        <v/>
      </c>
      <c r="M77" t="str">
        <f>IF($C77="","",(SUM(COUNTIFS('Data entry'!$R$6:$R$200,$C77,'Data entry'!$B$6:$B$200,{"Confirmed";"Probable"},'Data entry'!$AQ$6:$AQ$200,'Data Validation'!$V$3, 'Data entry'!$AP$6:$AP$200,'Data Validation'!$U$3, 'Data entry'!$BD$6:$BD$200,"&lt;&gt;*Negative*"))))</f>
        <v/>
      </c>
      <c r="N77" t="str">
        <f>IF($C77="","",(SUM(COUNTIFS('Data entry'!$R$6:$R$200,$C77,'Data entry'!$B$6:$B$200,{"Confirmed";"Probable"},'Data entry'!$AQ$6:$AQ$200,'Data Validation'!$V$3, 'Data entry'!$AP$6:$AP$200,'Data Validation'!$U$4, 'Data entry'!$BD$6:$BD$200,"&lt;&gt;*Negative*"))))</f>
        <v/>
      </c>
      <c r="O77" t="str">
        <f>IF($C77="","",(SUM(COUNTIFS('Data entry'!$R$6:$R$200,$C77,'Data entry'!$B$6:$B$200,{"Confirmed";"Probable"},'Data entry'!$AQ$6:$AQ$200,'Data Validation'!$V$3, 'Data entry'!$AP$6:$AP$200,'Data Validation'!$U$5, 'Data entry'!$BD$6:$BD$200,"&lt;&gt;*Negative*"))))</f>
        <v/>
      </c>
      <c r="P77" t="str">
        <f>IF($C77="","",(SUM(COUNTIFS('Data entry'!$R$6:$R$200,$C77,'Data entry'!$B$6:$B$200,{"Confirmed";"Probable"},'Data entry'!$AQ$6:$AQ$200,'Data Validation'!$V$3, 'Data entry'!$AP$6:$AP$200,'Data Validation'!$U$6, 'Data entry'!$BD$6:$BD$200,"&lt;&gt;*Negative*"))))</f>
        <v/>
      </c>
    </row>
    <row r="78" spans="1:16" ht="15.6" x14ac:dyDescent="0.35">
      <c r="A78" s="1" t="str">
        <f>IF('Data entry'!B82="","",'Data entry'!B82)</f>
        <v/>
      </c>
      <c r="B78" s="1" t="str">
        <f>IF('Data entry'!O82="","",'Data entry'!O82)</f>
        <v/>
      </c>
      <c r="C78" s="321" t="str">
        <f>IF('Data entry'!R82="","",'Data entry'!R82)</f>
        <v/>
      </c>
      <c r="D78" s="1" t="str">
        <f>IF('Data entry'!AO82="","",'Data entry'!AO82)</f>
        <v/>
      </c>
      <c r="E78" s="1" t="str">
        <f>IF('Data entry'!AP82="","",'Data entry'!AP82)</f>
        <v/>
      </c>
      <c r="F78" s="1" t="str">
        <f>IF('Data entry'!AQ82="","",'Data entry'!AQ82)</f>
        <v/>
      </c>
      <c r="G78" t="str">
        <f>IF($C78="","",(SUM(COUNTIFS('Data entry'!$R$6:$R$200,$C78,'Data entry'!$B$6:$B$200,{"Confirmed";"Probable"},'Data entry'!$AQ$6:$AQ$200,'Data Validation'!$V$2, 'Data entry'!$AP$6:$AP$200,'Data Validation'!$U$2, 'Data entry'!$BD$6:$BD$200,"&lt;&gt;*Negative*"))))</f>
        <v/>
      </c>
      <c r="H78" t="str">
        <f>IF($C78="","",(SUM(COUNTIFS('Data entry'!$R$6:$R$200,$C78,'Data entry'!$B$6:$B$200,{"Confirmed";"Probable"},'Data entry'!$AQ$6:$AQ$200,'Data Validation'!$V$2, 'Data entry'!$AP$6:$AP$200,'Data Validation'!$U$3, 'Data entry'!$BD$6:$BD$200,"&lt;&gt;*Negative*"))))</f>
        <v/>
      </c>
      <c r="I78" t="str">
        <f>IF($C78="","",(SUM(COUNTIFS('Data entry'!$R$6:$R$200,$C78,'Data entry'!$B$6:$B$200,{"Confirmed";"Probable"},'Data entry'!$AQ$6:$AQ$200,'Data Validation'!$V$2, 'Data entry'!$AP$6:$AP$200,'Data Validation'!$U$4, 'Data entry'!$BD$6:$BD$200,"&lt;&gt;*Negative*"))))</f>
        <v/>
      </c>
      <c r="J78" t="str">
        <f>IF($C78="","",(SUM(COUNTIFS('Data entry'!$R$6:$R$200,$C78,'Data entry'!$B$6:$B$200,{"Confirmed";"Probable"},'Data entry'!$AQ$6:$AQ$200,'Data Validation'!$V$2, 'Data entry'!$AP$6:$AP$200,'Data Validation'!$U$5, 'Data entry'!$BD$6:$BD$200,"&lt;&gt;*Negative*"))))</f>
        <v/>
      </c>
      <c r="K78" t="str">
        <f>IF($C78="","",(SUM(COUNTIFS('Data entry'!$R$6:$R$200,$C78,'Data entry'!$B$6:$B$200,{"Confirmed";"Probable"},'Data entry'!$AQ$6:$AQ$200,'Data Validation'!$V$2, 'Data entry'!$AP$6:$AP$200,'Data Validation'!$U$6, 'Data entry'!$BD$6:$BD$200,"&lt;&gt;*Negative*"))))</f>
        <v/>
      </c>
      <c r="L78" t="str">
        <f>IF($C78="","",(SUM(COUNTIFS('Data entry'!$R$6:$R$200,$C78,'Data entry'!$B$6:$B$200,{"Confirmed";"Probable"},'Data entry'!$AQ$6:$AQ$200,'Data Validation'!$V$3, 'Data entry'!$AP$6:$AP$200,'Data Validation'!$U$2, 'Data entry'!$BD$6:$BD$200,"&lt;&gt;*Negative*"))))</f>
        <v/>
      </c>
      <c r="M78" t="str">
        <f>IF($C78="","",(SUM(COUNTIFS('Data entry'!$R$6:$R$200,$C78,'Data entry'!$B$6:$B$200,{"Confirmed";"Probable"},'Data entry'!$AQ$6:$AQ$200,'Data Validation'!$V$3, 'Data entry'!$AP$6:$AP$200,'Data Validation'!$U$3, 'Data entry'!$BD$6:$BD$200,"&lt;&gt;*Negative*"))))</f>
        <v/>
      </c>
      <c r="N78" t="str">
        <f>IF($C78="","",(SUM(COUNTIFS('Data entry'!$R$6:$R$200,$C78,'Data entry'!$B$6:$B$200,{"Confirmed";"Probable"},'Data entry'!$AQ$6:$AQ$200,'Data Validation'!$V$3, 'Data entry'!$AP$6:$AP$200,'Data Validation'!$U$4, 'Data entry'!$BD$6:$BD$200,"&lt;&gt;*Negative*"))))</f>
        <v/>
      </c>
      <c r="O78" t="str">
        <f>IF($C78="","",(SUM(COUNTIFS('Data entry'!$R$6:$R$200,$C78,'Data entry'!$B$6:$B$200,{"Confirmed";"Probable"},'Data entry'!$AQ$6:$AQ$200,'Data Validation'!$V$3, 'Data entry'!$AP$6:$AP$200,'Data Validation'!$U$5, 'Data entry'!$BD$6:$BD$200,"&lt;&gt;*Negative*"))))</f>
        <v/>
      </c>
      <c r="P78" t="str">
        <f>IF($C78="","",(SUM(COUNTIFS('Data entry'!$R$6:$R$200,$C78,'Data entry'!$B$6:$B$200,{"Confirmed";"Probable"},'Data entry'!$AQ$6:$AQ$200,'Data Validation'!$V$3, 'Data entry'!$AP$6:$AP$200,'Data Validation'!$U$6, 'Data entry'!$BD$6:$BD$200,"&lt;&gt;*Negative*"))))</f>
        <v/>
      </c>
    </row>
    <row r="79" spans="1:16" ht="15.6" x14ac:dyDescent="0.35">
      <c r="A79" s="1" t="str">
        <f>IF('Data entry'!B83="","",'Data entry'!B83)</f>
        <v/>
      </c>
      <c r="B79" s="1" t="str">
        <f>IF('Data entry'!O83="","",'Data entry'!O83)</f>
        <v/>
      </c>
      <c r="C79" s="321" t="str">
        <f>IF('Data entry'!R83="","",'Data entry'!R83)</f>
        <v/>
      </c>
      <c r="D79" s="1" t="str">
        <f>IF('Data entry'!AO83="","",'Data entry'!AO83)</f>
        <v/>
      </c>
      <c r="E79" s="1" t="str">
        <f>IF('Data entry'!AP83="","",'Data entry'!AP83)</f>
        <v/>
      </c>
      <c r="F79" s="1" t="str">
        <f>IF('Data entry'!AQ83="","",'Data entry'!AQ83)</f>
        <v/>
      </c>
      <c r="G79" t="str">
        <f>IF($C79="","",(SUM(COUNTIFS('Data entry'!$R$6:$R$200,$C79,'Data entry'!$B$6:$B$200,{"Confirmed";"Probable"},'Data entry'!$AQ$6:$AQ$200,'Data Validation'!$V$2, 'Data entry'!$AP$6:$AP$200,'Data Validation'!$U$2, 'Data entry'!$BD$6:$BD$200,"&lt;&gt;*Negative*"))))</f>
        <v/>
      </c>
      <c r="H79" t="str">
        <f>IF($C79="","",(SUM(COUNTIFS('Data entry'!$R$6:$R$200,$C79,'Data entry'!$B$6:$B$200,{"Confirmed";"Probable"},'Data entry'!$AQ$6:$AQ$200,'Data Validation'!$V$2, 'Data entry'!$AP$6:$AP$200,'Data Validation'!$U$3, 'Data entry'!$BD$6:$BD$200,"&lt;&gt;*Negative*"))))</f>
        <v/>
      </c>
      <c r="I79" t="str">
        <f>IF($C79="","",(SUM(COUNTIFS('Data entry'!$R$6:$R$200,$C79,'Data entry'!$B$6:$B$200,{"Confirmed";"Probable"},'Data entry'!$AQ$6:$AQ$200,'Data Validation'!$V$2, 'Data entry'!$AP$6:$AP$200,'Data Validation'!$U$4, 'Data entry'!$BD$6:$BD$200,"&lt;&gt;*Negative*"))))</f>
        <v/>
      </c>
      <c r="J79" t="str">
        <f>IF($C79="","",(SUM(COUNTIFS('Data entry'!$R$6:$R$200,$C79,'Data entry'!$B$6:$B$200,{"Confirmed";"Probable"},'Data entry'!$AQ$6:$AQ$200,'Data Validation'!$V$2, 'Data entry'!$AP$6:$AP$200,'Data Validation'!$U$5, 'Data entry'!$BD$6:$BD$200,"&lt;&gt;*Negative*"))))</f>
        <v/>
      </c>
      <c r="K79" t="str">
        <f>IF($C79="","",(SUM(COUNTIFS('Data entry'!$R$6:$R$200,$C79,'Data entry'!$B$6:$B$200,{"Confirmed";"Probable"},'Data entry'!$AQ$6:$AQ$200,'Data Validation'!$V$2, 'Data entry'!$AP$6:$AP$200,'Data Validation'!$U$6, 'Data entry'!$BD$6:$BD$200,"&lt;&gt;*Negative*"))))</f>
        <v/>
      </c>
      <c r="L79" t="str">
        <f>IF($C79="","",(SUM(COUNTIFS('Data entry'!$R$6:$R$200,$C79,'Data entry'!$B$6:$B$200,{"Confirmed";"Probable"},'Data entry'!$AQ$6:$AQ$200,'Data Validation'!$V$3, 'Data entry'!$AP$6:$AP$200,'Data Validation'!$U$2, 'Data entry'!$BD$6:$BD$200,"&lt;&gt;*Negative*"))))</f>
        <v/>
      </c>
      <c r="M79" t="str">
        <f>IF($C79="","",(SUM(COUNTIFS('Data entry'!$R$6:$R$200,$C79,'Data entry'!$B$6:$B$200,{"Confirmed";"Probable"},'Data entry'!$AQ$6:$AQ$200,'Data Validation'!$V$3, 'Data entry'!$AP$6:$AP$200,'Data Validation'!$U$3, 'Data entry'!$BD$6:$BD$200,"&lt;&gt;*Negative*"))))</f>
        <v/>
      </c>
      <c r="N79" t="str">
        <f>IF($C79="","",(SUM(COUNTIFS('Data entry'!$R$6:$R$200,$C79,'Data entry'!$B$6:$B$200,{"Confirmed";"Probable"},'Data entry'!$AQ$6:$AQ$200,'Data Validation'!$V$3, 'Data entry'!$AP$6:$AP$200,'Data Validation'!$U$4, 'Data entry'!$BD$6:$BD$200,"&lt;&gt;*Negative*"))))</f>
        <v/>
      </c>
      <c r="O79" t="str">
        <f>IF($C79="","",(SUM(COUNTIFS('Data entry'!$R$6:$R$200,$C79,'Data entry'!$B$6:$B$200,{"Confirmed";"Probable"},'Data entry'!$AQ$6:$AQ$200,'Data Validation'!$V$3, 'Data entry'!$AP$6:$AP$200,'Data Validation'!$U$5, 'Data entry'!$BD$6:$BD$200,"&lt;&gt;*Negative*"))))</f>
        <v/>
      </c>
      <c r="P79" t="str">
        <f>IF($C79="","",(SUM(COUNTIFS('Data entry'!$R$6:$R$200,$C79,'Data entry'!$B$6:$B$200,{"Confirmed";"Probable"},'Data entry'!$AQ$6:$AQ$200,'Data Validation'!$V$3, 'Data entry'!$AP$6:$AP$200,'Data Validation'!$U$6, 'Data entry'!$BD$6:$BD$200,"&lt;&gt;*Negative*"))))</f>
        <v/>
      </c>
    </row>
    <row r="80" spans="1:16" ht="15.6" x14ac:dyDescent="0.35">
      <c r="A80" s="1" t="str">
        <f>IF('Data entry'!B84="","",'Data entry'!B84)</f>
        <v/>
      </c>
      <c r="B80" s="1" t="str">
        <f>IF('Data entry'!O84="","",'Data entry'!O84)</f>
        <v/>
      </c>
      <c r="C80" s="321" t="str">
        <f>IF('Data entry'!R84="","",'Data entry'!R84)</f>
        <v/>
      </c>
      <c r="D80" s="1" t="str">
        <f>IF('Data entry'!AO84="","",'Data entry'!AO84)</f>
        <v/>
      </c>
      <c r="E80" s="1" t="str">
        <f>IF('Data entry'!AP84="","",'Data entry'!AP84)</f>
        <v/>
      </c>
      <c r="F80" s="1" t="str">
        <f>IF('Data entry'!AQ84="","",'Data entry'!AQ84)</f>
        <v/>
      </c>
      <c r="G80" t="str">
        <f>IF($C80="","",(SUM(COUNTIFS('Data entry'!$R$6:$R$200,$C80,'Data entry'!$B$6:$B$200,{"Confirmed";"Probable"},'Data entry'!$AQ$6:$AQ$200,'Data Validation'!$V$2, 'Data entry'!$AP$6:$AP$200,'Data Validation'!$U$2, 'Data entry'!$BD$6:$BD$200,"&lt;&gt;*Negative*"))))</f>
        <v/>
      </c>
      <c r="H80" t="str">
        <f>IF($C80="","",(SUM(COUNTIFS('Data entry'!$R$6:$R$200,$C80,'Data entry'!$B$6:$B$200,{"Confirmed";"Probable"},'Data entry'!$AQ$6:$AQ$200,'Data Validation'!$V$2, 'Data entry'!$AP$6:$AP$200,'Data Validation'!$U$3, 'Data entry'!$BD$6:$BD$200,"&lt;&gt;*Negative*"))))</f>
        <v/>
      </c>
      <c r="I80" t="str">
        <f>IF($C80="","",(SUM(COUNTIFS('Data entry'!$R$6:$R$200,$C80,'Data entry'!$B$6:$B$200,{"Confirmed";"Probable"},'Data entry'!$AQ$6:$AQ$200,'Data Validation'!$V$2, 'Data entry'!$AP$6:$AP$200,'Data Validation'!$U$4, 'Data entry'!$BD$6:$BD$200,"&lt;&gt;*Negative*"))))</f>
        <v/>
      </c>
      <c r="J80" t="str">
        <f>IF($C80="","",(SUM(COUNTIFS('Data entry'!$R$6:$R$200,$C80,'Data entry'!$B$6:$B$200,{"Confirmed";"Probable"},'Data entry'!$AQ$6:$AQ$200,'Data Validation'!$V$2, 'Data entry'!$AP$6:$AP$200,'Data Validation'!$U$5, 'Data entry'!$BD$6:$BD$200,"&lt;&gt;*Negative*"))))</f>
        <v/>
      </c>
      <c r="K80" t="str">
        <f>IF($C80="","",(SUM(COUNTIFS('Data entry'!$R$6:$R$200,$C80,'Data entry'!$B$6:$B$200,{"Confirmed";"Probable"},'Data entry'!$AQ$6:$AQ$200,'Data Validation'!$V$2, 'Data entry'!$AP$6:$AP$200,'Data Validation'!$U$6, 'Data entry'!$BD$6:$BD$200,"&lt;&gt;*Negative*"))))</f>
        <v/>
      </c>
      <c r="L80" t="str">
        <f>IF($C80="","",(SUM(COUNTIFS('Data entry'!$R$6:$R$200,$C80,'Data entry'!$B$6:$B$200,{"Confirmed";"Probable"},'Data entry'!$AQ$6:$AQ$200,'Data Validation'!$V$3, 'Data entry'!$AP$6:$AP$200,'Data Validation'!$U$2, 'Data entry'!$BD$6:$BD$200,"&lt;&gt;*Negative*"))))</f>
        <v/>
      </c>
      <c r="M80" t="str">
        <f>IF($C80="","",(SUM(COUNTIFS('Data entry'!$R$6:$R$200,$C80,'Data entry'!$B$6:$B$200,{"Confirmed";"Probable"},'Data entry'!$AQ$6:$AQ$200,'Data Validation'!$V$3, 'Data entry'!$AP$6:$AP$200,'Data Validation'!$U$3, 'Data entry'!$BD$6:$BD$200,"&lt;&gt;*Negative*"))))</f>
        <v/>
      </c>
      <c r="N80" t="str">
        <f>IF($C80="","",(SUM(COUNTIFS('Data entry'!$R$6:$R$200,$C80,'Data entry'!$B$6:$B$200,{"Confirmed";"Probable"},'Data entry'!$AQ$6:$AQ$200,'Data Validation'!$V$3, 'Data entry'!$AP$6:$AP$200,'Data Validation'!$U$4, 'Data entry'!$BD$6:$BD$200,"&lt;&gt;*Negative*"))))</f>
        <v/>
      </c>
      <c r="O80" t="str">
        <f>IF($C80="","",(SUM(COUNTIFS('Data entry'!$R$6:$R$200,$C80,'Data entry'!$B$6:$B$200,{"Confirmed";"Probable"},'Data entry'!$AQ$6:$AQ$200,'Data Validation'!$V$3, 'Data entry'!$AP$6:$AP$200,'Data Validation'!$U$5, 'Data entry'!$BD$6:$BD$200,"&lt;&gt;*Negative*"))))</f>
        <v/>
      </c>
      <c r="P80" t="str">
        <f>IF($C80="","",(SUM(COUNTIFS('Data entry'!$R$6:$R$200,$C80,'Data entry'!$B$6:$B$200,{"Confirmed";"Probable"},'Data entry'!$AQ$6:$AQ$200,'Data Validation'!$V$3, 'Data entry'!$AP$6:$AP$200,'Data Validation'!$U$6, 'Data entry'!$BD$6:$BD$200,"&lt;&gt;*Negative*"))))</f>
        <v/>
      </c>
    </row>
    <row r="81" spans="1:16" ht="15.6" x14ac:dyDescent="0.35">
      <c r="A81" s="1" t="str">
        <f>IF('Data entry'!B85="","",'Data entry'!B85)</f>
        <v/>
      </c>
      <c r="B81" s="1" t="str">
        <f>IF('Data entry'!O85="","",'Data entry'!O85)</f>
        <v/>
      </c>
      <c r="C81" s="321" t="str">
        <f>IF('Data entry'!R85="","",'Data entry'!R85)</f>
        <v/>
      </c>
      <c r="D81" s="1" t="str">
        <f>IF('Data entry'!AO85="","",'Data entry'!AO85)</f>
        <v/>
      </c>
      <c r="E81" s="1" t="str">
        <f>IF('Data entry'!AP85="","",'Data entry'!AP85)</f>
        <v/>
      </c>
      <c r="F81" s="1" t="str">
        <f>IF('Data entry'!AQ85="","",'Data entry'!AQ85)</f>
        <v/>
      </c>
      <c r="G81" t="str">
        <f>IF($C81="","",(SUM(COUNTIFS('Data entry'!$R$6:$R$200,$C81,'Data entry'!$B$6:$B$200,{"Confirmed";"Probable"},'Data entry'!$AQ$6:$AQ$200,'Data Validation'!$V$2, 'Data entry'!$AP$6:$AP$200,'Data Validation'!$U$2, 'Data entry'!$BD$6:$BD$200,"&lt;&gt;*Negative*"))))</f>
        <v/>
      </c>
      <c r="H81" t="str">
        <f>IF($C81="","",(SUM(COUNTIFS('Data entry'!$R$6:$R$200,$C81,'Data entry'!$B$6:$B$200,{"Confirmed";"Probable"},'Data entry'!$AQ$6:$AQ$200,'Data Validation'!$V$2, 'Data entry'!$AP$6:$AP$200,'Data Validation'!$U$3, 'Data entry'!$BD$6:$BD$200,"&lt;&gt;*Negative*"))))</f>
        <v/>
      </c>
      <c r="I81" t="str">
        <f>IF($C81="","",(SUM(COUNTIFS('Data entry'!$R$6:$R$200,$C81,'Data entry'!$B$6:$B$200,{"Confirmed";"Probable"},'Data entry'!$AQ$6:$AQ$200,'Data Validation'!$V$2, 'Data entry'!$AP$6:$AP$200,'Data Validation'!$U$4, 'Data entry'!$BD$6:$BD$200,"&lt;&gt;*Negative*"))))</f>
        <v/>
      </c>
      <c r="J81" t="str">
        <f>IF($C81="","",(SUM(COUNTIFS('Data entry'!$R$6:$R$200,$C81,'Data entry'!$B$6:$B$200,{"Confirmed";"Probable"},'Data entry'!$AQ$6:$AQ$200,'Data Validation'!$V$2, 'Data entry'!$AP$6:$AP$200,'Data Validation'!$U$5, 'Data entry'!$BD$6:$BD$200,"&lt;&gt;*Negative*"))))</f>
        <v/>
      </c>
      <c r="K81" t="str">
        <f>IF($C81="","",(SUM(COUNTIFS('Data entry'!$R$6:$R$200,$C81,'Data entry'!$B$6:$B$200,{"Confirmed";"Probable"},'Data entry'!$AQ$6:$AQ$200,'Data Validation'!$V$2, 'Data entry'!$AP$6:$AP$200,'Data Validation'!$U$6, 'Data entry'!$BD$6:$BD$200,"&lt;&gt;*Negative*"))))</f>
        <v/>
      </c>
      <c r="L81" t="str">
        <f>IF($C81="","",(SUM(COUNTIFS('Data entry'!$R$6:$R$200,$C81,'Data entry'!$B$6:$B$200,{"Confirmed";"Probable"},'Data entry'!$AQ$6:$AQ$200,'Data Validation'!$V$3, 'Data entry'!$AP$6:$AP$200,'Data Validation'!$U$2, 'Data entry'!$BD$6:$BD$200,"&lt;&gt;*Negative*"))))</f>
        <v/>
      </c>
      <c r="M81" t="str">
        <f>IF($C81="","",(SUM(COUNTIFS('Data entry'!$R$6:$R$200,$C81,'Data entry'!$B$6:$B$200,{"Confirmed";"Probable"},'Data entry'!$AQ$6:$AQ$200,'Data Validation'!$V$3, 'Data entry'!$AP$6:$AP$200,'Data Validation'!$U$3, 'Data entry'!$BD$6:$BD$200,"&lt;&gt;*Negative*"))))</f>
        <v/>
      </c>
      <c r="N81" t="str">
        <f>IF($C81="","",(SUM(COUNTIFS('Data entry'!$R$6:$R$200,$C81,'Data entry'!$B$6:$B$200,{"Confirmed";"Probable"},'Data entry'!$AQ$6:$AQ$200,'Data Validation'!$V$3, 'Data entry'!$AP$6:$AP$200,'Data Validation'!$U$4, 'Data entry'!$BD$6:$BD$200,"&lt;&gt;*Negative*"))))</f>
        <v/>
      </c>
      <c r="O81" t="str">
        <f>IF($C81="","",(SUM(COUNTIFS('Data entry'!$R$6:$R$200,$C81,'Data entry'!$B$6:$B$200,{"Confirmed";"Probable"},'Data entry'!$AQ$6:$AQ$200,'Data Validation'!$V$3, 'Data entry'!$AP$6:$AP$200,'Data Validation'!$U$5, 'Data entry'!$BD$6:$BD$200,"&lt;&gt;*Negative*"))))</f>
        <v/>
      </c>
      <c r="P81" t="str">
        <f>IF($C81="","",(SUM(COUNTIFS('Data entry'!$R$6:$R$200,$C81,'Data entry'!$B$6:$B$200,{"Confirmed";"Probable"},'Data entry'!$AQ$6:$AQ$200,'Data Validation'!$V$3, 'Data entry'!$AP$6:$AP$200,'Data Validation'!$U$6, 'Data entry'!$BD$6:$BD$200,"&lt;&gt;*Negative*"))))</f>
        <v/>
      </c>
    </row>
    <row r="82" spans="1:16" ht="15.6" x14ac:dyDescent="0.35">
      <c r="A82" s="1" t="str">
        <f>IF('Data entry'!B86="","",'Data entry'!B86)</f>
        <v/>
      </c>
      <c r="B82" s="1" t="str">
        <f>IF('Data entry'!O86="","",'Data entry'!O86)</f>
        <v/>
      </c>
      <c r="C82" s="321" t="str">
        <f>IF('Data entry'!R86="","",'Data entry'!R86)</f>
        <v/>
      </c>
      <c r="D82" s="1" t="str">
        <f>IF('Data entry'!AO86="","",'Data entry'!AO86)</f>
        <v/>
      </c>
      <c r="E82" s="1" t="str">
        <f>IF('Data entry'!AP86="","",'Data entry'!AP86)</f>
        <v/>
      </c>
      <c r="F82" s="1" t="str">
        <f>IF('Data entry'!AQ86="","",'Data entry'!AQ86)</f>
        <v/>
      </c>
      <c r="G82" t="str">
        <f>IF($C82="","",(SUM(COUNTIFS('Data entry'!$R$6:$R$200,$C82,'Data entry'!$B$6:$B$200,{"Confirmed";"Probable"},'Data entry'!$AQ$6:$AQ$200,'Data Validation'!$V$2, 'Data entry'!$AP$6:$AP$200,'Data Validation'!$U$2, 'Data entry'!$BD$6:$BD$200,"&lt;&gt;*Negative*"))))</f>
        <v/>
      </c>
      <c r="H82" t="str">
        <f>IF($C82="","",(SUM(COUNTIFS('Data entry'!$R$6:$R$200,$C82,'Data entry'!$B$6:$B$200,{"Confirmed";"Probable"},'Data entry'!$AQ$6:$AQ$200,'Data Validation'!$V$2, 'Data entry'!$AP$6:$AP$200,'Data Validation'!$U$3, 'Data entry'!$BD$6:$BD$200,"&lt;&gt;*Negative*"))))</f>
        <v/>
      </c>
      <c r="I82" t="str">
        <f>IF($C82="","",(SUM(COUNTIFS('Data entry'!$R$6:$R$200,$C82,'Data entry'!$B$6:$B$200,{"Confirmed";"Probable"},'Data entry'!$AQ$6:$AQ$200,'Data Validation'!$V$2, 'Data entry'!$AP$6:$AP$200,'Data Validation'!$U$4, 'Data entry'!$BD$6:$BD$200,"&lt;&gt;*Negative*"))))</f>
        <v/>
      </c>
      <c r="J82" t="str">
        <f>IF($C82="","",(SUM(COUNTIFS('Data entry'!$R$6:$R$200,$C82,'Data entry'!$B$6:$B$200,{"Confirmed";"Probable"},'Data entry'!$AQ$6:$AQ$200,'Data Validation'!$V$2, 'Data entry'!$AP$6:$AP$200,'Data Validation'!$U$5, 'Data entry'!$BD$6:$BD$200,"&lt;&gt;*Negative*"))))</f>
        <v/>
      </c>
      <c r="K82" t="str">
        <f>IF($C82="","",(SUM(COUNTIFS('Data entry'!$R$6:$R$200,$C82,'Data entry'!$B$6:$B$200,{"Confirmed";"Probable"},'Data entry'!$AQ$6:$AQ$200,'Data Validation'!$V$2, 'Data entry'!$AP$6:$AP$200,'Data Validation'!$U$6, 'Data entry'!$BD$6:$BD$200,"&lt;&gt;*Negative*"))))</f>
        <v/>
      </c>
      <c r="L82" t="str">
        <f>IF($C82="","",(SUM(COUNTIFS('Data entry'!$R$6:$R$200,$C82,'Data entry'!$B$6:$B$200,{"Confirmed";"Probable"},'Data entry'!$AQ$6:$AQ$200,'Data Validation'!$V$3, 'Data entry'!$AP$6:$AP$200,'Data Validation'!$U$2, 'Data entry'!$BD$6:$BD$200,"&lt;&gt;*Negative*"))))</f>
        <v/>
      </c>
      <c r="M82" t="str">
        <f>IF($C82="","",(SUM(COUNTIFS('Data entry'!$R$6:$R$200,$C82,'Data entry'!$B$6:$B$200,{"Confirmed";"Probable"},'Data entry'!$AQ$6:$AQ$200,'Data Validation'!$V$3, 'Data entry'!$AP$6:$AP$200,'Data Validation'!$U$3, 'Data entry'!$BD$6:$BD$200,"&lt;&gt;*Negative*"))))</f>
        <v/>
      </c>
      <c r="N82" t="str">
        <f>IF($C82="","",(SUM(COUNTIFS('Data entry'!$R$6:$R$200,$C82,'Data entry'!$B$6:$B$200,{"Confirmed";"Probable"},'Data entry'!$AQ$6:$AQ$200,'Data Validation'!$V$3, 'Data entry'!$AP$6:$AP$200,'Data Validation'!$U$4, 'Data entry'!$BD$6:$BD$200,"&lt;&gt;*Negative*"))))</f>
        <v/>
      </c>
      <c r="O82" t="str">
        <f>IF($C82="","",(SUM(COUNTIFS('Data entry'!$R$6:$R$200,$C82,'Data entry'!$B$6:$B$200,{"Confirmed";"Probable"},'Data entry'!$AQ$6:$AQ$200,'Data Validation'!$V$3, 'Data entry'!$AP$6:$AP$200,'Data Validation'!$U$5, 'Data entry'!$BD$6:$BD$200,"&lt;&gt;*Negative*"))))</f>
        <v/>
      </c>
      <c r="P82" t="str">
        <f>IF($C82="","",(SUM(COUNTIFS('Data entry'!$R$6:$R$200,$C82,'Data entry'!$B$6:$B$200,{"Confirmed";"Probable"},'Data entry'!$AQ$6:$AQ$200,'Data Validation'!$V$3, 'Data entry'!$AP$6:$AP$200,'Data Validation'!$U$6, 'Data entry'!$BD$6:$BD$200,"&lt;&gt;*Negative*"))))</f>
        <v/>
      </c>
    </row>
    <row r="83" spans="1:16" ht="15.6" x14ac:dyDescent="0.35">
      <c r="A83" s="1" t="str">
        <f>IF('Data entry'!B87="","",'Data entry'!B87)</f>
        <v/>
      </c>
      <c r="B83" s="1" t="str">
        <f>IF('Data entry'!O87="","",'Data entry'!O87)</f>
        <v/>
      </c>
      <c r="C83" s="321" t="str">
        <f>IF('Data entry'!R87="","",'Data entry'!R87)</f>
        <v/>
      </c>
      <c r="D83" s="1" t="str">
        <f>IF('Data entry'!AO87="","",'Data entry'!AO87)</f>
        <v/>
      </c>
      <c r="E83" s="1" t="str">
        <f>IF('Data entry'!AP87="","",'Data entry'!AP87)</f>
        <v/>
      </c>
      <c r="F83" s="1" t="str">
        <f>IF('Data entry'!AQ87="","",'Data entry'!AQ87)</f>
        <v/>
      </c>
      <c r="G83" t="str">
        <f>IF($C83="","",(SUM(COUNTIFS('Data entry'!$R$6:$R$200,$C83,'Data entry'!$B$6:$B$200,{"Confirmed";"Probable"},'Data entry'!$AQ$6:$AQ$200,'Data Validation'!$V$2, 'Data entry'!$AP$6:$AP$200,'Data Validation'!$U$2, 'Data entry'!$BD$6:$BD$200,"&lt;&gt;*Negative*"))))</f>
        <v/>
      </c>
      <c r="H83" t="str">
        <f>IF($C83="","",(SUM(COUNTIFS('Data entry'!$R$6:$R$200,$C83,'Data entry'!$B$6:$B$200,{"Confirmed";"Probable"},'Data entry'!$AQ$6:$AQ$200,'Data Validation'!$V$2, 'Data entry'!$AP$6:$AP$200,'Data Validation'!$U$3, 'Data entry'!$BD$6:$BD$200,"&lt;&gt;*Negative*"))))</f>
        <v/>
      </c>
      <c r="I83" t="str">
        <f>IF($C83="","",(SUM(COUNTIFS('Data entry'!$R$6:$R$200,$C83,'Data entry'!$B$6:$B$200,{"Confirmed";"Probable"},'Data entry'!$AQ$6:$AQ$200,'Data Validation'!$V$2, 'Data entry'!$AP$6:$AP$200,'Data Validation'!$U$4, 'Data entry'!$BD$6:$BD$200,"&lt;&gt;*Negative*"))))</f>
        <v/>
      </c>
      <c r="J83" t="str">
        <f>IF($C83="","",(SUM(COUNTIFS('Data entry'!$R$6:$R$200,$C83,'Data entry'!$B$6:$B$200,{"Confirmed";"Probable"},'Data entry'!$AQ$6:$AQ$200,'Data Validation'!$V$2, 'Data entry'!$AP$6:$AP$200,'Data Validation'!$U$5, 'Data entry'!$BD$6:$BD$200,"&lt;&gt;*Negative*"))))</f>
        <v/>
      </c>
      <c r="K83" t="str">
        <f>IF($C83="","",(SUM(COUNTIFS('Data entry'!$R$6:$R$200,$C83,'Data entry'!$B$6:$B$200,{"Confirmed";"Probable"},'Data entry'!$AQ$6:$AQ$200,'Data Validation'!$V$2, 'Data entry'!$AP$6:$AP$200,'Data Validation'!$U$6, 'Data entry'!$BD$6:$BD$200,"&lt;&gt;*Negative*"))))</f>
        <v/>
      </c>
      <c r="L83" t="str">
        <f>IF($C83="","",(SUM(COUNTIFS('Data entry'!$R$6:$R$200,$C83,'Data entry'!$B$6:$B$200,{"Confirmed";"Probable"},'Data entry'!$AQ$6:$AQ$200,'Data Validation'!$V$3, 'Data entry'!$AP$6:$AP$200,'Data Validation'!$U$2, 'Data entry'!$BD$6:$BD$200,"&lt;&gt;*Negative*"))))</f>
        <v/>
      </c>
      <c r="M83" t="str">
        <f>IF($C83="","",(SUM(COUNTIFS('Data entry'!$R$6:$R$200,$C83,'Data entry'!$B$6:$B$200,{"Confirmed";"Probable"},'Data entry'!$AQ$6:$AQ$200,'Data Validation'!$V$3, 'Data entry'!$AP$6:$AP$200,'Data Validation'!$U$3, 'Data entry'!$BD$6:$BD$200,"&lt;&gt;*Negative*"))))</f>
        <v/>
      </c>
      <c r="N83" t="str">
        <f>IF($C83="","",(SUM(COUNTIFS('Data entry'!$R$6:$R$200,$C83,'Data entry'!$B$6:$B$200,{"Confirmed";"Probable"},'Data entry'!$AQ$6:$AQ$200,'Data Validation'!$V$3, 'Data entry'!$AP$6:$AP$200,'Data Validation'!$U$4, 'Data entry'!$BD$6:$BD$200,"&lt;&gt;*Negative*"))))</f>
        <v/>
      </c>
      <c r="O83" t="str">
        <f>IF($C83="","",(SUM(COUNTIFS('Data entry'!$R$6:$R$200,$C83,'Data entry'!$B$6:$B$200,{"Confirmed";"Probable"},'Data entry'!$AQ$6:$AQ$200,'Data Validation'!$V$3, 'Data entry'!$AP$6:$AP$200,'Data Validation'!$U$5, 'Data entry'!$BD$6:$BD$200,"&lt;&gt;*Negative*"))))</f>
        <v/>
      </c>
      <c r="P83" t="str">
        <f>IF($C83="","",(SUM(COUNTIFS('Data entry'!$R$6:$R$200,$C83,'Data entry'!$B$6:$B$200,{"Confirmed";"Probable"},'Data entry'!$AQ$6:$AQ$200,'Data Validation'!$V$3, 'Data entry'!$AP$6:$AP$200,'Data Validation'!$U$6, 'Data entry'!$BD$6:$BD$200,"&lt;&gt;*Negative*"))))</f>
        <v/>
      </c>
    </row>
    <row r="84" spans="1:16" ht="15.6" x14ac:dyDescent="0.35">
      <c r="A84" s="1" t="str">
        <f>IF('Data entry'!B88="","",'Data entry'!B88)</f>
        <v/>
      </c>
      <c r="B84" s="1" t="str">
        <f>IF('Data entry'!O88="","",'Data entry'!O88)</f>
        <v/>
      </c>
      <c r="C84" s="321" t="str">
        <f>IF('Data entry'!R88="","",'Data entry'!R88)</f>
        <v/>
      </c>
      <c r="D84" s="1" t="str">
        <f>IF('Data entry'!AO88="","",'Data entry'!AO88)</f>
        <v/>
      </c>
      <c r="E84" s="1" t="str">
        <f>IF('Data entry'!AP88="","",'Data entry'!AP88)</f>
        <v/>
      </c>
      <c r="F84" s="1" t="str">
        <f>IF('Data entry'!AQ88="","",'Data entry'!AQ88)</f>
        <v/>
      </c>
      <c r="G84" t="str">
        <f>IF($C84="","",(SUM(COUNTIFS('Data entry'!$R$6:$R$200,$C84,'Data entry'!$B$6:$B$200,{"Confirmed";"Probable"},'Data entry'!$AQ$6:$AQ$200,'Data Validation'!$V$2, 'Data entry'!$AP$6:$AP$200,'Data Validation'!$U$2, 'Data entry'!$BD$6:$BD$200,"&lt;&gt;*Negative*"))))</f>
        <v/>
      </c>
      <c r="H84" t="str">
        <f>IF($C84="","",(SUM(COUNTIFS('Data entry'!$R$6:$R$200,$C84,'Data entry'!$B$6:$B$200,{"Confirmed";"Probable"},'Data entry'!$AQ$6:$AQ$200,'Data Validation'!$V$2, 'Data entry'!$AP$6:$AP$200,'Data Validation'!$U$3, 'Data entry'!$BD$6:$BD$200,"&lt;&gt;*Negative*"))))</f>
        <v/>
      </c>
      <c r="I84" t="str">
        <f>IF($C84="","",(SUM(COUNTIFS('Data entry'!$R$6:$R$200,$C84,'Data entry'!$B$6:$B$200,{"Confirmed";"Probable"},'Data entry'!$AQ$6:$AQ$200,'Data Validation'!$V$2, 'Data entry'!$AP$6:$AP$200,'Data Validation'!$U$4, 'Data entry'!$BD$6:$BD$200,"&lt;&gt;*Negative*"))))</f>
        <v/>
      </c>
      <c r="J84" t="str">
        <f>IF($C84="","",(SUM(COUNTIFS('Data entry'!$R$6:$R$200,$C84,'Data entry'!$B$6:$B$200,{"Confirmed";"Probable"},'Data entry'!$AQ$6:$AQ$200,'Data Validation'!$V$2, 'Data entry'!$AP$6:$AP$200,'Data Validation'!$U$5, 'Data entry'!$BD$6:$BD$200,"&lt;&gt;*Negative*"))))</f>
        <v/>
      </c>
      <c r="K84" t="str">
        <f>IF($C84="","",(SUM(COUNTIFS('Data entry'!$R$6:$R$200,$C84,'Data entry'!$B$6:$B$200,{"Confirmed";"Probable"},'Data entry'!$AQ$6:$AQ$200,'Data Validation'!$V$2, 'Data entry'!$AP$6:$AP$200,'Data Validation'!$U$6, 'Data entry'!$BD$6:$BD$200,"&lt;&gt;*Negative*"))))</f>
        <v/>
      </c>
      <c r="L84" t="str">
        <f>IF($C84="","",(SUM(COUNTIFS('Data entry'!$R$6:$R$200,$C84,'Data entry'!$B$6:$B$200,{"Confirmed";"Probable"},'Data entry'!$AQ$6:$AQ$200,'Data Validation'!$V$3, 'Data entry'!$AP$6:$AP$200,'Data Validation'!$U$2, 'Data entry'!$BD$6:$BD$200,"&lt;&gt;*Negative*"))))</f>
        <v/>
      </c>
      <c r="M84" t="str">
        <f>IF($C84="","",(SUM(COUNTIFS('Data entry'!$R$6:$R$200,$C84,'Data entry'!$B$6:$B$200,{"Confirmed";"Probable"},'Data entry'!$AQ$6:$AQ$200,'Data Validation'!$V$3, 'Data entry'!$AP$6:$AP$200,'Data Validation'!$U$3, 'Data entry'!$BD$6:$BD$200,"&lt;&gt;*Negative*"))))</f>
        <v/>
      </c>
      <c r="N84" t="str">
        <f>IF($C84="","",(SUM(COUNTIFS('Data entry'!$R$6:$R$200,$C84,'Data entry'!$B$6:$B$200,{"Confirmed";"Probable"},'Data entry'!$AQ$6:$AQ$200,'Data Validation'!$V$3, 'Data entry'!$AP$6:$AP$200,'Data Validation'!$U$4, 'Data entry'!$BD$6:$BD$200,"&lt;&gt;*Negative*"))))</f>
        <v/>
      </c>
      <c r="O84" t="str">
        <f>IF($C84="","",(SUM(COUNTIFS('Data entry'!$R$6:$R$200,$C84,'Data entry'!$B$6:$B$200,{"Confirmed";"Probable"},'Data entry'!$AQ$6:$AQ$200,'Data Validation'!$V$3, 'Data entry'!$AP$6:$AP$200,'Data Validation'!$U$5, 'Data entry'!$BD$6:$BD$200,"&lt;&gt;*Negative*"))))</f>
        <v/>
      </c>
      <c r="P84" t="str">
        <f>IF($C84="","",(SUM(COUNTIFS('Data entry'!$R$6:$R$200,$C84,'Data entry'!$B$6:$B$200,{"Confirmed";"Probable"},'Data entry'!$AQ$6:$AQ$200,'Data Validation'!$V$3, 'Data entry'!$AP$6:$AP$200,'Data Validation'!$U$6, 'Data entry'!$BD$6:$BD$200,"&lt;&gt;*Negative*"))))</f>
        <v/>
      </c>
    </row>
    <row r="85" spans="1:16" ht="15.6" x14ac:dyDescent="0.35">
      <c r="A85" s="1" t="str">
        <f>IF('Data entry'!B89="","",'Data entry'!B89)</f>
        <v/>
      </c>
      <c r="B85" s="1" t="str">
        <f>IF('Data entry'!O89="","",'Data entry'!O89)</f>
        <v/>
      </c>
      <c r="C85" s="321" t="str">
        <f>IF('Data entry'!R89="","",'Data entry'!R89)</f>
        <v/>
      </c>
      <c r="D85" s="1" t="str">
        <f>IF('Data entry'!AO89="","",'Data entry'!AO89)</f>
        <v/>
      </c>
      <c r="E85" s="1" t="str">
        <f>IF('Data entry'!AP89="","",'Data entry'!AP89)</f>
        <v/>
      </c>
      <c r="F85" s="1" t="str">
        <f>IF('Data entry'!AQ89="","",'Data entry'!AQ89)</f>
        <v/>
      </c>
      <c r="G85" t="str">
        <f>IF($C85="","",(SUM(COUNTIFS('Data entry'!$R$6:$R$200,$C85,'Data entry'!$B$6:$B$200,{"Confirmed";"Probable"},'Data entry'!$AQ$6:$AQ$200,'Data Validation'!$V$2, 'Data entry'!$AP$6:$AP$200,'Data Validation'!$U$2, 'Data entry'!$BD$6:$BD$200,"&lt;&gt;*Negative*"))))</f>
        <v/>
      </c>
      <c r="H85" t="str">
        <f>IF($C85="","",(SUM(COUNTIFS('Data entry'!$R$6:$R$200,$C85,'Data entry'!$B$6:$B$200,{"Confirmed";"Probable"},'Data entry'!$AQ$6:$AQ$200,'Data Validation'!$V$2, 'Data entry'!$AP$6:$AP$200,'Data Validation'!$U$3, 'Data entry'!$BD$6:$BD$200,"&lt;&gt;*Negative*"))))</f>
        <v/>
      </c>
      <c r="I85" t="str">
        <f>IF($C85="","",(SUM(COUNTIFS('Data entry'!$R$6:$R$200,$C85,'Data entry'!$B$6:$B$200,{"Confirmed";"Probable"},'Data entry'!$AQ$6:$AQ$200,'Data Validation'!$V$2, 'Data entry'!$AP$6:$AP$200,'Data Validation'!$U$4, 'Data entry'!$BD$6:$BD$200,"&lt;&gt;*Negative*"))))</f>
        <v/>
      </c>
      <c r="J85" t="str">
        <f>IF($C85="","",(SUM(COUNTIFS('Data entry'!$R$6:$R$200,$C85,'Data entry'!$B$6:$B$200,{"Confirmed";"Probable"},'Data entry'!$AQ$6:$AQ$200,'Data Validation'!$V$2, 'Data entry'!$AP$6:$AP$200,'Data Validation'!$U$5, 'Data entry'!$BD$6:$BD$200,"&lt;&gt;*Negative*"))))</f>
        <v/>
      </c>
      <c r="K85" t="str">
        <f>IF($C85="","",(SUM(COUNTIFS('Data entry'!$R$6:$R$200,$C85,'Data entry'!$B$6:$B$200,{"Confirmed";"Probable"},'Data entry'!$AQ$6:$AQ$200,'Data Validation'!$V$2, 'Data entry'!$AP$6:$AP$200,'Data Validation'!$U$6, 'Data entry'!$BD$6:$BD$200,"&lt;&gt;*Negative*"))))</f>
        <v/>
      </c>
      <c r="L85" t="str">
        <f>IF($C85="","",(SUM(COUNTIFS('Data entry'!$R$6:$R$200,$C85,'Data entry'!$B$6:$B$200,{"Confirmed";"Probable"},'Data entry'!$AQ$6:$AQ$200,'Data Validation'!$V$3, 'Data entry'!$AP$6:$AP$200,'Data Validation'!$U$2, 'Data entry'!$BD$6:$BD$200,"&lt;&gt;*Negative*"))))</f>
        <v/>
      </c>
      <c r="M85" t="str">
        <f>IF($C85="","",(SUM(COUNTIFS('Data entry'!$R$6:$R$200,$C85,'Data entry'!$B$6:$B$200,{"Confirmed";"Probable"},'Data entry'!$AQ$6:$AQ$200,'Data Validation'!$V$3, 'Data entry'!$AP$6:$AP$200,'Data Validation'!$U$3, 'Data entry'!$BD$6:$BD$200,"&lt;&gt;*Negative*"))))</f>
        <v/>
      </c>
      <c r="N85" t="str">
        <f>IF($C85="","",(SUM(COUNTIFS('Data entry'!$R$6:$R$200,$C85,'Data entry'!$B$6:$B$200,{"Confirmed";"Probable"},'Data entry'!$AQ$6:$AQ$200,'Data Validation'!$V$3, 'Data entry'!$AP$6:$AP$200,'Data Validation'!$U$4, 'Data entry'!$BD$6:$BD$200,"&lt;&gt;*Negative*"))))</f>
        <v/>
      </c>
      <c r="O85" t="str">
        <f>IF($C85="","",(SUM(COUNTIFS('Data entry'!$R$6:$R$200,$C85,'Data entry'!$B$6:$B$200,{"Confirmed";"Probable"},'Data entry'!$AQ$6:$AQ$200,'Data Validation'!$V$3, 'Data entry'!$AP$6:$AP$200,'Data Validation'!$U$5, 'Data entry'!$BD$6:$BD$200,"&lt;&gt;*Negative*"))))</f>
        <v/>
      </c>
      <c r="P85" t="str">
        <f>IF($C85="","",(SUM(COUNTIFS('Data entry'!$R$6:$R$200,$C85,'Data entry'!$B$6:$B$200,{"Confirmed";"Probable"},'Data entry'!$AQ$6:$AQ$200,'Data Validation'!$V$3, 'Data entry'!$AP$6:$AP$200,'Data Validation'!$U$6, 'Data entry'!$BD$6:$BD$200,"&lt;&gt;*Negative*"))))</f>
        <v/>
      </c>
    </row>
    <row r="86" spans="1:16" ht="15.6" x14ac:dyDescent="0.35">
      <c r="A86" s="1" t="str">
        <f>IF('Data entry'!B90="","",'Data entry'!B90)</f>
        <v/>
      </c>
      <c r="B86" s="1" t="str">
        <f>IF('Data entry'!O90="","",'Data entry'!O90)</f>
        <v/>
      </c>
      <c r="C86" s="321" t="str">
        <f>IF('Data entry'!R90="","",'Data entry'!R90)</f>
        <v/>
      </c>
      <c r="D86" s="1" t="str">
        <f>IF('Data entry'!AO90="","",'Data entry'!AO90)</f>
        <v/>
      </c>
      <c r="E86" s="1" t="str">
        <f>IF('Data entry'!AP90="","",'Data entry'!AP90)</f>
        <v/>
      </c>
      <c r="F86" s="1" t="str">
        <f>IF('Data entry'!AQ90="","",'Data entry'!AQ90)</f>
        <v/>
      </c>
      <c r="G86" t="str">
        <f>IF($C86="","",(SUM(COUNTIFS('Data entry'!$R$6:$R$200,$C86,'Data entry'!$B$6:$B$200,{"Confirmed";"Probable"},'Data entry'!$AQ$6:$AQ$200,'Data Validation'!$V$2, 'Data entry'!$AP$6:$AP$200,'Data Validation'!$U$2, 'Data entry'!$BD$6:$BD$200,"&lt;&gt;*Negative*"))))</f>
        <v/>
      </c>
      <c r="H86" t="str">
        <f>IF($C86="","",(SUM(COUNTIFS('Data entry'!$R$6:$R$200,$C86,'Data entry'!$B$6:$B$200,{"Confirmed";"Probable"},'Data entry'!$AQ$6:$AQ$200,'Data Validation'!$V$2, 'Data entry'!$AP$6:$AP$200,'Data Validation'!$U$3, 'Data entry'!$BD$6:$BD$200,"&lt;&gt;*Negative*"))))</f>
        <v/>
      </c>
      <c r="I86" t="str">
        <f>IF($C86="","",(SUM(COUNTIFS('Data entry'!$R$6:$R$200,$C86,'Data entry'!$B$6:$B$200,{"Confirmed";"Probable"},'Data entry'!$AQ$6:$AQ$200,'Data Validation'!$V$2, 'Data entry'!$AP$6:$AP$200,'Data Validation'!$U$4, 'Data entry'!$BD$6:$BD$200,"&lt;&gt;*Negative*"))))</f>
        <v/>
      </c>
      <c r="J86" t="str">
        <f>IF($C86="","",(SUM(COUNTIFS('Data entry'!$R$6:$R$200,$C86,'Data entry'!$B$6:$B$200,{"Confirmed";"Probable"},'Data entry'!$AQ$6:$AQ$200,'Data Validation'!$V$2, 'Data entry'!$AP$6:$AP$200,'Data Validation'!$U$5, 'Data entry'!$BD$6:$BD$200,"&lt;&gt;*Negative*"))))</f>
        <v/>
      </c>
      <c r="K86" t="str">
        <f>IF($C86="","",(SUM(COUNTIFS('Data entry'!$R$6:$R$200,$C86,'Data entry'!$B$6:$B$200,{"Confirmed";"Probable"},'Data entry'!$AQ$6:$AQ$200,'Data Validation'!$V$2, 'Data entry'!$AP$6:$AP$200,'Data Validation'!$U$6, 'Data entry'!$BD$6:$BD$200,"&lt;&gt;*Negative*"))))</f>
        <v/>
      </c>
      <c r="L86" t="str">
        <f>IF($C86="","",(SUM(COUNTIFS('Data entry'!$R$6:$R$200,$C86,'Data entry'!$B$6:$B$200,{"Confirmed";"Probable"},'Data entry'!$AQ$6:$AQ$200,'Data Validation'!$V$3, 'Data entry'!$AP$6:$AP$200,'Data Validation'!$U$2, 'Data entry'!$BD$6:$BD$200,"&lt;&gt;*Negative*"))))</f>
        <v/>
      </c>
      <c r="M86" t="str">
        <f>IF($C86="","",(SUM(COUNTIFS('Data entry'!$R$6:$R$200,$C86,'Data entry'!$B$6:$B$200,{"Confirmed";"Probable"},'Data entry'!$AQ$6:$AQ$200,'Data Validation'!$V$3, 'Data entry'!$AP$6:$AP$200,'Data Validation'!$U$3, 'Data entry'!$BD$6:$BD$200,"&lt;&gt;*Negative*"))))</f>
        <v/>
      </c>
      <c r="N86" t="str">
        <f>IF($C86="","",(SUM(COUNTIFS('Data entry'!$R$6:$R$200,$C86,'Data entry'!$B$6:$B$200,{"Confirmed";"Probable"},'Data entry'!$AQ$6:$AQ$200,'Data Validation'!$V$3, 'Data entry'!$AP$6:$AP$200,'Data Validation'!$U$4, 'Data entry'!$BD$6:$BD$200,"&lt;&gt;*Negative*"))))</f>
        <v/>
      </c>
      <c r="O86" t="str">
        <f>IF($C86="","",(SUM(COUNTIFS('Data entry'!$R$6:$R$200,$C86,'Data entry'!$B$6:$B$200,{"Confirmed";"Probable"},'Data entry'!$AQ$6:$AQ$200,'Data Validation'!$V$3, 'Data entry'!$AP$6:$AP$200,'Data Validation'!$U$5, 'Data entry'!$BD$6:$BD$200,"&lt;&gt;*Negative*"))))</f>
        <v/>
      </c>
      <c r="P86" t="str">
        <f>IF($C86="","",(SUM(COUNTIFS('Data entry'!$R$6:$R$200,$C86,'Data entry'!$B$6:$B$200,{"Confirmed";"Probable"},'Data entry'!$AQ$6:$AQ$200,'Data Validation'!$V$3, 'Data entry'!$AP$6:$AP$200,'Data Validation'!$U$6, 'Data entry'!$BD$6:$BD$200,"&lt;&gt;*Negative*"))))</f>
        <v/>
      </c>
    </row>
    <row r="87" spans="1:16" ht="15.6" x14ac:dyDescent="0.35">
      <c r="A87" s="1" t="str">
        <f>IF('Data entry'!B91="","",'Data entry'!B91)</f>
        <v/>
      </c>
      <c r="B87" s="1" t="str">
        <f>IF('Data entry'!O91="","",'Data entry'!O91)</f>
        <v/>
      </c>
      <c r="C87" s="321" t="str">
        <f>IF('Data entry'!R91="","",'Data entry'!R91)</f>
        <v/>
      </c>
      <c r="D87" s="1" t="str">
        <f>IF('Data entry'!AO91="","",'Data entry'!AO91)</f>
        <v/>
      </c>
      <c r="E87" s="1" t="str">
        <f>IF('Data entry'!AP91="","",'Data entry'!AP91)</f>
        <v/>
      </c>
      <c r="F87" s="1" t="str">
        <f>IF('Data entry'!AQ91="","",'Data entry'!AQ91)</f>
        <v/>
      </c>
      <c r="G87" t="str">
        <f>IF($C87="","",(SUM(COUNTIFS('Data entry'!$R$6:$R$200,$C87,'Data entry'!$B$6:$B$200,{"Confirmed";"Probable"},'Data entry'!$AQ$6:$AQ$200,'Data Validation'!$V$2, 'Data entry'!$AP$6:$AP$200,'Data Validation'!$U$2, 'Data entry'!$BD$6:$BD$200,"&lt;&gt;*Negative*"))))</f>
        <v/>
      </c>
      <c r="H87" t="str">
        <f>IF($C87="","",(SUM(COUNTIFS('Data entry'!$R$6:$R$200,$C87,'Data entry'!$B$6:$B$200,{"Confirmed";"Probable"},'Data entry'!$AQ$6:$AQ$200,'Data Validation'!$V$2, 'Data entry'!$AP$6:$AP$200,'Data Validation'!$U$3, 'Data entry'!$BD$6:$BD$200,"&lt;&gt;*Negative*"))))</f>
        <v/>
      </c>
      <c r="I87" t="str">
        <f>IF($C87="","",(SUM(COUNTIFS('Data entry'!$R$6:$R$200,$C87,'Data entry'!$B$6:$B$200,{"Confirmed";"Probable"},'Data entry'!$AQ$6:$AQ$200,'Data Validation'!$V$2, 'Data entry'!$AP$6:$AP$200,'Data Validation'!$U$4, 'Data entry'!$BD$6:$BD$200,"&lt;&gt;*Negative*"))))</f>
        <v/>
      </c>
      <c r="J87" t="str">
        <f>IF($C87="","",(SUM(COUNTIFS('Data entry'!$R$6:$R$200,$C87,'Data entry'!$B$6:$B$200,{"Confirmed";"Probable"},'Data entry'!$AQ$6:$AQ$200,'Data Validation'!$V$2, 'Data entry'!$AP$6:$AP$200,'Data Validation'!$U$5, 'Data entry'!$BD$6:$BD$200,"&lt;&gt;*Negative*"))))</f>
        <v/>
      </c>
      <c r="K87" t="str">
        <f>IF($C87="","",(SUM(COUNTIFS('Data entry'!$R$6:$R$200,$C87,'Data entry'!$B$6:$B$200,{"Confirmed";"Probable"},'Data entry'!$AQ$6:$AQ$200,'Data Validation'!$V$2, 'Data entry'!$AP$6:$AP$200,'Data Validation'!$U$6, 'Data entry'!$BD$6:$BD$200,"&lt;&gt;*Negative*"))))</f>
        <v/>
      </c>
      <c r="L87" t="str">
        <f>IF($C87="","",(SUM(COUNTIFS('Data entry'!$R$6:$R$200,$C87,'Data entry'!$B$6:$B$200,{"Confirmed";"Probable"},'Data entry'!$AQ$6:$AQ$200,'Data Validation'!$V$3, 'Data entry'!$AP$6:$AP$200,'Data Validation'!$U$2, 'Data entry'!$BD$6:$BD$200,"&lt;&gt;*Negative*"))))</f>
        <v/>
      </c>
      <c r="M87" t="str">
        <f>IF($C87="","",(SUM(COUNTIFS('Data entry'!$R$6:$R$200,$C87,'Data entry'!$B$6:$B$200,{"Confirmed";"Probable"},'Data entry'!$AQ$6:$AQ$200,'Data Validation'!$V$3, 'Data entry'!$AP$6:$AP$200,'Data Validation'!$U$3, 'Data entry'!$BD$6:$BD$200,"&lt;&gt;*Negative*"))))</f>
        <v/>
      </c>
      <c r="N87" t="str">
        <f>IF($C87="","",(SUM(COUNTIFS('Data entry'!$R$6:$R$200,$C87,'Data entry'!$B$6:$B$200,{"Confirmed";"Probable"},'Data entry'!$AQ$6:$AQ$200,'Data Validation'!$V$3, 'Data entry'!$AP$6:$AP$200,'Data Validation'!$U$4, 'Data entry'!$BD$6:$BD$200,"&lt;&gt;*Negative*"))))</f>
        <v/>
      </c>
      <c r="O87" t="str">
        <f>IF($C87="","",(SUM(COUNTIFS('Data entry'!$R$6:$R$200,$C87,'Data entry'!$B$6:$B$200,{"Confirmed";"Probable"},'Data entry'!$AQ$6:$AQ$200,'Data Validation'!$V$3, 'Data entry'!$AP$6:$AP$200,'Data Validation'!$U$5, 'Data entry'!$BD$6:$BD$200,"&lt;&gt;*Negative*"))))</f>
        <v/>
      </c>
      <c r="P87" t="str">
        <f>IF($C87="","",(SUM(COUNTIFS('Data entry'!$R$6:$R$200,$C87,'Data entry'!$B$6:$B$200,{"Confirmed";"Probable"},'Data entry'!$AQ$6:$AQ$200,'Data Validation'!$V$3, 'Data entry'!$AP$6:$AP$200,'Data Validation'!$U$6, 'Data entry'!$BD$6:$BD$200,"&lt;&gt;*Negative*"))))</f>
        <v/>
      </c>
    </row>
    <row r="88" spans="1:16" ht="15.6" x14ac:dyDescent="0.35">
      <c r="A88" s="1" t="str">
        <f>IF('Data entry'!B92="","",'Data entry'!B92)</f>
        <v/>
      </c>
      <c r="B88" s="1" t="str">
        <f>IF('Data entry'!O92="","",'Data entry'!O92)</f>
        <v/>
      </c>
      <c r="C88" s="321" t="str">
        <f>IF('Data entry'!R92="","",'Data entry'!R92)</f>
        <v/>
      </c>
      <c r="D88" s="1" t="str">
        <f>IF('Data entry'!AO92="","",'Data entry'!AO92)</f>
        <v/>
      </c>
      <c r="E88" s="1" t="str">
        <f>IF('Data entry'!AP92="","",'Data entry'!AP92)</f>
        <v/>
      </c>
      <c r="F88" s="1" t="str">
        <f>IF('Data entry'!AQ92="","",'Data entry'!AQ92)</f>
        <v/>
      </c>
      <c r="G88" t="str">
        <f>IF($C88="","",(SUM(COUNTIFS('Data entry'!$R$6:$R$200,$C88,'Data entry'!$B$6:$B$200,{"Confirmed";"Probable"},'Data entry'!$AQ$6:$AQ$200,'Data Validation'!$V$2, 'Data entry'!$AP$6:$AP$200,'Data Validation'!$U$2, 'Data entry'!$BD$6:$BD$200,"&lt;&gt;*Negative*"))))</f>
        <v/>
      </c>
      <c r="H88" t="str">
        <f>IF($C88="","",(SUM(COUNTIFS('Data entry'!$R$6:$R$200,$C88,'Data entry'!$B$6:$B$200,{"Confirmed";"Probable"},'Data entry'!$AQ$6:$AQ$200,'Data Validation'!$V$2, 'Data entry'!$AP$6:$AP$200,'Data Validation'!$U$3, 'Data entry'!$BD$6:$BD$200,"&lt;&gt;*Negative*"))))</f>
        <v/>
      </c>
      <c r="I88" t="str">
        <f>IF($C88="","",(SUM(COUNTIFS('Data entry'!$R$6:$R$200,$C88,'Data entry'!$B$6:$B$200,{"Confirmed";"Probable"},'Data entry'!$AQ$6:$AQ$200,'Data Validation'!$V$2, 'Data entry'!$AP$6:$AP$200,'Data Validation'!$U$4, 'Data entry'!$BD$6:$BD$200,"&lt;&gt;*Negative*"))))</f>
        <v/>
      </c>
      <c r="J88" t="str">
        <f>IF($C88="","",(SUM(COUNTIFS('Data entry'!$R$6:$R$200,$C88,'Data entry'!$B$6:$B$200,{"Confirmed";"Probable"},'Data entry'!$AQ$6:$AQ$200,'Data Validation'!$V$2, 'Data entry'!$AP$6:$AP$200,'Data Validation'!$U$5, 'Data entry'!$BD$6:$BD$200,"&lt;&gt;*Negative*"))))</f>
        <v/>
      </c>
      <c r="K88" t="str">
        <f>IF($C88="","",(SUM(COUNTIFS('Data entry'!$R$6:$R$200,$C88,'Data entry'!$B$6:$B$200,{"Confirmed";"Probable"},'Data entry'!$AQ$6:$AQ$200,'Data Validation'!$V$2, 'Data entry'!$AP$6:$AP$200,'Data Validation'!$U$6, 'Data entry'!$BD$6:$BD$200,"&lt;&gt;*Negative*"))))</f>
        <v/>
      </c>
      <c r="L88" t="str">
        <f>IF($C88="","",(SUM(COUNTIFS('Data entry'!$R$6:$R$200,$C88,'Data entry'!$B$6:$B$200,{"Confirmed";"Probable"},'Data entry'!$AQ$6:$AQ$200,'Data Validation'!$V$3, 'Data entry'!$AP$6:$AP$200,'Data Validation'!$U$2, 'Data entry'!$BD$6:$BD$200,"&lt;&gt;*Negative*"))))</f>
        <v/>
      </c>
      <c r="M88" t="str">
        <f>IF($C88="","",(SUM(COUNTIFS('Data entry'!$R$6:$R$200,$C88,'Data entry'!$B$6:$B$200,{"Confirmed";"Probable"},'Data entry'!$AQ$6:$AQ$200,'Data Validation'!$V$3, 'Data entry'!$AP$6:$AP$200,'Data Validation'!$U$3, 'Data entry'!$BD$6:$BD$200,"&lt;&gt;*Negative*"))))</f>
        <v/>
      </c>
      <c r="N88" t="str">
        <f>IF($C88="","",(SUM(COUNTIFS('Data entry'!$R$6:$R$200,$C88,'Data entry'!$B$6:$B$200,{"Confirmed";"Probable"},'Data entry'!$AQ$6:$AQ$200,'Data Validation'!$V$3, 'Data entry'!$AP$6:$AP$200,'Data Validation'!$U$4, 'Data entry'!$BD$6:$BD$200,"&lt;&gt;*Negative*"))))</f>
        <v/>
      </c>
      <c r="O88" t="str">
        <f>IF($C88="","",(SUM(COUNTIFS('Data entry'!$R$6:$R$200,$C88,'Data entry'!$B$6:$B$200,{"Confirmed";"Probable"},'Data entry'!$AQ$6:$AQ$200,'Data Validation'!$V$3, 'Data entry'!$AP$6:$AP$200,'Data Validation'!$U$5, 'Data entry'!$BD$6:$BD$200,"&lt;&gt;*Negative*"))))</f>
        <v/>
      </c>
      <c r="P88" t="str">
        <f>IF($C88="","",(SUM(COUNTIFS('Data entry'!$R$6:$R$200,$C88,'Data entry'!$B$6:$B$200,{"Confirmed";"Probable"},'Data entry'!$AQ$6:$AQ$200,'Data Validation'!$V$3, 'Data entry'!$AP$6:$AP$200,'Data Validation'!$U$6, 'Data entry'!$BD$6:$BD$200,"&lt;&gt;*Negative*"))))</f>
        <v/>
      </c>
    </row>
    <row r="89" spans="1:16" ht="15.6" x14ac:dyDescent="0.35">
      <c r="A89" s="1" t="str">
        <f>IF('Data entry'!B93="","",'Data entry'!B93)</f>
        <v/>
      </c>
      <c r="B89" s="1" t="str">
        <f>IF('Data entry'!O93="","",'Data entry'!O93)</f>
        <v/>
      </c>
      <c r="C89" s="321" t="str">
        <f>IF('Data entry'!R93="","",'Data entry'!R93)</f>
        <v/>
      </c>
      <c r="D89" s="1" t="str">
        <f>IF('Data entry'!AO93="","",'Data entry'!AO93)</f>
        <v/>
      </c>
      <c r="E89" s="1" t="str">
        <f>IF('Data entry'!AP93="","",'Data entry'!AP93)</f>
        <v/>
      </c>
      <c r="F89" s="1" t="str">
        <f>IF('Data entry'!AQ93="","",'Data entry'!AQ93)</f>
        <v/>
      </c>
      <c r="G89" t="str">
        <f>IF($C89="","",(SUM(COUNTIFS('Data entry'!$R$6:$R$200,$C89,'Data entry'!$B$6:$B$200,{"Confirmed";"Probable"},'Data entry'!$AQ$6:$AQ$200,'Data Validation'!$V$2, 'Data entry'!$AP$6:$AP$200,'Data Validation'!$U$2, 'Data entry'!$BD$6:$BD$200,"&lt;&gt;*Negative*"))))</f>
        <v/>
      </c>
      <c r="H89" t="str">
        <f>IF($C89="","",(SUM(COUNTIFS('Data entry'!$R$6:$R$200,$C89,'Data entry'!$B$6:$B$200,{"Confirmed";"Probable"},'Data entry'!$AQ$6:$AQ$200,'Data Validation'!$V$2, 'Data entry'!$AP$6:$AP$200,'Data Validation'!$U$3, 'Data entry'!$BD$6:$BD$200,"&lt;&gt;*Negative*"))))</f>
        <v/>
      </c>
      <c r="I89" t="str">
        <f>IF($C89="","",(SUM(COUNTIFS('Data entry'!$R$6:$R$200,$C89,'Data entry'!$B$6:$B$200,{"Confirmed";"Probable"},'Data entry'!$AQ$6:$AQ$200,'Data Validation'!$V$2, 'Data entry'!$AP$6:$AP$200,'Data Validation'!$U$4, 'Data entry'!$BD$6:$BD$200,"&lt;&gt;*Negative*"))))</f>
        <v/>
      </c>
      <c r="J89" t="str">
        <f>IF($C89="","",(SUM(COUNTIFS('Data entry'!$R$6:$R$200,$C89,'Data entry'!$B$6:$B$200,{"Confirmed";"Probable"},'Data entry'!$AQ$6:$AQ$200,'Data Validation'!$V$2, 'Data entry'!$AP$6:$AP$200,'Data Validation'!$U$5, 'Data entry'!$BD$6:$BD$200,"&lt;&gt;*Negative*"))))</f>
        <v/>
      </c>
      <c r="K89" t="str">
        <f>IF($C89="","",(SUM(COUNTIFS('Data entry'!$R$6:$R$200,$C89,'Data entry'!$B$6:$B$200,{"Confirmed";"Probable"},'Data entry'!$AQ$6:$AQ$200,'Data Validation'!$V$2, 'Data entry'!$AP$6:$AP$200,'Data Validation'!$U$6, 'Data entry'!$BD$6:$BD$200,"&lt;&gt;*Negative*"))))</f>
        <v/>
      </c>
      <c r="L89" t="str">
        <f>IF($C89="","",(SUM(COUNTIFS('Data entry'!$R$6:$R$200,$C89,'Data entry'!$B$6:$B$200,{"Confirmed";"Probable"},'Data entry'!$AQ$6:$AQ$200,'Data Validation'!$V$3, 'Data entry'!$AP$6:$AP$200,'Data Validation'!$U$2, 'Data entry'!$BD$6:$BD$200,"&lt;&gt;*Negative*"))))</f>
        <v/>
      </c>
      <c r="M89" t="str">
        <f>IF($C89="","",(SUM(COUNTIFS('Data entry'!$R$6:$R$200,$C89,'Data entry'!$B$6:$B$200,{"Confirmed";"Probable"},'Data entry'!$AQ$6:$AQ$200,'Data Validation'!$V$3, 'Data entry'!$AP$6:$AP$200,'Data Validation'!$U$3, 'Data entry'!$BD$6:$BD$200,"&lt;&gt;*Negative*"))))</f>
        <v/>
      </c>
      <c r="N89" t="str">
        <f>IF($C89="","",(SUM(COUNTIFS('Data entry'!$R$6:$R$200,$C89,'Data entry'!$B$6:$B$200,{"Confirmed";"Probable"},'Data entry'!$AQ$6:$AQ$200,'Data Validation'!$V$3, 'Data entry'!$AP$6:$AP$200,'Data Validation'!$U$4, 'Data entry'!$BD$6:$BD$200,"&lt;&gt;*Negative*"))))</f>
        <v/>
      </c>
      <c r="O89" t="str">
        <f>IF($C89="","",(SUM(COUNTIFS('Data entry'!$R$6:$R$200,$C89,'Data entry'!$B$6:$B$200,{"Confirmed";"Probable"},'Data entry'!$AQ$6:$AQ$200,'Data Validation'!$V$3, 'Data entry'!$AP$6:$AP$200,'Data Validation'!$U$5, 'Data entry'!$BD$6:$BD$200,"&lt;&gt;*Negative*"))))</f>
        <v/>
      </c>
      <c r="P89" t="str">
        <f>IF($C89="","",(SUM(COUNTIFS('Data entry'!$R$6:$R$200,$C89,'Data entry'!$B$6:$B$200,{"Confirmed";"Probable"},'Data entry'!$AQ$6:$AQ$200,'Data Validation'!$V$3, 'Data entry'!$AP$6:$AP$200,'Data Validation'!$U$6, 'Data entry'!$BD$6:$BD$200,"&lt;&gt;*Negative*"))))</f>
        <v/>
      </c>
    </row>
    <row r="90" spans="1:16" ht="15.6" x14ac:dyDescent="0.35">
      <c r="A90" s="1" t="str">
        <f>IF('Data entry'!B94="","",'Data entry'!B94)</f>
        <v/>
      </c>
      <c r="B90" s="1" t="str">
        <f>IF('Data entry'!O94="","",'Data entry'!O94)</f>
        <v/>
      </c>
      <c r="C90" s="321" t="str">
        <f>IF('Data entry'!R94="","",'Data entry'!R94)</f>
        <v/>
      </c>
      <c r="D90" s="1" t="str">
        <f>IF('Data entry'!AO94="","",'Data entry'!AO94)</f>
        <v/>
      </c>
      <c r="E90" s="1" t="str">
        <f>IF('Data entry'!AP94="","",'Data entry'!AP94)</f>
        <v/>
      </c>
      <c r="F90" s="1" t="str">
        <f>IF('Data entry'!AQ94="","",'Data entry'!AQ94)</f>
        <v/>
      </c>
      <c r="G90" t="str">
        <f>IF($C90="","",(SUM(COUNTIFS('Data entry'!$R$6:$R$200,$C90,'Data entry'!$B$6:$B$200,{"Confirmed";"Probable"},'Data entry'!$AQ$6:$AQ$200,'Data Validation'!$V$2, 'Data entry'!$AP$6:$AP$200,'Data Validation'!$U$2, 'Data entry'!$BD$6:$BD$200,"&lt;&gt;*Negative*"))))</f>
        <v/>
      </c>
      <c r="H90" t="str">
        <f>IF($C90="","",(SUM(COUNTIFS('Data entry'!$R$6:$R$200,$C90,'Data entry'!$B$6:$B$200,{"Confirmed";"Probable"},'Data entry'!$AQ$6:$AQ$200,'Data Validation'!$V$2, 'Data entry'!$AP$6:$AP$200,'Data Validation'!$U$3, 'Data entry'!$BD$6:$BD$200,"&lt;&gt;*Negative*"))))</f>
        <v/>
      </c>
      <c r="I90" t="str">
        <f>IF($C90="","",(SUM(COUNTIFS('Data entry'!$R$6:$R$200,$C90,'Data entry'!$B$6:$B$200,{"Confirmed";"Probable"},'Data entry'!$AQ$6:$AQ$200,'Data Validation'!$V$2, 'Data entry'!$AP$6:$AP$200,'Data Validation'!$U$4, 'Data entry'!$BD$6:$BD$200,"&lt;&gt;*Negative*"))))</f>
        <v/>
      </c>
      <c r="J90" t="str">
        <f>IF($C90="","",(SUM(COUNTIFS('Data entry'!$R$6:$R$200,$C90,'Data entry'!$B$6:$B$200,{"Confirmed";"Probable"},'Data entry'!$AQ$6:$AQ$200,'Data Validation'!$V$2, 'Data entry'!$AP$6:$AP$200,'Data Validation'!$U$5, 'Data entry'!$BD$6:$BD$200,"&lt;&gt;*Negative*"))))</f>
        <v/>
      </c>
      <c r="K90" t="str">
        <f>IF($C90="","",(SUM(COUNTIFS('Data entry'!$R$6:$R$200,$C90,'Data entry'!$B$6:$B$200,{"Confirmed";"Probable"},'Data entry'!$AQ$6:$AQ$200,'Data Validation'!$V$2, 'Data entry'!$AP$6:$AP$200,'Data Validation'!$U$6, 'Data entry'!$BD$6:$BD$200,"&lt;&gt;*Negative*"))))</f>
        <v/>
      </c>
      <c r="L90" t="str">
        <f>IF($C90="","",(SUM(COUNTIFS('Data entry'!$R$6:$R$200,$C90,'Data entry'!$B$6:$B$200,{"Confirmed";"Probable"},'Data entry'!$AQ$6:$AQ$200,'Data Validation'!$V$3, 'Data entry'!$AP$6:$AP$200,'Data Validation'!$U$2, 'Data entry'!$BD$6:$BD$200,"&lt;&gt;*Negative*"))))</f>
        <v/>
      </c>
      <c r="M90" t="str">
        <f>IF($C90="","",(SUM(COUNTIFS('Data entry'!$R$6:$R$200,$C90,'Data entry'!$B$6:$B$200,{"Confirmed";"Probable"},'Data entry'!$AQ$6:$AQ$200,'Data Validation'!$V$3, 'Data entry'!$AP$6:$AP$200,'Data Validation'!$U$3, 'Data entry'!$BD$6:$BD$200,"&lt;&gt;*Negative*"))))</f>
        <v/>
      </c>
      <c r="N90" t="str">
        <f>IF($C90="","",(SUM(COUNTIFS('Data entry'!$R$6:$R$200,$C90,'Data entry'!$B$6:$B$200,{"Confirmed";"Probable"},'Data entry'!$AQ$6:$AQ$200,'Data Validation'!$V$3, 'Data entry'!$AP$6:$AP$200,'Data Validation'!$U$4, 'Data entry'!$BD$6:$BD$200,"&lt;&gt;*Negative*"))))</f>
        <v/>
      </c>
      <c r="O90" t="str">
        <f>IF($C90="","",(SUM(COUNTIFS('Data entry'!$R$6:$R$200,$C90,'Data entry'!$B$6:$B$200,{"Confirmed";"Probable"},'Data entry'!$AQ$6:$AQ$200,'Data Validation'!$V$3, 'Data entry'!$AP$6:$AP$200,'Data Validation'!$U$5, 'Data entry'!$BD$6:$BD$200,"&lt;&gt;*Negative*"))))</f>
        <v/>
      </c>
      <c r="P90" t="str">
        <f>IF($C90="","",(SUM(COUNTIFS('Data entry'!$R$6:$R$200,$C90,'Data entry'!$B$6:$B$200,{"Confirmed";"Probable"},'Data entry'!$AQ$6:$AQ$200,'Data Validation'!$V$3, 'Data entry'!$AP$6:$AP$200,'Data Validation'!$U$6, 'Data entry'!$BD$6:$BD$200,"&lt;&gt;*Negative*"))))</f>
        <v/>
      </c>
    </row>
    <row r="91" spans="1:16" ht="15.6" x14ac:dyDescent="0.35">
      <c r="A91" s="1" t="str">
        <f>IF('Data entry'!B95="","",'Data entry'!B95)</f>
        <v/>
      </c>
      <c r="B91" s="1" t="str">
        <f>IF('Data entry'!O95="","",'Data entry'!O95)</f>
        <v/>
      </c>
      <c r="C91" s="321" t="str">
        <f>IF('Data entry'!R95="","",'Data entry'!R95)</f>
        <v/>
      </c>
      <c r="D91" s="1" t="str">
        <f>IF('Data entry'!AO95="","",'Data entry'!AO95)</f>
        <v/>
      </c>
      <c r="E91" s="1" t="str">
        <f>IF('Data entry'!AP95="","",'Data entry'!AP95)</f>
        <v/>
      </c>
      <c r="F91" s="1" t="str">
        <f>IF('Data entry'!AQ95="","",'Data entry'!AQ95)</f>
        <v/>
      </c>
      <c r="G91" t="str">
        <f>IF($C91="","",(SUM(COUNTIFS('Data entry'!$R$6:$R$200,$C91,'Data entry'!$B$6:$B$200,{"Confirmed";"Probable"},'Data entry'!$AQ$6:$AQ$200,'Data Validation'!$V$2, 'Data entry'!$AP$6:$AP$200,'Data Validation'!$U$2, 'Data entry'!$BD$6:$BD$200,"&lt;&gt;*Negative*"))))</f>
        <v/>
      </c>
      <c r="H91" t="str">
        <f>IF($C91="","",(SUM(COUNTIFS('Data entry'!$R$6:$R$200,$C91,'Data entry'!$B$6:$B$200,{"Confirmed";"Probable"},'Data entry'!$AQ$6:$AQ$200,'Data Validation'!$V$2, 'Data entry'!$AP$6:$AP$200,'Data Validation'!$U$3, 'Data entry'!$BD$6:$BD$200,"&lt;&gt;*Negative*"))))</f>
        <v/>
      </c>
      <c r="I91" t="str">
        <f>IF($C91="","",(SUM(COUNTIFS('Data entry'!$R$6:$R$200,$C91,'Data entry'!$B$6:$B$200,{"Confirmed";"Probable"},'Data entry'!$AQ$6:$AQ$200,'Data Validation'!$V$2, 'Data entry'!$AP$6:$AP$200,'Data Validation'!$U$4, 'Data entry'!$BD$6:$BD$200,"&lt;&gt;*Negative*"))))</f>
        <v/>
      </c>
      <c r="J91" t="str">
        <f>IF($C91="","",(SUM(COUNTIFS('Data entry'!$R$6:$R$200,$C91,'Data entry'!$B$6:$B$200,{"Confirmed";"Probable"},'Data entry'!$AQ$6:$AQ$200,'Data Validation'!$V$2, 'Data entry'!$AP$6:$AP$200,'Data Validation'!$U$5, 'Data entry'!$BD$6:$BD$200,"&lt;&gt;*Negative*"))))</f>
        <v/>
      </c>
      <c r="K91" t="str">
        <f>IF($C91="","",(SUM(COUNTIFS('Data entry'!$R$6:$R$200,$C91,'Data entry'!$B$6:$B$200,{"Confirmed";"Probable"},'Data entry'!$AQ$6:$AQ$200,'Data Validation'!$V$2, 'Data entry'!$AP$6:$AP$200,'Data Validation'!$U$6, 'Data entry'!$BD$6:$BD$200,"&lt;&gt;*Negative*"))))</f>
        <v/>
      </c>
      <c r="L91" t="str">
        <f>IF($C91="","",(SUM(COUNTIFS('Data entry'!$R$6:$R$200,$C91,'Data entry'!$B$6:$B$200,{"Confirmed";"Probable"},'Data entry'!$AQ$6:$AQ$200,'Data Validation'!$V$3, 'Data entry'!$AP$6:$AP$200,'Data Validation'!$U$2, 'Data entry'!$BD$6:$BD$200,"&lt;&gt;*Negative*"))))</f>
        <v/>
      </c>
      <c r="M91" t="str">
        <f>IF($C91="","",(SUM(COUNTIFS('Data entry'!$R$6:$R$200,$C91,'Data entry'!$B$6:$B$200,{"Confirmed";"Probable"},'Data entry'!$AQ$6:$AQ$200,'Data Validation'!$V$3, 'Data entry'!$AP$6:$AP$200,'Data Validation'!$U$3, 'Data entry'!$BD$6:$BD$200,"&lt;&gt;*Negative*"))))</f>
        <v/>
      </c>
      <c r="N91" t="str">
        <f>IF($C91="","",(SUM(COUNTIFS('Data entry'!$R$6:$R$200,$C91,'Data entry'!$B$6:$B$200,{"Confirmed";"Probable"},'Data entry'!$AQ$6:$AQ$200,'Data Validation'!$V$3, 'Data entry'!$AP$6:$AP$200,'Data Validation'!$U$4, 'Data entry'!$BD$6:$BD$200,"&lt;&gt;*Negative*"))))</f>
        <v/>
      </c>
      <c r="O91" t="str">
        <f>IF($C91="","",(SUM(COUNTIFS('Data entry'!$R$6:$R$200,$C91,'Data entry'!$B$6:$B$200,{"Confirmed";"Probable"},'Data entry'!$AQ$6:$AQ$200,'Data Validation'!$V$3, 'Data entry'!$AP$6:$AP$200,'Data Validation'!$U$5, 'Data entry'!$BD$6:$BD$200,"&lt;&gt;*Negative*"))))</f>
        <v/>
      </c>
      <c r="P91" t="str">
        <f>IF($C91="","",(SUM(COUNTIFS('Data entry'!$R$6:$R$200,$C91,'Data entry'!$B$6:$B$200,{"Confirmed";"Probable"},'Data entry'!$AQ$6:$AQ$200,'Data Validation'!$V$3, 'Data entry'!$AP$6:$AP$200,'Data Validation'!$U$6, 'Data entry'!$BD$6:$BD$200,"&lt;&gt;*Negative*"))))</f>
        <v/>
      </c>
    </row>
    <row r="92" spans="1:16" ht="15.6" x14ac:dyDescent="0.35">
      <c r="A92" s="1" t="str">
        <f>IF('Data entry'!B96="","",'Data entry'!B96)</f>
        <v/>
      </c>
      <c r="B92" s="1" t="str">
        <f>IF('Data entry'!O96="","",'Data entry'!O96)</f>
        <v/>
      </c>
      <c r="C92" s="321" t="str">
        <f>IF('Data entry'!R96="","",'Data entry'!R96)</f>
        <v/>
      </c>
      <c r="D92" s="1" t="str">
        <f>IF('Data entry'!AO96="","",'Data entry'!AO96)</f>
        <v/>
      </c>
      <c r="E92" s="1" t="str">
        <f>IF('Data entry'!AP96="","",'Data entry'!AP96)</f>
        <v/>
      </c>
      <c r="F92" s="1" t="str">
        <f>IF('Data entry'!AQ96="","",'Data entry'!AQ96)</f>
        <v/>
      </c>
      <c r="G92" t="str">
        <f>IF($C92="","",(SUM(COUNTIFS('Data entry'!$R$6:$R$200,$C92,'Data entry'!$B$6:$B$200,{"Confirmed";"Probable"},'Data entry'!$AQ$6:$AQ$200,'Data Validation'!$V$2, 'Data entry'!$AP$6:$AP$200,'Data Validation'!$U$2, 'Data entry'!$BD$6:$BD$200,"&lt;&gt;*Negative*"))))</f>
        <v/>
      </c>
      <c r="H92" t="str">
        <f>IF($C92="","",(SUM(COUNTIFS('Data entry'!$R$6:$R$200,$C92,'Data entry'!$B$6:$B$200,{"Confirmed";"Probable"},'Data entry'!$AQ$6:$AQ$200,'Data Validation'!$V$2, 'Data entry'!$AP$6:$AP$200,'Data Validation'!$U$3, 'Data entry'!$BD$6:$BD$200,"&lt;&gt;*Negative*"))))</f>
        <v/>
      </c>
      <c r="I92" t="str">
        <f>IF($C92="","",(SUM(COUNTIFS('Data entry'!$R$6:$R$200,$C92,'Data entry'!$B$6:$B$200,{"Confirmed";"Probable"},'Data entry'!$AQ$6:$AQ$200,'Data Validation'!$V$2, 'Data entry'!$AP$6:$AP$200,'Data Validation'!$U$4, 'Data entry'!$BD$6:$BD$200,"&lt;&gt;*Negative*"))))</f>
        <v/>
      </c>
      <c r="J92" t="str">
        <f>IF($C92="","",(SUM(COUNTIFS('Data entry'!$R$6:$R$200,$C92,'Data entry'!$B$6:$B$200,{"Confirmed";"Probable"},'Data entry'!$AQ$6:$AQ$200,'Data Validation'!$V$2, 'Data entry'!$AP$6:$AP$200,'Data Validation'!$U$5, 'Data entry'!$BD$6:$BD$200,"&lt;&gt;*Negative*"))))</f>
        <v/>
      </c>
      <c r="K92" t="str">
        <f>IF($C92="","",(SUM(COUNTIFS('Data entry'!$R$6:$R$200,$C92,'Data entry'!$B$6:$B$200,{"Confirmed";"Probable"},'Data entry'!$AQ$6:$AQ$200,'Data Validation'!$V$2, 'Data entry'!$AP$6:$AP$200,'Data Validation'!$U$6, 'Data entry'!$BD$6:$BD$200,"&lt;&gt;*Negative*"))))</f>
        <v/>
      </c>
      <c r="L92" t="str">
        <f>IF($C92="","",(SUM(COUNTIFS('Data entry'!$R$6:$R$200,$C92,'Data entry'!$B$6:$B$200,{"Confirmed";"Probable"},'Data entry'!$AQ$6:$AQ$200,'Data Validation'!$V$3, 'Data entry'!$AP$6:$AP$200,'Data Validation'!$U$2, 'Data entry'!$BD$6:$BD$200,"&lt;&gt;*Negative*"))))</f>
        <v/>
      </c>
      <c r="M92" t="str">
        <f>IF($C92="","",(SUM(COUNTIFS('Data entry'!$R$6:$R$200,$C92,'Data entry'!$B$6:$B$200,{"Confirmed";"Probable"},'Data entry'!$AQ$6:$AQ$200,'Data Validation'!$V$3, 'Data entry'!$AP$6:$AP$200,'Data Validation'!$U$3, 'Data entry'!$BD$6:$BD$200,"&lt;&gt;*Negative*"))))</f>
        <v/>
      </c>
      <c r="N92" t="str">
        <f>IF($C92="","",(SUM(COUNTIFS('Data entry'!$R$6:$R$200,$C92,'Data entry'!$B$6:$B$200,{"Confirmed";"Probable"},'Data entry'!$AQ$6:$AQ$200,'Data Validation'!$V$3, 'Data entry'!$AP$6:$AP$200,'Data Validation'!$U$4, 'Data entry'!$BD$6:$BD$200,"&lt;&gt;*Negative*"))))</f>
        <v/>
      </c>
      <c r="O92" t="str">
        <f>IF($C92="","",(SUM(COUNTIFS('Data entry'!$R$6:$R$200,$C92,'Data entry'!$B$6:$B$200,{"Confirmed";"Probable"},'Data entry'!$AQ$6:$AQ$200,'Data Validation'!$V$3, 'Data entry'!$AP$6:$AP$200,'Data Validation'!$U$5, 'Data entry'!$BD$6:$BD$200,"&lt;&gt;*Negative*"))))</f>
        <v/>
      </c>
      <c r="P92" t="str">
        <f>IF($C92="","",(SUM(COUNTIFS('Data entry'!$R$6:$R$200,$C92,'Data entry'!$B$6:$B$200,{"Confirmed";"Probable"},'Data entry'!$AQ$6:$AQ$200,'Data Validation'!$V$3, 'Data entry'!$AP$6:$AP$200,'Data Validation'!$U$6, 'Data entry'!$BD$6:$BD$200,"&lt;&gt;*Negative*"))))</f>
        <v/>
      </c>
    </row>
    <row r="93" spans="1:16" ht="15.6" x14ac:dyDescent="0.35">
      <c r="A93" s="1" t="str">
        <f>IF('Data entry'!B97="","",'Data entry'!B97)</f>
        <v/>
      </c>
      <c r="B93" s="1" t="str">
        <f>IF('Data entry'!O97="","",'Data entry'!O97)</f>
        <v/>
      </c>
      <c r="C93" s="321" t="str">
        <f>IF('Data entry'!R97="","",'Data entry'!R97)</f>
        <v/>
      </c>
      <c r="D93" s="1" t="str">
        <f>IF('Data entry'!AO97="","",'Data entry'!AO97)</f>
        <v/>
      </c>
      <c r="E93" s="1" t="str">
        <f>IF('Data entry'!AP97="","",'Data entry'!AP97)</f>
        <v/>
      </c>
      <c r="F93" s="1" t="str">
        <f>IF('Data entry'!AQ97="","",'Data entry'!AQ97)</f>
        <v/>
      </c>
      <c r="G93" t="str">
        <f>IF($C93="","",(SUM(COUNTIFS('Data entry'!$R$6:$R$200,$C93,'Data entry'!$B$6:$B$200,{"Confirmed";"Probable"},'Data entry'!$AQ$6:$AQ$200,'Data Validation'!$V$2, 'Data entry'!$AP$6:$AP$200,'Data Validation'!$U$2, 'Data entry'!$BD$6:$BD$200,"&lt;&gt;*Negative*"))))</f>
        <v/>
      </c>
      <c r="H93" t="str">
        <f>IF($C93="","",(SUM(COUNTIFS('Data entry'!$R$6:$R$200,$C93,'Data entry'!$B$6:$B$200,{"Confirmed";"Probable"},'Data entry'!$AQ$6:$AQ$200,'Data Validation'!$V$2, 'Data entry'!$AP$6:$AP$200,'Data Validation'!$U$3, 'Data entry'!$BD$6:$BD$200,"&lt;&gt;*Negative*"))))</f>
        <v/>
      </c>
      <c r="I93" t="str">
        <f>IF($C93="","",(SUM(COUNTIFS('Data entry'!$R$6:$R$200,$C93,'Data entry'!$B$6:$B$200,{"Confirmed";"Probable"},'Data entry'!$AQ$6:$AQ$200,'Data Validation'!$V$2, 'Data entry'!$AP$6:$AP$200,'Data Validation'!$U$4, 'Data entry'!$BD$6:$BD$200,"&lt;&gt;*Negative*"))))</f>
        <v/>
      </c>
      <c r="J93" t="str">
        <f>IF($C93="","",(SUM(COUNTIFS('Data entry'!$R$6:$R$200,$C93,'Data entry'!$B$6:$B$200,{"Confirmed";"Probable"},'Data entry'!$AQ$6:$AQ$200,'Data Validation'!$V$2, 'Data entry'!$AP$6:$AP$200,'Data Validation'!$U$5, 'Data entry'!$BD$6:$BD$200,"&lt;&gt;*Negative*"))))</f>
        <v/>
      </c>
      <c r="K93" t="str">
        <f>IF($C93="","",(SUM(COUNTIFS('Data entry'!$R$6:$R$200,$C93,'Data entry'!$B$6:$B$200,{"Confirmed";"Probable"},'Data entry'!$AQ$6:$AQ$200,'Data Validation'!$V$2, 'Data entry'!$AP$6:$AP$200,'Data Validation'!$U$6, 'Data entry'!$BD$6:$BD$200,"&lt;&gt;*Negative*"))))</f>
        <v/>
      </c>
      <c r="L93" t="str">
        <f>IF($C93="","",(SUM(COUNTIFS('Data entry'!$R$6:$R$200,$C93,'Data entry'!$B$6:$B$200,{"Confirmed";"Probable"},'Data entry'!$AQ$6:$AQ$200,'Data Validation'!$V$3, 'Data entry'!$AP$6:$AP$200,'Data Validation'!$U$2, 'Data entry'!$BD$6:$BD$200,"&lt;&gt;*Negative*"))))</f>
        <v/>
      </c>
      <c r="M93" t="str">
        <f>IF($C93="","",(SUM(COUNTIFS('Data entry'!$R$6:$R$200,$C93,'Data entry'!$B$6:$B$200,{"Confirmed";"Probable"},'Data entry'!$AQ$6:$AQ$200,'Data Validation'!$V$3, 'Data entry'!$AP$6:$AP$200,'Data Validation'!$U$3, 'Data entry'!$BD$6:$BD$200,"&lt;&gt;*Negative*"))))</f>
        <v/>
      </c>
      <c r="N93" t="str">
        <f>IF($C93="","",(SUM(COUNTIFS('Data entry'!$R$6:$R$200,$C93,'Data entry'!$B$6:$B$200,{"Confirmed";"Probable"},'Data entry'!$AQ$6:$AQ$200,'Data Validation'!$V$3, 'Data entry'!$AP$6:$AP$200,'Data Validation'!$U$4, 'Data entry'!$BD$6:$BD$200,"&lt;&gt;*Negative*"))))</f>
        <v/>
      </c>
      <c r="O93" t="str">
        <f>IF($C93="","",(SUM(COUNTIFS('Data entry'!$R$6:$R$200,$C93,'Data entry'!$B$6:$B$200,{"Confirmed";"Probable"},'Data entry'!$AQ$6:$AQ$200,'Data Validation'!$V$3, 'Data entry'!$AP$6:$AP$200,'Data Validation'!$U$5, 'Data entry'!$BD$6:$BD$200,"&lt;&gt;*Negative*"))))</f>
        <v/>
      </c>
      <c r="P93" t="str">
        <f>IF($C93="","",(SUM(COUNTIFS('Data entry'!$R$6:$R$200,$C93,'Data entry'!$B$6:$B$200,{"Confirmed";"Probable"},'Data entry'!$AQ$6:$AQ$200,'Data Validation'!$V$3, 'Data entry'!$AP$6:$AP$200,'Data Validation'!$U$6, 'Data entry'!$BD$6:$BD$200,"&lt;&gt;*Negative*"))))</f>
        <v/>
      </c>
    </row>
    <row r="94" spans="1:16" ht="15.6" x14ac:dyDescent="0.35">
      <c r="A94" s="1" t="str">
        <f>IF('Data entry'!B98="","",'Data entry'!B98)</f>
        <v/>
      </c>
      <c r="B94" s="1" t="str">
        <f>IF('Data entry'!O98="","",'Data entry'!O98)</f>
        <v/>
      </c>
      <c r="C94" s="321" t="str">
        <f>IF('Data entry'!R98="","",'Data entry'!R98)</f>
        <v/>
      </c>
      <c r="D94" s="1" t="str">
        <f>IF('Data entry'!AO98="","",'Data entry'!AO98)</f>
        <v/>
      </c>
      <c r="E94" s="1" t="str">
        <f>IF('Data entry'!AP98="","",'Data entry'!AP98)</f>
        <v/>
      </c>
      <c r="F94" s="1" t="str">
        <f>IF('Data entry'!AQ98="","",'Data entry'!AQ98)</f>
        <v/>
      </c>
      <c r="G94" t="str">
        <f>IF($C94="","",(SUM(COUNTIFS('Data entry'!$R$6:$R$200,$C94,'Data entry'!$B$6:$B$200,{"Confirmed";"Probable"},'Data entry'!$AQ$6:$AQ$200,'Data Validation'!$V$2, 'Data entry'!$AP$6:$AP$200,'Data Validation'!$U$2, 'Data entry'!$BD$6:$BD$200,"&lt;&gt;*Negative*"))))</f>
        <v/>
      </c>
      <c r="H94" t="str">
        <f>IF($C94="","",(SUM(COUNTIFS('Data entry'!$R$6:$R$200,$C94,'Data entry'!$B$6:$B$200,{"Confirmed";"Probable"},'Data entry'!$AQ$6:$AQ$200,'Data Validation'!$V$2, 'Data entry'!$AP$6:$AP$200,'Data Validation'!$U$3, 'Data entry'!$BD$6:$BD$200,"&lt;&gt;*Negative*"))))</f>
        <v/>
      </c>
      <c r="I94" t="str">
        <f>IF($C94="","",(SUM(COUNTIFS('Data entry'!$R$6:$R$200,$C94,'Data entry'!$B$6:$B$200,{"Confirmed";"Probable"},'Data entry'!$AQ$6:$AQ$200,'Data Validation'!$V$2, 'Data entry'!$AP$6:$AP$200,'Data Validation'!$U$4, 'Data entry'!$BD$6:$BD$200,"&lt;&gt;*Negative*"))))</f>
        <v/>
      </c>
      <c r="J94" t="str">
        <f>IF($C94="","",(SUM(COUNTIFS('Data entry'!$R$6:$R$200,$C94,'Data entry'!$B$6:$B$200,{"Confirmed";"Probable"},'Data entry'!$AQ$6:$AQ$200,'Data Validation'!$V$2, 'Data entry'!$AP$6:$AP$200,'Data Validation'!$U$5, 'Data entry'!$BD$6:$BD$200,"&lt;&gt;*Negative*"))))</f>
        <v/>
      </c>
      <c r="K94" t="str">
        <f>IF($C94="","",(SUM(COUNTIFS('Data entry'!$R$6:$R$200,$C94,'Data entry'!$B$6:$B$200,{"Confirmed";"Probable"},'Data entry'!$AQ$6:$AQ$200,'Data Validation'!$V$2, 'Data entry'!$AP$6:$AP$200,'Data Validation'!$U$6, 'Data entry'!$BD$6:$BD$200,"&lt;&gt;*Negative*"))))</f>
        <v/>
      </c>
      <c r="L94" t="str">
        <f>IF($C94="","",(SUM(COUNTIFS('Data entry'!$R$6:$R$200,$C94,'Data entry'!$B$6:$B$200,{"Confirmed";"Probable"},'Data entry'!$AQ$6:$AQ$200,'Data Validation'!$V$3, 'Data entry'!$AP$6:$AP$200,'Data Validation'!$U$2, 'Data entry'!$BD$6:$BD$200,"&lt;&gt;*Negative*"))))</f>
        <v/>
      </c>
      <c r="M94" t="str">
        <f>IF($C94="","",(SUM(COUNTIFS('Data entry'!$R$6:$R$200,$C94,'Data entry'!$B$6:$B$200,{"Confirmed";"Probable"},'Data entry'!$AQ$6:$AQ$200,'Data Validation'!$V$3, 'Data entry'!$AP$6:$AP$200,'Data Validation'!$U$3, 'Data entry'!$BD$6:$BD$200,"&lt;&gt;*Negative*"))))</f>
        <v/>
      </c>
      <c r="N94" t="str">
        <f>IF($C94="","",(SUM(COUNTIFS('Data entry'!$R$6:$R$200,$C94,'Data entry'!$B$6:$B$200,{"Confirmed";"Probable"},'Data entry'!$AQ$6:$AQ$200,'Data Validation'!$V$3, 'Data entry'!$AP$6:$AP$200,'Data Validation'!$U$4, 'Data entry'!$BD$6:$BD$200,"&lt;&gt;*Negative*"))))</f>
        <v/>
      </c>
      <c r="O94" t="str">
        <f>IF($C94="","",(SUM(COUNTIFS('Data entry'!$R$6:$R$200,$C94,'Data entry'!$B$6:$B$200,{"Confirmed";"Probable"},'Data entry'!$AQ$6:$AQ$200,'Data Validation'!$V$3, 'Data entry'!$AP$6:$AP$200,'Data Validation'!$U$5, 'Data entry'!$BD$6:$BD$200,"&lt;&gt;*Negative*"))))</f>
        <v/>
      </c>
      <c r="P94" t="str">
        <f>IF($C94="","",(SUM(COUNTIFS('Data entry'!$R$6:$R$200,$C94,'Data entry'!$B$6:$B$200,{"Confirmed";"Probable"},'Data entry'!$AQ$6:$AQ$200,'Data Validation'!$V$3, 'Data entry'!$AP$6:$AP$200,'Data Validation'!$U$6, 'Data entry'!$BD$6:$BD$200,"&lt;&gt;*Negative*"))))</f>
        <v/>
      </c>
    </row>
    <row r="95" spans="1:16" ht="15.6" x14ac:dyDescent="0.35">
      <c r="A95" s="1" t="str">
        <f>IF('Data entry'!B99="","",'Data entry'!B99)</f>
        <v/>
      </c>
      <c r="B95" s="1" t="str">
        <f>IF('Data entry'!O99="","",'Data entry'!O99)</f>
        <v/>
      </c>
      <c r="C95" s="321" t="str">
        <f>IF('Data entry'!R99="","",'Data entry'!R99)</f>
        <v/>
      </c>
      <c r="D95" s="1" t="str">
        <f>IF('Data entry'!AO99="","",'Data entry'!AO99)</f>
        <v/>
      </c>
      <c r="E95" s="1" t="str">
        <f>IF('Data entry'!AP99="","",'Data entry'!AP99)</f>
        <v/>
      </c>
      <c r="F95" s="1" t="str">
        <f>IF('Data entry'!AQ99="","",'Data entry'!AQ99)</f>
        <v/>
      </c>
      <c r="G95" t="str">
        <f>IF($C95="","",(SUM(COUNTIFS('Data entry'!$R$6:$R$200,$C95,'Data entry'!$B$6:$B$200,{"Confirmed";"Probable"},'Data entry'!$AQ$6:$AQ$200,'Data Validation'!$V$2, 'Data entry'!$AP$6:$AP$200,'Data Validation'!$U$2, 'Data entry'!$BD$6:$BD$200,"&lt;&gt;*Negative*"))))</f>
        <v/>
      </c>
      <c r="H95" t="str">
        <f>IF($C95="","",(SUM(COUNTIFS('Data entry'!$R$6:$R$200,$C95,'Data entry'!$B$6:$B$200,{"Confirmed";"Probable"},'Data entry'!$AQ$6:$AQ$200,'Data Validation'!$V$2, 'Data entry'!$AP$6:$AP$200,'Data Validation'!$U$3, 'Data entry'!$BD$6:$BD$200,"&lt;&gt;*Negative*"))))</f>
        <v/>
      </c>
      <c r="I95" t="str">
        <f>IF($C95="","",(SUM(COUNTIFS('Data entry'!$R$6:$R$200,$C95,'Data entry'!$B$6:$B$200,{"Confirmed";"Probable"},'Data entry'!$AQ$6:$AQ$200,'Data Validation'!$V$2, 'Data entry'!$AP$6:$AP$200,'Data Validation'!$U$4, 'Data entry'!$BD$6:$BD$200,"&lt;&gt;*Negative*"))))</f>
        <v/>
      </c>
      <c r="J95" t="str">
        <f>IF($C95="","",(SUM(COUNTIFS('Data entry'!$R$6:$R$200,$C95,'Data entry'!$B$6:$B$200,{"Confirmed";"Probable"},'Data entry'!$AQ$6:$AQ$200,'Data Validation'!$V$2, 'Data entry'!$AP$6:$AP$200,'Data Validation'!$U$5, 'Data entry'!$BD$6:$BD$200,"&lt;&gt;*Negative*"))))</f>
        <v/>
      </c>
      <c r="K95" t="str">
        <f>IF($C95="","",(SUM(COUNTIFS('Data entry'!$R$6:$R$200,$C95,'Data entry'!$B$6:$B$200,{"Confirmed";"Probable"},'Data entry'!$AQ$6:$AQ$200,'Data Validation'!$V$2, 'Data entry'!$AP$6:$AP$200,'Data Validation'!$U$6, 'Data entry'!$BD$6:$BD$200,"&lt;&gt;*Negative*"))))</f>
        <v/>
      </c>
      <c r="L95" t="str">
        <f>IF($C95="","",(SUM(COUNTIFS('Data entry'!$R$6:$R$200,$C95,'Data entry'!$B$6:$B$200,{"Confirmed";"Probable"},'Data entry'!$AQ$6:$AQ$200,'Data Validation'!$V$3, 'Data entry'!$AP$6:$AP$200,'Data Validation'!$U$2, 'Data entry'!$BD$6:$BD$200,"&lt;&gt;*Negative*"))))</f>
        <v/>
      </c>
      <c r="M95" t="str">
        <f>IF($C95="","",(SUM(COUNTIFS('Data entry'!$R$6:$R$200,$C95,'Data entry'!$B$6:$B$200,{"Confirmed";"Probable"},'Data entry'!$AQ$6:$AQ$200,'Data Validation'!$V$3, 'Data entry'!$AP$6:$AP$200,'Data Validation'!$U$3, 'Data entry'!$BD$6:$BD$200,"&lt;&gt;*Negative*"))))</f>
        <v/>
      </c>
      <c r="N95" t="str">
        <f>IF($C95="","",(SUM(COUNTIFS('Data entry'!$R$6:$R$200,$C95,'Data entry'!$B$6:$B$200,{"Confirmed";"Probable"},'Data entry'!$AQ$6:$AQ$200,'Data Validation'!$V$3, 'Data entry'!$AP$6:$AP$200,'Data Validation'!$U$4, 'Data entry'!$BD$6:$BD$200,"&lt;&gt;*Negative*"))))</f>
        <v/>
      </c>
      <c r="O95" t="str">
        <f>IF($C95="","",(SUM(COUNTIFS('Data entry'!$R$6:$R$200,$C95,'Data entry'!$B$6:$B$200,{"Confirmed";"Probable"},'Data entry'!$AQ$6:$AQ$200,'Data Validation'!$V$3, 'Data entry'!$AP$6:$AP$200,'Data Validation'!$U$5, 'Data entry'!$BD$6:$BD$200,"&lt;&gt;*Negative*"))))</f>
        <v/>
      </c>
      <c r="P95" t="str">
        <f>IF($C95="","",(SUM(COUNTIFS('Data entry'!$R$6:$R$200,$C95,'Data entry'!$B$6:$B$200,{"Confirmed";"Probable"},'Data entry'!$AQ$6:$AQ$200,'Data Validation'!$V$3, 'Data entry'!$AP$6:$AP$200,'Data Validation'!$U$6, 'Data entry'!$BD$6:$BD$200,"&lt;&gt;*Negative*"))))</f>
        <v/>
      </c>
    </row>
    <row r="96" spans="1:16" ht="15.6" x14ac:dyDescent="0.35">
      <c r="A96" s="1" t="str">
        <f>IF('Data entry'!B100="","",'Data entry'!B100)</f>
        <v/>
      </c>
      <c r="B96" s="1" t="str">
        <f>IF('Data entry'!O100="","",'Data entry'!O100)</f>
        <v/>
      </c>
      <c r="C96" s="321" t="str">
        <f>IF('Data entry'!R100="","",'Data entry'!R100)</f>
        <v/>
      </c>
      <c r="D96" s="1" t="str">
        <f>IF('Data entry'!AO100="","",'Data entry'!AO100)</f>
        <v/>
      </c>
      <c r="E96" s="1" t="str">
        <f>IF('Data entry'!AP100="","",'Data entry'!AP100)</f>
        <v/>
      </c>
      <c r="F96" s="1" t="str">
        <f>IF('Data entry'!AQ100="","",'Data entry'!AQ100)</f>
        <v/>
      </c>
      <c r="G96" t="str">
        <f>IF($C96="","",(SUM(COUNTIFS('Data entry'!$R$6:$R$200,$C96,'Data entry'!$B$6:$B$200,{"Confirmed";"Probable"},'Data entry'!$AQ$6:$AQ$200,'Data Validation'!$V$2, 'Data entry'!$AP$6:$AP$200,'Data Validation'!$U$2, 'Data entry'!$BD$6:$BD$200,"&lt;&gt;*Negative*"))))</f>
        <v/>
      </c>
      <c r="H96" t="str">
        <f>IF($C96="","",(SUM(COUNTIFS('Data entry'!$R$6:$R$200,$C96,'Data entry'!$B$6:$B$200,{"Confirmed";"Probable"},'Data entry'!$AQ$6:$AQ$200,'Data Validation'!$V$2, 'Data entry'!$AP$6:$AP$200,'Data Validation'!$U$3, 'Data entry'!$BD$6:$BD$200,"&lt;&gt;*Negative*"))))</f>
        <v/>
      </c>
      <c r="I96" t="str">
        <f>IF($C96="","",(SUM(COUNTIFS('Data entry'!$R$6:$R$200,$C96,'Data entry'!$B$6:$B$200,{"Confirmed";"Probable"},'Data entry'!$AQ$6:$AQ$200,'Data Validation'!$V$2, 'Data entry'!$AP$6:$AP$200,'Data Validation'!$U$4, 'Data entry'!$BD$6:$BD$200,"&lt;&gt;*Negative*"))))</f>
        <v/>
      </c>
      <c r="J96" t="str">
        <f>IF($C96="","",(SUM(COUNTIFS('Data entry'!$R$6:$R$200,$C96,'Data entry'!$B$6:$B$200,{"Confirmed";"Probable"},'Data entry'!$AQ$6:$AQ$200,'Data Validation'!$V$2, 'Data entry'!$AP$6:$AP$200,'Data Validation'!$U$5, 'Data entry'!$BD$6:$BD$200,"&lt;&gt;*Negative*"))))</f>
        <v/>
      </c>
      <c r="K96" t="str">
        <f>IF($C96="","",(SUM(COUNTIFS('Data entry'!$R$6:$R$200,$C96,'Data entry'!$B$6:$B$200,{"Confirmed";"Probable"},'Data entry'!$AQ$6:$AQ$200,'Data Validation'!$V$2, 'Data entry'!$AP$6:$AP$200,'Data Validation'!$U$6, 'Data entry'!$BD$6:$BD$200,"&lt;&gt;*Negative*"))))</f>
        <v/>
      </c>
      <c r="L96" t="str">
        <f>IF($C96="","",(SUM(COUNTIFS('Data entry'!$R$6:$R$200,$C96,'Data entry'!$B$6:$B$200,{"Confirmed";"Probable"},'Data entry'!$AQ$6:$AQ$200,'Data Validation'!$V$3, 'Data entry'!$AP$6:$AP$200,'Data Validation'!$U$2, 'Data entry'!$BD$6:$BD$200,"&lt;&gt;*Negative*"))))</f>
        <v/>
      </c>
      <c r="M96" t="str">
        <f>IF($C96="","",(SUM(COUNTIFS('Data entry'!$R$6:$R$200,$C96,'Data entry'!$B$6:$B$200,{"Confirmed";"Probable"},'Data entry'!$AQ$6:$AQ$200,'Data Validation'!$V$3, 'Data entry'!$AP$6:$AP$200,'Data Validation'!$U$3, 'Data entry'!$BD$6:$BD$200,"&lt;&gt;*Negative*"))))</f>
        <v/>
      </c>
      <c r="N96" t="str">
        <f>IF($C96="","",(SUM(COUNTIFS('Data entry'!$R$6:$R$200,$C96,'Data entry'!$B$6:$B$200,{"Confirmed";"Probable"},'Data entry'!$AQ$6:$AQ$200,'Data Validation'!$V$3, 'Data entry'!$AP$6:$AP$200,'Data Validation'!$U$4, 'Data entry'!$BD$6:$BD$200,"&lt;&gt;*Negative*"))))</f>
        <v/>
      </c>
      <c r="O96" t="str">
        <f>IF($C96="","",(SUM(COUNTIFS('Data entry'!$R$6:$R$200,$C96,'Data entry'!$B$6:$B$200,{"Confirmed";"Probable"},'Data entry'!$AQ$6:$AQ$200,'Data Validation'!$V$3, 'Data entry'!$AP$6:$AP$200,'Data Validation'!$U$5, 'Data entry'!$BD$6:$BD$200,"&lt;&gt;*Negative*"))))</f>
        <v/>
      </c>
      <c r="P96" t="str">
        <f>IF($C96="","",(SUM(COUNTIFS('Data entry'!$R$6:$R$200,$C96,'Data entry'!$B$6:$B$200,{"Confirmed";"Probable"},'Data entry'!$AQ$6:$AQ$200,'Data Validation'!$V$3, 'Data entry'!$AP$6:$AP$200,'Data Validation'!$U$6, 'Data entry'!$BD$6:$BD$200,"&lt;&gt;*Negative*"))))</f>
        <v/>
      </c>
    </row>
    <row r="97" spans="1:16" ht="15.6" x14ac:dyDescent="0.35">
      <c r="A97" s="1" t="str">
        <f>IF('Data entry'!B101="","",'Data entry'!B101)</f>
        <v/>
      </c>
      <c r="B97" s="1" t="str">
        <f>IF('Data entry'!O101="","",'Data entry'!O101)</f>
        <v/>
      </c>
      <c r="C97" s="321" t="str">
        <f>IF('Data entry'!R101="","",'Data entry'!R101)</f>
        <v/>
      </c>
      <c r="D97" s="1" t="str">
        <f>IF('Data entry'!AO101="","",'Data entry'!AO101)</f>
        <v/>
      </c>
      <c r="E97" s="1" t="str">
        <f>IF('Data entry'!AP101="","",'Data entry'!AP101)</f>
        <v/>
      </c>
      <c r="F97" s="1" t="str">
        <f>IF('Data entry'!AQ101="","",'Data entry'!AQ101)</f>
        <v/>
      </c>
      <c r="G97" t="str">
        <f>IF($C97="","",(SUM(COUNTIFS('Data entry'!$R$6:$R$200,$C97,'Data entry'!$B$6:$B$200,{"Confirmed";"Probable"},'Data entry'!$AQ$6:$AQ$200,'Data Validation'!$V$2, 'Data entry'!$AP$6:$AP$200,'Data Validation'!$U$2, 'Data entry'!$BD$6:$BD$200,"&lt;&gt;*Negative*"))))</f>
        <v/>
      </c>
      <c r="H97" t="str">
        <f>IF($C97="","",(SUM(COUNTIFS('Data entry'!$R$6:$R$200,$C97,'Data entry'!$B$6:$B$200,{"Confirmed";"Probable"},'Data entry'!$AQ$6:$AQ$200,'Data Validation'!$V$2, 'Data entry'!$AP$6:$AP$200,'Data Validation'!$U$3, 'Data entry'!$BD$6:$BD$200,"&lt;&gt;*Negative*"))))</f>
        <v/>
      </c>
      <c r="I97" t="str">
        <f>IF($C97="","",(SUM(COUNTIFS('Data entry'!$R$6:$R$200,$C97,'Data entry'!$B$6:$B$200,{"Confirmed";"Probable"},'Data entry'!$AQ$6:$AQ$200,'Data Validation'!$V$2, 'Data entry'!$AP$6:$AP$200,'Data Validation'!$U$4, 'Data entry'!$BD$6:$BD$200,"&lt;&gt;*Negative*"))))</f>
        <v/>
      </c>
      <c r="J97" t="str">
        <f>IF($C97="","",(SUM(COUNTIFS('Data entry'!$R$6:$R$200,$C97,'Data entry'!$B$6:$B$200,{"Confirmed";"Probable"},'Data entry'!$AQ$6:$AQ$200,'Data Validation'!$V$2, 'Data entry'!$AP$6:$AP$200,'Data Validation'!$U$5, 'Data entry'!$BD$6:$BD$200,"&lt;&gt;*Negative*"))))</f>
        <v/>
      </c>
      <c r="K97" t="str">
        <f>IF($C97="","",(SUM(COUNTIFS('Data entry'!$R$6:$R$200,$C97,'Data entry'!$B$6:$B$200,{"Confirmed";"Probable"},'Data entry'!$AQ$6:$AQ$200,'Data Validation'!$V$2, 'Data entry'!$AP$6:$AP$200,'Data Validation'!$U$6, 'Data entry'!$BD$6:$BD$200,"&lt;&gt;*Negative*"))))</f>
        <v/>
      </c>
      <c r="L97" t="str">
        <f>IF($C97="","",(SUM(COUNTIFS('Data entry'!$R$6:$R$200,$C97,'Data entry'!$B$6:$B$200,{"Confirmed";"Probable"},'Data entry'!$AQ$6:$AQ$200,'Data Validation'!$V$3, 'Data entry'!$AP$6:$AP$200,'Data Validation'!$U$2, 'Data entry'!$BD$6:$BD$200,"&lt;&gt;*Negative*"))))</f>
        <v/>
      </c>
      <c r="M97" t="str">
        <f>IF($C97="","",(SUM(COUNTIFS('Data entry'!$R$6:$R$200,$C97,'Data entry'!$B$6:$B$200,{"Confirmed";"Probable"},'Data entry'!$AQ$6:$AQ$200,'Data Validation'!$V$3, 'Data entry'!$AP$6:$AP$200,'Data Validation'!$U$3, 'Data entry'!$BD$6:$BD$200,"&lt;&gt;*Negative*"))))</f>
        <v/>
      </c>
      <c r="N97" t="str">
        <f>IF($C97="","",(SUM(COUNTIFS('Data entry'!$R$6:$R$200,$C97,'Data entry'!$B$6:$B$200,{"Confirmed";"Probable"},'Data entry'!$AQ$6:$AQ$200,'Data Validation'!$V$3, 'Data entry'!$AP$6:$AP$200,'Data Validation'!$U$4, 'Data entry'!$BD$6:$BD$200,"&lt;&gt;*Negative*"))))</f>
        <v/>
      </c>
      <c r="O97" t="str">
        <f>IF($C97="","",(SUM(COUNTIFS('Data entry'!$R$6:$R$200,$C97,'Data entry'!$B$6:$B$200,{"Confirmed";"Probable"},'Data entry'!$AQ$6:$AQ$200,'Data Validation'!$V$3, 'Data entry'!$AP$6:$AP$200,'Data Validation'!$U$5, 'Data entry'!$BD$6:$BD$200,"&lt;&gt;*Negative*"))))</f>
        <v/>
      </c>
      <c r="P97" t="str">
        <f>IF($C97="","",(SUM(COUNTIFS('Data entry'!$R$6:$R$200,$C97,'Data entry'!$B$6:$B$200,{"Confirmed";"Probable"},'Data entry'!$AQ$6:$AQ$200,'Data Validation'!$V$3, 'Data entry'!$AP$6:$AP$200,'Data Validation'!$U$6, 'Data entry'!$BD$6:$BD$200,"&lt;&gt;*Negative*"))))</f>
        <v/>
      </c>
    </row>
    <row r="98" spans="1:16" ht="15.6" x14ac:dyDescent="0.35">
      <c r="A98" s="1" t="str">
        <f>IF('Data entry'!B102="","",'Data entry'!B102)</f>
        <v/>
      </c>
      <c r="B98" s="1" t="str">
        <f>IF('Data entry'!O102="","",'Data entry'!O102)</f>
        <v/>
      </c>
      <c r="C98" s="321" t="str">
        <f>IF('Data entry'!R102="","",'Data entry'!R102)</f>
        <v/>
      </c>
      <c r="D98" s="1" t="str">
        <f>IF('Data entry'!AO102="","",'Data entry'!AO102)</f>
        <v/>
      </c>
      <c r="E98" s="1" t="str">
        <f>IF('Data entry'!AP102="","",'Data entry'!AP102)</f>
        <v/>
      </c>
      <c r="F98" s="1" t="str">
        <f>IF('Data entry'!AQ102="","",'Data entry'!AQ102)</f>
        <v/>
      </c>
      <c r="G98" t="str">
        <f>IF($C98="","",(SUM(COUNTIFS('Data entry'!$R$6:$R$200,$C98,'Data entry'!$B$6:$B$200,{"Confirmed";"Probable"},'Data entry'!$AQ$6:$AQ$200,'Data Validation'!$V$2, 'Data entry'!$AP$6:$AP$200,'Data Validation'!$U$2, 'Data entry'!$BD$6:$BD$200,"&lt;&gt;*Negative*"))))</f>
        <v/>
      </c>
      <c r="H98" t="str">
        <f>IF($C98="","",(SUM(COUNTIFS('Data entry'!$R$6:$R$200,$C98,'Data entry'!$B$6:$B$200,{"Confirmed";"Probable"},'Data entry'!$AQ$6:$AQ$200,'Data Validation'!$V$2, 'Data entry'!$AP$6:$AP$200,'Data Validation'!$U$3, 'Data entry'!$BD$6:$BD$200,"&lt;&gt;*Negative*"))))</f>
        <v/>
      </c>
      <c r="I98" t="str">
        <f>IF($C98="","",(SUM(COUNTIFS('Data entry'!$R$6:$R$200,$C98,'Data entry'!$B$6:$B$200,{"Confirmed";"Probable"},'Data entry'!$AQ$6:$AQ$200,'Data Validation'!$V$2, 'Data entry'!$AP$6:$AP$200,'Data Validation'!$U$4, 'Data entry'!$BD$6:$BD$200,"&lt;&gt;*Negative*"))))</f>
        <v/>
      </c>
      <c r="J98" t="str">
        <f>IF($C98="","",(SUM(COUNTIFS('Data entry'!$R$6:$R$200,$C98,'Data entry'!$B$6:$B$200,{"Confirmed";"Probable"},'Data entry'!$AQ$6:$AQ$200,'Data Validation'!$V$2, 'Data entry'!$AP$6:$AP$200,'Data Validation'!$U$5, 'Data entry'!$BD$6:$BD$200,"&lt;&gt;*Negative*"))))</f>
        <v/>
      </c>
      <c r="K98" t="str">
        <f>IF($C98="","",(SUM(COUNTIFS('Data entry'!$R$6:$R$200,$C98,'Data entry'!$B$6:$B$200,{"Confirmed";"Probable"},'Data entry'!$AQ$6:$AQ$200,'Data Validation'!$V$2, 'Data entry'!$AP$6:$AP$200,'Data Validation'!$U$6, 'Data entry'!$BD$6:$BD$200,"&lt;&gt;*Negative*"))))</f>
        <v/>
      </c>
      <c r="L98" t="str">
        <f>IF($C98="","",(SUM(COUNTIFS('Data entry'!$R$6:$R$200,$C98,'Data entry'!$B$6:$B$200,{"Confirmed";"Probable"},'Data entry'!$AQ$6:$AQ$200,'Data Validation'!$V$3, 'Data entry'!$AP$6:$AP$200,'Data Validation'!$U$2, 'Data entry'!$BD$6:$BD$200,"&lt;&gt;*Negative*"))))</f>
        <v/>
      </c>
      <c r="M98" t="str">
        <f>IF($C98="","",(SUM(COUNTIFS('Data entry'!$R$6:$R$200,$C98,'Data entry'!$B$6:$B$200,{"Confirmed";"Probable"},'Data entry'!$AQ$6:$AQ$200,'Data Validation'!$V$3, 'Data entry'!$AP$6:$AP$200,'Data Validation'!$U$3, 'Data entry'!$BD$6:$BD$200,"&lt;&gt;*Negative*"))))</f>
        <v/>
      </c>
      <c r="N98" t="str">
        <f>IF($C98="","",(SUM(COUNTIFS('Data entry'!$R$6:$R$200,$C98,'Data entry'!$B$6:$B$200,{"Confirmed";"Probable"},'Data entry'!$AQ$6:$AQ$200,'Data Validation'!$V$3, 'Data entry'!$AP$6:$AP$200,'Data Validation'!$U$4, 'Data entry'!$BD$6:$BD$200,"&lt;&gt;*Negative*"))))</f>
        <v/>
      </c>
      <c r="O98" t="str">
        <f>IF($C98="","",(SUM(COUNTIFS('Data entry'!$R$6:$R$200,$C98,'Data entry'!$B$6:$B$200,{"Confirmed";"Probable"},'Data entry'!$AQ$6:$AQ$200,'Data Validation'!$V$3, 'Data entry'!$AP$6:$AP$200,'Data Validation'!$U$5, 'Data entry'!$BD$6:$BD$200,"&lt;&gt;*Negative*"))))</f>
        <v/>
      </c>
      <c r="P98" t="str">
        <f>IF($C98="","",(SUM(COUNTIFS('Data entry'!$R$6:$R$200,$C98,'Data entry'!$B$6:$B$200,{"Confirmed";"Probable"},'Data entry'!$AQ$6:$AQ$200,'Data Validation'!$V$3, 'Data entry'!$AP$6:$AP$200,'Data Validation'!$U$6, 'Data entry'!$BD$6:$BD$200,"&lt;&gt;*Negative*"))))</f>
        <v/>
      </c>
    </row>
    <row r="99" spans="1:16" ht="15.6" x14ac:dyDescent="0.35">
      <c r="A99" s="1" t="str">
        <f>IF('Data entry'!B103="","",'Data entry'!B103)</f>
        <v/>
      </c>
      <c r="B99" s="1" t="str">
        <f>IF('Data entry'!O103="","",'Data entry'!O103)</f>
        <v/>
      </c>
      <c r="C99" s="321" t="str">
        <f>IF('Data entry'!R103="","",'Data entry'!R103)</f>
        <v/>
      </c>
      <c r="D99" s="1" t="str">
        <f>IF('Data entry'!AO103="","",'Data entry'!AO103)</f>
        <v/>
      </c>
      <c r="E99" s="1" t="str">
        <f>IF('Data entry'!AP103="","",'Data entry'!AP103)</f>
        <v/>
      </c>
      <c r="F99" s="1" t="str">
        <f>IF('Data entry'!AQ103="","",'Data entry'!AQ103)</f>
        <v/>
      </c>
      <c r="G99" t="str">
        <f>IF($C99="","",(SUM(COUNTIFS('Data entry'!$R$6:$R$200,$C99,'Data entry'!$B$6:$B$200,{"Confirmed";"Probable"},'Data entry'!$AQ$6:$AQ$200,'Data Validation'!$V$2, 'Data entry'!$AP$6:$AP$200,'Data Validation'!$U$2, 'Data entry'!$BD$6:$BD$200,"&lt;&gt;*Negative*"))))</f>
        <v/>
      </c>
      <c r="H99" t="str">
        <f>IF($C99="","",(SUM(COUNTIFS('Data entry'!$R$6:$R$200,$C99,'Data entry'!$B$6:$B$200,{"Confirmed";"Probable"},'Data entry'!$AQ$6:$AQ$200,'Data Validation'!$V$2, 'Data entry'!$AP$6:$AP$200,'Data Validation'!$U$3, 'Data entry'!$BD$6:$BD$200,"&lt;&gt;*Negative*"))))</f>
        <v/>
      </c>
      <c r="I99" t="str">
        <f>IF($C99="","",(SUM(COUNTIFS('Data entry'!$R$6:$R$200,$C99,'Data entry'!$B$6:$B$200,{"Confirmed";"Probable"},'Data entry'!$AQ$6:$AQ$200,'Data Validation'!$V$2, 'Data entry'!$AP$6:$AP$200,'Data Validation'!$U$4, 'Data entry'!$BD$6:$BD$200,"&lt;&gt;*Negative*"))))</f>
        <v/>
      </c>
      <c r="J99" t="str">
        <f>IF($C99="","",(SUM(COUNTIFS('Data entry'!$R$6:$R$200,$C99,'Data entry'!$B$6:$B$200,{"Confirmed";"Probable"},'Data entry'!$AQ$6:$AQ$200,'Data Validation'!$V$2, 'Data entry'!$AP$6:$AP$200,'Data Validation'!$U$5, 'Data entry'!$BD$6:$BD$200,"&lt;&gt;*Negative*"))))</f>
        <v/>
      </c>
      <c r="K99" t="str">
        <f>IF($C99="","",(SUM(COUNTIFS('Data entry'!$R$6:$R$200,$C99,'Data entry'!$B$6:$B$200,{"Confirmed";"Probable"},'Data entry'!$AQ$6:$AQ$200,'Data Validation'!$V$2, 'Data entry'!$AP$6:$AP$200,'Data Validation'!$U$6, 'Data entry'!$BD$6:$BD$200,"&lt;&gt;*Negative*"))))</f>
        <v/>
      </c>
      <c r="L99" t="str">
        <f>IF($C99="","",(SUM(COUNTIFS('Data entry'!$R$6:$R$200,$C99,'Data entry'!$B$6:$B$200,{"Confirmed";"Probable"},'Data entry'!$AQ$6:$AQ$200,'Data Validation'!$V$3, 'Data entry'!$AP$6:$AP$200,'Data Validation'!$U$2, 'Data entry'!$BD$6:$BD$200,"&lt;&gt;*Negative*"))))</f>
        <v/>
      </c>
      <c r="M99" t="str">
        <f>IF($C99="","",(SUM(COUNTIFS('Data entry'!$R$6:$R$200,$C99,'Data entry'!$B$6:$B$200,{"Confirmed";"Probable"},'Data entry'!$AQ$6:$AQ$200,'Data Validation'!$V$3, 'Data entry'!$AP$6:$AP$200,'Data Validation'!$U$3, 'Data entry'!$BD$6:$BD$200,"&lt;&gt;*Negative*"))))</f>
        <v/>
      </c>
      <c r="N99" t="str">
        <f>IF($C99="","",(SUM(COUNTIFS('Data entry'!$R$6:$R$200,$C99,'Data entry'!$B$6:$B$200,{"Confirmed";"Probable"},'Data entry'!$AQ$6:$AQ$200,'Data Validation'!$V$3, 'Data entry'!$AP$6:$AP$200,'Data Validation'!$U$4, 'Data entry'!$BD$6:$BD$200,"&lt;&gt;*Negative*"))))</f>
        <v/>
      </c>
      <c r="O99" t="str">
        <f>IF($C99="","",(SUM(COUNTIFS('Data entry'!$R$6:$R$200,$C99,'Data entry'!$B$6:$B$200,{"Confirmed";"Probable"},'Data entry'!$AQ$6:$AQ$200,'Data Validation'!$V$3, 'Data entry'!$AP$6:$AP$200,'Data Validation'!$U$5, 'Data entry'!$BD$6:$BD$200,"&lt;&gt;*Negative*"))))</f>
        <v/>
      </c>
      <c r="P99" t="str">
        <f>IF($C99="","",(SUM(COUNTIFS('Data entry'!$R$6:$R$200,$C99,'Data entry'!$B$6:$B$200,{"Confirmed";"Probable"},'Data entry'!$AQ$6:$AQ$200,'Data Validation'!$V$3, 'Data entry'!$AP$6:$AP$200,'Data Validation'!$U$6, 'Data entry'!$BD$6:$BD$200,"&lt;&gt;*Negative*"))))</f>
        <v/>
      </c>
    </row>
    <row r="100" spans="1:16" ht="15.6" x14ac:dyDescent="0.35">
      <c r="A100" s="1" t="str">
        <f>IF('Data entry'!B104="","",'Data entry'!B104)</f>
        <v/>
      </c>
      <c r="B100" s="1" t="str">
        <f>IF('Data entry'!O104="","",'Data entry'!O104)</f>
        <v/>
      </c>
      <c r="C100" s="321" t="str">
        <f>IF('Data entry'!R104="","",'Data entry'!R104)</f>
        <v/>
      </c>
      <c r="D100" s="1" t="str">
        <f>IF('Data entry'!AO104="","",'Data entry'!AO104)</f>
        <v/>
      </c>
      <c r="E100" s="1" t="str">
        <f>IF('Data entry'!AP104="","",'Data entry'!AP104)</f>
        <v/>
      </c>
      <c r="F100" s="1" t="str">
        <f>IF('Data entry'!AQ104="","",'Data entry'!AQ104)</f>
        <v/>
      </c>
      <c r="G100" t="str">
        <f>IF($C100="","",(SUM(COUNTIFS('Data entry'!$R$6:$R$200,$C100,'Data entry'!$B$6:$B$200,{"Confirmed";"Probable"},'Data entry'!$AQ$6:$AQ$200,'Data Validation'!$V$2, 'Data entry'!$AP$6:$AP$200,'Data Validation'!$U$2, 'Data entry'!$BD$6:$BD$200,"&lt;&gt;*Negative*"))))</f>
        <v/>
      </c>
      <c r="H100" t="str">
        <f>IF($C100="","",(SUM(COUNTIFS('Data entry'!$R$6:$R$200,$C100,'Data entry'!$B$6:$B$200,{"Confirmed";"Probable"},'Data entry'!$AQ$6:$AQ$200,'Data Validation'!$V$2, 'Data entry'!$AP$6:$AP$200,'Data Validation'!$U$3, 'Data entry'!$BD$6:$BD$200,"&lt;&gt;*Negative*"))))</f>
        <v/>
      </c>
      <c r="I100" t="str">
        <f>IF($C100="","",(SUM(COUNTIFS('Data entry'!$R$6:$R$200,$C100,'Data entry'!$B$6:$B$200,{"Confirmed";"Probable"},'Data entry'!$AQ$6:$AQ$200,'Data Validation'!$V$2, 'Data entry'!$AP$6:$AP$200,'Data Validation'!$U$4, 'Data entry'!$BD$6:$BD$200,"&lt;&gt;*Negative*"))))</f>
        <v/>
      </c>
      <c r="J100" t="str">
        <f>IF($C100="","",(SUM(COUNTIFS('Data entry'!$R$6:$R$200,$C100,'Data entry'!$B$6:$B$200,{"Confirmed";"Probable"},'Data entry'!$AQ$6:$AQ$200,'Data Validation'!$V$2, 'Data entry'!$AP$6:$AP$200,'Data Validation'!$U$5, 'Data entry'!$BD$6:$BD$200,"&lt;&gt;*Negative*"))))</f>
        <v/>
      </c>
      <c r="K100" t="str">
        <f>IF($C100="","",(SUM(COUNTIFS('Data entry'!$R$6:$R$200,$C100,'Data entry'!$B$6:$B$200,{"Confirmed";"Probable"},'Data entry'!$AQ$6:$AQ$200,'Data Validation'!$V$2, 'Data entry'!$AP$6:$AP$200,'Data Validation'!$U$6, 'Data entry'!$BD$6:$BD$200,"&lt;&gt;*Negative*"))))</f>
        <v/>
      </c>
      <c r="L100" t="str">
        <f>IF($C100="","",(SUM(COUNTIFS('Data entry'!$R$6:$R$200,$C100,'Data entry'!$B$6:$B$200,{"Confirmed";"Probable"},'Data entry'!$AQ$6:$AQ$200,'Data Validation'!$V$3, 'Data entry'!$AP$6:$AP$200,'Data Validation'!$U$2, 'Data entry'!$BD$6:$BD$200,"&lt;&gt;*Negative*"))))</f>
        <v/>
      </c>
      <c r="M100" t="str">
        <f>IF($C100="","",(SUM(COUNTIFS('Data entry'!$R$6:$R$200,$C100,'Data entry'!$B$6:$B$200,{"Confirmed";"Probable"},'Data entry'!$AQ$6:$AQ$200,'Data Validation'!$V$3, 'Data entry'!$AP$6:$AP$200,'Data Validation'!$U$3, 'Data entry'!$BD$6:$BD$200,"&lt;&gt;*Negative*"))))</f>
        <v/>
      </c>
      <c r="N100" t="str">
        <f>IF($C100="","",(SUM(COUNTIFS('Data entry'!$R$6:$R$200,$C100,'Data entry'!$B$6:$B$200,{"Confirmed";"Probable"},'Data entry'!$AQ$6:$AQ$200,'Data Validation'!$V$3, 'Data entry'!$AP$6:$AP$200,'Data Validation'!$U$4, 'Data entry'!$BD$6:$BD$200,"&lt;&gt;*Negative*"))))</f>
        <v/>
      </c>
      <c r="O100" t="str">
        <f>IF($C100="","",(SUM(COUNTIFS('Data entry'!$R$6:$R$200,$C100,'Data entry'!$B$6:$B$200,{"Confirmed";"Probable"},'Data entry'!$AQ$6:$AQ$200,'Data Validation'!$V$3, 'Data entry'!$AP$6:$AP$200,'Data Validation'!$U$5, 'Data entry'!$BD$6:$BD$200,"&lt;&gt;*Negative*"))))</f>
        <v/>
      </c>
      <c r="P100" t="str">
        <f>IF($C100="","",(SUM(COUNTIFS('Data entry'!$R$6:$R$200,$C100,'Data entry'!$B$6:$B$200,{"Confirmed";"Probable"},'Data entry'!$AQ$6:$AQ$200,'Data Validation'!$V$3, 'Data entry'!$AP$6:$AP$200,'Data Validation'!$U$6, 'Data entry'!$BD$6:$BD$200,"&lt;&gt;*Negative*"))))</f>
        <v/>
      </c>
    </row>
    <row r="101" spans="1:16" ht="15.6" x14ac:dyDescent="0.35">
      <c r="A101" s="1" t="str">
        <f>IF('Data entry'!B105="","",'Data entry'!B105)</f>
        <v/>
      </c>
      <c r="B101" s="1" t="str">
        <f>IF('Data entry'!O105="","",'Data entry'!O105)</f>
        <v/>
      </c>
      <c r="C101" s="321" t="str">
        <f>IF('Data entry'!R105="","",'Data entry'!R105)</f>
        <v/>
      </c>
      <c r="D101" s="1" t="str">
        <f>IF('Data entry'!AO105="","",'Data entry'!AO105)</f>
        <v/>
      </c>
      <c r="E101" s="1" t="str">
        <f>IF('Data entry'!AP105="","",'Data entry'!AP105)</f>
        <v/>
      </c>
      <c r="F101" s="1" t="str">
        <f>IF('Data entry'!AQ105="","",'Data entry'!AQ105)</f>
        <v/>
      </c>
      <c r="G101" t="str">
        <f>IF($C101="","",(SUM(COUNTIFS('Data entry'!$R$6:$R$200,$C101,'Data entry'!$B$6:$B$200,{"Confirmed";"Probable"},'Data entry'!$AQ$6:$AQ$200,'Data Validation'!$V$2, 'Data entry'!$AP$6:$AP$200,'Data Validation'!$U$2, 'Data entry'!$BD$6:$BD$200,"&lt;&gt;*Negative*"))))</f>
        <v/>
      </c>
      <c r="H101" t="str">
        <f>IF($C101="","",(SUM(COUNTIFS('Data entry'!$R$6:$R$200,$C101,'Data entry'!$B$6:$B$200,{"Confirmed";"Probable"},'Data entry'!$AQ$6:$AQ$200,'Data Validation'!$V$2, 'Data entry'!$AP$6:$AP$200,'Data Validation'!$U$3, 'Data entry'!$BD$6:$BD$200,"&lt;&gt;*Negative*"))))</f>
        <v/>
      </c>
      <c r="I101" t="str">
        <f>IF($C101="","",(SUM(COUNTIFS('Data entry'!$R$6:$R$200,$C101,'Data entry'!$B$6:$B$200,{"Confirmed";"Probable"},'Data entry'!$AQ$6:$AQ$200,'Data Validation'!$V$2, 'Data entry'!$AP$6:$AP$200,'Data Validation'!$U$4, 'Data entry'!$BD$6:$BD$200,"&lt;&gt;*Negative*"))))</f>
        <v/>
      </c>
      <c r="J101" t="str">
        <f>IF($C101="","",(SUM(COUNTIFS('Data entry'!$R$6:$R$200,$C101,'Data entry'!$B$6:$B$200,{"Confirmed";"Probable"},'Data entry'!$AQ$6:$AQ$200,'Data Validation'!$V$2, 'Data entry'!$AP$6:$AP$200,'Data Validation'!$U$5, 'Data entry'!$BD$6:$BD$200,"&lt;&gt;*Negative*"))))</f>
        <v/>
      </c>
      <c r="K101" t="str">
        <f>IF($C101="","",(SUM(COUNTIFS('Data entry'!$R$6:$R$200,$C101,'Data entry'!$B$6:$B$200,{"Confirmed";"Probable"},'Data entry'!$AQ$6:$AQ$200,'Data Validation'!$V$2, 'Data entry'!$AP$6:$AP$200,'Data Validation'!$U$6, 'Data entry'!$BD$6:$BD$200,"&lt;&gt;*Negative*"))))</f>
        <v/>
      </c>
      <c r="L101" t="str">
        <f>IF($C101="","",(SUM(COUNTIFS('Data entry'!$R$6:$R$200,$C101,'Data entry'!$B$6:$B$200,{"Confirmed";"Probable"},'Data entry'!$AQ$6:$AQ$200,'Data Validation'!$V$3, 'Data entry'!$AP$6:$AP$200,'Data Validation'!$U$2, 'Data entry'!$BD$6:$BD$200,"&lt;&gt;*Negative*"))))</f>
        <v/>
      </c>
      <c r="M101" t="str">
        <f>IF($C101="","",(SUM(COUNTIFS('Data entry'!$R$6:$R$200,$C101,'Data entry'!$B$6:$B$200,{"Confirmed";"Probable"},'Data entry'!$AQ$6:$AQ$200,'Data Validation'!$V$3, 'Data entry'!$AP$6:$AP$200,'Data Validation'!$U$3, 'Data entry'!$BD$6:$BD$200,"&lt;&gt;*Negative*"))))</f>
        <v/>
      </c>
      <c r="N101" t="str">
        <f>IF($C101="","",(SUM(COUNTIFS('Data entry'!$R$6:$R$200,$C101,'Data entry'!$B$6:$B$200,{"Confirmed";"Probable"},'Data entry'!$AQ$6:$AQ$200,'Data Validation'!$V$3, 'Data entry'!$AP$6:$AP$200,'Data Validation'!$U$4, 'Data entry'!$BD$6:$BD$200,"&lt;&gt;*Negative*"))))</f>
        <v/>
      </c>
      <c r="O101" t="str">
        <f>IF($C101="","",(SUM(COUNTIFS('Data entry'!$R$6:$R$200,$C101,'Data entry'!$B$6:$B$200,{"Confirmed";"Probable"},'Data entry'!$AQ$6:$AQ$200,'Data Validation'!$V$3, 'Data entry'!$AP$6:$AP$200,'Data Validation'!$U$5, 'Data entry'!$BD$6:$BD$200,"&lt;&gt;*Negative*"))))</f>
        <v/>
      </c>
      <c r="P101" t="str">
        <f>IF($C101="","",(SUM(COUNTIFS('Data entry'!$R$6:$R$200,$C101,'Data entry'!$B$6:$B$200,{"Confirmed";"Probable"},'Data entry'!$AQ$6:$AQ$200,'Data Validation'!$V$3, 'Data entry'!$AP$6:$AP$200,'Data Validation'!$U$6, 'Data entry'!$BD$6:$BD$200,"&lt;&gt;*Negative*"))))</f>
        <v/>
      </c>
    </row>
    <row r="102" spans="1:16" ht="15.6" x14ac:dyDescent="0.35">
      <c r="A102" s="1" t="str">
        <f>IF('Data entry'!B106="","",'Data entry'!B106)</f>
        <v/>
      </c>
      <c r="B102" s="1" t="str">
        <f>IF('Data entry'!O106="","",'Data entry'!O106)</f>
        <v/>
      </c>
      <c r="C102" s="321" t="str">
        <f>IF('Data entry'!R106="","",'Data entry'!R106)</f>
        <v/>
      </c>
      <c r="D102" s="1" t="str">
        <f>IF('Data entry'!AO106="","",'Data entry'!AO106)</f>
        <v/>
      </c>
      <c r="E102" s="1" t="str">
        <f>IF('Data entry'!AP106="","",'Data entry'!AP106)</f>
        <v/>
      </c>
      <c r="F102" s="1" t="str">
        <f>IF('Data entry'!AQ106="","",'Data entry'!AQ106)</f>
        <v/>
      </c>
      <c r="G102" t="str">
        <f>IF($C102="","",(SUM(COUNTIFS('Data entry'!$R$6:$R$200,$C102,'Data entry'!$B$6:$B$200,{"Confirmed";"Probable"},'Data entry'!$AQ$6:$AQ$200,'Data Validation'!$V$2, 'Data entry'!$AP$6:$AP$200,'Data Validation'!$U$2, 'Data entry'!$BD$6:$BD$200,"&lt;&gt;*Negative*"))))</f>
        <v/>
      </c>
      <c r="H102" t="str">
        <f>IF($C102="","",(SUM(COUNTIFS('Data entry'!$R$6:$R$200,$C102,'Data entry'!$B$6:$B$200,{"Confirmed";"Probable"},'Data entry'!$AQ$6:$AQ$200,'Data Validation'!$V$2, 'Data entry'!$AP$6:$AP$200,'Data Validation'!$U$3, 'Data entry'!$BD$6:$BD$200,"&lt;&gt;*Negative*"))))</f>
        <v/>
      </c>
      <c r="I102" t="str">
        <f>IF($C102="","",(SUM(COUNTIFS('Data entry'!$R$6:$R$200,$C102,'Data entry'!$B$6:$B$200,{"Confirmed";"Probable"},'Data entry'!$AQ$6:$AQ$200,'Data Validation'!$V$2, 'Data entry'!$AP$6:$AP$200,'Data Validation'!$U$4, 'Data entry'!$BD$6:$BD$200,"&lt;&gt;*Negative*"))))</f>
        <v/>
      </c>
      <c r="J102" t="str">
        <f>IF($C102="","",(SUM(COUNTIFS('Data entry'!$R$6:$R$200,$C102,'Data entry'!$B$6:$B$200,{"Confirmed";"Probable"},'Data entry'!$AQ$6:$AQ$200,'Data Validation'!$V$2, 'Data entry'!$AP$6:$AP$200,'Data Validation'!$U$5, 'Data entry'!$BD$6:$BD$200,"&lt;&gt;*Negative*"))))</f>
        <v/>
      </c>
      <c r="K102" t="str">
        <f>IF($C102="","",(SUM(COUNTIFS('Data entry'!$R$6:$R$200,$C102,'Data entry'!$B$6:$B$200,{"Confirmed";"Probable"},'Data entry'!$AQ$6:$AQ$200,'Data Validation'!$V$2, 'Data entry'!$AP$6:$AP$200,'Data Validation'!$U$6, 'Data entry'!$BD$6:$BD$200,"&lt;&gt;*Negative*"))))</f>
        <v/>
      </c>
      <c r="L102" t="str">
        <f>IF($C102="","",(SUM(COUNTIFS('Data entry'!$R$6:$R$200,$C102,'Data entry'!$B$6:$B$200,{"Confirmed";"Probable"},'Data entry'!$AQ$6:$AQ$200,'Data Validation'!$V$3, 'Data entry'!$AP$6:$AP$200,'Data Validation'!$U$2, 'Data entry'!$BD$6:$BD$200,"&lt;&gt;*Negative*"))))</f>
        <v/>
      </c>
      <c r="M102" t="str">
        <f>IF($C102="","",(SUM(COUNTIFS('Data entry'!$R$6:$R$200,$C102,'Data entry'!$B$6:$B$200,{"Confirmed";"Probable"},'Data entry'!$AQ$6:$AQ$200,'Data Validation'!$V$3, 'Data entry'!$AP$6:$AP$200,'Data Validation'!$U$3, 'Data entry'!$BD$6:$BD$200,"&lt;&gt;*Negative*"))))</f>
        <v/>
      </c>
      <c r="N102" t="str">
        <f>IF($C102="","",(SUM(COUNTIFS('Data entry'!$R$6:$R$200,$C102,'Data entry'!$B$6:$B$200,{"Confirmed";"Probable"},'Data entry'!$AQ$6:$AQ$200,'Data Validation'!$V$3, 'Data entry'!$AP$6:$AP$200,'Data Validation'!$U$4, 'Data entry'!$BD$6:$BD$200,"&lt;&gt;*Negative*"))))</f>
        <v/>
      </c>
      <c r="O102" t="str">
        <f>IF($C102="","",(SUM(COUNTIFS('Data entry'!$R$6:$R$200,$C102,'Data entry'!$B$6:$B$200,{"Confirmed";"Probable"},'Data entry'!$AQ$6:$AQ$200,'Data Validation'!$V$3, 'Data entry'!$AP$6:$AP$200,'Data Validation'!$U$5, 'Data entry'!$BD$6:$BD$200,"&lt;&gt;*Negative*"))))</f>
        <v/>
      </c>
      <c r="P102" t="str">
        <f>IF($C102="","",(SUM(COUNTIFS('Data entry'!$R$6:$R$200,$C102,'Data entry'!$B$6:$B$200,{"Confirmed";"Probable"},'Data entry'!$AQ$6:$AQ$200,'Data Validation'!$V$3, 'Data entry'!$AP$6:$AP$200,'Data Validation'!$U$6, 'Data entry'!$BD$6:$BD$200,"&lt;&gt;*Negative*"))))</f>
        <v/>
      </c>
    </row>
    <row r="103" spans="1:16" ht="15.6" x14ac:dyDescent="0.35">
      <c r="A103" s="1" t="str">
        <f>IF('Data entry'!B107="","",'Data entry'!B107)</f>
        <v/>
      </c>
      <c r="B103" s="1" t="str">
        <f>IF('Data entry'!O107="","",'Data entry'!O107)</f>
        <v/>
      </c>
      <c r="C103" s="321" t="str">
        <f>IF('Data entry'!R107="","",'Data entry'!R107)</f>
        <v/>
      </c>
      <c r="D103" s="1" t="str">
        <f>IF('Data entry'!AO107="","",'Data entry'!AO107)</f>
        <v/>
      </c>
      <c r="E103" s="1" t="str">
        <f>IF('Data entry'!AP107="","",'Data entry'!AP107)</f>
        <v/>
      </c>
      <c r="F103" s="1" t="str">
        <f>IF('Data entry'!AQ107="","",'Data entry'!AQ107)</f>
        <v/>
      </c>
      <c r="G103" t="str">
        <f>IF($C103="","",(SUM(COUNTIFS('Data entry'!$R$6:$R$200,$C103,'Data entry'!$B$6:$B$200,{"Confirmed";"Probable"},'Data entry'!$AQ$6:$AQ$200,'Data Validation'!$V$2, 'Data entry'!$AP$6:$AP$200,'Data Validation'!$U$2, 'Data entry'!$BD$6:$BD$200,"&lt;&gt;*Negative*"))))</f>
        <v/>
      </c>
      <c r="H103" t="str">
        <f>IF($C103="","",(SUM(COUNTIFS('Data entry'!$R$6:$R$200,$C103,'Data entry'!$B$6:$B$200,{"Confirmed";"Probable"},'Data entry'!$AQ$6:$AQ$200,'Data Validation'!$V$2, 'Data entry'!$AP$6:$AP$200,'Data Validation'!$U$3, 'Data entry'!$BD$6:$BD$200,"&lt;&gt;*Negative*"))))</f>
        <v/>
      </c>
      <c r="I103" t="str">
        <f>IF($C103="","",(SUM(COUNTIFS('Data entry'!$R$6:$R$200,$C103,'Data entry'!$B$6:$B$200,{"Confirmed";"Probable"},'Data entry'!$AQ$6:$AQ$200,'Data Validation'!$V$2, 'Data entry'!$AP$6:$AP$200,'Data Validation'!$U$4, 'Data entry'!$BD$6:$BD$200,"&lt;&gt;*Negative*"))))</f>
        <v/>
      </c>
      <c r="J103" t="str">
        <f>IF($C103="","",(SUM(COUNTIFS('Data entry'!$R$6:$R$200,$C103,'Data entry'!$B$6:$B$200,{"Confirmed";"Probable"},'Data entry'!$AQ$6:$AQ$200,'Data Validation'!$V$2, 'Data entry'!$AP$6:$AP$200,'Data Validation'!$U$5, 'Data entry'!$BD$6:$BD$200,"&lt;&gt;*Negative*"))))</f>
        <v/>
      </c>
      <c r="K103" t="str">
        <f>IF($C103="","",(SUM(COUNTIFS('Data entry'!$R$6:$R$200,$C103,'Data entry'!$B$6:$B$200,{"Confirmed";"Probable"},'Data entry'!$AQ$6:$AQ$200,'Data Validation'!$V$2, 'Data entry'!$AP$6:$AP$200,'Data Validation'!$U$6, 'Data entry'!$BD$6:$BD$200,"&lt;&gt;*Negative*"))))</f>
        <v/>
      </c>
      <c r="L103" t="str">
        <f>IF($C103="","",(SUM(COUNTIFS('Data entry'!$R$6:$R$200,$C103,'Data entry'!$B$6:$B$200,{"Confirmed";"Probable"},'Data entry'!$AQ$6:$AQ$200,'Data Validation'!$V$3, 'Data entry'!$AP$6:$AP$200,'Data Validation'!$U$2, 'Data entry'!$BD$6:$BD$200,"&lt;&gt;*Negative*"))))</f>
        <v/>
      </c>
      <c r="M103" t="str">
        <f>IF($C103="","",(SUM(COUNTIFS('Data entry'!$R$6:$R$200,$C103,'Data entry'!$B$6:$B$200,{"Confirmed";"Probable"},'Data entry'!$AQ$6:$AQ$200,'Data Validation'!$V$3, 'Data entry'!$AP$6:$AP$200,'Data Validation'!$U$3, 'Data entry'!$BD$6:$BD$200,"&lt;&gt;*Negative*"))))</f>
        <v/>
      </c>
      <c r="N103" t="str">
        <f>IF($C103="","",(SUM(COUNTIFS('Data entry'!$R$6:$R$200,$C103,'Data entry'!$B$6:$B$200,{"Confirmed";"Probable"},'Data entry'!$AQ$6:$AQ$200,'Data Validation'!$V$3, 'Data entry'!$AP$6:$AP$200,'Data Validation'!$U$4, 'Data entry'!$BD$6:$BD$200,"&lt;&gt;*Negative*"))))</f>
        <v/>
      </c>
      <c r="O103" t="str">
        <f>IF($C103="","",(SUM(COUNTIFS('Data entry'!$R$6:$R$200,$C103,'Data entry'!$B$6:$B$200,{"Confirmed";"Probable"},'Data entry'!$AQ$6:$AQ$200,'Data Validation'!$V$3, 'Data entry'!$AP$6:$AP$200,'Data Validation'!$U$5, 'Data entry'!$BD$6:$BD$200,"&lt;&gt;*Negative*"))))</f>
        <v/>
      </c>
      <c r="P103" t="str">
        <f>IF($C103="","",(SUM(COUNTIFS('Data entry'!$R$6:$R$200,$C103,'Data entry'!$B$6:$B$200,{"Confirmed";"Probable"},'Data entry'!$AQ$6:$AQ$200,'Data Validation'!$V$3, 'Data entry'!$AP$6:$AP$200,'Data Validation'!$U$6, 'Data entry'!$BD$6:$BD$200,"&lt;&gt;*Negative*"))))</f>
        <v/>
      </c>
    </row>
    <row r="104" spans="1:16" ht="15.6" x14ac:dyDescent="0.35">
      <c r="A104" s="1" t="str">
        <f>IF('Data entry'!B108="","",'Data entry'!B108)</f>
        <v/>
      </c>
      <c r="B104" s="1" t="str">
        <f>IF('Data entry'!O108="","",'Data entry'!O108)</f>
        <v/>
      </c>
      <c r="C104" s="321" t="str">
        <f>IF('Data entry'!R108="","",'Data entry'!R108)</f>
        <v/>
      </c>
      <c r="D104" s="1" t="str">
        <f>IF('Data entry'!AO108="","",'Data entry'!AO108)</f>
        <v/>
      </c>
      <c r="E104" s="1" t="str">
        <f>IF('Data entry'!AP108="","",'Data entry'!AP108)</f>
        <v/>
      </c>
      <c r="F104" s="1" t="str">
        <f>IF('Data entry'!AQ108="","",'Data entry'!AQ108)</f>
        <v/>
      </c>
      <c r="G104" t="str">
        <f>IF($C104="","",(SUM(COUNTIFS('Data entry'!$R$6:$R$200,$C104,'Data entry'!$B$6:$B$200,{"Confirmed";"Probable"},'Data entry'!$AQ$6:$AQ$200,'Data Validation'!$V$2, 'Data entry'!$AP$6:$AP$200,'Data Validation'!$U$2, 'Data entry'!$BD$6:$BD$200,"&lt;&gt;*Negative*"))))</f>
        <v/>
      </c>
      <c r="H104" t="str">
        <f>IF($C104="","",(SUM(COUNTIFS('Data entry'!$R$6:$R$200,$C104,'Data entry'!$B$6:$B$200,{"Confirmed";"Probable"},'Data entry'!$AQ$6:$AQ$200,'Data Validation'!$V$2, 'Data entry'!$AP$6:$AP$200,'Data Validation'!$U$3, 'Data entry'!$BD$6:$BD$200,"&lt;&gt;*Negative*"))))</f>
        <v/>
      </c>
      <c r="I104" t="str">
        <f>IF($C104="","",(SUM(COUNTIFS('Data entry'!$R$6:$R$200,$C104,'Data entry'!$B$6:$B$200,{"Confirmed";"Probable"},'Data entry'!$AQ$6:$AQ$200,'Data Validation'!$V$2, 'Data entry'!$AP$6:$AP$200,'Data Validation'!$U$4, 'Data entry'!$BD$6:$BD$200,"&lt;&gt;*Negative*"))))</f>
        <v/>
      </c>
      <c r="J104" t="str">
        <f>IF($C104="","",(SUM(COUNTIFS('Data entry'!$R$6:$R$200,$C104,'Data entry'!$B$6:$B$200,{"Confirmed";"Probable"},'Data entry'!$AQ$6:$AQ$200,'Data Validation'!$V$2, 'Data entry'!$AP$6:$AP$200,'Data Validation'!$U$5, 'Data entry'!$BD$6:$BD$200,"&lt;&gt;*Negative*"))))</f>
        <v/>
      </c>
      <c r="K104" t="str">
        <f>IF($C104="","",(SUM(COUNTIFS('Data entry'!$R$6:$R$200,$C104,'Data entry'!$B$6:$B$200,{"Confirmed";"Probable"},'Data entry'!$AQ$6:$AQ$200,'Data Validation'!$V$2, 'Data entry'!$AP$6:$AP$200,'Data Validation'!$U$6, 'Data entry'!$BD$6:$BD$200,"&lt;&gt;*Negative*"))))</f>
        <v/>
      </c>
      <c r="L104" t="str">
        <f>IF($C104="","",(SUM(COUNTIFS('Data entry'!$R$6:$R$200,$C104,'Data entry'!$B$6:$B$200,{"Confirmed";"Probable"},'Data entry'!$AQ$6:$AQ$200,'Data Validation'!$V$3, 'Data entry'!$AP$6:$AP$200,'Data Validation'!$U$2, 'Data entry'!$BD$6:$BD$200,"&lt;&gt;*Negative*"))))</f>
        <v/>
      </c>
      <c r="M104" t="str">
        <f>IF($C104="","",(SUM(COUNTIFS('Data entry'!$R$6:$R$200,$C104,'Data entry'!$B$6:$B$200,{"Confirmed";"Probable"},'Data entry'!$AQ$6:$AQ$200,'Data Validation'!$V$3, 'Data entry'!$AP$6:$AP$200,'Data Validation'!$U$3, 'Data entry'!$BD$6:$BD$200,"&lt;&gt;*Negative*"))))</f>
        <v/>
      </c>
      <c r="N104" t="str">
        <f>IF($C104="","",(SUM(COUNTIFS('Data entry'!$R$6:$R$200,$C104,'Data entry'!$B$6:$B$200,{"Confirmed";"Probable"},'Data entry'!$AQ$6:$AQ$200,'Data Validation'!$V$3, 'Data entry'!$AP$6:$AP$200,'Data Validation'!$U$4, 'Data entry'!$BD$6:$BD$200,"&lt;&gt;*Negative*"))))</f>
        <v/>
      </c>
      <c r="O104" t="str">
        <f>IF($C104="","",(SUM(COUNTIFS('Data entry'!$R$6:$R$200,$C104,'Data entry'!$B$6:$B$200,{"Confirmed";"Probable"},'Data entry'!$AQ$6:$AQ$200,'Data Validation'!$V$3, 'Data entry'!$AP$6:$AP$200,'Data Validation'!$U$5, 'Data entry'!$BD$6:$BD$200,"&lt;&gt;*Negative*"))))</f>
        <v/>
      </c>
      <c r="P104" t="str">
        <f>IF($C104="","",(SUM(COUNTIFS('Data entry'!$R$6:$R$200,$C104,'Data entry'!$B$6:$B$200,{"Confirmed";"Probable"},'Data entry'!$AQ$6:$AQ$200,'Data Validation'!$V$3, 'Data entry'!$AP$6:$AP$200,'Data Validation'!$U$6, 'Data entry'!$BD$6:$BD$200,"&lt;&gt;*Negative*"))))</f>
        <v/>
      </c>
    </row>
    <row r="105" spans="1:16" ht="15.6" x14ac:dyDescent="0.35">
      <c r="A105" s="1" t="str">
        <f>IF('Data entry'!B109="","",'Data entry'!B109)</f>
        <v/>
      </c>
      <c r="B105" s="1" t="str">
        <f>IF('Data entry'!O109="","",'Data entry'!O109)</f>
        <v/>
      </c>
      <c r="C105" s="321" t="str">
        <f>IF('Data entry'!R109="","",'Data entry'!R109)</f>
        <v/>
      </c>
      <c r="D105" s="1" t="str">
        <f>IF('Data entry'!AO109="","",'Data entry'!AO109)</f>
        <v/>
      </c>
      <c r="E105" s="1" t="str">
        <f>IF('Data entry'!AP109="","",'Data entry'!AP109)</f>
        <v/>
      </c>
      <c r="F105" s="1" t="str">
        <f>IF('Data entry'!AQ109="","",'Data entry'!AQ109)</f>
        <v/>
      </c>
      <c r="G105" t="str">
        <f>IF($C105="","",(SUM(COUNTIFS('Data entry'!$R$6:$R$200,$C105,'Data entry'!$B$6:$B$200,{"Confirmed";"Probable"},'Data entry'!$AQ$6:$AQ$200,'Data Validation'!$V$2, 'Data entry'!$AP$6:$AP$200,'Data Validation'!$U$2, 'Data entry'!$BD$6:$BD$200,"&lt;&gt;*Negative*"))))</f>
        <v/>
      </c>
      <c r="H105" t="str">
        <f>IF($C105="","",(SUM(COUNTIFS('Data entry'!$R$6:$R$200,$C105,'Data entry'!$B$6:$B$200,{"Confirmed";"Probable"},'Data entry'!$AQ$6:$AQ$200,'Data Validation'!$V$2, 'Data entry'!$AP$6:$AP$200,'Data Validation'!$U$3, 'Data entry'!$BD$6:$BD$200,"&lt;&gt;*Negative*"))))</f>
        <v/>
      </c>
      <c r="I105" t="str">
        <f>IF($C105="","",(SUM(COUNTIFS('Data entry'!$R$6:$R$200,$C105,'Data entry'!$B$6:$B$200,{"Confirmed";"Probable"},'Data entry'!$AQ$6:$AQ$200,'Data Validation'!$V$2, 'Data entry'!$AP$6:$AP$200,'Data Validation'!$U$4, 'Data entry'!$BD$6:$BD$200,"&lt;&gt;*Negative*"))))</f>
        <v/>
      </c>
      <c r="J105" t="str">
        <f>IF($C105="","",(SUM(COUNTIFS('Data entry'!$R$6:$R$200,$C105,'Data entry'!$B$6:$B$200,{"Confirmed";"Probable"},'Data entry'!$AQ$6:$AQ$200,'Data Validation'!$V$2, 'Data entry'!$AP$6:$AP$200,'Data Validation'!$U$5, 'Data entry'!$BD$6:$BD$200,"&lt;&gt;*Negative*"))))</f>
        <v/>
      </c>
      <c r="K105" t="str">
        <f>IF($C105="","",(SUM(COUNTIFS('Data entry'!$R$6:$R$200,$C105,'Data entry'!$B$6:$B$200,{"Confirmed";"Probable"},'Data entry'!$AQ$6:$AQ$200,'Data Validation'!$V$2, 'Data entry'!$AP$6:$AP$200,'Data Validation'!$U$6, 'Data entry'!$BD$6:$BD$200,"&lt;&gt;*Negative*"))))</f>
        <v/>
      </c>
      <c r="L105" t="str">
        <f>IF($C105="","",(SUM(COUNTIFS('Data entry'!$R$6:$R$200,$C105,'Data entry'!$B$6:$B$200,{"Confirmed";"Probable"},'Data entry'!$AQ$6:$AQ$200,'Data Validation'!$V$3, 'Data entry'!$AP$6:$AP$200,'Data Validation'!$U$2, 'Data entry'!$BD$6:$BD$200,"&lt;&gt;*Negative*"))))</f>
        <v/>
      </c>
      <c r="M105" t="str">
        <f>IF($C105="","",(SUM(COUNTIFS('Data entry'!$R$6:$R$200,$C105,'Data entry'!$B$6:$B$200,{"Confirmed";"Probable"},'Data entry'!$AQ$6:$AQ$200,'Data Validation'!$V$3, 'Data entry'!$AP$6:$AP$200,'Data Validation'!$U$3, 'Data entry'!$BD$6:$BD$200,"&lt;&gt;*Negative*"))))</f>
        <v/>
      </c>
      <c r="N105" t="str">
        <f>IF($C105="","",(SUM(COUNTIFS('Data entry'!$R$6:$R$200,$C105,'Data entry'!$B$6:$B$200,{"Confirmed";"Probable"},'Data entry'!$AQ$6:$AQ$200,'Data Validation'!$V$3, 'Data entry'!$AP$6:$AP$200,'Data Validation'!$U$4, 'Data entry'!$BD$6:$BD$200,"&lt;&gt;*Negative*"))))</f>
        <v/>
      </c>
      <c r="O105" t="str">
        <f>IF($C105="","",(SUM(COUNTIFS('Data entry'!$R$6:$R$200,$C105,'Data entry'!$B$6:$B$200,{"Confirmed";"Probable"},'Data entry'!$AQ$6:$AQ$200,'Data Validation'!$V$3, 'Data entry'!$AP$6:$AP$200,'Data Validation'!$U$5, 'Data entry'!$BD$6:$BD$200,"&lt;&gt;*Negative*"))))</f>
        <v/>
      </c>
      <c r="P105" t="str">
        <f>IF($C105="","",(SUM(COUNTIFS('Data entry'!$R$6:$R$200,$C105,'Data entry'!$B$6:$B$200,{"Confirmed";"Probable"},'Data entry'!$AQ$6:$AQ$200,'Data Validation'!$V$3, 'Data entry'!$AP$6:$AP$200,'Data Validation'!$U$6, 'Data entry'!$BD$6:$BD$200,"&lt;&gt;*Negative*"))))</f>
        <v/>
      </c>
    </row>
    <row r="106" spans="1:16" ht="15.6" x14ac:dyDescent="0.35">
      <c r="A106" s="1" t="str">
        <f>IF('Data entry'!B110="","",'Data entry'!B110)</f>
        <v/>
      </c>
      <c r="B106" s="1" t="str">
        <f>IF('Data entry'!O110="","",'Data entry'!O110)</f>
        <v/>
      </c>
      <c r="C106" s="321" t="str">
        <f>IF('Data entry'!R110="","",'Data entry'!R110)</f>
        <v/>
      </c>
      <c r="D106" s="1" t="str">
        <f>IF('Data entry'!AO110="","",'Data entry'!AO110)</f>
        <v/>
      </c>
      <c r="E106" s="1" t="str">
        <f>IF('Data entry'!AP110="","",'Data entry'!AP110)</f>
        <v/>
      </c>
      <c r="F106" s="1" t="str">
        <f>IF('Data entry'!AQ110="","",'Data entry'!AQ110)</f>
        <v/>
      </c>
      <c r="G106" t="str">
        <f>IF($C106="","",(SUM(COUNTIFS('Data entry'!$R$6:$R$200,$C106,'Data entry'!$B$6:$B$200,{"Confirmed";"Probable"},'Data entry'!$AQ$6:$AQ$200,'Data Validation'!$V$2, 'Data entry'!$AP$6:$AP$200,'Data Validation'!$U$2, 'Data entry'!$BD$6:$BD$200,"&lt;&gt;*Negative*"))))</f>
        <v/>
      </c>
      <c r="H106" t="str">
        <f>IF($C106="","",(SUM(COUNTIFS('Data entry'!$R$6:$R$200,$C106,'Data entry'!$B$6:$B$200,{"Confirmed";"Probable"},'Data entry'!$AQ$6:$AQ$200,'Data Validation'!$V$2, 'Data entry'!$AP$6:$AP$200,'Data Validation'!$U$3, 'Data entry'!$BD$6:$BD$200,"&lt;&gt;*Negative*"))))</f>
        <v/>
      </c>
      <c r="I106" t="str">
        <f>IF($C106="","",(SUM(COUNTIFS('Data entry'!$R$6:$R$200,$C106,'Data entry'!$B$6:$B$200,{"Confirmed";"Probable"},'Data entry'!$AQ$6:$AQ$200,'Data Validation'!$V$2, 'Data entry'!$AP$6:$AP$200,'Data Validation'!$U$4, 'Data entry'!$BD$6:$BD$200,"&lt;&gt;*Negative*"))))</f>
        <v/>
      </c>
      <c r="J106" t="str">
        <f>IF($C106="","",(SUM(COUNTIFS('Data entry'!$R$6:$R$200,$C106,'Data entry'!$B$6:$B$200,{"Confirmed";"Probable"},'Data entry'!$AQ$6:$AQ$200,'Data Validation'!$V$2, 'Data entry'!$AP$6:$AP$200,'Data Validation'!$U$5, 'Data entry'!$BD$6:$BD$200,"&lt;&gt;*Negative*"))))</f>
        <v/>
      </c>
      <c r="K106" t="str">
        <f>IF($C106="","",(SUM(COUNTIFS('Data entry'!$R$6:$R$200,$C106,'Data entry'!$B$6:$B$200,{"Confirmed";"Probable"},'Data entry'!$AQ$6:$AQ$200,'Data Validation'!$V$2, 'Data entry'!$AP$6:$AP$200,'Data Validation'!$U$6, 'Data entry'!$BD$6:$BD$200,"&lt;&gt;*Negative*"))))</f>
        <v/>
      </c>
      <c r="L106" t="str">
        <f>IF($C106="","",(SUM(COUNTIFS('Data entry'!$R$6:$R$200,$C106,'Data entry'!$B$6:$B$200,{"Confirmed";"Probable"},'Data entry'!$AQ$6:$AQ$200,'Data Validation'!$V$3, 'Data entry'!$AP$6:$AP$200,'Data Validation'!$U$2, 'Data entry'!$BD$6:$BD$200,"&lt;&gt;*Negative*"))))</f>
        <v/>
      </c>
      <c r="M106" t="str">
        <f>IF($C106="","",(SUM(COUNTIFS('Data entry'!$R$6:$R$200,$C106,'Data entry'!$B$6:$B$200,{"Confirmed";"Probable"},'Data entry'!$AQ$6:$AQ$200,'Data Validation'!$V$3, 'Data entry'!$AP$6:$AP$200,'Data Validation'!$U$3, 'Data entry'!$BD$6:$BD$200,"&lt;&gt;*Negative*"))))</f>
        <v/>
      </c>
      <c r="N106" t="str">
        <f>IF($C106="","",(SUM(COUNTIFS('Data entry'!$R$6:$R$200,$C106,'Data entry'!$B$6:$B$200,{"Confirmed";"Probable"},'Data entry'!$AQ$6:$AQ$200,'Data Validation'!$V$3, 'Data entry'!$AP$6:$AP$200,'Data Validation'!$U$4, 'Data entry'!$BD$6:$BD$200,"&lt;&gt;*Negative*"))))</f>
        <v/>
      </c>
      <c r="O106" t="str">
        <f>IF($C106="","",(SUM(COUNTIFS('Data entry'!$R$6:$R$200,$C106,'Data entry'!$B$6:$B$200,{"Confirmed";"Probable"},'Data entry'!$AQ$6:$AQ$200,'Data Validation'!$V$3, 'Data entry'!$AP$6:$AP$200,'Data Validation'!$U$5, 'Data entry'!$BD$6:$BD$200,"&lt;&gt;*Negative*"))))</f>
        <v/>
      </c>
      <c r="P106" t="str">
        <f>IF($C106="","",(SUM(COUNTIFS('Data entry'!$R$6:$R$200,$C106,'Data entry'!$B$6:$B$200,{"Confirmed";"Probable"},'Data entry'!$AQ$6:$AQ$200,'Data Validation'!$V$3, 'Data entry'!$AP$6:$AP$200,'Data Validation'!$U$6, 'Data entry'!$BD$6:$BD$200,"&lt;&gt;*Negative*"))))</f>
        <v/>
      </c>
    </row>
    <row r="107" spans="1:16" ht="15.6" x14ac:dyDescent="0.35">
      <c r="A107" s="1" t="str">
        <f>IF('Data entry'!B111="","",'Data entry'!B111)</f>
        <v/>
      </c>
      <c r="B107" s="1" t="str">
        <f>IF('Data entry'!O111="","",'Data entry'!O111)</f>
        <v/>
      </c>
      <c r="C107" s="321" t="str">
        <f>IF('Data entry'!R111="","",'Data entry'!R111)</f>
        <v/>
      </c>
      <c r="D107" s="1" t="str">
        <f>IF('Data entry'!AO111="","",'Data entry'!AO111)</f>
        <v/>
      </c>
      <c r="E107" s="1" t="str">
        <f>IF('Data entry'!AP111="","",'Data entry'!AP111)</f>
        <v/>
      </c>
      <c r="F107" s="1" t="str">
        <f>IF('Data entry'!AQ111="","",'Data entry'!AQ111)</f>
        <v/>
      </c>
      <c r="G107" t="str">
        <f>IF($C107="","",(SUM(COUNTIFS('Data entry'!$R$6:$R$200,$C107,'Data entry'!$B$6:$B$200,{"Confirmed";"Probable"},'Data entry'!$AQ$6:$AQ$200,'Data Validation'!$V$2, 'Data entry'!$AP$6:$AP$200,'Data Validation'!$U$2, 'Data entry'!$BD$6:$BD$200,"&lt;&gt;*Negative*"))))</f>
        <v/>
      </c>
      <c r="H107" t="str">
        <f>IF($C107="","",(SUM(COUNTIFS('Data entry'!$R$6:$R$200,$C107,'Data entry'!$B$6:$B$200,{"Confirmed";"Probable"},'Data entry'!$AQ$6:$AQ$200,'Data Validation'!$V$2, 'Data entry'!$AP$6:$AP$200,'Data Validation'!$U$3, 'Data entry'!$BD$6:$BD$200,"&lt;&gt;*Negative*"))))</f>
        <v/>
      </c>
      <c r="I107" t="str">
        <f>IF($C107="","",(SUM(COUNTIFS('Data entry'!$R$6:$R$200,$C107,'Data entry'!$B$6:$B$200,{"Confirmed";"Probable"},'Data entry'!$AQ$6:$AQ$200,'Data Validation'!$V$2, 'Data entry'!$AP$6:$AP$200,'Data Validation'!$U$4, 'Data entry'!$BD$6:$BD$200,"&lt;&gt;*Negative*"))))</f>
        <v/>
      </c>
      <c r="J107" t="str">
        <f>IF($C107="","",(SUM(COUNTIFS('Data entry'!$R$6:$R$200,$C107,'Data entry'!$B$6:$B$200,{"Confirmed";"Probable"},'Data entry'!$AQ$6:$AQ$200,'Data Validation'!$V$2, 'Data entry'!$AP$6:$AP$200,'Data Validation'!$U$5, 'Data entry'!$BD$6:$BD$200,"&lt;&gt;*Negative*"))))</f>
        <v/>
      </c>
      <c r="K107" t="str">
        <f>IF($C107="","",(SUM(COUNTIFS('Data entry'!$R$6:$R$200,$C107,'Data entry'!$B$6:$B$200,{"Confirmed";"Probable"},'Data entry'!$AQ$6:$AQ$200,'Data Validation'!$V$2, 'Data entry'!$AP$6:$AP$200,'Data Validation'!$U$6, 'Data entry'!$BD$6:$BD$200,"&lt;&gt;*Negative*"))))</f>
        <v/>
      </c>
      <c r="L107" t="str">
        <f>IF($C107="","",(SUM(COUNTIFS('Data entry'!$R$6:$R$200,$C107,'Data entry'!$B$6:$B$200,{"Confirmed";"Probable"},'Data entry'!$AQ$6:$AQ$200,'Data Validation'!$V$3, 'Data entry'!$AP$6:$AP$200,'Data Validation'!$U$2, 'Data entry'!$BD$6:$BD$200,"&lt;&gt;*Negative*"))))</f>
        <v/>
      </c>
      <c r="M107" t="str">
        <f>IF($C107="","",(SUM(COUNTIFS('Data entry'!$R$6:$R$200,$C107,'Data entry'!$B$6:$B$200,{"Confirmed";"Probable"},'Data entry'!$AQ$6:$AQ$200,'Data Validation'!$V$3, 'Data entry'!$AP$6:$AP$200,'Data Validation'!$U$3, 'Data entry'!$BD$6:$BD$200,"&lt;&gt;*Negative*"))))</f>
        <v/>
      </c>
      <c r="N107" t="str">
        <f>IF($C107="","",(SUM(COUNTIFS('Data entry'!$R$6:$R$200,$C107,'Data entry'!$B$6:$B$200,{"Confirmed";"Probable"},'Data entry'!$AQ$6:$AQ$200,'Data Validation'!$V$3, 'Data entry'!$AP$6:$AP$200,'Data Validation'!$U$4, 'Data entry'!$BD$6:$BD$200,"&lt;&gt;*Negative*"))))</f>
        <v/>
      </c>
      <c r="O107" t="str">
        <f>IF($C107="","",(SUM(COUNTIFS('Data entry'!$R$6:$R$200,$C107,'Data entry'!$B$6:$B$200,{"Confirmed";"Probable"},'Data entry'!$AQ$6:$AQ$200,'Data Validation'!$V$3, 'Data entry'!$AP$6:$AP$200,'Data Validation'!$U$5, 'Data entry'!$BD$6:$BD$200,"&lt;&gt;*Negative*"))))</f>
        <v/>
      </c>
      <c r="P107" t="str">
        <f>IF($C107="","",(SUM(COUNTIFS('Data entry'!$R$6:$R$200,$C107,'Data entry'!$B$6:$B$200,{"Confirmed";"Probable"},'Data entry'!$AQ$6:$AQ$200,'Data Validation'!$V$3, 'Data entry'!$AP$6:$AP$200,'Data Validation'!$U$6, 'Data entry'!$BD$6:$BD$200,"&lt;&gt;*Negative*"))))</f>
        <v/>
      </c>
    </row>
    <row r="108" spans="1:16" ht="15.6" x14ac:dyDescent="0.35">
      <c r="A108" s="1" t="str">
        <f>IF('Data entry'!B112="","",'Data entry'!B112)</f>
        <v/>
      </c>
      <c r="B108" s="1" t="str">
        <f>IF('Data entry'!O112="","",'Data entry'!O112)</f>
        <v/>
      </c>
      <c r="C108" s="321" t="str">
        <f>IF('Data entry'!R112="","",'Data entry'!R112)</f>
        <v/>
      </c>
      <c r="D108" s="1" t="str">
        <f>IF('Data entry'!AO112="","",'Data entry'!AO112)</f>
        <v/>
      </c>
      <c r="E108" s="1" t="str">
        <f>IF('Data entry'!AP112="","",'Data entry'!AP112)</f>
        <v/>
      </c>
      <c r="F108" s="1" t="str">
        <f>IF('Data entry'!AQ112="","",'Data entry'!AQ112)</f>
        <v/>
      </c>
      <c r="G108" t="str">
        <f>IF($C108="","",(SUM(COUNTIFS('Data entry'!$R$6:$R$200,$C108,'Data entry'!$B$6:$B$200,{"Confirmed";"Probable"},'Data entry'!$AQ$6:$AQ$200,'Data Validation'!$V$2, 'Data entry'!$AP$6:$AP$200,'Data Validation'!$U$2, 'Data entry'!$BD$6:$BD$200,"&lt;&gt;*Negative*"))))</f>
        <v/>
      </c>
      <c r="H108" t="str">
        <f>IF($C108="","",(SUM(COUNTIFS('Data entry'!$R$6:$R$200,$C108,'Data entry'!$B$6:$B$200,{"Confirmed";"Probable"},'Data entry'!$AQ$6:$AQ$200,'Data Validation'!$V$2, 'Data entry'!$AP$6:$AP$200,'Data Validation'!$U$3, 'Data entry'!$BD$6:$BD$200,"&lt;&gt;*Negative*"))))</f>
        <v/>
      </c>
      <c r="I108" t="str">
        <f>IF($C108="","",(SUM(COUNTIFS('Data entry'!$R$6:$R$200,$C108,'Data entry'!$B$6:$B$200,{"Confirmed";"Probable"},'Data entry'!$AQ$6:$AQ$200,'Data Validation'!$V$2, 'Data entry'!$AP$6:$AP$200,'Data Validation'!$U$4, 'Data entry'!$BD$6:$BD$200,"&lt;&gt;*Negative*"))))</f>
        <v/>
      </c>
      <c r="J108" t="str">
        <f>IF($C108="","",(SUM(COUNTIFS('Data entry'!$R$6:$R$200,$C108,'Data entry'!$B$6:$B$200,{"Confirmed";"Probable"},'Data entry'!$AQ$6:$AQ$200,'Data Validation'!$V$2, 'Data entry'!$AP$6:$AP$200,'Data Validation'!$U$5, 'Data entry'!$BD$6:$BD$200,"&lt;&gt;*Negative*"))))</f>
        <v/>
      </c>
      <c r="K108" t="str">
        <f>IF($C108="","",(SUM(COUNTIFS('Data entry'!$R$6:$R$200,$C108,'Data entry'!$B$6:$B$200,{"Confirmed";"Probable"},'Data entry'!$AQ$6:$AQ$200,'Data Validation'!$V$2, 'Data entry'!$AP$6:$AP$200,'Data Validation'!$U$6, 'Data entry'!$BD$6:$BD$200,"&lt;&gt;*Negative*"))))</f>
        <v/>
      </c>
      <c r="L108" t="str">
        <f>IF($C108="","",(SUM(COUNTIFS('Data entry'!$R$6:$R$200,$C108,'Data entry'!$B$6:$B$200,{"Confirmed";"Probable"},'Data entry'!$AQ$6:$AQ$200,'Data Validation'!$V$3, 'Data entry'!$AP$6:$AP$200,'Data Validation'!$U$2, 'Data entry'!$BD$6:$BD$200,"&lt;&gt;*Negative*"))))</f>
        <v/>
      </c>
      <c r="M108" t="str">
        <f>IF($C108="","",(SUM(COUNTIFS('Data entry'!$R$6:$R$200,$C108,'Data entry'!$B$6:$B$200,{"Confirmed";"Probable"},'Data entry'!$AQ$6:$AQ$200,'Data Validation'!$V$3, 'Data entry'!$AP$6:$AP$200,'Data Validation'!$U$3, 'Data entry'!$BD$6:$BD$200,"&lt;&gt;*Negative*"))))</f>
        <v/>
      </c>
      <c r="N108" t="str">
        <f>IF($C108="","",(SUM(COUNTIFS('Data entry'!$R$6:$R$200,$C108,'Data entry'!$B$6:$B$200,{"Confirmed";"Probable"},'Data entry'!$AQ$6:$AQ$200,'Data Validation'!$V$3, 'Data entry'!$AP$6:$AP$200,'Data Validation'!$U$4, 'Data entry'!$BD$6:$BD$200,"&lt;&gt;*Negative*"))))</f>
        <v/>
      </c>
      <c r="O108" t="str">
        <f>IF($C108="","",(SUM(COUNTIFS('Data entry'!$R$6:$R$200,$C108,'Data entry'!$B$6:$B$200,{"Confirmed";"Probable"},'Data entry'!$AQ$6:$AQ$200,'Data Validation'!$V$3, 'Data entry'!$AP$6:$AP$200,'Data Validation'!$U$5, 'Data entry'!$BD$6:$BD$200,"&lt;&gt;*Negative*"))))</f>
        <v/>
      </c>
      <c r="P108" t="str">
        <f>IF($C108="","",(SUM(COUNTIFS('Data entry'!$R$6:$R$200,$C108,'Data entry'!$B$6:$B$200,{"Confirmed";"Probable"},'Data entry'!$AQ$6:$AQ$200,'Data Validation'!$V$3, 'Data entry'!$AP$6:$AP$200,'Data Validation'!$U$6, 'Data entry'!$BD$6:$BD$200,"&lt;&gt;*Negative*"))))</f>
        <v/>
      </c>
    </row>
    <row r="109" spans="1:16" ht="15.6" x14ac:dyDescent="0.35">
      <c r="A109" s="1" t="str">
        <f>IF('Data entry'!B113="","",'Data entry'!B113)</f>
        <v/>
      </c>
      <c r="B109" s="1" t="str">
        <f>IF('Data entry'!O113="","",'Data entry'!O113)</f>
        <v/>
      </c>
      <c r="C109" s="321" t="str">
        <f>IF('Data entry'!R113="","",'Data entry'!R113)</f>
        <v/>
      </c>
      <c r="D109" s="1" t="str">
        <f>IF('Data entry'!AO113="","",'Data entry'!AO113)</f>
        <v/>
      </c>
      <c r="E109" s="1" t="str">
        <f>IF('Data entry'!AP113="","",'Data entry'!AP113)</f>
        <v/>
      </c>
      <c r="F109" s="1" t="str">
        <f>IF('Data entry'!AQ113="","",'Data entry'!AQ113)</f>
        <v/>
      </c>
      <c r="G109" t="str">
        <f>IF($C109="","",(SUM(COUNTIFS('Data entry'!$R$6:$R$200,$C109,'Data entry'!$B$6:$B$200,{"Confirmed";"Probable"},'Data entry'!$AQ$6:$AQ$200,'Data Validation'!$V$2, 'Data entry'!$AP$6:$AP$200,'Data Validation'!$U$2, 'Data entry'!$BD$6:$BD$200,"&lt;&gt;*Negative*"))))</f>
        <v/>
      </c>
      <c r="H109" t="str">
        <f>IF($C109="","",(SUM(COUNTIFS('Data entry'!$R$6:$R$200,$C109,'Data entry'!$B$6:$B$200,{"Confirmed";"Probable"},'Data entry'!$AQ$6:$AQ$200,'Data Validation'!$V$2, 'Data entry'!$AP$6:$AP$200,'Data Validation'!$U$3, 'Data entry'!$BD$6:$BD$200,"&lt;&gt;*Negative*"))))</f>
        <v/>
      </c>
      <c r="I109" t="str">
        <f>IF($C109="","",(SUM(COUNTIFS('Data entry'!$R$6:$R$200,$C109,'Data entry'!$B$6:$B$200,{"Confirmed";"Probable"},'Data entry'!$AQ$6:$AQ$200,'Data Validation'!$V$2, 'Data entry'!$AP$6:$AP$200,'Data Validation'!$U$4, 'Data entry'!$BD$6:$BD$200,"&lt;&gt;*Negative*"))))</f>
        <v/>
      </c>
      <c r="J109" t="str">
        <f>IF($C109="","",(SUM(COUNTIFS('Data entry'!$R$6:$R$200,$C109,'Data entry'!$B$6:$B$200,{"Confirmed";"Probable"},'Data entry'!$AQ$6:$AQ$200,'Data Validation'!$V$2, 'Data entry'!$AP$6:$AP$200,'Data Validation'!$U$5, 'Data entry'!$BD$6:$BD$200,"&lt;&gt;*Negative*"))))</f>
        <v/>
      </c>
      <c r="K109" t="str">
        <f>IF($C109="","",(SUM(COUNTIFS('Data entry'!$R$6:$R$200,$C109,'Data entry'!$B$6:$B$200,{"Confirmed";"Probable"},'Data entry'!$AQ$6:$AQ$200,'Data Validation'!$V$2, 'Data entry'!$AP$6:$AP$200,'Data Validation'!$U$6, 'Data entry'!$BD$6:$BD$200,"&lt;&gt;*Negative*"))))</f>
        <v/>
      </c>
      <c r="L109" t="str">
        <f>IF($C109="","",(SUM(COUNTIFS('Data entry'!$R$6:$R$200,$C109,'Data entry'!$B$6:$B$200,{"Confirmed";"Probable"},'Data entry'!$AQ$6:$AQ$200,'Data Validation'!$V$3, 'Data entry'!$AP$6:$AP$200,'Data Validation'!$U$2, 'Data entry'!$BD$6:$BD$200,"&lt;&gt;*Negative*"))))</f>
        <v/>
      </c>
      <c r="M109" t="str">
        <f>IF($C109="","",(SUM(COUNTIFS('Data entry'!$R$6:$R$200,$C109,'Data entry'!$B$6:$B$200,{"Confirmed";"Probable"},'Data entry'!$AQ$6:$AQ$200,'Data Validation'!$V$3, 'Data entry'!$AP$6:$AP$200,'Data Validation'!$U$3, 'Data entry'!$BD$6:$BD$200,"&lt;&gt;*Negative*"))))</f>
        <v/>
      </c>
      <c r="N109" t="str">
        <f>IF($C109="","",(SUM(COUNTIFS('Data entry'!$R$6:$R$200,$C109,'Data entry'!$B$6:$B$200,{"Confirmed";"Probable"},'Data entry'!$AQ$6:$AQ$200,'Data Validation'!$V$3, 'Data entry'!$AP$6:$AP$200,'Data Validation'!$U$4, 'Data entry'!$BD$6:$BD$200,"&lt;&gt;*Negative*"))))</f>
        <v/>
      </c>
      <c r="O109" t="str">
        <f>IF($C109="","",(SUM(COUNTIFS('Data entry'!$R$6:$R$200,$C109,'Data entry'!$B$6:$B$200,{"Confirmed";"Probable"},'Data entry'!$AQ$6:$AQ$200,'Data Validation'!$V$3, 'Data entry'!$AP$6:$AP$200,'Data Validation'!$U$5, 'Data entry'!$BD$6:$BD$200,"&lt;&gt;*Negative*"))))</f>
        <v/>
      </c>
      <c r="P109" t="str">
        <f>IF($C109="","",(SUM(COUNTIFS('Data entry'!$R$6:$R$200,$C109,'Data entry'!$B$6:$B$200,{"Confirmed";"Probable"},'Data entry'!$AQ$6:$AQ$200,'Data Validation'!$V$3, 'Data entry'!$AP$6:$AP$200,'Data Validation'!$U$6, 'Data entry'!$BD$6:$BD$200,"&lt;&gt;*Negative*"))))</f>
        <v/>
      </c>
    </row>
    <row r="110" spans="1:16" ht="15.6" x14ac:dyDescent="0.35">
      <c r="A110" s="1" t="str">
        <f>IF('Data entry'!B114="","",'Data entry'!B114)</f>
        <v/>
      </c>
      <c r="B110" s="1" t="str">
        <f>IF('Data entry'!O114="","",'Data entry'!O114)</f>
        <v/>
      </c>
      <c r="C110" s="321" t="str">
        <f>IF('Data entry'!R114="","",'Data entry'!R114)</f>
        <v/>
      </c>
      <c r="D110" s="1" t="str">
        <f>IF('Data entry'!AO114="","",'Data entry'!AO114)</f>
        <v/>
      </c>
      <c r="E110" s="1" t="str">
        <f>IF('Data entry'!AP114="","",'Data entry'!AP114)</f>
        <v/>
      </c>
      <c r="F110" s="1" t="str">
        <f>IF('Data entry'!AQ114="","",'Data entry'!AQ114)</f>
        <v/>
      </c>
      <c r="G110" t="str">
        <f>IF($C110="","",(SUM(COUNTIFS('Data entry'!$R$6:$R$200,$C110,'Data entry'!$B$6:$B$200,{"Confirmed";"Probable"},'Data entry'!$AQ$6:$AQ$200,'Data Validation'!$V$2, 'Data entry'!$AP$6:$AP$200,'Data Validation'!$U$2, 'Data entry'!$BD$6:$BD$200,"&lt;&gt;*Negative*"))))</f>
        <v/>
      </c>
      <c r="H110" t="str">
        <f>IF($C110="","",(SUM(COUNTIFS('Data entry'!$R$6:$R$200,$C110,'Data entry'!$B$6:$B$200,{"Confirmed";"Probable"},'Data entry'!$AQ$6:$AQ$200,'Data Validation'!$V$2, 'Data entry'!$AP$6:$AP$200,'Data Validation'!$U$3, 'Data entry'!$BD$6:$BD$200,"&lt;&gt;*Negative*"))))</f>
        <v/>
      </c>
      <c r="I110" t="str">
        <f>IF($C110="","",(SUM(COUNTIFS('Data entry'!$R$6:$R$200,$C110,'Data entry'!$B$6:$B$200,{"Confirmed";"Probable"},'Data entry'!$AQ$6:$AQ$200,'Data Validation'!$V$2, 'Data entry'!$AP$6:$AP$200,'Data Validation'!$U$4, 'Data entry'!$BD$6:$BD$200,"&lt;&gt;*Negative*"))))</f>
        <v/>
      </c>
      <c r="J110" t="str">
        <f>IF($C110="","",(SUM(COUNTIFS('Data entry'!$R$6:$R$200,$C110,'Data entry'!$B$6:$B$200,{"Confirmed";"Probable"},'Data entry'!$AQ$6:$AQ$200,'Data Validation'!$V$2, 'Data entry'!$AP$6:$AP$200,'Data Validation'!$U$5, 'Data entry'!$BD$6:$BD$200,"&lt;&gt;*Negative*"))))</f>
        <v/>
      </c>
      <c r="K110" t="str">
        <f>IF($C110="","",(SUM(COUNTIFS('Data entry'!$R$6:$R$200,$C110,'Data entry'!$B$6:$B$200,{"Confirmed";"Probable"},'Data entry'!$AQ$6:$AQ$200,'Data Validation'!$V$2, 'Data entry'!$AP$6:$AP$200,'Data Validation'!$U$6, 'Data entry'!$BD$6:$BD$200,"&lt;&gt;*Negative*"))))</f>
        <v/>
      </c>
      <c r="L110" t="str">
        <f>IF($C110="","",(SUM(COUNTIFS('Data entry'!$R$6:$R$200,$C110,'Data entry'!$B$6:$B$200,{"Confirmed";"Probable"},'Data entry'!$AQ$6:$AQ$200,'Data Validation'!$V$3, 'Data entry'!$AP$6:$AP$200,'Data Validation'!$U$2, 'Data entry'!$BD$6:$BD$200,"&lt;&gt;*Negative*"))))</f>
        <v/>
      </c>
      <c r="M110" t="str">
        <f>IF($C110="","",(SUM(COUNTIFS('Data entry'!$R$6:$R$200,$C110,'Data entry'!$B$6:$B$200,{"Confirmed";"Probable"},'Data entry'!$AQ$6:$AQ$200,'Data Validation'!$V$3, 'Data entry'!$AP$6:$AP$200,'Data Validation'!$U$3, 'Data entry'!$BD$6:$BD$200,"&lt;&gt;*Negative*"))))</f>
        <v/>
      </c>
      <c r="N110" t="str">
        <f>IF($C110="","",(SUM(COUNTIFS('Data entry'!$R$6:$R$200,$C110,'Data entry'!$B$6:$B$200,{"Confirmed";"Probable"},'Data entry'!$AQ$6:$AQ$200,'Data Validation'!$V$3, 'Data entry'!$AP$6:$AP$200,'Data Validation'!$U$4, 'Data entry'!$BD$6:$BD$200,"&lt;&gt;*Negative*"))))</f>
        <v/>
      </c>
      <c r="O110" t="str">
        <f>IF($C110="","",(SUM(COUNTIFS('Data entry'!$R$6:$R$200,$C110,'Data entry'!$B$6:$B$200,{"Confirmed";"Probable"},'Data entry'!$AQ$6:$AQ$200,'Data Validation'!$V$3, 'Data entry'!$AP$6:$AP$200,'Data Validation'!$U$5, 'Data entry'!$BD$6:$BD$200,"&lt;&gt;*Negative*"))))</f>
        <v/>
      </c>
      <c r="P110" t="str">
        <f>IF($C110="","",(SUM(COUNTIFS('Data entry'!$R$6:$R$200,$C110,'Data entry'!$B$6:$B$200,{"Confirmed";"Probable"},'Data entry'!$AQ$6:$AQ$200,'Data Validation'!$V$3, 'Data entry'!$AP$6:$AP$200,'Data Validation'!$U$6, 'Data entry'!$BD$6:$BD$200,"&lt;&gt;*Negative*"))))</f>
        <v/>
      </c>
    </row>
    <row r="111" spans="1:16" ht="15.6" x14ac:dyDescent="0.35">
      <c r="A111" s="1" t="str">
        <f>IF('Data entry'!B115="","",'Data entry'!B115)</f>
        <v/>
      </c>
      <c r="B111" s="1" t="str">
        <f>IF('Data entry'!O115="","",'Data entry'!O115)</f>
        <v/>
      </c>
      <c r="C111" s="321" t="str">
        <f>IF('Data entry'!R115="","",'Data entry'!R115)</f>
        <v/>
      </c>
      <c r="D111" s="1" t="str">
        <f>IF('Data entry'!AO115="","",'Data entry'!AO115)</f>
        <v/>
      </c>
      <c r="E111" s="1" t="str">
        <f>IF('Data entry'!AP115="","",'Data entry'!AP115)</f>
        <v/>
      </c>
      <c r="F111" s="1" t="str">
        <f>IF('Data entry'!AQ115="","",'Data entry'!AQ115)</f>
        <v/>
      </c>
      <c r="G111" t="str">
        <f>IF($C111="","",(SUM(COUNTIFS('Data entry'!$R$6:$R$200,$C111,'Data entry'!$B$6:$B$200,{"Confirmed";"Probable"},'Data entry'!$AQ$6:$AQ$200,'Data Validation'!$V$2, 'Data entry'!$AP$6:$AP$200,'Data Validation'!$U$2, 'Data entry'!$BD$6:$BD$200,"&lt;&gt;*Negative*"))))</f>
        <v/>
      </c>
      <c r="H111" t="str">
        <f>IF($C111="","",(SUM(COUNTIFS('Data entry'!$R$6:$R$200,$C111,'Data entry'!$B$6:$B$200,{"Confirmed";"Probable"},'Data entry'!$AQ$6:$AQ$200,'Data Validation'!$V$2, 'Data entry'!$AP$6:$AP$200,'Data Validation'!$U$3, 'Data entry'!$BD$6:$BD$200,"&lt;&gt;*Negative*"))))</f>
        <v/>
      </c>
      <c r="I111" t="str">
        <f>IF($C111="","",(SUM(COUNTIFS('Data entry'!$R$6:$R$200,$C111,'Data entry'!$B$6:$B$200,{"Confirmed";"Probable"},'Data entry'!$AQ$6:$AQ$200,'Data Validation'!$V$2, 'Data entry'!$AP$6:$AP$200,'Data Validation'!$U$4, 'Data entry'!$BD$6:$BD$200,"&lt;&gt;*Negative*"))))</f>
        <v/>
      </c>
      <c r="J111" t="str">
        <f>IF($C111="","",(SUM(COUNTIFS('Data entry'!$R$6:$R$200,$C111,'Data entry'!$B$6:$B$200,{"Confirmed";"Probable"},'Data entry'!$AQ$6:$AQ$200,'Data Validation'!$V$2, 'Data entry'!$AP$6:$AP$200,'Data Validation'!$U$5, 'Data entry'!$BD$6:$BD$200,"&lt;&gt;*Negative*"))))</f>
        <v/>
      </c>
      <c r="K111" t="str">
        <f>IF($C111="","",(SUM(COUNTIFS('Data entry'!$R$6:$R$200,$C111,'Data entry'!$B$6:$B$200,{"Confirmed";"Probable"},'Data entry'!$AQ$6:$AQ$200,'Data Validation'!$V$2, 'Data entry'!$AP$6:$AP$200,'Data Validation'!$U$6, 'Data entry'!$BD$6:$BD$200,"&lt;&gt;*Negative*"))))</f>
        <v/>
      </c>
      <c r="L111" t="str">
        <f>IF($C111="","",(SUM(COUNTIFS('Data entry'!$R$6:$R$200,$C111,'Data entry'!$B$6:$B$200,{"Confirmed";"Probable"},'Data entry'!$AQ$6:$AQ$200,'Data Validation'!$V$3, 'Data entry'!$AP$6:$AP$200,'Data Validation'!$U$2, 'Data entry'!$BD$6:$BD$200,"&lt;&gt;*Negative*"))))</f>
        <v/>
      </c>
      <c r="M111" t="str">
        <f>IF($C111="","",(SUM(COUNTIFS('Data entry'!$R$6:$R$200,$C111,'Data entry'!$B$6:$B$200,{"Confirmed";"Probable"},'Data entry'!$AQ$6:$AQ$200,'Data Validation'!$V$3, 'Data entry'!$AP$6:$AP$200,'Data Validation'!$U$3, 'Data entry'!$BD$6:$BD$200,"&lt;&gt;*Negative*"))))</f>
        <v/>
      </c>
      <c r="N111" t="str">
        <f>IF($C111="","",(SUM(COUNTIFS('Data entry'!$R$6:$R$200,$C111,'Data entry'!$B$6:$B$200,{"Confirmed";"Probable"},'Data entry'!$AQ$6:$AQ$200,'Data Validation'!$V$3, 'Data entry'!$AP$6:$AP$200,'Data Validation'!$U$4, 'Data entry'!$BD$6:$BD$200,"&lt;&gt;*Negative*"))))</f>
        <v/>
      </c>
      <c r="O111" t="str">
        <f>IF($C111="","",(SUM(COUNTIFS('Data entry'!$R$6:$R$200,$C111,'Data entry'!$B$6:$B$200,{"Confirmed";"Probable"},'Data entry'!$AQ$6:$AQ$200,'Data Validation'!$V$3, 'Data entry'!$AP$6:$AP$200,'Data Validation'!$U$5, 'Data entry'!$BD$6:$BD$200,"&lt;&gt;*Negative*"))))</f>
        <v/>
      </c>
      <c r="P111" t="str">
        <f>IF($C111="","",(SUM(COUNTIFS('Data entry'!$R$6:$R$200,$C111,'Data entry'!$B$6:$B$200,{"Confirmed";"Probable"},'Data entry'!$AQ$6:$AQ$200,'Data Validation'!$V$3, 'Data entry'!$AP$6:$AP$200,'Data Validation'!$U$6, 'Data entry'!$BD$6:$BD$200,"&lt;&gt;*Negative*"))))</f>
        <v/>
      </c>
    </row>
    <row r="112" spans="1:16" ht="15.6" x14ac:dyDescent="0.35">
      <c r="A112" s="1" t="str">
        <f>IF('Data entry'!B116="","",'Data entry'!B116)</f>
        <v/>
      </c>
      <c r="B112" s="1" t="str">
        <f>IF('Data entry'!O116="","",'Data entry'!O116)</f>
        <v/>
      </c>
      <c r="C112" s="321" t="str">
        <f>IF('Data entry'!R116="","",'Data entry'!R116)</f>
        <v/>
      </c>
      <c r="D112" s="1" t="str">
        <f>IF('Data entry'!AO116="","",'Data entry'!AO116)</f>
        <v/>
      </c>
      <c r="E112" s="1" t="str">
        <f>IF('Data entry'!AP116="","",'Data entry'!AP116)</f>
        <v/>
      </c>
      <c r="F112" s="1" t="str">
        <f>IF('Data entry'!AQ116="","",'Data entry'!AQ116)</f>
        <v/>
      </c>
      <c r="G112" t="str">
        <f>IF($C112="","",(SUM(COUNTIFS('Data entry'!$R$6:$R$200,$C112,'Data entry'!$B$6:$B$200,{"Confirmed";"Probable"},'Data entry'!$AQ$6:$AQ$200,'Data Validation'!$V$2, 'Data entry'!$AP$6:$AP$200,'Data Validation'!$U$2, 'Data entry'!$BD$6:$BD$200,"&lt;&gt;*Negative*"))))</f>
        <v/>
      </c>
      <c r="H112" t="str">
        <f>IF($C112="","",(SUM(COUNTIFS('Data entry'!$R$6:$R$200,$C112,'Data entry'!$B$6:$B$200,{"Confirmed";"Probable"},'Data entry'!$AQ$6:$AQ$200,'Data Validation'!$V$2, 'Data entry'!$AP$6:$AP$200,'Data Validation'!$U$3, 'Data entry'!$BD$6:$BD$200,"&lt;&gt;*Negative*"))))</f>
        <v/>
      </c>
      <c r="I112" t="str">
        <f>IF($C112="","",(SUM(COUNTIFS('Data entry'!$R$6:$R$200,$C112,'Data entry'!$B$6:$B$200,{"Confirmed";"Probable"},'Data entry'!$AQ$6:$AQ$200,'Data Validation'!$V$2, 'Data entry'!$AP$6:$AP$200,'Data Validation'!$U$4, 'Data entry'!$BD$6:$BD$200,"&lt;&gt;*Negative*"))))</f>
        <v/>
      </c>
      <c r="J112" t="str">
        <f>IF($C112="","",(SUM(COUNTIFS('Data entry'!$R$6:$R$200,$C112,'Data entry'!$B$6:$B$200,{"Confirmed";"Probable"},'Data entry'!$AQ$6:$AQ$200,'Data Validation'!$V$2, 'Data entry'!$AP$6:$AP$200,'Data Validation'!$U$5, 'Data entry'!$BD$6:$BD$200,"&lt;&gt;*Negative*"))))</f>
        <v/>
      </c>
      <c r="K112" t="str">
        <f>IF($C112="","",(SUM(COUNTIFS('Data entry'!$R$6:$R$200,$C112,'Data entry'!$B$6:$B$200,{"Confirmed";"Probable"},'Data entry'!$AQ$6:$AQ$200,'Data Validation'!$V$2, 'Data entry'!$AP$6:$AP$200,'Data Validation'!$U$6, 'Data entry'!$BD$6:$BD$200,"&lt;&gt;*Negative*"))))</f>
        <v/>
      </c>
      <c r="L112" t="str">
        <f>IF($C112="","",(SUM(COUNTIFS('Data entry'!$R$6:$R$200,$C112,'Data entry'!$B$6:$B$200,{"Confirmed";"Probable"},'Data entry'!$AQ$6:$AQ$200,'Data Validation'!$V$3, 'Data entry'!$AP$6:$AP$200,'Data Validation'!$U$2, 'Data entry'!$BD$6:$BD$200,"&lt;&gt;*Negative*"))))</f>
        <v/>
      </c>
      <c r="M112" t="str">
        <f>IF($C112="","",(SUM(COUNTIFS('Data entry'!$R$6:$R$200,$C112,'Data entry'!$B$6:$B$200,{"Confirmed";"Probable"},'Data entry'!$AQ$6:$AQ$200,'Data Validation'!$V$3, 'Data entry'!$AP$6:$AP$200,'Data Validation'!$U$3, 'Data entry'!$BD$6:$BD$200,"&lt;&gt;*Negative*"))))</f>
        <v/>
      </c>
      <c r="N112" t="str">
        <f>IF($C112="","",(SUM(COUNTIFS('Data entry'!$R$6:$R$200,$C112,'Data entry'!$B$6:$B$200,{"Confirmed";"Probable"},'Data entry'!$AQ$6:$AQ$200,'Data Validation'!$V$3, 'Data entry'!$AP$6:$AP$200,'Data Validation'!$U$4, 'Data entry'!$BD$6:$BD$200,"&lt;&gt;*Negative*"))))</f>
        <v/>
      </c>
      <c r="O112" t="str">
        <f>IF($C112="","",(SUM(COUNTIFS('Data entry'!$R$6:$R$200,$C112,'Data entry'!$B$6:$B$200,{"Confirmed";"Probable"},'Data entry'!$AQ$6:$AQ$200,'Data Validation'!$V$3, 'Data entry'!$AP$6:$AP$200,'Data Validation'!$U$5, 'Data entry'!$BD$6:$BD$200,"&lt;&gt;*Negative*"))))</f>
        <v/>
      </c>
      <c r="P112" t="str">
        <f>IF($C112="","",(SUM(COUNTIFS('Data entry'!$R$6:$R$200,$C112,'Data entry'!$B$6:$B$200,{"Confirmed";"Probable"},'Data entry'!$AQ$6:$AQ$200,'Data Validation'!$V$3, 'Data entry'!$AP$6:$AP$200,'Data Validation'!$U$6, 'Data entry'!$BD$6:$BD$200,"&lt;&gt;*Negative*"))))</f>
        <v/>
      </c>
    </row>
    <row r="113" spans="1:16" ht="15.6" x14ac:dyDescent="0.35">
      <c r="A113" s="1" t="str">
        <f>IF('Data entry'!B117="","",'Data entry'!B117)</f>
        <v/>
      </c>
      <c r="B113" s="1" t="str">
        <f>IF('Data entry'!O117="","",'Data entry'!O117)</f>
        <v/>
      </c>
      <c r="C113" s="321" t="str">
        <f>IF('Data entry'!R117="","",'Data entry'!R117)</f>
        <v/>
      </c>
      <c r="D113" s="1" t="str">
        <f>IF('Data entry'!AO117="","",'Data entry'!AO117)</f>
        <v/>
      </c>
      <c r="E113" s="1" t="str">
        <f>IF('Data entry'!AP117="","",'Data entry'!AP117)</f>
        <v/>
      </c>
      <c r="F113" s="1" t="str">
        <f>IF('Data entry'!AQ117="","",'Data entry'!AQ117)</f>
        <v/>
      </c>
      <c r="G113" t="str">
        <f>IF($C113="","",(SUM(COUNTIFS('Data entry'!$R$6:$R$200,$C113,'Data entry'!$B$6:$B$200,{"Confirmed";"Probable"},'Data entry'!$AQ$6:$AQ$200,'Data Validation'!$V$2, 'Data entry'!$AP$6:$AP$200,'Data Validation'!$U$2, 'Data entry'!$BD$6:$BD$200,"&lt;&gt;*Negative*"))))</f>
        <v/>
      </c>
      <c r="H113" t="str">
        <f>IF($C113="","",(SUM(COUNTIFS('Data entry'!$R$6:$R$200,$C113,'Data entry'!$B$6:$B$200,{"Confirmed";"Probable"},'Data entry'!$AQ$6:$AQ$200,'Data Validation'!$V$2, 'Data entry'!$AP$6:$AP$200,'Data Validation'!$U$3, 'Data entry'!$BD$6:$BD$200,"&lt;&gt;*Negative*"))))</f>
        <v/>
      </c>
      <c r="I113" t="str">
        <f>IF($C113="","",(SUM(COUNTIFS('Data entry'!$R$6:$R$200,$C113,'Data entry'!$B$6:$B$200,{"Confirmed";"Probable"},'Data entry'!$AQ$6:$AQ$200,'Data Validation'!$V$2, 'Data entry'!$AP$6:$AP$200,'Data Validation'!$U$4, 'Data entry'!$BD$6:$BD$200,"&lt;&gt;*Negative*"))))</f>
        <v/>
      </c>
      <c r="J113" t="str">
        <f>IF($C113="","",(SUM(COUNTIFS('Data entry'!$R$6:$R$200,$C113,'Data entry'!$B$6:$B$200,{"Confirmed";"Probable"},'Data entry'!$AQ$6:$AQ$200,'Data Validation'!$V$2, 'Data entry'!$AP$6:$AP$200,'Data Validation'!$U$5, 'Data entry'!$BD$6:$BD$200,"&lt;&gt;*Negative*"))))</f>
        <v/>
      </c>
      <c r="K113" t="str">
        <f>IF($C113="","",(SUM(COUNTIFS('Data entry'!$R$6:$R$200,$C113,'Data entry'!$B$6:$B$200,{"Confirmed";"Probable"},'Data entry'!$AQ$6:$AQ$200,'Data Validation'!$V$2, 'Data entry'!$AP$6:$AP$200,'Data Validation'!$U$6, 'Data entry'!$BD$6:$BD$200,"&lt;&gt;*Negative*"))))</f>
        <v/>
      </c>
      <c r="L113" t="str">
        <f>IF($C113="","",(SUM(COUNTIFS('Data entry'!$R$6:$R$200,$C113,'Data entry'!$B$6:$B$200,{"Confirmed";"Probable"},'Data entry'!$AQ$6:$AQ$200,'Data Validation'!$V$3, 'Data entry'!$AP$6:$AP$200,'Data Validation'!$U$2, 'Data entry'!$BD$6:$BD$200,"&lt;&gt;*Negative*"))))</f>
        <v/>
      </c>
      <c r="M113" t="str">
        <f>IF($C113="","",(SUM(COUNTIFS('Data entry'!$R$6:$R$200,$C113,'Data entry'!$B$6:$B$200,{"Confirmed";"Probable"},'Data entry'!$AQ$6:$AQ$200,'Data Validation'!$V$3, 'Data entry'!$AP$6:$AP$200,'Data Validation'!$U$3, 'Data entry'!$BD$6:$BD$200,"&lt;&gt;*Negative*"))))</f>
        <v/>
      </c>
      <c r="N113" t="str">
        <f>IF($C113="","",(SUM(COUNTIFS('Data entry'!$R$6:$R$200,$C113,'Data entry'!$B$6:$B$200,{"Confirmed";"Probable"},'Data entry'!$AQ$6:$AQ$200,'Data Validation'!$V$3, 'Data entry'!$AP$6:$AP$200,'Data Validation'!$U$4, 'Data entry'!$BD$6:$BD$200,"&lt;&gt;*Negative*"))))</f>
        <v/>
      </c>
      <c r="O113" t="str">
        <f>IF($C113="","",(SUM(COUNTIFS('Data entry'!$R$6:$R$200,$C113,'Data entry'!$B$6:$B$200,{"Confirmed";"Probable"},'Data entry'!$AQ$6:$AQ$200,'Data Validation'!$V$3, 'Data entry'!$AP$6:$AP$200,'Data Validation'!$U$5, 'Data entry'!$BD$6:$BD$200,"&lt;&gt;*Negative*"))))</f>
        <v/>
      </c>
      <c r="P113" t="str">
        <f>IF($C113="","",(SUM(COUNTIFS('Data entry'!$R$6:$R$200,$C113,'Data entry'!$B$6:$B$200,{"Confirmed";"Probable"},'Data entry'!$AQ$6:$AQ$200,'Data Validation'!$V$3, 'Data entry'!$AP$6:$AP$200,'Data Validation'!$U$6, 'Data entry'!$BD$6:$BD$200,"&lt;&gt;*Negative*"))))</f>
        <v/>
      </c>
    </row>
    <row r="114" spans="1:16" ht="15.6" x14ac:dyDescent="0.35">
      <c r="A114" s="1" t="str">
        <f>IF('Data entry'!B118="","",'Data entry'!B118)</f>
        <v/>
      </c>
      <c r="B114" s="1" t="str">
        <f>IF('Data entry'!O118="","",'Data entry'!O118)</f>
        <v/>
      </c>
      <c r="C114" s="321" t="str">
        <f>IF('Data entry'!R118="","",'Data entry'!R118)</f>
        <v/>
      </c>
      <c r="D114" s="1" t="str">
        <f>IF('Data entry'!AO118="","",'Data entry'!AO118)</f>
        <v/>
      </c>
      <c r="E114" s="1" t="str">
        <f>IF('Data entry'!AP118="","",'Data entry'!AP118)</f>
        <v/>
      </c>
      <c r="F114" s="1" t="str">
        <f>IF('Data entry'!AQ118="","",'Data entry'!AQ118)</f>
        <v/>
      </c>
      <c r="G114" t="str">
        <f>IF($C114="","",(SUM(COUNTIFS('Data entry'!$R$6:$R$200,$C114,'Data entry'!$B$6:$B$200,{"Confirmed";"Probable"},'Data entry'!$AQ$6:$AQ$200,'Data Validation'!$V$2, 'Data entry'!$AP$6:$AP$200,'Data Validation'!$U$2, 'Data entry'!$BD$6:$BD$200,"&lt;&gt;*Negative*"))))</f>
        <v/>
      </c>
      <c r="H114" t="str">
        <f>IF($C114="","",(SUM(COUNTIFS('Data entry'!$R$6:$R$200,$C114,'Data entry'!$B$6:$B$200,{"Confirmed";"Probable"},'Data entry'!$AQ$6:$AQ$200,'Data Validation'!$V$2, 'Data entry'!$AP$6:$AP$200,'Data Validation'!$U$3, 'Data entry'!$BD$6:$BD$200,"&lt;&gt;*Negative*"))))</f>
        <v/>
      </c>
      <c r="I114" t="str">
        <f>IF($C114="","",(SUM(COUNTIFS('Data entry'!$R$6:$R$200,$C114,'Data entry'!$B$6:$B$200,{"Confirmed";"Probable"},'Data entry'!$AQ$6:$AQ$200,'Data Validation'!$V$2, 'Data entry'!$AP$6:$AP$200,'Data Validation'!$U$4, 'Data entry'!$BD$6:$BD$200,"&lt;&gt;*Negative*"))))</f>
        <v/>
      </c>
      <c r="J114" t="str">
        <f>IF($C114="","",(SUM(COUNTIFS('Data entry'!$R$6:$R$200,$C114,'Data entry'!$B$6:$B$200,{"Confirmed";"Probable"},'Data entry'!$AQ$6:$AQ$200,'Data Validation'!$V$2, 'Data entry'!$AP$6:$AP$200,'Data Validation'!$U$5, 'Data entry'!$BD$6:$BD$200,"&lt;&gt;*Negative*"))))</f>
        <v/>
      </c>
      <c r="K114" t="str">
        <f>IF($C114="","",(SUM(COUNTIFS('Data entry'!$R$6:$R$200,$C114,'Data entry'!$B$6:$B$200,{"Confirmed";"Probable"},'Data entry'!$AQ$6:$AQ$200,'Data Validation'!$V$2, 'Data entry'!$AP$6:$AP$200,'Data Validation'!$U$6, 'Data entry'!$BD$6:$BD$200,"&lt;&gt;*Negative*"))))</f>
        <v/>
      </c>
      <c r="L114" t="str">
        <f>IF($C114="","",(SUM(COUNTIFS('Data entry'!$R$6:$R$200,$C114,'Data entry'!$B$6:$B$200,{"Confirmed";"Probable"},'Data entry'!$AQ$6:$AQ$200,'Data Validation'!$V$3, 'Data entry'!$AP$6:$AP$200,'Data Validation'!$U$2, 'Data entry'!$BD$6:$BD$200,"&lt;&gt;*Negative*"))))</f>
        <v/>
      </c>
      <c r="M114" t="str">
        <f>IF($C114="","",(SUM(COUNTIFS('Data entry'!$R$6:$R$200,$C114,'Data entry'!$B$6:$B$200,{"Confirmed";"Probable"},'Data entry'!$AQ$6:$AQ$200,'Data Validation'!$V$3, 'Data entry'!$AP$6:$AP$200,'Data Validation'!$U$3, 'Data entry'!$BD$6:$BD$200,"&lt;&gt;*Negative*"))))</f>
        <v/>
      </c>
      <c r="N114" t="str">
        <f>IF($C114="","",(SUM(COUNTIFS('Data entry'!$R$6:$R$200,$C114,'Data entry'!$B$6:$B$200,{"Confirmed";"Probable"},'Data entry'!$AQ$6:$AQ$200,'Data Validation'!$V$3, 'Data entry'!$AP$6:$AP$200,'Data Validation'!$U$4, 'Data entry'!$BD$6:$BD$200,"&lt;&gt;*Negative*"))))</f>
        <v/>
      </c>
      <c r="O114" t="str">
        <f>IF($C114="","",(SUM(COUNTIFS('Data entry'!$R$6:$R$200,$C114,'Data entry'!$B$6:$B$200,{"Confirmed";"Probable"},'Data entry'!$AQ$6:$AQ$200,'Data Validation'!$V$3, 'Data entry'!$AP$6:$AP$200,'Data Validation'!$U$5, 'Data entry'!$BD$6:$BD$200,"&lt;&gt;*Negative*"))))</f>
        <v/>
      </c>
      <c r="P114" t="str">
        <f>IF($C114="","",(SUM(COUNTIFS('Data entry'!$R$6:$R$200,$C114,'Data entry'!$B$6:$B$200,{"Confirmed";"Probable"},'Data entry'!$AQ$6:$AQ$200,'Data Validation'!$V$3, 'Data entry'!$AP$6:$AP$200,'Data Validation'!$U$6, 'Data entry'!$BD$6:$BD$200,"&lt;&gt;*Negative*"))))</f>
        <v/>
      </c>
    </row>
    <row r="115" spans="1:16" ht="15.6" x14ac:dyDescent="0.35">
      <c r="A115" s="1" t="str">
        <f>IF('Data entry'!B119="","",'Data entry'!B119)</f>
        <v/>
      </c>
      <c r="B115" s="1" t="str">
        <f>IF('Data entry'!O119="","",'Data entry'!O119)</f>
        <v/>
      </c>
      <c r="C115" s="321" t="str">
        <f>IF('Data entry'!R119="","",'Data entry'!R119)</f>
        <v/>
      </c>
      <c r="D115" s="1" t="str">
        <f>IF('Data entry'!AO119="","",'Data entry'!AO119)</f>
        <v/>
      </c>
      <c r="E115" s="1" t="str">
        <f>IF('Data entry'!AP119="","",'Data entry'!AP119)</f>
        <v/>
      </c>
      <c r="F115" s="1" t="str">
        <f>IF('Data entry'!AQ119="","",'Data entry'!AQ119)</f>
        <v/>
      </c>
      <c r="G115" t="str">
        <f>IF($C115="","",(SUM(COUNTIFS('Data entry'!$R$6:$R$200,$C115,'Data entry'!$B$6:$B$200,{"Confirmed";"Probable"},'Data entry'!$AQ$6:$AQ$200,'Data Validation'!$V$2, 'Data entry'!$AP$6:$AP$200,'Data Validation'!$U$2, 'Data entry'!$BD$6:$BD$200,"&lt;&gt;*Negative*"))))</f>
        <v/>
      </c>
      <c r="H115" t="str">
        <f>IF($C115="","",(SUM(COUNTIFS('Data entry'!$R$6:$R$200,$C115,'Data entry'!$B$6:$B$200,{"Confirmed";"Probable"},'Data entry'!$AQ$6:$AQ$200,'Data Validation'!$V$2, 'Data entry'!$AP$6:$AP$200,'Data Validation'!$U$3, 'Data entry'!$BD$6:$BD$200,"&lt;&gt;*Negative*"))))</f>
        <v/>
      </c>
      <c r="I115" t="str">
        <f>IF($C115="","",(SUM(COUNTIFS('Data entry'!$R$6:$R$200,$C115,'Data entry'!$B$6:$B$200,{"Confirmed";"Probable"},'Data entry'!$AQ$6:$AQ$200,'Data Validation'!$V$2, 'Data entry'!$AP$6:$AP$200,'Data Validation'!$U$4, 'Data entry'!$BD$6:$BD$200,"&lt;&gt;*Negative*"))))</f>
        <v/>
      </c>
      <c r="J115" t="str">
        <f>IF($C115="","",(SUM(COUNTIFS('Data entry'!$R$6:$R$200,$C115,'Data entry'!$B$6:$B$200,{"Confirmed";"Probable"},'Data entry'!$AQ$6:$AQ$200,'Data Validation'!$V$2, 'Data entry'!$AP$6:$AP$200,'Data Validation'!$U$5, 'Data entry'!$BD$6:$BD$200,"&lt;&gt;*Negative*"))))</f>
        <v/>
      </c>
      <c r="K115" t="str">
        <f>IF($C115="","",(SUM(COUNTIFS('Data entry'!$R$6:$R$200,$C115,'Data entry'!$B$6:$B$200,{"Confirmed";"Probable"},'Data entry'!$AQ$6:$AQ$200,'Data Validation'!$V$2, 'Data entry'!$AP$6:$AP$200,'Data Validation'!$U$6, 'Data entry'!$BD$6:$BD$200,"&lt;&gt;*Negative*"))))</f>
        <v/>
      </c>
      <c r="L115" t="str">
        <f>IF($C115="","",(SUM(COUNTIFS('Data entry'!$R$6:$R$200,$C115,'Data entry'!$B$6:$B$200,{"Confirmed";"Probable"},'Data entry'!$AQ$6:$AQ$200,'Data Validation'!$V$3, 'Data entry'!$AP$6:$AP$200,'Data Validation'!$U$2, 'Data entry'!$BD$6:$BD$200,"&lt;&gt;*Negative*"))))</f>
        <v/>
      </c>
      <c r="M115" t="str">
        <f>IF($C115="","",(SUM(COUNTIFS('Data entry'!$R$6:$R$200,$C115,'Data entry'!$B$6:$B$200,{"Confirmed";"Probable"},'Data entry'!$AQ$6:$AQ$200,'Data Validation'!$V$3, 'Data entry'!$AP$6:$AP$200,'Data Validation'!$U$3, 'Data entry'!$BD$6:$BD$200,"&lt;&gt;*Negative*"))))</f>
        <v/>
      </c>
      <c r="N115" t="str">
        <f>IF($C115="","",(SUM(COUNTIFS('Data entry'!$R$6:$R$200,$C115,'Data entry'!$B$6:$B$200,{"Confirmed";"Probable"},'Data entry'!$AQ$6:$AQ$200,'Data Validation'!$V$3, 'Data entry'!$AP$6:$AP$200,'Data Validation'!$U$4, 'Data entry'!$BD$6:$BD$200,"&lt;&gt;*Negative*"))))</f>
        <v/>
      </c>
      <c r="O115" t="str">
        <f>IF($C115="","",(SUM(COUNTIFS('Data entry'!$R$6:$R$200,$C115,'Data entry'!$B$6:$B$200,{"Confirmed";"Probable"},'Data entry'!$AQ$6:$AQ$200,'Data Validation'!$V$3, 'Data entry'!$AP$6:$AP$200,'Data Validation'!$U$5, 'Data entry'!$BD$6:$BD$200,"&lt;&gt;*Negative*"))))</f>
        <v/>
      </c>
      <c r="P115" t="str">
        <f>IF($C115="","",(SUM(COUNTIFS('Data entry'!$R$6:$R$200,$C115,'Data entry'!$B$6:$B$200,{"Confirmed";"Probable"},'Data entry'!$AQ$6:$AQ$200,'Data Validation'!$V$3, 'Data entry'!$AP$6:$AP$200,'Data Validation'!$U$6, 'Data entry'!$BD$6:$BD$200,"&lt;&gt;*Negative*"))))</f>
        <v/>
      </c>
    </row>
    <row r="116" spans="1:16" ht="15.6" x14ac:dyDescent="0.35">
      <c r="A116" s="1" t="str">
        <f>IF('Data entry'!B120="","",'Data entry'!B120)</f>
        <v/>
      </c>
      <c r="B116" s="1" t="str">
        <f>IF('Data entry'!O120="","",'Data entry'!O120)</f>
        <v/>
      </c>
      <c r="C116" s="321" t="str">
        <f>IF('Data entry'!R120="","",'Data entry'!R120)</f>
        <v/>
      </c>
      <c r="D116" s="1" t="str">
        <f>IF('Data entry'!AO120="","",'Data entry'!AO120)</f>
        <v/>
      </c>
      <c r="E116" s="1" t="str">
        <f>IF('Data entry'!AP120="","",'Data entry'!AP120)</f>
        <v/>
      </c>
      <c r="F116" s="1" t="str">
        <f>IF('Data entry'!AQ120="","",'Data entry'!AQ120)</f>
        <v/>
      </c>
      <c r="G116" t="str">
        <f>IF($C116="","",(SUM(COUNTIFS('Data entry'!$R$6:$R$200,$C116,'Data entry'!$B$6:$B$200,{"Confirmed";"Probable"},'Data entry'!$AQ$6:$AQ$200,'Data Validation'!$V$2, 'Data entry'!$AP$6:$AP$200,'Data Validation'!$U$2, 'Data entry'!$BD$6:$BD$200,"&lt;&gt;*Negative*"))))</f>
        <v/>
      </c>
      <c r="H116" t="str">
        <f>IF($C116="","",(SUM(COUNTIFS('Data entry'!$R$6:$R$200,$C116,'Data entry'!$B$6:$B$200,{"Confirmed";"Probable"},'Data entry'!$AQ$6:$AQ$200,'Data Validation'!$V$2, 'Data entry'!$AP$6:$AP$200,'Data Validation'!$U$3, 'Data entry'!$BD$6:$BD$200,"&lt;&gt;*Negative*"))))</f>
        <v/>
      </c>
      <c r="I116" t="str">
        <f>IF($C116="","",(SUM(COUNTIFS('Data entry'!$R$6:$R$200,$C116,'Data entry'!$B$6:$B$200,{"Confirmed";"Probable"},'Data entry'!$AQ$6:$AQ$200,'Data Validation'!$V$2, 'Data entry'!$AP$6:$AP$200,'Data Validation'!$U$4, 'Data entry'!$BD$6:$BD$200,"&lt;&gt;*Negative*"))))</f>
        <v/>
      </c>
      <c r="J116" t="str">
        <f>IF($C116="","",(SUM(COUNTIFS('Data entry'!$R$6:$R$200,$C116,'Data entry'!$B$6:$B$200,{"Confirmed";"Probable"},'Data entry'!$AQ$6:$AQ$200,'Data Validation'!$V$2, 'Data entry'!$AP$6:$AP$200,'Data Validation'!$U$5, 'Data entry'!$BD$6:$BD$200,"&lt;&gt;*Negative*"))))</f>
        <v/>
      </c>
      <c r="K116" t="str">
        <f>IF($C116="","",(SUM(COUNTIFS('Data entry'!$R$6:$R$200,$C116,'Data entry'!$B$6:$B$200,{"Confirmed";"Probable"},'Data entry'!$AQ$6:$AQ$200,'Data Validation'!$V$2, 'Data entry'!$AP$6:$AP$200,'Data Validation'!$U$6, 'Data entry'!$BD$6:$BD$200,"&lt;&gt;*Negative*"))))</f>
        <v/>
      </c>
      <c r="L116" t="str">
        <f>IF($C116="","",(SUM(COUNTIFS('Data entry'!$R$6:$R$200,$C116,'Data entry'!$B$6:$B$200,{"Confirmed";"Probable"},'Data entry'!$AQ$6:$AQ$200,'Data Validation'!$V$3, 'Data entry'!$AP$6:$AP$200,'Data Validation'!$U$2, 'Data entry'!$BD$6:$BD$200,"&lt;&gt;*Negative*"))))</f>
        <v/>
      </c>
      <c r="M116" t="str">
        <f>IF($C116="","",(SUM(COUNTIFS('Data entry'!$R$6:$R$200,$C116,'Data entry'!$B$6:$B$200,{"Confirmed";"Probable"},'Data entry'!$AQ$6:$AQ$200,'Data Validation'!$V$3, 'Data entry'!$AP$6:$AP$200,'Data Validation'!$U$3, 'Data entry'!$BD$6:$BD$200,"&lt;&gt;*Negative*"))))</f>
        <v/>
      </c>
      <c r="N116" t="str">
        <f>IF($C116="","",(SUM(COUNTIFS('Data entry'!$R$6:$R$200,$C116,'Data entry'!$B$6:$B$200,{"Confirmed";"Probable"},'Data entry'!$AQ$6:$AQ$200,'Data Validation'!$V$3, 'Data entry'!$AP$6:$AP$200,'Data Validation'!$U$4, 'Data entry'!$BD$6:$BD$200,"&lt;&gt;*Negative*"))))</f>
        <v/>
      </c>
      <c r="O116" t="str">
        <f>IF($C116="","",(SUM(COUNTIFS('Data entry'!$R$6:$R$200,$C116,'Data entry'!$B$6:$B$200,{"Confirmed";"Probable"},'Data entry'!$AQ$6:$AQ$200,'Data Validation'!$V$3, 'Data entry'!$AP$6:$AP$200,'Data Validation'!$U$5, 'Data entry'!$BD$6:$BD$200,"&lt;&gt;*Negative*"))))</f>
        <v/>
      </c>
      <c r="P116" t="str">
        <f>IF($C116="","",(SUM(COUNTIFS('Data entry'!$R$6:$R$200,$C116,'Data entry'!$B$6:$B$200,{"Confirmed";"Probable"},'Data entry'!$AQ$6:$AQ$200,'Data Validation'!$V$3, 'Data entry'!$AP$6:$AP$200,'Data Validation'!$U$6, 'Data entry'!$BD$6:$BD$200,"&lt;&gt;*Negative*"))))</f>
        <v/>
      </c>
    </row>
    <row r="117" spans="1:16" ht="15.6" x14ac:dyDescent="0.35">
      <c r="A117" s="1" t="str">
        <f>IF('Data entry'!B121="","",'Data entry'!B121)</f>
        <v/>
      </c>
      <c r="B117" s="1" t="str">
        <f>IF('Data entry'!O121="","",'Data entry'!O121)</f>
        <v/>
      </c>
      <c r="C117" s="321" t="str">
        <f>IF('Data entry'!R121="","",'Data entry'!R121)</f>
        <v/>
      </c>
      <c r="D117" s="1" t="str">
        <f>IF('Data entry'!AO121="","",'Data entry'!AO121)</f>
        <v/>
      </c>
      <c r="E117" s="1" t="str">
        <f>IF('Data entry'!AP121="","",'Data entry'!AP121)</f>
        <v/>
      </c>
      <c r="F117" s="1" t="str">
        <f>IF('Data entry'!AQ121="","",'Data entry'!AQ121)</f>
        <v/>
      </c>
      <c r="G117" t="str">
        <f>IF($C117="","",(SUM(COUNTIFS('Data entry'!$R$6:$R$200,$C117,'Data entry'!$B$6:$B$200,{"Confirmed";"Probable"},'Data entry'!$AQ$6:$AQ$200,'Data Validation'!$V$2, 'Data entry'!$AP$6:$AP$200,'Data Validation'!$U$2, 'Data entry'!$BD$6:$BD$200,"&lt;&gt;*Negative*"))))</f>
        <v/>
      </c>
      <c r="H117" t="str">
        <f>IF($C117="","",(SUM(COUNTIFS('Data entry'!$R$6:$R$200,$C117,'Data entry'!$B$6:$B$200,{"Confirmed";"Probable"},'Data entry'!$AQ$6:$AQ$200,'Data Validation'!$V$2, 'Data entry'!$AP$6:$AP$200,'Data Validation'!$U$3, 'Data entry'!$BD$6:$BD$200,"&lt;&gt;*Negative*"))))</f>
        <v/>
      </c>
      <c r="I117" t="str">
        <f>IF($C117="","",(SUM(COUNTIFS('Data entry'!$R$6:$R$200,$C117,'Data entry'!$B$6:$B$200,{"Confirmed";"Probable"},'Data entry'!$AQ$6:$AQ$200,'Data Validation'!$V$2, 'Data entry'!$AP$6:$AP$200,'Data Validation'!$U$4, 'Data entry'!$BD$6:$BD$200,"&lt;&gt;*Negative*"))))</f>
        <v/>
      </c>
      <c r="J117" t="str">
        <f>IF($C117="","",(SUM(COUNTIFS('Data entry'!$R$6:$R$200,$C117,'Data entry'!$B$6:$B$200,{"Confirmed";"Probable"},'Data entry'!$AQ$6:$AQ$200,'Data Validation'!$V$2, 'Data entry'!$AP$6:$AP$200,'Data Validation'!$U$5, 'Data entry'!$BD$6:$BD$200,"&lt;&gt;*Negative*"))))</f>
        <v/>
      </c>
      <c r="K117" t="str">
        <f>IF($C117="","",(SUM(COUNTIFS('Data entry'!$R$6:$R$200,$C117,'Data entry'!$B$6:$B$200,{"Confirmed";"Probable"},'Data entry'!$AQ$6:$AQ$200,'Data Validation'!$V$2, 'Data entry'!$AP$6:$AP$200,'Data Validation'!$U$6, 'Data entry'!$BD$6:$BD$200,"&lt;&gt;*Negative*"))))</f>
        <v/>
      </c>
      <c r="L117" t="str">
        <f>IF($C117="","",(SUM(COUNTIFS('Data entry'!$R$6:$R$200,$C117,'Data entry'!$B$6:$B$200,{"Confirmed";"Probable"},'Data entry'!$AQ$6:$AQ$200,'Data Validation'!$V$3, 'Data entry'!$AP$6:$AP$200,'Data Validation'!$U$2, 'Data entry'!$BD$6:$BD$200,"&lt;&gt;*Negative*"))))</f>
        <v/>
      </c>
      <c r="M117" t="str">
        <f>IF($C117="","",(SUM(COUNTIFS('Data entry'!$R$6:$R$200,$C117,'Data entry'!$B$6:$B$200,{"Confirmed";"Probable"},'Data entry'!$AQ$6:$AQ$200,'Data Validation'!$V$3, 'Data entry'!$AP$6:$AP$200,'Data Validation'!$U$3, 'Data entry'!$BD$6:$BD$200,"&lt;&gt;*Negative*"))))</f>
        <v/>
      </c>
      <c r="N117" t="str">
        <f>IF($C117="","",(SUM(COUNTIFS('Data entry'!$R$6:$R$200,$C117,'Data entry'!$B$6:$B$200,{"Confirmed";"Probable"},'Data entry'!$AQ$6:$AQ$200,'Data Validation'!$V$3, 'Data entry'!$AP$6:$AP$200,'Data Validation'!$U$4, 'Data entry'!$BD$6:$BD$200,"&lt;&gt;*Negative*"))))</f>
        <v/>
      </c>
      <c r="O117" t="str">
        <f>IF($C117="","",(SUM(COUNTIFS('Data entry'!$R$6:$R$200,$C117,'Data entry'!$B$6:$B$200,{"Confirmed";"Probable"},'Data entry'!$AQ$6:$AQ$200,'Data Validation'!$V$3, 'Data entry'!$AP$6:$AP$200,'Data Validation'!$U$5, 'Data entry'!$BD$6:$BD$200,"&lt;&gt;*Negative*"))))</f>
        <v/>
      </c>
      <c r="P117" t="str">
        <f>IF($C117="","",(SUM(COUNTIFS('Data entry'!$R$6:$R$200,$C117,'Data entry'!$B$6:$B$200,{"Confirmed";"Probable"},'Data entry'!$AQ$6:$AQ$200,'Data Validation'!$V$3, 'Data entry'!$AP$6:$AP$200,'Data Validation'!$U$6, 'Data entry'!$BD$6:$BD$200,"&lt;&gt;*Negative*"))))</f>
        <v/>
      </c>
    </row>
    <row r="118" spans="1:16" ht="15.6" x14ac:dyDescent="0.35">
      <c r="A118" s="1" t="str">
        <f>IF('Data entry'!B122="","",'Data entry'!B122)</f>
        <v/>
      </c>
      <c r="B118" s="1" t="str">
        <f>IF('Data entry'!O122="","",'Data entry'!O122)</f>
        <v/>
      </c>
      <c r="C118" s="321" t="str">
        <f>IF('Data entry'!R122="","",'Data entry'!R122)</f>
        <v/>
      </c>
      <c r="D118" s="1" t="str">
        <f>IF('Data entry'!AO122="","",'Data entry'!AO122)</f>
        <v/>
      </c>
      <c r="E118" s="1" t="str">
        <f>IF('Data entry'!AP122="","",'Data entry'!AP122)</f>
        <v/>
      </c>
      <c r="F118" s="1" t="str">
        <f>IF('Data entry'!AQ122="","",'Data entry'!AQ122)</f>
        <v/>
      </c>
      <c r="G118" t="str">
        <f>IF($C118="","",(SUM(COUNTIFS('Data entry'!$R$6:$R$200,$C118,'Data entry'!$B$6:$B$200,{"Confirmed";"Probable"},'Data entry'!$AQ$6:$AQ$200,'Data Validation'!$V$2, 'Data entry'!$AP$6:$AP$200,'Data Validation'!$U$2, 'Data entry'!$BD$6:$BD$200,"&lt;&gt;*Negative*"))))</f>
        <v/>
      </c>
      <c r="H118" t="str">
        <f>IF($C118="","",(SUM(COUNTIFS('Data entry'!$R$6:$R$200,$C118,'Data entry'!$B$6:$B$200,{"Confirmed";"Probable"},'Data entry'!$AQ$6:$AQ$200,'Data Validation'!$V$2, 'Data entry'!$AP$6:$AP$200,'Data Validation'!$U$3, 'Data entry'!$BD$6:$BD$200,"&lt;&gt;*Negative*"))))</f>
        <v/>
      </c>
      <c r="I118" t="str">
        <f>IF($C118="","",(SUM(COUNTIFS('Data entry'!$R$6:$R$200,$C118,'Data entry'!$B$6:$B$200,{"Confirmed";"Probable"},'Data entry'!$AQ$6:$AQ$200,'Data Validation'!$V$2, 'Data entry'!$AP$6:$AP$200,'Data Validation'!$U$4, 'Data entry'!$BD$6:$BD$200,"&lt;&gt;*Negative*"))))</f>
        <v/>
      </c>
      <c r="J118" t="str">
        <f>IF($C118="","",(SUM(COUNTIFS('Data entry'!$R$6:$R$200,$C118,'Data entry'!$B$6:$B$200,{"Confirmed";"Probable"},'Data entry'!$AQ$6:$AQ$200,'Data Validation'!$V$2, 'Data entry'!$AP$6:$AP$200,'Data Validation'!$U$5, 'Data entry'!$BD$6:$BD$200,"&lt;&gt;*Negative*"))))</f>
        <v/>
      </c>
      <c r="K118" t="str">
        <f>IF($C118="","",(SUM(COUNTIFS('Data entry'!$R$6:$R$200,$C118,'Data entry'!$B$6:$B$200,{"Confirmed";"Probable"},'Data entry'!$AQ$6:$AQ$200,'Data Validation'!$V$2, 'Data entry'!$AP$6:$AP$200,'Data Validation'!$U$6, 'Data entry'!$BD$6:$BD$200,"&lt;&gt;*Negative*"))))</f>
        <v/>
      </c>
      <c r="L118" t="str">
        <f>IF($C118="","",(SUM(COUNTIFS('Data entry'!$R$6:$R$200,$C118,'Data entry'!$B$6:$B$200,{"Confirmed";"Probable"},'Data entry'!$AQ$6:$AQ$200,'Data Validation'!$V$3, 'Data entry'!$AP$6:$AP$200,'Data Validation'!$U$2, 'Data entry'!$BD$6:$BD$200,"&lt;&gt;*Negative*"))))</f>
        <v/>
      </c>
      <c r="M118" t="str">
        <f>IF($C118="","",(SUM(COUNTIFS('Data entry'!$R$6:$R$200,$C118,'Data entry'!$B$6:$B$200,{"Confirmed";"Probable"},'Data entry'!$AQ$6:$AQ$200,'Data Validation'!$V$3, 'Data entry'!$AP$6:$AP$200,'Data Validation'!$U$3, 'Data entry'!$BD$6:$BD$200,"&lt;&gt;*Negative*"))))</f>
        <v/>
      </c>
      <c r="N118" t="str">
        <f>IF($C118="","",(SUM(COUNTIFS('Data entry'!$R$6:$R$200,$C118,'Data entry'!$B$6:$B$200,{"Confirmed";"Probable"},'Data entry'!$AQ$6:$AQ$200,'Data Validation'!$V$3, 'Data entry'!$AP$6:$AP$200,'Data Validation'!$U$4, 'Data entry'!$BD$6:$BD$200,"&lt;&gt;*Negative*"))))</f>
        <v/>
      </c>
      <c r="O118" t="str">
        <f>IF($C118="","",(SUM(COUNTIFS('Data entry'!$R$6:$R$200,$C118,'Data entry'!$B$6:$B$200,{"Confirmed";"Probable"},'Data entry'!$AQ$6:$AQ$200,'Data Validation'!$V$3, 'Data entry'!$AP$6:$AP$200,'Data Validation'!$U$5, 'Data entry'!$BD$6:$BD$200,"&lt;&gt;*Negative*"))))</f>
        <v/>
      </c>
      <c r="P118" t="str">
        <f>IF($C118="","",(SUM(COUNTIFS('Data entry'!$R$6:$R$200,$C118,'Data entry'!$B$6:$B$200,{"Confirmed";"Probable"},'Data entry'!$AQ$6:$AQ$200,'Data Validation'!$V$3, 'Data entry'!$AP$6:$AP$200,'Data Validation'!$U$6, 'Data entry'!$BD$6:$BD$200,"&lt;&gt;*Negative*"))))</f>
        <v/>
      </c>
    </row>
    <row r="119" spans="1:16" ht="15.6" x14ac:dyDescent="0.35">
      <c r="A119" s="1" t="str">
        <f>IF('Data entry'!B123="","",'Data entry'!B123)</f>
        <v/>
      </c>
      <c r="B119" s="1" t="str">
        <f>IF('Data entry'!O123="","",'Data entry'!O123)</f>
        <v/>
      </c>
      <c r="C119" s="321" t="str">
        <f>IF('Data entry'!R123="","",'Data entry'!R123)</f>
        <v/>
      </c>
      <c r="D119" s="1" t="str">
        <f>IF('Data entry'!AO123="","",'Data entry'!AO123)</f>
        <v/>
      </c>
      <c r="E119" s="1" t="str">
        <f>IF('Data entry'!AP123="","",'Data entry'!AP123)</f>
        <v/>
      </c>
      <c r="F119" s="1" t="str">
        <f>IF('Data entry'!AQ123="","",'Data entry'!AQ123)</f>
        <v/>
      </c>
      <c r="G119" t="str">
        <f>IF($C119="","",(SUM(COUNTIFS('Data entry'!$R$6:$R$200,$C119,'Data entry'!$B$6:$B$200,{"Confirmed";"Probable"},'Data entry'!$AQ$6:$AQ$200,'Data Validation'!$V$2, 'Data entry'!$AP$6:$AP$200,'Data Validation'!$U$2, 'Data entry'!$BD$6:$BD$200,"&lt;&gt;*Negative*"))))</f>
        <v/>
      </c>
      <c r="H119" t="str">
        <f>IF($C119="","",(SUM(COUNTIFS('Data entry'!$R$6:$R$200,$C119,'Data entry'!$B$6:$B$200,{"Confirmed";"Probable"},'Data entry'!$AQ$6:$AQ$200,'Data Validation'!$V$2, 'Data entry'!$AP$6:$AP$200,'Data Validation'!$U$3, 'Data entry'!$BD$6:$BD$200,"&lt;&gt;*Negative*"))))</f>
        <v/>
      </c>
      <c r="I119" t="str">
        <f>IF($C119="","",(SUM(COUNTIFS('Data entry'!$R$6:$R$200,$C119,'Data entry'!$B$6:$B$200,{"Confirmed";"Probable"},'Data entry'!$AQ$6:$AQ$200,'Data Validation'!$V$2, 'Data entry'!$AP$6:$AP$200,'Data Validation'!$U$4, 'Data entry'!$BD$6:$BD$200,"&lt;&gt;*Negative*"))))</f>
        <v/>
      </c>
      <c r="J119" t="str">
        <f>IF($C119="","",(SUM(COUNTIFS('Data entry'!$R$6:$R$200,$C119,'Data entry'!$B$6:$B$200,{"Confirmed";"Probable"},'Data entry'!$AQ$6:$AQ$200,'Data Validation'!$V$2, 'Data entry'!$AP$6:$AP$200,'Data Validation'!$U$5, 'Data entry'!$BD$6:$BD$200,"&lt;&gt;*Negative*"))))</f>
        <v/>
      </c>
      <c r="K119" t="str">
        <f>IF($C119="","",(SUM(COUNTIFS('Data entry'!$R$6:$R$200,$C119,'Data entry'!$B$6:$B$200,{"Confirmed";"Probable"},'Data entry'!$AQ$6:$AQ$200,'Data Validation'!$V$2, 'Data entry'!$AP$6:$AP$200,'Data Validation'!$U$6, 'Data entry'!$BD$6:$BD$200,"&lt;&gt;*Negative*"))))</f>
        <v/>
      </c>
      <c r="L119" t="str">
        <f>IF($C119="","",(SUM(COUNTIFS('Data entry'!$R$6:$R$200,$C119,'Data entry'!$B$6:$B$200,{"Confirmed";"Probable"},'Data entry'!$AQ$6:$AQ$200,'Data Validation'!$V$3, 'Data entry'!$AP$6:$AP$200,'Data Validation'!$U$2, 'Data entry'!$BD$6:$BD$200,"&lt;&gt;*Negative*"))))</f>
        <v/>
      </c>
      <c r="M119" t="str">
        <f>IF($C119="","",(SUM(COUNTIFS('Data entry'!$R$6:$R$200,$C119,'Data entry'!$B$6:$B$200,{"Confirmed";"Probable"},'Data entry'!$AQ$6:$AQ$200,'Data Validation'!$V$3, 'Data entry'!$AP$6:$AP$200,'Data Validation'!$U$3, 'Data entry'!$BD$6:$BD$200,"&lt;&gt;*Negative*"))))</f>
        <v/>
      </c>
      <c r="N119" t="str">
        <f>IF($C119="","",(SUM(COUNTIFS('Data entry'!$R$6:$R$200,$C119,'Data entry'!$B$6:$B$200,{"Confirmed";"Probable"},'Data entry'!$AQ$6:$AQ$200,'Data Validation'!$V$3, 'Data entry'!$AP$6:$AP$200,'Data Validation'!$U$4, 'Data entry'!$BD$6:$BD$200,"&lt;&gt;*Negative*"))))</f>
        <v/>
      </c>
      <c r="O119" t="str">
        <f>IF($C119="","",(SUM(COUNTIFS('Data entry'!$R$6:$R$200,$C119,'Data entry'!$B$6:$B$200,{"Confirmed";"Probable"},'Data entry'!$AQ$6:$AQ$200,'Data Validation'!$V$3, 'Data entry'!$AP$6:$AP$200,'Data Validation'!$U$5, 'Data entry'!$BD$6:$BD$200,"&lt;&gt;*Negative*"))))</f>
        <v/>
      </c>
      <c r="P119" t="str">
        <f>IF($C119="","",(SUM(COUNTIFS('Data entry'!$R$6:$R$200,$C119,'Data entry'!$B$6:$B$200,{"Confirmed";"Probable"},'Data entry'!$AQ$6:$AQ$200,'Data Validation'!$V$3, 'Data entry'!$AP$6:$AP$200,'Data Validation'!$U$6, 'Data entry'!$BD$6:$BD$200,"&lt;&gt;*Negative*"))))</f>
        <v/>
      </c>
    </row>
    <row r="120" spans="1:16" ht="15.6" x14ac:dyDescent="0.35">
      <c r="A120" s="1" t="str">
        <f>IF('Data entry'!B124="","",'Data entry'!B124)</f>
        <v/>
      </c>
      <c r="B120" s="1" t="str">
        <f>IF('Data entry'!O124="","",'Data entry'!O124)</f>
        <v/>
      </c>
      <c r="C120" s="321" t="str">
        <f>IF('Data entry'!R124="","",'Data entry'!R124)</f>
        <v/>
      </c>
      <c r="D120" s="1" t="str">
        <f>IF('Data entry'!AO124="","",'Data entry'!AO124)</f>
        <v/>
      </c>
      <c r="E120" s="1" t="str">
        <f>IF('Data entry'!AP124="","",'Data entry'!AP124)</f>
        <v/>
      </c>
      <c r="F120" s="1" t="str">
        <f>IF('Data entry'!AQ124="","",'Data entry'!AQ124)</f>
        <v/>
      </c>
      <c r="G120" t="str">
        <f>IF($C120="","",(SUM(COUNTIFS('Data entry'!$R$6:$R$200,$C120,'Data entry'!$B$6:$B$200,{"Confirmed";"Probable"},'Data entry'!$AQ$6:$AQ$200,'Data Validation'!$V$2, 'Data entry'!$AP$6:$AP$200,'Data Validation'!$U$2, 'Data entry'!$BD$6:$BD$200,"&lt;&gt;*Negative*"))))</f>
        <v/>
      </c>
      <c r="H120" t="str">
        <f>IF($C120="","",(SUM(COUNTIFS('Data entry'!$R$6:$R$200,$C120,'Data entry'!$B$6:$B$200,{"Confirmed";"Probable"},'Data entry'!$AQ$6:$AQ$200,'Data Validation'!$V$2, 'Data entry'!$AP$6:$AP$200,'Data Validation'!$U$3, 'Data entry'!$BD$6:$BD$200,"&lt;&gt;*Negative*"))))</f>
        <v/>
      </c>
      <c r="I120" t="str">
        <f>IF($C120="","",(SUM(COUNTIFS('Data entry'!$R$6:$R$200,$C120,'Data entry'!$B$6:$B$200,{"Confirmed";"Probable"},'Data entry'!$AQ$6:$AQ$200,'Data Validation'!$V$2, 'Data entry'!$AP$6:$AP$200,'Data Validation'!$U$4, 'Data entry'!$BD$6:$BD$200,"&lt;&gt;*Negative*"))))</f>
        <v/>
      </c>
      <c r="J120" t="str">
        <f>IF($C120="","",(SUM(COUNTIFS('Data entry'!$R$6:$R$200,$C120,'Data entry'!$B$6:$B$200,{"Confirmed";"Probable"},'Data entry'!$AQ$6:$AQ$200,'Data Validation'!$V$2, 'Data entry'!$AP$6:$AP$200,'Data Validation'!$U$5, 'Data entry'!$BD$6:$BD$200,"&lt;&gt;*Negative*"))))</f>
        <v/>
      </c>
      <c r="K120" t="str">
        <f>IF($C120="","",(SUM(COUNTIFS('Data entry'!$R$6:$R$200,$C120,'Data entry'!$B$6:$B$200,{"Confirmed";"Probable"},'Data entry'!$AQ$6:$AQ$200,'Data Validation'!$V$2, 'Data entry'!$AP$6:$AP$200,'Data Validation'!$U$6, 'Data entry'!$BD$6:$BD$200,"&lt;&gt;*Negative*"))))</f>
        <v/>
      </c>
      <c r="L120" t="str">
        <f>IF($C120="","",(SUM(COUNTIFS('Data entry'!$R$6:$R$200,$C120,'Data entry'!$B$6:$B$200,{"Confirmed";"Probable"},'Data entry'!$AQ$6:$AQ$200,'Data Validation'!$V$3, 'Data entry'!$AP$6:$AP$200,'Data Validation'!$U$2, 'Data entry'!$BD$6:$BD$200,"&lt;&gt;*Negative*"))))</f>
        <v/>
      </c>
      <c r="M120" t="str">
        <f>IF($C120="","",(SUM(COUNTIFS('Data entry'!$R$6:$R$200,$C120,'Data entry'!$B$6:$B$200,{"Confirmed";"Probable"},'Data entry'!$AQ$6:$AQ$200,'Data Validation'!$V$3, 'Data entry'!$AP$6:$AP$200,'Data Validation'!$U$3, 'Data entry'!$BD$6:$BD$200,"&lt;&gt;*Negative*"))))</f>
        <v/>
      </c>
      <c r="N120" t="str">
        <f>IF($C120="","",(SUM(COUNTIFS('Data entry'!$R$6:$R$200,$C120,'Data entry'!$B$6:$B$200,{"Confirmed";"Probable"},'Data entry'!$AQ$6:$AQ$200,'Data Validation'!$V$3, 'Data entry'!$AP$6:$AP$200,'Data Validation'!$U$4, 'Data entry'!$BD$6:$BD$200,"&lt;&gt;*Negative*"))))</f>
        <v/>
      </c>
      <c r="O120" t="str">
        <f>IF($C120="","",(SUM(COUNTIFS('Data entry'!$R$6:$R$200,$C120,'Data entry'!$B$6:$B$200,{"Confirmed";"Probable"},'Data entry'!$AQ$6:$AQ$200,'Data Validation'!$V$3, 'Data entry'!$AP$6:$AP$200,'Data Validation'!$U$5, 'Data entry'!$BD$6:$BD$200,"&lt;&gt;*Negative*"))))</f>
        <v/>
      </c>
      <c r="P120" t="str">
        <f>IF($C120="","",(SUM(COUNTIFS('Data entry'!$R$6:$R$200,$C120,'Data entry'!$B$6:$B$200,{"Confirmed";"Probable"},'Data entry'!$AQ$6:$AQ$200,'Data Validation'!$V$3, 'Data entry'!$AP$6:$AP$200,'Data Validation'!$U$6, 'Data entry'!$BD$6:$BD$200,"&lt;&gt;*Negative*"))))</f>
        <v/>
      </c>
    </row>
    <row r="121" spans="1:16" ht="15.6" x14ac:dyDescent="0.35">
      <c r="A121" s="1" t="str">
        <f>IF('Data entry'!B125="","",'Data entry'!B125)</f>
        <v/>
      </c>
      <c r="B121" s="1" t="str">
        <f>IF('Data entry'!O125="","",'Data entry'!O125)</f>
        <v/>
      </c>
      <c r="C121" s="321" t="str">
        <f>IF('Data entry'!R125="","",'Data entry'!R125)</f>
        <v/>
      </c>
      <c r="D121" s="1" t="str">
        <f>IF('Data entry'!AO125="","",'Data entry'!AO125)</f>
        <v/>
      </c>
      <c r="E121" s="1" t="str">
        <f>IF('Data entry'!AP125="","",'Data entry'!AP125)</f>
        <v/>
      </c>
      <c r="F121" s="1" t="str">
        <f>IF('Data entry'!AQ125="","",'Data entry'!AQ125)</f>
        <v/>
      </c>
      <c r="G121" t="str">
        <f>IF($C121="","",(SUM(COUNTIFS('Data entry'!$R$6:$R$200,$C121,'Data entry'!$B$6:$B$200,{"Confirmed";"Probable"},'Data entry'!$AQ$6:$AQ$200,'Data Validation'!$V$2, 'Data entry'!$AP$6:$AP$200,'Data Validation'!$U$2, 'Data entry'!$BD$6:$BD$200,"&lt;&gt;*Negative*"))))</f>
        <v/>
      </c>
      <c r="H121" t="str">
        <f>IF($C121="","",(SUM(COUNTIFS('Data entry'!$R$6:$R$200,$C121,'Data entry'!$B$6:$B$200,{"Confirmed";"Probable"},'Data entry'!$AQ$6:$AQ$200,'Data Validation'!$V$2, 'Data entry'!$AP$6:$AP$200,'Data Validation'!$U$3, 'Data entry'!$BD$6:$BD$200,"&lt;&gt;*Negative*"))))</f>
        <v/>
      </c>
      <c r="I121" t="str">
        <f>IF($C121="","",(SUM(COUNTIFS('Data entry'!$R$6:$R$200,$C121,'Data entry'!$B$6:$B$200,{"Confirmed";"Probable"},'Data entry'!$AQ$6:$AQ$200,'Data Validation'!$V$2, 'Data entry'!$AP$6:$AP$200,'Data Validation'!$U$4, 'Data entry'!$BD$6:$BD$200,"&lt;&gt;*Negative*"))))</f>
        <v/>
      </c>
      <c r="J121" t="str">
        <f>IF($C121="","",(SUM(COUNTIFS('Data entry'!$R$6:$R$200,$C121,'Data entry'!$B$6:$B$200,{"Confirmed";"Probable"},'Data entry'!$AQ$6:$AQ$200,'Data Validation'!$V$2, 'Data entry'!$AP$6:$AP$200,'Data Validation'!$U$5, 'Data entry'!$BD$6:$BD$200,"&lt;&gt;*Negative*"))))</f>
        <v/>
      </c>
      <c r="K121" t="str">
        <f>IF($C121="","",(SUM(COUNTIFS('Data entry'!$R$6:$R$200,$C121,'Data entry'!$B$6:$B$200,{"Confirmed";"Probable"},'Data entry'!$AQ$6:$AQ$200,'Data Validation'!$V$2, 'Data entry'!$AP$6:$AP$200,'Data Validation'!$U$6, 'Data entry'!$BD$6:$BD$200,"&lt;&gt;*Negative*"))))</f>
        <v/>
      </c>
      <c r="L121" t="str">
        <f>IF($C121="","",(SUM(COUNTIFS('Data entry'!$R$6:$R$200,$C121,'Data entry'!$B$6:$B$200,{"Confirmed";"Probable"},'Data entry'!$AQ$6:$AQ$200,'Data Validation'!$V$3, 'Data entry'!$AP$6:$AP$200,'Data Validation'!$U$2, 'Data entry'!$BD$6:$BD$200,"&lt;&gt;*Negative*"))))</f>
        <v/>
      </c>
      <c r="M121" t="str">
        <f>IF($C121="","",(SUM(COUNTIFS('Data entry'!$R$6:$R$200,$C121,'Data entry'!$B$6:$B$200,{"Confirmed";"Probable"},'Data entry'!$AQ$6:$AQ$200,'Data Validation'!$V$3, 'Data entry'!$AP$6:$AP$200,'Data Validation'!$U$3, 'Data entry'!$BD$6:$BD$200,"&lt;&gt;*Negative*"))))</f>
        <v/>
      </c>
      <c r="N121" t="str">
        <f>IF($C121="","",(SUM(COUNTIFS('Data entry'!$R$6:$R$200,$C121,'Data entry'!$B$6:$B$200,{"Confirmed";"Probable"},'Data entry'!$AQ$6:$AQ$200,'Data Validation'!$V$3, 'Data entry'!$AP$6:$AP$200,'Data Validation'!$U$4, 'Data entry'!$BD$6:$BD$200,"&lt;&gt;*Negative*"))))</f>
        <v/>
      </c>
      <c r="O121" t="str">
        <f>IF($C121="","",(SUM(COUNTIFS('Data entry'!$R$6:$R$200,$C121,'Data entry'!$B$6:$B$200,{"Confirmed";"Probable"},'Data entry'!$AQ$6:$AQ$200,'Data Validation'!$V$3, 'Data entry'!$AP$6:$AP$200,'Data Validation'!$U$5, 'Data entry'!$BD$6:$BD$200,"&lt;&gt;*Negative*"))))</f>
        <v/>
      </c>
      <c r="P121" t="str">
        <f>IF($C121="","",(SUM(COUNTIFS('Data entry'!$R$6:$R$200,$C121,'Data entry'!$B$6:$B$200,{"Confirmed";"Probable"},'Data entry'!$AQ$6:$AQ$200,'Data Validation'!$V$3, 'Data entry'!$AP$6:$AP$200,'Data Validation'!$U$6, 'Data entry'!$BD$6:$BD$200,"&lt;&gt;*Negative*"))))</f>
        <v/>
      </c>
    </row>
    <row r="122" spans="1:16" ht="15.6" x14ac:dyDescent="0.35">
      <c r="A122" s="1" t="str">
        <f>IF('Data entry'!B126="","",'Data entry'!B126)</f>
        <v/>
      </c>
      <c r="B122" s="1" t="str">
        <f>IF('Data entry'!O126="","",'Data entry'!O126)</f>
        <v/>
      </c>
      <c r="C122" s="321" t="str">
        <f>IF('Data entry'!R126="","",'Data entry'!R126)</f>
        <v/>
      </c>
      <c r="D122" s="1" t="str">
        <f>IF('Data entry'!AO126="","",'Data entry'!AO126)</f>
        <v/>
      </c>
      <c r="E122" s="1" t="str">
        <f>IF('Data entry'!AP126="","",'Data entry'!AP126)</f>
        <v/>
      </c>
      <c r="F122" s="1" t="str">
        <f>IF('Data entry'!AQ126="","",'Data entry'!AQ126)</f>
        <v/>
      </c>
      <c r="G122" t="str">
        <f>IF($C122="","",(SUM(COUNTIFS('Data entry'!$R$6:$R$200,$C122,'Data entry'!$B$6:$B$200,{"Confirmed";"Probable"},'Data entry'!$AQ$6:$AQ$200,'Data Validation'!$V$2, 'Data entry'!$AP$6:$AP$200,'Data Validation'!$U$2, 'Data entry'!$BD$6:$BD$200,"&lt;&gt;*Negative*"))))</f>
        <v/>
      </c>
      <c r="H122" t="str">
        <f>IF($C122="","",(SUM(COUNTIFS('Data entry'!$R$6:$R$200,$C122,'Data entry'!$B$6:$B$200,{"Confirmed";"Probable"},'Data entry'!$AQ$6:$AQ$200,'Data Validation'!$V$2, 'Data entry'!$AP$6:$AP$200,'Data Validation'!$U$3, 'Data entry'!$BD$6:$BD$200,"&lt;&gt;*Negative*"))))</f>
        <v/>
      </c>
      <c r="I122" t="str">
        <f>IF($C122="","",(SUM(COUNTIFS('Data entry'!$R$6:$R$200,$C122,'Data entry'!$B$6:$B$200,{"Confirmed";"Probable"},'Data entry'!$AQ$6:$AQ$200,'Data Validation'!$V$2, 'Data entry'!$AP$6:$AP$200,'Data Validation'!$U$4, 'Data entry'!$BD$6:$BD$200,"&lt;&gt;*Negative*"))))</f>
        <v/>
      </c>
      <c r="J122" t="str">
        <f>IF($C122="","",(SUM(COUNTIFS('Data entry'!$R$6:$R$200,$C122,'Data entry'!$B$6:$B$200,{"Confirmed";"Probable"},'Data entry'!$AQ$6:$AQ$200,'Data Validation'!$V$2, 'Data entry'!$AP$6:$AP$200,'Data Validation'!$U$5, 'Data entry'!$BD$6:$BD$200,"&lt;&gt;*Negative*"))))</f>
        <v/>
      </c>
      <c r="K122" t="str">
        <f>IF($C122="","",(SUM(COUNTIFS('Data entry'!$R$6:$R$200,$C122,'Data entry'!$B$6:$B$200,{"Confirmed";"Probable"},'Data entry'!$AQ$6:$AQ$200,'Data Validation'!$V$2, 'Data entry'!$AP$6:$AP$200,'Data Validation'!$U$6, 'Data entry'!$BD$6:$BD$200,"&lt;&gt;*Negative*"))))</f>
        <v/>
      </c>
      <c r="L122" t="str">
        <f>IF($C122="","",(SUM(COUNTIFS('Data entry'!$R$6:$R$200,$C122,'Data entry'!$B$6:$B$200,{"Confirmed";"Probable"},'Data entry'!$AQ$6:$AQ$200,'Data Validation'!$V$3, 'Data entry'!$AP$6:$AP$200,'Data Validation'!$U$2, 'Data entry'!$BD$6:$BD$200,"&lt;&gt;*Negative*"))))</f>
        <v/>
      </c>
      <c r="M122" t="str">
        <f>IF($C122="","",(SUM(COUNTIFS('Data entry'!$R$6:$R$200,$C122,'Data entry'!$B$6:$B$200,{"Confirmed";"Probable"},'Data entry'!$AQ$6:$AQ$200,'Data Validation'!$V$3, 'Data entry'!$AP$6:$AP$200,'Data Validation'!$U$3, 'Data entry'!$BD$6:$BD$200,"&lt;&gt;*Negative*"))))</f>
        <v/>
      </c>
      <c r="N122" t="str">
        <f>IF($C122="","",(SUM(COUNTIFS('Data entry'!$R$6:$R$200,$C122,'Data entry'!$B$6:$B$200,{"Confirmed";"Probable"},'Data entry'!$AQ$6:$AQ$200,'Data Validation'!$V$3, 'Data entry'!$AP$6:$AP$200,'Data Validation'!$U$4, 'Data entry'!$BD$6:$BD$200,"&lt;&gt;*Negative*"))))</f>
        <v/>
      </c>
      <c r="O122" t="str">
        <f>IF($C122="","",(SUM(COUNTIFS('Data entry'!$R$6:$R$200,$C122,'Data entry'!$B$6:$B$200,{"Confirmed";"Probable"},'Data entry'!$AQ$6:$AQ$200,'Data Validation'!$V$3, 'Data entry'!$AP$6:$AP$200,'Data Validation'!$U$5, 'Data entry'!$BD$6:$BD$200,"&lt;&gt;*Negative*"))))</f>
        <v/>
      </c>
      <c r="P122" t="str">
        <f>IF($C122="","",(SUM(COUNTIFS('Data entry'!$R$6:$R$200,$C122,'Data entry'!$B$6:$B$200,{"Confirmed";"Probable"},'Data entry'!$AQ$6:$AQ$200,'Data Validation'!$V$3, 'Data entry'!$AP$6:$AP$200,'Data Validation'!$U$6, 'Data entry'!$BD$6:$BD$200,"&lt;&gt;*Negative*"))))</f>
        <v/>
      </c>
    </row>
    <row r="123" spans="1:16" ht="15.6" x14ac:dyDescent="0.35">
      <c r="A123" s="1" t="str">
        <f>IF('Data entry'!B127="","",'Data entry'!B127)</f>
        <v/>
      </c>
      <c r="B123" s="1" t="str">
        <f>IF('Data entry'!O127="","",'Data entry'!O127)</f>
        <v/>
      </c>
      <c r="C123" s="321" t="str">
        <f>IF('Data entry'!R127="","",'Data entry'!R127)</f>
        <v/>
      </c>
      <c r="D123" s="1" t="str">
        <f>IF('Data entry'!AO127="","",'Data entry'!AO127)</f>
        <v/>
      </c>
      <c r="E123" s="1" t="str">
        <f>IF('Data entry'!AP127="","",'Data entry'!AP127)</f>
        <v/>
      </c>
      <c r="F123" s="1" t="str">
        <f>IF('Data entry'!AQ127="","",'Data entry'!AQ127)</f>
        <v/>
      </c>
      <c r="G123" t="str">
        <f>IF($C123="","",(SUM(COUNTIFS('Data entry'!$R$6:$R$200,$C123,'Data entry'!$B$6:$B$200,{"Confirmed";"Probable"},'Data entry'!$AQ$6:$AQ$200,'Data Validation'!$V$2, 'Data entry'!$AP$6:$AP$200,'Data Validation'!$U$2, 'Data entry'!$BD$6:$BD$200,"&lt;&gt;*Negative*"))))</f>
        <v/>
      </c>
      <c r="H123" t="str">
        <f>IF($C123="","",(SUM(COUNTIFS('Data entry'!$R$6:$R$200,$C123,'Data entry'!$B$6:$B$200,{"Confirmed";"Probable"},'Data entry'!$AQ$6:$AQ$200,'Data Validation'!$V$2, 'Data entry'!$AP$6:$AP$200,'Data Validation'!$U$3, 'Data entry'!$BD$6:$BD$200,"&lt;&gt;*Negative*"))))</f>
        <v/>
      </c>
      <c r="I123" t="str">
        <f>IF($C123="","",(SUM(COUNTIFS('Data entry'!$R$6:$R$200,$C123,'Data entry'!$B$6:$B$200,{"Confirmed";"Probable"},'Data entry'!$AQ$6:$AQ$200,'Data Validation'!$V$2, 'Data entry'!$AP$6:$AP$200,'Data Validation'!$U$4, 'Data entry'!$BD$6:$BD$200,"&lt;&gt;*Negative*"))))</f>
        <v/>
      </c>
      <c r="J123" t="str">
        <f>IF($C123="","",(SUM(COUNTIFS('Data entry'!$R$6:$R$200,$C123,'Data entry'!$B$6:$B$200,{"Confirmed";"Probable"},'Data entry'!$AQ$6:$AQ$200,'Data Validation'!$V$2, 'Data entry'!$AP$6:$AP$200,'Data Validation'!$U$5, 'Data entry'!$BD$6:$BD$200,"&lt;&gt;*Negative*"))))</f>
        <v/>
      </c>
      <c r="K123" t="str">
        <f>IF($C123="","",(SUM(COUNTIFS('Data entry'!$R$6:$R$200,$C123,'Data entry'!$B$6:$B$200,{"Confirmed";"Probable"},'Data entry'!$AQ$6:$AQ$200,'Data Validation'!$V$2, 'Data entry'!$AP$6:$AP$200,'Data Validation'!$U$6, 'Data entry'!$BD$6:$BD$200,"&lt;&gt;*Negative*"))))</f>
        <v/>
      </c>
      <c r="L123" t="str">
        <f>IF($C123="","",(SUM(COUNTIFS('Data entry'!$R$6:$R$200,$C123,'Data entry'!$B$6:$B$200,{"Confirmed";"Probable"},'Data entry'!$AQ$6:$AQ$200,'Data Validation'!$V$3, 'Data entry'!$AP$6:$AP$200,'Data Validation'!$U$2, 'Data entry'!$BD$6:$BD$200,"&lt;&gt;*Negative*"))))</f>
        <v/>
      </c>
      <c r="M123" t="str">
        <f>IF($C123="","",(SUM(COUNTIFS('Data entry'!$R$6:$R$200,$C123,'Data entry'!$B$6:$B$200,{"Confirmed";"Probable"},'Data entry'!$AQ$6:$AQ$200,'Data Validation'!$V$3, 'Data entry'!$AP$6:$AP$200,'Data Validation'!$U$3, 'Data entry'!$BD$6:$BD$200,"&lt;&gt;*Negative*"))))</f>
        <v/>
      </c>
      <c r="N123" t="str">
        <f>IF($C123="","",(SUM(COUNTIFS('Data entry'!$R$6:$R$200,$C123,'Data entry'!$B$6:$B$200,{"Confirmed";"Probable"},'Data entry'!$AQ$6:$AQ$200,'Data Validation'!$V$3, 'Data entry'!$AP$6:$AP$200,'Data Validation'!$U$4, 'Data entry'!$BD$6:$BD$200,"&lt;&gt;*Negative*"))))</f>
        <v/>
      </c>
      <c r="O123" t="str">
        <f>IF($C123="","",(SUM(COUNTIFS('Data entry'!$R$6:$R$200,$C123,'Data entry'!$B$6:$B$200,{"Confirmed";"Probable"},'Data entry'!$AQ$6:$AQ$200,'Data Validation'!$V$3, 'Data entry'!$AP$6:$AP$200,'Data Validation'!$U$5, 'Data entry'!$BD$6:$BD$200,"&lt;&gt;*Negative*"))))</f>
        <v/>
      </c>
      <c r="P123" t="str">
        <f>IF($C123="","",(SUM(COUNTIFS('Data entry'!$R$6:$R$200,$C123,'Data entry'!$B$6:$B$200,{"Confirmed";"Probable"},'Data entry'!$AQ$6:$AQ$200,'Data Validation'!$V$3, 'Data entry'!$AP$6:$AP$200,'Data Validation'!$U$6, 'Data entry'!$BD$6:$BD$200,"&lt;&gt;*Negative*"))))</f>
        <v/>
      </c>
    </row>
    <row r="124" spans="1:16" ht="15.6" x14ac:dyDescent="0.35">
      <c r="A124" s="1" t="str">
        <f>IF('Data entry'!B128="","",'Data entry'!B128)</f>
        <v/>
      </c>
      <c r="B124" s="1" t="str">
        <f>IF('Data entry'!O128="","",'Data entry'!O128)</f>
        <v/>
      </c>
      <c r="C124" s="321" t="str">
        <f>IF('Data entry'!R128="","",'Data entry'!R128)</f>
        <v/>
      </c>
      <c r="D124" s="1" t="str">
        <f>IF('Data entry'!AO128="","",'Data entry'!AO128)</f>
        <v/>
      </c>
      <c r="E124" s="1" t="str">
        <f>IF('Data entry'!AP128="","",'Data entry'!AP128)</f>
        <v/>
      </c>
      <c r="F124" s="1" t="str">
        <f>IF('Data entry'!AQ128="","",'Data entry'!AQ128)</f>
        <v/>
      </c>
      <c r="G124" t="str">
        <f>IF($C124="","",(SUM(COUNTIFS('Data entry'!$R$6:$R$200,$C124,'Data entry'!$B$6:$B$200,{"Confirmed";"Probable"},'Data entry'!$AQ$6:$AQ$200,'Data Validation'!$V$2, 'Data entry'!$AP$6:$AP$200,'Data Validation'!$U$2, 'Data entry'!$BD$6:$BD$200,"&lt;&gt;*Negative*"))))</f>
        <v/>
      </c>
      <c r="H124" t="str">
        <f>IF($C124="","",(SUM(COUNTIFS('Data entry'!$R$6:$R$200,$C124,'Data entry'!$B$6:$B$200,{"Confirmed";"Probable"},'Data entry'!$AQ$6:$AQ$200,'Data Validation'!$V$2, 'Data entry'!$AP$6:$AP$200,'Data Validation'!$U$3, 'Data entry'!$BD$6:$BD$200,"&lt;&gt;*Negative*"))))</f>
        <v/>
      </c>
      <c r="I124" t="str">
        <f>IF($C124="","",(SUM(COUNTIFS('Data entry'!$R$6:$R$200,$C124,'Data entry'!$B$6:$B$200,{"Confirmed";"Probable"},'Data entry'!$AQ$6:$AQ$200,'Data Validation'!$V$2, 'Data entry'!$AP$6:$AP$200,'Data Validation'!$U$4, 'Data entry'!$BD$6:$BD$200,"&lt;&gt;*Negative*"))))</f>
        <v/>
      </c>
      <c r="J124" t="str">
        <f>IF($C124="","",(SUM(COUNTIFS('Data entry'!$R$6:$R$200,$C124,'Data entry'!$B$6:$B$200,{"Confirmed";"Probable"},'Data entry'!$AQ$6:$AQ$200,'Data Validation'!$V$2, 'Data entry'!$AP$6:$AP$200,'Data Validation'!$U$5, 'Data entry'!$BD$6:$BD$200,"&lt;&gt;*Negative*"))))</f>
        <v/>
      </c>
      <c r="K124" t="str">
        <f>IF($C124="","",(SUM(COUNTIFS('Data entry'!$R$6:$R$200,$C124,'Data entry'!$B$6:$B$200,{"Confirmed";"Probable"},'Data entry'!$AQ$6:$AQ$200,'Data Validation'!$V$2, 'Data entry'!$AP$6:$AP$200,'Data Validation'!$U$6, 'Data entry'!$BD$6:$BD$200,"&lt;&gt;*Negative*"))))</f>
        <v/>
      </c>
      <c r="L124" t="str">
        <f>IF($C124="","",(SUM(COUNTIFS('Data entry'!$R$6:$R$200,$C124,'Data entry'!$B$6:$B$200,{"Confirmed";"Probable"},'Data entry'!$AQ$6:$AQ$200,'Data Validation'!$V$3, 'Data entry'!$AP$6:$AP$200,'Data Validation'!$U$2, 'Data entry'!$BD$6:$BD$200,"&lt;&gt;*Negative*"))))</f>
        <v/>
      </c>
      <c r="M124" t="str">
        <f>IF($C124="","",(SUM(COUNTIFS('Data entry'!$R$6:$R$200,$C124,'Data entry'!$B$6:$B$200,{"Confirmed";"Probable"},'Data entry'!$AQ$6:$AQ$200,'Data Validation'!$V$3, 'Data entry'!$AP$6:$AP$200,'Data Validation'!$U$3, 'Data entry'!$BD$6:$BD$200,"&lt;&gt;*Negative*"))))</f>
        <v/>
      </c>
      <c r="N124" t="str">
        <f>IF($C124="","",(SUM(COUNTIFS('Data entry'!$R$6:$R$200,$C124,'Data entry'!$B$6:$B$200,{"Confirmed";"Probable"},'Data entry'!$AQ$6:$AQ$200,'Data Validation'!$V$3, 'Data entry'!$AP$6:$AP$200,'Data Validation'!$U$4, 'Data entry'!$BD$6:$BD$200,"&lt;&gt;*Negative*"))))</f>
        <v/>
      </c>
      <c r="O124" t="str">
        <f>IF($C124="","",(SUM(COUNTIFS('Data entry'!$R$6:$R$200,$C124,'Data entry'!$B$6:$B$200,{"Confirmed";"Probable"},'Data entry'!$AQ$6:$AQ$200,'Data Validation'!$V$3, 'Data entry'!$AP$6:$AP$200,'Data Validation'!$U$5, 'Data entry'!$BD$6:$BD$200,"&lt;&gt;*Negative*"))))</f>
        <v/>
      </c>
      <c r="P124" t="str">
        <f>IF($C124="","",(SUM(COUNTIFS('Data entry'!$R$6:$R$200,$C124,'Data entry'!$B$6:$B$200,{"Confirmed";"Probable"},'Data entry'!$AQ$6:$AQ$200,'Data Validation'!$V$3, 'Data entry'!$AP$6:$AP$200,'Data Validation'!$U$6, 'Data entry'!$BD$6:$BD$200,"&lt;&gt;*Negative*"))))</f>
        <v/>
      </c>
    </row>
    <row r="125" spans="1:16" ht="15.6" x14ac:dyDescent="0.35">
      <c r="A125" s="1" t="str">
        <f>IF('Data entry'!B129="","",'Data entry'!B129)</f>
        <v/>
      </c>
      <c r="B125" s="1" t="str">
        <f>IF('Data entry'!O129="","",'Data entry'!O129)</f>
        <v/>
      </c>
      <c r="C125" s="321" t="str">
        <f>IF('Data entry'!R129="","",'Data entry'!R129)</f>
        <v/>
      </c>
      <c r="D125" s="1" t="str">
        <f>IF('Data entry'!AO129="","",'Data entry'!AO129)</f>
        <v/>
      </c>
      <c r="E125" s="1" t="str">
        <f>IF('Data entry'!AP129="","",'Data entry'!AP129)</f>
        <v/>
      </c>
      <c r="F125" s="1" t="str">
        <f>IF('Data entry'!AQ129="","",'Data entry'!AQ129)</f>
        <v/>
      </c>
      <c r="G125" t="str">
        <f>IF($C125="","",(SUM(COUNTIFS('Data entry'!$R$6:$R$200,$C125,'Data entry'!$B$6:$B$200,{"Confirmed";"Probable"},'Data entry'!$AQ$6:$AQ$200,'Data Validation'!$V$2, 'Data entry'!$AP$6:$AP$200,'Data Validation'!$U$2, 'Data entry'!$BD$6:$BD$200,"&lt;&gt;*Negative*"))))</f>
        <v/>
      </c>
      <c r="H125" t="str">
        <f>IF($C125="","",(SUM(COUNTIFS('Data entry'!$R$6:$R$200,$C125,'Data entry'!$B$6:$B$200,{"Confirmed";"Probable"},'Data entry'!$AQ$6:$AQ$200,'Data Validation'!$V$2, 'Data entry'!$AP$6:$AP$200,'Data Validation'!$U$3, 'Data entry'!$BD$6:$BD$200,"&lt;&gt;*Negative*"))))</f>
        <v/>
      </c>
      <c r="I125" t="str">
        <f>IF($C125="","",(SUM(COUNTIFS('Data entry'!$R$6:$R$200,$C125,'Data entry'!$B$6:$B$200,{"Confirmed";"Probable"},'Data entry'!$AQ$6:$AQ$200,'Data Validation'!$V$2, 'Data entry'!$AP$6:$AP$200,'Data Validation'!$U$4, 'Data entry'!$BD$6:$BD$200,"&lt;&gt;*Negative*"))))</f>
        <v/>
      </c>
      <c r="J125" t="str">
        <f>IF($C125="","",(SUM(COUNTIFS('Data entry'!$R$6:$R$200,$C125,'Data entry'!$B$6:$B$200,{"Confirmed";"Probable"},'Data entry'!$AQ$6:$AQ$200,'Data Validation'!$V$2, 'Data entry'!$AP$6:$AP$200,'Data Validation'!$U$5, 'Data entry'!$BD$6:$BD$200,"&lt;&gt;*Negative*"))))</f>
        <v/>
      </c>
      <c r="K125" t="str">
        <f>IF($C125="","",(SUM(COUNTIFS('Data entry'!$R$6:$R$200,$C125,'Data entry'!$B$6:$B$200,{"Confirmed";"Probable"},'Data entry'!$AQ$6:$AQ$200,'Data Validation'!$V$2, 'Data entry'!$AP$6:$AP$200,'Data Validation'!$U$6, 'Data entry'!$BD$6:$BD$200,"&lt;&gt;*Negative*"))))</f>
        <v/>
      </c>
      <c r="L125" t="str">
        <f>IF($C125="","",(SUM(COUNTIFS('Data entry'!$R$6:$R$200,$C125,'Data entry'!$B$6:$B$200,{"Confirmed";"Probable"},'Data entry'!$AQ$6:$AQ$200,'Data Validation'!$V$3, 'Data entry'!$AP$6:$AP$200,'Data Validation'!$U$2, 'Data entry'!$BD$6:$BD$200,"&lt;&gt;*Negative*"))))</f>
        <v/>
      </c>
      <c r="M125" t="str">
        <f>IF($C125="","",(SUM(COUNTIFS('Data entry'!$R$6:$R$200,$C125,'Data entry'!$B$6:$B$200,{"Confirmed";"Probable"},'Data entry'!$AQ$6:$AQ$200,'Data Validation'!$V$3, 'Data entry'!$AP$6:$AP$200,'Data Validation'!$U$3, 'Data entry'!$BD$6:$BD$200,"&lt;&gt;*Negative*"))))</f>
        <v/>
      </c>
      <c r="N125" t="str">
        <f>IF($C125="","",(SUM(COUNTIFS('Data entry'!$R$6:$R$200,$C125,'Data entry'!$B$6:$B$200,{"Confirmed";"Probable"},'Data entry'!$AQ$6:$AQ$200,'Data Validation'!$V$3, 'Data entry'!$AP$6:$AP$200,'Data Validation'!$U$4, 'Data entry'!$BD$6:$BD$200,"&lt;&gt;*Negative*"))))</f>
        <v/>
      </c>
      <c r="O125" t="str">
        <f>IF($C125="","",(SUM(COUNTIFS('Data entry'!$R$6:$R$200,$C125,'Data entry'!$B$6:$B$200,{"Confirmed";"Probable"},'Data entry'!$AQ$6:$AQ$200,'Data Validation'!$V$3, 'Data entry'!$AP$6:$AP$200,'Data Validation'!$U$5, 'Data entry'!$BD$6:$BD$200,"&lt;&gt;*Negative*"))))</f>
        <v/>
      </c>
      <c r="P125" t="str">
        <f>IF($C125="","",(SUM(COUNTIFS('Data entry'!$R$6:$R$200,$C125,'Data entry'!$B$6:$B$200,{"Confirmed";"Probable"},'Data entry'!$AQ$6:$AQ$200,'Data Validation'!$V$3, 'Data entry'!$AP$6:$AP$200,'Data Validation'!$U$6, 'Data entry'!$BD$6:$BD$200,"&lt;&gt;*Negative*"))))</f>
        <v/>
      </c>
    </row>
    <row r="126" spans="1:16" ht="15.6" x14ac:dyDescent="0.35">
      <c r="A126" s="1" t="str">
        <f>IF('Data entry'!B130="","",'Data entry'!B130)</f>
        <v/>
      </c>
      <c r="B126" s="1" t="str">
        <f>IF('Data entry'!O130="","",'Data entry'!O130)</f>
        <v/>
      </c>
      <c r="C126" s="321" t="str">
        <f>IF('Data entry'!R130="","",'Data entry'!R130)</f>
        <v/>
      </c>
      <c r="D126" s="1" t="str">
        <f>IF('Data entry'!AO130="","",'Data entry'!AO130)</f>
        <v/>
      </c>
      <c r="E126" s="1" t="str">
        <f>IF('Data entry'!AP130="","",'Data entry'!AP130)</f>
        <v/>
      </c>
      <c r="F126" s="1" t="str">
        <f>IF('Data entry'!AQ130="","",'Data entry'!AQ130)</f>
        <v/>
      </c>
      <c r="G126" t="str">
        <f>IF($C126="","",(SUM(COUNTIFS('Data entry'!$R$6:$R$200,$C126,'Data entry'!$B$6:$B$200,{"Confirmed";"Probable"},'Data entry'!$AQ$6:$AQ$200,'Data Validation'!$V$2, 'Data entry'!$AP$6:$AP$200,'Data Validation'!$U$2, 'Data entry'!$BD$6:$BD$200,"&lt;&gt;*Negative*"))))</f>
        <v/>
      </c>
      <c r="H126" t="str">
        <f>IF($C126="","",(SUM(COUNTIFS('Data entry'!$R$6:$R$200,$C126,'Data entry'!$B$6:$B$200,{"Confirmed";"Probable"},'Data entry'!$AQ$6:$AQ$200,'Data Validation'!$V$2, 'Data entry'!$AP$6:$AP$200,'Data Validation'!$U$3, 'Data entry'!$BD$6:$BD$200,"&lt;&gt;*Negative*"))))</f>
        <v/>
      </c>
      <c r="I126" t="str">
        <f>IF($C126="","",(SUM(COUNTIFS('Data entry'!$R$6:$R$200,$C126,'Data entry'!$B$6:$B$200,{"Confirmed";"Probable"},'Data entry'!$AQ$6:$AQ$200,'Data Validation'!$V$2, 'Data entry'!$AP$6:$AP$200,'Data Validation'!$U$4, 'Data entry'!$BD$6:$BD$200,"&lt;&gt;*Negative*"))))</f>
        <v/>
      </c>
      <c r="J126" t="str">
        <f>IF($C126="","",(SUM(COUNTIFS('Data entry'!$R$6:$R$200,$C126,'Data entry'!$B$6:$B$200,{"Confirmed";"Probable"},'Data entry'!$AQ$6:$AQ$200,'Data Validation'!$V$2, 'Data entry'!$AP$6:$AP$200,'Data Validation'!$U$5, 'Data entry'!$BD$6:$BD$200,"&lt;&gt;*Negative*"))))</f>
        <v/>
      </c>
      <c r="K126" t="str">
        <f>IF($C126="","",(SUM(COUNTIFS('Data entry'!$R$6:$R$200,$C126,'Data entry'!$B$6:$B$200,{"Confirmed";"Probable"},'Data entry'!$AQ$6:$AQ$200,'Data Validation'!$V$2, 'Data entry'!$AP$6:$AP$200,'Data Validation'!$U$6, 'Data entry'!$BD$6:$BD$200,"&lt;&gt;*Negative*"))))</f>
        <v/>
      </c>
      <c r="L126" t="str">
        <f>IF($C126="","",(SUM(COUNTIFS('Data entry'!$R$6:$R$200,$C126,'Data entry'!$B$6:$B$200,{"Confirmed";"Probable"},'Data entry'!$AQ$6:$AQ$200,'Data Validation'!$V$3, 'Data entry'!$AP$6:$AP$200,'Data Validation'!$U$2, 'Data entry'!$BD$6:$BD$200,"&lt;&gt;*Negative*"))))</f>
        <v/>
      </c>
      <c r="M126" t="str">
        <f>IF($C126="","",(SUM(COUNTIFS('Data entry'!$R$6:$R$200,$C126,'Data entry'!$B$6:$B$200,{"Confirmed";"Probable"},'Data entry'!$AQ$6:$AQ$200,'Data Validation'!$V$3, 'Data entry'!$AP$6:$AP$200,'Data Validation'!$U$3, 'Data entry'!$BD$6:$BD$200,"&lt;&gt;*Negative*"))))</f>
        <v/>
      </c>
      <c r="N126" t="str">
        <f>IF($C126="","",(SUM(COUNTIFS('Data entry'!$R$6:$R$200,$C126,'Data entry'!$B$6:$B$200,{"Confirmed";"Probable"},'Data entry'!$AQ$6:$AQ$200,'Data Validation'!$V$3, 'Data entry'!$AP$6:$AP$200,'Data Validation'!$U$4, 'Data entry'!$BD$6:$BD$200,"&lt;&gt;*Negative*"))))</f>
        <v/>
      </c>
      <c r="O126" t="str">
        <f>IF($C126="","",(SUM(COUNTIFS('Data entry'!$R$6:$R$200,$C126,'Data entry'!$B$6:$B$200,{"Confirmed";"Probable"},'Data entry'!$AQ$6:$AQ$200,'Data Validation'!$V$3, 'Data entry'!$AP$6:$AP$200,'Data Validation'!$U$5, 'Data entry'!$BD$6:$BD$200,"&lt;&gt;*Negative*"))))</f>
        <v/>
      </c>
      <c r="P126" t="str">
        <f>IF($C126="","",(SUM(COUNTIFS('Data entry'!$R$6:$R$200,$C126,'Data entry'!$B$6:$B$200,{"Confirmed";"Probable"},'Data entry'!$AQ$6:$AQ$200,'Data Validation'!$V$3, 'Data entry'!$AP$6:$AP$200,'Data Validation'!$U$6, 'Data entry'!$BD$6:$BD$200,"&lt;&gt;*Negative*"))))</f>
        <v/>
      </c>
    </row>
    <row r="127" spans="1:16" ht="15.6" x14ac:dyDescent="0.35">
      <c r="A127" s="1" t="str">
        <f>IF('Data entry'!B131="","",'Data entry'!B131)</f>
        <v/>
      </c>
      <c r="B127" s="1" t="str">
        <f>IF('Data entry'!O131="","",'Data entry'!O131)</f>
        <v/>
      </c>
      <c r="C127" s="321" t="str">
        <f>IF('Data entry'!R131="","",'Data entry'!R131)</f>
        <v/>
      </c>
      <c r="D127" s="1" t="str">
        <f>IF('Data entry'!AO131="","",'Data entry'!AO131)</f>
        <v/>
      </c>
      <c r="E127" s="1" t="str">
        <f>IF('Data entry'!AP131="","",'Data entry'!AP131)</f>
        <v/>
      </c>
      <c r="F127" s="1" t="str">
        <f>IF('Data entry'!AQ131="","",'Data entry'!AQ131)</f>
        <v/>
      </c>
      <c r="G127" t="str">
        <f>IF($C127="","",(SUM(COUNTIFS('Data entry'!$R$6:$R$200,$C127,'Data entry'!$B$6:$B$200,{"Confirmed";"Probable"},'Data entry'!$AQ$6:$AQ$200,'Data Validation'!$V$2, 'Data entry'!$AP$6:$AP$200,'Data Validation'!$U$2, 'Data entry'!$BD$6:$BD$200,"&lt;&gt;*Negative*"))))</f>
        <v/>
      </c>
      <c r="H127" t="str">
        <f>IF($C127="","",(SUM(COUNTIFS('Data entry'!$R$6:$R$200,$C127,'Data entry'!$B$6:$B$200,{"Confirmed";"Probable"},'Data entry'!$AQ$6:$AQ$200,'Data Validation'!$V$2, 'Data entry'!$AP$6:$AP$200,'Data Validation'!$U$3, 'Data entry'!$BD$6:$BD$200,"&lt;&gt;*Negative*"))))</f>
        <v/>
      </c>
      <c r="I127" t="str">
        <f>IF($C127="","",(SUM(COUNTIFS('Data entry'!$R$6:$R$200,$C127,'Data entry'!$B$6:$B$200,{"Confirmed";"Probable"},'Data entry'!$AQ$6:$AQ$200,'Data Validation'!$V$2, 'Data entry'!$AP$6:$AP$200,'Data Validation'!$U$4, 'Data entry'!$BD$6:$BD$200,"&lt;&gt;*Negative*"))))</f>
        <v/>
      </c>
      <c r="J127" t="str">
        <f>IF($C127="","",(SUM(COUNTIFS('Data entry'!$R$6:$R$200,$C127,'Data entry'!$B$6:$B$200,{"Confirmed";"Probable"},'Data entry'!$AQ$6:$AQ$200,'Data Validation'!$V$2, 'Data entry'!$AP$6:$AP$200,'Data Validation'!$U$5, 'Data entry'!$BD$6:$BD$200,"&lt;&gt;*Negative*"))))</f>
        <v/>
      </c>
      <c r="K127" t="str">
        <f>IF($C127="","",(SUM(COUNTIFS('Data entry'!$R$6:$R$200,$C127,'Data entry'!$B$6:$B$200,{"Confirmed";"Probable"},'Data entry'!$AQ$6:$AQ$200,'Data Validation'!$V$2, 'Data entry'!$AP$6:$AP$200,'Data Validation'!$U$6, 'Data entry'!$BD$6:$BD$200,"&lt;&gt;*Negative*"))))</f>
        <v/>
      </c>
      <c r="L127" t="str">
        <f>IF($C127="","",(SUM(COUNTIFS('Data entry'!$R$6:$R$200,$C127,'Data entry'!$B$6:$B$200,{"Confirmed";"Probable"},'Data entry'!$AQ$6:$AQ$200,'Data Validation'!$V$3, 'Data entry'!$AP$6:$AP$200,'Data Validation'!$U$2, 'Data entry'!$BD$6:$BD$200,"&lt;&gt;*Negative*"))))</f>
        <v/>
      </c>
      <c r="M127" t="str">
        <f>IF($C127="","",(SUM(COUNTIFS('Data entry'!$R$6:$R$200,$C127,'Data entry'!$B$6:$B$200,{"Confirmed";"Probable"},'Data entry'!$AQ$6:$AQ$200,'Data Validation'!$V$3, 'Data entry'!$AP$6:$AP$200,'Data Validation'!$U$3, 'Data entry'!$BD$6:$BD$200,"&lt;&gt;*Negative*"))))</f>
        <v/>
      </c>
      <c r="N127" t="str">
        <f>IF($C127="","",(SUM(COUNTIFS('Data entry'!$R$6:$R$200,$C127,'Data entry'!$B$6:$B$200,{"Confirmed";"Probable"},'Data entry'!$AQ$6:$AQ$200,'Data Validation'!$V$3, 'Data entry'!$AP$6:$AP$200,'Data Validation'!$U$4, 'Data entry'!$BD$6:$BD$200,"&lt;&gt;*Negative*"))))</f>
        <v/>
      </c>
      <c r="O127" t="str">
        <f>IF($C127="","",(SUM(COUNTIFS('Data entry'!$R$6:$R$200,$C127,'Data entry'!$B$6:$B$200,{"Confirmed";"Probable"},'Data entry'!$AQ$6:$AQ$200,'Data Validation'!$V$3, 'Data entry'!$AP$6:$AP$200,'Data Validation'!$U$5, 'Data entry'!$BD$6:$BD$200,"&lt;&gt;*Negative*"))))</f>
        <v/>
      </c>
      <c r="P127" t="str">
        <f>IF($C127="","",(SUM(COUNTIFS('Data entry'!$R$6:$R$200,$C127,'Data entry'!$B$6:$B$200,{"Confirmed";"Probable"},'Data entry'!$AQ$6:$AQ$200,'Data Validation'!$V$3, 'Data entry'!$AP$6:$AP$200,'Data Validation'!$U$6, 'Data entry'!$BD$6:$BD$200,"&lt;&gt;*Negative*"))))</f>
        <v/>
      </c>
    </row>
    <row r="128" spans="1:16" ht="15.6" x14ac:dyDescent="0.35">
      <c r="A128" s="1" t="str">
        <f>IF('Data entry'!B132="","",'Data entry'!B132)</f>
        <v/>
      </c>
      <c r="B128" s="1" t="str">
        <f>IF('Data entry'!O132="","",'Data entry'!O132)</f>
        <v/>
      </c>
      <c r="C128" s="321" t="str">
        <f>IF('Data entry'!R132="","",'Data entry'!R132)</f>
        <v/>
      </c>
      <c r="D128" s="1" t="str">
        <f>IF('Data entry'!AO132="","",'Data entry'!AO132)</f>
        <v/>
      </c>
      <c r="E128" s="1" t="str">
        <f>IF('Data entry'!AP132="","",'Data entry'!AP132)</f>
        <v/>
      </c>
      <c r="F128" s="1" t="str">
        <f>IF('Data entry'!AQ132="","",'Data entry'!AQ132)</f>
        <v/>
      </c>
      <c r="G128" t="str">
        <f>IF($C128="","",(SUM(COUNTIFS('Data entry'!$R$6:$R$200,$C128,'Data entry'!$B$6:$B$200,{"Confirmed";"Probable"},'Data entry'!$AQ$6:$AQ$200,'Data Validation'!$V$2, 'Data entry'!$AP$6:$AP$200,'Data Validation'!$U$2, 'Data entry'!$BD$6:$BD$200,"&lt;&gt;*Negative*"))))</f>
        <v/>
      </c>
      <c r="H128" t="str">
        <f>IF($C128="","",(SUM(COUNTIFS('Data entry'!$R$6:$R$200,$C128,'Data entry'!$B$6:$B$200,{"Confirmed";"Probable"},'Data entry'!$AQ$6:$AQ$200,'Data Validation'!$V$2, 'Data entry'!$AP$6:$AP$200,'Data Validation'!$U$3, 'Data entry'!$BD$6:$BD$200,"&lt;&gt;*Negative*"))))</f>
        <v/>
      </c>
      <c r="I128" t="str">
        <f>IF($C128="","",(SUM(COUNTIFS('Data entry'!$R$6:$R$200,$C128,'Data entry'!$B$6:$B$200,{"Confirmed";"Probable"},'Data entry'!$AQ$6:$AQ$200,'Data Validation'!$V$2, 'Data entry'!$AP$6:$AP$200,'Data Validation'!$U$4, 'Data entry'!$BD$6:$BD$200,"&lt;&gt;*Negative*"))))</f>
        <v/>
      </c>
      <c r="J128" t="str">
        <f>IF($C128="","",(SUM(COUNTIFS('Data entry'!$R$6:$R$200,$C128,'Data entry'!$B$6:$B$200,{"Confirmed";"Probable"},'Data entry'!$AQ$6:$AQ$200,'Data Validation'!$V$2, 'Data entry'!$AP$6:$AP$200,'Data Validation'!$U$5, 'Data entry'!$BD$6:$BD$200,"&lt;&gt;*Negative*"))))</f>
        <v/>
      </c>
      <c r="K128" t="str">
        <f>IF($C128="","",(SUM(COUNTIFS('Data entry'!$R$6:$R$200,$C128,'Data entry'!$B$6:$B$200,{"Confirmed";"Probable"},'Data entry'!$AQ$6:$AQ$200,'Data Validation'!$V$2, 'Data entry'!$AP$6:$AP$200,'Data Validation'!$U$6, 'Data entry'!$BD$6:$BD$200,"&lt;&gt;*Negative*"))))</f>
        <v/>
      </c>
      <c r="L128" t="str">
        <f>IF($C128="","",(SUM(COUNTIFS('Data entry'!$R$6:$R$200,$C128,'Data entry'!$B$6:$B$200,{"Confirmed";"Probable"},'Data entry'!$AQ$6:$AQ$200,'Data Validation'!$V$3, 'Data entry'!$AP$6:$AP$200,'Data Validation'!$U$2, 'Data entry'!$BD$6:$BD$200,"&lt;&gt;*Negative*"))))</f>
        <v/>
      </c>
      <c r="M128" t="str">
        <f>IF($C128="","",(SUM(COUNTIFS('Data entry'!$R$6:$R$200,$C128,'Data entry'!$B$6:$B$200,{"Confirmed";"Probable"},'Data entry'!$AQ$6:$AQ$200,'Data Validation'!$V$3, 'Data entry'!$AP$6:$AP$200,'Data Validation'!$U$3, 'Data entry'!$BD$6:$BD$200,"&lt;&gt;*Negative*"))))</f>
        <v/>
      </c>
      <c r="N128" t="str">
        <f>IF($C128="","",(SUM(COUNTIFS('Data entry'!$R$6:$R$200,$C128,'Data entry'!$B$6:$B$200,{"Confirmed";"Probable"},'Data entry'!$AQ$6:$AQ$200,'Data Validation'!$V$3, 'Data entry'!$AP$6:$AP$200,'Data Validation'!$U$4, 'Data entry'!$BD$6:$BD$200,"&lt;&gt;*Negative*"))))</f>
        <v/>
      </c>
      <c r="O128" t="str">
        <f>IF($C128="","",(SUM(COUNTIFS('Data entry'!$R$6:$R$200,$C128,'Data entry'!$B$6:$B$200,{"Confirmed";"Probable"},'Data entry'!$AQ$6:$AQ$200,'Data Validation'!$V$3, 'Data entry'!$AP$6:$AP$200,'Data Validation'!$U$5, 'Data entry'!$BD$6:$BD$200,"&lt;&gt;*Negative*"))))</f>
        <v/>
      </c>
      <c r="P128" t="str">
        <f>IF($C128="","",(SUM(COUNTIFS('Data entry'!$R$6:$R$200,$C128,'Data entry'!$B$6:$B$200,{"Confirmed";"Probable"},'Data entry'!$AQ$6:$AQ$200,'Data Validation'!$V$3, 'Data entry'!$AP$6:$AP$200,'Data Validation'!$U$6, 'Data entry'!$BD$6:$BD$200,"&lt;&gt;*Negative*"))))</f>
        <v/>
      </c>
    </row>
    <row r="129" spans="1:16" ht="15.6" x14ac:dyDescent="0.35">
      <c r="A129" s="1" t="str">
        <f>IF('Data entry'!B133="","",'Data entry'!B133)</f>
        <v/>
      </c>
      <c r="B129" s="1" t="str">
        <f>IF('Data entry'!O133="","",'Data entry'!O133)</f>
        <v/>
      </c>
      <c r="C129" s="321" t="str">
        <f>IF('Data entry'!R133="","",'Data entry'!R133)</f>
        <v/>
      </c>
      <c r="D129" s="1" t="str">
        <f>IF('Data entry'!AO133="","",'Data entry'!AO133)</f>
        <v/>
      </c>
      <c r="E129" s="1" t="str">
        <f>IF('Data entry'!AP133="","",'Data entry'!AP133)</f>
        <v/>
      </c>
      <c r="F129" s="1" t="str">
        <f>IF('Data entry'!AQ133="","",'Data entry'!AQ133)</f>
        <v/>
      </c>
      <c r="G129" t="str">
        <f>IF($C129="","",(SUM(COUNTIFS('Data entry'!$R$6:$R$200,$C129,'Data entry'!$B$6:$B$200,{"Confirmed";"Probable"},'Data entry'!$AQ$6:$AQ$200,'Data Validation'!$V$2, 'Data entry'!$AP$6:$AP$200,'Data Validation'!$U$2, 'Data entry'!$BD$6:$BD$200,"&lt;&gt;*Negative*"))))</f>
        <v/>
      </c>
      <c r="H129" t="str">
        <f>IF($C129="","",(SUM(COUNTIFS('Data entry'!$R$6:$R$200,$C129,'Data entry'!$B$6:$B$200,{"Confirmed";"Probable"},'Data entry'!$AQ$6:$AQ$200,'Data Validation'!$V$2, 'Data entry'!$AP$6:$AP$200,'Data Validation'!$U$3, 'Data entry'!$BD$6:$BD$200,"&lt;&gt;*Negative*"))))</f>
        <v/>
      </c>
      <c r="I129" t="str">
        <f>IF($C129="","",(SUM(COUNTIFS('Data entry'!$R$6:$R$200,$C129,'Data entry'!$B$6:$B$200,{"Confirmed";"Probable"},'Data entry'!$AQ$6:$AQ$200,'Data Validation'!$V$2, 'Data entry'!$AP$6:$AP$200,'Data Validation'!$U$4, 'Data entry'!$BD$6:$BD$200,"&lt;&gt;*Negative*"))))</f>
        <v/>
      </c>
      <c r="J129" t="str">
        <f>IF($C129="","",(SUM(COUNTIFS('Data entry'!$R$6:$R$200,$C129,'Data entry'!$B$6:$B$200,{"Confirmed";"Probable"},'Data entry'!$AQ$6:$AQ$200,'Data Validation'!$V$2, 'Data entry'!$AP$6:$AP$200,'Data Validation'!$U$5, 'Data entry'!$BD$6:$BD$200,"&lt;&gt;*Negative*"))))</f>
        <v/>
      </c>
      <c r="K129" t="str">
        <f>IF($C129="","",(SUM(COUNTIFS('Data entry'!$R$6:$R$200,$C129,'Data entry'!$B$6:$B$200,{"Confirmed";"Probable"},'Data entry'!$AQ$6:$AQ$200,'Data Validation'!$V$2, 'Data entry'!$AP$6:$AP$200,'Data Validation'!$U$6, 'Data entry'!$BD$6:$BD$200,"&lt;&gt;*Negative*"))))</f>
        <v/>
      </c>
      <c r="L129" t="str">
        <f>IF($C129="","",(SUM(COUNTIFS('Data entry'!$R$6:$R$200,$C129,'Data entry'!$B$6:$B$200,{"Confirmed";"Probable"},'Data entry'!$AQ$6:$AQ$200,'Data Validation'!$V$3, 'Data entry'!$AP$6:$AP$200,'Data Validation'!$U$2, 'Data entry'!$BD$6:$BD$200,"&lt;&gt;*Negative*"))))</f>
        <v/>
      </c>
      <c r="M129" t="str">
        <f>IF($C129="","",(SUM(COUNTIFS('Data entry'!$R$6:$R$200,$C129,'Data entry'!$B$6:$B$200,{"Confirmed";"Probable"},'Data entry'!$AQ$6:$AQ$200,'Data Validation'!$V$3, 'Data entry'!$AP$6:$AP$200,'Data Validation'!$U$3, 'Data entry'!$BD$6:$BD$200,"&lt;&gt;*Negative*"))))</f>
        <v/>
      </c>
      <c r="N129" t="str">
        <f>IF($C129="","",(SUM(COUNTIFS('Data entry'!$R$6:$R$200,$C129,'Data entry'!$B$6:$B$200,{"Confirmed";"Probable"},'Data entry'!$AQ$6:$AQ$200,'Data Validation'!$V$3, 'Data entry'!$AP$6:$AP$200,'Data Validation'!$U$4, 'Data entry'!$BD$6:$BD$200,"&lt;&gt;*Negative*"))))</f>
        <v/>
      </c>
      <c r="O129" t="str">
        <f>IF($C129="","",(SUM(COUNTIFS('Data entry'!$R$6:$R$200,$C129,'Data entry'!$B$6:$B$200,{"Confirmed";"Probable"},'Data entry'!$AQ$6:$AQ$200,'Data Validation'!$V$3, 'Data entry'!$AP$6:$AP$200,'Data Validation'!$U$5, 'Data entry'!$BD$6:$BD$200,"&lt;&gt;*Negative*"))))</f>
        <v/>
      </c>
      <c r="P129" t="str">
        <f>IF($C129="","",(SUM(COUNTIFS('Data entry'!$R$6:$R$200,$C129,'Data entry'!$B$6:$B$200,{"Confirmed";"Probable"},'Data entry'!$AQ$6:$AQ$200,'Data Validation'!$V$3, 'Data entry'!$AP$6:$AP$200,'Data Validation'!$U$6, 'Data entry'!$BD$6:$BD$200,"&lt;&gt;*Negative*"))))</f>
        <v/>
      </c>
    </row>
    <row r="130" spans="1:16" ht="15.6" x14ac:dyDescent="0.35">
      <c r="A130" s="1" t="str">
        <f>IF('Data entry'!B134="","",'Data entry'!B134)</f>
        <v/>
      </c>
      <c r="B130" s="1" t="str">
        <f>IF('Data entry'!O134="","",'Data entry'!O134)</f>
        <v/>
      </c>
      <c r="C130" s="321" t="str">
        <f>IF('Data entry'!R134="","",'Data entry'!R134)</f>
        <v/>
      </c>
      <c r="D130" s="1" t="str">
        <f>IF('Data entry'!AO134="","",'Data entry'!AO134)</f>
        <v/>
      </c>
      <c r="E130" s="1" t="str">
        <f>IF('Data entry'!AP134="","",'Data entry'!AP134)</f>
        <v/>
      </c>
      <c r="F130" s="1" t="str">
        <f>IF('Data entry'!AQ134="","",'Data entry'!AQ134)</f>
        <v/>
      </c>
      <c r="G130" t="str">
        <f>IF($C130="","",(SUM(COUNTIFS('Data entry'!$R$6:$R$200,$C130,'Data entry'!$B$6:$B$200,{"Confirmed";"Probable"},'Data entry'!$AQ$6:$AQ$200,'Data Validation'!$V$2, 'Data entry'!$AP$6:$AP$200,'Data Validation'!$U$2, 'Data entry'!$BD$6:$BD$200,"&lt;&gt;*Negative*"))))</f>
        <v/>
      </c>
      <c r="H130" t="str">
        <f>IF($C130="","",(SUM(COUNTIFS('Data entry'!$R$6:$R$200,$C130,'Data entry'!$B$6:$B$200,{"Confirmed";"Probable"},'Data entry'!$AQ$6:$AQ$200,'Data Validation'!$V$2, 'Data entry'!$AP$6:$AP$200,'Data Validation'!$U$3, 'Data entry'!$BD$6:$BD$200,"&lt;&gt;*Negative*"))))</f>
        <v/>
      </c>
      <c r="I130" t="str">
        <f>IF($C130="","",(SUM(COUNTIFS('Data entry'!$R$6:$R$200,$C130,'Data entry'!$B$6:$B$200,{"Confirmed";"Probable"},'Data entry'!$AQ$6:$AQ$200,'Data Validation'!$V$2, 'Data entry'!$AP$6:$AP$200,'Data Validation'!$U$4, 'Data entry'!$BD$6:$BD$200,"&lt;&gt;*Negative*"))))</f>
        <v/>
      </c>
      <c r="J130" t="str">
        <f>IF($C130="","",(SUM(COUNTIFS('Data entry'!$R$6:$R$200,$C130,'Data entry'!$B$6:$B$200,{"Confirmed";"Probable"},'Data entry'!$AQ$6:$AQ$200,'Data Validation'!$V$2, 'Data entry'!$AP$6:$AP$200,'Data Validation'!$U$5, 'Data entry'!$BD$6:$BD$200,"&lt;&gt;*Negative*"))))</f>
        <v/>
      </c>
      <c r="K130" t="str">
        <f>IF($C130="","",(SUM(COUNTIFS('Data entry'!$R$6:$R$200,$C130,'Data entry'!$B$6:$B$200,{"Confirmed";"Probable"},'Data entry'!$AQ$6:$AQ$200,'Data Validation'!$V$2, 'Data entry'!$AP$6:$AP$200,'Data Validation'!$U$6, 'Data entry'!$BD$6:$BD$200,"&lt;&gt;*Negative*"))))</f>
        <v/>
      </c>
      <c r="L130" t="str">
        <f>IF($C130="","",(SUM(COUNTIFS('Data entry'!$R$6:$R$200,$C130,'Data entry'!$B$6:$B$200,{"Confirmed";"Probable"},'Data entry'!$AQ$6:$AQ$200,'Data Validation'!$V$3, 'Data entry'!$AP$6:$AP$200,'Data Validation'!$U$2, 'Data entry'!$BD$6:$BD$200,"&lt;&gt;*Negative*"))))</f>
        <v/>
      </c>
      <c r="M130" t="str">
        <f>IF($C130="","",(SUM(COUNTIFS('Data entry'!$R$6:$R$200,$C130,'Data entry'!$B$6:$B$200,{"Confirmed";"Probable"},'Data entry'!$AQ$6:$AQ$200,'Data Validation'!$V$3, 'Data entry'!$AP$6:$AP$200,'Data Validation'!$U$3, 'Data entry'!$BD$6:$BD$200,"&lt;&gt;*Negative*"))))</f>
        <v/>
      </c>
      <c r="N130" t="str">
        <f>IF($C130="","",(SUM(COUNTIFS('Data entry'!$R$6:$R$200,$C130,'Data entry'!$B$6:$B$200,{"Confirmed";"Probable"},'Data entry'!$AQ$6:$AQ$200,'Data Validation'!$V$3, 'Data entry'!$AP$6:$AP$200,'Data Validation'!$U$4, 'Data entry'!$BD$6:$BD$200,"&lt;&gt;*Negative*"))))</f>
        <v/>
      </c>
      <c r="O130" t="str">
        <f>IF($C130="","",(SUM(COUNTIFS('Data entry'!$R$6:$R$200,$C130,'Data entry'!$B$6:$B$200,{"Confirmed";"Probable"},'Data entry'!$AQ$6:$AQ$200,'Data Validation'!$V$3, 'Data entry'!$AP$6:$AP$200,'Data Validation'!$U$5, 'Data entry'!$BD$6:$BD$200,"&lt;&gt;*Negative*"))))</f>
        <v/>
      </c>
      <c r="P130" t="str">
        <f>IF($C130="","",(SUM(COUNTIFS('Data entry'!$R$6:$R$200,$C130,'Data entry'!$B$6:$B$200,{"Confirmed";"Probable"},'Data entry'!$AQ$6:$AQ$200,'Data Validation'!$V$3, 'Data entry'!$AP$6:$AP$200,'Data Validation'!$U$6, 'Data entry'!$BD$6:$BD$200,"&lt;&gt;*Negative*"))))</f>
        <v/>
      </c>
    </row>
    <row r="131" spans="1:16" ht="15.6" x14ac:dyDescent="0.35">
      <c r="A131" s="1" t="str">
        <f>IF('Data entry'!B135="","",'Data entry'!B135)</f>
        <v/>
      </c>
      <c r="B131" s="1" t="str">
        <f>IF('Data entry'!O135="","",'Data entry'!O135)</f>
        <v/>
      </c>
      <c r="C131" s="321" t="str">
        <f>IF('Data entry'!R135="","",'Data entry'!R135)</f>
        <v/>
      </c>
      <c r="D131" s="1" t="str">
        <f>IF('Data entry'!AO135="","",'Data entry'!AO135)</f>
        <v/>
      </c>
      <c r="E131" s="1" t="str">
        <f>IF('Data entry'!AP135="","",'Data entry'!AP135)</f>
        <v/>
      </c>
      <c r="F131" s="1" t="str">
        <f>IF('Data entry'!AQ135="","",'Data entry'!AQ135)</f>
        <v/>
      </c>
      <c r="G131" t="str">
        <f>IF($C131="","",(SUM(COUNTIFS('Data entry'!$R$6:$R$200,$C131,'Data entry'!$B$6:$B$200,{"Confirmed";"Probable"},'Data entry'!$AQ$6:$AQ$200,'Data Validation'!$V$2, 'Data entry'!$AP$6:$AP$200,'Data Validation'!$U$2, 'Data entry'!$BD$6:$BD$200,"&lt;&gt;*Negative*"))))</f>
        <v/>
      </c>
      <c r="H131" t="str">
        <f>IF($C131="","",(SUM(COUNTIFS('Data entry'!$R$6:$R$200,$C131,'Data entry'!$B$6:$B$200,{"Confirmed";"Probable"},'Data entry'!$AQ$6:$AQ$200,'Data Validation'!$V$2, 'Data entry'!$AP$6:$AP$200,'Data Validation'!$U$3, 'Data entry'!$BD$6:$BD$200,"&lt;&gt;*Negative*"))))</f>
        <v/>
      </c>
      <c r="I131" t="str">
        <f>IF($C131="","",(SUM(COUNTIFS('Data entry'!$R$6:$R$200,$C131,'Data entry'!$B$6:$B$200,{"Confirmed";"Probable"},'Data entry'!$AQ$6:$AQ$200,'Data Validation'!$V$2, 'Data entry'!$AP$6:$AP$200,'Data Validation'!$U$4, 'Data entry'!$BD$6:$BD$200,"&lt;&gt;*Negative*"))))</f>
        <v/>
      </c>
      <c r="J131" t="str">
        <f>IF($C131="","",(SUM(COUNTIFS('Data entry'!$R$6:$R$200,$C131,'Data entry'!$B$6:$B$200,{"Confirmed";"Probable"},'Data entry'!$AQ$6:$AQ$200,'Data Validation'!$V$2, 'Data entry'!$AP$6:$AP$200,'Data Validation'!$U$5, 'Data entry'!$BD$6:$BD$200,"&lt;&gt;*Negative*"))))</f>
        <v/>
      </c>
      <c r="K131" t="str">
        <f>IF($C131="","",(SUM(COUNTIFS('Data entry'!$R$6:$R$200,$C131,'Data entry'!$B$6:$B$200,{"Confirmed";"Probable"},'Data entry'!$AQ$6:$AQ$200,'Data Validation'!$V$2, 'Data entry'!$AP$6:$AP$200,'Data Validation'!$U$6, 'Data entry'!$BD$6:$BD$200,"&lt;&gt;*Negative*"))))</f>
        <v/>
      </c>
      <c r="L131" t="str">
        <f>IF($C131="","",(SUM(COUNTIFS('Data entry'!$R$6:$R$200,$C131,'Data entry'!$B$6:$B$200,{"Confirmed";"Probable"},'Data entry'!$AQ$6:$AQ$200,'Data Validation'!$V$3, 'Data entry'!$AP$6:$AP$200,'Data Validation'!$U$2, 'Data entry'!$BD$6:$BD$200,"&lt;&gt;*Negative*"))))</f>
        <v/>
      </c>
      <c r="M131" t="str">
        <f>IF($C131="","",(SUM(COUNTIFS('Data entry'!$R$6:$R$200,$C131,'Data entry'!$B$6:$B$200,{"Confirmed";"Probable"},'Data entry'!$AQ$6:$AQ$200,'Data Validation'!$V$3, 'Data entry'!$AP$6:$AP$200,'Data Validation'!$U$3, 'Data entry'!$BD$6:$BD$200,"&lt;&gt;*Negative*"))))</f>
        <v/>
      </c>
      <c r="N131" t="str">
        <f>IF($C131="","",(SUM(COUNTIFS('Data entry'!$R$6:$R$200,$C131,'Data entry'!$B$6:$B$200,{"Confirmed";"Probable"},'Data entry'!$AQ$6:$AQ$200,'Data Validation'!$V$3, 'Data entry'!$AP$6:$AP$200,'Data Validation'!$U$4, 'Data entry'!$BD$6:$BD$200,"&lt;&gt;*Negative*"))))</f>
        <v/>
      </c>
      <c r="O131" t="str">
        <f>IF($C131="","",(SUM(COUNTIFS('Data entry'!$R$6:$R$200,$C131,'Data entry'!$B$6:$B$200,{"Confirmed";"Probable"},'Data entry'!$AQ$6:$AQ$200,'Data Validation'!$V$3, 'Data entry'!$AP$6:$AP$200,'Data Validation'!$U$5, 'Data entry'!$BD$6:$BD$200,"&lt;&gt;*Negative*"))))</f>
        <v/>
      </c>
      <c r="P131" t="str">
        <f>IF($C131="","",(SUM(COUNTIFS('Data entry'!$R$6:$R$200,$C131,'Data entry'!$B$6:$B$200,{"Confirmed";"Probable"},'Data entry'!$AQ$6:$AQ$200,'Data Validation'!$V$3, 'Data entry'!$AP$6:$AP$200,'Data Validation'!$U$6, 'Data entry'!$BD$6:$BD$200,"&lt;&gt;*Negative*"))))</f>
        <v/>
      </c>
    </row>
    <row r="132" spans="1:16" ht="15.6" x14ac:dyDescent="0.35">
      <c r="A132" s="1" t="str">
        <f>IF('Data entry'!B136="","",'Data entry'!B136)</f>
        <v/>
      </c>
      <c r="B132" s="1" t="str">
        <f>IF('Data entry'!O136="","",'Data entry'!O136)</f>
        <v/>
      </c>
      <c r="C132" s="321" t="str">
        <f>IF('Data entry'!R136="","",'Data entry'!R136)</f>
        <v/>
      </c>
      <c r="D132" s="1" t="str">
        <f>IF('Data entry'!AO136="","",'Data entry'!AO136)</f>
        <v/>
      </c>
      <c r="E132" s="1" t="str">
        <f>IF('Data entry'!AP136="","",'Data entry'!AP136)</f>
        <v/>
      </c>
      <c r="F132" s="1" t="str">
        <f>IF('Data entry'!AQ136="","",'Data entry'!AQ136)</f>
        <v/>
      </c>
      <c r="G132" t="str">
        <f>IF($C132="","",(SUM(COUNTIFS('Data entry'!$R$6:$R$200,$C132,'Data entry'!$B$6:$B$200,{"Confirmed";"Probable"},'Data entry'!$AQ$6:$AQ$200,'Data Validation'!$V$2, 'Data entry'!$AP$6:$AP$200,'Data Validation'!$U$2, 'Data entry'!$BD$6:$BD$200,"&lt;&gt;*Negative*"))))</f>
        <v/>
      </c>
      <c r="H132" t="str">
        <f>IF($C132="","",(SUM(COUNTIFS('Data entry'!$R$6:$R$200,$C132,'Data entry'!$B$6:$B$200,{"Confirmed";"Probable"},'Data entry'!$AQ$6:$AQ$200,'Data Validation'!$V$2, 'Data entry'!$AP$6:$AP$200,'Data Validation'!$U$3, 'Data entry'!$BD$6:$BD$200,"&lt;&gt;*Negative*"))))</f>
        <v/>
      </c>
      <c r="I132" t="str">
        <f>IF($C132="","",(SUM(COUNTIFS('Data entry'!$R$6:$R$200,$C132,'Data entry'!$B$6:$B$200,{"Confirmed";"Probable"},'Data entry'!$AQ$6:$AQ$200,'Data Validation'!$V$2, 'Data entry'!$AP$6:$AP$200,'Data Validation'!$U$4, 'Data entry'!$BD$6:$BD$200,"&lt;&gt;*Negative*"))))</f>
        <v/>
      </c>
      <c r="J132" t="str">
        <f>IF($C132="","",(SUM(COUNTIFS('Data entry'!$R$6:$R$200,$C132,'Data entry'!$B$6:$B$200,{"Confirmed";"Probable"},'Data entry'!$AQ$6:$AQ$200,'Data Validation'!$V$2, 'Data entry'!$AP$6:$AP$200,'Data Validation'!$U$5, 'Data entry'!$BD$6:$BD$200,"&lt;&gt;*Negative*"))))</f>
        <v/>
      </c>
      <c r="K132" t="str">
        <f>IF($C132="","",(SUM(COUNTIFS('Data entry'!$R$6:$R$200,$C132,'Data entry'!$B$6:$B$200,{"Confirmed";"Probable"},'Data entry'!$AQ$6:$AQ$200,'Data Validation'!$V$2, 'Data entry'!$AP$6:$AP$200,'Data Validation'!$U$6, 'Data entry'!$BD$6:$BD$200,"&lt;&gt;*Negative*"))))</f>
        <v/>
      </c>
      <c r="L132" t="str">
        <f>IF($C132="","",(SUM(COUNTIFS('Data entry'!$R$6:$R$200,$C132,'Data entry'!$B$6:$B$200,{"Confirmed";"Probable"},'Data entry'!$AQ$6:$AQ$200,'Data Validation'!$V$3, 'Data entry'!$AP$6:$AP$200,'Data Validation'!$U$2, 'Data entry'!$BD$6:$BD$200,"&lt;&gt;*Negative*"))))</f>
        <v/>
      </c>
      <c r="M132" t="str">
        <f>IF($C132="","",(SUM(COUNTIFS('Data entry'!$R$6:$R$200,$C132,'Data entry'!$B$6:$B$200,{"Confirmed";"Probable"},'Data entry'!$AQ$6:$AQ$200,'Data Validation'!$V$3, 'Data entry'!$AP$6:$AP$200,'Data Validation'!$U$3, 'Data entry'!$BD$6:$BD$200,"&lt;&gt;*Negative*"))))</f>
        <v/>
      </c>
      <c r="N132" t="str">
        <f>IF($C132="","",(SUM(COUNTIFS('Data entry'!$R$6:$R$200,$C132,'Data entry'!$B$6:$B$200,{"Confirmed";"Probable"},'Data entry'!$AQ$6:$AQ$200,'Data Validation'!$V$3, 'Data entry'!$AP$6:$AP$200,'Data Validation'!$U$4, 'Data entry'!$BD$6:$BD$200,"&lt;&gt;*Negative*"))))</f>
        <v/>
      </c>
      <c r="O132" t="str">
        <f>IF($C132="","",(SUM(COUNTIFS('Data entry'!$R$6:$R$200,$C132,'Data entry'!$B$6:$B$200,{"Confirmed";"Probable"},'Data entry'!$AQ$6:$AQ$200,'Data Validation'!$V$3, 'Data entry'!$AP$6:$AP$200,'Data Validation'!$U$5, 'Data entry'!$BD$6:$BD$200,"&lt;&gt;*Negative*"))))</f>
        <v/>
      </c>
      <c r="P132" t="str">
        <f>IF($C132="","",(SUM(COUNTIFS('Data entry'!$R$6:$R$200,$C132,'Data entry'!$B$6:$B$200,{"Confirmed";"Probable"},'Data entry'!$AQ$6:$AQ$200,'Data Validation'!$V$3, 'Data entry'!$AP$6:$AP$200,'Data Validation'!$U$6, 'Data entry'!$BD$6:$BD$200,"&lt;&gt;*Negative*"))))</f>
        <v/>
      </c>
    </row>
    <row r="133" spans="1:16" ht="15.6" x14ac:dyDescent="0.35">
      <c r="A133" s="1" t="str">
        <f>IF('Data entry'!B137="","",'Data entry'!B137)</f>
        <v/>
      </c>
      <c r="B133" s="1" t="str">
        <f>IF('Data entry'!O137="","",'Data entry'!O137)</f>
        <v/>
      </c>
      <c r="C133" s="321" t="str">
        <f>IF('Data entry'!R137="","",'Data entry'!R137)</f>
        <v/>
      </c>
      <c r="D133" s="1" t="str">
        <f>IF('Data entry'!AO137="","",'Data entry'!AO137)</f>
        <v/>
      </c>
      <c r="E133" s="1" t="str">
        <f>IF('Data entry'!AP137="","",'Data entry'!AP137)</f>
        <v/>
      </c>
      <c r="F133" s="1" t="str">
        <f>IF('Data entry'!AQ137="","",'Data entry'!AQ137)</f>
        <v/>
      </c>
      <c r="G133" t="str">
        <f>IF($C133="","",(SUM(COUNTIFS('Data entry'!$R$6:$R$200,$C133,'Data entry'!$B$6:$B$200,{"Confirmed";"Probable"},'Data entry'!$AQ$6:$AQ$200,'Data Validation'!$V$2, 'Data entry'!$AP$6:$AP$200,'Data Validation'!$U$2, 'Data entry'!$BD$6:$BD$200,"&lt;&gt;*Negative*"))))</f>
        <v/>
      </c>
      <c r="H133" t="str">
        <f>IF($C133="","",(SUM(COUNTIFS('Data entry'!$R$6:$R$200,$C133,'Data entry'!$B$6:$B$200,{"Confirmed";"Probable"},'Data entry'!$AQ$6:$AQ$200,'Data Validation'!$V$2, 'Data entry'!$AP$6:$AP$200,'Data Validation'!$U$3, 'Data entry'!$BD$6:$BD$200,"&lt;&gt;*Negative*"))))</f>
        <v/>
      </c>
      <c r="I133" t="str">
        <f>IF($C133="","",(SUM(COUNTIFS('Data entry'!$R$6:$R$200,$C133,'Data entry'!$B$6:$B$200,{"Confirmed";"Probable"},'Data entry'!$AQ$6:$AQ$200,'Data Validation'!$V$2, 'Data entry'!$AP$6:$AP$200,'Data Validation'!$U$4, 'Data entry'!$BD$6:$BD$200,"&lt;&gt;*Negative*"))))</f>
        <v/>
      </c>
      <c r="J133" t="str">
        <f>IF($C133="","",(SUM(COUNTIFS('Data entry'!$R$6:$R$200,$C133,'Data entry'!$B$6:$B$200,{"Confirmed";"Probable"},'Data entry'!$AQ$6:$AQ$200,'Data Validation'!$V$2, 'Data entry'!$AP$6:$AP$200,'Data Validation'!$U$5, 'Data entry'!$BD$6:$BD$200,"&lt;&gt;*Negative*"))))</f>
        <v/>
      </c>
      <c r="K133" t="str">
        <f>IF($C133="","",(SUM(COUNTIFS('Data entry'!$R$6:$R$200,$C133,'Data entry'!$B$6:$B$200,{"Confirmed";"Probable"},'Data entry'!$AQ$6:$AQ$200,'Data Validation'!$V$2, 'Data entry'!$AP$6:$AP$200,'Data Validation'!$U$6, 'Data entry'!$BD$6:$BD$200,"&lt;&gt;*Negative*"))))</f>
        <v/>
      </c>
      <c r="L133" t="str">
        <f>IF($C133="","",(SUM(COUNTIFS('Data entry'!$R$6:$R$200,$C133,'Data entry'!$B$6:$B$200,{"Confirmed";"Probable"},'Data entry'!$AQ$6:$AQ$200,'Data Validation'!$V$3, 'Data entry'!$AP$6:$AP$200,'Data Validation'!$U$2, 'Data entry'!$BD$6:$BD$200,"&lt;&gt;*Negative*"))))</f>
        <v/>
      </c>
      <c r="M133" t="str">
        <f>IF($C133="","",(SUM(COUNTIFS('Data entry'!$R$6:$R$200,$C133,'Data entry'!$B$6:$B$200,{"Confirmed";"Probable"},'Data entry'!$AQ$6:$AQ$200,'Data Validation'!$V$3, 'Data entry'!$AP$6:$AP$200,'Data Validation'!$U$3, 'Data entry'!$BD$6:$BD$200,"&lt;&gt;*Negative*"))))</f>
        <v/>
      </c>
      <c r="N133" t="str">
        <f>IF($C133="","",(SUM(COUNTIFS('Data entry'!$R$6:$R$200,$C133,'Data entry'!$B$6:$B$200,{"Confirmed";"Probable"},'Data entry'!$AQ$6:$AQ$200,'Data Validation'!$V$3, 'Data entry'!$AP$6:$AP$200,'Data Validation'!$U$4, 'Data entry'!$BD$6:$BD$200,"&lt;&gt;*Negative*"))))</f>
        <v/>
      </c>
      <c r="O133" t="str">
        <f>IF($C133="","",(SUM(COUNTIFS('Data entry'!$R$6:$R$200,$C133,'Data entry'!$B$6:$B$200,{"Confirmed";"Probable"},'Data entry'!$AQ$6:$AQ$200,'Data Validation'!$V$3, 'Data entry'!$AP$6:$AP$200,'Data Validation'!$U$5, 'Data entry'!$BD$6:$BD$200,"&lt;&gt;*Negative*"))))</f>
        <v/>
      </c>
      <c r="P133" t="str">
        <f>IF($C133="","",(SUM(COUNTIFS('Data entry'!$R$6:$R$200,$C133,'Data entry'!$B$6:$B$200,{"Confirmed";"Probable"},'Data entry'!$AQ$6:$AQ$200,'Data Validation'!$V$3, 'Data entry'!$AP$6:$AP$200,'Data Validation'!$U$6, 'Data entry'!$BD$6:$BD$200,"&lt;&gt;*Negative*"))))</f>
        <v/>
      </c>
    </row>
    <row r="134" spans="1:16" ht="15.6" x14ac:dyDescent="0.35">
      <c r="A134" s="1" t="str">
        <f>IF('Data entry'!B138="","",'Data entry'!B138)</f>
        <v/>
      </c>
      <c r="B134" s="1" t="str">
        <f>IF('Data entry'!O138="","",'Data entry'!O138)</f>
        <v/>
      </c>
      <c r="C134" s="321" t="str">
        <f>IF('Data entry'!R138="","",'Data entry'!R138)</f>
        <v/>
      </c>
      <c r="D134" s="1" t="str">
        <f>IF('Data entry'!AO138="","",'Data entry'!AO138)</f>
        <v/>
      </c>
      <c r="E134" s="1" t="str">
        <f>IF('Data entry'!AP138="","",'Data entry'!AP138)</f>
        <v/>
      </c>
      <c r="F134" s="1" t="str">
        <f>IF('Data entry'!AQ138="","",'Data entry'!AQ138)</f>
        <v/>
      </c>
      <c r="G134" t="str">
        <f>IF($C134="","",(SUM(COUNTIFS('Data entry'!$R$6:$R$200,$C134,'Data entry'!$B$6:$B$200,{"Confirmed";"Probable"},'Data entry'!$AQ$6:$AQ$200,'Data Validation'!$V$2, 'Data entry'!$AP$6:$AP$200,'Data Validation'!$U$2, 'Data entry'!$BD$6:$BD$200,"&lt;&gt;*Negative*"))))</f>
        <v/>
      </c>
      <c r="H134" t="str">
        <f>IF($C134="","",(SUM(COUNTIFS('Data entry'!$R$6:$R$200,$C134,'Data entry'!$B$6:$B$200,{"Confirmed";"Probable"},'Data entry'!$AQ$6:$AQ$200,'Data Validation'!$V$2, 'Data entry'!$AP$6:$AP$200,'Data Validation'!$U$3, 'Data entry'!$BD$6:$BD$200,"&lt;&gt;*Negative*"))))</f>
        <v/>
      </c>
      <c r="I134" t="str">
        <f>IF($C134="","",(SUM(COUNTIFS('Data entry'!$R$6:$R$200,$C134,'Data entry'!$B$6:$B$200,{"Confirmed";"Probable"},'Data entry'!$AQ$6:$AQ$200,'Data Validation'!$V$2, 'Data entry'!$AP$6:$AP$200,'Data Validation'!$U$4, 'Data entry'!$BD$6:$BD$200,"&lt;&gt;*Negative*"))))</f>
        <v/>
      </c>
      <c r="J134" t="str">
        <f>IF($C134="","",(SUM(COUNTIFS('Data entry'!$R$6:$R$200,$C134,'Data entry'!$B$6:$B$200,{"Confirmed";"Probable"},'Data entry'!$AQ$6:$AQ$200,'Data Validation'!$V$2, 'Data entry'!$AP$6:$AP$200,'Data Validation'!$U$5, 'Data entry'!$BD$6:$BD$200,"&lt;&gt;*Negative*"))))</f>
        <v/>
      </c>
      <c r="K134" t="str">
        <f>IF($C134="","",(SUM(COUNTIFS('Data entry'!$R$6:$R$200,$C134,'Data entry'!$B$6:$B$200,{"Confirmed";"Probable"},'Data entry'!$AQ$6:$AQ$200,'Data Validation'!$V$2, 'Data entry'!$AP$6:$AP$200,'Data Validation'!$U$6, 'Data entry'!$BD$6:$BD$200,"&lt;&gt;*Negative*"))))</f>
        <v/>
      </c>
      <c r="L134" t="str">
        <f>IF($C134="","",(SUM(COUNTIFS('Data entry'!$R$6:$R$200,$C134,'Data entry'!$B$6:$B$200,{"Confirmed";"Probable"},'Data entry'!$AQ$6:$AQ$200,'Data Validation'!$V$3, 'Data entry'!$AP$6:$AP$200,'Data Validation'!$U$2, 'Data entry'!$BD$6:$BD$200,"&lt;&gt;*Negative*"))))</f>
        <v/>
      </c>
      <c r="M134" t="str">
        <f>IF($C134="","",(SUM(COUNTIFS('Data entry'!$R$6:$R$200,$C134,'Data entry'!$B$6:$B$200,{"Confirmed";"Probable"},'Data entry'!$AQ$6:$AQ$200,'Data Validation'!$V$3, 'Data entry'!$AP$6:$AP$200,'Data Validation'!$U$3, 'Data entry'!$BD$6:$BD$200,"&lt;&gt;*Negative*"))))</f>
        <v/>
      </c>
      <c r="N134" t="str">
        <f>IF($C134="","",(SUM(COUNTIFS('Data entry'!$R$6:$R$200,$C134,'Data entry'!$B$6:$B$200,{"Confirmed";"Probable"},'Data entry'!$AQ$6:$AQ$200,'Data Validation'!$V$3, 'Data entry'!$AP$6:$AP$200,'Data Validation'!$U$4, 'Data entry'!$BD$6:$BD$200,"&lt;&gt;*Negative*"))))</f>
        <v/>
      </c>
      <c r="O134" t="str">
        <f>IF($C134="","",(SUM(COUNTIFS('Data entry'!$R$6:$R$200,$C134,'Data entry'!$B$6:$B$200,{"Confirmed";"Probable"},'Data entry'!$AQ$6:$AQ$200,'Data Validation'!$V$3, 'Data entry'!$AP$6:$AP$200,'Data Validation'!$U$5, 'Data entry'!$BD$6:$BD$200,"&lt;&gt;*Negative*"))))</f>
        <v/>
      </c>
      <c r="P134" t="str">
        <f>IF($C134="","",(SUM(COUNTIFS('Data entry'!$R$6:$R$200,$C134,'Data entry'!$B$6:$B$200,{"Confirmed";"Probable"},'Data entry'!$AQ$6:$AQ$200,'Data Validation'!$V$3, 'Data entry'!$AP$6:$AP$200,'Data Validation'!$U$6, 'Data entry'!$BD$6:$BD$200,"&lt;&gt;*Negative*"))))</f>
        <v/>
      </c>
    </row>
    <row r="135" spans="1:16" ht="15.6" x14ac:dyDescent="0.35">
      <c r="A135" s="1" t="str">
        <f>IF('Data entry'!B139="","",'Data entry'!B139)</f>
        <v/>
      </c>
      <c r="B135" s="1" t="str">
        <f>IF('Data entry'!O139="","",'Data entry'!O139)</f>
        <v/>
      </c>
      <c r="C135" s="321" t="str">
        <f>IF('Data entry'!R139="","",'Data entry'!R139)</f>
        <v/>
      </c>
      <c r="D135" s="1" t="str">
        <f>IF('Data entry'!AO139="","",'Data entry'!AO139)</f>
        <v/>
      </c>
      <c r="E135" s="1" t="str">
        <f>IF('Data entry'!AP139="","",'Data entry'!AP139)</f>
        <v/>
      </c>
      <c r="F135" s="1" t="str">
        <f>IF('Data entry'!AQ139="","",'Data entry'!AQ139)</f>
        <v/>
      </c>
      <c r="G135" t="str">
        <f>IF($C135="","",(SUM(COUNTIFS('Data entry'!$R$6:$R$200,$C135,'Data entry'!$B$6:$B$200,{"Confirmed";"Probable"},'Data entry'!$AQ$6:$AQ$200,'Data Validation'!$V$2, 'Data entry'!$AP$6:$AP$200,'Data Validation'!$U$2, 'Data entry'!$BD$6:$BD$200,"&lt;&gt;*Negative*"))))</f>
        <v/>
      </c>
      <c r="H135" t="str">
        <f>IF($C135="","",(SUM(COUNTIFS('Data entry'!$R$6:$R$200,$C135,'Data entry'!$B$6:$B$200,{"Confirmed";"Probable"},'Data entry'!$AQ$6:$AQ$200,'Data Validation'!$V$2, 'Data entry'!$AP$6:$AP$200,'Data Validation'!$U$3, 'Data entry'!$BD$6:$BD$200,"&lt;&gt;*Negative*"))))</f>
        <v/>
      </c>
      <c r="I135" t="str">
        <f>IF($C135="","",(SUM(COUNTIFS('Data entry'!$R$6:$R$200,$C135,'Data entry'!$B$6:$B$200,{"Confirmed";"Probable"},'Data entry'!$AQ$6:$AQ$200,'Data Validation'!$V$2, 'Data entry'!$AP$6:$AP$200,'Data Validation'!$U$4, 'Data entry'!$BD$6:$BD$200,"&lt;&gt;*Negative*"))))</f>
        <v/>
      </c>
      <c r="J135" t="str">
        <f>IF($C135="","",(SUM(COUNTIFS('Data entry'!$R$6:$R$200,$C135,'Data entry'!$B$6:$B$200,{"Confirmed";"Probable"},'Data entry'!$AQ$6:$AQ$200,'Data Validation'!$V$2, 'Data entry'!$AP$6:$AP$200,'Data Validation'!$U$5, 'Data entry'!$BD$6:$BD$200,"&lt;&gt;*Negative*"))))</f>
        <v/>
      </c>
      <c r="K135" t="str">
        <f>IF($C135="","",(SUM(COUNTIFS('Data entry'!$R$6:$R$200,$C135,'Data entry'!$B$6:$B$200,{"Confirmed";"Probable"},'Data entry'!$AQ$6:$AQ$200,'Data Validation'!$V$2, 'Data entry'!$AP$6:$AP$200,'Data Validation'!$U$6, 'Data entry'!$BD$6:$BD$200,"&lt;&gt;*Negative*"))))</f>
        <v/>
      </c>
      <c r="L135" t="str">
        <f>IF($C135="","",(SUM(COUNTIFS('Data entry'!$R$6:$R$200,$C135,'Data entry'!$B$6:$B$200,{"Confirmed";"Probable"},'Data entry'!$AQ$6:$AQ$200,'Data Validation'!$V$3, 'Data entry'!$AP$6:$AP$200,'Data Validation'!$U$2, 'Data entry'!$BD$6:$BD$200,"&lt;&gt;*Negative*"))))</f>
        <v/>
      </c>
      <c r="M135" t="str">
        <f>IF($C135="","",(SUM(COUNTIFS('Data entry'!$R$6:$R$200,$C135,'Data entry'!$B$6:$B$200,{"Confirmed";"Probable"},'Data entry'!$AQ$6:$AQ$200,'Data Validation'!$V$3, 'Data entry'!$AP$6:$AP$200,'Data Validation'!$U$3, 'Data entry'!$BD$6:$BD$200,"&lt;&gt;*Negative*"))))</f>
        <v/>
      </c>
      <c r="N135" t="str">
        <f>IF($C135="","",(SUM(COUNTIFS('Data entry'!$R$6:$R$200,$C135,'Data entry'!$B$6:$B$200,{"Confirmed";"Probable"},'Data entry'!$AQ$6:$AQ$200,'Data Validation'!$V$3, 'Data entry'!$AP$6:$AP$200,'Data Validation'!$U$4, 'Data entry'!$BD$6:$BD$200,"&lt;&gt;*Negative*"))))</f>
        <v/>
      </c>
      <c r="O135" t="str">
        <f>IF($C135="","",(SUM(COUNTIFS('Data entry'!$R$6:$R$200,$C135,'Data entry'!$B$6:$B$200,{"Confirmed";"Probable"},'Data entry'!$AQ$6:$AQ$200,'Data Validation'!$V$3, 'Data entry'!$AP$6:$AP$200,'Data Validation'!$U$5, 'Data entry'!$BD$6:$BD$200,"&lt;&gt;*Negative*"))))</f>
        <v/>
      </c>
      <c r="P135" t="str">
        <f>IF($C135="","",(SUM(COUNTIFS('Data entry'!$R$6:$R$200,$C135,'Data entry'!$B$6:$B$200,{"Confirmed";"Probable"},'Data entry'!$AQ$6:$AQ$200,'Data Validation'!$V$3, 'Data entry'!$AP$6:$AP$200,'Data Validation'!$U$6, 'Data entry'!$BD$6:$BD$200,"&lt;&gt;*Negative*"))))</f>
        <v/>
      </c>
    </row>
    <row r="136" spans="1:16" ht="15.6" x14ac:dyDescent="0.35">
      <c r="A136" s="1" t="str">
        <f>IF('Data entry'!B140="","",'Data entry'!B140)</f>
        <v/>
      </c>
      <c r="B136" s="1" t="str">
        <f>IF('Data entry'!O140="","",'Data entry'!O140)</f>
        <v/>
      </c>
      <c r="C136" s="321" t="str">
        <f>IF('Data entry'!R140="","",'Data entry'!R140)</f>
        <v/>
      </c>
      <c r="D136" s="1" t="str">
        <f>IF('Data entry'!AO140="","",'Data entry'!AO140)</f>
        <v/>
      </c>
      <c r="E136" s="1" t="str">
        <f>IF('Data entry'!AP140="","",'Data entry'!AP140)</f>
        <v/>
      </c>
      <c r="F136" s="1" t="str">
        <f>IF('Data entry'!AQ140="","",'Data entry'!AQ140)</f>
        <v/>
      </c>
      <c r="G136" t="str">
        <f>IF($C136="","",(SUM(COUNTIFS('Data entry'!$R$6:$R$200,$C136,'Data entry'!$B$6:$B$200,{"Confirmed";"Probable"},'Data entry'!$AQ$6:$AQ$200,'Data Validation'!$V$2, 'Data entry'!$AP$6:$AP$200,'Data Validation'!$U$2, 'Data entry'!$BD$6:$BD$200,"&lt;&gt;*Negative*"))))</f>
        <v/>
      </c>
      <c r="H136" t="str">
        <f>IF($C136="","",(SUM(COUNTIFS('Data entry'!$R$6:$R$200,$C136,'Data entry'!$B$6:$B$200,{"Confirmed";"Probable"},'Data entry'!$AQ$6:$AQ$200,'Data Validation'!$V$2, 'Data entry'!$AP$6:$AP$200,'Data Validation'!$U$3, 'Data entry'!$BD$6:$BD$200,"&lt;&gt;*Negative*"))))</f>
        <v/>
      </c>
      <c r="I136" t="str">
        <f>IF($C136="","",(SUM(COUNTIFS('Data entry'!$R$6:$R$200,$C136,'Data entry'!$B$6:$B$200,{"Confirmed";"Probable"},'Data entry'!$AQ$6:$AQ$200,'Data Validation'!$V$2, 'Data entry'!$AP$6:$AP$200,'Data Validation'!$U$4, 'Data entry'!$BD$6:$BD$200,"&lt;&gt;*Negative*"))))</f>
        <v/>
      </c>
      <c r="J136" t="str">
        <f>IF($C136="","",(SUM(COUNTIFS('Data entry'!$R$6:$R$200,$C136,'Data entry'!$B$6:$B$200,{"Confirmed";"Probable"},'Data entry'!$AQ$6:$AQ$200,'Data Validation'!$V$2, 'Data entry'!$AP$6:$AP$200,'Data Validation'!$U$5, 'Data entry'!$BD$6:$BD$200,"&lt;&gt;*Negative*"))))</f>
        <v/>
      </c>
      <c r="K136" t="str">
        <f>IF($C136="","",(SUM(COUNTIFS('Data entry'!$R$6:$R$200,$C136,'Data entry'!$B$6:$B$200,{"Confirmed";"Probable"},'Data entry'!$AQ$6:$AQ$200,'Data Validation'!$V$2, 'Data entry'!$AP$6:$AP$200,'Data Validation'!$U$6, 'Data entry'!$BD$6:$BD$200,"&lt;&gt;*Negative*"))))</f>
        <v/>
      </c>
      <c r="L136" t="str">
        <f>IF($C136="","",(SUM(COUNTIFS('Data entry'!$R$6:$R$200,$C136,'Data entry'!$B$6:$B$200,{"Confirmed";"Probable"},'Data entry'!$AQ$6:$AQ$200,'Data Validation'!$V$3, 'Data entry'!$AP$6:$AP$200,'Data Validation'!$U$2, 'Data entry'!$BD$6:$BD$200,"&lt;&gt;*Negative*"))))</f>
        <v/>
      </c>
      <c r="M136" t="str">
        <f>IF($C136="","",(SUM(COUNTIFS('Data entry'!$R$6:$R$200,$C136,'Data entry'!$B$6:$B$200,{"Confirmed";"Probable"},'Data entry'!$AQ$6:$AQ$200,'Data Validation'!$V$3, 'Data entry'!$AP$6:$AP$200,'Data Validation'!$U$3, 'Data entry'!$BD$6:$BD$200,"&lt;&gt;*Negative*"))))</f>
        <v/>
      </c>
      <c r="N136" t="str">
        <f>IF($C136="","",(SUM(COUNTIFS('Data entry'!$R$6:$R$200,$C136,'Data entry'!$B$6:$B$200,{"Confirmed";"Probable"},'Data entry'!$AQ$6:$AQ$200,'Data Validation'!$V$3, 'Data entry'!$AP$6:$AP$200,'Data Validation'!$U$4, 'Data entry'!$BD$6:$BD$200,"&lt;&gt;*Negative*"))))</f>
        <v/>
      </c>
      <c r="O136" t="str">
        <f>IF($C136="","",(SUM(COUNTIFS('Data entry'!$R$6:$R$200,$C136,'Data entry'!$B$6:$B$200,{"Confirmed";"Probable"},'Data entry'!$AQ$6:$AQ$200,'Data Validation'!$V$3, 'Data entry'!$AP$6:$AP$200,'Data Validation'!$U$5, 'Data entry'!$BD$6:$BD$200,"&lt;&gt;*Negative*"))))</f>
        <v/>
      </c>
      <c r="P136" t="str">
        <f>IF($C136="","",(SUM(COUNTIFS('Data entry'!$R$6:$R$200,$C136,'Data entry'!$B$6:$B$200,{"Confirmed";"Probable"},'Data entry'!$AQ$6:$AQ$200,'Data Validation'!$V$3, 'Data entry'!$AP$6:$AP$200,'Data Validation'!$U$6, 'Data entry'!$BD$6:$BD$200,"&lt;&gt;*Negative*"))))</f>
        <v/>
      </c>
    </row>
    <row r="137" spans="1:16" ht="15.6" x14ac:dyDescent="0.35">
      <c r="A137" s="1" t="str">
        <f>IF('Data entry'!B141="","",'Data entry'!B141)</f>
        <v/>
      </c>
      <c r="B137" s="1" t="str">
        <f>IF('Data entry'!O141="","",'Data entry'!O141)</f>
        <v/>
      </c>
      <c r="C137" s="321" t="str">
        <f>IF('Data entry'!R141="","",'Data entry'!R141)</f>
        <v/>
      </c>
      <c r="D137" s="1" t="str">
        <f>IF('Data entry'!AO141="","",'Data entry'!AO141)</f>
        <v/>
      </c>
      <c r="E137" s="1" t="str">
        <f>IF('Data entry'!AP141="","",'Data entry'!AP141)</f>
        <v/>
      </c>
      <c r="F137" s="1" t="str">
        <f>IF('Data entry'!AQ141="","",'Data entry'!AQ141)</f>
        <v/>
      </c>
      <c r="G137" t="str">
        <f>IF($C137="","",(SUM(COUNTIFS('Data entry'!$R$6:$R$200,$C137,'Data entry'!$B$6:$B$200,{"Confirmed";"Probable"},'Data entry'!$AQ$6:$AQ$200,'Data Validation'!$V$2, 'Data entry'!$AP$6:$AP$200,'Data Validation'!$U$2, 'Data entry'!$BD$6:$BD$200,"&lt;&gt;*Negative*"))))</f>
        <v/>
      </c>
      <c r="H137" t="str">
        <f>IF($C137="","",(SUM(COUNTIFS('Data entry'!$R$6:$R$200,$C137,'Data entry'!$B$6:$B$200,{"Confirmed";"Probable"},'Data entry'!$AQ$6:$AQ$200,'Data Validation'!$V$2, 'Data entry'!$AP$6:$AP$200,'Data Validation'!$U$3, 'Data entry'!$BD$6:$BD$200,"&lt;&gt;*Negative*"))))</f>
        <v/>
      </c>
      <c r="I137" t="str">
        <f>IF($C137="","",(SUM(COUNTIFS('Data entry'!$R$6:$R$200,$C137,'Data entry'!$B$6:$B$200,{"Confirmed";"Probable"},'Data entry'!$AQ$6:$AQ$200,'Data Validation'!$V$2, 'Data entry'!$AP$6:$AP$200,'Data Validation'!$U$4, 'Data entry'!$BD$6:$BD$200,"&lt;&gt;*Negative*"))))</f>
        <v/>
      </c>
      <c r="J137" t="str">
        <f>IF($C137="","",(SUM(COUNTIFS('Data entry'!$R$6:$R$200,$C137,'Data entry'!$B$6:$B$200,{"Confirmed";"Probable"},'Data entry'!$AQ$6:$AQ$200,'Data Validation'!$V$2, 'Data entry'!$AP$6:$AP$200,'Data Validation'!$U$5, 'Data entry'!$BD$6:$BD$200,"&lt;&gt;*Negative*"))))</f>
        <v/>
      </c>
      <c r="K137" t="str">
        <f>IF($C137="","",(SUM(COUNTIFS('Data entry'!$R$6:$R$200,$C137,'Data entry'!$B$6:$B$200,{"Confirmed";"Probable"},'Data entry'!$AQ$6:$AQ$200,'Data Validation'!$V$2, 'Data entry'!$AP$6:$AP$200,'Data Validation'!$U$6, 'Data entry'!$BD$6:$BD$200,"&lt;&gt;*Negative*"))))</f>
        <v/>
      </c>
      <c r="L137" t="str">
        <f>IF($C137="","",(SUM(COUNTIFS('Data entry'!$R$6:$R$200,$C137,'Data entry'!$B$6:$B$200,{"Confirmed";"Probable"},'Data entry'!$AQ$6:$AQ$200,'Data Validation'!$V$3, 'Data entry'!$AP$6:$AP$200,'Data Validation'!$U$2, 'Data entry'!$BD$6:$BD$200,"&lt;&gt;*Negative*"))))</f>
        <v/>
      </c>
      <c r="M137" t="str">
        <f>IF($C137="","",(SUM(COUNTIFS('Data entry'!$R$6:$R$200,$C137,'Data entry'!$B$6:$B$200,{"Confirmed";"Probable"},'Data entry'!$AQ$6:$AQ$200,'Data Validation'!$V$3, 'Data entry'!$AP$6:$AP$200,'Data Validation'!$U$3, 'Data entry'!$BD$6:$BD$200,"&lt;&gt;*Negative*"))))</f>
        <v/>
      </c>
      <c r="N137" t="str">
        <f>IF($C137="","",(SUM(COUNTIFS('Data entry'!$R$6:$R$200,$C137,'Data entry'!$B$6:$B$200,{"Confirmed";"Probable"},'Data entry'!$AQ$6:$AQ$200,'Data Validation'!$V$3, 'Data entry'!$AP$6:$AP$200,'Data Validation'!$U$4, 'Data entry'!$BD$6:$BD$200,"&lt;&gt;*Negative*"))))</f>
        <v/>
      </c>
      <c r="O137" t="str">
        <f>IF($C137="","",(SUM(COUNTIFS('Data entry'!$R$6:$R$200,$C137,'Data entry'!$B$6:$B$200,{"Confirmed";"Probable"},'Data entry'!$AQ$6:$AQ$200,'Data Validation'!$V$3, 'Data entry'!$AP$6:$AP$200,'Data Validation'!$U$5, 'Data entry'!$BD$6:$BD$200,"&lt;&gt;*Negative*"))))</f>
        <v/>
      </c>
      <c r="P137" t="str">
        <f>IF($C137="","",(SUM(COUNTIFS('Data entry'!$R$6:$R$200,$C137,'Data entry'!$B$6:$B$200,{"Confirmed";"Probable"},'Data entry'!$AQ$6:$AQ$200,'Data Validation'!$V$3, 'Data entry'!$AP$6:$AP$200,'Data Validation'!$U$6, 'Data entry'!$BD$6:$BD$200,"&lt;&gt;*Negative*"))))</f>
        <v/>
      </c>
    </row>
    <row r="138" spans="1:16" ht="15.6" x14ac:dyDescent="0.35">
      <c r="A138" s="1" t="str">
        <f>IF('Data entry'!B142="","",'Data entry'!B142)</f>
        <v/>
      </c>
      <c r="B138" s="1" t="str">
        <f>IF('Data entry'!O142="","",'Data entry'!O142)</f>
        <v/>
      </c>
      <c r="C138" s="321" t="str">
        <f>IF('Data entry'!R142="","",'Data entry'!R142)</f>
        <v/>
      </c>
      <c r="D138" s="1" t="str">
        <f>IF('Data entry'!AO142="","",'Data entry'!AO142)</f>
        <v/>
      </c>
      <c r="E138" s="1" t="str">
        <f>IF('Data entry'!AP142="","",'Data entry'!AP142)</f>
        <v/>
      </c>
      <c r="F138" s="1" t="str">
        <f>IF('Data entry'!AQ142="","",'Data entry'!AQ142)</f>
        <v/>
      </c>
      <c r="G138" t="str">
        <f>IF($C138="","",(SUM(COUNTIFS('Data entry'!$R$6:$R$200,$C138,'Data entry'!$B$6:$B$200,{"Confirmed";"Probable"},'Data entry'!$AQ$6:$AQ$200,'Data Validation'!$V$2, 'Data entry'!$AP$6:$AP$200,'Data Validation'!$U$2, 'Data entry'!$BD$6:$BD$200,"&lt;&gt;*Negative*"))))</f>
        <v/>
      </c>
      <c r="H138" t="str">
        <f>IF($C138="","",(SUM(COUNTIFS('Data entry'!$R$6:$R$200,$C138,'Data entry'!$B$6:$B$200,{"Confirmed";"Probable"},'Data entry'!$AQ$6:$AQ$200,'Data Validation'!$V$2, 'Data entry'!$AP$6:$AP$200,'Data Validation'!$U$3, 'Data entry'!$BD$6:$BD$200,"&lt;&gt;*Negative*"))))</f>
        <v/>
      </c>
      <c r="I138" t="str">
        <f>IF($C138="","",(SUM(COUNTIFS('Data entry'!$R$6:$R$200,$C138,'Data entry'!$B$6:$B$200,{"Confirmed";"Probable"},'Data entry'!$AQ$6:$AQ$200,'Data Validation'!$V$2, 'Data entry'!$AP$6:$AP$200,'Data Validation'!$U$4, 'Data entry'!$BD$6:$BD$200,"&lt;&gt;*Negative*"))))</f>
        <v/>
      </c>
      <c r="J138" t="str">
        <f>IF($C138="","",(SUM(COUNTIFS('Data entry'!$R$6:$R$200,$C138,'Data entry'!$B$6:$B$200,{"Confirmed";"Probable"},'Data entry'!$AQ$6:$AQ$200,'Data Validation'!$V$2, 'Data entry'!$AP$6:$AP$200,'Data Validation'!$U$5, 'Data entry'!$BD$6:$BD$200,"&lt;&gt;*Negative*"))))</f>
        <v/>
      </c>
      <c r="K138" t="str">
        <f>IF($C138="","",(SUM(COUNTIFS('Data entry'!$R$6:$R$200,$C138,'Data entry'!$B$6:$B$200,{"Confirmed";"Probable"},'Data entry'!$AQ$6:$AQ$200,'Data Validation'!$V$2, 'Data entry'!$AP$6:$AP$200,'Data Validation'!$U$6, 'Data entry'!$BD$6:$BD$200,"&lt;&gt;*Negative*"))))</f>
        <v/>
      </c>
      <c r="L138" t="str">
        <f>IF($C138="","",(SUM(COUNTIFS('Data entry'!$R$6:$R$200,$C138,'Data entry'!$B$6:$B$200,{"Confirmed";"Probable"},'Data entry'!$AQ$6:$AQ$200,'Data Validation'!$V$3, 'Data entry'!$AP$6:$AP$200,'Data Validation'!$U$2, 'Data entry'!$BD$6:$BD$200,"&lt;&gt;*Negative*"))))</f>
        <v/>
      </c>
      <c r="M138" t="str">
        <f>IF($C138="","",(SUM(COUNTIFS('Data entry'!$R$6:$R$200,$C138,'Data entry'!$B$6:$B$200,{"Confirmed";"Probable"},'Data entry'!$AQ$6:$AQ$200,'Data Validation'!$V$3, 'Data entry'!$AP$6:$AP$200,'Data Validation'!$U$3, 'Data entry'!$BD$6:$BD$200,"&lt;&gt;*Negative*"))))</f>
        <v/>
      </c>
      <c r="N138" t="str">
        <f>IF($C138="","",(SUM(COUNTIFS('Data entry'!$R$6:$R$200,$C138,'Data entry'!$B$6:$B$200,{"Confirmed";"Probable"},'Data entry'!$AQ$6:$AQ$200,'Data Validation'!$V$3, 'Data entry'!$AP$6:$AP$200,'Data Validation'!$U$4, 'Data entry'!$BD$6:$BD$200,"&lt;&gt;*Negative*"))))</f>
        <v/>
      </c>
      <c r="O138" t="str">
        <f>IF($C138="","",(SUM(COUNTIFS('Data entry'!$R$6:$R$200,$C138,'Data entry'!$B$6:$B$200,{"Confirmed";"Probable"},'Data entry'!$AQ$6:$AQ$200,'Data Validation'!$V$3, 'Data entry'!$AP$6:$AP$200,'Data Validation'!$U$5, 'Data entry'!$BD$6:$BD$200,"&lt;&gt;*Negative*"))))</f>
        <v/>
      </c>
      <c r="P138" t="str">
        <f>IF($C138="","",(SUM(COUNTIFS('Data entry'!$R$6:$R$200,$C138,'Data entry'!$B$6:$B$200,{"Confirmed";"Probable"},'Data entry'!$AQ$6:$AQ$200,'Data Validation'!$V$3, 'Data entry'!$AP$6:$AP$200,'Data Validation'!$U$6, 'Data entry'!$BD$6:$BD$200,"&lt;&gt;*Negative*"))))</f>
        <v/>
      </c>
    </row>
    <row r="139" spans="1:16" ht="15.6" x14ac:dyDescent="0.35">
      <c r="A139" s="1" t="str">
        <f>IF('Data entry'!B143="","",'Data entry'!B143)</f>
        <v/>
      </c>
      <c r="B139" s="1" t="str">
        <f>IF('Data entry'!O143="","",'Data entry'!O143)</f>
        <v/>
      </c>
      <c r="C139" s="321" t="str">
        <f>IF('Data entry'!R143="","",'Data entry'!R143)</f>
        <v/>
      </c>
      <c r="D139" s="1" t="str">
        <f>IF('Data entry'!AO143="","",'Data entry'!AO143)</f>
        <v/>
      </c>
      <c r="E139" s="1" t="str">
        <f>IF('Data entry'!AP143="","",'Data entry'!AP143)</f>
        <v/>
      </c>
      <c r="F139" s="1" t="str">
        <f>IF('Data entry'!AQ143="","",'Data entry'!AQ143)</f>
        <v/>
      </c>
      <c r="G139" t="str">
        <f>IF($C139="","",(SUM(COUNTIFS('Data entry'!$R$6:$R$200,$C139,'Data entry'!$B$6:$B$200,{"Confirmed";"Probable"},'Data entry'!$AQ$6:$AQ$200,'Data Validation'!$V$2, 'Data entry'!$AP$6:$AP$200,'Data Validation'!$U$2, 'Data entry'!$BD$6:$BD$200,"&lt;&gt;*Negative*"))))</f>
        <v/>
      </c>
      <c r="H139" t="str">
        <f>IF($C139="","",(SUM(COUNTIFS('Data entry'!$R$6:$R$200,$C139,'Data entry'!$B$6:$B$200,{"Confirmed";"Probable"},'Data entry'!$AQ$6:$AQ$200,'Data Validation'!$V$2, 'Data entry'!$AP$6:$AP$200,'Data Validation'!$U$3, 'Data entry'!$BD$6:$BD$200,"&lt;&gt;*Negative*"))))</f>
        <v/>
      </c>
      <c r="I139" t="str">
        <f>IF($C139="","",(SUM(COUNTIFS('Data entry'!$R$6:$R$200,$C139,'Data entry'!$B$6:$B$200,{"Confirmed";"Probable"},'Data entry'!$AQ$6:$AQ$200,'Data Validation'!$V$2, 'Data entry'!$AP$6:$AP$200,'Data Validation'!$U$4, 'Data entry'!$BD$6:$BD$200,"&lt;&gt;*Negative*"))))</f>
        <v/>
      </c>
      <c r="J139" t="str">
        <f>IF($C139="","",(SUM(COUNTIFS('Data entry'!$R$6:$R$200,$C139,'Data entry'!$B$6:$B$200,{"Confirmed";"Probable"},'Data entry'!$AQ$6:$AQ$200,'Data Validation'!$V$2, 'Data entry'!$AP$6:$AP$200,'Data Validation'!$U$5, 'Data entry'!$BD$6:$BD$200,"&lt;&gt;*Negative*"))))</f>
        <v/>
      </c>
      <c r="K139" t="str">
        <f>IF($C139="","",(SUM(COUNTIFS('Data entry'!$R$6:$R$200,$C139,'Data entry'!$B$6:$B$200,{"Confirmed";"Probable"},'Data entry'!$AQ$6:$AQ$200,'Data Validation'!$V$2, 'Data entry'!$AP$6:$AP$200,'Data Validation'!$U$6, 'Data entry'!$BD$6:$BD$200,"&lt;&gt;*Negative*"))))</f>
        <v/>
      </c>
      <c r="L139" t="str">
        <f>IF($C139="","",(SUM(COUNTIFS('Data entry'!$R$6:$R$200,$C139,'Data entry'!$B$6:$B$200,{"Confirmed";"Probable"},'Data entry'!$AQ$6:$AQ$200,'Data Validation'!$V$3, 'Data entry'!$AP$6:$AP$200,'Data Validation'!$U$2, 'Data entry'!$BD$6:$BD$200,"&lt;&gt;*Negative*"))))</f>
        <v/>
      </c>
      <c r="M139" t="str">
        <f>IF($C139="","",(SUM(COUNTIFS('Data entry'!$R$6:$R$200,$C139,'Data entry'!$B$6:$B$200,{"Confirmed";"Probable"},'Data entry'!$AQ$6:$AQ$200,'Data Validation'!$V$3, 'Data entry'!$AP$6:$AP$200,'Data Validation'!$U$3, 'Data entry'!$BD$6:$BD$200,"&lt;&gt;*Negative*"))))</f>
        <v/>
      </c>
      <c r="N139" t="str">
        <f>IF($C139="","",(SUM(COUNTIFS('Data entry'!$R$6:$R$200,$C139,'Data entry'!$B$6:$B$200,{"Confirmed";"Probable"},'Data entry'!$AQ$6:$AQ$200,'Data Validation'!$V$3, 'Data entry'!$AP$6:$AP$200,'Data Validation'!$U$4, 'Data entry'!$BD$6:$BD$200,"&lt;&gt;*Negative*"))))</f>
        <v/>
      </c>
      <c r="O139" t="str">
        <f>IF($C139="","",(SUM(COUNTIFS('Data entry'!$R$6:$R$200,$C139,'Data entry'!$B$6:$B$200,{"Confirmed";"Probable"},'Data entry'!$AQ$6:$AQ$200,'Data Validation'!$V$3, 'Data entry'!$AP$6:$AP$200,'Data Validation'!$U$5, 'Data entry'!$BD$6:$BD$200,"&lt;&gt;*Negative*"))))</f>
        <v/>
      </c>
      <c r="P139" t="str">
        <f>IF($C139="","",(SUM(COUNTIFS('Data entry'!$R$6:$R$200,$C139,'Data entry'!$B$6:$B$200,{"Confirmed";"Probable"},'Data entry'!$AQ$6:$AQ$200,'Data Validation'!$V$3, 'Data entry'!$AP$6:$AP$200,'Data Validation'!$U$6, 'Data entry'!$BD$6:$BD$200,"&lt;&gt;*Negative*"))))</f>
        <v/>
      </c>
    </row>
    <row r="140" spans="1:16" ht="15.6" x14ac:dyDescent="0.35">
      <c r="A140" s="1" t="str">
        <f>IF('Data entry'!B144="","",'Data entry'!B144)</f>
        <v/>
      </c>
      <c r="B140" s="1" t="str">
        <f>IF('Data entry'!O144="","",'Data entry'!O144)</f>
        <v/>
      </c>
      <c r="C140" s="321" t="str">
        <f>IF('Data entry'!R144="","",'Data entry'!R144)</f>
        <v/>
      </c>
      <c r="D140" s="1" t="str">
        <f>IF('Data entry'!AO144="","",'Data entry'!AO144)</f>
        <v/>
      </c>
      <c r="E140" s="1" t="str">
        <f>IF('Data entry'!AP144="","",'Data entry'!AP144)</f>
        <v/>
      </c>
      <c r="F140" s="1" t="str">
        <f>IF('Data entry'!AQ144="","",'Data entry'!AQ144)</f>
        <v/>
      </c>
      <c r="G140" t="str">
        <f>IF($C140="","",(SUM(COUNTIFS('Data entry'!$R$6:$R$200,$C140,'Data entry'!$B$6:$B$200,{"Confirmed";"Probable"},'Data entry'!$AQ$6:$AQ$200,'Data Validation'!$V$2, 'Data entry'!$AP$6:$AP$200,'Data Validation'!$U$2, 'Data entry'!$BD$6:$BD$200,"&lt;&gt;*Negative*"))))</f>
        <v/>
      </c>
      <c r="H140" t="str">
        <f>IF($C140="","",(SUM(COUNTIFS('Data entry'!$R$6:$R$200,$C140,'Data entry'!$B$6:$B$200,{"Confirmed";"Probable"},'Data entry'!$AQ$6:$AQ$200,'Data Validation'!$V$2, 'Data entry'!$AP$6:$AP$200,'Data Validation'!$U$3, 'Data entry'!$BD$6:$BD$200,"&lt;&gt;*Negative*"))))</f>
        <v/>
      </c>
      <c r="I140" t="str">
        <f>IF($C140="","",(SUM(COUNTIFS('Data entry'!$R$6:$R$200,$C140,'Data entry'!$B$6:$B$200,{"Confirmed";"Probable"},'Data entry'!$AQ$6:$AQ$200,'Data Validation'!$V$2, 'Data entry'!$AP$6:$AP$200,'Data Validation'!$U$4, 'Data entry'!$BD$6:$BD$200,"&lt;&gt;*Negative*"))))</f>
        <v/>
      </c>
      <c r="J140" t="str">
        <f>IF($C140="","",(SUM(COUNTIFS('Data entry'!$R$6:$R$200,$C140,'Data entry'!$B$6:$B$200,{"Confirmed";"Probable"},'Data entry'!$AQ$6:$AQ$200,'Data Validation'!$V$2, 'Data entry'!$AP$6:$AP$200,'Data Validation'!$U$5, 'Data entry'!$BD$6:$BD$200,"&lt;&gt;*Negative*"))))</f>
        <v/>
      </c>
      <c r="K140" t="str">
        <f>IF($C140="","",(SUM(COUNTIFS('Data entry'!$R$6:$R$200,$C140,'Data entry'!$B$6:$B$200,{"Confirmed";"Probable"},'Data entry'!$AQ$6:$AQ$200,'Data Validation'!$V$2, 'Data entry'!$AP$6:$AP$200,'Data Validation'!$U$6, 'Data entry'!$BD$6:$BD$200,"&lt;&gt;*Negative*"))))</f>
        <v/>
      </c>
      <c r="L140" t="str">
        <f>IF($C140="","",(SUM(COUNTIFS('Data entry'!$R$6:$R$200,$C140,'Data entry'!$B$6:$B$200,{"Confirmed";"Probable"},'Data entry'!$AQ$6:$AQ$200,'Data Validation'!$V$3, 'Data entry'!$AP$6:$AP$200,'Data Validation'!$U$2, 'Data entry'!$BD$6:$BD$200,"&lt;&gt;*Negative*"))))</f>
        <v/>
      </c>
      <c r="M140" t="str">
        <f>IF($C140="","",(SUM(COUNTIFS('Data entry'!$R$6:$R$200,$C140,'Data entry'!$B$6:$B$200,{"Confirmed";"Probable"},'Data entry'!$AQ$6:$AQ$200,'Data Validation'!$V$3, 'Data entry'!$AP$6:$AP$200,'Data Validation'!$U$3, 'Data entry'!$BD$6:$BD$200,"&lt;&gt;*Negative*"))))</f>
        <v/>
      </c>
      <c r="N140" t="str">
        <f>IF($C140="","",(SUM(COUNTIFS('Data entry'!$R$6:$R$200,$C140,'Data entry'!$B$6:$B$200,{"Confirmed";"Probable"},'Data entry'!$AQ$6:$AQ$200,'Data Validation'!$V$3, 'Data entry'!$AP$6:$AP$200,'Data Validation'!$U$4, 'Data entry'!$BD$6:$BD$200,"&lt;&gt;*Negative*"))))</f>
        <v/>
      </c>
      <c r="O140" t="str">
        <f>IF($C140="","",(SUM(COUNTIFS('Data entry'!$R$6:$R$200,$C140,'Data entry'!$B$6:$B$200,{"Confirmed";"Probable"},'Data entry'!$AQ$6:$AQ$200,'Data Validation'!$V$3, 'Data entry'!$AP$6:$AP$200,'Data Validation'!$U$5, 'Data entry'!$BD$6:$BD$200,"&lt;&gt;*Negative*"))))</f>
        <v/>
      </c>
      <c r="P140" t="str">
        <f>IF($C140="","",(SUM(COUNTIFS('Data entry'!$R$6:$R$200,$C140,'Data entry'!$B$6:$B$200,{"Confirmed";"Probable"},'Data entry'!$AQ$6:$AQ$200,'Data Validation'!$V$3, 'Data entry'!$AP$6:$AP$200,'Data Validation'!$U$6, 'Data entry'!$BD$6:$BD$200,"&lt;&gt;*Negative*"))))</f>
        <v/>
      </c>
    </row>
    <row r="141" spans="1:16" ht="15.6" x14ac:dyDescent="0.35">
      <c r="A141" s="1" t="str">
        <f>IF('Data entry'!B145="","",'Data entry'!B145)</f>
        <v/>
      </c>
      <c r="B141" s="1" t="str">
        <f>IF('Data entry'!O145="","",'Data entry'!O145)</f>
        <v/>
      </c>
      <c r="C141" s="321" t="str">
        <f>IF('Data entry'!R145="","",'Data entry'!R145)</f>
        <v/>
      </c>
      <c r="D141" s="1" t="str">
        <f>IF('Data entry'!AO145="","",'Data entry'!AO145)</f>
        <v/>
      </c>
      <c r="E141" s="1" t="str">
        <f>IF('Data entry'!AP145="","",'Data entry'!AP145)</f>
        <v/>
      </c>
      <c r="F141" s="1" t="str">
        <f>IF('Data entry'!AQ145="","",'Data entry'!AQ145)</f>
        <v/>
      </c>
      <c r="G141" t="str">
        <f>IF($C141="","",(SUM(COUNTIFS('Data entry'!$R$6:$R$200,$C141,'Data entry'!$B$6:$B$200,{"Confirmed";"Probable"},'Data entry'!$AQ$6:$AQ$200,'Data Validation'!$V$2, 'Data entry'!$AP$6:$AP$200,'Data Validation'!$U$2, 'Data entry'!$BD$6:$BD$200,"&lt;&gt;*Negative*"))))</f>
        <v/>
      </c>
      <c r="H141" t="str">
        <f>IF($C141="","",(SUM(COUNTIFS('Data entry'!$R$6:$R$200,$C141,'Data entry'!$B$6:$B$200,{"Confirmed";"Probable"},'Data entry'!$AQ$6:$AQ$200,'Data Validation'!$V$2, 'Data entry'!$AP$6:$AP$200,'Data Validation'!$U$3, 'Data entry'!$BD$6:$BD$200,"&lt;&gt;*Negative*"))))</f>
        <v/>
      </c>
      <c r="I141" t="str">
        <f>IF($C141="","",(SUM(COUNTIFS('Data entry'!$R$6:$R$200,$C141,'Data entry'!$B$6:$B$200,{"Confirmed";"Probable"},'Data entry'!$AQ$6:$AQ$200,'Data Validation'!$V$2, 'Data entry'!$AP$6:$AP$200,'Data Validation'!$U$4, 'Data entry'!$BD$6:$BD$200,"&lt;&gt;*Negative*"))))</f>
        <v/>
      </c>
      <c r="J141" t="str">
        <f>IF($C141="","",(SUM(COUNTIFS('Data entry'!$R$6:$R$200,$C141,'Data entry'!$B$6:$B$200,{"Confirmed";"Probable"},'Data entry'!$AQ$6:$AQ$200,'Data Validation'!$V$2, 'Data entry'!$AP$6:$AP$200,'Data Validation'!$U$5, 'Data entry'!$BD$6:$BD$200,"&lt;&gt;*Negative*"))))</f>
        <v/>
      </c>
      <c r="K141" t="str">
        <f>IF($C141="","",(SUM(COUNTIFS('Data entry'!$R$6:$R$200,$C141,'Data entry'!$B$6:$B$200,{"Confirmed";"Probable"},'Data entry'!$AQ$6:$AQ$200,'Data Validation'!$V$2, 'Data entry'!$AP$6:$AP$200,'Data Validation'!$U$6, 'Data entry'!$BD$6:$BD$200,"&lt;&gt;*Negative*"))))</f>
        <v/>
      </c>
      <c r="L141" t="str">
        <f>IF($C141="","",(SUM(COUNTIFS('Data entry'!$R$6:$R$200,$C141,'Data entry'!$B$6:$B$200,{"Confirmed";"Probable"},'Data entry'!$AQ$6:$AQ$200,'Data Validation'!$V$3, 'Data entry'!$AP$6:$AP$200,'Data Validation'!$U$2, 'Data entry'!$BD$6:$BD$200,"&lt;&gt;*Negative*"))))</f>
        <v/>
      </c>
      <c r="M141" t="str">
        <f>IF($C141="","",(SUM(COUNTIFS('Data entry'!$R$6:$R$200,$C141,'Data entry'!$B$6:$B$200,{"Confirmed";"Probable"},'Data entry'!$AQ$6:$AQ$200,'Data Validation'!$V$3, 'Data entry'!$AP$6:$AP$200,'Data Validation'!$U$3, 'Data entry'!$BD$6:$BD$200,"&lt;&gt;*Negative*"))))</f>
        <v/>
      </c>
      <c r="N141" t="str">
        <f>IF($C141="","",(SUM(COUNTIFS('Data entry'!$R$6:$R$200,$C141,'Data entry'!$B$6:$B$200,{"Confirmed";"Probable"},'Data entry'!$AQ$6:$AQ$200,'Data Validation'!$V$3, 'Data entry'!$AP$6:$AP$200,'Data Validation'!$U$4, 'Data entry'!$BD$6:$BD$200,"&lt;&gt;*Negative*"))))</f>
        <v/>
      </c>
      <c r="O141" t="str">
        <f>IF($C141="","",(SUM(COUNTIFS('Data entry'!$R$6:$R$200,$C141,'Data entry'!$B$6:$B$200,{"Confirmed";"Probable"},'Data entry'!$AQ$6:$AQ$200,'Data Validation'!$V$3, 'Data entry'!$AP$6:$AP$200,'Data Validation'!$U$5, 'Data entry'!$BD$6:$BD$200,"&lt;&gt;*Negative*"))))</f>
        <v/>
      </c>
      <c r="P141" t="str">
        <f>IF($C141="","",(SUM(COUNTIFS('Data entry'!$R$6:$R$200,$C141,'Data entry'!$B$6:$B$200,{"Confirmed";"Probable"},'Data entry'!$AQ$6:$AQ$200,'Data Validation'!$V$3, 'Data entry'!$AP$6:$AP$200,'Data Validation'!$U$6, 'Data entry'!$BD$6:$BD$200,"&lt;&gt;*Negative*"))))</f>
        <v/>
      </c>
    </row>
    <row r="142" spans="1:16" ht="15.6" x14ac:dyDescent="0.35">
      <c r="A142" s="1" t="str">
        <f>IF('Data entry'!B146="","",'Data entry'!B146)</f>
        <v/>
      </c>
      <c r="B142" s="1" t="str">
        <f>IF('Data entry'!O146="","",'Data entry'!O146)</f>
        <v/>
      </c>
      <c r="C142" s="321" t="str">
        <f>IF('Data entry'!R146="","",'Data entry'!R146)</f>
        <v/>
      </c>
      <c r="D142" s="1" t="str">
        <f>IF('Data entry'!AO146="","",'Data entry'!AO146)</f>
        <v/>
      </c>
      <c r="E142" s="1" t="str">
        <f>IF('Data entry'!AP146="","",'Data entry'!AP146)</f>
        <v/>
      </c>
      <c r="F142" s="1" t="str">
        <f>IF('Data entry'!AQ146="","",'Data entry'!AQ146)</f>
        <v/>
      </c>
      <c r="G142" t="str">
        <f>IF($C142="","",(SUM(COUNTIFS('Data entry'!$R$6:$R$200,$C142,'Data entry'!$B$6:$B$200,{"Confirmed";"Probable"},'Data entry'!$AQ$6:$AQ$200,'Data Validation'!$V$2, 'Data entry'!$AP$6:$AP$200,'Data Validation'!$U$2, 'Data entry'!$BD$6:$BD$200,"&lt;&gt;*Negative*"))))</f>
        <v/>
      </c>
      <c r="H142" t="str">
        <f>IF($C142="","",(SUM(COUNTIFS('Data entry'!$R$6:$R$200,$C142,'Data entry'!$B$6:$B$200,{"Confirmed";"Probable"},'Data entry'!$AQ$6:$AQ$200,'Data Validation'!$V$2, 'Data entry'!$AP$6:$AP$200,'Data Validation'!$U$3, 'Data entry'!$BD$6:$BD$200,"&lt;&gt;*Negative*"))))</f>
        <v/>
      </c>
      <c r="I142" t="str">
        <f>IF($C142="","",(SUM(COUNTIFS('Data entry'!$R$6:$R$200,$C142,'Data entry'!$B$6:$B$200,{"Confirmed";"Probable"},'Data entry'!$AQ$6:$AQ$200,'Data Validation'!$V$2, 'Data entry'!$AP$6:$AP$200,'Data Validation'!$U$4, 'Data entry'!$BD$6:$BD$200,"&lt;&gt;*Negative*"))))</f>
        <v/>
      </c>
      <c r="J142" t="str">
        <f>IF($C142="","",(SUM(COUNTIFS('Data entry'!$R$6:$R$200,$C142,'Data entry'!$B$6:$B$200,{"Confirmed";"Probable"},'Data entry'!$AQ$6:$AQ$200,'Data Validation'!$V$2, 'Data entry'!$AP$6:$AP$200,'Data Validation'!$U$5, 'Data entry'!$BD$6:$BD$200,"&lt;&gt;*Negative*"))))</f>
        <v/>
      </c>
      <c r="K142" t="str">
        <f>IF($C142="","",(SUM(COUNTIFS('Data entry'!$R$6:$R$200,$C142,'Data entry'!$B$6:$B$200,{"Confirmed";"Probable"},'Data entry'!$AQ$6:$AQ$200,'Data Validation'!$V$2, 'Data entry'!$AP$6:$AP$200,'Data Validation'!$U$6, 'Data entry'!$BD$6:$BD$200,"&lt;&gt;*Negative*"))))</f>
        <v/>
      </c>
      <c r="L142" t="str">
        <f>IF($C142="","",(SUM(COUNTIFS('Data entry'!$R$6:$R$200,$C142,'Data entry'!$B$6:$B$200,{"Confirmed";"Probable"},'Data entry'!$AQ$6:$AQ$200,'Data Validation'!$V$3, 'Data entry'!$AP$6:$AP$200,'Data Validation'!$U$2, 'Data entry'!$BD$6:$BD$200,"&lt;&gt;*Negative*"))))</f>
        <v/>
      </c>
      <c r="M142" t="str">
        <f>IF($C142="","",(SUM(COUNTIFS('Data entry'!$R$6:$R$200,$C142,'Data entry'!$B$6:$B$200,{"Confirmed";"Probable"},'Data entry'!$AQ$6:$AQ$200,'Data Validation'!$V$3, 'Data entry'!$AP$6:$AP$200,'Data Validation'!$U$3, 'Data entry'!$BD$6:$BD$200,"&lt;&gt;*Negative*"))))</f>
        <v/>
      </c>
      <c r="N142" t="str">
        <f>IF($C142="","",(SUM(COUNTIFS('Data entry'!$R$6:$R$200,$C142,'Data entry'!$B$6:$B$200,{"Confirmed";"Probable"},'Data entry'!$AQ$6:$AQ$200,'Data Validation'!$V$3, 'Data entry'!$AP$6:$AP$200,'Data Validation'!$U$4, 'Data entry'!$BD$6:$BD$200,"&lt;&gt;*Negative*"))))</f>
        <v/>
      </c>
      <c r="O142" t="str">
        <f>IF($C142="","",(SUM(COUNTIFS('Data entry'!$R$6:$R$200,$C142,'Data entry'!$B$6:$B$200,{"Confirmed";"Probable"},'Data entry'!$AQ$6:$AQ$200,'Data Validation'!$V$3, 'Data entry'!$AP$6:$AP$200,'Data Validation'!$U$5, 'Data entry'!$BD$6:$BD$200,"&lt;&gt;*Negative*"))))</f>
        <v/>
      </c>
      <c r="P142" t="str">
        <f>IF($C142="","",(SUM(COUNTIFS('Data entry'!$R$6:$R$200,$C142,'Data entry'!$B$6:$B$200,{"Confirmed";"Probable"},'Data entry'!$AQ$6:$AQ$200,'Data Validation'!$V$3, 'Data entry'!$AP$6:$AP$200,'Data Validation'!$U$6, 'Data entry'!$BD$6:$BD$200,"&lt;&gt;*Negative*"))))</f>
        <v/>
      </c>
    </row>
    <row r="143" spans="1:16" ht="15.6" x14ac:dyDescent="0.35">
      <c r="A143" s="1" t="str">
        <f>IF('Data entry'!B147="","",'Data entry'!B147)</f>
        <v/>
      </c>
      <c r="B143" s="1" t="str">
        <f>IF('Data entry'!O147="","",'Data entry'!O147)</f>
        <v/>
      </c>
      <c r="C143" s="321" t="str">
        <f>IF('Data entry'!R147="","",'Data entry'!R147)</f>
        <v/>
      </c>
      <c r="D143" s="1" t="str">
        <f>IF('Data entry'!AO147="","",'Data entry'!AO147)</f>
        <v/>
      </c>
      <c r="E143" s="1" t="str">
        <f>IF('Data entry'!AP147="","",'Data entry'!AP147)</f>
        <v/>
      </c>
      <c r="F143" s="1" t="str">
        <f>IF('Data entry'!AQ147="","",'Data entry'!AQ147)</f>
        <v/>
      </c>
      <c r="G143" t="str">
        <f>IF($C143="","",(SUM(COUNTIFS('Data entry'!$R$6:$R$200,$C143,'Data entry'!$B$6:$B$200,{"Confirmed";"Probable"},'Data entry'!$AQ$6:$AQ$200,'Data Validation'!$V$2, 'Data entry'!$AP$6:$AP$200,'Data Validation'!$U$2, 'Data entry'!$BD$6:$BD$200,"&lt;&gt;*Negative*"))))</f>
        <v/>
      </c>
      <c r="H143" t="str">
        <f>IF($C143="","",(SUM(COUNTIFS('Data entry'!$R$6:$R$200,$C143,'Data entry'!$B$6:$B$200,{"Confirmed";"Probable"},'Data entry'!$AQ$6:$AQ$200,'Data Validation'!$V$2, 'Data entry'!$AP$6:$AP$200,'Data Validation'!$U$3, 'Data entry'!$BD$6:$BD$200,"&lt;&gt;*Negative*"))))</f>
        <v/>
      </c>
      <c r="I143" t="str">
        <f>IF($C143="","",(SUM(COUNTIFS('Data entry'!$R$6:$R$200,$C143,'Data entry'!$B$6:$B$200,{"Confirmed";"Probable"},'Data entry'!$AQ$6:$AQ$200,'Data Validation'!$V$2, 'Data entry'!$AP$6:$AP$200,'Data Validation'!$U$4, 'Data entry'!$BD$6:$BD$200,"&lt;&gt;*Negative*"))))</f>
        <v/>
      </c>
      <c r="J143" t="str">
        <f>IF($C143="","",(SUM(COUNTIFS('Data entry'!$R$6:$R$200,$C143,'Data entry'!$B$6:$B$200,{"Confirmed";"Probable"},'Data entry'!$AQ$6:$AQ$200,'Data Validation'!$V$2, 'Data entry'!$AP$6:$AP$200,'Data Validation'!$U$5, 'Data entry'!$BD$6:$BD$200,"&lt;&gt;*Negative*"))))</f>
        <v/>
      </c>
      <c r="K143" t="str">
        <f>IF($C143="","",(SUM(COUNTIFS('Data entry'!$R$6:$R$200,$C143,'Data entry'!$B$6:$B$200,{"Confirmed";"Probable"},'Data entry'!$AQ$6:$AQ$200,'Data Validation'!$V$2, 'Data entry'!$AP$6:$AP$200,'Data Validation'!$U$6, 'Data entry'!$BD$6:$BD$200,"&lt;&gt;*Negative*"))))</f>
        <v/>
      </c>
      <c r="L143" t="str">
        <f>IF($C143="","",(SUM(COUNTIFS('Data entry'!$R$6:$R$200,$C143,'Data entry'!$B$6:$B$200,{"Confirmed";"Probable"},'Data entry'!$AQ$6:$AQ$200,'Data Validation'!$V$3, 'Data entry'!$AP$6:$AP$200,'Data Validation'!$U$2, 'Data entry'!$BD$6:$BD$200,"&lt;&gt;*Negative*"))))</f>
        <v/>
      </c>
      <c r="M143" t="str">
        <f>IF($C143="","",(SUM(COUNTIFS('Data entry'!$R$6:$R$200,$C143,'Data entry'!$B$6:$B$200,{"Confirmed";"Probable"},'Data entry'!$AQ$6:$AQ$200,'Data Validation'!$V$3, 'Data entry'!$AP$6:$AP$200,'Data Validation'!$U$3, 'Data entry'!$BD$6:$BD$200,"&lt;&gt;*Negative*"))))</f>
        <v/>
      </c>
      <c r="N143" t="str">
        <f>IF($C143="","",(SUM(COUNTIFS('Data entry'!$R$6:$R$200,$C143,'Data entry'!$B$6:$B$200,{"Confirmed";"Probable"},'Data entry'!$AQ$6:$AQ$200,'Data Validation'!$V$3, 'Data entry'!$AP$6:$AP$200,'Data Validation'!$U$4, 'Data entry'!$BD$6:$BD$200,"&lt;&gt;*Negative*"))))</f>
        <v/>
      </c>
      <c r="O143" t="str">
        <f>IF($C143="","",(SUM(COUNTIFS('Data entry'!$R$6:$R$200,$C143,'Data entry'!$B$6:$B$200,{"Confirmed";"Probable"},'Data entry'!$AQ$6:$AQ$200,'Data Validation'!$V$3, 'Data entry'!$AP$6:$AP$200,'Data Validation'!$U$5, 'Data entry'!$BD$6:$BD$200,"&lt;&gt;*Negative*"))))</f>
        <v/>
      </c>
      <c r="P143" t="str">
        <f>IF($C143="","",(SUM(COUNTIFS('Data entry'!$R$6:$R$200,$C143,'Data entry'!$B$6:$B$200,{"Confirmed";"Probable"},'Data entry'!$AQ$6:$AQ$200,'Data Validation'!$V$3, 'Data entry'!$AP$6:$AP$200,'Data Validation'!$U$6, 'Data entry'!$BD$6:$BD$200,"&lt;&gt;*Negative*"))))</f>
        <v/>
      </c>
    </row>
    <row r="144" spans="1:16" ht="15.6" x14ac:dyDescent="0.35">
      <c r="A144" s="1" t="str">
        <f>IF('Data entry'!B148="","",'Data entry'!B148)</f>
        <v/>
      </c>
      <c r="B144" s="1" t="str">
        <f>IF('Data entry'!O148="","",'Data entry'!O148)</f>
        <v/>
      </c>
      <c r="C144" s="321" t="str">
        <f>IF('Data entry'!R148="","",'Data entry'!R148)</f>
        <v/>
      </c>
      <c r="D144" s="1" t="str">
        <f>IF('Data entry'!AO148="","",'Data entry'!AO148)</f>
        <v/>
      </c>
      <c r="E144" s="1" t="str">
        <f>IF('Data entry'!AP148="","",'Data entry'!AP148)</f>
        <v/>
      </c>
      <c r="F144" s="1" t="str">
        <f>IF('Data entry'!AQ148="","",'Data entry'!AQ148)</f>
        <v/>
      </c>
      <c r="G144" t="str">
        <f>IF($C144="","",(SUM(COUNTIFS('Data entry'!$R$6:$R$200,$C144,'Data entry'!$B$6:$B$200,{"Confirmed";"Probable"},'Data entry'!$AQ$6:$AQ$200,'Data Validation'!$V$2, 'Data entry'!$AP$6:$AP$200,'Data Validation'!$U$2, 'Data entry'!$BD$6:$BD$200,"&lt;&gt;*Negative*"))))</f>
        <v/>
      </c>
      <c r="H144" t="str">
        <f>IF($C144="","",(SUM(COUNTIFS('Data entry'!$R$6:$R$200,$C144,'Data entry'!$B$6:$B$200,{"Confirmed";"Probable"},'Data entry'!$AQ$6:$AQ$200,'Data Validation'!$V$2, 'Data entry'!$AP$6:$AP$200,'Data Validation'!$U$3, 'Data entry'!$BD$6:$BD$200,"&lt;&gt;*Negative*"))))</f>
        <v/>
      </c>
      <c r="I144" t="str">
        <f>IF($C144="","",(SUM(COUNTIFS('Data entry'!$R$6:$R$200,$C144,'Data entry'!$B$6:$B$200,{"Confirmed";"Probable"},'Data entry'!$AQ$6:$AQ$200,'Data Validation'!$V$2, 'Data entry'!$AP$6:$AP$200,'Data Validation'!$U$4, 'Data entry'!$BD$6:$BD$200,"&lt;&gt;*Negative*"))))</f>
        <v/>
      </c>
      <c r="J144" t="str">
        <f>IF($C144="","",(SUM(COUNTIFS('Data entry'!$R$6:$R$200,$C144,'Data entry'!$B$6:$B$200,{"Confirmed";"Probable"},'Data entry'!$AQ$6:$AQ$200,'Data Validation'!$V$2, 'Data entry'!$AP$6:$AP$200,'Data Validation'!$U$5, 'Data entry'!$BD$6:$BD$200,"&lt;&gt;*Negative*"))))</f>
        <v/>
      </c>
      <c r="K144" t="str">
        <f>IF($C144="","",(SUM(COUNTIFS('Data entry'!$R$6:$R$200,$C144,'Data entry'!$B$6:$B$200,{"Confirmed";"Probable"},'Data entry'!$AQ$6:$AQ$200,'Data Validation'!$V$2, 'Data entry'!$AP$6:$AP$200,'Data Validation'!$U$6, 'Data entry'!$BD$6:$BD$200,"&lt;&gt;*Negative*"))))</f>
        <v/>
      </c>
      <c r="L144" t="str">
        <f>IF($C144="","",(SUM(COUNTIFS('Data entry'!$R$6:$R$200,$C144,'Data entry'!$B$6:$B$200,{"Confirmed";"Probable"},'Data entry'!$AQ$6:$AQ$200,'Data Validation'!$V$3, 'Data entry'!$AP$6:$AP$200,'Data Validation'!$U$2, 'Data entry'!$BD$6:$BD$200,"&lt;&gt;*Negative*"))))</f>
        <v/>
      </c>
      <c r="M144" t="str">
        <f>IF($C144="","",(SUM(COUNTIFS('Data entry'!$R$6:$R$200,$C144,'Data entry'!$B$6:$B$200,{"Confirmed";"Probable"},'Data entry'!$AQ$6:$AQ$200,'Data Validation'!$V$3, 'Data entry'!$AP$6:$AP$200,'Data Validation'!$U$3, 'Data entry'!$BD$6:$BD$200,"&lt;&gt;*Negative*"))))</f>
        <v/>
      </c>
      <c r="N144" t="str">
        <f>IF($C144="","",(SUM(COUNTIFS('Data entry'!$R$6:$R$200,$C144,'Data entry'!$B$6:$B$200,{"Confirmed";"Probable"},'Data entry'!$AQ$6:$AQ$200,'Data Validation'!$V$3, 'Data entry'!$AP$6:$AP$200,'Data Validation'!$U$4, 'Data entry'!$BD$6:$BD$200,"&lt;&gt;*Negative*"))))</f>
        <v/>
      </c>
      <c r="O144" t="str">
        <f>IF($C144="","",(SUM(COUNTIFS('Data entry'!$R$6:$R$200,$C144,'Data entry'!$B$6:$B$200,{"Confirmed";"Probable"},'Data entry'!$AQ$6:$AQ$200,'Data Validation'!$V$3, 'Data entry'!$AP$6:$AP$200,'Data Validation'!$U$5, 'Data entry'!$BD$6:$BD$200,"&lt;&gt;*Negative*"))))</f>
        <v/>
      </c>
      <c r="P144" t="str">
        <f>IF($C144="","",(SUM(COUNTIFS('Data entry'!$R$6:$R$200,$C144,'Data entry'!$B$6:$B$200,{"Confirmed";"Probable"},'Data entry'!$AQ$6:$AQ$200,'Data Validation'!$V$3, 'Data entry'!$AP$6:$AP$200,'Data Validation'!$U$6, 'Data entry'!$BD$6:$BD$200,"&lt;&gt;*Negative*"))))</f>
        <v/>
      </c>
    </row>
    <row r="145" spans="1:16" ht="15.6" x14ac:dyDescent="0.35">
      <c r="A145" s="1" t="str">
        <f>IF('Data entry'!B149="","",'Data entry'!B149)</f>
        <v/>
      </c>
      <c r="B145" s="1" t="str">
        <f>IF('Data entry'!O149="","",'Data entry'!O149)</f>
        <v/>
      </c>
      <c r="C145" s="321" t="str">
        <f>IF('Data entry'!R149="","",'Data entry'!R149)</f>
        <v/>
      </c>
      <c r="D145" s="1" t="str">
        <f>IF('Data entry'!AO149="","",'Data entry'!AO149)</f>
        <v/>
      </c>
      <c r="E145" s="1" t="str">
        <f>IF('Data entry'!AP149="","",'Data entry'!AP149)</f>
        <v/>
      </c>
      <c r="F145" s="1" t="str">
        <f>IF('Data entry'!AQ149="","",'Data entry'!AQ149)</f>
        <v/>
      </c>
      <c r="G145" t="str">
        <f>IF($C145="","",(SUM(COUNTIFS('Data entry'!$R$6:$R$200,$C145,'Data entry'!$B$6:$B$200,{"Confirmed";"Probable"},'Data entry'!$AQ$6:$AQ$200,'Data Validation'!$V$2, 'Data entry'!$AP$6:$AP$200,'Data Validation'!$U$2, 'Data entry'!$BD$6:$BD$200,"&lt;&gt;*Negative*"))))</f>
        <v/>
      </c>
      <c r="H145" t="str">
        <f>IF($C145="","",(SUM(COUNTIFS('Data entry'!$R$6:$R$200,$C145,'Data entry'!$B$6:$B$200,{"Confirmed";"Probable"},'Data entry'!$AQ$6:$AQ$200,'Data Validation'!$V$2, 'Data entry'!$AP$6:$AP$200,'Data Validation'!$U$3, 'Data entry'!$BD$6:$BD$200,"&lt;&gt;*Negative*"))))</f>
        <v/>
      </c>
      <c r="I145" t="str">
        <f>IF($C145="","",(SUM(COUNTIFS('Data entry'!$R$6:$R$200,$C145,'Data entry'!$B$6:$B$200,{"Confirmed";"Probable"},'Data entry'!$AQ$6:$AQ$200,'Data Validation'!$V$2, 'Data entry'!$AP$6:$AP$200,'Data Validation'!$U$4, 'Data entry'!$BD$6:$BD$200,"&lt;&gt;*Negative*"))))</f>
        <v/>
      </c>
      <c r="J145" t="str">
        <f>IF($C145="","",(SUM(COUNTIFS('Data entry'!$R$6:$R$200,$C145,'Data entry'!$B$6:$B$200,{"Confirmed";"Probable"},'Data entry'!$AQ$6:$AQ$200,'Data Validation'!$V$2, 'Data entry'!$AP$6:$AP$200,'Data Validation'!$U$5, 'Data entry'!$BD$6:$BD$200,"&lt;&gt;*Negative*"))))</f>
        <v/>
      </c>
      <c r="K145" t="str">
        <f>IF($C145="","",(SUM(COUNTIFS('Data entry'!$R$6:$R$200,$C145,'Data entry'!$B$6:$B$200,{"Confirmed";"Probable"},'Data entry'!$AQ$6:$AQ$200,'Data Validation'!$V$2, 'Data entry'!$AP$6:$AP$200,'Data Validation'!$U$6, 'Data entry'!$BD$6:$BD$200,"&lt;&gt;*Negative*"))))</f>
        <v/>
      </c>
      <c r="L145" t="str">
        <f>IF($C145="","",(SUM(COUNTIFS('Data entry'!$R$6:$R$200,$C145,'Data entry'!$B$6:$B$200,{"Confirmed";"Probable"},'Data entry'!$AQ$6:$AQ$200,'Data Validation'!$V$3, 'Data entry'!$AP$6:$AP$200,'Data Validation'!$U$2, 'Data entry'!$BD$6:$BD$200,"&lt;&gt;*Negative*"))))</f>
        <v/>
      </c>
      <c r="M145" t="str">
        <f>IF($C145="","",(SUM(COUNTIFS('Data entry'!$R$6:$R$200,$C145,'Data entry'!$B$6:$B$200,{"Confirmed";"Probable"},'Data entry'!$AQ$6:$AQ$200,'Data Validation'!$V$3, 'Data entry'!$AP$6:$AP$200,'Data Validation'!$U$3, 'Data entry'!$BD$6:$BD$200,"&lt;&gt;*Negative*"))))</f>
        <v/>
      </c>
      <c r="N145" t="str">
        <f>IF($C145="","",(SUM(COUNTIFS('Data entry'!$R$6:$R$200,$C145,'Data entry'!$B$6:$B$200,{"Confirmed";"Probable"},'Data entry'!$AQ$6:$AQ$200,'Data Validation'!$V$3, 'Data entry'!$AP$6:$AP$200,'Data Validation'!$U$4, 'Data entry'!$BD$6:$BD$200,"&lt;&gt;*Negative*"))))</f>
        <v/>
      </c>
      <c r="O145" t="str">
        <f>IF($C145="","",(SUM(COUNTIFS('Data entry'!$R$6:$R$200,$C145,'Data entry'!$B$6:$B$200,{"Confirmed";"Probable"},'Data entry'!$AQ$6:$AQ$200,'Data Validation'!$V$3, 'Data entry'!$AP$6:$AP$200,'Data Validation'!$U$5, 'Data entry'!$BD$6:$BD$200,"&lt;&gt;*Negative*"))))</f>
        <v/>
      </c>
      <c r="P145" t="str">
        <f>IF($C145="","",(SUM(COUNTIFS('Data entry'!$R$6:$R$200,$C145,'Data entry'!$B$6:$B$200,{"Confirmed";"Probable"},'Data entry'!$AQ$6:$AQ$200,'Data Validation'!$V$3, 'Data entry'!$AP$6:$AP$200,'Data Validation'!$U$6, 'Data entry'!$BD$6:$BD$200,"&lt;&gt;*Negative*"))))</f>
        <v/>
      </c>
    </row>
    <row r="146" spans="1:16" ht="15.6" x14ac:dyDescent="0.35">
      <c r="A146" s="1" t="str">
        <f>IF('Data entry'!B150="","",'Data entry'!B150)</f>
        <v/>
      </c>
      <c r="B146" s="1" t="str">
        <f>IF('Data entry'!O150="","",'Data entry'!O150)</f>
        <v/>
      </c>
      <c r="C146" s="321" t="str">
        <f>IF('Data entry'!R150="","",'Data entry'!R150)</f>
        <v/>
      </c>
      <c r="D146" s="1" t="str">
        <f>IF('Data entry'!AO150="","",'Data entry'!AO150)</f>
        <v/>
      </c>
      <c r="E146" s="1" t="str">
        <f>IF('Data entry'!AP150="","",'Data entry'!AP150)</f>
        <v/>
      </c>
      <c r="F146" s="1" t="str">
        <f>IF('Data entry'!AQ150="","",'Data entry'!AQ150)</f>
        <v/>
      </c>
      <c r="G146" t="str">
        <f>IF($C146="","",(SUM(COUNTIFS('Data entry'!$R$6:$R$200,$C146,'Data entry'!$B$6:$B$200,{"Confirmed";"Probable"},'Data entry'!$AQ$6:$AQ$200,'Data Validation'!$V$2, 'Data entry'!$AP$6:$AP$200,'Data Validation'!$U$2, 'Data entry'!$BD$6:$BD$200,"&lt;&gt;*Negative*"))))</f>
        <v/>
      </c>
      <c r="H146" t="str">
        <f>IF($C146="","",(SUM(COUNTIFS('Data entry'!$R$6:$R$200,$C146,'Data entry'!$B$6:$B$200,{"Confirmed";"Probable"},'Data entry'!$AQ$6:$AQ$200,'Data Validation'!$V$2, 'Data entry'!$AP$6:$AP$200,'Data Validation'!$U$3, 'Data entry'!$BD$6:$BD$200,"&lt;&gt;*Negative*"))))</f>
        <v/>
      </c>
      <c r="I146" t="str">
        <f>IF($C146="","",(SUM(COUNTIFS('Data entry'!$R$6:$R$200,$C146,'Data entry'!$B$6:$B$200,{"Confirmed";"Probable"},'Data entry'!$AQ$6:$AQ$200,'Data Validation'!$V$2, 'Data entry'!$AP$6:$AP$200,'Data Validation'!$U$4, 'Data entry'!$BD$6:$BD$200,"&lt;&gt;*Negative*"))))</f>
        <v/>
      </c>
      <c r="J146" t="str">
        <f>IF($C146="","",(SUM(COUNTIFS('Data entry'!$R$6:$R$200,$C146,'Data entry'!$B$6:$B$200,{"Confirmed";"Probable"},'Data entry'!$AQ$6:$AQ$200,'Data Validation'!$V$2, 'Data entry'!$AP$6:$AP$200,'Data Validation'!$U$5, 'Data entry'!$BD$6:$BD$200,"&lt;&gt;*Negative*"))))</f>
        <v/>
      </c>
      <c r="K146" t="str">
        <f>IF($C146="","",(SUM(COUNTIFS('Data entry'!$R$6:$R$200,$C146,'Data entry'!$B$6:$B$200,{"Confirmed";"Probable"},'Data entry'!$AQ$6:$AQ$200,'Data Validation'!$V$2, 'Data entry'!$AP$6:$AP$200,'Data Validation'!$U$6, 'Data entry'!$BD$6:$BD$200,"&lt;&gt;*Negative*"))))</f>
        <v/>
      </c>
      <c r="L146" t="str">
        <f>IF($C146="","",(SUM(COUNTIFS('Data entry'!$R$6:$R$200,$C146,'Data entry'!$B$6:$B$200,{"Confirmed";"Probable"},'Data entry'!$AQ$6:$AQ$200,'Data Validation'!$V$3, 'Data entry'!$AP$6:$AP$200,'Data Validation'!$U$2, 'Data entry'!$BD$6:$BD$200,"&lt;&gt;*Negative*"))))</f>
        <v/>
      </c>
      <c r="M146" t="str">
        <f>IF($C146="","",(SUM(COUNTIFS('Data entry'!$R$6:$R$200,$C146,'Data entry'!$B$6:$B$200,{"Confirmed";"Probable"},'Data entry'!$AQ$6:$AQ$200,'Data Validation'!$V$3, 'Data entry'!$AP$6:$AP$200,'Data Validation'!$U$3, 'Data entry'!$BD$6:$BD$200,"&lt;&gt;*Negative*"))))</f>
        <v/>
      </c>
      <c r="N146" t="str">
        <f>IF($C146="","",(SUM(COUNTIFS('Data entry'!$R$6:$R$200,$C146,'Data entry'!$B$6:$B$200,{"Confirmed";"Probable"},'Data entry'!$AQ$6:$AQ$200,'Data Validation'!$V$3, 'Data entry'!$AP$6:$AP$200,'Data Validation'!$U$4, 'Data entry'!$BD$6:$BD$200,"&lt;&gt;*Negative*"))))</f>
        <v/>
      </c>
      <c r="O146" t="str">
        <f>IF($C146="","",(SUM(COUNTIFS('Data entry'!$R$6:$R$200,$C146,'Data entry'!$B$6:$B$200,{"Confirmed";"Probable"},'Data entry'!$AQ$6:$AQ$200,'Data Validation'!$V$3, 'Data entry'!$AP$6:$AP$200,'Data Validation'!$U$5, 'Data entry'!$BD$6:$BD$200,"&lt;&gt;*Negative*"))))</f>
        <v/>
      </c>
      <c r="P146" t="str">
        <f>IF($C146="","",(SUM(COUNTIFS('Data entry'!$R$6:$R$200,$C146,'Data entry'!$B$6:$B$200,{"Confirmed";"Probable"},'Data entry'!$AQ$6:$AQ$200,'Data Validation'!$V$3, 'Data entry'!$AP$6:$AP$200,'Data Validation'!$U$6, 'Data entry'!$BD$6:$BD$200,"&lt;&gt;*Negative*"))))</f>
        <v/>
      </c>
    </row>
    <row r="147" spans="1:16" ht="15.6" x14ac:dyDescent="0.35">
      <c r="A147" s="1" t="str">
        <f>IF('Data entry'!B151="","",'Data entry'!B151)</f>
        <v/>
      </c>
      <c r="B147" s="1" t="str">
        <f>IF('Data entry'!O151="","",'Data entry'!O151)</f>
        <v/>
      </c>
      <c r="C147" s="321" t="str">
        <f>IF('Data entry'!R151="","",'Data entry'!R151)</f>
        <v/>
      </c>
      <c r="D147" s="1" t="str">
        <f>IF('Data entry'!AO151="","",'Data entry'!AO151)</f>
        <v/>
      </c>
      <c r="E147" s="1" t="str">
        <f>IF('Data entry'!AP151="","",'Data entry'!AP151)</f>
        <v/>
      </c>
      <c r="F147" s="1" t="str">
        <f>IF('Data entry'!AQ151="","",'Data entry'!AQ151)</f>
        <v/>
      </c>
      <c r="G147" t="str">
        <f>IF($C147="","",(SUM(COUNTIFS('Data entry'!$R$6:$R$200,$C147,'Data entry'!$B$6:$B$200,{"Confirmed";"Probable"},'Data entry'!$AQ$6:$AQ$200,'Data Validation'!$V$2, 'Data entry'!$AP$6:$AP$200,'Data Validation'!$U$2, 'Data entry'!$BD$6:$BD$200,"&lt;&gt;*Negative*"))))</f>
        <v/>
      </c>
      <c r="H147" t="str">
        <f>IF($C147="","",(SUM(COUNTIFS('Data entry'!$R$6:$R$200,$C147,'Data entry'!$B$6:$B$200,{"Confirmed";"Probable"},'Data entry'!$AQ$6:$AQ$200,'Data Validation'!$V$2, 'Data entry'!$AP$6:$AP$200,'Data Validation'!$U$3, 'Data entry'!$BD$6:$BD$200,"&lt;&gt;*Negative*"))))</f>
        <v/>
      </c>
      <c r="I147" t="str">
        <f>IF($C147="","",(SUM(COUNTIFS('Data entry'!$R$6:$R$200,$C147,'Data entry'!$B$6:$B$200,{"Confirmed";"Probable"},'Data entry'!$AQ$6:$AQ$200,'Data Validation'!$V$2, 'Data entry'!$AP$6:$AP$200,'Data Validation'!$U$4, 'Data entry'!$BD$6:$BD$200,"&lt;&gt;*Negative*"))))</f>
        <v/>
      </c>
      <c r="J147" t="str">
        <f>IF($C147="","",(SUM(COUNTIFS('Data entry'!$R$6:$R$200,$C147,'Data entry'!$B$6:$B$200,{"Confirmed";"Probable"},'Data entry'!$AQ$6:$AQ$200,'Data Validation'!$V$2, 'Data entry'!$AP$6:$AP$200,'Data Validation'!$U$5, 'Data entry'!$BD$6:$BD$200,"&lt;&gt;*Negative*"))))</f>
        <v/>
      </c>
      <c r="K147" t="str">
        <f>IF($C147="","",(SUM(COUNTIFS('Data entry'!$R$6:$R$200,$C147,'Data entry'!$B$6:$B$200,{"Confirmed";"Probable"},'Data entry'!$AQ$6:$AQ$200,'Data Validation'!$V$2, 'Data entry'!$AP$6:$AP$200,'Data Validation'!$U$6, 'Data entry'!$BD$6:$BD$200,"&lt;&gt;*Negative*"))))</f>
        <v/>
      </c>
      <c r="L147" t="str">
        <f>IF($C147="","",(SUM(COUNTIFS('Data entry'!$R$6:$R$200,$C147,'Data entry'!$B$6:$B$200,{"Confirmed";"Probable"},'Data entry'!$AQ$6:$AQ$200,'Data Validation'!$V$3, 'Data entry'!$AP$6:$AP$200,'Data Validation'!$U$2, 'Data entry'!$BD$6:$BD$200,"&lt;&gt;*Negative*"))))</f>
        <v/>
      </c>
      <c r="M147" t="str">
        <f>IF($C147="","",(SUM(COUNTIFS('Data entry'!$R$6:$R$200,$C147,'Data entry'!$B$6:$B$200,{"Confirmed";"Probable"},'Data entry'!$AQ$6:$AQ$200,'Data Validation'!$V$3, 'Data entry'!$AP$6:$AP$200,'Data Validation'!$U$3, 'Data entry'!$BD$6:$BD$200,"&lt;&gt;*Negative*"))))</f>
        <v/>
      </c>
      <c r="N147" t="str">
        <f>IF($C147="","",(SUM(COUNTIFS('Data entry'!$R$6:$R$200,$C147,'Data entry'!$B$6:$B$200,{"Confirmed";"Probable"},'Data entry'!$AQ$6:$AQ$200,'Data Validation'!$V$3, 'Data entry'!$AP$6:$AP$200,'Data Validation'!$U$4, 'Data entry'!$BD$6:$BD$200,"&lt;&gt;*Negative*"))))</f>
        <v/>
      </c>
      <c r="O147" t="str">
        <f>IF($C147="","",(SUM(COUNTIFS('Data entry'!$R$6:$R$200,$C147,'Data entry'!$B$6:$B$200,{"Confirmed";"Probable"},'Data entry'!$AQ$6:$AQ$200,'Data Validation'!$V$3, 'Data entry'!$AP$6:$AP$200,'Data Validation'!$U$5, 'Data entry'!$BD$6:$BD$200,"&lt;&gt;*Negative*"))))</f>
        <v/>
      </c>
      <c r="P147" t="str">
        <f>IF($C147="","",(SUM(COUNTIFS('Data entry'!$R$6:$R$200,$C147,'Data entry'!$B$6:$B$200,{"Confirmed";"Probable"},'Data entry'!$AQ$6:$AQ$200,'Data Validation'!$V$3, 'Data entry'!$AP$6:$AP$200,'Data Validation'!$U$6, 'Data entry'!$BD$6:$BD$200,"&lt;&gt;*Negative*"))))</f>
        <v/>
      </c>
    </row>
    <row r="148" spans="1:16" ht="15.6" x14ac:dyDescent="0.35">
      <c r="A148" s="1" t="str">
        <f>IF('Data entry'!B152="","",'Data entry'!B152)</f>
        <v/>
      </c>
      <c r="B148" s="1" t="str">
        <f>IF('Data entry'!O152="","",'Data entry'!O152)</f>
        <v/>
      </c>
      <c r="C148" s="321" t="str">
        <f>IF('Data entry'!R152="","",'Data entry'!R152)</f>
        <v/>
      </c>
      <c r="D148" s="1" t="str">
        <f>IF('Data entry'!AO152="","",'Data entry'!AO152)</f>
        <v/>
      </c>
      <c r="E148" s="1" t="str">
        <f>IF('Data entry'!AP152="","",'Data entry'!AP152)</f>
        <v/>
      </c>
      <c r="F148" s="1" t="str">
        <f>IF('Data entry'!AQ152="","",'Data entry'!AQ152)</f>
        <v/>
      </c>
      <c r="G148" t="str">
        <f>IF($C148="","",(SUM(COUNTIFS('Data entry'!$R$6:$R$200,$C148,'Data entry'!$B$6:$B$200,{"Confirmed";"Probable"},'Data entry'!$AQ$6:$AQ$200,'Data Validation'!$V$2, 'Data entry'!$AP$6:$AP$200,'Data Validation'!$U$2, 'Data entry'!$BD$6:$BD$200,"&lt;&gt;*Negative*"))))</f>
        <v/>
      </c>
      <c r="H148" t="str">
        <f>IF($C148="","",(SUM(COUNTIFS('Data entry'!$R$6:$R$200,$C148,'Data entry'!$B$6:$B$200,{"Confirmed";"Probable"},'Data entry'!$AQ$6:$AQ$200,'Data Validation'!$V$2, 'Data entry'!$AP$6:$AP$200,'Data Validation'!$U$3, 'Data entry'!$BD$6:$BD$200,"&lt;&gt;*Negative*"))))</f>
        <v/>
      </c>
      <c r="I148" t="str">
        <f>IF($C148="","",(SUM(COUNTIFS('Data entry'!$R$6:$R$200,$C148,'Data entry'!$B$6:$B$200,{"Confirmed";"Probable"},'Data entry'!$AQ$6:$AQ$200,'Data Validation'!$V$2, 'Data entry'!$AP$6:$AP$200,'Data Validation'!$U$4, 'Data entry'!$BD$6:$BD$200,"&lt;&gt;*Negative*"))))</f>
        <v/>
      </c>
      <c r="J148" t="str">
        <f>IF($C148="","",(SUM(COUNTIFS('Data entry'!$R$6:$R$200,$C148,'Data entry'!$B$6:$B$200,{"Confirmed";"Probable"},'Data entry'!$AQ$6:$AQ$200,'Data Validation'!$V$2, 'Data entry'!$AP$6:$AP$200,'Data Validation'!$U$5, 'Data entry'!$BD$6:$BD$200,"&lt;&gt;*Negative*"))))</f>
        <v/>
      </c>
      <c r="K148" t="str">
        <f>IF($C148="","",(SUM(COUNTIFS('Data entry'!$R$6:$R$200,$C148,'Data entry'!$B$6:$B$200,{"Confirmed";"Probable"},'Data entry'!$AQ$6:$AQ$200,'Data Validation'!$V$2, 'Data entry'!$AP$6:$AP$200,'Data Validation'!$U$6, 'Data entry'!$BD$6:$BD$200,"&lt;&gt;*Negative*"))))</f>
        <v/>
      </c>
      <c r="L148" t="str">
        <f>IF($C148="","",(SUM(COUNTIFS('Data entry'!$R$6:$R$200,$C148,'Data entry'!$B$6:$B$200,{"Confirmed";"Probable"},'Data entry'!$AQ$6:$AQ$200,'Data Validation'!$V$3, 'Data entry'!$AP$6:$AP$200,'Data Validation'!$U$2, 'Data entry'!$BD$6:$BD$200,"&lt;&gt;*Negative*"))))</f>
        <v/>
      </c>
      <c r="M148" t="str">
        <f>IF($C148="","",(SUM(COUNTIFS('Data entry'!$R$6:$R$200,$C148,'Data entry'!$B$6:$B$200,{"Confirmed";"Probable"},'Data entry'!$AQ$6:$AQ$200,'Data Validation'!$V$3, 'Data entry'!$AP$6:$AP$200,'Data Validation'!$U$3, 'Data entry'!$BD$6:$BD$200,"&lt;&gt;*Negative*"))))</f>
        <v/>
      </c>
      <c r="N148" t="str">
        <f>IF($C148="","",(SUM(COUNTIFS('Data entry'!$R$6:$R$200,$C148,'Data entry'!$B$6:$B$200,{"Confirmed";"Probable"},'Data entry'!$AQ$6:$AQ$200,'Data Validation'!$V$3, 'Data entry'!$AP$6:$AP$200,'Data Validation'!$U$4, 'Data entry'!$BD$6:$BD$200,"&lt;&gt;*Negative*"))))</f>
        <v/>
      </c>
      <c r="O148" t="str">
        <f>IF($C148="","",(SUM(COUNTIFS('Data entry'!$R$6:$R$200,$C148,'Data entry'!$B$6:$B$200,{"Confirmed";"Probable"},'Data entry'!$AQ$6:$AQ$200,'Data Validation'!$V$3, 'Data entry'!$AP$6:$AP$200,'Data Validation'!$U$5, 'Data entry'!$BD$6:$BD$200,"&lt;&gt;*Negative*"))))</f>
        <v/>
      </c>
      <c r="P148" t="str">
        <f>IF($C148="","",(SUM(COUNTIFS('Data entry'!$R$6:$R$200,$C148,'Data entry'!$B$6:$B$200,{"Confirmed";"Probable"},'Data entry'!$AQ$6:$AQ$200,'Data Validation'!$V$3, 'Data entry'!$AP$6:$AP$200,'Data Validation'!$U$6, 'Data entry'!$BD$6:$BD$200,"&lt;&gt;*Negative*"))))</f>
        <v/>
      </c>
    </row>
    <row r="149" spans="1:16" ht="15.6" x14ac:dyDescent="0.35">
      <c r="A149" s="1" t="str">
        <f>IF('Data entry'!B153="","",'Data entry'!B153)</f>
        <v/>
      </c>
      <c r="B149" s="1" t="str">
        <f>IF('Data entry'!O153="","",'Data entry'!O153)</f>
        <v/>
      </c>
      <c r="C149" s="321" t="str">
        <f>IF('Data entry'!R153="","",'Data entry'!R153)</f>
        <v/>
      </c>
      <c r="D149" s="1" t="str">
        <f>IF('Data entry'!AO153="","",'Data entry'!AO153)</f>
        <v/>
      </c>
      <c r="E149" s="1" t="str">
        <f>IF('Data entry'!AP153="","",'Data entry'!AP153)</f>
        <v/>
      </c>
      <c r="F149" s="1" t="str">
        <f>IF('Data entry'!AQ153="","",'Data entry'!AQ153)</f>
        <v/>
      </c>
      <c r="G149" t="str">
        <f>IF($C149="","",(SUM(COUNTIFS('Data entry'!$R$6:$R$200,$C149,'Data entry'!$B$6:$B$200,{"Confirmed";"Probable"},'Data entry'!$AQ$6:$AQ$200,'Data Validation'!$V$2, 'Data entry'!$AP$6:$AP$200,'Data Validation'!$U$2, 'Data entry'!$BD$6:$BD$200,"&lt;&gt;*Negative*"))))</f>
        <v/>
      </c>
      <c r="H149" t="str">
        <f>IF($C149="","",(SUM(COUNTIFS('Data entry'!$R$6:$R$200,$C149,'Data entry'!$B$6:$B$200,{"Confirmed";"Probable"},'Data entry'!$AQ$6:$AQ$200,'Data Validation'!$V$2, 'Data entry'!$AP$6:$AP$200,'Data Validation'!$U$3, 'Data entry'!$BD$6:$BD$200,"&lt;&gt;*Negative*"))))</f>
        <v/>
      </c>
      <c r="I149" t="str">
        <f>IF($C149="","",(SUM(COUNTIFS('Data entry'!$R$6:$R$200,$C149,'Data entry'!$B$6:$B$200,{"Confirmed";"Probable"},'Data entry'!$AQ$6:$AQ$200,'Data Validation'!$V$2, 'Data entry'!$AP$6:$AP$200,'Data Validation'!$U$4, 'Data entry'!$BD$6:$BD$200,"&lt;&gt;*Negative*"))))</f>
        <v/>
      </c>
      <c r="J149" t="str">
        <f>IF($C149="","",(SUM(COUNTIFS('Data entry'!$R$6:$R$200,$C149,'Data entry'!$B$6:$B$200,{"Confirmed";"Probable"},'Data entry'!$AQ$6:$AQ$200,'Data Validation'!$V$2, 'Data entry'!$AP$6:$AP$200,'Data Validation'!$U$5, 'Data entry'!$BD$6:$BD$200,"&lt;&gt;*Negative*"))))</f>
        <v/>
      </c>
      <c r="K149" t="str">
        <f>IF($C149="","",(SUM(COUNTIFS('Data entry'!$R$6:$R$200,$C149,'Data entry'!$B$6:$B$200,{"Confirmed";"Probable"},'Data entry'!$AQ$6:$AQ$200,'Data Validation'!$V$2, 'Data entry'!$AP$6:$AP$200,'Data Validation'!$U$6, 'Data entry'!$BD$6:$BD$200,"&lt;&gt;*Negative*"))))</f>
        <v/>
      </c>
      <c r="L149" t="str">
        <f>IF($C149="","",(SUM(COUNTIFS('Data entry'!$R$6:$R$200,$C149,'Data entry'!$B$6:$B$200,{"Confirmed";"Probable"},'Data entry'!$AQ$6:$AQ$200,'Data Validation'!$V$3, 'Data entry'!$AP$6:$AP$200,'Data Validation'!$U$2, 'Data entry'!$BD$6:$BD$200,"&lt;&gt;*Negative*"))))</f>
        <v/>
      </c>
      <c r="M149" t="str">
        <f>IF($C149="","",(SUM(COUNTIFS('Data entry'!$R$6:$R$200,$C149,'Data entry'!$B$6:$B$200,{"Confirmed";"Probable"},'Data entry'!$AQ$6:$AQ$200,'Data Validation'!$V$3, 'Data entry'!$AP$6:$AP$200,'Data Validation'!$U$3, 'Data entry'!$BD$6:$BD$200,"&lt;&gt;*Negative*"))))</f>
        <v/>
      </c>
      <c r="N149" t="str">
        <f>IF($C149="","",(SUM(COUNTIFS('Data entry'!$R$6:$R$200,$C149,'Data entry'!$B$6:$B$200,{"Confirmed";"Probable"},'Data entry'!$AQ$6:$AQ$200,'Data Validation'!$V$3, 'Data entry'!$AP$6:$AP$200,'Data Validation'!$U$4, 'Data entry'!$BD$6:$BD$200,"&lt;&gt;*Negative*"))))</f>
        <v/>
      </c>
      <c r="O149" t="str">
        <f>IF($C149="","",(SUM(COUNTIFS('Data entry'!$R$6:$R$200,$C149,'Data entry'!$B$6:$B$200,{"Confirmed";"Probable"},'Data entry'!$AQ$6:$AQ$200,'Data Validation'!$V$3, 'Data entry'!$AP$6:$AP$200,'Data Validation'!$U$5, 'Data entry'!$BD$6:$BD$200,"&lt;&gt;*Negative*"))))</f>
        <v/>
      </c>
      <c r="P149" t="str">
        <f>IF($C149="","",(SUM(COUNTIFS('Data entry'!$R$6:$R$200,$C149,'Data entry'!$B$6:$B$200,{"Confirmed";"Probable"},'Data entry'!$AQ$6:$AQ$200,'Data Validation'!$V$3, 'Data entry'!$AP$6:$AP$200,'Data Validation'!$U$6, 'Data entry'!$BD$6:$BD$200,"&lt;&gt;*Negative*"))))</f>
        <v/>
      </c>
    </row>
    <row r="150" spans="1:16" ht="15.6" x14ac:dyDescent="0.35">
      <c r="A150" s="1" t="str">
        <f>IF('Data entry'!B154="","",'Data entry'!B154)</f>
        <v/>
      </c>
      <c r="B150" s="1" t="str">
        <f>IF('Data entry'!O154="","",'Data entry'!O154)</f>
        <v/>
      </c>
      <c r="C150" s="321" t="str">
        <f>IF('Data entry'!R154="","",'Data entry'!R154)</f>
        <v/>
      </c>
      <c r="D150" s="1" t="str">
        <f>IF('Data entry'!AO154="","",'Data entry'!AO154)</f>
        <v/>
      </c>
      <c r="E150" s="1" t="str">
        <f>IF('Data entry'!AP154="","",'Data entry'!AP154)</f>
        <v/>
      </c>
      <c r="F150" s="1" t="str">
        <f>IF('Data entry'!AQ154="","",'Data entry'!AQ154)</f>
        <v/>
      </c>
      <c r="G150" t="str">
        <f>IF($C150="","",(SUM(COUNTIFS('Data entry'!$R$6:$R$200,$C150,'Data entry'!$B$6:$B$200,{"Confirmed";"Probable"},'Data entry'!$AQ$6:$AQ$200,'Data Validation'!$V$2, 'Data entry'!$AP$6:$AP$200,'Data Validation'!$U$2, 'Data entry'!$BD$6:$BD$200,"&lt;&gt;*Negative*"))))</f>
        <v/>
      </c>
      <c r="H150" t="str">
        <f>IF($C150="","",(SUM(COUNTIFS('Data entry'!$R$6:$R$200,$C150,'Data entry'!$B$6:$B$200,{"Confirmed";"Probable"},'Data entry'!$AQ$6:$AQ$200,'Data Validation'!$V$2, 'Data entry'!$AP$6:$AP$200,'Data Validation'!$U$3, 'Data entry'!$BD$6:$BD$200,"&lt;&gt;*Negative*"))))</f>
        <v/>
      </c>
      <c r="I150" t="str">
        <f>IF($C150="","",(SUM(COUNTIFS('Data entry'!$R$6:$R$200,$C150,'Data entry'!$B$6:$B$200,{"Confirmed";"Probable"},'Data entry'!$AQ$6:$AQ$200,'Data Validation'!$V$2, 'Data entry'!$AP$6:$AP$200,'Data Validation'!$U$4, 'Data entry'!$BD$6:$BD$200,"&lt;&gt;*Negative*"))))</f>
        <v/>
      </c>
      <c r="J150" t="str">
        <f>IF($C150="","",(SUM(COUNTIFS('Data entry'!$R$6:$R$200,$C150,'Data entry'!$B$6:$B$200,{"Confirmed";"Probable"},'Data entry'!$AQ$6:$AQ$200,'Data Validation'!$V$2, 'Data entry'!$AP$6:$AP$200,'Data Validation'!$U$5, 'Data entry'!$BD$6:$BD$200,"&lt;&gt;*Negative*"))))</f>
        <v/>
      </c>
      <c r="K150" t="str">
        <f>IF($C150="","",(SUM(COUNTIFS('Data entry'!$R$6:$R$200,$C150,'Data entry'!$B$6:$B$200,{"Confirmed";"Probable"},'Data entry'!$AQ$6:$AQ$200,'Data Validation'!$V$2, 'Data entry'!$AP$6:$AP$200,'Data Validation'!$U$6, 'Data entry'!$BD$6:$BD$200,"&lt;&gt;*Negative*"))))</f>
        <v/>
      </c>
      <c r="L150" t="str">
        <f>IF($C150="","",(SUM(COUNTIFS('Data entry'!$R$6:$R$200,$C150,'Data entry'!$B$6:$B$200,{"Confirmed";"Probable"},'Data entry'!$AQ$6:$AQ$200,'Data Validation'!$V$3, 'Data entry'!$AP$6:$AP$200,'Data Validation'!$U$2, 'Data entry'!$BD$6:$BD$200,"&lt;&gt;*Negative*"))))</f>
        <v/>
      </c>
      <c r="M150" t="str">
        <f>IF($C150="","",(SUM(COUNTIFS('Data entry'!$R$6:$R$200,$C150,'Data entry'!$B$6:$B$200,{"Confirmed";"Probable"},'Data entry'!$AQ$6:$AQ$200,'Data Validation'!$V$3, 'Data entry'!$AP$6:$AP$200,'Data Validation'!$U$3, 'Data entry'!$BD$6:$BD$200,"&lt;&gt;*Negative*"))))</f>
        <v/>
      </c>
      <c r="N150" t="str">
        <f>IF($C150="","",(SUM(COUNTIFS('Data entry'!$R$6:$R$200,$C150,'Data entry'!$B$6:$B$200,{"Confirmed";"Probable"},'Data entry'!$AQ$6:$AQ$200,'Data Validation'!$V$3, 'Data entry'!$AP$6:$AP$200,'Data Validation'!$U$4, 'Data entry'!$BD$6:$BD$200,"&lt;&gt;*Negative*"))))</f>
        <v/>
      </c>
      <c r="O150" t="str">
        <f>IF($C150="","",(SUM(COUNTIFS('Data entry'!$R$6:$R$200,$C150,'Data entry'!$B$6:$B$200,{"Confirmed";"Probable"},'Data entry'!$AQ$6:$AQ$200,'Data Validation'!$V$3, 'Data entry'!$AP$6:$AP$200,'Data Validation'!$U$5, 'Data entry'!$BD$6:$BD$200,"&lt;&gt;*Negative*"))))</f>
        <v/>
      </c>
      <c r="P150" t="str">
        <f>IF($C150="","",(SUM(COUNTIFS('Data entry'!$R$6:$R$200,$C150,'Data entry'!$B$6:$B$200,{"Confirmed";"Probable"},'Data entry'!$AQ$6:$AQ$200,'Data Validation'!$V$3, 'Data entry'!$AP$6:$AP$200,'Data Validation'!$U$6, 'Data entry'!$BD$6:$BD$200,"&lt;&gt;*Negative*"))))</f>
        <v/>
      </c>
    </row>
    <row r="151" spans="1:16" ht="15.6" x14ac:dyDescent="0.35">
      <c r="A151" s="1" t="str">
        <f>IF('Data entry'!B155="","",'Data entry'!B155)</f>
        <v/>
      </c>
      <c r="B151" s="1" t="str">
        <f>IF('Data entry'!O155="","",'Data entry'!O155)</f>
        <v/>
      </c>
      <c r="C151" s="321" t="str">
        <f>IF('Data entry'!R155="","",'Data entry'!R155)</f>
        <v/>
      </c>
      <c r="D151" s="1" t="str">
        <f>IF('Data entry'!AO155="","",'Data entry'!AO155)</f>
        <v/>
      </c>
      <c r="E151" s="1" t="str">
        <f>IF('Data entry'!AP155="","",'Data entry'!AP155)</f>
        <v/>
      </c>
      <c r="F151" s="1" t="str">
        <f>IF('Data entry'!AQ155="","",'Data entry'!AQ155)</f>
        <v/>
      </c>
      <c r="G151" t="str">
        <f>IF($C151="","",(SUM(COUNTIFS('Data entry'!$R$6:$R$200,$C151,'Data entry'!$B$6:$B$200,{"Confirmed";"Probable"},'Data entry'!$AQ$6:$AQ$200,'Data Validation'!$V$2, 'Data entry'!$AP$6:$AP$200,'Data Validation'!$U$2, 'Data entry'!$BD$6:$BD$200,"&lt;&gt;*Negative*"))))</f>
        <v/>
      </c>
      <c r="H151" t="str">
        <f>IF($C151="","",(SUM(COUNTIFS('Data entry'!$R$6:$R$200,$C151,'Data entry'!$B$6:$B$200,{"Confirmed";"Probable"},'Data entry'!$AQ$6:$AQ$200,'Data Validation'!$V$2, 'Data entry'!$AP$6:$AP$200,'Data Validation'!$U$3, 'Data entry'!$BD$6:$BD$200,"&lt;&gt;*Negative*"))))</f>
        <v/>
      </c>
      <c r="I151" t="str">
        <f>IF($C151="","",(SUM(COUNTIFS('Data entry'!$R$6:$R$200,$C151,'Data entry'!$B$6:$B$200,{"Confirmed";"Probable"},'Data entry'!$AQ$6:$AQ$200,'Data Validation'!$V$2, 'Data entry'!$AP$6:$AP$200,'Data Validation'!$U$4, 'Data entry'!$BD$6:$BD$200,"&lt;&gt;*Negative*"))))</f>
        <v/>
      </c>
      <c r="J151" t="str">
        <f>IF($C151="","",(SUM(COUNTIFS('Data entry'!$R$6:$R$200,$C151,'Data entry'!$B$6:$B$200,{"Confirmed";"Probable"},'Data entry'!$AQ$6:$AQ$200,'Data Validation'!$V$2, 'Data entry'!$AP$6:$AP$200,'Data Validation'!$U$5, 'Data entry'!$BD$6:$BD$200,"&lt;&gt;*Negative*"))))</f>
        <v/>
      </c>
      <c r="K151" t="str">
        <f>IF($C151="","",(SUM(COUNTIFS('Data entry'!$R$6:$R$200,$C151,'Data entry'!$B$6:$B$200,{"Confirmed";"Probable"},'Data entry'!$AQ$6:$AQ$200,'Data Validation'!$V$2, 'Data entry'!$AP$6:$AP$200,'Data Validation'!$U$6, 'Data entry'!$BD$6:$BD$200,"&lt;&gt;*Negative*"))))</f>
        <v/>
      </c>
      <c r="L151" t="str">
        <f>IF($C151="","",(SUM(COUNTIFS('Data entry'!$R$6:$R$200,$C151,'Data entry'!$B$6:$B$200,{"Confirmed";"Probable"},'Data entry'!$AQ$6:$AQ$200,'Data Validation'!$V$3, 'Data entry'!$AP$6:$AP$200,'Data Validation'!$U$2, 'Data entry'!$BD$6:$BD$200,"&lt;&gt;*Negative*"))))</f>
        <v/>
      </c>
      <c r="M151" t="str">
        <f>IF($C151="","",(SUM(COUNTIFS('Data entry'!$R$6:$R$200,$C151,'Data entry'!$B$6:$B$200,{"Confirmed";"Probable"},'Data entry'!$AQ$6:$AQ$200,'Data Validation'!$V$3, 'Data entry'!$AP$6:$AP$200,'Data Validation'!$U$3, 'Data entry'!$BD$6:$BD$200,"&lt;&gt;*Negative*"))))</f>
        <v/>
      </c>
      <c r="N151" t="str">
        <f>IF($C151="","",(SUM(COUNTIFS('Data entry'!$R$6:$R$200,$C151,'Data entry'!$B$6:$B$200,{"Confirmed";"Probable"},'Data entry'!$AQ$6:$AQ$200,'Data Validation'!$V$3, 'Data entry'!$AP$6:$AP$200,'Data Validation'!$U$4, 'Data entry'!$BD$6:$BD$200,"&lt;&gt;*Negative*"))))</f>
        <v/>
      </c>
      <c r="O151" t="str">
        <f>IF($C151="","",(SUM(COUNTIFS('Data entry'!$R$6:$R$200,$C151,'Data entry'!$B$6:$B$200,{"Confirmed";"Probable"},'Data entry'!$AQ$6:$AQ$200,'Data Validation'!$V$3, 'Data entry'!$AP$6:$AP$200,'Data Validation'!$U$5, 'Data entry'!$BD$6:$BD$200,"&lt;&gt;*Negative*"))))</f>
        <v/>
      </c>
      <c r="P151" t="str">
        <f>IF($C151="","",(SUM(COUNTIFS('Data entry'!$R$6:$R$200,$C151,'Data entry'!$B$6:$B$200,{"Confirmed";"Probable"},'Data entry'!$AQ$6:$AQ$200,'Data Validation'!$V$3, 'Data entry'!$AP$6:$AP$200,'Data Validation'!$U$6, 'Data entry'!$BD$6:$BD$200,"&lt;&gt;*Negative*"))))</f>
        <v/>
      </c>
    </row>
    <row r="152" spans="1:16" ht="15.6" x14ac:dyDescent="0.35">
      <c r="A152" s="1" t="str">
        <f>IF('Data entry'!B156="","",'Data entry'!B156)</f>
        <v/>
      </c>
      <c r="B152" s="1" t="str">
        <f>IF('Data entry'!O156="","",'Data entry'!O156)</f>
        <v/>
      </c>
      <c r="C152" s="321" t="str">
        <f>IF('Data entry'!R156="","",'Data entry'!R156)</f>
        <v/>
      </c>
      <c r="D152" s="1" t="str">
        <f>IF('Data entry'!AO156="","",'Data entry'!AO156)</f>
        <v/>
      </c>
      <c r="E152" s="1" t="str">
        <f>IF('Data entry'!AP156="","",'Data entry'!AP156)</f>
        <v/>
      </c>
      <c r="F152" s="1" t="str">
        <f>IF('Data entry'!AQ156="","",'Data entry'!AQ156)</f>
        <v/>
      </c>
      <c r="G152" t="str">
        <f>IF($C152="","",(SUM(COUNTIFS('Data entry'!$R$6:$R$200,$C152,'Data entry'!$B$6:$B$200,{"Confirmed";"Probable"},'Data entry'!$AQ$6:$AQ$200,'Data Validation'!$V$2, 'Data entry'!$AP$6:$AP$200,'Data Validation'!$U$2, 'Data entry'!$BD$6:$BD$200,"&lt;&gt;*Negative*"))))</f>
        <v/>
      </c>
      <c r="H152" t="str">
        <f>IF($C152="","",(SUM(COUNTIFS('Data entry'!$R$6:$R$200,$C152,'Data entry'!$B$6:$B$200,{"Confirmed";"Probable"},'Data entry'!$AQ$6:$AQ$200,'Data Validation'!$V$2, 'Data entry'!$AP$6:$AP$200,'Data Validation'!$U$3, 'Data entry'!$BD$6:$BD$200,"&lt;&gt;*Negative*"))))</f>
        <v/>
      </c>
      <c r="I152" t="str">
        <f>IF($C152="","",(SUM(COUNTIFS('Data entry'!$R$6:$R$200,$C152,'Data entry'!$B$6:$B$200,{"Confirmed";"Probable"},'Data entry'!$AQ$6:$AQ$200,'Data Validation'!$V$2, 'Data entry'!$AP$6:$AP$200,'Data Validation'!$U$4, 'Data entry'!$BD$6:$BD$200,"&lt;&gt;*Negative*"))))</f>
        <v/>
      </c>
      <c r="J152" t="str">
        <f>IF($C152="","",(SUM(COUNTIFS('Data entry'!$R$6:$R$200,$C152,'Data entry'!$B$6:$B$200,{"Confirmed";"Probable"},'Data entry'!$AQ$6:$AQ$200,'Data Validation'!$V$2, 'Data entry'!$AP$6:$AP$200,'Data Validation'!$U$5, 'Data entry'!$BD$6:$BD$200,"&lt;&gt;*Negative*"))))</f>
        <v/>
      </c>
      <c r="K152" t="str">
        <f>IF($C152="","",(SUM(COUNTIFS('Data entry'!$R$6:$R$200,$C152,'Data entry'!$B$6:$B$200,{"Confirmed";"Probable"},'Data entry'!$AQ$6:$AQ$200,'Data Validation'!$V$2, 'Data entry'!$AP$6:$AP$200,'Data Validation'!$U$6, 'Data entry'!$BD$6:$BD$200,"&lt;&gt;*Negative*"))))</f>
        <v/>
      </c>
      <c r="L152" t="str">
        <f>IF($C152="","",(SUM(COUNTIFS('Data entry'!$R$6:$R$200,$C152,'Data entry'!$B$6:$B$200,{"Confirmed";"Probable"},'Data entry'!$AQ$6:$AQ$200,'Data Validation'!$V$3, 'Data entry'!$AP$6:$AP$200,'Data Validation'!$U$2, 'Data entry'!$BD$6:$BD$200,"&lt;&gt;*Negative*"))))</f>
        <v/>
      </c>
      <c r="M152" t="str">
        <f>IF($C152="","",(SUM(COUNTIFS('Data entry'!$R$6:$R$200,$C152,'Data entry'!$B$6:$B$200,{"Confirmed";"Probable"},'Data entry'!$AQ$6:$AQ$200,'Data Validation'!$V$3, 'Data entry'!$AP$6:$AP$200,'Data Validation'!$U$3, 'Data entry'!$BD$6:$BD$200,"&lt;&gt;*Negative*"))))</f>
        <v/>
      </c>
      <c r="N152" t="str">
        <f>IF($C152="","",(SUM(COUNTIFS('Data entry'!$R$6:$R$200,$C152,'Data entry'!$B$6:$B$200,{"Confirmed";"Probable"},'Data entry'!$AQ$6:$AQ$200,'Data Validation'!$V$3, 'Data entry'!$AP$6:$AP$200,'Data Validation'!$U$4, 'Data entry'!$BD$6:$BD$200,"&lt;&gt;*Negative*"))))</f>
        <v/>
      </c>
      <c r="O152" t="str">
        <f>IF($C152="","",(SUM(COUNTIFS('Data entry'!$R$6:$R$200,$C152,'Data entry'!$B$6:$B$200,{"Confirmed";"Probable"},'Data entry'!$AQ$6:$AQ$200,'Data Validation'!$V$3, 'Data entry'!$AP$6:$AP$200,'Data Validation'!$U$5, 'Data entry'!$BD$6:$BD$200,"&lt;&gt;*Negative*"))))</f>
        <v/>
      </c>
      <c r="P152" t="str">
        <f>IF($C152="","",(SUM(COUNTIFS('Data entry'!$R$6:$R$200,$C152,'Data entry'!$B$6:$B$200,{"Confirmed";"Probable"},'Data entry'!$AQ$6:$AQ$200,'Data Validation'!$V$3, 'Data entry'!$AP$6:$AP$200,'Data Validation'!$U$6, 'Data entry'!$BD$6:$BD$200,"&lt;&gt;*Negative*"))))</f>
        <v/>
      </c>
    </row>
    <row r="153" spans="1:16" ht="15.6" x14ac:dyDescent="0.35">
      <c r="A153" s="1" t="str">
        <f>IF('Data entry'!B157="","",'Data entry'!B157)</f>
        <v/>
      </c>
      <c r="B153" s="1" t="str">
        <f>IF('Data entry'!O157="","",'Data entry'!O157)</f>
        <v/>
      </c>
      <c r="C153" s="321" t="str">
        <f>IF('Data entry'!R157="","",'Data entry'!R157)</f>
        <v/>
      </c>
      <c r="D153" s="1" t="str">
        <f>IF('Data entry'!AO157="","",'Data entry'!AO157)</f>
        <v/>
      </c>
      <c r="E153" s="1" t="str">
        <f>IF('Data entry'!AP157="","",'Data entry'!AP157)</f>
        <v/>
      </c>
      <c r="F153" s="1" t="str">
        <f>IF('Data entry'!AQ157="","",'Data entry'!AQ157)</f>
        <v/>
      </c>
      <c r="G153" t="str">
        <f>IF($C153="","",(SUM(COUNTIFS('Data entry'!$R$6:$R$200,$C153,'Data entry'!$B$6:$B$200,{"Confirmed";"Probable"},'Data entry'!$AQ$6:$AQ$200,'Data Validation'!$V$2, 'Data entry'!$AP$6:$AP$200,'Data Validation'!$U$2, 'Data entry'!$BD$6:$BD$200,"&lt;&gt;*Negative*"))))</f>
        <v/>
      </c>
      <c r="H153" t="str">
        <f>IF($C153="","",(SUM(COUNTIFS('Data entry'!$R$6:$R$200,$C153,'Data entry'!$B$6:$B$200,{"Confirmed";"Probable"},'Data entry'!$AQ$6:$AQ$200,'Data Validation'!$V$2, 'Data entry'!$AP$6:$AP$200,'Data Validation'!$U$3, 'Data entry'!$BD$6:$BD$200,"&lt;&gt;*Negative*"))))</f>
        <v/>
      </c>
      <c r="I153" t="str">
        <f>IF($C153="","",(SUM(COUNTIFS('Data entry'!$R$6:$R$200,$C153,'Data entry'!$B$6:$B$200,{"Confirmed";"Probable"},'Data entry'!$AQ$6:$AQ$200,'Data Validation'!$V$2, 'Data entry'!$AP$6:$AP$200,'Data Validation'!$U$4, 'Data entry'!$BD$6:$BD$200,"&lt;&gt;*Negative*"))))</f>
        <v/>
      </c>
      <c r="J153" t="str">
        <f>IF($C153="","",(SUM(COUNTIFS('Data entry'!$R$6:$R$200,$C153,'Data entry'!$B$6:$B$200,{"Confirmed";"Probable"},'Data entry'!$AQ$6:$AQ$200,'Data Validation'!$V$2, 'Data entry'!$AP$6:$AP$200,'Data Validation'!$U$5, 'Data entry'!$BD$6:$BD$200,"&lt;&gt;*Negative*"))))</f>
        <v/>
      </c>
      <c r="K153" t="str">
        <f>IF($C153="","",(SUM(COUNTIFS('Data entry'!$R$6:$R$200,$C153,'Data entry'!$B$6:$B$200,{"Confirmed";"Probable"},'Data entry'!$AQ$6:$AQ$200,'Data Validation'!$V$2, 'Data entry'!$AP$6:$AP$200,'Data Validation'!$U$6, 'Data entry'!$BD$6:$BD$200,"&lt;&gt;*Negative*"))))</f>
        <v/>
      </c>
      <c r="L153" t="str">
        <f>IF($C153="","",(SUM(COUNTIFS('Data entry'!$R$6:$R$200,$C153,'Data entry'!$B$6:$B$200,{"Confirmed";"Probable"},'Data entry'!$AQ$6:$AQ$200,'Data Validation'!$V$3, 'Data entry'!$AP$6:$AP$200,'Data Validation'!$U$2, 'Data entry'!$BD$6:$BD$200,"&lt;&gt;*Negative*"))))</f>
        <v/>
      </c>
      <c r="M153" t="str">
        <f>IF($C153="","",(SUM(COUNTIFS('Data entry'!$R$6:$R$200,$C153,'Data entry'!$B$6:$B$200,{"Confirmed";"Probable"},'Data entry'!$AQ$6:$AQ$200,'Data Validation'!$V$3, 'Data entry'!$AP$6:$AP$200,'Data Validation'!$U$3, 'Data entry'!$BD$6:$BD$200,"&lt;&gt;*Negative*"))))</f>
        <v/>
      </c>
      <c r="N153" t="str">
        <f>IF($C153="","",(SUM(COUNTIFS('Data entry'!$R$6:$R$200,$C153,'Data entry'!$B$6:$B$200,{"Confirmed";"Probable"},'Data entry'!$AQ$6:$AQ$200,'Data Validation'!$V$3, 'Data entry'!$AP$6:$AP$200,'Data Validation'!$U$4, 'Data entry'!$BD$6:$BD$200,"&lt;&gt;*Negative*"))))</f>
        <v/>
      </c>
      <c r="O153" t="str">
        <f>IF($C153="","",(SUM(COUNTIFS('Data entry'!$R$6:$R$200,$C153,'Data entry'!$B$6:$B$200,{"Confirmed";"Probable"},'Data entry'!$AQ$6:$AQ$200,'Data Validation'!$V$3, 'Data entry'!$AP$6:$AP$200,'Data Validation'!$U$5, 'Data entry'!$BD$6:$BD$200,"&lt;&gt;*Negative*"))))</f>
        <v/>
      </c>
      <c r="P153" t="str">
        <f>IF($C153="","",(SUM(COUNTIFS('Data entry'!$R$6:$R$200,$C153,'Data entry'!$B$6:$B$200,{"Confirmed";"Probable"},'Data entry'!$AQ$6:$AQ$200,'Data Validation'!$V$3, 'Data entry'!$AP$6:$AP$200,'Data Validation'!$U$6, 'Data entry'!$BD$6:$BD$200,"&lt;&gt;*Negative*"))))</f>
        <v/>
      </c>
    </row>
    <row r="154" spans="1:16" ht="15.6" x14ac:dyDescent="0.35">
      <c r="A154" s="1" t="str">
        <f>IF('Data entry'!B158="","",'Data entry'!B158)</f>
        <v/>
      </c>
      <c r="B154" s="1" t="str">
        <f>IF('Data entry'!O158="","",'Data entry'!O158)</f>
        <v/>
      </c>
      <c r="C154" s="321" t="str">
        <f>IF('Data entry'!R158="","",'Data entry'!R158)</f>
        <v/>
      </c>
      <c r="D154" s="1" t="str">
        <f>IF('Data entry'!AO158="","",'Data entry'!AO158)</f>
        <v/>
      </c>
      <c r="E154" s="1" t="str">
        <f>IF('Data entry'!AP158="","",'Data entry'!AP158)</f>
        <v/>
      </c>
      <c r="F154" s="1" t="str">
        <f>IF('Data entry'!AQ158="","",'Data entry'!AQ158)</f>
        <v/>
      </c>
      <c r="G154" t="str">
        <f>IF($C154="","",(SUM(COUNTIFS('Data entry'!$R$6:$R$200,$C154,'Data entry'!$B$6:$B$200,{"Confirmed";"Probable"},'Data entry'!$AQ$6:$AQ$200,'Data Validation'!$V$2, 'Data entry'!$AP$6:$AP$200,'Data Validation'!$U$2, 'Data entry'!$BD$6:$BD$200,"&lt;&gt;*Negative*"))))</f>
        <v/>
      </c>
      <c r="H154" t="str">
        <f>IF($C154="","",(SUM(COUNTIFS('Data entry'!$R$6:$R$200,$C154,'Data entry'!$B$6:$B$200,{"Confirmed";"Probable"},'Data entry'!$AQ$6:$AQ$200,'Data Validation'!$V$2, 'Data entry'!$AP$6:$AP$200,'Data Validation'!$U$3, 'Data entry'!$BD$6:$BD$200,"&lt;&gt;*Negative*"))))</f>
        <v/>
      </c>
      <c r="I154" t="str">
        <f>IF($C154="","",(SUM(COUNTIFS('Data entry'!$R$6:$R$200,$C154,'Data entry'!$B$6:$B$200,{"Confirmed";"Probable"},'Data entry'!$AQ$6:$AQ$200,'Data Validation'!$V$2, 'Data entry'!$AP$6:$AP$200,'Data Validation'!$U$4, 'Data entry'!$BD$6:$BD$200,"&lt;&gt;*Negative*"))))</f>
        <v/>
      </c>
      <c r="J154" t="str">
        <f>IF($C154="","",(SUM(COUNTIFS('Data entry'!$R$6:$R$200,$C154,'Data entry'!$B$6:$B$200,{"Confirmed";"Probable"},'Data entry'!$AQ$6:$AQ$200,'Data Validation'!$V$2, 'Data entry'!$AP$6:$AP$200,'Data Validation'!$U$5, 'Data entry'!$BD$6:$BD$200,"&lt;&gt;*Negative*"))))</f>
        <v/>
      </c>
      <c r="K154" t="str">
        <f>IF($C154="","",(SUM(COUNTIFS('Data entry'!$R$6:$R$200,$C154,'Data entry'!$B$6:$B$200,{"Confirmed";"Probable"},'Data entry'!$AQ$6:$AQ$200,'Data Validation'!$V$2, 'Data entry'!$AP$6:$AP$200,'Data Validation'!$U$6, 'Data entry'!$BD$6:$BD$200,"&lt;&gt;*Negative*"))))</f>
        <v/>
      </c>
      <c r="L154" t="str">
        <f>IF($C154="","",(SUM(COUNTIFS('Data entry'!$R$6:$R$200,$C154,'Data entry'!$B$6:$B$200,{"Confirmed";"Probable"},'Data entry'!$AQ$6:$AQ$200,'Data Validation'!$V$3, 'Data entry'!$AP$6:$AP$200,'Data Validation'!$U$2, 'Data entry'!$BD$6:$BD$200,"&lt;&gt;*Negative*"))))</f>
        <v/>
      </c>
      <c r="M154" t="str">
        <f>IF($C154="","",(SUM(COUNTIFS('Data entry'!$R$6:$R$200,$C154,'Data entry'!$B$6:$B$200,{"Confirmed";"Probable"},'Data entry'!$AQ$6:$AQ$200,'Data Validation'!$V$3, 'Data entry'!$AP$6:$AP$200,'Data Validation'!$U$3, 'Data entry'!$BD$6:$BD$200,"&lt;&gt;*Negative*"))))</f>
        <v/>
      </c>
      <c r="N154" t="str">
        <f>IF($C154="","",(SUM(COUNTIFS('Data entry'!$R$6:$R$200,$C154,'Data entry'!$B$6:$B$200,{"Confirmed";"Probable"},'Data entry'!$AQ$6:$AQ$200,'Data Validation'!$V$3, 'Data entry'!$AP$6:$AP$200,'Data Validation'!$U$4, 'Data entry'!$BD$6:$BD$200,"&lt;&gt;*Negative*"))))</f>
        <v/>
      </c>
      <c r="O154" t="str">
        <f>IF($C154="","",(SUM(COUNTIFS('Data entry'!$R$6:$R$200,$C154,'Data entry'!$B$6:$B$200,{"Confirmed";"Probable"},'Data entry'!$AQ$6:$AQ$200,'Data Validation'!$V$3, 'Data entry'!$AP$6:$AP$200,'Data Validation'!$U$5, 'Data entry'!$BD$6:$BD$200,"&lt;&gt;*Negative*"))))</f>
        <v/>
      </c>
      <c r="P154" t="str">
        <f>IF($C154="","",(SUM(COUNTIFS('Data entry'!$R$6:$R$200,$C154,'Data entry'!$B$6:$B$200,{"Confirmed";"Probable"},'Data entry'!$AQ$6:$AQ$200,'Data Validation'!$V$3, 'Data entry'!$AP$6:$AP$200,'Data Validation'!$U$6, 'Data entry'!$BD$6:$BD$200,"&lt;&gt;*Negative*"))))</f>
        <v/>
      </c>
    </row>
    <row r="155" spans="1:16" ht="15.6" x14ac:dyDescent="0.35">
      <c r="A155" s="1" t="str">
        <f>IF('Data entry'!B159="","",'Data entry'!B159)</f>
        <v/>
      </c>
      <c r="B155" s="1" t="str">
        <f>IF('Data entry'!O159="","",'Data entry'!O159)</f>
        <v/>
      </c>
      <c r="C155" s="321" t="str">
        <f>IF('Data entry'!R159="","",'Data entry'!R159)</f>
        <v/>
      </c>
      <c r="D155" s="1" t="str">
        <f>IF('Data entry'!AO159="","",'Data entry'!AO159)</f>
        <v/>
      </c>
      <c r="E155" s="1" t="str">
        <f>IF('Data entry'!AP159="","",'Data entry'!AP159)</f>
        <v/>
      </c>
      <c r="F155" s="1" t="str">
        <f>IF('Data entry'!AQ159="","",'Data entry'!AQ159)</f>
        <v/>
      </c>
      <c r="G155" t="str">
        <f>IF($C155="","",(SUM(COUNTIFS('Data entry'!$R$6:$R$200,$C155,'Data entry'!$B$6:$B$200,{"Confirmed";"Probable"},'Data entry'!$AQ$6:$AQ$200,'Data Validation'!$V$2, 'Data entry'!$AP$6:$AP$200,'Data Validation'!$U$2, 'Data entry'!$BD$6:$BD$200,"&lt;&gt;*Negative*"))))</f>
        <v/>
      </c>
      <c r="H155" t="str">
        <f>IF($C155="","",(SUM(COUNTIFS('Data entry'!$R$6:$R$200,$C155,'Data entry'!$B$6:$B$200,{"Confirmed";"Probable"},'Data entry'!$AQ$6:$AQ$200,'Data Validation'!$V$2, 'Data entry'!$AP$6:$AP$200,'Data Validation'!$U$3, 'Data entry'!$BD$6:$BD$200,"&lt;&gt;*Negative*"))))</f>
        <v/>
      </c>
      <c r="I155" t="str">
        <f>IF($C155="","",(SUM(COUNTIFS('Data entry'!$R$6:$R$200,$C155,'Data entry'!$B$6:$B$200,{"Confirmed";"Probable"},'Data entry'!$AQ$6:$AQ$200,'Data Validation'!$V$2, 'Data entry'!$AP$6:$AP$200,'Data Validation'!$U$4, 'Data entry'!$BD$6:$BD$200,"&lt;&gt;*Negative*"))))</f>
        <v/>
      </c>
      <c r="J155" t="str">
        <f>IF($C155="","",(SUM(COUNTIFS('Data entry'!$R$6:$R$200,$C155,'Data entry'!$B$6:$B$200,{"Confirmed";"Probable"},'Data entry'!$AQ$6:$AQ$200,'Data Validation'!$V$2, 'Data entry'!$AP$6:$AP$200,'Data Validation'!$U$5, 'Data entry'!$BD$6:$BD$200,"&lt;&gt;*Negative*"))))</f>
        <v/>
      </c>
      <c r="K155" t="str">
        <f>IF($C155="","",(SUM(COUNTIFS('Data entry'!$R$6:$R$200,$C155,'Data entry'!$B$6:$B$200,{"Confirmed";"Probable"},'Data entry'!$AQ$6:$AQ$200,'Data Validation'!$V$2, 'Data entry'!$AP$6:$AP$200,'Data Validation'!$U$6, 'Data entry'!$BD$6:$BD$200,"&lt;&gt;*Negative*"))))</f>
        <v/>
      </c>
      <c r="L155" t="str">
        <f>IF($C155="","",(SUM(COUNTIFS('Data entry'!$R$6:$R$200,$C155,'Data entry'!$B$6:$B$200,{"Confirmed";"Probable"},'Data entry'!$AQ$6:$AQ$200,'Data Validation'!$V$3, 'Data entry'!$AP$6:$AP$200,'Data Validation'!$U$2, 'Data entry'!$BD$6:$BD$200,"&lt;&gt;*Negative*"))))</f>
        <v/>
      </c>
      <c r="M155" t="str">
        <f>IF($C155="","",(SUM(COUNTIFS('Data entry'!$R$6:$R$200,$C155,'Data entry'!$B$6:$B$200,{"Confirmed";"Probable"},'Data entry'!$AQ$6:$AQ$200,'Data Validation'!$V$3, 'Data entry'!$AP$6:$AP$200,'Data Validation'!$U$3, 'Data entry'!$BD$6:$BD$200,"&lt;&gt;*Negative*"))))</f>
        <v/>
      </c>
      <c r="N155" t="str">
        <f>IF($C155="","",(SUM(COUNTIFS('Data entry'!$R$6:$R$200,$C155,'Data entry'!$B$6:$B$200,{"Confirmed";"Probable"},'Data entry'!$AQ$6:$AQ$200,'Data Validation'!$V$3, 'Data entry'!$AP$6:$AP$200,'Data Validation'!$U$4, 'Data entry'!$BD$6:$BD$200,"&lt;&gt;*Negative*"))))</f>
        <v/>
      </c>
      <c r="O155" t="str">
        <f>IF($C155="","",(SUM(COUNTIFS('Data entry'!$R$6:$R$200,$C155,'Data entry'!$B$6:$B$200,{"Confirmed";"Probable"},'Data entry'!$AQ$6:$AQ$200,'Data Validation'!$V$3, 'Data entry'!$AP$6:$AP$200,'Data Validation'!$U$5, 'Data entry'!$BD$6:$BD$200,"&lt;&gt;*Negative*"))))</f>
        <v/>
      </c>
      <c r="P155" t="str">
        <f>IF($C155="","",(SUM(COUNTIFS('Data entry'!$R$6:$R$200,$C155,'Data entry'!$B$6:$B$200,{"Confirmed";"Probable"},'Data entry'!$AQ$6:$AQ$200,'Data Validation'!$V$3, 'Data entry'!$AP$6:$AP$200,'Data Validation'!$U$6, 'Data entry'!$BD$6:$BD$200,"&lt;&gt;*Negative*"))))</f>
        <v/>
      </c>
    </row>
    <row r="156" spans="1:16" ht="15.6" x14ac:dyDescent="0.35">
      <c r="A156" s="1" t="str">
        <f>IF('Data entry'!B160="","",'Data entry'!B160)</f>
        <v/>
      </c>
      <c r="B156" s="1" t="str">
        <f>IF('Data entry'!O160="","",'Data entry'!O160)</f>
        <v/>
      </c>
      <c r="C156" s="321" t="str">
        <f>IF('Data entry'!R160="","",'Data entry'!R160)</f>
        <v/>
      </c>
      <c r="D156" s="1" t="str">
        <f>IF('Data entry'!AO160="","",'Data entry'!AO160)</f>
        <v/>
      </c>
      <c r="E156" s="1" t="str">
        <f>IF('Data entry'!AP160="","",'Data entry'!AP160)</f>
        <v/>
      </c>
      <c r="F156" s="1" t="str">
        <f>IF('Data entry'!AQ160="","",'Data entry'!AQ160)</f>
        <v/>
      </c>
      <c r="G156" t="str">
        <f>IF($C156="","",(SUM(COUNTIFS('Data entry'!$R$6:$R$200,$C156,'Data entry'!$B$6:$B$200,{"Confirmed";"Probable"},'Data entry'!$AQ$6:$AQ$200,'Data Validation'!$V$2, 'Data entry'!$AP$6:$AP$200,'Data Validation'!$U$2, 'Data entry'!$BD$6:$BD$200,"&lt;&gt;*Negative*"))))</f>
        <v/>
      </c>
      <c r="H156" t="str">
        <f>IF($C156="","",(SUM(COUNTIFS('Data entry'!$R$6:$R$200,$C156,'Data entry'!$B$6:$B$200,{"Confirmed";"Probable"},'Data entry'!$AQ$6:$AQ$200,'Data Validation'!$V$2, 'Data entry'!$AP$6:$AP$200,'Data Validation'!$U$3, 'Data entry'!$BD$6:$BD$200,"&lt;&gt;*Negative*"))))</f>
        <v/>
      </c>
      <c r="I156" t="str">
        <f>IF($C156="","",(SUM(COUNTIFS('Data entry'!$R$6:$R$200,$C156,'Data entry'!$B$6:$B$200,{"Confirmed";"Probable"},'Data entry'!$AQ$6:$AQ$200,'Data Validation'!$V$2, 'Data entry'!$AP$6:$AP$200,'Data Validation'!$U$4, 'Data entry'!$BD$6:$BD$200,"&lt;&gt;*Negative*"))))</f>
        <v/>
      </c>
      <c r="J156" t="str">
        <f>IF($C156="","",(SUM(COUNTIFS('Data entry'!$R$6:$R$200,$C156,'Data entry'!$B$6:$B$200,{"Confirmed";"Probable"},'Data entry'!$AQ$6:$AQ$200,'Data Validation'!$V$2, 'Data entry'!$AP$6:$AP$200,'Data Validation'!$U$5, 'Data entry'!$BD$6:$BD$200,"&lt;&gt;*Negative*"))))</f>
        <v/>
      </c>
      <c r="K156" t="str">
        <f>IF($C156="","",(SUM(COUNTIFS('Data entry'!$R$6:$R$200,$C156,'Data entry'!$B$6:$B$200,{"Confirmed";"Probable"},'Data entry'!$AQ$6:$AQ$200,'Data Validation'!$V$2, 'Data entry'!$AP$6:$AP$200,'Data Validation'!$U$6, 'Data entry'!$BD$6:$BD$200,"&lt;&gt;*Negative*"))))</f>
        <v/>
      </c>
      <c r="L156" t="str">
        <f>IF($C156="","",(SUM(COUNTIFS('Data entry'!$R$6:$R$200,$C156,'Data entry'!$B$6:$B$200,{"Confirmed";"Probable"},'Data entry'!$AQ$6:$AQ$200,'Data Validation'!$V$3, 'Data entry'!$AP$6:$AP$200,'Data Validation'!$U$2, 'Data entry'!$BD$6:$BD$200,"&lt;&gt;*Negative*"))))</f>
        <v/>
      </c>
      <c r="M156" t="str">
        <f>IF($C156="","",(SUM(COUNTIFS('Data entry'!$R$6:$R$200,$C156,'Data entry'!$B$6:$B$200,{"Confirmed";"Probable"},'Data entry'!$AQ$6:$AQ$200,'Data Validation'!$V$3, 'Data entry'!$AP$6:$AP$200,'Data Validation'!$U$3, 'Data entry'!$BD$6:$BD$200,"&lt;&gt;*Negative*"))))</f>
        <v/>
      </c>
      <c r="N156" t="str">
        <f>IF($C156="","",(SUM(COUNTIFS('Data entry'!$R$6:$R$200,$C156,'Data entry'!$B$6:$B$200,{"Confirmed";"Probable"},'Data entry'!$AQ$6:$AQ$200,'Data Validation'!$V$3, 'Data entry'!$AP$6:$AP$200,'Data Validation'!$U$4, 'Data entry'!$BD$6:$BD$200,"&lt;&gt;*Negative*"))))</f>
        <v/>
      </c>
      <c r="O156" t="str">
        <f>IF($C156="","",(SUM(COUNTIFS('Data entry'!$R$6:$R$200,$C156,'Data entry'!$B$6:$B$200,{"Confirmed";"Probable"},'Data entry'!$AQ$6:$AQ$200,'Data Validation'!$V$3, 'Data entry'!$AP$6:$AP$200,'Data Validation'!$U$5, 'Data entry'!$BD$6:$BD$200,"&lt;&gt;*Negative*"))))</f>
        <v/>
      </c>
      <c r="P156" t="str">
        <f>IF($C156="","",(SUM(COUNTIFS('Data entry'!$R$6:$R$200,$C156,'Data entry'!$B$6:$B$200,{"Confirmed";"Probable"},'Data entry'!$AQ$6:$AQ$200,'Data Validation'!$V$3, 'Data entry'!$AP$6:$AP$200,'Data Validation'!$U$6, 'Data entry'!$BD$6:$BD$200,"&lt;&gt;*Negative*"))))</f>
        <v/>
      </c>
    </row>
    <row r="157" spans="1:16" ht="15.6" x14ac:dyDescent="0.35">
      <c r="A157" s="1" t="str">
        <f>IF('Data entry'!B161="","",'Data entry'!B161)</f>
        <v/>
      </c>
      <c r="B157" s="1" t="str">
        <f>IF('Data entry'!O161="","",'Data entry'!O161)</f>
        <v/>
      </c>
      <c r="C157" s="321" t="str">
        <f>IF('Data entry'!R161="","",'Data entry'!R161)</f>
        <v/>
      </c>
      <c r="D157" s="1" t="str">
        <f>IF('Data entry'!AO161="","",'Data entry'!AO161)</f>
        <v/>
      </c>
      <c r="E157" s="1" t="str">
        <f>IF('Data entry'!AP161="","",'Data entry'!AP161)</f>
        <v/>
      </c>
      <c r="F157" s="1" t="str">
        <f>IF('Data entry'!AQ161="","",'Data entry'!AQ161)</f>
        <v/>
      </c>
      <c r="G157" t="str">
        <f>IF($C157="","",(SUM(COUNTIFS('Data entry'!$R$6:$R$200,$C157,'Data entry'!$B$6:$B$200,{"Confirmed";"Probable"},'Data entry'!$AQ$6:$AQ$200,'Data Validation'!$V$2, 'Data entry'!$AP$6:$AP$200,'Data Validation'!$U$2, 'Data entry'!$BD$6:$BD$200,"&lt;&gt;*Negative*"))))</f>
        <v/>
      </c>
      <c r="H157" t="str">
        <f>IF($C157="","",(SUM(COUNTIFS('Data entry'!$R$6:$R$200,$C157,'Data entry'!$B$6:$B$200,{"Confirmed";"Probable"},'Data entry'!$AQ$6:$AQ$200,'Data Validation'!$V$2, 'Data entry'!$AP$6:$AP$200,'Data Validation'!$U$3, 'Data entry'!$BD$6:$BD$200,"&lt;&gt;*Negative*"))))</f>
        <v/>
      </c>
      <c r="I157" t="str">
        <f>IF($C157="","",(SUM(COUNTIFS('Data entry'!$R$6:$R$200,$C157,'Data entry'!$B$6:$B$200,{"Confirmed";"Probable"},'Data entry'!$AQ$6:$AQ$200,'Data Validation'!$V$2, 'Data entry'!$AP$6:$AP$200,'Data Validation'!$U$4, 'Data entry'!$BD$6:$BD$200,"&lt;&gt;*Negative*"))))</f>
        <v/>
      </c>
      <c r="J157" t="str">
        <f>IF($C157="","",(SUM(COUNTIFS('Data entry'!$R$6:$R$200,$C157,'Data entry'!$B$6:$B$200,{"Confirmed";"Probable"},'Data entry'!$AQ$6:$AQ$200,'Data Validation'!$V$2, 'Data entry'!$AP$6:$AP$200,'Data Validation'!$U$5, 'Data entry'!$BD$6:$BD$200,"&lt;&gt;*Negative*"))))</f>
        <v/>
      </c>
      <c r="K157" t="str">
        <f>IF($C157="","",(SUM(COUNTIFS('Data entry'!$R$6:$R$200,$C157,'Data entry'!$B$6:$B$200,{"Confirmed";"Probable"},'Data entry'!$AQ$6:$AQ$200,'Data Validation'!$V$2, 'Data entry'!$AP$6:$AP$200,'Data Validation'!$U$6, 'Data entry'!$BD$6:$BD$200,"&lt;&gt;*Negative*"))))</f>
        <v/>
      </c>
      <c r="L157" t="str">
        <f>IF($C157="","",(SUM(COUNTIFS('Data entry'!$R$6:$R$200,$C157,'Data entry'!$B$6:$B$200,{"Confirmed";"Probable"},'Data entry'!$AQ$6:$AQ$200,'Data Validation'!$V$3, 'Data entry'!$AP$6:$AP$200,'Data Validation'!$U$2, 'Data entry'!$BD$6:$BD$200,"&lt;&gt;*Negative*"))))</f>
        <v/>
      </c>
      <c r="M157" t="str">
        <f>IF($C157="","",(SUM(COUNTIFS('Data entry'!$R$6:$R$200,$C157,'Data entry'!$B$6:$B$200,{"Confirmed";"Probable"},'Data entry'!$AQ$6:$AQ$200,'Data Validation'!$V$3, 'Data entry'!$AP$6:$AP$200,'Data Validation'!$U$3, 'Data entry'!$BD$6:$BD$200,"&lt;&gt;*Negative*"))))</f>
        <v/>
      </c>
      <c r="N157" t="str">
        <f>IF($C157="","",(SUM(COUNTIFS('Data entry'!$R$6:$R$200,$C157,'Data entry'!$B$6:$B$200,{"Confirmed";"Probable"},'Data entry'!$AQ$6:$AQ$200,'Data Validation'!$V$3, 'Data entry'!$AP$6:$AP$200,'Data Validation'!$U$4, 'Data entry'!$BD$6:$BD$200,"&lt;&gt;*Negative*"))))</f>
        <v/>
      </c>
      <c r="O157" t="str">
        <f>IF($C157="","",(SUM(COUNTIFS('Data entry'!$R$6:$R$200,$C157,'Data entry'!$B$6:$B$200,{"Confirmed";"Probable"},'Data entry'!$AQ$6:$AQ$200,'Data Validation'!$V$3, 'Data entry'!$AP$6:$AP$200,'Data Validation'!$U$5, 'Data entry'!$BD$6:$BD$200,"&lt;&gt;*Negative*"))))</f>
        <v/>
      </c>
      <c r="P157" t="str">
        <f>IF($C157="","",(SUM(COUNTIFS('Data entry'!$R$6:$R$200,$C157,'Data entry'!$B$6:$B$200,{"Confirmed";"Probable"},'Data entry'!$AQ$6:$AQ$200,'Data Validation'!$V$3, 'Data entry'!$AP$6:$AP$200,'Data Validation'!$U$6, 'Data entry'!$BD$6:$BD$200,"&lt;&gt;*Negative*"))))</f>
        <v/>
      </c>
    </row>
    <row r="158" spans="1:16" ht="15.6" x14ac:dyDescent="0.35">
      <c r="A158" s="1" t="str">
        <f>IF('Data entry'!B162="","",'Data entry'!B162)</f>
        <v/>
      </c>
      <c r="B158" s="1" t="str">
        <f>IF('Data entry'!O162="","",'Data entry'!O162)</f>
        <v/>
      </c>
      <c r="C158" s="321" t="str">
        <f>IF('Data entry'!R162="","",'Data entry'!R162)</f>
        <v/>
      </c>
      <c r="D158" s="1" t="str">
        <f>IF('Data entry'!AO162="","",'Data entry'!AO162)</f>
        <v/>
      </c>
      <c r="E158" s="1" t="str">
        <f>IF('Data entry'!AP162="","",'Data entry'!AP162)</f>
        <v/>
      </c>
      <c r="F158" s="1" t="str">
        <f>IF('Data entry'!AQ162="","",'Data entry'!AQ162)</f>
        <v/>
      </c>
      <c r="G158" t="str">
        <f>IF($C158="","",(SUM(COUNTIFS('Data entry'!$R$6:$R$200,$C158,'Data entry'!$B$6:$B$200,{"Confirmed";"Probable"},'Data entry'!$AQ$6:$AQ$200,'Data Validation'!$V$2, 'Data entry'!$AP$6:$AP$200,'Data Validation'!$U$2, 'Data entry'!$BD$6:$BD$200,"&lt;&gt;*Negative*"))))</f>
        <v/>
      </c>
      <c r="H158" t="str">
        <f>IF($C158="","",(SUM(COUNTIFS('Data entry'!$R$6:$R$200,$C158,'Data entry'!$B$6:$B$200,{"Confirmed";"Probable"},'Data entry'!$AQ$6:$AQ$200,'Data Validation'!$V$2, 'Data entry'!$AP$6:$AP$200,'Data Validation'!$U$3, 'Data entry'!$BD$6:$BD$200,"&lt;&gt;*Negative*"))))</f>
        <v/>
      </c>
      <c r="I158" t="str">
        <f>IF($C158="","",(SUM(COUNTIFS('Data entry'!$R$6:$R$200,$C158,'Data entry'!$B$6:$B$200,{"Confirmed";"Probable"},'Data entry'!$AQ$6:$AQ$200,'Data Validation'!$V$2, 'Data entry'!$AP$6:$AP$200,'Data Validation'!$U$4, 'Data entry'!$BD$6:$BD$200,"&lt;&gt;*Negative*"))))</f>
        <v/>
      </c>
      <c r="J158" t="str">
        <f>IF($C158="","",(SUM(COUNTIFS('Data entry'!$R$6:$R$200,$C158,'Data entry'!$B$6:$B$200,{"Confirmed";"Probable"},'Data entry'!$AQ$6:$AQ$200,'Data Validation'!$V$2, 'Data entry'!$AP$6:$AP$200,'Data Validation'!$U$5, 'Data entry'!$BD$6:$BD$200,"&lt;&gt;*Negative*"))))</f>
        <v/>
      </c>
      <c r="K158" t="str">
        <f>IF($C158="","",(SUM(COUNTIFS('Data entry'!$R$6:$R$200,$C158,'Data entry'!$B$6:$B$200,{"Confirmed";"Probable"},'Data entry'!$AQ$6:$AQ$200,'Data Validation'!$V$2, 'Data entry'!$AP$6:$AP$200,'Data Validation'!$U$6, 'Data entry'!$BD$6:$BD$200,"&lt;&gt;*Negative*"))))</f>
        <v/>
      </c>
      <c r="L158" t="str">
        <f>IF($C158="","",(SUM(COUNTIFS('Data entry'!$R$6:$R$200,$C158,'Data entry'!$B$6:$B$200,{"Confirmed";"Probable"},'Data entry'!$AQ$6:$AQ$200,'Data Validation'!$V$3, 'Data entry'!$AP$6:$AP$200,'Data Validation'!$U$2, 'Data entry'!$BD$6:$BD$200,"&lt;&gt;*Negative*"))))</f>
        <v/>
      </c>
      <c r="M158" t="str">
        <f>IF($C158="","",(SUM(COUNTIFS('Data entry'!$R$6:$R$200,$C158,'Data entry'!$B$6:$B$200,{"Confirmed";"Probable"},'Data entry'!$AQ$6:$AQ$200,'Data Validation'!$V$3, 'Data entry'!$AP$6:$AP$200,'Data Validation'!$U$3, 'Data entry'!$BD$6:$BD$200,"&lt;&gt;*Negative*"))))</f>
        <v/>
      </c>
      <c r="N158" t="str">
        <f>IF($C158="","",(SUM(COUNTIFS('Data entry'!$R$6:$R$200,$C158,'Data entry'!$B$6:$B$200,{"Confirmed";"Probable"},'Data entry'!$AQ$6:$AQ$200,'Data Validation'!$V$3, 'Data entry'!$AP$6:$AP$200,'Data Validation'!$U$4, 'Data entry'!$BD$6:$BD$200,"&lt;&gt;*Negative*"))))</f>
        <v/>
      </c>
      <c r="O158" t="str">
        <f>IF($C158="","",(SUM(COUNTIFS('Data entry'!$R$6:$R$200,$C158,'Data entry'!$B$6:$B$200,{"Confirmed";"Probable"},'Data entry'!$AQ$6:$AQ$200,'Data Validation'!$V$3, 'Data entry'!$AP$6:$AP$200,'Data Validation'!$U$5, 'Data entry'!$BD$6:$BD$200,"&lt;&gt;*Negative*"))))</f>
        <v/>
      </c>
      <c r="P158" t="str">
        <f>IF($C158="","",(SUM(COUNTIFS('Data entry'!$R$6:$R$200,$C158,'Data entry'!$B$6:$B$200,{"Confirmed";"Probable"},'Data entry'!$AQ$6:$AQ$200,'Data Validation'!$V$3, 'Data entry'!$AP$6:$AP$200,'Data Validation'!$U$6, 'Data entry'!$BD$6:$BD$200,"&lt;&gt;*Negative*"))))</f>
        <v/>
      </c>
    </row>
    <row r="159" spans="1:16" ht="15.6" x14ac:dyDescent="0.35">
      <c r="A159" s="1" t="str">
        <f>IF('Data entry'!B163="","",'Data entry'!B163)</f>
        <v/>
      </c>
      <c r="B159" s="1" t="str">
        <f>IF('Data entry'!O163="","",'Data entry'!O163)</f>
        <v/>
      </c>
      <c r="C159" s="321" t="str">
        <f>IF('Data entry'!R163="","",'Data entry'!R163)</f>
        <v/>
      </c>
      <c r="D159" s="1" t="str">
        <f>IF('Data entry'!AO163="","",'Data entry'!AO163)</f>
        <v/>
      </c>
      <c r="E159" s="1" t="str">
        <f>IF('Data entry'!AP163="","",'Data entry'!AP163)</f>
        <v/>
      </c>
      <c r="F159" s="1" t="str">
        <f>IF('Data entry'!AQ163="","",'Data entry'!AQ163)</f>
        <v/>
      </c>
      <c r="G159" t="str">
        <f>IF($C159="","",(SUM(COUNTIFS('Data entry'!$R$6:$R$200,$C159,'Data entry'!$B$6:$B$200,{"Confirmed";"Probable"},'Data entry'!$AQ$6:$AQ$200,'Data Validation'!$V$2, 'Data entry'!$AP$6:$AP$200,'Data Validation'!$U$2, 'Data entry'!$BD$6:$BD$200,"&lt;&gt;*Negative*"))))</f>
        <v/>
      </c>
      <c r="H159" t="str">
        <f>IF($C159="","",(SUM(COUNTIFS('Data entry'!$R$6:$R$200,$C159,'Data entry'!$B$6:$B$200,{"Confirmed";"Probable"},'Data entry'!$AQ$6:$AQ$200,'Data Validation'!$V$2, 'Data entry'!$AP$6:$AP$200,'Data Validation'!$U$3, 'Data entry'!$BD$6:$BD$200,"&lt;&gt;*Negative*"))))</f>
        <v/>
      </c>
      <c r="I159" t="str">
        <f>IF($C159="","",(SUM(COUNTIFS('Data entry'!$R$6:$R$200,$C159,'Data entry'!$B$6:$B$200,{"Confirmed";"Probable"},'Data entry'!$AQ$6:$AQ$200,'Data Validation'!$V$2, 'Data entry'!$AP$6:$AP$200,'Data Validation'!$U$4, 'Data entry'!$BD$6:$BD$200,"&lt;&gt;*Negative*"))))</f>
        <v/>
      </c>
      <c r="J159" t="str">
        <f>IF($C159="","",(SUM(COUNTIFS('Data entry'!$R$6:$R$200,$C159,'Data entry'!$B$6:$B$200,{"Confirmed";"Probable"},'Data entry'!$AQ$6:$AQ$200,'Data Validation'!$V$2, 'Data entry'!$AP$6:$AP$200,'Data Validation'!$U$5, 'Data entry'!$BD$6:$BD$200,"&lt;&gt;*Negative*"))))</f>
        <v/>
      </c>
      <c r="K159" t="str">
        <f>IF($C159="","",(SUM(COUNTIFS('Data entry'!$R$6:$R$200,$C159,'Data entry'!$B$6:$B$200,{"Confirmed";"Probable"},'Data entry'!$AQ$6:$AQ$200,'Data Validation'!$V$2, 'Data entry'!$AP$6:$AP$200,'Data Validation'!$U$6, 'Data entry'!$BD$6:$BD$200,"&lt;&gt;*Negative*"))))</f>
        <v/>
      </c>
      <c r="L159" t="str">
        <f>IF($C159="","",(SUM(COUNTIFS('Data entry'!$R$6:$R$200,$C159,'Data entry'!$B$6:$B$200,{"Confirmed";"Probable"},'Data entry'!$AQ$6:$AQ$200,'Data Validation'!$V$3, 'Data entry'!$AP$6:$AP$200,'Data Validation'!$U$2, 'Data entry'!$BD$6:$BD$200,"&lt;&gt;*Negative*"))))</f>
        <v/>
      </c>
      <c r="M159" t="str">
        <f>IF($C159="","",(SUM(COUNTIFS('Data entry'!$R$6:$R$200,$C159,'Data entry'!$B$6:$B$200,{"Confirmed";"Probable"},'Data entry'!$AQ$6:$AQ$200,'Data Validation'!$V$3, 'Data entry'!$AP$6:$AP$200,'Data Validation'!$U$3, 'Data entry'!$BD$6:$BD$200,"&lt;&gt;*Negative*"))))</f>
        <v/>
      </c>
      <c r="N159" t="str">
        <f>IF($C159="","",(SUM(COUNTIFS('Data entry'!$R$6:$R$200,$C159,'Data entry'!$B$6:$B$200,{"Confirmed";"Probable"},'Data entry'!$AQ$6:$AQ$200,'Data Validation'!$V$3, 'Data entry'!$AP$6:$AP$200,'Data Validation'!$U$4, 'Data entry'!$BD$6:$BD$200,"&lt;&gt;*Negative*"))))</f>
        <v/>
      </c>
      <c r="O159" t="str">
        <f>IF($C159="","",(SUM(COUNTIFS('Data entry'!$R$6:$R$200,$C159,'Data entry'!$B$6:$B$200,{"Confirmed";"Probable"},'Data entry'!$AQ$6:$AQ$200,'Data Validation'!$V$3, 'Data entry'!$AP$6:$AP$200,'Data Validation'!$U$5, 'Data entry'!$BD$6:$BD$200,"&lt;&gt;*Negative*"))))</f>
        <v/>
      </c>
      <c r="P159" t="str">
        <f>IF($C159="","",(SUM(COUNTIFS('Data entry'!$R$6:$R$200,$C159,'Data entry'!$B$6:$B$200,{"Confirmed";"Probable"},'Data entry'!$AQ$6:$AQ$200,'Data Validation'!$V$3, 'Data entry'!$AP$6:$AP$200,'Data Validation'!$U$6, 'Data entry'!$BD$6:$BD$200,"&lt;&gt;*Negative*"))))</f>
        <v/>
      </c>
    </row>
    <row r="160" spans="1:16" ht="15.6" x14ac:dyDescent="0.35">
      <c r="A160" s="1" t="str">
        <f>IF('Data entry'!B164="","",'Data entry'!B164)</f>
        <v/>
      </c>
      <c r="B160" s="1" t="str">
        <f>IF('Data entry'!O164="","",'Data entry'!O164)</f>
        <v/>
      </c>
      <c r="C160" s="321" t="str">
        <f>IF('Data entry'!R164="","",'Data entry'!R164)</f>
        <v/>
      </c>
      <c r="D160" s="1" t="str">
        <f>IF('Data entry'!AO164="","",'Data entry'!AO164)</f>
        <v/>
      </c>
      <c r="E160" s="1" t="str">
        <f>IF('Data entry'!AP164="","",'Data entry'!AP164)</f>
        <v/>
      </c>
      <c r="F160" s="1" t="str">
        <f>IF('Data entry'!AQ164="","",'Data entry'!AQ164)</f>
        <v/>
      </c>
      <c r="G160" t="str">
        <f>IF($C160="","",(SUM(COUNTIFS('Data entry'!$R$6:$R$200,$C160,'Data entry'!$B$6:$B$200,{"Confirmed";"Probable"},'Data entry'!$AQ$6:$AQ$200,'Data Validation'!$V$2, 'Data entry'!$AP$6:$AP$200,'Data Validation'!$U$2, 'Data entry'!$BD$6:$BD$200,"&lt;&gt;*Negative*"))))</f>
        <v/>
      </c>
      <c r="H160" t="str">
        <f>IF($C160="","",(SUM(COUNTIFS('Data entry'!$R$6:$R$200,$C160,'Data entry'!$B$6:$B$200,{"Confirmed";"Probable"},'Data entry'!$AQ$6:$AQ$200,'Data Validation'!$V$2, 'Data entry'!$AP$6:$AP$200,'Data Validation'!$U$3, 'Data entry'!$BD$6:$BD$200,"&lt;&gt;*Negative*"))))</f>
        <v/>
      </c>
      <c r="I160" t="str">
        <f>IF($C160="","",(SUM(COUNTIFS('Data entry'!$R$6:$R$200,$C160,'Data entry'!$B$6:$B$200,{"Confirmed";"Probable"},'Data entry'!$AQ$6:$AQ$200,'Data Validation'!$V$2, 'Data entry'!$AP$6:$AP$200,'Data Validation'!$U$4, 'Data entry'!$BD$6:$BD$200,"&lt;&gt;*Negative*"))))</f>
        <v/>
      </c>
      <c r="J160" t="str">
        <f>IF($C160="","",(SUM(COUNTIFS('Data entry'!$R$6:$R$200,$C160,'Data entry'!$B$6:$B$200,{"Confirmed";"Probable"},'Data entry'!$AQ$6:$AQ$200,'Data Validation'!$V$2, 'Data entry'!$AP$6:$AP$200,'Data Validation'!$U$5, 'Data entry'!$BD$6:$BD$200,"&lt;&gt;*Negative*"))))</f>
        <v/>
      </c>
      <c r="K160" t="str">
        <f>IF($C160="","",(SUM(COUNTIFS('Data entry'!$R$6:$R$200,$C160,'Data entry'!$B$6:$B$200,{"Confirmed";"Probable"},'Data entry'!$AQ$6:$AQ$200,'Data Validation'!$V$2, 'Data entry'!$AP$6:$AP$200,'Data Validation'!$U$6, 'Data entry'!$BD$6:$BD$200,"&lt;&gt;*Negative*"))))</f>
        <v/>
      </c>
      <c r="L160" t="str">
        <f>IF($C160="","",(SUM(COUNTIFS('Data entry'!$R$6:$R$200,$C160,'Data entry'!$B$6:$B$200,{"Confirmed";"Probable"},'Data entry'!$AQ$6:$AQ$200,'Data Validation'!$V$3, 'Data entry'!$AP$6:$AP$200,'Data Validation'!$U$2, 'Data entry'!$BD$6:$BD$200,"&lt;&gt;*Negative*"))))</f>
        <v/>
      </c>
      <c r="M160" t="str">
        <f>IF($C160="","",(SUM(COUNTIFS('Data entry'!$R$6:$R$200,$C160,'Data entry'!$B$6:$B$200,{"Confirmed";"Probable"},'Data entry'!$AQ$6:$AQ$200,'Data Validation'!$V$3, 'Data entry'!$AP$6:$AP$200,'Data Validation'!$U$3, 'Data entry'!$BD$6:$BD$200,"&lt;&gt;*Negative*"))))</f>
        <v/>
      </c>
      <c r="N160" t="str">
        <f>IF($C160="","",(SUM(COUNTIFS('Data entry'!$R$6:$R$200,$C160,'Data entry'!$B$6:$B$200,{"Confirmed";"Probable"},'Data entry'!$AQ$6:$AQ$200,'Data Validation'!$V$3, 'Data entry'!$AP$6:$AP$200,'Data Validation'!$U$4, 'Data entry'!$BD$6:$BD$200,"&lt;&gt;*Negative*"))))</f>
        <v/>
      </c>
      <c r="O160" t="str">
        <f>IF($C160="","",(SUM(COUNTIFS('Data entry'!$R$6:$R$200,$C160,'Data entry'!$B$6:$B$200,{"Confirmed";"Probable"},'Data entry'!$AQ$6:$AQ$200,'Data Validation'!$V$3, 'Data entry'!$AP$6:$AP$200,'Data Validation'!$U$5, 'Data entry'!$BD$6:$BD$200,"&lt;&gt;*Negative*"))))</f>
        <v/>
      </c>
      <c r="P160" t="str">
        <f>IF($C160="","",(SUM(COUNTIFS('Data entry'!$R$6:$R$200,$C160,'Data entry'!$B$6:$B$200,{"Confirmed";"Probable"},'Data entry'!$AQ$6:$AQ$200,'Data Validation'!$V$3, 'Data entry'!$AP$6:$AP$200,'Data Validation'!$U$6, 'Data entry'!$BD$6:$BD$200,"&lt;&gt;*Negative*"))))</f>
        <v/>
      </c>
    </row>
    <row r="161" spans="1:16" ht="15.6" x14ac:dyDescent="0.35">
      <c r="A161" s="1" t="str">
        <f>IF('Data entry'!B165="","",'Data entry'!B165)</f>
        <v/>
      </c>
      <c r="B161" s="1" t="str">
        <f>IF('Data entry'!O165="","",'Data entry'!O165)</f>
        <v/>
      </c>
      <c r="C161" s="321" t="str">
        <f>IF('Data entry'!R165="","",'Data entry'!R165)</f>
        <v/>
      </c>
      <c r="D161" s="1" t="str">
        <f>IF('Data entry'!AO165="","",'Data entry'!AO165)</f>
        <v/>
      </c>
      <c r="E161" s="1" t="str">
        <f>IF('Data entry'!AP165="","",'Data entry'!AP165)</f>
        <v/>
      </c>
      <c r="F161" s="1" t="str">
        <f>IF('Data entry'!AQ165="","",'Data entry'!AQ165)</f>
        <v/>
      </c>
      <c r="G161" t="str">
        <f>IF($C161="","",(SUM(COUNTIFS('Data entry'!$R$6:$R$200,$C161,'Data entry'!$B$6:$B$200,{"Confirmed";"Probable"},'Data entry'!$AQ$6:$AQ$200,'Data Validation'!$V$2, 'Data entry'!$AP$6:$AP$200,'Data Validation'!$U$2, 'Data entry'!$BD$6:$BD$200,"&lt;&gt;*Negative*"))))</f>
        <v/>
      </c>
      <c r="H161" t="str">
        <f>IF($C161="","",(SUM(COUNTIFS('Data entry'!$R$6:$R$200,$C161,'Data entry'!$B$6:$B$200,{"Confirmed";"Probable"},'Data entry'!$AQ$6:$AQ$200,'Data Validation'!$V$2, 'Data entry'!$AP$6:$AP$200,'Data Validation'!$U$3, 'Data entry'!$BD$6:$BD$200,"&lt;&gt;*Negative*"))))</f>
        <v/>
      </c>
      <c r="I161" t="str">
        <f>IF($C161="","",(SUM(COUNTIFS('Data entry'!$R$6:$R$200,$C161,'Data entry'!$B$6:$B$200,{"Confirmed";"Probable"},'Data entry'!$AQ$6:$AQ$200,'Data Validation'!$V$2, 'Data entry'!$AP$6:$AP$200,'Data Validation'!$U$4, 'Data entry'!$BD$6:$BD$200,"&lt;&gt;*Negative*"))))</f>
        <v/>
      </c>
      <c r="J161" t="str">
        <f>IF($C161="","",(SUM(COUNTIFS('Data entry'!$R$6:$R$200,$C161,'Data entry'!$B$6:$B$200,{"Confirmed";"Probable"},'Data entry'!$AQ$6:$AQ$200,'Data Validation'!$V$2, 'Data entry'!$AP$6:$AP$200,'Data Validation'!$U$5, 'Data entry'!$BD$6:$BD$200,"&lt;&gt;*Negative*"))))</f>
        <v/>
      </c>
      <c r="K161" t="str">
        <f>IF($C161="","",(SUM(COUNTIFS('Data entry'!$R$6:$R$200,$C161,'Data entry'!$B$6:$B$200,{"Confirmed";"Probable"},'Data entry'!$AQ$6:$AQ$200,'Data Validation'!$V$2, 'Data entry'!$AP$6:$AP$200,'Data Validation'!$U$6, 'Data entry'!$BD$6:$BD$200,"&lt;&gt;*Negative*"))))</f>
        <v/>
      </c>
      <c r="L161" t="str">
        <f>IF($C161="","",(SUM(COUNTIFS('Data entry'!$R$6:$R$200,$C161,'Data entry'!$B$6:$B$200,{"Confirmed";"Probable"},'Data entry'!$AQ$6:$AQ$200,'Data Validation'!$V$3, 'Data entry'!$AP$6:$AP$200,'Data Validation'!$U$2, 'Data entry'!$BD$6:$BD$200,"&lt;&gt;*Negative*"))))</f>
        <v/>
      </c>
      <c r="M161" t="str">
        <f>IF($C161="","",(SUM(COUNTIFS('Data entry'!$R$6:$R$200,$C161,'Data entry'!$B$6:$B$200,{"Confirmed";"Probable"},'Data entry'!$AQ$6:$AQ$200,'Data Validation'!$V$3, 'Data entry'!$AP$6:$AP$200,'Data Validation'!$U$3, 'Data entry'!$BD$6:$BD$200,"&lt;&gt;*Negative*"))))</f>
        <v/>
      </c>
      <c r="N161" t="str">
        <f>IF($C161="","",(SUM(COUNTIFS('Data entry'!$R$6:$R$200,$C161,'Data entry'!$B$6:$B$200,{"Confirmed";"Probable"},'Data entry'!$AQ$6:$AQ$200,'Data Validation'!$V$3, 'Data entry'!$AP$6:$AP$200,'Data Validation'!$U$4, 'Data entry'!$BD$6:$BD$200,"&lt;&gt;*Negative*"))))</f>
        <v/>
      </c>
      <c r="O161" t="str">
        <f>IF($C161="","",(SUM(COUNTIFS('Data entry'!$R$6:$R$200,$C161,'Data entry'!$B$6:$B$200,{"Confirmed";"Probable"},'Data entry'!$AQ$6:$AQ$200,'Data Validation'!$V$3, 'Data entry'!$AP$6:$AP$200,'Data Validation'!$U$5, 'Data entry'!$BD$6:$BD$200,"&lt;&gt;*Negative*"))))</f>
        <v/>
      </c>
      <c r="P161" t="str">
        <f>IF($C161="","",(SUM(COUNTIFS('Data entry'!$R$6:$R$200,$C161,'Data entry'!$B$6:$B$200,{"Confirmed";"Probable"},'Data entry'!$AQ$6:$AQ$200,'Data Validation'!$V$3, 'Data entry'!$AP$6:$AP$200,'Data Validation'!$U$6, 'Data entry'!$BD$6:$BD$200,"&lt;&gt;*Negative*"))))</f>
        <v/>
      </c>
    </row>
    <row r="162" spans="1:16" ht="15.6" x14ac:dyDescent="0.35">
      <c r="A162" s="1" t="str">
        <f>IF('Data entry'!B166="","",'Data entry'!B166)</f>
        <v/>
      </c>
      <c r="B162" s="1" t="str">
        <f>IF('Data entry'!O166="","",'Data entry'!O166)</f>
        <v/>
      </c>
      <c r="C162" s="321" t="str">
        <f>IF('Data entry'!R166="","",'Data entry'!R166)</f>
        <v/>
      </c>
      <c r="D162" s="1" t="str">
        <f>IF('Data entry'!AO166="","",'Data entry'!AO166)</f>
        <v/>
      </c>
      <c r="E162" s="1" t="str">
        <f>IF('Data entry'!AP166="","",'Data entry'!AP166)</f>
        <v/>
      </c>
      <c r="F162" s="1" t="str">
        <f>IF('Data entry'!AQ166="","",'Data entry'!AQ166)</f>
        <v/>
      </c>
      <c r="G162" t="str">
        <f>IF($C162="","",(SUM(COUNTIFS('Data entry'!$R$6:$R$200,$C162,'Data entry'!$B$6:$B$200,{"Confirmed";"Probable"},'Data entry'!$AQ$6:$AQ$200,'Data Validation'!$V$2, 'Data entry'!$AP$6:$AP$200,'Data Validation'!$U$2, 'Data entry'!$BD$6:$BD$200,"&lt;&gt;*Negative*"))))</f>
        <v/>
      </c>
      <c r="H162" t="str">
        <f>IF($C162="","",(SUM(COUNTIFS('Data entry'!$R$6:$R$200,$C162,'Data entry'!$B$6:$B$200,{"Confirmed";"Probable"},'Data entry'!$AQ$6:$AQ$200,'Data Validation'!$V$2, 'Data entry'!$AP$6:$AP$200,'Data Validation'!$U$3, 'Data entry'!$BD$6:$BD$200,"&lt;&gt;*Negative*"))))</f>
        <v/>
      </c>
      <c r="I162" t="str">
        <f>IF($C162="","",(SUM(COUNTIFS('Data entry'!$R$6:$R$200,$C162,'Data entry'!$B$6:$B$200,{"Confirmed";"Probable"},'Data entry'!$AQ$6:$AQ$200,'Data Validation'!$V$2, 'Data entry'!$AP$6:$AP$200,'Data Validation'!$U$4, 'Data entry'!$BD$6:$BD$200,"&lt;&gt;*Negative*"))))</f>
        <v/>
      </c>
      <c r="J162" t="str">
        <f>IF($C162="","",(SUM(COUNTIFS('Data entry'!$R$6:$R$200,$C162,'Data entry'!$B$6:$B$200,{"Confirmed";"Probable"},'Data entry'!$AQ$6:$AQ$200,'Data Validation'!$V$2, 'Data entry'!$AP$6:$AP$200,'Data Validation'!$U$5, 'Data entry'!$BD$6:$BD$200,"&lt;&gt;*Negative*"))))</f>
        <v/>
      </c>
      <c r="K162" t="str">
        <f>IF($C162="","",(SUM(COUNTIFS('Data entry'!$R$6:$R$200,$C162,'Data entry'!$B$6:$B$200,{"Confirmed";"Probable"},'Data entry'!$AQ$6:$AQ$200,'Data Validation'!$V$2, 'Data entry'!$AP$6:$AP$200,'Data Validation'!$U$6, 'Data entry'!$BD$6:$BD$200,"&lt;&gt;*Negative*"))))</f>
        <v/>
      </c>
      <c r="L162" t="str">
        <f>IF($C162="","",(SUM(COUNTIFS('Data entry'!$R$6:$R$200,$C162,'Data entry'!$B$6:$B$200,{"Confirmed";"Probable"},'Data entry'!$AQ$6:$AQ$200,'Data Validation'!$V$3, 'Data entry'!$AP$6:$AP$200,'Data Validation'!$U$2, 'Data entry'!$BD$6:$BD$200,"&lt;&gt;*Negative*"))))</f>
        <v/>
      </c>
      <c r="M162" t="str">
        <f>IF($C162="","",(SUM(COUNTIFS('Data entry'!$R$6:$R$200,$C162,'Data entry'!$B$6:$B$200,{"Confirmed";"Probable"},'Data entry'!$AQ$6:$AQ$200,'Data Validation'!$V$3, 'Data entry'!$AP$6:$AP$200,'Data Validation'!$U$3, 'Data entry'!$BD$6:$BD$200,"&lt;&gt;*Negative*"))))</f>
        <v/>
      </c>
      <c r="N162" t="str">
        <f>IF($C162="","",(SUM(COUNTIFS('Data entry'!$R$6:$R$200,$C162,'Data entry'!$B$6:$B$200,{"Confirmed";"Probable"},'Data entry'!$AQ$6:$AQ$200,'Data Validation'!$V$3, 'Data entry'!$AP$6:$AP$200,'Data Validation'!$U$4, 'Data entry'!$BD$6:$BD$200,"&lt;&gt;*Negative*"))))</f>
        <v/>
      </c>
      <c r="O162" t="str">
        <f>IF($C162="","",(SUM(COUNTIFS('Data entry'!$R$6:$R$200,$C162,'Data entry'!$B$6:$B$200,{"Confirmed";"Probable"},'Data entry'!$AQ$6:$AQ$200,'Data Validation'!$V$3, 'Data entry'!$AP$6:$AP$200,'Data Validation'!$U$5, 'Data entry'!$BD$6:$BD$200,"&lt;&gt;*Negative*"))))</f>
        <v/>
      </c>
      <c r="P162" t="str">
        <f>IF($C162="","",(SUM(COUNTIFS('Data entry'!$R$6:$R$200,$C162,'Data entry'!$B$6:$B$200,{"Confirmed";"Probable"},'Data entry'!$AQ$6:$AQ$200,'Data Validation'!$V$3, 'Data entry'!$AP$6:$AP$200,'Data Validation'!$U$6, 'Data entry'!$BD$6:$BD$200,"&lt;&gt;*Negative*"))))</f>
        <v/>
      </c>
    </row>
    <row r="163" spans="1:16" ht="15.6" x14ac:dyDescent="0.35">
      <c r="A163" s="1" t="str">
        <f>IF('Data entry'!B167="","",'Data entry'!B167)</f>
        <v/>
      </c>
      <c r="B163" s="1" t="str">
        <f>IF('Data entry'!O167="","",'Data entry'!O167)</f>
        <v/>
      </c>
      <c r="C163" s="321" t="str">
        <f>IF('Data entry'!R167="","",'Data entry'!R167)</f>
        <v/>
      </c>
      <c r="D163" s="1" t="str">
        <f>IF('Data entry'!AO167="","",'Data entry'!AO167)</f>
        <v/>
      </c>
      <c r="E163" s="1" t="str">
        <f>IF('Data entry'!AP167="","",'Data entry'!AP167)</f>
        <v/>
      </c>
      <c r="F163" s="1" t="str">
        <f>IF('Data entry'!AQ167="","",'Data entry'!AQ167)</f>
        <v/>
      </c>
      <c r="G163" t="str">
        <f>IF($C163="","",(SUM(COUNTIFS('Data entry'!$R$6:$R$200,$C163,'Data entry'!$B$6:$B$200,{"Confirmed";"Probable"},'Data entry'!$AQ$6:$AQ$200,'Data Validation'!$V$2, 'Data entry'!$AP$6:$AP$200,'Data Validation'!$U$2, 'Data entry'!$BD$6:$BD$200,"&lt;&gt;*Negative*"))))</f>
        <v/>
      </c>
      <c r="H163" t="str">
        <f>IF($C163="","",(SUM(COUNTIFS('Data entry'!$R$6:$R$200,$C163,'Data entry'!$B$6:$B$200,{"Confirmed";"Probable"},'Data entry'!$AQ$6:$AQ$200,'Data Validation'!$V$2, 'Data entry'!$AP$6:$AP$200,'Data Validation'!$U$3, 'Data entry'!$BD$6:$BD$200,"&lt;&gt;*Negative*"))))</f>
        <v/>
      </c>
      <c r="I163" t="str">
        <f>IF($C163="","",(SUM(COUNTIFS('Data entry'!$R$6:$R$200,$C163,'Data entry'!$B$6:$B$200,{"Confirmed";"Probable"},'Data entry'!$AQ$6:$AQ$200,'Data Validation'!$V$2, 'Data entry'!$AP$6:$AP$200,'Data Validation'!$U$4, 'Data entry'!$BD$6:$BD$200,"&lt;&gt;*Negative*"))))</f>
        <v/>
      </c>
      <c r="J163" t="str">
        <f>IF($C163="","",(SUM(COUNTIFS('Data entry'!$R$6:$R$200,$C163,'Data entry'!$B$6:$B$200,{"Confirmed";"Probable"},'Data entry'!$AQ$6:$AQ$200,'Data Validation'!$V$2, 'Data entry'!$AP$6:$AP$200,'Data Validation'!$U$5, 'Data entry'!$BD$6:$BD$200,"&lt;&gt;*Negative*"))))</f>
        <v/>
      </c>
      <c r="K163" t="str">
        <f>IF($C163="","",(SUM(COUNTIFS('Data entry'!$R$6:$R$200,$C163,'Data entry'!$B$6:$B$200,{"Confirmed";"Probable"},'Data entry'!$AQ$6:$AQ$200,'Data Validation'!$V$2, 'Data entry'!$AP$6:$AP$200,'Data Validation'!$U$6, 'Data entry'!$BD$6:$BD$200,"&lt;&gt;*Negative*"))))</f>
        <v/>
      </c>
      <c r="L163" t="str">
        <f>IF($C163="","",(SUM(COUNTIFS('Data entry'!$R$6:$R$200,$C163,'Data entry'!$B$6:$B$200,{"Confirmed";"Probable"},'Data entry'!$AQ$6:$AQ$200,'Data Validation'!$V$3, 'Data entry'!$AP$6:$AP$200,'Data Validation'!$U$2, 'Data entry'!$BD$6:$BD$200,"&lt;&gt;*Negative*"))))</f>
        <v/>
      </c>
      <c r="M163" t="str">
        <f>IF($C163="","",(SUM(COUNTIFS('Data entry'!$R$6:$R$200,$C163,'Data entry'!$B$6:$B$200,{"Confirmed";"Probable"},'Data entry'!$AQ$6:$AQ$200,'Data Validation'!$V$3, 'Data entry'!$AP$6:$AP$200,'Data Validation'!$U$3, 'Data entry'!$BD$6:$BD$200,"&lt;&gt;*Negative*"))))</f>
        <v/>
      </c>
      <c r="N163" t="str">
        <f>IF($C163="","",(SUM(COUNTIFS('Data entry'!$R$6:$R$200,$C163,'Data entry'!$B$6:$B$200,{"Confirmed";"Probable"},'Data entry'!$AQ$6:$AQ$200,'Data Validation'!$V$3, 'Data entry'!$AP$6:$AP$200,'Data Validation'!$U$4, 'Data entry'!$BD$6:$BD$200,"&lt;&gt;*Negative*"))))</f>
        <v/>
      </c>
      <c r="O163" t="str">
        <f>IF($C163="","",(SUM(COUNTIFS('Data entry'!$R$6:$R$200,$C163,'Data entry'!$B$6:$B$200,{"Confirmed";"Probable"},'Data entry'!$AQ$6:$AQ$200,'Data Validation'!$V$3, 'Data entry'!$AP$6:$AP$200,'Data Validation'!$U$5, 'Data entry'!$BD$6:$BD$200,"&lt;&gt;*Negative*"))))</f>
        <v/>
      </c>
      <c r="P163" t="str">
        <f>IF($C163="","",(SUM(COUNTIFS('Data entry'!$R$6:$R$200,$C163,'Data entry'!$B$6:$B$200,{"Confirmed";"Probable"},'Data entry'!$AQ$6:$AQ$200,'Data Validation'!$V$3, 'Data entry'!$AP$6:$AP$200,'Data Validation'!$U$6, 'Data entry'!$BD$6:$BD$200,"&lt;&gt;*Negative*"))))</f>
        <v/>
      </c>
    </row>
    <row r="164" spans="1:16" ht="15.6" x14ac:dyDescent="0.35">
      <c r="A164" s="1" t="str">
        <f>IF('Data entry'!B168="","",'Data entry'!B168)</f>
        <v/>
      </c>
      <c r="B164" s="1" t="str">
        <f>IF('Data entry'!O168="","",'Data entry'!O168)</f>
        <v/>
      </c>
      <c r="C164" s="321" t="str">
        <f>IF('Data entry'!R168="","",'Data entry'!R168)</f>
        <v/>
      </c>
      <c r="D164" s="1" t="str">
        <f>IF('Data entry'!AO168="","",'Data entry'!AO168)</f>
        <v/>
      </c>
      <c r="E164" s="1" t="str">
        <f>IF('Data entry'!AP168="","",'Data entry'!AP168)</f>
        <v/>
      </c>
      <c r="F164" s="1" t="str">
        <f>IF('Data entry'!AQ168="","",'Data entry'!AQ168)</f>
        <v/>
      </c>
      <c r="G164" t="str">
        <f>IF($C164="","",(SUM(COUNTIFS('Data entry'!$R$6:$R$200,$C164,'Data entry'!$B$6:$B$200,{"Confirmed";"Probable"},'Data entry'!$AQ$6:$AQ$200,'Data Validation'!$V$2, 'Data entry'!$AP$6:$AP$200,'Data Validation'!$U$2, 'Data entry'!$BD$6:$BD$200,"&lt;&gt;*Negative*"))))</f>
        <v/>
      </c>
      <c r="H164" t="str">
        <f>IF($C164="","",(SUM(COUNTIFS('Data entry'!$R$6:$R$200,$C164,'Data entry'!$B$6:$B$200,{"Confirmed";"Probable"},'Data entry'!$AQ$6:$AQ$200,'Data Validation'!$V$2, 'Data entry'!$AP$6:$AP$200,'Data Validation'!$U$3, 'Data entry'!$BD$6:$BD$200,"&lt;&gt;*Negative*"))))</f>
        <v/>
      </c>
      <c r="I164" t="str">
        <f>IF($C164="","",(SUM(COUNTIFS('Data entry'!$R$6:$R$200,$C164,'Data entry'!$B$6:$B$200,{"Confirmed";"Probable"},'Data entry'!$AQ$6:$AQ$200,'Data Validation'!$V$2, 'Data entry'!$AP$6:$AP$200,'Data Validation'!$U$4, 'Data entry'!$BD$6:$BD$200,"&lt;&gt;*Negative*"))))</f>
        <v/>
      </c>
      <c r="J164" t="str">
        <f>IF($C164="","",(SUM(COUNTIFS('Data entry'!$R$6:$R$200,$C164,'Data entry'!$B$6:$B$200,{"Confirmed";"Probable"},'Data entry'!$AQ$6:$AQ$200,'Data Validation'!$V$2, 'Data entry'!$AP$6:$AP$200,'Data Validation'!$U$5, 'Data entry'!$BD$6:$BD$200,"&lt;&gt;*Negative*"))))</f>
        <v/>
      </c>
      <c r="K164" t="str">
        <f>IF($C164="","",(SUM(COUNTIFS('Data entry'!$R$6:$R$200,$C164,'Data entry'!$B$6:$B$200,{"Confirmed";"Probable"},'Data entry'!$AQ$6:$AQ$200,'Data Validation'!$V$2, 'Data entry'!$AP$6:$AP$200,'Data Validation'!$U$6, 'Data entry'!$BD$6:$BD$200,"&lt;&gt;*Negative*"))))</f>
        <v/>
      </c>
      <c r="L164" t="str">
        <f>IF($C164="","",(SUM(COUNTIFS('Data entry'!$R$6:$R$200,$C164,'Data entry'!$B$6:$B$200,{"Confirmed";"Probable"},'Data entry'!$AQ$6:$AQ$200,'Data Validation'!$V$3, 'Data entry'!$AP$6:$AP$200,'Data Validation'!$U$2, 'Data entry'!$BD$6:$BD$200,"&lt;&gt;*Negative*"))))</f>
        <v/>
      </c>
      <c r="M164" t="str">
        <f>IF($C164="","",(SUM(COUNTIFS('Data entry'!$R$6:$R$200,$C164,'Data entry'!$B$6:$B$200,{"Confirmed";"Probable"},'Data entry'!$AQ$6:$AQ$200,'Data Validation'!$V$3, 'Data entry'!$AP$6:$AP$200,'Data Validation'!$U$3, 'Data entry'!$BD$6:$BD$200,"&lt;&gt;*Negative*"))))</f>
        <v/>
      </c>
      <c r="N164" t="str">
        <f>IF($C164="","",(SUM(COUNTIFS('Data entry'!$R$6:$R$200,$C164,'Data entry'!$B$6:$B$200,{"Confirmed";"Probable"},'Data entry'!$AQ$6:$AQ$200,'Data Validation'!$V$3, 'Data entry'!$AP$6:$AP$200,'Data Validation'!$U$4, 'Data entry'!$BD$6:$BD$200,"&lt;&gt;*Negative*"))))</f>
        <v/>
      </c>
      <c r="O164" t="str">
        <f>IF($C164="","",(SUM(COUNTIFS('Data entry'!$R$6:$R$200,$C164,'Data entry'!$B$6:$B$200,{"Confirmed";"Probable"},'Data entry'!$AQ$6:$AQ$200,'Data Validation'!$V$3, 'Data entry'!$AP$6:$AP$200,'Data Validation'!$U$5, 'Data entry'!$BD$6:$BD$200,"&lt;&gt;*Negative*"))))</f>
        <v/>
      </c>
      <c r="P164" t="str">
        <f>IF($C164="","",(SUM(COUNTIFS('Data entry'!$R$6:$R$200,$C164,'Data entry'!$B$6:$B$200,{"Confirmed";"Probable"},'Data entry'!$AQ$6:$AQ$200,'Data Validation'!$V$3, 'Data entry'!$AP$6:$AP$200,'Data Validation'!$U$6, 'Data entry'!$BD$6:$BD$200,"&lt;&gt;*Negative*"))))</f>
        <v/>
      </c>
    </row>
    <row r="165" spans="1:16" ht="15.6" x14ac:dyDescent="0.35">
      <c r="A165" s="1" t="str">
        <f>IF('Data entry'!B169="","",'Data entry'!B169)</f>
        <v/>
      </c>
      <c r="B165" s="1" t="str">
        <f>IF('Data entry'!O169="","",'Data entry'!O169)</f>
        <v/>
      </c>
      <c r="C165" s="321" t="str">
        <f>IF('Data entry'!R169="","",'Data entry'!R169)</f>
        <v/>
      </c>
      <c r="D165" s="1" t="str">
        <f>IF('Data entry'!AO169="","",'Data entry'!AO169)</f>
        <v/>
      </c>
      <c r="E165" s="1" t="str">
        <f>IF('Data entry'!AP169="","",'Data entry'!AP169)</f>
        <v/>
      </c>
      <c r="F165" s="1" t="str">
        <f>IF('Data entry'!AQ169="","",'Data entry'!AQ169)</f>
        <v/>
      </c>
      <c r="G165" t="str">
        <f>IF($C165="","",(SUM(COUNTIFS('Data entry'!$R$6:$R$200,$C165,'Data entry'!$B$6:$B$200,{"Confirmed";"Probable"},'Data entry'!$AQ$6:$AQ$200,'Data Validation'!$V$2, 'Data entry'!$AP$6:$AP$200,'Data Validation'!$U$2, 'Data entry'!$BD$6:$BD$200,"&lt;&gt;*Negative*"))))</f>
        <v/>
      </c>
      <c r="H165" t="str">
        <f>IF($C165="","",(SUM(COUNTIFS('Data entry'!$R$6:$R$200,$C165,'Data entry'!$B$6:$B$200,{"Confirmed";"Probable"},'Data entry'!$AQ$6:$AQ$200,'Data Validation'!$V$2, 'Data entry'!$AP$6:$AP$200,'Data Validation'!$U$3, 'Data entry'!$BD$6:$BD$200,"&lt;&gt;*Negative*"))))</f>
        <v/>
      </c>
      <c r="I165" t="str">
        <f>IF($C165="","",(SUM(COUNTIFS('Data entry'!$R$6:$R$200,$C165,'Data entry'!$B$6:$B$200,{"Confirmed";"Probable"},'Data entry'!$AQ$6:$AQ$200,'Data Validation'!$V$2, 'Data entry'!$AP$6:$AP$200,'Data Validation'!$U$4, 'Data entry'!$BD$6:$BD$200,"&lt;&gt;*Negative*"))))</f>
        <v/>
      </c>
      <c r="J165" t="str">
        <f>IF($C165="","",(SUM(COUNTIFS('Data entry'!$R$6:$R$200,$C165,'Data entry'!$B$6:$B$200,{"Confirmed";"Probable"},'Data entry'!$AQ$6:$AQ$200,'Data Validation'!$V$2, 'Data entry'!$AP$6:$AP$200,'Data Validation'!$U$5, 'Data entry'!$BD$6:$BD$200,"&lt;&gt;*Negative*"))))</f>
        <v/>
      </c>
      <c r="K165" t="str">
        <f>IF($C165="","",(SUM(COUNTIFS('Data entry'!$R$6:$R$200,$C165,'Data entry'!$B$6:$B$200,{"Confirmed";"Probable"},'Data entry'!$AQ$6:$AQ$200,'Data Validation'!$V$2, 'Data entry'!$AP$6:$AP$200,'Data Validation'!$U$6, 'Data entry'!$BD$6:$BD$200,"&lt;&gt;*Negative*"))))</f>
        <v/>
      </c>
      <c r="L165" t="str">
        <f>IF($C165="","",(SUM(COUNTIFS('Data entry'!$R$6:$R$200,$C165,'Data entry'!$B$6:$B$200,{"Confirmed";"Probable"},'Data entry'!$AQ$6:$AQ$200,'Data Validation'!$V$3, 'Data entry'!$AP$6:$AP$200,'Data Validation'!$U$2, 'Data entry'!$BD$6:$BD$200,"&lt;&gt;*Negative*"))))</f>
        <v/>
      </c>
      <c r="M165" t="str">
        <f>IF($C165="","",(SUM(COUNTIFS('Data entry'!$R$6:$R$200,$C165,'Data entry'!$B$6:$B$200,{"Confirmed";"Probable"},'Data entry'!$AQ$6:$AQ$200,'Data Validation'!$V$3, 'Data entry'!$AP$6:$AP$200,'Data Validation'!$U$3, 'Data entry'!$BD$6:$BD$200,"&lt;&gt;*Negative*"))))</f>
        <v/>
      </c>
      <c r="N165" t="str">
        <f>IF($C165="","",(SUM(COUNTIFS('Data entry'!$R$6:$R$200,$C165,'Data entry'!$B$6:$B$200,{"Confirmed";"Probable"},'Data entry'!$AQ$6:$AQ$200,'Data Validation'!$V$3, 'Data entry'!$AP$6:$AP$200,'Data Validation'!$U$4, 'Data entry'!$BD$6:$BD$200,"&lt;&gt;*Negative*"))))</f>
        <v/>
      </c>
      <c r="O165" t="str">
        <f>IF($C165="","",(SUM(COUNTIFS('Data entry'!$R$6:$R$200,$C165,'Data entry'!$B$6:$B$200,{"Confirmed";"Probable"},'Data entry'!$AQ$6:$AQ$200,'Data Validation'!$V$3, 'Data entry'!$AP$6:$AP$200,'Data Validation'!$U$5, 'Data entry'!$BD$6:$BD$200,"&lt;&gt;*Negative*"))))</f>
        <v/>
      </c>
      <c r="P165" t="str">
        <f>IF($C165="","",(SUM(COUNTIFS('Data entry'!$R$6:$R$200,$C165,'Data entry'!$B$6:$B$200,{"Confirmed";"Probable"},'Data entry'!$AQ$6:$AQ$200,'Data Validation'!$V$3, 'Data entry'!$AP$6:$AP$200,'Data Validation'!$U$6, 'Data entry'!$BD$6:$BD$200,"&lt;&gt;*Negative*"))))</f>
        <v/>
      </c>
    </row>
    <row r="166" spans="1:16" ht="15.6" x14ac:dyDescent="0.35">
      <c r="A166" s="1" t="str">
        <f>IF('Data entry'!B170="","",'Data entry'!B170)</f>
        <v/>
      </c>
      <c r="B166" s="1" t="str">
        <f>IF('Data entry'!O170="","",'Data entry'!O170)</f>
        <v/>
      </c>
      <c r="C166" s="321" t="str">
        <f>IF('Data entry'!R170="","",'Data entry'!R170)</f>
        <v/>
      </c>
      <c r="D166" s="1" t="str">
        <f>IF('Data entry'!AO170="","",'Data entry'!AO170)</f>
        <v/>
      </c>
      <c r="E166" s="1" t="str">
        <f>IF('Data entry'!AP170="","",'Data entry'!AP170)</f>
        <v/>
      </c>
      <c r="F166" s="1" t="str">
        <f>IF('Data entry'!AQ170="","",'Data entry'!AQ170)</f>
        <v/>
      </c>
      <c r="G166" t="str">
        <f>IF($C166="","",(SUM(COUNTIFS('Data entry'!$R$6:$R$200,$C166,'Data entry'!$B$6:$B$200,{"Confirmed";"Probable"},'Data entry'!$AQ$6:$AQ$200,'Data Validation'!$V$2, 'Data entry'!$AP$6:$AP$200,'Data Validation'!$U$2, 'Data entry'!$BD$6:$BD$200,"&lt;&gt;*Negative*"))))</f>
        <v/>
      </c>
      <c r="H166" t="str">
        <f>IF($C166="","",(SUM(COUNTIFS('Data entry'!$R$6:$R$200,$C166,'Data entry'!$B$6:$B$200,{"Confirmed";"Probable"},'Data entry'!$AQ$6:$AQ$200,'Data Validation'!$V$2, 'Data entry'!$AP$6:$AP$200,'Data Validation'!$U$3, 'Data entry'!$BD$6:$BD$200,"&lt;&gt;*Negative*"))))</f>
        <v/>
      </c>
      <c r="I166" t="str">
        <f>IF($C166="","",(SUM(COUNTIFS('Data entry'!$R$6:$R$200,$C166,'Data entry'!$B$6:$B$200,{"Confirmed";"Probable"},'Data entry'!$AQ$6:$AQ$200,'Data Validation'!$V$2, 'Data entry'!$AP$6:$AP$200,'Data Validation'!$U$4, 'Data entry'!$BD$6:$BD$200,"&lt;&gt;*Negative*"))))</f>
        <v/>
      </c>
      <c r="J166" t="str">
        <f>IF($C166="","",(SUM(COUNTIFS('Data entry'!$R$6:$R$200,$C166,'Data entry'!$B$6:$B$200,{"Confirmed";"Probable"},'Data entry'!$AQ$6:$AQ$200,'Data Validation'!$V$2, 'Data entry'!$AP$6:$AP$200,'Data Validation'!$U$5, 'Data entry'!$BD$6:$BD$200,"&lt;&gt;*Negative*"))))</f>
        <v/>
      </c>
      <c r="K166" t="str">
        <f>IF($C166="","",(SUM(COUNTIFS('Data entry'!$R$6:$R$200,$C166,'Data entry'!$B$6:$B$200,{"Confirmed";"Probable"},'Data entry'!$AQ$6:$AQ$200,'Data Validation'!$V$2, 'Data entry'!$AP$6:$AP$200,'Data Validation'!$U$6, 'Data entry'!$BD$6:$BD$200,"&lt;&gt;*Negative*"))))</f>
        <v/>
      </c>
      <c r="L166" t="str">
        <f>IF($C166="","",(SUM(COUNTIFS('Data entry'!$R$6:$R$200,$C166,'Data entry'!$B$6:$B$200,{"Confirmed";"Probable"},'Data entry'!$AQ$6:$AQ$200,'Data Validation'!$V$3, 'Data entry'!$AP$6:$AP$200,'Data Validation'!$U$2, 'Data entry'!$BD$6:$BD$200,"&lt;&gt;*Negative*"))))</f>
        <v/>
      </c>
      <c r="M166" t="str">
        <f>IF($C166="","",(SUM(COUNTIFS('Data entry'!$R$6:$R$200,$C166,'Data entry'!$B$6:$B$200,{"Confirmed";"Probable"},'Data entry'!$AQ$6:$AQ$200,'Data Validation'!$V$3, 'Data entry'!$AP$6:$AP$200,'Data Validation'!$U$3, 'Data entry'!$BD$6:$BD$200,"&lt;&gt;*Negative*"))))</f>
        <v/>
      </c>
      <c r="N166" t="str">
        <f>IF($C166="","",(SUM(COUNTIFS('Data entry'!$R$6:$R$200,$C166,'Data entry'!$B$6:$B$200,{"Confirmed";"Probable"},'Data entry'!$AQ$6:$AQ$200,'Data Validation'!$V$3, 'Data entry'!$AP$6:$AP$200,'Data Validation'!$U$4, 'Data entry'!$BD$6:$BD$200,"&lt;&gt;*Negative*"))))</f>
        <v/>
      </c>
      <c r="O166" t="str">
        <f>IF($C166="","",(SUM(COUNTIFS('Data entry'!$R$6:$R$200,$C166,'Data entry'!$B$6:$B$200,{"Confirmed";"Probable"},'Data entry'!$AQ$6:$AQ$200,'Data Validation'!$V$3, 'Data entry'!$AP$6:$AP$200,'Data Validation'!$U$5, 'Data entry'!$BD$6:$BD$200,"&lt;&gt;*Negative*"))))</f>
        <v/>
      </c>
      <c r="P166" t="str">
        <f>IF($C166="","",(SUM(COUNTIFS('Data entry'!$R$6:$R$200,$C166,'Data entry'!$B$6:$B$200,{"Confirmed";"Probable"},'Data entry'!$AQ$6:$AQ$200,'Data Validation'!$V$3, 'Data entry'!$AP$6:$AP$200,'Data Validation'!$U$6, 'Data entry'!$BD$6:$BD$200,"&lt;&gt;*Negative*"))))</f>
        <v/>
      </c>
    </row>
    <row r="167" spans="1:16" ht="15.6" x14ac:dyDescent="0.35">
      <c r="A167" s="1" t="str">
        <f>IF('Data entry'!B171="","",'Data entry'!B171)</f>
        <v/>
      </c>
      <c r="B167" s="1" t="str">
        <f>IF('Data entry'!O171="","",'Data entry'!O171)</f>
        <v/>
      </c>
      <c r="C167" s="321" t="str">
        <f>IF('Data entry'!R171="","",'Data entry'!R171)</f>
        <v/>
      </c>
      <c r="D167" s="1" t="str">
        <f>IF('Data entry'!AO171="","",'Data entry'!AO171)</f>
        <v/>
      </c>
      <c r="E167" s="1" t="str">
        <f>IF('Data entry'!AP171="","",'Data entry'!AP171)</f>
        <v/>
      </c>
      <c r="F167" s="1" t="str">
        <f>IF('Data entry'!AQ171="","",'Data entry'!AQ171)</f>
        <v/>
      </c>
      <c r="G167" t="str">
        <f>IF($C167="","",(SUM(COUNTIFS('Data entry'!$R$6:$R$200,$C167,'Data entry'!$B$6:$B$200,{"Confirmed";"Probable"},'Data entry'!$AQ$6:$AQ$200,'Data Validation'!$V$2, 'Data entry'!$AP$6:$AP$200,'Data Validation'!$U$2, 'Data entry'!$BD$6:$BD$200,"&lt;&gt;*Negative*"))))</f>
        <v/>
      </c>
      <c r="H167" t="str">
        <f>IF($C167="","",(SUM(COUNTIFS('Data entry'!$R$6:$R$200,$C167,'Data entry'!$B$6:$B$200,{"Confirmed";"Probable"},'Data entry'!$AQ$6:$AQ$200,'Data Validation'!$V$2, 'Data entry'!$AP$6:$AP$200,'Data Validation'!$U$3, 'Data entry'!$BD$6:$BD$200,"&lt;&gt;*Negative*"))))</f>
        <v/>
      </c>
      <c r="I167" t="str">
        <f>IF($C167="","",(SUM(COUNTIFS('Data entry'!$R$6:$R$200,$C167,'Data entry'!$B$6:$B$200,{"Confirmed";"Probable"},'Data entry'!$AQ$6:$AQ$200,'Data Validation'!$V$2, 'Data entry'!$AP$6:$AP$200,'Data Validation'!$U$4, 'Data entry'!$BD$6:$BD$200,"&lt;&gt;*Negative*"))))</f>
        <v/>
      </c>
      <c r="J167" t="str">
        <f>IF($C167="","",(SUM(COUNTIFS('Data entry'!$R$6:$R$200,$C167,'Data entry'!$B$6:$B$200,{"Confirmed";"Probable"},'Data entry'!$AQ$6:$AQ$200,'Data Validation'!$V$2, 'Data entry'!$AP$6:$AP$200,'Data Validation'!$U$5, 'Data entry'!$BD$6:$BD$200,"&lt;&gt;*Negative*"))))</f>
        <v/>
      </c>
      <c r="K167" t="str">
        <f>IF($C167="","",(SUM(COUNTIFS('Data entry'!$R$6:$R$200,$C167,'Data entry'!$B$6:$B$200,{"Confirmed";"Probable"},'Data entry'!$AQ$6:$AQ$200,'Data Validation'!$V$2, 'Data entry'!$AP$6:$AP$200,'Data Validation'!$U$6, 'Data entry'!$BD$6:$BD$200,"&lt;&gt;*Negative*"))))</f>
        <v/>
      </c>
      <c r="L167" t="str">
        <f>IF($C167="","",(SUM(COUNTIFS('Data entry'!$R$6:$R$200,$C167,'Data entry'!$B$6:$B$200,{"Confirmed";"Probable"},'Data entry'!$AQ$6:$AQ$200,'Data Validation'!$V$3, 'Data entry'!$AP$6:$AP$200,'Data Validation'!$U$2, 'Data entry'!$BD$6:$BD$200,"&lt;&gt;*Negative*"))))</f>
        <v/>
      </c>
      <c r="M167" t="str">
        <f>IF($C167="","",(SUM(COUNTIFS('Data entry'!$R$6:$R$200,$C167,'Data entry'!$B$6:$B$200,{"Confirmed";"Probable"},'Data entry'!$AQ$6:$AQ$200,'Data Validation'!$V$3, 'Data entry'!$AP$6:$AP$200,'Data Validation'!$U$3, 'Data entry'!$BD$6:$BD$200,"&lt;&gt;*Negative*"))))</f>
        <v/>
      </c>
      <c r="N167" t="str">
        <f>IF($C167="","",(SUM(COUNTIFS('Data entry'!$R$6:$R$200,$C167,'Data entry'!$B$6:$B$200,{"Confirmed";"Probable"},'Data entry'!$AQ$6:$AQ$200,'Data Validation'!$V$3, 'Data entry'!$AP$6:$AP$200,'Data Validation'!$U$4, 'Data entry'!$BD$6:$BD$200,"&lt;&gt;*Negative*"))))</f>
        <v/>
      </c>
      <c r="O167" t="str">
        <f>IF($C167="","",(SUM(COUNTIFS('Data entry'!$R$6:$R$200,$C167,'Data entry'!$B$6:$B$200,{"Confirmed";"Probable"},'Data entry'!$AQ$6:$AQ$200,'Data Validation'!$V$3, 'Data entry'!$AP$6:$AP$200,'Data Validation'!$U$5, 'Data entry'!$BD$6:$BD$200,"&lt;&gt;*Negative*"))))</f>
        <v/>
      </c>
      <c r="P167" t="str">
        <f>IF($C167="","",(SUM(COUNTIFS('Data entry'!$R$6:$R$200,$C167,'Data entry'!$B$6:$B$200,{"Confirmed";"Probable"},'Data entry'!$AQ$6:$AQ$200,'Data Validation'!$V$3, 'Data entry'!$AP$6:$AP$200,'Data Validation'!$U$6, 'Data entry'!$BD$6:$BD$200,"&lt;&gt;*Negative*"))))</f>
        <v/>
      </c>
    </row>
    <row r="168" spans="1:16" ht="15.6" x14ac:dyDescent="0.35">
      <c r="A168" s="1" t="str">
        <f>IF('Data entry'!B172="","",'Data entry'!B172)</f>
        <v/>
      </c>
      <c r="B168" s="1" t="str">
        <f>IF('Data entry'!O172="","",'Data entry'!O172)</f>
        <v/>
      </c>
      <c r="C168" s="321" t="str">
        <f>IF('Data entry'!R172="","",'Data entry'!R172)</f>
        <v/>
      </c>
      <c r="D168" s="1" t="str">
        <f>IF('Data entry'!AO172="","",'Data entry'!AO172)</f>
        <v/>
      </c>
      <c r="E168" s="1" t="str">
        <f>IF('Data entry'!AP172="","",'Data entry'!AP172)</f>
        <v/>
      </c>
      <c r="F168" s="1" t="str">
        <f>IF('Data entry'!AQ172="","",'Data entry'!AQ172)</f>
        <v/>
      </c>
      <c r="G168" t="str">
        <f>IF($C168="","",(SUM(COUNTIFS('Data entry'!$R$6:$R$200,$C168,'Data entry'!$B$6:$B$200,{"Confirmed";"Probable"},'Data entry'!$AQ$6:$AQ$200,'Data Validation'!$V$2, 'Data entry'!$AP$6:$AP$200,'Data Validation'!$U$2, 'Data entry'!$BD$6:$BD$200,"&lt;&gt;*Negative*"))))</f>
        <v/>
      </c>
      <c r="H168" t="str">
        <f>IF($C168="","",(SUM(COUNTIFS('Data entry'!$R$6:$R$200,$C168,'Data entry'!$B$6:$B$200,{"Confirmed";"Probable"},'Data entry'!$AQ$6:$AQ$200,'Data Validation'!$V$2, 'Data entry'!$AP$6:$AP$200,'Data Validation'!$U$3, 'Data entry'!$BD$6:$BD$200,"&lt;&gt;*Negative*"))))</f>
        <v/>
      </c>
      <c r="I168" t="str">
        <f>IF($C168="","",(SUM(COUNTIFS('Data entry'!$R$6:$R$200,$C168,'Data entry'!$B$6:$B$200,{"Confirmed";"Probable"},'Data entry'!$AQ$6:$AQ$200,'Data Validation'!$V$2, 'Data entry'!$AP$6:$AP$200,'Data Validation'!$U$4, 'Data entry'!$BD$6:$BD$200,"&lt;&gt;*Negative*"))))</f>
        <v/>
      </c>
      <c r="J168" t="str">
        <f>IF($C168="","",(SUM(COUNTIFS('Data entry'!$R$6:$R$200,$C168,'Data entry'!$B$6:$B$200,{"Confirmed";"Probable"},'Data entry'!$AQ$6:$AQ$200,'Data Validation'!$V$2, 'Data entry'!$AP$6:$AP$200,'Data Validation'!$U$5, 'Data entry'!$BD$6:$BD$200,"&lt;&gt;*Negative*"))))</f>
        <v/>
      </c>
      <c r="K168" t="str">
        <f>IF($C168="","",(SUM(COUNTIFS('Data entry'!$R$6:$R$200,$C168,'Data entry'!$B$6:$B$200,{"Confirmed";"Probable"},'Data entry'!$AQ$6:$AQ$200,'Data Validation'!$V$2, 'Data entry'!$AP$6:$AP$200,'Data Validation'!$U$6, 'Data entry'!$BD$6:$BD$200,"&lt;&gt;*Negative*"))))</f>
        <v/>
      </c>
      <c r="L168" t="str">
        <f>IF($C168="","",(SUM(COUNTIFS('Data entry'!$R$6:$R$200,$C168,'Data entry'!$B$6:$B$200,{"Confirmed";"Probable"},'Data entry'!$AQ$6:$AQ$200,'Data Validation'!$V$3, 'Data entry'!$AP$6:$AP$200,'Data Validation'!$U$2, 'Data entry'!$BD$6:$BD$200,"&lt;&gt;*Negative*"))))</f>
        <v/>
      </c>
      <c r="M168" t="str">
        <f>IF($C168="","",(SUM(COUNTIFS('Data entry'!$R$6:$R$200,$C168,'Data entry'!$B$6:$B$200,{"Confirmed";"Probable"},'Data entry'!$AQ$6:$AQ$200,'Data Validation'!$V$3, 'Data entry'!$AP$6:$AP$200,'Data Validation'!$U$3, 'Data entry'!$BD$6:$BD$200,"&lt;&gt;*Negative*"))))</f>
        <v/>
      </c>
      <c r="N168" t="str">
        <f>IF($C168="","",(SUM(COUNTIFS('Data entry'!$R$6:$R$200,$C168,'Data entry'!$B$6:$B$200,{"Confirmed";"Probable"},'Data entry'!$AQ$6:$AQ$200,'Data Validation'!$V$3, 'Data entry'!$AP$6:$AP$200,'Data Validation'!$U$4, 'Data entry'!$BD$6:$BD$200,"&lt;&gt;*Negative*"))))</f>
        <v/>
      </c>
      <c r="O168" t="str">
        <f>IF($C168="","",(SUM(COUNTIFS('Data entry'!$R$6:$R$200,$C168,'Data entry'!$B$6:$B$200,{"Confirmed";"Probable"},'Data entry'!$AQ$6:$AQ$200,'Data Validation'!$V$3, 'Data entry'!$AP$6:$AP$200,'Data Validation'!$U$5, 'Data entry'!$BD$6:$BD$200,"&lt;&gt;*Negative*"))))</f>
        <v/>
      </c>
      <c r="P168" t="str">
        <f>IF($C168="","",(SUM(COUNTIFS('Data entry'!$R$6:$R$200,$C168,'Data entry'!$B$6:$B$200,{"Confirmed";"Probable"},'Data entry'!$AQ$6:$AQ$200,'Data Validation'!$V$3, 'Data entry'!$AP$6:$AP$200,'Data Validation'!$U$6, 'Data entry'!$BD$6:$BD$200,"&lt;&gt;*Negative*"))))</f>
        <v/>
      </c>
    </row>
    <row r="169" spans="1:16" ht="15.6" x14ac:dyDescent="0.35">
      <c r="A169" s="1" t="str">
        <f>IF('Data entry'!B173="","",'Data entry'!B173)</f>
        <v/>
      </c>
      <c r="B169" s="1" t="str">
        <f>IF('Data entry'!O173="","",'Data entry'!O173)</f>
        <v/>
      </c>
      <c r="C169" s="321" t="str">
        <f>IF('Data entry'!R173="","",'Data entry'!R173)</f>
        <v/>
      </c>
      <c r="D169" s="1" t="str">
        <f>IF('Data entry'!AO173="","",'Data entry'!AO173)</f>
        <v/>
      </c>
      <c r="E169" s="1" t="str">
        <f>IF('Data entry'!AP173="","",'Data entry'!AP173)</f>
        <v/>
      </c>
      <c r="F169" s="1" t="str">
        <f>IF('Data entry'!AQ173="","",'Data entry'!AQ173)</f>
        <v/>
      </c>
      <c r="G169" t="str">
        <f>IF($C169="","",(SUM(COUNTIFS('Data entry'!$R$6:$R$200,$C169,'Data entry'!$B$6:$B$200,{"Confirmed";"Probable"},'Data entry'!$AQ$6:$AQ$200,'Data Validation'!$V$2, 'Data entry'!$AP$6:$AP$200,'Data Validation'!$U$2, 'Data entry'!$BD$6:$BD$200,"&lt;&gt;*Negative*"))))</f>
        <v/>
      </c>
      <c r="H169" t="str">
        <f>IF($C169="","",(SUM(COUNTIFS('Data entry'!$R$6:$R$200,$C169,'Data entry'!$B$6:$B$200,{"Confirmed";"Probable"},'Data entry'!$AQ$6:$AQ$200,'Data Validation'!$V$2, 'Data entry'!$AP$6:$AP$200,'Data Validation'!$U$3, 'Data entry'!$BD$6:$BD$200,"&lt;&gt;*Negative*"))))</f>
        <v/>
      </c>
      <c r="I169" t="str">
        <f>IF($C169="","",(SUM(COUNTIFS('Data entry'!$R$6:$R$200,$C169,'Data entry'!$B$6:$B$200,{"Confirmed";"Probable"},'Data entry'!$AQ$6:$AQ$200,'Data Validation'!$V$2, 'Data entry'!$AP$6:$AP$200,'Data Validation'!$U$4, 'Data entry'!$BD$6:$BD$200,"&lt;&gt;*Negative*"))))</f>
        <v/>
      </c>
      <c r="J169" t="str">
        <f>IF($C169="","",(SUM(COUNTIFS('Data entry'!$R$6:$R$200,$C169,'Data entry'!$B$6:$B$200,{"Confirmed";"Probable"},'Data entry'!$AQ$6:$AQ$200,'Data Validation'!$V$2, 'Data entry'!$AP$6:$AP$200,'Data Validation'!$U$5, 'Data entry'!$BD$6:$BD$200,"&lt;&gt;*Negative*"))))</f>
        <v/>
      </c>
      <c r="K169" t="str">
        <f>IF($C169="","",(SUM(COUNTIFS('Data entry'!$R$6:$R$200,$C169,'Data entry'!$B$6:$B$200,{"Confirmed";"Probable"},'Data entry'!$AQ$6:$AQ$200,'Data Validation'!$V$2, 'Data entry'!$AP$6:$AP$200,'Data Validation'!$U$6, 'Data entry'!$BD$6:$BD$200,"&lt;&gt;*Negative*"))))</f>
        <v/>
      </c>
      <c r="L169" t="str">
        <f>IF($C169="","",(SUM(COUNTIFS('Data entry'!$R$6:$R$200,$C169,'Data entry'!$B$6:$B$200,{"Confirmed";"Probable"},'Data entry'!$AQ$6:$AQ$200,'Data Validation'!$V$3, 'Data entry'!$AP$6:$AP$200,'Data Validation'!$U$2, 'Data entry'!$BD$6:$BD$200,"&lt;&gt;*Negative*"))))</f>
        <v/>
      </c>
      <c r="M169" t="str">
        <f>IF($C169="","",(SUM(COUNTIFS('Data entry'!$R$6:$R$200,$C169,'Data entry'!$B$6:$B$200,{"Confirmed";"Probable"},'Data entry'!$AQ$6:$AQ$200,'Data Validation'!$V$3, 'Data entry'!$AP$6:$AP$200,'Data Validation'!$U$3, 'Data entry'!$BD$6:$BD$200,"&lt;&gt;*Negative*"))))</f>
        <v/>
      </c>
      <c r="N169" t="str">
        <f>IF($C169="","",(SUM(COUNTIFS('Data entry'!$R$6:$R$200,$C169,'Data entry'!$B$6:$B$200,{"Confirmed";"Probable"},'Data entry'!$AQ$6:$AQ$200,'Data Validation'!$V$3, 'Data entry'!$AP$6:$AP$200,'Data Validation'!$U$4, 'Data entry'!$BD$6:$BD$200,"&lt;&gt;*Negative*"))))</f>
        <v/>
      </c>
      <c r="O169" t="str">
        <f>IF($C169="","",(SUM(COUNTIFS('Data entry'!$R$6:$R$200,$C169,'Data entry'!$B$6:$B$200,{"Confirmed";"Probable"},'Data entry'!$AQ$6:$AQ$200,'Data Validation'!$V$3, 'Data entry'!$AP$6:$AP$200,'Data Validation'!$U$5, 'Data entry'!$BD$6:$BD$200,"&lt;&gt;*Negative*"))))</f>
        <v/>
      </c>
      <c r="P169" t="str">
        <f>IF($C169="","",(SUM(COUNTIFS('Data entry'!$R$6:$R$200,$C169,'Data entry'!$B$6:$B$200,{"Confirmed";"Probable"},'Data entry'!$AQ$6:$AQ$200,'Data Validation'!$V$3, 'Data entry'!$AP$6:$AP$200,'Data Validation'!$U$6, 'Data entry'!$BD$6:$BD$200,"&lt;&gt;*Negative*"))))</f>
        <v/>
      </c>
    </row>
    <row r="170" spans="1:16" ht="15.6" x14ac:dyDescent="0.35">
      <c r="A170" s="1" t="str">
        <f>IF('Data entry'!B174="","",'Data entry'!B174)</f>
        <v/>
      </c>
      <c r="B170" s="1" t="str">
        <f>IF('Data entry'!O174="","",'Data entry'!O174)</f>
        <v/>
      </c>
      <c r="C170" s="321" t="str">
        <f>IF('Data entry'!R174="","",'Data entry'!R174)</f>
        <v/>
      </c>
      <c r="D170" s="1" t="str">
        <f>IF('Data entry'!AO174="","",'Data entry'!AO174)</f>
        <v/>
      </c>
      <c r="E170" s="1" t="str">
        <f>IF('Data entry'!AP174="","",'Data entry'!AP174)</f>
        <v/>
      </c>
      <c r="F170" s="1" t="str">
        <f>IF('Data entry'!AQ174="","",'Data entry'!AQ174)</f>
        <v/>
      </c>
      <c r="G170" t="str">
        <f>IF($C170="","",(SUM(COUNTIFS('Data entry'!$R$6:$R$200,$C170,'Data entry'!$B$6:$B$200,{"Confirmed";"Probable"},'Data entry'!$AQ$6:$AQ$200,'Data Validation'!$V$2, 'Data entry'!$AP$6:$AP$200,'Data Validation'!$U$2, 'Data entry'!$BD$6:$BD$200,"&lt;&gt;*Negative*"))))</f>
        <v/>
      </c>
      <c r="H170" t="str">
        <f>IF($C170="","",(SUM(COUNTIFS('Data entry'!$R$6:$R$200,$C170,'Data entry'!$B$6:$B$200,{"Confirmed";"Probable"},'Data entry'!$AQ$6:$AQ$200,'Data Validation'!$V$2, 'Data entry'!$AP$6:$AP$200,'Data Validation'!$U$3, 'Data entry'!$BD$6:$BD$200,"&lt;&gt;*Negative*"))))</f>
        <v/>
      </c>
      <c r="I170" t="str">
        <f>IF($C170="","",(SUM(COUNTIFS('Data entry'!$R$6:$R$200,$C170,'Data entry'!$B$6:$B$200,{"Confirmed";"Probable"},'Data entry'!$AQ$6:$AQ$200,'Data Validation'!$V$2, 'Data entry'!$AP$6:$AP$200,'Data Validation'!$U$4, 'Data entry'!$BD$6:$BD$200,"&lt;&gt;*Negative*"))))</f>
        <v/>
      </c>
      <c r="J170" t="str">
        <f>IF($C170="","",(SUM(COUNTIFS('Data entry'!$R$6:$R$200,$C170,'Data entry'!$B$6:$B$200,{"Confirmed";"Probable"},'Data entry'!$AQ$6:$AQ$200,'Data Validation'!$V$2, 'Data entry'!$AP$6:$AP$200,'Data Validation'!$U$5, 'Data entry'!$BD$6:$BD$200,"&lt;&gt;*Negative*"))))</f>
        <v/>
      </c>
      <c r="K170" t="str">
        <f>IF($C170="","",(SUM(COUNTIFS('Data entry'!$R$6:$R$200,$C170,'Data entry'!$B$6:$B$200,{"Confirmed";"Probable"},'Data entry'!$AQ$6:$AQ$200,'Data Validation'!$V$2, 'Data entry'!$AP$6:$AP$200,'Data Validation'!$U$6, 'Data entry'!$BD$6:$BD$200,"&lt;&gt;*Negative*"))))</f>
        <v/>
      </c>
      <c r="L170" t="str">
        <f>IF($C170="","",(SUM(COUNTIFS('Data entry'!$R$6:$R$200,$C170,'Data entry'!$B$6:$B$200,{"Confirmed";"Probable"},'Data entry'!$AQ$6:$AQ$200,'Data Validation'!$V$3, 'Data entry'!$AP$6:$AP$200,'Data Validation'!$U$2, 'Data entry'!$BD$6:$BD$200,"&lt;&gt;*Negative*"))))</f>
        <v/>
      </c>
      <c r="M170" t="str">
        <f>IF($C170="","",(SUM(COUNTIFS('Data entry'!$R$6:$R$200,$C170,'Data entry'!$B$6:$B$200,{"Confirmed";"Probable"},'Data entry'!$AQ$6:$AQ$200,'Data Validation'!$V$3, 'Data entry'!$AP$6:$AP$200,'Data Validation'!$U$3, 'Data entry'!$BD$6:$BD$200,"&lt;&gt;*Negative*"))))</f>
        <v/>
      </c>
      <c r="N170" t="str">
        <f>IF($C170="","",(SUM(COUNTIFS('Data entry'!$R$6:$R$200,$C170,'Data entry'!$B$6:$B$200,{"Confirmed";"Probable"},'Data entry'!$AQ$6:$AQ$200,'Data Validation'!$V$3, 'Data entry'!$AP$6:$AP$200,'Data Validation'!$U$4, 'Data entry'!$BD$6:$BD$200,"&lt;&gt;*Negative*"))))</f>
        <v/>
      </c>
      <c r="O170" t="str">
        <f>IF($C170="","",(SUM(COUNTIFS('Data entry'!$R$6:$R$200,$C170,'Data entry'!$B$6:$B$200,{"Confirmed";"Probable"},'Data entry'!$AQ$6:$AQ$200,'Data Validation'!$V$3, 'Data entry'!$AP$6:$AP$200,'Data Validation'!$U$5, 'Data entry'!$BD$6:$BD$200,"&lt;&gt;*Negative*"))))</f>
        <v/>
      </c>
      <c r="P170" t="str">
        <f>IF($C170="","",(SUM(COUNTIFS('Data entry'!$R$6:$R$200,$C170,'Data entry'!$B$6:$B$200,{"Confirmed";"Probable"},'Data entry'!$AQ$6:$AQ$200,'Data Validation'!$V$3, 'Data entry'!$AP$6:$AP$200,'Data Validation'!$U$6, 'Data entry'!$BD$6:$BD$200,"&lt;&gt;*Negative*"))))</f>
        <v/>
      </c>
    </row>
    <row r="171" spans="1:16" ht="15.6" x14ac:dyDescent="0.35">
      <c r="A171" s="1" t="str">
        <f>IF('Data entry'!B175="","",'Data entry'!B175)</f>
        <v/>
      </c>
      <c r="B171" s="1" t="str">
        <f>IF('Data entry'!O175="","",'Data entry'!O175)</f>
        <v/>
      </c>
      <c r="C171" s="321" t="str">
        <f>IF('Data entry'!R175="","",'Data entry'!R175)</f>
        <v/>
      </c>
      <c r="D171" s="1" t="str">
        <f>IF('Data entry'!AO175="","",'Data entry'!AO175)</f>
        <v/>
      </c>
      <c r="E171" s="1" t="str">
        <f>IF('Data entry'!AP175="","",'Data entry'!AP175)</f>
        <v/>
      </c>
      <c r="F171" s="1" t="str">
        <f>IF('Data entry'!AQ175="","",'Data entry'!AQ175)</f>
        <v/>
      </c>
      <c r="G171" t="str">
        <f>IF($C171="","",(SUM(COUNTIFS('Data entry'!$R$6:$R$200,$C171,'Data entry'!$B$6:$B$200,{"Confirmed";"Probable"},'Data entry'!$AQ$6:$AQ$200,'Data Validation'!$V$2, 'Data entry'!$AP$6:$AP$200,'Data Validation'!$U$2, 'Data entry'!$BD$6:$BD$200,"&lt;&gt;*Negative*"))))</f>
        <v/>
      </c>
      <c r="H171" t="str">
        <f>IF($C171="","",(SUM(COUNTIFS('Data entry'!$R$6:$R$200,$C171,'Data entry'!$B$6:$B$200,{"Confirmed";"Probable"},'Data entry'!$AQ$6:$AQ$200,'Data Validation'!$V$2, 'Data entry'!$AP$6:$AP$200,'Data Validation'!$U$3, 'Data entry'!$BD$6:$BD$200,"&lt;&gt;*Negative*"))))</f>
        <v/>
      </c>
      <c r="I171" t="str">
        <f>IF($C171="","",(SUM(COUNTIFS('Data entry'!$R$6:$R$200,$C171,'Data entry'!$B$6:$B$200,{"Confirmed";"Probable"},'Data entry'!$AQ$6:$AQ$200,'Data Validation'!$V$2, 'Data entry'!$AP$6:$AP$200,'Data Validation'!$U$4, 'Data entry'!$BD$6:$BD$200,"&lt;&gt;*Negative*"))))</f>
        <v/>
      </c>
      <c r="J171" t="str">
        <f>IF($C171="","",(SUM(COUNTIFS('Data entry'!$R$6:$R$200,$C171,'Data entry'!$B$6:$B$200,{"Confirmed";"Probable"},'Data entry'!$AQ$6:$AQ$200,'Data Validation'!$V$2, 'Data entry'!$AP$6:$AP$200,'Data Validation'!$U$5, 'Data entry'!$BD$6:$BD$200,"&lt;&gt;*Negative*"))))</f>
        <v/>
      </c>
      <c r="K171" t="str">
        <f>IF($C171="","",(SUM(COUNTIFS('Data entry'!$R$6:$R$200,$C171,'Data entry'!$B$6:$B$200,{"Confirmed";"Probable"},'Data entry'!$AQ$6:$AQ$200,'Data Validation'!$V$2, 'Data entry'!$AP$6:$AP$200,'Data Validation'!$U$6, 'Data entry'!$BD$6:$BD$200,"&lt;&gt;*Negative*"))))</f>
        <v/>
      </c>
      <c r="L171" t="str">
        <f>IF($C171="","",(SUM(COUNTIFS('Data entry'!$R$6:$R$200,$C171,'Data entry'!$B$6:$B$200,{"Confirmed";"Probable"},'Data entry'!$AQ$6:$AQ$200,'Data Validation'!$V$3, 'Data entry'!$AP$6:$AP$200,'Data Validation'!$U$2, 'Data entry'!$BD$6:$BD$200,"&lt;&gt;*Negative*"))))</f>
        <v/>
      </c>
      <c r="M171" t="str">
        <f>IF($C171="","",(SUM(COUNTIFS('Data entry'!$R$6:$R$200,$C171,'Data entry'!$B$6:$B$200,{"Confirmed";"Probable"},'Data entry'!$AQ$6:$AQ$200,'Data Validation'!$V$3, 'Data entry'!$AP$6:$AP$200,'Data Validation'!$U$3, 'Data entry'!$BD$6:$BD$200,"&lt;&gt;*Negative*"))))</f>
        <v/>
      </c>
      <c r="N171" t="str">
        <f>IF($C171="","",(SUM(COUNTIFS('Data entry'!$R$6:$R$200,$C171,'Data entry'!$B$6:$B$200,{"Confirmed";"Probable"},'Data entry'!$AQ$6:$AQ$200,'Data Validation'!$V$3, 'Data entry'!$AP$6:$AP$200,'Data Validation'!$U$4, 'Data entry'!$BD$6:$BD$200,"&lt;&gt;*Negative*"))))</f>
        <v/>
      </c>
      <c r="O171" t="str">
        <f>IF($C171="","",(SUM(COUNTIFS('Data entry'!$R$6:$R$200,$C171,'Data entry'!$B$6:$B$200,{"Confirmed";"Probable"},'Data entry'!$AQ$6:$AQ$200,'Data Validation'!$V$3, 'Data entry'!$AP$6:$AP$200,'Data Validation'!$U$5, 'Data entry'!$BD$6:$BD$200,"&lt;&gt;*Negative*"))))</f>
        <v/>
      </c>
      <c r="P171" t="str">
        <f>IF($C171="","",(SUM(COUNTIFS('Data entry'!$R$6:$R$200,$C171,'Data entry'!$B$6:$B$200,{"Confirmed";"Probable"},'Data entry'!$AQ$6:$AQ$200,'Data Validation'!$V$3, 'Data entry'!$AP$6:$AP$200,'Data Validation'!$U$6, 'Data entry'!$BD$6:$BD$200,"&lt;&gt;*Negative*"))))</f>
        <v/>
      </c>
    </row>
    <row r="172" spans="1:16" ht="15.6" x14ac:dyDescent="0.35">
      <c r="A172" s="1" t="str">
        <f>IF('Data entry'!B176="","",'Data entry'!B176)</f>
        <v/>
      </c>
      <c r="B172" s="1" t="str">
        <f>IF('Data entry'!O176="","",'Data entry'!O176)</f>
        <v/>
      </c>
      <c r="C172" s="321" t="str">
        <f>IF('Data entry'!R176="","",'Data entry'!R176)</f>
        <v/>
      </c>
      <c r="D172" s="1" t="str">
        <f>IF('Data entry'!AO176="","",'Data entry'!AO176)</f>
        <v/>
      </c>
      <c r="E172" s="1" t="str">
        <f>IF('Data entry'!AP176="","",'Data entry'!AP176)</f>
        <v/>
      </c>
      <c r="F172" s="1" t="str">
        <f>IF('Data entry'!AQ176="","",'Data entry'!AQ176)</f>
        <v/>
      </c>
      <c r="G172" t="str">
        <f>IF($C172="","",(SUM(COUNTIFS('Data entry'!$R$6:$R$200,$C172,'Data entry'!$B$6:$B$200,{"Confirmed";"Probable"},'Data entry'!$AQ$6:$AQ$200,'Data Validation'!$V$2, 'Data entry'!$AP$6:$AP$200,'Data Validation'!$U$2, 'Data entry'!$BD$6:$BD$200,"&lt;&gt;*Negative*"))))</f>
        <v/>
      </c>
      <c r="H172" t="str">
        <f>IF($C172="","",(SUM(COUNTIFS('Data entry'!$R$6:$R$200,$C172,'Data entry'!$B$6:$B$200,{"Confirmed";"Probable"},'Data entry'!$AQ$6:$AQ$200,'Data Validation'!$V$2, 'Data entry'!$AP$6:$AP$200,'Data Validation'!$U$3, 'Data entry'!$BD$6:$BD$200,"&lt;&gt;*Negative*"))))</f>
        <v/>
      </c>
      <c r="I172" t="str">
        <f>IF($C172="","",(SUM(COUNTIFS('Data entry'!$R$6:$R$200,$C172,'Data entry'!$B$6:$B$200,{"Confirmed";"Probable"},'Data entry'!$AQ$6:$AQ$200,'Data Validation'!$V$2, 'Data entry'!$AP$6:$AP$200,'Data Validation'!$U$4, 'Data entry'!$BD$6:$BD$200,"&lt;&gt;*Negative*"))))</f>
        <v/>
      </c>
      <c r="J172" t="str">
        <f>IF($C172="","",(SUM(COUNTIFS('Data entry'!$R$6:$R$200,$C172,'Data entry'!$B$6:$B$200,{"Confirmed";"Probable"},'Data entry'!$AQ$6:$AQ$200,'Data Validation'!$V$2, 'Data entry'!$AP$6:$AP$200,'Data Validation'!$U$5, 'Data entry'!$BD$6:$BD$200,"&lt;&gt;*Negative*"))))</f>
        <v/>
      </c>
      <c r="K172" t="str">
        <f>IF($C172="","",(SUM(COUNTIFS('Data entry'!$R$6:$R$200,$C172,'Data entry'!$B$6:$B$200,{"Confirmed";"Probable"},'Data entry'!$AQ$6:$AQ$200,'Data Validation'!$V$2, 'Data entry'!$AP$6:$AP$200,'Data Validation'!$U$6, 'Data entry'!$BD$6:$BD$200,"&lt;&gt;*Negative*"))))</f>
        <v/>
      </c>
      <c r="L172" t="str">
        <f>IF($C172="","",(SUM(COUNTIFS('Data entry'!$R$6:$R$200,$C172,'Data entry'!$B$6:$B$200,{"Confirmed";"Probable"},'Data entry'!$AQ$6:$AQ$200,'Data Validation'!$V$3, 'Data entry'!$AP$6:$AP$200,'Data Validation'!$U$2, 'Data entry'!$BD$6:$BD$200,"&lt;&gt;*Negative*"))))</f>
        <v/>
      </c>
      <c r="M172" t="str">
        <f>IF($C172="","",(SUM(COUNTIFS('Data entry'!$R$6:$R$200,$C172,'Data entry'!$B$6:$B$200,{"Confirmed";"Probable"},'Data entry'!$AQ$6:$AQ$200,'Data Validation'!$V$3, 'Data entry'!$AP$6:$AP$200,'Data Validation'!$U$3, 'Data entry'!$BD$6:$BD$200,"&lt;&gt;*Negative*"))))</f>
        <v/>
      </c>
      <c r="N172" t="str">
        <f>IF($C172="","",(SUM(COUNTIFS('Data entry'!$R$6:$R$200,$C172,'Data entry'!$B$6:$B$200,{"Confirmed";"Probable"},'Data entry'!$AQ$6:$AQ$200,'Data Validation'!$V$3, 'Data entry'!$AP$6:$AP$200,'Data Validation'!$U$4, 'Data entry'!$BD$6:$BD$200,"&lt;&gt;*Negative*"))))</f>
        <v/>
      </c>
      <c r="O172" t="str">
        <f>IF($C172="","",(SUM(COUNTIFS('Data entry'!$R$6:$R$200,$C172,'Data entry'!$B$6:$B$200,{"Confirmed";"Probable"},'Data entry'!$AQ$6:$AQ$200,'Data Validation'!$V$3, 'Data entry'!$AP$6:$AP$200,'Data Validation'!$U$5, 'Data entry'!$BD$6:$BD$200,"&lt;&gt;*Negative*"))))</f>
        <v/>
      </c>
      <c r="P172" t="str">
        <f>IF($C172="","",(SUM(COUNTIFS('Data entry'!$R$6:$R$200,$C172,'Data entry'!$B$6:$B$200,{"Confirmed";"Probable"},'Data entry'!$AQ$6:$AQ$200,'Data Validation'!$V$3, 'Data entry'!$AP$6:$AP$200,'Data Validation'!$U$6, 'Data entry'!$BD$6:$BD$200,"&lt;&gt;*Negative*"))))</f>
        <v/>
      </c>
    </row>
    <row r="173" spans="1:16" ht="15.6" x14ac:dyDescent="0.35">
      <c r="A173" s="1" t="str">
        <f>IF('Data entry'!B177="","",'Data entry'!B177)</f>
        <v/>
      </c>
      <c r="B173" s="1" t="str">
        <f>IF('Data entry'!O177="","",'Data entry'!O177)</f>
        <v/>
      </c>
      <c r="C173" s="321" t="str">
        <f>IF('Data entry'!R177="","",'Data entry'!R177)</f>
        <v/>
      </c>
      <c r="D173" s="1" t="str">
        <f>IF('Data entry'!AO177="","",'Data entry'!AO177)</f>
        <v/>
      </c>
      <c r="E173" s="1" t="str">
        <f>IF('Data entry'!AP177="","",'Data entry'!AP177)</f>
        <v/>
      </c>
      <c r="F173" s="1" t="str">
        <f>IF('Data entry'!AQ177="","",'Data entry'!AQ177)</f>
        <v/>
      </c>
      <c r="G173" t="str">
        <f>IF($C173="","",(SUM(COUNTIFS('Data entry'!$R$6:$R$200,$C173,'Data entry'!$B$6:$B$200,{"Confirmed";"Probable"},'Data entry'!$AQ$6:$AQ$200,'Data Validation'!$V$2, 'Data entry'!$AP$6:$AP$200,'Data Validation'!$U$2, 'Data entry'!$BD$6:$BD$200,"&lt;&gt;*Negative*"))))</f>
        <v/>
      </c>
      <c r="H173" t="str">
        <f>IF($C173="","",(SUM(COUNTIFS('Data entry'!$R$6:$R$200,$C173,'Data entry'!$B$6:$B$200,{"Confirmed";"Probable"},'Data entry'!$AQ$6:$AQ$200,'Data Validation'!$V$2, 'Data entry'!$AP$6:$AP$200,'Data Validation'!$U$3, 'Data entry'!$BD$6:$BD$200,"&lt;&gt;*Negative*"))))</f>
        <v/>
      </c>
      <c r="I173" t="str">
        <f>IF($C173="","",(SUM(COUNTIFS('Data entry'!$R$6:$R$200,$C173,'Data entry'!$B$6:$B$200,{"Confirmed";"Probable"},'Data entry'!$AQ$6:$AQ$200,'Data Validation'!$V$2, 'Data entry'!$AP$6:$AP$200,'Data Validation'!$U$4, 'Data entry'!$BD$6:$BD$200,"&lt;&gt;*Negative*"))))</f>
        <v/>
      </c>
      <c r="J173" t="str">
        <f>IF($C173="","",(SUM(COUNTIFS('Data entry'!$R$6:$R$200,$C173,'Data entry'!$B$6:$B$200,{"Confirmed";"Probable"},'Data entry'!$AQ$6:$AQ$200,'Data Validation'!$V$2, 'Data entry'!$AP$6:$AP$200,'Data Validation'!$U$5, 'Data entry'!$BD$6:$BD$200,"&lt;&gt;*Negative*"))))</f>
        <v/>
      </c>
      <c r="K173" t="str">
        <f>IF($C173="","",(SUM(COUNTIFS('Data entry'!$R$6:$R$200,$C173,'Data entry'!$B$6:$B$200,{"Confirmed";"Probable"},'Data entry'!$AQ$6:$AQ$200,'Data Validation'!$V$2, 'Data entry'!$AP$6:$AP$200,'Data Validation'!$U$6, 'Data entry'!$BD$6:$BD$200,"&lt;&gt;*Negative*"))))</f>
        <v/>
      </c>
      <c r="L173" t="str">
        <f>IF($C173="","",(SUM(COUNTIFS('Data entry'!$R$6:$R$200,$C173,'Data entry'!$B$6:$B$200,{"Confirmed";"Probable"},'Data entry'!$AQ$6:$AQ$200,'Data Validation'!$V$3, 'Data entry'!$AP$6:$AP$200,'Data Validation'!$U$2, 'Data entry'!$BD$6:$BD$200,"&lt;&gt;*Negative*"))))</f>
        <v/>
      </c>
      <c r="M173" t="str">
        <f>IF($C173="","",(SUM(COUNTIFS('Data entry'!$R$6:$R$200,$C173,'Data entry'!$B$6:$B$200,{"Confirmed";"Probable"},'Data entry'!$AQ$6:$AQ$200,'Data Validation'!$V$3, 'Data entry'!$AP$6:$AP$200,'Data Validation'!$U$3, 'Data entry'!$BD$6:$BD$200,"&lt;&gt;*Negative*"))))</f>
        <v/>
      </c>
      <c r="N173" t="str">
        <f>IF($C173="","",(SUM(COUNTIFS('Data entry'!$R$6:$R$200,$C173,'Data entry'!$B$6:$B$200,{"Confirmed";"Probable"},'Data entry'!$AQ$6:$AQ$200,'Data Validation'!$V$3, 'Data entry'!$AP$6:$AP$200,'Data Validation'!$U$4, 'Data entry'!$BD$6:$BD$200,"&lt;&gt;*Negative*"))))</f>
        <v/>
      </c>
      <c r="O173" t="str">
        <f>IF($C173="","",(SUM(COUNTIFS('Data entry'!$R$6:$R$200,$C173,'Data entry'!$B$6:$B$200,{"Confirmed";"Probable"},'Data entry'!$AQ$6:$AQ$200,'Data Validation'!$V$3, 'Data entry'!$AP$6:$AP$200,'Data Validation'!$U$5, 'Data entry'!$BD$6:$BD$200,"&lt;&gt;*Negative*"))))</f>
        <v/>
      </c>
      <c r="P173" t="str">
        <f>IF($C173="","",(SUM(COUNTIFS('Data entry'!$R$6:$R$200,$C173,'Data entry'!$B$6:$B$200,{"Confirmed";"Probable"},'Data entry'!$AQ$6:$AQ$200,'Data Validation'!$V$3, 'Data entry'!$AP$6:$AP$200,'Data Validation'!$U$6, 'Data entry'!$BD$6:$BD$200,"&lt;&gt;*Negative*"))))</f>
        <v/>
      </c>
    </row>
    <row r="174" spans="1:16" ht="15.6" x14ac:dyDescent="0.35">
      <c r="A174" s="1" t="str">
        <f>IF('Data entry'!B178="","",'Data entry'!B178)</f>
        <v/>
      </c>
      <c r="B174" s="1" t="str">
        <f>IF('Data entry'!O178="","",'Data entry'!O178)</f>
        <v/>
      </c>
      <c r="C174" s="321" t="str">
        <f>IF('Data entry'!R178="","",'Data entry'!R178)</f>
        <v/>
      </c>
      <c r="D174" s="1" t="str">
        <f>IF('Data entry'!AO178="","",'Data entry'!AO178)</f>
        <v/>
      </c>
      <c r="E174" s="1" t="str">
        <f>IF('Data entry'!AP178="","",'Data entry'!AP178)</f>
        <v/>
      </c>
      <c r="F174" s="1" t="str">
        <f>IF('Data entry'!AQ178="","",'Data entry'!AQ178)</f>
        <v/>
      </c>
      <c r="G174" t="str">
        <f>IF($C174="","",(SUM(COUNTIFS('Data entry'!$R$6:$R$200,$C174,'Data entry'!$B$6:$B$200,{"Confirmed";"Probable"},'Data entry'!$AQ$6:$AQ$200,'Data Validation'!$V$2, 'Data entry'!$AP$6:$AP$200,'Data Validation'!$U$2, 'Data entry'!$BD$6:$BD$200,"&lt;&gt;*Negative*"))))</f>
        <v/>
      </c>
      <c r="H174" t="str">
        <f>IF($C174="","",(SUM(COUNTIFS('Data entry'!$R$6:$R$200,$C174,'Data entry'!$B$6:$B$200,{"Confirmed";"Probable"},'Data entry'!$AQ$6:$AQ$200,'Data Validation'!$V$2, 'Data entry'!$AP$6:$AP$200,'Data Validation'!$U$3, 'Data entry'!$BD$6:$BD$200,"&lt;&gt;*Negative*"))))</f>
        <v/>
      </c>
      <c r="I174" t="str">
        <f>IF($C174="","",(SUM(COUNTIFS('Data entry'!$R$6:$R$200,$C174,'Data entry'!$B$6:$B$200,{"Confirmed";"Probable"},'Data entry'!$AQ$6:$AQ$200,'Data Validation'!$V$2, 'Data entry'!$AP$6:$AP$200,'Data Validation'!$U$4, 'Data entry'!$BD$6:$BD$200,"&lt;&gt;*Negative*"))))</f>
        <v/>
      </c>
      <c r="J174" t="str">
        <f>IF($C174="","",(SUM(COUNTIFS('Data entry'!$R$6:$R$200,$C174,'Data entry'!$B$6:$B$200,{"Confirmed";"Probable"},'Data entry'!$AQ$6:$AQ$200,'Data Validation'!$V$2, 'Data entry'!$AP$6:$AP$200,'Data Validation'!$U$5, 'Data entry'!$BD$6:$BD$200,"&lt;&gt;*Negative*"))))</f>
        <v/>
      </c>
      <c r="K174" t="str">
        <f>IF($C174="","",(SUM(COUNTIFS('Data entry'!$R$6:$R$200,$C174,'Data entry'!$B$6:$B$200,{"Confirmed";"Probable"},'Data entry'!$AQ$6:$AQ$200,'Data Validation'!$V$2, 'Data entry'!$AP$6:$AP$200,'Data Validation'!$U$6, 'Data entry'!$BD$6:$BD$200,"&lt;&gt;*Negative*"))))</f>
        <v/>
      </c>
      <c r="L174" t="str">
        <f>IF($C174="","",(SUM(COUNTIFS('Data entry'!$R$6:$R$200,$C174,'Data entry'!$B$6:$B$200,{"Confirmed";"Probable"},'Data entry'!$AQ$6:$AQ$200,'Data Validation'!$V$3, 'Data entry'!$AP$6:$AP$200,'Data Validation'!$U$2, 'Data entry'!$BD$6:$BD$200,"&lt;&gt;*Negative*"))))</f>
        <v/>
      </c>
      <c r="M174" t="str">
        <f>IF($C174="","",(SUM(COUNTIFS('Data entry'!$R$6:$R$200,$C174,'Data entry'!$B$6:$B$200,{"Confirmed";"Probable"},'Data entry'!$AQ$6:$AQ$200,'Data Validation'!$V$3, 'Data entry'!$AP$6:$AP$200,'Data Validation'!$U$3, 'Data entry'!$BD$6:$BD$200,"&lt;&gt;*Negative*"))))</f>
        <v/>
      </c>
      <c r="N174" t="str">
        <f>IF($C174="","",(SUM(COUNTIFS('Data entry'!$R$6:$R$200,$C174,'Data entry'!$B$6:$B$200,{"Confirmed";"Probable"},'Data entry'!$AQ$6:$AQ$200,'Data Validation'!$V$3, 'Data entry'!$AP$6:$AP$200,'Data Validation'!$U$4, 'Data entry'!$BD$6:$BD$200,"&lt;&gt;*Negative*"))))</f>
        <v/>
      </c>
      <c r="O174" t="str">
        <f>IF($C174="","",(SUM(COUNTIFS('Data entry'!$R$6:$R$200,$C174,'Data entry'!$B$6:$B$200,{"Confirmed";"Probable"},'Data entry'!$AQ$6:$AQ$200,'Data Validation'!$V$3, 'Data entry'!$AP$6:$AP$200,'Data Validation'!$U$5, 'Data entry'!$BD$6:$BD$200,"&lt;&gt;*Negative*"))))</f>
        <v/>
      </c>
      <c r="P174" t="str">
        <f>IF($C174="","",(SUM(COUNTIFS('Data entry'!$R$6:$R$200,$C174,'Data entry'!$B$6:$B$200,{"Confirmed";"Probable"},'Data entry'!$AQ$6:$AQ$200,'Data Validation'!$V$3, 'Data entry'!$AP$6:$AP$200,'Data Validation'!$U$6, 'Data entry'!$BD$6:$BD$200,"&lt;&gt;*Negative*"))))</f>
        <v/>
      </c>
    </row>
    <row r="175" spans="1:16" ht="15.6" x14ac:dyDescent="0.35">
      <c r="A175" s="1" t="str">
        <f>IF('Data entry'!B179="","",'Data entry'!B179)</f>
        <v/>
      </c>
      <c r="B175" s="1" t="str">
        <f>IF('Data entry'!O179="","",'Data entry'!O179)</f>
        <v/>
      </c>
      <c r="C175" s="321" t="str">
        <f>IF('Data entry'!R179="","",'Data entry'!R179)</f>
        <v/>
      </c>
      <c r="D175" s="1" t="str">
        <f>IF('Data entry'!AO179="","",'Data entry'!AO179)</f>
        <v/>
      </c>
      <c r="E175" s="1" t="str">
        <f>IF('Data entry'!AP179="","",'Data entry'!AP179)</f>
        <v/>
      </c>
      <c r="F175" s="1" t="str">
        <f>IF('Data entry'!AQ179="","",'Data entry'!AQ179)</f>
        <v/>
      </c>
      <c r="G175" t="str">
        <f>IF($C175="","",(SUM(COUNTIFS('Data entry'!$R$6:$R$200,$C175,'Data entry'!$B$6:$B$200,{"Confirmed";"Probable"},'Data entry'!$AQ$6:$AQ$200,'Data Validation'!$V$2, 'Data entry'!$AP$6:$AP$200,'Data Validation'!$U$2, 'Data entry'!$BD$6:$BD$200,"&lt;&gt;*Negative*"))))</f>
        <v/>
      </c>
      <c r="H175" t="str">
        <f>IF($C175="","",(SUM(COUNTIFS('Data entry'!$R$6:$R$200,$C175,'Data entry'!$B$6:$B$200,{"Confirmed";"Probable"},'Data entry'!$AQ$6:$AQ$200,'Data Validation'!$V$2, 'Data entry'!$AP$6:$AP$200,'Data Validation'!$U$3, 'Data entry'!$BD$6:$BD$200,"&lt;&gt;*Negative*"))))</f>
        <v/>
      </c>
      <c r="I175" t="str">
        <f>IF($C175="","",(SUM(COUNTIFS('Data entry'!$R$6:$R$200,$C175,'Data entry'!$B$6:$B$200,{"Confirmed";"Probable"},'Data entry'!$AQ$6:$AQ$200,'Data Validation'!$V$2, 'Data entry'!$AP$6:$AP$200,'Data Validation'!$U$4, 'Data entry'!$BD$6:$BD$200,"&lt;&gt;*Negative*"))))</f>
        <v/>
      </c>
      <c r="J175" t="str">
        <f>IF($C175="","",(SUM(COUNTIFS('Data entry'!$R$6:$R$200,$C175,'Data entry'!$B$6:$B$200,{"Confirmed";"Probable"},'Data entry'!$AQ$6:$AQ$200,'Data Validation'!$V$2, 'Data entry'!$AP$6:$AP$200,'Data Validation'!$U$5, 'Data entry'!$BD$6:$BD$200,"&lt;&gt;*Negative*"))))</f>
        <v/>
      </c>
      <c r="K175" t="str">
        <f>IF($C175="","",(SUM(COUNTIFS('Data entry'!$R$6:$R$200,$C175,'Data entry'!$B$6:$B$200,{"Confirmed";"Probable"},'Data entry'!$AQ$6:$AQ$200,'Data Validation'!$V$2, 'Data entry'!$AP$6:$AP$200,'Data Validation'!$U$6, 'Data entry'!$BD$6:$BD$200,"&lt;&gt;*Negative*"))))</f>
        <v/>
      </c>
      <c r="L175" t="str">
        <f>IF($C175="","",(SUM(COUNTIFS('Data entry'!$R$6:$R$200,$C175,'Data entry'!$B$6:$B$200,{"Confirmed";"Probable"},'Data entry'!$AQ$6:$AQ$200,'Data Validation'!$V$3, 'Data entry'!$AP$6:$AP$200,'Data Validation'!$U$2, 'Data entry'!$BD$6:$BD$200,"&lt;&gt;*Negative*"))))</f>
        <v/>
      </c>
      <c r="M175" t="str">
        <f>IF($C175="","",(SUM(COUNTIFS('Data entry'!$R$6:$R$200,$C175,'Data entry'!$B$6:$B$200,{"Confirmed";"Probable"},'Data entry'!$AQ$6:$AQ$200,'Data Validation'!$V$3, 'Data entry'!$AP$6:$AP$200,'Data Validation'!$U$3, 'Data entry'!$BD$6:$BD$200,"&lt;&gt;*Negative*"))))</f>
        <v/>
      </c>
      <c r="N175" t="str">
        <f>IF($C175="","",(SUM(COUNTIFS('Data entry'!$R$6:$R$200,$C175,'Data entry'!$B$6:$B$200,{"Confirmed";"Probable"},'Data entry'!$AQ$6:$AQ$200,'Data Validation'!$V$3, 'Data entry'!$AP$6:$AP$200,'Data Validation'!$U$4, 'Data entry'!$BD$6:$BD$200,"&lt;&gt;*Negative*"))))</f>
        <v/>
      </c>
      <c r="O175" t="str">
        <f>IF($C175="","",(SUM(COUNTIFS('Data entry'!$R$6:$R$200,$C175,'Data entry'!$B$6:$B$200,{"Confirmed";"Probable"},'Data entry'!$AQ$6:$AQ$200,'Data Validation'!$V$3, 'Data entry'!$AP$6:$AP$200,'Data Validation'!$U$5, 'Data entry'!$BD$6:$BD$200,"&lt;&gt;*Negative*"))))</f>
        <v/>
      </c>
      <c r="P175" t="str">
        <f>IF($C175="","",(SUM(COUNTIFS('Data entry'!$R$6:$R$200,$C175,'Data entry'!$B$6:$B$200,{"Confirmed";"Probable"},'Data entry'!$AQ$6:$AQ$200,'Data Validation'!$V$3, 'Data entry'!$AP$6:$AP$200,'Data Validation'!$U$6, 'Data entry'!$BD$6:$BD$200,"&lt;&gt;*Negative*"))))</f>
        <v/>
      </c>
    </row>
    <row r="176" spans="1:16" ht="15.6" x14ac:dyDescent="0.35">
      <c r="A176" s="1" t="str">
        <f>IF('Data entry'!B180="","",'Data entry'!B180)</f>
        <v/>
      </c>
      <c r="B176" s="1" t="str">
        <f>IF('Data entry'!O180="","",'Data entry'!O180)</f>
        <v/>
      </c>
      <c r="C176" s="321" t="str">
        <f>IF('Data entry'!R180="","",'Data entry'!R180)</f>
        <v/>
      </c>
      <c r="D176" s="1" t="str">
        <f>IF('Data entry'!AO180="","",'Data entry'!AO180)</f>
        <v/>
      </c>
      <c r="E176" s="1" t="str">
        <f>IF('Data entry'!AP180="","",'Data entry'!AP180)</f>
        <v/>
      </c>
      <c r="F176" s="1" t="str">
        <f>IF('Data entry'!AQ180="","",'Data entry'!AQ180)</f>
        <v/>
      </c>
      <c r="G176" t="str">
        <f>IF($C176="","",(SUM(COUNTIFS('Data entry'!$R$6:$R$200,$C176,'Data entry'!$B$6:$B$200,{"Confirmed";"Probable"},'Data entry'!$AQ$6:$AQ$200,'Data Validation'!$V$2, 'Data entry'!$AP$6:$AP$200,'Data Validation'!$U$2, 'Data entry'!$BD$6:$BD$200,"&lt;&gt;*Negative*"))))</f>
        <v/>
      </c>
      <c r="H176" t="str">
        <f>IF($C176="","",(SUM(COUNTIFS('Data entry'!$R$6:$R$200,$C176,'Data entry'!$B$6:$B$200,{"Confirmed";"Probable"},'Data entry'!$AQ$6:$AQ$200,'Data Validation'!$V$2, 'Data entry'!$AP$6:$AP$200,'Data Validation'!$U$3, 'Data entry'!$BD$6:$BD$200,"&lt;&gt;*Negative*"))))</f>
        <v/>
      </c>
      <c r="I176" t="str">
        <f>IF($C176="","",(SUM(COUNTIFS('Data entry'!$R$6:$R$200,$C176,'Data entry'!$B$6:$B$200,{"Confirmed";"Probable"},'Data entry'!$AQ$6:$AQ$200,'Data Validation'!$V$2, 'Data entry'!$AP$6:$AP$200,'Data Validation'!$U$4, 'Data entry'!$BD$6:$BD$200,"&lt;&gt;*Negative*"))))</f>
        <v/>
      </c>
      <c r="J176" t="str">
        <f>IF($C176="","",(SUM(COUNTIFS('Data entry'!$R$6:$R$200,$C176,'Data entry'!$B$6:$B$200,{"Confirmed";"Probable"},'Data entry'!$AQ$6:$AQ$200,'Data Validation'!$V$2, 'Data entry'!$AP$6:$AP$200,'Data Validation'!$U$5, 'Data entry'!$BD$6:$BD$200,"&lt;&gt;*Negative*"))))</f>
        <v/>
      </c>
      <c r="K176" t="str">
        <f>IF($C176="","",(SUM(COUNTIFS('Data entry'!$R$6:$R$200,$C176,'Data entry'!$B$6:$B$200,{"Confirmed";"Probable"},'Data entry'!$AQ$6:$AQ$200,'Data Validation'!$V$2, 'Data entry'!$AP$6:$AP$200,'Data Validation'!$U$6, 'Data entry'!$BD$6:$BD$200,"&lt;&gt;*Negative*"))))</f>
        <v/>
      </c>
      <c r="L176" t="str">
        <f>IF($C176="","",(SUM(COUNTIFS('Data entry'!$R$6:$R$200,$C176,'Data entry'!$B$6:$B$200,{"Confirmed";"Probable"},'Data entry'!$AQ$6:$AQ$200,'Data Validation'!$V$3, 'Data entry'!$AP$6:$AP$200,'Data Validation'!$U$2, 'Data entry'!$BD$6:$BD$200,"&lt;&gt;*Negative*"))))</f>
        <v/>
      </c>
      <c r="M176" t="str">
        <f>IF($C176="","",(SUM(COUNTIFS('Data entry'!$R$6:$R$200,$C176,'Data entry'!$B$6:$B$200,{"Confirmed";"Probable"},'Data entry'!$AQ$6:$AQ$200,'Data Validation'!$V$3, 'Data entry'!$AP$6:$AP$200,'Data Validation'!$U$3, 'Data entry'!$BD$6:$BD$200,"&lt;&gt;*Negative*"))))</f>
        <v/>
      </c>
      <c r="N176" t="str">
        <f>IF($C176="","",(SUM(COUNTIFS('Data entry'!$R$6:$R$200,$C176,'Data entry'!$B$6:$B$200,{"Confirmed";"Probable"},'Data entry'!$AQ$6:$AQ$200,'Data Validation'!$V$3, 'Data entry'!$AP$6:$AP$200,'Data Validation'!$U$4, 'Data entry'!$BD$6:$BD$200,"&lt;&gt;*Negative*"))))</f>
        <v/>
      </c>
      <c r="O176" t="str">
        <f>IF($C176="","",(SUM(COUNTIFS('Data entry'!$R$6:$R$200,$C176,'Data entry'!$B$6:$B$200,{"Confirmed";"Probable"},'Data entry'!$AQ$6:$AQ$200,'Data Validation'!$V$3, 'Data entry'!$AP$6:$AP$200,'Data Validation'!$U$5, 'Data entry'!$BD$6:$BD$200,"&lt;&gt;*Negative*"))))</f>
        <v/>
      </c>
      <c r="P176" t="str">
        <f>IF($C176="","",(SUM(COUNTIFS('Data entry'!$R$6:$R$200,$C176,'Data entry'!$B$6:$B$200,{"Confirmed";"Probable"},'Data entry'!$AQ$6:$AQ$200,'Data Validation'!$V$3, 'Data entry'!$AP$6:$AP$200,'Data Validation'!$U$6, 'Data entry'!$BD$6:$BD$200,"&lt;&gt;*Negative*"))))</f>
        <v/>
      </c>
    </row>
    <row r="177" spans="1:16" ht="15.6" x14ac:dyDescent="0.35">
      <c r="A177" s="1" t="str">
        <f>IF('Data entry'!B181="","",'Data entry'!B181)</f>
        <v/>
      </c>
      <c r="B177" s="1" t="str">
        <f>IF('Data entry'!O181="","",'Data entry'!O181)</f>
        <v/>
      </c>
      <c r="C177" s="321" t="str">
        <f>IF('Data entry'!R181="","",'Data entry'!R181)</f>
        <v/>
      </c>
      <c r="D177" s="1" t="str">
        <f>IF('Data entry'!AO181="","",'Data entry'!AO181)</f>
        <v/>
      </c>
      <c r="E177" s="1" t="str">
        <f>IF('Data entry'!AP181="","",'Data entry'!AP181)</f>
        <v/>
      </c>
      <c r="F177" s="1" t="str">
        <f>IF('Data entry'!AQ181="","",'Data entry'!AQ181)</f>
        <v/>
      </c>
      <c r="G177" t="str">
        <f>IF($C177="","",(SUM(COUNTIFS('Data entry'!$R$6:$R$200,$C177,'Data entry'!$B$6:$B$200,{"Confirmed";"Probable"},'Data entry'!$AQ$6:$AQ$200,'Data Validation'!$V$2, 'Data entry'!$AP$6:$AP$200,'Data Validation'!$U$2, 'Data entry'!$BD$6:$BD$200,"&lt;&gt;*Negative*"))))</f>
        <v/>
      </c>
      <c r="H177" t="str">
        <f>IF($C177="","",(SUM(COUNTIFS('Data entry'!$R$6:$R$200,$C177,'Data entry'!$B$6:$B$200,{"Confirmed";"Probable"},'Data entry'!$AQ$6:$AQ$200,'Data Validation'!$V$2, 'Data entry'!$AP$6:$AP$200,'Data Validation'!$U$3, 'Data entry'!$BD$6:$BD$200,"&lt;&gt;*Negative*"))))</f>
        <v/>
      </c>
      <c r="I177" t="str">
        <f>IF($C177="","",(SUM(COUNTIFS('Data entry'!$R$6:$R$200,$C177,'Data entry'!$B$6:$B$200,{"Confirmed";"Probable"},'Data entry'!$AQ$6:$AQ$200,'Data Validation'!$V$2, 'Data entry'!$AP$6:$AP$200,'Data Validation'!$U$4, 'Data entry'!$BD$6:$BD$200,"&lt;&gt;*Negative*"))))</f>
        <v/>
      </c>
      <c r="J177" t="str">
        <f>IF($C177="","",(SUM(COUNTIFS('Data entry'!$R$6:$R$200,$C177,'Data entry'!$B$6:$B$200,{"Confirmed";"Probable"},'Data entry'!$AQ$6:$AQ$200,'Data Validation'!$V$2, 'Data entry'!$AP$6:$AP$200,'Data Validation'!$U$5, 'Data entry'!$BD$6:$BD$200,"&lt;&gt;*Negative*"))))</f>
        <v/>
      </c>
      <c r="K177" t="str">
        <f>IF($C177="","",(SUM(COUNTIFS('Data entry'!$R$6:$R$200,$C177,'Data entry'!$B$6:$B$200,{"Confirmed";"Probable"},'Data entry'!$AQ$6:$AQ$200,'Data Validation'!$V$2, 'Data entry'!$AP$6:$AP$200,'Data Validation'!$U$6, 'Data entry'!$BD$6:$BD$200,"&lt;&gt;*Negative*"))))</f>
        <v/>
      </c>
      <c r="L177" t="str">
        <f>IF($C177="","",(SUM(COUNTIFS('Data entry'!$R$6:$R$200,$C177,'Data entry'!$B$6:$B$200,{"Confirmed";"Probable"},'Data entry'!$AQ$6:$AQ$200,'Data Validation'!$V$3, 'Data entry'!$AP$6:$AP$200,'Data Validation'!$U$2, 'Data entry'!$BD$6:$BD$200,"&lt;&gt;*Negative*"))))</f>
        <v/>
      </c>
      <c r="M177" t="str">
        <f>IF($C177="","",(SUM(COUNTIFS('Data entry'!$R$6:$R$200,$C177,'Data entry'!$B$6:$B$200,{"Confirmed";"Probable"},'Data entry'!$AQ$6:$AQ$200,'Data Validation'!$V$3, 'Data entry'!$AP$6:$AP$200,'Data Validation'!$U$3, 'Data entry'!$BD$6:$BD$200,"&lt;&gt;*Negative*"))))</f>
        <v/>
      </c>
      <c r="N177" t="str">
        <f>IF($C177="","",(SUM(COUNTIFS('Data entry'!$R$6:$R$200,$C177,'Data entry'!$B$6:$B$200,{"Confirmed";"Probable"},'Data entry'!$AQ$6:$AQ$200,'Data Validation'!$V$3, 'Data entry'!$AP$6:$AP$200,'Data Validation'!$U$4, 'Data entry'!$BD$6:$BD$200,"&lt;&gt;*Negative*"))))</f>
        <v/>
      </c>
      <c r="O177" t="str">
        <f>IF($C177="","",(SUM(COUNTIFS('Data entry'!$R$6:$R$200,$C177,'Data entry'!$B$6:$B$200,{"Confirmed";"Probable"},'Data entry'!$AQ$6:$AQ$200,'Data Validation'!$V$3, 'Data entry'!$AP$6:$AP$200,'Data Validation'!$U$5, 'Data entry'!$BD$6:$BD$200,"&lt;&gt;*Negative*"))))</f>
        <v/>
      </c>
      <c r="P177" t="str">
        <f>IF($C177="","",(SUM(COUNTIFS('Data entry'!$R$6:$R$200,$C177,'Data entry'!$B$6:$B$200,{"Confirmed";"Probable"},'Data entry'!$AQ$6:$AQ$200,'Data Validation'!$V$3, 'Data entry'!$AP$6:$AP$200,'Data Validation'!$U$6, 'Data entry'!$BD$6:$BD$200,"&lt;&gt;*Negative*"))))</f>
        <v/>
      </c>
    </row>
    <row r="178" spans="1:16" ht="15.6" x14ac:dyDescent="0.35">
      <c r="A178" s="1" t="str">
        <f>IF('Data entry'!B182="","",'Data entry'!B182)</f>
        <v/>
      </c>
      <c r="B178" s="1" t="str">
        <f>IF('Data entry'!O182="","",'Data entry'!O182)</f>
        <v/>
      </c>
      <c r="C178" s="321" t="str">
        <f>IF('Data entry'!R182="","",'Data entry'!R182)</f>
        <v/>
      </c>
      <c r="D178" s="1" t="str">
        <f>IF('Data entry'!AO182="","",'Data entry'!AO182)</f>
        <v/>
      </c>
      <c r="E178" s="1" t="str">
        <f>IF('Data entry'!AP182="","",'Data entry'!AP182)</f>
        <v/>
      </c>
      <c r="F178" s="1" t="str">
        <f>IF('Data entry'!AQ182="","",'Data entry'!AQ182)</f>
        <v/>
      </c>
      <c r="G178" t="str">
        <f>IF($C178="","",(SUM(COUNTIFS('Data entry'!$R$6:$R$200,$C178,'Data entry'!$B$6:$B$200,{"Confirmed";"Probable"},'Data entry'!$AQ$6:$AQ$200,'Data Validation'!$V$2, 'Data entry'!$AP$6:$AP$200,'Data Validation'!$U$2, 'Data entry'!$BD$6:$BD$200,"&lt;&gt;*Negative*"))))</f>
        <v/>
      </c>
      <c r="H178" t="str">
        <f>IF($C178="","",(SUM(COUNTIFS('Data entry'!$R$6:$R$200,$C178,'Data entry'!$B$6:$B$200,{"Confirmed";"Probable"},'Data entry'!$AQ$6:$AQ$200,'Data Validation'!$V$2, 'Data entry'!$AP$6:$AP$200,'Data Validation'!$U$3, 'Data entry'!$BD$6:$BD$200,"&lt;&gt;*Negative*"))))</f>
        <v/>
      </c>
      <c r="I178" t="str">
        <f>IF($C178="","",(SUM(COUNTIFS('Data entry'!$R$6:$R$200,$C178,'Data entry'!$B$6:$B$200,{"Confirmed";"Probable"},'Data entry'!$AQ$6:$AQ$200,'Data Validation'!$V$2, 'Data entry'!$AP$6:$AP$200,'Data Validation'!$U$4, 'Data entry'!$BD$6:$BD$200,"&lt;&gt;*Negative*"))))</f>
        <v/>
      </c>
      <c r="J178" t="str">
        <f>IF($C178="","",(SUM(COUNTIFS('Data entry'!$R$6:$R$200,$C178,'Data entry'!$B$6:$B$200,{"Confirmed";"Probable"},'Data entry'!$AQ$6:$AQ$200,'Data Validation'!$V$2, 'Data entry'!$AP$6:$AP$200,'Data Validation'!$U$5, 'Data entry'!$BD$6:$BD$200,"&lt;&gt;*Negative*"))))</f>
        <v/>
      </c>
      <c r="K178" t="str">
        <f>IF($C178="","",(SUM(COUNTIFS('Data entry'!$R$6:$R$200,$C178,'Data entry'!$B$6:$B$200,{"Confirmed";"Probable"},'Data entry'!$AQ$6:$AQ$200,'Data Validation'!$V$2, 'Data entry'!$AP$6:$AP$200,'Data Validation'!$U$6, 'Data entry'!$BD$6:$BD$200,"&lt;&gt;*Negative*"))))</f>
        <v/>
      </c>
      <c r="L178" t="str">
        <f>IF($C178="","",(SUM(COUNTIFS('Data entry'!$R$6:$R$200,$C178,'Data entry'!$B$6:$B$200,{"Confirmed";"Probable"},'Data entry'!$AQ$6:$AQ$200,'Data Validation'!$V$3, 'Data entry'!$AP$6:$AP$200,'Data Validation'!$U$2, 'Data entry'!$BD$6:$BD$200,"&lt;&gt;*Negative*"))))</f>
        <v/>
      </c>
      <c r="M178" t="str">
        <f>IF($C178="","",(SUM(COUNTIFS('Data entry'!$R$6:$R$200,$C178,'Data entry'!$B$6:$B$200,{"Confirmed";"Probable"},'Data entry'!$AQ$6:$AQ$200,'Data Validation'!$V$3, 'Data entry'!$AP$6:$AP$200,'Data Validation'!$U$3, 'Data entry'!$BD$6:$BD$200,"&lt;&gt;*Negative*"))))</f>
        <v/>
      </c>
      <c r="N178" t="str">
        <f>IF($C178="","",(SUM(COUNTIFS('Data entry'!$R$6:$R$200,$C178,'Data entry'!$B$6:$B$200,{"Confirmed";"Probable"},'Data entry'!$AQ$6:$AQ$200,'Data Validation'!$V$3, 'Data entry'!$AP$6:$AP$200,'Data Validation'!$U$4, 'Data entry'!$BD$6:$BD$200,"&lt;&gt;*Negative*"))))</f>
        <v/>
      </c>
      <c r="O178" t="str">
        <f>IF($C178="","",(SUM(COUNTIFS('Data entry'!$R$6:$R$200,$C178,'Data entry'!$B$6:$B$200,{"Confirmed";"Probable"},'Data entry'!$AQ$6:$AQ$200,'Data Validation'!$V$3, 'Data entry'!$AP$6:$AP$200,'Data Validation'!$U$5, 'Data entry'!$BD$6:$BD$200,"&lt;&gt;*Negative*"))))</f>
        <v/>
      </c>
      <c r="P178" t="str">
        <f>IF($C178="","",(SUM(COUNTIFS('Data entry'!$R$6:$R$200,$C178,'Data entry'!$B$6:$B$200,{"Confirmed";"Probable"},'Data entry'!$AQ$6:$AQ$200,'Data Validation'!$V$3, 'Data entry'!$AP$6:$AP$200,'Data Validation'!$U$6, 'Data entry'!$BD$6:$BD$200,"&lt;&gt;*Negative*"))))</f>
        <v/>
      </c>
    </row>
    <row r="179" spans="1:16" ht="15.6" x14ac:dyDescent="0.35">
      <c r="A179" s="1" t="str">
        <f>IF('Data entry'!B183="","",'Data entry'!B183)</f>
        <v/>
      </c>
      <c r="B179" s="1" t="str">
        <f>IF('Data entry'!O183="","",'Data entry'!O183)</f>
        <v/>
      </c>
      <c r="C179" s="321" t="str">
        <f>IF('Data entry'!R183="","",'Data entry'!R183)</f>
        <v/>
      </c>
      <c r="D179" s="1" t="str">
        <f>IF('Data entry'!AO183="","",'Data entry'!AO183)</f>
        <v/>
      </c>
      <c r="E179" s="1" t="str">
        <f>IF('Data entry'!AP183="","",'Data entry'!AP183)</f>
        <v/>
      </c>
      <c r="F179" s="1" t="str">
        <f>IF('Data entry'!AQ183="","",'Data entry'!AQ183)</f>
        <v/>
      </c>
      <c r="G179" t="str">
        <f>IF($C179="","",(SUM(COUNTIFS('Data entry'!$R$6:$R$200,$C179,'Data entry'!$B$6:$B$200,{"Confirmed";"Probable"},'Data entry'!$AQ$6:$AQ$200,'Data Validation'!$V$2, 'Data entry'!$AP$6:$AP$200,'Data Validation'!$U$2, 'Data entry'!$BD$6:$BD$200,"&lt;&gt;*Negative*"))))</f>
        <v/>
      </c>
      <c r="H179" t="str">
        <f>IF($C179="","",(SUM(COUNTIFS('Data entry'!$R$6:$R$200,$C179,'Data entry'!$B$6:$B$200,{"Confirmed";"Probable"},'Data entry'!$AQ$6:$AQ$200,'Data Validation'!$V$2, 'Data entry'!$AP$6:$AP$200,'Data Validation'!$U$3, 'Data entry'!$BD$6:$BD$200,"&lt;&gt;*Negative*"))))</f>
        <v/>
      </c>
      <c r="I179" t="str">
        <f>IF($C179="","",(SUM(COUNTIFS('Data entry'!$R$6:$R$200,$C179,'Data entry'!$B$6:$B$200,{"Confirmed";"Probable"},'Data entry'!$AQ$6:$AQ$200,'Data Validation'!$V$2, 'Data entry'!$AP$6:$AP$200,'Data Validation'!$U$4, 'Data entry'!$BD$6:$BD$200,"&lt;&gt;*Negative*"))))</f>
        <v/>
      </c>
      <c r="J179" t="str">
        <f>IF($C179="","",(SUM(COUNTIFS('Data entry'!$R$6:$R$200,$C179,'Data entry'!$B$6:$B$200,{"Confirmed";"Probable"},'Data entry'!$AQ$6:$AQ$200,'Data Validation'!$V$2, 'Data entry'!$AP$6:$AP$200,'Data Validation'!$U$5, 'Data entry'!$BD$6:$BD$200,"&lt;&gt;*Negative*"))))</f>
        <v/>
      </c>
      <c r="K179" t="str">
        <f>IF($C179="","",(SUM(COUNTIFS('Data entry'!$R$6:$R$200,$C179,'Data entry'!$B$6:$B$200,{"Confirmed";"Probable"},'Data entry'!$AQ$6:$AQ$200,'Data Validation'!$V$2, 'Data entry'!$AP$6:$AP$200,'Data Validation'!$U$6, 'Data entry'!$BD$6:$BD$200,"&lt;&gt;*Negative*"))))</f>
        <v/>
      </c>
      <c r="L179" t="str">
        <f>IF($C179="","",(SUM(COUNTIFS('Data entry'!$R$6:$R$200,$C179,'Data entry'!$B$6:$B$200,{"Confirmed";"Probable"},'Data entry'!$AQ$6:$AQ$200,'Data Validation'!$V$3, 'Data entry'!$AP$6:$AP$200,'Data Validation'!$U$2, 'Data entry'!$BD$6:$BD$200,"&lt;&gt;*Negative*"))))</f>
        <v/>
      </c>
      <c r="M179" t="str">
        <f>IF($C179="","",(SUM(COUNTIFS('Data entry'!$R$6:$R$200,$C179,'Data entry'!$B$6:$B$200,{"Confirmed";"Probable"},'Data entry'!$AQ$6:$AQ$200,'Data Validation'!$V$3, 'Data entry'!$AP$6:$AP$200,'Data Validation'!$U$3, 'Data entry'!$BD$6:$BD$200,"&lt;&gt;*Negative*"))))</f>
        <v/>
      </c>
      <c r="N179" t="str">
        <f>IF($C179="","",(SUM(COUNTIFS('Data entry'!$R$6:$R$200,$C179,'Data entry'!$B$6:$B$200,{"Confirmed";"Probable"},'Data entry'!$AQ$6:$AQ$200,'Data Validation'!$V$3, 'Data entry'!$AP$6:$AP$200,'Data Validation'!$U$4, 'Data entry'!$BD$6:$BD$200,"&lt;&gt;*Negative*"))))</f>
        <v/>
      </c>
      <c r="O179" t="str">
        <f>IF($C179="","",(SUM(COUNTIFS('Data entry'!$R$6:$R$200,$C179,'Data entry'!$B$6:$B$200,{"Confirmed";"Probable"},'Data entry'!$AQ$6:$AQ$200,'Data Validation'!$V$3, 'Data entry'!$AP$6:$AP$200,'Data Validation'!$U$5, 'Data entry'!$BD$6:$BD$200,"&lt;&gt;*Negative*"))))</f>
        <v/>
      </c>
      <c r="P179" t="str">
        <f>IF($C179="","",(SUM(COUNTIFS('Data entry'!$R$6:$R$200,$C179,'Data entry'!$B$6:$B$200,{"Confirmed";"Probable"},'Data entry'!$AQ$6:$AQ$200,'Data Validation'!$V$3, 'Data entry'!$AP$6:$AP$200,'Data Validation'!$U$6, 'Data entry'!$BD$6:$BD$200,"&lt;&gt;*Negative*"))))</f>
        <v/>
      </c>
    </row>
    <row r="180" spans="1:16" ht="15.6" x14ac:dyDescent="0.35">
      <c r="A180" s="1" t="str">
        <f>IF('Data entry'!B184="","",'Data entry'!B184)</f>
        <v/>
      </c>
      <c r="B180" s="1" t="str">
        <f>IF('Data entry'!O184="","",'Data entry'!O184)</f>
        <v/>
      </c>
      <c r="C180" s="321" t="str">
        <f>IF('Data entry'!R184="","",'Data entry'!R184)</f>
        <v/>
      </c>
      <c r="D180" s="1" t="str">
        <f>IF('Data entry'!AO184="","",'Data entry'!AO184)</f>
        <v/>
      </c>
      <c r="E180" s="1" t="str">
        <f>IF('Data entry'!AP184="","",'Data entry'!AP184)</f>
        <v/>
      </c>
      <c r="F180" s="1" t="str">
        <f>IF('Data entry'!AQ184="","",'Data entry'!AQ184)</f>
        <v/>
      </c>
      <c r="G180" t="str">
        <f>IF($C180="","",(SUM(COUNTIFS('Data entry'!$R$6:$R$200,$C180,'Data entry'!$B$6:$B$200,{"Confirmed";"Probable"},'Data entry'!$AQ$6:$AQ$200,'Data Validation'!$V$2, 'Data entry'!$AP$6:$AP$200,'Data Validation'!$U$2, 'Data entry'!$BD$6:$BD$200,"&lt;&gt;*Negative*"))))</f>
        <v/>
      </c>
      <c r="H180" t="str">
        <f>IF($C180="","",(SUM(COUNTIFS('Data entry'!$R$6:$R$200,$C180,'Data entry'!$B$6:$B$200,{"Confirmed";"Probable"},'Data entry'!$AQ$6:$AQ$200,'Data Validation'!$V$2, 'Data entry'!$AP$6:$AP$200,'Data Validation'!$U$3, 'Data entry'!$BD$6:$BD$200,"&lt;&gt;*Negative*"))))</f>
        <v/>
      </c>
      <c r="I180" t="str">
        <f>IF($C180="","",(SUM(COUNTIFS('Data entry'!$R$6:$R$200,$C180,'Data entry'!$B$6:$B$200,{"Confirmed";"Probable"},'Data entry'!$AQ$6:$AQ$200,'Data Validation'!$V$2, 'Data entry'!$AP$6:$AP$200,'Data Validation'!$U$4, 'Data entry'!$BD$6:$BD$200,"&lt;&gt;*Negative*"))))</f>
        <v/>
      </c>
      <c r="J180" t="str">
        <f>IF($C180="","",(SUM(COUNTIFS('Data entry'!$R$6:$R$200,$C180,'Data entry'!$B$6:$B$200,{"Confirmed";"Probable"},'Data entry'!$AQ$6:$AQ$200,'Data Validation'!$V$2, 'Data entry'!$AP$6:$AP$200,'Data Validation'!$U$5, 'Data entry'!$BD$6:$BD$200,"&lt;&gt;*Negative*"))))</f>
        <v/>
      </c>
      <c r="K180" t="str">
        <f>IF($C180="","",(SUM(COUNTIFS('Data entry'!$R$6:$R$200,$C180,'Data entry'!$B$6:$B$200,{"Confirmed";"Probable"},'Data entry'!$AQ$6:$AQ$200,'Data Validation'!$V$2, 'Data entry'!$AP$6:$AP$200,'Data Validation'!$U$6, 'Data entry'!$BD$6:$BD$200,"&lt;&gt;*Negative*"))))</f>
        <v/>
      </c>
      <c r="L180" t="str">
        <f>IF($C180="","",(SUM(COUNTIFS('Data entry'!$R$6:$R$200,$C180,'Data entry'!$B$6:$B$200,{"Confirmed";"Probable"},'Data entry'!$AQ$6:$AQ$200,'Data Validation'!$V$3, 'Data entry'!$AP$6:$AP$200,'Data Validation'!$U$2, 'Data entry'!$BD$6:$BD$200,"&lt;&gt;*Negative*"))))</f>
        <v/>
      </c>
      <c r="M180" t="str">
        <f>IF($C180="","",(SUM(COUNTIFS('Data entry'!$R$6:$R$200,$C180,'Data entry'!$B$6:$B$200,{"Confirmed";"Probable"},'Data entry'!$AQ$6:$AQ$200,'Data Validation'!$V$3, 'Data entry'!$AP$6:$AP$200,'Data Validation'!$U$3, 'Data entry'!$BD$6:$BD$200,"&lt;&gt;*Negative*"))))</f>
        <v/>
      </c>
      <c r="N180" t="str">
        <f>IF($C180="","",(SUM(COUNTIFS('Data entry'!$R$6:$R$200,$C180,'Data entry'!$B$6:$B$200,{"Confirmed";"Probable"},'Data entry'!$AQ$6:$AQ$200,'Data Validation'!$V$3, 'Data entry'!$AP$6:$AP$200,'Data Validation'!$U$4, 'Data entry'!$BD$6:$BD$200,"&lt;&gt;*Negative*"))))</f>
        <v/>
      </c>
      <c r="O180" t="str">
        <f>IF($C180="","",(SUM(COUNTIFS('Data entry'!$R$6:$R$200,$C180,'Data entry'!$B$6:$B$200,{"Confirmed";"Probable"},'Data entry'!$AQ$6:$AQ$200,'Data Validation'!$V$3, 'Data entry'!$AP$6:$AP$200,'Data Validation'!$U$5, 'Data entry'!$BD$6:$BD$200,"&lt;&gt;*Negative*"))))</f>
        <v/>
      </c>
      <c r="P180" t="str">
        <f>IF($C180="","",(SUM(COUNTIFS('Data entry'!$R$6:$R$200,$C180,'Data entry'!$B$6:$B$200,{"Confirmed";"Probable"},'Data entry'!$AQ$6:$AQ$200,'Data Validation'!$V$3, 'Data entry'!$AP$6:$AP$200,'Data Validation'!$U$6, 'Data entry'!$BD$6:$BD$200,"&lt;&gt;*Negative*"))))</f>
        <v/>
      </c>
    </row>
    <row r="181" spans="1:16" ht="15.6" x14ac:dyDescent="0.35">
      <c r="A181" s="1" t="str">
        <f>IF('Data entry'!B185="","",'Data entry'!B185)</f>
        <v/>
      </c>
      <c r="B181" s="1" t="str">
        <f>IF('Data entry'!O185="","",'Data entry'!O185)</f>
        <v/>
      </c>
      <c r="C181" s="321" t="str">
        <f>IF('Data entry'!R185="","",'Data entry'!R185)</f>
        <v/>
      </c>
      <c r="D181" s="1" t="str">
        <f>IF('Data entry'!AO185="","",'Data entry'!AO185)</f>
        <v/>
      </c>
      <c r="E181" s="1" t="str">
        <f>IF('Data entry'!AP185="","",'Data entry'!AP185)</f>
        <v/>
      </c>
      <c r="F181" s="1" t="str">
        <f>IF('Data entry'!AQ185="","",'Data entry'!AQ185)</f>
        <v/>
      </c>
      <c r="G181" t="str">
        <f>IF($C181="","",(SUM(COUNTIFS('Data entry'!$R$6:$R$200,$C181,'Data entry'!$B$6:$B$200,{"Confirmed";"Probable"},'Data entry'!$AQ$6:$AQ$200,'Data Validation'!$V$2, 'Data entry'!$AP$6:$AP$200,'Data Validation'!$U$2, 'Data entry'!$BD$6:$BD$200,"&lt;&gt;*Negative*"))))</f>
        <v/>
      </c>
      <c r="H181" t="str">
        <f>IF($C181="","",(SUM(COUNTIFS('Data entry'!$R$6:$R$200,$C181,'Data entry'!$B$6:$B$200,{"Confirmed";"Probable"},'Data entry'!$AQ$6:$AQ$200,'Data Validation'!$V$2, 'Data entry'!$AP$6:$AP$200,'Data Validation'!$U$3, 'Data entry'!$BD$6:$BD$200,"&lt;&gt;*Negative*"))))</f>
        <v/>
      </c>
      <c r="I181" t="str">
        <f>IF($C181="","",(SUM(COUNTIFS('Data entry'!$R$6:$R$200,$C181,'Data entry'!$B$6:$B$200,{"Confirmed";"Probable"},'Data entry'!$AQ$6:$AQ$200,'Data Validation'!$V$2, 'Data entry'!$AP$6:$AP$200,'Data Validation'!$U$4, 'Data entry'!$BD$6:$BD$200,"&lt;&gt;*Negative*"))))</f>
        <v/>
      </c>
      <c r="J181" t="str">
        <f>IF($C181="","",(SUM(COUNTIFS('Data entry'!$R$6:$R$200,$C181,'Data entry'!$B$6:$B$200,{"Confirmed";"Probable"},'Data entry'!$AQ$6:$AQ$200,'Data Validation'!$V$2, 'Data entry'!$AP$6:$AP$200,'Data Validation'!$U$5, 'Data entry'!$BD$6:$BD$200,"&lt;&gt;*Negative*"))))</f>
        <v/>
      </c>
      <c r="K181" t="str">
        <f>IF($C181="","",(SUM(COUNTIFS('Data entry'!$R$6:$R$200,$C181,'Data entry'!$B$6:$B$200,{"Confirmed";"Probable"},'Data entry'!$AQ$6:$AQ$200,'Data Validation'!$V$2, 'Data entry'!$AP$6:$AP$200,'Data Validation'!$U$6, 'Data entry'!$BD$6:$BD$200,"&lt;&gt;*Negative*"))))</f>
        <v/>
      </c>
      <c r="L181" t="str">
        <f>IF($C181="","",(SUM(COUNTIFS('Data entry'!$R$6:$R$200,$C181,'Data entry'!$B$6:$B$200,{"Confirmed";"Probable"},'Data entry'!$AQ$6:$AQ$200,'Data Validation'!$V$3, 'Data entry'!$AP$6:$AP$200,'Data Validation'!$U$2, 'Data entry'!$BD$6:$BD$200,"&lt;&gt;*Negative*"))))</f>
        <v/>
      </c>
      <c r="M181" t="str">
        <f>IF($C181="","",(SUM(COUNTIFS('Data entry'!$R$6:$R$200,$C181,'Data entry'!$B$6:$B$200,{"Confirmed";"Probable"},'Data entry'!$AQ$6:$AQ$200,'Data Validation'!$V$3, 'Data entry'!$AP$6:$AP$200,'Data Validation'!$U$3, 'Data entry'!$BD$6:$BD$200,"&lt;&gt;*Negative*"))))</f>
        <v/>
      </c>
      <c r="N181" t="str">
        <f>IF($C181="","",(SUM(COUNTIFS('Data entry'!$R$6:$R$200,$C181,'Data entry'!$B$6:$B$200,{"Confirmed";"Probable"},'Data entry'!$AQ$6:$AQ$200,'Data Validation'!$V$3, 'Data entry'!$AP$6:$AP$200,'Data Validation'!$U$4, 'Data entry'!$BD$6:$BD$200,"&lt;&gt;*Negative*"))))</f>
        <v/>
      </c>
      <c r="O181" t="str">
        <f>IF($C181="","",(SUM(COUNTIFS('Data entry'!$R$6:$R$200,$C181,'Data entry'!$B$6:$B$200,{"Confirmed";"Probable"},'Data entry'!$AQ$6:$AQ$200,'Data Validation'!$V$3, 'Data entry'!$AP$6:$AP$200,'Data Validation'!$U$5, 'Data entry'!$BD$6:$BD$200,"&lt;&gt;*Negative*"))))</f>
        <v/>
      </c>
      <c r="P181" t="str">
        <f>IF($C181="","",(SUM(COUNTIFS('Data entry'!$R$6:$R$200,$C181,'Data entry'!$B$6:$B$200,{"Confirmed";"Probable"},'Data entry'!$AQ$6:$AQ$200,'Data Validation'!$V$3, 'Data entry'!$AP$6:$AP$200,'Data Validation'!$U$6, 'Data entry'!$BD$6:$BD$200,"&lt;&gt;*Negative*"))))</f>
        <v/>
      </c>
    </row>
    <row r="182" spans="1:16" ht="15.6" x14ac:dyDescent="0.35">
      <c r="A182" s="1" t="str">
        <f>IF('Data entry'!B186="","",'Data entry'!B186)</f>
        <v/>
      </c>
      <c r="B182" s="1" t="str">
        <f>IF('Data entry'!O186="","",'Data entry'!O186)</f>
        <v/>
      </c>
      <c r="C182" s="321" t="str">
        <f>IF('Data entry'!R186="","",'Data entry'!R186)</f>
        <v/>
      </c>
      <c r="D182" s="1" t="str">
        <f>IF('Data entry'!AO186="","",'Data entry'!AO186)</f>
        <v/>
      </c>
      <c r="E182" s="1" t="str">
        <f>IF('Data entry'!AP186="","",'Data entry'!AP186)</f>
        <v/>
      </c>
      <c r="F182" s="1" t="str">
        <f>IF('Data entry'!AQ186="","",'Data entry'!AQ186)</f>
        <v/>
      </c>
      <c r="G182" t="str">
        <f>IF($C182="","",(SUM(COUNTIFS('Data entry'!$R$6:$R$200,$C182,'Data entry'!$B$6:$B$200,{"Confirmed";"Probable"},'Data entry'!$AQ$6:$AQ$200,'Data Validation'!$V$2, 'Data entry'!$AP$6:$AP$200,'Data Validation'!$U$2, 'Data entry'!$BD$6:$BD$200,"&lt;&gt;*Negative*"))))</f>
        <v/>
      </c>
      <c r="H182" t="str">
        <f>IF($C182="","",(SUM(COUNTIFS('Data entry'!$R$6:$R$200,$C182,'Data entry'!$B$6:$B$200,{"Confirmed";"Probable"},'Data entry'!$AQ$6:$AQ$200,'Data Validation'!$V$2, 'Data entry'!$AP$6:$AP$200,'Data Validation'!$U$3, 'Data entry'!$BD$6:$BD$200,"&lt;&gt;*Negative*"))))</f>
        <v/>
      </c>
      <c r="I182" t="str">
        <f>IF($C182="","",(SUM(COUNTIFS('Data entry'!$R$6:$R$200,$C182,'Data entry'!$B$6:$B$200,{"Confirmed";"Probable"},'Data entry'!$AQ$6:$AQ$200,'Data Validation'!$V$2, 'Data entry'!$AP$6:$AP$200,'Data Validation'!$U$4, 'Data entry'!$BD$6:$BD$200,"&lt;&gt;*Negative*"))))</f>
        <v/>
      </c>
      <c r="J182" t="str">
        <f>IF($C182="","",(SUM(COUNTIFS('Data entry'!$R$6:$R$200,$C182,'Data entry'!$B$6:$B$200,{"Confirmed";"Probable"},'Data entry'!$AQ$6:$AQ$200,'Data Validation'!$V$2, 'Data entry'!$AP$6:$AP$200,'Data Validation'!$U$5, 'Data entry'!$BD$6:$BD$200,"&lt;&gt;*Negative*"))))</f>
        <v/>
      </c>
      <c r="K182" t="str">
        <f>IF($C182="","",(SUM(COUNTIFS('Data entry'!$R$6:$R$200,$C182,'Data entry'!$B$6:$B$200,{"Confirmed";"Probable"},'Data entry'!$AQ$6:$AQ$200,'Data Validation'!$V$2, 'Data entry'!$AP$6:$AP$200,'Data Validation'!$U$6, 'Data entry'!$BD$6:$BD$200,"&lt;&gt;*Negative*"))))</f>
        <v/>
      </c>
      <c r="L182" t="str">
        <f>IF($C182="","",(SUM(COUNTIFS('Data entry'!$R$6:$R$200,$C182,'Data entry'!$B$6:$B$200,{"Confirmed";"Probable"},'Data entry'!$AQ$6:$AQ$200,'Data Validation'!$V$3, 'Data entry'!$AP$6:$AP$200,'Data Validation'!$U$2, 'Data entry'!$BD$6:$BD$200,"&lt;&gt;*Negative*"))))</f>
        <v/>
      </c>
      <c r="M182" t="str">
        <f>IF($C182="","",(SUM(COUNTIFS('Data entry'!$R$6:$R$200,$C182,'Data entry'!$B$6:$B$200,{"Confirmed";"Probable"},'Data entry'!$AQ$6:$AQ$200,'Data Validation'!$V$3, 'Data entry'!$AP$6:$AP$200,'Data Validation'!$U$3, 'Data entry'!$BD$6:$BD$200,"&lt;&gt;*Negative*"))))</f>
        <v/>
      </c>
      <c r="N182" t="str">
        <f>IF($C182="","",(SUM(COUNTIFS('Data entry'!$R$6:$R$200,$C182,'Data entry'!$B$6:$B$200,{"Confirmed";"Probable"},'Data entry'!$AQ$6:$AQ$200,'Data Validation'!$V$3, 'Data entry'!$AP$6:$AP$200,'Data Validation'!$U$4, 'Data entry'!$BD$6:$BD$200,"&lt;&gt;*Negative*"))))</f>
        <v/>
      </c>
      <c r="O182" t="str">
        <f>IF($C182="","",(SUM(COUNTIFS('Data entry'!$R$6:$R$200,$C182,'Data entry'!$B$6:$B$200,{"Confirmed";"Probable"},'Data entry'!$AQ$6:$AQ$200,'Data Validation'!$V$3, 'Data entry'!$AP$6:$AP$200,'Data Validation'!$U$5, 'Data entry'!$BD$6:$BD$200,"&lt;&gt;*Negative*"))))</f>
        <v/>
      </c>
      <c r="P182" t="str">
        <f>IF($C182="","",(SUM(COUNTIFS('Data entry'!$R$6:$R$200,$C182,'Data entry'!$B$6:$B$200,{"Confirmed";"Probable"},'Data entry'!$AQ$6:$AQ$200,'Data Validation'!$V$3, 'Data entry'!$AP$6:$AP$200,'Data Validation'!$U$6, 'Data entry'!$BD$6:$BD$200,"&lt;&gt;*Negative*"))))</f>
        <v/>
      </c>
    </row>
    <row r="183" spans="1:16" ht="15.6" x14ac:dyDescent="0.35">
      <c r="A183" s="1" t="str">
        <f>IF('Data entry'!B187="","",'Data entry'!B187)</f>
        <v/>
      </c>
      <c r="B183" s="1" t="str">
        <f>IF('Data entry'!O187="","",'Data entry'!O187)</f>
        <v/>
      </c>
      <c r="C183" s="321" t="str">
        <f>IF('Data entry'!R187="","",'Data entry'!R187)</f>
        <v/>
      </c>
      <c r="D183" s="1" t="str">
        <f>IF('Data entry'!AO187="","",'Data entry'!AO187)</f>
        <v/>
      </c>
      <c r="E183" s="1" t="str">
        <f>IF('Data entry'!AP187="","",'Data entry'!AP187)</f>
        <v/>
      </c>
      <c r="F183" s="1" t="str">
        <f>IF('Data entry'!AQ187="","",'Data entry'!AQ187)</f>
        <v/>
      </c>
      <c r="G183" t="str">
        <f>IF($C183="","",(SUM(COUNTIFS('Data entry'!$R$6:$R$200,$C183,'Data entry'!$B$6:$B$200,{"Confirmed";"Probable"},'Data entry'!$AQ$6:$AQ$200,'Data Validation'!$V$2, 'Data entry'!$AP$6:$AP$200,'Data Validation'!$U$2, 'Data entry'!$BD$6:$BD$200,"&lt;&gt;*Negative*"))))</f>
        <v/>
      </c>
      <c r="H183" t="str">
        <f>IF($C183="","",(SUM(COUNTIFS('Data entry'!$R$6:$R$200,$C183,'Data entry'!$B$6:$B$200,{"Confirmed";"Probable"},'Data entry'!$AQ$6:$AQ$200,'Data Validation'!$V$2, 'Data entry'!$AP$6:$AP$200,'Data Validation'!$U$3, 'Data entry'!$BD$6:$BD$200,"&lt;&gt;*Negative*"))))</f>
        <v/>
      </c>
      <c r="I183" t="str">
        <f>IF($C183="","",(SUM(COUNTIFS('Data entry'!$R$6:$R$200,$C183,'Data entry'!$B$6:$B$200,{"Confirmed";"Probable"},'Data entry'!$AQ$6:$AQ$200,'Data Validation'!$V$2, 'Data entry'!$AP$6:$AP$200,'Data Validation'!$U$4, 'Data entry'!$BD$6:$BD$200,"&lt;&gt;*Negative*"))))</f>
        <v/>
      </c>
      <c r="J183" t="str">
        <f>IF($C183="","",(SUM(COUNTIFS('Data entry'!$R$6:$R$200,$C183,'Data entry'!$B$6:$B$200,{"Confirmed";"Probable"},'Data entry'!$AQ$6:$AQ$200,'Data Validation'!$V$2, 'Data entry'!$AP$6:$AP$200,'Data Validation'!$U$5, 'Data entry'!$BD$6:$BD$200,"&lt;&gt;*Negative*"))))</f>
        <v/>
      </c>
      <c r="K183" t="str">
        <f>IF($C183="","",(SUM(COUNTIFS('Data entry'!$R$6:$R$200,$C183,'Data entry'!$B$6:$B$200,{"Confirmed";"Probable"},'Data entry'!$AQ$6:$AQ$200,'Data Validation'!$V$2, 'Data entry'!$AP$6:$AP$200,'Data Validation'!$U$6, 'Data entry'!$BD$6:$BD$200,"&lt;&gt;*Negative*"))))</f>
        <v/>
      </c>
      <c r="L183" t="str">
        <f>IF($C183="","",(SUM(COUNTIFS('Data entry'!$R$6:$R$200,$C183,'Data entry'!$B$6:$B$200,{"Confirmed";"Probable"},'Data entry'!$AQ$6:$AQ$200,'Data Validation'!$V$3, 'Data entry'!$AP$6:$AP$200,'Data Validation'!$U$2, 'Data entry'!$BD$6:$BD$200,"&lt;&gt;*Negative*"))))</f>
        <v/>
      </c>
      <c r="M183" t="str">
        <f>IF($C183="","",(SUM(COUNTIFS('Data entry'!$R$6:$R$200,$C183,'Data entry'!$B$6:$B$200,{"Confirmed";"Probable"},'Data entry'!$AQ$6:$AQ$200,'Data Validation'!$V$3, 'Data entry'!$AP$6:$AP$200,'Data Validation'!$U$3, 'Data entry'!$BD$6:$BD$200,"&lt;&gt;*Negative*"))))</f>
        <v/>
      </c>
      <c r="N183" t="str">
        <f>IF($C183="","",(SUM(COUNTIFS('Data entry'!$R$6:$R$200,$C183,'Data entry'!$B$6:$B$200,{"Confirmed";"Probable"},'Data entry'!$AQ$6:$AQ$200,'Data Validation'!$V$3, 'Data entry'!$AP$6:$AP$200,'Data Validation'!$U$4, 'Data entry'!$BD$6:$BD$200,"&lt;&gt;*Negative*"))))</f>
        <v/>
      </c>
      <c r="O183" t="str">
        <f>IF($C183="","",(SUM(COUNTIFS('Data entry'!$R$6:$R$200,$C183,'Data entry'!$B$6:$B$200,{"Confirmed";"Probable"},'Data entry'!$AQ$6:$AQ$200,'Data Validation'!$V$3, 'Data entry'!$AP$6:$AP$200,'Data Validation'!$U$5, 'Data entry'!$BD$6:$BD$200,"&lt;&gt;*Negative*"))))</f>
        <v/>
      </c>
      <c r="P183" t="str">
        <f>IF($C183="","",(SUM(COUNTIFS('Data entry'!$R$6:$R$200,$C183,'Data entry'!$B$6:$B$200,{"Confirmed";"Probable"},'Data entry'!$AQ$6:$AQ$200,'Data Validation'!$V$3, 'Data entry'!$AP$6:$AP$200,'Data Validation'!$U$6, 'Data entry'!$BD$6:$BD$200,"&lt;&gt;*Negative*"))))</f>
        <v/>
      </c>
    </row>
    <row r="184" spans="1:16" ht="15.6" x14ac:dyDescent="0.35">
      <c r="A184" s="1" t="str">
        <f>IF('Data entry'!B188="","",'Data entry'!B188)</f>
        <v/>
      </c>
      <c r="B184" s="1" t="str">
        <f>IF('Data entry'!O188="","",'Data entry'!O188)</f>
        <v/>
      </c>
      <c r="C184" s="321" t="str">
        <f>IF('Data entry'!R188="","",'Data entry'!R188)</f>
        <v/>
      </c>
      <c r="D184" s="1" t="str">
        <f>IF('Data entry'!AO188="","",'Data entry'!AO188)</f>
        <v/>
      </c>
      <c r="E184" s="1" t="str">
        <f>IF('Data entry'!AP188="","",'Data entry'!AP188)</f>
        <v/>
      </c>
      <c r="F184" s="1" t="str">
        <f>IF('Data entry'!AQ188="","",'Data entry'!AQ188)</f>
        <v/>
      </c>
      <c r="G184" t="str">
        <f>IF($C184="","",(SUM(COUNTIFS('Data entry'!$R$6:$R$200,$C184,'Data entry'!$B$6:$B$200,{"Confirmed";"Probable"},'Data entry'!$AQ$6:$AQ$200,'Data Validation'!$V$2, 'Data entry'!$AP$6:$AP$200,'Data Validation'!$U$2, 'Data entry'!$BD$6:$BD$200,"&lt;&gt;*Negative*"))))</f>
        <v/>
      </c>
      <c r="H184" t="str">
        <f>IF($C184="","",(SUM(COUNTIFS('Data entry'!$R$6:$R$200,$C184,'Data entry'!$B$6:$B$200,{"Confirmed";"Probable"},'Data entry'!$AQ$6:$AQ$200,'Data Validation'!$V$2, 'Data entry'!$AP$6:$AP$200,'Data Validation'!$U$3, 'Data entry'!$BD$6:$BD$200,"&lt;&gt;*Negative*"))))</f>
        <v/>
      </c>
      <c r="I184" t="str">
        <f>IF($C184="","",(SUM(COUNTIFS('Data entry'!$R$6:$R$200,$C184,'Data entry'!$B$6:$B$200,{"Confirmed";"Probable"},'Data entry'!$AQ$6:$AQ$200,'Data Validation'!$V$2, 'Data entry'!$AP$6:$AP$200,'Data Validation'!$U$4, 'Data entry'!$BD$6:$BD$200,"&lt;&gt;*Negative*"))))</f>
        <v/>
      </c>
      <c r="J184" t="str">
        <f>IF($C184="","",(SUM(COUNTIFS('Data entry'!$R$6:$R$200,$C184,'Data entry'!$B$6:$B$200,{"Confirmed";"Probable"},'Data entry'!$AQ$6:$AQ$200,'Data Validation'!$V$2, 'Data entry'!$AP$6:$AP$200,'Data Validation'!$U$5, 'Data entry'!$BD$6:$BD$200,"&lt;&gt;*Negative*"))))</f>
        <v/>
      </c>
      <c r="K184" t="str">
        <f>IF($C184="","",(SUM(COUNTIFS('Data entry'!$R$6:$R$200,$C184,'Data entry'!$B$6:$B$200,{"Confirmed";"Probable"},'Data entry'!$AQ$6:$AQ$200,'Data Validation'!$V$2, 'Data entry'!$AP$6:$AP$200,'Data Validation'!$U$6, 'Data entry'!$BD$6:$BD$200,"&lt;&gt;*Negative*"))))</f>
        <v/>
      </c>
      <c r="L184" t="str">
        <f>IF($C184="","",(SUM(COUNTIFS('Data entry'!$R$6:$R$200,$C184,'Data entry'!$B$6:$B$200,{"Confirmed";"Probable"},'Data entry'!$AQ$6:$AQ$200,'Data Validation'!$V$3, 'Data entry'!$AP$6:$AP$200,'Data Validation'!$U$2, 'Data entry'!$BD$6:$BD$200,"&lt;&gt;*Negative*"))))</f>
        <v/>
      </c>
      <c r="M184" t="str">
        <f>IF($C184="","",(SUM(COUNTIFS('Data entry'!$R$6:$R$200,$C184,'Data entry'!$B$6:$B$200,{"Confirmed";"Probable"},'Data entry'!$AQ$6:$AQ$200,'Data Validation'!$V$3, 'Data entry'!$AP$6:$AP$200,'Data Validation'!$U$3, 'Data entry'!$BD$6:$BD$200,"&lt;&gt;*Negative*"))))</f>
        <v/>
      </c>
      <c r="N184" t="str">
        <f>IF($C184="","",(SUM(COUNTIFS('Data entry'!$R$6:$R$200,$C184,'Data entry'!$B$6:$B$200,{"Confirmed";"Probable"},'Data entry'!$AQ$6:$AQ$200,'Data Validation'!$V$3, 'Data entry'!$AP$6:$AP$200,'Data Validation'!$U$4, 'Data entry'!$BD$6:$BD$200,"&lt;&gt;*Negative*"))))</f>
        <v/>
      </c>
      <c r="O184" t="str">
        <f>IF($C184="","",(SUM(COUNTIFS('Data entry'!$R$6:$R$200,$C184,'Data entry'!$B$6:$B$200,{"Confirmed";"Probable"},'Data entry'!$AQ$6:$AQ$200,'Data Validation'!$V$3, 'Data entry'!$AP$6:$AP$200,'Data Validation'!$U$5, 'Data entry'!$BD$6:$BD$200,"&lt;&gt;*Negative*"))))</f>
        <v/>
      </c>
      <c r="P184" t="str">
        <f>IF($C184="","",(SUM(COUNTIFS('Data entry'!$R$6:$R$200,$C184,'Data entry'!$B$6:$B$200,{"Confirmed";"Probable"},'Data entry'!$AQ$6:$AQ$200,'Data Validation'!$V$3, 'Data entry'!$AP$6:$AP$200,'Data Validation'!$U$6, 'Data entry'!$BD$6:$BD$200,"&lt;&gt;*Negative*"))))</f>
        <v/>
      </c>
    </row>
    <row r="185" spans="1:16" ht="15.6" x14ac:dyDescent="0.35">
      <c r="A185" s="1" t="str">
        <f>IF('Data entry'!B189="","",'Data entry'!B189)</f>
        <v/>
      </c>
      <c r="B185" s="1" t="str">
        <f>IF('Data entry'!O189="","",'Data entry'!O189)</f>
        <v/>
      </c>
      <c r="C185" s="321" t="str">
        <f>IF('Data entry'!R189="","",'Data entry'!R189)</f>
        <v/>
      </c>
      <c r="D185" s="1" t="str">
        <f>IF('Data entry'!AO189="","",'Data entry'!AO189)</f>
        <v/>
      </c>
      <c r="E185" s="1" t="str">
        <f>IF('Data entry'!AP189="","",'Data entry'!AP189)</f>
        <v/>
      </c>
      <c r="F185" s="1" t="str">
        <f>IF('Data entry'!AQ189="","",'Data entry'!AQ189)</f>
        <v/>
      </c>
      <c r="G185" t="str">
        <f>IF($C185="","",(SUM(COUNTIFS('Data entry'!$R$6:$R$200,$C185,'Data entry'!$B$6:$B$200,{"Confirmed";"Probable"},'Data entry'!$AQ$6:$AQ$200,'Data Validation'!$V$2, 'Data entry'!$AP$6:$AP$200,'Data Validation'!$U$2, 'Data entry'!$BD$6:$BD$200,"&lt;&gt;*Negative*"))))</f>
        <v/>
      </c>
      <c r="H185" t="str">
        <f>IF($C185="","",(SUM(COUNTIFS('Data entry'!$R$6:$R$200,$C185,'Data entry'!$B$6:$B$200,{"Confirmed";"Probable"},'Data entry'!$AQ$6:$AQ$200,'Data Validation'!$V$2, 'Data entry'!$AP$6:$AP$200,'Data Validation'!$U$3, 'Data entry'!$BD$6:$BD$200,"&lt;&gt;*Negative*"))))</f>
        <v/>
      </c>
      <c r="I185" t="str">
        <f>IF($C185="","",(SUM(COUNTIFS('Data entry'!$R$6:$R$200,$C185,'Data entry'!$B$6:$B$200,{"Confirmed";"Probable"},'Data entry'!$AQ$6:$AQ$200,'Data Validation'!$V$2, 'Data entry'!$AP$6:$AP$200,'Data Validation'!$U$4, 'Data entry'!$BD$6:$BD$200,"&lt;&gt;*Negative*"))))</f>
        <v/>
      </c>
      <c r="J185" t="str">
        <f>IF($C185="","",(SUM(COUNTIFS('Data entry'!$R$6:$R$200,$C185,'Data entry'!$B$6:$B$200,{"Confirmed";"Probable"},'Data entry'!$AQ$6:$AQ$200,'Data Validation'!$V$2, 'Data entry'!$AP$6:$AP$200,'Data Validation'!$U$5, 'Data entry'!$BD$6:$BD$200,"&lt;&gt;*Negative*"))))</f>
        <v/>
      </c>
      <c r="K185" t="str">
        <f>IF($C185="","",(SUM(COUNTIFS('Data entry'!$R$6:$R$200,$C185,'Data entry'!$B$6:$B$200,{"Confirmed";"Probable"},'Data entry'!$AQ$6:$AQ$200,'Data Validation'!$V$2, 'Data entry'!$AP$6:$AP$200,'Data Validation'!$U$6, 'Data entry'!$BD$6:$BD$200,"&lt;&gt;*Negative*"))))</f>
        <v/>
      </c>
      <c r="L185" t="str">
        <f>IF($C185="","",(SUM(COUNTIFS('Data entry'!$R$6:$R$200,$C185,'Data entry'!$B$6:$B$200,{"Confirmed";"Probable"},'Data entry'!$AQ$6:$AQ$200,'Data Validation'!$V$3, 'Data entry'!$AP$6:$AP$200,'Data Validation'!$U$2, 'Data entry'!$BD$6:$BD$200,"&lt;&gt;*Negative*"))))</f>
        <v/>
      </c>
      <c r="M185" t="str">
        <f>IF($C185="","",(SUM(COUNTIFS('Data entry'!$R$6:$R$200,$C185,'Data entry'!$B$6:$B$200,{"Confirmed";"Probable"},'Data entry'!$AQ$6:$AQ$200,'Data Validation'!$V$3, 'Data entry'!$AP$6:$AP$200,'Data Validation'!$U$3, 'Data entry'!$BD$6:$BD$200,"&lt;&gt;*Negative*"))))</f>
        <v/>
      </c>
      <c r="N185" t="str">
        <f>IF($C185="","",(SUM(COUNTIFS('Data entry'!$R$6:$R$200,$C185,'Data entry'!$B$6:$B$200,{"Confirmed";"Probable"},'Data entry'!$AQ$6:$AQ$200,'Data Validation'!$V$3, 'Data entry'!$AP$6:$AP$200,'Data Validation'!$U$4, 'Data entry'!$BD$6:$BD$200,"&lt;&gt;*Negative*"))))</f>
        <v/>
      </c>
      <c r="O185" t="str">
        <f>IF($C185="","",(SUM(COUNTIFS('Data entry'!$R$6:$R$200,$C185,'Data entry'!$B$6:$B$200,{"Confirmed";"Probable"},'Data entry'!$AQ$6:$AQ$200,'Data Validation'!$V$3, 'Data entry'!$AP$6:$AP$200,'Data Validation'!$U$5, 'Data entry'!$BD$6:$BD$200,"&lt;&gt;*Negative*"))))</f>
        <v/>
      </c>
      <c r="P185" t="str">
        <f>IF($C185="","",(SUM(COUNTIFS('Data entry'!$R$6:$R$200,$C185,'Data entry'!$B$6:$B$200,{"Confirmed";"Probable"},'Data entry'!$AQ$6:$AQ$200,'Data Validation'!$V$3, 'Data entry'!$AP$6:$AP$200,'Data Validation'!$U$6, 'Data entry'!$BD$6:$BD$200,"&lt;&gt;*Negative*"))))</f>
        <v/>
      </c>
    </row>
    <row r="186" spans="1:16" ht="15.6" x14ac:dyDescent="0.35">
      <c r="A186" s="1" t="str">
        <f>IF('Data entry'!B190="","",'Data entry'!B190)</f>
        <v/>
      </c>
      <c r="B186" s="1" t="str">
        <f>IF('Data entry'!O190="","",'Data entry'!O190)</f>
        <v/>
      </c>
      <c r="C186" s="321" t="str">
        <f>IF('Data entry'!R190="","",'Data entry'!R190)</f>
        <v/>
      </c>
      <c r="D186" s="1" t="str">
        <f>IF('Data entry'!AO190="","",'Data entry'!AO190)</f>
        <v/>
      </c>
      <c r="E186" s="1" t="str">
        <f>IF('Data entry'!AP190="","",'Data entry'!AP190)</f>
        <v/>
      </c>
      <c r="F186" s="1" t="str">
        <f>IF('Data entry'!AQ190="","",'Data entry'!AQ190)</f>
        <v/>
      </c>
      <c r="G186" t="str">
        <f>IF($C186="","",(SUM(COUNTIFS('Data entry'!$R$6:$R$200,$C186,'Data entry'!$B$6:$B$200,{"Confirmed";"Probable"},'Data entry'!$AQ$6:$AQ$200,'Data Validation'!$V$2, 'Data entry'!$AP$6:$AP$200,'Data Validation'!$U$2, 'Data entry'!$BD$6:$BD$200,"&lt;&gt;*Negative*"))))</f>
        <v/>
      </c>
      <c r="H186" t="str">
        <f>IF($C186="","",(SUM(COUNTIFS('Data entry'!$R$6:$R$200,$C186,'Data entry'!$B$6:$B$200,{"Confirmed";"Probable"},'Data entry'!$AQ$6:$AQ$200,'Data Validation'!$V$2, 'Data entry'!$AP$6:$AP$200,'Data Validation'!$U$3, 'Data entry'!$BD$6:$BD$200,"&lt;&gt;*Negative*"))))</f>
        <v/>
      </c>
      <c r="I186" t="str">
        <f>IF($C186="","",(SUM(COUNTIFS('Data entry'!$R$6:$R$200,$C186,'Data entry'!$B$6:$B$200,{"Confirmed";"Probable"},'Data entry'!$AQ$6:$AQ$200,'Data Validation'!$V$2, 'Data entry'!$AP$6:$AP$200,'Data Validation'!$U$4, 'Data entry'!$BD$6:$BD$200,"&lt;&gt;*Negative*"))))</f>
        <v/>
      </c>
      <c r="J186" t="str">
        <f>IF($C186="","",(SUM(COUNTIFS('Data entry'!$R$6:$R$200,$C186,'Data entry'!$B$6:$B$200,{"Confirmed";"Probable"},'Data entry'!$AQ$6:$AQ$200,'Data Validation'!$V$2, 'Data entry'!$AP$6:$AP$200,'Data Validation'!$U$5, 'Data entry'!$BD$6:$BD$200,"&lt;&gt;*Negative*"))))</f>
        <v/>
      </c>
      <c r="K186" t="str">
        <f>IF($C186="","",(SUM(COUNTIFS('Data entry'!$R$6:$R$200,$C186,'Data entry'!$B$6:$B$200,{"Confirmed";"Probable"},'Data entry'!$AQ$6:$AQ$200,'Data Validation'!$V$2, 'Data entry'!$AP$6:$AP$200,'Data Validation'!$U$6, 'Data entry'!$BD$6:$BD$200,"&lt;&gt;*Negative*"))))</f>
        <v/>
      </c>
      <c r="L186" t="str">
        <f>IF($C186="","",(SUM(COUNTIFS('Data entry'!$R$6:$R$200,$C186,'Data entry'!$B$6:$B$200,{"Confirmed";"Probable"},'Data entry'!$AQ$6:$AQ$200,'Data Validation'!$V$3, 'Data entry'!$AP$6:$AP$200,'Data Validation'!$U$2, 'Data entry'!$BD$6:$BD$200,"&lt;&gt;*Negative*"))))</f>
        <v/>
      </c>
      <c r="M186" t="str">
        <f>IF($C186="","",(SUM(COUNTIFS('Data entry'!$R$6:$R$200,$C186,'Data entry'!$B$6:$B$200,{"Confirmed";"Probable"},'Data entry'!$AQ$6:$AQ$200,'Data Validation'!$V$3, 'Data entry'!$AP$6:$AP$200,'Data Validation'!$U$3, 'Data entry'!$BD$6:$BD$200,"&lt;&gt;*Negative*"))))</f>
        <v/>
      </c>
      <c r="N186" t="str">
        <f>IF($C186="","",(SUM(COUNTIFS('Data entry'!$R$6:$R$200,$C186,'Data entry'!$B$6:$B$200,{"Confirmed";"Probable"},'Data entry'!$AQ$6:$AQ$200,'Data Validation'!$V$3, 'Data entry'!$AP$6:$AP$200,'Data Validation'!$U$4, 'Data entry'!$BD$6:$BD$200,"&lt;&gt;*Negative*"))))</f>
        <v/>
      </c>
      <c r="O186" t="str">
        <f>IF($C186="","",(SUM(COUNTIFS('Data entry'!$R$6:$R$200,$C186,'Data entry'!$B$6:$B$200,{"Confirmed";"Probable"},'Data entry'!$AQ$6:$AQ$200,'Data Validation'!$V$3, 'Data entry'!$AP$6:$AP$200,'Data Validation'!$U$5, 'Data entry'!$BD$6:$BD$200,"&lt;&gt;*Negative*"))))</f>
        <v/>
      </c>
      <c r="P186" t="str">
        <f>IF($C186="","",(SUM(COUNTIFS('Data entry'!$R$6:$R$200,$C186,'Data entry'!$B$6:$B$200,{"Confirmed";"Probable"},'Data entry'!$AQ$6:$AQ$200,'Data Validation'!$V$3, 'Data entry'!$AP$6:$AP$200,'Data Validation'!$U$6, 'Data entry'!$BD$6:$BD$200,"&lt;&gt;*Negative*"))))</f>
        <v/>
      </c>
    </row>
    <row r="187" spans="1:16" ht="15.6" x14ac:dyDescent="0.35">
      <c r="A187" s="1" t="str">
        <f>IF('Data entry'!B191="","",'Data entry'!B191)</f>
        <v/>
      </c>
      <c r="B187" s="1" t="str">
        <f>IF('Data entry'!O191="","",'Data entry'!O191)</f>
        <v/>
      </c>
      <c r="C187" s="321" t="str">
        <f>IF('Data entry'!R191="","",'Data entry'!R191)</f>
        <v/>
      </c>
      <c r="D187" s="1" t="str">
        <f>IF('Data entry'!AO191="","",'Data entry'!AO191)</f>
        <v/>
      </c>
      <c r="E187" s="1" t="str">
        <f>IF('Data entry'!AP191="","",'Data entry'!AP191)</f>
        <v/>
      </c>
      <c r="F187" s="1" t="str">
        <f>IF('Data entry'!AQ191="","",'Data entry'!AQ191)</f>
        <v/>
      </c>
      <c r="G187" t="str">
        <f>IF($C187="","",(SUM(COUNTIFS('Data entry'!$R$6:$R$200,$C187,'Data entry'!$B$6:$B$200,{"Confirmed";"Probable"},'Data entry'!$AQ$6:$AQ$200,'Data Validation'!$V$2, 'Data entry'!$AP$6:$AP$200,'Data Validation'!$U$2, 'Data entry'!$BD$6:$BD$200,"&lt;&gt;*Negative*"))))</f>
        <v/>
      </c>
      <c r="H187" t="str">
        <f>IF($C187="","",(SUM(COUNTIFS('Data entry'!$R$6:$R$200,$C187,'Data entry'!$B$6:$B$200,{"Confirmed";"Probable"},'Data entry'!$AQ$6:$AQ$200,'Data Validation'!$V$2, 'Data entry'!$AP$6:$AP$200,'Data Validation'!$U$3, 'Data entry'!$BD$6:$BD$200,"&lt;&gt;*Negative*"))))</f>
        <v/>
      </c>
      <c r="I187" t="str">
        <f>IF($C187="","",(SUM(COUNTIFS('Data entry'!$R$6:$R$200,$C187,'Data entry'!$B$6:$B$200,{"Confirmed";"Probable"},'Data entry'!$AQ$6:$AQ$200,'Data Validation'!$V$2, 'Data entry'!$AP$6:$AP$200,'Data Validation'!$U$4, 'Data entry'!$BD$6:$BD$200,"&lt;&gt;*Negative*"))))</f>
        <v/>
      </c>
      <c r="J187" t="str">
        <f>IF($C187="","",(SUM(COUNTIFS('Data entry'!$R$6:$R$200,$C187,'Data entry'!$B$6:$B$200,{"Confirmed";"Probable"},'Data entry'!$AQ$6:$AQ$200,'Data Validation'!$V$2, 'Data entry'!$AP$6:$AP$200,'Data Validation'!$U$5, 'Data entry'!$BD$6:$BD$200,"&lt;&gt;*Negative*"))))</f>
        <v/>
      </c>
      <c r="K187" t="str">
        <f>IF($C187="","",(SUM(COUNTIFS('Data entry'!$R$6:$R$200,$C187,'Data entry'!$B$6:$B$200,{"Confirmed";"Probable"},'Data entry'!$AQ$6:$AQ$200,'Data Validation'!$V$2, 'Data entry'!$AP$6:$AP$200,'Data Validation'!$U$6, 'Data entry'!$BD$6:$BD$200,"&lt;&gt;*Negative*"))))</f>
        <v/>
      </c>
      <c r="L187" t="str">
        <f>IF($C187="","",(SUM(COUNTIFS('Data entry'!$R$6:$R$200,$C187,'Data entry'!$B$6:$B$200,{"Confirmed";"Probable"},'Data entry'!$AQ$6:$AQ$200,'Data Validation'!$V$3, 'Data entry'!$AP$6:$AP$200,'Data Validation'!$U$2, 'Data entry'!$BD$6:$BD$200,"&lt;&gt;*Negative*"))))</f>
        <v/>
      </c>
      <c r="M187" t="str">
        <f>IF($C187="","",(SUM(COUNTIFS('Data entry'!$R$6:$R$200,$C187,'Data entry'!$B$6:$B$200,{"Confirmed";"Probable"},'Data entry'!$AQ$6:$AQ$200,'Data Validation'!$V$3, 'Data entry'!$AP$6:$AP$200,'Data Validation'!$U$3, 'Data entry'!$BD$6:$BD$200,"&lt;&gt;*Negative*"))))</f>
        <v/>
      </c>
      <c r="N187" t="str">
        <f>IF($C187="","",(SUM(COUNTIFS('Data entry'!$R$6:$R$200,$C187,'Data entry'!$B$6:$B$200,{"Confirmed";"Probable"},'Data entry'!$AQ$6:$AQ$200,'Data Validation'!$V$3, 'Data entry'!$AP$6:$AP$200,'Data Validation'!$U$4, 'Data entry'!$BD$6:$BD$200,"&lt;&gt;*Negative*"))))</f>
        <v/>
      </c>
      <c r="O187" t="str">
        <f>IF($C187="","",(SUM(COUNTIFS('Data entry'!$R$6:$R$200,$C187,'Data entry'!$B$6:$B$200,{"Confirmed";"Probable"},'Data entry'!$AQ$6:$AQ$200,'Data Validation'!$V$3, 'Data entry'!$AP$6:$AP$200,'Data Validation'!$U$5, 'Data entry'!$BD$6:$BD$200,"&lt;&gt;*Negative*"))))</f>
        <v/>
      </c>
      <c r="P187" t="str">
        <f>IF($C187="","",(SUM(COUNTIFS('Data entry'!$R$6:$R$200,$C187,'Data entry'!$B$6:$B$200,{"Confirmed";"Probable"},'Data entry'!$AQ$6:$AQ$200,'Data Validation'!$V$3, 'Data entry'!$AP$6:$AP$200,'Data Validation'!$U$6, 'Data entry'!$BD$6:$BD$200,"&lt;&gt;*Negative*"))))</f>
        <v/>
      </c>
    </row>
    <row r="188" spans="1:16" ht="15.6" x14ac:dyDescent="0.35">
      <c r="A188" s="1" t="str">
        <f>IF('Data entry'!B192="","",'Data entry'!B192)</f>
        <v/>
      </c>
      <c r="B188" s="1" t="str">
        <f>IF('Data entry'!O192="","",'Data entry'!O192)</f>
        <v/>
      </c>
      <c r="C188" s="321" t="str">
        <f>IF('Data entry'!R192="","",'Data entry'!R192)</f>
        <v/>
      </c>
      <c r="D188" s="1" t="str">
        <f>IF('Data entry'!AO192="","",'Data entry'!AO192)</f>
        <v/>
      </c>
      <c r="E188" s="1" t="str">
        <f>IF('Data entry'!AP192="","",'Data entry'!AP192)</f>
        <v/>
      </c>
      <c r="F188" s="1" t="str">
        <f>IF('Data entry'!AQ192="","",'Data entry'!AQ192)</f>
        <v/>
      </c>
      <c r="G188" t="str">
        <f>IF($C188="","",(SUM(COUNTIFS('Data entry'!$R$6:$R$200,$C188,'Data entry'!$B$6:$B$200,{"Confirmed";"Probable"},'Data entry'!$AQ$6:$AQ$200,'Data Validation'!$V$2, 'Data entry'!$AP$6:$AP$200,'Data Validation'!$U$2, 'Data entry'!$BD$6:$BD$200,"&lt;&gt;*Negative*"))))</f>
        <v/>
      </c>
      <c r="H188" t="str">
        <f>IF($C188="","",(SUM(COUNTIFS('Data entry'!$R$6:$R$200,$C188,'Data entry'!$B$6:$B$200,{"Confirmed";"Probable"},'Data entry'!$AQ$6:$AQ$200,'Data Validation'!$V$2, 'Data entry'!$AP$6:$AP$200,'Data Validation'!$U$3, 'Data entry'!$BD$6:$BD$200,"&lt;&gt;*Negative*"))))</f>
        <v/>
      </c>
      <c r="I188" t="str">
        <f>IF($C188="","",(SUM(COUNTIFS('Data entry'!$R$6:$R$200,$C188,'Data entry'!$B$6:$B$200,{"Confirmed";"Probable"},'Data entry'!$AQ$6:$AQ$200,'Data Validation'!$V$2, 'Data entry'!$AP$6:$AP$200,'Data Validation'!$U$4, 'Data entry'!$BD$6:$BD$200,"&lt;&gt;*Negative*"))))</f>
        <v/>
      </c>
      <c r="J188" t="str">
        <f>IF($C188="","",(SUM(COUNTIFS('Data entry'!$R$6:$R$200,$C188,'Data entry'!$B$6:$B$200,{"Confirmed";"Probable"},'Data entry'!$AQ$6:$AQ$200,'Data Validation'!$V$2, 'Data entry'!$AP$6:$AP$200,'Data Validation'!$U$5, 'Data entry'!$BD$6:$BD$200,"&lt;&gt;*Negative*"))))</f>
        <v/>
      </c>
      <c r="K188" t="str">
        <f>IF($C188="","",(SUM(COUNTIFS('Data entry'!$R$6:$R$200,$C188,'Data entry'!$B$6:$B$200,{"Confirmed";"Probable"},'Data entry'!$AQ$6:$AQ$200,'Data Validation'!$V$2, 'Data entry'!$AP$6:$AP$200,'Data Validation'!$U$6, 'Data entry'!$BD$6:$BD$200,"&lt;&gt;*Negative*"))))</f>
        <v/>
      </c>
      <c r="L188" t="str">
        <f>IF($C188="","",(SUM(COUNTIFS('Data entry'!$R$6:$R$200,$C188,'Data entry'!$B$6:$B$200,{"Confirmed";"Probable"},'Data entry'!$AQ$6:$AQ$200,'Data Validation'!$V$3, 'Data entry'!$AP$6:$AP$200,'Data Validation'!$U$2, 'Data entry'!$BD$6:$BD$200,"&lt;&gt;*Negative*"))))</f>
        <v/>
      </c>
      <c r="M188" t="str">
        <f>IF($C188="","",(SUM(COUNTIFS('Data entry'!$R$6:$R$200,$C188,'Data entry'!$B$6:$B$200,{"Confirmed";"Probable"},'Data entry'!$AQ$6:$AQ$200,'Data Validation'!$V$3, 'Data entry'!$AP$6:$AP$200,'Data Validation'!$U$3, 'Data entry'!$BD$6:$BD$200,"&lt;&gt;*Negative*"))))</f>
        <v/>
      </c>
      <c r="N188" t="str">
        <f>IF($C188="","",(SUM(COUNTIFS('Data entry'!$R$6:$R$200,$C188,'Data entry'!$B$6:$B$200,{"Confirmed";"Probable"},'Data entry'!$AQ$6:$AQ$200,'Data Validation'!$V$3, 'Data entry'!$AP$6:$AP$200,'Data Validation'!$U$4, 'Data entry'!$BD$6:$BD$200,"&lt;&gt;*Negative*"))))</f>
        <v/>
      </c>
      <c r="O188" t="str">
        <f>IF($C188="","",(SUM(COUNTIFS('Data entry'!$R$6:$R$200,$C188,'Data entry'!$B$6:$B$200,{"Confirmed";"Probable"},'Data entry'!$AQ$6:$AQ$200,'Data Validation'!$V$3, 'Data entry'!$AP$6:$AP$200,'Data Validation'!$U$5, 'Data entry'!$BD$6:$BD$200,"&lt;&gt;*Negative*"))))</f>
        <v/>
      </c>
      <c r="P188" t="str">
        <f>IF($C188="","",(SUM(COUNTIFS('Data entry'!$R$6:$R$200,$C188,'Data entry'!$B$6:$B$200,{"Confirmed";"Probable"},'Data entry'!$AQ$6:$AQ$200,'Data Validation'!$V$3, 'Data entry'!$AP$6:$AP$200,'Data Validation'!$U$6, 'Data entry'!$BD$6:$BD$200,"&lt;&gt;*Negative*"))))</f>
        <v/>
      </c>
    </row>
    <row r="189" spans="1:16" ht="15.6" x14ac:dyDescent="0.35">
      <c r="A189" s="1" t="str">
        <f>IF('Data entry'!B193="","",'Data entry'!B193)</f>
        <v/>
      </c>
      <c r="B189" s="1" t="str">
        <f>IF('Data entry'!O193="","",'Data entry'!O193)</f>
        <v/>
      </c>
      <c r="C189" s="321" t="str">
        <f>IF('Data entry'!R193="","",'Data entry'!R193)</f>
        <v/>
      </c>
      <c r="D189" s="1" t="str">
        <f>IF('Data entry'!AO193="","",'Data entry'!AO193)</f>
        <v/>
      </c>
      <c r="E189" s="1" t="str">
        <f>IF('Data entry'!AP193="","",'Data entry'!AP193)</f>
        <v/>
      </c>
      <c r="F189" s="1" t="str">
        <f>IF('Data entry'!AQ193="","",'Data entry'!AQ193)</f>
        <v/>
      </c>
      <c r="G189" t="str">
        <f>IF($C189="","",(SUM(COUNTIFS('Data entry'!$R$6:$R$200,$C189,'Data entry'!$B$6:$B$200,{"Confirmed";"Probable"},'Data entry'!$AQ$6:$AQ$200,'Data Validation'!$V$2, 'Data entry'!$AP$6:$AP$200,'Data Validation'!$U$2, 'Data entry'!$BD$6:$BD$200,"&lt;&gt;*Negative*"))))</f>
        <v/>
      </c>
      <c r="H189" t="str">
        <f>IF($C189="","",(SUM(COUNTIFS('Data entry'!$R$6:$R$200,$C189,'Data entry'!$B$6:$B$200,{"Confirmed";"Probable"},'Data entry'!$AQ$6:$AQ$200,'Data Validation'!$V$2, 'Data entry'!$AP$6:$AP$200,'Data Validation'!$U$3, 'Data entry'!$BD$6:$BD$200,"&lt;&gt;*Negative*"))))</f>
        <v/>
      </c>
      <c r="I189" t="str">
        <f>IF($C189="","",(SUM(COUNTIFS('Data entry'!$R$6:$R$200,$C189,'Data entry'!$B$6:$B$200,{"Confirmed";"Probable"},'Data entry'!$AQ$6:$AQ$200,'Data Validation'!$V$2, 'Data entry'!$AP$6:$AP$200,'Data Validation'!$U$4, 'Data entry'!$BD$6:$BD$200,"&lt;&gt;*Negative*"))))</f>
        <v/>
      </c>
      <c r="J189" t="str">
        <f>IF($C189="","",(SUM(COUNTIFS('Data entry'!$R$6:$R$200,$C189,'Data entry'!$B$6:$B$200,{"Confirmed";"Probable"},'Data entry'!$AQ$6:$AQ$200,'Data Validation'!$V$2, 'Data entry'!$AP$6:$AP$200,'Data Validation'!$U$5, 'Data entry'!$BD$6:$BD$200,"&lt;&gt;*Negative*"))))</f>
        <v/>
      </c>
      <c r="K189" t="str">
        <f>IF($C189="","",(SUM(COUNTIFS('Data entry'!$R$6:$R$200,$C189,'Data entry'!$B$6:$B$200,{"Confirmed";"Probable"},'Data entry'!$AQ$6:$AQ$200,'Data Validation'!$V$2, 'Data entry'!$AP$6:$AP$200,'Data Validation'!$U$6, 'Data entry'!$BD$6:$BD$200,"&lt;&gt;*Negative*"))))</f>
        <v/>
      </c>
      <c r="L189" t="str">
        <f>IF($C189="","",(SUM(COUNTIFS('Data entry'!$R$6:$R$200,$C189,'Data entry'!$B$6:$B$200,{"Confirmed";"Probable"},'Data entry'!$AQ$6:$AQ$200,'Data Validation'!$V$3, 'Data entry'!$AP$6:$AP$200,'Data Validation'!$U$2, 'Data entry'!$BD$6:$BD$200,"&lt;&gt;*Negative*"))))</f>
        <v/>
      </c>
      <c r="M189" t="str">
        <f>IF($C189="","",(SUM(COUNTIFS('Data entry'!$R$6:$R$200,$C189,'Data entry'!$B$6:$B$200,{"Confirmed";"Probable"},'Data entry'!$AQ$6:$AQ$200,'Data Validation'!$V$3, 'Data entry'!$AP$6:$AP$200,'Data Validation'!$U$3, 'Data entry'!$BD$6:$BD$200,"&lt;&gt;*Negative*"))))</f>
        <v/>
      </c>
      <c r="N189" t="str">
        <f>IF($C189="","",(SUM(COUNTIFS('Data entry'!$R$6:$R$200,$C189,'Data entry'!$B$6:$B$200,{"Confirmed";"Probable"},'Data entry'!$AQ$6:$AQ$200,'Data Validation'!$V$3, 'Data entry'!$AP$6:$AP$200,'Data Validation'!$U$4, 'Data entry'!$BD$6:$BD$200,"&lt;&gt;*Negative*"))))</f>
        <v/>
      </c>
      <c r="O189" t="str">
        <f>IF($C189="","",(SUM(COUNTIFS('Data entry'!$R$6:$R$200,$C189,'Data entry'!$B$6:$B$200,{"Confirmed";"Probable"},'Data entry'!$AQ$6:$AQ$200,'Data Validation'!$V$3, 'Data entry'!$AP$6:$AP$200,'Data Validation'!$U$5, 'Data entry'!$BD$6:$BD$200,"&lt;&gt;*Negative*"))))</f>
        <v/>
      </c>
      <c r="P189" t="str">
        <f>IF($C189="","",(SUM(COUNTIFS('Data entry'!$R$6:$R$200,$C189,'Data entry'!$B$6:$B$200,{"Confirmed";"Probable"},'Data entry'!$AQ$6:$AQ$200,'Data Validation'!$V$3, 'Data entry'!$AP$6:$AP$200,'Data Validation'!$U$6, 'Data entry'!$BD$6:$BD$200,"&lt;&gt;*Negative*"))))</f>
        <v/>
      </c>
    </row>
    <row r="190" spans="1:16" ht="15.6" x14ac:dyDescent="0.35">
      <c r="A190" s="1" t="str">
        <f>IF('Data entry'!B194="","",'Data entry'!B194)</f>
        <v/>
      </c>
      <c r="B190" s="1" t="str">
        <f>IF('Data entry'!O194="","",'Data entry'!O194)</f>
        <v/>
      </c>
      <c r="C190" s="321" t="str">
        <f>IF('Data entry'!R194="","",'Data entry'!R194)</f>
        <v/>
      </c>
      <c r="D190" s="1" t="str">
        <f>IF('Data entry'!AO194="","",'Data entry'!AO194)</f>
        <v/>
      </c>
      <c r="E190" s="1" t="str">
        <f>IF('Data entry'!AP194="","",'Data entry'!AP194)</f>
        <v/>
      </c>
      <c r="F190" s="1" t="str">
        <f>IF('Data entry'!AQ194="","",'Data entry'!AQ194)</f>
        <v/>
      </c>
      <c r="G190" t="str">
        <f>IF($C190="","",(SUM(COUNTIFS('Data entry'!$R$6:$R$200,$C190,'Data entry'!$B$6:$B$200,{"Confirmed";"Probable"},'Data entry'!$AQ$6:$AQ$200,'Data Validation'!$V$2, 'Data entry'!$AP$6:$AP$200,'Data Validation'!$U$2, 'Data entry'!$BD$6:$BD$200,"&lt;&gt;*Negative*"))))</f>
        <v/>
      </c>
      <c r="H190" t="str">
        <f>IF($C190="","",(SUM(COUNTIFS('Data entry'!$R$6:$R$200,$C190,'Data entry'!$B$6:$B$200,{"Confirmed";"Probable"},'Data entry'!$AQ$6:$AQ$200,'Data Validation'!$V$2, 'Data entry'!$AP$6:$AP$200,'Data Validation'!$U$3, 'Data entry'!$BD$6:$BD$200,"&lt;&gt;*Negative*"))))</f>
        <v/>
      </c>
      <c r="I190" t="str">
        <f>IF($C190="","",(SUM(COUNTIFS('Data entry'!$R$6:$R$200,$C190,'Data entry'!$B$6:$B$200,{"Confirmed";"Probable"},'Data entry'!$AQ$6:$AQ$200,'Data Validation'!$V$2, 'Data entry'!$AP$6:$AP$200,'Data Validation'!$U$4, 'Data entry'!$BD$6:$BD$200,"&lt;&gt;*Negative*"))))</f>
        <v/>
      </c>
      <c r="J190" t="str">
        <f>IF($C190="","",(SUM(COUNTIFS('Data entry'!$R$6:$R$200,$C190,'Data entry'!$B$6:$B$200,{"Confirmed";"Probable"},'Data entry'!$AQ$6:$AQ$200,'Data Validation'!$V$2, 'Data entry'!$AP$6:$AP$200,'Data Validation'!$U$5, 'Data entry'!$BD$6:$BD$200,"&lt;&gt;*Negative*"))))</f>
        <v/>
      </c>
      <c r="K190" t="str">
        <f>IF($C190="","",(SUM(COUNTIFS('Data entry'!$R$6:$R$200,$C190,'Data entry'!$B$6:$B$200,{"Confirmed";"Probable"},'Data entry'!$AQ$6:$AQ$200,'Data Validation'!$V$2, 'Data entry'!$AP$6:$AP$200,'Data Validation'!$U$6, 'Data entry'!$BD$6:$BD$200,"&lt;&gt;*Negative*"))))</f>
        <v/>
      </c>
      <c r="L190" t="str">
        <f>IF($C190="","",(SUM(COUNTIFS('Data entry'!$R$6:$R$200,$C190,'Data entry'!$B$6:$B$200,{"Confirmed";"Probable"},'Data entry'!$AQ$6:$AQ$200,'Data Validation'!$V$3, 'Data entry'!$AP$6:$AP$200,'Data Validation'!$U$2, 'Data entry'!$BD$6:$BD$200,"&lt;&gt;*Negative*"))))</f>
        <v/>
      </c>
      <c r="M190" t="str">
        <f>IF($C190="","",(SUM(COUNTIFS('Data entry'!$R$6:$R$200,$C190,'Data entry'!$B$6:$B$200,{"Confirmed";"Probable"},'Data entry'!$AQ$6:$AQ$200,'Data Validation'!$V$3, 'Data entry'!$AP$6:$AP$200,'Data Validation'!$U$3, 'Data entry'!$BD$6:$BD$200,"&lt;&gt;*Negative*"))))</f>
        <v/>
      </c>
      <c r="N190" t="str">
        <f>IF($C190="","",(SUM(COUNTIFS('Data entry'!$R$6:$R$200,$C190,'Data entry'!$B$6:$B$200,{"Confirmed";"Probable"},'Data entry'!$AQ$6:$AQ$200,'Data Validation'!$V$3, 'Data entry'!$AP$6:$AP$200,'Data Validation'!$U$4, 'Data entry'!$BD$6:$BD$200,"&lt;&gt;*Negative*"))))</f>
        <v/>
      </c>
      <c r="O190" t="str">
        <f>IF($C190="","",(SUM(COUNTIFS('Data entry'!$R$6:$R$200,$C190,'Data entry'!$B$6:$B$200,{"Confirmed";"Probable"},'Data entry'!$AQ$6:$AQ$200,'Data Validation'!$V$3, 'Data entry'!$AP$6:$AP$200,'Data Validation'!$U$5, 'Data entry'!$BD$6:$BD$200,"&lt;&gt;*Negative*"))))</f>
        <v/>
      </c>
      <c r="P190" t="str">
        <f>IF($C190="","",(SUM(COUNTIFS('Data entry'!$R$6:$R$200,$C190,'Data entry'!$B$6:$B$200,{"Confirmed";"Probable"},'Data entry'!$AQ$6:$AQ$200,'Data Validation'!$V$3, 'Data entry'!$AP$6:$AP$200,'Data Validation'!$U$6, 'Data entry'!$BD$6:$BD$200,"&lt;&gt;*Negative*"))))</f>
        <v/>
      </c>
    </row>
    <row r="191" spans="1:16" ht="15.6" x14ac:dyDescent="0.35">
      <c r="A191" s="1" t="str">
        <f>IF('Data entry'!B195="","",'Data entry'!B195)</f>
        <v/>
      </c>
      <c r="B191" s="1" t="str">
        <f>IF('Data entry'!O195="","",'Data entry'!O195)</f>
        <v/>
      </c>
      <c r="C191" s="321" t="str">
        <f>IF('Data entry'!R195="","",'Data entry'!R195)</f>
        <v/>
      </c>
      <c r="D191" s="1" t="str">
        <f>IF('Data entry'!AO195="","",'Data entry'!AO195)</f>
        <v/>
      </c>
      <c r="E191" s="1" t="str">
        <f>IF('Data entry'!AP195="","",'Data entry'!AP195)</f>
        <v/>
      </c>
      <c r="F191" s="1" t="str">
        <f>IF('Data entry'!AQ195="","",'Data entry'!AQ195)</f>
        <v/>
      </c>
      <c r="G191" t="str">
        <f>IF($C191="","",(SUM(COUNTIFS('Data entry'!$R$6:$R$200,$C191,'Data entry'!$B$6:$B$200,{"Confirmed";"Probable"},'Data entry'!$AQ$6:$AQ$200,'Data Validation'!$V$2, 'Data entry'!$AP$6:$AP$200,'Data Validation'!$U$2, 'Data entry'!$BD$6:$BD$200,"&lt;&gt;*Negative*"))))</f>
        <v/>
      </c>
      <c r="H191" t="str">
        <f>IF($C191="","",(SUM(COUNTIFS('Data entry'!$R$6:$R$200,$C191,'Data entry'!$B$6:$B$200,{"Confirmed";"Probable"},'Data entry'!$AQ$6:$AQ$200,'Data Validation'!$V$2, 'Data entry'!$AP$6:$AP$200,'Data Validation'!$U$3, 'Data entry'!$BD$6:$BD$200,"&lt;&gt;*Negative*"))))</f>
        <v/>
      </c>
      <c r="I191" t="str">
        <f>IF($C191="","",(SUM(COUNTIFS('Data entry'!$R$6:$R$200,$C191,'Data entry'!$B$6:$B$200,{"Confirmed";"Probable"},'Data entry'!$AQ$6:$AQ$200,'Data Validation'!$V$2, 'Data entry'!$AP$6:$AP$200,'Data Validation'!$U$4, 'Data entry'!$BD$6:$BD$200,"&lt;&gt;*Negative*"))))</f>
        <v/>
      </c>
      <c r="J191" t="str">
        <f>IF($C191="","",(SUM(COUNTIFS('Data entry'!$R$6:$R$200,$C191,'Data entry'!$B$6:$B$200,{"Confirmed";"Probable"},'Data entry'!$AQ$6:$AQ$200,'Data Validation'!$V$2, 'Data entry'!$AP$6:$AP$200,'Data Validation'!$U$5, 'Data entry'!$BD$6:$BD$200,"&lt;&gt;*Negative*"))))</f>
        <v/>
      </c>
      <c r="K191" t="str">
        <f>IF($C191="","",(SUM(COUNTIFS('Data entry'!$R$6:$R$200,$C191,'Data entry'!$B$6:$B$200,{"Confirmed";"Probable"},'Data entry'!$AQ$6:$AQ$200,'Data Validation'!$V$2, 'Data entry'!$AP$6:$AP$200,'Data Validation'!$U$6, 'Data entry'!$BD$6:$BD$200,"&lt;&gt;*Negative*"))))</f>
        <v/>
      </c>
      <c r="L191" t="str">
        <f>IF($C191="","",(SUM(COUNTIFS('Data entry'!$R$6:$R$200,$C191,'Data entry'!$B$6:$B$200,{"Confirmed";"Probable"},'Data entry'!$AQ$6:$AQ$200,'Data Validation'!$V$3, 'Data entry'!$AP$6:$AP$200,'Data Validation'!$U$2, 'Data entry'!$BD$6:$BD$200,"&lt;&gt;*Negative*"))))</f>
        <v/>
      </c>
      <c r="M191" t="str">
        <f>IF($C191="","",(SUM(COUNTIFS('Data entry'!$R$6:$R$200,$C191,'Data entry'!$B$6:$B$200,{"Confirmed";"Probable"},'Data entry'!$AQ$6:$AQ$200,'Data Validation'!$V$3, 'Data entry'!$AP$6:$AP$200,'Data Validation'!$U$3, 'Data entry'!$BD$6:$BD$200,"&lt;&gt;*Negative*"))))</f>
        <v/>
      </c>
      <c r="N191" t="str">
        <f>IF($C191="","",(SUM(COUNTIFS('Data entry'!$R$6:$R$200,$C191,'Data entry'!$B$6:$B$200,{"Confirmed";"Probable"},'Data entry'!$AQ$6:$AQ$200,'Data Validation'!$V$3, 'Data entry'!$AP$6:$AP$200,'Data Validation'!$U$4, 'Data entry'!$BD$6:$BD$200,"&lt;&gt;*Negative*"))))</f>
        <v/>
      </c>
      <c r="O191" t="str">
        <f>IF($C191="","",(SUM(COUNTIFS('Data entry'!$R$6:$R$200,$C191,'Data entry'!$B$6:$B$200,{"Confirmed";"Probable"},'Data entry'!$AQ$6:$AQ$200,'Data Validation'!$V$3, 'Data entry'!$AP$6:$AP$200,'Data Validation'!$U$5, 'Data entry'!$BD$6:$BD$200,"&lt;&gt;*Negative*"))))</f>
        <v/>
      </c>
      <c r="P191" t="str">
        <f>IF($C191="","",(SUM(COUNTIFS('Data entry'!$R$6:$R$200,$C191,'Data entry'!$B$6:$B$200,{"Confirmed";"Probable"},'Data entry'!$AQ$6:$AQ$200,'Data Validation'!$V$3, 'Data entry'!$AP$6:$AP$200,'Data Validation'!$U$6, 'Data entry'!$BD$6:$BD$200,"&lt;&gt;*Negative*"))))</f>
        <v/>
      </c>
    </row>
    <row r="192" spans="1:16" ht="15.6" x14ac:dyDescent="0.35">
      <c r="A192" s="1" t="str">
        <f>IF('Data entry'!B196="","",'Data entry'!B196)</f>
        <v/>
      </c>
      <c r="B192" s="1" t="str">
        <f>IF('Data entry'!O196="","",'Data entry'!O196)</f>
        <v/>
      </c>
      <c r="C192" s="321" t="str">
        <f>IF('Data entry'!R196="","",'Data entry'!R196)</f>
        <v/>
      </c>
      <c r="D192" s="1" t="str">
        <f>IF('Data entry'!AO196="","",'Data entry'!AO196)</f>
        <v/>
      </c>
      <c r="E192" s="1" t="str">
        <f>IF('Data entry'!AP196="","",'Data entry'!AP196)</f>
        <v/>
      </c>
      <c r="F192" s="1" t="str">
        <f>IF('Data entry'!AQ196="","",'Data entry'!AQ196)</f>
        <v/>
      </c>
      <c r="G192" t="str">
        <f>IF($C192="","",(SUM(COUNTIFS('Data entry'!$R$6:$R$200,$C192,'Data entry'!$B$6:$B$200,{"Confirmed";"Probable"},'Data entry'!$AQ$6:$AQ$200,'Data Validation'!$V$2, 'Data entry'!$AP$6:$AP$200,'Data Validation'!$U$2, 'Data entry'!$BD$6:$BD$200,"&lt;&gt;*Negative*"))))</f>
        <v/>
      </c>
      <c r="H192" t="str">
        <f>IF($C192="","",(SUM(COUNTIFS('Data entry'!$R$6:$R$200,$C192,'Data entry'!$B$6:$B$200,{"Confirmed";"Probable"},'Data entry'!$AQ$6:$AQ$200,'Data Validation'!$V$2, 'Data entry'!$AP$6:$AP$200,'Data Validation'!$U$3, 'Data entry'!$BD$6:$BD$200,"&lt;&gt;*Negative*"))))</f>
        <v/>
      </c>
      <c r="I192" t="str">
        <f>IF($C192="","",(SUM(COUNTIFS('Data entry'!$R$6:$R$200,$C192,'Data entry'!$B$6:$B$200,{"Confirmed";"Probable"},'Data entry'!$AQ$6:$AQ$200,'Data Validation'!$V$2, 'Data entry'!$AP$6:$AP$200,'Data Validation'!$U$4, 'Data entry'!$BD$6:$BD$200,"&lt;&gt;*Negative*"))))</f>
        <v/>
      </c>
      <c r="J192" t="str">
        <f>IF($C192="","",(SUM(COUNTIFS('Data entry'!$R$6:$R$200,$C192,'Data entry'!$B$6:$B$200,{"Confirmed";"Probable"},'Data entry'!$AQ$6:$AQ$200,'Data Validation'!$V$2, 'Data entry'!$AP$6:$AP$200,'Data Validation'!$U$5, 'Data entry'!$BD$6:$BD$200,"&lt;&gt;*Negative*"))))</f>
        <v/>
      </c>
      <c r="K192" t="str">
        <f>IF($C192="","",(SUM(COUNTIFS('Data entry'!$R$6:$R$200,$C192,'Data entry'!$B$6:$B$200,{"Confirmed";"Probable"},'Data entry'!$AQ$6:$AQ$200,'Data Validation'!$V$2, 'Data entry'!$AP$6:$AP$200,'Data Validation'!$U$6, 'Data entry'!$BD$6:$BD$200,"&lt;&gt;*Negative*"))))</f>
        <v/>
      </c>
      <c r="L192" t="str">
        <f>IF($C192="","",(SUM(COUNTIFS('Data entry'!$R$6:$R$200,$C192,'Data entry'!$B$6:$B$200,{"Confirmed";"Probable"},'Data entry'!$AQ$6:$AQ$200,'Data Validation'!$V$3, 'Data entry'!$AP$6:$AP$200,'Data Validation'!$U$2, 'Data entry'!$BD$6:$BD$200,"&lt;&gt;*Negative*"))))</f>
        <v/>
      </c>
      <c r="M192" t="str">
        <f>IF($C192="","",(SUM(COUNTIFS('Data entry'!$R$6:$R$200,$C192,'Data entry'!$B$6:$B$200,{"Confirmed";"Probable"},'Data entry'!$AQ$6:$AQ$200,'Data Validation'!$V$3, 'Data entry'!$AP$6:$AP$200,'Data Validation'!$U$3, 'Data entry'!$BD$6:$BD$200,"&lt;&gt;*Negative*"))))</f>
        <v/>
      </c>
      <c r="N192" t="str">
        <f>IF($C192="","",(SUM(COUNTIFS('Data entry'!$R$6:$R$200,$C192,'Data entry'!$B$6:$B$200,{"Confirmed";"Probable"},'Data entry'!$AQ$6:$AQ$200,'Data Validation'!$V$3, 'Data entry'!$AP$6:$AP$200,'Data Validation'!$U$4, 'Data entry'!$BD$6:$BD$200,"&lt;&gt;*Negative*"))))</f>
        <v/>
      </c>
      <c r="O192" t="str">
        <f>IF($C192="","",(SUM(COUNTIFS('Data entry'!$R$6:$R$200,$C192,'Data entry'!$B$6:$B$200,{"Confirmed";"Probable"},'Data entry'!$AQ$6:$AQ$200,'Data Validation'!$V$3, 'Data entry'!$AP$6:$AP$200,'Data Validation'!$U$5, 'Data entry'!$BD$6:$BD$200,"&lt;&gt;*Negative*"))))</f>
        <v/>
      </c>
      <c r="P192" t="str">
        <f>IF($C192="","",(SUM(COUNTIFS('Data entry'!$R$6:$R$200,$C192,'Data entry'!$B$6:$B$200,{"Confirmed";"Probable"},'Data entry'!$AQ$6:$AQ$200,'Data Validation'!$V$3, 'Data entry'!$AP$6:$AP$200,'Data Validation'!$U$6, 'Data entry'!$BD$6:$BD$200,"&lt;&gt;*Negative*"))))</f>
        <v/>
      </c>
    </row>
    <row r="193" spans="1:16" ht="15.6" x14ac:dyDescent="0.35">
      <c r="A193" s="1" t="str">
        <f>IF('Data entry'!B197="","",'Data entry'!B197)</f>
        <v/>
      </c>
      <c r="B193" s="1" t="str">
        <f>IF('Data entry'!O197="","",'Data entry'!O197)</f>
        <v/>
      </c>
      <c r="C193" s="321" t="str">
        <f>IF('Data entry'!R197="","",'Data entry'!R197)</f>
        <v/>
      </c>
      <c r="D193" s="1" t="str">
        <f>IF('Data entry'!AO197="","",'Data entry'!AO197)</f>
        <v/>
      </c>
      <c r="E193" s="1" t="str">
        <f>IF('Data entry'!AP197="","",'Data entry'!AP197)</f>
        <v/>
      </c>
      <c r="F193" s="1" t="str">
        <f>IF('Data entry'!AQ197="","",'Data entry'!AQ197)</f>
        <v/>
      </c>
      <c r="G193" t="str">
        <f>IF($C193="","",(SUM(COUNTIFS('Data entry'!$R$6:$R$200,$C193,'Data entry'!$B$6:$B$200,{"Confirmed";"Probable"},'Data entry'!$AQ$6:$AQ$200,'Data Validation'!$V$2, 'Data entry'!$AP$6:$AP$200,'Data Validation'!$U$2, 'Data entry'!$BD$6:$BD$200,"&lt;&gt;*Negative*"))))</f>
        <v/>
      </c>
      <c r="H193" t="str">
        <f>IF($C193="","",(SUM(COUNTIFS('Data entry'!$R$6:$R$200,$C193,'Data entry'!$B$6:$B$200,{"Confirmed";"Probable"},'Data entry'!$AQ$6:$AQ$200,'Data Validation'!$V$2, 'Data entry'!$AP$6:$AP$200,'Data Validation'!$U$3, 'Data entry'!$BD$6:$BD$200,"&lt;&gt;*Negative*"))))</f>
        <v/>
      </c>
      <c r="I193" t="str">
        <f>IF($C193="","",(SUM(COUNTIFS('Data entry'!$R$6:$R$200,$C193,'Data entry'!$B$6:$B$200,{"Confirmed";"Probable"},'Data entry'!$AQ$6:$AQ$200,'Data Validation'!$V$2, 'Data entry'!$AP$6:$AP$200,'Data Validation'!$U$4, 'Data entry'!$BD$6:$BD$200,"&lt;&gt;*Negative*"))))</f>
        <v/>
      </c>
      <c r="J193" t="str">
        <f>IF($C193="","",(SUM(COUNTIFS('Data entry'!$R$6:$R$200,$C193,'Data entry'!$B$6:$B$200,{"Confirmed";"Probable"},'Data entry'!$AQ$6:$AQ$200,'Data Validation'!$V$2, 'Data entry'!$AP$6:$AP$200,'Data Validation'!$U$5, 'Data entry'!$BD$6:$BD$200,"&lt;&gt;*Negative*"))))</f>
        <v/>
      </c>
      <c r="K193" t="str">
        <f>IF($C193="","",(SUM(COUNTIFS('Data entry'!$R$6:$R$200,$C193,'Data entry'!$B$6:$B$200,{"Confirmed";"Probable"},'Data entry'!$AQ$6:$AQ$200,'Data Validation'!$V$2, 'Data entry'!$AP$6:$AP$200,'Data Validation'!$U$6, 'Data entry'!$BD$6:$BD$200,"&lt;&gt;*Negative*"))))</f>
        <v/>
      </c>
      <c r="L193" t="str">
        <f>IF($C193="","",(SUM(COUNTIFS('Data entry'!$R$6:$R$200,$C193,'Data entry'!$B$6:$B$200,{"Confirmed";"Probable"},'Data entry'!$AQ$6:$AQ$200,'Data Validation'!$V$3, 'Data entry'!$AP$6:$AP$200,'Data Validation'!$U$2, 'Data entry'!$BD$6:$BD$200,"&lt;&gt;*Negative*"))))</f>
        <v/>
      </c>
      <c r="M193" t="str">
        <f>IF($C193="","",(SUM(COUNTIFS('Data entry'!$R$6:$R$200,$C193,'Data entry'!$B$6:$B$200,{"Confirmed";"Probable"},'Data entry'!$AQ$6:$AQ$200,'Data Validation'!$V$3, 'Data entry'!$AP$6:$AP$200,'Data Validation'!$U$3, 'Data entry'!$BD$6:$BD$200,"&lt;&gt;*Negative*"))))</f>
        <v/>
      </c>
      <c r="N193" t="str">
        <f>IF($C193="","",(SUM(COUNTIFS('Data entry'!$R$6:$R$200,$C193,'Data entry'!$B$6:$B$200,{"Confirmed";"Probable"},'Data entry'!$AQ$6:$AQ$200,'Data Validation'!$V$3, 'Data entry'!$AP$6:$AP$200,'Data Validation'!$U$4, 'Data entry'!$BD$6:$BD$200,"&lt;&gt;*Negative*"))))</f>
        <v/>
      </c>
      <c r="O193" t="str">
        <f>IF($C193="","",(SUM(COUNTIFS('Data entry'!$R$6:$R$200,$C193,'Data entry'!$B$6:$B$200,{"Confirmed";"Probable"},'Data entry'!$AQ$6:$AQ$200,'Data Validation'!$V$3, 'Data entry'!$AP$6:$AP$200,'Data Validation'!$U$5, 'Data entry'!$BD$6:$BD$200,"&lt;&gt;*Negative*"))))</f>
        <v/>
      </c>
      <c r="P193" t="str">
        <f>IF($C193="","",(SUM(COUNTIFS('Data entry'!$R$6:$R$200,$C193,'Data entry'!$B$6:$B$200,{"Confirmed";"Probable"},'Data entry'!$AQ$6:$AQ$200,'Data Validation'!$V$3, 'Data entry'!$AP$6:$AP$200,'Data Validation'!$U$6, 'Data entry'!$BD$6:$BD$200,"&lt;&gt;*Negative*"))))</f>
        <v/>
      </c>
    </row>
    <row r="194" spans="1:16" ht="15.6" x14ac:dyDescent="0.35">
      <c r="A194" s="1" t="str">
        <f>IF('Data entry'!B198="","",'Data entry'!B198)</f>
        <v/>
      </c>
      <c r="B194" s="1" t="str">
        <f>IF('Data entry'!O198="","",'Data entry'!O198)</f>
        <v/>
      </c>
      <c r="C194" s="321" t="str">
        <f>IF('Data entry'!R198="","",'Data entry'!R198)</f>
        <v/>
      </c>
      <c r="D194" s="1" t="str">
        <f>IF('Data entry'!AO198="","",'Data entry'!AO198)</f>
        <v/>
      </c>
      <c r="E194" s="1" t="str">
        <f>IF('Data entry'!AP198="","",'Data entry'!AP198)</f>
        <v/>
      </c>
      <c r="F194" s="1" t="str">
        <f>IF('Data entry'!AQ198="","",'Data entry'!AQ198)</f>
        <v/>
      </c>
      <c r="G194" t="str">
        <f>IF($C194="","",(SUM(COUNTIFS('Data entry'!$R$6:$R$200,$C194,'Data entry'!$B$6:$B$200,{"Confirmed";"Probable"},'Data entry'!$AQ$6:$AQ$200,'Data Validation'!$V$2, 'Data entry'!$AP$6:$AP$200,'Data Validation'!$U$2, 'Data entry'!$BD$6:$BD$200,"&lt;&gt;*Negative*"))))</f>
        <v/>
      </c>
      <c r="H194" t="str">
        <f>IF($C194="","",(SUM(COUNTIFS('Data entry'!$R$6:$R$200,$C194,'Data entry'!$B$6:$B$200,{"Confirmed";"Probable"},'Data entry'!$AQ$6:$AQ$200,'Data Validation'!$V$2, 'Data entry'!$AP$6:$AP$200,'Data Validation'!$U$3, 'Data entry'!$BD$6:$BD$200,"&lt;&gt;*Negative*"))))</f>
        <v/>
      </c>
      <c r="I194" t="str">
        <f>IF($C194="","",(SUM(COUNTIFS('Data entry'!$R$6:$R$200,$C194,'Data entry'!$B$6:$B$200,{"Confirmed";"Probable"},'Data entry'!$AQ$6:$AQ$200,'Data Validation'!$V$2, 'Data entry'!$AP$6:$AP$200,'Data Validation'!$U$4, 'Data entry'!$BD$6:$BD$200,"&lt;&gt;*Negative*"))))</f>
        <v/>
      </c>
      <c r="J194" t="str">
        <f>IF($C194="","",(SUM(COUNTIFS('Data entry'!$R$6:$R$200,$C194,'Data entry'!$B$6:$B$200,{"Confirmed";"Probable"},'Data entry'!$AQ$6:$AQ$200,'Data Validation'!$V$2, 'Data entry'!$AP$6:$AP$200,'Data Validation'!$U$5, 'Data entry'!$BD$6:$BD$200,"&lt;&gt;*Negative*"))))</f>
        <v/>
      </c>
      <c r="K194" t="str">
        <f>IF($C194="","",(SUM(COUNTIFS('Data entry'!$R$6:$R$200,$C194,'Data entry'!$B$6:$B$200,{"Confirmed";"Probable"},'Data entry'!$AQ$6:$AQ$200,'Data Validation'!$V$2, 'Data entry'!$AP$6:$AP$200,'Data Validation'!$U$6, 'Data entry'!$BD$6:$BD$200,"&lt;&gt;*Negative*"))))</f>
        <v/>
      </c>
      <c r="L194" t="str">
        <f>IF($C194="","",(SUM(COUNTIFS('Data entry'!$R$6:$R$200,$C194,'Data entry'!$B$6:$B$200,{"Confirmed";"Probable"},'Data entry'!$AQ$6:$AQ$200,'Data Validation'!$V$3, 'Data entry'!$AP$6:$AP$200,'Data Validation'!$U$2, 'Data entry'!$BD$6:$BD$200,"&lt;&gt;*Negative*"))))</f>
        <v/>
      </c>
      <c r="M194" t="str">
        <f>IF($C194="","",(SUM(COUNTIFS('Data entry'!$R$6:$R$200,$C194,'Data entry'!$B$6:$B$200,{"Confirmed";"Probable"},'Data entry'!$AQ$6:$AQ$200,'Data Validation'!$V$3, 'Data entry'!$AP$6:$AP$200,'Data Validation'!$U$3, 'Data entry'!$BD$6:$BD$200,"&lt;&gt;*Negative*"))))</f>
        <v/>
      </c>
      <c r="N194" t="str">
        <f>IF($C194="","",(SUM(COUNTIFS('Data entry'!$R$6:$R$200,$C194,'Data entry'!$B$6:$B$200,{"Confirmed";"Probable"},'Data entry'!$AQ$6:$AQ$200,'Data Validation'!$V$3, 'Data entry'!$AP$6:$AP$200,'Data Validation'!$U$4, 'Data entry'!$BD$6:$BD$200,"&lt;&gt;*Negative*"))))</f>
        <v/>
      </c>
      <c r="O194" t="str">
        <f>IF($C194="","",(SUM(COUNTIFS('Data entry'!$R$6:$R$200,$C194,'Data entry'!$B$6:$B$200,{"Confirmed";"Probable"},'Data entry'!$AQ$6:$AQ$200,'Data Validation'!$V$3, 'Data entry'!$AP$6:$AP$200,'Data Validation'!$U$5, 'Data entry'!$BD$6:$BD$200,"&lt;&gt;*Negative*"))))</f>
        <v/>
      </c>
      <c r="P194" t="str">
        <f>IF($C194="","",(SUM(COUNTIFS('Data entry'!$R$6:$R$200,$C194,'Data entry'!$B$6:$B$200,{"Confirmed";"Probable"},'Data entry'!$AQ$6:$AQ$200,'Data Validation'!$V$3, 'Data entry'!$AP$6:$AP$200,'Data Validation'!$U$6, 'Data entry'!$BD$6:$BD$200,"&lt;&gt;*Negative*"))))</f>
        <v/>
      </c>
    </row>
    <row r="195" spans="1:16" ht="15.6" x14ac:dyDescent="0.35">
      <c r="A195" s="1" t="str">
        <f>IF('Data entry'!B199="","",'Data entry'!B199)</f>
        <v/>
      </c>
      <c r="B195" s="1" t="str">
        <f>IF('Data entry'!O199="","",'Data entry'!O199)</f>
        <v/>
      </c>
      <c r="C195" s="321" t="str">
        <f>IF('Data entry'!R199="","",'Data entry'!R199)</f>
        <v/>
      </c>
      <c r="D195" s="1" t="str">
        <f>IF('Data entry'!AO199="","",'Data entry'!AO199)</f>
        <v/>
      </c>
      <c r="E195" s="1" t="str">
        <f>IF('Data entry'!AP199="","",'Data entry'!AP199)</f>
        <v/>
      </c>
      <c r="F195" s="1" t="str">
        <f>IF('Data entry'!AQ199="","",'Data entry'!AQ199)</f>
        <v/>
      </c>
      <c r="G195" t="str">
        <f>IF($C195="","",(SUM(COUNTIFS('Data entry'!$R$6:$R$200,$C195,'Data entry'!$B$6:$B$200,{"Confirmed";"Probable"},'Data entry'!$AQ$6:$AQ$200,'Data Validation'!$V$2, 'Data entry'!$AP$6:$AP$200,'Data Validation'!$U$2, 'Data entry'!$BD$6:$BD$200,"&lt;&gt;*Negative*"))))</f>
        <v/>
      </c>
      <c r="H195" t="str">
        <f>IF($C195="","",(SUM(COUNTIFS('Data entry'!$R$6:$R$200,$C195,'Data entry'!$B$6:$B$200,{"Confirmed";"Probable"},'Data entry'!$AQ$6:$AQ$200,'Data Validation'!$V$2, 'Data entry'!$AP$6:$AP$200,'Data Validation'!$U$3, 'Data entry'!$BD$6:$BD$200,"&lt;&gt;*Negative*"))))</f>
        <v/>
      </c>
      <c r="I195" t="str">
        <f>IF($C195="","",(SUM(COUNTIFS('Data entry'!$R$6:$R$200,$C195,'Data entry'!$B$6:$B$200,{"Confirmed";"Probable"},'Data entry'!$AQ$6:$AQ$200,'Data Validation'!$V$2, 'Data entry'!$AP$6:$AP$200,'Data Validation'!$U$4, 'Data entry'!$BD$6:$BD$200,"&lt;&gt;*Negative*"))))</f>
        <v/>
      </c>
      <c r="J195" t="str">
        <f>IF($C195="","",(SUM(COUNTIFS('Data entry'!$R$6:$R$200,$C195,'Data entry'!$B$6:$B$200,{"Confirmed";"Probable"},'Data entry'!$AQ$6:$AQ$200,'Data Validation'!$V$2, 'Data entry'!$AP$6:$AP$200,'Data Validation'!$U$5, 'Data entry'!$BD$6:$BD$200,"&lt;&gt;*Negative*"))))</f>
        <v/>
      </c>
      <c r="K195" t="str">
        <f>IF($C195="","",(SUM(COUNTIFS('Data entry'!$R$6:$R$200,$C195,'Data entry'!$B$6:$B$200,{"Confirmed";"Probable"},'Data entry'!$AQ$6:$AQ$200,'Data Validation'!$V$2, 'Data entry'!$AP$6:$AP$200,'Data Validation'!$U$6, 'Data entry'!$BD$6:$BD$200,"&lt;&gt;*Negative*"))))</f>
        <v/>
      </c>
      <c r="L195" t="str">
        <f>IF($C195="","",(SUM(COUNTIFS('Data entry'!$R$6:$R$200,$C195,'Data entry'!$B$6:$B$200,{"Confirmed";"Probable"},'Data entry'!$AQ$6:$AQ$200,'Data Validation'!$V$3, 'Data entry'!$AP$6:$AP$200,'Data Validation'!$U$2, 'Data entry'!$BD$6:$BD$200,"&lt;&gt;*Negative*"))))</f>
        <v/>
      </c>
      <c r="M195" t="str">
        <f>IF($C195="","",(SUM(COUNTIFS('Data entry'!$R$6:$R$200,$C195,'Data entry'!$B$6:$B$200,{"Confirmed";"Probable"},'Data entry'!$AQ$6:$AQ$200,'Data Validation'!$V$3, 'Data entry'!$AP$6:$AP$200,'Data Validation'!$U$3, 'Data entry'!$BD$6:$BD$200,"&lt;&gt;*Negative*"))))</f>
        <v/>
      </c>
      <c r="N195" t="str">
        <f>IF($C195="","",(SUM(COUNTIFS('Data entry'!$R$6:$R$200,$C195,'Data entry'!$B$6:$B$200,{"Confirmed";"Probable"},'Data entry'!$AQ$6:$AQ$200,'Data Validation'!$V$3, 'Data entry'!$AP$6:$AP$200,'Data Validation'!$U$4, 'Data entry'!$BD$6:$BD$200,"&lt;&gt;*Negative*"))))</f>
        <v/>
      </c>
      <c r="O195" t="str">
        <f>IF($C195="","",(SUM(COUNTIFS('Data entry'!$R$6:$R$200,$C195,'Data entry'!$B$6:$B$200,{"Confirmed";"Probable"},'Data entry'!$AQ$6:$AQ$200,'Data Validation'!$V$3, 'Data entry'!$AP$6:$AP$200,'Data Validation'!$U$5, 'Data entry'!$BD$6:$BD$200,"&lt;&gt;*Negative*"))))</f>
        <v/>
      </c>
      <c r="P195" t="str">
        <f>IF($C195="","",(SUM(COUNTIFS('Data entry'!$R$6:$R$200,$C195,'Data entry'!$B$6:$B$200,{"Confirmed";"Probable"},'Data entry'!$AQ$6:$AQ$200,'Data Validation'!$V$3, 'Data entry'!$AP$6:$AP$200,'Data Validation'!$U$6, 'Data entry'!$BD$6:$BD$200,"&lt;&gt;*Negative*"))))</f>
        <v/>
      </c>
    </row>
    <row r="196" spans="1:16" ht="15.6" x14ac:dyDescent="0.35">
      <c r="A196" s="1" t="str">
        <f>IF('Data entry'!B200="","",'Data entry'!B200)</f>
        <v/>
      </c>
      <c r="B196" s="1" t="str">
        <f>IF('Data entry'!O200="","",'Data entry'!O200)</f>
        <v/>
      </c>
      <c r="C196" s="321" t="str">
        <f>IF('Data entry'!R200="","",'Data entry'!R200)</f>
        <v/>
      </c>
      <c r="D196" s="1" t="str">
        <f>IF('Data entry'!AO200="","",'Data entry'!AO200)</f>
        <v/>
      </c>
      <c r="E196" s="1" t="str">
        <f>IF('Data entry'!AP200="","",'Data entry'!AP200)</f>
        <v/>
      </c>
      <c r="F196" s="1" t="str">
        <f>IF('Data entry'!AQ200="","",'Data entry'!AQ200)</f>
        <v/>
      </c>
      <c r="G196" t="str">
        <f>IF($C196="","",(SUM(COUNTIFS('Data entry'!$R$6:$R$200,$C196,'Data entry'!$B$6:$B$200,{"Confirmed";"Probable"},'Data entry'!$AQ$6:$AQ$200,'Data Validation'!$V$2, 'Data entry'!$AP$6:$AP$200,'Data Validation'!$U$2, 'Data entry'!$BD$6:$BD$200,"&lt;&gt;*Negative*"))))</f>
        <v/>
      </c>
      <c r="H196" t="str">
        <f>IF($C196="","",(SUM(COUNTIFS('Data entry'!$R$6:$R$200,$C196,'Data entry'!$B$6:$B$200,{"Confirmed";"Probable"},'Data entry'!$AQ$6:$AQ$200,'Data Validation'!$V$2, 'Data entry'!$AP$6:$AP$200,'Data Validation'!$U$3, 'Data entry'!$BD$6:$BD$200,"&lt;&gt;*Negative*"))))</f>
        <v/>
      </c>
      <c r="I196" t="str">
        <f>IF($C196="","",(SUM(COUNTIFS('Data entry'!$R$6:$R$200,$C196,'Data entry'!$B$6:$B$200,{"Confirmed";"Probable"},'Data entry'!$AQ$6:$AQ$200,'Data Validation'!$V$2, 'Data entry'!$AP$6:$AP$200,'Data Validation'!$U$4, 'Data entry'!$BD$6:$BD$200,"&lt;&gt;*Negative*"))))</f>
        <v/>
      </c>
      <c r="J196" t="str">
        <f>IF($C196="","",(SUM(COUNTIFS('Data entry'!$R$6:$R$200,$C196,'Data entry'!$B$6:$B$200,{"Confirmed";"Probable"},'Data entry'!$AQ$6:$AQ$200,'Data Validation'!$V$2, 'Data entry'!$AP$6:$AP$200,'Data Validation'!$U$5, 'Data entry'!$BD$6:$BD$200,"&lt;&gt;*Negative*"))))</f>
        <v/>
      </c>
      <c r="K196" t="str">
        <f>IF($C196="","",(SUM(COUNTIFS('Data entry'!$R$6:$R$200,$C196,'Data entry'!$B$6:$B$200,{"Confirmed";"Probable"},'Data entry'!$AQ$6:$AQ$200,'Data Validation'!$V$2, 'Data entry'!$AP$6:$AP$200,'Data Validation'!$U$6, 'Data entry'!$BD$6:$BD$200,"&lt;&gt;*Negative*"))))</f>
        <v/>
      </c>
      <c r="L196" t="str">
        <f>IF($C196="","",(SUM(COUNTIFS('Data entry'!$R$6:$R$200,$C196,'Data entry'!$B$6:$B$200,{"Confirmed";"Probable"},'Data entry'!$AQ$6:$AQ$200,'Data Validation'!$V$3, 'Data entry'!$AP$6:$AP$200,'Data Validation'!$U$2, 'Data entry'!$BD$6:$BD$200,"&lt;&gt;*Negative*"))))</f>
        <v/>
      </c>
      <c r="M196" t="str">
        <f>IF($C196="","",(SUM(COUNTIFS('Data entry'!$R$6:$R$200,$C196,'Data entry'!$B$6:$B$200,{"Confirmed";"Probable"},'Data entry'!$AQ$6:$AQ$200,'Data Validation'!$V$3, 'Data entry'!$AP$6:$AP$200,'Data Validation'!$U$3, 'Data entry'!$BD$6:$BD$200,"&lt;&gt;*Negative*"))))</f>
        <v/>
      </c>
      <c r="N196" t="str">
        <f>IF($C196="","",(SUM(COUNTIFS('Data entry'!$R$6:$R$200,$C196,'Data entry'!$B$6:$B$200,{"Confirmed";"Probable"},'Data entry'!$AQ$6:$AQ$200,'Data Validation'!$V$3, 'Data entry'!$AP$6:$AP$200,'Data Validation'!$U$4, 'Data entry'!$BD$6:$BD$200,"&lt;&gt;*Negative*"))))</f>
        <v/>
      </c>
      <c r="O196" t="str">
        <f>IF($C196="","",(SUM(COUNTIFS('Data entry'!$R$6:$R$200,$C196,'Data entry'!$B$6:$B$200,{"Confirmed";"Probable"},'Data entry'!$AQ$6:$AQ$200,'Data Validation'!$V$3, 'Data entry'!$AP$6:$AP$200,'Data Validation'!$U$5, 'Data entry'!$BD$6:$BD$200,"&lt;&gt;*Negative*"))))</f>
        <v/>
      </c>
      <c r="P196" t="str">
        <f>IF($C196="","",(SUM(COUNTIFS('Data entry'!$R$6:$R$200,$C196,'Data entry'!$B$6:$B$200,{"Confirmed";"Probable"},'Data entry'!$AQ$6:$AQ$200,'Data Validation'!$V$3, 'Data entry'!$AP$6:$AP$200,'Data Validation'!$U$6, 'Data entry'!$BD$6:$BD$200,"&lt;&gt;*Negative*"))))</f>
        <v/>
      </c>
    </row>
    <row r="197" spans="1:16" ht="15.6" x14ac:dyDescent="0.35">
      <c r="A197" s="1" t="str">
        <f>IF('Data entry'!B201="","",'Data entry'!B201)</f>
        <v/>
      </c>
      <c r="B197" s="1" t="str">
        <f>IF('Data entry'!O201="","",'Data entry'!O201)</f>
        <v/>
      </c>
      <c r="C197" s="321" t="str">
        <f>IF('Data entry'!R201="","",'Data entry'!R201)</f>
        <v/>
      </c>
      <c r="D197" s="1" t="str">
        <f>IF('Data entry'!AO201="","",'Data entry'!AO201)</f>
        <v/>
      </c>
      <c r="E197" s="1" t="str">
        <f>IF('Data entry'!AP201="","",'Data entry'!AP201)</f>
        <v/>
      </c>
      <c r="F197" s="1" t="str">
        <f>IF('Data entry'!AQ201="","",'Data entry'!AQ201)</f>
        <v/>
      </c>
      <c r="G197" t="str">
        <f>IF($C197="","",(SUM(COUNTIFS('Data entry'!$R$6:$R$200,$C197,'Data entry'!$B$6:$B$200,{"Confirmed";"Probable"},'Data entry'!$AQ$6:$AQ$200,'Data Validation'!$V$2, 'Data entry'!$AP$6:$AP$200,'Data Validation'!$U$2, 'Data entry'!$BD$6:$BD$200,"&lt;&gt;*Negative*"))))</f>
        <v/>
      </c>
      <c r="H197" t="str">
        <f>IF($C197="","",(SUM(COUNTIFS('Data entry'!$R$6:$R$200,$C197,'Data entry'!$B$6:$B$200,{"Confirmed";"Probable"},'Data entry'!$AQ$6:$AQ$200,'Data Validation'!$V$2, 'Data entry'!$AP$6:$AP$200,'Data Validation'!$U$3, 'Data entry'!$BD$6:$BD$200,"&lt;&gt;*Negative*"))))</f>
        <v/>
      </c>
      <c r="I197" t="str">
        <f>IF($C197="","",(SUM(COUNTIFS('Data entry'!$R$6:$R$200,$C197,'Data entry'!$B$6:$B$200,{"Confirmed";"Probable"},'Data entry'!$AQ$6:$AQ$200,'Data Validation'!$V$2, 'Data entry'!$AP$6:$AP$200,'Data Validation'!$U$4, 'Data entry'!$BD$6:$BD$200,"&lt;&gt;*Negative*"))))</f>
        <v/>
      </c>
      <c r="J197" t="str">
        <f>IF($C197="","",(SUM(COUNTIFS('Data entry'!$R$6:$R$200,$C197,'Data entry'!$B$6:$B$200,{"Confirmed";"Probable"},'Data entry'!$AQ$6:$AQ$200,'Data Validation'!$V$2, 'Data entry'!$AP$6:$AP$200,'Data Validation'!$U$5, 'Data entry'!$BD$6:$BD$200,"&lt;&gt;*Negative*"))))</f>
        <v/>
      </c>
      <c r="K197" t="str">
        <f>IF($C197="","",(SUM(COUNTIFS('Data entry'!$R$6:$R$200,$C197,'Data entry'!$B$6:$B$200,{"Confirmed";"Probable"},'Data entry'!$AQ$6:$AQ$200,'Data Validation'!$V$2, 'Data entry'!$AP$6:$AP$200,'Data Validation'!$U$6, 'Data entry'!$BD$6:$BD$200,"&lt;&gt;*Negative*"))))</f>
        <v/>
      </c>
      <c r="L197" t="str">
        <f>IF($C197="","",(SUM(COUNTIFS('Data entry'!$R$6:$R$200,$C197,'Data entry'!$B$6:$B$200,{"Confirmed";"Probable"},'Data entry'!$AQ$6:$AQ$200,'Data Validation'!$V$3, 'Data entry'!$AP$6:$AP$200,'Data Validation'!$U$2, 'Data entry'!$BD$6:$BD$200,"&lt;&gt;*Negative*"))))</f>
        <v/>
      </c>
      <c r="M197" t="str">
        <f>IF($C197="","",(SUM(COUNTIFS('Data entry'!$R$6:$R$200,$C197,'Data entry'!$B$6:$B$200,{"Confirmed";"Probable"},'Data entry'!$AQ$6:$AQ$200,'Data Validation'!$V$3, 'Data entry'!$AP$6:$AP$200,'Data Validation'!$U$3, 'Data entry'!$BD$6:$BD$200,"&lt;&gt;*Negative*"))))</f>
        <v/>
      </c>
      <c r="N197" t="str">
        <f>IF($C197="","",(SUM(COUNTIFS('Data entry'!$R$6:$R$200,$C197,'Data entry'!$B$6:$B$200,{"Confirmed";"Probable"},'Data entry'!$AQ$6:$AQ$200,'Data Validation'!$V$3, 'Data entry'!$AP$6:$AP$200,'Data Validation'!$U$4, 'Data entry'!$BD$6:$BD$200,"&lt;&gt;*Negative*"))))</f>
        <v/>
      </c>
      <c r="O197" t="str">
        <f>IF($C197="","",(SUM(COUNTIFS('Data entry'!$R$6:$R$200,$C197,'Data entry'!$B$6:$B$200,{"Confirmed";"Probable"},'Data entry'!$AQ$6:$AQ$200,'Data Validation'!$V$3, 'Data entry'!$AP$6:$AP$200,'Data Validation'!$U$5, 'Data entry'!$BD$6:$BD$200,"&lt;&gt;*Negative*"))))</f>
        <v/>
      </c>
      <c r="P197" t="str">
        <f>IF($C197="","",(SUM(COUNTIFS('Data entry'!$R$6:$R$200,$C197,'Data entry'!$B$6:$B$200,{"Confirmed";"Probable"},'Data entry'!$AQ$6:$AQ$200,'Data Validation'!$V$3, 'Data entry'!$AP$6:$AP$200,'Data Validation'!$U$6, 'Data entry'!$BD$6:$BD$200,"&lt;&gt;*Negative*"))))</f>
        <v/>
      </c>
    </row>
    <row r="198" spans="1:16" ht="15.6" x14ac:dyDescent="0.35">
      <c r="A198" s="1" t="str">
        <f>IF('Data entry'!B202="","",'Data entry'!B202)</f>
        <v/>
      </c>
      <c r="B198" s="1" t="str">
        <f>IF('Data entry'!O202="","",'Data entry'!O202)</f>
        <v/>
      </c>
      <c r="C198" s="321" t="str">
        <f>IF('Data entry'!R202="","",'Data entry'!R202)</f>
        <v/>
      </c>
      <c r="D198" s="1" t="str">
        <f>IF('Data entry'!AO202="","",'Data entry'!AO202)</f>
        <v/>
      </c>
      <c r="E198" s="1" t="str">
        <f>IF('Data entry'!AP202="","",'Data entry'!AP202)</f>
        <v/>
      </c>
      <c r="F198" s="1" t="str">
        <f>IF('Data entry'!AQ202="","",'Data entry'!AQ202)</f>
        <v/>
      </c>
      <c r="G198" t="str">
        <f>IF($C198="","",(SUM(COUNTIFS('Data entry'!$R$6:$R$200,$C198,'Data entry'!$B$6:$B$200,{"Confirmed";"Probable"},'Data entry'!$AQ$6:$AQ$200,'Data Validation'!$V$2, 'Data entry'!$AP$6:$AP$200,'Data Validation'!$U$2, 'Data entry'!$BD$6:$BD$200,"&lt;&gt;*Negative*"))))</f>
        <v/>
      </c>
      <c r="H198" t="str">
        <f>IF($C198="","",(SUM(COUNTIFS('Data entry'!$R$6:$R$200,$C198,'Data entry'!$B$6:$B$200,{"Confirmed";"Probable"},'Data entry'!$AQ$6:$AQ$200,'Data Validation'!$V$2, 'Data entry'!$AP$6:$AP$200,'Data Validation'!$U$3, 'Data entry'!$BD$6:$BD$200,"&lt;&gt;*Negative*"))))</f>
        <v/>
      </c>
      <c r="I198" t="str">
        <f>IF($C198="","",(SUM(COUNTIFS('Data entry'!$R$6:$R$200,$C198,'Data entry'!$B$6:$B$200,{"Confirmed";"Probable"},'Data entry'!$AQ$6:$AQ$200,'Data Validation'!$V$2, 'Data entry'!$AP$6:$AP$200,'Data Validation'!$U$4, 'Data entry'!$BD$6:$BD$200,"&lt;&gt;*Negative*"))))</f>
        <v/>
      </c>
      <c r="J198" t="str">
        <f>IF($C198="","",(SUM(COUNTIFS('Data entry'!$R$6:$R$200,$C198,'Data entry'!$B$6:$B$200,{"Confirmed";"Probable"},'Data entry'!$AQ$6:$AQ$200,'Data Validation'!$V$2, 'Data entry'!$AP$6:$AP$200,'Data Validation'!$U$5, 'Data entry'!$BD$6:$BD$200,"&lt;&gt;*Negative*"))))</f>
        <v/>
      </c>
      <c r="K198" t="str">
        <f>IF($C198="","",(SUM(COUNTIFS('Data entry'!$R$6:$R$200,$C198,'Data entry'!$B$6:$B$200,{"Confirmed";"Probable"},'Data entry'!$AQ$6:$AQ$200,'Data Validation'!$V$2, 'Data entry'!$AP$6:$AP$200,'Data Validation'!$U$6, 'Data entry'!$BD$6:$BD$200,"&lt;&gt;*Negative*"))))</f>
        <v/>
      </c>
      <c r="L198" t="str">
        <f>IF($C198="","",(SUM(COUNTIFS('Data entry'!$R$6:$R$200,$C198,'Data entry'!$B$6:$B$200,{"Confirmed";"Probable"},'Data entry'!$AQ$6:$AQ$200,'Data Validation'!$V$3, 'Data entry'!$AP$6:$AP$200,'Data Validation'!$U$2, 'Data entry'!$BD$6:$BD$200,"&lt;&gt;*Negative*"))))</f>
        <v/>
      </c>
      <c r="M198" t="str">
        <f>IF($C198="","",(SUM(COUNTIFS('Data entry'!$R$6:$R$200,$C198,'Data entry'!$B$6:$B$200,{"Confirmed";"Probable"},'Data entry'!$AQ$6:$AQ$200,'Data Validation'!$V$3, 'Data entry'!$AP$6:$AP$200,'Data Validation'!$U$3, 'Data entry'!$BD$6:$BD$200,"&lt;&gt;*Negative*"))))</f>
        <v/>
      </c>
      <c r="N198" t="str">
        <f>IF($C198="","",(SUM(COUNTIFS('Data entry'!$R$6:$R$200,$C198,'Data entry'!$B$6:$B$200,{"Confirmed";"Probable"},'Data entry'!$AQ$6:$AQ$200,'Data Validation'!$V$3, 'Data entry'!$AP$6:$AP$200,'Data Validation'!$U$4, 'Data entry'!$BD$6:$BD$200,"&lt;&gt;*Negative*"))))</f>
        <v/>
      </c>
      <c r="O198" t="str">
        <f>IF($C198="","",(SUM(COUNTIFS('Data entry'!$R$6:$R$200,$C198,'Data entry'!$B$6:$B$200,{"Confirmed";"Probable"},'Data entry'!$AQ$6:$AQ$200,'Data Validation'!$V$3, 'Data entry'!$AP$6:$AP$200,'Data Validation'!$U$5, 'Data entry'!$BD$6:$BD$200,"&lt;&gt;*Negative*"))))</f>
        <v/>
      </c>
      <c r="P198" t="str">
        <f>IF($C198="","",(SUM(COUNTIFS('Data entry'!$R$6:$R$200,$C198,'Data entry'!$B$6:$B$200,{"Confirmed";"Probable"},'Data entry'!$AQ$6:$AQ$200,'Data Validation'!$V$3, 'Data entry'!$AP$6:$AP$200,'Data Validation'!$U$6, 'Data entry'!$BD$6:$BD$200,"&lt;&gt;*Negative*"))))</f>
        <v/>
      </c>
    </row>
    <row r="199" spans="1:16" ht="15.6" x14ac:dyDescent="0.35">
      <c r="A199" s="1" t="str">
        <f>IF('Data entry'!B203="","",'Data entry'!B203)</f>
        <v/>
      </c>
      <c r="B199" s="1" t="str">
        <f>IF('Data entry'!O203="","",'Data entry'!O203)</f>
        <v/>
      </c>
      <c r="C199" s="321" t="str">
        <f>IF('Data entry'!R203="","",'Data entry'!R203)</f>
        <v/>
      </c>
      <c r="D199" s="1" t="str">
        <f>IF('Data entry'!AO203="","",'Data entry'!AO203)</f>
        <v/>
      </c>
      <c r="E199" s="1" t="str">
        <f>IF('Data entry'!AP203="","",'Data entry'!AP203)</f>
        <v/>
      </c>
      <c r="F199" s="1" t="str">
        <f>IF('Data entry'!AQ203="","",'Data entry'!AQ203)</f>
        <v/>
      </c>
      <c r="G199" t="str">
        <f>IF($C199="","",(SUM(COUNTIFS('Data entry'!$R$6:$R$200,$C199,'Data entry'!$B$6:$B$200,{"Confirmed";"Probable"},'Data entry'!$AQ$6:$AQ$200,'Data Validation'!$V$2, 'Data entry'!$AP$6:$AP$200,'Data Validation'!$U$2, 'Data entry'!$BD$6:$BD$200,"&lt;&gt;*Negative*"))))</f>
        <v/>
      </c>
      <c r="H199" t="str">
        <f>IF($C199="","",(SUM(COUNTIFS('Data entry'!$R$6:$R$200,$C199,'Data entry'!$B$6:$B$200,{"Confirmed";"Probable"},'Data entry'!$AQ$6:$AQ$200,'Data Validation'!$V$2, 'Data entry'!$AP$6:$AP$200,'Data Validation'!$U$3, 'Data entry'!$BD$6:$BD$200,"&lt;&gt;*Negative*"))))</f>
        <v/>
      </c>
      <c r="I199" t="str">
        <f>IF($C199="","",(SUM(COUNTIFS('Data entry'!$R$6:$R$200,$C199,'Data entry'!$B$6:$B$200,{"Confirmed";"Probable"},'Data entry'!$AQ$6:$AQ$200,'Data Validation'!$V$2, 'Data entry'!$AP$6:$AP$200,'Data Validation'!$U$4, 'Data entry'!$BD$6:$BD$200,"&lt;&gt;*Negative*"))))</f>
        <v/>
      </c>
      <c r="J199" t="str">
        <f>IF($C199="","",(SUM(COUNTIFS('Data entry'!$R$6:$R$200,$C199,'Data entry'!$B$6:$B$200,{"Confirmed";"Probable"},'Data entry'!$AQ$6:$AQ$200,'Data Validation'!$V$2, 'Data entry'!$AP$6:$AP$200,'Data Validation'!$U$5, 'Data entry'!$BD$6:$BD$200,"&lt;&gt;*Negative*"))))</f>
        <v/>
      </c>
      <c r="K199" t="str">
        <f>IF($C199="","",(SUM(COUNTIFS('Data entry'!$R$6:$R$200,$C199,'Data entry'!$B$6:$B$200,{"Confirmed";"Probable"},'Data entry'!$AQ$6:$AQ$200,'Data Validation'!$V$2, 'Data entry'!$AP$6:$AP$200,'Data Validation'!$U$6, 'Data entry'!$BD$6:$BD$200,"&lt;&gt;*Negative*"))))</f>
        <v/>
      </c>
      <c r="L199" t="str">
        <f>IF($C199="","",(SUM(COUNTIFS('Data entry'!$R$6:$R$200,$C199,'Data entry'!$B$6:$B$200,{"Confirmed";"Probable"},'Data entry'!$AQ$6:$AQ$200,'Data Validation'!$V$3, 'Data entry'!$AP$6:$AP$200,'Data Validation'!$U$2, 'Data entry'!$BD$6:$BD$200,"&lt;&gt;*Negative*"))))</f>
        <v/>
      </c>
      <c r="M199" t="str">
        <f>IF($C199="","",(SUM(COUNTIFS('Data entry'!$R$6:$R$200,$C199,'Data entry'!$B$6:$B$200,{"Confirmed";"Probable"},'Data entry'!$AQ$6:$AQ$200,'Data Validation'!$V$3, 'Data entry'!$AP$6:$AP$200,'Data Validation'!$U$3, 'Data entry'!$BD$6:$BD$200,"&lt;&gt;*Negative*"))))</f>
        <v/>
      </c>
      <c r="N199" t="str">
        <f>IF($C199="","",(SUM(COUNTIFS('Data entry'!$R$6:$R$200,$C199,'Data entry'!$B$6:$B$200,{"Confirmed";"Probable"},'Data entry'!$AQ$6:$AQ$200,'Data Validation'!$V$3, 'Data entry'!$AP$6:$AP$200,'Data Validation'!$U$4, 'Data entry'!$BD$6:$BD$200,"&lt;&gt;*Negative*"))))</f>
        <v/>
      </c>
      <c r="O199" t="str">
        <f>IF($C199="","",(SUM(COUNTIFS('Data entry'!$R$6:$R$200,$C199,'Data entry'!$B$6:$B$200,{"Confirmed";"Probable"},'Data entry'!$AQ$6:$AQ$200,'Data Validation'!$V$3, 'Data entry'!$AP$6:$AP$200,'Data Validation'!$U$5, 'Data entry'!$BD$6:$BD$200,"&lt;&gt;*Negative*"))))</f>
        <v/>
      </c>
      <c r="P199" t="str">
        <f>IF($C199="","",(SUM(COUNTIFS('Data entry'!$R$6:$R$200,$C199,'Data entry'!$B$6:$B$200,{"Confirmed";"Probable"},'Data entry'!$AQ$6:$AQ$200,'Data Validation'!$V$3, 'Data entry'!$AP$6:$AP$200,'Data Validation'!$U$6, 'Data entry'!$BD$6:$BD$200,"&lt;&gt;*Negative*"))))</f>
        <v/>
      </c>
    </row>
    <row r="200" spans="1:16" ht="15.6" x14ac:dyDescent="0.35">
      <c r="A200" s="1" t="str">
        <f>IF('Data entry'!B204="","",'Data entry'!B204)</f>
        <v/>
      </c>
      <c r="B200" s="1" t="str">
        <f>IF('Data entry'!O204="","",'Data entry'!O204)</f>
        <v/>
      </c>
      <c r="C200" s="321" t="str">
        <f>IF('Data entry'!R204="","",'Data entry'!R204)</f>
        <v/>
      </c>
      <c r="D200" s="1" t="str">
        <f>IF('Data entry'!AO204="","",'Data entry'!AO204)</f>
        <v/>
      </c>
      <c r="E200" s="1" t="str">
        <f>IF('Data entry'!AP204="","",'Data entry'!AP204)</f>
        <v/>
      </c>
      <c r="F200" s="1" t="str">
        <f>IF('Data entry'!AQ204="","",'Data entry'!AQ204)</f>
        <v/>
      </c>
      <c r="G200" t="str">
        <f>IF($C200="","",(SUM(COUNTIFS('Data entry'!$R$6:$R$200,$C200,'Data entry'!$B$6:$B$200,{"Confirmed";"Probable"},'Data entry'!$AQ$6:$AQ$200,'Data Validation'!$V$2, 'Data entry'!$AP$6:$AP$200,'Data Validation'!$U$2, 'Data entry'!$BD$6:$BD$200,"&lt;&gt;*Negative*"))))</f>
        <v/>
      </c>
      <c r="H200" t="str">
        <f>IF($C200="","",(SUM(COUNTIFS('Data entry'!$R$6:$R$200,$C200,'Data entry'!$B$6:$B$200,{"Confirmed";"Probable"},'Data entry'!$AQ$6:$AQ$200,'Data Validation'!$V$2, 'Data entry'!$AP$6:$AP$200,'Data Validation'!$U$3, 'Data entry'!$BD$6:$BD$200,"&lt;&gt;*Negative*"))))</f>
        <v/>
      </c>
      <c r="I200" t="str">
        <f>IF($C200="","",(SUM(COUNTIFS('Data entry'!$R$6:$R$200,$C200,'Data entry'!$B$6:$B$200,{"Confirmed";"Probable"},'Data entry'!$AQ$6:$AQ$200,'Data Validation'!$V$2, 'Data entry'!$AP$6:$AP$200,'Data Validation'!$U$4, 'Data entry'!$BD$6:$BD$200,"&lt;&gt;*Negative*"))))</f>
        <v/>
      </c>
      <c r="J200" t="str">
        <f>IF($C200="","",(SUM(COUNTIFS('Data entry'!$R$6:$R$200,$C200,'Data entry'!$B$6:$B$200,{"Confirmed";"Probable"},'Data entry'!$AQ$6:$AQ$200,'Data Validation'!$V$2, 'Data entry'!$AP$6:$AP$200,'Data Validation'!$U$5, 'Data entry'!$BD$6:$BD$200,"&lt;&gt;*Negative*"))))</f>
        <v/>
      </c>
      <c r="K200" t="str">
        <f>IF($C200="","",(SUM(COUNTIFS('Data entry'!$R$6:$R$200,$C200,'Data entry'!$B$6:$B$200,{"Confirmed";"Probable"},'Data entry'!$AQ$6:$AQ$200,'Data Validation'!$V$2, 'Data entry'!$AP$6:$AP$200,'Data Validation'!$U$6, 'Data entry'!$BD$6:$BD$200,"&lt;&gt;*Negative*"))))</f>
        <v/>
      </c>
      <c r="L200" t="str">
        <f>IF($C200="","",(SUM(COUNTIFS('Data entry'!$R$6:$R$200,$C200,'Data entry'!$B$6:$B$200,{"Confirmed";"Probable"},'Data entry'!$AQ$6:$AQ$200,'Data Validation'!$V$3, 'Data entry'!$AP$6:$AP$200,'Data Validation'!$U$2, 'Data entry'!$BD$6:$BD$200,"&lt;&gt;*Negative*"))))</f>
        <v/>
      </c>
      <c r="M200" t="str">
        <f>IF($C200="","",(SUM(COUNTIFS('Data entry'!$R$6:$R$200,$C200,'Data entry'!$B$6:$B$200,{"Confirmed";"Probable"},'Data entry'!$AQ$6:$AQ$200,'Data Validation'!$V$3, 'Data entry'!$AP$6:$AP$200,'Data Validation'!$U$3, 'Data entry'!$BD$6:$BD$200,"&lt;&gt;*Negative*"))))</f>
        <v/>
      </c>
      <c r="N200" t="str">
        <f>IF($C200="","",(SUM(COUNTIFS('Data entry'!$R$6:$R$200,$C200,'Data entry'!$B$6:$B$200,{"Confirmed";"Probable"},'Data entry'!$AQ$6:$AQ$200,'Data Validation'!$V$3, 'Data entry'!$AP$6:$AP$200,'Data Validation'!$U$4, 'Data entry'!$BD$6:$BD$200,"&lt;&gt;*Negative*"))))</f>
        <v/>
      </c>
      <c r="O200" t="str">
        <f>IF($C200="","",(SUM(COUNTIFS('Data entry'!$R$6:$R$200,$C200,'Data entry'!$B$6:$B$200,{"Confirmed";"Probable"},'Data entry'!$AQ$6:$AQ$200,'Data Validation'!$V$3, 'Data entry'!$AP$6:$AP$200,'Data Validation'!$U$5, 'Data entry'!$BD$6:$BD$200,"&lt;&gt;*Negative*"))))</f>
        <v/>
      </c>
      <c r="P200" t="str">
        <f>IF($C200="","",(SUM(COUNTIFS('Data entry'!$R$6:$R$200,$C200,'Data entry'!$B$6:$B$200,{"Confirmed";"Probable"},'Data entry'!$AQ$6:$AQ$200,'Data Validation'!$V$3, 'Data entry'!$AP$6:$AP$200,'Data Validation'!$U$6, 'Data entry'!$BD$6:$BD$200,"&lt;&gt;*Negative*"))))</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sheetPr>
  <dimension ref="A1:J201"/>
  <sheetViews>
    <sheetView topLeftCell="C5" zoomScale="85" zoomScaleNormal="85" workbookViewId="0">
      <selection activeCell="E18" sqref="E18"/>
    </sheetView>
  </sheetViews>
  <sheetFormatPr defaultColWidth="8.88671875" defaultRowHeight="15" x14ac:dyDescent="0.2"/>
  <cols>
    <col min="1" max="1" width="8.88671875" style="27" hidden="1" customWidth="1"/>
    <col min="2" max="2" width="17.6640625" style="27" hidden="1" customWidth="1"/>
    <col min="3" max="3" width="12" style="27" customWidth="1"/>
    <col min="4" max="4" width="13.88671875" style="87" customWidth="1"/>
    <col min="5" max="5" width="19.6640625" style="27" customWidth="1"/>
    <col min="6" max="6" width="13.5546875" style="27" customWidth="1"/>
    <col min="7" max="7" width="13.88671875" style="27" customWidth="1"/>
    <col min="8" max="8" width="8.88671875" style="27"/>
    <col min="9" max="9" width="18" style="87" customWidth="1"/>
    <col min="10" max="10" width="10.21875" style="27" customWidth="1"/>
    <col min="11" max="11" width="22.44140625" style="27" customWidth="1"/>
    <col min="12" max="16384" width="8.88671875" style="27"/>
  </cols>
  <sheetData>
    <row r="1" spans="1:10" hidden="1" x14ac:dyDescent="0.2"/>
    <row r="2" spans="1:10" hidden="1" x14ac:dyDescent="0.2"/>
    <row r="3" spans="1:10" hidden="1" x14ac:dyDescent="0.2"/>
    <row r="4" spans="1:10" hidden="1" x14ac:dyDescent="0.2"/>
    <row r="5" spans="1:10" ht="125.45" customHeight="1" x14ac:dyDescent="0.2">
      <c r="B5" s="152" t="str">
        <f>'Data entry'!H5</f>
        <v>Case #</v>
      </c>
      <c r="C5" s="153" t="str">
        <f>'Data entry'!BJ5</f>
        <v>Assign Transmission Map Identifier (TMI) for each case, e.g., EX1</v>
      </c>
      <c r="D5" s="154" t="str">
        <f>'Data entry'!R5</f>
        <v xml:space="preserve">For Cases: Symptom Onset Date or Testing Date if Asx 
(yyyy-mm-dd)*  </v>
      </c>
      <c r="E5" s="153" t="str">
        <f>'Data entry'!BM5</f>
        <v xml:space="preserve">Transmission Map Comments </v>
      </c>
      <c r="F5" s="153" t="str">
        <f>'Data entry'!BK5</f>
        <v>Enter TMI for potential SOI,  e.g., EX2- indicating EX2 is the source for EX1 (leave blank if none)</v>
      </c>
      <c r="G5" s="153" t="str">
        <f>'Data entry'!BL5</f>
        <v>Enter Transmission receipient TMI, e.g. EX3- indicating EX1 passed on to EX3 (leave blank if none)</v>
      </c>
      <c r="H5" s="153" t="str">
        <f>'Data entry'!BN5</f>
        <v>Initials</v>
      </c>
      <c r="I5" s="154" t="str">
        <f>'Data entry'!S5</f>
        <v>Last Day on Premise (if Case) OR Last day on Premise with Case (if Contact) 
(yyyy-mm-dd)*</v>
      </c>
      <c r="J5" s="153" t="str">
        <f>'Data entry'!AR5</f>
        <v>Building/ Floor/ Unit/ Team</v>
      </c>
    </row>
    <row r="6" spans="1:10" x14ac:dyDescent="0.2">
      <c r="A6" s="27" t="str">
        <f>IF(OR('Data entry'!B6="Probable", 'Data entry'!B6="Confirmed"),ROW(),"")</f>
        <v/>
      </c>
      <c r="B6" s="27" t="str">
        <f>IF(ROWS($6:6)&gt;COUNT($A:$A),"",INDEX('Data entry'!H:H,SMALL($A:$A,ROWS($6:6))))</f>
        <v/>
      </c>
      <c r="C6" s="27" t="str">
        <f>IF(ROWS($6:6)&gt;COUNT($A:$A),"",INDEX('Data entry'!BJ:BJ,SMALL($A:$A,ROWS($6:6))))</f>
        <v/>
      </c>
      <c r="D6" s="87" t="str">
        <f>IF(ROWS($6:6)&gt;COUNT($A:$A),"",INDEX('Data entry'!R:R,SMALL($A:$A,ROWS($6:6))))</f>
        <v/>
      </c>
      <c r="E6" s="27" t="str">
        <f>IF(ROWS($6:6)&gt;COUNT($A:$A),"",INDEX('Data entry'!BM:BM,SMALL($A:$A,ROWS($6:6))))</f>
        <v/>
      </c>
      <c r="F6" s="27" t="str">
        <f>IF(ROWS($6:6)&gt;COUNT($A:$A),"",INDEX('Data entry'!BK:BK,SMALL($A:$A,ROWS($6:6))))</f>
        <v/>
      </c>
      <c r="G6" s="27" t="str">
        <f>IF(ROWS($6:6)&gt;COUNT($A:$A),"",INDEX('Data entry'!BL:BL,SMALL($A:$A,ROWS($6:6))))</f>
        <v/>
      </c>
      <c r="H6" s="27" t="str">
        <f>IF(ROWS($6:6)&gt;COUNT($A:$A),"",INDEX('Data entry'!BN:BN,SMALL($A:$A,ROWS($6:6))))</f>
        <v/>
      </c>
      <c r="I6" s="87" t="str">
        <f>IF(ROWS($6:6)&gt;COUNT($A:$A),"",INDEX('Data entry'!S:S,SMALL($A:$A,ROWS($6:6))))</f>
        <v/>
      </c>
      <c r="J6" s="27" t="str">
        <f>IF(ROWS($6:6)&gt;COUNT($A:$A),"",INDEX('Data entry'!AR:AR,SMALL($A:$A,ROWS($6:6))))</f>
        <v/>
      </c>
    </row>
    <row r="7" spans="1:10" x14ac:dyDescent="0.2">
      <c r="A7" s="27" t="str">
        <f>IF(OR('Data entry'!B7="Probable", 'Data entry'!B7="Confirmed"),ROW(),"")</f>
        <v/>
      </c>
      <c r="B7" s="27" t="str">
        <f>IF(ROWS($6:7)&gt;COUNT($A:$A),"",INDEX('Data entry'!H:H,SMALL($A:$A,ROWS($6:7))))</f>
        <v/>
      </c>
      <c r="C7" s="27" t="str">
        <f>IF(ROWS($6:7)&gt;COUNT($A:$A),"",INDEX('Data entry'!BJ:BJ,SMALL($A:$A,ROWS($6:7))))</f>
        <v/>
      </c>
      <c r="D7" s="87" t="str">
        <f>IF(ROWS($6:7)&gt;COUNT($A:$A),"",INDEX('Data entry'!R:R,SMALL($A:$A,ROWS($6:7))))</f>
        <v/>
      </c>
      <c r="E7" s="27" t="str">
        <f>IF(ROWS($6:7)&gt;COUNT($A:$A),"",INDEX('Data entry'!BM:BM,SMALL($A:$A,ROWS($6:7))))</f>
        <v/>
      </c>
      <c r="F7" s="27" t="str">
        <f>IF(ROWS($6:7)&gt;COUNT($A:$A),"",INDEX('Data entry'!BK:BK,SMALL($A:$A,ROWS($6:7))))</f>
        <v/>
      </c>
      <c r="G7" s="27" t="str">
        <f>IF(ROWS($6:7)&gt;COUNT($A:$A),"",INDEX('Data entry'!BL:BL,SMALL($A:$A,ROWS($6:7))))</f>
        <v/>
      </c>
      <c r="H7" s="27" t="str">
        <f>IF(ROWS($6:7)&gt;COUNT($A:$A),"",INDEX('Data entry'!BN:BN,SMALL($A:$A,ROWS($6:7))))</f>
        <v/>
      </c>
      <c r="I7" s="87" t="str">
        <f>IF(ROWS($6:7)&gt;COUNT($A:$A),"",INDEX('Data entry'!S:S,SMALL($A:$A,ROWS($6:7))))</f>
        <v/>
      </c>
      <c r="J7" s="27" t="str">
        <f>IF(ROWS($6:7)&gt;COUNT($A:$A),"",INDEX('Data entry'!AR:AR,SMALL($A:$A,ROWS($6:7))))</f>
        <v/>
      </c>
    </row>
    <row r="8" spans="1:10" x14ac:dyDescent="0.2">
      <c r="A8" s="27" t="str">
        <f>IF(OR('Data entry'!B8="Probable", 'Data entry'!B8="Confirmed"),ROW(),"")</f>
        <v/>
      </c>
      <c r="B8" s="27" t="str">
        <f>IF(ROWS($6:8)&gt;COUNT($A:$A),"",INDEX('Data entry'!H:H,SMALL($A:$A,ROWS($6:8))))</f>
        <v/>
      </c>
      <c r="C8" s="27" t="str">
        <f>IF(ROWS($6:8)&gt;COUNT($A:$A),"",INDEX('Data entry'!BJ:BJ,SMALL($A:$A,ROWS($6:8))))</f>
        <v/>
      </c>
      <c r="D8" s="87" t="str">
        <f>IF(ROWS($6:8)&gt;COUNT($A:$A),"",INDEX('Data entry'!R:R,SMALL($A:$A,ROWS($6:8))))</f>
        <v/>
      </c>
      <c r="E8" s="27" t="str">
        <f>IF(ROWS($6:8)&gt;COUNT($A:$A),"",INDEX('Data entry'!BM:BM,SMALL($A:$A,ROWS($6:8))))</f>
        <v/>
      </c>
      <c r="F8" s="27" t="str">
        <f>IF(ROWS($6:8)&gt;COUNT($A:$A),"",INDEX('Data entry'!BK:BK,SMALL($A:$A,ROWS($6:8))))</f>
        <v/>
      </c>
      <c r="G8" s="27" t="str">
        <f>IF(ROWS($6:8)&gt;COUNT($A:$A),"",INDEX('Data entry'!BL:BL,SMALL($A:$A,ROWS($6:8))))</f>
        <v/>
      </c>
      <c r="H8" s="27" t="str">
        <f>IF(ROWS($6:8)&gt;COUNT($A:$A),"",INDEX('Data entry'!BN:BN,SMALL($A:$A,ROWS($6:8))))</f>
        <v/>
      </c>
      <c r="I8" s="87" t="str">
        <f>IF(ROWS($6:8)&gt;COUNT($A:$A),"",INDEX('Data entry'!S:S,SMALL($A:$A,ROWS($6:8))))</f>
        <v/>
      </c>
      <c r="J8" s="27" t="str">
        <f>IF(ROWS($6:8)&gt;COUNT($A:$A),"",INDEX('Data entry'!AR:AR,SMALL($A:$A,ROWS($6:8))))</f>
        <v/>
      </c>
    </row>
    <row r="9" spans="1:10" x14ac:dyDescent="0.2">
      <c r="A9" s="27" t="str">
        <f>IF(OR('Data entry'!B9="Probable", 'Data entry'!B9="Confirmed"),ROW(),"")</f>
        <v/>
      </c>
      <c r="B9" s="27" t="str">
        <f>IF(ROWS($6:9)&gt;COUNT($A:$A),"",INDEX('Data entry'!H:H,SMALL($A:$A,ROWS($6:9))))</f>
        <v/>
      </c>
      <c r="C9" s="27" t="str">
        <f>IF(ROWS($6:9)&gt;COUNT($A:$A),"",INDEX('Data entry'!BJ:BJ,SMALL($A:$A,ROWS($6:9))))</f>
        <v/>
      </c>
      <c r="D9" s="87" t="str">
        <f>IF(ROWS($6:9)&gt;COUNT($A:$A),"",INDEX('Data entry'!R:R,SMALL($A:$A,ROWS($6:9))))</f>
        <v/>
      </c>
      <c r="E9" s="27" t="str">
        <f>IF(ROWS($6:9)&gt;COUNT($A:$A),"",INDEX('Data entry'!BM:BM,SMALL($A:$A,ROWS($6:9))))</f>
        <v/>
      </c>
      <c r="F9" s="27" t="str">
        <f>IF(ROWS($6:9)&gt;COUNT($A:$A),"",INDEX('Data entry'!BK:BK,SMALL($A:$A,ROWS($6:9))))</f>
        <v/>
      </c>
      <c r="G9" s="27" t="str">
        <f>IF(ROWS($6:9)&gt;COUNT($A:$A),"",INDEX('Data entry'!BL:BL,SMALL($A:$A,ROWS($6:9))))</f>
        <v/>
      </c>
      <c r="H9" s="27" t="str">
        <f>IF(ROWS($6:9)&gt;COUNT($A:$A),"",INDEX('Data entry'!BN:BN,SMALL($A:$A,ROWS($6:9))))</f>
        <v/>
      </c>
      <c r="I9" s="87" t="str">
        <f>IF(ROWS($6:9)&gt;COUNT($A:$A),"",INDEX('Data entry'!S:S,SMALL($A:$A,ROWS($6:9))))</f>
        <v/>
      </c>
      <c r="J9" s="27" t="str">
        <f>IF(ROWS($6:9)&gt;COUNT($A:$A),"",INDEX('Data entry'!AR:AR,SMALL($A:$A,ROWS($6:9))))</f>
        <v/>
      </c>
    </row>
    <row r="10" spans="1:10" x14ac:dyDescent="0.2">
      <c r="A10" s="27" t="str">
        <f>IF(OR('Data entry'!B10="Probable", 'Data entry'!B10="Confirmed"),ROW(),"")</f>
        <v/>
      </c>
      <c r="B10" s="27" t="str">
        <f>IF(ROWS($6:10)&gt;COUNT($A:$A),"",INDEX('Data entry'!H:H,SMALL($A:$A,ROWS($6:10))))</f>
        <v/>
      </c>
      <c r="C10" s="27" t="str">
        <f>IF(ROWS($6:10)&gt;COUNT($A:$A),"",INDEX('Data entry'!BJ:BJ,SMALL($A:$A,ROWS($6:10))))</f>
        <v/>
      </c>
      <c r="D10" s="87" t="str">
        <f>IF(ROWS($6:10)&gt;COUNT($A:$A),"",INDEX('Data entry'!R:R,SMALL($A:$A,ROWS($6:10))))</f>
        <v/>
      </c>
      <c r="E10" s="27" t="str">
        <f>IF(ROWS($6:10)&gt;COUNT($A:$A),"",INDEX('Data entry'!BM:BM,SMALL($A:$A,ROWS($6:10))))</f>
        <v/>
      </c>
      <c r="F10" s="27" t="str">
        <f>IF(ROWS($6:10)&gt;COUNT($A:$A),"",INDEX('Data entry'!BK:BK,SMALL($A:$A,ROWS($6:10))))</f>
        <v/>
      </c>
      <c r="G10" s="27" t="str">
        <f>IF(ROWS($6:10)&gt;COUNT($A:$A),"",INDEX('Data entry'!BL:BL,SMALL($A:$A,ROWS($6:10))))</f>
        <v/>
      </c>
      <c r="H10" s="27" t="str">
        <f>IF(ROWS($6:10)&gt;COUNT($A:$A),"",INDEX('Data entry'!BN:BN,SMALL($A:$A,ROWS($6:10))))</f>
        <v/>
      </c>
      <c r="I10" s="87" t="str">
        <f>IF(ROWS($6:10)&gt;COUNT($A:$A),"",INDEX('Data entry'!S:S,SMALL($A:$A,ROWS($6:10))))</f>
        <v/>
      </c>
      <c r="J10" s="27" t="str">
        <f>IF(ROWS($6:10)&gt;COUNT($A:$A),"",INDEX('Data entry'!AR:AR,SMALL($A:$A,ROWS($6:10))))</f>
        <v/>
      </c>
    </row>
    <row r="11" spans="1:10" x14ac:dyDescent="0.2">
      <c r="A11" s="27" t="str">
        <f>IF(OR('Data entry'!B11="Probable", 'Data entry'!B11="Confirmed"),ROW(),"")</f>
        <v/>
      </c>
      <c r="B11" s="27" t="str">
        <f>IF(ROWS($6:11)&gt;COUNT($A:$A),"",INDEX('Data entry'!H:H,SMALL($A:$A,ROWS($6:11))))</f>
        <v/>
      </c>
      <c r="C11" s="27" t="str">
        <f>IF(ROWS($6:11)&gt;COUNT($A:$A),"",INDEX('Data entry'!BJ:BJ,SMALL($A:$A,ROWS($6:11))))</f>
        <v/>
      </c>
      <c r="D11" s="87" t="str">
        <f>IF(ROWS($6:11)&gt;COUNT($A:$A),"",INDEX('Data entry'!R:R,SMALL($A:$A,ROWS($6:11))))</f>
        <v/>
      </c>
      <c r="E11" s="27" t="str">
        <f>IF(ROWS($6:11)&gt;COUNT($A:$A),"",INDEX('Data entry'!BM:BM,SMALL($A:$A,ROWS($6:11))))</f>
        <v/>
      </c>
      <c r="F11" s="27" t="str">
        <f>IF(ROWS($6:11)&gt;COUNT($A:$A),"",INDEX('Data entry'!BK:BK,SMALL($A:$A,ROWS($6:11))))</f>
        <v/>
      </c>
      <c r="G11" s="27" t="str">
        <f>IF(ROWS($6:11)&gt;COUNT($A:$A),"",INDEX('Data entry'!BL:BL,SMALL($A:$A,ROWS($6:11))))</f>
        <v/>
      </c>
      <c r="H11" s="27" t="str">
        <f>IF(ROWS($6:11)&gt;COUNT($A:$A),"",INDEX('Data entry'!BN:BN,SMALL($A:$A,ROWS($6:11))))</f>
        <v/>
      </c>
      <c r="I11" s="87" t="str">
        <f>IF(ROWS($6:11)&gt;COUNT($A:$A),"",INDEX('Data entry'!S:S,SMALL($A:$A,ROWS($6:11))))</f>
        <v/>
      </c>
      <c r="J11" s="27" t="str">
        <f>IF(ROWS($6:11)&gt;COUNT($A:$A),"",INDEX('Data entry'!AR:AR,SMALL($A:$A,ROWS($6:11))))</f>
        <v/>
      </c>
    </row>
    <row r="12" spans="1:10" x14ac:dyDescent="0.2">
      <c r="A12" s="27" t="str">
        <f>IF(OR('Data entry'!B12="Probable", 'Data entry'!B12="Confirmed"),ROW(),"")</f>
        <v/>
      </c>
      <c r="B12" s="27" t="str">
        <f>IF(ROWS($6:12)&gt;COUNT($A:$A),"",INDEX('Data entry'!H:H,SMALL($A:$A,ROWS($6:12))))</f>
        <v/>
      </c>
      <c r="C12" s="27" t="str">
        <f>IF(ROWS($6:12)&gt;COUNT($A:$A),"",INDEX('Data entry'!BJ:BJ,SMALL($A:$A,ROWS($6:12))))</f>
        <v/>
      </c>
      <c r="D12" s="87" t="str">
        <f>IF(ROWS($6:12)&gt;COUNT($A:$A),"",INDEX('Data entry'!R:R,SMALL($A:$A,ROWS($6:12))))</f>
        <v/>
      </c>
      <c r="E12" s="27" t="str">
        <f>IF(ROWS($6:12)&gt;COUNT($A:$A),"",INDEX('Data entry'!BM:BM,SMALL($A:$A,ROWS($6:12))))</f>
        <v/>
      </c>
      <c r="F12" s="27" t="str">
        <f>IF(ROWS($6:12)&gt;COUNT($A:$A),"",INDEX('Data entry'!BK:BK,SMALL($A:$A,ROWS($6:12))))</f>
        <v/>
      </c>
      <c r="G12" s="27" t="str">
        <f>IF(ROWS($6:12)&gt;COUNT($A:$A),"",INDEX('Data entry'!BL:BL,SMALL($A:$A,ROWS($6:12))))</f>
        <v/>
      </c>
      <c r="H12" s="27" t="str">
        <f>IF(ROWS($6:12)&gt;COUNT($A:$A),"",INDEX('Data entry'!BN:BN,SMALL($A:$A,ROWS($6:12))))</f>
        <v/>
      </c>
      <c r="I12" s="87" t="str">
        <f>IF(ROWS($6:12)&gt;COUNT($A:$A),"",INDEX('Data entry'!S:S,SMALL($A:$A,ROWS($6:12))))</f>
        <v/>
      </c>
      <c r="J12" s="27" t="str">
        <f>IF(ROWS($6:12)&gt;COUNT($A:$A),"",INDEX('Data entry'!AR:AR,SMALL($A:$A,ROWS($6:12))))</f>
        <v/>
      </c>
    </row>
    <row r="13" spans="1:10" x14ac:dyDescent="0.2">
      <c r="A13" s="27" t="str">
        <f>IF(OR('Data entry'!B13="Probable", 'Data entry'!B13="Confirmed"),ROW(),"")</f>
        <v/>
      </c>
      <c r="B13" s="27" t="str">
        <f>IF(ROWS($6:13)&gt;COUNT($A:$A),"",INDEX('Data entry'!H:H,SMALL($A:$A,ROWS($6:13))))</f>
        <v/>
      </c>
      <c r="C13" s="27" t="str">
        <f>IF(ROWS($6:13)&gt;COUNT($A:$A),"",INDEX('Data entry'!BJ:BJ,SMALL($A:$A,ROWS($6:13))))</f>
        <v/>
      </c>
      <c r="D13" s="87" t="str">
        <f>IF(ROWS($6:13)&gt;COUNT($A:$A),"",INDEX('Data entry'!R:R,SMALL($A:$A,ROWS($6:13))))</f>
        <v/>
      </c>
      <c r="E13" s="27" t="str">
        <f>IF(ROWS($6:13)&gt;COUNT($A:$A),"",INDEX('Data entry'!BM:BM,SMALL($A:$A,ROWS($6:13))))</f>
        <v/>
      </c>
      <c r="F13" s="27" t="str">
        <f>IF(ROWS($6:13)&gt;COUNT($A:$A),"",INDEX('Data entry'!BK:BK,SMALL($A:$A,ROWS($6:13))))</f>
        <v/>
      </c>
      <c r="G13" s="27" t="str">
        <f>IF(ROWS($6:13)&gt;COUNT($A:$A),"",INDEX('Data entry'!BL:BL,SMALL($A:$A,ROWS($6:13))))</f>
        <v/>
      </c>
      <c r="H13" s="27" t="str">
        <f>IF(ROWS($6:13)&gt;COUNT($A:$A),"",INDEX('Data entry'!BN:BN,SMALL($A:$A,ROWS($6:13))))</f>
        <v/>
      </c>
      <c r="I13" s="87" t="str">
        <f>IF(ROWS($6:13)&gt;COUNT($A:$A),"",INDEX('Data entry'!S:S,SMALL($A:$A,ROWS($6:13))))</f>
        <v/>
      </c>
      <c r="J13" s="27" t="str">
        <f>IF(ROWS($6:13)&gt;COUNT($A:$A),"",INDEX('Data entry'!AR:AR,SMALL($A:$A,ROWS($6:13))))</f>
        <v/>
      </c>
    </row>
    <row r="14" spans="1:10" x14ac:dyDescent="0.2">
      <c r="A14" s="27" t="str">
        <f>IF(OR('Data entry'!B14="Probable", 'Data entry'!B14="Confirmed"),ROW(),"")</f>
        <v/>
      </c>
      <c r="B14" s="27" t="str">
        <f>IF(ROWS($6:14)&gt;COUNT($A:$A),"",INDEX('Data entry'!H:H,SMALL($A:$A,ROWS($6:14))))</f>
        <v/>
      </c>
      <c r="C14" s="27" t="str">
        <f>IF(ROWS($6:14)&gt;COUNT($A:$A),"",INDEX('Data entry'!BJ:BJ,SMALL($A:$A,ROWS($6:14))))</f>
        <v/>
      </c>
      <c r="D14" s="87" t="str">
        <f>IF(ROWS($6:14)&gt;COUNT($A:$A),"",INDEX('Data entry'!R:R,SMALL($A:$A,ROWS($6:14))))</f>
        <v/>
      </c>
      <c r="E14" s="27" t="str">
        <f>IF(ROWS($6:14)&gt;COUNT($A:$A),"",INDEX('Data entry'!BM:BM,SMALL($A:$A,ROWS($6:14))))</f>
        <v/>
      </c>
      <c r="F14" s="27" t="str">
        <f>IF(ROWS($6:14)&gt;COUNT($A:$A),"",INDEX('Data entry'!BK:BK,SMALL($A:$A,ROWS($6:14))))</f>
        <v/>
      </c>
      <c r="G14" s="27" t="str">
        <f>IF(ROWS($6:14)&gt;COUNT($A:$A),"",INDEX('Data entry'!BL:BL,SMALL($A:$A,ROWS($6:14))))</f>
        <v/>
      </c>
      <c r="H14" s="27" t="str">
        <f>IF(ROWS($6:14)&gt;COUNT($A:$A),"",INDEX('Data entry'!BN:BN,SMALL($A:$A,ROWS($6:14))))</f>
        <v/>
      </c>
      <c r="I14" s="87" t="str">
        <f>IF(ROWS($6:14)&gt;COUNT($A:$A),"",INDEX('Data entry'!S:S,SMALL($A:$A,ROWS($6:14))))</f>
        <v/>
      </c>
      <c r="J14" s="27" t="str">
        <f>IF(ROWS($6:14)&gt;COUNT($A:$A),"",INDEX('Data entry'!AR:AR,SMALL($A:$A,ROWS($6:14))))</f>
        <v/>
      </c>
    </row>
    <row r="15" spans="1:10" x14ac:dyDescent="0.2">
      <c r="A15" s="27" t="str">
        <f>IF(OR('Data entry'!B15="Probable", 'Data entry'!B15="Confirmed"),ROW(),"")</f>
        <v/>
      </c>
      <c r="B15" s="27" t="str">
        <f>IF(ROWS($6:15)&gt;COUNT($A:$A),"",INDEX('Data entry'!H:H,SMALL($A:$A,ROWS($6:15))))</f>
        <v/>
      </c>
      <c r="C15" s="27" t="str">
        <f>IF(ROWS($6:15)&gt;COUNT($A:$A),"",INDEX('Data entry'!BJ:BJ,SMALL($A:$A,ROWS($6:15))))</f>
        <v/>
      </c>
      <c r="D15" s="87" t="str">
        <f>IF(ROWS($6:15)&gt;COUNT($A:$A),"",INDEX('Data entry'!R:R,SMALL($A:$A,ROWS($6:15))))</f>
        <v/>
      </c>
      <c r="E15" s="27" t="str">
        <f>IF(ROWS($6:15)&gt;COUNT($A:$A),"",INDEX('Data entry'!BM:BM,SMALL($A:$A,ROWS($6:15))))</f>
        <v/>
      </c>
      <c r="F15" s="27" t="str">
        <f>IF(ROWS($6:15)&gt;COUNT($A:$A),"",INDEX('Data entry'!BK:BK,SMALL($A:$A,ROWS($6:15))))</f>
        <v/>
      </c>
      <c r="G15" s="27" t="str">
        <f>IF(ROWS($6:15)&gt;COUNT($A:$A),"",INDEX('Data entry'!BL:BL,SMALL($A:$A,ROWS($6:15))))</f>
        <v/>
      </c>
      <c r="H15" s="27" t="str">
        <f>IF(ROWS($6:15)&gt;COUNT($A:$A),"",INDEX('Data entry'!BN:BN,SMALL($A:$A,ROWS($6:15))))</f>
        <v/>
      </c>
      <c r="I15" s="87" t="str">
        <f>IF(ROWS($6:15)&gt;COUNT($A:$A),"",INDEX('Data entry'!S:S,SMALL($A:$A,ROWS($6:15))))</f>
        <v/>
      </c>
      <c r="J15" s="27" t="str">
        <f>IF(ROWS($6:15)&gt;COUNT($A:$A),"",INDEX('Data entry'!AR:AR,SMALL($A:$A,ROWS($6:15))))</f>
        <v/>
      </c>
    </row>
    <row r="16" spans="1:10" x14ac:dyDescent="0.2">
      <c r="A16" s="27" t="str">
        <f>IF(OR('Data entry'!B16="Probable", 'Data entry'!B16="Confirmed"),ROW(),"")</f>
        <v/>
      </c>
      <c r="B16" s="27" t="str">
        <f>IF(ROWS($6:16)&gt;COUNT($A:$A),"",INDEX('Data entry'!H:H,SMALL($A:$A,ROWS($6:16))))</f>
        <v/>
      </c>
      <c r="C16" s="27" t="str">
        <f>IF(ROWS($6:16)&gt;COUNT($A:$A),"",INDEX('Data entry'!BJ:BJ,SMALL($A:$A,ROWS($6:16))))</f>
        <v/>
      </c>
      <c r="D16" s="87" t="str">
        <f>IF(ROWS($6:16)&gt;COUNT($A:$A),"",INDEX('Data entry'!R:R,SMALL($A:$A,ROWS($6:16))))</f>
        <v/>
      </c>
      <c r="E16" s="27" t="str">
        <f>IF(ROWS($6:16)&gt;COUNT($A:$A),"",INDEX('Data entry'!BM:BM,SMALL($A:$A,ROWS($6:16))))</f>
        <v/>
      </c>
      <c r="F16" s="27" t="str">
        <f>IF(ROWS($6:16)&gt;COUNT($A:$A),"",INDEX('Data entry'!BK:BK,SMALL($A:$A,ROWS($6:16))))</f>
        <v/>
      </c>
      <c r="G16" s="27" t="str">
        <f>IF(ROWS($6:16)&gt;COUNT($A:$A),"",INDEX('Data entry'!BL:BL,SMALL($A:$A,ROWS($6:16))))</f>
        <v/>
      </c>
      <c r="H16" s="27" t="str">
        <f>IF(ROWS($6:16)&gt;COUNT($A:$A),"",INDEX('Data entry'!BN:BN,SMALL($A:$A,ROWS($6:16))))</f>
        <v/>
      </c>
      <c r="I16" s="87" t="str">
        <f>IF(ROWS($6:16)&gt;COUNT($A:$A),"",INDEX('Data entry'!S:S,SMALL($A:$A,ROWS($6:16))))</f>
        <v/>
      </c>
      <c r="J16" s="27" t="str">
        <f>IF(ROWS($6:16)&gt;COUNT($A:$A),"",INDEX('Data entry'!AR:AR,SMALL($A:$A,ROWS($6:16))))</f>
        <v/>
      </c>
    </row>
    <row r="17" spans="1:10" x14ac:dyDescent="0.2">
      <c r="A17" s="27" t="str">
        <f>IF(OR('Data entry'!B17="Probable", 'Data entry'!B17="Confirmed"),ROW(),"")</f>
        <v/>
      </c>
      <c r="B17" s="27" t="str">
        <f>IF(ROWS($6:17)&gt;COUNT($A:$A),"",INDEX('Data entry'!H:H,SMALL($A:$A,ROWS($6:17))))</f>
        <v/>
      </c>
      <c r="C17" s="27" t="str">
        <f>IF(ROWS($6:17)&gt;COUNT($A:$A),"",INDEX('Data entry'!BJ:BJ,SMALL($A:$A,ROWS($6:17))))</f>
        <v/>
      </c>
      <c r="D17" s="87" t="str">
        <f>IF(ROWS($6:17)&gt;COUNT($A:$A),"",INDEX('Data entry'!R:R,SMALL($A:$A,ROWS($6:17))))</f>
        <v/>
      </c>
      <c r="E17" s="27" t="str">
        <f>IF(ROWS($6:17)&gt;COUNT($A:$A),"",INDEX('Data entry'!BM:BM,SMALL($A:$A,ROWS($6:17))))</f>
        <v/>
      </c>
      <c r="F17" s="27" t="str">
        <f>IF(ROWS($6:17)&gt;COUNT($A:$A),"",INDEX('Data entry'!BK:BK,SMALL($A:$A,ROWS($6:17))))</f>
        <v/>
      </c>
      <c r="G17" s="27" t="str">
        <f>IF(ROWS($6:17)&gt;COUNT($A:$A),"",INDEX('Data entry'!BL:BL,SMALL($A:$A,ROWS($6:17))))</f>
        <v/>
      </c>
      <c r="H17" s="27" t="str">
        <f>IF(ROWS($6:17)&gt;COUNT($A:$A),"",INDEX('Data entry'!BN:BN,SMALL($A:$A,ROWS($6:17))))</f>
        <v/>
      </c>
      <c r="I17" s="87" t="str">
        <f>IF(ROWS($6:17)&gt;COUNT($A:$A),"",INDEX('Data entry'!S:S,SMALL($A:$A,ROWS($6:17))))</f>
        <v/>
      </c>
      <c r="J17" s="27" t="str">
        <f>IF(ROWS($6:17)&gt;COUNT($A:$A),"",INDEX('Data entry'!AR:AR,SMALL($A:$A,ROWS($6:17))))</f>
        <v/>
      </c>
    </row>
    <row r="18" spans="1:10" x14ac:dyDescent="0.2">
      <c r="A18" s="27" t="str">
        <f>IF(OR('Data entry'!B18="Probable", 'Data entry'!B18="Confirmed"),ROW(),"")</f>
        <v/>
      </c>
      <c r="B18" s="27" t="str">
        <f>IF(ROWS($6:18)&gt;COUNT($A:$A),"",INDEX('Data entry'!H:H,SMALL($A:$A,ROWS($6:18))))</f>
        <v/>
      </c>
      <c r="C18" s="27" t="str">
        <f>IF(ROWS($6:18)&gt;COUNT($A:$A),"",INDEX('Data entry'!BJ:BJ,SMALL($A:$A,ROWS($6:18))))</f>
        <v/>
      </c>
      <c r="D18" s="87" t="str">
        <f>IF(ROWS($6:18)&gt;COUNT($A:$A),"",INDEX('Data entry'!R:R,SMALL($A:$A,ROWS($6:18))))</f>
        <v/>
      </c>
      <c r="E18" s="27" t="str">
        <f>IF(ROWS($6:18)&gt;COUNT($A:$A),"",INDEX('Data entry'!BM:BM,SMALL($A:$A,ROWS($6:18))))</f>
        <v/>
      </c>
      <c r="F18" s="27" t="str">
        <f>IF(ROWS($6:18)&gt;COUNT($A:$A),"",INDEX('Data entry'!BK:BK,SMALL($A:$A,ROWS($6:18))))</f>
        <v/>
      </c>
      <c r="G18" s="27" t="str">
        <f>IF(ROWS($6:18)&gt;COUNT($A:$A),"",INDEX('Data entry'!BL:BL,SMALL($A:$A,ROWS($6:18))))</f>
        <v/>
      </c>
      <c r="H18" s="27" t="str">
        <f>IF(ROWS($6:18)&gt;COUNT($A:$A),"",INDEX('Data entry'!BN:BN,SMALL($A:$A,ROWS($6:18))))</f>
        <v/>
      </c>
      <c r="I18" s="87" t="str">
        <f>IF(ROWS($6:18)&gt;COUNT($A:$A),"",INDEX('Data entry'!S:S,SMALL($A:$A,ROWS($6:18))))</f>
        <v/>
      </c>
      <c r="J18" s="27" t="str">
        <f>IF(ROWS($6:18)&gt;COUNT($A:$A),"",INDEX('Data entry'!AR:AR,SMALL($A:$A,ROWS($6:18))))</f>
        <v/>
      </c>
    </row>
    <row r="19" spans="1:10" x14ac:dyDescent="0.2">
      <c r="A19" s="27" t="str">
        <f>IF(OR('Data entry'!B19="Probable", 'Data entry'!B19="Confirmed"),ROW(),"")</f>
        <v/>
      </c>
      <c r="B19" s="27" t="str">
        <f>IF(ROWS($6:19)&gt;COUNT($A:$A),"",INDEX('Data entry'!H:H,SMALL($A:$A,ROWS($6:19))))</f>
        <v/>
      </c>
      <c r="C19" s="27" t="str">
        <f>IF(ROWS($6:19)&gt;COUNT($A:$A),"",INDEX('Data entry'!BJ:BJ,SMALL($A:$A,ROWS($6:19))))</f>
        <v/>
      </c>
      <c r="D19" s="87" t="str">
        <f>IF(ROWS($6:19)&gt;COUNT($A:$A),"",INDEX('Data entry'!R:R,SMALL($A:$A,ROWS($6:19))))</f>
        <v/>
      </c>
      <c r="E19" s="27" t="str">
        <f>IF(ROWS($6:19)&gt;COUNT($A:$A),"",INDEX('Data entry'!BM:BM,SMALL($A:$A,ROWS($6:19))))</f>
        <v/>
      </c>
      <c r="F19" s="27" t="str">
        <f>IF(ROWS($6:19)&gt;COUNT($A:$A),"",INDEX('Data entry'!BK:BK,SMALL($A:$A,ROWS($6:19))))</f>
        <v/>
      </c>
      <c r="G19" s="27" t="str">
        <f>IF(ROWS($6:19)&gt;COUNT($A:$A),"",INDEX('Data entry'!BL:BL,SMALL($A:$A,ROWS($6:19))))</f>
        <v/>
      </c>
      <c r="H19" s="27" t="str">
        <f>IF(ROWS($6:19)&gt;COUNT($A:$A),"",INDEX('Data entry'!BN:BN,SMALL($A:$A,ROWS($6:19))))</f>
        <v/>
      </c>
      <c r="I19" s="87" t="str">
        <f>IF(ROWS($6:19)&gt;COUNT($A:$A),"",INDEX('Data entry'!S:S,SMALL($A:$A,ROWS($6:19))))</f>
        <v/>
      </c>
      <c r="J19" s="27" t="str">
        <f>IF(ROWS($6:19)&gt;COUNT($A:$A),"",INDEX('Data entry'!AR:AR,SMALL($A:$A,ROWS($6:19))))</f>
        <v/>
      </c>
    </row>
    <row r="20" spans="1:10" x14ac:dyDescent="0.2">
      <c r="A20" s="27" t="str">
        <f>IF(OR('Data entry'!B20="Probable", 'Data entry'!B20="Confirmed"),ROW(),"")</f>
        <v/>
      </c>
      <c r="B20" s="27" t="str">
        <f>IF(ROWS($6:20)&gt;COUNT($A:$A),"",INDEX('Data entry'!H:H,SMALL($A:$A,ROWS($6:20))))</f>
        <v/>
      </c>
      <c r="C20" s="27" t="str">
        <f>IF(ROWS($6:20)&gt;COUNT($A:$A),"",INDEX('Data entry'!BJ:BJ,SMALL($A:$A,ROWS($6:20))))</f>
        <v/>
      </c>
      <c r="D20" s="87" t="str">
        <f>IF(ROWS($6:20)&gt;COUNT($A:$A),"",INDEX('Data entry'!R:R,SMALL($A:$A,ROWS($6:20))))</f>
        <v/>
      </c>
      <c r="E20" s="27" t="str">
        <f>IF(ROWS($6:20)&gt;COUNT($A:$A),"",INDEX('Data entry'!BM:BM,SMALL($A:$A,ROWS($6:20))))</f>
        <v/>
      </c>
      <c r="F20" s="27" t="str">
        <f>IF(ROWS($6:20)&gt;COUNT($A:$A),"",INDEX('Data entry'!BK:BK,SMALL($A:$A,ROWS($6:20))))</f>
        <v/>
      </c>
      <c r="G20" s="27" t="str">
        <f>IF(ROWS($6:20)&gt;COUNT($A:$A),"",INDEX('Data entry'!BL:BL,SMALL($A:$A,ROWS($6:20))))</f>
        <v/>
      </c>
      <c r="H20" s="27" t="str">
        <f>IF(ROWS($6:20)&gt;COUNT($A:$A),"",INDEX('Data entry'!BN:BN,SMALL($A:$A,ROWS($6:20))))</f>
        <v/>
      </c>
      <c r="I20" s="87" t="str">
        <f>IF(ROWS($6:20)&gt;COUNT($A:$A),"",INDEX('Data entry'!S:S,SMALL($A:$A,ROWS($6:20))))</f>
        <v/>
      </c>
      <c r="J20" s="27" t="str">
        <f>IF(ROWS($6:20)&gt;COUNT($A:$A),"",INDEX('Data entry'!AR:AR,SMALL($A:$A,ROWS($6:20))))</f>
        <v/>
      </c>
    </row>
    <row r="21" spans="1:10" x14ac:dyDescent="0.2">
      <c r="A21" s="27" t="str">
        <f>IF(OR('Data entry'!B21="Probable", 'Data entry'!B21="Confirmed"),ROW(),"")</f>
        <v/>
      </c>
      <c r="B21" s="27" t="str">
        <f>IF(ROWS($6:21)&gt;COUNT($A:$A),"",INDEX('Data entry'!H:H,SMALL($A:$A,ROWS($6:21))))</f>
        <v/>
      </c>
      <c r="C21" s="27" t="str">
        <f>IF(ROWS($6:21)&gt;COUNT($A:$A),"",INDEX('Data entry'!BJ:BJ,SMALL($A:$A,ROWS($6:21))))</f>
        <v/>
      </c>
      <c r="D21" s="87" t="str">
        <f>IF(ROWS($6:21)&gt;COUNT($A:$A),"",INDEX('Data entry'!R:R,SMALL($A:$A,ROWS($6:21))))</f>
        <v/>
      </c>
      <c r="E21" s="27" t="str">
        <f>IF(ROWS($6:21)&gt;COUNT($A:$A),"",INDEX('Data entry'!BM:BM,SMALL($A:$A,ROWS($6:21))))</f>
        <v/>
      </c>
      <c r="F21" s="27" t="str">
        <f>IF(ROWS($6:21)&gt;COUNT($A:$A),"",INDEX('Data entry'!BK:BK,SMALL($A:$A,ROWS($6:21))))</f>
        <v/>
      </c>
      <c r="G21" s="27" t="str">
        <f>IF(ROWS($6:21)&gt;COUNT($A:$A),"",INDEX('Data entry'!BL:BL,SMALL($A:$A,ROWS($6:21))))</f>
        <v/>
      </c>
      <c r="H21" s="27" t="str">
        <f>IF(ROWS($6:21)&gt;COUNT($A:$A),"",INDEX('Data entry'!BN:BN,SMALL($A:$A,ROWS($6:21))))</f>
        <v/>
      </c>
      <c r="I21" s="87" t="str">
        <f>IF(ROWS($6:21)&gt;COUNT($A:$A),"",INDEX('Data entry'!S:S,SMALL($A:$A,ROWS($6:21))))</f>
        <v/>
      </c>
      <c r="J21" s="27" t="str">
        <f>IF(ROWS($6:21)&gt;COUNT($A:$A),"",INDEX('Data entry'!AR:AR,SMALL($A:$A,ROWS($6:21))))</f>
        <v/>
      </c>
    </row>
    <row r="22" spans="1:10" x14ac:dyDescent="0.2">
      <c r="A22" s="27" t="str">
        <f>IF(OR('Data entry'!B22="Probable", 'Data entry'!B22="Confirmed"),ROW(),"")</f>
        <v/>
      </c>
      <c r="B22" s="27" t="str">
        <f>IF(ROWS($6:22)&gt;COUNT($A:$A),"",INDEX('Data entry'!H:H,SMALL($A:$A,ROWS($6:22))))</f>
        <v/>
      </c>
      <c r="C22" s="27" t="str">
        <f>IF(ROWS($6:22)&gt;COUNT($A:$A),"",INDEX('Data entry'!BJ:BJ,SMALL($A:$A,ROWS($6:22))))</f>
        <v/>
      </c>
      <c r="D22" s="87" t="str">
        <f>IF(ROWS($6:22)&gt;COUNT($A:$A),"",INDEX('Data entry'!R:R,SMALL($A:$A,ROWS($6:22))))</f>
        <v/>
      </c>
      <c r="E22" s="27" t="str">
        <f>IF(ROWS($6:22)&gt;COUNT($A:$A),"",INDEX('Data entry'!BM:BM,SMALL($A:$A,ROWS($6:22))))</f>
        <v/>
      </c>
      <c r="F22" s="27" t="str">
        <f>IF(ROWS($6:22)&gt;COUNT($A:$A),"",INDEX('Data entry'!BK:BK,SMALL($A:$A,ROWS($6:22))))</f>
        <v/>
      </c>
      <c r="G22" s="27" t="str">
        <f>IF(ROWS($6:22)&gt;COUNT($A:$A),"",INDEX('Data entry'!BL:BL,SMALL($A:$A,ROWS($6:22))))</f>
        <v/>
      </c>
      <c r="H22" s="27" t="str">
        <f>IF(ROWS($6:22)&gt;COUNT($A:$A),"",INDEX('Data entry'!BN:BN,SMALL($A:$A,ROWS($6:22))))</f>
        <v/>
      </c>
      <c r="I22" s="87" t="str">
        <f>IF(ROWS($6:22)&gt;COUNT($A:$A),"",INDEX('Data entry'!S:S,SMALL($A:$A,ROWS($6:22))))</f>
        <v/>
      </c>
      <c r="J22" s="27" t="str">
        <f>IF(ROWS($6:22)&gt;COUNT($A:$A),"",INDEX('Data entry'!AR:AR,SMALL($A:$A,ROWS($6:22))))</f>
        <v/>
      </c>
    </row>
    <row r="23" spans="1:10" x14ac:dyDescent="0.2">
      <c r="A23" s="27" t="str">
        <f>IF(OR('Data entry'!B23="Probable", 'Data entry'!B23="Confirmed"),ROW(),"")</f>
        <v/>
      </c>
      <c r="B23" s="27" t="str">
        <f>IF(ROWS($6:23)&gt;COUNT($A:$A),"",INDEX('Data entry'!H:H,SMALL($A:$A,ROWS($6:23))))</f>
        <v/>
      </c>
      <c r="C23" s="27" t="str">
        <f>IF(ROWS($6:23)&gt;COUNT($A:$A),"",INDEX('Data entry'!BJ:BJ,SMALL($A:$A,ROWS($6:23))))</f>
        <v/>
      </c>
      <c r="D23" s="87" t="str">
        <f>IF(ROWS($6:23)&gt;COUNT($A:$A),"",INDEX('Data entry'!R:R,SMALL($A:$A,ROWS($6:23))))</f>
        <v/>
      </c>
      <c r="E23" s="27" t="str">
        <f>IF(ROWS($6:23)&gt;COUNT($A:$A),"",INDEX('Data entry'!BM:BM,SMALL($A:$A,ROWS($6:23))))</f>
        <v/>
      </c>
      <c r="F23" s="27" t="str">
        <f>IF(ROWS($6:23)&gt;COUNT($A:$A),"",INDEX('Data entry'!BK:BK,SMALL($A:$A,ROWS($6:23))))</f>
        <v/>
      </c>
      <c r="G23" s="27" t="str">
        <f>IF(ROWS($6:23)&gt;COUNT($A:$A),"",INDEX('Data entry'!BL:BL,SMALL($A:$A,ROWS($6:23))))</f>
        <v/>
      </c>
      <c r="H23" s="27" t="str">
        <f>IF(ROWS($6:23)&gt;COUNT($A:$A),"",INDEX('Data entry'!BN:BN,SMALL($A:$A,ROWS($6:23))))</f>
        <v/>
      </c>
      <c r="I23" s="87" t="str">
        <f>IF(ROWS($6:23)&gt;COUNT($A:$A),"",INDEX('Data entry'!S:S,SMALL($A:$A,ROWS($6:23))))</f>
        <v/>
      </c>
      <c r="J23" s="27" t="str">
        <f>IF(ROWS($6:23)&gt;COUNT($A:$A),"",INDEX('Data entry'!AR:AR,SMALL($A:$A,ROWS($6:23))))</f>
        <v/>
      </c>
    </row>
    <row r="24" spans="1:10" x14ac:dyDescent="0.2">
      <c r="A24" s="27" t="str">
        <f>IF(OR('Data entry'!B24="Probable", 'Data entry'!B24="Confirmed"),ROW(),"")</f>
        <v/>
      </c>
      <c r="B24" s="27" t="str">
        <f>IF(ROWS($6:24)&gt;COUNT($A:$A),"",INDEX('Data entry'!H:H,SMALL($A:$A,ROWS($6:24))))</f>
        <v/>
      </c>
      <c r="C24" s="27" t="str">
        <f>IF(ROWS($6:24)&gt;COUNT($A:$A),"",INDEX('Data entry'!BJ:BJ,SMALL($A:$A,ROWS($6:24))))</f>
        <v/>
      </c>
      <c r="D24" s="87" t="str">
        <f>IF(ROWS($6:24)&gt;COUNT($A:$A),"",INDEX('Data entry'!R:R,SMALL($A:$A,ROWS($6:24))))</f>
        <v/>
      </c>
      <c r="E24" s="27" t="str">
        <f>IF(ROWS($6:24)&gt;COUNT($A:$A),"",INDEX('Data entry'!BM:BM,SMALL($A:$A,ROWS($6:24))))</f>
        <v/>
      </c>
      <c r="F24" s="27" t="str">
        <f>IF(ROWS($6:24)&gt;COUNT($A:$A),"",INDEX('Data entry'!BK:BK,SMALL($A:$A,ROWS($6:24))))</f>
        <v/>
      </c>
      <c r="G24" s="27" t="str">
        <f>IF(ROWS($6:24)&gt;COUNT($A:$A),"",INDEX('Data entry'!BL:BL,SMALL($A:$A,ROWS($6:24))))</f>
        <v/>
      </c>
      <c r="H24" s="27" t="str">
        <f>IF(ROWS($6:24)&gt;COUNT($A:$A),"",INDEX('Data entry'!BN:BN,SMALL($A:$A,ROWS($6:24))))</f>
        <v/>
      </c>
      <c r="I24" s="87" t="str">
        <f>IF(ROWS($6:24)&gt;COUNT($A:$A),"",INDEX('Data entry'!S:S,SMALL($A:$A,ROWS($6:24))))</f>
        <v/>
      </c>
      <c r="J24" s="27" t="str">
        <f>IF(ROWS($6:24)&gt;COUNT($A:$A),"",INDEX('Data entry'!AR:AR,SMALL($A:$A,ROWS($6:24))))</f>
        <v/>
      </c>
    </row>
    <row r="25" spans="1:10" x14ac:dyDescent="0.2">
      <c r="A25" s="27" t="str">
        <f>IF(OR('Data entry'!B25="Probable", 'Data entry'!B25="Confirmed"),ROW(),"")</f>
        <v/>
      </c>
      <c r="B25" s="27" t="str">
        <f>IF(ROWS($6:25)&gt;COUNT($A:$A),"",INDEX('Data entry'!H:H,SMALL($A:$A,ROWS($6:25))))</f>
        <v/>
      </c>
      <c r="C25" s="27" t="str">
        <f>IF(ROWS($6:25)&gt;COUNT($A:$A),"",INDEX('Data entry'!BJ:BJ,SMALL($A:$A,ROWS($6:25))))</f>
        <v/>
      </c>
      <c r="D25" s="87" t="str">
        <f>IF(ROWS($6:25)&gt;COUNT($A:$A),"",INDEX('Data entry'!R:R,SMALL($A:$A,ROWS($6:25))))</f>
        <v/>
      </c>
      <c r="E25" s="27" t="str">
        <f>IF(ROWS($6:25)&gt;COUNT($A:$A),"",INDEX('Data entry'!BM:BM,SMALL($A:$A,ROWS($6:25))))</f>
        <v/>
      </c>
      <c r="F25" s="27" t="str">
        <f>IF(ROWS($6:25)&gt;COUNT($A:$A),"",INDEX('Data entry'!BK:BK,SMALL($A:$A,ROWS($6:25))))</f>
        <v/>
      </c>
      <c r="G25" s="27" t="str">
        <f>IF(ROWS($6:25)&gt;COUNT($A:$A),"",INDEX('Data entry'!BL:BL,SMALL($A:$A,ROWS($6:25))))</f>
        <v/>
      </c>
      <c r="H25" s="27" t="str">
        <f>IF(ROWS($6:25)&gt;COUNT($A:$A),"",INDEX('Data entry'!BN:BN,SMALL($A:$A,ROWS($6:25))))</f>
        <v/>
      </c>
      <c r="I25" s="87" t="str">
        <f>IF(ROWS($6:25)&gt;COUNT($A:$A),"",INDEX('Data entry'!S:S,SMALL($A:$A,ROWS($6:25))))</f>
        <v/>
      </c>
      <c r="J25" s="27" t="str">
        <f>IF(ROWS($6:25)&gt;COUNT($A:$A),"",INDEX('Data entry'!AR:AR,SMALL($A:$A,ROWS($6:25))))</f>
        <v/>
      </c>
    </row>
    <row r="26" spans="1:10" x14ac:dyDescent="0.2">
      <c r="A26" s="27" t="str">
        <f>IF(OR('Data entry'!B26="Probable", 'Data entry'!B26="Confirmed"),ROW(),"")</f>
        <v/>
      </c>
      <c r="B26" s="27" t="str">
        <f>IF(ROWS($6:26)&gt;COUNT($A:$A),"",INDEX('Data entry'!H:H,SMALL($A:$A,ROWS($6:26))))</f>
        <v/>
      </c>
      <c r="C26" s="27" t="str">
        <f>IF(ROWS($6:26)&gt;COUNT($A:$A),"",INDEX('Data entry'!BJ:BJ,SMALL($A:$A,ROWS($6:26))))</f>
        <v/>
      </c>
      <c r="D26" s="87" t="str">
        <f>IF(ROWS($6:26)&gt;COUNT($A:$A),"",INDEX('Data entry'!R:R,SMALL($A:$A,ROWS($6:26))))</f>
        <v/>
      </c>
      <c r="E26" s="27" t="str">
        <f>IF(ROWS($6:26)&gt;COUNT($A:$A),"",INDEX('Data entry'!BM:BM,SMALL($A:$A,ROWS($6:26))))</f>
        <v/>
      </c>
      <c r="F26" s="27" t="str">
        <f>IF(ROWS($6:26)&gt;COUNT($A:$A),"",INDEX('Data entry'!BK:BK,SMALL($A:$A,ROWS($6:26))))</f>
        <v/>
      </c>
      <c r="G26" s="27" t="str">
        <f>IF(ROWS($6:26)&gt;COUNT($A:$A),"",INDEX('Data entry'!BL:BL,SMALL($A:$A,ROWS($6:26))))</f>
        <v/>
      </c>
      <c r="H26" s="27" t="str">
        <f>IF(ROWS($6:26)&gt;COUNT($A:$A),"",INDEX('Data entry'!BN:BN,SMALL($A:$A,ROWS($6:26))))</f>
        <v/>
      </c>
      <c r="I26" s="87" t="str">
        <f>IF(ROWS($6:26)&gt;COUNT($A:$A),"",INDEX('Data entry'!S:S,SMALL($A:$A,ROWS($6:26))))</f>
        <v/>
      </c>
      <c r="J26" s="27" t="str">
        <f>IF(ROWS($6:26)&gt;COUNT($A:$A),"",INDEX('Data entry'!AR:AR,SMALL($A:$A,ROWS($6:26))))</f>
        <v/>
      </c>
    </row>
    <row r="27" spans="1:10" x14ac:dyDescent="0.2">
      <c r="A27" s="27" t="str">
        <f>IF(OR('Data entry'!B27="Probable", 'Data entry'!B27="Confirmed"),ROW(),"")</f>
        <v/>
      </c>
      <c r="B27" s="27" t="str">
        <f>IF(ROWS($6:27)&gt;COUNT($A:$A),"",INDEX('Data entry'!H:H,SMALL($A:$A,ROWS($6:27))))</f>
        <v/>
      </c>
      <c r="C27" s="27" t="str">
        <f>IF(ROWS($6:27)&gt;COUNT($A:$A),"",INDEX('Data entry'!BJ:BJ,SMALL($A:$A,ROWS($6:27))))</f>
        <v/>
      </c>
      <c r="D27" s="87" t="str">
        <f>IF(ROWS($6:27)&gt;COUNT($A:$A),"",INDEX('Data entry'!R:R,SMALL($A:$A,ROWS($6:27))))</f>
        <v/>
      </c>
      <c r="E27" s="27" t="str">
        <f>IF(ROWS($6:27)&gt;COUNT($A:$A),"",INDEX('Data entry'!BM:BM,SMALL($A:$A,ROWS($6:27))))</f>
        <v/>
      </c>
      <c r="F27" s="27" t="str">
        <f>IF(ROWS($6:27)&gt;COUNT($A:$A),"",INDEX('Data entry'!BK:BK,SMALL($A:$A,ROWS($6:27))))</f>
        <v/>
      </c>
      <c r="G27" s="27" t="str">
        <f>IF(ROWS($6:27)&gt;COUNT($A:$A),"",INDEX('Data entry'!BL:BL,SMALL($A:$A,ROWS($6:27))))</f>
        <v/>
      </c>
      <c r="H27" s="27" t="str">
        <f>IF(ROWS($6:27)&gt;COUNT($A:$A),"",INDEX('Data entry'!BN:BN,SMALL($A:$A,ROWS($6:27))))</f>
        <v/>
      </c>
      <c r="I27" s="87" t="str">
        <f>IF(ROWS($6:27)&gt;COUNT($A:$A),"",INDEX('Data entry'!S:S,SMALL($A:$A,ROWS($6:27))))</f>
        <v/>
      </c>
      <c r="J27" s="27" t="str">
        <f>IF(ROWS($6:27)&gt;COUNT($A:$A),"",INDEX('Data entry'!AR:AR,SMALL($A:$A,ROWS($6:27))))</f>
        <v/>
      </c>
    </row>
    <row r="28" spans="1:10" x14ac:dyDescent="0.2">
      <c r="A28" s="27" t="str">
        <f>IF(OR('Data entry'!B28="Probable", 'Data entry'!B28="Confirmed"),ROW(),"")</f>
        <v/>
      </c>
      <c r="B28" s="27" t="str">
        <f>IF(ROWS($6:28)&gt;COUNT($A:$A),"",INDEX('Data entry'!H:H,SMALL($A:$A,ROWS($6:28))))</f>
        <v/>
      </c>
      <c r="C28" s="27" t="str">
        <f>IF(ROWS($6:28)&gt;COUNT($A:$A),"",INDEX('Data entry'!BJ:BJ,SMALL($A:$A,ROWS($6:28))))</f>
        <v/>
      </c>
      <c r="D28" s="87" t="str">
        <f>IF(ROWS($6:28)&gt;COUNT($A:$A),"",INDEX('Data entry'!R:R,SMALL($A:$A,ROWS($6:28))))</f>
        <v/>
      </c>
      <c r="E28" s="27" t="str">
        <f>IF(ROWS($6:28)&gt;COUNT($A:$A),"",INDEX('Data entry'!BM:BM,SMALL($A:$A,ROWS($6:28))))</f>
        <v/>
      </c>
      <c r="F28" s="27" t="str">
        <f>IF(ROWS($6:28)&gt;COUNT($A:$A),"",INDEX('Data entry'!BK:BK,SMALL($A:$A,ROWS($6:28))))</f>
        <v/>
      </c>
      <c r="G28" s="27" t="str">
        <f>IF(ROWS($6:28)&gt;COUNT($A:$A),"",INDEX('Data entry'!BL:BL,SMALL($A:$A,ROWS($6:28))))</f>
        <v/>
      </c>
      <c r="H28" s="27" t="str">
        <f>IF(ROWS($6:28)&gt;COUNT($A:$A),"",INDEX('Data entry'!BN:BN,SMALL($A:$A,ROWS($6:28))))</f>
        <v/>
      </c>
      <c r="I28" s="87" t="str">
        <f>IF(ROWS($6:28)&gt;COUNT($A:$A),"",INDEX('Data entry'!S:S,SMALL($A:$A,ROWS($6:28))))</f>
        <v/>
      </c>
      <c r="J28" s="27" t="str">
        <f>IF(ROWS($6:28)&gt;COUNT($A:$A),"",INDEX('Data entry'!AR:AR,SMALL($A:$A,ROWS($6:28))))</f>
        <v/>
      </c>
    </row>
    <row r="29" spans="1:10" x14ac:dyDescent="0.2">
      <c r="A29" s="27" t="str">
        <f>IF(OR('Data entry'!B29="Probable", 'Data entry'!B29="Confirmed"),ROW(),"")</f>
        <v/>
      </c>
      <c r="B29" s="27" t="str">
        <f>IF(ROWS($6:29)&gt;COUNT($A:$A),"",INDEX('Data entry'!H:H,SMALL($A:$A,ROWS($6:29))))</f>
        <v/>
      </c>
      <c r="C29" s="27" t="str">
        <f>IF(ROWS($6:29)&gt;COUNT($A:$A),"",INDEX('Data entry'!BJ:BJ,SMALL($A:$A,ROWS($6:29))))</f>
        <v/>
      </c>
      <c r="D29" s="87" t="str">
        <f>IF(ROWS($6:29)&gt;COUNT($A:$A),"",INDEX('Data entry'!R:R,SMALL($A:$A,ROWS($6:29))))</f>
        <v/>
      </c>
      <c r="E29" s="27" t="str">
        <f>IF(ROWS($6:29)&gt;COUNT($A:$A),"",INDEX('Data entry'!BM:BM,SMALL($A:$A,ROWS($6:29))))</f>
        <v/>
      </c>
      <c r="F29" s="27" t="str">
        <f>IF(ROWS($6:29)&gt;COUNT($A:$A),"",INDEX('Data entry'!BK:BK,SMALL($A:$A,ROWS($6:29))))</f>
        <v/>
      </c>
      <c r="G29" s="27" t="str">
        <f>IF(ROWS($6:29)&gt;COUNT($A:$A),"",INDEX('Data entry'!BL:BL,SMALL($A:$A,ROWS($6:29))))</f>
        <v/>
      </c>
      <c r="H29" s="27" t="str">
        <f>IF(ROWS($6:29)&gt;COUNT($A:$A),"",INDEX('Data entry'!BN:BN,SMALL($A:$A,ROWS($6:29))))</f>
        <v/>
      </c>
      <c r="I29" s="87" t="str">
        <f>IF(ROWS($6:29)&gt;COUNT($A:$A),"",INDEX('Data entry'!S:S,SMALL($A:$A,ROWS($6:29))))</f>
        <v/>
      </c>
      <c r="J29" s="27" t="str">
        <f>IF(ROWS($6:29)&gt;COUNT($A:$A),"",INDEX('Data entry'!AR:AR,SMALL($A:$A,ROWS($6:29))))</f>
        <v/>
      </c>
    </row>
    <row r="30" spans="1:10" x14ac:dyDescent="0.2">
      <c r="A30" s="27" t="str">
        <f>IF(OR('Data entry'!B30="Probable", 'Data entry'!B30="Confirmed"),ROW(),"")</f>
        <v/>
      </c>
      <c r="B30" s="27" t="str">
        <f>IF(ROWS($6:30)&gt;COUNT($A:$A),"",INDEX('Data entry'!H:H,SMALL($A:$A,ROWS($6:30))))</f>
        <v/>
      </c>
      <c r="C30" s="27" t="str">
        <f>IF(ROWS($6:30)&gt;COUNT($A:$A),"",INDEX('Data entry'!BJ:BJ,SMALL($A:$A,ROWS($6:30))))</f>
        <v/>
      </c>
      <c r="D30" s="87" t="str">
        <f>IF(ROWS($6:30)&gt;COUNT($A:$A),"",INDEX('Data entry'!R:R,SMALL($A:$A,ROWS($6:30))))</f>
        <v/>
      </c>
      <c r="E30" s="27" t="str">
        <f>IF(ROWS($6:30)&gt;COUNT($A:$A),"",INDEX('Data entry'!BM:BM,SMALL($A:$A,ROWS($6:30))))</f>
        <v/>
      </c>
      <c r="F30" s="27" t="str">
        <f>IF(ROWS($6:30)&gt;COUNT($A:$A),"",INDEX('Data entry'!BK:BK,SMALL($A:$A,ROWS($6:30))))</f>
        <v/>
      </c>
      <c r="G30" s="27" t="str">
        <f>IF(ROWS($6:30)&gt;COUNT($A:$A),"",INDEX('Data entry'!BL:BL,SMALL($A:$A,ROWS($6:30))))</f>
        <v/>
      </c>
      <c r="H30" s="27" t="str">
        <f>IF(ROWS($6:30)&gt;COUNT($A:$A),"",INDEX('Data entry'!BN:BN,SMALL($A:$A,ROWS($6:30))))</f>
        <v/>
      </c>
      <c r="I30" s="87" t="str">
        <f>IF(ROWS($6:30)&gt;COUNT($A:$A),"",INDEX('Data entry'!S:S,SMALL($A:$A,ROWS($6:30))))</f>
        <v/>
      </c>
      <c r="J30" s="27" t="str">
        <f>IF(ROWS($6:30)&gt;COUNT($A:$A),"",INDEX('Data entry'!AR:AR,SMALL($A:$A,ROWS($6:30))))</f>
        <v/>
      </c>
    </row>
    <row r="31" spans="1:10" x14ac:dyDescent="0.2">
      <c r="A31" s="27" t="str">
        <f>IF(OR('Data entry'!B31="Probable", 'Data entry'!B31="Confirmed"),ROW(),"")</f>
        <v/>
      </c>
      <c r="B31" s="27" t="str">
        <f>IF(ROWS($6:31)&gt;COUNT($A:$A),"",INDEX('Data entry'!H:H,SMALL($A:$A,ROWS($6:31))))</f>
        <v/>
      </c>
      <c r="C31" s="27" t="str">
        <f>IF(ROWS($6:31)&gt;COUNT($A:$A),"",INDEX('Data entry'!BJ:BJ,SMALL($A:$A,ROWS($6:31))))</f>
        <v/>
      </c>
      <c r="D31" s="87" t="str">
        <f>IF(ROWS($6:31)&gt;COUNT($A:$A),"",INDEX('Data entry'!R:R,SMALL($A:$A,ROWS($6:31))))</f>
        <v/>
      </c>
      <c r="E31" s="27" t="str">
        <f>IF(ROWS($6:31)&gt;COUNT($A:$A),"",INDEX('Data entry'!BM:BM,SMALL($A:$A,ROWS($6:31))))</f>
        <v/>
      </c>
      <c r="F31" s="27" t="str">
        <f>IF(ROWS($6:31)&gt;COUNT($A:$A),"",INDEX('Data entry'!BK:BK,SMALL($A:$A,ROWS($6:31))))</f>
        <v/>
      </c>
      <c r="G31" s="27" t="str">
        <f>IF(ROWS($6:31)&gt;COUNT($A:$A),"",INDEX('Data entry'!BL:BL,SMALL($A:$A,ROWS($6:31))))</f>
        <v/>
      </c>
      <c r="H31" s="27" t="str">
        <f>IF(ROWS($6:31)&gt;COUNT($A:$A),"",INDEX('Data entry'!BN:BN,SMALL($A:$A,ROWS($6:31))))</f>
        <v/>
      </c>
      <c r="I31" s="87" t="str">
        <f>IF(ROWS($6:31)&gt;COUNT($A:$A),"",INDEX('Data entry'!S:S,SMALL($A:$A,ROWS($6:31))))</f>
        <v/>
      </c>
      <c r="J31" s="27" t="str">
        <f>IF(ROWS($6:31)&gt;COUNT($A:$A),"",INDEX('Data entry'!AR:AR,SMALL($A:$A,ROWS($6:31))))</f>
        <v/>
      </c>
    </row>
    <row r="32" spans="1:10" x14ac:dyDescent="0.2">
      <c r="A32" s="27" t="str">
        <f>IF(OR('Data entry'!B32="Probable", 'Data entry'!B32="Confirmed"),ROW(),"")</f>
        <v/>
      </c>
      <c r="B32" s="27" t="str">
        <f>IF(ROWS($6:32)&gt;COUNT($A:$A),"",INDEX('Data entry'!H:H,SMALL($A:$A,ROWS($6:32))))</f>
        <v/>
      </c>
      <c r="C32" s="27" t="str">
        <f>IF(ROWS($6:32)&gt;COUNT($A:$A),"",INDEX('Data entry'!BJ:BJ,SMALL($A:$A,ROWS($6:32))))</f>
        <v/>
      </c>
      <c r="D32" s="87" t="str">
        <f>IF(ROWS($6:32)&gt;COUNT($A:$A),"",INDEX('Data entry'!R:R,SMALL($A:$A,ROWS($6:32))))</f>
        <v/>
      </c>
      <c r="E32" s="27" t="str">
        <f>IF(ROWS($6:32)&gt;COUNT($A:$A),"",INDEX('Data entry'!BM:BM,SMALL($A:$A,ROWS($6:32))))</f>
        <v/>
      </c>
      <c r="F32" s="27" t="str">
        <f>IF(ROWS($6:32)&gt;COUNT($A:$A),"",INDEX('Data entry'!BK:BK,SMALL($A:$A,ROWS($6:32))))</f>
        <v/>
      </c>
      <c r="G32" s="27" t="str">
        <f>IF(ROWS($6:32)&gt;COUNT($A:$A),"",INDEX('Data entry'!BL:BL,SMALL($A:$A,ROWS($6:32))))</f>
        <v/>
      </c>
      <c r="H32" s="27" t="str">
        <f>IF(ROWS($6:32)&gt;COUNT($A:$A),"",INDEX('Data entry'!BN:BN,SMALL($A:$A,ROWS($6:32))))</f>
        <v/>
      </c>
      <c r="I32" s="87" t="str">
        <f>IF(ROWS($6:32)&gt;COUNT($A:$A),"",INDEX('Data entry'!S:S,SMALL($A:$A,ROWS($6:32))))</f>
        <v/>
      </c>
      <c r="J32" s="27" t="str">
        <f>IF(ROWS($6:32)&gt;COUNT($A:$A),"",INDEX('Data entry'!AR:AR,SMALL($A:$A,ROWS($6:32))))</f>
        <v/>
      </c>
    </row>
    <row r="33" spans="1:10" x14ac:dyDescent="0.2">
      <c r="A33" s="27" t="str">
        <f>IF(OR('Data entry'!B33="Probable", 'Data entry'!B33="Confirmed"),ROW(),"")</f>
        <v/>
      </c>
      <c r="B33" s="27" t="str">
        <f>IF(ROWS($6:33)&gt;COUNT($A:$A),"",INDEX('Data entry'!H:H,SMALL($A:$A,ROWS($6:33))))</f>
        <v/>
      </c>
      <c r="C33" s="27" t="str">
        <f>IF(ROWS($6:33)&gt;COUNT($A:$A),"",INDEX('Data entry'!BJ:BJ,SMALL($A:$A,ROWS($6:33))))</f>
        <v/>
      </c>
      <c r="D33" s="87" t="str">
        <f>IF(ROWS($6:33)&gt;COUNT($A:$A),"",INDEX('Data entry'!R:R,SMALL($A:$A,ROWS($6:33))))</f>
        <v/>
      </c>
      <c r="E33" s="27" t="str">
        <f>IF(ROWS($6:33)&gt;COUNT($A:$A),"",INDEX('Data entry'!BM:BM,SMALL($A:$A,ROWS($6:33))))</f>
        <v/>
      </c>
      <c r="F33" s="27" t="str">
        <f>IF(ROWS($6:33)&gt;COUNT($A:$A),"",INDEX('Data entry'!BK:BK,SMALL($A:$A,ROWS($6:33))))</f>
        <v/>
      </c>
      <c r="G33" s="27" t="str">
        <f>IF(ROWS($6:33)&gt;COUNT($A:$A),"",INDEX('Data entry'!BL:BL,SMALL($A:$A,ROWS($6:33))))</f>
        <v/>
      </c>
      <c r="H33" s="27" t="str">
        <f>IF(ROWS($6:33)&gt;COUNT($A:$A),"",INDEX('Data entry'!BN:BN,SMALL($A:$A,ROWS($6:33))))</f>
        <v/>
      </c>
      <c r="I33" s="87" t="str">
        <f>IF(ROWS($6:33)&gt;COUNT($A:$A),"",INDEX('Data entry'!S:S,SMALL($A:$A,ROWS($6:33))))</f>
        <v/>
      </c>
      <c r="J33" s="27" t="str">
        <f>IF(ROWS($6:33)&gt;COUNT($A:$A),"",INDEX('Data entry'!AR:AR,SMALL($A:$A,ROWS($6:33))))</f>
        <v/>
      </c>
    </row>
    <row r="34" spans="1:10" x14ac:dyDescent="0.2">
      <c r="A34" s="27" t="str">
        <f>IF(OR('Data entry'!B34="Probable", 'Data entry'!B34="Confirmed"),ROW(),"")</f>
        <v/>
      </c>
      <c r="B34" s="27" t="str">
        <f>IF(ROWS($6:34)&gt;COUNT($A:$A),"",INDEX('Data entry'!H:H,SMALL($A:$A,ROWS($6:34))))</f>
        <v/>
      </c>
      <c r="C34" s="27" t="str">
        <f>IF(ROWS($6:34)&gt;COUNT($A:$A),"",INDEX('Data entry'!BJ:BJ,SMALL($A:$A,ROWS($6:34))))</f>
        <v/>
      </c>
      <c r="D34" s="87" t="str">
        <f>IF(ROWS($6:34)&gt;COUNT($A:$A),"",INDEX('Data entry'!R:R,SMALL($A:$A,ROWS($6:34))))</f>
        <v/>
      </c>
      <c r="E34" s="27" t="str">
        <f>IF(ROWS($6:34)&gt;COUNT($A:$A),"",INDEX('Data entry'!BM:BM,SMALL($A:$A,ROWS($6:34))))</f>
        <v/>
      </c>
      <c r="F34" s="27" t="str">
        <f>IF(ROWS($6:34)&gt;COUNT($A:$A),"",INDEX('Data entry'!BK:BK,SMALL($A:$A,ROWS($6:34))))</f>
        <v/>
      </c>
      <c r="G34" s="27" t="str">
        <f>IF(ROWS($6:34)&gt;COUNT($A:$A),"",INDEX('Data entry'!BL:BL,SMALL($A:$A,ROWS($6:34))))</f>
        <v/>
      </c>
      <c r="H34" s="27" t="str">
        <f>IF(ROWS($6:34)&gt;COUNT($A:$A),"",INDEX('Data entry'!BN:BN,SMALL($A:$A,ROWS($6:34))))</f>
        <v/>
      </c>
      <c r="I34" s="87" t="str">
        <f>IF(ROWS($6:34)&gt;COUNT($A:$A),"",INDEX('Data entry'!S:S,SMALL($A:$A,ROWS($6:34))))</f>
        <v/>
      </c>
      <c r="J34" s="27" t="str">
        <f>IF(ROWS($6:34)&gt;COUNT($A:$A),"",INDEX('Data entry'!AR:AR,SMALL($A:$A,ROWS($6:34))))</f>
        <v/>
      </c>
    </row>
    <row r="35" spans="1:10" x14ac:dyDescent="0.2">
      <c r="A35" s="27" t="str">
        <f>IF(OR('Data entry'!B35="Probable", 'Data entry'!B35="Confirmed"),ROW(),"")</f>
        <v/>
      </c>
      <c r="B35" s="27" t="str">
        <f>IF(ROWS($6:35)&gt;COUNT($A:$A),"",INDEX('Data entry'!H:H,SMALL($A:$A,ROWS($6:35))))</f>
        <v/>
      </c>
      <c r="C35" s="27" t="str">
        <f>IF(ROWS($6:35)&gt;COUNT($A:$A),"",INDEX('Data entry'!BJ:BJ,SMALL($A:$A,ROWS($6:35))))</f>
        <v/>
      </c>
      <c r="D35" s="87" t="str">
        <f>IF(ROWS($6:35)&gt;COUNT($A:$A),"",INDEX('Data entry'!R:R,SMALL($A:$A,ROWS($6:35))))</f>
        <v/>
      </c>
      <c r="E35" s="27" t="str">
        <f>IF(ROWS($6:35)&gt;COUNT($A:$A),"",INDEX('Data entry'!BM:BM,SMALL($A:$A,ROWS($6:35))))</f>
        <v/>
      </c>
      <c r="F35" s="27" t="str">
        <f>IF(ROWS($6:35)&gt;COUNT($A:$A),"",INDEX('Data entry'!BK:BK,SMALL($A:$A,ROWS($6:35))))</f>
        <v/>
      </c>
      <c r="G35" s="27" t="str">
        <f>IF(ROWS($6:35)&gt;COUNT($A:$A),"",INDEX('Data entry'!BL:BL,SMALL($A:$A,ROWS($6:35))))</f>
        <v/>
      </c>
      <c r="H35" s="27" t="str">
        <f>IF(ROWS($6:35)&gt;COUNT($A:$A),"",INDEX('Data entry'!BN:BN,SMALL($A:$A,ROWS($6:35))))</f>
        <v/>
      </c>
      <c r="I35" s="87" t="str">
        <f>IF(ROWS($6:35)&gt;COUNT($A:$A),"",INDEX('Data entry'!S:S,SMALL($A:$A,ROWS($6:35))))</f>
        <v/>
      </c>
      <c r="J35" s="27" t="str">
        <f>IF(ROWS($6:35)&gt;COUNT($A:$A),"",INDEX('Data entry'!AR:AR,SMALL($A:$A,ROWS($6:35))))</f>
        <v/>
      </c>
    </row>
    <row r="36" spans="1:10" x14ac:dyDescent="0.2">
      <c r="A36" s="27" t="str">
        <f>IF(OR('Data entry'!B36="Probable", 'Data entry'!B36="Confirmed"),ROW(),"")</f>
        <v/>
      </c>
      <c r="B36" s="27" t="str">
        <f>IF(ROWS($6:36)&gt;COUNT($A:$A),"",INDEX('Data entry'!H:H,SMALL($A:$A,ROWS($6:36))))</f>
        <v/>
      </c>
      <c r="C36" s="27" t="str">
        <f>IF(ROWS($6:36)&gt;COUNT($A:$A),"",INDEX('Data entry'!BJ:BJ,SMALL($A:$A,ROWS($6:36))))</f>
        <v/>
      </c>
      <c r="D36" s="87" t="str">
        <f>IF(ROWS($6:36)&gt;COUNT($A:$A),"",INDEX('Data entry'!R:R,SMALL($A:$A,ROWS($6:36))))</f>
        <v/>
      </c>
      <c r="E36" s="27" t="str">
        <f>IF(ROWS($6:36)&gt;COUNT($A:$A),"",INDEX('Data entry'!BM:BM,SMALL($A:$A,ROWS($6:36))))</f>
        <v/>
      </c>
      <c r="F36" s="27" t="str">
        <f>IF(ROWS($6:36)&gt;COUNT($A:$A),"",INDEX('Data entry'!BK:BK,SMALL($A:$A,ROWS($6:36))))</f>
        <v/>
      </c>
      <c r="G36" s="27" t="str">
        <f>IF(ROWS($6:36)&gt;COUNT($A:$A),"",INDEX('Data entry'!BL:BL,SMALL($A:$A,ROWS($6:36))))</f>
        <v/>
      </c>
      <c r="H36" s="27" t="str">
        <f>IF(ROWS($6:36)&gt;COUNT($A:$A),"",INDEX('Data entry'!BN:BN,SMALL($A:$A,ROWS($6:36))))</f>
        <v/>
      </c>
      <c r="I36" s="87" t="str">
        <f>IF(ROWS($6:36)&gt;COUNT($A:$A),"",INDEX('Data entry'!S:S,SMALL($A:$A,ROWS($6:36))))</f>
        <v/>
      </c>
      <c r="J36" s="27" t="str">
        <f>IF(ROWS($6:36)&gt;COUNT($A:$A),"",INDEX('Data entry'!AR:AR,SMALL($A:$A,ROWS($6:36))))</f>
        <v/>
      </c>
    </row>
    <row r="37" spans="1:10" x14ac:dyDescent="0.2">
      <c r="A37" s="27" t="str">
        <f>IF(OR('Data entry'!B37="Probable", 'Data entry'!B37="Confirmed"),ROW(),"")</f>
        <v/>
      </c>
      <c r="B37" s="27" t="str">
        <f>IF(ROWS($6:37)&gt;COUNT($A:$A),"",INDEX('Data entry'!H:H,SMALL($A:$A,ROWS($6:37))))</f>
        <v/>
      </c>
      <c r="C37" s="27" t="str">
        <f>IF(ROWS($6:37)&gt;COUNT($A:$A),"",INDEX('Data entry'!BJ:BJ,SMALL($A:$A,ROWS($6:37))))</f>
        <v/>
      </c>
      <c r="D37" s="87" t="str">
        <f>IF(ROWS($6:37)&gt;COUNT($A:$A),"",INDEX('Data entry'!R:R,SMALL($A:$A,ROWS($6:37))))</f>
        <v/>
      </c>
      <c r="E37" s="27" t="str">
        <f>IF(ROWS($6:37)&gt;COUNT($A:$A),"",INDEX('Data entry'!BM:BM,SMALL($A:$A,ROWS($6:37))))</f>
        <v/>
      </c>
      <c r="F37" s="27" t="str">
        <f>IF(ROWS($6:37)&gt;COUNT($A:$A),"",INDEX('Data entry'!BK:BK,SMALL($A:$A,ROWS($6:37))))</f>
        <v/>
      </c>
      <c r="G37" s="27" t="str">
        <f>IF(ROWS($6:37)&gt;COUNT($A:$A),"",INDEX('Data entry'!BL:BL,SMALL($A:$A,ROWS($6:37))))</f>
        <v/>
      </c>
      <c r="H37" s="27" t="str">
        <f>IF(ROWS($6:37)&gt;COUNT($A:$A),"",INDEX('Data entry'!BN:BN,SMALL($A:$A,ROWS($6:37))))</f>
        <v/>
      </c>
      <c r="I37" s="87" t="str">
        <f>IF(ROWS($6:37)&gt;COUNT($A:$A),"",INDEX('Data entry'!S:S,SMALL($A:$A,ROWS($6:37))))</f>
        <v/>
      </c>
      <c r="J37" s="27" t="str">
        <f>IF(ROWS($6:37)&gt;COUNT($A:$A),"",INDEX('Data entry'!AR:AR,SMALL($A:$A,ROWS($6:37))))</f>
        <v/>
      </c>
    </row>
    <row r="38" spans="1:10" x14ac:dyDescent="0.2">
      <c r="A38" s="27" t="str">
        <f>IF(OR('Data entry'!B38="Probable", 'Data entry'!B38="Confirmed"),ROW(),"")</f>
        <v/>
      </c>
      <c r="B38" s="27" t="str">
        <f>IF(ROWS($6:38)&gt;COUNT($A:$A),"",INDEX('Data entry'!H:H,SMALL($A:$A,ROWS($6:38))))</f>
        <v/>
      </c>
      <c r="C38" s="27" t="str">
        <f>IF(ROWS($6:38)&gt;COUNT($A:$A),"",INDEX('Data entry'!BJ:BJ,SMALL($A:$A,ROWS($6:38))))</f>
        <v/>
      </c>
      <c r="D38" s="87" t="str">
        <f>IF(ROWS($6:38)&gt;COUNT($A:$A),"",INDEX('Data entry'!R:R,SMALL($A:$A,ROWS($6:38))))</f>
        <v/>
      </c>
      <c r="E38" s="27" t="str">
        <f>IF(ROWS($6:38)&gt;COUNT($A:$A),"",INDEX('Data entry'!BM:BM,SMALL($A:$A,ROWS($6:38))))</f>
        <v/>
      </c>
      <c r="F38" s="27" t="str">
        <f>IF(ROWS($6:38)&gt;COUNT($A:$A),"",INDEX('Data entry'!BK:BK,SMALL($A:$A,ROWS($6:38))))</f>
        <v/>
      </c>
      <c r="G38" s="27" t="str">
        <f>IF(ROWS($6:38)&gt;COUNT($A:$A),"",INDEX('Data entry'!BL:BL,SMALL($A:$A,ROWS($6:38))))</f>
        <v/>
      </c>
      <c r="H38" s="27" t="str">
        <f>IF(ROWS($6:38)&gt;COUNT($A:$A),"",INDEX('Data entry'!BN:BN,SMALL($A:$A,ROWS($6:38))))</f>
        <v/>
      </c>
      <c r="I38" s="87" t="str">
        <f>IF(ROWS($6:38)&gt;COUNT($A:$A),"",INDEX('Data entry'!S:S,SMALL($A:$A,ROWS($6:38))))</f>
        <v/>
      </c>
      <c r="J38" s="27" t="str">
        <f>IF(ROWS($6:38)&gt;COUNT($A:$A),"",INDEX('Data entry'!AR:AR,SMALL($A:$A,ROWS($6:38))))</f>
        <v/>
      </c>
    </row>
    <row r="39" spans="1:10" x14ac:dyDescent="0.2">
      <c r="A39" s="27" t="str">
        <f>IF(OR('Data entry'!B39="Probable", 'Data entry'!B39="Confirmed"),ROW(),"")</f>
        <v/>
      </c>
      <c r="B39" s="27" t="str">
        <f>IF(ROWS($6:39)&gt;COUNT($A:$A),"",INDEX('Data entry'!H:H,SMALL($A:$A,ROWS($6:39))))</f>
        <v/>
      </c>
      <c r="C39" s="27" t="str">
        <f>IF(ROWS($6:39)&gt;COUNT($A:$A),"",INDEX('Data entry'!BJ:BJ,SMALL($A:$A,ROWS($6:39))))</f>
        <v/>
      </c>
      <c r="D39" s="87" t="str">
        <f>IF(ROWS($6:39)&gt;COUNT($A:$A),"",INDEX('Data entry'!R:R,SMALL($A:$A,ROWS($6:39))))</f>
        <v/>
      </c>
      <c r="E39" s="27" t="str">
        <f>IF(ROWS($6:39)&gt;COUNT($A:$A),"",INDEX('Data entry'!BM:BM,SMALL($A:$A,ROWS($6:39))))</f>
        <v/>
      </c>
      <c r="F39" s="27" t="str">
        <f>IF(ROWS($6:39)&gt;COUNT($A:$A),"",INDEX('Data entry'!BK:BK,SMALL($A:$A,ROWS($6:39))))</f>
        <v/>
      </c>
      <c r="G39" s="27" t="str">
        <f>IF(ROWS($6:39)&gt;COUNT($A:$A),"",INDEX('Data entry'!BL:BL,SMALL($A:$A,ROWS($6:39))))</f>
        <v/>
      </c>
      <c r="H39" s="27" t="str">
        <f>IF(ROWS($6:39)&gt;COUNT($A:$A),"",INDEX('Data entry'!BN:BN,SMALL($A:$A,ROWS($6:39))))</f>
        <v/>
      </c>
      <c r="I39" s="87" t="str">
        <f>IF(ROWS($6:39)&gt;COUNT($A:$A),"",INDEX('Data entry'!S:S,SMALL($A:$A,ROWS($6:39))))</f>
        <v/>
      </c>
      <c r="J39" s="27" t="str">
        <f>IF(ROWS($6:39)&gt;COUNT($A:$A),"",INDEX('Data entry'!AR:AR,SMALL($A:$A,ROWS($6:39))))</f>
        <v/>
      </c>
    </row>
    <row r="40" spans="1:10" x14ac:dyDescent="0.2">
      <c r="A40" s="27" t="str">
        <f>IF(OR('Data entry'!B40="Probable", 'Data entry'!B40="Confirmed"),ROW(),"")</f>
        <v/>
      </c>
      <c r="B40" s="27" t="str">
        <f>IF(ROWS($6:40)&gt;COUNT($A:$A),"",INDEX('Data entry'!H:H,SMALL($A:$A,ROWS($6:40))))</f>
        <v/>
      </c>
      <c r="C40" s="27" t="str">
        <f>IF(ROWS($6:40)&gt;COUNT($A:$A),"",INDEX('Data entry'!BJ:BJ,SMALL($A:$A,ROWS($6:40))))</f>
        <v/>
      </c>
      <c r="D40" s="87" t="str">
        <f>IF(ROWS($6:40)&gt;COUNT($A:$A),"",INDEX('Data entry'!R:R,SMALL($A:$A,ROWS($6:40))))</f>
        <v/>
      </c>
      <c r="E40" s="27" t="str">
        <f>IF(ROWS($6:40)&gt;COUNT($A:$A),"",INDEX('Data entry'!BM:BM,SMALL($A:$A,ROWS($6:40))))</f>
        <v/>
      </c>
      <c r="F40" s="27" t="str">
        <f>IF(ROWS($6:40)&gt;COUNT($A:$A),"",INDEX('Data entry'!BK:BK,SMALL($A:$A,ROWS($6:40))))</f>
        <v/>
      </c>
      <c r="G40" s="27" t="str">
        <f>IF(ROWS($6:40)&gt;COUNT($A:$A),"",INDEX('Data entry'!BL:BL,SMALL($A:$A,ROWS($6:40))))</f>
        <v/>
      </c>
      <c r="H40" s="27" t="str">
        <f>IF(ROWS($6:40)&gt;COUNT($A:$A),"",INDEX('Data entry'!BN:BN,SMALL($A:$A,ROWS($6:40))))</f>
        <v/>
      </c>
      <c r="I40" s="87" t="str">
        <f>IF(ROWS($6:40)&gt;COUNT($A:$A),"",INDEX('Data entry'!S:S,SMALL($A:$A,ROWS($6:40))))</f>
        <v/>
      </c>
      <c r="J40" s="27" t="str">
        <f>IF(ROWS($6:40)&gt;COUNT($A:$A),"",INDEX('Data entry'!AR:AR,SMALL($A:$A,ROWS($6:40))))</f>
        <v/>
      </c>
    </row>
    <row r="41" spans="1:10" x14ac:dyDescent="0.2">
      <c r="A41" s="27" t="str">
        <f>IF(OR('Data entry'!B41="Probable", 'Data entry'!B41="Confirmed"),ROW(),"")</f>
        <v/>
      </c>
      <c r="B41" s="27" t="str">
        <f>IF(ROWS($6:41)&gt;COUNT($A:$A),"",INDEX('Data entry'!H:H,SMALL($A:$A,ROWS($6:41))))</f>
        <v/>
      </c>
      <c r="C41" s="27" t="str">
        <f>IF(ROWS($6:41)&gt;COUNT($A:$A),"",INDEX('Data entry'!BJ:BJ,SMALL($A:$A,ROWS($6:41))))</f>
        <v/>
      </c>
      <c r="D41" s="87" t="str">
        <f>IF(ROWS($6:41)&gt;COUNT($A:$A),"",INDEX('Data entry'!R:R,SMALL($A:$A,ROWS($6:41))))</f>
        <v/>
      </c>
      <c r="E41" s="27" t="str">
        <f>IF(ROWS($6:41)&gt;COUNT($A:$A),"",INDEX('Data entry'!BM:BM,SMALL($A:$A,ROWS($6:41))))</f>
        <v/>
      </c>
      <c r="F41" s="27" t="str">
        <f>IF(ROWS($6:41)&gt;COUNT($A:$A),"",INDEX('Data entry'!BK:BK,SMALL($A:$A,ROWS($6:41))))</f>
        <v/>
      </c>
      <c r="G41" s="27" t="str">
        <f>IF(ROWS($6:41)&gt;COUNT($A:$A),"",INDEX('Data entry'!BL:BL,SMALL($A:$A,ROWS($6:41))))</f>
        <v/>
      </c>
      <c r="H41" s="27" t="str">
        <f>IF(ROWS($6:41)&gt;COUNT($A:$A),"",INDEX('Data entry'!BN:BN,SMALL($A:$A,ROWS($6:41))))</f>
        <v/>
      </c>
      <c r="I41" s="87" t="str">
        <f>IF(ROWS($6:41)&gt;COUNT($A:$A),"",INDEX('Data entry'!S:S,SMALL($A:$A,ROWS($6:41))))</f>
        <v/>
      </c>
      <c r="J41" s="27" t="str">
        <f>IF(ROWS($6:41)&gt;COUNT($A:$A),"",INDEX('Data entry'!AR:AR,SMALL($A:$A,ROWS($6:41))))</f>
        <v/>
      </c>
    </row>
    <row r="42" spans="1:10" x14ac:dyDescent="0.2">
      <c r="A42" s="27" t="str">
        <f>IF(OR('Data entry'!B42="Probable", 'Data entry'!B42="Confirmed"),ROW(),"")</f>
        <v/>
      </c>
      <c r="B42" s="27" t="str">
        <f>IF(ROWS($6:42)&gt;COUNT($A:$A),"",INDEX('Data entry'!H:H,SMALL($A:$A,ROWS($6:42))))</f>
        <v/>
      </c>
      <c r="C42" s="27" t="str">
        <f>IF(ROWS($6:42)&gt;COUNT($A:$A),"",INDEX('Data entry'!BJ:BJ,SMALL($A:$A,ROWS($6:42))))</f>
        <v/>
      </c>
      <c r="D42" s="87" t="str">
        <f>IF(ROWS($6:42)&gt;COUNT($A:$A),"",INDEX('Data entry'!R:R,SMALL($A:$A,ROWS($6:42))))</f>
        <v/>
      </c>
      <c r="E42" s="27" t="str">
        <f>IF(ROWS($6:42)&gt;COUNT($A:$A),"",INDEX('Data entry'!BM:BM,SMALL($A:$A,ROWS($6:42))))</f>
        <v/>
      </c>
      <c r="F42" s="27" t="str">
        <f>IF(ROWS($6:42)&gt;COUNT($A:$A),"",INDEX('Data entry'!BK:BK,SMALL($A:$A,ROWS($6:42))))</f>
        <v/>
      </c>
      <c r="G42" s="27" t="str">
        <f>IF(ROWS($6:42)&gt;COUNT($A:$A),"",INDEX('Data entry'!BL:BL,SMALL($A:$A,ROWS($6:42))))</f>
        <v/>
      </c>
      <c r="H42" s="27" t="str">
        <f>IF(ROWS($6:42)&gt;COUNT($A:$A),"",INDEX('Data entry'!BN:BN,SMALL($A:$A,ROWS($6:42))))</f>
        <v/>
      </c>
      <c r="I42" s="87" t="str">
        <f>IF(ROWS($6:42)&gt;COUNT($A:$A),"",INDEX('Data entry'!S:S,SMALL($A:$A,ROWS($6:42))))</f>
        <v/>
      </c>
      <c r="J42" s="27" t="str">
        <f>IF(ROWS($6:42)&gt;COUNT($A:$A),"",INDEX('Data entry'!AR:AR,SMALL($A:$A,ROWS($6:42))))</f>
        <v/>
      </c>
    </row>
    <row r="43" spans="1:10" x14ac:dyDescent="0.2">
      <c r="A43" s="27" t="str">
        <f>IF(OR('Data entry'!B43="Probable", 'Data entry'!B43="Confirmed"),ROW(),"")</f>
        <v/>
      </c>
      <c r="B43" s="27" t="str">
        <f>IF(ROWS($6:43)&gt;COUNT($A:$A),"",INDEX('Data entry'!H:H,SMALL($A:$A,ROWS($6:43))))</f>
        <v/>
      </c>
      <c r="C43" s="27" t="str">
        <f>IF(ROWS($6:43)&gt;COUNT($A:$A),"",INDEX('Data entry'!BJ:BJ,SMALL($A:$A,ROWS($6:43))))</f>
        <v/>
      </c>
      <c r="D43" s="87" t="str">
        <f>IF(ROWS($6:43)&gt;COUNT($A:$A),"",INDEX('Data entry'!R:R,SMALL($A:$A,ROWS($6:43))))</f>
        <v/>
      </c>
      <c r="E43" s="27" t="str">
        <f>IF(ROWS($6:43)&gt;COUNT($A:$A),"",INDEX('Data entry'!BM:BM,SMALL($A:$A,ROWS($6:43))))</f>
        <v/>
      </c>
      <c r="F43" s="27" t="str">
        <f>IF(ROWS($6:43)&gt;COUNT($A:$A),"",INDEX('Data entry'!BK:BK,SMALL($A:$A,ROWS($6:43))))</f>
        <v/>
      </c>
      <c r="G43" s="27" t="str">
        <f>IF(ROWS($6:43)&gt;COUNT($A:$A),"",INDEX('Data entry'!BL:BL,SMALL($A:$A,ROWS($6:43))))</f>
        <v/>
      </c>
      <c r="H43" s="27" t="str">
        <f>IF(ROWS($6:43)&gt;COUNT($A:$A),"",INDEX('Data entry'!BN:BN,SMALL($A:$A,ROWS($6:43))))</f>
        <v/>
      </c>
      <c r="I43" s="87" t="str">
        <f>IF(ROWS($6:43)&gt;COUNT($A:$A),"",INDEX('Data entry'!S:S,SMALL($A:$A,ROWS($6:43))))</f>
        <v/>
      </c>
      <c r="J43" s="27" t="str">
        <f>IF(ROWS($6:43)&gt;COUNT($A:$A),"",INDEX('Data entry'!AR:AR,SMALL($A:$A,ROWS($6:43))))</f>
        <v/>
      </c>
    </row>
    <row r="44" spans="1:10" x14ac:dyDescent="0.2">
      <c r="A44" s="27" t="str">
        <f>IF(OR('Data entry'!B44="Probable", 'Data entry'!B44="Confirmed"),ROW(),"")</f>
        <v/>
      </c>
      <c r="B44" s="27" t="str">
        <f>IF(ROWS($6:44)&gt;COUNT($A:$A),"",INDEX('Data entry'!H:H,SMALL($A:$A,ROWS($6:44))))</f>
        <v/>
      </c>
      <c r="C44" s="27" t="str">
        <f>IF(ROWS($6:44)&gt;COUNT($A:$A),"",INDEX('Data entry'!BJ:BJ,SMALL($A:$A,ROWS($6:44))))</f>
        <v/>
      </c>
      <c r="D44" s="87" t="str">
        <f>IF(ROWS($6:44)&gt;COUNT($A:$A),"",INDEX('Data entry'!R:R,SMALL($A:$A,ROWS($6:44))))</f>
        <v/>
      </c>
      <c r="E44" s="27" t="str">
        <f>IF(ROWS($6:44)&gt;COUNT($A:$A),"",INDEX('Data entry'!BM:BM,SMALL($A:$A,ROWS($6:44))))</f>
        <v/>
      </c>
      <c r="F44" s="27" t="str">
        <f>IF(ROWS($6:44)&gt;COUNT($A:$A),"",INDEX('Data entry'!BK:BK,SMALL($A:$A,ROWS($6:44))))</f>
        <v/>
      </c>
      <c r="G44" s="27" t="str">
        <f>IF(ROWS($6:44)&gt;COUNT($A:$A),"",INDEX('Data entry'!BL:BL,SMALL($A:$A,ROWS($6:44))))</f>
        <v/>
      </c>
      <c r="H44" s="27" t="str">
        <f>IF(ROWS($6:44)&gt;COUNT($A:$A),"",INDEX('Data entry'!BN:BN,SMALL($A:$A,ROWS($6:44))))</f>
        <v/>
      </c>
      <c r="I44" s="87" t="str">
        <f>IF(ROWS($6:44)&gt;COUNT($A:$A),"",INDEX('Data entry'!S:S,SMALL($A:$A,ROWS($6:44))))</f>
        <v/>
      </c>
      <c r="J44" s="27" t="str">
        <f>IF(ROWS($6:44)&gt;COUNT($A:$A),"",INDEX('Data entry'!AR:AR,SMALL($A:$A,ROWS($6:44))))</f>
        <v/>
      </c>
    </row>
    <row r="45" spans="1:10" x14ac:dyDescent="0.2">
      <c r="A45" s="27" t="str">
        <f>IF(OR('Data entry'!B45="Probable", 'Data entry'!B45="Confirmed"),ROW(),"")</f>
        <v/>
      </c>
      <c r="B45" s="27" t="str">
        <f>IF(ROWS($6:45)&gt;COUNT($A:$A),"",INDEX('Data entry'!H:H,SMALL($A:$A,ROWS($6:45))))</f>
        <v/>
      </c>
      <c r="C45" s="27" t="str">
        <f>IF(ROWS($6:45)&gt;COUNT($A:$A),"",INDEX('Data entry'!BJ:BJ,SMALL($A:$A,ROWS($6:45))))</f>
        <v/>
      </c>
      <c r="D45" s="87" t="str">
        <f>IF(ROWS($6:45)&gt;COUNT($A:$A),"",INDEX('Data entry'!R:R,SMALL($A:$A,ROWS($6:45))))</f>
        <v/>
      </c>
      <c r="E45" s="27" t="str">
        <f>IF(ROWS($6:45)&gt;COUNT($A:$A),"",INDEX('Data entry'!BM:BM,SMALL($A:$A,ROWS($6:45))))</f>
        <v/>
      </c>
      <c r="F45" s="27" t="str">
        <f>IF(ROWS($6:45)&gt;COUNT($A:$A),"",INDEX('Data entry'!BK:BK,SMALL($A:$A,ROWS($6:45))))</f>
        <v/>
      </c>
      <c r="G45" s="27" t="str">
        <f>IF(ROWS($6:45)&gt;COUNT($A:$A),"",INDEX('Data entry'!BL:BL,SMALL($A:$A,ROWS($6:45))))</f>
        <v/>
      </c>
      <c r="H45" s="27" t="str">
        <f>IF(ROWS($6:45)&gt;COUNT($A:$A),"",INDEX('Data entry'!BN:BN,SMALL($A:$A,ROWS($6:45))))</f>
        <v/>
      </c>
      <c r="I45" s="87" t="str">
        <f>IF(ROWS($6:45)&gt;COUNT($A:$A),"",INDEX('Data entry'!S:S,SMALL($A:$A,ROWS($6:45))))</f>
        <v/>
      </c>
      <c r="J45" s="27" t="str">
        <f>IF(ROWS($6:45)&gt;COUNT($A:$A),"",INDEX('Data entry'!AR:AR,SMALL($A:$A,ROWS($6:45))))</f>
        <v/>
      </c>
    </row>
    <row r="46" spans="1:10" x14ac:dyDescent="0.2">
      <c r="A46" s="27" t="str">
        <f>IF(OR('Data entry'!B46="Probable", 'Data entry'!B46="Confirmed"),ROW(),"")</f>
        <v/>
      </c>
      <c r="B46" s="27" t="str">
        <f>IF(ROWS($6:46)&gt;COUNT($A:$A),"",INDEX('Data entry'!H:H,SMALL($A:$A,ROWS($6:46))))</f>
        <v/>
      </c>
      <c r="C46" s="27" t="str">
        <f>IF(ROWS($6:46)&gt;COUNT($A:$A),"",INDEX('Data entry'!BJ:BJ,SMALL($A:$A,ROWS($6:46))))</f>
        <v/>
      </c>
      <c r="D46" s="87" t="str">
        <f>IF(ROWS($6:46)&gt;COUNT($A:$A),"",INDEX('Data entry'!R:R,SMALL($A:$A,ROWS($6:46))))</f>
        <v/>
      </c>
      <c r="E46" s="27" t="str">
        <f>IF(ROWS($6:46)&gt;COUNT($A:$A),"",INDEX('Data entry'!BM:BM,SMALL($A:$A,ROWS($6:46))))</f>
        <v/>
      </c>
      <c r="F46" s="27" t="str">
        <f>IF(ROWS($6:46)&gt;COUNT($A:$A),"",INDEX('Data entry'!BK:BK,SMALL($A:$A,ROWS($6:46))))</f>
        <v/>
      </c>
      <c r="G46" s="27" t="str">
        <f>IF(ROWS($6:46)&gt;COUNT($A:$A),"",INDEX('Data entry'!BL:BL,SMALL($A:$A,ROWS($6:46))))</f>
        <v/>
      </c>
      <c r="H46" s="27" t="str">
        <f>IF(ROWS($6:46)&gt;COUNT($A:$A),"",INDEX('Data entry'!BN:BN,SMALL($A:$A,ROWS($6:46))))</f>
        <v/>
      </c>
      <c r="I46" s="87" t="str">
        <f>IF(ROWS($6:46)&gt;COUNT($A:$A),"",INDEX('Data entry'!S:S,SMALL($A:$A,ROWS($6:46))))</f>
        <v/>
      </c>
      <c r="J46" s="27" t="str">
        <f>IF(ROWS($6:46)&gt;COUNT($A:$A),"",INDEX('Data entry'!AR:AR,SMALL($A:$A,ROWS($6:46))))</f>
        <v/>
      </c>
    </row>
    <row r="47" spans="1:10" x14ac:dyDescent="0.2">
      <c r="A47" s="27" t="str">
        <f>IF(OR('Data entry'!B47="Probable", 'Data entry'!B47="Confirmed"),ROW(),"")</f>
        <v/>
      </c>
      <c r="B47" s="27" t="str">
        <f>IF(ROWS($6:47)&gt;COUNT($A:$A),"",INDEX('Data entry'!H:H,SMALL($A:$A,ROWS($6:47))))</f>
        <v/>
      </c>
      <c r="C47" s="27" t="str">
        <f>IF(ROWS($6:47)&gt;COUNT($A:$A),"",INDEX('Data entry'!BJ:BJ,SMALL($A:$A,ROWS($6:47))))</f>
        <v/>
      </c>
      <c r="D47" s="87" t="str">
        <f>IF(ROWS($6:47)&gt;COUNT($A:$A),"",INDEX('Data entry'!R:R,SMALL($A:$A,ROWS($6:47))))</f>
        <v/>
      </c>
      <c r="E47" s="27" t="str">
        <f>IF(ROWS($6:47)&gt;COUNT($A:$A),"",INDEX('Data entry'!BM:BM,SMALL($A:$A,ROWS($6:47))))</f>
        <v/>
      </c>
      <c r="F47" s="27" t="str">
        <f>IF(ROWS($6:47)&gt;COUNT($A:$A),"",INDEX('Data entry'!BK:BK,SMALL($A:$A,ROWS($6:47))))</f>
        <v/>
      </c>
      <c r="G47" s="27" t="str">
        <f>IF(ROWS($6:47)&gt;COUNT($A:$A),"",INDEX('Data entry'!BL:BL,SMALL($A:$A,ROWS($6:47))))</f>
        <v/>
      </c>
      <c r="H47" s="27" t="str">
        <f>IF(ROWS($6:47)&gt;COUNT($A:$A),"",INDEX('Data entry'!BN:BN,SMALL($A:$A,ROWS($6:47))))</f>
        <v/>
      </c>
      <c r="I47" s="87" t="str">
        <f>IF(ROWS($6:47)&gt;COUNT($A:$A),"",INDEX('Data entry'!S:S,SMALL($A:$A,ROWS($6:47))))</f>
        <v/>
      </c>
      <c r="J47" s="27" t="str">
        <f>IF(ROWS($6:47)&gt;COUNT($A:$A),"",INDEX('Data entry'!AR:AR,SMALL($A:$A,ROWS($6:47))))</f>
        <v/>
      </c>
    </row>
    <row r="48" spans="1:10" x14ac:dyDescent="0.2">
      <c r="A48" s="27" t="str">
        <f>IF(OR('Data entry'!B48="Probable", 'Data entry'!B48="Confirmed"),ROW(),"")</f>
        <v/>
      </c>
      <c r="B48" s="27" t="str">
        <f>IF(ROWS($6:48)&gt;COUNT($A:$A),"",INDEX('Data entry'!H:H,SMALL($A:$A,ROWS($6:48))))</f>
        <v/>
      </c>
      <c r="C48" s="27" t="str">
        <f>IF(ROWS($6:48)&gt;COUNT($A:$A),"",INDEX('Data entry'!BJ:BJ,SMALL($A:$A,ROWS($6:48))))</f>
        <v/>
      </c>
      <c r="D48" s="87" t="str">
        <f>IF(ROWS($6:48)&gt;COUNT($A:$A),"",INDEX('Data entry'!R:R,SMALL($A:$A,ROWS($6:48))))</f>
        <v/>
      </c>
      <c r="E48" s="27" t="str">
        <f>IF(ROWS($6:48)&gt;COUNT($A:$A),"",INDEX('Data entry'!BM:BM,SMALL($A:$A,ROWS($6:48))))</f>
        <v/>
      </c>
      <c r="F48" s="27" t="str">
        <f>IF(ROWS($6:48)&gt;COUNT($A:$A),"",INDEX('Data entry'!BK:BK,SMALL($A:$A,ROWS($6:48))))</f>
        <v/>
      </c>
      <c r="G48" s="27" t="str">
        <f>IF(ROWS($6:48)&gt;COUNT($A:$A),"",INDEX('Data entry'!BL:BL,SMALL($A:$A,ROWS($6:48))))</f>
        <v/>
      </c>
      <c r="H48" s="27" t="str">
        <f>IF(ROWS($6:48)&gt;COUNT($A:$A),"",INDEX('Data entry'!BN:BN,SMALL($A:$A,ROWS($6:48))))</f>
        <v/>
      </c>
      <c r="I48" s="87" t="str">
        <f>IF(ROWS($6:48)&gt;COUNT($A:$A),"",INDEX('Data entry'!S:S,SMALL($A:$A,ROWS($6:48))))</f>
        <v/>
      </c>
      <c r="J48" s="27" t="str">
        <f>IF(ROWS($6:48)&gt;COUNT($A:$A),"",INDEX('Data entry'!AR:AR,SMALL($A:$A,ROWS($6:48))))</f>
        <v/>
      </c>
    </row>
    <row r="49" spans="1:10" x14ac:dyDescent="0.2">
      <c r="A49" s="27" t="str">
        <f>IF(OR('Data entry'!B49="Probable", 'Data entry'!B49="Confirmed"),ROW(),"")</f>
        <v/>
      </c>
      <c r="B49" s="27" t="str">
        <f>IF(ROWS($6:49)&gt;COUNT($A:$A),"",INDEX('Data entry'!H:H,SMALL($A:$A,ROWS($6:49))))</f>
        <v/>
      </c>
      <c r="C49" s="27" t="str">
        <f>IF(ROWS($6:49)&gt;COUNT($A:$A),"",INDEX('Data entry'!BJ:BJ,SMALL($A:$A,ROWS($6:49))))</f>
        <v/>
      </c>
      <c r="D49" s="87" t="str">
        <f>IF(ROWS($6:49)&gt;COUNT($A:$A),"",INDEX('Data entry'!R:R,SMALL($A:$A,ROWS($6:49))))</f>
        <v/>
      </c>
      <c r="E49" s="27" t="str">
        <f>IF(ROWS($6:49)&gt;COUNT($A:$A),"",INDEX('Data entry'!BM:BM,SMALL($A:$A,ROWS($6:49))))</f>
        <v/>
      </c>
      <c r="F49" s="27" t="str">
        <f>IF(ROWS($6:49)&gt;COUNT($A:$A),"",INDEX('Data entry'!BK:BK,SMALL($A:$A,ROWS($6:49))))</f>
        <v/>
      </c>
      <c r="G49" s="27" t="str">
        <f>IF(ROWS($6:49)&gt;COUNT($A:$A),"",INDEX('Data entry'!BL:BL,SMALL($A:$A,ROWS($6:49))))</f>
        <v/>
      </c>
      <c r="H49" s="27" t="str">
        <f>IF(ROWS($6:49)&gt;COUNT($A:$A),"",INDEX('Data entry'!BN:BN,SMALL($A:$A,ROWS($6:49))))</f>
        <v/>
      </c>
      <c r="I49" s="87" t="str">
        <f>IF(ROWS($6:49)&gt;COUNT($A:$A),"",INDEX('Data entry'!S:S,SMALL($A:$A,ROWS($6:49))))</f>
        <v/>
      </c>
      <c r="J49" s="27" t="str">
        <f>IF(ROWS($6:49)&gt;COUNT($A:$A),"",INDEX('Data entry'!AR:AR,SMALL($A:$A,ROWS($6:49))))</f>
        <v/>
      </c>
    </row>
    <row r="50" spans="1:10" x14ac:dyDescent="0.2">
      <c r="A50" s="27" t="str">
        <f>IF(OR('Data entry'!B50="Probable", 'Data entry'!B50="Confirmed"),ROW(),"")</f>
        <v/>
      </c>
      <c r="B50" s="27" t="str">
        <f>IF(ROWS($6:50)&gt;COUNT($A:$A),"",INDEX('Data entry'!H:H,SMALL($A:$A,ROWS($6:50))))</f>
        <v/>
      </c>
      <c r="C50" s="27" t="str">
        <f>IF(ROWS($6:50)&gt;COUNT($A:$A),"",INDEX('Data entry'!BJ:BJ,SMALL($A:$A,ROWS($6:50))))</f>
        <v/>
      </c>
      <c r="D50" s="87" t="str">
        <f>IF(ROWS($6:50)&gt;COUNT($A:$A),"",INDEX('Data entry'!R:R,SMALL($A:$A,ROWS($6:50))))</f>
        <v/>
      </c>
      <c r="E50" s="27" t="str">
        <f>IF(ROWS($6:50)&gt;COUNT($A:$A),"",INDEX('Data entry'!BM:BM,SMALL($A:$A,ROWS($6:50))))</f>
        <v/>
      </c>
      <c r="F50" s="27" t="str">
        <f>IF(ROWS($6:50)&gt;COUNT($A:$A),"",INDEX('Data entry'!BK:BK,SMALL($A:$A,ROWS($6:50))))</f>
        <v/>
      </c>
      <c r="G50" s="27" t="str">
        <f>IF(ROWS($6:50)&gt;COUNT($A:$A),"",INDEX('Data entry'!BL:BL,SMALL($A:$A,ROWS($6:50))))</f>
        <v/>
      </c>
      <c r="H50" s="27" t="str">
        <f>IF(ROWS($6:50)&gt;COUNT($A:$A),"",INDEX('Data entry'!BN:BN,SMALL($A:$A,ROWS($6:50))))</f>
        <v/>
      </c>
      <c r="I50" s="87" t="str">
        <f>IF(ROWS($6:50)&gt;COUNT($A:$A),"",INDEX('Data entry'!S:S,SMALL($A:$A,ROWS($6:50))))</f>
        <v/>
      </c>
      <c r="J50" s="27" t="str">
        <f>IF(ROWS($6:50)&gt;COUNT($A:$A),"",INDEX('Data entry'!AR:AR,SMALL($A:$A,ROWS($6:50))))</f>
        <v/>
      </c>
    </row>
    <row r="51" spans="1:10" x14ac:dyDescent="0.2">
      <c r="A51" s="27" t="str">
        <f>IF(OR('Data entry'!B51="Probable", 'Data entry'!B51="Confirmed"),ROW(),"")</f>
        <v/>
      </c>
      <c r="B51" s="27" t="str">
        <f>IF(ROWS($6:51)&gt;COUNT($A:$A),"",INDEX('Data entry'!H:H,SMALL($A:$A,ROWS($6:51))))</f>
        <v/>
      </c>
      <c r="C51" s="27" t="str">
        <f>IF(ROWS($6:51)&gt;COUNT($A:$A),"",INDEX('Data entry'!BJ:BJ,SMALL($A:$A,ROWS($6:51))))</f>
        <v/>
      </c>
      <c r="D51" s="87" t="str">
        <f>IF(ROWS($6:51)&gt;COUNT($A:$A),"",INDEX('Data entry'!R:R,SMALL($A:$A,ROWS($6:51))))</f>
        <v/>
      </c>
      <c r="E51" s="27" t="str">
        <f>IF(ROWS($6:51)&gt;COUNT($A:$A),"",INDEX('Data entry'!BM:BM,SMALL($A:$A,ROWS($6:51))))</f>
        <v/>
      </c>
      <c r="F51" s="27" t="str">
        <f>IF(ROWS($6:51)&gt;COUNT($A:$A),"",INDEX('Data entry'!BK:BK,SMALL($A:$A,ROWS($6:51))))</f>
        <v/>
      </c>
      <c r="G51" s="27" t="str">
        <f>IF(ROWS($6:51)&gt;COUNT($A:$A),"",INDEX('Data entry'!BL:BL,SMALL($A:$A,ROWS($6:51))))</f>
        <v/>
      </c>
      <c r="H51" s="27" t="str">
        <f>IF(ROWS($6:51)&gt;COUNT($A:$A),"",INDEX('Data entry'!BN:BN,SMALL($A:$A,ROWS($6:51))))</f>
        <v/>
      </c>
      <c r="I51" s="87" t="str">
        <f>IF(ROWS($6:51)&gt;COUNT($A:$A),"",INDEX('Data entry'!S:S,SMALL($A:$A,ROWS($6:51))))</f>
        <v/>
      </c>
      <c r="J51" s="27" t="str">
        <f>IF(ROWS($6:51)&gt;COUNT($A:$A),"",INDEX('Data entry'!AR:AR,SMALL($A:$A,ROWS($6:51))))</f>
        <v/>
      </c>
    </row>
    <row r="52" spans="1:10" x14ac:dyDescent="0.2">
      <c r="A52" s="27" t="str">
        <f>IF(OR('Data entry'!B52="Probable", 'Data entry'!B52="Confirmed"),ROW(),"")</f>
        <v/>
      </c>
      <c r="B52" s="27" t="str">
        <f>IF(ROWS($6:52)&gt;COUNT($A:$A),"",INDEX('Data entry'!H:H,SMALL($A:$A,ROWS($6:52))))</f>
        <v/>
      </c>
      <c r="C52" s="27" t="str">
        <f>IF(ROWS($6:52)&gt;COUNT($A:$A),"",INDEX('Data entry'!BJ:BJ,SMALL($A:$A,ROWS($6:52))))</f>
        <v/>
      </c>
      <c r="D52" s="87" t="str">
        <f>IF(ROWS($6:52)&gt;COUNT($A:$A),"",INDEX('Data entry'!R:R,SMALL($A:$A,ROWS($6:52))))</f>
        <v/>
      </c>
      <c r="E52" s="27" t="str">
        <f>IF(ROWS($6:52)&gt;COUNT($A:$A),"",INDEX('Data entry'!BM:BM,SMALL($A:$A,ROWS($6:52))))</f>
        <v/>
      </c>
      <c r="F52" s="27" t="str">
        <f>IF(ROWS($6:52)&gt;COUNT($A:$A),"",INDEX('Data entry'!BK:BK,SMALL($A:$A,ROWS($6:52))))</f>
        <v/>
      </c>
      <c r="G52" s="27" t="str">
        <f>IF(ROWS($6:52)&gt;COUNT($A:$A),"",INDEX('Data entry'!BL:BL,SMALL($A:$A,ROWS($6:52))))</f>
        <v/>
      </c>
      <c r="H52" s="27" t="str">
        <f>IF(ROWS($6:52)&gt;COUNT($A:$A),"",INDEX('Data entry'!BN:BN,SMALL($A:$A,ROWS($6:52))))</f>
        <v/>
      </c>
      <c r="I52" s="87" t="str">
        <f>IF(ROWS($6:52)&gt;COUNT($A:$A),"",INDEX('Data entry'!S:S,SMALL($A:$A,ROWS($6:52))))</f>
        <v/>
      </c>
      <c r="J52" s="27" t="str">
        <f>IF(ROWS($6:52)&gt;COUNT($A:$A),"",INDEX('Data entry'!AR:AR,SMALL($A:$A,ROWS($6:52))))</f>
        <v/>
      </c>
    </row>
    <row r="53" spans="1:10" x14ac:dyDescent="0.2">
      <c r="A53" s="27" t="str">
        <f>IF(OR('Data entry'!B53="Probable", 'Data entry'!B53="Confirmed"),ROW(),"")</f>
        <v/>
      </c>
      <c r="B53" s="27" t="str">
        <f>IF(ROWS($6:53)&gt;COUNT($A:$A),"",INDEX('Data entry'!H:H,SMALL($A:$A,ROWS($6:53))))</f>
        <v/>
      </c>
      <c r="C53" s="27" t="str">
        <f>IF(ROWS($6:53)&gt;COUNT($A:$A),"",INDEX('Data entry'!BJ:BJ,SMALL($A:$A,ROWS($6:53))))</f>
        <v/>
      </c>
      <c r="D53" s="87" t="str">
        <f>IF(ROWS($6:53)&gt;COUNT($A:$A),"",INDEX('Data entry'!R:R,SMALL($A:$A,ROWS($6:53))))</f>
        <v/>
      </c>
      <c r="E53" s="27" t="str">
        <f>IF(ROWS($6:53)&gt;COUNT($A:$A),"",INDEX('Data entry'!BM:BM,SMALL($A:$A,ROWS($6:53))))</f>
        <v/>
      </c>
      <c r="F53" s="27" t="str">
        <f>IF(ROWS($6:53)&gt;COUNT($A:$A),"",INDEX('Data entry'!BK:BK,SMALL($A:$A,ROWS($6:53))))</f>
        <v/>
      </c>
      <c r="G53" s="27" t="str">
        <f>IF(ROWS($6:53)&gt;COUNT($A:$A),"",INDEX('Data entry'!BL:BL,SMALL($A:$A,ROWS($6:53))))</f>
        <v/>
      </c>
      <c r="H53" s="27" t="str">
        <f>IF(ROWS($6:53)&gt;COUNT($A:$A),"",INDEX('Data entry'!BN:BN,SMALL($A:$A,ROWS($6:53))))</f>
        <v/>
      </c>
      <c r="I53" s="87" t="str">
        <f>IF(ROWS($6:53)&gt;COUNT($A:$A),"",INDEX('Data entry'!S:S,SMALL($A:$A,ROWS($6:53))))</f>
        <v/>
      </c>
      <c r="J53" s="27" t="str">
        <f>IF(ROWS($6:53)&gt;COUNT($A:$A),"",INDEX('Data entry'!AR:AR,SMALL($A:$A,ROWS($6:53))))</f>
        <v/>
      </c>
    </row>
    <row r="54" spans="1:10" x14ac:dyDescent="0.2">
      <c r="A54" s="27" t="str">
        <f>IF(OR('Data entry'!B54="Probable", 'Data entry'!B54="Confirmed"),ROW(),"")</f>
        <v/>
      </c>
      <c r="B54" s="27" t="str">
        <f>IF(ROWS($6:54)&gt;COUNT($A:$A),"",INDEX('Data entry'!H:H,SMALL($A:$A,ROWS($6:54))))</f>
        <v/>
      </c>
      <c r="C54" s="27" t="str">
        <f>IF(ROWS($6:54)&gt;COUNT($A:$A),"",INDEX('Data entry'!BJ:BJ,SMALL($A:$A,ROWS($6:54))))</f>
        <v/>
      </c>
      <c r="D54" s="87" t="str">
        <f>IF(ROWS($6:54)&gt;COUNT($A:$A),"",INDEX('Data entry'!R:R,SMALL($A:$A,ROWS($6:54))))</f>
        <v/>
      </c>
      <c r="E54" s="27" t="str">
        <f>IF(ROWS($6:54)&gt;COUNT($A:$A),"",INDEX('Data entry'!BM:BM,SMALL($A:$A,ROWS($6:54))))</f>
        <v/>
      </c>
      <c r="F54" s="27" t="str">
        <f>IF(ROWS($6:54)&gt;COUNT($A:$A),"",INDEX('Data entry'!BK:BK,SMALL($A:$A,ROWS($6:54))))</f>
        <v/>
      </c>
      <c r="G54" s="27" t="str">
        <f>IF(ROWS($6:54)&gt;COUNT($A:$A),"",INDEX('Data entry'!BL:BL,SMALL($A:$A,ROWS($6:54))))</f>
        <v/>
      </c>
      <c r="H54" s="27" t="str">
        <f>IF(ROWS($6:54)&gt;COUNT($A:$A),"",INDEX('Data entry'!BN:BN,SMALL($A:$A,ROWS($6:54))))</f>
        <v/>
      </c>
      <c r="I54" s="87" t="str">
        <f>IF(ROWS($6:54)&gt;COUNT($A:$A),"",INDEX('Data entry'!S:S,SMALL($A:$A,ROWS($6:54))))</f>
        <v/>
      </c>
      <c r="J54" s="27" t="str">
        <f>IF(ROWS($6:54)&gt;COUNT($A:$A),"",INDEX('Data entry'!AR:AR,SMALL($A:$A,ROWS($6:54))))</f>
        <v/>
      </c>
    </row>
    <row r="55" spans="1:10" x14ac:dyDescent="0.2">
      <c r="A55" s="27" t="str">
        <f>IF(OR('Data entry'!B55="Probable", 'Data entry'!B55="Confirmed"),ROW(),"")</f>
        <v/>
      </c>
      <c r="B55" s="27" t="str">
        <f>IF(ROWS($6:55)&gt;COUNT($A:$A),"",INDEX('Data entry'!H:H,SMALL($A:$A,ROWS($6:55))))</f>
        <v/>
      </c>
      <c r="C55" s="27" t="str">
        <f>IF(ROWS($6:55)&gt;COUNT($A:$A),"",INDEX('Data entry'!BJ:BJ,SMALL($A:$A,ROWS($6:55))))</f>
        <v/>
      </c>
      <c r="D55" s="87" t="str">
        <f>IF(ROWS($6:55)&gt;COUNT($A:$A),"",INDEX('Data entry'!R:R,SMALL($A:$A,ROWS($6:55))))</f>
        <v/>
      </c>
      <c r="E55" s="27" t="str">
        <f>IF(ROWS($6:55)&gt;COUNT($A:$A),"",INDEX('Data entry'!BM:BM,SMALL($A:$A,ROWS($6:55))))</f>
        <v/>
      </c>
      <c r="F55" s="27" t="str">
        <f>IF(ROWS($6:55)&gt;COUNT($A:$A),"",INDEX('Data entry'!BK:BK,SMALL($A:$A,ROWS($6:55))))</f>
        <v/>
      </c>
      <c r="G55" s="27" t="str">
        <f>IF(ROWS($6:55)&gt;COUNT($A:$A),"",INDEX('Data entry'!BL:BL,SMALL($A:$A,ROWS($6:55))))</f>
        <v/>
      </c>
      <c r="H55" s="27" t="str">
        <f>IF(ROWS($6:55)&gt;COUNT($A:$A),"",INDEX('Data entry'!BN:BN,SMALL($A:$A,ROWS($6:55))))</f>
        <v/>
      </c>
      <c r="I55" s="87" t="str">
        <f>IF(ROWS($6:55)&gt;COUNT($A:$A),"",INDEX('Data entry'!S:S,SMALL($A:$A,ROWS($6:55))))</f>
        <v/>
      </c>
      <c r="J55" s="27" t="str">
        <f>IF(ROWS($6:55)&gt;COUNT($A:$A),"",INDEX('Data entry'!AR:AR,SMALL($A:$A,ROWS($6:55))))</f>
        <v/>
      </c>
    </row>
    <row r="56" spans="1:10" x14ac:dyDescent="0.2">
      <c r="A56" s="27" t="str">
        <f>IF(OR('Data entry'!B56="Probable", 'Data entry'!B56="Confirmed"),ROW(),"")</f>
        <v/>
      </c>
      <c r="B56" s="27" t="str">
        <f>IF(ROWS($6:56)&gt;COUNT($A:$A),"",INDEX('Data entry'!H:H,SMALL($A:$A,ROWS($6:56))))</f>
        <v/>
      </c>
      <c r="C56" s="27" t="str">
        <f>IF(ROWS($6:56)&gt;COUNT($A:$A),"",INDEX('Data entry'!BJ:BJ,SMALL($A:$A,ROWS($6:56))))</f>
        <v/>
      </c>
      <c r="D56" s="87" t="str">
        <f>IF(ROWS($6:56)&gt;COUNT($A:$A),"",INDEX('Data entry'!R:R,SMALL($A:$A,ROWS($6:56))))</f>
        <v/>
      </c>
      <c r="E56" s="27" t="str">
        <f>IF(ROWS($6:56)&gt;COUNT($A:$A),"",INDEX('Data entry'!BM:BM,SMALL($A:$A,ROWS($6:56))))</f>
        <v/>
      </c>
      <c r="F56" s="27" t="str">
        <f>IF(ROWS($6:56)&gt;COUNT($A:$A),"",INDEX('Data entry'!BK:BK,SMALL($A:$A,ROWS($6:56))))</f>
        <v/>
      </c>
      <c r="G56" s="27" t="str">
        <f>IF(ROWS($6:56)&gt;COUNT($A:$A),"",INDEX('Data entry'!BL:BL,SMALL($A:$A,ROWS($6:56))))</f>
        <v/>
      </c>
      <c r="H56" s="27" t="str">
        <f>IF(ROWS($6:56)&gt;COUNT($A:$A),"",INDEX('Data entry'!BN:BN,SMALL($A:$A,ROWS($6:56))))</f>
        <v/>
      </c>
      <c r="I56" s="87" t="str">
        <f>IF(ROWS($6:56)&gt;COUNT($A:$A),"",INDEX('Data entry'!S:S,SMALL($A:$A,ROWS($6:56))))</f>
        <v/>
      </c>
      <c r="J56" s="27" t="str">
        <f>IF(ROWS($6:56)&gt;COUNT($A:$A),"",INDEX('Data entry'!AR:AR,SMALL($A:$A,ROWS($6:56))))</f>
        <v/>
      </c>
    </row>
    <row r="57" spans="1:10" x14ac:dyDescent="0.2">
      <c r="A57" s="27" t="str">
        <f>IF(OR('Data entry'!B57="Probable", 'Data entry'!B57="Confirmed"),ROW(),"")</f>
        <v/>
      </c>
      <c r="B57" s="27" t="str">
        <f>IF(ROWS($6:57)&gt;COUNT($A:$A),"",INDEX('Data entry'!H:H,SMALL($A:$A,ROWS($6:57))))</f>
        <v/>
      </c>
      <c r="C57" s="27" t="str">
        <f>IF(ROWS($6:57)&gt;COUNT($A:$A),"",INDEX('Data entry'!BJ:BJ,SMALL($A:$A,ROWS($6:57))))</f>
        <v/>
      </c>
      <c r="D57" s="87" t="str">
        <f>IF(ROWS($6:57)&gt;COUNT($A:$A),"",INDEX('Data entry'!R:R,SMALL($A:$A,ROWS($6:57))))</f>
        <v/>
      </c>
      <c r="E57" s="27" t="str">
        <f>IF(ROWS($6:57)&gt;COUNT($A:$A),"",INDEX('Data entry'!BM:BM,SMALL($A:$A,ROWS($6:57))))</f>
        <v/>
      </c>
      <c r="F57" s="27" t="str">
        <f>IF(ROWS($6:57)&gt;COUNT($A:$A),"",INDEX('Data entry'!BK:BK,SMALL($A:$A,ROWS($6:57))))</f>
        <v/>
      </c>
      <c r="G57" s="27" t="str">
        <f>IF(ROWS($6:57)&gt;COUNT($A:$A),"",INDEX('Data entry'!BL:BL,SMALL($A:$A,ROWS($6:57))))</f>
        <v/>
      </c>
      <c r="H57" s="27" t="str">
        <f>IF(ROWS($6:57)&gt;COUNT($A:$A),"",INDEX('Data entry'!BN:BN,SMALL($A:$A,ROWS($6:57))))</f>
        <v/>
      </c>
      <c r="I57" s="87" t="str">
        <f>IF(ROWS($6:57)&gt;COUNT($A:$A),"",INDEX('Data entry'!S:S,SMALL($A:$A,ROWS($6:57))))</f>
        <v/>
      </c>
      <c r="J57" s="27" t="str">
        <f>IF(ROWS($6:57)&gt;COUNT($A:$A),"",INDEX('Data entry'!AR:AR,SMALL($A:$A,ROWS($6:57))))</f>
        <v/>
      </c>
    </row>
    <row r="58" spans="1:10" x14ac:dyDescent="0.2">
      <c r="A58" s="27" t="str">
        <f>IF(OR('Data entry'!B58="Probable", 'Data entry'!B58="Confirmed"),ROW(),"")</f>
        <v/>
      </c>
      <c r="B58" s="27" t="str">
        <f>IF(ROWS($6:58)&gt;COUNT($A:$A),"",INDEX('Data entry'!H:H,SMALL($A:$A,ROWS($6:58))))</f>
        <v/>
      </c>
      <c r="C58" s="27" t="str">
        <f>IF(ROWS($6:58)&gt;COUNT($A:$A),"",INDEX('Data entry'!BJ:BJ,SMALL($A:$A,ROWS($6:58))))</f>
        <v/>
      </c>
      <c r="D58" s="87" t="str">
        <f>IF(ROWS($6:58)&gt;COUNT($A:$A),"",INDEX('Data entry'!R:R,SMALL($A:$A,ROWS($6:58))))</f>
        <v/>
      </c>
      <c r="E58" s="27" t="str">
        <f>IF(ROWS($6:58)&gt;COUNT($A:$A),"",INDEX('Data entry'!BM:BM,SMALL($A:$A,ROWS($6:58))))</f>
        <v/>
      </c>
      <c r="F58" s="27" t="str">
        <f>IF(ROWS($6:58)&gt;COUNT($A:$A),"",INDEX('Data entry'!BK:BK,SMALL($A:$A,ROWS($6:58))))</f>
        <v/>
      </c>
      <c r="G58" s="27" t="str">
        <f>IF(ROWS($6:58)&gt;COUNT($A:$A),"",INDEX('Data entry'!BL:BL,SMALL($A:$A,ROWS($6:58))))</f>
        <v/>
      </c>
      <c r="H58" s="27" t="str">
        <f>IF(ROWS($6:58)&gt;COUNT($A:$A),"",INDEX('Data entry'!BN:BN,SMALL($A:$A,ROWS($6:58))))</f>
        <v/>
      </c>
      <c r="I58" s="87" t="str">
        <f>IF(ROWS($6:58)&gt;COUNT($A:$A),"",INDEX('Data entry'!S:S,SMALL($A:$A,ROWS($6:58))))</f>
        <v/>
      </c>
      <c r="J58" s="27" t="str">
        <f>IF(ROWS($6:58)&gt;COUNT($A:$A),"",INDEX('Data entry'!AR:AR,SMALL($A:$A,ROWS($6:58))))</f>
        <v/>
      </c>
    </row>
    <row r="59" spans="1:10" x14ac:dyDescent="0.2">
      <c r="A59" s="27" t="str">
        <f>IF(OR('Data entry'!B59="Probable", 'Data entry'!B59="Confirmed"),ROW(),"")</f>
        <v/>
      </c>
      <c r="B59" s="27" t="str">
        <f>IF(ROWS($6:59)&gt;COUNT($A:$A),"",INDEX('Data entry'!H:H,SMALL($A:$A,ROWS($6:59))))</f>
        <v/>
      </c>
      <c r="C59" s="27" t="str">
        <f>IF(ROWS($6:59)&gt;COUNT($A:$A),"",INDEX('Data entry'!BJ:BJ,SMALL($A:$A,ROWS($6:59))))</f>
        <v/>
      </c>
      <c r="D59" s="87" t="str">
        <f>IF(ROWS($6:59)&gt;COUNT($A:$A),"",INDEX('Data entry'!R:R,SMALL($A:$A,ROWS($6:59))))</f>
        <v/>
      </c>
      <c r="E59" s="27" t="str">
        <f>IF(ROWS($6:59)&gt;COUNT($A:$A),"",INDEX('Data entry'!BM:BM,SMALL($A:$A,ROWS($6:59))))</f>
        <v/>
      </c>
      <c r="F59" s="27" t="str">
        <f>IF(ROWS($6:59)&gt;COUNT($A:$A),"",INDEX('Data entry'!BK:BK,SMALL($A:$A,ROWS($6:59))))</f>
        <v/>
      </c>
      <c r="G59" s="27" t="str">
        <f>IF(ROWS($6:59)&gt;COUNT($A:$A),"",INDEX('Data entry'!BL:BL,SMALL($A:$A,ROWS($6:59))))</f>
        <v/>
      </c>
      <c r="H59" s="27" t="str">
        <f>IF(ROWS($6:59)&gt;COUNT($A:$A),"",INDEX('Data entry'!BN:BN,SMALL($A:$A,ROWS($6:59))))</f>
        <v/>
      </c>
      <c r="I59" s="87" t="str">
        <f>IF(ROWS($6:59)&gt;COUNT($A:$A),"",INDEX('Data entry'!S:S,SMALL($A:$A,ROWS($6:59))))</f>
        <v/>
      </c>
      <c r="J59" s="27" t="str">
        <f>IF(ROWS($6:59)&gt;COUNT($A:$A),"",INDEX('Data entry'!AR:AR,SMALL($A:$A,ROWS($6:59))))</f>
        <v/>
      </c>
    </row>
    <row r="60" spans="1:10" x14ac:dyDescent="0.2">
      <c r="A60" s="27" t="str">
        <f>IF(OR('Data entry'!B60="Probable", 'Data entry'!B60="Confirmed"),ROW(),"")</f>
        <v/>
      </c>
      <c r="B60" s="27" t="str">
        <f>IF(ROWS($6:60)&gt;COUNT($A:$A),"",INDEX('Data entry'!H:H,SMALL($A:$A,ROWS($6:60))))</f>
        <v/>
      </c>
      <c r="C60" s="27" t="str">
        <f>IF(ROWS($6:60)&gt;COUNT($A:$A),"",INDEX('Data entry'!BJ:BJ,SMALL($A:$A,ROWS($6:60))))</f>
        <v/>
      </c>
      <c r="D60" s="87" t="str">
        <f>IF(ROWS($6:60)&gt;COUNT($A:$A),"",INDEX('Data entry'!R:R,SMALL($A:$A,ROWS($6:60))))</f>
        <v/>
      </c>
      <c r="E60" s="27" t="str">
        <f>IF(ROWS($6:60)&gt;COUNT($A:$A),"",INDEX('Data entry'!BM:BM,SMALL($A:$A,ROWS($6:60))))</f>
        <v/>
      </c>
      <c r="F60" s="27" t="str">
        <f>IF(ROWS($6:60)&gt;COUNT($A:$A),"",INDEX('Data entry'!BK:BK,SMALL($A:$A,ROWS($6:60))))</f>
        <v/>
      </c>
      <c r="G60" s="27" t="str">
        <f>IF(ROWS($6:60)&gt;COUNT($A:$A),"",INDEX('Data entry'!BL:BL,SMALL($A:$A,ROWS($6:60))))</f>
        <v/>
      </c>
      <c r="H60" s="27" t="str">
        <f>IF(ROWS($6:60)&gt;COUNT($A:$A),"",INDEX('Data entry'!BN:BN,SMALL($A:$A,ROWS($6:60))))</f>
        <v/>
      </c>
      <c r="I60" s="87" t="str">
        <f>IF(ROWS($6:60)&gt;COUNT($A:$A),"",INDEX('Data entry'!S:S,SMALL($A:$A,ROWS($6:60))))</f>
        <v/>
      </c>
      <c r="J60" s="27" t="str">
        <f>IF(ROWS($6:60)&gt;COUNT($A:$A),"",INDEX('Data entry'!AR:AR,SMALL($A:$A,ROWS($6:60))))</f>
        <v/>
      </c>
    </row>
    <row r="61" spans="1:10" x14ac:dyDescent="0.2">
      <c r="A61" s="27" t="str">
        <f>IF(OR('Data entry'!B61="Probable", 'Data entry'!B61="Confirmed"),ROW(),"")</f>
        <v/>
      </c>
      <c r="B61" s="27" t="str">
        <f>IF(ROWS($6:61)&gt;COUNT($A:$A),"",INDEX('Data entry'!H:H,SMALL($A:$A,ROWS($6:61))))</f>
        <v/>
      </c>
      <c r="C61" s="27" t="str">
        <f>IF(ROWS($6:61)&gt;COUNT($A:$A),"",INDEX('Data entry'!BJ:BJ,SMALL($A:$A,ROWS($6:61))))</f>
        <v/>
      </c>
      <c r="D61" s="87" t="str">
        <f>IF(ROWS($6:61)&gt;COUNT($A:$A),"",INDEX('Data entry'!R:R,SMALL($A:$A,ROWS($6:61))))</f>
        <v/>
      </c>
      <c r="E61" s="27" t="str">
        <f>IF(ROWS($6:61)&gt;COUNT($A:$A),"",INDEX('Data entry'!BM:BM,SMALL($A:$A,ROWS($6:61))))</f>
        <v/>
      </c>
      <c r="F61" s="27" t="str">
        <f>IF(ROWS($6:61)&gt;COUNT($A:$A),"",INDEX('Data entry'!BK:BK,SMALL($A:$A,ROWS($6:61))))</f>
        <v/>
      </c>
      <c r="G61" s="27" t="str">
        <f>IF(ROWS($6:61)&gt;COUNT($A:$A),"",INDEX('Data entry'!BL:BL,SMALL($A:$A,ROWS($6:61))))</f>
        <v/>
      </c>
      <c r="H61" s="27" t="str">
        <f>IF(ROWS($6:61)&gt;COUNT($A:$A),"",INDEX('Data entry'!BN:BN,SMALL($A:$A,ROWS($6:61))))</f>
        <v/>
      </c>
      <c r="I61" s="87" t="str">
        <f>IF(ROWS($6:61)&gt;COUNT($A:$A),"",INDEX('Data entry'!S:S,SMALL($A:$A,ROWS($6:61))))</f>
        <v/>
      </c>
      <c r="J61" s="27" t="str">
        <f>IF(ROWS($6:61)&gt;COUNT($A:$A),"",INDEX('Data entry'!AR:AR,SMALL($A:$A,ROWS($6:61))))</f>
        <v/>
      </c>
    </row>
    <row r="62" spans="1:10" x14ac:dyDescent="0.2">
      <c r="A62" s="27" t="str">
        <f>IF(OR('Data entry'!B62="Probable", 'Data entry'!B62="Confirmed"),ROW(),"")</f>
        <v/>
      </c>
      <c r="B62" s="27" t="str">
        <f>IF(ROWS($6:62)&gt;COUNT($A:$A),"",INDEX('Data entry'!H:H,SMALL($A:$A,ROWS($6:62))))</f>
        <v/>
      </c>
      <c r="C62" s="27" t="str">
        <f>IF(ROWS($6:62)&gt;COUNT($A:$A),"",INDEX('Data entry'!BJ:BJ,SMALL($A:$A,ROWS($6:62))))</f>
        <v/>
      </c>
      <c r="D62" s="87" t="str">
        <f>IF(ROWS($6:62)&gt;COUNT($A:$A),"",INDEX('Data entry'!R:R,SMALL($A:$A,ROWS($6:62))))</f>
        <v/>
      </c>
      <c r="E62" s="27" t="str">
        <f>IF(ROWS($6:62)&gt;COUNT($A:$A),"",INDEX('Data entry'!BM:BM,SMALL($A:$A,ROWS($6:62))))</f>
        <v/>
      </c>
      <c r="F62" s="27" t="str">
        <f>IF(ROWS($6:62)&gt;COUNT($A:$A),"",INDEX('Data entry'!BK:BK,SMALL($A:$A,ROWS($6:62))))</f>
        <v/>
      </c>
      <c r="G62" s="27" t="str">
        <f>IF(ROWS($6:62)&gt;COUNT($A:$A),"",INDEX('Data entry'!BL:BL,SMALL($A:$A,ROWS($6:62))))</f>
        <v/>
      </c>
      <c r="H62" s="27" t="str">
        <f>IF(ROWS($6:62)&gt;COUNT($A:$A),"",INDEX('Data entry'!BN:BN,SMALL($A:$A,ROWS($6:62))))</f>
        <v/>
      </c>
      <c r="I62" s="87" t="str">
        <f>IF(ROWS($6:62)&gt;COUNT($A:$A),"",INDEX('Data entry'!S:S,SMALL($A:$A,ROWS($6:62))))</f>
        <v/>
      </c>
      <c r="J62" s="27" t="str">
        <f>IF(ROWS($6:62)&gt;COUNT($A:$A),"",INDEX('Data entry'!AR:AR,SMALL($A:$A,ROWS($6:62))))</f>
        <v/>
      </c>
    </row>
    <row r="63" spans="1:10" x14ac:dyDescent="0.2">
      <c r="A63" s="27" t="str">
        <f>IF(OR('Data entry'!B63="Probable", 'Data entry'!B63="Confirmed"),ROW(),"")</f>
        <v/>
      </c>
      <c r="B63" s="27" t="str">
        <f>IF(ROWS($6:63)&gt;COUNT($A:$A),"",INDEX('Data entry'!H:H,SMALL($A:$A,ROWS($6:63))))</f>
        <v/>
      </c>
      <c r="C63" s="27" t="str">
        <f>IF(ROWS($6:63)&gt;COUNT($A:$A),"",INDEX('Data entry'!BJ:BJ,SMALL($A:$A,ROWS($6:63))))</f>
        <v/>
      </c>
      <c r="D63" s="87" t="str">
        <f>IF(ROWS($6:63)&gt;COUNT($A:$A),"",INDEX('Data entry'!R:R,SMALL($A:$A,ROWS($6:63))))</f>
        <v/>
      </c>
      <c r="E63" s="27" t="str">
        <f>IF(ROWS($6:63)&gt;COUNT($A:$A),"",INDEX('Data entry'!BM:BM,SMALL($A:$A,ROWS($6:63))))</f>
        <v/>
      </c>
      <c r="F63" s="27" t="str">
        <f>IF(ROWS($6:63)&gt;COUNT($A:$A),"",INDEX('Data entry'!BK:BK,SMALL($A:$A,ROWS($6:63))))</f>
        <v/>
      </c>
      <c r="G63" s="27" t="str">
        <f>IF(ROWS($6:63)&gt;COUNT($A:$A),"",INDEX('Data entry'!BL:BL,SMALL($A:$A,ROWS($6:63))))</f>
        <v/>
      </c>
      <c r="H63" s="27" t="str">
        <f>IF(ROWS($6:63)&gt;COUNT($A:$A),"",INDEX('Data entry'!BN:BN,SMALL($A:$A,ROWS($6:63))))</f>
        <v/>
      </c>
      <c r="I63" s="87" t="str">
        <f>IF(ROWS($6:63)&gt;COUNT($A:$A),"",INDEX('Data entry'!S:S,SMALL($A:$A,ROWS($6:63))))</f>
        <v/>
      </c>
      <c r="J63" s="27" t="str">
        <f>IF(ROWS($6:63)&gt;COUNT($A:$A),"",INDEX('Data entry'!AR:AR,SMALL($A:$A,ROWS($6:63))))</f>
        <v/>
      </c>
    </row>
    <row r="64" spans="1:10" x14ac:dyDescent="0.2">
      <c r="A64" s="27" t="str">
        <f>IF(OR('Data entry'!B64="Probable", 'Data entry'!B64="Confirmed"),ROW(),"")</f>
        <v/>
      </c>
      <c r="B64" s="27" t="str">
        <f>IF(ROWS($6:64)&gt;COUNT($A:$A),"",INDEX('Data entry'!H:H,SMALL($A:$A,ROWS($6:64))))</f>
        <v/>
      </c>
      <c r="C64" s="27" t="str">
        <f>IF(ROWS($6:64)&gt;COUNT($A:$A),"",INDEX('Data entry'!BJ:BJ,SMALL($A:$A,ROWS($6:64))))</f>
        <v/>
      </c>
      <c r="D64" s="87" t="str">
        <f>IF(ROWS($6:64)&gt;COUNT($A:$A),"",INDEX('Data entry'!R:R,SMALL($A:$A,ROWS($6:64))))</f>
        <v/>
      </c>
      <c r="E64" s="27" t="str">
        <f>IF(ROWS($6:64)&gt;COUNT($A:$A),"",INDEX('Data entry'!BM:BM,SMALL($A:$A,ROWS($6:64))))</f>
        <v/>
      </c>
      <c r="F64" s="27" t="str">
        <f>IF(ROWS($6:64)&gt;COUNT($A:$A),"",INDEX('Data entry'!BK:BK,SMALL($A:$A,ROWS($6:64))))</f>
        <v/>
      </c>
      <c r="G64" s="27" t="str">
        <f>IF(ROWS($6:64)&gt;COUNT($A:$A),"",INDEX('Data entry'!BL:BL,SMALL($A:$A,ROWS($6:64))))</f>
        <v/>
      </c>
      <c r="H64" s="27" t="str">
        <f>IF(ROWS($6:64)&gt;COUNT($A:$A),"",INDEX('Data entry'!BN:BN,SMALL($A:$A,ROWS($6:64))))</f>
        <v/>
      </c>
      <c r="I64" s="87" t="str">
        <f>IF(ROWS($6:64)&gt;COUNT($A:$A),"",INDEX('Data entry'!S:S,SMALL($A:$A,ROWS($6:64))))</f>
        <v/>
      </c>
      <c r="J64" s="27" t="str">
        <f>IF(ROWS($6:64)&gt;COUNT($A:$A),"",INDEX('Data entry'!AR:AR,SMALL($A:$A,ROWS($6:64))))</f>
        <v/>
      </c>
    </row>
    <row r="65" spans="1:10" x14ac:dyDescent="0.2">
      <c r="A65" s="27" t="str">
        <f>IF(OR('Data entry'!B65="Probable", 'Data entry'!B65="Confirmed"),ROW(),"")</f>
        <v/>
      </c>
      <c r="B65" s="27" t="str">
        <f>IF(ROWS($6:65)&gt;COUNT($A:$A),"",INDEX('Data entry'!H:H,SMALL($A:$A,ROWS($6:65))))</f>
        <v/>
      </c>
      <c r="C65" s="27" t="str">
        <f>IF(ROWS($6:65)&gt;COUNT($A:$A),"",INDEX('Data entry'!BJ:BJ,SMALL($A:$A,ROWS($6:65))))</f>
        <v/>
      </c>
      <c r="D65" s="87" t="str">
        <f>IF(ROWS($6:65)&gt;COUNT($A:$A),"",INDEX('Data entry'!R:R,SMALL($A:$A,ROWS($6:65))))</f>
        <v/>
      </c>
      <c r="E65" s="27" t="str">
        <f>IF(ROWS($6:65)&gt;COUNT($A:$A),"",INDEX('Data entry'!BM:BM,SMALL($A:$A,ROWS($6:65))))</f>
        <v/>
      </c>
      <c r="F65" s="27" t="str">
        <f>IF(ROWS($6:65)&gt;COUNT($A:$A),"",INDEX('Data entry'!BK:BK,SMALL($A:$A,ROWS($6:65))))</f>
        <v/>
      </c>
      <c r="G65" s="27" t="str">
        <f>IF(ROWS($6:65)&gt;COUNT($A:$A),"",INDEX('Data entry'!BL:BL,SMALL($A:$A,ROWS($6:65))))</f>
        <v/>
      </c>
      <c r="H65" s="27" t="str">
        <f>IF(ROWS($6:65)&gt;COUNT($A:$A),"",INDEX('Data entry'!BN:BN,SMALL($A:$A,ROWS($6:65))))</f>
        <v/>
      </c>
      <c r="I65" s="87" t="str">
        <f>IF(ROWS($6:65)&gt;COUNT($A:$A),"",INDEX('Data entry'!S:S,SMALL($A:$A,ROWS($6:65))))</f>
        <v/>
      </c>
      <c r="J65" s="27" t="str">
        <f>IF(ROWS($6:65)&gt;COUNT($A:$A),"",INDEX('Data entry'!AR:AR,SMALL($A:$A,ROWS($6:65))))</f>
        <v/>
      </c>
    </row>
    <row r="66" spans="1:10" x14ac:dyDescent="0.2">
      <c r="A66" s="27" t="str">
        <f>IF(OR('Data entry'!B66="Probable", 'Data entry'!B66="Confirmed"),ROW(),"")</f>
        <v/>
      </c>
      <c r="B66" s="27" t="str">
        <f>IF(ROWS($6:66)&gt;COUNT($A:$A),"",INDEX('Data entry'!H:H,SMALL($A:$A,ROWS($6:66))))</f>
        <v/>
      </c>
      <c r="C66" s="27" t="str">
        <f>IF(ROWS($6:66)&gt;COUNT($A:$A),"",INDEX('Data entry'!BJ:BJ,SMALL($A:$A,ROWS($6:66))))</f>
        <v/>
      </c>
      <c r="D66" s="87" t="str">
        <f>IF(ROWS($6:66)&gt;COUNT($A:$A),"",INDEX('Data entry'!R:R,SMALL($A:$A,ROWS($6:66))))</f>
        <v/>
      </c>
      <c r="E66" s="27" t="str">
        <f>IF(ROWS($6:66)&gt;COUNT($A:$A),"",INDEX('Data entry'!BM:BM,SMALL($A:$A,ROWS($6:66))))</f>
        <v/>
      </c>
      <c r="F66" s="27" t="str">
        <f>IF(ROWS($6:66)&gt;COUNT($A:$A),"",INDEX('Data entry'!BK:BK,SMALL($A:$A,ROWS($6:66))))</f>
        <v/>
      </c>
      <c r="G66" s="27" t="str">
        <f>IF(ROWS($6:66)&gt;COUNT($A:$A),"",INDEX('Data entry'!BL:BL,SMALL($A:$A,ROWS($6:66))))</f>
        <v/>
      </c>
      <c r="H66" s="27" t="str">
        <f>IF(ROWS($6:66)&gt;COUNT($A:$A),"",INDEX('Data entry'!BN:BN,SMALL($A:$A,ROWS($6:66))))</f>
        <v/>
      </c>
      <c r="I66" s="87" t="str">
        <f>IF(ROWS($6:66)&gt;COUNT($A:$A),"",INDEX('Data entry'!S:S,SMALL($A:$A,ROWS($6:66))))</f>
        <v/>
      </c>
      <c r="J66" s="27" t="str">
        <f>IF(ROWS($6:66)&gt;COUNT($A:$A),"",INDEX('Data entry'!AR:AR,SMALL($A:$A,ROWS($6:66))))</f>
        <v/>
      </c>
    </row>
    <row r="67" spans="1:10" x14ac:dyDescent="0.2">
      <c r="A67" s="27" t="str">
        <f>IF(OR('Data entry'!B67="Probable", 'Data entry'!B67="Confirmed"),ROW(),"")</f>
        <v/>
      </c>
      <c r="B67" s="27" t="str">
        <f>IF(ROWS($6:67)&gt;COUNT($A:$A),"",INDEX('Data entry'!H:H,SMALL($A:$A,ROWS($6:67))))</f>
        <v/>
      </c>
      <c r="C67" s="27" t="str">
        <f>IF(ROWS($6:67)&gt;COUNT($A:$A),"",INDEX('Data entry'!BJ:BJ,SMALL($A:$A,ROWS($6:67))))</f>
        <v/>
      </c>
      <c r="D67" s="87" t="str">
        <f>IF(ROWS($6:67)&gt;COUNT($A:$A),"",INDEX('Data entry'!R:R,SMALL($A:$A,ROWS($6:67))))</f>
        <v/>
      </c>
      <c r="E67" s="27" t="str">
        <f>IF(ROWS($6:67)&gt;COUNT($A:$A),"",INDEX('Data entry'!BM:BM,SMALL($A:$A,ROWS($6:67))))</f>
        <v/>
      </c>
      <c r="F67" s="27" t="str">
        <f>IF(ROWS($6:67)&gt;COUNT($A:$A),"",INDEX('Data entry'!BK:BK,SMALL($A:$A,ROWS($6:67))))</f>
        <v/>
      </c>
      <c r="G67" s="27" t="str">
        <f>IF(ROWS($6:67)&gt;COUNT($A:$A),"",INDEX('Data entry'!BL:BL,SMALL($A:$A,ROWS($6:67))))</f>
        <v/>
      </c>
      <c r="H67" s="27" t="str">
        <f>IF(ROWS($6:67)&gt;COUNT($A:$A),"",INDEX('Data entry'!BN:BN,SMALL($A:$A,ROWS($6:67))))</f>
        <v/>
      </c>
      <c r="I67" s="87" t="str">
        <f>IF(ROWS($6:67)&gt;COUNT($A:$A),"",INDEX('Data entry'!S:S,SMALL($A:$A,ROWS($6:67))))</f>
        <v/>
      </c>
      <c r="J67" s="27" t="str">
        <f>IF(ROWS($6:67)&gt;COUNT($A:$A),"",INDEX('Data entry'!AR:AR,SMALL($A:$A,ROWS($6:67))))</f>
        <v/>
      </c>
    </row>
    <row r="68" spans="1:10" x14ac:dyDescent="0.2">
      <c r="A68" s="27" t="str">
        <f>IF(OR('Data entry'!B68="Probable", 'Data entry'!B68="Confirmed"),ROW(),"")</f>
        <v/>
      </c>
      <c r="B68" s="27" t="str">
        <f>IF(ROWS($6:68)&gt;COUNT($A:$A),"",INDEX('Data entry'!H:H,SMALL($A:$A,ROWS($6:68))))</f>
        <v/>
      </c>
      <c r="C68" s="27" t="str">
        <f>IF(ROWS($6:68)&gt;COUNT($A:$A),"",INDEX('Data entry'!BJ:BJ,SMALL($A:$A,ROWS($6:68))))</f>
        <v/>
      </c>
      <c r="D68" s="87" t="str">
        <f>IF(ROWS($6:68)&gt;COUNT($A:$A),"",INDEX('Data entry'!R:R,SMALL($A:$A,ROWS($6:68))))</f>
        <v/>
      </c>
      <c r="E68" s="27" t="str">
        <f>IF(ROWS($6:68)&gt;COUNT($A:$A),"",INDEX('Data entry'!BM:BM,SMALL($A:$A,ROWS($6:68))))</f>
        <v/>
      </c>
      <c r="F68" s="27" t="str">
        <f>IF(ROWS($6:68)&gt;COUNT($A:$A),"",INDEX('Data entry'!BK:BK,SMALL($A:$A,ROWS($6:68))))</f>
        <v/>
      </c>
      <c r="G68" s="27" t="str">
        <f>IF(ROWS($6:68)&gt;COUNT($A:$A),"",INDEX('Data entry'!BL:BL,SMALL($A:$A,ROWS($6:68))))</f>
        <v/>
      </c>
      <c r="H68" s="27" t="str">
        <f>IF(ROWS($6:68)&gt;COUNT($A:$A),"",INDEX('Data entry'!BN:BN,SMALL($A:$A,ROWS($6:68))))</f>
        <v/>
      </c>
      <c r="I68" s="87" t="str">
        <f>IF(ROWS($6:68)&gt;COUNT($A:$A),"",INDEX('Data entry'!S:S,SMALL($A:$A,ROWS($6:68))))</f>
        <v/>
      </c>
      <c r="J68" s="27" t="str">
        <f>IF(ROWS($6:68)&gt;COUNT($A:$A),"",INDEX('Data entry'!AR:AR,SMALL($A:$A,ROWS($6:68))))</f>
        <v/>
      </c>
    </row>
    <row r="69" spans="1:10" x14ac:dyDescent="0.2">
      <c r="A69" s="27" t="str">
        <f>IF(OR('Data entry'!B69="Probable", 'Data entry'!B69="Confirmed"),ROW(),"")</f>
        <v/>
      </c>
      <c r="B69" s="27" t="str">
        <f>IF(ROWS($6:69)&gt;COUNT($A:$A),"",INDEX('Data entry'!H:H,SMALL($A:$A,ROWS($6:69))))</f>
        <v/>
      </c>
      <c r="C69" s="27" t="str">
        <f>IF(ROWS($6:69)&gt;COUNT($A:$A),"",INDEX('Data entry'!BJ:BJ,SMALL($A:$A,ROWS($6:69))))</f>
        <v/>
      </c>
      <c r="D69" s="87" t="str">
        <f>IF(ROWS($6:69)&gt;COUNT($A:$A),"",INDEX('Data entry'!R:R,SMALL($A:$A,ROWS($6:69))))</f>
        <v/>
      </c>
      <c r="E69" s="27" t="str">
        <f>IF(ROWS($6:69)&gt;COUNT($A:$A),"",INDEX('Data entry'!BM:BM,SMALL($A:$A,ROWS($6:69))))</f>
        <v/>
      </c>
      <c r="F69" s="27" t="str">
        <f>IF(ROWS($6:69)&gt;COUNT($A:$A),"",INDEX('Data entry'!BK:BK,SMALL($A:$A,ROWS($6:69))))</f>
        <v/>
      </c>
      <c r="G69" s="27" t="str">
        <f>IF(ROWS($6:69)&gt;COUNT($A:$A),"",INDEX('Data entry'!BL:BL,SMALL($A:$A,ROWS($6:69))))</f>
        <v/>
      </c>
      <c r="H69" s="27" t="str">
        <f>IF(ROWS($6:69)&gt;COUNT($A:$A),"",INDEX('Data entry'!BN:BN,SMALL($A:$A,ROWS($6:69))))</f>
        <v/>
      </c>
      <c r="I69" s="87" t="str">
        <f>IF(ROWS($6:69)&gt;COUNT($A:$A),"",INDEX('Data entry'!S:S,SMALL($A:$A,ROWS($6:69))))</f>
        <v/>
      </c>
      <c r="J69" s="27" t="str">
        <f>IF(ROWS($6:69)&gt;COUNT($A:$A),"",INDEX('Data entry'!AR:AR,SMALL($A:$A,ROWS($6:69))))</f>
        <v/>
      </c>
    </row>
    <row r="70" spans="1:10" x14ac:dyDescent="0.2">
      <c r="A70" s="27" t="str">
        <f>IF(OR('Data entry'!B70="Probable", 'Data entry'!B70="Confirmed"),ROW(),"")</f>
        <v/>
      </c>
      <c r="B70" s="27" t="str">
        <f>IF(ROWS($6:70)&gt;COUNT($A:$A),"",INDEX('Data entry'!H:H,SMALL($A:$A,ROWS($6:70))))</f>
        <v/>
      </c>
      <c r="C70" s="27" t="str">
        <f>IF(ROWS($6:70)&gt;COUNT($A:$A),"",INDEX('Data entry'!BJ:BJ,SMALL($A:$A,ROWS($6:70))))</f>
        <v/>
      </c>
      <c r="D70" s="87" t="str">
        <f>IF(ROWS($6:70)&gt;COUNT($A:$A),"",INDEX('Data entry'!R:R,SMALL($A:$A,ROWS($6:70))))</f>
        <v/>
      </c>
      <c r="E70" s="27" t="str">
        <f>IF(ROWS($6:70)&gt;COUNT($A:$A),"",INDEX('Data entry'!BM:BM,SMALL($A:$A,ROWS($6:70))))</f>
        <v/>
      </c>
      <c r="F70" s="27" t="str">
        <f>IF(ROWS($6:70)&gt;COUNT($A:$A),"",INDEX('Data entry'!BK:BK,SMALL($A:$A,ROWS($6:70))))</f>
        <v/>
      </c>
      <c r="G70" s="27" t="str">
        <f>IF(ROWS($6:70)&gt;COUNT($A:$A),"",INDEX('Data entry'!BL:BL,SMALL($A:$A,ROWS($6:70))))</f>
        <v/>
      </c>
      <c r="H70" s="27" t="str">
        <f>IF(ROWS($6:70)&gt;COUNT($A:$A),"",INDEX('Data entry'!BN:BN,SMALL($A:$A,ROWS($6:70))))</f>
        <v/>
      </c>
      <c r="I70" s="87" t="str">
        <f>IF(ROWS($6:70)&gt;COUNT($A:$A),"",INDEX('Data entry'!S:S,SMALL($A:$A,ROWS($6:70))))</f>
        <v/>
      </c>
      <c r="J70" s="27" t="str">
        <f>IF(ROWS($6:70)&gt;COUNT($A:$A),"",INDEX('Data entry'!AR:AR,SMALL($A:$A,ROWS($6:70))))</f>
        <v/>
      </c>
    </row>
    <row r="71" spans="1:10" x14ac:dyDescent="0.2">
      <c r="A71" s="27" t="str">
        <f>IF(OR('Data entry'!B71="Probable", 'Data entry'!B71="Confirmed"),ROW(),"")</f>
        <v/>
      </c>
      <c r="B71" s="27" t="str">
        <f>IF(ROWS($6:71)&gt;COUNT($A:$A),"",INDEX('Data entry'!H:H,SMALL($A:$A,ROWS($6:71))))</f>
        <v/>
      </c>
      <c r="C71" s="27" t="str">
        <f>IF(ROWS($6:71)&gt;COUNT($A:$A),"",INDEX('Data entry'!BJ:BJ,SMALL($A:$A,ROWS($6:71))))</f>
        <v/>
      </c>
      <c r="D71" s="87" t="str">
        <f>IF(ROWS($6:71)&gt;COUNT($A:$A),"",INDEX('Data entry'!R:R,SMALL($A:$A,ROWS($6:71))))</f>
        <v/>
      </c>
      <c r="E71" s="27" t="str">
        <f>IF(ROWS($6:71)&gt;COUNT($A:$A),"",INDEX('Data entry'!BM:BM,SMALL($A:$A,ROWS($6:71))))</f>
        <v/>
      </c>
      <c r="F71" s="27" t="str">
        <f>IF(ROWS($6:71)&gt;COUNT($A:$A),"",INDEX('Data entry'!BK:BK,SMALL($A:$A,ROWS($6:71))))</f>
        <v/>
      </c>
      <c r="G71" s="27" t="str">
        <f>IF(ROWS($6:71)&gt;COUNT($A:$A),"",INDEX('Data entry'!BL:BL,SMALL($A:$A,ROWS($6:71))))</f>
        <v/>
      </c>
      <c r="H71" s="27" t="str">
        <f>IF(ROWS($6:71)&gt;COUNT($A:$A),"",INDEX('Data entry'!BN:BN,SMALL($A:$A,ROWS($6:71))))</f>
        <v/>
      </c>
      <c r="I71" s="87" t="str">
        <f>IF(ROWS($6:71)&gt;COUNT($A:$A),"",INDEX('Data entry'!S:S,SMALL($A:$A,ROWS($6:71))))</f>
        <v/>
      </c>
      <c r="J71" s="27" t="str">
        <f>IF(ROWS($6:71)&gt;COUNT($A:$A),"",INDEX('Data entry'!AR:AR,SMALL($A:$A,ROWS($6:71))))</f>
        <v/>
      </c>
    </row>
    <row r="72" spans="1:10" x14ac:dyDescent="0.2">
      <c r="A72" s="27" t="str">
        <f>IF(OR('Data entry'!B72="Probable", 'Data entry'!B72="Confirmed"),ROW(),"")</f>
        <v/>
      </c>
      <c r="B72" s="27" t="str">
        <f>IF(ROWS($6:72)&gt;COUNT($A:$A),"",INDEX('Data entry'!H:H,SMALL($A:$A,ROWS($6:72))))</f>
        <v/>
      </c>
      <c r="C72" s="27" t="str">
        <f>IF(ROWS($6:72)&gt;COUNT($A:$A),"",INDEX('Data entry'!BJ:BJ,SMALL($A:$A,ROWS($6:72))))</f>
        <v/>
      </c>
      <c r="D72" s="87" t="str">
        <f>IF(ROWS($6:72)&gt;COUNT($A:$A),"",INDEX('Data entry'!R:R,SMALL($A:$A,ROWS($6:72))))</f>
        <v/>
      </c>
      <c r="E72" s="27" t="str">
        <f>IF(ROWS($6:72)&gt;COUNT($A:$A),"",INDEX('Data entry'!BM:BM,SMALL($A:$A,ROWS($6:72))))</f>
        <v/>
      </c>
      <c r="F72" s="27" t="str">
        <f>IF(ROWS($6:72)&gt;COUNT($A:$A),"",INDEX('Data entry'!BK:BK,SMALL($A:$A,ROWS($6:72))))</f>
        <v/>
      </c>
      <c r="G72" s="27" t="str">
        <f>IF(ROWS($6:72)&gt;COUNT($A:$A),"",INDEX('Data entry'!BL:BL,SMALL($A:$A,ROWS($6:72))))</f>
        <v/>
      </c>
      <c r="H72" s="27" t="str">
        <f>IF(ROWS($6:72)&gt;COUNT($A:$A),"",INDEX('Data entry'!BN:BN,SMALL($A:$A,ROWS($6:72))))</f>
        <v/>
      </c>
      <c r="I72" s="87" t="str">
        <f>IF(ROWS($6:72)&gt;COUNT($A:$A),"",INDEX('Data entry'!S:S,SMALL($A:$A,ROWS($6:72))))</f>
        <v/>
      </c>
      <c r="J72" s="27" t="str">
        <f>IF(ROWS($6:72)&gt;COUNT($A:$A),"",INDEX('Data entry'!AR:AR,SMALL($A:$A,ROWS($6:72))))</f>
        <v/>
      </c>
    </row>
    <row r="73" spans="1:10" x14ac:dyDescent="0.2">
      <c r="A73" s="27" t="str">
        <f>IF(OR('Data entry'!B73="Probable", 'Data entry'!B73="Confirmed"),ROW(),"")</f>
        <v/>
      </c>
      <c r="B73" s="27" t="str">
        <f>IF(ROWS($6:73)&gt;COUNT($A:$A),"",INDEX('Data entry'!H:H,SMALL($A:$A,ROWS($6:73))))</f>
        <v/>
      </c>
      <c r="C73" s="27" t="str">
        <f>IF(ROWS($6:73)&gt;COUNT($A:$A),"",INDEX('Data entry'!BJ:BJ,SMALL($A:$A,ROWS($6:73))))</f>
        <v/>
      </c>
      <c r="D73" s="87" t="str">
        <f>IF(ROWS($6:73)&gt;COUNT($A:$A),"",INDEX('Data entry'!R:R,SMALL($A:$A,ROWS($6:73))))</f>
        <v/>
      </c>
      <c r="E73" s="27" t="str">
        <f>IF(ROWS($6:73)&gt;COUNT($A:$A),"",INDEX('Data entry'!BM:BM,SMALL($A:$A,ROWS($6:73))))</f>
        <v/>
      </c>
      <c r="F73" s="27" t="str">
        <f>IF(ROWS($6:73)&gt;COUNT($A:$A),"",INDEX('Data entry'!BK:BK,SMALL($A:$A,ROWS($6:73))))</f>
        <v/>
      </c>
      <c r="G73" s="27" t="str">
        <f>IF(ROWS($6:73)&gt;COUNT($A:$A),"",INDEX('Data entry'!BL:BL,SMALL($A:$A,ROWS($6:73))))</f>
        <v/>
      </c>
      <c r="H73" s="27" t="str">
        <f>IF(ROWS($6:73)&gt;COUNT($A:$A),"",INDEX('Data entry'!BN:BN,SMALL($A:$A,ROWS($6:73))))</f>
        <v/>
      </c>
      <c r="I73" s="87" t="str">
        <f>IF(ROWS($6:73)&gt;COUNT($A:$A),"",INDEX('Data entry'!S:S,SMALL($A:$A,ROWS($6:73))))</f>
        <v/>
      </c>
      <c r="J73" s="27" t="str">
        <f>IF(ROWS($6:73)&gt;COUNT($A:$A),"",INDEX('Data entry'!AR:AR,SMALL($A:$A,ROWS($6:73))))</f>
        <v/>
      </c>
    </row>
    <row r="74" spans="1:10" x14ac:dyDescent="0.2">
      <c r="A74" s="27" t="str">
        <f>IF(OR('Data entry'!B74="Probable", 'Data entry'!B74="Confirmed"),ROW(),"")</f>
        <v/>
      </c>
      <c r="B74" s="27" t="str">
        <f>IF(ROWS($6:74)&gt;COUNT($A:$A),"",INDEX('Data entry'!H:H,SMALL($A:$A,ROWS($6:74))))</f>
        <v/>
      </c>
      <c r="C74" s="27" t="str">
        <f>IF(ROWS($6:74)&gt;COUNT($A:$A),"",INDEX('Data entry'!BJ:BJ,SMALL($A:$A,ROWS($6:74))))</f>
        <v/>
      </c>
      <c r="D74" s="87" t="str">
        <f>IF(ROWS($6:74)&gt;COUNT($A:$A),"",INDEX('Data entry'!R:R,SMALL($A:$A,ROWS($6:74))))</f>
        <v/>
      </c>
      <c r="E74" s="27" t="str">
        <f>IF(ROWS($6:74)&gt;COUNT($A:$A),"",INDEX('Data entry'!BM:BM,SMALL($A:$A,ROWS($6:74))))</f>
        <v/>
      </c>
      <c r="F74" s="27" t="str">
        <f>IF(ROWS($6:74)&gt;COUNT($A:$A),"",INDEX('Data entry'!BK:BK,SMALL($A:$A,ROWS($6:74))))</f>
        <v/>
      </c>
      <c r="G74" s="27" t="str">
        <f>IF(ROWS($6:74)&gt;COUNT($A:$A),"",INDEX('Data entry'!BL:BL,SMALL($A:$A,ROWS($6:74))))</f>
        <v/>
      </c>
      <c r="H74" s="27" t="str">
        <f>IF(ROWS($6:74)&gt;COUNT($A:$A),"",INDEX('Data entry'!BN:BN,SMALL($A:$A,ROWS($6:74))))</f>
        <v/>
      </c>
      <c r="I74" s="87" t="str">
        <f>IF(ROWS($6:74)&gt;COUNT($A:$A),"",INDEX('Data entry'!S:S,SMALL($A:$A,ROWS($6:74))))</f>
        <v/>
      </c>
      <c r="J74" s="27" t="str">
        <f>IF(ROWS($6:74)&gt;COUNT($A:$A),"",INDEX('Data entry'!AR:AR,SMALL($A:$A,ROWS($6:74))))</f>
        <v/>
      </c>
    </row>
    <row r="75" spans="1:10" x14ac:dyDescent="0.2">
      <c r="A75" s="27" t="str">
        <f>IF(OR('Data entry'!B75="Probable", 'Data entry'!B75="Confirmed"),ROW(),"")</f>
        <v/>
      </c>
      <c r="B75" s="27" t="str">
        <f>IF(ROWS($6:75)&gt;COUNT($A:$A),"",INDEX('Data entry'!H:H,SMALL($A:$A,ROWS($6:75))))</f>
        <v/>
      </c>
      <c r="C75" s="27" t="str">
        <f>IF(ROWS($6:75)&gt;COUNT($A:$A),"",INDEX('Data entry'!BJ:BJ,SMALL($A:$A,ROWS($6:75))))</f>
        <v/>
      </c>
      <c r="D75" s="87" t="str">
        <f>IF(ROWS($6:75)&gt;COUNT($A:$A),"",INDEX('Data entry'!R:R,SMALL($A:$A,ROWS($6:75))))</f>
        <v/>
      </c>
      <c r="E75" s="27" t="str">
        <f>IF(ROWS($6:75)&gt;COUNT($A:$A),"",INDEX('Data entry'!BM:BM,SMALL($A:$A,ROWS($6:75))))</f>
        <v/>
      </c>
      <c r="F75" s="27" t="str">
        <f>IF(ROWS($6:75)&gt;COUNT($A:$A),"",INDEX('Data entry'!BK:BK,SMALL($A:$A,ROWS($6:75))))</f>
        <v/>
      </c>
      <c r="G75" s="27" t="str">
        <f>IF(ROWS($6:75)&gt;COUNT($A:$A),"",INDEX('Data entry'!BL:BL,SMALL($A:$A,ROWS($6:75))))</f>
        <v/>
      </c>
      <c r="H75" s="27" t="str">
        <f>IF(ROWS($6:75)&gt;COUNT($A:$A),"",INDEX('Data entry'!BN:BN,SMALL($A:$A,ROWS($6:75))))</f>
        <v/>
      </c>
      <c r="I75" s="87" t="str">
        <f>IF(ROWS($6:75)&gt;COUNT($A:$A),"",INDEX('Data entry'!S:S,SMALL($A:$A,ROWS($6:75))))</f>
        <v/>
      </c>
      <c r="J75" s="27" t="str">
        <f>IF(ROWS($6:75)&gt;COUNT($A:$A),"",INDEX('Data entry'!AR:AR,SMALL($A:$A,ROWS($6:75))))</f>
        <v/>
      </c>
    </row>
    <row r="76" spans="1:10" x14ac:dyDescent="0.2">
      <c r="A76" s="27" t="str">
        <f>IF(OR('Data entry'!B76="Probable", 'Data entry'!B76="Confirmed"),ROW(),"")</f>
        <v/>
      </c>
      <c r="B76" s="27" t="str">
        <f>IF(ROWS($6:76)&gt;COUNT($A:$A),"",INDEX('Data entry'!H:H,SMALL($A:$A,ROWS($6:76))))</f>
        <v/>
      </c>
      <c r="C76" s="27" t="str">
        <f>IF(ROWS($6:76)&gt;COUNT($A:$A),"",INDEX('Data entry'!BJ:BJ,SMALL($A:$A,ROWS($6:76))))</f>
        <v/>
      </c>
      <c r="D76" s="87" t="str">
        <f>IF(ROWS($6:76)&gt;COUNT($A:$A),"",INDEX('Data entry'!R:R,SMALL($A:$A,ROWS($6:76))))</f>
        <v/>
      </c>
      <c r="E76" s="27" t="str">
        <f>IF(ROWS($6:76)&gt;COUNT($A:$A),"",INDEX('Data entry'!BM:BM,SMALL($A:$A,ROWS($6:76))))</f>
        <v/>
      </c>
      <c r="F76" s="27" t="str">
        <f>IF(ROWS($6:76)&gt;COUNT($A:$A),"",INDEX('Data entry'!BK:BK,SMALL($A:$A,ROWS($6:76))))</f>
        <v/>
      </c>
      <c r="G76" s="27" t="str">
        <f>IF(ROWS($6:76)&gt;COUNT($A:$A),"",INDEX('Data entry'!BL:BL,SMALL($A:$A,ROWS($6:76))))</f>
        <v/>
      </c>
      <c r="H76" s="27" t="str">
        <f>IF(ROWS($6:76)&gt;COUNT($A:$A),"",INDEX('Data entry'!BN:BN,SMALL($A:$A,ROWS($6:76))))</f>
        <v/>
      </c>
      <c r="I76" s="87" t="str">
        <f>IF(ROWS($6:76)&gt;COUNT($A:$A),"",INDEX('Data entry'!S:S,SMALL($A:$A,ROWS($6:76))))</f>
        <v/>
      </c>
      <c r="J76" s="27" t="str">
        <f>IF(ROWS($6:76)&gt;COUNT($A:$A),"",INDEX('Data entry'!AR:AR,SMALL($A:$A,ROWS($6:76))))</f>
        <v/>
      </c>
    </row>
    <row r="77" spans="1:10" x14ac:dyDescent="0.2">
      <c r="A77" s="27" t="str">
        <f>IF(OR('Data entry'!B77="Probable", 'Data entry'!B77="Confirmed"),ROW(),"")</f>
        <v/>
      </c>
      <c r="B77" s="27" t="str">
        <f>IF(ROWS($6:77)&gt;COUNT($A:$A),"",INDEX('Data entry'!H:H,SMALL($A:$A,ROWS($6:77))))</f>
        <v/>
      </c>
      <c r="C77" s="27" t="str">
        <f>IF(ROWS($6:77)&gt;COUNT($A:$A),"",INDEX('Data entry'!BJ:BJ,SMALL($A:$A,ROWS($6:77))))</f>
        <v/>
      </c>
      <c r="D77" s="87" t="str">
        <f>IF(ROWS($6:77)&gt;COUNT($A:$A),"",INDEX('Data entry'!R:R,SMALL($A:$A,ROWS($6:77))))</f>
        <v/>
      </c>
      <c r="E77" s="27" t="str">
        <f>IF(ROWS($6:77)&gt;COUNT($A:$A),"",INDEX('Data entry'!BM:BM,SMALL($A:$A,ROWS($6:77))))</f>
        <v/>
      </c>
      <c r="F77" s="27" t="str">
        <f>IF(ROWS($6:77)&gt;COUNT($A:$A),"",INDEX('Data entry'!BK:BK,SMALL($A:$A,ROWS($6:77))))</f>
        <v/>
      </c>
      <c r="G77" s="27" t="str">
        <f>IF(ROWS($6:77)&gt;COUNT($A:$A),"",INDEX('Data entry'!BL:BL,SMALL($A:$A,ROWS($6:77))))</f>
        <v/>
      </c>
      <c r="H77" s="27" t="str">
        <f>IF(ROWS($6:77)&gt;COUNT($A:$A),"",INDEX('Data entry'!BN:BN,SMALL($A:$A,ROWS($6:77))))</f>
        <v/>
      </c>
      <c r="I77" s="87" t="str">
        <f>IF(ROWS($6:77)&gt;COUNT($A:$A),"",INDEX('Data entry'!S:S,SMALL($A:$A,ROWS($6:77))))</f>
        <v/>
      </c>
      <c r="J77" s="27" t="str">
        <f>IF(ROWS($6:77)&gt;COUNT($A:$A),"",INDEX('Data entry'!AR:AR,SMALL($A:$A,ROWS($6:77))))</f>
        <v/>
      </c>
    </row>
    <row r="78" spans="1:10" x14ac:dyDescent="0.2">
      <c r="A78" s="27" t="str">
        <f>IF(OR('Data entry'!B78="Probable", 'Data entry'!B78="Confirmed"),ROW(),"")</f>
        <v/>
      </c>
      <c r="B78" s="27" t="str">
        <f>IF(ROWS($6:78)&gt;COUNT($A:$A),"",INDEX('Data entry'!H:H,SMALL($A:$A,ROWS($6:78))))</f>
        <v/>
      </c>
      <c r="C78" s="27" t="str">
        <f>IF(ROWS($6:78)&gt;COUNT($A:$A),"",INDEX('Data entry'!BJ:BJ,SMALL($A:$A,ROWS($6:78))))</f>
        <v/>
      </c>
      <c r="D78" s="87" t="str">
        <f>IF(ROWS($6:78)&gt;COUNT($A:$A),"",INDEX('Data entry'!R:R,SMALL($A:$A,ROWS($6:78))))</f>
        <v/>
      </c>
      <c r="E78" s="27" t="str">
        <f>IF(ROWS($6:78)&gt;COUNT($A:$A),"",INDEX('Data entry'!BM:BM,SMALL($A:$A,ROWS($6:78))))</f>
        <v/>
      </c>
      <c r="F78" s="27" t="str">
        <f>IF(ROWS($6:78)&gt;COUNT($A:$A),"",INDEX('Data entry'!BK:BK,SMALL($A:$A,ROWS($6:78))))</f>
        <v/>
      </c>
      <c r="G78" s="27" t="str">
        <f>IF(ROWS($6:78)&gt;COUNT($A:$A),"",INDEX('Data entry'!BL:BL,SMALL($A:$A,ROWS($6:78))))</f>
        <v/>
      </c>
      <c r="H78" s="27" t="str">
        <f>IF(ROWS($6:78)&gt;COUNT($A:$A),"",INDEX('Data entry'!BN:BN,SMALL($A:$A,ROWS($6:78))))</f>
        <v/>
      </c>
      <c r="I78" s="87" t="str">
        <f>IF(ROWS($6:78)&gt;COUNT($A:$A),"",INDEX('Data entry'!S:S,SMALL($A:$A,ROWS($6:78))))</f>
        <v/>
      </c>
      <c r="J78" s="27" t="str">
        <f>IF(ROWS($6:78)&gt;COUNT($A:$A),"",INDEX('Data entry'!AR:AR,SMALL($A:$A,ROWS($6:78))))</f>
        <v/>
      </c>
    </row>
    <row r="79" spans="1:10" x14ac:dyDescent="0.2">
      <c r="A79" s="27" t="str">
        <f>IF(OR('Data entry'!B79="Probable", 'Data entry'!B79="Confirmed"),ROW(),"")</f>
        <v/>
      </c>
      <c r="B79" s="27" t="str">
        <f>IF(ROWS($6:79)&gt;COUNT($A:$A),"",INDEX('Data entry'!H:H,SMALL($A:$A,ROWS($6:79))))</f>
        <v/>
      </c>
      <c r="C79" s="27" t="str">
        <f>IF(ROWS($6:79)&gt;COUNT($A:$A),"",INDEX('Data entry'!BJ:BJ,SMALL($A:$A,ROWS($6:79))))</f>
        <v/>
      </c>
      <c r="D79" s="87" t="str">
        <f>IF(ROWS($6:79)&gt;COUNT($A:$A),"",INDEX('Data entry'!R:R,SMALL($A:$A,ROWS($6:79))))</f>
        <v/>
      </c>
      <c r="E79" s="27" t="str">
        <f>IF(ROWS($6:79)&gt;COUNT($A:$A),"",INDEX('Data entry'!BM:BM,SMALL($A:$A,ROWS($6:79))))</f>
        <v/>
      </c>
      <c r="F79" s="27" t="str">
        <f>IF(ROWS($6:79)&gt;COUNT($A:$A),"",INDEX('Data entry'!BK:BK,SMALL($A:$A,ROWS($6:79))))</f>
        <v/>
      </c>
      <c r="G79" s="27" t="str">
        <f>IF(ROWS($6:79)&gt;COUNT($A:$A),"",INDEX('Data entry'!BL:BL,SMALL($A:$A,ROWS($6:79))))</f>
        <v/>
      </c>
      <c r="H79" s="27" t="str">
        <f>IF(ROWS($6:79)&gt;COUNT($A:$A),"",INDEX('Data entry'!BN:BN,SMALL($A:$A,ROWS($6:79))))</f>
        <v/>
      </c>
      <c r="I79" s="87" t="str">
        <f>IF(ROWS($6:79)&gt;COUNT($A:$A),"",INDEX('Data entry'!S:S,SMALL($A:$A,ROWS($6:79))))</f>
        <v/>
      </c>
      <c r="J79" s="27" t="str">
        <f>IF(ROWS($6:79)&gt;COUNT($A:$A),"",INDEX('Data entry'!AR:AR,SMALL($A:$A,ROWS($6:79))))</f>
        <v/>
      </c>
    </row>
    <row r="80" spans="1:10" x14ac:dyDescent="0.2">
      <c r="A80" s="27" t="str">
        <f>IF(OR('Data entry'!B80="Probable", 'Data entry'!B80="Confirmed"),ROW(),"")</f>
        <v/>
      </c>
      <c r="B80" s="27" t="str">
        <f>IF(ROWS($6:80)&gt;COUNT($A:$A),"",INDEX('Data entry'!H:H,SMALL($A:$A,ROWS($6:80))))</f>
        <v/>
      </c>
      <c r="C80" s="27" t="str">
        <f>IF(ROWS($6:80)&gt;COUNT($A:$A),"",INDEX('Data entry'!BJ:BJ,SMALL($A:$A,ROWS($6:80))))</f>
        <v/>
      </c>
      <c r="D80" s="87" t="str">
        <f>IF(ROWS($6:80)&gt;COUNT($A:$A),"",INDEX('Data entry'!R:R,SMALL($A:$A,ROWS($6:80))))</f>
        <v/>
      </c>
      <c r="E80" s="27" t="str">
        <f>IF(ROWS($6:80)&gt;COUNT($A:$A),"",INDEX('Data entry'!BM:BM,SMALL($A:$A,ROWS($6:80))))</f>
        <v/>
      </c>
      <c r="F80" s="27" t="str">
        <f>IF(ROWS($6:80)&gt;COUNT($A:$A),"",INDEX('Data entry'!BK:BK,SMALL($A:$A,ROWS($6:80))))</f>
        <v/>
      </c>
      <c r="G80" s="27" t="str">
        <f>IF(ROWS($6:80)&gt;COUNT($A:$A),"",INDEX('Data entry'!BL:BL,SMALL($A:$A,ROWS($6:80))))</f>
        <v/>
      </c>
      <c r="H80" s="27" t="str">
        <f>IF(ROWS($6:80)&gt;COUNT($A:$A),"",INDEX('Data entry'!BN:BN,SMALL($A:$A,ROWS($6:80))))</f>
        <v/>
      </c>
      <c r="I80" s="87" t="str">
        <f>IF(ROWS($6:80)&gt;COUNT($A:$A),"",INDEX('Data entry'!S:S,SMALL($A:$A,ROWS($6:80))))</f>
        <v/>
      </c>
      <c r="J80" s="27" t="str">
        <f>IF(ROWS($6:80)&gt;COUNT($A:$A),"",INDEX('Data entry'!AR:AR,SMALL($A:$A,ROWS($6:80))))</f>
        <v/>
      </c>
    </row>
    <row r="81" spans="1:10" x14ac:dyDescent="0.2">
      <c r="A81" s="27" t="str">
        <f>IF(OR('Data entry'!B81="Probable", 'Data entry'!B81="Confirmed"),ROW(),"")</f>
        <v/>
      </c>
      <c r="B81" s="27" t="str">
        <f>IF(ROWS($6:81)&gt;COUNT($A:$A),"",INDEX('Data entry'!H:H,SMALL($A:$A,ROWS($6:81))))</f>
        <v/>
      </c>
      <c r="C81" s="27" t="str">
        <f>IF(ROWS($6:81)&gt;COUNT($A:$A),"",INDEX('Data entry'!BJ:BJ,SMALL($A:$A,ROWS($6:81))))</f>
        <v/>
      </c>
      <c r="D81" s="87" t="str">
        <f>IF(ROWS($6:81)&gt;COUNT($A:$A),"",INDEX('Data entry'!R:R,SMALL($A:$A,ROWS($6:81))))</f>
        <v/>
      </c>
      <c r="E81" s="27" t="str">
        <f>IF(ROWS($6:81)&gt;COUNT($A:$A),"",INDEX('Data entry'!BM:BM,SMALL($A:$A,ROWS($6:81))))</f>
        <v/>
      </c>
      <c r="F81" s="27" t="str">
        <f>IF(ROWS($6:81)&gt;COUNT($A:$A),"",INDEX('Data entry'!BK:BK,SMALL($A:$A,ROWS($6:81))))</f>
        <v/>
      </c>
      <c r="G81" s="27" t="str">
        <f>IF(ROWS($6:81)&gt;COUNT($A:$A),"",INDEX('Data entry'!BL:BL,SMALL($A:$A,ROWS($6:81))))</f>
        <v/>
      </c>
      <c r="H81" s="27" t="str">
        <f>IF(ROWS($6:81)&gt;COUNT($A:$A),"",INDEX('Data entry'!BN:BN,SMALL($A:$A,ROWS($6:81))))</f>
        <v/>
      </c>
      <c r="I81" s="87" t="str">
        <f>IF(ROWS($6:81)&gt;COUNT($A:$A),"",INDEX('Data entry'!S:S,SMALL($A:$A,ROWS($6:81))))</f>
        <v/>
      </c>
      <c r="J81" s="27" t="str">
        <f>IF(ROWS($6:81)&gt;COUNT($A:$A),"",INDEX('Data entry'!AR:AR,SMALL($A:$A,ROWS($6:81))))</f>
        <v/>
      </c>
    </row>
    <row r="82" spans="1:10" x14ac:dyDescent="0.2">
      <c r="A82" s="27" t="str">
        <f>IF(OR('Data entry'!B82="Probable", 'Data entry'!B82="Confirmed"),ROW(),"")</f>
        <v/>
      </c>
      <c r="B82" s="27" t="str">
        <f>IF(ROWS($6:82)&gt;COUNT($A:$A),"",INDEX('Data entry'!H:H,SMALL($A:$A,ROWS($6:82))))</f>
        <v/>
      </c>
      <c r="C82" s="27" t="str">
        <f>IF(ROWS($6:82)&gt;COUNT($A:$A),"",INDEX('Data entry'!BJ:BJ,SMALL($A:$A,ROWS($6:82))))</f>
        <v/>
      </c>
      <c r="D82" s="87" t="str">
        <f>IF(ROWS($6:82)&gt;COUNT($A:$A),"",INDEX('Data entry'!R:R,SMALL($A:$A,ROWS($6:82))))</f>
        <v/>
      </c>
      <c r="E82" s="27" t="str">
        <f>IF(ROWS($6:82)&gt;COUNT($A:$A),"",INDEX('Data entry'!BM:BM,SMALL($A:$A,ROWS($6:82))))</f>
        <v/>
      </c>
      <c r="F82" s="27" t="str">
        <f>IF(ROWS($6:82)&gt;COUNT($A:$A),"",INDEX('Data entry'!BK:BK,SMALL($A:$A,ROWS($6:82))))</f>
        <v/>
      </c>
      <c r="G82" s="27" t="str">
        <f>IF(ROWS($6:82)&gt;COUNT($A:$A),"",INDEX('Data entry'!BL:BL,SMALL($A:$A,ROWS($6:82))))</f>
        <v/>
      </c>
      <c r="H82" s="27" t="str">
        <f>IF(ROWS($6:82)&gt;COUNT($A:$A),"",INDEX('Data entry'!BN:BN,SMALL($A:$A,ROWS($6:82))))</f>
        <v/>
      </c>
      <c r="I82" s="87" t="str">
        <f>IF(ROWS($6:82)&gt;COUNT($A:$A),"",INDEX('Data entry'!S:S,SMALL($A:$A,ROWS($6:82))))</f>
        <v/>
      </c>
      <c r="J82" s="27" t="str">
        <f>IF(ROWS($6:82)&gt;COUNT($A:$A),"",INDEX('Data entry'!AR:AR,SMALL($A:$A,ROWS($6:82))))</f>
        <v/>
      </c>
    </row>
    <row r="83" spans="1:10" x14ac:dyDescent="0.2">
      <c r="A83" s="27" t="str">
        <f>IF(OR('Data entry'!B83="Probable", 'Data entry'!B83="Confirmed"),ROW(),"")</f>
        <v/>
      </c>
      <c r="B83" s="27" t="str">
        <f>IF(ROWS($6:83)&gt;COUNT($A:$A),"",INDEX('Data entry'!H:H,SMALL($A:$A,ROWS($6:83))))</f>
        <v/>
      </c>
      <c r="C83" s="27" t="str">
        <f>IF(ROWS($6:83)&gt;COUNT($A:$A),"",INDEX('Data entry'!BJ:BJ,SMALL($A:$A,ROWS($6:83))))</f>
        <v/>
      </c>
      <c r="D83" s="87" t="str">
        <f>IF(ROWS($6:83)&gt;COUNT($A:$A),"",INDEX('Data entry'!R:R,SMALL($A:$A,ROWS($6:83))))</f>
        <v/>
      </c>
      <c r="E83" s="27" t="str">
        <f>IF(ROWS($6:83)&gt;COUNT($A:$A),"",INDEX('Data entry'!BM:BM,SMALL($A:$A,ROWS($6:83))))</f>
        <v/>
      </c>
      <c r="F83" s="27" t="str">
        <f>IF(ROWS($6:83)&gt;COUNT($A:$A),"",INDEX('Data entry'!BK:BK,SMALL($A:$A,ROWS($6:83))))</f>
        <v/>
      </c>
      <c r="G83" s="27" t="str">
        <f>IF(ROWS($6:83)&gt;COUNT($A:$A),"",INDEX('Data entry'!BL:BL,SMALL($A:$A,ROWS($6:83))))</f>
        <v/>
      </c>
      <c r="H83" s="27" t="str">
        <f>IF(ROWS($6:83)&gt;COUNT($A:$A),"",INDEX('Data entry'!BN:BN,SMALL($A:$A,ROWS($6:83))))</f>
        <v/>
      </c>
      <c r="I83" s="87" t="str">
        <f>IF(ROWS($6:83)&gt;COUNT($A:$A),"",INDEX('Data entry'!S:S,SMALL($A:$A,ROWS($6:83))))</f>
        <v/>
      </c>
      <c r="J83" s="27" t="str">
        <f>IF(ROWS($6:83)&gt;COUNT($A:$A),"",INDEX('Data entry'!AR:AR,SMALL($A:$A,ROWS($6:83))))</f>
        <v/>
      </c>
    </row>
    <row r="84" spans="1:10" x14ac:dyDescent="0.2">
      <c r="A84" s="27" t="str">
        <f>IF(OR('Data entry'!B84="Probable", 'Data entry'!B84="Confirmed"),ROW(),"")</f>
        <v/>
      </c>
      <c r="B84" s="27" t="str">
        <f>IF(ROWS($6:84)&gt;COUNT($A:$A),"",INDEX('Data entry'!H:H,SMALL($A:$A,ROWS($6:84))))</f>
        <v/>
      </c>
      <c r="C84" s="27" t="str">
        <f>IF(ROWS($6:84)&gt;COUNT($A:$A),"",INDEX('Data entry'!BJ:BJ,SMALL($A:$A,ROWS($6:84))))</f>
        <v/>
      </c>
      <c r="D84" s="87" t="str">
        <f>IF(ROWS($6:84)&gt;COUNT($A:$A),"",INDEX('Data entry'!R:R,SMALL($A:$A,ROWS($6:84))))</f>
        <v/>
      </c>
      <c r="E84" s="27" t="str">
        <f>IF(ROWS($6:84)&gt;COUNT($A:$A),"",INDEX('Data entry'!BM:BM,SMALL($A:$A,ROWS($6:84))))</f>
        <v/>
      </c>
      <c r="F84" s="27" t="str">
        <f>IF(ROWS($6:84)&gt;COUNT($A:$A),"",INDEX('Data entry'!BK:BK,SMALL($A:$A,ROWS($6:84))))</f>
        <v/>
      </c>
      <c r="G84" s="27" t="str">
        <f>IF(ROWS($6:84)&gt;COUNT($A:$A),"",INDEX('Data entry'!BL:BL,SMALL($A:$A,ROWS($6:84))))</f>
        <v/>
      </c>
      <c r="H84" s="27" t="str">
        <f>IF(ROWS($6:84)&gt;COUNT($A:$A),"",INDEX('Data entry'!BN:BN,SMALL($A:$A,ROWS($6:84))))</f>
        <v/>
      </c>
      <c r="I84" s="87" t="str">
        <f>IF(ROWS($6:84)&gt;COUNT($A:$A),"",INDEX('Data entry'!S:S,SMALL($A:$A,ROWS($6:84))))</f>
        <v/>
      </c>
      <c r="J84" s="27" t="str">
        <f>IF(ROWS($6:84)&gt;COUNT($A:$A),"",INDEX('Data entry'!AR:AR,SMALL($A:$A,ROWS($6:84))))</f>
        <v/>
      </c>
    </row>
    <row r="85" spans="1:10" x14ac:dyDescent="0.2">
      <c r="A85" s="27" t="str">
        <f>IF(OR('Data entry'!B85="Probable", 'Data entry'!B85="Confirmed"),ROW(),"")</f>
        <v/>
      </c>
      <c r="B85" s="27" t="str">
        <f>IF(ROWS($6:85)&gt;COUNT($A:$A),"",INDEX('Data entry'!H:H,SMALL($A:$A,ROWS($6:85))))</f>
        <v/>
      </c>
      <c r="C85" s="27" t="str">
        <f>IF(ROWS($6:85)&gt;COUNT($A:$A),"",INDEX('Data entry'!BJ:BJ,SMALL($A:$A,ROWS($6:85))))</f>
        <v/>
      </c>
      <c r="D85" s="87" t="str">
        <f>IF(ROWS($6:85)&gt;COUNT($A:$A),"",INDEX('Data entry'!R:R,SMALL($A:$A,ROWS($6:85))))</f>
        <v/>
      </c>
      <c r="E85" s="27" t="str">
        <f>IF(ROWS($6:85)&gt;COUNT($A:$A),"",INDEX('Data entry'!BM:BM,SMALL($A:$A,ROWS($6:85))))</f>
        <v/>
      </c>
      <c r="F85" s="27" t="str">
        <f>IF(ROWS($6:85)&gt;COUNT($A:$A),"",INDEX('Data entry'!BK:BK,SMALL($A:$A,ROWS($6:85))))</f>
        <v/>
      </c>
      <c r="G85" s="27" t="str">
        <f>IF(ROWS($6:85)&gt;COUNT($A:$A),"",INDEX('Data entry'!BL:BL,SMALL($A:$A,ROWS($6:85))))</f>
        <v/>
      </c>
      <c r="H85" s="27" t="str">
        <f>IF(ROWS($6:85)&gt;COUNT($A:$A),"",INDEX('Data entry'!BN:BN,SMALL($A:$A,ROWS($6:85))))</f>
        <v/>
      </c>
      <c r="I85" s="87" t="str">
        <f>IF(ROWS($6:85)&gt;COUNT($A:$A),"",INDEX('Data entry'!S:S,SMALL($A:$A,ROWS($6:85))))</f>
        <v/>
      </c>
      <c r="J85" s="27" t="str">
        <f>IF(ROWS($6:85)&gt;COUNT($A:$A),"",INDEX('Data entry'!AR:AR,SMALL($A:$A,ROWS($6:85))))</f>
        <v/>
      </c>
    </row>
    <row r="86" spans="1:10" x14ac:dyDescent="0.2">
      <c r="A86" s="27" t="str">
        <f>IF(OR('Data entry'!B86="Probable", 'Data entry'!B86="Confirmed"),ROW(),"")</f>
        <v/>
      </c>
      <c r="B86" s="27" t="str">
        <f>IF(ROWS($6:86)&gt;COUNT($A:$A),"",INDEX('Data entry'!H:H,SMALL($A:$A,ROWS($6:86))))</f>
        <v/>
      </c>
      <c r="C86" s="27" t="str">
        <f>IF(ROWS($6:86)&gt;COUNT($A:$A),"",INDEX('Data entry'!BJ:BJ,SMALL($A:$A,ROWS($6:86))))</f>
        <v/>
      </c>
      <c r="D86" s="87" t="str">
        <f>IF(ROWS($6:86)&gt;COUNT($A:$A),"",INDEX('Data entry'!R:R,SMALL($A:$A,ROWS($6:86))))</f>
        <v/>
      </c>
      <c r="E86" s="27" t="str">
        <f>IF(ROWS($6:86)&gt;COUNT($A:$A),"",INDEX('Data entry'!BM:BM,SMALL($A:$A,ROWS($6:86))))</f>
        <v/>
      </c>
      <c r="F86" s="27" t="str">
        <f>IF(ROWS($6:86)&gt;COUNT($A:$A),"",INDEX('Data entry'!BK:BK,SMALL($A:$A,ROWS($6:86))))</f>
        <v/>
      </c>
      <c r="G86" s="27" t="str">
        <f>IF(ROWS($6:86)&gt;COUNT($A:$A),"",INDEX('Data entry'!BL:BL,SMALL($A:$A,ROWS($6:86))))</f>
        <v/>
      </c>
      <c r="H86" s="27" t="str">
        <f>IF(ROWS($6:86)&gt;COUNT($A:$A),"",INDEX('Data entry'!BN:BN,SMALL($A:$A,ROWS($6:86))))</f>
        <v/>
      </c>
      <c r="I86" s="87" t="str">
        <f>IF(ROWS($6:86)&gt;COUNT($A:$A),"",INDEX('Data entry'!S:S,SMALL($A:$A,ROWS($6:86))))</f>
        <v/>
      </c>
      <c r="J86" s="27" t="str">
        <f>IF(ROWS($6:86)&gt;COUNT($A:$A),"",INDEX('Data entry'!AR:AR,SMALL($A:$A,ROWS($6:86))))</f>
        <v/>
      </c>
    </row>
    <row r="87" spans="1:10" x14ac:dyDescent="0.2">
      <c r="A87" s="27" t="str">
        <f>IF(OR('Data entry'!B87="Probable", 'Data entry'!B87="Confirmed"),ROW(),"")</f>
        <v/>
      </c>
      <c r="B87" s="27" t="str">
        <f>IF(ROWS($6:87)&gt;COUNT($A:$A),"",INDEX('Data entry'!H:H,SMALL($A:$A,ROWS($6:87))))</f>
        <v/>
      </c>
      <c r="C87" s="27" t="str">
        <f>IF(ROWS($6:87)&gt;COUNT($A:$A),"",INDEX('Data entry'!BJ:BJ,SMALL($A:$A,ROWS($6:87))))</f>
        <v/>
      </c>
      <c r="D87" s="87" t="str">
        <f>IF(ROWS($6:87)&gt;COUNT($A:$A),"",INDEX('Data entry'!R:R,SMALL($A:$A,ROWS($6:87))))</f>
        <v/>
      </c>
      <c r="E87" s="27" t="str">
        <f>IF(ROWS($6:87)&gt;COUNT($A:$A),"",INDEX('Data entry'!BM:BM,SMALL($A:$A,ROWS($6:87))))</f>
        <v/>
      </c>
      <c r="F87" s="27" t="str">
        <f>IF(ROWS($6:87)&gt;COUNT($A:$A),"",INDEX('Data entry'!BK:BK,SMALL($A:$A,ROWS($6:87))))</f>
        <v/>
      </c>
      <c r="G87" s="27" t="str">
        <f>IF(ROWS($6:87)&gt;COUNT($A:$A),"",INDEX('Data entry'!BL:BL,SMALL($A:$A,ROWS($6:87))))</f>
        <v/>
      </c>
      <c r="H87" s="27" t="str">
        <f>IF(ROWS($6:87)&gt;COUNT($A:$A),"",INDEX('Data entry'!BN:BN,SMALL($A:$A,ROWS($6:87))))</f>
        <v/>
      </c>
      <c r="I87" s="87" t="str">
        <f>IF(ROWS($6:87)&gt;COUNT($A:$A),"",INDEX('Data entry'!S:S,SMALL($A:$A,ROWS($6:87))))</f>
        <v/>
      </c>
      <c r="J87" s="27" t="str">
        <f>IF(ROWS($6:87)&gt;COUNT($A:$A),"",INDEX('Data entry'!AR:AR,SMALL($A:$A,ROWS($6:87))))</f>
        <v/>
      </c>
    </row>
    <row r="88" spans="1:10" x14ac:dyDescent="0.2">
      <c r="A88" s="27" t="str">
        <f>IF(OR('Data entry'!B88="Probable", 'Data entry'!B88="Confirmed"),ROW(),"")</f>
        <v/>
      </c>
      <c r="B88" s="27" t="str">
        <f>IF(ROWS($6:88)&gt;COUNT($A:$A),"",INDEX('Data entry'!H:H,SMALL($A:$A,ROWS($6:88))))</f>
        <v/>
      </c>
      <c r="C88" s="27" t="str">
        <f>IF(ROWS($6:88)&gt;COUNT($A:$A),"",INDEX('Data entry'!BJ:BJ,SMALL($A:$A,ROWS($6:88))))</f>
        <v/>
      </c>
      <c r="D88" s="87" t="str">
        <f>IF(ROWS($6:88)&gt;COUNT($A:$A),"",INDEX('Data entry'!R:R,SMALL($A:$A,ROWS($6:88))))</f>
        <v/>
      </c>
      <c r="E88" s="27" t="str">
        <f>IF(ROWS($6:88)&gt;COUNT($A:$A),"",INDEX('Data entry'!BM:BM,SMALL($A:$A,ROWS($6:88))))</f>
        <v/>
      </c>
      <c r="F88" s="27" t="str">
        <f>IF(ROWS($6:88)&gt;COUNT($A:$A),"",INDEX('Data entry'!BK:BK,SMALL($A:$A,ROWS($6:88))))</f>
        <v/>
      </c>
      <c r="G88" s="27" t="str">
        <f>IF(ROWS($6:88)&gt;COUNT($A:$A),"",INDEX('Data entry'!BL:BL,SMALL($A:$A,ROWS($6:88))))</f>
        <v/>
      </c>
      <c r="H88" s="27" t="str">
        <f>IF(ROWS($6:88)&gt;COUNT($A:$A),"",INDEX('Data entry'!BN:BN,SMALL($A:$A,ROWS($6:88))))</f>
        <v/>
      </c>
      <c r="I88" s="87" t="str">
        <f>IF(ROWS($6:88)&gt;COUNT($A:$A),"",INDEX('Data entry'!S:S,SMALL($A:$A,ROWS($6:88))))</f>
        <v/>
      </c>
      <c r="J88" s="27" t="str">
        <f>IF(ROWS($6:88)&gt;COUNT($A:$A),"",INDEX('Data entry'!AR:AR,SMALL($A:$A,ROWS($6:88))))</f>
        <v/>
      </c>
    </row>
    <row r="89" spans="1:10" x14ac:dyDescent="0.2">
      <c r="A89" s="27" t="str">
        <f>IF(OR('Data entry'!B89="Probable", 'Data entry'!B89="Confirmed"),ROW(),"")</f>
        <v/>
      </c>
      <c r="B89" s="27" t="str">
        <f>IF(ROWS($6:89)&gt;COUNT($A:$A),"",INDEX('Data entry'!H:H,SMALL($A:$A,ROWS($6:89))))</f>
        <v/>
      </c>
      <c r="C89" s="27" t="str">
        <f>IF(ROWS($6:89)&gt;COUNT($A:$A),"",INDEX('Data entry'!BJ:BJ,SMALL($A:$A,ROWS($6:89))))</f>
        <v/>
      </c>
      <c r="D89" s="87" t="str">
        <f>IF(ROWS($6:89)&gt;COUNT($A:$A),"",INDEX('Data entry'!R:R,SMALL($A:$A,ROWS($6:89))))</f>
        <v/>
      </c>
      <c r="E89" s="27" t="str">
        <f>IF(ROWS($6:89)&gt;COUNT($A:$A),"",INDEX('Data entry'!BM:BM,SMALL($A:$A,ROWS($6:89))))</f>
        <v/>
      </c>
      <c r="F89" s="27" t="str">
        <f>IF(ROWS($6:89)&gt;COUNT($A:$A),"",INDEX('Data entry'!BK:BK,SMALL($A:$A,ROWS($6:89))))</f>
        <v/>
      </c>
      <c r="G89" s="27" t="str">
        <f>IF(ROWS($6:89)&gt;COUNT($A:$A),"",INDEX('Data entry'!BL:BL,SMALL($A:$A,ROWS($6:89))))</f>
        <v/>
      </c>
      <c r="H89" s="27" t="str">
        <f>IF(ROWS($6:89)&gt;COUNT($A:$A),"",INDEX('Data entry'!BN:BN,SMALL($A:$A,ROWS($6:89))))</f>
        <v/>
      </c>
      <c r="I89" s="87" t="str">
        <f>IF(ROWS($6:89)&gt;COUNT($A:$A),"",INDEX('Data entry'!S:S,SMALL($A:$A,ROWS($6:89))))</f>
        <v/>
      </c>
      <c r="J89" s="27" t="str">
        <f>IF(ROWS($6:89)&gt;COUNT($A:$A),"",INDEX('Data entry'!AR:AR,SMALL($A:$A,ROWS($6:89))))</f>
        <v/>
      </c>
    </row>
    <row r="90" spans="1:10" x14ac:dyDescent="0.2">
      <c r="A90" s="27" t="str">
        <f>IF(OR('Data entry'!B90="Probable", 'Data entry'!B90="Confirmed"),ROW(),"")</f>
        <v/>
      </c>
      <c r="B90" s="27" t="str">
        <f>IF(ROWS($6:90)&gt;COUNT($A:$A),"",INDEX('Data entry'!H:H,SMALL($A:$A,ROWS($6:90))))</f>
        <v/>
      </c>
      <c r="C90" s="27" t="str">
        <f>IF(ROWS($6:90)&gt;COUNT($A:$A),"",INDEX('Data entry'!BJ:BJ,SMALL($A:$A,ROWS($6:90))))</f>
        <v/>
      </c>
      <c r="D90" s="87" t="str">
        <f>IF(ROWS($6:90)&gt;COUNT($A:$A),"",INDEX('Data entry'!R:R,SMALL($A:$A,ROWS($6:90))))</f>
        <v/>
      </c>
      <c r="E90" s="27" t="str">
        <f>IF(ROWS($6:90)&gt;COUNT($A:$A),"",INDEX('Data entry'!BM:BM,SMALL($A:$A,ROWS($6:90))))</f>
        <v/>
      </c>
      <c r="F90" s="27" t="str">
        <f>IF(ROWS($6:90)&gt;COUNT($A:$A),"",INDEX('Data entry'!BK:BK,SMALL($A:$A,ROWS($6:90))))</f>
        <v/>
      </c>
      <c r="G90" s="27" t="str">
        <f>IF(ROWS($6:90)&gt;COUNT($A:$A),"",INDEX('Data entry'!BL:BL,SMALL($A:$A,ROWS($6:90))))</f>
        <v/>
      </c>
      <c r="H90" s="27" t="str">
        <f>IF(ROWS($6:90)&gt;COUNT($A:$A),"",INDEX('Data entry'!BN:BN,SMALL($A:$A,ROWS($6:90))))</f>
        <v/>
      </c>
      <c r="I90" s="87" t="str">
        <f>IF(ROWS($6:90)&gt;COUNT($A:$A),"",INDEX('Data entry'!S:S,SMALL($A:$A,ROWS($6:90))))</f>
        <v/>
      </c>
      <c r="J90" s="27" t="str">
        <f>IF(ROWS($6:90)&gt;COUNT($A:$A),"",INDEX('Data entry'!AR:AR,SMALL($A:$A,ROWS($6:90))))</f>
        <v/>
      </c>
    </row>
    <row r="91" spans="1:10" x14ac:dyDescent="0.2">
      <c r="A91" s="27" t="str">
        <f>IF(OR('Data entry'!B91="Probable", 'Data entry'!B91="Confirmed"),ROW(),"")</f>
        <v/>
      </c>
      <c r="B91" s="27" t="str">
        <f>IF(ROWS($6:91)&gt;COUNT($A:$A),"",INDEX('Data entry'!H:H,SMALL($A:$A,ROWS($6:91))))</f>
        <v/>
      </c>
      <c r="C91" s="27" t="str">
        <f>IF(ROWS($6:91)&gt;COUNT($A:$A),"",INDEX('Data entry'!BJ:BJ,SMALL($A:$A,ROWS($6:91))))</f>
        <v/>
      </c>
      <c r="D91" s="87" t="str">
        <f>IF(ROWS($6:91)&gt;COUNT($A:$A),"",INDEX('Data entry'!R:R,SMALL($A:$A,ROWS($6:91))))</f>
        <v/>
      </c>
      <c r="E91" s="27" t="str">
        <f>IF(ROWS($6:91)&gt;COUNT($A:$A),"",INDEX('Data entry'!BM:BM,SMALL($A:$A,ROWS($6:91))))</f>
        <v/>
      </c>
      <c r="F91" s="27" t="str">
        <f>IF(ROWS($6:91)&gt;COUNT($A:$A),"",INDEX('Data entry'!BK:BK,SMALL($A:$A,ROWS($6:91))))</f>
        <v/>
      </c>
      <c r="G91" s="27" t="str">
        <f>IF(ROWS($6:91)&gt;COUNT($A:$A),"",INDEX('Data entry'!BL:BL,SMALL($A:$A,ROWS($6:91))))</f>
        <v/>
      </c>
      <c r="H91" s="27" t="str">
        <f>IF(ROWS($6:91)&gt;COUNT($A:$A),"",INDEX('Data entry'!BN:BN,SMALL($A:$A,ROWS($6:91))))</f>
        <v/>
      </c>
      <c r="I91" s="87" t="str">
        <f>IF(ROWS($6:91)&gt;COUNT($A:$A),"",INDEX('Data entry'!S:S,SMALL($A:$A,ROWS($6:91))))</f>
        <v/>
      </c>
      <c r="J91" s="27" t="str">
        <f>IF(ROWS($6:91)&gt;COUNT($A:$A),"",INDEX('Data entry'!AR:AR,SMALL($A:$A,ROWS($6:91))))</f>
        <v/>
      </c>
    </row>
    <row r="92" spans="1:10" x14ac:dyDescent="0.2">
      <c r="A92" s="27" t="str">
        <f>IF(OR('Data entry'!B92="Probable", 'Data entry'!B92="Confirmed"),ROW(),"")</f>
        <v/>
      </c>
      <c r="B92" s="27" t="str">
        <f>IF(ROWS($6:92)&gt;COUNT($A:$A),"",INDEX('Data entry'!H:H,SMALL($A:$A,ROWS($6:92))))</f>
        <v/>
      </c>
      <c r="C92" s="27" t="str">
        <f>IF(ROWS($6:92)&gt;COUNT($A:$A),"",INDEX('Data entry'!BJ:BJ,SMALL($A:$A,ROWS($6:92))))</f>
        <v/>
      </c>
      <c r="D92" s="87" t="str">
        <f>IF(ROWS($6:92)&gt;COUNT($A:$A),"",INDEX('Data entry'!R:R,SMALL($A:$A,ROWS($6:92))))</f>
        <v/>
      </c>
      <c r="E92" s="27" t="str">
        <f>IF(ROWS($6:92)&gt;COUNT($A:$A),"",INDEX('Data entry'!BM:BM,SMALL($A:$A,ROWS($6:92))))</f>
        <v/>
      </c>
      <c r="F92" s="27" t="str">
        <f>IF(ROWS($6:92)&gt;COUNT($A:$A),"",INDEX('Data entry'!BK:BK,SMALL($A:$A,ROWS($6:92))))</f>
        <v/>
      </c>
      <c r="G92" s="27" t="str">
        <f>IF(ROWS($6:92)&gt;COUNT($A:$A),"",INDEX('Data entry'!BL:BL,SMALL($A:$A,ROWS($6:92))))</f>
        <v/>
      </c>
      <c r="H92" s="27" t="str">
        <f>IF(ROWS($6:92)&gt;COUNT($A:$A),"",INDEX('Data entry'!BN:BN,SMALL($A:$A,ROWS($6:92))))</f>
        <v/>
      </c>
      <c r="I92" s="87" t="str">
        <f>IF(ROWS($6:92)&gt;COUNT($A:$A),"",INDEX('Data entry'!S:S,SMALL($A:$A,ROWS($6:92))))</f>
        <v/>
      </c>
      <c r="J92" s="27" t="str">
        <f>IF(ROWS($6:92)&gt;COUNT($A:$A),"",INDEX('Data entry'!AR:AR,SMALL($A:$A,ROWS($6:92))))</f>
        <v/>
      </c>
    </row>
    <row r="93" spans="1:10" x14ac:dyDescent="0.2">
      <c r="A93" s="27" t="str">
        <f>IF(OR('Data entry'!B93="Probable", 'Data entry'!B93="Confirmed"),ROW(),"")</f>
        <v/>
      </c>
      <c r="B93" s="27" t="str">
        <f>IF(ROWS($6:93)&gt;COUNT($A:$A),"",INDEX('Data entry'!H:H,SMALL($A:$A,ROWS($6:93))))</f>
        <v/>
      </c>
      <c r="C93" s="27" t="str">
        <f>IF(ROWS($6:93)&gt;COUNT($A:$A),"",INDEX('Data entry'!BJ:BJ,SMALL($A:$A,ROWS($6:93))))</f>
        <v/>
      </c>
      <c r="D93" s="87" t="str">
        <f>IF(ROWS($6:93)&gt;COUNT($A:$A),"",INDEX('Data entry'!R:R,SMALL($A:$A,ROWS($6:93))))</f>
        <v/>
      </c>
      <c r="E93" s="27" t="str">
        <f>IF(ROWS($6:93)&gt;COUNT($A:$A),"",INDEX('Data entry'!BM:BM,SMALL($A:$A,ROWS($6:93))))</f>
        <v/>
      </c>
      <c r="F93" s="27" t="str">
        <f>IF(ROWS($6:93)&gt;COUNT($A:$A),"",INDEX('Data entry'!BK:BK,SMALL($A:$A,ROWS($6:93))))</f>
        <v/>
      </c>
      <c r="G93" s="27" t="str">
        <f>IF(ROWS($6:93)&gt;COUNT($A:$A),"",INDEX('Data entry'!BL:BL,SMALL($A:$A,ROWS($6:93))))</f>
        <v/>
      </c>
      <c r="H93" s="27" t="str">
        <f>IF(ROWS($6:93)&gt;COUNT($A:$A),"",INDEX('Data entry'!BN:BN,SMALL($A:$A,ROWS($6:93))))</f>
        <v/>
      </c>
      <c r="I93" s="87" t="str">
        <f>IF(ROWS($6:93)&gt;COUNT($A:$A),"",INDEX('Data entry'!S:S,SMALL($A:$A,ROWS($6:93))))</f>
        <v/>
      </c>
      <c r="J93" s="27" t="str">
        <f>IF(ROWS($6:93)&gt;COUNT($A:$A),"",INDEX('Data entry'!AR:AR,SMALL($A:$A,ROWS($6:93))))</f>
        <v/>
      </c>
    </row>
    <row r="94" spans="1:10" x14ac:dyDescent="0.2">
      <c r="A94" s="27" t="str">
        <f>IF(OR('Data entry'!B94="Probable", 'Data entry'!B94="Confirmed"),ROW(),"")</f>
        <v/>
      </c>
      <c r="B94" s="27" t="str">
        <f>IF(ROWS($6:94)&gt;COUNT($A:$A),"",INDEX('Data entry'!H:H,SMALL($A:$A,ROWS($6:94))))</f>
        <v/>
      </c>
      <c r="C94" s="27" t="str">
        <f>IF(ROWS($6:94)&gt;COUNT($A:$A),"",INDEX('Data entry'!BJ:BJ,SMALL($A:$A,ROWS($6:94))))</f>
        <v/>
      </c>
      <c r="D94" s="87" t="str">
        <f>IF(ROWS($6:94)&gt;COUNT($A:$A),"",INDEX('Data entry'!R:R,SMALL($A:$A,ROWS($6:94))))</f>
        <v/>
      </c>
      <c r="E94" s="27" t="str">
        <f>IF(ROWS($6:94)&gt;COUNT($A:$A),"",INDEX('Data entry'!BM:BM,SMALL($A:$A,ROWS($6:94))))</f>
        <v/>
      </c>
      <c r="F94" s="27" t="str">
        <f>IF(ROWS($6:94)&gt;COUNT($A:$A),"",INDEX('Data entry'!BK:BK,SMALL($A:$A,ROWS($6:94))))</f>
        <v/>
      </c>
      <c r="G94" s="27" t="str">
        <f>IF(ROWS($6:94)&gt;COUNT($A:$A),"",INDEX('Data entry'!BL:BL,SMALL($A:$A,ROWS($6:94))))</f>
        <v/>
      </c>
      <c r="H94" s="27" t="str">
        <f>IF(ROWS($6:94)&gt;COUNT($A:$A),"",INDEX('Data entry'!BN:BN,SMALL($A:$A,ROWS($6:94))))</f>
        <v/>
      </c>
      <c r="I94" s="87" t="str">
        <f>IF(ROWS($6:94)&gt;COUNT($A:$A),"",INDEX('Data entry'!S:S,SMALL($A:$A,ROWS($6:94))))</f>
        <v/>
      </c>
      <c r="J94" s="27" t="str">
        <f>IF(ROWS($6:94)&gt;COUNT($A:$A),"",INDEX('Data entry'!AR:AR,SMALL($A:$A,ROWS($6:94))))</f>
        <v/>
      </c>
    </row>
    <row r="95" spans="1:10" x14ac:dyDescent="0.2">
      <c r="A95" s="27" t="str">
        <f>IF(OR('Data entry'!B95="Probable", 'Data entry'!B95="Confirmed"),ROW(),"")</f>
        <v/>
      </c>
      <c r="B95" s="27" t="str">
        <f>IF(ROWS($6:95)&gt;COUNT($A:$A),"",INDEX('Data entry'!H:H,SMALL($A:$A,ROWS($6:95))))</f>
        <v/>
      </c>
      <c r="C95" s="27" t="str">
        <f>IF(ROWS($6:95)&gt;COUNT($A:$A),"",INDEX('Data entry'!BJ:BJ,SMALL($A:$A,ROWS($6:95))))</f>
        <v/>
      </c>
      <c r="D95" s="87" t="str">
        <f>IF(ROWS($6:95)&gt;COUNT($A:$A),"",INDEX('Data entry'!R:R,SMALL($A:$A,ROWS($6:95))))</f>
        <v/>
      </c>
      <c r="E95" s="27" t="str">
        <f>IF(ROWS($6:95)&gt;COUNT($A:$A),"",INDEX('Data entry'!BM:BM,SMALL($A:$A,ROWS($6:95))))</f>
        <v/>
      </c>
      <c r="F95" s="27" t="str">
        <f>IF(ROWS($6:95)&gt;COUNT($A:$A),"",INDEX('Data entry'!BK:BK,SMALL($A:$A,ROWS($6:95))))</f>
        <v/>
      </c>
      <c r="G95" s="27" t="str">
        <f>IF(ROWS($6:95)&gt;COUNT($A:$A),"",INDEX('Data entry'!BL:BL,SMALL($A:$A,ROWS($6:95))))</f>
        <v/>
      </c>
      <c r="H95" s="27" t="str">
        <f>IF(ROWS($6:95)&gt;COUNT($A:$A),"",INDEX('Data entry'!BN:BN,SMALL($A:$A,ROWS($6:95))))</f>
        <v/>
      </c>
      <c r="I95" s="87" t="str">
        <f>IF(ROWS($6:95)&gt;COUNT($A:$A),"",INDEX('Data entry'!S:S,SMALL($A:$A,ROWS($6:95))))</f>
        <v/>
      </c>
      <c r="J95" s="27" t="str">
        <f>IF(ROWS($6:95)&gt;COUNT($A:$A),"",INDEX('Data entry'!AR:AR,SMALL($A:$A,ROWS($6:95))))</f>
        <v/>
      </c>
    </row>
    <row r="96" spans="1:10" x14ac:dyDescent="0.2">
      <c r="A96" s="27" t="str">
        <f>IF(OR('Data entry'!B96="Probable", 'Data entry'!B96="Confirmed"),ROW(),"")</f>
        <v/>
      </c>
      <c r="B96" s="27" t="str">
        <f>IF(ROWS($6:96)&gt;COUNT($A:$A),"",INDEX('Data entry'!H:H,SMALL($A:$A,ROWS($6:96))))</f>
        <v/>
      </c>
      <c r="C96" s="27" t="str">
        <f>IF(ROWS($6:96)&gt;COUNT($A:$A),"",INDEX('Data entry'!BJ:BJ,SMALL($A:$A,ROWS($6:96))))</f>
        <v/>
      </c>
      <c r="D96" s="87" t="str">
        <f>IF(ROWS($6:96)&gt;COUNT($A:$A),"",INDEX('Data entry'!R:R,SMALL($A:$A,ROWS($6:96))))</f>
        <v/>
      </c>
      <c r="E96" s="27" t="str">
        <f>IF(ROWS($6:96)&gt;COUNT($A:$A),"",INDEX('Data entry'!BM:BM,SMALL($A:$A,ROWS($6:96))))</f>
        <v/>
      </c>
      <c r="F96" s="27" t="str">
        <f>IF(ROWS($6:96)&gt;COUNT($A:$A),"",INDEX('Data entry'!BK:BK,SMALL($A:$A,ROWS($6:96))))</f>
        <v/>
      </c>
      <c r="G96" s="27" t="str">
        <f>IF(ROWS($6:96)&gt;COUNT($A:$A),"",INDEX('Data entry'!BL:BL,SMALL($A:$A,ROWS($6:96))))</f>
        <v/>
      </c>
      <c r="H96" s="27" t="str">
        <f>IF(ROWS($6:96)&gt;COUNT($A:$A),"",INDEX('Data entry'!BN:BN,SMALL($A:$A,ROWS($6:96))))</f>
        <v/>
      </c>
      <c r="I96" s="87" t="str">
        <f>IF(ROWS($6:96)&gt;COUNT($A:$A),"",INDEX('Data entry'!S:S,SMALL($A:$A,ROWS($6:96))))</f>
        <v/>
      </c>
      <c r="J96" s="27" t="str">
        <f>IF(ROWS($6:96)&gt;COUNT($A:$A),"",INDEX('Data entry'!AR:AR,SMALL($A:$A,ROWS($6:96))))</f>
        <v/>
      </c>
    </row>
    <row r="97" spans="1:10" x14ac:dyDescent="0.2">
      <c r="A97" s="27" t="str">
        <f>IF(OR('Data entry'!B97="Probable", 'Data entry'!B97="Confirmed"),ROW(),"")</f>
        <v/>
      </c>
      <c r="B97" s="27" t="str">
        <f>IF(ROWS($6:97)&gt;COUNT($A:$A),"",INDEX('Data entry'!H:H,SMALL($A:$A,ROWS($6:97))))</f>
        <v/>
      </c>
      <c r="C97" s="27" t="str">
        <f>IF(ROWS($6:97)&gt;COUNT($A:$A),"",INDEX('Data entry'!BJ:BJ,SMALL($A:$A,ROWS($6:97))))</f>
        <v/>
      </c>
      <c r="D97" s="87" t="str">
        <f>IF(ROWS($6:97)&gt;COUNT($A:$A),"",INDEX('Data entry'!R:R,SMALL($A:$A,ROWS($6:97))))</f>
        <v/>
      </c>
      <c r="E97" s="27" t="str">
        <f>IF(ROWS($6:97)&gt;COUNT($A:$A),"",INDEX('Data entry'!BM:BM,SMALL($A:$A,ROWS($6:97))))</f>
        <v/>
      </c>
      <c r="F97" s="27" t="str">
        <f>IF(ROWS($6:97)&gt;COUNT($A:$A),"",INDEX('Data entry'!BK:BK,SMALL($A:$A,ROWS($6:97))))</f>
        <v/>
      </c>
      <c r="G97" s="27" t="str">
        <f>IF(ROWS($6:97)&gt;COUNT($A:$A),"",INDEX('Data entry'!BL:BL,SMALL($A:$A,ROWS($6:97))))</f>
        <v/>
      </c>
      <c r="H97" s="27" t="str">
        <f>IF(ROWS($6:97)&gt;COUNT($A:$A),"",INDEX('Data entry'!BN:BN,SMALL($A:$A,ROWS($6:97))))</f>
        <v/>
      </c>
      <c r="I97" s="87" t="str">
        <f>IF(ROWS($6:97)&gt;COUNT($A:$A),"",INDEX('Data entry'!S:S,SMALL($A:$A,ROWS($6:97))))</f>
        <v/>
      </c>
      <c r="J97" s="27" t="str">
        <f>IF(ROWS($6:97)&gt;COUNT($A:$A),"",INDEX('Data entry'!AR:AR,SMALL($A:$A,ROWS($6:97))))</f>
        <v/>
      </c>
    </row>
    <row r="98" spans="1:10" x14ac:dyDescent="0.2">
      <c r="A98" s="27" t="str">
        <f>IF(OR('Data entry'!B98="Probable", 'Data entry'!B98="Confirmed"),ROW(),"")</f>
        <v/>
      </c>
      <c r="B98" s="27" t="str">
        <f>IF(ROWS($6:98)&gt;COUNT($A:$A),"",INDEX('Data entry'!H:H,SMALL($A:$A,ROWS($6:98))))</f>
        <v/>
      </c>
      <c r="C98" s="27" t="str">
        <f>IF(ROWS($6:98)&gt;COUNT($A:$A),"",INDEX('Data entry'!BJ:BJ,SMALL($A:$A,ROWS($6:98))))</f>
        <v/>
      </c>
      <c r="D98" s="87" t="str">
        <f>IF(ROWS($6:98)&gt;COUNT($A:$A),"",INDEX('Data entry'!R:R,SMALL($A:$A,ROWS($6:98))))</f>
        <v/>
      </c>
      <c r="E98" s="27" t="str">
        <f>IF(ROWS($6:98)&gt;COUNT($A:$A),"",INDEX('Data entry'!BM:BM,SMALL($A:$A,ROWS($6:98))))</f>
        <v/>
      </c>
      <c r="F98" s="27" t="str">
        <f>IF(ROWS($6:98)&gt;COUNT($A:$A),"",INDEX('Data entry'!BK:BK,SMALL($A:$A,ROWS($6:98))))</f>
        <v/>
      </c>
      <c r="G98" s="27" t="str">
        <f>IF(ROWS($6:98)&gt;COUNT($A:$A),"",INDEX('Data entry'!BL:BL,SMALL($A:$A,ROWS($6:98))))</f>
        <v/>
      </c>
      <c r="H98" s="27" t="str">
        <f>IF(ROWS($6:98)&gt;COUNT($A:$A),"",INDEX('Data entry'!BN:BN,SMALL($A:$A,ROWS($6:98))))</f>
        <v/>
      </c>
      <c r="I98" s="87" t="str">
        <f>IF(ROWS($6:98)&gt;COUNT($A:$A),"",INDEX('Data entry'!S:S,SMALL($A:$A,ROWS($6:98))))</f>
        <v/>
      </c>
      <c r="J98" s="27" t="str">
        <f>IF(ROWS($6:98)&gt;COUNT($A:$A),"",INDEX('Data entry'!AR:AR,SMALL($A:$A,ROWS($6:98))))</f>
        <v/>
      </c>
    </row>
    <row r="99" spans="1:10" x14ac:dyDescent="0.2">
      <c r="A99" s="27" t="str">
        <f>IF(OR('Data entry'!B99="Probable", 'Data entry'!B99="Confirmed"),ROW(),"")</f>
        <v/>
      </c>
      <c r="B99" s="27" t="str">
        <f>IF(ROWS($6:99)&gt;COUNT($A:$A),"",INDEX('Data entry'!H:H,SMALL($A:$A,ROWS($6:99))))</f>
        <v/>
      </c>
      <c r="C99" s="27" t="str">
        <f>IF(ROWS($6:99)&gt;COUNT($A:$A),"",INDEX('Data entry'!BJ:BJ,SMALL($A:$A,ROWS($6:99))))</f>
        <v/>
      </c>
      <c r="D99" s="87" t="str">
        <f>IF(ROWS($6:99)&gt;COUNT($A:$A),"",INDEX('Data entry'!R:R,SMALL($A:$A,ROWS($6:99))))</f>
        <v/>
      </c>
      <c r="E99" s="27" t="str">
        <f>IF(ROWS($6:99)&gt;COUNT($A:$A),"",INDEX('Data entry'!BM:BM,SMALL($A:$A,ROWS($6:99))))</f>
        <v/>
      </c>
      <c r="F99" s="27" t="str">
        <f>IF(ROWS($6:99)&gt;COUNT($A:$A),"",INDEX('Data entry'!BK:BK,SMALL($A:$A,ROWS($6:99))))</f>
        <v/>
      </c>
      <c r="G99" s="27" t="str">
        <f>IF(ROWS($6:99)&gt;COUNT($A:$A),"",INDEX('Data entry'!BL:BL,SMALL($A:$A,ROWS($6:99))))</f>
        <v/>
      </c>
      <c r="H99" s="27" t="str">
        <f>IF(ROWS($6:99)&gt;COUNT($A:$A),"",INDEX('Data entry'!BN:BN,SMALL($A:$A,ROWS($6:99))))</f>
        <v/>
      </c>
      <c r="I99" s="87" t="str">
        <f>IF(ROWS($6:99)&gt;COUNT($A:$A),"",INDEX('Data entry'!S:S,SMALL($A:$A,ROWS($6:99))))</f>
        <v/>
      </c>
      <c r="J99" s="27" t="str">
        <f>IF(ROWS($6:99)&gt;COUNT($A:$A),"",INDEX('Data entry'!AR:AR,SMALL($A:$A,ROWS($6:99))))</f>
        <v/>
      </c>
    </row>
    <row r="100" spans="1:10" x14ac:dyDescent="0.2">
      <c r="A100" s="27" t="str">
        <f>IF(OR('Data entry'!B100="Probable", 'Data entry'!B100="Confirmed"),ROW(),"")</f>
        <v/>
      </c>
      <c r="B100" s="27" t="str">
        <f>IF(ROWS($6:100)&gt;COUNT($A:$A),"",INDEX('Data entry'!H:H,SMALL($A:$A,ROWS($6:100))))</f>
        <v/>
      </c>
      <c r="C100" s="27" t="str">
        <f>IF(ROWS($6:100)&gt;COUNT($A:$A),"",INDEX('Data entry'!BJ:BJ,SMALL($A:$A,ROWS($6:100))))</f>
        <v/>
      </c>
      <c r="D100" s="87" t="str">
        <f>IF(ROWS($6:100)&gt;COUNT($A:$A),"",INDEX('Data entry'!R:R,SMALL($A:$A,ROWS($6:100))))</f>
        <v/>
      </c>
      <c r="E100" s="27" t="str">
        <f>IF(ROWS($6:100)&gt;COUNT($A:$A),"",INDEX('Data entry'!BM:BM,SMALL($A:$A,ROWS($6:100))))</f>
        <v/>
      </c>
      <c r="F100" s="27" t="str">
        <f>IF(ROWS($6:100)&gt;COUNT($A:$A),"",INDEX('Data entry'!BK:BK,SMALL($A:$A,ROWS($6:100))))</f>
        <v/>
      </c>
      <c r="G100" s="27" t="str">
        <f>IF(ROWS($6:100)&gt;COUNT($A:$A),"",INDEX('Data entry'!BL:BL,SMALL($A:$A,ROWS($6:100))))</f>
        <v/>
      </c>
      <c r="H100" s="27" t="str">
        <f>IF(ROWS($6:100)&gt;COUNT($A:$A),"",INDEX('Data entry'!BN:BN,SMALL($A:$A,ROWS($6:100))))</f>
        <v/>
      </c>
      <c r="I100" s="87" t="str">
        <f>IF(ROWS($6:100)&gt;COUNT($A:$A),"",INDEX('Data entry'!S:S,SMALL($A:$A,ROWS($6:100))))</f>
        <v/>
      </c>
      <c r="J100" s="27" t="str">
        <f>IF(ROWS($6:100)&gt;COUNT($A:$A),"",INDEX('Data entry'!AR:AR,SMALL($A:$A,ROWS($6:100))))</f>
        <v/>
      </c>
    </row>
    <row r="101" spans="1:10" x14ac:dyDescent="0.2">
      <c r="A101" s="27" t="str">
        <f>IF(OR('Data entry'!B101="Probable", 'Data entry'!B101="Confirmed"),ROW(),"")</f>
        <v/>
      </c>
      <c r="B101" s="27" t="str">
        <f>IF(ROWS($6:101)&gt;COUNT($A:$A),"",INDEX('Data entry'!H:H,SMALL($A:$A,ROWS($6:101))))</f>
        <v/>
      </c>
      <c r="C101" s="27" t="str">
        <f>IF(ROWS($6:101)&gt;COUNT($A:$A),"",INDEX('Data entry'!BJ:BJ,SMALL($A:$A,ROWS($6:101))))</f>
        <v/>
      </c>
      <c r="D101" s="87" t="str">
        <f>IF(ROWS($6:101)&gt;COUNT($A:$A),"",INDEX('Data entry'!R:R,SMALL($A:$A,ROWS($6:101))))</f>
        <v/>
      </c>
      <c r="E101" s="27" t="str">
        <f>IF(ROWS($6:101)&gt;COUNT($A:$A),"",INDEX('Data entry'!BM:BM,SMALL($A:$A,ROWS($6:101))))</f>
        <v/>
      </c>
      <c r="F101" s="27" t="str">
        <f>IF(ROWS($6:101)&gt;COUNT($A:$A),"",INDEX('Data entry'!BK:BK,SMALL($A:$A,ROWS($6:101))))</f>
        <v/>
      </c>
      <c r="G101" s="27" t="str">
        <f>IF(ROWS($6:101)&gt;COUNT($A:$A),"",INDEX('Data entry'!BL:BL,SMALL($A:$A,ROWS($6:101))))</f>
        <v/>
      </c>
      <c r="H101" s="27" t="str">
        <f>IF(ROWS($6:101)&gt;COUNT($A:$A),"",INDEX('Data entry'!BN:BN,SMALL($A:$A,ROWS($6:101))))</f>
        <v/>
      </c>
      <c r="I101" s="87" t="str">
        <f>IF(ROWS($6:101)&gt;COUNT($A:$A),"",INDEX('Data entry'!S:S,SMALL($A:$A,ROWS($6:101))))</f>
        <v/>
      </c>
      <c r="J101" s="27" t="str">
        <f>IF(ROWS($6:101)&gt;COUNT($A:$A),"",INDEX('Data entry'!AR:AR,SMALL($A:$A,ROWS($6:101))))</f>
        <v/>
      </c>
    </row>
    <row r="102" spans="1:10" x14ac:dyDescent="0.2">
      <c r="A102" s="27" t="str">
        <f>IF(OR('Data entry'!B102="Probable", 'Data entry'!B102="Confirmed"),ROW(),"")</f>
        <v/>
      </c>
      <c r="B102" s="27" t="str">
        <f>IF(ROWS($6:102)&gt;COUNT($A:$A),"",INDEX('Data entry'!H:H,SMALL($A:$A,ROWS($6:102))))</f>
        <v/>
      </c>
      <c r="C102" s="27" t="str">
        <f>IF(ROWS($6:102)&gt;COUNT($A:$A),"",INDEX('Data entry'!BJ:BJ,SMALL($A:$A,ROWS($6:102))))</f>
        <v/>
      </c>
      <c r="D102" s="87" t="str">
        <f>IF(ROWS($6:102)&gt;COUNT($A:$A),"",INDEX('Data entry'!R:R,SMALL($A:$A,ROWS($6:102))))</f>
        <v/>
      </c>
      <c r="E102" s="27" t="str">
        <f>IF(ROWS($6:102)&gt;COUNT($A:$A),"",INDEX('Data entry'!BM:BM,SMALL($A:$A,ROWS($6:102))))</f>
        <v/>
      </c>
      <c r="F102" s="27" t="str">
        <f>IF(ROWS($6:102)&gt;COUNT($A:$A),"",INDEX('Data entry'!BK:BK,SMALL($A:$A,ROWS($6:102))))</f>
        <v/>
      </c>
      <c r="G102" s="27" t="str">
        <f>IF(ROWS($6:102)&gt;COUNT($A:$A),"",INDEX('Data entry'!BL:BL,SMALL($A:$A,ROWS($6:102))))</f>
        <v/>
      </c>
      <c r="H102" s="27" t="str">
        <f>IF(ROWS($6:102)&gt;COUNT($A:$A),"",INDEX('Data entry'!BN:BN,SMALL($A:$A,ROWS($6:102))))</f>
        <v/>
      </c>
      <c r="I102" s="87" t="str">
        <f>IF(ROWS($6:102)&gt;COUNT($A:$A),"",INDEX('Data entry'!S:S,SMALL($A:$A,ROWS($6:102))))</f>
        <v/>
      </c>
      <c r="J102" s="27" t="str">
        <f>IF(ROWS($6:102)&gt;COUNT($A:$A),"",INDEX('Data entry'!AR:AR,SMALL($A:$A,ROWS($6:102))))</f>
        <v/>
      </c>
    </row>
    <row r="103" spans="1:10" x14ac:dyDescent="0.2">
      <c r="A103" s="27" t="str">
        <f>IF(OR('Data entry'!B103="Probable", 'Data entry'!B103="Confirmed"),ROW(),"")</f>
        <v/>
      </c>
      <c r="B103" s="27" t="str">
        <f>IF(ROWS($6:103)&gt;COUNT($A:$A),"",INDEX('Data entry'!H:H,SMALL($A:$A,ROWS($6:103))))</f>
        <v/>
      </c>
      <c r="C103" s="27" t="str">
        <f>IF(ROWS($6:103)&gt;COUNT($A:$A),"",INDEX('Data entry'!BJ:BJ,SMALL($A:$A,ROWS($6:103))))</f>
        <v/>
      </c>
      <c r="D103" s="87" t="str">
        <f>IF(ROWS($6:103)&gt;COUNT($A:$A),"",INDEX('Data entry'!R:R,SMALL($A:$A,ROWS($6:103))))</f>
        <v/>
      </c>
      <c r="E103" s="27" t="str">
        <f>IF(ROWS($6:103)&gt;COUNT($A:$A),"",INDEX('Data entry'!BM:BM,SMALL($A:$A,ROWS($6:103))))</f>
        <v/>
      </c>
      <c r="F103" s="27" t="str">
        <f>IF(ROWS($6:103)&gt;COUNT($A:$A),"",INDEX('Data entry'!BK:BK,SMALL($A:$A,ROWS($6:103))))</f>
        <v/>
      </c>
      <c r="G103" s="27" t="str">
        <f>IF(ROWS($6:103)&gt;COUNT($A:$A),"",INDEX('Data entry'!BL:BL,SMALL($A:$A,ROWS($6:103))))</f>
        <v/>
      </c>
      <c r="H103" s="27" t="str">
        <f>IF(ROWS($6:103)&gt;COUNT($A:$A),"",INDEX('Data entry'!BN:BN,SMALL($A:$A,ROWS($6:103))))</f>
        <v/>
      </c>
      <c r="I103" s="87" t="str">
        <f>IF(ROWS($6:103)&gt;COUNT($A:$A),"",INDEX('Data entry'!S:S,SMALL($A:$A,ROWS($6:103))))</f>
        <v/>
      </c>
      <c r="J103" s="27" t="str">
        <f>IF(ROWS($6:103)&gt;COUNT($A:$A),"",INDEX('Data entry'!AR:AR,SMALL($A:$A,ROWS($6:103))))</f>
        <v/>
      </c>
    </row>
    <row r="104" spans="1:10" x14ac:dyDescent="0.2">
      <c r="A104" s="27" t="str">
        <f>IF(OR('Data entry'!B104="Probable", 'Data entry'!B104="Confirmed"),ROW(),"")</f>
        <v/>
      </c>
      <c r="B104" s="27" t="str">
        <f>IF(ROWS($6:104)&gt;COUNT($A:$A),"",INDEX('Data entry'!H:H,SMALL($A:$A,ROWS($6:104))))</f>
        <v/>
      </c>
      <c r="C104" s="27" t="str">
        <f>IF(ROWS($6:104)&gt;COUNT($A:$A),"",INDEX('Data entry'!BJ:BJ,SMALL($A:$A,ROWS($6:104))))</f>
        <v/>
      </c>
      <c r="D104" s="87" t="str">
        <f>IF(ROWS($6:104)&gt;COUNT($A:$A),"",INDEX('Data entry'!R:R,SMALL($A:$A,ROWS($6:104))))</f>
        <v/>
      </c>
      <c r="E104" s="27" t="str">
        <f>IF(ROWS($6:104)&gt;COUNT($A:$A),"",INDEX('Data entry'!BM:BM,SMALL($A:$A,ROWS($6:104))))</f>
        <v/>
      </c>
      <c r="F104" s="27" t="str">
        <f>IF(ROWS($6:104)&gt;COUNT($A:$A),"",INDEX('Data entry'!BK:BK,SMALL($A:$A,ROWS($6:104))))</f>
        <v/>
      </c>
      <c r="G104" s="27" t="str">
        <f>IF(ROWS($6:104)&gt;COUNT($A:$A),"",INDEX('Data entry'!BL:BL,SMALL($A:$A,ROWS($6:104))))</f>
        <v/>
      </c>
      <c r="H104" s="27" t="str">
        <f>IF(ROWS($6:104)&gt;COUNT($A:$A),"",INDEX('Data entry'!BN:BN,SMALL($A:$A,ROWS($6:104))))</f>
        <v/>
      </c>
      <c r="I104" s="87" t="str">
        <f>IF(ROWS($6:104)&gt;COUNT($A:$A),"",INDEX('Data entry'!S:S,SMALL($A:$A,ROWS($6:104))))</f>
        <v/>
      </c>
      <c r="J104" s="27" t="str">
        <f>IF(ROWS($6:104)&gt;COUNT($A:$A),"",INDEX('Data entry'!AR:AR,SMALL($A:$A,ROWS($6:104))))</f>
        <v/>
      </c>
    </row>
    <row r="105" spans="1:10" x14ac:dyDescent="0.2">
      <c r="A105" s="27" t="str">
        <f>IF(OR('Data entry'!B105="Probable", 'Data entry'!B105="Confirmed"),ROW(),"")</f>
        <v/>
      </c>
      <c r="B105" s="27" t="str">
        <f>IF(ROWS($6:105)&gt;COUNT($A:$A),"",INDEX('Data entry'!H:H,SMALL($A:$A,ROWS($6:105))))</f>
        <v/>
      </c>
      <c r="C105" s="27" t="str">
        <f>IF(ROWS($6:105)&gt;COUNT($A:$A),"",INDEX('Data entry'!BJ:BJ,SMALL($A:$A,ROWS($6:105))))</f>
        <v/>
      </c>
      <c r="D105" s="87" t="str">
        <f>IF(ROWS($6:105)&gt;COUNT($A:$A),"",INDEX('Data entry'!R:R,SMALL($A:$A,ROWS($6:105))))</f>
        <v/>
      </c>
      <c r="E105" s="27" t="str">
        <f>IF(ROWS($6:105)&gt;COUNT($A:$A),"",INDEX('Data entry'!BM:BM,SMALL($A:$A,ROWS($6:105))))</f>
        <v/>
      </c>
      <c r="F105" s="27" t="str">
        <f>IF(ROWS($6:105)&gt;COUNT($A:$A),"",INDEX('Data entry'!BK:BK,SMALL($A:$A,ROWS($6:105))))</f>
        <v/>
      </c>
      <c r="G105" s="27" t="str">
        <f>IF(ROWS($6:105)&gt;COUNT($A:$A),"",INDEX('Data entry'!BL:BL,SMALL($A:$A,ROWS($6:105))))</f>
        <v/>
      </c>
      <c r="H105" s="27" t="str">
        <f>IF(ROWS($6:105)&gt;COUNT($A:$A),"",INDEX('Data entry'!BN:BN,SMALL($A:$A,ROWS($6:105))))</f>
        <v/>
      </c>
      <c r="I105" s="87" t="str">
        <f>IF(ROWS($6:105)&gt;COUNT($A:$A),"",INDEX('Data entry'!S:S,SMALL($A:$A,ROWS($6:105))))</f>
        <v/>
      </c>
      <c r="J105" s="27" t="str">
        <f>IF(ROWS($6:105)&gt;COUNT($A:$A),"",INDEX('Data entry'!AR:AR,SMALL($A:$A,ROWS($6:105))))</f>
        <v/>
      </c>
    </row>
    <row r="106" spans="1:10" x14ac:dyDescent="0.2">
      <c r="A106" s="27" t="str">
        <f>IF(OR('Data entry'!B106="Probable", 'Data entry'!B106="Confirmed"),ROW(),"")</f>
        <v/>
      </c>
      <c r="B106" s="27" t="str">
        <f>IF(ROWS($6:106)&gt;COUNT($A:$A),"",INDEX('Data entry'!H:H,SMALL($A:$A,ROWS($6:106))))</f>
        <v/>
      </c>
      <c r="C106" s="27" t="str">
        <f>IF(ROWS($6:106)&gt;COUNT($A:$A),"",INDEX('Data entry'!BJ:BJ,SMALL($A:$A,ROWS($6:106))))</f>
        <v/>
      </c>
      <c r="D106" s="87" t="str">
        <f>IF(ROWS($6:106)&gt;COUNT($A:$A),"",INDEX('Data entry'!R:R,SMALL($A:$A,ROWS($6:106))))</f>
        <v/>
      </c>
      <c r="E106" s="27" t="str">
        <f>IF(ROWS($6:106)&gt;COUNT($A:$A),"",INDEX('Data entry'!BM:BM,SMALL($A:$A,ROWS($6:106))))</f>
        <v/>
      </c>
      <c r="F106" s="27" t="str">
        <f>IF(ROWS($6:106)&gt;COUNT($A:$A),"",INDEX('Data entry'!BK:BK,SMALL($A:$A,ROWS($6:106))))</f>
        <v/>
      </c>
      <c r="G106" s="27" t="str">
        <f>IF(ROWS($6:106)&gt;COUNT($A:$A),"",INDEX('Data entry'!BL:BL,SMALL($A:$A,ROWS($6:106))))</f>
        <v/>
      </c>
      <c r="H106" s="27" t="str">
        <f>IF(ROWS($6:106)&gt;COUNT($A:$A),"",INDEX('Data entry'!BN:BN,SMALL($A:$A,ROWS($6:106))))</f>
        <v/>
      </c>
      <c r="I106" s="87" t="str">
        <f>IF(ROWS($6:106)&gt;COUNT($A:$A),"",INDEX('Data entry'!S:S,SMALL($A:$A,ROWS($6:106))))</f>
        <v/>
      </c>
      <c r="J106" s="27" t="str">
        <f>IF(ROWS($6:106)&gt;COUNT($A:$A),"",INDEX('Data entry'!AR:AR,SMALL($A:$A,ROWS($6:106))))</f>
        <v/>
      </c>
    </row>
    <row r="107" spans="1:10" x14ac:dyDescent="0.2">
      <c r="A107" s="27" t="str">
        <f>IF(OR('Data entry'!B107="Probable", 'Data entry'!B107="Confirmed"),ROW(),"")</f>
        <v/>
      </c>
      <c r="B107" s="27" t="str">
        <f>IF(ROWS($6:107)&gt;COUNT($A:$A),"",INDEX('Data entry'!H:H,SMALL($A:$A,ROWS($6:107))))</f>
        <v/>
      </c>
      <c r="C107" s="27" t="str">
        <f>IF(ROWS($6:107)&gt;COUNT($A:$A),"",INDEX('Data entry'!BJ:BJ,SMALL($A:$A,ROWS($6:107))))</f>
        <v/>
      </c>
      <c r="D107" s="87" t="str">
        <f>IF(ROWS($6:107)&gt;COUNT($A:$A),"",INDEX('Data entry'!R:R,SMALL($A:$A,ROWS($6:107))))</f>
        <v/>
      </c>
      <c r="E107" s="27" t="str">
        <f>IF(ROWS($6:107)&gt;COUNT($A:$A),"",INDEX('Data entry'!BM:BM,SMALL($A:$A,ROWS($6:107))))</f>
        <v/>
      </c>
      <c r="F107" s="27" t="str">
        <f>IF(ROWS($6:107)&gt;COUNT($A:$A),"",INDEX('Data entry'!BK:BK,SMALL($A:$A,ROWS($6:107))))</f>
        <v/>
      </c>
      <c r="G107" s="27" t="str">
        <f>IF(ROWS($6:107)&gt;COUNT($A:$A),"",INDEX('Data entry'!BL:BL,SMALL($A:$A,ROWS($6:107))))</f>
        <v/>
      </c>
      <c r="H107" s="27" t="str">
        <f>IF(ROWS($6:107)&gt;COUNT($A:$A),"",INDEX('Data entry'!BN:BN,SMALL($A:$A,ROWS($6:107))))</f>
        <v/>
      </c>
      <c r="I107" s="87" t="str">
        <f>IF(ROWS($6:107)&gt;COUNT($A:$A),"",INDEX('Data entry'!S:S,SMALL($A:$A,ROWS($6:107))))</f>
        <v/>
      </c>
      <c r="J107" s="27" t="str">
        <f>IF(ROWS($6:107)&gt;COUNT($A:$A),"",INDEX('Data entry'!AR:AR,SMALL($A:$A,ROWS($6:107))))</f>
        <v/>
      </c>
    </row>
    <row r="108" spans="1:10" x14ac:dyDescent="0.2">
      <c r="A108" s="27" t="str">
        <f>IF(OR('Data entry'!B108="Probable", 'Data entry'!B108="Confirmed"),ROW(),"")</f>
        <v/>
      </c>
      <c r="B108" s="27" t="str">
        <f>IF(ROWS($6:108)&gt;COUNT($A:$A),"",INDEX('Data entry'!H:H,SMALL($A:$A,ROWS($6:108))))</f>
        <v/>
      </c>
      <c r="C108" s="27" t="str">
        <f>IF(ROWS($6:108)&gt;COUNT($A:$A),"",INDEX('Data entry'!BJ:BJ,SMALL($A:$A,ROWS($6:108))))</f>
        <v/>
      </c>
      <c r="D108" s="87" t="str">
        <f>IF(ROWS($6:108)&gt;COUNT($A:$A),"",INDEX('Data entry'!R:R,SMALL($A:$A,ROWS($6:108))))</f>
        <v/>
      </c>
      <c r="E108" s="27" t="str">
        <f>IF(ROWS($6:108)&gt;COUNT($A:$A),"",INDEX('Data entry'!BM:BM,SMALL($A:$A,ROWS($6:108))))</f>
        <v/>
      </c>
      <c r="F108" s="27" t="str">
        <f>IF(ROWS($6:108)&gt;COUNT($A:$A),"",INDEX('Data entry'!BK:BK,SMALL($A:$A,ROWS($6:108))))</f>
        <v/>
      </c>
      <c r="G108" s="27" t="str">
        <f>IF(ROWS($6:108)&gt;COUNT($A:$A),"",INDEX('Data entry'!BL:BL,SMALL($A:$A,ROWS($6:108))))</f>
        <v/>
      </c>
      <c r="H108" s="27" t="str">
        <f>IF(ROWS($6:108)&gt;COUNT($A:$A),"",INDEX('Data entry'!BN:BN,SMALL($A:$A,ROWS($6:108))))</f>
        <v/>
      </c>
      <c r="I108" s="87" t="str">
        <f>IF(ROWS($6:108)&gt;COUNT($A:$A),"",INDEX('Data entry'!S:S,SMALL($A:$A,ROWS($6:108))))</f>
        <v/>
      </c>
      <c r="J108" s="27" t="str">
        <f>IF(ROWS($6:108)&gt;COUNT($A:$A),"",INDEX('Data entry'!AR:AR,SMALL($A:$A,ROWS($6:108))))</f>
        <v/>
      </c>
    </row>
    <row r="109" spans="1:10" x14ac:dyDescent="0.2">
      <c r="A109" s="27" t="str">
        <f>IF(OR('Data entry'!B109="Probable", 'Data entry'!B109="Confirmed"),ROW(),"")</f>
        <v/>
      </c>
      <c r="B109" s="27" t="str">
        <f>IF(ROWS($6:109)&gt;COUNT($A:$A),"",INDEX('Data entry'!H:H,SMALL($A:$A,ROWS($6:109))))</f>
        <v/>
      </c>
      <c r="C109" s="27" t="str">
        <f>IF(ROWS($6:109)&gt;COUNT($A:$A),"",INDEX('Data entry'!BJ:BJ,SMALL($A:$A,ROWS($6:109))))</f>
        <v/>
      </c>
      <c r="D109" s="87" t="str">
        <f>IF(ROWS($6:109)&gt;COUNT($A:$A),"",INDEX('Data entry'!R:R,SMALL($A:$A,ROWS($6:109))))</f>
        <v/>
      </c>
      <c r="E109" s="27" t="str">
        <f>IF(ROWS($6:109)&gt;COUNT($A:$A),"",INDEX('Data entry'!BM:BM,SMALL($A:$A,ROWS($6:109))))</f>
        <v/>
      </c>
      <c r="F109" s="27" t="str">
        <f>IF(ROWS($6:109)&gt;COUNT($A:$A),"",INDEX('Data entry'!BK:BK,SMALL($A:$A,ROWS($6:109))))</f>
        <v/>
      </c>
      <c r="G109" s="27" t="str">
        <f>IF(ROWS($6:109)&gt;COUNT($A:$A),"",INDEX('Data entry'!BL:BL,SMALL($A:$A,ROWS($6:109))))</f>
        <v/>
      </c>
      <c r="H109" s="27" t="str">
        <f>IF(ROWS($6:109)&gt;COUNT($A:$A),"",INDEX('Data entry'!BN:BN,SMALL($A:$A,ROWS($6:109))))</f>
        <v/>
      </c>
      <c r="I109" s="87" t="str">
        <f>IF(ROWS($6:109)&gt;COUNT($A:$A),"",INDEX('Data entry'!S:S,SMALL($A:$A,ROWS($6:109))))</f>
        <v/>
      </c>
      <c r="J109" s="27" t="str">
        <f>IF(ROWS($6:109)&gt;COUNT($A:$A),"",INDEX('Data entry'!AR:AR,SMALL($A:$A,ROWS($6:109))))</f>
        <v/>
      </c>
    </row>
    <row r="110" spans="1:10" x14ac:dyDescent="0.2">
      <c r="A110" s="27" t="str">
        <f>IF(OR('Data entry'!B110="Probable", 'Data entry'!B110="Confirmed"),ROW(),"")</f>
        <v/>
      </c>
      <c r="B110" s="27" t="str">
        <f>IF(ROWS($6:110)&gt;COUNT($A:$A),"",INDEX('Data entry'!H:H,SMALL($A:$A,ROWS($6:110))))</f>
        <v/>
      </c>
      <c r="C110" s="27" t="str">
        <f>IF(ROWS($6:110)&gt;COUNT($A:$A),"",INDEX('Data entry'!BJ:BJ,SMALL($A:$A,ROWS($6:110))))</f>
        <v/>
      </c>
      <c r="D110" s="87" t="str">
        <f>IF(ROWS($6:110)&gt;COUNT($A:$A),"",INDEX('Data entry'!R:R,SMALL($A:$A,ROWS($6:110))))</f>
        <v/>
      </c>
      <c r="E110" s="27" t="str">
        <f>IF(ROWS($6:110)&gt;COUNT($A:$A),"",INDEX('Data entry'!BM:BM,SMALL($A:$A,ROWS($6:110))))</f>
        <v/>
      </c>
      <c r="F110" s="27" t="str">
        <f>IF(ROWS($6:110)&gt;COUNT($A:$A),"",INDEX('Data entry'!BK:BK,SMALL($A:$A,ROWS($6:110))))</f>
        <v/>
      </c>
      <c r="G110" s="27" t="str">
        <f>IF(ROWS($6:110)&gt;COUNT($A:$A),"",INDEX('Data entry'!BL:BL,SMALL($A:$A,ROWS($6:110))))</f>
        <v/>
      </c>
      <c r="H110" s="27" t="str">
        <f>IF(ROWS($6:110)&gt;COUNT($A:$A),"",INDEX('Data entry'!BN:BN,SMALL($A:$A,ROWS($6:110))))</f>
        <v/>
      </c>
      <c r="I110" s="87" t="str">
        <f>IF(ROWS($6:110)&gt;COUNT($A:$A),"",INDEX('Data entry'!S:S,SMALL($A:$A,ROWS($6:110))))</f>
        <v/>
      </c>
      <c r="J110" s="27" t="str">
        <f>IF(ROWS($6:110)&gt;COUNT($A:$A),"",INDEX('Data entry'!AR:AR,SMALL($A:$A,ROWS($6:110))))</f>
        <v/>
      </c>
    </row>
    <row r="111" spans="1:10" x14ac:dyDescent="0.2">
      <c r="A111" s="27" t="str">
        <f>IF(OR('Data entry'!B111="Probable", 'Data entry'!B111="Confirmed"),ROW(),"")</f>
        <v/>
      </c>
      <c r="B111" s="27" t="str">
        <f>IF(ROWS($6:111)&gt;COUNT($A:$A),"",INDEX('Data entry'!H:H,SMALL($A:$A,ROWS($6:111))))</f>
        <v/>
      </c>
      <c r="C111" s="27" t="str">
        <f>IF(ROWS($6:111)&gt;COUNT($A:$A),"",INDEX('Data entry'!BJ:BJ,SMALL($A:$A,ROWS($6:111))))</f>
        <v/>
      </c>
      <c r="D111" s="87" t="str">
        <f>IF(ROWS($6:111)&gt;COUNT($A:$A),"",INDEX('Data entry'!R:R,SMALL($A:$A,ROWS($6:111))))</f>
        <v/>
      </c>
      <c r="E111" s="27" t="str">
        <f>IF(ROWS($6:111)&gt;COUNT($A:$A),"",INDEX('Data entry'!BM:BM,SMALL($A:$A,ROWS($6:111))))</f>
        <v/>
      </c>
      <c r="F111" s="27" t="str">
        <f>IF(ROWS($6:111)&gt;COUNT($A:$A),"",INDEX('Data entry'!BK:BK,SMALL($A:$A,ROWS($6:111))))</f>
        <v/>
      </c>
      <c r="G111" s="27" t="str">
        <f>IF(ROWS($6:111)&gt;COUNT($A:$A),"",INDEX('Data entry'!BL:BL,SMALL($A:$A,ROWS($6:111))))</f>
        <v/>
      </c>
      <c r="H111" s="27" t="str">
        <f>IF(ROWS($6:111)&gt;COUNT($A:$A),"",INDEX('Data entry'!BN:BN,SMALL($A:$A,ROWS($6:111))))</f>
        <v/>
      </c>
      <c r="I111" s="87" t="str">
        <f>IF(ROWS($6:111)&gt;COUNT($A:$A),"",INDEX('Data entry'!S:S,SMALL($A:$A,ROWS($6:111))))</f>
        <v/>
      </c>
      <c r="J111" s="27" t="str">
        <f>IF(ROWS($6:111)&gt;COUNT($A:$A),"",INDEX('Data entry'!AR:AR,SMALL($A:$A,ROWS($6:111))))</f>
        <v/>
      </c>
    </row>
    <row r="112" spans="1:10" x14ac:dyDescent="0.2">
      <c r="A112" s="27" t="str">
        <f>IF(OR('Data entry'!B112="Probable", 'Data entry'!B112="Confirmed"),ROW(),"")</f>
        <v/>
      </c>
      <c r="B112" s="27" t="str">
        <f>IF(ROWS($6:112)&gt;COUNT($A:$A),"",INDEX('Data entry'!H:H,SMALL($A:$A,ROWS($6:112))))</f>
        <v/>
      </c>
      <c r="C112" s="27" t="str">
        <f>IF(ROWS($6:112)&gt;COUNT($A:$A),"",INDEX('Data entry'!BJ:BJ,SMALL($A:$A,ROWS($6:112))))</f>
        <v/>
      </c>
      <c r="D112" s="87" t="str">
        <f>IF(ROWS($6:112)&gt;COUNT($A:$A),"",INDEX('Data entry'!R:R,SMALL($A:$A,ROWS($6:112))))</f>
        <v/>
      </c>
      <c r="E112" s="27" t="str">
        <f>IF(ROWS($6:112)&gt;COUNT($A:$A),"",INDEX('Data entry'!BM:BM,SMALL($A:$A,ROWS($6:112))))</f>
        <v/>
      </c>
      <c r="F112" s="27" t="str">
        <f>IF(ROWS($6:112)&gt;COUNT($A:$A),"",INDEX('Data entry'!BK:BK,SMALL($A:$A,ROWS($6:112))))</f>
        <v/>
      </c>
      <c r="G112" s="27" t="str">
        <f>IF(ROWS($6:112)&gt;COUNT($A:$A),"",INDEX('Data entry'!BL:BL,SMALL($A:$A,ROWS($6:112))))</f>
        <v/>
      </c>
      <c r="H112" s="27" t="str">
        <f>IF(ROWS($6:112)&gt;COUNT($A:$A),"",INDEX('Data entry'!BN:BN,SMALL($A:$A,ROWS($6:112))))</f>
        <v/>
      </c>
      <c r="I112" s="87" t="str">
        <f>IF(ROWS($6:112)&gt;COUNT($A:$A),"",INDEX('Data entry'!S:S,SMALL($A:$A,ROWS($6:112))))</f>
        <v/>
      </c>
      <c r="J112" s="27" t="str">
        <f>IF(ROWS($6:112)&gt;COUNT($A:$A),"",INDEX('Data entry'!AR:AR,SMALL($A:$A,ROWS($6:112))))</f>
        <v/>
      </c>
    </row>
    <row r="113" spans="1:10" x14ac:dyDescent="0.2">
      <c r="A113" s="27" t="str">
        <f>IF(OR('Data entry'!B113="Probable", 'Data entry'!B113="Confirmed"),ROW(),"")</f>
        <v/>
      </c>
      <c r="B113" s="27" t="str">
        <f>IF(ROWS($6:113)&gt;COUNT($A:$A),"",INDEX('Data entry'!H:H,SMALL($A:$A,ROWS($6:113))))</f>
        <v/>
      </c>
      <c r="C113" s="27" t="str">
        <f>IF(ROWS($6:113)&gt;COUNT($A:$A),"",INDEX('Data entry'!BJ:BJ,SMALL($A:$A,ROWS($6:113))))</f>
        <v/>
      </c>
      <c r="D113" s="87" t="str">
        <f>IF(ROWS($6:113)&gt;COUNT($A:$A),"",INDEX('Data entry'!R:R,SMALL($A:$A,ROWS($6:113))))</f>
        <v/>
      </c>
      <c r="E113" s="27" t="str">
        <f>IF(ROWS($6:113)&gt;COUNT($A:$A),"",INDEX('Data entry'!BM:BM,SMALL($A:$A,ROWS($6:113))))</f>
        <v/>
      </c>
      <c r="F113" s="27" t="str">
        <f>IF(ROWS($6:113)&gt;COUNT($A:$A),"",INDEX('Data entry'!BK:BK,SMALL($A:$A,ROWS($6:113))))</f>
        <v/>
      </c>
      <c r="G113" s="27" t="str">
        <f>IF(ROWS($6:113)&gt;COUNT($A:$A),"",INDEX('Data entry'!BL:BL,SMALL($A:$A,ROWS($6:113))))</f>
        <v/>
      </c>
      <c r="H113" s="27" t="str">
        <f>IF(ROWS($6:113)&gt;COUNT($A:$A),"",INDEX('Data entry'!BN:BN,SMALL($A:$A,ROWS($6:113))))</f>
        <v/>
      </c>
      <c r="I113" s="87" t="str">
        <f>IF(ROWS($6:113)&gt;COUNT($A:$A),"",INDEX('Data entry'!S:S,SMALL($A:$A,ROWS($6:113))))</f>
        <v/>
      </c>
      <c r="J113" s="27" t="str">
        <f>IF(ROWS($6:113)&gt;COUNT($A:$A),"",INDEX('Data entry'!AR:AR,SMALL($A:$A,ROWS($6:113))))</f>
        <v/>
      </c>
    </row>
    <row r="114" spans="1:10" x14ac:dyDescent="0.2">
      <c r="A114" s="27" t="str">
        <f>IF(OR('Data entry'!B114="Probable", 'Data entry'!B114="Confirmed"),ROW(),"")</f>
        <v/>
      </c>
      <c r="B114" s="27" t="str">
        <f>IF(ROWS($6:114)&gt;COUNT($A:$A),"",INDEX('Data entry'!H:H,SMALL($A:$A,ROWS($6:114))))</f>
        <v/>
      </c>
      <c r="C114" s="27" t="str">
        <f>IF(ROWS($6:114)&gt;COUNT($A:$A),"",INDEX('Data entry'!BJ:BJ,SMALL($A:$A,ROWS($6:114))))</f>
        <v/>
      </c>
      <c r="D114" s="87" t="str">
        <f>IF(ROWS($6:114)&gt;COUNT($A:$A),"",INDEX('Data entry'!R:R,SMALL($A:$A,ROWS($6:114))))</f>
        <v/>
      </c>
      <c r="E114" s="27" t="str">
        <f>IF(ROWS($6:114)&gt;COUNT($A:$A),"",INDEX('Data entry'!BM:BM,SMALL($A:$A,ROWS($6:114))))</f>
        <v/>
      </c>
      <c r="F114" s="27" t="str">
        <f>IF(ROWS($6:114)&gt;COUNT($A:$A),"",INDEX('Data entry'!BK:BK,SMALL($A:$A,ROWS($6:114))))</f>
        <v/>
      </c>
      <c r="G114" s="27" t="str">
        <f>IF(ROWS($6:114)&gt;COUNT($A:$A),"",INDEX('Data entry'!BL:BL,SMALL($A:$A,ROWS($6:114))))</f>
        <v/>
      </c>
      <c r="H114" s="27" t="str">
        <f>IF(ROWS($6:114)&gt;COUNT($A:$A),"",INDEX('Data entry'!BN:BN,SMALL($A:$A,ROWS($6:114))))</f>
        <v/>
      </c>
      <c r="I114" s="87" t="str">
        <f>IF(ROWS($6:114)&gt;COUNT($A:$A),"",INDEX('Data entry'!S:S,SMALL($A:$A,ROWS($6:114))))</f>
        <v/>
      </c>
      <c r="J114" s="27" t="str">
        <f>IF(ROWS($6:114)&gt;COUNT($A:$A),"",INDEX('Data entry'!AR:AR,SMALL($A:$A,ROWS($6:114))))</f>
        <v/>
      </c>
    </row>
    <row r="115" spans="1:10" x14ac:dyDescent="0.2">
      <c r="A115" s="27" t="str">
        <f>IF(OR('Data entry'!B115="Probable", 'Data entry'!B115="Confirmed"),ROW(),"")</f>
        <v/>
      </c>
      <c r="B115" s="27" t="str">
        <f>IF(ROWS($6:115)&gt;COUNT($A:$A),"",INDEX('Data entry'!H:H,SMALL($A:$A,ROWS($6:115))))</f>
        <v/>
      </c>
      <c r="C115" s="27" t="str">
        <f>IF(ROWS($6:115)&gt;COUNT($A:$A),"",INDEX('Data entry'!BJ:BJ,SMALL($A:$A,ROWS($6:115))))</f>
        <v/>
      </c>
      <c r="D115" s="87" t="str">
        <f>IF(ROWS($6:115)&gt;COUNT($A:$A),"",INDEX('Data entry'!R:R,SMALL($A:$A,ROWS($6:115))))</f>
        <v/>
      </c>
      <c r="E115" s="27" t="str">
        <f>IF(ROWS($6:115)&gt;COUNT($A:$A),"",INDEX('Data entry'!BM:BM,SMALL($A:$A,ROWS($6:115))))</f>
        <v/>
      </c>
      <c r="F115" s="27" t="str">
        <f>IF(ROWS($6:115)&gt;COUNT($A:$A),"",INDEX('Data entry'!BK:BK,SMALL($A:$A,ROWS($6:115))))</f>
        <v/>
      </c>
      <c r="G115" s="27" t="str">
        <f>IF(ROWS($6:115)&gt;COUNT($A:$A),"",INDEX('Data entry'!BL:BL,SMALL($A:$A,ROWS($6:115))))</f>
        <v/>
      </c>
      <c r="H115" s="27" t="str">
        <f>IF(ROWS($6:115)&gt;COUNT($A:$A),"",INDEX('Data entry'!BN:BN,SMALL($A:$A,ROWS($6:115))))</f>
        <v/>
      </c>
      <c r="I115" s="87" t="str">
        <f>IF(ROWS($6:115)&gt;COUNT($A:$A),"",INDEX('Data entry'!S:S,SMALL($A:$A,ROWS($6:115))))</f>
        <v/>
      </c>
      <c r="J115" s="27" t="str">
        <f>IF(ROWS($6:115)&gt;COUNT($A:$A),"",INDEX('Data entry'!AR:AR,SMALL($A:$A,ROWS($6:115))))</f>
        <v/>
      </c>
    </row>
    <row r="116" spans="1:10" x14ac:dyDescent="0.2">
      <c r="A116" s="27" t="str">
        <f>IF(OR('Data entry'!B116="Probable", 'Data entry'!B116="Confirmed"),ROW(),"")</f>
        <v/>
      </c>
      <c r="B116" s="27" t="str">
        <f>IF(ROWS($6:116)&gt;COUNT($A:$A),"",INDEX('Data entry'!H:H,SMALL($A:$A,ROWS($6:116))))</f>
        <v/>
      </c>
      <c r="C116" s="27" t="str">
        <f>IF(ROWS($6:116)&gt;COUNT($A:$A),"",INDEX('Data entry'!BJ:BJ,SMALL($A:$A,ROWS($6:116))))</f>
        <v/>
      </c>
      <c r="D116" s="87" t="str">
        <f>IF(ROWS($6:116)&gt;COUNT($A:$A),"",INDEX('Data entry'!R:R,SMALL($A:$A,ROWS($6:116))))</f>
        <v/>
      </c>
      <c r="E116" s="27" t="str">
        <f>IF(ROWS($6:116)&gt;COUNT($A:$A),"",INDEX('Data entry'!BM:BM,SMALL($A:$A,ROWS($6:116))))</f>
        <v/>
      </c>
      <c r="F116" s="27" t="str">
        <f>IF(ROWS($6:116)&gt;COUNT($A:$A),"",INDEX('Data entry'!BK:BK,SMALL($A:$A,ROWS($6:116))))</f>
        <v/>
      </c>
      <c r="G116" s="27" t="str">
        <f>IF(ROWS($6:116)&gt;COUNT($A:$A),"",INDEX('Data entry'!BL:BL,SMALL($A:$A,ROWS($6:116))))</f>
        <v/>
      </c>
      <c r="H116" s="27" t="str">
        <f>IF(ROWS($6:116)&gt;COUNT($A:$A),"",INDEX('Data entry'!BN:BN,SMALL($A:$A,ROWS($6:116))))</f>
        <v/>
      </c>
      <c r="I116" s="87" t="str">
        <f>IF(ROWS($6:116)&gt;COUNT($A:$A),"",INDEX('Data entry'!S:S,SMALL($A:$A,ROWS($6:116))))</f>
        <v/>
      </c>
      <c r="J116" s="27" t="str">
        <f>IF(ROWS($6:116)&gt;COUNT($A:$A),"",INDEX('Data entry'!AR:AR,SMALL($A:$A,ROWS($6:116))))</f>
        <v/>
      </c>
    </row>
    <row r="117" spans="1:10" x14ac:dyDescent="0.2">
      <c r="A117" s="27" t="str">
        <f>IF(OR('Data entry'!B117="Probable", 'Data entry'!B117="Confirmed"),ROW(),"")</f>
        <v/>
      </c>
      <c r="B117" s="27" t="str">
        <f>IF(ROWS($6:117)&gt;COUNT($A:$A),"",INDEX('Data entry'!H:H,SMALL($A:$A,ROWS($6:117))))</f>
        <v/>
      </c>
      <c r="C117" s="27" t="str">
        <f>IF(ROWS($6:117)&gt;COUNT($A:$A),"",INDEX('Data entry'!BJ:BJ,SMALL($A:$A,ROWS($6:117))))</f>
        <v/>
      </c>
      <c r="D117" s="87" t="str">
        <f>IF(ROWS($6:117)&gt;COUNT($A:$A),"",INDEX('Data entry'!R:R,SMALL($A:$A,ROWS($6:117))))</f>
        <v/>
      </c>
      <c r="E117" s="27" t="str">
        <f>IF(ROWS($6:117)&gt;COUNT($A:$A),"",INDEX('Data entry'!BM:BM,SMALL($A:$A,ROWS($6:117))))</f>
        <v/>
      </c>
      <c r="F117" s="27" t="str">
        <f>IF(ROWS($6:117)&gt;COUNT($A:$A),"",INDEX('Data entry'!BK:BK,SMALL($A:$A,ROWS($6:117))))</f>
        <v/>
      </c>
      <c r="G117" s="27" t="str">
        <f>IF(ROWS($6:117)&gt;COUNT($A:$A),"",INDEX('Data entry'!BL:BL,SMALL($A:$A,ROWS($6:117))))</f>
        <v/>
      </c>
      <c r="H117" s="27" t="str">
        <f>IF(ROWS($6:117)&gt;COUNT($A:$A),"",INDEX('Data entry'!BN:BN,SMALL($A:$A,ROWS($6:117))))</f>
        <v/>
      </c>
      <c r="I117" s="87" t="str">
        <f>IF(ROWS($6:117)&gt;COUNT($A:$A),"",INDEX('Data entry'!S:S,SMALL($A:$A,ROWS($6:117))))</f>
        <v/>
      </c>
      <c r="J117" s="27" t="str">
        <f>IF(ROWS($6:117)&gt;COUNT($A:$A),"",INDEX('Data entry'!AR:AR,SMALL($A:$A,ROWS($6:117))))</f>
        <v/>
      </c>
    </row>
    <row r="118" spans="1:10" x14ac:dyDescent="0.2">
      <c r="A118" s="27" t="str">
        <f>IF(OR('Data entry'!B118="Probable", 'Data entry'!B118="Confirmed"),ROW(),"")</f>
        <v/>
      </c>
      <c r="B118" s="27" t="str">
        <f>IF(ROWS($6:118)&gt;COUNT($A:$A),"",INDEX('Data entry'!H:H,SMALL($A:$A,ROWS($6:118))))</f>
        <v/>
      </c>
      <c r="C118" s="27" t="str">
        <f>IF(ROWS($6:118)&gt;COUNT($A:$A),"",INDEX('Data entry'!BJ:BJ,SMALL($A:$A,ROWS($6:118))))</f>
        <v/>
      </c>
      <c r="D118" s="87" t="str">
        <f>IF(ROWS($6:118)&gt;COUNT($A:$A),"",INDEX('Data entry'!R:R,SMALL($A:$A,ROWS($6:118))))</f>
        <v/>
      </c>
      <c r="E118" s="27" t="str">
        <f>IF(ROWS($6:118)&gt;COUNT($A:$A),"",INDEX('Data entry'!BM:BM,SMALL($A:$A,ROWS($6:118))))</f>
        <v/>
      </c>
      <c r="F118" s="27" t="str">
        <f>IF(ROWS($6:118)&gt;COUNT($A:$A),"",INDEX('Data entry'!BK:BK,SMALL($A:$A,ROWS($6:118))))</f>
        <v/>
      </c>
      <c r="G118" s="27" t="str">
        <f>IF(ROWS($6:118)&gt;COUNT($A:$A),"",INDEX('Data entry'!BL:BL,SMALL($A:$A,ROWS($6:118))))</f>
        <v/>
      </c>
      <c r="H118" s="27" t="str">
        <f>IF(ROWS($6:118)&gt;COUNT($A:$A),"",INDEX('Data entry'!BN:BN,SMALL($A:$A,ROWS($6:118))))</f>
        <v/>
      </c>
      <c r="I118" s="87" t="str">
        <f>IF(ROWS($6:118)&gt;COUNT($A:$A),"",INDEX('Data entry'!S:S,SMALL($A:$A,ROWS($6:118))))</f>
        <v/>
      </c>
      <c r="J118" s="27" t="str">
        <f>IF(ROWS($6:118)&gt;COUNT($A:$A),"",INDEX('Data entry'!AR:AR,SMALL($A:$A,ROWS($6:118))))</f>
        <v/>
      </c>
    </row>
    <row r="119" spans="1:10" x14ac:dyDescent="0.2">
      <c r="A119" s="27" t="str">
        <f>IF(OR('Data entry'!B119="Probable", 'Data entry'!B119="Confirmed"),ROW(),"")</f>
        <v/>
      </c>
      <c r="B119" s="27" t="str">
        <f>IF(ROWS($6:119)&gt;COUNT($A:$A),"",INDEX('Data entry'!H:H,SMALL($A:$A,ROWS($6:119))))</f>
        <v/>
      </c>
      <c r="C119" s="27" t="str">
        <f>IF(ROWS($6:119)&gt;COUNT($A:$A),"",INDEX('Data entry'!BJ:BJ,SMALL($A:$A,ROWS($6:119))))</f>
        <v/>
      </c>
      <c r="D119" s="87" t="str">
        <f>IF(ROWS($6:119)&gt;COUNT($A:$A),"",INDEX('Data entry'!R:R,SMALL($A:$A,ROWS($6:119))))</f>
        <v/>
      </c>
      <c r="E119" s="27" t="str">
        <f>IF(ROWS($6:119)&gt;COUNT($A:$A),"",INDEX('Data entry'!BM:BM,SMALL($A:$A,ROWS($6:119))))</f>
        <v/>
      </c>
      <c r="F119" s="27" t="str">
        <f>IF(ROWS($6:119)&gt;COUNT($A:$A),"",INDEX('Data entry'!BK:BK,SMALL($A:$A,ROWS($6:119))))</f>
        <v/>
      </c>
      <c r="G119" s="27" t="str">
        <f>IF(ROWS($6:119)&gt;COUNT($A:$A),"",INDEX('Data entry'!BL:BL,SMALL($A:$A,ROWS($6:119))))</f>
        <v/>
      </c>
      <c r="H119" s="27" t="str">
        <f>IF(ROWS($6:119)&gt;COUNT($A:$A),"",INDEX('Data entry'!BN:BN,SMALL($A:$A,ROWS($6:119))))</f>
        <v/>
      </c>
      <c r="I119" s="87" t="str">
        <f>IF(ROWS($6:119)&gt;COUNT($A:$A),"",INDEX('Data entry'!S:S,SMALL($A:$A,ROWS($6:119))))</f>
        <v/>
      </c>
      <c r="J119" s="27" t="str">
        <f>IF(ROWS($6:119)&gt;COUNT($A:$A),"",INDEX('Data entry'!AR:AR,SMALL($A:$A,ROWS($6:119))))</f>
        <v/>
      </c>
    </row>
    <row r="120" spans="1:10" x14ac:dyDescent="0.2">
      <c r="A120" s="27" t="str">
        <f>IF(OR('Data entry'!B120="Probable", 'Data entry'!B120="Confirmed"),ROW(),"")</f>
        <v/>
      </c>
      <c r="B120" s="27" t="str">
        <f>IF(ROWS($6:120)&gt;COUNT($A:$A),"",INDEX('Data entry'!H:H,SMALL($A:$A,ROWS($6:120))))</f>
        <v/>
      </c>
      <c r="C120" s="27" t="str">
        <f>IF(ROWS($6:120)&gt;COUNT($A:$A),"",INDEX('Data entry'!BJ:BJ,SMALL($A:$A,ROWS($6:120))))</f>
        <v/>
      </c>
      <c r="D120" s="87" t="str">
        <f>IF(ROWS($6:120)&gt;COUNT($A:$A),"",INDEX('Data entry'!R:R,SMALL($A:$A,ROWS($6:120))))</f>
        <v/>
      </c>
      <c r="E120" s="27" t="str">
        <f>IF(ROWS($6:120)&gt;COUNT($A:$A),"",INDEX('Data entry'!BM:BM,SMALL($A:$A,ROWS($6:120))))</f>
        <v/>
      </c>
      <c r="F120" s="27" t="str">
        <f>IF(ROWS($6:120)&gt;COUNT($A:$A),"",INDEX('Data entry'!BK:BK,SMALL($A:$A,ROWS($6:120))))</f>
        <v/>
      </c>
      <c r="G120" s="27" t="str">
        <f>IF(ROWS($6:120)&gt;COUNT($A:$A),"",INDEX('Data entry'!BL:BL,SMALL($A:$A,ROWS($6:120))))</f>
        <v/>
      </c>
      <c r="H120" s="27" t="str">
        <f>IF(ROWS($6:120)&gt;COUNT($A:$A),"",INDEX('Data entry'!BN:BN,SMALL($A:$A,ROWS($6:120))))</f>
        <v/>
      </c>
      <c r="I120" s="87" t="str">
        <f>IF(ROWS($6:120)&gt;COUNT($A:$A),"",INDEX('Data entry'!S:S,SMALL($A:$A,ROWS($6:120))))</f>
        <v/>
      </c>
      <c r="J120" s="27" t="str">
        <f>IF(ROWS($6:120)&gt;COUNT($A:$A),"",INDEX('Data entry'!AR:AR,SMALL($A:$A,ROWS($6:120))))</f>
        <v/>
      </c>
    </row>
    <row r="121" spans="1:10" x14ac:dyDescent="0.2">
      <c r="A121" s="27" t="str">
        <f>IF(OR('Data entry'!B121="Probable", 'Data entry'!B121="Confirmed"),ROW(),"")</f>
        <v/>
      </c>
      <c r="B121" s="27" t="str">
        <f>IF(ROWS($6:121)&gt;COUNT($A:$A),"",INDEX('Data entry'!H:H,SMALL($A:$A,ROWS($6:121))))</f>
        <v/>
      </c>
      <c r="C121" s="27" t="str">
        <f>IF(ROWS($6:121)&gt;COUNT($A:$A),"",INDEX('Data entry'!BJ:BJ,SMALL($A:$A,ROWS($6:121))))</f>
        <v/>
      </c>
      <c r="D121" s="87" t="str">
        <f>IF(ROWS($6:121)&gt;COUNT($A:$A),"",INDEX('Data entry'!R:R,SMALL($A:$A,ROWS($6:121))))</f>
        <v/>
      </c>
      <c r="E121" s="27" t="str">
        <f>IF(ROWS($6:121)&gt;COUNT($A:$A),"",INDEX('Data entry'!BM:BM,SMALL($A:$A,ROWS($6:121))))</f>
        <v/>
      </c>
      <c r="F121" s="27" t="str">
        <f>IF(ROWS($6:121)&gt;COUNT($A:$A),"",INDEX('Data entry'!BK:BK,SMALL($A:$A,ROWS($6:121))))</f>
        <v/>
      </c>
      <c r="G121" s="27" t="str">
        <f>IF(ROWS($6:121)&gt;COUNT($A:$A),"",INDEX('Data entry'!BL:BL,SMALL($A:$A,ROWS($6:121))))</f>
        <v/>
      </c>
      <c r="H121" s="27" t="str">
        <f>IF(ROWS($6:121)&gt;COUNT($A:$A),"",INDEX('Data entry'!BN:BN,SMALL($A:$A,ROWS($6:121))))</f>
        <v/>
      </c>
      <c r="I121" s="87" t="str">
        <f>IF(ROWS($6:121)&gt;COUNT($A:$A),"",INDEX('Data entry'!S:S,SMALL($A:$A,ROWS($6:121))))</f>
        <v/>
      </c>
      <c r="J121" s="27" t="str">
        <f>IF(ROWS($6:121)&gt;COUNT($A:$A),"",INDEX('Data entry'!AR:AR,SMALL($A:$A,ROWS($6:121))))</f>
        <v/>
      </c>
    </row>
    <row r="122" spans="1:10" x14ac:dyDescent="0.2">
      <c r="A122" s="27" t="str">
        <f>IF(OR('Data entry'!B122="Probable", 'Data entry'!B122="Confirmed"),ROW(),"")</f>
        <v/>
      </c>
      <c r="B122" s="27" t="str">
        <f>IF(ROWS($6:122)&gt;COUNT($A:$A),"",INDEX('Data entry'!H:H,SMALL($A:$A,ROWS($6:122))))</f>
        <v/>
      </c>
      <c r="C122" s="27" t="str">
        <f>IF(ROWS($6:122)&gt;COUNT($A:$A),"",INDEX('Data entry'!BJ:BJ,SMALL($A:$A,ROWS($6:122))))</f>
        <v/>
      </c>
      <c r="D122" s="87" t="str">
        <f>IF(ROWS($6:122)&gt;COUNT($A:$A),"",INDEX('Data entry'!R:R,SMALL($A:$A,ROWS($6:122))))</f>
        <v/>
      </c>
      <c r="E122" s="27" t="str">
        <f>IF(ROWS($6:122)&gt;COUNT($A:$A),"",INDEX('Data entry'!BM:BM,SMALL($A:$A,ROWS($6:122))))</f>
        <v/>
      </c>
      <c r="F122" s="27" t="str">
        <f>IF(ROWS($6:122)&gt;COUNT($A:$A),"",INDEX('Data entry'!BK:BK,SMALL($A:$A,ROWS($6:122))))</f>
        <v/>
      </c>
      <c r="G122" s="27" t="str">
        <f>IF(ROWS($6:122)&gt;COUNT($A:$A),"",INDEX('Data entry'!BL:BL,SMALL($A:$A,ROWS($6:122))))</f>
        <v/>
      </c>
      <c r="H122" s="27" t="str">
        <f>IF(ROWS($6:122)&gt;COUNT($A:$A),"",INDEX('Data entry'!BN:BN,SMALL($A:$A,ROWS($6:122))))</f>
        <v/>
      </c>
      <c r="I122" s="87" t="str">
        <f>IF(ROWS($6:122)&gt;COUNT($A:$A),"",INDEX('Data entry'!S:S,SMALL($A:$A,ROWS($6:122))))</f>
        <v/>
      </c>
      <c r="J122" s="27" t="str">
        <f>IF(ROWS($6:122)&gt;COUNT($A:$A),"",INDEX('Data entry'!AR:AR,SMALL($A:$A,ROWS($6:122))))</f>
        <v/>
      </c>
    </row>
    <row r="123" spans="1:10" x14ac:dyDescent="0.2">
      <c r="A123" s="27" t="str">
        <f>IF(OR('Data entry'!B123="Probable", 'Data entry'!B123="Confirmed"),ROW(),"")</f>
        <v/>
      </c>
      <c r="B123" s="27" t="str">
        <f>IF(ROWS($6:123)&gt;COUNT($A:$A),"",INDEX('Data entry'!H:H,SMALL($A:$A,ROWS($6:123))))</f>
        <v/>
      </c>
      <c r="C123" s="27" t="str">
        <f>IF(ROWS($6:123)&gt;COUNT($A:$A),"",INDEX('Data entry'!BJ:BJ,SMALL($A:$A,ROWS($6:123))))</f>
        <v/>
      </c>
      <c r="D123" s="87" t="str">
        <f>IF(ROWS($6:123)&gt;COUNT($A:$A),"",INDEX('Data entry'!R:R,SMALL($A:$A,ROWS($6:123))))</f>
        <v/>
      </c>
      <c r="E123" s="27" t="str">
        <f>IF(ROWS($6:123)&gt;COUNT($A:$A),"",INDEX('Data entry'!BM:BM,SMALL($A:$A,ROWS($6:123))))</f>
        <v/>
      </c>
      <c r="F123" s="27" t="str">
        <f>IF(ROWS($6:123)&gt;COUNT($A:$A),"",INDEX('Data entry'!BK:BK,SMALL($A:$A,ROWS($6:123))))</f>
        <v/>
      </c>
      <c r="G123" s="27" t="str">
        <f>IF(ROWS($6:123)&gt;COUNT($A:$A),"",INDEX('Data entry'!BL:BL,SMALL($A:$A,ROWS($6:123))))</f>
        <v/>
      </c>
      <c r="H123" s="27" t="str">
        <f>IF(ROWS($6:123)&gt;COUNT($A:$A),"",INDEX('Data entry'!BN:BN,SMALL($A:$A,ROWS($6:123))))</f>
        <v/>
      </c>
      <c r="I123" s="87" t="str">
        <f>IF(ROWS($6:123)&gt;COUNT($A:$A),"",INDEX('Data entry'!S:S,SMALL($A:$A,ROWS($6:123))))</f>
        <v/>
      </c>
      <c r="J123" s="27" t="str">
        <f>IF(ROWS($6:123)&gt;COUNT($A:$A),"",INDEX('Data entry'!AR:AR,SMALL($A:$A,ROWS($6:123))))</f>
        <v/>
      </c>
    </row>
    <row r="124" spans="1:10" x14ac:dyDescent="0.2">
      <c r="A124" s="27" t="str">
        <f>IF(OR('Data entry'!B124="Probable", 'Data entry'!B124="Confirmed"),ROW(),"")</f>
        <v/>
      </c>
      <c r="B124" s="27" t="str">
        <f>IF(ROWS($6:124)&gt;COUNT($A:$A),"",INDEX('Data entry'!H:H,SMALL($A:$A,ROWS($6:124))))</f>
        <v/>
      </c>
      <c r="C124" s="27" t="str">
        <f>IF(ROWS($6:124)&gt;COUNT($A:$A),"",INDEX('Data entry'!BJ:BJ,SMALL($A:$A,ROWS($6:124))))</f>
        <v/>
      </c>
      <c r="D124" s="87" t="str">
        <f>IF(ROWS($6:124)&gt;COUNT($A:$A),"",INDEX('Data entry'!R:R,SMALL($A:$A,ROWS($6:124))))</f>
        <v/>
      </c>
      <c r="E124" s="27" t="str">
        <f>IF(ROWS($6:124)&gt;COUNT($A:$A),"",INDEX('Data entry'!BM:BM,SMALL($A:$A,ROWS($6:124))))</f>
        <v/>
      </c>
      <c r="F124" s="27" t="str">
        <f>IF(ROWS($6:124)&gt;COUNT($A:$A),"",INDEX('Data entry'!BK:BK,SMALL($A:$A,ROWS($6:124))))</f>
        <v/>
      </c>
      <c r="G124" s="27" t="str">
        <f>IF(ROWS($6:124)&gt;COUNT($A:$A),"",INDEX('Data entry'!BL:BL,SMALL($A:$A,ROWS($6:124))))</f>
        <v/>
      </c>
      <c r="H124" s="27" t="str">
        <f>IF(ROWS($6:124)&gt;COUNT($A:$A),"",INDEX('Data entry'!BN:BN,SMALL($A:$A,ROWS($6:124))))</f>
        <v/>
      </c>
      <c r="I124" s="87" t="str">
        <f>IF(ROWS($6:124)&gt;COUNT($A:$A),"",INDEX('Data entry'!S:S,SMALL($A:$A,ROWS($6:124))))</f>
        <v/>
      </c>
      <c r="J124" s="27" t="str">
        <f>IF(ROWS($6:124)&gt;COUNT($A:$A),"",INDEX('Data entry'!AR:AR,SMALL($A:$A,ROWS($6:124))))</f>
        <v/>
      </c>
    </row>
    <row r="125" spans="1:10" x14ac:dyDescent="0.2">
      <c r="A125" s="27" t="str">
        <f>IF(OR('Data entry'!B125="Probable", 'Data entry'!B125="Confirmed"),ROW(),"")</f>
        <v/>
      </c>
      <c r="B125" s="27" t="str">
        <f>IF(ROWS($6:125)&gt;COUNT($A:$A),"",INDEX('Data entry'!H:H,SMALL($A:$A,ROWS($6:125))))</f>
        <v/>
      </c>
      <c r="C125" s="27" t="str">
        <f>IF(ROWS($6:125)&gt;COUNT($A:$A),"",INDEX('Data entry'!BJ:BJ,SMALL($A:$A,ROWS($6:125))))</f>
        <v/>
      </c>
      <c r="D125" s="87" t="str">
        <f>IF(ROWS($6:125)&gt;COUNT($A:$A),"",INDEX('Data entry'!R:R,SMALL($A:$A,ROWS($6:125))))</f>
        <v/>
      </c>
      <c r="E125" s="27" t="str">
        <f>IF(ROWS($6:125)&gt;COUNT($A:$A),"",INDEX('Data entry'!BM:BM,SMALL($A:$A,ROWS($6:125))))</f>
        <v/>
      </c>
      <c r="F125" s="27" t="str">
        <f>IF(ROWS($6:125)&gt;COUNT($A:$A),"",INDEX('Data entry'!BK:BK,SMALL($A:$A,ROWS($6:125))))</f>
        <v/>
      </c>
      <c r="G125" s="27" t="str">
        <f>IF(ROWS($6:125)&gt;COUNT($A:$A),"",INDEX('Data entry'!BL:BL,SMALL($A:$A,ROWS($6:125))))</f>
        <v/>
      </c>
      <c r="H125" s="27" t="str">
        <f>IF(ROWS($6:125)&gt;COUNT($A:$A),"",INDEX('Data entry'!BN:BN,SMALL($A:$A,ROWS($6:125))))</f>
        <v/>
      </c>
      <c r="I125" s="87" t="str">
        <f>IF(ROWS($6:125)&gt;COUNT($A:$A),"",INDEX('Data entry'!S:S,SMALL($A:$A,ROWS($6:125))))</f>
        <v/>
      </c>
      <c r="J125" s="27" t="str">
        <f>IF(ROWS($6:125)&gt;COUNT($A:$A),"",INDEX('Data entry'!AR:AR,SMALL($A:$A,ROWS($6:125))))</f>
        <v/>
      </c>
    </row>
    <row r="126" spans="1:10" x14ac:dyDescent="0.2">
      <c r="A126" s="27" t="str">
        <f>IF(OR('Data entry'!B126="Probable", 'Data entry'!B126="Confirmed"),ROW(),"")</f>
        <v/>
      </c>
      <c r="B126" s="27" t="str">
        <f>IF(ROWS($6:126)&gt;COUNT($A:$A),"",INDEX('Data entry'!H:H,SMALL($A:$A,ROWS($6:126))))</f>
        <v/>
      </c>
      <c r="C126" s="27" t="str">
        <f>IF(ROWS($6:126)&gt;COUNT($A:$A),"",INDEX('Data entry'!BJ:BJ,SMALL($A:$A,ROWS($6:126))))</f>
        <v/>
      </c>
      <c r="D126" s="87" t="str">
        <f>IF(ROWS($6:126)&gt;COUNT($A:$A),"",INDEX('Data entry'!R:R,SMALL($A:$A,ROWS($6:126))))</f>
        <v/>
      </c>
      <c r="E126" s="27" t="str">
        <f>IF(ROWS($6:126)&gt;COUNT($A:$A),"",INDEX('Data entry'!BM:BM,SMALL($A:$A,ROWS($6:126))))</f>
        <v/>
      </c>
      <c r="F126" s="27" t="str">
        <f>IF(ROWS($6:126)&gt;COUNT($A:$A),"",INDEX('Data entry'!BK:BK,SMALL($A:$A,ROWS($6:126))))</f>
        <v/>
      </c>
      <c r="G126" s="27" t="str">
        <f>IF(ROWS($6:126)&gt;COUNT($A:$A),"",INDEX('Data entry'!BL:BL,SMALL($A:$A,ROWS($6:126))))</f>
        <v/>
      </c>
      <c r="H126" s="27" t="str">
        <f>IF(ROWS($6:126)&gt;COUNT($A:$A),"",INDEX('Data entry'!BN:BN,SMALL($A:$A,ROWS($6:126))))</f>
        <v/>
      </c>
      <c r="I126" s="87" t="str">
        <f>IF(ROWS($6:126)&gt;COUNT($A:$A),"",INDEX('Data entry'!S:S,SMALL($A:$A,ROWS($6:126))))</f>
        <v/>
      </c>
      <c r="J126" s="27" t="str">
        <f>IF(ROWS($6:126)&gt;COUNT($A:$A),"",INDEX('Data entry'!AR:AR,SMALL($A:$A,ROWS($6:126))))</f>
        <v/>
      </c>
    </row>
    <row r="127" spans="1:10" x14ac:dyDescent="0.2">
      <c r="A127" s="27" t="str">
        <f>IF(OR('Data entry'!B127="Probable", 'Data entry'!B127="Confirmed"),ROW(),"")</f>
        <v/>
      </c>
      <c r="B127" s="27" t="str">
        <f>IF(ROWS($6:127)&gt;COUNT($A:$A),"",INDEX('Data entry'!H:H,SMALL($A:$A,ROWS($6:127))))</f>
        <v/>
      </c>
      <c r="C127" s="27" t="str">
        <f>IF(ROWS($6:127)&gt;COUNT($A:$A),"",INDEX('Data entry'!BJ:BJ,SMALL($A:$A,ROWS($6:127))))</f>
        <v/>
      </c>
      <c r="D127" s="87" t="str">
        <f>IF(ROWS($6:127)&gt;COUNT($A:$A),"",INDEX('Data entry'!R:R,SMALL($A:$A,ROWS($6:127))))</f>
        <v/>
      </c>
      <c r="E127" s="27" t="str">
        <f>IF(ROWS($6:127)&gt;COUNT($A:$A),"",INDEX('Data entry'!BM:BM,SMALL($A:$A,ROWS($6:127))))</f>
        <v/>
      </c>
      <c r="F127" s="27" t="str">
        <f>IF(ROWS($6:127)&gt;COUNT($A:$A),"",INDEX('Data entry'!BK:BK,SMALL($A:$A,ROWS($6:127))))</f>
        <v/>
      </c>
      <c r="G127" s="27" t="str">
        <f>IF(ROWS($6:127)&gt;COUNT($A:$A),"",INDEX('Data entry'!BL:BL,SMALL($A:$A,ROWS($6:127))))</f>
        <v/>
      </c>
      <c r="H127" s="27" t="str">
        <f>IF(ROWS($6:127)&gt;COUNT($A:$A),"",INDEX('Data entry'!BN:BN,SMALL($A:$A,ROWS($6:127))))</f>
        <v/>
      </c>
      <c r="I127" s="87" t="str">
        <f>IF(ROWS($6:127)&gt;COUNT($A:$A),"",INDEX('Data entry'!S:S,SMALL($A:$A,ROWS($6:127))))</f>
        <v/>
      </c>
      <c r="J127" s="27" t="str">
        <f>IF(ROWS($6:127)&gt;COUNT($A:$A),"",INDEX('Data entry'!AR:AR,SMALL($A:$A,ROWS($6:127))))</f>
        <v/>
      </c>
    </row>
    <row r="128" spans="1:10" x14ac:dyDescent="0.2">
      <c r="A128" s="27" t="str">
        <f>IF(OR('Data entry'!B128="Probable", 'Data entry'!B128="Confirmed"),ROW(),"")</f>
        <v/>
      </c>
      <c r="B128" s="27" t="str">
        <f>IF(ROWS($6:128)&gt;COUNT($A:$A),"",INDEX('Data entry'!H:H,SMALL($A:$A,ROWS($6:128))))</f>
        <v/>
      </c>
      <c r="C128" s="27" t="str">
        <f>IF(ROWS($6:128)&gt;COUNT($A:$A),"",INDEX('Data entry'!BJ:BJ,SMALL($A:$A,ROWS($6:128))))</f>
        <v/>
      </c>
      <c r="D128" s="87" t="str">
        <f>IF(ROWS($6:128)&gt;COUNT($A:$A),"",INDEX('Data entry'!R:R,SMALL($A:$A,ROWS($6:128))))</f>
        <v/>
      </c>
      <c r="E128" s="27" t="str">
        <f>IF(ROWS($6:128)&gt;COUNT($A:$A),"",INDEX('Data entry'!BM:BM,SMALL($A:$A,ROWS($6:128))))</f>
        <v/>
      </c>
      <c r="F128" s="27" t="str">
        <f>IF(ROWS($6:128)&gt;COUNT($A:$A),"",INDEX('Data entry'!BK:BK,SMALL($A:$A,ROWS($6:128))))</f>
        <v/>
      </c>
      <c r="G128" s="27" t="str">
        <f>IF(ROWS($6:128)&gt;COUNT($A:$A),"",INDEX('Data entry'!BL:BL,SMALL($A:$A,ROWS($6:128))))</f>
        <v/>
      </c>
      <c r="H128" s="27" t="str">
        <f>IF(ROWS($6:128)&gt;COUNT($A:$A),"",INDEX('Data entry'!BN:BN,SMALL($A:$A,ROWS($6:128))))</f>
        <v/>
      </c>
      <c r="I128" s="87" t="str">
        <f>IF(ROWS($6:128)&gt;COUNT($A:$A),"",INDEX('Data entry'!S:S,SMALL($A:$A,ROWS($6:128))))</f>
        <v/>
      </c>
      <c r="J128" s="27" t="str">
        <f>IF(ROWS($6:128)&gt;COUNT($A:$A),"",INDEX('Data entry'!AR:AR,SMALL($A:$A,ROWS($6:128))))</f>
        <v/>
      </c>
    </row>
    <row r="129" spans="1:10" x14ac:dyDescent="0.2">
      <c r="A129" s="27" t="str">
        <f>IF(OR('Data entry'!B129="Probable", 'Data entry'!B129="Confirmed"),ROW(),"")</f>
        <v/>
      </c>
      <c r="B129" s="27" t="str">
        <f>IF(ROWS($6:129)&gt;COUNT($A:$A),"",INDEX('Data entry'!H:H,SMALL($A:$A,ROWS($6:129))))</f>
        <v/>
      </c>
      <c r="C129" s="27" t="str">
        <f>IF(ROWS($6:129)&gt;COUNT($A:$A),"",INDEX('Data entry'!BJ:BJ,SMALL($A:$A,ROWS($6:129))))</f>
        <v/>
      </c>
      <c r="D129" s="87" t="str">
        <f>IF(ROWS($6:129)&gt;COUNT($A:$A),"",INDEX('Data entry'!R:R,SMALL($A:$A,ROWS($6:129))))</f>
        <v/>
      </c>
      <c r="E129" s="27" t="str">
        <f>IF(ROWS($6:129)&gt;COUNT($A:$A),"",INDEX('Data entry'!BM:BM,SMALL($A:$A,ROWS($6:129))))</f>
        <v/>
      </c>
      <c r="F129" s="27" t="str">
        <f>IF(ROWS($6:129)&gt;COUNT($A:$A),"",INDEX('Data entry'!BK:BK,SMALL($A:$A,ROWS($6:129))))</f>
        <v/>
      </c>
      <c r="G129" s="27" t="str">
        <f>IF(ROWS($6:129)&gt;COUNT($A:$A),"",INDEX('Data entry'!BL:BL,SMALL($A:$A,ROWS($6:129))))</f>
        <v/>
      </c>
      <c r="H129" s="27" t="str">
        <f>IF(ROWS($6:129)&gt;COUNT($A:$A),"",INDEX('Data entry'!BN:BN,SMALL($A:$A,ROWS($6:129))))</f>
        <v/>
      </c>
      <c r="I129" s="87" t="str">
        <f>IF(ROWS($6:129)&gt;COUNT($A:$A),"",INDEX('Data entry'!S:S,SMALL($A:$A,ROWS($6:129))))</f>
        <v/>
      </c>
      <c r="J129" s="27" t="str">
        <f>IF(ROWS($6:129)&gt;COUNT($A:$A),"",INDEX('Data entry'!AR:AR,SMALL($A:$A,ROWS($6:129))))</f>
        <v/>
      </c>
    </row>
    <row r="130" spans="1:10" x14ac:dyDescent="0.2">
      <c r="A130" s="27" t="str">
        <f>IF(OR('Data entry'!B130="Probable", 'Data entry'!B130="Confirmed"),ROW(),"")</f>
        <v/>
      </c>
      <c r="B130" s="27" t="str">
        <f>IF(ROWS($6:130)&gt;COUNT($A:$A),"",INDEX('Data entry'!H:H,SMALL($A:$A,ROWS($6:130))))</f>
        <v/>
      </c>
      <c r="C130" s="27" t="str">
        <f>IF(ROWS($6:130)&gt;COUNT($A:$A),"",INDEX('Data entry'!BJ:BJ,SMALL($A:$A,ROWS($6:130))))</f>
        <v/>
      </c>
      <c r="D130" s="87" t="str">
        <f>IF(ROWS($6:130)&gt;COUNT($A:$A),"",INDEX('Data entry'!R:R,SMALL($A:$A,ROWS($6:130))))</f>
        <v/>
      </c>
      <c r="E130" s="27" t="str">
        <f>IF(ROWS($6:130)&gt;COUNT($A:$A),"",INDEX('Data entry'!BM:BM,SMALL($A:$A,ROWS($6:130))))</f>
        <v/>
      </c>
      <c r="F130" s="27" t="str">
        <f>IF(ROWS($6:130)&gt;COUNT($A:$A),"",INDEX('Data entry'!BK:BK,SMALL($A:$A,ROWS($6:130))))</f>
        <v/>
      </c>
      <c r="G130" s="27" t="str">
        <f>IF(ROWS($6:130)&gt;COUNT($A:$A),"",INDEX('Data entry'!BL:BL,SMALL($A:$A,ROWS($6:130))))</f>
        <v/>
      </c>
      <c r="H130" s="27" t="str">
        <f>IF(ROWS($6:130)&gt;COUNT($A:$A),"",INDEX('Data entry'!BN:BN,SMALL($A:$A,ROWS($6:130))))</f>
        <v/>
      </c>
      <c r="I130" s="87" t="str">
        <f>IF(ROWS($6:130)&gt;COUNT($A:$A),"",INDEX('Data entry'!S:S,SMALL($A:$A,ROWS($6:130))))</f>
        <v/>
      </c>
      <c r="J130" s="27" t="str">
        <f>IF(ROWS($6:130)&gt;COUNT($A:$A),"",INDEX('Data entry'!AR:AR,SMALL($A:$A,ROWS($6:130))))</f>
        <v/>
      </c>
    </row>
    <row r="131" spans="1:10" x14ac:dyDescent="0.2">
      <c r="A131" s="27" t="str">
        <f>IF(OR('Data entry'!B131="Probable", 'Data entry'!B131="Confirmed"),ROW(),"")</f>
        <v/>
      </c>
      <c r="B131" s="27" t="str">
        <f>IF(ROWS($6:131)&gt;COUNT($A:$A),"",INDEX('Data entry'!H:H,SMALL($A:$A,ROWS($6:131))))</f>
        <v/>
      </c>
      <c r="C131" s="27" t="str">
        <f>IF(ROWS($6:131)&gt;COUNT($A:$A),"",INDEX('Data entry'!BJ:BJ,SMALL($A:$A,ROWS($6:131))))</f>
        <v/>
      </c>
      <c r="D131" s="87" t="str">
        <f>IF(ROWS($6:131)&gt;COUNT($A:$A),"",INDEX('Data entry'!R:R,SMALL($A:$A,ROWS($6:131))))</f>
        <v/>
      </c>
      <c r="E131" s="27" t="str">
        <f>IF(ROWS($6:131)&gt;COUNT($A:$A),"",INDEX('Data entry'!BM:BM,SMALL($A:$A,ROWS($6:131))))</f>
        <v/>
      </c>
      <c r="F131" s="27" t="str">
        <f>IF(ROWS($6:131)&gt;COUNT($A:$A),"",INDEX('Data entry'!BK:BK,SMALL($A:$A,ROWS($6:131))))</f>
        <v/>
      </c>
      <c r="G131" s="27" t="str">
        <f>IF(ROWS($6:131)&gt;COUNT($A:$A),"",INDEX('Data entry'!BL:BL,SMALL($A:$A,ROWS($6:131))))</f>
        <v/>
      </c>
      <c r="H131" s="27" t="str">
        <f>IF(ROWS($6:131)&gt;COUNT($A:$A),"",INDEX('Data entry'!BN:BN,SMALL($A:$A,ROWS($6:131))))</f>
        <v/>
      </c>
      <c r="I131" s="87" t="str">
        <f>IF(ROWS($6:131)&gt;COUNT($A:$A),"",INDEX('Data entry'!S:S,SMALL($A:$A,ROWS($6:131))))</f>
        <v/>
      </c>
      <c r="J131" s="27" t="str">
        <f>IF(ROWS($6:131)&gt;COUNT($A:$A),"",INDEX('Data entry'!AR:AR,SMALL($A:$A,ROWS($6:131))))</f>
        <v/>
      </c>
    </row>
    <row r="132" spans="1:10" x14ac:dyDescent="0.2">
      <c r="A132" s="27" t="str">
        <f>IF(OR('Data entry'!B132="Probable", 'Data entry'!B132="Confirmed"),ROW(),"")</f>
        <v/>
      </c>
      <c r="B132" s="27" t="str">
        <f>IF(ROWS($6:132)&gt;COUNT($A:$A),"",INDEX('Data entry'!H:H,SMALL($A:$A,ROWS($6:132))))</f>
        <v/>
      </c>
      <c r="C132" s="27" t="str">
        <f>IF(ROWS($6:132)&gt;COUNT($A:$A),"",INDEX('Data entry'!BJ:BJ,SMALL($A:$A,ROWS($6:132))))</f>
        <v/>
      </c>
      <c r="D132" s="87" t="str">
        <f>IF(ROWS($6:132)&gt;COUNT($A:$A),"",INDEX('Data entry'!R:R,SMALL($A:$A,ROWS($6:132))))</f>
        <v/>
      </c>
      <c r="E132" s="27" t="str">
        <f>IF(ROWS($6:132)&gt;COUNT($A:$A),"",INDEX('Data entry'!BM:BM,SMALL($A:$A,ROWS($6:132))))</f>
        <v/>
      </c>
      <c r="F132" s="27" t="str">
        <f>IF(ROWS($6:132)&gt;COUNT($A:$A),"",INDEX('Data entry'!BK:BK,SMALL($A:$A,ROWS($6:132))))</f>
        <v/>
      </c>
      <c r="G132" s="27" t="str">
        <f>IF(ROWS($6:132)&gt;COUNT($A:$A),"",INDEX('Data entry'!BL:BL,SMALL($A:$A,ROWS($6:132))))</f>
        <v/>
      </c>
      <c r="H132" s="27" t="str">
        <f>IF(ROWS($6:132)&gt;COUNT($A:$A),"",INDEX('Data entry'!BN:BN,SMALL($A:$A,ROWS($6:132))))</f>
        <v/>
      </c>
      <c r="I132" s="87" t="str">
        <f>IF(ROWS($6:132)&gt;COUNT($A:$A),"",INDEX('Data entry'!S:S,SMALL($A:$A,ROWS($6:132))))</f>
        <v/>
      </c>
      <c r="J132" s="27" t="str">
        <f>IF(ROWS($6:132)&gt;COUNT($A:$A),"",INDEX('Data entry'!AR:AR,SMALL($A:$A,ROWS($6:132))))</f>
        <v/>
      </c>
    </row>
    <row r="133" spans="1:10" x14ac:dyDescent="0.2">
      <c r="A133" s="27" t="str">
        <f>IF(OR('Data entry'!B133="Probable", 'Data entry'!B133="Confirmed"),ROW(),"")</f>
        <v/>
      </c>
      <c r="B133" s="27" t="str">
        <f>IF(ROWS($6:133)&gt;COUNT($A:$A),"",INDEX('Data entry'!H:H,SMALL($A:$A,ROWS($6:133))))</f>
        <v/>
      </c>
      <c r="C133" s="27" t="str">
        <f>IF(ROWS($6:133)&gt;COUNT($A:$A),"",INDEX('Data entry'!BJ:BJ,SMALL($A:$A,ROWS($6:133))))</f>
        <v/>
      </c>
      <c r="D133" s="87" t="str">
        <f>IF(ROWS($6:133)&gt;COUNT($A:$A),"",INDEX('Data entry'!R:R,SMALL($A:$A,ROWS($6:133))))</f>
        <v/>
      </c>
      <c r="E133" s="27" t="str">
        <f>IF(ROWS($6:133)&gt;COUNT($A:$A),"",INDEX('Data entry'!BM:BM,SMALL($A:$A,ROWS($6:133))))</f>
        <v/>
      </c>
      <c r="F133" s="27" t="str">
        <f>IF(ROWS($6:133)&gt;COUNT($A:$A),"",INDEX('Data entry'!BK:BK,SMALL($A:$A,ROWS($6:133))))</f>
        <v/>
      </c>
      <c r="G133" s="27" t="str">
        <f>IF(ROWS($6:133)&gt;COUNT($A:$A),"",INDEX('Data entry'!BL:BL,SMALL($A:$A,ROWS($6:133))))</f>
        <v/>
      </c>
      <c r="H133" s="27" t="str">
        <f>IF(ROWS($6:133)&gt;COUNT($A:$A),"",INDEX('Data entry'!BN:BN,SMALL($A:$A,ROWS($6:133))))</f>
        <v/>
      </c>
      <c r="I133" s="87" t="str">
        <f>IF(ROWS($6:133)&gt;COUNT($A:$A),"",INDEX('Data entry'!S:S,SMALL($A:$A,ROWS($6:133))))</f>
        <v/>
      </c>
      <c r="J133" s="27" t="str">
        <f>IF(ROWS($6:133)&gt;COUNT($A:$A),"",INDEX('Data entry'!AR:AR,SMALL($A:$A,ROWS($6:133))))</f>
        <v/>
      </c>
    </row>
    <row r="134" spans="1:10" x14ac:dyDescent="0.2">
      <c r="A134" s="27" t="str">
        <f>IF(OR('Data entry'!B134="Probable", 'Data entry'!B134="Confirmed"),ROW(),"")</f>
        <v/>
      </c>
      <c r="B134" s="27" t="str">
        <f>IF(ROWS($6:134)&gt;COUNT($A:$A),"",INDEX('Data entry'!H:H,SMALL($A:$A,ROWS($6:134))))</f>
        <v/>
      </c>
      <c r="C134" s="27" t="str">
        <f>IF(ROWS($6:134)&gt;COUNT($A:$A),"",INDEX('Data entry'!BJ:BJ,SMALL($A:$A,ROWS($6:134))))</f>
        <v/>
      </c>
      <c r="D134" s="87" t="str">
        <f>IF(ROWS($6:134)&gt;COUNT($A:$A),"",INDEX('Data entry'!R:R,SMALL($A:$A,ROWS($6:134))))</f>
        <v/>
      </c>
      <c r="E134" s="27" t="str">
        <f>IF(ROWS($6:134)&gt;COUNT($A:$A),"",INDEX('Data entry'!BM:BM,SMALL($A:$A,ROWS($6:134))))</f>
        <v/>
      </c>
      <c r="F134" s="27" t="str">
        <f>IF(ROWS($6:134)&gt;COUNT($A:$A),"",INDEX('Data entry'!BK:BK,SMALL($A:$A,ROWS($6:134))))</f>
        <v/>
      </c>
      <c r="G134" s="27" t="str">
        <f>IF(ROWS($6:134)&gt;COUNT($A:$A),"",INDEX('Data entry'!BL:BL,SMALL($A:$A,ROWS($6:134))))</f>
        <v/>
      </c>
      <c r="H134" s="27" t="str">
        <f>IF(ROWS($6:134)&gt;COUNT($A:$A),"",INDEX('Data entry'!BN:BN,SMALL($A:$A,ROWS($6:134))))</f>
        <v/>
      </c>
      <c r="I134" s="87" t="str">
        <f>IF(ROWS($6:134)&gt;COUNT($A:$A),"",INDEX('Data entry'!S:S,SMALL($A:$A,ROWS($6:134))))</f>
        <v/>
      </c>
      <c r="J134" s="27" t="str">
        <f>IF(ROWS($6:134)&gt;COUNT($A:$A),"",INDEX('Data entry'!AR:AR,SMALL($A:$A,ROWS($6:134))))</f>
        <v/>
      </c>
    </row>
    <row r="135" spans="1:10" x14ac:dyDescent="0.2">
      <c r="A135" s="27" t="str">
        <f>IF(OR('Data entry'!B135="Probable", 'Data entry'!B135="Confirmed"),ROW(),"")</f>
        <v/>
      </c>
      <c r="B135" s="27" t="str">
        <f>IF(ROWS($6:135)&gt;COUNT($A:$A),"",INDEX('Data entry'!H:H,SMALL($A:$A,ROWS($6:135))))</f>
        <v/>
      </c>
      <c r="C135" s="27" t="str">
        <f>IF(ROWS($6:135)&gt;COUNT($A:$A),"",INDEX('Data entry'!BJ:BJ,SMALL($A:$A,ROWS($6:135))))</f>
        <v/>
      </c>
      <c r="D135" s="87" t="str">
        <f>IF(ROWS($6:135)&gt;COUNT($A:$A),"",INDEX('Data entry'!R:R,SMALL($A:$A,ROWS($6:135))))</f>
        <v/>
      </c>
      <c r="E135" s="27" t="str">
        <f>IF(ROWS($6:135)&gt;COUNT($A:$A),"",INDEX('Data entry'!BM:BM,SMALL($A:$A,ROWS($6:135))))</f>
        <v/>
      </c>
      <c r="F135" s="27" t="str">
        <f>IF(ROWS($6:135)&gt;COUNT($A:$A),"",INDEX('Data entry'!BK:BK,SMALL($A:$A,ROWS($6:135))))</f>
        <v/>
      </c>
      <c r="G135" s="27" t="str">
        <f>IF(ROWS($6:135)&gt;COUNT($A:$A),"",INDEX('Data entry'!BL:BL,SMALL($A:$A,ROWS($6:135))))</f>
        <v/>
      </c>
      <c r="H135" s="27" t="str">
        <f>IF(ROWS($6:135)&gt;COUNT($A:$A),"",INDEX('Data entry'!BN:BN,SMALL($A:$A,ROWS($6:135))))</f>
        <v/>
      </c>
      <c r="I135" s="87" t="str">
        <f>IF(ROWS($6:135)&gt;COUNT($A:$A),"",INDEX('Data entry'!S:S,SMALL($A:$A,ROWS($6:135))))</f>
        <v/>
      </c>
      <c r="J135" s="27" t="str">
        <f>IF(ROWS($6:135)&gt;COUNT($A:$A),"",INDEX('Data entry'!AR:AR,SMALL($A:$A,ROWS($6:135))))</f>
        <v/>
      </c>
    </row>
    <row r="136" spans="1:10" x14ac:dyDescent="0.2">
      <c r="A136" s="27" t="str">
        <f>IF(OR('Data entry'!B136="Probable", 'Data entry'!B136="Confirmed"),ROW(),"")</f>
        <v/>
      </c>
      <c r="B136" s="27" t="str">
        <f>IF(ROWS($6:136)&gt;COUNT($A:$A),"",INDEX('Data entry'!H:H,SMALL($A:$A,ROWS($6:136))))</f>
        <v/>
      </c>
      <c r="C136" s="27" t="str">
        <f>IF(ROWS($6:136)&gt;COUNT($A:$A),"",INDEX('Data entry'!BJ:BJ,SMALL($A:$A,ROWS($6:136))))</f>
        <v/>
      </c>
      <c r="D136" s="87" t="str">
        <f>IF(ROWS($6:136)&gt;COUNT($A:$A),"",INDEX('Data entry'!R:R,SMALL($A:$A,ROWS($6:136))))</f>
        <v/>
      </c>
      <c r="E136" s="27" t="str">
        <f>IF(ROWS($6:136)&gt;COUNT($A:$A),"",INDEX('Data entry'!BM:BM,SMALL($A:$A,ROWS($6:136))))</f>
        <v/>
      </c>
      <c r="F136" s="27" t="str">
        <f>IF(ROWS($6:136)&gt;COUNT($A:$A),"",INDEX('Data entry'!BK:BK,SMALL($A:$A,ROWS($6:136))))</f>
        <v/>
      </c>
      <c r="G136" s="27" t="str">
        <f>IF(ROWS($6:136)&gt;COUNT($A:$A),"",INDEX('Data entry'!BL:BL,SMALL($A:$A,ROWS($6:136))))</f>
        <v/>
      </c>
      <c r="H136" s="27" t="str">
        <f>IF(ROWS($6:136)&gt;COUNT($A:$A),"",INDEX('Data entry'!BN:BN,SMALL($A:$A,ROWS($6:136))))</f>
        <v/>
      </c>
      <c r="I136" s="87" t="str">
        <f>IF(ROWS($6:136)&gt;COUNT($A:$A),"",INDEX('Data entry'!S:S,SMALL($A:$A,ROWS($6:136))))</f>
        <v/>
      </c>
      <c r="J136" s="27" t="str">
        <f>IF(ROWS($6:136)&gt;COUNT($A:$A),"",INDEX('Data entry'!AR:AR,SMALL($A:$A,ROWS($6:136))))</f>
        <v/>
      </c>
    </row>
    <row r="137" spans="1:10" x14ac:dyDescent="0.2">
      <c r="A137" s="27" t="str">
        <f>IF(OR('Data entry'!B137="Probable", 'Data entry'!B137="Confirmed"),ROW(),"")</f>
        <v/>
      </c>
      <c r="B137" s="27" t="str">
        <f>IF(ROWS($6:137)&gt;COUNT($A:$A),"",INDEX('Data entry'!H:H,SMALL($A:$A,ROWS($6:137))))</f>
        <v/>
      </c>
      <c r="C137" s="27" t="str">
        <f>IF(ROWS($6:137)&gt;COUNT($A:$A),"",INDEX('Data entry'!BJ:BJ,SMALL($A:$A,ROWS($6:137))))</f>
        <v/>
      </c>
      <c r="D137" s="87" t="str">
        <f>IF(ROWS($6:137)&gt;COUNT($A:$A),"",INDEX('Data entry'!R:R,SMALL($A:$A,ROWS($6:137))))</f>
        <v/>
      </c>
      <c r="E137" s="27" t="str">
        <f>IF(ROWS($6:137)&gt;COUNT($A:$A),"",INDEX('Data entry'!BM:BM,SMALL($A:$A,ROWS($6:137))))</f>
        <v/>
      </c>
      <c r="F137" s="27" t="str">
        <f>IF(ROWS($6:137)&gt;COUNT($A:$A),"",INDEX('Data entry'!BK:BK,SMALL($A:$A,ROWS($6:137))))</f>
        <v/>
      </c>
      <c r="G137" s="27" t="str">
        <f>IF(ROWS($6:137)&gt;COUNT($A:$A),"",INDEX('Data entry'!BL:BL,SMALL($A:$A,ROWS($6:137))))</f>
        <v/>
      </c>
      <c r="H137" s="27" t="str">
        <f>IF(ROWS($6:137)&gt;COUNT($A:$A),"",INDEX('Data entry'!BN:BN,SMALL($A:$A,ROWS($6:137))))</f>
        <v/>
      </c>
      <c r="I137" s="87" t="str">
        <f>IF(ROWS($6:137)&gt;COUNT($A:$A),"",INDEX('Data entry'!S:S,SMALL($A:$A,ROWS($6:137))))</f>
        <v/>
      </c>
      <c r="J137" s="27" t="str">
        <f>IF(ROWS($6:137)&gt;COUNT($A:$A),"",INDEX('Data entry'!AR:AR,SMALL($A:$A,ROWS($6:137))))</f>
        <v/>
      </c>
    </row>
    <row r="138" spans="1:10" x14ac:dyDescent="0.2">
      <c r="A138" s="27" t="str">
        <f>IF(OR('Data entry'!B138="Probable", 'Data entry'!B138="Confirmed"),ROW(),"")</f>
        <v/>
      </c>
      <c r="B138" s="27" t="str">
        <f>IF(ROWS($6:138)&gt;COUNT($A:$A),"",INDEX('Data entry'!H:H,SMALL($A:$A,ROWS($6:138))))</f>
        <v/>
      </c>
      <c r="C138" s="27" t="str">
        <f>IF(ROWS($6:138)&gt;COUNT($A:$A),"",INDEX('Data entry'!BJ:BJ,SMALL($A:$A,ROWS($6:138))))</f>
        <v/>
      </c>
      <c r="D138" s="87" t="str">
        <f>IF(ROWS($6:138)&gt;COUNT($A:$A),"",INDEX('Data entry'!R:R,SMALL($A:$A,ROWS($6:138))))</f>
        <v/>
      </c>
      <c r="E138" s="27" t="str">
        <f>IF(ROWS($6:138)&gt;COUNT($A:$A),"",INDEX('Data entry'!BM:BM,SMALL($A:$A,ROWS($6:138))))</f>
        <v/>
      </c>
      <c r="F138" s="27" t="str">
        <f>IF(ROWS($6:138)&gt;COUNT($A:$A),"",INDEX('Data entry'!BK:BK,SMALL($A:$A,ROWS($6:138))))</f>
        <v/>
      </c>
      <c r="G138" s="27" t="str">
        <f>IF(ROWS($6:138)&gt;COUNT($A:$A),"",INDEX('Data entry'!BL:BL,SMALL($A:$A,ROWS($6:138))))</f>
        <v/>
      </c>
      <c r="H138" s="27" t="str">
        <f>IF(ROWS($6:138)&gt;COUNT($A:$A),"",INDEX('Data entry'!BN:BN,SMALL($A:$A,ROWS($6:138))))</f>
        <v/>
      </c>
      <c r="I138" s="87" t="str">
        <f>IF(ROWS($6:138)&gt;COUNT($A:$A),"",INDEX('Data entry'!S:S,SMALL($A:$A,ROWS($6:138))))</f>
        <v/>
      </c>
      <c r="J138" s="27" t="str">
        <f>IF(ROWS($6:138)&gt;COUNT($A:$A),"",INDEX('Data entry'!AR:AR,SMALL($A:$A,ROWS($6:138))))</f>
        <v/>
      </c>
    </row>
    <row r="139" spans="1:10" x14ac:dyDescent="0.2">
      <c r="A139" s="27" t="str">
        <f>IF(OR('Data entry'!B139="Probable", 'Data entry'!B139="Confirmed"),ROW(),"")</f>
        <v/>
      </c>
      <c r="B139" s="27" t="str">
        <f>IF(ROWS($6:139)&gt;COUNT($A:$A),"",INDEX('Data entry'!H:H,SMALL($A:$A,ROWS($6:139))))</f>
        <v/>
      </c>
      <c r="C139" s="27" t="str">
        <f>IF(ROWS($6:139)&gt;COUNT($A:$A),"",INDEX('Data entry'!BJ:BJ,SMALL($A:$A,ROWS($6:139))))</f>
        <v/>
      </c>
      <c r="D139" s="87" t="str">
        <f>IF(ROWS($6:139)&gt;COUNT($A:$A),"",INDEX('Data entry'!R:R,SMALL($A:$A,ROWS($6:139))))</f>
        <v/>
      </c>
      <c r="E139" s="27" t="str">
        <f>IF(ROWS($6:139)&gt;COUNT($A:$A),"",INDEX('Data entry'!BM:BM,SMALL($A:$A,ROWS($6:139))))</f>
        <v/>
      </c>
      <c r="F139" s="27" t="str">
        <f>IF(ROWS($6:139)&gt;COUNT($A:$A),"",INDEX('Data entry'!BK:BK,SMALL($A:$A,ROWS($6:139))))</f>
        <v/>
      </c>
      <c r="G139" s="27" t="str">
        <f>IF(ROWS($6:139)&gt;COUNT($A:$A),"",INDEX('Data entry'!BL:BL,SMALL($A:$A,ROWS($6:139))))</f>
        <v/>
      </c>
      <c r="H139" s="27" t="str">
        <f>IF(ROWS($6:139)&gt;COUNT($A:$A),"",INDEX('Data entry'!BN:BN,SMALL($A:$A,ROWS($6:139))))</f>
        <v/>
      </c>
      <c r="I139" s="87" t="str">
        <f>IF(ROWS($6:139)&gt;COUNT($A:$A),"",INDEX('Data entry'!S:S,SMALL($A:$A,ROWS($6:139))))</f>
        <v/>
      </c>
      <c r="J139" s="27" t="str">
        <f>IF(ROWS($6:139)&gt;COUNT($A:$A),"",INDEX('Data entry'!AR:AR,SMALL($A:$A,ROWS($6:139))))</f>
        <v/>
      </c>
    </row>
    <row r="140" spans="1:10" x14ac:dyDescent="0.2">
      <c r="A140" s="27" t="str">
        <f>IF(OR('Data entry'!B140="Probable", 'Data entry'!B140="Confirmed"),ROW(),"")</f>
        <v/>
      </c>
      <c r="B140" s="27" t="str">
        <f>IF(ROWS($6:140)&gt;COUNT($A:$A),"",INDEX('Data entry'!H:H,SMALL($A:$A,ROWS($6:140))))</f>
        <v/>
      </c>
      <c r="C140" s="27" t="str">
        <f>IF(ROWS($6:140)&gt;COUNT($A:$A),"",INDEX('Data entry'!BJ:BJ,SMALL($A:$A,ROWS($6:140))))</f>
        <v/>
      </c>
      <c r="D140" s="87" t="str">
        <f>IF(ROWS($6:140)&gt;COUNT($A:$A),"",INDEX('Data entry'!R:R,SMALL($A:$A,ROWS($6:140))))</f>
        <v/>
      </c>
      <c r="E140" s="27" t="str">
        <f>IF(ROWS($6:140)&gt;COUNT($A:$A),"",INDEX('Data entry'!BM:BM,SMALL($A:$A,ROWS($6:140))))</f>
        <v/>
      </c>
      <c r="F140" s="27" t="str">
        <f>IF(ROWS($6:140)&gt;COUNT($A:$A),"",INDEX('Data entry'!BK:BK,SMALL($A:$A,ROWS($6:140))))</f>
        <v/>
      </c>
      <c r="G140" s="27" t="str">
        <f>IF(ROWS($6:140)&gt;COUNT($A:$A),"",INDEX('Data entry'!BL:BL,SMALL($A:$A,ROWS($6:140))))</f>
        <v/>
      </c>
      <c r="H140" s="27" t="str">
        <f>IF(ROWS($6:140)&gt;COUNT($A:$A),"",INDEX('Data entry'!BN:BN,SMALL($A:$A,ROWS($6:140))))</f>
        <v/>
      </c>
      <c r="I140" s="87" t="str">
        <f>IF(ROWS($6:140)&gt;COUNT($A:$A),"",INDEX('Data entry'!S:S,SMALL($A:$A,ROWS($6:140))))</f>
        <v/>
      </c>
      <c r="J140" s="27" t="str">
        <f>IF(ROWS($6:140)&gt;COUNT($A:$A),"",INDEX('Data entry'!AR:AR,SMALL($A:$A,ROWS($6:140))))</f>
        <v/>
      </c>
    </row>
    <row r="141" spans="1:10" x14ac:dyDescent="0.2">
      <c r="A141" s="27" t="str">
        <f>IF(OR('Data entry'!B141="Probable", 'Data entry'!B141="Confirmed"),ROW(),"")</f>
        <v/>
      </c>
      <c r="B141" s="27" t="str">
        <f>IF(ROWS($6:141)&gt;COUNT($A:$A),"",INDEX('Data entry'!H:H,SMALL($A:$A,ROWS($6:141))))</f>
        <v/>
      </c>
      <c r="C141" s="27" t="str">
        <f>IF(ROWS($6:141)&gt;COUNT($A:$A),"",INDEX('Data entry'!BJ:BJ,SMALL($A:$A,ROWS($6:141))))</f>
        <v/>
      </c>
      <c r="D141" s="87" t="str">
        <f>IF(ROWS($6:141)&gt;COUNT($A:$A),"",INDEX('Data entry'!R:R,SMALL($A:$A,ROWS($6:141))))</f>
        <v/>
      </c>
      <c r="E141" s="27" t="str">
        <f>IF(ROWS($6:141)&gt;COUNT($A:$A),"",INDEX('Data entry'!BM:BM,SMALL($A:$A,ROWS($6:141))))</f>
        <v/>
      </c>
      <c r="F141" s="27" t="str">
        <f>IF(ROWS($6:141)&gt;COUNT($A:$A),"",INDEX('Data entry'!BK:BK,SMALL($A:$A,ROWS($6:141))))</f>
        <v/>
      </c>
      <c r="G141" s="27" t="str">
        <f>IF(ROWS($6:141)&gt;COUNT($A:$A),"",INDEX('Data entry'!BL:BL,SMALL($A:$A,ROWS($6:141))))</f>
        <v/>
      </c>
      <c r="H141" s="27" t="str">
        <f>IF(ROWS($6:141)&gt;COUNT($A:$A),"",INDEX('Data entry'!BN:BN,SMALL($A:$A,ROWS($6:141))))</f>
        <v/>
      </c>
      <c r="I141" s="87" t="str">
        <f>IF(ROWS($6:141)&gt;COUNT($A:$A),"",INDEX('Data entry'!S:S,SMALL($A:$A,ROWS($6:141))))</f>
        <v/>
      </c>
      <c r="J141" s="27" t="str">
        <f>IF(ROWS($6:141)&gt;COUNT($A:$A),"",INDEX('Data entry'!AR:AR,SMALL($A:$A,ROWS($6:141))))</f>
        <v/>
      </c>
    </row>
    <row r="142" spans="1:10" x14ac:dyDescent="0.2">
      <c r="A142" s="27" t="str">
        <f>IF(OR('Data entry'!B142="Probable", 'Data entry'!B142="Confirmed"),ROW(),"")</f>
        <v/>
      </c>
      <c r="B142" s="27" t="str">
        <f>IF(ROWS($6:142)&gt;COUNT($A:$A),"",INDEX('Data entry'!H:H,SMALL($A:$A,ROWS($6:142))))</f>
        <v/>
      </c>
      <c r="C142" s="27" t="str">
        <f>IF(ROWS($6:142)&gt;COUNT($A:$A),"",INDEX('Data entry'!BJ:BJ,SMALL($A:$A,ROWS($6:142))))</f>
        <v/>
      </c>
      <c r="D142" s="87" t="str">
        <f>IF(ROWS($6:142)&gt;COUNT($A:$A),"",INDEX('Data entry'!R:R,SMALL($A:$A,ROWS($6:142))))</f>
        <v/>
      </c>
      <c r="E142" s="27" t="str">
        <f>IF(ROWS($6:142)&gt;COUNT($A:$A),"",INDEX('Data entry'!BM:BM,SMALL($A:$A,ROWS($6:142))))</f>
        <v/>
      </c>
      <c r="F142" s="27" t="str">
        <f>IF(ROWS($6:142)&gt;COUNT($A:$A),"",INDEX('Data entry'!BK:BK,SMALL($A:$A,ROWS($6:142))))</f>
        <v/>
      </c>
      <c r="G142" s="27" t="str">
        <f>IF(ROWS($6:142)&gt;COUNT($A:$A),"",INDEX('Data entry'!BL:BL,SMALL($A:$A,ROWS($6:142))))</f>
        <v/>
      </c>
      <c r="H142" s="27" t="str">
        <f>IF(ROWS($6:142)&gt;COUNT($A:$A),"",INDEX('Data entry'!BN:BN,SMALL($A:$A,ROWS($6:142))))</f>
        <v/>
      </c>
      <c r="I142" s="87" t="str">
        <f>IF(ROWS($6:142)&gt;COUNT($A:$A),"",INDEX('Data entry'!S:S,SMALL($A:$A,ROWS($6:142))))</f>
        <v/>
      </c>
      <c r="J142" s="27" t="str">
        <f>IF(ROWS($6:142)&gt;COUNT($A:$A),"",INDEX('Data entry'!AR:AR,SMALL($A:$A,ROWS($6:142))))</f>
        <v/>
      </c>
    </row>
    <row r="143" spans="1:10" x14ac:dyDescent="0.2">
      <c r="A143" s="27" t="str">
        <f>IF(OR('Data entry'!B143="Probable", 'Data entry'!B143="Confirmed"),ROW(),"")</f>
        <v/>
      </c>
      <c r="B143" s="27" t="str">
        <f>IF(ROWS($6:143)&gt;COUNT($A:$A),"",INDEX('Data entry'!H:H,SMALL($A:$A,ROWS($6:143))))</f>
        <v/>
      </c>
      <c r="C143" s="27" t="str">
        <f>IF(ROWS($6:143)&gt;COUNT($A:$A),"",INDEX('Data entry'!BJ:BJ,SMALL($A:$A,ROWS($6:143))))</f>
        <v/>
      </c>
      <c r="D143" s="87" t="str">
        <f>IF(ROWS($6:143)&gt;COUNT($A:$A),"",INDEX('Data entry'!R:R,SMALL($A:$A,ROWS($6:143))))</f>
        <v/>
      </c>
      <c r="E143" s="27" t="str">
        <f>IF(ROWS($6:143)&gt;COUNT($A:$A),"",INDEX('Data entry'!BM:BM,SMALL($A:$A,ROWS($6:143))))</f>
        <v/>
      </c>
      <c r="F143" s="27" t="str">
        <f>IF(ROWS($6:143)&gt;COUNT($A:$A),"",INDEX('Data entry'!BK:BK,SMALL($A:$A,ROWS($6:143))))</f>
        <v/>
      </c>
      <c r="G143" s="27" t="str">
        <f>IF(ROWS($6:143)&gt;COUNT($A:$A),"",INDEX('Data entry'!BL:BL,SMALL($A:$A,ROWS($6:143))))</f>
        <v/>
      </c>
      <c r="H143" s="27" t="str">
        <f>IF(ROWS($6:143)&gt;COUNT($A:$A),"",INDEX('Data entry'!BN:BN,SMALL($A:$A,ROWS($6:143))))</f>
        <v/>
      </c>
      <c r="I143" s="87" t="str">
        <f>IF(ROWS($6:143)&gt;COUNT($A:$A),"",INDEX('Data entry'!S:S,SMALL($A:$A,ROWS($6:143))))</f>
        <v/>
      </c>
      <c r="J143" s="27" t="str">
        <f>IF(ROWS($6:143)&gt;COUNT($A:$A),"",INDEX('Data entry'!AR:AR,SMALL($A:$A,ROWS($6:143))))</f>
        <v/>
      </c>
    </row>
    <row r="144" spans="1:10" x14ac:dyDescent="0.2">
      <c r="A144" s="27" t="str">
        <f>IF(OR('Data entry'!B144="Probable", 'Data entry'!B144="Confirmed"),ROW(),"")</f>
        <v/>
      </c>
      <c r="B144" s="27" t="str">
        <f>IF(ROWS($6:144)&gt;COUNT($A:$A),"",INDEX('Data entry'!H:H,SMALL($A:$A,ROWS($6:144))))</f>
        <v/>
      </c>
      <c r="C144" s="27" t="str">
        <f>IF(ROWS($6:144)&gt;COUNT($A:$A),"",INDEX('Data entry'!BJ:BJ,SMALL($A:$A,ROWS($6:144))))</f>
        <v/>
      </c>
      <c r="D144" s="87" t="str">
        <f>IF(ROWS($6:144)&gt;COUNT($A:$A),"",INDEX('Data entry'!R:R,SMALL($A:$A,ROWS($6:144))))</f>
        <v/>
      </c>
      <c r="E144" s="27" t="str">
        <f>IF(ROWS($6:144)&gt;COUNT($A:$A),"",INDEX('Data entry'!BM:BM,SMALL($A:$A,ROWS($6:144))))</f>
        <v/>
      </c>
      <c r="F144" s="27" t="str">
        <f>IF(ROWS($6:144)&gt;COUNT($A:$A),"",INDEX('Data entry'!BK:BK,SMALL($A:$A,ROWS($6:144))))</f>
        <v/>
      </c>
      <c r="G144" s="27" t="str">
        <f>IF(ROWS($6:144)&gt;COUNT($A:$A),"",INDEX('Data entry'!BL:BL,SMALL($A:$A,ROWS($6:144))))</f>
        <v/>
      </c>
      <c r="H144" s="27" t="str">
        <f>IF(ROWS($6:144)&gt;COUNT($A:$A),"",INDEX('Data entry'!BN:BN,SMALL($A:$A,ROWS($6:144))))</f>
        <v/>
      </c>
      <c r="I144" s="87" t="str">
        <f>IF(ROWS($6:144)&gt;COUNT($A:$A),"",INDEX('Data entry'!S:S,SMALL($A:$A,ROWS($6:144))))</f>
        <v/>
      </c>
      <c r="J144" s="27" t="str">
        <f>IF(ROWS($6:144)&gt;COUNT($A:$A),"",INDEX('Data entry'!AR:AR,SMALL($A:$A,ROWS($6:144))))</f>
        <v/>
      </c>
    </row>
    <row r="145" spans="1:10" x14ac:dyDescent="0.2">
      <c r="A145" s="27" t="str">
        <f>IF(OR('Data entry'!B145="Probable", 'Data entry'!B145="Confirmed"),ROW(),"")</f>
        <v/>
      </c>
      <c r="B145" s="27" t="str">
        <f>IF(ROWS($6:145)&gt;COUNT($A:$A),"",INDEX('Data entry'!H:H,SMALL($A:$A,ROWS($6:145))))</f>
        <v/>
      </c>
      <c r="C145" s="27" t="str">
        <f>IF(ROWS($6:145)&gt;COUNT($A:$A),"",INDEX('Data entry'!BJ:BJ,SMALL($A:$A,ROWS($6:145))))</f>
        <v/>
      </c>
      <c r="D145" s="87" t="str">
        <f>IF(ROWS($6:145)&gt;COUNT($A:$A),"",INDEX('Data entry'!R:R,SMALL($A:$A,ROWS($6:145))))</f>
        <v/>
      </c>
      <c r="E145" s="27" t="str">
        <f>IF(ROWS($6:145)&gt;COUNT($A:$A),"",INDEX('Data entry'!BM:BM,SMALL($A:$A,ROWS($6:145))))</f>
        <v/>
      </c>
      <c r="F145" s="27" t="str">
        <f>IF(ROWS($6:145)&gt;COUNT($A:$A),"",INDEX('Data entry'!BK:BK,SMALL($A:$A,ROWS($6:145))))</f>
        <v/>
      </c>
      <c r="G145" s="27" t="str">
        <f>IF(ROWS($6:145)&gt;COUNT($A:$A),"",INDEX('Data entry'!BL:BL,SMALL($A:$A,ROWS($6:145))))</f>
        <v/>
      </c>
      <c r="H145" s="27" t="str">
        <f>IF(ROWS($6:145)&gt;COUNT($A:$A),"",INDEX('Data entry'!BN:BN,SMALL($A:$A,ROWS($6:145))))</f>
        <v/>
      </c>
      <c r="I145" s="87" t="str">
        <f>IF(ROWS($6:145)&gt;COUNT($A:$A),"",INDEX('Data entry'!S:S,SMALL($A:$A,ROWS($6:145))))</f>
        <v/>
      </c>
      <c r="J145" s="27" t="str">
        <f>IF(ROWS($6:145)&gt;COUNT($A:$A),"",INDEX('Data entry'!AR:AR,SMALL($A:$A,ROWS($6:145))))</f>
        <v/>
      </c>
    </row>
    <row r="146" spans="1:10" x14ac:dyDescent="0.2">
      <c r="A146" s="27" t="str">
        <f>IF(OR('Data entry'!B146="Probable", 'Data entry'!B146="Confirmed"),ROW(),"")</f>
        <v/>
      </c>
      <c r="B146" s="27" t="str">
        <f>IF(ROWS($6:146)&gt;COUNT($A:$A),"",INDEX('Data entry'!H:H,SMALL($A:$A,ROWS($6:146))))</f>
        <v/>
      </c>
      <c r="C146" s="27" t="str">
        <f>IF(ROWS($6:146)&gt;COUNT($A:$A),"",INDEX('Data entry'!BJ:BJ,SMALL($A:$A,ROWS($6:146))))</f>
        <v/>
      </c>
      <c r="D146" s="87" t="str">
        <f>IF(ROWS($6:146)&gt;COUNT($A:$A),"",INDEX('Data entry'!R:R,SMALL($A:$A,ROWS($6:146))))</f>
        <v/>
      </c>
      <c r="E146" s="27" t="str">
        <f>IF(ROWS($6:146)&gt;COUNT($A:$A),"",INDEX('Data entry'!BM:BM,SMALL($A:$A,ROWS($6:146))))</f>
        <v/>
      </c>
      <c r="F146" s="27" t="str">
        <f>IF(ROWS($6:146)&gt;COUNT($A:$A),"",INDEX('Data entry'!BK:BK,SMALL($A:$A,ROWS($6:146))))</f>
        <v/>
      </c>
      <c r="G146" s="27" t="str">
        <f>IF(ROWS($6:146)&gt;COUNT($A:$A),"",INDEX('Data entry'!BL:BL,SMALL($A:$A,ROWS($6:146))))</f>
        <v/>
      </c>
      <c r="H146" s="27" t="str">
        <f>IF(ROWS($6:146)&gt;COUNT($A:$A),"",INDEX('Data entry'!BN:BN,SMALL($A:$A,ROWS($6:146))))</f>
        <v/>
      </c>
      <c r="I146" s="87" t="str">
        <f>IF(ROWS($6:146)&gt;COUNT($A:$A),"",INDEX('Data entry'!S:S,SMALL($A:$A,ROWS($6:146))))</f>
        <v/>
      </c>
      <c r="J146" s="27" t="str">
        <f>IF(ROWS($6:146)&gt;COUNT($A:$A),"",INDEX('Data entry'!AR:AR,SMALL($A:$A,ROWS($6:146))))</f>
        <v/>
      </c>
    </row>
    <row r="147" spans="1:10" x14ac:dyDescent="0.2">
      <c r="A147" s="27" t="str">
        <f>IF(OR('Data entry'!B147="Probable", 'Data entry'!B147="Confirmed"),ROW(),"")</f>
        <v/>
      </c>
      <c r="B147" s="27" t="str">
        <f>IF(ROWS($6:147)&gt;COUNT($A:$A),"",INDEX('Data entry'!H:H,SMALL($A:$A,ROWS($6:147))))</f>
        <v/>
      </c>
      <c r="C147" s="27" t="str">
        <f>IF(ROWS($6:147)&gt;COUNT($A:$A),"",INDEX('Data entry'!BJ:BJ,SMALL($A:$A,ROWS($6:147))))</f>
        <v/>
      </c>
      <c r="D147" s="87" t="str">
        <f>IF(ROWS($6:147)&gt;COUNT($A:$A),"",INDEX('Data entry'!R:R,SMALL($A:$A,ROWS($6:147))))</f>
        <v/>
      </c>
      <c r="E147" s="27" t="str">
        <f>IF(ROWS($6:147)&gt;COUNT($A:$A),"",INDEX('Data entry'!BM:BM,SMALL($A:$A,ROWS($6:147))))</f>
        <v/>
      </c>
      <c r="F147" s="27" t="str">
        <f>IF(ROWS($6:147)&gt;COUNT($A:$A),"",INDEX('Data entry'!BK:BK,SMALL($A:$A,ROWS($6:147))))</f>
        <v/>
      </c>
      <c r="G147" s="27" t="str">
        <f>IF(ROWS($6:147)&gt;COUNT($A:$A),"",INDEX('Data entry'!BL:BL,SMALL($A:$A,ROWS($6:147))))</f>
        <v/>
      </c>
      <c r="H147" s="27" t="str">
        <f>IF(ROWS($6:147)&gt;COUNT($A:$A),"",INDEX('Data entry'!BN:BN,SMALL($A:$A,ROWS($6:147))))</f>
        <v/>
      </c>
      <c r="I147" s="87" t="str">
        <f>IF(ROWS($6:147)&gt;COUNT($A:$A),"",INDEX('Data entry'!S:S,SMALL($A:$A,ROWS($6:147))))</f>
        <v/>
      </c>
      <c r="J147" s="27" t="str">
        <f>IF(ROWS($6:147)&gt;COUNT($A:$A),"",INDEX('Data entry'!AR:AR,SMALL($A:$A,ROWS($6:147))))</f>
        <v/>
      </c>
    </row>
    <row r="148" spans="1:10" x14ac:dyDescent="0.2">
      <c r="A148" s="27" t="str">
        <f>IF(OR('Data entry'!B148="Probable", 'Data entry'!B148="Confirmed"),ROW(),"")</f>
        <v/>
      </c>
      <c r="B148" s="27" t="str">
        <f>IF(ROWS($6:148)&gt;COUNT($A:$A),"",INDEX('Data entry'!H:H,SMALL($A:$A,ROWS($6:148))))</f>
        <v/>
      </c>
      <c r="C148" s="27" t="str">
        <f>IF(ROWS($6:148)&gt;COUNT($A:$A),"",INDEX('Data entry'!BJ:BJ,SMALL($A:$A,ROWS($6:148))))</f>
        <v/>
      </c>
      <c r="D148" s="87" t="str">
        <f>IF(ROWS($6:148)&gt;COUNT($A:$A),"",INDEX('Data entry'!R:R,SMALL($A:$A,ROWS($6:148))))</f>
        <v/>
      </c>
      <c r="E148" s="27" t="str">
        <f>IF(ROWS($6:148)&gt;COUNT($A:$A),"",INDEX('Data entry'!BM:BM,SMALL($A:$A,ROWS($6:148))))</f>
        <v/>
      </c>
      <c r="F148" s="27" t="str">
        <f>IF(ROWS($6:148)&gt;COUNT($A:$A),"",INDEX('Data entry'!BK:BK,SMALL($A:$A,ROWS($6:148))))</f>
        <v/>
      </c>
      <c r="G148" s="27" t="str">
        <f>IF(ROWS($6:148)&gt;COUNT($A:$A),"",INDEX('Data entry'!BL:BL,SMALL($A:$A,ROWS($6:148))))</f>
        <v/>
      </c>
      <c r="H148" s="27" t="str">
        <f>IF(ROWS($6:148)&gt;COUNT($A:$A),"",INDEX('Data entry'!BN:BN,SMALL($A:$A,ROWS($6:148))))</f>
        <v/>
      </c>
      <c r="I148" s="87" t="str">
        <f>IF(ROWS($6:148)&gt;COUNT($A:$A),"",INDEX('Data entry'!S:S,SMALL($A:$A,ROWS($6:148))))</f>
        <v/>
      </c>
      <c r="J148" s="27" t="str">
        <f>IF(ROWS($6:148)&gt;COUNT($A:$A),"",INDEX('Data entry'!AR:AR,SMALL($A:$A,ROWS($6:148))))</f>
        <v/>
      </c>
    </row>
    <row r="149" spans="1:10" x14ac:dyDescent="0.2">
      <c r="A149" s="27" t="str">
        <f>IF(OR('Data entry'!B149="Probable", 'Data entry'!B149="Confirmed"),ROW(),"")</f>
        <v/>
      </c>
      <c r="B149" s="27" t="str">
        <f>IF(ROWS($6:149)&gt;COUNT($A:$A),"",INDEX('Data entry'!H:H,SMALL($A:$A,ROWS($6:149))))</f>
        <v/>
      </c>
      <c r="C149" s="27" t="str">
        <f>IF(ROWS($6:149)&gt;COUNT($A:$A),"",INDEX('Data entry'!BJ:BJ,SMALL($A:$A,ROWS($6:149))))</f>
        <v/>
      </c>
      <c r="D149" s="87" t="str">
        <f>IF(ROWS($6:149)&gt;COUNT($A:$A),"",INDEX('Data entry'!R:R,SMALL($A:$A,ROWS($6:149))))</f>
        <v/>
      </c>
      <c r="E149" s="27" t="str">
        <f>IF(ROWS($6:149)&gt;COUNT($A:$A),"",INDEX('Data entry'!BM:BM,SMALL($A:$A,ROWS($6:149))))</f>
        <v/>
      </c>
      <c r="F149" s="27" t="str">
        <f>IF(ROWS($6:149)&gt;COUNT($A:$A),"",INDEX('Data entry'!BK:BK,SMALL($A:$A,ROWS($6:149))))</f>
        <v/>
      </c>
      <c r="G149" s="27" t="str">
        <f>IF(ROWS($6:149)&gt;COUNT($A:$A),"",INDEX('Data entry'!BL:BL,SMALL($A:$A,ROWS($6:149))))</f>
        <v/>
      </c>
      <c r="H149" s="27" t="str">
        <f>IF(ROWS($6:149)&gt;COUNT($A:$A),"",INDEX('Data entry'!BN:BN,SMALL($A:$A,ROWS($6:149))))</f>
        <v/>
      </c>
      <c r="I149" s="87" t="str">
        <f>IF(ROWS($6:149)&gt;COUNT($A:$A),"",INDEX('Data entry'!S:S,SMALL($A:$A,ROWS($6:149))))</f>
        <v/>
      </c>
      <c r="J149" s="27" t="str">
        <f>IF(ROWS($6:149)&gt;COUNT($A:$A),"",INDEX('Data entry'!AR:AR,SMALL($A:$A,ROWS($6:149))))</f>
        <v/>
      </c>
    </row>
    <row r="150" spans="1:10" x14ac:dyDescent="0.2">
      <c r="A150" s="27" t="str">
        <f>IF(OR('Data entry'!B150="Probable", 'Data entry'!B150="Confirmed"),ROW(),"")</f>
        <v/>
      </c>
      <c r="B150" s="27" t="str">
        <f>IF(ROWS($6:150)&gt;COUNT($A:$A),"",INDEX('Data entry'!H:H,SMALL($A:$A,ROWS($6:150))))</f>
        <v/>
      </c>
      <c r="C150" s="27" t="str">
        <f>IF(ROWS($6:150)&gt;COUNT($A:$A),"",INDEX('Data entry'!BJ:BJ,SMALL($A:$A,ROWS($6:150))))</f>
        <v/>
      </c>
      <c r="D150" s="87" t="str">
        <f>IF(ROWS($6:150)&gt;COUNT($A:$A),"",INDEX('Data entry'!R:R,SMALL($A:$A,ROWS($6:150))))</f>
        <v/>
      </c>
      <c r="E150" s="27" t="str">
        <f>IF(ROWS($6:150)&gt;COUNT($A:$A),"",INDEX('Data entry'!BM:BM,SMALL($A:$A,ROWS($6:150))))</f>
        <v/>
      </c>
      <c r="F150" s="27" t="str">
        <f>IF(ROWS($6:150)&gt;COUNT($A:$A),"",INDEX('Data entry'!BK:BK,SMALL($A:$A,ROWS($6:150))))</f>
        <v/>
      </c>
      <c r="G150" s="27" t="str">
        <f>IF(ROWS($6:150)&gt;COUNT($A:$A),"",INDEX('Data entry'!BL:BL,SMALL($A:$A,ROWS($6:150))))</f>
        <v/>
      </c>
      <c r="H150" s="27" t="str">
        <f>IF(ROWS($6:150)&gt;COUNT($A:$A),"",INDEX('Data entry'!BN:BN,SMALL($A:$A,ROWS($6:150))))</f>
        <v/>
      </c>
      <c r="I150" s="87" t="str">
        <f>IF(ROWS($6:150)&gt;COUNT($A:$A),"",INDEX('Data entry'!S:S,SMALL($A:$A,ROWS($6:150))))</f>
        <v/>
      </c>
      <c r="J150" s="27" t="str">
        <f>IF(ROWS($6:150)&gt;COUNT($A:$A),"",INDEX('Data entry'!AR:AR,SMALL($A:$A,ROWS($6:150))))</f>
        <v/>
      </c>
    </row>
    <row r="151" spans="1:10" x14ac:dyDescent="0.2">
      <c r="A151" s="27" t="str">
        <f>IF(OR('Data entry'!B151="Probable", 'Data entry'!B151="Confirmed"),ROW(),"")</f>
        <v/>
      </c>
      <c r="B151" s="27" t="str">
        <f>IF(ROWS($6:151)&gt;COUNT($A:$A),"",INDEX('Data entry'!H:H,SMALL($A:$A,ROWS($6:151))))</f>
        <v/>
      </c>
      <c r="C151" s="27" t="str">
        <f>IF(ROWS($6:151)&gt;COUNT($A:$A),"",INDEX('Data entry'!BJ:BJ,SMALL($A:$A,ROWS($6:151))))</f>
        <v/>
      </c>
      <c r="D151" s="87" t="str">
        <f>IF(ROWS($6:151)&gt;COUNT($A:$A),"",INDEX('Data entry'!R:R,SMALL($A:$A,ROWS($6:151))))</f>
        <v/>
      </c>
      <c r="E151" s="27" t="str">
        <f>IF(ROWS($6:151)&gt;COUNT($A:$A),"",INDEX('Data entry'!BM:BM,SMALL($A:$A,ROWS($6:151))))</f>
        <v/>
      </c>
      <c r="F151" s="27" t="str">
        <f>IF(ROWS($6:151)&gt;COUNT($A:$A),"",INDEX('Data entry'!BK:BK,SMALL($A:$A,ROWS($6:151))))</f>
        <v/>
      </c>
      <c r="G151" s="27" t="str">
        <f>IF(ROWS($6:151)&gt;COUNT($A:$A),"",INDEX('Data entry'!BL:BL,SMALL($A:$A,ROWS($6:151))))</f>
        <v/>
      </c>
      <c r="H151" s="27" t="str">
        <f>IF(ROWS($6:151)&gt;COUNT($A:$A),"",INDEX('Data entry'!BN:BN,SMALL($A:$A,ROWS($6:151))))</f>
        <v/>
      </c>
      <c r="I151" s="87" t="str">
        <f>IF(ROWS($6:151)&gt;COUNT($A:$A),"",INDEX('Data entry'!S:S,SMALL($A:$A,ROWS($6:151))))</f>
        <v/>
      </c>
      <c r="J151" s="27" t="str">
        <f>IF(ROWS($6:151)&gt;COUNT($A:$A),"",INDEX('Data entry'!AR:AR,SMALL($A:$A,ROWS($6:151))))</f>
        <v/>
      </c>
    </row>
    <row r="152" spans="1:10" x14ac:dyDescent="0.2">
      <c r="A152" s="27" t="str">
        <f>IF(OR('Data entry'!B152="Probable", 'Data entry'!B152="Confirmed"),ROW(),"")</f>
        <v/>
      </c>
      <c r="B152" s="27" t="str">
        <f>IF(ROWS($6:152)&gt;COUNT($A:$A),"",INDEX('Data entry'!H:H,SMALL($A:$A,ROWS($6:152))))</f>
        <v/>
      </c>
      <c r="C152" s="27" t="str">
        <f>IF(ROWS($6:152)&gt;COUNT($A:$A),"",INDEX('Data entry'!BJ:BJ,SMALL($A:$A,ROWS($6:152))))</f>
        <v/>
      </c>
      <c r="D152" s="87" t="str">
        <f>IF(ROWS($6:152)&gt;COUNT($A:$A),"",INDEX('Data entry'!R:R,SMALL($A:$A,ROWS($6:152))))</f>
        <v/>
      </c>
      <c r="E152" s="27" t="str">
        <f>IF(ROWS($6:152)&gt;COUNT($A:$A),"",INDEX('Data entry'!BM:BM,SMALL($A:$A,ROWS($6:152))))</f>
        <v/>
      </c>
      <c r="F152" s="27" t="str">
        <f>IF(ROWS($6:152)&gt;COUNT($A:$A),"",INDEX('Data entry'!BK:BK,SMALL($A:$A,ROWS($6:152))))</f>
        <v/>
      </c>
      <c r="G152" s="27" t="str">
        <f>IF(ROWS($6:152)&gt;COUNT($A:$A),"",INDEX('Data entry'!BL:BL,SMALL($A:$A,ROWS($6:152))))</f>
        <v/>
      </c>
      <c r="H152" s="27" t="str">
        <f>IF(ROWS($6:152)&gt;COUNT($A:$A),"",INDEX('Data entry'!BN:BN,SMALL($A:$A,ROWS($6:152))))</f>
        <v/>
      </c>
      <c r="I152" s="87" t="str">
        <f>IF(ROWS($6:152)&gt;COUNT($A:$A),"",INDEX('Data entry'!S:S,SMALL($A:$A,ROWS($6:152))))</f>
        <v/>
      </c>
      <c r="J152" s="27" t="str">
        <f>IF(ROWS($6:152)&gt;COUNT($A:$A),"",INDEX('Data entry'!AR:AR,SMALL($A:$A,ROWS($6:152))))</f>
        <v/>
      </c>
    </row>
    <row r="153" spans="1:10" x14ac:dyDescent="0.2">
      <c r="A153" s="27" t="str">
        <f>IF(OR('Data entry'!B153="Probable", 'Data entry'!B153="Confirmed"),ROW(),"")</f>
        <v/>
      </c>
      <c r="B153" s="27" t="str">
        <f>IF(ROWS($6:153)&gt;COUNT($A:$A),"",INDEX('Data entry'!H:H,SMALL($A:$A,ROWS($6:153))))</f>
        <v/>
      </c>
      <c r="C153" s="27" t="str">
        <f>IF(ROWS($6:153)&gt;COUNT($A:$A),"",INDEX('Data entry'!BJ:BJ,SMALL($A:$A,ROWS($6:153))))</f>
        <v/>
      </c>
      <c r="D153" s="87" t="str">
        <f>IF(ROWS($6:153)&gt;COUNT($A:$A),"",INDEX('Data entry'!R:R,SMALL($A:$A,ROWS($6:153))))</f>
        <v/>
      </c>
      <c r="E153" s="27" t="str">
        <f>IF(ROWS($6:153)&gt;COUNT($A:$A),"",INDEX('Data entry'!BM:BM,SMALL($A:$A,ROWS($6:153))))</f>
        <v/>
      </c>
      <c r="F153" s="27" t="str">
        <f>IF(ROWS($6:153)&gt;COUNT($A:$A),"",INDEX('Data entry'!BK:BK,SMALL($A:$A,ROWS($6:153))))</f>
        <v/>
      </c>
      <c r="G153" s="27" t="str">
        <f>IF(ROWS($6:153)&gt;COUNT($A:$A),"",INDEX('Data entry'!BL:BL,SMALL($A:$A,ROWS($6:153))))</f>
        <v/>
      </c>
      <c r="H153" s="27" t="str">
        <f>IF(ROWS($6:153)&gt;COUNT($A:$A),"",INDEX('Data entry'!BN:BN,SMALL($A:$A,ROWS($6:153))))</f>
        <v/>
      </c>
      <c r="I153" s="87" t="str">
        <f>IF(ROWS($6:153)&gt;COUNT($A:$A),"",INDEX('Data entry'!S:S,SMALL($A:$A,ROWS($6:153))))</f>
        <v/>
      </c>
      <c r="J153" s="27" t="str">
        <f>IF(ROWS($6:153)&gt;COUNT($A:$A),"",INDEX('Data entry'!AR:AR,SMALL($A:$A,ROWS($6:153))))</f>
        <v/>
      </c>
    </row>
    <row r="154" spans="1:10" x14ac:dyDescent="0.2">
      <c r="A154" s="27" t="str">
        <f>IF(OR('Data entry'!B154="Probable", 'Data entry'!B154="Confirmed"),ROW(),"")</f>
        <v/>
      </c>
      <c r="B154" s="27" t="str">
        <f>IF(ROWS($6:154)&gt;COUNT($A:$A),"",INDEX('Data entry'!H:H,SMALL($A:$A,ROWS($6:154))))</f>
        <v/>
      </c>
      <c r="C154" s="27" t="str">
        <f>IF(ROWS($6:154)&gt;COUNT($A:$A),"",INDEX('Data entry'!BJ:BJ,SMALL($A:$A,ROWS($6:154))))</f>
        <v/>
      </c>
      <c r="D154" s="87" t="str">
        <f>IF(ROWS($6:154)&gt;COUNT($A:$A),"",INDEX('Data entry'!R:R,SMALL($A:$A,ROWS($6:154))))</f>
        <v/>
      </c>
      <c r="E154" s="27" t="str">
        <f>IF(ROWS($6:154)&gt;COUNT($A:$A),"",INDEX('Data entry'!BM:BM,SMALL($A:$A,ROWS($6:154))))</f>
        <v/>
      </c>
      <c r="F154" s="27" t="str">
        <f>IF(ROWS($6:154)&gt;COUNT($A:$A),"",INDEX('Data entry'!BK:BK,SMALL($A:$A,ROWS($6:154))))</f>
        <v/>
      </c>
      <c r="G154" s="27" t="str">
        <f>IF(ROWS($6:154)&gt;COUNT($A:$A),"",INDEX('Data entry'!BL:BL,SMALL($A:$A,ROWS($6:154))))</f>
        <v/>
      </c>
      <c r="H154" s="27" t="str">
        <f>IF(ROWS($6:154)&gt;COUNT($A:$A),"",INDEX('Data entry'!BN:BN,SMALL($A:$A,ROWS($6:154))))</f>
        <v/>
      </c>
      <c r="I154" s="87" t="str">
        <f>IF(ROWS($6:154)&gt;COUNT($A:$A),"",INDEX('Data entry'!S:S,SMALL($A:$A,ROWS($6:154))))</f>
        <v/>
      </c>
      <c r="J154" s="27" t="str">
        <f>IF(ROWS($6:154)&gt;COUNT($A:$A),"",INDEX('Data entry'!AR:AR,SMALL($A:$A,ROWS($6:154))))</f>
        <v/>
      </c>
    </row>
    <row r="155" spans="1:10" x14ac:dyDescent="0.2">
      <c r="A155" s="27" t="str">
        <f>IF(OR('Data entry'!B155="Probable", 'Data entry'!B155="Confirmed"),ROW(),"")</f>
        <v/>
      </c>
      <c r="B155" s="27" t="str">
        <f>IF(ROWS($6:155)&gt;COUNT($A:$A),"",INDEX('Data entry'!H:H,SMALL($A:$A,ROWS($6:155))))</f>
        <v/>
      </c>
      <c r="C155" s="27" t="str">
        <f>IF(ROWS($6:155)&gt;COUNT($A:$A),"",INDEX('Data entry'!BJ:BJ,SMALL($A:$A,ROWS($6:155))))</f>
        <v/>
      </c>
      <c r="D155" s="87" t="str">
        <f>IF(ROWS($6:155)&gt;COUNT($A:$A),"",INDEX('Data entry'!R:R,SMALL($A:$A,ROWS($6:155))))</f>
        <v/>
      </c>
      <c r="E155" s="27" t="str">
        <f>IF(ROWS($6:155)&gt;COUNT($A:$A),"",INDEX('Data entry'!BM:BM,SMALL($A:$A,ROWS($6:155))))</f>
        <v/>
      </c>
      <c r="F155" s="27" t="str">
        <f>IF(ROWS($6:155)&gt;COUNT($A:$A),"",INDEX('Data entry'!BK:BK,SMALL($A:$A,ROWS($6:155))))</f>
        <v/>
      </c>
      <c r="G155" s="27" t="str">
        <f>IF(ROWS($6:155)&gt;COUNT($A:$A),"",INDEX('Data entry'!BL:BL,SMALL($A:$A,ROWS($6:155))))</f>
        <v/>
      </c>
      <c r="H155" s="27" t="str">
        <f>IF(ROWS($6:155)&gt;COUNT($A:$A),"",INDEX('Data entry'!BN:BN,SMALL($A:$A,ROWS($6:155))))</f>
        <v/>
      </c>
      <c r="I155" s="87" t="str">
        <f>IF(ROWS($6:155)&gt;COUNT($A:$A),"",INDEX('Data entry'!S:S,SMALL($A:$A,ROWS($6:155))))</f>
        <v/>
      </c>
      <c r="J155" s="27" t="str">
        <f>IF(ROWS($6:155)&gt;COUNT($A:$A),"",INDEX('Data entry'!AR:AR,SMALL($A:$A,ROWS($6:155))))</f>
        <v/>
      </c>
    </row>
    <row r="156" spans="1:10" x14ac:dyDescent="0.2">
      <c r="A156" s="27" t="str">
        <f>IF(OR('Data entry'!B156="Probable", 'Data entry'!B156="Confirmed"),ROW(),"")</f>
        <v/>
      </c>
      <c r="B156" s="27" t="str">
        <f>IF(ROWS($6:156)&gt;COUNT($A:$A),"",INDEX('Data entry'!H:H,SMALL($A:$A,ROWS($6:156))))</f>
        <v/>
      </c>
      <c r="C156" s="27" t="str">
        <f>IF(ROWS($6:156)&gt;COUNT($A:$A),"",INDEX('Data entry'!BJ:BJ,SMALL($A:$A,ROWS($6:156))))</f>
        <v/>
      </c>
      <c r="D156" s="87" t="str">
        <f>IF(ROWS($6:156)&gt;COUNT($A:$A),"",INDEX('Data entry'!R:R,SMALL($A:$A,ROWS($6:156))))</f>
        <v/>
      </c>
      <c r="E156" s="27" t="str">
        <f>IF(ROWS($6:156)&gt;COUNT($A:$A),"",INDEX('Data entry'!BM:BM,SMALL($A:$A,ROWS($6:156))))</f>
        <v/>
      </c>
      <c r="F156" s="27" t="str">
        <f>IF(ROWS($6:156)&gt;COUNT($A:$A),"",INDEX('Data entry'!BK:BK,SMALL($A:$A,ROWS($6:156))))</f>
        <v/>
      </c>
      <c r="G156" s="27" t="str">
        <f>IF(ROWS($6:156)&gt;COUNT($A:$A),"",INDEX('Data entry'!BL:BL,SMALL($A:$A,ROWS($6:156))))</f>
        <v/>
      </c>
      <c r="H156" s="27" t="str">
        <f>IF(ROWS($6:156)&gt;COUNT($A:$A),"",INDEX('Data entry'!BN:BN,SMALL($A:$A,ROWS($6:156))))</f>
        <v/>
      </c>
      <c r="I156" s="87" t="str">
        <f>IF(ROWS($6:156)&gt;COUNT($A:$A),"",INDEX('Data entry'!S:S,SMALL($A:$A,ROWS($6:156))))</f>
        <v/>
      </c>
      <c r="J156" s="27" t="str">
        <f>IF(ROWS($6:156)&gt;COUNT($A:$A),"",INDEX('Data entry'!AR:AR,SMALL($A:$A,ROWS($6:156))))</f>
        <v/>
      </c>
    </row>
    <row r="157" spans="1:10" x14ac:dyDescent="0.2">
      <c r="A157" s="27" t="str">
        <f>IF(OR('Data entry'!B157="Probable", 'Data entry'!B157="Confirmed"),ROW(),"")</f>
        <v/>
      </c>
      <c r="B157" s="27" t="str">
        <f>IF(ROWS($6:157)&gt;COUNT($A:$A),"",INDEX('Data entry'!H:H,SMALL($A:$A,ROWS($6:157))))</f>
        <v/>
      </c>
      <c r="C157" s="27" t="str">
        <f>IF(ROWS($6:157)&gt;COUNT($A:$A),"",INDEX('Data entry'!BJ:BJ,SMALL($A:$A,ROWS($6:157))))</f>
        <v/>
      </c>
      <c r="D157" s="87" t="str">
        <f>IF(ROWS($6:157)&gt;COUNT($A:$A),"",INDEX('Data entry'!R:R,SMALL($A:$A,ROWS($6:157))))</f>
        <v/>
      </c>
      <c r="E157" s="27" t="str">
        <f>IF(ROWS($6:157)&gt;COUNT($A:$A),"",INDEX('Data entry'!BM:BM,SMALL($A:$A,ROWS($6:157))))</f>
        <v/>
      </c>
      <c r="F157" s="27" t="str">
        <f>IF(ROWS($6:157)&gt;COUNT($A:$A),"",INDEX('Data entry'!BK:BK,SMALL($A:$A,ROWS($6:157))))</f>
        <v/>
      </c>
      <c r="G157" s="27" t="str">
        <f>IF(ROWS($6:157)&gt;COUNT($A:$A),"",INDEX('Data entry'!BL:BL,SMALL($A:$A,ROWS($6:157))))</f>
        <v/>
      </c>
      <c r="H157" s="27" t="str">
        <f>IF(ROWS($6:157)&gt;COUNT($A:$A),"",INDEX('Data entry'!BN:BN,SMALL($A:$A,ROWS($6:157))))</f>
        <v/>
      </c>
      <c r="I157" s="87" t="str">
        <f>IF(ROWS($6:157)&gt;COUNT($A:$A),"",INDEX('Data entry'!S:S,SMALL($A:$A,ROWS($6:157))))</f>
        <v/>
      </c>
      <c r="J157" s="27" t="str">
        <f>IF(ROWS($6:157)&gt;COUNT($A:$A),"",INDEX('Data entry'!AR:AR,SMALL($A:$A,ROWS($6:157))))</f>
        <v/>
      </c>
    </row>
    <row r="158" spans="1:10" x14ac:dyDescent="0.2">
      <c r="A158" s="27" t="str">
        <f>IF(OR('Data entry'!B158="Probable", 'Data entry'!B158="Confirmed"),ROW(),"")</f>
        <v/>
      </c>
      <c r="B158" s="27" t="str">
        <f>IF(ROWS($6:158)&gt;COUNT($A:$A),"",INDEX('Data entry'!H:H,SMALL($A:$A,ROWS($6:158))))</f>
        <v/>
      </c>
      <c r="C158" s="27" t="str">
        <f>IF(ROWS($6:158)&gt;COUNT($A:$A),"",INDEX('Data entry'!BJ:BJ,SMALL($A:$A,ROWS($6:158))))</f>
        <v/>
      </c>
      <c r="D158" s="87" t="str">
        <f>IF(ROWS($6:158)&gt;COUNT($A:$A),"",INDEX('Data entry'!R:R,SMALL($A:$A,ROWS($6:158))))</f>
        <v/>
      </c>
      <c r="E158" s="27" t="str">
        <f>IF(ROWS($6:158)&gt;COUNT($A:$A),"",INDEX('Data entry'!BM:BM,SMALL($A:$A,ROWS($6:158))))</f>
        <v/>
      </c>
      <c r="F158" s="27" t="str">
        <f>IF(ROWS($6:158)&gt;COUNT($A:$A),"",INDEX('Data entry'!BK:BK,SMALL($A:$A,ROWS($6:158))))</f>
        <v/>
      </c>
      <c r="G158" s="27" t="str">
        <f>IF(ROWS($6:158)&gt;COUNT($A:$A),"",INDEX('Data entry'!BL:BL,SMALL($A:$A,ROWS($6:158))))</f>
        <v/>
      </c>
      <c r="H158" s="27" t="str">
        <f>IF(ROWS($6:158)&gt;COUNT($A:$A),"",INDEX('Data entry'!BN:BN,SMALL($A:$A,ROWS($6:158))))</f>
        <v/>
      </c>
      <c r="I158" s="87" t="str">
        <f>IF(ROWS($6:158)&gt;COUNT($A:$A),"",INDEX('Data entry'!S:S,SMALL($A:$A,ROWS($6:158))))</f>
        <v/>
      </c>
      <c r="J158" s="27" t="str">
        <f>IF(ROWS($6:158)&gt;COUNT($A:$A),"",INDEX('Data entry'!AR:AR,SMALL($A:$A,ROWS($6:158))))</f>
        <v/>
      </c>
    </row>
    <row r="159" spans="1:10" x14ac:dyDescent="0.2">
      <c r="A159" s="27" t="str">
        <f>IF(OR('Data entry'!B159="Probable", 'Data entry'!B159="Confirmed"),ROW(),"")</f>
        <v/>
      </c>
      <c r="B159" s="27" t="str">
        <f>IF(ROWS($6:159)&gt;COUNT($A:$A),"",INDEX('Data entry'!H:H,SMALL($A:$A,ROWS($6:159))))</f>
        <v/>
      </c>
      <c r="C159" s="27" t="str">
        <f>IF(ROWS($6:159)&gt;COUNT($A:$A),"",INDEX('Data entry'!BJ:BJ,SMALL($A:$A,ROWS($6:159))))</f>
        <v/>
      </c>
      <c r="D159" s="87" t="str">
        <f>IF(ROWS($6:159)&gt;COUNT($A:$A),"",INDEX('Data entry'!R:R,SMALL($A:$A,ROWS($6:159))))</f>
        <v/>
      </c>
      <c r="E159" s="27" t="str">
        <f>IF(ROWS($6:159)&gt;COUNT($A:$A),"",INDEX('Data entry'!BM:BM,SMALL($A:$A,ROWS($6:159))))</f>
        <v/>
      </c>
      <c r="F159" s="27" t="str">
        <f>IF(ROWS($6:159)&gt;COUNT($A:$A),"",INDEX('Data entry'!BK:BK,SMALL($A:$A,ROWS($6:159))))</f>
        <v/>
      </c>
      <c r="G159" s="27" t="str">
        <f>IF(ROWS($6:159)&gt;COUNT($A:$A),"",INDEX('Data entry'!BL:BL,SMALL($A:$A,ROWS($6:159))))</f>
        <v/>
      </c>
      <c r="H159" s="27" t="str">
        <f>IF(ROWS($6:159)&gt;COUNT($A:$A),"",INDEX('Data entry'!BN:BN,SMALL($A:$A,ROWS($6:159))))</f>
        <v/>
      </c>
      <c r="I159" s="87" t="str">
        <f>IF(ROWS($6:159)&gt;COUNT($A:$A),"",INDEX('Data entry'!S:S,SMALL($A:$A,ROWS($6:159))))</f>
        <v/>
      </c>
      <c r="J159" s="27" t="str">
        <f>IF(ROWS($6:159)&gt;COUNT($A:$A),"",INDEX('Data entry'!AR:AR,SMALL($A:$A,ROWS($6:159))))</f>
        <v/>
      </c>
    </row>
    <row r="160" spans="1:10" x14ac:dyDescent="0.2">
      <c r="A160" s="27" t="str">
        <f>IF(OR('Data entry'!B160="Probable", 'Data entry'!B160="Confirmed"),ROW(),"")</f>
        <v/>
      </c>
      <c r="B160" s="27" t="str">
        <f>IF(ROWS($6:160)&gt;COUNT($A:$A),"",INDEX('Data entry'!H:H,SMALL($A:$A,ROWS($6:160))))</f>
        <v/>
      </c>
      <c r="C160" s="27" t="str">
        <f>IF(ROWS($6:160)&gt;COUNT($A:$A),"",INDEX('Data entry'!BJ:BJ,SMALL($A:$A,ROWS($6:160))))</f>
        <v/>
      </c>
      <c r="D160" s="87" t="str">
        <f>IF(ROWS($6:160)&gt;COUNT($A:$A),"",INDEX('Data entry'!R:R,SMALL($A:$A,ROWS($6:160))))</f>
        <v/>
      </c>
      <c r="E160" s="27" t="str">
        <f>IF(ROWS($6:160)&gt;COUNT($A:$A),"",INDEX('Data entry'!BM:BM,SMALL($A:$A,ROWS($6:160))))</f>
        <v/>
      </c>
      <c r="F160" s="27" t="str">
        <f>IF(ROWS($6:160)&gt;COUNT($A:$A),"",INDEX('Data entry'!BK:BK,SMALL($A:$A,ROWS($6:160))))</f>
        <v/>
      </c>
      <c r="G160" s="27" t="str">
        <f>IF(ROWS($6:160)&gt;COUNT($A:$A),"",INDEX('Data entry'!BL:BL,SMALL($A:$A,ROWS($6:160))))</f>
        <v/>
      </c>
      <c r="H160" s="27" t="str">
        <f>IF(ROWS($6:160)&gt;COUNT($A:$A),"",INDEX('Data entry'!BN:BN,SMALL($A:$A,ROWS($6:160))))</f>
        <v/>
      </c>
      <c r="I160" s="87" t="str">
        <f>IF(ROWS($6:160)&gt;COUNT($A:$A),"",INDEX('Data entry'!S:S,SMALL($A:$A,ROWS($6:160))))</f>
        <v/>
      </c>
      <c r="J160" s="27" t="str">
        <f>IF(ROWS($6:160)&gt;COUNT($A:$A),"",INDEX('Data entry'!AR:AR,SMALL($A:$A,ROWS($6:160))))</f>
        <v/>
      </c>
    </row>
    <row r="161" spans="1:10" x14ac:dyDescent="0.2">
      <c r="A161" s="27" t="str">
        <f>IF(OR('Data entry'!B161="Probable", 'Data entry'!B161="Confirmed"),ROW(),"")</f>
        <v/>
      </c>
      <c r="B161" s="27" t="str">
        <f>IF(ROWS($6:161)&gt;COUNT($A:$A),"",INDEX('Data entry'!H:H,SMALL($A:$A,ROWS($6:161))))</f>
        <v/>
      </c>
      <c r="C161" s="27" t="str">
        <f>IF(ROWS($6:161)&gt;COUNT($A:$A),"",INDEX('Data entry'!BJ:BJ,SMALL($A:$A,ROWS($6:161))))</f>
        <v/>
      </c>
      <c r="D161" s="87" t="str">
        <f>IF(ROWS($6:161)&gt;COUNT($A:$A),"",INDEX('Data entry'!R:R,SMALL($A:$A,ROWS($6:161))))</f>
        <v/>
      </c>
      <c r="E161" s="27" t="str">
        <f>IF(ROWS($6:161)&gt;COUNT($A:$A),"",INDEX('Data entry'!BM:BM,SMALL($A:$A,ROWS($6:161))))</f>
        <v/>
      </c>
      <c r="F161" s="27" t="str">
        <f>IF(ROWS($6:161)&gt;COUNT($A:$A),"",INDEX('Data entry'!BK:BK,SMALL($A:$A,ROWS($6:161))))</f>
        <v/>
      </c>
      <c r="G161" s="27" t="str">
        <f>IF(ROWS($6:161)&gt;COUNT($A:$A),"",INDEX('Data entry'!BL:BL,SMALL($A:$A,ROWS($6:161))))</f>
        <v/>
      </c>
      <c r="H161" s="27" t="str">
        <f>IF(ROWS($6:161)&gt;COUNT($A:$A),"",INDEX('Data entry'!BN:BN,SMALL($A:$A,ROWS($6:161))))</f>
        <v/>
      </c>
      <c r="I161" s="87" t="str">
        <f>IF(ROWS($6:161)&gt;COUNT($A:$A),"",INDEX('Data entry'!S:S,SMALL($A:$A,ROWS($6:161))))</f>
        <v/>
      </c>
      <c r="J161" s="27" t="str">
        <f>IF(ROWS($6:161)&gt;COUNT($A:$A),"",INDEX('Data entry'!AR:AR,SMALL($A:$A,ROWS($6:161))))</f>
        <v/>
      </c>
    </row>
    <row r="162" spans="1:10" x14ac:dyDescent="0.2">
      <c r="A162" s="27" t="str">
        <f>IF(OR('Data entry'!B162="Probable", 'Data entry'!B162="Confirmed"),ROW(),"")</f>
        <v/>
      </c>
      <c r="B162" s="27" t="str">
        <f>IF(ROWS($6:162)&gt;COUNT($A:$A),"",INDEX('Data entry'!H:H,SMALL($A:$A,ROWS($6:162))))</f>
        <v/>
      </c>
      <c r="C162" s="27" t="str">
        <f>IF(ROWS($6:162)&gt;COUNT($A:$A),"",INDEX('Data entry'!BJ:BJ,SMALL($A:$A,ROWS($6:162))))</f>
        <v/>
      </c>
      <c r="D162" s="87" t="str">
        <f>IF(ROWS($6:162)&gt;COUNT($A:$A),"",INDEX('Data entry'!R:R,SMALL($A:$A,ROWS($6:162))))</f>
        <v/>
      </c>
      <c r="E162" s="27" t="str">
        <f>IF(ROWS($6:162)&gt;COUNT($A:$A),"",INDEX('Data entry'!BM:BM,SMALL($A:$A,ROWS($6:162))))</f>
        <v/>
      </c>
      <c r="F162" s="27" t="str">
        <f>IF(ROWS($6:162)&gt;COUNT($A:$A),"",INDEX('Data entry'!BK:BK,SMALL($A:$A,ROWS($6:162))))</f>
        <v/>
      </c>
      <c r="G162" s="27" t="str">
        <f>IF(ROWS($6:162)&gt;COUNT($A:$A),"",INDEX('Data entry'!BL:BL,SMALL($A:$A,ROWS($6:162))))</f>
        <v/>
      </c>
      <c r="H162" s="27" t="str">
        <f>IF(ROWS($6:162)&gt;COUNT($A:$A),"",INDEX('Data entry'!BN:BN,SMALL($A:$A,ROWS($6:162))))</f>
        <v/>
      </c>
      <c r="I162" s="87" t="str">
        <f>IF(ROWS($6:162)&gt;COUNT($A:$A),"",INDEX('Data entry'!S:S,SMALL($A:$A,ROWS($6:162))))</f>
        <v/>
      </c>
      <c r="J162" s="27" t="str">
        <f>IF(ROWS($6:162)&gt;COUNT($A:$A),"",INDEX('Data entry'!AR:AR,SMALL($A:$A,ROWS($6:162))))</f>
        <v/>
      </c>
    </row>
    <row r="163" spans="1:10" x14ac:dyDescent="0.2">
      <c r="A163" s="27" t="str">
        <f>IF(OR('Data entry'!B163="Probable", 'Data entry'!B163="Confirmed"),ROW(),"")</f>
        <v/>
      </c>
      <c r="B163" s="27" t="str">
        <f>IF(ROWS($6:163)&gt;COUNT($A:$A),"",INDEX('Data entry'!H:H,SMALL($A:$A,ROWS($6:163))))</f>
        <v/>
      </c>
      <c r="C163" s="27" t="str">
        <f>IF(ROWS($6:163)&gt;COUNT($A:$A),"",INDEX('Data entry'!BJ:BJ,SMALL($A:$A,ROWS($6:163))))</f>
        <v/>
      </c>
      <c r="D163" s="87" t="str">
        <f>IF(ROWS($6:163)&gt;COUNT($A:$A),"",INDEX('Data entry'!R:R,SMALL($A:$A,ROWS($6:163))))</f>
        <v/>
      </c>
      <c r="E163" s="27" t="str">
        <f>IF(ROWS($6:163)&gt;COUNT($A:$A),"",INDEX('Data entry'!BM:BM,SMALL($A:$A,ROWS($6:163))))</f>
        <v/>
      </c>
      <c r="F163" s="27" t="str">
        <f>IF(ROWS($6:163)&gt;COUNT($A:$A),"",INDEX('Data entry'!BK:BK,SMALL($A:$A,ROWS($6:163))))</f>
        <v/>
      </c>
      <c r="G163" s="27" t="str">
        <f>IF(ROWS($6:163)&gt;COUNT($A:$A),"",INDEX('Data entry'!BL:BL,SMALL($A:$A,ROWS($6:163))))</f>
        <v/>
      </c>
      <c r="H163" s="27" t="str">
        <f>IF(ROWS($6:163)&gt;COUNT($A:$A),"",INDEX('Data entry'!BN:BN,SMALL($A:$A,ROWS($6:163))))</f>
        <v/>
      </c>
      <c r="I163" s="87" t="str">
        <f>IF(ROWS($6:163)&gt;COUNT($A:$A),"",INDEX('Data entry'!S:S,SMALL($A:$A,ROWS($6:163))))</f>
        <v/>
      </c>
      <c r="J163" s="27" t="str">
        <f>IF(ROWS($6:163)&gt;COUNT($A:$A),"",INDEX('Data entry'!AR:AR,SMALL($A:$A,ROWS($6:163))))</f>
        <v/>
      </c>
    </row>
    <row r="164" spans="1:10" x14ac:dyDescent="0.2">
      <c r="A164" s="27" t="str">
        <f>IF(OR('Data entry'!B164="Probable", 'Data entry'!B164="Confirmed"),ROW(),"")</f>
        <v/>
      </c>
      <c r="B164" s="27" t="str">
        <f>IF(ROWS($6:164)&gt;COUNT($A:$A),"",INDEX('Data entry'!H:H,SMALL($A:$A,ROWS($6:164))))</f>
        <v/>
      </c>
      <c r="C164" s="27" t="str">
        <f>IF(ROWS($6:164)&gt;COUNT($A:$A),"",INDEX('Data entry'!BJ:BJ,SMALL($A:$A,ROWS($6:164))))</f>
        <v/>
      </c>
      <c r="D164" s="87" t="str">
        <f>IF(ROWS($6:164)&gt;COUNT($A:$A),"",INDEX('Data entry'!R:R,SMALL($A:$A,ROWS($6:164))))</f>
        <v/>
      </c>
      <c r="E164" s="27" t="str">
        <f>IF(ROWS($6:164)&gt;COUNT($A:$A),"",INDEX('Data entry'!BM:BM,SMALL($A:$A,ROWS($6:164))))</f>
        <v/>
      </c>
      <c r="F164" s="27" t="str">
        <f>IF(ROWS($6:164)&gt;COUNT($A:$A),"",INDEX('Data entry'!BK:BK,SMALL($A:$A,ROWS($6:164))))</f>
        <v/>
      </c>
      <c r="G164" s="27" t="str">
        <f>IF(ROWS($6:164)&gt;COUNT($A:$A),"",INDEX('Data entry'!BL:BL,SMALL($A:$A,ROWS($6:164))))</f>
        <v/>
      </c>
      <c r="H164" s="27" t="str">
        <f>IF(ROWS($6:164)&gt;COUNT($A:$A),"",INDEX('Data entry'!BN:BN,SMALL($A:$A,ROWS($6:164))))</f>
        <v/>
      </c>
      <c r="I164" s="87" t="str">
        <f>IF(ROWS($6:164)&gt;COUNT($A:$A),"",INDEX('Data entry'!S:S,SMALL($A:$A,ROWS($6:164))))</f>
        <v/>
      </c>
      <c r="J164" s="27" t="str">
        <f>IF(ROWS($6:164)&gt;COUNT($A:$A),"",INDEX('Data entry'!AR:AR,SMALL($A:$A,ROWS($6:164))))</f>
        <v/>
      </c>
    </row>
    <row r="165" spans="1:10" x14ac:dyDescent="0.2">
      <c r="A165" s="27" t="str">
        <f>IF(OR('Data entry'!B165="Probable", 'Data entry'!B165="Confirmed"),ROW(),"")</f>
        <v/>
      </c>
      <c r="B165" s="27" t="str">
        <f>IF(ROWS($6:165)&gt;COUNT($A:$A),"",INDEX('Data entry'!H:H,SMALL($A:$A,ROWS($6:165))))</f>
        <v/>
      </c>
      <c r="C165" s="27" t="str">
        <f>IF(ROWS($6:165)&gt;COUNT($A:$A),"",INDEX('Data entry'!BJ:BJ,SMALL($A:$A,ROWS($6:165))))</f>
        <v/>
      </c>
      <c r="D165" s="87" t="str">
        <f>IF(ROWS($6:165)&gt;COUNT($A:$A),"",INDEX('Data entry'!R:R,SMALL($A:$A,ROWS($6:165))))</f>
        <v/>
      </c>
      <c r="E165" s="27" t="str">
        <f>IF(ROWS($6:165)&gt;COUNT($A:$A),"",INDEX('Data entry'!BM:BM,SMALL($A:$A,ROWS($6:165))))</f>
        <v/>
      </c>
      <c r="F165" s="27" t="str">
        <f>IF(ROWS($6:165)&gt;COUNT($A:$A),"",INDEX('Data entry'!BK:BK,SMALL($A:$A,ROWS($6:165))))</f>
        <v/>
      </c>
      <c r="G165" s="27" t="str">
        <f>IF(ROWS($6:165)&gt;COUNT($A:$A),"",INDEX('Data entry'!BL:BL,SMALL($A:$A,ROWS($6:165))))</f>
        <v/>
      </c>
      <c r="H165" s="27" t="str">
        <f>IF(ROWS($6:165)&gt;COUNT($A:$A),"",INDEX('Data entry'!BN:BN,SMALL($A:$A,ROWS($6:165))))</f>
        <v/>
      </c>
      <c r="I165" s="87" t="str">
        <f>IF(ROWS($6:165)&gt;COUNT($A:$A),"",INDEX('Data entry'!S:S,SMALL($A:$A,ROWS($6:165))))</f>
        <v/>
      </c>
      <c r="J165" s="27" t="str">
        <f>IF(ROWS($6:165)&gt;COUNT($A:$A),"",INDEX('Data entry'!AR:AR,SMALL($A:$A,ROWS($6:165))))</f>
        <v/>
      </c>
    </row>
    <row r="166" spans="1:10" x14ac:dyDescent="0.2">
      <c r="A166" s="27" t="str">
        <f>IF(OR('Data entry'!B166="Probable", 'Data entry'!B166="Confirmed"),ROW(),"")</f>
        <v/>
      </c>
      <c r="B166" s="27" t="str">
        <f>IF(ROWS($6:166)&gt;COUNT($A:$A),"",INDEX('Data entry'!H:H,SMALL($A:$A,ROWS($6:166))))</f>
        <v/>
      </c>
      <c r="C166" s="27" t="str">
        <f>IF(ROWS($6:166)&gt;COUNT($A:$A),"",INDEX('Data entry'!BJ:BJ,SMALL($A:$A,ROWS($6:166))))</f>
        <v/>
      </c>
      <c r="D166" s="87" t="str">
        <f>IF(ROWS($6:166)&gt;COUNT($A:$A),"",INDEX('Data entry'!R:R,SMALL($A:$A,ROWS($6:166))))</f>
        <v/>
      </c>
      <c r="E166" s="27" t="str">
        <f>IF(ROWS($6:166)&gt;COUNT($A:$A),"",INDEX('Data entry'!BM:BM,SMALL($A:$A,ROWS($6:166))))</f>
        <v/>
      </c>
      <c r="F166" s="27" t="str">
        <f>IF(ROWS($6:166)&gt;COUNT($A:$A),"",INDEX('Data entry'!BK:BK,SMALL($A:$A,ROWS($6:166))))</f>
        <v/>
      </c>
      <c r="G166" s="27" t="str">
        <f>IF(ROWS($6:166)&gt;COUNT($A:$A),"",INDEX('Data entry'!BL:BL,SMALL($A:$A,ROWS($6:166))))</f>
        <v/>
      </c>
      <c r="H166" s="27" t="str">
        <f>IF(ROWS($6:166)&gt;COUNT($A:$A),"",INDEX('Data entry'!BN:BN,SMALL($A:$A,ROWS($6:166))))</f>
        <v/>
      </c>
      <c r="I166" s="87" t="str">
        <f>IF(ROWS($6:166)&gt;COUNT($A:$A),"",INDEX('Data entry'!S:S,SMALL($A:$A,ROWS($6:166))))</f>
        <v/>
      </c>
      <c r="J166" s="27" t="str">
        <f>IF(ROWS($6:166)&gt;COUNT($A:$A),"",INDEX('Data entry'!AR:AR,SMALL($A:$A,ROWS($6:166))))</f>
        <v/>
      </c>
    </row>
    <row r="167" spans="1:10" x14ac:dyDescent="0.2">
      <c r="A167" s="27" t="str">
        <f>IF(OR('Data entry'!B167="Probable", 'Data entry'!B167="Confirmed"),ROW(),"")</f>
        <v/>
      </c>
      <c r="B167" s="27" t="str">
        <f>IF(ROWS($6:167)&gt;COUNT($A:$A),"",INDEX('Data entry'!H:H,SMALL($A:$A,ROWS($6:167))))</f>
        <v/>
      </c>
      <c r="C167" s="27" t="str">
        <f>IF(ROWS($6:167)&gt;COUNT($A:$A),"",INDEX('Data entry'!BJ:BJ,SMALL($A:$A,ROWS($6:167))))</f>
        <v/>
      </c>
      <c r="D167" s="87" t="str">
        <f>IF(ROWS($6:167)&gt;COUNT($A:$A),"",INDEX('Data entry'!R:R,SMALL($A:$A,ROWS($6:167))))</f>
        <v/>
      </c>
      <c r="E167" s="27" t="str">
        <f>IF(ROWS($6:167)&gt;COUNT($A:$A),"",INDEX('Data entry'!BM:BM,SMALL($A:$A,ROWS($6:167))))</f>
        <v/>
      </c>
      <c r="F167" s="27" t="str">
        <f>IF(ROWS($6:167)&gt;COUNT($A:$A),"",INDEX('Data entry'!BK:BK,SMALL($A:$A,ROWS($6:167))))</f>
        <v/>
      </c>
      <c r="G167" s="27" t="str">
        <f>IF(ROWS($6:167)&gt;COUNT($A:$A),"",INDEX('Data entry'!BL:BL,SMALL($A:$A,ROWS($6:167))))</f>
        <v/>
      </c>
      <c r="H167" s="27" t="str">
        <f>IF(ROWS($6:167)&gt;COUNT($A:$A),"",INDEX('Data entry'!BN:BN,SMALL($A:$A,ROWS($6:167))))</f>
        <v/>
      </c>
      <c r="I167" s="87" t="str">
        <f>IF(ROWS($6:167)&gt;COUNT($A:$A),"",INDEX('Data entry'!S:S,SMALL($A:$A,ROWS($6:167))))</f>
        <v/>
      </c>
      <c r="J167" s="27" t="str">
        <f>IF(ROWS($6:167)&gt;COUNT($A:$A),"",INDEX('Data entry'!AR:AR,SMALL($A:$A,ROWS($6:167))))</f>
        <v/>
      </c>
    </row>
    <row r="168" spans="1:10" x14ac:dyDescent="0.2">
      <c r="A168" s="27" t="str">
        <f>IF(OR('Data entry'!B168="Probable", 'Data entry'!B168="Confirmed"),ROW(),"")</f>
        <v/>
      </c>
      <c r="B168" s="27" t="str">
        <f>IF(ROWS($6:168)&gt;COUNT($A:$A),"",INDEX('Data entry'!H:H,SMALL($A:$A,ROWS($6:168))))</f>
        <v/>
      </c>
      <c r="C168" s="27" t="str">
        <f>IF(ROWS($6:168)&gt;COUNT($A:$A),"",INDEX('Data entry'!BJ:BJ,SMALL($A:$A,ROWS($6:168))))</f>
        <v/>
      </c>
      <c r="D168" s="87" t="str">
        <f>IF(ROWS($6:168)&gt;COUNT($A:$A),"",INDEX('Data entry'!R:R,SMALL($A:$A,ROWS($6:168))))</f>
        <v/>
      </c>
      <c r="E168" s="27" t="str">
        <f>IF(ROWS($6:168)&gt;COUNT($A:$A),"",INDEX('Data entry'!BM:BM,SMALL($A:$A,ROWS($6:168))))</f>
        <v/>
      </c>
      <c r="F168" s="27" t="str">
        <f>IF(ROWS($6:168)&gt;COUNT($A:$A),"",INDEX('Data entry'!BK:BK,SMALL($A:$A,ROWS($6:168))))</f>
        <v/>
      </c>
      <c r="G168" s="27" t="str">
        <f>IF(ROWS($6:168)&gt;COUNT($A:$A),"",INDEX('Data entry'!BL:BL,SMALL($A:$A,ROWS($6:168))))</f>
        <v/>
      </c>
      <c r="H168" s="27" t="str">
        <f>IF(ROWS($6:168)&gt;COUNT($A:$A),"",INDEX('Data entry'!BN:BN,SMALL($A:$A,ROWS($6:168))))</f>
        <v/>
      </c>
      <c r="I168" s="87" t="str">
        <f>IF(ROWS($6:168)&gt;COUNT($A:$A),"",INDEX('Data entry'!S:S,SMALL($A:$A,ROWS($6:168))))</f>
        <v/>
      </c>
      <c r="J168" s="27" t="str">
        <f>IF(ROWS($6:168)&gt;COUNT($A:$A),"",INDEX('Data entry'!AR:AR,SMALL($A:$A,ROWS($6:168))))</f>
        <v/>
      </c>
    </row>
    <row r="169" spans="1:10" x14ac:dyDescent="0.2">
      <c r="A169" s="27" t="str">
        <f>IF(OR('Data entry'!B169="Probable", 'Data entry'!B169="Confirmed"),ROW(),"")</f>
        <v/>
      </c>
      <c r="B169" s="27" t="str">
        <f>IF(ROWS($6:169)&gt;COUNT($A:$A),"",INDEX('Data entry'!H:H,SMALL($A:$A,ROWS($6:169))))</f>
        <v/>
      </c>
      <c r="C169" s="27" t="str">
        <f>IF(ROWS($6:169)&gt;COUNT($A:$A),"",INDEX('Data entry'!BJ:BJ,SMALL($A:$A,ROWS($6:169))))</f>
        <v/>
      </c>
      <c r="D169" s="87" t="str">
        <f>IF(ROWS($6:169)&gt;COUNT($A:$A),"",INDEX('Data entry'!R:R,SMALL($A:$A,ROWS($6:169))))</f>
        <v/>
      </c>
      <c r="E169" s="27" t="str">
        <f>IF(ROWS($6:169)&gt;COUNT($A:$A),"",INDEX('Data entry'!BM:BM,SMALL($A:$A,ROWS($6:169))))</f>
        <v/>
      </c>
      <c r="F169" s="27" t="str">
        <f>IF(ROWS($6:169)&gt;COUNT($A:$A),"",INDEX('Data entry'!BK:BK,SMALL($A:$A,ROWS($6:169))))</f>
        <v/>
      </c>
      <c r="G169" s="27" t="str">
        <f>IF(ROWS($6:169)&gt;COUNT($A:$A),"",INDEX('Data entry'!BL:BL,SMALL($A:$A,ROWS($6:169))))</f>
        <v/>
      </c>
      <c r="H169" s="27" t="str">
        <f>IF(ROWS($6:169)&gt;COUNT($A:$A),"",INDEX('Data entry'!BN:BN,SMALL($A:$A,ROWS($6:169))))</f>
        <v/>
      </c>
      <c r="I169" s="87" t="str">
        <f>IF(ROWS($6:169)&gt;COUNT($A:$A),"",INDEX('Data entry'!S:S,SMALL($A:$A,ROWS($6:169))))</f>
        <v/>
      </c>
      <c r="J169" s="27" t="str">
        <f>IF(ROWS($6:169)&gt;COUNT($A:$A),"",INDEX('Data entry'!AR:AR,SMALL($A:$A,ROWS($6:169))))</f>
        <v/>
      </c>
    </row>
    <row r="170" spans="1:10" x14ac:dyDescent="0.2">
      <c r="A170" s="27" t="str">
        <f>IF(OR('Data entry'!B170="Probable", 'Data entry'!B170="Confirmed"),ROW(),"")</f>
        <v/>
      </c>
      <c r="B170" s="27" t="str">
        <f>IF(ROWS($6:170)&gt;COUNT($A:$A),"",INDEX('Data entry'!H:H,SMALL($A:$A,ROWS($6:170))))</f>
        <v/>
      </c>
      <c r="C170" s="27" t="str">
        <f>IF(ROWS($6:170)&gt;COUNT($A:$A),"",INDEX('Data entry'!BJ:BJ,SMALL($A:$A,ROWS($6:170))))</f>
        <v/>
      </c>
      <c r="D170" s="87" t="str">
        <f>IF(ROWS($6:170)&gt;COUNT($A:$A),"",INDEX('Data entry'!R:R,SMALL($A:$A,ROWS($6:170))))</f>
        <v/>
      </c>
      <c r="E170" s="27" t="str">
        <f>IF(ROWS($6:170)&gt;COUNT($A:$A),"",INDEX('Data entry'!BM:BM,SMALL($A:$A,ROWS($6:170))))</f>
        <v/>
      </c>
      <c r="F170" s="27" t="str">
        <f>IF(ROWS($6:170)&gt;COUNT($A:$A),"",INDEX('Data entry'!BK:BK,SMALL($A:$A,ROWS($6:170))))</f>
        <v/>
      </c>
      <c r="G170" s="27" t="str">
        <f>IF(ROWS($6:170)&gt;COUNT($A:$A),"",INDEX('Data entry'!BL:BL,SMALL($A:$A,ROWS($6:170))))</f>
        <v/>
      </c>
      <c r="H170" s="27" t="str">
        <f>IF(ROWS($6:170)&gt;COUNT($A:$A),"",INDEX('Data entry'!BN:BN,SMALL($A:$A,ROWS($6:170))))</f>
        <v/>
      </c>
      <c r="I170" s="87" t="str">
        <f>IF(ROWS($6:170)&gt;COUNT($A:$A),"",INDEX('Data entry'!S:S,SMALL($A:$A,ROWS($6:170))))</f>
        <v/>
      </c>
      <c r="J170" s="27" t="str">
        <f>IF(ROWS($6:170)&gt;COUNT($A:$A),"",INDEX('Data entry'!AR:AR,SMALL($A:$A,ROWS($6:170))))</f>
        <v/>
      </c>
    </row>
    <row r="171" spans="1:10" x14ac:dyDescent="0.2">
      <c r="A171" s="27" t="str">
        <f>IF(OR('Data entry'!B171="Probable", 'Data entry'!B171="Confirmed"),ROW(),"")</f>
        <v/>
      </c>
      <c r="B171" s="27" t="str">
        <f>IF(ROWS($6:171)&gt;COUNT($A:$A),"",INDEX('Data entry'!H:H,SMALL($A:$A,ROWS($6:171))))</f>
        <v/>
      </c>
      <c r="C171" s="27" t="str">
        <f>IF(ROWS($6:171)&gt;COUNT($A:$A),"",INDEX('Data entry'!BJ:BJ,SMALL($A:$A,ROWS($6:171))))</f>
        <v/>
      </c>
      <c r="D171" s="87" t="str">
        <f>IF(ROWS($6:171)&gt;COUNT($A:$A),"",INDEX('Data entry'!R:R,SMALL($A:$A,ROWS($6:171))))</f>
        <v/>
      </c>
      <c r="E171" s="27" t="str">
        <f>IF(ROWS($6:171)&gt;COUNT($A:$A),"",INDEX('Data entry'!BM:BM,SMALL($A:$A,ROWS($6:171))))</f>
        <v/>
      </c>
      <c r="F171" s="27" t="str">
        <f>IF(ROWS($6:171)&gt;COUNT($A:$A),"",INDEX('Data entry'!BK:BK,SMALL($A:$A,ROWS($6:171))))</f>
        <v/>
      </c>
      <c r="G171" s="27" t="str">
        <f>IF(ROWS($6:171)&gt;COUNT($A:$A),"",INDEX('Data entry'!BL:BL,SMALL($A:$A,ROWS($6:171))))</f>
        <v/>
      </c>
      <c r="H171" s="27" t="str">
        <f>IF(ROWS($6:171)&gt;COUNT($A:$A),"",INDEX('Data entry'!BN:BN,SMALL($A:$A,ROWS($6:171))))</f>
        <v/>
      </c>
      <c r="I171" s="87" t="str">
        <f>IF(ROWS($6:171)&gt;COUNT($A:$A),"",INDEX('Data entry'!S:S,SMALL($A:$A,ROWS($6:171))))</f>
        <v/>
      </c>
      <c r="J171" s="27" t="str">
        <f>IF(ROWS($6:171)&gt;COUNT($A:$A),"",INDEX('Data entry'!AR:AR,SMALL($A:$A,ROWS($6:171))))</f>
        <v/>
      </c>
    </row>
    <row r="172" spans="1:10" x14ac:dyDescent="0.2">
      <c r="A172" s="27" t="str">
        <f>IF(OR('Data entry'!B172="Probable", 'Data entry'!B172="Confirmed"),ROW(),"")</f>
        <v/>
      </c>
      <c r="B172" s="27" t="str">
        <f>IF(ROWS($6:172)&gt;COUNT($A:$A),"",INDEX('Data entry'!H:H,SMALL($A:$A,ROWS($6:172))))</f>
        <v/>
      </c>
      <c r="C172" s="27" t="str">
        <f>IF(ROWS($6:172)&gt;COUNT($A:$A),"",INDEX('Data entry'!BJ:BJ,SMALL($A:$A,ROWS($6:172))))</f>
        <v/>
      </c>
      <c r="D172" s="87" t="str">
        <f>IF(ROWS($6:172)&gt;COUNT($A:$A),"",INDEX('Data entry'!R:R,SMALL($A:$A,ROWS($6:172))))</f>
        <v/>
      </c>
      <c r="E172" s="27" t="str">
        <f>IF(ROWS($6:172)&gt;COUNT($A:$A),"",INDEX('Data entry'!BM:BM,SMALL($A:$A,ROWS($6:172))))</f>
        <v/>
      </c>
      <c r="F172" s="27" t="str">
        <f>IF(ROWS($6:172)&gt;COUNT($A:$A),"",INDEX('Data entry'!BK:BK,SMALL($A:$A,ROWS($6:172))))</f>
        <v/>
      </c>
      <c r="G172" s="27" t="str">
        <f>IF(ROWS($6:172)&gt;COUNT($A:$A),"",INDEX('Data entry'!BL:BL,SMALL($A:$A,ROWS($6:172))))</f>
        <v/>
      </c>
      <c r="H172" s="27" t="str">
        <f>IF(ROWS($6:172)&gt;COUNT($A:$A),"",INDEX('Data entry'!BN:BN,SMALL($A:$A,ROWS($6:172))))</f>
        <v/>
      </c>
      <c r="I172" s="87" t="str">
        <f>IF(ROWS($6:172)&gt;COUNT($A:$A),"",INDEX('Data entry'!S:S,SMALL($A:$A,ROWS($6:172))))</f>
        <v/>
      </c>
      <c r="J172" s="27" t="str">
        <f>IF(ROWS($6:172)&gt;COUNT($A:$A),"",INDEX('Data entry'!AR:AR,SMALL($A:$A,ROWS($6:172))))</f>
        <v/>
      </c>
    </row>
    <row r="173" spans="1:10" x14ac:dyDescent="0.2">
      <c r="A173" s="27" t="str">
        <f>IF(OR('Data entry'!B173="Probable", 'Data entry'!B173="Confirmed"),ROW(),"")</f>
        <v/>
      </c>
      <c r="B173" s="27" t="str">
        <f>IF(ROWS($6:173)&gt;COUNT($A:$A),"",INDEX('Data entry'!H:H,SMALL($A:$A,ROWS($6:173))))</f>
        <v/>
      </c>
      <c r="C173" s="27" t="str">
        <f>IF(ROWS($6:173)&gt;COUNT($A:$A),"",INDEX('Data entry'!BJ:BJ,SMALL($A:$A,ROWS($6:173))))</f>
        <v/>
      </c>
      <c r="D173" s="87" t="str">
        <f>IF(ROWS($6:173)&gt;COUNT($A:$A),"",INDEX('Data entry'!R:R,SMALL($A:$A,ROWS($6:173))))</f>
        <v/>
      </c>
      <c r="E173" s="27" t="str">
        <f>IF(ROWS($6:173)&gt;COUNT($A:$A),"",INDEX('Data entry'!BM:BM,SMALL($A:$A,ROWS($6:173))))</f>
        <v/>
      </c>
      <c r="F173" s="27" t="str">
        <f>IF(ROWS($6:173)&gt;COUNT($A:$A),"",INDEX('Data entry'!BK:BK,SMALL($A:$A,ROWS($6:173))))</f>
        <v/>
      </c>
      <c r="G173" s="27" t="str">
        <f>IF(ROWS($6:173)&gt;COUNT($A:$A),"",INDEX('Data entry'!BL:BL,SMALL($A:$A,ROWS($6:173))))</f>
        <v/>
      </c>
      <c r="H173" s="27" t="str">
        <f>IF(ROWS($6:173)&gt;COUNT($A:$A),"",INDEX('Data entry'!BN:BN,SMALL($A:$A,ROWS($6:173))))</f>
        <v/>
      </c>
      <c r="I173" s="87" t="str">
        <f>IF(ROWS($6:173)&gt;COUNT($A:$A),"",INDEX('Data entry'!S:S,SMALL($A:$A,ROWS($6:173))))</f>
        <v/>
      </c>
      <c r="J173" s="27" t="str">
        <f>IF(ROWS($6:173)&gt;COUNT($A:$A),"",INDEX('Data entry'!AR:AR,SMALL($A:$A,ROWS($6:173))))</f>
        <v/>
      </c>
    </row>
    <row r="174" spans="1:10" x14ac:dyDescent="0.2">
      <c r="A174" s="27" t="str">
        <f>IF(OR('Data entry'!B174="Probable", 'Data entry'!B174="Confirmed"),ROW(),"")</f>
        <v/>
      </c>
      <c r="B174" s="27" t="str">
        <f>IF(ROWS($6:174)&gt;COUNT($A:$A),"",INDEX('Data entry'!H:H,SMALL($A:$A,ROWS($6:174))))</f>
        <v/>
      </c>
      <c r="C174" s="27" t="str">
        <f>IF(ROWS($6:174)&gt;COUNT($A:$A),"",INDEX('Data entry'!BJ:BJ,SMALL($A:$A,ROWS($6:174))))</f>
        <v/>
      </c>
      <c r="D174" s="87" t="str">
        <f>IF(ROWS($6:174)&gt;COUNT($A:$A),"",INDEX('Data entry'!R:R,SMALL($A:$A,ROWS($6:174))))</f>
        <v/>
      </c>
      <c r="E174" s="27" t="str">
        <f>IF(ROWS($6:174)&gt;COUNT($A:$A),"",INDEX('Data entry'!BM:BM,SMALL($A:$A,ROWS($6:174))))</f>
        <v/>
      </c>
      <c r="F174" s="27" t="str">
        <f>IF(ROWS($6:174)&gt;COUNT($A:$A),"",INDEX('Data entry'!BK:BK,SMALL($A:$A,ROWS($6:174))))</f>
        <v/>
      </c>
      <c r="G174" s="27" t="str">
        <f>IF(ROWS($6:174)&gt;COUNT($A:$A),"",INDEX('Data entry'!BL:BL,SMALL($A:$A,ROWS($6:174))))</f>
        <v/>
      </c>
      <c r="H174" s="27" t="str">
        <f>IF(ROWS($6:174)&gt;COUNT($A:$A),"",INDEX('Data entry'!BN:BN,SMALL($A:$A,ROWS($6:174))))</f>
        <v/>
      </c>
      <c r="I174" s="87" t="str">
        <f>IF(ROWS($6:174)&gt;COUNT($A:$A),"",INDEX('Data entry'!S:S,SMALL($A:$A,ROWS($6:174))))</f>
        <v/>
      </c>
      <c r="J174" s="27" t="str">
        <f>IF(ROWS($6:174)&gt;COUNT($A:$A),"",INDEX('Data entry'!AR:AR,SMALL($A:$A,ROWS($6:174))))</f>
        <v/>
      </c>
    </row>
    <row r="175" spans="1:10" x14ac:dyDescent="0.2">
      <c r="A175" s="27" t="str">
        <f>IF(OR('Data entry'!B175="Probable", 'Data entry'!B175="Confirmed"),ROW(),"")</f>
        <v/>
      </c>
      <c r="B175" s="27" t="str">
        <f>IF(ROWS($6:175)&gt;COUNT($A:$A),"",INDEX('Data entry'!H:H,SMALL($A:$A,ROWS($6:175))))</f>
        <v/>
      </c>
      <c r="C175" s="27" t="str">
        <f>IF(ROWS($6:175)&gt;COUNT($A:$A),"",INDEX('Data entry'!BJ:BJ,SMALL($A:$A,ROWS($6:175))))</f>
        <v/>
      </c>
      <c r="D175" s="87" t="str">
        <f>IF(ROWS($6:175)&gt;COUNT($A:$A),"",INDEX('Data entry'!R:R,SMALL($A:$A,ROWS($6:175))))</f>
        <v/>
      </c>
      <c r="E175" s="27" t="str">
        <f>IF(ROWS($6:175)&gt;COUNT($A:$A),"",INDEX('Data entry'!BM:BM,SMALL($A:$A,ROWS($6:175))))</f>
        <v/>
      </c>
      <c r="F175" s="27" t="str">
        <f>IF(ROWS($6:175)&gt;COUNT($A:$A),"",INDEX('Data entry'!BK:BK,SMALL($A:$A,ROWS($6:175))))</f>
        <v/>
      </c>
      <c r="G175" s="27" t="str">
        <f>IF(ROWS($6:175)&gt;COUNT($A:$A),"",INDEX('Data entry'!BL:BL,SMALL($A:$A,ROWS($6:175))))</f>
        <v/>
      </c>
      <c r="H175" s="27" t="str">
        <f>IF(ROWS($6:175)&gt;COUNT($A:$A),"",INDEX('Data entry'!BN:BN,SMALL($A:$A,ROWS($6:175))))</f>
        <v/>
      </c>
      <c r="I175" s="87" t="str">
        <f>IF(ROWS($6:175)&gt;COUNT($A:$A),"",INDEX('Data entry'!S:S,SMALL($A:$A,ROWS($6:175))))</f>
        <v/>
      </c>
      <c r="J175" s="27" t="str">
        <f>IF(ROWS($6:175)&gt;COUNT($A:$A),"",INDEX('Data entry'!AR:AR,SMALL($A:$A,ROWS($6:175))))</f>
        <v/>
      </c>
    </row>
    <row r="176" spans="1:10" x14ac:dyDescent="0.2">
      <c r="A176" s="27" t="str">
        <f>IF(OR('Data entry'!B176="Probable", 'Data entry'!B176="Confirmed"),ROW(),"")</f>
        <v/>
      </c>
      <c r="B176" s="27" t="str">
        <f>IF(ROWS($6:176)&gt;COUNT($A:$A),"",INDEX('Data entry'!H:H,SMALL($A:$A,ROWS($6:176))))</f>
        <v/>
      </c>
      <c r="C176" s="27" t="str">
        <f>IF(ROWS($6:176)&gt;COUNT($A:$A),"",INDEX('Data entry'!BJ:BJ,SMALL($A:$A,ROWS($6:176))))</f>
        <v/>
      </c>
      <c r="D176" s="87" t="str">
        <f>IF(ROWS($6:176)&gt;COUNT($A:$A),"",INDEX('Data entry'!R:R,SMALL($A:$A,ROWS($6:176))))</f>
        <v/>
      </c>
      <c r="E176" s="27" t="str">
        <f>IF(ROWS($6:176)&gt;COUNT($A:$A),"",INDEX('Data entry'!BM:BM,SMALL($A:$A,ROWS($6:176))))</f>
        <v/>
      </c>
      <c r="F176" s="27" t="str">
        <f>IF(ROWS($6:176)&gt;COUNT($A:$A),"",INDEX('Data entry'!BK:BK,SMALL($A:$A,ROWS($6:176))))</f>
        <v/>
      </c>
      <c r="G176" s="27" t="str">
        <f>IF(ROWS($6:176)&gt;COUNT($A:$A),"",INDEX('Data entry'!BL:BL,SMALL($A:$A,ROWS($6:176))))</f>
        <v/>
      </c>
      <c r="H176" s="27" t="str">
        <f>IF(ROWS($6:176)&gt;COUNT($A:$A),"",INDEX('Data entry'!BN:BN,SMALL($A:$A,ROWS($6:176))))</f>
        <v/>
      </c>
      <c r="I176" s="87" t="str">
        <f>IF(ROWS($6:176)&gt;COUNT($A:$A),"",INDEX('Data entry'!S:S,SMALL($A:$A,ROWS($6:176))))</f>
        <v/>
      </c>
      <c r="J176" s="27" t="str">
        <f>IF(ROWS($6:176)&gt;COUNT($A:$A),"",INDEX('Data entry'!AR:AR,SMALL($A:$A,ROWS($6:176))))</f>
        <v/>
      </c>
    </row>
    <row r="177" spans="1:10" x14ac:dyDescent="0.2">
      <c r="A177" s="27" t="str">
        <f>IF(OR('Data entry'!B177="Probable", 'Data entry'!B177="Confirmed"),ROW(),"")</f>
        <v/>
      </c>
      <c r="B177" s="27" t="str">
        <f>IF(ROWS($6:177)&gt;COUNT($A:$A),"",INDEX('Data entry'!H:H,SMALL($A:$A,ROWS($6:177))))</f>
        <v/>
      </c>
      <c r="C177" s="27" t="str">
        <f>IF(ROWS($6:177)&gt;COUNT($A:$A),"",INDEX('Data entry'!BJ:BJ,SMALL($A:$A,ROWS($6:177))))</f>
        <v/>
      </c>
      <c r="D177" s="87" t="str">
        <f>IF(ROWS($6:177)&gt;COUNT($A:$A),"",INDEX('Data entry'!R:R,SMALL($A:$A,ROWS($6:177))))</f>
        <v/>
      </c>
      <c r="E177" s="27" t="str">
        <f>IF(ROWS($6:177)&gt;COUNT($A:$A),"",INDEX('Data entry'!BM:BM,SMALL($A:$A,ROWS($6:177))))</f>
        <v/>
      </c>
      <c r="F177" s="27" t="str">
        <f>IF(ROWS($6:177)&gt;COUNT($A:$A),"",INDEX('Data entry'!BK:BK,SMALL($A:$A,ROWS($6:177))))</f>
        <v/>
      </c>
      <c r="G177" s="27" t="str">
        <f>IF(ROWS($6:177)&gt;COUNT($A:$A),"",INDEX('Data entry'!BL:BL,SMALL($A:$A,ROWS($6:177))))</f>
        <v/>
      </c>
      <c r="H177" s="27" t="str">
        <f>IF(ROWS($6:177)&gt;COUNT($A:$A),"",INDEX('Data entry'!BN:BN,SMALL($A:$A,ROWS($6:177))))</f>
        <v/>
      </c>
      <c r="I177" s="87" t="str">
        <f>IF(ROWS($6:177)&gt;COUNT($A:$A),"",INDEX('Data entry'!S:S,SMALL($A:$A,ROWS($6:177))))</f>
        <v/>
      </c>
      <c r="J177" s="27" t="str">
        <f>IF(ROWS($6:177)&gt;COUNT($A:$A),"",INDEX('Data entry'!AR:AR,SMALL($A:$A,ROWS($6:177))))</f>
        <v/>
      </c>
    </row>
    <row r="178" spans="1:10" x14ac:dyDescent="0.2">
      <c r="A178" s="27" t="str">
        <f>IF(OR('Data entry'!B178="Probable", 'Data entry'!B178="Confirmed"),ROW(),"")</f>
        <v/>
      </c>
      <c r="B178" s="27" t="str">
        <f>IF(ROWS($6:178)&gt;COUNT($A:$A),"",INDEX('Data entry'!H:H,SMALL($A:$A,ROWS($6:178))))</f>
        <v/>
      </c>
      <c r="C178" s="27" t="str">
        <f>IF(ROWS($6:178)&gt;COUNT($A:$A),"",INDEX('Data entry'!BJ:BJ,SMALL($A:$A,ROWS($6:178))))</f>
        <v/>
      </c>
      <c r="D178" s="87" t="str">
        <f>IF(ROWS($6:178)&gt;COUNT($A:$A),"",INDEX('Data entry'!R:R,SMALL($A:$A,ROWS($6:178))))</f>
        <v/>
      </c>
      <c r="E178" s="27" t="str">
        <f>IF(ROWS($6:178)&gt;COUNT($A:$A),"",INDEX('Data entry'!BM:BM,SMALL($A:$A,ROWS($6:178))))</f>
        <v/>
      </c>
      <c r="F178" s="27" t="str">
        <f>IF(ROWS($6:178)&gt;COUNT($A:$A),"",INDEX('Data entry'!BK:BK,SMALL($A:$A,ROWS($6:178))))</f>
        <v/>
      </c>
      <c r="G178" s="27" t="str">
        <f>IF(ROWS($6:178)&gt;COUNT($A:$A),"",INDEX('Data entry'!BL:BL,SMALL($A:$A,ROWS($6:178))))</f>
        <v/>
      </c>
      <c r="H178" s="27" t="str">
        <f>IF(ROWS($6:178)&gt;COUNT($A:$A),"",INDEX('Data entry'!BN:BN,SMALL($A:$A,ROWS($6:178))))</f>
        <v/>
      </c>
      <c r="I178" s="87" t="str">
        <f>IF(ROWS($6:178)&gt;COUNT($A:$A),"",INDEX('Data entry'!S:S,SMALL($A:$A,ROWS($6:178))))</f>
        <v/>
      </c>
      <c r="J178" s="27" t="str">
        <f>IF(ROWS($6:178)&gt;COUNT($A:$A),"",INDEX('Data entry'!AR:AR,SMALL($A:$A,ROWS($6:178))))</f>
        <v/>
      </c>
    </row>
    <row r="179" spans="1:10" x14ac:dyDescent="0.2">
      <c r="A179" s="27" t="str">
        <f>IF(OR('Data entry'!B179="Probable", 'Data entry'!B179="Confirmed"),ROW(),"")</f>
        <v/>
      </c>
      <c r="B179" s="27" t="str">
        <f>IF(ROWS($6:179)&gt;COUNT($A:$A),"",INDEX('Data entry'!H:H,SMALL($A:$A,ROWS($6:179))))</f>
        <v/>
      </c>
      <c r="C179" s="27" t="str">
        <f>IF(ROWS($6:179)&gt;COUNT($A:$A),"",INDEX('Data entry'!BJ:BJ,SMALL($A:$A,ROWS($6:179))))</f>
        <v/>
      </c>
      <c r="D179" s="87" t="str">
        <f>IF(ROWS($6:179)&gt;COUNT($A:$A),"",INDEX('Data entry'!R:R,SMALL($A:$A,ROWS($6:179))))</f>
        <v/>
      </c>
      <c r="E179" s="27" t="str">
        <f>IF(ROWS($6:179)&gt;COUNT($A:$A),"",INDEX('Data entry'!BM:BM,SMALL($A:$A,ROWS($6:179))))</f>
        <v/>
      </c>
      <c r="F179" s="27" t="str">
        <f>IF(ROWS($6:179)&gt;COUNT($A:$A),"",INDEX('Data entry'!BK:BK,SMALL($A:$A,ROWS($6:179))))</f>
        <v/>
      </c>
      <c r="G179" s="27" t="str">
        <f>IF(ROWS($6:179)&gt;COUNT($A:$A),"",INDEX('Data entry'!BL:BL,SMALL($A:$A,ROWS($6:179))))</f>
        <v/>
      </c>
      <c r="H179" s="27" t="str">
        <f>IF(ROWS($6:179)&gt;COUNT($A:$A),"",INDEX('Data entry'!BN:BN,SMALL($A:$A,ROWS($6:179))))</f>
        <v/>
      </c>
      <c r="I179" s="87" t="str">
        <f>IF(ROWS($6:179)&gt;COUNT($A:$A),"",INDEX('Data entry'!S:S,SMALL($A:$A,ROWS($6:179))))</f>
        <v/>
      </c>
      <c r="J179" s="27" t="str">
        <f>IF(ROWS($6:179)&gt;COUNT($A:$A),"",INDEX('Data entry'!AR:AR,SMALL($A:$A,ROWS($6:179))))</f>
        <v/>
      </c>
    </row>
    <row r="180" spans="1:10" x14ac:dyDescent="0.2">
      <c r="A180" s="27" t="str">
        <f>IF(OR('Data entry'!B180="Probable", 'Data entry'!B180="Confirmed"),ROW(),"")</f>
        <v/>
      </c>
      <c r="B180" s="27" t="str">
        <f>IF(ROWS($6:180)&gt;COUNT($A:$A),"",INDEX('Data entry'!H:H,SMALL($A:$A,ROWS($6:180))))</f>
        <v/>
      </c>
      <c r="C180" s="27" t="str">
        <f>IF(ROWS($6:180)&gt;COUNT($A:$A),"",INDEX('Data entry'!BJ:BJ,SMALL($A:$A,ROWS($6:180))))</f>
        <v/>
      </c>
      <c r="D180" s="87" t="str">
        <f>IF(ROWS($6:180)&gt;COUNT($A:$A),"",INDEX('Data entry'!R:R,SMALL($A:$A,ROWS($6:180))))</f>
        <v/>
      </c>
      <c r="E180" s="27" t="str">
        <f>IF(ROWS($6:180)&gt;COUNT($A:$A),"",INDEX('Data entry'!BM:BM,SMALL($A:$A,ROWS($6:180))))</f>
        <v/>
      </c>
      <c r="F180" s="27" t="str">
        <f>IF(ROWS($6:180)&gt;COUNT($A:$A),"",INDEX('Data entry'!BK:BK,SMALL($A:$A,ROWS($6:180))))</f>
        <v/>
      </c>
      <c r="G180" s="27" t="str">
        <f>IF(ROWS($6:180)&gt;COUNT($A:$A),"",INDEX('Data entry'!BL:BL,SMALL($A:$A,ROWS($6:180))))</f>
        <v/>
      </c>
      <c r="H180" s="27" t="str">
        <f>IF(ROWS($6:180)&gt;COUNT($A:$A),"",INDEX('Data entry'!BN:BN,SMALL($A:$A,ROWS($6:180))))</f>
        <v/>
      </c>
      <c r="I180" s="87" t="str">
        <f>IF(ROWS($6:180)&gt;COUNT($A:$A),"",INDEX('Data entry'!S:S,SMALL($A:$A,ROWS($6:180))))</f>
        <v/>
      </c>
      <c r="J180" s="27" t="str">
        <f>IF(ROWS($6:180)&gt;COUNT($A:$A),"",INDEX('Data entry'!AR:AR,SMALL($A:$A,ROWS($6:180))))</f>
        <v/>
      </c>
    </row>
    <row r="181" spans="1:10" x14ac:dyDescent="0.2">
      <c r="A181" s="27" t="str">
        <f>IF(OR('Data entry'!B181="Probable", 'Data entry'!B181="Confirmed"),ROW(),"")</f>
        <v/>
      </c>
      <c r="B181" s="27" t="str">
        <f>IF(ROWS($6:181)&gt;COUNT($A:$A),"",INDEX('Data entry'!H:H,SMALL($A:$A,ROWS($6:181))))</f>
        <v/>
      </c>
      <c r="C181" s="27" t="str">
        <f>IF(ROWS($6:181)&gt;COUNT($A:$A),"",INDEX('Data entry'!BJ:BJ,SMALL($A:$A,ROWS($6:181))))</f>
        <v/>
      </c>
      <c r="D181" s="87" t="str">
        <f>IF(ROWS($6:181)&gt;COUNT($A:$A),"",INDEX('Data entry'!R:R,SMALL($A:$A,ROWS($6:181))))</f>
        <v/>
      </c>
      <c r="E181" s="27" t="str">
        <f>IF(ROWS($6:181)&gt;COUNT($A:$A),"",INDEX('Data entry'!BM:BM,SMALL($A:$A,ROWS($6:181))))</f>
        <v/>
      </c>
      <c r="F181" s="27" t="str">
        <f>IF(ROWS($6:181)&gt;COUNT($A:$A),"",INDEX('Data entry'!BK:BK,SMALL($A:$A,ROWS($6:181))))</f>
        <v/>
      </c>
      <c r="G181" s="27" t="str">
        <f>IF(ROWS($6:181)&gt;COUNT($A:$A),"",INDEX('Data entry'!BL:BL,SMALL($A:$A,ROWS($6:181))))</f>
        <v/>
      </c>
      <c r="H181" s="27" t="str">
        <f>IF(ROWS($6:181)&gt;COUNT($A:$A),"",INDEX('Data entry'!BN:BN,SMALL($A:$A,ROWS($6:181))))</f>
        <v/>
      </c>
      <c r="I181" s="87" t="str">
        <f>IF(ROWS($6:181)&gt;COUNT($A:$A),"",INDEX('Data entry'!S:S,SMALL($A:$A,ROWS($6:181))))</f>
        <v/>
      </c>
      <c r="J181" s="27" t="str">
        <f>IF(ROWS($6:181)&gt;COUNT($A:$A),"",INDEX('Data entry'!AR:AR,SMALL($A:$A,ROWS($6:181))))</f>
        <v/>
      </c>
    </row>
    <row r="182" spans="1:10" x14ac:dyDescent="0.2">
      <c r="A182" s="27" t="str">
        <f>IF(OR('Data entry'!B182="Probable", 'Data entry'!B182="Confirmed"),ROW(),"")</f>
        <v/>
      </c>
      <c r="B182" s="27" t="str">
        <f>IF(ROWS($6:182)&gt;COUNT($A:$A),"",INDEX('Data entry'!H:H,SMALL($A:$A,ROWS($6:182))))</f>
        <v/>
      </c>
      <c r="C182" s="27" t="str">
        <f>IF(ROWS($6:182)&gt;COUNT($A:$A),"",INDEX('Data entry'!BJ:BJ,SMALL($A:$A,ROWS($6:182))))</f>
        <v/>
      </c>
      <c r="D182" s="87" t="str">
        <f>IF(ROWS($6:182)&gt;COUNT($A:$A),"",INDEX('Data entry'!R:R,SMALL($A:$A,ROWS($6:182))))</f>
        <v/>
      </c>
      <c r="E182" s="27" t="str">
        <f>IF(ROWS($6:182)&gt;COUNT($A:$A),"",INDEX('Data entry'!BM:BM,SMALL($A:$A,ROWS($6:182))))</f>
        <v/>
      </c>
      <c r="F182" s="27" t="str">
        <f>IF(ROWS($6:182)&gt;COUNT($A:$A),"",INDEX('Data entry'!BK:BK,SMALL($A:$A,ROWS($6:182))))</f>
        <v/>
      </c>
      <c r="G182" s="27" t="str">
        <f>IF(ROWS($6:182)&gt;COUNT($A:$A),"",INDEX('Data entry'!BL:BL,SMALL($A:$A,ROWS($6:182))))</f>
        <v/>
      </c>
      <c r="H182" s="27" t="str">
        <f>IF(ROWS($6:182)&gt;COUNT($A:$A),"",INDEX('Data entry'!BN:BN,SMALL($A:$A,ROWS($6:182))))</f>
        <v/>
      </c>
      <c r="I182" s="87" t="str">
        <f>IF(ROWS($6:182)&gt;COUNT($A:$A),"",INDEX('Data entry'!S:S,SMALL($A:$A,ROWS($6:182))))</f>
        <v/>
      </c>
      <c r="J182" s="27" t="str">
        <f>IF(ROWS($6:182)&gt;COUNT($A:$A),"",INDEX('Data entry'!AR:AR,SMALL($A:$A,ROWS($6:182))))</f>
        <v/>
      </c>
    </row>
    <row r="183" spans="1:10" x14ac:dyDescent="0.2">
      <c r="A183" s="27" t="str">
        <f>IF(OR('Data entry'!B183="Probable", 'Data entry'!B183="Confirmed"),ROW(),"")</f>
        <v/>
      </c>
      <c r="B183" s="27" t="str">
        <f>IF(ROWS($6:183)&gt;COUNT($A:$A),"",INDEX('Data entry'!H:H,SMALL($A:$A,ROWS($6:183))))</f>
        <v/>
      </c>
      <c r="C183" s="27" t="str">
        <f>IF(ROWS($6:183)&gt;COUNT($A:$A),"",INDEX('Data entry'!BJ:BJ,SMALL($A:$A,ROWS($6:183))))</f>
        <v/>
      </c>
      <c r="D183" s="87" t="str">
        <f>IF(ROWS($6:183)&gt;COUNT($A:$A),"",INDEX('Data entry'!R:R,SMALL($A:$A,ROWS($6:183))))</f>
        <v/>
      </c>
      <c r="E183" s="27" t="str">
        <f>IF(ROWS($6:183)&gt;COUNT($A:$A),"",INDEX('Data entry'!BM:BM,SMALL($A:$A,ROWS($6:183))))</f>
        <v/>
      </c>
      <c r="F183" s="27" t="str">
        <f>IF(ROWS($6:183)&gt;COUNT($A:$A),"",INDEX('Data entry'!BK:BK,SMALL($A:$A,ROWS($6:183))))</f>
        <v/>
      </c>
      <c r="G183" s="27" t="str">
        <f>IF(ROWS($6:183)&gt;COUNT($A:$A),"",INDEX('Data entry'!BL:BL,SMALL($A:$A,ROWS($6:183))))</f>
        <v/>
      </c>
      <c r="H183" s="27" t="str">
        <f>IF(ROWS($6:183)&gt;COUNT($A:$A),"",INDEX('Data entry'!BN:BN,SMALL($A:$A,ROWS($6:183))))</f>
        <v/>
      </c>
      <c r="I183" s="87" t="str">
        <f>IF(ROWS($6:183)&gt;COUNT($A:$A),"",INDEX('Data entry'!S:S,SMALL($A:$A,ROWS($6:183))))</f>
        <v/>
      </c>
      <c r="J183" s="27" t="str">
        <f>IF(ROWS($6:183)&gt;COUNT($A:$A),"",INDEX('Data entry'!AR:AR,SMALL($A:$A,ROWS($6:183))))</f>
        <v/>
      </c>
    </row>
    <row r="184" spans="1:10" x14ac:dyDescent="0.2">
      <c r="A184" s="27" t="str">
        <f>IF(OR('Data entry'!B184="Probable", 'Data entry'!B184="Confirmed"),ROW(),"")</f>
        <v/>
      </c>
      <c r="B184" s="27" t="str">
        <f>IF(ROWS($6:184)&gt;COUNT($A:$A),"",INDEX('Data entry'!H:H,SMALL($A:$A,ROWS($6:184))))</f>
        <v/>
      </c>
      <c r="C184" s="27" t="str">
        <f>IF(ROWS($6:184)&gt;COUNT($A:$A),"",INDEX('Data entry'!BJ:BJ,SMALL($A:$A,ROWS($6:184))))</f>
        <v/>
      </c>
      <c r="D184" s="87" t="str">
        <f>IF(ROWS($6:184)&gt;COUNT($A:$A),"",INDEX('Data entry'!R:R,SMALL($A:$A,ROWS($6:184))))</f>
        <v/>
      </c>
      <c r="E184" s="27" t="str">
        <f>IF(ROWS($6:184)&gt;COUNT($A:$A),"",INDEX('Data entry'!BM:BM,SMALL($A:$A,ROWS($6:184))))</f>
        <v/>
      </c>
      <c r="F184" s="27" t="str">
        <f>IF(ROWS($6:184)&gt;COUNT($A:$A),"",INDEX('Data entry'!BK:BK,SMALL($A:$A,ROWS($6:184))))</f>
        <v/>
      </c>
      <c r="G184" s="27" t="str">
        <f>IF(ROWS($6:184)&gt;COUNT($A:$A),"",INDEX('Data entry'!BL:BL,SMALL($A:$A,ROWS($6:184))))</f>
        <v/>
      </c>
      <c r="H184" s="27" t="str">
        <f>IF(ROWS($6:184)&gt;COUNT($A:$A),"",INDEX('Data entry'!BN:BN,SMALL($A:$A,ROWS($6:184))))</f>
        <v/>
      </c>
      <c r="I184" s="87" t="str">
        <f>IF(ROWS($6:184)&gt;COUNT($A:$A),"",INDEX('Data entry'!S:S,SMALL($A:$A,ROWS($6:184))))</f>
        <v/>
      </c>
      <c r="J184" s="27" t="str">
        <f>IF(ROWS($6:184)&gt;COUNT($A:$A),"",INDEX('Data entry'!AR:AR,SMALL($A:$A,ROWS($6:184))))</f>
        <v/>
      </c>
    </row>
    <row r="185" spans="1:10" x14ac:dyDescent="0.2">
      <c r="A185" s="27" t="str">
        <f>IF(OR('Data entry'!B185="Probable", 'Data entry'!B185="Confirmed"),ROW(),"")</f>
        <v/>
      </c>
      <c r="B185" s="27" t="str">
        <f>IF(ROWS($6:185)&gt;COUNT($A:$A),"",INDEX('Data entry'!H:H,SMALL($A:$A,ROWS($6:185))))</f>
        <v/>
      </c>
      <c r="C185" s="27" t="str">
        <f>IF(ROWS($6:185)&gt;COUNT($A:$A),"",INDEX('Data entry'!BJ:BJ,SMALL($A:$A,ROWS($6:185))))</f>
        <v/>
      </c>
      <c r="D185" s="87" t="str">
        <f>IF(ROWS($6:185)&gt;COUNT($A:$A),"",INDEX('Data entry'!R:R,SMALL($A:$A,ROWS($6:185))))</f>
        <v/>
      </c>
      <c r="E185" s="27" t="str">
        <f>IF(ROWS($6:185)&gt;COUNT($A:$A),"",INDEX('Data entry'!BM:BM,SMALL($A:$A,ROWS($6:185))))</f>
        <v/>
      </c>
      <c r="F185" s="27" t="str">
        <f>IF(ROWS($6:185)&gt;COUNT($A:$A),"",INDEX('Data entry'!BK:BK,SMALL($A:$A,ROWS($6:185))))</f>
        <v/>
      </c>
      <c r="G185" s="27" t="str">
        <f>IF(ROWS($6:185)&gt;COUNT($A:$A),"",INDEX('Data entry'!BL:BL,SMALL($A:$A,ROWS($6:185))))</f>
        <v/>
      </c>
      <c r="H185" s="27" t="str">
        <f>IF(ROWS($6:185)&gt;COUNT($A:$A),"",INDEX('Data entry'!BN:BN,SMALL($A:$A,ROWS($6:185))))</f>
        <v/>
      </c>
      <c r="I185" s="87" t="str">
        <f>IF(ROWS($6:185)&gt;COUNT($A:$A),"",INDEX('Data entry'!S:S,SMALL($A:$A,ROWS($6:185))))</f>
        <v/>
      </c>
      <c r="J185" s="27" t="str">
        <f>IF(ROWS($6:185)&gt;COUNT($A:$A),"",INDEX('Data entry'!AR:AR,SMALL($A:$A,ROWS($6:185))))</f>
        <v/>
      </c>
    </row>
    <row r="186" spans="1:10" x14ac:dyDescent="0.2">
      <c r="A186" s="27" t="str">
        <f>IF(OR('Data entry'!B186="Probable", 'Data entry'!B186="Confirmed"),ROW(),"")</f>
        <v/>
      </c>
      <c r="B186" s="27" t="str">
        <f>IF(ROWS($6:186)&gt;COUNT($A:$A),"",INDEX('Data entry'!H:H,SMALL($A:$A,ROWS($6:186))))</f>
        <v/>
      </c>
      <c r="C186" s="27" t="str">
        <f>IF(ROWS($6:186)&gt;COUNT($A:$A),"",INDEX('Data entry'!BJ:BJ,SMALL($A:$A,ROWS($6:186))))</f>
        <v/>
      </c>
      <c r="D186" s="87" t="str">
        <f>IF(ROWS($6:186)&gt;COUNT($A:$A),"",INDEX('Data entry'!R:R,SMALL($A:$A,ROWS($6:186))))</f>
        <v/>
      </c>
      <c r="E186" s="27" t="str">
        <f>IF(ROWS($6:186)&gt;COUNT($A:$A),"",INDEX('Data entry'!BM:BM,SMALL($A:$A,ROWS($6:186))))</f>
        <v/>
      </c>
      <c r="F186" s="27" t="str">
        <f>IF(ROWS($6:186)&gt;COUNT($A:$A),"",INDEX('Data entry'!BK:BK,SMALL($A:$A,ROWS($6:186))))</f>
        <v/>
      </c>
      <c r="G186" s="27" t="str">
        <f>IF(ROWS($6:186)&gt;COUNT($A:$A),"",INDEX('Data entry'!BL:BL,SMALL($A:$A,ROWS($6:186))))</f>
        <v/>
      </c>
      <c r="H186" s="27" t="str">
        <f>IF(ROWS($6:186)&gt;COUNT($A:$A),"",INDEX('Data entry'!BN:BN,SMALL($A:$A,ROWS($6:186))))</f>
        <v/>
      </c>
      <c r="I186" s="87" t="str">
        <f>IF(ROWS($6:186)&gt;COUNT($A:$A),"",INDEX('Data entry'!S:S,SMALL($A:$A,ROWS($6:186))))</f>
        <v/>
      </c>
      <c r="J186" s="27" t="str">
        <f>IF(ROWS($6:186)&gt;COUNT($A:$A),"",INDEX('Data entry'!AR:AR,SMALL($A:$A,ROWS($6:186))))</f>
        <v/>
      </c>
    </row>
    <row r="187" spans="1:10" x14ac:dyDescent="0.2">
      <c r="A187" s="27" t="str">
        <f>IF(OR('Data entry'!B187="Probable", 'Data entry'!B187="Confirmed"),ROW(),"")</f>
        <v/>
      </c>
      <c r="B187" s="27" t="str">
        <f>IF(ROWS($6:187)&gt;COUNT($A:$A),"",INDEX('Data entry'!H:H,SMALL($A:$A,ROWS($6:187))))</f>
        <v/>
      </c>
      <c r="C187" s="27" t="str">
        <f>IF(ROWS($6:187)&gt;COUNT($A:$A),"",INDEX('Data entry'!BJ:BJ,SMALL($A:$A,ROWS($6:187))))</f>
        <v/>
      </c>
      <c r="D187" s="87" t="str">
        <f>IF(ROWS($6:187)&gt;COUNT($A:$A),"",INDEX('Data entry'!R:R,SMALL($A:$A,ROWS($6:187))))</f>
        <v/>
      </c>
      <c r="E187" s="27" t="str">
        <f>IF(ROWS($6:187)&gt;COUNT($A:$A),"",INDEX('Data entry'!BM:BM,SMALL($A:$A,ROWS($6:187))))</f>
        <v/>
      </c>
      <c r="F187" s="27" t="str">
        <f>IF(ROWS($6:187)&gt;COUNT($A:$A),"",INDEX('Data entry'!BK:BK,SMALL($A:$A,ROWS($6:187))))</f>
        <v/>
      </c>
      <c r="G187" s="27" t="str">
        <f>IF(ROWS($6:187)&gt;COUNT($A:$A),"",INDEX('Data entry'!BL:BL,SMALL($A:$A,ROWS($6:187))))</f>
        <v/>
      </c>
      <c r="H187" s="27" t="str">
        <f>IF(ROWS($6:187)&gt;COUNT($A:$A),"",INDEX('Data entry'!BN:BN,SMALL($A:$A,ROWS($6:187))))</f>
        <v/>
      </c>
      <c r="I187" s="87" t="str">
        <f>IF(ROWS($6:187)&gt;COUNT($A:$A),"",INDEX('Data entry'!S:S,SMALL($A:$A,ROWS($6:187))))</f>
        <v/>
      </c>
      <c r="J187" s="27" t="str">
        <f>IF(ROWS($6:187)&gt;COUNT($A:$A),"",INDEX('Data entry'!AR:AR,SMALL($A:$A,ROWS($6:187))))</f>
        <v/>
      </c>
    </row>
    <row r="188" spans="1:10" x14ac:dyDescent="0.2">
      <c r="A188" s="27" t="str">
        <f>IF(OR('Data entry'!B188="Probable", 'Data entry'!B188="Confirmed"),ROW(),"")</f>
        <v/>
      </c>
      <c r="B188" s="27" t="str">
        <f>IF(ROWS($6:188)&gt;COUNT($A:$A),"",INDEX('Data entry'!H:H,SMALL($A:$A,ROWS($6:188))))</f>
        <v/>
      </c>
      <c r="C188" s="27" t="str">
        <f>IF(ROWS($6:188)&gt;COUNT($A:$A),"",INDEX('Data entry'!BJ:BJ,SMALL($A:$A,ROWS($6:188))))</f>
        <v/>
      </c>
      <c r="D188" s="87" t="str">
        <f>IF(ROWS($6:188)&gt;COUNT($A:$A),"",INDEX('Data entry'!R:R,SMALL($A:$A,ROWS($6:188))))</f>
        <v/>
      </c>
      <c r="E188" s="27" t="str">
        <f>IF(ROWS($6:188)&gt;COUNT($A:$A),"",INDEX('Data entry'!BM:BM,SMALL($A:$A,ROWS($6:188))))</f>
        <v/>
      </c>
      <c r="F188" s="27" t="str">
        <f>IF(ROWS($6:188)&gt;COUNT($A:$A),"",INDEX('Data entry'!BK:BK,SMALL($A:$A,ROWS($6:188))))</f>
        <v/>
      </c>
      <c r="G188" s="27" t="str">
        <f>IF(ROWS($6:188)&gt;COUNT($A:$A),"",INDEX('Data entry'!BL:BL,SMALL($A:$A,ROWS($6:188))))</f>
        <v/>
      </c>
      <c r="H188" s="27" t="str">
        <f>IF(ROWS($6:188)&gt;COUNT($A:$A),"",INDEX('Data entry'!BN:BN,SMALL($A:$A,ROWS($6:188))))</f>
        <v/>
      </c>
      <c r="I188" s="87" t="str">
        <f>IF(ROWS($6:188)&gt;COUNT($A:$A),"",INDEX('Data entry'!S:S,SMALL($A:$A,ROWS($6:188))))</f>
        <v/>
      </c>
      <c r="J188" s="27" t="str">
        <f>IF(ROWS($6:188)&gt;COUNT($A:$A),"",INDEX('Data entry'!AR:AR,SMALL($A:$A,ROWS($6:188))))</f>
        <v/>
      </c>
    </row>
    <row r="189" spans="1:10" x14ac:dyDescent="0.2">
      <c r="A189" s="27" t="str">
        <f>IF(OR('Data entry'!B189="Probable", 'Data entry'!B189="Confirmed"),ROW(),"")</f>
        <v/>
      </c>
      <c r="B189" s="27" t="str">
        <f>IF(ROWS($6:189)&gt;COUNT($A:$A),"",INDEX('Data entry'!H:H,SMALL($A:$A,ROWS($6:189))))</f>
        <v/>
      </c>
      <c r="C189" s="27" t="str">
        <f>IF(ROWS($6:189)&gt;COUNT($A:$A),"",INDEX('Data entry'!BJ:BJ,SMALL($A:$A,ROWS($6:189))))</f>
        <v/>
      </c>
      <c r="D189" s="87" t="str">
        <f>IF(ROWS($6:189)&gt;COUNT($A:$A),"",INDEX('Data entry'!R:R,SMALL($A:$A,ROWS($6:189))))</f>
        <v/>
      </c>
      <c r="E189" s="27" t="str">
        <f>IF(ROWS($6:189)&gt;COUNT($A:$A),"",INDEX('Data entry'!BM:BM,SMALL($A:$A,ROWS($6:189))))</f>
        <v/>
      </c>
      <c r="F189" s="27" t="str">
        <f>IF(ROWS($6:189)&gt;COUNT($A:$A),"",INDEX('Data entry'!BK:BK,SMALL($A:$A,ROWS($6:189))))</f>
        <v/>
      </c>
      <c r="G189" s="27" t="str">
        <f>IF(ROWS($6:189)&gt;COUNT($A:$A),"",INDEX('Data entry'!BL:BL,SMALL($A:$A,ROWS($6:189))))</f>
        <v/>
      </c>
      <c r="H189" s="27" t="str">
        <f>IF(ROWS($6:189)&gt;COUNT($A:$A),"",INDEX('Data entry'!BN:BN,SMALL($A:$A,ROWS($6:189))))</f>
        <v/>
      </c>
      <c r="I189" s="87" t="str">
        <f>IF(ROWS($6:189)&gt;COUNT($A:$A),"",INDEX('Data entry'!S:S,SMALL($A:$A,ROWS($6:189))))</f>
        <v/>
      </c>
      <c r="J189" s="27" t="str">
        <f>IF(ROWS($6:189)&gt;COUNT($A:$A),"",INDEX('Data entry'!AR:AR,SMALL($A:$A,ROWS($6:189))))</f>
        <v/>
      </c>
    </row>
    <row r="190" spans="1:10" x14ac:dyDescent="0.2">
      <c r="A190" s="27" t="str">
        <f>IF(OR('Data entry'!B190="Probable", 'Data entry'!B190="Confirmed"),ROW(),"")</f>
        <v/>
      </c>
      <c r="B190" s="27" t="str">
        <f>IF(ROWS($6:190)&gt;COUNT($A:$A),"",INDEX('Data entry'!H:H,SMALL($A:$A,ROWS($6:190))))</f>
        <v/>
      </c>
      <c r="C190" s="27" t="str">
        <f>IF(ROWS($6:190)&gt;COUNT($A:$A),"",INDEX('Data entry'!BJ:BJ,SMALL($A:$A,ROWS($6:190))))</f>
        <v/>
      </c>
      <c r="D190" s="87" t="str">
        <f>IF(ROWS($6:190)&gt;COUNT($A:$A),"",INDEX('Data entry'!R:R,SMALL($A:$A,ROWS($6:190))))</f>
        <v/>
      </c>
      <c r="E190" s="27" t="str">
        <f>IF(ROWS($6:190)&gt;COUNT($A:$A),"",INDEX('Data entry'!BM:BM,SMALL($A:$A,ROWS($6:190))))</f>
        <v/>
      </c>
      <c r="F190" s="27" t="str">
        <f>IF(ROWS($6:190)&gt;COUNT($A:$A),"",INDEX('Data entry'!BK:BK,SMALL($A:$A,ROWS($6:190))))</f>
        <v/>
      </c>
      <c r="G190" s="27" t="str">
        <f>IF(ROWS($6:190)&gt;COUNT($A:$A),"",INDEX('Data entry'!BL:BL,SMALL($A:$A,ROWS($6:190))))</f>
        <v/>
      </c>
      <c r="H190" s="27" t="str">
        <f>IF(ROWS($6:190)&gt;COUNT($A:$A),"",INDEX('Data entry'!BN:BN,SMALL($A:$A,ROWS($6:190))))</f>
        <v/>
      </c>
      <c r="I190" s="87" t="str">
        <f>IF(ROWS($6:190)&gt;COUNT($A:$A),"",INDEX('Data entry'!S:S,SMALL($A:$A,ROWS($6:190))))</f>
        <v/>
      </c>
      <c r="J190" s="27" t="str">
        <f>IF(ROWS($6:190)&gt;COUNT($A:$A),"",INDEX('Data entry'!AR:AR,SMALL($A:$A,ROWS($6:190))))</f>
        <v/>
      </c>
    </row>
    <row r="191" spans="1:10" x14ac:dyDescent="0.2">
      <c r="A191" s="27" t="str">
        <f>IF(OR('Data entry'!B191="Probable", 'Data entry'!B191="Confirmed"),ROW(),"")</f>
        <v/>
      </c>
      <c r="B191" s="27" t="str">
        <f>IF(ROWS($6:191)&gt;COUNT($A:$A),"",INDEX('Data entry'!H:H,SMALL($A:$A,ROWS($6:191))))</f>
        <v/>
      </c>
      <c r="C191" s="27" t="str">
        <f>IF(ROWS($6:191)&gt;COUNT($A:$A),"",INDEX('Data entry'!BJ:BJ,SMALL($A:$A,ROWS($6:191))))</f>
        <v/>
      </c>
      <c r="D191" s="87" t="str">
        <f>IF(ROWS($6:191)&gt;COUNT($A:$A),"",INDEX('Data entry'!R:R,SMALL($A:$A,ROWS($6:191))))</f>
        <v/>
      </c>
      <c r="E191" s="27" t="str">
        <f>IF(ROWS($6:191)&gt;COUNT($A:$A),"",INDEX('Data entry'!BM:BM,SMALL($A:$A,ROWS($6:191))))</f>
        <v/>
      </c>
      <c r="F191" s="27" t="str">
        <f>IF(ROWS($6:191)&gt;COUNT($A:$A),"",INDEX('Data entry'!BK:BK,SMALL($A:$A,ROWS($6:191))))</f>
        <v/>
      </c>
      <c r="G191" s="27" t="str">
        <f>IF(ROWS($6:191)&gt;COUNT($A:$A),"",INDEX('Data entry'!BL:BL,SMALL($A:$A,ROWS($6:191))))</f>
        <v/>
      </c>
      <c r="H191" s="27" t="str">
        <f>IF(ROWS($6:191)&gt;COUNT($A:$A),"",INDEX('Data entry'!BN:BN,SMALL($A:$A,ROWS($6:191))))</f>
        <v/>
      </c>
      <c r="I191" s="87" t="str">
        <f>IF(ROWS($6:191)&gt;COUNT($A:$A),"",INDEX('Data entry'!S:S,SMALL($A:$A,ROWS($6:191))))</f>
        <v/>
      </c>
      <c r="J191" s="27" t="str">
        <f>IF(ROWS($6:191)&gt;COUNT($A:$A),"",INDEX('Data entry'!AR:AR,SMALL($A:$A,ROWS($6:191))))</f>
        <v/>
      </c>
    </row>
    <row r="192" spans="1:10" x14ac:dyDescent="0.2">
      <c r="A192" s="27" t="str">
        <f>IF(OR('Data entry'!B192="Probable", 'Data entry'!B192="Confirmed"),ROW(),"")</f>
        <v/>
      </c>
      <c r="B192" s="27" t="str">
        <f>IF(ROWS($6:192)&gt;COUNT($A:$A),"",INDEX('Data entry'!H:H,SMALL($A:$A,ROWS($6:192))))</f>
        <v/>
      </c>
      <c r="C192" s="27" t="str">
        <f>IF(ROWS($6:192)&gt;COUNT($A:$A),"",INDEX('Data entry'!BJ:BJ,SMALL($A:$A,ROWS($6:192))))</f>
        <v/>
      </c>
      <c r="D192" s="87" t="str">
        <f>IF(ROWS($6:192)&gt;COUNT($A:$A),"",INDEX('Data entry'!R:R,SMALL($A:$A,ROWS($6:192))))</f>
        <v/>
      </c>
      <c r="E192" s="27" t="str">
        <f>IF(ROWS($6:192)&gt;COUNT($A:$A),"",INDEX('Data entry'!BM:BM,SMALL($A:$A,ROWS($6:192))))</f>
        <v/>
      </c>
      <c r="F192" s="27" t="str">
        <f>IF(ROWS($6:192)&gt;COUNT($A:$A),"",INDEX('Data entry'!BK:BK,SMALL($A:$A,ROWS($6:192))))</f>
        <v/>
      </c>
      <c r="G192" s="27" t="str">
        <f>IF(ROWS($6:192)&gt;COUNT($A:$A),"",INDEX('Data entry'!BL:BL,SMALL($A:$A,ROWS($6:192))))</f>
        <v/>
      </c>
      <c r="H192" s="27" t="str">
        <f>IF(ROWS($6:192)&gt;COUNT($A:$A),"",INDEX('Data entry'!BN:BN,SMALL($A:$A,ROWS($6:192))))</f>
        <v/>
      </c>
      <c r="I192" s="87" t="str">
        <f>IF(ROWS($6:192)&gt;COUNT($A:$A),"",INDEX('Data entry'!S:S,SMALL($A:$A,ROWS($6:192))))</f>
        <v/>
      </c>
      <c r="J192" s="27" t="str">
        <f>IF(ROWS($6:192)&gt;COUNT($A:$A),"",INDEX('Data entry'!AR:AR,SMALL($A:$A,ROWS($6:192))))</f>
        <v/>
      </c>
    </row>
    <row r="193" spans="1:10" x14ac:dyDescent="0.2">
      <c r="A193" s="27" t="str">
        <f>IF(OR('Data entry'!B193="Probable", 'Data entry'!B193="Confirmed"),ROW(),"")</f>
        <v/>
      </c>
      <c r="B193" s="27" t="str">
        <f>IF(ROWS($6:193)&gt;COUNT($A:$A),"",INDEX('Data entry'!H:H,SMALL($A:$A,ROWS($6:193))))</f>
        <v/>
      </c>
      <c r="C193" s="27" t="str">
        <f>IF(ROWS($6:193)&gt;COUNT($A:$A),"",INDEX('Data entry'!BJ:BJ,SMALL($A:$A,ROWS($6:193))))</f>
        <v/>
      </c>
      <c r="D193" s="87" t="str">
        <f>IF(ROWS($6:193)&gt;COUNT($A:$A),"",INDEX('Data entry'!R:R,SMALL($A:$A,ROWS($6:193))))</f>
        <v/>
      </c>
      <c r="E193" s="27" t="str">
        <f>IF(ROWS($6:193)&gt;COUNT($A:$A),"",INDEX('Data entry'!BM:BM,SMALL($A:$A,ROWS($6:193))))</f>
        <v/>
      </c>
      <c r="F193" s="27" t="str">
        <f>IF(ROWS($6:193)&gt;COUNT($A:$A),"",INDEX('Data entry'!BK:BK,SMALL($A:$A,ROWS($6:193))))</f>
        <v/>
      </c>
      <c r="G193" s="27" t="str">
        <f>IF(ROWS($6:193)&gt;COUNT($A:$A),"",INDEX('Data entry'!BL:BL,SMALL($A:$A,ROWS($6:193))))</f>
        <v/>
      </c>
      <c r="H193" s="27" t="str">
        <f>IF(ROWS($6:193)&gt;COUNT($A:$A),"",INDEX('Data entry'!BN:BN,SMALL($A:$A,ROWS($6:193))))</f>
        <v/>
      </c>
      <c r="I193" s="87" t="str">
        <f>IF(ROWS($6:193)&gt;COUNT($A:$A),"",INDEX('Data entry'!S:S,SMALL($A:$A,ROWS($6:193))))</f>
        <v/>
      </c>
      <c r="J193" s="27" t="str">
        <f>IF(ROWS($6:193)&gt;COUNT($A:$A),"",INDEX('Data entry'!AR:AR,SMALL($A:$A,ROWS($6:193))))</f>
        <v/>
      </c>
    </row>
    <row r="194" spans="1:10" x14ac:dyDescent="0.2">
      <c r="A194" s="27" t="str">
        <f>IF(OR('Data entry'!B194="Probable", 'Data entry'!B194="Confirmed"),ROW(),"")</f>
        <v/>
      </c>
      <c r="B194" s="27" t="str">
        <f>IF(ROWS($6:194)&gt;COUNT($A:$A),"",INDEX('Data entry'!H:H,SMALL($A:$A,ROWS($6:194))))</f>
        <v/>
      </c>
      <c r="C194" s="27" t="str">
        <f>IF(ROWS($6:194)&gt;COUNT($A:$A),"",INDEX('Data entry'!BJ:BJ,SMALL($A:$A,ROWS($6:194))))</f>
        <v/>
      </c>
      <c r="D194" s="87" t="str">
        <f>IF(ROWS($6:194)&gt;COUNT($A:$A),"",INDEX('Data entry'!R:R,SMALL($A:$A,ROWS($6:194))))</f>
        <v/>
      </c>
      <c r="E194" s="27" t="str">
        <f>IF(ROWS($6:194)&gt;COUNT($A:$A),"",INDEX('Data entry'!BM:BM,SMALL($A:$A,ROWS($6:194))))</f>
        <v/>
      </c>
      <c r="F194" s="27" t="str">
        <f>IF(ROWS($6:194)&gt;COUNT($A:$A),"",INDEX('Data entry'!BK:BK,SMALL($A:$A,ROWS($6:194))))</f>
        <v/>
      </c>
      <c r="G194" s="27" t="str">
        <f>IF(ROWS($6:194)&gt;COUNT($A:$A),"",INDEX('Data entry'!BL:BL,SMALL($A:$A,ROWS($6:194))))</f>
        <v/>
      </c>
      <c r="H194" s="27" t="str">
        <f>IF(ROWS($6:194)&gt;COUNT($A:$A),"",INDEX('Data entry'!BN:BN,SMALL($A:$A,ROWS($6:194))))</f>
        <v/>
      </c>
      <c r="I194" s="87" t="str">
        <f>IF(ROWS($6:194)&gt;COUNT($A:$A),"",INDEX('Data entry'!S:S,SMALL($A:$A,ROWS($6:194))))</f>
        <v/>
      </c>
      <c r="J194" s="27" t="str">
        <f>IF(ROWS($6:194)&gt;COUNT($A:$A),"",INDEX('Data entry'!AR:AR,SMALL($A:$A,ROWS($6:194))))</f>
        <v/>
      </c>
    </row>
    <row r="195" spans="1:10" x14ac:dyDescent="0.2">
      <c r="A195" s="27" t="str">
        <f>IF(OR('Data entry'!B195="Probable", 'Data entry'!B195="Confirmed"),ROW(),"")</f>
        <v/>
      </c>
      <c r="B195" s="27" t="str">
        <f>IF(ROWS($6:195)&gt;COUNT($A:$A),"",INDEX('Data entry'!H:H,SMALL($A:$A,ROWS($6:195))))</f>
        <v/>
      </c>
      <c r="C195" s="27" t="str">
        <f>IF(ROWS($6:195)&gt;COUNT($A:$A),"",INDEX('Data entry'!BJ:BJ,SMALL($A:$A,ROWS($6:195))))</f>
        <v/>
      </c>
      <c r="D195" s="87" t="str">
        <f>IF(ROWS($6:195)&gt;COUNT($A:$A),"",INDEX('Data entry'!R:R,SMALL($A:$A,ROWS($6:195))))</f>
        <v/>
      </c>
      <c r="E195" s="27" t="str">
        <f>IF(ROWS($6:195)&gt;COUNT($A:$A),"",INDEX('Data entry'!BM:BM,SMALL($A:$A,ROWS($6:195))))</f>
        <v/>
      </c>
      <c r="F195" s="27" t="str">
        <f>IF(ROWS($6:195)&gt;COUNT($A:$A),"",INDEX('Data entry'!BK:BK,SMALL($A:$A,ROWS($6:195))))</f>
        <v/>
      </c>
      <c r="G195" s="27" t="str">
        <f>IF(ROWS($6:195)&gt;COUNT($A:$A),"",INDEX('Data entry'!BL:BL,SMALL($A:$A,ROWS($6:195))))</f>
        <v/>
      </c>
      <c r="H195" s="27" t="str">
        <f>IF(ROWS($6:195)&gt;COUNT($A:$A),"",INDEX('Data entry'!BN:BN,SMALL($A:$A,ROWS($6:195))))</f>
        <v/>
      </c>
      <c r="I195" s="87" t="str">
        <f>IF(ROWS($6:195)&gt;COUNT($A:$A),"",INDEX('Data entry'!S:S,SMALL($A:$A,ROWS($6:195))))</f>
        <v/>
      </c>
      <c r="J195" s="27" t="str">
        <f>IF(ROWS($6:195)&gt;COUNT($A:$A),"",INDEX('Data entry'!AR:AR,SMALL($A:$A,ROWS($6:195))))</f>
        <v/>
      </c>
    </row>
    <row r="196" spans="1:10" x14ac:dyDescent="0.2">
      <c r="A196" s="27" t="str">
        <f>IF(OR('Data entry'!B196="Probable", 'Data entry'!B196="Confirmed"),ROW(),"")</f>
        <v/>
      </c>
      <c r="B196" s="27" t="str">
        <f>IF(ROWS($6:196)&gt;COUNT($A:$A),"",INDEX('Data entry'!H:H,SMALL($A:$A,ROWS($6:196))))</f>
        <v/>
      </c>
      <c r="C196" s="27" t="str">
        <f>IF(ROWS($6:196)&gt;COUNT($A:$A),"",INDEX('Data entry'!BJ:BJ,SMALL($A:$A,ROWS($6:196))))</f>
        <v/>
      </c>
      <c r="D196" s="87" t="str">
        <f>IF(ROWS($6:196)&gt;COUNT($A:$A),"",INDEX('Data entry'!R:R,SMALL($A:$A,ROWS($6:196))))</f>
        <v/>
      </c>
      <c r="E196" s="27" t="str">
        <f>IF(ROWS($6:196)&gt;COUNT($A:$A),"",INDEX('Data entry'!BM:BM,SMALL($A:$A,ROWS($6:196))))</f>
        <v/>
      </c>
      <c r="F196" s="27" t="str">
        <f>IF(ROWS($6:196)&gt;COUNT($A:$A),"",INDEX('Data entry'!BK:BK,SMALL($A:$A,ROWS($6:196))))</f>
        <v/>
      </c>
      <c r="G196" s="27" t="str">
        <f>IF(ROWS($6:196)&gt;COUNT($A:$A),"",INDEX('Data entry'!BL:BL,SMALL($A:$A,ROWS($6:196))))</f>
        <v/>
      </c>
      <c r="H196" s="27" t="str">
        <f>IF(ROWS($6:196)&gt;COUNT($A:$A),"",INDEX('Data entry'!BN:BN,SMALL($A:$A,ROWS($6:196))))</f>
        <v/>
      </c>
      <c r="I196" s="87" t="str">
        <f>IF(ROWS($6:196)&gt;COUNT($A:$A),"",INDEX('Data entry'!S:S,SMALL($A:$A,ROWS($6:196))))</f>
        <v/>
      </c>
      <c r="J196" s="27" t="str">
        <f>IF(ROWS($6:196)&gt;COUNT($A:$A),"",INDEX('Data entry'!AR:AR,SMALL($A:$A,ROWS($6:196))))</f>
        <v/>
      </c>
    </row>
    <row r="197" spans="1:10" x14ac:dyDescent="0.2">
      <c r="A197" s="27" t="str">
        <f>IF(OR('Data entry'!B197="Probable", 'Data entry'!B197="Confirmed"),ROW(),"")</f>
        <v/>
      </c>
      <c r="B197" s="27" t="str">
        <f>IF(ROWS($6:197)&gt;COUNT($A:$A),"",INDEX('Data entry'!H:H,SMALL($A:$A,ROWS($6:197))))</f>
        <v/>
      </c>
      <c r="C197" s="27" t="str">
        <f>IF(ROWS($6:197)&gt;COUNT($A:$A),"",INDEX('Data entry'!BJ:BJ,SMALL($A:$A,ROWS($6:197))))</f>
        <v/>
      </c>
      <c r="D197" s="87" t="str">
        <f>IF(ROWS($6:197)&gt;COUNT($A:$A),"",INDEX('Data entry'!R:R,SMALL($A:$A,ROWS($6:197))))</f>
        <v/>
      </c>
      <c r="E197" s="27" t="str">
        <f>IF(ROWS($6:197)&gt;COUNT($A:$A),"",INDEX('Data entry'!BM:BM,SMALL($A:$A,ROWS($6:197))))</f>
        <v/>
      </c>
      <c r="F197" s="27" t="str">
        <f>IF(ROWS($6:197)&gt;COUNT($A:$A),"",INDEX('Data entry'!BK:BK,SMALL($A:$A,ROWS($6:197))))</f>
        <v/>
      </c>
      <c r="G197" s="27" t="str">
        <f>IF(ROWS($6:197)&gt;COUNT($A:$A),"",INDEX('Data entry'!BL:BL,SMALL($A:$A,ROWS($6:197))))</f>
        <v/>
      </c>
      <c r="H197" s="27" t="str">
        <f>IF(ROWS($6:197)&gt;COUNT($A:$A),"",INDEX('Data entry'!BN:BN,SMALL($A:$A,ROWS($6:197))))</f>
        <v/>
      </c>
      <c r="I197" s="87" t="str">
        <f>IF(ROWS($6:197)&gt;COUNT($A:$A),"",INDEX('Data entry'!S:S,SMALL($A:$A,ROWS($6:197))))</f>
        <v/>
      </c>
      <c r="J197" s="27" t="str">
        <f>IF(ROWS($6:197)&gt;COUNT($A:$A),"",INDEX('Data entry'!AR:AR,SMALL($A:$A,ROWS($6:197))))</f>
        <v/>
      </c>
    </row>
    <row r="198" spans="1:10" x14ac:dyDescent="0.2">
      <c r="A198" s="27" t="str">
        <f>IF(OR('Data entry'!B198="Probable", 'Data entry'!B198="Confirmed"),ROW(),"")</f>
        <v/>
      </c>
      <c r="B198" s="27" t="str">
        <f>IF(ROWS($6:198)&gt;COUNT($A:$A),"",INDEX('Data entry'!H:H,SMALL($A:$A,ROWS($6:198))))</f>
        <v/>
      </c>
      <c r="C198" s="27" t="str">
        <f>IF(ROWS($6:198)&gt;COUNT($A:$A),"",INDEX('Data entry'!BJ:BJ,SMALL($A:$A,ROWS($6:198))))</f>
        <v/>
      </c>
      <c r="D198" s="87" t="str">
        <f>IF(ROWS($6:198)&gt;COUNT($A:$A),"",INDEX('Data entry'!R:R,SMALL($A:$A,ROWS($6:198))))</f>
        <v/>
      </c>
      <c r="E198" s="27" t="str">
        <f>IF(ROWS($6:198)&gt;COUNT($A:$A),"",INDEX('Data entry'!BM:BM,SMALL($A:$A,ROWS($6:198))))</f>
        <v/>
      </c>
      <c r="F198" s="27" t="str">
        <f>IF(ROWS($6:198)&gt;COUNT($A:$A),"",INDEX('Data entry'!BK:BK,SMALL($A:$A,ROWS($6:198))))</f>
        <v/>
      </c>
      <c r="G198" s="27" t="str">
        <f>IF(ROWS($6:198)&gt;COUNT($A:$A),"",INDEX('Data entry'!BL:BL,SMALL($A:$A,ROWS($6:198))))</f>
        <v/>
      </c>
      <c r="H198" s="27" t="str">
        <f>IF(ROWS($6:198)&gt;COUNT($A:$A),"",INDEX('Data entry'!BN:BN,SMALL($A:$A,ROWS($6:198))))</f>
        <v/>
      </c>
      <c r="I198" s="87" t="str">
        <f>IF(ROWS($6:198)&gt;COUNT($A:$A),"",INDEX('Data entry'!S:S,SMALL($A:$A,ROWS($6:198))))</f>
        <v/>
      </c>
      <c r="J198" s="27" t="str">
        <f>IF(ROWS($6:198)&gt;COUNT($A:$A),"",INDEX('Data entry'!AR:AR,SMALL($A:$A,ROWS($6:198))))</f>
        <v/>
      </c>
    </row>
    <row r="199" spans="1:10" x14ac:dyDescent="0.2">
      <c r="A199" s="27" t="str">
        <f>IF(OR('Data entry'!B199="Probable", 'Data entry'!B199="Confirmed"),ROW(),"")</f>
        <v/>
      </c>
      <c r="B199" s="27" t="str">
        <f>IF(ROWS($6:199)&gt;COUNT($A:$A),"",INDEX('Data entry'!H:H,SMALL($A:$A,ROWS($6:199))))</f>
        <v/>
      </c>
      <c r="C199" s="27" t="str">
        <f>IF(ROWS($6:199)&gt;COUNT($A:$A),"",INDEX('Data entry'!BJ:BJ,SMALL($A:$A,ROWS($6:199))))</f>
        <v/>
      </c>
      <c r="D199" s="87" t="str">
        <f>IF(ROWS($6:199)&gt;COUNT($A:$A),"",INDEX('Data entry'!R:R,SMALL($A:$A,ROWS($6:199))))</f>
        <v/>
      </c>
      <c r="E199" s="27" t="str">
        <f>IF(ROWS($6:199)&gt;COUNT($A:$A),"",INDEX('Data entry'!BM:BM,SMALL($A:$A,ROWS($6:199))))</f>
        <v/>
      </c>
      <c r="F199" s="27" t="str">
        <f>IF(ROWS($6:199)&gt;COUNT($A:$A),"",INDEX('Data entry'!BK:BK,SMALL($A:$A,ROWS($6:199))))</f>
        <v/>
      </c>
      <c r="G199" s="27" t="str">
        <f>IF(ROWS($6:199)&gt;COUNT($A:$A),"",INDEX('Data entry'!BL:BL,SMALL($A:$A,ROWS($6:199))))</f>
        <v/>
      </c>
      <c r="H199" s="27" t="str">
        <f>IF(ROWS($6:199)&gt;COUNT($A:$A),"",INDEX('Data entry'!BN:BN,SMALL($A:$A,ROWS($6:199))))</f>
        <v/>
      </c>
      <c r="I199" s="87" t="str">
        <f>IF(ROWS($6:199)&gt;COUNT($A:$A),"",INDEX('Data entry'!S:S,SMALL($A:$A,ROWS($6:199))))</f>
        <v/>
      </c>
      <c r="J199" s="27" t="str">
        <f>IF(ROWS($6:199)&gt;COUNT($A:$A),"",INDEX('Data entry'!AR:AR,SMALL($A:$A,ROWS($6:199))))</f>
        <v/>
      </c>
    </row>
    <row r="200" spans="1:10" x14ac:dyDescent="0.2">
      <c r="A200" s="27" t="str">
        <f>IF(OR('Data entry'!B200="Probable", 'Data entry'!B200="Confirmed"),ROW(),"")</f>
        <v/>
      </c>
      <c r="B200" s="27" t="str">
        <f>IF(ROWS($6:200)&gt;COUNT($A:$A),"",INDEX('Data entry'!H:H,SMALL($A:$A,ROWS($6:200))))</f>
        <v/>
      </c>
      <c r="C200" s="27" t="str">
        <f>IF(ROWS($6:200)&gt;COUNT($A:$A),"",INDEX('Data entry'!BJ:BJ,SMALL($A:$A,ROWS($6:200))))</f>
        <v/>
      </c>
      <c r="D200" s="87" t="str">
        <f>IF(ROWS($6:200)&gt;COUNT($A:$A),"",INDEX('Data entry'!R:R,SMALL($A:$A,ROWS($6:200))))</f>
        <v/>
      </c>
      <c r="E200" s="27" t="str">
        <f>IF(ROWS($6:200)&gt;COUNT($A:$A),"",INDEX('Data entry'!BM:BM,SMALL($A:$A,ROWS($6:200))))</f>
        <v/>
      </c>
      <c r="F200" s="27" t="str">
        <f>IF(ROWS($6:200)&gt;COUNT($A:$A),"",INDEX('Data entry'!BK:BK,SMALL($A:$A,ROWS($6:200))))</f>
        <v/>
      </c>
      <c r="G200" s="27" t="str">
        <f>IF(ROWS($6:200)&gt;COUNT($A:$A),"",INDEX('Data entry'!BL:BL,SMALL($A:$A,ROWS($6:200))))</f>
        <v/>
      </c>
      <c r="H200" s="27" t="str">
        <f>IF(ROWS($6:200)&gt;COUNT($A:$A),"",INDEX('Data entry'!BN:BN,SMALL($A:$A,ROWS($6:200))))</f>
        <v/>
      </c>
      <c r="I200" s="87" t="str">
        <f>IF(ROWS($6:200)&gt;COUNT($A:$A),"",INDEX('Data entry'!S:S,SMALL($A:$A,ROWS($6:200))))</f>
        <v/>
      </c>
      <c r="J200" s="27" t="str">
        <f>IF(ROWS($6:200)&gt;COUNT($A:$A),"",INDEX('Data entry'!AR:AR,SMALL($A:$A,ROWS($6:200))))</f>
        <v/>
      </c>
    </row>
    <row r="201" spans="1:10" x14ac:dyDescent="0.2">
      <c r="A201" s="27" t="str">
        <f>IF(OR('Data entry'!B201="Probable", 'Data entry'!B201="Confirmed"),ROW(),"")</f>
        <v/>
      </c>
    </row>
  </sheetData>
  <sheetProtection algorithmName="SHA-512" hashValue="S/PMPFDVIqmQYU1Mpg+cmk629d41gdfQ4nVUc3EKUejiDazY+WYVoUCklcsd8CHrv3lXo9Odilymz47lAkCS+w==" saltValue="6VweRtH4u3m9sJD+W2cK6w==" spinCount="100000" sheet="1" objects="1" scenario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CC1036"/>
  <sheetViews>
    <sheetView zoomScaleNormal="100" workbookViewId="0">
      <pane xSplit="2" ySplit="4" topLeftCell="C5" activePane="bottomRight" state="frozen"/>
      <selection pane="topRight" activeCell="C1" sqref="C1"/>
      <selection pane="bottomLeft" activeCell="A5" sqref="A5"/>
      <selection pane="bottomRight" activeCell="C1" sqref="C1"/>
    </sheetView>
  </sheetViews>
  <sheetFormatPr defaultRowHeight="15" x14ac:dyDescent="0.2"/>
  <cols>
    <col min="1" max="1" width="8.88671875" customWidth="1"/>
    <col min="2" max="2" width="13.5546875" customWidth="1"/>
    <col min="3" max="3" width="18.21875" customWidth="1"/>
    <col min="4" max="27" width="3.6640625" customWidth="1"/>
    <col min="28" max="28" width="3.5546875" bestFit="1" customWidth="1"/>
    <col min="29" max="81" width="3.6640625" customWidth="1"/>
  </cols>
  <sheetData>
    <row r="1" spans="1:81" ht="16.5" thickTop="1" x14ac:dyDescent="0.25">
      <c r="A1" s="56" t="s">
        <v>135</v>
      </c>
      <c r="B1" s="71" t="s">
        <v>137</v>
      </c>
    </row>
    <row r="2" spans="1:81" s="58" customFormat="1" ht="15.75" x14ac:dyDescent="0.25">
      <c r="A2" s="57" t="s">
        <v>136</v>
      </c>
      <c r="B2" s="70" t="s">
        <v>157</v>
      </c>
      <c r="C2" s="59">
        <f>MIN('Data entry'!R6:R200)-15</f>
        <v>-15</v>
      </c>
      <c r="D2" s="59">
        <f>D4</f>
        <v>-14</v>
      </c>
      <c r="E2" s="59">
        <f t="shared" ref="E2:BP2" si="0">E4</f>
        <v>-13</v>
      </c>
      <c r="F2" s="59">
        <f t="shared" si="0"/>
        <v>-12</v>
      </c>
      <c r="G2" s="59">
        <f t="shared" si="0"/>
        <v>-11</v>
      </c>
      <c r="H2" s="59">
        <f t="shared" si="0"/>
        <v>-10</v>
      </c>
      <c r="I2" s="59">
        <f t="shared" si="0"/>
        <v>-9</v>
      </c>
      <c r="J2" s="59">
        <f t="shared" si="0"/>
        <v>-8</v>
      </c>
      <c r="K2" s="59">
        <f t="shared" si="0"/>
        <v>-7</v>
      </c>
      <c r="L2" s="59">
        <f t="shared" si="0"/>
        <v>-6</v>
      </c>
      <c r="M2" s="59">
        <f t="shared" si="0"/>
        <v>-5</v>
      </c>
      <c r="N2" s="59">
        <f t="shared" si="0"/>
        <v>-4</v>
      </c>
      <c r="O2" s="59">
        <f t="shared" si="0"/>
        <v>-3</v>
      </c>
      <c r="P2" s="59">
        <f t="shared" si="0"/>
        <v>-2</v>
      </c>
      <c r="Q2" s="59">
        <f t="shared" si="0"/>
        <v>-1</v>
      </c>
      <c r="R2" s="59">
        <f t="shared" si="0"/>
        <v>0</v>
      </c>
      <c r="S2" s="59">
        <f t="shared" si="0"/>
        <v>1</v>
      </c>
      <c r="T2" s="59">
        <f t="shared" si="0"/>
        <v>2</v>
      </c>
      <c r="U2" s="59">
        <f t="shared" si="0"/>
        <v>3</v>
      </c>
      <c r="V2" s="59">
        <f t="shared" si="0"/>
        <v>4</v>
      </c>
      <c r="W2" s="59">
        <f t="shared" si="0"/>
        <v>5</v>
      </c>
      <c r="X2" s="59">
        <f t="shared" si="0"/>
        <v>6</v>
      </c>
      <c r="Y2" s="59">
        <f t="shared" si="0"/>
        <v>7</v>
      </c>
      <c r="Z2" s="59">
        <f t="shared" si="0"/>
        <v>8</v>
      </c>
      <c r="AA2" s="59">
        <f t="shared" si="0"/>
        <v>9</v>
      </c>
      <c r="AB2" s="59">
        <f t="shared" si="0"/>
        <v>10</v>
      </c>
      <c r="AC2" s="59">
        <f t="shared" si="0"/>
        <v>11</v>
      </c>
      <c r="AD2" s="59">
        <f t="shared" si="0"/>
        <v>12</v>
      </c>
      <c r="AE2" s="59">
        <f t="shared" si="0"/>
        <v>13</v>
      </c>
      <c r="AF2" s="59">
        <f t="shared" si="0"/>
        <v>14</v>
      </c>
      <c r="AG2" s="59">
        <f t="shared" si="0"/>
        <v>15</v>
      </c>
      <c r="AH2" s="59">
        <f t="shared" si="0"/>
        <v>16</v>
      </c>
      <c r="AI2" s="59">
        <f t="shared" si="0"/>
        <v>17</v>
      </c>
      <c r="AJ2" s="59">
        <f t="shared" si="0"/>
        <v>18</v>
      </c>
      <c r="AK2" s="59">
        <f t="shared" si="0"/>
        <v>19</v>
      </c>
      <c r="AL2" s="59">
        <f t="shared" si="0"/>
        <v>20</v>
      </c>
      <c r="AM2" s="59">
        <f t="shared" si="0"/>
        <v>21</v>
      </c>
      <c r="AN2" s="59">
        <f t="shared" si="0"/>
        <v>22</v>
      </c>
      <c r="AO2" s="59">
        <f t="shared" si="0"/>
        <v>23</v>
      </c>
      <c r="AP2" s="59">
        <f t="shared" si="0"/>
        <v>24</v>
      </c>
      <c r="AQ2" s="59">
        <f t="shared" si="0"/>
        <v>25</v>
      </c>
      <c r="AR2" s="59">
        <f t="shared" si="0"/>
        <v>26</v>
      </c>
      <c r="AS2" s="59">
        <f t="shared" si="0"/>
        <v>27</v>
      </c>
      <c r="AT2" s="59">
        <f t="shared" si="0"/>
        <v>28</v>
      </c>
      <c r="AU2" s="59">
        <f t="shared" si="0"/>
        <v>29</v>
      </c>
      <c r="AV2" s="59">
        <f t="shared" si="0"/>
        <v>30</v>
      </c>
      <c r="AW2" s="59">
        <f t="shared" si="0"/>
        <v>31</v>
      </c>
      <c r="AX2" s="59">
        <f t="shared" si="0"/>
        <v>32</v>
      </c>
      <c r="AY2" s="59">
        <f t="shared" si="0"/>
        <v>33</v>
      </c>
      <c r="AZ2" s="59">
        <f t="shared" si="0"/>
        <v>34</v>
      </c>
      <c r="BA2" s="59">
        <f t="shared" si="0"/>
        <v>35</v>
      </c>
      <c r="BB2" s="59">
        <f t="shared" si="0"/>
        <v>36</v>
      </c>
      <c r="BC2" s="59">
        <f t="shared" si="0"/>
        <v>37</v>
      </c>
      <c r="BD2" s="59">
        <f t="shared" si="0"/>
        <v>38</v>
      </c>
      <c r="BE2" s="59">
        <f t="shared" si="0"/>
        <v>39</v>
      </c>
      <c r="BF2" s="59">
        <f t="shared" si="0"/>
        <v>40</v>
      </c>
      <c r="BG2" s="59">
        <f t="shared" si="0"/>
        <v>41</v>
      </c>
      <c r="BH2" s="59">
        <f t="shared" si="0"/>
        <v>42</v>
      </c>
      <c r="BI2" s="59">
        <f t="shared" si="0"/>
        <v>43</v>
      </c>
      <c r="BJ2" s="59">
        <f t="shared" si="0"/>
        <v>44</v>
      </c>
      <c r="BK2" s="59">
        <f t="shared" si="0"/>
        <v>45</v>
      </c>
      <c r="BL2" s="59">
        <f t="shared" si="0"/>
        <v>46</v>
      </c>
      <c r="BM2" s="59">
        <f t="shared" si="0"/>
        <v>47</v>
      </c>
      <c r="BN2" s="59">
        <f t="shared" si="0"/>
        <v>48</v>
      </c>
      <c r="BO2" s="59">
        <f t="shared" si="0"/>
        <v>49</v>
      </c>
      <c r="BP2" s="59">
        <f t="shared" si="0"/>
        <v>50</v>
      </c>
      <c r="BQ2" s="59">
        <f t="shared" ref="BQ2:CC2" si="1">BQ4</f>
        <v>51</v>
      </c>
      <c r="BR2" s="59">
        <f t="shared" si="1"/>
        <v>52</v>
      </c>
      <c r="BS2" s="59">
        <f t="shared" si="1"/>
        <v>53</v>
      </c>
      <c r="BT2" s="59">
        <f t="shared" si="1"/>
        <v>54</v>
      </c>
      <c r="BU2" s="59">
        <f t="shared" si="1"/>
        <v>55</v>
      </c>
      <c r="BV2" s="59">
        <f t="shared" si="1"/>
        <v>56</v>
      </c>
      <c r="BW2" s="59">
        <f t="shared" si="1"/>
        <v>57</v>
      </c>
      <c r="BX2" s="59">
        <f t="shared" si="1"/>
        <v>58</v>
      </c>
      <c r="BY2" s="59">
        <f t="shared" si="1"/>
        <v>59</v>
      </c>
      <c r="BZ2" s="88">
        <f t="shared" si="1"/>
        <v>60</v>
      </c>
      <c r="CA2" s="59">
        <f t="shared" si="1"/>
        <v>61</v>
      </c>
      <c r="CB2" s="59">
        <f t="shared" si="1"/>
        <v>62</v>
      </c>
      <c r="CC2" s="59">
        <f t="shared" si="1"/>
        <v>63</v>
      </c>
    </row>
    <row r="3" spans="1:81" s="60" customFormat="1" ht="12.75" x14ac:dyDescent="0.2">
      <c r="C3" s="65">
        <f>C4</f>
        <v>-15</v>
      </c>
      <c r="D3" s="61">
        <f t="shared" ref="D3:BO3" si="2">D4</f>
        <v>-14</v>
      </c>
      <c r="E3" s="61">
        <f t="shared" si="2"/>
        <v>-13</v>
      </c>
      <c r="F3" s="61">
        <f t="shared" si="2"/>
        <v>-12</v>
      </c>
      <c r="G3" s="61">
        <f t="shared" si="2"/>
        <v>-11</v>
      </c>
      <c r="H3" s="61">
        <f t="shared" si="2"/>
        <v>-10</v>
      </c>
      <c r="I3" s="61">
        <f t="shared" si="2"/>
        <v>-9</v>
      </c>
      <c r="J3" s="61">
        <f t="shared" si="2"/>
        <v>-8</v>
      </c>
      <c r="K3" s="61">
        <f t="shared" si="2"/>
        <v>-7</v>
      </c>
      <c r="L3" s="61">
        <f t="shared" si="2"/>
        <v>-6</v>
      </c>
      <c r="M3" s="61">
        <f t="shared" si="2"/>
        <v>-5</v>
      </c>
      <c r="N3" s="61">
        <f t="shared" si="2"/>
        <v>-4</v>
      </c>
      <c r="O3" s="61">
        <f t="shared" si="2"/>
        <v>-3</v>
      </c>
      <c r="P3" s="61">
        <f t="shared" si="2"/>
        <v>-2</v>
      </c>
      <c r="Q3" s="61">
        <f t="shared" si="2"/>
        <v>-1</v>
      </c>
      <c r="R3" s="61">
        <f t="shared" si="2"/>
        <v>0</v>
      </c>
      <c r="S3" s="61">
        <f t="shared" si="2"/>
        <v>1</v>
      </c>
      <c r="T3" s="61">
        <f t="shared" si="2"/>
        <v>2</v>
      </c>
      <c r="U3" s="61">
        <f t="shared" si="2"/>
        <v>3</v>
      </c>
      <c r="V3" s="61">
        <f t="shared" si="2"/>
        <v>4</v>
      </c>
      <c r="W3" s="61">
        <f t="shared" si="2"/>
        <v>5</v>
      </c>
      <c r="X3" s="61">
        <f t="shared" si="2"/>
        <v>6</v>
      </c>
      <c r="Y3" s="61">
        <f t="shared" si="2"/>
        <v>7</v>
      </c>
      <c r="Z3" s="61">
        <f t="shared" si="2"/>
        <v>8</v>
      </c>
      <c r="AA3" s="61">
        <f t="shared" si="2"/>
        <v>9</v>
      </c>
      <c r="AB3" s="61">
        <f t="shared" si="2"/>
        <v>10</v>
      </c>
      <c r="AC3" s="61">
        <f t="shared" si="2"/>
        <v>11</v>
      </c>
      <c r="AD3" s="61">
        <f t="shared" si="2"/>
        <v>12</v>
      </c>
      <c r="AE3" s="61">
        <f t="shared" si="2"/>
        <v>13</v>
      </c>
      <c r="AF3" s="61">
        <f t="shared" si="2"/>
        <v>14</v>
      </c>
      <c r="AG3" s="61">
        <f t="shared" si="2"/>
        <v>15</v>
      </c>
      <c r="AH3" s="61">
        <f t="shared" si="2"/>
        <v>16</v>
      </c>
      <c r="AI3" s="61">
        <f t="shared" si="2"/>
        <v>17</v>
      </c>
      <c r="AJ3" s="61">
        <f t="shared" si="2"/>
        <v>18</v>
      </c>
      <c r="AK3" s="61">
        <f t="shared" si="2"/>
        <v>19</v>
      </c>
      <c r="AL3" s="61">
        <f t="shared" si="2"/>
        <v>20</v>
      </c>
      <c r="AM3" s="61">
        <f t="shared" si="2"/>
        <v>21</v>
      </c>
      <c r="AN3" s="61">
        <f t="shared" si="2"/>
        <v>22</v>
      </c>
      <c r="AO3" s="61">
        <f t="shared" si="2"/>
        <v>23</v>
      </c>
      <c r="AP3" s="61">
        <f t="shared" si="2"/>
        <v>24</v>
      </c>
      <c r="AQ3" s="61">
        <f t="shared" si="2"/>
        <v>25</v>
      </c>
      <c r="AR3" s="61">
        <f t="shared" si="2"/>
        <v>26</v>
      </c>
      <c r="AS3" s="61">
        <f t="shared" si="2"/>
        <v>27</v>
      </c>
      <c r="AT3" s="61">
        <f t="shared" si="2"/>
        <v>28</v>
      </c>
      <c r="AU3" s="61">
        <f t="shared" si="2"/>
        <v>29</v>
      </c>
      <c r="AV3" s="61">
        <f t="shared" si="2"/>
        <v>30</v>
      </c>
      <c r="AW3" s="61">
        <f t="shared" si="2"/>
        <v>31</v>
      </c>
      <c r="AX3" s="61">
        <f t="shared" si="2"/>
        <v>32</v>
      </c>
      <c r="AY3" s="61">
        <f t="shared" si="2"/>
        <v>33</v>
      </c>
      <c r="AZ3" s="61">
        <f t="shared" si="2"/>
        <v>34</v>
      </c>
      <c r="BA3" s="61">
        <f t="shared" si="2"/>
        <v>35</v>
      </c>
      <c r="BB3" s="61">
        <f t="shared" si="2"/>
        <v>36</v>
      </c>
      <c r="BC3" s="61">
        <f t="shared" si="2"/>
        <v>37</v>
      </c>
      <c r="BD3" s="61">
        <f t="shared" si="2"/>
        <v>38</v>
      </c>
      <c r="BE3" s="61">
        <f t="shared" si="2"/>
        <v>39</v>
      </c>
      <c r="BF3" s="61">
        <f t="shared" si="2"/>
        <v>40</v>
      </c>
      <c r="BG3" s="61">
        <f t="shared" si="2"/>
        <v>41</v>
      </c>
      <c r="BH3" s="61">
        <f t="shared" si="2"/>
        <v>42</v>
      </c>
      <c r="BI3" s="61">
        <f t="shared" si="2"/>
        <v>43</v>
      </c>
      <c r="BJ3" s="61">
        <f t="shared" si="2"/>
        <v>44</v>
      </c>
      <c r="BK3" s="61">
        <f t="shared" si="2"/>
        <v>45</v>
      </c>
      <c r="BL3" s="61">
        <f t="shared" si="2"/>
        <v>46</v>
      </c>
      <c r="BM3" s="61">
        <f t="shared" si="2"/>
        <v>47</v>
      </c>
      <c r="BN3" s="61">
        <f t="shared" si="2"/>
        <v>48</v>
      </c>
      <c r="BO3" s="61">
        <f t="shared" si="2"/>
        <v>49</v>
      </c>
      <c r="BP3" s="61">
        <f t="shared" ref="BP3:CC3" si="3">BP4</f>
        <v>50</v>
      </c>
      <c r="BQ3" s="61">
        <f t="shared" si="3"/>
        <v>51</v>
      </c>
      <c r="BR3" s="61">
        <f t="shared" si="3"/>
        <v>52</v>
      </c>
      <c r="BS3" s="61">
        <f t="shared" si="3"/>
        <v>53</v>
      </c>
      <c r="BT3" s="61">
        <f t="shared" si="3"/>
        <v>54</v>
      </c>
      <c r="BU3" s="61">
        <f t="shared" si="3"/>
        <v>55</v>
      </c>
      <c r="BV3" s="61">
        <f t="shared" si="3"/>
        <v>56</v>
      </c>
      <c r="BW3" s="61">
        <f t="shared" si="3"/>
        <v>57</v>
      </c>
      <c r="BX3" s="61">
        <f t="shared" si="3"/>
        <v>58</v>
      </c>
      <c r="BY3" s="61">
        <f t="shared" si="3"/>
        <v>59</v>
      </c>
      <c r="BZ3" s="61">
        <f t="shared" si="3"/>
        <v>60</v>
      </c>
      <c r="CA3" s="61">
        <f t="shared" si="3"/>
        <v>61</v>
      </c>
      <c r="CB3" s="61">
        <f t="shared" si="3"/>
        <v>62</v>
      </c>
      <c r="CC3" s="61">
        <f t="shared" si="3"/>
        <v>63</v>
      </c>
    </row>
    <row r="4" spans="1:81" s="62" customFormat="1" ht="15.75" thickBot="1" x14ac:dyDescent="0.25">
      <c r="A4" s="673" t="s">
        <v>158</v>
      </c>
      <c r="B4" s="674"/>
      <c r="C4" s="66">
        <f>C2</f>
        <v>-15</v>
      </c>
      <c r="D4" s="62">
        <f>C4+1</f>
        <v>-14</v>
      </c>
      <c r="E4" s="62">
        <f t="shared" ref="E4:BP4" si="4">D4+1</f>
        <v>-13</v>
      </c>
      <c r="F4" s="62">
        <f t="shared" si="4"/>
        <v>-12</v>
      </c>
      <c r="G4" s="62">
        <f t="shared" si="4"/>
        <v>-11</v>
      </c>
      <c r="H4" s="62">
        <f t="shared" si="4"/>
        <v>-10</v>
      </c>
      <c r="I4" s="62">
        <f t="shared" si="4"/>
        <v>-9</v>
      </c>
      <c r="J4" s="62">
        <f t="shared" si="4"/>
        <v>-8</v>
      </c>
      <c r="K4" s="62">
        <f t="shared" si="4"/>
        <v>-7</v>
      </c>
      <c r="L4" s="62">
        <f t="shared" si="4"/>
        <v>-6</v>
      </c>
      <c r="M4" s="62">
        <f t="shared" si="4"/>
        <v>-5</v>
      </c>
      <c r="N4" s="62">
        <f t="shared" si="4"/>
        <v>-4</v>
      </c>
      <c r="O4" s="62">
        <f t="shared" si="4"/>
        <v>-3</v>
      </c>
      <c r="P4" s="62">
        <f t="shared" si="4"/>
        <v>-2</v>
      </c>
      <c r="Q4" s="62">
        <f t="shared" si="4"/>
        <v>-1</v>
      </c>
      <c r="R4" s="62">
        <f t="shared" si="4"/>
        <v>0</v>
      </c>
      <c r="S4" s="62">
        <f t="shared" si="4"/>
        <v>1</v>
      </c>
      <c r="T4" s="62">
        <f t="shared" si="4"/>
        <v>2</v>
      </c>
      <c r="U4" s="62">
        <f t="shared" si="4"/>
        <v>3</v>
      </c>
      <c r="V4" s="62">
        <f t="shared" si="4"/>
        <v>4</v>
      </c>
      <c r="W4" s="62">
        <f t="shared" si="4"/>
        <v>5</v>
      </c>
      <c r="X4" s="62">
        <f t="shared" si="4"/>
        <v>6</v>
      </c>
      <c r="Y4" s="62">
        <f t="shared" si="4"/>
        <v>7</v>
      </c>
      <c r="Z4" s="62">
        <f t="shared" si="4"/>
        <v>8</v>
      </c>
      <c r="AA4" s="62">
        <f t="shared" si="4"/>
        <v>9</v>
      </c>
      <c r="AB4" s="62">
        <f t="shared" si="4"/>
        <v>10</v>
      </c>
      <c r="AC4" s="62">
        <f t="shared" si="4"/>
        <v>11</v>
      </c>
      <c r="AD4" s="62">
        <f t="shared" si="4"/>
        <v>12</v>
      </c>
      <c r="AE4" s="62">
        <f t="shared" si="4"/>
        <v>13</v>
      </c>
      <c r="AF4" s="62">
        <f t="shared" si="4"/>
        <v>14</v>
      </c>
      <c r="AG4" s="62">
        <f t="shared" si="4"/>
        <v>15</v>
      </c>
      <c r="AH4" s="62">
        <f t="shared" si="4"/>
        <v>16</v>
      </c>
      <c r="AI4" s="62">
        <f t="shared" si="4"/>
        <v>17</v>
      </c>
      <c r="AJ4" s="62">
        <f t="shared" si="4"/>
        <v>18</v>
      </c>
      <c r="AK4" s="62">
        <f t="shared" si="4"/>
        <v>19</v>
      </c>
      <c r="AL4" s="62">
        <f t="shared" si="4"/>
        <v>20</v>
      </c>
      <c r="AM4" s="62">
        <f t="shared" si="4"/>
        <v>21</v>
      </c>
      <c r="AN4" s="62">
        <f t="shared" si="4"/>
        <v>22</v>
      </c>
      <c r="AO4" s="62">
        <f t="shared" si="4"/>
        <v>23</v>
      </c>
      <c r="AP4" s="62">
        <f t="shared" si="4"/>
        <v>24</v>
      </c>
      <c r="AQ4" s="62">
        <f t="shared" si="4"/>
        <v>25</v>
      </c>
      <c r="AR4" s="62">
        <f t="shared" si="4"/>
        <v>26</v>
      </c>
      <c r="AS4" s="62">
        <f t="shared" si="4"/>
        <v>27</v>
      </c>
      <c r="AT4" s="62">
        <f t="shared" si="4"/>
        <v>28</v>
      </c>
      <c r="AU4" s="62">
        <f t="shared" si="4"/>
        <v>29</v>
      </c>
      <c r="AV4" s="62">
        <f t="shared" si="4"/>
        <v>30</v>
      </c>
      <c r="AW4" s="62">
        <f t="shared" si="4"/>
        <v>31</v>
      </c>
      <c r="AX4" s="62">
        <f t="shared" si="4"/>
        <v>32</v>
      </c>
      <c r="AY4" s="62">
        <f t="shared" si="4"/>
        <v>33</v>
      </c>
      <c r="AZ4" s="62">
        <f t="shared" si="4"/>
        <v>34</v>
      </c>
      <c r="BA4" s="62">
        <f t="shared" si="4"/>
        <v>35</v>
      </c>
      <c r="BB4" s="62">
        <f t="shared" si="4"/>
        <v>36</v>
      </c>
      <c r="BC4" s="62">
        <f t="shared" si="4"/>
        <v>37</v>
      </c>
      <c r="BD4" s="62">
        <f t="shared" si="4"/>
        <v>38</v>
      </c>
      <c r="BE4" s="62">
        <f t="shared" si="4"/>
        <v>39</v>
      </c>
      <c r="BF4" s="62">
        <f t="shared" si="4"/>
        <v>40</v>
      </c>
      <c r="BG4" s="62">
        <f t="shared" si="4"/>
        <v>41</v>
      </c>
      <c r="BH4" s="62">
        <f t="shared" si="4"/>
        <v>42</v>
      </c>
      <c r="BI4" s="62">
        <f t="shared" si="4"/>
        <v>43</v>
      </c>
      <c r="BJ4" s="62">
        <f t="shared" si="4"/>
        <v>44</v>
      </c>
      <c r="BK4" s="62">
        <f t="shared" si="4"/>
        <v>45</v>
      </c>
      <c r="BL4" s="62">
        <f t="shared" si="4"/>
        <v>46</v>
      </c>
      <c r="BM4" s="62">
        <f t="shared" si="4"/>
        <v>47</v>
      </c>
      <c r="BN4" s="62">
        <f t="shared" si="4"/>
        <v>48</v>
      </c>
      <c r="BO4" s="62">
        <f t="shared" si="4"/>
        <v>49</v>
      </c>
      <c r="BP4" s="62">
        <f t="shared" si="4"/>
        <v>50</v>
      </c>
      <c r="BQ4" s="62">
        <f t="shared" ref="BQ4:CC4" si="5">BP4+1</f>
        <v>51</v>
      </c>
      <c r="BR4" s="62">
        <f t="shared" si="5"/>
        <v>52</v>
      </c>
      <c r="BS4" s="62">
        <f t="shared" si="5"/>
        <v>53</v>
      </c>
      <c r="BT4" s="62">
        <f t="shared" si="5"/>
        <v>54</v>
      </c>
      <c r="BU4" s="62">
        <f t="shared" si="5"/>
        <v>55</v>
      </c>
      <c r="BV4" s="62">
        <f t="shared" si="5"/>
        <v>56</v>
      </c>
      <c r="BW4" s="62">
        <f t="shared" si="5"/>
        <v>57</v>
      </c>
      <c r="BX4" s="62">
        <f t="shared" si="5"/>
        <v>58</v>
      </c>
      <c r="BY4" s="62">
        <f t="shared" si="5"/>
        <v>59</v>
      </c>
      <c r="BZ4" s="62">
        <f t="shared" si="5"/>
        <v>60</v>
      </c>
      <c r="CA4" s="62">
        <f t="shared" si="5"/>
        <v>61</v>
      </c>
      <c r="CB4" s="62">
        <f t="shared" si="5"/>
        <v>62</v>
      </c>
      <c r="CC4" s="62">
        <f t="shared" si="5"/>
        <v>63</v>
      </c>
    </row>
    <row r="5" spans="1:81" s="63" customFormat="1" ht="15.75" thickTop="1" x14ac:dyDescent="0.2">
      <c r="A5" s="670" t="str">
        <f>CONCATENATE(LEFT('Data entry'!J6), LEFT('Data entry'!I6), ", ", 'Data entry'!BK6)</f>
        <v xml:space="preserve">, </v>
      </c>
      <c r="B5" s="670"/>
      <c r="C5" s="67"/>
    </row>
    <row r="6" spans="1:81" x14ac:dyDescent="0.2">
      <c r="A6" s="668" t="str">
        <f>CONCATENATE('Data entry'!B6, ", ", 'Data entry'!AO6, ", ", 'Data entry'!AR6)</f>
        <v xml:space="preserve">, , </v>
      </c>
      <c r="B6" s="668"/>
      <c r="C6" s="68"/>
      <c r="Q6" t="str">
        <f>IF(AND(Q4='Data entry'!R6,OR('Data entry'!B6="Confirmed",'Data entry'!B6="Probable")),"sx","")</f>
        <v/>
      </c>
      <c r="R6" t="str">
        <f>IF(AND(R$4='Data entry'!$R$6, OR('Data entry'!$B$6="Confirmed",'Data entry'!$B$6="Probable")),"sx","")</f>
        <v/>
      </c>
      <c r="S6" t="str">
        <f>IF(AND(S$4='Data entry'!$R$6, OR('Data entry'!$B$6="Confirmed",'Data entry'!$B$6="Probable")),"sx","")</f>
        <v/>
      </c>
      <c r="T6" t="str">
        <f>IF(AND(T$4='Data entry'!$R$6, OR('Data entry'!$B$6="Confirmed",'Data entry'!$B$6="Probable")),"sx","")</f>
        <v/>
      </c>
      <c r="U6" t="str">
        <f>IF(AND(U$4='Data entry'!$R$6, OR('Data entry'!$B$6="Confirmed",'Data entry'!$B$6="Probable")),"sx","")</f>
        <v/>
      </c>
      <c r="V6" t="str">
        <f>IF(AND(V$4='Data entry'!$R$6, OR('Data entry'!$B$6="Confirmed",'Data entry'!$B$6="Probable")),"sx","")</f>
        <v/>
      </c>
      <c r="W6" t="str">
        <f>IF(AND(W$4='Data entry'!$R$6, OR('Data entry'!$B$6="Confirmed",'Data entry'!$B$6="Probable")),"sx","")</f>
        <v/>
      </c>
      <c r="X6" t="str">
        <f>IF(AND(X$4='Data entry'!$R$6, OR('Data entry'!$B$6="Confirmed",'Data entry'!$B$6="Probable")),"sx","")</f>
        <v/>
      </c>
      <c r="Y6" t="str">
        <f>IF(AND(Y$4='Data entry'!$R$6, OR('Data entry'!$B$6="Confirmed",'Data entry'!$B$6="Probable")),"sx","")</f>
        <v/>
      </c>
      <c r="Z6" t="str">
        <f>IF(AND(Z$4='Data entry'!$R$6, OR('Data entry'!$B$6="Confirmed",'Data entry'!$B$6="Probable")),"sx","")</f>
        <v/>
      </c>
      <c r="AA6" t="str">
        <f>IF(AND(AA$4='Data entry'!$R$6, OR('Data entry'!$B$6="Confirmed",'Data entry'!$B$6="Probable")),"sx","")</f>
        <v/>
      </c>
      <c r="AB6" t="str">
        <f>IF(AND(AB$4='Data entry'!$R$6, OR('Data entry'!$B$6="Confirmed",'Data entry'!$B$6="Probable")),"sx","")</f>
        <v/>
      </c>
      <c r="AC6" t="str">
        <f>IF(AND(AC$4='Data entry'!$R$6, OR('Data entry'!$B$6="Confirmed",'Data entry'!$B$6="Probable")),"sx","")</f>
        <v/>
      </c>
      <c r="AD6" t="str">
        <f>IF(AND(AD$4='Data entry'!$R$6, OR('Data entry'!$B$6="Confirmed",'Data entry'!$B$6="Probable")),"sx","")</f>
        <v/>
      </c>
      <c r="AE6" t="str">
        <f>IF(AND(AE$4='Data entry'!$R$6, OR('Data entry'!$B$6="Confirmed",'Data entry'!$B$6="Probable")),"sx","")</f>
        <v/>
      </c>
      <c r="AF6" t="str">
        <f>IF(AND(AF$4='Data entry'!$R$6, OR('Data entry'!$B$6="Confirmed",'Data entry'!$B$6="Probable")),"sx","")</f>
        <v/>
      </c>
      <c r="AG6" t="str">
        <f>IF(AND(AG$4='Data entry'!$R$6, OR('Data entry'!$B$6="Confirmed",'Data entry'!$B$6="Probable")),"sx","")</f>
        <v/>
      </c>
      <c r="AH6" t="str">
        <f>IF(AND(AH$4='Data entry'!$R$6, OR('Data entry'!$B$6="Confirmed",'Data entry'!$B$6="Probable")),"sx","")</f>
        <v/>
      </c>
      <c r="AI6" t="str">
        <f>IF(AND(AI$4='Data entry'!$R$6, OR('Data entry'!$B$6="Confirmed",'Data entry'!$B$6="Probable")),"sx","")</f>
        <v/>
      </c>
      <c r="AJ6" t="str">
        <f>IF(AND(AJ$4='Data entry'!$R$6, OR('Data entry'!$B$6="Confirmed",'Data entry'!$B$6="Probable")),"sx","")</f>
        <v/>
      </c>
      <c r="AK6" t="str">
        <f>IF(AND(AK$4='Data entry'!$R$6, OR('Data entry'!$B$6="Confirmed",'Data entry'!$B$6="Probable")),"sx","")</f>
        <v/>
      </c>
      <c r="AL6" t="str">
        <f>IF(AND(AL$4='Data entry'!$R$6, OR('Data entry'!$B$6="Confirmed",'Data entry'!$B$6="Probable")),"sx","")</f>
        <v/>
      </c>
      <c r="AM6" t="str">
        <f>IF(AND(AM$4='Data entry'!$R$6, OR('Data entry'!$B$6="Confirmed",'Data entry'!$B$6="Probable")),"sx","")</f>
        <v/>
      </c>
      <c r="AN6" t="str">
        <f>IF(AND(AN$4='Data entry'!$R$6, OR('Data entry'!$B$6="Confirmed",'Data entry'!$B$6="Probable")),"sx","")</f>
        <v/>
      </c>
      <c r="AO6" t="str">
        <f>IF(AND(AO$4='Data entry'!$R$6, OR('Data entry'!$B$6="Confirmed",'Data entry'!$B$6="Probable")),"sx","")</f>
        <v/>
      </c>
      <c r="AP6" t="str">
        <f>IF(AND(AP$4='Data entry'!$R$6, OR('Data entry'!$B$6="Confirmed",'Data entry'!$B$6="Probable")),"sx","")</f>
        <v/>
      </c>
      <c r="AQ6" t="str">
        <f>IF(AND(AQ$4='Data entry'!$R$6, OR('Data entry'!$B$6="Confirmed",'Data entry'!$B$6="Probable")),"sx","")</f>
        <v/>
      </c>
      <c r="AR6" t="str">
        <f>IF(AND(AR$4='Data entry'!$R$6, OR('Data entry'!$B$6="Confirmed",'Data entry'!$B$6="Probable")),"sx","")</f>
        <v/>
      </c>
      <c r="AS6" t="str">
        <f>IF(AND(AS$4='Data entry'!$R$6, OR('Data entry'!$B$6="Confirmed",'Data entry'!$B$6="Probable")),"sx","")</f>
        <v/>
      </c>
      <c r="AT6" t="str">
        <f>IF(AND(AT$4='Data entry'!$R$6, OR('Data entry'!$B$6="Confirmed",'Data entry'!$B$6="Probable")),"sx","")</f>
        <v/>
      </c>
      <c r="AU6" t="str">
        <f>IF(AND(AU$4='Data entry'!$R$6, OR('Data entry'!$B$6="Confirmed",'Data entry'!$B$6="Probable")),"sx","")</f>
        <v/>
      </c>
      <c r="AV6" t="str">
        <f>IF(AND(AV$4='Data entry'!$R$6, OR('Data entry'!$B$6="Confirmed",'Data entry'!$B$6="Probable")),"sx","")</f>
        <v/>
      </c>
      <c r="AW6" t="str">
        <f>IF(AND(AW$4='Data entry'!$R$6, OR('Data entry'!$B$6="Confirmed",'Data entry'!$B$6="Probable")),"sx","")</f>
        <v/>
      </c>
      <c r="AX6" t="str">
        <f>IF(AND(AX$4='Data entry'!$R$6, OR('Data entry'!$B$6="Confirmed",'Data entry'!$B$6="Probable")),"sx","")</f>
        <v/>
      </c>
      <c r="AY6" t="str">
        <f>IF(AND(AY$4='Data entry'!$R$6, OR('Data entry'!$B$6="Confirmed",'Data entry'!$B$6="Probable")),"sx","")</f>
        <v/>
      </c>
      <c r="AZ6" t="str">
        <f>IF(AND(AZ$4='Data entry'!$R$6, OR('Data entry'!$B$6="Confirmed",'Data entry'!$B$6="Probable")),"sx","")</f>
        <v/>
      </c>
      <c r="BA6" t="str">
        <f>IF(AND(BA$4='Data entry'!$R$6, OR('Data entry'!$B$6="Confirmed",'Data entry'!$B$6="Probable")),"sx","")</f>
        <v/>
      </c>
      <c r="BB6" t="str">
        <f>IF(AND(BB$4='Data entry'!$R$6, OR('Data entry'!$B$6="Confirmed",'Data entry'!$B$6="Probable")),"sx","")</f>
        <v/>
      </c>
      <c r="BC6" t="str">
        <f>IF(AND(BC$4='Data entry'!$R$6, OR('Data entry'!$B$6="Confirmed",'Data entry'!$B$6="Probable")),"sx","")</f>
        <v/>
      </c>
      <c r="BD6" t="str">
        <f>IF(AND(BD$4='Data entry'!$R$6, OR('Data entry'!$B$6="Confirmed",'Data entry'!$B$6="Probable")),"sx","")</f>
        <v/>
      </c>
      <c r="BE6" t="str">
        <f>IF(AND(BE$4='Data entry'!$R$6, OR('Data entry'!$B$6="Confirmed",'Data entry'!$B$6="Probable")),"sx","")</f>
        <v/>
      </c>
      <c r="BF6" t="str">
        <f>IF(AND(BF$4='Data entry'!$R$6, OR('Data entry'!$B$6="Confirmed",'Data entry'!$B$6="Probable")),"sx","")</f>
        <v/>
      </c>
      <c r="BG6" t="str">
        <f>IF(AND(BG$4='Data entry'!$R$6, OR('Data entry'!$B$6="Confirmed",'Data entry'!$B$6="Probable")),"sx","")</f>
        <v/>
      </c>
      <c r="BH6" t="str">
        <f>IF(AND(BH$4='Data entry'!$R$6, OR('Data entry'!$B$6="Confirmed",'Data entry'!$B$6="Probable")),"sx","")</f>
        <v/>
      </c>
      <c r="BI6" t="str">
        <f>IF(AND(BI$4='Data entry'!$R$6, OR('Data entry'!$B$6="Confirmed",'Data entry'!$B$6="Probable")),"sx","")</f>
        <v/>
      </c>
      <c r="BJ6" t="str">
        <f>IF(AND(BJ$4='Data entry'!$R$6, OR('Data entry'!$B$6="Confirmed",'Data entry'!$B$6="Probable")),"sx","")</f>
        <v/>
      </c>
      <c r="BK6" t="str">
        <f>IF(AND(BK$4='Data entry'!$R$6, OR('Data entry'!$B$6="Confirmed",'Data entry'!$B$6="Probable")),"sx","")</f>
        <v/>
      </c>
      <c r="BL6" t="str">
        <f>IF(AND(BL$4='Data entry'!$R$6, OR('Data entry'!$B$6="Confirmed",'Data entry'!$B$6="Probable")),"sx","")</f>
        <v/>
      </c>
      <c r="BM6" t="str">
        <f>IF(AND(BM$4='Data entry'!$R$6, OR('Data entry'!$B$6="Confirmed",'Data entry'!$B$6="Probable")),"sx","")</f>
        <v/>
      </c>
      <c r="BN6" t="str">
        <f>IF(AND(BN$4='Data entry'!$R$6, OR('Data entry'!$B$6="Confirmed",'Data entry'!$B$6="Probable")),"sx","")</f>
        <v/>
      </c>
      <c r="BO6" t="str">
        <f>IF(AND(BO$4='Data entry'!$R$6, OR('Data entry'!$B$6="Confirmed",'Data entry'!$B$6="Probable")),"sx","")</f>
        <v/>
      </c>
      <c r="BP6" t="str">
        <f>IF(AND(BP$4='Data entry'!$R$6, OR('Data entry'!$B$6="Confirmed",'Data entry'!$B$6="Probable")),"sx","")</f>
        <v/>
      </c>
      <c r="BQ6" t="str">
        <f>IF(AND(BQ$4='Data entry'!$R$6, OR('Data entry'!$B$6="Confirmed",'Data entry'!$B$6="Probable")),"sx","")</f>
        <v/>
      </c>
      <c r="BR6" t="str">
        <f>IF(AND(BR$4='Data entry'!$R$6, OR('Data entry'!$B$6="Confirmed",'Data entry'!$B$6="Probable")),"sx","")</f>
        <v/>
      </c>
      <c r="BS6" t="str">
        <f>IF(AND(BS$4='Data entry'!$R$6, OR('Data entry'!$B$6="Confirmed",'Data entry'!$B$6="Probable")),"sx","")</f>
        <v/>
      </c>
      <c r="BT6" t="str">
        <f>IF(AND(BT$4='Data entry'!$R$6, OR('Data entry'!$B$6="Confirmed",'Data entry'!$B$6="Probable")),"sx","")</f>
        <v/>
      </c>
      <c r="BU6" t="str">
        <f>IF(AND(BU$4='Data entry'!$R$6, OR('Data entry'!$B$6="Confirmed",'Data entry'!$B$6="Probable")),"sx","")</f>
        <v/>
      </c>
      <c r="BV6" t="str">
        <f>IF(AND(BV$4='Data entry'!$R$6, OR('Data entry'!$B$6="Confirmed",'Data entry'!$B$6="Probable")),"sx","")</f>
        <v/>
      </c>
      <c r="BW6" t="str">
        <f>IF(AND(BW$4='Data entry'!$R$6, OR('Data entry'!$B$6="Confirmed",'Data entry'!$B$6="Probable")),"sx","")</f>
        <v/>
      </c>
      <c r="BX6" t="str">
        <f>IF(AND(BX$4='Data entry'!$R$6, OR('Data entry'!$B$6="Confirmed",'Data entry'!$B$6="Probable")),"sx","")</f>
        <v/>
      </c>
      <c r="BY6" t="str">
        <f>IF(AND(BY$4='Data entry'!$R$6, OR('Data entry'!$B$6="Confirmed",'Data entry'!$B$6="Probable")),"sx","")</f>
        <v/>
      </c>
      <c r="BZ6" t="str">
        <f>IF(AND(BZ$4='Data entry'!$R$6, OR('Data entry'!$B$6="Confirmed",'Data entry'!$B$6="Probable")),"sx","")</f>
        <v/>
      </c>
      <c r="CA6" t="str">
        <f>IF(AND(CA$4='Data entry'!$R$6, OR('Data entry'!$B$6="Confirmed",'Data entry'!$B$6="Probable")),"sx","")</f>
        <v/>
      </c>
      <c r="CB6" t="str">
        <f>IF(AND(CB$4='Data entry'!$R$6, OR('Data entry'!$B$6="Confirmed",'Data entry'!$B$6="Probable")),"sx","")</f>
        <v/>
      </c>
      <c r="CC6" t="str">
        <f>IF(AND(CC$4='Data entry'!$R$6, OR('Data entry'!$B$6="Confirmed",'Data entry'!$B$6="Probable")),"sx","")</f>
        <v/>
      </c>
    </row>
    <row r="7" spans="1:81" s="64" customFormat="1" ht="2.25" customHeight="1" thickBot="1" x14ac:dyDescent="0.25">
      <c r="A7" s="671"/>
      <c r="B7" s="672"/>
      <c r="C7" s="69"/>
    </row>
    <row r="8" spans="1:81" s="63" customFormat="1" ht="15.75" thickTop="1" x14ac:dyDescent="0.2">
      <c r="A8" s="670" t="str">
        <f>CONCATENATE(LEFT('Data entry'!J7), LEFT('Data entry'!I7))</f>
        <v/>
      </c>
      <c r="B8" s="670"/>
      <c r="C8" s="67"/>
    </row>
    <row r="9" spans="1:81" x14ac:dyDescent="0.2">
      <c r="A9" s="668" t="str">
        <f>CONCATENATE('Data entry'!B7, ", ", 'Data entry'!AO7, ", ", 'Data entry'!AR7)</f>
        <v xml:space="preserve">, , </v>
      </c>
      <c r="B9" s="668"/>
      <c r="C9" s="68"/>
      <c r="Q9" t="str">
        <f>IF(AND(Q$4='Data entry'!$R$7, OR('Data entry'!$B$7="Confirmed",'Data entry'!$B$7="Probable")),"sx","")</f>
        <v/>
      </c>
      <c r="R9" t="str">
        <f>IF(AND(R$4='Data entry'!$R$7, OR('Data entry'!$B$7="Confirmed",'Data entry'!$B$7="Probable")),"sx","")</f>
        <v/>
      </c>
      <c r="S9" t="str">
        <f>IF(AND(S$4='Data entry'!$R$7, OR('Data entry'!$B$7="Confirmed",'Data entry'!$B$7="Probable")),"sx","")</f>
        <v/>
      </c>
      <c r="T9" t="str">
        <f>IF(AND(T$4='Data entry'!$R$7, OR('Data entry'!$B$7="Confirmed",'Data entry'!$B$7="Probable")),"sx","")</f>
        <v/>
      </c>
      <c r="U9" t="str">
        <f>IF(AND(U$4='Data entry'!$R$7, OR('Data entry'!$B$7="Confirmed",'Data entry'!$B$7="Probable")),"sx","")</f>
        <v/>
      </c>
      <c r="V9" t="str">
        <f>IF(AND(V$4='Data entry'!$R$7, OR('Data entry'!$B$7="Confirmed",'Data entry'!$B$7="Probable")),"sx","")</f>
        <v/>
      </c>
      <c r="W9" t="str">
        <f>IF(AND(W$4='Data entry'!$R$7, OR('Data entry'!$B$7="Confirmed",'Data entry'!$B$7="Probable")),"sx","")</f>
        <v/>
      </c>
      <c r="X9" t="str">
        <f>IF(AND(X$4='Data entry'!$R$7, OR('Data entry'!$B$7="Confirmed",'Data entry'!$B$7="Probable")),"sx","")</f>
        <v/>
      </c>
      <c r="Y9" t="str">
        <f>IF(AND(Y$4='Data entry'!$R$7, OR('Data entry'!$B$7="Confirmed",'Data entry'!$B$7="Probable")),"sx","")</f>
        <v/>
      </c>
      <c r="Z9" t="str">
        <f>IF(AND(Z$4='Data entry'!$R$7, OR('Data entry'!$B$7="Confirmed",'Data entry'!$B$7="Probable")),"sx","")</f>
        <v/>
      </c>
      <c r="AA9" t="str">
        <f>IF(AND(AA$4='Data entry'!$R$7, OR('Data entry'!$B$7="Confirmed",'Data entry'!$B$7="Probable")),"sx","")</f>
        <v/>
      </c>
      <c r="AB9" t="str">
        <f>IF(AND(AB$4='Data entry'!$R$7, OR('Data entry'!$B$7="Confirmed",'Data entry'!$B$7="Probable")),"sx","")</f>
        <v/>
      </c>
      <c r="AC9" t="str">
        <f>IF(AND(AC$4='Data entry'!$R$7, OR('Data entry'!$B$7="Confirmed",'Data entry'!$B$7="Probable")),"sx","")</f>
        <v/>
      </c>
      <c r="AD9" t="str">
        <f>IF(AND(AD$4='Data entry'!$R$7, OR('Data entry'!$B$7="Confirmed",'Data entry'!$B$7="Probable")),"sx","")</f>
        <v/>
      </c>
      <c r="AE9" t="str">
        <f>IF(AND(AE$4='Data entry'!$R$7, OR('Data entry'!$B$7="Confirmed",'Data entry'!$B$7="Probable")),"sx","")</f>
        <v/>
      </c>
      <c r="AF9" t="str">
        <f>IF(AND(AF$4='Data entry'!$R$7, OR('Data entry'!$B$7="Confirmed",'Data entry'!$B$7="Probable")),"sx","")</f>
        <v/>
      </c>
      <c r="AG9" t="str">
        <f>IF(AND(AG$4='Data entry'!$R$7, OR('Data entry'!$B$7="Confirmed",'Data entry'!$B$7="Probable")),"sx","")</f>
        <v/>
      </c>
      <c r="AH9" t="str">
        <f>IF(AND(AH$4='Data entry'!$R$7, OR('Data entry'!$B$7="Confirmed",'Data entry'!$B$7="Probable")),"sx","")</f>
        <v/>
      </c>
      <c r="AI9" t="str">
        <f>IF(AND(AI$4='Data entry'!$R$7, OR('Data entry'!$B$7="Confirmed",'Data entry'!$B$7="Probable")),"sx","")</f>
        <v/>
      </c>
      <c r="AJ9" t="str">
        <f>IF(AND(AJ$4='Data entry'!$R$7, OR('Data entry'!$B$7="Confirmed",'Data entry'!$B$7="Probable")),"sx","")</f>
        <v/>
      </c>
      <c r="AK9" t="str">
        <f>IF(AND(AK$4='Data entry'!$R$7, OR('Data entry'!$B$7="Confirmed",'Data entry'!$B$7="Probable")),"sx","")</f>
        <v/>
      </c>
      <c r="AL9" t="str">
        <f>IF(AND(AL$4='Data entry'!$R$7, OR('Data entry'!$B$7="Confirmed",'Data entry'!$B$7="Probable")),"sx","")</f>
        <v/>
      </c>
      <c r="AM9" t="str">
        <f>IF(AND(AM$4='Data entry'!$R$7, OR('Data entry'!$B$7="Confirmed",'Data entry'!$B$7="Probable")),"sx","")</f>
        <v/>
      </c>
      <c r="AN9" t="str">
        <f>IF(AND(AN$4='Data entry'!$R$7, OR('Data entry'!$B$7="Confirmed",'Data entry'!$B$7="Probable")),"sx","")</f>
        <v/>
      </c>
      <c r="AO9" t="str">
        <f>IF(AND(AO$4='Data entry'!$R$7, OR('Data entry'!$B$7="Confirmed",'Data entry'!$B$7="Probable")),"sx","")</f>
        <v/>
      </c>
      <c r="AP9" t="str">
        <f>IF(AND(AP$4='Data entry'!$R$7, OR('Data entry'!$B$7="Confirmed",'Data entry'!$B$7="Probable")),"sx","")</f>
        <v/>
      </c>
      <c r="AQ9" t="str">
        <f>IF(AND(AQ$4='Data entry'!$R$7, OR('Data entry'!$B$7="Confirmed",'Data entry'!$B$7="Probable")),"sx","")</f>
        <v/>
      </c>
      <c r="AR9" t="str">
        <f>IF(AND(AR$4='Data entry'!$R$7, OR('Data entry'!$B$7="Confirmed",'Data entry'!$B$7="Probable")),"sx","")</f>
        <v/>
      </c>
      <c r="AS9" t="str">
        <f>IF(AND(AS$4='Data entry'!$R$7, OR('Data entry'!$B$7="Confirmed",'Data entry'!$B$7="Probable")),"sx","")</f>
        <v/>
      </c>
      <c r="AT9" t="str">
        <f>IF(AND(AT$4='Data entry'!$R$7, OR('Data entry'!$B$7="Confirmed",'Data entry'!$B$7="Probable")),"sx","")</f>
        <v/>
      </c>
      <c r="AU9" t="str">
        <f>IF(AND(AU$4='Data entry'!$R$7, OR('Data entry'!$B$7="Confirmed",'Data entry'!$B$7="Probable")),"sx","")</f>
        <v/>
      </c>
      <c r="AV9" t="str">
        <f>IF(AND(AV$4='Data entry'!$R$7, OR('Data entry'!$B$7="Confirmed",'Data entry'!$B$7="Probable")),"sx","")</f>
        <v/>
      </c>
      <c r="AW9" t="str">
        <f>IF(AND(AW$4='Data entry'!$R$7, OR('Data entry'!$B$7="Confirmed",'Data entry'!$B$7="Probable")),"sx","")</f>
        <v/>
      </c>
      <c r="AX9" t="str">
        <f>IF(AND(AX$4='Data entry'!$R$7, OR('Data entry'!$B$7="Confirmed",'Data entry'!$B$7="Probable")),"sx","")</f>
        <v/>
      </c>
      <c r="AY9" t="str">
        <f>IF(AND(AY$4='Data entry'!$R$7, OR('Data entry'!$B$7="Confirmed",'Data entry'!$B$7="Probable")),"sx","")</f>
        <v/>
      </c>
      <c r="AZ9" t="str">
        <f>IF(AND(AZ$4='Data entry'!$R$7, OR('Data entry'!$B$7="Confirmed",'Data entry'!$B$7="Probable")),"sx","")</f>
        <v/>
      </c>
      <c r="BA9" t="str">
        <f>IF(AND(BA$4='Data entry'!$R$7, OR('Data entry'!$B$7="Confirmed",'Data entry'!$B$7="Probable")),"sx","")</f>
        <v/>
      </c>
      <c r="BB9" t="str">
        <f>IF(AND(BB$4='Data entry'!$R$7, OR('Data entry'!$B$7="Confirmed",'Data entry'!$B$7="Probable")),"sx","")</f>
        <v/>
      </c>
      <c r="BC9" t="str">
        <f>IF(AND(BC$4='Data entry'!$R$7, OR('Data entry'!$B$7="Confirmed",'Data entry'!$B$7="Probable")),"sx","")</f>
        <v/>
      </c>
      <c r="BD9" t="str">
        <f>IF(AND(BD$4='Data entry'!$R$7, OR('Data entry'!$B$7="Confirmed",'Data entry'!$B$7="Probable")),"sx","")</f>
        <v/>
      </c>
      <c r="BE9" t="str">
        <f>IF(AND(BE$4='Data entry'!$R$7, OR('Data entry'!$B$7="Confirmed",'Data entry'!$B$7="Probable")),"sx","")</f>
        <v/>
      </c>
      <c r="BF9" t="str">
        <f>IF(AND(BF$4='Data entry'!$R$7, OR('Data entry'!$B$7="Confirmed",'Data entry'!$B$7="Probable")),"sx","")</f>
        <v/>
      </c>
      <c r="BG9" t="str">
        <f>IF(AND(BG$4='Data entry'!$R$7, OR('Data entry'!$B$7="Confirmed",'Data entry'!$B$7="Probable")),"sx","")</f>
        <v/>
      </c>
      <c r="BH9" t="str">
        <f>IF(AND(BH$4='Data entry'!$R$7, OR('Data entry'!$B$7="Confirmed",'Data entry'!$B$7="Probable")),"sx","")</f>
        <v/>
      </c>
      <c r="BI9" t="str">
        <f>IF(AND(BI$4='Data entry'!$R$7, OR('Data entry'!$B$7="Confirmed",'Data entry'!$B$7="Probable")),"sx","")</f>
        <v/>
      </c>
      <c r="BJ9" t="str">
        <f>IF(AND(BJ$4='Data entry'!$R$7, OR('Data entry'!$B$7="Confirmed",'Data entry'!$B$7="Probable")),"sx","")</f>
        <v/>
      </c>
      <c r="BK9" t="str">
        <f>IF(AND(BK$4='Data entry'!$R$7, OR('Data entry'!$B$7="Confirmed",'Data entry'!$B$7="Probable")),"sx","")</f>
        <v/>
      </c>
      <c r="BL9" t="str">
        <f>IF(AND(BL$4='Data entry'!$R$7, OR('Data entry'!$B$7="Confirmed",'Data entry'!$B$7="Probable")),"sx","")</f>
        <v/>
      </c>
      <c r="BM9" t="str">
        <f>IF(AND(BM$4='Data entry'!$R$7, OR('Data entry'!$B$7="Confirmed",'Data entry'!$B$7="Probable")),"sx","")</f>
        <v/>
      </c>
      <c r="BN9" t="str">
        <f>IF(AND(BN$4='Data entry'!$R$7, OR('Data entry'!$B$7="Confirmed",'Data entry'!$B$7="Probable")),"sx","")</f>
        <v/>
      </c>
      <c r="BO9" t="str">
        <f>IF(AND(BO$4='Data entry'!$R$7, OR('Data entry'!$B$7="Confirmed",'Data entry'!$B$7="Probable")),"sx","")</f>
        <v/>
      </c>
      <c r="BP9" t="str">
        <f>IF(AND(BP$4='Data entry'!$R$7, OR('Data entry'!$B$7="Confirmed",'Data entry'!$B$7="Probable")),"sx","")</f>
        <v/>
      </c>
      <c r="BQ9" t="str">
        <f>IF(AND(BQ$4='Data entry'!$R$7, OR('Data entry'!$B$7="Confirmed",'Data entry'!$B$7="Probable")),"sx","")</f>
        <v/>
      </c>
      <c r="BR9" t="str">
        <f>IF(AND(BR$4='Data entry'!$R$7, OR('Data entry'!$B$7="Confirmed",'Data entry'!$B$7="Probable")),"sx","")</f>
        <v/>
      </c>
      <c r="BS9" t="str">
        <f>IF(AND(BS$4='Data entry'!$R$7, OR('Data entry'!$B$7="Confirmed",'Data entry'!$B$7="Probable")),"sx","")</f>
        <v/>
      </c>
      <c r="BT9" t="str">
        <f>IF(AND(BT$4='Data entry'!$R$7, OR('Data entry'!$B$7="Confirmed",'Data entry'!$B$7="Probable")),"sx","")</f>
        <v/>
      </c>
      <c r="BU9" t="str">
        <f>IF(AND(BU$4='Data entry'!$R$7, OR('Data entry'!$B$7="Confirmed",'Data entry'!$B$7="Probable")),"sx","")</f>
        <v/>
      </c>
      <c r="BV9" t="str">
        <f>IF(AND(BV$4='Data entry'!$R$7, OR('Data entry'!$B$7="Confirmed",'Data entry'!$B$7="Probable")),"sx","")</f>
        <v/>
      </c>
      <c r="BW9" t="str">
        <f>IF(AND(BW$4='Data entry'!$R$7, OR('Data entry'!$B$7="Confirmed",'Data entry'!$B$7="Probable")),"sx","")</f>
        <v/>
      </c>
      <c r="BX9" t="str">
        <f>IF(AND(BX$4='Data entry'!$R$7, OR('Data entry'!$B$7="Confirmed",'Data entry'!$B$7="Probable")),"sx","")</f>
        <v/>
      </c>
      <c r="BY9" t="str">
        <f>IF(AND(BY$4='Data entry'!$R$7, OR('Data entry'!$B$7="Confirmed",'Data entry'!$B$7="Probable")),"sx","")</f>
        <v/>
      </c>
      <c r="BZ9" t="str">
        <f>IF(AND(BZ$4='Data entry'!$R$7, OR('Data entry'!$B$7="Confirmed",'Data entry'!$B$7="Probable")),"sx","")</f>
        <v/>
      </c>
      <c r="CA9" t="str">
        <f>IF(AND(CA$4='Data entry'!$R$7, OR('Data entry'!$B$7="Confirmed",'Data entry'!$B$7="Probable")),"sx","")</f>
        <v/>
      </c>
      <c r="CB9" t="str">
        <f>IF(AND(CB$4='Data entry'!$R$7, OR('Data entry'!$B$7="Confirmed",'Data entry'!$B$7="Probable")),"sx","")</f>
        <v/>
      </c>
      <c r="CC9" t="str">
        <f>IF(AND(CC$4='Data entry'!$R$7, OR('Data entry'!$B$7="Confirmed",'Data entry'!$B$7="Probable")),"sx","")</f>
        <v/>
      </c>
    </row>
    <row r="10" spans="1:81" s="64" customFormat="1" ht="2.25" customHeight="1" thickBot="1" x14ac:dyDescent="0.25">
      <c r="A10" s="671"/>
      <c r="B10" s="672"/>
      <c r="C10" s="69"/>
    </row>
    <row r="11" spans="1:81" s="63" customFormat="1" ht="15.75" thickTop="1" x14ac:dyDescent="0.2">
      <c r="A11" s="670" t="str">
        <f>CONCATENATE(LEFT('Data entry'!J8), LEFT('Data entry'!I8))</f>
        <v/>
      </c>
      <c r="B11" s="670"/>
      <c r="C11" s="67"/>
    </row>
    <row r="12" spans="1:81" x14ac:dyDescent="0.2">
      <c r="A12" s="668" t="str">
        <f>CONCATENATE('Data entry'!B8, ", ", 'Data entry'!AO8, ", ", 'Data entry'!AR8)</f>
        <v xml:space="preserve">, , </v>
      </c>
      <c r="B12" s="668"/>
      <c r="C12" s="68"/>
      <c r="Q12" t="str">
        <f>IF(AND(Q$4='Data entry'!$R$8, OR('Data entry'!$B$8="Confirmed",'Data entry'!$B$8="Probable")),"sx","")</f>
        <v/>
      </c>
      <c r="R12" t="str">
        <f>IF(AND(R$4='Data entry'!$R$8, OR('Data entry'!$B$8="Confirmed",'Data entry'!$B$8="Probable")),"sx","")</f>
        <v/>
      </c>
      <c r="S12" t="str">
        <f>IF(AND(S$4='Data entry'!$R$8, OR('Data entry'!$B$8="Confirmed",'Data entry'!$B$8="Probable")),"sx","")</f>
        <v/>
      </c>
      <c r="T12" t="str">
        <f>IF(AND(T$4='Data entry'!$R$8, OR('Data entry'!$B$8="Confirmed",'Data entry'!$B$8="Probable")),"sx","")</f>
        <v/>
      </c>
      <c r="U12" t="str">
        <f>IF(AND(U$4='Data entry'!$R$8, OR('Data entry'!$B$8="Confirmed",'Data entry'!$B$8="Probable")),"sx","")</f>
        <v/>
      </c>
      <c r="V12" t="str">
        <f>IF(AND(V$4='Data entry'!$R$8, OR('Data entry'!$B$8="Confirmed",'Data entry'!$B$8="Probable")),"sx","")</f>
        <v/>
      </c>
      <c r="W12" t="str">
        <f>IF(AND(W$4='Data entry'!$R$8, OR('Data entry'!$B$8="Confirmed",'Data entry'!$B$8="Probable")),"sx","")</f>
        <v/>
      </c>
      <c r="X12" t="str">
        <f>IF(AND(X$4='Data entry'!$R$8, OR('Data entry'!$B$8="Confirmed",'Data entry'!$B$8="Probable")),"sx","")</f>
        <v/>
      </c>
      <c r="Y12" t="str">
        <f>IF(AND(Y$4='Data entry'!$R$8, OR('Data entry'!$B$8="Confirmed",'Data entry'!$B$8="Probable")),"sx","")</f>
        <v/>
      </c>
      <c r="Z12" t="str">
        <f>IF(AND(Z$4='Data entry'!$R$8, OR('Data entry'!$B$8="Confirmed",'Data entry'!$B$8="Probable")),"sx","")</f>
        <v/>
      </c>
      <c r="AA12" t="str">
        <f>IF(AND(AA$4='Data entry'!$R$8, OR('Data entry'!$B$8="Confirmed",'Data entry'!$B$8="Probable")),"sx","")</f>
        <v/>
      </c>
      <c r="AB12" t="str">
        <f>IF(AND(AB$4='Data entry'!$R$8, OR('Data entry'!$B$8="Confirmed",'Data entry'!$B$8="Probable")),"sx","")</f>
        <v/>
      </c>
      <c r="AC12" t="str">
        <f>IF(AND(AC$4='Data entry'!$R$8, OR('Data entry'!$B$8="Confirmed",'Data entry'!$B$8="Probable")),"sx","")</f>
        <v/>
      </c>
      <c r="AD12" t="str">
        <f>IF(AND(AD$4='Data entry'!$R$8, OR('Data entry'!$B$8="Confirmed",'Data entry'!$B$8="Probable")),"sx","")</f>
        <v/>
      </c>
      <c r="AE12" t="str">
        <f>IF(AND(AE$4='Data entry'!$R$8, OR('Data entry'!$B$8="Confirmed",'Data entry'!$B$8="Probable")),"sx","")</f>
        <v/>
      </c>
      <c r="AF12" t="str">
        <f>IF(AND(AF$4='Data entry'!$R$8, OR('Data entry'!$B$8="Confirmed",'Data entry'!$B$8="Probable")),"sx","")</f>
        <v/>
      </c>
      <c r="AG12" t="str">
        <f>IF(AND(AG$4='Data entry'!$R$8, OR('Data entry'!$B$8="Confirmed",'Data entry'!$B$8="Probable")),"sx","")</f>
        <v/>
      </c>
      <c r="AH12" t="str">
        <f>IF(AND(AH$4='Data entry'!$R$8, OR('Data entry'!$B$8="Confirmed",'Data entry'!$B$8="Probable")),"sx","")</f>
        <v/>
      </c>
      <c r="AI12" t="str">
        <f>IF(AND(AI$4='Data entry'!$R$8, OR('Data entry'!$B$8="Confirmed",'Data entry'!$B$8="Probable")),"sx","")</f>
        <v/>
      </c>
      <c r="AJ12" t="str">
        <f>IF(AND(AJ$4='Data entry'!$R$8, OR('Data entry'!$B$8="Confirmed",'Data entry'!$B$8="Probable")),"sx","")</f>
        <v/>
      </c>
      <c r="AK12" t="str">
        <f>IF(AND(AK$4='Data entry'!$R$8, OR('Data entry'!$B$8="Confirmed",'Data entry'!$B$8="Probable")),"sx","")</f>
        <v/>
      </c>
      <c r="AL12" t="str">
        <f>IF(AND(AL$4='Data entry'!$R$8, OR('Data entry'!$B$8="Confirmed",'Data entry'!$B$8="Probable")),"sx","")</f>
        <v/>
      </c>
      <c r="AM12" t="str">
        <f>IF(AND(AM$4='Data entry'!$R$8, OR('Data entry'!$B$8="Confirmed",'Data entry'!$B$8="Probable")),"sx","")</f>
        <v/>
      </c>
      <c r="AN12" t="str">
        <f>IF(AND(AN$4='Data entry'!$R$8, OR('Data entry'!$B$8="Confirmed",'Data entry'!$B$8="Probable")),"sx","")</f>
        <v/>
      </c>
      <c r="AO12" t="str">
        <f>IF(AND(AO$4='Data entry'!$R$8, OR('Data entry'!$B$8="Confirmed",'Data entry'!$B$8="Probable")),"sx","")</f>
        <v/>
      </c>
      <c r="AP12" t="str">
        <f>IF(AND(AP$4='Data entry'!$R$8, OR('Data entry'!$B$8="Confirmed",'Data entry'!$B$8="Probable")),"sx","")</f>
        <v/>
      </c>
      <c r="AQ12" t="str">
        <f>IF(AND(AQ$4='Data entry'!$R$8, OR('Data entry'!$B$8="Confirmed",'Data entry'!$B$8="Probable")),"sx","")</f>
        <v/>
      </c>
      <c r="AR12" t="str">
        <f>IF(AND(AR$4='Data entry'!$R$8, OR('Data entry'!$B$8="Confirmed",'Data entry'!$B$8="Probable")),"sx","")</f>
        <v/>
      </c>
      <c r="AS12" t="str">
        <f>IF(AND(AS$4='Data entry'!$R$8, OR('Data entry'!$B$8="Confirmed",'Data entry'!$B$8="Probable")),"sx","")</f>
        <v/>
      </c>
      <c r="AT12" t="str">
        <f>IF(AND(AT$4='Data entry'!$R$8, OR('Data entry'!$B$8="Confirmed",'Data entry'!$B$8="Probable")),"sx","")</f>
        <v/>
      </c>
      <c r="AU12" t="str">
        <f>IF(AND(AU$4='Data entry'!$R$8, OR('Data entry'!$B$8="Confirmed",'Data entry'!$B$8="Probable")),"sx","")</f>
        <v/>
      </c>
      <c r="AV12" t="str">
        <f>IF(AND(AV$4='Data entry'!$R$8, OR('Data entry'!$B$8="Confirmed",'Data entry'!$B$8="Probable")),"sx","")</f>
        <v/>
      </c>
      <c r="AW12" t="str">
        <f>IF(AND(AW$4='Data entry'!$R$8, OR('Data entry'!$B$8="Confirmed",'Data entry'!$B$8="Probable")),"sx","")</f>
        <v/>
      </c>
      <c r="AX12" t="str">
        <f>IF(AND(AX$4='Data entry'!$R$8, OR('Data entry'!$B$8="Confirmed",'Data entry'!$B$8="Probable")),"sx","")</f>
        <v/>
      </c>
      <c r="AY12" t="str">
        <f>IF(AND(AY$4='Data entry'!$R$8, OR('Data entry'!$B$8="Confirmed",'Data entry'!$B$8="Probable")),"sx","")</f>
        <v/>
      </c>
      <c r="AZ12" t="str">
        <f>IF(AND(AZ$4='Data entry'!$R$8, OR('Data entry'!$B$8="Confirmed",'Data entry'!$B$8="Probable")),"sx","")</f>
        <v/>
      </c>
      <c r="BA12" t="str">
        <f>IF(AND(BA$4='Data entry'!$R$8, OR('Data entry'!$B$8="Confirmed",'Data entry'!$B$8="Probable")),"sx","")</f>
        <v/>
      </c>
      <c r="BB12" t="str">
        <f>IF(AND(BB$4='Data entry'!$R$8, OR('Data entry'!$B$8="Confirmed",'Data entry'!$B$8="Probable")),"sx","")</f>
        <v/>
      </c>
      <c r="BC12" t="str">
        <f>IF(AND(BC$4='Data entry'!$R$8, OR('Data entry'!$B$8="Confirmed",'Data entry'!$B$8="Probable")),"sx","")</f>
        <v/>
      </c>
      <c r="BD12" t="str">
        <f>IF(AND(BD$4='Data entry'!$R$8, OR('Data entry'!$B$8="Confirmed",'Data entry'!$B$8="Probable")),"sx","")</f>
        <v/>
      </c>
      <c r="BE12" t="str">
        <f>IF(AND(BE$4='Data entry'!$R$8, OR('Data entry'!$B$8="Confirmed",'Data entry'!$B$8="Probable")),"sx","")</f>
        <v/>
      </c>
      <c r="BF12" t="str">
        <f>IF(AND(BF$4='Data entry'!$R$8, OR('Data entry'!$B$8="Confirmed",'Data entry'!$B$8="Probable")),"sx","")</f>
        <v/>
      </c>
      <c r="BG12" t="str">
        <f>IF(AND(BG$4='Data entry'!$R$8, OR('Data entry'!$B$8="Confirmed",'Data entry'!$B$8="Probable")),"sx","")</f>
        <v/>
      </c>
      <c r="BH12" t="str">
        <f>IF(AND(BH$4='Data entry'!$R$8, OR('Data entry'!$B$8="Confirmed",'Data entry'!$B$8="Probable")),"sx","")</f>
        <v/>
      </c>
      <c r="BI12" t="str">
        <f>IF(AND(BI$4='Data entry'!$R$8, OR('Data entry'!$B$8="Confirmed",'Data entry'!$B$8="Probable")),"sx","")</f>
        <v/>
      </c>
      <c r="BJ12" t="str">
        <f>IF(AND(BJ$4='Data entry'!$R$8, OR('Data entry'!$B$8="Confirmed",'Data entry'!$B$8="Probable")),"sx","")</f>
        <v/>
      </c>
      <c r="BK12" t="str">
        <f>IF(AND(BK$4='Data entry'!$R$8, OR('Data entry'!$B$8="Confirmed",'Data entry'!$B$8="Probable")),"sx","")</f>
        <v/>
      </c>
      <c r="BL12" t="str">
        <f>IF(AND(BL$4='Data entry'!$R$8, OR('Data entry'!$B$8="Confirmed",'Data entry'!$B$8="Probable")),"sx","")</f>
        <v/>
      </c>
      <c r="BM12" t="str">
        <f>IF(AND(BM$4='Data entry'!$R$8, OR('Data entry'!$B$8="Confirmed",'Data entry'!$B$8="Probable")),"sx","")</f>
        <v/>
      </c>
      <c r="BN12" t="str">
        <f>IF(AND(BN$4='Data entry'!$R$8, OR('Data entry'!$B$8="Confirmed",'Data entry'!$B$8="Probable")),"sx","")</f>
        <v/>
      </c>
      <c r="BO12" t="str">
        <f>IF(AND(BO$4='Data entry'!$R$8, OR('Data entry'!$B$8="Confirmed",'Data entry'!$B$8="Probable")),"sx","")</f>
        <v/>
      </c>
      <c r="BP12" t="str">
        <f>IF(AND(BP$4='Data entry'!$R$8, OR('Data entry'!$B$8="Confirmed",'Data entry'!$B$8="Probable")),"sx","")</f>
        <v/>
      </c>
      <c r="BQ12" t="str">
        <f>IF(AND(BQ$4='Data entry'!$R$8, OR('Data entry'!$B$8="Confirmed",'Data entry'!$B$8="Probable")),"sx","")</f>
        <v/>
      </c>
      <c r="BR12" t="str">
        <f>IF(AND(BR$4='Data entry'!$R$8, OR('Data entry'!$B$8="Confirmed",'Data entry'!$B$8="Probable")),"sx","")</f>
        <v/>
      </c>
      <c r="BS12" t="str">
        <f>IF(AND(BS$4='Data entry'!$R$8, OR('Data entry'!$B$8="Confirmed",'Data entry'!$B$8="Probable")),"sx","")</f>
        <v/>
      </c>
      <c r="BT12" t="str">
        <f>IF(AND(BT$4='Data entry'!$R$8, OR('Data entry'!$B$8="Confirmed",'Data entry'!$B$8="Probable")),"sx","")</f>
        <v/>
      </c>
      <c r="BU12" t="str">
        <f>IF(AND(BU$4='Data entry'!$R$8, OR('Data entry'!$B$8="Confirmed",'Data entry'!$B$8="Probable")),"sx","")</f>
        <v/>
      </c>
      <c r="BV12" t="str">
        <f>IF(AND(BV$4='Data entry'!$R$8, OR('Data entry'!$B$8="Confirmed",'Data entry'!$B$8="Probable")),"sx","")</f>
        <v/>
      </c>
      <c r="BW12" t="str">
        <f>IF(AND(BW$4='Data entry'!$R$8, OR('Data entry'!$B$8="Confirmed",'Data entry'!$B$8="Probable")),"sx","")</f>
        <v/>
      </c>
      <c r="BX12" t="str">
        <f>IF(AND(BX$4='Data entry'!$R$8, OR('Data entry'!$B$8="Confirmed",'Data entry'!$B$8="Probable")),"sx","")</f>
        <v/>
      </c>
      <c r="BY12" t="str">
        <f>IF(AND(BY$4='Data entry'!$R$8, OR('Data entry'!$B$8="Confirmed",'Data entry'!$B$8="Probable")),"sx","")</f>
        <v/>
      </c>
      <c r="BZ12" t="str">
        <f>IF(AND(BZ$4='Data entry'!$R$8, OR('Data entry'!$B$8="Confirmed",'Data entry'!$B$8="Probable")),"sx","")</f>
        <v/>
      </c>
      <c r="CA12" t="str">
        <f>IF(AND(CA$4='Data entry'!$R$8, OR('Data entry'!$B$8="Confirmed",'Data entry'!$B$8="Probable")),"sx","")</f>
        <v/>
      </c>
      <c r="CB12" t="str">
        <f>IF(AND(CB$4='Data entry'!$R$8, OR('Data entry'!$B$8="Confirmed",'Data entry'!$B$8="Probable")),"sx","")</f>
        <v/>
      </c>
      <c r="CC12" t="str">
        <f>IF(AND(CC$4='Data entry'!$R$8, OR('Data entry'!$B$8="Confirmed",'Data entry'!$B$8="Probable")),"sx","")</f>
        <v/>
      </c>
    </row>
    <row r="13" spans="1:81" s="64" customFormat="1" ht="2.25" customHeight="1" thickBot="1" x14ac:dyDescent="0.25">
      <c r="A13" s="671"/>
      <c r="B13" s="672"/>
      <c r="C13" s="69"/>
    </row>
    <row r="14" spans="1:81" s="63" customFormat="1" ht="15.75" thickTop="1" x14ac:dyDescent="0.2">
      <c r="A14" s="670" t="str">
        <f>CONCATENATE(LEFT('Data entry'!J9), LEFT('Data entry'!I9))</f>
        <v/>
      </c>
      <c r="B14" s="670"/>
      <c r="C14" s="67"/>
    </row>
    <row r="15" spans="1:81" x14ac:dyDescent="0.2">
      <c r="A15" s="668" t="str">
        <f>CONCATENATE('Data entry'!B9, ", ", 'Data entry'!AO9, ", ", 'Data entry'!AR9)</f>
        <v xml:space="preserve">, , </v>
      </c>
      <c r="B15" s="668"/>
      <c r="C15" s="68"/>
      <c r="Q15" t="str">
        <f>IF(AND(Q$4='Data entry'!$R$9, OR('Data entry'!$B$9="Confirmed",'Data entry'!$B$9="Probable")),"sx","")</f>
        <v/>
      </c>
      <c r="R15" t="str">
        <f>IF(AND(R$4='Data entry'!$R$9, OR('Data entry'!$B$9="Confirmed",'Data entry'!$B$9="Probable")),"sx","")</f>
        <v/>
      </c>
      <c r="S15" t="str">
        <f>IF(AND(S$4='Data entry'!$R$9, OR('Data entry'!$B$9="Confirmed",'Data entry'!$B$9="Probable")),"sx","")</f>
        <v/>
      </c>
      <c r="T15" t="str">
        <f>IF(AND(T$4='Data entry'!$R$9, OR('Data entry'!$B$9="Confirmed",'Data entry'!$B$9="Probable")),"sx","")</f>
        <v/>
      </c>
      <c r="U15" t="str">
        <f>IF(AND(U$4='Data entry'!$R$9, OR('Data entry'!$B$9="Confirmed",'Data entry'!$B$9="Probable")),"sx","")</f>
        <v/>
      </c>
      <c r="V15" t="str">
        <f>IF(AND(V$4='Data entry'!$R$9, OR('Data entry'!$B$9="Confirmed",'Data entry'!$B$9="Probable")),"sx","")</f>
        <v/>
      </c>
      <c r="W15" t="str">
        <f>IF(AND(W$4='Data entry'!$R$9, OR('Data entry'!$B$9="Confirmed",'Data entry'!$B$9="Probable")),"sx","")</f>
        <v/>
      </c>
      <c r="X15" t="str">
        <f>IF(AND(X$4='Data entry'!$R$9, OR('Data entry'!$B$9="Confirmed",'Data entry'!$B$9="Probable")),"sx","")</f>
        <v/>
      </c>
      <c r="Y15" t="str">
        <f>IF(AND(Y$4='Data entry'!$R$9, OR('Data entry'!$B$9="Confirmed",'Data entry'!$B$9="Probable")),"sx","")</f>
        <v/>
      </c>
      <c r="Z15" t="str">
        <f>IF(AND(Z$4='Data entry'!$R$9, OR('Data entry'!$B$9="Confirmed",'Data entry'!$B$9="Probable")),"sx","")</f>
        <v/>
      </c>
      <c r="AA15" t="str">
        <f>IF(AND(AA$4='Data entry'!$R$9, OR('Data entry'!$B$9="Confirmed",'Data entry'!$B$9="Probable")),"sx","")</f>
        <v/>
      </c>
      <c r="AB15" t="str">
        <f>IF(AND(AB$4='Data entry'!$R$9, OR('Data entry'!$B$9="Confirmed",'Data entry'!$B$9="Probable")),"sx","")</f>
        <v/>
      </c>
      <c r="AC15" t="str">
        <f>IF(AND(AC$4='Data entry'!$R$9, OR('Data entry'!$B$9="Confirmed",'Data entry'!$B$9="Probable")),"sx","")</f>
        <v/>
      </c>
      <c r="AD15" t="str">
        <f>IF(AND(AD$4='Data entry'!$R$9, OR('Data entry'!$B$9="Confirmed",'Data entry'!$B$9="Probable")),"sx","")</f>
        <v/>
      </c>
      <c r="AE15" t="str">
        <f>IF(AND(AE$4='Data entry'!$R$9, OR('Data entry'!$B$9="Confirmed",'Data entry'!$B$9="Probable")),"sx","")</f>
        <v/>
      </c>
      <c r="AF15" t="str">
        <f>IF(AND(AF$4='Data entry'!$R$9, OR('Data entry'!$B$9="Confirmed",'Data entry'!$B$9="Probable")),"sx","")</f>
        <v/>
      </c>
      <c r="AG15" t="str">
        <f>IF(AND(AG$4='Data entry'!$R$9, OR('Data entry'!$B$9="Confirmed",'Data entry'!$B$9="Probable")),"sx","")</f>
        <v/>
      </c>
      <c r="AH15" t="str">
        <f>IF(AND(AH$4='Data entry'!$R$9, OR('Data entry'!$B$9="Confirmed",'Data entry'!$B$9="Probable")),"sx","")</f>
        <v/>
      </c>
      <c r="AI15" t="str">
        <f>IF(AND(AI$4='Data entry'!$R$9, OR('Data entry'!$B$9="Confirmed",'Data entry'!$B$9="Probable")),"sx","")</f>
        <v/>
      </c>
      <c r="AJ15" t="str">
        <f>IF(AND(AJ$4='Data entry'!$R$9, OR('Data entry'!$B$9="Confirmed",'Data entry'!$B$9="Probable")),"sx","")</f>
        <v/>
      </c>
      <c r="AK15" t="str">
        <f>IF(AND(AK$4='Data entry'!$R$9, OR('Data entry'!$B$9="Confirmed",'Data entry'!$B$9="Probable")),"sx","")</f>
        <v/>
      </c>
      <c r="AL15" t="str">
        <f>IF(AND(AL$4='Data entry'!$R$9, OR('Data entry'!$B$9="Confirmed",'Data entry'!$B$9="Probable")),"sx","")</f>
        <v/>
      </c>
      <c r="AM15" t="str">
        <f>IF(AND(AM$4='Data entry'!$R$9, OR('Data entry'!$B$9="Confirmed",'Data entry'!$B$9="Probable")),"sx","")</f>
        <v/>
      </c>
      <c r="AN15" t="str">
        <f>IF(AND(AN$4='Data entry'!$R$9, OR('Data entry'!$B$9="Confirmed",'Data entry'!$B$9="Probable")),"sx","")</f>
        <v/>
      </c>
      <c r="AO15" t="str">
        <f>IF(AND(AO$4='Data entry'!$R$9, OR('Data entry'!$B$9="Confirmed",'Data entry'!$B$9="Probable")),"sx","")</f>
        <v/>
      </c>
      <c r="AP15" t="str">
        <f>IF(AND(AP$4='Data entry'!$R$9, OR('Data entry'!$B$9="Confirmed",'Data entry'!$B$9="Probable")),"sx","")</f>
        <v/>
      </c>
      <c r="AQ15" t="str">
        <f>IF(AND(AQ$4='Data entry'!$R$9, OR('Data entry'!$B$9="Confirmed",'Data entry'!$B$9="Probable")),"sx","")</f>
        <v/>
      </c>
      <c r="AR15" t="str">
        <f>IF(AND(AR$4='Data entry'!$R$9, OR('Data entry'!$B$9="Confirmed",'Data entry'!$B$9="Probable")),"sx","")</f>
        <v/>
      </c>
      <c r="AS15" t="str">
        <f>IF(AND(AS$4='Data entry'!$R$9, OR('Data entry'!$B$9="Confirmed",'Data entry'!$B$9="Probable")),"sx","")</f>
        <v/>
      </c>
      <c r="AT15" t="str">
        <f>IF(AND(AT$4='Data entry'!$R$9, OR('Data entry'!$B$9="Confirmed",'Data entry'!$B$9="Probable")),"sx","")</f>
        <v/>
      </c>
      <c r="AU15" t="str">
        <f>IF(AND(AU$4='Data entry'!$R$9, OR('Data entry'!$B$9="Confirmed",'Data entry'!$B$9="Probable")),"sx","")</f>
        <v/>
      </c>
      <c r="AV15" t="str">
        <f>IF(AND(AV$4='Data entry'!$R$9, OR('Data entry'!$B$9="Confirmed",'Data entry'!$B$9="Probable")),"sx","")</f>
        <v/>
      </c>
      <c r="AW15" t="str">
        <f>IF(AND(AW$4='Data entry'!$R$9, OR('Data entry'!$B$9="Confirmed",'Data entry'!$B$9="Probable")),"sx","")</f>
        <v/>
      </c>
      <c r="AX15" t="str">
        <f>IF(AND(AX$4='Data entry'!$R$9, OR('Data entry'!$B$9="Confirmed",'Data entry'!$B$9="Probable")),"sx","")</f>
        <v/>
      </c>
      <c r="AY15" t="str">
        <f>IF(AND(AY$4='Data entry'!$R$9, OR('Data entry'!$B$9="Confirmed",'Data entry'!$B$9="Probable")),"sx","")</f>
        <v/>
      </c>
      <c r="AZ15" t="str">
        <f>IF(AND(AZ$4='Data entry'!$R$9, OR('Data entry'!$B$9="Confirmed",'Data entry'!$B$9="Probable")),"sx","")</f>
        <v/>
      </c>
      <c r="BA15" t="str">
        <f>IF(AND(BA$4='Data entry'!$R$9, OR('Data entry'!$B$9="Confirmed",'Data entry'!$B$9="Probable")),"sx","")</f>
        <v/>
      </c>
      <c r="BB15" t="str">
        <f>IF(AND(BB$4='Data entry'!$R$9, OR('Data entry'!$B$9="Confirmed",'Data entry'!$B$9="Probable")),"sx","")</f>
        <v/>
      </c>
      <c r="BC15" t="str">
        <f>IF(AND(BC$4='Data entry'!$R$9, OR('Data entry'!$B$9="Confirmed",'Data entry'!$B$9="Probable")),"sx","")</f>
        <v/>
      </c>
      <c r="BD15" t="str">
        <f>IF(AND(BD$4='Data entry'!$R$9, OR('Data entry'!$B$9="Confirmed",'Data entry'!$B$9="Probable")),"sx","")</f>
        <v/>
      </c>
      <c r="BE15" t="str">
        <f>IF(AND(BE$4='Data entry'!$R$9, OR('Data entry'!$B$9="Confirmed",'Data entry'!$B$9="Probable")),"sx","")</f>
        <v/>
      </c>
      <c r="BF15" t="str">
        <f>IF(AND(BF$4='Data entry'!$R$9, OR('Data entry'!$B$9="Confirmed",'Data entry'!$B$9="Probable")),"sx","")</f>
        <v/>
      </c>
      <c r="BG15" t="str">
        <f>IF(AND(BG$4='Data entry'!$R$9, OR('Data entry'!$B$9="Confirmed",'Data entry'!$B$9="Probable")),"sx","")</f>
        <v/>
      </c>
      <c r="BH15" t="str">
        <f>IF(AND(BH$4='Data entry'!$R$9, OR('Data entry'!$B$9="Confirmed",'Data entry'!$B$9="Probable")),"sx","")</f>
        <v/>
      </c>
      <c r="BI15" t="str">
        <f>IF(AND(BI$4='Data entry'!$R$9, OR('Data entry'!$B$9="Confirmed",'Data entry'!$B$9="Probable")),"sx","")</f>
        <v/>
      </c>
      <c r="BJ15" t="str">
        <f>IF(AND(BJ$4='Data entry'!$R$9, OR('Data entry'!$B$9="Confirmed",'Data entry'!$B$9="Probable")),"sx","")</f>
        <v/>
      </c>
      <c r="BK15" t="str">
        <f>IF(AND(BK$4='Data entry'!$R$9, OR('Data entry'!$B$9="Confirmed",'Data entry'!$B$9="Probable")),"sx","")</f>
        <v/>
      </c>
      <c r="BL15" t="str">
        <f>IF(AND(BL$4='Data entry'!$R$9, OR('Data entry'!$B$9="Confirmed",'Data entry'!$B$9="Probable")),"sx","")</f>
        <v/>
      </c>
      <c r="BM15" t="str">
        <f>IF(AND(BM$4='Data entry'!$R$9, OR('Data entry'!$B$9="Confirmed",'Data entry'!$B$9="Probable")),"sx","")</f>
        <v/>
      </c>
      <c r="BN15" t="str">
        <f>IF(AND(BN$4='Data entry'!$R$9, OR('Data entry'!$B$9="Confirmed",'Data entry'!$B$9="Probable")),"sx","")</f>
        <v/>
      </c>
      <c r="BO15" t="str">
        <f>IF(AND(BO$4='Data entry'!$R$9, OR('Data entry'!$B$9="Confirmed",'Data entry'!$B$9="Probable")),"sx","")</f>
        <v/>
      </c>
      <c r="BP15" t="str">
        <f>IF(AND(BP$4='Data entry'!$R$9, OR('Data entry'!$B$9="Confirmed",'Data entry'!$B$9="Probable")),"sx","")</f>
        <v/>
      </c>
      <c r="BQ15" t="str">
        <f>IF(AND(BQ$4='Data entry'!$R$9, OR('Data entry'!$B$9="Confirmed",'Data entry'!$B$9="Probable")),"sx","")</f>
        <v/>
      </c>
      <c r="BR15" t="str">
        <f>IF(AND(BR$4='Data entry'!$R$9, OR('Data entry'!$B$9="Confirmed",'Data entry'!$B$9="Probable")),"sx","")</f>
        <v/>
      </c>
      <c r="BS15" t="str">
        <f>IF(AND(BS$4='Data entry'!$R$9, OR('Data entry'!$B$9="Confirmed",'Data entry'!$B$9="Probable")),"sx","")</f>
        <v/>
      </c>
      <c r="BT15" t="str">
        <f>IF(AND(BT$4='Data entry'!$R$9, OR('Data entry'!$B$9="Confirmed",'Data entry'!$B$9="Probable")),"sx","")</f>
        <v/>
      </c>
      <c r="BU15" t="str">
        <f>IF(AND(BU$4='Data entry'!$R$9, OR('Data entry'!$B$9="Confirmed",'Data entry'!$B$9="Probable")),"sx","")</f>
        <v/>
      </c>
      <c r="BV15" t="str">
        <f>IF(AND(BV$4='Data entry'!$R$9, OR('Data entry'!$B$9="Confirmed",'Data entry'!$B$9="Probable")),"sx","")</f>
        <v/>
      </c>
      <c r="BW15" t="str">
        <f>IF(AND(BW$4='Data entry'!$R$9, OR('Data entry'!$B$9="Confirmed",'Data entry'!$B$9="Probable")),"sx","")</f>
        <v/>
      </c>
      <c r="BX15" t="str">
        <f>IF(AND(BX$4='Data entry'!$R$9, OR('Data entry'!$B$9="Confirmed",'Data entry'!$B$9="Probable")),"sx","")</f>
        <v/>
      </c>
      <c r="BY15" t="str">
        <f>IF(AND(BY$4='Data entry'!$R$9, OR('Data entry'!$B$9="Confirmed",'Data entry'!$B$9="Probable")),"sx","")</f>
        <v/>
      </c>
      <c r="BZ15" t="str">
        <f>IF(AND(BZ$4='Data entry'!$R$9, OR('Data entry'!$B$9="Confirmed",'Data entry'!$B$9="Probable")),"sx","")</f>
        <v/>
      </c>
      <c r="CA15" t="str">
        <f>IF(AND(CA$4='Data entry'!$R$9, OR('Data entry'!$B$9="Confirmed",'Data entry'!$B$9="Probable")),"sx","")</f>
        <v/>
      </c>
      <c r="CB15" t="str">
        <f>IF(AND(CB$4='Data entry'!$R$9, OR('Data entry'!$B$9="Confirmed",'Data entry'!$B$9="Probable")),"sx","")</f>
        <v/>
      </c>
      <c r="CC15" t="str">
        <f>IF(AND(CC$4='Data entry'!$R$9, OR('Data entry'!$B$9="Confirmed",'Data entry'!$B$9="Probable")),"sx","")</f>
        <v/>
      </c>
    </row>
    <row r="16" spans="1:81" s="64" customFormat="1" ht="2.25" customHeight="1" thickBot="1" x14ac:dyDescent="0.25">
      <c r="A16" s="671"/>
      <c r="B16" s="672"/>
      <c r="C16" s="69"/>
    </row>
    <row r="17" spans="1:81" s="63" customFormat="1" ht="15.75" thickTop="1" x14ac:dyDescent="0.2">
      <c r="A17" s="670" t="str">
        <f>CONCATENATE(LEFT('Data entry'!J10), LEFT('Data entry'!I10))</f>
        <v/>
      </c>
      <c r="B17" s="670"/>
      <c r="C17" s="67"/>
    </row>
    <row r="18" spans="1:81" x14ac:dyDescent="0.2">
      <c r="A18" s="668" t="str">
        <f>CONCATENATE('Data entry'!B10, ", ", 'Data entry'!AO10, ", ", 'Data entry'!AR10)</f>
        <v xml:space="preserve">, , </v>
      </c>
      <c r="B18" s="668"/>
      <c r="C18" s="68"/>
      <c r="Q18" t="str">
        <f>IF(AND(Q$4='Data entry'!$R$10, OR('Data entry'!$B$10="Confirmed",'Data entry'!$B$10="Probable")),"sx","")</f>
        <v/>
      </c>
      <c r="R18" t="str">
        <f>IF(AND(R$4='Data entry'!$R$10, OR('Data entry'!$B$10="Confirmed",'Data entry'!$B$10="Probable")),"sx","")</f>
        <v/>
      </c>
      <c r="S18" t="str">
        <f>IF(AND(S$4='Data entry'!$R$10, OR('Data entry'!$B$10="Confirmed",'Data entry'!$B$10="Probable")),"sx","")</f>
        <v/>
      </c>
      <c r="T18" t="str">
        <f>IF(AND(T$4='Data entry'!$R$10, OR('Data entry'!$B$10="Confirmed",'Data entry'!$B$10="Probable")),"sx","")</f>
        <v/>
      </c>
      <c r="U18" t="str">
        <f>IF(AND(U$4='Data entry'!$R$10, OR('Data entry'!$B$10="Confirmed",'Data entry'!$B$10="Probable")),"sx","")</f>
        <v/>
      </c>
      <c r="V18" t="str">
        <f>IF(AND(V$4='Data entry'!$R$10, OR('Data entry'!$B$10="Confirmed",'Data entry'!$B$10="Probable")),"sx","")</f>
        <v/>
      </c>
      <c r="W18" t="str">
        <f>IF(AND(W$4='Data entry'!$R$10, OR('Data entry'!$B$10="Confirmed",'Data entry'!$B$10="Probable")),"sx","")</f>
        <v/>
      </c>
      <c r="X18" t="str">
        <f>IF(AND(X$4='Data entry'!$R$10, OR('Data entry'!$B$10="Confirmed",'Data entry'!$B$10="Probable")),"sx","")</f>
        <v/>
      </c>
      <c r="Y18" t="str">
        <f>IF(AND(Y$4='Data entry'!$R$10, OR('Data entry'!$B$10="Confirmed",'Data entry'!$B$10="Probable")),"sx","")</f>
        <v/>
      </c>
      <c r="Z18" t="str">
        <f>IF(AND(Z$4='Data entry'!$R$10, OR('Data entry'!$B$10="Confirmed",'Data entry'!$B$10="Probable")),"sx","")</f>
        <v/>
      </c>
      <c r="AA18" t="str">
        <f>IF(AND(AA$4='Data entry'!$R$10, OR('Data entry'!$B$10="Confirmed",'Data entry'!$B$10="Probable")),"sx","")</f>
        <v/>
      </c>
      <c r="AB18" t="str">
        <f>IF(AND(AB$4='Data entry'!$R$10, OR('Data entry'!$B$10="Confirmed",'Data entry'!$B$10="Probable")),"sx","")</f>
        <v/>
      </c>
      <c r="AC18" t="str">
        <f>IF(AND(AC$4='Data entry'!$R$10, OR('Data entry'!$B$10="Confirmed",'Data entry'!$B$10="Probable")),"sx","")</f>
        <v/>
      </c>
      <c r="AD18" t="str">
        <f>IF(AND(AD$4='Data entry'!$R$10, OR('Data entry'!$B$10="Confirmed",'Data entry'!$B$10="Probable")),"sx","")</f>
        <v/>
      </c>
      <c r="AE18" t="str">
        <f>IF(AND(AE$4='Data entry'!$R$10, OR('Data entry'!$B$10="Confirmed",'Data entry'!$B$10="Probable")),"sx","")</f>
        <v/>
      </c>
      <c r="AF18" t="str">
        <f>IF(AND(AF$4='Data entry'!$R$10, OR('Data entry'!$B$10="Confirmed",'Data entry'!$B$10="Probable")),"sx","")</f>
        <v/>
      </c>
      <c r="AG18" t="str">
        <f>IF(AND(AG$4='Data entry'!$R$10, OR('Data entry'!$B$10="Confirmed",'Data entry'!$B$10="Probable")),"sx","")</f>
        <v/>
      </c>
      <c r="AH18" t="str">
        <f>IF(AND(AH$4='Data entry'!$R$10, OR('Data entry'!$B$10="Confirmed",'Data entry'!$B$10="Probable")),"sx","")</f>
        <v/>
      </c>
      <c r="AI18" t="str">
        <f>IF(AND(AI$4='Data entry'!$R$10, OR('Data entry'!$B$10="Confirmed",'Data entry'!$B$10="Probable")),"sx","")</f>
        <v/>
      </c>
      <c r="AJ18" t="str">
        <f>IF(AND(AJ$4='Data entry'!$R$10, OR('Data entry'!$B$10="Confirmed",'Data entry'!$B$10="Probable")),"sx","")</f>
        <v/>
      </c>
      <c r="AK18" t="str">
        <f>IF(AND(AK$4='Data entry'!$R$10, OR('Data entry'!$B$10="Confirmed",'Data entry'!$B$10="Probable")),"sx","")</f>
        <v/>
      </c>
      <c r="AL18" t="str">
        <f>IF(AND(AL$4='Data entry'!$R$10, OR('Data entry'!$B$10="Confirmed",'Data entry'!$B$10="Probable")),"sx","")</f>
        <v/>
      </c>
      <c r="AM18" t="str">
        <f>IF(AND(AM$4='Data entry'!$R$10, OR('Data entry'!$B$10="Confirmed",'Data entry'!$B$10="Probable")),"sx","")</f>
        <v/>
      </c>
      <c r="AN18" t="str">
        <f>IF(AND(AN$4='Data entry'!$R$10, OR('Data entry'!$B$10="Confirmed",'Data entry'!$B$10="Probable")),"sx","")</f>
        <v/>
      </c>
      <c r="AO18" t="str">
        <f>IF(AND(AO$4='Data entry'!$R$10, OR('Data entry'!$B$10="Confirmed",'Data entry'!$B$10="Probable")),"sx","")</f>
        <v/>
      </c>
      <c r="AP18" t="str">
        <f>IF(AND(AP$4='Data entry'!$R$10, OR('Data entry'!$B$10="Confirmed",'Data entry'!$B$10="Probable")),"sx","")</f>
        <v/>
      </c>
      <c r="AQ18" t="str">
        <f>IF(AND(AQ$4='Data entry'!$R$10, OR('Data entry'!$B$10="Confirmed",'Data entry'!$B$10="Probable")),"sx","")</f>
        <v/>
      </c>
      <c r="AR18" t="str">
        <f>IF(AND(AR$4='Data entry'!$R$10, OR('Data entry'!$B$10="Confirmed",'Data entry'!$B$10="Probable")),"sx","")</f>
        <v/>
      </c>
      <c r="AS18" t="str">
        <f>IF(AND(AS$4='Data entry'!$R$10, OR('Data entry'!$B$10="Confirmed",'Data entry'!$B$10="Probable")),"sx","")</f>
        <v/>
      </c>
      <c r="AT18" t="str">
        <f>IF(AND(AT$4='Data entry'!$R$10, OR('Data entry'!$B$10="Confirmed",'Data entry'!$B$10="Probable")),"sx","")</f>
        <v/>
      </c>
      <c r="AU18" t="str">
        <f>IF(AND(AU$4='Data entry'!$R$10, OR('Data entry'!$B$10="Confirmed",'Data entry'!$B$10="Probable")),"sx","")</f>
        <v/>
      </c>
      <c r="AV18" t="str">
        <f>IF(AND(AV$4='Data entry'!$R$10, OR('Data entry'!$B$10="Confirmed",'Data entry'!$B$10="Probable")),"sx","")</f>
        <v/>
      </c>
      <c r="AW18" t="str">
        <f>IF(AND(AW$4='Data entry'!$R$10, OR('Data entry'!$B$10="Confirmed",'Data entry'!$B$10="Probable")),"sx","")</f>
        <v/>
      </c>
      <c r="AX18" t="str">
        <f>IF(AND(AX$4='Data entry'!$R$10, OR('Data entry'!$B$10="Confirmed",'Data entry'!$B$10="Probable")),"sx","")</f>
        <v/>
      </c>
      <c r="AY18" t="str">
        <f>IF(AND(AY$4='Data entry'!$R$10, OR('Data entry'!$B$10="Confirmed",'Data entry'!$B$10="Probable")),"sx","")</f>
        <v/>
      </c>
      <c r="AZ18" t="str">
        <f>IF(AND(AZ$4='Data entry'!$R$10, OR('Data entry'!$B$10="Confirmed",'Data entry'!$B$10="Probable")),"sx","")</f>
        <v/>
      </c>
      <c r="BA18" t="str">
        <f>IF(AND(BA$4='Data entry'!$R$10, OR('Data entry'!$B$10="Confirmed",'Data entry'!$B$10="Probable")),"sx","")</f>
        <v/>
      </c>
      <c r="BB18" t="str">
        <f>IF(AND(BB$4='Data entry'!$R$10, OR('Data entry'!$B$10="Confirmed",'Data entry'!$B$10="Probable")),"sx","")</f>
        <v/>
      </c>
      <c r="BC18" t="str">
        <f>IF(AND(BC$4='Data entry'!$R$10, OR('Data entry'!$B$10="Confirmed",'Data entry'!$B$10="Probable")),"sx","")</f>
        <v/>
      </c>
      <c r="BD18" t="str">
        <f>IF(AND(BD$4='Data entry'!$R$10, OR('Data entry'!$B$10="Confirmed",'Data entry'!$B$10="Probable")),"sx","")</f>
        <v/>
      </c>
      <c r="BE18" t="str">
        <f>IF(AND(BE$4='Data entry'!$R$10, OR('Data entry'!$B$10="Confirmed",'Data entry'!$B$10="Probable")),"sx","")</f>
        <v/>
      </c>
      <c r="BF18" t="str">
        <f>IF(AND(BF$4='Data entry'!$R$10, OR('Data entry'!$B$10="Confirmed",'Data entry'!$B$10="Probable")),"sx","")</f>
        <v/>
      </c>
      <c r="BG18" t="str">
        <f>IF(AND(BG$4='Data entry'!$R$10, OR('Data entry'!$B$10="Confirmed",'Data entry'!$B$10="Probable")),"sx","")</f>
        <v/>
      </c>
      <c r="BH18" t="str">
        <f>IF(AND(BH$4='Data entry'!$R$10, OR('Data entry'!$B$10="Confirmed",'Data entry'!$B$10="Probable")),"sx","")</f>
        <v/>
      </c>
      <c r="BI18" t="str">
        <f>IF(AND(BI$4='Data entry'!$R$10, OR('Data entry'!$B$10="Confirmed",'Data entry'!$B$10="Probable")),"sx","")</f>
        <v/>
      </c>
      <c r="BJ18" t="str">
        <f>IF(AND(BJ$4='Data entry'!$R$10, OR('Data entry'!$B$10="Confirmed",'Data entry'!$B$10="Probable")),"sx","")</f>
        <v/>
      </c>
      <c r="BK18" t="str">
        <f>IF(AND(BK$4='Data entry'!$R$10, OR('Data entry'!$B$10="Confirmed",'Data entry'!$B$10="Probable")),"sx","")</f>
        <v/>
      </c>
      <c r="BL18" t="str">
        <f>IF(AND(BL$4='Data entry'!$R$10, OR('Data entry'!$B$10="Confirmed",'Data entry'!$B$10="Probable")),"sx","")</f>
        <v/>
      </c>
      <c r="BM18" t="str">
        <f>IF(AND(BM$4='Data entry'!$R$10, OR('Data entry'!$B$10="Confirmed",'Data entry'!$B$10="Probable")),"sx","")</f>
        <v/>
      </c>
      <c r="BN18" t="str">
        <f>IF(AND(BN$4='Data entry'!$R$10, OR('Data entry'!$B$10="Confirmed",'Data entry'!$B$10="Probable")),"sx","")</f>
        <v/>
      </c>
      <c r="BO18" t="str">
        <f>IF(AND(BO$4='Data entry'!$R$10, OR('Data entry'!$B$10="Confirmed",'Data entry'!$B$10="Probable")),"sx","")</f>
        <v/>
      </c>
      <c r="BP18" t="str">
        <f>IF(AND(BP$4='Data entry'!$R$10, OR('Data entry'!$B$10="Confirmed",'Data entry'!$B$10="Probable")),"sx","")</f>
        <v/>
      </c>
      <c r="BQ18" t="str">
        <f>IF(AND(BQ$4='Data entry'!$R$10, OR('Data entry'!$B$10="Confirmed",'Data entry'!$B$10="Probable")),"sx","")</f>
        <v/>
      </c>
      <c r="BR18" t="str">
        <f>IF(AND(BR$4='Data entry'!$R$10, OR('Data entry'!$B$10="Confirmed",'Data entry'!$B$10="Probable")),"sx","")</f>
        <v/>
      </c>
      <c r="BS18" t="str">
        <f>IF(AND(BS$4='Data entry'!$R$10, OR('Data entry'!$B$10="Confirmed",'Data entry'!$B$10="Probable")),"sx","")</f>
        <v/>
      </c>
      <c r="BT18" t="str">
        <f>IF(AND(BT$4='Data entry'!$R$10, OR('Data entry'!$B$10="Confirmed",'Data entry'!$B$10="Probable")),"sx","")</f>
        <v/>
      </c>
      <c r="BU18" t="str">
        <f>IF(AND(BU$4='Data entry'!$R$10, OR('Data entry'!$B$10="Confirmed",'Data entry'!$B$10="Probable")),"sx","")</f>
        <v/>
      </c>
      <c r="BV18" t="str">
        <f>IF(AND(BV$4='Data entry'!$R$10, OR('Data entry'!$B$10="Confirmed",'Data entry'!$B$10="Probable")),"sx","")</f>
        <v/>
      </c>
      <c r="BW18" t="str">
        <f>IF(AND(BW$4='Data entry'!$R$10, OR('Data entry'!$B$10="Confirmed",'Data entry'!$B$10="Probable")),"sx","")</f>
        <v/>
      </c>
      <c r="BX18" t="str">
        <f>IF(AND(BX$4='Data entry'!$R$10, OR('Data entry'!$B$10="Confirmed",'Data entry'!$B$10="Probable")),"sx","")</f>
        <v/>
      </c>
      <c r="BY18" t="str">
        <f>IF(AND(BY$4='Data entry'!$R$10, OR('Data entry'!$B$10="Confirmed",'Data entry'!$B$10="Probable")),"sx","")</f>
        <v/>
      </c>
      <c r="BZ18" t="str">
        <f>IF(AND(BZ$4='Data entry'!$R$10, OR('Data entry'!$B$10="Confirmed",'Data entry'!$B$10="Probable")),"sx","")</f>
        <v/>
      </c>
      <c r="CA18" t="str">
        <f>IF(AND(CA$4='Data entry'!$R$10, OR('Data entry'!$B$10="Confirmed",'Data entry'!$B$10="Probable")),"sx","")</f>
        <v/>
      </c>
      <c r="CB18" t="str">
        <f>IF(AND(CB$4='Data entry'!$R$10, OR('Data entry'!$B$10="Confirmed",'Data entry'!$B$10="Probable")),"sx","")</f>
        <v/>
      </c>
      <c r="CC18" t="str">
        <f>IF(AND(CC$4='Data entry'!$R$10, OR('Data entry'!$B$10="Confirmed",'Data entry'!$B$10="Probable")),"sx","")</f>
        <v/>
      </c>
    </row>
    <row r="19" spans="1:81" s="64" customFormat="1" ht="2.25" customHeight="1" thickBot="1" x14ac:dyDescent="0.25">
      <c r="A19" s="671"/>
      <c r="B19" s="672"/>
      <c r="C19" s="69"/>
    </row>
    <row r="20" spans="1:81" s="63" customFormat="1" ht="15.75" thickTop="1" x14ac:dyDescent="0.2">
      <c r="A20" s="670" t="str">
        <f>CONCATENATE(LEFT('Data entry'!J11), LEFT('Data entry'!I11))</f>
        <v/>
      </c>
      <c r="B20" s="670"/>
      <c r="C20" s="67"/>
    </row>
    <row r="21" spans="1:81" x14ac:dyDescent="0.2">
      <c r="A21" s="668" t="str">
        <f>CONCATENATE('Data entry'!B11, ", ", 'Data entry'!AO11, ", ", 'Data entry'!AR11)</f>
        <v xml:space="preserve">, , </v>
      </c>
      <c r="B21" s="668"/>
      <c r="C21" s="68"/>
      <c r="Q21" t="str">
        <f>IF(AND(Q$4='Data entry'!$R$11, OR('Data entry'!$B$11="Confirmed",'Data entry'!$B$11="Probable")),"sx","")</f>
        <v/>
      </c>
      <c r="R21" t="str">
        <f>IF(AND(R$4='Data entry'!$R$11, OR('Data entry'!$B$11="Confirmed",'Data entry'!$B$11="Probable")),"sx","")</f>
        <v/>
      </c>
      <c r="S21" t="str">
        <f>IF(AND(S$4='Data entry'!$R$11, OR('Data entry'!$B$11="Confirmed",'Data entry'!$B$11="Probable")),"sx","")</f>
        <v/>
      </c>
      <c r="T21" t="str">
        <f>IF(AND(T$4='Data entry'!$R$11, OR('Data entry'!$B$11="Confirmed",'Data entry'!$B$11="Probable")),"sx","")</f>
        <v/>
      </c>
      <c r="U21" t="str">
        <f>IF(AND(U$4='Data entry'!$R$11, OR('Data entry'!$B$11="Confirmed",'Data entry'!$B$11="Probable")),"sx","")</f>
        <v/>
      </c>
      <c r="V21" t="str">
        <f>IF(AND(V$4='Data entry'!$R$11, OR('Data entry'!$B$11="Confirmed",'Data entry'!$B$11="Probable")),"sx","")</f>
        <v/>
      </c>
      <c r="W21" t="str">
        <f>IF(AND(W$4='Data entry'!$R$11, OR('Data entry'!$B$11="Confirmed",'Data entry'!$B$11="Probable")),"sx","")</f>
        <v/>
      </c>
      <c r="X21" t="str">
        <f>IF(AND(X$4='Data entry'!$R$11, OR('Data entry'!$B$11="Confirmed",'Data entry'!$B$11="Probable")),"sx","")</f>
        <v/>
      </c>
      <c r="Y21" t="str">
        <f>IF(AND(Y$4='Data entry'!$R$11, OR('Data entry'!$B$11="Confirmed",'Data entry'!$B$11="Probable")),"sx","")</f>
        <v/>
      </c>
      <c r="Z21" t="str">
        <f>IF(AND(Z$4='Data entry'!$R$11, OR('Data entry'!$B$11="Confirmed",'Data entry'!$B$11="Probable")),"sx","")</f>
        <v/>
      </c>
      <c r="AA21" t="str">
        <f>IF(AND(AA$4='Data entry'!$R$11, OR('Data entry'!$B$11="Confirmed",'Data entry'!$B$11="Probable")),"sx","")</f>
        <v/>
      </c>
      <c r="AB21" t="str">
        <f>IF(AND(AB$4='Data entry'!$R$11, OR('Data entry'!$B$11="Confirmed",'Data entry'!$B$11="Probable")),"sx","")</f>
        <v/>
      </c>
      <c r="AC21" t="str">
        <f>IF(AND(AC$4='Data entry'!$R$11, OR('Data entry'!$B$11="Confirmed",'Data entry'!$B$11="Probable")),"sx","")</f>
        <v/>
      </c>
      <c r="AD21" t="str">
        <f>IF(AND(AD$4='Data entry'!$R$11, OR('Data entry'!$B$11="Confirmed",'Data entry'!$B$11="Probable")),"sx","")</f>
        <v/>
      </c>
      <c r="AE21" t="str">
        <f>IF(AND(AE$4='Data entry'!$R$11, OR('Data entry'!$B$11="Confirmed",'Data entry'!$B$11="Probable")),"sx","")</f>
        <v/>
      </c>
      <c r="AF21" t="str">
        <f>IF(AND(AF$4='Data entry'!$R$11, OR('Data entry'!$B$11="Confirmed",'Data entry'!$B$11="Probable")),"sx","")</f>
        <v/>
      </c>
      <c r="AG21" t="str">
        <f>IF(AND(AG$4='Data entry'!$R$11, OR('Data entry'!$B$11="Confirmed",'Data entry'!$B$11="Probable")),"sx","")</f>
        <v/>
      </c>
      <c r="AH21" t="str">
        <f>IF(AND(AH$4='Data entry'!$R$11, OR('Data entry'!$B$11="Confirmed",'Data entry'!$B$11="Probable")),"sx","")</f>
        <v/>
      </c>
      <c r="AI21" t="str">
        <f>IF(AND(AI$4='Data entry'!$R$11, OR('Data entry'!$B$11="Confirmed",'Data entry'!$B$11="Probable")),"sx","")</f>
        <v/>
      </c>
      <c r="AJ21" t="str">
        <f>IF(AND(AJ$4='Data entry'!$R$11, OR('Data entry'!$B$11="Confirmed",'Data entry'!$B$11="Probable")),"sx","")</f>
        <v/>
      </c>
      <c r="AK21" t="str">
        <f>IF(AND(AK$4='Data entry'!$R$11, OR('Data entry'!$B$11="Confirmed",'Data entry'!$B$11="Probable")),"sx","")</f>
        <v/>
      </c>
      <c r="AL21" t="str">
        <f>IF(AND(AL$4='Data entry'!$R$11, OR('Data entry'!$B$11="Confirmed",'Data entry'!$B$11="Probable")),"sx","")</f>
        <v/>
      </c>
      <c r="AM21" t="str">
        <f>IF(AND(AM$4='Data entry'!$R$11, OR('Data entry'!$B$11="Confirmed",'Data entry'!$B$11="Probable")),"sx","")</f>
        <v/>
      </c>
      <c r="AN21" t="str">
        <f>IF(AND(AN$4='Data entry'!$R$11, OR('Data entry'!$B$11="Confirmed",'Data entry'!$B$11="Probable")),"sx","")</f>
        <v/>
      </c>
      <c r="AO21" t="str">
        <f>IF(AND(AO$4='Data entry'!$R$11, OR('Data entry'!$B$11="Confirmed",'Data entry'!$B$11="Probable")),"sx","")</f>
        <v/>
      </c>
      <c r="AP21" t="str">
        <f>IF(AND(AP$4='Data entry'!$R$11, OR('Data entry'!$B$11="Confirmed",'Data entry'!$B$11="Probable")),"sx","")</f>
        <v/>
      </c>
      <c r="AQ21" t="str">
        <f>IF(AND(AQ$4='Data entry'!$R$11, OR('Data entry'!$B$11="Confirmed",'Data entry'!$B$11="Probable")),"sx","")</f>
        <v/>
      </c>
      <c r="AR21" t="str">
        <f>IF(AND(AR$4='Data entry'!$R$11, OR('Data entry'!$B$11="Confirmed",'Data entry'!$B$11="Probable")),"sx","")</f>
        <v/>
      </c>
      <c r="AS21" t="str">
        <f>IF(AND(AS$4='Data entry'!$R$11, OR('Data entry'!$B$11="Confirmed",'Data entry'!$B$11="Probable")),"sx","")</f>
        <v/>
      </c>
      <c r="AT21" t="str">
        <f>IF(AND(AT$4='Data entry'!$R$11, OR('Data entry'!$B$11="Confirmed",'Data entry'!$B$11="Probable")),"sx","")</f>
        <v/>
      </c>
      <c r="AU21" t="str">
        <f>IF(AND(AU$4='Data entry'!$R$11, OR('Data entry'!$B$11="Confirmed",'Data entry'!$B$11="Probable")),"sx","")</f>
        <v/>
      </c>
      <c r="AV21" t="str">
        <f>IF(AND(AV$4='Data entry'!$R$11, OR('Data entry'!$B$11="Confirmed",'Data entry'!$B$11="Probable")),"sx","")</f>
        <v/>
      </c>
      <c r="AW21" t="str">
        <f>IF(AND(AW$4='Data entry'!$R$11, OR('Data entry'!$B$11="Confirmed",'Data entry'!$B$11="Probable")),"sx","")</f>
        <v/>
      </c>
      <c r="AX21" t="str">
        <f>IF(AND(AX$4='Data entry'!$R$11, OR('Data entry'!$B$11="Confirmed",'Data entry'!$B$11="Probable")),"sx","")</f>
        <v/>
      </c>
      <c r="AY21" t="str">
        <f>IF(AND(AY$4='Data entry'!$R$11, OR('Data entry'!$B$11="Confirmed",'Data entry'!$B$11="Probable")),"sx","")</f>
        <v/>
      </c>
      <c r="AZ21" t="str">
        <f>IF(AND(AZ$4='Data entry'!$R$11, OR('Data entry'!$B$11="Confirmed",'Data entry'!$B$11="Probable")),"sx","")</f>
        <v/>
      </c>
      <c r="BA21" t="str">
        <f>IF(AND(BA$4='Data entry'!$R$11, OR('Data entry'!$B$11="Confirmed",'Data entry'!$B$11="Probable")),"sx","")</f>
        <v/>
      </c>
      <c r="BB21" t="str">
        <f>IF(AND(BB$4='Data entry'!$R$11, OR('Data entry'!$B$11="Confirmed",'Data entry'!$B$11="Probable")),"sx","")</f>
        <v/>
      </c>
      <c r="BC21" t="str">
        <f>IF(AND(BC$4='Data entry'!$R$11, OR('Data entry'!$B$11="Confirmed",'Data entry'!$B$11="Probable")),"sx","")</f>
        <v/>
      </c>
      <c r="BD21" t="str">
        <f>IF(AND(BD$4='Data entry'!$R$11, OR('Data entry'!$B$11="Confirmed",'Data entry'!$B$11="Probable")),"sx","")</f>
        <v/>
      </c>
      <c r="BE21" t="str">
        <f>IF(AND(BE$4='Data entry'!$R$11, OR('Data entry'!$B$11="Confirmed",'Data entry'!$B$11="Probable")),"sx","")</f>
        <v/>
      </c>
      <c r="BF21" t="str">
        <f>IF(AND(BF$4='Data entry'!$R$11, OR('Data entry'!$B$11="Confirmed",'Data entry'!$B$11="Probable")),"sx","")</f>
        <v/>
      </c>
      <c r="BG21" t="str">
        <f>IF(AND(BG$4='Data entry'!$R$11, OR('Data entry'!$B$11="Confirmed",'Data entry'!$B$11="Probable")),"sx","")</f>
        <v/>
      </c>
      <c r="BH21" t="str">
        <f>IF(AND(BH$4='Data entry'!$R$11, OR('Data entry'!$B$11="Confirmed",'Data entry'!$B$11="Probable")),"sx","")</f>
        <v/>
      </c>
      <c r="BI21" t="str">
        <f>IF(AND(BI$4='Data entry'!$R$11, OR('Data entry'!$B$11="Confirmed",'Data entry'!$B$11="Probable")),"sx","")</f>
        <v/>
      </c>
      <c r="BJ21" t="str">
        <f>IF(AND(BJ$4='Data entry'!$R$11, OR('Data entry'!$B$11="Confirmed",'Data entry'!$B$11="Probable")),"sx","")</f>
        <v/>
      </c>
      <c r="BK21" t="str">
        <f>IF(AND(BK$4='Data entry'!$R$11, OR('Data entry'!$B$11="Confirmed",'Data entry'!$B$11="Probable")),"sx","")</f>
        <v/>
      </c>
      <c r="BL21" t="str">
        <f>IF(AND(BL$4='Data entry'!$R$11, OR('Data entry'!$B$11="Confirmed",'Data entry'!$B$11="Probable")),"sx","")</f>
        <v/>
      </c>
      <c r="BM21" t="str">
        <f>IF(AND(BM$4='Data entry'!$R$11, OR('Data entry'!$B$11="Confirmed",'Data entry'!$B$11="Probable")),"sx","")</f>
        <v/>
      </c>
      <c r="BN21" t="str">
        <f>IF(AND(BN$4='Data entry'!$R$11, OR('Data entry'!$B$11="Confirmed",'Data entry'!$B$11="Probable")),"sx","")</f>
        <v/>
      </c>
      <c r="BO21" t="str">
        <f>IF(AND(BO$4='Data entry'!$R$11, OR('Data entry'!$B$11="Confirmed",'Data entry'!$B$11="Probable")),"sx","")</f>
        <v/>
      </c>
      <c r="BP21" t="str">
        <f>IF(AND(BP$4='Data entry'!$R$11, OR('Data entry'!$B$11="Confirmed",'Data entry'!$B$11="Probable")),"sx","")</f>
        <v/>
      </c>
      <c r="BQ21" t="str">
        <f>IF(AND(BQ$4='Data entry'!$R$11, OR('Data entry'!$B$11="Confirmed",'Data entry'!$B$11="Probable")),"sx","")</f>
        <v/>
      </c>
      <c r="BR21" t="str">
        <f>IF(AND(BR$4='Data entry'!$R$11, OR('Data entry'!$B$11="Confirmed",'Data entry'!$B$11="Probable")),"sx","")</f>
        <v/>
      </c>
      <c r="BS21" t="str">
        <f>IF(AND(BS$4='Data entry'!$R$11, OR('Data entry'!$B$11="Confirmed",'Data entry'!$B$11="Probable")),"sx","")</f>
        <v/>
      </c>
      <c r="BT21" t="str">
        <f>IF(AND(BT$4='Data entry'!$R$11, OR('Data entry'!$B$11="Confirmed",'Data entry'!$B$11="Probable")),"sx","")</f>
        <v/>
      </c>
      <c r="BU21" t="str">
        <f>IF(AND(BU$4='Data entry'!$R$11, OR('Data entry'!$B$11="Confirmed",'Data entry'!$B$11="Probable")),"sx","")</f>
        <v/>
      </c>
      <c r="BV21" t="str">
        <f>IF(AND(BV$4='Data entry'!$R$11, OR('Data entry'!$B$11="Confirmed",'Data entry'!$B$11="Probable")),"sx","")</f>
        <v/>
      </c>
      <c r="BW21" t="str">
        <f>IF(AND(BW$4='Data entry'!$R$11, OR('Data entry'!$B$11="Confirmed",'Data entry'!$B$11="Probable")),"sx","")</f>
        <v/>
      </c>
      <c r="BX21" t="str">
        <f>IF(AND(BX$4='Data entry'!$R$11, OR('Data entry'!$B$11="Confirmed",'Data entry'!$B$11="Probable")),"sx","")</f>
        <v/>
      </c>
      <c r="BY21" t="str">
        <f>IF(AND(BY$4='Data entry'!$R$11, OR('Data entry'!$B$11="Confirmed",'Data entry'!$B$11="Probable")),"sx","")</f>
        <v/>
      </c>
      <c r="BZ21" t="str">
        <f>IF(AND(BZ$4='Data entry'!$R$11, OR('Data entry'!$B$11="Confirmed",'Data entry'!$B$11="Probable")),"sx","")</f>
        <v/>
      </c>
      <c r="CA21" t="str">
        <f>IF(AND(CA$4='Data entry'!$R$11, OR('Data entry'!$B$11="Confirmed",'Data entry'!$B$11="Probable")),"sx","")</f>
        <v/>
      </c>
      <c r="CB21" t="str">
        <f>IF(AND(CB$4='Data entry'!$R$11, OR('Data entry'!$B$11="Confirmed",'Data entry'!$B$11="Probable")),"sx","")</f>
        <v/>
      </c>
      <c r="CC21" t="str">
        <f>IF(AND(CC$4='Data entry'!$R$11, OR('Data entry'!$B$11="Confirmed",'Data entry'!$B$11="Probable")),"sx","")</f>
        <v/>
      </c>
    </row>
    <row r="22" spans="1:81" s="64" customFormat="1" ht="2.25" customHeight="1" thickBot="1" x14ac:dyDescent="0.25">
      <c r="A22" s="671"/>
      <c r="B22" s="672"/>
      <c r="C22" s="69"/>
    </row>
    <row r="23" spans="1:81" s="63" customFormat="1" ht="15.75" thickTop="1" x14ac:dyDescent="0.2">
      <c r="A23" s="670" t="str">
        <f>CONCATENATE(LEFT('Data entry'!J12), LEFT('Data entry'!I12))</f>
        <v/>
      </c>
      <c r="B23" s="670"/>
      <c r="C23" s="67"/>
    </row>
    <row r="24" spans="1:81" x14ac:dyDescent="0.2">
      <c r="A24" s="668" t="str">
        <f>CONCATENATE('Data entry'!B12, ", ", 'Data entry'!AO12, ", ", 'Data entry'!AR12)</f>
        <v xml:space="preserve">, , </v>
      </c>
      <c r="B24" s="668"/>
      <c r="C24" s="68"/>
      <c r="Q24" t="str">
        <f>IF(AND(Q$4='Data entry'!$R$12, OR('Data entry'!$B$12="Confirmed",'Data entry'!$B$12="Probable")),"sx","")</f>
        <v/>
      </c>
      <c r="R24" t="str">
        <f>IF(AND(R$4='Data entry'!$R$12, OR('Data entry'!$B$12="Confirmed",'Data entry'!$B$12="Probable")),"sx","")</f>
        <v/>
      </c>
      <c r="S24" t="str">
        <f>IF(AND(S$4='Data entry'!$R$12, OR('Data entry'!$B$12="Confirmed",'Data entry'!$B$12="Probable")),"sx","")</f>
        <v/>
      </c>
      <c r="T24" t="str">
        <f>IF(AND(T$4='Data entry'!$R$12, OR('Data entry'!$B$12="Confirmed",'Data entry'!$B$12="Probable")),"sx","")</f>
        <v/>
      </c>
      <c r="U24" t="str">
        <f>IF(AND(U$4='Data entry'!$R$12, OR('Data entry'!$B$12="Confirmed",'Data entry'!$B$12="Probable")),"sx","")</f>
        <v/>
      </c>
      <c r="V24" t="str">
        <f>IF(AND(V$4='Data entry'!$R$12, OR('Data entry'!$B$12="Confirmed",'Data entry'!$B$12="Probable")),"sx","")</f>
        <v/>
      </c>
      <c r="W24" t="str">
        <f>IF(AND(W$4='Data entry'!$R$12, OR('Data entry'!$B$12="Confirmed",'Data entry'!$B$12="Probable")),"sx","")</f>
        <v/>
      </c>
      <c r="X24" t="str">
        <f>IF(AND(X$4='Data entry'!$R$12, OR('Data entry'!$B$12="Confirmed",'Data entry'!$B$12="Probable")),"sx","")</f>
        <v/>
      </c>
      <c r="Y24" t="str">
        <f>IF(AND(Y$4='Data entry'!$R$12, OR('Data entry'!$B$12="Confirmed",'Data entry'!$B$12="Probable")),"sx","")</f>
        <v/>
      </c>
      <c r="Z24" t="str">
        <f>IF(AND(Z$4='Data entry'!$R$12, OR('Data entry'!$B$12="Confirmed",'Data entry'!$B$12="Probable")),"sx","")</f>
        <v/>
      </c>
      <c r="AA24" t="str">
        <f>IF(AND(AA$4='Data entry'!$R$12, OR('Data entry'!$B$12="Confirmed",'Data entry'!$B$12="Probable")),"sx","")</f>
        <v/>
      </c>
      <c r="AB24" t="str">
        <f>IF(AND(AB$4='Data entry'!$R$12, OR('Data entry'!$B$12="Confirmed",'Data entry'!$B$12="Probable")),"sx","")</f>
        <v/>
      </c>
      <c r="AC24" t="str">
        <f>IF(AND(AC$4='Data entry'!$R$12, OR('Data entry'!$B$12="Confirmed",'Data entry'!$B$12="Probable")),"sx","")</f>
        <v/>
      </c>
      <c r="AD24" t="str">
        <f>IF(AND(AD$4='Data entry'!$R$12, OR('Data entry'!$B$12="Confirmed",'Data entry'!$B$12="Probable")),"sx","")</f>
        <v/>
      </c>
      <c r="AE24" t="str">
        <f>IF(AND(AE$4='Data entry'!$R$12, OR('Data entry'!$B$12="Confirmed",'Data entry'!$B$12="Probable")),"sx","")</f>
        <v/>
      </c>
      <c r="AF24" t="str">
        <f>IF(AND(AF$4='Data entry'!$R$12, OR('Data entry'!$B$12="Confirmed",'Data entry'!$B$12="Probable")),"sx","")</f>
        <v/>
      </c>
      <c r="AG24" t="str">
        <f>IF(AND(AG$4='Data entry'!$R$12, OR('Data entry'!$B$12="Confirmed",'Data entry'!$B$12="Probable")),"sx","")</f>
        <v/>
      </c>
      <c r="AH24" t="str">
        <f>IF(AND(AH$4='Data entry'!$R$12, OR('Data entry'!$B$12="Confirmed",'Data entry'!$B$12="Probable")),"sx","")</f>
        <v/>
      </c>
      <c r="AI24" t="str">
        <f>IF(AND(AI$4='Data entry'!$R$12, OR('Data entry'!$B$12="Confirmed",'Data entry'!$B$12="Probable")),"sx","")</f>
        <v/>
      </c>
      <c r="AJ24" t="str">
        <f>IF(AND(AJ$4='Data entry'!$R$12, OR('Data entry'!$B$12="Confirmed",'Data entry'!$B$12="Probable")),"sx","")</f>
        <v/>
      </c>
      <c r="AK24" t="str">
        <f>IF(AND(AK$4='Data entry'!$R$12, OR('Data entry'!$B$12="Confirmed",'Data entry'!$B$12="Probable")),"sx","")</f>
        <v/>
      </c>
      <c r="AL24" t="str">
        <f>IF(AND(AL$4='Data entry'!$R$12, OR('Data entry'!$B$12="Confirmed",'Data entry'!$B$12="Probable")),"sx","")</f>
        <v/>
      </c>
      <c r="AM24" t="str">
        <f>IF(AND(AM$4='Data entry'!$R$12, OR('Data entry'!$B$12="Confirmed",'Data entry'!$B$12="Probable")),"sx","")</f>
        <v/>
      </c>
      <c r="AN24" t="str">
        <f>IF(AND(AN$4='Data entry'!$R$12, OR('Data entry'!$B$12="Confirmed",'Data entry'!$B$12="Probable")),"sx","")</f>
        <v/>
      </c>
      <c r="AO24" t="str">
        <f>IF(AND(AO$4='Data entry'!$R$12, OR('Data entry'!$B$12="Confirmed",'Data entry'!$B$12="Probable")),"sx","")</f>
        <v/>
      </c>
      <c r="AP24" t="str">
        <f>IF(AND(AP$4='Data entry'!$R$12, OR('Data entry'!$B$12="Confirmed",'Data entry'!$B$12="Probable")),"sx","")</f>
        <v/>
      </c>
      <c r="AQ24" t="str">
        <f>IF(AND(AQ$4='Data entry'!$R$12, OR('Data entry'!$B$12="Confirmed",'Data entry'!$B$12="Probable")),"sx","")</f>
        <v/>
      </c>
      <c r="AR24" t="str">
        <f>IF(AND(AR$4='Data entry'!$R$12, OR('Data entry'!$B$12="Confirmed",'Data entry'!$B$12="Probable")),"sx","")</f>
        <v/>
      </c>
      <c r="AS24" t="str">
        <f>IF(AND(AS$4='Data entry'!$R$12, OR('Data entry'!$B$12="Confirmed",'Data entry'!$B$12="Probable")),"sx","")</f>
        <v/>
      </c>
      <c r="AT24" t="str">
        <f>IF(AND(AT$4='Data entry'!$R$12, OR('Data entry'!$B$12="Confirmed",'Data entry'!$B$12="Probable")),"sx","")</f>
        <v/>
      </c>
      <c r="AU24" t="str">
        <f>IF(AND(AU$4='Data entry'!$R$12, OR('Data entry'!$B$12="Confirmed",'Data entry'!$B$12="Probable")),"sx","")</f>
        <v/>
      </c>
      <c r="AV24" t="str">
        <f>IF(AND(AV$4='Data entry'!$R$12, OR('Data entry'!$B$12="Confirmed",'Data entry'!$B$12="Probable")),"sx","")</f>
        <v/>
      </c>
      <c r="AW24" t="str">
        <f>IF(AND(AW$4='Data entry'!$R$12, OR('Data entry'!$B$12="Confirmed",'Data entry'!$B$12="Probable")),"sx","")</f>
        <v/>
      </c>
      <c r="AX24" t="str">
        <f>IF(AND(AX$4='Data entry'!$R$12, OR('Data entry'!$B$12="Confirmed",'Data entry'!$B$12="Probable")),"sx","")</f>
        <v/>
      </c>
      <c r="AY24" t="str">
        <f>IF(AND(AY$4='Data entry'!$R$12, OR('Data entry'!$B$12="Confirmed",'Data entry'!$B$12="Probable")),"sx","")</f>
        <v/>
      </c>
      <c r="AZ24" t="str">
        <f>IF(AND(AZ$4='Data entry'!$R$12, OR('Data entry'!$B$12="Confirmed",'Data entry'!$B$12="Probable")),"sx","")</f>
        <v/>
      </c>
      <c r="BA24" t="str">
        <f>IF(AND(BA$4='Data entry'!$R$12, OR('Data entry'!$B$12="Confirmed",'Data entry'!$B$12="Probable")),"sx","")</f>
        <v/>
      </c>
      <c r="BB24" t="str">
        <f>IF(AND(BB$4='Data entry'!$R$12, OR('Data entry'!$B$12="Confirmed",'Data entry'!$B$12="Probable")),"sx","")</f>
        <v/>
      </c>
      <c r="BC24" t="str">
        <f>IF(AND(BC$4='Data entry'!$R$12, OR('Data entry'!$B$12="Confirmed",'Data entry'!$B$12="Probable")),"sx","")</f>
        <v/>
      </c>
      <c r="BD24" t="str">
        <f>IF(AND(BD$4='Data entry'!$R$12, OR('Data entry'!$B$12="Confirmed",'Data entry'!$B$12="Probable")),"sx","")</f>
        <v/>
      </c>
      <c r="BE24" t="str">
        <f>IF(AND(BE$4='Data entry'!$R$12, OR('Data entry'!$B$12="Confirmed",'Data entry'!$B$12="Probable")),"sx","")</f>
        <v/>
      </c>
      <c r="BF24" t="str">
        <f>IF(AND(BF$4='Data entry'!$R$12, OR('Data entry'!$B$12="Confirmed",'Data entry'!$B$12="Probable")),"sx","")</f>
        <v/>
      </c>
      <c r="BG24" t="str">
        <f>IF(AND(BG$4='Data entry'!$R$12, OR('Data entry'!$B$12="Confirmed",'Data entry'!$B$12="Probable")),"sx","")</f>
        <v/>
      </c>
      <c r="BH24" t="str">
        <f>IF(AND(BH$4='Data entry'!$R$12, OR('Data entry'!$B$12="Confirmed",'Data entry'!$B$12="Probable")),"sx","")</f>
        <v/>
      </c>
      <c r="BI24" t="str">
        <f>IF(AND(BI$4='Data entry'!$R$12, OR('Data entry'!$B$12="Confirmed",'Data entry'!$B$12="Probable")),"sx","")</f>
        <v/>
      </c>
      <c r="BJ24" t="str">
        <f>IF(AND(BJ$4='Data entry'!$R$12, OR('Data entry'!$B$12="Confirmed",'Data entry'!$B$12="Probable")),"sx","")</f>
        <v/>
      </c>
      <c r="BK24" t="str">
        <f>IF(AND(BK$4='Data entry'!$R$12, OR('Data entry'!$B$12="Confirmed",'Data entry'!$B$12="Probable")),"sx","")</f>
        <v/>
      </c>
      <c r="BL24" t="str">
        <f>IF(AND(BL$4='Data entry'!$R$12, OR('Data entry'!$B$12="Confirmed",'Data entry'!$B$12="Probable")),"sx","")</f>
        <v/>
      </c>
      <c r="BM24" t="str">
        <f>IF(AND(BM$4='Data entry'!$R$12, OR('Data entry'!$B$12="Confirmed",'Data entry'!$B$12="Probable")),"sx","")</f>
        <v/>
      </c>
      <c r="BN24" t="str">
        <f>IF(AND(BN$4='Data entry'!$R$12, OR('Data entry'!$B$12="Confirmed",'Data entry'!$B$12="Probable")),"sx","")</f>
        <v/>
      </c>
      <c r="BO24" t="str">
        <f>IF(AND(BO$4='Data entry'!$R$12, OR('Data entry'!$B$12="Confirmed",'Data entry'!$B$12="Probable")),"sx","")</f>
        <v/>
      </c>
      <c r="BP24" t="str">
        <f>IF(AND(BP$4='Data entry'!$R$12, OR('Data entry'!$B$12="Confirmed",'Data entry'!$B$12="Probable")),"sx","")</f>
        <v/>
      </c>
      <c r="BQ24" t="str">
        <f>IF(AND(BQ$4='Data entry'!$R$12, OR('Data entry'!$B$12="Confirmed",'Data entry'!$B$12="Probable")),"sx","")</f>
        <v/>
      </c>
      <c r="BR24" t="str">
        <f>IF(AND(BR$4='Data entry'!$R$12, OR('Data entry'!$B$12="Confirmed",'Data entry'!$B$12="Probable")),"sx","")</f>
        <v/>
      </c>
      <c r="BS24" t="str">
        <f>IF(AND(BS$4='Data entry'!$R$12, OR('Data entry'!$B$12="Confirmed",'Data entry'!$B$12="Probable")),"sx","")</f>
        <v/>
      </c>
      <c r="BT24" t="str">
        <f>IF(AND(BT$4='Data entry'!$R$12, OR('Data entry'!$B$12="Confirmed",'Data entry'!$B$12="Probable")),"sx","")</f>
        <v/>
      </c>
      <c r="BU24" t="str">
        <f>IF(AND(BU$4='Data entry'!$R$12, OR('Data entry'!$B$12="Confirmed",'Data entry'!$B$12="Probable")),"sx","")</f>
        <v/>
      </c>
      <c r="BV24" t="str">
        <f>IF(AND(BV$4='Data entry'!$R$12, OR('Data entry'!$B$12="Confirmed",'Data entry'!$B$12="Probable")),"sx","")</f>
        <v/>
      </c>
      <c r="BW24" t="str">
        <f>IF(AND(BW$4='Data entry'!$R$12, OR('Data entry'!$B$12="Confirmed",'Data entry'!$B$12="Probable")),"sx","")</f>
        <v/>
      </c>
      <c r="BX24" t="str">
        <f>IF(AND(BX$4='Data entry'!$R$12, OR('Data entry'!$B$12="Confirmed",'Data entry'!$B$12="Probable")),"sx","")</f>
        <v/>
      </c>
      <c r="BY24" t="str">
        <f>IF(AND(BY$4='Data entry'!$R$12, OR('Data entry'!$B$12="Confirmed",'Data entry'!$B$12="Probable")),"sx","")</f>
        <v/>
      </c>
      <c r="BZ24" t="str">
        <f>IF(AND(BZ$4='Data entry'!$R$12, OR('Data entry'!$B$12="Confirmed",'Data entry'!$B$12="Probable")),"sx","")</f>
        <v/>
      </c>
      <c r="CA24" t="str">
        <f>IF(AND(CA$4='Data entry'!$R$12, OR('Data entry'!$B$12="Confirmed",'Data entry'!$B$12="Probable")),"sx","")</f>
        <v/>
      </c>
      <c r="CB24" t="str">
        <f>IF(AND(CB$4='Data entry'!$R$12, OR('Data entry'!$B$12="Confirmed",'Data entry'!$B$12="Probable")),"sx","")</f>
        <v/>
      </c>
      <c r="CC24" t="str">
        <f>IF(AND(CC$4='Data entry'!$R$12, OR('Data entry'!$B$12="Confirmed",'Data entry'!$B$12="Probable")),"sx","")</f>
        <v/>
      </c>
    </row>
    <row r="25" spans="1:81" s="64" customFormat="1" ht="2.25" customHeight="1" thickBot="1" x14ac:dyDescent="0.25">
      <c r="A25" s="671"/>
      <c r="B25" s="672"/>
      <c r="C25" s="69"/>
    </row>
    <row r="26" spans="1:81" s="63" customFormat="1" ht="15.75" thickTop="1" x14ac:dyDescent="0.2">
      <c r="A26" s="670" t="str">
        <f>CONCATENATE(LEFT('Data entry'!J13), LEFT('Data entry'!I13))</f>
        <v/>
      </c>
      <c r="B26" s="670"/>
      <c r="C26" s="67"/>
    </row>
    <row r="27" spans="1:81" x14ac:dyDescent="0.2">
      <c r="A27" s="668" t="str">
        <f>CONCATENATE('Data entry'!B13, ", ", 'Data entry'!AO13, ", ", 'Data entry'!AR13)</f>
        <v xml:space="preserve">, , </v>
      </c>
      <c r="B27" s="668"/>
      <c r="C27" s="68"/>
      <c r="Q27" t="str">
        <f>IF(AND(Q$4='Data entry'!$R$13, OR('Data entry'!$B$13="Confirmed",'Data entry'!$B$13="Probable")),"sx","")</f>
        <v/>
      </c>
      <c r="R27" t="str">
        <f>IF(AND(R$4='Data entry'!$R$13, OR('Data entry'!$B$13="Confirmed",'Data entry'!$B$13="Probable")),"sx","")</f>
        <v/>
      </c>
      <c r="S27" t="str">
        <f>IF(AND(S$4='Data entry'!$R$13, OR('Data entry'!$B$13="Confirmed",'Data entry'!$B$13="Probable")),"sx","")</f>
        <v/>
      </c>
      <c r="T27" t="str">
        <f>IF(AND(T$4='Data entry'!$R$13, OR('Data entry'!$B$13="Confirmed",'Data entry'!$B$13="Probable")),"sx","")</f>
        <v/>
      </c>
      <c r="U27" t="str">
        <f>IF(AND(U$4='Data entry'!$R$13, OR('Data entry'!$B$13="Confirmed",'Data entry'!$B$13="Probable")),"sx","")</f>
        <v/>
      </c>
      <c r="V27" t="str">
        <f>IF(AND(V$4='Data entry'!$R$13, OR('Data entry'!$B$13="Confirmed",'Data entry'!$B$13="Probable")),"sx","")</f>
        <v/>
      </c>
      <c r="W27" t="str">
        <f>IF(AND(W$4='Data entry'!$R$13, OR('Data entry'!$B$13="Confirmed",'Data entry'!$B$13="Probable")),"sx","")</f>
        <v/>
      </c>
      <c r="X27" t="str">
        <f>IF(AND(X$4='Data entry'!$R$13, OR('Data entry'!$B$13="Confirmed",'Data entry'!$B$13="Probable")),"sx","")</f>
        <v/>
      </c>
      <c r="Y27" t="str">
        <f>IF(AND(Y$4='Data entry'!$R$13, OR('Data entry'!$B$13="Confirmed",'Data entry'!$B$13="Probable")),"sx","")</f>
        <v/>
      </c>
      <c r="Z27" t="str">
        <f>IF(AND(Z$4='Data entry'!$R$13, OR('Data entry'!$B$13="Confirmed",'Data entry'!$B$13="Probable")),"sx","")</f>
        <v/>
      </c>
      <c r="AA27" t="str">
        <f>IF(AND(AA$4='Data entry'!$R$13, OR('Data entry'!$B$13="Confirmed",'Data entry'!$B$13="Probable")),"sx","")</f>
        <v/>
      </c>
      <c r="AB27" t="str">
        <f>IF(AND(AB$4='Data entry'!$R$13, OR('Data entry'!$B$13="Confirmed",'Data entry'!$B$13="Probable")),"sx","")</f>
        <v/>
      </c>
      <c r="AC27" t="str">
        <f>IF(AND(AC$4='Data entry'!$R$13, OR('Data entry'!$B$13="Confirmed",'Data entry'!$B$13="Probable")),"sx","")</f>
        <v/>
      </c>
      <c r="AD27" t="str">
        <f>IF(AND(AD$4='Data entry'!$R$13, OR('Data entry'!$B$13="Confirmed",'Data entry'!$B$13="Probable")),"sx","")</f>
        <v/>
      </c>
      <c r="AE27" t="str">
        <f>IF(AND(AE$4='Data entry'!$R$13, OR('Data entry'!$B$13="Confirmed",'Data entry'!$B$13="Probable")),"sx","")</f>
        <v/>
      </c>
      <c r="AF27" t="str">
        <f>IF(AND(AF$4='Data entry'!$R$13, OR('Data entry'!$B$13="Confirmed",'Data entry'!$B$13="Probable")),"sx","")</f>
        <v/>
      </c>
      <c r="AG27" t="str">
        <f>IF(AND(AG$4='Data entry'!$R$13, OR('Data entry'!$B$13="Confirmed",'Data entry'!$B$13="Probable")),"sx","")</f>
        <v/>
      </c>
      <c r="AH27" t="str">
        <f>IF(AND(AH$4='Data entry'!$R$13, OR('Data entry'!$B$13="Confirmed",'Data entry'!$B$13="Probable")),"sx","")</f>
        <v/>
      </c>
      <c r="AI27" t="str">
        <f>IF(AND(AI$4='Data entry'!$R$13, OR('Data entry'!$B$13="Confirmed",'Data entry'!$B$13="Probable")),"sx","")</f>
        <v/>
      </c>
      <c r="AJ27" t="str">
        <f>IF(AND(AJ$4='Data entry'!$R$13, OR('Data entry'!$B$13="Confirmed",'Data entry'!$B$13="Probable")),"sx","")</f>
        <v/>
      </c>
      <c r="AK27" t="str">
        <f>IF(AND(AK$4='Data entry'!$R$13, OR('Data entry'!$B$13="Confirmed",'Data entry'!$B$13="Probable")),"sx","")</f>
        <v/>
      </c>
      <c r="AL27" t="str">
        <f>IF(AND(AL$4='Data entry'!$R$13, OR('Data entry'!$B$13="Confirmed",'Data entry'!$B$13="Probable")),"sx","")</f>
        <v/>
      </c>
      <c r="AM27" t="str">
        <f>IF(AND(AM$4='Data entry'!$R$13, OR('Data entry'!$B$13="Confirmed",'Data entry'!$B$13="Probable")),"sx","")</f>
        <v/>
      </c>
      <c r="AN27" t="str">
        <f>IF(AND(AN$4='Data entry'!$R$13, OR('Data entry'!$B$13="Confirmed",'Data entry'!$B$13="Probable")),"sx","")</f>
        <v/>
      </c>
      <c r="AO27" t="str">
        <f>IF(AND(AO$4='Data entry'!$R$13, OR('Data entry'!$B$13="Confirmed",'Data entry'!$B$13="Probable")),"sx","")</f>
        <v/>
      </c>
      <c r="AP27" t="str">
        <f>IF(AND(AP$4='Data entry'!$R$13, OR('Data entry'!$B$13="Confirmed",'Data entry'!$B$13="Probable")),"sx","")</f>
        <v/>
      </c>
      <c r="AQ27" t="str">
        <f>IF(AND(AQ$4='Data entry'!$R$13, OR('Data entry'!$B$13="Confirmed",'Data entry'!$B$13="Probable")),"sx","")</f>
        <v/>
      </c>
      <c r="AR27" t="str">
        <f>IF(AND(AR$4='Data entry'!$R$13, OR('Data entry'!$B$13="Confirmed",'Data entry'!$B$13="Probable")),"sx","")</f>
        <v/>
      </c>
      <c r="AS27" t="str">
        <f>IF(AND(AS$4='Data entry'!$R$13, OR('Data entry'!$B$13="Confirmed",'Data entry'!$B$13="Probable")),"sx","")</f>
        <v/>
      </c>
      <c r="AT27" t="str">
        <f>IF(AND(AT$4='Data entry'!$R$13, OR('Data entry'!$B$13="Confirmed",'Data entry'!$B$13="Probable")),"sx","")</f>
        <v/>
      </c>
      <c r="AU27" t="str">
        <f>IF(AND(AU$4='Data entry'!$R$13, OR('Data entry'!$B$13="Confirmed",'Data entry'!$B$13="Probable")),"sx","")</f>
        <v/>
      </c>
      <c r="AV27" t="str">
        <f>IF(AND(AV$4='Data entry'!$R$13, OR('Data entry'!$B$13="Confirmed",'Data entry'!$B$13="Probable")),"sx","")</f>
        <v/>
      </c>
      <c r="AW27" t="str">
        <f>IF(AND(AW$4='Data entry'!$R$13, OR('Data entry'!$B$13="Confirmed",'Data entry'!$B$13="Probable")),"sx","")</f>
        <v/>
      </c>
      <c r="AX27" t="str">
        <f>IF(AND(AX$4='Data entry'!$R$13, OR('Data entry'!$B$13="Confirmed",'Data entry'!$B$13="Probable")),"sx","")</f>
        <v/>
      </c>
      <c r="AY27" t="str">
        <f>IF(AND(AY$4='Data entry'!$R$13, OR('Data entry'!$B$13="Confirmed",'Data entry'!$B$13="Probable")),"sx","")</f>
        <v/>
      </c>
      <c r="AZ27" t="str">
        <f>IF(AND(AZ$4='Data entry'!$R$13, OR('Data entry'!$B$13="Confirmed",'Data entry'!$B$13="Probable")),"sx","")</f>
        <v/>
      </c>
      <c r="BA27" t="str">
        <f>IF(AND(BA$4='Data entry'!$R$13, OR('Data entry'!$B$13="Confirmed",'Data entry'!$B$13="Probable")),"sx","")</f>
        <v/>
      </c>
      <c r="BB27" t="str">
        <f>IF(AND(BB$4='Data entry'!$R$13, OR('Data entry'!$B$13="Confirmed",'Data entry'!$B$13="Probable")),"sx","")</f>
        <v/>
      </c>
      <c r="BC27" t="str">
        <f>IF(AND(BC$4='Data entry'!$R$13, OR('Data entry'!$B$13="Confirmed",'Data entry'!$B$13="Probable")),"sx","")</f>
        <v/>
      </c>
      <c r="BD27" t="str">
        <f>IF(AND(BD$4='Data entry'!$R$13, OR('Data entry'!$B$13="Confirmed",'Data entry'!$B$13="Probable")),"sx","")</f>
        <v/>
      </c>
      <c r="BE27" t="str">
        <f>IF(AND(BE$4='Data entry'!$R$13, OR('Data entry'!$B$13="Confirmed",'Data entry'!$B$13="Probable")),"sx","")</f>
        <v/>
      </c>
      <c r="BF27" t="str">
        <f>IF(AND(BF$4='Data entry'!$R$13, OR('Data entry'!$B$13="Confirmed",'Data entry'!$B$13="Probable")),"sx","")</f>
        <v/>
      </c>
      <c r="BG27" t="str">
        <f>IF(AND(BG$4='Data entry'!$R$13, OR('Data entry'!$B$13="Confirmed",'Data entry'!$B$13="Probable")),"sx","")</f>
        <v/>
      </c>
      <c r="BH27" t="str">
        <f>IF(AND(BH$4='Data entry'!$R$13, OR('Data entry'!$B$13="Confirmed",'Data entry'!$B$13="Probable")),"sx","")</f>
        <v/>
      </c>
      <c r="BI27" t="str">
        <f>IF(AND(BI$4='Data entry'!$R$13, OR('Data entry'!$B$13="Confirmed",'Data entry'!$B$13="Probable")),"sx","")</f>
        <v/>
      </c>
      <c r="BJ27" t="str">
        <f>IF(AND(BJ$4='Data entry'!$R$13, OR('Data entry'!$B$13="Confirmed",'Data entry'!$B$13="Probable")),"sx","")</f>
        <v/>
      </c>
      <c r="BK27" t="str">
        <f>IF(AND(BK$4='Data entry'!$R$13, OR('Data entry'!$B$13="Confirmed",'Data entry'!$B$13="Probable")),"sx","")</f>
        <v/>
      </c>
      <c r="BL27" t="str">
        <f>IF(AND(BL$4='Data entry'!$R$13, OR('Data entry'!$B$13="Confirmed",'Data entry'!$B$13="Probable")),"sx","")</f>
        <v/>
      </c>
      <c r="BM27" t="str">
        <f>IF(AND(BM$4='Data entry'!$R$13, OR('Data entry'!$B$13="Confirmed",'Data entry'!$B$13="Probable")),"sx","")</f>
        <v/>
      </c>
      <c r="BN27" t="str">
        <f>IF(AND(BN$4='Data entry'!$R$13, OR('Data entry'!$B$13="Confirmed",'Data entry'!$B$13="Probable")),"sx","")</f>
        <v/>
      </c>
      <c r="BO27" t="str">
        <f>IF(AND(BO$4='Data entry'!$R$13, OR('Data entry'!$B$13="Confirmed",'Data entry'!$B$13="Probable")),"sx","")</f>
        <v/>
      </c>
      <c r="BP27" t="str">
        <f>IF(AND(BP$4='Data entry'!$R$13, OR('Data entry'!$B$13="Confirmed",'Data entry'!$B$13="Probable")),"sx","")</f>
        <v/>
      </c>
      <c r="BQ27" t="str">
        <f>IF(AND(BQ$4='Data entry'!$R$13, OR('Data entry'!$B$13="Confirmed",'Data entry'!$B$13="Probable")),"sx","")</f>
        <v/>
      </c>
      <c r="BR27" t="str">
        <f>IF(AND(BR$4='Data entry'!$R$13, OR('Data entry'!$B$13="Confirmed",'Data entry'!$B$13="Probable")),"sx","")</f>
        <v/>
      </c>
      <c r="BS27" t="str">
        <f>IF(AND(BS$4='Data entry'!$R$13, OR('Data entry'!$B$13="Confirmed",'Data entry'!$B$13="Probable")),"sx","")</f>
        <v/>
      </c>
      <c r="BT27" t="str">
        <f>IF(AND(BT$4='Data entry'!$R$13, OR('Data entry'!$B$13="Confirmed",'Data entry'!$B$13="Probable")),"sx","")</f>
        <v/>
      </c>
      <c r="BU27" t="str">
        <f>IF(AND(BU$4='Data entry'!$R$13, OR('Data entry'!$B$13="Confirmed",'Data entry'!$B$13="Probable")),"sx","")</f>
        <v/>
      </c>
      <c r="BV27" t="str">
        <f>IF(AND(BV$4='Data entry'!$R$13, OR('Data entry'!$B$13="Confirmed",'Data entry'!$B$13="Probable")),"sx","")</f>
        <v/>
      </c>
      <c r="BW27" t="str">
        <f>IF(AND(BW$4='Data entry'!$R$13, OR('Data entry'!$B$13="Confirmed",'Data entry'!$B$13="Probable")),"sx","")</f>
        <v/>
      </c>
      <c r="BX27" t="str">
        <f>IF(AND(BX$4='Data entry'!$R$13, OR('Data entry'!$B$13="Confirmed",'Data entry'!$B$13="Probable")),"sx","")</f>
        <v/>
      </c>
      <c r="BY27" t="str">
        <f>IF(AND(BY$4='Data entry'!$R$13, OR('Data entry'!$B$13="Confirmed",'Data entry'!$B$13="Probable")),"sx","")</f>
        <v/>
      </c>
      <c r="BZ27" t="str">
        <f>IF(AND(BZ$4='Data entry'!$R$13, OR('Data entry'!$B$13="Confirmed",'Data entry'!$B$13="Probable")),"sx","")</f>
        <v/>
      </c>
      <c r="CA27" t="str">
        <f>IF(AND(CA$4='Data entry'!$R$13, OR('Data entry'!$B$13="Confirmed",'Data entry'!$B$13="Probable")),"sx","")</f>
        <v/>
      </c>
      <c r="CB27" t="str">
        <f>IF(AND(CB$4='Data entry'!$R$13, OR('Data entry'!$B$13="Confirmed",'Data entry'!$B$13="Probable")),"sx","")</f>
        <v/>
      </c>
      <c r="CC27" t="str">
        <f>IF(AND(CC$4='Data entry'!$R$13, OR('Data entry'!$B$13="Confirmed",'Data entry'!$B$13="Probable")),"sx","")</f>
        <v/>
      </c>
    </row>
    <row r="28" spans="1:81" s="64" customFormat="1" ht="2.25" customHeight="1" thickBot="1" x14ac:dyDescent="0.25">
      <c r="A28" s="671"/>
      <c r="B28" s="672"/>
      <c r="C28" s="69"/>
    </row>
    <row r="29" spans="1:81" s="63" customFormat="1" ht="15.75" thickTop="1" x14ac:dyDescent="0.2">
      <c r="A29" s="670" t="str">
        <f>CONCATENATE(LEFT('Data entry'!J14), LEFT('Data entry'!I14))</f>
        <v/>
      </c>
      <c r="B29" s="670"/>
      <c r="C29" s="67"/>
    </row>
    <row r="30" spans="1:81" x14ac:dyDescent="0.2">
      <c r="A30" s="668" t="str">
        <f>CONCATENATE('Data entry'!B14, ", ", 'Data entry'!AO14, ", ", 'Data entry'!AR14)</f>
        <v xml:space="preserve">, , </v>
      </c>
      <c r="B30" s="668"/>
      <c r="C30" s="68"/>
      <c r="Q30" t="str">
        <f>IF(AND(Q$4='Data entry'!$R$14, OR('Data entry'!$B$14="Confirmed",'Data entry'!$B$14="Probable")),"sx","")</f>
        <v/>
      </c>
      <c r="R30" t="str">
        <f>IF(AND(R$4='Data entry'!$R$14, OR('Data entry'!$B$14="Confirmed",'Data entry'!$B$14="Probable")),"sx","")</f>
        <v/>
      </c>
      <c r="S30" t="str">
        <f>IF(AND(S$4='Data entry'!$R$14, OR('Data entry'!$B$14="Confirmed",'Data entry'!$B$14="Probable")),"sx","")</f>
        <v/>
      </c>
      <c r="T30" t="str">
        <f>IF(AND(T$4='Data entry'!$R$14, OR('Data entry'!$B$14="Confirmed",'Data entry'!$B$14="Probable")),"sx","")</f>
        <v/>
      </c>
      <c r="U30" t="str">
        <f>IF(AND(U$4='Data entry'!$R$14, OR('Data entry'!$B$14="Confirmed",'Data entry'!$B$14="Probable")),"sx","")</f>
        <v/>
      </c>
      <c r="V30" t="str">
        <f>IF(AND(V$4='Data entry'!$R$14, OR('Data entry'!$B$14="Confirmed",'Data entry'!$B$14="Probable")),"sx","")</f>
        <v/>
      </c>
      <c r="W30" t="str">
        <f>IF(AND(W$4='Data entry'!$R$14, OR('Data entry'!$B$14="Confirmed",'Data entry'!$B$14="Probable")),"sx","")</f>
        <v/>
      </c>
      <c r="X30" t="str">
        <f>IF(AND(X$4='Data entry'!$R$14, OR('Data entry'!$B$14="Confirmed",'Data entry'!$B$14="Probable")),"sx","")</f>
        <v/>
      </c>
      <c r="Y30" t="str">
        <f>IF(AND(Y$4='Data entry'!$R$14, OR('Data entry'!$B$14="Confirmed",'Data entry'!$B$14="Probable")),"sx","")</f>
        <v/>
      </c>
      <c r="Z30" t="str">
        <f>IF(AND(Z$4='Data entry'!$R$14, OR('Data entry'!$B$14="Confirmed",'Data entry'!$B$14="Probable")),"sx","")</f>
        <v/>
      </c>
      <c r="AA30" t="str">
        <f>IF(AND(AA$4='Data entry'!$R$14, OR('Data entry'!$B$14="Confirmed",'Data entry'!$B$14="Probable")),"sx","")</f>
        <v/>
      </c>
      <c r="AB30" t="str">
        <f>IF(AND(AB$4='Data entry'!$R$14, OR('Data entry'!$B$14="Confirmed",'Data entry'!$B$14="Probable")),"sx","")</f>
        <v/>
      </c>
      <c r="AC30" t="str">
        <f>IF(AND(AC$4='Data entry'!$R$14, OR('Data entry'!$B$14="Confirmed",'Data entry'!$B$14="Probable")),"sx","")</f>
        <v/>
      </c>
      <c r="AD30" t="str">
        <f>IF(AND(AD$4='Data entry'!$R$14, OR('Data entry'!$B$14="Confirmed",'Data entry'!$B$14="Probable")),"sx","")</f>
        <v/>
      </c>
      <c r="AE30" t="str">
        <f>IF(AND(AE$4='Data entry'!$R$14, OR('Data entry'!$B$14="Confirmed",'Data entry'!$B$14="Probable")),"sx","")</f>
        <v/>
      </c>
      <c r="AF30" t="str">
        <f>IF(AND(AF$4='Data entry'!$R$14, OR('Data entry'!$B$14="Confirmed",'Data entry'!$B$14="Probable")),"sx","")</f>
        <v/>
      </c>
      <c r="AG30" t="str">
        <f>IF(AND(AG$4='Data entry'!$R$14, OR('Data entry'!$B$14="Confirmed",'Data entry'!$B$14="Probable")),"sx","")</f>
        <v/>
      </c>
      <c r="AH30" t="str">
        <f>IF(AND(AH$4='Data entry'!$R$14, OR('Data entry'!$B$14="Confirmed",'Data entry'!$B$14="Probable")),"sx","")</f>
        <v/>
      </c>
      <c r="AI30" t="str">
        <f>IF(AND(AI$4='Data entry'!$R$14, OR('Data entry'!$B$14="Confirmed",'Data entry'!$B$14="Probable")),"sx","")</f>
        <v/>
      </c>
      <c r="AJ30" t="str">
        <f>IF(AND(AJ$4='Data entry'!$R$14, OR('Data entry'!$B$14="Confirmed",'Data entry'!$B$14="Probable")),"sx","")</f>
        <v/>
      </c>
      <c r="AK30" t="str">
        <f>IF(AND(AK$4='Data entry'!$R$14, OR('Data entry'!$B$14="Confirmed",'Data entry'!$B$14="Probable")),"sx","")</f>
        <v/>
      </c>
      <c r="AL30" t="str">
        <f>IF(AND(AL$4='Data entry'!$R$14, OR('Data entry'!$B$14="Confirmed",'Data entry'!$B$14="Probable")),"sx","")</f>
        <v/>
      </c>
      <c r="AM30" t="str">
        <f>IF(AND(AM$4='Data entry'!$R$14, OR('Data entry'!$B$14="Confirmed",'Data entry'!$B$14="Probable")),"sx","")</f>
        <v/>
      </c>
      <c r="AN30" t="str">
        <f>IF(AND(AN$4='Data entry'!$R$14, OR('Data entry'!$B$14="Confirmed",'Data entry'!$B$14="Probable")),"sx","")</f>
        <v/>
      </c>
      <c r="AO30" t="str">
        <f>IF(AND(AO$4='Data entry'!$R$14, OR('Data entry'!$B$14="Confirmed",'Data entry'!$B$14="Probable")),"sx","")</f>
        <v/>
      </c>
      <c r="AP30" t="str">
        <f>IF(AND(AP$4='Data entry'!$R$14, OR('Data entry'!$B$14="Confirmed",'Data entry'!$B$14="Probable")),"sx","")</f>
        <v/>
      </c>
      <c r="AQ30" t="str">
        <f>IF(AND(AQ$4='Data entry'!$R$14, OR('Data entry'!$B$14="Confirmed",'Data entry'!$B$14="Probable")),"sx","")</f>
        <v/>
      </c>
      <c r="AR30" t="str">
        <f>IF(AND(AR$4='Data entry'!$R$14, OR('Data entry'!$B$14="Confirmed",'Data entry'!$B$14="Probable")),"sx","")</f>
        <v/>
      </c>
      <c r="AS30" t="str">
        <f>IF(AND(AS$4='Data entry'!$R$14, OR('Data entry'!$B$14="Confirmed",'Data entry'!$B$14="Probable")),"sx","")</f>
        <v/>
      </c>
      <c r="AT30" t="str">
        <f>IF(AND(AT$4='Data entry'!$R$14, OR('Data entry'!$B$14="Confirmed",'Data entry'!$B$14="Probable")),"sx","")</f>
        <v/>
      </c>
      <c r="AU30" t="str">
        <f>IF(AND(AU$4='Data entry'!$R$14, OR('Data entry'!$B$14="Confirmed",'Data entry'!$B$14="Probable")),"sx","")</f>
        <v/>
      </c>
      <c r="AV30" t="str">
        <f>IF(AND(AV$4='Data entry'!$R$14, OR('Data entry'!$B$14="Confirmed",'Data entry'!$B$14="Probable")),"sx","")</f>
        <v/>
      </c>
      <c r="AW30" t="str">
        <f>IF(AND(AW$4='Data entry'!$R$14, OR('Data entry'!$B$14="Confirmed",'Data entry'!$B$14="Probable")),"sx","")</f>
        <v/>
      </c>
      <c r="AX30" t="str">
        <f>IF(AND(AX$4='Data entry'!$R$14, OR('Data entry'!$B$14="Confirmed",'Data entry'!$B$14="Probable")),"sx","")</f>
        <v/>
      </c>
      <c r="AY30" t="str">
        <f>IF(AND(AY$4='Data entry'!$R$14, OR('Data entry'!$B$14="Confirmed",'Data entry'!$B$14="Probable")),"sx","")</f>
        <v/>
      </c>
      <c r="AZ30" t="str">
        <f>IF(AND(AZ$4='Data entry'!$R$14, OR('Data entry'!$B$14="Confirmed",'Data entry'!$B$14="Probable")),"sx","")</f>
        <v/>
      </c>
      <c r="BA30" t="str">
        <f>IF(AND(BA$4='Data entry'!$R$14, OR('Data entry'!$B$14="Confirmed",'Data entry'!$B$14="Probable")),"sx","")</f>
        <v/>
      </c>
      <c r="BB30" t="str">
        <f>IF(AND(BB$4='Data entry'!$R$14, OR('Data entry'!$B$14="Confirmed",'Data entry'!$B$14="Probable")),"sx","")</f>
        <v/>
      </c>
      <c r="BC30" t="str">
        <f>IF(AND(BC$4='Data entry'!$R$14, OR('Data entry'!$B$14="Confirmed",'Data entry'!$B$14="Probable")),"sx","")</f>
        <v/>
      </c>
      <c r="BD30" t="str">
        <f>IF(AND(BD$4='Data entry'!$R$14, OR('Data entry'!$B$14="Confirmed",'Data entry'!$B$14="Probable")),"sx","")</f>
        <v/>
      </c>
      <c r="BE30" t="str">
        <f>IF(AND(BE$4='Data entry'!$R$14, OR('Data entry'!$B$14="Confirmed",'Data entry'!$B$14="Probable")),"sx","")</f>
        <v/>
      </c>
      <c r="BF30" t="str">
        <f>IF(AND(BF$4='Data entry'!$R$14, OR('Data entry'!$B$14="Confirmed",'Data entry'!$B$14="Probable")),"sx","")</f>
        <v/>
      </c>
      <c r="BG30" t="str">
        <f>IF(AND(BG$4='Data entry'!$R$14, OR('Data entry'!$B$14="Confirmed",'Data entry'!$B$14="Probable")),"sx","")</f>
        <v/>
      </c>
      <c r="BH30" t="str">
        <f>IF(AND(BH$4='Data entry'!$R$14, OR('Data entry'!$B$14="Confirmed",'Data entry'!$B$14="Probable")),"sx","")</f>
        <v/>
      </c>
      <c r="BI30" t="str">
        <f>IF(AND(BI$4='Data entry'!$R$14, OR('Data entry'!$B$14="Confirmed",'Data entry'!$B$14="Probable")),"sx","")</f>
        <v/>
      </c>
      <c r="BJ30" t="str">
        <f>IF(AND(BJ$4='Data entry'!$R$14, OR('Data entry'!$B$14="Confirmed",'Data entry'!$B$14="Probable")),"sx","")</f>
        <v/>
      </c>
      <c r="BK30" t="str">
        <f>IF(AND(BK$4='Data entry'!$R$14, OR('Data entry'!$B$14="Confirmed",'Data entry'!$B$14="Probable")),"sx","")</f>
        <v/>
      </c>
      <c r="BL30" t="str">
        <f>IF(AND(BL$4='Data entry'!$R$14, OR('Data entry'!$B$14="Confirmed",'Data entry'!$B$14="Probable")),"sx","")</f>
        <v/>
      </c>
      <c r="BM30" t="str">
        <f>IF(AND(BM$4='Data entry'!$R$14, OR('Data entry'!$B$14="Confirmed",'Data entry'!$B$14="Probable")),"sx","")</f>
        <v/>
      </c>
      <c r="BN30" t="str">
        <f>IF(AND(BN$4='Data entry'!$R$14, OR('Data entry'!$B$14="Confirmed",'Data entry'!$B$14="Probable")),"sx","")</f>
        <v/>
      </c>
      <c r="BO30" t="str">
        <f>IF(AND(BO$4='Data entry'!$R$14, OR('Data entry'!$B$14="Confirmed",'Data entry'!$B$14="Probable")),"sx","")</f>
        <v/>
      </c>
      <c r="BP30" t="str">
        <f>IF(AND(BP$4='Data entry'!$R$14, OR('Data entry'!$B$14="Confirmed",'Data entry'!$B$14="Probable")),"sx","")</f>
        <v/>
      </c>
      <c r="BQ30" t="str">
        <f>IF(AND(BQ$4='Data entry'!$R$14, OR('Data entry'!$B$14="Confirmed",'Data entry'!$B$14="Probable")),"sx","")</f>
        <v/>
      </c>
      <c r="BR30" t="str">
        <f>IF(AND(BR$4='Data entry'!$R$14, OR('Data entry'!$B$14="Confirmed",'Data entry'!$B$14="Probable")),"sx","")</f>
        <v/>
      </c>
      <c r="BS30" t="str">
        <f>IF(AND(BS$4='Data entry'!$R$14, OR('Data entry'!$B$14="Confirmed",'Data entry'!$B$14="Probable")),"sx","")</f>
        <v/>
      </c>
      <c r="BT30" t="str">
        <f>IF(AND(BT$4='Data entry'!$R$14, OR('Data entry'!$B$14="Confirmed",'Data entry'!$B$14="Probable")),"sx","")</f>
        <v/>
      </c>
      <c r="BU30" t="str">
        <f>IF(AND(BU$4='Data entry'!$R$14, OR('Data entry'!$B$14="Confirmed",'Data entry'!$B$14="Probable")),"sx","")</f>
        <v/>
      </c>
      <c r="BV30" t="str">
        <f>IF(AND(BV$4='Data entry'!$R$14, OR('Data entry'!$B$14="Confirmed",'Data entry'!$B$14="Probable")),"sx","")</f>
        <v/>
      </c>
      <c r="BW30" t="str">
        <f>IF(AND(BW$4='Data entry'!$R$14, OR('Data entry'!$B$14="Confirmed",'Data entry'!$B$14="Probable")),"sx","")</f>
        <v/>
      </c>
      <c r="BX30" t="str">
        <f>IF(AND(BX$4='Data entry'!$R$14, OR('Data entry'!$B$14="Confirmed",'Data entry'!$B$14="Probable")),"sx","")</f>
        <v/>
      </c>
      <c r="BY30" t="str">
        <f>IF(AND(BY$4='Data entry'!$R$14, OR('Data entry'!$B$14="Confirmed",'Data entry'!$B$14="Probable")),"sx","")</f>
        <v/>
      </c>
      <c r="BZ30" t="str">
        <f>IF(AND(BZ$4='Data entry'!$R$14, OR('Data entry'!$B$14="Confirmed",'Data entry'!$B$14="Probable")),"sx","")</f>
        <v/>
      </c>
      <c r="CA30" t="str">
        <f>IF(AND(CA$4='Data entry'!$R$14, OR('Data entry'!$B$14="Confirmed",'Data entry'!$B$14="Probable")),"sx","")</f>
        <v/>
      </c>
      <c r="CB30" t="str">
        <f>IF(AND(CB$4='Data entry'!$R$14, OR('Data entry'!$B$14="Confirmed",'Data entry'!$B$14="Probable")),"sx","")</f>
        <v/>
      </c>
      <c r="CC30" t="str">
        <f>IF(AND(CC$4='Data entry'!$R$14, OR('Data entry'!$B$14="Confirmed",'Data entry'!$B$14="Probable")),"sx","")</f>
        <v/>
      </c>
    </row>
    <row r="31" spans="1:81" s="64" customFormat="1" ht="2.25" customHeight="1" thickBot="1" x14ac:dyDescent="0.25">
      <c r="A31" s="671"/>
      <c r="B31" s="672"/>
      <c r="C31" s="69"/>
    </row>
    <row r="32" spans="1:81" s="63" customFormat="1" ht="15.75" thickTop="1" x14ac:dyDescent="0.2">
      <c r="A32" s="670" t="str">
        <f>CONCATENATE(LEFT('Data entry'!J15), LEFT('Data entry'!I15))</f>
        <v/>
      </c>
      <c r="B32" s="670"/>
      <c r="C32" s="67"/>
    </row>
    <row r="33" spans="1:81" x14ac:dyDescent="0.2">
      <c r="A33" s="668" t="str">
        <f>CONCATENATE('Data entry'!B15, ", ", 'Data entry'!AO15, ", ", 'Data entry'!AR15)</f>
        <v xml:space="preserve">, , </v>
      </c>
      <c r="B33" s="668"/>
      <c r="C33" s="68"/>
      <c r="Q33" t="str">
        <f>IF(AND(Q$4='Data entry'!$R$15, OR('Data entry'!$B$15="Confirmed",'Data entry'!$B$15="Probable")),"sx","")</f>
        <v/>
      </c>
      <c r="R33" t="str">
        <f>IF(AND(R$4='Data entry'!$R$15, OR('Data entry'!$B$15="Confirmed",'Data entry'!$B$15="Probable")),"sx","")</f>
        <v/>
      </c>
      <c r="S33" t="str">
        <f>IF(AND(S$4='Data entry'!$R$15, OR('Data entry'!$B$15="Confirmed",'Data entry'!$B$15="Probable")),"sx","")</f>
        <v/>
      </c>
      <c r="T33" t="str">
        <f>IF(AND(T$4='Data entry'!$R$15, OR('Data entry'!$B$15="Confirmed",'Data entry'!$B$15="Probable")),"sx","")</f>
        <v/>
      </c>
      <c r="U33" t="str">
        <f>IF(AND(U$4='Data entry'!$R$15, OR('Data entry'!$B$15="Confirmed",'Data entry'!$B$15="Probable")),"sx","")</f>
        <v/>
      </c>
      <c r="V33" t="str">
        <f>IF(AND(V$4='Data entry'!$R$15, OR('Data entry'!$B$15="Confirmed",'Data entry'!$B$15="Probable")),"sx","")</f>
        <v/>
      </c>
      <c r="W33" t="str">
        <f>IF(AND(W$4='Data entry'!$R$15, OR('Data entry'!$B$15="Confirmed",'Data entry'!$B$15="Probable")),"sx","")</f>
        <v/>
      </c>
      <c r="X33" t="str">
        <f>IF(AND(X$4='Data entry'!$R$15, OR('Data entry'!$B$15="Confirmed",'Data entry'!$B$15="Probable")),"sx","")</f>
        <v/>
      </c>
      <c r="Y33" t="str">
        <f>IF(AND(Y$4='Data entry'!$R$15, OR('Data entry'!$B$15="Confirmed",'Data entry'!$B$15="Probable")),"sx","")</f>
        <v/>
      </c>
      <c r="Z33" t="str">
        <f>IF(AND(Z$4='Data entry'!$R$15, OR('Data entry'!$B$15="Confirmed",'Data entry'!$B$15="Probable")),"sx","")</f>
        <v/>
      </c>
      <c r="AA33" t="str">
        <f>IF(AND(AA$4='Data entry'!$R$15, OR('Data entry'!$B$15="Confirmed",'Data entry'!$B$15="Probable")),"sx","")</f>
        <v/>
      </c>
      <c r="AB33" t="str">
        <f>IF(AND(AB$4='Data entry'!$R$15, OR('Data entry'!$B$15="Confirmed",'Data entry'!$B$15="Probable")),"sx","")</f>
        <v/>
      </c>
      <c r="AC33" t="str">
        <f>IF(AND(AC$4='Data entry'!$R$15, OR('Data entry'!$B$15="Confirmed",'Data entry'!$B$15="Probable")),"sx","")</f>
        <v/>
      </c>
      <c r="AD33" t="str">
        <f>IF(AND(AD$4='Data entry'!$R$15, OR('Data entry'!$B$15="Confirmed",'Data entry'!$B$15="Probable")),"sx","")</f>
        <v/>
      </c>
      <c r="AE33" t="str">
        <f>IF(AND(AE$4='Data entry'!$R$15, OR('Data entry'!$B$15="Confirmed",'Data entry'!$B$15="Probable")),"sx","")</f>
        <v/>
      </c>
      <c r="AF33" t="str">
        <f>IF(AND(AF$4='Data entry'!$R$15, OR('Data entry'!$B$15="Confirmed",'Data entry'!$B$15="Probable")),"sx","")</f>
        <v/>
      </c>
      <c r="AG33" t="str">
        <f>IF(AND(AG$4='Data entry'!$R$15, OR('Data entry'!$B$15="Confirmed",'Data entry'!$B$15="Probable")),"sx","")</f>
        <v/>
      </c>
      <c r="AH33" t="str">
        <f>IF(AND(AH$4='Data entry'!$R$15, OR('Data entry'!$B$15="Confirmed",'Data entry'!$B$15="Probable")),"sx","")</f>
        <v/>
      </c>
      <c r="AI33" t="str">
        <f>IF(AND(AI$4='Data entry'!$R$15, OR('Data entry'!$B$15="Confirmed",'Data entry'!$B$15="Probable")),"sx","")</f>
        <v/>
      </c>
      <c r="AJ33" t="str">
        <f>IF(AND(AJ$4='Data entry'!$R$15, OR('Data entry'!$B$15="Confirmed",'Data entry'!$B$15="Probable")),"sx","")</f>
        <v/>
      </c>
      <c r="AK33" t="str">
        <f>IF(AND(AK$4='Data entry'!$R$15, OR('Data entry'!$B$15="Confirmed",'Data entry'!$B$15="Probable")),"sx","")</f>
        <v/>
      </c>
      <c r="AL33" t="str">
        <f>IF(AND(AL$4='Data entry'!$R$15, OR('Data entry'!$B$15="Confirmed",'Data entry'!$B$15="Probable")),"sx","")</f>
        <v/>
      </c>
      <c r="AM33" t="str">
        <f>IF(AND(AM$4='Data entry'!$R$15, OR('Data entry'!$B$15="Confirmed",'Data entry'!$B$15="Probable")),"sx","")</f>
        <v/>
      </c>
      <c r="AN33" t="str">
        <f>IF(AND(AN$4='Data entry'!$R$15, OR('Data entry'!$B$15="Confirmed",'Data entry'!$B$15="Probable")),"sx","")</f>
        <v/>
      </c>
      <c r="AO33" t="str">
        <f>IF(AND(AO$4='Data entry'!$R$15, OR('Data entry'!$B$15="Confirmed",'Data entry'!$B$15="Probable")),"sx","")</f>
        <v/>
      </c>
      <c r="AP33" t="str">
        <f>IF(AND(AP$4='Data entry'!$R$15, OR('Data entry'!$B$15="Confirmed",'Data entry'!$B$15="Probable")),"sx","")</f>
        <v/>
      </c>
      <c r="AQ33" t="str">
        <f>IF(AND(AQ$4='Data entry'!$R$15, OR('Data entry'!$B$15="Confirmed",'Data entry'!$B$15="Probable")),"sx","")</f>
        <v/>
      </c>
      <c r="AR33" t="str">
        <f>IF(AND(AR$4='Data entry'!$R$15, OR('Data entry'!$B$15="Confirmed",'Data entry'!$B$15="Probable")),"sx","")</f>
        <v/>
      </c>
      <c r="AS33" t="str">
        <f>IF(AND(AS$4='Data entry'!$R$15, OR('Data entry'!$B$15="Confirmed",'Data entry'!$B$15="Probable")),"sx","")</f>
        <v/>
      </c>
      <c r="AT33" t="str">
        <f>IF(AND(AT$4='Data entry'!$R$15, OR('Data entry'!$B$15="Confirmed",'Data entry'!$B$15="Probable")),"sx","")</f>
        <v/>
      </c>
      <c r="AU33" t="str">
        <f>IF(AND(AU$4='Data entry'!$R$15, OR('Data entry'!$B$15="Confirmed",'Data entry'!$B$15="Probable")),"sx","")</f>
        <v/>
      </c>
      <c r="AV33" t="str">
        <f>IF(AND(AV$4='Data entry'!$R$15, OR('Data entry'!$B$15="Confirmed",'Data entry'!$B$15="Probable")),"sx","")</f>
        <v/>
      </c>
      <c r="AW33" t="str">
        <f>IF(AND(AW$4='Data entry'!$R$15, OR('Data entry'!$B$15="Confirmed",'Data entry'!$B$15="Probable")),"sx","")</f>
        <v/>
      </c>
      <c r="AX33" t="str">
        <f>IF(AND(AX$4='Data entry'!$R$15, OR('Data entry'!$B$15="Confirmed",'Data entry'!$B$15="Probable")),"sx","")</f>
        <v/>
      </c>
      <c r="AY33" t="str">
        <f>IF(AND(AY$4='Data entry'!$R$15, OR('Data entry'!$B$15="Confirmed",'Data entry'!$B$15="Probable")),"sx","")</f>
        <v/>
      </c>
      <c r="AZ33" t="str">
        <f>IF(AND(AZ$4='Data entry'!$R$15, OR('Data entry'!$B$15="Confirmed",'Data entry'!$B$15="Probable")),"sx","")</f>
        <v/>
      </c>
      <c r="BA33" t="str">
        <f>IF(AND(BA$4='Data entry'!$R$15, OR('Data entry'!$B$15="Confirmed",'Data entry'!$B$15="Probable")),"sx","")</f>
        <v/>
      </c>
      <c r="BB33" t="str">
        <f>IF(AND(BB$4='Data entry'!$R$15, OR('Data entry'!$B$15="Confirmed",'Data entry'!$B$15="Probable")),"sx","")</f>
        <v/>
      </c>
      <c r="BC33" t="str">
        <f>IF(AND(BC$4='Data entry'!$R$15, OR('Data entry'!$B$15="Confirmed",'Data entry'!$B$15="Probable")),"sx","")</f>
        <v/>
      </c>
      <c r="BD33" t="str">
        <f>IF(AND(BD$4='Data entry'!$R$15, OR('Data entry'!$B$15="Confirmed",'Data entry'!$B$15="Probable")),"sx","")</f>
        <v/>
      </c>
      <c r="BE33" t="str">
        <f>IF(AND(BE$4='Data entry'!$R$15, OR('Data entry'!$B$15="Confirmed",'Data entry'!$B$15="Probable")),"sx","")</f>
        <v/>
      </c>
      <c r="BF33" t="str">
        <f>IF(AND(BF$4='Data entry'!$R$15, OR('Data entry'!$B$15="Confirmed",'Data entry'!$B$15="Probable")),"sx","")</f>
        <v/>
      </c>
      <c r="BG33" t="str">
        <f>IF(AND(BG$4='Data entry'!$R$15, OR('Data entry'!$B$15="Confirmed",'Data entry'!$B$15="Probable")),"sx","")</f>
        <v/>
      </c>
      <c r="BH33" t="str">
        <f>IF(AND(BH$4='Data entry'!$R$15, OR('Data entry'!$B$15="Confirmed",'Data entry'!$B$15="Probable")),"sx","")</f>
        <v/>
      </c>
      <c r="BI33" t="str">
        <f>IF(AND(BI$4='Data entry'!$R$15, OR('Data entry'!$B$15="Confirmed",'Data entry'!$B$15="Probable")),"sx","")</f>
        <v/>
      </c>
      <c r="BJ33" t="str">
        <f>IF(AND(BJ$4='Data entry'!$R$15, OR('Data entry'!$B$15="Confirmed",'Data entry'!$B$15="Probable")),"sx","")</f>
        <v/>
      </c>
      <c r="BK33" t="str">
        <f>IF(AND(BK$4='Data entry'!$R$15, OR('Data entry'!$B$15="Confirmed",'Data entry'!$B$15="Probable")),"sx","")</f>
        <v/>
      </c>
      <c r="BL33" t="str">
        <f>IF(AND(BL$4='Data entry'!$R$15, OR('Data entry'!$B$15="Confirmed",'Data entry'!$B$15="Probable")),"sx","")</f>
        <v/>
      </c>
      <c r="BM33" t="str">
        <f>IF(AND(BM$4='Data entry'!$R$15, OR('Data entry'!$B$15="Confirmed",'Data entry'!$B$15="Probable")),"sx","")</f>
        <v/>
      </c>
      <c r="BN33" t="str">
        <f>IF(AND(BN$4='Data entry'!$R$15, OR('Data entry'!$B$15="Confirmed",'Data entry'!$B$15="Probable")),"sx","")</f>
        <v/>
      </c>
      <c r="BO33" t="str">
        <f>IF(AND(BO$4='Data entry'!$R$15, OR('Data entry'!$B$15="Confirmed",'Data entry'!$B$15="Probable")),"sx","")</f>
        <v/>
      </c>
      <c r="BP33" t="str">
        <f>IF(AND(BP$4='Data entry'!$R$15, OR('Data entry'!$B$15="Confirmed",'Data entry'!$B$15="Probable")),"sx","")</f>
        <v/>
      </c>
      <c r="BQ33" t="str">
        <f>IF(AND(BQ$4='Data entry'!$R$15, OR('Data entry'!$B$15="Confirmed",'Data entry'!$B$15="Probable")),"sx","")</f>
        <v/>
      </c>
      <c r="BR33" t="str">
        <f>IF(AND(BR$4='Data entry'!$R$15, OR('Data entry'!$B$15="Confirmed",'Data entry'!$B$15="Probable")),"sx","")</f>
        <v/>
      </c>
      <c r="BS33" t="str">
        <f>IF(AND(BS$4='Data entry'!$R$15, OR('Data entry'!$B$15="Confirmed",'Data entry'!$B$15="Probable")),"sx","")</f>
        <v/>
      </c>
      <c r="BT33" t="str">
        <f>IF(AND(BT$4='Data entry'!$R$15, OR('Data entry'!$B$15="Confirmed",'Data entry'!$B$15="Probable")),"sx","")</f>
        <v/>
      </c>
      <c r="BU33" t="str">
        <f>IF(AND(BU$4='Data entry'!$R$15, OR('Data entry'!$B$15="Confirmed",'Data entry'!$B$15="Probable")),"sx","")</f>
        <v/>
      </c>
      <c r="BV33" t="str">
        <f>IF(AND(BV$4='Data entry'!$R$15, OR('Data entry'!$B$15="Confirmed",'Data entry'!$B$15="Probable")),"sx","")</f>
        <v/>
      </c>
      <c r="BW33" t="str">
        <f>IF(AND(BW$4='Data entry'!$R$15, OR('Data entry'!$B$15="Confirmed",'Data entry'!$B$15="Probable")),"sx","")</f>
        <v/>
      </c>
      <c r="BX33" t="str">
        <f>IF(AND(BX$4='Data entry'!$R$15, OR('Data entry'!$B$15="Confirmed",'Data entry'!$B$15="Probable")),"sx","")</f>
        <v/>
      </c>
      <c r="BY33" t="str">
        <f>IF(AND(BY$4='Data entry'!$R$15, OR('Data entry'!$B$15="Confirmed",'Data entry'!$B$15="Probable")),"sx","")</f>
        <v/>
      </c>
      <c r="BZ33" t="str">
        <f>IF(AND(BZ$4='Data entry'!$R$15, OR('Data entry'!$B$15="Confirmed",'Data entry'!$B$15="Probable")),"sx","")</f>
        <v/>
      </c>
      <c r="CA33" t="str">
        <f>IF(AND(CA$4='Data entry'!$R$15, OR('Data entry'!$B$15="Confirmed",'Data entry'!$B$15="Probable")),"sx","")</f>
        <v/>
      </c>
      <c r="CB33" t="str">
        <f>IF(AND(CB$4='Data entry'!$R$15, OR('Data entry'!$B$15="Confirmed",'Data entry'!$B$15="Probable")),"sx","")</f>
        <v/>
      </c>
      <c r="CC33" t="str">
        <f>IF(AND(CC$4='Data entry'!$R$15, OR('Data entry'!$B$15="Confirmed",'Data entry'!$B$15="Probable")),"sx","")</f>
        <v/>
      </c>
    </row>
    <row r="34" spans="1:81" s="64" customFormat="1" ht="2.25" customHeight="1" thickBot="1" x14ac:dyDescent="0.25">
      <c r="A34" s="671"/>
      <c r="B34" s="672"/>
      <c r="C34" s="69"/>
    </row>
    <row r="35" spans="1:81" s="63" customFormat="1" ht="15.75" thickTop="1" x14ac:dyDescent="0.2">
      <c r="A35" s="670" t="str">
        <f>CONCATENATE('Data entry'!J16, " ", 'Data entry'!I16)</f>
        <v xml:space="preserve"> </v>
      </c>
      <c r="B35" s="670"/>
      <c r="C35" s="67"/>
    </row>
    <row r="36" spans="1:81" x14ac:dyDescent="0.2">
      <c r="A36" s="668" t="str">
        <f>CONCATENATE('Data entry'!B16, ", ", 'Data entry'!AO16, ", ", 'Data entry'!AR16)</f>
        <v xml:space="preserve">, , </v>
      </c>
      <c r="B36" s="668"/>
      <c r="C36" s="68"/>
      <c r="Q36" t="str">
        <f>IF(AND(Q$4='Data entry'!$R$16, OR('Data entry'!$B$16="Confirmed",'Data entry'!$B$16="Probable")),"sx","")</f>
        <v/>
      </c>
      <c r="R36" t="str">
        <f>IF(AND(R$4='Data entry'!$R$16, OR('Data entry'!$B$16="Confirmed",'Data entry'!$B$16="Probable")),"sx","")</f>
        <v/>
      </c>
      <c r="S36" t="str">
        <f>IF(AND(S$4='Data entry'!$R$16, OR('Data entry'!$B$16="Confirmed",'Data entry'!$B$16="Probable")),"sx","")</f>
        <v/>
      </c>
      <c r="T36" t="str">
        <f>IF(AND(T$4='Data entry'!$R$16, OR('Data entry'!$B$16="Confirmed",'Data entry'!$B$16="Probable")),"sx","")</f>
        <v/>
      </c>
      <c r="U36" t="str">
        <f>IF(AND(U$4='Data entry'!$R$16, OR('Data entry'!$B$16="Confirmed",'Data entry'!$B$16="Probable")),"sx","")</f>
        <v/>
      </c>
      <c r="V36" t="str">
        <f>IF(AND(V$4='Data entry'!$R$16, OR('Data entry'!$B$16="Confirmed",'Data entry'!$B$16="Probable")),"sx","")</f>
        <v/>
      </c>
      <c r="W36" t="str">
        <f>IF(AND(W$4='Data entry'!$R$16, OR('Data entry'!$B$16="Confirmed",'Data entry'!$B$16="Probable")),"sx","")</f>
        <v/>
      </c>
      <c r="X36" t="str">
        <f>IF(AND(X$4='Data entry'!$R$16, OR('Data entry'!$B$16="Confirmed",'Data entry'!$B$16="Probable")),"sx","")</f>
        <v/>
      </c>
      <c r="Y36" t="str">
        <f>IF(AND(Y$4='Data entry'!$R$16, OR('Data entry'!$B$16="Confirmed",'Data entry'!$B$16="Probable")),"sx","")</f>
        <v/>
      </c>
      <c r="Z36" t="str">
        <f>IF(AND(Z$4='Data entry'!$R$16, OR('Data entry'!$B$16="Confirmed",'Data entry'!$B$16="Probable")),"sx","")</f>
        <v/>
      </c>
      <c r="AA36" t="str">
        <f>IF(AND(AA$4='Data entry'!$R$16, OR('Data entry'!$B$16="Confirmed",'Data entry'!$B$16="Probable")),"sx","")</f>
        <v/>
      </c>
      <c r="AB36" t="str">
        <f>IF(AND(AB$4='Data entry'!$R$16, OR('Data entry'!$B$16="Confirmed",'Data entry'!$B$16="Probable")),"sx","")</f>
        <v/>
      </c>
      <c r="AC36" t="str">
        <f>IF(AND(AC$4='Data entry'!$R$16, OR('Data entry'!$B$16="Confirmed",'Data entry'!$B$16="Probable")),"sx","")</f>
        <v/>
      </c>
      <c r="AD36" t="str">
        <f>IF(AND(AD$4='Data entry'!$R$16, OR('Data entry'!$B$16="Confirmed",'Data entry'!$B$16="Probable")),"sx","")</f>
        <v/>
      </c>
      <c r="AE36" t="str">
        <f>IF(AND(AE$4='Data entry'!$R$16, OR('Data entry'!$B$16="Confirmed",'Data entry'!$B$16="Probable")),"sx","")</f>
        <v/>
      </c>
      <c r="AF36" t="str">
        <f>IF(AND(AF$4='Data entry'!$R$16, OR('Data entry'!$B$16="Confirmed",'Data entry'!$B$16="Probable")),"sx","")</f>
        <v/>
      </c>
      <c r="AG36" t="str">
        <f>IF(AND(AG$4='Data entry'!$R$16, OR('Data entry'!$B$16="Confirmed",'Data entry'!$B$16="Probable")),"sx","")</f>
        <v/>
      </c>
      <c r="AH36" t="str">
        <f>IF(AND(AH$4='Data entry'!$R$16, OR('Data entry'!$B$16="Confirmed",'Data entry'!$B$16="Probable")),"sx","")</f>
        <v/>
      </c>
      <c r="AI36" t="str">
        <f>IF(AND(AI$4='Data entry'!$R$16, OR('Data entry'!$B$16="Confirmed",'Data entry'!$B$16="Probable")),"sx","")</f>
        <v/>
      </c>
      <c r="AJ36" t="str">
        <f>IF(AND(AJ$4='Data entry'!$R$16, OR('Data entry'!$B$16="Confirmed",'Data entry'!$B$16="Probable")),"sx","")</f>
        <v/>
      </c>
      <c r="AK36" t="str">
        <f>IF(AND(AK$4='Data entry'!$R$16, OR('Data entry'!$B$16="Confirmed",'Data entry'!$B$16="Probable")),"sx","")</f>
        <v/>
      </c>
      <c r="AL36" t="str">
        <f>IF(AND(AL$4='Data entry'!$R$16, OR('Data entry'!$B$16="Confirmed",'Data entry'!$B$16="Probable")),"sx","")</f>
        <v/>
      </c>
      <c r="AM36" t="str">
        <f>IF(AND(AM$4='Data entry'!$R$16, OR('Data entry'!$B$16="Confirmed",'Data entry'!$B$16="Probable")),"sx","")</f>
        <v/>
      </c>
      <c r="AN36" t="str">
        <f>IF(AND(AN$4='Data entry'!$R$16, OR('Data entry'!$B$16="Confirmed",'Data entry'!$B$16="Probable")),"sx","")</f>
        <v/>
      </c>
      <c r="AO36" t="str">
        <f>IF(AND(AO$4='Data entry'!$R$16, OR('Data entry'!$B$16="Confirmed",'Data entry'!$B$16="Probable")),"sx","")</f>
        <v/>
      </c>
      <c r="AP36" t="str">
        <f>IF(AND(AP$4='Data entry'!$R$16, OR('Data entry'!$B$16="Confirmed",'Data entry'!$B$16="Probable")),"sx","")</f>
        <v/>
      </c>
      <c r="AQ36" t="str">
        <f>IF(AND(AQ$4='Data entry'!$R$16, OR('Data entry'!$B$16="Confirmed",'Data entry'!$B$16="Probable")),"sx","")</f>
        <v/>
      </c>
      <c r="AR36" t="str">
        <f>IF(AND(AR$4='Data entry'!$R$16, OR('Data entry'!$B$16="Confirmed",'Data entry'!$B$16="Probable")),"sx","")</f>
        <v/>
      </c>
      <c r="AS36" t="str">
        <f>IF(AND(AS$4='Data entry'!$R$16, OR('Data entry'!$B$16="Confirmed",'Data entry'!$B$16="Probable")),"sx","")</f>
        <v/>
      </c>
      <c r="AT36" t="str">
        <f>IF(AND(AT$4='Data entry'!$R$16, OR('Data entry'!$B$16="Confirmed",'Data entry'!$B$16="Probable")),"sx","")</f>
        <v/>
      </c>
      <c r="AU36" t="str">
        <f>IF(AND(AU$4='Data entry'!$R$16, OR('Data entry'!$B$16="Confirmed",'Data entry'!$B$16="Probable")),"sx","")</f>
        <v/>
      </c>
      <c r="AV36" t="str">
        <f>IF(AND(AV$4='Data entry'!$R$16, OR('Data entry'!$B$16="Confirmed",'Data entry'!$B$16="Probable")),"sx","")</f>
        <v/>
      </c>
      <c r="AW36" t="str">
        <f>IF(AND(AW$4='Data entry'!$R$16, OR('Data entry'!$B$16="Confirmed",'Data entry'!$B$16="Probable")),"sx","")</f>
        <v/>
      </c>
      <c r="AX36" t="str">
        <f>IF(AND(AX$4='Data entry'!$R$16, OR('Data entry'!$B$16="Confirmed",'Data entry'!$B$16="Probable")),"sx","")</f>
        <v/>
      </c>
      <c r="AY36" t="str">
        <f>IF(AND(AY$4='Data entry'!$R$16, OR('Data entry'!$B$16="Confirmed",'Data entry'!$B$16="Probable")),"sx","")</f>
        <v/>
      </c>
      <c r="AZ36" t="str">
        <f>IF(AND(AZ$4='Data entry'!$R$16, OR('Data entry'!$B$16="Confirmed",'Data entry'!$B$16="Probable")),"sx","")</f>
        <v/>
      </c>
      <c r="BA36" t="str">
        <f>IF(AND(BA$4='Data entry'!$R$16, OR('Data entry'!$B$16="Confirmed",'Data entry'!$B$16="Probable")),"sx","")</f>
        <v/>
      </c>
      <c r="BB36" t="str">
        <f>IF(AND(BB$4='Data entry'!$R$16, OR('Data entry'!$B$16="Confirmed",'Data entry'!$B$16="Probable")),"sx","")</f>
        <v/>
      </c>
      <c r="BC36" t="str">
        <f>IF(AND(BC$4='Data entry'!$R$16, OR('Data entry'!$B$16="Confirmed",'Data entry'!$B$16="Probable")),"sx","")</f>
        <v/>
      </c>
      <c r="BD36" t="str">
        <f>IF(AND(BD$4='Data entry'!$R$16, OR('Data entry'!$B$16="Confirmed",'Data entry'!$B$16="Probable")),"sx","")</f>
        <v/>
      </c>
      <c r="BE36" t="str">
        <f>IF(AND(BE$4='Data entry'!$R$16, OR('Data entry'!$B$16="Confirmed",'Data entry'!$B$16="Probable")),"sx","")</f>
        <v/>
      </c>
      <c r="BF36" t="str">
        <f>IF(AND(BF$4='Data entry'!$R$16, OR('Data entry'!$B$16="Confirmed",'Data entry'!$B$16="Probable")),"sx","")</f>
        <v/>
      </c>
      <c r="BG36" t="str">
        <f>IF(AND(BG$4='Data entry'!$R$16, OR('Data entry'!$B$16="Confirmed",'Data entry'!$B$16="Probable")),"sx","")</f>
        <v/>
      </c>
      <c r="BH36" t="str">
        <f>IF(AND(BH$4='Data entry'!$R$16, OR('Data entry'!$B$16="Confirmed",'Data entry'!$B$16="Probable")),"sx","")</f>
        <v/>
      </c>
      <c r="BI36" t="str">
        <f>IF(AND(BI$4='Data entry'!$R$16, OR('Data entry'!$B$16="Confirmed",'Data entry'!$B$16="Probable")),"sx","")</f>
        <v/>
      </c>
      <c r="BJ36" t="str">
        <f>IF(AND(BJ$4='Data entry'!$R$16, OR('Data entry'!$B$16="Confirmed",'Data entry'!$B$16="Probable")),"sx","")</f>
        <v/>
      </c>
      <c r="BK36" t="str">
        <f>IF(AND(BK$4='Data entry'!$R$16, OR('Data entry'!$B$16="Confirmed",'Data entry'!$B$16="Probable")),"sx","")</f>
        <v/>
      </c>
      <c r="BL36" t="str">
        <f>IF(AND(BL$4='Data entry'!$R$16, OR('Data entry'!$B$16="Confirmed",'Data entry'!$B$16="Probable")),"sx","")</f>
        <v/>
      </c>
      <c r="BM36" t="str">
        <f>IF(AND(BM$4='Data entry'!$R$16, OR('Data entry'!$B$16="Confirmed",'Data entry'!$B$16="Probable")),"sx","")</f>
        <v/>
      </c>
      <c r="BN36" t="str">
        <f>IF(AND(BN$4='Data entry'!$R$16, OR('Data entry'!$B$16="Confirmed",'Data entry'!$B$16="Probable")),"sx","")</f>
        <v/>
      </c>
      <c r="BO36" t="str">
        <f>IF(AND(BO$4='Data entry'!$R$16, OR('Data entry'!$B$16="Confirmed",'Data entry'!$B$16="Probable")),"sx","")</f>
        <v/>
      </c>
      <c r="BP36" t="str">
        <f>IF(AND(BP$4='Data entry'!$R$16, OR('Data entry'!$B$16="Confirmed",'Data entry'!$B$16="Probable")),"sx","")</f>
        <v/>
      </c>
      <c r="BQ36" t="str">
        <f>IF(AND(BQ$4='Data entry'!$R$16, OR('Data entry'!$B$16="Confirmed",'Data entry'!$B$16="Probable")),"sx","")</f>
        <v/>
      </c>
      <c r="BR36" t="str">
        <f>IF(AND(BR$4='Data entry'!$R$16, OR('Data entry'!$B$16="Confirmed",'Data entry'!$B$16="Probable")),"sx","")</f>
        <v/>
      </c>
      <c r="BS36" t="str">
        <f>IF(AND(BS$4='Data entry'!$R$16, OR('Data entry'!$B$16="Confirmed",'Data entry'!$B$16="Probable")),"sx","")</f>
        <v/>
      </c>
      <c r="BT36" t="str">
        <f>IF(AND(BT$4='Data entry'!$R$16, OR('Data entry'!$B$16="Confirmed",'Data entry'!$B$16="Probable")),"sx","")</f>
        <v/>
      </c>
      <c r="BU36" t="str">
        <f>IF(AND(BU$4='Data entry'!$R$16, OR('Data entry'!$B$16="Confirmed",'Data entry'!$B$16="Probable")),"sx","")</f>
        <v/>
      </c>
      <c r="BV36" t="str">
        <f>IF(AND(BV$4='Data entry'!$R$16, OR('Data entry'!$B$16="Confirmed",'Data entry'!$B$16="Probable")),"sx","")</f>
        <v/>
      </c>
      <c r="BW36" t="str">
        <f>IF(AND(BW$4='Data entry'!$R$16, OR('Data entry'!$B$16="Confirmed",'Data entry'!$B$16="Probable")),"sx","")</f>
        <v/>
      </c>
      <c r="BX36" t="str">
        <f>IF(AND(BX$4='Data entry'!$R$16, OR('Data entry'!$B$16="Confirmed",'Data entry'!$B$16="Probable")),"sx","")</f>
        <v/>
      </c>
      <c r="BY36" t="str">
        <f>IF(AND(BY$4='Data entry'!$R$16, OR('Data entry'!$B$16="Confirmed",'Data entry'!$B$16="Probable")),"sx","")</f>
        <v/>
      </c>
      <c r="BZ36" t="str">
        <f>IF(AND(BZ$4='Data entry'!$R$16, OR('Data entry'!$B$16="Confirmed",'Data entry'!$B$16="Probable")),"sx","")</f>
        <v/>
      </c>
      <c r="CA36" t="str">
        <f>IF(AND(CA$4='Data entry'!$R$16, OR('Data entry'!$B$16="Confirmed",'Data entry'!$B$16="Probable")),"sx","")</f>
        <v/>
      </c>
      <c r="CB36" t="str">
        <f>IF(AND(CB$4='Data entry'!$R$16, OR('Data entry'!$B$16="Confirmed",'Data entry'!$B$16="Probable")),"sx","")</f>
        <v/>
      </c>
      <c r="CC36" t="str">
        <f>IF(AND(CC$4='Data entry'!$R$16, OR('Data entry'!$B$16="Confirmed",'Data entry'!$B$16="Probable")),"sx","")</f>
        <v/>
      </c>
    </row>
    <row r="37" spans="1:81" s="64" customFormat="1" ht="2.25" customHeight="1" thickBot="1" x14ac:dyDescent="0.25">
      <c r="A37" s="671"/>
      <c r="B37" s="672"/>
      <c r="C37" s="69"/>
    </row>
    <row r="38" spans="1:81" s="63" customFormat="1" ht="15.75" thickTop="1" x14ac:dyDescent="0.2">
      <c r="A38" s="670" t="str">
        <f>CONCATENATE('Data entry'!J17, " ", 'Data entry'!I17)</f>
        <v xml:space="preserve"> </v>
      </c>
      <c r="B38" s="670"/>
      <c r="C38" s="67"/>
    </row>
    <row r="39" spans="1:81" x14ac:dyDescent="0.2">
      <c r="A39" s="668" t="str">
        <f>CONCATENATE('Data entry'!B17, ", ", 'Data entry'!AO17, ", ", 'Data entry'!AR17)</f>
        <v xml:space="preserve">, , </v>
      </c>
      <c r="B39" s="668"/>
      <c r="C39" s="68"/>
      <c r="Q39" t="str">
        <f>IF(AND(Q$4='Data entry'!$R$17, OR('Data entry'!$B$17="Confirmed",'Data entry'!$B$17="Probable")),"sx","")</f>
        <v/>
      </c>
      <c r="R39" t="str">
        <f>IF(AND(R$4='Data entry'!$R$17, OR('Data entry'!$B$17="Confirmed",'Data entry'!$B$17="Probable")),"sx","")</f>
        <v/>
      </c>
      <c r="S39" t="str">
        <f>IF(AND(S$4='Data entry'!$R$17, OR('Data entry'!$B$17="Confirmed",'Data entry'!$B$17="Probable")),"sx","")</f>
        <v/>
      </c>
      <c r="T39" t="str">
        <f>IF(AND(T$4='Data entry'!$R$17, OR('Data entry'!$B$17="Confirmed",'Data entry'!$B$17="Probable")),"sx","")</f>
        <v/>
      </c>
      <c r="U39" t="str">
        <f>IF(AND(U$4='Data entry'!$R$17, OR('Data entry'!$B$17="Confirmed",'Data entry'!$B$17="Probable")),"sx","")</f>
        <v/>
      </c>
      <c r="V39" t="str">
        <f>IF(AND(V$4='Data entry'!$R$17, OR('Data entry'!$B$17="Confirmed",'Data entry'!$B$17="Probable")),"sx","")</f>
        <v/>
      </c>
      <c r="W39" t="str">
        <f>IF(AND(W$4='Data entry'!$R$17, OR('Data entry'!$B$17="Confirmed",'Data entry'!$B$17="Probable")),"sx","")</f>
        <v/>
      </c>
      <c r="X39" t="str">
        <f>IF(AND(X$4='Data entry'!$R$17, OR('Data entry'!$B$17="Confirmed",'Data entry'!$B$17="Probable")),"sx","")</f>
        <v/>
      </c>
      <c r="Y39" t="str">
        <f>IF(AND(Y$4='Data entry'!$R$17, OR('Data entry'!$B$17="Confirmed",'Data entry'!$B$17="Probable")),"sx","")</f>
        <v/>
      </c>
      <c r="Z39" t="str">
        <f>IF(AND(Z$4='Data entry'!$R$17, OR('Data entry'!$B$17="Confirmed",'Data entry'!$B$17="Probable")),"sx","")</f>
        <v/>
      </c>
      <c r="AA39" t="str">
        <f>IF(AND(AA$4='Data entry'!$R$17, OR('Data entry'!$B$17="Confirmed",'Data entry'!$B$17="Probable")),"sx","")</f>
        <v/>
      </c>
      <c r="AB39" t="str">
        <f>IF(AND(AB$4='Data entry'!$R$17, OR('Data entry'!$B$17="Confirmed",'Data entry'!$B$17="Probable")),"sx","")</f>
        <v/>
      </c>
      <c r="AC39" t="str">
        <f>IF(AND(AC$4='Data entry'!$R$17, OR('Data entry'!$B$17="Confirmed",'Data entry'!$B$17="Probable")),"sx","")</f>
        <v/>
      </c>
      <c r="AD39" t="str">
        <f>IF(AND(AD$4='Data entry'!$R$17, OR('Data entry'!$B$17="Confirmed",'Data entry'!$B$17="Probable")),"sx","")</f>
        <v/>
      </c>
      <c r="AE39" t="str">
        <f>IF(AND(AE$4='Data entry'!$R$17, OR('Data entry'!$B$17="Confirmed",'Data entry'!$B$17="Probable")),"sx","")</f>
        <v/>
      </c>
      <c r="AF39" t="str">
        <f>IF(AND(AF$4='Data entry'!$R$17, OR('Data entry'!$B$17="Confirmed",'Data entry'!$B$17="Probable")),"sx","")</f>
        <v/>
      </c>
      <c r="AG39" t="str">
        <f>IF(AND(AG$4='Data entry'!$R$17, OR('Data entry'!$B$17="Confirmed",'Data entry'!$B$17="Probable")),"sx","")</f>
        <v/>
      </c>
      <c r="AH39" t="str">
        <f>IF(AND(AH$4='Data entry'!$R$17, OR('Data entry'!$B$17="Confirmed",'Data entry'!$B$17="Probable")),"sx","")</f>
        <v/>
      </c>
      <c r="AI39" t="str">
        <f>IF(AND(AI$4='Data entry'!$R$17, OR('Data entry'!$B$17="Confirmed",'Data entry'!$B$17="Probable")),"sx","")</f>
        <v/>
      </c>
      <c r="AJ39" t="str">
        <f>IF(AND(AJ$4='Data entry'!$R$17, OR('Data entry'!$B$17="Confirmed",'Data entry'!$B$17="Probable")),"sx","")</f>
        <v/>
      </c>
      <c r="AK39" t="str">
        <f>IF(AND(AK$4='Data entry'!$R$17, OR('Data entry'!$B$17="Confirmed",'Data entry'!$B$17="Probable")),"sx","")</f>
        <v/>
      </c>
      <c r="AL39" t="str">
        <f>IF(AND(AL$4='Data entry'!$R$17, OR('Data entry'!$B$17="Confirmed",'Data entry'!$B$17="Probable")),"sx","")</f>
        <v/>
      </c>
      <c r="AM39" t="str">
        <f>IF(AND(AM$4='Data entry'!$R$17, OR('Data entry'!$B$17="Confirmed",'Data entry'!$B$17="Probable")),"sx","")</f>
        <v/>
      </c>
      <c r="AN39" t="str">
        <f>IF(AND(AN$4='Data entry'!$R$17, OR('Data entry'!$B$17="Confirmed",'Data entry'!$B$17="Probable")),"sx","")</f>
        <v/>
      </c>
      <c r="AO39" t="str">
        <f>IF(AND(AO$4='Data entry'!$R$17, OR('Data entry'!$B$17="Confirmed",'Data entry'!$B$17="Probable")),"sx","")</f>
        <v/>
      </c>
      <c r="AP39" t="str">
        <f>IF(AND(AP$4='Data entry'!$R$17, OR('Data entry'!$B$17="Confirmed",'Data entry'!$B$17="Probable")),"sx","")</f>
        <v/>
      </c>
      <c r="AQ39" t="str">
        <f>IF(AND(AQ$4='Data entry'!$R$17, OR('Data entry'!$B$17="Confirmed",'Data entry'!$B$17="Probable")),"sx","")</f>
        <v/>
      </c>
      <c r="AR39" t="str">
        <f>IF(AND(AR$4='Data entry'!$R$17, OR('Data entry'!$B$17="Confirmed",'Data entry'!$B$17="Probable")),"sx","")</f>
        <v/>
      </c>
      <c r="AS39" t="str">
        <f>IF(AND(AS$4='Data entry'!$R$17, OR('Data entry'!$B$17="Confirmed",'Data entry'!$B$17="Probable")),"sx","")</f>
        <v/>
      </c>
      <c r="AT39" t="str">
        <f>IF(AND(AT$4='Data entry'!$R$17, OR('Data entry'!$B$17="Confirmed",'Data entry'!$B$17="Probable")),"sx","")</f>
        <v/>
      </c>
      <c r="AU39" t="str">
        <f>IF(AND(AU$4='Data entry'!$R$17, OR('Data entry'!$B$17="Confirmed",'Data entry'!$B$17="Probable")),"sx","")</f>
        <v/>
      </c>
      <c r="AV39" t="str">
        <f>IF(AND(AV$4='Data entry'!$R$17, OR('Data entry'!$B$17="Confirmed",'Data entry'!$B$17="Probable")),"sx","")</f>
        <v/>
      </c>
      <c r="AW39" t="str">
        <f>IF(AND(AW$4='Data entry'!$R$17, OR('Data entry'!$B$17="Confirmed",'Data entry'!$B$17="Probable")),"sx","")</f>
        <v/>
      </c>
      <c r="AX39" t="str">
        <f>IF(AND(AX$4='Data entry'!$R$17, OR('Data entry'!$B$17="Confirmed",'Data entry'!$B$17="Probable")),"sx","")</f>
        <v/>
      </c>
      <c r="AY39" t="str">
        <f>IF(AND(AY$4='Data entry'!$R$17, OR('Data entry'!$B$17="Confirmed",'Data entry'!$B$17="Probable")),"sx","")</f>
        <v/>
      </c>
      <c r="AZ39" t="str">
        <f>IF(AND(AZ$4='Data entry'!$R$17, OR('Data entry'!$B$17="Confirmed",'Data entry'!$B$17="Probable")),"sx","")</f>
        <v/>
      </c>
      <c r="BA39" t="str">
        <f>IF(AND(BA$4='Data entry'!$R$17, OR('Data entry'!$B$17="Confirmed",'Data entry'!$B$17="Probable")),"sx","")</f>
        <v/>
      </c>
      <c r="BB39" t="str">
        <f>IF(AND(BB$4='Data entry'!$R$17, OR('Data entry'!$B$17="Confirmed",'Data entry'!$B$17="Probable")),"sx","")</f>
        <v/>
      </c>
      <c r="BC39" t="str">
        <f>IF(AND(BC$4='Data entry'!$R$17, OR('Data entry'!$B$17="Confirmed",'Data entry'!$B$17="Probable")),"sx","")</f>
        <v/>
      </c>
      <c r="BD39" t="str">
        <f>IF(AND(BD$4='Data entry'!$R$17, OR('Data entry'!$B$17="Confirmed",'Data entry'!$B$17="Probable")),"sx","")</f>
        <v/>
      </c>
      <c r="BE39" t="str">
        <f>IF(AND(BE$4='Data entry'!$R$17, OR('Data entry'!$B$17="Confirmed",'Data entry'!$B$17="Probable")),"sx","")</f>
        <v/>
      </c>
      <c r="BF39" t="str">
        <f>IF(AND(BF$4='Data entry'!$R$17, OR('Data entry'!$B$17="Confirmed",'Data entry'!$B$17="Probable")),"sx","")</f>
        <v/>
      </c>
      <c r="BG39" t="str">
        <f>IF(AND(BG$4='Data entry'!$R$17, OR('Data entry'!$B$17="Confirmed",'Data entry'!$B$17="Probable")),"sx","")</f>
        <v/>
      </c>
      <c r="BH39" t="str">
        <f>IF(AND(BH$4='Data entry'!$R$17, OR('Data entry'!$B$17="Confirmed",'Data entry'!$B$17="Probable")),"sx","")</f>
        <v/>
      </c>
      <c r="BI39" t="str">
        <f>IF(AND(BI$4='Data entry'!$R$17, OR('Data entry'!$B$17="Confirmed",'Data entry'!$B$17="Probable")),"sx","")</f>
        <v/>
      </c>
      <c r="BJ39" t="str">
        <f>IF(AND(BJ$4='Data entry'!$R$17, OR('Data entry'!$B$17="Confirmed",'Data entry'!$B$17="Probable")),"sx","")</f>
        <v/>
      </c>
      <c r="BK39" t="str">
        <f>IF(AND(BK$4='Data entry'!$R$17, OR('Data entry'!$B$17="Confirmed",'Data entry'!$B$17="Probable")),"sx","")</f>
        <v/>
      </c>
      <c r="BL39" t="str">
        <f>IF(AND(BL$4='Data entry'!$R$17, OR('Data entry'!$B$17="Confirmed",'Data entry'!$B$17="Probable")),"sx","")</f>
        <v/>
      </c>
      <c r="BM39" t="str">
        <f>IF(AND(BM$4='Data entry'!$R$17, OR('Data entry'!$B$17="Confirmed",'Data entry'!$B$17="Probable")),"sx","")</f>
        <v/>
      </c>
      <c r="BN39" t="str">
        <f>IF(AND(BN$4='Data entry'!$R$17, OR('Data entry'!$B$17="Confirmed",'Data entry'!$B$17="Probable")),"sx","")</f>
        <v/>
      </c>
      <c r="BO39" t="str">
        <f>IF(AND(BO$4='Data entry'!$R$17, OR('Data entry'!$B$17="Confirmed",'Data entry'!$B$17="Probable")),"sx","")</f>
        <v/>
      </c>
      <c r="BP39" t="str">
        <f>IF(AND(BP$4='Data entry'!$R$17, OR('Data entry'!$B$17="Confirmed",'Data entry'!$B$17="Probable")),"sx","")</f>
        <v/>
      </c>
      <c r="BQ39" t="str">
        <f>IF(AND(BQ$4='Data entry'!$R$17, OR('Data entry'!$B$17="Confirmed",'Data entry'!$B$17="Probable")),"sx","")</f>
        <v/>
      </c>
      <c r="BR39" t="str">
        <f>IF(AND(BR$4='Data entry'!$R$17, OR('Data entry'!$B$17="Confirmed",'Data entry'!$B$17="Probable")),"sx","")</f>
        <v/>
      </c>
      <c r="BS39" t="str">
        <f>IF(AND(BS$4='Data entry'!$R$17, OR('Data entry'!$B$17="Confirmed",'Data entry'!$B$17="Probable")),"sx","")</f>
        <v/>
      </c>
      <c r="BT39" t="str">
        <f>IF(AND(BT$4='Data entry'!$R$17, OR('Data entry'!$B$17="Confirmed",'Data entry'!$B$17="Probable")),"sx","")</f>
        <v/>
      </c>
      <c r="BU39" t="str">
        <f>IF(AND(BU$4='Data entry'!$R$17, OR('Data entry'!$B$17="Confirmed",'Data entry'!$B$17="Probable")),"sx","")</f>
        <v/>
      </c>
      <c r="BV39" t="str">
        <f>IF(AND(BV$4='Data entry'!$R$17, OR('Data entry'!$B$17="Confirmed",'Data entry'!$B$17="Probable")),"sx","")</f>
        <v/>
      </c>
      <c r="BW39" t="str">
        <f>IF(AND(BW$4='Data entry'!$R$17, OR('Data entry'!$B$17="Confirmed",'Data entry'!$B$17="Probable")),"sx","")</f>
        <v/>
      </c>
      <c r="BX39" t="str">
        <f>IF(AND(BX$4='Data entry'!$R$17, OR('Data entry'!$B$17="Confirmed",'Data entry'!$B$17="Probable")),"sx","")</f>
        <v/>
      </c>
      <c r="BY39" t="str">
        <f>IF(AND(BY$4='Data entry'!$R$17, OR('Data entry'!$B$17="Confirmed",'Data entry'!$B$17="Probable")),"sx","")</f>
        <v/>
      </c>
      <c r="BZ39" t="str">
        <f>IF(AND(BZ$4='Data entry'!$R$17, OR('Data entry'!$B$17="Confirmed",'Data entry'!$B$17="Probable")),"sx","")</f>
        <v/>
      </c>
      <c r="CA39" t="str">
        <f>IF(AND(CA$4='Data entry'!$R$17, OR('Data entry'!$B$17="Confirmed",'Data entry'!$B$17="Probable")),"sx","")</f>
        <v/>
      </c>
      <c r="CB39" t="str">
        <f>IF(AND(CB$4='Data entry'!$R$17, OR('Data entry'!$B$17="Confirmed",'Data entry'!$B$17="Probable")),"sx","")</f>
        <v/>
      </c>
      <c r="CC39" t="str">
        <f>IF(AND(CC$4='Data entry'!$R$17, OR('Data entry'!$B$17="Confirmed",'Data entry'!$B$17="Probable")),"sx","")</f>
        <v/>
      </c>
    </row>
    <row r="40" spans="1:81" s="64" customFormat="1" ht="2.25" customHeight="1" thickBot="1" x14ac:dyDescent="0.25">
      <c r="A40" s="671"/>
      <c r="B40" s="672"/>
      <c r="C40" s="69"/>
    </row>
    <row r="41" spans="1:81" s="63" customFormat="1" ht="15.75" thickTop="1" x14ac:dyDescent="0.2">
      <c r="A41" s="670" t="str">
        <f>CONCATENATE('Data entry'!J18, " ", 'Data entry'!I18)</f>
        <v xml:space="preserve"> </v>
      </c>
      <c r="B41" s="670"/>
      <c r="C41" s="67"/>
    </row>
    <row r="42" spans="1:81" x14ac:dyDescent="0.2">
      <c r="A42" s="668" t="str">
        <f>CONCATENATE('Data entry'!B18, ", ", 'Data entry'!AO18, ", ", 'Data entry'!AR18)</f>
        <v xml:space="preserve">, , </v>
      </c>
      <c r="B42" s="668"/>
      <c r="C42" s="68"/>
      <c r="Q42" t="str">
        <f>IF(AND(Q$4='Data entry'!$R$18, OR('Data entry'!$B$18="Confirmed",'Data entry'!$B$18="Probable")),"sx","")</f>
        <v/>
      </c>
      <c r="R42" t="str">
        <f>IF(AND(R$4='Data entry'!$R$18, OR('Data entry'!$B$18="Confirmed",'Data entry'!$B$18="Probable")),"sx","")</f>
        <v/>
      </c>
      <c r="S42" t="str">
        <f>IF(AND(S$4='Data entry'!$R$18, OR('Data entry'!$B$18="Confirmed",'Data entry'!$B$18="Probable")),"sx","")</f>
        <v/>
      </c>
      <c r="T42" t="str">
        <f>IF(AND(T$4='Data entry'!$R$18, OR('Data entry'!$B$18="Confirmed",'Data entry'!$B$18="Probable")),"sx","")</f>
        <v/>
      </c>
      <c r="U42" t="str">
        <f>IF(AND(U$4='Data entry'!$R$18, OR('Data entry'!$B$18="Confirmed",'Data entry'!$B$18="Probable")),"sx","")</f>
        <v/>
      </c>
      <c r="V42" t="str">
        <f>IF(AND(V$4='Data entry'!$R$18, OR('Data entry'!$B$18="Confirmed",'Data entry'!$B$18="Probable")),"sx","")</f>
        <v/>
      </c>
      <c r="W42" t="str">
        <f>IF(AND(W$4='Data entry'!$R$18, OR('Data entry'!$B$18="Confirmed",'Data entry'!$B$18="Probable")),"sx","")</f>
        <v/>
      </c>
      <c r="X42" t="str">
        <f>IF(AND(X$4='Data entry'!$R$18, OR('Data entry'!$B$18="Confirmed",'Data entry'!$B$18="Probable")),"sx","")</f>
        <v/>
      </c>
      <c r="Y42" t="str">
        <f>IF(AND(Y$4='Data entry'!$R$18, OR('Data entry'!$B$18="Confirmed",'Data entry'!$B$18="Probable")),"sx","")</f>
        <v/>
      </c>
      <c r="Z42" t="str">
        <f>IF(AND(Z$4='Data entry'!$R$18, OR('Data entry'!$B$18="Confirmed",'Data entry'!$B$18="Probable")),"sx","")</f>
        <v/>
      </c>
      <c r="AA42" t="str">
        <f>IF(AND(AA$4='Data entry'!$R$18, OR('Data entry'!$B$18="Confirmed",'Data entry'!$B$18="Probable")),"sx","")</f>
        <v/>
      </c>
      <c r="AB42" t="str">
        <f>IF(AND(AB$4='Data entry'!$R$18, OR('Data entry'!$B$18="Confirmed",'Data entry'!$B$18="Probable")),"sx","")</f>
        <v/>
      </c>
      <c r="AC42" t="str">
        <f>IF(AND(AC$4='Data entry'!$R$18, OR('Data entry'!$B$18="Confirmed",'Data entry'!$B$18="Probable")),"sx","")</f>
        <v/>
      </c>
      <c r="AD42" t="str">
        <f>IF(AND(AD$4='Data entry'!$R$18, OR('Data entry'!$B$18="Confirmed",'Data entry'!$B$18="Probable")),"sx","")</f>
        <v/>
      </c>
      <c r="AE42" t="str">
        <f>IF(AND(AE$4='Data entry'!$R$18, OR('Data entry'!$B$18="Confirmed",'Data entry'!$B$18="Probable")),"sx","")</f>
        <v/>
      </c>
      <c r="AF42" t="str">
        <f>IF(AND(AF$4='Data entry'!$R$18, OR('Data entry'!$B$18="Confirmed",'Data entry'!$B$18="Probable")),"sx","")</f>
        <v/>
      </c>
      <c r="AG42" t="str">
        <f>IF(AND(AG$4='Data entry'!$R$18, OR('Data entry'!$B$18="Confirmed",'Data entry'!$B$18="Probable")),"sx","")</f>
        <v/>
      </c>
      <c r="AH42" t="str">
        <f>IF(AND(AH$4='Data entry'!$R$18, OR('Data entry'!$B$18="Confirmed",'Data entry'!$B$18="Probable")),"sx","")</f>
        <v/>
      </c>
      <c r="AI42" t="str">
        <f>IF(AND(AI$4='Data entry'!$R$18, OR('Data entry'!$B$18="Confirmed",'Data entry'!$B$18="Probable")),"sx","")</f>
        <v/>
      </c>
      <c r="AJ42" t="str">
        <f>IF(AND(AJ$4='Data entry'!$R$18, OR('Data entry'!$B$18="Confirmed",'Data entry'!$B$18="Probable")),"sx","")</f>
        <v/>
      </c>
      <c r="AK42" t="str">
        <f>IF(AND(AK$4='Data entry'!$R$18, OR('Data entry'!$B$18="Confirmed",'Data entry'!$B$18="Probable")),"sx","")</f>
        <v/>
      </c>
      <c r="AL42" t="str">
        <f>IF(AND(AL$4='Data entry'!$R$18, OR('Data entry'!$B$18="Confirmed",'Data entry'!$B$18="Probable")),"sx","")</f>
        <v/>
      </c>
      <c r="AM42" t="str">
        <f>IF(AND(AM$4='Data entry'!$R$18, OR('Data entry'!$B$18="Confirmed",'Data entry'!$B$18="Probable")),"sx","")</f>
        <v/>
      </c>
      <c r="AN42" t="str">
        <f>IF(AND(AN$4='Data entry'!$R$18, OR('Data entry'!$B$18="Confirmed",'Data entry'!$B$18="Probable")),"sx","")</f>
        <v/>
      </c>
      <c r="AO42" t="str">
        <f>IF(AND(AO$4='Data entry'!$R$18, OR('Data entry'!$B$18="Confirmed",'Data entry'!$B$18="Probable")),"sx","")</f>
        <v/>
      </c>
      <c r="AP42" t="str">
        <f>IF(AND(AP$4='Data entry'!$R$18, OR('Data entry'!$B$18="Confirmed",'Data entry'!$B$18="Probable")),"sx","")</f>
        <v/>
      </c>
      <c r="AQ42" t="str">
        <f>IF(AND(AQ$4='Data entry'!$R$18, OR('Data entry'!$B$18="Confirmed",'Data entry'!$B$18="Probable")),"sx","")</f>
        <v/>
      </c>
      <c r="AR42" t="str">
        <f>IF(AND(AR$4='Data entry'!$R$18, OR('Data entry'!$B$18="Confirmed",'Data entry'!$B$18="Probable")),"sx","")</f>
        <v/>
      </c>
      <c r="AS42" t="str">
        <f>IF(AND(AS$4='Data entry'!$R$18, OR('Data entry'!$B$18="Confirmed",'Data entry'!$B$18="Probable")),"sx","")</f>
        <v/>
      </c>
      <c r="AT42" t="str">
        <f>IF(AND(AT$4='Data entry'!$R$18, OR('Data entry'!$B$18="Confirmed",'Data entry'!$B$18="Probable")),"sx","")</f>
        <v/>
      </c>
      <c r="AU42" t="str">
        <f>IF(AND(AU$4='Data entry'!$R$18, OR('Data entry'!$B$18="Confirmed",'Data entry'!$B$18="Probable")),"sx","")</f>
        <v/>
      </c>
      <c r="AV42" t="str">
        <f>IF(AND(AV$4='Data entry'!$R$18, OR('Data entry'!$B$18="Confirmed",'Data entry'!$B$18="Probable")),"sx","")</f>
        <v/>
      </c>
      <c r="AW42" t="str">
        <f>IF(AND(AW$4='Data entry'!$R$18, OR('Data entry'!$B$18="Confirmed",'Data entry'!$B$18="Probable")),"sx","")</f>
        <v/>
      </c>
      <c r="AX42" t="str">
        <f>IF(AND(AX$4='Data entry'!$R$18, OR('Data entry'!$B$18="Confirmed",'Data entry'!$B$18="Probable")),"sx","")</f>
        <v/>
      </c>
      <c r="AY42" t="str">
        <f>IF(AND(AY$4='Data entry'!$R$18, OR('Data entry'!$B$18="Confirmed",'Data entry'!$B$18="Probable")),"sx","")</f>
        <v/>
      </c>
      <c r="AZ42" t="str">
        <f>IF(AND(AZ$4='Data entry'!$R$18, OR('Data entry'!$B$18="Confirmed",'Data entry'!$B$18="Probable")),"sx","")</f>
        <v/>
      </c>
      <c r="BA42" t="str">
        <f>IF(AND(BA$4='Data entry'!$R$18, OR('Data entry'!$B$18="Confirmed",'Data entry'!$B$18="Probable")),"sx","")</f>
        <v/>
      </c>
      <c r="BB42" t="str">
        <f>IF(AND(BB$4='Data entry'!$R$18, OR('Data entry'!$B$18="Confirmed",'Data entry'!$B$18="Probable")),"sx","")</f>
        <v/>
      </c>
      <c r="BC42" t="str">
        <f>IF(AND(BC$4='Data entry'!$R$18, OR('Data entry'!$B$18="Confirmed",'Data entry'!$B$18="Probable")),"sx","")</f>
        <v/>
      </c>
      <c r="BD42" t="str">
        <f>IF(AND(BD$4='Data entry'!$R$18, OR('Data entry'!$B$18="Confirmed",'Data entry'!$B$18="Probable")),"sx","")</f>
        <v/>
      </c>
      <c r="BE42" t="str">
        <f>IF(AND(BE$4='Data entry'!$R$18, OR('Data entry'!$B$18="Confirmed",'Data entry'!$B$18="Probable")),"sx","")</f>
        <v/>
      </c>
      <c r="BF42" t="str">
        <f>IF(AND(BF$4='Data entry'!$R$18, OR('Data entry'!$B$18="Confirmed",'Data entry'!$B$18="Probable")),"sx","")</f>
        <v/>
      </c>
      <c r="BG42" t="str">
        <f>IF(AND(BG$4='Data entry'!$R$18, OR('Data entry'!$B$18="Confirmed",'Data entry'!$B$18="Probable")),"sx","")</f>
        <v/>
      </c>
      <c r="BH42" t="str">
        <f>IF(AND(BH$4='Data entry'!$R$18, OR('Data entry'!$B$18="Confirmed",'Data entry'!$B$18="Probable")),"sx","")</f>
        <v/>
      </c>
      <c r="BI42" t="str">
        <f>IF(AND(BI$4='Data entry'!$R$18, OR('Data entry'!$B$18="Confirmed",'Data entry'!$B$18="Probable")),"sx","")</f>
        <v/>
      </c>
      <c r="BJ42" t="str">
        <f>IF(AND(BJ$4='Data entry'!$R$18, OR('Data entry'!$B$18="Confirmed",'Data entry'!$B$18="Probable")),"sx","")</f>
        <v/>
      </c>
      <c r="BK42" t="str">
        <f>IF(AND(BK$4='Data entry'!$R$18, OR('Data entry'!$B$18="Confirmed",'Data entry'!$B$18="Probable")),"sx","")</f>
        <v/>
      </c>
      <c r="BL42" t="str">
        <f>IF(AND(BL$4='Data entry'!$R$18, OR('Data entry'!$B$18="Confirmed",'Data entry'!$B$18="Probable")),"sx","")</f>
        <v/>
      </c>
      <c r="BM42" t="str">
        <f>IF(AND(BM$4='Data entry'!$R$18, OR('Data entry'!$B$18="Confirmed",'Data entry'!$B$18="Probable")),"sx","")</f>
        <v/>
      </c>
      <c r="BN42" t="str">
        <f>IF(AND(BN$4='Data entry'!$R$18, OR('Data entry'!$B$18="Confirmed",'Data entry'!$B$18="Probable")),"sx","")</f>
        <v/>
      </c>
      <c r="BO42" t="str">
        <f>IF(AND(BO$4='Data entry'!$R$18, OR('Data entry'!$B$18="Confirmed",'Data entry'!$B$18="Probable")),"sx","")</f>
        <v/>
      </c>
      <c r="BP42" t="str">
        <f>IF(AND(BP$4='Data entry'!$R$18, OR('Data entry'!$B$18="Confirmed",'Data entry'!$B$18="Probable")),"sx","")</f>
        <v/>
      </c>
      <c r="BQ42" t="str">
        <f>IF(AND(BQ$4='Data entry'!$R$18, OR('Data entry'!$B$18="Confirmed",'Data entry'!$B$18="Probable")),"sx","")</f>
        <v/>
      </c>
      <c r="BR42" t="str">
        <f>IF(AND(BR$4='Data entry'!$R$18, OR('Data entry'!$B$18="Confirmed",'Data entry'!$B$18="Probable")),"sx","")</f>
        <v/>
      </c>
      <c r="BS42" t="str">
        <f>IF(AND(BS$4='Data entry'!$R$18, OR('Data entry'!$B$18="Confirmed",'Data entry'!$B$18="Probable")),"sx","")</f>
        <v/>
      </c>
      <c r="BT42" t="str">
        <f>IF(AND(BT$4='Data entry'!$R$18, OR('Data entry'!$B$18="Confirmed",'Data entry'!$B$18="Probable")),"sx","")</f>
        <v/>
      </c>
      <c r="BU42" t="str">
        <f>IF(AND(BU$4='Data entry'!$R$18, OR('Data entry'!$B$18="Confirmed",'Data entry'!$B$18="Probable")),"sx","")</f>
        <v/>
      </c>
      <c r="BV42" t="str">
        <f>IF(AND(BV$4='Data entry'!$R$18, OR('Data entry'!$B$18="Confirmed",'Data entry'!$B$18="Probable")),"sx","")</f>
        <v/>
      </c>
      <c r="BW42" t="str">
        <f>IF(AND(BW$4='Data entry'!$R$18, OR('Data entry'!$B$18="Confirmed",'Data entry'!$B$18="Probable")),"sx","")</f>
        <v/>
      </c>
      <c r="BX42" t="str">
        <f>IF(AND(BX$4='Data entry'!$R$18, OR('Data entry'!$B$18="Confirmed",'Data entry'!$B$18="Probable")),"sx","")</f>
        <v/>
      </c>
      <c r="BY42" t="str">
        <f>IF(AND(BY$4='Data entry'!$R$18, OR('Data entry'!$B$18="Confirmed",'Data entry'!$B$18="Probable")),"sx","")</f>
        <v/>
      </c>
      <c r="BZ42" t="str">
        <f>IF(AND(BZ$4='Data entry'!$R$18, OR('Data entry'!$B$18="Confirmed",'Data entry'!$B$18="Probable")),"sx","")</f>
        <v/>
      </c>
      <c r="CA42" t="str">
        <f>IF(AND(CA$4='Data entry'!$R$18, OR('Data entry'!$B$18="Confirmed",'Data entry'!$B$18="Probable")),"sx","")</f>
        <v/>
      </c>
      <c r="CB42" t="str">
        <f>IF(AND(CB$4='Data entry'!$R$18, OR('Data entry'!$B$18="Confirmed",'Data entry'!$B$18="Probable")),"sx","")</f>
        <v/>
      </c>
      <c r="CC42" t="str">
        <f>IF(AND(CC$4='Data entry'!$R$18, OR('Data entry'!$B$18="Confirmed",'Data entry'!$B$18="Probable")),"sx","")</f>
        <v/>
      </c>
    </row>
    <row r="43" spans="1:81" s="64" customFormat="1" ht="2.25" customHeight="1" thickBot="1" x14ac:dyDescent="0.25">
      <c r="A43" s="671"/>
      <c r="B43" s="672"/>
      <c r="C43" s="69"/>
    </row>
    <row r="44" spans="1:81" s="63" customFormat="1" ht="15.75" thickTop="1" x14ac:dyDescent="0.2">
      <c r="A44" s="670" t="str">
        <f>CONCATENATE('Data entry'!J19, " ", 'Data entry'!I19)</f>
        <v xml:space="preserve"> </v>
      </c>
      <c r="B44" s="670"/>
      <c r="C44" s="67"/>
    </row>
    <row r="45" spans="1:81" x14ac:dyDescent="0.2">
      <c r="A45" s="668" t="str">
        <f>CONCATENATE('Data entry'!B19, ", ", 'Data entry'!AO19, ", ", 'Data entry'!AR19)</f>
        <v xml:space="preserve">, , </v>
      </c>
      <c r="B45" s="668"/>
      <c r="C45" s="68"/>
      <c r="Q45" t="str">
        <f>IF(AND(Q$4='Data entry'!$R$19, OR('Data entry'!$B$19="Confirmed",'Data entry'!$B$19="Probable")),"sx","")</f>
        <v/>
      </c>
      <c r="R45" t="str">
        <f>IF(AND(R$4='Data entry'!$R$19, OR('Data entry'!$B$19="Confirmed",'Data entry'!$B$19="Probable")),"sx","")</f>
        <v/>
      </c>
      <c r="S45" t="str">
        <f>IF(AND(S$4='Data entry'!$R$19, OR('Data entry'!$B$19="Confirmed",'Data entry'!$B$19="Probable")),"sx","")</f>
        <v/>
      </c>
      <c r="T45" t="str">
        <f>IF(AND(T$4='Data entry'!$R$19, OR('Data entry'!$B$19="Confirmed",'Data entry'!$B$19="Probable")),"sx","")</f>
        <v/>
      </c>
      <c r="U45" t="str">
        <f>IF(AND(U$4='Data entry'!$R$19, OR('Data entry'!$B$19="Confirmed",'Data entry'!$B$19="Probable")),"sx","")</f>
        <v/>
      </c>
      <c r="V45" t="str">
        <f>IF(AND(V$4='Data entry'!$R$19, OR('Data entry'!$B$19="Confirmed",'Data entry'!$B$19="Probable")),"sx","")</f>
        <v/>
      </c>
      <c r="W45" t="str">
        <f>IF(AND(W$4='Data entry'!$R$19, OR('Data entry'!$B$19="Confirmed",'Data entry'!$B$19="Probable")),"sx","")</f>
        <v/>
      </c>
      <c r="X45" t="str">
        <f>IF(AND(X$4='Data entry'!$R$19, OR('Data entry'!$B$19="Confirmed",'Data entry'!$B$19="Probable")),"sx","")</f>
        <v/>
      </c>
      <c r="Y45" t="str">
        <f>IF(AND(Y$4='Data entry'!$R$19, OR('Data entry'!$B$19="Confirmed",'Data entry'!$B$19="Probable")),"sx","")</f>
        <v/>
      </c>
      <c r="Z45" t="str">
        <f>IF(AND(Z$4='Data entry'!$R$19, OR('Data entry'!$B$19="Confirmed",'Data entry'!$B$19="Probable")),"sx","")</f>
        <v/>
      </c>
      <c r="AA45" t="str">
        <f>IF(AND(AA$4='Data entry'!$R$19, OR('Data entry'!$B$19="Confirmed",'Data entry'!$B$19="Probable")),"sx","")</f>
        <v/>
      </c>
      <c r="AB45" t="str">
        <f>IF(AND(AB$4='Data entry'!$R$19, OR('Data entry'!$B$19="Confirmed",'Data entry'!$B$19="Probable")),"sx","")</f>
        <v/>
      </c>
      <c r="AC45" t="str">
        <f>IF(AND(AC$4='Data entry'!$R$19, OR('Data entry'!$B$19="Confirmed",'Data entry'!$B$19="Probable")),"sx","")</f>
        <v/>
      </c>
      <c r="AD45" t="str">
        <f>IF(AND(AD$4='Data entry'!$R$19, OR('Data entry'!$B$19="Confirmed",'Data entry'!$B$19="Probable")),"sx","")</f>
        <v/>
      </c>
      <c r="AE45" t="str">
        <f>IF(AND(AE$4='Data entry'!$R$19, OR('Data entry'!$B$19="Confirmed",'Data entry'!$B$19="Probable")),"sx","")</f>
        <v/>
      </c>
      <c r="AF45" t="str">
        <f>IF(AND(AF$4='Data entry'!$R$19, OR('Data entry'!$B$19="Confirmed",'Data entry'!$B$19="Probable")),"sx","")</f>
        <v/>
      </c>
      <c r="AG45" t="str">
        <f>IF(AND(AG$4='Data entry'!$R$19, OR('Data entry'!$B$19="Confirmed",'Data entry'!$B$19="Probable")),"sx","")</f>
        <v/>
      </c>
      <c r="AH45" t="str">
        <f>IF(AND(AH$4='Data entry'!$R$19, OR('Data entry'!$B$19="Confirmed",'Data entry'!$B$19="Probable")),"sx","")</f>
        <v/>
      </c>
      <c r="AI45" t="str">
        <f>IF(AND(AI$4='Data entry'!$R$19, OR('Data entry'!$B$19="Confirmed",'Data entry'!$B$19="Probable")),"sx","")</f>
        <v/>
      </c>
      <c r="AJ45" t="str">
        <f>IF(AND(AJ$4='Data entry'!$R$19, OR('Data entry'!$B$19="Confirmed",'Data entry'!$B$19="Probable")),"sx","")</f>
        <v/>
      </c>
      <c r="AK45" t="str">
        <f>IF(AND(AK$4='Data entry'!$R$19, OR('Data entry'!$B$19="Confirmed",'Data entry'!$B$19="Probable")),"sx","")</f>
        <v/>
      </c>
      <c r="AL45" t="str">
        <f>IF(AND(AL$4='Data entry'!$R$19, OR('Data entry'!$B$19="Confirmed",'Data entry'!$B$19="Probable")),"sx","")</f>
        <v/>
      </c>
      <c r="AM45" t="str">
        <f>IF(AND(AM$4='Data entry'!$R$19, OR('Data entry'!$B$19="Confirmed",'Data entry'!$B$19="Probable")),"sx","")</f>
        <v/>
      </c>
      <c r="AN45" t="str">
        <f>IF(AND(AN$4='Data entry'!$R$19, OR('Data entry'!$B$19="Confirmed",'Data entry'!$B$19="Probable")),"sx","")</f>
        <v/>
      </c>
      <c r="AO45" t="str">
        <f>IF(AND(AO$4='Data entry'!$R$19, OR('Data entry'!$B$19="Confirmed",'Data entry'!$B$19="Probable")),"sx","")</f>
        <v/>
      </c>
      <c r="AP45" t="str">
        <f>IF(AND(AP$4='Data entry'!$R$19, OR('Data entry'!$B$19="Confirmed",'Data entry'!$B$19="Probable")),"sx","")</f>
        <v/>
      </c>
      <c r="AQ45" t="str">
        <f>IF(AND(AQ$4='Data entry'!$R$19, OR('Data entry'!$B$19="Confirmed",'Data entry'!$B$19="Probable")),"sx","")</f>
        <v/>
      </c>
      <c r="AR45" t="str">
        <f>IF(AND(AR$4='Data entry'!$R$19, OR('Data entry'!$B$19="Confirmed",'Data entry'!$B$19="Probable")),"sx","")</f>
        <v/>
      </c>
      <c r="AS45" t="str">
        <f>IF(AND(AS$4='Data entry'!$R$19, OR('Data entry'!$B$19="Confirmed",'Data entry'!$B$19="Probable")),"sx","")</f>
        <v/>
      </c>
      <c r="AT45" t="str">
        <f>IF(AND(AT$4='Data entry'!$R$19, OR('Data entry'!$B$19="Confirmed",'Data entry'!$B$19="Probable")),"sx","")</f>
        <v/>
      </c>
      <c r="AU45" t="str">
        <f>IF(AND(AU$4='Data entry'!$R$19, OR('Data entry'!$B$19="Confirmed",'Data entry'!$B$19="Probable")),"sx","")</f>
        <v/>
      </c>
      <c r="AV45" t="str">
        <f>IF(AND(AV$4='Data entry'!$R$19, OR('Data entry'!$B$19="Confirmed",'Data entry'!$B$19="Probable")),"sx","")</f>
        <v/>
      </c>
      <c r="AW45" t="str">
        <f>IF(AND(AW$4='Data entry'!$R$19, OR('Data entry'!$B$19="Confirmed",'Data entry'!$B$19="Probable")),"sx","")</f>
        <v/>
      </c>
      <c r="AX45" t="str">
        <f>IF(AND(AX$4='Data entry'!$R$19, OR('Data entry'!$B$19="Confirmed",'Data entry'!$B$19="Probable")),"sx","")</f>
        <v/>
      </c>
      <c r="AY45" t="str">
        <f>IF(AND(AY$4='Data entry'!$R$19, OR('Data entry'!$B$19="Confirmed",'Data entry'!$B$19="Probable")),"sx","")</f>
        <v/>
      </c>
      <c r="AZ45" t="str">
        <f>IF(AND(AZ$4='Data entry'!$R$19, OR('Data entry'!$B$19="Confirmed",'Data entry'!$B$19="Probable")),"sx","")</f>
        <v/>
      </c>
      <c r="BA45" t="str">
        <f>IF(AND(BA$4='Data entry'!$R$19, OR('Data entry'!$B$19="Confirmed",'Data entry'!$B$19="Probable")),"sx","")</f>
        <v/>
      </c>
      <c r="BB45" t="str">
        <f>IF(AND(BB$4='Data entry'!$R$19, OR('Data entry'!$B$19="Confirmed",'Data entry'!$B$19="Probable")),"sx","")</f>
        <v/>
      </c>
      <c r="BC45" t="str">
        <f>IF(AND(BC$4='Data entry'!$R$19, OR('Data entry'!$B$19="Confirmed",'Data entry'!$B$19="Probable")),"sx","")</f>
        <v/>
      </c>
      <c r="BD45" t="str">
        <f>IF(AND(BD$4='Data entry'!$R$19, OR('Data entry'!$B$19="Confirmed",'Data entry'!$B$19="Probable")),"sx","")</f>
        <v/>
      </c>
      <c r="BE45" t="str">
        <f>IF(AND(BE$4='Data entry'!$R$19, OR('Data entry'!$B$19="Confirmed",'Data entry'!$B$19="Probable")),"sx","")</f>
        <v/>
      </c>
      <c r="BF45" t="str">
        <f>IF(AND(BF$4='Data entry'!$R$19, OR('Data entry'!$B$19="Confirmed",'Data entry'!$B$19="Probable")),"sx","")</f>
        <v/>
      </c>
      <c r="BG45" t="str">
        <f>IF(AND(BG$4='Data entry'!$R$19, OR('Data entry'!$B$19="Confirmed",'Data entry'!$B$19="Probable")),"sx","")</f>
        <v/>
      </c>
      <c r="BH45" t="str">
        <f>IF(AND(BH$4='Data entry'!$R$19, OR('Data entry'!$B$19="Confirmed",'Data entry'!$B$19="Probable")),"sx","")</f>
        <v/>
      </c>
      <c r="BI45" t="str">
        <f>IF(AND(BI$4='Data entry'!$R$19, OR('Data entry'!$B$19="Confirmed",'Data entry'!$B$19="Probable")),"sx","")</f>
        <v/>
      </c>
      <c r="BJ45" t="str">
        <f>IF(AND(BJ$4='Data entry'!$R$19, OR('Data entry'!$B$19="Confirmed",'Data entry'!$B$19="Probable")),"sx","")</f>
        <v/>
      </c>
      <c r="BK45" t="str">
        <f>IF(AND(BK$4='Data entry'!$R$19, OR('Data entry'!$B$19="Confirmed",'Data entry'!$B$19="Probable")),"sx","")</f>
        <v/>
      </c>
      <c r="BL45" t="str">
        <f>IF(AND(BL$4='Data entry'!$R$19, OR('Data entry'!$B$19="Confirmed",'Data entry'!$B$19="Probable")),"sx","")</f>
        <v/>
      </c>
      <c r="BM45" t="str">
        <f>IF(AND(BM$4='Data entry'!$R$19, OR('Data entry'!$B$19="Confirmed",'Data entry'!$B$19="Probable")),"sx","")</f>
        <v/>
      </c>
      <c r="BN45" t="str">
        <f>IF(AND(BN$4='Data entry'!$R$19, OR('Data entry'!$B$19="Confirmed",'Data entry'!$B$19="Probable")),"sx","")</f>
        <v/>
      </c>
      <c r="BO45" t="str">
        <f>IF(AND(BO$4='Data entry'!$R$19, OR('Data entry'!$B$19="Confirmed",'Data entry'!$B$19="Probable")),"sx","")</f>
        <v/>
      </c>
      <c r="BP45" t="str">
        <f>IF(AND(BP$4='Data entry'!$R$19, OR('Data entry'!$B$19="Confirmed",'Data entry'!$B$19="Probable")),"sx","")</f>
        <v/>
      </c>
      <c r="BQ45" t="str">
        <f>IF(AND(BQ$4='Data entry'!$R$19, OR('Data entry'!$B$19="Confirmed",'Data entry'!$B$19="Probable")),"sx","")</f>
        <v/>
      </c>
      <c r="BR45" t="str">
        <f>IF(AND(BR$4='Data entry'!$R$19, OR('Data entry'!$B$19="Confirmed",'Data entry'!$B$19="Probable")),"sx","")</f>
        <v/>
      </c>
      <c r="BS45" t="str">
        <f>IF(AND(BS$4='Data entry'!$R$19, OR('Data entry'!$B$19="Confirmed",'Data entry'!$B$19="Probable")),"sx","")</f>
        <v/>
      </c>
      <c r="BT45" t="str">
        <f>IF(AND(BT$4='Data entry'!$R$19, OR('Data entry'!$B$19="Confirmed",'Data entry'!$B$19="Probable")),"sx","")</f>
        <v/>
      </c>
      <c r="BU45" t="str">
        <f>IF(AND(BU$4='Data entry'!$R$19, OR('Data entry'!$B$19="Confirmed",'Data entry'!$B$19="Probable")),"sx","")</f>
        <v/>
      </c>
      <c r="BV45" t="str">
        <f>IF(AND(BV$4='Data entry'!$R$19, OR('Data entry'!$B$19="Confirmed",'Data entry'!$B$19="Probable")),"sx","")</f>
        <v/>
      </c>
      <c r="BW45" t="str">
        <f>IF(AND(BW$4='Data entry'!$R$19, OR('Data entry'!$B$19="Confirmed",'Data entry'!$B$19="Probable")),"sx","")</f>
        <v/>
      </c>
      <c r="BX45" t="str">
        <f>IF(AND(BX$4='Data entry'!$R$19, OR('Data entry'!$B$19="Confirmed",'Data entry'!$B$19="Probable")),"sx","")</f>
        <v/>
      </c>
      <c r="BY45" t="str">
        <f>IF(AND(BY$4='Data entry'!$R$19, OR('Data entry'!$B$19="Confirmed",'Data entry'!$B$19="Probable")),"sx","")</f>
        <v/>
      </c>
      <c r="BZ45" t="str">
        <f>IF(AND(BZ$4='Data entry'!$R$19, OR('Data entry'!$B$19="Confirmed",'Data entry'!$B$19="Probable")),"sx","")</f>
        <v/>
      </c>
      <c r="CA45" t="str">
        <f>IF(AND(CA$4='Data entry'!$R$19, OR('Data entry'!$B$19="Confirmed",'Data entry'!$B$19="Probable")),"sx","")</f>
        <v/>
      </c>
      <c r="CB45" t="str">
        <f>IF(AND(CB$4='Data entry'!$R$19, OR('Data entry'!$B$19="Confirmed",'Data entry'!$B$19="Probable")),"sx","")</f>
        <v/>
      </c>
      <c r="CC45" t="str">
        <f>IF(AND(CC$4='Data entry'!$R$19, OR('Data entry'!$B$19="Confirmed",'Data entry'!$B$19="Probable")),"sx","")</f>
        <v/>
      </c>
    </row>
    <row r="46" spans="1:81" s="64" customFormat="1" ht="2.25" customHeight="1" thickBot="1" x14ac:dyDescent="0.25">
      <c r="A46" s="671"/>
      <c r="B46" s="672"/>
      <c r="C46" s="69"/>
    </row>
    <row r="47" spans="1:81" s="63" customFormat="1" ht="15.75" thickTop="1" x14ac:dyDescent="0.2">
      <c r="A47" s="670" t="str">
        <f>CONCATENATE('Data entry'!J20, " ", 'Data entry'!I20)</f>
        <v xml:space="preserve"> </v>
      </c>
      <c r="B47" s="670"/>
      <c r="C47" s="67"/>
    </row>
    <row r="48" spans="1:81" x14ac:dyDescent="0.2">
      <c r="A48" s="668" t="str">
        <f>CONCATENATE('Data entry'!B20, ", ", 'Data entry'!AO20, ", ", 'Data entry'!AR20)</f>
        <v xml:space="preserve">, , </v>
      </c>
      <c r="B48" s="668"/>
      <c r="C48" s="68"/>
      <c r="Q48" t="str">
        <f>IF(AND(Q$4='Data entry'!$R$20, OR('Data entry'!$B$20="Confirmed",'Data entry'!$B$20="Probable")),"sx","")</f>
        <v/>
      </c>
      <c r="R48" t="str">
        <f>IF(AND(R$4='Data entry'!$R$20, OR('Data entry'!$B$20="Confirmed",'Data entry'!$B$20="Probable")),"sx","")</f>
        <v/>
      </c>
      <c r="S48" t="str">
        <f>IF(AND(S$4='Data entry'!$R$20, OR('Data entry'!$B$20="Confirmed",'Data entry'!$B$20="Probable")),"sx","")</f>
        <v/>
      </c>
      <c r="T48" t="str">
        <f>IF(AND(T$4='Data entry'!$R$20, OR('Data entry'!$B$20="Confirmed",'Data entry'!$B$20="Probable")),"sx","")</f>
        <v/>
      </c>
      <c r="U48" t="str">
        <f>IF(AND(U$4='Data entry'!$R$20, OR('Data entry'!$B$20="Confirmed",'Data entry'!$B$20="Probable")),"sx","")</f>
        <v/>
      </c>
      <c r="V48" t="str">
        <f>IF(AND(V$4='Data entry'!$R$20, OR('Data entry'!$B$20="Confirmed",'Data entry'!$B$20="Probable")),"sx","")</f>
        <v/>
      </c>
      <c r="W48" t="str">
        <f>IF(AND(W$4='Data entry'!$R$20, OR('Data entry'!$B$20="Confirmed",'Data entry'!$B$20="Probable")),"sx","")</f>
        <v/>
      </c>
      <c r="X48" t="str">
        <f>IF(AND(X$4='Data entry'!$R$20, OR('Data entry'!$B$20="Confirmed",'Data entry'!$B$20="Probable")),"sx","")</f>
        <v/>
      </c>
      <c r="Y48" t="str">
        <f>IF(AND(Y$4='Data entry'!$R$20, OR('Data entry'!$B$20="Confirmed",'Data entry'!$B$20="Probable")),"sx","")</f>
        <v/>
      </c>
      <c r="Z48" t="str">
        <f>IF(AND(Z$4='Data entry'!$R$20, OR('Data entry'!$B$20="Confirmed",'Data entry'!$B$20="Probable")),"sx","")</f>
        <v/>
      </c>
      <c r="AA48" t="str">
        <f>IF(AND(AA$4='Data entry'!$R$20, OR('Data entry'!$B$20="Confirmed",'Data entry'!$B$20="Probable")),"sx","")</f>
        <v/>
      </c>
      <c r="AB48" t="str">
        <f>IF(AND(AB$4='Data entry'!$R$20, OR('Data entry'!$B$20="Confirmed",'Data entry'!$B$20="Probable")),"sx","")</f>
        <v/>
      </c>
      <c r="AC48" t="str">
        <f>IF(AND(AC$4='Data entry'!$R$20, OR('Data entry'!$B$20="Confirmed",'Data entry'!$B$20="Probable")),"sx","")</f>
        <v/>
      </c>
      <c r="AD48" t="str">
        <f>IF(AND(AD$4='Data entry'!$R$20, OR('Data entry'!$B$20="Confirmed",'Data entry'!$B$20="Probable")),"sx","")</f>
        <v/>
      </c>
      <c r="AE48" t="str">
        <f>IF(AND(AE$4='Data entry'!$R$20, OR('Data entry'!$B$20="Confirmed",'Data entry'!$B$20="Probable")),"sx","")</f>
        <v/>
      </c>
      <c r="AF48" t="str">
        <f>IF(AND(AF$4='Data entry'!$R$20, OR('Data entry'!$B$20="Confirmed",'Data entry'!$B$20="Probable")),"sx","")</f>
        <v/>
      </c>
      <c r="AG48" t="str">
        <f>IF(AND(AG$4='Data entry'!$R$20, OR('Data entry'!$B$20="Confirmed",'Data entry'!$B$20="Probable")),"sx","")</f>
        <v/>
      </c>
      <c r="AH48" t="str">
        <f>IF(AND(AH$4='Data entry'!$R$20, OR('Data entry'!$B$20="Confirmed",'Data entry'!$B$20="Probable")),"sx","")</f>
        <v/>
      </c>
      <c r="AI48" t="str">
        <f>IF(AND(AI$4='Data entry'!$R$20, OR('Data entry'!$B$20="Confirmed",'Data entry'!$B$20="Probable")),"sx","")</f>
        <v/>
      </c>
      <c r="AJ48" t="str">
        <f>IF(AND(AJ$4='Data entry'!$R$20, OR('Data entry'!$B$20="Confirmed",'Data entry'!$B$20="Probable")),"sx","")</f>
        <v/>
      </c>
      <c r="AK48" t="str">
        <f>IF(AND(AK$4='Data entry'!$R$20, OR('Data entry'!$B$20="Confirmed",'Data entry'!$B$20="Probable")),"sx","")</f>
        <v/>
      </c>
      <c r="AL48" t="str">
        <f>IF(AND(AL$4='Data entry'!$R$20, OR('Data entry'!$B$20="Confirmed",'Data entry'!$B$20="Probable")),"sx","")</f>
        <v/>
      </c>
      <c r="AM48" t="str">
        <f>IF(AND(AM$4='Data entry'!$R$20, OR('Data entry'!$B$20="Confirmed",'Data entry'!$B$20="Probable")),"sx","")</f>
        <v/>
      </c>
      <c r="AN48" t="str">
        <f>IF(AND(AN$4='Data entry'!$R$20, OR('Data entry'!$B$20="Confirmed",'Data entry'!$B$20="Probable")),"sx","")</f>
        <v/>
      </c>
      <c r="AO48" t="str">
        <f>IF(AND(AO$4='Data entry'!$R$20, OR('Data entry'!$B$20="Confirmed",'Data entry'!$B$20="Probable")),"sx","")</f>
        <v/>
      </c>
      <c r="AP48" t="str">
        <f>IF(AND(AP$4='Data entry'!$R$20, OR('Data entry'!$B$20="Confirmed",'Data entry'!$B$20="Probable")),"sx","")</f>
        <v/>
      </c>
      <c r="AQ48" t="str">
        <f>IF(AND(AQ$4='Data entry'!$R$20, OR('Data entry'!$B$20="Confirmed",'Data entry'!$B$20="Probable")),"sx","")</f>
        <v/>
      </c>
      <c r="AR48" t="str">
        <f>IF(AND(AR$4='Data entry'!$R$20, OR('Data entry'!$B$20="Confirmed",'Data entry'!$B$20="Probable")),"sx","")</f>
        <v/>
      </c>
      <c r="AS48" t="str">
        <f>IF(AND(AS$4='Data entry'!$R$20, OR('Data entry'!$B$20="Confirmed",'Data entry'!$B$20="Probable")),"sx","")</f>
        <v/>
      </c>
      <c r="AT48" t="str">
        <f>IF(AND(AT$4='Data entry'!$R$20, OR('Data entry'!$B$20="Confirmed",'Data entry'!$B$20="Probable")),"sx","")</f>
        <v/>
      </c>
      <c r="AU48" t="str">
        <f>IF(AND(AU$4='Data entry'!$R$20, OR('Data entry'!$B$20="Confirmed",'Data entry'!$B$20="Probable")),"sx","")</f>
        <v/>
      </c>
      <c r="AV48" t="str">
        <f>IF(AND(AV$4='Data entry'!$R$20, OR('Data entry'!$B$20="Confirmed",'Data entry'!$B$20="Probable")),"sx","")</f>
        <v/>
      </c>
      <c r="AW48" t="str">
        <f>IF(AND(AW$4='Data entry'!$R$20, OR('Data entry'!$B$20="Confirmed",'Data entry'!$B$20="Probable")),"sx","")</f>
        <v/>
      </c>
      <c r="AX48" t="str">
        <f>IF(AND(AX$4='Data entry'!$R$20, OR('Data entry'!$B$20="Confirmed",'Data entry'!$B$20="Probable")),"sx","")</f>
        <v/>
      </c>
      <c r="AY48" t="str">
        <f>IF(AND(AY$4='Data entry'!$R$20, OR('Data entry'!$B$20="Confirmed",'Data entry'!$B$20="Probable")),"sx","")</f>
        <v/>
      </c>
      <c r="AZ48" t="str">
        <f>IF(AND(AZ$4='Data entry'!$R$20, OR('Data entry'!$B$20="Confirmed",'Data entry'!$B$20="Probable")),"sx","")</f>
        <v/>
      </c>
      <c r="BA48" t="str">
        <f>IF(AND(BA$4='Data entry'!$R$20, OR('Data entry'!$B$20="Confirmed",'Data entry'!$B$20="Probable")),"sx","")</f>
        <v/>
      </c>
      <c r="BB48" t="str">
        <f>IF(AND(BB$4='Data entry'!$R$20, OR('Data entry'!$B$20="Confirmed",'Data entry'!$B$20="Probable")),"sx","")</f>
        <v/>
      </c>
      <c r="BC48" t="str">
        <f>IF(AND(BC$4='Data entry'!$R$20, OR('Data entry'!$B$20="Confirmed",'Data entry'!$B$20="Probable")),"sx","")</f>
        <v/>
      </c>
      <c r="BD48" t="str">
        <f>IF(AND(BD$4='Data entry'!$R$20, OR('Data entry'!$B$20="Confirmed",'Data entry'!$B$20="Probable")),"sx","")</f>
        <v/>
      </c>
      <c r="BE48" t="str">
        <f>IF(AND(BE$4='Data entry'!$R$20, OR('Data entry'!$B$20="Confirmed",'Data entry'!$B$20="Probable")),"sx","")</f>
        <v/>
      </c>
      <c r="BF48" t="str">
        <f>IF(AND(BF$4='Data entry'!$R$20, OR('Data entry'!$B$20="Confirmed",'Data entry'!$B$20="Probable")),"sx","")</f>
        <v/>
      </c>
      <c r="BG48" t="str">
        <f>IF(AND(BG$4='Data entry'!$R$20, OR('Data entry'!$B$20="Confirmed",'Data entry'!$B$20="Probable")),"sx","")</f>
        <v/>
      </c>
      <c r="BH48" t="str">
        <f>IF(AND(BH$4='Data entry'!$R$20, OR('Data entry'!$B$20="Confirmed",'Data entry'!$B$20="Probable")),"sx","")</f>
        <v/>
      </c>
      <c r="BI48" t="str">
        <f>IF(AND(BI$4='Data entry'!$R$20, OR('Data entry'!$B$20="Confirmed",'Data entry'!$B$20="Probable")),"sx","")</f>
        <v/>
      </c>
      <c r="BJ48" t="str">
        <f>IF(AND(BJ$4='Data entry'!$R$20, OR('Data entry'!$B$20="Confirmed",'Data entry'!$B$20="Probable")),"sx","")</f>
        <v/>
      </c>
      <c r="BK48" t="str">
        <f>IF(AND(BK$4='Data entry'!$R$20, OR('Data entry'!$B$20="Confirmed",'Data entry'!$B$20="Probable")),"sx","")</f>
        <v/>
      </c>
      <c r="BL48" t="str">
        <f>IF(AND(BL$4='Data entry'!$R$20, OR('Data entry'!$B$20="Confirmed",'Data entry'!$B$20="Probable")),"sx","")</f>
        <v/>
      </c>
      <c r="BM48" t="str">
        <f>IF(AND(BM$4='Data entry'!$R$20, OR('Data entry'!$B$20="Confirmed",'Data entry'!$B$20="Probable")),"sx","")</f>
        <v/>
      </c>
      <c r="BN48" t="str">
        <f>IF(AND(BN$4='Data entry'!$R$20, OR('Data entry'!$B$20="Confirmed",'Data entry'!$B$20="Probable")),"sx","")</f>
        <v/>
      </c>
      <c r="BO48" t="str">
        <f>IF(AND(BO$4='Data entry'!$R$20, OR('Data entry'!$B$20="Confirmed",'Data entry'!$B$20="Probable")),"sx","")</f>
        <v/>
      </c>
      <c r="BP48" t="str">
        <f>IF(AND(BP$4='Data entry'!$R$20, OR('Data entry'!$B$20="Confirmed",'Data entry'!$B$20="Probable")),"sx","")</f>
        <v/>
      </c>
      <c r="BQ48" t="str">
        <f>IF(AND(BQ$4='Data entry'!$R$20, OR('Data entry'!$B$20="Confirmed",'Data entry'!$B$20="Probable")),"sx","")</f>
        <v/>
      </c>
      <c r="BR48" t="str">
        <f>IF(AND(BR$4='Data entry'!$R$20, OR('Data entry'!$B$20="Confirmed",'Data entry'!$B$20="Probable")),"sx","")</f>
        <v/>
      </c>
      <c r="BS48" t="str">
        <f>IF(AND(BS$4='Data entry'!$R$20, OR('Data entry'!$B$20="Confirmed",'Data entry'!$B$20="Probable")),"sx","")</f>
        <v/>
      </c>
      <c r="BT48" t="str">
        <f>IF(AND(BT$4='Data entry'!$R$20, OR('Data entry'!$B$20="Confirmed",'Data entry'!$B$20="Probable")),"sx","")</f>
        <v/>
      </c>
      <c r="BU48" t="str">
        <f>IF(AND(BU$4='Data entry'!$R$20, OR('Data entry'!$B$20="Confirmed",'Data entry'!$B$20="Probable")),"sx","")</f>
        <v/>
      </c>
      <c r="BV48" t="str">
        <f>IF(AND(BV$4='Data entry'!$R$20, OR('Data entry'!$B$20="Confirmed",'Data entry'!$B$20="Probable")),"sx","")</f>
        <v/>
      </c>
      <c r="BW48" t="str">
        <f>IF(AND(BW$4='Data entry'!$R$20, OR('Data entry'!$B$20="Confirmed",'Data entry'!$B$20="Probable")),"sx","")</f>
        <v/>
      </c>
      <c r="BX48" t="str">
        <f>IF(AND(BX$4='Data entry'!$R$20, OR('Data entry'!$B$20="Confirmed",'Data entry'!$B$20="Probable")),"sx","")</f>
        <v/>
      </c>
      <c r="BY48" t="str">
        <f>IF(AND(BY$4='Data entry'!$R$20, OR('Data entry'!$B$20="Confirmed",'Data entry'!$B$20="Probable")),"sx","")</f>
        <v/>
      </c>
      <c r="BZ48" t="str">
        <f>IF(AND(BZ$4='Data entry'!$R$20, OR('Data entry'!$B$20="Confirmed",'Data entry'!$B$20="Probable")),"sx","")</f>
        <v/>
      </c>
      <c r="CA48" t="str">
        <f>IF(AND(CA$4='Data entry'!$R$20, OR('Data entry'!$B$20="Confirmed",'Data entry'!$B$20="Probable")),"sx","")</f>
        <v/>
      </c>
      <c r="CB48" t="str">
        <f>IF(AND(CB$4='Data entry'!$R$20, OR('Data entry'!$B$20="Confirmed",'Data entry'!$B$20="Probable")),"sx","")</f>
        <v/>
      </c>
      <c r="CC48" t="str">
        <f>IF(AND(CC$4='Data entry'!$R$20, OR('Data entry'!$B$20="Confirmed",'Data entry'!$B$20="Probable")),"sx","")</f>
        <v/>
      </c>
    </row>
    <row r="49" spans="1:81" s="64" customFormat="1" ht="2.25" customHeight="1" thickBot="1" x14ac:dyDescent="0.25">
      <c r="A49" s="671"/>
      <c r="B49" s="672"/>
      <c r="C49" s="69"/>
    </row>
    <row r="50" spans="1:81" s="63" customFormat="1" ht="15.75" thickTop="1" x14ac:dyDescent="0.2">
      <c r="A50" s="670" t="str">
        <f>CONCATENATE('Data entry'!J21, " ", 'Data entry'!I21)</f>
        <v xml:space="preserve"> </v>
      </c>
      <c r="B50" s="670"/>
      <c r="C50" s="67"/>
    </row>
    <row r="51" spans="1:81" x14ac:dyDescent="0.2">
      <c r="A51" s="668" t="str">
        <f>CONCATENATE('Data entry'!B21, ", ", 'Data entry'!AO21, ", ", 'Data entry'!AR21)</f>
        <v xml:space="preserve">, , </v>
      </c>
      <c r="B51" s="668"/>
      <c r="C51" s="68"/>
      <c r="Q51" t="str">
        <f>IF(AND(Q$4='Data entry'!$R$21, OR('Data entry'!$B$21="Confirmed",'Data entry'!$B$21="Probable")),"sx","")</f>
        <v/>
      </c>
      <c r="R51" t="str">
        <f>IF(AND(R$4='Data entry'!$R$21, OR('Data entry'!$B$21="Confirmed",'Data entry'!$B$21="Probable")),"sx","")</f>
        <v/>
      </c>
      <c r="S51" t="str">
        <f>IF(AND(S$4='Data entry'!$R$21, OR('Data entry'!$B$21="Confirmed",'Data entry'!$B$21="Probable")),"sx","")</f>
        <v/>
      </c>
      <c r="T51" t="str">
        <f>IF(AND(T$4='Data entry'!$R$21, OR('Data entry'!$B$21="Confirmed",'Data entry'!$B$21="Probable")),"sx","")</f>
        <v/>
      </c>
      <c r="U51" t="str">
        <f>IF(AND(U$4='Data entry'!$R$21, OR('Data entry'!$B$21="Confirmed",'Data entry'!$B$21="Probable")),"sx","")</f>
        <v/>
      </c>
      <c r="V51" t="str">
        <f>IF(AND(V$4='Data entry'!$R$21, OR('Data entry'!$B$21="Confirmed",'Data entry'!$B$21="Probable")),"sx","")</f>
        <v/>
      </c>
      <c r="W51" t="str">
        <f>IF(AND(W$4='Data entry'!$R$21, OR('Data entry'!$B$21="Confirmed",'Data entry'!$B$21="Probable")),"sx","")</f>
        <v/>
      </c>
      <c r="X51" t="str">
        <f>IF(AND(X$4='Data entry'!$R$21, OR('Data entry'!$B$21="Confirmed",'Data entry'!$B$21="Probable")),"sx","")</f>
        <v/>
      </c>
      <c r="Y51" t="str">
        <f>IF(AND(Y$4='Data entry'!$R$21, OR('Data entry'!$B$21="Confirmed",'Data entry'!$B$21="Probable")),"sx","")</f>
        <v/>
      </c>
      <c r="Z51" t="str">
        <f>IF(AND(Z$4='Data entry'!$R$21, OR('Data entry'!$B$21="Confirmed",'Data entry'!$B$21="Probable")),"sx","")</f>
        <v/>
      </c>
      <c r="AA51" t="str">
        <f>IF(AND(AA$4='Data entry'!$R$21, OR('Data entry'!$B$21="Confirmed",'Data entry'!$B$21="Probable")),"sx","")</f>
        <v/>
      </c>
      <c r="AB51" t="str">
        <f>IF(AND(AB$4='Data entry'!$R$21, OR('Data entry'!$B$21="Confirmed",'Data entry'!$B$21="Probable")),"sx","")</f>
        <v/>
      </c>
      <c r="AC51" t="str">
        <f>IF(AND(AC$4='Data entry'!$R$21, OR('Data entry'!$B$21="Confirmed",'Data entry'!$B$21="Probable")),"sx","")</f>
        <v/>
      </c>
      <c r="AD51" t="str">
        <f>IF(AND(AD$4='Data entry'!$R$21, OR('Data entry'!$B$21="Confirmed",'Data entry'!$B$21="Probable")),"sx","")</f>
        <v/>
      </c>
      <c r="AE51" t="str">
        <f>IF(AND(AE$4='Data entry'!$R$21, OR('Data entry'!$B$21="Confirmed",'Data entry'!$B$21="Probable")),"sx","")</f>
        <v/>
      </c>
      <c r="AF51" t="str">
        <f>IF(AND(AF$4='Data entry'!$R$21, OR('Data entry'!$B$21="Confirmed",'Data entry'!$B$21="Probable")),"sx","")</f>
        <v/>
      </c>
      <c r="AG51" t="str">
        <f>IF(AND(AG$4='Data entry'!$R$21, OR('Data entry'!$B$21="Confirmed",'Data entry'!$B$21="Probable")),"sx","")</f>
        <v/>
      </c>
      <c r="AH51" t="str">
        <f>IF(AND(AH$4='Data entry'!$R$21, OR('Data entry'!$B$21="Confirmed",'Data entry'!$B$21="Probable")),"sx","")</f>
        <v/>
      </c>
      <c r="AI51" t="str">
        <f>IF(AND(AI$4='Data entry'!$R$21, OR('Data entry'!$B$21="Confirmed",'Data entry'!$B$21="Probable")),"sx","")</f>
        <v/>
      </c>
      <c r="AJ51" t="str">
        <f>IF(AND(AJ$4='Data entry'!$R$21, OR('Data entry'!$B$21="Confirmed",'Data entry'!$B$21="Probable")),"sx","")</f>
        <v/>
      </c>
      <c r="AK51" t="str">
        <f>IF(AND(AK$4='Data entry'!$R$21, OR('Data entry'!$B$21="Confirmed",'Data entry'!$B$21="Probable")),"sx","")</f>
        <v/>
      </c>
      <c r="AL51" t="str">
        <f>IF(AND(AL$4='Data entry'!$R$21, OR('Data entry'!$B$21="Confirmed",'Data entry'!$B$21="Probable")),"sx","")</f>
        <v/>
      </c>
      <c r="AM51" t="str">
        <f>IF(AND(AM$4='Data entry'!$R$21, OR('Data entry'!$B$21="Confirmed",'Data entry'!$B$21="Probable")),"sx","")</f>
        <v/>
      </c>
      <c r="AN51" t="str">
        <f>IF(AND(AN$4='Data entry'!$R$21, OR('Data entry'!$B$21="Confirmed",'Data entry'!$B$21="Probable")),"sx","")</f>
        <v/>
      </c>
      <c r="AO51" t="str">
        <f>IF(AND(AO$4='Data entry'!$R$21, OR('Data entry'!$B$21="Confirmed",'Data entry'!$B$21="Probable")),"sx","")</f>
        <v/>
      </c>
      <c r="AP51" t="str">
        <f>IF(AND(AP$4='Data entry'!$R$21, OR('Data entry'!$B$21="Confirmed",'Data entry'!$B$21="Probable")),"sx","")</f>
        <v/>
      </c>
      <c r="AQ51" t="str">
        <f>IF(AND(AQ$4='Data entry'!$R$21, OR('Data entry'!$B$21="Confirmed",'Data entry'!$B$21="Probable")),"sx","")</f>
        <v/>
      </c>
      <c r="AR51" t="str">
        <f>IF(AND(AR$4='Data entry'!$R$21, OR('Data entry'!$B$21="Confirmed",'Data entry'!$B$21="Probable")),"sx","")</f>
        <v/>
      </c>
      <c r="AS51" t="str">
        <f>IF(AND(AS$4='Data entry'!$R$21, OR('Data entry'!$B$21="Confirmed",'Data entry'!$B$21="Probable")),"sx","")</f>
        <v/>
      </c>
      <c r="AT51" t="str">
        <f>IF(AND(AT$4='Data entry'!$R$21, OR('Data entry'!$B$21="Confirmed",'Data entry'!$B$21="Probable")),"sx","")</f>
        <v/>
      </c>
      <c r="AU51" t="str">
        <f>IF(AND(AU$4='Data entry'!$R$21, OR('Data entry'!$B$21="Confirmed",'Data entry'!$B$21="Probable")),"sx","")</f>
        <v/>
      </c>
      <c r="AV51" t="str">
        <f>IF(AND(AV$4='Data entry'!$R$21, OR('Data entry'!$B$21="Confirmed",'Data entry'!$B$21="Probable")),"sx","")</f>
        <v/>
      </c>
      <c r="AW51" t="str">
        <f>IF(AND(AW$4='Data entry'!$R$21, OR('Data entry'!$B$21="Confirmed",'Data entry'!$B$21="Probable")),"sx","")</f>
        <v/>
      </c>
      <c r="AX51" t="str">
        <f>IF(AND(AX$4='Data entry'!$R$21, OR('Data entry'!$B$21="Confirmed",'Data entry'!$B$21="Probable")),"sx","")</f>
        <v/>
      </c>
      <c r="AY51" t="str">
        <f>IF(AND(AY$4='Data entry'!$R$21, OR('Data entry'!$B$21="Confirmed",'Data entry'!$B$21="Probable")),"sx","")</f>
        <v/>
      </c>
      <c r="AZ51" t="str">
        <f>IF(AND(AZ$4='Data entry'!$R$21, OR('Data entry'!$B$21="Confirmed",'Data entry'!$B$21="Probable")),"sx","")</f>
        <v/>
      </c>
      <c r="BA51" t="str">
        <f>IF(AND(BA$4='Data entry'!$R$21, OR('Data entry'!$B$21="Confirmed",'Data entry'!$B$21="Probable")),"sx","")</f>
        <v/>
      </c>
      <c r="BB51" t="str">
        <f>IF(AND(BB$4='Data entry'!$R$21, OR('Data entry'!$B$21="Confirmed",'Data entry'!$B$21="Probable")),"sx","")</f>
        <v/>
      </c>
      <c r="BC51" t="str">
        <f>IF(AND(BC$4='Data entry'!$R$21, OR('Data entry'!$B$21="Confirmed",'Data entry'!$B$21="Probable")),"sx","")</f>
        <v/>
      </c>
      <c r="BD51" t="str">
        <f>IF(AND(BD$4='Data entry'!$R$21, OR('Data entry'!$B$21="Confirmed",'Data entry'!$B$21="Probable")),"sx","")</f>
        <v/>
      </c>
      <c r="BE51" t="str">
        <f>IF(AND(BE$4='Data entry'!$R$21, OR('Data entry'!$B$21="Confirmed",'Data entry'!$B$21="Probable")),"sx","")</f>
        <v/>
      </c>
      <c r="BF51" t="str">
        <f>IF(AND(BF$4='Data entry'!$R$21, OR('Data entry'!$B$21="Confirmed",'Data entry'!$B$21="Probable")),"sx","")</f>
        <v/>
      </c>
      <c r="BG51" t="str">
        <f>IF(AND(BG$4='Data entry'!$R$21, OR('Data entry'!$B$21="Confirmed",'Data entry'!$B$21="Probable")),"sx","")</f>
        <v/>
      </c>
      <c r="BH51" t="str">
        <f>IF(AND(BH$4='Data entry'!$R$21, OR('Data entry'!$B$21="Confirmed",'Data entry'!$B$21="Probable")),"sx","")</f>
        <v/>
      </c>
      <c r="BI51" t="str">
        <f>IF(AND(BI$4='Data entry'!$R$21, OR('Data entry'!$B$21="Confirmed",'Data entry'!$B$21="Probable")),"sx","")</f>
        <v/>
      </c>
      <c r="BJ51" t="str">
        <f>IF(AND(BJ$4='Data entry'!$R$21, OR('Data entry'!$B$21="Confirmed",'Data entry'!$B$21="Probable")),"sx","")</f>
        <v/>
      </c>
      <c r="BK51" t="str">
        <f>IF(AND(BK$4='Data entry'!$R$21, OR('Data entry'!$B$21="Confirmed",'Data entry'!$B$21="Probable")),"sx","")</f>
        <v/>
      </c>
      <c r="BL51" t="str">
        <f>IF(AND(BL$4='Data entry'!$R$21, OR('Data entry'!$B$21="Confirmed",'Data entry'!$B$21="Probable")),"sx","")</f>
        <v/>
      </c>
      <c r="BM51" t="str">
        <f>IF(AND(BM$4='Data entry'!$R$21, OR('Data entry'!$B$21="Confirmed",'Data entry'!$B$21="Probable")),"sx","")</f>
        <v/>
      </c>
      <c r="BN51" t="str">
        <f>IF(AND(BN$4='Data entry'!$R$21, OR('Data entry'!$B$21="Confirmed",'Data entry'!$B$21="Probable")),"sx","")</f>
        <v/>
      </c>
      <c r="BO51" t="str">
        <f>IF(AND(BO$4='Data entry'!$R$21, OR('Data entry'!$B$21="Confirmed",'Data entry'!$B$21="Probable")),"sx","")</f>
        <v/>
      </c>
      <c r="BP51" t="str">
        <f>IF(AND(BP$4='Data entry'!$R$21, OR('Data entry'!$B$21="Confirmed",'Data entry'!$B$21="Probable")),"sx","")</f>
        <v/>
      </c>
      <c r="BQ51" t="str">
        <f>IF(AND(BQ$4='Data entry'!$R$21, OR('Data entry'!$B$21="Confirmed",'Data entry'!$B$21="Probable")),"sx","")</f>
        <v/>
      </c>
      <c r="BR51" t="str">
        <f>IF(AND(BR$4='Data entry'!$R$21, OR('Data entry'!$B$21="Confirmed",'Data entry'!$B$21="Probable")),"sx","")</f>
        <v/>
      </c>
      <c r="BS51" t="str">
        <f>IF(AND(BS$4='Data entry'!$R$21, OR('Data entry'!$B$21="Confirmed",'Data entry'!$B$21="Probable")),"sx","")</f>
        <v/>
      </c>
      <c r="BT51" t="str">
        <f>IF(AND(BT$4='Data entry'!$R$21, OR('Data entry'!$B$21="Confirmed",'Data entry'!$B$21="Probable")),"sx","")</f>
        <v/>
      </c>
      <c r="BU51" t="str">
        <f>IF(AND(BU$4='Data entry'!$R$21, OR('Data entry'!$B$21="Confirmed",'Data entry'!$B$21="Probable")),"sx","")</f>
        <v/>
      </c>
      <c r="BV51" t="str">
        <f>IF(AND(BV$4='Data entry'!$R$21, OR('Data entry'!$B$21="Confirmed",'Data entry'!$B$21="Probable")),"sx","")</f>
        <v/>
      </c>
      <c r="BW51" t="str">
        <f>IF(AND(BW$4='Data entry'!$R$21, OR('Data entry'!$B$21="Confirmed",'Data entry'!$B$21="Probable")),"sx","")</f>
        <v/>
      </c>
      <c r="BX51" t="str">
        <f>IF(AND(BX$4='Data entry'!$R$21, OR('Data entry'!$B$21="Confirmed",'Data entry'!$B$21="Probable")),"sx","")</f>
        <v/>
      </c>
      <c r="BY51" t="str">
        <f>IF(AND(BY$4='Data entry'!$R$21, OR('Data entry'!$B$21="Confirmed",'Data entry'!$B$21="Probable")),"sx","")</f>
        <v/>
      </c>
      <c r="BZ51" t="str">
        <f>IF(AND(BZ$4='Data entry'!$R$21, OR('Data entry'!$B$21="Confirmed",'Data entry'!$B$21="Probable")),"sx","")</f>
        <v/>
      </c>
      <c r="CA51" t="str">
        <f>IF(AND(CA$4='Data entry'!$R$21, OR('Data entry'!$B$21="Confirmed",'Data entry'!$B$21="Probable")),"sx","")</f>
        <v/>
      </c>
      <c r="CB51" t="str">
        <f>IF(AND(CB$4='Data entry'!$R$21, OR('Data entry'!$B$21="Confirmed",'Data entry'!$B$21="Probable")),"sx","")</f>
        <v/>
      </c>
      <c r="CC51" t="str">
        <f>IF(AND(CC$4='Data entry'!$R$21, OR('Data entry'!$B$21="Confirmed",'Data entry'!$B$21="Probable")),"sx","")</f>
        <v/>
      </c>
    </row>
    <row r="52" spans="1:81" s="64" customFormat="1" ht="2.25" customHeight="1" thickBot="1" x14ac:dyDescent="0.25">
      <c r="A52" s="671"/>
      <c r="B52" s="672"/>
      <c r="C52" s="69"/>
    </row>
    <row r="53" spans="1:81" s="63" customFormat="1" ht="15.75" thickTop="1" x14ac:dyDescent="0.2">
      <c r="A53" s="670" t="str">
        <f>CONCATENATE('Data entry'!J22, " ", 'Data entry'!I22)</f>
        <v xml:space="preserve"> </v>
      </c>
      <c r="B53" s="670"/>
      <c r="C53" s="67"/>
    </row>
    <row r="54" spans="1:81" x14ac:dyDescent="0.2">
      <c r="A54" s="668" t="str">
        <f>CONCATENATE('Data entry'!B22, ", ", 'Data entry'!AO22, ", ", 'Data entry'!AR22)</f>
        <v xml:space="preserve">, , </v>
      </c>
      <c r="B54" s="668"/>
      <c r="C54" s="68"/>
      <c r="Q54" t="str">
        <f>IF(AND(Q$4='Data entry'!$R$22, OR('Data entry'!$B$22="Confirmed",'Data entry'!$B$22="Probable")),"sx","")</f>
        <v/>
      </c>
      <c r="R54" t="str">
        <f>IF(AND(R$4='Data entry'!$R$22, OR('Data entry'!$B$22="Confirmed",'Data entry'!$B$22="Probable")),"sx","")</f>
        <v/>
      </c>
      <c r="S54" t="str">
        <f>IF(AND(S$4='Data entry'!$R$22, OR('Data entry'!$B$22="Confirmed",'Data entry'!$B$22="Probable")),"sx","")</f>
        <v/>
      </c>
      <c r="T54" t="str">
        <f>IF(AND(T$4='Data entry'!$R$22, OR('Data entry'!$B$22="Confirmed",'Data entry'!$B$22="Probable")),"sx","")</f>
        <v/>
      </c>
      <c r="U54" t="str">
        <f>IF(AND(U$4='Data entry'!$R$22, OR('Data entry'!$B$22="Confirmed",'Data entry'!$B$22="Probable")),"sx","")</f>
        <v/>
      </c>
      <c r="V54" t="str">
        <f>IF(AND(V$4='Data entry'!$R$22, OR('Data entry'!$B$22="Confirmed",'Data entry'!$B$22="Probable")),"sx","")</f>
        <v/>
      </c>
      <c r="W54" t="str">
        <f>IF(AND(W$4='Data entry'!$R$22, OR('Data entry'!$B$22="Confirmed",'Data entry'!$B$22="Probable")),"sx","")</f>
        <v/>
      </c>
      <c r="X54" t="str">
        <f>IF(AND(X$4='Data entry'!$R$22, OR('Data entry'!$B$22="Confirmed",'Data entry'!$B$22="Probable")),"sx","")</f>
        <v/>
      </c>
      <c r="Y54" t="str">
        <f>IF(AND(Y$4='Data entry'!$R$22, OR('Data entry'!$B$22="Confirmed",'Data entry'!$B$22="Probable")),"sx","")</f>
        <v/>
      </c>
      <c r="Z54" t="str">
        <f>IF(AND(Z$4='Data entry'!$R$22, OR('Data entry'!$B$22="Confirmed",'Data entry'!$B$22="Probable")),"sx","")</f>
        <v/>
      </c>
      <c r="AA54" t="str">
        <f>IF(AND(AA$4='Data entry'!$R$22, OR('Data entry'!$B$22="Confirmed",'Data entry'!$B$22="Probable")),"sx","")</f>
        <v/>
      </c>
      <c r="AB54" t="str">
        <f>IF(AND(AB$4='Data entry'!$R$22, OR('Data entry'!$B$22="Confirmed",'Data entry'!$B$22="Probable")),"sx","")</f>
        <v/>
      </c>
      <c r="AC54" t="str">
        <f>IF(AND(AC$4='Data entry'!$R$22, OR('Data entry'!$B$22="Confirmed",'Data entry'!$B$22="Probable")),"sx","")</f>
        <v/>
      </c>
      <c r="AD54" t="str">
        <f>IF(AND(AD$4='Data entry'!$R$22, OR('Data entry'!$B$22="Confirmed",'Data entry'!$B$22="Probable")),"sx","")</f>
        <v/>
      </c>
      <c r="AE54" t="str">
        <f>IF(AND(AE$4='Data entry'!$R$22, OR('Data entry'!$B$22="Confirmed",'Data entry'!$B$22="Probable")),"sx","")</f>
        <v/>
      </c>
      <c r="AF54" t="str">
        <f>IF(AND(AF$4='Data entry'!$R$22, OR('Data entry'!$B$22="Confirmed",'Data entry'!$B$22="Probable")),"sx","")</f>
        <v/>
      </c>
      <c r="AG54" t="str">
        <f>IF(AND(AG$4='Data entry'!$R$22, OR('Data entry'!$B$22="Confirmed",'Data entry'!$B$22="Probable")),"sx","")</f>
        <v/>
      </c>
      <c r="AH54" t="str">
        <f>IF(AND(AH$4='Data entry'!$R$22, OR('Data entry'!$B$22="Confirmed",'Data entry'!$B$22="Probable")),"sx","")</f>
        <v/>
      </c>
      <c r="AI54" t="str">
        <f>IF(AND(AI$4='Data entry'!$R$22, OR('Data entry'!$B$22="Confirmed",'Data entry'!$B$22="Probable")),"sx","")</f>
        <v/>
      </c>
      <c r="AJ54" t="str">
        <f>IF(AND(AJ$4='Data entry'!$R$22, OR('Data entry'!$B$22="Confirmed",'Data entry'!$B$22="Probable")),"sx","")</f>
        <v/>
      </c>
      <c r="AK54" t="str">
        <f>IF(AND(AK$4='Data entry'!$R$22, OR('Data entry'!$B$22="Confirmed",'Data entry'!$B$22="Probable")),"sx","")</f>
        <v/>
      </c>
      <c r="AL54" t="str">
        <f>IF(AND(AL$4='Data entry'!$R$22, OR('Data entry'!$B$22="Confirmed",'Data entry'!$B$22="Probable")),"sx","")</f>
        <v/>
      </c>
      <c r="AM54" t="str">
        <f>IF(AND(AM$4='Data entry'!$R$22, OR('Data entry'!$B$22="Confirmed",'Data entry'!$B$22="Probable")),"sx","")</f>
        <v/>
      </c>
      <c r="AN54" t="str">
        <f>IF(AND(AN$4='Data entry'!$R$22, OR('Data entry'!$B$22="Confirmed",'Data entry'!$B$22="Probable")),"sx","")</f>
        <v/>
      </c>
      <c r="AO54" t="str">
        <f>IF(AND(AO$4='Data entry'!$R$22, OR('Data entry'!$B$22="Confirmed",'Data entry'!$B$22="Probable")),"sx","")</f>
        <v/>
      </c>
      <c r="AP54" t="str">
        <f>IF(AND(AP$4='Data entry'!$R$22, OR('Data entry'!$B$22="Confirmed",'Data entry'!$B$22="Probable")),"sx","")</f>
        <v/>
      </c>
      <c r="AQ54" t="str">
        <f>IF(AND(AQ$4='Data entry'!$R$22, OR('Data entry'!$B$22="Confirmed",'Data entry'!$B$22="Probable")),"sx","")</f>
        <v/>
      </c>
      <c r="AR54" t="str">
        <f>IF(AND(AR$4='Data entry'!$R$22, OR('Data entry'!$B$22="Confirmed",'Data entry'!$B$22="Probable")),"sx","")</f>
        <v/>
      </c>
      <c r="AS54" t="str">
        <f>IF(AND(AS$4='Data entry'!$R$22, OR('Data entry'!$B$22="Confirmed",'Data entry'!$B$22="Probable")),"sx","")</f>
        <v/>
      </c>
      <c r="AT54" t="str">
        <f>IF(AND(AT$4='Data entry'!$R$22, OR('Data entry'!$B$22="Confirmed",'Data entry'!$B$22="Probable")),"sx","")</f>
        <v/>
      </c>
      <c r="AU54" t="str">
        <f>IF(AND(AU$4='Data entry'!$R$22, OR('Data entry'!$B$22="Confirmed",'Data entry'!$B$22="Probable")),"sx","")</f>
        <v/>
      </c>
      <c r="AV54" t="str">
        <f>IF(AND(AV$4='Data entry'!$R$22, OR('Data entry'!$B$22="Confirmed",'Data entry'!$B$22="Probable")),"sx","")</f>
        <v/>
      </c>
      <c r="AW54" t="str">
        <f>IF(AND(AW$4='Data entry'!$R$22, OR('Data entry'!$B$22="Confirmed",'Data entry'!$B$22="Probable")),"sx","")</f>
        <v/>
      </c>
      <c r="AX54" t="str">
        <f>IF(AND(AX$4='Data entry'!$R$22, OR('Data entry'!$B$22="Confirmed",'Data entry'!$B$22="Probable")),"sx","")</f>
        <v/>
      </c>
      <c r="AY54" t="str">
        <f>IF(AND(AY$4='Data entry'!$R$22, OR('Data entry'!$B$22="Confirmed",'Data entry'!$B$22="Probable")),"sx","")</f>
        <v/>
      </c>
      <c r="AZ54" t="str">
        <f>IF(AND(AZ$4='Data entry'!$R$22, OR('Data entry'!$B$22="Confirmed",'Data entry'!$B$22="Probable")),"sx","")</f>
        <v/>
      </c>
      <c r="BA54" t="str">
        <f>IF(AND(BA$4='Data entry'!$R$22, OR('Data entry'!$B$22="Confirmed",'Data entry'!$B$22="Probable")),"sx","")</f>
        <v/>
      </c>
      <c r="BB54" t="str">
        <f>IF(AND(BB$4='Data entry'!$R$22, OR('Data entry'!$B$22="Confirmed",'Data entry'!$B$22="Probable")),"sx","")</f>
        <v/>
      </c>
      <c r="BC54" t="str">
        <f>IF(AND(BC$4='Data entry'!$R$22, OR('Data entry'!$B$22="Confirmed",'Data entry'!$B$22="Probable")),"sx","")</f>
        <v/>
      </c>
      <c r="BD54" t="str">
        <f>IF(AND(BD$4='Data entry'!$R$22, OR('Data entry'!$B$22="Confirmed",'Data entry'!$B$22="Probable")),"sx","")</f>
        <v/>
      </c>
      <c r="BE54" t="str">
        <f>IF(AND(BE$4='Data entry'!$R$22, OR('Data entry'!$B$22="Confirmed",'Data entry'!$B$22="Probable")),"sx","")</f>
        <v/>
      </c>
      <c r="BF54" t="str">
        <f>IF(AND(BF$4='Data entry'!$R$22, OR('Data entry'!$B$22="Confirmed",'Data entry'!$B$22="Probable")),"sx","")</f>
        <v/>
      </c>
      <c r="BG54" t="str">
        <f>IF(AND(BG$4='Data entry'!$R$22, OR('Data entry'!$B$22="Confirmed",'Data entry'!$B$22="Probable")),"sx","")</f>
        <v/>
      </c>
      <c r="BH54" t="str">
        <f>IF(AND(BH$4='Data entry'!$R$22, OR('Data entry'!$B$22="Confirmed",'Data entry'!$B$22="Probable")),"sx","")</f>
        <v/>
      </c>
      <c r="BI54" t="str">
        <f>IF(AND(BI$4='Data entry'!$R$22, OR('Data entry'!$B$22="Confirmed",'Data entry'!$B$22="Probable")),"sx","")</f>
        <v/>
      </c>
      <c r="BJ54" t="str">
        <f>IF(AND(BJ$4='Data entry'!$R$22, OR('Data entry'!$B$22="Confirmed",'Data entry'!$B$22="Probable")),"sx","")</f>
        <v/>
      </c>
      <c r="BK54" t="str">
        <f>IF(AND(BK$4='Data entry'!$R$22, OR('Data entry'!$B$22="Confirmed",'Data entry'!$B$22="Probable")),"sx","")</f>
        <v/>
      </c>
      <c r="BL54" t="str">
        <f>IF(AND(BL$4='Data entry'!$R$22, OR('Data entry'!$B$22="Confirmed",'Data entry'!$B$22="Probable")),"sx","")</f>
        <v/>
      </c>
      <c r="BM54" t="str">
        <f>IF(AND(BM$4='Data entry'!$R$22, OR('Data entry'!$B$22="Confirmed",'Data entry'!$B$22="Probable")),"sx","")</f>
        <v/>
      </c>
      <c r="BN54" t="str">
        <f>IF(AND(BN$4='Data entry'!$R$22, OR('Data entry'!$B$22="Confirmed",'Data entry'!$B$22="Probable")),"sx","")</f>
        <v/>
      </c>
      <c r="BO54" t="str">
        <f>IF(AND(BO$4='Data entry'!$R$22, OR('Data entry'!$B$22="Confirmed",'Data entry'!$B$22="Probable")),"sx","")</f>
        <v/>
      </c>
      <c r="BP54" t="str">
        <f>IF(AND(BP$4='Data entry'!$R$22, OR('Data entry'!$B$22="Confirmed",'Data entry'!$B$22="Probable")),"sx","")</f>
        <v/>
      </c>
      <c r="BQ54" t="str">
        <f>IF(AND(BQ$4='Data entry'!$R$22, OR('Data entry'!$B$22="Confirmed",'Data entry'!$B$22="Probable")),"sx","")</f>
        <v/>
      </c>
      <c r="BR54" t="str">
        <f>IF(AND(BR$4='Data entry'!$R$22, OR('Data entry'!$B$22="Confirmed",'Data entry'!$B$22="Probable")),"sx","")</f>
        <v/>
      </c>
      <c r="BS54" t="str">
        <f>IF(AND(BS$4='Data entry'!$R$22, OR('Data entry'!$B$22="Confirmed",'Data entry'!$B$22="Probable")),"sx","")</f>
        <v/>
      </c>
      <c r="BT54" t="str">
        <f>IF(AND(BT$4='Data entry'!$R$22, OR('Data entry'!$B$22="Confirmed",'Data entry'!$B$22="Probable")),"sx","")</f>
        <v/>
      </c>
      <c r="BU54" t="str">
        <f>IF(AND(BU$4='Data entry'!$R$22, OR('Data entry'!$B$22="Confirmed",'Data entry'!$B$22="Probable")),"sx","")</f>
        <v/>
      </c>
      <c r="BV54" t="str">
        <f>IF(AND(BV$4='Data entry'!$R$22, OR('Data entry'!$B$22="Confirmed",'Data entry'!$B$22="Probable")),"sx","")</f>
        <v/>
      </c>
      <c r="BW54" t="str">
        <f>IF(AND(BW$4='Data entry'!$R$22, OR('Data entry'!$B$22="Confirmed",'Data entry'!$B$22="Probable")),"sx","")</f>
        <v/>
      </c>
      <c r="BX54" t="str">
        <f>IF(AND(BX$4='Data entry'!$R$22, OR('Data entry'!$B$22="Confirmed",'Data entry'!$B$22="Probable")),"sx","")</f>
        <v/>
      </c>
      <c r="BY54" t="str">
        <f>IF(AND(BY$4='Data entry'!$R$22, OR('Data entry'!$B$22="Confirmed",'Data entry'!$B$22="Probable")),"sx","")</f>
        <v/>
      </c>
      <c r="BZ54" t="str">
        <f>IF(AND(BZ$4='Data entry'!$R$22, OR('Data entry'!$B$22="Confirmed",'Data entry'!$B$22="Probable")),"sx","")</f>
        <v/>
      </c>
      <c r="CA54" t="str">
        <f>IF(AND(CA$4='Data entry'!$R$22, OR('Data entry'!$B$22="Confirmed",'Data entry'!$B$22="Probable")),"sx","")</f>
        <v/>
      </c>
      <c r="CB54" t="str">
        <f>IF(AND(CB$4='Data entry'!$R$22, OR('Data entry'!$B$22="Confirmed",'Data entry'!$B$22="Probable")),"sx","")</f>
        <v/>
      </c>
      <c r="CC54" t="str">
        <f>IF(AND(CC$4='Data entry'!$R$22, OR('Data entry'!$B$22="Confirmed",'Data entry'!$B$22="Probable")),"sx","")</f>
        <v/>
      </c>
    </row>
    <row r="55" spans="1:81" s="64" customFormat="1" ht="2.25" customHeight="1" thickBot="1" x14ac:dyDescent="0.25">
      <c r="A55" s="671"/>
      <c r="B55" s="672"/>
      <c r="C55" s="69"/>
    </row>
    <row r="56" spans="1:81" s="63" customFormat="1" ht="15.75" thickTop="1" x14ac:dyDescent="0.2">
      <c r="A56" s="670" t="str">
        <f>CONCATENATE('Data entry'!J23, " ", 'Data entry'!I23)</f>
        <v xml:space="preserve"> </v>
      </c>
      <c r="B56" s="670"/>
      <c r="C56" s="67"/>
    </row>
    <row r="57" spans="1:81" x14ac:dyDescent="0.2">
      <c r="A57" s="668" t="str">
        <f>CONCATENATE('Data entry'!B23, ", ", 'Data entry'!AO23, ", ", 'Data entry'!AR23)</f>
        <v xml:space="preserve">, , </v>
      </c>
      <c r="B57" s="668"/>
      <c r="C57" s="68"/>
      <c r="Q57" t="str">
        <f>IF(AND(Q$4='Data entry'!$R$23, OR('Data entry'!$B$23="Confirmed",'Data entry'!$B$23="Probable")),"sx","")</f>
        <v/>
      </c>
      <c r="R57" t="str">
        <f>IF(AND(R$4='Data entry'!$R$23, OR('Data entry'!$B$23="Confirmed",'Data entry'!$B$23="Probable")),"sx","")</f>
        <v/>
      </c>
      <c r="S57" t="str">
        <f>IF(AND(S$4='Data entry'!$R$23, OR('Data entry'!$B$23="Confirmed",'Data entry'!$B$23="Probable")),"sx","")</f>
        <v/>
      </c>
      <c r="T57" t="str">
        <f>IF(AND(T$4='Data entry'!$R$23, OR('Data entry'!$B$23="Confirmed",'Data entry'!$B$23="Probable")),"sx","")</f>
        <v/>
      </c>
      <c r="U57" t="str">
        <f>IF(AND(U$4='Data entry'!$R$23, OR('Data entry'!$B$23="Confirmed",'Data entry'!$B$23="Probable")),"sx","")</f>
        <v/>
      </c>
      <c r="V57" t="str">
        <f>IF(AND(V$4='Data entry'!$R$23, OR('Data entry'!$B$23="Confirmed",'Data entry'!$B$23="Probable")),"sx","")</f>
        <v/>
      </c>
      <c r="W57" t="str">
        <f>IF(AND(W$4='Data entry'!$R$23, OR('Data entry'!$B$23="Confirmed",'Data entry'!$B$23="Probable")),"sx","")</f>
        <v/>
      </c>
      <c r="X57" t="str">
        <f>IF(AND(X$4='Data entry'!$R$23, OR('Data entry'!$B$23="Confirmed",'Data entry'!$B$23="Probable")),"sx","")</f>
        <v/>
      </c>
      <c r="Y57" t="str">
        <f>IF(AND(Y$4='Data entry'!$R$23, OR('Data entry'!$B$23="Confirmed",'Data entry'!$B$23="Probable")),"sx","")</f>
        <v/>
      </c>
      <c r="Z57" t="str">
        <f>IF(AND(Z$4='Data entry'!$R$23, OR('Data entry'!$B$23="Confirmed",'Data entry'!$B$23="Probable")),"sx","")</f>
        <v/>
      </c>
      <c r="AA57" t="str">
        <f>IF(AND(AA$4='Data entry'!$R$23, OR('Data entry'!$B$23="Confirmed",'Data entry'!$B$23="Probable")),"sx","")</f>
        <v/>
      </c>
      <c r="AB57" t="str">
        <f>IF(AND(AB$4='Data entry'!$R$23, OR('Data entry'!$B$23="Confirmed",'Data entry'!$B$23="Probable")),"sx","")</f>
        <v/>
      </c>
      <c r="AC57" t="str">
        <f>IF(AND(AC$4='Data entry'!$R$23, OR('Data entry'!$B$23="Confirmed",'Data entry'!$B$23="Probable")),"sx","")</f>
        <v/>
      </c>
      <c r="AD57" t="str">
        <f>IF(AND(AD$4='Data entry'!$R$23, OR('Data entry'!$B$23="Confirmed",'Data entry'!$B$23="Probable")),"sx","")</f>
        <v/>
      </c>
      <c r="AE57" t="str">
        <f>IF(AND(AE$4='Data entry'!$R$23, OR('Data entry'!$B$23="Confirmed",'Data entry'!$B$23="Probable")),"sx","")</f>
        <v/>
      </c>
      <c r="AF57" t="str">
        <f>IF(AND(AF$4='Data entry'!$R$23, OR('Data entry'!$B$23="Confirmed",'Data entry'!$B$23="Probable")),"sx","")</f>
        <v/>
      </c>
      <c r="AG57" t="str">
        <f>IF(AND(AG$4='Data entry'!$R$23, OR('Data entry'!$B$23="Confirmed",'Data entry'!$B$23="Probable")),"sx","")</f>
        <v/>
      </c>
      <c r="AH57" t="str">
        <f>IF(AND(AH$4='Data entry'!$R$23, OR('Data entry'!$B$23="Confirmed",'Data entry'!$B$23="Probable")),"sx","")</f>
        <v/>
      </c>
      <c r="AI57" t="str">
        <f>IF(AND(AI$4='Data entry'!$R$23, OR('Data entry'!$B$23="Confirmed",'Data entry'!$B$23="Probable")),"sx","")</f>
        <v/>
      </c>
      <c r="AJ57" t="str">
        <f>IF(AND(AJ$4='Data entry'!$R$23, OR('Data entry'!$B$23="Confirmed",'Data entry'!$B$23="Probable")),"sx","")</f>
        <v/>
      </c>
      <c r="AK57" t="str">
        <f>IF(AND(AK$4='Data entry'!$R$23, OR('Data entry'!$B$23="Confirmed",'Data entry'!$B$23="Probable")),"sx","")</f>
        <v/>
      </c>
      <c r="AL57" t="str">
        <f>IF(AND(AL$4='Data entry'!$R$23, OR('Data entry'!$B$23="Confirmed",'Data entry'!$B$23="Probable")),"sx","")</f>
        <v/>
      </c>
      <c r="AM57" t="str">
        <f>IF(AND(AM$4='Data entry'!$R$23, OR('Data entry'!$B$23="Confirmed",'Data entry'!$B$23="Probable")),"sx","")</f>
        <v/>
      </c>
      <c r="AN57" t="str">
        <f>IF(AND(AN$4='Data entry'!$R$23, OR('Data entry'!$B$23="Confirmed",'Data entry'!$B$23="Probable")),"sx","")</f>
        <v/>
      </c>
      <c r="AO57" t="str">
        <f>IF(AND(AO$4='Data entry'!$R$23, OR('Data entry'!$B$23="Confirmed",'Data entry'!$B$23="Probable")),"sx","")</f>
        <v/>
      </c>
      <c r="AP57" t="str">
        <f>IF(AND(AP$4='Data entry'!$R$23, OR('Data entry'!$B$23="Confirmed",'Data entry'!$B$23="Probable")),"sx","")</f>
        <v/>
      </c>
      <c r="AQ57" t="str">
        <f>IF(AND(AQ$4='Data entry'!$R$23, OR('Data entry'!$B$23="Confirmed",'Data entry'!$B$23="Probable")),"sx","")</f>
        <v/>
      </c>
      <c r="AR57" t="str">
        <f>IF(AND(AR$4='Data entry'!$R$23, OR('Data entry'!$B$23="Confirmed",'Data entry'!$B$23="Probable")),"sx","")</f>
        <v/>
      </c>
      <c r="AS57" t="str">
        <f>IF(AND(AS$4='Data entry'!$R$23, OR('Data entry'!$B$23="Confirmed",'Data entry'!$B$23="Probable")),"sx","")</f>
        <v/>
      </c>
      <c r="AT57" t="str">
        <f>IF(AND(AT$4='Data entry'!$R$23, OR('Data entry'!$B$23="Confirmed",'Data entry'!$B$23="Probable")),"sx","")</f>
        <v/>
      </c>
      <c r="AU57" t="str">
        <f>IF(AND(AU$4='Data entry'!$R$23, OR('Data entry'!$B$23="Confirmed",'Data entry'!$B$23="Probable")),"sx","")</f>
        <v/>
      </c>
      <c r="AV57" t="str">
        <f>IF(AND(AV$4='Data entry'!$R$23, OR('Data entry'!$B$23="Confirmed",'Data entry'!$B$23="Probable")),"sx","")</f>
        <v/>
      </c>
      <c r="AW57" t="str">
        <f>IF(AND(AW$4='Data entry'!$R$23, OR('Data entry'!$B$23="Confirmed",'Data entry'!$B$23="Probable")),"sx","")</f>
        <v/>
      </c>
      <c r="AX57" t="str">
        <f>IF(AND(AX$4='Data entry'!$R$23, OR('Data entry'!$B$23="Confirmed",'Data entry'!$B$23="Probable")),"sx","")</f>
        <v/>
      </c>
      <c r="AY57" t="str">
        <f>IF(AND(AY$4='Data entry'!$R$23, OR('Data entry'!$B$23="Confirmed",'Data entry'!$B$23="Probable")),"sx","")</f>
        <v/>
      </c>
      <c r="AZ57" t="str">
        <f>IF(AND(AZ$4='Data entry'!$R$23, OR('Data entry'!$B$23="Confirmed",'Data entry'!$B$23="Probable")),"sx","")</f>
        <v/>
      </c>
      <c r="BA57" t="str">
        <f>IF(AND(BA$4='Data entry'!$R$23, OR('Data entry'!$B$23="Confirmed",'Data entry'!$B$23="Probable")),"sx","")</f>
        <v/>
      </c>
      <c r="BB57" t="str">
        <f>IF(AND(BB$4='Data entry'!$R$23, OR('Data entry'!$B$23="Confirmed",'Data entry'!$B$23="Probable")),"sx","")</f>
        <v/>
      </c>
      <c r="BC57" t="str">
        <f>IF(AND(BC$4='Data entry'!$R$23, OR('Data entry'!$B$23="Confirmed",'Data entry'!$B$23="Probable")),"sx","")</f>
        <v/>
      </c>
      <c r="BD57" t="str">
        <f>IF(AND(BD$4='Data entry'!$R$23, OR('Data entry'!$B$23="Confirmed",'Data entry'!$B$23="Probable")),"sx","")</f>
        <v/>
      </c>
      <c r="BE57" t="str">
        <f>IF(AND(BE$4='Data entry'!$R$23, OR('Data entry'!$B$23="Confirmed",'Data entry'!$B$23="Probable")),"sx","")</f>
        <v/>
      </c>
      <c r="BF57" t="str">
        <f>IF(AND(BF$4='Data entry'!$R$23, OR('Data entry'!$B$23="Confirmed",'Data entry'!$B$23="Probable")),"sx","")</f>
        <v/>
      </c>
      <c r="BG57" t="str">
        <f>IF(AND(BG$4='Data entry'!$R$23, OR('Data entry'!$B$23="Confirmed",'Data entry'!$B$23="Probable")),"sx","")</f>
        <v/>
      </c>
      <c r="BH57" t="str">
        <f>IF(AND(BH$4='Data entry'!$R$23, OR('Data entry'!$B$23="Confirmed",'Data entry'!$B$23="Probable")),"sx","")</f>
        <v/>
      </c>
      <c r="BI57" t="str">
        <f>IF(AND(BI$4='Data entry'!$R$23, OR('Data entry'!$B$23="Confirmed",'Data entry'!$B$23="Probable")),"sx","")</f>
        <v/>
      </c>
      <c r="BJ57" t="str">
        <f>IF(AND(BJ$4='Data entry'!$R$23, OR('Data entry'!$B$23="Confirmed",'Data entry'!$B$23="Probable")),"sx","")</f>
        <v/>
      </c>
      <c r="BK57" t="str">
        <f>IF(AND(BK$4='Data entry'!$R$23, OR('Data entry'!$B$23="Confirmed",'Data entry'!$B$23="Probable")),"sx","")</f>
        <v/>
      </c>
      <c r="BL57" t="str">
        <f>IF(AND(BL$4='Data entry'!$R$23, OR('Data entry'!$B$23="Confirmed",'Data entry'!$B$23="Probable")),"sx","")</f>
        <v/>
      </c>
      <c r="BM57" t="str">
        <f>IF(AND(BM$4='Data entry'!$R$23, OR('Data entry'!$B$23="Confirmed",'Data entry'!$B$23="Probable")),"sx","")</f>
        <v/>
      </c>
      <c r="BN57" t="str">
        <f>IF(AND(BN$4='Data entry'!$R$23, OR('Data entry'!$B$23="Confirmed",'Data entry'!$B$23="Probable")),"sx","")</f>
        <v/>
      </c>
      <c r="BO57" t="str">
        <f>IF(AND(BO$4='Data entry'!$R$23, OR('Data entry'!$B$23="Confirmed",'Data entry'!$B$23="Probable")),"sx","")</f>
        <v/>
      </c>
      <c r="BP57" t="str">
        <f>IF(AND(BP$4='Data entry'!$R$23, OR('Data entry'!$B$23="Confirmed",'Data entry'!$B$23="Probable")),"sx","")</f>
        <v/>
      </c>
      <c r="BQ57" t="str">
        <f>IF(AND(BQ$4='Data entry'!$R$23, OR('Data entry'!$B$23="Confirmed",'Data entry'!$B$23="Probable")),"sx","")</f>
        <v/>
      </c>
      <c r="BR57" t="str">
        <f>IF(AND(BR$4='Data entry'!$R$23, OR('Data entry'!$B$23="Confirmed",'Data entry'!$B$23="Probable")),"sx","")</f>
        <v/>
      </c>
      <c r="BS57" t="str">
        <f>IF(AND(BS$4='Data entry'!$R$23, OR('Data entry'!$B$23="Confirmed",'Data entry'!$B$23="Probable")),"sx","")</f>
        <v/>
      </c>
      <c r="BT57" t="str">
        <f>IF(AND(BT$4='Data entry'!$R$23, OR('Data entry'!$B$23="Confirmed",'Data entry'!$B$23="Probable")),"sx","")</f>
        <v/>
      </c>
      <c r="BU57" t="str">
        <f>IF(AND(BU$4='Data entry'!$R$23, OR('Data entry'!$B$23="Confirmed",'Data entry'!$B$23="Probable")),"sx","")</f>
        <v/>
      </c>
      <c r="BV57" t="str">
        <f>IF(AND(BV$4='Data entry'!$R$23, OR('Data entry'!$B$23="Confirmed",'Data entry'!$B$23="Probable")),"sx","")</f>
        <v/>
      </c>
      <c r="BW57" t="str">
        <f>IF(AND(BW$4='Data entry'!$R$23, OR('Data entry'!$B$23="Confirmed",'Data entry'!$B$23="Probable")),"sx","")</f>
        <v/>
      </c>
      <c r="BX57" t="str">
        <f>IF(AND(BX$4='Data entry'!$R$23, OR('Data entry'!$B$23="Confirmed",'Data entry'!$B$23="Probable")),"sx","")</f>
        <v/>
      </c>
      <c r="BY57" t="str">
        <f>IF(AND(BY$4='Data entry'!$R$23, OR('Data entry'!$B$23="Confirmed",'Data entry'!$B$23="Probable")),"sx","")</f>
        <v/>
      </c>
      <c r="BZ57" t="str">
        <f>IF(AND(BZ$4='Data entry'!$R$23, OR('Data entry'!$B$23="Confirmed",'Data entry'!$B$23="Probable")),"sx","")</f>
        <v/>
      </c>
      <c r="CA57" t="str">
        <f>IF(AND(CA$4='Data entry'!$R$23, OR('Data entry'!$B$23="Confirmed",'Data entry'!$B$23="Probable")),"sx","")</f>
        <v/>
      </c>
      <c r="CB57" t="str">
        <f>IF(AND(CB$4='Data entry'!$R$23, OR('Data entry'!$B$23="Confirmed",'Data entry'!$B$23="Probable")),"sx","")</f>
        <v/>
      </c>
      <c r="CC57" t="str">
        <f>IF(AND(CC$4='Data entry'!$R$23, OR('Data entry'!$B$23="Confirmed",'Data entry'!$B$23="Probable")),"sx","")</f>
        <v/>
      </c>
    </row>
    <row r="58" spans="1:81" s="64" customFormat="1" ht="2.25" customHeight="1" thickBot="1" x14ac:dyDescent="0.25">
      <c r="A58" s="671"/>
      <c r="B58" s="672"/>
      <c r="C58" s="69"/>
    </row>
    <row r="59" spans="1:81" s="63" customFormat="1" ht="15.75" thickTop="1" x14ac:dyDescent="0.2">
      <c r="A59" s="670" t="str">
        <f>CONCATENATE('Data entry'!J24, " ", 'Data entry'!I24)</f>
        <v xml:space="preserve"> </v>
      </c>
      <c r="B59" s="670"/>
      <c r="C59" s="67"/>
    </row>
    <row r="60" spans="1:81" x14ac:dyDescent="0.2">
      <c r="A60" s="668" t="str">
        <f>CONCATENATE('Data entry'!B24, ", ", 'Data entry'!AO24, ", ", 'Data entry'!AR24)</f>
        <v xml:space="preserve">, , </v>
      </c>
      <c r="B60" s="668"/>
      <c r="C60" s="68"/>
      <c r="Q60" t="str">
        <f>IF(AND(Q$4='Data entry'!$R$24, OR('Data entry'!$B$24="Confirmed",'Data entry'!$B$24="Probable")),"sx","")</f>
        <v/>
      </c>
      <c r="R60" t="str">
        <f>IF(AND(R$4='Data entry'!$R$24, OR('Data entry'!$B$24="Confirmed",'Data entry'!$B$24="Probable")),"sx","")</f>
        <v/>
      </c>
      <c r="S60" t="str">
        <f>IF(AND(S$4='Data entry'!$R$24, OR('Data entry'!$B$24="Confirmed",'Data entry'!$B$24="Probable")),"sx","")</f>
        <v/>
      </c>
      <c r="T60" t="str">
        <f>IF(AND(T$4='Data entry'!$R$24, OR('Data entry'!$B$24="Confirmed",'Data entry'!$B$24="Probable")),"sx","")</f>
        <v/>
      </c>
      <c r="U60" t="str">
        <f>IF(AND(U$4='Data entry'!$R$24, OR('Data entry'!$B$24="Confirmed",'Data entry'!$B$24="Probable")),"sx","")</f>
        <v/>
      </c>
      <c r="V60" t="str">
        <f>IF(AND(V$4='Data entry'!$R$24, OR('Data entry'!$B$24="Confirmed",'Data entry'!$B$24="Probable")),"sx","")</f>
        <v/>
      </c>
      <c r="W60" t="str">
        <f>IF(AND(W$4='Data entry'!$R$24, OR('Data entry'!$B$24="Confirmed",'Data entry'!$B$24="Probable")),"sx","")</f>
        <v/>
      </c>
      <c r="X60" t="str">
        <f>IF(AND(X$4='Data entry'!$R$24, OR('Data entry'!$B$24="Confirmed",'Data entry'!$B$24="Probable")),"sx","")</f>
        <v/>
      </c>
      <c r="Y60" t="str">
        <f>IF(AND(Y$4='Data entry'!$R$24, OR('Data entry'!$B$24="Confirmed",'Data entry'!$B$24="Probable")),"sx","")</f>
        <v/>
      </c>
      <c r="Z60" t="str">
        <f>IF(AND(Z$4='Data entry'!$R$24, OR('Data entry'!$B$24="Confirmed",'Data entry'!$B$24="Probable")),"sx","")</f>
        <v/>
      </c>
      <c r="AA60" t="str">
        <f>IF(AND(AA$4='Data entry'!$R$24, OR('Data entry'!$B$24="Confirmed",'Data entry'!$B$24="Probable")),"sx","")</f>
        <v/>
      </c>
      <c r="AB60" t="str">
        <f>IF(AND(AB$4='Data entry'!$R$24, OR('Data entry'!$B$24="Confirmed",'Data entry'!$B$24="Probable")),"sx","")</f>
        <v/>
      </c>
      <c r="AC60" t="str">
        <f>IF(AND(AC$4='Data entry'!$R$24, OR('Data entry'!$B$24="Confirmed",'Data entry'!$B$24="Probable")),"sx","")</f>
        <v/>
      </c>
      <c r="AD60" t="str">
        <f>IF(AND(AD$4='Data entry'!$R$24, OR('Data entry'!$B$24="Confirmed",'Data entry'!$B$24="Probable")),"sx","")</f>
        <v/>
      </c>
      <c r="AE60" t="str">
        <f>IF(AND(AE$4='Data entry'!$R$24, OR('Data entry'!$B$24="Confirmed",'Data entry'!$B$24="Probable")),"sx","")</f>
        <v/>
      </c>
      <c r="AF60" t="str">
        <f>IF(AND(AF$4='Data entry'!$R$24, OR('Data entry'!$B$24="Confirmed",'Data entry'!$B$24="Probable")),"sx","")</f>
        <v/>
      </c>
      <c r="AG60" t="str">
        <f>IF(AND(AG$4='Data entry'!$R$24, OR('Data entry'!$B$24="Confirmed",'Data entry'!$B$24="Probable")),"sx","")</f>
        <v/>
      </c>
      <c r="AH60" t="str">
        <f>IF(AND(AH$4='Data entry'!$R$24, OR('Data entry'!$B$24="Confirmed",'Data entry'!$B$24="Probable")),"sx","")</f>
        <v/>
      </c>
      <c r="AI60" t="str">
        <f>IF(AND(AI$4='Data entry'!$R$24, OR('Data entry'!$B$24="Confirmed",'Data entry'!$B$24="Probable")),"sx","")</f>
        <v/>
      </c>
      <c r="AJ60" t="str">
        <f>IF(AND(AJ$4='Data entry'!$R$24, OR('Data entry'!$B$24="Confirmed",'Data entry'!$B$24="Probable")),"sx","")</f>
        <v/>
      </c>
      <c r="AK60" t="str">
        <f>IF(AND(AK$4='Data entry'!$R$24, OR('Data entry'!$B$24="Confirmed",'Data entry'!$B$24="Probable")),"sx","")</f>
        <v/>
      </c>
      <c r="AL60" t="str">
        <f>IF(AND(AL$4='Data entry'!$R$24, OR('Data entry'!$B$24="Confirmed",'Data entry'!$B$24="Probable")),"sx","")</f>
        <v/>
      </c>
      <c r="AM60" t="str">
        <f>IF(AND(AM$4='Data entry'!$R$24, OR('Data entry'!$B$24="Confirmed",'Data entry'!$B$24="Probable")),"sx","")</f>
        <v/>
      </c>
      <c r="AN60" t="str">
        <f>IF(AND(AN$4='Data entry'!$R$24, OR('Data entry'!$B$24="Confirmed",'Data entry'!$B$24="Probable")),"sx","")</f>
        <v/>
      </c>
      <c r="AO60" t="str">
        <f>IF(AND(AO$4='Data entry'!$R$24, OR('Data entry'!$B$24="Confirmed",'Data entry'!$B$24="Probable")),"sx","")</f>
        <v/>
      </c>
      <c r="AP60" t="str">
        <f>IF(AND(AP$4='Data entry'!$R$24, OR('Data entry'!$B$24="Confirmed",'Data entry'!$B$24="Probable")),"sx","")</f>
        <v/>
      </c>
      <c r="AQ60" t="str">
        <f>IF(AND(AQ$4='Data entry'!$R$24, OR('Data entry'!$B$24="Confirmed",'Data entry'!$B$24="Probable")),"sx","")</f>
        <v/>
      </c>
      <c r="AR60" t="str">
        <f>IF(AND(AR$4='Data entry'!$R$24, OR('Data entry'!$B$24="Confirmed",'Data entry'!$B$24="Probable")),"sx","")</f>
        <v/>
      </c>
      <c r="AS60" t="str">
        <f>IF(AND(AS$4='Data entry'!$R$24, OR('Data entry'!$B$24="Confirmed",'Data entry'!$B$24="Probable")),"sx","")</f>
        <v/>
      </c>
      <c r="AT60" t="str">
        <f>IF(AND(AT$4='Data entry'!$R$24, OR('Data entry'!$B$24="Confirmed",'Data entry'!$B$24="Probable")),"sx","")</f>
        <v/>
      </c>
      <c r="AU60" t="str">
        <f>IF(AND(AU$4='Data entry'!$R$24, OR('Data entry'!$B$24="Confirmed",'Data entry'!$B$24="Probable")),"sx","")</f>
        <v/>
      </c>
      <c r="AV60" t="str">
        <f>IF(AND(AV$4='Data entry'!$R$24, OR('Data entry'!$B$24="Confirmed",'Data entry'!$B$24="Probable")),"sx","")</f>
        <v/>
      </c>
      <c r="AW60" t="str">
        <f>IF(AND(AW$4='Data entry'!$R$24, OR('Data entry'!$B$24="Confirmed",'Data entry'!$B$24="Probable")),"sx","")</f>
        <v/>
      </c>
      <c r="AX60" t="str">
        <f>IF(AND(AX$4='Data entry'!$R$24, OR('Data entry'!$B$24="Confirmed",'Data entry'!$B$24="Probable")),"sx","")</f>
        <v/>
      </c>
      <c r="AY60" t="str">
        <f>IF(AND(AY$4='Data entry'!$R$24, OR('Data entry'!$B$24="Confirmed",'Data entry'!$B$24="Probable")),"sx","")</f>
        <v/>
      </c>
      <c r="AZ60" t="str">
        <f>IF(AND(AZ$4='Data entry'!$R$24, OR('Data entry'!$B$24="Confirmed",'Data entry'!$B$24="Probable")),"sx","")</f>
        <v/>
      </c>
      <c r="BA60" t="str">
        <f>IF(AND(BA$4='Data entry'!$R$24, OR('Data entry'!$B$24="Confirmed",'Data entry'!$B$24="Probable")),"sx","")</f>
        <v/>
      </c>
      <c r="BB60" t="str">
        <f>IF(AND(BB$4='Data entry'!$R$24, OR('Data entry'!$B$24="Confirmed",'Data entry'!$B$24="Probable")),"sx","")</f>
        <v/>
      </c>
      <c r="BC60" t="str">
        <f>IF(AND(BC$4='Data entry'!$R$24, OR('Data entry'!$B$24="Confirmed",'Data entry'!$B$24="Probable")),"sx","")</f>
        <v/>
      </c>
      <c r="BD60" t="str">
        <f>IF(AND(BD$4='Data entry'!$R$24, OR('Data entry'!$B$24="Confirmed",'Data entry'!$B$24="Probable")),"sx","")</f>
        <v/>
      </c>
      <c r="BE60" t="str">
        <f>IF(AND(BE$4='Data entry'!$R$24, OR('Data entry'!$B$24="Confirmed",'Data entry'!$B$24="Probable")),"sx","")</f>
        <v/>
      </c>
      <c r="BF60" t="str">
        <f>IF(AND(BF$4='Data entry'!$R$24, OR('Data entry'!$B$24="Confirmed",'Data entry'!$B$24="Probable")),"sx","")</f>
        <v/>
      </c>
      <c r="BG60" t="str">
        <f>IF(AND(BG$4='Data entry'!$R$24, OR('Data entry'!$B$24="Confirmed",'Data entry'!$B$24="Probable")),"sx","")</f>
        <v/>
      </c>
      <c r="BH60" t="str">
        <f>IF(AND(BH$4='Data entry'!$R$24, OR('Data entry'!$B$24="Confirmed",'Data entry'!$B$24="Probable")),"sx","")</f>
        <v/>
      </c>
      <c r="BI60" t="str">
        <f>IF(AND(BI$4='Data entry'!$R$24, OR('Data entry'!$B$24="Confirmed",'Data entry'!$B$24="Probable")),"sx","")</f>
        <v/>
      </c>
      <c r="BJ60" t="str">
        <f>IF(AND(BJ$4='Data entry'!$R$24, OR('Data entry'!$B$24="Confirmed",'Data entry'!$B$24="Probable")),"sx","")</f>
        <v/>
      </c>
      <c r="BK60" t="str">
        <f>IF(AND(BK$4='Data entry'!$R$24, OR('Data entry'!$B$24="Confirmed",'Data entry'!$B$24="Probable")),"sx","")</f>
        <v/>
      </c>
      <c r="BL60" t="str">
        <f>IF(AND(BL$4='Data entry'!$R$24, OR('Data entry'!$B$24="Confirmed",'Data entry'!$B$24="Probable")),"sx","")</f>
        <v/>
      </c>
      <c r="BM60" t="str">
        <f>IF(AND(BM$4='Data entry'!$R$24, OR('Data entry'!$B$24="Confirmed",'Data entry'!$B$24="Probable")),"sx","")</f>
        <v/>
      </c>
      <c r="BN60" t="str">
        <f>IF(AND(BN$4='Data entry'!$R$24, OR('Data entry'!$B$24="Confirmed",'Data entry'!$B$24="Probable")),"sx","")</f>
        <v/>
      </c>
      <c r="BO60" t="str">
        <f>IF(AND(BO$4='Data entry'!$R$24, OR('Data entry'!$B$24="Confirmed",'Data entry'!$B$24="Probable")),"sx","")</f>
        <v/>
      </c>
      <c r="BP60" t="str">
        <f>IF(AND(BP$4='Data entry'!$R$24, OR('Data entry'!$B$24="Confirmed",'Data entry'!$B$24="Probable")),"sx","")</f>
        <v/>
      </c>
      <c r="BQ60" t="str">
        <f>IF(AND(BQ$4='Data entry'!$R$24, OR('Data entry'!$B$24="Confirmed",'Data entry'!$B$24="Probable")),"sx","")</f>
        <v/>
      </c>
      <c r="BR60" t="str">
        <f>IF(AND(BR$4='Data entry'!$R$24, OR('Data entry'!$B$24="Confirmed",'Data entry'!$B$24="Probable")),"sx","")</f>
        <v/>
      </c>
      <c r="BS60" t="str">
        <f>IF(AND(BS$4='Data entry'!$R$24, OR('Data entry'!$B$24="Confirmed",'Data entry'!$B$24="Probable")),"sx","")</f>
        <v/>
      </c>
      <c r="BT60" t="str">
        <f>IF(AND(BT$4='Data entry'!$R$24, OR('Data entry'!$B$24="Confirmed",'Data entry'!$B$24="Probable")),"sx","")</f>
        <v/>
      </c>
      <c r="BU60" t="str">
        <f>IF(AND(BU$4='Data entry'!$R$24, OR('Data entry'!$B$24="Confirmed",'Data entry'!$B$24="Probable")),"sx","")</f>
        <v/>
      </c>
      <c r="BV60" t="str">
        <f>IF(AND(BV$4='Data entry'!$R$24, OR('Data entry'!$B$24="Confirmed",'Data entry'!$B$24="Probable")),"sx","")</f>
        <v/>
      </c>
      <c r="BW60" t="str">
        <f>IF(AND(BW$4='Data entry'!$R$24, OR('Data entry'!$B$24="Confirmed",'Data entry'!$B$24="Probable")),"sx","")</f>
        <v/>
      </c>
      <c r="BX60" t="str">
        <f>IF(AND(BX$4='Data entry'!$R$24, OR('Data entry'!$B$24="Confirmed",'Data entry'!$B$24="Probable")),"sx","")</f>
        <v/>
      </c>
      <c r="BY60" t="str">
        <f>IF(AND(BY$4='Data entry'!$R$24, OR('Data entry'!$B$24="Confirmed",'Data entry'!$B$24="Probable")),"sx","")</f>
        <v/>
      </c>
      <c r="BZ60" t="str">
        <f>IF(AND(BZ$4='Data entry'!$R$24, OR('Data entry'!$B$24="Confirmed",'Data entry'!$B$24="Probable")),"sx","")</f>
        <v/>
      </c>
      <c r="CA60" t="str">
        <f>IF(AND(CA$4='Data entry'!$R$24, OR('Data entry'!$B$24="Confirmed",'Data entry'!$B$24="Probable")),"sx","")</f>
        <v/>
      </c>
      <c r="CB60" t="str">
        <f>IF(AND(CB$4='Data entry'!$R$24, OR('Data entry'!$B$24="Confirmed",'Data entry'!$B$24="Probable")),"sx","")</f>
        <v/>
      </c>
      <c r="CC60" t="str">
        <f>IF(AND(CC$4='Data entry'!$R$24, OR('Data entry'!$B$24="Confirmed",'Data entry'!$B$24="Probable")),"sx","")</f>
        <v/>
      </c>
    </row>
    <row r="61" spans="1:81" s="64" customFormat="1" ht="2.25" customHeight="1" thickBot="1" x14ac:dyDescent="0.25">
      <c r="A61" s="671"/>
      <c r="B61" s="672"/>
      <c r="C61" s="69"/>
    </row>
    <row r="62" spans="1:81" s="63" customFormat="1" ht="15.75" thickTop="1" x14ac:dyDescent="0.2">
      <c r="A62" s="670" t="str">
        <f>CONCATENATE('Data entry'!J25, " ", 'Data entry'!I25)</f>
        <v xml:space="preserve"> </v>
      </c>
      <c r="B62" s="670"/>
      <c r="C62" s="67"/>
    </row>
    <row r="63" spans="1:81" x14ac:dyDescent="0.2">
      <c r="A63" s="668" t="str">
        <f>CONCATENATE('Data entry'!B25, ", ", 'Data entry'!AO25, ", ", 'Data entry'!AR25)</f>
        <v xml:space="preserve">, , </v>
      </c>
      <c r="B63" s="668"/>
      <c r="C63" s="68"/>
      <c r="Q63" t="str">
        <f>IF(AND(Q$4='Data entry'!$R$25, OR('Data entry'!$B$25="Confirmed",'Data entry'!$B$25="Probable")),"sx","")</f>
        <v/>
      </c>
      <c r="R63" t="str">
        <f>IF(AND(R$4='Data entry'!$R$25, OR('Data entry'!$B$25="Confirmed",'Data entry'!$B$25="Probable")),"sx","")</f>
        <v/>
      </c>
      <c r="S63" t="str">
        <f>IF(AND(S$4='Data entry'!$R$25, OR('Data entry'!$B$25="Confirmed",'Data entry'!$B$25="Probable")),"sx","")</f>
        <v/>
      </c>
      <c r="T63" t="str">
        <f>IF(AND(T$4='Data entry'!$R$25, OR('Data entry'!$B$25="Confirmed",'Data entry'!$B$25="Probable")),"sx","")</f>
        <v/>
      </c>
      <c r="U63" t="str">
        <f>IF(AND(U$4='Data entry'!$R$25, OR('Data entry'!$B$25="Confirmed",'Data entry'!$B$25="Probable")),"sx","")</f>
        <v/>
      </c>
      <c r="V63" t="str">
        <f>IF(AND(V$4='Data entry'!$R$25, OR('Data entry'!$B$25="Confirmed",'Data entry'!$B$25="Probable")),"sx","")</f>
        <v/>
      </c>
      <c r="W63" t="str">
        <f>IF(AND(W$4='Data entry'!$R$25, OR('Data entry'!$B$25="Confirmed",'Data entry'!$B$25="Probable")),"sx","")</f>
        <v/>
      </c>
      <c r="X63" t="str">
        <f>IF(AND(X$4='Data entry'!$R$25, OR('Data entry'!$B$25="Confirmed",'Data entry'!$B$25="Probable")),"sx","")</f>
        <v/>
      </c>
      <c r="Y63" t="str">
        <f>IF(AND(Y$4='Data entry'!$R$25, OR('Data entry'!$B$25="Confirmed",'Data entry'!$B$25="Probable")),"sx","")</f>
        <v/>
      </c>
      <c r="Z63" t="str">
        <f>IF(AND(Z$4='Data entry'!$R$25, OR('Data entry'!$B$25="Confirmed",'Data entry'!$B$25="Probable")),"sx","")</f>
        <v/>
      </c>
      <c r="AA63" t="str">
        <f>IF(AND(AA$4='Data entry'!$R$25, OR('Data entry'!$B$25="Confirmed",'Data entry'!$B$25="Probable")),"sx","")</f>
        <v/>
      </c>
      <c r="AB63" t="str">
        <f>IF(AND(AB$4='Data entry'!$R$25, OR('Data entry'!$B$25="Confirmed",'Data entry'!$B$25="Probable")),"sx","")</f>
        <v/>
      </c>
      <c r="AC63" t="str">
        <f>IF(AND(AC$4='Data entry'!$R$25, OR('Data entry'!$B$25="Confirmed",'Data entry'!$B$25="Probable")),"sx","")</f>
        <v/>
      </c>
      <c r="AD63" t="str">
        <f>IF(AND(AD$4='Data entry'!$R$25, OR('Data entry'!$B$25="Confirmed",'Data entry'!$B$25="Probable")),"sx","")</f>
        <v/>
      </c>
      <c r="AE63" t="str">
        <f>IF(AND(AE$4='Data entry'!$R$25, OR('Data entry'!$B$25="Confirmed",'Data entry'!$B$25="Probable")),"sx","")</f>
        <v/>
      </c>
      <c r="AF63" t="str">
        <f>IF(AND(AF$4='Data entry'!$R$25, OR('Data entry'!$B$25="Confirmed",'Data entry'!$B$25="Probable")),"sx","")</f>
        <v/>
      </c>
      <c r="AG63" t="str">
        <f>IF(AND(AG$4='Data entry'!$R$25, OR('Data entry'!$B$25="Confirmed",'Data entry'!$B$25="Probable")),"sx","")</f>
        <v/>
      </c>
      <c r="AH63" t="str">
        <f>IF(AND(AH$4='Data entry'!$R$25, OR('Data entry'!$B$25="Confirmed",'Data entry'!$B$25="Probable")),"sx","")</f>
        <v/>
      </c>
      <c r="AI63" t="str">
        <f>IF(AND(AI$4='Data entry'!$R$25, OR('Data entry'!$B$25="Confirmed",'Data entry'!$B$25="Probable")),"sx","")</f>
        <v/>
      </c>
      <c r="AJ63" t="str">
        <f>IF(AND(AJ$4='Data entry'!$R$25, OR('Data entry'!$B$25="Confirmed",'Data entry'!$B$25="Probable")),"sx","")</f>
        <v/>
      </c>
      <c r="AK63" t="str">
        <f>IF(AND(AK$4='Data entry'!$R$25, OR('Data entry'!$B$25="Confirmed",'Data entry'!$B$25="Probable")),"sx","")</f>
        <v/>
      </c>
      <c r="AL63" t="str">
        <f>IF(AND(AL$4='Data entry'!$R$25, OR('Data entry'!$B$25="Confirmed",'Data entry'!$B$25="Probable")),"sx","")</f>
        <v/>
      </c>
      <c r="AM63" t="str">
        <f>IF(AND(AM$4='Data entry'!$R$25, OR('Data entry'!$B$25="Confirmed",'Data entry'!$B$25="Probable")),"sx","")</f>
        <v/>
      </c>
      <c r="AN63" t="str">
        <f>IF(AND(AN$4='Data entry'!$R$25, OR('Data entry'!$B$25="Confirmed",'Data entry'!$B$25="Probable")),"sx","")</f>
        <v/>
      </c>
      <c r="AO63" t="str">
        <f>IF(AND(AO$4='Data entry'!$R$25, OR('Data entry'!$B$25="Confirmed",'Data entry'!$B$25="Probable")),"sx","")</f>
        <v/>
      </c>
      <c r="AP63" t="str">
        <f>IF(AND(AP$4='Data entry'!$R$25, OR('Data entry'!$B$25="Confirmed",'Data entry'!$B$25="Probable")),"sx","")</f>
        <v/>
      </c>
      <c r="AQ63" t="str">
        <f>IF(AND(AQ$4='Data entry'!$R$25, OR('Data entry'!$B$25="Confirmed",'Data entry'!$B$25="Probable")),"sx","")</f>
        <v/>
      </c>
      <c r="AR63" t="str">
        <f>IF(AND(AR$4='Data entry'!$R$25, OR('Data entry'!$B$25="Confirmed",'Data entry'!$B$25="Probable")),"sx","")</f>
        <v/>
      </c>
      <c r="AS63" t="str">
        <f>IF(AND(AS$4='Data entry'!$R$25, OR('Data entry'!$B$25="Confirmed",'Data entry'!$B$25="Probable")),"sx","")</f>
        <v/>
      </c>
      <c r="AT63" t="str">
        <f>IF(AND(AT$4='Data entry'!$R$25, OR('Data entry'!$B$25="Confirmed",'Data entry'!$B$25="Probable")),"sx","")</f>
        <v/>
      </c>
      <c r="AU63" t="str">
        <f>IF(AND(AU$4='Data entry'!$R$25, OR('Data entry'!$B$25="Confirmed",'Data entry'!$B$25="Probable")),"sx","")</f>
        <v/>
      </c>
      <c r="AV63" t="str">
        <f>IF(AND(AV$4='Data entry'!$R$25, OR('Data entry'!$B$25="Confirmed",'Data entry'!$B$25="Probable")),"sx","")</f>
        <v/>
      </c>
      <c r="AW63" t="str">
        <f>IF(AND(AW$4='Data entry'!$R$25, OR('Data entry'!$B$25="Confirmed",'Data entry'!$B$25="Probable")),"sx","")</f>
        <v/>
      </c>
      <c r="AX63" t="str">
        <f>IF(AND(AX$4='Data entry'!$R$25, OR('Data entry'!$B$25="Confirmed",'Data entry'!$B$25="Probable")),"sx","")</f>
        <v/>
      </c>
      <c r="AY63" t="str">
        <f>IF(AND(AY$4='Data entry'!$R$25, OR('Data entry'!$B$25="Confirmed",'Data entry'!$B$25="Probable")),"sx","")</f>
        <v/>
      </c>
      <c r="AZ63" t="str">
        <f>IF(AND(AZ$4='Data entry'!$R$25, OR('Data entry'!$B$25="Confirmed",'Data entry'!$B$25="Probable")),"sx","")</f>
        <v/>
      </c>
      <c r="BA63" t="str">
        <f>IF(AND(BA$4='Data entry'!$R$25, OR('Data entry'!$B$25="Confirmed",'Data entry'!$B$25="Probable")),"sx","")</f>
        <v/>
      </c>
      <c r="BB63" t="str">
        <f>IF(AND(BB$4='Data entry'!$R$25, OR('Data entry'!$B$25="Confirmed",'Data entry'!$B$25="Probable")),"sx","")</f>
        <v/>
      </c>
      <c r="BC63" t="str">
        <f>IF(AND(BC$4='Data entry'!$R$25, OR('Data entry'!$B$25="Confirmed",'Data entry'!$B$25="Probable")),"sx","")</f>
        <v/>
      </c>
      <c r="BD63" t="str">
        <f>IF(AND(BD$4='Data entry'!$R$25, OR('Data entry'!$B$25="Confirmed",'Data entry'!$B$25="Probable")),"sx","")</f>
        <v/>
      </c>
      <c r="BE63" t="str">
        <f>IF(AND(BE$4='Data entry'!$R$25, OR('Data entry'!$B$25="Confirmed",'Data entry'!$B$25="Probable")),"sx","")</f>
        <v/>
      </c>
      <c r="BF63" t="str">
        <f>IF(AND(BF$4='Data entry'!$R$25, OR('Data entry'!$B$25="Confirmed",'Data entry'!$B$25="Probable")),"sx","")</f>
        <v/>
      </c>
      <c r="BG63" t="str">
        <f>IF(AND(BG$4='Data entry'!$R$25, OR('Data entry'!$B$25="Confirmed",'Data entry'!$B$25="Probable")),"sx","")</f>
        <v/>
      </c>
      <c r="BH63" t="str">
        <f>IF(AND(BH$4='Data entry'!$R$25, OR('Data entry'!$B$25="Confirmed",'Data entry'!$B$25="Probable")),"sx","")</f>
        <v/>
      </c>
      <c r="BI63" t="str">
        <f>IF(AND(BI$4='Data entry'!$R$25, OR('Data entry'!$B$25="Confirmed",'Data entry'!$B$25="Probable")),"sx","")</f>
        <v/>
      </c>
      <c r="BJ63" t="str">
        <f>IF(AND(BJ$4='Data entry'!$R$25, OR('Data entry'!$B$25="Confirmed",'Data entry'!$B$25="Probable")),"sx","")</f>
        <v/>
      </c>
      <c r="BK63" t="str">
        <f>IF(AND(BK$4='Data entry'!$R$25, OR('Data entry'!$B$25="Confirmed",'Data entry'!$B$25="Probable")),"sx","")</f>
        <v/>
      </c>
      <c r="BL63" t="str">
        <f>IF(AND(BL$4='Data entry'!$R$25, OR('Data entry'!$B$25="Confirmed",'Data entry'!$B$25="Probable")),"sx","")</f>
        <v/>
      </c>
      <c r="BM63" t="str">
        <f>IF(AND(BM$4='Data entry'!$R$25, OR('Data entry'!$B$25="Confirmed",'Data entry'!$B$25="Probable")),"sx","")</f>
        <v/>
      </c>
      <c r="BN63" t="str">
        <f>IF(AND(BN$4='Data entry'!$R$25, OR('Data entry'!$B$25="Confirmed",'Data entry'!$B$25="Probable")),"sx","")</f>
        <v/>
      </c>
      <c r="BO63" t="str">
        <f>IF(AND(BO$4='Data entry'!$R$25, OR('Data entry'!$B$25="Confirmed",'Data entry'!$B$25="Probable")),"sx","")</f>
        <v/>
      </c>
      <c r="BP63" t="str">
        <f>IF(AND(BP$4='Data entry'!$R$25, OR('Data entry'!$B$25="Confirmed",'Data entry'!$B$25="Probable")),"sx","")</f>
        <v/>
      </c>
      <c r="BQ63" t="str">
        <f>IF(AND(BQ$4='Data entry'!$R$25, OR('Data entry'!$B$25="Confirmed",'Data entry'!$B$25="Probable")),"sx","")</f>
        <v/>
      </c>
      <c r="BR63" t="str">
        <f>IF(AND(BR$4='Data entry'!$R$25, OR('Data entry'!$B$25="Confirmed",'Data entry'!$B$25="Probable")),"sx","")</f>
        <v/>
      </c>
      <c r="BS63" t="str">
        <f>IF(AND(BS$4='Data entry'!$R$25, OR('Data entry'!$B$25="Confirmed",'Data entry'!$B$25="Probable")),"sx","")</f>
        <v/>
      </c>
      <c r="BT63" t="str">
        <f>IF(AND(BT$4='Data entry'!$R$25, OR('Data entry'!$B$25="Confirmed",'Data entry'!$B$25="Probable")),"sx","")</f>
        <v/>
      </c>
      <c r="BU63" t="str">
        <f>IF(AND(BU$4='Data entry'!$R$25, OR('Data entry'!$B$25="Confirmed",'Data entry'!$B$25="Probable")),"sx","")</f>
        <v/>
      </c>
      <c r="BV63" t="str">
        <f>IF(AND(BV$4='Data entry'!$R$25, OR('Data entry'!$B$25="Confirmed",'Data entry'!$B$25="Probable")),"sx","")</f>
        <v/>
      </c>
      <c r="BW63" t="str">
        <f>IF(AND(BW$4='Data entry'!$R$25, OR('Data entry'!$B$25="Confirmed",'Data entry'!$B$25="Probable")),"sx","")</f>
        <v/>
      </c>
      <c r="BX63" t="str">
        <f>IF(AND(BX$4='Data entry'!$R$25, OR('Data entry'!$B$25="Confirmed",'Data entry'!$B$25="Probable")),"sx","")</f>
        <v/>
      </c>
      <c r="BY63" t="str">
        <f>IF(AND(BY$4='Data entry'!$R$25, OR('Data entry'!$B$25="Confirmed",'Data entry'!$B$25="Probable")),"sx","")</f>
        <v/>
      </c>
      <c r="BZ63" t="str">
        <f>IF(AND(BZ$4='Data entry'!$R$25, OR('Data entry'!$B$25="Confirmed",'Data entry'!$B$25="Probable")),"sx","")</f>
        <v/>
      </c>
      <c r="CA63" t="str">
        <f>IF(AND(CA$4='Data entry'!$R$25, OR('Data entry'!$B$25="Confirmed",'Data entry'!$B$25="Probable")),"sx","")</f>
        <v/>
      </c>
      <c r="CB63" t="str">
        <f>IF(AND(CB$4='Data entry'!$R$25, OR('Data entry'!$B$25="Confirmed",'Data entry'!$B$25="Probable")),"sx","")</f>
        <v/>
      </c>
      <c r="CC63" t="str">
        <f>IF(AND(CC$4='Data entry'!$R$25, OR('Data entry'!$B$25="Confirmed",'Data entry'!$B$25="Probable")),"sx","")</f>
        <v/>
      </c>
    </row>
    <row r="64" spans="1:81" s="64" customFormat="1" ht="2.25" customHeight="1" thickBot="1" x14ac:dyDescent="0.25">
      <c r="A64" s="671"/>
      <c r="B64" s="672"/>
      <c r="C64" s="69"/>
    </row>
    <row r="65" spans="1:81" s="63" customFormat="1" ht="15.75" thickTop="1" x14ac:dyDescent="0.2">
      <c r="A65" s="670" t="str">
        <f>CONCATENATE('Data entry'!J26, " ", 'Data entry'!I26)</f>
        <v xml:space="preserve"> </v>
      </c>
      <c r="B65" s="670"/>
      <c r="C65" s="67"/>
    </row>
    <row r="66" spans="1:81" x14ac:dyDescent="0.2">
      <c r="A66" s="668" t="str">
        <f>CONCATENATE('Data entry'!B26, ", ", 'Data entry'!AO26, ", ", 'Data entry'!AR26)</f>
        <v xml:space="preserve">, , </v>
      </c>
      <c r="B66" s="668"/>
      <c r="C66" s="68"/>
      <c r="Q66" t="str">
        <f>IF(AND(Q$4='Data entry'!$R$26, OR('Data entry'!$B$26="Confirmed",'Data entry'!$B$26="Probable")),"sx","")</f>
        <v/>
      </c>
      <c r="R66" t="str">
        <f>IF(AND(R$4='Data entry'!$R$26, OR('Data entry'!$B$26="Confirmed",'Data entry'!$B$26="Probable")),"sx","")</f>
        <v/>
      </c>
      <c r="S66" t="str">
        <f>IF(AND(S$4='Data entry'!$R$26, OR('Data entry'!$B$26="Confirmed",'Data entry'!$B$26="Probable")),"sx","")</f>
        <v/>
      </c>
      <c r="T66" t="str">
        <f>IF(AND(T$4='Data entry'!$R$26, OR('Data entry'!$B$26="Confirmed",'Data entry'!$B$26="Probable")),"sx","")</f>
        <v/>
      </c>
      <c r="U66" t="str">
        <f>IF(AND(U$4='Data entry'!$R$26, OR('Data entry'!$B$26="Confirmed",'Data entry'!$B$26="Probable")),"sx","")</f>
        <v/>
      </c>
      <c r="V66" t="str">
        <f>IF(AND(V$4='Data entry'!$R$26, OR('Data entry'!$B$26="Confirmed",'Data entry'!$B$26="Probable")),"sx","")</f>
        <v/>
      </c>
      <c r="W66" t="str">
        <f>IF(AND(W$4='Data entry'!$R$26, OR('Data entry'!$B$26="Confirmed",'Data entry'!$B$26="Probable")),"sx","")</f>
        <v/>
      </c>
      <c r="X66" t="str">
        <f>IF(AND(X$4='Data entry'!$R$26, OR('Data entry'!$B$26="Confirmed",'Data entry'!$B$26="Probable")),"sx","")</f>
        <v/>
      </c>
      <c r="Y66" t="str">
        <f>IF(AND(Y$4='Data entry'!$R$26, OR('Data entry'!$B$26="Confirmed",'Data entry'!$B$26="Probable")),"sx","")</f>
        <v/>
      </c>
      <c r="Z66" t="str">
        <f>IF(AND(Z$4='Data entry'!$R$26, OR('Data entry'!$B$26="Confirmed",'Data entry'!$B$26="Probable")),"sx","")</f>
        <v/>
      </c>
      <c r="AA66" t="str">
        <f>IF(AND(AA$4='Data entry'!$R$26, OR('Data entry'!$B$26="Confirmed",'Data entry'!$B$26="Probable")),"sx","")</f>
        <v/>
      </c>
      <c r="AB66" t="str">
        <f>IF(AND(AB$4='Data entry'!$R$26, OR('Data entry'!$B$26="Confirmed",'Data entry'!$B$26="Probable")),"sx","")</f>
        <v/>
      </c>
      <c r="AC66" t="str">
        <f>IF(AND(AC$4='Data entry'!$R$26, OR('Data entry'!$B$26="Confirmed",'Data entry'!$B$26="Probable")),"sx","")</f>
        <v/>
      </c>
      <c r="AD66" t="str">
        <f>IF(AND(AD$4='Data entry'!$R$26, OR('Data entry'!$B$26="Confirmed",'Data entry'!$B$26="Probable")),"sx","")</f>
        <v/>
      </c>
      <c r="AE66" t="str">
        <f>IF(AND(AE$4='Data entry'!$R$26, OR('Data entry'!$B$26="Confirmed",'Data entry'!$B$26="Probable")),"sx","")</f>
        <v/>
      </c>
      <c r="AF66" t="str">
        <f>IF(AND(AF$4='Data entry'!$R$26, OR('Data entry'!$B$26="Confirmed",'Data entry'!$B$26="Probable")),"sx","")</f>
        <v/>
      </c>
      <c r="AG66" t="str">
        <f>IF(AND(AG$4='Data entry'!$R$26, OR('Data entry'!$B$26="Confirmed",'Data entry'!$B$26="Probable")),"sx","")</f>
        <v/>
      </c>
      <c r="AH66" t="str">
        <f>IF(AND(AH$4='Data entry'!$R$26, OR('Data entry'!$B$26="Confirmed",'Data entry'!$B$26="Probable")),"sx","")</f>
        <v/>
      </c>
      <c r="AI66" t="str">
        <f>IF(AND(AI$4='Data entry'!$R$26, OR('Data entry'!$B$26="Confirmed",'Data entry'!$B$26="Probable")),"sx","")</f>
        <v/>
      </c>
      <c r="AJ66" t="str">
        <f>IF(AND(AJ$4='Data entry'!$R$26, OR('Data entry'!$B$26="Confirmed",'Data entry'!$B$26="Probable")),"sx","")</f>
        <v/>
      </c>
      <c r="AK66" t="str">
        <f>IF(AND(AK$4='Data entry'!$R$26, OR('Data entry'!$B$26="Confirmed",'Data entry'!$B$26="Probable")),"sx","")</f>
        <v/>
      </c>
      <c r="AL66" t="str">
        <f>IF(AND(AL$4='Data entry'!$R$26, OR('Data entry'!$B$26="Confirmed",'Data entry'!$B$26="Probable")),"sx","")</f>
        <v/>
      </c>
      <c r="AM66" t="str">
        <f>IF(AND(AM$4='Data entry'!$R$26, OR('Data entry'!$B$26="Confirmed",'Data entry'!$B$26="Probable")),"sx","")</f>
        <v/>
      </c>
      <c r="AN66" t="str">
        <f>IF(AND(AN$4='Data entry'!$R$26, OR('Data entry'!$B$26="Confirmed",'Data entry'!$B$26="Probable")),"sx","")</f>
        <v/>
      </c>
      <c r="AO66" t="str">
        <f>IF(AND(AO$4='Data entry'!$R$26, OR('Data entry'!$B$26="Confirmed",'Data entry'!$B$26="Probable")),"sx","")</f>
        <v/>
      </c>
      <c r="AP66" t="str">
        <f>IF(AND(AP$4='Data entry'!$R$26, OR('Data entry'!$B$26="Confirmed",'Data entry'!$B$26="Probable")),"sx","")</f>
        <v/>
      </c>
      <c r="AQ66" t="str">
        <f>IF(AND(AQ$4='Data entry'!$R$26, OR('Data entry'!$B$26="Confirmed",'Data entry'!$B$26="Probable")),"sx","")</f>
        <v/>
      </c>
      <c r="AR66" t="str">
        <f>IF(AND(AR$4='Data entry'!$R$26, OR('Data entry'!$B$26="Confirmed",'Data entry'!$B$26="Probable")),"sx","")</f>
        <v/>
      </c>
      <c r="AS66" t="str">
        <f>IF(AND(AS$4='Data entry'!$R$26, OR('Data entry'!$B$26="Confirmed",'Data entry'!$B$26="Probable")),"sx","")</f>
        <v/>
      </c>
      <c r="AT66" t="str">
        <f>IF(AND(AT$4='Data entry'!$R$26, OR('Data entry'!$B$26="Confirmed",'Data entry'!$B$26="Probable")),"sx","")</f>
        <v/>
      </c>
      <c r="AU66" t="str">
        <f>IF(AND(AU$4='Data entry'!$R$26, OR('Data entry'!$B$26="Confirmed",'Data entry'!$B$26="Probable")),"sx","")</f>
        <v/>
      </c>
      <c r="AV66" t="str">
        <f>IF(AND(AV$4='Data entry'!$R$26, OR('Data entry'!$B$26="Confirmed",'Data entry'!$B$26="Probable")),"sx","")</f>
        <v/>
      </c>
      <c r="AW66" t="str">
        <f>IF(AND(AW$4='Data entry'!$R$26, OR('Data entry'!$B$26="Confirmed",'Data entry'!$B$26="Probable")),"sx","")</f>
        <v/>
      </c>
      <c r="AX66" t="str">
        <f>IF(AND(AX$4='Data entry'!$R$26, OR('Data entry'!$B$26="Confirmed",'Data entry'!$B$26="Probable")),"sx","")</f>
        <v/>
      </c>
      <c r="AY66" t="str">
        <f>IF(AND(AY$4='Data entry'!$R$26, OR('Data entry'!$B$26="Confirmed",'Data entry'!$B$26="Probable")),"sx","")</f>
        <v/>
      </c>
      <c r="AZ66" t="str">
        <f>IF(AND(AZ$4='Data entry'!$R$26, OR('Data entry'!$B$26="Confirmed",'Data entry'!$B$26="Probable")),"sx","")</f>
        <v/>
      </c>
      <c r="BA66" t="str">
        <f>IF(AND(BA$4='Data entry'!$R$26, OR('Data entry'!$B$26="Confirmed",'Data entry'!$B$26="Probable")),"sx","")</f>
        <v/>
      </c>
      <c r="BB66" t="str">
        <f>IF(AND(BB$4='Data entry'!$R$26, OR('Data entry'!$B$26="Confirmed",'Data entry'!$B$26="Probable")),"sx","")</f>
        <v/>
      </c>
      <c r="BC66" t="str">
        <f>IF(AND(BC$4='Data entry'!$R$26, OR('Data entry'!$B$26="Confirmed",'Data entry'!$B$26="Probable")),"sx","")</f>
        <v/>
      </c>
      <c r="BD66" t="str">
        <f>IF(AND(BD$4='Data entry'!$R$26, OR('Data entry'!$B$26="Confirmed",'Data entry'!$B$26="Probable")),"sx","")</f>
        <v/>
      </c>
      <c r="BE66" t="str">
        <f>IF(AND(BE$4='Data entry'!$R$26, OR('Data entry'!$B$26="Confirmed",'Data entry'!$B$26="Probable")),"sx","")</f>
        <v/>
      </c>
      <c r="BF66" t="str">
        <f>IF(AND(BF$4='Data entry'!$R$26, OR('Data entry'!$B$26="Confirmed",'Data entry'!$B$26="Probable")),"sx","")</f>
        <v/>
      </c>
      <c r="BG66" t="str">
        <f>IF(AND(BG$4='Data entry'!$R$26, OR('Data entry'!$B$26="Confirmed",'Data entry'!$B$26="Probable")),"sx","")</f>
        <v/>
      </c>
      <c r="BH66" t="str">
        <f>IF(AND(BH$4='Data entry'!$R$26, OR('Data entry'!$B$26="Confirmed",'Data entry'!$B$26="Probable")),"sx","")</f>
        <v/>
      </c>
      <c r="BI66" t="str">
        <f>IF(AND(BI$4='Data entry'!$R$26, OR('Data entry'!$B$26="Confirmed",'Data entry'!$B$26="Probable")),"sx","")</f>
        <v/>
      </c>
      <c r="BJ66" t="str">
        <f>IF(AND(BJ$4='Data entry'!$R$26, OR('Data entry'!$B$26="Confirmed",'Data entry'!$B$26="Probable")),"sx","")</f>
        <v/>
      </c>
      <c r="BK66" t="str">
        <f>IF(AND(BK$4='Data entry'!$R$26, OR('Data entry'!$B$26="Confirmed",'Data entry'!$B$26="Probable")),"sx","")</f>
        <v/>
      </c>
      <c r="BL66" t="str">
        <f>IF(AND(BL$4='Data entry'!$R$26, OR('Data entry'!$B$26="Confirmed",'Data entry'!$B$26="Probable")),"sx","")</f>
        <v/>
      </c>
      <c r="BM66" t="str">
        <f>IF(AND(BM$4='Data entry'!$R$26, OR('Data entry'!$B$26="Confirmed",'Data entry'!$B$26="Probable")),"sx","")</f>
        <v/>
      </c>
      <c r="BN66" t="str">
        <f>IF(AND(BN$4='Data entry'!$R$26, OR('Data entry'!$B$26="Confirmed",'Data entry'!$B$26="Probable")),"sx","")</f>
        <v/>
      </c>
      <c r="BO66" t="str">
        <f>IF(AND(BO$4='Data entry'!$R$26, OR('Data entry'!$B$26="Confirmed",'Data entry'!$B$26="Probable")),"sx","")</f>
        <v/>
      </c>
      <c r="BP66" t="str">
        <f>IF(AND(BP$4='Data entry'!$R$26, OR('Data entry'!$B$26="Confirmed",'Data entry'!$B$26="Probable")),"sx","")</f>
        <v/>
      </c>
      <c r="BQ66" t="str">
        <f>IF(AND(BQ$4='Data entry'!$R$26, OR('Data entry'!$B$26="Confirmed",'Data entry'!$B$26="Probable")),"sx","")</f>
        <v/>
      </c>
      <c r="BR66" t="str">
        <f>IF(AND(BR$4='Data entry'!$R$26, OR('Data entry'!$B$26="Confirmed",'Data entry'!$B$26="Probable")),"sx","")</f>
        <v/>
      </c>
      <c r="BS66" t="str">
        <f>IF(AND(BS$4='Data entry'!$R$26, OR('Data entry'!$B$26="Confirmed",'Data entry'!$B$26="Probable")),"sx","")</f>
        <v/>
      </c>
      <c r="BT66" t="str">
        <f>IF(AND(BT$4='Data entry'!$R$26, OR('Data entry'!$B$26="Confirmed",'Data entry'!$B$26="Probable")),"sx","")</f>
        <v/>
      </c>
      <c r="BU66" t="str">
        <f>IF(AND(BU$4='Data entry'!$R$26, OR('Data entry'!$B$26="Confirmed",'Data entry'!$B$26="Probable")),"sx","")</f>
        <v/>
      </c>
      <c r="BV66" t="str">
        <f>IF(AND(BV$4='Data entry'!$R$26, OR('Data entry'!$B$26="Confirmed",'Data entry'!$B$26="Probable")),"sx","")</f>
        <v/>
      </c>
      <c r="BW66" t="str">
        <f>IF(AND(BW$4='Data entry'!$R$26, OR('Data entry'!$B$26="Confirmed",'Data entry'!$B$26="Probable")),"sx","")</f>
        <v/>
      </c>
      <c r="BX66" t="str">
        <f>IF(AND(BX$4='Data entry'!$R$26, OR('Data entry'!$B$26="Confirmed",'Data entry'!$B$26="Probable")),"sx","")</f>
        <v/>
      </c>
      <c r="BY66" t="str">
        <f>IF(AND(BY$4='Data entry'!$R$26, OR('Data entry'!$B$26="Confirmed",'Data entry'!$B$26="Probable")),"sx","")</f>
        <v/>
      </c>
      <c r="BZ66" t="str">
        <f>IF(AND(BZ$4='Data entry'!$R$26, OR('Data entry'!$B$26="Confirmed",'Data entry'!$B$26="Probable")),"sx","")</f>
        <v/>
      </c>
      <c r="CA66" t="str">
        <f>IF(AND(CA$4='Data entry'!$R$26, OR('Data entry'!$B$26="Confirmed",'Data entry'!$B$26="Probable")),"sx","")</f>
        <v/>
      </c>
      <c r="CB66" t="str">
        <f>IF(AND(CB$4='Data entry'!$R$26, OR('Data entry'!$B$26="Confirmed",'Data entry'!$B$26="Probable")),"sx","")</f>
        <v/>
      </c>
      <c r="CC66" t="str">
        <f>IF(AND(CC$4='Data entry'!$R$26, OR('Data entry'!$B$26="Confirmed",'Data entry'!$B$26="Probable")),"sx","")</f>
        <v/>
      </c>
    </row>
    <row r="67" spans="1:81" s="64" customFormat="1" ht="2.25" customHeight="1" thickBot="1" x14ac:dyDescent="0.25">
      <c r="A67" s="671"/>
      <c r="B67" s="672"/>
      <c r="C67" s="69"/>
    </row>
    <row r="68" spans="1:81" s="63" customFormat="1" ht="15.75" thickTop="1" x14ac:dyDescent="0.2">
      <c r="A68" s="670" t="str">
        <f>CONCATENATE('Data entry'!J27, " ", 'Data entry'!I27)</f>
        <v xml:space="preserve"> </v>
      </c>
      <c r="B68" s="670"/>
      <c r="C68" s="67"/>
    </row>
    <row r="69" spans="1:81" x14ac:dyDescent="0.2">
      <c r="A69" s="668" t="str">
        <f>CONCATENATE('Data entry'!B27, ", ", 'Data entry'!AO27, ", ", 'Data entry'!AR27)</f>
        <v xml:space="preserve">, , </v>
      </c>
      <c r="B69" s="668"/>
      <c r="C69" s="68"/>
      <c r="Q69" t="str">
        <f>IF(AND(Q$4='Data entry'!$R$27, OR('Data entry'!$B$27="Confirmed",'Data entry'!$B$27="Probable")),"sx","")</f>
        <v/>
      </c>
      <c r="R69" t="str">
        <f>IF(AND(R$4='Data entry'!$R$27, OR('Data entry'!$B$27="Confirmed",'Data entry'!$B$27="Probable")),"sx","")</f>
        <v/>
      </c>
      <c r="S69" t="str">
        <f>IF(AND(S$4='Data entry'!$R$27, OR('Data entry'!$B$27="Confirmed",'Data entry'!$B$27="Probable")),"sx","")</f>
        <v/>
      </c>
      <c r="T69" t="str">
        <f>IF(AND(T$4='Data entry'!$R$27, OR('Data entry'!$B$27="Confirmed",'Data entry'!$B$27="Probable")),"sx","")</f>
        <v/>
      </c>
      <c r="U69" t="str">
        <f>IF(AND(U$4='Data entry'!$R$27, OR('Data entry'!$B$27="Confirmed",'Data entry'!$B$27="Probable")),"sx","")</f>
        <v/>
      </c>
      <c r="V69" t="str">
        <f>IF(AND(V$4='Data entry'!$R$27, OR('Data entry'!$B$27="Confirmed",'Data entry'!$B$27="Probable")),"sx","")</f>
        <v/>
      </c>
      <c r="W69" t="str">
        <f>IF(AND(W$4='Data entry'!$R$27, OR('Data entry'!$B$27="Confirmed",'Data entry'!$B$27="Probable")),"sx","")</f>
        <v/>
      </c>
      <c r="X69" t="str">
        <f>IF(AND(X$4='Data entry'!$R$27, OR('Data entry'!$B$27="Confirmed",'Data entry'!$B$27="Probable")),"sx","")</f>
        <v/>
      </c>
      <c r="Y69" t="str">
        <f>IF(AND(Y$4='Data entry'!$R$27, OR('Data entry'!$B$27="Confirmed",'Data entry'!$B$27="Probable")),"sx","")</f>
        <v/>
      </c>
      <c r="Z69" t="str">
        <f>IF(AND(Z$4='Data entry'!$R$27, OR('Data entry'!$B$27="Confirmed",'Data entry'!$B$27="Probable")),"sx","")</f>
        <v/>
      </c>
      <c r="AA69" t="str">
        <f>IF(AND(AA$4='Data entry'!$R$27, OR('Data entry'!$B$27="Confirmed",'Data entry'!$B$27="Probable")),"sx","")</f>
        <v/>
      </c>
      <c r="AB69" t="str">
        <f>IF(AND(AB$4='Data entry'!$R$27, OR('Data entry'!$B$27="Confirmed",'Data entry'!$B$27="Probable")),"sx","")</f>
        <v/>
      </c>
      <c r="AC69" t="str">
        <f>IF(AND(AC$4='Data entry'!$R$27, OR('Data entry'!$B$27="Confirmed",'Data entry'!$B$27="Probable")),"sx","")</f>
        <v/>
      </c>
      <c r="AD69" t="str">
        <f>IF(AND(AD$4='Data entry'!$R$27, OR('Data entry'!$B$27="Confirmed",'Data entry'!$B$27="Probable")),"sx","")</f>
        <v/>
      </c>
      <c r="AE69" t="str">
        <f>IF(AND(AE$4='Data entry'!$R$27, OR('Data entry'!$B$27="Confirmed",'Data entry'!$B$27="Probable")),"sx","")</f>
        <v/>
      </c>
      <c r="AF69" t="str">
        <f>IF(AND(AF$4='Data entry'!$R$27, OR('Data entry'!$B$27="Confirmed",'Data entry'!$B$27="Probable")),"sx","")</f>
        <v/>
      </c>
      <c r="AG69" t="str">
        <f>IF(AND(AG$4='Data entry'!$R$27, OR('Data entry'!$B$27="Confirmed",'Data entry'!$B$27="Probable")),"sx","")</f>
        <v/>
      </c>
      <c r="AH69" t="str">
        <f>IF(AND(AH$4='Data entry'!$R$27, OR('Data entry'!$B$27="Confirmed",'Data entry'!$B$27="Probable")),"sx","")</f>
        <v/>
      </c>
      <c r="AI69" t="str">
        <f>IF(AND(AI$4='Data entry'!$R$27, OR('Data entry'!$B$27="Confirmed",'Data entry'!$B$27="Probable")),"sx","")</f>
        <v/>
      </c>
      <c r="AJ69" t="str">
        <f>IF(AND(AJ$4='Data entry'!$R$27, OR('Data entry'!$B$27="Confirmed",'Data entry'!$B$27="Probable")),"sx","")</f>
        <v/>
      </c>
      <c r="AK69" t="str">
        <f>IF(AND(AK$4='Data entry'!$R$27, OR('Data entry'!$B$27="Confirmed",'Data entry'!$B$27="Probable")),"sx","")</f>
        <v/>
      </c>
      <c r="AL69" t="str">
        <f>IF(AND(AL$4='Data entry'!$R$27, OR('Data entry'!$B$27="Confirmed",'Data entry'!$B$27="Probable")),"sx","")</f>
        <v/>
      </c>
      <c r="AM69" t="str">
        <f>IF(AND(AM$4='Data entry'!$R$27, OR('Data entry'!$B$27="Confirmed",'Data entry'!$B$27="Probable")),"sx","")</f>
        <v/>
      </c>
      <c r="AN69" t="str">
        <f>IF(AND(AN$4='Data entry'!$R$27, OR('Data entry'!$B$27="Confirmed",'Data entry'!$B$27="Probable")),"sx","")</f>
        <v/>
      </c>
      <c r="AO69" t="str">
        <f>IF(AND(AO$4='Data entry'!$R$27, OR('Data entry'!$B$27="Confirmed",'Data entry'!$B$27="Probable")),"sx","")</f>
        <v/>
      </c>
      <c r="AP69" t="str">
        <f>IF(AND(AP$4='Data entry'!$R$27, OR('Data entry'!$B$27="Confirmed",'Data entry'!$B$27="Probable")),"sx","")</f>
        <v/>
      </c>
      <c r="AQ69" t="str">
        <f>IF(AND(AQ$4='Data entry'!$R$27, OR('Data entry'!$B$27="Confirmed",'Data entry'!$B$27="Probable")),"sx","")</f>
        <v/>
      </c>
      <c r="AR69" t="str">
        <f>IF(AND(AR$4='Data entry'!$R$27, OR('Data entry'!$B$27="Confirmed",'Data entry'!$B$27="Probable")),"sx","")</f>
        <v/>
      </c>
      <c r="AS69" t="str">
        <f>IF(AND(AS$4='Data entry'!$R$27, OR('Data entry'!$B$27="Confirmed",'Data entry'!$B$27="Probable")),"sx","")</f>
        <v/>
      </c>
      <c r="AT69" t="str">
        <f>IF(AND(AT$4='Data entry'!$R$27, OR('Data entry'!$B$27="Confirmed",'Data entry'!$B$27="Probable")),"sx","")</f>
        <v/>
      </c>
      <c r="AU69" t="str">
        <f>IF(AND(AU$4='Data entry'!$R$27, OR('Data entry'!$B$27="Confirmed",'Data entry'!$B$27="Probable")),"sx","")</f>
        <v/>
      </c>
      <c r="AV69" t="str">
        <f>IF(AND(AV$4='Data entry'!$R$27, OR('Data entry'!$B$27="Confirmed",'Data entry'!$B$27="Probable")),"sx","")</f>
        <v/>
      </c>
      <c r="AW69" t="str">
        <f>IF(AND(AW$4='Data entry'!$R$27, OR('Data entry'!$B$27="Confirmed",'Data entry'!$B$27="Probable")),"sx","")</f>
        <v/>
      </c>
      <c r="AX69" t="str">
        <f>IF(AND(AX$4='Data entry'!$R$27, OR('Data entry'!$B$27="Confirmed",'Data entry'!$B$27="Probable")),"sx","")</f>
        <v/>
      </c>
      <c r="AY69" t="str">
        <f>IF(AND(AY$4='Data entry'!$R$27, OR('Data entry'!$B$27="Confirmed",'Data entry'!$B$27="Probable")),"sx","")</f>
        <v/>
      </c>
      <c r="AZ69" t="str">
        <f>IF(AND(AZ$4='Data entry'!$R$27, OR('Data entry'!$B$27="Confirmed",'Data entry'!$B$27="Probable")),"sx","")</f>
        <v/>
      </c>
      <c r="BA69" t="str">
        <f>IF(AND(BA$4='Data entry'!$R$27, OR('Data entry'!$B$27="Confirmed",'Data entry'!$B$27="Probable")),"sx","")</f>
        <v/>
      </c>
      <c r="BB69" t="str">
        <f>IF(AND(BB$4='Data entry'!$R$27, OR('Data entry'!$B$27="Confirmed",'Data entry'!$B$27="Probable")),"sx","")</f>
        <v/>
      </c>
      <c r="BC69" t="str">
        <f>IF(AND(BC$4='Data entry'!$R$27, OR('Data entry'!$B$27="Confirmed",'Data entry'!$B$27="Probable")),"sx","")</f>
        <v/>
      </c>
      <c r="BD69" t="str">
        <f>IF(AND(BD$4='Data entry'!$R$27, OR('Data entry'!$B$27="Confirmed",'Data entry'!$B$27="Probable")),"sx","")</f>
        <v/>
      </c>
      <c r="BE69" t="str">
        <f>IF(AND(BE$4='Data entry'!$R$27, OR('Data entry'!$B$27="Confirmed",'Data entry'!$B$27="Probable")),"sx","")</f>
        <v/>
      </c>
      <c r="BF69" t="str">
        <f>IF(AND(BF$4='Data entry'!$R$27, OR('Data entry'!$B$27="Confirmed",'Data entry'!$B$27="Probable")),"sx","")</f>
        <v/>
      </c>
      <c r="BG69" t="str">
        <f>IF(AND(BG$4='Data entry'!$R$27, OR('Data entry'!$B$27="Confirmed",'Data entry'!$B$27="Probable")),"sx","")</f>
        <v/>
      </c>
      <c r="BH69" t="str">
        <f>IF(AND(BH$4='Data entry'!$R$27, OR('Data entry'!$B$27="Confirmed",'Data entry'!$B$27="Probable")),"sx","")</f>
        <v/>
      </c>
      <c r="BI69" t="str">
        <f>IF(AND(BI$4='Data entry'!$R$27, OR('Data entry'!$B$27="Confirmed",'Data entry'!$B$27="Probable")),"sx","")</f>
        <v/>
      </c>
      <c r="BJ69" t="str">
        <f>IF(AND(BJ$4='Data entry'!$R$27, OR('Data entry'!$B$27="Confirmed",'Data entry'!$B$27="Probable")),"sx","")</f>
        <v/>
      </c>
      <c r="BK69" t="str">
        <f>IF(AND(BK$4='Data entry'!$R$27, OR('Data entry'!$B$27="Confirmed",'Data entry'!$B$27="Probable")),"sx","")</f>
        <v/>
      </c>
      <c r="BL69" t="str">
        <f>IF(AND(BL$4='Data entry'!$R$27, OR('Data entry'!$B$27="Confirmed",'Data entry'!$B$27="Probable")),"sx","")</f>
        <v/>
      </c>
      <c r="BM69" t="str">
        <f>IF(AND(BM$4='Data entry'!$R$27, OR('Data entry'!$B$27="Confirmed",'Data entry'!$B$27="Probable")),"sx","")</f>
        <v/>
      </c>
      <c r="BN69" t="str">
        <f>IF(AND(BN$4='Data entry'!$R$27, OR('Data entry'!$B$27="Confirmed",'Data entry'!$B$27="Probable")),"sx","")</f>
        <v/>
      </c>
      <c r="BO69" t="str">
        <f>IF(AND(BO$4='Data entry'!$R$27, OR('Data entry'!$B$27="Confirmed",'Data entry'!$B$27="Probable")),"sx","")</f>
        <v/>
      </c>
      <c r="BP69" t="str">
        <f>IF(AND(BP$4='Data entry'!$R$27, OR('Data entry'!$B$27="Confirmed",'Data entry'!$B$27="Probable")),"sx","")</f>
        <v/>
      </c>
      <c r="BQ69" t="str">
        <f>IF(AND(BQ$4='Data entry'!$R$27, OR('Data entry'!$B$27="Confirmed",'Data entry'!$B$27="Probable")),"sx","")</f>
        <v/>
      </c>
      <c r="BR69" t="str">
        <f>IF(AND(BR$4='Data entry'!$R$27, OR('Data entry'!$B$27="Confirmed",'Data entry'!$B$27="Probable")),"sx","")</f>
        <v/>
      </c>
      <c r="BS69" t="str">
        <f>IF(AND(BS$4='Data entry'!$R$27, OR('Data entry'!$B$27="Confirmed",'Data entry'!$B$27="Probable")),"sx","")</f>
        <v/>
      </c>
      <c r="BT69" t="str">
        <f>IF(AND(BT$4='Data entry'!$R$27, OR('Data entry'!$B$27="Confirmed",'Data entry'!$B$27="Probable")),"sx","")</f>
        <v/>
      </c>
      <c r="BU69" t="str">
        <f>IF(AND(BU$4='Data entry'!$R$27, OR('Data entry'!$B$27="Confirmed",'Data entry'!$B$27="Probable")),"sx","")</f>
        <v/>
      </c>
      <c r="BV69" t="str">
        <f>IF(AND(BV$4='Data entry'!$R$27, OR('Data entry'!$B$27="Confirmed",'Data entry'!$B$27="Probable")),"sx","")</f>
        <v/>
      </c>
      <c r="BW69" t="str">
        <f>IF(AND(BW$4='Data entry'!$R$27, OR('Data entry'!$B$27="Confirmed",'Data entry'!$B$27="Probable")),"sx","")</f>
        <v/>
      </c>
      <c r="BX69" t="str">
        <f>IF(AND(BX$4='Data entry'!$R$27, OR('Data entry'!$B$27="Confirmed",'Data entry'!$B$27="Probable")),"sx","")</f>
        <v/>
      </c>
      <c r="BY69" t="str">
        <f>IF(AND(BY$4='Data entry'!$R$27, OR('Data entry'!$B$27="Confirmed",'Data entry'!$B$27="Probable")),"sx","")</f>
        <v/>
      </c>
      <c r="BZ69" t="str">
        <f>IF(AND(BZ$4='Data entry'!$R$27, OR('Data entry'!$B$27="Confirmed",'Data entry'!$B$27="Probable")),"sx","")</f>
        <v/>
      </c>
      <c r="CA69" t="str">
        <f>IF(AND(CA$4='Data entry'!$R$27, OR('Data entry'!$B$27="Confirmed",'Data entry'!$B$27="Probable")),"sx","")</f>
        <v/>
      </c>
      <c r="CB69" t="str">
        <f>IF(AND(CB$4='Data entry'!$R$27, OR('Data entry'!$B$27="Confirmed",'Data entry'!$B$27="Probable")),"sx","")</f>
        <v/>
      </c>
      <c r="CC69" t="str">
        <f>IF(AND(CC$4='Data entry'!$R$27, OR('Data entry'!$B$27="Confirmed",'Data entry'!$B$27="Probable")),"sx","")</f>
        <v/>
      </c>
    </row>
    <row r="70" spans="1:81" s="64" customFormat="1" ht="2.25" customHeight="1" thickBot="1" x14ac:dyDescent="0.25">
      <c r="A70" s="671"/>
      <c r="B70" s="672"/>
      <c r="C70" s="69"/>
    </row>
    <row r="71" spans="1:81" s="63" customFormat="1" ht="15.75" thickTop="1" x14ac:dyDescent="0.2">
      <c r="A71" s="670" t="str">
        <f>CONCATENATE('Data entry'!J28, " ", 'Data entry'!I28)</f>
        <v xml:space="preserve"> </v>
      </c>
      <c r="B71" s="670"/>
      <c r="C71" s="67"/>
    </row>
    <row r="72" spans="1:81" x14ac:dyDescent="0.2">
      <c r="A72" s="668" t="str">
        <f>CONCATENATE('Data entry'!B28, ", ", 'Data entry'!AO28, ", ", 'Data entry'!AR28)</f>
        <v xml:space="preserve">, , </v>
      </c>
      <c r="B72" s="668"/>
      <c r="C72" s="68"/>
      <c r="Q72" t="str">
        <f>IF(AND(Q$4='Data entry'!$R$28, OR('Data entry'!$B$28="Confirmed",'Data entry'!$B$28="Probable")),"sx","")</f>
        <v/>
      </c>
      <c r="R72" t="str">
        <f>IF(AND(R$4='Data entry'!$R$28, OR('Data entry'!$B$28="Confirmed",'Data entry'!$B$28="Probable")),"sx","")</f>
        <v/>
      </c>
      <c r="S72" t="str">
        <f>IF(AND(S$4='Data entry'!$R$28, OR('Data entry'!$B$28="Confirmed",'Data entry'!$B$28="Probable")),"sx","")</f>
        <v/>
      </c>
      <c r="T72" t="str">
        <f>IF(AND(T$4='Data entry'!$R$28, OR('Data entry'!$B$28="Confirmed",'Data entry'!$B$28="Probable")),"sx","")</f>
        <v/>
      </c>
      <c r="U72" t="str">
        <f>IF(AND(U$4='Data entry'!$R$28, OR('Data entry'!$B$28="Confirmed",'Data entry'!$B$28="Probable")),"sx","")</f>
        <v/>
      </c>
      <c r="V72" t="str">
        <f>IF(AND(V$4='Data entry'!$R$28, OR('Data entry'!$B$28="Confirmed",'Data entry'!$B$28="Probable")),"sx","")</f>
        <v/>
      </c>
      <c r="W72" t="str">
        <f>IF(AND(W$4='Data entry'!$R$28, OR('Data entry'!$B$28="Confirmed",'Data entry'!$B$28="Probable")),"sx","")</f>
        <v/>
      </c>
      <c r="X72" t="str">
        <f>IF(AND(X$4='Data entry'!$R$28, OR('Data entry'!$B$28="Confirmed",'Data entry'!$B$28="Probable")),"sx","")</f>
        <v/>
      </c>
      <c r="Y72" t="str">
        <f>IF(AND(Y$4='Data entry'!$R$28, OR('Data entry'!$B$28="Confirmed",'Data entry'!$B$28="Probable")),"sx","")</f>
        <v/>
      </c>
      <c r="Z72" t="str">
        <f>IF(AND(Z$4='Data entry'!$R$28, OR('Data entry'!$B$28="Confirmed",'Data entry'!$B$28="Probable")),"sx","")</f>
        <v/>
      </c>
      <c r="AA72" t="str">
        <f>IF(AND(AA$4='Data entry'!$R$28, OR('Data entry'!$B$28="Confirmed",'Data entry'!$B$28="Probable")),"sx","")</f>
        <v/>
      </c>
      <c r="AB72" t="str">
        <f>IF(AND(AB$4='Data entry'!$R$28, OR('Data entry'!$B$28="Confirmed",'Data entry'!$B$28="Probable")),"sx","")</f>
        <v/>
      </c>
      <c r="AC72" t="str">
        <f>IF(AND(AC$4='Data entry'!$R$28, OR('Data entry'!$B$28="Confirmed",'Data entry'!$B$28="Probable")),"sx","")</f>
        <v/>
      </c>
      <c r="AD72" t="str">
        <f>IF(AND(AD$4='Data entry'!$R$28, OR('Data entry'!$B$28="Confirmed",'Data entry'!$B$28="Probable")),"sx","")</f>
        <v/>
      </c>
      <c r="AE72" t="str">
        <f>IF(AND(AE$4='Data entry'!$R$28, OR('Data entry'!$B$28="Confirmed",'Data entry'!$B$28="Probable")),"sx","")</f>
        <v/>
      </c>
      <c r="AF72" t="str">
        <f>IF(AND(AF$4='Data entry'!$R$28, OR('Data entry'!$B$28="Confirmed",'Data entry'!$B$28="Probable")),"sx","")</f>
        <v/>
      </c>
      <c r="AG72" t="str">
        <f>IF(AND(AG$4='Data entry'!$R$28, OR('Data entry'!$B$28="Confirmed",'Data entry'!$B$28="Probable")),"sx","")</f>
        <v/>
      </c>
      <c r="AH72" t="str">
        <f>IF(AND(AH$4='Data entry'!$R$28, OR('Data entry'!$B$28="Confirmed",'Data entry'!$B$28="Probable")),"sx","")</f>
        <v/>
      </c>
      <c r="AI72" t="str">
        <f>IF(AND(AI$4='Data entry'!$R$28, OR('Data entry'!$B$28="Confirmed",'Data entry'!$B$28="Probable")),"sx","")</f>
        <v/>
      </c>
      <c r="AJ72" t="str">
        <f>IF(AND(AJ$4='Data entry'!$R$28, OR('Data entry'!$B$28="Confirmed",'Data entry'!$B$28="Probable")),"sx","")</f>
        <v/>
      </c>
      <c r="AK72" t="str">
        <f>IF(AND(AK$4='Data entry'!$R$28, OR('Data entry'!$B$28="Confirmed",'Data entry'!$B$28="Probable")),"sx","")</f>
        <v/>
      </c>
      <c r="AL72" t="str">
        <f>IF(AND(AL$4='Data entry'!$R$28, OR('Data entry'!$B$28="Confirmed",'Data entry'!$B$28="Probable")),"sx","")</f>
        <v/>
      </c>
      <c r="AM72" t="str">
        <f>IF(AND(AM$4='Data entry'!$R$28, OR('Data entry'!$B$28="Confirmed",'Data entry'!$B$28="Probable")),"sx","")</f>
        <v/>
      </c>
      <c r="AN72" t="str">
        <f>IF(AND(AN$4='Data entry'!$R$28, OR('Data entry'!$B$28="Confirmed",'Data entry'!$B$28="Probable")),"sx","")</f>
        <v/>
      </c>
      <c r="AO72" t="str">
        <f>IF(AND(AO$4='Data entry'!$R$28, OR('Data entry'!$B$28="Confirmed",'Data entry'!$B$28="Probable")),"sx","")</f>
        <v/>
      </c>
      <c r="AP72" t="str">
        <f>IF(AND(AP$4='Data entry'!$R$28, OR('Data entry'!$B$28="Confirmed",'Data entry'!$B$28="Probable")),"sx","")</f>
        <v/>
      </c>
      <c r="AQ72" t="str">
        <f>IF(AND(AQ$4='Data entry'!$R$28, OR('Data entry'!$B$28="Confirmed",'Data entry'!$B$28="Probable")),"sx","")</f>
        <v/>
      </c>
      <c r="AR72" t="str">
        <f>IF(AND(AR$4='Data entry'!$R$28, OR('Data entry'!$B$28="Confirmed",'Data entry'!$B$28="Probable")),"sx","")</f>
        <v/>
      </c>
      <c r="AS72" t="str">
        <f>IF(AND(AS$4='Data entry'!$R$28, OR('Data entry'!$B$28="Confirmed",'Data entry'!$B$28="Probable")),"sx","")</f>
        <v/>
      </c>
      <c r="AT72" t="str">
        <f>IF(AND(AT$4='Data entry'!$R$28, OR('Data entry'!$B$28="Confirmed",'Data entry'!$B$28="Probable")),"sx","")</f>
        <v/>
      </c>
      <c r="AU72" t="str">
        <f>IF(AND(AU$4='Data entry'!$R$28, OR('Data entry'!$B$28="Confirmed",'Data entry'!$B$28="Probable")),"sx","")</f>
        <v/>
      </c>
      <c r="AV72" t="str">
        <f>IF(AND(AV$4='Data entry'!$R$28, OR('Data entry'!$B$28="Confirmed",'Data entry'!$B$28="Probable")),"sx","")</f>
        <v/>
      </c>
      <c r="AW72" t="str">
        <f>IF(AND(AW$4='Data entry'!$R$28, OR('Data entry'!$B$28="Confirmed",'Data entry'!$B$28="Probable")),"sx","")</f>
        <v/>
      </c>
      <c r="AX72" t="str">
        <f>IF(AND(AX$4='Data entry'!$R$28, OR('Data entry'!$B$28="Confirmed",'Data entry'!$B$28="Probable")),"sx","")</f>
        <v/>
      </c>
      <c r="AY72" t="str">
        <f>IF(AND(AY$4='Data entry'!$R$28, OR('Data entry'!$B$28="Confirmed",'Data entry'!$B$28="Probable")),"sx","")</f>
        <v/>
      </c>
      <c r="AZ72" t="str">
        <f>IF(AND(AZ$4='Data entry'!$R$28, OR('Data entry'!$B$28="Confirmed",'Data entry'!$B$28="Probable")),"sx","")</f>
        <v/>
      </c>
      <c r="BA72" t="str">
        <f>IF(AND(BA$4='Data entry'!$R$28, OR('Data entry'!$B$28="Confirmed",'Data entry'!$B$28="Probable")),"sx","")</f>
        <v/>
      </c>
      <c r="BB72" t="str">
        <f>IF(AND(BB$4='Data entry'!$R$28, OR('Data entry'!$B$28="Confirmed",'Data entry'!$B$28="Probable")),"sx","")</f>
        <v/>
      </c>
      <c r="BC72" t="str">
        <f>IF(AND(BC$4='Data entry'!$R$28, OR('Data entry'!$B$28="Confirmed",'Data entry'!$B$28="Probable")),"sx","")</f>
        <v/>
      </c>
      <c r="BD72" t="str">
        <f>IF(AND(BD$4='Data entry'!$R$28, OR('Data entry'!$B$28="Confirmed",'Data entry'!$B$28="Probable")),"sx","")</f>
        <v/>
      </c>
      <c r="BE72" t="str">
        <f>IF(AND(BE$4='Data entry'!$R$28, OR('Data entry'!$B$28="Confirmed",'Data entry'!$B$28="Probable")),"sx","")</f>
        <v/>
      </c>
      <c r="BF72" t="str">
        <f>IF(AND(BF$4='Data entry'!$R$28, OR('Data entry'!$B$28="Confirmed",'Data entry'!$B$28="Probable")),"sx","")</f>
        <v/>
      </c>
      <c r="BG72" t="str">
        <f>IF(AND(BG$4='Data entry'!$R$28, OR('Data entry'!$B$28="Confirmed",'Data entry'!$B$28="Probable")),"sx","")</f>
        <v/>
      </c>
      <c r="BH72" t="str">
        <f>IF(AND(BH$4='Data entry'!$R$28, OR('Data entry'!$B$28="Confirmed",'Data entry'!$B$28="Probable")),"sx","")</f>
        <v/>
      </c>
      <c r="BI72" t="str">
        <f>IF(AND(BI$4='Data entry'!$R$28, OR('Data entry'!$B$28="Confirmed",'Data entry'!$B$28="Probable")),"sx","")</f>
        <v/>
      </c>
      <c r="BJ72" t="str">
        <f>IF(AND(BJ$4='Data entry'!$R$28, OR('Data entry'!$B$28="Confirmed",'Data entry'!$B$28="Probable")),"sx","")</f>
        <v/>
      </c>
      <c r="BK72" t="str">
        <f>IF(AND(BK$4='Data entry'!$R$28, OR('Data entry'!$B$28="Confirmed",'Data entry'!$B$28="Probable")),"sx","")</f>
        <v/>
      </c>
      <c r="BL72" t="str">
        <f>IF(AND(BL$4='Data entry'!$R$28, OR('Data entry'!$B$28="Confirmed",'Data entry'!$B$28="Probable")),"sx","")</f>
        <v/>
      </c>
      <c r="BM72" t="str">
        <f>IF(AND(BM$4='Data entry'!$R$28, OR('Data entry'!$B$28="Confirmed",'Data entry'!$B$28="Probable")),"sx","")</f>
        <v/>
      </c>
      <c r="BN72" t="str">
        <f>IF(AND(BN$4='Data entry'!$R$28, OR('Data entry'!$B$28="Confirmed",'Data entry'!$B$28="Probable")),"sx","")</f>
        <v/>
      </c>
      <c r="BO72" t="str">
        <f>IF(AND(BO$4='Data entry'!$R$28, OR('Data entry'!$B$28="Confirmed",'Data entry'!$B$28="Probable")),"sx","")</f>
        <v/>
      </c>
      <c r="BP72" t="str">
        <f>IF(AND(BP$4='Data entry'!$R$28, OR('Data entry'!$B$28="Confirmed",'Data entry'!$B$28="Probable")),"sx","")</f>
        <v/>
      </c>
      <c r="BQ72" t="str">
        <f>IF(AND(BQ$4='Data entry'!$R$28, OR('Data entry'!$B$28="Confirmed",'Data entry'!$B$28="Probable")),"sx","")</f>
        <v/>
      </c>
      <c r="BR72" t="str">
        <f>IF(AND(BR$4='Data entry'!$R$28, OR('Data entry'!$B$28="Confirmed",'Data entry'!$B$28="Probable")),"sx","")</f>
        <v/>
      </c>
      <c r="BS72" t="str">
        <f>IF(AND(BS$4='Data entry'!$R$28, OR('Data entry'!$B$28="Confirmed",'Data entry'!$B$28="Probable")),"sx","")</f>
        <v/>
      </c>
      <c r="BT72" t="str">
        <f>IF(AND(BT$4='Data entry'!$R$28, OR('Data entry'!$B$28="Confirmed",'Data entry'!$B$28="Probable")),"sx","")</f>
        <v/>
      </c>
      <c r="BU72" t="str">
        <f>IF(AND(BU$4='Data entry'!$R$28, OR('Data entry'!$B$28="Confirmed",'Data entry'!$B$28="Probable")),"sx","")</f>
        <v/>
      </c>
      <c r="BV72" t="str">
        <f>IF(AND(BV$4='Data entry'!$R$28, OR('Data entry'!$B$28="Confirmed",'Data entry'!$B$28="Probable")),"sx","")</f>
        <v/>
      </c>
      <c r="BW72" t="str">
        <f>IF(AND(BW$4='Data entry'!$R$28, OR('Data entry'!$B$28="Confirmed",'Data entry'!$B$28="Probable")),"sx","")</f>
        <v/>
      </c>
      <c r="BX72" t="str">
        <f>IF(AND(BX$4='Data entry'!$R$28, OR('Data entry'!$B$28="Confirmed",'Data entry'!$B$28="Probable")),"sx","")</f>
        <v/>
      </c>
      <c r="BY72" t="str">
        <f>IF(AND(BY$4='Data entry'!$R$28, OR('Data entry'!$B$28="Confirmed",'Data entry'!$B$28="Probable")),"sx","")</f>
        <v/>
      </c>
      <c r="BZ72" t="str">
        <f>IF(AND(BZ$4='Data entry'!$R$28, OR('Data entry'!$B$28="Confirmed",'Data entry'!$B$28="Probable")),"sx","")</f>
        <v/>
      </c>
      <c r="CA72" t="str">
        <f>IF(AND(CA$4='Data entry'!$R$28, OR('Data entry'!$B$28="Confirmed",'Data entry'!$B$28="Probable")),"sx","")</f>
        <v/>
      </c>
      <c r="CB72" t="str">
        <f>IF(AND(CB$4='Data entry'!$R$28, OR('Data entry'!$B$28="Confirmed",'Data entry'!$B$28="Probable")),"sx","")</f>
        <v/>
      </c>
      <c r="CC72" t="str">
        <f>IF(AND(CC$4='Data entry'!$R$28, OR('Data entry'!$B$28="Confirmed",'Data entry'!$B$28="Probable")),"sx","")</f>
        <v/>
      </c>
    </row>
    <row r="73" spans="1:81" s="64" customFormat="1" ht="2.25" customHeight="1" thickBot="1" x14ac:dyDescent="0.25">
      <c r="A73" s="671"/>
      <c r="B73" s="672"/>
      <c r="C73" s="69"/>
    </row>
    <row r="74" spans="1:81" s="63" customFormat="1" ht="15.75" thickTop="1" x14ac:dyDescent="0.2">
      <c r="A74" s="670" t="str">
        <f>CONCATENATE('Data entry'!J29, " ", 'Data entry'!I29)</f>
        <v xml:space="preserve"> </v>
      </c>
      <c r="B74" s="670"/>
      <c r="C74" s="67"/>
    </row>
    <row r="75" spans="1:81" x14ac:dyDescent="0.2">
      <c r="A75" s="668" t="str">
        <f>CONCATENATE('Data entry'!B29, ", ", 'Data entry'!AO29, ", ", 'Data entry'!AR29)</f>
        <v xml:space="preserve">, , </v>
      </c>
      <c r="B75" s="668"/>
      <c r="C75" s="68"/>
      <c r="Q75" t="str">
        <f>IF(AND(Q$4='Data entry'!$R$29, OR('Data entry'!$B$29="Confirmed",'Data entry'!$B$29="Probable")),"sx","")</f>
        <v/>
      </c>
      <c r="R75" t="str">
        <f>IF(AND(R$4='Data entry'!$R$29, OR('Data entry'!$B$29="Confirmed",'Data entry'!$B$29="Probable")),"sx","")</f>
        <v/>
      </c>
      <c r="S75" t="str">
        <f>IF(AND(S$4='Data entry'!$R$29, OR('Data entry'!$B$29="Confirmed",'Data entry'!$B$29="Probable")),"sx","")</f>
        <v/>
      </c>
      <c r="T75" t="str">
        <f>IF(AND(T$4='Data entry'!$R$29, OR('Data entry'!$B$29="Confirmed",'Data entry'!$B$29="Probable")),"sx","")</f>
        <v/>
      </c>
      <c r="U75" t="str">
        <f>IF(AND(U$4='Data entry'!$R$29, OR('Data entry'!$B$29="Confirmed",'Data entry'!$B$29="Probable")),"sx","")</f>
        <v/>
      </c>
      <c r="V75" t="str">
        <f>IF(AND(V$4='Data entry'!$R$29, OR('Data entry'!$B$29="Confirmed",'Data entry'!$B$29="Probable")),"sx","")</f>
        <v/>
      </c>
      <c r="W75" t="str">
        <f>IF(AND(W$4='Data entry'!$R$29, OR('Data entry'!$B$29="Confirmed",'Data entry'!$B$29="Probable")),"sx","")</f>
        <v/>
      </c>
      <c r="X75" t="str">
        <f>IF(AND(X$4='Data entry'!$R$29, OR('Data entry'!$B$29="Confirmed",'Data entry'!$B$29="Probable")),"sx","")</f>
        <v/>
      </c>
      <c r="Y75" t="str">
        <f>IF(AND(Y$4='Data entry'!$R$29, OR('Data entry'!$B$29="Confirmed",'Data entry'!$B$29="Probable")),"sx","")</f>
        <v/>
      </c>
      <c r="Z75" t="str">
        <f>IF(AND(Z$4='Data entry'!$R$29, OR('Data entry'!$B$29="Confirmed",'Data entry'!$B$29="Probable")),"sx","")</f>
        <v/>
      </c>
      <c r="AA75" t="str">
        <f>IF(AND(AA$4='Data entry'!$R$29, OR('Data entry'!$B$29="Confirmed",'Data entry'!$B$29="Probable")),"sx","")</f>
        <v/>
      </c>
      <c r="AB75" t="str">
        <f>IF(AND(AB$4='Data entry'!$R$29, OR('Data entry'!$B$29="Confirmed",'Data entry'!$B$29="Probable")),"sx","")</f>
        <v/>
      </c>
      <c r="AC75" t="str">
        <f>IF(AND(AC$4='Data entry'!$R$29, OR('Data entry'!$B$29="Confirmed",'Data entry'!$B$29="Probable")),"sx","")</f>
        <v/>
      </c>
      <c r="AD75" t="str">
        <f>IF(AND(AD$4='Data entry'!$R$29, OR('Data entry'!$B$29="Confirmed",'Data entry'!$B$29="Probable")),"sx","")</f>
        <v/>
      </c>
      <c r="AE75" t="str">
        <f>IF(AND(AE$4='Data entry'!$R$29, OR('Data entry'!$B$29="Confirmed",'Data entry'!$B$29="Probable")),"sx","")</f>
        <v/>
      </c>
      <c r="AF75" t="str">
        <f>IF(AND(AF$4='Data entry'!$R$29, OR('Data entry'!$B$29="Confirmed",'Data entry'!$B$29="Probable")),"sx","")</f>
        <v/>
      </c>
      <c r="AG75" t="str">
        <f>IF(AND(AG$4='Data entry'!$R$29, OR('Data entry'!$B$29="Confirmed",'Data entry'!$B$29="Probable")),"sx","")</f>
        <v/>
      </c>
      <c r="AH75" t="str">
        <f>IF(AND(AH$4='Data entry'!$R$29, OR('Data entry'!$B$29="Confirmed",'Data entry'!$B$29="Probable")),"sx","")</f>
        <v/>
      </c>
      <c r="AI75" t="str">
        <f>IF(AND(AI$4='Data entry'!$R$29, OR('Data entry'!$B$29="Confirmed",'Data entry'!$B$29="Probable")),"sx","")</f>
        <v/>
      </c>
      <c r="AJ75" t="str">
        <f>IF(AND(AJ$4='Data entry'!$R$29, OR('Data entry'!$B$29="Confirmed",'Data entry'!$B$29="Probable")),"sx","")</f>
        <v/>
      </c>
      <c r="AK75" t="str">
        <f>IF(AND(AK$4='Data entry'!$R$29, OR('Data entry'!$B$29="Confirmed",'Data entry'!$B$29="Probable")),"sx","")</f>
        <v/>
      </c>
      <c r="AL75" t="str">
        <f>IF(AND(AL$4='Data entry'!$R$29, OR('Data entry'!$B$29="Confirmed",'Data entry'!$B$29="Probable")),"sx","")</f>
        <v/>
      </c>
      <c r="AM75" t="str">
        <f>IF(AND(AM$4='Data entry'!$R$29, OR('Data entry'!$B$29="Confirmed",'Data entry'!$B$29="Probable")),"sx","")</f>
        <v/>
      </c>
      <c r="AN75" t="str">
        <f>IF(AND(AN$4='Data entry'!$R$29, OR('Data entry'!$B$29="Confirmed",'Data entry'!$B$29="Probable")),"sx","")</f>
        <v/>
      </c>
      <c r="AO75" t="str">
        <f>IF(AND(AO$4='Data entry'!$R$29, OR('Data entry'!$B$29="Confirmed",'Data entry'!$B$29="Probable")),"sx","")</f>
        <v/>
      </c>
      <c r="AP75" t="str">
        <f>IF(AND(AP$4='Data entry'!$R$29, OR('Data entry'!$B$29="Confirmed",'Data entry'!$B$29="Probable")),"sx","")</f>
        <v/>
      </c>
      <c r="AQ75" t="str">
        <f>IF(AND(AQ$4='Data entry'!$R$29, OR('Data entry'!$B$29="Confirmed",'Data entry'!$B$29="Probable")),"sx","")</f>
        <v/>
      </c>
      <c r="AR75" t="str">
        <f>IF(AND(AR$4='Data entry'!$R$29, OR('Data entry'!$B$29="Confirmed",'Data entry'!$B$29="Probable")),"sx","")</f>
        <v/>
      </c>
      <c r="AS75" t="str">
        <f>IF(AND(AS$4='Data entry'!$R$29, OR('Data entry'!$B$29="Confirmed",'Data entry'!$B$29="Probable")),"sx","")</f>
        <v/>
      </c>
      <c r="AT75" t="str">
        <f>IF(AND(AT$4='Data entry'!$R$29, OR('Data entry'!$B$29="Confirmed",'Data entry'!$B$29="Probable")),"sx","")</f>
        <v/>
      </c>
      <c r="AU75" t="str">
        <f>IF(AND(AU$4='Data entry'!$R$29, OR('Data entry'!$B$29="Confirmed",'Data entry'!$B$29="Probable")),"sx","")</f>
        <v/>
      </c>
      <c r="AV75" t="str">
        <f>IF(AND(AV$4='Data entry'!$R$29, OR('Data entry'!$B$29="Confirmed",'Data entry'!$B$29="Probable")),"sx","")</f>
        <v/>
      </c>
      <c r="AW75" t="str">
        <f>IF(AND(AW$4='Data entry'!$R$29, OR('Data entry'!$B$29="Confirmed",'Data entry'!$B$29="Probable")),"sx","")</f>
        <v/>
      </c>
      <c r="AX75" t="str">
        <f>IF(AND(AX$4='Data entry'!$R$29, OR('Data entry'!$B$29="Confirmed",'Data entry'!$B$29="Probable")),"sx","")</f>
        <v/>
      </c>
      <c r="AY75" t="str">
        <f>IF(AND(AY$4='Data entry'!$R$29, OR('Data entry'!$B$29="Confirmed",'Data entry'!$B$29="Probable")),"sx","")</f>
        <v/>
      </c>
      <c r="AZ75" t="str">
        <f>IF(AND(AZ$4='Data entry'!$R$29, OR('Data entry'!$B$29="Confirmed",'Data entry'!$B$29="Probable")),"sx","")</f>
        <v/>
      </c>
      <c r="BA75" t="str">
        <f>IF(AND(BA$4='Data entry'!$R$29, OR('Data entry'!$B$29="Confirmed",'Data entry'!$B$29="Probable")),"sx","")</f>
        <v/>
      </c>
      <c r="BB75" t="str">
        <f>IF(AND(BB$4='Data entry'!$R$29, OR('Data entry'!$B$29="Confirmed",'Data entry'!$B$29="Probable")),"sx","")</f>
        <v/>
      </c>
      <c r="BC75" t="str">
        <f>IF(AND(BC$4='Data entry'!$R$29, OR('Data entry'!$B$29="Confirmed",'Data entry'!$B$29="Probable")),"sx","")</f>
        <v/>
      </c>
      <c r="BD75" t="str">
        <f>IF(AND(BD$4='Data entry'!$R$29, OR('Data entry'!$B$29="Confirmed",'Data entry'!$B$29="Probable")),"sx","")</f>
        <v/>
      </c>
      <c r="BE75" t="str">
        <f>IF(AND(BE$4='Data entry'!$R$29, OR('Data entry'!$B$29="Confirmed",'Data entry'!$B$29="Probable")),"sx","")</f>
        <v/>
      </c>
      <c r="BF75" t="str">
        <f>IF(AND(BF$4='Data entry'!$R$29, OR('Data entry'!$B$29="Confirmed",'Data entry'!$B$29="Probable")),"sx","")</f>
        <v/>
      </c>
      <c r="BG75" t="str">
        <f>IF(AND(BG$4='Data entry'!$R$29, OR('Data entry'!$B$29="Confirmed",'Data entry'!$B$29="Probable")),"sx","")</f>
        <v/>
      </c>
      <c r="BH75" t="str">
        <f>IF(AND(BH$4='Data entry'!$R$29, OR('Data entry'!$B$29="Confirmed",'Data entry'!$B$29="Probable")),"sx","")</f>
        <v/>
      </c>
      <c r="BI75" t="str">
        <f>IF(AND(BI$4='Data entry'!$R$29, OR('Data entry'!$B$29="Confirmed",'Data entry'!$B$29="Probable")),"sx","")</f>
        <v/>
      </c>
      <c r="BJ75" t="str">
        <f>IF(AND(BJ$4='Data entry'!$R$29, OR('Data entry'!$B$29="Confirmed",'Data entry'!$B$29="Probable")),"sx","")</f>
        <v/>
      </c>
      <c r="BK75" t="str">
        <f>IF(AND(BK$4='Data entry'!$R$29, OR('Data entry'!$B$29="Confirmed",'Data entry'!$B$29="Probable")),"sx","")</f>
        <v/>
      </c>
      <c r="BL75" t="str">
        <f>IF(AND(BL$4='Data entry'!$R$29, OR('Data entry'!$B$29="Confirmed",'Data entry'!$B$29="Probable")),"sx","")</f>
        <v/>
      </c>
      <c r="BM75" t="str">
        <f>IF(AND(BM$4='Data entry'!$R$29, OR('Data entry'!$B$29="Confirmed",'Data entry'!$B$29="Probable")),"sx","")</f>
        <v/>
      </c>
      <c r="BN75" t="str">
        <f>IF(AND(BN$4='Data entry'!$R$29, OR('Data entry'!$B$29="Confirmed",'Data entry'!$B$29="Probable")),"sx","")</f>
        <v/>
      </c>
      <c r="BO75" t="str">
        <f>IF(AND(BO$4='Data entry'!$R$29, OR('Data entry'!$B$29="Confirmed",'Data entry'!$B$29="Probable")),"sx","")</f>
        <v/>
      </c>
      <c r="BP75" t="str">
        <f>IF(AND(BP$4='Data entry'!$R$29, OR('Data entry'!$B$29="Confirmed",'Data entry'!$B$29="Probable")),"sx","")</f>
        <v/>
      </c>
      <c r="BQ75" t="str">
        <f>IF(AND(BQ$4='Data entry'!$R$29, OR('Data entry'!$B$29="Confirmed",'Data entry'!$B$29="Probable")),"sx","")</f>
        <v/>
      </c>
      <c r="BR75" t="str">
        <f>IF(AND(BR$4='Data entry'!$R$29, OR('Data entry'!$B$29="Confirmed",'Data entry'!$B$29="Probable")),"sx","")</f>
        <v/>
      </c>
      <c r="BS75" t="str">
        <f>IF(AND(BS$4='Data entry'!$R$29, OR('Data entry'!$B$29="Confirmed",'Data entry'!$B$29="Probable")),"sx","")</f>
        <v/>
      </c>
      <c r="BT75" t="str">
        <f>IF(AND(BT$4='Data entry'!$R$29, OR('Data entry'!$B$29="Confirmed",'Data entry'!$B$29="Probable")),"sx","")</f>
        <v/>
      </c>
      <c r="BU75" t="str">
        <f>IF(AND(BU$4='Data entry'!$R$29, OR('Data entry'!$B$29="Confirmed",'Data entry'!$B$29="Probable")),"sx","")</f>
        <v/>
      </c>
      <c r="BV75" t="str">
        <f>IF(AND(BV$4='Data entry'!$R$29, OR('Data entry'!$B$29="Confirmed",'Data entry'!$B$29="Probable")),"sx","")</f>
        <v/>
      </c>
      <c r="BW75" t="str">
        <f>IF(AND(BW$4='Data entry'!$R$29, OR('Data entry'!$B$29="Confirmed",'Data entry'!$B$29="Probable")),"sx","")</f>
        <v/>
      </c>
      <c r="BX75" t="str">
        <f>IF(AND(BX$4='Data entry'!$R$29, OR('Data entry'!$B$29="Confirmed",'Data entry'!$B$29="Probable")),"sx","")</f>
        <v/>
      </c>
      <c r="BY75" t="str">
        <f>IF(AND(BY$4='Data entry'!$R$29, OR('Data entry'!$B$29="Confirmed",'Data entry'!$B$29="Probable")),"sx","")</f>
        <v/>
      </c>
      <c r="BZ75" t="str">
        <f>IF(AND(BZ$4='Data entry'!$R$29, OR('Data entry'!$B$29="Confirmed",'Data entry'!$B$29="Probable")),"sx","")</f>
        <v/>
      </c>
      <c r="CA75" t="str">
        <f>IF(AND(CA$4='Data entry'!$R$29, OR('Data entry'!$B$29="Confirmed",'Data entry'!$B$29="Probable")),"sx","")</f>
        <v/>
      </c>
      <c r="CB75" t="str">
        <f>IF(AND(CB$4='Data entry'!$R$29, OR('Data entry'!$B$29="Confirmed",'Data entry'!$B$29="Probable")),"sx","")</f>
        <v/>
      </c>
      <c r="CC75" t="str">
        <f>IF(AND(CC$4='Data entry'!$R$29, OR('Data entry'!$B$29="Confirmed",'Data entry'!$B$29="Probable")),"sx","")</f>
        <v/>
      </c>
    </row>
    <row r="76" spans="1:81" s="64" customFormat="1" ht="2.25" customHeight="1" thickBot="1" x14ac:dyDescent="0.25">
      <c r="A76" s="671"/>
      <c r="B76" s="672"/>
      <c r="C76" s="69"/>
    </row>
    <row r="77" spans="1:81" s="63" customFormat="1" ht="15.75" thickTop="1" x14ac:dyDescent="0.2">
      <c r="A77" s="670" t="str">
        <f>CONCATENATE('Data entry'!J30, " ", 'Data entry'!I30)</f>
        <v xml:space="preserve"> </v>
      </c>
      <c r="B77" s="670"/>
      <c r="C77" s="67"/>
    </row>
    <row r="78" spans="1:81" x14ac:dyDescent="0.2">
      <c r="A78" s="668" t="str">
        <f>CONCATENATE('Data entry'!B30, ", ", 'Data entry'!AO30, ", ", 'Data entry'!AR30)</f>
        <v xml:space="preserve">, , </v>
      </c>
      <c r="B78" s="668"/>
      <c r="C78" s="68"/>
      <c r="Q78" t="str">
        <f>IF(AND(Q$4='Data entry'!$R$30, OR('Data entry'!$B$30="Confirmed",'Data entry'!$B$30="Probable")),"sx","")</f>
        <v/>
      </c>
      <c r="R78" t="str">
        <f>IF(AND(R$4='Data entry'!$R$30, OR('Data entry'!$B$30="Confirmed",'Data entry'!$B$30="Probable")),"sx","")</f>
        <v/>
      </c>
      <c r="S78" t="str">
        <f>IF(AND(S$4='Data entry'!$R$30, OR('Data entry'!$B$30="Confirmed",'Data entry'!$B$30="Probable")),"sx","")</f>
        <v/>
      </c>
      <c r="T78" t="str">
        <f>IF(AND(T$4='Data entry'!$R$30, OR('Data entry'!$B$30="Confirmed",'Data entry'!$B$30="Probable")),"sx","")</f>
        <v/>
      </c>
      <c r="U78" t="str">
        <f>IF(AND(U$4='Data entry'!$R$30, OR('Data entry'!$B$30="Confirmed",'Data entry'!$B$30="Probable")),"sx","")</f>
        <v/>
      </c>
      <c r="V78" t="str">
        <f>IF(AND(V$4='Data entry'!$R$30, OR('Data entry'!$B$30="Confirmed",'Data entry'!$B$30="Probable")),"sx","")</f>
        <v/>
      </c>
      <c r="W78" t="str">
        <f>IF(AND(W$4='Data entry'!$R$30, OR('Data entry'!$B$30="Confirmed",'Data entry'!$B$30="Probable")),"sx","")</f>
        <v/>
      </c>
      <c r="X78" t="str">
        <f>IF(AND(X$4='Data entry'!$R$30, OR('Data entry'!$B$30="Confirmed",'Data entry'!$B$30="Probable")),"sx","")</f>
        <v/>
      </c>
      <c r="Y78" t="str">
        <f>IF(AND(Y$4='Data entry'!$R$30, OR('Data entry'!$B$30="Confirmed",'Data entry'!$B$30="Probable")),"sx","")</f>
        <v/>
      </c>
      <c r="Z78" t="str">
        <f>IF(AND(Z$4='Data entry'!$R$30, OR('Data entry'!$B$30="Confirmed",'Data entry'!$B$30="Probable")),"sx","")</f>
        <v/>
      </c>
      <c r="AA78" t="str">
        <f>IF(AND(AA$4='Data entry'!$R$30, OR('Data entry'!$B$30="Confirmed",'Data entry'!$B$30="Probable")),"sx","")</f>
        <v/>
      </c>
      <c r="AB78" t="str">
        <f>IF(AND(AB$4='Data entry'!$R$30, OR('Data entry'!$B$30="Confirmed",'Data entry'!$B$30="Probable")),"sx","")</f>
        <v/>
      </c>
      <c r="AC78" t="str">
        <f>IF(AND(AC$4='Data entry'!$R$30, OR('Data entry'!$B$30="Confirmed",'Data entry'!$B$30="Probable")),"sx","")</f>
        <v/>
      </c>
      <c r="AD78" t="str">
        <f>IF(AND(AD$4='Data entry'!$R$30, OR('Data entry'!$B$30="Confirmed",'Data entry'!$B$30="Probable")),"sx","")</f>
        <v/>
      </c>
      <c r="AE78" t="str">
        <f>IF(AND(AE$4='Data entry'!$R$30, OR('Data entry'!$B$30="Confirmed",'Data entry'!$B$30="Probable")),"sx","")</f>
        <v/>
      </c>
      <c r="AF78" t="str">
        <f>IF(AND(AF$4='Data entry'!$R$30, OR('Data entry'!$B$30="Confirmed",'Data entry'!$B$30="Probable")),"sx","")</f>
        <v/>
      </c>
      <c r="AG78" t="str">
        <f>IF(AND(AG$4='Data entry'!$R$30, OR('Data entry'!$B$30="Confirmed",'Data entry'!$B$30="Probable")),"sx","")</f>
        <v/>
      </c>
      <c r="AH78" t="str">
        <f>IF(AND(AH$4='Data entry'!$R$30, OR('Data entry'!$B$30="Confirmed",'Data entry'!$B$30="Probable")),"sx","")</f>
        <v/>
      </c>
      <c r="AI78" t="str">
        <f>IF(AND(AI$4='Data entry'!$R$30, OR('Data entry'!$B$30="Confirmed",'Data entry'!$B$30="Probable")),"sx","")</f>
        <v/>
      </c>
      <c r="AJ78" t="str">
        <f>IF(AND(AJ$4='Data entry'!$R$30, OR('Data entry'!$B$30="Confirmed",'Data entry'!$B$30="Probable")),"sx","")</f>
        <v/>
      </c>
      <c r="AK78" t="str">
        <f>IF(AND(AK$4='Data entry'!$R$30, OR('Data entry'!$B$30="Confirmed",'Data entry'!$B$30="Probable")),"sx","")</f>
        <v/>
      </c>
      <c r="AL78" t="str">
        <f>IF(AND(AL$4='Data entry'!$R$30, OR('Data entry'!$B$30="Confirmed",'Data entry'!$B$30="Probable")),"sx","")</f>
        <v/>
      </c>
      <c r="AM78" t="str">
        <f>IF(AND(AM$4='Data entry'!$R$30, OR('Data entry'!$B$30="Confirmed",'Data entry'!$B$30="Probable")),"sx","")</f>
        <v/>
      </c>
      <c r="AN78" t="str">
        <f>IF(AND(AN$4='Data entry'!$R$30, OR('Data entry'!$B$30="Confirmed",'Data entry'!$B$30="Probable")),"sx","")</f>
        <v/>
      </c>
      <c r="AO78" t="str">
        <f>IF(AND(AO$4='Data entry'!$R$30, OR('Data entry'!$B$30="Confirmed",'Data entry'!$B$30="Probable")),"sx","")</f>
        <v/>
      </c>
      <c r="AP78" t="str">
        <f>IF(AND(AP$4='Data entry'!$R$30, OR('Data entry'!$B$30="Confirmed",'Data entry'!$B$30="Probable")),"sx","")</f>
        <v/>
      </c>
      <c r="AQ78" t="str">
        <f>IF(AND(AQ$4='Data entry'!$R$30, OR('Data entry'!$B$30="Confirmed",'Data entry'!$B$30="Probable")),"sx","")</f>
        <v/>
      </c>
      <c r="AR78" t="str">
        <f>IF(AND(AR$4='Data entry'!$R$30, OR('Data entry'!$B$30="Confirmed",'Data entry'!$B$30="Probable")),"sx","")</f>
        <v/>
      </c>
      <c r="AS78" t="str">
        <f>IF(AND(AS$4='Data entry'!$R$30, OR('Data entry'!$B$30="Confirmed",'Data entry'!$B$30="Probable")),"sx","")</f>
        <v/>
      </c>
      <c r="AT78" t="str">
        <f>IF(AND(AT$4='Data entry'!$R$30, OR('Data entry'!$B$30="Confirmed",'Data entry'!$B$30="Probable")),"sx","")</f>
        <v/>
      </c>
      <c r="AU78" t="str">
        <f>IF(AND(AU$4='Data entry'!$R$30, OR('Data entry'!$B$30="Confirmed",'Data entry'!$B$30="Probable")),"sx","")</f>
        <v/>
      </c>
      <c r="AV78" t="str">
        <f>IF(AND(AV$4='Data entry'!$R$30, OR('Data entry'!$B$30="Confirmed",'Data entry'!$B$30="Probable")),"sx","")</f>
        <v/>
      </c>
      <c r="AW78" t="str">
        <f>IF(AND(AW$4='Data entry'!$R$30, OR('Data entry'!$B$30="Confirmed",'Data entry'!$B$30="Probable")),"sx","")</f>
        <v/>
      </c>
      <c r="AX78" t="str">
        <f>IF(AND(AX$4='Data entry'!$R$30, OR('Data entry'!$B$30="Confirmed",'Data entry'!$B$30="Probable")),"sx","")</f>
        <v/>
      </c>
      <c r="AY78" t="str">
        <f>IF(AND(AY$4='Data entry'!$R$30, OR('Data entry'!$B$30="Confirmed",'Data entry'!$B$30="Probable")),"sx","")</f>
        <v/>
      </c>
      <c r="AZ78" t="str">
        <f>IF(AND(AZ$4='Data entry'!$R$30, OR('Data entry'!$B$30="Confirmed",'Data entry'!$B$30="Probable")),"sx","")</f>
        <v/>
      </c>
      <c r="BA78" t="str">
        <f>IF(AND(BA$4='Data entry'!$R$30, OR('Data entry'!$B$30="Confirmed",'Data entry'!$B$30="Probable")),"sx","")</f>
        <v/>
      </c>
      <c r="BB78" t="str">
        <f>IF(AND(BB$4='Data entry'!$R$30, OR('Data entry'!$B$30="Confirmed",'Data entry'!$B$30="Probable")),"sx","")</f>
        <v/>
      </c>
      <c r="BC78" t="str">
        <f>IF(AND(BC$4='Data entry'!$R$30, OR('Data entry'!$B$30="Confirmed",'Data entry'!$B$30="Probable")),"sx","")</f>
        <v/>
      </c>
      <c r="BD78" t="str">
        <f>IF(AND(BD$4='Data entry'!$R$30, OR('Data entry'!$B$30="Confirmed",'Data entry'!$B$30="Probable")),"sx","")</f>
        <v/>
      </c>
      <c r="BE78" t="str">
        <f>IF(AND(BE$4='Data entry'!$R$30, OR('Data entry'!$B$30="Confirmed",'Data entry'!$B$30="Probable")),"sx","")</f>
        <v/>
      </c>
      <c r="BF78" t="str">
        <f>IF(AND(BF$4='Data entry'!$R$30, OR('Data entry'!$B$30="Confirmed",'Data entry'!$B$30="Probable")),"sx","")</f>
        <v/>
      </c>
      <c r="BG78" t="str">
        <f>IF(AND(BG$4='Data entry'!$R$30, OR('Data entry'!$B$30="Confirmed",'Data entry'!$B$30="Probable")),"sx","")</f>
        <v/>
      </c>
      <c r="BH78" t="str">
        <f>IF(AND(BH$4='Data entry'!$R$30, OR('Data entry'!$B$30="Confirmed",'Data entry'!$B$30="Probable")),"sx","")</f>
        <v/>
      </c>
      <c r="BI78" t="str">
        <f>IF(AND(BI$4='Data entry'!$R$30, OR('Data entry'!$B$30="Confirmed",'Data entry'!$B$30="Probable")),"sx","")</f>
        <v/>
      </c>
      <c r="BJ78" t="str">
        <f>IF(AND(BJ$4='Data entry'!$R$30, OR('Data entry'!$B$30="Confirmed",'Data entry'!$B$30="Probable")),"sx","")</f>
        <v/>
      </c>
      <c r="BK78" t="str">
        <f>IF(AND(BK$4='Data entry'!$R$30, OR('Data entry'!$B$30="Confirmed",'Data entry'!$B$30="Probable")),"sx","")</f>
        <v/>
      </c>
      <c r="BL78" t="str">
        <f>IF(AND(BL$4='Data entry'!$R$30, OR('Data entry'!$B$30="Confirmed",'Data entry'!$B$30="Probable")),"sx","")</f>
        <v/>
      </c>
      <c r="BM78" t="str">
        <f>IF(AND(BM$4='Data entry'!$R$30, OR('Data entry'!$B$30="Confirmed",'Data entry'!$B$30="Probable")),"sx","")</f>
        <v/>
      </c>
      <c r="BN78" t="str">
        <f>IF(AND(BN$4='Data entry'!$R$30, OR('Data entry'!$B$30="Confirmed",'Data entry'!$B$30="Probable")),"sx","")</f>
        <v/>
      </c>
      <c r="BO78" t="str">
        <f>IF(AND(BO$4='Data entry'!$R$30, OR('Data entry'!$B$30="Confirmed",'Data entry'!$B$30="Probable")),"sx","")</f>
        <v/>
      </c>
      <c r="BP78" t="str">
        <f>IF(AND(BP$4='Data entry'!$R$30, OR('Data entry'!$B$30="Confirmed",'Data entry'!$B$30="Probable")),"sx","")</f>
        <v/>
      </c>
      <c r="BQ78" t="str">
        <f>IF(AND(BQ$4='Data entry'!$R$30, OR('Data entry'!$B$30="Confirmed",'Data entry'!$B$30="Probable")),"sx","")</f>
        <v/>
      </c>
      <c r="BR78" t="str">
        <f>IF(AND(BR$4='Data entry'!$R$30, OR('Data entry'!$B$30="Confirmed",'Data entry'!$B$30="Probable")),"sx","")</f>
        <v/>
      </c>
      <c r="BS78" t="str">
        <f>IF(AND(BS$4='Data entry'!$R$30, OR('Data entry'!$B$30="Confirmed",'Data entry'!$B$30="Probable")),"sx","")</f>
        <v/>
      </c>
      <c r="BT78" t="str">
        <f>IF(AND(BT$4='Data entry'!$R$30, OR('Data entry'!$B$30="Confirmed",'Data entry'!$B$30="Probable")),"sx","")</f>
        <v/>
      </c>
      <c r="BU78" t="str">
        <f>IF(AND(BU$4='Data entry'!$R$30, OR('Data entry'!$B$30="Confirmed",'Data entry'!$B$30="Probable")),"sx","")</f>
        <v/>
      </c>
      <c r="BV78" t="str">
        <f>IF(AND(BV$4='Data entry'!$R$30, OR('Data entry'!$B$30="Confirmed",'Data entry'!$B$30="Probable")),"sx","")</f>
        <v/>
      </c>
      <c r="BW78" t="str">
        <f>IF(AND(BW$4='Data entry'!$R$30, OR('Data entry'!$B$30="Confirmed",'Data entry'!$B$30="Probable")),"sx","")</f>
        <v/>
      </c>
      <c r="BX78" t="str">
        <f>IF(AND(BX$4='Data entry'!$R$30, OR('Data entry'!$B$30="Confirmed",'Data entry'!$B$30="Probable")),"sx","")</f>
        <v/>
      </c>
      <c r="BY78" t="str">
        <f>IF(AND(BY$4='Data entry'!$R$30, OR('Data entry'!$B$30="Confirmed",'Data entry'!$B$30="Probable")),"sx","")</f>
        <v/>
      </c>
      <c r="BZ78" t="str">
        <f>IF(AND(BZ$4='Data entry'!$R$30, OR('Data entry'!$B$30="Confirmed",'Data entry'!$B$30="Probable")),"sx","")</f>
        <v/>
      </c>
      <c r="CA78" t="str">
        <f>IF(AND(CA$4='Data entry'!$R$30, OR('Data entry'!$B$30="Confirmed",'Data entry'!$B$30="Probable")),"sx","")</f>
        <v/>
      </c>
      <c r="CB78" t="str">
        <f>IF(AND(CB$4='Data entry'!$R$30, OR('Data entry'!$B$30="Confirmed",'Data entry'!$B$30="Probable")),"sx","")</f>
        <v/>
      </c>
      <c r="CC78" t="str">
        <f>IF(AND(CC$4='Data entry'!$R$30, OR('Data entry'!$B$30="Confirmed",'Data entry'!$B$30="Probable")),"sx","")</f>
        <v/>
      </c>
    </row>
    <row r="79" spans="1:81" s="64" customFormat="1" ht="2.25" customHeight="1" thickBot="1" x14ac:dyDescent="0.25">
      <c r="A79" s="671"/>
      <c r="B79" s="672"/>
      <c r="C79" s="69"/>
    </row>
    <row r="80" spans="1:81" s="63" customFormat="1" ht="15.75" thickTop="1" x14ac:dyDescent="0.2">
      <c r="A80" s="670" t="str">
        <f>CONCATENATE('Data entry'!J31, " ", 'Data entry'!I31)</f>
        <v xml:space="preserve"> </v>
      </c>
      <c r="B80" s="670"/>
      <c r="C80" s="67"/>
    </row>
    <row r="81" spans="1:81" x14ac:dyDescent="0.2">
      <c r="A81" s="668" t="str">
        <f>CONCATENATE('Data entry'!B31, ", ", 'Data entry'!AO31, ", ", 'Data entry'!AR31)</f>
        <v xml:space="preserve">, , </v>
      </c>
      <c r="B81" s="668"/>
      <c r="C81" s="68"/>
      <c r="Q81" t="str">
        <f>IF(AND(Q$4='Data entry'!$R$31, OR('Data entry'!$B$31="Confirmed",'Data entry'!$B$31="Probable")),"sx","")</f>
        <v/>
      </c>
      <c r="R81" t="str">
        <f>IF(AND(R$4='Data entry'!$R$31, OR('Data entry'!$B$31="Confirmed",'Data entry'!$B$31="Probable")),"sx","")</f>
        <v/>
      </c>
      <c r="S81" t="str">
        <f>IF(AND(S$4='Data entry'!$R$31, OR('Data entry'!$B$31="Confirmed",'Data entry'!$B$31="Probable")),"sx","")</f>
        <v/>
      </c>
      <c r="T81" t="str">
        <f>IF(AND(T$4='Data entry'!$R$31, OR('Data entry'!$B$31="Confirmed",'Data entry'!$B$31="Probable")),"sx","")</f>
        <v/>
      </c>
      <c r="U81" t="str">
        <f>IF(AND(U$4='Data entry'!$R$31, OR('Data entry'!$B$31="Confirmed",'Data entry'!$B$31="Probable")),"sx","")</f>
        <v/>
      </c>
      <c r="V81" t="str">
        <f>IF(AND(V$4='Data entry'!$R$31, OR('Data entry'!$B$31="Confirmed",'Data entry'!$B$31="Probable")),"sx","")</f>
        <v/>
      </c>
      <c r="W81" t="str">
        <f>IF(AND(W$4='Data entry'!$R$31, OR('Data entry'!$B$31="Confirmed",'Data entry'!$B$31="Probable")),"sx","")</f>
        <v/>
      </c>
      <c r="X81" t="str">
        <f>IF(AND(X$4='Data entry'!$R$31, OR('Data entry'!$B$31="Confirmed",'Data entry'!$B$31="Probable")),"sx","")</f>
        <v/>
      </c>
      <c r="Y81" t="str">
        <f>IF(AND(Y$4='Data entry'!$R$31, OR('Data entry'!$B$31="Confirmed",'Data entry'!$B$31="Probable")),"sx","")</f>
        <v/>
      </c>
      <c r="Z81" t="str">
        <f>IF(AND(Z$4='Data entry'!$R$31, OR('Data entry'!$B$31="Confirmed",'Data entry'!$B$31="Probable")),"sx","")</f>
        <v/>
      </c>
      <c r="AA81" t="str">
        <f>IF(AND(AA$4='Data entry'!$R$31, OR('Data entry'!$B$31="Confirmed",'Data entry'!$B$31="Probable")),"sx","")</f>
        <v/>
      </c>
      <c r="AB81" t="str">
        <f>IF(AND(AB$4='Data entry'!$R$31, OR('Data entry'!$B$31="Confirmed",'Data entry'!$B$31="Probable")),"sx","")</f>
        <v/>
      </c>
      <c r="AC81" t="str">
        <f>IF(AND(AC$4='Data entry'!$R$31, OR('Data entry'!$B$31="Confirmed",'Data entry'!$B$31="Probable")),"sx","")</f>
        <v/>
      </c>
      <c r="AD81" t="str">
        <f>IF(AND(AD$4='Data entry'!$R$31, OR('Data entry'!$B$31="Confirmed",'Data entry'!$B$31="Probable")),"sx","")</f>
        <v/>
      </c>
      <c r="AE81" t="str">
        <f>IF(AND(AE$4='Data entry'!$R$31, OR('Data entry'!$B$31="Confirmed",'Data entry'!$B$31="Probable")),"sx","")</f>
        <v/>
      </c>
      <c r="AF81" t="str">
        <f>IF(AND(AF$4='Data entry'!$R$31, OR('Data entry'!$B$31="Confirmed",'Data entry'!$B$31="Probable")),"sx","")</f>
        <v/>
      </c>
      <c r="AG81" t="str">
        <f>IF(AND(AG$4='Data entry'!$R$31, OR('Data entry'!$B$31="Confirmed",'Data entry'!$B$31="Probable")),"sx","")</f>
        <v/>
      </c>
      <c r="AH81" t="str">
        <f>IF(AND(AH$4='Data entry'!$R$31, OR('Data entry'!$B$31="Confirmed",'Data entry'!$B$31="Probable")),"sx","")</f>
        <v/>
      </c>
      <c r="AI81" t="str">
        <f>IF(AND(AI$4='Data entry'!$R$31, OR('Data entry'!$B$31="Confirmed",'Data entry'!$B$31="Probable")),"sx","")</f>
        <v/>
      </c>
      <c r="AJ81" t="str">
        <f>IF(AND(AJ$4='Data entry'!$R$31, OR('Data entry'!$B$31="Confirmed",'Data entry'!$B$31="Probable")),"sx","")</f>
        <v/>
      </c>
      <c r="AK81" t="str">
        <f>IF(AND(AK$4='Data entry'!$R$31, OR('Data entry'!$B$31="Confirmed",'Data entry'!$B$31="Probable")),"sx","")</f>
        <v/>
      </c>
      <c r="AL81" t="str">
        <f>IF(AND(AL$4='Data entry'!$R$31, OR('Data entry'!$B$31="Confirmed",'Data entry'!$B$31="Probable")),"sx","")</f>
        <v/>
      </c>
      <c r="AM81" t="str">
        <f>IF(AND(AM$4='Data entry'!$R$31, OR('Data entry'!$B$31="Confirmed",'Data entry'!$B$31="Probable")),"sx","")</f>
        <v/>
      </c>
      <c r="AN81" t="str">
        <f>IF(AND(AN$4='Data entry'!$R$31, OR('Data entry'!$B$31="Confirmed",'Data entry'!$B$31="Probable")),"sx","")</f>
        <v/>
      </c>
      <c r="AO81" t="str">
        <f>IF(AND(AO$4='Data entry'!$R$31, OR('Data entry'!$B$31="Confirmed",'Data entry'!$B$31="Probable")),"sx","")</f>
        <v/>
      </c>
      <c r="AP81" t="str">
        <f>IF(AND(AP$4='Data entry'!$R$31, OR('Data entry'!$B$31="Confirmed",'Data entry'!$B$31="Probable")),"sx","")</f>
        <v/>
      </c>
      <c r="AQ81" t="str">
        <f>IF(AND(AQ$4='Data entry'!$R$31, OR('Data entry'!$B$31="Confirmed",'Data entry'!$B$31="Probable")),"sx","")</f>
        <v/>
      </c>
      <c r="AR81" t="str">
        <f>IF(AND(AR$4='Data entry'!$R$31, OR('Data entry'!$B$31="Confirmed",'Data entry'!$B$31="Probable")),"sx","")</f>
        <v/>
      </c>
      <c r="AS81" t="str">
        <f>IF(AND(AS$4='Data entry'!$R$31, OR('Data entry'!$B$31="Confirmed",'Data entry'!$B$31="Probable")),"sx","")</f>
        <v/>
      </c>
      <c r="AT81" t="str">
        <f>IF(AND(AT$4='Data entry'!$R$31, OR('Data entry'!$B$31="Confirmed",'Data entry'!$B$31="Probable")),"sx","")</f>
        <v/>
      </c>
      <c r="AU81" t="str">
        <f>IF(AND(AU$4='Data entry'!$R$31, OR('Data entry'!$B$31="Confirmed",'Data entry'!$B$31="Probable")),"sx","")</f>
        <v/>
      </c>
      <c r="AV81" t="str">
        <f>IF(AND(AV$4='Data entry'!$R$31, OR('Data entry'!$B$31="Confirmed",'Data entry'!$B$31="Probable")),"sx","")</f>
        <v/>
      </c>
      <c r="AW81" t="str">
        <f>IF(AND(AW$4='Data entry'!$R$31, OR('Data entry'!$B$31="Confirmed",'Data entry'!$B$31="Probable")),"sx","")</f>
        <v/>
      </c>
      <c r="AX81" t="str">
        <f>IF(AND(AX$4='Data entry'!$R$31, OR('Data entry'!$B$31="Confirmed",'Data entry'!$B$31="Probable")),"sx","")</f>
        <v/>
      </c>
      <c r="AY81" t="str">
        <f>IF(AND(AY$4='Data entry'!$R$31, OR('Data entry'!$B$31="Confirmed",'Data entry'!$B$31="Probable")),"sx","")</f>
        <v/>
      </c>
      <c r="AZ81" t="str">
        <f>IF(AND(AZ$4='Data entry'!$R$31, OR('Data entry'!$B$31="Confirmed",'Data entry'!$B$31="Probable")),"sx","")</f>
        <v/>
      </c>
      <c r="BA81" t="str">
        <f>IF(AND(BA$4='Data entry'!$R$31, OR('Data entry'!$B$31="Confirmed",'Data entry'!$B$31="Probable")),"sx","")</f>
        <v/>
      </c>
      <c r="BB81" t="str">
        <f>IF(AND(BB$4='Data entry'!$R$31, OR('Data entry'!$B$31="Confirmed",'Data entry'!$B$31="Probable")),"sx","")</f>
        <v/>
      </c>
      <c r="BC81" t="str">
        <f>IF(AND(BC$4='Data entry'!$R$31, OR('Data entry'!$B$31="Confirmed",'Data entry'!$B$31="Probable")),"sx","")</f>
        <v/>
      </c>
      <c r="BD81" t="str">
        <f>IF(AND(BD$4='Data entry'!$R$31, OR('Data entry'!$B$31="Confirmed",'Data entry'!$B$31="Probable")),"sx","")</f>
        <v/>
      </c>
      <c r="BE81" t="str">
        <f>IF(AND(BE$4='Data entry'!$R$31, OR('Data entry'!$B$31="Confirmed",'Data entry'!$B$31="Probable")),"sx","")</f>
        <v/>
      </c>
      <c r="BF81" t="str">
        <f>IF(AND(BF$4='Data entry'!$R$31, OR('Data entry'!$B$31="Confirmed",'Data entry'!$B$31="Probable")),"sx","")</f>
        <v/>
      </c>
      <c r="BG81" t="str">
        <f>IF(AND(BG$4='Data entry'!$R$31, OR('Data entry'!$B$31="Confirmed",'Data entry'!$B$31="Probable")),"sx","")</f>
        <v/>
      </c>
      <c r="BH81" t="str">
        <f>IF(AND(BH$4='Data entry'!$R$31, OR('Data entry'!$B$31="Confirmed",'Data entry'!$B$31="Probable")),"sx","")</f>
        <v/>
      </c>
      <c r="BI81" t="str">
        <f>IF(AND(BI$4='Data entry'!$R$31, OR('Data entry'!$B$31="Confirmed",'Data entry'!$B$31="Probable")),"sx","")</f>
        <v/>
      </c>
      <c r="BJ81" t="str">
        <f>IF(AND(BJ$4='Data entry'!$R$31, OR('Data entry'!$B$31="Confirmed",'Data entry'!$B$31="Probable")),"sx","")</f>
        <v/>
      </c>
      <c r="BK81" t="str">
        <f>IF(AND(BK$4='Data entry'!$R$31, OR('Data entry'!$B$31="Confirmed",'Data entry'!$B$31="Probable")),"sx","")</f>
        <v/>
      </c>
      <c r="BL81" t="str">
        <f>IF(AND(BL$4='Data entry'!$R$31, OR('Data entry'!$B$31="Confirmed",'Data entry'!$B$31="Probable")),"sx","")</f>
        <v/>
      </c>
      <c r="BM81" t="str">
        <f>IF(AND(BM$4='Data entry'!$R$31, OR('Data entry'!$B$31="Confirmed",'Data entry'!$B$31="Probable")),"sx","")</f>
        <v/>
      </c>
      <c r="BN81" t="str">
        <f>IF(AND(BN$4='Data entry'!$R$31, OR('Data entry'!$B$31="Confirmed",'Data entry'!$B$31="Probable")),"sx","")</f>
        <v/>
      </c>
      <c r="BO81" t="str">
        <f>IF(AND(BO$4='Data entry'!$R$31, OR('Data entry'!$B$31="Confirmed",'Data entry'!$B$31="Probable")),"sx","")</f>
        <v/>
      </c>
      <c r="BP81" t="str">
        <f>IF(AND(BP$4='Data entry'!$R$31, OR('Data entry'!$B$31="Confirmed",'Data entry'!$B$31="Probable")),"sx","")</f>
        <v/>
      </c>
      <c r="BQ81" t="str">
        <f>IF(AND(BQ$4='Data entry'!$R$31, OR('Data entry'!$B$31="Confirmed",'Data entry'!$B$31="Probable")),"sx","")</f>
        <v/>
      </c>
      <c r="BR81" t="str">
        <f>IF(AND(BR$4='Data entry'!$R$31, OR('Data entry'!$B$31="Confirmed",'Data entry'!$B$31="Probable")),"sx","")</f>
        <v/>
      </c>
      <c r="BS81" t="str">
        <f>IF(AND(BS$4='Data entry'!$R$31, OR('Data entry'!$B$31="Confirmed",'Data entry'!$B$31="Probable")),"sx","")</f>
        <v/>
      </c>
      <c r="BT81" t="str">
        <f>IF(AND(BT$4='Data entry'!$R$31, OR('Data entry'!$B$31="Confirmed",'Data entry'!$B$31="Probable")),"sx","")</f>
        <v/>
      </c>
      <c r="BU81" t="str">
        <f>IF(AND(BU$4='Data entry'!$R$31, OR('Data entry'!$B$31="Confirmed",'Data entry'!$B$31="Probable")),"sx","")</f>
        <v/>
      </c>
      <c r="BV81" t="str">
        <f>IF(AND(BV$4='Data entry'!$R$31, OR('Data entry'!$B$31="Confirmed",'Data entry'!$B$31="Probable")),"sx","")</f>
        <v/>
      </c>
      <c r="BW81" t="str">
        <f>IF(AND(BW$4='Data entry'!$R$31, OR('Data entry'!$B$31="Confirmed",'Data entry'!$B$31="Probable")),"sx","")</f>
        <v/>
      </c>
      <c r="BX81" t="str">
        <f>IF(AND(BX$4='Data entry'!$R$31, OR('Data entry'!$B$31="Confirmed",'Data entry'!$B$31="Probable")),"sx","")</f>
        <v/>
      </c>
      <c r="BY81" t="str">
        <f>IF(AND(BY$4='Data entry'!$R$31, OR('Data entry'!$B$31="Confirmed",'Data entry'!$B$31="Probable")),"sx","")</f>
        <v/>
      </c>
      <c r="BZ81" t="str">
        <f>IF(AND(BZ$4='Data entry'!$R$31, OR('Data entry'!$B$31="Confirmed",'Data entry'!$B$31="Probable")),"sx","")</f>
        <v/>
      </c>
      <c r="CA81" t="str">
        <f>IF(AND(CA$4='Data entry'!$R$31, OR('Data entry'!$B$31="Confirmed",'Data entry'!$B$31="Probable")),"sx","")</f>
        <v/>
      </c>
      <c r="CB81" t="str">
        <f>IF(AND(CB$4='Data entry'!$R$31, OR('Data entry'!$B$31="Confirmed",'Data entry'!$B$31="Probable")),"sx","")</f>
        <v/>
      </c>
      <c r="CC81" t="str">
        <f>IF(AND(CC$4='Data entry'!$R$31, OR('Data entry'!$B$31="Confirmed",'Data entry'!$B$31="Probable")),"sx","")</f>
        <v/>
      </c>
    </row>
    <row r="82" spans="1:81" s="64" customFormat="1" ht="2.25" customHeight="1" thickBot="1" x14ac:dyDescent="0.25">
      <c r="A82" s="671"/>
      <c r="B82" s="672"/>
      <c r="C82" s="69"/>
    </row>
    <row r="83" spans="1:81" s="63" customFormat="1" ht="15.75" thickTop="1" x14ac:dyDescent="0.2">
      <c r="A83" s="670" t="str">
        <f>CONCATENATE('Data entry'!J32, " ", 'Data entry'!I32)</f>
        <v xml:space="preserve"> </v>
      </c>
      <c r="B83" s="670"/>
      <c r="C83" s="67"/>
    </row>
    <row r="84" spans="1:81" x14ac:dyDescent="0.2">
      <c r="A84" s="668" t="str">
        <f>CONCATENATE('Data entry'!B32, ", ", 'Data entry'!AO32, ", ", 'Data entry'!AR32)</f>
        <v xml:space="preserve">, , </v>
      </c>
      <c r="B84" s="668"/>
      <c r="C84" s="68"/>
      <c r="Q84" t="str">
        <f>IF(AND(Q$4='Data entry'!$R$32, OR('Data entry'!$B$32="Confirmed",'Data entry'!$B$32="Probable")),"sx","")</f>
        <v/>
      </c>
      <c r="R84" t="str">
        <f>IF(AND(R$4='Data entry'!$R$32, OR('Data entry'!$B$32="Confirmed",'Data entry'!$B$32="Probable")),"sx","")</f>
        <v/>
      </c>
      <c r="S84" t="str">
        <f>IF(AND(S$4='Data entry'!$R$32, OR('Data entry'!$B$32="Confirmed",'Data entry'!$B$32="Probable")),"sx","")</f>
        <v/>
      </c>
      <c r="T84" t="str">
        <f>IF(AND(T$4='Data entry'!$R$32, OR('Data entry'!$B$32="Confirmed",'Data entry'!$B$32="Probable")),"sx","")</f>
        <v/>
      </c>
      <c r="U84" t="str">
        <f>IF(AND(U$4='Data entry'!$R$32, OR('Data entry'!$B$32="Confirmed",'Data entry'!$B$32="Probable")),"sx","")</f>
        <v/>
      </c>
      <c r="V84" t="str">
        <f>IF(AND(V$4='Data entry'!$R$32, OR('Data entry'!$B$32="Confirmed",'Data entry'!$B$32="Probable")),"sx","")</f>
        <v/>
      </c>
      <c r="W84" t="str">
        <f>IF(AND(W$4='Data entry'!$R$32, OR('Data entry'!$B$32="Confirmed",'Data entry'!$B$32="Probable")),"sx","")</f>
        <v/>
      </c>
      <c r="X84" t="str">
        <f>IF(AND(X$4='Data entry'!$R$32, OR('Data entry'!$B$32="Confirmed",'Data entry'!$B$32="Probable")),"sx","")</f>
        <v/>
      </c>
      <c r="Y84" t="str">
        <f>IF(AND(Y$4='Data entry'!$R$32, OR('Data entry'!$B$32="Confirmed",'Data entry'!$B$32="Probable")),"sx","")</f>
        <v/>
      </c>
      <c r="Z84" t="str">
        <f>IF(AND(Z$4='Data entry'!$R$32, OR('Data entry'!$B$32="Confirmed",'Data entry'!$B$32="Probable")),"sx","")</f>
        <v/>
      </c>
      <c r="AA84" t="str">
        <f>IF(AND(AA$4='Data entry'!$R$32, OR('Data entry'!$B$32="Confirmed",'Data entry'!$B$32="Probable")),"sx","")</f>
        <v/>
      </c>
      <c r="AB84" t="str">
        <f>IF(AND(AB$4='Data entry'!$R$32, OR('Data entry'!$B$32="Confirmed",'Data entry'!$B$32="Probable")),"sx","")</f>
        <v/>
      </c>
      <c r="AC84" t="str">
        <f>IF(AND(AC$4='Data entry'!$R$32, OR('Data entry'!$B$32="Confirmed",'Data entry'!$B$32="Probable")),"sx","")</f>
        <v/>
      </c>
      <c r="AD84" t="str">
        <f>IF(AND(AD$4='Data entry'!$R$32, OR('Data entry'!$B$32="Confirmed",'Data entry'!$B$32="Probable")),"sx","")</f>
        <v/>
      </c>
      <c r="AE84" t="str">
        <f>IF(AND(AE$4='Data entry'!$R$32, OR('Data entry'!$B$32="Confirmed",'Data entry'!$B$32="Probable")),"sx","")</f>
        <v/>
      </c>
      <c r="AF84" t="str">
        <f>IF(AND(AF$4='Data entry'!$R$32, OR('Data entry'!$B$32="Confirmed",'Data entry'!$B$32="Probable")),"sx","")</f>
        <v/>
      </c>
      <c r="AG84" t="str">
        <f>IF(AND(AG$4='Data entry'!$R$32, OR('Data entry'!$B$32="Confirmed",'Data entry'!$B$32="Probable")),"sx","")</f>
        <v/>
      </c>
      <c r="AH84" t="str">
        <f>IF(AND(AH$4='Data entry'!$R$32, OR('Data entry'!$B$32="Confirmed",'Data entry'!$B$32="Probable")),"sx","")</f>
        <v/>
      </c>
      <c r="AI84" t="str">
        <f>IF(AND(AI$4='Data entry'!$R$32, OR('Data entry'!$B$32="Confirmed",'Data entry'!$B$32="Probable")),"sx","")</f>
        <v/>
      </c>
      <c r="AJ84" t="str">
        <f>IF(AND(AJ$4='Data entry'!$R$32, OR('Data entry'!$B$32="Confirmed",'Data entry'!$B$32="Probable")),"sx","")</f>
        <v/>
      </c>
      <c r="AK84" t="str">
        <f>IF(AND(AK$4='Data entry'!$R$32, OR('Data entry'!$B$32="Confirmed",'Data entry'!$B$32="Probable")),"sx","")</f>
        <v/>
      </c>
      <c r="AL84" t="str">
        <f>IF(AND(AL$4='Data entry'!$R$32, OR('Data entry'!$B$32="Confirmed",'Data entry'!$B$32="Probable")),"sx","")</f>
        <v/>
      </c>
      <c r="AM84" t="str">
        <f>IF(AND(AM$4='Data entry'!$R$32, OR('Data entry'!$B$32="Confirmed",'Data entry'!$B$32="Probable")),"sx","")</f>
        <v/>
      </c>
      <c r="AN84" t="str">
        <f>IF(AND(AN$4='Data entry'!$R$32, OR('Data entry'!$B$32="Confirmed",'Data entry'!$B$32="Probable")),"sx","")</f>
        <v/>
      </c>
      <c r="AO84" t="str">
        <f>IF(AND(AO$4='Data entry'!$R$32, OR('Data entry'!$B$32="Confirmed",'Data entry'!$B$32="Probable")),"sx","")</f>
        <v/>
      </c>
      <c r="AP84" t="str">
        <f>IF(AND(AP$4='Data entry'!$R$32, OR('Data entry'!$B$32="Confirmed",'Data entry'!$B$32="Probable")),"sx","")</f>
        <v/>
      </c>
      <c r="AQ84" t="str">
        <f>IF(AND(AQ$4='Data entry'!$R$32, OR('Data entry'!$B$32="Confirmed",'Data entry'!$B$32="Probable")),"sx","")</f>
        <v/>
      </c>
      <c r="AR84" t="str">
        <f>IF(AND(AR$4='Data entry'!$R$32, OR('Data entry'!$B$32="Confirmed",'Data entry'!$B$32="Probable")),"sx","")</f>
        <v/>
      </c>
      <c r="AS84" t="str">
        <f>IF(AND(AS$4='Data entry'!$R$32, OR('Data entry'!$B$32="Confirmed",'Data entry'!$B$32="Probable")),"sx","")</f>
        <v/>
      </c>
      <c r="AT84" t="str">
        <f>IF(AND(AT$4='Data entry'!$R$32, OR('Data entry'!$B$32="Confirmed",'Data entry'!$B$32="Probable")),"sx","")</f>
        <v/>
      </c>
      <c r="AU84" t="str">
        <f>IF(AND(AU$4='Data entry'!$R$32, OR('Data entry'!$B$32="Confirmed",'Data entry'!$B$32="Probable")),"sx","")</f>
        <v/>
      </c>
      <c r="AV84" t="str">
        <f>IF(AND(AV$4='Data entry'!$R$32, OR('Data entry'!$B$32="Confirmed",'Data entry'!$B$32="Probable")),"sx","")</f>
        <v/>
      </c>
      <c r="AW84" t="str">
        <f>IF(AND(AW$4='Data entry'!$R$32, OR('Data entry'!$B$32="Confirmed",'Data entry'!$B$32="Probable")),"sx","")</f>
        <v/>
      </c>
      <c r="AX84" t="str">
        <f>IF(AND(AX$4='Data entry'!$R$32, OR('Data entry'!$B$32="Confirmed",'Data entry'!$B$32="Probable")),"sx","")</f>
        <v/>
      </c>
      <c r="AY84" t="str">
        <f>IF(AND(AY$4='Data entry'!$R$32, OR('Data entry'!$B$32="Confirmed",'Data entry'!$B$32="Probable")),"sx","")</f>
        <v/>
      </c>
      <c r="AZ84" t="str">
        <f>IF(AND(AZ$4='Data entry'!$R$32, OR('Data entry'!$B$32="Confirmed",'Data entry'!$B$32="Probable")),"sx","")</f>
        <v/>
      </c>
      <c r="BA84" t="str">
        <f>IF(AND(BA$4='Data entry'!$R$32, OR('Data entry'!$B$32="Confirmed",'Data entry'!$B$32="Probable")),"sx","")</f>
        <v/>
      </c>
      <c r="BB84" t="str">
        <f>IF(AND(BB$4='Data entry'!$R$32, OR('Data entry'!$B$32="Confirmed",'Data entry'!$B$32="Probable")),"sx","")</f>
        <v/>
      </c>
      <c r="BC84" t="str">
        <f>IF(AND(BC$4='Data entry'!$R$32, OR('Data entry'!$B$32="Confirmed",'Data entry'!$B$32="Probable")),"sx","")</f>
        <v/>
      </c>
      <c r="BD84" t="str">
        <f>IF(AND(BD$4='Data entry'!$R$32, OR('Data entry'!$B$32="Confirmed",'Data entry'!$B$32="Probable")),"sx","")</f>
        <v/>
      </c>
      <c r="BE84" t="str">
        <f>IF(AND(BE$4='Data entry'!$R$32, OR('Data entry'!$B$32="Confirmed",'Data entry'!$B$32="Probable")),"sx","")</f>
        <v/>
      </c>
      <c r="BF84" t="str">
        <f>IF(AND(BF$4='Data entry'!$R$32, OR('Data entry'!$B$32="Confirmed",'Data entry'!$B$32="Probable")),"sx","")</f>
        <v/>
      </c>
      <c r="BG84" t="str">
        <f>IF(AND(BG$4='Data entry'!$R$32, OR('Data entry'!$B$32="Confirmed",'Data entry'!$B$32="Probable")),"sx","")</f>
        <v/>
      </c>
      <c r="BH84" t="str">
        <f>IF(AND(BH$4='Data entry'!$R$32, OR('Data entry'!$B$32="Confirmed",'Data entry'!$B$32="Probable")),"sx","")</f>
        <v/>
      </c>
      <c r="BI84" t="str">
        <f>IF(AND(BI$4='Data entry'!$R$32, OR('Data entry'!$B$32="Confirmed",'Data entry'!$B$32="Probable")),"sx","")</f>
        <v/>
      </c>
      <c r="BJ84" t="str">
        <f>IF(AND(BJ$4='Data entry'!$R$32, OR('Data entry'!$B$32="Confirmed",'Data entry'!$B$32="Probable")),"sx","")</f>
        <v/>
      </c>
      <c r="BK84" t="str">
        <f>IF(AND(BK$4='Data entry'!$R$32, OR('Data entry'!$B$32="Confirmed",'Data entry'!$B$32="Probable")),"sx","")</f>
        <v/>
      </c>
      <c r="BL84" t="str">
        <f>IF(AND(BL$4='Data entry'!$R$32, OR('Data entry'!$B$32="Confirmed",'Data entry'!$B$32="Probable")),"sx","")</f>
        <v/>
      </c>
      <c r="BM84" t="str">
        <f>IF(AND(BM$4='Data entry'!$R$32, OR('Data entry'!$B$32="Confirmed",'Data entry'!$B$32="Probable")),"sx","")</f>
        <v/>
      </c>
      <c r="BN84" t="str">
        <f>IF(AND(BN$4='Data entry'!$R$32, OR('Data entry'!$B$32="Confirmed",'Data entry'!$B$32="Probable")),"sx","")</f>
        <v/>
      </c>
      <c r="BO84" t="str">
        <f>IF(AND(BO$4='Data entry'!$R$32, OR('Data entry'!$B$32="Confirmed",'Data entry'!$B$32="Probable")),"sx","")</f>
        <v/>
      </c>
      <c r="BP84" t="str">
        <f>IF(AND(BP$4='Data entry'!$R$32, OR('Data entry'!$B$32="Confirmed",'Data entry'!$B$32="Probable")),"sx","")</f>
        <v/>
      </c>
      <c r="BQ84" t="str">
        <f>IF(AND(BQ$4='Data entry'!$R$32, OR('Data entry'!$B$32="Confirmed",'Data entry'!$B$32="Probable")),"sx","")</f>
        <v/>
      </c>
      <c r="BR84" t="str">
        <f>IF(AND(BR$4='Data entry'!$R$32, OR('Data entry'!$B$32="Confirmed",'Data entry'!$B$32="Probable")),"sx","")</f>
        <v/>
      </c>
      <c r="BS84" t="str">
        <f>IF(AND(BS$4='Data entry'!$R$32, OR('Data entry'!$B$32="Confirmed",'Data entry'!$B$32="Probable")),"sx","")</f>
        <v/>
      </c>
      <c r="BT84" t="str">
        <f>IF(AND(BT$4='Data entry'!$R$32, OR('Data entry'!$B$32="Confirmed",'Data entry'!$B$32="Probable")),"sx","")</f>
        <v/>
      </c>
      <c r="BU84" t="str">
        <f>IF(AND(BU$4='Data entry'!$R$32, OR('Data entry'!$B$32="Confirmed",'Data entry'!$B$32="Probable")),"sx","")</f>
        <v/>
      </c>
      <c r="BV84" t="str">
        <f>IF(AND(BV$4='Data entry'!$R$32, OR('Data entry'!$B$32="Confirmed",'Data entry'!$B$32="Probable")),"sx","")</f>
        <v/>
      </c>
      <c r="BW84" t="str">
        <f>IF(AND(BW$4='Data entry'!$R$32, OR('Data entry'!$B$32="Confirmed",'Data entry'!$B$32="Probable")),"sx","")</f>
        <v/>
      </c>
      <c r="BX84" t="str">
        <f>IF(AND(BX$4='Data entry'!$R$32, OR('Data entry'!$B$32="Confirmed",'Data entry'!$B$32="Probable")),"sx","")</f>
        <v/>
      </c>
      <c r="BY84" t="str">
        <f>IF(AND(BY$4='Data entry'!$R$32, OR('Data entry'!$B$32="Confirmed",'Data entry'!$B$32="Probable")),"sx","")</f>
        <v/>
      </c>
      <c r="BZ84" t="str">
        <f>IF(AND(BZ$4='Data entry'!$R$32, OR('Data entry'!$B$32="Confirmed",'Data entry'!$B$32="Probable")),"sx","")</f>
        <v/>
      </c>
      <c r="CA84" t="str">
        <f>IF(AND(CA$4='Data entry'!$R$32, OR('Data entry'!$B$32="Confirmed",'Data entry'!$B$32="Probable")),"sx","")</f>
        <v/>
      </c>
      <c r="CB84" t="str">
        <f>IF(AND(CB$4='Data entry'!$R$32, OR('Data entry'!$B$32="Confirmed",'Data entry'!$B$32="Probable")),"sx","")</f>
        <v/>
      </c>
      <c r="CC84" t="str">
        <f>IF(AND(CC$4='Data entry'!$R$32, OR('Data entry'!$B$32="Confirmed",'Data entry'!$B$32="Probable")),"sx","")</f>
        <v/>
      </c>
    </row>
    <row r="85" spans="1:81" s="64" customFormat="1" ht="2.25" customHeight="1" thickBot="1" x14ac:dyDescent="0.25">
      <c r="A85" s="671"/>
      <c r="B85" s="672"/>
      <c r="C85" s="69"/>
    </row>
    <row r="86" spans="1:81" s="63" customFormat="1" ht="15.75" thickTop="1" x14ac:dyDescent="0.2">
      <c r="A86" s="670" t="str">
        <f>CONCATENATE('Data entry'!J33, " ", 'Data entry'!I33)</f>
        <v xml:space="preserve"> </v>
      </c>
      <c r="B86" s="670"/>
      <c r="C86" s="67"/>
    </row>
    <row r="87" spans="1:81" x14ac:dyDescent="0.2">
      <c r="A87" s="668" t="str">
        <f>CONCATENATE('Data entry'!B33, ", ", 'Data entry'!AO33, ", ", 'Data entry'!AR33)</f>
        <v xml:space="preserve">, , </v>
      </c>
      <c r="B87" s="668"/>
      <c r="C87" s="68"/>
      <c r="Q87" t="str">
        <f>IF(AND(Q$4='Data entry'!$R$33, OR('Data entry'!$B$33="Confirmed",'Data entry'!$B$33="Probable")),"sx","")</f>
        <v/>
      </c>
      <c r="R87" t="str">
        <f>IF(AND(R$4='Data entry'!$R$33, OR('Data entry'!$B$33="Confirmed",'Data entry'!$B$33="Probable")),"sx","")</f>
        <v/>
      </c>
      <c r="S87" t="str">
        <f>IF(AND(S$4='Data entry'!$R$33, OR('Data entry'!$B$33="Confirmed",'Data entry'!$B$33="Probable")),"sx","")</f>
        <v/>
      </c>
      <c r="T87" t="str">
        <f>IF(AND(T$4='Data entry'!$R$33, OR('Data entry'!$B$33="Confirmed",'Data entry'!$B$33="Probable")),"sx","")</f>
        <v/>
      </c>
      <c r="U87" t="str">
        <f>IF(AND(U$4='Data entry'!$R$33, OR('Data entry'!$B$33="Confirmed",'Data entry'!$B$33="Probable")),"sx","")</f>
        <v/>
      </c>
      <c r="V87" t="str">
        <f>IF(AND(V$4='Data entry'!$R$33, OR('Data entry'!$B$33="Confirmed",'Data entry'!$B$33="Probable")),"sx","")</f>
        <v/>
      </c>
      <c r="W87" t="str">
        <f>IF(AND(W$4='Data entry'!$R$33, OR('Data entry'!$B$33="Confirmed",'Data entry'!$B$33="Probable")),"sx","")</f>
        <v/>
      </c>
      <c r="X87" t="str">
        <f>IF(AND(X$4='Data entry'!$R$33, OR('Data entry'!$B$33="Confirmed",'Data entry'!$B$33="Probable")),"sx","")</f>
        <v/>
      </c>
      <c r="Y87" t="str">
        <f>IF(AND(Y$4='Data entry'!$R$33, OR('Data entry'!$B$33="Confirmed",'Data entry'!$B$33="Probable")),"sx","")</f>
        <v/>
      </c>
      <c r="Z87" t="str">
        <f>IF(AND(Z$4='Data entry'!$R$33, OR('Data entry'!$B$33="Confirmed",'Data entry'!$B$33="Probable")),"sx","")</f>
        <v/>
      </c>
      <c r="AA87" t="str">
        <f>IF(AND(AA$4='Data entry'!$R$33, OR('Data entry'!$B$33="Confirmed",'Data entry'!$B$33="Probable")),"sx","")</f>
        <v/>
      </c>
      <c r="AB87" t="str">
        <f>IF(AND(AB$4='Data entry'!$R$33, OR('Data entry'!$B$33="Confirmed",'Data entry'!$B$33="Probable")),"sx","")</f>
        <v/>
      </c>
      <c r="AC87" t="str">
        <f>IF(AND(AC$4='Data entry'!$R$33, OR('Data entry'!$B$33="Confirmed",'Data entry'!$B$33="Probable")),"sx","")</f>
        <v/>
      </c>
      <c r="AD87" t="str">
        <f>IF(AND(AD$4='Data entry'!$R$33, OR('Data entry'!$B$33="Confirmed",'Data entry'!$B$33="Probable")),"sx","")</f>
        <v/>
      </c>
      <c r="AE87" t="str">
        <f>IF(AND(AE$4='Data entry'!$R$33, OR('Data entry'!$B$33="Confirmed",'Data entry'!$B$33="Probable")),"sx","")</f>
        <v/>
      </c>
      <c r="AF87" t="str">
        <f>IF(AND(AF$4='Data entry'!$R$33, OR('Data entry'!$B$33="Confirmed",'Data entry'!$B$33="Probable")),"sx","")</f>
        <v/>
      </c>
      <c r="AG87" t="str">
        <f>IF(AND(AG$4='Data entry'!$R$33, OR('Data entry'!$B$33="Confirmed",'Data entry'!$B$33="Probable")),"sx","")</f>
        <v/>
      </c>
      <c r="AH87" t="str">
        <f>IF(AND(AH$4='Data entry'!$R$33, OR('Data entry'!$B$33="Confirmed",'Data entry'!$B$33="Probable")),"sx","")</f>
        <v/>
      </c>
      <c r="AI87" t="str">
        <f>IF(AND(AI$4='Data entry'!$R$33, OR('Data entry'!$B$33="Confirmed",'Data entry'!$B$33="Probable")),"sx","")</f>
        <v/>
      </c>
      <c r="AJ87" t="str">
        <f>IF(AND(AJ$4='Data entry'!$R$33, OR('Data entry'!$B$33="Confirmed",'Data entry'!$B$33="Probable")),"sx","")</f>
        <v/>
      </c>
      <c r="AK87" t="str">
        <f>IF(AND(AK$4='Data entry'!$R$33, OR('Data entry'!$B$33="Confirmed",'Data entry'!$B$33="Probable")),"sx","")</f>
        <v/>
      </c>
      <c r="AL87" t="str">
        <f>IF(AND(AL$4='Data entry'!$R$33, OR('Data entry'!$B$33="Confirmed",'Data entry'!$B$33="Probable")),"sx","")</f>
        <v/>
      </c>
      <c r="AM87" t="str">
        <f>IF(AND(AM$4='Data entry'!$R$33, OR('Data entry'!$B$33="Confirmed",'Data entry'!$B$33="Probable")),"sx","")</f>
        <v/>
      </c>
      <c r="AN87" t="str">
        <f>IF(AND(AN$4='Data entry'!$R$33, OR('Data entry'!$B$33="Confirmed",'Data entry'!$B$33="Probable")),"sx","")</f>
        <v/>
      </c>
      <c r="AO87" t="str">
        <f>IF(AND(AO$4='Data entry'!$R$33, OR('Data entry'!$B$33="Confirmed",'Data entry'!$B$33="Probable")),"sx","")</f>
        <v/>
      </c>
      <c r="AP87" t="str">
        <f>IF(AND(AP$4='Data entry'!$R$33, OR('Data entry'!$B$33="Confirmed",'Data entry'!$B$33="Probable")),"sx","")</f>
        <v/>
      </c>
      <c r="AQ87" t="str">
        <f>IF(AND(AQ$4='Data entry'!$R$33, OR('Data entry'!$B$33="Confirmed",'Data entry'!$B$33="Probable")),"sx","")</f>
        <v/>
      </c>
      <c r="AR87" t="str">
        <f>IF(AND(AR$4='Data entry'!$R$33, OR('Data entry'!$B$33="Confirmed",'Data entry'!$B$33="Probable")),"sx","")</f>
        <v/>
      </c>
      <c r="AS87" t="str">
        <f>IF(AND(AS$4='Data entry'!$R$33, OR('Data entry'!$B$33="Confirmed",'Data entry'!$B$33="Probable")),"sx","")</f>
        <v/>
      </c>
      <c r="AT87" t="str">
        <f>IF(AND(AT$4='Data entry'!$R$33, OR('Data entry'!$B$33="Confirmed",'Data entry'!$B$33="Probable")),"sx","")</f>
        <v/>
      </c>
      <c r="AU87" t="str">
        <f>IF(AND(AU$4='Data entry'!$R$33, OR('Data entry'!$B$33="Confirmed",'Data entry'!$B$33="Probable")),"sx","")</f>
        <v/>
      </c>
      <c r="AV87" t="str">
        <f>IF(AND(AV$4='Data entry'!$R$33, OR('Data entry'!$B$33="Confirmed",'Data entry'!$B$33="Probable")),"sx","")</f>
        <v/>
      </c>
      <c r="AW87" t="str">
        <f>IF(AND(AW$4='Data entry'!$R$33, OR('Data entry'!$B$33="Confirmed",'Data entry'!$B$33="Probable")),"sx","")</f>
        <v/>
      </c>
      <c r="AX87" t="str">
        <f>IF(AND(AX$4='Data entry'!$R$33, OR('Data entry'!$B$33="Confirmed",'Data entry'!$B$33="Probable")),"sx","")</f>
        <v/>
      </c>
      <c r="AY87" t="str">
        <f>IF(AND(AY$4='Data entry'!$R$33, OR('Data entry'!$B$33="Confirmed",'Data entry'!$B$33="Probable")),"sx","")</f>
        <v/>
      </c>
      <c r="AZ87" t="str">
        <f>IF(AND(AZ$4='Data entry'!$R$33, OR('Data entry'!$B$33="Confirmed",'Data entry'!$B$33="Probable")),"sx","")</f>
        <v/>
      </c>
      <c r="BA87" t="str">
        <f>IF(AND(BA$4='Data entry'!$R$33, OR('Data entry'!$B$33="Confirmed",'Data entry'!$B$33="Probable")),"sx","")</f>
        <v/>
      </c>
      <c r="BB87" t="str">
        <f>IF(AND(BB$4='Data entry'!$R$33, OR('Data entry'!$B$33="Confirmed",'Data entry'!$B$33="Probable")),"sx","")</f>
        <v/>
      </c>
      <c r="BC87" t="str">
        <f>IF(AND(BC$4='Data entry'!$R$33, OR('Data entry'!$B$33="Confirmed",'Data entry'!$B$33="Probable")),"sx","")</f>
        <v/>
      </c>
      <c r="BD87" t="str">
        <f>IF(AND(BD$4='Data entry'!$R$33, OR('Data entry'!$B$33="Confirmed",'Data entry'!$B$33="Probable")),"sx","")</f>
        <v/>
      </c>
      <c r="BE87" t="str">
        <f>IF(AND(BE$4='Data entry'!$R$33, OR('Data entry'!$B$33="Confirmed",'Data entry'!$B$33="Probable")),"sx","")</f>
        <v/>
      </c>
      <c r="BF87" t="str">
        <f>IF(AND(BF$4='Data entry'!$R$33, OR('Data entry'!$B$33="Confirmed",'Data entry'!$B$33="Probable")),"sx","")</f>
        <v/>
      </c>
      <c r="BG87" t="str">
        <f>IF(AND(BG$4='Data entry'!$R$33, OR('Data entry'!$B$33="Confirmed",'Data entry'!$B$33="Probable")),"sx","")</f>
        <v/>
      </c>
      <c r="BH87" t="str">
        <f>IF(AND(BH$4='Data entry'!$R$33, OR('Data entry'!$B$33="Confirmed",'Data entry'!$B$33="Probable")),"sx","")</f>
        <v/>
      </c>
      <c r="BI87" t="str">
        <f>IF(AND(BI$4='Data entry'!$R$33, OR('Data entry'!$B$33="Confirmed",'Data entry'!$B$33="Probable")),"sx","")</f>
        <v/>
      </c>
      <c r="BJ87" t="str">
        <f>IF(AND(BJ$4='Data entry'!$R$33, OR('Data entry'!$B$33="Confirmed",'Data entry'!$B$33="Probable")),"sx","")</f>
        <v/>
      </c>
      <c r="BK87" t="str">
        <f>IF(AND(BK$4='Data entry'!$R$33, OR('Data entry'!$B$33="Confirmed",'Data entry'!$B$33="Probable")),"sx","")</f>
        <v/>
      </c>
      <c r="BL87" t="str">
        <f>IF(AND(BL$4='Data entry'!$R$33, OR('Data entry'!$B$33="Confirmed",'Data entry'!$B$33="Probable")),"sx","")</f>
        <v/>
      </c>
      <c r="BM87" t="str">
        <f>IF(AND(BM$4='Data entry'!$R$33, OR('Data entry'!$B$33="Confirmed",'Data entry'!$B$33="Probable")),"sx","")</f>
        <v/>
      </c>
      <c r="BN87" t="str">
        <f>IF(AND(BN$4='Data entry'!$R$33, OR('Data entry'!$B$33="Confirmed",'Data entry'!$B$33="Probable")),"sx","")</f>
        <v/>
      </c>
      <c r="BO87" t="str">
        <f>IF(AND(BO$4='Data entry'!$R$33, OR('Data entry'!$B$33="Confirmed",'Data entry'!$B$33="Probable")),"sx","")</f>
        <v/>
      </c>
      <c r="BP87" t="str">
        <f>IF(AND(BP$4='Data entry'!$R$33, OR('Data entry'!$B$33="Confirmed",'Data entry'!$B$33="Probable")),"sx","")</f>
        <v/>
      </c>
      <c r="BQ87" t="str">
        <f>IF(AND(BQ$4='Data entry'!$R$33, OR('Data entry'!$B$33="Confirmed",'Data entry'!$B$33="Probable")),"sx","")</f>
        <v/>
      </c>
      <c r="BR87" t="str">
        <f>IF(AND(BR$4='Data entry'!$R$33, OR('Data entry'!$B$33="Confirmed",'Data entry'!$B$33="Probable")),"sx","")</f>
        <v/>
      </c>
      <c r="BS87" t="str">
        <f>IF(AND(BS$4='Data entry'!$R$33, OR('Data entry'!$B$33="Confirmed",'Data entry'!$B$33="Probable")),"sx","")</f>
        <v/>
      </c>
      <c r="BT87" t="str">
        <f>IF(AND(BT$4='Data entry'!$R$33, OR('Data entry'!$B$33="Confirmed",'Data entry'!$B$33="Probable")),"sx","")</f>
        <v/>
      </c>
      <c r="BU87" t="str">
        <f>IF(AND(BU$4='Data entry'!$R$33, OR('Data entry'!$B$33="Confirmed",'Data entry'!$B$33="Probable")),"sx","")</f>
        <v/>
      </c>
      <c r="BV87" t="str">
        <f>IF(AND(BV$4='Data entry'!$R$33, OR('Data entry'!$B$33="Confirmed",'Data entry'!$B$33="Probable")),"sx","")</f>
        <v/>
      </c>
      <c r="BW87" t="str">
        <f>IF(AND(BW$4='Data entry'!$R$33, OR('Data entry'!$B$33="Confirmed",'Data entry'!$B$33="Probable")),"sx","")</f>
        <v/>
      </c>
      <c r="BX87" t="str">
        <f>IF(AND(BX$4='Data entry'!$R$33, OR('Data entry'!$B$33="Confirmed",'Data entry'!$B$33="Probable")),"sx","")</f>
        <v/>
      </c>
      <c r="BY87" t="str">
        <f>IF(AND(BY$4='Data entry'!$R$33, OR('Data entry'!$B$33="Confirmed",'Data entry'!$B$33="Probable")),"sx","")</f>
        <v/>
      </c>
      <c r="BZ87" t="str">
        <f>IF(AND(BZ$4='Data entry'!$R$33, OR('Data entry'!$B$33="Confirmed",'Data entry'!$B$33="Probable")),"sx","")</f>
        <v/>
      </c>
      <c r="CA87" t="str">
        <f>IF(AND(CA$4='Data entry'!$R$33, OR('Data entry'!$B$33="Confirmed",'Data entry'!$B$33="Probable")),"sx","")</f>
        <v/>
      </c>
      <c r="CB87" t="str">
        <f>IF(AND(CB$4='Data entry'!$R$33, OR('Data entry'!$B$33="Confirmed",'Data entry'!$B$33="Probable")),"sx","")</f>
        <v/>
      </c>
      <c r="CC87" t="str">
        <f>IF(AND(CC$4='Data entry'!$R$33, OR('Data entry'!$B$33="Confirmed",'Data entry'!$B$33="Probable")),"sx","")</f>
        <v/>
      </c>
    </row>
    <row r="88" spans="1:81" s="64" customFormat="1" ht="2.25" customHeight="1" thickBot="1" x14ac:dyDescent="0.25">
      <c r="A88" s="671"/>
      <c r="B88" s="672"/>
      <c r="C88" s="69"/>
    </row>
    <row r="89" spans="1:81" s="63" customFormat="1" ht="15.75" thickTop="1" x14ac:dyDescent="0.2">
      <c r="A89" s="670" t="str">
        <f>CONCATENATE('Data entry'!J34, " ", 'Data entry'!I34)</f>
        <v xml:space="preserve"> </v>
      </c>
      <c r="B89" s="670"/>
      <c r="C89" s="67"/>
    </row>
    <row r="90" spans="1:81" x14ac:dyDescent="0.2">
      <c r="A90" s="668" t="str">
        <f>CONCATENATE('Data entry'!B34, ", ", 'Data entry'!AO34, ", ", 'Data entry'!AR34)</f>
        <v xml:space="preserve">, , </v>
      </c>
      <c r="B90" s="668"/>
      <c r="C90" s="68"/>
      <c r="Q90" t="str">
        <f>IF(AND(Q$4='Data entry'!$R$34, OR('Data entry'!$B$34="Confirmed",'Data entry'!$B$34="Probable")),"sx","")</f>
        <v/>
      </c>
      <c r="R90" t="str">
        <f>IF(AND(R$4='Data entry'!$R$34, OR('Data entry'!$B$34="Confirmed",'Data entry'!$B$34="Probable")),"sx","")</f>
        <v/>
      </c>
      <c r="S90" t="str">
        <f>IF(AND(S$4='Data entry'!$R$34, OR('Data entry'!$B$34="Confirmed",'Data entry'!$B$34="Probable")),"sx","")</f>
        <v/>
      </c>
      <c r="T90" t="str">
        <f>IF(AND(T$4='Data entry'!$R$34, OR('Data entry'!$B$34="Confirmed",'Data entry'!$B$34="Probable")),"sx","")</f>
        <v/>
      </c>
      <c r="U90" t="str">
        <f>IF(AND(U$4='Data entry'!$R$34, OR('Data entry'!$B$34="Confirmed",'Data entry'!$B$34="Probable")),"sx","")</f>
        <v/>
      </c>
      <c r="V90" t="str">
        <f>IF(AND(V$4='Data entry'!$R$34, OR('Data entry'!$B$34="Confirmed",'Data entry'!$B$34="Probable")),"sx","")</f>
        <v/>
      </c>
      <c r="W90" t="str">
        <f>IF(AND(W$4='Data entry'!$R$34, OR('Data entry'!$B$34="Confirmed",'Data entry'!$B$34="Probable")),"sx","")</f>
        <v/>
      </c>
      <c r="X90" t="str">
        <f>IF(AND(X$4='Data entry'!$R$34, OR('Data entry'!$B$34="Confirmed",'Data entry'!$B$34="Probable")),"sx","")</f>
        <v/>
      </c>
      <c r="Y90" t="str">
        <f>IF(AND(Y$4='Data entry'!$R$34, OR('Data entry'!$B$34="Confirmed",'Data entry'!$B$34="Probable")),"sx","")</f>
        <v/>
      </c>
      <c r="Z90" t="str">
        <f>IF(AND(Z$4='Data entry'!$R$34, OR('Data entry'!$B$34="Confirmed",'Data entry'!$B$34="Probable")),"sx","")</f>
        <v/>
      </c>
      <c r="AA90" t="str">
        <f>IF(AND(AA$4='Data entry'!$R$34, OR('Data entry'!$B$34="Confirmed",'Data entry'!$B$34="Probable")),"sx","")</f>
        <v/>
      </c>
      <c r="AB90" t="str">
        <f>IF(AND(AB$4='Data entry'!$R$34, OR('Data entry'!$B$34="Confirmed",'Data entry'!$B$34="Probable")),"sx","")</f>
        <v/>
      </c>
      <c r="AC90" t="str">
        <f>IF(AND(AC$4='Data entry'!$R$34, OR('Data entry'!$B$34="Confirmed",'Data entry'!$B$34="Probable")),"sx","")</f>
        <v/>
      </c>
      <c r="AD90" t="str">
        <f>IF(AND(AD$4='Data entry'!$R$34, OR('Data entry'!$B$34="Confirmed",'Data entry'!$B$34="Probable")),"sx","")</f>
        <v/>
      </c>
      <c r="AE90" t="str">
        <f>IF(AND(AE$4='Data entry'!$R$34, OR('Data entry'!$B$34="Confirmed",'Data entry'!$B$34="Probable")),"sx","")</f>
        <v/>
      </c>
      <c r="AF90" t="str">
        <f>IF(AND(AF$4='Data entry'!$R$34, OR('Data entry'!$B$34="Confirmed",'Data entry'!$B$34="Probable")),"sx","")</f>
        <v/>
      </c>
      <c r="AG90" t="str">
        <f>IF(AND(AG$4='Data entry'!$R$34, OR('Data entry'!$B$34="Confirmed",'Data entry'!$B$34="Probable")),"sx","")</f>
        <v/>
      </c>
      <c r="AH90" t="str">
        <f>IF(AND(AH$4='Data entry'!$R$34, OR('Data entry'!$B$34="Confirmed",'Data entry'!$B$34="Probable")),"sx","")</f>
        <v/>
      </c>
      <c r="AI90" t="str">
        <f>IF(AND(AI$4='Data entry'!$R$34, OR('Data entry'!$B$34="Confirmed",'Data entry'!$B$34="Probable")),"sx","")</f>
        <v/>
      </c>
      <c r="AJ90" t="str">
        <f>IF(AND(AJ$4='Data entry'!$R$34, OR('Data entry'!$B$34="Confirmed",'Data entry'!$B$34="Probable")),"sx","")</f>
        <v/>
      </c>
      <c r="AK90" t="str">
        <f>IF(AND(AK$4='Data entry'!$R$34, OR('Data entry'!$B$34="Confirmed",'Data entry'!$B$34="Probable")),"sx","")</f>
        <v/>
      </c>
      <c r="AL90" t="str">
        <f>IF(AND(AL$4='Data entry'!$R$34, OR('Data entry'!$B$34="Confirmed",'Data entry'!$B$34="Probable")),"sx","")</f>
        <v/>
      </c>
      <c r="AM90" t="str">
        <f>IF(AND(AM$4='Data entry'!$R$34, OR('Data entry'!$B$34="Confirmed",'Data entry'!$B$34="Probable")),"sx","")</f>
        <v/>
      </c>
      <c r="AN90" t="str">
        <f>IF(AND(AN$4='Data entry'!$R$34, OR('Data entry'!$B$34="Confirmed",'Data entry'!$B$34="Probable")),"sx","")</f>
        <v/>
      </c>
      <c r="AO90" t="str">
        <f>IF(AND(AO$4='Data entry'!$R$34, OR('Data entry'!$B$34="Confirmed",'Data entry'!$B$34="Probable")),"sx","")</f>
        <v/>
      </c>
      <c r="AP90" t="str">
        <f>IF(AND(AP$4='Data entry'!$R$34, OR('Data entry'!$B$34="Confirmed",'Data entry'!$B$34="Probable")),"sx","")</f>
        <v/>
      </c>
      <c r="AQ90" t="str">
        <f>IF(AND(AQ$4='Data entry'!$R$34, OR('Data entry'!$B$34="Confirmed",'Data entry'!$B$34="Probable")),"sx","")</f>
        <v/>
      </c>
      <c r="AR90" t="str">
        <f>IF(AND(AR$4='Data entry'!$R$34, OR('Data entry'!$B$34="Confirmed",'Data entry'!$B$34="Probable")),"sx","")</f>
        <v/>
      </c>
      <c r="AS90" t="str">
        <f>IF(AND(AS$4='Data entry'!$R$34, OR('Data entry'!$B$34="Confirmed",'Data entry'!$B$34="Probable")),"sx","")</f>
        <v/>
      </c>
      <c r="AT90" t="str">
        <f>IF(AND(AT$4='Data entry'!$R$34, OR('Data entry'!$B$34="Confirmed",'Data entry'!$B$34="Probable")),"sx","")</f>
        <v/>
      </c>
      <c r="AU90" t="str">
        <f>IF(AND(AU$4='Data entry'!$R$34, OR('Data entry'!$B$34="Confirmed",'Data entry'!$B$34="Probable")),"sx","")</f>
        <v/>
      </c>
      <c r="AV90" t="str">
        <f>IF(AND(AV$4='Data entry'!$R$34, OR('Data entry'!$B$34="Confirmed",'Data entry'!$B$34="Probable")),"sx","")</f>
        <v/>
      </c>
      <c r="AW90" t="str">
        <f>IF(AND(AW$4='Data entry'!$R$34, OR('Data entry'!$B$34="Confirmed",'Data entry'!$B$34="Probable")),"sx","")</f>
        <v/>
      </c>
      <c r="AX90" t="str">
        <f>IF(AND(AX$4='Data entry'!$R$34, OR('Data entry'!$B$34="Confirmed",'Data entry'!$B$34="Probable")),"sx","")</f>
        <v/>
      </c>
      <c r="AY90" t="str">
        <f>IF(AND(AY$4='Data entry'!$R$34, OR('Data entry'!$B$34="Confirmed",'Data entry'!$B$34="Probable")),"sx","")</f>
        <v/>
      </c>
      <c r="AZ90" t="str">
        <f>IF(AND(AZ$4='Data entry'!$R$34, OR('Data entry'!$B$34="Confirmed",'Data entry'!$B$34="Probable")),"sx","")</f>
        <v/>
      </c>
      <c r="BA90" t="str">
        <f>IF(AND(BA$4='Data entry'!$R$34, OR('Data entry'!$B$34="Confirmed",'Data entry'!$B$34="Probable")),"sx","")</f>
        <v/>
      </c>
      <c r="BB90" t="str">
        <f>IF(AND(BB$4='Data entry'!$R$34, OR('Data entry'!$B$34="Confirmed",'Data entry'!$B$34="Probable")),"sx","")</f>
        <v/>
      </c>
      <c r="BC90" t="str">
        <f>IF(AND(BC$4='Data entry'!$R$34, OR('Data entry'!$B$34="Confirmed",'Data entry'!$B$34="Probable")),"sx","")</f>
        <v/>
      </c>
      <c r="BD90" t="str">
        <f>IF(AND(BD$4='Data entry'!$R$34, OR('Data entry'!$B$34="Confirmed",'Data entry'!$B$34="Probable")),"sx","")</f>
        <v/>
      </c>
      <c r="BE90" t="str">
        <f>IF(AND(BE$4='Data entry'!$R$34, OR('Data entry'!$B$34="Confirmed",'Data entry'!$B$34="Probable")),"sx","")</f>
        <v/>
      </c>
      <c r="BF90" t="str">
        <f>IF(AND(BF$4='Data entry'!$R$34, OR('Data entry'!$B$34="Confirmed",'Data entry'!$B$34="Probable")),"sx","")</f>
        <v/>
      </c>
      <c r="BG90" t="str">
        <f>IF(AND(BG$4='Data entry'!$R$34, OR('Data entry'!$B$34="Confirmed",'Data entry'!$B$34="Probable")),"sx","")</f>
        <v/>
      </c>
      <c r="BH90" t="str">
        <f>IF(AND(BH$4='Data entry'!$R$34, OR('Data entry'!$B$34="Confirmed",'Data entry'!$B$34="Probable")),"sx","")</f>
        <v/>
      </c>
      <c r="BI90" t="str">
        <f>IF(AND(BI$4='Data entry'!$R$34, OR('Data entry'!$B$34="Confirmed",'Data entry'!$B$34="Probable")),"sx","")</f>
        <v/>
      </c>
      <c r="BJ90" t="str">
        <f>IF(AND(BJ$4='Data entry'!$R$34, OR('Data entry'!$B$34="Confirmed",'Data entry'!$B$34="Probable")),"sx","")</f>
        <v/>
      </c>
      <c r="BK90" t="str">
        <f>IF(AND(BK$4='Data entry'!$R$34, OR('Data entry'!$B$34="Confirmed",'Data entry'!$B$34="Probable")),"sx","")</f>
        <v/>
      </c>
      <c r="BL90" t="str">
        <f>IF(AND(BL$4='Data entry'!$R$34, OR('Data entry'!$B$34="Confirmed",'Data entry'!$B$34="Probable")),"sx","")</f>
        <v/>
      </c>
      <c r="BM90" t="str">
        <f>IF(AND(BM$4='Data entry'!$R$34, OR('Data entry'!$B$34="Confirmed",'Data entry'!$B$34="Probable")),"sx","")</f>
        <v/>
      </c>
      <c r="BN90" t="str">
        <f>IF(AND(BN$4='Data entry'!$R$34, OR('Data entry'!$B$34="Confirmed",'Data entry'!$B$34="Probable")),"sx","")</f>
        <v/>
      </c>
      <c r="BO90" t="str">
        <f>IF(AND(BO$4='Data entry'!$R$34, OR('Data entry'!$B$34="Confirmed",'Data entry'!$B$34="Probable")),"sx","")</f>
        <v/>
      </c>
      <c r="BP90" t="str">
        <f>IF(AND(BP$4='Data entry'!$R$34, OR('Data entry'!$B$34="Confirmed",'Data entry'!$B$34="Probable")),"sx","")</f>
        <v/>
      </c>
      <c r="BQ90" t="str">
        <f>IF(AND(BQ$4='Data entry'!$R$34, OR('Data entry'!$B$34="Confirmed",'Data entry'!$B$34="Probable")),"sx","")</f>
        <v/>
      </c>
      <c r="BR90" t="str">
        <f>IF(AND(BR$4='Data entry'!$R$34, OR('Data entry'!$B$34="Confirmed",'Data entry'!$B$34="Probable")),"sx","")</f>
        <v/>
      </c>
      <c r="BS90" t="str">
        <f>IF(AND(BS$4='Data entry'!$R$34, OR('Data entry'!$B$34="Confirmed",'Data entry'!$B$34="Probable")),"sx","")</f>
        <v/>
      </c>
      <c r="BT90" t="str">
        <f>IF(AND(BT$4='Data entry'!$R$34, OR('Data entry'!$B$34="Confirmed",'Data entry'!$B$34="Probable")),"sx","")</f>
        <v/>
      </c>
      <c r="BU90" t="str">
        <f>IF(AND(BU$4='Data entry'!$R$34, OR('Data entry'!$B$34="Confirmed",'Data entry'!$B$34="Probable")),"sx","")</f>
        <v/>
      </c>
      <c r="BV90" t="str">
        <f>IF(AND(BV$4='Data entry'!$R$34, OR('Data entry'!$B$34="Confirmed",'Data entry'!$B$34="Probable")),"sx","")</f>
        <v/>
      </c>
      <c r="BW90" t="str">
        <f>IF(AND(BW$4='Data entry'!$R$34, OR('Data entry'!$B$34="Confirmed",'Data entry'!$B$34="Probable")),"sx","")</f>
        <v/>
      </c>
      <c r="BX90" t="str">
        <f>IF(AND(BX$4='Data entry'!$R$34, OR('Data entry'!$B$34="Confirmed",'Data entry'!$B$34="Probable")),"sx","")</f>
        <v/>
      </c>
      <c r="BY90" t="str">
        <f>IF(AND(BY$4='Data entry'!$R$34, OR('Data entry'!$B$34="Confirmed",'Data entry'!$B$34="Probable")),"sx","")</f>
        <v/>
      </c>
      <c r="BZ90" t="str">
        <f>IF(AND(BZ$4='Data entry'!$R$34, OR('Data entry'!$B$34="Confirmed",'Data entry'!$B$34="Probable")),"sx","")</f>
        <v/>
      </c>
      <c r="CA90" t="str">
        <f>IF(AND(CA$4='Data entry'!$R$34, OR('Data entry'!$B$34="Confirmed",'Data entry'!$B$34="Probable")),"sx","")</f>
        <v/>
      </c>
      <c r="CB90" t="str">
        <f>IF(AND(CB$4='Data entry'!$R$34, OR('Data entry'!$B$34="Confirmed",'Data entry'!$B$34="Probable")),"sx","")</f>
        <v/>
      </c>
      <c r="CC90" t="str">
        <f>IF(AND(CC$4='Data entry'!$R$34, OR('Data entry'!$B$34="Confirmed",'Data entry'!$B$34="Probable")),"sx","")</f>
        <v/>
      </c>
    </row>
    <row r="91" spans="1:81" s="64" customFormat="1" ht="2.25" customHeight="1" thickBot="1" x14ac:dyDescent="0.25">
      <c r="A91" s="671"/>
      <c r="B91" s="672"/>
      <c r="C91" s="69"/>
    </row>
    <row r="92" spans="1:81" s="63" customFormat="1" ht="15.75" thickTop="1" x14ac:dyDescent="0.2">
      <c r="A92" s="670" t="str">
        <f>CONCATENATE('Data entry'!J35, " ", 'Data entry'!I35)</f>
        <v xml:space="preserve"> </v>
      </c>
      <c r="B92" s="670"/>
      <c r="C92" s="67"/>
    </row>
    <row r="93" spans="1:81" x14ac:dyDescent="0.2">
      <c r="A93" s="668" t="str">
        <f>CONCATENATE('Data entry'!B35, ", ", 'Data entry'!AO35, ", ", 'Data entry'!AR35)</f>
        <v xml:space="preserve">, , </v>
      </c>
      <c r="B93" s="668"/>
      <c r="C93" s="68"/>
      <c r="Q93" t="str">
        <f>IF(AND(Q$4='Data entry'!$R$35, OR('Data entry'!$B$35="Confirmed",'Data entry'!$B$35="Probable")),"sx","")</f>
        <v/>
      </c>
      <c r="R93" t="str">
        <f>IF(AND(R$4='Data entry'!$R$35, OR('Data entry'!$B$35="Confirmed",'Data entry'!$B$35="Probable")),"sx","")</f>
        <v/>
      </c>
      <c r="S93" t="str">
        <f>IF(AND(S$4='Data entry'!$R$35, OR('Data entry'!$B$35="Confirmed",'Data entry'!$B$35="Probable")),"sx","")</f>
        <v/>
      </c>
      <c r="T93" t="str">
        <f>IF(AND(T$4='Data entry'!$R$35, OR('Data entry'!$B$35="Confirmed",'Data entry'!$B$35="Probable")),"sx","")</f>
        <v/>
      </c>
      <c r="U93" t="str">
        <f>IF(AND(U$4='Data entry'!$R$35, OR('Data entry'!$B$35="Confirmed",'Data entry'!$B$35="Probable")),"sx","")</f>
        <v/>
      </c>
      <c r="V93" t="str">
        <f>IF(AND(V$4='Data entry'!$R$35, OR('Data entry'!$B$35="Confirmed",'Data entry'!$B$35="Probable")),"sx","")</f>
        <v/>
      </c>
      <c r="W93" t="str">
        <f>IF(AND(W$4='Data entry'!$R$35, OR('Data entry'!$B$35="Confirmed",'Data entry'!$B$35="Probable")),"sx","")</f>
        <v/>
      </c>
      <c r="X93" t="str">
        <f>IF(AND(X$4='Data entry'!$R$35, OR('Data entry'!$B$35="Confirmed",'Data entry'!$B$35="Probable")),"sx","")</f>
        <v/>
      </c>
      <c r="Y93" t="str">
        <f>IF(AND(Y$4='Data entry'!$R$35, OR('Data entry'!$B$35="Confirmed",'Data entry'!$B$35="Probable")),"sx","")</f>
        <v/>
      </c>
      <c r="Z93" t="str">
        <f>IF(AND(Z$4='Data entry'!$R$35, OR('Data entry'!$B$35="Confirmed",'Data entry'!$B$35="Probable")),"sx","")</f>
        <v/>
      </c>
      <c r="AA93" t="str">
        <f>IF(AND(AA$4='Data entry'!$R$35, OR('Data entry'!$B$35="Confirmed",'Data entry'!$B$35="Probable")),"sx","")</f>
        <v/>
      </c>
      <c r="AB93" t="str">
        <f>IF(AND(AB$4='Data entry'!$R$35, OR('Data entry'!$B$35="Confirmed",'Data entry'!$B$35="Probable")),"sx","")</f>
        <v/>
      </c>
      <c r="AC93" t="str">
        <f>IF(AND(AC$4='Data entry'!$R$35, OR('Data entry'!$B$35="Confirmed",'Data entry'!$B$35="Probable")),"sx","")</f>
        <v/>
      </c>
      <c r="AD93" t="str">
        <f>IF(AND(AD$4='Data entry'!$R$35, OR('Data entry'!$B$35="Confirmed",'Data entry'!$B$35="Probable")),"sx","")</f>
        <v/>
      </c>
      <c r="AE93" t="str">
        <f>IF(AND(AE$4='Data entry'!$R$35, OR('Data entry'!$B$35="Confirmed",'Data entry'!$B$35="Probable")),"sx","")</f>
        <v/>
      </c>
      <c r="AF93" t="str">
        <f>IF(AND(AF$4='Data entry'!$R$35, OR('Data entry'!$B$35="Confirmed",'Data entry'!$B$35="Probable")),"sx","")</f>
        <v/>
      </c>
      <c r="AG93" t="str">
        <f>IF(AND(AG$4='Data entry'!$R$35, OR('Data entry'!$B$35="Confirmed",'Data entry'!$B$35="Probable")),"sx","")</f>
        <v/>
      </c>
      <c r="AH93" t="str">
        <f>IF(AND(AH$4='Data entry'!$R$35, OR('Data entry'!$B$35="Confirmed",'Data entry'!$B$35="Probable")),"sx","")</f>
        <v/>
      </c>
      <c r="AI93" t="str">
        <f>IF(AND(AI$4='Data entry'!$R$35, OR('Data entry'!$B$35="Confirmed",'Data entry'!$B$35="Probable")),"sx","")</f>
        <v/>
      </c>
      <c r="AJ93" t="str">
        <f>IF(AND(AJ$4='Data entry'!$R$35, OR('Data entry'!$B$35="Confirmed",'Data entry'!$B$35="Probable")),"sx","")</f>
        <v/>
      </c>
      <c r="AK93" t="str">
        <f>IF(AND(AK$4='Data entry'!$R$35, OR('Data entry'!$B$35="Confirmed",'Data entry'!$B$35="Probable")),"sx","")</f>
        <v/>
      </c>
      <c r="AL93" t="str">
        <f>IF(AND(AL$4='Data entry'!$R$35, OR('Data entry'!$B$35="Confirmed",'Data entry'!$B$35="Probable")),"sx","")</f>
        <v/>
      </c>
      <c r="AM93" t="str">
        <f>IF(AND(AM$4='Data entry'!$R$35, OR('Data entry'!$B$35="Confirmed",'Data entry'!$B$35="Probable")),"sx","")</f>
        <v/>
      </c>
      <c r="AN93" t="str">
        <f>IF(AND(AN$4='Data entry'!$R$35, OR('Data entry'!$B$35="Confirmed",'Data entry'!$B$35="Probable")),"sx","")</f>
        <v/>
      </c>
      <c r="AO93" t="str">
        <f>IF(AND(AO$4='Data entry'!$R$35, OR('Data entry'!$B$35="Confirmed",'Data entry'!$B$35="Probable")),"sx","")</f>
        <v/>
      </c>
      <c r="AP93" t="str">
        <f>IF(AND(AP$4='Data entry'!$R$35, OR('Data entry'!$B$35="Confirmed",'Data entry'!$B$35="Probable")),"sx","")</f>
        <v/>
      </c>
      <c r="AQ93" t="str">
        <f>IF(AND(AQ$4='Data entry'!$R$35, OR('Data entry'!$B$35="Confirmed",'Data entry'!$B$35="Probable")),"sx","")</f>
        <v/>
      </c>
      <c r="AR93" t="str">
        <f>IF(AND(AR$4='Data entry'!$R$35, OR('Data entry'!$B$35="Confirmed",'Data entry'!$B$35="Probable")),"sx","")</f>
        <v/>
      </c>
      <c r="AS93" t="str">
        <f>IF(AND(AS$4='Data entry'!$R$35, OR('Data entry'!$B$35="Confirmed",'Data entry'!$B$35="Probable")),"sx","")</f>
        <v/>
      </c>
      <c r="AT93" t="str">
        <f>IF(AND(AT$4='Data entry'!$R$35, OR('Data entry'!$B$35="Confirmed",'Data entry'!$B$35="Probable")),"sx","")</f>
        <v/>
      </c>
      <c r="AU93" t="str">
        <f>IF(AND(AU$4='Data entry'!$R$35, OR('Data entry'!$B$35="Confirmed",'Data entry'!$B$35="Probable")),"sx","")</f>
        <v/>
      </c>
      <c r="AV93" t="str">
        <f>IF(AND(AV$4='Data entry'!$R$35, OR('Data entry'!$B$35="Confirmed",'Data entry'!$B$35="Probable")),"sx","")</f>
        <v/>
      </c>
      <c r="AW93" t="str">
        <f>IF(AND(AW$4='Data entry'!$R$35, OR('Data entry'!$B$35="Confirmed",'Data entry'!$B$35="Probable")),"sx","")</f>
        <v/>
      </c>
      <c r="AX93" t="str">
        <f>IF(AND(AX$4='Data entry'!$R$35, OR('Data entry'!$B$35="Confirmed",'Data entry'!$B$35="Probable")),"sx","")</f>
        <v/>
      </c>
      <c r="AY93" t="str">
        <f>IF(AND(AY$4='Data entry'!$R$35, OR('Data entry'!$B$35="Confirmed",'Data entry'!$B$35="Probable")),"sx","")</f>
        <v/>
      </c>
      <c r="AZ93" t="str">
        <f>IF(AND(AZ$4='Data entry'!$R$35, OR('Data entry'!$B$35="Confirmed",'Data entry'!$B$35="Probable")),"sx","")</f>
        <v/>
      </c>
      <c r="BA93" t="str">
        <f>IF(AND(BA$4='Data entry'!$R$35, OR('Data entry'!$B$35="Confirmed",'Data entry'!$B$35="Probable")),"sx","")</f>
        <v/>
      </c>
      <c r="BB93" t="str">
        <f>IF(AND(BB$4='Data entry'!$R$35, OR('Data entry'!$B$35="Confirmed",'Data entry'!$B$35="Probable")),"sx","")</f>
        <v/>
      </c>
      <c r="BC93" t="str">
        <f>IF(AND(BC$4='Data entry'!$R$35, OR('Data entry'!$B$35="Confirmed",'Data entry'!$B$35="Probable")),"sx","")</f>
        <v/>
      </c>
      <c r="BD93" t="str">
        <f>IF(AND(BD$4='Data entry'!$R$35, OR('Data entry'!$B$35="Confirmed",'Data entry'!$B$35="Probable")),"sx","")</f>
        <v/>
      </c>
      <c r="BE93" t="str">
        <f>IF(AND(BE$4='Data entry'!$R$35, OR('Data entry'!$B$35="Confirmed",'Data entry'!$B$35="Probable")),"sx","")</f>
        <v/>
      </c>
      <c r="BF93" t="str">
        <f>IF(AND(BF$4='Data entry'!$R$35, OR('Data entry'!$B$35="Confirmed",'Data entry'!$B$35="Probable")),"sx","")</f>
        <v/>
      </c>
      <c r="BG93" t="str">
        <f>IF(AND(BG$4='Data entry'!$R$35, OR('Data entry'!$B$35="Confirmed",'Data entry'!$B$35="Probable")),"sx","")</f>
        <v/>
      </c>
      <c r="BH93" t="str">
        <f>IF(AND(BH$4='Data entry'!$R$35, OR('Data entry'!$B$35="Confirmed",'Data entry'!$B$35="Probable")),"sx","")</f>
        <v/>
      </c>
      <c r="BI93" t="str">
        <f>IF(AND(BI$4='Data entry'!$R$35, OR('Data entry'!$B$35="Confirmed",'Data entry'!$B$35="Probable")),"sx","")</f>
        <v/>
      </c>
      <c r="BJ93" t="str">
        <f>IF(AND(BJ$4='Data entry'!$R$35, OR('Data entry'!$B$35="Confirmed",'Data entry'!$B$35="Probable")),"sx","")</f>
        <v/>
      </c>
      <c r="BK93" t="str">
        <f>IF(AND(BK$4='Data entry'!$R$35, OR('Data entry'!$B$35="Confirmed",'Data entry'!$B$35="Probable")),"sx","")</f>
        <v/>
      </c>
      <c r="BL93" t="str">
        <f>IF(AND(BL$4='Data entry'!$R$35, OR('Data entry'!$B$35="Confirmed",'Data entry'!$B$35="Probable")),"sx","")</f>
        <v/>
      </c>
      <c r="BM93" t="str">
        <f>IF(AND(BM$4='Data entry'!$R$35, OR('Data entry'!$B$35="Confirmed",'Data entry'!$B$35="Probable")),"sx","")</f>
        <v/>
      </c>
      <c r="BN93" t="str">
        <f>IF(AND(BN$4='Data entry'!$R$35, OR('Data entry'!$B$35="Confirmed",'Data entry'!$B$35="Probable")),"sx","")</f>
        <v/>
      </c>
      <c r="BO93" t="str">
        <f>IF(AND(BO$4='Data entry'!$R$35, OR('Data entry'!$B$35="Confirmed",'Data entry'!$B$35="Probable")),"sx","")</f>
        <v/>
      </c>
      <c r="BP93" t="str">
        <f>IF(AND(BP$4='Data entry'!$R$35, OR('Data entry'!$B$35="Confirmed",'Data entry'!$B$35="Probable")),"sx","")</f>
        <v/>
      </c>
      <c r="BQ93" t="str">
        <f>IF(AND(BQ$4='Data entry'!$R$35, OR('Data entry'!$B$35="Confirmed",'Data entry'!$B$35="Probable")),"sx","")</f>
        <v/>
      </c>
      <c r="BR93" t="str">
        <f>IF(AND(BR$4='Data entry'!$R$35, OR('Data entry'!$B$35="Confirmed",'Data entry'!$B$35="Probable")),"sx","")</f>
        <v/>
      </c>
      <c r="BS93" t="str">
        <f>IF(AND(BS$4='Data entry'!$R$35, OR('Data entry'!$B$35="Confirmed",'Data entry'!$B$35="Probable")),"sx","")</f>
        <v/>
      </c>
      <c r="BT93" t="str">
        <f>IF(AND(BT$4='Data entry'!$R$35, OR('Data entry'!$B$35="Confirmed",'Data entry'!$B$35="Probable")),"sx","")</f>
        <v/>
      </c>
      <c r="BU93" t="str">
        <f>IF(AND(BU$4='Data entry'!$R$35, OR('Data entry'!$B$35="Confirmed",'Data entry'!$B$35="Probable")),"sx","")</f>
        <v/>
      </c>
      <c r="BV93" t="str">
        <f>IF(AND(BV$4='Data entry'!$R$35, OR('Data entry'!$B$35="Confirmed",'Data entry'!$B$35="Probable")),"sx","")</f>
        <v/>
      </c>
      <c r="BW93" t="str">
        <f>IF(AND(BW$4='Data entry'!$R$35, OR('Data entry'!$B$35="Confirmed",'Data entry'!$B$35="Probable")),"sx","")</f>
        <v/>
      </c>
      <c r="BX93" t="str">
        <f>IF(AND(BX$4='Data entry'!$R$35, OR('Data entry'!$B$35="Confirmed",'Data entry'!$B$35="Probable")),"sx","")</f>
        <v/>
      </c>
      <c r="BY93" t="str">
        <f>IF(AND(BY$4='Data entry'!$R$35, OR('Data entry'!$B$35="Confirmed",'Data entry'!$B$35="Probable")),"sx","")</f>
        <v/>
      </c>
      <c r="BZ93" t="str">
        <f>IF(AND(BZ$4='Data entry'!$R$35, OR('Data entry'!$B$35="Confirmed",'Data entry'!$B$35="Probable")),"sx","")</f>
        <v/>
      </c>
      <c r="CA93" t="str">
        <f>IF(AND(CA$4='Data entry'!$R$35, OR('Data entry'!$B$35="Confirmed",'Data entry'!$B$35="Probable")),"sx","")</f>
        <v/>
      </c>
      <c r="CB93" t="str">
        <f>IF(AND(CB$4='Data entry'!$R$35, OR('Data entry'!$B$35="Confirmed",'Data entry'!$B$35="Probable")),"sx","")</f>
        <v/>
      </c>
      <c r="CC93" t="str">
        <f>IF(AND(CC$4='Data entry'!$R$35, OR('Data entry'!$B$35="Confirmed",'Data entry'!$B$35="Probable")),"sx","")</f>
        <v/>
      </c>
    </row>
    <row r="94" spans="1:81" s="64" customFormat="1" ht="2.25" customHeight="1" thickBot="1" x14ac:dyDescent="0.25">
      <c r="A94" s="671"/>
      <c r="B94" s="672"/>
      <c r="C94" s="69"/>
    </row>
    <row r="95" spans="1:81" s="63" customFormat="1" ht="15.75" thickTop="1" x14ac:dyDescent="0.2">
      <c r="A95" s="670" t="str">
        <f>CONCATENATE('Data entry'!J36, " ", 'Data entry'!I36)</f>
        <v xml:space="preserve"> </v>
      </c>
      <c r="B95" s="670"/>
      <c r="C95" s="67"/>
    </row>
    <row r="96" spans="1:81" x14ac:dyDescent="0.2">
      <c r="A96" s="668" t="str">
        <f>CONCATENATE('Data entry'!B36, ", ", 'Data entry'!AO36, ", ", 'Data entry'!AR36)</f>
        <v xml:space="preserve">, , </v>
      </c>
      <c r="B96" s="668"/>
      <c r="C96" s="68"/>
      <c r="Q96" t="str">
        <f>IF(AND(Q$4='Data entry'!$R$36, OR('Data entry'!$B$36="Confirmed",'Data entry'!$B$36="Probable")),"sx","")</f>
        <v/>
      </c>
      <c r="R96" t="str">
        <f>IF(AND(R$4='Data entry'!$R$36, OR('Data entry'!$B$36="Confirmed",'Data entry'!$B$36="Probable")),"sx","")</f>
        <v/>
      </c>
      <c r="S96" t="str">
        <f>IF(AND(S$4='Data entry'!$R$36, OR('Data entry'!$B$36="Confirmed",'Data entry'!$B$36="Probable")),"sx","")</f>
        <v/>
      </c>
      <c r="T96" t="str">
        <f>IF(AND(T$4='Data entry'!$R$36, OR('Data entry'!$B$36="Confirmed",'Data entry'!$B$36="Probable")),"sx","")</f>
        <v/>
      </c>
      <c r="U96" t="str">
        <f>IF(AND(U$4='Data entry'!$R$36, OR('Data entry'!$B$36="Confirmed",'Data entry'!$B$36="Probable")),"sx","")</f>
        <v/>
      </c>
      <c r="V96" t="str">
        <f>IF(AND(V$4='Data entry'!$R$36, OR('Data entry'!$B$36="Confirmed",'Data entry'!$B$36="Probable")),"sx","")</f>
        <v/>
      </c>
      <c r="W96" t="str">
        <f>IF(AND(W$4='Data entry'!$R$36, OR('Data entry'!$B$36="Confirmed",'Data entry'!$B$36="Probable")),"sx","")</f>
        <v/>
      </c>
      <c r="X96" t="str">
        <f>IF(AND(X$4='Data entry'!$R$36, OR('Data entry'!$B$36="Confirmed",'Data entry'!$B$36="Probable")),"sx","")</f>
        <v/>
      </c>
      <c r="Y96" t="str">
        <f>IF(AND(Y$4='Data entry'!$R$36, OR('Data entry'!$B$36="Confirmed",'Data entry'!$B$36="Probable")),"sx","")</f>
        <v/>
      </c>
      <c r="Z96" t="str">
        <f>IF(AND(Z$4='Data entry'!$R$36, OR('Data entry'!$B$36="Confirmed",'Data entry'!$B$36="Probable")),"sx","")</f>
        <v/>
      </c>
      <c r="AA96" t="str">
        <f>IF(AND(AA$4='Data entry'!$R$36, OR('Data entry'!$B$36="Confirmed",'Data entry'!$B$36="Probable")),"sx","")</f>
        <v/>
      </c>
      <c r="AB96" t="str">
        <f>IF(AND(AB$4='Data entry'!$R$36, OR('Data entry'!$B$36="Confirmed",'Data entry'!$B$36="Probable")),"sx","")</f>
        <v/>
      </c>
      <c r="AC96" t="str">
        <f>IF(AND(AC$4='Data entry'!$R$36, OR('Data entry'!$B$36="Confirmed",'Data entry'!$B$36="Probable")),"sx","")</f>
        <v/>
      </c>
      <c r="AD96" t="str">
        <f>IF(AND(AD$4='Data entry'!$R$36, OR('Data entry'!$B$36="Confirmed",'Data entry'!$B$36="Probable")),"sx","")</f>
        <v/>
      </c>
      <c r="AE96" t="str">
        <f>IF(AND(AE$4='Data entry'!$R$36, OR('Data entry'!$B$36="Confirmed",'Data entry'!$B$36="Probable")),"sx","")</f>
        <v/>
      </c>
      <c r="AF96" t="str">
        <f>IF(AND(AF$4='Data entry'!$R$36, OR('Data entry'!$B$36="Confirmed",'Data entry'!$B$36="Probable")),"sx","")</f>
        <v/>
      </c>
      <c r="AG96" t="str">
        <f>IF(AND(AG$4='Data entry'!$R$36, OR('Data entry'!$B$36="Confirmed",'Data entry'!$B$36="Probable")),"sx","")</f>
        <v/>
      </c>
      <c r="AH96" t="str">
        <f>IF(AND(AH$4='Data entry'!$R$36, OR('Data entry'!$B$36="Confirmed",'Data entry'!$B$36="Probable")),"sx","")</f>
        <v/>
      </c>
      <c r="AI96" t="str">
        <f>IF(AND(AI$4='Data entry'!$R$36, OR('Data entry'!$B$36="Confirmed",'Data entry'!$B$36="Probable")),"sx","")</f>
        <v/>
      </c>
      <c r="AJ96" t="str">
        <f>IF(AND(AJ$4='Data entry'!$R$36, OR('Data entry'!$B$36="Confirmed",'Data entry'!$B$36="Probable")),"sx","")</f>
        <v/>
      </c>
      <c r="AK96" t="str">
        <f>IF(AND(AK$4='Data entry'!$R$36, OR('Data entry'!$B$36="Confirmed",'Data entry'!$B$36="Probable")),"sx","")</f>
        <v/>
      </c>
      <c r="AL96" t="str">
        <f>IF(AND(AL$4='Data entry'!$R$36, OR('Data entry'!$B$36="Confirmed",'Data entry'!$B$36="Probable")),"sx","")</f>
        <v/>
      </c>
      <c r="AM96" t="str">
        <f>IF(AND(AM$4='Data entry'!$R$36, OR('Data entry'!$B$36="Confirmed",'Data entry'!$B$36="Probable")),"sx","")</f>
        <v/>
      </c>
      <c r="AN96" t="str">
        <f>IF(AND(AN$4='Data entry'!$R$36, OR('Data entry'!$B$36="Confirmed",'Data entry'!$B$36="Probable")),"sx","")</f>
        <v/>
      </c>
      <c r="AO96" t="str">
        <f>IF(AND(AO$4='Data entry'!$R$36, OR('Data entry'!$B$36="Confirmed",'Data entry'!$B$36="Probable")),"sx","")</f>
        <v/>
      </c>
      <c r="AP96" t="str">
        <f>IF(AND(AP$4='Data entry'!$R$36, OR('Data entry'!$B$36="Confirmed",'Data entry'!$B$36="Probable")),"sx","")</f>
        <v/>
      </c>
      <c r="AQ96" t="str">
        <f>IF(AND(AQ$4='Data entry'!$R$36, OR('Data entry'!$B$36="Confirmed",'Data entry'!$B$36="Probable")),"sx","")</f>
        <v/>
      </c>
      <c r="AR96" t="str">
        <f>IF(AND(AR$4='Data entry'!$R$36, OR('Data entry'!$B$36="Confirmed",'Data entry'!$B$36="Probable")),"sx","")</f>
        <v/>
      </c>
      <c r="AS96" t="str">
        <f>IF(AND(AS$4='Data entry'!$R$36, OR('Data entry'!$B$36="Confirmed",'Data entry'!$B$36="Probable")),"sx","")</f>
        <v/>
      </c>
      <c r="AT96" t="str">
        <f>IF(AND(AT$4='Data entry'!$R$36, OR('Data entry'!$B$36="Confirmed",'Data entry'!$B$36="Probable")),"sx","")</f>
        <v/>
      </c>
      <c r="AU96" t="str">
        <f>IF(AND(AU$4='Data entry'!$R$36, OR('Data entry'!$B$36="Confirmed",'Data entry'!$B$36="Probable")),"sx","")</f>
        <v/>
      </c>
      <c r="AV96" t="str">
        <f>IF(AND(AV$4='Data entry'!$R$36, OR('Data entry'!$B$36="Confirmed",'Data entry'!$B$36="Probable")),"sx","")</f>
        <v/>
      </c>
      <c r="AW96" t="str">
        <f>IF(AND(AW$4='Data entry'!$R$36, OR('Data entry'!$B$36="Confirmed",'Data entry'!$B$36="Probable")),"sx","")</f>
        <v/>
      </c>
      <c r="AX96" t="str">
        <f>IF(AND(AX$4='Data entry'!$R$36, OR('Data entry'!$B$36="Confirmed",'Data entry'!$B$36="Probable")),"sx","")</f>
        <v/>
      </c>
      <c r="AY96" t="str">
        <f>IF(AND(AY$4='Data entry'!$R$36, OR('Data entry'!$B$36="Confirmed",'Data entry'!$B$36="Probable")),"sx","")</f>
        <v/>
      </c>
      <c r="AZ96" t="str">
        <f>IF(AND(AZ$4='Data entry'!$R$36, OR('Data entry'!$B$36="Confirmed",'Data entry'!$B$36="Probable")),"sx","")</f>
        <v/>
      </c>
      <c r="BA96" t="str">
        <f>IF(AND(BA$4='Data entry'!$R$36, OR('Data entry'!$B$36="Confirmed",'Data entry'!$B$36="Probable")),"sx","")</f>
        <v/>
      </c>
      <c r="BB96" t="str">
        <f>IF(AND(BB$4='Data entry'!$R$36, OR('Data entry'!$B$36="Confirmed",'Data entry'!$B$36="Probable")),"sx","")</f>
        <v/>
      </c>
      <c r="BC96" t="str">
        <f>IF(AND(BC$4='Data entry'!$R$36, OR('Data entry'!$B$36="Confirmed",'Data entry'!$B$36="Probable")),"sx","")</f>
        <v/>
      </c>
      <c r="BD96" t="str">
        <f>IF(AND(BD$4='Data entry'!$R$36, OR('Data entry'!$B$36="Confirmed",'Data entry'!$B$36="Probable")),"sx","")</f>
        <v/>
      </c>
      <c r="BE96" t="str">
        <f>IF(AND(BE$4='Data entry'!$R$36, OR('Data entry'!$B$36="Confirmed",'Data entry'!$B$36="Probable")),"sx","")</f>
        <v/>
      </c>
      <c r="BF96" t="str">
        <f>IF(AND(BF$4='Data entry'!$R$36, OR('Data entry'!$B$36="Confirmed",'Data entry'!$B$36="Probable")),"sx","")</f>
        <v/>
      </c>
      <c r="BG96" t="str">
        <f>IF(AND(BG$4='Data entry'!$R$36, OR('Data entry'!$B$36="Confirmed",'Data entry'!$B$36="Probable")),"sx","")</f>
        <v/>
      </c>
      <c r="BH96" t="str">
        <f>IF(AND(BH$4='Data entry'!$R$36, OR('Data entry'!$B$36="Confirmed",'Data entry'!$B$36="Probable")),"sx","")</f>
        <v/>
      </c>
      <c r="BI96" t="str">
        <f>IF(AND(BI$4='Data entry'!$R$36, OR('Data entry'!$B$36="Confirmed",'Data entry'!$B$36="Probable")),"sx","")</f>
        <v/>
      </c>
      <c r="BJ96" t="str">
        <f>IF(AND(BJ$4='Data entry'!$R$36, OR('Data entry'!$B$36="Confirmed",'Data entry'!$B$36="Probable")),"sx","")</f>
        <v/>
      </c>
      <c r="BK96" t="str">
        <f>IF(AND(BK$4='Data entry'!$R$36, OR('Data entry'!$B$36="Confirmed",'Data entry'!$B$36="Probable")),"sx","")</f>
        <v/>
      </c>
      <c r="BL96" t="str">
        <f>IF(AND(BL$4='Data entry'!$R$36, OR('Data entry'!$B$36="Confirmed",'Data entry'!$B$36="Probable")),"sx","")</f>
        <v/>
      </c>
      <c r="BM96" t="str">
        <f>IF(AND(BM$4='Data entry'!$R$36, OR('Data entry'!$B$36="Confirmed",'Data entry'!$B$36="Probable")),"sx","")</f>
        <v/>
      </c>
      <c r="BN96" t="str">
        <f>IF(AND(BN$4='Data entry'!$R$36, OR('Data entry'!$B$36="Confirmed",'Data entry'!$B$36="Probable")),"sx","")</f>
        <v/>
      </c>
      <c r="BO96" t="str">
        <f>IF(AND(BO$4='Data entry'!$R$36, OR('Data entry'!$B$36="Confirmed",'Data entry'!$B$36="Probable")),"sx","")</f>
        <v/>
      </c>
      <c r="BP96" t="str">
        <f>IF(AND(BP$4='Data entry'!$R$36, OR('Data entry'!$B$36="Confirmed",'Data entry'!$B$36="Probable")),"sx","")</f>
        <v/>
      </c>
      <c r="BQ96" t="str">
        <f>IF(AND(BQ$4='Data entry'!$R$36, OR('Data entry'!$B$36="Confirmed",'Data entry'!$B$36="Probable")),"sx","")</f>
        <v/>
      </c>
      <c r="BR96" t="str">
        <f>IF(AND(BR$4='Data entry'!$R$36, OR('Data entry'!$B$36="Confirmed",'Data entry'!$B$36="Probable")),"sx","")</f>
        <v/>
      </c>
      <c r="BS96" t="str">
        <f>IF(AND(BS$4='Data entry'!$R$36, OR('Data entry'!$B$36="Confirmed",'Data entry'!$B$36="Probable")),"sx","")</f>
        <v/>
      </c>
      <c r="BT96" t="str">
        <f>IF(AND(BT$4='Data entry'!$R$36, OR('Data entry'!$B$36="Confirmed",'Data entry'!$B$36="Probable")),"sx","")</f>
        <v/>
      </c>
      <c r="BU96" t="str">
        <f>IF(AND(BU$4='Data entry'!$R$36, OR('Data entry'!$B$36="Confirmed",'Data entry'!$B$36="Probable")),"sx","")</f>
        <v/>
      </c>
      <c r="BV96" t="str">
        <f>IF(AND(BV$4='Data entry'!$R$36, OR('Data entry'!$B$36="Confirmed",'Data entry'!$B$36="Probable")),"sx","")</f>
        <v/>
      </c>
      <c r="BW96" t="str">
        <f>IF(AND(BW$4='Data entry'!$R$36, OR('Data entry'!$B$36="Confirmed",'Data entry'!$B$36="Probable")),"sx","")</f>
        <v/>
      </c>
      <c r="BX96" t="str">
        <f>IF(AND(BX$4='Data entry'!$R$36, OR('Data entry'!$B$36="Confirmed",'Data entry'!$B$36="Probable")),"sx","")</f>
        <v/>
      </c>
      <c r="BY96" t="str">
        <f>IF(AND(BY$4='Data entry'!$R$36, OR('Data entry'!$B$36="Confirmed",'Data entry'!$B$36="Probable")),"sx","")</f>
        <v/>
      </c>
      <c r="BZ96" t="str">
        <f>IF(AND(BZ$4='Data entry'!$R$36, OR('Data entry'!$B$36="Confirmed",'Data entry'!$B$36="Probable")),"sx","")</f>
        <v/>
      </c>
      <c r="CA96" t="str">
        <f>IF(AND(CA$4='Data entry'!$R$36, OR('Data entry'!$B$36="Confirmed",'Data entry'!$B$36="Probable")),"sx","")</f>
        <v/>
      </c>
      <c r="CB96" t="str">
        <f>IF(AND(CB$4='Data entry'!$R$36, OR('Data entry'!$B$36="Confirmed",'Data entry'!$B$36="Probable")),"sx","")</f>
        <v/>
      </c>
      <c r="CC96" t="str">
        <f>IF(AND(CC$4='Data entry'!$R$36, OR('Data entry'!$B$36="Confirmed",'Data entry'!$B$36="Probable")),"sx","")</f>
        <v/>
      </c>
    </row>
    <row r="97" spans="1:81" s="64" customFormat="1" ht="2.25" customHeight="1" thickBot="1" x14ac:dyDescent="0.25">
      <c r="A97" s="671"/>
      <c r="B97" s="672"/>
      <c r="C97" s="69"/>
    </row>
    <row r="98" spans="1:81" s="63" customFormat="1" ht="15.75" thickTop="1" x14ac:dyDescent="0.2">
      <c r="A98" s="670" t="str">
        <f>CONCATENATE('Data entry'!J37, " ", 'Data entry'!I37)</f>
        <v xml:space="preserve"> </v>
      </c>
      <c r="B98" s="670"/>
      <c r="C98" s="67"/>
    </row>
    <row r="99" spans="1:81" x14ac:dyDescent="0.2">
      <c r="A99" s="668" t="str">
        <f>CONCATENATE('Data entry'!B37, ", ", 'Data entry'!AO37, ", ", 'Data entry'!AR37)</f>
        <v xml:space="preserve">, , </v>
      </c>
      <c r="B99" s="668"/>
      <c r="C99" s="68"/>
      <c r="Q99" t="str">
        <f>IF(AND(Q$4='Data entry'!$R$37, OR('Data entry'!$B$37="Confirmed",'Data entry'!$B$37="Probable")),"sx","")</f>
        <v/>
      </c>
      <c r="R99" t="str">
        <f>IF(AND(R$4='Data entry'!$R$37, OR('Data entry'!$B$37="Confirmed",'Data entry'!$B$37="Probable")),"sx","")</f>
        <v/>
      </c>
      <c r="S99" t="str">
        <f>IF(AND(S$4='Data entry'!$R$37, OR('Data entry'!$B$37="Confirmed",'Data entry'!$B$37="Probable")),"sx","")</f>
        <v/>
      </c>
      <c r="T99" t="str">
        <f>IF(AND(T$4='Data entry'!$R$37, OR('Data entry'!$B$37="Confirmed",'Data entry'!$B$37="Probable")),"sx","")</f>
        <v/>
      </c>
      <c r="U99" t="str">
        <f>IF(AND(U$4='Data entry'!$R$37, OR('Data entry'!$B$37="Confirmed",'Data entry'!$B$37="Probable")),"sx","")</f>
        <v/>
      </c>
      <c r="V99" t="str">
        <f>IF(AND(V$4='Data entry'!$R$37, OR('Data entry'!$B$37="Confirmed",'Data entry'!$B$37="Probable")),"sx","")</f>
        <v/>
      </c>
      <c r="W99" t="str">
        <f>IF(AND(W$4='Data entry'!$R$37, OR('Data entry'!$B$37="Confirmed",'Data entry'!$B$37="Probable")),"sx","")</f>
        <v/>
      </c>
      <c r="X99" t="str">
        <f>IF(AND(X$4='Data entry'!$R$37, OR('Data entry'!$B$37="Confirmed",'Data entry'!$B$37="Probable")),"sx","")</f>
        <v/>
      </c>
      <c r="Y99" t="str">
        <f>IF(AND(Y$4='Data entry'!$R$37, OR('Data entry'!$B$37="Confirmed",'Data entry'!$B$37="Probable")),"sx","")</f>
        <v/>
      </c>
      <c r="Z99" t="str">
        <f>IF(AND(Z$4='Data entry'!$R$37, OR('Data entry'!$B$37="Confirmed",'Data entry'!$B$37="Probable")),"sx","")</f>
        <v/>
      </c>
      <c r="AA99" t="str">
        <f>IF(AND(AA$4='Data entry'!$R$37, OR('Data entry'!$B$37="Confirmed",'Data entry'!$B$37="Probable")),"sx","")</f>
        <v/>
      </c>
      <c r="AB99" t="str">
        <f>IF(AND(AB$4='Data entry'!$R$37, OR('Data entry'!$B$37="Confirmed",'Data entry'!$B$37="Probable")),"sx","")</f>
        <v/>
      </c>
      <c r="AC99" t="str">
        <f>IF(AND(AC$4='Data entry'!$R$37, OR('Data entry'!$B$37="Confirmed",'Data entry'!$B$37="Probable")),"sx","")</f>
        <v/>
      </c>
      <c r="AD99" t="str">
        <f>IF(AND(AD$4='Data entry'!$R$37, OR('Data entry'!$B$37="Confirmed",'Data entry'!$B$37="Probable")),"sx","")</f>
        <v/>
      </c>
      <c r="AE99" t="str">
        <f>IF(AND(AE$4='Data entry'!$R$37, OR('Data entry'!$B$37="Confirmed",'Data entry'!$B$37="Probable")),"sx","")</f>
        <v/>
      </c>
      <c r="AF99" t="str">
        <f>IF(AND(AF$4='Data entry'!$R$37, OR('Data entry'!$B$37="Confirmed",'Data entry'!$B$37="Probable")),"sx","")</f>
        <v/>
      </c>
      <c r="AG99" t="str">
        <f>IF(AND(AG$4='Data entry'!$R$37, OR('Data entry'!$B$37="Confirmed",'Data entry'!$B$37="Probable")),"sx","")</f>
        <v/>
      </c>
      <c r="AH99" t="str">
        <f>IF(AND(AH$4='Data entry'!$R$37, OR('Data entry'!$B$37="Confirmed",'Data entry'!$B$37="Probable")),"sx","")</f>
        <v/>
      </c>
      <c r="AI99" t="str">
        <f>IF(AND(AI$4='Data entry'!$R$37, OR('Data entry'!$B$37="Confirmed",'Data entry'!$B$37="Probable")),"sx","")</f>
        <v/>
      </c>
      <c r="AJ99" t="str">
        <f>IF(AND(AJ$4='Data entry'!$R$37, OR('Data entry'!$B$37="Confirmed",'Data entry'!$B$37="Probable")),"sx","")</f>
        <v/>
      </c>
      <c r="AK99" t="str">
        <f>IF(AND(AK$4='Data entry'!$R$37, OR('Data entry'!$B$37="Confirmed",'Data entry'!$B$37="Probable")),"sx","")</f>
        <v/>
      </c>
      <c r="AL99" t="str">
        <f>IF(AND(AL$4='Data entry'!$R$37, OR('Data entry'!$B$37="Confirmed",'Data entry'!$B$37="Probable")),"sx","")</f>
        <v/>
      </c>
      <c r="AM99" t="str">
        <f>IF(AND(AM$4='Data entry'!$R$37, OR('Data entry'!$B$37="Confirmed",'Data entry'!$B$37="Probable")),"sx","")</f>
        <v/>
      </c>
      <c r="AN99" t="str">
        <f>IF(AND(AN$4='Data entry'!$R$37, OR('Data entry'!$B$37="Confirmed",'Data entry'!$B$37="Probable")),"sx","")</f>
        <v/>
      </c>
      <c r="AO99" t="str">
        <f>IF(AND(AO$4='Data entry'!$R$37, OR('Data entry'!$B$37="Confirmed",'Data entry'!$B$37="Probable")),"sx","")</f>
        <v/>
      </c>
      <c r="AP99" t="str">
        <f>IF(AND(AP$4='Data entry'!$R$37, OR('Data entry'!$B$37="Confirmed",'Data entry'!$B$37="Probable")),"sx","")</f>
        <v/>
      </c>
      <c r="AQ99" t="str">
        <f>IF(AND(AQ$4='Data entry'!$R$37, OR('Data entry'!$B$37="Confirmed",'Data entry'!$B$37="Probable")),"sx","")</f>
        <v/>
      </c>
      <c r="AR99" t="str">
        <f>IF(AND(AR$4='Data entry'!$R$37, OR('Data entry'!$B$37="Confirmed",'Data entry'!$B$37="Probable")),"sx","")</f>
        <v/>
      </c>
      <c r="AS99" t="str">
        <f>IF(AND(AS$4='Data entry'!$R$37, OR('Data entry'!$B$37="Confirmed",'Data entry'!$B$37="Probable")),"sx","")</f>
        <v/>
      </c>
      <c r="AT99" t="str">
        <f>IF(AND(AT$4='Data entry'!$R$37, OR('Data entry'!$B$37="Confirmed",'Data entry'!$B$37="Probable")),"sx","")</f>
        <v/>
      </c>
      <c r="AU99" t="str">
        <f>IF(AND(AU$4='Data entry'!$R$37, OR('Data entry'!$B$37="Confirmed",'Data entry'!$B$37="Probable")),"sx","")</f>
        <v/>
      </c>
      <c r="AV99" t="str">
        <f>IF(AND(AV$4='Data entry'!$R$37, OR('Data entry'!$B$37="Confirmed",'Data entry'!$B$37="Probable")),"sx","")</f>
        <v/>
      </c>
      <c r="AW99" t="str">
        <f>IF(AND(AW$4='Data entry'!$R$37, OR('Data entry'!$B$37="Confirmed",'Data entry'!$B$37="Probable")),"sx","")</f>
        <v/>
      </c>
      <c r="AX99" t="str">
        <f>IF(AND(AX$4='Data entry'!$R$37, OR('Data entry'!$B$37="Confirmed",'Data entry'!$B$37="Probable")),"sx","")</f>
        <v/>
      </c>
      <c r="AY99" t="str">
        <f>IF(AND(AY$4='Data entry'!$R$37, OR('Data entry'!$B$37="Confirmed",'Data entry'!$B$37="Probable")),"sx","")</f>
        <v/>
      </c>
      <c r="AZ99" t="str">
        <f>IF(AND(AZ$4='Data entry'!$R$37, OR('Data entry'!$B$37="Confirmed",'Data entry'!$B$37="Probable")),"sx","")</f>
        <v/>
      </c>
      <c r="BA99" t="str">
        <f>IF(AND(BA$4='Data entry'!$R$37, OR('Data entry'!$B$37="Confirmed",'Data entry'!$B$37="Probable")),"sx","")</f>
        <v/>
      </c>
      <c r="BB99" t="str">
        <f>IF(AND(BB$4='Data entry'!$R$37, OR('Data entry'!$B$37="Confirmed",'Data entry'!$B$37="Probable")),"sx","")</f>
        <v/>
      </c>
      <c r="BC99" t="str">
        <f>IF(AND(BC$4='Data entry'!$R$37, OR('Data entry'!$B$37="Confirmed",'Data entry'!$B$37="Probable")),"sx","")</f>
        <v/>
      </c>
      <c r="BD99" t="str">
        <f>IF(AND(BD$4='Data entry'!$R$37, OR('Data entry'!$B$37="Confirmed",'Data entry'!$B$37="Probable")),"sx","")</f>
        <v/>
      </c>
      <c r="BE99" t="str">
        <f>IF(AND(BE$4='Data entry'!$R$37, OR('Data entry'!$B$37="Confirmed",'Data entry'!$B$37="Probable")),"sx","")</f>
        <v/>
      </c>
      <c r="BF99" t="str">
        <f>IF(AND(BF$4='Data entry'!$R$37, OR('Data entry'!$B$37="Confirmed",'Data entry'!$B$37="Probable")),"sx","")</f>
        <v/>
      </c>
      <c r="BG99" t="str">
        <f>IF(AND(BG$4='Data entry'!$R$37, OR('Data entry'!$B$37="Confirmed",'Data entry'!$B$37="Probable")),"sx","")</f>
        <v/>
      </c>
      <c r="BH99" t="str">
        <f>IF(AND(BH$4='Data entry'!$R$37, OR('Data entry'!$B$37="Confirmed",'Data entry'!$B$37="Probable")),"sx","")</f>
        <v/>
      </c>
      <c r="BI99" t="str">
        <f>IF(AND(BI$4='Data entry'!$R$37, OR('Data entry'!$B$37="Confirmed",'Data entry'!$B$37="Probable")),"sx","")</f>
        <v/>
      </c>
      <c r="BJ99" t="str">
        <f>IF(AND(BJ$4='Data entry'!$R$37, OR('Data entry'!$B$37="Confirmed",'Data entry'!$B$37="Probable")),"sx","")</f>
        <v/>
      </c>
      <c r="BK99" t="str">
        <f>IF(AND(BK$4='Data entry'!$R$37, OR('Data entry'!$B$37="Confirmed",'Data entry'!$B$37="Probable")),"sx","")</f>
        <v/>
      </c>
      <c r="BL99" t="str">
        <f>IF(AND(BL$4='Data entry'!$R$37, OR('Data entry'!$B$37="Confirmed",'Data entry'!$B$37="Probable")),"sx","")</f>
        <v/>
      </c>
      <c r="BM99" t="str">
        <f>IF(AND(BM$4='Data entry'!$R$37, OR('Data entry'!$B$37="Confirmed",'Data entry'!$B$37="Probable")),"sx","")</f>
        <v/>
      </c>
      <c r="BN99" t="str">
        <f>IF(AND(BN$4='Data entry'!$R$37, OR('Data entry'!$B$37="Confirmed",'Data entry'!$B$37="Probable")),"sx","")</f>
        <v/>
      </c>
      <c r="BO99" t="str">
        <f>IF(AND(BO$4='Data entry'!$R$37, OR('Data entry'!$B$37="Confirmed",'Data entry'!$B$37="Probable")),"sx","")</f>
        <v/>
      </c>
      <c r="BP99" t="str">
        <f>IF(AND(BP$4='Data entry'!$R$37, OR('Data entry'!$B$37="Confirmed",'Data entry'!$B$37="Probable")),"sx","")</f>
        <v/>
      </c>
      <c r="BQ99" t="str">
        <f>IF(AND(BQ$4='Data entry'!$R$37, OR('Data entry'!$B$37="Confirmed",'Data entry'!$B$37="Probable")),"sx","")</f>
        <v/>
      </c>
      <c r="BR99" t="str">
        <f>IF(AND(BR$4='Data entry'!$R$37, OR('Data entry'!$B$37="Confirmed",'Data entry'!$B$37="Probable")),"sx","")</f>
        <v/>
      </c>
      <c r="BS99" t="str">
        <f>IF(AND(BS$4='Data entry'!$R$37, OR('Data entry'!$B$37="Confirmed",'Data entry'!$B$37="Probable")),"sx","")</f>
        <v/>
      </c>
      <c r="BT99" t="str">
        <f>IF(AND(BT$4='Data entry'!$R$37, OR('Data entry'!$B$37="Confirmed",'Data entry'!$B$37="Probable")),"sx","")</f>
        <v/>
      </c>
      <c r="BU99" t="str">
        <f>IF(AND(BU$4='Data entry'!$R$37, OR('Data entry'!$B$37="Confirmed",'Data entry'!$B$37="Probable")),"sx","")</f>
        <v/>
      </c>
      <c r="BV99" t="str">
        <f>IF(AND(BV$4='Data entry'!$R$37, OR('Data entry'!$B$37="Confirmed",'Data entry'!$B$37="Probable")),"sx","")</f>
        <v/>
      </c>
      <c r="BW99" t="str">
        <f>IF(AND(BW$4='Data entry'!$R$37, OR('Data entry'!$B$37="Confirmed",'Data entry'!$B$37="Probable")),"sx","")</f>
        <v/>
      </c>
      <c r="BX99" t="str">
        <f>IF(AND(BX$4='Data entry'!$R$37, OR('Data entry'!$B$37="Confirmed",'Data entry'!$B$37="Probable")),"sx","")</f>
        <v/>
      </c>
      <c r="BY99" t="str">
        <f>IF(AND(BY$4='Data entry'!$R$37, OR('Data entry'!$B$37="Confirmed",'Data entry'!$B$37="Probable")),"sx","")</f>
        <v/>
      </c>
      <c r="BZ99" t="str">
        <f>IF(AND(BZ$4='Data entry'!$R$37, OR('Data entry'!$B$37="Confirmed",'Data entry'!$B$37="Probable")),"sx","")</f>
        <v/>
      </c>
      <c r="CA99" t="str">
        <f>IF(AND(CA$4='Data entry'!$R$37, OR('Data entry'!$B$37="Confirmed",'Data entry'!$B$37="Probable")),"sx","")</f>
        <v/>
      </c>
      <c r="CB99" t="str">
        <f>IF(AND(CB$4='Data entry'!$R$37, OR('Data entry'!$B$37="Confirmed",'Data entry'!$B$37="Probable")),"sx","")</f>
        <v/>
      </c>
      <c r="CC99" t="str">
        <f>IF(AND(CC$4='Data entry'!$R$37, OR('Data entry'!$B$37="Confirmed",'Data entry'!$B$37="Probable")),"sx","")</f>
        <v/>
      </c>
    </row>
    <row r="100" spans="1:81" s="64" customFormat="1" ht="2.25" customHeight="1" thickBot="1" x14ac:dyDescent="0.25">
      <c r="A100" s="671"/>
      <c r="B100" s="672"/>
      <c r="C100" s="69"/>
    </row>
    <row r="101" spans="1:81" s="63" customFormat="1" ht="15.75" thickTop="1" x14ac:dyDescent="0.2">
      <c r="A101" s="670" t="str">
        <f>CONCATENATE('Data entry'!J38, " ", 'Data entry'!I38)</f>
        <v xml:space="preserve"> </v>
      </c>
      <c r="B101" s="670"/>
      <c r="C101" s="67"/>
    </row>
    <row r="102" spans="1:81" x14ac:dyDescent="0.2">
      <c r="A102" s="668" t="str">
        <f>CONCATENATE('Data entry'!B38, ", ", 'Data entry'!AO38, ", ", 'Data entry'!AR38)</f>
        <v xml:space="preserve">, , </v>
      </c>
      <c r="B102" s="668"/>
      <c r="C102" s="68"/>
      <c r="Q102" t="str">
        <f>IF(AND(Q$4='Data entry'!$R$38, OR('Data entry'!$B$38="Confirmed",'Data entry'!$B$38="Probable")),"sx","")</f>
        <v/>
      </c>
      <c r="R102" t="str">
        <f>IF(AND(R$4='Data entry'!$R$38, OR('Data entry'!$B$38="Confirmed",'Data entry'!$B$38="Probable")),"sx","")</f>
        <v/>
      </c>
      <c r="S102" t="str">
        <f>IF(AND(S$4='Data entry'!$R$38, OR('Data entry'!$B$38="Confirmed",'Data entry'!$B$38="Probable")),"sx","")</f>
        <v/>
      </c>
      <c r="T102" t="str">
        <f>IF(AND(T$4='Data entry'!$R$38, OR('Data entry'!$B$38="Confirmed",'Data entry'!$B$38="Probable")),"sx","")</f>
        <v/>
      </c>
      <c r="U102" t="str">
        <f>IF(AND(U$4='Data entry'!$R$38, OR('Data entry'!$B$38="Confirmed",'Data entry'!$B$38="Probable")),"sx","")</f>
        <v/>
      </c>
      <c r="V102" t="str">
        <f>IF(AND(V$4='Data entry'!$R$38, OR('Data entry'!$B$38="Confirmed",'Data entry'!$B$38="Probable")),"sx","")</f>
        <v/>
      </c>
      <c r="W102" t="str">
        <f>IF(AND(W$4='Data entry'!$R$38, OR('Data entry'!$B$38="Confirmed",'Data entry'!$B$38="Probable")),"sx","")</f>
        <v/>
      </c>
      <c r="X102" t="str">
        <f>IF(AND(X$4='Data entry'!$R$38, OR('Data entry'!$B$38="Confirmed",'Data entry'!$B$38="Probable")),"sx","")</f>
        <v/>
      </c>
      <c r="Y102" t="str">
        <f>IF(AND(Y$4='Data entry'!$R$38, OR('Data entry'!$B$38="Confirmed",'Data entry'!$B$38="Probable")),"sx","")</f>
        <v/>
      </c>
      <c r="Z102" t="str">
        <f>IF(AND(Z$4='Data entry'!$R$38, OR('Data entry'!$B$38="Confirmed",'Data entry'!$B$38="Probable")),"sx","")</f>
        <v/>
      </c>
      <c r="AA102" t="str">
        <f>IF(AND(AA$4='Data entry'!$R$38, OR('Data entry'!$B$38="Confirmed",'Data entry'!$B$38="Probable")),"sx","")</f>
        <v/>
      </c>
      <c r="AB102" t="str">
        <f>IF(AND(AB$4='Data entry'!$R$38, OR('Data entry'!$B$38="Confirmed",'Data entry'!$B$38="Probable")),"sx","")</f>
        <v/>
      </c>
      <c r="AC102" t="str">
        <f>IF(AND(AC$4='Data entry'!$R$38, OR('Data entry'!$B$38="Confirmed",'Data entry'!$B$38="Probable")),"sx","")</f>
        <v/>
      </c>
      <c r="AD102" t="str">
        <f>IF(AND(AD$4='Data entry'!$R$38, OR('Data entry'!$B$38="Confirmed",'Data entry'!$B$38="Probable")),"sx","")</f>
        <v/>
      </c>
      <c r="AE102" t="str">
        <f>IF(AND(AE$4='Data entry'!$R$38, OR('Data entry'!$B$38="Confirmed",'Data entry'!$B$38="Probable")),"sx","")</f>
        <v/>
      </c>
      <c r="AF102" t="str">
        <f>IF(AND(AF$4='Data entry'!$R$38, OR('Data entry'!$B$38="Confirmed",'Data entry'!$B$38="Probable")),"sx","")</f>
        <v/>
      </c>
      <c r="AG102" t="str">
        <f>IF(AND(AG$4='Data entry'!$R$38, OR('Data entry'!$B$38="Confirmed",'Data entry'!$B$38="Probable")),"sx","")</f>
        <v/>
      </c>
      <c r="AH102" t="str">
        <f>IF(AND(AH$4='Data entry'!$R$38, OR('Data entry'!$B$38="Confirmed",'Data entry'!$B$38="Probable")),"sx","")</f>
        <v/>
      </c>
      <c r="AI102" t="str">
        <f>IF(AND(AI$4='Data entry'!$R$38, OR('Data entry'!$B$38="Confirmed",'Data entry'!$B$38="Probable")),"sx","")</f>
        <v/>
      </c>
      <c r="AJ102" t="str">
        <f>IF(AND(AJ$4='Data entry'!$R$38, OR('Data entry'!$B$38="Confirmed",'Data entry'!$B$38="Probable")),"sx","")</f>
        <v/>
      </c>
      <c r="AK102" t="str">
        <f>IF(AND(AK$4='Data entry'!$R$38, OR('Data entry'!$B$38="Confirmed",'Data entry'!$B$38="Probable")),"sx","")</f>
        <v/>
      </c>
      <c r="AL102" t="str">
        <f>IF(AND(AL$4='Data entry'!$R$38, OR('Data entry'!$B$38="Confirmed",'Data entry'!$B$38="Probable")),"sx","")</f>
        <v/>
      </c>
      <c r="AM102" t="str">
        <f>IF(AND(AM$4='Data entry'!$R$38, OR('Data entry'!$B$38="Confirmed",'Data entry'!$B$38="Probable")),"sx","")</f>
        <v/>
      </c>
      <c r="AN102" t="str">
        <f>IF(AND(AN$4='Data entry'!$R$38, OR('Data entry'!$B$38="Confirmed",'Data entry'!$B$38="Probable")),"sx","")</f>
        <v/>
      </c>
      <c r="AO102" t="str">
        <f>IF(AND(AO$4='Data entry'!$R$38, OR('Data entry'!$B$38="Confirmed",'Data entry'!$B$38="Probable")),"sx","")</f>
        <v/>
      </c>
      <c r="AP102" t="str">
        <f>IF(AND(AP$4='Data entry'!$R$38, OR('Data entry'!$B$38="Confirmed",'Data entry'!$B$38="Probable")),"sx","")</f>
        <v/>
      </c>
      <c r="AQ102" t="str">
        <f>IF(AND(AQ$4='Data entry'!$R$38, OR('Data entry'!$B$38="Confirmed",'Data entry'!$B$38="Probable")),"sx","")</f>
        <v/>
      </c>
      <c r="AR102" t="str">
        <f>IF(AND(AR$4='Data entry'!$R$38, OR('Data entry'!$B$38="Confirmed",'Data entry'!$B$38="Probable")),"sx","")</f>
        <v/>
      </c>
      <c r="AS102" t="str">
        <f>IF(AND(AS$4='Data entry'!$R$38, OR('Data entry'!$B$38="Confirmed",'Data entry'!$B$38="Probable")),"sx","")</f>
        <v/>
      </c>
      <c r="AT102" t="str">
        <f>IF(AND(AT$4='Data entry'!$R$38, OR('Data entry'!$B$38="Confirmed",'Data entry'!$B$38="Probable")),"sx","")</f>
        <v/>
      </c>
      <c r="AU102" t="str">
        <f>IF(AND(AU$4='Data entry'!$R$38, OR('Data entry'!$B$38="Confirmed",'Data entry'!$B$38="Probable")),"sx","")</f>
        <v/>
      </c>
      <c r="AV102" t="str">
        <f>IF(AND(AV$4='Data entry'!$R$38, OR('Data entry'!$B$38="Confirmed",'Data entry'!$B$38="Probable")),"sx","")</f>
        <v/>
      </c>
      <c r="AW102" t="str">
        <f>IF(AND(AW$4='Data entry'!$R$38, OR('Data entry'!$B$38="Confirmed",'Data entry'!$B$38="Probable")),"sx","")</f>
        <v/>
      </c>
      <c r="AX102" t="str">
        <f>IF(AND(AX$4='Data entry'!$R$38, OR('Data entry'!$B$38="Confirmed",'Data entry'!$B$38="Probable")),"sx","")</f>
        <v/>
      </c>
      <c r="AY102" t="str">
        <f>IF(AND(AY$4='Data entry'!$R$38, OR('Data entry'!$B$38="Confirmed",'Data entry'!$B$38="Probable")),"sx","")</f>
        <v/>
      </c>
      <c r="AZ102" t="str">
        <f>IF(AND(AZ$4='Data entry'!$R$38, OR('Data entry'!$B$38="Confirmed",'Data entry'!$B$38="Probable")),"sx","")</f>
        <v/>
      </c>
      <c r="BA102" t="str">
        <f>IF(AND(BA$4='Data entry'!$R$38, OR('Data entry'!$B$38="Confirmed",'Data entry'!$B$38="Probable")),"sx","")</f>
        <v/>
      </c>
      <c r="BB102" t="str">
        <f>IF(AND(BB$4='Data entry'!$R$38, OR('Data entry'!$B$38="Confirmed",'Data entry'!$B$38="Probable")),"sx","")</f>
        <v/>
      </c>
      <c r="BC102" t="str">
        <f>IF(AND(BC$4='Data entry'!$R$38, OR('Data entry'!$B$38="Confirmed",'Data entry'!$B$38="Probable")),"sx","")</f>
        <v/>
      </c>
      <c r="BD102" t="str">
        <f>IF(AND(BD$4='Data entry'!$R$38, OR('Data entry'!$B$38="Confirmed",'Data entry'!$B$38="Probable")),"sx","")</f>
        <v/>
      </c>
      <c r="BE102" t="str">
        <f>IF(AND(BE$4='Data entry'!$R$38, OR('Data entry'!$B$38="Confirmed",'Data entry'!$B$38="Probable")),"sx","")</f>
        <v/>
      </c>
      <c r="BF102" t="str">
        <f>IF(AND(BF$4='Data entry'!$R$38, OR('Data entry'!$B$38="Confirmed",'Data entry'!$B$38="Probable")),"sx","")</f>
        <v/>
      </c>
      <c r="BG102" t="str">
        <f>IF(AND(BG$4='Data entry'!$R$38, OR('Data entry'!$B$38="Confirmed",'Data entry'!$B$38="Probable")),"sx","")</f>
        <v/>
      </c>
      <c r="BH102" t="str">
        <f>IF(AND(BH$4='Data entry'!$R$38, OR('Data entry'!$B$38="Confirmed",'Data entry'!$B$38="Probable")),"sx","")</f>
        <v/>
      </c>
      <c r="BI102" t="str">
        <f>IF(AND(BI$4='Data entry'!$R$38, OR('Data entry'!$B$38="Confirmed",'Data entry'!$B$38="Probable")),"sx","")</f>
        <v/>
      </c>
      <c r="BJ102" t="str">
        <f>IF(AND(BJ$4='Data entry'!$R$38, OR('Data entry'!$B$38="Confirmed",'Data entry'!$B$38="Probable")),"sx","")</f>
        <v/>
      </c>
      <c r="BK102" t="str">
        <f>IF(AND(BK$4='Data entry'!$R$38, OR('Data entry'!$B$38="Confirmed",'Data entry'!$B$38="Probable")),"sx","")</f>
        <v/>
      </c>
      <c r="BL102" t="str">
        <f>IF(AND(BL$4='Data entry'!$R$38, OR('Data entry'!$B$38="Confirmed",'Data entry'!$B$38="Probable")),"sx","")</f>
        <v/>
      </c>
      <c r="BM102" t="str">
        <f>IF(AND(BM$4='Data entry'!$R$38, OR('Data entry'!$B$38="Confirmed",'Data entry'!$B$38="Probable")),"sx","")</f>
        <v/>
      </c>
      <c r="BN102" t="str">
        <f>IF(AND(BN$4='Data entry'!$R$38, OR('Data entry'!$B$38="Confirmed",'Data entry'!$B$38="Probable")),"sx","")</f>
        <v/>
      </c>
      <c r="BO102" t="str">
        <f>IF(AND(BO$4='Data entry'!$R$38, OR('Data entry'!$B$38="Confirmed",'Data entry'!$B$38="Probable")),"sx","")</f>
        <v/>
      </c>
      <c r="BP102" t="str">
        <f>IF(AND(BP$4='Data entry'!$R$38, OR('Data entry'!$B$38="Confirmed",'Data entry'!$B$38="Probable")),"sx","")</f>
        <v/>
      </c>
      <c r="BQ102" t="str">
        <f>IF(AND(BQ$4='Data entry'!$R$38, OR('Data entry'!$B$38="Confirmed",'Data entry'!$B$38="Probable")),"sx","")</f>
        <v/>
      </c>
      <c r="BR102" t="str">
        <f>IF(AND(BR$4='Data entry'!$R$38, OR('Data entry'!$B$38="Confirmed",'Data entry'!$B$38="Probable")),"sx","")</f>
        <v/>
      </c>
      <c r="BS102" t="str">
        <f>IF(AND(BS$4='Data entry'!$R$38, OR('Data entry'!$B$38="Confirmed",'Data entry'!$B$38="Probable")),"sx","")</f>
        <v/>
      </c>
      <c r="BT102" t="str">
        <f>IF(AND(BT$4='Data entry'!$R$38, OR('Data entry'!$B$38="Confirmed",'Data entry'!$B$38="Probable")),"sx","")</f>
        <v/>
      </c>
      <c r="BU102" t="str">
        <f>IF(AND(BU$4='Data entry'!$R$38, OR('Data entry'!$B$38="Confirmed",'Data entry'!$B$38="Probable")),"sx","")</f>
        <v/>
      </c>
      <c r="BV102" t="str">
        <f>IF(AND(BV$4='Data entry'!$R$38, OR('Data entry'!$B$38="Confirmed",'Data entry'!$B$38="Probable")),"sx","")</f>
        <v/>
      </c>
      <c r="BW102" t="str">
        <f>IF(AND(BW$4='Data entry'!$R$38, OR('Data entry'!$B$38="Confirmed",'Data entry'!$B$38="Probable")),"sx","")</f>
        <v/>
      </c>
      <c r="BX102" t="str">
        <f>IF(AND(BX$4='Data entry'!$R$38, OR('Data entry'!$B$38="Confirmed",'Data entry'!$B$38="Probable")),"sx","")</f>
        <v/>
      </c>
      <c r="BY102" t="str">
        <f>IF(AND(BY$4='Data entry'!$R$38, OR('Data entry'!$B$38="Confirmed",'Data entry'!$B$38="Probable")),"sx","")</f>
        <v/>
      </c>
      <c r="BZ102" t="str">
        <f>IF(AND(BZ$4='Data entry'!$R$38, OR('Data entry'!$B$38="Confirmed",'Data entry'!$B$38="Probable")),"sx","")</f>
        <v/>
      </c>
      <c r="CA102" t="str">
        <f>IF(AND(CA$4='Data entry'!$R$38, OR('Data entry'!$B$38="Confirmed",'Data entry'!$B$38="Probable")),"sx","")</f>
        <v/>
      </c>
      <c r="CB102" t="str">
        <f>IF(AND(CB$4='Data entry'!$R$38, OR('Data entry'!$B$38="Confirmed",'Data entry'!$B$38="Probable")),"sx","")</f>
        <v/>
      </c>
      <c r="CC102" t="str">
        <f>IF(AND(CC$4='Data entry'!$R$38, OR('Data entry'!$B$38="Confirmed",'Data entry'!$B$38="Probable")),"sx","")</f>
        <v/>
      </c>
    </row>
    <row r="103" spans="1:81" s="64" customFormat="1" ht="2.25" customHeight="1" thickBot="1" x14ac:dyDescent="0.25">
      <c r="A103" s="671"/>
      <c r="B103" s="672"/>
      <c r="C103" s="69"/>
    </row>
    <row r="104" spans="1:81" s="63" customFormat="1" ht="15.75" thickTop="1" x14ac:dyDescent="0.2">
      <c r="A104" s="670" t="str">
        <f>CONCATENATE('Data entry'!J39, " ", 'Data entry'!I39)</f>
        <v xml:space="preserve"> </v>
      </c>
      <c r="B104" s="670"/>
      <c r="C104" s="67"/>
    </row>
    <row r="105" spans="1:81" x14ac:dyDescent="0.2">
      <c r="A105" s="668" t="str">
        <f>CONCATENATE('Data entry'!B39, ", ", 'Data entry'!AO39, ", ", 'Data entry'!AR39)</f>
        <v xml:space="preserve">, , </v>
      </c>
      <c r="B105" s="668"/>
      <c r="C105" s="68"/>
      <c r="Q105" t="str">
        <f>IF(AND(Q$4='Data entry'!$R$39, OR('Data entry'!$B$39="Confirmed",'Data entry'!$B$39="Probable")),"sx","")</f>
        <v/>
      </c>
      <c r="R105" t="str">
        <f>IF(AND(R$4='Data entry'!$R$39, OR('Data entry'!$B$39="Confirmed",'Data entry'!$B$39="Probable")),"sx","")</f>
        <v/>
      </c>
      <c r="S105" t="str">
        <f>IF(AND(S$4='Data entry'!$R$39, OR('Data entry'!$B$39="Confirmed",'Data entry'!$B$39="Probable")),"sx","")</f>
        <v/>
      </c>
      <c r="T105" t="str">
        <f>IF(AND(T$4='Data entry'!$R$39, OR('Data entry'!$B$39="Confirmed",'Data entry'!$B$39="Probable")),"sx","")</f>
        <v/>
      </c>
      <c r="U105" t="str">
        <f>IF(AND(U$4='Data entry'!$R$39, OR('Data entry'!$B$39="Confirmed",'Data entry'!$B$39="Probable")),"sx","")</f>
        <v/>
      </c>
      <c r="V105" t="str">
        <f>IF(AND(V$4='Data entry'!$R$39, OR('Data entry'!$B$39="Confirmed",'Data entry'!$B$39="Probable")),"sx","")</f>
        <v/>
      </c>
      <c r="W105" t="str">
        <f>IF(AND(W$4='Data entry'!$R$39, OR('Data entry'!$B$39="Confirmed",'Data entry'!$B$39="Probable")),"sx","")</f>
        <v/>
      </c>
      <c r="X105" t="str">
        <f>IF(AND(X$4='Data entry'!$R$39, OR('Data entry'!$B$39="Confirmed",'Data entry'!$B$39="Probable")),"sx","")</f>
        <v/>
      </c>
      <c r="Y105" t="str">
        <f>IF(AND(Y$4='Data entry'!$R$39, OR('Data entry'!$B$39="Confirmed",'Data entry'!$B$39="Probable")),"sx","")</f>
        <v/>
      </c>
      <c r="Z105" t="str">
        <f>IF(AND(Z$4='Data entry'!$R$39, OR('Data entry'!$B$39="Confirmed",'Data entry'!$B$39="Probable")),"sx","")</f>
        <v/>
      </c>
      <c r="AA105" t="str">
        <f>IF(AND(AA$4='Data entry'!$R$39, OR('Data entry'!$B$39="Confirmed",'Data entry'!$B$39="Probable")),"sx","")</f>
        <v/>
      </c>
      <c r="AB105" t="str">
        <f>IF(AND(AB$4='Data entry'!$R$39, OR('Data entry'!$B$39="Confirmed",'Data entry'!$B$39="Probable")),"sx","")</f>
        <v/>
      </c>
      <c r="AC105" t="str">
        <f>IF(AND(AC$4='Data entry'!$R$39, OR('Data entry'!$B$39="Confirmed",'Data entry'!$B$39="Probable")),"sx","")</f>
        <v/>
      </c>
      <c r="AD105" t="str">
        <f>IF(AND(AD$4='Data entry'!$R$39, OR('Data entry'!$B$39="Confirmed",'Data entry'!$B$39="Probable")),"sx","")</f>
        <v/>
      </c>
      <c r="AE105" t="str">
        <f>IF(AND(AE$4='Data entry'!$R$39, OR('Data entry'!$B$39="Confirmed",'Data entry'!$B$39="Probable")),"sx","")</f>
        <v/>
      </c>
      <c r="AF105" t="str">
        <f>IF(AND(AF$4='Data entry'!$R$39, OR('Data entry'!$B$39="Confirmed",'Data entry'!$B$39="Probable")),"sx","")</f>
        <v/>
      </c>
      <c r="AG105" t="str">
        <f>IF(AND(AG$4='Data entry'!$R$39, OR('Data entry'!$B$39="Confirmed",'Data entry'!$B$39="Probable")),"sx","")</f>
        <v/>
      </c>
      <c r="AH105" t="str">
        <f>IF(AND(AH$4='Data entry'!$R$39, OR('Data entry'!$B$39="Confirmed",'Data entry'!$B$39="Probable")),"sx","")</f>
        <v/>
      </c>
      <c r="AI105" t="str">
        <f>IF(AND(AI$4='Data entry'!$R$39, OR('Data entry'!$B$39="Confirmed",'Data entry'!$B$39="Probable")),"sx","")</f>
        <v/>
      </c>
      <c r="AJ105" t="str">
        <f>IF(AND(AJ$4='Data entry'!$R$39, OR('Data entry'!$B$39="Confirmed",'Data entry'!$B$39="Probable")),"sx","")</f>
        <v/>
      </c>
      <c r="AK105" t="str">
        <f>IF(AND(AK$4='Data entry'!$R$39, OR('Data entry'!$B$39="Confirmed",'Data entry'!$B$39="Probable")),"sx","")</f>
        <v/>
      </c>
      <c r="AL105" t="str">
        <f>IF(AND(AL$4='Data entry'!$R$39, OR('Data entry'!$B$39="Confirmed",'Data entry'!$B$39="Probable")),"sx","")</f>
        <v/>
      </c>
      <c r="AM105" t="str">
        <f>IF(AND(AM$4='Data entry'!$R$39, OR('Data entry'!$B$39="Confirmed",'Data entry'!$B$39="Probable")),"sx","")</f>
        <v/>
      </c>
      <c r="AN105" t="str">
        <f>IF(AND(AN$4='Data entry'!$R$39, OR('Data entry'!$B$39="Confirmed",'Data entry'!$B$39="Probable")),"sx","")</f>
        <v/>
      </c>
      <c r="AO105" t="str">
        <f>IF(AND(AO$4='Data entry'!$R$39, OR('Data entry'!$B$39="Confirmed",'Data entry'!$B$39="Probable")),"sx","")</f>
        <v/>
      </c>
      <c r="AP105" t="str">
        <f>IF(AND(AP$4='Data entry'!$R$39, OR('Data entry'!$B$39="Confirmed",'Data entry'!$B$39="Probable")),"sx","")</f>
        <v/>
      </c>
      <c r="AQ105" t="str">
        <f>IF(AND(AQ$4='Data entry'!$R$39, OR('Data entry'!$B$39="Confirmed",'Data entry'!$B$39="Probable")),"sx","")</f>
        <v/>
      </c>
      <c r="AR105" t="str">
        <f>IF(AND(AR$4='Data entry'!$R$39, OR('Data entry'!$B$39="Confirmed",'Data entry'!$B$39="Probable")),"sx","")</f>
        <v/>
      </c>
      <c r="AS105" t="str">
        <f>IF(AND(AS$4='Data entry'!$R$39, OR('Data entry'!$B$39="Confirmed",'Data entry'!$B$39="Probable")),"sx","")</f>
        <v/>
      </c>
      <c r="AT105" t="str">
        <f>IF(AND(AT$4='Data entry'!$R$39, OR('Data entry'!$B$39="Confirmed",'Data entry'!$B$39="Probable")),"sx","")</f>
        <v/>
      </c>
      <c r="AU105" t="str">
        <f>IF(AND(AU$4='Data entry'!$R$39, OR('Data entry'!$B$39="Confirmed",'Data entry'!$B$39="Probable")),"sx","")</f>
        <v/>
      </c>
      <c r="AV105" t="str">
        <f>IF(AND(AV$4='Data entry'!$R$39, OR('Data entry'!$B$39="Confirmed",'Data entry'!$B$39="Probable")),"sx","")</f>
        <v/>
      </c>
      <c r="AW105" t="str">
        <f>IF(AND(AW$4='Data entry'!$R$39, OR('Data entry'!$B$39="Confirmed",'Data entry'!$B$39="Probable")),"sx","")</f>
        <v/>
      </c>
      <c r="AX105" t="str">
        <f>IF(AND(AX$4='Data entry'!$R$39, OR('Data entry'!$B$39="Confirmed",'Data entry'!$B$39="Probable")),"sx","")</f>
        <v/>
      </c>
      <c r="AY105" t="str">
        <f>IF(AND(AY$4='Data entry'!$R$39, OR('Data entry'!$B$39="Confirmed",'Data entry'!$B$39="Probable")),"sx","")</f>
        <v/>
      </c>
      <c r="AZ105" t="str">
        <f>IF(AND(AZ$4='Data entry'!$R$39, OR('Data entry'!$B$39="Confirmed",'Data entry'!$B$39="Probable")),"sx","")</f>
        <v/>
      </c>
      <c r="BA105" t="str">
        <f>IF(AND(BA$4='Data entry'!$R$39, OR('Data entry'!$B$39="Confirmed",'Data entry'!$B$39="Probable")),"sx","")</f>
        <v/>
      </c>
      <c r="BB105" t="str">
        <f>IF(AND(BB$4='Data entry'!$R$39, OR('Data entry'!$B$39="Confirmed",'Data entry'!$B$39="Probable")),"sx","")</f>
        <v/>
      </c>
      <c r="BC105" t="str">
        <f>IF(AND(BC$4='Data entry'!$R$39, OR('Data entry'!$B$39="Confirmed",'Data entry'!$B$39="Probable")),"sx","")</f>
        <v/>
      </c>
      <c r="BD105" t="str">
        <f>IF(AND(BD$4='Data entry'!$R$39, OR('Data entry'!$B$39="Confirmed",'Data entry'!$B$39="Probable")),"sx","")</f>
        <v/>
      </c>
      <c r="BE105" t="str">
        <f>IF(AND(BE$4='Data entry'!$R$39, OR('Data entry'!$B$39="Confirmed",'Data entry'!$B$39="Probable")),"sx","")</f>
        <v/>
      </c>
      <c r="BF105" t="str">
        <f>IF(AND(BF$4='Data entry'!$R$39, OR('Data entry'!$B$39="Confirmed",'Data entry'!$B$39="Probable")),"sx","")</f>
        <v/>
      </c>
      <c r="BG105" t="str">
        <f>IF(AND(BG$4='Data entry'!$R$39, OR('Data entry'!$B$39="Confirmed",'Data entry'!$B$39="Probable")),"sx","")</f>
        <v/>
      </c>
      <c r="BH105" t="str">
        <f>IF(AND(BH$4='Data entry'!$R$39, OR('Data entry'!$B$39="Confirmed",'Data entry'!$B$39="Probable")),"sx","")</f>
        <v/>
      </c>
      <c r="BI105" t="str">
        <f>IF(AND(BI$4='Data entry'!$R$39, OR('Data entry'!$B$39="Confirmed",'Data entry'!$B$39="Probable")),"sx","")</f>
        <v/>
      </c>
      <c r="BJ105" t="str">
        <f>IF(AND(BJ$4='Data entry'!$R$39, OR('Data entry'!$B$39="Confirmed",'Data entry'!$B$39="Probable")),"sx","")</f>
        <v/>
      </c>
      <c r="BK105" t="str">
        <f>IF(AND(BK$4='Data entry'!$R$39, OR('Data entry'!$B$39="Confirmed",'Data entry'!$B$39="Probable")),"sx","")</f>
        <v/>
      </c>
      <c r="BL105" t="str">
        <f>IF(AND(BL$4='Data entry'!$R$39, OR('Data entry'!$B$39="Confirmed",'Data entry'!$B$39="Probable")),"sx","")</f>
        <v/>
      </c>
      <c r="BM105" t="str">
        <f>IF(AND(BM$4='Data entry'!$R$39, OR('Data entry'!$B$39="Confirmed",'Data entry'!$B$39="Probable")),"sx","")</f>
        <v/>
      </c>
      <c r="BN105" t="str">
        <f>IF(AND(BN$4='Data entry'!$R$39, OR('Data entry'!$B$39="Confirmed",'Data entry'!$B$39="Probable")),"sx","")</f>
        <v/>
      </c>
      <c r="BO105" t="str">
        <f>IF(AND(BO$4='Data entry'!$R$39, OR('Data entry'!$B$39="Confirmed",'Data entry'!$B$39="Probable")),"sx","")</f>
        <v/>
      </c>
      <c r="BP105" t="str">
        <f>IF(AND(BP$4='Data entry'!$R$39, OR('Data entry'!$B$39="Confirmed",'Data entry'!$B$39="Probable")),"sx","")</f>
        <v/>
      </c>
      <c r="BQ105" t="str">
        <f>IF(AND(BQ$4='Data entry'!$R$39, OR('Data entry'!$B$39="Confirmed",'Data entry'!$B$39="Probable")),"sx","")</f>
        <v/>
      </c>
      <c r="BR105" t="str">
        <f>IF(AND(BR$4='Data entry'!$R$39, OR('Data entry'!$B$39="Confirmed",'Data entry'!$B$39="Probable")),"sx","")</f>
        <v/>
      </c>
      <c r="BS105" t="str">
        <f>IF(AND(BS$4='Data entry'!$R$39, OR('Data entry'!$B$39="Confirmed",'Data entry'!$B$39="Probable")),"sx","")</f>
        <v/>
      </c>
      <c r="BT105" t="str">
        <f>IF(AND(BT$4='Data entry'!$R$39, OR('Data entry'!$B$39="Confirmed",'Data entry'!$B$39="Probable")),"sx","")</f>
        <v/>
      </c>
      <c r="BU105" t="str">
        <f>IF(AND(BU$4='Data entry'!$R$39, OR('Data entry'!$B$39="Confirmed",'Data entry'!$B$39="Probable")),"sx","")</f>
        <v/>
      </c>
      <c r="BV105" t="str">
        <f>IF(AND(BV$4='Data entry'!$R$39, OR('Data entry'!$B$39="Confirmed",'Data entry'!$B$39="Probable")),"sx","")</f>
        <v/>
      </c>
      <c r="BW105" t="str">
        <f>IF(AND(BW$4='Data entry'!$R$39, OR('Data entry'!$B$39="Confirmed",'Data entry'!$B$39="Probable")),"sx","")</f>
        <v/>
      </c>
      <c r="BX105" t="str">
        <f>IF(AND(BX$4='Data entry'!$R$39, OR('Data entry'!$B$39="Confirmed",'Data entry'!$B$39="Probable")),"sx","")</f>
        <v/>
      </c>
      <c r="BY105" t="str">
        <f>IF(AND(BY$4='Data entry'!$R$39, OR('Data entry'!$B$39="Confirmed",'Data entry'!$B$39="Probable")),"sx","")</f>
        <v/>
      </c>
      <c r="BZ105" t="str">
        <f>IF(AND(BZ$4='Data entry'!$R$39, OR('Data entry'!$B$39="Confirmed",'Data entry'!$B$39="Probable")),"sx","")</f>
        <v/>
      </c>
      <c r="CA105" t="str">
        <f>IF(AND(CA$4='Data entry'!$R$39, OR('Data entry'!$B$39="Confirmed",'Data entry'!$B$39="Probable")),"sx","")</f>
        <v/>
      </c>
      <c r="CB105" t="str">
        <f>IF(AND(CB$4='Data entry'!$R$39, OR('Data entry'!$B$39="Confirmed",'Data entry'!$B$39="Probable")),"sx","")</f>
        <v/>
      </c>
      <c r="CC105" t="str">
        <f>IF(AND(CC$4='Data entry'!$R$39, OR('Data entry'!$B$39="Confirmed",'Data entry'!$B$39="Probable")),"sx","")</f>
        <v/>
      </c>
    </row>
    <row r="106" spans="1:81" s="64" customFormat="1" ht="2.25" customHeight="1" thickBot="1" x14ac:dyDescent="0.25">
      <c r="A106" s="671"/>
      <c r="B106" s="672"/>
      <c r="C106" s="69"/>
    </row>
    <row r="107" spans="1:81" s="63" customFormat="1" ht="15.75" thickTop="1" x14ac:dyDescent="0.2">
      <c r="A107" s="670" t="str">
        <f>CONCATENATE('Data entry'!J40, " ", 'Data entry'!I40)</f>
        <v xml:space="preserve"> </v>
      </c>
      <c r="B107" s="670"/>
      <c r="C107" s="67"/>
    </row>
    <row r="108" spans="1:81" x14ac:dyDescent="0.2">
      <c r="A108" s="668" t="str">
        <f>CONCATENATE('Data entry'!B40, ", ", 'Data entry'!AO40, ", ", 'Data entry'!AR40)</f>
        <v xml:space="preserve">, , </v>
      </c>
      <c r="B108" s="668"/>
      <c r="C108" s="68"/>
      <c r="Q108" t="str">
        <f>IF(AND(Q$4='Data entry'!$R$40, OR('Data entry'!$B$40="Confirmed",'Data entry'!$B$40="Probable")),"sx","")</f>
        <v/>
      </c>
      <c r="R108" t="str">
        <f>IF(AND(R$4='Data entry'!$R$40, OR('Data entry'!$B$40="Confirmed",'Data entry'!$B$40="Probable")),"sx","")</f>
        <v/>
      </c>
      <c r="S108" t="str">
        <f>IF(AND(S$4='Data entry'!$R$40, OR('Data entry'!$B$40="Confirmed",'Data entry'!$B$40="Probable")),"sx","")</f>
        <v/>
      </c>
      <c r="T108" t="str">
        <f>IF(AND(T$4='Data entry'!$R$40, OR('Data entry'!$B$40="Confirmed",'Data entry'!$B$40="Probable")),"sx","")</f>
        <v/>
      </c>
      <c r="U108" t="str">
        <f>IF(AND(U$4='Data entry'!$R$40, OR('Data entry'!$B$40="Confirmed",'Data entry'!$B$40="Probable")),"sx","")</f>
        <v/>
      </c>
      <c r="V108" t="str">
        <f>IF(AND(V$4='Data entry'!$R$40, OR('Data entry'!$B$40="Confirmed",'Data entry'!$B$40="Probable")),"sx","")</f>
        <v/>
      </c>
      <c r="W108" t="str">
        <f>IF(AND(W$4='Data entry'!$R$40, OR('Data entry'!$B$40="Confirmed",'Data entry'!$B$40="Probable")),"sx","")</f>
        <v/>
      </c>
      <c r="X108" t="str">
        <f>IF(AND(X$4='Data entry'!$R$40, OR('Data entry'!$B$40="Confirmed",'Data entry'!$B$40="Probable")),"sx","")</f>
        <v/>
      </c>
      <c r="Y108" t="str">
        <f>IF(AND(Y$4='Data entry'!$R$40, OR('Data entry'!$B$40="Confirmed",'Data entry'!$B$40="Probable")),"sx","")</f>
        <v/>
      </c>
      <c r="Z108" t="str">
        <f>IF(AND(Z$4='Data entry'!$R$40, OR('Data entry'!$B$40="Confirmed",'Data entry'!$B$40="Probable")),"sx","")</f>
        <v/>
      </c>
      <c r="AA108" t="str">
        <f>IF(AND(AA$4='Data entry'!$R$40, OR('Data entry'!$B$40="Confirmed",'Data entry'!$B$40="Probable")),"sx","")</f>
        <v/>
      </c>
      <c r="AB108" t="str">
        <f>IF(AND(AB$4='Data entry'!$R$40, OR('Data entry'!$B$40="Confirmed",'Data entry'!$B$40="Probable")),"sx","")</f>
        <v/>
      </c>
      <c r="AC108" t="str">
        <f>IF(AND(AC$4='Data entry'!$R$40, OR('Data entry'!$B$40="Confirmed",'Data entry'!$B$40="Probable")),"sx","")</f>
        <v/>
      </c>
      <c r="AD108" t="str">
        <f>IF(AND(AD$4='Data entry'!$R$40, OR('Data entry'!$B$40="Confirmed",'Data entry'!$B$40="Probable")),"sx","")</f>
        <v/>
      </c>
      <c r="AE108" t="str">
        <f>IF(AND(AE$4='Data entry'!$R$40, OR('Data entry'!$B$40="Confirmed",'Data entry'!$B$40="Probable")),"sx","")</f>
        <v/>
      </c>
      <c r="AF108" t="str">
        <f>IF(AND(AF$4='Data entry'!$R$40, OR('Data entry'!$B$40="Confirmed",'Data entry'!$B$40="Probable")),"sx","")</f>
        <v/>
      </c>
      <c r="AG108" t="str">
        <f>IF(AND(AG$4='Data entry'!$R$40, OR('Data entry'!$B$40="Confirmed",'Data entry'!$B$40="Probable")),"sx","")</f>
        <v/>
      </c>
      <c r="AH108" t="str">
        <f>IF(AND(AH$4='Data entry'!$R$40, OR('Data entry'!$B$40="Confirmed",'Data entry'!$B$40="Probable")),"sx","")</f>
        <v/>
      </c>
      <c r="AI108" t="str">
        <f>IF(AND(AI$4='Data entry'!$R$40, OR('Data entry'!$B$40="Confirmed",'Data entry'!$B$40="Probable")),"sx","")</f>
        <v/>
      </c>
      <c r="AJ108" t="str">
        <f>IF(AND(AJ$4='Data entry'!$R$40, OR('Data entry'!$B$40="Confirmed",'Data entry'!$B$40="Probable")),"sx","")</f>
        <v/>
      </c>
      <c r="AK108" t="str">
        <f>IF(AND(AK$4='Data entry'!$R$40, OR('Data entry'!$B$40="Confirmed",'Data entry'!$B$40="Probable")),"sx","")</f>
        <v/>
      </c>
      <c r="AL108" t="str">
        <f>IF(AND(AL$4='Data entry'!$R$40, OR('Data entry'!$B$40="Confirmed",'Data entry'!$B$40="Probable")),"sx","")</f>
        <v/>
      </c>
      <c r="AM108" t="str">
        <f>IF(AND(AM$4='Data entry'!$R$40, OR('Data entry'!$B$40="Confirmed",'Data entry'!$B$40="Probable")),"sx","")</f>
        <v/>
      </c>
      <c r="AN108" t="str">
        <f>IF(AND(AN$4='Data entry'!$R$40, OR('Data entry'!$B$40="Confirmed",'Data entry'!$B$40="Probable")),"sx","")</f>
        <v/>
      </c>
      <c r="AO108" t="str">
        <f>IF(AND(AO$4='Data entry'!$R$40, OR('Data entry'!$B$40="Confirmed",'Data entry'!$B$40="Probable")),"sx","")</f>
        <v/>
      </c>
      <c r="AP108" t="str">
        <f>IF(AND(AP$4='Data entry'!$R$40, OR('Data entry'!$B$40="Confirmed",'Data entry'!$B$40="Probable")),"sx","")</f>
        <v/>
      </c>
      <c r="AQ108" t="str">
        <f>IF(AND(AQ$4='Data entry'!$R$40, OR('Data entry'!$B$40="Confirmed",'Data entry'!$B$40="Probable")),"sx","")</f>
        <v/>
      </c>
      <c r="AR108" t="str">
        <f>IF(AND(AR$4='Data entry'!$R$40, OR('Data entry'!$B$40="Confirmed",'Data entry'!$B$40="Probable")),"sx","")</f>
        <v/>
      </c>
      <c r="AS108" t="str">
        <f>IF(AND(AS$4='Data entry'!$R$40, OR('Data entry'!$B$40="Confirmed",'Data entry'!$B$40="Probable")),"sx","")</f>
        <v/>
      </c>
      <c r="AT108" t="str">
        <f>IF(AND(AT$4='Data entry'!$R$40, OR('Data entry'!$B$40="Confirmed",'Data entry'!$B$40="Probable")),"sx","")</f>
        <v/>
      </c>
      <c r="AU108" t="str">
        <f>IF(AND(AU$4='Data entry'!$R$40, OR('Data entry'!$B$40="Confirmed",'Data entry'!$B$40="Probable")),"sx","")</f>
        <v/>
      </c>
      <c r="AV108" t="str">
        <f>IF(AND(AV$4='Data entry'!$R$40, OR('Data entry'!$B$40="Confirmed",'Data entry'!$B$40="Probable")),"sx","")</f>
        <v/>
      </c>
      <c r="AW108" t="str">
        <f>IF(AND(AW$4='Data entry'!$R$40, OR('Data entry'!$B$40="Confirmed",'Data entry'!$B$40="Probable")),"sx","")</f>
        <v/>
      </c>
      <c r="AX108" t="str">
        <f>IF(AND(AX$4='Data entry'!$R$40, OR('Data entry'!$B$40="Confirmed",'Data entry'!$B$40="Probable")),"sx","")</f>
        <v/>
      </c>
      <c r="AY108" t="str">
        <f>IF(AND(AY$4='Data entry'!$R$40, OR('Data entry'!$B$40="Confirmed",'Data entry'!$B$40="Probable")),"sx","")</f>
        <v/>
      </c>
      <c r="AZ108" t="str">
        <f>IF(AND(AZ$4='Data entry'!$R$40, OR('Data entry'!$B$40="Confirmed",'Data entry'!$B$40="Probable")),"sx","")</f>
        <v/>
      </c>
      <c r="BA108" t="str">
        <f>IF(AND(BA$4='Data entry'!$R$40, OR('Data entry'!$B$40="Confirmed",'Data entry'!$B$40="Probable")),"sx","")</f>
        <v/>
      </c>
      <c r="BB108" t="str">
        <f>IF(AND(BB$4='Data entry'!$R$40, OR('Data entry'!$B$40="Confirmed",'Data entry'!$B$40="Probable")),"sx","")</f>
        <v/>
      </c>
      <c r="BC108" t="str">
        <f>IF(AND(BC$4='Data entry'!$R$40, OR('Data entry'!$B$40="Confirmed",'Data entry'!$B$40="Probable")),"sx","")</f>
        <v/>
      </c>
      <c r="BD108" t="str">
        <f>IF(AND(BD$4='Data entry'!$R$40, OR('Data entry'!$B$40="Confirmed",'Data entry'!$B$40="Probable")),"sx","")</f>
        <v/>
      </c>
      <c r="BE108" t="str">
        <f>IF(AND(BE$4='Data entry'!$R$40, OR('Data entry'!$B$40="Confirmed",'Data entry'!$B$40="Probable")),"sx","")</f>
        <v/>
      </c>
      <c r="BF108" t="str">
        <f>IF(AND(BF$4='Data entry'!$R$40, OR('Data entry'!$B$40="Confirmed",'Data entry'!$B$40="Probable")),"sx","")</f>
        <v/>
      </c>
      <c r="BG108" t="str">
        <f>IF(AND(BG$4='Data entry'!$R$40, OR('Data entry'!$B$40="Confirmed",'Data entry'!$B$40="Probable")),"sx","")</f>
        <v/>
      </c>
      <c r="BH108" t="str">
        <f>IF(AND(BH$4='Data entry'!$R$40, OR('Data entry'!$B$40="Confirmed",'Data entry'!$B$40="Probable")),"sx","")</f>
        <v/>
      </c>
      <c r="BI108" t="str">
        <f>IF(AND(BI$4='Data entry'!$R$40, OR('Data entry'!$B$40="Confirmed",'Data entry'!$B$40="Probable")),"sx","")</f>
        <v/>
      </c>
      <c r="BJ108" t="str">
        <f>IF(AND(BJ$4='Data entry'!$R$40, OR('Data entry'!$B$40="Confirmed",'Data entry'!$B$40="Probable")),"sx","")</f>
        <v/>
      </c>
      <c r="BK108" t="str">
        <f>IF(AND(BK$4='Data entry'!$R$40, OR('Data entry'!$B$40="Confirmed",'Data entry'!$B$40="Probable")),"sx","")</f>
        <v/>
      </c>
      <c r="BL108" t="str">
        <f>IF(AND(BL$4='Data entry'!$R$40, OR('Data entry'!$B$40="Confirmed",'Data entry'!$B$40="Probable")),"sx","")</f>
        <v/>
      </c>
      <c r="BM108" t="str">
        <f>IF(AND(BM$4='Data entry'!$R$40, OR('Data entry'!$B$40="Confirmed",'Data entry'!$B$40="Probable")),"sx","")</f>
        <v/>
      </c>
      <c r="BN108" t="str">
        <f>IF(AND(BN$4='Data entry'!$R$40, OR('Data entry'!$B$40="Confirmed",'Data entry'!$B$40="Probable")),"sx","")</f>
        <v/>
      </c>
      <c r="BO108" t="str">
        <f>IF(AND(BO$4='Data entry'!$R$40, OR('Data entry'!$B$40="Confirmed",'Data entry'!$B$40="Probable")),"sx","")</f>
        <v/>
      </c>
      <c r="BP108" t="str">
        <f>IF(AND(BP$4='Data entry'!$R$40, OR('Data entry'!$B$40="Confirmed",'Data entry'!$B$40="Probable")),"sx","")</f>
        <v/>
      </c>
      <c r="BQ108" t="str">
        <f>IF(AND(BQ$4='Data entry'!$R$40, OR('Data entry'!$B$40="Confirmed",'Data entry'!$B$40="Probable")),"sx","")</f>
        <v/>
      </c>
      <c r="BR108" t="str">
        <f>IF(AND(BR$4='Data entry'!$R$40, OR('Data entry'!$B$40="Confirmed",'Data entry'!$B$40="Probable")),"sx","")</f>
        <v/>
      </c>
      <c r="BS108" t="str">
        <f>IF(AND(BS$4='Data entry'!$R$40, OR('Data entry'!$B$40="Confirmed",'Data entry'!$B$40="Probable")),"sx","")</f>
        <v/>
      </c>
      <c r="BT108" t="str">
        <f>IF(AND(BT$4='Data entry'!$R$40, OR('Data entry'!$B$40="Confirmed",'Data entry'!$B$40="Probable")),"sx","")</f>
        <v/>
      </c>
      <c r="BU108" t="str">
        <f>IF(AND(BU$4='Data entry'!$R$40, OR('Data entry'!$B$40="Confirmed",'Data entry'!$B$40="Probable")),"sx","")</f>
        <v/>
      </c>
      <c r="BV108" t="str">
        <f>IF(AND(BV$4='Data entry'!$R$40, OR('Data entry'!$B$40="Confirmed",'Data entry'!$B$40="Probable")),"sx","")</f>
        <v/>
      </c>
      <c r="BW108" t="str">
        <f>IF(AND(BW$4='Data entry'!$R$40, OR('Data entry'!$B$40="Confirmed",'Data entry'!$B$40="Probable")),"sx","")</f>
        <v/>
      </c>
      <c r="BX108" t="str">
        <f>IF(AND(BX$4='Data entry'!$R$40, OR('Data entry'!$B$40="Confirmed",'Data entry'!$B$40="Probable")),"sx","")</f>
        <v/>
      </c>
      <c r="BY108" t="str">
        <f>IF(AND(BY$4='Data entry'!$R$40, OR('Data entry'!$B$40="Confirmed",'Data entry'!$B$40="Probable")),"sx","")</f>
        <v/>
      </c>
      <c r="BZ108" t="str">
        <f>IF(AND(BZ$4='Data entry'!$R$40, OR('Data entry'!$B$40="Confirmed",'Data entry'!$B$40="Probable")),"sx","")</f>
        <v/>
      </c>
      <c r="CA108" t="str">
        <f>IF(AND(CA$4='Data entry'!$R$40, OR('Data entry'!$B$40="Confirmed",'Data entry'!$B$40="Probable")),"sx","")</f>
        <v/>
      </c>
      <c r="CB108" t="str">
        <f>IF(AND(CB$4='Data entry'!$R$40, OR('Data entry'!$B$40="Confirmed",'Data entry'!$B$40="Probable")),"sx","")</f>
        <v/>
      </c>
      <c r="CC108" t="str">
        <f>IF(AND(CC$4='Data entry'!$R$40, OR('Data entry'!$B$40="Confirmed",'Data entry'!$B$40="Probable")),"sx","")</f>
        <v/>
      </c>
    </row>
    <row r="109" spans="1:81" s="64" customFormat="1" ht="2.25" customHeight="1" thickBot="1" x14ac:dyDescent="0.25">
      <c r="A109" s="671"/>
      <c r="B109" s="672"/>
      <c r="C109" s="69"/>
    </row>
    <row r="110" spans="1:81" s="63" customFormat="1" ht="15.75" thickTop="1" x14ac:dyDescent="0.2">
      <c r="A110" s="670" t="str">
        <f>CONCATENATE('Data entry'!J41, " ", 'Data entry'!I41)</f>
        <v xml:space="preserve"> </v>
      </c>
      <c r="B110" s="670"/>
      <c r="C110" s="67"/>
    </row>
    <row r="111" spans="1:81" x14ac:dyDescent="0.2">
      <c r="A111" s="668" t="str">
        <f>CONCATENATE('Data entry'!B41, ", ", 'Data entry'!AO41, ", ", 'Data entry'!AR41)</f>
        <v xml:space="preserve">, , </v>
      </c>
      <c r="B111" s="668"/>
      <c r="C111" s="68"/>
      <c r="Q111" t="str">
        <f>IF(AND(Q$4='Data entry'!$R$41, OR('Data entry'!$B$41="Confirmed",'Data entry'!$B$41="Probable")),"sx","")</f>
        <v/>
      </c>
      <c r="R111" t="str">
        <f>IF(AND(R$4='Data entry'!$R$41, OR('Data entry'!$B$41="Confirmed",'Data entry'!$B$41="Probable")),"sx","")</f>
        <v/>
      </c>
      <c r="S111" t="str">
        <f>IF(AND(S$4='Data entry'!$R$41, OR('Data entry'!$B$41="Confirmed",'Data entry'!$B$41="Probable")),"sx","")</f>
        <v/>
      </c>
      <c r="T111" t="str">
        <f>IF(AND(T$4='Data entry'!$R$41, OR('Data entry'!$B$41="Confirmed",'Data entry'!$B$41="Probable")),"sx","")</f>
        <v/>
      </c>
      <c r="U111" t="str">
        <f>IF(AND(U$4='Data entry'!$R$41, OR('Data entry'!$B$41="Confirmed",'Data entry'!$B$41="Probable")),"sx","")</f>
        <v/>
      </c>
      <c r="V111" t="str">
        <f>IF(AND(V$4='Data entry'!$R$41, OR('Data entry'!$B$41="Confirmed",'Data entry'!$B$41="Probable")),"sx","")</f>
        <v/>
      </c>
      <c r="W111" t="str">
        <f>IF(AND(W$4='Data entry'!$R$41, OR('Data entry'!$B$41="Confirmed",'Data entry'!$B$41="Probable")),"sx","")</f>
        <v/>
      </c>
      <c r="X111" t="str">
        <f>IF(AND(X$4='Data entry'!$R$41, OR('Data entry'!$B$41="Confirmed",'Data entry'!$B$41="Probable")),"sx","")</f>
        <v/>
      </c>
      <c r="Y111" t="str">
        <f>IF(AND(Y$4='Data entry'!$R$41, OR('Data entry'!$B$41="Confirmed",'Data entry'!$B$41="Probable")),"sx","")</f>
        <v/>
      </c>
      <c r="Z111" t="str">
        <f>IF(AND(Z$4='Data entry'!$R$41, OR('Data entry'!$B$41="Confirmed",'Data entry'!$B$41="Probable")),"sx","")</f>
        <v/>
      </c>
      <c r="AA111" t="str">
        <f>IF(AND(AA$4='Data entry'!$R$41, OR('Data entry'!$B$41="Confirmed",'Data entry'!$B$41="Probable")),"sx","")</f>
        <v/>
      </c>
      <c r="AB111" t="str">
        <f>IF(AND(AB$4='Data entry'!$R$41, OR('Data entry'!$B$41="Confirmed",'Data entry'!$B$41="Probable")),"sx","")</f>
        <v/>
      </c>
      <c r="AC111" t="str">
        <f>IF(AND(AC$4='Data entry'!$R$41, OR('Data entry'!$B$41="Confirmed",'Data entry'!$B$41="Probable")),"sx","")</f>
        <v/>
      </c>
      <c r="AD111" t="str">
        <f>IF(AND(AD$4='Data entry'!$R$41, OR('Data entry'!$B$41="Confirmed",'Data entry'!$B$41="Probable")),"sx","")</f>
        <v/>
      </c>
      <c r="AE111" t="str">
        <f>IF(AND(AE$4='Data entry'!$R$41, OR('Data entry'!$B$41="Confirmed",'Data entry'!$B$41="Probable")),"sx","")</f>
        <v/>
      </c>
      <c r="AF111" t="str">
        <f>IF(AND(AF$4='Data entry'!$R$41, OR('Data entry'!$B$41="Confirmed",'Data entry'!$B$41="Probable")),"sx","")</f>
        <v/>
      </c>
      <c r="AG111" t="str">
        <f>IF(AND(AG$4='Data entry'!$R$41, OR('Data entry'!$B$41="Confirmed",'Data entry'!$B$41="Probable")),"sx","")</f>
        <v/>
      </c>
      <c r="AH111" t="str">
        <f>IF(AND(AH$4='Data entry'!$R$41, OR('Data entry'!$B$41="Confirmed",'Data entry'!$B$41="Probable")),"sx","")</f>
        <v/>
      </c>
      <c r="AI111" t="str">
        <f>IF(AND(AI$4='Data entry'!$R$41, OR('Data entry'!$B$41="Confirmed",'Data entry'!$B$41="Probable")),"sx","")</f>
        <v/>
      </c>
      <c r="AJ111" t="str">
        <f>IF(AND(AJ$4='Data entry'!$R$41, OR('Data entry'!$B$41="Confirmed",'Data entry'!$B$41="Probable")),"sx","")</f>
        <v/>
      </c>
      <c r="AK111" t="str">
        <f>IF(AND(AK$4='Data entry'!$R$41, OR('Data entry'!$B$41="Confirmed",'Data entry'!$B$41="Probable")),"sx","")</f>
        <v/>
      </c>
      <c r="AL111" t="str">
        <f>IF(AND(AL$4='Data entry'!$R$41, OR('Data entry'!$B$41="Confirmed",'Data entry'!$B$41="Probable")),"sx","")</f>
        <v/>
      </c>
      <c r="AM111" t="str">
        <f>IF(AND(AM$4='Data entry'!$R$41, OR('Data entry'!$B$41="Confirmed",'Data entry'!$B$41="Probable")),"sx","")</f>
        <v/>
      </c>
      <c r="AN111" t="str">
        <f>IF(AND(AN$4='Data entry'!$R$41, OR('Data entry'!$B$41="Confirmed",'Data entry'!$B$41="Probable")),"sx","")</f>
        <v/>
      </c>
      <c r="AO111" t="str">
        <f>IF(AND(AO$4='Data entry'!$R$41, OR('Data entry'!$B$41="Confirmed",'Data entry'!$B$41="Probable")),"sx","")</f>
        <v/>
      </c>
      <c r="AP111" t="str">
        <f>IF(AND(AP$4='Data entry'!$R$41, OR('Data entry'!$B$41="Confirmed",'Data entry'!$B$41="Probable")),"sx","")</f>
        <v/>
      </c>
      <c r="AQ111" t="str">
        <f>IF(AND(AQ$4='Data entry'!$R$41, OR('Data entry'!$B$41="Confirmed",'Data entry'!$B$41="Probable")),"sx","")</f>
        <v/>
      </c>
      <c r="AR111" t="str">
        <f>IF(AND(AR$4='Data entry'!$R$41, OR('Data entry'!$B$41="Confirmed",'Data entry'!$B$41="Probable")),"sx","")</f>
        <v/>
      </c>
      <c r="AS111" t="str">
        <f>IF(AND(AS$4='Data entry'!$R$41, OR('Data entry'!$B$41="Confirmed",'Data entry'!$B$41="Probable")),"sx","")</f>
        <v/>
      </c>
      <c r="AT111" t="str">
        <f>IF(AND(AT$4='Data entry'!$R$41, OR('Data entry'!$B$41="Confirmed",'Data entry'!$B$41="Probable")),"sx","")</f>
        <v/>
      </c>
      <c r="AU111" t="str">
        <f>IF(AND(AU$4='Data entry'!$R$41, OR('Data entry'!$B$41="Confirmed",'Data entry'!$B$41="Probable")),"sx","")</f>
        <v/>
      </c>
      <c r="AV111" t="str">
        <f>IF(AND(AV$4='Data entry'!$R$41, OR('Data entry'!$B$41="Confirmed",'Data entry'!$B$41="Probable")),"sx","")</f>
        <v/>
      </c>
      <c r="AW111" t="str">
        <f>IF(AND(AW$4='Data entry'!$R$41, OR('Data entry'!$B$41="Confirmed",'Data entry'!$B$41="Probable")),"sx","")</f>
        <v/>
      </c>
      <c r="AX111" t="str">
        <f>IF(AND(AX$4='Data entry'!$R$41, OR('Data entry'!$B$41="Confirmed",'Data entry'!$B$41="Probable")),"sx","")</f>
        <v/>
      </c>
      <c r="AY111" t="str">
        <f>IF(AND(AY$4='Data entry'!$R$41, OR('Data entry'!$B$41="Confirmed",'Data entry'!$B$41="Probable")),"sx","")</f>
        <v/>
      </c>
      <c r="AZ111" t="str">
        <f>IF(AND(AZ$4='Data entry'!$R$41, OR('Data entry'!$B$41="Confirmed",'Data entry'!$B$41="Probable")),"sx","")</f>
        <v/>
      </c>
      <c r="BA111" t="str">
        <f>IF(AND(BA$4='Data entry'!$R$41, OR('Data entry'!$B$41="Confirmed",'Data entry'!$B$41="Probable")),"sx","")</f>
        <v/>
      </c>
      <c r="BB111" t="str">
        <f>IF(AND(BB$4='Data entry'!$R$41, OR('Data entry'!$B$41="Confirmed",'Data entry'!$B$41="Probable")),"sx","")</f>
        <v/>
      </c>
      <c r="BC111" t="str">
        <f>IF(AND(BC$4='Data entry'!$R$41, OR('Data entry'!$B$41="Confirmed",'Data entry'!$B$41="Probable")),"sx","")</f>
        <v/>
      </c>
      <c r="BD111" t="str">
        <f>IF(AND(BD$4='Data entry'!$R$41, OR('Data entry'!$B$41="Confirmed",'Data entry'!$B$41="Probable")),"sx","")</f>
        <v/>
      </c>
      <c r="BE111" t="str">
        <f>IF(AND(BE$4='Data entry'!$R$41, OR('Data entry'!$B$41="Confirmed",'Data entry'!$B$41="Probable")),"sx","")</f>
        <v/>
      </c>
      <c r="BF111" t="str">
        <f>IF(AND(BF$4='Data entry'!$R$41, OR('Data entry'!$B$41="Confirmed",'Data entry'!$B$41="Probable")),"sx","")</f>
        <v/>
      </c>
      <c r="BG111" t="str">
        <f>IF(AND(BG$4='Data entry'!$R$41, OR('Data entry'!$B$41="Confirmed",'Data entry'!$B$41="Probable")),"sx","")</f>
        <v/>
      </c>
      <c r="BH111" t="str">
        <f>IF(AND(BH$4='Data entry'!$R$41, OR('Data entry'!$B$41="Confirmed",'Data entry'!$B$41="Probable")),"sx","")</f>
        <v/>
      </c>
      <c r="BI111" t="str">
        <f>IF(AND(BI$4='Data entry'!$R$41, OR('Data entry'!$B$41="Confirmed",'Data entry'!$B$41="Probable")),"sx","")</f>
        <v/>
      </c>
      <c r="BJ111" t="str">
        <f>IF(AND(BJ$4='Data entry'!$R$41, OR('Data entry'!$B$41="Confirmed",'Data entry'!$B$41="Probable")),"sx","")</f>
        <v/>
      </c>
      <c r="BK111" t="str">
        <f>IF(AND(BK$4='Data entry'!$R$41, OR('Data entry'!$B$41="Confirmed",'Data entry'!$B$41="Probable")),"sx","")</f>
        <v/>
      </c>
      <c r="BL111" t="str">
        <f>IF(AND(BL$4='Data entry'!$R$41, OR('Data entry'!$B$41="Confirmed",'Data entry'!$B$41="Probable")),"sx","")</f>
        <v/>
      </c>
      <c r="BM111" t="str">
        <f>IF(AND(BM$4='Data entry'!$R$41, OR('Data entry'!$B$41="Confirmed",'Data entry'!$B$41="Probable")),"sx","")</f>
        <v/>
      </c>
      <c r="BN111" t="str">
        <f>IF(AND(BN$4='Data entry'!$R$41, OR('Data entry'!$B$41="Confirmed",'Data entry'!$B$41="Probable")),"sx","")</f>
        <v/>
      </c>
      <c r="BO111" t="str">
        <f>IF(AND(BO$4='Data entry'!$R$41, OR('Data entry'!$B$41="Confirmed",'Data entry'!$B$41="Probable")),"sx","")</f>
        <v/>
      </c>
      <c r="BP111" t="str">
        <f>IF(AND(BP$4='Data entry'!$R$41, OR('Data entry'!$B$41="Confirmed",'Data entry'!$B$41="Probable")),"sx","")</f>
        <v/>
      </c>
      <c r="BQ111" t="str">
        <f>IF(AND(BQ$4='Data entry'!$R$41, OR('Data entry'!$B$41="Confirmed",'Data entry'!$B$41="Probable")),"sx","")</f>
        <v/>
      </c>
      <c r="BR111" t="str">
        <f>IF(AND(BR$4='Data entry'!$R$41, OR('Data entry'!$B$41="Confirmed",'Data entry'!$B$41="Probable")),"sx","")</f>
        <v/>
      </c>
      <c r="BS111" t="str">
        <f>IF(AND(BS$4='Data entry'!$R$41, OR('Data entry'!$B$41="Confirmed",'Data entry'!$B$41="Probable")),"sx","")</f>
        <v/>
      </c>
      <c r="BT111" t="str">
        <f>IF(AND(BT$4='Data entry'!$R$41, OR('Data entry'!$B$41="Confirmed",'Data entry'!$B$41="Probable")),"sx","")</f>
        <v/>
      </c>
      <c r="BU111" t="str">
        <f>IF(AND(BU$4='Data entry'!$R$41, OR('Data entry'!$B$41="Confirmed",'Data entry'!$B$41="Probable")),"sx","")</f>
        <v/>
      </c>
      <c r="BV111" t="str">
        <f>IF(AND(BV$4='Data entry'!$R$41, OR('Data entry'!$B$41="Confirmed",'Data entry'!$B$41="Probable")),"sx","")</f>
        <v/>
      </c>
      <c r="BW111" t="str">
        <f>IF(AND(BW$4='Data entry'!$R$41, OR('Data entry'!$B$41="Confirmed",'Data entry'!$B$41="Probable")),"sx","")</f>
        <v/>
      </c>
      <c r="BX111" t="str">
        <f>IF(AND(BX$4='Data entry'!$R$41, OR('Data entry'!$B$41="Confirmed",'Data entry'!$B$41="Probable")),"sx","")</f>
        <v/>
      </c>
      <c r="BY111" t="str">
        <f>IF(AND(BY$4='Data entry'!$R$41, OR('Data entry'!$B$41="Confirmed",'Data entry'!$B$41="Probable")),"sx","")</f>
        <v/>
      </c>
      <c r="BZ111" t="str">
        <f>IF(AND(BZ$4='Data entry'!$R$41, OR('Data entry'!$B$41="Confirmed",'Data entry'!$B$41="Probable")),"sx","")</f>
        <v/>
      </c>
      <c r="CA111" t="str">
        <f>IF(AND(CA$4='Data entry'!$R$41, OR('Data entry'!$B$41="Confirmed",'Data entry'!$B$41="Probable")),"sx","")</f>
        <v/>
      </c>
      <c r="CB111" t="str">
        <f>IF(AND(CB$4='Data entry'!$R$41, OR('Data entry'!$B$41="Confirmed",'Data entry'!$B$41="Probable")),"sx","")</f>
        <v/>
      </c>
      <c r="CC111" t="str">
        <f>IF(AND(CC$4='Data entry'!$R$41, OR('Data entry'!$B$41="Confirmed",'Data entry'!$B$41="Probable")),"sx","")</f>
        <v/>
      </c>
    </row>
    <row r="112" spans="1:81" s="64" customFormat="1" ht="2.25" customHeight="1" thickBot="1" x14ac:dyDescent="0.25">
      <c r="A112" s="671"/>
      <c r="B112" s="672"/>
      <c r="C112" s="69"/>
    </row>
    <row r="113" spans="1:81" s="63" customFormat="1" ht="15.75" thickTop="1" x14ac:dyDescent="0.2">
      <c r="A113" s="670" t="str">
        <f>CONCATENATE('Data entry'!J42, " ", 'Data entry'!I42)</f>
        <v xml:space="preserve"> </v>
      </c>
      <c r="B113" s="670"/>
      <c r="C113" s="67"/>
    </row>
    <row r="114" spans="1:81" x14ac:dyDescent="0.2">
      <c r="A114" s="668" t="str">
        <f>CONCATENATE('Data entry'!B42, ", ", 'Data entry'!AO42, ", ", 'Data entry'!AR42)</f>
        <v xml:space="preserve">, , </v>
      </c>
      <c r="B114" s="668"/>
      <c r="C114" s="68"/>
      <c r="Q114" t="str">
        <f>IF(AND(Q$4='Data entry'!$R$42, OR('Data entry'!$B$42="Confirmed",'Data entry'!$B$42="Probable")),"sx","")</f>
        <v/>
      </c>
      <c r="R114" t="str">
        <f>IF(AND(R$4='Data entry'!$R$42, OR('Data entry'!$B$42="Confirmed",'Data entry'!$B$42="Probable")),"sx","")</f>
        <v/>
      </c>
      <c r="S114" t="str">
        <f>IF(AND(S$4='Data entry'!$R$42, OR('Data entry'!$B$42="Confirmed",'Data entry'!$B$42="Probable")),"sx","")</f>
        <v/>
      </c>
      <c r="T114" t="str">
        <f>IF(AND(T$4='Data entry'!$R$42, OR('Data entry'!$B$42="Confirmed",'Data entry'!$B$42="Probable")),"sx","")</f>
        <v/>
      </c>
      <c r="U114" t="str">
        <f>IF(AND(U$4='Data entry'!$R$42, OR('Data entry'!$B$42="Confirmed",'Data entry'!$B$42="Probable")),"sx","")</f>
        <v/>
      </c>
      <c r="V114" t="str">
        <f>IF(AND(V$4='Data entry'!$R$42, OR('Data entry'!$B$42="Confirmed",'Data entry'!$B$42="Probable")),"sx","")</f>
        <v/>
      </c>
      <c r="W114" t="str">
        <f>IF(AND(W$4='Data entry'!$R$42, OR('Data entry'!$B$42="Confirmed",'Data entry'!$B$42="Probable")),"sx","")</f>
        <v/>
      </c>
      <c r="X114" t="str">
        <f>IF(AND(X$4='Data entry'!$R$42, OR('Data entry'!$B$42="Confirmed",'Data entry'!$B$42="Probable")),"sx","")</f>
        <v/>
      </c>
      <c r="Y114" t="str">
        <f>IF(AND(Y$4='Data entry'!$R$42, OR('Data entry'!$B$42="Confirmed",'Data entry'!$B$42="Probable")),"sx","")</f>
        <v/>
      </c>
      <c r="Z114" t="str">
        <f>IF(AND(Z$4='Data entry'!$R$42, OR('Data entry'!$B$42="Confirmed",'Data entry'!$B$42="Probable")),"sx","")</f>
        <v/>
      </c>
      <c r="AA114" t="str">
        <f>IF(AND(AA$4='Data entry'!$R$42, OR('Data entry'!$B$42="Confirmed",'Data entry'!$B$42="Probable")),"sx","")</f>
        <v/>
      </c>
      <c r="AB114" t="str">
        <f>IF(AND(AB$4='Data entry'!$R$42, OR('Data entry'!$B$42="Confirmed",'Data entry'!$B$42="Probable")),"sx","")</f>
        <v/>
      </c>
      <c r="AC114" t="str">
        <f>IF(AND(AC$4='Data entry'!$R$42, OR('Data entry'!$B$42="Confirmed",'Data entry'!$B$42="Probable")),"sx","")</f>
        <v/>
      </c>
      <c r="AD114" t="str">
        <f>IF(AND(AD$4='Data entry'!$R$42, OR('Data entry'!$B$42="Confirmed",'Data entry'!$B$42="Probable")),"sx","")</f>
        <v/>
      </c>
      <c r="AE114" t="str">
        <f>IF(AND(AE$4='Data entry'!$R$42, OR('Data entry'!$B$42="Confirmed",'Data entry'!$B$42="Probable")),"sx","")</f>
        <v/>
      </c>
      <c r="AF114" t="str">
        <f>IF(AND(AF$4='Data entry'!$R$42, OR('Data entry'!$B$42="Confirmed",'Data entry'!$B$42="Probable")),"sx","")</f>
        <v/>
      </c>
      <c r="AG114" t="str">
        <f>IF(AND(AG$4='Data entry'!$R$42, OR('Data entry'!$B$42="Confirmed",'Data entry'!$B$42="Probable")),"sx","")</f>
        <v/>
      </c>
      <c r="AH114" t="str">
        <f>IF(AND(AH$4='Data entry'!$R$42, OR('Data entry'!$B$42="Confirmed",'Data entry'!$B$42="Probable")),"sx","")</f>
        <v/>
      </c>
      <c r="AI114" t="str">
        <f>IF(AND(AI$4='Data entry'!$R$42, OR('Data entry'!$B$42="Confirmed",'Data entry'!$B$42="Probable")),"sx","")</f>
        <v/>
      </c>
      <c r="AJ114" t="str">
        <f>IF(AND(AJ$4='Data entry'!$R$42, OR('Data entry'!$B$42="Confirmed",'Data entry'!$B$42="Probable")),"sx","")</f>
        <v/>
      </c>
      <c r="AK114" t="str">
        <f>IF(AND(AK$4='Data entry'!$R$42, OR('Data entry'!$B$42="Confirmed",'Data entry'!$B$42="Probable")),"sx","")</f>
        <v/>
      </c>
      <c r="AL114" t="str">
        <f>IF(AND(AL$4='Data entry'!$R$42, OR('Data entry'!$B$42="Confirmed",'Data entry'!$B$42="Probable")),"sx","")</f>
        <v/>
      </c>
      <c r="AM114" t="str">
        <f>IF(AND(AM$4='Data entry'!$R$42, OR('Data entry'!$B$42="Confirmed",'Data entry'!$B$42="Probable")),"sx","")</f>
        <v/>
      </c>
      <c r="AN114" t="str">
        <f>IF(AND(AN$4='Data entry'!$R$42, OR('Data entry'!$B$42="Confirmed",'Data entry'!$B$42="Probable")),"sx","")</f>
        <v/>
      </c>
      <c r="AO114" t="str">
        <f>IF(AND(AO$4='Data entry'!$R$42, OR('Data entry'!$B$42="Confirmed",'Data entry'!$B$42="Probable")),"sx","")</f>
        <v/>
      </c>
      <c r="AP114" t="str">
        <f>IF(AND(AP$4='Data entry'!$R$42, OR('Data entry'!$B$42="Confirmed",'Data entry'!$B$42="Probable")),"sx","")</f>
        <v/>
      </c>
      <c r="AQ114" t="str">
        <f>IF(AND(AQ$4='Data entry'!$R$42, OR('Data entry'!$B$42="Confirmed",'Data entry'!$B$42="Probable")),"sx","")</f>
        <v/>
      </c>
      <c r="AR114" t="str">
        <f>IF(AND(AR$4='Data entry'!$R$42, OR('Data entry'!$B$42="Confirmed",'Data entry'!$B$42="Probable")),"sx","")</f>
        <v/>
      </c>
      <c r="AS114" t="str">
        <f>IF(AND(AS$4='Data entry'!$R$42, OR('Data entry'!$B$42="Confirmed",'Data entry'!$B$42="Probable")),"sx","")</f>
        <v/>
      </c>
      <c r="AT114" t="str">
        <f>IF(AND(AT$4='Data entry'!$R$42, OR('Data entry'!$B$42="Confirmed",'Data entry'!$B$42="Probable")),"sx","")</f>
        <v/>
      </c>
      <c r="AU114" t="str">
        <f>IF(AND(AU$4='Data entry'!$R$42, OR('Data entry'!$B$42="Confirmed",'Data entry'!$B$42="Probable")),"sx","")</f>
        <v/>
      </c>
      <c r="AV114" t="str">
        <f>IF(AND(AV$4='Data entry'!$R$42, OR('Data entry'!$B$42="Confirmed",'Data entry'!$B$42="Probable")),"sx","")</f>
        <v/>
      </c>
      <c r="AW114" t="str">
        <f>IF(AND(AW$4='Data entry'!$R$42, OR('Data entry'!$B$42="Confirmed",'Data entry'!$B$42="Probable")),"sx","")</f>
        <v/>
      </c>
      <c r="AX114" t="str">
        <f>IF(AND(AX$4='Data entry'!$R$42, OR('Data entry'!$B$42="Confirmed",'Data entry'!$B$42="Probable")),"sx","")</f>
        <v/>
      </c>
      <c r="AY114" t="str">
        <f>IF(AND(AY$4='Data entry'!$R$42, OR('Data entry'!$B$42="Confirmed",'Data entry'!$B$42="Probable")),"sx","")</f>
        <v/>
      </c>
      <c r="AZ114" t="str">
        <f>IF(AND(AZ$4='Data entry'!$R$42, OR('Data entry'!$B$42="Confirmed",'Data entry'!$B$42="Probable")),"sx","")</f>
        <v/>
      </c>
      <c r="BA114" t="str">
        <f>IF(AND(BA$4='Data entry'!$R$42, OR('Data entry'!$B$42="Confirmed",'Data entry'!$B$42="Probable")),"sx","")</f>
        <v/>
      </c>
      <c r="BB114" t="str">
        <f>IF(AND(BB$4='Data entry'!$R$42, OR('Data entry'!$B$42="Confirmed",'Data entry'!$B$42="Probable")),"sx","")</f>
        <v/>
      </c>
      <c r="BC114" t="str">
        <f>IF(AND(BC$4='Data entry'!$R$42, OR('Data entry'!$B$42="Confirmed",'Data entry'!$B$42="Probable")),"sx","")</f>
        <v/>
      </c>
      <c r="BD114" t="str">
        <f>IF(AND(BD$4='Data entry'!$R$42, OR('Data entry'!$B$42="Confirmed",'Data entry'!$B$42="Probable")),"sx","")</f>
        <v/>
      </c>
      <c r="BE114" t="str">
        <f>IF(AND(BE$4='Data entry'!$R$42, OR('Data entry'!$B$42="Confirmed",'Data entry'!$B$42="Probable")),"sx","")</f>
        <v/>
      </c>
      <c r="BF114" t="str">
        <f>IF(AND(BF$4='Data entry'!$R$42, OR('Data entry'!$B$42="Confirmed",'Data entry'!$B$42="Probable")),"sx","")</f>
        <v/>
      </c>
      <c r="BG114" t="str">
        <f>IF(AND(BG$4='Data entry'!$R$42, OR('Data entry'!$B$42="Confirmed",'Data entry'!$B$42="Probable")),"sx","")</f>
        <v/>
      </c>
      <c r="BH114" t="str">
        <f>IF(AND(BH$4='Data entry'!$R$42, OR('Data entry'!$B$42="Confirmed",'Data entry'!$B$42="Probable")),"sx","")</f>
        <v/>
      </c>
      <c r="BI114" t="str">
        <f>IF(AND(BI$4='Data entry'!$R$42, OR('Data entry'!$B$42="Confirmed",'Data entry'!$B$42="Probable")),"sx","")</f>
        <v/>
      </c>
      <c r="BJ114" t="str">
        <f>IF(AND(BJ$4='Data entry'!$R$42, OR('Data entry'!$B$42="Confirmed",'Data entry'!$B$42="Probable")),"sx","")</f>
        <v/>
      </c>
      <c r="BK114" t="str">
        <f>IF(AND(BK$4='Data entry'!$R$42, OR('Data entry'!$B$42="Confirmed",'Data entry'!$B$42="Probable")),"sx","")</f>
        <v/>
      </c>
      <c r="BL114" t="str">
        <f>IF(AND(BL$4='Data entry'!$R$42, OR('Data entry'!$B$42="Confirmed",'Data entry'!$B$42="Probable")),"sx","")</f>
        <v/>
      </c>
      <c r="BM114" t="str">
        <f>IF(AND(BM$4='Data entry'!$R$42, OR('Data entry'!$B$42="Confirmed",'Data entry'!$B$42="Probable")),"sx","")</f>
        <v/>
      </c>
      <c r="BN114" t="str">
        <f>IF(AND(BN$4='Data entry'!$R$42, OR('Data entry'!$B$42="Confirmed",'Data entry'!$B$42="Probable")),"sx","")</f>
        <v/>
      </c>
      <c r="BO114" t="str">
        <f>IF(AND(BO$4='Data entry'!$R$42, OR('Data entry'!$B$42="Confirmed",'Data entry'!$B$42="Probable")),"sx","")</f>
        <v/>
      </c>
      <c r="BP114" t="str">
        <f>IF(AND(BP$4='Data entry'!$R$42, OR('Data entry'!$B$42="Confirmed",'Data entry'!$B$42="Probable")),"sx","")</f>
        <v/>
      </c>
      <c r="BQ114" t="str">
        <f>IF(AND(BQ$4='Data entry'!$R$42, OR('Data entry'!$B$42="Confirmed",'Data entry'!$B$42="Probable")),"sx","")</f>
        <v/>
      </c>
      <c r="BR114" t="str">
        <f>IF(AND(BR$4='Data entry'!$R$42, OR('Data entry'!$B$42="Confirmed",'Data entry'!$B$42="Probable")),"sx","")</f>
        <v/>
      </c>
      <c r="BS114" t="str">
        <f>IF(AND(BS$4='Data entry'!$R$42, OR('Data entry'!$B$42="Confirmed",'Data entry'!$B$42="Probable")),"sx","")</f>
        <v/>
      </c>
      <c r="BT114" t="str">
        <f>IF(AND(BT$4='Data entry'!$R$42, OR('Data entry'!$B$42="Confirmed",'Data entry'!$B$42="Probable")),"sx","")</f>
        <v/>
      </c>
      <c r="BU114" t="str">
        <f>IF(AND(BU$4='Data entry'!$R$42, OR('Data entry'!$B$42="Confirmed",'Data entry'!$B$42="Probable")),"sx","")</f>
        <v/>
      </c>
      <c r="BV114" t="str">
        <f>IF(AND(BV$4='Data entry'!$R$42, OR('Data entry'!$B$42="Confirmed",'Data entry'!$B$42="Probable")),"sx","")</f>
        <v/>
      </c>
      <c r="BW114" t="str">
        <f>IF(AND(BW$4='Data entry'!$R$42, OR('Data entry'!$B$42="Confirmed",'Data entry'!$B$42="Probable")),"sx","")</f>
        <v/>
      </c>
      <c r="BX114" t="str">
        <f>IF(AND(BX$4='Data entry'!$R$42, OR('Data entry'!$B$42="Confirmed",'Data entry'!$B$42="Probable")),"sx","")</f>
        <v/>
      </c>
      <c r="BY114" t="str">
        <f>IF(AND(BY$4='Data entry'!$R$42, OR('Data entry'!$B$42="Confirmed",'Data entry'!$B$42="Probable")),"sx","")</f>
        <v/>
      </c>
      <c r="BZ114" t="str">
        <f>IF(AND(BZ$4='Data entry'!$R$42, OR('Data entry'!$B$42="Confirmed",'Data entry'!$B$42="Probable")),"sx","")</f>
        <v/>
      </c>
      <c r="CA114" t="str">
        <f>IF(AND(CA$4='Data entry'!$R$42, OR('Data entry'!$B$42="Confirmed",'Data entry'!$B$42="Probable")),"sx","")</f>
        <v/>
      </c>
      <c r="CB114" t="str">
        <f>IF(AND(CB$4='Data entry'!$R$42, OR('Data entry'!$B$42="Confirmed",'Data entry'!$B$42="Probable")),"sx","")</f>
        <v/>
      </c>
      <c r="CC114" t="str">
        <f>IF(AND(CC$4='Data entry'!$R$42, OR('Data entry'!$B$42="Confirmed",'Data entry'!$B$42="Probable")),"sx","")</f>
        <v/>
      </c>
    </row>
    <row r="115" spans="1:81" s="64" customFormat="1" ht="2.25" customHeight="1" thickBot="1" x14ac:dyDescent="0.25">
      <c r="A115" s="671"/>
      <c r="B115" s="672"/>
      <c r="C115" s="69"/>
    </row>
    <row r="116" spans="1:81" s="63" customFormat="1" ht="15.75" thickTop="1" x14ac:dyDescent="0.2">
      <c r="A116" s="670" t="str">
        <f>CONCATENATE('Data entry'!J43, " ", 'Data entry'!I43)</f>
        <v xml:space="preserve"> </v>
      </c>
      <c r="B116" s="670"/>
      <c r="C116" s="67"/>
    </row>
    <row r="117" spans="1:81" x14ac:dyDescent="0.2">
      <c r="A117" s="668" t="str">
        <f>CONCATENATE('Data entry'!B43, ", ", 'Data entry'!AO43, ", ", 'Data entry'!AR43)</f>
        <v xml:space="preserve">, , </v>
      </c>
      <c r="B117" s="668"/>
      <c r="C117" s="68"/>
      <c r="Q117" t="str">
        <f>IF(AND(Q$4='Data entry'!$R$43, OR('Data entry'!$B$43="Confirmed",'Data entry'!$B$43="Probable")),"sx","")</f>
        <v/>
      </c>
      <c r="R117" t="str">
        <f>IF(AND(R$4='Data entry'!$R$43, OR('Data entry'!$B$43="Confirmed",'Data entry'!$B$43="Probable")),"sx","")</f>
        <v/>
      </c>
      <c r="S117" t="str">
        <f>IF(AND(S$4='Data entry'!$R$43, OR('Data entry'!$B$43="Confirmed",'Data entry'!$B$43="Probable")),"sx","")</f>
        <v/>
      </c>
      <c r="T117" t="str">
        <f>IF(AND(T$4='Data entry'!$R$43, OR('Data entry'!$B$43="Confirmed",'Data entry'!$B$43="Probable")),"sx","")</f>
        <v/>
      </c>
      <c r="U117" t="str">
        <f>IF(AND(U$4='Data entry'!$R$43, OR('Data entry'!$B$43="Confirmed",'Data entry'!$B$43="Probable")),"sx","")</f>
        <v/>
      </c>
      <c r="V117" t="str">
        <f>IF(AND(V$4='Data entry'!$R$43, OR('Data entry'!$B$43="Confirmed",'Data entry'!$B$43="Probable")),"sx","")</f>
        <v/>
      </c>
      <c r="W117" t="str">
        <f>IF(AND(W$4='Data entry'!$R$43, OR('Data entry'!$B$43="Confirmed",'Data entry'!$B$43="Probable")),"sx","")</f>
        <v/>
      </c>
      <c r="X117" t="str">
        <f>IF(AND(X$4='Data entry'!$R$43, OR('Data entry'!$B$43="Confirmed",'Data entry'!$B$43="Probable")),"sx","")</f>
        <v/>
      </c>
      <c r="Y117" t="str">
        <f>IF(AND(Y$4='Data entry'!$R$43, OR('Data entry'!$B$43="Confirmed",'Data entry'!$B$43="Probable")),"sx","")</f>
        <v/>
      </c>
      <c r="Z117" t="str">
        <f>IF(AND(Z$4='Data entry'!$R$43, OR('Data entry'!$B$43="Confirmed",'Data entry'!$B$43="Probable")),"sx","")</f>
        <v/>
      </c>
      <c r="AA117" t="str">
        <f>IF(AND(AA$4='Data entry'!$R$43, OR('Data entry'!$B$43="Confirmed",'Data entry'!$B$43="Probable")),"sx","")</f>
        <v/>
      </c>
      <c r="AB117" t="str">
        <f>IF(AND(AB$4='Data entry'!$R$43, OR('Data entry'!$B$43="Confirmed",'Data entry'!$B$43="Probable")),"sx","")</f>
        <v/>
      </c>
      <c r="AC117" t="str">
        <f>IF(AND(AC$4='Data entry'!$R$43, OR('Data entry'!$B$43="Confirmed",'Data entry'!$B$43="Probable")),"sx","")</f>
        <v/>
      </c>
      <c r="AD117" t="str">
        <f>IF(AND(AD$4='Data entry'!$R$43, OR('Data entry'!$B$43="Confirmed",'Data entry'!$B$43="Probable")),"sx","")</f>
        <v/>
      </c>
      <c r="AE117" t="str">
        <f>IF(AND(AE$4='Data entry'!$R$43, OR('Data entry'!$B$43="Confirmed",'Data entry'!$B$43="Probable")),"sx","")</f>
        <v/>
      </c>
      <c r="AF117" t="str">
        <f>IF(AND(AF$4='Data entry'!$R$43, OR('Data entry'!$B$43="Confirmed",'Data entry'!$B$43="Probable")),"sx","")</f>
        <v/>
      </c>
      <c r="AG117" t="str">
        <f>IF(AND(AG$4='Data entry'!$R$43, OR('Data entry'!$B$43="Confirmed",'Data entry'!$B$43="Probable")),"sx","")</f>
        <v/>
      </c>
      <c r="AH117" t="str">
        <f>IF(AND(AH$4='Data entry'!$R$43, OR('Data entry'!$B$43="Confirmed",'Data entry'!$B$43="Probable")),"sx","")</f>
        <v/>
      </c>
      <c r="AI117" t="str">
        <f>IF(AND(AI$4='Data entry'!$R$43, OR('Data entry'!$B$43="Confirmed",'Data entry'!$B$43="Probable")),"sx","")</f>
        <v/>
      </c>
      <c r="AJ117" t="str">
        <f>IF(AND(AJ$4='Data entry'!$R$43, OR('Data entry'!$B$43="Confirmed",'Data entry'!$B$43="Probable")),"sx","")</f>
        <v/>
      </c>
      <c r="AK117" t="str">
        <f>IF(AND(AK$4='Data entry'!$R$43, OR('Data entry'!$B$43="Confirmed",'Data entry'!$B$43="Probable")),"sx","")</f>
        <v/>
      </c>
      <c r="AL117" t="str">
        <f>IF(AND(AL$4='Data entry'!$R$43, OR('Data entry'!$B$43="Confirmed",'Data entry'!$B$43="Probable")),"sx","")</f>
        <v/>
      </c>
      <c r="AM117" t="str">
        <f>IF(AND(AM$4='Data entry'!$R$43, OR('Data entry'!$B$43="Confirmed",'Data entry'!$B$43="Probable")),"sx","")</f>
        <v/>
      </c>
      <c r="AN117" t="str">
        <f>IF(AND(AN$4='Data entry'!$R$43, OR('Data entry'!$B$43="Confirmed",'Data entry'!$B$43="Probable")),"sx","")</f>
        <v/>
      </c>
      <c r="AO117" t="str">
        <f>IF(AND(AO$4='Data entry'!$R$43, OR('Data entry'!$B$43="Confirmed",'Data entry'!$B$43="Probable")),"sx","")</f>
        <v/>
      </c>
      <c r="AP117" t="str">
        <f>IF(AND(AP$4='Data entry'!$R$43, OR('Data entry'!$B$43="Confirmed",'Data entry'!$B$43="Probable")),"sx","")</f>
        <v/>
      </c>
      <c r="AQ117" t="str">
        <f>IF(AND(AQ$4='Data entry'!$R$43, OR('Data entry'!$B$43="Confirmed",'Data entry'!$B$43="Probable")),"sx","")</f>
        <v/>
      </c>
      <c r="AR117" t="str">
        <f>IF(AND(AR$4='Data entry'!$R$43, OR('Data entry'!$B$43="Confirmed",'Data entry'!$B$43="Probable")),"sx","")</f>
        <v/>
      </c>
      <c r="AS117" t="str">
        <f>IF(AND(AS$4='Data entry'!$R$43, OR('Data entry'!$B$43="Confirmed",'Data entry'!$B$43="Probable")),"sx","")</f>
        <v/>
      </c>
      <c r="AT117" t="str">
        <f>IF(AND(AT$4='Data entry'!$R$43, OR('Data entry'!$B$43="Confirmed",'Data entry'!$B$43="Probable")),"sx","")</f>
        <v/>
      </c>
      <c r="AU117" t="str">
        <f>IF(AND(AU$4='Data entry'!$R$43, OR('Data entry'!$B$43="Confirmed",'Data entry'!$B$43="Probable")),"sx","")</f>
        <v/>
      </c>
      <c r="AV117" t="str">
        <f>IF(AND(AV$4='Data entry'!$R$43, OR('Data entry'!$B$43="Confirmed",'Data entry'!$B$43="Probable")),"sx","")</f>
        <v/>
      </c>
      <c r="AW117" t="str">
        <f>IF(AND(AW$4='Data entry'!$R$43, OR('Data entry'!$B$43="Confirmed",'Data entry'!$B$43="Probable")),"sx","")</f>
        <v/>
      </c>
      <c r="AX117" t="str">
        <f>IF(AND(AX$4='Data entry'!$R$43, OR('Data entry'!$B$43="Confirmed",'Data entry'!$B$43="Probable")),"sx","")</f>
        <v/>
      </c>
      <c r="AY117" t="str">
        <f>IF(AND(AY$4='Data entry'!$R$43, OR('Data entry'!$B$43="Confirmed",'Data entry'!$B$43="Probable")),"sx","")</f>
        <v/>
      </c>
      <c r="AZ117" t="str">
        <f>IF(AND(AZ$4='Data entry'!$R$43, OR('Data entry'!$B$43="Confirmed",'Data entry'!$B$43="Probable")),"sx","")</f>
        <v/>
      </c>
      <c r="BA117" t="str">
        <f>IF(AND(BA$4='Data entry'!$R$43, OR('Data entry'!$B$43="Confirmed",'Data entry'!$B$43="Probable")),"sx","")</f>
        <v/>
      </c>
      <c r="BB117" t="str">
        <f>IF(AND(BB$4='Data entry'!$R$43, OR('Data entry'!$B$43="Confirmed",'Data entry'!$B$43="Probable")),"sx","")</f>
        <v/>
      </c>
      <c r="BC117" t="str">
        <f>IF(AND(BC$4='Data entry'!$R$43, OR('Data entry'!$B$43="Confirmed",'Data entry'!$B$43="Probable")),"sx","")</f>
        <v/>
      </c>
      <c r="BD117" t="str">
        <f>IF(AND(BD$4='Data entry'!$R$43, OR('Data entry'!$B$43="Confirmed",'Data entry'!$B$43="Probable")),"sx","")</f>
        <v/>
      </c>
      <c r="BE117" t="str">
        <f>IF(AND(BE$4='Data entry'!$R$43, OR('Data entry'!$B$43="Confirmed",'Data entry'!$B$43="Probable")),"sx","")</f>
        <v/>
      </c>
      <c r="BF117" t="str">
        <f>IF(AND(BF$4='Data entry'!$R$43, OR('Data entry'!$B$43="Confirmed",'Data entry'!$B$43="Probable")),"sx","")</f>
        <v/>
      </c>
      <c r="BG117" t="str">
        <f>IF(AND(BG$4='Data entry'!$R$43, OR('Data entry'!$B$43="Confirmed",'Data entry'!$B$43="Probable")),"sx","")</f>
        <v/>
      </c>
      <c r="BH117" t="str">
        <f>IF(AND(BH$4='Data entry'!$R$43, OR('Data entry'!$B$43="Confirmed",'Data entry'!$B$43="Probable")),"sx","")</f>
        <v/>
      </c>
      <c r="BI117" t="str">
        <f>IF(AND(BI$4='Data entry'!$R$43, OR('Data entry'!$B$43="Confirmed",'Data entry'!$B$43="Probable")),"sx","")</f>
        <v/>
      </c>
      <c r="BJ117" t="str">
        <f>IF(AND(BJ$4='Data entry'!$R$43, OR('Data entry'!$B$43="Confirmed",'Data entry'!$B$43="Probable")),"sx","")</f>
        <v/>
      </c>
      <c r="BK117" t="str">
        <f>IF(AND(BK$4='Data entry'!$R$43, OR('Data entry'!$B$43="Confirmed",'Data entry'!$B$43="Probable")),"sx","")</f>
        <v/>
      </c>
      <c r="BL117" t="str">
        <f>IF(AND(BL$4='Data entry'!$R$43, OR('Data entry'!$B$43="Confirmed",'Data entry'!$B$43="Probable")),"sx","")</f>
        <v/>
      </c>
      <c r="BM117" t="str">
        <f>IF(AND(BM$4='Data entry'!$R$43, OR('Data entry'!$B$43="Confirmed",'Data entry'!$B$43="Probable")),"sx","")</f>
        <v/>
      </c>
      <c r="BN117" t="str">
        <f>IF(AND(BN$4='Data entry'!$R$43, OR('Data entry'!$B$43="Confirmed",'Data entry'!$B$43="Probable")),"sx","")</f>
        <v/>
      </c>
      <c r="BO117" t="str">
        <f>IF(AND(BO$4='Data entry'!$R$43, OR('Data entry'!$B$43="Confirmed",'Data entry'!$B$43="Probable")),"sx","")</f>
        <v/>
      </c>
      <c r="BP117" t="str">
        <f>IF(AND(BP$4='Data entry'!$R$43, OR('Data entry'!$B$43="Confirmed",'Data entry'!$B$43="Probable")),"sx","")</f>
        <v/>
      </c>
      <c r="BQ117" t="str">
        <f>IF(AND(BQ$4='Data entry'!$R$43, OR('Data entry'!$B$43="Confirmed",'Data entry'!$B$43="Probable")),"sx","")</f>
        <v/>
      </c>
      <c r="BR117" t="str">
        <f>IF(AND(BR$4='Data entry'!$R$43, OR('Data entry'!$B$43="Confirmed",'Data entry'!$B$43="Probable")),"sx","")</f>
        <v/>
      </c>
      <c r="BS117" t="str">
        <f>IF(AND(BS$4='Data entry'!$R$43, OR('Data entry'!$B$43="Confirmed",'Data entry'!$B$43="Probable")),"sx","")</f>
        <v/>
      </c>
      <c r="BT117" t="str">
        <f>IF(AND(BT$4='Data entry'!$R$43, OR('Data entry'!$B$43="Confirmed",'Data entry'!$B$43="Probable")),"sx","")</f>
        <v/>
      </c>
      <c r="BU117" t="str">
        <f>IF(AND(BU$4='Data entry'!$R$43, OR('Data entry'!$B$43="Confirmed",'Data entry'!$B$43="Probable")),"sx","")</f>
        <v/>
      </c>
      <c r="BV117" t="str">
        <f>IF(AND(BV$4='Data entry'!$R$43, OR('Data entry'!$B$43="Confirmed",'Data entry'!$B$43="Probable")),"sx","")</f>
        <v/>
      </c>
      <c r="BW117" t="str">
        <f>IF(AND(BW$4='Data entry'!$R$43, OR('Data entry'!$B$43="Confirmed",'Data entry'!$B$43="Probable")),"sx","")</f>
        <v/>
      </c>
      <c r="BX117" t="str">
        <f>IF(AND(BX$4='Data entry'!$R$43, OR('Data entry'!$B$43="Confirmed",'Data entry'!$B$43="Probable")),"sx","")</f>
        <v/>
      </c>
      <c r="BY117" t="str">
        <f>IF(AND(BY$4='Data entry'!$R$43, OR('Data entry'!$B$43="Confirmed",'Data entry'!$B$43="Probable")),"sx","")</f>
        <v/>
      </c>
      <c r="BZ117" t="str">
        <f>IF(AND(BZ$4='Data entry'!$R$43, OR('Data entry'!$B$43="Confirmed",'Data entry'!$B$43="Probable")),"sx","")</f>
        <v/>
      </c>
      <c r="CA117" t="str">
        <f>IF(AND(CA$4='Data entry'!$R$43, OR('Data entry'!$B$43="Confirmed",'Data entry'!$B$43="Probable")),"sx","")</f>
        <v/>
      </c>
      <c r="CB117" t="str">
        <f>IF(AND(CB$4='Data entry'!$R$43, OR('Data entry'!$B$43="Confirmed",'Data entry'!$B$43="Probable")),"sx","")</f>
        <v/>
      </c>
      <c r="CC117" t="str">
        <f>IF(AND(CC$4='Data entry'!$R$43, OR('Data entry'!$B$43="Confirmed",'Data entry'!$B$43="Probable")),"sx","")</f>
        <v/>
      </c>
    </row>
    <row r="118" spans="1:81" s="64" customFormat="1" ht="2.25" customHeight="1" thickBot="1" x14ac:dyDescent="0.25">
      <c r="A118" s="671"/>
      <c r="B118" s="672"/>
      <c r="C118" s="69"/>
    </row>
    <row r="119" spans="1:81" s="63" customFormat="1" ht="15.75" thickTop="1" x14ac:dyDescent="0.2">
      <c r="A119" s="670" t="str">
        <f>CONCATENATE('Data entry'!J44, " ", 'Data entry'!I44)</f>
        <v xml:space="preserve"> </v>
      </c>
      <c r="B119" s="670"/>
      <c r="C119" s="67"/>
    </row>
    <row r="120" spans="1:81" x14ac:dyDescent="0.2">
      <c r="A120" s="668" t="str">
        <f>CONCATENATE('Data entry'!B44, ", ", 'Data entry'!AO44, ", ", 'Data entry'!AR44)</f>
        <v xml:space="preserve">, , </v>
      </c>
      <c r="B120" s="668"/>
      <c r="C120" s="68"/>
      <c r="Q120" t="str">
        <f>IF(AND(Q$4='Data entry'!$R$44, OR('Data entry'!$B$44="Confirmed",'Data entry'!$B$44="Probable")),"sx","")</f>
        <v/>
      </c>
      <c r="R120" t="str">
        <f>IF(AND(R$4='Data entry'!$R$44, OR('Data entry'!$B$44="Confirmed",'Data entry'!$B$44="Probable")),"sx","")</f>
        <v/>
      </c>
      <c r="S120" t="str">
        <f>IF(AND(S$4='Data entry'!$R$44, OR('Data entry'!$B$44="Confirmed",'Data entry'!$B$44="Probable")),"sx","")</f>
        <v/>
      </c>
      <c r="T120" t="str">
        <f>IF(AND(T$4='Data entry'!$R$44, OR('Data entry'!$B$44="Confirmed",'Data entry'!$B$44="Probable")),"sx","")</f>
        <v/>
      </c>
      <c r="U120" t="str">
        <f>IF(AND(U$4='Data entry'!$R$44, OR('Data entry'!$B$44="Confirmed",'Data entry'!$B$44="Probable")),"sx","")</f>
        <v/>
      </c>
      <c r="V120" t="str">
        <f>IF(AND(V$4='Data entry'!$R$44, OR('Data entry'!$B$44="Confirmed",'Data entry'!$B$44="Probable")),"sx","")</f>
        <v/>
      </c>
      <c r="W120" t="str">
        <f>IF(AND(W$4='Data entry'!$R$44, OR('Data entry'!$B$44="Confirmed",'Data entry'!$B$44="Probable")),"sx","")</f>
        <v/>
      </c>
      <c r="X120" t="str">
        <f>IF(AND(X$4='Data entry'!$R$44, OR('Data entry'!$B$44="Confirmed",'Data entry'!$B$44="Probable")),"sx","")</f>
        <v/>
      </c>
      <c r="Y120" t="str">
        <f>IF(AND(Y$4='Data entry'!$R$44, OR('Data entry'!$B$44="Confirmed",'Data entry'!$B$44="Probable")),"sx","")</f>
        <v/>
      </c>
      <c r="Z120" t="str">
        <f>IF(AND(Z$4='Data entry'!$R$44, OR('Data entry'!$B$44="Confirmed",'Data entry'!$B$44="Probable")),"sx","")</f>
        <v/>
      </c>
      <c r="AA120" t="str">
        <f>IF(AND(AA$4='Data entry'!$R$44, OR('Data entry'!$B$44="Confirmed",'Data entry'!$B$44="Probable")),"sx","")</f>
        <v/>
      </c>
      <c r="AB120" t="str">
        <f>IF(AND(AB$4='Data entry'!$R$44, OR('Data entry'!$B$44="Confirmed",'Data entry'!$B$44="Probable")),"sx","")</f>
        <v/>
      </c>
      <c r="AC120" t="str">
        <f>IF(AND(AC$4='Data entry'!$R$44, OR('Data entry'!$B$44="Confirmed",'Data entry'!$B$44="Probable")),"sx","")</f>
        <v/>
      </c>
      <c r="AD120" t="str">
        <f>IF(AND(AD$4='Data entry'!$R$44, OR('Data entry'!$B$44="Confirmed",'Data entry'!$B$44="Probable")),"sx","")</f>
        <v/>
      </c>
      <c r="AE120" t="str">
        <f>IF(AND(AE$4='Data entry'!$R$44, OR('Data entry'!$B$44="Confirmed",'Data entry'!$B$44="Probable")),"sx","")</f>
        <v/>
      </c>
      <c r="AF120" t="str">
        <f>IF(AND(AF$4='Data entry'!$R$44, OR('Data entry'!$B$44="Confirmed",'Data entry'!$B$44="Probable")),"sx","")</f>
        <v/>
      </c>
      <c r="AG120" t="str">
        <f>IF(AND(AG$4='Data entry'!$R$44, OR('Data entry'!$B$44="Confirmed",'Data entry'!$B$44="Probable")),"sx","")</f>
        <v/>
      </c>
      <c r="AH120" t="str">
        <f>IF(AND(AH$4='Data entry'!$R$44, OR('Data entry'!$B$44="Confirmed",'Data entry'!$B$44="Probable")),"sx","")</f>
        <v/>
      </c>
      <c r="AI120" t="str">
        <f>IF(AND(AI$4='Data entry'!$R$44, OR('Data entry'!$B$44="Confirmed",'Data entry'!$B$44="Probable")),"sx","")</f>
        <v/>
      </c>
      <c r="AJ120" t="str">
        <f>IF(AND(AJ$4='Data entry'!$R$44, OR('Data entry'!$B$44="Confirmed",'Data entry'!$B$44="Probable")),"sx","")</f>
        <v/>
      </c>
      <c r="AK120" t="str">
        <f>IF(AND(AK$4='Data entry'!$R$44, OR('Data entry'!$B$44="Confirmed",'Data entry'!$B$44="Probable")),"sx","")</f>
        <v/>
      </c>
      <c r="AL120" t="str">
        <f>IF(AND(AL$4='Data entry'!$R$44, OR('Data entry'!$B$44="Confirmed",'Data entry'!$B$44="Probable")),"sx","")</f>
        <v/>
      </c>
      <c r="AM120" t="str">
        <f>IF(AND(AM$4='Data entry'!$R$44, OR('Data entry'!$B$44="Confirmed",'Data entry'!$B$44="Probable")),"sx","")</f>
        <v/>
      </c>
      <c r="AN120" t="str">
        <f>IF(AND(AN$4='Data entry'!$R$44, OR('Data entry'!$B$44="Confirmed",'Data entry'!$B$44="Probable")),"sx","")</f>
        <v/>
      </c>
      <c r="AO120" t="str">
        <f>IF(AND(AO$4='Data entry'!$R$44, OR('Data entry'!$B$44="Confirmed",'Data entry'!$B$44="Probable")),"sx","")</f>
        <v/>
      </c>
      <c r="AP120" t="str">
        <f>IF(AND(AP$4='Data entry'!$R$44, OR('Data entry'!$B$44="Confirmed",'Data entry'!$B$44="Probable")),"sx","")</f>
        <v/>
      </c>
      <c r="AQ120" t="str">
        <f>IF(AND(AQ$4='Data entry'!$R$44, OR('Data entry'!$B$44="Confirmed",'Data entry'!$B$44="Probable")),"sx","")</f>
        <v/>
      </c>
      <c r="AR120" t="str">
        <f>IF(AND(AR$4='Data entry'!$R$44, OR('Data entry'!$B$44="Confirmed",'Data entry'!$B$44="Probable")),"sx","")</f>
        <v/>
      </c>
      <c r="AS120" t="str">
        <f>IF(AND(AS$4='Data entry'!$R$44, OR('Data entry'!$B$44="Confirmed",'Data entry'!$B$44="Probable")),"sx","")</f>
        <v/>
      </c>
      <c r="AT120" t="str">
        <f>IF(AND(AT$4='Data entry'!$R$44, OR('Data entry'!$B$44="Confirmed",'Data entry'!$B$44="Probable")),"sx","")</f>
        <v/>
      </c>
      <c r="AU120" t="str">
        <f>IF(AND(AU$4='Data entry'!$R$44, OR('Data entry'!$B$44="Confirmed",'Data entry'!$B$44="Probable")),"sx","")</f>
        <v/>
      </c>
      <c r="AV120" t="str">
        <f>IF(AND(AV$4='Data entry'!$R$44, OR('Data entry'!$B$44="Confirmed",'Data entry'!$B$44="Probable")),"sx","")</f>
        <v/>
      </c>
      <c r="AW120" t="str">
        <f>IF(AND(AW$4='Data entry'!$R$44, OR('Data entry'!$B$44="Confirmed",'Data entry'!$B$44="Probable")),"sx","")</f>
        <v/>
      </c>
      <c r="AX120" t="str">
        <f>IF(AND(AX$4='Data entry'!$R$44, OR('Data entry'!$B$44="Confirmed",'Data entry'!$B$44="Probable")),"sx","")</f>
        <v/>
      </c>
      <c r="AY120" t="str">
        <f>IF(AND(AY$4='Data entry'!$R$44, OR('Data entry'!$B$44="Confirmed",'Data entry'!$B$44="Probable")),"sx","")</f>
        <v/>
      </c>
      <c r="AZ120" t="str">
        <f>IF(AND(AZ$4='Data entry'!$R$44, OR('Data entry'!$B$44="Confirmed",'Data entry'!$B$44="Probable")),"sx","")</f>
        <v/>
      </c>
      <c r="BA120" t="str">
        <f>IF(AND(BA$4='Data entry'!$R$44, OR('Data entry'!$B$44="Confirmed",'Data entry'!$B$44="Probable")),"sx","")</f>
        <v/>
      </c>
      <c r="BB120" t="str">
        <f>IF(AND(BB$4='Data entry'!$R$44, OR('Data entry'!$B$44="Confirmed",'Data entry'!$B$44="Probable")),"sx","")</f>
        <v/>
      </c>
      <c r="BC120" t="str">
        <f>IF(AND(BC$4='Data entry'!$R$44, OR('Data entry'!$B$44="Confirmed",'Data entry'!$B$44="Probable")),"sx","")</f>
        <v/>
      </c>
      <c r="BD120" t="str">
        <f>IF(AND(BD$4='Data entry'!$R$44, OR('Data entry'!$B$44="Confirmed",'Data entry'!$B$44="Probable")),"sx","")</f>
        <v/>
      </c>
      <c r="BE120" t="str">
        <f>IF(AND(BE$4='Data entry'!$R$44, OR('Data entry'!$B$44="Confirmed",'Data entry'!$B$44="Probable")),"sx","")</f>
        <v/>
      </c>
      <c r="BF120" t="str">
        <f>IF(AND(BF$4='Data entry'!$R$44, OR('Data entry'!$B$44="Confirmed",'Data entry'!$B$44="Probable")),"sx","")</f>
        <v/>
      </c>
      <c r="BG120" t="str">
        <f>IF(AND(BG$4='Data entry'!$R$44, OR('Data entry'!$B$44="Confirmed",'Data entry'!$B$44="Probable")),"sx","")</f>
        <v/>
      </c>
      <c r="BH120" t="str">
        <f>IF(AND(BH$4='Data entry'!$R$44, OR('Data entry'!$B$44="Confirmed",'Data entry'!$B$44="Probable")),"sx","")</f>
        <v/>
      </c>
      <c r="BI120" t="str">
        <f>IF(AND(BI$4='Data entry'!$R$44, OR('Data entry'!$B$44="Confirmed",'Data entry'!$B$44="Probable")),"sx","")</f>
        <v/>
      </c>
      <c r="BJ120" t="str">
        <f>IF(AND(BJ$4='Data entry'!$R$44, OR('Data entry'!$B$44="Confirmed",'Data entry'!$B$44="Probable")),"sx","")</f>
        <v/>
      </c>
      <c r="BK120" t="str">
        <f>IF(AND(BK$4='Data entry'!$R$44, OR('Data entry'!$B$44="Confirmed",'Data entry'!$B$44="Probable")),"sx","")</f>
        <v/>
      </c>
      <c r="BL120" t="str">
        <f>IF(AND(BL$4='Data entry'!$R$44, OR('Data entry'!$B$44="Confirmed",'Data entry'!$B$44="Probable")),"sx","")</f>
        <v/>
      </c>
      <c r="BM120" t="str">
        <f>IF(AND(BM$4='Data entry'!$R$44, OR('Data entry'!$B$44="Confirmed",'Data entry'!$B$44="Probable")),"sx","")</f>
        <v/>
      </c>
      <c r="BN120" t="str">
        <f>IF(AND(BN$4='Data entry'!$R$44, OR('Data entry'!$B$44="Confirmed",'Data entry'!$B$44="Probable")),"sx","")</f>
        <v/>
      </c>
      <c r="BO120" t="str">
        <f>IF(AND(BO$4='Data entry'!$R$44, OR('Data entry'!$B$44="Confirmed",'Data entry'!$B$44="Probable")),"sx","")</f>
        <v/>
      </c>
      <c r="BP120" t="str">
        <f>IF(AND(BP$4='Data entry'!$R$44, OR('Data entry'!$B$44="Confirmed",'Data entry'!$B$44="Probable")),"sx","")</f>
        <v/>
      </c>
      <c r="BQ120" t="str">
        <f>IF(AND(BQ$4='Data entry'!$R$44, OR('Data entry'!$B$44="Confirmed",'Data entry'!$B$44="Probable")),"sx","")</f>
        <v/>
      </c>
      <c r="BR120" t="str">
        <f>IF(AND(BR$4='Data entry'!$R$44, OR('Data entry'!$B$44="Confirmed",'Data entry'!$B$44="Probable")),"sx","")</f>
        <v/>
      </c>
      <c r="BS120" t="str">
        <f>IF(AND(BS$4='Data entry'!$R$44, OR('Data entry'!$B$44="Confirmed",'Data entry'!$B$44="Probable")),"sx","")</f>
        <v/>
      </c>
      <c r="BT120" t="str">
        <f>IF(AND(BT$4='Data entry'!$R$44, OR('Data entry'!$B$44="Confirmed",'Data entry'!$B$44="Probable")),"sx","")</f>
        <v/>
      </c>
      <c r="BU120" t="str">
        <f>IF(AND(BU$4='Data entry'!$R$44, OR('Data entry'!$B$44="Confirmed",'Data entry'!$B$44="Probable")),"sx","")</f>
        <v/>
      </c>
      <c r="BV120" t="str">
        <f>IF(AND(BV$4='Data entry'!$R$44, OR('Data entry'!$B$44="Confirmed",'Data entry'!$B$44="Probable")),"sx","")</f>
        <v/>
      </c>
      <c r="BW120" t="str">
        <f>IF(AND(BW$4='Data entry'!$R$44, OR('Data entry'!$B$44="Confirmed",'Data entry'!$B$44="Probable")),"sx","")</f>
        <v/>
      </c>
      <c r="BX120" t="str">
        <f>IF(AND(BX$4='Data entry'!$R$44, OR('Data entry'!$B$44="Confirmed",'Data entry'!$B$44="Probable")),"sx","")</f>
        <v/>
      </c>
      <c r="BY120" t="str">
        <f>IF(AND(BY$4='Data entry'!$R$44, OR('Data entry'!$B$44="Confirmed",'Data entry'!$B$44="Probable")),"sx","")</f>
        <v/>
      </c>
      <c r="BZ120" t="str">
        <f>IF(AND(BZ$4='Data entry'!$R$44, OR('Data entry'!$B$44="Confirmed",'Data entry'!$B$44="Probable")),"sx","")</f>
        <v/>
      </c>
      <c r="CA120" t="str">
        <f>IF(AND(CA$4='Data entry'!$R$44, OR('Data entry'!$B$44="Confirmed",'Data entry'!$B$44="Probable")),"sx","")</f>
        <v/>
      </c>
      <c r="CB120" t="str">
        <f>IF(AND(CB$4='Data entry'!$R$44, OR('Data entry'!$B$44="Confirmed",'Data entry'!$B$44="Probable")),"sx","")</f>
        <v/>
      </c>
      <c r="CC120" t="str">
        <f>IF(AND(CC$4='Data entry'!$R$44, OR('Data entry'!$B$44="Confirmed",'Data entry'!$B$44="Probable")),"sx","")</f>
        <v/>
      </c>
    </row>
    <row r="121" spans="1:81" s="64" customFormat="1" ht="2.25" customHeight="1" thickBot="1" x14ac:dyDescent="0.25">
      <c r="A121" s="671"/>
      <c r="B121" s="672"/>
      <c r="C121" s="69"/>
    </row>
    <row r="122" spans="1:81" s="63" customFormat="1" ht="15.75" thickTop="1" x14ac:dyDescent="0.2">
      <c r="A122" s="670" t="str">
        <f>CONCATENATE('Data entry'!J45, " ", 'Data entry'!I45)</f>
        <v xml:space="preserve"> </v>
      </c>
      <c r="B122" s="670"/>
      <c r="C122" s="67"/>
    </row>
    <row r="123" spans="1:81" x14ac:dyDescent="0.2">
      <c r="A123" s="668" t="str">
        <f>CONCATENATE('Data entry'!B45, ", ", 'Data entry'!AO45, ", ", 'Data entry'!AR45)</f>
        <v xml:space="preserve">, , </v>
      </c>
      <c r="B123" s="668"/>
      <c r="C123" s="68"/>
      <c r="Q123" t="str">
        <f>IF(AND(Q$4='Data entry'!$R$45, OR('Data entry'!$B$45="Confirmed",'Data entry'!$B$45="Probable")),"sx","")</f>
        <v/>
      </c>
      <c r="R123" t="str">
        <f>IF(AND(R$4='Data entry'!$R$45, OR('Data entry'!$B$45="Confirmed",'Data entry'!$B$45="Probable")),"sx","")</f>
        <v/>
      </c>
      <c r="S123" t="str">
        <f>IF(AND(S$4='Data entry'!$R$45, OR('Data entry'!$B$45="Confirmed",'Data entry'!$B$45="Probable")),"sx","")</f>
        <v/>
      </c>
      <c r="T123" t="str">
        <f>IF(AND(T$4='Data entry'!$R$45, OR('Data entry'!$B$45="Confirmed",'Data entry'!$B$45="Probable")),"sx","")</f>
        <v/>
      </c>
      <c r="U123" t="str">
        <f>IF(AND(U$4='Data entry'!$R$45, OR('Data entry'!$B$45="Confirmed",'Data entry'!$B$45="Probable")),"sx","")</f>
        <v/>
      </c>
      <c r="V123" t="str">
        <f>IF(AND(V$4='Data entry'!$R$45, OR('Data entry'!$B$45="Confirmed",'Data entry'!$B$45="Probable")),"sx","")</f>
        <v/>
      </c>
      <c r="W123" t="str">
        <f>IF(AND(W$4='Data entry'!$R$45, OR('Data entry'!$B$45="Confirmed",'Data entry'!$B$45="Probable")),"sx","")</f>
        <v/>
      </c>
      <c r="X123" t="str">
        <f>IF(AND(X$4='Data entry'!$R$45, OR('Data entry'!$B$45="Confirmed",'Data entry'!$B$45="Probable")),"sx","")</f>
        <v/>
      </c>
      <c r="Y123" t="str">
        <f>IF(AND(Y$4='Data entry'!$R$45, OR('Data entry'!$B$45="Confirmed",'Data entry'!$B$45="Probable")),"sx","")</f>
        <v/>
      </c>
      <c r="Z123" t="str">
        <f>IF(AND(Z$4='Data entry'!$R$45, OR('Data entry'!$B$45="Confirmed",'Data entry'!$B$45="Probable")),"sx","")</f>
        <v/>
      </c>
      <c r="AA123" t="str">
        <f>IF(AND(AA$4='Data entry'!$R$45, OR('Data entry'!$B$45="Confirmed",'Data entry'!$B$45="Probable")),"sx","")</f>
        <v/>
      </c>
      <c r="AB123" t="str">
        <f>IF(AND(AB$4='Data entry'!$R$45, OR('Data entry'!$B$45="Confirmed",'Data entry'!$B$45="Probable")),"sx","")</f>
        <v/>
      </c>
      <c r="AC123" t="str">
        <f>IF(AND(AC$4='Data entry'!$R$45, OR('Data entry'!$B$45="Confirmed",'Data entry'!$B$45="Probable")),"sx","")</f>
        <v/>
      </c>
      <c r="AD123" t="str">
        <f>IF(AND(AD$4='Data entry'!$R$45, OR('Data entry'!$B$45="Confirmed",'Data entry'!$B$45="Probable")),"sx","")</f>
        <v/>
      </c>
      <c r="AE123" t="str">
        <f>IF(AND(AE$4='Data entry'!$R$45, OR('Data entry'!$B$45="Confirmed",'Data entry'!$B$45="Probable")),"sx","")</f>
        <v/>
      </c>
      <c r="AF123" t="str">
        <f>IF(AND(AF$4='Data entry'!$R$45, OR('Data entry'!$B$45="Confirmed",'Data entry'!$B$45="Probable")),"sx","")</f>
        <v/>
      </c>
      <c r="AG123" t="str">
        <f>IF(AND(AG$4='Data entry'!$R$45, OR('Data entry'!$B$45="Confirmed",'Data entry'!$B$45="Probable")),"sx","")</f>
        <v/>
      </c>
      <c r="AH123" t="str">
        <f>IF(AND(AH$4='Data entry'!$R$45, OR('Data entry'!$B$45="Confirmed",'Data entry'!$B$45="Probable")),"sx","")</f>
        <v/>
      </c>
      <c r="AI123" t="str">
        <f>IF(AND(AI$4='Data entry'!$R$45, OR('Data entry'!$B$45="Confirmed",'Data entry'!$B$45="Probable")),"sx","")</f>
        <v/>
      </c>
      <c r="AJ123" t="str">
        <f>IF(AND(AJ$4='Data entry'!$R$45, OR('Data entry'!$B$45="Confirmed",'Data entry'!$B$45="Probable")),"sx","")</f>
        <v/>
      </c>
      <c r="AK123" t="str">
        <f>IF(AND(AK$4='Data entry'!$R$45, OR('Data entry'!$B$45="Confirmed",'Data entry'!$B$45="Probable")),"sx","")</f>
        <v/>
      </c>
      <c r="AL123" t="str">
        <f>IF(AND(AL$4='Data entry'!$R$45, OR('Data entry'!$B$45="Confirmed",'Data entry'!$B$45="Probable")),"sx","")</f>
        <v/>
      </c>
      <c r="AM123" t="str">
        <f>IF(AND(AM$4='Data entry'!$R$45, OR('Data entry'!$B$45="Confirmed",'Data entry'!$B$45="Probable")),"sx","")</f>
        <v/>
      </c>
      <c r="AN123" t="str">
        <f>IF(AND(AN$4='Data entry'!$R$45, OR('Data entry'!$B$45="Confirmed",'Data entry'!$B$45="Probable")),"sx","")</f>
        <v/>
      </c>
      <c r="AO123" t="str">
        <f>IF(AND(AO$4='Data entry'!$R$45, OR('Data entry'!$B$45="Confirmed",'Data entry'!$B$45="Probable")),"sx","")</f>
        <v/>
      </c>
      <c r="AP123" t="str">
        <f>IF(AND(AP$4='Data entry'!$R$45, OR('Data entry'!$B$45="Confirmed",'Data entry'!$B$45="Probable")),"sx","")</f>
        <v/>
      </c>
      <c r="AQ123" t="str">
        <f>IF(AND(AQ$4='Data entry'!$R$45, OR('Data entry'!$B$45="Confirmed",'Data entry'!$B$45="Probable")),"sx","")</f>
        <v/>
      </c>
      <c r="AR123" t="str">
        <f>IF(AND(AR$4='Data entry'!$R$45, OR('Data entry'!$B$45="Confirmed",'Data entry'!$B$45="Probable")),"sx","")</f>
        <v/>
      </c>
      <c r="AS123" t="str">
        <f>IF(AND(AS$4='Data entry'!$R$45, OR('Data entry'!$B$45="Confirmed",'Data entry'!$B$45="Probable")),"sx","")</f>
        <v/>
      </c>
      <c r="AT123" t="str">
        <f>IF(AND(AT$4='Data entry'!$R$45, OR('Data entry'!$B$45="Confirmed",'Data entry'!$B$45="Probable")),"sx","")</f>
        <v/>
      </c>
      <c r="AU123" t="str">
        <f>IF(AND(AU$4='Data entry'!$R$45, OR('Data entry'!$B$45="Confirmed",'Data entry'!$B$45="Probable")),"sx","")</f>
        <v/>
      </c>
      <c r="AV123" t="str">
        <f>IF(AND(AV$4='Data entry'!$R$45, OR('Data entry'!$B$45="Confirmed",'Data entry'!$B$45="Probable")),"sx","")</f>
        <v/>
      </c>
      <c r="AW123" t="str">
        <f>IF(AND(AW$4='Data entry'!$R$45, OR('Data entry'!$B$45="Confirmed",'Data entry'!$B$45="Probable")),"sx","")</f>
        <v/>
      </c>
      <c r="AX123" t="str">
        <f>IF(AND(AX$4='Data entry'!$R$45, OR('Data entry'!$B$45="Confirmed",'Data entry'!$B$45="Probable")),"sx","")</f>
        <v/>
      </c>
      <c r="AY123" t="str">
        <f>IF(AND(AY$4='Data entry'!$R$45, OR('Data entry'!$B$45="Confirmed",'Data entry'!$B$45="Probable")),"sx","")</f>
        <v/>
      </c>
      <c r="AZ123" t="str">
        <f>IF(AND(AZ$4='Data entry'!$R$45, OR('Data entry'!$B$45="Confirmed",'Data entry'!$B$45="Probable")),"sx","")</f>
        <v/>
      </c>
      <c r="BA123" t="str">
        <f>IF(AND(BA$4='Data entry'!$R$45, OR('Data entry'!$B$45="Confirmed",'Data entry'!$B$45="Probable")),"sx","")</f>
        <v/>
      </c>
      <c r="BB123" t="str">
        <f>IF(AND(BB$4='Data entry'!$R$45, OR('Data entry'!$B$45="Confirmed",'Data entry'!$B$45="Probable")),"sx","")</f>
        <v/>
      </c>
      <c r="BC123" t="str">
        <f>IF(AND(BC$4='Data entry'!$R$45, OR('Data entry'!$B$45="Confirmed",'Data entry'!$B$45="Probable")),"sx","")</f>
        <v/>
      </c>
      <c r="BD123" t="str">
        <f>IF(AND(BD$4='Data entry'!$R$45, OR('Data entry'!$B$45="Confirmed",'Data entry'!$B$45="Probable")),"sx","")</f>
        <v/>
      </c>
      <c r="BE123" t="str">
        <f>IF(AND(BE$4='Data entry'!$R$45, OR('Data entry'!$B$45="Confirmed",'Data entry'!$B$45="Probable")),"sx","")</f>
        <v/>
      </c>
      <c r="BF123" t="str">
        <f>IF(AND(BF$4='Data entry'!$R$45, OR('Data entry'!$B$45="Confirmed",'Data entry'!$B$45="Probable")),"sx","")</f>
        <v/>
      </c>
      <c r="BG123" t="str">
        <f>IF(AND(BG$4='Data entry'!$R$45, OR('Data entry'!$B$45="Confirmed",'Data entry'!$B$45="Probable")),"sx","")</f>
        <v/>
      </c>
      <c r="BH123" t="str">
        <f>IF(AND(BH$4='Data entry'!$R$45, OR('Data entry'!$B$45="Confirmed",'Data entry'!$B$45="Probable")),"sx","")</f>
        <v/>
      </c>
      <c r="BI123" t="str">
        <f>IF(AND(BI$4='Data entry'!$R$45, OR('Data entry'!$B$45="Confirmed",'Data entry'!$B$45="Probable")),"sx","")</f>
        <v/>
      </c>
      <c r="BJ123" t="str">
        <f>IF(AND(BJ$4='Data entry'!$R$45, OR('Data entry'!$B$45="Confirmed",'Data entry'!$B$45="Probable")),"sx","")</f>
        <v/>
      </c>
      <c r="BK123" t="str">
        <f>IF(AND(BK$4='Data entry'!$R$45, OR('Data entry'!$B$45="Confirmed",'Data entry'!$B$45="Probable")),"sx","")</f>
        <v/>
      </c>
      <c r="BL123" t="str">
        <f>IF(AND(BL$4='Data entry'!$R$45, OR('Data entry'!$B$45="Confirmed",'Data entry'!$B$45="Probable")),"sx","")</f>
        <v/>
      </c>
      <c r="BM123" t="str">
        <f>IF(AND(BM$4='Data entry'!$R$45, OR('Data entry'!$B$45="Confirmed",'Data entry'!$B$45="Probable")),"sx","")</f>
        <v/>
      </c>
      <c r="BN123" t="str">
        <f>IF(AND(BN$4='Data entry'!$R$45, OR('Data entry'!$B$45="Confirmed",'Data entry'!$B$45="Probable")),"sx","")</f>
        <v/>
      </c>
      <c r="BO123" t="str">
        <f>IF(AND(BO$4='Data entry'!$R$45, OR('Data entry'!$B$45="Confirmed",'Data entry'!$B$45="Probable")),"sx","")</f>
        <v/>
      </c>
      <c r="BP123" t="str">
        <f>IF(AND(BP$4='Data entry'!$R$45, OR('Data entry'!$B$45="Confirmed",'Data entry'!$B$45="Probable")),"sx","")</f>
        <v/>
      </c>
      <c r="BQ123" t="str">
        <f>IF(AND(BQ$4='Data entry'!$R$45, OR('Data entry'!$B$45="Confirmed",'Data entry'!$B$45="Probable")),"sx","")</f>
        <v/>
      </c>
      <c r="BR123" t="str">
        <f>IF(AND(BR$4='Data entry'!$R$45, OR('Data entry'!$B$45="Confirmed",'Data entry'!$B$45="Probable")),"sx","")</f>
        <v/>
      </c>
      <c r="BS123" t="str">
        <f>IF(AND(BS$4='Data entry'!$R$45, OR('Data entry'!$B$45="Confirmed",'Data entry'!$B$45="Probable")),"sx","")</f>
        <v/>
      </c>
      <c r="BT123" t="str">
        <f>IF(AND(BT$4='Data entry'!$R$45, OR('Data entry'!$B$45="Confirmed",'Data entry'!$B$45="Probable")),"sx","")</f>
        <v/>
      </c>
      <c r="BU123" t="str">
        <f>IF(AND(BU$4='Data entry'!$R$45, OR('Data entry'!$B$45="Confirmed",'Data entry'!$B$45="Probable")),"sx","")</f>
        <v/>
      </c>
      <c r="BV123" t="str">
        <f>IF(AND(BV$4='Data entry'!$R$45, OR('Data entry'!$B$45="Confirmed",'Data entry'!$B$45="Probable")),"sx","")</f>
        <v/>
      </c>
      <c r="BW123" t="str">
        <f>IF(AND(BW$4='Data entry'!$R$45, OR('Data entry'!$B$45="Confirmed",'Data entry'!$B$45="Probable")),"sx","")</f>
        <v/>
      </c>
      <c r="BX123" t="str">
        <f>IF(AND(BX$4='Data entry'!$R$45, OR('Data entry'!$B$45="Confirmed",'Data entry'!$B$45="Probable")),"sx","")</f>
        <v/>
      </c>
      <c r="BY123" t="str">
        <f>IF(AND(BY$4='Data entry'!$R$45, OR('Data entry'!$B$45="Confirmed",'Data entry'!$B$45="Probable")),"sx","")</f>
        <v/>
      </c>
      <c r="BZ123" t="str">
        <f>IF(AND(BZ$4='Data entry'!$R$45, OR('Data entry'!$B$45="Confirmed",'Data entry'!$B$45="Probable")),"sx","")</f>
        <v/>
      </c>
      <c r="CA123" t="str">
        <f>IF(AND(CA$4='Data entry'!$R$45, OR('Data entry'!$B$45="Confirmed",'Data entry'!$B$45="Probable")),"sx","")</f>
        <v/>
      </c>
      <c r="CB123" t="str">
        <f>IF(AND(CB$4='Data entry'!$R$45, OR('Data entry'!$B$45="Confirmed",'Data entry'!$B$45="Probable")),"sx","")</f>
        <v/>
      </c>
      <c r="CC123" t="str">
        <f>IF(AND(CC$4='Data entry'!$R$45, OR('Data entry'!$B$45="Confirmed",'Data entry'!$B$45="Probable")),"sx","")</f>
        <v/>
      </c>
    </row>
    <row r="124" spans="1:81" s="64" customFormat="1" ht="2.25" customHeight="1" thickBot="1" x14ac:dyDescent="0.25">
      <c r="A124" s="671"/>
      <c r="B124" s="672"/>
      <c r="C124" s="69"/>
    </row>
    <row r="125" spans="1:81" s="63" customFormat="1" ht="15.75" thickTop="1" x14ac:dyDescent="0.2">
      <c r="A125" s="670" t="str">
        <f>CONCATENATE('Data entry'!J46, " ", 'Data entry'!I46)</f>
        <v xml:space="preserve"> </v>
      </c>
      <c r="B125" s="670"/>
      <c r="C125" s="67"/>
    </row>
    <row r="126" spans="1:81" x14ac:dyDescent="0.2">
      <c r="A126" s="668" t="str">
        <f>CONCATENATE('Data entry'!B46, ", ", 'Data entry'!AO46, ", ", 'Data entry'!AR46)</f>
        <v xml:space="preserve">, , </v>
      </c>
      <c r="B126" s="668"/>
      <c r="C126" s="68"/>
      <c r="Q126" t="str">
        <f>IF(AND(Q$4='Data entry'!$R$46, OR('Data entry'!$B$46="Confirmed",'Data entry'!$B$46="Probable")),"sx","")</f>
        <v/>
      </c>
      <c r="R126" t="str">
        <f>IF(AND(R$4='Data entry'!$R$46, OR('Data entry'!$B$46="Confirmed",'Data entry'!$B$46="Probable")),"sx","")</f>
        <v/>
      </c>
      <c r="S126" t="str">
        <f>IF(AND(S$4='Data entry'!$R$46, OR('Data entry'!$B$46="Confirmed",'Data entry'!$B$46="Probable")),"sx","")</f>
        <v/>
      </c>
      <c r="T126" t="str">
        <f>IF(AND(T$4='Data entry'!$R$46, OR('Data entry'!$B$46="Confirmed",'Data entry'!$B$46="Probable")),"sx","")</f>
        <v/>
      </c>
      <c r="U126" t="str">
        <f>IF(AND(U$4='Data entry'!$R$46, OR('Data entry'!$B$46="Confirmed",'Data entry'!$B$46="Probable")),"sx","")</f>
        <v/>
      </c>
      <c r="V126" t="str">
        <f>IF(AND(V$4='Data entry'!$R$46, OR('Data entry'!$B$46="Confirmed",'Data entry'!$B$46="Probable")),"sx","")</f>
        <v/>
      </c>
      <c r="W126" t="str">
        <f>IF(AND(W$4='Data entry'!$R$46, OR('Data entry'!$B$46="Confirmed",'Data entry'!$B$46="Probable")),"sx","")</f>
        <v/>
      </c>
      <c r="X126" t="str">
        <f>IF(AND(X$4='Data entry'!$R$46, OR('Data entry'!$B$46="Confirmed",'Data entry'!$B$46="Probable")),"sx","")</f>
        <v/>
      </c>
      <c r="Y126" t="str">
        <f>IF(AND(Y$4='Data entry'!$R$46, OR('Data entry'!$B$46="Confirmed",'Data entry'!$B$46="Probable")),"sx","")</f>
        <v/>
      </c>
      <c r="Z126" t="str">
        <f>IF(AND(Z$4='Data entry'!$R$46, OR('Data entry'!$B$46="Confirmed",'Data entry'!$B$46="Probable")),"sx","")</f>
        <v/>
      </c>
      <c r="AA126" t="str">
        <f>IF(AND(AA$4='Data entry'!$R$46, OR('Data entry'!$B$46="Confirmed",'Data entry'!$B$46="Probable")),"sx","")</f>
        <v/>
      </c>
      <c r="AB126" t="str">
        <f>IF(AND(AB$4='Data entry'!$R$46, OR('Data entry'!$B$46="Confirmed",'Data entry'!$B$46="Probable")),"sx","")</f>
        <v/>
      </c>
      <c r="AC126" t="str">
        <f>IF(AND(AC$4='Data entry'!$R$46, OR('Data entry'!$B$46="Confirmed",'Data entry'!$B$46="Probable")),"sx","")</f>
        <v/>
      </c>
      <c r="AD126" t="str">
        <f>IF(AND(AD$4='Data entry'!$R$46, OR('Data entry'!$B$46="Confirmed",'Data entry'!$B$46="Probable")),"sx","")</f>
        <v/>
      </c>
      <c r="AE126" t="str">
        <f>IF(AND(AE$4='Data entry'!$R$46, OR('Data entry'!$B$46="Confirmed",'Data entry'!$B$46="Probable")),"sx","")</f>
        <v/>
      </c>
      <c r="AF126" t="str">
        <f>IF(AND(AF$4='Data entry'!$R$46, OR('Data entry'!$B$46="Confirmed",'Data entry'!$B$46="Probable")),"sx","")</f>
        <v/>
      </c>
      <c r="AG126" t="str">
        <f>IF(AND(AG$4='Data entry'!$R$46, OR('Data entry'!$B$46="Confirmed",'Data entry'!$B$46="Probable")),"sx","")</f>
        <v/>
      </c>
      <c r="AH126" t="str">
        <f>IF(AND(AH$4='Data entry'!$R$46, OR('Data entry'!$B$46="Confirmed",'Data entry'!$B$46="Probable")),"sx","")</f>
        <v/>
      </c>
      <c r="AI126" t="str">
        <f>IF(AND(AI$4='Data entry'!$R$46, OR('Data entry'!$B$46="Confirmed",'Data entry'!$B$46="Probable")),"sx","")</f>
        <v/>
      </c>
      <c r="AJ126" t="str">
        <f>IF(AND(AJ$4='Data entry'!$R$46, OR('Data entry'!$B$46="Confirmed",'Data entry'!$B$46="Probable")),"sx","")</f>
        <v/>
      </c>
      <c r="AK126" t="str">
        <f>IF(AND(AK$4='Data entry'!$R$46, OR('Data entry'!$B$46="Confirmed",'Data entry'!$B$46="Probable")),"sx","")</f>
        <v/>
      </c>
      <c r="AL126" t="str">
        <f>IF(AND(AL$4='Data entry'!$R$46, OR('Data entry'!$B$46="Confirmed",'Data entry'!$B$46="Probable")),"sx","")</f>
        <v/>
      </c>
      <c r="AM126" t="str">
        <f>IF(AND(AM$4='Data entry'!$R$46, OR('Data entry'!$B$46="Confirmed",'Data entry'!$B$46="Probable")),"sx","")</f>
        <v/>
      </c>
      <c r="AN126" t="str">
        <f>IF(AND(AN$4='Data entry'!$R$46, OR('Data entry'!$B$46="Confirmed",'Data entry'!$B$46="Probable")),"sx","")</f>
        <v/>
      </c>
      <c r="AO126" t="str">
        <f>IF(AND(AO$4='Data entry'!$R$46, OR('Data entry'!$B$46="Confirmed",'Data entry'!$B$46="Probable")),"sx","")</f>
        <v/>
      </c>
      <c r="AP126" t="str">
        <f>IF(AND(AP$4='Data entry'!$R$46, OR('Data entry'!$B$46="Confirmed",'Data entry'!$B$46="Probable")),"sx","")</f>
        <v/>
      </c>
      <c r="AQ126" t="str">
        <f>IF(AND(AQ$4='Data entry'!$R$46, OR('Data entry'!$B$46="Confirmed",'Data entry'!$B$46="Probable")),"sx","")</f>
        <v/>
      </c>
      <c r="AR126" t="str">
        <f>IF(AND(AR$4='Data entry'!$R$46, OR('Data entry'!$B$46="Confirmed",'Data entry'!$B$46="Probable")),"sx","")</f>
        <v/>
      </c>
      <c r="AS126" t="str">
        <f>IF(AND(AS$4='Data entry'!$R$46, OR('Data entry'!$B$46="Confirmed",'Data entry'!$B$46="Probable")),"sx","")</f>
        <v/>
      </c>
      <c r="AT126" t="str">
        <f>IF(AND(AT$4='Data entry'!$R$46, OR('Data entry'!$B$46="Confirmed",'Data entry'!$B$46="Probable")),"sx","")</f>
        <v/>
      </c>
      <c r="AU126" t="str">
        <f>IF(AND(AU$4='Data entry'!$R$46, OR('Data entry'!$B$46="Confirmed",'Data entry'!$B$46="Probable")),"sx","")</f>
        <v/>
      </c>
      <c r="AV126" t="str">
        <f>IF(AND(AV$4='Data entry'!$R$46, OR('Data entry'!$B$46="Confirmed",'Data entry'!$B$46="Probable")),"sx","")</f>
        <v/>
      </c>
      <c r="AW126" t="str">
        <f>IF(AND(AW$4='Data entry'!$R$46, OR('Data entry'!$B$46="Confirmed",'Data entry'!$B$46="Probable")),"sx","")</f>
        <v/>
      </c>
      <c r="AX126" t="str">
        <f>IF(AND(AX$4='Data entry'!$R$46, OR('Data entry'!$B$46="Confirmed",'Data entry'!$B$46="Probable")),"sx","")</f>
        <v/>
      </c>
      <c r="AY126" t="str">
        <f>IF(AND(AY$4='Data entry'!$R$46, OR('Data entry'!$B$46="Confirmed",'Data entry'!$B$46="Probable")),"sx","")</f>
        <v/>
      </c>
      <c r="AZ126" t="str">
        <f>IF(AND(AZ$4='Data entry'!$R$46, OR('Data entry'!$B$46="Confirmed",'Data entry'!$B$46="Probable")),"sx","")</f>
        <v/>
      </c>
      <c r="BA126" t="str">
        <f>IF(AND(BA$4='Data entry'!$R$46, OR('Data entry'!$B$46="Confirmed",'Data entry'!$B$46="Probable")),"sx","")</f>
        <v/>
      </c>
      <c r="BB126" t="str">
        <f>IF(AND(BB$4='Data entry'!$R$46, OR('Data entry'!$B$46="Confirmed",'Data entry'!$B$46="Probable")),"sx","")</f>
        <v/>
      </c>
      <c r="BC126" t="str">
        <f>IF(AND(BC$4='Data entry'!$R$46, OR('Data entry'!$B$46="Confirmed",'Data entry'!$B$46="Probable")),"sx","")</f>
        <v/>
      </c>
      <c r="BD126" t="str">
        <f>IF(AND(BD$4='Data entry'!$R$46, OR('Data entry'!$B$46="Confirmed",'Data entry'!$B$46="Probable")),"sx","")</f>
        <v/>
      </c>
      <c r="BE126" t="str">
        <f>IF(AND(BE$4='Data entry'!$R$46, OR('Data entry'!$B$46="Confirmed",'Data entry'!$B$46="Probable")),"sx","")</f>
        <v/>
      </c>
      <c r="BF126" t="str">
        <f>IF(AND(BF$4='Data entry'!$R$46, OR('Data entry'!$B$46="Confirmed",'Data entry'!$B$46="Probable")),"sx","")</f>
        <v/>
      </c>
      <c r="BG126" t="str">
        <f>IF(AND(BG$4='Data entry'!$R$46, OR('Data entry'!$B$46="Confirmed",'Data entry'!$B$46="Probable")),"sx","")</f>
        <v/>
      </c>
      <c r="BH126" t="str">
        <f>IF(AND(BH$4='Data entry'!$R$46, OR('Data entry'!$B$46="Confirmed",'Data entry'!$B$46="Probable")),"sx","")</f>
        <v/>
      </c>
      <c r="BI126" t="str">
        <f>IF(AND(BI$4='Data entry'!$R$46, OR('Data entry'!$B$46="Confirmed",'Data entry'!$B$46="Probable")),"sx","")</f>
        <v/>
      </c>
      <c r="BJ126" t="str">
        <f>IF(AND(BJ$4='Data entry'!$R$46, OR('Data entry'!$B$46="Confirmed",'Data entry'!$B$46="Probable")),"sx","")</f>
        <v/>
      </c>
      <c r="BK126" t="str">
        <f>IF(AND(BK$4='Data entry'!$R$46, OR('Data entry'!$B$46="Confirmed",'Data entry'!$B$46="Probable")),"sx","")</f>
        <v/>
      </c>
      <c r="BL126" t="str">
        <f>IF(AND(BL$4='Data entry'!$R$46, OR('Data entry'!$B$46="Confirmed",'Data entry'!$B$46="Probable")),"sx","")</f>
        <v/>
      </c>
      <c r="BM126" t="str">
        <f>IF(AND(BM$4='Data entry'!$R$46, OR('Data entry'!$B$46="Confirmed",'Data entry'!$B$46="Probable")),"sx","")</f>
        <v/>
      </c>
      <c r="BN126" t="str">
        <f>IF(AND(BN$4='Data entry'!$R$46, OR('Data entry'!$B$46="Confirmed",'Data entry'!$B$46="Probable")),"sx","")</f>
        <v/>
      </c>
      <c r="BO126" t="str">
        <f>IF(AND(BO$4='Data entry'!$R$46, OR('Data entry'!$B$46="Confirmed",'Data entry'!$B$46="Probable")),"sx","")</f>
        <v/>
      </c>
      <c r="BP126" t="str">
        <f>IF(AND(BP$4='Data entry'!$R$46, OR('Data entry'!$B$46="Confirmed",'Data entry'!$B$46="Probable")),"sx","")</f>
        <v/>
      </c>
      <c r="BQ126" t="str">
        <f>IF(AND(BQ$4='Data entry'!$R$46, OR('Data entry'!$B$46="Confirmed",'Data entry'!$B$46="Probable")),"sx","")</f>
        <v/>
      </c>
      <c r="BR126" t="str">
        <f>IF(AND(BR$4='Data entry'!$R$46, OR('Data entry'!$B$46="Confirmed",'Data entry'!$B$46="Probable")),"sx","")</f>
        <v/>
      </c>
      <c r="BS126" t="str">
        <f>IF(AND(BS$4='Data entry'!$R$46, OR('Data entry'!$B$46="Confirmed",'Data entry'!$B$46="Probable")),"sx","")</f>
        <v/>
      </c>
      <c r="BT126" t="str">
        <f>IF(AND(BT$4='Data entry'!$R$46, OR('Data entry'!$B$46="Confirmed",'Data entry'!$B$46="Probable")),"sx","")</f>
        <v/>
      </c>
      <c r="BU126" t="str">
        <f>IF(AND(BU$4='Data entry'!$R$46, OR('Data entry'!$B$46="Confirmed",'Data entry'!$B$46="Probable")),"sx","")</f>
        <v/>
      </c>
      <c r="BV126" t="str">
        <f>IF(AND(BV$4='Data entry'!$R$46, OR('Data entry'!$B$46="Confirmed",'Data entry'!$B$46="Probable")),"sx","")</f>
        <v/>
      </c>
      <c r="BW126" t="str">
        <f>IF(AND(BW$4='Data entry'!$R$46, OR('Data entry'!$B$46="Confirmed",'Data entry'!$B$46="Probable")),"sx","")</f>
        <v/>
      </c>
      <c r="BX126" t="str">
        <f>IF(AND(BX$4='Data entry'!$R$46, OR('Data entry'!$B$46="Confirmed",'Data entry'!$B$46="Probable")),"sx","")</f>
        <v/>
      </c>
      <c r="BY126" t="str">
        <f>IF(AND(BY$4='Data entry'!$R$46, OR('Data entry'!$B$46="Confirmed",'Data entry'!$B$46="Probable")),"sx","")</f>
        <v/>
      </c>
      <c r="BZ126" t="str">
        <f>IF(AND(BZ$4='Data entry'!$R$46, OR('Data entry'!$B$46="Confirmed",'Data entry'!$B$46="Probable")),"sx","")</f>
        <v/>
      </c>
      <c r="CA126" t="str">
        <f>IF(AND(CA$4='Data entry'!$R$46, OR('Data entry'!$B$46="Confirmed",'Data entry'!$B$46="Probable")),"sx","")</f>
        <v/>
      </c>
      <c r="CB126" t="str">
        <f>IF(AND(CB$4='Data entry'!$R$46, OR('Data entry'!$B$46="Confirmed",'Data entry'!$B$46="Probable")),"sx","")</f>
        <v/>
      </c>
      <c r="CC126" t="str">
        <f>IF(AND(CC$4='Data entry'!$R$46, OR('Data entry'!$B$46="Confirmed",'Data entry'!$B$46="Probable")),"sx","")</f>
        <v/>
      </c>
    </row>
    <row r="127" spans="1:81" s="64" customFormat="1" ht="2.25" customHeight="1" thickBot="1" x14ac:dyDescent="0.25">
      <c r="A127" s="671"/>
      <c r="B127" s="672"/>
      <c r="C127" s="69"/>
    </row>
    <row r="128" spans="1:81" s="63" customFormat="1" ht="15.75" thickTop="1" x14ac:dyDescent="0.2">
      <c r="A128" s="670" t="str">
        <f>CONCATENATE('Data entry'!J47, " ", 'Data entry'!I47)</f>
        <v xml:space="preserve"> </v>
      </c>
      <c r="B128" s="670"/>
      <c r="C128" s="67"/>
    </row>
    <row r="129" spans="1:81" x14ac:dyDescent="0.2">
      <c r="A129" s="668" t="str">
        <f>CONCATENATE('Data entry'!B47, ", ", 'Data entry'!AO47, ", ", 'Data entry'!AR47)</f>
        <v xml:space="preserve">, , </v>
      </c>
      <c r="B129" s="668"/>
      <c r="C129" s="68"/>
      <c r="Q129" t="str">
        <f>IF(AND(Q$4='Data entry'!$R$47, OR('Data entry'!$B$47="Confirmed",'Data entry'!$B$47="Probable")),"sx","")</f>
        <v/>
      </c>
      <c r="R129" t="str">
        <f>IF(AND(R$4='Data entry'!$R$47, OR('Data entry'!$B$47="Confirmed",'Data entry'!$B$47="Probable")),"sx","")</f>
        <v/>
      </c>
      <c r="S129" t="str">
        <f>IF(AND(S$4='Data entry'!$R$47, OR('Data entry'!$B$47="Confirmed",'Data entry'!$B$47="Probable")),"sx","")</f>
        <v/>
      </c>
      <c r="T129" t="str">
        <f>IF(AND(T$4='Data entry'!$R$47, OR('Data entry'!$B$47="Confirmed",'Data entry'!$B$47="Probable")),"sx","")</f>
        <v/>
      </c>
      <c r="U129" t="str">
        <f>IF(AND(U$4='Data entry'!$R$47, OR('Data entry'!$B$47="Confirmed",'Data entry'!$B$47="Probable")),"sx","")</f>
        <v/>
      </c>
      <c r="V129" t="str">
        <f>IF(AND(V$4='Data entry'!$R$47, OR('Data entry'!$B$47="Confirmed",'Data entry'!$B$47="Probable")),"sx","")</f>
        <v/>
      </c>
      <c r="W129" t="str">
        <f>IF(AND(W$4='Data entry'!$R$47, OR('Data entry'!$B$47="Confirmed",'Data entry'!$B$47="Probable")),"sx","")</f>
        <v/>
      </c>
      <c r="X129" t="str">
        <f>IF(AND(X$4='Data entry'!$R$47, OR('Data entry'!$B$47="Confirmed",'Data entry'!$B$47="Probable")),"sx","")</f>
        <v/>
      </c>
      <c r="Y129" t="str">
        <f>IF(AND(Y$4='Data entry'!$R$47, OR('Data entry'!$B$47="Confirmed",'Data entry'!$B$47="Probable")),"sx","")</f>
        <v/>
      </c>
      <c r="Z129" t="str">
        <f>IF(AND(Z$4='Data entry'!$R$47, OR('Data entry'!$B$47="Confirmed",'Data entry'!$B$47="Probable")),"sx","")</f>
        <v/>
      </c>
      <c r="AA129" t="str">
        <f>IF(AND(AA$4='Data entry'!$R$47, OR('Data entry'!$B$47="Confirmed",'Data entry'!$B$47="Probable")),"sx","")</f>
        <v/>
      </c>
      <c r="AB129" t="str">
        <f>IF(AND(AB$4='Data entry'!$R$47, OR('Data entry'!$B$47="Confirmed",'Data entry'!$B$47="Probable")),"sx","")</f>
        <v/>
      </c>
      <c r="AC129" t="str">
        <f>IF(AND(AC$4='Data entry'!$R$47, OR('Data entry'!$B$47="Confirmed",'Data entry'!$B$47="Probable")),"sx","")</f>
        <v/>
      </c>
      <c r="AD129" t="str">
        <f>IF(AND(AD$4='Data entry'!$R$47, OR('Data entry'!$B$47="Confirmed",'Data entry'!$B$47="Probable")),"sx","")</f>
        <v/>
      </c>
      <c r="AE129" t="str">
        <f>IF(AND(AE$4='Data entry'!$R$47, OR('Data entry'!$B$47="Confirmed",'Data entry'!$B$47="Probable")),"sx","")</f>
        <v/>
      </c>
      <c r="AF129" t="str">
        <f>IF(AND(AF$4='Data entry'!$R$47, OR('Data entry'!$B$47="Confirmed",'Data entry'!$B$47="Probable")),"sx","")</f>
        <v/>
      </c>
      <c r="AG129" t="str">
        <f>IF(AND(AG$4='Data entry'!$R$47, OR('Data entry'!$B$47="Confirmed",'Data entry'!$B$47="Probable")),"sx","")</f>
        <v/>
      </c>
      <c r="AH129" t="str">
        <f>IF(AND(AH$4='Data entry'!$R$47, OR('Data entry'!$B$47="Confirmed",'Data entry'!$B$47="Probable")),"sx","")</f>
        <v/>
      </c>
      <c r="AI129" t="str">
        <f>IF(AND(AI$4='Data entry'!$R$47, OR('Data entry'!$B$47="Confirmed",'Data entry'!$B$47="Probable")),"sx","")</f>
        <v/>
      </c>
      <c r="AJ129" t="str">
        <f>IF(AND(AJ$4='Data entry'!$R$47, OR('Data entry'!$B$47="Confirmed",'Data entry'!$B$47="Probable")),"sx","")</f>
        <v/>
      </c>
      <c r="AK129" t="str">
        <f>IF(AND(AK$4='Data entry'!$R$47, OR('Data entry'!$B$47="Confirmed",'Data entry'!$B$47="Probable")),"sx","")</f>
        <v/>
      </c>
      <c r="AL129" t="str">
        <f>IF(AND(AL$4='Data entry'!$R$47, OR('Data entry'!$B$47="Confirmed",'Data entry'!$B$47="Probable")),"sx","")</f>
        <v/>
      </c>
      <c r="AM129" t="str">
        <f>IF(AND(AM$4='Data entry'!$R$47, OR('Data entry'!$B$47="Confirmed",'Data entry'!$B$47="Probable")),"sx","")</f>
        <v/>
      </c>
      <c r="AN129" t="str">
        <f>IF(AND(AN$4='Data entry'!$R$47, OR('Data entry'!$B$47="Confirmed",'Data entry'!$B$47="Probable")),"sx","")</f>
        <v/>
      </c>
      <c r="AO129" t="str">
        <f>IF(AND(AO$4='Data entry'!$R$47, OR('Data entry'!$B$47="Confirmed",'Data entry'!$B$47="Probable")),"sx","")</f>
        <v/>
      </c>
      <c r="AP129" t="str">
        <f>IF(AND(AP$4='Data entry'!$R$47, OR('Data entry'!$B$47="Confirmed",'Data entry'!$B$47="Probable")),"sx","")</f>
        <v/>
      </c>
      <c r="AQ129" t="str">
        <f>IF(AND(AQ$4='Data entry'!$R$47, OR('Data entry'!$B$47="Confirmed",'Data entry'!$B$47="Probable")),"sx","")</f>
        <v/>
      </c>
      <c r="AR129" t="str">
        <f>IF(AND(AR$4='Data entry'!$R$47, OR('Data entry'!$B$47="Confirmed",'Data entry'!$B$47="Probable")),"sx","")</f>
        <v/>
      </c>
      <c r="AS129" t="str">
        <f>IF(AND(AS$4='Data entry'!$R$47, OR('Data entry'!$B$47="Confirmed",'Data entry'!$B$47="Probable")),"sx","")</f>
        <v/>
      </c>
      <c r="AT129" t="str">
        <f>IF(AND(AT$4='Data entry'!$R$47, OR('Data entry'!$B$47="Confirmed",'Data entry'!$B$47="Probable")),"sx","")</f>
        <v/>
      </c>
      <c r="AU129" t="str">
        <f>IF(AND(AU$4='Data entry'!$R$47, OR('Data entry'!$B$47="Confirmed",'Data entry'!$B$47="Probable")),"sx","")</f>
        <v/>
      </c>
      <c r="AV129" t="str">
        <f>IF(AND(AV$4='Data entry'!$R$47, OR('Data entry'!$B$47="Confirmed",'Data entry'!$B$47="Probable")),"sx","")</f>
        <v/>
      </c>
      <c r="AW129" t="str">
        <f>IF(AND(AW$4='Data entry'!$R$47, OR('Data entry'!$B$47="Confirmed",'Data entry'!$B$47="Probable")),"sx","")</f>
        <v/>
      </c>
      <c r="AX129" t="str">
        <f>IF(AND(AX$4='Data entry'!$R$47, OR('Data entry'!$B$47="Confirmed",'Data entry'!$B$47="Probable")),"sx","")</f>
        <v/>
      </c>
      <c r="AY129" t="str">
        <f>IF(AND(AY$4='Data entry'!$R$47, OR('Data entry'!$B$47="Confirmed",'Data entry'!$B$47="Probable")),"sx","")</f>
        <v/>
      </c>
      <c r="AZ129" t="str">
        <f>IF(AND(AZ$4='Data entry'!$R$47, OR('Data entry'!$B$47="Confirmed",'Data entry'!$B$47="Probable")),"sx","")</f>
        <v/>
      </c>
      <c r="BA129" t="str">
        <f>IF(AND(BA$4='Data entry'!$R$47, OR('Data entry'!$B$47="Confirmed",'Data entry'!$B$47="Probable")),"sx","")</f>
        <v/>
      </c>
      <c r="BB129" t="str">
        <f>IF(AND(BB$4='Data entry'!$R$47, OR('Data entry'!$B$47="Confirmed",'Data entry'!$B$47="Probable")),"sx","")</f>
        <v/>
      </c>
      <c r="BC129" t="str">
        <f>IF(AND(BC$4='Data entry'!$R$47, OR('Data entry'!$B$47="Confirmed",'Data entry'!$B$47="Probable")),"sx","")</f>
        <v/>
      </c>
      <c r="BD129" t="str">
        <f>IF(AND(BD$4='Data entry'!$R$47, OR('Data entry'!$B$47="Confirmed",'Data entry'!$B$47="Probable")),"sx","")</f>
        <v/>
      </c>
      <c r="BE129" t="str">
        <f>IF(AND(BE$4='Data entry'!$R$47, OR('Data entry'!$B$47="Confirmed",'Data entry'!$B$47="Probable")),"sx","")</f>
        <v/>
      </c>
      <c r="BF129" t="str">
        <f>IF(AND(BF$4='Data entry'!$R$47, OR('Data entry'!$B$47="Confirmed",'Data entry'!$B$47="Probable")),"sx","")</f>
        <v/>
      </c>
      <c r="BG129" t="str">
        <f>IF(AND(BG$4='Data entry'!$R$47, OR('Data entry'!$B$47="Confirmed",'Data entry'!$B$47="Probable")),"sx","")</f>
        <v/>
      </c>
      <c r="BH129" t="str">
        <f>IF(AND(BH$4='Data entry'!$R$47, OR('Data entry'!$B$47="Confirmed",'Data entry'!$B$47="Probable")),"sx","")</f>
        <v/>
      </c>
      <c r="BI129" t="str">
        <f>IF(AND(BI$4='Data entry'!$R$47, OR('Data entry'!$B$47="Confirmed",'Data entry'!$B$47="Probable")),"sx","")</f>
        <v/>
      </c>
      <c r="BJ129" t="str">
        <f>IF(AND(BJ$4='Data entry'!$R$47, OR('Data entry'!$B$47="Confirmed",'Data entry'!$B$47="Probable")),"sx","")</f>
        <v/>
      </c>
      <c r="BK129" t="str">
        <f>IF(AND(BK$4='Data entry'!$R$47, OR('Data entry'!$B$47="Confirmed",'Data entry'!$B$47="Probable")),"sx","")</f>
        <v/>
      </c>
      <c r="BL129" t="str">
        <f>IF(AND(BL$4='Data entry'!$R$47, OR('Data entry'!$B$47="Confirmed",'Data entry'!$B$47="Probable")),"sx","")</f>
        <v/>
      </c>
      <c r="BM129" t="str">
        <f>IF(AND(BM$4='Data entry'!$R$47, OR('Data entry'!$B$47="Confirmed",'Data entry'!$B$47="Probable")),"sx","")</f>
        <v/>
      </c>
      <c r="BN129" t="str">
        <f>IF(AND(BN$4='Data entry'!$R$47, OR('Data entry'!$B$47="Confirmed",'Data entry'!$B$47="Probable")),"sx","")</f>
        <v/>
      </c>
      <c r="BO129" t="str">
        <f>IF(AND(BO$4='Data entry'!$R$47, OR('Data entry'!$B$47="Confirmed",'Data entry'!$B$47="Probable")),"sx","")</f>
        <v/>
      </c>
      <c r="BP129" t="str">
        <f>IF(AND(BP$4='Data entry'!$R$47, OR('Data entry'!$B$47="Confirmed",'Data entry'!$B$47="Probable")),"sx","")</f>
        <v/>
      </c>
      <c r="BQ129" t="str">
        <f>IF(AND(BQ$4='Data entry'!$R$47, OR('Data entry'!$B$47="Confirmed",'Data entry'!$B$47="Probable")),"sx","")</f>
        <v/>
      </c>
      <c r="BR129" t="str">
        <f>IF(AND(BR$4='Data entry'!$R$47, OR('Data entry'!$B$47="Confirmed",'Data entry'!$B$47="Probable")),"sx","")</f>
        <v/>
      </c>
      <c r="BS129" t="str">
        <f>IF(AND(BS$4='Data entry'!$R$47, OR('Data entry'!$B$47="Confirmed",'Data entry'!$B$47="Probable")),"sx","")</f>
        <v/>
      </c>
      <c r="BT129" t="str">
        <f>IF(AND(BT$4='Data entry'!$R$47, OR('Data entry'!$B$47="Confirmed",'Data entry'!$B$47="Probable")),"sx","")</f>
        <v/>
      </c>
      <c r="BU129" t="str">
        <f>IF(AND(BU$4='Data entry'!$R$47, OR('Data entry'!$B$47="Confirmed",'Data entry'!$B$47="Probable")),"sx","")</f>
        <v/>
      </c>
      <c r="BV129" t="str">
        <f>IF(AND(BV$4='Data entry'!$R$47, OR('Data entry'!$B$47="Confirmed",'Data entry'!$B$47="Probable")),"sx","")</f>
        <v/>
      </c>
      <c r="BW129" t="str">
        <f>IF(AND(BW$4='Data entry'!$R$47, OR('Data entry'!$B$47="Confirmed",'Data entry'!$B$47="Probable")),"sx","")</f>
        <v/>
      </c>
      <c r="BX129" t="str">
        <f>IF(AND(BX$4='Data entry'!$R$47, OR('Data entry'!$B$47="Confirmed",'Data entry'!$B$47="Probable")),"sx","")</f>
        <v/>
      </c>
      <c r="BY129" t="str">
        <f>IF(AND(BY$4='Data entry'!$R$47, OR('Data entry'!$B$47="Confirmed",'Data entry'!$B$47="Probable")),"sx","")</f>
        <v/>
      </c>
      <c r="BZ129" t="str">
        <f>IF(AND(BZ$4='Data entry'!$R$47, OR('Data entry'!$B$47="Confirmed",'Data entry'!$B$47="Probable")),"sx","")</f>
        <v/>
      </c>
      <c r="CA129" t="str">
        <f>IF(AND(CA$4='Data entry'!$R$47, OR('Data entry'!$B$47="Confirmed",'Data entry'!$B$47="Probable")),"sx","")</f>
        <v/>
      </c>
      <c r="CB129" t="str">
        <f>IF(AND(CB$4='Data entry'!$R$47, OR('Data entry'!$B$47="Confirmed",'Data entry'!$B$47="Probable")),"sx","")</f>
        <v/>
      </c>
      <c r="CC129" t="str">
        <f>IF(AND(CC$4='Data entry'!$R$47, OR('Data entry'!$B$47="Confirmed",'Data entry'!$B$47="Probable")),"sx","")</f>
        <v/>
      </c>
    </row>
    <row r="130" spans="1:81" s="64" customFormat="1" ht="2.25" customHeight="1" thickBot="1" x14ac:dyDescent="0.25">
      <c r="A130" s="671"/>
      <c r="B130" s="672"/>
      <c r="C130" s="69"/>
    </row>
    <row r="131" spans="1:81" s="63" customFormat="1" ht="15.75" thickTop="1" x14ac:dyDescent="0.2">
      <c r="A131" s="670" t="str">
        <f>CONCATENATE('Data entry'!J48, " ", 'Data entry'!I48)</f>
        <v xml:space="preserve"> </v>
      </c>
      <c r="B131" s="670"/>
      <c r="C131" s="67"/>
    </row>
    <row r="132" spans="1:81" x14ac:dyDescent="0.2">
      <c r="A132" s="668" t="str">
        <f>CONCATENATE('Data entry'!B48, ", ", 'Data entry'!AO48, ", ", 'Data entry'!AR48)</f>
        <v xml:space="preserve">, , </v>
      </c>
      <c r="B132" s="668"/>
      <c r="C132" s="68"/>
      <c r="Q132" t="str">
        <f>IF(AND(Q$4='Data entry'!$R$48, OR('Data entry'!$B$48="Confirmed",'Data entry'!$B$48="Probable")),"sx","")</f>
        <v/>
      </c>
      <c r="R132" t="str">
        <f>IF(AND(R$4='Data entry'!$R$48, OR('Data entry'!$B$48="Confirmed",'Data entry'!$B$48="Probable")),"sx","")</f>
        <v/>
      </c>
      <c r="S132" t="str">
        <f>IF(AND(S$4='Data entry'!$R$48, OR('Data entry'!$B$48="Confirmed",'Data entry'!$B$48="Probable")),"sx","")</f>
        <v/>
      </c>
      <c r="T132" t="str">
        <f>IF(AND(T$4='Data entry'!$R$48, OR('Data entry'!$B$48="Confirmed",'Data entry'!$B$48="Probable")),"sx","")</f>
        <v/>
      </c>
      <c r="U132" t="str">
        <f>IF(AND(U$4='Data entry'!$R$48, OR('Data entry'!$B$48="Confirmed",'Data entry'!$B$48="Probable")),"sx","")</f>
        <v/>
      </c>
      <c r="V132" t="str">
        <f>IF(AND(V$4='Data entry'!$R$48, OR('Data entry'!$B$48="Confirmed",'Data entry'!$B$48="Probable")),"sx","")</f>
        <v/>
      </c>
      <c r="W132" t="str">
        <f>IF(AND(W$4='Data entry'!$R$48, OR('Data entry'!$B$48="Confirmed",'Data entry'!$B$48="Probable")),"sx","")</f>
        <v/>
      </c>
      <c r="X132" t="str">
        <f>IF(AND(X$4='Data entry'!$R$48, OR('Data entry'!$B$48="Confirmed",'Data entry'!$B$48="Probable")),"sx","")</f>
        <v/>
      </c>
      <c r="Y132" t="str">
        <f>IF(AND(Y$4='Data entry'!$R$48, OR('Data entry'!$B$48="Confirmed",'Data entry'!$B$48="Probable")),"sx","")</f>
        <v/>
      </c>
      <c r="Z132" t="str">
        <f>IF(AND(Z$4='Data entry'!$R$48, OR('Data entry'!$B$48="Confirmed",'Data entry'!$B$48="Probable")),"sx","")</f>
        <v/>
      </c>
      <c r="AA132" t="str">
        <f>IF(AND(AA$4='Data entry'!$R$48, OR('Data entry'!$B$48="Confirmed",'Data entry'!$B$48="Probable")),"sx","")</f>
        <v/>
      </c>
      <c r="AB132" t="str">
        <f>IF(AND(AB$4='Data entry'!$R$48, OR('Data entry'!$B$48="Confirmed",'Data entry'!$B$48="Probable")),"sx","")</f>
        <v/>
      </c>
      <c r="AC132" t="str">
        <f>IF(AND(AC$4='Data entry'!$R$48, OR('Data entry'!$B$48="Confirmed",'Data entry'!$B$48="Probable")),"sx","")</f>
        <v/>
      </c>
      <c r="AD132" t="str">
        <f>IF(AND(AD$4='Data entry'!$R$48, OR('Data entry'!$B$48="Confirmed",'Data entry'!$B$48="Probable")),"sx","")</f>
        <v/>
      </c>
      <c r="AE132" t="str">
        <f>IF(AND(AE$4='Data entry'!$R$48, OR('Data entry'!$B$48="Confirmed",'Data entry'!$B$48="Probable")),"sx","")</f>
        <v/>
      </c>
      <c r="AF132" t="str">
        <f>IF(AND(AF$4='Data entry'!$R$48, OR('Data entry'!$B$48="Confirmed",'Data entry'!$B$48="Probable")),"sx","")</f>
        <v/>
      </c>
      <c r="AG132" t="str">
        <f>IF(AND(AG$4='Data entry'!$R$48, OR('Data entry'!$B$48="Confirmed",'Data entry'!$B$48="Probable")),"sx","")</f>
        <v/>
      </c>
      <c r="AH132" t="str">
        <f>IF(AND(AH$4='Data entry'!$R$48, OR('Data entry'!$B$48="Confirmed",'Data entry'!$B$48="Probable")),"sx","")</f>
        <v/>
      </c>
      <c r="AI132" t="str">
        <f>IF(AND(AI$4='Data entry'!$R$48, OR('Data entry'!$B$48="Confirmed",'Data entry'!$B$48="Probable")),"sx","")</f>
        <v/>
      </c>
      <c r="AJ132" t="str">
        <f>IF(AND(AJ$4='Data entry'!$R$48, OR('Data entry'!$B$48="Confirmed",'Data entry'!$B$48="Probable")),"sx","")</f>
        <v/>
      </c>
      <c r="AK132" t="str">
        <f>IF(AND(AK$4='Data entry'!$R$48, OR('Data entry'!$B$48="Confirmed",'Data entry'!$B$48="Probable")),"sx","")</f>
        <v/>
      </c>
      <c r="AL132" t="str">
        <f>IF(AND(AL$4='Data entry'!$R$48, OR('Data entry'!$B$48="Confirmed",'Data entry'!$B$48="Probable")),"sx","")</f>
        <v/>
      </c>
      <c r="AM132" t="str">
        <f>IF(AND(AM$4='Data entry'!$R$48, OR('Data entry'!$B$48="Confirmed",'Data entry'!$B$48="Probable")),"sx","")</f>
        <v/>
      </c>
      <c r="AN132" t="str">
        <f>IF(AND(AN$4='Data entry'!$R$48, OR('Data entry'!$B$48="Confirmed",'Data entry'!$B$48="Probable")),"sx","")</f>
        <v/>
      </c>
      <c r="AO132" t="str">
        <f>IF(AND(AO$4='Data entry'!$R$48, OR('Data entry'!$B$48="Confirmed",'Data entry'!$B$48="Probable")),"sx","")</f>
        <v/>
      </c>
      <c r="AP132" t="str">
        <f>IF(AND(AP$4='Data entry'!$R$48, OR('Data entry'!$B$48="Confirmed",'Data entry'!$B$48="Probable")),"sx","")</f>
        <v/>
      </c>
      <c r="AQ132" t="str">
        <f>IF(AND(AQ$4='Data entry'!$R$48, OR('Data entry'!$B$48="Confirmed",'Data entry'!$B$48="Probable")),"sx","")</f>
        <v/>
      </c>
      <c r="AR132" t="str">
        <f>IF(AND(AR$4='Data entry'!$R$48, OR('Data entry'!$B$48="Confirmed",'Data entry'!$B$48="Probable")),"sx","")</f>
        <v/>
      </c>
      <c r="AS132" t="str">
        <f>IF(AND(AS$4='Data entry'!$R$48, OR('Data entry'!$B$48="Confirmed",'Data entry'!$B$48="Probable")),"sx","")</f>
        <v/>
      </c>
      <c r="AT132" t="str">
        <f>IF(AND(AT$4='Data entry'!$R$48, OR('Data entry'!$B$48="Confirmed",'Data entry'!$B$48="Probable")),"sx","")</f>
        <v/>
      </c>
      <c r="AU132" t="str">
        <f>IF(AND(AU$4='Data entry'!$R$48, OR('Data entry'!$B$48="Confirmed",'Data entry'!$B$48="Probable")),"sx","")</f>
        <v/>
      </c>
      <c r="AV132" t="str">
        <f>IF(AND(AV$4='Data entry'!$R$48, OR('Data entry'!$B$48="Confirmed",'Data entry'!$B$48="Probable")),"sx","")</f>
        <v/>
      </c>
      <c r="AW132" t="str">
        <f>IF(AND(AW$4='Data entry'!$R$48, OR('Data entry'!$B$48="Confirmed",'Data entry'!$B$48="Probable")),"sx","")</f>
        <v/>
      </c>
      <c r="AX132" t="str">
        <f>IF(AND(AX$4='Data entry'!$R$48, OR('Data entry'!$B$48="Confirmed",'Data entry'!$B$48="Probable")),"sx","")</f>
        <v/>
      </c>
      <c r="AY132" t="str">
        <f>IF(AND(AY$4='Data entry'!$R$48, OR('Data entry'!$B$48="Confirmed",'Data entry'!$B$48="Probable")),"sx","")</f>
        <v/>
      </c>
      <c r="AZ132" t="str">
        <f>IF(AND(AZ$4='Data entry'!$R$48, OR('Data entry'!$B$48="Confirmed",'Data entry'!$B$48="Probable")),"sx","")</f>
        <v/>
      </c>
      <c r="BA132" t="str">
        <f>IF(AND(BA$4='Data entry'!$R$48, OR('Data entry'!$B$48="Confirmed",'Data entry'!$B$48="Probable")),"sx","")</f>
        <v/>
      </c>
      <c r="BB132" t="str">
        <f>IF(AND(BB$4='Data entry'!$R$48, OR('Data entry'!$B$48="Confirmed",'Data entry'!$B$48="Probable")),"sx","")</f>
        <v/>
      </c>
      <c r="BC132" t="str">
        <f>IF(AND(BC$4='Data entry'!$R$48, OR('Data entry'!$B$48="Confirmed",'Data entry'!$B$48="Probable")),"sx","")</f>
        <v/>
      </c>
      <c r="BD132" t="str">
        <f>IF(AND(BD$4='Data entry'!$R$48, OR('Data entry'!$B$48="Confirmed",'Data entry'!$B$48="Probable")),"sx","")</f>
        <v/>
      </c>
      <c r="BE132" t="str">
        <f>IF(AND(BE$4='Data entry'!$R$48, OR('Data entry'!$B$48="Confirmed",'Data entry'!$B$48="Probable")),"sx","")</f>
        <v/>
      </c>
      <c r="BF132" t="str">
        <f>IF(AND(BF$4='Data entry'!$R$48, OR('Data entry'!$B$48="Confirmed",'Data entry'!$B$48="Probable")),"sx","")</f>
        <v/>
      </c>
      <c r="BG132" t="str">
        <f>IF(AND(BG$4='Data entry'!$R$48, OR('Data entry'!$B$48="Confirmed",'Data entry'!$B$48="Probable")),"sx","")</f>
        <v/>
      </c>
      <c r="BH132" t="str">
        <f>IF(AND(BH$4='Data entry'!$R$48, OR('Data entry'!$B$48="Confirmed",'Data entry'!$B$48="Probable")),"sx","")</f>
        <v/>
      </c>
      <c r="BI132" t="str">
        <f>IF(AND(BI$4='Data entry'!$R$48, OR('Data entry'!$B$48="Confirmed",'Data entry'!$B$48="Probable")),"sx","")</f>
        <v/>
      </c>
      <c r="BJ132" t="str">
        <f>IF(AND(BJ$4='Data entry'!$R$48, OR('Data entry'!$B$48="Confirmed",'Data entry'!$B$48="Probable")),"sx","")</f>
        <v/>
      </c>
      <c r="BK132" t="str">
        <f>IF(AND(BK$4='Data entry'!$R$48, OR('Data entry'!$B$48="Confirmed",'Data entry'!$B$48="Probable")),"sx","")</f>
        <v/>
      </c>
      <c r="BL132" t="str">
        <f>IF(AND(BL$4='Data entry'!$R$48, OR('Data entry'!$B$48="Confirmed",'Data entry'!$B$48="Probable")),"sx","")</f>
        <v/>
      </c>
      <c r="BM132" t="str">
        <f>IF(AND(BM$4='Data entry'!$R$48, OR('Data entry'!$B$48="Confirmed",'Data entry'!$B$48="Probable")),"sx","")</f>
        <v/>
      </c>
      <c r="BN132" t="str">
        <f>IF(AND(BN$4='Data entry'!$R$48, OR('Data entry'!$B$48="Confirmed",'Data entry'!$B$48="Probable")),"sx","")</f>
        <v/>
      </c>
      <c r="BO132" t="str">
        <f>IF(AND(BO$4='Data entry'!$R$48, OR('Data entry'!$B$48="Confirmed",'Data entry'!$B$48="Probable")),"sx","")</f>
        <v/>
      </c>
      <c r="BP132" t="str">
        <f>IF(AND(BP$4='Data entry'!$R$48, OR('Data entry'!$B$48="Confirmed",'Data entry'!$B$48="Probable")),"sx","")</f>
        <v/>
      </c>
      <c r="BQ132" t="str">
        <f>IF(AND(BQ$4='Data entry'!$R$48, OR('Data entry'!$B$48="Confirmed",'Data entry'!$B$48="Probable")),"sx","")</f>
        <v/>
      </c>
      <c r="BR132" t="str">
        <f>IF(AND(BR$4='Data entry'!$R$48, OR('Data entry'!$B$48="Confirmed",'Data entry'!$B$48="Probable")),"sx","")</f>
        <v/>
      </c>
      <c r="BS132" t="str">
        <f>IF(AND(BS$4='Data entry'!$R$48, OR('Data entry'!$B$48="Confirmed",'Data entry'!$B$48="Probable")),"sx","")</f>
        <v/>
      </c>
      <c r="BT132" t="str">
        <f>IF(AND(BT$4='Data entry'!$R$48, OR('Data entry'!$B$48="Confirmed",'Data entry'!$B$48="Probable")),"sx","")</f>
        <v/>
      </c>
      <c r="BU132" t="str">
        <f>IF(AND(BU$4='Data entry'!$R$48, OR('Data entry'!$B$48="Confirmed",'Data entry'!$B$48="Probable")),"sx","")</f>
        <v/>
      </c>
      <c r="BV132" t="str">
        <f>IF(AND(BV$4='Data entry'!$R$48, OR('Data entry'!$B$48="Confirmed",'Data entry'!$B$48="Probable")),"sx","")</f>
        <v/>
      </c>
      <c r="BW132" t="str">
        <f>IF(AND(BW$4='Data entry'!$R$48, OR('Data entry'!$B$48="Confirmed",'Data entry'!$B$48="Probable")),"sx","")</f>
        <v/>
      </c>
      <c r="BX132" t="str">
        <f>IF(AND(BX$4='Data entry'!$R$48, OR('Data entry'!$B$48="Confirmed",'Data entry'!$B$48="Probable")),"sx","")</f>
        <v/>
      </c>
      <c r="BY132" t="str">
        <f>IF(AND(BY$4='Data entry'!$R$48, OR('Data entry'!$B$48="Confirmed",'Data entry'!$B$48="Probable")),"sx","")</f>
        <v/>
      </c>
      <c r="BZ132" t="str">
        <f>IF(AND(BZ$4='Data entry'!$R$48, OR('Data entry'!$B$48="Confirmed",'Data entry'!$B$48="Probable")),"sx","")</f>
        <v/>
      </c>
      <c r="CA132" t="str">
        <f>IF(AND(CA$4='Data entry'!$R$48, OR('Data entry'!$B$48="Confirmed",'Data entry'!$B$48="Probable")),"sx","")</f>
        <v/>
      </c>
      <c r="CB132" t="str">
        <f>IF(AND(CB$4='Data entry'!$R$48, OR('Data entry'!$B$48="Confirmed",'Data entry'!$B$48="Probable")),"sx","")</f>
        <v/>
      </c>
      <c r="CC132" t="str">
        <f>IF(AND(CC$4='Data entry'!$R$48, OR('Data entry'!$B$48="Confirmed",'Data entry'!$B$48="Probable")),"sx","")</f>
        <v/>
      </c>
    </row>
    <row r="133" spans="1:81" s="64" customFormat="1" ht="2.25" customHeight="1" thickBot="1" x14ac:dyDescent="0.25">
      <c r="A133" s="671"/>
      <c r="B133" s="672"/>
      <c r="C133" s="69"/>
    </row>
    <row r="134" spans="1:81" s="63" customFormat="1" ht="15.75" thickTop="1" x14ac:dyDescent="0.2">
      <c r="A134" s="670" t="str">
        <f>CONCATENATE('Data entry'!J49, " ", 'Data entry'!I49)</f>
        <v xml:space="preserve"> </v>
      </c>
      <c r="B134" s="670"/>
      <c r="C134" s="67"/>
    </row>
    <row r="135" spans="1:81" x14ac:dyDescent="0.2">
      <c r="A135" s="668" t="str">
        <f>CONCATENATE('Data entry'!B49, ", ", 'Data entry'!AO49, ", ", 'Data entry'!AR49)</f>
        <v xml:space="preserve">, , </v>
      </c>
      <c r="B135" s="668"/>
      <c r="C135" s="68"/>
      <c r="Q135" t="str">
        <f>IF(AND(Q$4='Data entry'!$R$49, OR('Data entry'!$B$49="Confirmed",'Data entry'!$B$49="Probable")),"sx","")</f>
        <v/>
      </c>
      <c r="R135" t="str">
        <f>IF(AND(R$4='Data entry'!$R$49, OR('Data entry'!$B$49="Confirmed",'Data entry'!$B$49="Probable")),"sx","")</f>
        <v/>
      </c>
      <c r="S135" t="str">
        <f>IF(AND(S$4='Data entry'!$R$49, OR('Data entry'!$B$49="Confirmed",'Data entry'!$B$49="Probable")),"sx","")</f>
        <v/>
      </c>
      <c r="T135" t="str">
        <f>IF(AND(T$4='Data entry'!$R$49, OR('Data entry'!$B$49="Confirmed",'Data entry'!$B$49="Probable")),"sx","")</f>
        <v/>
      </c>
      <c r="U135" t="str">
        <f>IF(AND(U$4='Data entry'!$R$49, OR('Data entry'!$B$49="Confirmed",'Data entry'!$B$49="Probable")),"sx","")</f>
        <v/>
      </c>
      <c r="V135" t="str">
        <f>IF(AND(V$4='Data entry'!$R$49, OR('Data entry'!$B$49="Confirmed",'Data entry'!$B$49="Probable")),"sx","")</f>
        <v/>
      </c>
      <c r="W135" t="str">
        <f>IF(AND(W$4='Data entry'!$R$49, OR('Data entry'!$B$49="Confirmed",'Data entry'!$B$49="Probable")),"sx","")</f>
        <v/>
      </c>
      <c r="X135" t="str">
        <f>IF(AND(X$4='Data entry'!$R$49, OR('Data entry'!$B$49="Confirmed",'Data entry'!$B$49="Probable")),"sx","")</f>
        <v/>
      </c>
      <c r="Y135" t="str">
        <f>IF(AND(Y$4='Data entry'!$R$49, OR('Data entry'!$B$49="Confirmed",'Data entry'!$B$49="Probable")),"sx","")</f>
        <v/>
      </c>
      <c r="Z135" t="str">
        <f>IF(AND(Z$4='Data entry'!$R$49, OR('Data entry'!$B$49="Confirmed",'Data entry'!$B$49="Probable")),"sx","")</f>
        <v/>
      </c>
      <c r="AA135" t="str">
        <f>IF(AND(AA$4='Data entry'!$R$49, OR('Data entry'!$B$49="Confirmed",'Data entry'!$B$49="Probable")),"sx","")</f>
        <v/>
      </c>
      <c r="AB135" t="str">
        <f>IF(AND(AB$4='Data entry'!$R$49, OR('Data entry'!$B$49="Confirmed",'Data entry'!$B$49="Probable")),"sx","")</f>
        <v/>
      </c>
      <c r="AC135" t="str">
        <f>IF(AND(AC$4='Data entry'!$R$49, OR('Data entry'!$B$49="Confirmed",'Data entry'!$B$49="Probable")),"sx","")</f>
        <v/>
      </c>
      <c r="AD135" t="str">
        <f>IF(AND(AD$4='Data entry'!$R$49, OR('Data entry'!$B$49="Confirmed",'Data entry'!$B$49="Probable")),"sx","")</f>
        <v/>
      </c>
      <c r="AE135" t="str">
        <f>IF(AND(AE$4='Data entry'!$R$49, OR('Data entry'!$B$49="Confirmed",'Data entry'!$B$49="Probable")),"sx","")</f>
        <v/>
      </c>
      <c r="AF135" t="str">
        <f>IF(AND(AF$4='Data entry'!$R$49, OR('Data entry'!$B$49="Confirmed",'Data entry'!$B$49="Probable")),"sx","")</f>
        <v/>
      </c>
      <c r="AG135" t="str">
        <f>IF(AND(AG$4='Data entry'!$R$49, OR('Data entry'!$B$49="Confirmed",'Data entry'!$B$49="Probable")),"sx","")</f>
        <v/>
      </c>
      <c r="AH135" t="str">
        <f>IF(AND(AH$4='Data entry'!$R$49, OR('Data entry'!$B$49="Confirmed",'Data entry'!$B$49="Probable")),"sx","")</f>
        <v/>
      </c>
      <c r="AI135" t="str">
        <f>IF(AND(AI$4='Data entry'!$R$49, OR('Data entry'!$B$49="Confirmed",'Data entry'!$B$49="Probable")),"sx","")</f>
        <v/>
      </c>
      <c r="AJ135" t="str">
        <f>IF(AND(AJ$4='Data entry'!$R$49, OR('Data entry'!$B$49="Confirmed",'Data entry'!$B$49="Probable")),"sx","")</f>
        <v/>
      </c>
      <c r="AK135" t="str">
        <f>IF(AND(AK$4='Data entry'!$R$49, OR('Data entry'!$B$49="Confirmed",'Data entry'!$B$49="Probable")),"sx","")</f>
        <v/>
      </c>
      <c r="AL135" t="str">
        <f>IF(AND(AL$4='Data entry'!$R$49, OR('Data entry'!$B$49="Confirmed",'Data entry'!$B$49="Probable")),"sx","")</f>
        <v/>
      </c>
      <c r="AM135" t="str">
        <f>IF(AND(AM$4='Data entry'!$R$49, OR('Data entry'!$B$49="Confirmed",'Data entry'!$B$49="Probable")),"sx","")</f>
        <v/>
      </c>
      <c r="AN135" t="str">
        <f>IF(AND(AN$4='Data entry'!$R$49, OR('Data entry'!$B$49="Confirmed",'Data entry'!$B$49="Probable")),"sx","")</f>
        <v/>
      </c>
      <c r="AO135" t="str">
        <f>IF(AND(AO$4='Data entry'!$R$49, OR('Data entry'!$B$49="Confirmed",'Data entry'!$B$49="Probable")),"sx","")</f>
        <v/>
      </c>
      <c r="AP135" t="str">
        <f>IF(AND(AP$4='Data entry'!$R$49, OR('Data entry'!$B$49="Confirmed",'Data entry'!$B$49="Probable")),"sx","")</f>
        <v/>
      </c>
      <c r="AQ135" t="str">
        <f>IF(AND(AQ$4='Data entry'!$R$49, OR('Data entry'!$B$49="Confirmed",'Data entry'!$B$49="Probable")),"sx","")</f>
        <v/>
      </c>
      <c r="AR135" t="str">
        <f>IF(AND(AR$4='Data entry'!$R$49, OR('Data entry'!$B$49="Confirmed",'Data entry'!$B$49="Probable")),"sx","")</f>
        <v/>
      </c>
      <c r="AS135" t="str">
        <f>IF(AND(AS$4='Data entry'!$R$49, OR('Data entry'!$B$49="Confirmed",'Data entry'!$B$49="Probable")),"sx","")</f>
        <v/>
      </c>
      <c r="AT135" t="str">
        <f>IF(AND(AT$4='Data entry'!$R$49, OR('Data entry'!$B$49="Confirmed",'Data entry'!$B$49="Probable")),"sx","")</f>
        <v/>
      </c>
      <c r="AU135" t="str">
        <f>IF(AND(AU$4='Data entry'!$R$49, OR('Data entry'!$B$49="Confirmed",'Data entry'!$B$49="Probable")),"sx","")</f>
        <v/>
      </c>
      <c r="AV135" t="str">
        <f>IF(AND(AV$4='Data entry'!$R$49, OR('Data entry'!$B$49="Confirmed",'Data entry'!$B$49="Probable")),"sx","")</f>
        <v/>
      </c>
      <c r="AW135" t="str">
        <f>IF(AND(AW$4='Data entry'!$R$49, OR('Data entry'!$B$49="Confirmed",'Data entry'!$B$49="Probable")),"sx","")</f>
        <v/>
      </c>
      <c r="AX135" t="str">
        <f>IF(AND(AX$4='Data entry'!$R$49, OR('Data entry'!$B$49="Confirmed",'Data entry'!$B$49="Probable")),"sx","")</f>
        <v/>
      </c>
      <c r="AY135" t="str">
        <f>IF(AND(AY$4='Data entry'!$R$49, OR('Data entry'!$B$49="Confirmed",'Data entry'!$B$49="Probable")),"sx","")</f>
        <v/>
      </c>
      <c r="AZ135" t="str">
        <f>IF(AND(AZ$4='Data entry'!$R$49, OR('Data entry'!$B$49="Confirmed",'Data entry'!$B$49="Probable")),"sx","")</f>
        <v/>
      </c>
      <c r="BA135" t="str">
        <f>IF(AND(BA$4='Data entry'!$R$49, OR('Data entry'!$B$49="Confirmed",'Data entry'!$B$49="Probable")),"sx","")</f>
        <v/>
      </c>
      <c r="BB135" t="str">
        <f>IF(AND(BB$4='Data entry'!$R$49, OR('Data entry'!$B$49="Confirmed",'Data entry'!$B$49="Probable")),"sx","")</f>
        <v/>
      </c>
      <c r="BC135" t="str">
        <f>IF(AND(BC$4='Data entry'!$R$49, OR('Data entry'!$B$49="Confirmed",'Data entry'!$B$49="Probable")),"sx","")</f>
        <v/>
      </c>
      <c r="BD135" t="str">
        <f>IF(AND(BD$4='Data entry'!$R$49, OR('Data entry'!$B$49="Confirmed",'Data entry'!$B$49="Probable")),"sx","")</f>
        <v/>
      </c>
      <c r="BE135" t="str">
        <f>IF(AND(BE$4='Data entry'!$R$49, OR('Data entry'!$B$49="Confirmed",'Data entry'!$B$49="Probable")),"sx","")</f>
        <v/>
      </c>
      <c r="BF135" t="str">
        <f>IF(AND(BF$4='Data entry'!$R$49, OR('Data entry'!$B$49="Confirmed",'Data entry'!$B$49="Probable")),"sx","")</f>
        <v/>
      </c>
      <c r="BG135" t="str">
        <f>IF(AND(BG$4='Data entry'!$R$49, OR('Data entry'!$B$49="Confirmed",'Data entry'!$B$49="Probable")),"sx","")</f>
        <v/>
      </c>
      <c r="BH135" t="str">
        <f>IF(AND(BH$4='Data entry'!$R$49, OR('Data entry'!$B$49="Confirmed",'Data entry'!$B$49="Probable")),"sx","")</f>
        <v/>
      </c>
      <c r="BI135" t="str">
        <f>IF(AND(BI$4='Data entry'!$R$49, OR('Data entry'!$B$49="Confirmed",'Data entry'!$B$49="Probable")),"sx","")</f>
        <v/>
      </c>
      <c r="BJ135" t="str">
        <f>IF(AND(BJ$4='Data entry'!$R$49, OR('Data entry'!$B$49="Confirmed",'Data entry'!$B$49="Probable")),"sx","")</f>
        <v/>
      </c>
      <c r="BK135" t="str">
        <f>IF(AND(BK$4='Data entry'!$R$49, OR('Data entry'!$B$49="Confirmed",'Data entry'!$B$49="Probable")),"sx","")</f>
        <v/>
      </c>
      <c r="BL135" t="str">
        <f>IF(AND(BL$4='Data entry'!$R$49, OR('Data entry'!$B$49="Confirmed",'Data entry'!$B$49="Probable")),"sx","")</f>
        <v/>
      </c>
      <c r="BM135" t="str">
        <f>IF(AND(BM$4='Data entry'!$R$49, OR('Data entry'!$B$49="Confirmed",'Data entry'!$B$49="Probable")),"sx","")</f>
        <v/>
      </c>
      <c r="BN135" t="str">
        <f>IF(AND(BN$4='Data entry'!$R$49, OR('Data entry'!$B$49="Confirmed",'Data entry'!$B$49="Probable")),"sx","")</f>
        <v/>
      </c>
      <c r="BO135" t="str">
        <f>IF(AND(BO$4='Data entry'!$R$49, OR('Data entry'!$B$49="Confirmed",'Data entry'!$B$49="Probable")),"sx","")</f>
        <v/>
      </c>
      <c r="BP135" t="str">
        <f>IF(AND(BP$4='Data entry'!$R$49, OR('Data entry'!$B$49="Confirmed",'Data entry'!$B$49="Probable")),"sx","")</f>
        <v/>
      </c>
      <c r="BQ135" t="str">
        <f>IF(AND(BQ$4='Data entry'!$R$49, OR('Data entry'!$B$49="Confirmed",'Data entry'!$B$49="Probable")),"sx","")</f>
        <v/>
      </c>
      <c r="BR135" t="str">
        <f>IF(AND(BR$4='Data entry'!$R$49, OR('Data entry'!$B$49="Confirmed",'Data entry'!$B$49="Probable")),"sx","")</f>
        <v/>
      </c>
      <c r="BS135" t="str">
        <f>IF(AND(BS$4='Data entry'!$R$49, OR('Data entry'!$B$49="Confirmed",'Data entry'!$B$49="Probable")),"sx","")</f>
        <v/>
      </c>
      <c r="BT135" t="str">
        <f>IF(AND(BT$4='Data entry'!$R$49, OR('Data entry'!$B$49="Confirmed",'Data entry'!$B$49="Probable")),"sx","")</f>
        <v/>
      </c>
      <c r="BU135" t="str">
        <f>IF(AND(BU$4='Data entry'!$R$49, OR('Data entry'!$B$49="Confirmed",'Data entry'!$B$49="Probable")),"sx","")</f>
        <v/>
      </c>
      <c r="BV135" t="str">
        <f>IF(AND(BV$4='Data entry'!$R$49, OR('Data entry'!$B$49="Confirmed",'Data entry'!$B$49="Probable")),"sx","")</f>
        <v/>
      </c>
      <c r="BW135" t="str">
        <f>IF(AND(BW$4='Data entry'!$R$49, OR('Data entry'!$B$49="Confirmed",'Data entry'!$B$49="Probable")),"sx","")</f>
        <v/>
      </c>
      <c r="BX135" t="str">
        <f>IF(AND(BX$4='Data entry'!$R$49, OR('Data entry'!$B$49="Confirmed",'Data entry'!$B$49="Probable")),"sx","")</f>
        <v/>
      </c>
      <c r="BY135" t="str">
        <f>IF(AND(BY$4='Data entry'!$R$49, OR('Data entry'!$B$49="Confirmed",'Data entry'!$B$49="Probable")),"sx","")</f>
        <v/>
      </c>
      <c r="BZ135" t="str">
        <f>IF(AND(BZ$4='Data entry'!$R$49, OR('Data entry'!$B$49="Confirmed",'Data entry'!$B$49="Probable")),"sx","")</f>
        <v/>
      </c>
      <c r="CA135" t="str">
        <f>IF(AND(CA$4='Data entry'!$R$49, OR('Data entry'!$B$49="Confirmed",'Data entry'!$B$49="Probable")),"sx","")</f>
        <v/>
      </c>
      <c r="CB135" t="str">
        <f>IF(AND(CB$4='Data entry'!$R$49, OR('Data entry'!$B$49="Confirmed",'Data entry'!$B$49="Probable")),"sx","")</f>
        <v/>
      </c>
      <c r="CC135" t="str">
        <f>IF(AND(CC$4='Data entry'!$R$49, OR('Data entry'!$B$49="Confirmed",'Data entry'!$B$49="Probable")),"sx","")</f>
        <v/>
      </c>
    </row>
    <row r="136" spans="1:81" s="64" customFormat="1" ht="2.25" customHeight="1" thickBot="1" x14ac:dyDescent="0.25">
      <c r="A136" s="671"/>
      <c r="B136" s="672"/>
      <c r="C136" s="69"/>
    </row>
    <row r="137" spans="1:81" s="63" customFormat="1" ht="15.75" thickTop="1" x14ac:dyDescent="0.2">
      <c r="A137" s="670" t="str">
        <f>CONCATENATE('Data entry'!J50, " ", 'Data entry'!I50)</f>
        <v xml:space="preserve"> </v>
      </c>
      <c r="B137" s="670"/>
      <c r="C137" s="67"/>
    </row>
    <row r="138" spans="1:81" x14ac:dyDescent="0.2">
      <c r="A138" s="668" t="str">
        <f>CONCATENATE('Data entry'!B50, ", ", 'Data entry'!AO50, ", ", 'Data entry'!AR50)</f>
        <v xml:space="preserve">, , </v>
      </c>
      <c r="B138" s="668"/>
      <c r="C138" s="68"/>
      <c r="Q138" t="str">
        <f>IF(AND(Q$4='Data entry'!$R$50, OR('Data entry'!$B$50="Confirmed",'Data entry'!$B$50="Probable")),"sx","")</f>
        <v/>
      </c>
      <c r="R138" t="str">
        <f>IF(AND(R$4='Data entry'!$R$50, OR('Data entry'!$B$50="Confirmed",'Data entry'!$B$50="Probable")),"sx","")</f>
        <v/>
      </c>
      <c r="S138" t="str">
        <f>IF(AND(S$4='Data entry'!$R$50, OR('Data entry'!$B$50="Confirmed",'Data entry'!$B$50="Probable")),"sx","")</f>
        <v/>
      </c>
      <c r="T138" t="str">
        <f>IF(AND(T$4='Data entry'!$R$50, OR('Data entry'!$B$50="Confirmed",'Data entry'!$B$50="Probable")),"sx","")</f>
        <v/>
      </c>
      <c r="U138" t="str">
        <f>IF(AND(U$4='Data entry'!$R$50, OR('Data entry'!$B$50="Confirmed",'Data entry'!$B$50="Probable")),"sx","")</f>
        <v/>
      </c>
      <c r="V138" t="str">
        <f>IF(AND(V$4='Data entry'!$R$50, OR('Data entry'!$B$50="Confirmed",'Data entry'!$B$50="Probable")),"sx","")</f>
        <v/>
      </c>
      <c r="W138" t="str">
        <f>IF(AND(W$4='Data entry'!$R$50, OR('Data entry'!$B$50="Confirmed",'Data entry'!$B$50="Probable")),"sx","")</f>
        <v/>
      </c>
      <c r="X138" t="str">
        <f>IF(AND(X$4='Data entry'!$R$50, OR('Data entry'!$B$50="Confirmed",'Data entry'!$B$50="Probable")),"sx","")</f>
        <v/>
      </c>
      <c r="Y138" t="str">
        <f>IF(AND(Y$4='Data entry'!$R$50, OR('Data entry'!$B$50="Confirmed",'Data entry'!$B$50="Probable")),"sx","")</f>
        <v/>
      </c>
      <c r="Z138" t="str">
        <f>IF(AND(Z$4='Data entry'!$R$50, OR('Data entry'!$B$50="Confirmed",'Data entry'!$B$50="Probable")),"sx","")</f>
        <v/>
      </c>
      <c r="AA138" t="str">
        <f>IF(AND(AA$4='Data entry'!$R$50, OR('Data entry'!$B$50="Confirmed",'Data entry'!$B$50="Probable")),"sx","")</f>
        <v/>
      </c>
      <c r="AB138" t="str">
        <f>IF(AND(AB$4='Data entry'!$R$50, OR('Data entry'!$B$50="Confirmed",'Data entry'!$B$50="Probable")),"sx","")</f>
        <v/>
      </c>
      <c r="AC138" t="str">
        <f>IF(AND(AC$4='Data entry'!$R$50, OR('Data entry'!$B$50="Confirmed",'Data entry'!$B$50="Probable")),"sx","")</f>
        <v/>
      </c>
      <c r="AD138" t="str">
        <f>IF(AND(AD$4='Data entry'!$R$50, OR('Data entry'!$B$50="Confirmed",'Data entry'!$B$50="Probable")),"sx","")</f>
        <v/>
      </c>
      <c r="AE138" t="str">
        <f>IF(AND(AE$4='Data entry'!$R$50, OR('Data entry'!$B$50="Confirmed",'Data entry'!$B$50="Probable")),"sx","")</f>
        <v/>
      </c>
      <c r="AF138" t="str">
        <f>IF(AND(AF$4='Data entry'!$R$50, OR('Data entry'!$B$50="Confirmed",'Data entry'!$B$50="Probable")),"sx","")</f>
        <v/>
      </c>
      <c r="AG138" t="str">
        <f>IF(AND(AG$4='Data entry'!$R$50, OR('Data entry'!$B$50="Confirmed",'Data entry'!$B$50="Probable")),"sx","")</f>
        <v/>
      </c>
      <c r="AH138" t="str">
        <f>IF(AND(AH$4='Data entry'!$R$50, OR('Data entry'!$B$50="Confirmed",'Data entry'!$B$50="Probable")),"sx","")</f>
        <v/>
      </c>
      <c r="AI138" t="str">
        <f>IF(AND(AI$4='Data entry'!$R$50, OR('Data entry'!$B$50="Confirmed",'Data entry'!$B$50="Probable")),"sx","")</f>
        <v/>
      </c>
      <c r="AJ138" t="str">
        <f>IF(AND(AJ$4='Data entry'!$R$50, OR('Data entry'!$B$50="Confirmed",'Data entry'!$B$50="Probable")),"sx","")</f>
        <v/>
      </c>
      <c r="AK138" t="str">
        <f>IF(AND(AK$4='Data entry'!$R$50, OR('Data entry'!$B$50="Confirmed",'Data entry'!$B$50="Probable")),"sx","")</f>
        <v/>
      </c>
      <c r="AL138" t="str">
        <f>IF(AND(AL$4='Data entry'!$R$50, OR('Data entry'!$B$50="Confirmed",'Data entry'!$B$50="Probable")),"sx","")</f>
        <v/>
      </c>
      <c r="AM138" t="str">
        <f>IF(AND(AM$4='Data entry'!$R$50, OR('Data entry'!$B$50="Confirmed",'Data entry'!$B$50="Probable")),"sx","")</f>
        <v/>
      </c>
      <c r="AN138" t="str">
        <f>IF(AND(AN$4='Data entry'!$R$50, OR('Data entry'!$B$50="Confirmed",'Data entry'!$B$50="Probable")),"sx","")</f>
        <v/>
      </c>
      <c r="AO138" t="str">
        <f>IF(AND(AO$4='Data entry'!$R$50, OR('Data entry'!$B$50="Confirmed",'Data entry'!$B$50="Probable")),"sx","")</f>
        <v/>
      </c>
      <c r="AP138" t="str">
        <f>IF(AND(AP$4='Data entry'!$R$50, OR('Data entry'!$B$50="Confirmed",'Data entry'!$B$50="Probable")),"sx","")</f>
        <v/>
      </c>
      <c r="AQ138" t="str">
        <f>IF(AND(AQ$4='Data entry'!$R$50, OR('Data entry'!$B$50="Confirmed",'Data entry'!$B$50="Probable")),"sx","")</f>
        <v/>
      </c>
      <c r="AR138" t="str">
        <f>IF(AND(AR$4='Data entry'!$R$50, OR('Data entry'!$B$50="Confirmed",'Data entry'!$B$50="Probable")),"sx","")</f>
        <v/>
      </c>
      <c r="AS138" t="str">
        <f>IF(AND(AS$4='Data entry'!$R$50, OR('Data entry'!$B$50="Confirmed",'Data entry'!$B$50="Probable")),"sx","")</f>
        <v/>
      </c>
      <c r="AT138" t="str">
        <f>IF(AND(AT$4='Data entry'!$R$50, OR('Data entry'!$B$50="Confirmed",'Data entry'!$B$50="Probable")),"sx","")</f>
        <v/>
      </c>
      <c r="AU138" t="str">
        <f>IF(AND(AU$4='Data entry'!$R$50, OR('Data entry'!$B$50="Confirmed",'Data entry'!$B$50="Probable")),"sx","")</f>
        <v/>
      </c>
      <c r="AV138" t="str">
        <f>IF(AND(AV$4='Data entry'!$R$50, OR('Data entry'!$B$50="Confirmed",'Data entry'!$B$50="Probable")),"sx","")</f>
        <v/>
      </c>
      <c r="AW138" t="str">
        <f>IF(AND(AW$4='Data entry'!$R$50, OR('Data entry'!$B$50="Confirmed",'Data entry'!$B$50="Probable")),"sx","")</f>
        <v/>
      </c>
      <c r="AX138" t="str">
        <f>IF(AND(AX$4='Data entry'!$R$50, OR('Data entry'!$B$50="Confirmed",'Data entry'!$B$50="Probable")),"sx","")</f>
        <v/>
      </c>
      <c r="AY138" t="str">
        <f>IF(AND(AY$4='Data entry'!$R$50, OR('Data entry'!$B$50="Confirmed",'Data entry'!$B$50="Probable")),"sx","")</f>
        <v/>
      </c>
      <c r="AZ138" t="str">
        <f>IF(AND(AZ$4='Data entry'!$R$50, OR('Data entry'!$B$50="Confirmed",'Data entry'!$B$50="Probable")),"sx","")</f>
        <v/>
      </c>
      <c r="BA138" t="str">
        <f>IF(AND(BA$4='Data entry'!$R$50, OR('Data entry'!$B$50="Confirmed",'Data entry'!$B$50="Probable")),"sx","")</f>
        <v/>
      </c>
      <c r="BB138" t="str">
        <f>IF(AND(BB$4='Data entry'!$R$50, OR('Data entry'!$B$50="Confirmed",'Data entry'!$B$50="Probable")),"sx","")</f>
        <v/>
      </c>
      <c r="BC138" t="str">
        <f>IF(AND(BC$4='Data entry'!$R$50, OR('Data entry'!$B$50="Confirmed",'Data entry'!$B$50="Probable")),"sx","")</f>
        <v/>
      </c>
      <c r="BD138" t="str">
        <f>IF(AND(BD$4='Data entry'!$R$50, OR('Data entry'!$B$50="Confirmed",'Data entry'!$B$50="Probable")),"sx","")</f>
        <v/>
      </c>
      <c r="BE138" t="str">
        <f>IF(AND(BE$4='Data entry'!$R$50, OR('Data entry'!$B$50="Confirmed",'Data entry'!$B$50="Probable")),"sx","")</f>
        <v/>
      </c>
      <c r="BF138" t="str">
        <f>IF(AND(BF$4='Data entry'!$R$50, OR('Data entry'!$B$50="Confirmed",'Data entry'!$B$50="Probable")),"sx","")</f>
        <v/>
      </c>
      <c r="BG138" t="str">
        <f>IF(AND(BG$4='Data entry'!$R$50, OR('Data entry'!$B$50="Confirmed",'Data entry'!$B$50="Probable")),"sx","")</f>
        <v/>
      </c>
      <c r="BH138" t="str">
        <f>IF(AND(BH$4='Data entry'!$R$50, OR('Data entry'!$B$50="Confirmed",'Data entry'!$B$50="Probable")),"sx","")</f>
        <v/>
      </c>
      <c r="BI138" t="str">
        <f>IF(AND(BI$4='Data entry'!$R$50, OR('Data entry'!$B$50="Confirmed",'Data entry'!$B$50="Probable")),"sx","")</f>
        <v/>
      </c>
      <c r="BJ138" t="str">
        <f>IF(AND(BJ$4='Data entry'!$R$50, OR('Data entry'!$B$50="Confirmed",'Data entry'!$B$50="Probable")),"sx","")</f>
        <v/>
      </c>
      <c r="BK138" t="str">
        <f>IF(AND(BK$4='Data entry'!$R$50, OR('Data entry'!$B$50="Confirmed",'Data entry'!$B$50="Probable")),"sx","")</f>
        <v/>
      </c>
      <c r="BL138" t="str">
        <f>IF(AND(BL$4='Data entry'!$R$50, OR('Data entry'!$B$50="Confirmed",'Data entry'!$B$50="Probable")),"sx","")</f>
        <v/>
      </c>
      <c r="BM138" t="str">
        <f>IF(AND(BM$4='Data entry'!$R$50, OR('Data entry'!$B$50="Confirmed",'Data entry'!$B$50="Probable")),"sx","")</f>
        <v/>
      </c>
      <c r="BN138" t="str">
        <f>IF(AND(BN$4='Data entry'!$R$50, OR('Data entry'!$B$50="Confirmed",'Data entry'!$B$50="Probable")),"sx","")</f>
        <v/>
      </c>
      <c r="BO138" t="str">
        <f>IF(AND(BO$4='Data entry'!$R$50, OR('Data entry'!$B$50="Confirmed",'Data entry'!$B$50="Probable")),"sx","")</f>
        <v/>
      </c>
      <c r="BP138" t="str">
        <f>IF(AND(BP$4='Data entry'!$R$50, OR('Data entry'!$B$50="Confirmed",'Data entry'!$B$50="Probable")),"sx","")</f>
        <v/>
      </c>
      <c r="BQ138" t="str">
        <f>IF(AND(BQ$4='Data entry'!$R$50, OR('Data entry'!$B$50="Confirmed",'Data entry'!$B$50="Probable")),"sx","")</f>
        <v/>
      </c>
      <c r="BR138" t="str">
        <f>IF(AND(BR$4='Data entry'!$R$50, OR('Data entry'!$B$50="Confirmed",'Data entry'!$B$50="Probable")),"sx","")</f>
        <v/>
      </c>
      <c r="BS138" t="str">
        <f>IF(AND(BS$4='Data entry'!$R$50, OR('Data entry'!$B$50="Confirmed",'Data entry'!$B$50="Probable")),"sx","")</f>
        <v/>
      </c>
      <c r="BT138" t="str">
        <f>IF(AND(BT$4='Data entry'!$R$50, OR('Data entry'!$B$50="Confirmed",'Data entry'!$B$50="Probable")),"sx","")</f>
        <v/>
      </c>
      <c r="BU138" t="str">
        <f>IF(AND(BU$4='Data entry'!$R$50, OR('Data entry'!$B$50="Confirmed",'Data entry'!$B$50="Probable")),"sx","")</f>
        <v/>
      </c>
      <c r="BV138" t="str">
        <f>IF(AND(BV$4='Data entry'!$R$50, OR('Data entry'!$B$50="Confirmed",'Data entry'!$B$50="Probable")),"sx","")</f>
        <v/>
      </c>
      <c r="BW138" t="str">
        <f>IF(AND(BW$4='Data entry'!$R$50, OR('Data entry'!$B$50="Confirmed",'Data entry'!$B$50="Probable")),"sx","")</f>
        <v/>
      </c>
      <c r="BX138" t="str">
        <f>IF(AND(BX$4='Data entry'!$R$50, OR('Data entry'!$B$50="Confirmed",'Data entry'!$B$50="Probable")),"sx","")</f>
        <v/>
      </c>
      <c r="BY138" t="str">
        <f>IF(AND(BY$4='Data entry'!$R$50, OR('Data entry'!$B$50="Confirmed",'Data entry'!$B$50="Probable")),"sx","")</f>
        <v/>
      </c>
      <c r="BZ138" t="str">
        <f>IF(AND(BZ$4='Data entry'!$R$50, OR('Data entry'!$B$50="Confirmed",'Data entry'!$B$50="Probable")),"sx","")</f>
        <v/>
      </c>
      <c r="CA138" t="str">
        <f>IF(AND(CA$4='Data entry'!$R$50, OR('Data entry'!$B$50="Confirmed",'Data entry'!$B$50="Probable")),"sx","")</f>
        <v/>
      </c>
      <c r="CB138" t="str">
        <f>IF(AND(CB$4='Data entry'!$R$50, OR('Data entry'!$B$50="Confirmed",'Data entry'!$B$50="Probable")),"sx","")</f>
        <v/>
      </c>
      <c r="CC138" t="str">
        <f>IF(AND(CC$4='Data entry'!$R$50, OR('Data entry'!$B$50="Confirmed",'Data entry'!$B$50="Probable")),"sx","")</f>
        <v/>
      </c>
    </row>
    <row r="139" spans="1:81" s="64" customFormat="1" ht="2.25" customHeight="1" thickBot="1" x14ac:dyDescent="0.25">
      <c r="A139" s="671"/>
      <c r="B139" s="672"/>
      <c r="C139" s="69"/>
    </row>
    <row r="140" spans="1:81" s="63" customFormat="1" ht="15.75" thickTop="1" x14ac:dyDescent="0.2">
      <c r="A140" s="670" t="str">
        <f>CONCATENATE('Data entry'!J51, " ", 'Data entry'!I51)</f>
        <v xml:space="preserve"> </v>
      </c>
      <c r="B140" s="670"/>
      <c r="C140" s="67"/>
    </row>
    <row r="141" spans="1:81" x14ac:dyDescent="0.2">
      <c r="A141" s="668" t="str">
        <f>CONCATENATE('Data entry'!B51, ", ", 'Data entry'!AO51, ", ", 'Data entry'!AR51)</f>
        <v xml:space="preserve">, , </v>
      </c>
      <c r="B141" s="668"/>
      <c r="C141" s="68"/>
      <c r="Q141" t="str">
        <f>IF(AND(Q$4='Data entry'!$R$51, OR('Data entry'!$B$51="Confirmed",'Data entry'!$B$51="Probable")),"sx","")</f>
        <v/>
      </c>
      <c r="R141" t="str">
        <f>IF(AND(R$4='Data entry'!$R$51, OR('Data entry'!$B$51="Confirmed",'Data entry'!$B$51="Probable")),"sx","")</f>
        <v/>
      </c>
      <c r="S141" t="str">
        <f>IF(AND(S$4='Data entry'!$R$51, OR('Data entry'!$B$51="Confirmed",'Data entry'!$B$51="Probable")),"sx","")</f>
        <v/>
      </c>
      <c r="T141" t="str">
        <f>IF(AND(T$4='Data entry'!$R$51, OR('Data entry'!$B$51="Confirmed",'Data entry'!$B$51="Probable")),"sx","")</f>
        <v/>
      </c>
      <c r="U141" t="str">
        <f>IF(AND(U$4='Data entry'!$R$51, OR('Data entry'!$B$51="Confirmed",'Data entry'!$B$51="Probable")),"sx","")</f>
        <v/>
      </c>
      <c r="V141" t="str">
        <f>IF(AND(V$4='Data entry'!$R$51, OR('Data entry'!$B$51="Confirmed",'Data entry'!$B$51="Probable")),"sx","")</f>
        <v/>
      </c>
      <c r="W141" t="str">
        <f>IF(AND(W$4='Data entry'!$R$51, OR('Data entry'!$B$51="Confirmed",'Data entry'!$B$51="Probable")),"sx","")</f>
        <v/>
      </c>
      <c r="X141" t="str">
        <f>IF(AND(X$4='Data entry'!$R$51, OR('Data entry'!$B$51="Confirmed",'Data entry'!$B$51="Probable")),"sx","")</f>
        <v/>
      </c>
      <c r="Y141" t="str">
        <f>IF(AND(Y$4='Data entry'!$R$51, OR('Data entry'!$B$51="Confirmed",'Data entry'!$B$51="Probable")),"sx","")</f>
        <v/>
      </c>
      <c r="Z141" t="str">
        <f>IF(AND(Z$4='Data entry'!$R$51, OR('Data entry'!$B$51="Confirmed",'Data entry'!$B$51="Probable")),"sx","")</f>
        <v/>
      </c>
      <c r="AA141" t="str">
        <f>IF(AND(AA$4='Data entry'!$R$51, OR('Data entry'!$B$51="Confirmed",'Data entry'!$B$51="Probable")),"sx","")</f>
        <v/>
      </c>
      <c r="AB141" t="str">
        <f>IF(AND(AB$4='Data entry'!$R$51, OR('Data entry'!$B$51="Confirmed",'Data entry'!$B$51="Probable")),"sx","")</f>
        <v/>
      </c>
      <c r="AC141" t="str">
        <f>IF(AND(AC$4='Data entry'!$R$51, OR('Data entry'!$B$51="Confirmed",'Data entry'!$B$51="Probable")),"sx","")</f>
        <v/>
      </c>
      <c r="AD141" t="str">
        <f>IF(AND(AD$4='Data entry'!$R$51, OR('Data entry'!$B$51="Confirmed",'Data entry'!$B$51="Probable")),"sx","")</f>
        <v/>
      </c>
      <c r="AE141" t="str">
        <f>IF(AND(AE$4='Data entry'!$R$51, OR('Data entry'!$B$51="Confirmed",'Data entry'!$B$51="Probable")),"sx","")</f>
        <v/>
      </c>
      <c r="AF141" t="str">
        <f>IF(AND(AF$4='Data entry'!$R$51, OR('Data entry'!$B$51="Confirmed",'Data entry'!$B$51="Probable")),"sx","")</f>
        <v/>
      </c>
      <c r="AG141" t="str">
        <f>IF(AND(AG$4='Data entry'!$R$51, OR('Data entry'!$B$51="Confirmed",'Data entry'!$B$51="Probable")),"sx","")</f>
        <v/>
      </c>
      <c r="AH141" t="str">
        <f>IF(AND(AH$4='Data entry'!$R$51, OR('Data entry'!$B$51="Confirmed",'Data entry'!$B$51="Probable")),"sx","")</f>
        <v/>
      </c>
      <c r="AI141" t="str">
        <f>IF(AND(AI$4='Data entry'!$R$51, OR('Data entry'!$B$51="Confirmed",'Data entry'!$B$51="Probable")),"sx","")</f>
        <v/>
      </c>
      <c r="AJ141" t="str">
        <f>IF(AND(AJ$4='Data entry'!$R$51, OR('Data entry'!$B$51="Confirmed",'Data entry'!$B$51="Probable")),"sx","")</f>
        <v/>
      </c>
      <c r="AK141" t="str">
        <f>IF(AND(AK$4='Data entry'!$R$51, OR('Data entry'!$B$51="Confirmed",'Data entry'!$B$51="Probable")),"sx","")</f>
        <v/>
      </c>
      <c r="AL141" t="str">
        <f>IF(AND(AL$4='Data entry'!$R$51, OR('Data entry'!$B$51="Confirmed",'Data entry'!$B$51="Probable")),"sx","")</f>
        <v/>
      </c>
      <c r="AM141" t="str">
        <f>IF(AND(AM$4='Data entry'!$R$51, OR('Data entry'!$B$51="Confirmed",'Data entry'!$B$51="Probable")),"sx","")</f>
        <v/>
      </c>
      <c r="AN141" t="str">
        <f>IF(AND(AN$4='Data entry'!$R$51, OR('Data entry'!$B$51="Confirmed",'Data entry'!$B$51="Probable")),"sx","")</f>
        <v/>
      </c>
      <c r="AO141" t="str">
        <f>IF(AND(AO$4='Data entry'!$R$51, OR('Data entry'!$B$51="Confirmed",'Data entry'!$B$51="Probable")),"sx","")</f>
        <v/>
      </c>
      <c r="AP141" t="str">
        <f>IF(AND(AP$4='Data entry'!$R$51, OR('Data entry'!$B$51="Confirmed",'Data entry'!$B$51="Probable")),"sx","")</f>
        <v/>
      </c>
      <c r="AQ141" t="str">
        <f>IF(AND(AQ$4='Data entry'!$R$51, OR('Data entry'!$B$51="Confirmed",'Data entry'!$B$51="Probable")),"sx","")</f>
        <v/>
      </c>
      <c r="AR141" t="str">
        <f>IF(AND(AR$4='Data entry'!$R$51, OR('Data entry'!$B$51="Confirmed",'Data entry'!$B$51="Probable")),"sx","")</f>
        <v/>
      </c>
      <c r="AS141" t="str">
        <f>IF(AND(AS$4='Data entry'!$R$51, OR('Data entry'!$B$51="Confirmed",'Data entry'!$B$51="Probable")),"sx","")</f>
        <v/>
      </c>
      <c r="AT141" t="str">
        <f>IF(AND(AT$4='Data entry'!$R$51, OR('Data entry'!$B$51="Confirmed",'Data entry'!$B$51="Probable")),"sx","")</f>
        <v/>
      </c>
      <c r="AU141" t="str">
        <f>IF(AND(AU$4='Data entry'!$R$51, OR('Data entry'!$B$51="Confirmed",'Data entry'!$B$51="Probable")),"sx","")</f>
        <v/>
      </c>
      <c r="AV141" t="str">
        <f>IF(AND(AV$4='Data entry'!$R$51, OR('Data entry'!$B$51="Confirmed",'Data entry'!$B$51="Probable")),"sx","")</f>
        <v/>
      </c>
      <c r="AW141" t="str">
        <f>IF(AND(AW$4='Data entry'!$R$51, OR('Data entry'!$B$51="Confirmed",'Data entry'!$B$51="Probable")),"sx","")</f>
        <v/>
      </c>
      <c r="AX141" t="str">
        <f>IF(AND(AX$4='Data entry'!$R$51, OR('Data entry'!$B$51="Confirmed",'Data entry'!$B$51="Probable")),"sx","")</f>
        <v/>
      </c>
      <c r="AY141" t="str">
        <f>IF(AND(AY$4='Data entry'!$R$51, OR('Data entry'!$B$51="Confirmed",'Data entry'!$B$51="Probable")),"sx","")</f>
        <v/>
      </c>
      <c r="AZ141" t="str">
        <f>IF(AND(AZ$4='Data entry'!$R$51, OR('Data entry'!$B$51="Confirmed",'Data entry'!$B$51="Probable")),"sx","")</f>
        <v/>
      </c>
      <c r="BA141" t="str">
        <f>IF(AND(BA$4='Data entry'!$R$51, OR('Data entry'!$B$51="Confirmed",'Data entry'!$B$51="Probable")),"sx","")</f>
        <v/>
      </c>
      <c r="BB141" t="str">
        <f>IF(AND(BB$4='Data entry'!$R$51, OR('Data entry'!$B$51="Confirmed",'Data entry'!$B$51="Probable")),"sx","")</f>
        <v/>
      </c>
      <c r="BC141" t="str">
        <f>IF(AND(BC$4='Data entry'!$R$51, OR('Data entry'!$B$51="Confirmed",'Data entry'!$B$51="Probable")),"sx","")</f>
        <v/>
      </c>
      <c r="BD141" t="str">
        <f>IF(AND(BD$4='Data entry'!$R$51, OR('Data entry'!$B$51="Confirmed",'Data entry'!$B$51="Probable")),"sx","")</f>
        <v/>
      </c>
      <c r="BE141" t="str">
        <f>IF(AND(BE$4='Data entry'!$R$51, OR('Data entry'!$B$51="Confirmed",'Data entry'!$B$51="Probable")),"sx","")</f>
        <v/>
      </c>
      <c r="BF141" t="str">
        <f>IF(AND(BF$4='Data entry'!$R$51, OR('Data entry'!$B$51="Confirmed",'Data entry'!$B$51="Probable")),"sx","")</f>
        <v/>
      </c>
      <c r="BG141" t="str">
        <f>IF(AND(BG$4='Data entry'!$R$51, OR('Data entry'!$B$51="Confirmed",'Data entry'!$B$51="Probable")),"sx","")</f>
        <v/>
      </c>
      <c r="BH141" t="str">
        <f>IF(AND(BH$4='Data entry'!$R$51, OR('Data entry'!$B$51="Confirmed",'Data entry'!$B$51="Probable")),"sx","")</f>
        <v/>
      </c>
      <c r="BI141" t="str">
        <f>IF(AND(BI$4='Data entry'!$R$51, OR('Data entry'!$B$51="Confirmed",'Data entry'!$B$51="Probable")),"sx","")</f>
        <v/>
      </c>
      <c r="BJ141" t="str">
        <f>IF(AND(BJ$4='Data entry'!$R$51, OR('Data entry'!$B$51="Confirmed",'Data entry'!$B$51="Probable")),"sx","")</f>
        <v/>
      </c>
      <c r="BK141" t="str">
        <f>IF(AND(BK$4='Data entry'!$R$51, OR('Data entry'!$B$51="Confirmed",'Data entry'!$B$51="Probable")),"sx","")</f>
        <v/>
      </c>
      <c r="BL141" t="str">
        <f>IF(AND(BL$4='Data entry'!$R$51, OR('Data entry'!$B$51="Confirmed",'Data entry'!$B$51="Probable")),"sx","")</f>
        <v/>
      </c>
      <c r="BM141" t="str">
        <f>IF(AND(BM$4='Data entry'!$R$51, OR('Data entry'!$B$51="Confirmed",'Data entry'!$B$51="Probable")),"sx","")</f>
        <v/>
      </c>
      <c r="BN141" t="str">
        <f>IF(AND(BN$4='Data entry'!$R$51, OR('Data entry'!$B$51="Confirmed",'Data entry'!$B$51="Probable")),"sx","")</f>
        <v/>
      </c>
      <c r="BO141" t="str">
        <f>IF(AND(BO$4='Data entry'!$R$51, OR('Data entry'!$B$51="Confirmed",'Data entry'!$B$51="Probable")),"sx","")</f>
        <v/>
      </c>
      <c r="BP141" t="str">
        <f>IF(AND(BP$4='Data entry'!$R$51, OR('Data entry'!$B$51="Confirmed",'Data entry'!$B$51="Probable")),"sx","")</f>
        <v/>
      </c>
      <c r="BQ141" t="str">
        <f>IF(AND(BQ$4='Data entry'!$R$51, OR('Data entry'!$B$51="Confirmed",'Data entry'!$B$51="Probable")),"sx","")</f>
        <v/>
      </c>
      <c r="BR141" t="str">
        <f>IF(AND(BR$4='Data entry'!$R$51, OR('Data entry'!$B$51="Confirmed",'Data entry'!$B$51="Probable")),"sx","")</f>
        <v/>
      </c>
      <c r="BS141" t="str">
        <f>IF(AND(BS$4='Data entry'!$R$51, OR('Data entry'!$B$51="Confirmed",'Data entry'!$B$51="Probable")),"sx","")</f>
        <v/>
      </c>
      <c r="BT141" t="str">
        <f>IF(AND(BT$4='Data entry'!$R$51, OR('Data entry'!$B$51="Confirmed",'Data entry'!$B$51="Probable")),"sx","")</f>
        <v/>
      </c>
      <c r="BU141" t="str">
        <f>IF(AND(BU$4='Data entry'!$R$51, OR('Data entry'!$B$51="Confirmed",'Data entry'!$B$51="Probable")),"sx","")</f>
        <v/>
      </c>
      <c r="BV141" t="str">
        <f>IF(AND(BV$4='Data entry'!$R$51, OR('Data entry'!$B$51="Confirmed",'Data entry'!$B$51="Probable")),"sx","")</f>
        <v/>
      </c>
      <c r="BW141" t="str">
        <f>IF(AND(BW$4='Data entry'!$R$51, OR('Data entry'!$B$51="Confirmed",'Data entry'!$B$51="Probable")),"sx","")</f>
        <v/>
      </c>
      <c r="BX141" t="str">
        <f>IF(AND(BX$4='Data entry'!$R$51, OR('Data entry'!$B$51="Confirmed",'Data entry'!$B$51="Probable")),"sx","")</f>
        <v/>
      </c>
      <c r="BY141" t="str">
        <f>IF(AND(BY$4='Data entry'!$R$51, OR('Data entry'!$B$51="Confirmed",'Data entry'!$B$51="Probable")),"sx","")</f>
        <v/>
      </c>
      <c r="BZ141" t="str">
        <f>IF(AND(BZ$4='Data entry'!$R$51, OR('Data entry'!$B$51="Confirmed",'Data entry'!$B$51="Probable")),"sx","")</f>
        <v/>
      </c>
      <c r="CA141" t="str">
        <f>IF(AND(CA$4='Data entry'!$R$51, OR('Data entry'!$B$51="Confirmed",'Data entry'!$B$51="Probable")),"sx","")</f>
        <v/>
      </c>
      <c r="CB141" t="str">
        <f>IF(AND(CB$4='Data entry'!$R$51, OR('Data entry'!$B$51="Confirmed",'Data entry'!$B$51="Probable")),"sx","")</f>
        <v/>
      </c>
      <c r="CC141" t="str">
        <f>IF(AND(CC$4='Data entry'!$R$51, OR('Data entry'!$B$51="Confirmed",'Data entry'!$B$51="Probable")),"sx","")</f>
        <v/>
      </c>
    </row>
    <row r="142" spans="1:81" s="64" customFormat="1" ht="2.25" customHeight="1" thickBot="1" x14ac:dyDescent="0.25">
      <c r="A142" s="671"/>
      <c r="B142" s="672"/>
      <c r="C142" s="69"/>
    </row>
    <row r="143" spans="1:81" s="63" customFormat="1" ht="15.75" thickTop="1" x14ac:dyDescent="0.2">
      <c r="A143" s="670" t="str">
        <f>CONCATENATE('Data entry'!J52, " ", 'Data entry'!I52)</f>
        <v xml:space="preserve"> </v>
      </c>
      <c r="B143" s="670"/>
      <c r="C143" s="67"/>
    </row>
    <row r="144" spans="1:81" x14ac:dyDescent="0.2">
      <c r="A144" s="668" t="str">
        <f>CONCATENATE('Data entry'!B52, ", ", 'Data entry'!AO52, ", ", 'Data entry'!AR52)</f>
        <v xml:space="preserve">, , </v>
      </c>
      <c r="B144" s="668"/>
      <c r="C144" s="68"/>
      <c r="Q144" t="str">
        <f>IF(AND(Q$4='Data entry'!$R$52, OR('Data entry'!$B$52="Confirmed",'Data entry'!$B$52="Probable")),"sx","")</f>
        <v/>
      </c>
      <c r="R144" t="str">
        <f>IF(AND(R$4='Data entry'!$R$52, OR('Data entry'!$B$52="Confirmed",'Data entry'!$B$52="Probable")),"sx","")</f>
        <v/>
      </c>
      <c r="S144" t="str">
        <f>IF(AND(S$4='Data entry'!$R$52, OR('Data entry'!$B$52="Confirmed",'Data entry'!$B$52="Probable")),"sx","")</f>
        <v/>
      </c>
      <c r="T144" t="str">
        <f>IF(AND(T$4='Data entry'!$R$52, OR('Data entry'!$B$52="Confirmed",'Data entry'!$B$52="Probable")),"sx","")</f>
        <v/>
      </c>
      <c r="U144" t="str">
        <f>IF(AND(U$4='Data entry'!$R$52, OR('Data entry'!$B$52="Confirmed",'Data entry'!$B$52="Probable")),"sx","")</f>
        <v/>
      </c>
      <c r="V144" t="str">
        <f>IF(AND(V$4='Data entry'!$R$52, OR('Data entry'!$B$52="Confirmed",'Data entry'!$B$52="Probable")),"sx","")</f>
        <v/>
      </c>
      <c r="W144" t="str">
        <f>IF(AND(W$4='Data entry'!$R$52, OR('Data entry'!$B$52="Confirmed",'Data entry'!$B$52="Probable")),"sx","")</f>
        <v/>
      </c>
      <c r="X144" t="str">
        <f>IF(AND(X$4='Data entry'!$R$52, OR('Data entry'!$B$52="Confirmed",'Data entry'!$B$52="Probable")),"sx","")</f>
        <v/>
      </c>
      <c r="Y144" t="str">
        <f>IF(AND(Y$4='Data entry'!$R$52, OR('Data entry'!$B$52="Confirmed",'Data entry'!$B$52="Probable")),"sx","")</f>
        <v/>
      </c>
      <c r="Z144" t="str">
        <f>IF(AND(Z$4='Data entry'!$R$52, OR('Data entry'!$B$52="Confirmed",'Data entry'!$B$52="Probable")),"sx","")</f>
        <v/>
      </c>
      <c r="AA144" t="str">
        <f>IF(AND(AA$4='Data entry'!$R$52, OR('Data entry'!$B$52="Confirmed",'Data entry'!$B$52="Probable")),"sx","")</f>
        <v/>
      </c>
      <c r="AB144" t="str">
        <f>IF(AND(AB$4='Data entry'!$R$52, OR('Data entry'!$B$52="Confirmed",'Data entry'!$B$52="Probable")),"sx","")</f>
        <v/>
      </c>
      <c r="AC144" t="str">
        <f>IF(AND(AC$4='Data entry'!$R$52, OR('Data entry'!$B$52="Confirmed",'Data entry'!$B$52="Probable")),"sx","")</f>
        <v/>
      </c>
      <c r="AD144" t="str">
        <f>IF(AND(AD$4='Data entry'!$R$52, OR('Data entry'!$B$52="Confirmed",'Data entry'!$B$52="Probable")),"sx","")</f>
        <v/>
      </c>
      <c r="AE144" t="str">
        <f>IF(AND(AE$4='Data entry'!$R$52, OR('Data entry'!$B$52="Confirmed",'Data entry'!$B$52="Probable")),"sx","")</f>
        <v/>
      </c>
      <c r="AF144" t="str">
        <f>IF(AND(AF$4='Data entry'!$R$52, OR('Data entry'!$B$52="Confirmed",'Data entry'!$B$52="Probable")),"sx","")</f>
        <v/>
      </c>
      <c r="AG144" t="str">
        <f>IF(AND(AG$4='Data entry'!$R$52, OR('Data entry'!$B$52="Confirmed",'Data entry'!$B$52="Probable")),"sx","")</f>
        <v/>
      </c>
      <c r="AH144" t="str">
        <f>IF(AND(AH$4='Data entry'!$R$52, OR('Data entry'!$B$52="Confirmed",'Data entry'!$B$52="Probable")),"sx","")</f>
        <v/>
      </c>
      <c r="AI144" t="str">
        <f>IF(AND(AI$4='Data entry'!$R$52, OR('Data entry'!$B$52="Confirmed",'Data entry'!$B$52="Probable")),"sx","")</f>
        <v/>
      </c>
      <c r="AJ144" t="str">
        <f>IF(AND(AJ$4='Data entry'!$R$52, OR('Data entry'!$B$52="Confirmed",'Data entry'!$B$52="Probable")),"sx","")</f>
        <v/>
      </c>
      <c r="AK144" t="str">
        <f>IF(AND(AK$4='Data entry'!$R$52, OR('Data entry'!$B$52="Confirmed",'Data entry'!$B$52="Probable")),"sx","")</f>
        <v/>
      </c>
      <c r="AL144" t="str">
        <f>IF(AND(AL$4='Data entry'!$R$52, OR('Data entry'!$B$52="Confirmed",'Data entry'!$B$52="Probable")),"sx","")</f>
        <v/>
      </c>
      <c r="AM144" t="str">
        <f>IF(AND(AM$4='Data entry'!$R$52, OR('Data entry'!$B$52="Confirmed",'Data entry'!$B$52="Probable")),"sx","")</f>
        <v/>
      </c>
      <c r="AN144" t="str">
        <f>IF(AND(AN$4='Data entry'!$R$52, OR('Data entry'!$B$52="Confirmed",'Data entry'!$B$52="Probable")),"sx","")</f>
        <v/>
      </c>
      <c r="AO144" t="str">
        <f>IF(AND(AO$4='Data entry'!$R$52, OR('Data entry'!$B$52="Confirmed",'Data entry'!$B$52="Probable")),"sx","")</f>
        <v/>
      </c>
      <c r="AP144" t="str">
        <f>IF(AND(AP$4='Data entry'!$R$52, OR('Data entry'!$B$52="Confirmed",'Data entry'!$B$52="Probable")),"sx","")</f>
        <v/>
      </c>
      <c r="AQ144" t="str">
        <f>IF(AND(AQ$4='Data entry'!$R$52, OR('Data entry'!$B$52="Confirmed",'Data entry'!$B$52="Probable")),"sx","")</f>
        <v/>
      </c>
      <c r="AR144" t="str">
        <f>IF(AND(AR$4='Data entry'!$R$52, OR('Data entry'!$B$52="Confirmed",'Data entry'!$B$52="Probable")),"sx","")</f>
        <v/>
      </c>
      <c r="AS144" t="str">
        <f>IF(AND(AS$4='Data entry'!$R$52, OR('Data entry'!$B$52="Confirmed",'Data entry'!$B$52="Probable")),"sx","")</f>
        <v/>
      </c>
      <c r="AT144" t="str">
        <f>IF(AND(AT$4='Data entry'!$R$52, OR('Data entry'!$B$52="Confirmed",'Data entry'!$B$52="Probable")),"sx","")</f>
        <v/>
      </c>
      <c r="AU144" t="str">
        <f>IF(AND(AU$4='Data entry'!$R$52, OR('Data entry'!$B$52="Confirmed",'Data entry'!$B$52="Probable")),"sx","")</f>
        <v/>
      </c>
      <c r="AV144" t="str">
        <f>IF(AND(AV$4='Data entry'!$R$52, OR('Data entry'!$B$52="Confirmed",'Data entry'!$B$52="Probable")),"sx","")</f>
        <v/>
      </c>
      <c r="AW144" t="str">
        <f>IF(AND(AW$4='Data entry'!$R$52, OR('Data entry'!$B$52="Confirmed",'Data entry'!$B$52="Probable")),"sx","")</f>
        <v/>
      </c>
      <c r="AX144" t="str">
        <f>IF(AND(AX$4='Data entry'!$R$52, OR('Data entry'!$B$52="Confirmed",'Data entry'!$B$52="Probable")),"sx","")</f>
        <v/>
      </c>
      <c r="AY144" t="str">
        <f>IF(AND(AY$4='Data entry'!$R$52, OR('Data entry'!$B$52="Confirmed",'Data entry'!$B$52="Probable")),"sx","")</f>
        <v/>
      </c>
      <c r="AZ144" t="str">
        <f>IF(AND(AZ$4='Data entry'!$R$52, OR('Data entry'!$B$52="Confirmed",'Data entry'!$B$52="Probable")),"sx","")</f>
        <v/>
      </c>
      <c r="BA144" t="str">
        <f>IF(AND(BA$4='Data entry'!$R$52, OR('Data entry'!$B$52="Confirmed",'Data entry'!$B$52="Probable")),"sx","")</f>
        <v/>
      </c>
      <c r="BB144" t="str">
        <f>IF(AND(BB$4='Data entry'!$R$52, OR('Data entry'!$B$52="Confirmed",'Data entry'!$B$52="Probable")),"sx","")</f>
        <v/>
      </c>
      <c r="BC144" t="str">
        <f>IF(AND(BC$4='Data entry'!$R$52, OR('Data entry'!$B$52="Confirmed",'Data entry'!$B$52="Probable")),"sx","")</f>
        <v/>
      </c>
      <c r="BD144" t="str">
        <f>IF(AND(BD$4='Data entry'!$R$52, OR('Data entry'!$B$52="Confirmed",'Data entry'!$B$52="Probable")),"sx","")</f>
        <v/>
      </c>
      <c r="BE144" t="str">
        <f>IF(AND(BE$4='Data entry'!$R$52, OR('Data entry'!$B$52="Confirmed",'Data entry'!$B$52="Probable")),"sx","")</f>
        <v/>
      </c>
      <c r="BF144" t="str">
        <f>IF(AND(BF$4='Data entry'!$R$52, OR('Data entry'!$B$52="Confirmed",'Data entry'!$B$52="Probable")),"sx","")</f>
        <v/>
      </c>
      <c r="BG144" t="str">
        <f>IF(AND(BG$4='Data entry'!$R$52, OR('Data entry'!$B$52="Confirmed",'Data entry'!$B$52="Probable")),"sx","")</f>
        <v/>
      </c>
      <c r="BH144" t="str">
        <f>IF(AND(BH$4='Data entry'!$R$52, OR('Data entry'!$B$52="Confirmed",'Data entry'!$B$52="Probable")),"sx","")</f>
        <v/>
      </c>
      <c r="BI144" t="str">
        <f>IF(AND(BI$4='Data entry'!$R$52, OR('Data entry'!$B$52="Confirmed",'Data entry'!$B$52="Probable")),"sx","")</f>
        <v/>
      </c>
      <c r="BJ144" t="str">
        <f>IF(AND(BJ$4='Data entry'!$R$52, OR('Data entry'!$B$52="Confirmed",'Data entry'!$B$52="Probable")),"sx","")</f>
        <v/>
      </c>
      <c r="BK144" t="str">
        <f>IF(AND(BK$4='Data entry'!$R$52, OR('Data entry'!$B$52="Confirmed",'Data entry'!$B$52="Probable")),"sx","")</f>
        <v/>
      </c>
      <c r="BL144" t="str">
        <f>IF(AND(BL$4='Data entry'!$R$52, OR('Data entry'!$B$52="Confirmed",'Data entry'!$B$52="Probable")),"sx","")</f>
        <v/>
      </c>
      <c r="BM144" t="str">
        <f>IF(AND(BM$4='Data entry'!$R$52, OR('Data entry'!$B$52="Confirmed",'Data entry'!$B$52="Probable")),"sx","")</f>
        <v/>
      </c>
      <c r="BN144" t="str">
        <f>IF(AND(BN$4='Data entry'!$R$52, OR('Data entry'!$B$52="Confirmed",'Data entry'!$B$52="Probable")),"sx","")</f>
        <v/>
      </c>
      <c r="BO144" t="str">
        <f>IF(AND(BO$4='Data entry'!$R$52, OR('Data entry'!$B$52="Confirmed",'Data entry'!$B$52="Probable")),"sx","")</f>
        <v/>
      </c>
      <c r="BP144" t="str">
        <f>IF(AND(BP$4='Data entry'!$R$52, OR('Data entry'!$B$52="Confirmed",'Data entry'!$B$52="Probable")),"sx","")</f>
        <v/>
      </c>
      <c r="BQ144" t="str">
        <f>IF(AND(BQ$4='Data entry'!$R$52, OR('Data entry'!$B$52="Confirmed",'Data entry'!$B$52="Probable")),"sx","")</f>
        <v/>
      </c>
      <c r="BR144" t="str">
        <f>IF(AND(BR$4='Data entry'!$R$52, OR('Data entry'!$B$52="Confirmed",'Data entry'!$B$52="Probable")),"sx","")</f>
        <v/>
      </c>
      <c r="BS144" t="str">
        <f>IF(AND(BS$4='Data entry'!$R$52, OR('Data entry'!$B$52="Confirmed",'Data entry'!$B$52="Probable")),"sx","")</f>
        <v/>
      </c>
      <c r="BT144" t="str">
        <f>IF(AND(BT$4='Data entry'!$R$52, OR('Data entry'!$B$52="Confirmed",'Data entry'!$B$52="Probable")),"sx","")</f>
        <v/>
      </c>
      <c r="BU144" t="str">
        <f>IF(AND(BU$4='Data entry'!$R$52, OR('Data entry'!$B$52="Confirmed",'Data entry'!$B$52="Probable")),"sx","")</f>
        <v/>
      </c>
      <c r="BV144" t="str">
        <f>IF(AND(BV$4='Data entry'!$R$52, OR('Data entry'!$B$52="Confirmed",'Data entry'!$B$52="Probable")),"sx","")</f>
        <v/>
      </c>
      <c r="BW144" t="str">
        <f>IF(AND(BW$4='Data entry'!$R$52, OR('Data entry'!$B$52="Confirmed",'Data entry'!$B$52="Probable")),"sx","")</f>
        <v/>
      </c>
      <c r="BX144" t="str">
        <f>IF(AND(BX$4='Data entry'!$R$52, OR('Data entry'!$B$52="Confirmed",'Data entry'!$B$52="Probable")),"sx","")</f>
        <v/>
      </c>
      <c r="BY144" t="str">
        <f>IF(AND(BY$4='Data entry'!$R$52, OR('Data entry'!$B$52="Confirmed",'Data entry'!$B$52="Probable")),"sx","")</f>
        <v/>
      </c>
      <c r="BZ144" t="str">
        <f>IF(AND(BZ$4='Data entry'!$R$52, OR('Data entry'!$B$52="Confirmed",'Data entry'!$B$52="Probable")),"sx","")</f>
        <v/>
      </c>
      <c r="CA144" t="str">
        <f>IF(AND(CA$4='Data entry'!$R$52, OR('Data entry'!$B$52="Confirmed",'Data entry'!$B$52="Probable")),"sx","")</f>
        <v/>
      </c>
      <c r="CB144" t="str">
        <f>IF(AND(CB$4='Data entry'!$R$52, OR('Data entry'!$B$52="Confirmed",'Data entry'!$B$52="Probable")),"sx","")</f>
        <v/>
      </c>
      <c r="CC144" t="str">
        <f>IF(AND(CC$4='Data entry'!$R$52, OR('Data entry'!$B$52="Confirmed",'Data entry'!$B$52="Probable")),"sx","")</f>
        <v/>
      </c>
    </row>
    <row r="145" spans="1:81" s="64" customFormat="1" ht="2.25" customHeight="1" thickBot="1" x14ac:dyDescent="0.25">
      <c r="A145" s="671"/>
      <c r="B145" s="672"/>
      <c r="C145" s="69"/>
    </row>
    <row r="146" spans="1:81" s="63" customFormat="1" ht="15.75" thickTop="1" x14ac:dyDescent="0.2">
      <c r="A146" s="670" t="str">
        <f>CONCATENATE('Data entry'!J53, " ", 'Data entry'!I53)</f>
        <v xml:space="preserve"> </v>
      </c>
      <c r="B146" s="670"/>
      <c r="C146" s="67"/>
    </row>
    <row r="147" spans="1:81" x14ac:dyDescent="0.2">
      <c r="A147" s="668" t="str">
        <f>CONCATENATE('Data entry'!B53, ", ", 'Data entry'!AO53, ", ", 'Data entry'!AR53)</f>
        <v xml:space="preserve">, , </v>
      </c>
      <c r="B147" s="668"/>
      <c r="C147" s="68"/>
      <c r="Q147" t="str">
        <f>IF(AND(Q$4='Data entry'!$R$53, OR('Data entry'!$B$53="Confirmed",'Data entry'!$B$53="Probable")),"sx","")</f>
        <v/>
      </c>
      <c r="R147" t="str">
        <f>IF(AND(R$4='Data entry'!$R$53, OR('Data entry'!$B$53="Confirmed",'Data entry'!$B$53="Probable")),"sx","")</f>
        <v/>
      </c>
      <c r="S147" t="str">
        <f>IF(AND(S$4='Data entry'!$R$53, OR('Data entry'!$B$53="Confirmed",'Data entry'!$B$53="Probable")),"sx","")</f>
        <v/>
      </c>
      <c r="T147" t="str">
        <f>IF(AND(T$4='Data entry'!$R$53, OR('Data entry'!$B$53="Confirmed",'Data entry'!$B$53="Probable")),"sx","")</f>
        <v/>
      </c>
      <c r="U147" t="str">
        <f>IF(AND(U$4='Data entry'!$R$53, OR('Data entry'!$B$53="Confirmed",'Data entry'!$B$53="Probable")),"sx","")</f>
        <v/>
      </c>
      <c r="V147" t="str">
        <f>IF(AND(V$4='Data entry'!$R$53, OR('Data entry'!$B$53="Confirmed",'Data entry'!$B$53="Probable")),"sx","")</f>
        <v/>
      </c>
      <c r="W147" t="str">
        <f>IF(AND(W$4='Data entry'!$R$53, OR('Data entry'!$B$53="Confirmed",'Data entry'!$B$53="Probable")),"sx","")</f>
        <v/>
      </c>
      <c r="X147" t="str">
        <f>IF(AND(X$4='Data entry'!$R$53, OR('Data entry'!$B$53="Confirmed",'Data entry'!$B$53="Probable")),"sx","")</f>
        <v/>
      </c>
      <c r="Y147" t="str">
        <f>IF(AND(Y$4='Data entry'!$R$53, OR('Data entry'!$B$53="Confirmed",'Data entry'!$B$53="Probable")),"sx","")</f>
        <v/>
      </c>
      <c r="Z147" t="str">
        <f>IF(AND(Z$4='Data entry'!$R$53, OR('Data entry'!$B$53="Confirmed",'Data entry'!$B$53="Probable")),"sx","")</f>
        <v/>
      </c>
      <c r="AA147" t="str">
        <f>IF(AND(AA$4='Data entry'!$R$53, OR('Data entry'!$B$53="Confirmed",'Data entry'!$B$53="Probable")),"sx","")</f>
        <v/>
      </c>
      <c r="AB147" t="str">
        <f>IF(AND(AB$4='Data entry'!$R$53, OR('Data entry'!$B$53="Confirmed",'Data entry'!$B$53="Probable")),"sx","")</f>
        <v/>
      </c>
      <c r="AC147" t="str">
        <f>IF(AND(AC$4='Data entry'!$R$53, OR('Data entry'!$B$53="Confirmed",'Data entry'!$B$53="Probable")),"sx","")</f>
        <v/>
      </c>
      <c r="AD147" t="str">
        <f>IF(AND(AD$4='Data entry'!$R$53, OR('Data entry'!$B$53="Confirmed",'Data entry'!$B$53="Probable")),"sx","")</f>
        <v/>
      </c>
      <c r="AE147" t="str">
        <f>IF(AND(AE$4='Data entry'!$R$53, OR('Data entry'!$B$53="Confirmed",'Data entry'!$B$53="Probable")),"sx","")</f>
        <v/>
      </c>
      <c r="AF147" t="str">
        <f>IF(AND(AF$4='Data entry'!$R$53, OR('Data entry'!$B$53="Confirmed",'Data entry'!$B$53="Probable")),"sx","")</f>
        <v/>
      </c>
      <c r="AG147" t="str">
        <f>IF(AND(AG$4='Data entry'!$R$53, OR('Data entry'!$B$53="Confirmed",'Data entry'!$B$53="Probable")),"sx","")</f>
        <v/>
      </c>
      <c r="AH147" t="str">
        <f>IF(AND(AH$4='Data entry'!$R$53, OR('Data entry'!$B$53="Confirmed",'Data entry'!$B$53="Probable")),"sx","")</f>
        <v/>
      </c>
      <c r="AI147" t="str">
        <f>IF(AND(AI$4='Data entry'!$R$53, OR('Data entry'!$B$53="Confirmed",'Data entry'!$B$53="Probable")),"sx","")</f>
        <v/>
      </c>
      <c r="AJ147" t="str">
        <f>IF(AND(AJ$4='Data entry'!$R$53, OR('Data entry'!$B$53="Confirmed",'Data entry'!$B$53="Probable")),"sx","")</f>
        <v/>
      </c>
      <c r="AK147" t="str">
        <f>IF(AND(AK$4='Data entry'!$R$53, OR('Data entry'!$B$53="Confirmed",'Data entry'!$B$53="Probable")),"sx","")</f>
        <v/>
      </c>
      <c r="AL147" t="str">
        <f>IF(AND(AL$4='Data entry'!$R$53, OR('Data entry'!$B$53="Confirmed",'Data entry'!$B$53="Probable")),"sx","")</f>
        <v/>
      </c>
      <c r="AM147" t="str">
        <f>IF(AND(AM$4='Data entry'!$R$53, OR('Data entry'!$B$53="Confirmed",'Data entry'!$B$53="Probable")),"sx","")</f>
        <v/>
      </c>
      <c r="AN147" t="str">
        <f>IF(AND(AN$4='Data entry'!$R$53, OR('Data entry'!$B$53="Confirmed",'Data entry'!$B$53="Probable")),"sx","")</f>
        <v/>
      </c>
      <c r="AO147" t="str">
        <f>IF(AND(AO$4='Data entry'!$R$53, OR('Data entry'!$B$53="Confirmed",'Data entry'!$B$53="Probable")),"sx","")</f>
        <v/>
      </c>
      <c r="AP147" t="str">
        <f>IF(AND(AP$4='Data entry'!$R$53, OR('Data entry'!$B$53="Confirmed",'Data entry'!$B$53="Probable")),"sx","")</f>
        <v/>
      </c>
      <c r="AQ147" t="str">
        <f>IF(AND(AQ$4='Data entry'!$R$53, OR('Data entry'!$B$53="Confirmed",'Data entry'!$B$53="Probable")),"sx","")</f>
        <v/>
      </c>
      <c r="AR147" t="str">
        <f>IF(AND(AR$4='Data entry'!$R$53, OR('Data entry'!$B$53="Confirmed",'Data entry'!$B$53="Probable")),"sx","")</f>
        <v/>
      </c>
      <c r="AS147" t="str">
        <f>IF(AND(AS$4='Data entry'!$R$53, OR('Data entry'!$B$53="Confirmed",'Data entry'!$B$53="Probable")),"sx","")</f>
        <v/>
      </c>
      <c r="AT147" t="str">
        <f>IF(AND(AT$4='Data entry'!$R$53, OR('Data entry'!$B$53="Confirmed",'Data entry'!$B$53="Probable")),"sx","")</f>
        <v/>
      </c>
      <c r="AU147" t="str">
        <f>IF(AND(AU$4='Data entry'!$R$53, OR('Data entry'!$B$53="Confirmed",'Data entry'!$B$53="Probable")),"sx","")</f>
        <v/>
      </c>
      <c r="AV147" t="str">
        <f>IF(AND(AV$4='Data entry'!$R$53, OR('Data entry'!$B$53="Confirmed",'Data entry'!$B$53="Probable")),"sx","")</f>
        <v/>
      </c>
      <c r="AW147" t="str">
        <f>IF(AND(AW$4='Data entry'!$R$53, OR('Data entry'!$B$53="Confirmed",'Data entry'!$B$53="Probable")),"sx","")</f>
        <v/>
      </c>
      <c r="AX147" t="str">
        <f>IF(AND(AX$4='Data entry'!$R$53, OR('Data entry'!$B$53="Confirmed",'Data entry'!$B$53="Probable")),"sx","")</f>
        <v/>
      </c>
      <c r="AY147" t="str">
        <f>IF(AND(AY$4='Data entry'!$R$53, OR('Data entry'!$B$53="Confirmed",'Data entry'!$B$53="Probable")),"sx","")</f>
        <v/>
      </c>
      <c r="AZ147" t="str">
        <f>IF(AND(AZ$4='Data entry'!$R$53, OR('Data entry'!$B$53="Confirmed",'Data entry'!$B$53="Probable")),"sx","")</f>
        <v/>
      </c>
      <c r="BA147" t="str">
        <f>IF(AND(BA$4='Data entry'!$R$53, OR('Data entry'!$B$53="Confirmed",'Data entry'!$B$53="Probable")),"sx","")</f>
        <v/>
      </c>
      <c r="BB147" t="str">
        <f>IF(AND(BB$4='Data entry'!$R$53, OR('Data entry'!$B$53="Confirmed",'Data entry'!$B$53="Probable")),"sx","")</f>
        <v/>
      </c>
      <c r="BC147" t="str">
        <f>IF(AND(BC$4='Data entry'!$R$53, OR('Data entry'!$B$53="Confirmed",'Data entry'!$B$53="Probable")),"sx","")</f>
        <v/>
      </c>
      <c r="BD147" t="str">
        <f>IF(AND(BD$4='Data entry'!$R$53, OR('Data entry'!$B$53="Confirmed",'Data entry'!$B$53="Probable")),"sx","")</f>
        <v/>
      </c>
      <c r="BE147" t="str">
        <f>IF(AND(BE$4='Data entry'!$R$53, OR('Data entry'!$B$53="Confirmed",'Data entry'!$B$53="Probable")),"sx","")</f>
        <v/>
      </c>
      <c r="BF147" t="str">
        <f>IF(AND(BF$4='Data entry'!$R$53, OR('Data entry'!$B$53="Confirmed",'Data entry'!$B$53="Probable")),"sx","")</f>
        <v/>
      </c>
      <c r="BG147" t="str">
        <f>IF(AND(BG$4='Data entry'!$R$53, OR('Data entry'!$B$53="Confirmed",'Data entry'!$B$53="Probable")),"sx","")</f>
        <v/>
      </c>
      <c r="BH147" t="str">
        <f>IF(AND(BH$4='Data entry'!$R$53, OR('Data entry'!$B$53="Confirmed",'Data entry'!$B$53="Probable")),"sx","")</f>
        <v/>
      </c>
      <c r="BI147" t="str">
        <f>IF(AND(BI$4='Data entry'!$R$53, OR('Data entry'!$B$53="Confirmed",'Data entry'!$B$53="Probable")),"sx","")</f>
        <v/>
      </c>
      <c r="BJ147" t="str">
        <f>IF(AND(BJ$4='Data entry'!$R$53, OR('Data entry'!$B$53="Confirmed",'Data entry'!$B$53="Probable")),"sx","")</f>
        <v/>
      </c>
      <c r="BK147" t="str">
        <f>IF(AND(BK$4='Data entry'!$R$53, OR('Data entry'!$B$53="Confirmed",'Data entry'!$B$53="Probable")),"sx","")</f>
        <v/>
      </c>
      <c r="BL147" t="str">
        <f>IF(AND(BL$4='Data entry'!$R$53, OR('Data entry'!$B$53="Confirmed",'Data entry'!$B$53="Probable")),"sx","")</f>
        <v/>
      </c>
      <c r="BM147" t="str">
        <f>IF(AND(BM$4='Data entry'!$R$53, OR('Data entry'!$B$53="Confirmed",'Data entry'!$B$53="Probable")),"sx","")</f>
        <v/>
      </c>
      <c r="BN147" t="str">
        <f>IF(AND(BN$4='Data entry'!$R$53, OR('Data entry'!$B$53="Confirmed",'Data entry'!$B$53="Probable")),"sx","")</f>
        <v/>
      </c>
      <c r="BO147" t="str">
        <f>IF(AND(BO$4='Data entry'!$R$53, OR('Data entry'!$B$53="Confirmed",'Data entry'!$B$53="Probable")),"sx","")</f>
        <v/>
      </c>
      <c r="BP147" t="str">
        <f>IF(AND(BP$4='Data entry'!$R$53, OR('Data entry'!$B$53="Confirmed",'Data entry'!$B$53="Probable")),"sx","")</f>
        <v/>
      </c>
      <c r="BQ147" t="str">
        <f>IF(AND(BQ$4='Data entry'!$R$53, OR('Data entry'!$B$53="Confirmed",'Data entry'!$B$53="Probable")),"sx","")</f>
        <v/>
      </c>
      <c r="BR147" t="str">
        <f>IF(AND(BR$4='Data entry'!$R$53, OR('Data entry'!$B$53="Confirmed",'Data entry'!$B$53="Probable")),"sx","")</f>
        <v/>
      </c>
      <c r="BS147" t="str">
        <f>IF(AND(BS$4='Data entry'!$R$53, OR('Data entry'!$B$53="Confirmed",'Data entry'!$B$53="Probable")),"sx","")</f>
        <v/>
      </c>
      <c r="BT147" t="str">
        <f>IF(AND(BT$4='Data entry'!$R$53, OR('Data entry'!$B$53="Confirmed",'Data entry'!$B$53="Probable")),"sx","")</f>
        <v/>
      </c>
      <c r="BU147" t="str">
        <f>IF(AND(BU$4='Data entry'!$R$53, OR('Data entry'!$B$53="Confirmed",'Data entry'!$B$53="Probable")),"sx","")</f>
        <v/>
      </c>
      <c r="BV147" t="str">
        <f>IF(AND(BV$4='Data entry'!$R$53, OR('Data entry'!$B$53="Confirmed",'Data entry'!$B$53="Probable")),"sx","")</f>
        <v/>
      </c>
      <c r="BW147" t="str">
        <f>IF(AND(BW$4='Data entry'!$R$53, OR('Data entry'!$B$53="Confirmed",'Data entry'!$B$53="Probable")),"sx","")</f>
        <v/>
      </c>
      <c r="BX147" t="str">
        <f>IF(AND(BX$4='Data entry'!$R$53, OR('Data entry'!$B$53="Confirmed",'Data entry'!$B$53="Probable")),"sx","")</f>
        <v/>
      </c>
      <c r="BY147" t="str">
        <f>IF(AND(BY$4='Data entry'!$R$53, OR('Data entry'!$B$53="Confirmed",'Data entry'!$B$53="Probable")),"sx","")</f>
        <v/>
      </c>
      <c r="BZ147" t="str">
        <f>IF(AND(BZ$4='Data entry'!$R$53, OR('Data entry'!$B$53="Confirmed",'Data entry'!$B$53="Probable")),"sx","")</f>
        <v/>
      </c>
      <c r="CA147" t="str">
        <f>IF(AND(CA$4='Data entry'!$R$53, OR('Data entry'!$B$53="Confirmed",'Data entry'!$B$53="Probable")),"sx","")</f>
        <v/>
      </c>
      <c r="CB147" t="str">
        <f>IF(AND(CB$4='Data entry'!$R$53, OR('Data entry'!$B$53="Confirmed",'Data entry'!$B$53="Probable")),"sx","")</f>
        <v/>
      </c>
      <c r="CC147" t="str">
        <f>IF(AND(CC$4='Data entry'!$R$53, OR('Data entry'!$B$53="Confirmed",'Data entry'!$B$53="Probable")),"sx","")</f>
        <v/>
      </c>
    </row>
    <row r="148" spans="1:81" s="64" customFormat="1" ht="2.25" customHeight="1" thickBot="1" x14ac:dyDescent="0.25">
      <c r="A148" s="671"/>
      <c r="B148" s="672"/>
      <c r="C148" s="69"/>
    </row>
    <row r="149" spans="1:81" s="63" customFormat="1" ht="15.75" thickTop="1" x14ac:dyDescent="0.2">
      <c r="A149" s="670" t="str">
        <f>CONCATENATE('Data entry'!J54, " ", 'Data entry'!I54)</f>
        <v xml:space="preserve"> </v>
      </c>
      <c r="B149" s="670"/>
      <c r="C149" s="67"/>
    </row>
    <row r="150" spans="1:81" x14ac:dyDescent="0.2">
      <c r="A150" s="668" t="str">
        <f>CONCATENATE('Data entry'!B54, ", ", 'Data entry'!AO54, ", ", 'Data entry'!AR54)</f>
        <v xml:space="preserve">, , </v>
      </c>
      <c r="B150" s="668"/>
      <c r="C150" s="68"/>
      <c r="Q150" t="str">
        <f>IF(AND(Q$4='Data entry'!$R$54, OR('Data entry'!$B$54="Confirmed",'Data entry'!$B$54="Probable")),"sx","")</f>
        <v/>
      </c>
      <c r="R150" t="str">
        <f>IF(AND(R$4='Data entry'!$R$54, OR('Data entry'!$B$54="Confirmed",'Data entry'!$B$54="Probable")),"sx","")</f>
        <v/>
      </c>
      <c r="S150" t="str">
        <f>IF(AND(S$4='Data entry'!$R$54, OR('Data entry'!$B$54="Confirmed",'Data entry'!$B$54="Probable")),"sx","")</f>
        <v/>
      </c>
      <c r="T150" t="str">
        <f>IF(AND(T$4='Data entry'!$R$54, OR('Data entry'!$B$54="Confirmed",'Data entry'!$B$54="Probable")),"sx","")</f>
        <v/>
      </c>
      <c r="U150" t="str">
        <f>IF(AND(U$4='Data entry'!$R$54, OR('Data entry'!$B$54="Confirmed",'Data entry'!$B$54="Probable")),"sx","")</f>
        <v/>
      </c>
      <c r="V150" t="str">
        <f>IF(AND(V$4='Data entry'!$R$54, OR('Data entry'!$B$54="Confirmed",'Data entry'!$B$54="Probable")),"sx","")</f>
        <v/>
      </c>
      <c r="W150" t="str">
        <f>IF(AND(W$4='Data entry'!$R$54, OR('Data entry'!$B$54="Confirmed",'Data entry'!$B$54="Probable")),"sx","")</f>
        <v/>
      </c>
      <c r="X150" t="str">
        <f>IF(AND(X$4='Data entry'!$R$54, OR('Data entry'!$B$54="Confirmed",'Data entry'!$B$54="Probable")),"sx","")</f>
        <v/>
      </c>
      <c r="Y150" t="str">
        <f>IF(AND(Y$4='Data entry'!$R$54, OR('Data entry'!$B$54="Confirmed",'Data entry'!$B$54="Probable")),"sx","")</f>
        <v/>
      </c>
      <c r="Z150" t="str">
        <f>IF(AND(Z$4='Data entry'!$R$54, OR('Data entry'!$B$54="Confirmed",'Data entry'!$B$54="Probable")),"sx","")</f>
        <v/>
      </c>
      <c r="AA150" t="str">
        <f>IF(AND(AA$4='Data entry'!$R$54, OR('Data entry'!$B$54="Confirmed",'Data entry'!$B$54="Probable")),"sx","")</f>
        <v/>
      </c>
      <c r="AB150" t="str">
        <f>IF(AND(AB$4='Data entry'!$R$54, OR('Data entry'!$B$54="Confirmed",'Data entry'!$B$54="Probable")),"sx","")</f>
        <v/>
      </c>
      <c r="AC150" t="str">
        <f>IF(AND(AC$4='Data entry'!$R$54, OR('Data entry'!$B$54="Confirmed",'Data entry'!$B$54="Probable")),"sx","")</f>
        <v/>
      </c>
      <c r="AD150" t="str">
        <f>IF(AND(AD$4='Data entry'!$R$54, OR('Data entry'!$B$54="Confirmed",'Data entry'!$B$54="Probable")),"sx","")</f>
        <v/>
      </c>
      <c r="AE150" t="str">
        <f>IF(AND(AE$4='Data entry'!$R$54, OR('Data entry'!$B$54="Confirmed",'Data entry'!$B$54="Probable")),"sx","")</f>
        <v/>
      </c>
      <c r="AF150" t="str">
        <f>IF(AND(AF$4='Data entry'!$R$54, OR('Data entry'!$B$54="Confirmed",'Data entry'!$B$54="Probable")),"sx","")</f>
        <v/>
      </c>
      <c r="AG150" t="str">
        <f>IF(AND(AG$4='Data entry'!$R$54, OR('Data entry'!$B$54="Confirmed",'Data entry'!$B$54="Probable")),"sx","")</f>
        <v/>
      </c>
      <c r="AH150" t="str">
        <f>IF(AND(AH$4='Data entry'!$R$54, OR('Data entry'!$B$54="Confirmed",'Data entry'!$B$54="Probable")),"sx","")</f>
        <v/>
      </c>
      <c r="AI150" t="str">
        <f>IF(AND(AI$4='Data entry'!$R$54, OR('Data entry'!$B$54="Confirmed",'Data entry'!$B$54="Probable")),"sx","")</f>
        <v/>
      </c>
      <c r="AJ150" t="str">
        <f>IF(AND(AJ$4='Data entry'!$R$54, OR('Data entry'!$B$54="Confirmed",'Data entry'!$B$54="Probable")),"sx","")</f>
        <v/>
      </c>
      <c r="AK150" t="str">
        <f>IF(AND(AK$4='Data entry'!$R$54, OR('Data entry'!$B$54="Confirmed",'Data entry'!$B$54="Probable")),"sx","")</f>
        <v/>
      </c>
      <c r="AL150" t="str">
        <f>IF(AND(AL$4='Data entry'!$R$54, OR('Data entry'!$B$54="Confirmed",'Data entry'!$B$54="Probable")),"sx","")</f>
        <v/>
      </c>
      <c r="AM150" t="str">
        <f>IF(AND(AM$4='Data entry'!$R$54, OR('Data entry'!$B$54="Confirmed",'Data entry'!$B$54="Probable")),"sx","")</f>
        <v/>
      </c>
      <c r="AN150" t="str">
        <f>IF(AND(AN$4='Data entry'!$R$54, OR('Data entry'!$B$54="Confirmed",'Data entry'!$B$54="Probable")),"sx","")</f>
        <v/>
      </c>
      <c r="AO150" t="str">
        <f>IF(AND(AO$4='Data entry'!$R$54, OR('Data entry'!$B$54="Confirmed",'Data entry'!$B$54="Probable")),"sx","")</f>
        <v/>
      </c>
      <c r="AP150" t="str">
        <f>IF(AND(AP$4='Data entry'!$R$54, OR('Data entry'!$B$54="Confirmed",'Data entry'!$B$54="Probable")),"sx","")</f>
        <v/>
      </c>
      <c r="AQ150" t="str">
        <f>IF(AND(AQ$4='Data entry'!$R$54, OR('Data entry'!$B$54="Confirmed",'Data entry'!$B$54="Probable")),"sx","")</f>
        <v/>
      </c>
      <c r="AR150" t="str">
        <f>IF(AND(AR$4='Data entry'!$R$54, OR('Data entry'!$B$54="Confirmed",'Data entry'!$B$54="Probable")),"sx","")</f>
        <v/>
      </c>
      <c r="AS150" t="str">
        <f>IF(AND(AS$4='Data entry'!$R$54, OR('Data entry'!$B$54="Confirmed",'Data entry'!$B$54="Probable")),"sx","")</f>
        <v/>
      </c>
      <c r="AT150" t="str">
        <f>IF(AND(AT$4='Data entry'!$R$54, OR('Data entry'!$B$54="Confirmed",'Data entry'!$B$54="Probable")),"sx","")</f>
        <v/>
      </c>
      <c r="AU150" t="str">
        <f>IF(AND(AU$4='Data entry'!$R$54, OR('Data entry'!$B$54="Confirmed",'Data entry'!$B$54="Probable")),"sx","")</f>
        <v/>
      </c>
      <c r="AV150" t="str">
        <f>IF(AND(AV$4='Data entry'!$R$54, OR('Data entry'!$B$54="Confirmed",'Data entry'!$B$54="Probable")),"sx","")</f>
        <v/>
      </c>
      <c r="AW150" t="str">
        <f>IF(AND(AW$4='Data entry'!$R$54, OR('Data entry'!$B$54="Confirmed",'Data entry'!$B$54="Probable")),"sx","")</f>
        <v/>
      </c>
      <c r="AX150" t="str">
        <f>IF(AND(AX$4='Data entry'!$R$54, OR('Data entry'!$B$54="Confirmed",'Data entry'!$B$54="Probable")),"sx","")</f>
        <v/>
      </c>
      <c r="AY150" t="str">
        <f>IF(AND(AY$4='Data entry'!$R$54, OR('Data entry'!$B$54="Confirmed",'Data entry'!$B$54="Probable")),"sx","")</f>
        <v/>
      </c>
      <c r="AZ150" t="str">
        <f>IF(AND(AZ$4='Data entry'!$R$54, OR('Data entry'!$B$54="Confirmed",'Data entry'!$B$54="Probable")),"sx","")</f>
        <v/>
      </c>
      <c r="BA150" t="str">
        <f>IF(AND(BA$4='Data entry'!$R$54, OR('Data entry'!$B$54="Confirmed",'Data entry'!$B$54="Probable")),"sx","")</f>
        <v/>
      </c>
      <c r="BB150" t="str">
        <f>IF(AND(BB$4='Data entry'!$R$54, OR('Data entry'!$B$54="Confirmed",'Data entry'!$B$54="Probable")),"sx","")</f>
        <v/>
      </c>
      <c r="BC150" t="str">
        <f>IF(AND(BC$4='Data entry'!$R$54, OR('Data entry'!$B$54="Confirmed",'Data entry'!$B$54="Probable")),"sx","")</f>
        <v/>
      </c>
      <c r="BD150" t="str">
        <f>IF(AND(BD$4='Data entry'!$R$54, OR('Data entry'!$B$54="Confirmed",'Data entry'!$B$54="Probable")),"sx","")</f>
        <v/>
      </c>
      <c r="BE150" t="str">
        <f>IF(AND(BE$4='Data entry'!$R$54, OR('Data entry'!$B$54="Confirmed",'Data entry'!$B$54="Probable")),"sx","")</f>
        <v/>
      </c>
      <c r="BF150" t="str">
        <f>IF(AND(BF$4='Data entry'!$R$54, OR('Data entry'!$B$54="Confirmed",'Data entry'!$B$54="Probable")),"sx","")</f>
        <v/>
      </c>
      <c r="BG150" t="str">
        <f>IF(AND(BG$4='Data entry'!$R$54, OR('Data entry'!$B$54="Confirmed",'Data entry'!$B$54="Probable")),"sx","")</f>
        <v/>
      </c>
      <c r="BH150" t="str">
        <f>IF(AND(BH$4='Data entry'!$R$54, OR('Data entry'!$B$54="Confirmed",'Data entry'!$B$54="Probable")),"sx","")</f>
        <v/>
      </c>
      <c r="BI150" t="str">
        <f>IF(AND(BI$4='Data entry'!$R$54, OR('Data entry'!$B$54="Confirmed",'Data entry'!$B$54="Probable")),"sx","")</f>
        <v/>
      </c>
      <c r="BJ150" t="str">
        <f>IF(AND(BJ$4='Data entry'!$R$54, OR('Data entry'!$B$54="Confirmed",'Data entry'!$B$54="Probable")),"sx","")</f>
        <v/>
      </c>
      <c r="BK150" t="str">
        <f>IF(AND(BK$4='Data entry'!$R$54, OR('Data entry'!$B$54="Confirmed",'Data entry'!$B$54="Probable")),"sx","")</f>
        <v/>
      </c>
      <c r="BL150" t="str">
        <f>IF(AND(BL$4='Data entry'!$R$54, OR('Data entry'!$B$54="Confirmed",'Data entry'!$B$54="Probable")),"sx","")</f>
        <v/>
      </c>
      <c r="BM150" t="str">
        <f>IF(AND(BM$4='Data entry'!$R$54, OR('Data entry'!$B$54="Confirmed",'Data entry'!$B$54="Probable")),"sx","")</f>
        <v/>
      </c>
      <c r="BN150" t="str">
        <f>IF(AND(BN$4='Data entry'!$R$54, OR('Data entry'!$B$54="Confirmed",'Data entry'!$B$54="Probable")),"sx","")</f>
        <v/>
      </c>
      <c r="BO150" t="str">
        <f>IF(AND(BO$4='Data entry'!$R$54, OR('Data entry'!$B$54="Confirmed",'Data entry'!$B$54="Probable")),"sx","")</f>
        <v/>
      </c>
      <c r="BP150" t="str">
        <f>IF(AND(BP$4='Data entry'!$R$54, OR('Data entry'!$B$54="Confirmed",'Data entry'!$B$54="Probable")),"sx","")</f>
        <v/>
      </c>
      <c r="BQ150" t="str">
        <f>IF(AND(BQ$4='Data entry'!$R$54, OR('Data entry'!$B$54="Confirmed",'Data entry'!$B$54="Probable")),"sx","")</f>
        <v/>
      </c>
      <c r="BR150" t="str">
        <f>IF(AND(BR$4='Data entry'!$R$54, OR('Data entry'!$B$54="Confirmed",'Data entry'!$B$54="Probable")),"sx","")</f>
        <v/>
      </c>
      <c r="BS150" t="str">
        <f>IF(AND(BS$4='Data entry'!$R$54, OR('Data entry'!$B$54="Confirmed",'Data entry'!$B$54="Probable")),"sx","")</f>
        <v/>
      </c>
      <c r="BT150" t="str">
        <f>IF(AND(BT$4='Data entry'!$R$54, OR('Data entry'!$B$54="Confirmed",'Data entry'!$B$54="Probable")),"sx","")</f>
        <v/>
      </c>
      <c r="BU150" t="str">
        <f>IF(AND(BU$4='Data entry'!$R$54, OR('Data entry'!$B$54="Confirmed",'Data entry'!$B$54="Probable")),"sx","")</f>
        <v/>
      </c>
      <c r="BV150" t="str">
        <f>IF(AND(BV$4='Data entry'!$R$54, OR('Data entry'!$B$54="Confirmed",'Data entry'!$B$54="Probable")),"sx","")</f>
        <v/>
      </c>
      <c r="BW150" t="str">
        <f>IF(AND(BW$4='Data entry'!$R$54, OR('Data entry'!$B$54="Confirmed",'Data entry'!$B$54="Probable")),"sx","")</f>
        <v/>
      </c>
      <c r="BX150" t="str">
        <f>IF(AND(BX$4='Data entry'!$R$54, OR('Data entry'!$B$54="Confirmed",'Data entry'!$B$54="Probable")),"sx","")</f>
        <v/>
      </c>
      <c r="BY150" t="str">
        <f>IF(AND(BY$4='Data entry'!$R$54, OR('Data entry'!$B$54="Confirmed",'Data entry'!$B$54="Probable")),"sx","")</f>
        <v/>
      </c>
      <c r="BZ150" t="str">
        <f>IF(AND(BZ$4='Data entry'!$R$54, OR('Data entry'!$B$54="Confirmed",'Data entry'!$B$54="Probable")),"sx","")</f>
        <v/>
      </c>
      <c r="CA150" t="str">
        <f>IF(AND(CA$4='Data entry'!$R$54, OR('Data entry'!$B$54="Confirmed",'Data entry'!$B$54="Probable")),"sx","")</f>
        <v/>
      </c>
      <c r="CB150" t="str">
        <f>IF(AND(CB$4='Data entry'!$R$54, OR('Data entry'!$B$54="Confirmed",'Data entry'!$B$54="Probable")),"sx","")</f>
        <v/>
      </c>
      <c r="CC150" t="str">
        <f>IF(AND(CC$4='Data entry'!$R$54, OR('Data entry'!$B$54="Confirmed",'Data entry'!$B$54="Probable")),"sx","")</f>
        <v/>
      </c>
    </row>
    <row r="151" spans="1:81" s="64" customFormat="1" ht="2.25" customHeight="1" thickBot="1" x14ac:dyDescent="0.25">
      <c r="A151" s="671"/>
      <c r="B151" s="672"/>
      <c r="C151" s="69"/>
    </row>
    <row r="152" spans="1:81" s="63" customFormat="1" ht="15.75" thickTop="1" x14ac:dyDescent="0.2">
      <c r="A152" s="670" t="str">
        <f>CONCATENATE('Data entry'!J55, " ", 'Data entry'!I55)</f>
        <v xml:space="preserve"> </v>
      </c>
      <c r="B152" s="670"/>
      <c r="C152" s="67"/>
    </row>
    <row r="153" spans="1:81" x14ac:dyDescent="0.2">
      <c r="A153" s="668" t="str">
        <f>CONCATENATE('Data entry'!B55, ", ", 'Data entry'!AO55, ", ", 'Data entry'!AR55)</f>
        <v xml:space="preserve">, , </v>
      </c>
      <c r="B153" s="668"/>
      <c r="C153" s="68"/>
      <c r="Q153" t="str">
        <f>IF(AND(Q$4='Data entry'!$R$55, OR('Data entry'!$B$55="Confirmed",'Data entry'!$B$55="Probable")),"sx","")</f>
        <v/>
      </c>
      <c r="R153" t="str">
        <f>IF(AND(R$4='Data entry'!$R$55, OR('Data entry'!$B$55="Confirmed",'Data entry'!$B$55="Probable")),"sx","")</f>
        <v/>
      </c>
      <c r="S153" t="str">
        <f>IF(AND(S$4='Data entry'!$R$55, OR('Data entry'!$B$55="Confirmed",'Data entry'!$B$55="Probable")),"sx","")</f>
        <v/>
      </c>
      <c r="T153" t="str">
        <f>IF(AND(T$4='Data entry'!$R$55, OR('Data entry'!$B$55="Confirmed",'Data entry'!$B$55="Probable")),"sx","")</f>
        <v/>
      </c>
      <c r="U153" t="str">
        <f>IF(AND(U$4='Data entry'!$R$55, OR('Data entry'!$B$55="Confirmed",'Data entry'!$B$55="Probable")),"sx","")</f>
        <v/>
      </c>
      <c r="V153" t="str">
        <f>IF(AND(V$4='Data entry'!$R$55, OR('Data entry'!$B$55="Confirmed",'Data entry'!$B$55="Probable")),"sx","")</f>
        <v/>
      </c>
      <c r="W153" t="str">
        <f>IF(AND(W$4='Data entry'!$R$55, OR('Data entry'!$B$55="Confirmed",'Data entry'!$B$55="Probable")),"sx","")</f>
        <v/>
      </c>
      <c r="X153" t="str">
        <f>IF(AND(X$4='Data entry'!$R$55, OR('Data entry'!$B$55="Confirmed",'Data entry'!$B$55="Probable")),"sx","")</f>
        <v/>
      </c>
      <c r="Y153" t="str">
        <f>IF(AND(Y$4='Data entry'!$R$55, OR('Data entry'!$B$55="Confirmed",'Data entry'!$B$55="Probable")),"sx","")</f>
        <v/>
      </c>
      <c r="Z153" t="str">
        <f>IF(AND(Z$4='Data entry'!$R$55, OR('Data entry'!$B$55="Confirmed",'Data entry'!$B$55="Probable")),"sx","")</f>
        <v/>
      </c>
      <c r="AA153" t="str">
        <f>IF(AND(AA$4='Data entry'!$R$55, OR('Data entry'!$B$55="Confirmed",'Data entry'!$B$55="Probable")),"sx","")</f>
        <v/>
      </c>
      <c r="AB153" t="str">
        <f>IF(AND(AB$4='Data entry'!$R$55, OR('Data entry'!$B$55="Confirmed",'Data entry'!$B$55="Probable")),"sx","")</f>
        <v/>
      </c>
      <c r="AC153" t="str">
        <f>IF(AND(AC$4='Data entry'!$R$55, OR('Data entry'!$B$55="Confirmed",'Data entry'!$B$55="Probable")),"sx","")</f>
        <v/>
      </c>
      <c r="AD153" t="str">
        <f>IF(AND(AD$4='Data entry'!$R$55, OR('Data entry'!$B$55="Confirmed",'Data entry'!$B$55="Probable")),"sx","")</f>
        <v/>
      </c>
      <c r="AE153" t="str">
        <f>IF(AND(AE$4='Data entry'!$R$55, OR('Data entry'!$B$55="Confirmed",'Data entry'!$B$55="Probable")),"sx","")</f>
        <v/>
      </c>
      <c r="AF153" t="str">
        <f>IF(AND(AF$4='Data entry'!$R$55, OR('Data entry'!$B$55="Confirmed",'Data entry'!$B$55="Probable")),"sx","")</f>
        <v/>
      </c>
      <c r="AG153" t="str">
        <f>IF(AND(AG$4='Data entry'!$R$55, OR('Data entry'!$B$55="Confirmed",'Data entry'!$B$55="Probable")),"sx","")</f>
        <v/>
      </c>
      <c r="AH153" t="str">
        <f>IF(AND(AH$4='Data entry'!$R$55, OR('Data entry'!$B$55="Confirmed",'Data entry'!$B$55="Probable")),"sx","")</f>
        <v/>
      </c>
      <c r="AI153" t="str">
        <f>IF(AND(AI$4='Data entry'!$R$55, OR('Data entry'!$B$55="Confirmed",'Data entry'!$B$55="Probable")),"sx","")</f>
        <v/>
      </c>
      <c r="AJ153" t="str">
        <f>IF(AND(AJ$4='Data entry'!$R$55, OR('Data entry'!$B$55="Confirmed",'Data entry'!$B$55="Probable")),"sx","")</f>
        <v/>
      </c>
      <c r="AK153" t="str">
        <f>IF(AND(AK$4='Data entry'!$R$55, OR('Data entry'!$B$55="Confirmed",'Data entry'!$B$55="Probable")),"sx","")</f>
        <v/>
      </c>
      <c r="AL153" t="str">
        <f>IF(AND(AL$4='Data entry'!$R$55, OR('Data entry'!$B$55="Confirmed",'Data entry'!$B$55="Probable")),"sx","")</f>
        <v/>
      </c>
      <c r="AM153" t="str">
        <f>IF(AND(AM$4='Data entry'!$R$55, OR('Data entry'!$B$55="Confirmed",'Data entry'!$B$55="Probable")),"sx","")</f>
        <v/>
      </c>
      <c r="AN153" t="str">
        <f>IF(AND(AN$4='Data entry'!$R$55, OR('Data entry'!$B$55="Confirmed",'Data entry'!$B$55="Probable")),"sx","")</f>
        <v/>
      </c>
      <c r="AO153" t="str">
        <f>IF(AND(AO$4='Data entry'!$R$55, OR('Data entry'!$B$55="Confirmed",'Data entry'!$B$55="Probable")),"sx","")</f>
        <v/>
      </c>
      <c r="AP153" t="str">
        <f>IF(AND(AP$4='Data entry'!$R$55, OR('Data entry'!$B$55="Confirmed",'Data entry'!$B$55="Probable")),"sx","")</f>
        <v/>
      </c>
      <c r="AQ153" t="str">
        <f>IF(AND(AQ$4='Data entry'!$R$55, OR('Data entry'!$B$55="Confirmed",'Data entry'!$B$55="Probable")),"sx","")</f>
        <v/>
      </c>
      <c r="AR153" t="str">
        <f>IF(AND(AR$4='Data entry'!$R$55, OR('Data entry'!$B$55="Confirmed",'Data entry'!$B$55="Probable")),"sx","")</f>
        <v/>
      </c>
      <c r="AS153" t="str">
        <f>IF(AND(AS$4='Data entry'!$R$55, OR('Data entry'!$B$55="Confirmed",'Data entry'!$B$55="Probable")),"sx","")</f>
        <v/>
      </c>
      <c r="AT153" t="str">
        <f>IF(AND(AT$4='Data entry'!$R$55, OR('Data entry'!$B$55="Confirmed",'Data entry'!$B$55="Probable")),"sx","")</f>
        <v/>
      </c>
      <c r="AU153" t="str">
        <f>IF(AND(AU$4='Data entry'!$R$55, OR('Data entry'!$B$55="Confirmed",'Data entry'!$B$55="Probable")),"sx","")</f>
        <v/>
      </c>
      <c r="AV153" t="str">
        <f>IF(AND(AV$4='Data entry'!$R$55, OR('Data entry'!$B$55="Confirmed",'Data entry'!$B$55="Probable")),"sx","")</f>
        <v/>
      </c>
      <c r="AW153" t="str">
        <f>IF(AND(AW$4='Data entry'!$R$55, OR('Data entry'!$B$55="Confirmed",'Data entry'!$B$55="Probable")),"sx","")</f>
        <v/>
      </c>
      <c r="AX153" t="str">
        <f>IF(AND(AX$4='Data entry'!$R$55, OR('Data entry'!$B$55="Confirmed",'Data entry'!$B$55="Probable")),"sx","")</f>
        <v/>
      </c>
      <c r="AY153" t="str">
        <f>IF(AND(AY$4='Data entry'!$R$55, OR('Data entry'!$B$55="Confirmed",'Data entry'!$B$55="Probable")),"sx","")</f>
        <v/>
      </c>
      <c r="AZ153" t="str">
        <f>IF(AND(AZ$4='Data entry'!$R$55, OR('Data entry'!$B$55="Confirmed",'Data entry'!$B$55="Probable")),"sx","")</f>
        <v/>
      </c>
      <c r="BA153" t="str">
        <f>IF(AND(BA$4='Data entry'!$R$55, OR('Data entry'!$B$55="Confirmed",'Data entry'!$B$55="Probable")),"sx","")</f>
        <v/>
      </c>
      <c r="BB153" t="str">
        <f>IF(AND(BB$4='Data entry'!$R$55, OR('Data entry'!$B$55="Confirmed",'Data entry'!$B$55="Probable")),"sx","")</f>
        <v/>
      </c>
      <c r="BC153" t="str">
        <f>IF(AND(BC$4='Data entry'!$R$55, OR('Data entry'!$B$55="Confirmed",'Data entry'!$B$55="Probable")),"sx","")</f>
        <v/>
      </c>
      <c r="BD153" t="str">
        <f>IF(AND(BD$4='Data entry'!$R$55, OR('Data entry'!$B$55="Confirmed",'Data entry'!$B$55="Probable")),"sx","")</f>
        <v/>
      </c>
      <c r="BE153" t="str">
        <f>IF(AND(BE$4='Data entry'!$R$55, OR('Data entry'!$B$55="Confirmed",'Data entry'!$B$55="Probable")),"sx","")</f>
        <v/>
      </c>
      <c r="BF153" t="str">
        <f>IF(AND(BF$4='Data entry'!$R$55, OR('Data entry'!$B$55="Confirmed",'Data entry'!$B$55="Probable")),"sx","")</f>
        <v/>
      </c>
      <c r="BG153" t="str">
        <f>IF(AND(BG$4='Data entry'!$R$55, OR('Data entry'!$B$55="Confirmed",'Data entry'!$B$55="Probable")),"sx","")</f>
        <v/>
      </c>
      <c r="BH153" t="str">
        <f>IF(AND(BH$4='Data entry'!$R$55, OR('Data entry'!$B$55="Confirmed",'Data entry'!$B$55="Probable")),"sx","")</f>
        <v/>
      </c>
      <c r="BI153" t="str">
        <f>IF(AND(BI$4='Data entry'!$R$55, OR('Data entry'!$B$55="Confirmed",'Data entry'!$B$55="Probable")),"sx","")</f>
        <v/>
      </c>
      <c r="BJ153" t="str">
        <f>IF(AND(BJ$4='Data entry'!$R$55, OR('Data entry'!$B$55="Confirmed",'Data entry'!$B$55="Probable")),"sx","")</f>
        <v/>
      </c>
      <c r="BK153" t="str">
        <f>IF(AND(BK$4='Data entry'!$R$55, OR('Data entry'!$B$55="Confirmed",'Data entry'!$B$55="Probable")),"sx","")</f>
        <v/>
      </c>
      <c r="BL153" t="str">
        <f>IF(AND(BL$4='Data entry'!$R$55, OR('Data entry'!$B$55="Confirmed",'Data entry'!$B$55="Probable")),"sx","")</f>
        <v/>
      </c>
      <c r="BM153" t="str">
        <f>IF(AND(BM$4='Data entry'!$R$55, OR('Data entry'!$B$55="Confirmed",'Data entry'!$B$55="Probable")),"sx","")</f>
        <v/>
      </c>
      <c r="BN153" t="str">
        <f>IF(AND(BN$4='Data entry'!$R$55, OR('Data entry'!$B$55="Confirmed",'Data entry'!$B$55="Probable")),"sx","")</f>
        <v/>
      </c>
      <c r="BO153" t="str">
        <f>IF(AND(BO$4='Data entry'!$R$55, OR('Data entry'!$B$55="Confirmed",'Data entry'!$B$55="Probable")),"sx","")</f>
        <v/>
      </c>
      <c r="BP153" t="str">
        <f>IF(AND(BP$4='Data entry'!$R$55, OR('Data entry'!$B$55="Confirmed",'Data entry'!$B$55="Probable")),"sx","")</f>
        <v/>
      </c>
      <c r="BQ153" t="str">
        <f>IF(AND(BQ$4='Data entry'!$R$55, OR('Data entry'!$B$55="Confirmed",'Data entry'!$B$55="Probable")),"sx","")</f>
        <v/>
      </c>
      <c r="BR153" t="str">
        <f>IF(AND(BR$4='Data entry'!$R$55, OR('Data entry'!$B$55="Confirmed",'Data entry'!$B$55="Probable")),"sx","")</f>
        <v/>
      </c>
      <c r="BS153" t="str">
        <f>IF(AND(BS$4='Data entry'!$R$55, OR('Data entry'!$B$55="Confirmed",'Data entry'!$B$55="Probable")),"sx","")</f>
        <v/>
      </c>
      <c r="BT153" t="str">
        <f>IF(AND(BT$4='Data entry'!$R$55, OR('Data entry'!$B$55="Confirmed",'Data entry'!$B$55="Probable")),"sx","")</f>
        <v/>
      </c>
      <c r="BU153" t="str">
        <f>IF(AND(BU$4='Data entry'!$R$55, OR('Data entry'!$B$55="Confirmed",'Data entry'!$B$55="Probable")),"sx","")</f>
        <v/>
      </c>
      <c r="BV153" t="str">
        <f>IF(AND(BV$4='Data entry'!$R$55, OR('Data entry'!$B$55="Confirmed",'Data entry'!$B$55="Probable")),"sx","")</f>
        <v/>
      </c>
      <c r="BW153" t="str">
        <f>IF(AND(BW$4='Data entry'!$R$55, OR('Data entry'!$B$55="Confirmed",'Data entry'!$B$55="Probable")),"sx","")</f>
        <v/>
      </c>
      <c r="BX153" t="str">
        <f>IF(AND(BX$4='Data entry'!$R$55, OR('Data entry'!$B$55="Confirmed",'Data entry'!$B$55="Probable")),"sx","")</f>
        <v/>
      </c>
      <c r="BY153" t="str">
        <f>IF(AND(BY$4='Data entry'!$R$55, OR('Data entry'!$B$55="Confirmed",'Data entry'!$B$55="Probable")),"sx","")</f>
        <v/>
      </c>
      <c r="BZ153" t="str">
        <f>IF(AND(BZ$4='Data entry'!$R$55, OR('Data entry'!$B$55="Confirmed",'Data entry'!$B$55="Probable")),"sx","")</f>
        <v/>
      </c>
      <c r="CA153" t="str">
        <f>IF(AND(CA$4='Data entry'!$R$55, OR('Data entry'!$B$55="Confirmed",'Data entry'!$B$55="Probable")),"sx","")</f>
        <v/>
      </c>
      <c r="CB153" t="str">
        <f>IF(AND(CB$4='Data entry'!$R$55, OR('Data entry'!$B$55="Confirmed",'Data entry'!$B$55="Probable")),"sx","")</f>
        <v/>
      </c>
      <c r="CC153" t="str">
        <f>IF(AND(CC$4='Data entry'!$R$55, OR('Data entry'!$B$55="Confirmed",'Data entry'!$B$55="Probable")),"sx","")</f>
        <v/>
      </c>
    </row>
    <row r="154" spans="1:81" s="64" customFormat="1" ht="2.25" customHeight="1" thickBot="1" x14ac:dyDescent="0.25">
      <c r="A154" s="671"/>
      <c r="B154" s="672"/>
      <c r="C154" s="69"/>
    </row>
    <row r="155" spans="1:81" s="63" customFormat="1" ht="15.75" thickTop="1" x14ac:dyDescent="0.2">
      <c r="A155" s="670" t="str">
        <f>CONCATENATE('Data entry'!J56, " ", 'Data entry'!I56)</f>
        <v xml:space="preserve"> </v>
      </c>
      <c r="B155" s="670"/>
      <c r="C155" s="67"/>
    </row>
    <row r="156" spans="1:81" x14ac:dyDescent="0.2">
      <c r="A156" s="668" t="str">
        <f>CONCATENATE('Data entry'!B56, ", ", 'Data entry'!AO56, ", ", 'Data entry'!AR56)</f>
        <v xml:space="preserve">, , </v>
      </c>
      <c r="B156" s="668"/>
      <c r="C156" s="68"/>
      <c r="Q156" t="str">
        <f>IF(AND(Q$4='Data entry'!$R$56, OR('Data entry'!$B$56="Confirmed",'Data entry'!$B$56="Probable")),"sx","")</f>
        <v/>
      </c>
      <c r="R156" t="str">
        <f>IF(AND(R$4='Data entry'!$R$56, OR('Data entry'!$B$56="Confirmed",'Data entry'!$B$56="Probable")),"sx","")</f>
        <v/>
      </c>
      <c r="S156" t="str">
        <f>IF(AND(S$4='Data entry'!$R$56, OR('Data entry'!$B$56="Confirmed",'Data entry'!$B$56="Probable")),"sx","")</f>
        <v/>
      </c>
      <c r="T156" t="str">
        <f>IF(AND(T$4='Data entry'!$R$56, OR('Data entry'!$B$56="Confirmed",'Data entry'!$B$56="Probable")),"sx","")</f>
        <v/>
      </c>
      <c r="U156" t="str">
        <f>IF(AND(U$4='Data entry'!$R$56, OR('Data entry'!$B$56="Confirmed",'Data entry'!$B$56="Probable")),"sx","")</f>
        <v/>
      </c>
      <c r="V156" t="str">
        <f>IF(AND(V$4='Data entry'!$R$56, OR('Data entry'!$B$56="Confirmed",'Data entry'!$B$56="Probable")),"sx","")</f>
        <v/>
      </c>
      <c r="W156" t="str">
        <f>IF(AND(W$4='Data entry'!$R$56, OR('Data entry'!$B$56="Confirmed",'Data entry'!$B$56="Probable")),"sx","")</f>
        <v/>
      </c>
      <c r="X156" t="str">
        <f>IF(AND(X$4='Data entry'!$R$56, OR('Data entry'!$B$56="Confirmed",'Data entry'!$B$56="Probable")),"sx","")</f>
        <v/>
      </c>
      <c r="Y156" t="str">
        <f>IF(AND(Y$4='Data entry'!$R$56, OR('Data entry'!$B$56="Confirmed",'Data entry'!$B$56="Probable")),"sx","")</f>
        <v/>
      </c>
      <c r="Z156" t="str">
        <f>IF(AND(Z$4='Data entry'!$R$56, OR('Data entry'!$B$56="Confirmed",'Data entry'!$B$56="Probable")),"sx","")</f>
        <v/>
      </c>
      <c r="AA156" t="str">
        <f>IF(AND(AA$4='Data entry'!$R$56, OR('Data entry'!$B$56="Confirmed",'Data entry'!$B$56="Probable")),"sx","")</f>
        <v/>
      </c>
      <c r="AB156" t="str">
        <f>IF(AND(AB$4='Data entry'!$R$56, OR('Data entry'!$B$56="Confirmed",'Data entry'!$B$56="Probable")),"sx","")</f>
        <v/>
      </c>
      <c r="AC156" t="str">
        <f>IF(AND(AC$4='Data entry'!$R$56, OR('Data entry'!$B$56="Confirmed",'Data entry'!$B$56="Probable")),"sx","")</f>
        <v/>
      </c>
      <c r="AD156" t="str">
        <f>IF(AND(AD$4='Data entry'!$R$56, OR('Data entry'!$B$56="Confirmed",'Data entry'!$B$56="Probable")),"sx","")</f>
        <v/>
      </c>
      <c r="AE156" t="str">
        <f>IF(AND(AE$4='Data entry'!$R$56, OR('Data entry'!$B$56="Confirmed",'Data entry'!$B$56="Probable")),"sx","")</f>
        <v/>
      </c>
      <c r="AF156" t="str">
        <f>IF(AND(AF$4='Data entry'!$R$56, OR('Data entry'!$B$56="Confirmed",'Data entry'!$B$56="Probable")),"sx","")</f>
        <v/>
      </c>
      <c r="AG156" t="str">
        <f>IF(AND(AG$4='Data entry'!$R$56, OR('Data entry'!$B$56="Confirmed",'Data entry'!$B$56="Probable")),"sx","")</f>
        <v/>
      </c>
      <c r="AH156" t="str">
        <f>IF(AND(AH$4='Data entry'!$R$56, OR('Data entry'!$B$56="Confirmed",'Data entry'!$B$56="Probable")),"sx","")</f>
        <v/>
      </c>
      <c r="AI156" t="str">
        <f>IF(AND(AI$4='Data entry'!$R$56, OR('Data entry'!$B$56="Confirmed",'Data entry'!$B$56="Probable")),"sx","")</f>
        <v/>
      </c>
      <c r="AJ156" t="str">
        <f>IF(AND(AJ$4='Data entry'!$R$56, OR('Data entry'!$B$56="Confirmed",'Data entry'!$B$56="Probable")),"sx","")</f>
        <v/>
      </c>
      <c r="AK156" t="str">
        <f>IF(AND(AK$4='Data entry'!$R$56, OR('Data entry'!$B$56="Confirmed",'Data entry'!$B$56="Probable")),"sx","")</f>
        <v/>
      </c>
      <c r="AL156" t="str">
        <f>IF(AND(AL$4='Data entry'!$R$56, OR('Data entry'!$B$56="Confirmed",'Data entry'!$B$56="Probable")),"sx","")</f>
        <v/>
      </c>
      <c r="AM156" t="str">
        <f>IF(AND(AM$4='Data entry'!$R$56, OR('Data entry'!$B$56="Confirmed",'Data entry'!$B$56="Probable")),"sx","")</f>
        <v/>
      </c>
      <c r="AN156" t="str">
        <f>IF(AND(AN$4='Data entry'!$R$56, OR('Data entry'!$B$56="Confirmed",'Data entry'!$B$56="Probable")),"sx","")</f>
        <v/>
      </c>
      <c r="AO156" t="str">
        <f>IF(AND(AO$4='Data entry'!$R$56, OR('Data entry'!$B$56="Confirmed",'Data entry'!$B$56="Probable")),"sx","")</f>
        <v/>
      </c>
      <c r="AP156" t="str">
        <f>IF(AND(AP$4='Data entry'!$R$56, OR('Data entry'!$B$56="Confirmed",'Data entry'!$B$56="Probable")),"sx","")</f>
        <v/>
      </c>
      <c r="AQ156" t="str">
        <f>IF(AND(AQ$4='Data entry'!$R$56, OR('Data entry'!$B$56="Confirmed",'Data entry'!$B$56="Probable")),"sx","")</f>
        <v/>
      </c>
      <c r="AR156" t="str">
        <f>IF(AND(AR$4='Data entry'!$R$56, OR('Data entry'!$B$56="Confirmed",'Data entry'!$B$56="Probable")),"sx","")</f>
        <v/>
      </c>
      <c r="AS156" t="str">
        <f>IF(AND(AS$4='Data entry'!$R$56, OR('Data entry'!$B$56="Confirmed",'Data entry'!$B$56="Probable")),"sx","")</f>
        <v/>
      </c>
      <c r="AT156" t="str">
        <f>IF(AND(AT$4='Data entry'!$R$56, OR('Data entry'!$B$56="Confirmed",'Data entry'!$B$56="Probable")),"sx","")</f>
        <v/>
      </c>
      <c r="AU156" t="str">
        <f>IF(AND(AU$4='Data entry'!$R$56, OR('Data entry'!$B$56="Confirmed",'Data entry'!$B$56="Probable")),"sx","")</f>
        <v/>
      </c>
      <c r="AV156" t="str">
        <f>IF(AND(AV$4='Data entry'!$R$56, OR('Data entry'!$B$56="Confirmed",'Data entry'!$B$56="Probable")),"sx","")</f>
        <v/>
      </c>
      <c r="AW156" t="str">
        <f>IF(AND(AW$4='Data entry'!$R$56, OR('Data entry'!$B$56="Confirmed",'Data entry'!$B$56="Probable")),"sx","")</f>
        <v/>
      </c>
      <c r="AX156" t="str">
        <f>IF(AND(AX$4='Data entry'!$R$56, OR('Data entry'!$B$56="Confirmed",'Data entry'!$B$56="Probable")),"sx","")</f>
        <v/>
      </c>
      <c r="AY156" t="str">
        <f>IF(AND(AY$4='Data entry'!$R$56, OR('Data entry'!$B$56="Confirmed",'Data entry'!$B$56="Probable")),"sx","")</f>
        <v/>
      </c>
      <c r="AZ156" t="str">
        <f>IF(AND(AZ$4='Data entry'!$R$56, OR('Data entry'!$B$56="Confirmed",'Data entry'!$B$56="Probable")),"sx","")</f>
        <v/>
      </c>
      <c r="BA156" t="str">
        <f>IF(AND(BA$4='Data entry'!$R$56, OR('Data entry'!$B$56="Confirmed",'Data entry'!$B$56="Probable")),"sx","")</f>
        <v/>
      </c>
      <c r="BB156" t="str">
        <f>IF(AND(BB$4='Data entry'!$R$56, OR('Data entry'!$B$56="Confirmed",'Data entry'!$B$56="Probable")),"sx","")</f>
        <v/>
      </c>
      <c r="BC156" t="str">
        <f>IF(AND(BC$4='Data entry'!$R$56, OR('Data entry'!$B$56="Confirmed",'Data entry'!$B$56="Probable")),"sx","")</f>
        <v/>
      </c>
      <c r="BD156" t="str">
        <f>IF(AND(BD$4='Data entry'!$R$56, OR('Data entry'!$B$56="Confirmed",'Data entry'!$B$56="Probable")),"sx","")</f>
        <v/>
      </c>
      <c r="BE156" t="str">
        <f>IF(AND(BE$4='Data entry'!$R$56, OR('Data entry'!$B$56="Confirmed",'Data entry'!$B$56="Probable")),"sx","")</f>
        <v/>
      </c>
      <c r="BF156" t="str">
        <f>IF(AND(BF$4='Data entry'!$R$56, OR('Data entry'!$B$56="Confirmed",'Data entry'!$B$56="Probable")),"sx","")</f>
        <v/>
      </c>
      <c r="BG156" t="str">
        <f>IF(AND(BG$4='Data entry'!$R$56, OR('Data entry'!$B$56="Confirmed",'Data entry'!$B$56="Probable")),"sx","")</f>
        <v/>
      </c>
      <c r="BH156" t="str">
        <f>IF(AND(BH$4='Data entry'!$R$56, OR('Data entry'!$B$56="Confirmed",'Data entry'!$B$56="Probable")),"sx","")</f>
        <v/>
      </c>
      <c r="BI156" t="str">
        <f>IF(AND(BI$4='Data entry'!$R$56, OR('Data entry'!$B$56="Confirmed",'Data entry'!$B$56="Probable")),"sx","")</f>
        <v/>
      </c>
      <c r="BJ156" t="str">
        <f>IF(AND(BJ$4='Data entry'!$R$56, OR('Data entry'!$B$56="Confirmed",'Data entry'!$B$56="Probable")),"sx","")</f>
        <v/>
      </c>
      <c r="BK156" t="str">
        <f>IF(AND(BK$4='Data entry'!$R$56, OR('Data entry'!$B$56="Confirmed",'Data entry'!$B$56="Probable")),"sx","")</f>
        <v/>
      </c>
      <c r="BL156" t="str">
        <f>IF(AND(BL$4='Data entry'!$R$56, OR('Data entry'!$B$56="Confirmed",'Data entry'!$B$56="Probable")),"sx","")</f>
        <v/>
      </c>
      <c r="BM156" t="str">
        <f>IF(AND(BM$4='Data entry'!$R$56, OR('Data entry'!$B$56="Confirmed",'Data entry'!$B$56="Probable")),"sx","")</f>
        <v/>
      </c>
      <c r="BN156" t="str">
        <f>IF(AND(BN$4='Data entry'!$R$56, OR('Data entry'!$B$56="Confirmed",'Data entry'!$B$56="Probable")),"sx","")</f>
        <v/>
      </c>
      <c r="BO156" t="str">
        <f>IF(AND(BO$4='Data entry'!$R$56, OR('Data entry'!$B$56="Confirmed",'Data entry'!$B$56="Probable")),"sx","")</f>
        <v/>
      </c>
      <c r="BP156" t="str">
        <f>IF(AND(BP$4='Data entry'!$R$56, OR('Data entry'!$B$56="Confirmed",'Data entry'!$B$56="Probable")),"sx","")</f>
        <v/>
      </c>
      <c r="BQ156" t="str">
        <f>IF(AND(BQ$4='Data entry'!$R$56, OR('Data entry'!$B$56="Confirmed",'Data entry'!$B$56="Probable")),"sx","")</f>
        <v/>
      </c>
      <c r="BR156" t="str">
        <f>IF(AND(BR$4='Data entry'!$R$56, OR('Data entry'!$B$56="Confirmed",'Data entry'!$B$56="Probable")),"sx","")</f>
        <v/>
      </c>
      <c r="BS156" t="str">
        <f>IF(AND(BS$4='Data entry'!$R$56, OR('Data entry'!$B$56="Confirmed",'Data entry'!$B$56="Probable")),"sx","")</f>
        <v/>
      </c>
      <c r="BT156" t="str">
        <f>IF(AND(BT$4='Data entry'!$R$56, OR('Data entry'!$B$56="Confirmed",'Data entry'!$B$56="Probable")),"sx","")</f>
        <v/>
      </c>
      <c r="BU156" t="str">
        <f>IF(AND(BU$4='Data entry'!$R$56, OR('Data entry'!$B$56="Confirmed",'Data entry'!$B$56="Probable")),"sx","")</f>
        <v/>
      </c>
      <c r="BV156" t="str">
        <f>IF(AND(BV$4='Data entry'!$R$56, OR('Data entry'!$B$56="Confirmed",'Data entry'!$B$56="Probable")),"sx","")</f>
        <v/>
      </c>
      <c r="BW156" t="str">
        <f>IF(AND(BW$4='Data entry'!$R$56, OR('Data entry'!$B$56="Confirmed",'Data entry'!$B$56="Probable")),"sx","")</f>
        <v/>
      </c>
      <c r="BX156" t="str">
        <f>IF(AND(BX$4='Data entry'!$R$56, OR('Data entry'!$B$56="Confirmed",'Data entry'!$B$56="Probable")),"sx","")</f>
        <v/>
      </c>
      <c r="BY156" t="str">
        <f>IF(AND(BY$4='Data entry'!$R$56, OR('Data entry'!$B$56="Confirmed",'Data entry'!$B$56="Probable")),"sx","")</f>
        <v/>
      </c>
      <c r="BZ156" t="str">
        <f>IF(AND(BZ$4='Data entry'!$R$56, OR('Data entry'!$B$56="Confirmed",'Data entry'!$B$56="Probable")),"sx","")</f>
        <v/>
      </c>
      <c r="CA156" t="str">
        <f>IF(AND(CA$4='Data entry'!$R$56, OR('Data entry'!$B$56="Confirmed",'Data entry'!$B$56="Probable")),"sx","")</f>
        <v/>
      </c>
      <c r="CB156" t="str">
        <f>IF(AND(CB$4='Data entry'!$R$56, OR('Data entry'!$B$56="Confirmed",'Data entry'!$B$56="Probable")),"sx","")</f>
        <v/>
      </c>
      <c r="CC156" t="str">
        <f>IF(AND(CC$4='Data entry'!$R$56, OR('Data entry'!$B$56="Confirmed",'Data entry'!$B$56="Probable")),"sx","")</f>
        <v/>
      </c>
    </row>
    <row r="157" spans="1:81" s="64" customFormat="1" ht="2.25" customHeight="1" thickBot="1" x14ac:dyDescent="0.25">
      <c r="A157" s="671"/>
      <c r="B157" s="672"/>
      <c r="C157" s="69"/>
    </row>
    <row r="158" spans="1:81" s="63" customFormat="1" ht="15.75" thickTop="1" x14ac:dyDescent="0.2">
      <c r="A158" s="670" t="str">
        <f>CONCATENATE('Data entry'!J57, " ", 'Data entry'!I57)</f>
        <v xml:space="preserve"> </v>
      </c>
      <c r="B158" s="670"/>
      <c r="C158" s="67"/>
    </row>
    <row r="159" spans="1:81" x14ac:dyDescent="0.2">
      <c r="A159" s="668" t="str">
        <f>CONCATENATE('Data entry'!B57, ", ", 'Data entry'!AO57, ", ", 'Data entry'!AR57)</f>
        <v xml:space="preserve">, , </v>
      </c>
      <c r="B159" s="668"/>
      <c r="C159" s="68"/>
      <c r="Q159" t="str">
        <f>IF(AND(Q$4='Data entry'!$R$57, OR('Data entry'!$B$57="Confirmed",'Data entry'!$B$57="Probable")),"sx","")</f>
        <v/>
      </c>
      <c r="R159" t="str">
        <f>IF(AND(R$4='Data entry'!$R$57, OR('Data entry'!$B$57="Confirmed",'Data entry'!$B$57="Probable")),"sx","")</f>
        <v/>
      </c>
      <c r="S159" t="str">
        <f>IF(AND(S$4='Data entry'!$R$57, OR('Data entry'!$B$57="Confirmed",'Data entry'!$B$57="Probable")),"sx","")</f>
        <v/>
      </c>
      <c r="T159" t="str">
        <f>IF(AND(T$4='Data entry'!$R$57, OR('Data entry'!$B$57="Confirmed",'Data entry'!$B$57="Probable")),"sx","")</f>
        <v/>
      </c>
      <c r="U159" t="str">
        <f>IF(AND(U$4='Data entry'!$R$57, OR('Data entry'!$B$57="Confirmed",'Data entry'!$B$57="Probable")),"sx","")</f>
        <v/>
      </c>
      <c r="V159" t="str">
        <f>IF(AND(V$4='Data entry'!$R$57, OR('Data entry'!$B$57="Confirmed",'Data entry'!$B$57="Probable")),"sx","")</f>
        <v/>
      </c>
      <c r="W159" t="str">
        <f>IF(AND(W$4='Data entry'!$R$57, OR('Data entry'!$B$57="Confirmed",'Data entry'!$B$57="Probable")),"sx","")</f>
        <v/>
      </c>
      <c r="X159" t="str">
        <f>IF(AND(X$4='Data entry'!$R$57, OR('Data entry'!$B$57="Confirmed",'Data entry'!$B$57="Probable")),"sx","")</f>
        <v/>
      </c>
      <c r="Y159" t="str">
        <f>IF(AND(Y$4='Data entry'!$R$57, OR('Data entry'!$B$57="Confirmed",'Data entry'!$B$57="Probable")),"sx","")</f>
        <v/>
      </c>
      <c r="Z159" t="str">
        <f>IF(AND(Z$4='Data entry'!$R$57, OR('Data entry'!$B$57="Confirmed",'Data entry'!$B$57="Probable")),"sx","")</f>
        <v/>
      </c>
      <c r="AA159" t="str">
        <f>IF(AND(AA$4='Data entry'!$R$57, OR('Data entry'!$B$57="Confirmed",'Data entry'!$B$57="Probable")),"sx","")</f>
        <v/>
      </c>
      <c r="AB159" t="str">
        <f>IF(AND(AB$4='Data entry'!$R$57, OR('Data entry'!$B$57="Confirmed",'Data entry'!$B$57="Probable")),"sx","")</f>
        <v/>
      </c>
      <c r="AC159" t="str">
        <f>IF(AND(AC$4='Data entry'!$R$57, OR('Data entry'!$B$57="Confirmed",'Data entry'!$B$57="Probable")),"sx","")</f>
        <v/>
      </c>
      <c r="AD159" t="str">
        <f>IF(AND(AD$4='Data entry'!$R$57, OR('Data entry'!$B$57="Confirmed",'Data entry'!$B$57="Probable")),"sx","")</f>
        <v/>
      </c>
      <c r="AE159" t="str">
        <f>IF(AND(AE$4='Data entry'!$R$57, OR('Data entry'!$B$57="Confirmed",'Data entry'!$B$57="Probable")),"sx","")</f>
        <v/>
      </c>
      <c r="AF159" t="str">
        <f>IF(AND(AF$4='Data entry'!$R$57, OR('Data entry'!$B$57="Confirmed",'Data entry'!$B$57="Probable")),"sx","")</f>
        <v/>
      </c>
      <c r="AG159" t="str">
        <f>IF(AND(AG$4='Data entry'!$R$57, OR('Data entry'!$B$57="Confirmed",'Data entry'!$B$57="Probable")),"sx","")</f>
        <v/>
      </c>
      <c r="AH159" t="str">
        <f>IF(AND(AH$4='Data entry'!$R$57, OR('Data entry'!$B$57="Confirmed",'Data entry'!$B$57="Probable")),"sx","")</f>
        <v/>
      </c>
      <c r="AI159" t="str">
        <f>IF(AND(AI$4='Data entry'!$R$57, OR('Data entry'!$B$57="Confirmed",'Data entry'!$B$57="Probable")),"sx","")</f>
        <v/>
      </c>
      <c r="AJ159" t="str">
        <f>IF(AND(AJ$4='Data entry'!$R$57, OR('Data entry'!$B$57="Confirmed",'Data entry'!$B$57="Probable")),"sx","")</f>
        <v/>
      </c>
      <c r="AK159" t="str">
        <f>IF(AND(AK$4='Data entry'!$R$57, OR('Data entry'!$B$57="Confirmed",'Data entry'!$B$57="Probable")),"sx","")</f>
        <v/>
      </c>
      <c r="AL159" t="str">
        <f>IF(AND(AL$4='Data entry'!$R$57, OR('Data entry'!$B$57="Confirmed",'Data entry'!$B$57="Probable")),"sx","")</f>
        <v/>
      </c>
      <c r="AM159" t="str">
        <f>IF(AND(AM$4='Data entry'!$R$57, OR('Data entry'!$B$57="Confirmed",'Data entry'!$B$57="Probable")),"sx","")</f>
        <v/>
      </c>
      <c r="AN159" t="str">
        <f>IF(AND(AN$4='Data entry'!$R$57, OR('Data entry'!$B$57="Confirmed",'Data entry'!$B$57="Probable")),"sx","")</f>
        <v/>
      </c>
      <c r="AO159" t="str">
        <f>IF(AND(AO$4='Data entry'!$R$57, OR('Data entry'!$B$57="Confirmed",'Data entry'!$B$57="Probable")),"sx","")</f>
        <v/>
      </c>
      <c r="AP159" t="str">
        <f>IF(AND(AP$4='Data entry'!$R$57, OR('Data entry'!$B$57="Confirmed",'Data entry'!$B$57="Probable")),"sx","")</f>
        <v/>
      </c>
      <c r="AQ159" t="str">
        <f>IF(AND(AQ$4='Data entry'!$R$57, OR('Data entry'!$B$57="Confirmed",'Data entry'!$B$57="Probable")),"sx","")</f>
        <v/>
      </c>
      <c r="AR159" t="str">
        <f>IF(AND(AR$4='Data entry'!$R$57, OR('Data entry'!$B$57="Confirmed",'Data entry'!$B$57="Probable")),"sx","")</f>
        <v/>
      </c>
      <c r="AS159" t="str">
        <f>IF(AND(AS$4='Data entry'!$R$57, OR('Data entry'!$B$57="Confirmed",'Data entry'!$B$57="Probable")),"sx","")</f>
        <v/>
      </c>
      <c r="AT159" t="str">
        <f>IF(AND(AT$4='Data entry'!$R$57, OR('Data entry'!$B$57="Confirmed",'Data entry'!$B$57="Probable")),"sx","")</f>
        <v/>
      </c>
      <c r="AU159" t="str">
        <f>IF(AND(AU$4='Data entry'!$R$57, OR('Data entry'!$B$57="Confirmed",'Data entry'!$B$57="Probable")),"sx","")</f>
        <v/>
      </c>
      <c r="AV159" t="str">
        <f>IF(AND(AV$4='Data entry'!$R$57, OR('Data entry'!$B$57="Confirmed",'Data entry'!$B$57="Probable")),"sx","")</f>
        <v/>
      </c>
      <c r="AW159" t="str">
        <f>IF(AND(AW$4='Data entry'!$R$57, OR('Data entry'!$B$57="Confirmed",'Data entry'!$B$57="Probable")),"sx","")</f>
        <v/>
      </c>
      <c r="AX159" t="str">
        <f>IF(AND(AX$4='Data entry'!$R$57, OR('Data entry'!$B$57="Confirmed",'Data entry'!$B$57="Probable")),"sx","")</f>
        <v/>
      </c>
      <c r="AY159" t="str">
        <f>IF(AND(AY$4='Data entry'!$R$57, OR('Data entry'!$B$57="Confirmed",'Data entry'!$B$57="Probable")),"sx","")</f>
        <v/>
      </c>
      <c r="AZ159" t="str">
        <f>IF(AND(AZ$4='Data entry'!$R$57, OR('Data entry'!$B$57="Confirmed",'Data entry'!$B$57="Probable")),"sx","")</f>
        <v/>
      </c>
      <c r="BA159" t="str">
        <f>IF(AND(BA$4='Data entry'!$R$57, OR('Data entry'!$B$57="Confirmed",'Data entry'!$B$57="Probable")),"sx","")</f>
        <v/>
      </c>
      <c r="BB159" t="str">
        <f>IF(AND(BB$4='Data entry'!$R$57, OR('Data entry'!$B$57="Confirmed",'Data entry'!$B$57="Probable")),"sx","")</f>
        <v/>
      </c>
      <c r="BC159" t="str">
        <f>IF(AND(BC$4='Data entry'!$R$57, OR('Data entry'!$B$57="Confirmed",'Data entry'!$B$57="Probable")),"sx","")</f>
        <v/>
      </c>
      <c r="BD159" t="str">
        <f>IF(AND(BD$4='Data entry'!$R$57, OR('Data entry'!$B$57="Confirmed",'Data entry'!$B$57="Probable")),"sx","")</f>
        <v/>
      </c>
      <c r="BE159" t="str">
        <f>IF(AND(BE$4='Data entry'!$R$57, OR('Data entry'!$B$57="Confirmed",'Data entry'!$B$57="Probable")),"sx","")</f>
        <v/>
      </c>
      <c r="BF159" t="str">
        <f>IF(AND(BF$4='Data entry'!$R$57, OR('Data entry'!$B$57="Confirmed",'Data entry'!$B$57="Probable")),"sx","")</f>
        <v/>
      </c>
      <c r="BG159" t="str">
        <f>IF(AND(BG$4='Data entry'!$R$57, OR('Data entry'!$B$57="Confirmed",'Data entry'!$B$57="Probable")),"sx","")</f>
        <v/>
      </c>
      <c r="BH159" t="str">
        <f>IF(AND(BH$4='Data entry'!$R$57, OR('Data entry'!$B$57="Confirmed",'Data entry'!$B$57="Probable")),"sx","")</f>
        <v/>
      </c>
      <c r="BI159" t="str">
        <f>IF(AND(BI$4='Data entry'!$R$57, OR('Data entry'!$B$57="Confirmed",'Data entry'!$B$57="Probable")),"sx","")</f>
        <v/>
      </c>
      <c r="BJ159" t="str">
        <f>IF(AND(BJ$4='Data entry'!$R$57, OR('Data entry'!$B$57="Confirmed",'Data entry'!$B$57="Probable")),"sx","")</f>
        <v/>
      </c>
      <c r="BK159" t="str">
        <f>IF(AND(BK$4='Data entry'!$R$57, OR('Data entry'!$B$57="Confirmed",'Data entry'!$B$57="Probable")),"sx","")</f>
        <v/>
      </c>
      <c r="BL159" t="str">
        <f>IF(AND(BL$4='Data entry'!$R$57, OR('Data entry'!$B$57="Confirmed",'Data entry'!$B$57="Probable")),"sx","")</f>
        <v/>
      </c>
      <c r="BM159" t="str">
        <f>IF(AND(BM$4='Data entry'!$R$57, OR('Data entry'!$B$57="Confirmed",'Data entry'!$B$57="Probable")),"sx","")</f>
        <v/>
      </c>
      <c r="BN159" t="str">
        <f>IF(AND(BN$4='Data entry'!$R$57, OR('Data entry'!$B$57="Confirmed",'Data entry'!$B$57="Probable")),"sx","")</f>
        <v/>
      </c>
      <c r="BO159" t="str">
        <f>IF(AND(BO$4='Data entry'!$R$57, OR('Data entry'!$B$57="Confirmed",'Data entry'!$B$57="Probable")),"sx","")</f>
        <v/>
      </c>
      <c r="BP159" t="str">
        <f>IF(AND(BP$4='Data entry'!$R$57, OR('Data entry'!$B$57="Confirmed",'Data entry'!$B$57="Probable")),"sx","")</f>
        <v/>
      </c>
      <c r="BQ159" t="str">
        <f>IF(AND(BQ$4='Data entry'!$R$57, OR('Data entry'!$B$57="Confirmed",'Data entry'!$B$57="Probable")),"sx","")</f>
        <v/>
      </c>
      <c r="BR159" t="str">
        <f>IF(AND(BR$4='Data entry'!$R$57, OR('Data entry'!$B$57="Confirmed",'Data entry'!$B$57="Probable")),"sx","")</f>
        <v/>
      </c>
      <c r="BS159" t="str">
        <f>IF(AND(BS$4='Data entry'!$R$57, OR('Data entry'!$B$57="Confirmed",'Data entry'!$B$57="Probable")),"sx","")</f>
        <v/>
      </c>
      <c r="BT159" t="str">
        <f>IF(AND(BT$4='Data entry'!$R$57, OR('Data entry'!$B$57="Confirmed",'Data entry'!$B$57="Probable")),"sx","")</f>
        <v/>
      </c>
      <c r="BU159" t="str">
        <f>IF(AND(BU$4='Data entry'!$R$57, OR('Data entry'!$B$57="Confirmed",'Data entry'!$B$57="Probable")),"sx","")</f>
        <v/>
      </c>
      <c r="BV159" t="str">
        <f>IF(AND(BV$4='Data entry'!$R$57, OR('Data entry'!$B$57="Confirmed",'Data entry'!$B$57="Probable")),"sx","")</f>
        <v/>
      </c>
      <c r="BW159" t="str">
        <f>IF(AND(BW$4='Data entry'!$R$57, OR('Data entry'!$B$57="Confirmed",'Data entry'!$B$57="Probable")),"sx","")</f>
        <v/>
      </c>
      <c r="BX159" t="str">
        <f>IF(AND(BX$4='Data entry'!$R$57, OR('Data entry'!$B$57="Confirmed",'Data entry'!$B$57="Probable")),"sx","")</f>
        <v/>
      </c>
      <c r="BY159" t="str">
        <f>IF(AND(BY$4='Data entry'!$R$57, OR('Data entry'!$B$57="Confirmed",'Data entry'!$B$57="Probable")),"sx","")</f>
        <v/>
      </c>
      <c r="BZ159" t="str">
        <f>IF(AND(BZ$4='Data entry'!$R$57, OR('Data entry'!$B$57="Confirmed",'Data entry'!$B$57="Probable")),"sx","")</f>
        <v/>
      </c>
      <c r="CA159" t="str">
        <f>IF(AND(CA$4='Data entry'!$R$57, OR('Data entry'!$B$57="Confirmed",'Data entry'!$B$57="Probable")),"sx","")</f>
        <v/>
      </c>
      <c r="CB159" t="str">
        <f>IF(AND(CB$4='Data entry'!$R$57, OR('Data entry'!$B$57="Confirmed",'Data entry'!$B$57="Probable")),"sx","")</f>
        <v/>
      </c>
      <c r="CC159" t="str">
        <f>IF(AND(CC$4='Data entry'!$R$57, OR('Data entry'!$B$57="Confirmed",'Data entry'!$B$57="Probable")),"sx","")</f>
        <v/>
      </c>
    </row>
    <row r="160" spans="1:81" s="64" customFormat="1" ht="2.25" customHeight="1" thickBot="1" x14ac:dyDescent="0.25">
      <c r="A160" s="671"/>
      <c r="B160" s="672"/>
      <c r="C160" s="69"/>
    </row>
    <row r="161" spans="1:81" s="63" customFormat="1" ht="15.75" thickTop="1" x14ac:dyDescent="0.2">
      <c r="A161" s="670" t="str">
        <f>CONCATENATE('Data entry'!J58, " ", 'Data entry'!I58)</f>
        <v xml:space="preserve"> </v>
      </c>
      <c r="B161" s="670"/>
      <c r="C161" s="67"/>
    </row>
    <row r="162" spans="1:81" x14ac:dyDescent="0.2">
      <c r="A162" s="668" t="str">
        <f>CONCATENATE('Data entry'!B58, ", ", 'Data entry'!AO58, ", ", 'Data entry'!AR58)</f>
        <v xml:space="preserve">, , </v>
      </c>
      <c r="B162" s="668"/>
      <c r="C162" s="68"/>
      <c r="Q162" t="str">
        <f>IF(AND(Q$4='Data entry'!$R$58, OR('Data entry'!$B$58="Confirmed",'Data entry'!$B$58="Probable")),"sx","")</f>
        <v/>
      </c>
      <c r="R162" t="str">
        <f>IF(AND(R$4='Data entry'!$R$58, OR('Data entry'!$B$58="Confirmed",'Data entry'!$B$58="Probable")),"sx","")</f>
        <v/>
      </c>
      <c r="S162" t="str">
        <f>IF(AND(S$4='Data entry'!$R$58, OR('Data entry'!$B$58="Confirmed",'Data entry'!$B$58="Probable")),"sx","")</f>
        <v/>
      </c>
      <c r="T162" t="str">
        <f>IF(AND(T$4='Data entry'!$R$58, OR('Data entry'!$B$58="Confirmed",'Data entry'!$B$58="Probable")),"sx","")</f>
        <v/>
      </c>
      <c r="U162" t="str">
        <f>IF(AND(U$4='Data entry'!$R$58, OR('Data entry'!$B$58="Confirmed",'Data entry'!$B$58="Probable")),"sx","")</f>
        <v/>
      </c>
      <c r="V162" t="str">
        <f>IF(AND(V$4='Data entry'!$R$58, OR('Data entry'!$B$58="Confirmed",'Data entry'!$B$58="Probable")),"sx","")</f>
        <v/>
      </c>
      <c r="W162" t="str">
        <f>IF(AND(W$4='Data entry'!$R$58, OR('Data entry'!$B$58="Confirmed",'Data entry'!$B$58="Probable")),"sx","")</f>
        <v/>
      </c>
      <c r="X162" t="str">
        <f>IF(AND(X$4='Data entry'!$R$58, OR('Data entry'!$B$58="Confirmed",'Data entry'!$B$58="Probable")),"sx","")</f>
        <v/>
      </c>
      <c r="Y162" t="str">
        <f>IF(AND(Y$4='Data entry'!$R$58, OR('Data entry'!$B$58="Confirmed",'Data entry'!$B$58="Probable")),"sx","")</f>
        <v/>
      </c>
      <c r="Z162" t="str">
        <f>IF(AND(Z$4='Data entry'!$R$58, OR('Data entry'!$B$58="Confirmed",'Data entry'!$B$58="Probable")),"sx","")</f>
        <v/>
      </c>
      <c r="AA162" t="str">
        <f>IF(AND(AA$4='Data entry'!$R$58, OR('Data entry'!$B$58="Confirmed",'Data entry'!$B$58="Probable")),"sx","")</f>
        <v/>
      </c>
      <c r="AB162" t="str">
        <f>IF(AND(AB$4='Data entry'!$R$58, OR('Data entry'!$B$58="Confirmed",'Data entry'!$B$58="Probable")),"sx","")</f>
        <v/>
      </c>
      <c r="AC162" t="str">
        <f>IF(AND(AC$4='Data entry'!$R$58, OR('Data entry'!$B$58="Confirmed",'Data entry'!$B$58="Probable")),"sx","")</f>
        <v/>
      </c>
      <c r="AD162" t="str">
        <f>IF(AND(AD$4='Data entry'!$R$58, OR('Data entry'!$B$58="Confirmed",'Data entry'!$B$58="Probable")),"sx","")</f>
        <v/>
      </c>
      <c r="AE162" t="str">
        <f>IF(AND(AE$4='Data entry'!$R$58, OR('Data entry'!$B$58="Confirmed",'Data entry'!$B$58="Probable")),"sx","")</f>
        <v/>
      </c>
      <c r="AF162" t="str">
        <f>IF(AND(AF$4='Data entry'!$R$58, OR('Data entry'!$B$58="Confirmed",'Data entry'!$B$58="Probable")),"sx","")</f>
        <v/>
      </c>
      <c r="AG162" t="str">
        <f>IF(AND(AG$4='Data entry'!$R$58, OR('Data entry'!$B$58="Confirmed",'Data entry'!$B$58="Probable")),"sx","")</f>
        <v/>
      </c>
      <c r="AH162" t="str">
        <f>IF(AND(AH$4='Data entry'!$R$58, OR('Data entry'!$B$58="Confirmed",'Data entry'!$B$58="Probable")),"sx","")</f>
        <v/>
      </c>
      <c r="AI162" t="str">
        <f>IF(AND(AI$4='Data entry'!$R$58, OR('Data entry'!$B$58="Confirmed",'Data entry'!$B$58="Probable")),"sx","")</f>
        <v/>
      </c>
      <c r="AJ162" t="str">
        <f>IF(AND(AJ$4='Data entry'!$R$58, OR('Data entry'!$B$58="Confirmed",'Data entry'!$B$58="Probable")),"sx","")</f>
        <v/>
      </c>
      <c r="AK162" t="str">
        <f>IF(AND(AK$4='Data entry'!$R$58, OR('Data entry'!$B$58="Confirmed",'Data entry'!$B$58="Probable")),"sx","")</f>
        <v/>
      </c>
      <c r="AL162" t="str">
        <f>IF(AND(AL$4='Data entry'!$R$58, OR('Data entry'!$B$58="Confirmed",'Data entry'!$B$58="Probable")),"sx","")</f>
        <v/>
      </c>
      <c r="AM162" t="str">
        <f>IF(AND(AM$4='Data entry'!$R$58, OR('Data entry'!$B$58="Confirmed",'Data entry'!$B$58="Probable")),"sx","")</f>
        <v/>
      </c>
      <c r="AN162" t="str">
        <f>IF(AND(AN$4='Data entry'!$R$58, OR('Data entry'!$B$58="Confirmed",'Data entry'!$B$58="Probable")),"sx","")</f>
        <v/>
      </c>
      <c r="AO162" t="str">
        <f>IF(AND(AO$4='Data entry'!$R$58, OR('Data entry'!$B$58="Confirmed",'Data entry'!$B$58="Probable")),"sx","")</f>
        <v/>
      </c>
      <c r="AP162" t="str">
        <f>IF(AND(AP$4='Data entry'!$R$58, OR('Data entry'!$B$58="Confirmed",'Data entry'!$B$58="Probable")),"sx","")</f>
        <v/>
      </c>
      <c r="AQ162" t="str">
        <f>IF(AND(AQ$4='Data entry'!$R$58, OR('Data entry'!$B$58="Confirmed",'Data entry'!$B$58="Probable")),"sx","")</f>
        <v/>
      </c>
      <c r="AR162" t="str">
        <f>IF(AND(AR$4='Data entry'!$R$58, OR('Data entry'!$B$58="Confirmed",'Data entry'!$B$58="Probable")),"sx","")</f>
        <v/>
      </c>
      <c r="AS162" t="str">
        <f>IF(AND(AS$4='Data entry'!$R$58, OR('Data entry'!$B$58="Confirmed",'Data entry'!$B$58="Probable")),"sx","")</f>
        <v/>
      </c>
      <c r="AT162" t="str">
        <f>IF(AND(AT$4='Data entry'!$R$58, OR('Data entry'!$B$58="Confirmed",'Data entry'!$B$58="Probable")),"sx","")</f>
        <v/>
      </c>
      <c r="AU162" t="str">
        <f>IF(AND(AU$4='Data entry'!$R$58, OR('Data entry'!$B$58="Confirmed",'Data entry'!$B$58="Probable")),"sx","")</f>
        <v/>
      </c>
      <c r="AV162" t="str">
        <f>IF(AND(AV$4='Data entry'!$R$58, OR('Data entry'!$B$58="Confirmed",'Data entry'!$B$58="Probable")),"sx","")</f>
        <v/>
      </c>
      <c r="AW162" t="str">
        <f>IF(AND(AW$4='Data entry'!$R$58, OR('Data entry'!$B$58="Confirmed",'Data entry'!$B$58="Probable")),"sx","")</f>
        <v/>
      </c>
      <c r="AX162" t="str">
        <f>IF(AND(AX$4='Data entry'!$R$58, OR('Data entry'!$B$58="Confirmed",'Data entry'!$B$58="Probable")),"sx","")</f>
        <v/>
      </c>
      <c r="AY162" t="str">
        <f>IF(AND(AY$4='Data entry'!$R$58, OR('Data entry'!$B$58="Confirmed",'Data entry'!$B$58="Probable")),"sx","")</f>
        <v/>
      </c>
      <c r="AZ162" t="str">
        <f>IF(AND(AZ$4='Data entry'!$R$58, OR('Data entry'!$B$58="Confirmed",'Data entry'!$B$58="Probable")),"sx","")</f>
        <v/>
      </c>
      <c r="BA162" t="str">
        <f>IF(AND(BA$4='Data entry'!$R$58, OR('Data entry'!$B$58="Confirmed",'Data entry'!$B$58="Probable")),"sx","")</f>
        <v/>
      </c>
      <c r="BB162" t="str">
        <f>IF(AND(BB$4='Data entry'!$R$58, OR('Data entry'!$B$58="Confirmed",'Data entry'!$B$58="Probable")),"sx","")</f>
        <v/>
      </c>
      <c r="BC162" t="str">
        <f>IF(AND(BC$4='Data entry'!$R$58, OR('Data entry'!$B$58="Confirmed",'Data entry'!$B$58="Probable")),"sx","")</f>
        <v/>
      </c>
      <c r="BD162" t="str">
        <f>IF(AND(BD$4='Data entry'!$R$58, OR('Data entry'!$B$58="Confirmed",'Data entry'!$B$58="Probable")),"sx","")</f>
        <v/>
      </c>
      <c r="BE162" t="str">
        <f>IF(AND(BE$4='Data entry'!$R$58, OR('Data entry'!$B$58="Confirmed",'Data entry'!$B$58="Probable")),"sx","")</f>
        <v/>
      </c>
      <c r="BF162" t="str">
        <f>IF(AND(BF$4='Data entry'!$R$58, OR('Data entry'!$B$58="Confirmed",'Data entry'!$B$58="Probable")),"sx","")</f>
        <v/>
      </c>
      <c r="BG162" t="str">
        <f>IF(AND(BG$4='Data entry'!$R$58, OR('Data entry'!$B$58="Confirmed",'Data entry'!$B$58="Probable")),"sx","")</f>
        <v/>
      </c>
      <c r="BH162" t="str">
        <f>IF(AND(BH$4='Data entry'!$R$58, OR('Data entry'!$B$58="Confirmed",'Data entry'!$B$58="Probable")),"sx","")</f>
        <v/>
      </c>
      <c r="BI162" t="str">
        <f>IF(AND(BI$4='Data entry'!$R$58, OR('Data entry'!$B$58="Confirmed",'Data entry'!$B$58="Probable")),"sx","")</f>
        <v/>
      </c>
      <c r="BJ162" t="str">
        <f>IF(AND(BJ$4='Data entry'!$R$58, OR('Data entry'!$B$58="Confirmed",'Data entry'!$B$58="Probable")),"sx","")</f>
        <v/>
      </c>
      <c r="BK162" t="str">
        <f>IF(AND(BK$4='Data entry'!$R$58, OR('Data entry'!$B$58="Confirmed",'Data entry'!$B$58="Probable")),"sx","")</f>
        <v/>
      </c>
      <c r="BL162" t="str">
        <f>IF(AND(BL$4='Data entry'!$R$58, OR('Data entry'!$B$58="Confirmed",'Data entry'!$B$58="Probable")),"sx","")</f>
        <v/>
      </c>
      <c r="BM162" t="str">
        <f>IF(AND(BM$4='Data entry'!$R$58, OR('Data entry'!$B$58="Confirmed",'Data entry'!$B$58="Probable")),"sx","")</f>
        <v/>
      </c>
      <c r="BN162" t="str">
        <f>IF(AND(BN$4='Data entry'!$R$58, OR('Data entry'!$B$58="Confirmed",'Data entry'!$B$58="Probable")),"sx","")</f>
        <v/>
      </c>
      <c r="BO162" t="str">
        <f>IF(AND(BO$4='Data entry'!$R$58, OR('Data entry'!$B$58="Confirmed",'Data entry'!$B$58="Probable")),"sx","")</f>
        <v/>
      </c>
      <c r="BP162" t="str">
        <f>IF(AND(BP$4='Data entry'!$R$58, OR('Data entry'!$B$58="Confirmed",'Data entry'!$B$58="Probable")),"sx","")</f>
        <v/>
      </c>
      <c r="BQ162" t="str">
        <f>IF(AND(BQ$4='Data entry'!$R$58, OR('Data entry'!$B$58="Confirmed",'Data entry'!$B$58="Probable")),"sx","")</f>
        <v/>
      </c>
      <c r="BR162" t="str">
        <f>IF(AND(BR$4='Data entry'!$R$58, OR('Data entry'!$B$58="Confirmed",'Data entry'!$B$58="Probable")),"sx","")</f>
        <v/>
      </c>
      <c r="BS162" t="str">
        <f>IF(AND(BS$4='Data entry'!$R$58, OR('Data entry'!$B$58="Confirmed",'Data entry'!$B$58="Probable")),"sx","")</f>
        <v/>
      </c>
      <c r="BT162" t="str">
        <f>IF(AND(BT$4='Data entry'!$R$58, OR('Data entry'!$B$58="Confirmed",'Data entry'!$B$58="Probable")),"sx","")</f>
        <v/>
      </c>
      <c r="BU162" t="str">
        <f>IF(AND(BU$4='Data entry'!$R$58, OR('Data entry'!$B$58="Confirmed",'Data entry'!$B$58="Probable")),"sx","")</f>
        <v/>
      </c>
      <c r="BV162" t="str">
        <f>IF(AND(BV$4='Data entry'!$R$58, OR('Data entry'!$B$58="Confirmed",'Data entry'!$B$58="Probable")),"sx","")</f>
        <v/>
      </c>
      <c r="BW162" t="str">
        <f>IF(AND(BW$4='Data entry'!$R$58, OR('Data entry'!$B$58="Confirmed",'Data entry'!$B$58="Probable")),"sx","")</f>
        <v/>
      </c>
      <c r="BX162" t="str">
        <f>IF(AND(BX$4='Data entry'!$R$58, OR('Data entry'!$B$58="Confirmed",'Data entry'!$B$58="Probable")),"sx","")</f>
        <v/>
      </c>
      <c r="BY162" t="str">
        <f>IF(AND(BY$4='Data entry'!$R$58, OR('Data entry'!$B$58="Confirmed",'Data entry'!$B$58="Probable")),"sx","")</f>
        <v/>
      </c>
      <c r="BZ162" t="str">
        <f>IF(AND(BZ$4='Data entry'!$R$58, OR('Data entry'!$B$58="Confirmed",'Data entry'!$B$58="Probable")),"sx","")</f>
        <v/>
      </c>
      <c r="CA162" t="str">
        <f>IF(AND(CA$4='Data entry'!$R$58, OR('Data entry'!$B$58="Confirmed",'Data entry'!$B$58="Probable")),"sx","")</f>
        <v/>
      </c>
      <c r="CB162" t="str">
        <f>IF(AND(CB$4='Data entry'!$R$58, OR('Data entry'!$B$58="Confirmed",'Data entry'!$B$58="Probable")),"sx","")</f>
        <v/>
      </c>
      <c r="CC162" t="str">
        <f>IF(AND(CC$4='Data entry'!$R$58, OR('Data entry'!$B$58="Confirmed",'Data entry'!$B$58="Probable")),"sx","")</f>
        <v/>
      </c>
    </row>
    <row r="163" spans="1:81" s="64" customFormat="1" ht="2.25" customHeight="1" thickBot="1" x14ac:dyDescent="0.25">
      <c r="A163" s="671"/>
      <c r="B163" s="672"/>
      <c r="C163" s="69"/>
    </row>
    <row r="164" spans="1:81" s="63" customFormat="1" ht="15.75" thickTop="1" x14ac:dyDescent="0.2">
      <c r="A164" s="670" t="str">
        <f>CONCATENATE('Data entry'!J59, " ", 'Data entry'!I59)</f>
        <v xml:space="preserve"> </v>
      </c>
      <c r="B164" s="670"/>
      <c r="C164" s="67"/>
    </row>
    <row r="165" spans="1:81" x14ac:dyDescent="0.2">
      <c r="A165" s="668" t="str">
        <f>CONCATENATE('Data entry'!B59, ", ", 'Data entry'!AO59, ", ", 'Data entry'!AR59)</f>
        <v xml:space="preserve">, , </v>
      </c>
      <c r="B165" s="668"/>
      <c r="C165" s="68"/>
      <c r="Q165" t="str">
        <f>IF(AND(Q$4='Data entry'!$R$59, OR('Data entry'!$B$59="Confirmed",'Data entry'!$B$59="Probable")),"sx","")</f>
        <v/>
      </c>
      <c r="R165" t="str">
        <f>IF(AND(R$4='Data entry'!$R$59, OR('Data entry'!$B$59="Confirmed",'Data entry'!$B$59="Probable")),"sx","")</f>
        <v/>
      </c>
      <c r="S165" t="str">
        <f>IF(AND(S$4='Data entry'!$R$59, OR('Data entry'!$B$59="Confirmed",'Data entry'!$B$59="Probable")),"sx","")</f>
        <v/>
      </c>
      <c r="T165" t="str">
        <f>IF(AND(T$4='Data entry'!$R$59, OR('Data entry'!$B$59="Confirmed",'Data entry'!$B$59="Probable")),"sx","")</f>
        <v/>
      </c>
      <c r="U165" t="str">
        <f>IF(AND(U$4='Data entry'!$R$59, OR('Data entry'!$B$59="Confirmed",'Data entry'!$B$59="Probable")),"sx","")</f>
        <v/>
      </c>
      <c r="V165" t="str">
        <f>IF(AND(V$4='Data entry'!$R$59, OR('Data entry'!$B$59="Confirmed",'Data entry'!$B$59="Probable")),"sx","")</f>
        <v/>
      </c>
      <c r="W165" t="str">
        <f>IF(AND(W$4='Data entry'!$R$59, OR('Data entry'!$B$59="Confirmed",'Data entry'!$B$59="Probable")),"sx","")</f>
        <v/>
      </c>
      <c r="X165" t="str">
        <f>IF(AND(X$4='Data entry'!$R$59, OR('Data entry'!$B$59="Confirmed",'Data entry'!$B$59="Probable")),"sx","")</f>
        <v/>
      </c>
      <c r="Y165" t="str">
        <f>IF(AND(Y$4='Data entry'!$R$59, OR('Data entry'!$B$59="Confirmed",'Data entry'!$B$59="Probable")),"sx","")</f>
        <v/>
      </c>
      <c r="Z165" t="str">
        <f>IF(AND(Z$4='Data entry'!$R$59, OR('Data entry'!$B$59="Confirmed",'Data entry'!$B$59="Probable")),"sx","")</f>
        <v/>
      </c>
      <c r="AA165" t="str">
        <f>IF(AND(AA$4='Data entry'!$R$59, OR('Data entry'!$B$59="Confirmed",'Data entry'!$B$59="Probable")),"sx","")</f>
        <v/>
      </c>
      <c r="AB165" t="str">
        <f>IF(AND(AB$4='Data entry'!$R$59, OR('Data entry'!$B$59="Confirmed",'Data entry'!$B$59="Probable")),"sx","")</f>
        <v/>
      </c>
      <c r="AC165" t="str">
        <f>IF(AND(AC$4='Data entry'!$R$59, OR('Data entry'!$B$59="Confirmed",'Data entry'!$B$59="Probable")),"sx","")</f>
        <v/>
      </c>
      <c r="AD165" t="str">
        <f>IF(AND(AD$4='Data entry'!$R$59, OR('Data entry'!$B$59="Confirmed",'Data entry'!$B$59="Probable")),"sx","")</f>
        <v/>
      </c>
      <c r="AE165" t="str">
        <f>IF(AND(AE$4='Data entry'!$R$59, OR('Data entry'!$B$59="Confirmed",'Data entry'!$B$59="Probable")),"sx","")</f>
        <v/>
      </c>
      <c r="AF165" t="str">
        <f>IF(AND(AF$4='Data entry'!$R$59, OR('Data entry'!$B$59="Confirmed",'Data entry'!$B$59="Probable")),"sx","")</f>
        <v/>
      </c>
      <c r="AG165" t="str">
        <f>IF(AND(AG$4='Data entry'!$R$59, OR('Data entry'!$B$59="Confirmed",'Data entry'!$B$59="Probable")),"sx","")</f>
        <v/>
      </c>
      <c r="AH165" t="str">
        <f>IF(AND(AH$4='Data entry'!$R$59, OR('Data entry'!$B$59="Confirmed",'Data entry'!$B$59="Probable")),"sx","")</f>
        <v/>
      </c>
      <c r="AI165" t="str">
        <f>IF(AND(AI$4='Data entry'!$R$59, OR('Data entry'!$B$59="Confirmed",'Data entry'!$B$59="Probable")),"sx","")</f>
        <v/>
      </c>
      <c r="AJ165" t="str">
        <f>IF(AND(AJ$4='Data entry'!$R$59, OR('Data entry'!$B$59="Confirmed",'Data entry'!$B$59="Probable")),"sx","")</f>
        <v/>
      </c>
      <c r="AK165" t="str">
        <f>IF(AND(AK$4='Data entry'!$R$59, OR('Data entry'!$B$59="Confirmed",'Data entry'!$B$59="Probable")),"sx","")</f>
        <v/>
      </c>
      <c r="AL165" t="str">
        <f>IF(AND(AL$4='Data entry'!$R$59, OR('Data entry'!$B$59="Confirmed",'Data entry'!$B$59="Probable")),"sx","")</f>
        <v/>
      </c>
      <c r="AM165" t="str">
        <f>IF(AND(AM$4='Data entry'!$R$59, OR('Data entry'!$B$59="Confirmed",'Data entry'!$B$59="Probable")),"sx","")</f>
        <v/>
      </c>
      <c r="AN165" t="str">
        <f>IF(AND(AN$4='Data entry'!$R$59, OR('Data entry'!$B$59="Confirmed",'Data entry'!$B$59="Probable")),"sx","")</f>
        <v/>
      </c>
      <c r="AO165" t="str">
        <f>IF(AND(AO$4='Data entry'!$R$59, OR('Data entry'!$B$59="Confirmed",'Data entry'!$B$59="Probable")),"sx","")</f>
        <v/>
      </c>
      <c r="AP165" t="str">
        <f>IF(AND(AP$4='Data entry'!$R$59, OR('Data entry'!$B$59="Confirmed",'Data entry'!$B$59="Probable")),"sx","")</f>
        <v/>
      </c>
      <c r="AQ165" t="str">
        <f>IF(AND(AQ$4='Data entry'!$R$59, OR('Data entry'!$B$59="Confirmed",'Data entry'!$B$59="Probable")),"sx","")</f>
        <v/>
      </c>
      <c r="AR165" t="str">
        <f>IF(AND(AR$4='Data entry'!$R$59, OR('Data entry'!$B$59="Confirmed",'Data entry'!$B$59="Probable")),"sx","")</f>
        <v/>
      </c>
      <c r="AS165" t="str">
        <f>IF(AND(AS$4='Data entry'!$R$59, OR('Data entry'!$B$59="Confirmed",'Data entry'!$B$59="Probable")),"sx","")</f>
        <v/>
      </c>
      <c r="AT165" t="str">
        <f>IF(AND(AT$4='Data entry'!$R$59, OR('Data entry'!$B$59="Confirmed",'Data entry'!$B$59="Probable")),"sx","")</f>
        <v/>
      </c>
      <c r="AU165" t="str">
        <f>IF(AND(AU$4='Data entry'!$R$59, OR('Data entry'!$B$59="Confirmed",'Data entry'!$B$59="Probable")),"sx","")</f>
        <v/>
      </c>
      <c r="AV165" t="str">
        <f>IF(AND(AV$4='Data entry'!$R$59, OR('Data entry'!$B$59="Confirmed",'Data entry'!$B$59="Probable")),"sx","")</f>
        <v/>
      </c>
      <c r="AW165" t="str">
        <f>IF(AND(AW$4='Data entry'!$R$59, OR('Data entry'!$B$59="Confirmed",'Data entry'!$B$59="Probable")),"sx","")</f>
        <v/>
      </c>
      <c r="AX165" t="str">
        <f>IF(AND(AX$4='Data entry'!$R$59, OR('Data entry'!$B$59="Confirmed",'Data entry'!$B$59="Probable")),"sx","")</f>
        <v/>
      </c>
      <c r="AY165" t="str">
        <f>IF(AND(AY$4='Data entry'!$R$59, OR('Data entry'!$B$59="Confirmed",'Data entry'!$B$59="Probable")),"sx","")</f>
        <v/>
      </c>
      <c r="AZ165" t="str">
        <f>IF(AND(AZ$4='Data entry'!$R$59, OR('Data entry'!$B$59="Confirmed",'Data entry'!$B$59="Probable")),"sx","")</f>
        <v/>
      </c>
      <c r="BA165" t="str">
        <f>IF(AND(BA$4='Data entry'!$R$59, OR('Data entry'!$B$59="Confirmed",'Data entry'!$B$59="Probable")),"sx","")</f>
        <v/>
      </c>
      <c r="BB165" t="str">
        <f>IF(AND(BB$4='Data entry'!$R$59, OR('Data entry'!$B$59="Confirmed",'Data entry'!$B$59="Probable")),"sx","")</f>
        <v/>
      </c>
      <c r="BC165" t="str">
        <f>IF(AND(BC$4='Data entry'!$R$59, OR('Data entry'!$B$59="Confirmed",'Data entry'!$B$59="Probable")),"sx","")</f>
        <v/>
      </c>
      <c r="BD165" t="str">
        <f>IF(AND(BD$4='Data entry'!$R$59, OR('Data entry'!$B$59="Confirmed",'Data entry'!$B$59="Probable")),"sx","")</f>
        <v/>
      </c>
      <c r="BE165" t="str">
        <f>IF(AND(BE$4='Data entry'!$R$59, OR('Data entry'!$B$59="Confirmed",'Data entry'!$B$59="Probable")),"sx","")</f>
        <v/>
      </c>
      <c r="BF165" t="str">
        <f>IF(AND(BF$4='Data entry'!$R$59, OR('Data entry'!$B$59="Confirmed",'Data entry'!$B$59="Probable")),"sx","")</f>
        <v/>
      </c>
      <c r="BG165" t="str">
        <f>IF(AND(BG$4='Data entry'!$R$59, OR('Data entry'!$B$59="Confirmed",'Data entry'!$B$59="Probable")),"sx","")</f>
        <v/>
      </c>
      <c r="BH165" t="str">
        <f>IF(AND(BH$4='Data entry'!$R$59, OR('Data entry'!$B$59="Confirmed",'Data entry'!$B$59="Probable")),"sx","")</f>
        <v/>
      </c>
      <c r="BI165" t="str">
        <f>IF(AND(BI$4='Data entry'!$R$59, OR('Data entry'!$B$59="Confirmed",'Data entry'!$B$59="Probable")),"sx","")</f>
        <v/>
      </c>
      <c r="BJ165" t="str">
        <f>IF(AND(BJ$4='Data entry'!$R$59, OR('Data entry'!$B$59="Confirmed",'Data entry'!$B$59="Probable")),"sx","")</f>
        <v/>
      </c>
      <c r="BK165" t="str">
        <f>IF(AND(BK$4='Data entry'!$R$59, OR('Data entry'!$B$59="Confirmed",'Data entry'!$B$59="Probable")),"sx","")</f>
        <v/>
      </c>
      <c r="BL165" t="str">
        <f>IF(AND(BL$4='Data entry'!$R$59, OR('Data entry'!$B$59="Confirmed",'Data entry'!$B$59="Probable")),"sx","")</f>
        <v/>
      </c>
      <c r="BM165" t="str">
        <f>IF(AND(BM$4='Data entry'!$R$59, OR('Data entry'!$B$59="Confirmed",'Data entry'!$B$59="Probable")),"sx","")</f>
        <v/>
      </c>
      <c r="BN165" t="str">
        <f>IF(AND(BN$4='Data entry'!$R$59, OR('Data entry'!$B$59="Confirmed",'Data entry'!$B$59="Probable")),"sx","")</f>
        <v/>
      </c>
      <c r="BO165" t="str">
        <f>IF(AND(BO$4='Data entry'!$R$59, OR('Data entry'!$B$59="Confirmed",'Data entry'!$B$59="Probable")),"sx","")</f>
        <v/>
      </c>
      <c r="BP165" t="str">
        <f>IF(AND(BP$4='Data entry'!$R$59, OR('Data entry'!$B$59="Confirmed",'Data entry'!$B$59="Probable")),"sx","")</f>
        <v/>
      </c>
      <c r="BQ165" t="str">
        <f>IF(AND(BQ$4='Data entry'!$R$59, OR('Data entry'!$B$59="Confirmed",'Data entry'!$B$59="Probable")),"sx","")</f>
        <v/>
      </c>
      <c r="BR165" t="str">
        <f>IF(AND(BR$4='Data entry'!$R$59, OR('Data entry'!$B$59="Confirmed",'Data entry'!$B$59="Probable")),"sx","")</f>
        <v/>
      </c>
      <c r="BS165" t="str">
        <f>IF(AND(BS$4='Data entry'!$R$59, OR('Data entry'!$B$59="Confirmed",'Data entry'!$B$59="Probable")),"sx","")</f>
        <v/>
      </c>
      <c r="BT165" t="str">
        <f>IF(AND(BT$4='Data entry'!$R$59, OR('Data entry'!$B$59="Confirmed",'Data entry'!$B$59="Probable")),"sx","")</f>
        <v/>
      </c>
      <c r="BU165" t="str">
        <f>IF(AND(BU$4='Data entry'!$R$59, OR('Data entry'!$B$59="Confirmed",'Data entry'!$B$59="Probable")),"sx","")</f>
        <v/>
      </c>
      <c r="BV165" t="str">
        <f>IF(AND(BV$4='Data entry'!$R$59, OR('Data entry'!$B$59="Confirmed",'Data entry'!$B$59="Probable")),"sx","")</f>
        <v/>
      </c>
      <c r="BW165" t="str">
        <f>IF(AND(BW$4='Data entry'!$R$59, OR('Data entry'!$B$59="Confirmed",'Data entry'!$B$59="Probable")),"sx","")</f>
        <v/>
      </c>
      <c r="BX165" t="str">
        <f>IF(AND(BX$4='Data entry'!$R$59, OR('Data entry'!$B$59="Confirmed",'Data entry'!$B$59="Probable")),"sx","")</f>
        <v/>
      </c>
      <c r="BY165" t="str">
        <f>IF(AND(BY$4='Data entry'!$R$59, OR('Data entry'!$B$59="Confirmed",'Data entry'!$B$59="Probable")),"sx","")</f>
        <v/>
      </c>
      <c r="BZ165" t="str">
        <f>IF(AND(BZ$4='Data entry'!$R$59, OR('Data entry'!$B$59="Confirmed",'Data entry'!$B$59="Probable")),"sx","")</f>
        <v/>
      </c>
      <c r="CA165" t="str">
        <f>IF(AND(CA$4='Data entry'!$R$59, OR('Data entry'!$B$59="Confirmed",'Data entry'!$B$59="Probable")),"sx","")</f>
        <v/>
      </c>
      <c r="CB165" t="str">
        <f>IF(AND(CB$4='Data entry'!$R$59, OR('Data entry'!$B$59="Confirmed",'Data entry'!$B$59="Probable")),"sx","")</f>
        <v/>
      </c>
      <c r="CC165" t="str">
        <f>IF(AND(CC$4='Data entry'!$R$59, OR('Data entry'!$B$59="Confirmed",'Data entry'!$B$59="Probable")),"sx","")</f>
        <v/>
      </c>
    </row>
    <row r="166" spans="1:81" s="64" customFormat="1" ht="2.25" customHeight="1" thickBot="1" x14ac:dyDescent="0.25">
      <c r="A166" s="671"/>
      <c r="B166" s="672"/>
      <c r="C166" s="69"/>
    </row>
    <row r="167" spans="1:81" s="63" customFormat="1" ht="15.75" thickTop="1" x14ac:dyDescent="0.2">
      <c r="A167" s="670" t="str">
        <f>CONCATENATE('Data entry'!J60, " ", 'Data entry'!I60)</f>
        <v xml:space="preserve"> </v>
      </c>
      <c r="B167" s="670"/>
      <c r="C167" s="67"/>
    </row>
    <row r="168" spans="1:81" x14ac:dyDescent="0.2">
      <c r="A168" s="668" t="str">
        <f>CONCATENATE('Data entry'!B60, ", ", 'Data entry'!AO60, ", ", 'Data entry'!AR60)</f>
        <v xml:space="preserve">, , </v>
      </c>
      <c r="B168" s="668"/>
      <c r="C168" s="68"/>
      <c r="Q168" t="str">
        <f>IF(AND(Q$4='Data entry'!$R$60, OR('Data entry'!$B$60="Confirmed",'Data entry'!$B$60="Probable")),"sx","")</f>
        <v/>
      </c>
      <c r="R168" t="str">
        <f>IF(AND(R$4='Data entry'!$R$60, OR('Data entry'!$B$60="Confirmed",'Data entry'!$B$60="Probable")),"sx","")</f>
        <v/>
      </c>
      <c r="S168" t="str">
        <f>IF(AND(S$4='Data entry'!$R$60, OR('Data entry'!$B$60="Confirmed",'Data entry'!$B$60="Probable")),"sx","")</f>
        <v/>
      </c>
      <c r="T168" t="str">
        <f>IF(AND(T$4='Data entry'!$R$60, OR('Data entry'!$B$60="Confirmed",'Data entry'!$B$60="Probable")),"sx","")</f>
        <v/>
      </c>
      <c r="U168" t="str">
        <f>IF(AND(U$4='Data entry'!$R$60, OR('Data entry'!$B$60="Confirmed",'Data entry'!$B$60="Probable")),"sx","")</f>
        <v/>
      </c>
      <c r="V168" t="str">
        <f>IF(AND(V$4='Data entry'!$R$60, OR('Data entry'!$B$60="Confirmed",'Data entry'!$B$60="Probable")),"sx","")</f>
        <v/>
      </c>
      <c r="W168" t="str">
        <f>IF(AND(W$4='Data entry'!$R$60, OR('Data entry'!$B$60="Confirmed",'Data entry'!$B$60="Probable")),"sx","")</f>
        <v/>
      </c>
      <c r="X168" t="str">
        <f>IF(AND(X$4='Data entry'!$R$60, OR('Data entry'!$B$60="Confirmed",'Data entry'!$B$60="Probable")),"sx","")</f>
        <v/>
      </c>
      <c r="Y168" t="str">
        <f>IF(AND(Y$4='Data entry'!$R$60, OR('Data entry'!$B$60="Confirmed",'Data entry'!$B$60="Probable")),"sx","")</f>
        <v/>
      </c>
      <c r="Z168" t="str">
        <f>IF(AND(Z$4='Data entry'!$R$60, OR('Data entry'!$B$60="Confirmed",'Data entry'!$B$60="Probable")),"sx","")</f>
        <v/>
      </c>
      <c r="AA168" t="str">
        <f>IF(AND(AA$4='Data entry'!$R$60, OR('Data entry'!$B$60="Confirmed",'Data entry'!$B$60="Probable")),"sx","")</f>
        <v/>
      </c>
      <c r="AB168" t="str">
        <f>IF(AND(AB$4='Data entry'!$R$60, OR('Data entry'!$B$60="Confirmed",'Data entry'!$B$60="Probable")),"sx","")</f>
        <v/>
      </c>
      <c r="AC168" t="str">
        <f>IF(AND(AC$4='Data entry'!$R$60, OR('Data entry'!$B$60="Confirmed",'Data entry'!$B$60="Probable")),"sx","")</f>
        <v/>
      </c>
      <c r="AD168" t="str">
        <f>IF(AND(AD$4='Data entry'!$R$60, OR('Data entry'!$B$60="Confirmed",'Data entry'!$B$60="Probable")),"sx","")</f>
        <v/>
      </c>
      <c r="AE168" t="str">
        <f>IF(AND(AE$4='Data entry'!$R$60, OR('Data entry'!$B$60="Confirmed",'Data entry'!$B$60="Probable")),"sx","")</f>
        <v/>
      </c>
      <c r="AF168" t="str">
        <f>IF(AND(AF$4='Data entry'!$R$60, OR('Data entry'!$B$60="Confirmed",'Data entry'!$B$60="Probable")),"sx","")</f>
        <v/>
      </c>
      <c r="AG168" t="str">
        <f>IF(AND(AG$4='Data entry'!$R$60, OR('Data entry'!$B$60="Confirmed",'Data entry'!$B$60="Probable")),"sx","")</f>
        <v/>
      </c>
      <c r="AH168" t="str">
        <f>IF(AND(AH$4='Data entry'!$R$60, OR('Data entry'!$B$60="Confirmed",'Data entry'!$B$60="Probable")),"sx","")</f>
        <v/>
      </c>
      <c r="AI168" t="str">
        <f>IF(AND(AI$4='Data entry'!$R$60, OR('Data entry'!$B$60="Confirmed",'Data entry'!$B$60="Probable")),"sx","")</f>
        <v/>
      </c>
      <c r="AJ168" t="str">
        <f>IF(AND(AJ$4='Data entry'!$R$60, OR('Data entry'!$B$60="Confirmed",'Data entry'!$B$60="Probable")),"sx","")</f>
        <v/>
      </c>
      <c r="AK168" t="str">
        <f>IF(AND(AK$4='Data entry'!$R$60, OR('Data entry'!$B$60="Confirmed",'Data entry'!$B$60="Probable")),"sx","")</f>
        <v/>
      </c>
      <c r="AL168" t="str">
        <f>IF(AND(AL$4='Data entry'!$R$60, OR('Data entry'!$B$60="Confirmed",'Data entry'!$B$60="Probable")),"sx","")</f>
        <v/>
      </c>
      <c r="AM168" t="str">
        <f>IF(AND(AM$4='Data entry'!$R$60, OR('Data entry'!$B$60="Confirmed",'Data entry'!$B$60="Probable")),"sx","")</f>
        <v/>
      </c>
      <c r="AN168" t="str">
        <f>IF(AND(AN$4='Data entry'!$R$60, OR('Data entry'!$B$60="Confirmed",'Data entry'!$B$60="Probable")),"sx","")</f>
        <v/>
      </c>
      <c r="AO168" t="str">
        <f>IF(AND(AO$4='Data entry'!$R$60, OR('Data entry'!$B$60="Confirmed",'Data entry'!$B$60="Probable")),"sx","")</f>
        <v/>
      </c>
      <c r="AP168" t="str">
        <f>IF(AND(AP$4='Data entry'!$R$60, OR('Data entry'!$B$60="Confirmed",'Data entry'!$B$60="Probable")),"sx","")</f>
        <v/>
      </c>
      <c r="AQ168" t="str">
        <f>IF(AND(AQ$4='Data entry'!$R$60, OR('Data entry'!$B$60="Confirmed",'Data entry'!$B$60="Probable")),"sx","")</f>
        <v/>
      </c>
      <c r="AR168" t="str">
        <f>IF(AND(AR$4='Data entry'!$R$60, OR('Data entry'!$B$60="Confirmed",'Data entry'!$B$60="Probable")),"sx","")</f>
        <v/>
      </c>
      <c r="AS168" t="str">
        <f>IF(AND(AS$4='Data entry'!$R$60, OR('Data entry'!$B$60="Confirmed",'Data entry'!$B$60="Probable")),"sx","")</f>
        <v/>
      </c>
      <c r="AT168" t="str">
        <f>IF(AND(AT$4='Data entry'!$R$60, OR('Data entry'!$B$60="Confirmed",'Data entry'!$B$60="Probable")),"sx","")</f>
        <v/>
      </c>
      <c r="AU168" t="str">
        <f>IF(AND(AU$4='Data entry'!$R$60, OR('Data entry'!$B$60="Confirmed",'Data entry'!$B$60="Probable")),"sx","")</f>
        <v/>
      </c>
      <c r="AV168" t="str">
        <f>IF(AND(AV$4='Data entry'!$R$60, OR('Data entry'!$B$60="Confirmed",'Data entry'!$B$60="Probable")),"sx","")</f>
        <v/>
      </c>
      <c r="AW168" t="str">
        <f>IF(AND(AW$4='Data entry'!$R$60, OR('Data entry'!$B$60="Confirmed",'Data entry'!$B$60="Probable")),"sx","")</f>
        <v/>
      </c>
      <c r="AX168" t="str">
        <f>IF(AND(AX$4='Data entry'!$R$60, OR('Data entry'!$B$60="Confirmed",'Data entry'!$B$60="Probable")),"sx","")</f>
        <v/>
      </c>
      <c r="AY168" t="str">
        <f>IF(AND(AY$4='Data entry'!$R$60, OR('Data entry'!$B$60="Confirmed",'Data entry'!$B$60="Probable")),"sx","")</f>
        <v/>
      </c>
      <c r="AZ168" t="str">
        <f>IF(AND(AZ$4='Data entry'!$R$60, OR('Data entry'!$B$60="Confirmed",'Data entry'!$B$60="Probable")),"sx","")</f>
        <v/>
      </c>
      <c r="BA168" t="str">
        <f>IF(AND(BA$4='Data entry'!$R$60, OR('Data entry'!$B$60="Confirmed",'Data entry'!$B$60="Probable")),"sx","")</f>
        <v/>
      </c>
      <c r="BB168" t="str">
        <f>IF(AND(BB$4='Data entry'!$R$60, OR('Data entry'!$B$60="Confirmed",'Data entry'!$B$60="Probable")),"sx","")</f>
        <v/>
      </c>
      <c r="BC168" t="str">
        <f>IF(AND(BC$4='Data entry'!$R$60, OR('Data entry'!$B$60="Confirmed",'Data entry'!$B$60="Probable")),"sx","")</f>
        <v/>
      </c>
      <c r="BD168" t="str">
        <f>IF(AND(BD$4='Data entry'!$R$60, OR('Data entry'!$B$60="Confirmed",'Data entry'!$B$60="Probable")),"sx","")</f>
        <v/>
      </c>
      <c r="BE168" t="str">
        <f>IF(AND(BE$4='Data entry'!$R$60, OR('Data entry'!$B$60="Confirmed",'Data entry'!$B$60="Probable")),"sx","")</f>
        <v/>
      </c>
      <c r="BF168" t="str">
        <f>IF(AND(BF$4='Data entry'!$R$60, OR('Data entry'!$B$60="Confirmed",'Data entry'!$B$60="Probable")),"sx","")</f>
        <v/>
      </c>
      <c r="BG168" t="str">
        <f>IF(AND(BG$4='Data entry'!$R$60, OR('Data entry'!$B$60="Confirmed",'Data entry'!$B$60="Probable")),"sx","")</f>
        <v/>
      </c>
      <c r="BH168" t="str">
        <f>IF(AND(BH$4='Data entry'!$R$60, OR('Data entry'!$B$60="Confirmed",'Data entry'!$B$60="Probable")),"sx","")</f>
        <v/>
      </c>
      <c r="BI168" t="str">
        <f>IF(AND(BI$4='Data entry'!$R$60, OR('Data entry'!$B$60="Confirmed",'Data entry'!$B$60="Probable")),"sx","")</f>
        <v/>
      </c>
      <c r="BJ168" t="str">
        <f>IF(AND(BJ$4='Data entry'!$R$60, OR('Data entry'!$B$60="Confirmed",'Data entry'!$B$60="Probable")),"sx","")</f>
        <v/>
      </c>
      <c r="BK168" t="str">
        <f>IF(AND(BK$4='Data entry'!$R$60, OR('Data entry'!$B$60="Confirmed",'Data entry'!$B$60="Probable")),"sx","")</f>
        <v/>
      </c>
      <c r="BL168" t="str">
        <f>IF(AND(BL$4='Data entry'!$R$60, OR('Data entry'!$B$60="Confirmed",'Data entry'!$B$60="Probable")),"sx","")</f>
        <v/>
      </c>
      <c r="BM168" t="str">
        <f>IF(AND(BM$4='Data entry'!$R$60, OR('Data entry'!$B$60="Confirmed",'Data entry'!$B$60="Probable")),"sx","")</f>
        <v/>
      </c>
      <c r="BN168" t="str">
        <f>IF(AND(BN$4='Data entry'!$R$60, OR('Data entry'!$B$60="Confirmed",'Data entry'!$B$60="Probable")),"sx","")</f>
        <v/>
      </c>
      <c r="BO168" t="str">
        <f>IF(AND(BO$4='Data entry'!$R$60, OR('Data entry'!$B$60="Confirmed",'Data entry'!$B$60="Probable")),"sx","")</f>
        <v/>
      </c>
      <c r="BP168" t="str">
        <f>IF(AND(BP$4='Data entry'!$R$60, OR('Data entry'!$B$60="Confirmed",'Data entry'!$B$60="Probable")),"sx","")</f>
        <v/>
      </c>
      <c r="BQ168" t="str">
        <f>IF(AND(BQ$4='Data entry'!$R$60, OR('Data entry'!$B$60="Confirmed",'Data entry'!$B$60="Probable")),"sx","")</f>
        <v/>
      </c>
      <c r="BR168" t="str">
        <f>IF(AND(BR$4='Data entry'!$R$60, OR('Data entry'!$B$60="Confirmed",'Data entry'!$B$60="Probable")),"sx","")</f>
        <v/>
      </c>
      <c r="BS168" t="str">
        <f>IF(AND(BS$4='Data entry'!$R$60, OR('Data entry'!$B$60="Confirmed",'Data entry'!$B$60="Probable")),"sx","")</f>
        <v/>
      </c>
      <c r="BT168" t="str">
        <f>IF(AND(BT$4='Data entry'!$R$60, OR('Data entry'!$B$60="Confirmed",'Data entry'!$B$60="Probable")),"sx","")</f>
        <v/>
      </c>
      <c r="BU168" t="str">
        <f>IF(AND(BU$4='Data entry'!$R$60, OR('Data entry'!$B$60="Confirmed",'Data entry'!$B$60="Probable")),"sx","")</f>
        <v/>
      </c>
      <c r="BV168" t="str">
        <f>IF(AND(BV$4='Data entry'!$R$60, OR('Data entry'!$B$60="Confirmed",'Data entry'!$B$60="Probable")),"sx","")</f>
        <v/>
      </c>
      <c r="BW168" t="str">
        <f>IF(AND(BW$4='Data entry'!$R$60, OR('Data entry'!$B$60="Confirmed",'Data entry'!$B$60="Probable")),"sx","")</f>
        <v/>
      </c>
      <c r="BX168" t="str">
        <f>IF(AND(BX$4='Data entry'!$R$60, OR('Data entry'!$B$60="Confirmed",'Data entry'!$B$60="Probable")),"sx","")</f>
        <v/>
      </c>
      <c r="BY168" t="str">
        <f>IF(AND(BY$4='Data entry'!$R$60, OR('Data entry'!$B$60="Confirmed",'Data entry'!$B$60="Probable")),"sx","")</f>
        <v/>
      </c>
      <c r="BZ168" t="str">
        <f>IF(AND(BZ$4='Data entry'!$R$60, OR('Data entry'!$B$60="Confirmed",'Data entry'!$B$60="Probable")),"sx","")</f>
        <v/>
      </c>
      <c r="CA168" t="str">
        <f>IF(AND(CA$4='Data entry'!$R$60, OR('Data entry'!$B$60="Confirmed",'Data entry'!$B$60="Probable")),"sx","")</f>
        <v/>
      </c>
      <c r="CB168" t="str">
        <f>IF(AND(CB$4='Data entry'!$R$60, OR('Data entry'!$B$60="Confirmed",'Data entry'!$B$60="Probable")),"sx","")</f>
        <v/>
      </c>
      <c r="CC168" t="str">
        <f>IF(AND(CC$4='Data entry'!$R$60, OR('Data entry'!$B$60="Confirmed",'Data entry'!$B$60="Probable")),"sx","")</f>
        <v/>
      </c>
    </row>
    <row r="169" spans="1:81" s="64" customFormat="1" ht="2.25" customHeight="1" thickBot="1" x14ac:dyDescent="0.25">
      <c r="A169" s="671"/>
      <c r="B169" s="672"/>
      <c r="C169" s="69"/>
    </row>
    <row r="170" spans="1:81" s="63" customFormat="1" ht="15.75" thickTop="1" x14ac:dyDescent="0.2">
      <c r="A170" s="670" t="str">
        <f>CONCATENATE('Data entry'!J61, " ", 'Data entry'!I61)</f>
        <v xml:space="preserve"> </v>
      </c>
      <c r="B170" s="670"/>
      <c r="C170" s="67"/>
    </row>
    <row r="171" spans="1:81" x14ac:dyDescent="0.2">
      <c r="A171" s="668" t="str">
        <f>CONCATENATE('Data entry'!B61, ", ", 'Data entry'!AO61, ", ", 'Data entry'!AR61)</f>
        <v xml:space="preserve">, , </v>
      </c>
      <c r="B171" s="668"/>
      <c r="C171" s="68"/>
      <c r="Q171" t="str">
        <f>IF(AND(Q$4='Data entry'!$R$61, OR('Data entry'!$B$61="Confirmed",'Data entry'!$B$61="Probable")),"sx","")</f>
        <v/>
      </c>
      <c r="R171" t="str">
        <f>IF(AND(R$4='Data entry'!$R$61, OR('Data entry'!$B$61="Confirmed",'Data entry'!$B$61="Probable")),"sx","")</f>
        <v/>
      </c>
      <c r="S171" t="str">
        <f>IF(AND(S$4='Data entry'!$R$61, OR('Data entry'!$B$61="Confirmed",'Data entry'!$B$61="Probable")),"sx","")</f>
        <v/>
      </c>
      <c r="T171" t="str">
        <f>IF(AND(T$4='Data entry'!$R$61, OR('Data entry'!$B$61="Confirmed",'Data entry'!$B$61="Probable")),"sx","")</f>
        <v/>
      </c>
      <c r="U171" t="str">
        <f>IF(AND(U$4='Data entry'!$R$61, OR('Data entry'!$B$61="Confirmed",'Data entry'!$B$61="Probable")),"sx","")</f>
        <v/>
      </c>
      <c r="V171" t="str">
        <f>IF(AND(V$4='Data entry'!$R$61, OR('Data entry'!$B$61="Confirmed",'Data entry'!$B$61="Probable")),"sx","")</f>
        <v/>
      </c>
      <c r="W171" t="str">
        <f>IF(AND(W$4='Data entry'!$R$61, OR('Data entry'!$B$61="Confirmed",'Data entry'!$B$61="Probable")),"sx","")</f>
        <v/>
      </c>
      <c r="X171" t="str">
        <f>IF(AND(X$4='Data entry'!$R$61, OR('Data entry'!$B$61="Confirmed",'Data entry'!$B$61="Probable")),"sx","")</f>
        <v/>
      </c>
      <c r="Y171" t="str">
        <f>IF(AND(Y$4='Data entry'!$R$61, OR('Data entry'!$B$61="Confirmed",'Data entry'!$B$61="Probable")),"sx","")</f>
        <v/>
      </c>
      <c r="Z171" t="str">
        <f>IF(AND(Z$4='Data entry'!$R$61, OR('Data entry'!$B$61="Confirmed",'Data entry'!$B$61="Probable")),"sx","")</f>
        <v/>
      </c>
      <c r="AA171" t="str">
        <f>IF(AND(AA$4='Data entry'!$R$61, OR('Data entry'!$B$61="Confirmed",'Data entry'!$B$61="Probable")),"sx","")</f>
        <v/>
      </c>
      <c r="AB171" t="str">
        <f>IF(AND(AB$4='Data entry'!$R$61, OR('Data entry'!$B$61="Confirmed",'Data entry'!$B$61="Probable")),"sx","")</f>
        <v/>
      </c>
      <c r="AC171" t="str">
        <f>IF(AND(AC$4='Data entry'!$R$61, OR('Data entry'!$B$61="Confirmed",'Data entry'!$B$61="Probable")),"sx","")</f>
        <v/>
      </c>
      <c r="AD171" t="str">
        <f>IF(AND(AD$4='Data entry'!$R$61, OR('Data entry'!$B$61="Confirmed",'Data entry'!$B$61="Probable")),"sx","")</f>
        <v/>
      </c>
      <c r="AE171" t="str">
        <f>IF(AND(AE$4='Data entry'!$R$61, OR('Data entry'!$B$61="Confirmed",'Data entry'!$B$61="Probable")),"sx","")</f>
        <v/>
      </c>
      <c r="AF171" t="str">
        <f>IF(AND(AF$4='Data entry'!$R$61, OR('Data entry'!$B$61="Confirmed",'Data entry'!$B$61="Probable")),"sx","")</f>
        <v/>
      </c>
      <c r="AG171" t="str">
        <f>IF(AND(AG$4='Data entry'!$R$61, OR('Data entry'!$B$61="Confirmed",'Data entry'!$B$61="Probable")),"sx","")</f>
        <v/>
      </c>
      <c r="AH171" t="str">
        <f>IF(AND(AH$4='Data entry'!$R$61, OR('Data entry'!$B$61="Confirmed",'Data entry'!$B$61="Probable")),"sx","")</f>
        <v/>
      </c>
      <c r="AI171" t="str">
        <f>IF(AND(AI$4='Data entry'!$R$61, OR('Data entry'!$B$61="Confirmed",'Data entry'!$B$61="Probable")),"sx","")</f>
        <v/>
      </c>
      <c r="AJ171" t="str">
        <f>IF(AND(AJ$4='Data entry'!$R$61, OR('Data entry'!$B$61="Confirmed",'Data entry'!$B$61="Probable")),"sx","")</f>
        <v/>
      </c>
      <c r="AK171" t="str">
        <f>IF(AND(AK$4='Data entry'!$R$61, OR('Data entry'!$B$61="Confirmed",'Data entry'!$B$61="Probable")),"sx","")</f>
        <v/>
      </c>
      <c r="AL171" t="str">
        <f>IF(AND(AL$4='Data entry'!$R$61, OR('Data entry'!$B$61="Confirmed",'Data entry'!$B$61="Probable")),"sx","")</f>
        <v/>
      </c>
      <c r="AM171" t="str">
        <f>IF(AND(AM$4='Data entry'!$R$61, OR('Data entry'!$B$61="Confirmed",'Data entry'!$B$61="Probable")),"sx","")</f>
        <v/>
      </c>
      <c r="AN171" t="str">
        <f>IF(AND(AN$4='Data entry'!$R$61, OR('Data entry'!$B$61="Confirmed",'Data entry'!$B$61="Probable")),"sx","")</f>
        <v/>
      </c>
      <c r="AO171" t="str">
        <f>IF(AND(AO$4='Data entry'!$R$61, OR('Data entry'!$B$61="Confirmed",'Data entry'!$B$61="Probable")),"sx","")</f>
        <v/>
      </c>
      <c r="AP171" t="str">
        <f>IF(AND(AP$4='Data entry'!$R$61, OR('Data entry'!$B$61="Confirmed",'Data entry'!$B$61="Probable")),"sx","")</f>
        <v/>
      </c>
      <c r="AQ171" t="str">
        <f>IF(AND(AQ$4='Data entry'!$R$61, OR('Data entry'!$B$61="Confirmed",'Data entry'!$B$61="Probable")),"sx","")</f>
        <v/>
      </c>
      <c r="AR171" t="str">
        <f>IF(AND(AR$4='Data entry'!$R$61, OR('Data entry'!$B$61="Confirmed",'Data entry'!$B$61="Probable")),"sx","")</f>
        <v/>
      </c>
      <c r="AS171" t="str">
        <f>IF(AND(AS$4='Data entry'!$R$61, OR('Data entry'!$B$61="Confirmed",'Data entry'!$B$61="Probable")),"sx","")</f>
        <v/>
      </c>
      <c r="AT171" t="str">
        <f>IF(AND(AT$4='Data entry'!$R$61, OR('Data entry'!$B$61="Confirmed",'Data entry'!$B$61="Probable")),"sx","")</f>
        <v/>
      </c>
      <c r="AU171" t="str">
        <f>IF(AND(AU$4='Data entry'!$R$61, OR('Data entry'!$B$61="Confirmed",'Data entry'!$B$61="Probable")),"sx","")</f>
        <v/>
      </c>
      <c r="AV171" t="str">
        <f>IF(AND(AV$4='Data entry'!$R$61, OR('Data entry'!$B$61="Confirmed",'Data entry'!$B$61="Probable")),"sx","")</f>
        <v/>
      </c>
      <c r="AW171" t="str">
        <f>IF(AND(AW$4='Data entry'!$R$61, OR('Data entry'!$B$61="Confirmed",'Data entry'!$B$61="Probable")),"sx","")</f>
        <v/>
      </c>
      <c r="AX171" t="str">
        <f>IF(AND(AX$4='Data entry'!$R$61, OR('Data entry'!$B$61="Confirmed",'Data entry'!$B$61="Probable")),"sx","")</f>
        <v/>
      </c>
      <c r="AY171" t="str">
        <f>IF(AND(AY$4='Data entry'!$R$61, OR('Data entry'!$B$61="Confirmed",'Data entry'!$B$61="Probable")),"sx","")</f>
        <v/>
      </c>
      <c r="AZ171" t="str">
        <f>IF(AND(AZ$4='Data entry'!$R$61, OR('Data entry'!$B$61="Confirmed",'Data entry'!$B$61="Probable")),"sx","")</f>
        <v/>
      </c>
      <c r="BA171" t="str">
        <f>IF(AND(BA$4='Data entry'!$R$61, OR('Data entry'!$B$61="Confirmed",'Data entry'!$B$61="Probable")),"sx","")</f>
        <v/>
      </c>
      <c r="BB171" t="str">
        <f>IF(AND(BB$4='Data entry'!$R$61, OR('Data entry'!$B$61="Confirmed",'Data entry'!$B$61="Probable")),"sx","")</f>
        <v/>
      </c>
      <c r="BC171" t="str">
        <f>IF(AND(BC$4='Data entry'!$R$61, OR('Data entry'!$B$61="Confirmed",'Data entry'!$B$61="Probable")),"sx","")</f>
        <v/>
      </c>
      <c r="BD171" t="str">
        <f>IF(AND(BD$4='Data entry'!$R$61, OR('Data entry'!$B$61="Confirmed",'Data entry'!$B$61="Probable")),"sx","")</f>
        <v/>
      </c>
      <c r="BE171" t="str">
        <f>IF(AND(BE$4='Data entry'!$R$61, OR('Data entry'!$B$61="Confirmed",'Data entry'!$B$61="Probable")),"sx","")</f>
        <v/>
      </c>
      <c r="BF171" t="str">
        <f>IF(AND(BF$4='Data entry'!$R$61, OR('Data entry'!$B$61="Confirmed",'Data entry'!$B$61="Probable")),"sx","")</f>
        <v/>
      </c>
      <c r="BG171" t="str">
        <f>IF(AND(BG$4='Data entry'!$R$61, OR('Data entry'!$B$61="Confirmed",'Data entry'!$B$61="Probable")),"sx","")</f>
        <v/>
      </c>
      <c r="BH171" t="str">
        <f>IF(AND(BH$4='Data entry'!$R$61, OR('Data entry'!$B$61="Confirmed",'Data entry'!$B$61="Probable")),"sx","")</f>
        <v/>
      </c>
      <c r="BI171" t="str">
        <f>IF(AND(BI$4='Data entry'!$R$61, OR('Data entry'!$B$61="Confirmed",'Data entry'!$B$61="Probable")),"sx","")</f>
        <v/>
      </c>
      <c r="BJ171" t="str">
        <f>IF(AND(BJ$4='Data entry'!$R$61, OR('Data entry'!$B$61="Confirmed",'Data entry'!$B$61="Probable")),"sx","")</f>
        <v/>
      </c>
      <c r="BK171" t="str">
        <f>IF(AND(BK$4='Data entry'!$R$61, OR('Data entry'!$B$61="Confirmed",'Data entry'!$B$61="Probable")),"sx","")</f>
        <v/>
      </c>
      <c r="BL171" t="str">
        <f>IF(AND(BL$4='Data entry'!$R$61, OR('Data entry'!$B$61="Confirmed",'Data entry'!$B$61="Probable")),"sx","")</f>
        <v/>
      </c>
      <c r="BM171" t="str">
        <f>IF(AND(BM$4='Data entry'!$R$61, OR('Data entry'!$B$61="Confirmed",'Data entry'!$B$61="Probable")),"sx","")</f>
        <v/>
      </c>
      <c r="BN171" t="str">
        <f>IF(AND(BN$4='Data entry'!$R$61, OR('Data entry'!$B$61="Confirmed",'Data entry'!$B$61="Probable")),"sx","")</f>
        <v/>
      </c>
      <c r="BO171" t="str">
        <f>IF(AND(BO$4='Data entry'!$R$61, OR('Data entry'!$B$61="Confirmed",'Data entry'!$B$61="Probable")),"sx","")</f>
        <v/>
      </c>
      <c r="BP171" t="str">
        <f>IF(AND(BP$4='Data entry'!$R$61, OR('Data entry'!$B$61="Confirmed",'Data entry'!$B$61="Probable")),"sx","")</f>
        <v/>
      </c>
      <c r="BQ171" t="str">
        <f>IF(AND(BQ$4='Data entry'!$R$61, OR('Data entry'!$B$61="Confirmed",'Data entry'!$B$61="Probable")),"sx","")</f>
        <v/>
      </c>
      <c r="BR171" t="str">
        <f>IF(AND(BR$4='Data entry'!$R$61, OR('Data entry'!$B$61="Confirmed",'Data entry'!$B$61="Probable")),"sx","")</f>
        <v/>
      </c>
      <c r="BS171" t="str">
        <f>IF(AND(BS$4='Data entry'!$R$61, OR('Data entry'!$B$61="Confirmed",'Data entry'!$B$61="Probable")),"sx","")</f>
        <v/>
      </c>
      <c r="BT171" t="str">
        <f>IF(AND(BT$4='Data entry'!$R$61, OR('Data entry'!$B$61="Confirmed",'Data entry'!$B$61="Probable")),"sx","")</f>
        <v/>
      </c>
      <c r="BU171" t="str">
        <f>IF(AND(BU$4='Data entry'!$R$61, OR('Data entry'!$B$61="Confirmed",'Data entry'!$B$61="Probable")),"sx","")</f>
        <v/>
      </c>
      <c r="BV171" t="str">
        <f>IF(AND(BV$4='Data entry'!$R$61, OR('Data entry'!$B$61="Confirmed",'Data entry'!$B$61="Probable")),"sx","")</f>
        <v/>
      </c>
      <c r="BW171" t="str">
        <f>IF(AND(BW$4='Data entry'!$R$61, OR('Data entry'!$B$61="Confirmed",'Data entry'!$B$61="Probable")),"sx","")</f>
        <v/>
      </c>
      <c r="BX171" t="str">
        <f>IF(AND(BX$4='Data entry'!$R$61, OR('Data entry'!$B$61="Confirmed",'Data entry'!$B$61="Probable")),"sx","")</f>
        <v/>
      </c>
      <c r="BY171" t="str">
        <f>IF(AND(BY$4='Data entry'!$R$61, OR('Data entry'!$B$61="Confirmed",'Data entry'!$B$61="Probable")),"sx","")</f>
        <v/>
      </c>
      <c r="BZ171" t="str">
        <f>IF(AND(BZ$4='Data entry'!$R$61, OR('Data entry'!$B$61="Confirmed",'Data entry'!$B$61="Probable")),"sx","")</f>
        <v/>
      </c>
      <c r="CA171" t="str">
        <f>IF(AND(CA$4='Data entry'!$R$61, OR('Data entry'!$B$61="Confirmed",'Data entry'!$B$61="Probable")),"sx","")</f>
        <v/>
      </c>
      <c r="CB171" t="str">
        <f>IF(AND(CB$4='Data entry'!$R$61, OR('Data entry'!$B$61="Confirmed",'Data entry'!$B$61="Probable")),"sx","")</f>
        <v/>
      </c>
      <c r="CC171" t="str">
        <f>IF(AND(CC$4='Data entry'!$R$61, OR('Data entry'!$B$61="Confirmed",'Data entry'!$B$61="Probable")),"sx","")</f>
        <v/>
      </c>
    </row>
    <row r="172" spans="1:81" s="64" customFormat="1" ht="2.25" customHeight="1" thickBot="1" x14ac:dyDescent="0.25">
      <c r="A172" s="671"/>
      <c r="B172" s="672"/>
      <c r="C172" s="69"/>
    </row>
    <row r="173" spans="1:81" s="63" customFormat="1" ht="15.75" thickTop="1" x14ac:dyDescent="0.2">
      <c r="A173" s="670" t="str">
        <f>CONCATENATE('Data entry'!J62, " ", 'Data entry'!I62)</f>
        <v xml:space="preserve"> </v>
      </c>
      <c r="B173" s="670"/>
      <c r="C173" s="67"/>
    </row>
    <row r="174" spans="1:81" x14ac:dyDescent="0.2">
      <c r="A174" s="668" t="str">
        <f>CONCATENATE('Data entry'!B62, ", ", 'Data entry'!AO62, ", ", 'Data entry'!AR62)</f>
        <v xml:space="preserve">, , </v>
      </c>
      <c r="B174" s="668"/>
      <c r="C174" s="68"/>
      <c r="Q174" t="str">
        <f>IF(AND(Q$4='Data entry'!$R$62, OR('Data entry'!$B$62="Confirmed",'Data entry'!$B$62="Probable")),"sx","")</f>
        <v/>
      </c>
      <c r="R174" t="str">
        <f>IF(AND(R$4='Data entry'!$R$62, OR('Data entry'!$B$62="Confirmed",'Data entry'!$B$62="Probable")),"sx","")</f>
        <v/>
      </c>
      <c r="S174" t="str">
        <f>IF(AND(S$4='Data entry'!$R$62, OR('Data entry'!$B$62="Confirmed",'Data entry'!$B$62="Probable")),"sx","")</f>
        <v/>
      </c>
      <c r="T174" t="str">
        <f>IF(AND(T$4='Data entry'!$R$62, OR('Data entry'!$B$62="Confirmed",'Data entry'!$B$62="Probable")),"sx","")</f>
        <v/>
      </c>
      <c r="U174" t="str">
        <f>IF(AND(U$4='Data entry'!$R$62, OR('Data entry'!$B$62="Confirmed",'Data entry'!$B$62="Probable")),"sx","")</f>
        <v/>
      </c>
      <c r="V174" t="str">
        <f>IF(AND(V$4='Data entry'!$R$62, OR('Data entry'!$B$62="Confirmed",'Data entry'!$B$62="Probable")),"sx","")</f>
        <v/>
      </c>
      <c r="W174" t="str">
        <f>IF(AND(W$4='Data entry'!$R$62, OR('Data entry'!$B$62="Confirmed",'Data entry'!$B$62="Probable")),"sx","")</f>
        <v/>
      </c>
      <c r="X174" t="str">
        <f>IF(AND(X$4='Data entry'!$R$62, OR('Data entry'!$B$62="Confirmed",'Data entry'!$B$62="Probable")),"sx","")</f>
        <v/>
      </c>
      <c r="Y174" t="str">
        <f>IF(AND(Y$4='Data entry'!$R$62, OR('Data entry'!$B$62="Confirmed",'Data entry'!$B$62="Probable")),"sx","")</f>
        <v/>
      </c>
      <c r="Z174" t="str">
        <f>IF(AND(Z$4='Data entry'!$R$62, OR('Data entry'!$B$62="Confirmed",'Data entry'!$B$62="Probable")),"sx","")</f>
        <v/>
      </c>
      <c r="AA174" t="str">
        <f>IF(AND(AA$4='Data entry'!$R$62, OR('Data entry'!$B$62="Confirmed",'Data entry'!$B$62="Probable")),"sx","")</f>
        <v/>
      </c>
      <c r="AB174" t="str">
        <f>IF(AND(AB$4='Data entry'!$R$62, OR('Data entry'!$B$62="Confirmed",'Data entry'!$B$62="Probable")),"sx","")</f>
        <v/>
      </c>
      <c r="AC174" t="str">
        <f>IF(AND(AC$4='Data entry'!$R$62, OR('Data entry'!$B$62="Confirmed",'Data entry'!$B$62="Probable")),"sx","")</f>
        <v/>
      </c>
      <c r="AD174" t="str">
        <f>IF(AND(AD$4='Data entry'!$R$62, OR('Data entry'!$B$62="Confirmed",'Data entry'!$B$62="Probable")),"sx","")</f>
        <v/>
      </c>
      <c r="AE174" t="str">
        <f>IF(AND(AE$4='Data entry'!$R$62, OR('Data entry'!$B$62="Confirmed",'Data entry'!$B$62="Probable")),"sx","")</f>
        <v/>
      </c>
      <c r="AF174" t="str">
        <f>IF(AND(AF$4='Data entry'!$R$62, OR('Data entry'!$B$62="Confirmed",'Data entry'!$B$62="Probable")),"sx","")</f>
        <v/>
      </c>
      <c r="AG174" t="str">
        <f>IF(AND(AG$4='Data entry'!$R$62, OR('Data entry'!$B$62="Confirmed",'Data entry'!$B$62="Probable")),"sx","")</f>
        <v/>
      </c>
      <c r="AH174" t="str">
        <f>IF(AND(AH$4='Data entry'!$R$62, OR('Data entry'!$B$62="Confirmed",'Data entry'!$B$62="Probable")),"sx","")</f>
        <v/>
      </c>
      <c r="AI174" t="str">
        <f>IF(AND(AI$4='Data entry'!$R$62, OR('Data entry'!$B$62="Confirmed",'Data entry'!$B$62="Probable")),"sx","")</f>
        <v/>
      </c>
      <c r="AJ174" t="str">
        <f>IF(AND(AJ$4='Data entry'!$R$62, OR('Data entry'!$B$62="Confirmed",'Data entry'!$B$62="Probable")),"sx","")</f>
        <v/>
      </c>
      <c r="AK174" t="str">
        <f>IF(AND(AK$4='Data entry'!$R$62, OR('Data entry'!$B$62="Confirmed",'Data entry'!$B$62="Probable")),"sx","")</f>
        <v/>
      </c>
      <c r="AL174" t="str">
        <f>IF(AND(AL$4='Data entry'!$R$62, OR('Data entry'!$B$62="Confirmed",'Data entry'!$B$62="Probable")),"sx","")</f>
        <v/>
      </c>
      <c r="AM174" t="str">
        <f>IF(AND(AM$4='Data entry'!$R$62, OR('Data entry'!$B$62="Confirmed",'Data entry'!$B$62="Probable")),"sx","")</f>
        <v/>
      </c>
      <c r="AN174" t="str">
        <f>IF(AND(AN$4='Data entry'!$R$62, OR('Data entry'!$B$62="Confirmed",'Data entry'!$B$62="Probable")),"sx","")</f>
        <v/>
      </c>
      <c r="AO174" t="str">
        <f>IF(AND(AO$4='Data entry'!$R$62, OR('Data entry'!$B$62="Confirmed",'Data entry'!$B$62="Probable")),"sx","")</f>
        <v/>
      </c>
      <c r="AP174" t="str">
        <f>IF(AND(AP$4='Data entry'!$R$62, OR('Data entry'!$B$62="Confirmed",'Data entry'!$B$62="Probable")),"sx","")</f>
        <v/>
      </c>
      <c r="AQ174" t="str">
        <f>IF(AND(AQ$4='Data entry'!$R$62, OR('Data entry'!$B$62="Confirmed",'Data entry'!$B$62="Probable")),"sx","")</f>
        <v/>
      </c>
      <c r="AR174" t="str">
        <f>IF(AND(AR$4='Data entry'!$R$62, OR('Data entry'!$B$62="Confirmed",'Data entry'!$B$62="Probable")),"sx","")</f>
        <v/>
      </c>
      <c r="AS174" t="str">
        <f>IF(AND(AS$4='Data entry'!$R$62, OR('Data entry'!$B$62="Confirmed",'Data entry'!$B$62="Probable")),"sx","")</f>
        <v/>
      </c>
      <c r="AT174" t="str">
        <f>IF(AND(AT$4='Data entry'!$R$62, OR('Data entry'!$B$62="Confirmed",'Data entry'!$B$62="Probable")),"sx","")</f>
        <v/>
      </c>
      <c r="AU174" t="str">
        <f>IF(AND(AU$4='Data entry'!$R$62, OR('Data entry'!$B$62="Confirmed",'Data entry'!$B$62="Probable")),"sx","")</f>
        <v/>
      </c>
      <c r="AV174" t="str">
        <f>IF(AND(AV$4='Data entry'!$R$62, OR('Data entry'!$B$62="Confirmed",'Data entry'!$B$62="Probable")),"sx","")</f>
        <v/>
      </c>
      <c r="AW174" t="str">
        <f>IF(AND(AW$4='Data entry'!$R$62, OR('Data entry'!$B$62="Confirmed",'Data entry'!$B$62="Probable")),"sx","")</f>
        <v/>
      </c>
      <c r="AX174" t="str">
        <f>IF(AND(AX$4='Data entry'!$R$62, OR('Data entry'!$B$62="Confirmed",'Data entry'!$B$62="Probable")),"sx","")</f>
        <v/>
      </c>
      <c r="AY174" t="str">
        <f>IF(AND(AY$4='Data entry'!$R$62, OR('Data entry'!$B$62="Confirmed",'Data entry'!$B$62="Probable")),"sx","")</f>
        <v/>
      </c>
      <c r="AZ174" t="str">
        <f>IF(AND(AZ$4='Data entry'!$R$62, OR('Data entry'!$B$62="Confirmed",'Data entry'!$B$62="Probable")),"sx","")</f>
        <v/>
      </c>
      <c r="BA174" t="str">
        <f>IF(AND(BA$4='Data entry'!$R$62, OR('Data entry'!$B$62="Confirmed",'Data entry'!$B$62="Probable")),"sx","")</f>
        <v/>
      </c>
      <c r="BB174" t="str">
        <f>IF(AND(BB$4='Data entry'!$R$62, OR('Data entry'!$B$62="Confirmed",'Data entry'!$B$62="Probable")),"sx","")</f>
        <v/>
      </c>
      <c r="BC174" t="str">
        <f>IF(AND(BC$4='Data entry'!$R$62, OR('Data entry'!$B$62="Confirmed",'Data entry'!$B$62="Probable")),"sx","")</f>
        <v/>
      </c>
      <c r="BD174" t="str">
        <f>IF(AND(BD$4='Data entry'!$R$62, OR('Data entry'!$B$62="Confirmed",'Data entry'!$B$62="Probable")),"sx","")</f>
        <v/>
      </c>
      <c r="BE174" t="str">
        <f>IF(AND(BE$4='Data entry'!$R$62, OR('Data entry'!$B$62="Confirmed",'Data entry'!$B$62="Probable")),"sx","")</f>
        <v/>
      </c>
      <c r="BF174" t="str">
        <f>IF(AND(BF$4='Data entry'!$R$62, OR('Data entry'!$B$62="Confirmed",'Data entry'!$B$62="Probable")),"sx","")</f>
        <v/>
      </c>
      <c r="BG174" t="str">
        <f>IF(AND(BG$4='Data entry'!$R$62, OR('Data entry'!$B$62="Confirmed",'Data entry'!$B$62="Probable")),"sx","")</f>
        <v/>
      </c>
      <c r="BH174" t="str">
        <f>IF(AND(BH$4='Data entry'!$R$62, OR('Data entry'!$B$62="Confirmed",'Data entry'!$B$62="Probable")),"sx","")</f>
        <v/>
      </c>
      <c r="BI174" t="str">
        <f>IF(AND(BI$4='Data entry'!$R$62, OR('Data entry'!$B$62="Confirmed",'Data entry'!$B$62="Probable")),"sx","")</f>
        <v/>
      </c>
      <c r="BJ174" t="str">
        <f>IF(AND(BJ$4='Data entry'!$R$62, OR('Data entry'!$B$62="Confirmed",'Data entry'!$B$62="Probable")),"sx","")</f>
        <v/>
      </c>
      <c r="BK174" t="str">
        <f>IF(AND(BK$4='Data entry'!$R$62, OR('Data entry'!$B$62="Confirmed",'Data entry'!$B$62="Probable")),"sx","")</f>
        <v/>
      </c>
      <c r="BL174" t="str">
        <f>IF(AND(BL$4='Data entry'!$R$62, OR('Data entry'!$B$62="Confirmed",'Data entry'!$B$62="Probable")),"sx","")</f>
        <v/>
      </c>
      <c r="BM174" t="str">
        <f>IF(AND(BM$4='Data entry'!$R$62, OR('Data entry'!$B$62="Confirmed",'Data entry'!$B$62="Probable")),"sx","")</f>
        <v/>
      </c>
      <c r="BN174" t="str">
        <f>IF(AND(BN$4='Data entry'!$R$62, OR('Data entry'!$B$62="Confirmed",'Data entry'!$B$62="Probable")),"sx","")</f>
        <v/>
      </c>
      <c r="BO174" t="str">
        <f>IF(AND(BO$4='Data entry'!$R$62, OR('Data entry'!$B$62="Confirmed",'Data entry'!$B$62="Probable")),"sx","")</f>
        <v/>
      </c>
      <c r="BP174" t="str">
        <f>IF(AND(BP$4='Data entry'!$R$62, OR('Data entry'!$B$62="Confirmed",'Data entry'!$B$62="Probable")),"sx","")</f>
        <v/>
      </c>
      <c r="BQ174" t="str">
        <f>IF(AND(BQ$4='Data entry'!$R$62, OR('Data entry'!$B$62="Confirmed",'Data entry'!$B$62="Probable")),"sx","")</f>
        <v/>
      </c>
      <c r="BR174" t="str">
        <f>IF(AND(BR$4='Data entry'!$R$62, OR('Data entry'!$B$62="Confirmed",'Data entry'!$B$62="Probable")),"sx","")</f>
        <v/>
      </c>
      <c r="BS174" t="str">
        <f>IF(AND(BS$4='Data entry'!$R$62, OR('Data entry'!$B$62="Confirmed",'Data entry'!$B$62="Probable")),"sx","")</f>
        <v/>
      </c>
      <c r="BT174" t="str">
        <f>IF(AND(BT$4='Data entry'!$R$62, OR('Data entry'!$B$62="Confirmed",'Data entry'!$B$62="Probable")),"sx","")</f>
        <v/>
      </c>
      <c r="BU174" t="str">
        <f>IF(AND(BU$4='Data entry'!$R$62, OR('Data entry'!$B$62="Confirmed",'Data entry'!$B$62="Probable")),"sx","")</f>
        <v/>
      </c>
      <c r="BV174" t="str">
        <f>IF(AND(BV$4='Data entry'!$R$62, OR('Data entry'!$B$62="Confirmed",'Data entry'!$B$62="Probable")),"sx","")</f>
        <v/>
      </c>
      <c r="BW174" t="str">
        <f>IF(AND(BW$4='Data entry'!$R$62, OR('Data entry'!$B$62="Confirmed",'Data entry'!$B$62="Probable")),"sx","")</f>
        <v/>
      </c>
      <c r="BX174" t="str">
        <f>IF(AND(BX$4='Data entry'!$R$62, OR('Data entry'!$B$62="Confirmed",'Data entry'!$B$62="Probable")),"sx","")</f>
        <v/>
      </c>
      <c r="BY174" t="str">
        <f>IF(AND(BY$4='Data entry'!$R$62, OR('Data entry'!$B$62="Confirmed",'Data entry'!$B$62="Probable")),"sx","")</f>
        <v/>
      </c>
      <c r="BZ174" t="str">
        <f>IF(AND(BZ$4='Data entry'!$R$62, OR('Data entry'!$B$62="Confirmed",'Data entry'!$B$62="Probable")),"sx","")</f>
        <v/>
      </c>
      <c r="CA174" t="str">
        <f>IF(AND(CA$4='Data entry'!$R$62, OR('Data entry'!$B$62="Confirmed",'Data entry'!$B$62="Probable")),"sx","")</f>
        <v/>
      </c>
      <c r="CB174" t="str">
        <f>IF(AND(CB$4='Data entry'!$R$62, OR('Data entry'!$B$62="Confirmed",'Data entry'!$B$62="Probable")),"sx","")</f>
        <v/>
      </c>
      <c r="CC174" t="str">
        <f>IF(AND(CC$4='Data entry'!$R$62, OR('Data entry'!$B$62="Confirmed",'Data entry'!$B$62="Probable")),"sx","")</f>
        <v/>
      </c>
    </row>
    <row r="175" spans="1:81" s="64" customFormat="1" ht="2.25" customHeight="1" thickBot="1" x14ac:dyDescent="0.25">
      <c r="A175" s="671"/>
      <c r="B175" s="672"/>
      <c r="C175" s="69"/>
    </row>
    <row r="176" spans="1:81" s="63" customFormat="1" ht="15.75" thickTop="1" x14ac:dyDescent="0.2">
      <c r="A176" s="670" t="str">
        <f>CONCATENATE('Data entry'!J63, " ", 'Data entry'!I63)</f>
        <v xml:space="preserve"> </v>
      </c>
      <c r="B176" s="670"/>
      <c r="C176" s="67"/>
    </row>
    <row r="177" spans="1:81" x14ac:dyDescent="0.2">
      <c r="A177" s="668" t="str">
        <f>CONCATENATE('Data entry'!B63, ", ", 'Data entry'!AO63, ", ", 'Data entry'!AR63)</f>
        <v xml:space="preserve">, , </v>
      </c>
      <c r="B177" s="668"/>
      <c r="C177" s="68"/>
      <c r="Q177" t="str">
        <f>IF(AND(Q$4='Data entry'!$R$63, OR('Data entry'!$B$63="Confirmed",'Data entry'!$B$63="Probable")),"sx","")</f>
        <v/>
      </c>
      <c r="R177" t="str">
        <f>IF(AND(R$4='Data entry'!$R$63, OR('Data entry'!$B$63="Confirmed",'Data entry'!$B$63="Probable")),"sx","")</f>
        <v/>
      </c>
      <c r="S177" t="str">
        <f>IF(AND(S$4='Data entry'!$R$63, OR('Data entry'!$B$63="Confirmed",'Data entry'!$B$63="Probable")),"sx","")</f>
        <v/>
      </c>
      <c r="T177" t="str">
        <f>IF(AND(T$4='Data entry'!$R$63, OR('Data entry'!$B$63="Confirmed",'Data entry'!$B$63="Probable")),"sx","")</f>
        <v/>
      </c>
      <c r="U177" t="str">
        <f>IF(AND(U$4='Data entry'!$R$63, OR('Data entry'!$B$63="Confirmed",'Data entry'!$B$63="Probable")),"sx","")</f>
        <v/>
      </c>
      <c r="V177" t="str">
        <f>IF(AND(V$4='Data entry'!$R$63, OR('Data entry'!$B$63="Confirmed",'Data entry'!$B$63="Probable")),"sx","")</f>
        <v/>
      </c>
      <c r="W177" t="str">
        <f>IF(AND(W$4='Data entry'!$R$63, OR('Data entry'!$B$63="Confirmed",'Data entry'!$B$63="Probable")),"sx","")</f>
        <v/>
      </c>
      <c r="X177" t="str">
        <f>IF(AND(X$4='Data entry'!$R$63, OR('Data entry'!$B$63="Confirmed",'Data entry'!$B$63="Probable")),"sx","")</f>
        <v/>
      </c>
      <c r="Y177" t="str">
        <f>IF(AND(Y$4='Data entry'!$R$63, OR('Data entry'!$B$63="Confirmed",'Data entry'!$B$63="Probable")),"sx","")</f>
        <v/>
      </c>
      <c r="Z177" t="str">
        <f>IF(AND(Z$4='Data entry'!$R$63, OR('Data entry'!$B$63="Confirmed",'Data entry'!$B$63="Probable")),"sx","")</f>
        <v/>
      </c>
      <c r="AA177" t="str">
        <f>IF(AND(AA$4='Data entry'!$R$63, OR('Data entry'!$B$63="Confirmed",'Data entry'!$B$63="Probable")),"sx","")</f>
        <v/>
      </c>
      <c r="AB177" t="str">
        <f>IF(AND(AB$4='Data entry'!$R$63, OR('Data entry'!$B$63="Confirmed",'Data entry'!$B$63="Probable")),"sx","")</f>
        <v/>
      </c>
      <c r="AC177" t="str">
        <f>IF(AND(AC$4='Data entry'!$R$63, OR('Data entry'!$B$63="Confirmed",'Data entry'!$B$63="Probable")),"sx","")</f>
        <v/>
      </c>
      <c r="AD177" t="str">
        <f>IF(AND(AD$4='Data entry'!$R$63, OR('Data entry'!$B$63="Confirmed",'Data entry'!$B$63="Probable")),"sx","")</f>
        <v/>
      </c>
      <c r="AE177" t="str">
        <f>IF(AND(AE$4='Data entry'!$R$63, OR('Data entry'!$B$63="Confirmed",'Data entry'!$B$63="Probable")),"sx","")</f>
        <v/>
      </c>
      <c r="AF177" t="str">
        <f>IF(AND(AF$4='Data entry'!$R$63, OR('Data entry'!$B$63="Confirmed",'Data entry'!$B$63="Probable")),"sx","")</f>
        <v/>
      </c>
      <c r="AG177" t="str">
        <f>IF(AND(AG$4='Data entry'!$R$63, OR('Data entry'!$B$63="Confirmed",'Data entry'!$B$63="Probable")),"sx","")</f>
        <v/>
      </c>
      <c r="AH177" t="str">
        <f>IF(AND(AH$4='Data entry'!$R$63, OR('Data entry'!$B$63="Confirmed",'Data entry'!$B$63="Probable")),"sx","")</f>
        <v/>
      </c>
      <c r="AI177" t="str">
        <f>IF(AND(AI$4='Data entry'!$R$63, OR('Data entry'!$B$63="Confirmed",'Data entry'!$B$63="Probable")),"sx","")</f>
        <v/>
      </c>
      <c r="AJ177" t="str">
        <f>IF(AND(AJ$4='Data entry'!$R$63, OR('Data entry'!$B$63="Confirmed",'Data entry'!$B$63="Probable")),"sx","")</f>
        <v/>
      </c>
      <c r="AK177" t="str">
        <f>IF(AND(AK$4='Data entry'!$R$63, OR('Data entry'!$B$63="Confirmed",'Data entry'!$B$63="Probable")),"sx","")</f>
        <v/>
      </c>
      <c r="AL177" t="str">
        <f>IF(AND(AL$4='Data entry'!$R$63, OR('Data entry'!$B$63="Confirmed",'Data entry'!$B$63="Probable")),"sx","")</f>
        <v/>
      </c>
      <c r="AM177" t="str">
        <f>IF(AND(AM$4='Data entry'!$R$63, OR('Data entry'!$B$63="Confirmed",'Data entry'!$B$63="Probable")),"sx","")</f>
        <v/>
      </c>
      <c r="AN177" t="str">
        <f>IF(AND(AN$4='Data entry'!$R$63, OR('Data entry'!$B$63="Confirmed",'Data entry'!$B$63="Probable")),"sx","")</f>
        <v/>
      </c>
      <c r="AO177" t="str">
        <f>IF(AND(AO$4='Data entry'!$R$63, OR('Data entry'!$B$63="Confirmed",'Data entry'!$B$63="Probable")),"sx","")</f>
        <v/>
      </c>
      <c r="AP177" t="str">
        <f>IF(AND(AP$4='Data entry'!$R$63, OR('Data entry'!$B$63="Confirmed",'Data entry'!$B$63="Probable")),"sx","")</f>
        <v/>
      </c>
      <c r="AQ177" t="str">
        <f>IF(AND(AQ$4='Data entry'!$R$63, OR('Data entry'!$B$63="Confirmed",'Data entry'!$B$63="Probable")),"sx","")</f>
        <v/>
      </c>
      <c r="AR177" t="str">
        <f>IF(AND(AR$4='Data entry'!$R$63, OR('Data entry'!$B$63="Confirmed",'Data entry'!$B$63="Probable")),"sx","")</f>
        <v/>
      </c>
      <c r="AS177" t="str">
        <f>IF(AND(AS$4='Data entry'!$R$63, OR('Data entry'!$B$63="Confirmed",'Data entry'!$B$63="Probable")),"sx","")</f>
        <v/>
      </c>
      <c r="AT177" t="str">
        <f>IF(AND(AT$4='Data entry'!$R$63, OR('Data entry'!$B$63="Confirmed",'Data entry'!$B$63="Probable")),"sx","")</f>
        <v/>
      </c>
      <c r="AU177" t="str">
        <f>IF(AND(AU$4='Data entry'!$R$63, OR('Data entry'!$B$63="Confirmed",'Data entry'!$B$63="Probable")),"sx","")</f>
        <v/>
      </c>
      <c r="AV177" t="str">
        <f>IF(AND(AV$4='Data entry'!$R$63, OR('Data entry'!$B$63="Confirmed",'Data entry'!$B$63="Probable")),"sx","")</f>
        <v/>
      </c>
      <c r="AW177" t="str">
        <f>IF(AND(AW$4='Data entry'!$R$63, OR('Data entry'!$B$63="Confirmed",'Data entry'!$B$63="Probable")),"sx","")</f>
        <v/>
      </c>
      <c r="AX177" t="str">
        <f>IF(AND(AX$4='Data entry'!$R$63, OR('Data entry'!$B$63="Confirmed",'Data entry'!$B$63="Probable")),"sx","")</f>
        <v/>
      </c>
      <c r="AY177" t="str">
        <f>IF(AND(AY$4='Data entry'!$R$63, OR('Data entry'!$B$63="Confirmed",'Data entry'!$B$63="Probable")),"sx","")</f>
        <v/>
      </c>
      <c r="AZ177" t="str">
        <f>IF(AND(AZ$4='Data entry'!$R$63, OR('Data entry'!$B$63="Confirmed",'Data entry'!$B$63="Probable")),"sx","")</f>
        <v/>
      </c>
      <c r="BA177" t="str">
        <f>IF(AND(BA$4='Data entry'!$R$63, OR('Data entry'!$B$63="Confirmed",'Data entry'!$B$63="Probable")),"sx","")</f>
        <v/>
      </c>
      <c r="BB177" t="str">
        <f>IF(AND(BB$4='Data entry'!$R$63, OR('Data entry'!$B$63="Confirmed",'Data entry'!$B$63="Probable")),"sx","")</f>
        <v/>
      </c>
      <c r="BC177" t="str">
        <f>IF(AND(BC$4='Data entry'!$R$63, OR('Data entry'!$B$63="Confirmed",'Data entry'!$B$63="Probable")),"sx","")</f>
        <v/>
      </c>
      <c r="BD177" t="str">
        <f>IF(AND(BD$4='Data entry'!$R$63, OR('Data entry'!$B$63="Confirmed",'Data entry'!$B$63="Probable")),"sx","")</f>
        <v/>
      </c>
      <c r="BE177" t="str">
        <f>IF(AND(BE$4='Data entry'!$R$63, OR('Data entry'!$B$63="Confirmed",'Data entry'!$B$63="Probable")),"sx","")</f>
        <v/>
      </c>
      <c r="BF177" t="str">
        <f>IF(AND(BF$4='Data entry'!$R$63, OR('Data entry'!$B$63="Confirmed",'Data entry'!$B$63="Probable")),"sx","")</f>
        <v/>
      </c>
      <c r="BG177" t="str">
        <f>IF(AND(BG$4='Data entry'!$R$63, OR('Data entry'!$B$63="Confirmed",'Data entry'!$B$63="Probable")),"sx","")</f>
        <v/>
      </c>
      <c r="BH177" t="str">
        <f>IF(AND(BH$4='Data entry'!$R$63, OR('Data entry'!$B$63="Confirmed",'Data entry'!$B$63="Probable")),"sx","")</f>
        <v/>
      </c>
      <c r="BI177" t="str">
        <f>IF(AND(BI$4='Data entry'!$R$63, OR('Data entry'!$B$63="Confirmed",'Data entry'!$B$63="Probable")),"sx","")</f>
        <v/>
      </c>
      <c r="BJ177" t="str">
        <f>IF(AND(BJ$4='Data entry'!$R$63, OR('Data entry'!$B$63="Confirmed",'Data entry'!$B$63="Probable")),"sx","")</f>
        <v/>
      </c>
      <c r="BK177" t="str">
        <f>IF(AND(BK$4='Data entry'!$R$63, OR('Data entry'!$B$63="Confirmed",'Data entry'!$B$63="Probable")),"sx","")</f>
        <v/>
      </c>
      <c r="BL177" t="str">
        <f>IF(AND(BL$4='Data entry'!$R$63, OR('Data entry'!$B$63="Confirmed",'Data entry'!$B$63="Probable")),"sx","")</f>
        <v/>
      </c>
      <c r="BM177" t="str">
        <f>IF(AND(BM$4='Data entry'!$R$63, OR('Data entry'!$B$63="Confirmed",'Data entry'!$B$63="Probable")),"sx","")</f>
        <v/>
      </c>
      <c r="BN177" t="str">
        <f>IF(AND(BN$4='Data entry'!$R$63, OR('Data entry'!$B$63="Confirmed",'Data entry'!$B$63="Probable")),"sx","")</f>
        <v/>
      </c>
      <c r="BO177" t="str">
        <f>IF(AND(BO$4='Data entry'!$R$63, OR('Data entry'!$B$63="Confirmed",'Data entry'!$B$63="Probable")),"sx","")</f>
        <v/>
      </c>
      <c r="BP177" t="str">
        <f>IF(AND(BP$4='Data entry'!$R$63, OR('Data entry'!$B$63="Confirmed",'Data entry'!$B$63="Probable")),"sx","")</f>
        <v/>
      </c>
      <c r="BQ177" t="str">
        <f>IF(AND(BQ$4='Data entry'!$R$63, OR('Data entry'!$B$63="Confirmed",'Data entry'!$B$63="Probable")),"sx","")</f>
        <v/>
      </c>
      <c r="BR177" t="str">
        <f>IF(AND(BR$4='Data entry'!$R$63, OR('Data entry'!$B$63="Confirmed",'Data entry'!$B$63="Probable")),"sx","")</f>
        <v/>
      </c>
      <c r="BS177" t="str">
        <f>IF(AND(BS$4='Data entry'!$R$63, OR('Data entry'!$B$63="Confirmed",'Data entry'!$B$63="Probable")),"sx","")</f>
        <v/>
      </c>
      <c r="BT177" t="str">
        <f>IF(AND(BT$4='Data entry'!$R$63, OR('Data entry'!$B$63="Confirmed",'Data entry'!$B$63="Probable")),"sx","")</f>
        <v/>
      </c>
      <c r="BU177" t="str">
        <f>IF(AND(BU$4='Data entry'!$R$63, OR('Data entry'!$B$63="Confirmed",'Data entry'!$B$63="Probable")),"sx","")</f>
        <v/>
      </c>
      <c r="BV177" t="str">
        <f>IF(AND(BV$4='Data entry'!$R$63, OR('Data entry'!$B$63="Confirmed",'Data entry'!$B$63="Probable")),"sx","")</f>
        <v/>
      </c>
      <c r="BW177" t="str">
        <f>IF(AND(BW$4='Data entry'!$R$63, OR('Data entry'!$B$63="Confirmed",'Data entry'!$B$63="Probable")),"sx","")</f>
        <v/>
      </c>
      <c r="BX177" t="str">
        <f>IF(AND(BX$4='Data entry'!$R$63, OR('Data entry'!$B$63="Confirmed",'Data entry'!$B$63="Probable")),"sx","")</f>
        <v/>
      </c>
      <c r="BY177" t="str">
        <f>IF(AND(BY$4='Data entry'!$R$63, OR('Data entry'!$B$63="Confirmed",'Data entry'!$B$63="Probable")),"sx","")</f>
        <v/>
      </c>
      <c r="BZ177" t="str">
        <f>IF(AND(BZ$4='Data entry'!$R$63, OR('Data entry'!$B$63="Confirmed",'Data entry'!$B$63="Probable")),"sx","")</f>
        <v/>
      </c>
      <c r="CA177" t="str">
        <f>IF(AND(CA$4='Data entry'!$R$63, OR('Data entry'!$B$63="Confirmed",'Data entry'!$B$63="Probable")),"sx","")</f>
        <v/>
      </c>
      <c r="CB177" t="str">
        <f>IF(AND(CB$4='Data entry'!$R$63, OR('Data entry'!$B$63="Confirmed",'Data entry'!$B$63="Probable")),"sx","")</f>
        <v/>
      </c>
      <c r="CC177" t="str">
        <f>IF(AND(CC$4='Data entry'!$R$63, OR('Data entry'!$B$63="Confirmed",'Data entry'!$B$63="Probable")),"sx","")</f>
        <v/>
      </c>
    </row>
    <row r="178" spans="1:81" s="64" customFormat="1" ht="2.25" customHeight="1" thickBot="1" x14ac:dyDescent="0.25">
      <c r="A178" s="671"/>
      <c r="B178" s="672"/>
      <c r="C178" s="69"/>
    </row>
    <row r="179" spans="1:81" s="63" customFormat="1" ht="15.75" thickTop="1" x14ac:dyDescent="0.2">
      <c r="A179" s="670" t="str">
        <f>CONCATENATE('Data entry'!J64, " ", 'Data entry'!I64)</f>
        <v xml:space="preserve"> </v>
      </c>
      <c r="B179" s="670"/>
      <c r="C179" s="67"/>
    </row>
    <row r="180" spans="1:81" x14ac:dyDescent="0.2">
      <c r="A180" s="668" t="str">
        <f>CONCATENATE('Data entry'!B64, ", ", 'Data entry'!AO64, ", ", 'Data entry'!AR64)</f>
        <v xml:space="preserve">, , </v>
      </c>
      <c r="B180" s="668"/>
      <c r="C180" s="68"/>
      <c r="Q180" t="str">
        <f>IF(AND(Q$4='Data entry'!$R$64, OR('Data entry'!$B$64="Confirmed",'Data entry'!$B$64="Probable")),"sx","")</f>
        <v/>
      </c>
      <c r="R180" t="str">
        <f>IF(AND(R$4='Data entry'!$R$64, OR('Data entry'!$B$64="Confirmed",'Data entry'!$B$64="Probable")),"sx","")</f>
        <v/>
      </c>
      <c r="S180" t="str">
        <f>IF(AND(S$4='Data entry'!$R$64, OR('Data entry'!$B$64="Confirmed",'Data entry'!$B$64="Probable")),"sx","")</f>
        <v/>
      </c>
      <c r="T180" t="str">
        <f>IF(AND(T$4='Data entry'!$R$64, OR('Data entry'!$B$64="Confirmed",'Data entry'!$B$64="Probable")),"sx","")</f>
        <v/>
      </c>
      <c r="U180" t="str">
        <f>IF(AND(U$4='Data entry'!$R$64, OR('Data entry'!$B$64="Confirmed",'Data entry'!$B$64="Probable")),"sx","")</f>
        <v/>
      </c>
      <c r="V180" t="str">
        <f>IF(AND(V$4='Data entry'!$R$64, OR('Data entry'!$B$64="Confirmed",'Data entry'!$B$64="Probable")),"sx","")</f>
        <v/>
      </c>
      <c r="W180" t="str">
        <f>IF(AND(W$4='Data entry'!$R$64, OR('Data entry'!$B$64="Confirmed",'Data entry'!$B$64="Probable")),"sx","")</f>
        <v/>
      </c>
      <c r="X180" t="str">
        <f>IF(AND(X$4='Data entry'!$R$64, OR('Data entry'!$B$64="Confirmed",'Data entry'!$B$64="Probable")),"sx","")</f>
        <v/>
      </c>
      <c r="Y180" t="str">
        <f>IF(AND(Y$4='Data entry'!$R$64, OR('Data entry'!$B$64="Confirmed",'Data entry'!$B$64="Probable")),"sx","")</f>
        <v/>
      </c>
      <c r="Z180" t="str">
        <f>IF(AND(Z$4='Data entry'!$R$64, OR('Data entry'!$B$64="Confirmed",'Data entry'!$B$64="Probable")),"sx","")</f>
        <v/>
      </c>
      <c r="AA180" t="str">
        <f>IF(AND(AA$4='Data entry'!$R$64, OR('Data entry'!$B$64="Confirmed",'Data entry'!$B$64="Probable")),"sx","")</f>
        <v/>
      </c>
      <c r="AB180" t="str">
        <f>IF(AND(AB$4='Data entry'!$R$64, OR('Data entry'!$B$64="Confirmed",'Data entry'!$B$64="Probable")),"sx","")</f>
        <v/>
      </c>
      <c r="AC180" t="str">
        <f>IF(AND(AC$4='Data entry'!$R$64, OR('Data entry'!$B$64="Confirmed",'Data entry'!$B$64="Probable")),"sx","")</f>
        <v/>
      </c>
      <c r="AD180" t="str">
        <f>IF(AND(AD$4='Data entry'!$R$64, OR('Data entry'!$B$64="Confirmed",'Data entry'!$B$64="Probable")),"sx","")</f>
        <v/>
      </c>
      <c r="AE180" t="str">
        <f>IF(AND(AE$4='Data entry'!$R$64, OR('Data entry'!$B$64="Confirmed",'Data entry'!$B$64="Probable")),"sx","")</f>
        <v/>
      </c>
      <c r="AF180" t="str">
        <f>IF(AND(AF$4='Data entry'!$R$64, OR('Data entry'!$B$64="Confirmed",'Data entry'!$B$64="Probable")),"sx","")</f>
        <v/>
      </c>
      <c r="AG180" t="str">
        <f>IF(AND(AG$4='Data entry'!$R$64, OR('Data entry'!$B$64="Confirmed",'Data entry'!$B$64="Probable")),"sx","")</f>
        <v/>
      </c>
      <c r="AH180" t="str">
        <f>IF(AND(AH$4='Data entry'!$R$64, OR('Data entry'!$B$64="Confirmed",'Data entry'!$B$64="Probable")),"sx","")</f>
        <v/>
      </c>
      <c r="AI180" t="str">
        <f>IF(AND(AI$4='Data entry'!$R$64, OR('Data entry'!$B$64="Confirmed",'Data entry'!$B$64="Probable")),"sx","")</f>
        <v/>
      </c>
      <c r="AJ180" t="str">
        <f>IF(AND(AJ$4='Data entry'!$R$64, OR('Data entry'!$B$64="Confirmed",'Data entry'!$B$64="Probable")),"sx","")</f>
        <v/>
      </c>
      <c r="AK180" t="str">
        <f>IF(AND(AK$4='Data entry'!$R$64, OR('Data entry'!$B$64="Confirmed",'Data entry'!$B$64="Probable")),"sx","")</f>
        <v/>
      </c>
      <c r="AL180" t="str">
        <f>IF(AND(AL$4='Data entry'!$R$64, OR('Data entry'!$B$64="Confirmed",'Data entry'!$B$64="Probable")),"sx","")</f>
        <v/>
      </c>
      <c r="AM180" t="str">
        <f>IF(AND(AM$4='Data entry'!$R$64, OR('Data entry'!$B$64="Confirmed",'Data entry'!$B$64="Probable")),"sx","")</f>
        <v/>
      </c>
      <c r="AN180" t="str">
        <f>IF(AND(AN$4='Data entry'!$R$64, OR('Data entry'!$B$64="Confirmed",'Data entry'!$B$64="Probable")),"sx","")</f>
        <v/>
      </c>
      <c r="AO180" t="str">
        <f>IF(AND(AO$4='Data entry'!$R$64, OR('Data entry'!$B$64="Confirmed",'Data entry'!$B$64="Probable")),"sx","")</f>
        <v/>
      </c>
      <c r="AP180" t="str">
        <f>IF(AND(AP$4='Data entry'!$R$64, OR('Data entry'!$B$64="Confirmed",'Data entry'!$B$64="Probable")),"sx","")</f>
        <v/>
      </c>
      <c r="AQ180" t="str">
        <f>IF(AND(AQ$4='Data entry'!$R$64, OR('Data entry'!$B$64="Confirmed",'Data entry'!$B$64="Probable")),"sx","")</f>
        <v/>
      </c>
      <c r="AR180" t="str">
        <f>IF(AND(AR$4='Data entry'!$R$64, OR('Data entry'!$B$64="Confirmed",'Data entry'!$B$64="Probable")),"sx","")</f>
        <v/>
      </c>
      <c r="AS180" t="str">
        <f>IF(AND(AS$4='Data entry'!$R$64, OR('Data entry'!$B$64="Confirmed",'Data entry'!$B$64="Probable")),"sx","")</f>
        <v/>
      </c>
      <c r="AT180" t="str">
        <f>IF(AND(AT$4='Data entry'!$R$64, OR('Data entry'!$B$64="Confirmed",'Data entry'!$B$64="Probable")),"sx","")</f>
        <v/>
      </c>
      <c r="AU180" t="str">
        <f>IF(AND(AU$4='Data entry'!$R$64, OR('Data entry'!$B$64="Confirmed",'Data entry'!$B$64="Probable")),"sx","")</f>
        <v/>
      </c>
      <c r="AV180" t="str">
        <f>IF(AND(AV$4='Data entry'!$R$64, OR('Data entry'!$B$64="Confirmed",'Data entry'!$B$64="Probable")),"sx","")</f>
        <v/>
      </c>
      <c r="AW180" t="str">
        <f>IF(AND(AW$4='Data entry'!$R$64, OR('Data entry'!$B$64="Confirmed",'Data entry'!$B$64="Probable")),"sx","")</f>
        <v/>
      </c>
      <c r="AX180" t="str">
        <f>IF(AND(AX$4='Data entry'!$R$64, OR('Data entry'!$B$64="Confirmed",'Data entry'!$B$64="Probable")),"sx","")</f>
        <v/>
      </c>
      <c r="AY180" t="str">
        <f>IF(AND(AY$4='Data entry'!$R$64, OR('Data entry'!$B$64="Confirmed",'Data entry'!$B$64="Probable")),"sx","")</f>
        <v/>
      </c>
      <c r="AZ180" t="str">
        <f>IF(AND(AZ$4='Data entry'!$R$64, OR('Data entry'!$B$64="Confirmed",'Data entry'!$B$64="Probable")),"sx","")</f>
        <v/>
      </c>
      <c r="BA180" t="str">
        <f>IF(AND(BA$4='Data entry'!$R$64, OR('Data entry'!$B$64="Confirmed",'Data entry'!$B$64="Probable")),"sx","")</f>
        <v/>
      </c>
      <c r="BB180" t="str">
        <f>IF(AND(BB$4='Data entry'!$R$64, OR('Data entry'!$B$64="Confirmed",'Data entry'!$B$64="Probable")),"sx","")</f>
        <v/>
      </c>
      <c r="BC180" t="str">
        <f>IF(AND(BC$4='Data entry'!$R$64, OR('Data entry'!$B$64="Confirmed",'Data entry'!$B$64="Probable")),"sx","")</f>
        <v/>
      </c>
      <c r="BD180" t="str">
        <f>IF(AND(BD$4='Data entry'!$R$64, OR('Data entry'!$B$64="Confirmed",'Data entry'!$B$64="Probable")),"sx","")</f>
        <v/>
      </c>
      <c r="BE180" t="str">
        <f>IF(AND(BE$4='Data entry'!$R$64, OR('Data entry'!$B$64="Confirmed",'Data entry'!$B$64="Probable")),"sx","")</f>
        <v/>
      </c>
      <c r="BF180" t="str">
        <f>IF(AND(BF$4='Data entry'!$R$64, OR('Data entry'!$B$64="Confirmed",'Data entry'!$B$64="Probable")),"sx","")</f>
        <v/>
      </c>
      <c r="BG180" t="str">
        <f>IF(AND(BG$4='Data entry'!$R$64, OR('Data entry'!$B$64="Confirmed",'Data entry'!$B$64="Probable")),"sx","")</f>
        <v/>
      </c>
      <c r="BH180" t="str">
        <f>IF(AND(BH$4='Data entry'!$R$64, OR('Data entry'!$B$64="Confirmed",'Data entry'!$B$64="Probable")),"sx","")</f>
        <v/>
      </c>
      <c r="BI180" t="str">
        <f>IF(AND(BI$4='Data entry'!$R$64, OR('Data entry'!$B$64="Confirmed",'Data entry'!$B$64="Probable")),"sx","")</f>
        <v/>
      </c>
      <c r="BJ180" t="str">
        <f>IF(AND(BJ$4='Data entry'!$R$64, OR('Data entry'!$B$64="Confirmed",'Data entry'!$B$64="Probable")),"sx","")</f>
        <v/>
      </c>
      <c r="BK180" t="str">
        <f>IF(AND(BK$4='Data entry'!$R$64, OR('Data entry'!$B$64="Confirmed",'Data entry'!$B$64="Probable")),"sx","")</f>
        <v/>
      </c>
      <c r="BL180" t="str">
        <f>IF(AND(BL$4='Data entry'!$R$64, OR('Data entry'!$B$64="Confirmed",'Data entry'!$B$64="Probable")),"sx","")</f>
        <v/>
      </c>
      <c r="BM180" t="str">
        <f>IF(AND(BM$4='Data entry'!$R$64, OR('Data entry'!$B$64="Confirmed",'Data entry'!$B$64="Probable")),"sx","")</f>
        <v/>
      </c>
      <c r="BN180" t="str">
        <f>IF(AND(BN$4='Data entry'!$R$64, OR('Data entry'!$B$64="Confirmed",'Data entry'!$B$64="Probable")),"sx","")</f>
        <v/>
      </c>
      <c r="BO180" t="str">
        <f>IF(AND(BO$4='Data entry'!$R$64, OR('Data entry'!$B$64="Confirmed",'Data entry'!$B$64="Probable")),"sx","")</f>
        <v/>
      </c>
      <c r="BP180" t="str">
        <f>IF(AND(BP$4='Data entry'!$R$64, OR('Data entry'!$B$64="Confirmed",'Data entry'!$B$64="Probable")),"sx","")</f>
        <v/>
      </c>
      <c r="BQ180" t="str">
        <f>IF(AND(BQ$4='Data entry'!$R$64, OR('Data entry'!$B$64="Confirmed",'Data entry'!$B$64="Probable")),"sx","")</f>
        <v/>
      </c>
      <c r="BR180" t="str">
        <f>IF(AND(BR$4='Data entry'!$R$64, OR('Data entry'!$B$64="Confirmed",'Data entry'!$B$64="Probable")),"sx","")</f>
        <v/>
      </c>
      <c r="BS180" t="str">
        <f>IF(AND(BS$4='Data entry'!$R$64, OR('Data entry'!$B$64="Confirmed",'Data entry'!$B$64="Probable")),"sx","")</f>
        <v/>
      </c>
      <c r="BT180" t="str">
        <f>IF(AND(BT$4='Data entry'!$R$64, OR('Data entry'!$B$64="Confirmed",'Data entry'!$B$64="Probable")),"sx","")</f>
        <v/>
      </c>
      <c r="BU180" t="str">
        <f>IF(AND(BU$4='Data entry'!$R$64, OR('Data entry'!$B$64="Confirmed",'Data entry'!$B$64="Probable")),"sx","")</f>
        <v/>
      </c>
      <c r="BV180" t="str">
        <f>IF(AND(BV$4='Data entry'!$R$64, OR('Data entry'!$B$64="Confirmed",'Data entry'!$B$64="Probable")),"sx","")</f>
        <v/>
      </c>
      <c r="BW180" t="str">
        <f>IF(AND(BW$4='Data entry'!$R$64, OR('Data entry'!$B$64="Confirmed",'Data entry'!$B$64="Probable")),"sx","")</f>
        <v/>
      </c>
      <c r="BX180" t="str">
        <f>IF(AND(BX$4='Data entry'!$R$64, OR('Data entry'!$B$64="Confirmed",'Data entry'!$B$64="Probable")),"sx","")</f>
        <v/>
      </c>
      <c r="BY180" t="str">
        <f>IF(AND(BY$4='Data entry'!$R$64, OR('Data entry'!$B$64="Confirmed",'Data entry'!$B$64="Probable")),"sx","")</f>
        <v/>
      </c>
      <c r="BZ180" t="str">
        <f>IF(AND(BZ$4='Data entry'!$R$64, OR('Data entry'!$B$64="Confirmed",'Data entry'!$B$64="Probable")),"sx","")</f>
        <v/>
      </c>
      <c r="CA180" t="str">
        <f>IF(AND(CA$4='Data entry'!$R$64, OR('Data entry'!$B$64="Confirmed",'Data entry'!$B$64="Probable")),"sx","")</f>
        <v/>
      </c>
      <c r="CB180" t="str">
        <f>IF(AND(CB$4='Data entry'!$R$64, OR('Data entry'!$B$64="Confirmed",'Data entry'!$B$64="Probable")),"sx","")</f>
        <v/>
      </c>
      <c r="CC180" t="str">
        <f>IF(AND(CC$4='Data entry'!$R$64, OR('Data entry'!$B$64="Confirmed",'Data entry'!$B$64="Probable")),"sx","")</f>
        <v/>
      </c>
    </row>
    <row r="181" spans="1:81" s="64" customFormat="1" ht="2.25" customHeight="1" thickBot="1" x14ac:dyDescent="0.25">
      <c r="A181" s="671"/>
      <c r="B181" s="672"/>
      <c r="C181" s="69"/>
    </row>
    <row r="182" spans="1:81" s="63" customFormat="1" ht="15.75" thickTop="1" x14ac:dyDescent="0.2">
      <c r="A182" s="670" t="str">
        <f>CONCATENATE('Data entry'!J65, " ", 'Data entry'!I65)</f>
        <v xml:space="preserve"> </v>
      </c>
      <c r="B182" s="670"/>
      <c r="C182" s="67"/>
    </row>
    <row r="183" spans="1:81" x14ac:dyDescent="0.2">
      <c r="A183" s="668" t="str">
        <f>CONCATENATE('Data entry'!B65, ", ", 'Data entry'!AO65, ", ", 'Data entry'!AR65)</f>
        <v xml:space="preserve">, , </v>
      </c>
      <c r="B183" s="668"/>
      <c r="C183" s="68"/>
      <c r="Q183" t="str">
        <f>IF(AND(Q$4='Data entry'!$R$65, OR('Data entry'!$B$65="Confirmed",'Data entry'!$B$65="Probable")),"sx","")</f>
        <v/>
      </c>
      <c r="R183" t="str">
        <f>IF(AND(R$4='Data entry'!$R$65, OR('Data entry'!$B$65="Confirmed",'Data entry'!$B$65="Probable")),"sx","")</f>
        <v/>
      </c>
      <c r="S183" t="str">
        <f>IF(AND(S$4='Data entry'!$R$65, OR('Data entry'!$B$65="Confirmed",'Data entry'!$B$65="Probable")),"sx","")</f>
        <v/>
      </c>
      <c r="T183" t="str">
        <f>IF(AND(T$4='Data entry'!$R$65, OR('Data entry'!$B$65="Confirmed",'Data entry'!$B$65="Probable")),"sx","")</f>
        <v/>
      </c>
      <c r="U183" t="str">
        <f>IF(AND(U$4='Data entry'!$R$65, OR('Data entry'!$B$65="Confirmed",'Data entry'!$B$65="Probable")),"sx","")</f>
        <v/>
      </c>
      <c r="V183" t="str">
        <f>IF(AND(V$4='Data entry'!$R$65, OR('Data entry'!$B$65="Confirmed",'Data entry'!$B$65="Probable")),"sx","")</f>
        <v/>
      </c>
      <c r="W183" t="str">
        <f>IF(AND(W$4='Data entry'!$R$65, OR('Data entry'!$B$65="Confirmed",'Data entry'!$B$65="Probable")),"sx","")</f>
        <v/>
      </c>
      <c r="X183" t="str">
        <f>IF(AND(X$4='Data entry'!$R$65, OR('Data entry'!$B$65="Confirmed",'Data entry'!$B$65="Probable")),"sx","")</f>
        <v/>
      </c>
      <c r="Y183" t="str">
        <f>IF(AND(Y$4='Data entry'!$R$65, OR('Data entry'!$B$65="Confirmed",'Data entry'!$B$65="Probable")),"sx","")</f>
        <v/>
      </c>
      <c r="Z183" t="str">
        <f>IF(AND(Z$4='Data entry'!$R$65, OR('Data entry'!$B$65="Confirmed",'Data entry'!$B$65="Probable")),"sx","")</f>
        <v/>
      </c>
      <c r="AA183" t="str">
        <f>IF(AND(AA$4='Data entry'!$R$65, OR('Data entry'!$B$65="Confirmed",'Data entry'!$B$65="Probable")),"sx","")</f>
        <v/>
      </c>
      <c r="AB183" t="str">
        <f>IF(AND(AB$4='Data entry'!$R$65, OR('Data entry'!$B$65="Confirmed",'Data entry'!$B$65="Probable")),"sx","")</f>
        <v/>
      </c>
      <c r="AC183" t="str">
        <f>IF(AND(AC$4='Data entry'!$R$65, OR('Data entry'!$B$65="Confirmed",'Data entry'!$B$65="Probable")),"sx","")</f>
        <v/>
      </c>
      <c r="AD183" t="str">
        <f>IF(AND(AD$4='Data entry'!$R$65, OR('Data entry'!$B$65="Confirmed",'Data entry'!$B$65="Probable")),"sx","")</f>
        <v/>
      </c>
      <c r="AE183" t="str">
        <f>IF(AND(AE$4='Data entry'!$R$65, OR('Data entry'!$B$65="Confirmed",'Data entry'!$B$65="Probable")),"sx","")</f>
        <v/>
      </c>
      <c r="AF183" t="str">
        <f>IF(AND(AF$4='Data entry'!$R$65, OR('Data entry'!$B$65="Confirmed",'Data entry'!$B$65="Probable")),"sx","")</f>
        <v/>
      </c>
      <c r="AG183" t="str">
        <f>IF(AND(AG$4='Data entry'!$R$65, OR('Data entry'!$B$65="Confirmed",'Data entry'!$B$65="Probable")),"sx","")</f>
        <v/>
      </c>
      <c r="AH183" t="str">
        <f>IF(AND(AH$4='Data entry'!$R$65, OR('Data entry'!$B$65="Confirmed",'Data entry'!$B$65="Probable")),"sx","")</f>
        <v/>
      </c>
      <c r="AI183" t="str">
        <f>IF(AND(AI$4='Data entry'!$R$65, OR('Data entry'!$B$65="Confirmed",'Data entry'!$B$65="Probable")),"sx","")</f>
        <v/>
      </c>
      <c r="AJ183" t="str">
        <f>IF(AND(AJ$4='Data entry'!$R$65, OR('Data entry'!$B$65="Confirmed",'Data entry'!$B$65="Probable")),"sx","")</f>
        <v/>
      </c>
      <c r="AK183" t="str">
        <f>IF(AND(AK$4='Data entry'!$R$65, OR('Data entry'!$B$65="Confirmed",'Data entry'!$B$65="Probable")),"sx","")</f>
        <v/>
      </c>
      <c r="AL183" t="str">
        <f>IF(AND(AL$4='Data entry'!$R$65, OR('Data entry'!$B$65="Confirmed",'Data entry'!$B$65="Probable")),"sx","")</f>
        <v/>
      </c>
      <c r="AM183" t="str">
        <f>IF(AND(AM$4='Data entry'!$R$65, OR('Data entry'!$B$65="Confirmed",'Data entry'!$B$65="Probable")),"sx","")</f>
        <v/>
      </c>
      <c r="AN183" t="str">
        <f>IF(AND(AN$4='Data entry'!$R$65, OR('Data entry'!$B$65="Confirmed",'Data entry'!$B$65="Probable")),"sx","")</f>
        <v/>
      </c>
      <c r="AO183" t="str">
        <f>IF(AND(AO$4='Data entry'!$R$65, OR('Data entry'!$B$65="Confirmed",'Data entry'!$B$65="Probable")),"sx","")</f>
        <v/>
      </c>
      <c r="AP183" t="str">
        <f>IF(AND(AP$4='Data entry'!$R$65, OR('Data entry'!$B$65="Confirmed",'Data entry'!$B$65="Probable")),"sx","")</f>
        <v/>
      </c>
      <c r="AQ183" t="str">
        <f>IF(AND(AQ$4='Data entry'!$R$65, OR('Data entry'!$B$65="Confirmed",'Data entry'!$B$65="Probable")),"sx","")</f>
        <v/>
      </c>
      <c r="AR183" t="str">
        <f>IF(AND(AR$4='Data entry'!$R$65, OR('Data entry'!$B$65="Confirmed",'Data entry'!$B$65="Probable")),"sx","")</f>
        <v/>
      </c>
      <c r="AS183" t="str">
        <f>IF(AND(AS$4='Data entry'!$R$65, OR('Data entry'!$B$65="Confirmed",'Data entry'!$B$65="Probable")),"sx","")</f>
        <v/>
      </c>
      <c r="AT183" t="str">
        <f>IF(AND(AT$4='Data entry'!$R$65, OR('Data entry'!$B$65="Confirmed",'Data entry'!$B$65="Probable")),"sx","")</f>
        <v/>
      </c>
      <c r="AU183" t="str">
        <f>IF(AND(AU$4='Data entry'!$R$65, OR('Data entry'!$B$65="Confirmed",'Data entry'!$B$65="Probable")),"sx","")</f>
        <v/>
      </c>
      <c r="AV183" t="str">
        <f>IF(AND(AV$4='Data entry'!$R$65, OR('Data entry'!$B$65="Confirmed",'Data entry'!$B$65="Probable")),"sx","")</f>
        <v/>
      </c>
      <c r="AW183" t="str">
        <f>IF(AND(AW$4='Data entry'!$R$65, OR('Data entry'!$B$65="Confirmed",'Data entry'!$B$65="Probable")),"sx","")</f>
        <v/>
      </c>
      <c r="AX183" t="str">
        <f>IF(AND(AX$4='Data entry'!$R$65, OR('Data entry'!$B$65="Confirmed",'Data entry'!$B$65="Probable")),"sx","")</f>
        <v/>
      </c>
      <c r="AY183" t="str">
        <f>IF(AND(AY$4='Data entry'!$R$65, OR('Data entry'!$B$65="Confirmed",'Data entry'!$B$65="Probable")),"sx","")</f>
        <v/>
      </c>
      <c r="AZ183" t="str">
        <f>IF(AND(AZ$4='Data entry'!$R$65, OR('Data entry'!$B$65="Confirmed",'Data entry'!$B$65="Probable")),"sx","")</f>
        <v/>
      </c>
      <c r="BA183" t="str">
        <f>IF(AND(BA$4='Data entry'!$R$65, OR('Data entry'!$B$65="Confirmed",'Data entry'!$B$65="Probable")),"sx","")</f>
        <v/>
      </c>
      <c r="BB183" t="str">
        <f>IF(AND(BB$4='Data entry'!$R$65, OR('Data entry'!$B$65="Confirmed",'Data entry'!$B$65="Probable")),"sx","")</f>
        <v/>
      </c>
      <c r="BC183" t="str">
        <f>IF(AND(BC$4='Data entry'!$R$65, OR('Data entry'!$B$65="Confirmed",'Data entry'!$B$65="Probable")),"sx","")</f>
        <v/>
      </c>
      <c r="BD183" t="str">
        <f>IF(AND(BD$4='Data entry'!$R$65, OR('Data entry'!$B$65="Confirmed",'Data entry'!$B$65="Probable")),"sx","")</f>
        <v/>
      </c>
      <c r="BE183" t="str">
        <f>IF(AND(BE$4='Data entry'!$R$65, OR('Data entry'!$B$65="Confirmed",'Data entry'!$B$65="Probable")),"sx","")</f>
        <v/>
      </c>
      <c r="BF183" t="str">
        <f>IF(AND(BF$4='Data entry'!$R$65, OR('Data entry'!$B$65="Confirmed",'Data entry'!$B$65="Probable")),"sx","")</f>
        <v/>
      </c>
      <c r="BG183" t="str">
        <f>IF(AND(BG$4='Data entry'!$R$65, OR('Data entry'!$B$65="Confirmed",'Data entry'!$B$65="Probable")),"sx","")</f>
        <v/>
      </c>
      <c r="BH183" t="str">
        <f>IF(AND(BH$4='Data entry'!$R$65, OR('Data entry'!$B$65="Confirmed",'Data entry'!$B$65="Probable")),"sx","")</f>
        <v/>
      </c>
      <c r="BI183" t="str">
        <f>IF(AND(BI$4='Data entry'!$R$65, OR('Data entry'!$B$65="Confirmed",'Data entry'!$B$65="Probable")),"sx","")</f>
        <v/>
      </c>
      <c r="BJ183" t="str">
        <f>IF(AND(BJ$4='Data entry'!$R$65, OR('Data entry'!$B$65="Confirmed",'Data entry'!$B$65="Probable")),"sx","")</f>
        <v/>
      </c>
      <c r="BK183" t="str">
        <f>IF(AND(BK$4='Data entry'!$R$65, OR('Data entry'!$B$65="Confirmed",'Data entry'!$B$65="Probable")),"sx","")</f>
        <v/>
      </c>
      <c r="BL183" t="str">
        <f>IF(AND(BL$4='Data entry'!$R$65, OR('Data entry'!$B$65="Confirmed",'Data entry'!$B$65="Probable")),"sx","")</f>
        <v/>
      </c>
      <c r="BM183" t="str">
        <f>IF(AND(BM$4='Data entry'!$R$65, OR('Data entry'!$B$65="Confirmed",'Data entry'!$B$65="Probable")),"sx","")</f>
        <v/>
      </c>
      <c r="BN183" t="str">
        <f>IF(AND(BN$4='Data entry'!$R$65, OR('Data entry'!$B$65="Confirmed",'Data entry'!$B$65="Probable")),"sx","")</f>
        <v/>
      </c>
      <c r="BO183" t="str">
        <f>IF(AND(BO$4='Data entry'!$R$65, OR('Data entry'!$B$65="Confirmed",'Data entry'!$B$65="Probable")),"sx","")</f>
        <v/>
      </c>
      <c r="BP183" t="str">
        <f>IF(AND(BP$4='Data entry'!$R$65, OR('Data entry'!$B$65="Confirmed",'Data entry'!$B$65="Probable")),"sx","")</f>
        <v/>
      </c>
      <c r="BQ183" t="str">
        <f>IF(AND(BQ$4='Data entry'!$R$65, OR('Data entry'!$B$65="Confirmed",'Data entry'!$B$65="Probable")),"sx","")</f>
        <v/>
      </c>
      <c r="BR183" t="str">
        <f>IF(AND(BR$4='Data entry'!$R$65, OR('Data entry'!$B$65="Confirmed",'Data entry'!$B$65="Probable")),"sx","")</f>
        <v/>
      </c>
      <c r="BS183" t="str">
        <f>IF(AND(BS$4='Data entry'!$R$65, OR('Data entry'!$B$65="Confirmed",'Data entry'!$B$65="Probable")),"sx","")</f>
        <v/>
      </c>
      <c r="BT183" t="str">
        <f>IF(AND(BT$4='Data entry'!$R$65, OR('Data entry'!$B$65="Confirmed",'Data entry'!$B$65="Probable")),"sx","")</f>
        <v/>
      </c>
      <c r="BU183" t="str">
        <f>IF(AND(BU$4='Data entry'!$R$65, OR('Data entry'!$B$65="Confirmed",'Data entry'!$B$65="Probable")),"sx","")</f>
        <v/>
      </c>
      <c r="BV183" t="str">
        <f>IF(AND(BV$4='Data entry'!$R$65, OR('Data entry'!$B$65="Confirmed",'Data entry'!$B$65="Probable")),"sx","")</f>
        <v/>
      </c>
      <c r="BW183" t="str">
        <f>IF(AND(BW$4='Data entry'!$R$65, OR('Data entry'!$B$65="Confirmed",'Data entry'!$B$65="Probable")),"sx","")</f>
        <v/>
      </c>
      <c r="BX183" t="str">
        <f>IF(AND(BX$4='Data entry'!$R$65, OR('Data entry'!$B$65="Confirmed",'Data entry'!$B$65="Probable")),"sx","")</f>
        <v/>
      </c>
      <c r="BY183" t="str">
        <f>IF(AND(BY$4='Data entry'!$R$65, OR('Data entry'!$B$65="Confirmed",'Data entry'!$B$65="Probable")),"sx","")</f>
        <v/>
      </c>
      <c r="BZ183" t="str">
        <f>IF(AND(BZ$4='Data entry'!$R$65, OR('Data entry'!$B$65="Confirmed",'Data entry'!$B$65="Probable")),"sx","")</f>
        <v/>
      </c>
      <c r="CA183" t="str">
        <f>IF(AND(CA$4='Data entry'!$R$65, OR('Data entry'!$B$65="Confirmed",'Data entry'!$B$65="Probable")),"sx","")</f>
        <v/>
      </c>
      <c r="CB183" t="str">
        <f>IF(AND(CB$4='Data entry'!$R$65, OR('Data entry'!$B$65="Confirmed",'Data entry'!$B$65="Probable")),"sx","")</f>
        <v/>
      </c>
      <c r="CC183" t="str">
        <f>IF(AND(CC$4='Data entry'!$R$65, OR('Data entry'!$B$65="Confirmed",'Data entry'!$B$65="Probable")),"sx","")</f>
        <v/>
      </c>
    </row>
    <row r="184" spans="1:81" s="64" customFormat="1" ht="2.25" customHeight="1" thickBot="1" x14ac:dyDescent="0.25">
      <c r="A184" s="671"/>
      <c r="B184" s="672"/>
      <c r="C184" s="69"/>
    </row>
    <row r="185" spans="1:81" s="63" customFormat="1" ht="15.75" thickTop="1" x14ac:dyDescent="0.2">
      <c r="A185" s="670" t="str">
        <f>CONCATENATE('Data entry'!J66, " ", 'Data entry'!I66)</f>
        <v xml:space="preserve"> </v>
      </c>
      <c r="B185" s="670"/>
      <c r="C185" s="67"/>
    </row>
    <row r="186" spans="1:81" x14ac:dyDescent="0.2">
      <c r="A186" s="668" t="str">
        <f>CONCATENATE('Data entry'!B66, ", ", 'Data entry'!AO66, ", ", 'Data entry'!AR66)</f>
        <v xml:space="preserve">, , </v>
      </c>
      <c r="B186" s="668"/>
      <c r="C186" s="68"/>
      <c r="Q186" t="str">
        <f>IF(AND(Q$4='Data entry'!$R$66, OR('Data entry'!$B$66="Confirmed",'Data entry'!$B$66="Probable")),"sx","")</f>
        <v/>
      </c>
      <c r="R186" t="str">
        <f>IF(AND(R$4='Data entry'!$R$66, OR('Data entry'!$B$66="Confirmed",'Data entry'!$B$66="Probable")),"sx","")</f>
        <v/>
      </c>
      <c r="S186" t="str">
        <f>IF(AND(S$4='Data entry'!$R$66, OR('Data entry'!$B$66="Confirmed",'Data entry'!$B$66="Probable")),"sx","")</f>
        <v/>
      </c>
      <c r="T186" t="str">
        <f>IF(AND(T$4='Data entry'!$R$66, OR('Data entry'!$B$66="Confirmed",'Data entry'!$B$66="Probable")),"sx","")</f>
        <v/>
      </c>
      <c r="U186" t="str">
        <f>IF(AND(U$4='Data entry'!$R$66, OR('Data entry'!$B$66="Confirmed",'Data entry'!$B$66="Probable")),"sx","")</f>
        <v/>
      </c>
      <c r="V186" t="str">
        <f>IF(AND(V$4='Data entry'!$R$66, OR('Data entry'!$B$66="Confirmed",'Data entry'!$B$66="Probable")),"sx","")</f>
        <v/>
      </c>
      <c r="W186" t="str">
        <f>IF(AND(W$4='Data entry'!$R$66, OR('Data entry'!$B$66="Confirmed",'Data entry'!$B$66="Probable")),"sx","")</f>
        <v/>
      </c>
      <c r="X186" t="str">
        <f>IF(AND(X$4='Data entry'!$R$66, OR('Data entry'!$B$66="Confirmed",'Data entry'!$B$66="Probable")),"sx","")</f>
        <v/>
      </c>
      <c r="Y186" t="str">
        <f>IF(AND(Y$4='Data entry'!$R$66, OR('Data entry'!$B$66="Confirmed",'Data entry'!$B$66="Probable")),"sx","")</f>
        <v/>
      </c>
      <c r="Z186" t="str">
        <f>IF(AND(Z$4='Data entry'!$R$66, OR('Data entry'!$B$66="Confirmed",'Data entry'!$B$66="Probable")),"sx","")</f>
        <v/>
      </c>
      <c r="AA186" t="str">
        <f>IF(AND(AA$4='Data entry'!$R$66, OR('Data entry'!$B$66="Confirmed",'Data entry'!$B$66="Probable")),"sx","")</f>
        <v/>
      </c>
      <c r="AB186" t="str">
        <f>IF(AND(AB$4='Data entry'!$R$66, OR('Data entry'!$B$66="Confirmed",'Data entry'!$B$66="Probable")),"sx","")</f>
        <v/>
      </c>
      <c r="AC186" t="str">
        <f>IF(AND(AC$4='Data entry'!$R$66, OR('Data entry'!$B$66="Confirmed",'Data entry'!$B$66="Probable")),"sx","")</f>
        <v/>
      </c>
      <c r="AD186" t="str">
        <f>IF(AND(AD$4='Data entry'!$R$66, OR('Data entry'!$B$66="Confirmed",'Data entry'!$B$66="Probable")),"sx","")</f>
        <v/>
      </c>
      <c r="AE186" t="str">
        <f>IF(AND(AE$4='Data entry'!$R$66, OR('Data entry'!$B$66="Confirmed",'Data entry'!$B$66="Probable")),"sx","")</f>
        <v/>
      </c>
      <c r="AF186" t="str">
        <f>IF(AND(AF$4='Data entry'!$R$66, OR('Data entry'!$B$66="Confirmed",'Data entry'!$B$66="Probable")),"sx","")</f>
        <v/>
      </c>
      <c r="AG186" t="str">
        <f>IF(AND(AG$4='Data entry'!$R$66, OR('Data entry'!$B$66="Confirmed",'Data entry'!$B$66="Probable")),"sx","")</f>
        <v/>
      </c>
      <c r="AH186" t="str">
        <f>IF(AND(AH$4='Data entry'!$R$66, OR('Data entry'!$B$66="Confirmed",'Data entry'!$B$66="Probable")),"sx","")</f>
        <v/>
      </c>
      <c r="AI186" t="str">
        <f>IF(AND(AI$4='Data entry'!$R$66, OR('Data entry'!$B$66="Confirmed",'Data entry'!$B$66="Probable")),"sx","")</f>
        <v/>
      </c>
      <c r="AJ186" t="str">
        <f>IF(AND(AJ$4='Data entry'!$R$66, OR('Data entry'!$B$66="Confirmed",'Data entry'!$B$66="Probable")),"sx","")</f>
        <v/>
      </c>
      <c r="AK186" t="str">
        <f>IF(AND(AK$4='Data entry'!$R$66, OR('Data entry'!$B$66="Confirmed",'Data entry'!$B$66="Probable")),"sx","")</f>
        <v/>
      </c>
      <c r="AL186" t="str">
        <f>IF(AND(AL$4='Data entry'!$R$66, OR('Data entry'!$B$66="Confirmed",'Data entry'!$B$66="Probable")),"sx","")</f>
        <v/>
      </c>
      <c r="AM186" t="str">
        <f>IF(AND(AM$4='Data entry'!$R$66, OR('Data entry'!$B$66="Confirmed",'Data entry'!$B$66="Probable")),"sx","")</f>
        <v/>
      </c>
      <c r="AN186" t="str">
        <f>IF(AND(AN$4='Data entry'!$R$66, OR('Data entry'!$B$66="Confirmed",'Data entry'!$B$66="Probable")),"sx","")</f>
        <v/>
      </c>
      <c r="AO186" t="str">
        <f>IF(AND(AO$4='Data entry'!$R$66, OR('Data entry'!$B$66="Confirmed",'Data entry'!$B$66="Probable")),"sx","")</f>
        <v/>
      </c>
      <c r="AP186" t="str">
        <f>IF(AND(AP$4='Data entry'!$R$66, OR('Data entry'!$B$66="Confirmed",'Data entry'!$B$66="Probable")),"sx","")</f>
        <v/>
      </c>
      <c r="AQ186" t="str">
        <f>IF(AND(AQ$4='Data entry'!$R$66, OR('Data entry'!$B$66="Confirmed",'Data entry'!$B$66="Probable")),"sx","")</f>
        <v/>
      </c>
      <c r="AR186" t="str">
        <f>IF(AND(AR$4='Data entry'!$R$66, OR('Data entry'!$B$66="Confirmed",'Data entry'!$B$66="Probable")),"sx","")</f>
        <v/>
      </c>
      <c r="AS186" t="str">
        <f>IF(AND(AS$4='Data entry'!$R$66, OR('Data entry'!$B$66="Confirmed",'Data entry'!$B$66="Probable")),"sx","")</f>
        <v/>
      </c>
      <c r="AT186" t="str">
        <f>IF(AND(AT$4='Data entry'!$R$66, OR('Data entry'!$B$66="Confirmed",'Data entry'!$B$66="Probable")),"sx","")</f>
        <v/>
      </c>
      <c r="AU186" t="str">
        <f>IF(AND(AU$4='Data entry'!$R$66, OR('Data entry'!$B$66="Confirmed",'Data entry'!$B$66="Probable")),"sx","")</f>
        <v/>
      </c>
      <c r="AV186" t="str">
        <f>IF(AND(AV$4='Data entry'!$R$66, OR('Data entry'!$B$66="Confirmed",'Data entry'!$B$66="Probable")),"sx","")</f>
        <v/>
      </c>
      <c r="AW186" t="str">
        <f>IF(AND(AW$4='Data entry'!$R$66, OR('Data entry'!$B$66="Confirmed",'Data entry'!$B$66="Probable")),"sx","")</f>
        <v/>
      </c>
      <c r="AX186" t="str">
        <f>IF(AND(AX$4='Data entry'!$R$66, OR('Data entry'!$B$66="Confirmed",'Data entry'!$B$66="Probable")),"sx","")</f>
        <v/>
      </c>
      <c r="AY186" t="str">
        <f>IF(AND(AY$4='Data entry'!$R$66, OR('Data entry'!$B$66="Confirmed",'Data entry'!$B$66="Probable")),"sx","")</f>
        <v/>
      </c>
      <c r="AZ186" t="str">
        <f>IF(AND(AZ$4='Data entry'!$R$66, OR('Data entry'!$B$66="Confirmed",'Data entry'!$B$66="Probable")),"sx","")</f>
        <v/>
      </c>
      <c r="BA186" t="str">
        <f>IF(AND(BA$4='Data entry'!$R$66, OR('Data entry'!$B$66="Confirmed",'Data entry'!$B$66="Probable")),"sx","")</f>
        <v/>
      </c>
      <c r="BB186" t="str">
        <f>IF(AND(BB$4='Data entry'!$R$66, OR('Data entry'!$B$66="Confirmed",'Data entry'!$B$66="Probable")),"sx","")</f>
        <v/>
      </c>
      <c r="BC186" t="str">
        <f>IF(AND(BC$4='Data entry'!$R$66, OR('Data entry'!$B$66="Confirmed",'Data entry'!$B$66="Probable")),"sx","")</f>
        <v/>
      </c>
      <c r="BD186" t="str">
        <f>IF(AND(BD$4='Data entry'!$R$66, OR('Data entry'!$B$66="Confirmed",'Data entry'!$B$66="Probable")),"sx","")</f>
        <v/>
      </c>
      <c r="BE186" t="str">
        <f>IF(AND(BE$4='Data entry'!$R$66, OR('Data entry'!$B$66="Confirmed",'Data entry'!$B$66="Probable")),"sx","")</f>
        <v/>
      </c>
      <c r="BF186" t="str">
        <f>IF(AND(BF$4='Data entry'!$R$66, OR('Data entry'!$B$66="Confirmed",'Data entry'!$B$66="Probable")),"sx","")</f>
        <v/>
      </c>
      <c r="BG186" t="str">
        <f>IF(AND(BG$4='Data entry'!$R$66, OR('Data entry'!$B$66="Confirmed",'Data entry'!$B$66="Probable")),"sx","")</f>
        <v/>
      </c>
      <c r="BH186" t="str">
        <f>IF(AND(BH$4='Data entry'!$R$66, OR('Data entry'!$B$66="Confirmed",'Data entry'!$B$66="Probable")),"sx","")</f>
        <v/>
      </c>
      <c r="BI186" t="str">
        <f>IF(AND(BI$4='Data entry'!$R$66, OR('Data entry'!$B$66="Confirmed",'Data entry'!$B$66="Probable")),"sx","")</f>
        <v/>
      </c>
      <c r="BJ186" t="str">
        <f>IF(AND(BJ$4='Data entry'!$R$66, OR('Data entry'!$B$66="Confirmed",'Data entry'!$B$66="Probable")),"sx","")</f>
        <v/>
      </c>
      <c r="BK186" t="str">
        <f>IF(AND(BK$4='Data entry'!$R$66, OR('Data entry'!$B$66="Confirmed",'Data entry'!$B$66="Probable")),"sx","")</f>
        <v/>
      </c>
      <c r="BL186" t="str">
        <f>IF(AND(BL$4='Data entry'!$R$66, OR('Data entry'!$B$66="Confirmed",'Data entry'!$B$66="Probable")),"sx","")</f>
        <v/>
      </c>
      <c r="BM186" t="str">
        <f>IF(AND(BM$4='Data entry'!$R$66, OR('Data entry'!$B$66="Confirmed",'Data entry'!$B$66="Probable")),"sx","")</f>
        <v/>
      </c>
      <c r="BN186" t="str">
        <f>IF(AND(BN$4='Data entry'!$R$66, OR('Data entry'!$B$66="Confirmed",'Data entry'!$B$66="Probable")),"sx","")</f>
        <v/>
      </c>
      <c r="BO186" t="str">
        <f>IF(AND(BO$4='Data entry'!$R$66, OR('Data entry'!$B$66="Confirmed",'Data entry'!$B$66="Probable")),"sx","")</f>
        <v/>
      </c>
      <c r="BP186" t="str">
        <f>IF(AND(BP$4='Data entry'!$R$66, OR('Data entry'!$B$66="Confirmed",'Data entry'!$B$66="Probable")),"sx","")</f>
        <v/>
      </c>
      <c r="BQ186" t="str">
        <f>IF(AND(BQ$4='Data entry'!$R$66, OR('Data entry'!$B$66="Confirmed",'Data entry'!$B$66="Probable")),"sx","")</f>
        <v/>
      </c>
      <c r="BR186" t="str">
        <f>IF(AND(BR$4='Data entry'!$R$66, OR('Data entry'!$B$66="Confirmed",'Data entry'!$B$66="Probable")),"sx","")</f>
        <v/>
      </c>
      <c r="BS186" t="str">
        <f>IF(AND(BS$4='Data entry'!$R$66, OR('Data entry'!$B$66="Confirmed",'Data entry'!$B$66="Probable")),"sx","")</f>
        <v/>
      </c>
      <c r="BT186" t="str">
        <f>IF(AND(BT$4='Data entry'!$R$66, OR('Data entry'!$B$66="Confirmed",'Data entry'!$B$66="Probable")),"sx","")</f>
        <v/>
      </c>
      <c r="BU186" t="str">
        <f>IF(AND(BU$4='Data entry'!$R$66, OR('Data entry'!$B$66="Confirmed",'Data entry'!$B$66="Probable")),"sx","")</f>
        <v/>
      </c>
      <c r="BV186" t="str">
        <f>IF(AND(BV$4='Data entry'!$R$66, OR('Data entry'!$B$66="Confirmed",'Data entry'!$B$66="Probable")),"sx","")</f>
        <v/>
      </c>
      <c r="BW186" t="str">
        <f>IF(AND(BW$4='Data entry'!$R$66, OR('Data entry'!$B$66="Confirmed",'Data entry'!$B$66="Probable")),"sx","")</f>
        <v/>
      </c>
      <c r="BX186" t="str">
        <f>IF(AND(BX$4='Data entry'!$R$66, OR('Data entry'!$B$66="Confirmed",'Data entry'!$B$66="Probable")),"sx","")</f>
        <v/>
      </c>
      <c r="BY186" t="str">
        <f>IF(AND(BY$4='Data entry'!$R$66, OR('Data entry'!$B$66="Confirmed",'Data entry'!$B$66="Probable")),"sx","")</f>
        <v/>
      </c>
      <c r="BZ186" t="str">
        <f>IF(AND(BZ$4='Data entry'!$R$66, OR('Data entry'!$B$66="Confirmed",'Data entry'!$B$66="Probable")),"sx","")</f>
        <v/>
      </c>
      <c r="CA186" t="str">
        <f>IF(AND(CA$4='Data entry'!$R$66, OR('Data entry'!$B$66="Confirmed",'Data entry'!$B$66="Probable")),"sx","")</f>
        <v/>
      </c>
      <c r="CB186" t="str">
        <f>IF(AND(CB$4='Data entry'!$R$66, OR('Data entry'!$B$66="Confirmed",'Data entry'!$B$66="Probable")),"sx","")</f>
        <v/>
      </c>
      <c r="CC186" t="str">
        <f>IF(AND(CC$4='Data entry'!$R$66, OR('Data entry'!$B$66="Confirmed",'Data entry'!$B$66="Probable")),"sx","")</f>
        <v/>
      </c>
    </row>
    <row r="187" spans="1:81" s="64" customFormat="1" ht="2.25" customHeight="1" thickBot="1" x14ac:dyDescent="0.25">
      <c r="A187" s="671"/>
      <c r="B187" s="672"/>
      <c r="C187" s="69"/>
    </row>
    <row r="188" spans="1:81" s="63" customFormat="1" ht="15.75" thickTop="1" x14ac:dyDescent="0.2">
      <c r="A188" s="670" t="str">
        <f>CONCATENATE('Data entry'!J67, " ", 'Data entry'!I67)</f>
        <v xml:space="preserve"> </v>
      </c>
      <c r="B188" s="670"/>
      <c r="C188" s="67"/>
    </row>
    <row r="189" spans="1:81" x14ac:dyDescent="0.2">
      <c r="A189" s="668" t="str">
        <f>CONCATENATE('Data entry'!B67, ", ", 'Data entry'!AO67, ", ", 'Data entry'!AR67)</f>
        <v xml:space="preserve">, , </v>
      </c>
      <c r="B189" s="668"/>
      <c r="C189" s="68"/>
      <c r="Q189" t="str">
        <f>IF(AND(Q$4='Data entry'!$R$67, OR('Data entry'!$B$67="Confirmed",'Data entry'!$B$67="Probable")),"sx","")</f>
        <v/>
      </c>
      <c r="R189" t="str">
        <f>IF(AND(R$4='Data entry'!$R$67, OR('Data entry'!$B$67="Confirmed",'Data entry'!$B$67="Probable")),"sx","")</f>
        <v/>
      </c>
      <c r="S189" t="str">
        <f>IF(AND(S$4='Data entry'!$R$67, OR('Data entry'!$B$67="Confirmed",'Data entry'!$B$67="Probable")),"sx","")</f>
        <v/>
      </c>
      <c r="T189" t="str">
        <f>IF(AND(T$4='Data entry'!$R$67, OR('Data entry'!$B$67="Confirmed",'Data entry'!$B$67="Probable")),"sx","")</f>
        <v/>
      </c>
      <c r="U189" t="str">
        <f>IF(AND(U$4='Data entry'!$R$67, OR('Data entry'!$B$67="Confirmed",'Data entry'!$B$67="Probable")),"sx","")</f>
        <v/>
      </c>
      <c r="V189" t="str">
        <f>IF(AND(V$4='Data entry'!$R$67, OR('Data entry'!$B$67="Confirmed",'Data entry'!$B$67="Probable")),"sx","")</f>
        <v/>
      </c>
      <c r="W189" t="str">
        <f>IF(AND(W$4='Data entry'!$R$67, OR('Data entry'!$B$67="Confirmed",'Data entry'!$B$67="Probable")),"sx","")</f>
        <v/>
      </c>
      <c r="X189" t="str">
        <f>IF(AND(X$4='Data entry'!$R$67, OR('Data entry'!$B$67="Confirmed",'Data entry'!$B$67="Probable")),"sx","")</f>
        <v/>
      </c>
      <c r="Y189" t="str">
        <f>IF(AND(Y$4='Data entry'!$R$67, OR('Data entry'!$B$67="Confirmed",'Data entry'!$B$67="Probable")),"sx","")</f>
        <v/>
      </c>
      <c r="Z189" t="str">
        <f>IF(AND(Z$4='Data entry'!$R$67, OR('Data entry'!$B$67="Confirmed",'Data entry'!$B$67="Probable")),"sx","")</f>
        <v/>
      </c>
      <c r="AA189" t="str">
        <f>IF(AND(AA$4='Data entry'!$R$67, OR('Data entry'!$B$67="Confirmed",'Data entry'!$B$67="Probable")),"sx","")</f>
        <v/>
      </c>
      <c r="AB189" t="str">
        <f>IF(AND(AB$4='Data entry'!$R$67, OR('Data entry'!$B$67="Confirmed",'Data entry'!$B$67="Probable")),"sx","")</f>
        <v/>
      </c>
      <c r="AC189" t="str">
        <f>IF(AND(AC$4='Data entry'!$R$67, OR('Data entry'!$B$67="Confirmed",'Data entry'!$B$67="Probable")),"sx","")</f>
        <v/>
      </c>
      <c r="AD189" t="str">
        <f>IF(AND(AD$4='Data entry'!$R$67, OR('Data entry'!$B$67="Confirmed",'Data entry'!$B$67="Probable")),"sx","")</f>
        <v/>
      </c>
      <c r="AE189" t="str">
        <f>IF(AND(AE$4='Data entry'!$R$67, OR('Data entry'!$B$67="Confirmed",'Data entry'!$B$67="Probable")),"sx","")</f>
        <v/>
      </c>
      <c r="AF189" t="str">
        <f>IF(AND(AF$4='Data entry'!$R$67, OR('Data entry'!$B$67="Confirmed",'Data entry'!$B$67="Probable")),"sx","")</f>
        <v/>
      </c>
      <c r="AG189" t="str">
        <f>IF(AND(AG$4='Data entry'!$R$67, OR('Data entry'!$B$67="Confirmed",'Data entry'!$B$67="Probable")),"sx","")</f>
        <v/>
      </c>
      <c r="AH189" t="str">
        <f>IF(AND(AH$4='Data entry'!$R$67, OR('Data entry'!$B$67="Confirmed",'Data entry'!$B$67="Probable")),"sx","")</f>
        <v/>
      </c>
      <c r="AI189" t="str">
        <f>IF(AND(AI$4='Data entry'!$R$67, OR('Data entry'!$B$67="Confirmed",'Data entry'!$B$67="Probable")),"sx","")</f>
        <v/>
      </c>
      <c r="AJ189" t="str">
        <f>IF(AND(AJ$4='Data entry'!$R$67, OR('Data entry'!$B$67="Confirmed",'Data entry'!$B$67="Probable")),"sx","")</f>
        <v/>
      </c>
      <c r="AK189" t="str">
        <f>IF(AND(AK$4='Data entry'!$R$67, OR('Data entry'!$B$67="Confirmed",'Data entry'!$B$67="Probable")),"sx","")</f>
        <v/>
      </c>
      <c r="AL189" t="str">
        <f>IF(AND(AL$4='Data entry'!$R$67, OR('Data entry'!$B$67="Confirmed",'Data entry'!$B$67="Probable")),"sx","")</f>
        <v/>
      </c>
      <c r="AM189" t="str">
        <f>IF(AND(AM$4='Data entry'!$R$67, OR('Data entry'!$B$67="Confirmed",'Data entry'!$B$67="Probable")),"sx","")</f>
        <v/>
      </c>
      <c r="AN189" t="str">
        <f>IF(AND(AN$4='Data entry'!$R$67, OR('Data entry'!$B$67="Confirmed",'Data entry'!$B$67="Probable")),"sx","")</f>
        <v/>
      </c>
      <c r="AO189" t="str">
        <f>IF(AND(AO$4='Data entry'!$R$67, OR('Data entry'!$B$67="Confirmed",'Data entry'!$B$67="Probable")),"sx","")</f>
        <v/>
      </c>
      <c r="AP189" t="str">
        <f>IF(AND(AP$4='Data entry'!$R$67, OR('Data entry'!$B$67="Confirmed",'Data entry'!$B$67="Probable")),"sx","")</f>
        <v/>
      </c>
      <c r="AQ189" t="str">
        <f>IF(AND(AQ$4='Data entry'!$R$67, OR('Data entry'!$B$67="Confirmed",'Data entry'!$B$67="Probable")),"sx","")</f>
        <v/>
      </c>
      <c r="AR189" t="str">
        <f>IF(AND(AR$4='Data entry'!$R$67, OR('Data entry'!$B$67="Confirmed",'Data entry'!$B$67="Probable")),"sx","")</f>
        <v/>
      </c>
      <c r="AS189" t="str">
        <f>IF(AND(AS$4='Data entry'!$R$67, OR('Data entry'!$B$67="Confirmed",'Data entry'!$B$67="Probable")),"sx","")</f>
        <v/>
      </c>
      <c r="AT189" t="str">
        <f>IF(AND(AT$4='Data entry'!$R$67, OR('Data entry'!$B$67="Confirmed",'Data entry'!$B$67="Probable")),"sx","")</f>
        <v/>
      </c>
      <c r="AU189" t="str">
        <f>IF(AND(AU$4='Data entry'!$R$67, OR('Data entry'!$B$67="Confirmed",'Data entry'!$B$67="Probable")),"sx","")</f>
        <v/>
      </c>
      <c r="AV189" t="str">
        <f>IF(AND(AV$4='Data entry'!$R$67, OR('Data entry'!$B$67="Confirmed",'Data entry'!$B$67="Probable")),"sx","")</f>
        <v/>
      </c>
      <c r="AW189" t="str">
        <f>IF(AND(AW$4='Data entry'!$R$67, OR('Data entry'!$B$67="Confirmed",'Data entry'!$B$67="Probable")),"sx","")</f>
        <v/>
      </c>
      <c r="AX189" t="str">
        <f>IF(AND(AX$4='Data entry'!$R$67, OR('Data entry'!$B$67="Confirmed",'Data entry'!$B$67="Probable")),"sx","")</f>
        <v/>
      </c>
      <c r="AY189" t="str">
        <f>IF(AND(AY$4='Data entry'!$R$67, OR('Data entry'!$B$67="Confirmed",'Data entry'!$B$67="Probable")),"sx","")</f>
        <v/>
      </c>
      <c r="AZ189" t="str">
        <f>IF(AND(AZ$4='Data entry'!$R$67, OR('Data entry'!$B$67="Confirmed",'Data entry'!$B$67="Probable")),"sx","")</f>
        <v/>
      </c>
      <c r="BA189" t="str">
        <f>IF(AND(BA$4='Data entry'!$R$67, OR('Data entry'!$B$67="Confirmed",'Data entry'!$B$67="Probable")),"sx","")</f>
        <v/>
      </c>
      <c r="BB189" t="str">
        <f>IF(AND(BB$4='Data entry'!$R$67, OR('Data entry'!$B$67="Confirmed",'Data entry'!$B$67="Probable")),"sx","")</f>
        <v/>
      </c>
      <c r="BC189" t="str">
        <f>IF(AND(BC$4='Data entry'!$R$67, OR('Data entry'!$B$67="Confirmed",'Data entry'!$B$67="Probable")),"sx","")</f>
        <v/>
      </c>
      <c r="BD189" t="str">
        <f>IF(AND(BD$4='Data entry'!$R$67, OR('Data entry'!$B$67="Confirmed",'Data entry'!$B$67="Probable")),"sx","")</f>
        <v/>
      </c>
      <c r="BE189" t="str">
        <f>IF(AND(BE$4='Data entry'!$R$67, OR('Data entry'!$B$67="Confirmed",'Data entry'!$B$67="Probable")),"sx","")</f>
        <v/>
      </c>
      <c r="BF189" t="str">
        <f>IF(AND(BF$4='Data entry'!$R$67, OR('Data entry'!$B$67="Confirmed",'Data entry'!$B$67="Probable")),"sx","")</f>
        <v/>
      </c>
      <c r="BG189" t="str">
        <f>IF(AND(BG$4='Data entry'!$R$67, OR('Data entry'!$B$67="Confirmed",'Data entry'!$B$67="Probable")),"sx","")</f>
        <v/>
      </c>
      <c r="BH189" t="str">
        <f>IF(AND(BH$4='Data entry'!$R$67, OR('Data entry'!$B$67="Confirmed",'Data entry'!$B$67="Probable")),"sx","")</f>
        <v/>
      </c>
      <c r="BI189" t="str">
        <f>IF(AND(BI$4='Data entry'!$R$67, OR('Data entry'!$B$67="Confirmed",'Data entry'!$B$67="Probable")),"sx","")</f>
        <v/>
      </c>
      <c r="BJ189" t="str">
        <f>IF(AND(BJ$4='Data entry'!$R$67, OR('Data entry'!$B$67="Confirmed",'Data entry'!$B$67="Probable")),"sx","")</f>
        <v/>
      </c>
      <c r="BK189" t="str">
        <f>IF(AND(BK$4='Data entry'!$R$67, OR('Data entry'!$B$67="Confirmed",'Data entry'!$B$67="Probable")),"sx","")</f>
        <v/>
      </c>
      <c r="BL189" t="str">
        <f>IF(AND(BL$4='Data entry'!$R$67, OR('Data entry'!$B$67="Confirmed",'Data entry'!$B$67="Probable")),"sx","")</f>
        <v/>
      </c>
      <c r="BM189" t="str">
        <f>IF(AND(BM$4='Data entry'!$R$67, OR('Data entry'!$B$67="Confirmed",'Data entry'!$B$67="Probable")),"sx","")</f>
        <v/>
      </c>
      <c r="BN189" t="str">
        <f>IF(AND(BN$4='Data entry'!$R$67, OR('Data entry'!$B$67="Confirmed",'Data entry'!$B$67="Probable")),"sx","")</f>
        <v/>
      </c>
      <c r="BO189" t="str">
        <f>IF(AND(BO$4='Data entry'!$R$67, OR('Data entry'!$B$67="Confirmed",'Data entry'!$B$67="Probable")),"sx","")</f>
        <v/>
      </c>
      <c r="BP189" t="str">
        <f>IF(AND(BP$4='Data entry'!$R$67, OR('Data entry'!$B$67="Confirmed",'Data entry'!$B$67="Probable")),"sx","")</f>
        <v/>
      </c>
      <c r="BQ189" t="str">
        <f>IF(AND(BQ$4='Data entry'!$R$67, OR('Data entry'!$B$67="Confirmed",'Data entry'!$B$67="Probable")),"sx","")</f>
        <v/>
      </c>
      <c r="BR189" t="str">
        <f>IF(AND(BR$4='Data entry'!$R$67, OR('Data entry'!$B$67="Confirmed",'Data entry'!$B$67="Probable")),"sx","")</f>
        <v/>
      </c>
      <c r="BS189" t="str">
        <f>IF(AND(BS$4='Data entry'!$R$67, OR('Data entry'!$B$67="Confirmed",'Data entry'!$B$67="Probable")),"sx","")</f>
        <v/>
      </c>
      <c r="BT189" t="str">
        <f>IF(AND(BT$4='Data entry'!$R$67, OR('Data entry'!$B$67="Confirmed",'Data entry'!$B$67="Probable")),"sx","")</f>
        <v/>
      </c>
      <c r="BU189" t="str">
        <f>IF(AND(BU$4='Data entry'!$R$67, OR('Data entry'!$B$67="Confirmed",'Data entry'!$B$67="Probable")),"sx","")</f>
        <v/>
      </c>
      <c r="BV189" t="str">
        <f>IF(AND(BV$4='Data entry'!$R$67, OR('Data entry'!$B$67="Confirmed",'Data entry'!$B$67="Probable")),"sx","")</f>
        <v/>
      </c>
      <c r="BW189" t="str">
        <f>IF(AND(BW$4='Data entry'!$R$67, OR('Data entry'!$B$67="Confirmed",'Data entry'!$B$67="Probable")),"sx","")</f>
        <v/>
      </c>
      <c r="BX189" t="str">
        <f>IF(AND(BX$4='Data entry'!$R$67, OR('Data entry'!$B$67="Confirmed",'Data entry'!$B$67="Probable")),"sx","")</f>
        <v/>
      </c>
      <c r="BY189" t="str">
        <f>IF(AND(BY$4='Data entry'!$R$67, OR('Data entry'!$B$67="Confirmed",'Data entry'!$B$67="Probable")),"sx","")</f>
        <v/>
      </c>
      <c r="BZ189" t="str">
        <f>IF(AND(BZ$4='Data entry'!$R$67, OR('Data entry'!$B$67="Confirmed",'Data entry'!$B$67="Probable")),"sx","")</f>
        <v/>
      </c>
      <c r="CA189" t="str">
        <f>IF(AND(CA$4='Data entry'!$R$67, OR('Data entry'!$B$67="Confirmed",'Data entry'!$B$67="Probable")),"sx","")</f>
        <v/>
      </c>
      <c r="CB189" t="str">
        <f>IF(AND(CB$4='Data entry'!$R$67, OR('Data entry'!$B$67="Confirmed",'Data entry'!$B$67="Probable")),"sx","")</f>
        <v/>
      </c>
      <c r="CC189" t="str">
        <f>IF(AND(CC$4='Data entry'!$R$67, OR('Data entry'!$B$67="Confirmed",'Data entry'!$B$67="Probable")),"sx","")</f>
        <v/>
      </c>
    </row>
    <row r="190" spans="1:81" s="64" customFormat="1" ht="2.25" customHeight="1" thickBot="1" x14ac:dyDescent="0.25">
      <c r="A190" s="671"/>
      <c r="B190" s="672"/>
      <c r="C190" s="69"/>
    </row>
    <row r="191" spans="1:81" s="63" customFormat="1" ht="15.75" thickTop="1" x14ac:dyDescent="0.2">
      <c r="A191" s="670" t="str">
        <f>CONCATENATE('Data entry'!J68, " ", 'Data entry'!I68)</f>
        <v xml:space="preserve"> </v>
      </c>
      <c r="B191" s="670"/>
      <c r="C191" s="67"/>
    </row>
    <row r="192" spans="1:81" x14ac:dyDescent="0.2">
      <c r="A192" s="668" t="str">
        <f>CONCATENATE('Data entry'!B68, ", ", 'Data entry'!AO68, ", ", 'Data entry'!AR68)</f>
        <v xml:space="preserve">, , </v>
      </c>
      <c r="B192" s="668"/>
      <c r="C192" s="68"/>
      <c r="Q192" t="str">
        <f>IF(AND(Q$4='Data entry'!$R$68, OR('Data entry'!$B$68="Confirmed",'Data entry'!$B$68="Probable")),"sx","")</f>
        <v/>
      </c>
      <c r="R192" t="str">
        <f>IF(AND(R$4='Data entry'!$R$68, OR('Data entry'!$B$68="Confirmed",'Data entry'!$B$68="Probable")),"sx","")</f>
        <v/>
      </c>
      <c r="S192" t="str">
        <f>IF(AND(S$4='Data entry'!$R$68, OR('Data entry'!$B$68="Confirmed",'Data entry'!$B$68="Probable")),"sx","")</f>
        <v/>
      </c>
      <c r="T192" t="str">
        <f>IF(AND(T$4='Data entry'!$R$68, OR('Data entry'!$B$68="Confirmed",'Data entry'!$B$68="Probable")),"sx","")</f>
        <v/>
      </c>
      <c r="U192" t="str">
        <f>IF(AND(U$4='Data entry'!$R$68, OR('Data entry'!$B$68="Confirmed",'Data entry'!$B$68="Probable")),"sx","")</f>
        <v/>
      </c>
      <c r="V192" t="str">
        <f>IF(AND(V$4='Data entry'!$R$68, OR('Data entry'!$B$68="Confirmed",'Data entry'!$B$68="Probable")),"sx","")</f>
        <v/>
      </c>
      <c r="W192" t="str">
        <f>IF(AND(W$4='Data entry'!$R$68, OR('Data entry'!$B$68="Confirmed",'Data entry'!$B$68="Probable")),"sx","")</f>
        <v/>
      </c>
      <c r="X192" t="str">
        <f>IF(AND(X$4='Data entry'!$R$68, OR('Data entry'!$B$68="Confirmed",'Data entry'!$B$68="Probable")),"sx","")</f>
        <v/>
      </c>
      <c r="Y192" t="str">
        <f>IF(AND(Y$4='Data entry'!$R$68, OR('Data entry'!$B$68="Confirmed",'Data entry'!$B$68="Probable")),"sx","")</f>
        <v/>
      </c>
      <c r="Z192" t="str">
        <f>IF(AND(Z$4='Data entry'!$R$68, OR('Data entry'!$B$68="Confirmed",'Data entry'!$B$68="Probable")),"sx","")</f>
        <v/>
      </c>
      <c r="AA192" t="str">
        <f>IF(AND(AA$4='Data entry'!$R$68, OR('Data entry'!$B$68="Confirmed",'Data entry'!$B$68="Probable")),"sx","")</f>
        <v/>
      </c>
      <c r="AB192" t="str">
        <f>IF(AND(AB$4='Data entry'!$R$68, OR('Data entry'!$B$68="Confirmed",'Data entry'!$B$68="Probable")),"sx","")</f>
        <v/>
      </c>
      <c r="AC192" t="str">
        <f>IF(AND(AC$4='Data entry'!$R$68, OR('Data entry'!$B$68="Confirmed",'Data entry'!$B$68="Probable")),"sx","")</f>
        <v/>
      </c>
      <c r="AD192" t="str">
        <f>IF(AND(AD$4='Data entry'!$R$68, OR('Data entry'!$B$68="Confirmed",'Data entry'!$B$68="Probable")),"sx","")</f>
        <v/>
      </c>
      <c r="AE192" t="str">
        <f>IF(AND(AE$4='Data entry'!$R$68, OR('Data entry'!$B$68="Confirmed",'Data entry'!$B$68="Probable")),"sx","")</f>
        <v/>
      </c>
      <c r="AF192" t="str">
        <f>IF(AND(AF$4='Data entry'!$R$68, OR('Data entry'!$B$68="Confirmed",'Data entry'!$B$68="Probable")),"sx","")</f>
        <v/>
      </c>
      <c r="AG192" t="str">
        <f>IF(AND(AG$4='Data entry'!$R$68, OR('Data entry'!$B$68="Confirmed",'Data entry'!$B$68="Probable")),"sx","")</f>
        <v/>
      </c>
      <c r="AH192" t="str">
        <f>IF(AND(AH$4='Data entry'!$R$68, OR('Data entry'!$B$68="Confirmed",'Data entry'!$B$68="Probable")),"sx","")</f>
        <v/>
      </c>
      <c r="AI192" t="str">
        <f>IF(AND(AI$4='Data entry'!$R$68, OR('Data entry'!$B$68="Confirmed",'Data entry'!$B$68="Probable")),"sx","")</f>
        <v/>
      </c>
      <c r="AJ192" t="str">
        <f>IF(AND(AJ$4='Data entry'!$R$68, OR('Data entry'!$B$68="Confirmed",'Data entry'!$B$68="Probable")),"sx","")</f>
        <v/>
      </c>
      <c r="AK192" t="str">
        <f>IF(AND(AK$4='Data entry'!$R$68, OR('Data entry'!$B$68="Confirmed",'Data entry'!$B$68="Probable")),"sx","")</f>
        <v/>
      </c>
      <c r="AL192" t="str">
        <f>IF(AND(AL$4='Data entry'!$R$68, OR('Data entry'!$B$68="Confirmed",'Data entry'!$B$68="Probable")),"sx","")</f>
        <v/>
      </c>
      <c r="AM192" t="str">
        <f>IF(AND(AM$4='Data entry'!$R$68, OR('Data entry'!$B$68="Confirmed",'Data entry'!$B$68="Probable")),"sx","")</f>
        <v/>
      </c>
      <c r="AN192" t="str">
        <f>IF(AND(AN$4='Data entry'!$R$68, OR('Data entry'!$B$68="Confirmed",'Data entry'!$B$68="Probable")),"sx","")</f>
        <v/>
      </c>
      <c r="AO192" t="str">
        <f>IF(AND(AO$4='Data entry'!$R$68, OR('Data entry'!$B$68="Confirmed",'Data entry'!$B$68="Probable")),"sx","")</f>
        <v/>
      </c>
      <c r="AP192" t="str">
        <f>IF(AND(AP$4='Data entry'!$R$68, OR('Data entry'!$B$68="Confirmed",'Data entry'!$B$68="Probable")),"sx","")</f>
        <v/>
      </c>
      <c r="AQ192" t="str">
        <f>IF(AND(AQ$4='Data entry'!$R$68, OR('Data entry'!$B$68="Confirmed",'Data entry'!$B$68="Probable")),"sx","")</f>
        <v/>
      </c>
      <c r="AR192" t="str">
        <f>IF(AND(AR$4='Data entry'!$R$68, OR('Data entry'!$B$68="Confirmed",'Data entry'!$B$68="Probable")),"sx","")</f>
        <v/>
      </c>
      <c r="AS192" t="str">
        <f>IF(AND(AS$4='Data entry'!$R$68, OR('Data entry'!$B$68="Confirmed",'Data entry'!$B$68="Probable")),"sx","")</f>
        <v/>
      </c>
      <c r="AT192" t="str">
        <f>IF(AND(AT$4='Data entry'!$R$68, OR('Data entry'!$B$68="Confirmed",'Data entry'!$B$68="Probable")),"sx","")</f>
        <v/>
      </c>
      <c r="AU192" t="str">
        <f>IF(AND(AU$4='Data entry'!$R$68, OR('Data entry'!$B$68="Confirmed",'Data entry'!$B$68="Probable")),"sx","")</f>
        <v/>
      </c>
      <c r="AV192" t="str">
        <f>IF(AND(AV$4='Data entry'!$R$68, OR('Data entry'!$B$68="Confirmed",'Data entry'!$B$68="Probable")),"sx","")</f>
        <v/>
      </c>
      <c r="AW192" t="str">
        <f>IF(AND(AW$4='Data entry'!$R$68, OR('Data entry'!$B$68="Confirmed",'Data entry'!$B$68="Probable")),"sx","")</f>
        <v/>
      </c>
      <c r="AX192" t="str">
        <f>IF(AND(AX$4='Data entry'!$R$68, OR('Data entry'!$B$68="Confirmed",'Data entry'!$B$68="Probable")),"sx","")</f>
        <v/>
      </c>
      <c r="AY192" t="str">
        <f>IF(AND(AY$4='Data entry'!$R$68, OR('Data entry'!$B$68="Confirmed",'Data entry'!$B$68="Probable")),"sx","")</f>
        <v/>
      </c>
      <c r="AZ192" t="str">
        <f>IF(AND(AZ$4='Data entry'!$R$68, OR('Data entry'!$B$68="Confirmed",'Data entry'!$B$68="Probable")),"sx","")</f>
        <v/>
      </c>
      <c r="BA192" t="str">
        <f>IF(AND(BA$4='Data entry'!$R$68, OR('Data entry'!$B$68="Confirmed",'Data entry'!$B$68="Probable")),"sx","")</f>
        <v/>
      </c>
      <c r="BB192" t="str">
        <f>IF(AND(BB$4='Data entry'!$R$68, OR('Data entry'!$B$68="Confirmed",'Data entry'!$B$68="Probable")),"sx","")</f>
        <v/>
      </c>
      <c r="BC192" t="str">
        <f>IF(AND(BC$4='Data entry'!$R$68, OR('Data entry'!$B$68="Confirmed",'Data entry'!$B$68="Probable")),"sx","")</f>
        <v/>
      </c>
      <c r="BD192" t="str">
        <f>IF(AND(BD$4='Data entry'!$R$68, OR('Data entry'!$B$68="Confirmed",'Data entry'!$B$68="Probable")),"sx","")</f>
        <v/>
      </c>
      <c r="BE192" t="str">
        <f>IF(AND(BE$4='Data entry'!$R$68, OR('Data entry'!$B$68="Confirmed",'Data entry'!$B$68="Probable")),"sx","")</f>
        <v/>
      </c>
      <c r="BF192" t="str">
        <f>IF(AND(BF$4='Data entry'!$R$68, OR('Data entry'!$B$68="Confirmed",'Data entry'!$B$68="Probable")),"sx","")</f>
        <v/>
      </c>
      <c r="BG192" t="str">
        <f>IF(AND(BG$4='Data entry'!$R$68, OR('Data entry'!$B$68="Confirmed",'Data entry'!$B$68="Probable")),"sx","")</f>
        <v/>
      </c>
      <c r="BH192" t="str">
        <f>IF(AND(BH$4='Data entry'!$R$68, OR('Data entry'!$B$68="Confirmed",'Data entry'!$B$68="Probable")),"sx","")</f>
        <v/>
      </c>
      <c r="BI192" t="str">
        <f>IF(AND(BI$4='Data entry'!$R$68, OR('Data entry'!$B$68="Confirmed",'Data entry'!$B$68="Probable")),"sx","")</f>
        <v/>
      </c>
      <c r="BJ192" t="str">
        <f>IF(AND(BJ$4='Data entry'!$R$68, OR('Data entry'!$B$68="Confirmed",'Data entry'!$B$68="Probable")),"sx","")</f>
        <v/>
      </c>
      <c r="BK192" t="str">
        <f>IF(AND(BK$4='Data entry'!$R$68, OR('Data entry'!$B$68="Confirmed",'Data entry'!$B$68="Probable")),"sx","")</f>
        <v/>
      </c>
      <c r="BL192" t="str">
        <f>IF(AND(BL$4='Data entry'!$R$68, OR('Data entry'!$B$68="Confirmed",'Data entry'!$B$68="Probable")),"sx","")</f>
        <v/>
      </c>
      <c r="BM192" t="str">
        <f>IF(AND(BM$4='Data entry'!$R$68, OR('Data entry'!$B$68="Confirmed",'Data entry'!$B$68="Probable")),"sx","")</f>
        <v/>
      </c>
      <c r="BN192" t="str">
        <f>IF(AND(BN$4='Data entry'!$R$68, OR('Data entry'!$B$68="Confirmed",'Data entry'!$B$68="Probable")),"sx","")</f>
        <v/>
      </c>
      <c r="BO192" t="str">
        <f>IF(AND(BO$4='Data entry'!$R$68, OR('Data entry'!$B$68="Confirmed",'Data entry'!$B$68="Probable")),"sx","")</f>
        <v/>
      </c>
      <c r="BP192" t="str">
        <f>IF(AND(BP$4='Data entry'!$R$68, OR('Data entry'!$B$68="Confirmed",'Data entry'!$B$68="Probable")),"sx","")</f>
        <v/>
      </c>
      <c r="BQ192" t="str">
        <f>IF(AND(BQ$4='Data entry'!$R$68, OR('Data entry'!$B$68="Confirmed",'Data entry'!$B$68="Probable")),"sx","")</f>
        <v/>
      </c>
      <c r="BR192" t="str">
        <f>IF(AND(BR$4='Data entry'!$R$68, OR('Data entry'!$B$68="Confirmed",'Data entry'!$B$68="Probable")),"sx","")</f>
        <v/>
      </c>
      <c r="BS192" t="str">
        <f>IF(AND(BS$4='Data entry'!$R$68, OR('Data entry'!$B$68="Confirmed",'Data entry'!$B$68="Probable")),"sx","")</f>
        <v/>
      </c>
      <c r="BT192" t="str">
        <f>IF(AND(BT$4='Data entry'!$R$68, OR('Data entry'!$B$68="Confirmed",'Data entry'!$B$68="Probable")),"sx","")</f>
        <v/>
      </c>
      <c r="BU192" t="str">
        <f>IF(AND(BU$4='Data entry'!$R$68, OR('Data entry'!$B$68="Confirmed",'Data entry'!$B$68="Probable")),"sx","")</f>
        <v/>
      </c>
      <c r="BV192" t="str">
        <f>IF(AND(BV$4='Data entry'!$R$68, OR('Data entry'!$B$68="Confirmed",'Data entry'!$B$68="Probable")),"sx","")</f>
        <v/>
      </c>
      <c r="BW192" t="str">
        <f>IF(AND(BW$4='Data entry'!$R$68, OR('Data entry'!$B$68="Confirmed",'Data entry'!$B$68="Probable")),"sx","")</f>
        <v/>
      </c>
      <c r="BX192" t="str">
        <f>IF(AND(BX$4='Data entry'!$R$68, OR('Data entry'!$B$68="Confirmed",'Data entry'!$B$68="Probable")),"sx","")</f>
        <v/>
      </c>
      <c r="BY192" t="str">
        <f>IF(AND(BY$4='Data entry'!$R$68, OR('Data entry'!$B$68="Confirmed",'Data entry'!$B$68="Probable")),"sx","")</f>
        <v/>
      </c>
      <c r="BZ192" t="str">
        <f>IF(AND(BZ$4='Data entry'!$R$68, OR('Data entry'!$B$68="Confirmed",'Data entry'!$B$68="Probable")),"sx","")</f>
        <v/>
      </c>
      <c r="CA192" t="str">
        <f>IF(AND(CA$4='Data entry'!$R$68, OR('Data entry'!$B$68="Confirmed",'Data entry'!$B$68="Probable")),"sx","")</f>
        <v/>
      </c>
      <c r="CB192" t="str">
        <f>IF(AND(CB$4='Data entry'!$R$68, OR('Data entry'!$B$68="Confirmed",'Data entry'!$B$68="Probable")),"sx","")</f>
        <v/>
      </c>
      <c r="CC192" t="str">
        <f>IF(AND(CC$4='Data entry'!$R$68, OR('Data entry'!$B$68="Confirmed",'Data entry'!$B$68="Probable")),"sx","")</f>
        <v/>
      </c>
    </row>
    <row r="193" spans="1:81" s="64" customFormat="1" ht="2.25" customHeight="1" thickBot="1" x14ac:dyDescent="0.25">
      <c r="A193" s="671"/>
      <c r="B193" s="672"/>
      <c r="C193" s="69"/>
    </row>
    <row r="194" spans="1:81" s="63" customFormat="1" ht="15.75" thickTop="1" x14ac:dyDescent="0.2">
      <c r="A194" s="670" t="str">
        <f>CONCATENATE('Data entry'!J69, " ", 'Data entry'!I69)</f>
        <v xml:space="preserve"> </v>
      </c>
      <c r="B194" s="670"/>
      <c r="C194" s="67"/>
    </row>
    <row r="195" spans="1:81" x14ac:dyDescent="0.2">
      <c r="A195" s="668" t="str">
        <f>CONCATENATE('Data entry'!B69, ", ", 'Data entry'!AO69, ", ", 'Data entry'!AR69)</f>
        <v xml:space="preserve">, , </v>
      </c>
      <c r="B195" s="668"/>
      <c r="C195" s="68"/>
      <c r="Q195" t="str">
        <f>IF(AND(Q$4='Data entry'!$R$69, OR('Data entry'!$B$69="Confirmed",'Data entry'!$B$69="Probable")),"sx","")</f>
        <v/>
      </c>
      <c r="R195" t="str">
        <f>IF(AND(R$4='Data entry'!$R$69, OR('Data entry'!$B$69="Confirmed",'Data entry'!$B$69="Probable")),"sx","")</f>
        <v/>
      </c>
      <c r="S195" t="str">
        <f>IF(AND(S$4='Data entry'!$R$69, OR('Data entry'!$B$69="Confirmed",'Data entry'!$B$69="Probable")),"sx","")</f>
        <v/>
      </c>
      <c r="T195" t="str">
        <f>IF(AND(T$4='Data entry'!$R$69, OR('Data entry'!$B$69="Confirmed",'Data entry'!$B$69="Probable")),"sx","")</f>
        <v/>
      </c>
      <c r="U195" t="str">
        <f>IF(AND(U$4='Data entry'!$R$69, OR('Data entry'!$B$69="Confirmed",'Data entry'!$B$69="Probable")),"sx","")</f>
        <v/>
      </c>
      <c r="V195" t="str">
        <f>IF(AND(V$4='Data entry'!$R$69, OR('Data entry'!$B$69="Confirmed",'Data entry'!$B$69="Probable")),"sx","")</f>
        <v/>
      </c>
      <c r="W195" t="str">
        <f>IF(AND(W$4='Data entry'!$R$69, OR('Data entry'!$B$69="Confirmed",'Data entry'!$B$69="Probable")),"sx","")</f>
        <v/>
      </c>
      <c r="X195" t="str">
        <f>IF(AND(X$4='Data entry'!$R$69, OR('Data entry'!$B$69="Confirmed",'Data entry'!$B$69="Probable")),"sx","")</f>
        <v/>
      </c>
      <c r="Y195" t="str">
        <f>IF(AND(Y$4='Data entry'!$R$69, OR('Data entry'!$B$69="Confirmed",'Data entry'!$B$69="Probable")),"sx","")</f>
        <v/>
      </c>
      <c r="Z195" t="str">
        <f>IF(AND(Z$4='Data entry'!$R$69, OR('Data entry'!$B$69="Confirmed",'Data entry'!$B$69="Probable")),"sx","")</f>
        <v/>
      </c>
      <c r="AA195" t="str">
        <f>IF(AND(AA$4='Data entry'!$R$69, OR('Data entry'!$B$69="Confirmed",'Data entry'!$B$69="Probable")),"sx","")</f>
        <v/>
      </c>
      <c r="AB195" t="str">
        <f>IF(AND(AB$4='Data entry'!$R$69, OR('Data entry'!$B$69="Confirmed",'Data entry'!$B$69="Probable")),"sx","")</f>
        <v/>
      </c>
      <c r="AC195" t="str">
        <f>IF(AND(AC$4='Data entry'!$R$69, OR('Data entry'!$B$69="Confirmed",'Data entry'!$B$69="Probable")),"sx","")</f>
        <v/>
      </c>
      <c r="AD195" t="str">
        <f>IF(AND(AD$4='Data entry'!$R$69, OR('Data entry'!$B$69="Confirmed",'Data entry'!$B$69="Probable")),"sx","")</f>
        <v/>
      </c>
      <c r="AE195" t="str">
        <f>IF(AND(AE$4='Data entry'!$R$69, OR('Data entry'!$B$69="Confirmed",'Data entry'!$B$69="Probable")),"sx","")</f>
        <v/>
      </c>
      <c r="AF195" t="str">
        <f>IF(AND(AF$4='Data entry'!$R$69, OR('Data entry'!$B$69="Confirmed",'Data entry'!$B$69="Probable")),"sx","")</f>
        <v/>
      </c>
      <c r="AG195" t="str">
        <f>IF(AND(AG$4='Data entry'!$R$69, OR('Data entry'!$B$69="Confirmed",'Data entry'!$B$69="Probable")),"sx","")</f>
        <v/>
      </c>
      <c r="AH195" t="str">
        <f>IF(AND(AH$4='Data entry'!$R$69, OR('Data entry'!$B$69="Confirmed",'Data entry'!$B$69="Probable")),"sx","")</f>
        <v/>
      </c>
      <c r="AI195" t="str">
        <f>IF(AND(AI$4='Data entry'!$R$69, OR('Data entry'!$B$69="Confirmed",'Data entry'!$B$69="Probable")),"sx","")</f>
        <v/>
      </c>
      <c r="AJ195" t="str">
        <f>IF(AND(AJ$4='Data entry'!$R$69, OR('Data entry'!$B$69="Confirmed",'Data entry'!$B$69="Probable")),"sx","")</f>
        <v/>
      </c>
      <c r="AK195" t="str">
        <f>IF(AND(AK$4='Data entry'!$R$69, OR('Data entry'!$B$69="Confirmed",'Data entry'!$B$69="Probable")),"sx","")</f>
        <v/>
      </c>
      <c r="AL195" t="str">
        <f>IF(AND(AL$4='Data entry'!$R$69, OR('Data entry'!$B$69="Confirmed",'Data entry'!$B$69="Probable")),"sx","")</f>
        <v/>
      </c>
      <c r="AM195" t="str">
        <f>IF(AND(AM$4='Data entry'!$R$69, OR('Data entry'!$B$69="Confirmed",'Data entry'!$B$69="Probable")),"sx","")</f>
        <v/>
      </c>
      <c r="AN195" t="str">
        <f>IF(AND(AN$4='Data entry'!$R$69, OR('Data entry'!$B$69="Confirmed",'Data entry'!$B$69="Probable")),"sx","")</f>
        <v/>
      </c>
      <c r="AO195" t="str">
        <f>IF(AND(AO$4='Data entry'!$R$69, OR('Data entry'!$B$69="Confirmed",'Data entry'!$B$69="Probable")),"sx","")</f>
        <v/>
      </c>
      <c r="AP195" t="str">
        <f>IF(AND(AP$4='Data entry'!$R$69, OR('Data entry'!$B$69="Confirmed",'Data entry'!$B$69="Probable")),"sx","")</f>
        <v/>
      </c>
      <c r="AQ195" t="str">
        <f>IF(AND(AQ$4='Data entry'!$R$69, OR('Data entry'!$B$69="Confirmed",'Data entry'!$B$69="Probable")),"sx","")</f>
        <v/>
      </c>
      <c r="AR195" t="str">
        <f>IF(AND(AR$4='Data entry'!$R$69, OR('Data entry'!$B$69="Confirmed",'Data entry'!$B$69="Probable")),"sx","")</f>
        <v/>
      </c>
      <c r="AS195" t="str">
        <f>IF(AND(AS$4='Data entry'!$R$69, OR('Data entry'!$B$69="Confirmed",'Data entry'!$B$69="Probable")),"sx","")</f>
        <v/>
      </c>
      <c r="AT195" t="str">
        <f>IF(AND(AT$4='Data entry'!$R$69, OR('Data entry'!$B$69="Confirmed",'Data entry'!$B$69="Probable")),"sx","")</f>
        <v/>
      </c>
      <c r="AU195" t="str">
        <f>IF(AND(AU$4='Data entry'!$R$69, OR('Data entry'!$B$69="Confirmed",'Data entry'!$B$69="Probable")),"sx","")</f>
        <v/>
      </c>
      <c r="AV195" t="str">
        <f>IF(AND(AV$4='Data entry'!$R$69, OR('Data entry'!$B$69="Confirmed",'Data entry'!$B$69="Probable")),"sx","")</f>
        <v/>
      </c>
      <c r="AW195" t="str">
        <f>IF(AND(AW$4='Data entry'!$R$69, OR('Data entry'!$B$69="Confirmed",'Data entry'!$B$69="Probable")),"sx","")</f>
        <v/>
      </c>
      <c r="AX195" t="str">
        <f>IF(AND(AX$4='Data entry'!$R$69, OR('Data entry'!$B$69="Confirmed",'Data entry'!$B$69="Probable")),"sx","")</f>
        <v/>
      </c>
      <c r="AY195" t="str">
        <f>IF(AND(AY$4='Data entry'!$R$69, OR('Data entry'!$B$69="Confirmed",'Data entry'!$B$69="Probable")),"sx","")</f>
        <v/>
      </c>
      <c r="AZ195" t="str">
        <f>IF(AND(AZ$4='Data entry'!$R$69, OR('Data entry'!$B$69="Confirmed",'Data entry'!$B$69="Probable")),"sx","")</f>
        <v/>
      </c>
      <c r="BA195" t="str">
        <f>IF(AND(BA$4='Data entry'!$R$69, OR('Data entry'!$B$69="Confirmed",'Data entry'!$B$69="Probable")),"sx","")</f>
        <v/>
      </c>
      <c r="BB195" t="str">
        <f>IF(AND(BB$4='Data entry'!$R$69, OR('Data entry'!$B$69="Confirmed",'Data entry'!$B$69="Probable")),"sx","")</f>
        <v/>
      </c>
      <c r="BC195" t="str">
        <f>IF(AND(BC$4='Data entry'!$R$69, OR('Data entry'!$B$69="Confirmed",'Data entry'!$B$69="Probable")),"sx","")</f>
        <v/>
      </c>
      <c r="BD195" t="str">
        <f>IF(AND(BD$4='Data entry'!$R$69, OR('Data entry'!$B$69="Confirmed",'Data entry'!$B$69="Probable")),"sx","")</f>
        <v/>
      </c>
      <c r="BE195" t="str">
        <f>IF(AND(BE$4='Data entry'!$R$69, OR('Data entry'!$B$69="Confirmed",'Data entry'!$B$69="Probable")),"sx","")</f>
        <v/>
      </c>
      <c r="BF195" t="str">
        <f>IF(AND(BF$4='Data entry'!$R$69, OR('Data entry'!$B$69="Confirmed",'Data entry'!$B$69="Probable")),"sx","")</f>
        <v/>
      </c>
      <c r="BG195" t="str">
        <f>IF(AND(BG$4='Data entry'!$R$69, OR('Data entry'!$B$69="Confirmed",'Data entry'!$B$69="Probable")),"sx","")</f>
        <v/>
      </c>
      <c r="BH195" t="str">
        <f>IF(AND(BH$4='Data entry'!$R$69, OR('Data entry'!$B$69="Confirmed",'Data entry'!$B$69="Probable")),"sx","")</f>
        <v/>
      </c>
      <c r="BI195" t="str">
        <f>IF(AND(BI$4='Data entry'!$R$69, OR('Data entry'!$B$69="Confirmed",'Data entry'!$B$69="Probable")),"sx","")</f>
        <v/>
      </c>
      <c r="BJ195" t="str">
        <f>IF(AND(BJ$4='Data entry'!$R$69, OR('Data entry'!$B$69="Confirmed",'Data entry'!$B$69="Probable")),"sx","")</f>
        <v/>
      </c>
      <c r="BK195" t="str">
        <f>IF(AND(BK$4='Data entry'!$R$69, OR('Data entry'!$B$69="Confirmed",'Data entry'!$B$69="Probable")),"sx","")</f>
        <v/>
      </c>
      <c r="BL195" t="str">
        <f>IF(AND(BL$4='Data entry'!$R$69, OR('Data entry'!$B$69="Confirmed",'Data entry'!$B$69="Probable")),"sx","")</f>
        <v/>
      </c>
      <c r="BM195" t="str">
        <f>IF(AND(BM$4='Data entry'!$R$69, OR('Data entry'!$B$69="Confirmed",'Data entry'!$B$69="Probable")),"sx","")</f>
        <v/>
      </c>
      <c r="BN195" t="str">
        <f>IF(AND(BN$4='Data entry'!$R$69, OR('Data entry'!$B$69="Confirmed",'Data entry'!$B$69="Probable")),"sx","")</f>
        <v/>
      </c>
      <c r="BO195" t="str">
        <f>IF(AND(BO$4='Data entry'!$R$69, OR('Data entry'!$B$69="Confirmed",'Data entry'!$B$69="Probable")),"sx","")</f>
        <v/>
      </c>
      <c r="BP195" t="str">
        <f>IF(AND(BP$4='Data entry'!$R$69, OR('Data entry'!$B$69="Confirmed",'Data entry'!$B$69="Probable")),"sx","")</f>
        <v/>
      </c>
      <c r="BQ195" t="str">
        <f>IF(AND(BQ$4='Data entry'!$R$69, OR('Data entry'!$B$69="Confirmed",'Data entry'!$B$69="Probable")),"sx","")</f>
        <v/>
      </c>
      <c r="BR195" t="str">
        <f>IF(AND(BR$4='Data entry'!$R$69, OR('Data entry'!$B$69="Confirmed",'Data entry'!$B$69="Probable")),"sx","")</f>
        <v/>
      </c>
      <c r="BS195" t="str">
        <f>IF(AND(BS$4='Data entry'!$R$69, OR('Data entry'!$B$69="Confirmed",'Data entry'!$B$69="Probable")),"sx","")</f>
        <v/>
      </c>
      <c r="BT195" t="str">
        <f>IF(AND(BT$4='Data entry'!$R$69, OR('Data entry'!$B$69="Confirmed",'Data entry'!$B$69="Probable")),"sx","")</f>
        <v/>
      </c>
      <c r="BU195" t="str">
        <f>IF(AND(BU$4='Data entry'!$R$69, OR('Data entry'!$B$69="Confirmed",'Data entry'!$B$69="Probable")),"sx","")</f>
        <v/>
      </c>
      <c r="BV195" t="str">
        <f>IF(AND(BV$4='Data entry'!$R$69, OR('Data entry'!$B$69="Confirmed",'Data entry'!$B$69="Probable")),"sx","")</f>
        <v/>
      </c>
      <c r="BW195" t="str">
        <f>IF(AND(BW$4='Data entry'!$R$69, OR('Data entry'!$B$69="Confirmed",'Data entry'!$B$69="Probable")),"sx","")</f>
        <v/>
      </c>
      <c r="BX195" t="str">
        <f>IF(AND(BX$4='Data entry'!$R$69, OR('Data entry'!$B$69="Confirmed",'Data entry'!$B$69="Probable")),"sx","")</f>
        <v/>
      </c>
      <c r="BY195" t="str">
        <f>IF(AND(BY$4='Data entry'!$R$69, OR('Data entry'!$B$69="Confirmed",'Data entry'!$B$69="Probable")),"sx","")</f>
        <v/>
      </c>
      <c r="BZ195" t="str">
        <f>IF(AND(BZ$4='Data entry'!$R$69, OR('Data entry'!$B$69="Confirmed",'Data entry'!$B$69="Probable")),"sx","")</f>
        <v/>
      </c>
      <c r="CA195" t="str">
        <f>IF(AND(CA$4='Data entry'!$R$69, OR('Data entry'!$B$69="Confirmed",'Data entry'!$B$69="Probable")),"sx","")</f>
        <v/>
      </c>
      <c r="CB195" t="str">
        <f>IF(AND(CB$4='Data entry'!$R$69, OR('Data entry'!$B$69="Confirmed",'Data entry'!$B$69="Probable")),"sx","")</f>
        <v/>
      </c>
      <c r="CC195" t="str">
        <f>IF(AND(CC$4='Data entry'!$R$69, OR('Data entry'!$B$69="Confirmed",'Data entry'!$B$69="Probable")),"sx","")</f>
        <v/>
      </c>
    </row>
    <row r="196" spans="1:81" s="64" customFormat="1" ht="2.25" customHeight="1" thickBot="1" x14ac:dyDescent="0.25">
      <c r="A196" s="671"/>
      <c r="B196" s="672"/>
      <c r="C196" s="69"/>
    </row>
    <row r="197" spans="1:81" s="63" customFormat="1" ht="15.75" thickTop="1" x14ac:dyDescent="0.2">
      <c r="A197" s="670" t="str">
        <f>CONCATENATE('Data entry'!J70, " ", 'Data entry'!I70)</f>
        <v xml:space="preserve"> </v>
      </c>
      <c r="B197" s="670"/>
      <c r="C197" s="67"/>
    </row>
    <row r="198" spans="1:81" x14ac:dyDescent="0.2">
      <c r="A198" s="668" t="str">
        <f>CONCATENATE('Data entry'!B70, ", ", 'Data entry'!AO70, ", ", 'Data entry'!AR70)</f>
        <v xml:space="preserve">, , </v>
      </c>
      <c r="B198" s="668"/>
      <c r="C198" s="68"/>
      <c r="Q198" t="str">
        <f>IF(AND(Q$4='Data entry'!$R$70, OR('Data entry'!$B$70="Confirmed",'Data entry'!$B$70="Probable")),"sx","")</f>
        <v/>
      </c>
      <c r="R198" t="str">
        <f>IF(AND(R$4='Data entry'!$R$70, OR('Data entry'!$B$70="Confirmed",'Data entry'!$B$70="Probable")),"sx","")</f>
        <v/>
      </c>
      <c r="S198" t="str">
        <f>IF(AND(S$4='Data entry'!$R$70, OR('Data entry'!$B$70="Confirmed",'Data entry'!$B$70="Probable")),"sx","")</f>
        <v/>
      </c>
      <c r="T198" t="str">
        <f>IF(AND(T$4='Data entry'!$R$70, OR('Data entry'!$B$70="Confirmed",'Data entry'!$B$70="Probable")),"sx","")</f>
        <v/>
      </c>
      <c r="U198" t="str">
        <f>IF(AND(U$4='Data entry'!$R$70, OR('Data entry'!$B$70="Confirmed",'Data entry'!$B$70="Probable")),"sx","")</f>
        <v/>
      </c>
      <c r="V198" t="str">
        <f>IF(AND(V$4='Data entry'!$R$70, OR('Data entry'!$B$70="Confirmed",'Data entry'!$B$70="Probable")),"sx","")</f>
        <v/>
      </c>
      <c r="W198" t="str">
        <f>IF(AND(W$4='Data entry'!$R$70, OR('Data entry'!$B$70="Confirmed",'Data entry'!$B$70="Probable")),"sx","")</f>
        <v/>
      </c>
      <c r="X198" t="str">
        <f>IF(AND(X$4='Data entry'!$R$70, OR('Data entry'!$B$70="Confirmed",'Data entry'!$B$70="Probable")),"sx","")</f>
        <v/>
      </c>
      <c r="Y198" t="str">
        <f>IF(AND(Y$4='Data entry'!$R$70, OR('Data entry'!$B$70="Confirmed",'Data entry'!$B$70="Probable")),"sx","")</f>
        <v/>
      </c>
      <c r="Z198" t="str">
        <f>IF(AND(Z$4='Data entry'!$R$70, OR('Data entry'!$B$70="Confirmed",'Data entry'!$B$70="Probable")),"sx","")</f>
        <v/>
      </c>
      <c r="AA198" t="str">
        <f>IF(AND(AA$4='Data entry'!$R$70, OR('Data entry'!$B$70="Confirmed",'Data entry'!$B$70="Probable")),"sx","")</f>
        <v/>
      </c>
      <c r="AB198" t="str">
        <f>IF(AND(AB$4='Data entry'!$R$70, OR('Data entry'!$B$70="Confirmed",'Data entry'!$B$70="Probable")),"sx","")</f>
        <v/>
      </c>
      <c r="AC198" t="str">
        <f>IF(AND(AC$4='Data entry'!$R$70, OR('Data entry'!$B$70="Confirmed",'Data entry'!$B$70="Probable")),"sx","")</f>
        <v/>
      </c>
      <c r="AD198" t="str">
        <f>IF(AND(AD$4='Data entry'!$R$70, OR('Data entry'!$B$70="Confirmed",'Data entry'!$B$70="Probable")),"sx","")</f>
        <v/>
      </c>
      <c r="AE198" t="str">
        <f>IF(AND(AE$4='Data entry'!$R$70, OR('Data entry'!$B$70="Confirmed",'Data entry'!$B$70="Probable")),"sx","")</f>
        <v/>
      </c>
      <c r="AF198" t="str">
        <f>IF(AND(AF$4='Data entry'!$R$70, OR('Data entry'!$B$70="Confirmed",'Data entry'!$B$70="Probable")),"sx","")</f>
        <v/>
      </c>
      <c r="AG198" t="str">
        <f>IF(AND(AG$4='Data entry'!$R$70, OR('Data entry'!$B$70="Confirmed",'Data entry'!$B$70="Probable")),"sx","")</f>
        <v/>
      </c>
      <c r="AH198" t="str">
        <f>IF(AND(AH$4='Data entry'!$R$70, OR('Data entry'!$B$70="Confirmed",'Data entry'!$B$70="Probable")),"sx","")</f>
        <v/>
      </c>
      <c r="AI198" t="str">
        <f>IF(AND(AI$4='Data entry'!$R$70, OR('Data entry'!$B$70="Confirmed",'Data entry'!$B$70="Probable")),"sx","")</f>
        <v/>
      </c>
      <c r="AJ198" t="str">
        <f>IF(AND(AJ$4='Data entry'!$R$70, OR('Data entry'!$B$70="Confirmed",'Data entry'!$B$70="Probable")),"sx","")</f>
        <v/>
      </c>
      <c r="AK198" t="str">
        <f>IF(AND(AK$4='Data entry'!$R$70, OR('Data entry'!$B$70="Confirmed",'Data entry'!$B$70="Probable")),"sx","")</f>
        <v/>
      </c>
      <c r="AL198" t="str">
        <f>IF(AND(AL$4='Data entry'!$R$70, OR('Data entry'!$B$70="Confirmed",'Data entry'!$B$70="Probable")),"sx","")</f>
        <v/>
      </c>
      <c r="AM198" t="str">
        <f>IF(AND(AM$4='Data entry'!$R$70, OR('Data entry'!$B$70="Confirmed",'Data entry'!$B$70="Probable")),"sx","")</f>
        <v/>
      </c>
      <c r="AN198" t="str">
        <f>IF(AND(AN$4='Data entry'!$R$70, OR('Data entry'!$B$70="Confirmed",'Data entry'!$B$70="Probable")),"sx","")</f>
        <v/>
      </c>
      <c r="AO198" t="str">
        <f>IF(AND(AO$4='Data entry'!$R$70, OR('Data entry'!$B$70="Confirmed",'Data entry'!$B$70="Probable")),"sx","")</f>
        <v/>
      </c>
      <c r="AP198" t="str">
        <f>IF(AND(AP$4='Data entry'!$R$70, OR('Data entry'!$B$70="Confirmed",'Data entry'!$B$70="Probable")),"sx","")</f>
        <v/>
      </c>
      <c r="AQ198" t="str">
        <f>IF(AND(AQ$4='Data entry'!$R$70, OR('Data entry'!$B$70="Confirmed",'Data entry'!$B$70="Probable")),"sx","")</f>
        <v/>
      </c>
      <c r="AR198" t="str">
        <f>IF(AND(AR$4='Data entry'!$R$70, OR('Data entry'!$B$70="Confirmed",'Data entry'!$B$70="Probable")),"sx","")</f>
        <v/>
      </c>
      <c r="AS198" t="str">
        <f>IF(AND(AS$4='Data entry'!$R$70, OR('Data entry'!$B$70="Confirmed",'Data entry'!$B$70="Probable")),"sx","")</f>
        <v/>
      </c>
      <c r="AT198" t="str">
        <f>IF(AND(AT$4='Data entry'!$R$70, OR('Data entry'!$B$70="Confirmed",'Data entry'!$B$70="Probable")),"sx","")</f>
        <v/>
      </c>
      <c r="AU198" t="str">
        <f>IF(AND(AU$4='Data entry'!$R$70, OR('Data entry'!$B$70="Confirmed",'Data entry'!$B$70="Probable")),"sx","")</f>
        <v/>
      </c>
      <c r="AV198" t="str">
        <f>IF(AND(AV$4='Data entry'!$R$70, OR('Data entry'!$B$70="Confirmed",'Data entry'!$B$70="Probable")),"sx","")</f>
        <v/>
      </c>
      <c r="AW198" t="str">
        <f>IF(AND(AW$4='Data entry'!$R$70, OR('Data entry'!$B$70="Confirmed",'Data entry'!$B$70="Probable")),"sx","")</f>
        <v/>
      </c>
      <c r="AX198" t="str">
        <f>IF(AND(AX$4='Data entry'!$R$70, OR('Data entry'!$B$70="Confirmed",'Data entry'!$B$70="Probable")),"sx","")</f>
        <v/>
      </c>
      <c r="AY198" t="str">
        <f>IF(AND(AY$4='Data entry'!$R$70, OR('Data entry'!$B$70="Confirmed",'Data entry'!$B$70="Probable")),"sx","")</f>
        <v/>
      </c>
      <c r="AZ198" t="str">
        <f>IF(AND(AZ$4='Data entry'!$R$70, OR('Data entry'!$B$70="Confirmed",'Data entry'!$B$70="Probable")),"sx","")</f>
        <v/>
      </c>
      <c r="BA198" t="str">
        <f>IF(AND(BA$4='Data entry'!$R$70, OR('Data entry'!$B$70="Confirmed",'Data entry'!$B$70="Probable")),"sx","")</f>
        <v/>
      </c>
      <c r="BB198" t="str">
        <f>IF(AND(BB$4='Data entry'!$R$70, OR('Data entry'!$B$70="Confirmed",'Data entry'!$B$70="Probable")),"sx","")</f>
        <v/>
      </c>
      <c r="BC198" t="str">
        <f>IF(AND(BC$4='Data entry'!$R$70, OR('Data entry'!$B$70="Confirmed",'Data entry'!$B$70="Probable")),"sx","")</f>
        <v/>
      </c>
      <c r="BD198" t="str">
        <f>IF(AND(BD$4='Data entry'!$R$70, OR('Data entry'!$B$70="Confirmed",'Data entry'!$B$70="Probable")),"sx","")</f>
        <v/>
      </c>
      <c r="BE198" t="str">
        <f>IF(AND(BE$4='Data entry'!$R$70, OR('Data entry'!$B$70="Confirmed",'Data entry'!$B$70="Probable")),"sx","")</f>
        <v/>
      </c>
      <c r="BF198" t="str">
        <f>IF(AND(BF$4='Data entry'!$R$70, OR('Data entry'!$B$70="Confirmed",'Data entry'!$B$70="Probable")),"sx","")</f>
        <v/>
      </c>
      <c r="BG198" t="str">
        <f>IF(AND(BG$4='Data entry'!$R$70, OR('Data entry'!$B$70="Confirmed",'Data entry'!$B$70="Probable")),"sx","")</f>
        <v/>
      </c>
      <c r="BH198" t="str">
        <f>IF(AND(BH$4='Data entry'!$R$70, OR('Data entry'!$B$70="Confirmed",'Data entry'!$B$70="Probable")),"sx","")</f>
        <v/>
      </c>
      <c r="BI198" t="str">
        <f>IF(AND(BI$4='Data entry'!$R$70, OR('Data entry'!$B$70="Confirmed",'Data entry'!$B$70="Probable")),"sx","")</f>
        <v/>
      </c>
      <c r="BJ198" t="str">
        <f>IF(AND(BJ$4='Data entry'!$R$70, OR('Data entry'!$B$70="Confirmed",'Data entry'!$B$70="Probable")),"sx","")</f>
        <v/>
      </c>
      <c r="BK198" t="str">
        <f>IF(AND(BK$4='Data entry'!$R$70, OR('Data entry'!$B$70="Confirmed",'Data entry'!$B$70="Probable")),"sx","")</f>
        <v/>
      </c>
      <c r="BL198" t="str">
        <f>IF(AND(BL$4='Data entry'!$R$70, OR('Data entry'!$B$70="Confirmed",'Data entry'!$B$70="Probable")),"sx","")</f>
        <v/>
      </c>
      <c r="BM198" t="str">
        <f>IF(AND(BM$4='Data entry'!$R$70, OR('Data entry'!$B$70="Confirmed",'Data entry'!$B$70="Probable")),"sx","")</f>
        <v/>
      </c>
      <c r="BN198" t="str">
        <f>IF(AND(BN$4='Data entry'!$R$70, OR('Data entry'!$B$70="Confirmed",'Data entry'!$B$70="Probable")),"sx","")</f>
        <v/>
      </c>
      <c r="BO198" t="str">
        <f>IF(AND(BO$4='Data entry'!$R$70, OR('Data entry'!$B$70="Confirmed",'Data entry'!$B$70="Probable")),"sx","")</f>
        <v/>
      </c>
      <c r="BP198" t="str">
        <f>IF(AND(BP$4='Data entry'!$R$70, OR('Data entry'!$B$70="Confirmed",'Data entry'!$B$70="Probable")),"sx","")</f>
        <v/>
      </c>
      <c r="BQ198" t="str">
        <f>IF(AND(BQ$4='Data entry'!$R$70, OR('Data entry'!$B$70="Confirmed",'Data entry'!$B$70="Probable")),"sx","")</f>
        <v/>
      </c>
      <c r="BR198" t="str">
        <f>IF(AND(BR$4='Data entry'!$R$70, OR('Data entry'!$B$70="Confirmed",'Data entry'!$B$70="Probable")),"sx","")</f>
        <v/>
      </c>
      <c r="BS198" t="str">
        <f>IF(AND(BS$4='Data entry'!$R$70, OR('Data entry'!$B$70="Confirmed",'Data entry'!$B$70="Probable")),"sx","")</f>
        <v/>
      </c>
      <c r="BT198" t="str">
        <f>IF(AND(BT$4='Data entry'!$R$70, OR('Data entry'!$B$70="Confirmed",'Data entry'!$B$70="Probable")),"sx","")</f>
        <v/>
      </c>
      <c r="BU198" t="str">
        <f>IF(AND(BU$4='Data entry'!$R$70, OR('Data entry'!$B$70="Confirmed",'Data entry'!$B$70="Probable")),"sx","")</f>
        <v/>
      </c>
      <c r="BV198" t="str">
        <f>IF(AND(BV$4='Data entry'!$R$70, OR('Data entry'!$B$70="Confirmed",'Data entry'!$B$70="Probable")),"sx","")</f>
        <v/>
      </c>
      <c r="BW198" t="str">
        <f>IF(AND(BW$4='Data entry'!$R$70, OR('Data entry'!$B$70="Confirmed",'Data entry'!$B$70="Probable")),"sx","")</f>
        <v/>
      </c>
      <c r="BX198" t="str">
        <f>IF(AND(BX$4='Data entry'!$R$70, OR('Data entry'!$B$70="Confirmed",'Data entry'!$B$70="Probable")),"sx","")</f>
        <v/>
      </c>
      <c r="BY198" t="str">
        <f>IF(AND(BY$4='Data entry'!$R$70, OR('Data entry'!$B$70="Confirmed",'Data entry'!$B$70="Probable")),"sx","")</f>
        <v/>
      </c>
      <c r="BZ198" t="str">
        <f>IF(AND(BZ$4='Data entry'!$R$70, OR('Data entry'!$B$70="Confirmed",'Data entry'!$B$70="Probable")),"sx","")</f>
        <v/>
      </c>
      <c r="CA198" t="str">
        <f>IF(AND(CA$4='Data entry'!$R$70, OR('Data entry'!$B$70="Confirmed",'Data entry'!$B$70="Probable")),"sx","")</f>
        <v/>
      </c>
      <c r="CB198" t="str">
        <f>IF(AND(CB$4='Data entry'!$R$70, OR('Data entry'!$B$70="Confirmed",'Data entry'!$B$70="Probable")),"sx","")</f>
        <v/>
      </c>
      <c r="CC198" t="str">
        <f>IF(AND(CC$4='Data entry'!$R$70, OR('Data entry'!$B$70="Confirmed",'Data entry'!$B$70="Probable")),"sx","")</f>
        <v/>
      </c>
    </row>
    <row r="199" spans="1:81" s="64" customFormat="1" ht="2.25" customHeight="1" thickBot="1" x14ac:dyDescent="0.25">
      <c r="A199" s="671"/>
      <c r="B199" s="672"/>
      <c r="C199" s="69"/>
    </row>
    <row r="200" spans="1:81" s="63" customFormat="1" ht="15.75" thickTop="1" x14ac:dyDescent="0.2">
      <c r="A200" s="670" t="str">
        <f>CONCATENATE('Data entry'!J71, " ", 'Data entry'!I71)</f>
        <v xml:space="preserve"> </v>
      </c>
      <c r="B200" s="670"/>
      <c r="C200" s="67"/>
    </row>
    <row r="201" spans="1:81" x14ac:dyDescent="0.2">
      <c r="A201" s="668" t="str">
        <f>CONCATENATE('Data entry'!B71, ", ", 'Data entry'!AO71, ", ", 'Data entry'!AR71)</f>
        <v xml:space="preserve">, , </v>
      </c>
      <c r="B201" s="668"/>
      <c r="C201" s="68"/>
      <c r="Q201" t="str">
        <f>IF(AND(Q$4='Data entry'!$R$71, OR('Data entry'!$B$71="Confirmed",'Data entry'!$B$71="Probable")),"sx","")</f>
        <v/>
      </c>
      <c r="R201" t="str">
        <f>IF(AND(R$4='Data entry'!$R$71, OR('Data entry'!$B$71="Confirmed",'Data entry'!$B$71="Probable")),"sx","")</f>
        <v/>
      </c>
      <c r="S201" t="str">
        <f>IF(AND(S$4='Data entry'!$R$71, OR('Data entry'!$B$71="Confirmed",'Data entry'!$B$71="Probable")),"sx","")</f>
        <v/>
      </c>
      <c r="T201" t="str">
        <f>IF(AND(T$4='Data entry'!$R$71, OR('Data entry'!$B$71="Confirmed",'Data entry'!$B$71="Probable")),"sx","")</f>
        <v/>
      </c>
      <c r="U201" t="str">
        <f>IF(AND(U$4='Data entry'!$R$71, OR('Data entry'!$B$71="Confirmed",'Data entry'!$B$71="Probable")),"sx","")</f>
        <v/>
      </c>
      <c r="V201" t="str">
        <f>IF(AND(V$4='Data entry'!$R$71, OR('Data entry'!$B$71="Confirmed",'Data entry'!$B$71="Probable")),"sx","")</f>
        <v/>
      </c>
      <c r="W201" t="str">
        <f>IF(AND(W$4='Data entry'!$R$71, OR('Data entry'!$B$71="Confirmed",'Data entry'!$B$71="Probable")),"sx","")</f>
        <v/>
      </c>
      <c r="X201" t="str">
        <f>IF(AND(X$4='Data entry'!$R$71, OR('Data entry'!$B$71="Confirmed",'Data entry'!$B$71="Probable")),"sx","")</f>
        <v/>
      </c>
      <c r="Y201" t="str">
        <f>IF(AND(Y$4='Data entry'!$R$71, OR('Data entry'!$B$71="Confirmed",'Data entry'!$B$71="Probable")),"sx","")</f>
        <v/>
      </c>
      <c r="Z201" t="str">
        <f>IF(AND(Z$4='Data entry'!$R$71, OR('Data entry'!$B$71="Confirmed",'Data entry'!$B$71="Probable")),"sx","")</f>
        <v/>
      </c>
      <c r="AA201" t="str">
        <f>IF(AND(AA$4='Data entry'!$R$71, OR('Data entry'!$B$71="Confirmed",'Data entry'!$B$71="Probable")),"sx","")</f>
        <v/>
      </c>
      <c r="AB201" t="str">
        <f>IF(AND(AB$4='Data entry'!$R$71, OR('Data entry'!$B$71="Confirmed",'Data entry'!$B$71="Probable")),"sx","")</f>
        <v/>
      </c>
      <c r="AC201" t="str">
        <f>IF(AND(AC$4='Data entry'!$R$71, OR('Data entry'!$B$71="Confirmed",'Data entry'!$B$71="Probable")),"sx","")</f>
        <v/>
      </c>
      <c r="AD201" t="str">
        <f>IF(AND(AD$4='Data entry'!$R$71, OR('Data entry'!$B$71="Confirmed",'Data entry'!$B$71="Probable")),"sx","")</f>
        <v/>
      </c>
      <c r="AE201" t="str">
        <f>IF(AND(AE$4='Data entry'!$R$71, OR('Data entry'!$B$71="Confirmed",'Data entry'!$B$71="Probable")),"sx","")</f>
        <v/>
      </c>
      <c r="AF201" t="str">
        <f>IF(AND(AF$4='Data entry'!$R$71, OR('Data entry'!$B$71="Confirmed",'Data entry'!$B$71="Probable")),"sx","")</f>
        <v/>
      </c>
      <c r="AG201" t="str">
        <f>IF(AND(AG$4='Data entry'!$R$71, OR('Data entry'!$B$71="Confirmed",'Data entry'!$B$71="Probable")),"sx","")</f>
        <v/>
      </c>
      <c r="AH201" t="str">
        <f>IF(AND(AH$4='Data entry'!$R$71, OR('Data entry'!$B$71="Confirmed",'Data entry'!$B$71="Probable")),"sx","")</f>
        <v/>
      </c>
      <c r="AI201" t="str">
        <f>IF(AND(AI$4='Data entry'!$R$71, OR('Data entry'!$B$71="Confirmed",'Data entry'!$B$71="Probable")),"sx","")</f>
        <v/>
      </c>
      <c r="AJ201" t="str">
        <f>IF(AND(AJ$4='Data entry'!$R$71, OR('Data entry'!$B$71="Confirmed",'Data entry'!$B$71="Probable")),"sx","")</f>
        <v/>
      </c>
      <c r="AK201" t="str">
        <f>IF(AND(AK$4='Data entry'!$R$71, OR('Data entry'!$B$71="Confirmed",'Data entry'!$B$71="Probable")),"sx","")</f>
        <v/>
      </c>
      <c r="AL201" t="str">
        <f>IF(AND(AL$4='Data entry'!$R$71, OR('Data entry'!$B$71="Confirmed",'Data entry'!$B$71="Probable")),"sx","")</f>
        <v/>
      </c>
      <c r="AM201" t="str">
        <f>IF(AND(AM$4='Data entry'!$R$71, OR('Data entry'!$B$71="Confirmed",'Data entry'!$B$71="Probable")),"sx","")</f>
        <v/>
      </c>
      <c r="AN201" t="str">
        <f>IF(AND(AN$4='Data entry'!$R$71, OR('Data entry'!$B$71="Confirmed",'Data entry'!$B$71="Probable")),"sx","")</f>
        <v/>
      </c>
      <c r="AO201" t="str">
        <f>IF(AND(AO$4='Data entry'!$R$71, OR('Data entry'!$B$71="Confirmed",'Data entry'!$B$71="Probable")),"sx","")</f>
        <v/>
      </c>
      <c r="AP201" t="str">
        <f>IF(AND(AP$4='Data entry'!$R$71, OR('Data entry'!$B$71="Confirmed",'Data entry'!$B$71="Probable")),"sx","")</f>
        <v/>
      </c>
      <c r="AQ201" t="str">
        <f>IF(AND(AQ$4='Data entry'!$R$71, OR('Data entry'!$B$71="Confirmed",'Data entry'!$B$71="Probable")),"sx","")</f>
        <v/>
      </c>
      <c r="AR201" t="str">
        <f>IF(AND(AR$4='Data entry'!$R$71, OR('Data entry'!$B$71="Confirmed",'Data entry'!$B$71="Probable")),"sx","")</f>
        <v/>
      </c>
      <c r="AS201" t="str">
        <f>IF(AND(AS$4='Data entry'!$R$71, OR('Data entry'!$B$71="Confirmed",'Data entry'!$B$71="Probable")),"sx","")</f>
        <v/>
      </c>
      <c r="AT201" t="str">
        <f>IF(AND(AT$4='Data entry'!$R$71, OR('Data entry'!$B$71="Confirmed",'Data entry'!$B$71="Probable")),"sx","")</f>
        <v/>
      </c>
      <c r="AU201" t="str">
        <f>IF(AND(AU$4='Data entry'!$R$71, OR('Data entry'!$B$71="Confirmed",'Data entry'!$B$71="Probable")),"sx","")</f>
        <v/>
      </c>
      <c r="AV201" t="str">
        <f>IF(AND(AV$4='Data entry'!$R$71, OR('Data entry'!$B$71="Confirmed",'Data entry'!$B$71="Probable")),"sx","")</f>
        <v/>
      </c>
      <c r="AW201" t="str">
        <f>IF(AND(AW$4='Data entry'!$R$71, OR('Data entry'!$B$71="Confirmed",'Data entry'!$B$71="Probable")),"sx","")</f>
        <v/>
      </c>
      <c r="AX201" t="str">
        <f>IF(AND(AX$4='Data entry'!$R$71, OR('Data entry'!$B$71="Confirmed",'Data entry'!$B$71="Probable")),"sx","")</f>
        <v/>
      </c>
      <c r="AY201" t="str">
        <f>IF(AND(AY$4='Data entry'!$R$71, OR('Data entry'!$B$71="Confirmed",'Data entry'!$B$71="Probable")),"sx","")</f>
        <v/>
      </c>
      <c r="AZ201" t="str">
        <f>IF(AND(AZ$4='Data entry'!$R$71, OR('Data entry'!$B$71="Confirmed",'Data entry'!$B$71="Probable")),"sx","")</f>
        <v/>
      </c>
      <c r="BA201" t="str">
        <f>IF(AND(BA$4='Data entry'!$R$71, OR('Data entry'!$B$71="Confirmed",'Data entry'!$B$71="Probable")),"sx","")</f>
        <v/>
      </c>
      <c r="BB201" t="str">
        <f>IF(AND(BB$4='Data entry'!$R$71, OR('Data entry'!$B$71="Confirmed",'Data entry'!$B$71="Probable")),"sx","")</f>
        <v/>
      </c>
      <c r="BC201" t="str">
        <f>IF(AND(BC$4='Data entry'!$R$71, OR('Data entry'!$B$71="Confirmed",'Data entry'!$B$71="Probable")),"sx","")</f>
        <v/>
      </c>
      <c r="BD201" t="str">
        <f>IF(AND(BD$4='Data entry'!$R$71, OR('Data entry'!$B$71="Confirmed",'Data entry'!$B$71="Probable")),"sx","")</f>
        <v/>
      </c>
      <c r="BE201" t="str">
        <f>IF(AND(BE$4='Data entry'!$R$71, OR('Data entry'!$B$71="Confirmed",'Data entry'!$B$71="Probable")),"sx","")</f>
        <v/>
      </c>
      <c r="BF201" t="str">
        <f>IF(AND(BF$4='Data entry'!$R$71, OR('Data entry'!$B$71="Confirmed",'Data entry'!$B$71="Probable")),"sx","")</f>
        <v/>
      </c>
      <c r="BG201" t="str">
        <f>IF(AND(BG$4='Data entry'!$R$71, OR('Data entry'!$B$71="Confirmed",'Data entry'!$B$71="Probable")),"sx","")</f>
        <v/>
      </c>
      <c r="BH201" t="str">
        <f>IF(AND(BH$4='Data entry'!$R$71, OR('Data entry'!$B$71="Confirmed",'Data entry'!$B$71="Probable")),"sx","")</f>
        <v/>
      </c>
      <c r="BI201" t="str">
        <f>IF(AND(BI$4='Data entry'!$R$71, OR('Data entry'!$B$71="Confirmed",'Data entry'!$B$71="Probable")),"sx","")</f>
        <v/>
      </c>
      <c r="BJ201" t="str">
        <f>IF(AND(BJ$4='Data entry'!$R$71, OR('Data entry'!$B$71="Confirmed",'Data entry'!$B$71="Probable")),"sx","")</f>
        <v/>
      </c>
      <c r="BK201" t="str">
        <f>IF(AND(BK$4='Data entry'!$R$71, OR('Data entry'!$B$71="Confirmed",'Data entry'!$B$71="Probable")),"sx","")</f>
        <v/>
      </c>
      <c r="BL201" t="str">
        <f>IF(AND(BL$4='Data entry'!$R$71, OR('Data entry'!$B$71="Confirmed",'Data entry'!$B$71="Probable")),"sx","")</f>
        <v/>
      </c>
      <c r="BM201" t="str">
        <f>IF(AND(BM$4='Data entry'!$R$71, OR('Data entry'!$B$71="Confirmed",'Data entry'!$B$71="Probable")),"sx","")</f>
        <v/>
      </c>
      <c r="BN201" t="str">
        <f>IF(AND(BN$4='Data entry'!$R$71, OR('Data entry'!$B$71="Confirmed",'Data entry'!$B$71="Probable")),"sx","")</f>
        <v/>
      </c>
      <c r="BO201" t="str">
        <f>IF(AND(BO$4='Data entry'!$R$71, OR('Data entry'!$B$71="Confirmed",'Data entry'!$B$71="Probable")),"sx","")</f>
        <v/>
      </c>
      <c r="BP201" t="str">
        <f>IF(AND(BP$4='Data entry'!$R$71, OR('Data entry'!$B$71="Confirmed",'Data entry'!$B$71="Probable")),"sx","")</f>
        <v/>
      </c>
      <c r="BQ201" t="str">
        <f>IF(AND(BQ$4='Data entry'!$R$71, OR('Data entry'!$B$71="Confirmed",'Data entry'!$B$71="Probable")),"sx","")</f>
        <v/>
      </c>
      <c r="BR201" t="str">
        <f>IF(AND(BR$4='Data entry'!$R$71, OR('Data entry'!$B$71="Confirmed",'Data entry'!$B$71="Probable")),"sx","")</f>
        <v/>
      </c>
      <c r="BS201" t="str">
        <f>IF(AND(BS$4='Data entry'!$R$71, OR('Data entry'!$B$71="Confirmed",'Data entry'!$B$71="Probable")),"sx","")</f>
        <v/>
      </c>
      <c r="BT201" t="str">
        <f>IF(AND(BT$4='Data entry'!$R$71, OR('Data entry'!$B$71="Confirmed",'Data entry'!$B$71="Probable")),"sx","")</f>
        <v/>
      </c>
      <c r="BU201" t="str">
        <f>IF(AND(BU$4='Data entry'!$R$71, OR('Data entry'!$B$71="Confirmed",'Data entry'!$B$71="Probable")),"sx","")</f>
        <v/>
      </c>
      <c r="BV201" t="str">
        <f>IF(AND(BV$4='Data entry'!$R$71, OR('Data entry'!$B$71="Confirmed",'Data entry'!$B$71="Probable")),"sx","")</f>
        <v/>
      </c>
      <c r="BW201" t="str">
        <f>IF(AND(BW$4='Data entry'!$R$71, OR('Data entry'!$B$71="Confirmed",'Data entry'!$B$71="Probable")),"sx","")</f>
        <v/>
      </c>
      <c r="BX201" t="str">
        <f>IF(AND(BX$4='Data entry'!$R$71, OR('Data entry'!$B$71="Confirmed",'Data entry'!$B$71="Probable")),"sx","")</f>
        <v/>
      </c>
      <c r="BY201" t="str">
        <f>IF(AND(BY$4='Data entry'!$R$71, OR('Data entry'!$B$71="Confirmed",'Data entry'!$B$71="Probable")),"sx","")</f>
        <v/>
      </c>
      <c r="BZ201" t="str">
        <f>IF(AND(BZ$4='Data entry'!$R$71, OR('Data entry'!$B$71="Confirmed",'Data entry'!$B$71="Probable")),"sx","")</f>
        <v/>
      </c>
      <c r="CA201" t="str">
        <f>IF(AND(CA$4='Data entry'!$R$71, OR('Data entry'!$B$71="Confirmed",'Data entry'!$B$71="Probable")),"sx","")</f>
        <v/>
      </c>
      <c r="CB201" t="str">
        <f>IF(AND(CB$4='Data entry'!$R$71, OR('Data entry'!$B$71="Confirmed",'Data entry'!$B$71="Probable")),"sx","")</f>
        <v/>
      </c>
      <c r="CC201" t="str">
        <f>IF(AND(CC$4='Data entry'!$R$71, OR('Data entry'!$B$71="Confirmed",'Data entry'!$B$71="Probable")),"sx","")</f>
        <v/>
      </c>
    </row>
    <row r="202" spans="1:81" s="64" customFormat="1" ht="2.25" customHeight="1" thickBot="1" x14ac:dyDescent="0.25">
      <c r="A202" s="671"/>
      <c r="B202" s="672"/>
      <c r="C202" s="69"/>
    </row>
    <row r="203" spans="1:81" s="63" customFormat="1" ht="15.75" thickTop="1" x14ac:dyDescent="0.2">
      <c r="A203" s="670" t="str">
        <f>CONCATENATE('Data entry'!J72, " ", 'Data entry'!I72)</f>
        <v xml:space="preserve"> </v>
      </c>
      <c r="B203" s="670"/>
      <c r="C203" s="67"/>
    </row>
    <row r="204" spans="1:81" x14ac:dyDescent="0.2">
      <c r="A204" s="668" t="str">
        <f>CONCATENATE('Data entry'!B72, ", ", 'Data entry'!AO72, ", ", 'Data entry'!AR72)</f>
        <v xml:space="preserve">, , </v>
      </c>
      <c r="B204" s="668"/>
      <c r="C204" s="68"/>
      <c r="Q204" t="str">
        <f>IF(AND(Q$4='Data entry'!$R$72, OR('Data entry'!$B$72="Confirmed",'Data entry'!$B$72="Probable")),"sx","")</f>
        <v/>
      </c>
      <c r="R204" t="str">
        <f>IF(AND(R$4='Data entry'!$R$72, OR('Data entry'!$B$72="Confirmed",'Data entry'!$B$72="Probable")),"sx","")</f>
        <v/>
      </c>
      <c r="S204" t="str">
        <f>IF(AND(S$4='Data entry'!$R$72, OR('Data entry'!$B$72="Confirmed",'Data entry'!$B$72="Probable")),"sx","")</f>
        <v/>
      </c>
      <c r="T204" t="str">
        <f>IF(AND(T$4='Data entry'!$R$72, OR('Data entry'!$B$72="Confirmed",'Data entry'!$B$72="Probable")),"sx","")</f>
        <v/>
      </c>
      <c r="U204" t="str">
        <f>IF(AND(U$4='Data entry'!$R$72, OR('Data entry'!$B$72="Confirmed",'Data entry'!$B$72="Probable")),"sx","")</f>
        <v/>
      </c>
      <c r="V204" t="str">
        <f>IF(AND(V$4='Data entry'!$R$72, OR('Data entry'!$B$72="Confirmed",'Data entry'!$B$72="Probable")),"sx","")</f>
        <v/>
      </c>
      <c r="W204" t="str">
        <f>IF(AND(W$4='Data entry'!$R$72, OR('Data entry'!$B$72="Confirmed",'Data entry'!$B$72="Probable")),"sx","")</f>
        <v/>
      </c>
      <c r="X204" t="str">
        <f>IF(AND(X$4='Data entry'!$R$72, OR('Data entry'!$B$72="Confirmed",'Data entry'!$B$72="Probable")),"sx","")</f>
        <v/>
      </c>
      <c r="Y204" t="str">
        <f>IF(AND(Y$4='Data entry'!$R$72, OR('Data entry'!$B$72="Confirmed",'Data entry'!$B$72="Probable")),"sx","")</f>
        <v/>
      </c>
      <c r="Z204" t="str">
        <f>IF(AND(Z$4='Data entry'!$R$72, OR('Data entry'!$B$72="Confirmed",'Data entry'!$B$72="Probable")),"sx","")</f>
        <v/>
      </c>
      <c r="AA204" t="str">
        <f>IF(AND(AA$4='Data entry'!$R$72, OR('Data entry'!$B$72="Confirmed",'Data entry'!$B$72="Probable")),"sx","")</f>
        <v/>
      </c>
      <c r="AB204" t="str">
        <f>IF(AND(AB$4='Data entry'!$R$72, OR('Data entry'!$B$72="Confirmed",'Data entry'!$B$72="Probable")),"sx","")</f>
        <v/>
      </c>
      <c r="AC204" t="str">
        <f>IF(AND(AC$4='Data entry'!$R$72, OR('Data entry'!$B$72="Confirmed",'Data entry'!$B$72="Probable")),"sx","")</f>
        <v/>
      </c>
      <c r="AD204" t="str">
        <f>IF(AND(AD$4='Data entry'!$R$72, OR('Data entry'!$B$72="Confirmed",'Data entry'!$B$72="Probable")),"sx","")</f>
        <v/>
      </c>
      <c r="AE204" t="str">
        <f>IF(AND(AE$4='Data entry'!$R$72, OR('Data entry'!$B$72="Confirmed",'Data entry'!$B$72="Probable")),"sx","")</f>
        <v/>
      </c>
      <c r="AF204" t="str">
        <f>IF(AND(AF$4='Data entry'!$R$72, OR('Data entry'!$B$72="Confirmed",'Data entry'!$B$72="Probable")),"sx","")</f>
        <v/>
      </c>
      <c r="AG204" t="str">
        <f>IF(AND(AG$4='Data entry'!$R$72, OR('Data entry'!$B$72="Confirmed",'Data entry'!$B$72="Probable")),"sx","")</f>
        <v/>
      </c>
      <c r="AH204" t="str">
        <f>IF(AND(AH$4='Data entry'!$R$72, OR('Data entry'!$B$72="Confirmed",'Data entry'!$B$72="Probable")),"sx","")</f>
        <v/>
      </c>
      <c r="AI204" t="str">
        <f>IF(AND(AI$4='Data entry'!$R$72, OR('Data entry'!$B$72="Confirmed",'Data entry'!$B$72="Probable")),"sx","")</f>
        <v/>
      </c>
      <c r="AJ204" t="str">
        <f>IF(AND(AJ$4='Data entry'!$R$72, OR('Data entry'!$B$72="Confirmed",'Data entry'!$B$72="Probable")),"sx","")</f>
        <v/>
      </c>
      <c r="AK204" t="str">
        <f>IF(AND(AK$4='Data entry'!$R$72, OR('Data entry'!$B$72="Confirmed",'Data entry'!$B$72="Probable")),"sx","")</f>
        <v/>
      </c>
      <c r="AL204" t="str">
        <f>IF(AND(AL$4='Data entry'!$R$72, OR('Data entry'!$B$72="Confirmed",'Data entry'!$B$72="Probable")),"sx","")</f>
        <v/>
      </c>
      <c r="AM204" t="str">
        <f>IF(AND(AM$4='Data entry'!$R$72, OR('Data entry'!$B$72="Confirmed",'Data entry'!$B$72="Probable")),"sx","")</f>
        <v/>
      </c>
      <c r="AN204" t="str">
        <f>IF(AND(AN$4='Data entry'!$R$72, OR('Data entry'!$B$72="Confirmed",'Data entry'!$B$72="Probable")),"sx","")</f>
        <v/>
      </c>
      <c r="AO204" t="str">
        <f>IF(AND(AO$4='Data entry'!$R$72, OR('Data entry'!$B$72="Confirmed",'Data entry'!$B$72="Probable")),"sx","")</f>
        <v/>
      </c>
      <c r="AP204" t="str">
        <f>IF(AND(AP$4='Data entry'!$R$72, OR('Data entry'!$B$72="Confirmed",'Data entry'!$B$72="Probable")),"sx","")</f>
        <v/>
      </c>
      <c r="AQ204" t="str">
        <f>IF(AND(AQ$4='Data entry'!$R$72, OR('Data entry'!$B$72="Confirmed",'Data entry'!$B$72="Probable")),"sx","")</f>
        <v/>
      </c>
      <c r="AR204" t="str">
        <f>IF(AND(AR$4='Data entry'!$R$72, OR('Data entry'!$B$72="Confirmed",'Data entry'!$B$72="Probable")),"sx","")</f>
        <v/>
      </c>
      <c r="AS204" t="str">
        <f>IF(AND(AS$4='Data entry'!$R$72, OR('Data entry'!$B$72="Confirmed",'Data entry'!$B$72="Probable")),"sx","")</f>
        <v/>
      </c>
      <c r="AT204" t="str">
        <f>IF(AND(AT$4='Data entry'!$R$72, OR('Data entry'!$B$72="Confirmed",'Data entry'!$B$72="Probable")),"sx","")</f>
        <v/>
      </c>
      <c r="AU204" t="str">
        <f>IF(AND(AU$4='Data entry'!$R$72, OR('Data entry'!$B$72="Confirmed",'Data entry'!$B$72="Probable")),"sx","")</f>
        <v/>
      </c>
      <c r="AV204" t="str">
        <f>IF(AND(AV$4='Data entry'!$R$72, OR('Data entry'!$B$72="Confirmed",'Data entry'!$B$72="Probable")),"sx","")</f>
        <v/>
      </c>
      <c r="AW204" t="str">
        <f>IF(AND(AW$4='Data entry'!$R$72, OR('Data entry'!$B$72="Confirmed",'Data entry'!$B$72="Probable")),"sx","")</f>
        <v/>
      </c>
      <c r="AX204" t="str">
        <f>IF(AND(AX$4='Data entry'!$R$72, OR('Data entry'!$B$72="Confirmed",'Data entry'!$B$72="Probable")),"sx","")</f>
        <v/>
      </c>
      <c r="AY204" t="str">
        <f>IF(AND(AY$4='Data entry'!$R$72, OR('Data entry'!$B$72="Confirmed",'Data entry'!$B$72="Probable")),"sx","")</f>
        <v/>
      </c>
      <c r="AZ204" t="str">
        <f>IF(AND(AZ$4='Data entry'!$R$72, OR('Data entry'!$B$72="Confirmed",'Data entry'!$B$72="Probable")),"sx","")</f>
        <v/>
      </c>
      <c r="BA204" t="str">
        <f>IF(AND(BA$4='Data entry'!$R$72, OR('Data entry'!$B$72="Confirmed",'Data entry'!$B$72="Probable")),"sx","")</f>
        <v/>
      </c>
      <c r="BB204" t="str">
        <f>IF(AND(BB$4='Data entry'!$R$72, OR('Data entry'!$B$72="Confirmed",'Data entry'!$B$72="Probable")),"sx","")</f>
        <v/>
      </c>
      <c r="BC204" t="str">
        <f>IF(AND(BC$4='Data entry'!$R$72, OR('Data entry'!$B$72="Confirmed",'Data entry'!$B$72="Probable")),"sx","")</f>
        <v/>
      </c>
      <c r="BD204" t="str">
        <f>IF(AND(BD$4='Data entry'!$R$72, OR('Data entry'!$B$72="Confirmed",'Data entry'!$B$72="Probable")),"sx","")</f>
        <v/>
      </c>
      <c r="BE204" t="str">
        <f>IF(AND(BE$4='Data entry'!$R$72, OR('Data entry'!$B$72="Confirmed",'Data entry'!$B$72="Probable")),"sx","")</f>
        <v/>
      </c>
      <c r="BF204" t="str">
        <f>IF(AND(BF$4='Data entry'!$R$72, OR('Data entry'!$B$72="Confirmed",'Data entry'!$B$72="Probable")),"sx","")</f>
        <v/>
      </c>
      <c r="BG204" t="str">
        <f>IF(AND(BG$4='Data entry'!$R$72, OR('Data entry'!$B$72="Confirmed",'Data entry'!$B$72="Probable")),"sx","")</f>
        <v/>
      </c>
      <c r="BH204" t="str">
        <f>IF(AND(BH$4='Data entry'!$R$72, OR('Data entry'!$B$72="Confirmed",'Data entry'!$B$72="Probable")),"sx","")</f>
        <v/>
      </c>
      <c r="BI204" t="str">
        <f>IF(AND(BI$4='Data entry'!$R$72, OR('Data entry'!$B$72="Confirmed",'Data entry'!$B$72="Probable")),"sx","")</f>
        <v/>
      </c>
      <c r="BJ204" t="str">
        <f>IF(AND(BJ$4='Data entry'!$R$72, OR('Data entry'!$B$72="Confirmed",'Data entry'!$B$72="Probable")),"sx","")</f>
        <v/>
      </c>
      <c r="BK204" t="str">
        <f>IF(AND(BK$4='Data entry'!$R$72, OR('Data entry'!$B$72="Confirmed",'Data entry'!$B$72="Probable")),"sx","")</f>
        <v/>
      </c>
      <c r="BL204" t="str">
        <f>IF(AND(BL$4='Data entry'!$R$72, OR('Data entry'!$B$72="Confirmed",'Data entry'!$B$72="Probable")),"sx","")</f>
        <v/>
      </c>
      <c r="BM204" t="str">
        <f>IF(AND(BM$4='Data entry'!$R$72, OR('Data entry'!$B$72="Confirmed",'Data entry'!$B$72="Probable")),"sx","")</f>
        <v/>
      </c>
      <c r="BN204" t="str">
        <f>IF(AND(BN$4='Data entry'!$R$72, OR('Data entry'!$B$72="Confirmed",'Data entry'!$B$72="Probable")),"sx","")</f>
        <v/>
      </c>
      <c r="BO204" t="str">
        <f>IF(AND(BO$4='Data entry'!$R$72, OR('Data entry'!$B$72="Confirmed",'Data entry'!$B$72="Probable")),"sx","")</f>
        <v/>
      </c>
      <c r="BP204" t="str">
        <f>IF(AND(BP$4='Data entry'!$R$72, OR('Data entry'!$B$72="Confirmed",'Data entry'!$B$72="Probable")),"sx","")</f>
        <v/>
      </c>
      <c r="BQ204" t="str">
        <f>IF(AND(BQ$4='Data entry'!$R$72, OR('Data entry'!$B$72="Confirmed",'Data entry'!$B$72="Probable")),"sx","")</f>
        <v/>
      </c>
      <c r="BR204" t="str">
        <f>IF(AND(BR$4='Data entry'!$R$72, OR('Data entry'!$B$72="Confirmed",'Data entry'!$B$72="Probable")),"sx","")</f>
        <v/>
      </c>
      <c r="BS204" t="str">
        <f>IF(AND(BS$4='Data entry'!$R$72, OR('Data entry'!$B$72="Confirmed",'Data entry'!$B$72="Probable")),"sx","")</f>
        <v/>
      </c>
      <c r="BT204" t="str">
        <f>IF(AND(BT$4='Data entry'!$R$72, OR('Data entry'!$B$72="Confirmed",'Data entry'!$B$72="Probable")),"sx","")</f>
        <v/>
      </c>
      <c r="BU204" t="str">
        <f>IF(AND(BU$4='Data entry'!$R$72, OR('Data entry'!$B$72="Confirmed",'Data entry'!$B$72="Probable")),"sx","")</f>
        <v/>
      </c>
      <c r="BV204" t="str">
        <f>IF(AND(BV$4='Data entry'!$R$72, OR('Data entry'!$B$72="Confirmed",'Data entry'!$B$72="Probable")),"sx","")</f>
        <v/>
      </c>
      <c r="BW204" t="str">
        <f>IF(AND(BW$4='Data entry'!$R$72, OR('Data entry'!$B$72="Confirmed",'Data entry'!$B$72="Probable")),"sx","")</f>
        <v/>
      </c>
      <c r="BX204" t="str">
        <f>IF(AND(BX$4='Data entry'!$R$72, OR('Data entry'!$B$72="Confirmed",'Data entry'!$B$72="Probable")),"sx","")</f>
        <v/>
      </c>
      <c r="BY204" t="str">
        <f>IF(AND(BY$4='Data entry'!$R$72, OR('Data entry'!$B$72="Confirmed",'Data entry'!$B$72="Probable")),"sx","")</f>
        <v/>
      </c>
      <c r="BZ204" t="str">
        <f>IF(AND(BZ$4='Data entry'!$R$72, OR('Data entry'!$B$72="Confirmed",'Data entry'!$B$72="Probable")),"sx","")</f>
        <v/>
      </c>
      <c r="CA204" t="str">
        <f>IF(AND(CA$4='Data entry'!$R$72, OR('Data entry'!$B$72="Confirmed",'Data entry'!$B$72="Probable")),"sx","")</f>
        <v/>
      </c>
      <c r="CB204" t="str">
        <f>IF(AND(CB$4='Data entry'!$R$72, OR('Data entry'!$B$72="Confirmed",'Data entry'!$B$72="Probable")),"sx","")</f>
        <v/>
      </c>
      <c r="CC204" t="str">
        <f>IF(AND(CC$4='Data entry'!$R$72, OR('Data entry'!$B$72="Confirmed",'Data entry'!$B$72="Probable")),"sx","")</f>
        <v/>
      </c>
    </row>
    <row r="205" spans="1:81" s="64" customFormat="1" ht="2.25" customHeight="1" thickBot="1" x14ac:dyDescent="0.25">
      <c r="A205" s="671"/>
      <c r="B205" s="672"/>
      <c r="C205" s="69"/>
    </row>
    <row r="206" spans="1:81" s="63" customFormat="1" ht="15.75" thickTop="1" x14ac:dyDescent="0.2">
      <c r="A206" s="670" t="str">
        <f>CONCATENATE('Data entry'!J73, " ", 'Data entry'!I73)</f>
        <v xml:space="preserve"> </v>
      </c>
      <c r="B206" s="670"/>
      <c r="C206" s="67"/>
    </row>
    <row r="207" spans="1:81" x14ac:dyDescent="0.2">
      <c r="A207" s="668" t="str">
        <f>CONCATENATE('Data entry'!B73, ", ", 'Data entry'!AO73, ", ", 'Data entry'!AR73)</f>
        <v xml:space="preserve">, , </v>
      </c>
      <c r="B207" s="668"/>
      <c r="C207" s="68"/>
      <c r="Q207" t="str">
        <f>IF(AND(Q$4='Data entry'!$R$73, OR('Data entry'!$B$73="Confirmed",'Data entry'!$B$73="Probable")),"sx","")</f>
        <v/>
      </c>
      <c r="R207" t="str">
        <f>IF(AND(R$4='Data entry'!$R$73, OR('Data entry'!$B$73="Confirmed",'Data entry'!$B$73="Probable")),"sx","")</f>
        <v/>
      </c>
      <c r="S207" t="str">
        <f>IF(AND(S$4='Data entry'!$R$73, OR('Data entry'!$B$73="Confirmed",'Data entry'!$B$73="Probable")),"sx","")</f>
        <v/>
      </c>
      <c r="T207" t="str">
        <f>IF(AND(T$4='Data entry'!$R$73, OR('Data entry'!$B$73="Confirmed",'Data entry'!$B$73="Probable")),"sx","")</f>
        <v/>
      </c>
      <c r="U207" t="str">
        <f>IF(AND(U$4='Data entry'!$R$73, OR('Data entry'!$B$73="Confirmed",'Data entry'!$B$73="Probable")),"sx","")</f>
        <v/>
      </c>
      <c r="V207" t="str">
        <f>IF(AND(V$4='Data entry'!$R$73, OR('Data entry'!$B$73="Confirmed",'Data entry'!$B$73="Probable")),"sx","")</f>
        <v/>
      </c>
      <c r="W207" t="str">
        <f>IF(AND(W$4='Data entry'!$R$73, OR('Data entry'!$B$73="Confirmed",'Data entry'!$B$73="Probable")),"sx","")</f>
        <v/>
      </c>
      <c r="X207" t="str">
        <f>IF(AND(X$4='Data entry'!$R$73, OR('Data entry'!$B$73="Confirmed",'Data entry'!$B$73="Probable")),"sx","")</f>
        <v/>
      </c>
      <c r="Y207" t="str">
        <f>IF(AND(Y$4='Data entry'!$R$73, OR('Data entry'!$B$73="Confirmed",'Data entry'!$B$73="Probable")),"sx","")</f>
        <v/>
      </c>
      <c r="Z207" t="str">
        <f>IF(AND(Z$4='Data entry'!$R$73, OR('Data entry'!$B$73="Confirmed",'Data entry'!$B$73="Probable")),"sx","")</f>
        <v/>
      </c>
      <c r="AA207" t="str">
        <f>IF(AND(AA$4='Data entry'!$R$73, OR('Data entry'!$B$73="Confirmed",'Data entry'!$B$73="Probable")),"sx","")</f>
        <v/>
      </c>
      <c r="AB207" t="str">
        <f>IF(AND(AB$4='Data entry'!$R$73, OR('Data entry'!$B$73="Confirmed",'Data entry'!$B$73="Probable")),"sx","")</f>
        <v/>
      </c>
      <c r="AC207" t="str">
        <f>IF(AND(AC$4='Data entry'!$R$73, OR('Data entry'!$B$73="Confirmed",'Data entry'!$B$73="Probable")),"sx","")</f>
        <v/>
      </c>
      <c r="AD207" t="str">
        <f>IF(AND(AD$4='Data entry'!$R$73, OR('Data entry'!$B$73="Confirmed",'Data entry'!$B$73="Probable")),"sx","")</f>
        <v/>
      </c>
      <c r="AE207" t="str">
        <f>IF(AND(AE$4='Data entry'!$R$73, OR('Data entry'!$B$73="Confirmed",'Data entry'!$B$73="Probable")),"sx","")</f>
        <v/>
      </c>
      <c r="AF207" t="str">
        <f>IF(AND(AF$4='Data entry'!$R$73, OR('Data entry'!$B$73="Confirmed",'Data entry'!$B$73="Probable")),"sx","")</f>
        <v/>
      </c>
      <c r="AG207" t="str">
        <f>IF(AND(AG$4='Data entry'!$R$73, OR('Data entry'!$B$73="Confirmed",'Data entry'!$B$73="Probable")),"sx","")</f>
        <v/>
      </c>
      <c r="AH207" t="str">
        <f>IF(AND(AH$4='Data entry'!$R$73, OR('Data entry'!$B$73="Confirmed",'Data entry'!$B$73="Probable")),"sx","")</f>
        <v/>
      </c>
      <c r="AI207" t="str">
        <f>IF(AND(AI$4='Data entry'!$R$73, OR('Data entry'!$B$73="Confirmed",'Data entry'!$B$73="Probable")),"sx","")</f>
        <v/>
      </c>
      <c r="AJ207" t="str">
        <f>IF(AND(AJ$4='Data entry'!$R$73, OR('Data entry'!$B$73="Confirmed",'Data entry'!$B$73="Probable")),"sx","")</f>
        <v/>
      </c>
      <c r="AK207" t="str">
        <f>IF(AND(AK$4='Data entry'!$R$73, OR('Data entry'!$B$73="Confirmed",'Data entry'!$B$73="Probable")),"sx","")</f>
        <v/>
      </c>
      <c r="AL207" t="str">
        <f>IF(AND(AL$4='Data entry'!$R$73, OR('Data entry'!$B$73="Confirmed",'Data entry'!$B$73="Probable")),"sx","")</f>
        <v/>
      </c>
      <c r="AM207" t="str">
        <f>IF(AND(AM$4='Data entry'!$R$73, OR('Data entry'!$B$73="Confirmed",'Data entry'!$B$73="Probable")),"sx","")</f>
        <v/>
      </c>
      <c r="AN207" t="str">
        <f>IF(AND(AN$4='Data entry'!$R$73, OR('Data entry'!$B$73="Confirmed",'Data entry'!$B$73="Probable")),"sx","")</f>
        <v/>
      </c>
      <c r="AO207" t="str">
        <f>IF(AND(AO$4='Data entry'!$R$73, OR('Data entry'!$B$73="Confirmed",'Data entry'!$B$73="Probable")),"sx","")</f>
        <v/>
      </c>
      <c r="AP207" t="str">
        <f>IF(AND(AP$4='Data entry'!$R$73, OR('Data entry'!$B$73="Confirmed",'Data entry'!$B$73="Probable")),"sx","")</f>
        <v/>
      </c>
      <c r="AQ207" t="str">
        <f>IF(AND(AQ$4='Data entry'!$R$73, OR('Data entry'!$B$73="Confirmed",'Data entry'!$B$73="Probable")),"sx","")</f>
        <v/>
      </c>
      <c r="AR207" t="str">
        <f>IF(AND(AR$4='Data entry'!$R$73, OR('Data entry'!$B$73="Confirmed",'Data entry'!$B$73="Probable")),"sx","")</f>
        <v/>
      </c>
      <c r="AS207" t="str">
        <f>IF(AND(AS$4='Data entry'!$R$73, OR('Data entry'!$B$73="Confirmed",'Data entry'!$B$73="Probable")),"sx","")</f>
        <v/>
      </c>
      <c r="AT207" t="str">
        <f>IF(AND(AT$4='Data entry'!$R$73, OR('Data entry'!$B$73="Confirmed",'Data entry'!$B$73="Probable")),"sx","")</f>
        <v/>
      </c>
      <c r="AU207" t="str">
        <f>IF(AND(AU$4='Data entry'!$R$73, OR('Data entry'!$B$73="Confirmed",'Data entry'!$B$73="Probable")),"sx","")</f>
        <v/>
      </c>
      <c r="AV207" t="str">
        <f>IF(AND(AV$4='Data entry'!$R$73, OR('Data entry'!$B$73="Confirmed",'Data entry'!$B$73="Probable")),"sx","")</f>
        <v/>
      </c>
      <c r="AW207" t="str">
        <f>IF(AND(AW$4='Data entry'!$R$73, OR('Data entry'!$B$73="Confirmed",'Data entry'!$B$73="Probable")),"sx","")</f>
        <v/>
      </c>
      <c r="AX207" t="str">
        <f>IF(AND(AX$4='Data entry'!$R$73, OR('Data entry'!$B$73="Confirmed",'Data entry'!$B$73="Probable")),"sx","")</f>
        <v/>
      </c>
      <c r="AY207" t="str">
        <f>IF(AND(AY$4='Data entry'!$R$73, OR('Data entry'!$B$73="Confirmed",'Data entry'!$B$73="Probable")),"sx","")</f>
        <v/>
      </c>
      <c r="AZ207" t="str">
        <f>IF(AND(AZ$4='Data entry'!$R$73, OR('Data entry'!$B$73="Confirmed",'Data entry'!$B$73="Probable")),"sx","")</f>
        <v/>
      </c>
      <c r="BA207" t="str">
        <f>IF(AND(BA$4='Data entry'!$R$73, OR('Data entry'!$B$73="Confirmed",'Data entry'!$B$73="Probable")),"sx","")</f>
        <v/>
      </c>
      <c r="BB207" t="str">
        <f>IF(AND(BB$4='Data entry'!$R$73, OR('Data entry'!$B$73="Confirmed",'Data entry'!$B$73="Probable")),"sx","")</f>
        <v/>
      </c>
      <c r="BC207" t="str">
        <f>IF(AND(BC$4='Data entry'!$R$73, OR('Data entry'!$B$73="Confirmed",'Data entry'!$B$73="Probable")),"sx","")</f>
        <v/>
      </c>
      <c r="BD207" t="str">
        <f>IF(AND(BD$4='Data entry'!$R$73, OR('Data entry'!$B$73="Confirmed",'Data entry'!$B$73="Probable")),"sx","")</f>
        <v/>
      </c>
      <c r="BE207" t="str">
        <f>IF(AND(BE$4='Data entry'!$R$73, OR('Data entry'!$B$73="Confirmed",'Data entry'!$B$73="Probable")),"sx","")</f>
        <v/>
      </c>
      <c r="BF207" t="str">
        <f>IF(AND(BF$4='Data entry'!$R$73, OR('Data entry'!$B$73="Confirmed",'Data entry'!$B$73="Probable")),"sx","")</f>
        <v/>
      </c>
      <c r="BG207" t="str">
        <f>IF(AND(BG$4='Data entry'!$R$73, OR('Data entry'!$B$73="Confirmed",'Data entry'!$B$73="Probable")),"sx","")</f>
        <v/>
      </c>
      <c r="BH207" t="str">
        <f>IF(AND(BH$4='Data entry'!$R$73, OR('Data entry'!$B$73="Confirmed",'Data entry'!$B$73="Probable")),"sx","")</f>
        <v/>
      </c>
      <c r="BI207" t="str">
        <f>IF(AND(BI$4='Data entry'!$R$73, OR('Data entry'!$B$73="Confirmed",'Data entry'!$B$73="Probable")),"sx","")</f>
        <v/>
      </c>
      <c r="BJ207" t="str">
        <f>IF(AND(BJ$4='Data entry'!$R$73, OR('Data entry'!$B$73="Confirmed",'Data entry'!$B$73="Probable")),"sx","")</f>
        <v/>
      </c>
      <c r="BK207" t="str">
        <f>IF(AND(BK$4='Data entry'!$R$73, OR('Data entry'!$B$73="Confirmed",'Data entry'!$B$73="Probable")),"sx","")</f>
        <v/>
      </c>
      <c r="BL207" t="str">
        <f>IF(AND(BL$4='Data entry'!$R$73, OR('Data entry'!$B$73="Confirmed",'Data entry'!$B$73="Probable")),"sx","")</f>
        <v/>
      </c>
      <c r="BM207" t="str">
        <f>IF(AND(BM$4='Data entry'!$R$73, OR('Data entry'!$B$73="Confirmed",'Data entry'!$B$73="Probable")),"sx","")</f>
        <v/>
      </c>
      <c r="BN207" t="str">
        <f>IF(AND(BN$4='Data entry'!$R$73, OR('Data entry'!$B$73="Confirmed",'Data entry'!$B$73="Probable")),"sx","")</f>
        <v/>
      </c>
      <c r="BO207" t="str">
        <f>IF(AND(BO$4='Data entry'!$R$73, OR('Data entry'!$B$73="Confirmed",'Data entry'!$B$73="Probable")),"sx","")</f>
        <v/>
      </c>
      <c r="BP207" t="str">
        <f>IF(AND(BP$4='Data entry'!$R$73, OR('Data entry'!$B$73="Confirmed",'Data entry'!$B$73="Probable")),"sx","")</f>
        <v/>
      </c>
      <c r="BQ207" t="str">
        <f>IF(AND(BQ$4='Data entry'!$R$73, OR('Data entry'!$B$73="Confirmed",'Data entry'!$B$73="Probable")),"sx","")</f>
        <v/>
      </c>
      <c r="BR207" t="str">
        <f>IF(AND(BR$4='Data entry'!$R$73, OR('Data entry'!$B$73="Confirmed",'Data entry'!$B$73="Probable")),"sx","")</f>
        <v/>
      </c>
      <c r="BS207" t="str">
        <f>IF(AND(BS$4='Data entry'!$R$73, OR('Data entry'!$B$73="Confirmed",'Data entry'!$B$73="Probable")),"sx","")</f>
        <v/>
      </c>
      <c r="BT207" t="str">
        <f>IF(AND(BT$4='Data entry'!$R$73, OR('Data entry'!$B$73="Confirmed",'Data entry'!$B$73="Probable")),"sx","")</f>
        <v/>
      </c>
      <c r="BU207" t="str">
        <f>IF(AND(BU$4='Data entry'!$R$73, OR('Data entry'!$B$73="Confirmed",'Data entry'!$B$73="Probable")),"sx","")</f>
        <v/>
      </c>
      <c r="BV207" t="str">
        <f>IF(AND(BV$4='Data entry'!$R$73, OR('Data entry'!$B$73="Confirmed",'Data entry'!$B$73="Probable")),"sx","")</f>
        <v/>
      </c>
      <c r="BW207" t="str">
        <f>IF(AND(BW$4='Data entry'!$R$73, OR('Data entry'!$B$73="Confirmed",'Data entry'!$B$73="Probable")),"sx","")</f>
        <v/>
      </c>
      <c r="BX207" t="str">
        <f>IF(AND(BX$4='Data entry'!$R$73, OR('Data entry'!$B$73="Confirmed",'Data entry'!$B$73="Probable")),"sx","")</f>
        <v/>
      </c>
      <c r="BY207" t="str">
        <f>IF(AND(BY$4='Data entry'!$R$73, OR('Data entry'!$B$73="Confirmed",'Data entry'!$B$73="Probable")),"sx","")</f>
        <v/>
      </c>
      <c r="BZ207" t="str">
        <f>IF(AND(BZ$4='Data entry'!$R$73, OR('Data entry'!$B$73="Confirmed",'Data entry'!$B$73="Probable")),"sx","")</f>
        <v/>
      </c>
      <c r="CA207" t="str">
        <f>IF(AND(CA$4='Data entry'!$R$73, OR('Data entry'!$B$73="Confirmed",'Data entry'!$B$73="Probable")),"sx","")</f>
        <v/>
      </c>
      <c r="CB207" t="str">
        <f>IF(AND(CB$4='Data entry'!$R$73, OR('Data entry'!$B$73="Confirmed",'Data entry'!$B$73="Probable")),"sx","")</f>
        <v/>
      </c>
      <c r="CC207" t="str">
        <f>IF(AND(CC$4='Data entry'!$R$73, OR('Data entry'!$B$73="Confirmed",'Data entry'!$B$73="Probable")),"sx","")</f>
        <v/>
      </c>
    </row>
    <row r="208" spans="1:81" s="64" customFormat="1" ht="2.25" customHeight="1" thickBot="1" x14ac:dyDescent="0.25">
      <c r="A208" s="671"/>
      <c r="B208" s="672"/>
      <c r="C208" s="69"/>
    </row>
    <row r="209" spans="1:81" s="63" customFormat="1" ht="15.75" thickTop="1" x14ac:dyDescent="0.2">
      <c r="A209" s="670" t="str">
        <f>CONCATENATE('Data entry'!J74, " ", 'Data entry'!I74)</f>
        <v xml:space="preserve"> </v>
      </c>
      <c r="B209" s="670"/>
      <c r="C209" s="67"/>
    </row>
    <row r="210" spans="1:81" x14ac:dyDescent="0.2">
      <c r="A210" s="668" t="str">
        <f>CONCATENATE('Data entry'!B74, ", ", 'Data entry'!AO74, ", ", 'Data entry'!AR74)</f>
        <v xml:space="preserve">, , </v>
      </c>
      <c r="B210" s="668"/>
      <c r="C210" s="68"/>
      <c r="Q210" t="str">
        <f>IF(AND(Q$4='Data entry'!$R$74, OR('Data entry'!$B$74="Confirmed",'Data entry'!$B$74="Probable")),"sx","")</f>
        <v/>
      </c>
      <c r="R210" t="str">
        <f>IF(AND(R$4='Data entry'!$R$74, OR('Data entry'!$B$74="Confirmed",'Data entry'!$B$74="Probable")),"sx","")</f>
        <v/>
      </c>
      <c r="S210" t="str">
        <f>IF(AND(S$4='Data entry'!$R$74, OR('Data entry'!$B$74="Confirmed",'Data entry'!$B$74="Probable")),"sx","")</f>
        <v/>
      </c>
      <c r="T210" t="str">
        <f>IF(AND(T$4='Data entry'!$R$74, OR('Data entry'!$B$74="Confirmed",'Data entry'!$B$74="Probable")),"sx","")</f>
        <v/>
      </c>
      <c r="U210" t="str">
        <f>IF(AND(U$4='Data entry'!$R$74, OR('Data entry'!$B$74="Confirmed",'Data entry'!$B$74="Probable")),"sx","")</f>
        <v/>
      </c>
      <c r="V210" t="str">
        <f>IF(AND(V$4='Data entry'!$R$74, OR('Data entry'!$B$74="Confirmed",'Data entry'!$B$74="Probable")),"sx","")</f>
        <v/>
      </c>
      <c r="W210" t="str">
        <f>IF(AND(W$4='Data entry'!$R$74, OR('Data entry'!$B$74="Confirmed",'Data entry'!$B$74="Probable")),"sx","")</f>
        <v/>
      </c>
      <c r="X210" t="str">
        <f>IF(AND(X$4='Data entry'!$R$74, OR('Data entry'!$B$74="Confirmed",'Data entry'!$B$74="Probable")),"sx","")</f>
        <v/>
      </c>
      <c r="Y210" t="str">
        <f>IF(AND(Y$4='Data entry'!$R$74, OR('Data entry'!$B$74="Confirmed",'Data entry'!$B$74="Probable")),"sx","")</f>
        <v/>
      </c>
      <c r="Z210" t="str">
        <f>IF(AND(Z$4='Data entry'!$R$74, OR('Data entry'!$B$74="Confirmed",'Data entry'!$B$74="Probable")),"sx","")</f>
        <v/>
      </c>
      <c r="AA210" t="str">
        <f>IF(AND(AA$4='Data entry'!$R$74, OR('Data entry'!$B$74="Confirmed",'Data entry'!$B$74="Probable")),"sx","")</f>
        <v/>
      </c>
      <c r="AB210" t="str">
        <f>IF(AND(AB$4='Data entry'!$R$74, OR('Data entry'!$B$74="Confirmed",'Data entry'!$B$74="Probable")),"sx","")</f>
        <v/>
      </c>
      <c r="AC210" t="str">
        <f>IF(AND(AC$4='Data entry'!$R$74, OR('Data entry'!$B$74="Confirmed",'Data entry'!$B$74="Probable")),"sx","")</f>
        <v/>
      </c>
      <c r="AD210" t="str">
        <f>IF(AND(AD$4='Data entry'!$R$74, OR('Data entry'!$B$74="Confirmed",'Data entry'!$B$74="Probable")),"sx","")</f>
        <v/>
      </c>
      <c r="AE210" t="str">
        <f>IF(AND(AE$4='Data entry'!$R$74, OR('Data entry'!$B$74="Confirmed",'Data entry'!$B$74="Probable")),"sx","")</f>
        <v/>
      </c>
      <c r="AF210" t="str">
        <f>IF(AND(AF$4='Data entry'!$R$74, OR('Data entry'!$B$74="Confirmed",'Data entry'!$B$74="Probable")),"sx","")</f>
        <v/>
      </c>
      <c r="AG210" t="str">
        <f>IF(AND(AG$4='Data entry'!$R$74, OR('Data entry'!$B$74="Confirmed",'Data entry'!$B$74="Probable")),"sx","")</f>
        <v/>
      </c>
      <c r="AH210" t="str">
        <f>IF(AND(AH$4='Data entry'!$R$74, OR('Data entry'!$B$74="Confirmed",'Data entry'!$B$74="Probable")),"sx","")</f>
        <v/>
      </c>
      <c r="AI210" t="str">
        <f>IF(AND(AI$4='Data entry'!$R$74, OR('Data entry'!$B$74="Confirmed",'Data entry'!$B$74="Probable")),"sx","")</f>
        <v/>
      </c>
      <c r="AJ210" t="str">
        <f>IF(AND(AJ$4='Data entry'!$R$74, OR('Data entry'!$B$74="Confirmed",'Data entry'!$B$74="Probable")),"sx","")</f>
        <v/>
      </c>
      <c r="AK210" t="str">
        <f>IF(AND(AK$4='Data entry'!$R$74, OR('Data entry'!$B$74="Confirmed",'Data entry'!$B$74="Probable")),"sx","")</f>
        <v/>
      </c>
      <c r="AL210" t="str">
        <f>IF(AND(AL$4='Data entry'!$R$74, OR('Data entry'!$B$74="Confirmed",'Data entry'!$B$74="Probable")),"sx","")</f>
        <v/>
      </c>
      <c r="AM210" t="str">
        <f>IF(AND(AM$4='Data entry'!$R$74, OR('Data entry'!$B$74="Confirmed",'Data entry'!$B$74="Probable")),"sx","")</f>
        <v/>
      </c>
      <c r="AN210" t="str">
        <f>IF(AND(AN$4='Data entry'!$R$74, OR('Data entry'!$B$74="Confirmed",'Data entry'!$B$74="Probable")),"sx","")</f>
        <v/>
      </c>
      <c r="AO210" t="str">
        <f>IF(AND(AO$4='Data entry'!$R$74, OR('Data entry'!$B$74="Confirmed",'Data entry'!$B$74="Probable")),"sx","")</f>
        <v/>
      </c>
      <c r="AP210" t="str">
        <f>IF(AND(AP$4='Data entry'!$R$74, OR('Data entry'!$B$74="Confirmed",'Data entry'!$B$74="Probable")),"sx","")</f>
        <v/>
      </c>
      <c r="AQ210" t="str">
        <f>IF(AND(AQ$4='Data entry'!$R$74, OR('Data entry'!$B$74="Confirmed",'Data entry'!$B$74="Probable")),"sx","")</f>
        <v/>
      </c>
      <c r="AR210" t="str">
        <f>IF(AND(AR$4='Data entry'!$R$74, OR('Data entry'!$B$74="Confirmed",'Data entry'!$B$74="Probable")),"sx","")</f>
        <v/>
      </c>
      <c r="AS210" t="str">
        <f>IF(AND(AS$4='Data entry'!$R$74, OR('Data entry'!$B$74="Confirmed",'Data entry'!$B$74="Probable")),"sx","")</f>
        <v/>
      </c>
      <c r="AT210" t="str">
        <f>IF(AND(AT$4='Data entry'!$R$74, OR('Data entry'!$B$74="Confirmed",'Data entry'!$B$74="Probable")),"sx","")</f>
        <v/>
      </c>
      <c r="AU210" t="str">
        <f>IF(AND(AU$4='Data entry'!$R$74, OR('Data entry'!$B$74="Confirmed",'Data entry'!$B$74="Probable")),"sx","")</f>
        <v/>
      </c>
      <c r="AV210" t="str">
        <f>IF(AND(AV$4='Data entry'!$R$74, OR('Data entry'!$B$74="Confirmed",'Data entry'!$B$74="Probable")),"sx","")</f>
        <v/>
      </c>
      <c r="AW210" t="str">
        <f>IF(AND(AW$4='Data entry'!$R$74, OR('Data entry'!$B$74="Confirmed",'Data entry'!$B$74="Probable")),"sx","")</f>
        <v/>
      </c>
      <c r="AX210" t="str">
        <f>IF(AND(AX$4='Data entry'!$R$74, OR('Data entry'!$B$74="Confirmed",'Data entry'!$B$74="Probable")),"sx","")</f>
        <v/>
      </c>
      <c r="AY210" t="str">
        <f>IF(AND(AY$4='Data entry'!$R$74, OR('Data entry'!$B$74="Confirmed",'Data entry'!$B$74="Probable")),"sx","")</f>
        <v/>
      </c>
      <c r="AZ210" t="str">
        <f>IF(AND(AZ$4='Data entry'!$R$74, OR('Data entry'!$B$74="Confirmed",'Data entry'!$B$74="Probable")),"sx","")</f>
        <v/>
      </c>
      <c r="BA210" t="str">
        <f>IF(AND(BA$4='Data entry'!$R$74, OR('Data entry'!$B$74="Confirmed",'Data entry'!$B$74="Probable")),"sx","")</f>
        <v/>
      </c>
      <c r="BB210" t="str">
        <f>IF(AND(BB$4='Data entry'!$R$74, OR('Data entry'!$B$74="Confirmed",'Data entry'!$B$74="Probable")),"sx","")</f>
        <v/>
      </c>
      <c r="BC210" t="str">
        <f>IF(AND(BC$4='Data entry'!$R$74, OR('Data entry'!$B$74="Confirmed",'Data entry'!$B$74="Probable")),"sx","")</f>
        <v/>
      </c>
      <c r="BD210" t="str">
        <f>IF(AND(BD$4='Data entry'!$R$74, OR('Data entry'!$B$74="Confirmed",'Data entry'!$B$74="Probable")),"sx","")</f>
        <v/>
      </c>
      <c r="BE210" t="str">
        <f>IF(AND(BE$4='Data entry'!$R$74, OR('Data entry'!$B$74="Confirmed",'Data entry'!$B$74="Probable")),"sx","")</f>
        <v/>
      </c>
      <c r="BF210" t="str">
        <f>IF(AND(BF$4='Data entry'!$R$74, OR('Data entry'!$B$74="Confirmed",'Data entry'!$B$74="Probable")),"sx","")</f>
        <v/>
      </c>
      <c r="BG210" t="str">
        <f>IF(AND(BG$4='Data entry'!$R$74, OR('Data entry'!$B$74="Confirmed",'Data entry'!$B$74="Probable")),"sx","")</f>
        <v/>
      </c>
      <c r="BH210" t="str">
        <f>IF(AND(BH$4='Data entry'!$R$74, OR('Data entry'!$B$74="Confirmed",'Data entry'!$B$74="Probable")),"sx","")</f>
        <v/>
      </c>
      <c r="BI210" t="str">
        <f>IF(AND(BI$4='Data entry'!$R$74, OR('Data entry'!$B$74="Confirmed",'Data entry'!$B$74="Probable")),"sx","")</f>
        <v/>
      </c>
      <c r="BJ210" t="str">
        <f>IF(AND(BJ$4='Data entry'!$R$74, OR('Data entry'!$B$74="Confirmed",'Data entry'!$B$74="Probable")),"sx","")</f>
        <v/>
      </c>
      <c r="BK210" t="str">
        <f>IF(AND(BK$4='Data entry'!$R$74, OR('Data entry'!$B$74="Confirmed",'Data entry'!$B$74="Probable")),"sx","")</f>
        <v/>
      </c>
      <c r="BL210" t="str">
        <f>IF(AND(BL$4='Data entry'!$R$74, OR('Data entry'!$B$74="Confirmed",'Data entry'!$B$74="Probable")),"sx","")</f>
        <v/>
      </c>
      <c r="BM210" t="str">
        <f>IF(AND(BM$4='Data entry'!$R$74, OR('Data entry'!$B$74="Confirmed",'Data entry'!$B$74="Probable")),"sx","")</f>
        <v/>
      </c>
      <c r="BN210" t="str">
        <f>IF(AND(BN$4='Data entry'!$R$74, OR('Data entry'!$B$74="Confirmed",'Data entry'!$B$74="Probable")),"sx","")</f>
        <v/>
      </c>
      <c r="BO210" t="str">
        <f>IF(AND(BO$4='Data entry'!$R$74, OR('Data entry'!$B$74="Confirmed",'Data entry'!$B$74="Probable")),"sx","")</f>
        <v/>
      </c>
      <c r="BP210" t="str">
        <f>IF(AND(BP$4='Data entry'!$R$74, OR('Data entry'!$B$74="Confirmed",'Data entry'!$B$74="Probable")),"sx","")</f>
        <v/>
      </c>
      <c r="BQ210" t="str">
        <f>IF(AND(BQ$4='Data entry'!$R$74, OR('Data entry'!$B$74="Confirmed",'Data entry'!$B$74="Probable")),"sx","")</f>
        <v/>
      </c>
      <c r="BR210" t="str">
        <f>IF(AND(BR$4='Data entry'!$R$74, OR('Data entry'!$B$74="Confirmed",'Data entry'!$B$74="Probable")),"sx","")</f>
        <v/>
      </c>
      <c r="BS210" t="str">
        <f>IF(AND(BS$4='Data entry'!$R$74, OR('Data entry'!$B$74="Confirmed",'Data entry'!$B$74="Probable")),"sx","")</f>
        <v/>
      </c>
      <c r="BT210" t="str">
        <f>IF(AND(BT$4='Data entry'!$R$74, OR('Data entry'!$B$74="Confirmed",'Data entry'!$B$74="Probable")),"sx","")</f>
        <v/>
      </c>
      <c r="BU210" t="str">
        <f>IF(AND(BU$4='Data entry'!$R$74, OR('Data entry'!$B$74="Confirmed",'Data entry'!$B$74="Probable")),"sx","")</f>
        <v/>
      </c>
      <c r="BV210" t="str">
        <f>IF(AND(BV$4='Data entry'!$R$74, OR('Data entry'!$B$74="Confirmed",'Data entry'!$B$74="Probable")),"sx","")</f>
        <v/>
      </c>
      <c r="BW210" t="str">
        <f>IF(AND(BW$4='Data entry'!$R$74, OR('Data entry'!$B$74="Confirmed",'Data entry'!$B$74="Probable")),"sx","")</f>
        <v/>
      </c>
      <c r="BX210" t="str">
        <f>IF(AND(BX$4='Data entry'!$R$74, OR('Data entry'!$B$74="Confirmed",'Data entry'!$B$74="Probable")),"sx","")</f>
        <v/>
      </c>
      <c r="BY210" t="str">
        <f>IF(AND(BY$4='Data entry'!$R$74, OR('Data entry'!$B$74="Confirmed",'Data entry'!$B$74="Probable")),"sx","")</f>
        <v/>
      </c>
      <c r="BZ210" t="str">
        <f>IF(AND(BZ$4='Data entry'!$R$74, OR('Data entry'!$B$74="Confirmed",'Data entry'!$B$74="Probable")),"sx","")</f>
        <v/>
      </c>
      <c r="CA210" t="str">
        <f>IF(AND(CA$4='Data entry'!$R$74, OR('Data entry'!$B$74="Confirmed",'Data entry'!$B$74="Probable")),"sx","")</f>
        <v/>
      </c>
      <c r="CB210" t="str">
        <f>IF(AND(CB$4='Data entry'!$R$74, OR('Data entry'!$B$74="Confirmed",'Data entry'!$B$74="Probable")),"sx","")</f>
        <v/>
      </c>
      <c r="CC210" t="str">
        <f>IF(AND(CC$4='Data entry'!$R$74, OR('Data entry'!$B$74="Confirmed",'Data entry'!$B$74="Probable")),"sx","")</f>
        <v/>
      </c>
    </row>
    <row r="211" spans="1:81" s="64" customFormat="1" ht="2.25" customHeight="1" thickBot="1" x14ac:dyDescent="0.25">
      <c r="A211" s="671"/>
      <c r="B211" s="672"/>
      <c r="C211" s="69"/>
    </row>
    <row r="212" spans="1:81" s="63" customFormat="1" ht="15.75" thickTop="1" x14ac:dyDescent="0.2">
      <c r="A212" s="670" t="str">
        <f>CONCATENATE('Data entry'!J75, " ", 'Data entry'!I75)</f>
        <v xml:space="preserve"> </v>
      </c>
      <c r="B212" s="670"/>
      <c r="C212" s="67"/>
    </row>
    <row r="213" spans="1:81" x14ac:dyDescent="0.2">
      <c r="A213" s="668" t="str">
        <f>CONCATENATE('Data entry'!B75, ", ", 'Data entry'!AO75, ", ", 'Data entry'!AR75)</f>
        <v xml:space="preserve">, , </v>
      </c>
      <c r="B213" s="668"/>
      <c r="C213" s="68"/>
      <c r="Q213" t="str">
        <f>IF(AND(Q$4='Data entry'!$R$75, OR('Data entry'!$B$75="Confirmed",'Data entry'!$B$75="Probable")),"sx","")</f>
        <v/>
      </c>
      <c r="R213" t="str">
        <f>IF(AND(R$4='Data entry'!$R$75, OR('Data entry'!$B$75="Confirmed",'Data entry'!$B$75="Probable")),"sx","")</f>
        <v/>
      </c>
      <c r="S213" t="str">
        <f>IF(AND(S$4='Data entry'!$R$75, OR('Data entry'!$B$75="Confirmed",'Data entry'!$B$75="Probable")),"sx","")</f>
        <v/>
      </c>
      <c r="T213" t="str">
        <f>IF(AND(T$4='Data entry'!$R$75, OR('Data entry'!$B$75="Confirmed",'Data entry'!$B$75="Probable")),"sx","")</f>
        <v/>
      </c>
      <c r="U213" t="str">
        <f>IF(AND(U$4='Data entry'!$R$75, OR('Data entry'!$B$75="Confirmed",'Data entry'!$B$75="Probable")),"sx","")</f>
        <v/>
      </c>
      <c r="V213" t="str">
        <f>IF(AND(V$4='Data entry'!$R$75, OR('Data entry'!$B$75="Confirmed",'Data entry'!$B$75="Probable")),"sx","")</f>
        <v/>
      </c>
      <c r="W213" t="str">
        <f>IF(AND(W$4='Data entry'!$R$75, OR('Data entry'!$B$75="Confirmed",'Data entry'!$B$75="Probable")),"sx","")</f>
        <v/>
      </c>
      <c r="X213" t="str">
        <f>IF(AND(X$4='Data entry'!$R$75, OR('Data entry'!$B$75="Confirmed",'Data entry'!$B$75="Probable")),"sx","")</f>
        <v/>
      </c>
      <c r="Y213" t="str">
        <f>IF(AND(Y$4='Data entry'!$R$75, OR('Data entry'!$B$75="Confirmed",'Data entry'!$B$75="Probable")),"sx","")</f>
        <v/>
      </c>
      <c r="Z213" t="str">
        <f>IF(AND(Z$4='Data entry'!$R$75, OR('Data entry'!$B$75="Confirmed",'Data entry'!$B$75="Probable")),"sx","")</f>
        <v/>
      </c>
      <c r="AA213" t="str">
        <f>IF(AND(AA$4='Data entry'!$R$75, OR('Data entry'!$B$75="Confirmed",'Data entry'!$B$75="Probable")),"sx","")</f>
        <v/>
      </c>
      <c r="AB213" t="str">
        <f>IF(AND(AB$4='Data entry'!$R$75, OR('Data entry'!$B$75="Confirmed",'Data entry'!$B$75="Probable")),"sx","")</f>
        <v/>
      </c>
      <c r="AC213" t="str">
        <f>IF(AND(AC$4='Data entry'!$R$75, OR('Data entry'!$B$75="Confirmed",'Data entry'!$B$75="Probable")),"sx","")</f>
        <v/>
      </c>
      <c r="AD213" t="str">
        <f>IF(AND(AD$4='Data entry'!$R$75, OR('Data entry'!$B$75="Confirmed",'Data entry'!$B$75="Probable")),"sx","")</f>
        <v/>
      </c>
      <c r="AE213" t="str">
        <f>IF(AND(AE$4='Data entry'!$R$75, OR('Data entry'!$B$75="Confirmed",'Data entry'!$B$75="Probable")),"sx","")</f>
        <v/>
      </c>
      <c r="AF213" t="str">
        <f>IF(AND(AF$4='Data entry'!$R$75, OR('Data entry'!$B$75="Confirmed",'Data entry'!$B$75="Probable")),"sx","")</f>
        <v/>
      </c>
      <c r="AG213" t="str">
        <f>IF(AND(AG$4='Data entry'!$R$75, OR('Data entry'!$B$75="Confirmed",'Data entry'!$B$75="Probable")),"sx","")</f>
        <v/>
      </c>
      <c r="AH213" t="str">
        <f>IF(AND(AH$4='Data entry'!$R$75, OR('Data entry'!$B$75="Confirmed",'Data entry'!$B$75="Probable")),"sx","")</f>
        <v/>
      </c>
      <c r="AI213" t="str">
        <f>IF(AND(AI$4='Data entry'!$R$75, OR('Data entry'!$B$75="Confirmed",'Data entry'!$B$75="Probable")),"sx","")</f>
        <v/>
      </c>
      <c r="AJ213" t="str">
        <f>IF(AND(AJ$4='Data entry'!$R$75, OR('Data entry'!$B$75="Confirmed",'Data entry'!$B$75="Probable")),"sx","")</f>
        <v/>
      </c>
      <c r="AK213" t="str">
        <f>IF(AND(AK$4='Data entry'!$R$75, OR('Data entry'!$B$75="Confirmed",'Data entry'!$B$75="Probable")),"sx","")</f>
        <v/>
      </c>
      <c r="AL213" t="str">
        <f>IF(AND(AL$4='Data entry'!$R$75, OR('Data entry'!$B$75="Confirmed",'Data entry'!$B$75="Probable")),"sx","")</f>
        <v/>
      </c>
      <c r="AM213" t="str">
        <f>IF(AND(AM$4='Data entry'!$R$75, OR('Data entry'!$B$75="Confirmed",'Data entry'!$B$75="Probable")),"sx","")</f>
        <v/>
      </c>
      <c r="AN213" t="str">
        <f>IF(AND(AN$4='Data entry'!$R$75, OR('Data entry'!$B$75="Confirmed",'Data entry'!$B$75="Probable")),"sx","")</f>
        <v/>
      </c>
      <c r="AO213" t="str">
        <f>IF(AND(AO$4='Data entry'!$R$75, OR('Data entry'!$B$75="Confirmed",'Data entry'!$B$75="Probable")),"sx","")</f>
        <v/>
      </c>
      <c r="AP213" t="str">
        <f>IF(AND(AP$4='Data entry'!$R$75, OR('Data entry'!$B$75="Confirmed",'Data entry'!$B$75="Probable")),"sx","")</f>
        <v/>
      </c>
      <c r="AQ213" t="str">
        <f>IF(AND(AQ$4='Data entry'!$R$75, OR('Data entry'!$B$75="Confirmed",'Data entry'!$B$75="Probable")),"sx","")</f>
        <v/>
      </c>
      <c r="AR213" t="str">
        <f>IF(AND(AR$4='Data entry'!$R$75, OR('Data entry'!$B$75="Confirmed",'Data entry'!$B$75="Probable")),"sx","")</f>
        <v/>
      </c>
      <c r="AS213" t="str">
        <f>IF(AND(AS$4='Data entry'!$R$75, OR('Data entry'!$B$75="Confirmed",'Data entry'!$B$75="Probable")),"sx","")</f>
        <v/>
      </c>
      <c r="AT213" t="str">
        <f>IF(AND(AT$4='Data entry'!$R$75, OR('Data entry'!$B$75="Confirmed",'Data entry'!$B$75="Probable")),"sx","")</f>
        <v/>
      </c>
      <c r="AU213" t="str">
        <f>IF(AND(AU$4='Data entry'!$R$75, OR('Data entry'!$B$75="Confirmed",'Data entry'!$B$75="Probable")),"sx","")</f>
        <v/>
      </c>
      <c r="AV213" t="str">
        <f>IF(AND(AV$4='Data entry'!$R$75, OR('Data entry'!$B$75="Confirmed",'Data entry'!$B$75="Probable")),"sx","")</f>
        <v/>
      </c>
      <c r="AW213" t="str">
        <f>IF(AND(AW$4='Data entry'!$R$75, OR('Data entry'!$B$75="Confirmed",'Data entry'!$B$75="Probable")),"sx","")</f>
        <v/>
      </c>
      <c r="AX213" t="str">
        <f>IF(AND(AX$4='Data entry'!$R$75, OR('Data entry'!$B$75="Confirmed",'Data entry'!$B$75="Probable")),"sx","")</f>
        <v/>
      </c>
      <c r="AY213" t="str">
        <f>IF(AND(AY$4='Data entry'!$R$75, OR('Data entry'!$B$75="Confirmed",'Data entry'!$B$75="Probable")),"sx","")</f>
        <v/>
      </c>
      <c r="AZ213" t="str">
        <f>IF(AND(AZ$4='Data entry'!$R$75, OR('Data entry'!$B$75="Confirmed",'Data entry'!$B$75="Probable")),"sx","")</f>
        <v/>
      </c>
      <c r="BA213" t="str">
        <f>IF(AND(BA$4='Data entry'!$R$75, OR('Data entry'!$B$75="Confirmed",'Data entry'!$B$75="Probable")),"sx","")</f>
        <v/>
      </c>
      <c r="BB213" t="str">
        <f>IF(AND(BB$4='Data entry'!$R$75, OR('Data entry'!$B$75="Confirmed",'Data entry'!$B$75="Probable")),"sx","")</f>
        <v/>
      </c>
      <c r="BC213" t="str">
        <f>IF(AND(BC$4='Data entry'!$R$75, OR('Data entry'!$B$75="Confirmed",'Data entry'!$B$75="Probable")),"sx","")</f>
        <v/>
      </c>
      <c r="BD213" t="str">
        <f>IF(AND(BD$4='Data entry'!$R$75, OR('Data entry'!$B$75="Confirmed",'Data entry'!$B$75="Probable")),"sx","")</f>
        <v/>
      </c>
      <c r="BE213" t="str">
        <f>IF(AND(BE$4='Data entry'!$R$75, OR('Data entry'!$B$75="Confirmed",'Data entry'!$B$75="Probable")),"sx","")</f>
        <v/>
      </c>
      <c r="BF213" t="str">
        <f>IF(AND(BF$4='Data entry'!$R$75, OR('Data entry'!$B$75="Confirmed",'Data entry'!$B$75="Probable")),"sx","")</f>
        <v/>
      </c>
      <c r="BG213" t="str">
        <f>IF(AND(BG$4='Data entry'!$R$75, OR('Data entry'!$B$75="Confirmed",'Data entry'!$B$75="Probable")),"sx","")</f>
        <v/>
      </c>
      <c r="BH213" t="str">
        <f>IF(AND(BH$4='Data entry'!$R$75, OR('Data entry'!$B$75="Confirmed",'Data entry'!$B$75="Probable")),"sx","")</f>
        <v/>
      </c>
      <c r="BI213" t="str">
        <f>IF(AND(BI$4='Data entry'!$R$75, OR('Data entry'!$B$75="Confirmed",'Data entry'!$B$75="Probable")),"sx","")</f>
        <v/>
      </c>
      <c r="BJ213" t="str">
        <f>IF(AND(BJ$4='Data entry'!$R$75, OR('Data entry'!$B$75="Confirmed",'Data entry'!$B$75="Probable")),"sx","")</f>
        <v/>
      </c>
      <c r="BK213" t="str">
        <f>IF(AND(BK$4='Data entry'!$R$75, OR('Data entry'!$B$75="Confirmed",'Data entry'!$B$75="Probable")),"sx","")</f>
        <v/>
      </c>
      <c r="BL213" t="str">
        <f>IF(AND(BL$4='Data entry'!$R$75, OR('Data entry'!$B$75="Confirmed",'Data entry'!$B$75="Probable")),"sx","")</f>
        <v/>
      </c>
      <c r="BM213" t="str">
        <f>IF(AND(BM$4='Data entry'!$R$75, OR('Data entry'!$B$75="Confirmed",'Data entry'!$B$75="Probable")),"sx","")</f>
        <v/>
      </c>
      <c r="BN213" t="str">
        <f>IF(AND(BN$4='Data entry'!$R$75, OR('Data entry'!$B$75="Confirmed",'Data entry'!$B$75="Probable")),"sx","")</f>
        <v/>
      </c>
      <c r="BO213" t="str">
        <f>IF(AND(BO$4='Data entry'!$R$75, OR('Data entry'!$B$75="Confirmed",'Data entry'!$B$75="Probable")),"sx","")</f>
        <v/>
      </c>
      <c r="BP213" t="str">
        <f>IF(AND(BP$4='Data entry'!$R$75, OR('Data entry'!$B$75="Confirmed",'Data entry'!$B$75="Probable")),"sx","")</f>
        <v/>
      </c>
      <c r="BQ213" t="str">
        <f>IF(AND(BQ$4='Data entry'!$R$75, OR('Data entry'!$B$75="Confirmed",'Data entry'!$B$75="Probable")),"sx","")</f>
        <v/>
      </c>
      <c r="BR213" t="str">
        <f>IF(AND(BR$4='Data entry'!$R$75, OR('Data entry'!$B$75="Confirmed",'Data entry'!$B$75="Probable")),"sx","")</f>
        <v/>
      </c>
      <c r="BS213" t="str">
        <f>IF(AND(BS$4='Data entry'!$R$75, OR('Data entry'!$B$75="Confirmed",'Data entry'!$B$75="Probable")),"sx","")</f>
        <v/>
      </c>
      <c r="BT213" t="str">
        <f>IF(AND(BT$4='Data entry'!$R$75, OR('Data entry'!$B$75="Confirmed",'Data entry'!$B$75="Probable")),"sx","")</f>
        <v/>
      </c>
      <c r="BU213" t="str">
        <f>IF(AND(BU$4='Data entry'!$R$75, OR('Data entry'!$B$75="Confirmed",'Data entry'!$B$75="Probable")),"sx","")</f>
        <v/>
      </c>
      <c r="BV213" t="str">
        <f>IF(AND(BV$4='Data entry'!$R$75, OR('Data entry'!$B$75="Confirmed",'Data entry'!$B$75="Probable")),"sx","")</f>
        <v/>
      </c>
      <c r="BW213" t="str">
        <f>IF(AND(BW$4='Data entry'!$R$75, OR('Data entry'!$B$75="Confirmed",'Data entry'!$B$75="Probable")),"sx","")</f>
        <v/>
      </c>
      <c r="BX213" t="str">
        <f>IF(AND(BX$4='Data entry'!$R$75, OR('Data entry'!$B$75="Confirmed",'Data entry'!$B$75="Probable")),"sx","")</f>
        <v/>
      </c>
      <c r="BY213" t="str">
        <f>IF(AND(BY$4='Data entry'!$R$75, OR('Data entry'!$B$75="Confirmed",'Data entry'!$B$75="Probable")),"sx","")</f>
        <v/>
      </c>
      <c r="BZ213" t="str">
        <f>IF(AND(BZ$4='Data entry'!$R$75, OR('Data entry'!$B$75="Confirmed",'Data entry'!$B$75="Probable")),"sx","")</f>
        <v/>
      </c>
      <c r="CA213" t="str">
        <f>IF(AND(CA$4='Data entry'!$R$75, OR('Data entry'!$B$75="Confirmed",'Data entry'!$B$75="Probable")),"sx","")</f>
        <v/>
      </c>
      <c r="CB213" t="str">
        <f>IF(AND(CB$4='Data entry'!$R$75, OR('Data entry'!$B$75="Confirmed",'Data entry'!$B$75="Probable")),"sx","")</f>
        <v/>
      </c>
      <c r="CC213" t="str">
        <f>IF(AND(CC$4='Data entry'!$R$75, OR('Data entry'!$B$75="Confirmed",'Data entry'!$B$75="Probable")),"sx","")</f>
        <v/>
      </c>
    </row>
    <row r="214" spans="1:81" s="64" customFormat="1" ht="2.25" customHeight="1" thickBot="1" x14ac:dyDescent="0.25">
      <c r="A214" s="671"/>
      <c r="B214" s="672"/>
      <c r="C214" s="69"/>
    </row>
    <row r="215" spans="1:81" s="63" customFormat="1" ht="15.75" thickTop="1" x14ac:dyDescent="0.2">
      <c r="A215" s="670" t="str">
        <f>CONCATENATE('Data entry'!J76, " ", 'Data entry'!I76)</f>
        <v xml:space="preserve"> </v>
      </c>
      <c r="B215" s="670"/>
      <c r="C215" s="67"/>
    </row>
    <row r="216" spans="1:81" x14ac:dyDescent="0.2">
      <c r="A216" s="668" t="str">
        <f>CONCATENATE('Data entry'!B76, ", ", 'Data entry'!AO76, ", ", 'Data entry'!AR76)</f>
        <v xml:space="preserve">, , </v>
      </c>
      <c r="B216" s="668"/>
      <c r="C216" s="68"/>
      <c r="Q216" t="str">
        <f>IF(AND(Q$4='Data entry'!$R$76, OR('Data entry'!$B$76="Confirmed",'Data entry'!$B$76="Probable")),"sx","")</f>
        <v/>
      </c>
      <c r="R216" t="str">
        <f>IF(AND(R$4='Data entry'!$R$76, OR('Data entry'!$B$76="Confirmed",'Data entry'!$B$76="Probable")),"sx","")</f>
        <v/>
      </c>
      <c r="S216" t="str">
        <f>IF(AND(S$4='Data entry'!$R$76, OR('Data entry'!$B$76="Confirmed",'Data entry'!$B$76="Probable")),"sx","")</f>
        <v/>
      </c>
      <c r="T216" t="str">
        <f>IF(AND(T$4='Data entry'!$R$76, OR('Data entry'!$B$76="Confirmed",'Data entry'!$B$76="Probable")),"sx","")</f>
        <v/>
      </c>
      <c r="U216" t="str">
        <f>IF(AND(U$4='Data entry'!$R$76, OR('Data entry'!$B$76="Confirmed",'Data entry'!$B$76="Probable")),"sx","")</f>
        <v/>
      </c>
      <c r="V216" t="str">
        <f>IF(AND(V$4='Data entry'!$R$76, OR('Data entry'!$B$76="Confirmed",'Data entry'!$B$76="Probable")),"sx","")</f>
        <v/>
      </c>
      <c r="W216" t="str">
        <f>IF(AND(W$4='Data entry'!$R$76, OR('Data entry'!$B$76="Confirmed",'Data entry'!$B$76="Probable")),"sx","")</f>
        <v/>
      </c>
      <c r="X216" t="str">
        <f>IF(AND(X$4='Data entry'!$R$76, OR('Data entry'!$B$76="Confirmed",'Data entry'!$B$76="Probable")),"sx","")</f>
        <v/>
      </c>
      <c r="Y216" t="str">
        <f>IF(AND(Y$4='Data entry'!$R$76, OR('Data entry'!$B$76="Confirmed",'Data entry'!$B$76="Probable")),"sx","")</f>
        <v/>
      </c>
      <c r="Z216" t="str">
        <f>IF(AND(Z$4='Data entry'!$R$76, OR('Data entry'!$B$76="Confirmed",'Data entry'!$B$76="Probable")),"sx","")</f>
        <v/>
      </c>
      <c r="AA216" t="str">
        <f>IF(AND(AA$4='Data entry'!$R$76, OR('Data entry'!$B$76="Confirmed",'Data entry'!$B$76="Probable")),"sx","")</f>
        <v/>
      </c>
      <c r="AB216" t="str">
        <f>IF(AND(AB$4='Data entry'!$R$76, OR('Data entry'!$B$76="Confirmed",'Data entry'!$B$76="Probable")),"sx","")</f>
        <v/>
      </c>
      <c r="AC216" t="str">
        <f>IF(AND(AC$4='Data entry'!$R$76, OR('Data entry'!$B$76="Confirmed",'Data entry'!$B$76="Probable")),"sx","")</f>
        <v/>
      </c>
      <c r="AD216" t="str">
        <f>IF(AND(AD$4='Data entry'!$R$76, OR('Data entry'!$B$76="Confirmed",'Data entry'!$B$76="Probable")),"sx","")</f>
        <v/>
      </c>
      <c r="AE216" t="str">
        <f>IF(AND(AE$4='Data entry'!$R$76, OR('Data entry'!$B$76="Confirmed",'Data entry'!$B$76="Probable")),"sx","")</f>
        <v/>
      </c>
      <c r="AF216" t="str">
        <f>IF(AND(AF$4='Data entry'!$R$76, OR('Data entry'!$B$76="Confirmed",'Data entry'!$B$76="Probable")),"sx","")</f>
        <v/>
      </c>
      <c r="AG216" t="str">
        <f>IF(AND(AG$4='Data entry'!$R$76, OR('Data entry'!$B$76="Confirmed",'Data entry'!$B$76="Probable")),"sx","")</f>
        <v/>
      </c>
      <c r="AH216" t="str">
        <f>IF(AND(AH$4='Data entry'!$R$76, OR('Data entry'!$B$76="Confirmed",'Data entry'!$B$76="Probable")),"sx","")</f>
        <v/>
      </c>
      <c r="AI216" t="str">
        <f>IF(AND(AI$4='Data entry'!$R$76, OR('Data entry'!$B$76="Confirmed",'Data entry'!$B$76="Probable")),"sx","")</f>
        <v/>
      </c>
      <c r="AJ216" t="str">
        <f>IF(AND(AJ$4='Data entry'!$R$76, OR('Data entry'!$B$76="Confirmed",'Data entry'!$B$76="Probable")),"sx","")</f>
        <v/>
      </c>
      <c r="AK216" t="str">
        <f>IF(AND(AK$4='Data entry'!$R$76, OR('Data entry'!$B$76="Confirmed",'Data entry'!$B$76="Probable")),"sx","")</f>
        <v/>
      </c>
      <c r="AL216" t="str">
        <f>IF(AND(AL$4='Data entry'!$R$76, OR('Data entry'!$B$76="Confirmed",'Data entry'!$B$76="Probable")),"sx","")</f>
        <v/>
      </c>
      <c r="AM216" t="str">
        <f>IF(AND(AM$4='Data entry'!$R$76, OR('Data entry'!$B$76="Confirmed",'Data entry'!$B$76="Probable")),"sx","")</f>
        <v/>
      </c>
      <c r="AN216" t="str">
        <f>IF(AND(AN$4='Data entry'!$R$76, OR('Data entry'!$B$76="Confirmed",'Data entry'!$B$76="Probable")),"sx","")</f>
        <v/>
      </c>
      <c r="AO216" t="str">
        <f>IF(AND(AO$4='Data entry'!$R$76, OR('Data entry'!$B$76="Confirmed",'Data entry'!$B$76="Probable")),"sx","")</f>
        <v/>
      </c>
      <c r="AP216" t="str">
        <f>IF(AND(AP$4='Data entry'!$R$76, OR('Data entry'!$B$76="Confirmed",'Data entry'!$B$76="Probable")),"sx","")</f>
        <v/>
      </c>
      <c r="AQ216" t="str">
        <f>IF(AND(AQ$4='Data entry'!$R$76, OR('Data entry'!$B$76="Confirmed",'Data entry'!$B$76="Probable")),"sx","")</f>
        <v/>
      </c>
      <c r="AR216" t="str">
        <f>IF(AND(AR$4='Data entry'!$R$76, OR('Data entry'!$B$76="Confirmed",'Data entry'!$B$76="Probable")),"sx","")</f>
        <v/>
      </c>
      <c r="AS216" t="str">
        <f>IF(AND(AS$4='Data entry'!$R$76, OR('Data entry'!$B$76="Confirmed",'Data entry'!$B$76="Probable")),"sx","")</f>
        <v/>
      </c>
      <c r="AT216" t="str">
        <f>IF(AND(AT$4='Data entry'!$R$76, OR('Data entry'!$B$76="Confirmed",'Data entry'!$B$76="Probable")),"sx","")</f>
        <v/>
      </c>
      <c r="AU216" t="str">
        <f>IF(AND(AU$4='Data entry'!$R$76, OR('Data entry'!$B$76="Confirmed",'Data entry'!$B$76="Probable")),"sx","")</f>
        <v/>
      </c>
      <c r="AV216" t="str">
        <f>IF(AND(AV$4='Data entry'!$R$76, OR('Data entry'!$B$76="Confirmed",'Data entry'!$B$76="Probable")),"sx","")</f>
        <v/>
      </c>
      <c r="AW216" t="str">
        <f>IF(AND(AW$4='Data entry'!$R$76, OR('Data entry'!$B$76="Confirmed",'Data entry'!$B$76="Probable")),"sx","")</f>
        <v/>
      </c>
      <c r="AX216" t="str">
        <f>IF(AND(AX$4='Data entry'!$R$76, OR('Data entry'!$B$76="Confirmed",'Data entry'!$B$76="Probable")),"sx","")</f>
        <v/>
      </c>
      <c r="AY216" t="str">
        <f>IF(AND(AY$4='Data entry'!$R$76, OR('Data entry'!$B$76="Confirmed",'Data entry'!$B$76="Probable")),"sx","")</f>
        <v/>
      </c>
      <c r="AZ216" t="str">
        <f>IF(AND(AZ$4='Data entry'!$R$76, OR('Data entry'!$B$76="Confirmed",'Data entry'!$B$76="Probable")),"sx","")</f>
        <v/>
      </c>
      <c r="BA216" t="str">
        <f>IF(AND(BA$4='Data entry'!$R$76, OR('Data entry'!$B$76="Confirmed",'Data entry'!$B$76="Probable")),"sx","")</f>
        <v/>
      </c>
      <c r="BB216" t="str">
        <f>IF(AND(BB$4='Data entry'!$R$76, OR('Data entry'!$B$76="Confirmed",'Data entry'!$B$76="Probable")),"sx","")</f>
        <v/>
      </c>
      <c r="BC216" t="str">
        <f>IF(AND(BC$4='Data entry'!$R$76, OR('Data entry'!$B$76="Confirmed",'Data entry'!$B$76="Probable")),"sx","")</f>
        <v/>
      </c>
      <c r="BD216" t="str">
        <f>IF(AND(BD$4='Data entry'!$R$76, OR('Data entry'!$B$76="Confirmed",'Data entry'!$B$76="Probable")),"sx","")</f>
        <v/>
      </c>
      <c r="BE216" t="str">
        <f>IF(AND(BE$4='Data entry'!$R$76, OR('Data entry'!$B$76="Confirmed",'Data entry'!$B$76="Probable")),"sx","")</f>
        <v/>
      </c>
      <c r="BF216" t="str">
        <f>IF(AND(BF$4='Data entry'!$R$76, OR('Data entry'!$B$76="Confirmed",'Data entry'!$B$76="Probable")),"sx","")</f>
        <v/>
      </c>
      <c r="BG216" t="str">
        <f>IF(AND(BG$4='Data entry'!$R$76, OR('Data entry'!$B$76="Confirmed",'Data entry'!$B$76="Probable")),"sx","")</f>
        <v/>
      </c>
      <c r="BH216" t="str">
        <f>IF(AND(BH$4='Data entry'!$R$76, OR('Data entry'!$B$76="Confirmed",'Data entry'!$B$76="Probable")),"sx","")</f>
        <v/>
      </c>
      <c r="BI216" t="str">
        <f>IF(AND(BI$4='Data entry'!$R$76, OR('Data entry'!$B$76="Confirmed",'Data entry'!$B$76="Probable")),"sx","")</f>
        <v/>
      </c>
      <c r="BJ216" t="str">
        <f>IF(AND(BJ$4='Data entry'!$R$76, OR('Data entry'!$B$76="Confirmed",'Data entry'!$B$76="Probable")),"sx","")</f>
        <v/>
      </c>
      <c r="BK216" t="str">
        <f>IF(AND(BK$4='Data entry'!$R$76, OR('Data entry'!$B$76="Confirmed",'Data entry'!$B$76="Probable")),"sx","")</f>
        <v/>
      </c>
      <c r="BL216" t="str">
        <f>IF(AND(BL$4='Data entry'!$R$76, OR('Data entry'!$B$76="Confirmed",'Data entry'!$B$76="Probable")),"sx","")</f>
        <v/>
      </c>
      <c r="BM216" t="str">
        <f>IF(AND(BM$4='Data entry'!$R$76, OR('Data entry'!$B$76="Confirmed",'Data entry'!$B$76="Probable")),"sx","")</f>
        <v/>
      </c>
      <c r="BN216" t="str">
        <f>IF(AND(BN$4='Data entry'!$R$76, OR('Data entry'!$B$76="Confirmed",'Data entry'!$B$76="Probable")),"sx","")</f>
        <v/>
      </c>
      <c r="BO216" t="str">
        <f>IF(AND(BO$4='Data entry'!$R$76, OR('Data entry'!$B$76="Confirmed",'Data entry'!$B$76="Probable")),"sx","")</f>
        <v/>
      </c>
      <c r="BP216" t="str">
        <f>IF(AND(BP$4='Data entry'!$R$76, OR('Data entry'!$B$76="Confirmed",'Data entry'!$B$76="Probable")),"sx","")</f>
        <v/>
      </c>
      <c r="BQ216" t="str">
        <f>IF(AND(BQ$4='Data entry'!$R$76, OR('Data entry'!$B$76="Confirmed",'Data entry'!$B$76="Probable")),"sx","")</f>
        <v/>
      </c>
      <c r="BR216" t="str">
        <f>IF(AND(BR$4='Data entry'!$R$76, OR('Data entry'!$B$76="Confirmed",'Data entry'!$B$76="Probable")),"sx","")</f>
        <v/>
      </c>
      <c r="BS216" t="str">
        <f>IF(AND(BS$4='Data entry'!$R$76, OR('Data entry'!$B$76="Confirmed",'Data entry'!$B$76="Probable")),"sx","")</f>
        <v/>
      </c>
      <c r="BT216" t="str">
        <f>IF(AND(BT$4='Data entry'!$R$76, OR('Data entry'!$B$76="Confirmed",'Data entry'!$B$76="Probable")),"sx","")</f>
        <v/>
      </c>
      <c r="BU216" t="str">
        <f>IF(AND(BU$4='Data entry'!$R$76, OR('Data entry'!$B$76="Confirmed",'Data entry'!$B$76="Probable")),"sx","")</f>
        <v/>
      </c>
      <c r="BV216" t="str">
        <f>IF(AND(BV$4='Data entry'!$R$76, OR('Data entry'!$B$76="Confirmed",'Data entry'!$B$76="Probable")),"sx","")</f>
        <v/>
      </c>
      <c r="BW216" t="str">
        <f>IF(AND(BW$4='Data entry'!$R$76, OR('Data entry'!$B$76="Confirmed",'Data entry'!$B$76="Probable")),"sx","")</f>
        <v/>
      </c>
      <c r="BX216" t="str">
        <f>IF(AND(BX$4='Data entry'!$R$76, OR('Data entry'!$B$76="Confirmed",'Data entry'!$B$76="Probable")),"sx","")</f>
        <v/>
      </c>
      <c r="BY216" t="str">
        <f>IF(AND(BY$4='Data entry'!$R$76, OR('Data entry'!$B$76="Confirmed",'Data entry'!$B$76="Probable")),"sx","")</f>
        <v/>
      </c>
      <c r="BZ216" t="str">
        <f>IF(AND(BZ$4='Data entry'!$R$76, OR('Data entry'!$B$76="Confirmed",'Data entry'!$B$76="Probable")),"sx","")</f>
        <v/>
      </c>
      <c r="CA216" t="str">
        <f>IF(AND(CA$4='Data entry'!$R$76, OR('Data entry'!$B$76="Confirmed",'Data entry'!$B$76="Probable")),"sx","")</f>
        <v/>
      </c>
      <c r="CB216" t="str">
        <f>IF(AND(CB$4='Data entry'!$R$76, OR('Data entry'!$B$76="Confirmed",'Data entry'!$B$76="Probable")),"sx","")</f>
        <v/>
      </c>
      <c r="CC216" t="str">
        <f>IF(AND(CC$4='Data entry'!$R$76, OR('Data entry'!$B$76="Confirmed",'Data entry'!$B$76="Probable")),"sx","")</f>
        <v/>
      </c>
    </row>
    <row r="217" spans="1:81" s="64" customFormat="1" ht="2.25" customHeight="1" thickBot="1" x14ac:dyDescent="0.25">
      <c r="A217" s="671"/>
      <c r="B217" s="672"/>
      <c r="C217" s="69"/>
    </row>
    <row r="218" spans="1:81" s="63" customFormat="1" ht="15.75" thickTop="1" x14ac:dyDescent="0.2">
      <c r="A218" s="670"/>
      <c r="B218" s="670"/>
    </row>
    <row r="219" spans="1:81" x14ac:dyDescent="0.2">
      <c r="A219" s="668"/>
      <c r="B219" s="668"/>
    </row>
    <row r="220" spans="1:81" ht="2.25" customHeight="1" x14ac:dyDescent="0.2">
      <c r="A220" s="669"/>
      <c r="B220" s="669"/>
    </row>
    <row r="221" spans="1:81" x14ac:dyDescent="0.2">
      <c r="A221" s="668"/>
      <c r="B221" s="668"/>
    </row>
    <row r="222" spans="1:81" x14ac:dyDescent="0.2">
      <c r="A222" s="668"/>
      <c r="B222" s="668"/>
    </row>
    <row r="223" spans="1:81" ht="2.25" customHeight="1" x14ac:dyDescent="0.2">
      <c r="A223" s="669"/>
      <c r="B223" s="669"/>
    </row>
    <row r="224" spans="1:81" x14ac:dyDescent="0.2">
      <c r="A224" s="668"/>
      <c r="B224" s="668"/>
    </row>
    <row r="225" spans="1:2" x14ac:dyDescent="0.2">
      <c r="A225" s="668"/>
      <c r="B225" s="668"/>
    </row>
    <row r="226" spans="1:2" ht="2.25" customHeight="1" x14ac:dyDescent="0.2">
      <c r="A226" s="669"/>
      <c r="B226" s="669"/>
    </row>
    <row r="227" spans="1:2" x14ac:dyDescent="0.2">
      <c r="A227" s="668"/>
      <c r="B227" s="668"/>
    </row>
    <row r="228" spans="1:2" x14ac:dyDescent="0.2">
      <c r="A228" s="668"/>
      <c r="B228" s="668"/>
    </row>
    <row r="229" spans="1:2" ht="2.25" customHeight="1" x14ac:dyDescent="0.2">
      <c r="A229" s="669"/>
      <c r="B229" s="669"/>
    </row>
    <row r="230" spans="1:2" x14ac:dyDescent="0.2">
      <c r="A230" s="668"/>
      <c r="B230" s="668"/>
    </row>
    <row r="231" spans="1:2" x14ac:dyDescent="0.2">
      <c r="A231" s="668"/>
      <c r="B231" s="668"/>
    </row>
    <row r="232" spans="1:2" ht="2.25" customHeight="1" x14ac:dyDescent="0.2">
      <c r="A232" s="669"/>
      <c r="B232" s="669"/>
    </row>
    <row r="233" spans="1:2" x14ac:dyDescent="0.2">
      <c r="A233" s="668"/>
      <c r="B233" s="668"/>
    </row>
    <row r="234" spans="1:2" x14ac:dyDescent="0.2">
      <c r="A234" s="668"/>
      <c r="B234" s="668"/>
    </row>
    <row r="235" spans="1:2" ht="2.25" customHeight="1" x14ac:dyDescent="0.2">
      <c r="A235" s="669"/>
      <c r="B235" s="669"/>
    </row>
    <row r="236" spans="1:2" x14ac:dyDescent="0.2">
      <c r="A236" s="668"/>
      <c r="B236" s="668"/>
    </row>
    <row r="237" spans="1:2" x14ac:dyDescent="0.2">
      <c r="A237" s="668"/>
      <c r="B237" s="668"/>
    </row>
    <row r="238" spans="1:2" ht="2.25" customHeight="1" x14ac:dyDescent="0.2">
      <c r="A238" s="669"/>
      <c r="B238" s="669"/>
    </row>
    <row r="239" spans="1:2" x14ac:dyDescent="0.2">
      <c r="A239" s="668"/>
      <c r="B239" s="668"/>
    </row>
    <row r="240" spans="1:2" x14ac:dyDescent="0.2">
      <c r="A240" s="668"/>
      <c r="B240" s="668"/>
    </row>
    <row r="241" spans="1:2" ht="2.25" customHeight="1" x14ac:dyDescent="0.2">
      <c r="A241" s="669"/>
      <c r="B241" s="669"/>
    </row>
    <row r="242" spans="1:2" x14ac:dyDescent="0.2">
      <c r="A242" s="668"/>
      <c r="B242" s="668"/>
    </row>
    <row r="243" spans="1:2" x14ac:dyDescent="0.2">
      <c r="A243" s="668"/>
      <c r="B243" s="668"/>
    </row>
    <row r="244" spans="1:2" ht="2.25" customHeight="1" x14ac:dyDescent="0.2">
      <c r="A244" s="669"/>
      <c r="B244" s="669"/>
    </row>
    <row r="245" spans="1:2" x14ac:dyDescent="0.2">
      <c r="A245" s="668"/>
      <c r="B245" s="668"/>
    </row>
    <row r="246" spans="1:2" x14ac:dyDescent="0.2">
      <c r="A246" s="668"/>
      <c r="B246" s="668"/>
    </row>
    <row r="247" spans="1:2" ht="2.25" customHeight="1" x14ac:dyDescent="0.2">
      <c r="A247" s="669"/>
      <c r="B247" s="669"/>
    </row>
    <row r="248" spans="1:2" x14ac:dyDescent="0.2">
      <c r="A248" s="668"/>
      <c r="B248" s="668"/>
    </row>
    <row r="249" spans="1:2" x14ac:dyDescent="0.2">
      <c r="A249" s="668"/>
      <c r="B249" s="668"/>
    </row>
    <row r="250" spans="1:2" ht="2.25" customHeight="1" x14ac:dyDescent="0.2">
      <c r="A250" s="669"/>
      <c r="B250" s="669"/>
    </row>
    <row r="251" spans="1:2" x14ac:dyDescent="0.2">
      <c r="A251" s="668"/>
      <c r="B251" s="668"/>
    </row>
    <row r="252" spans="1:2" x14ac:dyDescent="0.2">
      <c r="A252" s="668"/>
      <c r="B252" s="668"/>
    </row>
    <row r="253" spans="1:2" ht="2.25" customHeight="1" x14ac:dyDescent="0.2">
      <c r="A253" s="669"/>
      <c r="B253" s="669"/>
    </row>
    <row r="254" spans="1:2" x14ac:dyDescent="0.2">
      <c r="A254" s="668"/>
      <c r="B254" s="668"/>
    </row>
    <row r="255" spans="1:2" x14ac:dyDescent="0.2">
      <c r="A255" s="668"/>
      <c r="B255" s="668"/>
    </row>
    <row r="256" spans="1:2" ht="2.25" customHeight="1" x14ac:dyDescent="0.2">
      <c r="A256" s="669"/>
      <c r="B256" s="669"/>
    </row>
    <row r="257" spans="1:2" x14ac:dyDescent="0.2">
      <c r="A257" s="668"/>
      <c r="B257" s="668"/>
    </row>
    <row r="258" spans="1:2" x14ac:dyDescent="0.2">
      <c r="A258" s="668"/>
      <c r="B258" s="668"/>
    </row>
    <row r="259" spans="1:2" ht="2.25" customHeight="1" x14ac:dyDescent="0.2">
      <c r="A259" s="669"/>
      <c r="B259" s="669"/>
    </row>
    <row r="260" spans="1:2" x14ac:dyDescent="0.2">
      <c r="A260" s="668"/>
      <c r="B260" s="668"/>
    </row>
    <row r="261" spans="1:2" x14ac:dyDescent="0.2">
      <c r="A261" s="668"/>
      <c r="B261" s="668"/>
    </row>
    <row r="262" spans="1:2" ht="2.25" customHeight="1" x14ac:dyDescent="0.2">
      <c r="A262" s="669"/>
      <c r="B262" s="669"/>
    </row>
    <row r="263" spans="1:2" x14ac:dyDescent="0.2">
      <c r="A263" s="668"/>
      <c r="B263" s="668"/>
    </row>
    <row r="264" spans="1:2" x14ac:dyDescent="0.2">
      <c r="A264" s="668"/>
      <c r="B264" s="668"/>
    </row>
    <row r="265" spans="1:2" ht="2.25" customHeight="1" x14ac:dyDescent="0.2">
      <c r="A265" s="669"/>
      <c r="B265" s="669"/>
    </row>
    <row r="266" spans="1:2" x14ac:dyDescent="0.2">
      <c r="A266" s="668"/>
      <c r="B266" s="668"/>
    </row>
    <row r="267" spans="1:2" x14ac:dyDescent="0.2">
      <c r="A267" s="668"/>
      <c r="B267" s="668"/>
    </row>
    <row r="268" spans="1:2" ht="2.25" customHeight="1" x14ac:dyDescent="0.2">
      <c r="A268" s="669"/>
      <c r="B268" s="669"/>
    </row>
    <row r="269" spans="1:2" x14ac:dyDescent="0.2">
      <c r="A269" s="668"/>
      <c r="B269" s="668"/>
    </row>
    <row r="270" spans="1:2" x14ac:dyDescent="0.2">
      <c r="A270" s="668"/>
      <c r="B270" s="668"/>
    </row>
    <row r="271" spans="1:2" ht="2.25" customHeight="1" x14ac:dyDescent="0.2">
      <c r="A271" s="669"/>
      <c r="B271" s="669"/>
    </row>
    <row r="272" spans="1:2" x14ac:dyDescent="0.2">
      <c r="A272" s="668"/>
      <c r="B272" s="668"/>
    </row>
    <row r="273" spans="1:2" x14ac:dyDescent="0.2">
      <c r="A273" s="668"/>
      <c r="B273" s="668"/>
    </row>
    <row r="274" spans="1:2" ht="2.25" customHeight="1" x14ac:dyDescent="0.2">
      <c r="A274" s="669"/>
      <c r="B274" s="669"/>
    </row>
    <row r="275" spans="1:2" x14ac:dyDescent="0.2">
      <c r="A275" s="668"/>
      <c r="B275" s="668"/>
    </row>
    <row r="276" spans="1:2" x14ac:dyDescent="0.2">
      <c r="A276" s="668"/>
      <c r="B276" s="668"/>
    </row>
    <row r="277" spans="1:2" ht="2.25" customHeight="1" x14ac:dyDescent="0.2">
      <c r="A277" s="669"/>
      <c r="B277" s="669"/>
    </row>
    <row r="278" spans="1:2" x14ac:dyDescent="0.2">
      <c r="A278" s="668"/>
      <c r="B278" s="668"/>
    </row>
    <row r="279" spans="1:2" x14ac:dyDescent="0.2">
      <c r="A279" s="668"/>
      <c r="B279" s="668"/>
    </row>
    <row r="280" spans="1:2" ht="2.25" customHeight="1" x14ac:dyDescent="0.2">
      <c r="A280" s="669"/>
      <c r="B280" s="669"/>
    </row>
    <row r="281" spans="1:2" x14ac:dyDescent="0.2">
      <c r="A281" s="668"/>
      <c r="B281" s="668"/>
    </row>
    <row r="282" spans="1:2" x14ac:dyDescent="0.2">
      <c r="A282" s="668"/>
      <c r="B282" s="668"/>
    </row>
    <row r="283" spans="1:2" ht="2.25" customHeight="1" x14ac:dyDescent="0.2">
      <c r="A283" s="669"/>
      <c r="B283" s="669"/>
    </row>
    <row r="284" spans="1:2" x14ac:dyDescent="0.2">
      <c r="A284" s="668"/>
      <c r="B284" s="668"/>
    </row>
    <row r="285" spans="1:2" x14ac:dyDescent="0.2">
      <c r="A285" s="668"/>
      <c r="B285" s="668"/>
    </row>
    <row r="286" spans="1:2" ht="2.25" customHeight="1" x14ac:dyDescent="0.2">
      <c r="A286" s="669"/>
      <c r="B286" s="669"/>
    </row>
    <row r="287" spans="1:2" x14ac:dyDescent="0.2">
      <c r="A287" s="668"/>
      <c r="B287" s="668"/>
    </row>
    <row r="288" spans="1:2" x14ac:dyDescent="0.2">
      <c r="A288" s="668"/>
      <c r="B288" s="668"/>
    </row>
    <row r="289" spans="1:2" ht="2.25" customHeight="1" x14ac:dyDescent="0.2">
      <c r="A289" s="669"/>
      <c r="B289" s="669"/>
    </row>
    <row r="290" spans="1:2" x14ac:dyDescent="0.2">
      <c r="A290" s="668"/>
      <c r="B290" s="668"/>
    </row>
    <row r="291" spans="1:2" x14ac:dyDescent="0.2">
      <c r="A291" s="668"/>
      <c r="B291" s="668"/>
    </row>
    <row r="292" spans="1:2" ht="2.25" customHeight="1" x14ac:dyDescent="0.2">
      <c r="A292" s="669"/>
      <c r="B292" s="669"/>
    </row>
    <row r="293" spans="1:2" x14ac:dyDescent="0.2">
      <c r="A293" s="668"/>
      <c r="B293" s="668"/>
    </row>
    <row r="294" spans="1:2" x14ac:dyDescent="0.2">
      <c r="A294" s="668"/>
      <c r="B294" s="668"/>
    </row>
    <row r="295" spans="1:2" ht="2.25" customHeight="1" x14ac:dyDescent="0.2">
      <c r="A295" s="669"/>
      <c r="B295" s="669"/>
    </row>
    <row r="296" spans="1:2" x14ac:dyDescent="0.2">
      <c r="A296" s="668"/>
      <c r="B296" s="668"/>
    </row>
    <row r="297" spans="1:2" x14ac:dyDescent="0.2">
      <c r="A297" s="668"/>
      <c r="B297" s="668"/>
    </row>
    <row r="298" spans="1:2" ht="2.25" customHeight="1" x14ac:dyDescent="0.2">
      <c r="A298" s="669"/>
      <c r="B298" s="669"/>
    </row>
    <row r="299" spans="1:2" x14ac:dyDescent="0.2">
      <c r="A299" s="668"/>
      <c r="B299" s="668"/>
    </row>
    <row r="300" spans="1:2" x14ac:dyDescent="0.2">
      <c r="A300" s="668"/>
      <c r="B300" s="668"/>
    </row>
    <row r="301" spans="1:2" ht="2.25" customHeight="1" x14ac:dyDescent="0.2">
      <c r="A301" s="669"/>
      <c r="B301" s="669"/>
    </row>
    <row r="302" spans="1:2" x14ac:dyDescent="0.2">
      <c r="A302" s="668"/>
      <c r="B302" s="668"/>
    </row>
    <row r="303" spans="1:2" x14ac:dyDescent="0.2">
      <c r="A303" s="668"/>
      <c r="B303" s="668"/>
    </row>
    <row r="304" spans="1:2" ht="2.25" customHeight="1" x14ac:dyDescent="0.2">
      <c r="A304" s="669"/>
      <c r="B304" s="669"/>
    </row>
    <row r="305" spans="1:2" x14ac:dyDescent="0.2">
      <c r="A305" s="668"/>
      <c r="B305" s="668"/>
    </row>
    <row r="306" spans="1:2" x14ac:dyDescent="0.2">
      <c r="A306" s="668"/>
      <c r="B306" s="668"/>
    </row>
    <row r="307" spans="1:2" ht="2.25" customHeight="1" x14ac:dyDescent="0.2">
      <c r="A307" s="669"/>
      <c r="B307" s="669"/>
    </row>
    <row r="308" spans="1:2" x14ac:dyDescent="0.2">
      <c r="A308" s="668"/>
      <c r="B308" s="668"/>
    </row>
    <row r="309" spans="1:2" x14ac:dyDescent="0.2">
      <c r="A309" s="668"/>
      <c r="B309" s="668"/>
    </row>
    <row r="310" spans="1:2" ht="2.25" customHeight="1" x14ac:dyDescent="0.2">
      <c r="A310" s="669"/>
      <c r="B310" s="669"/>
    </row>
    <row r="311" spans="1:2" x14ac:dyDescent="0.2">
      <c r="A311" s="668"/>
      <c r="B311" s="668"/>
    </row>
    <row r="312" spans="1:2" x14ac:dyDescent="0.2">
      <c r="A312" s="668"/>
      <c r="B312" s="668"/>
    </row>
    <row r="313" spans="1:2" ht="2.25" customHeight="1" x14ac:dyDescent="0.2">
      <c r="A313" s="669"/>
      <c r="B313" s="669"/>
    </row>
    <row r="314" spans="1:2" x14ac:dyDescent="0.2">
      <c r="A314" s="668"/>
      <c r="B314" s="668"/>
    </row>
    <row r="315" spans="1:2" x14ac:dyDescent="0.2">
      <c r="A315" s="668"/>
      <c r="B315" s="668"/>
    </row>
    <row r="316" spans="1:2" ht="2.25" customHeight="1" x14ac:dyDescent="0.2">
      <c r="A316" s="669"/>
      <c r="B316" s="669"/>
    </row>
    <row r="317" spans="1:2" x14ac:dyDescent="0.2">
      <c r="A317" s="668"/>
      <c r="B317" s="668"/>
    </row>
    <row r="318" spans="1:2" x14ac:dyDescent="0.2">
      <c r="A318" s="668"/>
      <c r="B318" s="668"/>
    </row>
    <row r="319" spans="1:2" ht="2.25" customHeight="1" x14ac:dyDescent="0.2">
      <c r="A319" s="669"/>
      <c r="B319" s="669"/>
    </row>
    <row r="320" spans="1:2" x14ac:dyDescent="0.2">
      <c r="A320" s="668"/>
      <c r="B320" s="668"/>
    </row>
    <row r="321" spans="1:2" x14ac:dyDescent="0.2">
      <c r="A321" s="668"/>
      <c r="B321" s="668"/>
    </row>
    <row r="322" spans="1:2" ht="2.25" customHeight="1" x14ac:dyDescent="0.2">
      <c r="A322" s="669"/>
      <c r="B322" s="669"/>
    </row>
    <row r="323" spans="1:2" x14ac:dyDescent="0.2">
      <c r="A323" s="668"/>
      <c r="B323" s="668"/>
    </row>
    <row r="324" spans="1:2" x14ac:dyDescent="0.2">
      <c r="A324" s="668"/>
      <c r="B324" s="668"/>
    </row>
    <row r="325" spans="1:2" ht="2.25" customHeight="1" x14ac:dyDescent="0.2">
      <c r="A325" s="669"/>
      <c r="B325" s="669"/>
    </row>
    <row r="326" spans="1:2" x14ac:dyDescent="0.2">
      <c r="A326" s="668"/>
      <c r="B326" s="668"/>
    </row>
    <row r="327" spans="1:2" x14ac:dyDescent="0.2">
      <c r="A327" s="668"/>
      <c r="B327" s="668"/>
    </row>
    <row r="328" spans="1:2" ht="2.25" customHeight="1" x14ac:dyDescent="0.2">
      <c r="A328" s="669"/>
      <c r="B328" s="669"/>
    </row>
    <row r="329" spans="1:2" x14ac:dyDescent="0.2">
      <c r="A329" s="668"/>
      <c r="B329" s="668"/>
    </row>
    <row r="330" spans="1:2" x14ac:dyDescent="0.2">
      <c r="A330" s="668"/>
      <c r="B330" s="668"/>
    </row>
    <row r="331" spans="1:2" ht="2.25" customHeight="1" x14ac:dyDescent="0.2">
      <c r="A331" s="669"/>
      <c r="B331" s="669"/>
    </row>
    <row r="332" spans="1:2" x14ac:dyDescent="0.2">
      <c r="A332" s="668"/>
      <c r="B332" s="668"/>
    </row>
    <row r="333" spans="1:2" x14ac:dyDescent="0.2">
      <c r="A333" s="668"/>
      <c r="B333" s="668"/>
    </row>
    <row r="334" spans="1:2" ht="2.25" customHeight="1" x14ac:dyDescent="0.2">
      <c r="A334" s="669"/>
      <c r="B334" s="669"/>
    </row>
    <row r="335" spans="1:2" x14ac:dyDescent="0.2">
      <c r="A335" s="668"/>
      <c r="B335" s="668"/>
    </row>
    <row r="336" spans="1:2" x14ac:dyDescent="0.2">
      <c r="A336" s="668"/>
      <c r="B336" s="668"/>
    </row>
    <row r="337" spans="1:2" ht="2.25" customHeight="1" x14ac:dyDescent="0.2">
      <c r="A337" s="669"/>
      <c r="B337" s="669"/>
    </row>
    <row r="338" spans="1:2" x14ac:dyDescent="0.2">
      <c r="A338" s="668"/>
      <c r="B338" s="668"/>
    </row>
    <row r="339" spans="1:2" x14ac:dyDescent="0.2">
      <c r="A339" s="668"/>
      <c r="B339" s="668"/>
    </row>
    <row r="340" spans="1:2" ht="2.25" customHeight="1" x14ac:dyDescent="0.2">
      <c r="A340" s="669"/>
      <c r="B340" s="669"/>
    </row>
    <row r="341" spans="1:2" x14ac:dyDescent="0.2">
      <c r="A341" s="668"/>
      <c r="B341" s="668"/>
    </row>
    <row r="342" spans="1:2" x14ac:dyDescent="0.2">
      <c r="A342" s="668"/>
      <c r="B342" s="668"/>
    </row>
    <row r="343" spans="1:2" ht="2.25" customHeight="1" x14ac:dyDescent="0.2">
      <c r="A343" s="669"/>
      <c r="B343" s="669"/>
    </row>
    <row r="344" spans="1:2" x14ac:dyDescent="0.2">
      <c r="A344" s="668"/>
      <c r="B344" s="668"/>
    </row>
    <row r="345" spans="1:2" x14ac:dyDescent="0.2">
      <c r="A345" s="668"/>
      <c r="B345" s="668"/>
    </row>
    <row r="346" spans="1:2" ht="2.25" customHeight="1" x14ac:dyDescent="0.2">
      <c r="A346" s="669"/>
      <c r="B346" s="669"/>
    </row>
    <row r="347" spans="1:2" x14ac:dyDescent="0.2">
      <c r="A347" s="668"/>
      <c r="B347" s="668"/>
    </row>
    <row r="348" spans="1:2" x14ac:dyDescent="0.2">
      <c r="A348" s="668"/>
      <c r="B348" s="668"/>
    </row>
    <row r="349" spans="1:2" ht="2.25" customHeight="1" x14ac:dyDescent="0.2">
      <c r="A349" s="669"/>
      <c r="B349" s="669"/>
    </row>
    <row r="350" spans="1:2" x14ac:dyDescent="0.2">
      <c r="A350" s="668"/>
      <c r="B350" s="668"/>
    </row>
    <row r="351" spans="1:2" x14ac:dyDescent="0.2">
      <c r="A351" s="668"/>
      <c r="B351" s="668"/>
    </row>
    <row r="352" spans="1:2" ht="2.25" customHeight="1" x14ac:dyDescent="0.2">
      <c r="A352" s="669"/>
      <c r="B352" s="669"/>
    </row>
    <row r="353" spans="1:2" x14ac:dyDescent="0.2">
      <c r="A353" s="668"/>
      <c r="B353" s="668"/>
    </row>
    <row r="354" spans="1:2" x14ac:dyDescent="0.2">
      <c r="A354" s="668"/>
      <c r="B354" s="668"/>
    </row>
    <row r="355" spans="1:2" ht="2.25" customHeight="1" x14ac:dyDescent="0.2">
      <c r="A355" s="669"/>
      <c r="B355" s="669"/>
    </row>
    <row r="356" spans="1:2" x14ac:dyDescent="0.2">
      <c r="A356" s="668"/>
      <c r="B356" s="668"/>
    </row>
    <row r="357" spans="1:2" x14ac:dyDescent="0.2">
      <c r="A357" s="668"/>
      <c r="B357" s="668"/>
    </row>
    <row r="358" spans="1:2" ht="2.25" customHeight="1" x14ac:dyDescent="0.2">
      <c r="A358" s="669"/>
      <c r="B358" s="669"/>
    </row>
    <row r="359" spans="1:2" x14ac:dyDescent="0.2">
      <c r="A359" s="668"/>
      <c r="B359" s="668"/>
    </row>
    <row r="360" spans="1:2" x14ac:dyDescent="0.2">
      <c r="A360" s="668"/>
      <c r="B360" s="668"/>
    </row>
    <row r="361" spans="1:2" ht="2.25" customHeight="1" x14ac:dyDescent="0.2">
      <c r="A361" s="669"/>
      <c r="B361" s="669"/>
    </row>
    <row r="362" spans="1:2" x14ac:dyDescent="0.2">
      <c r="A362" s="668"/>
      <c r="B362" s="668"/>
    </row>
    <row r="363" spans="1:2" x14ac:dyDescent="0.2">
      <c r="A363" s="668"/>
      <c r="B363" s="668"/>
    </row>
    <row r="364" spans="1:2" ht="2.25" customHeight="1" x14ac:dyDescent="0.2">
      <c r="A364" s="669"/>
      <c r="B364" s="669"/>
    </row>
    <row r="365" spans="1:2" x14ac:dyDescent="0.2">
      <c r="A365" s="668"/>
      <c r="B365" s="668"/>
    </row>
    <row r="366" spans="1:2" x14ac:dyDescent="0.2">
      <c r="A366" s="668"/>
      <c r="B366" s="668"/>
    </row>
    <row r="367" spans="1:2" ht="2.25" customHeight="1" x14ac:dyDescent="0.2">
      <c r="A367" s="669"/>
      <c r="B367" s="669"/>
    </row>
    <row r="368" spans="1:2" x14ac:dyDescent="0.2">
      <c r="A368" s="668"/>
      <c r="B368" s="668"/>
    </row>
    <row r="369" spans="1:2" x14ac:dyDescent="0.2">
      <c r="A369" s="668"/>
      <c r="B369" s="668"/>
    </row>
    <row r="370" spans="1:2" ht="2.25" customHeight="1" x14ac:dyDescent="0.2">
      <c r="A370" s="669"/>
      <c r="B370" s="669"/>
    </row>
    <row r="371" spans="1:2" x14ac:dyDescent="0.2">
      <c r="A371" s="668"/>
      <c r="B371" s="668"/>
    </row>
    <row r="372" spans="1:2" x14ac:dyDescent="0.2">
      <c r="A372" s="668"/>
      <c r="B372" s="668"/>
    </row>
    <row r="373" spans="1:2" ht="2.25" customHeight="1" x14ac:dyDescent="0.2">
      <c r="A373" s="669"/>
      <c r="B373" s="669"/>
    </row>
    <row r="374" spans="1:2" x14ac:dyDescent="0.2">
      <c r="A374" s="668"/>
      <c r="B374" s="668"/>
    </row>
    <row r="375" spans="1:2" x14ac:dyDescent="0.2">
      <c r="A375" s="668"/>
      <c r="B375" s="668"/>
    </row>
    <row r="376" spans="1:2" ht="2.25" customHeight="1" x14ac:dyDescent="0.2">
      <c r="A376" s="669"/>
      <c r="B376" s="669"/>
    </row>
    <row r="377" spans="1:2" x14ac:dyDescent="0.2">
      <c r="A377" s="668"/>
      <c r="B377" s="668"/>
    </row>
    <row r="378" spans="1:2" x14ac:dyDescent="0.2">
      <c r="A378" s="668"/>
      <c r="B378" s="668"/>
    </row>
    <row r="379" spans="1:2" ht="2.25" customHeight="1" x14ac:dyDescent="0.2">
      <c r="A379" s="669"/>
      <c r="B379" s="669"/>
    </row>
    <row r="380" spans="1:2" x14ac:dyDescent="0.2">
      <c r="A380" s="668"/>
      <c r="B380" s="668"/>
    </row>
    <row r="381" spans="1:2" x14ac:dyDescent="0.2">
      <c r="A381" s="668"/>
      <c r="B381" s="668"/>
    </row>
    <row r="382" spans="1:2" ht="2.25" customHeight="1" x14ac:dyDescent="0.2">
      <c r="A382" s="669"/>
      <c r="B382" s="669"/>
    </row>
    <row r="383" spans="1:2" x14ac:dyDescent="0.2">
      <c r="A383" s="668"/>
      <c r="B383" s="668"/>
    </row>
    <row r="384" spans="1:2" x14ac:dyDescent="0.2">
      <c r="A384" s="668"/>
      <c r="B384" s="668"/>
    </row>
    <row r="385" spans="1:2" ht="2.25" customHeight="1" x14ac:dyDescent="0.2">
      <c r="A385" s="669"/>
      <c r="B385" s="669"/>
    </row>
    <row r="386" spans="1:2" x14ac:dyDescent="0.2">
      <c r="A386" s="668"/>
      <c r="B386" s="668"/>
    </row>
    <row r="387" spans="1:2" x14ac:dyDescent="0.2">
      <c r="A387" s="668"/>
      <c r="B387" s="668"/>
    </row>
    <row r="388" spans="1:2" ht="2.25" customHeight="1" x14ac:dyDescent="0.2">
      <c r="A388" s="669"/>
      <c r="B388" s="669"/>
    </row>
    <row r="389" spans="1:2" x14ac:dyDescent="0.2">
      <c r="A389" s="668"/>
      <c r="B389" s="668"/>
    </row>
    <row r="390" spans="1:2" x14ac:dyDescent="0.2">
      <c r="A390" s="668"/>
      <c r="B390" s="668"/>
    </row>
    <row r="391" spans="1:2" ht="2.25" customHeight="1" x14ac:dyDescent="0.2">
      <c r="A391" s="669"/>
      <c r="B391" s="669"/>
    </row>
    <row r="392" spans="1:2" x14ac:dyDescent="0.2">
      <c r="A392" s="668"/>
      <c r="B392" s="668"/>
    </row>
    <row r="393" spans="1:2" x14ac:dyDescent="0.2">
      <c r="A393" s="668"/>
      <c r="B393" s="668"/>
    </row>
    <row r="394" spans="1:2" ht="2.25" customHeight="1" x14ac:dyDescent="0.2">
      <c r="A394" s="669"/>
      <c r="B394" s="669"/>
    </row>
    <row r="395" spans="1:2" x14ac:dyDescent="0.2">
      <c r="A395" s="668"/>
      <c r="B395" s="668"/>
    </row>
    <row r="396" spans="1:2" x14ac:dyDescent="0.2">
      <c r="A396" s="668"/>
      <c r="B396" s="668"/>
    </row>
    <row r="397" spans="1:2" ht="2.25" customHeight="1" x14ac:dyDescent="0.2">
      <c r="A397" s="669"/>
      <c r="B397" s="669"/>
    </row>
    <row r="398" spans="1:2" x14ac:dyDescent="0.2">
      <c r="A398" s="668"/>
      <c r="B398" s="668"/>
    </row>
    <row r="399" spans="1:2" x14ac:dyDescent="0.2">
      <c r="A399" s="668"/>
      <c r="B399" s="668"/>
    </row>
    <row r="400" spans="1:2" ht="2.25" customHeight="1" x14ac:dyDescent="0.2">
      <c r="A400" s="669"/>
      <c r="B400" s="669"/>
    </row>
    <row r="401" spans="1:2" x14ac:dyDescent="0.2">
      <c r="A401" s="668"/>
      <c r="B401" s="668"/>
    </row>
    <row r="402" spans="1:2" x14ac:dyDescent="0.2">
      <c r="A402" s="668"/>
      <c r="B402" s="668"/>
    </row>
    <row r="403" spans="1:2" ht="2.25" customHeight="1" x14ac:dyDescent="0.2">
      <c r="A403" s="669"/>
      <c r="B403" s="669"/>
    </row>
    <row r="404" spans="1:2" x14ac:dyDescent="0.2">
      <c r="A404" s="668"/>
      <c r="B404" s="668"/>
    </row>
    <row r="405" spans="1:2" x14ac:dyDescent="0.2">
      <c r="A405" s="668"/>
      <c r="B405" s="668"/>
    </row>
    <row r="406" spans="1:2" ht="2.25" customHeight="1" x14ac:dyDescent="0.2">
      <c r="A406" s="669"/>
      <c r="B406" s="669"/>
    </row>
    <row r="407" spans="1:2" x14ac:dyDescent="0.2">
      <c r="A407" s="668"/>
      <c r="B407" s="668"/>
    </row>
    <row r="408" spans="1:2" x14ac:dyDescent="0.2">
      <c r="A408" s="668"/>
      <c r="B408" s="668"/>
    </row>
    <row r="409" spans="1:2" ht="2.25" customHeight="1" x14ac:dyDescent="0.2">
      <c r="A409" s="669"/>
      <c r="B409" s="669"/>
    </row>
    <row r="410" spans="1:2" x14ac:dyDescent="0.2">
      <c r="A410" s="668"/>
      <c r="B410" s="668"/>
    </row>
    <row r="411" spans="1:2" x14ac:dyDescent="0.2">
      <c r="A411" s="668"/>
      <c r="B411" s="668"/>
    </row>
    <row r="412" spans="1:2" ht="2.25" customHeight="1" x14ac:dyDescent="0.2">
      <c r="A412" s="669"/>
      <c r="B412" s="669"/>
    </row>
    <row r="413" spans="1:2" x14ac:dyDescent="0.2">
      <c r="A413" s="668"/>
      <c r="B413" s="668"/>
    </row>
    <row r="414" spans="1:2" x14ac:dyDescent="0.2">
      <c r="A414" s="668"/>
      <c r="B414" s="668"/>
    </row>
    <row r="415" spans="1:2" ht="2.25" customHeight="1" x14ac:dyDescent="0.2">
      <c r="A415" s="669"/>
      <c r="B415" s="669"/>
    </row>
    <row r="416" spans="1:2" x14ac:dyDescent="0.2">
      <c r="A416" s="668"/>
      <c r="B416" s="668"/>
    </row>
    <row r="417" spans="1:2" x14ac:dyDescent="0.2">
      <c r="A417" s="668"/>
      <c r="B417" s="668"/>
    </row>
    <row r="418" spans="1:2" ht="2.25" customHeight="1" x14ac:dyDescent="0.2">
      <c r="A418" s="669"/>
      <c r="B418" s="669"/>
    </row>
    <row r="419" spans="1:2" x14ac:dyDescent="0.2">
      <c r="A419" s="668"/>
      <c r="B419" s="668"/>
    </row>
    <row r="420" spans="1:2" x14ac:dyDescent="0.2">
      <c r="A420" s="668"/>
      <c r="B420" s="668"/>
    </row>
    <row r="421" spans="1:2" ht="2.25" customHeight="1" x14ac:dyDescent="0.2">
      <c r="A421" s="669"/>
      <c r="B421" s="669"/>
    </row>
    <row r="422" spans="1:2" x14ac:dyDescent="0.2">
      <c r="A422" s="668"/>
      <c r="B422" s="668"/>
    </row>
    <row r="423" spans="1:2" x14ac:dyDescent="0.2">
      <c r="A423" s="668"/>
      <c r="B423" s="668"/>
    </row>
    <row r="424" spans="1:2" ht="2.25" customHeight="1" x14ac:dyDescent="0.2">
      <c r="A424" s="669"/>
      <c r="B424" s="669"/>
    </row>
    <row r="425" spans="1:2" x14ac:dyDescent="0.2">
      <c r="A425" s="668"/>
      <c r="B425" s="668"/>
    </row>
    <row r="426" spans="1:2" x14ac:dyDescent="0.2">
      <c r="A426" s="668"/>
      <c r="B426" s="668"/>
    </row>
    <row r="427" spans="1:2" ht="2.25" customHeight="1" x14ac:dyDescent="0.2">
      <c r="A427" s="669"/>
      <c r="B427" s="669"/>
    </row>
    <row r="428" spans="1:2" x14ac:dyDescent="0.2">
      <c r="A428" s="668"/>
      <c r="B428" s="668"/>
    </row>
    <row r="429" spans="1:2" x14ac:dyDescent="0.2">
      <c r="A429" s="668"/>
      <c r="B429" s="668"/>
    </row>
    <row r="430" spans="1:2" ht="2.25" customHeight="1" x14ac:dyDescent="0.2">
      <c r="A430" s="669"/>
      <c r="B430" s="669"/>
    </row>
    <row r="431" spans="1:2" x14ac:dyDescent="0.2">
      <c r="A431" s="668"/>
      <c r="B431" s="668"/>
    </row>
    <row r="432" spans="1:2" x14ac:dyDescent="0.2">
      <c r="A432" s="668"/>
      <c r="B432" s="668"/>
    </row>
    <row r="433" spans="1:2" ht="2.25" customHeight="1" x14ac:dyDescent="0.2">
      <c r="A433" s="669"/>
      <c r="B433" s="669"/>
    </row>
    <row r="434" spans="1:2" x14ac:dyDescent="0.2">
      <c r="A434" s="668"/>
      <c r="B434" s="668"/>
    </row>
    <row r="435" spans="1:2" x14ac:dyDescent="0.2">
      <c r="A435" s="668"/>
      <c r="B435" s="668"/>
    </row>
    <row r="436" spans="1:2" ht="2.25" customHeight="1" x14ac:dyDescent="0.2">
      <c r="A436" s="669"/>
      <c r="B436" s="669"/>
    </row>
    <row r="437" spans="1:2" x14ac:dyDescent="0.2">
      <c r="A437" s="668"/>
      <c r="B437" s="668"/>
    </row>
    <row r="438" spans="1:2" x14ac:dyDescent="0.2">
      <c r="A438" s="668"/>
      <c r="B438" s="668"/>
    </row>
    <row r="439" spans="1:2" ht="2.25" customHeight="1" x14ac:dyDescent="0.2">
      <c r="A439" s="669"/>
      <c r="B439" s="669"/>
    </row>
    <row r="440" spans="1:2" x14ac:dyDescent="0.2">
      <c r="A440" s="668"/>
      <c r="B440" s="668"/>
    </row>
    <row r="441" spans="1:2" x14ac:dyDescent="0.2">
      <c r="A441" s="668"/>
      <c r="B441" s="668"/>
    </row>
    <row r="442" spans="1:2" ht="2.25" customHeight="1" x14ac:dyDescent="0.2">
      <c r="A442" s="669"/>
      <c r="B442" s="669"/>
    </row>
    <row r="443" spans="1:2" x14ac:dyDescent="0.2">
      <c r="A443" s="668"/>
      <c r="B443" s="668"/>
    </row>
    <row r="444" spans="1:2" x14ac:dyDescent="0.2">
      <c r="A444" s="668"/>
      <c r="B444" s="668"/>
    </row>
    <row r="445" spans="1:2" ht="2.25" customHeight="1" x14ac:dyDescent="0.2">
      <c r="A445" s="669"/>
      <c r="B445" s="669"/>
    </row>
    <row r="446" spans="1:2" x14ac:dyDescent="0.2">
      <c r="A446" s="668"/>
      <c r="B446" s="668"/>
    </row>
    <row r="447" spans="1:2" x14ac:dyDescent="0.2">
      <c r="A447" s="668"/>
      <c r="B447" s="668"/>
    </row>
    <row r="448" spans="1:2" ht="2.25" customHeight="1" x14ac:dyDescent="0.2">
      <c r="A448" s="669"/>
      <c r="B448" s="669"/>
    </row>
    <row r="449" spans="1:2" x14ac:dyDescent="0.2">
      <c r="A449" s="668"/>
      <c r="B449" s="668"/>
    </row>
    <row r="450" spans="1:2" x14ac:dyDescent="0.2">
      <c r="A450" s="668"/>
      <c r="B450" s="668"/>
    </row>
    <row r="451" spans="1:2" ht="2.25" customHeight="1" x14ac:dyDescent="0.2">
      <c r="A451" s="669"/>
      <c r="B451" s="669"/>
    </row>
    <row r="452" spans="1:2" x14ac:dyDescent="0.2">
      <c r="A452" s="668"/>
      <c r="B452" s="668"/>
    </row>
    <row r="453" spans="1:2" x14ac:dyDescent="0.2">
      <c r="A453" s="668"/>
      <c r="B453" s="668"/>
    </row>
    <row r="454" spans="1:2" ht="2.25" customHeight="1" x14ac:dyDescent="0.2">
      <c r="A454" s="669"/>
      <c r="B454" s="669"/>
    </row>
    <row r="455" spans="1:2" x14ac:dyDescent="0.2">
      <c r="A455" s="668"/>
      <c r="B455" s="668"/>
    </row>
    <row r="456" spans="1:2" x14ac:dyDescent="0.2">
      <c r="A456" s="668"/>
      <c r="B456" s="668"/>
    </row>
    <row r="457" spans="1:2" ht="2.25" customHeight="1" x14ac:dyDescent="0.2">
      <c r="A457" s="669"/>
      <c r="B457" s="669"/>
    </row>
    <row r="458" spans="1:2" x14ac:dyDescent="0.2">
      <c r="A458" s="668"/>
      <c r="B458" s="668"/>
    </row>
    <row r="459" spans="1:2" x14ac:dyDescent="0.2">
      <c r="A459" s="668"/>
      <c r="B459" s="668"/>
    </row>
    <row r="460" spans="1:2" ht="2.25" customHeight="1" x14ac:dyDescent="0.2">
      <c r="A460" s="669"/>
      <c r="B460" s="669"/>
    </row>
    <row r="461" spans="1:2" x14ac:dyDescent="0.2">
      <c r="A461" s="668"/>
      <c r="B461" s="668"/>
    </row>
    <row r="462" spans="1:2" x14ac:dyDescent="0.2">
      <c r="A462" s="668"/>
      <c r="B462" s="668"/>
    </row>
    <row r="463" spans="1:2" ht="2.25" customHeight="1" x14ac:dyDescent="0.2">
      <c r="A463" s="669"/>
      <c r="B463" s="669"/>
    </row>
    <row r="464" spans="1:2" x14ac:dyDescent="0.2">
      <c r="A464" s="668"/>
      <c r="B464" s="668"/>
    </row>
    <row r="465" spans="1:2" x14ac:dyDescent="0.2">
      <c r="A465" s="668"/>
      <c r="B465" s="668"/>
    </row>
    <row r="466" spans="1:2" ht="2.25" customHeight="1" x14ac:dyDescent="0.2">
      <c r="A466" s="669"/>
      <c r="B466" s="669"/>
    </row>
    <row r="467" spans="1:2" x14ac:dyDescent="0.2">
      <c r="A467" s="668"/>
      <c r="B467" s="668"/>
    </row>
    <row r="468" spans="1:2" x14ac:dyDescent="0.2">
      <c r="A468" s="668"/>
      <c r="B468" s="668"/>
    </row>
    <row r="469" spans="1:2" ht="2.25" customHeight="1" x14ac:dyDescent="0.2">
      <c r="A469" s="669"/>
      <c r="B469" s="669"/>
    </row>
    <row r="470" spans="1:2" x14ac:dyDescent="0.2">
      <c r="A470" s="668"/>
      <c r="B470" s="668"/>
    </row>
    <row r="471" spans="1:2" x14ac:dyDescent="0.2">
      <c r="A471" s="668"/>
      <c r="B471" s="668"/>
    </row>
    <row r="472" spans="1:2" ht="2.25" customHeight="1" x14ac:dyDescent="0.2">
      <c r="A472" s="669"/>
      <c r="B472" s="669"/>
    </row>
    <row r="473" spans="1:2" x14ac:dyDescent="0.2">
      <c r="A473" s="668"/>
      <c r="B473" s="668"/>
    </row>
    <row r="474" spans="1:2" x14ac:dyDescent="0.2">
      <c r="A474" s="668"/>
      <c r="B474" s="668"/>
    </row>
    <row r="475" spans="1:2" ht="2.25" customHeight="1" x14ac:dyDescent="0.2">
      <c r="A475" s="669"/>
      <c r="B475" s="669"/>
    </row>
    <row r="476" spans="1:2" x14ac:dyDescent="0.2">
      <c r="A476" s="668"/>
      <c r="B476" s="668"/>
    </row>
    <row r="477" spans="1:2" x14ac:dyDescent="0.2">
      <c r="A477" s="668"/>
      <c r="B477" s="668"/>
    </row>
    <row r="478" spans="1:2" ht="2.25" customHeight="1" x14ac:dyDescent="0.2">
      <c r="A478" s="669"/>
      <c r="B478" s="669"/>
    </row>
    <row r="479" spans="1:2" x14ac:dyDescent="0.2">
      <c r="A479" s="668"/>
      <c r="B479" s="668"/>
    </row>
    <row r="480" spans="1:2" x14ac:dyDescent="0.2">
      <c r="A480" s="668"/>
      <c r="B480" s="668"/>
    </row>
    <row r="481" spans="1:2" ht="2.25" customHeight="1" x14ac:dyDescent="0.2">
      <c r="A481" s="669"/>
      <c r="B481" s="669"/>
    </row>
    <row r="482" spans="1:2" x14ac:dyDescent="0.2">
      <c r="A482" s="668"/>
      <c r="B482" s="668"/>
    </row>
    <row r="483" spans="1:2" x14ac:dyDescent="0.2">
      <c r="A483" s="668"/>
      <c r="B483" s="668"/>
    </row>
    <row r="484" spans="1:2" ht="2.25" customHeight="1" x14ac:dyDescent="0.2">
      <c r="A484" s="669"/>
      <c r="B484" s="669"/>
    </row>
    <row r="485" spans="1:2" x14ac:dyDescent="0.2">
      <c r="A485" s="668"/>
      <c r="B485" s="668"/>
    </row>
    <row r="486" spans="1:2" x14ac:dyDescent="0.2">
      <c r="A486" s="668"/>
      <c r="B486" s="668"/>
    </row>
    <row r="487" spans="1:2" ht="2.25" customHeight="1" x14ac:dyDescent="0.2">
      <c r="A487" s="669"/>
      <c r="B487" s="669"/>
    </row>
    <row r="488" spans="1:2" x14ac:dyDescent="0.2">
      <c r="A488" s="668"/>
      <c r="B488" s="668"/>
    </row>
    <row r="489" spans="1:2" x14ac:dyDescent="0.2">
      <c r="A489" s="668"/>
      <c r="B489" s="668"/>
    </row>
    <row r="490" spans="1:2" ht="2.25" customHeight="1" x14ac:dyDescent="0.2">
      <c r="A490" s="669"/>
      <c r="B490" s="669"/>
    </row>
    <row r="491" spans="1:2" x14ac:dyDescent="0.2">
      <c r="A491" s="668"/>
      <c r="B491" s="668"/>
    </row>
    <row r="492" spans="1:2" x14ac:dyDescent="0.2">
      <c r="A492" s="668"/>
      <c r="B492" s="668"/>
    </row>
    <row r="493" spans="1:2" ht="2.25" customHeight="1" x14ac:dyDescent="0.2">
      <c r="A493" s="669"/>
      <c r="B493" s="669"/>
    </row>
    <row r="494" spans="1:2" x14ac:dyDescent="0.2">
      <c r="A494" s="668"/>
      <c r="B494" s="668"/>
    </row>
    <row r="495" spans="1:2" x14ac:dyDescent="0.2">
      <c r="A495" s="668"/>
      <c r="B495" s="668"/>
    </row>
    <row r="496" spans="1:2" ht="2.25" customHeight="1" x14ac:dyDescent="0.2">
      <c r="A496" s="669"/>
      <c r="B496" s="669"/>
    </row>
    <row r="497" spans="1:2" x14ac:dyDescent="0.2">
      <c r="A497" s="668"/>
      <c r="B497" s="668"/>
    </row>
    <row r="498" spans="1:2" x14ac:dyDescent="0.2">
      <c r="A498" s="668"/>
      <c r="B498" s="668"/>
    </row>
    <row r="499" spans="1:2" ht="2.25" customHeight="1" x14ac:dyDescent="0.2">
      <c r="A499" s="669"/>
      <c r="B499" s="669"/>
    </row>
    <row r="500" spans="1:2" x14ac:dyDescent="0.2">
      <c r="A500" s="668"/>
      <c r="B500" s="668"/>
    </row>
    <row r="501" spans="1:2" x14ac:dyDescent="0.2">
      <c r="A501" s="668"/>
      <c r="B501" s="668"/>
    </row>
    <row r="502" spans="1:2" ht="2.25" customHeight="1" x14ac:dyDescent="0.2">
      <c r="A502" s="669"/>
      <c r="B502" s="669"/>
    </row>
    <row r="503" spans="1:2" x14ac:dyDescent="0.2">
      <c r="A503" s="668"/>
      <c r="B503" s="668"/>
    </row>
    <row r="504" spans="1:2" x14ac:dyDescent="0.2">
      <c r="A504" s="668"/>
      <c r="B504" s="668"/>
    </row>
    <row r="505" spans="1:2" ht="2.25" customHeight="1" x14ac:dyDescent="0.2">
      <c r="A505" s="669"/>
      <c r="B505" s="669"/>
    </row>
    <row r="506" spans="1:2" x14ac:dyDescent="0.2">
      <c r="A506" s="668"/>
      <c r="B506" s="668"/>
    </row>
    <row r="507" spans="1:2" x14ac:dyDescent="0.2">
      <c r="A507" s="668"/>
      <c r="B507" s="668"/>
    </row>
    <row r="508" spans="1:2" ht="2.25" customHeight="1" x14ac:dyDescent="0.2">
      <c r="A508" s="669"/>
      <c r="B508" s="669"/>
    </row>
    <row r="509" spans="1:2" x14ac:dyDescent="0.2">
      <c r="A509" s="668"/>
      <c r="B509" s="668"/>
    </row>
    <row r="510" spans="1:2" x14ac:dyDescent="0.2">
      <c r="A510" s="668"/>
      <c r="B510" s="668"/>
    </row>
    <row r="511" spans="1:2" ht="2.25" customHeight="1" x14ac:dyDescent="0.2">
      <c r="A511" s="669"/>
      <c r="B511" s="669"/>
    </row>
    <row r="512" spans="1:2" x14ac:dyDescent="0.2">
      <c r="A512" s="668"/>
      <c r="B512" s="668"/>
    </row>
    <row r="513" spans="1:2" x14ac:dyDescent="0.2">
      <c r="A513" s="668"/>
      <c r="B513" s="668"/>
    </row>
    <row r="514" spans="1:2" ht="2.25" customHeight="1" x14ac:dyDescent="0.2">
      <c r="A514" s="669"/>
      <c r="B514" s="669"/>
    </row>
    <row r="515" spans="1:2" x14ac:dyDescent="0.2">
      <c r="A515" s="668"/>
      <c r="B515" s="668"/>
    </row>
    <row r="516" spans="1:2" x14ac:dyDescent="0.2">
      <c r="A516" s="668"/>
      <c r="B516" s="668"/>
    </row>
    <row r="517" spans="1:2" ht="2.25" customHeight="1" x14ac:dyDescent="0.2">
      <c r="A517" s="669"/>
      <c r="B517" s="669"/>
    </row>
    <row r="518" spans="1:2" x14ac:dyDescent="0.2">
      <c r="A518" s="668"/>
      <c r="B518" s="668"/>
    </row>
    <row r="519" spans="1:2" x14ac:dyDescent="0.2">
      <c r="A519" s="668"/>
      <c r="B519" s="668"/>
    </row>
    <row r="520" spans="1:2" ht="2.25" customHeight="1" x14ac:dyDescent="0.2">
      <c r="A520" s="669"/>
      <c r="B520" s="669"/>
    </row>
    <row r="521" spans="1:2" x14ac:dyDescent="0.2">
      <c r="A521" s="668"/>
      <c r="B521" s="668"/>
    </row>
    <row r="522" spans="1:2" x14ac:dyDescent="0.2">
      <c r="A522" s="668"/>
      <c r="B522" s="668"/>
    </row>
    <row r="523" spans="1:2" ht="2.25" customHeight="1" x14ac:dyDescent="0.2">
      <c r="A523" s="669"/>
      <c r="B523" s="669"/>
    </row>
    <row r="524" spans="1:2" x14ac:dyDescent="0.2">
      <c r="A524" s="668"/>
      <c r="B524" s="668"/>
    </row>
    <row r="525" spans="1:2" x14ac:dyDescent="0.2">
      <c r="A525" s="668"/>
      <c r="B525" s="668"/>
    </row>
    <row r="526" spans="1:2" ht="2.25" customHeight="1" x14ac:dyDescent="0.2">
      <c r="A526" s="669"/>
      <c r="B526" s="669"/>
    </row>
    <row r="527" spans="1:2" x14ac:dyDescent="0.2">
      <c r="A527" s="668"/>
      <c r="B527" s="668"/>
    </row>
    <row r="528" spans="1:2" x14ac:dyDescent="0.2">
      <c r="A528" s="668"/>
      <c r="B528" s="668"/>
    </row>
    <row r="529" spans="1:2" ht="2.25" customHeight="1" x14ac:dyDescent="0.2">
      <c r="A529" s="669"/>
      <c r="B529" s="669"/>
    </row>
    <row r="530" spans="1:2" x14ac:dyDescent="0.2">
      <c r="A530" s="668"/>
      <c r="B530" s="668"/>
    </row>
    <row r="531" spans="1:2" x14ac:dyDescent="0.2">
      <c r="A531" s="668"/>
      <c r="B531" s="668"/>
    </row>
    <row r="532" spans="1:2" ht="2.25" customHeight="1" x14ac:dyDescent="0.2">
      <c r="A532" s="669"/>
      <c r="B532" s="669"/>
    </row>
    <row r="533" spans="1:2" x14ac:dyDescent="0.2">
      <c r="A533" s="668"/>
      <c r="B533" s="668"/>
    </row>
    <row r="534" spans="1:2" x14ac:dyDescent="0.2">
      <c r="A534" s="668"/>
      <c r="B534" s="668"/>
    </row>
    <row r="535" spans="1:2" ht="2.25" customHeight="1" x14ac:dyDescent="0.2">
      <c r="A535" s="669"/>
      <c r="B535" s="669"/>
    </row>
    <row r="536" spans="1:2" x14ac:dyDescent="0.2">
      <c r="A536" s="668"/>
      <c r="B536" s="668"/>
    </row>
    <row r="537" spans="1:2" x14ac:dyDescent="0.2">
      <c r="A537" s="668"/>
      <c r="B537" s="668"/>
    </row>
    <row r="538" spans="1:2" ht="2.25" customHeight="1" x14ac:dyDescent="0.2">
      <c r="A538" s="669"/>
      <c r="B538" s="669"/>
    </row>
    <row r="539" spans="1:2" x14ac:dyDescent="0.2">
      <c r="A539" s="668"/>
      <c r="B539" s="668"/>
    </row>
    <row r="540" spans="1:2" x14ac:dyDescent="0.2">
      <c r="A540" s="668"/>
      <c r="B540" s="668"/>
    </row>
    <row r="541" spans="1:2" ht="2.25" customHeight="1" x14ac:dyDescent="0.2">
      <c r="A541" s="669"/>
      <c r="B541" s="669"/>
    </row>
    <row r="542" spans="1:2" x14ac:dyDescent="0.2">
      <c r="A542" s="668"/>
      <c r="B542" s="668"/>
    </row>
    <row r="543" spans="1:2" x14ac:dyDescent="0.2">
      <c r="A543" s="668"/>
      <c r="B543" s="668"/>
    </row>
    <row r="544" spans="1:2" ht="2.25" customHeight="1" x14ac:dyDescent="0.2">
      <c r="A544" s="669"/>
      <c r="B544" s="669"/>
    </row>
    <row r="545" spans="1:2" x14ac:dyDescent="0.2">
      <c r="A545" s="668"/>
      <c r="B545" s="668"/>
    </row>
    <row r="546" spans="1:2" x14ac:dyDescent="0.2">
      <c r="A546" s="668"/>
      <c r="B546" s="668"/>
    </row>
    <row r="547" spans="1:2" ht="2.25" customHeight="1" x14ac:dyDescent="0.2">
      <c r="A547" s="669"/>
      <c r="B547" s="669"/>
    </row>
    <row r="548" spans="1:2" x14ac:dyDescent="0.2">
      <c r="A548" s="668"/>
      <c r="B548" s="668"/>
    </row>
    <row r="549" spans="1:2" x14ac:dyDescent="0.2">
      <c r="A549" s="668"/>
      <c r="B549" s="668"/>
    </row>
    <row r="550" spans="1:2" ht="2.25" customHeight="1" x14ac:dyDescent="0.2">
      <c r="A550" s="669"/>
      <c r="B550" s="669"/>
    </row>
    <row r="551" spans="1:2" x14ac:dyDescent="0.2">
      <c r="A551" s="668"/>
      <c r="B551" s="668"/>
    </row>
    <row r="552" spans="1:2" x14ac:dyDescent="0.2">
      <c r="A552" s="668"/>
      <c r="B552" s="668"/>
    </row>
    <row r="553" spans="1:2" ht="2.25" customHeight="1" x14ac:dyDescent="0.2">
      <c r="A553" s="669"/>
      <c r="B553" s="669"/>
    </row>
    <row r="554" spans="1:2" x14ac:dyDescent="0.2">
      <c r="A554" s="668"/>
      <c r="B554" s="668"/>
    </row>
    <row r="555" spans="1:2" x14ac:dyDescent="0.2">
      <c r="A555" s="668"/>
      <c r="B555" s="668"/>
    </row>
    <row r="556" spans="1:2" ht="2.25" customHeight="1" x14ac:dyDescent="0.2">
      <c r="A556" s="669"/>
      <c r="B556" s="669"/>
    </row>
    <row r="557" spans="1:2" x14ac:dyDescent="0.2">
      <c r="A557" s="668"/>
      <c r="B557" s="668"/>
    </row>
    <row r="558" spans="1:2" x14ac:dyDescent="0.2">
      <c r="A558" s="668"/>
      <c r="B558" s="668"/>
    </row>
    <row r="559" spans="1:2" ht="2.25" customHeight="1" x14ac:dyDescent="0.2">
      <c r="A559" s="669"/>
      <c r="B559" s="669"/>
    </row>
    <row r="560" spans="1:2" x14ac:dyDescent="0.2">
      <c r="A560" s="668"/>
      <c r="B560" s="668"/>
    </row>
    <row r="561" spans="1:2" x14ac:dyDescent="0.2">
      <c r="A561" s="668"/>
      <c r="B561" s="668"/>
    </row>
    <row r="562" spans="1:2" ht="2.25" customHeight="1" x14ac:dyDescent="0.2">
      <c r="A562" s="669"/>
      <c r="B562" s="669"/>
    </row>
    <row r="563" spans="1:2" x14ac:dyDescent="0.2">
      <c r="A563" s="668"/>
      <c r="B563" s="668"/>
    </row>
    <row r="564" spans="1:2" x14ac:dyDescent="0.2">
      <c r="A564" s="668"/>
      <c r="B564" s="668"/>
    </row>
    <row r="565" spans="1:2" ht="2.25" customHeight="1" x14ac:dyDescent="0.2">
      <c r="A565" s="669"/>
      <c r="B565" s="669"/>
    </row>
    <row r="566" spans="1:2" x14ac:dyDescent="0.2">
      <c r="A566" s="668"/>
      <c r="B566" s="668"/>
    </row>
    <row r="567" spans="1:2" x14ac:dyDescent="0.2">
      <c r="A567" s="668"/>
      <c r="B567" s="668"/>
    </row>
    <row r="568" spans="1:2" ht="2.25" customHeight="1" x14ac:dyDescent="0.2">
      <c r="A568" s="669"/>
      <c r="B568" s="669"/>
    </row>
    <row r="569" spans="1:2" x14ac:dyDescent="0.2">
      <c r="A569" s="668"/>
      <c r="B569" s="668"/>
    </row>
    <row r="570" spans="1:2" x14ac:dyDescent="0.2">
      <c r="A570" s="668"/>
      <c r="B570" s="668"/>
    </row>
    <row r="571" spans="1:2" ht="2.25" customHeight="1" x14ac:dyDescent="0.2">
      <c r="A571" s="669"/>
      <c r="B571" s="669"/>
    </row>
    <row r="572" spans="1:2" x14ac:dyDescent="0.2">
      <c r="A572" s="668"/>
      <c r="B572" s="668"/>
    </row>
    <row r="573" spans="1:2" x14ac:dyDescent="0.2">
      <c r="A573" s="668"/>
      <c r="B573" s="668"/>
    </row>
    <row r="574" spans="1:2" ht="2.25" customHeight="1" x14ac:dyDescent="0.2">
      <c r="A574" s="669"/>
      <c r="B574" s="669"/>
    </row>
    <row r="575" spans="1:2" x14ac:dyDescent="0.2">
      <c r="A575" s="668"/>
      <c r="B575" s="668"/>
    </row>
    <row r="576" spans="1:2" x14ac:dyDescent="0.2">
      <c r="A576" s="668"/>
      <c r="B576" s="668"/>
    </row>
    <row r="577" spans="1:2" ht="2.25" customHeight="1" x14ac:dyDescent="0.2">
      <c r="A577" s="669"/>
      <c r="B577" s="669"/>
    </row>
    <row r="578" spans="1:2" x14ac:dyDescent="0.2">
      <c r="A578" s="668"/>
      <c r="B578" s="668"/>
    </row>
    <row r="579" spans="1:2" x14ac:dyDescent="0.2">
      <c r="A579" s="668"/>
      <c r="B579" s="668"/>
    </row>
    <row r="580" spans="1:2" ht="2.25" customHeight="1" x14ac:dyDescent="0.2">
      <c r="A580" s="669"/>
      <c r="B580" s="669"/>
    </row>
    <row r="581" spans="1:2" x14ac:dyDescent="0.2">
      <c r="A581" s="668"/>
      <c r="B581" s="668"/>
    </row>
    <row r="582" spans="1:2" x14ac:dyDescent="0.2">
      <c r="A582" s="668"/>
      <c r="B582" s="668"/>
    </row>
    <row r="583" spans="1:2" ht="2.25" customHeight="1" x14ac:dyDescent="0.2">
      <c r="A583" s="669"/>
      <c r="B583" s="669"/>
    </row>
    <row r="584" spans="1:2" x14ac:dyDescent="0.2">
      <c r="A584" s="668"/>
      <c r="B584" s="668"/>
    </row>
    <row r="585" spans="1:2" x14ac:dyDescent="0.2">
      <c r="A585" s="668"/>
      <c r="B585" s="668"/>
    </row>
    <row r="586" spans="1:2" ht="2.25" customHeight="1" x14ac:dyDescent="0.2">
      <c r="A586" s="669"/>
      <c r="B586" s="669"/>
    </row>
    <row r="587" spans="1:2" x14ac:dyDescent="0.2">
      <c r="A587" s="668"/>
      <c r="B587" s="668"/>
    </row>
    <row r="588" spans="1:2" x14ac:dyDescent="0.2">
      <c r="A588" s="668"/>
      <c r="B588" s="668"/>
    </row>
    <row r="589" spans="1:2" ht="2.25" customHeight="1" x14ac:dyDescent="0.2">
      <c r="A589" s="669"/>
      <c r="B589" s="669"/>
    </row>
    <row r="590" spans="1:2" x14ac:dyDescent="0.2">
      <c r="A590" s="668"/>
      <c r="B590" s="668"/>
    </row>
    <row r="591" spans="1:2" x14ac:dyDescent="0.2">
      <c r="A591" s="668"/>
      <c r="B591" s="668"/>
    </row>
    <row r="592" spans="1:2" ht="2.25" customHeight="1" x14ac:dyDescent="0.2">
      <c r="A592" s="669"/>
      <c r="B592" s="669"/>
    </row>
    <row r="593" spans="1:2" x14ac:dyDescent="0.2">
      <c r="A593" s="668"/>
      <c r="B593" s="668"/>
    </row>
    <row r="594" spans="1:2" x14ac:dyDescent="0.2">
      <c r="A594" s="668"/>
      <c r="B594" s="668"/>
    </row>
    <row r="595" spans="1:2" ht="2.25" customHeight="1" x14ac:dyDescent="0.2">
      <c r="A595" s="669"/>
      <c r="B595" s="669"/>
    </row>
    <row r="596" spans="1:2" x14ac:dyDescent="0.2">
      <c r="A596" s="668"/>
      <c r="B596" s="668"/>
    </row>
    <row r="597" spans="1:2" x14ac:dyDescent="0.2">
      <c r="A597" s="668"/>
      <c r="B597" s="668"/>
    </row>
    <row r="598" spans="1:2" ht="2.25" customHeight="1" x14ac:dyDescent="0.2">
      <c r="A598" s="669"/>
      <c r="B598" s="669"/>
    </row>
    <row r="599" spans="1:2" x14ac:dyDescent="0.2">
      <c r="A599" s="668"/>
      <c r="B599" s="668"/>
    </row>
    <row r="600" spans="1:2" x14ac:dyDescent="0.2">
      <c r="A600" s="668"/>
      <c r="B600" s="668"/>
    </row>
    <row r="601" spans="1:2" ht="2.25" customHeight="1" x14ac:dyDescent="0.2">
      <c r="A601" s="669"/>
      <c r="B601" s="669"/>
    </row>
    <row r="602" spans="1:2" x14ac:dyDescent="0.2">
      <c r="A602" s="668"/>
      <c r="B602" s="668"/>
    </row>
    <row r="603" spans="1:2" x14ac:dyDescent="0.2">
      <c r="A603" s="668"/>
      <c r="B603" s="668"/>
    </row>
    <row r="604" spans="1:2" ht="2.25" customHeight="1" x14ac:dyDescent="0.2">
      <c r="A604" s="669"/>
      <c r="B604" s="669"/>
    </row>
    <row r="605" spans="1:2" x14ac:dyDescent="0.2">
      <c r="A605" s="668"/>
      <c r="B605" s="668"/>
    </row>
    <row r="606" spans="1:2" x14ac:dyDescent="0.2">
      <c r="A606" s="668"/>
      <c r="B606" s="668"/>
    </row>
    <row r="607" spans="1:2" ht="2.25" customHeight="1" x14ac:dyDescent="0.2">
      <c r="A607" s="669"/>
      <c r="B607" s="669"/>
    </row>
    <row r="608" spans="1:2" x14ac:dyDescent="0.2">
      <c r="A608" s="668"/>
      <c r="B608" s="668"/>
    </row>
    <row r="609" spans="1:2" x14ac:dyDescent="0.2">
      <c r="A609" s="668"/>
      <c r="B609" s="668"/>
    </row>
    <row r="610" spans="1:2" ht="2.25" customHeight="1" x14ac:dyDescent="0.2">
      <c r="A610" s="669"/>
      <c r="B610" s="669"/>
    </row>
    <row r="611" spans="1:2" x14ac:dyDescent="0.2">
      <c r="A611" s="668"/>
      <c r="B611" s="668"/>
    </row>
    <row r="612" spans="1:2" x14ac:dyDescent="0.2">
      <c r="A612" s="668"/>
      <c r="B612" s="668"/>
    </row>
    <row r="613" spans="1:2" ht="2.25" customHeight="1" x14ac:dyDescent="0.2">
      <c r="A613" s="669"/>
      <c r="B613" s="669"/>
    </row>
    <row r="614" spans="1:2" x14ac:dyDescent="0.2">
      <c r="A614" s="668"/>
      <c r="B614" s="668"/>
    </row>
    <row r="615" spans="1:2" x14ac:dyDescent="0.2">
      <c r="A615" s="668"/>
      <c r="B615" s="668"/>
    </row>
    <row r="616" spans="1:2" ht="2.25" customHeight="1" x14ac:dyDescent="0.2">
      <c r="A616" s="669"/>
      <c r="B616" s="669"/>
    </row>
    <row r="617" spans="1:2" x14ac:dyDescent="0.2">
      <c r="A617" s="668"/>
      <c r="B617" s="668"/>
    </row>
    <row r="618" spans="1:2" x14ac:dyDescent="0.2">
      <c r="A618" s="668"/>
      <c r="B618" s="668"/>
    </row>
    <row r="619" spans="1:2" ht="2.25" customHeight="1" x14ac:dyDescent="0.2">
      <c r="A619" s="669"/>
      <c r="B619" s="669"/>
    </row>
    <row r="620" spans="1:2" x14ac:dyDescent="0.2">
      <c r="A620" s="668"/>
      <c r="B620" s="668"/>
    </row>
    <row r="621" spans="1:2" x14ac:dyDescent="0.2">
      <c r="A621" s="668"/>
      <c r="B621" s="668"/>
    </row>
    <row r="622" spans="1:2" ht="2.25" customHeight="1" x14ac:dyDescent="0.2">
      <c r="A622" s="669"/>
      <c r="B622" s="669"/>
    </row>
    <row r="623" spans="1:2" x14ac:dyDescent="0.2">
      <c r="A623" s="668"/>
      <c r="B623" s="668"/>
    </row>
    <row r="624" spans="1:2" x14ac:dyDescent="0.2">
      <c r="A624" s="668"/>
      <c r="B624" s="668"/>
    </row>
    <row r="625" spans="1:2" ht="2.25" customHeight="1" x14ac:dyDescent="0.2">
      <c r="A625" s="669"/>
      <c r="B625" s="669"/>
    </row>
    <row r="626" spans="1:2" x14ac:dyDescent="0.2">
      <c r="A626" s="668"/>
      <c r="B626" s="668"/>
    </row>
    <row r="627" spans="1:2" x14ac:dyDescent="0.2">
      <c r="A627" s="668"/>
      <c r="B627" s="668"/>
    </row>
    <row r="628" spans="1:2" ht="2.25" customHeight="1" x14ac:dyDescent="0.2">
      <c r="A628" s="669"/>
      <c r="B628" s="669"/>
    </row>
    <row r="629" spans="1:2" x14ac:dyDescent="0.2">
      <c r="A629" s="668"/>
      <c r="B629" s="668"/>
    </row>
    <row r="630" spans="1:2" x14ac:dyDescent="0.2">
      <c r="A630" s="668"/>
      <c r="B630" s="668"/>
    </row>
    <row r="631" spans="1:2" ht="2.25" customHeight="1" x14ac:dyDescent="0.2">
      <c r="A631" s="669"/>
      <c r="B631" s="669"/>
    </row>
    <row r="632" spans="1:2" x14ac:dyDescent="0.2">
      <c r="A632" s="668"/>
      <c r="B632" s="668"/>
    </row>
    <row r="633" spans="1:2" x14ac:dyDescent="0.2">
      <c r="A633" s="668"/>
      <c r="B633" s="668"/>
    </row>
    <row r="634" spans="1:2" ht="2.25" customHeight="1" x14ac:dyDescent="0.2">
      <c r="A634" s="669"/>
      <c r="B634" s="669"/>
    </row>
    <row r="635" spans="1:2" x14ac:dyDescent="0.2">
      <c r="A635" s="668"/>
      <c r="B635" s="668"/>
    </row>
    <row r="636" spans="1:2" x14ac:dyDescent="0.2">
      <c r="A636" s="668"/>
      <c r="B636" s="668"/>
    </row>
    <row r="637" spans="1:2" ht="2.25" customHeight="1" x14ac:dyDescent="0.2">
      <c r="A637" s="669"/>
      <c r="B637" s="669"/>
    </row>
    <row r="638" spans="1:2" x14ac:dyDescent="0.2">
      <c r="A638" s="668"/>
      <c r="B638" s="668"/>
    </row>
    <row r="639" spans="1:2" x14ac:dyDescent="0.2">
      <c r="A639" s="668"/>
      <c r="B639" s="668"/>
    </row>
    <row r="640" spans="1:2" ht="2.25" customHeight="1" x14ac:dyDescent="0.2">
      <c r="A640" s="669"/>
      <c r="B640" s="669"/>
    </row>
    <row r="641" spans="1:2" x14ac:dyDescent="0.2">
      <c r="A641" s="668"/>
      <c r="B641" s="668"/>
    </row>
    <row r="642" spans="1:2" x14ac:dyDescent="0.2">
      <c r="A642" s="668"/>
      <c r="B642" s="668"/>
    </row>
    <row r="643" spans="1:2" ht="2.25" customHeight="1" x14ac:dyDescent="0.2">
      <c r="A643" s="669"/>
      <c r="B643" s="669"/>
    </row>
    <row r="644" spans="1:2" x14ac:dyDescent="0.2">
      <c r="A644" s="668"/>
      <c r="B644" s="668"/>
    </row>
    <row r="645" spans="1:2" x14ac:dyDescent="0.2">
      <c r="A645" s="668"/>
      <c r="B645" s="668"/>
    </row>
    <row r="646" spans="1:2" ht="2.25" customHeight="1" x14ac:dyDescent="0.2">
      <c r="A646" s="669"/>
      <c r="B646" s="669"/>
    </row>
    <row r="647" spans="1:2" x14ac:dyDescent="0.2">
      <c r="A647" s="668"/>
      <c r="B647" s="668"/>
    </row>
    <row r="648" spans="1:2" x14ac:dyDescent="0.2">
      <c r="A648" s="668"/>
      <c r="B648" s="668"/>
    </row>
    <row r="649" spans="1:2" ht="2.25" customHeight="1" x14ac:dyDescent="0.2">
      <c r="A649" s="669"/>
      <c r="B649" s="669"/>
    </row>
    <row r="650" spans="1:2" x14ac:dyDescent="0.2">
      <c r="A650" s="668"/>
      <c r="B650" s="668"/>
    </row>
    <row r="651" spans="1:2" x14ac:dyDescent="0.2">
      <c r="A651" s="668"/>
      <c r="B651" s="668"/>
    </row>
    <row r="652" spans="1:2" ht="2.25" customHeight="1" x14ac:dyDescent="0.2">
      <c r="A652" s="669"/>
      <c r="B652" s="669"/>
    </row>
    <row r="653" spans="1:2" x14ac:dyDescent="0.2">
      <c r="A653" s="668"/>
      <c r="B653" s="668"/>
    </row>
    <row r="654" spans="1:2" x14ac:dyDescent="0.2">
      <c r="A654" s="668"/>
      <c r="B654" s="668"/>
    </row>
    <row r="655" spans="1:2" ht="2.25" customHeight="1" x14ac:dyDescent="0.2">
      <c r="A655" s="669"/>
      <c r="B655" s="669"/>
    </row>
    <row r="656" spans="1:2" x14ac:dyDescent="0.2">
      <c r="A656" s="668"/>
      <c r="B656" s="668"/>
    </row>
    <row r="657" spans="1:2" x14ac:dyDescent="0.2">
      <c r="A657" s="668"/>
      <c r="B657" s="668"/>
    </row>
    <row r="658" spans="1:2" ht="2.25" customHeight="1" x14ac:dyDescent="0.2">
      <c r="A658" s="669"/>
      <c r="B658" s="669"/>
    </row>
    <row r="659" spans="1:2" x14ac:dyDescent="0.2">
      <c r="A659" s="668"/>
      <c r="B659" s="668"/>
    </row>
    <row r="660" spans="1:2" x14ac:dyDescent="0.2">
      <c r="A660" s="668"/>
      <c r="B660" s="668"/>
    </row>
    <row r="661" spans="1:2" ht="2.25" customHeight="1" x14ac:dyDescent="0.2">
      <c r="A661" s="669"/>
      <c r="B661" s="669"/>
    </row>
    <row r="662" spans="1:2" x14ac:dyDescent="0.2">
      <c r="A662" s="668"/>
      <c r="B662" s="668"/>
    </row>
    <row r="663" spans="1:2" x14ac:dyDescent="0.2">
      <c r="A663" s="668"/>
      <c r="B663" s="668"/>
    </row>
    <row r="664" spans="1:2" ht="2.25" customHeight="1" x14ac:dyDescent="0.2">
      <c r="A664" s="669"/>
      <c r="B664" s="669"/>
    </row>
    <row r="665" spans="1:2" x14ac:dyDescent="0.2">
      <c r="A665" s="668"/>
      <c r="B665" s="668"/>
    </row>
    <row r="666" spans="1:2" x14ac:dyDescent="0.2">
      <c r="A666" s="668"/>
      <c r="B666" s="668"/>
    </row>
    <row r="667" spans="1:2" ht="2.25" customHeight="1" x14ac:dyDescent="0.2">
      <c r="A667" s="669"/>
      <c r="B667" s="669"/>
    </row>
    <row r="668" spans="1:2" x14ac:dyDescent="0.2">
      <c r="A668" s="668"/>
      <c r="B668" s="668"/>
    </row>
    <row r="669" spans="1:2" x14ac:dyDescent="0.2">
      <c r="A669" s="668"/>
      <c r="B669" s="668"/>
    </row>
    <row r="670" spans="1:2" ht="2.25" customHeight="1" x14ac:dyDescent="0.2">
      <c r="A670" s="669"/>
      <c r="B670" s="669"/>
    </row>
    <row r="671" spans="1:2" x14ac:dyDescent="0.2">
      <c r="A671" s="668"/>
      <c r="B671" s="668"/>
    </row>
    <row r="672" spans="1:2" x14ac:dyDescent="0.2">
      <c r="A672" s="668"/>
      <c r="B672" s="668"/>
    </row>
    <row r="673" spans="1:2" ht="2.25" customHeight="1" x14ac:dyDescent="0.2">
      <c r="A673" s="669"/>
      <c r="B673" s="669"/>
    </row>
    <row r="674" spans="1:2" x14ac:dyDescent="0.2">
      <c r="A674" s="668"/>
      <c r="B674" s="668"/>
    </row>
    <row r="675" spans="1:2" x14ac:dyDescent="0.2">
      <c r="A675" s="668"/>
      <c r="B675" s="668"/>
    </row>
    <row r="676" spans="1:2" ht="2.25" customHeight="1" x14ac:dyDescent="0.2">
      <c r="A676" s="669"/>
      <c r="B676" s="669"/>
    </row>
    <row r="677" spans="1:2" x14ac:dyDescent="0.2">
      <c r="A677" s="668"/>
      <c r="B677" s="668"/>
    </row>
    <row r="678" spans="1:2" x14ac:dyDescent="0.2">
      <c r="A678" s="668"/>
      <c r="B678" s="668"/>
    </row>
    <row r="679" spans="1:2" ht="2.25" customHeight="1" x14ac:dyDescent="0.2">
      <c r="A679" s="669"/>
      <c r="B679" s="669"/>
    </row>
    <row r="680" spans="1:2" x14ac:dyDescent="0.2">
      <c r="A680" s="668"/>
      <c r="B680" s="668"/>
    </row>
    <row r="681" spans="1:2" x14ac:dyDescent="0.2">
      <c r="A681" s="668"/>
      <c r="B681" s="668"/>
    </row>
    <row r="682" spans="1:2" ht="2.25" customHeight="1" x14ac:dyDescent="0.2">
      <c r="A682" s="669"/>
      <c r="B682" s="669"/>
    </row>
    <row r="683" spans="1:2" x14ac:dyDescent="0.2">
      <c r="A683" s="668"/>
      <c r="B683" s="668"/>
    </row>
    <row r="684" spans="1:2" x14ac:dyDescent="0.2">
      <c r="A684" s="668"/>
      <c r="B684" s="668"/>
    </row>
    <row r="685" spans="1:2" ht="2.25" customHeight="1" x14ac:dyDescent="0.2">
      <c r="A685" s="669"/>
      <c r="B685" s="669"/>
    </row>
    <row r="686" spans="1:2" x14ac:dyDescent="0.2">
      <c r="A686" s="668"/>
      <c r="B686" s="668"/>
    </row>
    <row r="687" spans="1:2" x14ac:dyDescent="0.2">
      <c r="A687" s="668"/>
      <c r="B687" s="668"/>
    </row>
    <row r="688" spans="1:2" ht="2.25" customHeight="1" x14ac:dyDescent="0.2">
      <c r="A688" s="669"/>
      <c r="B688" s="669"/>
    </row>
    <row r="689" spans="1:2" x14ac:dyDescent="0.2">
      <c r="A689" s="668"/>
      <c r="B689" s="668"/>
    </row>
    <row r="690" spans="1:2" x14ac:dyDescent="0.2">
      <c r="A690" s="668"/>
      <c r="B690" s="668"/>
    </row>
    <row r="691" spans="1:2" ht="2.25" customHeight="1" x14ac:dyDescent="0.2">
      <c r="A691" s="669"/>
      <c r="B691" s="669"/>
    </row>
    <row r="692" spans="1:2" x14ac:dyDescent="0.2">
      <c r="A692" s="668"/>
      <c r="B692" s="668"/>
    </row>
    <row r="693" spans="1:2" x14ac:dyDescent="0.2">
      <c r="A693" s="668"/>
      <c r="B693" s="668"/>
    </row>
    <row r="694" spans="1:2" ht="2.25" customHeight="1" x14ac:dyDescent="0.2">
      <c r="A694" s="669"/>
      <c r="B694" s="669"/>
    </row>
    <row r="695" spans="1:2" x14ac:dyDescent="0.2">
      <c r="A695" s="668"/>
      <c r="B695" s="668"/>
    </row>
    <row r="696" spans="1:2" x14ac:dyDescent="0.2">
      <c r="A696" s="668"/>
      <c r="B696" s="668"/>
    </row>
    <row r="697" spans="1:2" ht="2.25" customHeight="1" x14ac:dyDescent="0.2">
      <c r="A697" s="669"/>
      <c r="B697" s="669"/>
    </row>
    <row r="698" spans="1:2" x14ac:dyDescent="0.2">
      <c r="A698" s="668"/>
      <c r="B698" s="668"/>
    </row>
    <row r="699" spans="1:2" x14ac:dyDescent="0.2">
      <c r="A699" s="668"/>
      <c r="B699" s="668"/>
    </row>
    <row r="700" spans="1:2" ht="2.25" customHeight="1" x14ac:dyDescent="0.2">
      <c r="A700" s="669"/>
      <c r="B700" s="669"/>
    </row>
    <row r="701" spans="1:2" x14ac:dyDescent="0.2">
      <c r="A701" s="668"/>
      <c r="B701" s="668"/>
    </row>
    <row r="702" spans="1:2" x14ac:dyDescent="0.2">
      <c r="A702" s="668"/>
      <c r="B702" s="668"/>
    </row>
    <row r="703" spans="1:2" ht="2.25" customHeight="1" x14ac:dyDescent="0.2">
      <c r="A703" s="669"/>
      <c r="B703" s="669"/>
    </row>
    <row r="704" spans="1:2" x14ac:dyDescent="0.2">
      <c r="A704" s="668"/>
      <c r="B704" s="668"/>
    </row>
    <row r="705" spans="1:2" x14ac:dyDescent="0.2">
      <c r="A705" s="668"/>
      <c r="B705" s="668"/>
    </row>
    <row r="706" spans="1:2" ht="2.25" customHeight="1" x14ac:dyDescent="0.2">
      <c r="A706" s="669"/>
      <c r="B706" s="669"/>
    </row>
    <row r="707" spans="1:2" x14ac:dyDescent="0.2">
      <c r="A707" s="668"/>
      <c r="B707" s="668"/>
    </row>
    <row r="708" spans="1:2" x14ac:dyDescent="0.2">
      <c r="A708" s="668"/>
      <c r="B708" s="668"/>
    </row>
    <row r="709" spans="1:2" ht="2.25" customHeight="1" x14ac:dyDescent="0.2">
      <c r="A709" s="669"/>
      <c r="B709" s="669"/>
    </row>
    <row r="710" spans="1:2" x14ac:dyDescent="0.2">
      <c r="A710" s="668"/>
      <c r="B710" s="668"/>
    </row>
    <row r="711" spans="1:2" x14ac:dyDescent="0.2">
      <c r="A711" s="668"/>
      <c r="B711" s="668"/>
    </row>
    <row r="712" spans="1:2" ht="2.25" customHeight="1" x14ac:dyDescent="0.2">
      <c r="A712" s="669"/>
      <c r="B712" s="669"/>
    </row>
    <row r="713" spans="1:2" x14ac:dyDescent="0.2">
      <c r="A713" s="668"/>
      <c r="B713" s="668"/>
    </row>
    <row r="714" spans="1:2" x14ac:dyDescent="0.2">
      <c r="A714" s="668"/>
      <c r="B714" s="668"/>
    </row>
    <row r="715" spans="1:2" ht="2.25" customHeight="1" x14ac:dyDescent="0.2">
      <c r="A715" s="669"/>
      <c r="B715" s="669"/>
    </row>
    <row r="716" spans="1:2" x14ac:dyDescent="0.2">
      <c r="A716" s="668"/>
      <c r="B716" s="668"/>
    </row>
    <row r="717" spans="1:2" x14ac:dyDescent="0.2">
      <c r="A717" s="668"/>
      <c r="B717" s="668"/>
    </row>
    <row r="718" spans="1:2" ht="2.25" customHeight="1" x14ac:dyDescent="0.2">
      <c r="A718" s="669"/>
      <c r="B718" s="669"/>
    </row>
    <row r="719" spans="1:2" x14ac:dyDescent="0.2">
      <c r="A719" s="668"/>
      <c r="B719" s="668"/>
    </row>
    <row r="720" spans="1:2" x14ac:dyDescent="0.2">
      <c r="A720" s="668"/>
      <c r="B720" s="668"/>
    </row>
    <row r="721" spans="1:2" ht="2.25" customHeight="1" x14ac:dyDescent="0.2">
      <c r="A721" s="669"/>
      <c r="B721" s="669"/>
    </row>
    <row r="722" spans="1:2" x14ac:dyDescent="0.2">
      <c r="A722" s="668"/>
      <c r="B722" s="668"/>
    </row>
    <row r="723" spans="1:2" x14ac:dyDescent="0.2">
      <c r="A723" s="668"/>
      <c r="B723" s="668"/>
    </row>
    <row r="724" spans="1:2" ht="2.25" customHeight="1" x14ac:dyDescent="0.2">
      <c r="A724" s="669"/>
      <c r="B724" s="669"/>
    </row>
    <row r="725" spans="1:2" x14ac:dyDescent="0.2">
      <c r="A725" s="668"/>
      <c r="B725" s="668"/>
    </row>
    <row r="726" spans="1:2" x14ac:dyDescent="0.2">
      <c r="A726" s="668"/>
      <c r="B726" s="668"/>
    </row>
    <row r="727" spans="1:2" ht="2.25" customHeight="1" x14ac:dyDescent="0.2">
      <c r="A727" s="669"/>
      <c r="B727" s="669"/>
    </row>
    <row r="728" spans="1:2" x14ac:dyDescent="0.2">
      <c r="A728" s="668"/>
      <c r="B728" s="668"/>
    </row>
    <row r="729" spans="1:2" x14ac:dyDescent="0.2">
      <c r="A729" s="668"/>
      <c r="B729" s="668"/>
    </row>
    <row r="730" spans="1:2" ht="2.25" customHeight="1" x14ac:dyDescent="0.2">
      <c r="A730" s="669"/>
      <c r="B730" s="669"/>
    </row>
    <row r="731" spans="1:2" x14ac:dyDescent="0.2">
      <c r="A731" s="668"/>
      <c r="B731" s="668"/>
    </row>
    <row r="732" spans="1:2" x14ac:dyDescent="0.2">
      <c r="A732" s="668"/>
      <c r="B732" s="668"/>
    </row>
    <row r="733" spans="1:2" ht="2.25" customHeight="1" x14ac:dyDescent="0.2">
      <c r="A733" s="669"/>
      <c r="B733" s="669"/>
    </row>
    <row r="734" spans="1:2" x14ac:dyDescent="0.2">
      <c r="A734" s="668"/>
      <c r="B734" s="668"/>
    </row>
    <row r="735" spans="1:2" x14ac:dyDescent="0.2">
      <c r="A735" s="668"/>
      <c r="B735" s="668"/>
    </row>
    <row r="736" spans="1:2" ht="2.25" customHeight="1" x14ac:dyDescent="0.2">
      <c r="A736" s="669"/>
      <c r="B736" s="669"/>
    </row>
    <row r="737" spans="1:2" x14ac:dyDescent="0.2">
      <c r="A737" s="668"/>
      <c r="B737" s="668"/>
    </row>
    <row r="738" spans="1:2" x14ac:dyDescent="0.2">
      <c r="A738" s="668"/>
      <c r="B738" s="668"/>
    </row>
    <row r="739" spans="1:2" ht="2.25" customHeight="1" x14ac:dyDescent="0.2">
      <c r="A739" s="669"/>
      <c r="B739" s="669"/>
    </row>
    <row r="740" spans="1:2" x14ac:dyDescent="0.2">
      <c r="A740" s="668"/>
      <c r="B740" s="668"/>
    </row>
    <row r="741" spans="1:2" x14ac:dyDescent="0.2">
      <c r="A741" s="668"/>
      <c r="B741" s="668"/>
    </row>
    <row r="742" spans="1:2" ht="2.25" customHeight="1" x14ac:dyDescent="0.2">
      <c r="A742" s="669"/>
      <c r="B742" s="669"/>
    </row>
    <row r="743" spans="1:2" x14ac:dyDescent="0.2">
      <c r="A743" s="668"/>
      <c r="B743" s="668"/>
    </row>
    <row r="744" spans="1:2" x14ac:dyDescent="0.2">
      <c r="A744" s="668"/>
      <c r="B744" s="668"/>
    </row>
    <row r="745" spans="1:2" ht="2.25" customHeight="1" x14ac:dyDescent="0.2">
      <c r="A745" s="669"/>
      <c r="B745" s="669"/>
    </row>
    <row r="746" spans="1:2" x14ac:dyDescent="0.2">
      <c r="A746" s="668"/>
      <c r="B746" s="668"/>
    </row>
    <row r="747" spans="1:2" x14ac:dyDescent="0.2">
      <c r="A747" s="668"/>
      <c r="B747" s="668"/>
    </row>
    <row r="748" spans="1:2" ht="2.25" customHeight="1" x14ac:dyDescent="0.2">
      <c r="A748" s="669"/>
      <c r="B748" s="669"/>
    </row>
    <row r="749" spans="1:2" x14ac:dyDescent="0.2">
      <c r="A749" s="668"/>
      <c r="B749" s="668"/>
    </row>
    <row r="750" spans="1:2" x14ac:dyDescent="0.2">
      <c r="A750" s="668"/>
      <c r="B750" s="668"/>
    </row>
    <row r="751" spans="1:2" ht="2.25" customHeight="1" x14ac:dyDescent="0.2">
      <c r="A751" s="669"/>
      <c r="B751" s="669"/>
    </row>
    <row r="752" spans="1:2" x14ac:dyDescent="0.2">
      <c r="A752" s="668"/>
      <c r="B752" s="668"/>
    </row>
    <row r="753" spans="1:2" x14ac:dyDescent="0.2">
      <c r="A753" s="668"/>
      <c r="B753" s="668"/>
    </row>
    <row r="754" spans="1:2" ht="2.25" customHeight="1" x14ac:dyDescent="0.2">
      <c r="A754" s="669"/>
      <c r="B754" s="669"/>
    </row>
    <row r="755" spans="1:2" x14ac:dyDescent="0.2">
      <c r="A755" s="668"/>
      <c r="B755" s="668"/>
    </row>
    <row r="756" spans="1:2" x14ac:dyDescent="0.2">
      <c r="A756" s="668"/>
      <c r="B756" s="668"/>
    </row>
    <row r="757" spans="1:2" ht="2.25" customHeight="1" x14ac:dyDescent="0.2">
      <c r="A757" s="669"/>
      <c r="B757" s="669"/>
    </row>
    <row r="758" spans="1:2" x14ac:dyDescent="0.2">
      <c r="A758" s="668"/>
      <c r="B758" s="668"/>
    </row>
    <row r="759" spans="1:2" x14ac:dyDescent="0.2">
      <c r="A759" s="668"/>
      <c r="B759" s="668"/>
    </row>
    <row r="760" spans="1:2" ht="2.25" customHeight="1" x14ac:dyDescent="0.2">
      <c r="A760" s="669"/>
      <c r="B760" s="669"/>
    </row>
    <row r="761" spans="1:2" x14ac:dyDescent="0.2">
      <c r="A761" s="668"/>
      <c r="B761" s="668"/>
    </row>
    <row r="762" spans="1:2" x14ac:dyDescent="0.2">
      <c r="A762" s="668"/>
      <c r="B762" s="668"/>
    </row>
    <row r="763" spans="1:2" ht="2.25" customHeight="1" x14ac:dyDescent="0.2">
      <c r="A763" s="669"/>
      <c r="B763" s="669"/>
    </row>
    <row r="764" spans="1:2" x14ac:dyDescent="0.2">
      <c r="A764" s="668"/>
      <c r="B764" s="668"/>
    </row>
    <row r="765" spans="1:2" x14ac:dyDescent="0.2">
      <c r="A765" s="668"/>
      <c r="B765" s="668"/>
    </row>
    <row r="766" spans="1:2" ht="2.25" customHeight="1" x14ac:dyDescent="0.2">
      <c r="A766" s="669"/>
      <c r="B766" s="669"/>
    </row>
    <row r="767" spans="1:2" x14ac:dyDescent="0.2">
      <c r="A767" s="668"/>
      <c r="B767" s="668"/>
    </row>
    <row r="768" spans="1:2" x14ac:dyDescent="0.2">
      <c r="A768" s="668"/>
      <c r="B768" s="668"/>
    </row>
    <row r="769" spans="1:2" ht="2.25" customHeight="1" x14ac:dyDescent="0.2">
      <c r="A769" s="669"/>
      <c r="B769" s="669"/>
    </row>
    <row r="770" spans="1:2" x14ac:dyDescent="0.2">
      <c r="A770" s="668"/>
      <c r="B770" s="668"/>
    </row>
    <row r="771" spans="1:2" x14ac:dyDescent="0.2">
      <c r="A771" s="668"/>
      <c r="B771" s="668"/>
    </row>
    <row r="772" spans="1:2" ht="2.25" customHeight="1" x14ac:dyDescent="0.2">
      <c r="A772" s="669"/>
      <c r="B772" s="669"/>
    </row>
    <row r="773" spans="1:2" x14ac:dyDescent="0.2">
      <c r="A773" s="668"/>
      <c r="B773" s="668"/>
    </row>
    <row r="774" spans="1:2" x14ac:dyDescent="0.2">
      <c r="A774" s="668"/>
      <c r="B774" s="668"/>
    </row>
    <row r="775" spans="1:2" ht="2.25" customHeight="1" x14ac:dyDescent="0.2">
      <c r="A775" s="669"/>
      <c r="B775" s="669"/>
    </row>
    <row r="776" spans="1:2" x14ac:dyDescent="0.2">
      <c r="A776" s="668"/>
      <c r="B776" s="668"/>
    </row>
    <row r="777" spans="1:2" x14ac:dyDescent="0.2">
      <c r="A777" s="668"/>
      <c r="B777" s="668"/>
    </row>
    <row r="778" spans="1:2" ht="2.25" customHeight="1" x14ac:dyDescent="0.2">
      <c r="A778" s="669"/>
      <c r="B778" s="669"/>
    </row>
    <row r="779" spans="1:2" x14ac:dyDescent="0.2">
      <c r="A779" s="668"/>
      <c r="B779" s="668"/>
    </row>
    <row r="780" spans="1:2" x14ac:dyDescent="0.2">
      <c r="A780" s="668"/>
      <c r="B780" s="668"/>
    </row>
    <row r="781" spans="1:2" ht="2.25" customHeight="1" x14ac:dyDescent="0.2">
      <c r="A781" s="669"/>
      <c r="B781" s="669"/>
    </row>
    <row r="782" spans="1:2" x14ac:dyDescent="0.2">
      <c r="A782" s="668"/>
      <c r="B782" s="668"/>
    </row>
    <row r="783" spans="1:2" x14ac:dyDescent="0.2">
      <c r="A783" s="668"/>
      <c r="B783" s="668"/>
    </row>
    <row r="784" spans="1:2" ht="2.25" customHeight="1" x14ac:dyDescent="0.2">
      <c r="A784" s="669"/>
      <c r="B784" s="669"/>
    </row>
    <row r="785" spans="1:2" x14ac:dyDescent="0.2">
      <c r="A785" s="668"/>
      <c r="B785" s="668"/>
    </row>
    <row r="786" spans="1:2" x14ac:dyDescent="0.2">
      <c r="A786" s="668"/>
      <c r="B786" s="668"/>
    </row>
    <row r="787" spans="1:2" ht="2.25" customHeight="1" x14ac:dyDescent="0.2">
      <c r="A787" s="669"/>
      <c r="B787" s="669"/>
    </row>
    <row r="788" spans="1:2" x14ac:dyDescent="0.2">
      <c r="A788" s="668"/>
      <c r="B788" s="668"/>
    </row>
    <row r="789" spans="1:2" x14ac:dyDescent="0.2">
      <c r="A789" s="668"/>
      <c r="B789" s="668"/>
    </row>
    <row r="790" spans="1:2" ht="2.25" customHeight="1" x14ac:dyDescent="0.2">
      <c r="A790" s="669"/>
      <c r="B790" s="669"/>
    </row>
    <row r="791" spans="1:2" x14ac:dyDescent="0.2">
      <c r="A791" s="668"/>
      <c r="B791" s="668"/>
    </row>
    <row r="792" spans="1:2" x14ac:dyDescent="0.2">
      <c r="A792" s="668"/>
      <c r="B792" s="668"/>
    </row>
    <row r="793" spans="1:2" ht="2.25" customHeight="1" x14ac:dyDescent="0.2">
      <c r="A793" s="669"/>
      <c r="B793" s="669"/>
    </row>
    <row r="794" spans="1:2" x14ac:dyDescent="0.2">
      <c r="A794" s="668"/>
      <c r="B794" s="668"/>
    </row>
    <row r="795" spans="1:2" x14ac:dyDescent="0.2">
      <c r="A795" s="668"/>
      <c r="B795" s="668"/>
    </row>
    <row r="796" spans="1:2" ht="2.25" customHeight="1" x14ac:dyDescent="0.2">
      <c r="A796" s="669"/>
      <c r="B796" s="669"/>
    </row>
    <row r="797" spans="1:2" x14ac:dyDescent="0.2">
      <c r="A797" s="668"/>
      <c r="B797" s="668"/>
    </row>
    <row r="798" spans="1:2" x14ac:dyDescent="0.2">
      <c r="A798" s="668"/>
      <c r="B798" s="668"/>
    </row>
    <row r="799" spans="1:2" ht="2.25" customHeight="1" x14ac:dyDescent="0.2">
      <c r="A799" s="669"/>
      <c r="B799" s="669"/>
    </row>
    <row r="800" spans="1:2" x14ac:dyDescent="0.2">
      <c r="A800" s="668"/>
      <c r="B800" s="668"/>
    </row>
    <row r="801" spans="1:2" x14ac:dyDescent="0.2">
      <c r="A801" s="668"/>
      <c r="B801" s="668"/>
    </row>
    <row r="802" spans="1:2" ht="2.25" customHeight="1" x14ac:dyDescent="0.2">
      <c r="A802" s="669"/>
      <c r="B802" s="669"/>
    </row>
    <row r="803" spans="1:2" x14ac:dyDescent="0.2">
      <c r="A803" s="668"/>
      <c r="B803" s="668"/>
    </row>
    <row r="804" spans="1:2" x14ac:dyDescent="0.2">
      <c r="A804" s="668"/>
      <c r="B804" s="668"/>
    </row>
    <row r="805" spans="1:2" ht="2.25" customHeight="1" x14ac:dyDescent="0.2">
      <c r="A805" s="669"/>
      <c r="B805" s="669"/>
    </row>
    <row r="806" spans="1:2" x14ac:dyDescent="0.2">
      <c r="A806" s="668"/>
      <c r="B806" s="668"/>
    </row>
    <row r="807" spans="1:2" x14ac:dyDescent="0.2">
      <c r="A807" s="668"/>
      <c r="B807" s="668"/>
    </row>
    <row r="808" spans="1:2" ht="2.25" customHeight="1" x14ac:dyDescent="0.2">
      <c r="A808" s="669"/>
      <c r="B808" s="669"/>
    </row>
    <row r="809" spans="1:2" x14ac:dyDescent="0.2">
      <c r="A809" s="668"/>
      <c r="B809" s="668"/>
    </row>
    <row r="810" spans="1:2" x14ac:dyDescent="0.2">
      <c r="A810" s="668"/>
      <c r="B810" s="668"/>
    </row>
    <row r="811" spans="1:2" ht="2.25" customHeight="1" x14ac:dyDescent="0.2">
      <c r="A811" s="669"/>
      <c r="B811" s="669"/>
    </row>
    <row r="812" spans="1:2" x14ac:dyDescent="0.2">
      <c r="A812" s="668"/>
      <c r="B812" s="668"/>
    </row>
    <row r="813" spans="1:2" x14ac:dyDescent="0.2">
      <c r="A813" s="668"/>
      <c r="B813" s="668"/>
    </row>
    <row r="814" spans="1:2" ht="2.25" customHeight="1" x14ac:dyDescent="0.2">
      <c r="A814" s="669"/>
      <c r="B814" s="669"/>
    </row>
    <row r="815" spans="1:2" x14ac:dyDescent="0.2">
      <c r="A815" s="668"/>
      <c r="B815" s="668"/>
    </row>
    <row r="816" spans="1:2" x14ac:dyDescent="0.2">
      <c r="A816" s="668"/>
      <c r="B816" s="668"/>
    </row>
    <row r="817" spans="1:2" ht="2.25" customHeight="1" x14ac:dyDescent="0.2">
      <c r="A817" s="669"/>
      <c r="B817" s="669"/>
    </row>
    <row r="818" spans="1:2" x14ac:dyDescent="0.2">
      <c r="A818" s="668"/>
      <c r="B818" s="668"/>
    </row>
    <row r="819" spans="1:2" x14ac:dyDescent="0.2">
      <c r="A819" s="668"/>
      <c r="B819" s="668"/>
    </row>
    <row r="820" spans="1:2" ht="2.25" customHeight="1" x14ac:dyDescent="0.2">
      <c r="A820" s="669"/>
      <c r="B820" s="669"/>
    </row>
    <row r="821" spans="1:2" x14ac:dyDescent="0.2">
      <c r="A821" s="668"/>
      <c r="B821" s="668"/>
    </row>
    <row r="822" spans="1:2" x14ac:dyDescent="0.2">
      <c r="A822" s="668"/>
      <c r="B822" s="668"/>
    </row>
    <row r="823" spans="1:2" ht="2.25" customHeight="1" x14ac:dyDescent="0.2">
      <c r="A823" s="669"/>
      <c r="B823" s="669"/>
    </row>
    <row r="824" spans="1:2" x14ac:dyDescent="0.2">
      <c r="A824" s="668"/>
      <c r="B824" s="668"/>
    </row>
    <row r="825" spans="1:2" x14ac:dyDescent="0.2">
      <c r="A825" s="668"/>
      <c r="B825" s="668"/>
    </row>
    <row r="826" spans="1:2" ht="2.25" customHeight="1" x14ac:dyDescent="0.2">
      <c r="A826" s="669"/>
      <c r="B826" s="669"/>
    </row>
    <row r="827" spans="1:2" x14ac:dyDescent="0.2">
      <c r="A827" s="668"/>
      <c r="B827" s="668"/>
    </row>
    <row r="828" spans="1:2" x14ac:dyDescent="0.2">
      <c r="A828" s="668"/>
      <c r="B828" s="668"/>
    </row>
    <row r="829" spans="1:2" ht="2.25" customHeight="1" x14ac:dyDescent="0.2">
      <c r="A829" s="669"/>
      <c r="B829" s="669"/>
    </row>
    <row r="830" spans="1:2" x14ac:dyDescent="0.2">
      <c r="A830" s="668"/>
      <c r="B830" s="668"/>
    </row>
    <row r="831" spans="1:2" x14ac:dyDescent="0.2">
      <c r="A831" s="668"/>
      <c r="B831" s="668"/>
    </row>
    <row r="832" spans="1:2" ht="2.25" customHeight="1" x14ac:dyDescent="0.2">
      <c r="A832" s="669"/>
      <c r="B832" s="669"/>
    </row>
    <row r="833" spans="1:2" x14ac:dyDescent="0.2">
      <c r="A833" s="668"/>
      <c r="B833" s="668"/>
    </row>
    <row r="834" spans="1:2" x14ac:dyDescent="0.2">
      <c r="A834" s="668"/>
      <c r="B834" s="668"/>
    </row>
    <row r="835" spans="1:2" ht="2.25" customHeight="1" x14ac:dyDescent="0.2">
      <c r="A835" s="669"/>
      <c r="B835" s="669"/>
    </row>
    <row r="836" spans="1:2" x14ac:dyDescent="0.2">
      <c r="A836" s="668"/>
      <c r="B836" s="668"/>
    </row>
    <row r="837" spans="1:2" x14ac:dyDescent="0.2">
      <c r="A837" s="668"/>
      <c r="B837" s="668"/>
    </row>
    <row r="838" spans="1:2" ht="2.25" customHeight="1" x14ac:dyDescent="0.2">
      <c r="A838" s="669"/>
      <c r="B838" s="669"/>
    </row>
    <row r="839" spans="1:2" x14ac:dyDescent="0.2">
      <c r="A839" s="668"/>
      <c r="B839" s="668"/>
    </row>
    <row r="840" spans="1:2" x14ac:dyDescent="0.2">
      <c r="A840" s="668"/>
      <c r="B840" s="668"/>
    </row>
    <row r="841" spans="1:2" ht="2.25" customHeight="1" x14ac:dyDescent="0.2">
      <c r="A841" s="669"/>
      <c r="B841" s="669"/>
    </row>
    <row r="842" spans="1:2" x14ac:dyDescent="0.2">
      <c r="A842" s="668"/>
      <c r="B842" s="668"/>
    </row>
    <row r="843" spans="1:2" x14ac:dyDescent="0.2">
      <c r="A843" s="668"/>
      <c r="B843" s="668"/>
    </row>
    <row r="844" spans="1:2" ht="2.25" customHeight="1" x14ac:dyDescent="0.2">
      <c r="A844" s="669"/>
      <c r="B844" s="669"/>
    </row>
    <row r="845" spans="1:2" x14ac:dyDescent="0.2">
      <c r="A845" s="668"/>
      <c r="B845" s="668"/>
    </row>
    <row r="846" spans="1:2" x14ac:dyDescent="0.2">
      <c r="A846" s="668"/>
      <c r="B846" s="668"/>
    </row>
    <row r="847" spans="1:2" ht="2.25" customHeight="1" x14ac:dyDescent="0.2">
      <c r="A847" s="669"/>
      <c r="B847" s="669"/>
    </row>
    <row r="848" spans="1:2" x14ac:dyDescent="0.2">
      <c r="A848" s="668"/>
      <c r="B848" s="668"/>
    </row>
    <row r="849" spans="1:2" x14ac:dyDescent="0.2">
      <c r="A849" s="668"/>
      <c r="B849" s="668"/>
    </row>
    <row r="850" spans="1:2" ht="2.25" customHeight="1" x14ac:dyDescent="0.2">
      <c r="A850" s="669"/>
      <c r="B850" s="669"/>
    </row>
    <row r="851" spans="1:2" x14ac:dyDescent="0.2">
      <c r="A851" s="668"/>
      <c r="B851" s="668"/>
    </row>
    <row r="852" spans="1:2" x14ac:dyDescent="0.2">
      <c r="A852" s="668"/>
      <c r="B852" s="668"/>
    </row>
    <row r="853" spans="1:2" ht="2.25" customHeight="1" x14ac:dyDescent="0.2">
      <c r="A853" s="669"/>
      <c r="B853" s="669"/>
    </row>
    <row r="854" spans="1:2" x14ac:dyDescent="0.2">
      <c r="A854" s="668"/>
      <c r="B854" s="668"/>
    </row>
    <row r="855" spans="1:2" x14ac:dyDescent="0.2">
      <c r="A855" s="668"/>
      <c r="B855" s="668"/>
    </row>
    <row r="856" spans="1:2" ht="2.25" customHeight="1" x14ac:dyDescent="0.2">
      <c r="A856" s="669"/>
      <c r="B856" s="669"/>
    </row>
    <row r="857" spans="1:2" x14ac:dyDescent="0.2">
      <c r="A857" s="668"/>
      <c r="B857" s="668"/>
    </row>
    <row r="858" spans="1:2" x14ac:dyDescent="0.2">
      <c r="A858" s="668"/>
      <c r="B858" s="668"/>
    </row>
    <row r="859" spans="1:2" ht="2.25" customHeight="1" x14ac:dyDescent="0.2">
      <c r="A859" s="669"/>
      <c r="B859" s="669"/>
    </row>
    <row r="860" spans="1:2" x14ac:dyDescent="0.2">
      <c r="A860" s="668"/>
      <c r="B860" s="668"/>
    </row>
    <row r="861" spans="1:2" x14ac:dyDescent="0.2">
      <c r="A861" s="668"/>
      <c r="B861" s="668"/>
    </row>
    <row r="862" spans="1:2" ht="2.25" customHeight="1" x14ac:dyDescent="0.2">
      <c r="A862" s="669"/>
      <c r="B862" s="669"/>
    </row>
    <row r="863" spans="1:2" x14ac:dyDescent="0.2">
      <c r="A863" s="668"/>
      <c r="B863" s="668"/>
    </row>
    <row r="864" spans="1:2" x14ac:dyDescent="0.2">
      <c r="A864" s="668"/>
      <c r="B864" s="668"/>
    </row>
    <row r="865" spans="1:2" ht="2.25" customHeight="1" x14ac:dyDescent="0.2">
      <c r="A865" s="669"/>
      <c r="B865" s="669"/>
    </row>
    <row r="866" spans="1:2" x14ac:dyDescent="0.2">
      <c r="A866" s="668"/>
      <c r="B866" s="668"/>
    </row>
    <row r="867" spans="1:2" x14ac:dyDescent="0.2">
      <c r="A867" s="668"/>
      <c r="B867" s="668"/>
    </row>
    <row r="868" spans="1:2" ht="2.25" customHeight="1" x14ac:dyDescent="0.2">
      <c r="A868" s="669"/>
      <c r="B868" s="669"/>
    </row>
    <row r="869" spans="1:2" x14ac:dyDescent="0.2">
      <c r="A869" s="668"/>
      <c r="B869" s="668"/>
    </row>
    <row r="870" spans="1:2" x14ac:dyDescent="0.2">
      <c r="A870" s="668"/>
      <c r="B870" s="668"/>
    </row>
    <row r="871" spans="1:2" ht="2.25" customHeight="1" x14ac:dyDescent="0.2">
      <c r="A871" s="669"/>
      <c r="B871" s="669"/>
    </row>
    <row r="872" spans="1:2" x14ac:dyDescent="0.2">
      <c r="A872" s="668"/>
      <c r="B872" s="668"/>
    </row>
    <row r="873" spans="1:2" x14ac:dyDescent="0.2">
      <c r="A873" s="668"/>
      <c r="B873" s="668"/>
    </row>
    <row r="874" spans="1:2" ht="2.25" customHeight="1" x14ac:dyDescent="0.2">
      <c r="A874" s="669"/>
      <c r="B874" s="669"/>
    </row>
    <row r="875" spans="1:2" x14ac:dyDescent="0.2">
      <c r="A875" s="668"/>
      <c r="B875" s="668"/>
    </row>
    <row r="876" spans="1:2" x14ac:dyDescent="0.2">
      <c r="A876" s="668"/>
      <c r="B876" s="668"/>
    </row>
    <row r="877" spans="1:2" ht="2.25" customHeight="1" x14ac:dyDescent="0.2">
      <c r="A877" s="669"/>
      <c r="B877" s="669"/>
    </row>
    <row r="878" spans="1:2" x14ac:dyDescent="0.2">
      <c r="A878" s="668"/>
      <c r="B878" s="668"/>
    </row>
    <row r="879" spans="1:2" x14ac:dyDescent="0.2">
      <c r="A879" s="668"/>
      <c r="B879" s="668"/>
    </row>
    <row r="880" spans="1:2" ht="2.25" customHeight="1" x14ac:dyDescent="0.2">
      <c r="A880" s="669"/>
      <c r="B880" s="669"/>
    </row>
    <row r="881" spans="1:2" x14ac:dyDescent="0.2">
      <c r="A881" s="668"/>
      <c r="B881" s="668"/>
    </row>
    <row r="882" spans="1:2" x14ac:dyDescent="0.2">
      <c r="A882" s="668"/>
      <c r="B882" s="668"/>
    </row>
    <row r="883" spans="1:2" ht="2.25" customHeight="1" x14ac:dyDescent="0.2">
      <c r="A883" s="669"/>
      <c r="B883" s="669"/>
    </row>
    <row r="884" spans="1:2" x14ac:dyDescent="0.2">
      <c r="A884" s="668"/>
      <c r="B884" s="668"/>
    </row>
    <row r="885" spans="1:2" x14ac:dyDescent="0.2">
      <c r="A885" s="668"/>
      <c r="B885" s="668"/>
    </row>
    <row r="886" spans="1:2" ht="2.25" customHeight="1" x14ac:dyDescent="0.2">
      <c r="A886" s="669"/>
      <c r="B886" s="669"/>
    </row>
    <row r="887" spans="1:2" x14ac:dyDescent="0.2">
      <c r="A887" s="668"/>
      <c r="B887" s="668"/>
    </row>
    <row r="888" spans="1:2" x14ac:dyDescent="0.2">
      <c r="A888" s="668"/>
      <c r="B888" s="668"/>
    </row>
    <row r="889" spans="1:2" ht="2.25" customHeight="1" x14ac:dyDescent="0.2">
      <c r="A889" s="669"/>
      <c r="B889" s="669"/>
    </row>
    <row r="890" spans="1:2" x14ac:dyDescent="0.2">
      <c r="A890" s="668"/>
      <c r="B890" s="668"/>
    </row>
    <row r="891" spans="1:2" x14ac:dyDescent="0.2">
      <c r="A891" s="668"/>
      <c r="B891" s="668"/>
    </row>
    <row r="892" spans="1:2" ht="2.25" customHeight="1" x14ac:dyDescent="0.2">
      <c r="A892" s="669"/>
      <c r="B892" s="669"/>
    </row>
    <row r="893" spans="1:2" x14ac:dyDescent="0.2">
      <c r="A893" s="668"/>
      <c r="B893" s="668"/>
    </row>
    <row r="894" spans="1:2" x14ac:dyDescent="0.2">
      <c r="A894" s="668"/>
      <c r="B894" s="668"/>
    </row>
    <row r="895" spans="1:2" ht="2.25" customHeight="1" x14ac:dyDescent="0.2">
      <c r="A895" s="669"/>
      <c r="B895" s="669"/>
    </row>
    <row r="896" spans="1:2" x14ac:dyDescent="0.2">
      <c r="A896" s="668"/>
      <c r="B896" s="668"/>
    </row>
    <row r="897" spans="1:2" x14ac:dyDescent="0.2">
      <c r="A897" s="668"/>
      <c r="B897" s="668"/>
    </row>
    <row r="898" spans="1:2" ht="2.25" customHeight="1" x14ac:dyDescent="0.2">
      <c r="A898" s="669"/>
      <c r="B898" s="669"/>
    </row>
    <row r="899" spans="1:2" x14ac:dyDescent="0.2">
      <c r="A899" s="668"/>
      <c r="B899" s="668"/>
    </row>
    <row r="900" spans="1:2" x14ac:dyDescent="0.2">
      <c r="A900" s="668"/>
      <c r="B900" s="668"/>
    </row>
    <row r="901" spans="1:2" ht="2.25" customHeight="1" x14ac:dyDescent="0.2">
      <c r="A901" s="669"/>
      <c r="B901" s="669"/>
    </row>
    <row r="902" spans="1:2" x14ac:dyDescent="0.2">
      <c r="A902" s="668"/>
      <c r="B902" s="668"/>
    </row>
    <row r="903" spans="1:2" x14ac:dyDescent="0.2">
      <c r="A903" s="668"/>
      <c r="B903" s="668"/>
    </row>
    <row r="904" spans="1:2" ht="2.25" customHeight="1" x14ac:dyDescent="0.2">
      <c r="A904" s="669"/>
      <c r="B904" s="669"/>
    </row>
    <row r="905" spans="1:2" x14ac:dyDescent="0.2">
      <c r="A905" s="668"/>
      <c r="B905" s="668"/>
    </row>
    <row r="906" spans="1:2" x14ac:dyDescent="0.2">
      <c r="A906" s="668"/>
      <c r="B906" s="668"/>
    </row>
    <row r="907" spans="1:2" ht="2.25" customHeight="1" x14ac:dyDescent="0.2">
      <c r="A907" s="669"/>
      <c r="B907" s="669"/>
    </row>
    <row r="908" spans="1:2" x14ac:dyDescent="0.2">
      <c r="A908" s="668"/>
      <c r="B908" s="668"/>
    </row>
    <row r="909" spans="1:2" x14ac:dyDescent="0.2">
      <c r="A909" s="668"/>
      <c r="B909" s="668"/>
    </row>
    <row r="910" spans="1:2" ht="2.25" customHeight="1" x14ac:dyDescent="0.2">
      <c r="A910" s="669"/>
      <c r="B910" s="669"/>
    </row>
    <row r="911" spans="1:2" x14ac:dyDescent="0.2">
      <c r="A911" s="668"/>
      <c r="B911" s="668"/>
    </row>
    <row r="912" spans="1:2" x14ac:dyDescent="0.2">
      <c r="A912" s="668"/>
      <c r="B912" s="668"/>
    </row>
    <row r="913" spans="1:2" ht="2.25" customHeight="1" x14ac:dyDescent="0.2">
      <c r="A913" s="669"/>
      <c r="B913" s="669"/>
    </row>
    <row r="914" spans="1:2" x14ac:dyDescent="0.2">
      <c r="A914" s="668"/>
      <c r="B914" s="668"/>
    </row>
    <row r="915" spans="1:2" x14ac:dyDescent="0.2">
      <c r="A915" s="668"/>
      <c r="B915" s="668"/>
    </row>
    <row r="916" spans="1:2" ht="2.25" customHeight="1" x14ac:dyDescent="0.2">
      <c r="A916" s="669"/>
      <c r="B916" s="669"/>
    </row>
    <row r="917" spans="1:2" x14ac:dyDescent="0.2">
      <c r="A917" s="668"/>
      <c r="B917" s="668"/>
    </row>
    <row r="918" spans="1:2" x14ac:dyDescent="0.2">
      <c r="A918" s="668"/>
      <c r="B918" s="668"/>
    </row>
    <row r="919" spans="1:2" ht="2.25" customHeight="1" x14ac:dyDescent="0.2">
      <c r="A919" s="669"/>
      <c r="B919" s="669"/>
    </row>
    <row r="920" spans="1:2" x14ac:dyDescent="0.2">
      <c r="A920" s="668"/>
      <c r="B920" s="668"/>
    </row>
    <row r="921" spans="1:2" x14ac:dyDescent="0.2">
      <c r="A921" s="668"/>
      <c r="B921" s="668"/>
    </row>
    <row r="922" spans="1:2" ht="2.25" customHeight="1" x14ac:dyDescent="0.2">
      <c r="A922" s="669"/>
      <c r="B922" s="669"/>
    </row>
    <row r="923" spans="1:2" x14ac:dyDescent="0.2">
      <c r="A923" s="668"/>
      <c r="B923" s="668"/>
    </row>
    <row r="924" spans="1:2" x14ac:dyDescent="0.2">
      <c r="A924" s="668"/>
      <c r="B924" s="668"/>
    </row>
    <row r="925" spans="1:2" ht="2.25" customHeight="1" x14ac:dyDescent="0.2">
      <c r="A925" s="669"/>
      <c r="B925" s="669"/>
    </row>
    <row r="926" spans="1:2" x14ac:dyDescent="0.2">
      <c r="A926" s="668"/>
      <c r="B926" s="668"/>
    </row>
    <row r="927" spans="1:2" x14ac:dyDescent="0.2">
      <c r="A927" s="668"/>
      <c r="B927" s="668"/>
    </row>
    <row r="928" spans="1:2" ht="2.25" customHeight="1" x14ac:dyDescent="0.2">
      <c r="A928" s="669"/>
      <c r="B928" s="669"/>
    </row>
    <row r="929" spans="1:2" x14ac:dyDescent="0.2">
      <c r="A929" s="668"/>
      <c r="B929" s="668"/>
    </row>
    <row r="930" spans="1:2" x14ac:dyDescent="0.2">
      <c r="A930" s="668"/>
      <c r="B930" s="668"/>
    </row>
    <row r="931" spans="1:2" ht="2.25" customHeight="1" x14ac:dyDescent="0.2">
      <c r="A931" s="669"/>
      <c r="B931" s="669"/>
    </row>
    <row r="932" spans="1:2" x14ac:dyDescent="0.2">
      <c r="A932" s="668"/>
      <c r="B932" s="668"/>
    </row>
    <row r="933" spans="1:2" x14ac:dyDescent="0.2">
      <c r="A933" s="668"/>
      <c r="B933" s="668"/>
    </row>
    <row r="934" spans="1:2" ht="2.25" customHeight="1" x14ac:dyDescent="0.2">
      <c r="A934" s="669"/>
      <c r="B934" s="669"/>
    </row>
    <row r="935" spans="1:2" x14ac:dyDescent="0.2">
      <c r="A935" s="668"/>
      <c r="B935" s="668"/>
    </row>
    <row r="936" spans="1:2" x14ac:dyDescent="0.2">
      <c r="A936" s="668"/>
      <c r="B936" s="668"/>
    </row>
    <row r="937" spans="1:2" ht="2.25" customHeight="1" x14ac:dyDescent="0.2">
      <c r="A937" s="669"/>
      <c r="B937" s="669"/>
    </row>
    <row r="938" spans="1:2" x14ac:dyDescent="0.2">
      <c r="A938" s="668"/>
      <c r="B938" s="668"/>
    </row>
    <row r="939" spans="1:2" x14ac:dyDescent="0.2">
      <c r="A939" s="668"/>
      <c r="B939" s="668"/>
    </row>
    <row r="940" spans="1:2" ht="2.25" customHeight="1" x14ac:dyDescent="0.2">
      <c r="A940" s="669"/>
      <c r="B940" s="669"/>
    </row>
    <row r="941" spans="1:2" x14ac:dyDescent="0.2">
      <c r="A941" s="668"/>
      <c r="B941" s="668"/>
    </row>
    <row r="942" spans="1:2" x14ac:dyDescent="0.2">
      <c r="A942" s="668"/>
      <c r="B942" s="668"/>
    </row>
    <row r="943" spans="1:2" ht="2.25" customHeight="1" x14ac:dyDescent="0.2">
      <c r="A943" s="669"/>
      <c r="B943" s="669"/>
    </row>
    <row r="944" spans="1:2" x14ac:dyDescent="0.2">
      <c r="A944" s="668"/>
      <c r="B944" s="668"/>
    </row>
    <row r="945" spans="1:2" x14ac:dyDescent="0.2">
      <c r="A945" s="668"/>
      <c r="B945" s="668"/>
    </row>
    <row r="946" spans="1:2" ht="2.25" customHeight="1" x14ac:dyDescent="0.2">
      <c r="A946" s="669"/>
      <c r="B946" s="669"/>
    </row>
    <row r="947" spans="1:2" x14ac:dyDescent="0.2">
      <c r="A947" s="668"/>
      <c r="B947" s="668"/>
    </row>
    <row r="948" spans="1:2" x14ac:dyDescent="0.2">
      <c r="A948" s="668"/>
      <c r="B948" s="668"/>
    </row>
    <row r="949" spans="1:2" ht="2.25" customHeight="1" x14ac:dyDescent="0.2">
      <c r="A949" s="669"/>
      <c r="B949" s="669"/>
    </row>
    <row r="950" spans="1:2" x14ac:dyDescent="0.2">
      <c r="A950" s="668"/>
      <c r="B950" s="668"/>
    </row>
    <row r="951" spans="1:2" x14ac:dyDescent="0.2">
      <c r="A951" s="668"/>
      <c r="B951" s="668"/>
    </row>
    <row r="952" spans="1:2" ht="2.25" customHeight="1" x14ac:dyDescent="0.2">
      <c r="A952" s="669"/>
      <c r="B952" s="669"/>
    </row>
    <row r="953" spans="1:2" x14ac:dyDescent="0.2">
      <c r="A953" s="668"/>
      <c r="B953" s="668"/>
    </row>
    <row r="954" spans="1:2" x14ac:dyDescent="0.2">
      <c r="A954" s="668"/>
      <c r="B954" s="668"/>
    </row>
    <row r="955" spans="1:2" ht="2.25" customHeight="1" x14ac:dyDescent="0.2">
      <c r="A955" s="669"/>
      <c r="B955" s="669"/>
    </row>
    <row r="956" spans="1:2" x14ac:dyDescent="0.2">
      <c r="A956" s="668"/>
      <c r="B956" s="668"/>
    </row>
    <row r="957" spans="1:2" x14ac:dyDescent="0.2">
      <c r="A957" s="668"/>
      <c r="B957" s="668"/>
    </row>
    <row r="958" spans="1:2" ht="2.25" customHeight="1" x14ac:dyDescent="0.2">
      <c r="A958" s="669"/>
      <c r="B958" s="669"/>
    </row>
    <row r="959" spans="1:2" x14ac:dyDescent="0.2">
      <c r="A959" s="668"/>
      <c r="B959" s="668"/>
    </row>
    <row r="960" spans="1:2" x14ac:dyDescent="0.2">
      <c r="A960" s="668"/>
      <c r="B960" s="668"/>
    </row>
    <row r="961" spans="1:2" ht="2.25" customHeight="1" x14ac:dyDescent="0.2">
      <c r="A961" s="669"/>
      <c r="B961" s="669"/>
    </row>
    <row r="962" spans="1:2" x14ac:dyDescent="0.2">
      <c r="A962" s="668"/>
      <c r="B962" s="668"/>
    </row>
    <row r="963" spans="1:2" x14ac:dyDescent="0.2">
      <c r="A963" s="668"/>
      <c r="B963" s="668"/>
    </row>
    <row r="964" spans="1:2" ht="2.25" customHeight="1" x14ac:dyDescent="0.2">
      <c r="A964" s="669"/>
      <c r="B964" s="669"/>
    </row>
    <row r="965" spans="1:2" x14ac:dyDescent="0.2">
      <c r="A965" s="668"/>
      <c r="B965" s="668"/>
    </row>
    <row r="966" spans="1:2" x14ac:dyDescent="0.2">
      <c r="A966" s="668"/>
      <c r="B966" s="668"/>
    </row>
    <row r="967" spans="1:2" ht="2.25" customHeight="1" x14ac:dyDescent="0.2">
      <c r="A967" s="669"/>
      <c r="B967" s="669"/>
    </row>
    <row r="968" spans="1:2" x14ac:dyDescent="0.2">
      <c r="A968" s="668"/>
      <c r="B968" s="668"/>
    </row>
    <row r="969" spans="1:2" x14ac:dyDescent="0.2">
      <c r="A969" s="668"/>
      <c r="B969" s="668"/>
    </row>
    <row r="970" spans="1:2" ht="2.25" customHeight="1" x14ac:dyDescent="0.2">
      <c r="A970" s="669"/>
      <c r="B970" s="669"/>
    </row>
    <row r="971" spans="1:2" x14ac:dyDescent="0.2">
      <c r="A971" s="668"/>
      <c r="B971" s="668"/>
    </row>
    <row r="972" spans="1:2" x14ac:dyDescent="0.2">
      <c r="A972" s="668"/>
      <c r="B972" s="668"/>
    </row>
    <row r="973" spans="1:2" ht="2.25" customHeight="1" x14ac:dyDescent="0.2">
      <c r="A973" s="669"/>
      <c r="B973" s="669"/>
    </row>
    <row r="974" spans="1:2" x14ac:dyDescent="0.2">
      <c r="A974" s="668"/>
      <c r="B974" s="668"/>
    </row>
    <row r="975" spans="1:2" x14ac:dyDescent="0.2">
      <c r="A975" s="668"/>
      <c r="B975" s="668"/>
    </row>
    <row r="976" spans="1:2" ht="2.25" customHeight="1" x14ac:dyDescent="0.2">
      <c r="A976" s="669"/>
      <c r="B976" s="669"/>
    </row>
    <row r="977" spans="1:2" x14ac:dyDescent="0.2">
      <c r="A977" s="668"/>
      <c r="B977" s="668"/>
    </row>
    <row r="978" spans="1:2" x14ac:dyDescent="0.2">
      <c r="A978" s="668"/>
      <c r="B978" s="668"/>
    </row>
    <row r="979" spans="1:2" ht="2.25" customHeight="1" x14ac:dyDescent="0.2">
      <c r="A979" s="669"/>
      <c r="B979" s="669"/>
    </row>
    <row r="980" spans="1:2" x14ac:dyDescent="0.2">
      <c r="A980" s="668"/>
      <c r="B980" s="668"/>
    </row>
    <row r="981" spans="1:2" x14ac:dyDescent="0.2">
      <c r="A981" s="668"/>
      <c r="B981" s="668"/>
    </row>
    <row r="982" spans="1:2" ht="2.25" customHeight="1" x14ac:dyDescent="0.2">
      <c r="A982" s="669"/>
      <c r="B982" s="669"/>
    </row>
    <row r="983" spans="1:2" x14ac:dyDescent="0.2">
      <c r="A983" s="668"/>
      <c r="B983" s="668"/>
    </row>
    <row r="984" spans="1:2" x14ac:dyDescent="0.2">
      <c r="A984" s="668"/>
      <c r="B984" s="668"/>
    </row>
    <row r="985" spans="1:2" ht="2.25" customHeight="1" x14ac:dyDescent="0.2">
      <c r="A985" s="669"/>
      <c r="B985" s="669"/>
    </row>
    <row r="986" spans="1:2" x14ac:dyDescent="0.2">
      <c r="A986" s="668"/>
      <c r="B986" s="668"/>
    </row>
    <row r="987" spans="1:2" x14ac:dyDescent="0.2">
      <c r="A987" s="668"/>
      <c r="B987" s="668"/>
    </row>
    <row r="988" spans="1:2" ht="2.25" customHeight="1" x14ac:dyDescent="0.2">
      <c r="A988" s="669"/>
      <c r="B988" s="669"/>
    </row>
    <row r="989" spans="1:2" x14ac:dyDescent="0.2">
      <c r="A989" s="668"/>
      <c r="B989" s="668"/>
    </row>
    <row r="990" spans="1:2" x14ac:dyDescent="0.2">
      <c r="A990" s="668"/>
      <c r="B990" s="668"/>
    </row>
    <row r="991" spans="1:2" ht="2.25" customHeight="1" x14ac:dyDescent="0.2">
      <c r="A991" s="669"/>
      <c r="B991" s="669"/>
    </row>
    <row r="992" spans="1:2" x14ac:dyDescent="0.2">
      <c r="A992" s="668"/>
      <c r="B992" s="668"/>
    </row>
    <row r="993" spans="1:2" x14ac:dyDescent="0.2">
      <c r="A993" s="668"/>
      <c r="B993" s="668"/>
    </row>
    <row r="994" spans="1:2" ht="2.25" customHeight="1" x14ac:dyDescent="0.2">
      <c r="A994" s="669"/>
      <c r="B994" s="669"/>
    </row>
    <row r="995" spans="1:2" x14ac:dyDescent="0.2">
      <c r="A995" s="668"/>
      <c r="B995" s="668"/>
    </row>
    <row r="996" spans="1:2" x14ac:dyDescent="0.2">
      <c r="A996" s="668"/>
      <c r="B996" s="668"/>
    </row>
    <row r="997" spans="1:2" ht="2.25" customHeight="1" x14ac:dyDescent="0.2">
      <c r="A997" s="669"/>
      <c r="B997" s="669"/>
    </row>
    <row r="998" spans="1:2" x14ac:dyDescent="0.2">
      <c r="A998" s="668"/>
      <c r="B998" s="668"/>
    </row>
    <row r="999" spans="1:2" x14ac:dyDescent="0.2">
      <c r="A999" s="668"/>
      <c r="B999" s="668"/>
    </row>
    <row r="1000" spans="1:2" ht="2.25" customHeight="1" x14ac:dyDescent="0.2">
      <c r="A1000" s="669"/>
      <c r="B1000" s="669"/>
    </row>
    <row r="1001" spans="1:2" x14ac:dyDescent="0.2">
      <c r="A1001" s="668"/>
      <c r="B1001" s="668"/>
    </row>
    <row r="1002" spans="1:2" x14ac:dyDescent="0.2">
      <c r="A1002" s="668"/>
      <c r="B1002" s="668"/>
    </row>
    <row r="1003" spans="1:2" ht="2.25" customHeight="1" x14ac:dyDescent="0.2">
      <c r="A1003" s="669"/>
      <c r="B1003" s="669"/>
    </row>
    <row r="1004" spans="1:2" x14ac:dyDescent="0.2">
      <c r="A1004" s="668"/>
      <c r="B1004" s="668"/>
    </row>
    <row r="1005" spans="1:2" x14ac:dyDescent="0.2">
      <c r="A1005" s="668"/>
      <c r="B1005" s="668"/>
    </row>
    <row r="1006" spans="1:2" ht="2.25" customHeight="1" x14ac:dyDescent="0.2">
      <c r="A1006" s="669"/>
      <c r="B1006" s="669"/>
    </row>
    <row r="1007" spans="1:2" x14ac:dyDescent="0.2">
      <c r="A1007" s="668"/>
      <c r="B1007" s="668"/>
    </row>
    <row r="1008" spans="1:2" x14ac:dyDescent="0.2">
      <c r="A1008" s="668"/>
      <c r="B1008" s="668"/>
    </row>
    <row r="1009" spans="1:2" ht="2.25" customHeight="1" x14ac:dyDescent="0.2">
      <c r="A1009" s="669"/>
      <c r="B1009" s="669"/>
    </row>
    <row r="1010" spans="1:2" x14ac:dyDescent="0.2">
      <c r="A1010" s="668"/>
      <c r="B1010" s="668"/>
    </row>
    <row r="1011" spans="1:2" x14ac:dyDescent="0.2">
      <c r="A1011" s="668"/>
      <c r="B1011" s="668"/>
    </row>
    <row r="1012" spans="1:2" ht="2.25" customHeight="1" x14ac:dyDescent="0.2">
      <c r="A1012" s="669"/>
      <c r="B1012" s="669"/>
    </row>
    <row r="1013" spans="1:2" x14ac:dyDescent="0.2">
      <c r="A1013" s="668"/>
      <c r="B1013" s="668"/>
    </row>
    <row r="1014" spans="1:2" x14ac:dyDescent="0.2">
      <c r="A1014" s="668"/>
      <c r="B1014" s="668"/>
    </row>
    <row r="1015" spans="1:2" ht="2.25" customHeight="1" x14ac:dyDescent="0.2">
      <c r="A1015" s="669"/>
      <c r="B1015" s="669"/>
    </row>
    <row r="1016" spans="1:2" x14ac:dyDescent="0.2">
      <c r="A1016" s="668"/>
      <c r="B1016" s="668"/>
    </row>
    <row r="1017" spans="1:2" x14ac:dyDescent="0.2">
      <c r="A1017" s="668"/>
      <c r="B1017" s="668"/>
    </row>
    <row r="1018" spans="1:2" ht="2.25" customHeight="1" x14ac:dyDescent="0.2">
      <c r="A1018" s="669"/>
      <c r="B1018" s="669"/>
    </row>
    <row r="1019" spans="1:2" x14ac:dyDescent="0.2">
      <c r="A1019" s="668"/>
      <c r="B1019" s="668"/>
    </row>
    <row r="1020" spans="1:2" x14ac:dyDescent="0.2">
      <c r="A1020" s="668"/>
      <c r="B1020" s="668"/>
    </row>
    <row r="1021" spans="1:2" ht="2.25" customHeight="1" x14ac:dyDescent="0.2">
      <c r="A1021" s="669"/>
      <c r="B1021" s="669"/>
    </row>
    <row r="1022" spans="1:2" x14ac:dyDescent="0.2">
      <c r="A1022" s="668"/>
      <c r="B1022" s="668"/>
    </row>
    <row r="1023" spans="1:2" x14ac:dyDescent="0.2">
      <c r="A1023" s="668"/>
      <c r="B1023" s="668"/>
    </row>
    <row r="1024" spans="1:2" ht="2.25" customHeight="1" x14ac:dyDescent="0.2">
      <c r="A1024" s="669"/>
      <c r="B1024" s="669"/>
    </row>
    <row r="1025" spans="1:2" x14ac:dyDescent="0.2">
      <c r="A1025" s="668"/>
      <c r="B1025" s="668"/>
    </row>
    <row r="1026" spans="1:2" x14ac:dyDescent="0.2">
      <c r="A1026" s="668"/>
      <c r="B1026" s="668"/>
    </row>
    <row r="1027" spans="1:2" ht="2.25" customHeight="1" x14ac:dyDescent="0.2">
      <c r="A1027" s="669"/>
      <c r="B1027" s="669"/>
    </row>
    <row r="1028" spans="1:2" x14ac:dyDescent="0.2">
      <c r="A1028" s="668"/>
      <c r="B1028" s="668"/>
    </row>
    <row r="1029" spans="1:2" x14ac:dyDescent="0.2">
      <c r="A1029" s="668"/>
      <c r="B1029" s="668"/>
    </row>
    <row r="1030" spans="1:2" ht="2.25" customHeight="1" x14ac:dyDescent="0.2">
      <c r="A1030" s="669"/>
      <c r="B1030" s="669"/>
    </row>
    <row r="1031" spans="1:2" x14ac:dyDescent="0.2">
      <c r="A1031" s="668"/>
      <c r="B1031" s="668"/>
    </row>
    <row r="1032" spans="1:2" x14ac:dyDescent="0.2">
      <c r="A1032" s="668"/>
      <c r="B1032" s="668"/>
    </row>
    <row r="1033" spans="1:2" ht="2.25" customHeight="1" x14ac:dyDescent="0.2">
      <c r="A1033" s="669"/>
      <c r="B1033" s="669"/>
    </row>
    <row r="1034" spans="1:2" x14ac:dyDescent="0.2">
      <c r="A1034" s="668"/>
      <c r="B1034" s="668"/>
    </row>
    <row r="1035" spans="1:2" x14ac:dyDescent="0.2">
      <c r="A1035" s="668"/>
      <c r="B1035" s="668"/>
    </row>
    <row r="1036" spans="1:2" ht="2.25" customHeight="1" x14ac:dyDescent="0.2">
      <c r="A1036" s="669"/>
      <c r="B1036" s="669"/>
    </row>
  </sheetData>
  <sheetProtection algorithmName="SHA-512" hashValue="6pDpq6T8sTnGVgPrLD9MvOSpnjTVpvXRAl/ReJTOwCY6oZzs+VDbGRL1SVNs2FUhfqiNSMj75EbVEtKwJOvSIw==" saltValue="GItGHRao8LkQ+hSBUjHy3Q==" spinCount="100000" sheet="1" objects="1" scenarios="1" selectLockedCells="1"/>
  <mergeCells count="1033">
    <mergeCell ref="A840:B840"/>
    <mergeCell ref="A841:B841"/>
    <mergeCell ref="A842:B842"/>
    <mergeCell ref="A843:B843"/>
    <mergeCell ref="A861:B861"/>
    <mergeCell ref="A862:B862"/>
    <mergeCell ref="A863:B863"/>
    <mergeCell ref="A864:B864"/>
    <mergeCell ref="A865:B865"/>
    <mergeCell ref="A866:B866"/>
    <mergeCell ref="A827:B827"/>
    <mergeCell ref="A828:B828"/>
    <mergeCell ref="A829:B829"/>
    <mergeCell ref="A830:B830"/>
    <mergeCell ref="A831:B831"/>
    <mergeCell ref="A832:B832"/>
    <mergeCell ref="A833:B833"/>
    <mergeCell ref="A834:B834"/>
    <mergeCell ref="A835:B835"/>
    <mergeCell ref="A836:B836"/>
    <mergeCell ref="A837:B837"/>
    <mergeCell ref="A838:B838"/>
    <mergeCell ref="A839:B839"/>
    <mergeCell ref="A867:B867"/>
    <mergeCell ref="A868:B868"/>
    <mergeCell ref="A844:B844"/>
    <mergeCell ref="A845:B845"/>
    <mergeCell ref="A846:B846"/>
    <mergeCell ref="A847:B847"/>
    <mergeCell ref="A848:B848"/>
    <mergeCell ref="A849:B849"/>
    <mergeCell ref="A850:B850"/>
    <mergeCell ref="A851:B851"/>
    <mergeCell ref="A852:B852"/>
    <mergeCell ref="A853:B853"/>
    <mergeCell ref="A854:B854"/>
    <mergeCell ref="A855:B855"/>
    <mergeCell ref="A856:B856"/>
    <mergeCell ref="A857:B857"/>
    <mergeCell ref="A858:B858"/>
    <mergeCell ref="A859:B859"/>
    <mergeCell ref="A860:B860"/>
    <mergeCell ref="A810:B810"/>
    <mergeCell ref="A811:B811"/>
    <mergeCell ref="A812:B812"/>
    <mergeCell ref="A813:B813"/>
    <mergeCell ref="A814:B814"/>
    <mergeCell ref="A815:B815"/>
    <mergeCell ref="A816:B816"/>
    <mergeCell ref="A817:B817"/>
    <mergeCell ref="A818:B818"/>
    <mergeCell ref="A819:B819"/>
    <mergeCell ref="A820:B820"/>
    <mergeCell ref="A821:B821"/>
    <mergeCell ref="A822:B822"/>
    <mergeCell ref="A823:B823"/>
    <mergeCell ref="A824:B824"/>
    <mergeCell ref="A825:B825"/>
    <mergeCell ref="A826:B826"/>
    <mergeCell ref="A793:B793"/>
    <mergeCell ref="A794:B794"/>
    <mergeCell ref="A795:B795"/>
    <mergeCell ref="A796:B796"/>
    <mergeCell ref="A797:B797"/>
    <mergeCell ref="A798:B798"/>
    <mergeCell ref="A799:B799"/>
    <mergeCell ref="A800:B800"/>
    <mergeCell ref="A801:B801"/>
    <mergeCell ref="A802:B802"/>
    <mergeCell ref="A803:B803"/>
    <mergeCell ref="A804:B804"/>
    <mergeCell ref="A805:B805"/>
    <mergeCell ref="A806:B806"/>
    <mergeCell ref="A807:B807"/>
    <mergeCell ref="A808:B808"/>
    <mergeCell ref="A809:B809"/>
    <mergeCell ref="A776:B776"/>
    <mergeCell ref="A777:B777"/>
    <mergeCell ref="A778:B778"/>
    <mergeCell ref="A779:B779"/>
    <mergeCell ref="A780:B780"/>
    <mergeCell ref="A781:B781"/>
    <mergeCell ref="A782:B782"/>
    <mergeCell ref="A783:B783"/>
    <mergeCell ref="A784:B784"/>
    <mergeCell ref="A785:B785"/>
    <mergeCell ref="A786:B786"/>
    <mergeCell ref="A787:B787"/>
    <mergeCell ref="A788:B788"/>
    <mergeCell ref="A789:B789"/>
    <mergeCell ref="A790:B790"/>
    <mergeCell ref="A791:B791"/>
    <mergeCell ref="A792:B792"/>
    <mergeCell ref="A759:B759"/>
    <mergeCell ref="A760:B760"/>
    <mergeCell ref="A761:B761"/>
    <mergeCell ref="A762:B762"/>
    <mergeCell ref="A763:B763"/>
    <mergeCell ref="A764:B764"/>
    <mergeCell ref="A765:B765"/>
    <mergeCell ref="A766:B766"/>
    <mergeCell ref="A767:B767"/>
    <mergeCell ref="A768:B768"/>
    <mergeCell ref="A769:B769"/>
    <mergeCell ref="A770:B770"/>
    <mergeCell ref="A771:B771"/>
    <mergeCell ref="A772:B772"/>
    <mergeCell ref="A773:B773"/>
    <mergeCell ref="A774:B774"/>
    <mergeCell ref="A775:B775"/>
    <mergeCell ref="A742:B742"/>
    <mergeCell ref="A743:B743"/>
    <mergeCell ref="A744:B744"/>
    <mergeCell ref="A745:B745"/>
    <mergeCell ref="A746:B746"/>
    <mergeCell ref="A747:B747"/>
    <mergeCell ref="A748:B748"/>
    <mergeCell ref="A749:B749"/>
    <mergeCell ref="A750:B750"/>
    <mergeCell ref="A751:B751"/>
    <mergeCell ref="A752:B752"/>
    <mergeCell ref="A753:B753"/>
    <mergeCell ref="A754:B754"/>
    <mergeCell ref="A755:B755"/>
    <mergeCell ref="A756:B756"/>
    <mergeCell ref="A757:B757"/>
    <mergeCell ref="A758:B758"/>
    <mergeCell ref="A725:B725"/>
    <mergeCell ref="A726:B726"/>
    <mergeCell ref="A727:B727"/>
    <mergeCell ref="A728:B728"/>
    <mergeCell ref="A729:B729"/>
    <mergeCell ref="A730:B730"/>
    <mergeCell ref="A731:B731"/>
    <mergeCell ref="A732:B732"/>
    <mergeCell ref="A733:B733"/>
    <mergeCell ref="A734:B734"/>
    <mergeCell ref="A735:B735"/>
    <mergeCell ref="A736:B736"/>
    <mergeCell ref="A737:B737"/>
    <mergeCell ref="A738:B738"/>
    <mergeCell ref="A739:B739"/>
    <mergeCell ref="A740:B740"/>
    <mergeCell ref="A741:B741"/>
    <mergeCell ref="A708:B708"/>
    <mergeCell ref="A709:B709"/>
    <mergeCell ref="A710:B710"/>
    <mergeCell ref="A711:B711"/>
    <mergeCell ref="A712:B712"/>
    <mergeCell ref="A713:B713"/>
    <mergeCell ref="A714:B714"/>
    <mergeCell ref="A715:B715"/>
    <mergeCell ref="A716:B716"/>
    <mergeCell ref="A717:B717"/>
    <mergeCell ref="A718:B718"/>
    <mergeCell ref="A719:B719"/>
    <mergeCell ref="A720:B720"/>
    <mergeCell ref="A721:B721"/>
    <mergeCell ref="A722:B722"/>
    <mergeCell ref="A723:B723"/>
    <mergeCell ref="A724:B724"/>
    <mergeCell ref="A691:B691"/>
    <mergeCell ref="A692:B692"/>
    <mergeCell ref="A693:B693"/>
    <mergeCell ref="A694:B694"/>
    <mergeCell ref="A695:B695"/>
    <mergeCell ref="A696:B696"/>
    <mergeCell ref="A697:B697"/>
    <mergeCell ref="A698:B698"/>
    <mergeCell ref="A699:B699"/>
    <mergeCell ref="A700:B700"/>
    <mergeCell ref="A701:B701"/>
    <mergeCell ref="A702:B702"/>
    <mergeCell ref="A703:B703"/>
    <mergeCell ref="A704:B704"/>
    <mergeCell ref="A705:B705"/>
    <mergeCell ref="A706:B706"/>
    <mergeCell ref="A707:B707"/>
    <mergeCell ref="A674:B674"/>
    <mergeCell ref="A675:B675"/>
    <mergeCell ref="A676:B676"/>
    <mergeCell ref="A677:B677"/>
    <mergeCell ref="A678:B678"/>
    <mergeCell ref="A679:B679"/>
    <mergeCell ref="A680:B680"/>
    <mergeCell ref="A681:B681"/>
    <mergeCell ref="A682:B682"/>
    <mergeCell ref="A683:B683"/>
    <mergeCell ref="A684:B684"/>
    <mergeCell ref="A685:B685"/>
    <mergeCell ref="A686:B686"/>
    <mergeCell ref="A687:B687"/>
    <mergeCell ref="A688:B688"/>
    <mergeCell ref="A689:B689"/>
    <mergeCell ref="A690:B690"/>
    <mergeCell ref="A657:B657"/>
    <mergeCell ref="A658:B658"/>
    <mergeCell ref="A659:B659"/>
    <mergeCell ref="A660:B660"/>
    <mergeCell ref="A661:B661"/>
    <mergeCell ref="A662:B662"/>
    <mergeCell ref="A663:B663"/>
    <mergeCell ref="A664:B664"/>
    <mergeCell ref="A665:B665"/>
    <mergeCell ref="A666:B666"/>
    <mergeCell ref="A667:B667"/>
    <mergeCell ref="A668:B668"/>
    <mergeCell ref="A669:B669"/>
    <mergeCell ref="A670:B670"/>
    <mergeCell ref="A671:B671"/>
    <mergeCell ref="A672:B672"/>
    <mergeCell ref="A673:B673"/>
    <mergeCell ref="A640:B640"/>
    <mergeCell ref="A641:B641"/>
    <mergeCell ref="A642:B642"/>
    <mergeCell ref="A643:B643"/>
    <mergeCell ref="A644:B644"/>
    <mergeCell ref="A645:B645"/>
    <mergeCell ref="A646:B646"/>
    <mergeCell ref="A647:B647"/>
    <mergeCell ref="A648:B648"/>
    <mergeCell ref="A649:B649"/>
    <mergeCell ref="A650:B650"/>
    <mergeCell ref="A651:B651"/>
    <mergeCell ref="A652:B652"/>
    <mergeCell ref="A653:B653"/>
    <mergeCell ref="A654:B654"/>
    <mergeCell ref="A655:B655"/>
    <mergeCell ref="A656:B656"/>
    <mergeCell ref="A623:B623"/>
    <mergeCell ref="A624:B624"/>
    <mergeCell ref="A625:B625"/>
    <mergeCell ref="A626:B626"/>
    <mergeCell ref="A627:B627"/>
    <mergeCell ref="A628:B628"/>
    <mergeCell ref="A629:B629"/>
    <mergeCell ref="A630:B630"/>
    <mergeCell ref="A631:B631"/>
    <mergeCell ref="A632:B632"/>
    <mergeCell ref="A633:B633"/>
    <mergeCell ref="A634:B634"/>
    <mergeCell ref="A635:B635"/>
    <mergeCell ref="A636:B636"/>
    <mergeCell ref="A637:B637"/>
    <mergeCell ref="A638:B638"/>
    <mergeCell ref="A639:B639"/>
    <mergeCell ref="A606:B606"/>
    <mergeCell ref="A607:B607"/>
    <mergeCell ref="A608:B608"/>
    <mergeCell ref="A609:B609"/>
    <mergeCell ref="A610:B610"/>
    <mergeCell ref="A611:B611"/>
    <mergeCell ref="A612:B612"/>
    <mergeCell ref="A613:B613"/>
    <mergeCell ref="A614:B614"/>
    <mergeCell ref="A615:B615"/>
    <mergeCell ref="A616:B616"/>
    <mergeCell ref="A617:B617"/>
    <mergeCell ref="A618:B618"/>
    <mergeCell ref="A619:B619"/>
    <mergeCell ref="A620:B620"/>
    <mergeCell ref="A621:B621"/>
    <mergeCell ref="A622:B622"/>
    <mergeCell ref="A589:B589"/>
    <mergeCell ref="A590:B590"/>
    <mergeCell ref="A591:B591"/>
    <mergeCell ref="A592:B592"/>
    <mergeCell ref="A593:B593"/>
    <mergeCell ref="A594:B594"/>
    <mergeCell ref="A595:B595"/>
    <mergeCell ref="A596:B596"/>
    <mergeCell ref="A597:B597"/>
    <mergeCell ref="A598:B598"/>
    <mergeCell ref="A599:B599"/>
    <mergeCell ref="A600:B600"/>
    <mergeCell ref="A601:B601"/>
    <mergeCell ref="A602:B602"/>
    <mergeCell ref="A603:B603"/>
    <mergeCell ref="A604:B604"/>
    <mergeCell ref="A605:B605"/>
    <mergeCell ref="A572:B572"/>
    <mergeCell ref="A573:B573"/>
    <mergeCell ref="A574:B574"/>
    <mergeCell ref="A575:B575"/>
    <mergeCell ref="A576:B576"/>
    <mergeCell ref="A577:B577"/>
    <mergeCell ref="A578:B578"/>
    <mergeCell ref="A579:B579"/>
    <mergeCell ref="A580:B580"/>
    <mergeCell ref="A581:B581"/>
    <mergeCell ref="A582:B582"/>
    <mergeCell ref="A583:B583"/>
    <mergeCell ref="A584:B584"/>
    <mergeCell ref="A585:B585"/>
    <mergeCell ref="A586:B586"/>
    <mergeCell ref="A587:B587"/>
    <mergeCell ref="A588:B588"/>
    <mergeCell ref="A555:B555"/>
    <mergeCell ref="A556:B556"/>
    <mergeCell ref="A557:B557"/>
    <mergeCell ref="A558:B558"/>
    <mergeCell ref="A559:B559"/>
    <mergeCell ref="A560:B560"/>
    <mergeCell ref="A561:B561"/>
    <mergeCell ref="A562:B562"/>
    <mergeCell ref="A563:B563"/>
    <mergeCell ref="A564:B564"/>
    <mergeCell ref="A565:B565"/>
    <mergeCell ref="A566:B566"/>
    <mergeCell ref="A567:B567"/>
    <mergeCell ref="A568:B568"/>
    <mergeCell ref="A569:B569"/>
    <mergeCell ref="A570:B570"/>
    <mergeCell ref="A571:B571"/>
    <mergeCell ref="A538:B538"/>
    <mergeCell ref="A539:B539"/>
    <mergeCell ref="A540:B540"/>
    <mergeCell ref="A541:B541"/>
    <mergeCell ref="A542:B542"/>
    <mergeCell ref="A543:B543"/>
    <mergeCell ref="A544:B544"/>
    <mergeCell ref="A545:B545"/>
    <mergeCell ref="A546:B546"/>
    <mergeCell ref="A547:B547"/>
    <mergeCell ref="A548:B548"/>
    <mergeCell ref="A549:B549"/>
    <mergeCell ref="A550:B550"/>
    <mergeCell ref="A551:B551"/>
    <mergeCell ref="A552:B552"/>
    <mergeCell ref="A553:B553"/>
    <mergeCell ref="A554:B554"/>
    <mergeCell ref="A521:B521"/>
    <mergeCell ref="A522:B522"/>
    <mergeCell ref="A523:B523"/>
    <mergeCell ref="A524:B524"/>
    <mergeCell ref="A525:B525"/>
    <mergeCell ref="A526:B526"/>
    <mergeCell ref="A527:B527"/>
    <mergeCell ref="A528:B528"/>
    <mergeCell ref="A529:B529"/>
    <mergeCell ref="A530:B530"/>
    <mergeCell ref="A531:B531"/>
    <mergeCell ref="A532:B532"/>
    <mergeCell ref="A533:B533"/>
    <mergeCell ref="A534:B534"/>
    <mergeCell ref="A535:B535"/>
    <mergeCell ref="A536:B536"/>
    <mergeCell ref="A537:B537"/>
    <mergeCell ref="A504:B504"/>
    <mergeCell ref="A505:B505"/>
    <mergeCell ref="A506:B506"/>
    <mergeCell ref="A507:B507"/>
    <mergeCell ref="A508:B508"/>
    <mergeCell ref="A509:B509"/>
    <mergeCell ref="A510:B510"/>
    <mergeCell ref="A511:B511"/>
    <mergeCell ref="A512:B512"/>
    <mergeCell ref="A513:B513"/>
    <mergeCell ref="A514:B514"/>
    <mergeCell ref="A515:B515"/>
    <mergeCell ref="A516:B516"/>
    <mergeCell ref="A517:B517"/>
    <mergeCell ref="A518:B518"/>
    <mergeCell ref="A519:B519"/>
    <mergeCell ref="A520:B520"/>
    <mergeCell ref="A487:B487"/>
    <mergeCell ref="A488:B488"/>
    <mergeCell ref="A489:B489"/>
    <mergeCell ref="A490:B490"/>
    <mergeCell ref="A491:B491"/>
    <mergeCell ref="A492:B492"/>
    <mergeCell ref="A493:B493"/>
    <mergeCell ref="A494:B494"/>
    <mergeCell ref="A495:B495"/>
    <mergeCell ref="A496:B496"/>
    <mergeCell ref="A497:B497"/>
    <mergeCell ref="A498:B498"/>
    <mergeCell ref="A499:B499"/>
    <mergeCell ref="A500:B500"/>
    <mergeCell ref="A501:B501"/>
    <mergeCell ref="A502:B502"/>
    <mergeCell ref="A503:B503"/>
    <mergeCell ref="A470:B470"/>
    <mergeCell ref="A471:B471"/>
    <mergeCell ref="A472:B472"/>
    <mergeCell ref="A473:B473"/>
    <mergeCell ref="A474:B474"/>
    <mergeCell ref="A475:B475"/>
    <mergeCell ref="A476:B476"/>
    <mergeCell ref="A477:B477"/>
    <mergeCell ref="A478:B478"/>
    <mergeCell ref="A479:B479"/>
    <mergeCell ref="A480:B480"/>
    <mergeCell ref="A481:B481"/>
    <mergeCell ref="A482:B482"/>
    <mergeCell ref="A483:B483"/>
    <mergeCell ref="A484:B484"/>
    <mergeCell ref="A485:B485"/>
    <mergeCell ref="A486:B486"/>
    <mergeCell ref="A453:B453"/>
    <mergeCell ref="A454:B454"/>
    <mergeCell ref="A455:B455"/>
    <mergeCell ref="A456:B456"/>
    <mergeCell ref="A457:B457"/>
    <mergeCell ref="A458:B458"/>
    <mergeCell ref="A459:B459"/>
    <mergeCell ref="A460:B460"/>
    <mergeCell ref="A461:B461"/>
    <mergeCell ref="A462:B462"/>
    <mergeCell ref="A463:B463"/>
    <mergeCell ref="A464:B464"/>
    <mergeCell ref="A465:B465"/>
    <mergeCell ref="A466:B466"/>
    <mergeCell ref="A467:B467"/>
    <mergeCell ref="A468:B468"/>
    <mergeCell ref="A469:B469"/>
    <mergeCell ref="A436:B436"/>
    <mergeCell ref="A437:B437"/>
    <mergeCell ref="A438:B438"/>
    <mergeCell ref="A439:B439"/>
    <mergeCell ref="A440:B440"/>
    <mergeCell ref="A441:B441"/>
    <mergeCell ref="A442:B442"/>
    <mergeCell ref="A443:B443"/>
    <mergeCell ref="A444:B444"/>
    <mergeCell ref="A445:B445"/>
    <mergeCell ref="A446:B446"/>
    <mergeCell ref="A447:B447"/>
    <mergeCell ref="A448:B448"/>
    <mergeCell ref="A449:B449"/>
    <mergeCell ref="A450:B450"/>
    <mergeCell ref="A451:B451"/>
    <mergeCell ref="A452:B452"/>
    <mergeCell ref="A419:B419"/>
    <mergeCell ref="A420:B420"/>
    <mergeCell ref="A421:B421"/>
    <mergeCell ref="A422:B422"/>
    <mergeCell ref="A423:B423"/>
    <mergeCell ref="A424:B424"/>
    <mergeCell ref="A425:B425"/>
    <mergeCell ref="A426:B426"/>
    <mergeCell ref="A427:B427"/>
    <mergeCell ref="A428:B428"/>
    <mergeCell ref="A429:B429"/>
    <mergeCell ref="A430:B430"/>
    <mergeCell ref="A431:B431"/>
    <mergeCell ref="A432:B432"/>
    <mergeCell ref="A433:B433"/>
    <mergeCell ref="A434:B434"/>
    <mergeCell ref="A435:B435"/>
    <mergeCell ref="A402:B402"/>
    <mergeCell ref="A403:B403"/>
    <mergeCell ref="A404:B404"/>
    <mergeCell ref="A405:B405"/>
    <mergeCell ref="A406:B406"/>
    <mergeCell ref="A407:B407"/>
    <mergeCell ref="A408:B408"/>
    <mergeCell ref="A409:B409"/>
    <mergeCell ref="A410:B410"/>
    <mergeCell ref="A411:B411"/>
    <mergeCell ref="A412:B412"/>
    <mergeCell ref="A413:B413"/>
    <mergeCell ref="A414:B414"/>
    <mergeCell ref="A415:B415"/>
    <mergeCell ref="A416:B416"/>
    <mergeCell ref="A417:B417"/>
    <mergeCell ref="A418:B418"/>
    <mergeCell ref="A385:B385"/>
    <mergeCell ref="A386:B386"/>
    <mergeCell ref="A387:B387"/>
    <mergeCell ref="A388:B388"/>
    <mergeCell ref="A389:B389"/>
    <mergeCell ref="A390:B390"/>
    <mergeCell ref="A391:B391"/>
    <mergeCell ref="A392:B392"/>
    <mergeCell ref="A393:B393"/>
    <mergeCell ref="A394:B394"/>
    <mergeCell ref="A395:B395"/>
    <mergeCell ref="A396:B396"/>
    <mergeCell ref="A397:B397"/>
    <mergeCell ref="A398:B398"/>
    <mergeCell ref="A399:B399"/>
    <mergeCell ref="A400:B400"/>
    <mergeCell ref="A401:B401"/>
    <mergeCell ref="A368:B368"/>
    <mergeCell ref="A369:B369"/>
    <mergeCell ref="A370:B370"/>
    <mergeCell ref="A371:B371"/>
    <mergeCell ref="A372:B372"/>
    <mergeCell ref="A373:B373"/>
    <mergeCell ref="A374:B374"/>
    <mergeCell ref="A375:B375"/>
    <mergeCell ref="A376:B376"/>
    <mergeCell ref="A377:B377"/>
    <mergeCell ref="A378:B378"/>
    <mergeCell ref="A379:B379"/>
    <mergeCell ref="A380:B380"/>
    <mergeCell ref="A381:B381"/>
    <mergeCell ref="A382:B382"/>
    <mergeCell ref="A383:B383"/>
    <mergeCell ref="A384:B384"/>
    <mergeCell ref="A351:B351"/>
    <mergeCell ref="A352:B352"/>
    <mergeCell ref="A353:B353"/>
    <mergeCell ref="A354:B354"/>
    <mergeCell ref="A355:B355"/>
    <mergeCell ref="A356:B356"/>
    <mergeCell ref="A357:B357"/>
    <mergeCell ref="A358:B358"/>
    <mergeCell ref="A359:B359"/>
    <mergeCell ref="A360:B360"/>
    <mergeCell ref="A361:B361"/>
    <mergeCell ref="A362:B362"/>
    <mergeCell ref="A363:B363"/>
    <mergeCell ref="A364:B364"/>
    <mergeCell ref="A365:B365"/>
    <mergeCell ref="A366:B366"/>
    <mergeCell ref="A367:B367"/>
    <mergeCell ref="A334:B334"/>
    <mergeCell ref="A335:B335"/>
    <mergeCell ref="A336:B336"/>
    <mergeCell ref="A337:B337"/>
    <mergeCell ref="A338:B338"/>
    <mergeCell ref="A339:B339"/>
    <mergeCell ref="A340:B340"/>
    <mergeCell ref="A341:B341"/>
    <mergeCell ref="A342:B342"/>
    <mergeCell ref="A343:B343"/>
    <mergeCell ref="A344:B344"/>
    <mergeCell ref="A345:B345"/>
    <mergeCell ref="A346:B346"/>
    <mergeCell ref="A347:B347"/>
    <mergeCell ref="A348:B348"/>
    <mergeCell ref="A349:B349"/>
    <mergeCell ref="A350:B350"/>
    <mergeCell ref="A317:B317"/>
    <mergeCell ref="A318:B318"/>
    <mergeCell ref="A319:B319"/>
    <mergeCell ref="A320:B320"/>
    <mergeCell ref="A321:B321"/>
    <mergeCell ref="A322:B322"/>
    <mergeCell ref="A323:B323"/>
    <mergeCell ref="A324:B324"/>
    <mergeCell ref="A325:B325"/>
    <mergeCell ref="A326:B326"/>
    <mergeCell ref="A327:B327"/>
    <mergeCell ref="A328:B328"/>
    <mergeCell ref="A329:B329"/>
    <mergeCell ref="A330:B330"/>
    <mergeCell ref="A331:B331"/>
    <mergeCell ref="A332:B332"/>
    <mergeCell ref="A333:B333"/>
    <mergeCell ref="A300:B300"/>
    <mergeCell ref="A301:B301"/>
    <mergeCell ref="A302:B302"/>
    <mergeCell ref="A303:B303"/>
    <mergeCell ref="A304:B304"/>
    <mergeCell ref="A305:B305"/>
    <mergeCell ref="A306:B306"/>
    <mergeCell ref="A307:B307"/>
    <mergeCell ref="A308:B308"/>
    <mergeCell ref="A309:B309"/>
    <mergeCell ref="A310:B310"/>
    <mergeCell ref="A311:B311"/>
    <mergeCell ref="A312:B312"/>
    <mergeCell ref="A313:B313"/>
    <mergeCell ref="A314:B314"/>
    <mergeCell ref="A315:B315"/>
    <mergeCell ref="A316:B316"/>
    <mergeCell ref="A283:B283"/>
    <mergeCell ref="A284:B284"/>
    <mergeCell ref="A285:B285"/>
    <mergeCell ref="A286:B286"/>
    <mergeCell ref="A287:B287"/>
    <mergeCell ref="A288:B288"/>
    <mergeCell ref="A289:B289"/>
    <mergeCell ref="A290:B290"/>
    <mergeCell ref="A291:B291"/>
    <mergeCell ref="A292:B292"/>
    <mergeCell ref="A293:B293"/>
    <mergeCell ref="A294:B294"/>
    <mergeCell ref="A295:B295"/>
    <mergeCell ref="A296:B296"/>
    <mergeCell ref="A297:B297"/>
    <mergeCell ref="A298:B298"/>
    <mergeCell ref="A299:B299"/>
    <mergeCell ref="A266:B266"/>
    <mergeCell ref="A267:B267"/>
    <mergeCell ref="A268:B268"/>
    <mergeCell ref="A269:B269"/>
    <mergeCell ref="A270:B270"/>
    <mergeCell ref="A271:B271"/>
    <mergeCell ref="A272:B272"/>
    <mergeCell ref="A273:B273"/>
    <mergeCell ref="A274:B274"/>
    <mergeCell ref="A275:B275"/>
    <mergeCell ref="A276:B276"/>
    <mergeCell ref="A277:B277"/>
    <mergeCell ref="A278:B278"/>
    <mergeCell ref="A279:B279"/>
    <mergeCell ref="A280:B280"/>
    <mergeCell ref="A281:B281"/>
    <mergeCell ref="A282:B282"/>
    <mergeCell ref="A249:B249"/>
    <mergeCell ref="A250:B250"/>
    <mergeCell ref="A251:B251"/>
    <mergeCell ref="A252:B252"/>
    <mergeCell ref="A253:B253"/>
    <mergeCell ref="A254:B254"/>
    <mergeCell ref="A255:B255"/>
    <mergeCell ref="A256:B256"/>
    <mergeCell ref="A257:B257"/>
    <mergeCell ref="A258:B258"/>
    <mergeCell ref="A259:B259"/>
    <mergeCell ref="A260:B260"/>
    <mergeCell ref="A261:B261"/>
    <mergeCell ref="A262:B262"/>
    <mergeCell ref="A263:B263"/>
    <mergeCell ref="A264:B264"/>
    <mergeCell ref="A265:B265"/>
    <mergeCell ref="A232:B232"/>
    <mergeCell ref="A233:B233"/>
    <mergeCell ref="A234:B234"/>
    <mergeCell ref="A235:B235"/>
    <mergeCell ref="A236:B236"/>
    <mergeCell ref="A237:B237"/>
    <mergeCell ref="A238:B238"/>
    <mergeCell ref="A239:B239"/>
    <mergeCell ref="A240:B240"/>
    <mergeCell ref="A241:B241"/>
    <mergeCell ref="A242:B242"/>
    <mergeCell ref="A243:B243"/>
    <mergeCell ref="A244:B244"/>
    <mergeCell ref="A245:B245"/>
    <mergeCell ref="A246:B246"/>
    <mergeCell ref="A247:B247"/>
    <mergeCell ref="A248:B248"/>
    <mergeCell ref="A215:B215"/>
    <mergeCell ref="A216:B216"/>
    <mergeCell ref="A217:B217"/>
    <mergeCell ref="A218:B218"/>
    <mergeCell ref="A219:B219"/>
    <mergeCell ref="A220:B220"/>
    <mergeCell ref="A221:B221"/>
    <mergeCell ref="A222:B222"/>
    <mergeCell ref="A223:B223"/>
    <mergeCell ref="A224:B224"/>
    <mergeCell ref="A225:B225"/>
    <mergeCell ref="A226:B226"/>
    <mergeCell ref="A227:B227"/>
    <mergeCell ref="A228:B228"/>
    <mergeCell ref="A229:B229"/>
    <mergeCell ref="A230:B230"/>
    <mergeCell ref="A231:B231"/>
    <mergeCell ref="A198:B198"/>
    <mergeCell ref="A199:B199"/>
    <mergeCell ref="A200:B200"/>
    <mergeCell ref="A201:B201"/>
    <mergeCell ref="A202:B202"/>
    <mergeCell ref="A203:B203"/>
    <mergeCell ref="A204:B204"/>
    <mergeCell ref="A205:B205"/>
    <mergeCell ref="A206:B206"/>
    <mergeCell ref="A207:B207"/>
    <mergeCell ref="A208:B208"/>
    <mergeCell ref="A209:B209"/>
    <mergeCell ref="A210:B210"/>
    <mergeCell ref="A211:B211"/>
    <mergeCell ref="A212:B212"/>
    <mergeCell ref="A213:B213"/>
    <mergeCell ref="A214:B214"/>
    <mergeCell ref="A181:B181"/>
    <mergeCell ref="A182:B182"/>
    <mergeCell ref="A183:B183"/>
    <mergeCell ref="A184:B184"/>
    <mergeCell ref="A185:B185"/>
    <mergeCell ref="A186:B186"/>
    <mergeCell ref="A187:B187"/>
    <mergeCell ref="A188:B188"/>
    <mergeCell ref="A189:B189"/>
    <mergeCell ref="A190:B190"/>
    <mergeCell ref="A191:B191"/>
    <mergeCell ref="A192:B192"/>
    <mergeCell ref="A193:B193"/>
    <mergeCell ref="A194:B194"/>
    <mergeCell ref="A195:B195"/>
    <mergeCell ref="A196:B196"/>
    <mergeCell ref="A197:B197"/>
    <mergeCell ref="A164:B164"/>
    <mergeCell ref="A165:B165"/>
    <mergeCell ref="A166:B166"/>
    <mergeCell ref="A167:B167"/>
    <mergeCell ref="A168:B168"/>
    <mergeCell ref="A169:B169"/>
    <mergeCell ref="A170:B170"/>
    <mergeCell ref="A171:B171"/>
    <mergeCell ref="A172:B172"/>
    <mergeCell ref="A173:B173"/>
    <mergeCell ref="A174:B174"/>
    <mergeCell ref="A175:B175"/>
    <mergeCell ref="A176:B176"/>
    <mergeCell ref="A177:B177"/>
    <mergeCell ref="A178:B178"/>
    <mergeCell ref="A179:B179"/>
    <mergeCell ref="A180:B180"/>
    <mergeCell ref="A147:B147"/>
    <mergeCell ref="A148:B148"/>
    <mergeCell ref="A149:B149"/>
    <mergeCell ref="A150:B150"/>
    <mergeCell ref="A151:B151"/>
    <mergeCell ref="A152:B152"/>
    <mergeCell ref="A153:B153"/>
    <mergeCell ref="A154:B154"/>
    <mergeCell ref="A155:B155"/>
    <mergeCell ref="A156:B156"/>
    <mergeCell ref="A157:B157"/>
    <mergeCell ref="A158:B158"/>
    <mergeCell ref="A159:B159"/>
    <mergeCell ref="A160:B160"/>
    <mergeCell ref="A161:B161"/>
    <mergeCell ref="A162:B162"/>
    <mergeCell ref="A163:B163"/>
    <mergeCell ref="A130:B130"/>
    <mergeCell ref="A131:B131"/>
    <mergeCell ref="A132:B132"/>
    <mergeCell ref="A133:B133"/>
    <mergeCell ref="A134:B134"/>
    <mergeCell ref="A135:B135"/>
    <mergeCell ref="A136:B136"/>
    <mergeCell ref="A137:B137"/>
    <mergeCell ref="A138:B138"/>
    <mergeCell ref="A139:B139"/>
    <mergeCell ref="A140:B140"/>
    <mergeCell ref="A141:B141"/>
    <mergeCell ref="A142:B142"/>
    <mergeCell ref="A143:B143"/>
    <mergeCell ref="A144:B144"/>
    <mergeCell ref="A145:B145"/>
    <mergeCell ref="A146:B146"/>
    <mergeCell ref="A113:B113"/>
    <mergeCell ref="A114:B114"/>
    <mergeCell ref="A115:B115"/>
    <mergeCell ref="A116:B116"/>
    <mergeCell ref="A117:B117"/>
    <mergeCell ref="A118:B118"/>
    <mergeCell ref="A119:B119"/>
    <mergeCell ref="A120:B120"/>
    <mergeCell ref="A121:B121"/>
    <mergeCell ref="A122:B122"/>
    <mergeCell ref="A123:B123"/>
    <mergeCell ref="A124:B124"/>
    <mergeCell ref="A125:B125"/>
    <mergeCell ref="A126:B126"/>
    <mergeCell ref="A127:B127"/>
    <mergeCell ref="A128:B128"/>
    <mergeCell ref="A129:B129"/>
    <mergeCell ref="A101:B101"/>
    <mergeCell ref="A102:B102"/>
    <mergeCell ref="A103:B103"/>
    <mergeCell ref="A94:B94"/>
    <mergeCell ref="A95:B95"/>
    <mergeCell ref="A96:B96"/>
    <mergeCell ref="A97:B97"/>
    <mergeCell ref="A98:B98"/>
    <mergeCell ref="A109:B109"/>
    <mergeCell ref="A110:B110"/>
    <mergeCell ref="A111:B111"/>
    <mergeCell ref="A112:B112"/>
    <mergeCell ref="A104:B104"/>
    <mergeCell ref="A105:B105"/>
    <mergeCell ref="A106:B106"/>
    <mergeCell ref="A107:B107"/>
    <mergeCell ref="A108:B108"/>
    <mergeCell ref="A74:B74"/>
    <mergeCell ref="A75:B75"/>
    <mergeCell ref="A76:B76"/>
    <mergeCell ref="A77:B77"/>
    <mergeCell ref="A78:B78"/>
    <mergeCell ref="A89:B89"/>
    <mergeCell ref="A90:B90"/>
    <mergeCell ref="A91:B91"/>
    <mergeCell ref="A92:B92"/>
    <mergeCell ref="A93:B93"/>
    <mergeCell ref="A84:B84"/>
    <mergeCell ref="A85:B85"/>
    <mergeCell ref="A86:B86"/>
    <mergeCell ref="A87:B87"/>
    <mergeCell ref="A88:B88"/>
    <mergeCell ref="A99:B99"/>
    <mergeCell ref="A100:B100"/>
    <mergeCell ref="A16:B16"/>
    <mergeCell ref="A30:B30"/>
    <mergeCell ref="A31:B31"/>
    <mergeCell ref="A59:B59"/>
    <mergeCell ref="A60:B60"/>
    <mergeCell ref="A61:B61"/>
    <mergeCell ref="A62:B62"/>
    <mergeCell ref="A63:B63"/>
    <mergeCell ref="A54:B54"/>
    <mergeCell ref="A55:B55"/>
    <mergeCell ref="A56:B56"/>
    <mergeCell ref="A57:B57"/>
    <mergeCell ref="A58:B58"/>
    <mergeCell ref="A69:B69"/>
    <mergeCell ref="A70:B70"/>
    <mergeCell ref="A71:B71"/>
    <mergeCell ref="A72:B72"/>
    <mergeCell ref="A34:B34"/>
    <mergeCell ref="A35:B35"/>
    <mergeCell ref="A36:B36"/>
    <mergeCell ref="A37:B37"/>
    <mergeCell ref="A38:B38"/>
    <mergeCell ref="A49:B49"/>
    <mergeCell ref="A50:B50"/>
    <mergeCell ref="A51:B51"/>
    <mergeCell ref="A52:B52"/>
    <mergeCell ref="A53:B53"/>
    <mergeCell ref="A44:B44"/>
    <mergeCell ref="A45:B45"/>
    <mergeCell ref="A46:B46"/>
    <mergeCell ref="A47:B47"/>
    <mergeCell ref="A48:B48"/>
    <mergeCell ref="A17:B17"/>
    <mergeCell ref="A18:B18"/>
    <mergeCell ref="A19:B19"/>
    <mergeCell ref="A869:B869"/>
    <mergeCell ref="A870:B870"/>
    <mergeCell ref="A871:B871"/>
    <mergeCell ref="A32:B32"/>
    <mergeCell ref="A33:B33"/>
    <mergeCell ref="A4:B4"/>
    <mergeCell ref="A9:B9"/>
    <mergeCell ref="A10:B10"/>
    <mergeCell ref="A11:B11"/>
    <mergeCell ref="A12:B12"/>
    <mergeCell ref="A5:B5"/>
    <mergeCell ref="A6:B6"/>
    <mergeCell ref="A7:B7"/>
    <mergeCell ref="A8:B8"/>
    <mergeCell ref="A26:B26"/>
    <mergeCell ref="A27:B27"/>
    <mergeCell ref="A28:B28"/>
    <mergeCell ref="A29:B29"/>
    <mergeCell ref="A13:B13"/>
    <mergeCell ref="A20:B20"/>
    <mergeCell ref="A21:B21"/>
    <mergeCell ref="A22:B22"/>
    <mergeCell ref="A23:B23"/>
    <mergeCell ref="A24:B24"/>
    <mergeCell ref="A25:B25"/>
    <mergeCell ref="A14:B14"/>
    <mergeCell ref="A15:B15"/>
    <mergeCell ref="A39:B39"/>
    <mergeCell ref="A40:B40"/>
    <mergeCell ref="A41:B41"/>
    <mergeCell ref="A42:B42"/>
    <mergeCell ref="A43:B43"/>
    <mergeCell ref="A881:B881"/>
    <mergeCell ref="A882:B882"/>
    <mergeCell ref="A883:B883"/>
    <mergeCell ref="A884:B884"/>
    <mergeCell ref="A885:B885"/>
    <mergeCell ref="A886:B886"/>
    <mergeCell ref="A887:B887"/>
    <mergeCell ref="A888:B888"/>
    <mergeCell ref="A889:B889"/>
    <mergeCell ref="A872:B872"/>
    <mergeCell ref="A873:B873"/>
    <mergeCell ref="A874:B874"/>
    <mergeCell ref="A875:B875"/>
    <mergeCell ref="A876:B876"/>
    <mergeCell ref="A877:B877"/>
    <mergeCell ref="A878:B878"/>
    <mergeCell ref="A879:B879"/>
    <mergeCell ref="A880:B880"/>
    <mergeCell ref="A73:B73"/>
    <mergeCell ref="A64:B64"/>
    <mergeCell ref="A65:B65"/>
    <mergeCell ref="A66:B66"/>
    <mergeCell ref="A67:B67"/>
    <mergeCell ref="A68:B68"/>
    <mergeCell ref="A79:B79"/>
    <mergeCell ref="A80:B80"/>
    <mergeCell ref="A81:B81"/>
    <mergeCell ref="A82:B82"/>
    <mergeCell ref="A83:B83"/>
    <mergeCell ref="A899:B899"/>
    <mergeCell ref="A900:B900"/>
    <mergeCell ref="A901:B901"/>
    <mergeCell ref="A902:B902"/>
    <mergeCell ref="A903:B903"/>
    <mergeCell ref="A904:B904"/>
    <mergeCell ref="A905:B905"/>
    <mergeCell ref="A906:B906"/>
    <mergeCell ref="A907:B907"/>
    <mergeCell ref="A890:B890"/>
    <mergeCell ref="A891:B891"/>
    <mergeCell ref="A892:B892"/>
    <mergeCell ref="A893:B893"/>
    <mergeCell ref="A894:B894"/>
    <mergeCell ref="A895:B895"/>
    <mergeCell ref="A896:B896"/>
    <mergeCell ref="A897:B897"/>
    <mergeCell ref="A898:B898"/>
    <mergeCell ref="A917:B917"/>
    <mergeCell ref="A918:B918"/>
    <mergeCell ref="A919:B919"/>
    <mergeCell ref="A920:B920"/>
    <mergeCell ref="A921:B921"/>
    <mergeCell ref="A922:B922"/>
    <mergeCell ref="A923:B923"/>
    <mergeCell ref="A924:B924"/>
    <mergeCell ref="A925:B925"/>
    <mergeCell ref="A908:B908"/>
    <mergeCell ref="A909:B909"/>
    <mergeCell ref="A910:B910"/>
    <mergeCell ref="A911:B911"/>
    <mergeCell ref="A912:B912"/>
    <mergeCell ref="A913:B913"/>
    <mergeCell ref="A914:B914"/>
    <mergeCell ref="A915:B915"/>
    <mergeCell ref="A916:B916"/>
    <mergeCell ref="A935:B935"/>
    <mergeCell ref="A936:B936"/>
    <mergeCell ref="A937:B937"/>
    <mergeCell ref="A938:B938"/>
    <mergeCell ref="A939:B939"/>
    <mergeCell ref="A940:B940"/>
    <mergeCell ref="A941:B941"/>
    <mergeCell ref="A942:B942"/>
    <mergeCell ref="A943:B943"/>
    <mergeCell ref="A926:B926"/>
    <mergeCell ref="A927:B927"/>
    <mergeCell ref="A928:B928"/>
    <mergeCell ref="A929:B929"/>
    <mergeCell ref="A930:B930"/>
    <mergeCell ref="A931:B931"/>
    <mergeCell ref="A932:B932"/>
    <mergeCell ref="A933:B933"/>
    <mergeCell ref="A934:B934"/>
    <mergeCell ref="A953:B953"/>
    <mergeCell ref="A954:B954"/>
    <mergeCell ref="A955:B955"/>
    <mergeCell ref="A956:B956"/>
    <mergeCell ref="A957:B957"/>
    <mergeCell ref="A958:B958"/>
    <mergeCell ref="A959:B959"/>
    <mergeCell ref="A960:B960"/>
    <mergeCell ref="A961:B961"/>
    <mergeCell ref="A944:B944"/>
    <mergeCell ref="A945:B945"/>
    <mergeCell ref="A946:B946"/>
    <mergeCell ref="A947:B947"/>
    <mergeCell ref="A948:B948"/>
    <mergeCell ref="A949:B949"/>
    <mergeCell ref="A950:B950"/>
    <mergeCell ref="A951:B951"/>
    <mergeCell ref="A952:B952"/>
    <mergeCell ref="A971:B971"/>
    <mergeCell ref="A972:B972"/>
    <mergeCell ref="A973:B973"/>
    <mergeCell ref="A974:B974"/>
    <mergeCell ref="A975:B975"/>
    <mergeCell ref="A976:B976"/>
    <mergeCell ref="A977:B977"/>
    <mergeCell ref="A978:B978"/>
    <mergeCell ref="A979:B979"/>
    <mergeCell ref="A962:B962"/>
    <mergeCell ref="A963:B963"/>
    <mergeCell ref="A964:B964"/>
    <mergeCell ref="A965:B965"/>
    <mergeCell ref="A966:B966"/>
    <mergeCell ref="A967:B967"/>
    <mergeCell ref="A968:B968"/>
    <mergeCell ref="A969:B969"/>
    <mergeCell ref="A970:B970"/>
    <mergeCell ref="A989:B989"/>
    <mergeCell ref="A990:B990"/>
    <mergeCell ref="A991:B991"/>
    <mergeCell ref="A992:B992"/>
    <mergeCell ref="A993:B993"/>
    <mergeCell ref="A994:B994"/>
    <mergeCell ref="A995:B995"/>
    <mergeCell ref="A996:B996"/>
    <mergeCell ref="A997:B997"/>
    <mergeCell ref="A980:B980"/>
    <mergeCell ref="A981:B981"/>
    <mergeCell ref="A982:B982"/>
    <mergeCell ref="A983:B983"/>
    <mergeCell ref="A984:B984"/>
    <mergeCell ref="A985:B985"/>
    <mergeCell ref="A986:B986"/>
    <mergeCell ref="A987:B987"/>
    <mergeCell ref="A988:B988"/>
    <mergeCell ref="A1007:B1007"/>
    <mergeCell ref="A1008:B1008"/>
    <mergeCell ref="A1009:B1009"/>
    <mergeCell ref="A1010:B1010"/>
    <mergeCell ref="A1011:B1011"/>
    <mergeCell ref="A1012:B1012"/>
    <mergeCell ref="A1013:B1013"/>
    <mergeCell ref="A1014:B1014"/>
    <mergeCell ref="A1015:B1015"/>
    <mergeCell ref="A998:B998"/>
    <mergeCell ref="A999:B999"/>
    <mergeCell ref="A1000:B1000"/>
    <mergeCell ref="A1001:B1001"/>
    <mergeCell ref="A1002:B1002"/>
    <mergeCell ref="A1003:B1003"/>
    <mergeCell ref="A1004:B1004"/>
    <mergeCell ref="A1005:B1005"/>
    <mergeCell ref="A1006:B1006"/>
    <mergeCell ref="A1034:B1034"/>
    <mergeCell ref="A1035:B1035"/>
    <mergeCell ref="A1036:B1036"/>
    <mergeCell ref="A1025:B1025"/>
    <mergeCell ref="A1026:B1026"/>
    <mergeCell ref="A1027:B1027"/>
    <mergeCell ref="A1028:B1028"/>
    <mergeCell ref="A1029:B1029"/>
    <mergeCell ref="A1030:B1030"/>
    <mergeCell ref="A1031:B1031"/>
    <mergeCell ref="A1032:B1032"/>
    <mergeCell ref="A1033:B1033"/>
    <mergeCell ref="A1016:B1016"/>
    <mergeCell ref="A1017:B1017"/>
    <mergeCell ref="A1018:B1018"/>
    <mergeCell ref="A1019:B1019"/>
    <mergeCell ref="A1020:B1020"/>
    <mergeCell ref="A1021:B1021"/>
    <mergeCell ref="A1022:B1022"/>
    <mergeCell ref="A1023:B1023"/>
    <mergeCell ref="A1024:B1024"/>
  </mergeCell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8922" id="{9165B090-F99B-4063-BE94-F643FCC6AE71}">
            <xm:f>OR(C$4='Data entry'!$S45:$AN45)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C123:CC123</xm:sqref>
        </x14:conditionalFormatting>
        <x14:conditionalFormatting xmlns:xm="http://schemas.microsoft.com/office/excel/2006/main">
          <x14:cfRule type="expression" priority="18973" id="{9165B090-F99B-4063-BE94-F643FCC6AE71}">
            <xm:f>OR(C$4='Data entry'!$S6:$AN6)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C6:CC6</xm:sqref>
        </x14:conditionalFormatting>
        <x14:conditionalFormatting xmlns:xm="http://schemas.microsoft.com/office/excel/2006/main">
          <x14:cfRule type="expression" priority="19012" id="{33E80F40-2C28-4235-8352-2F9507EB51C7}">
            <xm:f>C$4='Data entry'!$BC6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C5:CC5</xm:sqref>
        </x14:conditionalFormatting>
        <x14:conditionalFormatting xmlns:xm="http://schemas.microsoft.com/office/excel/2006/main">
          <x14:cfRule type="expression" priority="167106" id="{37566F97-6D06-400B-A709-FE657B07687F}">
            <xm:f>$BW$4='Data entry'!#REF!</xm:f>
            <x14:dxf>
              <fill>
                <patternFill>
                  <bgColor rgb="FFFF0000"/>
                </patternFill>
              </fill>
            </x14:dxf>
          </x14:cfRule>
          <xm:sqref>BU7:CC7</xm:sqref>
        </x14:conditionalFormatting>
        <x14:conditionalFormatting xmlns:xm="http://schemas.microsoft.com/office/excel/2006/main">
          <x14:cfRule type="expression" priority="167149" id="{9165B090-F99B-4063-BE94-F643FCC6AE71}">
            <xm:f>OR(C$4='Data entry'!$S7:$AN7)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C9:CC9</xm:sqref>
        </x14:conditionalFormatting>
        <x14:conditionalFormatting xmlns:xm="http://schemas.microsoft.com/office/excel/2006/main">
          <x14:cfRule type="expression" priority="167187" id="{33E80F40-2C28-4235-8352-2F9507EB51C7}">
            <xm:f>C$4='Data entry'!$BC7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C8:CC8</xm:sqref>
        </x14:conditionalFormatting>
        <x14:conditionalFormatting xmlns:xm="http://schemas.microsoft.com/office/excel/2006/main">
          <x14:cfRule type="expression" priority="207886" id="{37566F97-6D06-400B-A709-FE657B07687F}">
            <xm:f>$BW$4='Data entry'!#REF!</xm:f>
            <x14:dxf>
              <fill>
                <patternFill>
                  <bgColor rgb="FFFF0000"/>
                </patternFill>
              </fill>
            </x14:dxf>
          </x14:cfRule>
          <xm:sqref>BU10:CC10</xm:sqref>
        </x14:conditionalFormatting>
        <x14:conditionalFormatting xmlns:xm="http://schemas.microsoft.com/office/excel/2006/main">
          <x14:cfRule type="expression" priority="240735" id="{9165B090-F99B-4063-BE94-F643FCC6AE71}">
            <xm:f>OR(C$4='Data entry'!$S8:$AN8)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C12:CC12</xm:sqref>
        </x14:conditionalFormatting>
        <x14:conditionalFormatting xmlns:xm="http://schemas.microsoft.com/office/excel/2006/main">
          <x14:cfRule type="expression" priority="240772" id="{33E80F40-2C28-4235-8352-2F9507EB51C7}">
            <xm:f>C$4='Data entry'!$BC8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C11:CC11</xm:sqref>
        </x14:conditionalFormatting>
        <x14:conditionalFormatting xmlns:xm="http://schemas.microsoft.com/office/excel/2006/main">
          <x14:cfRule type="expression" priority="281352" id="{37566F97-6D06-400B-A709-FE657B07687F}">
            <xm:f>$BW$4='Data entry'!#REF!</xm:f>
            <x14:dxf>
              <fill>
                <patternFill>
                  <bgColor rgb="FFFF0000"/>
                </patternFill>
              </fill>
            </x14:dxf>
          </x14:cfRule>
          <xm:sqref>BU13:CC13</xm:sqref>
        </x14:conditionalFormatting>
        <x14:conditionalFormatting xmlns:xm="http://schemas.microsoft.com/office/excel/2006/main">
          <x14:cfRule type="expression" priority="314105" id="{9165B090-F99B-4063-BE94-F643FCC6AE71}">
            <xm:f>OR(C$4='Data entry'!$S9:$AN9)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C15:CC15</xm:sqref>
        </x14:conditionalFormatting>
        <x14:conditionalFormatting xmlns:xm="http://schemas.microsoft.com/office/excel/2006/main">
          <x14:cfRule type="expression" priority="314141" id="{33E80F40-2C28-4235-8352-2F9507EB51C7}">
            <xm:f>C$4='Data entry'!$BC9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C14:CC14</xm:sqref>
        </x14:conditionalFormatting>
        <x14:conditionalFormatting xmlns:xm="http://schemas.microsoft.com/office/excel/2006/main">
          <x14:cfRule type="expression" priority="354602" id="{37566F97-6D06-400B-A709-FE657B07687F}">
            <xm:f>$BW$4='Data entry'!#REF!</xm:f>
            <x14:dxf>
              <fill>
                <patternFill>
                  <bgColor rgb="FFFF0000"/>
                </patternFill>
              </fill>
            </x14:dxf>
          </x14:cfRule>
          <xm:sqref>BU16:CC16</xm:sqref>
        </x14:conditionalFormatting>
        <x14:conditionalFormatting xmlns:xm="http://schemas.microsoft.com/office/excel/2006/main">
          <x14:cfRule type="expression" priority="387259" id="{9165B090-F99B-4063-BE94-F643FCC6AE71}">
            <xm:f>OR(C$4='Data entry'!$S10:$AN10)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C18:CC18</xm:sqref>
        </x14:conditionalFormatting>
        <x14:conditionalFormatting xmlns:xm="http://schemas.microsoft.com/office/excel/2006/main">
          <x14:cfRule type="expression" priority="387294" id="{33E80F40-2C28-4235-8352-2F9507EB51C7}">
            <xm:f>C$4='Data entry'!$BC10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C17:CC17</xm:sqref>
        </x14:conditionalFormatting>
        <x14:conditionalFormatting xmlns:xm="http://schemas.microsoft.com/office/excel/2006/main">
          <x14:cfRule type="expression" priority="427636" id="{37566F97-6D06-400B-A709-FE657B07687F}">
            <xm:f>$BW$4='Data entry'!#REF!</xm:f>
            <x14:dxf>
              <fill>
                <patternFill>
                  <bgColor rgb="FFFF0000"/>
                </patternFill>
              </fill>
            </x14:dxf>
          </x14:cfRule>
          <xm:sqref>BU19:CC19</xm:sqref>
        </x14:conditionalFormatting>
        <x14:conditionalFormatting xmlns:xm="http://schemas.microsoft.com/office/excel/2006/main">
          <x14:cfRule type="expression" priority="460197" id="{9165B090-F99B-4063-BE94-F643FCC6AE71}">
            <xm:f>OR(C$4='Data entry'!$S11:$AN11)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C21:CC21</xm:sqref>
        </x14:conditionalFormatting>
        <x14:conditionalFormatting xmlns:xm="http://schemas.microsoft.com/office/excel/2006/main">
          <x14:cfRule type="expression" priority="460231" id="{33E80F40-2C28-4235-8352-2F9507EB51C7}">
            <xm:f>C$4='Data entry'!$BC11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C20:CC20</xm:sqref>
        </x14:conditionalFormatting>
        <x14:conditionalFormatting xmlns:xm="http://schemas.microsoft.com/office/excel/2006/main">
          <x14:cfRule type="expression" priority="500454" id="{37566F97-6D06-400B-A709-FE657B07687F}">
            <xm:f>$BW$4='Data entry'!#REF!</xm:f>
            <x14:dxf>
              <fill>
                <patternFill>
                  <bgColor rgb="FFFF0000"/>
                </patternFill>
              </fill>
            </x14:dxf>
          </x14:cfRule>
          <xm:sqref>BU22:CC22</xm:sqref>
        </x14:conditionalFormatting>
        <x14:conditionalFormatting xmlns:xm="http://schemas.microsoft.com/office/excel/2006/main">
          <x14:cfRule type="expression" priority="532919" id="{9165B090-F99B-4063-BE94-F643FCC6AE71}">
            <xm:f>OR(C$4='Data entry'!$S12:$AN12)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C24:CC24</xm:sqref>
        </x14:conditionalFormatting>
        <x14:conditionalFormatting xmlns:xm="http://schemas.microsoft.com/office/excel/2006/main">
          <x14:cfRule type="expression" priority="532952" id="{33E80F40-2C28-4235-8352-2F9507EB51C7}">
            <xm:f>C$4='Data entry'!$BC12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C23:CC23</xm:sqref>
        </x14:conditionalFormatting>
        <x14:conditionalFormatting xmlns:xm="http://schemas.microsoft.com/office/excel/2006/main">
          <x14:cfRule type="expression" priority="573056" id="{37566F97-6D06-400B-A709-FE657B07687F}">
            <xm:f>$BW$4='Data entry'!#REF!</xm:f>
            <x14:dxf>
              <fill>
                <patternFill>
                  <bgColor rgb="FFFF0000"/>
                </patternFill>
              </fill>
            </x14:dxf>
          </x14:cfRule>
          <xm:sqref>BU25:CC25</xm:sqref>
        </x14:conditionalFormatting>
        <x14:conditionalFormatting xmlns:xm="http://schemas.microsoft.com/office/excel/2006/main">
          <x14:cfRule type="expression" priority="605425" id="{9165B090-F99B-4063-BE94-F643FCC6AE71}">
            <xm:f>OR(C$4='Data entry'!$S13:$AN13)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C27:CC27</xm:sqref>
        </x14:conditionalFormatting>
        <x14:conditionalFormatting xmlns:xm="http://schemas.microsoft.com/office/excel/2006/main">
          <x14:cfRule type="expression" priority="605457" id="{33E80F40-2C28-4235-8352-2F9507EB51C7}">
            <xm:f>C$4='Data entry'!$BC13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C26:CC26</xm:sqref>
        </x14:conditionalFormatting>
        <x14:conditionalFormatting xmlns:xm="http://schemas.microsoft.com/office/excel/2006/main">
          <x14:cfRule type="expression" priority="645442" id="{37566F97-6D06-400B-A709-FE657B07687F}">
            <xm:f>$BW$4='Data entry'!#REF!</xm:f>
            <x14:dxf>
              <fill>
                <patternFill>
                  <bgColor rgb="FFFF0000"/>
                </patternFill>
              </fill>
            </x14:dxf>
          </x14:cfRule>
          <xm:sqref>BU28:CC28</xm:sqref>
        </x14:conditionalFormatting>
        <x14:conditionalFormatting xmlns:xm="http://schemas.microsoft.com/office/excel/2006/main">
          <x14:cfRule type="expression" priority="677715" id="{9165B090-F99B-4063-BE94-F643FCC6AE71}">
            <xm:f>OR(C$4='Data entry'!$S14:$AN14)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C30:CC30</xm:sqref>
        </x14:conditionalFormatting>
        <x14:conditionalFormatting xmlns:xm="http://schemas.microsoft.com/office/excel/2006/main">
          <x14:cfRule type="expression" priority="677746" id="{33E80F40-2C28-4235-8352-2F9507EB51C7}">
            <xm:f>C$4='Data entry'!$BC14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C29:CC29</xm:sqref>
        </x14:conditionalFormatting>
        <x14:conditionalFormatting xmlns:xm="http://schemas.microsoft.com/office/excel/2006/main">
          <x14:cfRule type="expression" priority="717612" id="{37566F97-6D06-400B-A709-FE657B07687F}">
            <xm:f>$BW$4='Data entry'!#REF!</xm:f>
            <x14:dxf>
              <fill>
                <patternFill>
                  <bgColor rgb="FFFF0000"/>
                </patternFill>
              </fill>
            </x14:dxf>
          </x14:cfRule>
          <xm:sqref>BU31:CC31</xm:sqref>
        </x14:conditionalFormatting>
        <x14:conditionalFormatting xmlns:xm="http://schemas.microsoft.com/office/excel/2006/main">
          <x14:cfRule type="expression" priority="749789" id="{9165B090-F99B-4063-BE94-F643FCC6AE71}">
            <xm:f>OR(C$4='Data entry'!$S15:$AN15)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C33:CC33</xm:sqref>
        </x14:conditionalFormatting>
        <x14:conditionalFormatting xmlns:xm="http://schemas.microsoft.com/office/excel/2006/main">
          <x14:cfRule type="expression" priority="749819" id="{33E80F40-2C28-4235-8352-2F9507EB51C7}">
            <xm:f>C$4='Data entry'!$BC15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C32:CC32</xm:sqref>
        </x14:conditionalFormatting>
        <x14:conditionalFormatting xmlns:xm="http://schemas.microsoft.com/office/excel/2006/main">
          <x14:cfRule type="expression" priority="789566" id="{37566F97-6D06-400B-A709-FE657B07687F}">
            <xm:f>$BW$4='Data entry'!#REF!</xm:f>
            <x14:dxf>
              <fill>
                <patternFill>
                  <bgColor rgb="FFFF0000"/>
                </patternFill>
              </fill>
            </x14:dxf>
          </x14:cfRule>
          <xm:sqref>BU34:CC34</xm:sqref>
        </x14:conditionalFormatting>
        <x14:conditionalFormatting xmlns:xm="http://schemas.microsoft.com/office/excel/2006/main">
          <x14:cfRule type="expression" priority="821647" id="{9165B090-F99B-4063-BE94-F643FCC6AE71}">
            <xm:f>OR(C$4='Data entry'!$S16:$AN16)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C36:CC36</xm:sqref>
        </x14:conditionalFormatting>
        <x14:conditionalFormatting xmlns:xm="http://schemas.microsoft.com/office/excel/2006/main">
          <x14:cfRule type="expression" priority="821676" id="{33E80F40-2C28-4235-8352-2F9507EB51C7}">
            <xm:f>C$4='Data entry'!$BC16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C35:CC35</xm:sqref>
        </x14:conditionalFormatting>
        <x14:conditionalFormatting xmlns:xm="http://schemas.microsoft.com/office/excel/2006/main">
          <x14:cfRule type="expression" priority="861304" id="{37566F97-6D06-400B-A709-FE657B07687F}">
            <xm:f>$BW$4='Data entry'!#REF!</xm:f>
            <x14:dxf>
              <fill>
                <patternFill>
                  <bgColor rgb="FFFF0000"/>
                </patternFill>
              </fill>
            </x14:dxf>
          </x14:cfRule>
          <xm:sqref>BU37:CC37</xm:sqref>
        </x14:conditionalFormatting>
        <x14:conditionalFormatting xmlns:xm="http://schemas.microsoft.com/office/excel/2006/main">
          <x14:cfRule type="expression" priority="893289" id="{9165B090-F99B-4063-BE94-F643FCC6AE71}">
            <xm:f>OR(C$4='Data entry'!$S17:$AN17)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C39:CC39</xm:sqref>
        </x14:conditionalFormatting>
        <x14:conditionalFormatting xmlns:xm="http://schemas.microsoft.com/office/excel/2006/main">
          <x14:cfRule type="expression" priority="893317" id="{33E80F40-2C28-4235-8352-2F9507EB51C7}">
            <xm:f>C$4='Data entry'!$BC17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C38:CC38</xm:sqref>
        </x14:conditionalFormatting>
        <x14:conditionalFormatting xmlns:xm="http://schemas.microsoft.com/office/excel/2006/main">
          <x14:cfRule type="expression" priority="932826" id="{37566F97-6D06-400B-A709-FE657B07687F}">
            <xm:f>$BW$4='Data entry'!#REF!</xm:f>
            <x14:dxf>
              <fill>
                <patternFill>
                  <bgColor rgb="FFFF0000"/>
                </patternFill>
              </fill>
            </x14:dxf>
          </x14:cfRule>
          <xm:sqref>BU40:CC40</xm:sqref>
        </x14:conditionalFormatting>
        <x14:conditionalFormatting xmlns:xm="http://schemas.microsoft.com/office/excel/2006/main">
          <x14:cfRule type="expression" priority="964715" id="{9165B090-F99B-4063-BE94-F643FCC6AE71}">
            <xm:f>OR(C$4='Data entry'!$S18:$AN18)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C42:CC42</xm:sqref>
        </x14:conditionalFormatting>
        <x14:conditionalFormatting xmlns:xm="http://schemas.microsoft.com/office/excel/2006/main">
          <x14:cfRule type="expression" priority="964742" id="{33E80F40-2C28-4235-8352-2F9507EB51C7}">
            <xm:f>C$4='Data entry'!$BC18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C41:CC41</xm:sqref>
        </x14:conditionalFormatting>
        <x14:conditionalFormatting xmlns:xm="http://schemas.microsoft.com/office/excel/2006/main">
          <x14:cfRule type="expression" priority="1004132" id="{37566F97-6D06-400B-A709-FE657B07687F}">
            <xm:f>$BW$4='Data entry'!#REF!</xm:f>
            <x14:dxf>
              <fill>
                <patternFill>
                  <bgColor rgb="FFFF0000"/>
                </patternFill>
              </fill>
            </x14:dxf>
          </x14:cfRule>
          <xm:sqref>BU43:CC43</xm:sqref>
        </x14:conditionalFormatting>
        <x14:conditionalFormatting xmlns:xm="http://schemas.microsoft.com/office/excel/2006/main">
          <x14:cfRule type="expression" priority="1035925" id="{9165B090-F99B-4063-BE94-F643FCC6AE71}">
            <xm:f>OR(C$4='Data entry'!$S19:$AN19)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C45:CC45</xm:sqref>
        </x14:conditionalFormatting>
        <x14:conditionalFormatting xmlns:xm="http://schemas.microsoft.com/office/excel/2006/main">
          <x14:cfRule type="expression" priority="1035951" id="{33E80F40-2C28-4235-8352-2F9507EB51C7}">
            <xm:f>C$4='Data entry'!$BC19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C44:CC44</xm:sqref>
        </x14:conditionalFormatting>
        <x14:conditionalFormatting xmlns:xm="http://schemas.microsoft.com/office/excel/2006/main">
          <x14:cfRule type="expression" priority="1075222" id="{37566F97-6D06-400B-A709-FE657B07687F}">
            <xm:f>$BW$4='Data entry'!#REF!</xm:f>
            <x14:dxf>
              <fill>
                <patternFill>
                  <bgColor rgb="FFFF0000"/>
                </patternFill>
              </fill>
            </x14:dxf>
          </x14:cfRule>
          <xm:sqref>BU46:CC46</xm:sqref>
        </x14:conditionalFormatting>
        <x14:conditionalFormatting xmlns:xm="http://schemas.microsoft.com/office/excel/2006/main">
          <x14:cfRule type="expression" priority="1106919" id="{9165B090-F99B-4063-BE94-F643FCC6AE71}">
            <xm:f>OR(C$4='Data entry'!$S20:$AN20)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C48:CC48</xm:sqref>
        </x14:conditionalFormatting>
        <x14:conditionalFormatting xmlns:xm="http://schemas.microsoft.com/office/excel/2006/main">
          <x14:cfRule type="expression" priority="1106944" id="{33E80F40-2C28-4235-8352-2F9507EB51C7}">
            <xm:f>C$4='Data entry'!$BC20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C47:CC47</xm:sqref>
        </x14:conditionalFormatting>
        <x14:conditionalFormatting xmlns:xm="http://schemas.microsoft.com/office/excel/2006/main">
          <x14:cfRule type="expression" priority="1146096" id="{37566F97-6D06-400B-A709-FE657B07687F}">
            <xm:f>$BW$4='Data entry'!#REF!</xm:f>
            <x14:dxf>
              <fill>
                <patternFill>
                  <bgColor rgb="FFFF0000"/>
                </patternFill>
              </fill>
            </x14:dxf>
          </x14:cfRule>
          <xm:sqref>BU49:CC49</xm:sqref>
        </x14:conditionalFormatting>
        <x14:conditionalFormatting xmlns:xm="http://schemas.microsoft.com/office/excel/2006/main">
          <x14:cfRule type="expression" priority="1177697" id="{9165B090-F99B-4063-BE94-F643FCC6AE71}">
            <xm:f>OR(C$4='Data entry'!$S21:$AN21)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C51:CC51</xm:sqref>
        </x14:conditionalFormatting>
        <x14:conditionalFormatting xmlns:xm="http://schemas.microsoft.com/office/excel/2006/main">
          <x14:cfRule type="expression" priority="1177721" id="{33E80F40-2C28-4235-8352-2F9507EB51C7}">
            <xm:f>C$4='Data entry'!$BC21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C50:CC50</xm:sqref>
        </x14:conditionalFormatting>
        <x14:conditionalFormatting xmlns:xm="http://schemas.microsoft.com/office/excel/2006/main">
          <x14:cfRule type="expression" priority="1216754" id="{37566F97-6D06-400B-A709-FE657B07687F}">
            <xm:f>$BW$4='Data entry'!#REF!</xm:f>
            <x14:dxf>
              <fill>
                <patternFill>
                  <bgColor rgb="FFFF0000"/>
                </patternFill>
              </fill>
            </x14:dxf>
          </x14:cfRule>
          <xm:sqref>BU52:CC52</xm:sqref>
        </x14:conditionalFormatting>
        <x14:conditionalFormatting xmlns:xm="http://schemas.microsoft.com/office/excel/2006/main">
          <x14:cfRule type="expression" priority="1248259" id="{9165B090-F99B-4063-BE94-F643FCC6AE71}">
            <xm:f>OR(C$4='Data entry'!$S22:$AN22)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C54:CC54</xm:sqref>
        </x14:conditionalFormatting>
        <x14:conditionalFormatting xmlns:xm="http://schemas.microsoft.com/office/excel/2006/main">
          <x14:cfRule type="expression" priority="1248282" id="{33E80F40-2C28-4235-8352-2F9507EB51C7}">
            <xm:f>C$4='Data entry'!$BC22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C53:CC53</xm:sqref>
        </x14:conditionalFormatting>
        <x14:conditionalFormatting xmlns:xm="http://schemas.microsoft.com/office/excel/2006/main">
          <x14:cfRule type="expression" priority="1287196" id="{37566F97-6D06-400B-A709-FE657B07687F}">
            <xm:f>$BW$4='Data entry'!#REF!</xm:f>
            <x14:dxf>
              <fill>
                <patternFill>
                  <bgColor rgb="FFFF0000"/>
                </patternFill>
              </fill>
            </x14:dxf>
          </x14:cfRule>
          <xm:sqref>BU55:CC55</xm:sqref>
        </x14:conditionalFormatting>
        <x14:conditionalFormatting xmlns:xm="http://schemas.microsoft.com/office/excel/2006/main">
          <x14:cfRule type="expression" priority="1318605" id="{9165B090-F99B-4063-BE94-F643FCC6AE71}">
            <xm:f>OR(C$4='Data entry'!$S23:$AN23)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C57:CC57</xm:sqref>
        </x14:conditionalFormatting>
        <x14:conditionalFormatting xmlns:xm="http://schemas.microsoft.com/office/excel/2006/main">
          <x14:cfRule type="expression" priority="1318627" id="{33E80F40-2C28-4235-8352-2F9507EB51C7}">
            <xm:f>C$4='Data entry'!$BC23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C56:CC56</xm:sqref>
        </x14:conditionalFormatting>
        <x14:conditionalFormatting xmlns:xm="http://schemas.microsoft.com/office/excel/2006/main">
          <x14:cfRule type="expression" priority="1357422" id="{37566F97-6D06-400B-A709-FE657B07687F}">
            <xm:f>$BW$4='Data entry'!#REF!</xm:f>
            <x14:dxf>
              <fill>
                <patternFill>
                  <bgColor rgb="FFFF0000"/>
                </patternFill>
              </fill>
            </x14:dxf>
          </x14:cfRule>
          <xm:sqref>BU58:CC58</xm:sqref>
        </x14:conditionalFormatting>
        <x14:conditionalFormatting xmlns:xm="http://schemas.microsoft.com/office/excel/2006/main">
          <x14:cfRule type="expression" priority="1388735" id="{9165B090-F99B-4063-BE94-F643FCC6AE71}">
            <xm:f>OR(C$4='Data entry'!$S24:$AN24)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C60:CC60</xm:sqref>
        </x14:conditionalFormatting>
        <x14:conditionalFormatting xmlns:xm="http://schemas.microsoft.com/office/excel/2006/main">
          <x14:cfRule type="expression" priority="1388756" id="{33E80F40-2C28-4235-8352-2F9507EB51C7}">
            <xm:f>C$4='Data entry'!$BC24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C59:CC59</xm:sqref>
        </x14:conditionalFormatting>
        <x14:conditionalFormatting xmlns:xm="http://schemas.microsoft.com/office/excel/2006/main">
          <x14:cfRule type="expression" priority="1427432" id="{37566F97-6D06-400B-A709-FE657B07687F}">
            <xm:f>$BW$4='Data entry'!#REF!</xm:f>
            <x14:dxf>
              <fill>
                <patternFill>
                  <bgColor rgb="FFFF0000"/>
                </patternFill>
              </fill>
            </x14:dxf>
          </x14:cfRule>
          <xm:sqref>BU61:CC61</xm:sqref>
        </x14:conditionalFormatting>
        <x14:conditionalFormatting xmlns:xm="http://schemas.microsoft.com/office/excel/2006/main">
          <x14:cfRule type="expression" priority="1458649" id="{9165B090-F99B-4063-BE94-F643FCC6AE71}">
            <xm:f>OR(C$4='Data entry'!$S25:$AN25)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C63:CC63</xm:sqref>
        </x14:conditionalFormatting>
        <x14:conditionalFormatting xmlns:xm="http://schemas.microsoft.com/office/excel/2006/main">
          <x14:cfRule type="expression" priority="1458669" id="{33E80F40-2C28-4235-8352-2F9507EB51C7}">
            <xm:f>C$4='Data entry'!$BC25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C62:CC62</xm:sqref>
        </x14:conditionalFormatting>
        <x14:conditionalFormatting xmlns:xm="http://schemas.microsoft.com/office/excel/2006/main">
          <x14:cfRule type="expression" priority="1497226" id="{37566F97-6D06-400B-A709-FE657B07687F}">
            <xm:f>$BW$4='Data entry'!#REF!</xm:f>
            <x14:dxf>
              <fill>
                <patternFill>
                  <bgColor rgb="FFFF0000"/>
                </patternFill>
              </fill>
            </x14:dxf>
          </x14:cfRule>
          <xm:sqref>BU64:CC64</xm:sqref>
        </x14:conditionalFormatting>
        <x14:conditionalFormatting xmlns:xm="http://schemas.microsoft.com/office/excel/2006/main">
          <x14:cfRule type="expression" priority="1528347" id="{9165B090-F99B-4063-BE94-F643FCC6AE71}">
            <xm:f>OR(C$4='Data entry'!$S26:$AN26)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C66:CC66</xm:sqref>
        </x14:conditionalFormatting>
        <x14:conditionalFormatting xmlns:xm="http://schemas.microsoft.com/office/excel/2006/main">
          <x14:cfRule type="expression" priority="1528366" id="{33E80F40-2C28-4235-8352-2F9507EB51C7}">
            <xm:f>C$4='Data entry'!$BC26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C65:CC65</xm:sqref>
        </x14:conditionalFormatting>
        <x14:conditionalFormatting xmlns:xm="http://schemas.microsoft.com/office/excel/2006/main">
          <x14:cfRule type="expression" priority="1566804" id="{37566F97-6D06-400B-A709-FE657B07687F}">
            <xm:f>$BW$4='Data entry'!#REF!</xm:f>
            <x14:dxf>
              <fill>
                <patternFill>
                  <bgColor rgb="FFFF0000"/>
                </patternFill>
              </fill>
            </x14:dxf>
          </x14:cfRule>
          <xm:sqref>BU67:CC67</xm:sqref>
        </x14:conditionalFormatting>
        <x14:conditionalFormatting xmlns:xm="http://schemas.microsoft.com/office/excel/2006/main">
          <x14:cfRule type="expression" priority="1597829" id="{9165B090-F99B-4063-BE94-F643FCC6AE71}">
            <xm:f>OR(C$4='Data entry'!$S27:$AN27)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C69:CC69</xm:sqref>
        </x14:conditionalFormatting>
        <x14:conditionalFormatting xmlns:xm="http://schemas.microsoft.com/office/excel/2006/main">
          <x14:cfRule type="expression" priority="1597847" id="{33E80F40-2C28-4235-8352-2F9507EB51C7}">
            <xm:f>C$4='Data entry'!$BC27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C68:CC68</xm:sqref>
        </x14:conditionalFormatting>
        <x14:conditionalFormatting xmlns:xm="http://schemas.microsoft.com/office/excel/2006/main">
          <x14:cfRule type="expression" priority="1636166" id="{37566F97-6D06-400B-A709-FE657B07687F}">
            <xm:f>$BW$4='Data entry'!#REF!</xm:f>
            <x14:dxf>
              <fill>
                <patternFill>
                  <bgColor rgb="FFFF0000"/>
                </patternFill>
              </fill>
            </x14:dxf>
          </x14:cfRule>
          <xm:sqref>BU70:CC70</xm:sqref>
        </x14:conditionalFormatting>
        <x14:conditionalFormatting xmlns:xm="http://schemas.microsoft.com/office/excel/2006/main">
          <x14:cfRule type="expression" priority="1667095" id="{9165B090-F99B-4063-BE94-F643FCC6AE71}">
            <xm:f>OR(C$4='Data entry'!$S28:$AN28)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C72:CC72</xm:sqref>
        </x14:conditionalFormatting>
        <x14:conditionalFormatting xmlns:xm="http://schemas.microsoft.com/office/excel/2006/main">
          <x14:cfRule type="expression" priority="1667112" id="{33E80F40-2C28-4235-8352-2F9507EB51C7}">
            <xm:f>C$4='Data entry'!$BC28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C71:CC71</xm:sqref>
        </x14:conditionalFormatting>
        <x14:conditionalFormatting xmlns:xm="http://schemas.microsoft.com/office/excel/2006/main">
          <x14:cfRule type="expression" priority="1705312" id="{37566F97-6D06-400B-A709-FE657B07687F}">
            <xm:f>$BW$4='Data entry'!#REF!</xm:f>
            <x14:dxf>
              <fill>
                <patternFill>
                  <bgColor rgb="FFFF0000"/>
                </patternFill>
              </fill>
            </x14:dxf>
          </x14:cfRule>
          <xm:sqref>BU73:CC73</xm:sqref>
        </x14:conditionalFormatting>
        <x14:conditionalFormatting xmlns:xm="http://schemas.microsoft.com/office/excel/2006/main">
          <x14:cfRule type="expression" priority="1736145" id="{9165B090-F99B-4063-BE94-F643FCC6AE71}">
            <xm:f>OR(C$4='Data entry'!$S29:$AN29)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C75:CC75</xm:sqref>
        </x14:conditionalFormatting>
        <x14:conditionalFormatting xmlns:xm="http://schemas.microsoft.com/office/excel/2006/main">
          <x14:cfRule type="expression" priority="1736161" id="{33E80F40-2C28-4235-8352-2F9507EB51C7}">
            <xm:f>C$4='Data entry'!$BC29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C74:CC74</xm:sqref>
        </x14:conditionalFormatting>
        <x14:conditionalFormatting xmlns:xm="http://schemas.microsoft.com/office/excel/2006/main">
          <x14:cfRule type="expression" priority="1774242" id="{37566F97-6D06-400B-A709-FE657B07687F}">
            <xm:f>$BW$4='Data entry'!#REF!</xm:f>
            <x14:dxf>
              <fill>
                <patternFill>
                  <bgColor rgb="FFFF0000"/>
                </patternFill>
              </fill>
            </x14:dxf>
          </x14:cfRule>
          <xm:sqref>BU76:CC76</xm:sqref>
        </x14:conditionalFormatting>
        <x14:conditionalFormatting xmlns:xm="http://schemas.microsoft.com/office/excel/2006/main">
          <x14:cfRule type="expression" priority="1804979" id="{9165B090-F99B-4063-BE94-F643FCC6AE71}">
            <xm:f>OR(C$4='Data entry'!$S30:$AN30)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C78:CC78</xm:sqref>
        </x14:conditionalFormatting>
        <x14:conditionalFormatting xmlns:xm="http://schemas.microsoft.com/office/excel/2006/main">
          <x14:cfRule type="expression" priority="1804994" id="{33E80F40-2C28-4235-8352-2F9507EB51C7}">
            <xm:f>C$4='Data entry'!$BC30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C77:CC77</xm:sqref>
        </x14:conditionalFormatting>
        <x14:conditionalFormatting xmlns:xm="http://schemas.microsoft.com/office/excel/2006/main">
          <x14:cfRule type="expression" priority="1842956" id="{37566F97-6D06-400B-A709-FE657B07687F}">
            <xm:f>$BW$4='Data entry'!#REF!</xm:f>
            <x14:dxf>
              <fill>
                <patternFill>
                  <bgColor rgb="FFFF0000"/>
                </patternFill>
              </fill>
            </x14:dxf>
          </x14:cfRule>
          <xm:sqref>BU79:CC79</xm:sqref>
        </x14:conditionalFormatting>
        <x14:conditionalFormatting xmlns:xm="http://schemas.microsoft.com/office/excel/2006/main">
          <x14:cfRule type="expression" priority="1873597" id="{9165B090-F99B-4063-BE94-F643FCC6AE71}">
            <xm:f>OR(C$4='Data entry'!$S31:$AN31)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C81:CC81</xm:sqref>
        </x14:conditionalFormatting>
        <x14:conditionalFormatting xmlns:xm="http://schemas.microsoft.com/office/excel/2006/main">
          <x14:cfRule type="expression" priority="1873611" id="{33E80F40-2C28-4235-8352-2F9507EB51C7}">
            <xm:f>C$4='Data entry'!$BC31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C80:CC80</xm:sqref>
        </x14:conditionalFormatting>
        <x14:conditionalFormatting xmlns:xm="http://schemas.microsoft.com/office/excel/2006/main">
          <x14:cfRule type="expression" priority="1911454" id="{37566F97-6D06-400B-A709-FE657B07687F}">
            <xm:f>$BW$4='Data entry'!#REF!</xm:f>
            <x14:dxf>
              <fill>
                <patternFill>
                  <bgColor rgb="FFFF0000"/>
                </patternFill>
              </fill>
            </x14:dxf>
          </x14:cfRule>
          <xm:sqref>BU82:CC82</xm:sqref>
        </x14:conditionalFormatting>
        <x14:conditionalFormatting xmlns:xm="http://schemas.microsoft.com/office/excel/2006/main">
          <x14:cfRule type="expression" priority="1941999" id="{9165B090-F99B-4063-BE94-F643FCC6AE71}">
            <xm:f>OR(C$4='Data entry'!$S32:$AN32)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C84:CC84</xm:sqref>
        </x14:conditionalFormatting>
        <x14:conditionalFormatting xmlns:xm="http://schemas.microsoft.com/office/excel/2006/main">
          <x14:cfRule type="expression" priority="1942012" id="{33E80F40-2C28-4235-8352-2F9507EB51C7}">
            <xm:f>C$4='Data entry'!$BC32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C83:CC83</xm:sqref>
        </x14:conditionalFormatting>
        <x14:conditionalFormatting xmlns:xm="http://schemas.microsoft.com/office/excel/2006/main">
          <x14:cfRule type="expression" priority="1979736" id="{37566F97-6D06-400B-A709-FE657B07687F}">
            <xm:f>$BW$4='Data entry'!#REF!</xm:f>
            <x14:dxf>
              <fill>
                <patternFill>
                  <bgColor rgb="FFFF0000"/>
                </patternFill>
              </fill>
            </x14:dxf>
          </x14:cfRule>
          <xm:sqref>BU85:CC85</xm:sqref>
        </x14:conditionalFormatting>
        <x14:conditionalFormatting xmlns:xm="http://schemas.microsoft.com/office/excel/2006/main">
          <x14:cfRule type="expression" priority="2010185" id="{9165B090-F99B-4063-BE94-F643FCC6AE71}">
            <xm:f>OR(C$4='Data entry'!$S33:$AN33)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C87:CC87</xm:sqref>
        </x14:conditionalFormatting>
        <x14:conditionalFormatting xmlns:xm="http://schemas.microsoft.com/office/excel/2006/main">
          <x14:cfRule type="expression" priority="2010197" id="{33E80F40-2C28-4235-8352-2F9507EB51C7}">
            <xm:f>C$4='Data entry'!$BC33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C86:CC86</xm:sqref>
        </x14:conditionalFormatting>
        <x14:conditionalFormatting xmlns:xm="http://schemas.microsoft.com/office/excel/2006/main">
          <x14:cfRule type="expression" priority="2047802" id="{37566F97-6D06-400B-A709-FE657B07687F}">
            <xm:f>$BW$4='Data entry'!#REF!</xm:f>
            <x14:dxf>
              <fill>
                <patternFill>
                  <bgColor rgb="FFFF0000"/>
                </patternFill>
              </fill>
            </x14:dxf>
          </x14:cfRule>
          <xm:sqref>BU88:CC88</xm:sqref>
        </x14:conditionalFormatting>
        <x14:conditionalFormatting xmlns:xm="http://schemas.microsoft.com/office/excel/2006/main">
          <x14:cfRule type="expression" priority="2078155" id="{9165B090-F99B-4063-BE94-F643FCC6AE71}">
            <xm:f>OR(C$4='Data entry'!$S34:$AN34)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C90:CC90</xm:sqref>
        </x14:conditionalFormatting>
        <x14:conditionalFormatting xmlns:xm="http://schemas.microsoft.com/office/excel/2006/main">
          <x14:cfRule type="expression" priority="2078166" id="{33E80F40-2C28-4235-8352-2F9507EB51C7}">
            <xm:f>C$4='Data entry'!$BC34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C89:CC89</xm:sqref>
        </x14:conditionalFormatting>
        <x14:conditionalFormatting xmlns:xm="http://schemas.microsoft.com/office/excel/2006/main">
          <x14:cfRule type="expression" priority="2115652" id="{37566F97-6D06-400B-A709-FE657B07687F}">
            <xm:f>$BW$4='Data entry'!#REF!</xm:f>
            <x14:dxf>
              <fill>
                <patternFill>
                  <bgColor rgb="FFFF0000"/>
                </patternFill>
              </fill>
            </x14:dxf>
          </x14:cfRule>
          <xm:sqref>BU91:CC91</xm:sqref>
        </x14:conditionalFormatting>
        <x14:conditionalFormatting xmlns:xm="http://schemas.microsoft.com/office/excel/2006/main">
          <x14:cfRule type="expression" priority="2145909" id="{9165B090-F99B-4063-BE94-F643FCC6AE71}">
            <xm:f>OR(C$4='Data entry'!$S35:$AN35)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C93:CC93</xm:sqref>
        </x14:conditionalFormatting>
        <x14:conditionalFormatting xmlns:xm="http://schemas.microsoft.com/office/excel/2006/main">
          <x14:cfRule type="expression" priority="2145919" id="{33E80F40-2C28-4235-8352-2F9507EB51C7}">
            <xm:f>C$4='Data entry'!$BC35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C92:CC92</xm:sqref>
        </x14:conditionalFormatting>
        <x14:conditionalFormatting xmlns:xm="http://schemas.microsoft.com/office/excel/2006/main">
          <x14:cfRule type="expression" priority="2183286" id="{37566F97-6D06-400B-A709-FE657B07687F}">
            <xm:f>$BW$4='Data entry'!#REF!</xm:f>
            <x14:dxf>
              <fill>
                <patternFill>
                  <bgColor rgb="FFFF0000"/>
                </patternFill>
              </fill>
            </x14:dxf>
          </x14:cfRule>
          <xm:sqref>BU94:CC94</xm:sqref>
        </x14:conditionalFormatting>
        <x14:conditionalFormatting xmlns:xm="http://schemas.microsoft.com/office/excel/2006/main">
          <x14:cfRule type="expression" priority="2213447" id="{9165B090-F99B-4063-BE94-F643FCC6AE71}">
            <xm:f>OR(C$4='Data entry'!$S36:$AN36)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C96:CC96</xm:sqref>
        </x14:conditionalFormatting>
        <x14:conditionalFormatting xmlns:xm="http://schemas.microsoft.com/office/excel/2006/main">
          <x14:cfRule type="expression" priority="2213456" id="{33E80F40-2C28-4235-8352-2F9507EB51C7}">
            <xm:f>C$4='Data entry'!$BC36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C95:CC95</xm:sqref>
        </x14:conditionalFormatting>
        <x14:conditionalFormatting xmlns:xm="http://schemas.microsoft.com/office/excel/2006/main">
          <x14:cfRule type="expression" priority="2250704" id="{37566F97-6D06-400B-A709-FE657B07687F}">
            <xm:f>$BW$4='Data entry'!#REF!</xm:f>
            <x14:dxf>
              <fill>
                <patternFill>
                  <bgColor rgb="FFFF0000"/>
                </patternFill>
              </fill>
            </x14:dxf>
          </x14:cfRule>
          <xm:sqref>BU97:CC97</xm:sqref>
        </x14:conditionalFormatting>
        <x14:conditionalFormatting xmlns:xm="http://schemas.microsoft.com/office/excel/2006/main">
          <x14:cfRule type="expression" priority="2280769" id="{9165B090-F99B-4063-BE94-F643FCC6AE71}">
            <xm:f>OR(C$4='Data entry'!$S37:$AN37)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C99:CC99</xm:sqref>
        </x14:conditionalFormatting>
        <x14:conditionalFormatting xmlns:xm="http://schemas.microsoft.com/office/excel/2006/main">
          <x14:cfRule type="expression" priority="2280777" id="{33E80F40-2C28-4235-8352-2F9507EB51C7}">
            <xm:f>C$4='Data entry'!$BC37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C98:CC98</xm:sqref>
        </x14:conditionalFormatting>
        <x14:conditionalFormatting xmlns:xm="http://schemas.microsoft.com/office/excel/2006/main">
          <x14:cfRule type="expression" priority="2317906" id="{37566F97-6D06-400B-A709-FE657B07687F}">
            <xm:f>$BW$4='Data entry'!#REF!</xm:f>
            <x14:dxf>
              <fill>
                <patternFill>
                  <bgColor rgb="FFFF0000"/>
                </patternFill>
              </fill>
            </x14:dxf>
          </x14:cfRule>
          <xm:sqref>BU100:CC100</xm:sqref>
        </x14:conditionalFormatting>
        <x14:conditionalFormatting xmlns:xm="http://schemas.microsoft.com/office/excel/2006/main">
          <x14:cfRule type="expression" priority="2347875" id="{9165B090-F99B-4063-BE94-F643FCC6AE71}">
            <xm:f>OR(C$4='Data entry'!$S38:$AN38)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C102:CC102</xm:sqref>
        </x14:conditionalFormatting>
        <x14:conditionalFormatting xmlns:xm="http://schemas.microsoft.com/office/excel/2006/main">
          <x14:cfRule type="expression" priority="2347882" id="{33E80F40-2C28-4235-8352-2F9507EB51C7}">
            <xm:f>C$4='Data entry'!$BC38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C101:CC101</xm:sqref>
        </x14:conditionalFormatting>
        <x14:conditionalFormatting xmlns:xm="http://schemas.microsoft.com/office/excel/2006/main">
          <x14:cfRule type="expression" priority="2384892" id="{37566F97-6D06-400B-A709-FE657B07687F}">
            <xm:f>$BW$4='Data entry'!#REF!</xm:f>
            <x14:dxf>
              <fill>
                <patternFill>
                  <bgColor rgb="FFFF0000"/>
                </patternFill>
              </fill>
            </x14:dxf>
          </x14:cfRule>
          <xm:sqref>BU103:CC103</xm:sqref>
        </x14:conditionalFormatting>
        <x14:conditionalFormatting xmlns:xm="http://schemas.microsoft.com/office/excel/2006/main">
          <x14:cfRule type="expression" priority="2414765" id="{9165B090-F99B-4063-BE94-F643FCC6AE71}">
            <xm:f>OR(C$4='Data entry'!$S39:$AN39)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C105:CC105</xm:sqref>
        </x14:conditionalFormatting>
        <x14:conditionalFormatting xmlns:xm="http://schemas.microsoft.com/office/excel/2006/main">
          <x14:cfRule type="expression" priority="2414771" id="{33E80F40-2C28-4235-8352-2F9507EB51C7}">
            <xm:f>C$4='Data entry'!$BC39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C104:CC104</xm:sqref>
        </x14:conditionalFormatting>
        <x14:conditionalFormatting xmlns:xm="http://schemas.microsoft.com/office/excel/2006/main">
          <x14:cfRule type="expression" priority="2451662" id="{37566F97-6D06-400B-A709-FE657B07687F}">
            <xm:f>$BW$4='Data entry'!#REF!</xm:f>
            <x14:dxf>
              <fill>
                <patternFill>
                  <bgColor rgb="FFFF0000"/>
                </patternFill>
              </fill>
            </x14:dxf>
          </x14:cfRule>
          <xm:sqref>BU106:CC106</xm:sqref>
        </x14:conditionalFormatting>
        <x14:conditionalFormatting xmlns:xm="http://schemas.microsoft.com/office/excel/2006/main">
          <x14:cfRule type="expression" priority="2481439" id="{9165B090-F99B-4063-BE94-F643FCC6AE71}">
            <xm:f>OR(C$4='Data entry'!$S40:$AN40)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C108:CC108</xm:sqref>
        </x14:conditionalFormatting>
        <x14:conditionalFormatting xmlns:xm="http://schemas.microsoft.com/office/excel/2006/main">
          <x14:cfRule type="expression" priority="2481444" id="{33E80F40-2C28-4235-8352-2F9507EB51C7}">
            <xm:f>C$4='Data entry'!$BC40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C107:CC107</xm:sqref>
        </x14:conditionalFormatting>
        <x14:conditionalFormatting xmlns:xm="http://schemas.microsoft.com/office/excel/2006/main">
          <x14:cfRule type="expression" priority="2518216" id="{37566F97-6D06-400B-A709-FE657B07687F}">
            <xm:f>$BW$4='Data entry'!#REF!</xm:f>
            <x14:dxf>
              <fill>
                <patternFill>
                  <bgColor rgb="FFFF0000"/>
                </patternFill>
              </fill>
            </x14:dxf>
          </x14:cfRule>
          <xm:sqref>BU109:CC109</xm:sqref>
        </x14:conditionalFormatting>
        <x14:conditionalFormatting xmlns:xm="http://schemas.microsoft.com/office/excel/2006/main">
          <x14:cfRule type="expression" priority="2547897" id="{9165B090-F99B-4063-BE94-F643FCC6AE71}">
            <xm:f>OR(C$4='Data entry'!$S41:$AN41)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C111:CC111</xm:sqref>
        </x14:conditionalFormatting>
        <x14:conditionalFormatting xmlns:xm="http://schemas.microsoft.com/office/excel/2006/main">
          <x14:cfRule type="expression" priority="2547901" id="{33E80F40-2C28-4235-8352-2F9507EB51C7}">
            <xm:f>C$4='Data entry'!$BC41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C110:CC110</xm:sqref>
        </x14:conditionalFormatting>
        <x14:conditionalFormatting xmlns:xm="http://schemas.microsoft.com/office/excel/2006/main">
          <x14:cfRule type="expression" priority="2584554" id="{37566F97-6D06-400B-A709-FE657B07687F}">
            <xm:f>$BW$4='Data entry'!#REF!</xm:f>
            <x14:dxf>
              <fill>
                <patternFill>
                  <bgColor rgb="FFFF0000"/>
                </patternFill>
              </fill>
            </x14:dxf>
          </x14:cfRule>
          <xm:sqref>BU112:CC112</xm:sqref>
        </x14:conditionalFormatting>
        <x14:conditionalFormatting xmlns:xm="http://schemas.microsoft.com/office/excel/2006/main">
          <x14:cfRule type="expression" priority="2614139" id="{9165B090-F99B-4063-BE94-F643FCC6AE71}">
            <xm:f>OR(C$4='Data entry'!$S42:$AN42)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C114:CC114</xm:sqref>
        </x14:conditionalFormatting>
        <x14:conditionalFormatting xmlns:xm="http://schemas.microsoft.com/office/excel/2006/main">
          <x14:cfRule type="expression" priority="2614142" id="{33E80F40-2C28-4235-8352-2F9507EB51C7}">
            <xm:f>C$4='Data entry'!$BC42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C113:CC113</xm:sqref>
        </x14:conditionalFormatting>
        <x14:conditionalFormatting xmlns:xm="http://schemas.microsoft.com/office/excel/2006/main">
          <x14:cfRule type="expression" priority="2650676" id="{37566F97-6D06-400B-A709-FE657B07687F}">
            <xm:f>$BW$4='Data entry'!#REF!</xm:f>
            <x14:dxf>
              <fill>
                <patternFill>
                  <bgColor rgb="FFFF0000"/>
                </patternFill>
              </fill>
            </x14:dxf>
          </x14:cfRule>
          <xm:sqref>BU115:CC115</xm:sqref>
        </x14:conditionalFormatting>
        <x14:conditionalFormatting xmlns:xm="http://schemas.microsoft.com/office/excel/2006/main">
          <x14:cfRule type="expression" priority="2680165" id="{9165B090-F99B-4063-BE94-F643FCC6AE71}">
            <xm:f>OR(C$4='Data entry'!$S43:$AN43)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C117:CC117</xm:sqref>
        </x14:conditionalFormatting>
        <x14:conditionalFormatting xmlns:xm="http://schemas.microsoft.com/office/excel/2006/main">
          <x14:cfRule type="expression" priority="2680167" id="{33E80F40-2C28-4235-8352-2F9507EB51C7}">
            <xm:f>C$4='Data entry'!$BC43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C116:CC116</xm:sqref>
        </x14:conditionalFormatting>
        <x14:conditionalFormatting xmlns:xm="http://schemas.microsoft.com/office/excel/2006/main">
          <x14:cfRule type="expression" priority="2716582" id="{37566F97-6D06-400B-A709-FE657B07687F}">
            <xm:f>$BW$4='Data entry'!#REF!</xm:f>
            <x14:dxf>
              <fill>
                <patternFill>
                  <bgColor rgb="FFFF0000"/>
                </patternFill>
              </fill>
            </x14:dxf>
          </x14:cfRule>
          <xm:sqref>BU118:CC118</xm:sqref>
        </x14:conditionalFormatting>
        <x14:conditionalFormatting xmlns:xm="http://schemas.microsoft.com/office/excel/2006/main">
          <x14:cfRule type="expression" priority="2745975" id="{9165B090-F99B-4063-BE94-F643FCC6AE71}">
            <xm:f>OR(C$4='Data entry'!$S44:$AN44)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C120:CC120</xm:sqref>
        </x14:conditionalFormatting>
        <x14:conditionalFormatting xmlns:xm="http://schemas.microsoft.com/office/excel/2006/main">
          <x14:cfRule type="expression" priority="2745976" id="{33E80F40-2C28-4235-8352-2F9507EB51C7}">
            <xm:f>C$4='Data entry'!$BC44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C119:CC119</xm:sqref>
        </x14:conditionalFormatting>
        <x14:conditionalFormatting xmlns:xm="http://schemas.microsoft.com/office/excel/2006/main">
          <x14:cfRule type="expression" priority="2782272" id="{37566F97-6D06-400B-A709-FE657B07687F}">
            <xm:f>$BW$4='Data entry'!#REF!</xm:f>
            <x14:dxf>
              <fill>
                <patternFill>
                  <bgColor rgb="FFFF0000"/>
                </patternFill>
              </fill>
            </x14:dxf>
          </x14:cfRule>
          <xm:sqref>BU121:CC121</xm:sqref>
        </x14:conditionalFormatting>
        <x14:conditionalFormatting xmlns:xm="http://schemas.microsoft.com/office/excel/2006/main">
          <x14:cfRule type="expression" priority="2811570" id="{33E80F40-2C28-4235-8352-2F9507EB51C7}">
            <xm:f>C$4='Data entry'!$BC45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C122:CC122</xm:sqref>
        </x14:conditionalFormatting>
        <x14:conditionalFormatting xmlns:xm="http://schemas.microsoft.com/office/excel/2006/main">
          <x14:cfRule type="expression" priority="2847747" id="{37566F97-6D06-400B-A709-FE657B07687F}">
            <xm:f>$BW$4='Data entry'!#REF!</xm:f>
            <x14:dxf>
              <fill>
                <patternFill>
                  <bgColor rgb="FFFF0000"/>
                </patternFill>
              </fill>
            </x14:dxf>
          </x14:cfRule>
          <xm:sqref>BU124:CC124</xm:sqref>
        </x14:conditionalFormatting>
        <x14:conditionalFormatting xmlns:xm="http://schemas.microsoft.com/office/excel/2006/main">
          <x14:cfRule type="expression" priority="2876949" id="{33E80F40-2C28-4235-8352-2F9507EB51C7}">
            <xm:f>C$4='Data entry'!$BC46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C125:CC125</xm:sqref>
        </x14:conditionalFormatting>
        <x14:conditionalFormatting xmlns:xm="http://schemas.microsoft.com/office/excel/2006/main">
          <x14:cfRule type="expression" priority="2913007" id="{37566F97-6D06-400B-A709-FE657B07687F}">
            <xm:f>$BW$4='Data entry'!#REF!</xm:f>
            <x14:dxf>
              <fill>
                <patternFill>
                  <bgColor rgb="FFFF0000"/>
                </patternFill>
              </fill>
            </x14:dxf>
          </x14:cfRule>
          <xm:sqref>BU127:CC127</xm:sqref>
        </x14:conditionalFormatting>
        <x14:conditionalFormatting xmlns:xm="http://schemas.microsoft.com/office/excel/2006/main">
          <x14:cfRule type="expression" priority="2942400" id="{21C78CE9-0B77-4D53-8653-BD5D6E30C938}">
            <xm:f>OR(C$4='Data entry'!$S46:$AN46)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C126:CC126</xm:sqref>
        </x14:conditionalFormatting>
        <x14:conditionalFormatting xmlns:xm="http://schemas.microsoft.com/office/excel/2006/main">
          <x14:cfRule type="expression" priority="2942416" id="{33E80F40-2C28-4235-8352-2F9507EB51C7}">
            <xm:f>C$4='Data entry'!$BC47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C128:CC128</xm:sqref>
        </x14:conditionalFormatting>
        <x14:conditionalFormatting xmlns:xm="http://schemas.microsoft.com/office/excel/2006/main">
          <x14:cfRule type="expression" priority="2978355" id="{37566F97-6D06-400B-A709-FE657B07687F}">
            <xm:f>$BW$4='Data entry'!#REF!</xm:f>
            <x14:dxf>
              <fill>
                <patternFill>
                  <bgColor rgb="FFFF0000"/>
                </patternFill>
              </fill>
            </x14:dxf>
          </x14:cfRule>
          <xm:sqref>BU130:CC130</xm:sqref>
        </x14:conditionalFormatting>
        <x14:conditionalFormatting xmlns:xm="http://schemas.microsoft.com/office/excel/2006/main">
          <x14:cfRule type="expression" priority="3007651" id="{21C78CE9-0B77-4D53-8653-BD5D6E30C938}">
            <xm:f>OR(C$4='Data entry'!$S47:$AN47)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C129:CC129</xm:sqref>
        </x14:conditionalFormatting>
        <x14:conditionalFormatting xmlns:xm="http://schemas.microsoft.com/office/excel/2006/main">
          <x14:cfRule type="expression" priority="3007667" id="{33E80F40-2C28-4235-8352-2F9507EB51C7}">
            <xm:f>C$4='Data entry'!$BC48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C131:CC131</xm:sqref>
        </x14:conditionalFormatting>
        <x14:conditionalFormatting xmlns:xm="http://schemas.microsoft.com/office/excel/2006/main">
          <x14:cfRule type="expression" priority="3043487" id="{37566F97-6D06-400B-A709-FE657B07687F}">
            <xm:f>$BW$4='Data entry'!#REF!</xm:f>
            <x14:dxf>
              <fill>
                <patternFill>
                  <bgColor rgb="FFFF0000"/>
                </patternFill>
              </fill>
            </x14:dxf>
          </x14:cfRule>
          <xm:sqref>BU133:CC133</xm:sqref>
        </x14:conditionalFormatting>
        <x14:conditionalFormatting xmlns:xm="http://schemas.microsoft.com/office/excel/2006/main">
          <x14:cfRule type="expression" priority="3072686" id="{21C78CE9-0B77-4D53-8653-BD5D6E30C938}">
            <xm:f>OR(C$4='Data entry'!$S48:$AN48)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C132:CC132</xm:sqref>
        </x14:conditionalFormatting>
        <x14:conditionalFormatting xmlns:xm="http://schemas.microsoft.com/office/excel/2006/main">
          <x14:cfRule type="expression" priority="3072702" id="{33E80F40-2C28-4235-8352-2F9507EB51C7}">
            <xm:f>C$4='Data entry'!$BC49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C134:CC134</xm:sqref>
        </x14:conditionalFormatting>
        <x14:conditionalFormatting xmlns:xm="http://schemas.microsoft.com/office/excel/2006/main">
          <x14:cfRule type="expression" priority="3108403" id="{37566F97-6D06-400B-A709-FE657B07687F}">
            <xm:f>$BW$4='Data entry'!#REF!</xm:f>
            <x14:dxf>
              <fill>
                <patternFill>
                  <bgColor rgb="FFFF0000"/>
                </patternFill>
              </fill>
            </x14:dxf>
          </x14:cfRule>
          <xm:sqref>BU136:CC136</xm:sqref>
        </x14:conditionalFormatting>
        <x14:conditionalFormatting xmlns:xm="http://schemas.microsoft.com/office/excel/2006/main">
          <x14:cfRule type="expression" priority="3137505" id="{21C78CE9-0B77-4D53-8653-BD5D6E30C938}">
            <xm:f>OR(C$4='Data entry'!$S49:$AN49)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C135:CC135</xm:sqref>
        </x14:conditionalFormatting>
        <x14:conditionalFormatting xmlns:xm="http://schemas.microsoft.com/office/excel/2006/main">
          <x14:cfRule type="expression" priority="3137521" id="{33E80F40-2C28-4235-8352-2F9507EB51C7}">
            <xm:f>C$4='Data entry'!$BC50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C137:CC137</xm:sqref>
        </x14:conditionalFormatting>
        <x14:conditionalFormatting xmlns:xm="http://schemas.microsoft.com/office/excel/2006/main">
          <x14:cfRule type="expression" priority="3173103" id="{37566F97-6D06-400B-A709-FE657B07687F}">
            <xm:f>$BW$4='Data entry'!#REF!</xm:f>
            <x14:dxf>
              <fill>
                <patternFill>
                  <bgColor rgb="FFFF0000"/>
                </patternFill>
              </fill>
            </x14:dxf>
          </x14:cfRule>
          <xm:sqref>BU139:CC139</xm:sqref>
        </x14:conditionalFormatting>
        <x14:conditionalFormatting xmlns:xm="http://schemas.microsoft.com/office/excel/2006/main">
          <x14:cfRule type="expression" priority="3202108" id="{21C78CE9-0B77-4D53-8653-BD5D6E30C938}">
            <xm:f>OR(C$4='Data entry'!$S50:$AN50)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C138:CC138</xm:sqref>
        </x14:conditionalFormatting>
        <x14:conditionalFormatting xmlns:xm="http://schemas.microsoft.com/office/excel/2006/main">
          <x14:cfRule type="expression" priority="3202124" id="{33E80F40-2C28-4235-8352-2F9507EB51C7}">
            <xm:f>C$4='Data entry'!$BC51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C140:CC140</xm:sqref>
        </x14:conditionalFormatting>
        <x14:conditionalFormatting xmlns:xm="http://schemas.microsoft.com/office/excel/2006/main">
          <x14:cfRule type="expression" priority="3237587" id="{37566F97-6D06-400B-A709-FE657B07687F}">
            <xm:f>$BW$4='Data entry'!#REF!</xm:f>
            <x14:dxf>
              <fill>
                <patternFill>
                  <bgColor rgb="FFFF0000"/>
                </patternFill>
              </fill>
            </x14:dxf>
          </x14:cfRule>
          <xm:sqref>BU142:CC142</xm:sqref>
        </x14:conditionalFormatting>
        <x14:conditionalFormatting xmlns:xm="http://schemas.microsoft.com/office/excel/2006/main">
          <x14:cfRule type="expression" priority="3266495" id="{21C78CE9-0B77-4D53-8653-BD5D6E30C938}">
            <xm:f>OR(C$4='Data entry'!$S51:$AN51)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C141:CC141</xm:sqref>
        </x14:conditionalFormatting>
        <x14:conditionalFormatting xmlns:xm="http://schemas.microsoft.com/office/excel/2006/main">
          <x14:cfRule type="expression" priority="3266511" id="{33E80F40-2C28-4235-8352-2F9507EB51C7}">
            <xm:f>C$4='Data entry'!$BC52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C143:CC143</xm:sqref>
        </x14:conditionalFormatting>
        <x14:conditionalFormatting xmlns:xm="http://schemas.microsoft.com/office/excel/2006/main">
          <x14:cfRule type="expression" priority="3301855" id="{37566F97-6D06-400B-A709-FE657B07687F}">
            <xm:f>$BW$4='Data entry'!#REF!</xm:f>
            <x14:dxf>
              <fill>
                <patternFill>
                  <bgColor rgb="FFFF0000"/>
                </patternFill>
              </fill>
            </x14:dxf>
          </x14:cfRule>
          <xm:sqref>BU145:CC145</xm:sqref>
        </x14:conditionalFormatting>
        <x14:conditionalFormatting xmlns:xm="http://schemas.microsoft.com/office/excel/2006/main">
          <x14:cfRule type="expression" priority="3330666" id="{21C78CE9-0B77-4D53-8653-BD5D6E30C938}">
            <xm:f>OR(C$4='Data entry'!$S52:$AN52)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C144:CC144</xm:sqref>
        </x14:conditionalFormatting>
        <x14:conditionalFormatting xmlns:xm="http://schemas.microsoft.com/office/excel/2006/main">
          <x14:cfRule type="expression" priority="3330682" id="{33E80F40-2C28-4235-8352-2F9507EB51C7}">
            <xm:f>C$4='Data entry'!$BC53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C146:CC146</xm:sqref>
        </x14:conditionalFormatting>
        <x14:conditionalFormatting xmlns:xm="http://schemas.microsoft.com/office/excel/2006/main">
          <x14:cfRule type="expression" priority="3365907" id="{37566F97-6D06-400B-A709-FE657B07687F}">
            <xm:f>$BW$4='Data entry'!#REF!</xm:f>
            <x14:dxf>
              <fill>
                <patternFill>
                  <bgColor rgb="FFFF0000"/>
                </patternFill>
              </fill>
            </x14:dxf>
          </x14:cfRule>
          <xm:sqref>BU148:CC148</xm:sqref>
        </x14:conditionalFormatting>
        <x14:conditionalFormatting xmlns:xm="http://schemas.microsoft.com/office/excel/2006/main">
          <x14:cfRule type="expression" priority="3394621" id="{21C78CE9-0B77-4D53-8653-BD5D6E30C938}">
            <xm:f>OR(C$4='Data entry'!$S53:$AN53)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C147:CC147</xm:sqref>
        </x14:conditionalFormatting>
        <x14:conditionalFormatting xmlns:xm="http://schemas.microsoft.com/office/excel/2006/main">
          <x14:cfRule type="expression" priority="3394637" id="{33E80F40-2C28-4235-8352-2F9507EB51C7}">
            <xm:f>C$4='Data entry'!$BC54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C149:CC149</xm:sqref>
        </x14:conditionalFormatting>
        <x14:conditionalFormatting xmlns:xm="http://schemas.microsoft.com/office/excel/2006/main">
          <x14:cfRule type="expression" priority="3429743" id="{37566F97-6D06-400B-A709-FE657B07687F}">
            <xm:f>$BW$4='Data entry'!#REF!</xm:f>
            <x14:dxf>
              <fill>
                <patternFill>
                  <bgColor rgb="FFFF0000"/>
                </patternFill>
              </fill>
            </x14:dxf>
          </x14:cfRule>
          <xm:sqref>BU151:CC151</xm:sqref>
        </x14:conditionalFormatting>
        <x14:conditionalFormatting xmlns:xm="http://schemas.microsoft.com/office/excel/2006/main">
          <x14:cfRule type="expression" priority="3458360" id="{21C78CE9-0B77-4D53-8653-BD5D6E30C938}">
            <xm:f>OR(C$4='Data entry'!$S54:$AN54)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C150:CC150</xm:sqref>
        </x14:conditionalFormatting>
        <x14:conditionalFormatting xmlns:xm="http://schemas.microsoft.com/office/excel/2006/main">
          <x14:cfRule type="expression" priority="3458376" id="{33E80F40-2C28-4235-8352-2F9507EB51C7}">
            <xm:f>C$4='Data entry'!$BC55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C152:CC152</xm:sqref>
        </x14:conditionalFormatting>
        <x14:conditionalFormatting xmlns:xm="http://schemas.microsoft.com/office/excel/2006/main">
          <x14:cfRule type="expression" priority="3493363" id="{37566F97-6D06-400B-A709-FE657B07687F}">
            <xm:f>$BW$4='Data entry'!#REF!</xm:f>
            <x14:dxf>
              <fill>
                <patternFill>
                  <bgColor rgb="FFFF0000"/>
                </patternFill>
              </fill>
            </x14:dxf>
          </x14:cfRule>
          <xm:sqref>BU154:CC154</xm:sqref>
        </x14:conditionalFormatting>
        <x14:conditionalFormatting xmlns:xm="http://schemas.microsoft.com/office/excel/2006/main">
          <x14:cfRule type="expression" priority="3521883" id="{21C78CE9-0B77-4D53-8653-BD5D6E30C938}">
            <xm:f>OR(C$4='Data entry'!$S55:$AN55)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C153:CC153</xm:sqref>
        </x14:conditionalFormatting>
        <x14:conditionalFormatting xmlns:xm="http://schemas.microsoft.com/office/excel/2006/main">
          <x14:cfRule type="expression" priority="3521899" id="{33E80F40-2C28-4235-8352-2F9507EB51C7}">
            <xm:f>C$4='Data entry'!$BC56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C155:CC155</xm:sqref>
        </x14:conditionalFormatting>
        <x14:conditionalFormatting xmlns:xm="http://schemas.microsoft.com/office/excel/2006/main">
          <x14:cfRule type="expression" priority="3556767" id="{37566F97-6D06-400B-A709-FE657B07687F}">
            <xm:f>$BW$4='Data entry'!#REF!</xm:f>
            <x14:dxf>
              <fill>
                <patternFill>
                  <bgColor rgb="FFFF0000"/>
                </patternFill>
              </fill>
            </x14:dxf>
          </x14:cfRule>
          <xm:sqref>BU157:CC157</xm:sqref>
        </x14:conditionalFormatting>
        <x14:conditionalFormatting xmlns:xm="http://schemas.microsoft.com/office/excel/2006/main">
          <x14:cfRule type="expression" priority="3585190" id="{21C78CE9-0B77-4D53-8653-BD5D6E30C938}">
            <xm:f>OR(C$4='Data entry'!$S56:$AN56)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C156:CC156</xm:sqref>
        </x14:conditionalFormatting>
        <x14:conditionalFormatting xmlns:xm="http://schemas.microsoft.com/office/excel/2006/main">
          <x14:cfRule type="expression" priority="3585206" id="{33E80F40-2C28-4235-8352-2F9507EB51C7}">
            <xm:f>C$4='Data entry'!$BC57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C158:CC158</xm:sqref>
        </x14:conditionalFormatting>
        <x14:conditionalFormatting xmlns:xm="http://schemas.microsoft.com/office/excel/2006/main">
          <x14:cfRule type="expression" priority="3619955" id="{37566F97-6D06-400B-A709-FE657B07687F}">
            <xm:f>$BW$4='Data entry'!#REF!</xm:f>
            <x14:dxf>
              <fill>
                <patternFill>
                  <bgColor rgb="FFFF0000"/>
                </patternFill>
              </fill>
            </x14:dxf>
          </x14:cfRule>
          <xm:sqref>BU160:CC160</xm:sqref>
        </x14:conditionalFormatting>
        <x14:conditionalFormatting xmlns:xm="http://schemas.microsoft.com/office/excel/2006/main">
          <x14:cfRule type="expression" priority="3648281" id="{21C78CE9-0B77-4D53-8653-BD5D6E30C938}">
            <xm:f>OR(C$4='Data entry'!$S57:$AN57)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C159:CC159</xm:sqref>
        </x14:conditionalFormatting>
        <x14:conditionalFormatting xmlns:xm="http://schemas.microsoft.com/office/excel/2006/main">
          <x14:cfRule type="expression" priority="3648297" id="{33E80F40-2C28-4235-8352-2F9507EB51C7}">
            <xm:f>C$4='Data entry'!$BC58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C161:CC161</xm:sqref>
        </x14:conditionalFormatting>
        <x14:conditionalFormatting xmlns:xm="http://schemas.microsoft.com/office/excel/2006/main">
          <x14:cfRule type="expression" priority="3682927" id="{37566F97-6D06-400B-A709-FE657B07687F}">
            <xm:f>$BW$4='Data entry'!#REF!</xm:f>
            <x14:dxf>
              <fill>
                <patternFill>
                  <bgColor rgb="FFFF0000"/>
                </patternFill>
              </fill>
            </x14:dxf>
          </x14:cfRule>
          <xm:sqref>BU163:CC163</xm:sqref>
        </x14:conditionalFormatting>
        <x14:conditionalFormatting xmlns:xm="http://schemas.microsoft.com/office/excel/2006/main">
          <x14:cfRule type="expression" priority="3711156" id="{21C78CE9-0B77-4D53-8653-BD5D6E30C938}">
            <xm:f>OR(C$4='Data entry'!$S58:$AN58)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C162:CC162</xm:sqref>
        </x14:conditionalFormatting>
        <x14:conditionalFormatting xmlns:xm="http://schemas.microsoft.com/office/excel/2006/main">
          <x14:cfRule type="expression" priority="3711172" id="{33E80F40-2C28-4235-8352-2F9507EB51C7}">
            <xm:f>C$4='Data entry'!$BC59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C164:CC164</xm:sqref>
        </x14:conditionalFormatting>
        <x14:conditionalFormatting xmlns:xm="http://schemas.microsoft.com/office/excel/2006/main">
          <x14:cfRule type="expression" priority="3745683" id="{37566F97-6D06-400B-A709-FE657B07687F}">
            <xm:f>$BW$4='Data entry'!#REF!</xm:f>
            <x14:dxf>
              <fill>
                <patternFill>
                  <bgColor rgb="FFFF0000"/>
                </patternFill>
              </fill>
            </x14:dxf>
          </x14:cfRule>
          <xm:sqref>BU166:CC166</xm:sqref>
        </x14:conditionalFormatting>
        <x14:conditionalFormatting xmlns:xm="http://schemas.microsoft.com/office/excel/2006/main">
          <x14:cfRule type="expression" priority="3773815" id="{21C78CE9-0B77-4D53-8653-BD5D6E30C938}">
            <xm:f>OR(C$4='Data entry'!$S59:$AN59)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C165:CC165</xm:sqref>
        </x14:conditionalFormatting>
        <x14:conditionalFormatting xmlns:xm="http://schemas.microsoft.com/office/excel/2006/main">
          <x14:cfRule type="expression" priority="3773831" id="{33E80F40-2C28-4235-8352-2F9507EB51C7}">
            <xm:f>C$4='Data entry'!$BC60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C167:CC167</xm:sqref>
        </x14:conditionalFormatting>
        <x14:conditionalFormatting xmlns:xm="http://schemas.microsoft.com/office/excel/2006/main">
          <x14:cfRule type="expression" priority="3808223" id="{37566F97-6D06-400B-A709-FE657B07687F}">
            <xm:f>$BW$4='Data entry'!#REF!</xm:f>
            <x14:dxf>
              <fill>
                <patternFill>
                  <bgColor rgb="FFFF0000"/>
                </patternFill>
              </fill>
            </x14:dxf>
          </x14:cfRule>
          <xm:sqref>BU169:CC169</xm:sqref>
        </x14:conditionalFormatting>
        <x14:conditionalFormatting xmlns:xm="http://schemas.microsoft.com/office/excel/2006/main">
          <x14:cfRule type="expression" priority="3836258" id="{21C78CE9-0B77-4D53-8653-BD5D6E30C938}">
            <xm:f>OR(C$4='Data entry'!$S60:$AN60)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C168:CC168</xm:sqref>
        </x14:conditionalFormatting>
        <x14:conditionalFormatting xmlns:xm="http://schemas.microsoft.com/office/excel/2006/main">
          <x14:cfRule type="expression" priority="3836274" id="{33E80F40-2C28-4235-8352-2F9507EB51C7}">
            <xm:f>C$4='Data entry'!$BC61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C170:CC170</xm:sqref>
        </x14:conditionalFormatting>
        <x14:conditionalFormatting xmlns:xm="http://schemas.microsoft.com/office/excel/2006/main">
          <x14:cfRule type="expression" priority="3870547" id="{37566F97-6D06-400B-A709-FE657B07687F}">
            <xm:f>$BW$4='Data entry'!#REF!</xm:f>
            <x14:dxf>
              <fill>
                <patternFill>
                  <bgColor rgb="FFFF0000"/>
                </patternFill>
              </fill>
            </x14:dxf>
          </x14:cfRule>
          <xm:sqref>BU172:CC172</xm:sqref>
        </x14:conditionalFormatting>
        <x14:conditionalFormatting xmlns:xm="http://schemas.microsoft.com/office/excel/2006/main">
          <x14:cfRule type="expression" priority="3898485" id="{21C78CE9-0B77-4D53-8653-BD5D6E30C938}">
            <xm:f>OR(C$4='Data entry'!$S61:$AN61)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C171:CC171</xm:sqref>
        </x14:conditionalFormatting>
        <x14:conditionalFormatting xmlns:xm="http://schemas.microsoft.com/office/excel/2006/main">
          <x14:cfRule type="expression" priority="3898501" id="{33E80F40-2C28-4235-8352-2F9507EB51C7}">
            <xm:f>C$4='Data entry'!$BC62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C173:CC173</xm:sqref>
        </x14:conditionalFormatting>
        <x14:conditionalFormatting xmlns:xm="http://schemas.microsoft.com/office/excel/2006/main">
          <x14:cfRule type="expression" priority="3932655" id="{37566F97-6D06-400B-A709-FE657B07687F}">
            <xm:f>$BW$4='Data entry'!#REF!</xm:f>
            <x14:dxf>
              <fill>
                <patternFill>
                  <bgColor rgb="FFFF0000"/>
                </patternFill>
              </fill>
            </x14:dxf>
          </x14:cfRule>
          <xm:sqref>BU175:CC175</xm:sqref>
        </x14:conditionalFormatting>
        <x14:conditionalFormatting xmlns:xm="http://schemas.microsoft.com/office/excel/2006/main">
          <x14:cfRule type="expression" priority="3960496" id="{21C78CE9-0B77-4D53-8653-BD5D6E30C938}">
            <xm:f>OR(C$4='Data entry'!$S62:$AN62)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C174:CC174</xm:sqref>
        </x14:conditionalFormatting>
        <x14:conditionalFormatting xmlns:xm="http://schemas.microsoft.com/office/excel/2006/main">
          <x14:cfRule type="expression" priority="3960512" id="{33E80F40-2C28-4235-8352-2F9507EB51C7}">
            <xm:f>C$4='Data entry'!$BC63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C176:CC176</xm:sqref>
        </x14:conditionalFormatting>
        <x14:conditionalFormatting xmlns:xm="http://schemas.microsoft.com/office/excel/2006/main">
          <x14:cfRule type="expression" priority="3994547" id="{37566F97-6D06-400B-A709-FE657B07687F}">
            <xm:f>$BW$4='Data entry'!#REF!</xm:f>
            <x14:dxf>
              <fill>
                <patternFill>
                  <bgColor rgb="FFFF0000"/>
                </patternFill>
              </fill>
            </x14:dxf>
          </x14:cfRule>
          <xm:sqref>BU178:CC178</xm:sqref>
        </x14:conditionalFormatting>
        <x14:conditionalFormatting xmlns:xm="http://schemas.microsoft.com/office/excel/2006/main">
          <x14:cfRule type="expression" priority="4022291" id="{21C78CE9-0B77-4D53-8653-BD5D6E30C938}">
            <xm:f>OR(C$4='Data entry'!$S63:$AN63)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C177:CC177</xm:sqref>
        </x14:conditionalFormatting>
        <x14:conditionalFormatting xmlns:xm="http://schemas.microsoft.com/office/excel/2006/main">
          <x14:cfRule type="expression" priority="4022307" id="{33E80F40-2C28-4235-8352-2F9507EB51C7}">
            <xm:f>C$4='Data entry'!$BC64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C179:CC179</xm:sqref>
        </x14:conditionalFormatting>
        <x14:conditionalFormatting xmlns:xm="http://schemas.microsoft.com/office/excel/2006/main">
          <x14:cfRule type="expression" priority="4056223" id="{37566F97-6D06-400B-A709-FE657B07687F}">
            <xm:f>$BW$4='Data entry'!#REF!</xm:f>
            <x14:dxf>
              <fill>
                <patternFill>
                  <bgColor rgb="FFFF0000"/>
                </patternFill>
              </fill>
            </x14:dxf>
          </x14:cfRule>
          <xm:sqref>BU181:CC181</xm:sqref>
        </x14:conditionalFormatting>
        <x14:conditionalFormatting xmlns:xm="http://schemas.microsoft.com/office/excel/2006/main">
          <x14:cfRule type="expression" priority="4083870" id="{21C78CE9-0B77-4D53-8653-BD5D6E30C938}">
            <xm:f>OR(C$4='Data entry'!$S64:$AN64)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C180:CC180</xm:sqref>
        </x14:conditionalFormatting>
        <x14:conditionalFormatting xmlns:xm="http://schemas.microsoft.com/office/excel/2006/main">
          <x14:cfRule type="expression" priority="4083886" id="{33E80F40-2C28-4235-8352-2F9507EB51C7}">
            <xm:f>C$4='Data entry'!$BC65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C182:CC182</xm:sqref>
        </x14:conditionalFormatting>
        <x14:conditionalFormatting xmlns:xm="http://schemas.microsoft.com/office/excel/2006/main">
          <x14:cfRule type="expression" priority="4117683" id="{37566F97-6D06-400B-A709-FE657B07687F}">
            <xm:f>$BW$4='Data entry'!#REF!</xm:f>
            <x14:dxf>
              <fill>
                <patternFill>
                  <bgColor rgb="FFFF0000"/>
                </patternFill>
              </fill>
            </x14:dxf>
          </x14:cfRule>
          <xm:sqref>BU184:CC184</xm:sqref>
        </x14:conditionalFormatting>
        <x14:conditionalFormatting xmlns:xm="http://schemas.microsoft.com/office/excel/2006/main">
          <x14:cfRule type="expression" priority="4145233" id="{21C78CE9-0B77-4D53-8653-BD5D6E30C938}">
            <xm:f>OR(C$4='Data entry'!$S65:$AN65)</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C183:CC183</xm:sqref>
        </x14:conditionalFormatting>
        <x14:conditionalFormatting xmlns:xm="http://schemas.microsoft.com/office/excel/2006/main">
          <x14:cfRule type="expression" priority="4145249" id="{33E80F40-2C28-4235-8352-2F9507EB51C7}">
            <xm:f>C$4='Data entry'!$BC66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C185:CC185</xm:sqref>
        </x14:conditionalFormatting>
        <x14:conditionalFormatting xmlns:xm="http://schemas.microsoft.com/office/excel/2006/main">
          <x14:cfRule type="expression" priority="4178927" id="{37566F97-6D06-400B-A709-FE657B07687F}">
            <xm:f>$BW$4='Data entry'!#REF!</xm:f>
            <x14:dxf>
              <fill>
                <patternFill>
                  <bgColor rgb="FFFF0000"/>
                </patternFill>
              </fill>
            </x14:dxf>
          </x14:cfRule>
          <xm:sqref>BU187:CC187</xm:sqref>
        </x14:conditionalFormatting>
        <x14:conditionalFormatting xmlns:xm="http://schemas.microsoft.com/office/excel/2006/main">
          <x14:cfRule type="expression" priority="4206380" id="{21C78CE9-0B77-4D53-8653-BD5D6E30C938}">
            <xm:f>OR(C$4='Data entry'!$S66:$AN66)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C186:CC186</xm:sqref>
        </x14:conditionalFormatting>
        <x14:conditionalFormatting xmlns:xm="http://schemas.microsoft.com/office/excel/2006/main">
          <x14:cfRule type="expression" priority="4206396" id="{33E80F40-2C28-4235-8352-2F9507EB51C7}">
            <xm:f>C$4='Data entry'!$BC67</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C188:CC188</xm:sqref>
        </x14:conditionalFormatting>
        <x14:conditionalFormatting xmlns:xm="http://schemas.microsoft.com/office/excel/2006/main">
          <x14:cfRule type="expression" priority="4239955" id="{37566F97-6D06-400B-A709-FE657B07687F}">
            <xm:f>$BW$4='Data entry'!#REF!</xm:f>
            <x14:dxf>
              <fill>
                <patternFill>
                  <bgColor rgb="FFFF0000"/>
                </patternFill>
              </fill>
            </x14:dxf>
          </x14:cfRule>
          <xm:sqref>BU190:CC190</xm:sqref>
        </x14:conditionalFormatting>
        <x14:conditionalFormatting xmlns:xm="http://schemas.microsoft.com/office/excel/2006/main">
          <x14:cfRule type="expression" priority="4267311" id="{21C78CE9-0B77-4D53-8653-BD5D6E30C938}">
            <xm:f>OR(C$4='Data entry'!$S67:$AN67)</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C189:CC189</xm:sqref>
        </x14:conditionalFormatting>
        <x14:conditionalFormatting xmlns:xm="http://schemas.microsoft.com/office/excel/2006/main">
          <x14:cfRule type="expression" priority="4267327" id="{33E80F40-2C28-4235-8352-2F9507EB51C7}">
            <xm:f>C$4='Data entry'!$BC68</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C191:CC191</xm:sqref>
        </x14:conditionalFormatting>
        <x14:conditionalFormatting xmlns:xm="http://schemas.microsoft.com/office/excel/2006/main">
          <x14:cfRule type="expression" priority="4300767" id="{37566F97-6D06-400B-A709-FE657B07687F}">
            <xm:f>$BW$4='Data entry'!#REF!</xm:f>
            <x14:dxf>
              <fill>
                <patternFill>
                  <bgColor rgb="FFFF0000"/>
                </patternFill>
              </fill>
            </x14:dxf>
          </x14:cfRule>
          <xm:sqref>BU193:CC193</xm:sqref>
        </x14:conditionalFormatting>
        <x14:conditionalFormatting xmlns:xm="http://schemas.microsoft.com/office/excel/2006/main">
          <x14:cfRule type="expression" priority="4328026" id="{21C78CE9-0B77-4D53-8653-BD5D6E30C938}">
            <xm:f>OR(C$4='Data entry'!$S68:$AN68)</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C192:CC192</xm:sqref>
        </x14:conditionalFormatting>
        <x14:conditionalFormatting xmlns:xm="http://schemas.microsoft.com/office/excel/2006/main">
          <x14:cfRule type="expression" priority="4328042" id="{33E80F40-2C28-4235-8352-2F9507EB51C7}">
            <xm:f>C$4='Data entry'!$BC69</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C194:CC194</xm:sqref>
        </x14:conditionalFormatting>
        <x14:conditionalFormatting xmlns:xm="http://schemas.microsoft.com/office/excel/2006/main">
          <x14:cfRule type="expression" priority="4361363" id="{37566F97-6D06-400B-A709-FE657B07687F}">
            <xm:f>$BW$4='Data entry'!#REF!</xm:f>
            <x14:dxf>
              <fill>
                <patternFill>
                  <bgColor rgb="FFFF0000"/>
                </patternFill>
              </fill>
            </x14:dxf>
          </x14:cfRule>
          <xm:sqref>BU196:CC196</xm:sqref>
        </x14:conditionalFormatting>
        <x14:conditionalFormatting xmlns:xm="http://schemas.microsoft.com/office/excel/2006/main">
          <x14:cfRule type="expression" priority="4388525" id="{21C78CE9-0B77-4D53-8653-BD5D6E30C938}">
            <xm:f>OR(C$4='Data entry'!$S69:$AN69)</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C195:CC195</xm:sqref>
        </x14:conditionalFormatting>
        <x14:conditionalFormatting xmlns:xm="http://schemas.microsoft.com/office/excel/2006/main">
          <x14:cfRule type="expression" priority="4388541" id="{33E80F40-2C28-4235-8352-2F9507EB51C7}">
            <xm:f>C$4='Data entry'!$BC70</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C197:CC197</xm:sqref>
        </x14:conditionalFormatting>
        <x14:conditionalFormatting xmlns:xm="http://schemas.microsoft.com/office/excel/2006/main">
          <x14:cfRule type="expression" priority="4421743" id="{37566F97-6D06-400B-A709-FE657B07687F}">
            <xm:f>$BW$4='Data entry'!#REF!</xm:f>
            <x14:dxf>
              <fill>
                <patternFill>
                  <bgColor rgb="FFFF0000"/>
                </patternFill>
              </fill>
            </x14:dxf>
          </x14:cfRule>
          <xm:sqref>BU199:CC199</xm:sqref>
        </x14:conditionalFormatting>
        <x14:conditionalFormatting xmlns:xm="http://schemas.microsoft.com/office/excel/2006/main">
          <x14:cfRule type="expression" priority="4448808" id="{21C78CE9-0B77-4D53-8653-BD5D6E30C938}">
            <xm:f>OR(C$4='Data entry'!$S70:$AN70)</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C198:CC198</xm:sqref>
        </x14:conditionalFormatting>
        <x14:conditionalFormatting xmlns:xm="http://schemas.microsoft.com/office/excel/2006/main">
          <x14:cfRule type="expression" priority="4448824" id="{33E80F40-2C28-4235-8352-2F9507EB51C7}">
            <xm:f>C$4='Data entry'!$BC71</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C200:CC200</xm:sqref>
        </x14:conditionalFormatting>
        <x14:conditionalFormatting xmlns:xm="http://schemas.microsoft.com/office/excel/2006/main">
          <x14:cfRule type="expression" priority="4481907" id="{37566F97-6D06-400B-A709-FE657B07687F}">
            <xm:f>$BW$4='Data entry'!#REF!</xm:f>
            <x14:dxf>
              <fill>
                <patternFill>
                  <bgColor rgb="FFFF0000"/>
                </patternFill>
              </fill>
            </x14:dxf>
          </x14:cfRule>
          <xm:sqref>BU202:CC202</xm:sqref>
        </x14:conditionalFormatting>
        <x14:conditionalFormatting xmlns:xm="http://schemas.microsoft.com/office/excel/2006/main">
          <x14:cfRule type="expression" priority="4508875" id="{21C78CE9-0B77-4D53-8653-BD5D6E30C938}">
            <xm:f>OR(C$4='Data entry'!$S71:$AN71)</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C201:CC201</xm:sqref>
        </x14:conditionalFormatting>
        <x14:conditionalFormatting xmlns:xm="http://schemas.microsoft.com/office/excel/2006/main">
          <x14:cfRule type="expression" priority="4508891" id="{33E80F40-2C28-4235-8352-2F9507EB51C7}">
            <xm:f>C$4='Data entry'!$BC72</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C203:CC203</xm:sqref>
        </x14:conditionalFormatting>
        <x14:conditionalFormatting xmlns:xm="http://schemas.microsoft.com/office/excel/2006/main">
          <x14:cfRule type="expression" priority="4541855" id="{37566F97-6D06-400B-A709-FE657B07687F}">
            <xm:f>$BW$4='Data entry'!#REF!</xm:f>
            <x14:dxf>
              <fill>
                <patternFill>
                  <bgColor rgb="FFFF0000"/>
                </patternFill>
              </fill>
            </x14:dxf>
          </x14:cfRule>
          <xm:sqref>BU205:CC205</xm:sqref>
        </x14:conditionalFormatting>
        <x14:conditionalFormatting xmlns:xm="http://schemas.microsoft.com/office/excel/2006/main">
          <x14:cfRule type="expression" priority="4568726" id="{21C78CE9-0B77-4D53-8653-BD5D6E30C938}">
            <xm:f>OR(D$4='Data entry'!$S72:$AN72)</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D204:CC204</xm:sqref>
        </x14:conditionalFormatting>
        <x14:conditionalFormatting xmlns:xm="http://schemas.microsoft.com/office/excel/2006/main">
          <x14:cfRule type="expression" priority="4568742" id="{33E80F40-2C28-4235-8352-2F9507EB51C7}">
            <xm:f>C$4='Data entry'!$BC73</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C206:CC206</xm:sqref>
        </x14:conditionalFormatting>
        <x14:conditionalFormatting xmlns:xm="http://schemas.microsoft.com/office/excel/2006/main">
          <x14:cfRule type="expression" priority="4601587" id="{37566F97-6D06-400B-A709-FE657B07687F}">
            <xm:f>$BW$4='Data entry'!#REF!</xm:f>
            <x14:dxf>
              <fill>
                <patternFill>
                  <bgColor rgb="FFFF0000"/>
                </patternFill>
              </fill>
            </x14:dxf>
          </x14:cfRule>
          <xm:sqref>BU208:CC208</xm:sqref>
        </x14:conditionalFormatting>
        <x14:conditionalFormatting xmlns:xm="http://schemas.microsoft.com/office/excel/2006/main">
          <x14:cfRule type="expression" priority="4628361" id="{21C78CE9-0B77-4D53-8653-BD5D6E30C938}">
            <xm:f>OR(D$4='Data entry'!$S73:$AN73)</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D207:CC207</xm:sqref>
        </x14:conditionalFormatting>
        <x14:conditionalFormatting xmlns:xm="http://schemas.microsoft.com/office/excel/2006/main">
          <x14:cfRule type="expression" priority="4688791" id="{5B0DB825-B7C2-40AC-B7EF-F267F054CFB9}">
            <xm:f>$U$4='Data entry'!$R6</xm:f>
            <x14:dxf>
              <fill>
                <patternFill>
                  <bgColor rgb="FFFF0000"/>
                </patternFill>
              </fill>
            </x14:dxf>
          </x14:cfRule>
          <xm:sqref>S6:AE6</xm:sqref>
        </x14:conditionalFormatting>
        <x14:conditionalFormatting xmlns:xm="http://schemas.microsoft.com/office/excel/2006/main">
          <x14:cfRule type="expression" priority="4688792" id="{18311200-E2BB-400F-B594-3B9A2C6068C2}">
            <xm:f>$V$4='Data entry'!$R6</xm:f>
            <x14:dxf>
              <fill>
                <patternFill>
                  <bgColor rgb="FFFF0000"/>
                </patternFill>
              </fill>
            </x14:dxf>
          </x14:cfRule>
          <xm:sqref>T6:AF6</xm:sqref>
        </x14:conditionalFormatting>
        <x14:conditionalFormatting xmlns:xm="http://schemas.microsoft.com/office/excel/2006/main">
          <x14:cfRule type="expression" priority="4688793" id="{D6DFB621-1A58-4C59-A987-ECAD0EB2D32B}">
            <xm:f>$V$4='Data entry'!$R6</xm:f>
            <x14:dxf>
              <fill>
                <patternFill>
                  <bgColor rgb="FFFFFF00"/>
                </patternFill>
              </fill>
            </x14:dxf>
          </x14:cfRule>
          <xm:sqref>H5:V5</xm:sqref>
        </x14:conditionalFormatting>
        <x14:conditionalFormatting xmlns:xm="http://schemas.microsoft.com/office/excel/2006/main">
          <x14:cfRule type="expression" priority="4688794" id="{5F87A680-DC5F-433D-A779-B7A534ACCDA9}">
            <xm:f>$W$4='Data entry'!$R6</xm:f>
            <x14:dxf>
              <fill>
                <patternFill>
                  <bgColor rgb="FFFF0000"/>
                </patternFill>
              </fill>
            </x14:dxf>
          </x14:cfRule>
          <xm:sqref>U6:AG6</xm:sqref>
        </x14:conditionalFormatting>
        <x14:conditionalFormatting xmlns:xm="http://schemas.microsoft.com/office/excel/2006/main">
          <x14:cfRule type="expression" priority="4688795" id="{964539FF-A92C-4F68-B268-B7157A32678C}">
            <xm:f>$W$4='Data entry'!$R6</xm:f>
            <x14:dxf>
              <fill>
                <patternFill>
                  <bgColor rgb="FFFFFF00"/>
                </patternFill>
              </fill>
            </x14:dxf>
          </x14:cfRule>
          <xm:sqref>I5:W5</xm:sqref>
        </x14:conditionalFormatting>
        <x14:conditionalFormatting xmlns:xm="http://schemas.microsoft.com/office/excel/2006/main">
          <x14:cfRule type="expression" priority="4688796" id="{46C1533A-F090-4A90-9309-3F59EC3FD3B0}">
            <xm:f>$X$4='Data entry'!$R6</xm:f>
            <x14:dxf>
              <fill>
                <patternFill>
                  <bgColor rgb="FFFF0000"/>
                </patternFill>
              </fill>
            </x14:dxf>
          </x14:cfRule>
          <xm:sqref>V6:AH6</xm:sqref>
        </x14:conditionalFormatting>
        <x14:conditionalFormatting xmlns:xm="http://schemas.microsoft.com/office/excel/2006/main">
          <x14:cfRule type="expression" priority="4688797" id="{7C70E81C-DDD4-4D75-933A-4F6A39893184}">
            <xm:f>$X$4='Data entry'!$R6</xm:f>
            <x14:dxf>
              <fill>
                <patternFill>
                  <bgColor rgb="FFFFFF00"/>
                </patternFill>
              </fill>
            </x14:dxf>
          </x14:cfRule>
          <xm:sqref>J5:X5</xm:sqref>
        </x14:conditionalFormatting>
        <x14:conditionalFormatting xmlns:xm="http://schemas.microsoft.com/office/excel/2006/main">
          <x14:cfRule type="expression" priority="4688798" id="{561AF073-0EF8-4B72-A119-40A639C4359D}">
            <xm:f>$Y$4='Data entry'!$R6</xm:f>
            <x14:dxf>
              <fill>
                <patternFill>
                  <bgColor rgb="FFFF0000"/>
                </patternFill>
              </fill>
            </x14:dxf>
          </x14:cfRule>
          <xm:sqref>W6:AI6</xm:sqref>
        </x14:conditionalFormatting>
        <x14:conditionalFormatting xmlns:xm="http://schemas.microsoft.com/office/excel/2006/main">
          <x14:cfRule type="expression" priority="4688799" id="{F242E808-8F07-4A89-9524-7D4C767CE357}">
            <xm:f>$Y$4='Data entry'!$R6</xm:f>
            <x14:dxf>
              <fill>
                <patternFill>
                  <bgColor rgb="FFFFFF00"/>
                </patternFill>
              </fill>
            </x14:dxf>
          </x14:cfRule>
          <xm:sqref>K5:Y5</xm:sqref>
        </x14:conditionalFormatting>
        <x14:conditionalFormatting xmlns:xm="http://schemas.microsoft.com/office/excel/2006/main">
          <x14:cfRule type="expression" priority="4688800" id="{DD601058-982B-4218-BD9D-64BB823C2633}">
            <xm:f>$Z$4='Data entry'!$R6</xm:f>
            <x14:dxf>
              <fill>
                <patternFill>
                  <bgColor rgb="FFFF0000"/>
                </patternFill>
              </fill>
            </x14:dxf>
          </x14:cfRule>
          <xm:sqref>X6:AJ6</xm:sqref>
        </x14:conditionalFormatting>
        <x14:conditionalFormatting xmlns:xm="http://schemas.microsoft.com/office/excel/2006/main">
          <x14:cfRule type="expression" priority="4688801" id="{C9DB141D-79F6-4093-92A3-7BF7A1622985}">
            <xm:f>$Z$4='Data entry'!$R6</xm:f>
            <x14:dxf>
              <fill>
                <patternFill>
                  <bgColor rgb="FFFFFF00"/>
                </patternFill>
              </fill>
            </x14:dxf>
          </x14:cfRule>
          <xm:sqref>L5:Z5</xm:sqref>
        </x14:conditionalFormatting>
        <x14:conditionalFormatting xmlns:xm="http://schemas.microsoft.com/office/excel/2006/main">
          <x14:cfRule type="expression" priority="4688802" id="{710EB8D3-F5C0-4E3C-8214-2D0C4E26F649}">
            <xm:f>$AA$4='Data entry'!$R6</xm:f>
            <x14:dxf>
              <fill>
                <patternFill>
                  <bgColor rgb="FFFF0000"/>
                </patternFill>
              </fill>
            </x14:dxf>
          </x14:cfRule>
          <xm:sqref>Y6:AK6</xm:sqref>
        </x14:conditionalFormatting>
        <x14:conditionalFormatting xmlns:xm="http://schemas.microsoft.com/office/excel/2006/main">
          <x14:cfRule type="expression" priority="4688803" id="{33825D69-C967-4D27-B395-5D44A3083802}">
            <xm:f>$AA$4='Data entry'!$R6</xm:f>
            <x14:dxf>
              <fill>
                <patternFill>
                  <bgColor rgb="FFFFFF00"/>
                </patternFill>
              </fill>
            </x14:dxf>
          </x14:cfRule>
          <xm:sqref>M5:AA5</xm:sqref>
        </x14:conditionalFormatting>
        <x14:conditionalFormatting xmlns:xm="http://schemas.microsoft.com/office/excel/2006/main">
          <x14:cfRule type="expression" priority="4688804" id="{9811A97D-351B-4D32-8754-AF433277E62B}">
            <xm:f>$AB$4='Data entry'!$R6</xm:f>
            <x14:dxf>
              <fill>
                <patternFill>
                  <bgColor rgb="FFFF0000"/>
                </patternFill>
              </fill>
            </x14:dxf>
          </x14:cfRule>
          <xm:sqref>Z6:AL6</xm:sqref>
        </x14:conditionalFormatting>
        <x14:conditionalFormatting xmlns:xm="http://schemas.microsoft.com/office/excel/2006/main">
          <x14:cfRule type="expression" priority="4688805" id="{6DD3E556-C72E-438B-92DA-3096ED1E4178}">
            <xm:f>$AB$4='Data entry'!$R6</xm:f>
            <x14:dxf>
              <fill>
                <patternFill>
                  <bgColor rgb="FFFFFF00"/>
                </patternFill>
              </fill>
            </x14:dxf>
          </x14:cfRule>
          <xm:sqref>N5:AB5</xm:sqref>
        </x14:conditionalFormatting>
        <x14:conditionalFormatting xmlns:xm="http://schemas.microsoft.com/office/excel/2006/main">
          <x14:cfRule type="expression" priority="4688806" id="{C0DF7A1B-D6BC-4371-BD3A-F0708147FA1C}">
            <xm:f>$AC$4='Data entry'!$R6</xm:f>
            <x14:dxf>
              <fill>
                <patternFill>
                  <bgColor rgb="FFFF0000"/>
                </patternFill>
              </fill>
            </x14:dxf>
          </x14:cfRule>
          <xm:sqref>AA6:AM6</xm:sqref>
        </x14:conditionalFormatting>
        <x14:conditionalFormatting xmlns:xm="http://schemas.microsoft.com/office/excel/2006/main">
          <x14:cfRule type="expression" priority="4688807" id="{DB2E1F48-AF0E-41F9-A976-6B1963CA5711}">
            <xm:f>$AC$4='Data entry'!$R6</xm:f>
            <x14:dxf>
              <fill>
                <patternFill>
                  <bgColor rgb="FFFFFF00"/>
                </patternFill>
              </fill>
            </x14:dxf>
          </x14:cfRule>
          <xm:sqref>O5:AC5</xm:sqref>
        </x14:conditionalFormatting>
        <x14:conditionalFormatting xmlns:xm="http://schemas.microsoft.com/office/excel/2006/main">
          <x14:cfRule type="expression" priority="4688808" id="{89909907-F9A9-4AF9-BC1D-304710A43F50}">
            <xm:f>$AD$4='Data entry'!$R6</xm:f>
            <x14:dxf>
              <fill>
                <patternFill>
                  <bgColor rgb="FFFF0000"/>
                </patternFill>
              </fill>
            </x14:dxf>
          </x14:cfRule>
          <xm:sqref>AB6:AN6</xm:sqref>
        </x14:conditionalFormatting>
        <x14:conditionalFormatting xmlns:xm="http://schemas.microsoft.com/office/excel/2006/main">
          <x14:cfRule type="expression" priority="4688809" id="{729676B7-E331-43A4-ACC9-850DCEE76A0E}">
            <xm:f>$AD$4='Data entry'!$R6</xm:f>
            <x14:dxf>
              <fill>
                <patternFill>
                  <bgColor rgb="FFFFFF00"/>
                </patternFill>
              </fill>
            </x14:dxf>
          </x14:cfRule>
          <xm:sqref>P5:AD5</xm:sqref>
        </x14:conditionalFormatting>
        <x14:conditionalFormatting xmlns:xm="http://schemas.microsoft.com/office/excel/2006/main">
          <x14:cfRule type="expression" priority="4688810" id="{00DA2C55-350E-44AA-ABEA-808FABFDA737}">
            <xm:f>$AE$4='Data entry'!$R6</xm:f>
            <x14:dxf>
              <fill>
                <patternFill>
                  <bgColor rgb="FFFF0000"/>
                </patternFill>
              </fill>
            </x14:dxf>
          </x14:cfRule>
          <xm:sqref>AC6:AO6</xm:sqref>
        </x14:conditionalFormatting>
        <x14:conditionalFormatting xmlns:xm="http://schemas.microsoft.com/office/excel/2006/main">
          <x14:cfRule type="expression" priority="4688811" id="{373C95F1-00C1-45E9-B561-5224945BA4A4}">
            <xm:f>$AE$4='Data entry'!$R6</xm:f>
            <x14:dxf>
              <fill>
                <patternFill>
                  <bgColor rgb="FFFFFF00"/>
                </patternFill>
              </fill>
            </x14:dxf>
          </x14:cfRule>
          <xm:sqref>Q5:AE5</xm:sqref>
        </x14:conditionalFormatting>
        <x14:conditionalFormatting xmlns:xm="http://schemas.microsoft.com/office/excel/2006/main">
          <x14:cfRule type="expression" priority="4688812" id="{65E90E74-6BEF-4B00-BD5E-ECACFEBC225A}">
            <xm:f>$AF$4='Data entry'!$R6</xm:f>
            <x14:dxf>
              <fill>
                <patternFill>
                  <bgColor rgb="FFFF0000"/>
                </patternFill>
              </fill>
            </x14:dxf>
          </x14:cfRule>
          <xm:sqref>AD6:AP6</xm:sqref>
        </x14:conditionalFormatting>
        <x14:conditionalFormatting xmlns:xm="http://schemas.microsoft.com/office/excel/2006/main">
          <x14:cfRule type="expression" priority="4688813" id="{56B519D7-E083-4811-B42B-D6CB10D44BB3}">
            <xm:f>$AF$4='Data entry'!$R6</xm:f>
            <x14:dxf>
              <fill>
                <patternFill>
                  <bgColor rgb="FFFFFF00"/>
                </patternFill>
              </fill>
            </x14:dxf>
          </x14:cfRule>
          <xm:sqref>R5:AF5</xm:sqref>
        </x14:conditionalFormatting>
        <x14:conditionalFormatting xmlns:xm="http://schemas.microsoft.com/office/excel/2006/main">
          <x14:cfRule type="expression" priority="4688814" id="{889682B6-BF9B-414B-86B7-1C802156B058}">
            <xm:f>$AG$4='Data entry'!$R6</xm:f>
            <x14:dxf>
              <fill>
                <patternFill>
                  <bgColor rgb="FFFF0000"/>
                </patternFill>
              </fill>
            </x14:dxf>
          </x14:cfRule>
          <xm:sqref>AE6:AQ6</xm:sqref>
        </x14:conditionalFormatting>
        <x14:conditionalFormatting xmlns:xm="http://schemas.microsoft.com/office/excel/2006/main">
          <x14:cfRule type="expression" priority="4688815" id="{19913D88-1940-4CB0-B29C-D46D60833BD5}">
            <xm:f>$AG$4='Data entry'!$R6</xm:f>
            <x14:dxf>
              <fill>
                <patternFill>
                  <bgColor rgb="FFFFFF00"/>
                </patternFill>
              </fill>
            </x14:dxf>
          </x14:cfRule>
          <xm:sqref>S5:AG5</xm:sqref>
        </x14:conditionalFormatting>
        <x14:conditionalFormatting xmlns:xm="http://schemas.microsoft.com/office/excel/2006/main">
          <x14:cfRule type="expression" priority="4688816" id="{3DD7B9A5-18A3-463F-BAD5-9796FC487328}">
            <xm:f>$AH$4='Data entry'!$R6</xm:f>
            <x14:dxf>
              <fill>
                <patternFill>
                  <bgColor rgb="FFFF0000"/>
                </patternFill>
              </fill>
            </x14:dxf>
          </x14:cfRule>
          <xm:sqref>AF6:AR6</xm:sqref>
        </x14:conditionalFormatting>
        <x14:conditionalFormatting xmlns:xm="http://schemas.microsoft.com/office/excel/2006/main">
          <x14:cfRule type="expression" priority="4688817" id="{31005CF4-5608-496E-91EB-F7F505046C80}">
            <xm:f>$AH$4='Data entry'!$R6</xm:f>
            <x14:dxf>
              <fill>
                <patternFill>
                  <bgColor rgb="FFFFFF00"/>
                </patternFill>
              </fill>
            </x14:dxf>
          </x14:cfRule>
          <xm:sqref>T5:AH5</xm:sqref>
        </x14:conditionalFormatting>
        <x14:conditionalFormatting xmlns:xm="http://schemas.microsoft.com/office/excel/2006/main">
          <x14:cfRule type="expression" priority="4688818" id="{CD14F654-5B7A-444F-8FC1-7DD71E76E475}">
            <xm:f>$AI$4='Data entry'!$R6</xm:f>
            <x14:dxf>
              <fill>
                <patternFill>
                  <bgColor rgb="FFFF0000"/>
                </patternFill>
              </fill>
            </x14:dxf>
          </x14:cfRule>
          <xm:sqref>AG6:AS6</xm:sqref>
        </x14:conditionalFormatting>
        <x14:conditionalFormatting xmlns:xm="http://schemas.microsoft.com/office/excel/2006/main">
          <x14:cfRule type="expression" priority="4688819" id="{0E4E448C-6C46-4285-B877-A61A90294385}">
            <xm:f>$AI$4='Data entry'!$R6</xm:f>
            <x14:dxf>
              <fill>
                <patternFill>
                  <bgColor rgb="FFFFFF00"/>
                </patternFill>
              </fill>
            </x14:dxf>
          </x14:cfRule>
          <xm:sqref>U5:AI5</xm:sqref>
        </x14:conditionalFormatting>
        <x14:conditionalFormatting xmlns:xm="http://schemas.microsoft.com/office/excel/2006/main">
          <x14:cfRule type="expression" priority="4688820" id="{B1C1818F-791C-403D-BE73-6F6E9DC6A16D}">
            <xm:f>$AJ$4='Data entry'!$R6</xm:f>
            <x14:dxf>
              <fill>
                <patternFill>
                  <bgColor rgb="FFFF0000"/>
                </patternFill>
              </fill>
            </x14:dxf>
          </x14:cfRule>
          <xm:sqref>AH6:AT6</xm:sqref>
        </x14:conditionalFormatting>
        <x14:conditionalFormatting xmlns:xm="http://schemas.microsoft.com/office/excel/2006/main">
          <x14:cfRule type="expression" priority="4688821" id="{A1237792-221B-431B-B8A7-E9A64DA46D93}">
            <xm:f>$AJ$4='Data entry'!$R6</xm:f>
            <x14:dxf>
              <fill>
                <patternFill>
                  <bgColor rgb="FFFFFF00"/>
                </patternFill>
              </fill>
            </x14:dxf>
          </x14:cfRule>
          <xm:sqref>V5:AJ5</xm:sqref>
        </x14:conditionalFormatting>
        <x14:conditionalFormatting xmlns:xm="http://schemas.microsoft.com/office/excel/2006/main">
          <x14:cfRule type="expression" priority="4688822" id="{617DC2AF-C7A3-4724-8EA3-17DEFEDC8949}">
            <xm:f>$AK$4='Data entry'!$R6</xm:f>
            <x14:dxf>
              <fill>
                <patternFill>
                  <bgColor rgb="FFFF0000"/>
                </patternFill>
              </fill>
            </x14:dxf>
          </x14:cfRule>
          <xm:sqref>AI6:AU6</xm:sqref>
        </x14:conditionalFormatting>
        <x14:conditionalFormatting xmlns:xm="http://schemas.microsoft.com/office/excel/2006/main">
          <x14:cfRule type="expression" priority="4688823" id="{AA72317D-37B1-48EB-A28B-BF2AC8DC4519}">
            <xm:f>$AK$4='Data entry'!$R6</xm:f>
            <x14:dxf>
              <fill>
                <patternFill>
                  <bgColor rgb="FFFFFF00"/>
                </patternFill>
              </fill>
            </x14:dxf>
          </x14:cfRule>
          <xm:sqref>W5:AK5</xm:sqref>
        </x14:conditionalFormatting>
        <x14:conditionalFormatting xmlns:xm="http://schemas.microsoft.com/office/excel/2006/main">
          <x14:cfRule type="expression" priority="4688824" id="{6CA9FB7A-20EA-4D3A-B74C-A001F4BE810D}">
            <xm:f>$AL$4='Data entry'!$R6</xm:f>
            <x14:dxf>
              <fill>
                <patternFill>
                  <bgColor rgb="FFFF0000"/>
                </patternFill>
              </fill>
            </x14:dxf>
          </x14:cfRule>
          <xm:sqref>AJ6:AV6</xm:sqref>
        </x14:conditionalFormatting>
        <x14:conditionalFormatting xmlns:xm="http://schemas.microsoft.com/office/excel/2006/main">
          <x14:cfRule type="expression" priority="4688825" id="{81A75DAA-573F-4EF3-A640-1B992C18BEA0}">
            <xm:f>$AL$4='Data entry'!$R6</xm:f>
            <x14:dxf>
              <fill>
                <patternFill>
                  <bgColor rgb="FFFFFF00"/>
                </patternFill>
              </fill>
            </x14:dxf>
          </x14:cfRule>
          <xm:sqref>X5:AL5</xm:sqref>
        </x14:conditionalFormatting>
        <x14:conditionalFormatting xmlns:xm="http://schemas.microsoft.com/office/excel/2006/main">
          <x14:cfRule type="expression" priority="4688826" id="{3D44713E-4ABA-4CCD-9DF4-5513A9FB5E1E}">
            <xm:f>$AM$4='Data entry'!$R6</xm:f>
            <x14:dxf>
              <fill>
                <patternFill>
                  <bgColor rgb="FFFF0000"/>
                </patternFill>
              </fill>
            </x14:dxf>
          </x14:cfRule>
          <xm:sqref>AK6:AW6</xm:sqref>
        </x14:conditionalFormatting>
        <x14:conditionalFormatting xmlns:xm="http://schemas.microsoft.com/office/excel/2006/main">
          <x14:cfRule type="expression" priority="4688827" id="{05A26B51-72A7-4423-822F-2BDBC28275D0}">
            <xm:f>$AM$4='Data entry'!$R6</xm:f>
            <x14:dxf>
              <fill>
                <patternFill>
                  <bgColor rgb="FFFFFF00"/>
                </patternFill>
              </fill>
            </x14:dxf>
          </x14:cfRule>
          <xm:sqref>Y5:AM5</xm:sqref>
        </x14:conditionalFormatting>
        <x14:conditionalFormatting xmlns:xm="http://schemas.microsoft.com/office/excel/2006/main">
          <x14:cfRule type="expression" priority="4688828" id="{B8A20675-6230-4694-A7F6-6B3DC7142773}">
            <xm:f>$AN$4='Data entry'!$R6</xm:f>
            <x14:dxf>
              <fill>
                <patternFill>
                  <bgColor rgb="FFFF0000"/>
                </patternFill>
              </fill>
            </x14:dxf>
          </x14:cfRule>
          <xm:sqref>AL6:AX6</xm:sqref>
        </x14:conditionalFormatting>
        <x14:conditionalFormatting xmlns:xm="http://schemas.microsoft.com/office/excel/2006/main">
          <x14:cfRule type="expression" priority="4688829" id="{8421181C-7450-42E9-BC1D-065CCFCA960E}">
            <xm:f>$AN$4='Data entry'!$R6</xm:f>
            <x14:dxf>
              <fill>
                <patternFill>
                  <bgColor rgb="FFFFFF00"/>
                </patternFill>
              </fill>
            </x14:dxf>
          </x14:cfRule>
          <xm:sqref>Z5:AN5</xm:sqref>
        </x14:conditionalFormatting>
        <x14:conditionalFormatting xmlns:xm="http://schemas.microsoft.com/office/excel/2006/main">
          <x14:cfRule type="expression" priority="4688830" id="{067FE4BD-6EF4-4684-B6E0-35AB2F267EE7}">
            <xm:f>$AO$4='Data entry'!$R6</xm:f>
            <x14:dxf>
              <fill>
                <patternFill>
                  <bgColor rgb="FFFF0000"/>
                </patternFill>
              </fill>
            </x14:dxf>
          </x14:cfRule>
          <xm:sqref>AM6:AY6</xm:sqref>
        </x14:conditionalFormatting>
        <x14:conditionalFormatting xmlns:xm="http://schemas.microsoft.com/office/excel/2006/main">
          <x14:cfRule type="expression" priority="4688831" id="{F7653492-88D1-47AC-8BA3-0CCE65C3C2AB}">
            <xm:f>$AO$4='Data entry'!$R6</xm:f>
            <x14:dxf>
              <fill>
                <patternFill>
                  <bgColor rgb="FFFFFF00"/>
                </patternFill>
              </fill>
            </x14:dxf>
          </x14:cfRule>
          <xm:sqref>AA5:AO5</xm:sqref>
        </x14:conditionalFormatting>
        <x14:conditionalFormatting xmlns:xm="http://schemas.microsoft.com/office/excel/2006/main">
          <x14:cfRule type="expression" priority="4688832" id="{207A5E5D-B322-482E-9193-1D7318138358}">
            <xm:f>$AP$4='Data entry'!$R6</xm:f>
            <x14:dxf>
              <fill>
                <patternFill>
                  <bgColor rgb="FFFF0000"/>
                </patternFill>
              </fill>
            </x14:dxf>
          </x14:cfRule>
          <xm:sqref>AN6:AZ6</xm:sqref>
        </x14:conditionalFormatting>
        <x14:conditionalFormatting xmlns:xm="http://schemas.microsoft.com/office/excel/2006/main">
          <x14:cfRule type="expression" priority="4688833" id="{21DA638D-4CA0-4067-BFF1-240CE1A0261B}">
            <xm:f>$AP$4='Data entry'!$R6</xm:f>
            <x14:dxf>
              <fill>
                <patternFill>
                  <bgColor rgb="FFFFFF00"/>
                </patternFill>
              </fill>
            </x14:dxf>
          </x14:cfRule>
          <xm:sqref>AB5:AP5</xm:sqref>
        </x14:conditionalFormatting>
        <x14:conditionalFormatting xmlns:xm="http://schemas.microsoft.com/office/excel/2006/main">
          <x14:cfRule type="expression" priority="4688834" id="{71963D96-A42A-4B90-BFC7-6D83D37766EF}">
            <xm:f>$AQ$4='Data entry'!$R6</xm:f>
            <x14:dxf>
              <fill>
                <patternFill>
                  <bgColor rgb="FFFF0000"/>
                </patternFill>
              </fill>
            </x14:dxf>
          </x14:cfRule>
          <xm:sqref>AO6:BA6</xm:sqref>
        </x14:conditionalFormatting>
        <x14:conditionalFormatting xmlns:xm="http://schemas.microsoft.com/office/excel/2006/main">
          <x14:cfRule type="expression" priority="4688835" id="{74952595-84B6-484F-8FF6-FCC1F337DF4D}">
            <xm:f>$AQ$4='Data entry'!$R6</xm:f>
            <x14:dxf>
              <fill>
                <patternFill>
                  <bgColor rgb="FFFFFF00"/>
                </patternFill>
              </fill>
            </x14:dxf>
          </x14:cfRule>
          <xm:sqref>AC5:AQ5</xm:sqref>
        </x14:conditionalFormatting>
        <x14:conditionalFormatting xmlns:xm="http://schemas.microsoft.com/office/excel/2006/main">
          <x14:cfRule type="expression" priority="4688836" id="{8AC9C4B9-0A34-4BC0-B0F7-CA89434C4911}">
            <xm:f>$P$4='Data entry'!$R6</xm:f>
            <x14:dxf>
              <fill>
                <patternFill>
                  <bgColor rgb="FFFFFF00"/>
                </patternFill>
              </fill>
            </x14:dxf>
          </x14:cfRule>
          <xm:sqref>C5:P5</xm:sqref>
        </x14:conditionalFormatting>
        <x14:conditionalFormatting xmlns:xm="http://schemas.microsoft.com/office/excel/2006/main">
          <x14:cfRule type="expression" priority="4688837" id="{0A726775-ABFD-4F22-967C-1A4D87BA3751}">
            <xm:f>$Q$4='Data entry'!$R6</xm:f>
            <x14:dxf>
              <fill>
                <patternFill>
                  <bgColor rgb="FFFFFF00"/>
                </patternFill>
              </fill>
            </x14:dxf>
          </x14:cfRule>
          <xm:sqref>C5:Q5</xm:sqref>
        </x14:conditionalFormatting>
        <x14:conditionalFormatting xmlns:xm="http://schemas.microsoft.com/office/excel/2006/main">
          <x14:cfRule type="expression" priority="4688838" id="{3A8414BD-262C-43B5-86EE-FA6901D00453}">
            <xm:f>$Q$4='Data entry'!$R6</xm:f>
            <x14:dxf>
              <fill>
                <patternFill>
                  <bgColor rgb="FFFF0000"/>
                </patternFill>
              </fill>
            </x14:dxf>
          </x14:cfRule>
          <xm:sqref>O6:AA6</xm:sqref>
        </x14:conditionalFormatting>
        <x14:conditionalFormatting xmlns:xm="http://schemas.microsoft.com/office/excel/2006/main">
          <x14:cfRule type="expression" priority="4688839" id="{B8B5501D-F3EF-4449-9306-F652960C65F4}">
            <xm:f>$R$4='Data entry'!$R6</xm:f>
            <x14:dxf>
              <fill>
                <patternFill>
                  <bgColor rgb="FFFF0000"/>
                </patternFill>
              </fill>
            </x14:dxf>
          </x14:cfRule>
          <xm:sqref>P6:AB6</xm:sqref>
        </x14:conditionalFormatting>
        <x14:conditionalFormatting xmlns:xm="http://schemas.microsoft.com/office/excel/2006/main">
          <x14:cfRule type="expression" priority="4688840" id="{5D070DEC-B82E-4D87-B907-A3E5AB836991}">
            <xm:f>$R$4='Data entry'!$R6</xm:f>
            <x14:dxf>
              <fill>
                <patternFill>
                  <bgColor rgb="FFFFFF00"/>
                </patternFill>
              </fill>
            </x14:dxf>
          </x14:cfRule>
          <xm:sqref>D5:R5</xm:sqref>
        </x14:conditionalFormatting>
        <x14:conditionalFormatting xmlns:xm="http://schemas.microsoft.com/office/excel/2006/main">
          <x14:cfRule type="expression" priority="4688841" id="{E4D16A10-F818-4664-9FB2-F0E839824D4B}">
            <xm:f>$S$4='Data entry'!$R6</xm:f>
            <x14:dxf>
              <fill>
                <patternFill>
                  <bgColor rgb="FFFF0000"/>
                </patternFill>
              </fill>
            </x14:dxf>
          </x14:cfRule>
          <xm:sqref>Q6:AC6</xm:sqref>
        </x14:conditionalFormatting>
        <x14:conditionalFormatting xmlns:xm="http://schemas.microsoft.com/office/excel/2006/main">
          <x14:cfRule type="expression" priority="4688842" id="{1A9F9911-A3E9-4730-AFBE-AB8C596545CA}">
            <xm:f>$S$4='Data entry'!$R6</xm:f>
            <x14:dxf>
              <fill>
                <patternFill>
                  <bgColor rgb="FFFFFF00"/>
                </patternFill>
              </fill>
            </x14:dxf>
          </x14:cfRule>
          <xm:sqref>E5:S5</xm:sqref>
        </x14:conditionalFormatting>
        <x14:conditionalFormatting xmlns:xm="http://schemas.microsoft.com/office/excel/2006/main">
          <x14:cfRule type="expression" priority="4688843" id="{8BB5CD1B-B2AC-442A-9550-26DE19A62D22}">
            <xm:f>$T$4='Data entry'!$R6</xm:f>
            <x14:dxf>
              <fill>
                <patternFill>
                  <bgColor rgb="FFFF0000"/>
                </patternFill>
              </fill>
            </x14:dxf>
          </x14:cfRule>
          <xm:sqref>R6:AD6</xm:sqref>
        </x14:conditionalFormatting>
        <x14:conditionalFormatting xmlns:xm="http://schemas.microsoft.com/office/excel/2006/main">
          <x14:cfRule type="expression" priority="4688844" id="{E7B59C69-7921-4049-84A1-8B3E5F7B0598}">
            <xm:f>$T$4='Data entry'!$R6</xm:f>
            <x14:dxf>
              <fill>
                <patternFill>
                  <bgColor rgb="FFFFFF00"/>
                </patternFill>
              </fill>
            </x14:dxf>
          </x14:cfRule>
          <xm:sqref>F5:T5</xm:sqref>
        </x14:conditionalFormatting>
        <x14:conditionalFormatting xmlns:xm="http://schemas.microsoft.com/office/excel/2006/main">
          <x14:cfRule type="expression" priority="4688845" id="{238C09E5-7A3D-439D-949F-A7733073F9A2}">
            <xm:f>$U$4='Data entry'!$R6</xm:f>
            <x14:dxf>
              <fill>
                <patternFill>
                  <bgColor rgb="FFFFFF00"/>
                </patternFill>
              </fill>
            </x14:dxf>
          </x14:cfRule>
          <xm:sqref>G5:U5</xm:sqref>
        </x14:conditionalFormatting>
        <x14:conditionalFormatting xmlns:xm="http://schemas.microsoft.com/office/excel/2006/main">
          <x14:cfRule type="expression" priority="4688846" id="{DE4D4432-0A19-452A-AF14-2873FE4DF411}">
            <xm:f>$AR$4='Data entry'!$R6</xm:f>
            <x14:dxf>
              <fill>
                <patternFill>
                  <bgColor rgb="FFFF0000"/>
                </patternFill>
              </fill>
            </x14:dxf>
          </x14:cfRule>
          <xm:sqref>AP6:BB6</xm:sqref>
        </x14:conditionalFormatting>
        <x14:conditionalFormatting xmlns:xm="http://schemas.microsoft.com/office/excel/2006/main">
          <x14:cfRule type="expression" priority="4688847" id="{90D7E1FF-542D-40C8-9BD5-DFEB4CDD256F}">
            <xm:f>$AR$4='Data entry'!$R6</xm:f>
            <x14:dxf>
              <fill>
                <patternFill>
                  <bgColor rgb="FFFFFF00"/>
                </patternFill>
              </fill>
            </x14:dxf>
          </x14:cfRule>
          <xm:sqref>AD5:AR5</xm:sqref>
        </x14:conditionalFormatting>
        <x14:conditionalFormatting xmlns:xm="http://schemas.microsoft.com/office/excel/2006/main">
          <x14:cfRule type="expression" priority="4688848" id="{0EBB5305-4A4A-4205-A1FF-11160070CBC3}">
            <xm:f>$AS$4='Data entry'!$R6</xm:f>
            <x14:dxf>
              <fill>
                <patternFill>
                  <bgColor rgb="FFFF0000"/>
                </patternFill>
              </fill>
            </x14:dxf>
          </x14:cfRule>
          <xm:sqref>AQ6:BC6</xm:sqref>
        </x14:conditionalFormatting>
        <x14:conditionalFormatting xmlns:xm="http://schemas.microsoft.com/office/excel/2006/main">
          <x14:cfRule type="expression" priority="4688849" id="{AC8EB30C-4253-4CE1-820E-1801F6D8D35B}">
            <xm:f>$AS$4='Data entry'!$R6</xm:f>
            <x14:dxf>
              <fill>
                <patternFill>
                  <bgColor rgb="FFFFFF00"/>
                </patternFill>
              </fill>
            </x14:dxf>
          </x14:cfRule>
          <xm:sqref>AE5:AS5</xm:sqref>
        </x14:conditionalFormatting>
        <x14:conditionalFormatting xmlns:xm="http://schemas.microsoft.com/office/excel/2006/main">
          <x14:cfRule type="expression" priority="4688850" id="{E11744C1-7201-4272-A1B0-945490B42425}">
            <xm:f>$AT$4='Data entry'!$R6</xm:f>
            <x14:dxf>
              <fill>
                <patternFill>
                  <bgColor rgb="FFFF0000"/>
                </patternFill>
              </fill>
            </x14:dxf>
          </x14:cfRule>
          <xm:sqref>AR6:BD6</xm:sqref>
        </x14:conditionalFormatting>
        <x14:conditionalFormatting xmlns:xm="http://schemas.microsoft.com/office/excel/2006/main">
          <x14:cfRule type="expression" priority="4688851" id="{5EE2823B-E955-4EA7-B99C-0B1F77B57A69}">
            <xm:f>$AT$4='Data entry'!$R6</xm:f>
            <x14:dxf>
              <fill>
                <patternFill>
                  <bgColor rgb="FFFFFF00"/>
                </patternFill>
              </fill>
            </x14:dxf>
          </x14:cfRule>
          <xm:sqref>AF5:AT5</xm:sqref>
        </x14:conditionalFormatting>
        <x14:conditionalFormatting xmlns:xm="http://schemas.microsoft.com/office/excel/2006/main">
          <x14:cfRule type="expression" priority="4688852" id="{5737DC63-3262-4B34-900C-2AAEB255FCBA}">
            <xm:f>$AU$4='Data entry'!$R6</xm:f>
            <x14:dxf>
              <fill>
                <patternFill>
                  <bgColor rgb="FFFF0000"/>
                </patternFill>
              </fill>
            </x14:dxf>
          </x14:cfRule>
          <xm:sqref>AS6:BE6</xm:sqref>
        </x14:conditionalFormatting>
        <x14:conditionalFormatting xmlns:xm="http://schemas.microsoft.com/office/excel/2006/main">
          <x14:cfRule type="expression" priority="4688853" id="{2B5C1F1B-3C3D-4CA3-BC64-0E98422075B6}">
            <xm:f>$AU$4='Data entry'!$R6</xm:f>
            <x14:dxf>
              <fill>
                <patternFill>
                  <bgColor rgb="FFFFFF00"/>
                </patternFill>
              </fill>
            </x14:dxf>
          </x14:cfRule>
          <xm:sqref>AG5:AU5</xm:sqref>
        </x14:conditionalFormatting>
        <x14:conditionalFormatting xmlns:xm="http://schemas.microsoft.com/office/excel/2006/main">
          <x14:cfRule type="expression" priority="4688854" id="{B87A1285-B003-4855-8F4B-53C391BA10E6}">
            <xm:f>$AV$4='Data entry'!$R6</xm:f>
            <x14:dxf>
              <fill>
                <patternFill>
                  <bgColor rgb="FFFF0000"/>
                </patternFill>
              </fill>
            </x14:dxf>
          </x14:cfRule>
          <xm:sqref>AT6:BF6</xm:sqref>
        </x14:conditionalFormatting>
        <x14:conditionalFormatting xmlns:xm="http://schemas.microsoft.com/office/excel/2006/main">
          <x14:cfRule type="expression" priority="4688855" id="{338EE31C-78DB-4818-B837-0380F9E457FA}">
            <xm:f>$AV$4='Data entry'!$R6</xm:f>
            <x14:dxf>
              <fill>
                <patternFill>
                  <bgColor rgb="FFFFFF00"/>
                </patternFill>
              </fill>
            </x14:dxf>
          </x14:cfRule>
          <xm:sqref>AH5:AV5</xm:sqref>
        </x14:conditionalFormatting>
        <x14:conditionalFormatting xmlns:xm="http://schemas.microsoft.com/office/excel/2006/main">
          <x14:cfRule type="expression" priority="4688856" id="{5C40EA66-2801-4C91-B885-BF6A1ECFC35C}">
            <xm:f>$AW$4='Data entry'!$R6</xm:f>
            <x14:dxf>
              <fill>
                <patternFill>
                  <bgColor rgb="FFFF0000"/>
                </patternFill>
              </fill>
            </x14:dxf>
          </x14:cfRule>
          <xm:sqref>AU6:BG6</xm:sqref>
        </x14:conditionalFormatting>
        <x14:conditionalFormatting xmlns:xm="http://schemas.microsoft.com/office/excel/2006/main">
          <x14:cfRule type="expression" priority="4688857" id="{51BCD5CE-DF86-4C2F-8A81-DDA1EFD6C8F7}">
            <xm:f>$AW$4='Data entry'!$R6</xm:f>
            <x14:dxf>
              <fill>
                <patternFill>
                  <bgColor rgb="FFFFFF00"/>
                </patternFill>
              </fill>
            </x14:dxf>
          </x14:cfRule>
          <xm:sqref>AI5:AW5</xm:sqref>
        </x14:conditionalFormatting>
        <x14:conditionalFormatting xmlns:xm="http://schemas.microsoft.com/office/excel/2006/main">
          <x14:cfRule type="expression" priority="4688858" id="{DC2ED5A0-8917-4877-8CD3-9DF9BE5993C9}">
            <xm:f>$AX$4='Data entry'!$R6</xm:f>
            <x14:dxf>
              <fill>
                <patternFill>
                  <bgColor rgb="FFFF0000"/>
                </patternFill>
              </fill>
            </x14:dxf>
          </x14:cfRule>
          <xm:sqref>AV6:BH6</xm:sqref>
        </x14:conditionalFormatting>
        <x14:conditionalFormatting xmlns:xm="http://schemas.microsoft.com/office/excel/2006/main">
          <x14:cfRule type="expression" priority="4688859" id="{59B31869-20F9-45BD-BC80-0A6C8945CE2C}">
            <xm:f>$AX$4='Data entry'!$R6</xm:f>
            <x14:dxf>
              <fill>
                <patternFill>
                  <bgColor rgb="FFFFFF00"/>
                </patternFill>
              </fill>
            </x14:dxf>
          </x14:cfRule>
          <xm:sqref>AJ5:AX5</xm:sqref>
        </x14:conditionalFormatting>
        <x14:conditionalFormatting xmlns:xm="http://schemas.microsoft.com/office/excel/2006/main">
          <x14:cfRule type="expression" priority="4688860" id="{D4208FA0-4262-4037-934C-6D0742B2AD8E}">
            <xm:f>$AY$4='Data entry'!$R6</xm:f>
            <x14:dxf>
              <fill>
                <patternFill>
                  <bgColor rgb="FFFF0000"/>
                </patternFill>
              </fill>
            </x14:dxf>
          </x14:cfRule>
          <xm:sqref>AW6:BI6</xm:sqref>
        </x14:conditionalFormatting>
        <x14:conditionalFormatting xmlns:xm="http://schemas.microsoft.com/office/excel/2006/main">
          <x14:cfRule type="expression" priority="4688861" id="{04D6E423-18C7-42B2-A67D-F49D8E62B571}">
            <xm:f>$AY$4='Data entry'!$R6</xm:f>
            <x14:dxf>
              <fill>
                <patternFill>
                  <bgColor rgb="FFFFFF00"/>
                </patternFill>
              </fill>
            </x14:dxf>
          </x14:cfRule>
          <xm:sqref>AK5:AY5</xm:sqref>
        </x14:conditionalFormatting>
        <x14:conditionalFormatting xmlns:xm="http://schemas.microsoft.com/office/excel/2006/main">
          <x14:cfRule type="expression" priority="4688862" id="{A931C203-6E4B-4EBD-A2F4-1876881F48D4}">
            <xm:f>$AZ$4='Data entry'!$R6</xm:f>
            <x14:dxf>
              <fill>
                <patternFill>
                  <bgColor rgb="FFFF0000"/>
                </patternFill>
              </fill>
            </x14:dxf>
          </x14:cfRule>
          <xm:sqref>AX6:BJ6</xm:sqref>
        </x14:conditionalFormatting>
        <x14:conditionalFormatting xmlns:xm="http://schemas.microsoft.com/office/excel/2006/main">
          <x14:cfRule type="expression" priority="4688863" id="{092D9100-E652-40FE-8CAA-720DC0681250}">
            <xm:f>$AZ$4='Data entry'!$R6</xm:f>
            <x14:dxf>
              <fill>
                <patternFill>
                  <bgColor rgb="FFFFFF00"/>
                </patternFill>
              </fill>
            </x14:dxf>
          </x14:cfRule>
          <xm:sqref>AL5:AZ5</xm:sqref>
        </x14:conditionalFormatting>
        <x14:conditionalFormatting xmlns:xm="http://schemas.microsoft.com/office/excel/2006/main">
          <x14:cfRule type="expression" priority="4688864" id="{A3C7E6BE-A225-483C-A983-A915DB662C52}">
            <xm:f>$BA$4='Data entry'!$R6</xm:f>
            <x14:dxf>
              <fill>
                <patternFill>
                  <bgColor rgb="FFFF0000"/>
                </patternFill>
              </fill>
            </x14:dxf>
          </x14:cfRule>
          <xm:sqref>AY6:BK6</xm:sqref>
        </x14:conditionalFormatting>
        <x14:conditionalFormatting xmlns:xm="http://schemas.microsoft.com/office/excel/2006/main">
          <x14:cfRule type="expression" priority="4688865" id="{F5CF569A-8AFA-4CFF-8BD3-F04D8927A99F}">
            <xm:f>$BA$4='Data entry'!$R6</xm:f>
            <x14:dxf>
              <fill>
                <patternFill>
                  <bgColor rgb="FFFFFF00"/>
                </patternFill>
              </fill>
            </x14:dxf>
          </x14:cfRule>
          <xm:sqref>AM5:BA5</xm:sqref>
        </x14:conditionalFormatting>
        <x14:conditionalFormatting xmlns:xm="http://schemas.microsoft.com/office/excel/2006/main">
          <x14:cfRule type="expression" priority="4688866" id="{E4DAC94A-7983-4BFB-A87B-45B58561841A}">
            <xm:f>$BB$4='Data entry'!$R6</xm:f>
            <x14:dxf>
              <fill>
                <patternFill>
                  <bgColor rgb="FFFF0000"/>
                </patternFill>
              </fill>
            </x14:dxf>
          </x14:cfRule>
          <xm:sqref>AZ6:BL6</xm:sqref>
        </x14:conditionalFormatting>
        <x14:conditionalFormatting xmlns:xm="http://schemas.microsoft.com/office/excel/2006/main">
          <x14:cfRule type="expression" priority="4688867" id="{E63849C5-F39B-4B0E-8F8A-B532EDF2CBAE}">
            <xm:f>$BB$4='Data entry'!$R6</xm:f>
            <x14:dxf>
              <fill>
                <patternFill>
                  <bgColor rgb="FFFFFF00"/>
                </patternFill>
              </fill>
            </x14:dxf>
          </x14:cfRule>
          <xm:sqref>AN5:BB5</xm:sqref>
        </x14:conditionalFormatting>
        <x14:conditionalFormatting xmlns:xm="http://schemas.microsoft.com/office/excel/2006/main">
          <x14:cfRule type="expression" priority="4688868" id="{4FDC32D3-C1F5-455D-9AA4-A03359B72526}">
            <xm:f>$BC$4='Data entry'!$R6</xm:f>
            <x14:dxf>
              <fill>
                <patternFill>
                  <bgColor rgb="FFFF0000"/>
                </patternFill>
              </fill>
            </x14:dxf>
          </x14:cfRule>
          <xm:sqref>BA6:BM6</xm:sqref>
        </x14:conditionalFormatting>
        <x14:conditionalFormatting xmlns:xm="http://schemas.microsoft.com/office/excel/2006/main">
          <x14:cfRule type="expression" priority="4688869" id="{5F0D0C60-B233-4C56-B05D-98C99990877F}">
            <xm:f>$BC$4='Data entry'!$R6</xm:f>
            <x14:dxf>
              <fill>
                <patternFill>
                  <bgColor rgb="FFFFFF00"/>
                </patternFill>
              </fill>
            </x14:dxf>
          </x14:cfRule>
          <xm:sqref>AO5:BC5</xm:sqref>
        </x14:conditionalFormatting>
        <x14:conditionalFormatting xmlns:xm="http://schemas.microsoft.com/office/excel/2006/main">
          <x14:cfRule type="expression" priority="4688870" id="{9EBCB60F-8135-43B6-A0F3-548D4092CC98}">
            <xm:f>$BD$4='Data entry'!$R6</xm:f>
            <x14:dxf>
              <fill>
                <patternFill>
                  <bgColor rgb="FFFF0000"/>
                </patternFill>
              </fill>
            </x14:dxf>
          </x14:cfRule>
          <xm:sqref>BB6:BN6</xm:sqref>
        </x14:conditionalFormatting>
        <x14:conditionalFormatting xmlns:xm="http://schemas.microsoft.com/office/excel/2006/main">
          <x14:cfRule type="expression" priority="4688871" id="{961AF346-4A73-41ED-9A8D-27D431B09C05}">
            <xm:f>$BD$4='Data entry'!$R6</xm:f>
            <x14:dxf>
              <fill>
                <patternFill>
                  <bgColor rgb="FFFFFF00"/>
                </patternFill>
              </fill>
            </x14:dxf>
          </x14:cfRule>
          <xm:sqref>AP5:BD5</xm:sqref>
        </x14:conditionalFormatting>
        <x14:conditionalFormatting xmlns:xm="http://schemas.microsoft.com/office/excel/2006/main">
          <x14:cfRule type="expression" priority="4688872" id="{5A887026-27CD-4F8C-8BA6-1E92704C1CA6}">
            <xm:f>$BE$4='Data entry'!$R6</xm:f>
            <x14:dxf>
              <fill>
                <patternFill>
                  <bgColor rgb="FFFF0000"/>
                </patternFill>
              </fill>
            </x14:dxf>
          </x14:cfRule>
          <xm:sqref>BC6:BO6</xm:sqref>
        </x14:conditionalFormatting>
        <x14:conditionalFormatting xmlns:xm="http://schemas.microsoft.com/office/excel/2006/main">
          <x14:cfRule type="expression" priority="4688873" id="{7F46217B-A1E9-4515-B31E-E756FCD7C6D9}">
            <xm:f>$BE$4='Data entry'!$R6</xm:f>
            <x14:dxf>
              <fill>
                <patternFill>
                  <bgColor rgb="FFFFFF00"/>
                </patternFill>
              </fill>
            </x14:dxf>
          </x14:cfRule>
          <xm:sqref>AP5:BE5</xm:sqref>
        </x14:conditionalFormatting>
        <x14:conditionalFormatting xmlns:xm="http://schemas.microsoft.com/office/excel/2006/main">
          <x14:cfRule type="expression" priority="4688874" id="{F4D9285C-8CA0-4EF1-943E-6A462D47CC77}">
            <xm:f>$BF$4='Data entry'!$R6</xm:f>
            <x14:dxf>
              <fill>
                <patternFill>
                  <bgColor rgb="FFFF0000"/>
                </patternFill>
              </fill>
            </x14:dxf>
          </x14:cfRule>
          <xm:sqref>BD6:BP6</xm:sqref>
        </x14:conditionalFormatting>
        <x14:conditionalFormatting xmlns:xm="http://schemas.microsoft.com/office/excel/2006/main">
          <x14:cfRule type="expression" priority="4688875" id="{B9E4407D-651D-4DC0-9D61-3271D62A65E9}">
            <xm:f>$BF$4='Data entry'!$R6</xm:f>
            <x14:dxf>
              <fill>
                <patternFill>
                  <bgColor rgb="FFFFFF00"/>
                </patternFill>
              </fill>
            </x14:dxf>
          </x14:cfRule>
          <xm:sqref>AR5:BF5</xm:sqref>
        </x14:conditionalFormatting>
        <x14:conditionalFormatting xmlns:xm="http://schemas.microsoft.com/office/excel/2006/main">
          <x14:cfRule type="expression" priority="4688876" id="{4CDC062F-DDFF-4556-B941-08F919727F69}">
            <xm:f>$BG$4='Data entry'!$R6</xm:f>
            <x14:dxf>
              <fill>
                <patternFill>
                  <bgColor rgb="FFFF0000"/>
                </patternFill>
              </fill>
            </x14:dxf>
          </x14:cfRule>
          <xm:sqref>BE6:BQ6</xm:sqref>
        </x14:conditionalFormatting>
        <x14:conditionalFormatting xmlns:xm="http://schemas.microsoft.com/office/excel/2006/main">
          <x14:cfRule type="expression" priority="4688877" id="{789184FA-9055-433B-8A1B-92C7ED59E81F}">
            <xm:f>$BG$4='Data entry'!$R6</xm:f>
            <x14:dxf>
              <fill>
                <patternFill>
                  <bgColor rgb="FFFFFF00"/>
                </patternFill>
              </fill>
            </x14:dxf>
          </x14:cfRule>
          <xm:sqref>AS5:BG5</xm:sqref>
        </x14:conditionalFormatting>
        <x14:conditionalFormatting xmlns:xm="http://schemas.microsoft.com/office/excel/2006/main">
          <x14:cfRule type="expression" priority="4688878" id="{58651E5C-09C9-46C1-B95C-E8A578A49E15}">
            <xm:f>$BH$4='Data entry'!$R6</xm:f>
            <x14:dxf>
              <fill>
                <patternFill>
                  <bgColor rgb="FFFFFF00"/>
                </patternFill>
              </fill>
            </x14:dxf>
          </x14:cfRule>
          <xm:sqref>AT5:BH5</xm:sqref>
        </x14:conditionalFormatting>
        <x14:conditionalFormatting xmlns:xm="http://schemas.microsoft.com/office/excel/2006/main">
          <x14:cfRule type="expression" priority="4688879" id="{97B30B86-8311-4DC0-A533-8C0D53F37839}">
            <xm:f>$BH$4='Data entry'!$R6</xm:f>
            <x14:dxf>
              <fill>
                <patternFill>
                  <bgColor rgb="FFFF0000"/>
                </patternFill>
              </fill>
            </x14:dxf>
          </x14:cfRule>
          <xm:sqref>BF6:BR6</xm:sqref>
        </x14:conditionalFormatting>
        <x14:conditionalFormatting xmlns:xm="http://schemas.microsoft.com/office/excel/2006/main">
          <x14:cfRule type="expression" priority="4688880" id="{78344C0C-5AEA-40B1-A20C-6D77DF58E1F5}">
            <xm:f>$BI$4='Data entry'!$R6</xm:f>
            <x14:dxf>
              <fill>
                <patternFill>
                  <bgColor rgb="FFFFFF00"/>
                </patternFill>
              </fill>
            </x14:dxf>
          </x14:cfRule>
          <xm:sqref>AU5:BI5</xm:sqref>
        </x14:conditionalFormatting>
        <x14:conditionalFormatting xmlns:xm="http://schemas.microsoft.com/office/excel/2006/main">
          <x14:cfRule type="expression" priority="4688881" id="{A9CE044F-482E-4F25-B28F-89ACC58502B1}">
            <xm:f>$BI$4='Data entry'!$R6</xm:f>
            <x14:dxf>
              <fill>
                <patternFill>
                  <bgColor rgb="FFFF0000"/>
                </patternFill>
              </fill>
            </x14:dxf>
          </x14:cfRule>
          <xm:sqref>BG6:BS6</xm:sqref>
        </x14:conditionalFormatting>
        <x14:conditionalFormatting xmlns:xm="http://schemas.microsoft.com/office/excel/2006/main">
          <x14:cfRule type="expression" priority="4688882" id="{F63BE0EB-3C71-4456-BEF0-11180AB7A8BB}">
            <xm:f>$BJ$4='Data entry'!$R6</xm:f>
            <x14:dxf>
              <fill>
                <patternFill>
                  <bgColor rgb="FFFFFF00"/>
                </patternFill>
              </fill>
            </x14:dxf>
          </x14:cfRule>
          <xm:sqref>AV5:BJ5</xm:sqref>
        </x14:conditionalFormatting>
        <x14:conditionalFormatting xmlns:xm="http://schemas.microsoft.com/office/excel/2006/main">
          <x14:cfRule type="expression" priority="4688883" id="{478A5DCB-1DAA-4497-A6CC-B4F01FB96D10}">
            <xm:f>$BJ$4='Data entry'!$R6</xm:f>
            <x14:dxf>
              <fill>
                <patternFill>
                  <bgColor rgb="FFFF0000"/>
                </patternFill>
              </fill>
            </x14:dxf>
          </x14:cfRule>
          <xm:sqref>BH6:BT6</xm:sqref>
        </x14:conditionalFormatting>
        <x14:conditionalFormatting xmlns:xm="http://schemas.microsoft.com/office/excel/2006/main">
          <x14:cfRule type="expression" priority="4688884" id="{CDE4AD5B-65A6-4FA4-9EC0-8D05F22312A9}">
            <xm:f>$BK$4='Data entry'!$R6</xm:f>
            <x14:dxf>
              <fill>
                <patternFill>
                  <bgColor rgb="FFFF0000"/>
                </patternFill>
              </fill>
            </x14:dxf>
          </x14:cfRule>
          <xm:sqref>BI6:BU6</xm:sqref>
        </x14:conditionalFormatting>
        <x14:conditionalFormatting xmlns:xm="http://schemas.microsoft.com/office/excel/2006/main">
          <x14:cfRule type="expression" priority="4688885" id="{AB32E790-6CD8-4D11-9A69-57D785FE4BBC}">
            <xm:f>$BK$4='Data entry'!$R6</xm:f>
            <x14:dxf>
              <fill>
                <patternFill>
                  <bgColor rgb="FFFFFF00"/>
                </patternFill>
              </fill>
            </x14:dxf>
          </x14:cfRule>
          <xm:sqref>AW5:BK5</xm:sqref>
        </x14:conditionalFormatting>
        <x14:conditionalFormatting xmlns:xm="http://schemas.microsoft.com/office/excel/2006/main">
          <x14:cfRule type="expression" priority="4688886" id="{99810EB9-805C-43D8-852A-EEECE7874CDB}">
            <xm:f>$BL$4='Data entry'!$R6</xm:f>
            <x14:dxf>
              <fill>
                <patternFill>
                  <bgColor rgb="FFFF0000"/>
                </patternFill>
              </fill>
            </x14:dxf>
          </x14:cfRule>
          <xm:sqref>BJ6:BV6</xm:sqref>
        </x14:conditionalFormatting>
        <x14:conditionalFormatting xmlns:xm="http://schemas.microsoft.com/office/excel/2006/main">
          <x14:cfRule type="expression" priority="4688887" id="{BF5F5475-4E46-479C-97A6-D5175F5D1803}">
            <xm:f>$BL$4='Data entry'!$R6</xm:f>
            <x14:dxf>
              <fill>
                <patternFill>
                  <bgColor rgb="FFFFFF00"/>
                </patternFill>
              </fill>
            </x14:dxf>
          </x14:cfRule>
          <xm:sqref>AX5:BL5</xm:sqref>
        </x14:conditionalFormatting>
        <x14:conditionalFormatting xmlns:xm="http://schemas.microsoft.com/office/excel/2006/main">
          <x14:cfRule type="expression" priority="4688888" id="{B86FDF2F-16C9-46B1-847E-7EA1A8A34B9D}">
            <xm:f>$BM$4='Data entry'!$R6</xm:f>
            <x14:dxf>
              <fill>
                <patternFill>
                  <bgColor rgb="FFFF0000"/>
                </patternFill>
              </fill>
            </x14:dxf>
          </x14:cfRule>
          <xm:sqref>BK6:BW6</xm:sqref>
        </x14:conditionalFormatting>
        <x14:conditionalFormatting xmlns:xm="http://schemas.microsoft.com/office/excel/2006/main">
          <x14:cfRule type="expression" priority="4688889" id="{72FD189F-4CED-400D-9FEF-21A328970A4D}">
            <xm:f>$BM$4='Data entry'!$R6</xm:f>
            <x14:dxf>
              <fill>
                <patternFill>
                  <bgColor rgb="FFFFFF00"/>
                </patternFill>
              </fill>
            </x14:dxf>
          </x14:cfRule>
          <xm:sqref>AY5:BM5</xm:sqref>
        </x14:conditionalFormatting>
        <x14:conditionalFormatting xmlns:xm="http://schemas.microsoft.com/office/excel/2006/main">
          <x14:cfRule type="expression" priority="4688890" id="{BBBBF859-D5A7-4F55-BFBF-8A77E3357590}">
            <xm:f>$BN$4='Data entry'!$R6</xm:f>
            <x14:dxf>
              <fill>
                <patternFill>
                  <bgColor rgb="FFFF0000"/>
                </patternFill>
              </fill>
            </x14:dxf>
          </x14:cfRule>
          <xm:sqref>BL6:BX6</xm:sqref>
        </x14:conditionalFormatting>
        <x14:conditionalFormatting xmlns:xm="http://schemas.microsoft.com/office/excel/2006/main">
          <x14:cfRule type="expression" priority="4688891" id="{50CB1D75-0FD5-4D24-92B1-E8A41DC6575C}">
            <xm:f>$BN$4='Data entry'!$R6</xm:f>
            <x14:dxf>
              <fill>
                <patternFill>
                  <bgColor rgb="FFFFFF00"/>
                </patternFill>
              </fill>
            </x14:dxf>
          </x14:cfRule>
          <xm:sqref>AZ5:BN5</xm:sqref>
        </x14:conditionalFormatting>
        <x14:conditionalFormatting xmlns:xm="http://schemas.microsoft.com/office/excel/2006/main">
          <x14:cfRule type="expression" priority="4688892" id="{9EF3226D-E8FC-496B-A6FF-71776AEA54D1}">
            <xm:f>$BO$4='Data entry'!$R6</xm:f>
            <x14:dxf>
              <fill>
                <patternFill>
                  <bgColor rgb="FFFF0000"/>
                </patternFill>
              </fill>
            </x14:dxf>
          </x14:cfRule>
          <xm:sqref>BM6:BY6</xm:sqref>
        </x14:conditionalFormatting>
        <x14:conditionalFormatting xmlns:xm="http://schemas.microsoft.com/office/excel/2006/main">
          <x14:cfRule type="expression" priority="4688893" id="{3B86C801-ECFE-4D05-8AA5-1581116BAFBC}">
            <xm:f>$BO$4='Data entry'!$R6</xm:f>
            <x14:dxf>
              <fill>
                <patternFill>
                  <bgColor rgb="FFFFFF00"/>
                </patternFill>
              </fill>
            </x14:dxf>
          </x14:cfRule>
          <xm:sqref>BA5:BO5</xm:sqref>
        </x14:conditionalFormatting>
        <x14:conditionalFormatting xmlns:xm="http://schemas.microsoft.com/office/excel/2006/main">
          <x14:cfRule type="expression" priority="4688894" id="{058A23EC-3371-4A02-9F20-1ECA603AC6BC}">
            <xm:f>$BP$4='Data entry'!$R6</xm:f>
            <x14:dxf>
              <fill>
                <patternFill>
                  <bgColor rgb="FFFF0000"/>
                </patternFill>
              </fill>
            </x14:dxf>
          </x14:cfRule>
          <xm:sqref>BN6:BZ6</xm:sqref>
        </x14:conditionalFormatting>
        <x14:conditionalFormatting xmlns:xm="http://schemas.microsoft.com/office/excel/2006/main">
          <x14:cfRule type="expression" priority="4688895" id="{3E711E31-3992-4555-AB22-87133D60CD15}">
            <xm:f>$BP$4='Data entry'!$R6</xm:f>
            <x14:dxf>
              <fill>
                <patternFill>
                  <bgColor rgb="FFFFFF00"/>
                </patternFill>
              </fill>
            </x14:dxf>
          </x14:cfRule>
          <xm:sqref>BB5:BP5</xm:sqref>
        </x14:conditionalFormatting>
        <x14:conditionalFormatting xmlns:xm="http://schemas.microsoft.com/office/excel/2006/main">
          <x14:cfRule type="expression" priority="4688896" id="{23E9F8B9-37D5-4730-9453-6F23E8ECBBE3}">
            <xm:f>$BQ$4='Data entry'!$R6</xm:f>
            <x14:dxf>
              <fill>
                <patternFill>
                  <bgColor rgb="FFFFFF00"/>
                </patternFill>
              </fill>
            </x14:dxf>
          </x14:cfRule>
          <xm:sqref>BC5:BQ5</xm:sqref>
        </x14:conditionalFormatting>
        <x14:conditionalFormatting xmlns:xm="http://schemas.microsoft.com/office/excel/2006/main">
          <x14:cfRule type="expression" priority="4688897" id="{BCFD92F6-AAD3-44FD-BC61-A292A81B883E}">
            <xm:f>$BQ$4='Data entry'!$R6</xm:f>
            <x14:dxf>
              <fill>
                <patternFill>
                  <bgColor rgb="FFFF0000"/>
                </patternFill>
              </fill>
            </x14:dxf>
          </x14:cfRule>
          <xm:sqref>BO6:CA6</xm:sqref>
        </x14:conditionalFormatting>
        <x14:conditionalFormatting xmlns:xm="http://schemas.microsoft.com/office/excel/2006/main">
          <x14:cfRule type="expression" priority="4688898" id="{357D60E5-F356-477E-8020-A18F42C02832}">
            <xm:f>$BR$4='Data entry'!$R6</xm:f>
            <x14:dxf>
              <fill>
                <patternFill>
                  <bgColor rgb="FFFFFF00"/>
                </patternFill>
              </fill>
            </x14:dxf>
          </x14:cfRule>
          <xm:sqref>BD5:BR5</xm:sqref>
        </x14:conditionalFormatting>
        <x14:conditionalFormatting xmlns:xm="http://schemas.microsoft.com/office/excel/2006/main">
          <x14:cfRule type="expression" priority="4688899" id="{DA2B6511-43B3-432D-B6AA-1DB1188B90A6}">
            <xm:f>$BR$4='Data entry'!$R6</xm:f>
            <x14:dxf>
              <fill>
                <patternFill>
                  <bgColor rgb="FFFF0000"/>
                </patternFill>
              </fill>
            </x14:dxf>
          </x14:cfRule>
          <xm:sqref>BP6:CB6</xm:sqref>
        </x14:conditionalFormatting>
        <x14:conditionalFormatting xmlns:xm="http://schemas.microsoft.com/office/excel/2006/main">
          <x14:cfRule type="expression" priority="4688900" id="{0D5F64E4-4136-4BFA-B833-CC8578525D9C}">
            <xm:f>$BS$4='Data entry'!$R6</xm:f>
            <x14:dxf>
              <fill>
                <patternFill>
                  <bgColor rgb="FFFFFF00"/>
                </patternFill>
              </fill>
            </x14:dxf>
          </x14:cfRule>
          <xm:sqref>BE5:BS5</xm:sqref>
        </x14:conditionalFormatting>
        <x14:conditionalFormatting xmlns:xm="http://schemas.microsoft.com/office/excel/2006/main">
          <x14:cfRule type="expression" priority="4688901" id="{AC94D468-F078-4AE2-8771-102996E07B09}">
            <xm:f>$BS$4='Data entry'!$R6</xm:f>
            <x14:dxf>
              <fill>
                <patternFill>
                  <bgColor rgb="FFFF0000"/>
                </patternFill>
              </fill>
            </x14:dxf>
          </x14:cfRule>
          <xm:sqref>BQ6:CC6</xm:sqref>
        </x14:conditionalFormatting>
        <x14:conditionalFormatting xmlns:xm="http://schemas.microsoft.com/office/excel/2006/main">
          <x14:cfRule type="expression" priority="4688902" id="{10E78F76-181E-4F19-9F89-7DD36D3EFE30}">
            <xm:f>$BT$4='Data entry'!$R6</xm:f>
            <x14:dxf>
              <fill>
                <patternFill>
                  <bgColor rgb="FFFFFF00"/>
                </patternFill>
              </fill>
            </x14:dxf>
          </x14:cfRule>
          <xm:sqref>BF5:BT5</xm:sqref>
        </x14:conditionalFormatting>
        <x14:conditionalFormatting xmlns:xm="http://schemas.microsoft.com/office/excel/2006/main">
          <x14:cfRule type="expression" priority="4688903" id="{6A5FADC6-9512-4EFB-90A5-7B5244D10D1F}">
            <xm:f>$BT$4='Data entry'!$R6</xm:f>
            <x14:dxf>
              <fill>
                <patternFill>
                  <bgColor rgb="FFFF0000"/>
                </patternFill>
              </fill>
            </x14:dxf>
          </x14:cfRule>
          <xm:sqref>BR6:CC6</xm:sqref>
        </x14:conditionalFormatting>
        <x14:conditionalFormatting xmlns:xm="http://schemas.microsoft.com/office/excel/2006/main">
          <x14:cfRule type="expression" priority="4688904" id="{A51139D1-8841-4B96-B8CB-DFE3808765CF}">
            <xm:f>$BU$4='Data entry'!$R6</xm:f>
            <x14:dxf>
              <fill>
                <patternFill>
                  <bgColor rgb="FFFFFF00"/>
                </patternFill>
              </fill>
            </x14:dxf>
          </x14:cfRule>
          <xm:sqref>BG5:BU5</xm:sqref>
        </x14:conditionalFormatting>
        <x14:conditionalFormatting xmlns:xm="http://schemas.microsoft.com/office/excel/2006/main">
          <x14:cfRule type="expression" priority="4688905" id="{55CA7258-760F-4BFF-ACB5-A70FEB3E7981}">
            <xm:f>$BU$4='Data entry'!$R6</xm:f>
            <x14:dxf>
              <fill>
                <patternFill>
                  <bgColor rgb="FFFF0000"/>
                </patternFill>
              </fill>
            </x14:dxf>
          </x14:cfRule>
          <xm:sqref>BS6:CC6</xm:sqref>
        </x14:conditionalFormatting>
        <x14:conditionalFormatting xmlns:xm="http://schemas.microsoft.com/office/excel/2006/main">
          <x14:cfRule type="expression" priority="4688906" id="{A922B218-64DB-4CBB-9AB8-FE0EBB44E09E}">
            <xm:f>$BV$4='Data entry'!$R6</xm:f>
            <x14:dxf>
              <fill>
                <patternFill>
                  <bgColor rgb="FFFFFF00"/>
                </patternFill>
              </fill>
            </x14:dxf>
          </x14:cfRule>
          <xm:sqref>BH5:BV5</xm:sqref>
        </x14:conditionalFormatting>
        <x14:conditionalFormatting xmlns:xm="http://schemas.microsoft.com/office/excel/2006/main">
          <x14:cfRule type="expression" priority="4688907" id="{C98E908A-CD31-4778-B41C-7AFB9DBE639A}">
            <xm:f>$BV$4='Data entry'!$R6</xm:f>
            <x14:dxf>
              <fill>
                <patternFill>
                  <bgColor rgb="FFFF0000"/>
                </patternFill>
              </fill>
            </x14:dxf>
          </x14:cfRule>
          <xm:sqref>BT6:CC6</xm:sqref>
        </x14:conditionalFormatting>
        <x14:conditionalFormatting xmlns:xm="http://schemas.microsoft.com/office/excel/2006/main">
          <x14:cfRule type="expression" priority="4688908" id="{465CCCA3-B4DB-4B61-8AC7-8A5E4CEC9E3F}">
            <xm:f>$BW$4='Data entry'!$R6</xm:f>
            <x14:dxf>
              <fill>
                <patternFill>
                  <bgColor rgb="FFFFFF00"/>
                </patternFill>
              </fill>
            </x14:dxf>
          </x14:cfRule>
          <xm:sqref>BI5:BW5</xm:sqref>
        </x14:conditionalFormatting>
        <x14:conditionalFormatting xmlns:xm="http://schemas.microsoft.com/office/excel/2006/main">
          <x14:cfRule type="expression" priority="4688909" id="{37566F97-6D06-400B-A709-FE657B07687F}">
            <xm:f>$BW$4='Data entry'!$R6</xm:f>
            <x14:dxf>
              <fill>
                <patternFill>
                  <bgColor rgb="FFFF0000"/>
                </patternFill>
              </fill>
            </x14:dxf>
          </x14:cfRule>
          <xm:sqref>BU6:CC6</xm:sqref>
        </x14:conditionalFormatting>
        <x14:conditionalFormatting xmlns:xm="http://schemas.microsoft.com/office/excel/2006/main">
          <x14:cfRule type="expression" priority="4688910" id="{D8FBA3AC-5CF0-4E45-97CA-1D4DEE729ADA}">
            <xm:f>$BX$4='Data entry'!$R6</xm:f>
            <x14:dxf>
              <fill>
                <patternFill>
                  <bgColor rgb="FFFFFF00"/>
                </patternFill>
              </fill>
            </x14:dxf>
          </x14:cfRule>
          <xm:sqref>BJ5:BX5</xm:sqref>
        </x14:conditionalFormatting>
        <x14:conditionalFormatting xmlns:xm="http://schemas.microsoft.com/office/excel/2006/main">
          <x14:cfRule type="expression" priority="4688911" id="{E077C84B-A94F-431D-B232-4AFCC7C64F54}">
            <xm:f>$BX$4='Data entry'!$R6</xm:f>
            <x14:dxf>
              <fill>
                <patternFill>
                  <bgColor rgb="FFFF0000"/>
                </patternFill>
              </fill>
            </x14:dxf>
          </x14:cfRule>
          <xm:sqref>BV6:CC6</xm:sqref>
        </x14:conditionalFormatting>
        <x14:conditionalFormatting xmlns:xm="http://schemas.microsoft.com/office/excel/2006/main">
          <x14:cfRule type="expression" priority="4688912" id="{63783BA8-0C97-4A44-86FD-7A2BCF1B9957}">
            <xm:f>$BY$4='Data entry'!$R6</xm:f>
            <x14:dxf>
              <fill>
                <patternFill>
                  <bgColor rgb="FFFFFF00"/>
                </patternFill>
              </fill>
            </x14:dxf>
          </x14:cfRule>
          <xm:sqref>BK5:BY5</xm:sqref>
        </x14:conditionalFormatting>
        <x14:conditionalFormatting xmlns:xm="http://schemas.microsoft.com/office/excel/2006/main">
          <x14:cfRule type="expression" priority="4688913" id="{BB8DB8B4-B71B-46D2-AEE7-346F16103F74}">
            <xm:f>$BY$4='Data entry'!$R6</xm:f>
            <x14:dxf>
              <fill>
                <patternFill>
                  <bgColor rgb="FFFF0000"/>
                </patternFill>
              </fill>
            </x14:dxf>
          </x14:cfRule>
          <xm:sqref>BW6:CC6</xm:sqref>
        </x14:conditionalFormatting>
        <x14:conditionalFormatting xmlns:xm="http://schemas.microsoft.com/office/excel/2006/main">
          <x14:cfRule type="expression" priority="4688914" id="{1B638B98-2B06-4FEB-90C1-446A3E0A3979}">
            <xm:f>$BZ$4='Data entry'!$R6</xm:f>
            <x14:dxf>
              <fill>
                <patternFill>
                  <bgColor rgb="FFFFFF00"/>
                </patternFill>
              </fill>
            </x14:dxf>
          </x14:cfRule>
          <xm:sqref>BL5:BZ5</xm:sqref>
        </x14:conditionalFormatting>
        <x14:conditionalFormatting xmlns:xm="http://schemas.microsoft.com/office/excel/2006/main">
          <x14:cfRule type="expression" priority="4688915" id="{D3A0A2F8-D1B2-4DC5-B2A9-0EF53074E685}">
            <xm:f>$BZ$4='Data entry'!$R6</xm:f>
            <x14:dxf>
              <fill>
                <patternFill>
                  <bgColor rgb="FFFF0000"/>
                </patternFill>
              </fill>
            </x14:dxf>
          </x14:cfRule>
          <xm:sqref>BX6:CC6</xm:sqref>
        </x14:conditionalFormatting>
        <x14:conditionalFormatting xmlns:xm="http://schemas.microsoft.com/office/excel/2006/main">
          <x14:cfRule type="expression" priority="4688916" id="{83F6D018-7D3B-4D33-9998-11572F2F2FF5}">
            <xm:f>$CA$4='Data entry'!$R6</xm:f>
            <x14:dxf>
              <fill>
                <patternFill>
                  <bgColor rgb="FFFFFF00"/>
                </patternFill>
              </fill>
            </x14:dxf>
          </x14:cfRule>
          <xm:sqref>BM5:CA5</xm:sqref>
        </x14:conditionalFormatting>
        <x14:conditionalFormatting xmlns:xm="http://schemas.microsoft.com/office/excel/2006/main">
          <x14:cfRule type="expression" priority="4688917" id="{8E6D0B51-5626-4ED9-9072-C7A2C139704F}">
            <xm:f>$CA$4='Data entry'!$R6</xm:f>
            <x14:dxf>
              <fill>
                <patternFill>
                  <bgColor rgb="FFFF0000"/>
                </patternFill>
              </fill>
            </x14:dxf>
          </x14:cfRule>
          <xm:sqref>BY6:CC6</xm:sqref>
        </x14:conditionalFormatting>
        <x14:conditionalFormatting xmlns:xm="http://schemas.microsoft.com/office/excel/2006/main">
          <x14:cfRule type="expression" priority="4688918" id="{E1886EE4-3BDE-43A9-9F4B-79377FEC37FE}">
            <xm:f>$CB$4='Data entry'!$R6</xm:f>
            <x14:dxf>
              <fill>
                <patternFill>
                  <bgColor rgb="FFFFFF00"/>
                </patternFill>
              </fill>
            </x14:dxf>
          </x14:cfRule>
          <xm:sqref>BN5:CB5</xm:sqref>
        </x14:conditionalFormatting>
        <x14:conditionalFormatting xmlns:xm="http://schemas.microsoft.com/office/excel/2006/main">
          <x14:cfRule type="expression" priority="4688919" id="{ADEF572A-6C18-4602-BB86-01C96D36E07E}">
            <xm:f>$CB$4='Data entry'!$R6</xm:f>
            <x14:dxf>
              <fill>
                <patternFill>
                  <bgColor rgb="FFFF0000"/>
                </patternFill>
              </fill>
            </x14:dxf>
          </x14:cfRule>
          <xm:sqref>BZ6:CC6</xm:sqref>
        </x14:conditionalFormatting>
        <x14:conditionalFormatting xmlns:xm="http://schemas.microsoft.com/office/excel/2006/main">
          <x14:cfRule type="expression" priority="4688920" id="{7984E1C9-E073-4955-8543-62145CB6D008}">
            <xm:f>$CC$4='Data entry'!$R6</xm:f>
            <x14:dxf>
              <fill>
                <patternFill>
                  <bgColor rgb="FFFFFF00"/>
                </patternFill>
              </fill>
            </x14:dxf>
          </x14:cfRule>
          <xm:sqref>BO5:CC5</xm:sqref>
        </x14:conditionalFormatting>
        <x14:conditionalFormatting xmlns:xm="http://schemas.microsoft.com/office/excel/2006/main">
          <x14:cfRule type="expression" priority="4688921" id="{18A957B3-59FA-4698-BA92-2A208FF18E2F}">
            <xm:f>$CC$4='Data entry'!$R6</xm:f>
            <x14:dxf>
              <fill>
                <patternFill>
                  <bgColor rgb="FFFF0000"/>
                </patternFill>
              </fill>
            </x14:dxf>
          </x14:cfRule>
          <xm:sqref>CA6:CC6</xm:sqref>
        </x14:conditionalFormatting>
        <x14:conditionalFormatting xmlns:xm="http://schemas.microsoft.com/office/excel/2006/main">
          <x14:cfRule type="expression" priority="4689008" id="{5B0DB825-B7C2-40AC-B7EF-F267F054CFB9}">
            <xm:f>$U$4='Data entry'!$R7</xm:f>
            <x14:dxf>
              <fill>
                <patternFill>
                  <bgColor rgb="FFFF0000"/>
                </patternFill>
              </fill>
            </x14:dxf>
          </x14:cfRule>
          <xm:sqref>S9:AE9</xm:sqref>
        </x14:conditionalFormatting>
        <x14:conditionalFormatting xmlns:xm="http://schemas.microsoft.com/office/excel/2006/main">
          <x14:cfRule type="expression" priority="4689009" id="{18311200-E2BB-400F-B594-3B9A2C6068C2}">
            <xm:f>$V$4='Data entry'!$R7</xm:f>
            <x14:dxf>
              <fill>
                <patternFill>
                  <bgColor rgb="FFFF0000"/>
                </patternFill>
              </fill>
            </x14:dxf>
          </x14:cfRule>
          <xm:sqref>T9:AF9</xm:sqref>
        </x14:conditionalFormatting>
        <x14:conditionalFormatting xmlns:xm="http://schemas.microsoft.com/office/excel/2006/main">
          <x14:cfRule type="expression" priority="4689010" id="{D6DFB621-1A58-4C59-A987-ECAD0EB2D32B}">
            <xm:f>$V$4='Data entry'!$R7</xm:f>
            <x14:dxf>
              <fill>
                <patternFill>
                  <bgColor rgb="FFFFFF00"/>
                </patternFill>
              </fill>
            </x14:dxf>
          </x14:cfRule>
          <xm:sqref>H8:V8</xm:sqref>
        </x14:conditionalFormatting>
        <x14:conditionalFormatting xmlns:xm="http://schemas.microsoft.com/office/excel/2006/main">
          <x14:cfRule type="expression" priority="4689011" id="{5F87A680-DC5F-433D-A779-B7A534ACCDA9}">
            <xm:f>$W$4='Data entry'!$R7</xm:f>
            <x14:dxf>
              <fill>
                <patternFill>
                  <bgColor rgb="FFFF0000"/>
                </patternFill>
              </fill>
            </x14:dxf>
          </x14:cfRule>
          <xm:sqref>U9:AG9</xm:sqref>
        </x14:conditionalFormatting>
        <x14:conditionalFormatting xmlns:xm="http://schemas.microsoft.com/office/excel/2006/main">
          <x14:cfRule type="expression" priority="4689012" id="{964539FF-A92C-4F68-B268-B7157A32678C}">
            <xm:f>$W$4='Data entry'!$R7</xm:f>
            <x14:dxf>
              <fill>
                <patternFill>
                  <bgColor rgb="FFFFFF00"/>
                </patternFill>
              </fill>
            </x14:dxf>
          </x14:cfRule>
          <xm:sqref>I8:W8</xm:sqref>
        </x14:conditionalFormatting>
        <x14:conditionalFormatting xmlns:xm="http://schemas.microsoft.com/office/excel/2006/main">
          <x14:cfRule type="expression" priority="4689013" id="{46C1533A-F090-4A90-9309-3F59EC3FD3B0}">
            <xm:f>$X$4='Data entry'!$R7</xm:f>
            <x14:dxf>
              <fill>
                <patternFill>
                  <bgColor rgb="FFFF0000"/>
                </patternFill>
              </fill>
            </x14:dxf>
          </x14:cfRule>
          <xm:sqref>V9:AH9</xm:sqref>
        </x14:conditionalFormatting>
        <x14:conditionalFormatting xmlns:xm="http://schemas.microsoft.com/office/excel/2006/main">
          <x14:cfRule type="expression" priority="4689014" id="{7C70E81C-DDD4-4D75-933A-4F6A39893184}">
            <xm:f>$X$4='Data entry'!$R7</xm:f>
            <x14:dxf>
              <fill>
                <patternFill>
                  <bgColor rgb="FFFFFF00"/>
                </patternFill>
              </fill>
            </x14:dxf>
          </x14:cfRule>
          <xm:sqref>J8:X8</xm:sqref>
        </x14:conditionalFormatting>
        <x14:conditionalFormatting xmlns:xm="http://schemas.microsoft.com/office/excel/2006/main">
          <x14:cfRule type="expression" priority="4689015" id="{561AF073-0EF8-4B72-A119-40A639C4359D}">
            <xm:f>$Y$4='Data entry'!$R7</xm:f>
            <x14:dxf>
              <fill>
                <patternFill>
                  <bgColor rgb="FFFF0000"/>
                </patternFill>
              </fill>
            </x14:dxf>
          </x14:cfRule>
          <xm:sqref>W9:AI9</xm:sqref>
        </x14:conditionalFormatting>
        <x14:conditionalFormatting xmlns:xm="http://schemas.microsoft.com/office/excel/2006/main">
          <x14:cfRule type="expression" priority="4689016" id="{F242E808-8F07-4A89-9524-7D4C767CE357}">
            <xm:f>$Y$4='Data entry'!$R7</xm:f>
            <x14:dxf>
              <fill>
                <patternFill>
                  <bgColor rgb="FFFFFF00"/>
                </patternFill>
              </fill>
            </x14:dxf>
          </x14:cfRule>
          <xm:sqref>K8:Y8</xm:sqref>
        </x14:conditionalFormatting>
        <x14:conditionalFormatting xmlns:xm="http://schemas.microsoft.com/office/excel/2006/main">
          <x14:cfRule type="expression" priority="4689017" id="{DD601058-982B-4218-BD9D-64BB823C2633}">
            <xm:f>$Z$4='Data entry'!$R7</xm:f>
            <x14:dxf>
              <fill>
                <patternFill>
                  <bgColor rgb="FFFF0000"/>
                </patternFill>
              </fill>
            </x14:dxf>
          </x14:cfRule>
          <xm:sqref>X9:AJ9</xm:sqref>
        </x14:conditionalFormatting>
        <x14:conditionalFormatting xmlns:xm="http://schemas.microsoft.com/office/excel/2006/main">
          <x14:cfRule type="expression" priority="4689018" id="{C9DB141D-79F6-4093-92A3-7BF7A1622985}">
            <xm:f>$Z$4='Data entry'!$R7</xm:f>
            <x14:dxf>
              <fill>
                <patternFill>
                  <bgColor rgb="FFFFFF00"/>
                </patternFill>
              </fill>
            </x14:dxf>
          </x14:cfRule>
          <xm:sqref>L8:Z8</xm:sqref>
        </x14:conditionalFormatting>
        <x14:conditionalFormatting xmlns:xm="http://schemas.microsoft.com/office/excel/2006/main">
          <x14:cfRule type="expression" priority="4689019" id="{710EB8D3-F5C0-4E3C-8214-2D0C4E26F649}">
            <xm:f>$AA$4='Data entry'!$R7</xm:f>
            <x14:dxf>
              <fill>
                <patternFill>
                  <bgColor rgb="FFFF0000"/>
                </patternFill>
              </fill>
            </x14:dxf>
          </x14:cfRule>
          <xm:sqref>Y9:AK9</xm:sqref>
        </x14:conditionalFormatting>
        <x14:conditionalFormatting xmlns:xm="http://schemas.microsoft.com/office/excel/2006/main">
          <x14:cfRule type="expression" priority="4689020" id="{33825D69-C967-4D27-B395-5D44A3083802}">
            <xm:f>$AA$4='Data entry'!$R7</xm:f>
            <x14:dxf>
              <fill>
                <patternFill>
                  <bgColor rgb="FFFFFF00"/>
                </patternFill>
              </fill>
            </x14:dxf>
          </x14:cfRule>
          <xm:sqref>M8:AA8</xm:sqref>
        </x14:conditionalFormatting>
        <x14:conditionalFormatting xmlns:xm="http://schemas.microsoft.com/office/excel/2006/main">
          <x14:cfRule type="expression" priority="4689021" id="{9811A97D-351B-4D32-8754-AF433277E62B}">
            <xm:f>$AB$4='Data entry'!$R7</xm:f>
            <x14:dxf>
              <fill>
                <patternFill>
                  <bgColor rgb="FFFF0000"/>
                </patternFill>
              </fill>
            </x14:dxf>
          </x14:cfRule>
          <xm:sqref>Z9:AL9</xm:sqref>
        </x14:conditionalFormatting>
        <x14:conditionalFormatting xmlns:xm="http://schemas.microsoft.com/office/excel/2006/main">
          <x14:cfRule type="expression" priority="4689022" id="{6DD3E556-C72E-438B-92DA-3096ED1E4178}">
            <xm:f>$AB$4='Data entry'!$R7</xm:f>
            <x14:dxf>
              <fill>
                <patternFill>
                  <bgColor rgb="FFFFFF00"/>
                </patternFill>
              </fill>
            </x14:dxf>
          </x14:cfRule>
          <xm:sqref>N8:AB8</xm:sqref>
        </x14:conditionalFormatting>
        <x14:conditionalFormatting xmlns:xm="http://schemas.microsoft.com/office/excel/2006/main">
          <x14:cfRule type="expression" priority="4689023" id="{C0DF7A1B-D6BC-4371-BD3A-F0708147FA1C}">
            <xm:f>$AC$4='Data entry'!$R7</xm:f>
            <x14:dxf>
              <fill>
                <patternFill>
                  <bgColor rgb="FFFF0000"/>
                </patternFill>
              </fill>
            </x14:dxf>
          </x14:cfRule>
          <xm:sqref>AA9:AM9</xm:sqref>
        </x14:conditionalFormatting>
        <x14:conditionalFormatting xmlns:xm="http://schemas.microsoft.com/office/excel/2006/main">
          <x14:cfRule type="expression" priority="4689024" id="{DB2E1F48-AF0E-41F9-A976-6B1963CA5711}">
            <xm:f>$AC$4='Data entry'!$R7</xm:f>
            <x14:dxf>
              <fill>
                <patternFill>
                  <bgColor rgb="FFFFFF00"/>
                </patternFill>
              </fill>
            </x14:dxf>
          </x14:cfRule>
          <xm:sqref>O8:AC8</xm:sqref>
        </x14:conditionalFormatting>
        <x14:conditionalFormatting xmlns:xm="http://schemas.microsoft.com/office/excel/2006/main">
          <x14:cfRule type="expression" priority="4689025" id="{89909907-F9A9-4AF9-BC1D-304710A43F50}">
            <xm:f>$AD$4='Data entry'!$R7</xm:f>
            <x14:dxf>
              <fill>
                <patternFill>
                  <bgColor rgb="FFFF0000"/>
                </patternFill>
              </fill>
            </x14:dxf>
          </x14:cfRule>
          <xm:sqref>AB9:AN9</xm:sqref>
        </x14:conditionalFormatting>
        <x14:conditionalFormatting xmlns:xm="http://schemas.microsoft.com/office/excel/2006/main">
          <x14:cfRule type="expression" priority="4689026" id="{729676B7-E331-43A4-ACC9-850DCEE76A0E}">
            <xm:f>$AD$4='Data entry'!$R7</xm:f>
            <x14:dxf>
              <fill>
                <patternFill>
                  <bgColor rgb="FFFFFF00"/>
                </patternFill>
              </fill>
            </x14:dxf>
          </x14:cfRule>
          <xm:sqref>P8:AD8</xm:sqref>
        </x14:conditionalFormatting>
        <x14:conditionalFormatting xmlns:xm="http://schemas.microsoft.com/office/excel/2006/main">
          <x14:cfRule type="expression" priority="4689027" id="{00DA2C55-350E-44AA-ABEA-808FABFDA737}">
            <xm:f>$AE$4='Data entry'!$R7</xm:f>
            <x14:dxf>
              <fill>
                <patternFill>
                  <bgColor rgb="FFFF0000"/>
                </patternFill>
              </fill>
            </x14:dxf>
          </x14:cfRule>
          <xm:sqref>AC9:AO9</xm:sqref>
        </x14:conditionalFormatting>
        <x14:conditionalFormatting xmlns:xm="http://schemas.microsoft.com/office/excel/2006/main">
          <x14:cfRule type="expression" priority="4689028" id="{373C95F1-00C1-45E9-B561-5224945BA4A4}">
            <xm:f>$AE$4='Data entry'!$R7</xm:f>
            <x14:dxf>
              <fill>
                <patternFill>
                  <bgColor rgb="FFFFFF00"/>
                </patternFill>
              </fill>
            </x14:dxf>
          </x14:cfRule>
          <xm:sqref>Q8:AE8</xm:sqref>
        </x14:conditionalFormatting>
        <x14:conditionalFormatting xmlns:xm="http://schemas.microsoft.com/office/excel/2006/main">
          <x14:cfRule type="expression" priority="4689029" id="{65E90E74-6BEF-4B00-BD5E-ECACFEBC225A}">
            <xm:f>$AF$4='Data entry'!$R7</xm:f>
            <x14:dxf>
              <fill>
                <patternFill>
                  <bgColor rgb="FFFF0000"/>
                </patternFill>
              </fill>
            </x14:dxf>
          </x14:cfRule>
          <xm:sqref>AD9:AP9</xm:sqref>
        </x14:conditionalFormatting>
        <x14:conditionalFormatting xmlns:xm="http://schemas.microsoft.com/office/excel/2006/main">
          <x14:cfRule type="expression" priority="4689030" id="{56B519D7-E083-4811-B42B-D6CB10D44BB3}">
            <xm:f>$AF$4='Data entry'!$R7</xm:f>
            <x14:dxf>
              <fill>
                <patternFill>
                  <bgColor rgb="FFFFFF00"/>
                </patternFill>
              </fill>
            </x14:dxf>
          </x14:cfRule>
          <xm:sqref>R8:AF8</xm:sqref>
        </x14:conditionalFormatting>
        <x14:conditionalFormatting xmlns:xm="http://schemas.microsoft.com/office/excel/2006/main">
          <x14:cfRule type="expression" priority="4689031" id="{889682B6-BF9B-414B-86B7-1C802156B058}">
            <xm:f>$AG$4='Data entry'!$R7</xm:f>
            <x14:dxf>
              <fill>
                <patternFill>
                  <bgColor rgb="FFFF0000"/>
                </patternFill>
              </fill>
            </x14:dxf>
          </x14:cfRule>
          <xm:sqref>AE9:AQ9</xm:sqref>
        </x14:conditionalFormatting>
        <x14:conditionalFormatting xmlns:xm="http://schemas.microsoft.com/office/excel/2006/main">
          <x14:cfRule type="expression" priority="4689032" id="{19913D88-1940-4CB0-B29C-D46D60833BD5}">
            <xm:f>$AG$4='Data entry'!$R7</xm:f>
            <x14:dxf>
              <fill>
                <patternFill>
                  <bgColor rgb="FFFFFF00"/>
                </patternFill>
              </fill>
            </x14:dxf>
          </x14:cfRule>
          <xm:sqref>S8:AG8</xm:sqref>
        </x14:conditionalFormatting>
        <x14:conditionalFormatting xmlns:xm="http://schemas.microsoft.com/office/excel/2006/main">
          <x14:cfRule type="expression" priority="4689033" id="{3DD7B9A5-18A3-463F-BAD5-9796FC487328}">
            <xm:f>$AH$4='Data entry'!$R7</xm:f>
            <x14:dxf>
              <fill>
                <patternFill>
                  <bgColor rgb="FFFF0000"/>
                </patternFill>
              </fill>
            </x14:dxf>
          </x14:cfRule>
          <xm:sqref>AF9:AR9</xm:sqref>
        </x14:conditionalFormatting>
        <x14:conditionalFormatting xmlns:xm="http://schemas.microsoft.com/office/excel/2006/main">
          <x14:cfRule type="expression" priority="4689034" id="{31005CF4-5608-496E-91EB-F7F505046C80}">
            <xm:f>$AH$4='Data entry'!$R7</xm:f>
            <x14:dxf>
              <fill>
                <patternFill>
                  <bgColor rgb="FFFFFF00"/>
                </patternFill>
              </fill>
            </x14:dxf>
          </x14:cfRule>
          <xm:sqref>T8:AH8</xm:sqref>
        </x14:conditionalFormatting>
        <x14:conditionalFormatting xmlns:xm="http://schemas.microsoft.com/office/excel/2006/main">
          <x14:cfRule type="expression" priority="4689035" id="{CD14F654-5B7A-444F-8FC1-7DD71E76E475}">
            <xm:f>$AI$4='Data entry'!$R7</xm:f>
            <x14:dxf>
              <fill>
                <patternFill>
                  <bgColor rgb="FFFF0000"/>
                </patternFill>
              </fill>
            </x14:dxf>
          </x14:cfRule>
          <xm:sqref>AG9:AS9</xm:sqref>
        </x14:conditionalFormatting>
        <x14:conditionalFormatting xmlns:xm="http://schemas.microsoft.com/office/excel/2006/main">
          <x14:cfRule type="expression" priority="4689036" id="{0E4E448C-6C46-4285-B877-A61A90294385}">
            <xm:f>$AI$4='Data entry'!$R7</xm:f>
            <x14:dxf>
              <fill>
                <patternFill>
                  <bgColor rgb="FFFFFF00"/>
                </patternFill>
              </fill>
            </x14:dxf>
          </x14:cfRule>
          <xm:sqref>U8:AI8</xm:sqref>
        </x14:conditionalFormatting>
        <x14:conditionalFormatting xmlns:xm="http://schemas.microsoft.com/office/excel/2006/main">
          <x14:cfRule type="expression" priority="4689037" id="{B1C1818F-791C-403D-BE73-6F6E9DC6A16D}">
            <xm:f>$AJ$4='Data entry'!$R7</xm:f>
            <x14:dxf>
              <fill>
                <patternFill>
                  <bgColor rgb="FFFF0000"/>
                </patternFill>
              </fill>
            </x14:dxf>
          </x14:cfRule>
          <xm:sqref>AH9:AT9</xm:sqref>
        </x14:conditionalFormatting>
        <x14:conditionalFormatting xmlns:xm="http://schemas.microsoft.com/office/excel/2006/main">
          <x14:cfRule type="expression" priority="4689038" id="{A1237792-221B-431B-B8A7-E9A64DA46D93}">
            <xm:f>$AJ$4='Data entry'!$R7</xm:f>
            <x14:dxf>
              <fill>
                <patternFill>
                  <bgColor rgb="FFFFFF00"/>
                </patternFill>
              </fill>
            </x14:dxf>
          </x14:cfRule>
          <xm:sqref>V8:AJ8</xm:sqref>
        </x14:conditionalFormatting>
        <x14:conditionalFormatting xmlns:xm="http://schemas.microsoft.com/office/excel/2006/main">
          <x14:cfRule type="expression" priority="4689039" id="{617DC2AF-C7A3-4724-8EA3-17DEFEDC8949}">
            <xm:f>$AK$4='Data entry'!$R7</xm:f>
            <x14:dxf>
              <fill>
                <patternFill>
                  <bgColor rgb="FFFF0000"/>
                </patternFill>
              </fill>
            </x14:dxf>
          </x14:cfRule>
          <xm:sqref>AI9:AU9</xm:sqref>
        </x14:conditionalFormatting>
        <x14:conditionalFormatting xmlns:xm="http://schemas.microsoft.com/office/excel/2006/main">
          <x14:cfRule type="expression" priority="4689040" id="{AA72317D-37B1-48EB-A28B-BF2AC8DC4519}">
            <xm:f>$AK$4='Data entry'!$R7</xm:f>
            <x14:dxf>
              <fill>
                <patternFill>
                  <bgColor rgb="FFFFFF00"/>
                </patternFill>
              </fill>
            </x14:dxf>
          </x14:cfRule>
          <xm:sqref>W8:AK8</xm:sqref>
        </x14:conditionalFormatting>
        <x14:conditionalFormatting xmlns:xm="http://schemas.microsoft.com/office/excel/2006/main">
          <x14:cfRule type="expression" priority="4689041" id="{6CA9FB7A-20EA-4D3A-B74C-A001F4BE810D}">
            <xm:f>$AL$4='Data entry'!$R7</xm:f>
            <x14:dxf>
              <fill>
                <patternFill>
                  <bgColor rgb="FFFF0000"/>
                </patternFill>
              </fill>
            </x14:dxf>
          </x14:cfRule>
          <xm:sqref>AJ9:AV9</xm:sqref>
        </x14:conditionalFormatting>
        <x14:conditionalFormatting xmlns:xm="http://schemas.microsoft.com/office/excel/2006/main">
          <x14:cfRule type="expression" priority="4689042" id="{81A75DAA-573F-4EF3-A640-1B992C18BEA0}">
            <xm:f>$AL$4='Data entry'!$R7</xm:f>
            <x14:dxf>
              <fill>
                <patternFill>
                  <bgColor rgb="FFFFFF00"/>
                </patternFill>
              </fill>
            </x14:dxf>
          </x14:cfRule>
          <xm:sqref>X8:AL8</xm:sqref>
        </x14:conditionalFormatting>
        <x14:conditionalFormatting xmlns:xm="http://schemas.microsoft.com/office/excel/2006/main">
          <x14:cfRule type="expression" priority="4689043" id="{3D44713E-4ABA-4CCD-9DF4-5513A9FB5E1E}">
            <xm:f>$AM$4='Data entry'!$R7</xm:f>
            <x14:dxf>
              <fill>
                <patternFill>
                  <bgColor rgb="FFFF0000"/>
                </patternFill>
              </fill>
            </x14:dxf>
          </x14:cfRule>
          <xm:sqref>AK9:AW9</xm:sqref>
        </x14:conditionalFormatting>
        <x14:conditionalFormatting xmlns:xm="http://schemas.microsoft.com/office/excel/2006/main">
          <x14:cfRule type="expression" priority="4689044" id="{05A26B51-72A7-4423-822F-2BDBC28275D0}">
            <xm:f>$AM$4='Data entry'!$R7</xm:f>
            <x14:dxf>
              <fill>
                <patternFill>
                  <bgColor rgb="FFFFFF00"/>
                </patternFill>
              </fill>
            </x14:dxf>
          </x14:cfRule>
          <xm:sqref>Y8:AM8</xm:sqref>
        </x14:conditionalFormatting>
        <x14:conditionalFormatting xmlns:xm="http://schemas.microsoft.com/office/excel/2006/main">
          <x14:cfRule type="expression" priority="4689045" id="{B8A20675-6230-4694-A7F6-6B3DC7142773}">
            <xm:f>$AN$4='Data entry'!$R7</xm:f>
            <x14:dxf>
              <fill>
                <patternFill>
                  <bgColor rgb="FFFF0000"/>
                </patternFill>
              </fill>
            </x14:dxf>
          </x14:cfRule>
          <xm:sqref>AL9:AX9</xm:sqref>
        </x14:conditionalFormatting>
        <x14:conditionalFormatting xmlns:xm="http://schemas.microsoft.com/office/excel/2006/main">
          <x14:cfRule type="expression" priority="4689046" id="{8421181C-7450-42E9-BC1D-065CCFCA960E}">
            <xm:f>$AN$4='Data entry'!$R7</xm:f>
            <x14:dxf>
              <fill>
                <patternFill>
                  <bgColor rgb="FFFFFF00"/>
                </patternFill>
              </fill>
            </x14:dxf>
          </x14:cfRule>
          <xm:sqref>Z8:AN8</xm:sqref>
        </x14:conditionalFormatting>
        <x14:conditionalFormatting xmlns:xm="http://schemas.microsoft.com/office/excel/2006/main">
          <x14:cfRule type="expression" priority="4689047" id="{067FE4BD-6EF4-4684-B6E0-35AB2F267EE7}">
            <xm:f>$AO$4='Data entry'!$R7</xm:f>
            <x14:dxf>
              <fill>
                <patternFill>
                  <bgColor rgb="FFFF0000"/>
                </patternFill>
              </fill>
            </x14:dxf>
          </x14:cfRule>
          <xm:sqref>AM9:AY9</xm:sqref>
        </x14:conditionalFormatting>
        <x14:conditionalFormatting xmlns:xm="http://schemas.microsoft.com/office/excel/2006/main">
          <x14:cfRule type="expression" priority="4689048" id="{F7653492-88D1-47AC-8BA3-0CCE65C3C2AB}">
            <xm:f>$AO$4='Data entry'!$R7</xm:f>
            <x14:dxf>
              <fill>
                <patternFill>
                  <bgColor rgb="FFFFFF00"/>
                </patternFill>
              </fill>
            </x14:dxf>
          </x14:cfRule>
          <xm:sqref>AA8:AO8</xm:sqref>
        </x14:conditionalFormatting>
        <x14:conditionalFormatting xmlns:xm="http://schemas.microsoft.com/office/excel/2006/main">
          <x14:cfRule type="expression" priority="4689049" id="{207A5E5D-B322-482E-9193-1D7318138358}">
            <xm:f>$AP$4='Data entry'!$R7</xm:f>
            <x14:dxf>
              <fill>
                <patternFill>
                  <bgColor rgb="FFFF0000"/>
                </patternFill>
              </fill>
            </x14:dxf>
          </x14:cfRule>
          <xm:sqref>AN9:AZ9</xm:sqref>
        </x14:conditionalFormatting>
        <x14:conditionalFormatting xmlns:xm="http://schemas.microsoft.com/office/excel/2006/main">
          <x14:cfRule type="expression" priority="4689050" id="{21DA638D-4CA0-4067-BFF1-240CE1A0261B}">
            <xm:f>$AP$4='Data entry'!$R7</xm:f>
            <x14:dxf>
              <fill>
                <patternFill>
                  <bgColor rgb="FFFFFF00"/>
                </patternFill>
              </fill>
            </x14:dxf>
          </x14:cfRule>
          <xm:sqref>AB8:AP8</xm:sqref>
        </x14:conditionalFormatting>
        <x14:conditionalFormatting xmlns:xm="http://schemas.microsoft.com/office/excel/2006/main">
          <x14:cfRule type="expression" priority="4689051" id="{71963D96-A42A-4B90-BFC7-6D83D37766EF}">
            <xm:f>$AQ$4='Data entry'!$R7</xm:f>
            <x14:dxf>
              <fill>
                <patternFill>
                  <bgColor rgb="FFFF0000"/>
                </patternFill>
              </fill>
            </x14:dxf>
          </x14:cfRule>
          <xm:sqref>AO9:BA9</xm:sqref>
        </x14:conditionalFormatting>
        <x14:conditionalFormatting xmlns:xm="http://schemas.microsoft.com/office/excel/2006/main">
          <x14:cfRule type="expression" priority="4689052" id="{74952595-84B6-484F-8FF6-FCC1F337DF4D}">
            <xm:f>$AQ$4='Data entry'!$R7</xm:f>
            <x14:dxf>
              <fill>
                <patternFill>
                  <bgColor rgb="FFFFFF00"/>
                </patternFill>
              </fill>
            </x14:dxf>
          </x14:cfRule>
          <xm:sqref>AC8:AQ8</xm:sqref>
        </x14:conditionalFormatting>
        <x14:conditionalFormatting xmlns:xm="http://schemas.microsoft.com/office/excel/2006/main">
          <x14:cfRule type="expression" priority="4689053" id="{8AC9C4B9-0A34-4BC0-B0F7-CA89434C4911}">
            <xm:f>$P$4='Data entry'!$R7</xm:f>
            <x14:dxf>
              <fill>
                <patternFill>
                  <bgColor rgb="FFFFFF00"/>
                </patternFill>
              </fill>
            </x14:dxf>
          </x14:cfRule>
          <xm:sqref>C8:P8</xm:sqref>
        </x14:conditionalFormatting>
        <x14:conditionalFormatting xmlns:xm="http://schemas.microsoft.com/office/excel/2006/main">
          <x14:cfRule type="expression" priority="4689054" id="{0A726775-ABFD-4F22-967C-1A4D87BA3751}">
            <xm:f>$Q$4='Data entry'!$R7</xm:f>
            <x14:dxf>
              <fill>
                <patternFill>
                  <bgColor rgb="FFFFFF00"/>
                </patternFill>
              </fill>
            </x14:dxf>
          </x14:cfRule>
          <xm:sqref>C8:Q8</xm:sqref>
        </x14:conditionalFormatting>
        <x14:conditionalFormatting xmlns:xm="http://schemas.microsoft.com/office/excel/2006/main">
          <x14:cfRule type="expression" priority="4689055" id="{3A8414BD-262C-43B5-86EE-FA6901D00453}">
            <xm:f>$Q$4='Data entry'!$R7</xm:f>
            <x14:dxf>
              <fill>
                <patternFill>
                  <bgColor rgb="FFFF0000"/>
                </patternFill>
              </fill>
            </x14:dxf>
          </x14:cfRule>
          <xm:sqref>O9:AA9</xm:sqref>
        </x14:conditionalFormatting>
        <x14:conditionalFormatting xmlns:xm="http://schemas.microsoft.com/office/excel/2006/main">
          <x14:cfRule type="expression" priority="4689056" id="{B8B5501D-F3EF-4449-9306-F652960C65F4}">
            <xm:f>$R$4='Data entry'!$R7</xm:f>
            <x14:dxf>
              <fill>
                <patternFill>
                  <bgColor rgb="FFFF0000"/>
                </patternFill>
              </fill>
            </x14:dxf>
          </x14:cfRule>
          <xm:sqref>P9:AB9</xm:sqref>
        </x14:conditionalFormatting>
        <x14:conditionalFormatting xmlns:xm="http://schemas.microsoft.com/office/excel/2006/main">
          <x14:cfRule type="expression" priority="4689057" id="{5D070DEC-B82E-4D87-B907-A3E5AB836991}">
            <xm:f>$R$4='Data entry'!$R7</xm:f>
            <x14:dxf>
              <fill>
                <patternFill>
                  <bgColor rgb="FFFFFF00"/>
                </patternFill>
              </fill>
            </x14:dxf>
          </x14:cfRule>
          <xm:sqref>D8:R8</xm:sqref>
        </x14:conditionalFormatting>
        <x14:conditionalFormatting xmlns:xm="http://schemas.microsoft.com/office/excel/2006/main">
          <x14:cfRule type="expression" priority="4689058" id="{E4D16A10-F818-4664-9FB2-F0E839824D4B}">
            <xm:f>$S$4='Data entry'!$R7</xm:f>
            <x14:dxf>
              <fill>
                <patternFill>
                  <bgColor rgb="FFFF0000"/>
                </patternFill>
              </fill>
            </x14:dxf>
          </x14:cfRule>
          <xm:sqref>Q9:AC9</xm:sqref>
        </x14:conditionalFormatting>
        <x14:conditionalFormatting xmlns:xm="http://schemas.microsoft.com/office/excel/2006/main">
          <x14:cfRule type="expression" priority="4689059" id="{1A9F9911-A3E9-4730-AFBE-AB8C596545CA}">
            <xm:f>$S$4='Data entry'!$R7</xm:f>
            <x14:dxf>
              <fill>
                <patternFill>
                  <bgColor rgb="FFFFFF00"/>
                </patternFill>
              </fill>
            </x14:dxf>
          </x14:cfRule>
          <xm:sqref>E8:S8</xm:sqref>
        </x14:conditionalFormatting>
        <x14:conditionalFormatting xmlns:xm="http://schemas.microsoft.com/office/excel/2006/main">
          <x14:cfRule type="expression" priority="4689060" id="{8BB5CD1B-B2AC-442A-9550-26DE19A62D22}">
            <xm:f>$T$4='Data entry'!$R7</xm:f>
            <x14:dxf>
              <fill>
                <patternFill>
                  <bgColor rgb="FFFF0000"/>
                </patternFill>
              </fill>
            </x14:dxf>
          </x14:cfRule>
          <xm:sqref>R9:AD9</xm:sqref>
        </x14:conditionalFormatting>
        <x14:conditionalFormatting xmlns:xm="http://schemas.microsoft.com/office/excel/2006/main">
          <x14:cfRule type="expression" priority="4689061" id="{E7B59C69-7921-4049-84A1-8B3E5F7B0598}">
            <xm:f>$T$4='Data entry'!$R7</xm:f>
            <x14:dxf>
              <fill>
                <patternFill>
                  <bgColor rgb="FFFFFF00"/>
                </patternFill>
              </fill>
            </x14:dxf>
          </x14:cfRule>
          <xm:sqref>F8:T8</xm:sqref>
        </x14:conditionalFormatting>
        <x14:conditionalFormatting xmlns:xm="http://schemas.microsoft.com/office/excel/2006/main">
          <x14:cfRule type="expression" priority="4689062" id="{238C09E5-7A3D-439D-949F-A7733073F9A2}">
            <xm:f>$U$4='Data entry'!$R7</xm:f>
            <x14:dxf>
              <fill>
                <patternFill>
                  <bgColor rgb="FFFFFF00"/>
                </patternFill>
              </fill>
            </x14:dxf>
          </x14:cfRule>
          <xm:sqref>G8:U8</xm:sqref>
        </x14:conditionalFormatting>
        <x14:conditionalFormatting xmlns:xm="http://schemas.microsoft.com/office/excel/2006/main">
          <x14:cfRule type="expression" priority="4689063" id="{DE4D4432-0A19-452A-AF14-2873FE4DF411}">
            <xm:f>$AR$4='Data entry'!$R7</xm:f>
            <x14:dxf>
              <fill>
                <patternFill>
                  <bgColor rgb="FFFF0000"/>
                </patternFill>
              </fill>
            </x14:dxf>
          </x14:cfRule>
          <xm:sqref>AP9:BB9</xm:sqref>
        </x14:conditionalFormatting>
        <x14:conditionalFormatting xmlns:xm="http://schemas.microsoft.com/office/excel/2006/main">
          <x14:cfRule type="expression" priority="4689064" id="{90D7E1FF-542D-40C8-9BD5-DFEB4CDD256F}">
            <xm:f>$AR$4='Data entry'!$R7</xm:f>
            <x14:dxf>
              <fill>
                <patternFill>
                  <bgColor rgb="FFFFFF00"/>
                </patternFill>
              </fill>
            </x14:dxf>
          </x14:cfRule>
          <xm:sqref>AD8:AR8</xm:sqref>
        </x14:conditionalFormatting>
        <x14:conditionalFormatting xmlns:xm="http://schemas.microsoft.com/office/excel/2006/main">
          <x14:cfRule type="expression" priority="4689065" id="{0EBB5305-4A4A-4205-A1FF-11160070CBC3}">
            <xm:f>$AS$4='Data entry'!$R7</xm:f>
            <x14:dxf>
              <fill>
                <patternFill>
                  <bgColor rgb="FFFF0000"/>
                </patternFill>
              </fill>
            </x14:dxf>
          </x14:cfRule>
          <xm:sqref>AQ9:BC9</xm:sqref>
        </x14:conditionalFormatting>
        <x14:conditionalFormatting xmlns:xm="http://schemas.microsoft.com/office/excel/2006/main">
          <x14:cfRule type="expression" priority="4689066" id="{AC8EB30C-4253-4CE1-820E-1801F6D8D35B}">
            <xm:f>$AS$4='Data entry'!$R7</xm:f>
            <x14:dxf>
              <fill>
                <patternFill>
                  <bgColor rgb="FFFFFF00"/>
                </patternFill>
              </fill>
            </x14:dxf>
          </x14:cfRule>
          <xm:sqref>AE8:AS8</xm:sqref>
        </x14:conditionalFormatting>
        <x14:conditionalFormatting xmlns:xm="http://schemas.microsoft.com/office/excel/2006/main">
          <x14:cfRule type="expression" priority="4689067" id="{E11744C1-7201-4272-A1B0-945490B42425}">
            <xm:f>$AT$4='Data entry'!$R7</xm:f>
            <x14:dxf>
              <fill>
                <patternFill>
                  <bgColor rgb="FFFF0000"/>
                </patternFill>
              </fill>
            </x14:dxf>
          </x14:cfRule>
          <xm:sqref>AR9:BD9</xm:sqref>
        </x14:conditionalFormatting>
        <x14:conditionalFormatting xmlns:xm="http://schemas.microsoft.com/office/excel/2006/main">
          <x14:cfRule type="expression" priority="4689068" id="{5EE2823B-E955-4EA7-B99C-0B1F77B57A69}">
            <xm:f>$AT$4='Data entry'!$R7</xm:f>
            <x14:dxf>
              <fill>
                <patternFill>
                  <bgColor rgb="FFFFFF00"/>
                </patternFill>
              </fill>
            </x14:dxf>
          </x14:cfRule>
          <xm:sqref>AF8:AT8</xm:sqref>
        </x14:conditionalFormatting>
        <x14:conditionalFormatting xmlns:xm="http://schemas.microsoft.com/office/excel/2006/main">
          <x14:cfRule type="expression" priority="4689069" id="{5737DC63-3262-4B34-900C-2AAEB255FCBA}">
            <xm:f>$AU$4='Data entry'!$R7</xm:f>
            <x14:dxf>
              <fill>
                <patternFill>
                  <bgColor rgb="FFFF0000"/>
                </patternFill>
              </fill>
            </x14:dxf>
          </x14:cfRule>
          <xm:sqref>AS9:BE9</xm:sqref>
        </x14:conditionalFormatting>
        <x14:conditionalFormatting xmlns:xm="http://schemas.microsoft.com/office/excel/2006/main">
          <x14:cfRule type="expression" priority="4689070" id="{2B5C1F1B-3C3D-4CA3-BC64-0E98422075B6}">
            <xm:f>$AU$4='Data entry'!$R7</xm:f>
            <x14:dxf>
              <fill>
                <patternFill>
                  <bgColor rgb="FFFFFF00"/>
                </patternFill>
              </fill>
            </x14:dxf>
          </x14:cfRule>
          <xm:sqref>AG8:AU8</xm:sqref>
        </x14:conditionalFormatting>
        <x14:conditionalFormatting xmlns:xm="http://schemas.microsoft.com/office/excel/2006/main">
          <x14:cfRule type="expression" priority="4689071" id="{B87A1285-B003-4855-8F4B-53C391BA10E6}">
            <xm:f>$AV$4='Data entry'!$R7</xm:f>
            <x14:dxf>
              <fill>
                <patternFill>
                  <bgColor rgb="FFFF0000"/>
                </patternFill>
              </fill>
            </x14:dxf>
          </x14:cfRule>
          <xm:sqref>AT9:BF9</xm:sqref>
        </x14:conditionalFormatting>
        <x14:conditionalFormatting xmlns:xm="http://schemas.microsoft.com/office/excel/2006/main">
          <x14:cfRule type="expression" priority="4689072" id="{338EE31C-78DB-4818-B837-0380F9E457FA}">
            <xm:f>$AV$4='Data entry'!$R7</xm:f>
            <x14:dxf>
              <fill>
                <patternFill>
                  <bgColor rgb="FFFFFF00"/>
                </patternFill>
              </fill>
            </x14:dxf>
          </x14:cfRule>
          <xm:sqref>AH8:AV8</xm:sqref>
        </x14:conditionalFormatting>
        <x14:conditionalFormatting xmlns:xm="http://schemas.microsoft.com/office/excel/2006/main">
          <x14:cfRule type="expression" priority="4689073" id="{5C40EA66-2801-4C91-B885-BF6A1ECFC35C}">
            <xm:f>$AW$4='Data entry'!$R7</xm:f>
            <x14:dxf>
              <fill>
                <patternFill>
                  <bgColor rgb="FFFF0000"/>
                </patternFill>
              </fill>
            </x14:dxf>
          </x14:cfRule>
          <xm:sqref>AU9:BG9</xm:sqref>
        </x14:conditionalFormatting>
        <x14:conditionalFormatting xmlns:xm="http://schemas.microsoft.com/office/excel/2006/main">
          <x14:cfRule type="expression" priority="4689074" id="{51BCD5CE-DF86-4C2F-8A81-DDA1EFD6C8F7}">
            <xm:f>$AW$4='Data entry'!$R7</xm:f>
            <x14:dxf>
              <fill>
                <patternFill>
                  <bgColor rgb="FFFFFF00"/>
                </patternFill>
              </fill>
            </x14:dxf>
          </x14:cfRule>
          <xm:sqref>AI8:AW8</xm:sqref>
        </x14:conditionalFormatting>
        <x14:conditionalFormatting xmlns:xm="http://schemas.microsoft.com/office/excel/2006/main">
          <x14:cfRule type="expression" priority="4689075" id="{DC2ED5A0-8917-4877-8CD3-9DF9BE5993C9}">
            <xm:f>$AX$4='Data entry'!$R7</xm:f>
            <x14:dxf>
              <fill>
                <patternFill>
                  <bgColor rgb="FFFF0000"/>
                </patternFill>
              </fill>
            </x14:dxf>
          </x14:cfRule>
          <xm:sqref>AV9:BH9</xm:sqref>
        </x14:conditionalFormatting>
        <x14:conditionalFormatting xmlns:xm="http://schemas.microsoft.com/office/excel/2006/main">
          <x14:cfRule type="expression" priority="4689076" id="{59B31869-20F9-45BD-BC80-0A6C8945CE2C}">
            <xm:f>$AX$4='Data entry'!$R7</xm:f>
            <x14:dxf>
              <fill>
                <patternFill>
                  <bgColor rgb="FFFFFF00"/>
                </patternFill>
              </fill>
            </x14:dxf>
          </x14:cfRule>
          <xm:sqref>AJ8:AX8</xm:sqref>
        </x14:conditionalFormatting>
        <x14:conditionalFormatting xmlns:xm="http://schemas.microsoft.com/office/excel/2006/main">
          <x14:cfRule type="expression" priority="4689077" id="{D4208FA0-4262-4037-934C-6D0742B2AD8E}">
            <xm:f>$AY$4='Data entry'!$R7</xm:f>
            <x14:dxf>
              <fill>
                <patternFill>
                  <bgColor rgb="FFFF0000"/>
                </patternFill>
              </fill>
            </x14:dxf>
          </x14:cfRule>
          <xm:sqref>AW9:BI9</xm:sqref>
        </x14:conditionalFormatting>
        <x14:conditionalFormatting xmlns:xm="http://schemas.microsoft.com/office/excel/2006/main">
          <x14:cfRule type="expression" priority="4689078" id="{04D6E423-18C7-42B2-A67D-F49D8E62B571}">
            <xm:f>$AY$4='Data entry'!$R7</xm:f>
            <x14:dxf>
              <fill>
                <patternFill>
                  <bgColor rgb="FFFFFF00"/>
                </patternFill>
              </fill>
            </x14:dxf>
          </x14:cfRule>
          <xm:sqref>AK8:AY8</xm:sqref>
        </x14:conditionalFormatting>
        <x14:conditionalFormatting xmlns:xm="http://schemas.microsoft.com/office/excel/2006/main">
          <x14:cfRule type="expression" priority="4689079" id="{A931C203-6E4B-4EBD-A2F4-1876881F48D4}">
            <xm:f>$AZ$4='Data entry'!$R7</xm:f>
            <x14:dxf>
              <fill>
                <patternFill>
                  <bgColor rgb="FFFF0000"/>
                </patternFill>
              </fill>
            </x14:dxf>
          </x14:cfRule>
          <xm:sqref>AX9:BJ9</xm:sqref>
        </x14:conditionalFormatting>
        <x14:conditionalFormatting xmlns:xm="http://schemas.microsoft.com/office/excel/2006/main">
          <x14:cfRule type="expression" priority="4689080" id="{092D9100-E652-40FE-8CAA-720DC0681250}">
            <xm:f>$AZ$4='Data entry'!$R7</xm:f>
            <x14:dxf>
              <fill>
                <patternFill>
                  <bgColor rgb="FFFFFF00"/>
                </patternFill>
              </fill>
            </x14:dxf>
          </x14:cfRule>
          <xm:sqref>AL8:AZ8</xm:sqref>
        </x14:conditionalFormatting>
        <x14:conditionalFormatting xmlns:xm="http://schemas.microsoft.com/office/excel/2006/main">
          <x14:cfRule type="expression" priority="4689081" id="{A3C7E6BE-A225-483C-A983-A915DB662C52}">
            <xm:f>$BA$4='Data entry'!$R7</xm:f>
            <x14:dxf>
              <fill>
                <patternFill>
                  <bgColor rgb="FFFF0000"/>
                </patternFill>
              </fill>
            </x14:dxf>
          </x14:cfRule>
          <xm:sqref>AY9:BK9</xm:sqref>
        </x14:conditionalFormatting>
        <x14:conditionalFormatting xmlns:xm="http://schemas.microsoft.com/office/excel/2006/main">
          <x14:cfRule type="expression" priority="4689082" id="{F5CF569A-8AFA-4CFF-8BD3-F04D8927A99F}">
            <xm:f>$BA$4='Data entry'!$R7</xm:f>
            <x14:dxf>
              <fill>
                <patternFill>
                  <bgColor rgb="FFFFFF00"/>
                </patternFill>
              </fill>
            </x14:dxf>
          </x14:cfRule>
          <xm:sqref>AM8:BA8</xm:sqref>
        </x14:conditionalFormatting>
        <x14:conditionalFormatting xmlns:xm="http://schemas.microsoft.com/office/excel/2006/main">
          <x14:cfRule type="expression" priority="4689083" id="{E4DAC94A-7983-4BFB-A87B-45B58561841A}">
            <xm:f>$BB$4='Data entry'!$R7</xm:f>
            <x14:dxf>
              <fill>
                <patternFill>
                  <bgColor rgb="FFFF0000"/>
                </patternFill>
              </fill>
            </x14:dxf>
          </x14:cfRule>
          <xm:sqref>AZ9:BL9</xm:sqref>
        </x14:conditionalFormatting>
        <x14:conditionalFormatting xmlns:xm="http://schemas.microsoft.com/office/excel/2006/main">
          <x14:cfRule type="expression" priority="4689084" id="{E63849C5-F39B-4B0E-8F8A-B532EDF2CBAE}">
            <xm:f>$BB$4='Data entry'!$R7</xm:f>
            <x14:dxf>
              <fill>
                <patternFill>
                  <bgColor rgb="FFFFFF00"/>
                </patternFill>
              </fill>
            </x14:dxf>
          </x14:cfRule>
          <xm:sqref>AN8:BB8</xm:sqref>
        </x14:conditionalFormatting>
        <x14:conditionalFormatting xmlns:xm="http://schemas.microsoft.com/office/excel/2006/main">
          <x14:cfRule type="expression" priority="4689085" id="{4FDC32D3-C1F5-455D-9AA4-A03359B72526}">
            <xm:f>$BC$4='Data entry'!$R7</xm:f>
            <x14:dxf>
              <fill>
                <patternFill>
                  <bgColor rgb="FFFF0000"/>
                </patternFill>
              </fill>
            </x14:dxf>
          </x14:cfRule>
          <xm:sqref>BA9:BM9</xm:sqref>
        </x14:conditionalFormatting>
        <x14:conditionalFormatting xmlns:xm="http://schemas.microsoft.com/office/excel/2006/main">
          <x14:cfRule type="expression" priority="4689086" id="{5F0D0C60-B233-4C56-B05D-98C99990877F}">
            <xm:f>$BC$4='Data entry'!$R7</xm:f>
            <x14:dxf>
              <fill>
                <patternFill>
                  <bgColor rgb="FFFFFF00"/>
                </patternFill>
              </fill>
            </x14:dxf>
          </x14:cfRule>
          <xm:sqref>AO8:BC8</xm:sqref>
        </x14:conditionalFormatting>
        <x14:conditionalFormatting xmlns:xm="http://schemas.microsoft.com/office/excel/2006/main">
          <x14:cfRule type="expression" priority="4689087" id="{9EBCB60F-8135-43B6-A0F3-548D4092CC98}">
            <xm:f>$BD$4='Data entry'!$R7</xm:f>
            <x14:dxf>
              <fill>
                <patternFill>
                  <bgColor rgb="FFFF0000"/>
                </patternFill>
              </fill>
            </x14:dxf>
          </x14:cfRule>
          <xm:sqref>BB9:BN9</xm:sqref>
        </x14:conditionalFormatting>
        <x14:conditionalFormatting xmlns:xm="http://schemas.microsoft.com/office/excel/2006/main">
          <x14:cfRule type="expression" priority="4689088" id="{961AF346-4A73-41ED-9A8D-27D431B09C05}">
            <xm:f>$BD$4='Data entry'!$R7</xm:f>
            <x14:dxf>
              <fill>
                <patternFill>
                  <bgColor rgb="FFFFFF00"/>
                </patternFill>
              </fill>
            </x14:dxf>
          </x14:cfRule>
          <xm:sqref>AP8:BD8</xm:sqref>
        </x14:conditionalFormatting>
        <x14:conditionalFormatting xmlns:xm="http://schemas.microsoft.com/office/excel/2006/main">
          <x14:cfRule type="expression" priority="4689089" id="{5A887026-27CD-4F8C-8BA6-1E92704C1CA6}">
            <xm:f>$BE$4='Data entry'!$R7</xm:f>
            <x14:dxf>
              <fill>
                <patternFill>
                  <bgColor rgb="FFFF0000"/>
                </patternFill>
              </fill>
            </x14:dxf>
          </x14:cfRule>
          <xm:sqref>BC9:BO9</xm:sqref>
        </x14:conditionalFormatting>
        <x14:conditionalFormatting xmlns:xm="http://schemas.microsoft.com/office/excel/2006/main">
          <x14:cfRule type="expression" priority="4689090" id="{7F46217B-A1E9-4515-B31E-E756FCD7C6D9}">
            <xm:f>$BE$4='Data entry'!$R7</xm:f>
            <x14:dxf>
              <fill>
                <patternFill>
                  <bgColor rgb="FFFFFF00"/>
                </patternFill>
              </fill>
            </x14:dxf>
          </x14:cfRule>
          <xm:sqref>AP8:BE8</xm:sqref>
        </x14:conditionalFormatting>
        <x14:conditionalFormatting xmlns:xm="http://schemas.microsoft.com/office/excel/2006/main">
          <x14:cfRule type="expression" priority="4689091" id="{F4D9285C-8CA0-4EF1-943E-6A462D47CC77}">
            <xm:f>$BF$4='Data entry'!$R7</xm:f>
            <x14:dxf>
              <fill>
                <patternFill>
                  <bgColor rgb="FFFF0000"/>
                </patternFill>
              </fill>
            </x14:dxf>
          </x14:cfRule>
          <xm:sqref>BD9:BP9</xm:sqref>
        </x14:conditionalFormatting>
        <x14:conditionalFormatting xmlns:xm="http://schemas.microsoft.com/office/excel/2006/main">
          <x14:cfRule type="expression" priority="4689092" id="{B9E4407D-651D-4DC0-9D61-3271D62A65E9}">
            <xm:f>$BF$4='Data entry'!$R7</xm:f>
            <x14:dxf>
              <fill>
                <patternFill>
                  <bgColor rgb="FFFFFF00"/>
                </patternFill>
              </fill>
            </x14:dxf>
          </x14:cfRule>
          <xm:sqref>AR8:BF8</xm:sqref>
        </x14:conditionalFormatting>
        <x14:conditionalFormatting xmlns:xm="http://schemas.microsoft.com/office/excel/2006/main">
          <x14:cfRule type="expression" priority="4689093" id="{4CDC062F-DDFF-4556-B941-08F919727F69}">
            <xm:f>$BG$4='Data entry'!$R7</xm:f>
            <x14:dxf>
              <fill>
                <patternFill>
                  <bgColor rgb="FFFF0000"/>
                </patternFill>
              </fill>
            </x14:dxf>
          </x14:cfRule>
          <xm:sqref>BE9:BQ9</xm:sqref>
        </x14:conditionalFormatting>
        <x14:conditionalFormatting xmlns:xm="http://schemas.microsoft.com/office/excel/2006/main">
          <x14:cfRule type="expression" priority="4689094" id="{789184FA-9055-433B-8A1B-92C7ED59E81F}">
            <xm:f>$BG$4='Data entry'!$R7</xm:f>
            <x14:dxf>
              <fill>
                <patternFill>
                  <bgColor rgb="FFFFFF00"/>
                </patternFill>
              </fill>
            </x14:dxf>
          </x14:cfRule>
          <xm:sqref>AS8:BG8</xm:sqref>
        </x14:conditionalFormatting>
        <x14:conditionalFormatting xmlns:xm="http://schemas.microsoft.com/office/excel/2006/main">
          <x14:cfRule type="expression" priority="4689095" id="{58651E5C-09C9-46C1-B95C-E8A578A49E15}">
            <xm:f>$BH$4='Data entry'!$R7</xm:f>
            <x14:dxf>
              <fill>
                <patternFill>
                  <bgColor rgb="FFFFFF00"/>
                </patternFill>
              </fill>
            </x14:dxf>
          </x14:cfRule>
          <xm:sqref>AT8:BH8</xm:sqref>
        </x14:conditionalFormatting>
        <x14:conditionalFormatting xmlns:xm="http://schemas.microsoft.com/office/excel/2006/main">
          <x14:cfRule type="expression" priority="4689096" id="{97B30B86-8311-4DC0-A533-8C0D53F37839}">
            <xm:f>$BH$4='Data entry'!$R7</xm:f>
            <x14:dxf>
              <fill>
                <patternFill>
                  <bgColor rgb="FFFF0000"/>
                </patternFill>
              </fill>
            </x14:dxf>
          </x14:cfRule>
          <xm:sqref>BF9:BR9</xm:sqref>
        </x14:conditionalFormatting>
        <x14:conditionalFormatting xmlns:xm="http://schemas.microsoft.com/office/excel/2006/main">
          <x14:cfRule type="expression" priority="4689097" id="{78344C0C-5AEA-40B1-A20C-6D77DF58E1F5}">
            <xm:f>$BI$4='Data entry'!$R7</xm:f>
            <x14:dxf>
              <fill>
                <patternFill>
                  <bgColor rgb="FFFFFF00"/>
                </patternFill>
              </fill>
            </x14:dxf>
          </x14:cfRule>
          <xm:sqref>AU8:BI8</xm:sqref>
        </x14:conditionalFormatting>
        <x14:conditionalFormatting xmlns:xm="http://schemas.microsoft.com/office/excel/2006/main">
          <x14:cfRule type="expression" priority="4689098" id="{A9CE044F-482E-4F25-B28F-89ACC58502B1}">
            <xm:f>$BI$4='Data entry'!$R7</xm:f>
            <x14:dxf>
              <fill>
                <patternFill>
                  <bgColor rgb="FFFF0000"/>
                </patternFill>
              </fill>
            </x14:dxf>
          </x14:cfRule>
          <xm:sqref>BG9:BS9</xm:sqref>
        </x14:conditionalFormatting>
        <x14:conditionalFormatting xmlns:xm="http://schemas.microsoft.com/office/excel/2006/main">
          <x14:cfRule type="expression" priority="4689099" id="{F63BE0EB-3C71-4456-BEF0-11180AB7A8BB}">
            <xm:f>$BJ$4='Data entry'!$R7</xm:f>
            <x14:dxf>
              <fill>
                <patternFill>
                  <bgColor rgb="FFFFFF00"/>
                </patternFill>
              </fill>
            </x14:dxf>
          </x14:cfRule>
          <xm:sqref>AV8:BJ8</xm:sqref>
        </x14:conditionalFormatting>
        <x14:conditionalFormatting xmlns:xm="http://schemas.microsoft.com/office/excel/2006/main">
          <x14:cfRule type="expression" priority="4689100" id="{478A5DCB-1DAA-4497-A6CC-B4F01FB96D10}">
            <xm:f>$BJ$4='Data entry'!$R7</xm:f>
            <x14:dxf>
              <fill>
                <patternFill>
                  <bgColor rgb="FFFF0000"/>
                </patternFill>
              </fill>
            </x14:dxf>
          </x14:cfRule>
          <xm:sqref>BH9:BT9</xm:sqref>
        </x14:conditionalFormatting>
        <x14:conditionalFormatting xmlns:xm="http://schemas.microsoft.com/office/excel/2006/main">
          <x14:cfRule type="expression" priority="4689101" id="{CDE4AD5B-65A6-4FA4-9EC0-8D05F22312A9}">
            <xm:f>$BK$4='Data entry'!$R7</xm:f>
            <x14:dxf>
              <fill>
                <patternFill>
                  <bgColor rgb="FFFF0000"/>
                </patternFill>
              </fill>
            </x14:dxf>
          </x14:cfRule>
          <xm:sqref>BI9:BU9</xm:sqref>
        </x14:conditionalFormatting>
        <x14:conditionalFormatting xmlns:xm="http://schemas.microsoft.com/office/excel/2006/main">
          <x14:cfRule type="expression" priority="4689102" id="{AB32E790-6CD8-4D11-9A69-57D785FE4BBC}">
            <xm:f>$BK$4='Data entry'!$R7</xm:f>
            <x14:dxf>
              <fill>
                <patternFill>
                  <bgColor rgb="FFFFFF00"/>
                </patternFill>
              </fill>
            </x14:dxf>
          </x14:cfRule>
          <xm:sqref>AW8:BK8</xm:sqref>
        </x14:conditionalFormatting>
        <x14:conditionalFormatting xmlns:xm="http://schemas.microsoft.com/office/excel/2006/main">
          <x14:cfRule type="expression" priority="4689103" id="{99810EB9-805C-43D8-852A-EEECE7874CDB}">
            <xm:f>$BL$4='Data entry'!$R7</xm:f>
            <x14:dxf>
              <fill>
                <patternFill>
                  <bgColor rgb="FFFF0000"/>
                </patternFill>
              </fill>
            </x14:dxf>
          </x14:cfRule>
          <xm:sqref>BJ9:BV9</xm:sqref>
        </x14:conditionalFormatting>
        <x14:conditionalFormatting xmlns:xm="http://schemas.microsoft.com/office/excel/2006/main">
          <x14:cfRule type="expression" priority="4689104" id="{BF5F5475-4E46-479C-97A6-D5175F5D1803}">
            <xm:f>$BL$4='Data entry'!$R7</xm:f>
            <x14:dxf>
              <fill>
                <patternFill>
                  <bgColor rgb="FFFFFF00"/>
                </patternFill>
              </fill>
            </x14:dxf>
          </x14:cfRule>
          <xm:sqref>AX8:BL8</xm:sqref>
        </x14:conditionalFormatting>
        <x14:conditionalFormatting xmlns:xm="http://schemas.microsoft.com/office/excel/2006/main">
          <x14:cfRule type="expression" priority="4689105" id="{B86FDF2F-16C9-46B1-847E-7EA1A8A34B9D}">
            <xm:f>$BM$4='Data entry'!$R7</xm:f>
            <x14:dxf>
              <fill>
                <patternFill>
                  <bgColor rgb="FFFF0000"/>
                </patternFill>
              </fill>
            </x14:dxf>
          </x14:cfRule>
          <xm:sqref>BK9:BW9</xm:sqref>
        </x14:conditionalFormatting>
        <x14:conditionalFormatting xmlns:xm="http://schemas.microsoft.com/office/excel/2006/main">
          <x14:cfRule type="expression" priority="4689106" id="{72FD189F-4CED-400D-9FEF-21A328970A4D}">
            <xm:f>$BM$4='Data entry'!$R7</xm:f>
            <x14:dxf>
              <fill>
                <patternFill>
                  <bgColor rgb="FFFFFF00"/>
                </patternFill>
              </fill>
            </x14:dxf>
          </x14:cfRule>
          <xm:sqref>AY8:BM8</xm:sqref>
        </x14:conditionalFormatting>
        <x14:conditionalFormatting xmlns:xm="http://schemas.microsoft.com/office/excel/2006/main">
          <x14:cfRule type="expression" priority="4689107" id="{BBBBF859-D5A7-4F55-BFBF-8A77E3357590}">
            <xm:f>$BN$4='Data entry'!$R7</xm:f>
            <x14:dxf>
              <fill>
                <patternFill>
                  <bgColor rgb="FFFF0000"/>
                </patternFill>
              </fill>
            </x14:dxf>
          </x14:cfRule>
          <xm:sqref>BL9:BX9</xm:sqref>
        </x14:conditionalFormatting>
        <x14:conditionalFormatting xmlns:xm="http://schemas.microsoft.com/office/excel/2006/main">
          <x14:cfRule type="expression" priority="4689108" id="{50CB1D75-0FD5-4D24-92B1-E8A41DC6575C}">
            <xm:f>$BN$4='Data entry'!$R7</xm:f>
            <x14:dxf>
              <fill>
                <patternFill>
                  <bgColor rgb="FFFFFF00"/>
                </patternFill>
              </fill>
            </x14:dxf>
          </x14:cfRule>
          <xm:sqref>AZ8:BN8</xm:sqref>
        </x14:conditionalFormatting>
        <x14:conditionalFormatting xmlns:xm="http://schemas.microsoft.com/office/excel/2006/main">
          <x14:cfRule type="expression" priority="4689109" id="{9EF3226D-E8FC-496B-A6FF-71776AEA54D1}">
            <xm:f>$BO$4='Data entry'!$R7</xm:f>
            <x14:dxf>
              <fill>
                <patternFill>
                  <bgColor rgb="FFFF0000"/>
                </patternFill>
              </fill>
            </x14:dxf>
          </x14:cfRule>
          <xm:sqref>BM9:BY9</xm:sqref>
        </x14:conditionalFormatting>
        <x14:conditionalFormatting xmlns:xm="http://schemas.microsoft.com/office/excel/2006/main">
          <x14:cfRule type="expression" priority="4689110" id="{3B86C801-ECFE-4D05-8AA5-1581116BAFBC}">
            <xm:f>$BO$4='Data entry'!$R7</xm:f>
            <x14:dxf>
              <fill>
                <patternFill>
                  <bgColor rgb="FFFFFF00"/>
                </patternFill>
              </fill>
            </x14:dxf>
          </x14:cfRule>
          <xm:sqref>BA8:BO8</xm:sqref>
        </x14:conditionalFormatting>
        <x14:conditionalFormatting xmlns:xm="http://schemas.microsoft.com/office/excel/2006/main">
          <x14:cfRule type="expression" priority="4689111" id="{058A23EC-3371-4A02-9F20-1ECA603AC6BC}">
            <xm:f>$BP$4='Data entry'!$R7</xm:f>
            <x14:dxf>
              <fill>
                <patternFill>
                  <bgColor rgb="FFFF0000"/>
                </patternFill>
              </fill>
            </x14:dxf>
          </x14:cfRule>
          <xm:sqref>BN9:BZ9</xm:sqref>
        </x14:conditionalFormatting>
        <x14:conditionalFormatting xmlns:xm="http://schemas.microsoft.com/office/excel/2006/main">
          <x14:cfRule type="expression" priority="4689112" id="{3E711E31-3992-4555-AB22-87133D60CD15}">
            <xm:f>$BP$4='Data entry'!$R7</xm:f>
            <x14:dxf>
              <fill>
                <patternFill>
                  <bgColor rgb="FFFFFF00"/>
                </patternFill>
              </fill>
            </x14:dxf>
          </x14:cfRule>
          <xm:sqref>BB8:BP8</xm:sqref>
        </x14:conditionalFormatting>
        <x14:conditionalFormatting xmlns:xm="http://schemas.microsoft.com/office/excel/2006/main">
          <x14:cfRule type="expression" priority="4689113" id="{23E9F8B9-37D5-4730-9453-6F23E8ECBBE3}">
            <xm:f>$BQ$4='Data entry'!$R7</xm:f>
            <x14:dxf>
              <fill>
                <patternFill>
                  <bgColor rgb="FFFFFF00"/>
                </patternFill>
              </fill>
            </x14:dxf>
          </x14:cfRule>
          <xm:sqref>BC8:BQ8</xm:sqref>
        </x14:conditionalFormatting>
        <x14:conditionalFormatting xmlns:xm="http://schemas.microsoft.com/office/excel/2006/main">
          <x14:cfRule type="expression" priority="4689114" id="{BCFD92F6-AAD3-44FD-BC61-A292A81B883E}">
            <xm:f>$BQ$4='Data entry'!$R7</xm:f>
            <x14:dxf>
              <fill>
                <patternFill>
                  <bgColor rgb="FFFF0000"/>
                </patternFill>
              </fill>
            </x14:dxf>
          </x14:cfRule>
          <xm:sqref>BO9:CA9</xm:sqref>
        </x14:conditionalFormatting>
        <x14:conditionalFormatting xmlns:xm="http://schemas.microsoft.com/office/excel/2006/main">
          <x14:cfRule type="expression" priority="4689115" id="{357D60E5-F356-477E-8020-A18F42C02832}">
            <xm:f>$BR$4='Data entry'!$R7</xm:f>
            <x14:dxf>
              <fill>
                <patternFill>
                  <bgColor rgb="FFFFFF00"/>
                </patternFill>
              </fill>
            </x14:dxf>
          </x14:cfRule>
          <xm:sqref>BD8:BR8</xm:sqref>
        </x14:conditionalFormatting>
        <x14:conditionalFormatting xmlns:xm="http://schemas.microsoft.com/office/excel/2006/main">
          <x14:cfRule type="expression" priority="4689116" id="{DA2B6511-43B3-432D-B6AA-1DB1188B90A6}">
            <xm:f>$BR$4='Data entry'!$R7</xm:f>
            <x14:dxf>
              <fill>
                <patternFill>
                  <bgColor rgb="FFFF0000"/>
                </patternFill>
              </fill>
            </x14:dxf>
          </x14:cfRule>
          <xm:sqref>BP9:CB9</xm:sqref>
        </x14:conditionalFormatting>
        <x14:conditionalFormatting xmlns:xm="http://schemas.microsoft.com/office/excel/2006/main">
          <x14:cfRule type="expression" priority="4689117" id="{0D5F64E4-4136-4BFA-B833-CC8578525D9C}">
            <xm:f>$BS$4='Data entry'!$R7</xm:f>
            <x14:dxf>
              <fill>
                <patternFill>
                  <bgColor rgb="FFFFFF00"/>
                </patternFill>
              </fill>
            </x14:dxf>
          </x14:cfRule>
          <xm:sqref>BE8:BS8</xm:sqref>
        </x14:conditionalFormatting>
        <x14:conditionalFormatting xmlns:xm="http://schemas.microsoft.com/office/excel/2006/main">
          <x14:cfRule type="expression" priority="4689118" id="{AC94D468-F078-4AE2-8771-102996E07B09}">
            <xm:f>$BS$4='Data entry'!$R7</xm:f>
            <x14:dxf>
              <fill>
                <patternFill>
                  <bgColor rgb="FFFF0000"/>
                </patternFill>
              </fill>
            </x14:dxf>
          </x14:cfRule>
          <xm:sqref>BQ9:CC9</xm:sqref>
        </x14:conditionalFormatting>
        <x14:conditionalFormatting xmlns:xm="http://schemas.microsoft.com/office/excel/2006/main">
          <x14:cfRule type="expression" priority="4689119" id="{10E78F76-181E-4F19-9F89-7DD36D3EFE30}">
            <xm:f>$BT$4='Data entry'!$R7</xm:f>
            <x14:dxf>
              <fill>
                <patternFill>
                  <bgColor rgb="FFFFFF00"/>
                </patternFill>
              </fill>
            </x14:dxf>
          </x14:cfRule>
          <xm:sqref>BF8:BT8</xm:sqref>
        </x14:conditionalFormatting>
        <x14:conditionalFormatting xmlns:xm="http://schemas.microsoft.com/office/excel/2006/main">
          <x14:cfRule type="expression" priority="4689120" id="{6A5FADC6-9512-4EFB-90A5-7B5244D10D1F}">
            <xm:f>$BT$4='Data entry'!$R7</xm:f>
            <x14:dxf>
              <fill>
                <patternFill>
                  <bgColor rgb="FFFF0000"/>
                </patternFill>
              </fill>
            </x14:dxf>
          </x14:cfRule>
          <xm:sqref>BR9:CC9</xm:sqref>
        </x14:conditionalFormatting>
        <x14:conditionalFormatting xmlns:xm="http://schemas.microsoft.com/office/excel/2006/main">
          <x14:cfRule type="expression" priority="4689121" id="{A51139D1-8841-4B96-B8CB-DFE3808765CF}">
            <xm:f>$BU$4='Data entry'!$R7</xm:f>
            <x14:dxf>
              <fill>
                <patternFill>
                  <bgColor rgb="FFFFFF00"/>
                </patternFill>
              </fill>
            </x14:dxf>
          </x14:cfRule>
          <xm:sqref>BG8:BU8</xm:sqref>
        </x14:conditionalFormatting>
        <x14:conditionalFormatting xmlns:xm="http://schemas.microsoft.com/office/excel/2006/main">
          <x14:cfRule type="expression" priority="4689122" id="{55CA7258-760F-4BFF-ACB5-A70FEB3E7981}">
            <xm:f>$BU$4='Data entry'!$R7</xm:f>
            <x14:dxf>
              <fill>
                <patternFill>
                  <bgColor rgb="FFFF0000"/>
                </patternFill>
              </fill>
            </x14:dxf>
          </x14:cfRule>
          <xm:sqref>BS9:CC9</xm:sqref>
        </x14:conditionalFormatting>
        <x14:conditionalFormatting xmlns:xm="http://schemas.microsoft.com/office/excel/2006/main">
          <x14:cfRule type="expression" priority="4689123" id="{A922B218-64DB-4CBB-9AB8-FE0EBB44E09E}">
            <xm:f>$BV$4='Data entry'!$R7</xm:f>
            <x14:dxf>
              <fill>
                <patternFill>
                  <bgColor rgb="FFFFFF00"/>
                </patternFill>
              </fill>
            </x14:dxf>
          </x14:cfRule>
          <xm:sqref>BH8:BV8</xm:sqref>
        </x14:conditionalFormatting>
        <x14:conditionalFormatting xmlns:xm="http://schemas.microsoft.com/office/excel/2006/main">
          <x14:cfRule type="expression" priority="4689124" id="{C98E908A-CD31-4778-B41C-7AFB9DBE639A}">
            <xm:f>$BV$4='Data entry'!$R7</xm:f>
            <x14:dxf>
              <fill>
                <patternFill>
                  <bgColor rgb="FFFF0000"/>
                </patternFill>
              </fill>
            </x14:dxf>
          </x14:cfRule>
          <xm:sqref>BT9:CC9</xm:sqref>
        </x14:conditionalFormatting>
        <x14:conditionalFormatting xmlns:xm="http://schemas.microsoft.com/office/excel/2006/main">
          <x14:cfRule type="expression" priority="4689125" id="{465CCCA3-B4DB-4B61-8AC7-8A5E4CEC9E3F}">
            <xm:f>$BW$4='Data entry'!$R7</xm:f>
            <x14:dxf>
              <fill>
                <patternFill>
                  <bgColor rgb="FFFFFF00"/>
                </patternFill>
              </fill>
            </x14:dxf>
          </x14:cfRule>
          <xm:sqref>BI8:BW8</xm:sqref>
        </x14:conditionalFormatting>
        <x14:conditionalFormatting xmlns:xm="http://schemas.microsoft.com/office/excel/2006/main">
          <x14:cfRule type="expression" priority="4689126" id="{37566F97-6D06-400B-A709-FE657B07687F}">
            <xm:f>$BW$4='Data entry'!$R7</xm:f>
            <x14:dxf>
              <fill>
                <patternFill>
                  <bgColor rgb="FFFF0000"/>
                </patternFill>
              </fill>
            </x14:dxf>
          </x14:cfRule>
          <xm:sqref>BU9:CC9</xm:sqref>
        </x14:conditionalFormatting>
        <x14:conditionalFormatting xmlns:xm="http://schemas.microsoft.com/office/excel/2006/main">
          <x14:cfRule type="expression" priority="4689127" id="{D8FBA3AC-5CF0-4E45-97CA-1D4DEE729ADA}">
            <xm:f>$BX$4='Data entry'!$R7</xm:f>
            <x14:dxf>
              <fill>
                <patternFill>
                  <bgColor rgb="FFFFFF00"/>
                </patternFill>
              </fill>
            </x14:dxf>
          </x14:cfRule>
          <xm:sqref>BJ8:BX8</xm:sqref>
        </x14:conditionalFormatting>
        <x14:conditionalFormatting xmlns:xm="http://schemas.microsoft.com/office/excel/2006/main">
          <x14:cfRule type="expression" priority="4689128" id="{E077C84B-A94F-431D-B232-4AFCC7C64F54}">
            <xm:f>$BX$4='Data entry'!$R7</xm:f>
            <x14:dxf>
              <fill>
                <patternFill>
                  <bgColor rgb="FFFF0000"/>
                </patternFill>
              </fill>
            </x14:dxf>
          </x14:cfRule>
          <xm:sqref>BV9:CC9</xm:sqref>
        </x14:conditionalFormatting>
        <x14:conditionalFormatting xmlns:xm="http://schemas.microsoft.com/office/excel/2006/main">
          <x14:cfRule type="expression" priority="4689129" id="{63783BA8-0C97-4A44-86FD-7A2BCF1B9957}">
            <xm:f>$BY$4='Data entry'!$R7</xm:f>
            <x14:dxf>
              <fill>
                <patternFill>
                  <bgColor rgb="FFFFFF00"/>
                </patternFill>
              </fill>
            </x14:dxf>
          </x14:cfRule>
          <xm:sqref>BK8:BY8</xm:sqref>
        </x14:conditionalFormatting>
        <x14:conditionalFormatting xmlns:xm="http://schemas.microsoft.com/office/excel/2006/main">
          <x14:cfRule type="expression" priority="4689130" id="{BB8DB8B4-B71B-46D2-AEE7-346F16103F74}">
            <xm:f>$BY$4='Data entry'!$R7</xm:f>
            <x14:dxf>
              <fill>
                <patternFill>
                  <bgColor rgb="FFFF0000"/>
                </patternFill>
              </fill>
            </x14:dxf>
          </x14:cfRule>
          <xm:sqref>BW9:CC9</xm:sqref>
        </x14:conditionalFormatting>
        <x14:conditionalFormatting xmlns:xm="http://schemas.microsoft.com/office/excel/2006/main">
          <x14:cfRule type="expression" priority="4689131" id="{1B638B98-2B06-4FEB-90C1-446A3E0A3979}">
            <xm:f>$BZ$4='Data entry'!$R7</xm:f>
            <x14:dxf>
              <fill>
                <patternFill>
                  <bgColor rgb="FFFFFF00"/>
                </patternFill>
              </fill>
            </x14:dxf>
          </x14:cfRule>
          <xm:sqref>BL8:BZ8</xm:sqref>
        </x14:conditionalFormatting>
        <x14:conditionalFormatting xmlns:xm="http://schemas.microsoft.com/office/excel/2006/main">
          <x14:cfRule type="expression" priority="4689132" id="{D3A0A2F8-D1B2-4DC5-B2A9-0EF53074E685}">
            <xm:f>$BZ$4='Data entry'!$R7</xm:f>
            <x14:dxf>
              <fill>
                <patternFill>
                  <bgColor rgb="FFFF0000"/>
                </patternFill>
              </fill>
            </x14:dxf>
          </x14:cfRule>
          <xm:sqref>BX9:CC9</xm:sqref>
        </x14:conditionalFormatting>
        <x14:conditionalFormatting xmlns:xm="http://schemas.microsoft.com/office/excel/2006/main">
          <x14:cfRule type="expression" priority="4689133" id="{83F6D018-7D3B-4D33-9998-11572F2F2FF5}">
            <xm:f>$CA$4='Data entry'!$R7</xm:f>
            <x14:dxf>
              <fill>
                <patternFill>
                  <bgColor rgb="FFFFFF00"/>
                </patternFill>
              </fill>
            </x14:dxf>
          </x14:cfRule>
          <xm:sqref>BM8:CA8</xm:sqref>
        </x14:conditionalFormatting>
        <x14:conditionalFormatting xmlns:xm="http://schemas.microsoft.com/office/excel/2006/main">
          <x14:cfRule type="expression" priority="4689134" id="{8E6D0B51-5626-4ED9-9072-C7A2C139704F}">
            <xm:f>$CA$4='Data entry'!$R7</xm:f>
            <x14:dxf>
              <fill>
                <patternFill>
                  <bgColor rgb="FFFF0000"/>
                </patternFill>
              </fill>
            </x14:dxf>
          </x14:cfRule>
          <xm:sqref>BY9:CC9</xm:sqref>
        </x14:conditionalFormatting>
        <x14:conditionalFormatting xmlns:xm="http://schemas.microsoft.com/office/excel/2006/main">
          <x14:cfRule type="expression" priority="4689135" id="{E1886EE4-3BDE-43A9-9F4B-79377FEC37FE}">
            <xm:f>$CB$4='Data entry'!$R7</xm:f>
            <x14:dxf>
              <fill>
                <patternFill>
                  <bgColor rgb="FFFFFF00"/>
                </patternFill>
              </fill>
            </x14:dxf>
          </x14:cfRule>
          <xm:sqref>BN8:CB8</xm:sqref>
        </x14:conditionalFormatting>
        <x14:conditionalFormatting xmlns:xm="http://schemas.microsoft.com/office/excel/2006/main">
          <x14:cfRule type="expression" priority="4689136" id="{ADEF572A-6C18-4602-BB86-01C96D36E07E}">
            <xm:f>$CB$4='Data entry'!$R7</xm:f>
            <x14:dxf>
              <fill>
                <patternFill>
                  <bgColor rgb="FFFF0000"/>
                </patternFill>
              </fill>
            </x14:dxf>
          </x14:cfRule>
          <xm:sqref>BZ9:CC9</xm:sqref>
        </x14:conditionalFormatting>
        <x14:conditionalFormatting xmlns:xm="http://schemas.microsoft.com/office/excel/2006/main">
          <x14:cfRule type="expression" priority="4689137" id="{7984E1C9-E073-4955-8543-62145CB6D008}">
            <xm:f>$CC$4='Data entry'!$R7</xm:f>
            <x14:dxf>
              <fill>
                <patternFill>
                  <bgColor rgb="FFFFFF00"/>
                </patternFill>
              </fill>
            </x14:dxf>
          </x14:cfRule>
          <xm:sqref>BO8:CC8</xm:sqref>
        </x14:conditionalFormatting>
        <x14:conditionalFormatting xmlns:xm="http://schemas.microsoft.com/office/excel/2006/main">
          <x14:cfRule type="expression" priority="4689138" id="{18A957B3-59FA-4698-BA92-2A208FF18E2F}">
            <xm:f>$CC$4='Data entry'!$R7</xm:f>
            <x14:dxf>
              <fill>
                <patternFill>
                  <bgColor rgb="FFFF0000"/>
                </patternFill>
              </fill>
            </x14:dxf>
          </x14:cfRule>
          <xm:sqref>CA9:CC9</xm:sqref>
        </x14:conditionalFormatting>
        <x14:conditionalFormatting xmlns:xm="http://schemas.microsoft.com/office/excel/2006/main">
          <x14:cfRule type="expression" priority="4689225" id="{5B0DB825-B7C2-40AC-B7EF-F267F054CFB9}">
            <xm:f>$U$4='Data entry'!$R8</xm:f>
            <x14:dxf>
              <fill>
                <patternFill>
                  <bgColor rgb="FFFF0000"/>
                </patternFill>
              </fill>
            </x14:dxf>
          </x14:cfRule>
          <xm:sqref>S12:AE12</xm:sqref>
        </x14:conditionalFormatting>
        <x14:conditionalFormatting xmlns:xm="http://schemas.microsoft.com/office/excel/2006/main">
          <x14:cfRule type="expression" priority="4689226" id="{18311200-E2BB-400F-B594-3B9A2C6068C2}">
            <xm:f>$V$4='Data entry'!$R8</xm:f>
            <x14:dxf>
              <fill>
                <patternFill>
                  <bgColor rgb="FFFF0000"/>
                </patternFill>
              </fill>
            </x14:dxf>
          </x14:cfRule>
          <xm:sqref>T12:AF12</xm:sqref>
        </x14:conditionalFormatting>
        <x14:conditionalFormatting xmlns:xm="http://schemas.microsoft.com/office/excel/2006/main">
          <x14:cfRule type="expression" priority="4689227" id="{D6DFB621-1A58-4C59-A987-ECAD0EB2D32B}">
            <xm:f>$V$4='Data entry'!$R8</xm:f>
            <x14:dxf>
              <fill>
                <patternFill>
                  <bgColor rgb="FFFFFF00"/>
                </patternFill>
              </fill>
            </x14:dxf>
          </x14:cfRule>
          <xm:sqref>H11:V11</xm:sqref>
        </x14:conditionalFormatting>
        <x14:conditionalFormatting xmlns:xm="http://schemas.microsoft.com/office/excel/2006/main">
          <x14:cfRule type="expression" priority="4689228" id="{5F87A680-DC5F-433D-A779-B7A534ACCDA9}">
            <xm:f>$W$4='Data entry'!$R8</xm:f>
            <x14:dxf>
              <fill>
                <patternFill>
                  <bgColor rgb="FFFF0000"/>
                </patternFill>
              </fill>
            </x14:dxf>
          </x14:cfRule>
          <xm:sqref>U12:AG12</xm:sqref>
        </x14:conditionalFormatting>
        <x14:conditionalFormatting xmlns:xm="http://schemas.microsoft.com/office/excel/2006/main">
          <x14:cfRule type="expression" priority="4689229" id="{964539FF-A92C-4F68-B268-B7157A32678C}">
            <xm:f>$W$4='Data entry'!$R8</xm:f>
            <x14:dxf>
              <fill>
                <patternFill>
                  <bgColor rgb="FFFFFF00"/>
                </patternFill>
              </fill>
            </x14:dxf>
          </x14:cfRule>
          <xm:sqref>I11:W11</xm:sqref>
        </x14:conditionalFormatting>
        <x14:conditionalFormatting xmlns:xm="http://schemas.microsoft.com/office/excel/2006/main">
          <x14:cfRule type="expression" priority="4689230" id="{46C1533A-F090-4A90-9309-3F59EC3FD3B0}">
            <xm:f>$X$4='Data entry'!$R8</xm:f>
            <x14:dxf>
              <fill>
                <patternFill>
                  <bgColor rgb="FFFF0000"/>
                </patternFill>
              </fill>
            </x14:dxf>
          </x14:cfRule>
          <xm:sqref>V12:AH12</xm:sqref>
        </x14:conditionalFormatting>
        <x14:conditionalFormatting xmlns:xm="http://schemas.microsoft.com/office/excel/2006/main">
          <x14:cfRule type="expression" priority="4689231" id="{7C70E81C-DDD4-4D75-933A-4F6A39893184}">
            <xm:f>$X$4='Data entry'!$R8</xm:f>
            <x14:dxf>
              <fill>
                <patternFill>
                  <bgColor rgb="FFFFFF00"/>
                </patternFill>
              </fill>
            </x14:dxf>
          </x14:cfRule>
          <xm:sqref>J11:X11</xm:sqref>
        </x14:conditionalFormatting>
        <x14:conditionalFormatting xmlns:xm="http://schemas.microsoft.com/office/excel/2006/main">
          <x14:cfRule type="expression" priority="4689232" id="{561AF073-0EF8-4B72-A119-40A639C4359D}">
            <xm:f>$Y$4='Data entry'!$R8</xm:f>
            <x14:dxf>
              <fill>
                <patternFill>
                  <bgColor rgb="FFFF0000"/>
                </patternFill>
              </fill>
            </x14:dxf>
          </x14:cfRule>
          <xm:sqref>W12:AI12</xm:sqref>
        </x14:conditionalFormatting>
        <x14:conditionalFormatting xmlns:xm="http://schemas.microsoft.com/office/excel/2006/main">
          <x14:cfRule type="expression" priority="4689233" id="{F242E808-8F07-4A89-9524-7D4C767CE357}">
            <xm:f>$Y$4='Data entry'!$R8</xm:f>
            <x14:dxf>
              <fill>
                <patternFill>
                  <bgColor rgb="FFFFFF00"/>
                </patternFill>
              </fill>
            </x14:dxf>
          </x14:cfRule>
          <xm:sqref>K11:Y11</xm:sqref>
        </x14:conditionalFormatting>
        <x14:conditionalFormatting xmlns:xm="http://schemas.microsoft.com/office/excel/2006/main">
          <x14:cfRule type="expression" priority="4689234" id="{DD601058-982B-4218-BD9D-64BB823C2633}">
            <xm:f>$Z$4='Data entry'!$R8</xm:f>
            <x14:dxf>
              <fill>
                <patternFill>
                  <bgColor rgb="FFFF0000"/>
                </patternFill>
              </fill>
            </x14:dxf>
          </x14:cfRule>
          <xm:sqref>X12:AJ12</xm:sqref>
        </x14:conditionalFormatting>
        <x14:conditionalFormatting xmlns:xm="http://schemas.microsoft.com/office/excel/2006/main">
          <x14:cfRule type="expression" priority="4689235" id="{C9DB141D-79F6-4093-92A3-7BF7A1622985}">
            <xm:f>$Z$4='Data entry'!$R8</xm:f>
            <x14:dxf>
              <fill>
                <patternFill>
                  <bgColor rgb="FFFFFF00"/>
                </patternFill>
              </fill>
            </x14:dxf>
          </x14:cfRule>
          <xm:sqref>L11:Z11</xm:sqref>
        </x14:conditionalFormatting>
        <x14:conditionalFormatting xmlns:xm="http://schemas.microsoft.com/office/excel/2006/main">
          <x14:cfRule type="expression" priority="4689236" id="{710EB8D3-F5C0-4E3C-8214-2D0C4E26F649}">
            <xm:f>$AA$4='Data entry'!$R8</xm:f>
            <x14:dxf>
              <fill>
                <patternFill>
                  <bgColor rgb="FFFF0000"/>
                </patternFill>
              </fill>
            </x14:dxf>
          </x14:cfRule>
          <xm:sqref>Y12:AK12</xm:sqref>
        </x14:conditionalFormatting>
        <x14:conditionalFormatting xmlns:xm="http://schemas.microsoft.com/office/excel/2006/main">
          <x14:cfRule type="expression" priority="4689237" id="{33825D69-C967-4D27-B395-5D44A3083802}">
            <xm:f>$AA$4='Data entry'!$R8</xm:f>
            <x14:dxf>
              <fill>
                <patternFill>
                  <bgColor rgb="FFFFFF00"/>
                </patternFill>
              </fill>
            </x14:dxf>
          </x14:cfRule>
          <xm:sqref>M11:AA11</xm:sqref>
        </x14:conditionalFormatting>
        <x14:conditionalFormatting xmlns:xm="http://schemas.microsoft.com/office/excel/2006/main">
          <x14:cfRule type="expression" priority="4689238" id="{9811A97D-351B-4D32-8754-AF433277E62B}">
            <xm:f>$AB$4='Data entry'!$R8</xm:f>
            <x14:dxf>
              <fill>
                <patternFill>
                  <bgColor rgb="FFFF0000"/>
                </patternFill>
              </fill>
            </x14:dxf>
          </x14:cfRule>
          <xm:sqref>Z12:AL12</xm:sqref>
        </x14:conditionalFormatting>
        <x14:conditionalFormatting xmlns:xm="http://schemas.microsoft.com/office/excel/2006/main">
          <x14:cfRule type="expression" priority="4689239" id="{6DD3E556-C72E-438B-92DA-3096ED1E4178}">
            <xm:f>$AB$4='Data entry'!$R8</xm:f>
            <x14:dxf>
              <fill>
                <patternFill>
                  <bgColor rgb="FFFFFF00"/>
                </patternFill>
              </fill>
            </x14:dxf>
          </x14:cfRule>
          <xm:sqref>N11:AB11</xm:sqref>
        </x14:conditionalFormatting>
        <x14:conditionalFormatting xmlns:xm="http://schemas.microsoft.com/office/excel/2006/main">
          <x14:cfRule type="expression" priority="4689240" id="{C0DF7A1B-D6BC-4371-BD3A-F0708147FA1C}">
            <xm:f>$AC$4='Data entry'!$R8</xm:f>
            <x14:dxf>
              <fill>
                <patternFill>
                  <bgColor rgb="FFFF0000"/>
                </patternFill>
              </fill>
            </x14:dxf>
          </x14:cfRule>
          <xm:sqref>AA12:AM12</xm:sqref>
        </x14:conditionalFormatting>
        <x14:conditionalFormatting xmlns:xm="http://schemas.microsoft.com/office/excel/2006/main">
          <x14:cfRule type="expression" priority="4689241" id="{DB2E1F48-AF0E-41F9-A976-6B1963CA5711}">
            <xm:f>$AC$4='Data entry'!$R8</xm:f>
            <x14:dxf>
              <fill>
                <patternFill>
                  <bgColor rgb="FFFFFF00"/>
                </patternFill>
              </fill>
            </x14:dxf>
          </x14:cfRule>
          <xm:sqref>O11:AC11</xm:sqref>
        </x14:conditionalFormatting>
        <x14:conditionalFormatting xmlns:xm="http://schemas.microsoft.com/office/excel/2006/main">
          <x14:cfRule type="expression" priority="4689242" id="{89909907-F9A9-4AF9-BC1D-304710A43F50}">
            <xm:f>$AD$4='Data entry'!$R8</xm:f>
            <x14:dxf>
              <fill>
                <patternFill>
                  <bgColor rgb="FFFF0000"/>
                </patternFill>
              </fill>
            </x14:dxf>
          </x14:cfRule>
          <xm:sqref>AB12:AN12</xm:sqref>
        </x14:conditionalFormatting>
        <x14:conditionalFormatting xmlns:xm="http://schemas.microsoft.com/office/excel/2006/main">
          <x14:cfRule type="expression" priority="4689243" id="{729676B7-E331-43A4-ACC9-850DCEE76A0E}">
            <xm:f>$AD$4='Data entry'!$R8</xm:f>
            <x14:dxf>
              <fill>
                <patternFill>
                  <bgColor rgb="FFFFFF00"/>
                </patternFill>
              </fill>
            </x14:dxf>
          </x14:cfRule>
          <xm:sqref>P11:AD11</xm:sqref>
        </x14:conditionalFormatting>
        <x14:conditionalFormatting xmlns:xm="http://schemas.microsoft.com/office/excel/2006/main">
          <x14:cfRule type="expression" priority="4689244" id="{00DA2C55-350E-44AA-ABEA-808FABFDA737}">
            <xm:f>$AE$4='Data entry'!$R8</xm:f>
            <x14:dxf>
              <fill>
                <patternFill>
                  <bgColor rgb="FFFF0000"/>
                </patternFill>
              </fill>
            </x14:dxf>
          </x14:cfRule>
          <xm:sqref>AC12:AO12</xm:sqref>
        </x14:conditionalFormatting>
        <x14:conditionalFormatting xmlns:xm="http://schemas.microsoft.com/office/excel/2006/main">
          <x14:cfRule type="expression" priority="4689245" id="{373C95F1-00C1-45E9-B561-5224945BA4A4}">
            <xm:f>$AE$4='Data entry'!$R8</xm:f>
            <x14:dxf>
              <fill>
                <patternFill>
                  <bgColor rgb="FFFFFF00"/>
                </patternFill>
              </fill>
            </x14:dxf>
          </x14:cfRule>
          <xm:sqref>Q11:AE11</xm:sqref>
        </x14:conditionalFormatting>
        <x14:conditionalFormatting xmlns:xm="http://schemas.microsoft.com/office/excel/2006/main">
          <x14:cfRule type="expression" priority="4689246" id="{65E90E74-6BEF-4B00-BD5E-ECACFEBC225A}">
            <xm:f>$AF$4='Data entry'!$R8</xm:f>
            <x14:dxf>
              <fill>
                <patternFill>
                  <bgColor rgb="FFFF0000"/>
                </patternFill>
              </fill>
            </x14:dxf>
          </x14:cfRule>
          <xm:sqref>AD12:AP12</xm:sqref>
        </x14:conditionalFormatting>
        <x14:conditionalFormatting xmlns:xm="http://schemas.microsoft.com/office/excel/2006/main">
          <x14:cfRule type="expression" priority="4689247" id="{56B519D7-E083-4811-B42B-D6CB10D44BB3}">
            <xm:f>$AF$4='Data entry'!$R8</xm:f>
            <x14:dxf>
              <fill>
                <patternFill>
                  <bgColor rgb="FFFFFF00"/>
                </patternFill>
              </fill>
            </x14:dxf>
          </x14:cfRule>
          <xm:sqref>R11:AF11</xm:sqref>
        </x14:conditionalFormatting>
        <x14:conditionalFormatting xmlns:xm="http://schemas.microsoft.com/office/excel/2006/main">
          <x14:cfRule type="expression" priority="4689248" id="{889682B6-BF9B-414B-86B7-1C802156B058}">
            <xm:f>$AG$4='Data entry'!$R8</xm:f>
            <x14:dxf>
              <fill>
                <patternFill>
                  <bgColor rgb="FFFF0000"/>
                </patternFill>
              </fill>
            </x14:dxf>
          </x14:cfRule>
          <xm:sqref>AE12:AQ12</xm:sqref>
        </x14:conditionalFormatting>
        <x14:conditionalFormatting xmlns:xm="http://schemas.microsoft.com/office/excel/2006/main">
          <x14:cfRule type="expression" priority="4689249" id="{19913D88-1940-4CB0-B29C-D46D60833BD5}">
            <xm:f>$AG$4='Data entry'!$R8</xm:f>
            <x14:dxf>
              <fill>
                <patternFill>
                  <bgColor rgb="FFFFFF00"/>
                </patternFill>
              </fill>
            </x14:dxf>
          </x14:cfRule>
          <xm:sqref>S11:AG11</xm:sqref>
        </x14:conditionalFormatting>
        <x14:conditionalFormatting xmlns:xm="http://schemas.microsoft.com/office/excel/2006/main">
          <x14:cfRule type="expression" priority="4689250" id="{3DD7B9A5-18A3-463F-BAD5-9796FC487328}">
            <xm:f>$AH$4='Data entry'!$R8</xm:f>
            <x14:dxf>
              <fill>
                <patternFill>
                  <bgColor rgb="FFFF0000"/>
                </patternFill>
              </fill>
            </x14:dxf>
          </x14:cfRule>
          <xm:sqref>AF12:AR12</xm:sqref>
        </x14:conditionalFormatting>
        <x14:conditionalFormatting xmlns:xm="http://schemas.microsoft.com/office/excel/2006/main">
          <x14:cfRule type="expression" priority="4689251" id="{31005CF4-5608-496E-91EB-F7F505046C80}">
            <xm:f>$AH$4='Data entry'!$R8</xm:f>
            <x14:dxf>
              <fill>
                <patternFill>
                  <bgColor rgb="FFFFFF00"/>
                </patternFill>
              </fill>
            </x14:dxf>
          </x14:cfRule>
          <xm:sqref>T11:AH11</xm:sqref>
        </x14:conditionalFormatting>
        <x14:conditionalFormatting xmlns:xm="http://schemas.microsoft.com/office/excel/2006/main">
          <x14:cfRule type="expression" priority="4689252" id="{CD14F654-5B7A-444F-8FC1-7DD71E76E475}">
            <xm:f>$AI$4='Data entry'!$R8</xm:f>
            <x14:dxf>
              <fill>
                <patternFill>
                  <bgColor rgb="FFFF0000"/>
                </patternFill>
              </fill>
            </x14:dxf>
          </x14:cfRule>
          <xm:sqref>AG12:AS12</xm:sqref>
        </x14:conditionalFormatting>
        <x14:conditionalFormatting xmlns:xm="http://schemas.microsoft.com/office/excel/2006/main">
          <x14:cfRule type="expression" priority="4689253" id="{0E4E448C-6C46-4285-B877-A61A90294385}">
            <xm:f>$AI$4='Data entry'!$R8</xm:f>
            <x14:dxf>
              <fill>
                <patternFill>
                  <bgColor rgb="FFFFFF00"/>
                </patternFill>
              </fill>
            </x14:dxf>
          </x14:cfRule>
          <xm:sqref>U11:AI11</xm:sqref>
        </x14:conditionalFormatting>
        <x14:conditionalFormatting xmlns:xm="http://schemas.microsoft.com/office/excel/2006/main">
          <x14:cfRule type="expression" priority="4689254" id="{B1C1818F-791C-403D-BE73-6F6E9DC6A16D}">
            <xm:f>$AJ$4='Data entry'!$R8</xm:f>
            <x14:dxf>
              <fill>
                <patternFill>
                  <bgColor rgb="FFFF0000"/>
                </patternFill>
              </fill>
            </x14:dxf>
          </x14:cfRule>
          <xm:sqref>AH12:AT12</xm:sqref>
        </x14:conditionalFormatting>
        <x14:conditionalFormatting xmlns:xm="http://schemas.microsoft.com/office/excel/2006/main">
          <x14:cfRule type="expression" priority="4689255" id="{A1237792-221B-431B-B8A7-E9A64DA46D93}">
            <xm:f>$AJ$4='Data entry'!$R8</xm:f>
            <x14:dxf>
              <fill>
                <patternFill>
                  <bgColor rgb="FFFFFF00"/>
                </patternFill>
              </fill>
            </x14:dxf>
          </x14:cfRule>
          <xm:sqref>V11:AJ11</xm:sqref>
        </x14:conditionalFormatting>
        <x14:conditionalFormatting xmlns:xm="http://schemas.microsoft.com/office/excel/2006/main">
          <x14:cfRule type="expression" priority="4689256" id="{617DC2AF-C7A3-4724-8EA3-17DEFEDC8949}">
            <xm:f>$AK$4='Data entry'!$R8</xm:f>
            <x14:dxf>
              <fill>
                <patternFill>
                  <bgColor rgb="FFFF0000"/>
                </patternFill>
              </fill>
            </x14:dxf>
          </x14:cfRule>
          <xm:sqref>AI12:AU12</xm:sqref>
        </x14:conditionalFormatting>
        <x14:conditionalFormatting xmlns:xm="http://schemas.microsoft.com/office/excel/2006/main">
          <x14:cfRule type="expression" priority="4689257" id="{AA72317D-37B1-48EB-A28B-BF2AC8DC4519}">
            <xm:f>$AK$4='Data entry'!$R8</xm:f>
            <x14:dxf>
              <fill>
                <patternFill>
                  <bgColor rgb="FFFFFF00"/>
                </patternFill>
              </fill>
            </x14:dxf>
          </x14:cfRule>
          <xm:sqref>W11:AK11</xm:sqref>
        </x14:conditionalFormatting>
        <x14:conditionalFormatting xmlns:xm="http://schemas.microsoft.com/office/excel/2006/main">
          <x14:cfRule type="expression" priority="4689258" id="{6CA9FB7A-20EA-4D3A-B74C-A001F4BE810D}">
            <xm:f>$AL$4='Data entry'!$R8</xm:f>
            <x14:dxf>
              <fill>
                <patternFill>
                  <bgColor rgb="FFFF0000"/>
                </patternFill>
              </fill>
            </x14:dxf>
          </x14:cfRule>
          <xm:sqref>AJ12:AV12</xm:sqref>
        </x14:conditionalFormatting>
        <x14:conditionalFormatting xmlns:xm="http://schemas.microsoft.com/office/excel/2006/main">
          <x14:cfRule type="expression" priority="4689259" id="{81A75DAA-573F-4EF3-A640-1B992C18BEA0}">
            <xm:f>$AL$4='Data entry'!$R8</xm:f>
            <x14:dxf>
              <fill>
                <patternFill>
                  <bgColor rgb="FFFFFF00"/>
                </patternFill>
              </fill>
            </x14:dxf>
          </x14:cfRule>
          <xm:sqref>X11:AL11</xm:sqref>
        </x14:conditionalFormatting>
        <x14:conditionalFormatting xmlns:xm="http://schemas.microsoft.com/office/excel/2006/main">
          <x14:cfRule type="expression" priority="4689260" id="{3D44713E-4ABA-4CCD-9DF4-5513A9FB5E1E}">
            <xm:f>$AM$4='Data entry'!$R8</xm:f>
            <x14:dxf>
              <fill>
                <patternFill>
                  <bgColor rgb="FFFF0000"/>
                </patternFill>
              </fill>
            </x14:dxf>
          </x14:cfRule>
          <xm:sqref>AK12:AW12</xm:sqref>
        </x14:conditionalFormatting>
        <x14:conditionalFormatting xmlns:xm="http://schemas.microsoft.com/office/excel/2006/main">
          <x14:cfRule type="expression" priority="4689261" id="{05A26B51-72A7-4423-822F-2BDBC28275D0}">
            <xm:f>$AM$4='Data entry'!$R8</xm:f>
            <x14:dxf>
              <fill>
                <patternFill>
                  <bgColor rgb="FFFFFF00"/>
                </patternFill>
              </fill>
            </x14:dxf>
          </x14:cfRule>
          <xm:sqref>Y11:AM11</xm:sqref>
        </x14:conditionalFormatting>
        <x14:conditionalFormatting xmlns:xm="http://schemas.microsoft.com/office/excel/2006/main">
          <x14:cfRule type="expression" priority="4689262" id="{B8A20675-6230-4694-A7F6-6B3DC7142773}">
            <xm:f>$AN$4='Data entry'!$R8</xm:f>
            <x14:dxf>
              <fill>
                <patternFill>
                  <bgColor rgb="FFFF0000"/>
                </patternFill>
              </fill>
            </x14:dxf>
          </x14:cfRule>
          <xm:sqref>AL12:AX12</xm:sqref>
        </x14:conditionalFormatting>
        <x14:conditionalFormatting xmlns:xm="http://schemas.microsoft.com/office/excel/2006/main">
          <x14:cfRule type="expression" priority="4689263" id="{8421181C-7450-42E9-BC1D-065CCFCA960E}">
            <xm:f>$AN$4='Data entry'!$R8</xm:f>
            <x14:dxf>
              <fill>
                <patternFill>
                  <bgColor rgb="FFFFFF00"/>
                </patternFill>
              </fill>
            </x14:dxf>
          </x14:cfRule>
          <xm:sqref>Z11:AN11</xm:sqref>
        </x14:conditionalFormatting>
        <x14:conditionalFormatting xmlns:xm="http://schemas.microsoft.com/office/excel/2006/main">
          <x14:cfRule type="expression" priority="4689264" id="{067FE4BD-6EF4-4684-B6E0-35AB2F267EE7}">
            <xm:f>$AO$4='Data entry'!$R8</xm:f>
            <x14:dxf>
              <fill>
                <patternFill>
                  <bgColor rgb="FFFF0000"/>
                </patternFill>
              </fill>
            </x14:dxf>
          </x14:cfRule>
          <xm:sqref>AM12:AY12</xm:sqref>
        </x14:conditionalFormatting>
        <x14:conditionalFormatting xmlns:xm="http://schemas.microsoft.com/office/excel/2006/main">
          <x14:cfRule type="expression" priority="4689265" id="{F7653492-88D1-47AC-8BA3-0CCE65C3C2AB}">
            <xm:f>$AO$4='Data entry'!$R8</xm:f>
            <x14:dxf>
              <fill>
                <patternFill>
                  <bgColor rgb="FFFFFF00"/>
                </patternFill>
              </fill>
            </x14:dxf>
          </x14:cfRule>
          <xm:sqref>AA11:AO11</xm:sqref>
        </x14:conditionalFormatting>
        <x14:conditionalFormatting xmlns:xm="http://schemas.microsoft.com/office/excel/2006/main">
          <x14:cfRule type="expression" priority="4689266" id="{207A5E5D-B322-482E-9193-1D7318138358}">
            <xm:f>$AP$4='Data entry'!$R8</xm:f>
            <x14:dxf>
              <fill>
                <patternFill>
                  <bgColor rgb="FFFF0000"/>
                </patternFill>
              </fill>
            </x14:dxf>
          </x14:cfRule>
          <xm:sqref>AN12:AZ12</xm:sqref>
        </x14:conditionalFormatting>
        <x14:conditionalFormatting xmlns:xm="http://schemas.microsoft.com/office/excel/2006/main">
          <x14:cfRule type="expression" priority="4689267" id="{21DA638D-4CA0-4067-BFF1-240CE1A0261B}">
            <xm:f>$AP$4='Data entry'!$R8</xm:f>
            <x14:dxf>
              <fill>
                <patternFill>
                  <bgColor rgb="FFFFFF00"/>
                </patternFill>
              </fill>
            </x14:dxf>
          </x14:cfRule>
          <xm:sqref>AB11:AP11</xm:sqref>
        </x14:conditionalFormatting>
        <x14:conditionalFormatting xmlns:xm="http://schemas.microsoft.com/office/excel/2006/main">
          <x14:cfRule type="expression" priority="4689268" id="{71963D96-A42A-4B90-BFC7-6D83D37766EF}">
            <xm:f>$AQ$4='Data entry'!$R8</xm:f>
            <x14:dxf>
              <fill>
                <patternFill>
                  <bgColor rgb="FFFF0000"/>
                </patternFill>
              </fill>
            </x14:dxf>
          </x14:cfRule>
          <xm:sqref>AO12:BA12</xm:sqref>
        </x14:conditionalFormatting>
        <x14:conditionalFormatting xmlns:xm="http://schemas.microsoft.com/office/excel/2006/main">
          <x14:cfRule type="expression" priority="4689269" id="{74952595-84B6-484F-8FF6-FCC1F337DF4D}">
            <xm:f>$AQ$4='Data entry'!$R8</xm:f>
            <x14:dxf>
              <fill>
                <patternFill>
                  <bgColor rgb="FFFFFF00"/>
                </patternFill>
              </fill>
            </x14:dxf>
          </x14:cfRule>
          <xm:sqref>AC11:AQ11</xm:sqref>
        </x14:conditionalFormatting>
        <x14:conditionalFormatting xmlns:xm="http://schemas.microsoft.com/office/excel/2006/main">
          <x14:cfRule type="expression" priority="4689270" id="{8AC9C4B9-0A34-4BC0-B0F7-CA89434C4911}">
            <xm:f>$P$4='Data entry'!$R8</xm:f>
            <x14:dxf>
              <fill>
                <patternFill>
                  <bgColor rgb="FFFFFF00"/>
                </patternFill>
              </fill>
            </x14:dxf>
          </x14:cfRule>
          <xm:sqref>C11:P11</xm:sqref>
        </x14:conditionalFormatting>
        <x14:conditionalFormatting xmlns:xm="http://schemas.microsoft.com/office/excel/2006/main">
          <x14:cfRule type="expression" priority="4689271" id="{0A726775-ABFD-4F22-967C-1A4D87BA3751}">
            <xm:f>$Q$4='Data entry'!$R8</xm:f>
            <x14:dxf>
              <fill>
                <patternFill>
                  <bgColor rgb="FFFFFF00"/>
                </patternFill>
              </fill>
            </x14:dxf>
          </x14:cfRule>
          <xm:sqref>C11:Q11</xm:sqref>
        </x14:conditionalFormatting>
        <x14:conditionalFormatting xmlns:xm="http://schemas.microsoft.com/office/excel/2006/main">
          <x14:cfRule type="expression" priority="4689272" id="{3A8414BD-262C-43B5-86EE-FA6901D00453}">
            <xm:f>$Q$4='Data entry'!$R8</xm:f>
            <x14:dxf>
              <fill>
                <patternFill>
                  <bgColor rgb="FFFF0000"/>
                </patternFill>
              </fill>
            </x14:dxf>
          </x14:cfRule>
          <xm:sqref>O12:AA12</xm:sqref>
        </x14:conditionalFormatting>
        <x14:conditionalFormatting xmlns:xm="http://schemas.microsoft.com/office/excel/2006/main">
          <x14:cfRule type="expression" priority="4689273" id="{B8B5501D-F3EF-4449-9306-F652960C65F4}">
            <xm:f>$R$4='Data entry'!$R8</xm:f>
            <x14:dxf>
              <fill>
                <patternFill>
                  <bgColor rgb="FFFF0000"/>
                </patternFill>
              </fill>
            </x14:dxf>
          </x14:cfRule>
          <xm:sqref>P12:AB12</xm:sqref>
        </x14:conditionalFormatting>
        <x14:conditionalFormatting xmlns:xm="http://schemas.microsoft.com/office/excel/2006/main">
          <x14:cfRule type="expression" priority="4689274" id="{5D070DEC-B82E-4D87-B907-A3E5AB836991}">
            <xm:f>$R$4='Data entry'!$R8</xm:f>
            <x14:dxf>
              <fill>
                <patternFill>
                  <bgColor rgb="FFFFFF00"/>
                </patternFill>
              </fill>
            </x14:dxf>
          </x14:cfRule>
          <xm:sqref>D11:R11</xm:sqref>
        </x14:conditionalFormatting>
        <x14:conditionalFormatting xmlns:xm="http://schemas.microsoft.com/office/excel/2006/main">
          <x14:cfRule type="expression" priority="4689275" id="{E4D16A10-F818-4664-9FB2-F0E839824D4B}">
            <xm:f>$S$4='Data entry'!$R8</xm:f>
            <x14:dxf>
              <fill>
                <patternFill>
                  <bgColor rgb="FFFF0000"/>
                </patternFill>
              </fill>
            </x14:dxf>
          </x14:cfRule>
          <xm:sqref>Q12:AC12</xm:sqref>
        </x14:conditionalFormatting>
        <x14:conditionalFormatting xmlns:xm="http://schemas.microsoft.com/office/excel/2006/main">
          <x14:cfRule type="expression" priority="4689276" id="{1A9F9911-A3E9-4730-AFBE-AB8C596545CA}">
            <xm:f>$S$4='Data entry'!$R8</xm:f>
            <x14:dxf>
              <fill>
                <patternFill>
                  <bgColor rgb="FFFFFF00"/>
                </patternFill>
              </fill>
            </x14:dxf>
          </x14:cfRule>
          <xm:sqref>E11:S11</xm:sqref>
        </x14:conditionalFormatting>
        <x14:conditionalFormatting xmlns:xm="http://schemas.microsoft.com/office/excel/2006/main">
          <x14:cfRule type="expression" priority="4689277" id="{8BB5CD1B-B2AC-442A-9550-26DE19A62D22}">
            <xm:f>$T$4='Data entry'!$R8</xm:f>
            <x14:dxf>
              <fill>
                <patternFill>
                  <bgColor rgb="FFFF0000"/>
                </patternFill>
              </fill>
            </x14:dxf>
          </x14:cfRule>
          <xm:sqref>R12:AD12</xm:sqref>
        </x14:conditionalFormatting>
        <x14:conditionalFormatting xmlns:xm="http://schemas.microsoft.com/office/excel/2006/main">
          <x14:cfRule type="expression" priority="4689278" id="{E7B59C69-7921-4049-84A1-8B3E5F7B0598}">
            <xm:f>$T$4='Data entry'!$R8</xm:f>
            <x14:dxf>
              <fill>
                <patternFill>
                  <bgColor rgb="FFFFFF00"/>
                </patternFill>
              </fill>
            </x14:dxf>
          </x14:cfRule>
          <xm:sqref>F11:T11</xm:sqref>
        </x14:conditionalFormatting>
        <x14:conditionalFormatting xmlns:xm="http://schemas.microsoft.com/office/excel/2006/main">
          <x14:cfRule type="expression" priority="4689279" id="{238C09E5-7A3D-439D-949F-A7733073F9A2}">
            <xm:f>$U$4='Data entry'!$R8</xm:f>
            <x14:dxf>
              <fill>
                <patternFill>
                  <bgColor rgb="FFFFFF00"/>
                </patternFill>
              </fill>
            </x14:dxf>
          </x14:cfRule>
          <xm:sqref>G11:U11</xm:sqref>
        </x14:conditionalFormatting>
        <x14:conditionalFormatting xmlns:xm="http://schemas.microsoft.com/office/excel/2006/main">
          <x14:cfRule type="expression" priority="4689280" id="{DE4D4432-0A19-452A-AF14-2873FE4DF411}">
            <xm:f>$AR$4='Data entry'!$R8</xm:f>
            <x14:dxf>
              <fill>
                <patternFill>
                  <bgColor rgb="FFFF0000"/>
                </patternFill>
              </fill>
            </x14:dxf>
          </x14:cfRule>
          <xm:sqref>AP12:BB12</xm:sqref>
        </x14:conditionalFormatting>
        <x14:conditionalFormatting xmlns:xm="http://schemas.microsoft.com/office/excel/2006/main">
          <x14:cfRule type="expression" priority="4689281" id="{90D7E1FF-542D-40C8-9BD5-DFEB4CDD256F}">
            <xm:f>$AR$4='Data entry'!$R8</xm:f>
            <x14:dxf>
              <fill>
                <patternFill>
                  <bgColor rgb="FFFFFF00"/>
                </patternFill>
              </fill>
            </x14:dxf>
          </x14:cfRule>
          <xm:sqref>AD11:AR11</xm:sqref>
        </x14:conditionalFormatting>
        <x14:conditionalFormatting xmlns:xm="http://schemas.microsoft.com/office/excel/2006/main">
          <x14:cfRule type="expression" priority="4689282" id="{0EBB5305-4A4A-4205-A1FF-11160070CBC3}">
            <xm:f>$AS$4='Data entry'!$R8</xm:f>
            <x14:dxf>
              <fill>
                <patternFill>
                  <bgColor rgb="FFFF0000"/>
                </patternFill>
              </fill>
            </x14:dxf>
          </x14:cfRule>
          <xm:sqref>AQ12:BC12</xm:sqref>
        </x14:conditionalFormatting>
        <x14:conditionalFormatting xmlns:xm="http://schemas.microsoft.com/office/excel/2006/main">
          <x14:cfRule type="expression" priority="4689283" id="{AC8EB30C-4253-4CE1-820E-1801F6D8D35B}">
            <xm:f>$AS$4='Data entry'!$R8</xm:f>
            <x14:dxf>
              <fill>
                <patternFill>
                  <bgColor rgb="FFFFFF00"/>
                </patternFill>
              </fill>
            </x14:dxf>
          </x14:cfRule>
          <xm:sqref>AE11:AS11</xm:sqref>
        </x14:conditionalFormatting>
        <x14:conditionalFormatting xmlns:xm="http://schemas.microsoft.com/office/excel/2006/main">
          <x14:cfRule type="expression" priority="4689284" id="{E11744C1-7201-4272-A1B0-945490B42425}">
            <xm:f>$AT$4='Data entry'!$R8</xm:f>
            <x14:dxf>
              <fill>
                <patternFill>
                  <bgColor rgb="FFFF0000"/>
                </patternFill>
              </fill>
            </x14:dxf>
          </x14:cfRule>
          <xm:sqref>AR12:BD12</xm:sqref>
        </x14:conditionalFormatting>
        <x14:conditionalFormatting xmlns:xm="http://schemas.microsoft.com/office/excel/2006/main">
          <x14:cfRule type="expression" priority="4689285" id="{5EE2823B-E955-4EA7-B99C-0B1F77B57A69}">
            <xm:f>$AT$4='Data entry'!$R8</xm:f>
            <x14:dxf>
              <fill>
                <patternFill>
                  <bgColor rgb="FFFFFF00"/>
                </patternFill>
              </fill>
            </x14:dxf>
          </x14:cfRule>
          <xm:sqref>AF11:AT11</xm:sqref>
        </x14:conditionalFormatting>
        <x14:conditionalFormatting xmlns:xm="http://schemas.microsoft.com/office/excel/2006/main">
          <x14:cfRule type="expression" priority="4689286" id="{5737DC63-3262-4B34-900C-2AAEB255FCBA}">
            <xm:f>$AU$4='Data entry'!$R8</xm:f>
            <x14:dxf>
              <fill>
                <patternFill>
                  <bgColor rgb="FFFF0000"/>
                </patternFill>
              </fill>
            </x14:dxf>
          </x14:cfRule>
          <xm:sqref>AS12:BE12</xm:sqref>
        </x14:conditionalFormatting>
        <x14:conditionalFormatting xmlns:xm="http://schemas.microsoft.com/office/excel/2006/main">
          <x14:cfRule type="expression" priority="4689287" id="{2B5C1F1B-3C3D-4CA3-BC64-0E98422075B6}">
            <xm:f>$AU$4='Data entry'!$R8</xm:f>
            <x14:dxf>
              <fill>
                <patternFill>
                  <bgColor rgb="FFFFFF00"/>
                </patternFill>
              </fill>
            </x14:dxf>
          </x14:cfRule>
          <xm:sqref>AG11:AU11</xm:sqref>
        </x14:conditionalFormatting>
        <x14:conditionalFormatting xmlns:xm="http://schemas.microsoft.com/office/excel/2006/main">
          <x14:cfRule type="expression" priority="4689288" id="{B87A1285-B003-4855-8F4B-53C391BA10E6}">
            <xm:f>$AV$4='Data entry'!$R8</xm:f>
            <x14:dxf>
              <fill>
                <patternFill>
                  <bgColor rgb="FFFF0000"/>
                </patternFill>
              </fill>
            </x14:dxf>
          </x14:cfRule>
          <xm:sqref>AT12:BF12</xm:sqref>
        </x14:conditionalFormatting>
        <x14:conditionalFormatting xmlns:xm="http://schemas.microsoft.com/office/excel/2006/main">
          <x14:cfRule type="expression" priority="4689289" id="{338EE31C-78DB-4818-B837-0380F9E457FA}">
            <xm:f>$AV$4='Data entry'!$R8</xm:f>
            <x14:dxf>
              <fill>
                <patternFill>
                  <bgColor rgb="FFFFFF00"/>
                </patternFill>
              </fill>
            </x14:dxf>
          </x14:cfRule>
          <xm:sqref>AH11:AV11</xm:sqref>
        </x14:conditionalFormatting>
        <x14:conditionalFormatting xmlns:xm="http://schemas.microsoft.com/office/excel/2006/main">
          <x14:cfRule type="expression" priority="4689290" id="{5C40EA66-2801-4C91-B885-BF6A1ECFC35C}">
            <xm:f>$AW$4='Data entry'!$R8</xm:f>
            <x14:dxf>
              <fill>
                <patternFill>
                  <bgColor rgb="FFFF0000"/>
                </patternFill>
              </fill>
            </x14:dxf>
          </x14:cfRule>
          <xm:sqref>AU12:BG12</xm:sqref>
        </x14:conditionalFormatting>
        <x14:conditionalFormatting xmlns:xm="http://schemas.microsoft.com/office/excel/2006/main">
          <x14:cfRule type="expression" priority="4689291" id="{51BCD5CE-DF86-4C2F-8A81-DDA1EFD6C8F7}">
            <xm:f>$AW$4='Data entry'!$R8</xm:f>
            <x14:dxf>
              <fill>
                <patternFill>
                  <bgColor rgb="FFFFFF00"/>
                </patternFill>
              </fill>
            </x14:dxf>
          </x14:cfRule>
          <xm:sqref>AI11:AW11</xm:sqref>
        </x14:conditionalFormatting>
        <x14:conditionalFormatting xmlns:xm="http://schemas.microsoft.com/office/excel/2006/main">
          <x14:cfRule type="expression" priority="4689292" id="{DC2ED5A0-8917-4877-8CD3-9DF9BE5993C9}">
            <xm:f>$AX$4='Data entry'!$R8</xm:f>
            <x14:dxf>
              <fill>
                <patternFill>
                  <bgColor rgb="FFFF0000"/>
                </patternFill>
              </fill>
            </x14:dxf>
          </x14:cfRule>
          <xm:sqref>AV12:BH12</xm:sqref>
        </x14:conditionalFormatting>
        <x14:conditionalFormatting xmlns:xm="http://schemas.microsoft.com/office/excel/2006/main">
          <x14:cfRule type="expression" priority="4689293" id="{59B31869-20F9-45BD-BC80-0A6C8945CE2C}">
            <xm:f>$AX$4='Data entry'!$R8</xm:f>
            <x14:dxf>
              <fill>
                <patternFill>
                  <bgColor rgb="FFFFFF00"/>
                </patternFill>
              </fill>
            </x14:dxf>
          </x14:cfRule>
          <xm:sqref>AJ11:AX11</xm:sqref>
        </x14:conditionalFormatting>
        <x14:conditionalFormatting xmlns:xm="http://schemas.microsoft.com/office/excel/2006/main">
          <x14:cfRule type="expression" priority="4689294" id="{D4208FA0-4262-4037-934C-6D0742B2AD8E}">
            <xm:f>$AY$4='Data entry'!$R8</xm:f>
            <x14:dxf>
              <fill>
                <patternFill>
                  <bgColor rgb="FFFF0000"/>
                </patternFill>
              </fill>
            </x14:dxf>
          </x14:cfRule>
          <xm:sqref>AW12:BI12</xm:sqref>
        </x14:conditionalFormatting>
        <x14:conditionalFormatting xmlns:xm="http://schemas.microsoft.com/office/excel/2006/main">
          <x14:cfRule type="expression" priority="4689295" id="{04D6E423-18C7-42B2-A67D-F49D8E62B571}">
            <xm:f>$AY$4='Data entry'!$R8</xm:f>
            <x14:dxf>
              <fill>
                <patternFill>
                  <bgColor rgb="FFFFFF00"/>
                </patternFill>
              </fill>
            </x14:dxf>
          </x14:cfRule>
          <xm:sqref>AK11:AY11</xm:sqref>
        </x14:conditionalFormatting>
        <x14:conditionalFormatting xmlns:xm="http://schemas.microsoft.com/office/excel/2006/main">
          <x14:cfRule type="expression" priority="4689296" id="{A931C203-6E4B-4EBD-A2F4-1876881F48D4}">
            <xm:f>$AZ$4='Data entry'!$R8</xm:f>
            <x14:dxf>
              <fill>
                <patternFill>
                  <bgColor rgb="FFFF0000"/>
                </patternFill>
              </fill>
            </x14:dxf>
          </x14:cfRule>
          <xm:sqref>AX12:BJ12</xm:sqref>
        </x14:conditionalFormatting>
        <x14:conditionalFormatting xmlns:xm="http://schemas.microsoft.com/office/excel/2006/main">
          <x14:cfRule type="expression" priority="4689297" id="{092D9100-E652-40FE-8CAA-720DC0681250}">
            <xm:f>$AZ$4='Data entry'!$R8</xm:f>
            <x14:dxf>
              <fill>
                <patternFill>
                  <bgColor rgb="FFFFFF00"/>
                </patternFill>
              </fill>
            </x14:dxf>
          </x14:cfRule>
          <xm:sqref>AL11:AZ11</xm:sqref>
        </x14:conditionalFormatting>
        <x14:conditionalFormatting xmlns:xm="http://schemas.microsoft.com/office/excel/2006/main">
          <x14:cfRule type="expression" priority="4689298" id="{A3C7E6BE-A225-483C-A983-A915DB662C52}">
            <xm:f>$BA$4='Data entry'!$R8</xm:f>
            <x14:dxf>
              <fill>
                <patternFill>
                  <bgColor rgb="FFFF0000"/>
                </patternFill>
              </fill>
            </x14:dxf>
          </x14:cfRule>
          <xm:sqref>AY12:BK12</xm:sqref>
        </x14:conditionalFormatting>
        <x14:conditionalFormatting xmlns:xm="http://schemas.microsoft.com/office/excel/2006/main">
          <x14:cfRule type="expression" priority="4689299" id="{F5CF569A-8AFA-4CFF-8BD3-F04D8927A99F}">
            <xm:f>$BA$4='Data entry'!$R8</xm:f>
            <x14:dxf>
              <fill>
                <patternFill>
                  <bgColor rgb="FFFFFF00"/>
                </patternFill>
              </fill>
            </x14:dxf>
          </x14:cfRule>
          <xm:sqref>AM11:BA11</xm:sqref>
        </x14:conditionalFormatting>
        <x14:conditionalFormatting xmlns:xm="http://schemas.microsoft.com/office/excel/2006/main">
          <x14:cfRule type="expression" priority="4689300" id="{E4DAC94A-7983-4BFB-A87B-45B58561841A}">
            <xm:f>$BB$4='Data entry'!$R8</xm:f>
            <x14:dxf>
              <fill>
                <patternFill>
                  <bgColor rgb="FFFF0000"/>
                </patternFill>
              </fill>
            </x14:dxf>
          </x14:cfRule>
          <xm:sqref>AZ12:BL12</xm:sqref>
        </x14:conditionalFormatting>
        <x14:conditionalFormatting xmlns:xm="http://schemas.microsoft.com/office/excel/2006/main">
          <x14:cfRule type="expression" priority="4689301" id="{E63849C5-F39B-4B0E-8F8A-B532EDF2CBAE}">
            <xm:f>$BB$4='Data entry'!$R8</xm:f>
            <x14:dxf>
              <fill>
                <patternFill>
                  <bgColor rgb="FFFFFF00"/>
                </patternFill>
              </fill>
            </x14:dxf>
          </x14:cfRule>
          <xm:sqref>AN11:BB11</xm:sqref>
        </x14:conditionalFormatting>
        <x14:conditionalFormatting xmlns:xm="http://schemas.microsoft.com/office/excel/2006/main">
          <x14:cfRule type="expression" priority="4689302" id="{4FDC32D3-C1F5-455D-9AA4-A03359B72526}">
            <xm:f>$BC$4='Data entry'!$R8</xm:f>
            <x14:dxf>
              <fill>
                <patternFill>
                  <bgColor rgb="FFFF0000"/>
                </patternFill>
              </fill>
            </x14:dxf>
          </x14:cfRule>
          <xm:sqref>BA12:BM12</xm:sqref>
        </x14:conditionalFormatting>
        <x14:conditionalFormatting xmlns:xm="http://schemas.microsoft.com/office/excel/2006/main">
          <x14:cfRule type="expression" priority="4689303" id="{5F0D0C60-B233-4C56-B05D-98C99990877F}">
            <xm:f>$BC$4='Data entry'!$R8</xm:f>
            <x14:dxf>
              <fill>
                <patternFill>
                  <bgColor rgb="FFFFFF00"/>
                </patternFill>
              </fill>
            </x14:dxf>
          </x14:cfRule>
          <xm:sqref>AO11:BC11</xm:sqref>
        </x14:conditionalFormatting>
        <x14:conditionalFormatting xmlns:xm="http://schemas.microsoft.com/office/excel/2006/main">
          <x14:cfRule type="expression" priority="4689304" id="{9EBCB60F-8135-43B6-A0F3-548D4092CC98}">
            <xm:f>$BD$4='Data entry'!$R8</xm:f>
            <x14:dxf>
              <fill>
                <patternFill>
                  <bgColor rgb="FFFF0000"/>
                </patternFill>
              </fill>
            </x14:dxf>
          </x14:cfRule>
          <xm:sqref>BB12:BN12</xm:sqref>
        </x14:conditionalFormatting>
        <x14:conditionalFormatting xmlns:xm="http://schemas.microsoft.com/office/excel/2006/main">
          <x14:cfRule type="expression" priority="4689305" id="{961AF346-4A73-41ED-9A8D-27D431B09C05}">
            <xm:f>$BD$4='Data entry'!$R8</xm:f>
            <x14:dxf>
              <fill>
                <patternFill>
                  <bgColor rgb="FFFFFF00"/>
                </patternFill>
              </fill>
            </x14:dxf>
          </x14:cfRule>
          <xm:sqref>AP11:BD11</xm:sqref>
        </x14:conditionalFormatting>
        <x14:conditionalFormatting xmlns:xm="http://schemas.microsoft.com/office/excel/2006/main">
          <x14:cfRule type="expression" priority="4689306" id="{5A887026-27CD-4F8C-8BA6-1E92704C1CA6}">
            <xm:f>$BE$4='Data entry'!$R8</xm:f>
            <x14:dxf>
              <fill>
                <patternFill>
                  <bgColor rgb="FFFF0000"/>
                </patternFill>
              </fill>
            </x14:dxf>
          </x14:cfRule>
          <xm:sqref>BC12:BO12</xm:sqref>
        </x14:conditionalFormatting>
        <x14:conditionalFormatting xmlns:xm="http://schemas.microsoft.com/office/excel/2006/main">
          <x14:cfRule type="expression" priority="4689307" id="{7F46217B-A1E9-4515-B31E-E756FCD7C6D9}">
            <xm:f>$BE$4='Data entry'!$R8</xm:f>
            <x14:dxf>
              <fill>
                <patternFill>
                  <bgColor rgb="FFFFFF00"/>
                </patternFill>
              </fill>
            </x14:dxf>
          </x14:cfRule>
          <xm:sqref>AP11:BE11</xm:sqref>
        </x14:conditionalFormatting>
        <x14:conditionalFormatting xmlns:xm="http://schemas.microsoft.com/office/excel/2006/main">
          <x14:cfRule type="expression" priority="4689308" id="{F4D9285C-8CA0-4EF1-943E-6A462D47CC77}">
            <xm:f>$BF$4='Data entry'!$R8</xm:f>
            <x14:dxf>
              <fill>
                <patternFill>
                  <bgColor rgb="FFFF0000"/>
                </patternFill>
              </fill>
            </x14:dxf>
          </x14:cfRule>
          <xm:sqref>BD12:BP12</xm:sqref>
        </x14:conditionalFormatting>
        <x14:conditionalFormatting xmlns:xm="http://schemas.microsoft.com/office/excel/2006/main">
          <x14:cfRule type="expression" priority="4689309" id="{B9E4407D-651D-4DC0-9D61-3271D62A65E9}">
            <xm:f>$BF$4='Data entry'!$R8</xm:f>
            <x14:dxf>
              <fill>
                <patternFill>
                  <bgColor rgb="FFFFFF00"/>
                </patternFill>
              </fill>
            </x14:dxf>
          </x14:cfRule>
          <xm:sqref>AR11:BF11</xm:sqref>
        </x14:conditionalFormatting>
        <x14:conditionalFormatting xmlns:xm="http://schemas.microsoft.com/office/excel/2006/main">
          <x14:cfRule type="expression" priority="4689310" id="{4CDC062F-DDFF-4556-B941-08F919727F69}">
            <xm:f>$BG$4='Data entry'!$R8</xm:f>
            <x14:dxf>
              <fill>
                <patternFill>
                  <bgColor rgb="FFFF0000"/>
                </patternFill>
              </fill>
            </x14:dxf>
          </x14:cfRule>
          <xm:sqref>BE12:BQ12</xm:sqref>
        </x14:conditionalFormatting>
        <x14:conditionalFormatting xmlns:xm="http://schemas.microsoft.com/office/excel/2006/main">
          <x14:cfRule type="expression" priority="4689311" id="{789184FA-9055-433B-8A1B-92C7ED59E81F}">
            <xm:f>$BG$4='Data entry'!$R8</xm:f>
            <x14:dxf>
              <fill>
                <patternFill>
                  <bgColor rgb="FFFFFF00"/>
                </patternFill>
              </fill>
            </x14:dxf>
          </x14:cfRule>
          <xm:sqref>AS11:BG11</xm:sqref>
        </x14:conditionalFormatting>
        <x14:conditionalFormatting xmlns:xm="http://schemas.microsoft.com/office/excel/2006/main">
          <x14:cfRule type="expression" priority="4689312" id="{58651E5C-09C9-46C1-B95C-E8A578A49E15}">
            <xm:f>$BH$4='Data entry'!$R8</xm:f>
            <x14:dxf>
              <fill>
                <patternFill>
                  <bgColor rgb="FFFFFF00"/>
                </patternFill>
              </fill>
            </x14:dxf>
          </x14:cfRule>
          <xm:sqref>AT11:BH11</xm:sqref>
        </x14:conditionalFormatting>
        <x14:conditionalFormatting xmlns:xm="http://schemas.microsoft.com/office/excel/2006/main">
          <x14:cfRule type="expression" priority="4689313" id="{97B30B86-8311-4DC0-A533-8C0D53F37839}">
            <xm:f>$BH$4='Data entry'!$R8</xm:f>
            <x14:dxf>
              <fill>
                <patternFill>
                  <bgColor rgb="FFFF0000"/>
                </patternFill>
              </fill>
            </x14:dxf>
          </x14:cfRule>
          <xm:sqref>BF12:BR12</xm:sqref>
        </x14:conditionalFormatting>
        <x14:conditionalFormatting xmlns:xm="http://schemas.microsoft.com/office/excel/2006/main">
          <x14:cfRule type="expression" priority="4689314" id="{78344C0C-5AEA-40B1-A20C-6D77DF58E1F5}">
            <xm:f>$BI$4='Data entry'!$R8</xm:f>
            <x14:dxf>
              <fill>
                <patternFill>
                  <bgColor rgb="FFFFFF00"/>
                </patternFill>
              </fill>
            </x14:dxf>
          </x14:cfRule>
          <xm:sqref>AU11:BI11</xm:sqref>
        </x14:conditionalFormatting>
        <x14:conditionalFormatting xmlns:xm="http://schemas.microsoft.com/office/excel/2006/main">
          <x14:cfRule type="expression" priority="4689315" id="{A9CE044F-482E-4F25-B28F-89ACC58502B1}">
            <xm:f>$BI$4='Data entry'!$R8</xm:f>
            <x14:dxf>
              <fill>
                <patternFill>
                  <bgColor rgb="FFFF0000"/>
                </patternFill>
              </fill>
            </x14:dxf>
          </x14:cfRule>
          <xm:sqref>BG12:BS12</xm:sqref>
        </x14:conditionalFormatting>
        <x14:conditionalFormatting xmlns:xm="http://schemas.microsoft.com/office/excel/2006/main">
          <x14:cfRule type="expression" priority="4689316" id="{F63BE0EB-3C71-4456-BEF0-11180AB7A8BB}">
            <xm:f>$BJ$4='Data entry'!$R8</xm:f>
            <x14:dxf>
              <fill>
                <patternFill>
                  <bgColor rgb="FFFFFF00"/>
                </patternFill>
              </fill>
            </x14:dxf>
          </x14:cfRule>
          <xm:sqref>AV11:BJ11</xm:sqref>
        </x14:conditionalFormatting>
        <x14:conditionalFormatting xmlns:xm="http://schemas.microsoft.com/office/excel/2006/main">
          <x14:cfRule type="expression" priority="4689317" id="{478A5DCB-1DAA-4497-A6CC-B4F01FB96D10}">
            <xm:f>$BJ$4='Data entry'!$R8</xm:f>
            <x14:dxf>
              <fill>
                <patternFill>
                  <bgColor rgb="FFFF0000"/>
                </patternFill>
              </fill>
            </x14:dxf>
          </x14:cfRule>
          <xm:sqref>BH12:BT12</xm:sqref>
        </x14:conditionalFormatting>
        <x14:conditionalFormatting xmlns:xm="http://schemas.microsoft.com/office/excel/2006/main">
          <x14:cfRule type="expression" priority="4689318" id="{CDE4AD5B-65A6-4FA4-9EC0-8D05F22312A9}">
            <xm:f>$BK$4='Data entry'!$R8</xm:f>
            <x14:dxf>
              <fill>
                <patternFill>
                  <bgColor rgb="FFFF0000"/>
                </patternFill>
              </fill>
            </x14:dxf>
          </x14:cfRule>
          <xm:sqref>BI12:BU12</xm:sqref>
        </x14:conditionalFormatting>
        <x14:conditionalFormatting xmlns:xm="http://schemas.microsoft.com/office/excel/2006/main">
          <x14:cfRule type="expression" priority="4689319" id="{AB32E790-6CD8-4D11-9A69-57D785FE4BBC}">
            <xm:f>$BK$4='Data entry'!$R8</xm:f>
            <x14:dxf>
              <fill>
                <patternFill>
                  <bgColor rgb="FFFFFF00"/>
                </patternFill>
              </fill>
            </x14:dxf>
          </x14:cfRule>
          <xm:sqref>AW11:BK11</xm:sqref>
        </x14:conditionalFormatting>
        <x14:conditionalFormatting xmlns:xm="http://schemas.microsoft.com/office/excel/2006/main">
          <x14:cfRule type="expression" priority="4689320" id="{99810EB9-805C-43D8-852A-EEECE7874CDB}">
            <xm:f>$BL$4='Data entry'!$R8</xm:f>
            <x14:dxf>
              <fill>
                <patternFill>
                  <bgColor rgb="FFFF0000"/>
                </patternFill>
              </fill>
            </x14:dxf>
          </x14:cfRule>
          <xm:sqref>BJ12:BV12</xm:sqref>
        </x14:conditionalFormatting>
        <x14:conditionalFormatting xmlns:xm="http://schemas.microsoft.com/office/excel/2006/main">
          <x14:cfRule type="expression" priority="4689321" id="{BF5F5475-4E46-479C-97A6-D5175F5D1803}">
            <xm:f>$BL$4='Data entry'!$R8</xm:f>
            <x14:dxf>
              <fill>
                <patternFill>
                  <bgColor rgb="FFFFFF00"/>
                </patternFill>
              </fill>
            </x14:dxf>
          </x14:cfRule>
          <xm:sqref>AX11:BL11</xm:sqref>
        </x14:conditionalFormatting>
        <x14:conditionalFormatting xmlns:xm="http://schemas.microsoft.com/office/excel/2006/main">
          <x14:cfRule type="expression" priority="4689322" id="{B86FDF2F-16C9-46B1-847E-7EA1A8A34B9D}">
            <xm:f>$BM$4='Data entry'!$R8</xm:f>
            <x14:dxf>
              <fill>
                <patternFill>
                  <bgColor rgb="FFFF0000"/>
                </patternFill>
              </fill>
            </x14:dxf>
          </x14:cfRule>
          <xm:sqref>BK12:BW12</xm:sqref>
        </x14:conditionalFormatting>
        <x14:conditionalFormatting xmlns:xm="http://schemas.microsoft.com/office/excel/2006/main">
          <x14:cfRule type="expression" priority="4689323" id="{72FD189F-4CED-400D-9FEF-21A328970A4D}">
            <xm:f>$BM$4='Data entry'!$R8</xm:f>
            <x14:dxf>
              <fill>
                <patternFill>
                  <bgColor rgb="FFFFFF00"/>
                </patternFill>
              </fill>
            </x14:dxf>
          </x14:cfRule>
          <xm:sqref>AY11:BM11</xm:sqref>
        </x14:conditionalFormatting>
        <x14:conditionalFormatting xmlns:xm="http://schemas.microsoft.com/office/excel/2006/main">
          <x14:cfRule type="expression" priority="4689324" id="{BBBBF859-D5A7-4F55-BFBF-8A77E3357590}">
            <xm:f>$BN$4='Data entry'!$R8</xm:f>
            <x14:dxf>
              <fill>
                <patternFill>
                  <bgColor rgb="FFFF0000"/>
                </patternFill>
              </fill>
            </x14:dxf>
          </x14:cfRule>
          <xm:sqref>BL12:BX12</xm:sqref>
        </x14:conditionalFormatting>
        <x14:conditionalFormatting xmlns:xm="http://schemas.microsoft.com/office/excel/2006/main">
          <x14:cfRule type="expression" priority="4689325" id="{50CB1D75-0FD5-4D24-92B1-E8A41DC6575C}">
            <xm:f>$BN$4='Data entry'!$R8</xm:f>
            <x14:dxf>
              <fill>
                <patternFill>
                  <bgColor rgb="FFFFFF00"/>
                </patternFill>
              </fill>
            </x14:dxf>
          </x14:cfRule>
          <xm:sqref>AZ11:BN11</xm:sqref>
        </x14:conditionalFormatting>
        <x14:conditionalFormatting xmlns:xm="http://schemas.microsoft.com/office/excel/2006/main">
          <x14:cfRule type="expression" priority="4689326" id="{9EF3226D-E8FC-496B-A6FF-71776AEA54D1}">
            <xm:f>$BO$4='Data entry'!$R8</xm:f>
            <x14:dxf>
              <fill>
                <patternFill>
                  <bgColor rgb="FFFF0000"/>
                </patternFill>
              </fill>
            </x14:dxf>
          </x14:cfRule>
          <xm:sqref>BM12:BY12</xm:sqref>
        </x14:conditionalFormatting>
        <x14:conditionalFormatting xmlns:xm="http://schemas.microsoft.com/office/excel/2006/main">
          <x14:cfRule type="expression" priority="4689327" id="{3B86C801-ECFE-4D05-8AA5-1581116BAFBC}">
            <xm:f>$BO$4='Data entry'!$R8</xm:f>
            <x14:dxf>
              <fill>
                <patternFill>
                  <bgColor rgb="FFFFFF00"/>
                </patternFill>
              </fill>
            </x14:dxf>
          </x14:cfRule>
          <xm:sqref>BA11:BO11</xm:sqref>
        </x14:conditionalFormatting>
        <x14:conditionalFormatting xmlns:xm="http://schemas.microsoft.com/office/excel/2006/main">
          <x14:cfRule type="expression" priority="4689328" id="{058A23EC-3371-4A02-9F20-1ECA603AC6BC}">
            <xm:f>$BP$4='Data entry'!$R8</xm:f>
            <x14:dxf>
              <fill>
                <patternFill>
                  <bgColor rgb="FFFF0000"/>
                </patternFill>
              </fill>
            </x14:dxf>
          </x14:cfRule>
          <xm:sqref>BN12:BZ12</xm:sqref>
        </x14:conditionalFormatting>
        <x14:conditionalFormatting xmlns:xm="http://schemas.microsoft.com/office/excel/2006/main">
          <x14:cfRule type="expression" priority="4689329" id="{3E711E31-3992-4555-AB22-87133D60CD15}">
            <xm:f>$BP$4='Data entry'!$R8</xm:f>
            <x14:dxf>
              <fill>
                <patternFill>
                  <bgColor rgb="FFFFFF00"/>
                </patternFill>
              </fill>
            </x14:dxf>
          </x14:cfRule>
          <xm:sqref>BB11:BP11</xm:sqref>
        </x14:conditionalFormatting>
        <x14:conditionalFormatting xmlns:xm="http://schemas.microsoft.com/office/excel/2006/main">
          <x14:cfRule type="expression" priority="4689330" id="{23E9F8B9-37D5-4730-9453-6F23E8ECBBE3}">
            <xm:f>$BQ$4='Data entry'!$R8</xm:f>
            <x14:dxf>
              <fill>
                <patternFill>
                  <bgColor rgb="FFFFFF00"/>
                </patternFill>
              </fill>
            </x14:dxf>
          </x14:cfRule>
          <xm:sqref>BC11:BQ11</xm:sqref>
        </x14:conditionalFormatting>
        <x14:conditionalFormatting xmlns:xm="http://schemas.microsoft.com/office/excel/2006/main">
          <x14:cfRule type="expression" priority="4689331" id="{BCFD92F6-AAD3-44FD-BC61-A292A81B883E}">
            <xm:f>$BQ$4='Data entry'!$R8</xm:f>
            <x14:dxf>
              <fill>
                <patternFill>
                  <bgColor rgb="FFFF0000"/>
                </patternFill>
              </fill>
            </x14:dxf>
          </x14:cfRule>
          <xm:sqref>BO12:CA12</xm:sqref>
        </x14:conditionalFormatting>
        <x14:conditionalFormatting xmlns:xm="http://schemas.microsoft.com/office/excel/2006/main">
          <x14:cfRule type="expression" priority="4689332" id="{357D60E5-F356-477E-8020-A18F42C02832}">
            <xm:f>$BR$4='Data entry'!$R8</xm:f>
            <x14:dxf>
              <fill>
                <patternFill>
                  <bgColor rgb="FFFFFF00"/>
                </patternFill>
              </fill>
            </x14:dxf>
          </x14:cfRule>
          <xm:sqref>BD11:BR11</xm:sqref>
        </x14:conditionalFormatting>
        <x14:conditionalFormatting xmlns:xm="http://schemas.microsoft.com/office/excel/2006/main">
          <x14:cfRule type="expression" priority="4689333" id="{DA2B6511-43B3-432D-B6AA-1DB1188B90A6}">
            <xm:f>$BR$4='Data entry'!$R8</xm:f>
            <x14:dxf>
              <fill>
                <patternFill>
                  <bgColor rgb="FFFF0000"/>
                </patternFill>
              </fill>
            </x14:dxf>
          </x14:cfRule>
          <xm:sqref>BP12:CB12</xm:sqref>
        </x14:conditionalFormatting>
        <x14:conditionalFormatting xmlns:xm="http://schemas.microsoft.com/office/excel/2006/main">
          <x14:cfRule type="expression" priority="4689334" id="{0D5F64E4-4136-4BFA-B833-CC8578525D9C}">
            <xm:f>$BS$4='Data entry'!$R8</xm:f>
            <x14:dxf>
              <fill>
                <patternFill>
                  <bgColor rgb="FFFFFF00"/>
                </patternFill>
              </fill>
            </x14:dxf>
          </x14:cfRule>
          <xm:sqref>BE11:BS11</xm:sqref>
        </x14:conditionalFormatting>
        <x14:conditionalFormatting xmlns:xm="http://schemas.microsoft.com/office/excel/2006/main">
          <x14:cfRule type="expression" priority="4689335" id="{AC94D468-F078-4AE2-8771-102996E07B09}">
            <xm:f>$BS$4='Data entry'!$R8</xm:f>
            <x14:dxf>
              <fill>
                <patternFill>
                  <bgColor rgb="FFFF0000"/>
                </patternFill>
              </fill>
            </x14:dxf>
          </x14:cfRule>
          <xm:sqref>BQ12:CC12</xm:sqref>
        </x14:conditionalFormatting>
        <x14:conditionalFormatting xmlns:xm="http://schemas.microsoft.com/office/excel/2006/main">
          <x14:cfRule type="expression" priority="4689336" id="{10E78F76-181E-4F19-9F89-7DD36D3EFE30}">
            <xm:f>$BT$4='Data entry'!$R8</xm:f>
            <x14:dxf>
              <fill>
                <patternFill>
                  <bgColor rgb="FFFFFF00"/>
                </patternFill>
              </fill>
            </x14:dxf>
          </x14:cfRule>
          <xm:sqref>BF11:BT11</xm:sqref>
        </x14:conditionalFormatting>
        <x14:conditionalFormatting xmlns:xm="http://schemas.microsoft.com/office/excel/2006/main">
          <x14:cfRule type="expression" priority="4689337" id="{6A5FADC6-9512-4EFB-90A5-7B5244D10D1F}">
            <xm:f>$BT$4='Data entry'!$R8</xm:f>
            <x14:dxf>
              <fill>
                <patternFill>
                  <bgColor rgb="FFFF0000"/>
                </patternFill>
              </fill>
            </x14:dxf>
          </x14:cfRule>
          <xm:sqref>BR12:CC12</xm:sqref>
        </x14:conditionalFormatting>
        <x14:conditionalFormatting xmlns:xm="http://schemas.microsoft.com/office/excel/2006/main">
          <x14:cfRule type="expression" priority="4689338" id="{A51139D1-8841-4B96-B8CB-DFE3808765CF}">
            <xm:f>$BU$4='Data entry'!$R8</xm:f>
            <x14:dxf>
              <fill>
                <patternFill>
                  <bgColor rgb="FFFFFF00"/>
                </patternFill>
              </fill>
            </x14:dxf>
          </x14:cfRule>
          <xm:sqref>BG11:BU11</xm:sqref>
        </x14:conditionalFormatting>
        <x14:conditionalFormatting xmlns:xm="http://schemas.microsoft.com/office/excel/2006/main">
          <x14:cfRule type="expression" priority="4689339" id="{55CA7258-760F-4BFF-ACB5-A70FEB3E7981}">
            <xm:f>$BU$4='Data entry'!$R8</xm:f>
            <x14:dxf>
              <fill>
                <patternFill>
                  <bgColor rgb="FFFF0000"/>
                </patternFill>
              </fill>
            </x14:dxf>
          </x14:cfRule>
          <xm:sqref>BS12:CC12</xm:sqref>
        </x14:conditionalFormatting>
        <x14:conditionalFormatting xmlns:xm="http://schemas.microsoft.com/office/excel/2006/main">
          <x14:cfRule type="expression" priority="4689340" id="{A922B218-64DB-4CBB-9AB8-FE0EBB44E09E}">
            <xm:f>$BV$4='Data entry'!$R8</xm:f>
            <x14:dxf>
              <fill>
                <patternFill>
                  <bgColor rgb="FFFFFF00"/>
                </patternFill>
              </fill>
            </x14:dxf>
          </x14:cfRule>
          <xm:sqref>BH11:BV11</xm:sqref>
        </x14:conditionalFormatting>
        <x14:conditionalFormatting xmlns:xm="http://schemas.microsoft.com/office/excel/2006/main">
          <x14:cfRule type="expression" priority="4689341" id="{C98E908A-CD31-4778-B41C-7AFB9DBE639A}">
            <xm:f>$BV$4='Data entry'!$R8</xm:f>
            <x14:dxf>
              <fill>
                <patternFill>
                  <bgColor rgb="FFFF0000"/>
                </patternFill>
              </fill>
            </x14:dxf>
          </x14:cfRule>
          <xm:sqref>BT12:CC12</xm:sqref>
        </x14:conditionalFormatting>
        <x14:conditionalFormatting xmlns:xm="http://schemas.microsoft.com/office/excel/2006/main">
          <x14:cfRule type="expression" priority="4689342" id="{465CCCA3-B4DB-4B61-8AC7-8A5E4CEC9E3F}">
            <xm:f>$BW$4='Data entry'!$R8</xm:f>
            <x14:dxf>
              <fill>
                <patternFill>
                  <bgColor rgb="FFFFFF00"/>
                </patternFill>
              </fill>
            </x14:dxf>
          </x14:cfRule>
          <xm:sqref>BI11:BW11</xm:sqref>
        </x14:conditionalFormatting>
        <x14:conditionalFormatting xmlns:xm="http://schemas.microsoft.com/office/excel/2006/main">
          <x14:cfRule type="expression" priority="4689343" id="{37566F97-6D06-400B-A709-FE657B07687F}">
            <xm:f>$BW$4='Data entry'!$R8</xm:f>
            <x14:dxf>
              <fill>
                <patternFill>
                  <bgColor rgb="FFFF0000"/>
                </patternFill>
              </fill>
            </x14:dxf>
          </x14:cfRule>
          <xm:sqref>BU12:CC12</xm:sqref>
        </x14:conditionalFormatting>
        <x14:conditionalFormatting xmlns:xm="http://schemas.microsoft.com/office/excel/2006/main">
          <x14:cfRule type="expression" priority="4689344" id="{D8FBA3AC-5CF0-4E45-97CA-1D4DEE729ADA}">
            <xm:f>$BX$4='Data entry'!$R8</xm:f>
            <x14:dxf>
              <fill>
                <patternFill>
                  <bgColor rgb="FFFFFF00"/>
                </patternFill>
              </fill>
            </x14:dxf>
          </x14:cfRule>
          <xm:sqref>BJ11:BX11</xm:sqref>
        </x14:conditionalFormatting>
        <x14:conditionalFormatting xmlns:xm="http://schemas.microsoft.com/office/excel/2006/main">
          <x14:cfRule type="expression" priority="4689345" id="{E077C84B-A94F-431D-B232-4AFCC7C64F54}">
            <xm:f>$BX$4='Data entry'!$R8</xm:f>
            <x14:dxf>
              <fill>
                <patternFill>
                  <bgColor rgb="FFFF0000"/>
                </patternFill>
              </fill>
            </x14:dxf>
          </x14:cfRule>
          <xm:sqref>BV12:CC12</xm:sqref>
        </x14:conditionalFormatting>
        <x14:conditionalFormatting xmlns:xm="http://schemas.microsoft.com/office/excel/2006/main">
          <x14:cfRule type="expression" priority="4689346" id="{63783BA8-0C97-4A44-86FD-7A2BCF1B9957}">
            <xm:f>$BY$4='Data entry'!$R8</xm:f>
            <x14:dxf>
              <fill>
                <patternFill>
                  <bgColor rgb="FFFFFF00"/>
                </patternFill>
              </fill>
            </x14:dxf>
          </x14:cfRule>
          <xm:sqref>BK11:BY11</xm:sqref>
        </x14:conditionalFormatting>
        <x14:conditionalFormatting xmlns:xm="http://schemas.microsoft.com/office/excel/2006/main">
          <x14:cfRule type="expression" priority="4689347" id="{BB8DB8B4-B71B-46D2-AEE7-346F16103F74}">
            <xm:f>$BY$4='Data entry'!$R8</xm:f>
            <x14:dxf>
              <fill>
                <patternFill>
                  <bgColor rgb="FFFF0000"/>
                </patternFill>
              </fill>
            </x14:dxf>
          </x14:cfRule>
          <xm:sqref>BW12:CC12</xm:sqref>
        </x14:conditionalFormatting>
        <x14:conditionalFormatting xmlns:xm="http://schemas.microsoft.com/office/excel/2006/main">
          <x14:cfRule type="expression" priority="4689348" id="{1B638B98-2B06-4FEB-90C1-446A3E0A3979}">
            <xm:f>$BZ$4='Data entry'!$R8</xm:f>
            <x14:dxf>
              <fill>
                <patternFill>
                  <bgColor rgb="FFFFFF00"/>
                </patternFill>
              </fill>
            </x14:dxf>
          </x14:cfRule>
          <xm:sqref>BL11:BZ11</xm:sqref>
        </x14:conditionalFormatting>
        <x14:conditionalFormatting xmlns:xm="http://schemas.microsoft.com/office/excel/2006/main">
          <x14:cfRule type="expression" priority="4689349" id="{D3A0A2F8-D1B2-4DC5-B2A9-0EF53074E685}">
            <xm:f>$BZ$4='Data entry'!$R8</xm:f>
            <x14:dxf>
              <fill>
                <patternFill>
                  <bgColor rgb="FFFF0000"/>
                </patternFill>
              </fill>
            </x14:dxf>
          </x14:cfRule>
          <xm:sqref>BX12:CC12</xm:sqref>
        </x14:conditionalFormatting>
        <x14:conditionalFormatting xmlns:xm="http://schemas.microsoft.com/office/excel/2006/main">
          <x14:cfRule type="expression" priority="4689350" id="{83F6D018-7D3B-4D33-9998-11572F2F2FF5}">
            <xm:f>$CA$4='Data entry'!$R8</xm:f>
            <x14:dxf>
              <fill>
                <patternFill>
                  <bgColor rgb="FFFFFF00"/>
                </patternFill>
              </fill>
            </x14:dxf>
          </x14:cfRule>
          <xm:sqref>BM11:CA11</xm:sqref>
        </x14:conditionalFormatting>
        <x14:conditionalFormatting xmlns:xm="http://schemas.microsoft.com/office/excel/2006/main">
          <x14:cfRule type="expression" priority="4689351" id="{8E6D0B51-5626-4ED9-9072-C7A2C139704F}">
            <xm:f>$CA$4='Data entry'!$R8</xm:f>
            <x14:dxf>
              <fill>
                <patternFill>
                  <bgColor rgb="FFFF0000"/>
                </patternFill>
              </fill>
            </x14:dxf>
          </x14:cfRule>
          <xm:sqref>BY12:CC12</xm:sqref>
        </x14:conditionalFormatting>
        <x14:conditionalFormatting xmlns:xm="http://schemas.microsoft.com/office/excel/2006/main">
          <x14:cfRule type="expression" priority="4689352" id="{E1886EE4-3BDE-43A9-9F4B-79377FEC37FE}">
            <xm:f>$CB$4='Data entry'!$R8</xm:f>
            <x14:dxf>
              <fill>
                <patternFill>
                  <bgColor rgb="FFFFFF00"/>
                </patternFill>
              </fill>
            </x14:dxf>
          </x14:cfRule>
          <xm:sqref>BN11:CB11</xm:sqref>
        </x14:conditionalFormatting>
        <x14:conditionalFormatting xmlns:xm="http://schemas.microsoft.com/office/excel/2006/main">
          <x14:cfRule type="expression" priority="4689353" id="{ADEF572A-6C18-4602-BB86-01C96D36E07E}">
            <xm:f>$CB$4='Data entry'!$R8</xm:f>
            <x14:dxf>
              <fill>
                <patternFill>
                  <bgColor rgb="FFFF0000"/>
                </patternFill>
              </fill>
            </x14:dxf>
          </x14:cfRule>
          <xm:sqref>BZ12:CC12</xm:sqref>
        </x14:conditionalFormatting>
        <x14:conditionalFormatting xmlns:xm="http://schemas.microsoft.com/office/excel/2006/main">
          <x14:cfRule type="expression" priority="4689354" id="{7984E1C9-E073-4955-8543-62145CB6D008}">
            <xm:f>$CC$4='Data entry'!$R8</xm:f>
            <x14:dxf>
              <fill>
                <patternFill>
                  <bgColor rgb="FFFFFF00"/>
                </patternFill>
              </fill>
            </x14:dxf>
          </x14:cfRule>
          <xm:sqref>BO11:CC11</xm:sqref>
        </x14:conditionalFormatting>
        <x14:conditionalFormatting xmlns:xm="http://schemas.microsoft.com/office/excel/2006/main">
          <x14:cfRule type="expression" priority="4689355" id="{18A957B3-59FA-4698-BA92-2A208FF18E2F}">
            <xm:f>$CC$4='Data entry'!$R8</xm:f>
            <x14:dxf>
              <fill>
                <patternFill>
                  <bgColor rgb="FFFF0000"/>
                </patternFill>
              </fill>
            </x14:dxf>
          </x14:cfRule>
          <xm:sqref>CA12:CC12</xm:sqref>
        </x14:conditionalFormatting>
        <x14:conditionalFormatting xmlns:xm="http://schemas.microsoft.com/office/excel/2006/main">
          <x14:cfRule type="expression" priority="4689442" id="{5B0DB825-B7C2-40AC-B7EF-F267F054CFB9}">
            <xm:f>$U$4='Data entry'!$R9</xm:f>
            <x14:dxf>
              <fill>
                <patternFill>
                  <bgColor rgb="FFFF0000"/>
                </patternFill>
              </fill>
            </x14:dxf>
          </x14:cfRule>
          <xm:sqref>S15:AE15</xm:sqref>
        </x14:conditionalFormatting>
        <x14:conditionalFormatting xmlns:xm="http://schemas.microsoft.com/office/excel/2006/main">
          <x14:cfRule type="expression" priority="4689443" id="{18311200-E2BB-400F-B594-3B9A2C6068C2}">
            <xm:f>$V$4='Data entry'!$R9</xm:f>
            <x14:dxf>
              <fill>
                <patternFill>
                  <bgColor rgb="FFFF0000"/>
                </patternFill>
              </fill>
            </x14:dxf>
          </x14:cfRule>
          <xm:sqref>T15:AF15</xm:sqref>
        </x14:conditionalFormatting>
        <x14:conditionalFormatting xmlns:xm="http://schemas.microsoft.com/office/excel/2006/main">
          <x14:cfRule type="expression" priority="4689444" id="{D6DFB621-1A58-4C59-A987-ECAD0EB2D32B}">
            <xm:f>$V$4='Data entry'!$R9</xm:f>
            <x14:dxf>
              <fill>
                <patternFill>
                  <bgColor rgb="FFFFFF00"/>
                </patternFill>
              </fill>
            </x14:dxf>
          </x14:cfRule>
          <xm:sqref>H14:V14</xm:sqref>
        </x14:conditionalFormatting>
        <x14:conditionalFormatting xmlns:xm="http://schemas.microsoft.com/office/excel/2006/main">
          <x14:cfRule type="expression" priority="4689445" id="{5F87A680-DC5F-433D-A779-B7A534ACCDA9}">
            <xm:f>$W$4='Data entry'!$R9</xm:f>
            <x14:dxf>
              <fill>
                <patternFill>
                  <bgColor rgb="FFFF0000"/>
                </patternFill>
              </fill>
            </x14:dxf>
          </x14:cfRule>
          <xm:sqref>U15:AG15</xm:sqref>
        </x14:conditionalFormatting>
        <x14:conditionalFormatting xmlns:xm="http://schemas.microsoft.com/office/excel/2006/main">
          <x14:cfRule type="expression" priority="4689446" id="{964539FF-A92C-4F68-B268-B7157A32678C}">
            <xm:f>$W$4='Data entry'!$R9</xm:f>
            <x14:dxf>
              <fill>
                <patternFill>
                  <bgColor rgb="FFFFFF00"/>
                </patternFill>
              </fill>
            </x14:dxf>
          </x14:cfRule>
          <xm:sqref>I14:W14</xm:sqref>
        </x14:conditionalFormatting>
        <x14:conditionalFormatting xmlns:xm="http://schemas.microsoft.com/office/excel/2006/main">
          <x14:cfRule type="expression" priority="4689447" id="{46C1533A-F090-4A90-9309-3F59EC3FD3B0}">
            <xm:f>$X$4='Data entry'!$R9</xm:f>
            <x14:dxf>
              <fill>
                <patternFill>
                  <bgColor rgb="FFFF0000"/>
                </patternFill>
              </fill>
            </x14:dxf>
          </x14:cfRule>
          <xm:sqref>V15:AH15</xm:sqref>
        </x14:conditionalFormatting>
        <x14:conditionalFormatting xmlns:xm="http://schemas.microsoft.com/office/excel/2006/main">
          <x14:cfRule type="expression" priority="4689448" id="{7C70E81C-DDD4-4D75-933A-4F6A39893184}">
            <xm:f>$X$4='Data entry'!$R9</xm:f>
            <x14:dxf>
              <fill>
                <patternFill>
                  <bgColor rgb="FFFFFF00"/>
                </patternFill>
              </fill>
            </x14:dxf>
          </x14:cfRule>
          <xm:sqref>J14:X14</xm:sqref>
        </x14:conditionalFormatting>
        <x14:conditionalFormatting xmlns:xm="http://schemas.microsoft.com/office/excel/2006/main">
          <x14:cfRule type="expression" priority="4689449" id="{561AF073-0EF8-4B72-A119-40A639C4359D}">
            <xm:f>$Y$4='Data entry'!$R9</xm:f>
            <x14:dxf>
              <fill>
                <patternFill>
                  <bgColor rgb="FFFF0000"/>
                </patternFill>
              </fill>
            </x14:dxf>
          </x14:cfRule>
          <xm:sqref>W15:AI15</xm:sqref>
        </x14:conditionalFormatting>
        <x14:conditionalFormatting xmlns:xm="http://schemas.microsoft.com/office/excel/2006/main">
          <x14:cfRule type="expression" priority="4689450" id="{F242E808-8F07-4A89-9524-7D4C767CE357}">
            <xm:f>$Y$4='Data entry'!$R9</xm:f>
            <x14:dxf>
              <fill>
                <patternFill>
                  <bgColor rgb="FFFFFF00"/>
                </patternFill>
              </fill>
            </x14:dxf>
          </x14:cfRule>
          <xm:sqref>K14:Y14</xm:sqref>
        </x14:conditionalFormatting>
        <x14:conditionalFormatting xmlns:xm="http://schemas.microsoft.com/office/excel/2006/main">
          <x14:cfRule type="expression" priority="4689451" id="{DD601058-982B-4218-BD9D-64BB823C2633}">
            <xm:f>$Z$4='Data entry'!$R9</xm:f>
            <x14:dxf>
              <fill>
                <patternFill>
                  <bgColor rgb="FFFF0000"/>
                </patternFill>
              </fill>
            </x14:dxf>
          </x14:cfRule>
          <xm:sqref>X15:AJ15</xm:sqref>
        </x14:conditionalFormatting>
        <x14:conditionalFormatting xmlns:xm="http://schemas.microsoft.com/office/excel/2006/main">
          <x14:cfRule type="expression" priority="4689452" id="{C9DB141D-79F6-4093-92A3-7BF7A1622985}">
            <xm:f>$Z$4='Data entry'!$R9</xm:f>
            <x14:dxf>
              <fill>
                <patternFill>
                  <bgColor rgb="FFFFFF00"/>
                </patternFill>
              </fill>
            </x14:dxf>
          </x14:cfRule>
          <xm:sqref>L14:Z14</xm:sqref>
        </x14:conditionalFormatting>
        <x14:conditionalFormatting xmlns:xm="http://schemas.microsoft.com/office/excel/2006/main">
          <x14:cfRule type="expression" priority="4689453" id="{710EB8D3-F5C0-4E3C-8214-2D0C4E26F649}">
            <xm:f>$AA$4='Data entry'!$R9</xm:f>
            <x14:dxf>
              <fill>
                <patternFill>
                  <bgColor rgb="FFFF0000"/>
                </patternFill>
              </fill>
            </x14:dxf>
          </x14:cfRule>
          <xm:sqref>Y15:AK15</xm:sqref>
        </x14:conditionalFormatting>
        <x14:conditionalFormatting xmlns:xm="http://schemas.microsoft.com/office/excel/2006/main">
          <x14:cfRule type="expression" priority="4689454" id="{33825D69-C967-4D27-B395-5D44A3083802}">
            <xm:f>$AA$4='Data entry'!$R9</xm:f>
            <x14:dxf>
              <fill>
                <patternFill>
                  <bgColor rgb="FFFFFF00"/>
                </patternFill>
              </fill>
            </x14:dxf>
          </x14:cfRule>
          <xm:sqref>M14:AA14</xm:sqref>
        </x14:conditionalFormatting>
        <x14:conditionalFormatting xmlns:xm="http://schemas.microsoft.com/office/excel/2006/main">
          <x14:cfRule type="expression" priority="4689455" id="{9811A97D-351B-4D32-8754-AF433277E62B}">
            <xm:f>$AB$4='Data entry'!$R9</xm:f>
            <x14:dxf>
              <fill>
                <patternFill>
                  <bgColor rgb="FFFF0000"/>
                </patternFill>
              </fill>
            </x14:dxf>
          </x14:cfRule>
          <xm:sqref>Z15:AL15</xm:sqref>
        </x14:conditionalFormatting>
        <x14:conditionalFormatting xmlns:xm="http://schemas.microsoft.com/office/excel/2006/main">
          <x14:cfRule type="expression" priority="4689456" id="{6DD3E556-C72E-438B-92DA-3096ED1E4178}">
            <xm:f>$AB$4='Data entry'!$R9</xm:f>
            <x14:dxf>
              <fill>
                <patternFill>
                  <bgColor rgb="FFFFFF00"/>
                </patternFill>
              </fill>
            </x14:dxf>
          </x14:cfRule>
          <xm:sqref>N14:AB14</xm:sqref>
        </x14:conditionalFormatting>
        <x14:conditionalFormatting xmlns:xm="http://schemas.microsoft.com/office/excel/2006/main">
          <x14:cfRule type="expression" priority="4689457" id="{C0DF7A1B-D6BC-4371-BD3A-F0708147FA1C}">
            <xm:f>$AC$4='Data entry'!$R9</xm:f>
            <x14:dxf>
              <fill>
                <patternFill>
                  <bgColor rgb="FFFF0000"/>
                </patternFill>
              </fill>
            </x14:dxf>
          </x14:cfRule>
          <xm:sqref>AA15:AM15</xm:sqref>
        </x14:conditionalFormatting>
        <x14:conditionalFormatting xmlns:xm="http://schemas.microsoft.com/office/excel/2006/main">
          <x14:cfRule type="expression" priority="4689458" id="{DB2E1F48-AF0E-41F9-A976-6B1963CA5711}">
            <xm:f>$AC$4='Data entry'!$R9</xm:f>
            <x14:dxf>
              <fill>
                <patternFill>
                  <bgColor rgb="FFFFFF00"/>
                </patternFill>
              </fill>
            </x14:dxf>
          </x14:cfRule>
          <xm:sqref>O14:AC14</xm:sqref>
        </x14:conditionalFormatting>
        <x14:conditionalFormatting xmlns:xm="http://schemas.microsoft.com/office/excel/2006/main">
          <x14:cfRule type="expression" priority="4689459" id="{89909907-F9A9-4AF9-BC1D-304710A43F50}">
            <xm:f>$AD$4='Data entry'!$R9</xm:f>
            <x14:dxf>
              <fill>
                <patternFill>
                  <bgColor rgb="FFFF0000"/>
                </patternFill>
              </fill>
            </x14:dxf>
          </x14:cfRule>
          <xm:sqref>AB15:AN15</xm:sqref>
        </x14:conditionalFormatting>
        <x14:conditionalFormatting xmlns:xm="http://schemas.microsoft.com/office/excel/2006/main">
          <x14:cfRule type="expression" priority="4689460" id="{729676B7-E331-43A4-ACC9-850DCEE76A0E}">
            <xm:f>$AD$4='Data entry'!$R9</xm:f>
            <x14:dxf>
              <fill>
                <patternFill>
                  <bgColor rgb="FFFFFF00"/>
                </patternFill>
              </fill>
            </x14:dxf>
          </x14:cfRule>
          <xm:sqref>P14:AD14</xm:sqref>
        </x14:conditionalFormatting>
        <x14:conditionalFormatting xmlns:xm="http://schemas.microsoft.com/office/excel/2006/main">
          <x14:cfRule type="expression" priority="4689461" id="{00DA2C55-350E-44AA-ABEA-808FABFDA737}">
            <xm:f>$AE$4='Data entry'!$R9</xm:f>
            <x14:dxf>
              <fill>
                <patternFill>
                  <bgColor rgb="FFFF0000"/>
                </patternFill>
              </fill>
            </x14:dxf>
          </x14:cfRule>
          <xm:sqref>AC15:AO15</xm:sqref>
        </x14:conditionalFormatting>
        <x14:conditionalFormatting xmlns:xm="http://schemas.microsoft.com/office/excel/2006/main">
          <x14:cfRule type="expression" priority="4689462" id="{373C95F1-00C1-45E9-B561-5224945BA4A4}">
            <xm:f>$AE$4='Data entry'!$R9</xm:f>
            <x14:dxf>
              <fill>
                <patternFill>
                  <bgColor rgb="FFFFFF00"/>
                </patternFill>
              </fill>
            </x14:dxf>
          </x14:cfRule>
          <xm:sqref>Q14:AE14</xm:sqref>
        </x14:conditionalFormatting>
        <x14:conditionalFormatting xmlns:xm="http://schemas.microsoft.com/office/excel/2006/main">
          <x14:cfRule type="expression" priority="4689463" id="{65E90E74-6BEF-4B00-BD5E-ECACFEBC225A}">
            <xm:f>$AF$4='Data entry'!$R9</xm:f>
            <x14:dxf>
              <fill>
                <patternFill>
                  <bgColor rgb="FFFF0000"/>
                </patternFill>
              </fill>
            </x14:dxf>
          </x14:cfRule>
          <xm:sqref>AD15:AP15</xm:sqref>
        </x14:conditionalFormatting>
        <x14:conditionalFormatting xmlns:xm="http://schemas.microsoft.com/office/excel/2006/main">
          <x14:cfRule type="expression" priority="4689464" id="{56B519D7-E083-4811-B42B-D6CB10D44BB3}">
            <xm:f>$AF$4='Data entry'!$R9</xm:f>
            <x14:dxf>
              <fill>
                <patternFill>
                  <bgColor rgb="FFFFFF00"/>
                </patternFill>
              </fill>
            </x14:dxf>
          </x14:cfRule>
          <xm:sqref>R14:AF14</xm:sqref>
        </x14:conditionalFormatting>
        <x14:conditionalFormatting xmlns:xm="http://schemas.microsoft.com/office/excel/2006/main">
          <x14:cfRule type="expression" priority="4689465" id="{889682B6-BF9B-414B-86B7-1C802156B058}">
            <xm:f>$AG$4='Data entry'!$R9</xm:f>
            <x14:dxf>
              <fill>
                <patternFill>
                  <bgColor rgb="FFFF0000"/>
                </patternFill>
              </fill>
            </x14:dxf>
          </x14:cfRule>
          <xm:sqref>AE15:AQ15</xm:sqref>
        </x14:conditionalFormatting>
        <x14:conditionalFormatting xmlns:xm="http://schemas.microsoft.com/office/excel/2006/main">
          <x14:cfRule type="expression" priority="4689466" id="{19913D88-1940-4CB0-B29C-D46D60833BD5}">
            <xm:f>$AG$4='Data entry'!$R9</xm:f>
            <x14:dxf>
              <fill>
                <patternFill>
                  <bgColor rgb="FFFFFF00"/>
                </patternFill>
              </fill>
            </x14:dxf>
          </x14:cfRule>
          <xm:sqref>S14:AG14</xm:sqref>
        </x14:conditionalFormatting>
        <x14:conditionalFormatting xmlns:xm="http://schemas.microsoft.com/office/excel/2006/main">
          <x14:cfRule type="expression" priority="4689467" id="{3DD7B9A5-18A3-463F-BAD5-9796FC487328}">
            <xm:f>$AH$4='Data entry'!$R9</xm:f>
            <x14:dxf>
              <fill>
                <patternFill>
                  <bgColor rgb="FFFF0000"/>
                </patternFill>
              </fill>
            </x14:dxf>
          </x14:cfRule>
          <xm:sqref>AF15:AR15</xm:sqref>
        </x14:conditionalFormatting>
        <x14:conditionalFormatting xmlns:xm="http://schemas.microsoft.com/office/excel/2006/main">
          <x14:cfRule type="expression" priority="4689468" id="{31005CF4-5608-496E-91EB-F7F505046C80}">
            <xm:f>$AH$4='Data entry'!$R9</xm:f>
            <x14:dxf>
              <fill>
                <patternFill>
                  <bgColor rgb="FFFFFF00"/>
                </patternFill>
              </fill>
            </x14:dxf>
          </x14:cfRule>
          <xm:sqref>T14:AH14</xm:sqref>
        </x14:conditionalFormatting>
        <x14:conditionalFormatting xmlns:xm="http://schemas.microsoft.com/office/excel/2006/main">
          <x14:cfRule type="expression" priority="4689469" id="{CD14F654-5B7A-444F-8FC1-7DD71E76E475}">
            <xm:f>$AI$4='Data entry'!$R9</xm:f>
            <x14:dxf>
              <fill>
                <patternFill>
                  <bgColor rgb="FFFF0000"/>
                </patternFill>
              </fill>
            </x14:dxf>
          </x14:cfRule>
          <xm:sqref>AG15:AS15</xm:sqref>
        </x14:conditionalFormatting>
        <x14:conditionalFormatting xmlns:xm="http://schemas.microsoft.com/office/excel/2006/main">
          <x14:cfRule type="expression" priority="4689470" id="{0E4E448C-6C46-4285-B877-A61A90294385}">
            <xm:f>$AI$4='Data entry'!$R9</xm:f>
            <x14:dxf>
              <fill>
                <patternFill>
                  <bgColor rgb="FFFFFF00"/>
                </patternFill>
              </fill>
            </x14:dxf>
          </x14:cfRule>
          <xm:sqref>U14:AI14</xm:sqref>
        </x14:conditionalFormatting>
        <x14:conditionalFormatting xmlns:xm="http://schemas.microsoft.com/office/excel/2006/main">
          <x14:cfRule type="expression" priority="4689471" id="{B1C1818F-791C-403D-BE73-6F6E9DC6A16D}">
            <xm:f>$AJ$4='Data entry'!$R9</xm:f>
            <x14:dxf>
              <fill>
                <patternFill>
                  <bgColor rgb="FFFF0000"/>
                </patternFill>
              </fill>
            </x14:dxf>
          </x14:cfRule>
          <xm:sqref>AH15:AT15</xm:sqref>
        </x14:conditionalFormatting>
        <x14:conditionalFormatting xmlns:xm="http://schemas.microsoft.com/office/excel/2006/main">
          <x14:cfRule type="expression" priority="4689472" id="{A1237792-221B-431B-B8A7-E9A64DA46D93}">
            <xm:f>$AJ$4='Data entry'!$R9</xm:f>
            <x14:dxf>
              <fill>
                <patternFill>
                  <bgColor rgb="FFFFFF00"/>
                </patternFill>
              </fill>
            </x14:dxf>
          </x14:cfRule>
          <xm:sqref>V14:AJ14</xm:sqref>
        </x14:conditionalFormatting>
        <x14:conditionalFormatting xmlns:xm="http://schemas.microsoft.com/office/excel/2006/main">
          <x14:cfRule type="expression" priority="4689473" id="{617DC2AF-C7A3-4724-8EA3-17DEFEDC8949}">
            <xm:f>$AK$4='Data entry'!$R9</xm:f>
            <x14:dxf>
              <fill>
                <patternFill>
                  <bgColor rgb="FFFF0000"/>
                </patternFill>
              </fill>
            </x14:dxf>
          </x14:cfRule>
          <xm:sqref>AI15:AU15</xm:sqref>
        </x14:conditionalFormatting>
        <x14:conditionalFormatting xmlns:xm="http://schemas.microsoft.com/office/excel/2006/main">
          <x14:cfRule type="expression" priority="4689474" id="{AA72317D-37B1-48EB-A28B-BF2AC8DC4519}">
            <xm:f>$AK$4='Data entry'!$R9</xm:f>
            <x14:dxf>
              <fill>
                <patternFill>
                  <bgColor rgb="FFFFFF00"/>
                </patternFill>
              </fill>
            </x14:dxf>
          </x14:cfRule>
          <xm:sqref>W14:AK14</xm:sqref>
        </x14:conditionalFormatting>
        <x14:conditionalFormatting xmlns:xm="http://schemas.microsoft.com/office/excel/2006/main">
          <x14:cfRule type="expression" priority="4689475" id="{6CA9FB7A-20EA-4D3A-B74C-A001F4BE810D}">
            <xm:f>$AL$4='Data entry'!$R9</xm:f>
            <x14:dxf>
              <fill>
                <patternFill>
                  <bgColor rgb="FFFF0000"/>
                </patternFill>
              </fill>
            </x14:dxf>
          </x14:cfRule>
          <xm:sqref>AJ15:AV15</xm:sqref>
        </x14:conditionalFormatting>
        <x14:conditionalFormatting xmlns:xm="http://schemas.microsoft.com/office/excel/2006/main">
          <x14:cfRule type="expression" priority="4689476" id="{81A75DAA-573F-4EF3-A640-1B992C18BEA0}">
            <xm:f>$AL$4='Data entry'!$R9</xm:f>
            <x14:dxf>
              <fill>
                <patternFill>
                  <bgColor rgb="FFFFFF00"/>
                </patternFill>
              </fill>
            </x14:dxf>
          </x14:cfRule>
          <xm:sqref>X14:AL14</xm:sqref>
        </x14:conditionalFormatting>
        <x14:conditionalFormatting xmlns:xm="http://schemas.microsoft.com/office/excel/2006/main">
          <x14:cfRule type="expression" priority="4689477" id="{3D44713E-4ABA-4CCD-9DF4-5513A9FB5E1E}">
            <xm:f>$AM$4='Data entry'!$R9</xm:f>
            <x14:dxf>
              <fill>
                <patternFill>
                  <bgColor rgb="FFFF0000"/>
                </patternFill>
              </fill>
            </x14:dxf>
          </x14:cfRule>
          <xm:sqref>AK15:AW15</xm:sqref>
        </x14:conditionalFormatting>
        <x14:conditionalFormatting xmlns:xm="http://schemas.microsoft.com/office/excel/2006/main">
          <x14:cfRule type="expression" priority="4689478" id="{05A26B51-72A7-4423-822F-2BDBC28275D0}">
            <xm:f>$AM$4='Data entry'!$R9</xm:f>
            <x14:dxf>
              <fill>
                <patternFill>
                  <bgColor rgb="FFFFFF00"/>
                </patternFill>
              </fill>
            </x14:dxf>
          </x14:cfRule>
          <xm:sqref>Y14:AM14</xm:sqref>
        </x14:conditionalFormatting>
        <x14:conditionalFormatting xmlns:xm="http://schemas.microsoft.com/office/excel/2006/main">
          <x14:cfRule type="expression" priority="4689479" id="{B8A20675-6230-4694-A7F6-6B3DC7142773}">
            <xm:f>$AN$4='Data entry'!$R9</xm:f>
            <x14:dxf>
              <fill>
                <patternFill>
                  <bgColor rgb="FFFF0000"/>
                </patternFill>
              </fill>
            </x14:dxf>
          </x14:cfRule>
          <xm:sqref>AL15:AX15</xm:sqref>
        </x14:conditionalFormatting>
        <x14:conditionalFormatting xmlns:xm="http://schemas.microsoft.com/office/excel/2006/main">
          <x14:cfRule type="expression" priority="4689480" id="{8421181C-7450-42E9-BC1D-065CCFCA960E}">
            <xm:f>$AN$4='Data entry'!$R9</xm:f>
            <x14:dxf>
              <fill>
                <patternFill>
                  <bgColor rgb="FFFFFF00"/>
                </patternFill>
              </fill>
            </x14:dxf>
          </x14:cfRule>
          <xm:sqref>Z14:AN14</xm:sqref>
        </x14:conditionalFormatting>
        <x14:conditionalFormatting xmlns:xm="http://schemas.microsoft.com/office/excel/2006/main">
          <x14:cfRule type="expression" priority="4689481" id="{067FE4BD-6EF4-4684-B6E0-35AB2F267EE7}">
            <xm:f>$AO$4='Data entry'!$R9</xm:f>
            <x14:dxf>
              <fill>
                <patternFill>
                  <bgColor rgb="FFFF0000"/>
                </patternFill>
              </fill>
            </x14:dxf>
          </x14:cfRule>
          <xm:sqref>AM15:AY15</xm:sqref>
        </x14:conditionalFormatting>
        <x14:conditionalFormatting xmlns:xm="http://schemas.microsoft.com/office/excel/2006/main">
          <x14:cfRule type="expression" priority="4689482" id="{F7653492-88D1-47AC-8BA3-0CCE65C3C2AB}">
            <xm:f>$AO$4='Data entry'!$R9</xm:f>
            <x14:dxf>
              <fill>
                <patternFill>
                  <bgColor rgb="FFFFFF00"/>
                </patternFill>
              </fill>
            </x14:dxf>
          </x14:cfRule>
          <xm:sqref>AA14:AO14</xm:sqref>
        </x14:conditionalFormatting>
        <x14:conditionalFormatting xmlns:xm="http://schemas.microsoft.com/office/excel/2006/main">
          <x14:cfRule type="expression" priority="4689483" id="{207A5E5D-B322-482E-9193-1D7318138358}">
            <xm:f>$AP$4='Data entry'!$R9</xm:f>
            <x14:dxf>
              <fill>
                <patternFill>
                  <bgColor rgb="FFFF0000"/>
                </patternFill>
              </fill>
            </x14:dxf>
          </x14:cfRule>
          <xm:sqref>AN15:AZ15</xm:sqref>
        </x14:conditionalFormatting>
        <x14:conditionalFormatting xmlns:xm="http://schemas.microsoft.com/office/excel/2006/main">
          <x14:cfRule type="expression" priority="4689484" id="{21DA638D-4CA0-4067-BFF1-240CE1A0261B}">
            <xm:f>$AP$4='Data entry'!$R9</xm:f>
            <x14:dxf>
              <fill>
                <patternFill>
                  <bgColor rgb="FFFFFF00"/>
                </patternFill>
              </fill>
            </x14:dxf>
          </x14:cfRule>
          <xm:sqref>AB14:AP14</xm:sqref>
        </x14:conditionalFormatting>
        <x14:conditionalFormatting xmlns:xm="http://schemas.microsoft.com/office/excel/2006/main">
          <x14:cfRule type="expression" priority="4689485" id="{71963D96-A42A-4B90-BFC7-6D83D37766EF}">
            <xm:f>$AQ$4='Data entry'!$R9</xm:f>
            <x14:dxf>
              <fill>
                <patternFill>
                  <bgColor rgb="FFFF0000"/>
                </patternFill>
              </fill>
            </x14:dxf>
          </x14:cfRule>
          <xm:sqref>AO15:BA15</xm:sqref>
        </x14:conditionalFormatting>
        <x14:conditionalFormatting xmlns:xm="http://schemas.microsoft.com/office/excel/2006/main">
          <x14:cfRule type="expression" priority="4689486" id="{74952595-84B6-484F-8FF6-FCC1F337DF4D}">
            <xm:f>$AQ$4='Data entry'!$R9</xm:f>
            <x14:dxf>
              <fill>
                <patternFill>
                  <bgColor rgb="FFFFFF00"/>
                </patternFill>
              </fill>
            </x14:dxf>
          </x14:cfRule>
          <xm:sqref>AC14:AQ14</xm:sqref>
        </x14:conditionalFormatting>
        <x14:conditionalFormatting xmlns:xm="http://schemas.microsoft.com/office/excel/2006/main">
          <x14:cfRule type="expression" priority="4689487" id="{8AC9C4B9-0A34-4BC0-B0F7-CA89434C4911}">
            <xm:f>$P$4='Data entry'!$R9</xm:f>
            <x14:dxf>
              <fill>
                <patternFill>
                  <bgColor rgb="FFFFFF00"/>
                </patternFill>
              </fill>
            </x14:dxf>
          </x14:cfRule>
          <xm:sqref>C14:P14</xm:sqref>
        </x14:conditionalFormatting>
        <x14:conditionalFormatting xmlns:xm="http://schemas.microsoft.com/office/excel/2006/main">
          <x14:cfRule type="expression" priority="4689488" id="{0A726775-ABFD-4F22-967C-1A4D87BA3751}">
            <xm:f>$Q$4='Data entry'!$R9</xm:f>
            <x14:dxf>
              <fill>
                <patternFill>
                  <bgColor rgb="FFFFFF00"/>
                </patternFill>
              </fill>
            </x14:dxf>
          </x14:cfRule>
          <xm:sqref>C14:Q14</xm:sqref>
        </x14:conditionalFormatting>
        <x14:conditionalFormatting xmlns:xm="http://schemas.microsoft.com/office/excel/2006/main">
          <x14:cfRule type="expression" priority="4689489" id="{3A8414BD-262C-43B5-86EE-FA6901D00453}">
            <xm:f>$Q$4='Data entry'!$R9</xm:f>
            <x14:dxf>
              <fill>
                <patternFill>
                  <bgColor rgb="FFFF0000"/>
                </patternFill>
              </fill>
            </x14:dxf>
          </x14:cfRule>
          <xm:sqref>O15:AA15</xm:sqref>
        </x14:conditionalFormatting>
        <x14:conditionalFormatting xmlns:xm="http://schemas.microsoft.com/office/excel/2006/main">
          <x14:cfRule type="expression" priority="4689490" id="{B8B5501D-F3EF-4449-9306-F652960C65F4}">
            <xm:f>$R$4='Data entry'!$R9</xm:f>
            <x14:dxf>
              <fill>
                <patternFill>
                  <bgColor rgb="FFFF0000"/>
                </patternFill>
              </fill>
            </x14:dxf>
          </x14:cfRule>
          <xm:sqref>P15:AB15</xm:sqref>
        </x14:conditionalFormatting>
        <x14:conditionalFormatting xmlns:xm="http://schemas.microsoft.com/office/excel/2006/main">
          <x14:cfRule type="expression" priority="4689491" id="{5D070DEC-B82E-4D87-B907-A3E5AB836991}">
            <xm:f>$R$4='Data entry'!$R9</xm:f>
            <x14:dxf>
              <fill>
                <patternFill>
                  <bgColor rgb="FFFFFF00"/>
                </patternFill>
              </fill>
            </x14:dxf>
          </x14:cfRule>
          <xm:sqref>D14:R14</xm:sqref>
        </x14:conditionalFormatting>
        <x14:conditionalFormatting xmlns:xm="http://schemas.microsoft.com/office/excel/2006/main">
          <x14:cfRule type="expression" priority="4689492" id="{E4D16A10-F818-4664-9FB2-F0E839824D4B}">
            <xm:f>$S$4='Data entry'!$R9</xm:f>
            <x14:dxf>
              <fill>
                <patternFill>
                  <bgColor rgb="FFFF0000"/>
                </patternFill>
              </fill>
            </x14:dxf>
          </x14:cfRule>
          <xm:sqref>Q15:AC15</xm:sqref>
        </x14:conditionalFormatting>
        <x14:conditionalFormatting xmlns:xm="http://schemas.microsoft.com/office/excel/2006/main">
          <x14:cfRule type="expression" priority="4689493" id="{1A9F9911-A3E9-4730-AFBE-AB8C596545CA}">
            <xm:f>$S$4='Data entry'!$R9</xm:f>
            <x14:dxf>
              <fill>
                <patternFill>
                  <bgColor rgb="FFFFFF00"/>
                </patternFill>
              </fill>
            </x14:dxf>
          </x14:cfRule>
          <xm:sqref>E14:S14</xm:sqref>
        </x14:conditionalFormatting>
        <x14:conditionalFormatting xmlns:xm="http://schemas.microsoft.com/office/excel/2006/main">
          <x14:cfRule type="expression" priority="4689494" id="{8BB5CD1B-B2AC-442A-9550-26DE19A62D22}">
            <xm:f>$T$4='Data entry'!$R9</xm:f>
            <x14:dxf>
              <fill>
                <patternFill>
                  <bgColor rgb="FFFF0000"/>
                </patternFill>
              </fill>
            </x14:dxf>
          </x14:cfRule>
          <xm:sqref>R15:AD15</xm:sqref>
        </x14:conditionalFormatting>
        <x14:conditionalFormatting xmlns:xm="http://schemas.microsoft.com/office/excel/2006/main">
          <x14:cfRule type="expression" priority="4689495" id="{E7B59C69-7921-4049-84A1-8B3E5F7B0598}">
            <xm:f>$T$4='Data entry'!$R9</xm:f>
            <x14:dxf>
              <fill>
                <patternFill>
                  <bgColor rgb="FFFFFF00"/>
                </patternFill>
              </fill>
            </x14:dxf>
          </x14:cfRule>
          <xm:sqref>F14:T14</xm:sqref>
        </x14:conditionalFormatting>
        <x14:conditionalFormatting xmlns:xm="http://schemas.microsoft.com/office/excel/2006/main">
          <x14:cfRule type="expression" priority="4689496" id="{238C09E5-7A3D-439D-949F-A7733073F9A2}">
            <xm:f>$U$4='Data entry'!$R9</xm:f>
            <x14:dxf>
              <fill>
                <patternFill>
                  <bgColor rgb="FFFFFF00"/>
                </patternFill>
              </fill>
            </x14:dxf>
          </x14:cfRule>
          <xm:sqref>G14:U14</xm:sqref>
        </x14:conditionalFormatting>
        <x14:conditionalFormatting xmlns:xm="http://schemas.microsoft.com/office/excel/2006/main">
          <x14:cfRule type="expression" priority="4689497" id="{DE4D4432-0A19-452A-AF14-2873FE4DF411}">
            <xm:f>$AR$4='Data entry'!$R9</xm:f>
            <x14:dxf>
              <fill>
                <patternFill>
                  <bgColor rgb="FFFF0000"/>
                </patternFill>
              </fill>
            </x14:dxf>
          </x14:cfRule>
          <xm:sqref>AP15:BB15</xm:sqref>
        </x14:conditionalFormatting>
        <x14:conditionalFormatting xmlns:xm="http://schemas.microsoft.com/office/excel/2006/main">
          <x14:cfRule type="expression" priority="4689498" id="{90D7E1FF-542D-40C8-9BD5-DFEB4CDD256F}">
            <xm:f>$AR$4='Data entry'!$R9</xm:f>
            <x14:dxf>
              <fill>
                <patternFill>
                  <bgColor rgb="FFFFFF00"/>
                </patternFill>
              </fill>
            </x14:dxf>
          </x14:cfRule>
          <xm:sqref>AD14:AR14</xm:sqref>
        </x14:conditionalFormatting>
        <x14:conditionalFormatting xmlns:xm="http://schemas.microsoft.com/office/excel/2006/main">
          <x14:cfRule type="expression" priority="4689499" id="{0EBB5305-4A4A-4205-A1FF-11160070CBC3}">
            <xm:f>$AS$4='Data entry'!$R9</xm:f>
            <x14:dxf>
              <fill>
                <patternFill>
                  <bgColor rgb="FFFF0000"/>
                </patternFill>
              </fill>
            </x14:dxf>
          </x14:cfRule>
          <xm:sqref>AQ15:BC15</xm:sqref>
        </x14:conditionalFormatting>
        <x14:conditionalFormatting xmlns:xm="http://schemas.microsoft.com/office/excel/2006/main">
          <x14:cfRule type="expression" priority="4689500" id="{AC8EB30C-4253-4CE1-820E-1801F6D8D35B}">
            <xm:f>$AS$4='Data entry'!$R9</xm:f>
            <x14:dxf>
              <fill>
                <patternFill>
                  <bgColor rgb="FFFFFF00"/>
                </patternFill>
              </fill>
            </x14:dxf>
          </x14:cfRule>
          <xm:sqref>AE14:AS14</xm:sqref>
        </x14:conditionalFormatting>
        <x14:conditionalFormatting xmlns:xm="http://schemas.microsoft.com/office/excel/2006/main">
          <x14:cfRule type="expression" priority="4689501" id="{E11744C1-7201-4272-A1B0-945490B42425}">
            <xm:f>$AT$4='Data entry'!$R9</xm:f>
            <x14:dxf>
              <fill>
                <patternFill>
                  <bgColor rgb="FFFF0000"/>
                </patternFill>
              </fill>
            </x14:dxf>
          </x14:cfRule>
          <xm:sqref>AR15:BD15</xm:sqref>
        </x14:conditionalFormatting>
        <x14:conditionalFormatting xmlns:xm="http://schemas.microsoft.com/office/excel/2006/main">
          <x14:cfRule type="expression" priority="4689502" id="{5EE2823B-E955-4EA7-B99C-0B1F77B57A69}">
            <xm:f>$AT$4='Data entry'!$R9</xm:f>
            <x14:dxf>
              <fill>
                <patternFill>
                  <bgColor rgb="FFFFFF00"/>
                </patternFill>
              </fill>
            </x14:dxf>
          </x14:cfRule>
          <xm:sqref>AF14:AT14</xm:sqref>
        </x14:conditionalFormatting>
        <x14:conditionalFormatting xmlns:xm="http://schemas.microsoft.com/office/excel/2006/main">
          <x14:cfRule type="expression" priority="4689503" id="{5737DC63-3262-4B34-900C-2AAEB255FCBA}">
            <xm:f>$AU$4='Data entry'!$R9</xm:f>
            <x14:dxf>
              <fill>
                <patternFill>
                  <bgColor rgb="FFFF0000"/>
                </patternFill>
              </fill>
            </x14:dxf>
          </x14:cfRule>
          <xm:sqref>AS15:BE15</xm:sqref>
        </x14:conditionalFormatting>
        <x14:conditionalFormatting xmlns:xm="http://schemas.microsoft.com/office/excel/2006/main">
          <x14:cfRule type="expression" priority="4689504" id="{2B5C1F1B-3C3D-4CA3-BC64-0E98422075B6}">
            <xm:f>$AU$4='Data entry'!$R9</xm:f>
            <x14:dxf>
              <fill>
                <patternFill>
                  <bgColor rgb="FFFFFF00"/>
                </patternFill>
              </fill>
            </x14:dxf>
          </x14:cfRule>
          <xm:sqref>AG14:AU14</xm:sqref>
        </x14:conditionalFormatting>
        <x14:conditionalFormatting xmlns:xm="http://schemas.microsoft.com/office/excel/2006/main">
          <x14:cfRule type="expression" priority="4689505" id="{B87A1285-B003-4855-8F4B-53C391BA10E6}">
            <xm:f>$AV$4='Data entry'!$R9</xm:f>
            <x14:dxf>
              <fill>
                <patternFill>
                  <bgColor rgb="FFFF0000"/>
                </patternFill>
              </fill>
            </x14:dxf>
          </x14:cfRule>
          <xm:sqref>AT15:BF15</xm:sqref>
        </x14:conditionalFormatting>
        <x14:conditionalFormatting xmlns:xm="http://schemas.microsoft.com/office/excel/2006/main">
          <x14:cfRule type="expression" priority="4689506" id="{338EE31C-78DB-4818-B837-0380F9E457FA}">
            <xm:f>$AV$4='Data entry'!$R9</xm:f>
            <x14:dxf>
              <fill>
                <patternFill>
                  <bgColor rgb="FFFFFF00"/>
                </patternFill>
              </fill>
            </x14:dxf>
          </x14:cfRule>
          <xm:sqref>AH14:AV14</xm:sqref>
        </x14:conditionalFormatting>
        <x14:conditionalFormatting xmlns:xm="http://schemas.microsoft.com/office/excel/2006/main">
          <x14:cfRule type="expression" priority="4689507" id="{5C40EA66-2801-4C91-B885-BF6A1ECFC35C}">
            <xm:f>$AW$4='Data entry'!$R9</xm:f>
            <x14:dxf>
              <fill>
                <patternFill>
                  <bgColor rgb="FFFF0000"/>
                </patternFill>
              </fill>
            </x14:dxf>
          </x14:cfRule>
          <xm:sqref>AU15:BG15</xm:sqref>
        </x14:conditionalFormatting>
        <x14:conditionalFormatting xmlns:xm="http://schemas.microsoft.com/office/excel/2006/main">
          <x14:cfRule type="expression" priority="4689508" id="{51BCD5CE-DF86-4C2F-8A81-DDA1EFD6C8F7}">
            <xm:f>$AW$4='Data entry'!$R9</xm:f>
            <x14:dxf>
              <fill>
                <patternFill>
                  <bgColor rgb="FFFFFF00"/>
                </patternFill>
              </fill>
            </x14:dxf>
          </x14:cfRule>
          <xm:sqref>AI14:AW14</xm:sqref>
        </x14:conditionalFormatting>
        <x14:conditionalFormatting xmlns:xm="http://schemas.microsoft.com/office/excel/2006/main">
          <x14:cfRule type="expression" priority="4689509" id="{DC2ED5A0-8917-4877-8CD3-9DF9BE5993C9}">
            <xm:f>$AX$4='Data entry'!$R9</xm:f>
            <x14:dxf>
              <fill>
                <patternFill>
                  <bgColor rgb="FFFF0000"/>
                </patternFill>
              </fill>
            </x14:dxf>
          </x14:cfRule>
          <xm:sqref>AV15:BH15</xm:sqref>
        </x14:conditionalFormatting>
        <x14:conditionalFormatting xmlns:xm="http://schemas.microsoft.com/office/excel/2006/main">
          <x14:cfRule type="expression" priority="4689510" id="{59B31869-20F9-45BD-BC80-0A6C8945CE2C}">
            <xm:f>$AX$4='Data entry'!$R9</xm:f>
            <x14:dxf>
              <fill>
                <patternFill>
                  <bgColor rgb="FFFFFF00"/>
                </patternFill>
              </fill>
            </x14:dxf>
          </x14:cfRule>
          <xm:sqref>AJ14:AX14</xm:sqref>
        </x14:conditionalFormatting>
        <x14:conditionalFormatting xmlns:xm="http://schemas.microsoft.com/office/excel/2006/main">
          <x14:cfRule type="expression" priority="4689511" id="{D4208FA0-4262-4037-934C-6D0742B2AD8E}">
            <xm:f>$AY$4='Data entry'!$R9</xm:f>
            <x14:dxf>
              <fill>
                <patternFill>
                  <bgColor rgb="FFFF0000"/>
                </patternFill>
              </fill>
            </x14:dxf>
          </x14:cfRule>
          <xm:sqref>AW15:BI15</xm:sqref>
        </x14:conditionalFormatting>
        <x14:conditionalFormatting xmlns:xm="http://schemas.microsoft.com/office/excel/2006/main">
          <x14:cfRule type="expression" priority="4689512" id="{04D6E423-18C7-42B2-A67D-F49D8E62B571}">
            <xm:f>$AY$4='Data entry'!$R9</xm:f>
            <x14:dxf>
              <fill>
                <patternFill>
                  <bgColor rgb="FFFFFF00"/>
                </patternFill>
              </fill>
            </x14:dxf>
          </x14:cfRule>
          <xm:sqref>AK14:AY14</xm:sqref>
        </x14:conditionalFormatting>
        <x14:conditionalFormatting xmlns:xm="http://schemas.microsoft.com/office/excel/2006/main">
          <x14:cfRule type="expression" priority="4689513" id="{A931C203-6E4B-4EBD-A2F4-1876881F48D4}">
            <xm:f>$AZ$4='Data entry'!$R9</xm:f>
            <x14:dxf>
              <fill>
                <patternFill>
                  <bgColor rgb="FFFF0000"/>
                </patternFill>
              </fill>
            </x14:dxf>
          </x14:cfRule>
          <xm:sqref>AX15:BJ15</xm:sqref>
        </x14:conditionalFormatting>
        <x14:conditionalFormatting xmlns:xm="http://schemas.microsoft.com/office/excel/2006/main">
          <x14:cfRule type="expression" priority="4689514" id="{092D9100-E652-40FE-8CAA-720DC0681250}">
            <xm:f>$AZ$4='Data entry'!$R9</xm:f>
            <x14:dxf>
              <fill>
                <patternFill>
                  <bgColor rgb="FFFFFF00"/>
                </patternFill>
              </fill>
            </x14:dxf>
          </x14:cfRule>
          <xm:sqref>AL14:AZ14</xm:sqref>
        </x14:conditionalFormatting>
        <x14:conditionalFormatting xmlns:xm="http://schemas.microsoft.com/office/excel/2006/main">
          <x14:cfRule type="expression" priority="4689515" id="{A3C7E6BE-A225-483C-A983-A915DB662C52}">
            <xm:f>$BA$4='Data entry'!$R9</xm:f>
            <x14:dxf>
              <fill>
                <patternFill>
                  <bgColor rgb="FFFF0000"/>
                </patternFill>
              </fill>
            </x14:dxf>
          </x14:cfRule>
          <xm:sqref>AY15:BK15</xm:sqref>
        </x14:conditionalFormatting>
        <x14:conditionalFormatting xmlns:xm="http://schemas.microsoft.com/office/excel/2006/main">
          <x14:cfRule type="expression" priority="4689516" id="{F5CF569A-8AFA-4CFF-8BD3-F04D8927A99F}">
            <xm:f>$BA$4='Data entry'!$R9</xm:f>
            <x14:dxf>
              <fill>
                <patternFill>
                  <bgColor rgb="FFFFFF00"/>
                </patternFill>
              </fill>
            </x14:dxf>
          </x14:cfRule>
          <xm:sqref>AM14:BA14</xm:sqref>
        </x14:conditionalFormatting>
        <x14:conditionalFormatting xmlns:xm="http://schemas.microsoft.com/office/excel/2006/main">
          <x14:cfRule type="expression" priority="4689517" id="{E4DAC94A-7983-4BFB-A87B-45B58561841A}">
            <xm:f>$BB$4='Data entry'!$R9</xm:f>
            <x14:dxf>
              <fill>
                <patternFill>
                  <bgColor rgb="FFFF0000"/>
                </patternFill>
              </fill>
            </x14:dxf>
          </x14:cfRule>
          <xm:sqref>AZ15:BL15</xm:sqref>
        </x14:conditionalFormatting>
        <x14:conditionalFormatting xmlns:xm="http://schemas.microsoft.com/office/excel/2006/main">
          <x14:cfRule type="expression" priority="4689518" id="{E63849C5-F39B-4B0E-8F8A-B532EDF2CBAE}">
            <xm:f>$BB$4='Data entry'!$R9</xm:f>
            <x14:dxf>
              <fill>
                <patternFill>
                  <bgColor rgb="FFFFFF00"/>
                </patternFill>
              </fill>
            </x14:dxf>
          </x14:cfRule>
          <xm:sqref>AN14:BB14</xm:sqref>
        </x14:conditionalFormatting>
        <x14:conditionalFormatting xmlns:xm="http://schemas.microsoft.com/office/excel/2006/main">
          <x14:cfRule type="expression" priority="4689519" id="{4FDC32D3-C1F5-455D-9AA4-A03359B72526}">
            <xm:f>$BC$4='Data entry'!$R9</xm:f>
            <x14:dxf>
              <fill>
                <patternFill>
                  <bgColor rgb="FFFF0000"/>
                </patternFill>
              </fill>
            </x14:dxf>
          </x14:cfRule>
          <xm:sqref>BA15:BM15</xm:sqref>
        </x14:conditionalFormatting>
        <x14:conditionalFormatting xmlns:xm="http://schemas.microsoft.com/office/excel/2006/main">
          <x14:cfRule type="expression" priority="4689520" id="{5F0D0C60-B233-4C56-B05D-98C99990877F}">
            <xm:f>$BC$4='Data entry'!$R9</xm:f>
            <x14:dxf>
              <fill>
                <patternFill>
                  <bgColor rgb="FFFFFF00"/>
                </patternFill>
              </fill>
            </x14:dxf>
          </x14:cfRule>
          <xm:sqref>AO14:BC14</xm:sqref>
        </x14:conditionalFormatting>
        <x14:conditionalFormatting xmlns:xm="http://schemas.microsoft.com/office/excel/2006/main">
          <x14:cfRule type="expression" priority="4689521" id="{9EBCB60F-8135-43B6-A0F3-548D4092CC98}">
            <xm:f>$BD$4='Data entry'!$R9</xm:f>
            <x14:dxf>
              <fill>
                <patternFill>
                  <bgColor rgb="FFFF0000"/>
                </patternFill>
              </fill>
            </x14:dxf>
          </x14:cfRule>
          <xm:sqref>BB15:BN15</xm:sqref>
        </x14:conditionalFormatting>
        <x14:conditionalFormatting xmlns:xm="http://schemas.microsoft.com/office/excel/2006/main">
          <x14:cfRule type="expression" priority="4689522" id="{961AF346-4A73-41ED-9A8D-27D431B09C05}">
            <xm:f>$BD$4='Data entry'!$R9</xm:f>
            <x14:dxf>
              <fill>
                <patternFill>
                  <bgColor rgb="FFFFFF00"/>
                </patternFill>
              </fill>
            </x14:dxf>
          </x14:cfRule>
          <xm:sqref>AP14:BD14</xm:sqref>
        </x14:conditionalFormatting>
        <x14:conditionalFormatting xmlns:xm="http://schemas.microsoft.com/office/excel/2006/main">
          <x14:cfRule type="expression" priority="4689523" id="{5A887026-27CD-4F8C-8BA6-1E92704C1CA6}">
            <xm:f>$BE$4='Data entry'!$R9</xm:f>
            <x14:dxf>
              <fill>
                <patternFill>
                  <bgColor rgb="FFFF0000"/>
                </patternFill>
              </fill>
            </x14:dxf>
          </x14:cfRule>
          <xm:sqref>BC15:BO15</xm:sqref>
        </x14:conditionalFormatting>
        <x14:conditionalFormatting xmlns:xm="http://schemas.microsoft.com/office/excel/2006/main">
          <x14:cfRule type="expression" priority="4689524" id="{7F46217B-A1E9-4515-B31E-E756FCD7C6D9}">
            <xm:f>$BE$4='Data entry'!$R9</xm:f>
            <x14:dxf>
              <fill>
                <patternFill>
                  <bgColor rgb="FFFFFF00"/>
                </patternFill>
              </fill>
            </x14:dxf>
          </x14:cfRule>
          <xm:sqref>AP14:BE14</xm:sqref>
        </x14:conditionalFormatting>
        <x14:conditionalFormatting xmlns:xm="http://schemas.microsoft.com/office/excel/2006/main">
          <x14:cfRule type="expression" priority="4689525" id="{F4D9285C-8CA0-4EF1-943E-6A462D47CC77}">
            <xm:f>$BF$4='Data entry'!$R9</xm:f>
            <x14:dxf>
              <fill>
                <patternFill>
                  <bgColor rgb="FFFF0000"/>
                </patternFill>
              </fill>
            </x14:dxf>
          </x14:cfRule>
          <xm:sqref>BD15:BP15</xm:sqref>
        </x14:conditionalFormatting>
        <x14:conditionalFormatting xmlns:xm="http://schemas.microsoft.com/office/excel/2006/main">
          <x14:cfRule type="expression" priority="4689526" id="{B9E4407D-651D-4DC0-9D61-3271D62A65E9}">
            <xm:f>$BF$4='Data entry'!$R9</xm:f>
            <x14:dxf>
              <fill>
                <patternFill>
                  <bgColor rgb="FFFFFF00"/>
                </patternFill>
              </fill>
            </x14:dxf>
          </x14:cfRule>
          <xm:sqref>AR14:BF14</xm:sqref>
        </x14:conditionalFormatting>
        <x14:conditionalFormatting xmlns:xm="http://schemas.microsoft.com/office/excel/2006/main">
          <x14:cfRule type="expression" priority="4689527" id="{4CDC062F-DDFF-4556-B941-08F919727F69}">
            <xm:f>$BG$4='Data entry'!$R9</xm:f>
            <x14:dxf>
              <fill>
                <patternFill>
                  <bgColor rgb="FFFF0000"/>
                </patternFill>
              </fill>
            </x14:dxf>
          </x14:cfRule>
          <xm:sqref>BE15:BQ15</xm:sqref>
        </x14:conditionalFormatting>
        <x14:conditionalFormatting xmlns:xm="http://schemas.microsoft.com/office/excel/2006/main">
          <x14:cfRule type="expression" priority="4689528" id="{789184FA-9055-433B-8A1B-92C7ED59E81F}">
            <xm:f>$BG$4='Data entry'!$R9</xm:f>
            <x14:dxf>
              <fill>
                <patternFill>
                  <bgColor rgb="FFFFFF00"/>
                </patternFill>
              </fill>
            </x14:dxf>
          </x14:cfRule>
          <xm:sqref>AS14:BG14</xm:sqref>
        </x14:conditionalFormatting>
        <x14:conditionalFormatting xmlns:xm="http://schemas.microsoft.com/office/excel/2006/main">
          <x14:cfRule type="expression" priority="4689529" id="{58651E5C-09C9-46C1-B95C-E8A578A49E15}">
            <xm:f>$BH$4='Data entry'!$R9</xm:f>
            <x14:dxf>
              <fill>
                <patternFill>
                  <bgColor rgb="FFFFFF00"/>
                </patternFill>
              </fill>
            </x14:dxf>
          </x14:cfRule>
          <xm:sqref>AT14:BH14</xm:sqref>
        </x14:conditionalFormatting>
        <x14:conditionalFormatting xmlns:xm="http://schemas.microsoft.com/office/excel/2006/main">
          <x14:cfRule type="expression" priority="4689530" id="{97B30B86-8311-4DC0-A533-8C0D53F37839}">
            <xm:f>$BH$4='Data entry'!$R9</xm:f>
            <x14:dxf>
              <fill>
                <patternFill>
                  <bgColor rgb="FFFF0000"/>
                </patternFill>
              </fill>
            </x14:dxf>
          </x14:cfRule>
          <xm:sqref>BF15:BR15</xm:sqref>
        </x14:conditionalFormatting>
        <x14:conditionalFormatting xmlns:xm="http://schemas.microsoft.com/office/excel/2006/main">
          <x14:cfRule type="expression" priority="4689531" id="{78344C0C-5AEA-40B1-A20C-6D77DF58E1F5}">
            <xm:f>$BI$4='Data entry'!$R9</xm:f>
            <x14:dxf>
              <fill>
                <patternFill>
                  <bgColor rgb="FFFFFF00"/>
                </patternFill>
              </fill>
            </x14:dxf>
          </x14:cfRule>
          <xm:sqref>AU14:BI14</xm:sqref>
        </x14:conditionalFormatting>
        <x14:conditionalFormatting xmlns:xm="http://schemas.microsoft.com/office/excel/2006/main">
          <x14:cfRule type="expression" priority="4689532" id="{A9CE044F-482E-4F25-B28F-89ACC58502B1}">
            <xm:f>$BI$4='Data entry'!$R9</xm:f>
            <x14:dxf>
              <fill>
                <patternFill>
                  <bgColor rgb="FFFF0000"/>
                </patternFill>
              </fill>
            </x14:dxf>
          </x14:cfRule>
          <xm:sqref>BG15:BS15</xm:sqref>
        </x14:conditionalFormatting>
        <x14:conditionalFormatting xmlns:xm="http://schemas.microsoft.com/office/excel/2006/main">
          <x14:cfRule type="expression" priority="4689533" id="{F63BE0EB-3C71-4456-BEF0-11180AB7A8BB}">
            <xm:f>$BJ$4='Data entry'!$R9</xm:f>
            <x14:dxf>
              <fill>
                <patternFill>
                  <bgColor rgb="FFFFFF00"/>
                </patternFill>
              </fill>
            </x14:dxf>
          </x14:cfRule>
          <xm:sqref>AV14:BJ14</xm:sqref>
        </x14:conditionalFormatting>
        <x14:conditionalFormatting xmlns:xm="http://schemas.microsoft.com/office/excel/2006/main">
          <x14:cfRule type="expression" priority="4689534" id="{478A5DCB-1DAA-4497-A6CC-B4F01FB96D10}">
            <xm:f>$BJ$4='Data entry'!$R9</xm:f>
            <x14:dxf>
              <fill>
                <patternFill>
                  <bgColor rgb="FFFF0000"/>
                </patternFill>
              </fill>
            </x14:dxf>
          </x14:cfRule>
          <xm:sqref>BH15:BT15</xm:sqref>
        </x14:conditionalFormatting>
        <x14:conditionalFormatting xmlns:xm="http://schemas.microsoft.com/office/excel/2006/main">
          <x14:cfRule type="expression" priority="4689535" id="{CDE4AD5B-65A6-4FA4-9EC0-8D05F22312A9}">
            <xm:f>$BK$4='Data entry'!$R9</xm:f>
            <x14:dxf>
              <fill>
                <patternFill>
                  <bgColor rgb="FFFF0000"/>
                </patternFill>
              </fill>
            </x14:dxf>
          </x14:cfRule>
          <xm:sqref>BI15:BU15</xm:sqref>
        </x14:conditionalFormatting>
        <x14:conditionalFormatting xmlns:xm="http://schemas.microsoft.com/office/excel/2006/main">
          <x14:cfRule type="expression" priority="4689536" id="{AB32E790-6CD8-4D11-9A69-57D785FE4BBC}">
            <xm:f>$BK$4='Data entry'!$R9</xm:f>
            <x14:dxf>
              <fill>
                <patternFill>
                  <bgColor rgb="FFFFFF00"/>
                </patternFill>
              </fill>
            </x14:dxf>
          </x14:cfRule>
          <xm:sqref>AW14:BK14</xm:sqref>
        </x14:conditionalFormatting>
        <x14:conditionalFormatting xmlns:xm="http://schemas.microsoft.com/office/excel/2006/main">
          <x14:cfRule type="expression" priority="4689537" id="{99810EB9-805C-43D8-852A-EEECE7874CDB}">
            <xm:f>$BL$4='Data entry'!$R9</xm:f>
            <x14:dxf>
              <fill>
                <patternFill>
                  <bgColor rgb="FFFF0000"/>
                </patternFill>
              </fill>
            </x14:dxf>
          </x14:cfRule>
          <xm:sqref>BJ15:BV15</xm:sqref>
        </x14:conditionalFormatting>
        <x14:conditionalFormatting xmlns:xm="http://schemas.microsoft.com/office/excel/2006/main">
          <x14:cfRule type="expression" priority="4689538" id="{BF5F5475-4E46-479C-97A6-D5175F5D1803}">
            <xm:f>$BL$4='Data entry'!$R9</xm:f>
            <x14:dxf>
              <fill>
                <patternFill>
                  <bgColor rgb="FFFFFF00"/>
                </patternFill>
              </fill>
            </x14:dxf>
          </x14:cfRule>
          <xm:sqref>AX14:BL14</xm:sqref>
        </x14:conditionalFormatting>
        <x14:conditionalFormatting xmlns:xm="http://schemas.microsoft.com/office/excel/2006/main">
          <x14:cfRule type="expression" priority="4689539" id="{B86FDF2F-16C9-46B1-847E-7EA1A8A34B9D}">
            <xm:f>$BM$4='Data entry'!$R9</xm:f>
            <x14:dxf>
              <fill>
                <patternFill>
                  <bgColor rgb="FFFF0000"/>
                </patternFill>
              </fill>
            </x14:dxf>
          </x14:cfRule>
          <xm:sqref>BK15:BW15</xm:sqref>
        </x14:conditionalFormatting>
        <x14:conditionalFormatting xmlns:xm="http://schemas.microsoft.com/office/excel/2006/main">
          <x14:cfRule type="expression" priority="4689540" id="{72FD189F-4CED-400D-9FEF-21A328970A4D}">
            <xm:f>$BM$4='Data entry'!$R9</xm:f>
            <x14:dxf>
              <fill>
                <patternFill>
                  <bgColor rgb="FFFFFF00"/>
                </patternFill>
              </fill>
            </x14:dxf>
          </x14:cfRule>
          <xm:sqref>AY14:BM14</xm:sqref>
        </x14:conditionalFormatting>
        <x14:conditionalFormatting xmlns:xm="http://schemas.microsoft.com/office/excel/2006/main">
          <x14:cfRule type="expression" priority="4689541" id="{BBBBF859-D5A7-4F55-BFBF-8A77E3357590}">
            <xm:f>$BN$4='Data entry'!$R9</xm:f>
            <x14:dxf>
              <fill>
                <patternFill>
                  <bgColor rgb="FFFF0000"/>
                </patternFill>
              </fill>
            </x14:dxf>
          </x14:cfRule>
          <xm:sqref>BL15:BX15</xm:sqref>
        </x14:conditionalFormatting>
        <x14:conditionalFormatting xmlns:xm="http://schemas.microsoft.com/office/excel/2006/main">
          <x14:cfRule type="expression" priority="4689542" id="{50CB1D75-0FD5-4D24-92B1-E8A41DC6575C}">
            <xm:f>$BN$4='Data entry'!$R9</xm:f>
            <x14:dxf>
              <fill>
                <patternFill>
                  <bgColor rgb="FFFFFF00"/>
                </patternFill>
              </fill>
            </x14:dxf>
          </x14:cfRule>
          <xm:sqref>AZ14:BN14</xm:sqref>
        </x14:conditionalFormatting>
        <x14:conditionalFormatting xmlns:xm="http://schemas.microsoft.com/office/excel/2006/main">
          <x14:cfRule type="expression" priority="4689543" id="{9EF3226D-E8FC-496B-A6FF-71776AEA54D1}">
            <xm:f>$BO$4='Data entry'!$R9</xm:f>
            <x14:dxf>
              <fill>
                <patternFill>
                  <bgColor rgb="FFFF0000"/>
                </patternFill>
              </fill>
            </x14:dxf>
          </x14:cfRule>
          <xm:sqref>BM15:BY15</xm:sqref>
        </x14:conditionalFormatting>
        <x14:conditionalFormatting xmlns:xm="http://schemas.microsoft.com/office/excel/2006/main">
          <x14:cfRule type="expression" priority="4689544" id="{3B86C801-ECFE-4D05-8AA5-1581116BAFBC}">
            <xm:f>$BO$4='Data entry'!$R9</xm:f>
            <x14:dxf>
              <fill>
                <patternFill>
                  <bgColor rgb="FFFFFF00"/>
                </patternFill>
              </fill>
            </x14:dxf>
          </x14:cfRule>
          <xm:sqref>BA14:BO14</xm:sqref>
        </x14:conditionalFormatting>
        <x14:conditionalFormatting xmlns:xm="http://schemas.microsoft.com/office/excel/2006/main">
          <x14:cfRule type="expression" priority="4689545" id="{058A23EC-3371-4A02-9F20-1ECA603AC6BC}">
            <xm:f>$BP$4='Data entry'!$R9</xm:f>
            <x14:dxf>
              <fill>
                <patternFill>
                  <bgColor rgb="FFFF0000"/>
                </patternFill>
              </fill>
            </x14:dxf>
          </x14:cfRule>
          <xm:sqref>BN15:BZ15</xm:sqref>
        </x14:conditionalFormatting>
        <x14:conditionalFormatting xmlns:xm="http://schemas.microsoft.com/office/excel/2006/main">
          <x14:cfRule type="expression" priority="4689546" id="{3E711E31-3992-4555-AB22-87133D60CD15}">
            <xm:f>$BP$4='Data entry'!$R9</xm:f>
            <x14:dxf>
              <fill>
                <patternFill>
                  <bgColor rgb="FFFFFF00"/>
                </patternFill>
              </fill>
            </x14:dxf>
          </x14:cfRule>
          <xm:sqref>BB14:BP14</xm:sqref>
        </x14:conditionalFormatting>
        <x14:conditionalFormatting xmlns:xm="http://schemas.microsoft.com/office/excel/2006/main">
          <x14:cfRule type="expression" priority="4689547" id="{23E9F8B9-37D5-4730-9453-6F23E8ECBBE3}">
            <xm:f>$BQ$4='Data entry'!$R9</xm:f>
            <x14:dxf>
              <fill>
                <patternFill>
                  <bgColor rgb="FFFFFF00"/>
                </patternFill>
              </fill>
            </x14:dxf>
          </x14:cfRule>
          <xm:sqref>BC14:BQ14</xm:sqref>
        </x14:conditionalFormatting>
        <x14:conditionalFormatting xmlns:xm="http://schemas.microsoft.com/office/excel/2006/main">
          <x14:cfRule type="expression" priority="4689548" id="{BCFD92F6-AAD3-44FD-BC61-A292A81B883E}">
            <xm:f>$BQ$4='Data entry'!$R9</xm:f>
            <x14:dxf>
              <fill>
                <patternFill>
                  <bgColor rgb="FFFF0000"/>
                </patternFill>
              </fill>
            </x14:dxf>
          </x14:cfRule>
          <xm:sqref>BO15:CA15</xm:sqref>
        </x14:conditionalFormatting>
        <x14:conditionalFormatting xmlns:xm="http://schemas.microsoft.com/office/excel/2006/main">
          <x14:cfRule type="expression" priority="4689549" id="{357D60E5-F356-477E-8020-A18F42C02832}">
            <xm:f>$BR$4='Data entry'!$R9</xm:f>
            <x14:dxf>
              <fill>
                <patternFill>
                  <bgColor rgb="FFFFFF00"/>
                </patternFill>
              </fill>
            </x14:dxf>
          </x14:cfRule>
          <xm:sqref>BD14:BR14</xm:sqref>
        </x14:conditionalFormatting>
        <x14:conditionalFormatting xmlns:xm="http://schemas.microsoft.com/office/excel/2006/main">
          <x14:cfRule type="expression" priority="4689550" id="{DA2B6511-43B3-432D-B6AA-1DB1188B90A6}">
            <xm:f>$BR$4='Data entry'!$R9</xm:f>
            <x14:dxf>
              <fill>
                <patternFill>
                  <bgColor rgb="FFFF0000"/>
                </patternFill>
              </fill>
            </x14:dxf>
          </x14:cfRule>
          <xm:sqref>BP15:CB15</xm:sqref>
        </x14:conditionalFormatting>
        <x14:conditionalFormatting xmlns:xm="http://schemas.microsoft.com/office/excel/2006/main">
          <x14:cfRule type="expression" priority="4689551" id="{0D5F64E4-4136-4BFA-B833-CC8578525D9C}">
            <xm:f>$BS$4='Data entry'!$R9</xm:f>
            <x14:dxf>
              <fill>
                <patternFill>
                  <bgColor rgb="FFFFFF00"/>
                </patternFill>
              </fill>
            </x14:dxf>
          </x14:cfRule>
          <xm:sqref>BE14:BS14</xm:sqref>
        </x14:conditionalFormatting>
        <x14:conditionalFormatting xmlns:xm="http://schemas.microsoft.com/office/excel/2006/main">
          <x14:cfRule type="expression" priority="4689552" id="{AC94D468-F078-4AE2-8771-102996E07B09}">
            <xm:f>$BS$4='Data entry'!$R9</xm:f>
            <x14:dxf>
              <fill>
                <patternFill>
                  <bgColor rgb="FFFF0000"/>
                </patternFill>
              </fill>
            </x14:dxf>
          </x14:cfRule>
          <xm:sqref>BQ15:CC15</xm:sqref>
        </x14:conditionalFormatting>
        <x14:conditionalFormatting xmlns:xm="http://schemas.microsoft.com/office/excel/2006/main">
          <x14:cfRule type="expression" priority="4689553" id="{10E78F76-181E-4F19-9F89-7DD36D3EFE30}">
            <xm:f>$BT$4='Data entry'!$R9</xm:f>
            <x14:dxf>
              <fill>
                <patternFill>
                  <bgColor rgb="FFFFFF00"/>
                </patternFill>
              </fill>
            </x14:dxf>
          </x14:cfRule>
          <xm:sqref>BF14:BT14</xm:sqref>
        </x14:conditionalFormatting>
        <x14:conditionalFormatting xmlns:xm="http://schemas.microsoft.com/office/excel/2006/main">
          <x14:cfRule type="expression" priority="4689554" id="{6A5FADC6-9512-4EFB-90A5-7B5244D10D1F}">
            <xm:f>$BT$4='Data entry'!$R9</xm:f>
            <x14:dxf>
              <fill>
                <patternFill>
                  <bgColor rgb="FFFF0000"/>
                </patternFill>
              </fill>
            </x14:dxf>
          </x14:cfRule>
          <xm:sqref>BR15:CC15</xm:sqref>
        </x14:conditionalFormatting>
        <x14:conditionalFormatting xmlns:xm="http://schemas.microsoft.com/office/excel/2006/main">
          <x14:cfRule type="expression" priority="4689555" id="{A51139D1-8841-4B96-B8CB-DFE3808765CF}">
            <xm:f>$BU$4='Data entry'!$R9</xm:f>
            <x14:dxf>
              <fill>
                <patternFill>
                  <bgColor rgb="FFFFFF00"/>
                </patternFill>
              </fill>
            </x14:dxf>
          </x14:cfRule>
          <xm:sqref>BG14:BU14</xm:sqref>
        </x14:conditionalFormatting>
        <x14:conditionalFormatting xmlns:xm="http://schemas.microsoft.com/office/excel/2006/main">
          <x14:cfRule type="expression" priority="4689556" id="{55CA7258-760F-4BFF-ACB5-A70FEB3E7981}">
            <xm:f>$BU$4='Data entry'!$R9</xm:f>
            <x14:dxf>
              <fill>
                <patternFill>
                  <bgColor rgb="FFFF0000"/>
                </patternFill>
              </fill>
            </x14:dxf>
          </x14:cfRule>
          <xm:sqref>BS15:CC15</xm:sqref>
        </x14:conditionalFormatting>
        <x14:conditionalFormatting xmlns:xm="http://schemas.microsoft.com/office/excel/2006/main">
          <x14:cfRule type="expression" priority="4689557" id="{A922B218-64DB-4CBB-9AB8-FE0EBB44E09E}">
            <xm:f>$BV$4='Data entry'!$R9</xm:f>
            <x14:dxf>
              <fill>
                <patternFill>
                  <bgColor rgb="FFFFFF00"/>
                </patternFill>
              </fill>
            </x14:dxf>
          </x14:cfRule>
          <xm:sqref>BH14:BV14</xm:sqref>
        </x14:conditionalFormatting>
        <x14:conditionalFormatting xmlns:xm="http://schemas.microsoft.com/office/excel/2006/main">
          <x14:cfRule type="expression" priority="4689558" id="{C98E908A-CD31-4778-B41C-7AFB9DBE639A}">
            <xm:f>$BV$4='Data entry'!$R9</xm:f>
            <x14:dxf>
              <fill>
                <patternFill>
                  <bgColor rgb="FFFF0000"/>
                </patternFill>
              </fill>
            </x14:dxf>
          </x14:cfRule>
          <xm:sqref>BT15:CC15</xm:sqref>
        </x14:conditionalFormatting>
        <x14:conditionalFormatting xmlns:xm="http://schemas.microsoft.com/office/excel/2006/main">
          <x14:cfRule type="expression" priority="4689559" id="{465CCCA3-B4DB-4B61-8AC7-8A5E4CEC9E3F}">
            <xm:f>$BW$4='Data entry'!$R9</xm:f>
            <x14:dxf>
              <fill>
                <patternFill>
                  <bgColor rgb="FFFFFF00"/>
                </patternFill>
              </fill>
            </x14:dxf>
          </x14:cfRule>
          <xm:sqref>BI14:BW14</xm:sqref>
        </x14:conditionalFormatting>
        <x14:conditionalFormatting xmlns:xm="http://schemas.microsoft.com/office/excel/2006/main">
          <x14:cfRule type="expression" priority="4689560" id="{37566F97-6D06-400B-A709-FE657B07687F}">
            <xm:f>$BW$4='Data entry'!$R9</xm:f>
            <x14:dxf>
              <fill>
                <patternFill>
                  <bgColor rgb="FFFF0000"/>
                </patternFill>
              </fill>
            </x14:dxf>
          </x14:cfRule>
          <xm:sqref>BU15:CC15</xm:sqref>
        </x14:conditionalFormatting>
        <x14:conditionalFormatting xmlns:xm="http://schemas.microsoft.com/office/excel/2006/main">
          <x14:cfRule type="expression" priority="4689561" id="{D8FBA3AC-5CF0-4E45-97CA-1D4DEE729ADA}">
            <xm:f>$BX$4='Data entry'!$R9</xm:f>
            <x14:dxf>
              <fill>
                <patternFill>
                  <bgColor rgb="FFFFFF00"/>
                </patternFill>
              </fill>
            </x14:dxf>
          </x14:cfRule>
          <xm:sqref>BJ14:BX14</xm:sqref>
        </x14:conditionalFormatting>
        <x14:conditionalFormatting xmlns:xm="http://schemas.microsoft.com/office/excel/2006/main">
          <x14:cfRule type="expression" priority="4689562" id="{E077C84B-A94F-431D-B232-4AFCC7C64F54}">
            <xm:f>$BX$4='Data entry'!$R9</xm:f>
            <x14:dxf>
              <fill>
                <patternFill>
                  <bgColor rgb="FFFF0000"/>
                </patternFill>
              </fill>
            </x14:dxf>
          </x14:cfRule>
          <xm:sqref>BV15:CC15</xm:sqref>
        </x14:conditionalFormatting>
        <x14:conditionalFormatting xmlns:xm="http://schemas.microsoft.com/office/excel/2006/main">
          <x14:cfRule type="expression" priority="4689563" id="{63783BA8-0C97-4A44-86FD-7A2BCF1B9957}">
            <xm:f>$BY$4='Data entry'!$R9</xm:f>
            <x14:dxf>
              <fill>
                <patternFill>
                  <bgColor rgb="FFFFFF00"/>
                </patternFill>
              </fill>
            </x14:dxf>
          </x14:cfRule>
          <xm:sqref>BK14:BY14</xm:sqref>
        </x14:conditionalFormatting>
        <x14:conditionalFormatting xmlns:xm="http://schemas.microsoft.com/office/excel/2006/main">
          <x14:cfRule type="expression" priority="4689564" id="{BB8DB8B4-B71B-46D2-AEE7-346F16103F74}">
            <xm:f>$BY$4='Data entry'!$R9</xm:f>
            <x14:dxf>
              <fill>
                <patternFill>
                  <bgColor rgb="FFFF0000"/>
                </patternFill>
              </fill>
            </x14:dxf>
          </x14:cfRule>
          <xm:sqref>BW15:CC15</xm:sqref>
        </x14:conditionalFormatting>
        <x14:conditionalFormatting xmlns:xm="http://schemas.microsoft.com/office/excel/2006/main">
          <x14:cfRule type="expression" priority="4689565" id="{1B638B98-2B06-4FEB-90C1-446A3E0A3979}">
            <xm:f>$BZ$4='Data entry'!$R9</xm:f>
            <x14:dxf>
              <fill>
                <patternFill>
                  <bgColor rgb="FFFFFF00"/>
                </patternFill>
              </fill>
            </x14:dxf>
          </x14:cfRule>
          <xm:sqref>BL14:BZ14</xm:sqref>
        </x14:conditionalFormatting>
        <x14:conditionalFormatting xmlns:xm="http://schemas.microsoft.com/office/excel/2006/main">
          <x14:cfRule type="expression" priority="4689566" id="{D3A0A2F8-D1B2-4DC5-B2A9-0EF53074E685}">
            <xm:f>$BZ$4='Data entry'!$R9</xm:f>
            <x14:dxf>
              <fill>
                <patternFill>
                  <bgColor rgb="FFFF0000"/>
                </patternFill>
              </fill>
            </x14:dxf>
          </x14:cfRule>
          <xm:sqref>BX15:CC15</xm:sqref>
        </x14:conditionalFormatting>
        <x14:conditionalFormatting xmlns:xm="http://schemas.microsoft.com/office/excel/2006/main">
          <x14:cfRule type="expression" priority="4689567" id="{83F6D018-7D3B-4D33-9998-11572F2F2FF5}">
            <xm:f>$CA$4='Data entry'!$R9</xm:f>
            <x14:dxf>
              <fill>
                <patternFill>
                  <bgColor rgb="FFFFFF00"/>
                </patternFill>
              </fill>
            </x14:dxf>
          </x14:cfRule>
          <xm:sqref>BM14:CA14</xm:sqref>
        </x14:conditionalFormatting>
        <x14:conditionalFormatting xmlns:xm="http://schemas.microsoft.com/office/excel/2006/main">
          <x14:cfRule type="expression" priority="4689568" id="{8E6D0B51-5626-4ED9-9072-C7A2C139704F}">
            <xm:f>$CA$4='Data entry'!$R9</xm:f>
            <x14:dxf>
              <fill>
                <patternFill>
                  <bgColor rgb="FFFF0000"/>
                </patternFill>
              </fill>
            </x14:dxf>
          </x14:cfRule>
          <xm:sqref>BY15:CC15</xm:sqref>
        </x14:conditionalFormatting>
        <x14:conditionalFormatting xmlns:xm="http://schemas.microsoft.com/office/excel/2006/main">
          <x14:cfRule type="expression" priority="4689569" id="{E1886EE4-3BDE-43A9-9F4B-79377FEC37FE}">
            <xm:f>$CB$4='Data entry'!$R9</xm:f>
            <x14:dxf>
              <fill>
                <patternFill>
                  <bgColor rgb="FFFFFF00"/>
                </patternFill>
              </fill>
            </x14:dxf>
          </x14:cfRule>
          <xm:sqref>BN14:CB14</xm:sqref>
        </x14:conditionalFormatting>
        <x14:conditionalFormatting xmlns:xm="http://schemas.microsoft.com/office/excel/2006/main">
          <x14:cfRule type="expression" priority="4689570" id="{ADEF572A-6C18-4602-BB86-01C96D36E07E}">
            <xm:f>$CB$4='Data entry'!$R9</xm:f>
            <x14:dxf>
              <fill>
                <patternFill>
                  <bgColor rgb="FFFF0000"/>
                </patternFill>
              </fill>
            </x14:dxf>
          </x14:cfRule>
          <xm:sqref>BZ15:CC15</xm:sqref>
        </x14:conditionalFormatting>
        <x14:conditionalFormatting xmlns:xm="http://schemas.microsoft.com/office/excel/2006/main">
          <x14:cfRule type="expression" priority="4689571" id="{7984E1C9-E073-4955-8543-62145CB6D008}">
            <xm:f>$CC$4='Data entry'!$R9</xm:f>
            <x14:dxf>
              <fill>
                <patternFill>
                  <bgColor rgb="FFFFFF00"/>
                </patternFill>
              </fill>
            </x14:dxf>
          </x14:cfRule>
          <xm:sqref>BO14:CC14</xm:sqref>
        </x14:conditionalFormatting>
        <x14:conditionalFormatting xmlns:xm="http://schemas.microsoft.com/office/excel/2006/main">
          <x14:cfRule type="expression" priority="4689572" id="{18A957B3-59FA-4698-BA92-2A208FF18E2F}">
            <xm:f>$CC$4='Data entry'!$R9</xm:f>
            <x14:dxf>
              <fill>
                <patternFill>
                  <bgColor rgb="FFFF0000"/>
                </patternFill>
              </fill>
            </x14:dxf>
          </x14:cfRule>
          <xm:sqref>CA15:CC15</xm:sqref>
        </x14:conditionalFormatting>
        <x14:conditionalFormatting xmlns:xm="http://schemas.microsoft.com/office/excel/2006/main">
          <x14:cfRule type="expression" priority="4689659" id="{5B0DB825-B7C2-40AC-B7EF-F267F054CFB9}">
            <xm:f>$U$4='Data entry'!$R10</xm:f>
            <x14:dxf>
              <fill>
                <patternFill>
                  <bgColor rgb="FFFF0000"/>
                </patternFill>
              </fill>
            </x14:dxf>
          </x14:cfRule>
          <xm:sqref>S18:AE18</xm:sqref>
        </x14:conditionalFormatting>
        <x14:conditionalFormatting xmlns:xm="http://schemas.microsoft.com/office/excel/2006/main">
          <x14:cfRule type="expression" priority="4689660" id="{18311200-E2BB-400F-B594-3B9A2C6068C2}">
            <xm:f>$V$4='Data entry'!$R10</xm:f>
            <x14:dxf>
              <fill>
                <patternFill>
                  <bgColor rgb="FFFF0000"/>
                </patternFill>
              </fill>
            </x14:dxf>
          </x14:cfRule>
          <xm:sqref>T18:AF18</xm:sqref>
        </x14:conditionalFormatting>
        <x14:conditionalFormatting xmlns:xm="http://schemas.microsoft.com/office/excel/2006/main">
          <x14:cfRule type="expression" priority="4689661" id="{D6DFB621-1A58-4C59-A987-ECAD0EB2D32B}">
            <xm:f>$V$4='Data entry'!$R10</xm:f>
            <x14:dxf>
              <fill>
                <patternFill>
                  <bgColor rgb="FFFFFF00"/>
                </patternFill>
              </fill>
            </x14:dxf>
          </x14:cfRule>
          <xm:sqref>H17:V17</xm:sqref>
        </x14:conditionalFormatting>
        <x14:conditionalFormatting xmlns:xm="http://schemas.microsoft.com/office/excel/2006/main">
          <x14:cfRule type="expression" priority="4689662" id="{5F87A680-DC5F-433D-A779-B7A534ACCDA9}">
            <xm:f>$W$4='Data entry'!$R10</xm:f>
            <x14:dxf>
              <fill>
                <patternFill>
                  <bgColor rgb="FFFF0000"/>
                </patternFill>
              </fill>
            </x14:dxf>
          </x14:cfRule>
          <xm:sqref>U18:AG18</xm:sqref>
        </x14:conditionalFormatting>
        <x14:conditionalFormatting xmlns:xm="http://schemas.microsoft.com/office/excel/2006/main">
          <x14:cfRule type="expression" priority="4689663" id="{964539FF-A92C-4F68-B268-B7157A32678C}">
            <xm:f>$W$4='Data entry'!$R10</xm:f>
            <x14:dxf>
              <fill>
                <patternFill>
                  <bgColor rgb="FFFFFF00"/>
                </patternFill>
              </fill>
            </x14:dxf>
          </x14:cfRule>
          <xm:sqref>I17:W17</xm:sqref>
        </x14:conditionalFormatting>
        <x14:conditionalFormatting xmlns:xm="http://schemas.microsoft.com/office/excel/2006/main">
          <x14:cfRule type="expression" priority="4689664" id="{46C1533A-F090-4A90-9309-3F59EC3FD3B0}">
            <xm:f>$X$4='Data entry'!$R10</xm:f>
            <x14:dxf>
              <fill>
                <patternFill>
                  <bgColor rgb="FFFF0000"/>
                </patternFill>
              </fill>
            </x14:dxf>
          </x14:cfRule>
          <xm:sqref>V18:AH18</xm:sqref>
        </x14:conditionalFormatting>
        <x14:conditionalFormatting xmlns:xm="http://schemas.microsoft.com/office/excel/2006/main">
          <x14:cfRule type="expression" priority="4689665" id="{7C70E81C-DDD4-4D75-933A-4F6A39893184}">
            <xm:f>$X$4='Data entry'!$R10</xm:f>
            <x14:dxf>
              <fill>
                <patternFill>
                  <bgColor rgb="FFFFFF00"/>
                </patternFill>
              </fill>
            </x14:dxf>
          </x14:cfRule>
          <xm:sqref>J17:X17</xm:sqref>
        </x14:conditionalFormatting>
        <x14:conditionalFormatting xmlns:xm="http://schemas.microsoft.com/office/excel/2006/main">
          <x14:cfRule type="expression" priority="4689666" id="{561AF073-0EF8-4B72-A119-40A639C4359D}">
            <xm:f>$Y$4='Data entry'!$R10</xm:f>
            <x14:dxf>
              <fill>
                <patternFill>
                  <bgColor rgb="FFFF0000"/>
                </patternFill>
              </fill>
            </x14:dxf>
          </x14:cfRule>
          <xm:sqref>W18:AI18</xm:sqref>
        </x14:conditionalFormatting>
        <x14:conditionalFormatting xmlns:xm="http://schemas.microsoft.com/office/excel/2006/main">
          <x14:cfRule type="expression" priority="4689667" id="{F242E808-8F07-4A89-9524-7D4C767CE357}">
            <xm:f>$Y$4='Data entry'!$R10</xm:f>
            <x14:dxf>
              <fill>
                <patternFill>
                  <bgColor rgb="FFFFFF00"/>
                </patternFill>
              </fill>
            </x14:dxf>
          </x14:cfRule>
          <xm:sqref>K17:Y17</xm:sqref>
        </x14:conditionalFormatting>
        <x14:conditionalFormatting xmlns:xm="http://schemas.microsoft.com/office/excel/2006/main">
          <x14:cfRule type="expression" priority="4689668" id="{DD601058-982B-4218-BD9D-64BB823C2633}">
            <xm:f>$Z$4='Data entry'!$R10</xm:f>
            <x14:dxf>
              <fill>
                <patternFill>
                  <bgColor rgb="FFFF0000"/>
                </patternFill>
              </fill>
            </x14:dxf>
          </x14:cfRule>
          <xm:sqref>X18:AJ18</xm:sqref>
        </x14:conditionalFormatting>
        <x14:conditionalFormatting xmlns:xm="http://schemas.microsoft.com/office/excel/2006/main">
          <x14:cfRule type="expression" priority="4689669" id="{C9DB141D-79F6-4093-92A3-7BF7A1622985}">
            <xm:f>$Z$4='Data entry'!$R10</xm:f>
            <x14:dxf>
              <fill>
                <patternFill>
                  <bgColor rgb="FFFFFF00"/>
                </patternFill>
              </fill>
            </x14:dxf>
          </x14:cfRule>
          <xm:sqref>L17:Z17</xm:sqref>
        </x14:conditionalFormatting>
        <x14:conditionalFormatting xmlns:xm="http://schemas.microsoft.com/office/excel/2006/main">
          <x14:cfRule type="expression" priority="4689670" id="{710EB8D3-F5C0-4E3C-8214-2D0C4E26F649}">
            <xm:f>$AA$4='Data entry'!$R10</xm:f>
            <x14:dxf>
              <fill>
                <patternFill>
                  <bgColor rgb="FFFF0000"/>
                </patternFill>
              </fill>
            </x14:dxf>
          </x14:cfRule>
          <xm:sqref>Y18:AK18</xm:sqref>
        </x14:conditionalFormatting>
        <x14:conditionalFormatting xmlns:xm="http://schemas.microsoft.com/office/excel/2006/main">
          <x14:cfRule type="expression" priority="4689671" id="{33825D69-C967-4D27-B395-5D44A3083802}">
            <xm:f>$AA$4='Data entry'!$R10</xm:f>
            <x14:dxf>
              <fill>
                <patternFill>
                  <bgColor rgb="FFFFFF00"/>
                </patternFill>
              </fill>
            </x14:dxf>
          </x14:cfRule>
          <xm:sqref>M17:AA17</xm:sqref>
        </x14:conditionalFormatting>
        <x14:conditionalFormatting xmlns:xm="http://schemas.microsoft.com/office/excel/2006/main">
          <x14:cfRule type="expression" priority="4689672" id="{9811A97D-351B-4D32-8754-AF433277E62B}">
            <xm:f>$AB$4='Data entry'!$R10</xm:f>
            <x14:dxf>
              <fill>
                <patternFill>
                  <bgColor rgb="FFFF0000"/>
                </patternFill>
              </fill>
            </x14:dxf>
          </x14:cfRule>
          <xm:sqref>Z18:AL18</xm:sqref>
        </x14:conditionalFormatting>
        <x14:conditionalFormatting xmlns:xm="http://schemas.microsoft.com/office/excel/2006/main">
          <x14:cfRule type="expression" priority="4689673" id="{6DD3E556-C72E-438B-92DA-3096ED1E4178}">
            <xm:f>$AB$4='Data entry'!$R10</xm:f>
            <x14:dxf>
              <fill>
                <patternFill>
                  <bgColor rgb="FFFFFF00"/>
                </patternFill>
              </fill>
            </x14:dxf>
          </x14:cfRule>
          <xm:sqref>N17:AB17</xm:sqref>
        </x14:conditionalFormatting>
        <x14:conditionalFormatting xmlns:xm="http://schemas.microsoft.com/office/excel/2006/main">
          <x14:cfRule type="expression" priority="4689674" id="{C0DF7A1B-D6BC-4371-BD3A-F0708147FA1C}">
            <xm:f>$AC$4='Data entry'!$R10</xm:f>
            <x14:dxf>
              <fill>
                <patternFill>
                  <bgColor rgb="FFFF0000"/>
                </patternFill>
              </fill>
            </x14:dxf>
          </x14:cfRule>
          <xm:sqref>AA18:AM18</xm:sqref>
        </x14:conditionalFormatting>
        <x14:conditionalFormatting xmlns:xm="http://schemas.microsoft.com/office/excel/2006/main">
          <x14:cfRule type="expression" priority="4689675" id="{DB2E1F48-AF0E-41F9-A976-6B1963CA5711}">
            <xm:f>$AC$4='Data entry'!$R10</xm:f>
            <x14:dxf>
              <fill>
                <patternFill>
                  <bgColor rgb="FFFFFF00"/>
                </patternFill>
              </fill>
            </x14:dxf>
          </x14:cfRule>
          <xm:sqref>O17:AC17</xm:sqref>
        </x14:conditionalFormatting>
        <x14:conditionalFormatting xmlns:xm="http://schemas.microsoft.com/office/excel/2006/main">
          <x14:cfRule type="expression" priority="4689676" id="{89909907-F9A9-4AF9-BC1D-304710A43F50}">
            <xm:f>$AD$4='Data entry'!$R10</xm:f>
            <x14:dxf>
              <fill>
                <patternFill>
                  <bgColor rgb="FFFF0000"/>
                </patternFill>
              </fill>
            </x14:dxf>
          </x14:cfRule>
          <xm:sqref>AB18:AN18</xm:sqref>
        </x14:conditionalFormatting>
        <x14:conditionalFormatting xmlns:xm="http://schemas.microsoft.com/office/excel/2006/main">
          <x14:cfRule type="expression" priority="4689677" id="{729676B7-E331-43A4-ACC9-850DCEE76A0E}">
            <xm:f>$AD$4='Data entry'!$R10</xm:f>
            <x14:dxf>
              <fill>
                <patternFill>
                  <bgColor rgb="FFFFFF00"/>
                </patternFill>
              </fill>
            </x14:dxf>
          </x14:cfRule>
          <xm:sqref>P17:AD17</xm:sqref>
        </x14:conditionalFormatting>
        <x14:conditionalFormatting xmlns:xm="http://schemas.microsoft.com/office/excel/2006/main">
          <x14:cfRule type="expression" priority="4689678" id="{00DA2C55-350E-44AA-ABEA-808FABFDA737}">
            <xm:f>$AE$4='Data entry'!$R10</xm:f>
            <x14:dxf>
              <fill>
                <patternFill>
                  <bgColor rgb="FFFF0000"/>
                </patternFill>
              </fill>
            </x14:dxf>
          </x14:cfRule>
          <xm:sqref>AC18:AO18</xm:sqref>
        </x14:conditionalFormatting>
        <x14:conditionalFormatting xmlns:xm="http://schemas.microsoft.com/office/excel/2006/main">
          <x14:cfRule type="expression" priority="4689679" id="{373C95F1-00C1-45E9-B561-5224945BA4A4}">
            <xm:f>$AE$4='Data entry'!$R10</xm:f>
            <x14:dxf>
              <fill>
                <patternFill>
                  <bgColor rgb="FFFFFF00"/>
                </patternFill>
              </fill>
            </x14:dxf>
          </x14:cfRule>
          <xm:sqref>Q17:AE17</xm:sqref>
        </x14:conditionalFormatting>
        <x14:conditionalFormatting xmlns:xm="http://schemas.microsoft.com/office/excel/2006/main">
          <x14:cfRule type="expression" priority="4689680" id="{65E90E74-6BEF-4B00-BD5E-ECACFEBC225A}">
            <xm:f>$AF$4='Data entry'!$R10</xm:f>
            <x14:dxf>
              <fill>
                <patternFill>
                  <bgColor rgb="FFFF0000"/>
                </patternFill>
              </fill>
            </x14:dxf>
          </x14:cfRule>
          <xm:sqref>AD18:AP18</xm:sqref>
        </x14:conditionalFormatting>
        <x14:conditionalFormatting xmlns:xm="http://schemas.microsoft.com/office/excel/2006/main">
          <x14:cfRule type="expression" priority="4689681" id="{56B519D7-E083-4811-B42B-D6CB10D44BB3}">
            <xm:f>$AF$4='Data entry'!$R10</xm:f>
            <x14:dxf>
              <fill>
                <patternFill>
                  <bgColor rgb="FFFFFF00"/>
                </patternFill>
              </fill>
            </x14:dxf>
          </x14:cfRule>
          <xm:sqref>R17:AF17</xm:sqref>
        </x14:conditionalFormatting>
        <x14:conditionalFormatting xmlns:xm="http://schemas.microsoft.com/office/excel/2006/main">
          <x14:cfRule type="expression" priority="4689682" id="{889682B6-BF9B-414B-86B7-1C802156B058}">
            <xm:f>$AG$4='Data entry'!$R10</xm:f>
            <x14:dxf>
              <fill>
                <patternFill>
                  <bgColor rgb="FFFF0000"/>
                </patternFill>
              </fill>
            </x14:dxf>
          </x14:cfRule>
          <xm:sqref>AE18:AQ18</xm:sqref>
        </x14:conditionalFormatting>
        <x14:conditionalFormatting xmlns:xm="http://schemas.microsoft.com/office/excel/2006/main">
          <x14:cfRule type="expression" priority="4689683" id="{19913D88-1940-4CB0-B29C-D46D60833BD5}">
            <xm:f>$AG$4='Data entry'!$R10</xm:f>
            <x14:dxf>
              <fill>
                <patternFill>
                  <bgColor rgb="FFFFFF00"/>
                </patternFill>
              </fill>
            </x14:dxf>
          </x14:cfRule>
          <xm:sqref>S17:AG17</xm:sqref>
        </x14:conditionalFormatting>
        <x14:conditionalFormatting xmlns:xm="http://schemas.microsoft.com/office/excel/2006/main">
          <x14:cfRule type="expression" priority="4689684" id="{3DD7B9A5-18A3-463F-BAD5-9796FC487328}">
            <xm:f>$AH$4='Data entry'!$R10</xm:f>
            <x14:dxf>
              <fill>
                <patternFill>
                  <bgColor rgb="FFFF0000"/>
                </patternFill>
              </fill>
            </x14:dxf>
          </x14:cfRule>
          <xm:sqref>AF18:AR18</xm:sqref>
        </x14:conditionalFormatting>
        <x14:conditionalFormatting xmlns:xm="http://schemas.microsoft.com/office/excel/2006/main">
          <x14:cfRule type="expression" priority="4689685" id="{31005CF4-5608-496E-91EB-F7F505046C80}">
            <xm:f>$AH$4='Data entry'!$R10</xm:f>
            <x14:dxf>
              <fill>
                <patternFill>
                  <bgColor rgb="FFFFFF00"/>
                </patternFill>
              </fill>
            </x14:dxf>
          </x14:cfRule>
          <xm:sqref>T17:AH17</xm:sqref>
        </x14:conditionalFormatting>
        <x14:conditionalFormatting xmlns:xm="http://schemas.microsoft.com/office/excel/2006/main">
          <x14:cfRule type="expression" priority="4689686" id="{CD14F654-5B7A-444F-8FC1-7DD71E76E475}">
            <xm:f>$AI$4='Data entry'!$R10</xm:f>
            <x14:dxf>
              <fill>
                <patternFill>
                  <bgColor rgb="FFFF0000"/>
                </patternFill>
              </fill>
            </x14:dxf>
          </x14:cfRule>
          <xm:sqref>AG18:AS18</xm:sqref>
        </x14:conditionalFormatting>
        <x14:conditionalFormatting xmlns:xm="http://schemas.microsoft.com/office/excel/2006/main">
          <x14:cfRule type="expression" priority="4689687" id="{0E4E448C-6C46-4285-B877-A61A90294385}">
            <xm:f>$AI$4='Data entry'!$R10</xm:f>
            <x14:dxf>
              <fill>
                <patternFill>
                  <bgColor rgb="FFFFFF00"/>
                </patternFill>
              </fill>
            </x14:dxf>
          </x14:cfRule>
          <xm:sqref>U17:AI17</xm:sqref>
        </x14:conditionalFormatting>
        <x14:conditionalFormatting xmlns:xm="http://schemas.microsoft.com/office/excel/2006/main">
          <x14:cfRule type="expression" priority="4689688" id="{B1C1818F-791C-403D-BE73-6F6E9DC6A16D}">
            <xm:f>$AJ$4='Data entry'!$R10</xm:f>
            <x14:dxf>
              <fill>
                <patternFill>
                  <bgColor rgb="FFFF0000"/>
                </patternFill>
              </fill>
            </x14:dxf>
          </x14:cfRule>
          <xm:sqref>AH18:AT18</xm:sqref>
        </x14:conditionalFormatting>
        <x14:conditionalFormatting xmlns:xm="http://schemas.microsoft.com/office/excel/2006/main">
          <x14:cfRule type="expression" priority="4689689" id="{A1237792-221B-431B-B8A7-E9A64DA46D93}">
            <xm:f>$AJ$4='Data entry'!$R10</xm:f>
            <x14:dxf>
              <fill>
                <patternFill>
                  <bgColor rgb="FFFFFF00"/>
                </patternFill>
              </fill>
            </x14:dxf>
          </x14:cfRule>
          <xm:sqref>V17:AJ17</xm:sqref>
        </x14:conditionalFormatting>
        <x14:conditionalFormatting xmlns:xm="http://schemas.microsoft.com/office/excel/2006/main">
          <x14:cfRule type="expression" priority="4689690" id="{617DC2AF-C7A3-4724-8EA3-17DEFEDC8949}">
            <xm:f>$AK$4='Data entry'!$R10</xm:f>
            <x14:dxf>
              <fill>
                <patternFill>
                  <bgColor rgb="FFFF0000"/>
                </patternFill>
              </fill>
            </x14:dxf>
          </x14:cfRule>
          <xm:sqref>AI18:AU18</xm:sqref>
        </x14:conditionalFormatting>
        <x14:conditionalFormatting xmlns:xm="http://schemas.microsoft.com/office/excel/2006/main">
          <x14:cfRule type="expression" priority="4689691" id="{AA72317D-37B1-48EB-A28B-BF2AC8DC4519}">
            <xm:f>$AK$4='Data entry'!$R10</xm:f>
            <x14:dxf>
              <fill>
                <patternFill>
                  <bgColor rgb="FFFFFF00"/>
                </patternFill>
              </fill>
            </x14:dxf>
          </x14:cfRule>
          <xm:sqref>W17:AK17</xm:sqref>
        </x14:conditionalFormatting>
        <x14:conditionalFormatting xmlns:xm="http://schemas.microsoft.com/office/excel/2006/main">
          <x14:cfRule type="expression" priority="4689692" id="{6CA9FB7A-20EA-4D3A-B74C-A001F4BE810D}">
            <xm:f>$AL$4='Data entry'!$R10</xm:f>
            <x14:dxf>
              <fill>
                <patternFill>
                  <bgColor rgb="FFFF0000"/>
                </patternFill>
              </fill>
            </x14:dxf>
          </x14:cfRule>
          <xm:sqref>AJ18:AV18</xm:sqref>
        </x14:conditionalFormatting>
        <x14:conditionalFormatting xmlns:xm="http://schemas.microsoft.com/office/excel/2006/main">
          <x14:cfRule type="expression" priority="4689693" id="{81A75DAA-573F-4EF3-A640-1B992C18BEA0}">
            <xm:f>$AL$4='Data entry'!$R10</xm:f>
            <x14:dxf>
              <fill>
                <patternFill>
                  <bgColor rgb="FFFFFF00"/>
                </patternFill>
              </fill>
            </x14:dxf>
          </x14:cfRule>
          <xm:sqref>X17:AL17</xm:sqref>
        </x14:conditionalFormatting>
        <x14:conditionalFormatting xmlns:xm="http://schemas.microsoft.com/office/excel/2006/main">
          <x14:cfRule type="expression" priority="4689694" id="{3D44713E-4ABA-4CCD-9DF4-5513A9FB5E1E}">
            <xm:f>$AM$4='Data entry'!$R10</xm:f>
            <x14:dxf>
              <fill>
                <patternFill>
                  <bgColor rgb="FFFF0000"/>
                </patternFill>
              </fill>
            </x14:dxf>
          </x14:cfRule>
          <xm:sqref>AK18:AW18</xm:sqref>
        </x14:conditionalFormatting>
        <x14:conditionalFormatting xmlns:xm="http://schemas.microsoft.com/office/excel/2006/main">
          <x14:cfRule type="expression" priority="4689695" id="{05A26B51-72A7-4423-822F-2BDBC28275D0}">
            <xm:f>$AM$4='Data entry'!$R10</xm:f>
            <x14:dxf>
              <fill>
                <patternFill>
                  <bgColor rgb="FFFFFF00"/>
                </patternFill>
              </fill>
            </x14:dxf>
          </x14:cfRule>
          <xm:sqref>Y17:AM17</xm:sqref>
        </x14:conditionalFormatting>
        <x14:conditionalFormatting xmlns:xm="http://schemas.microsoft.com/office/excel/2006/main">
          <x14:cfRule type="expression" priority="4689696" id="{B8A20675-6230-4694-A7F6-6B3DC7142773}">
            <xm:f>$AN$4='Data entry'!$R10</xm:f>
            <x14:dxf>
              <fill>
                <patternFill>
                  <bgColor rgb="FFFF0000"/>
                </patternFill>
              </fill>
            </x14:dxf>
          </x14:cfRule>
          <xm:sqref>AL18:AX18</xm:sqref>
        </x14:conditionalFormatting>
        <x14:conditionalFormatting xmlns:xm="http://schemas.microsoft.com/office/excel/2006/main">
          <x14:cfRule type="expression" priority="4689697" id="{8421181C-7450-42E9-BC1D-065CCFCA960E}">
            <xm:f>$AN$4='Data entry'!$R10</xm:f>
            <x14:dxf>
              <fill>
                <patternFill>
                  <bgColor rgb="FFFFFF00"/>
                </patternFill>
              </fill>
            </x14:dxf>
          </x14:cfRule>
          <xm:sqref>Z17:AN17</xm:sqref>
        </x14:conditionalFormatting>
        <x14:conditionalFormatting xmlns:xm="http://schemas.microsoft.com/office/excel/2006/main">
          <x14:cfRule type="expression" priority="4689698" id="{067FE4BD-6EF4-4684-B6E0-35AB2F267EE7}">
            <xm:f>$AO$4='Data entry'!$R10</xm:f>
            <x14:dxf>
              <fill>
                <patternFill>
                  <bgColor rgb="FFFF0000"/>
                </patternFill>
              </fill>
            </x14:dxf>
          </x14:cfRule>
          <xm:sqref>AM18:AY18</xm:sqref>
        </x14:conditionalFormatting>
        <x14:conditionalFormatting xmlns:xm="http://schemas.microsoft.com/office/excel/2006/main">
          <x14:cfRule type="expression" priority="4689699" id="{F7653492-88D1-47AC-8BA3-0CCE65C3C2AB}">
            <xm:f>$AO$4='Data entry'!$R10</xm:f>
            <x14:dxf>
              <fill>
                <patternFill>
                  <bgColor rgb="FFFFFF00"/>
                </patternFill>
              </fill>
            </x14:dxf>
          </x14:cfRule>
          <xm:sqref>AA17:AO17</xm:sqref>
        </x14:conditionalFormatting>
        <x14:conditionalFormatting xmlns:xm="http://schemas.microsoft.com/office/excel/2006/main">
          <x14:cfRule type="expression" priority="4689700" id="{207A5E5D-B322-482E-9193-1D7318138358}">
            <xm:f>$AP$4='Data entry'!$R10</xm:f>
            <x14:dxf>
              <fill>
                <patternFill>
                  <bgColor rgb="FFFF0000"/>
                </patternFill>
              </fill>
            </x14:dxf>
          </x14:cfRule>
          <xm:sqref>AN18:AZ18</xm:sqref>
        </x14:conditionalFormatting>
        <x14:conditionalFormatting xmlns:xm="http://schemas.microsoft.com/office/excel/2006/main">
          <x14:cfRule type="expression" priority="4689701" id="{21DA638D-4CA0-4067-BFF1-240CE1A0261B}">
            <xm:f>$AP$4='Data entry'!$R10</xm:f>
            <x14:dxf>
              <fill>
                <patternFill>
                  <bgColor rgb="FFFFFF00"/>
                </patternFill>
              </fill>
            </x14:dxf>
          </x14:cfRule>
          <xm:sqref>AB17:AP17</xm:sqref>
        </x14:conditionalFormatting>
        <x14:conditionalFormatting xmlns:xm="http://schemas.microsoft.com/office/excel/2006/main">
          <x14:cfRule type="expression" priority="4689702" id="{71963D96-A42A-4B90-BFC7-6D83D37766EF}">
            <xm:f>$AQ$4='Data entry'!$R10</xm:f>
            <x14:dxf>
              <fill>
                <patternFill>
                  <bgColor rgb="FFFF0000"/>
                </patternFill>
              </fill>
            </x14:dxf>
          </x14:cfRule>
          <xm:sqref>AO18:BA18</xm:sqref>
        </x14:conditionalFormatting>
        <x14:conditionalFormatting xmlns:xm="http://schemas.microsoft.com/office/excel/2006/main">
          <x14:cfRule type="expression" priority="4689703" id="{74952595-84B6-484F-8FF6-FCC1F337DF4D}">
            <xm:f>$AQ$4='Data entry'!$R10</xm:f>
            <x14:dxf>
              <fill>
                <patternFill>
                  <bgColor rgb="FFFFFF00"/>
                </patternFill>
              </fill>
            </x14:dxf>
          </x14:cfRule>
          <xm:sqref>AC17:AQ17</xm:sqref>
        </x14:conditionalFormatting>
        <x14:conditionalFormatting xmlns:xm="http://schemas.microsoft.com/office/excel/2006/main">
          <x14:cfRule type="expression" priority="4689704" id="{8AC9C4B9-0A34-4BC0-B0F7-CA89434C4911}">
            <xm:f>$P$4='Data entry'!$R10</xm:f>
            <x14:dxf>
              <fill>
                <patternFill>
                  <bgColor rgb="FFFFFF00"/>
                </patternFill>
              </fill>
            </x14:dxf>
          </x14:cfRule>
          <xm:sqref>C17:P17</xm:sqref>
        </x14:conditionalFormatting>
        <x14:conditionalFormatting xmlns:xm="http://schemas.microsoft.com/office/excel/2006/main">
          <x14:cfRule type="expression" priority="4689705" id="{0A726775-ABFD-4F22-967C-1A4D87BA3751}">
            <xm:f>$Q$4='Data entry'!$R10</xm:f>
            <x14:dxf>
              <fill>
                <patternFill>
                  <bgColor rgb="FFFFFF00"/>
                </patternFill>
              </fill>
            </x14:dxf>
          </x14:cfRule>
          <xm:sqref>C17:Q17</xm:sqref>
        </x14:conditionalFormatting>
        <x14:conditionalFormatting xmlns:xm="http://schemas.microsoft.com/office/excel/2006/main">
          <x14:cfRule type="expression" priority="4689706" id="{3A8414BD-262C-43B5-86EE-FA6901D00453}">
            <xm:f>$Q$4='Data entry'!$R10</xm:f>
            <x14:dxf>
              <fill>
                <patternFill>
                  <bgColor rgb="FFFF0000"/>
                </patternFill>
              </fill>
            </x14:dxf>
          </x14:cfRule>
          <xm:sqref>O18:AA18</xm:sqref>
        </x14:conditionalFormatting>
        <x14:conditionalFormatting xmlns:xm="http://schemas.microsoft.com/office/excel/2006/main">
          <x14:cfRule type="expression" priority="4689707" id="{B8B5501D-F3EF-4449-9306-F652960C65F4}">
            <xm:f>$R$4='Data entry'!$R10</xm:f>
            <x14:dxf>
              <fill>
                <patternFill>
                  <bgColor rgb="FFFF0000"/>
                </patternFill>
              </fill>
            </x14:dxf>
          </x14:cfRule>
          <xm:sqref>P18:AB18</xm:sqref>
        </x14:conditionalFormatting>
        <x14:conditionalFormatting xmlns:xm="http://schemas.microsoft.com/office/excel/2006/main">
          <x14:cfRule type="expression" priority="4689708" id="{5D070DEC-B82E-4D87-B907-A3E5AB836991}">
            <xm:f>$R$4='Data entry'!$R10</xm:f>
            <x14:dxf>
              <fill>
                <patternFill>
                  <bgColor rgb="FFFFFF00"/>
                </patternFill>
              </fill>
            </x14:dxf>
          </x14:cfRule>
          <xm:sqref>D17:R17</xm:sqref>
        </x14:conditionalFormatting>
        <x14:conditionalFormatting xmlns:xm="http://schemas.microsoft.com/office/excel/2006/main">
          <x14:cfRule type="expression" priority="4689709" id="{E4D16A10-F818-4664-9FB2-F0E839824D4B}">
            <xm:f>$S$4='Data entry'!$R10</xm:f>
            <x14:dxf>
              <fill>
                <patternFill>
                  <bgColor rgb="FFFF0000"/>
                </patternFill>
              </fill>
            </x14:dxf>
          </x14:cfRule>
          <xm:sqref>Q18:AC18</xm:sqref>
        </x14:conditionalFormatting>
        <x14:conditionalFormatting xmlns:xm="http://schemas.microsoft.com/office/excel/2006/main">
          <x14:cfRule type="expression" priority="4689710" id="{1A9F9911-A3E9-4730-AFBE-AB8C596545CA}">
            <xm:f>$S$4='Data entry'!$R10</xm:f>
            <x14:dxf>
              <fill>
                <patternFill>
                  <bgColor rgb="FFFFFF00"/>
                </patternFill>
              </fill>
            </x14:dxf>
          </x14:cfRule>
          <xm:sqref>E17:S17</xm:sqref>
        </x14:conditionalFormatting>
        <x14:conditionalFormatting xmlns:xm="http://schemas.microsoft.com/office/excel/2006/main">
          <x14:cfRule type="expression" priority="4689711" id="{8BB5CD1B-B2AC-442A-9550-26DE19A62D22}">
            <xm:f>$T$4='Data entry'!$R10</xm:f>
            <x14:dxf>
              <fill>
                <patternFill>
                  <bgColor rgb="FFFF0000"/>
                </patternFill>
              </fill>
            </x14:dxf>
          </x14:cfRule>
          <xm:sqref>R18:AD18</xm:sqref>
        </x14:conditionalFormatting>
        <x14:conditionalFormatting xmlns:xm="http://schemas.microsoft.com/office/excel/2006/main">
          <x14:cfRule type="expression" priority="4689712" id="{E7B59C69-7921-4049-84A1-8B3E5F7B0598}">
            <xm:f>$T$4='Data entry'!$R10</xm:f>
            <x14:dxf>
              <fill>
                <patternFill>
                  <bgColor rgb="FFFFFF00"/>
                </patternFill>
              </fill>
            </x14:dxf>
          </x14:cfRule>
          <xm:sqref>F17:T17</xm:sqref>
        </x14:conditionalFormatting>
        <x14:conditionalFormatting xmlns:xm="http://schemas.microsoft.com/office/excel/2006/main">
          <x14:cfRule type="expression" priority="4689713" id="{238C09E5-7A3D-439D-949F-A7733073F9A2}">
            <xm:f>$U$4='Data entry'!$R10</xm:f>
            <x14:dxf>
              <fill>
                <patternFill>
                  <bgColor rgb="FFFFFF00"/>
                </patternFill>
              </fill>
            </x14:dxf>
          </x14:cfRule>
          <xm:sqref>G17:U17</xm:sqref>
        </x14:conditionalFormatting>
        <x14:conditionalFormatting xmlns:xm="http://schemas.microsoft.com/office/excel/2006/main">
          <x14:cfRule type="expression" priority="4689714" id="{DE4D4432-0A19-452A-AF14-2873FE4DF411}">
            <xm:f>$AR$4='Data entry'!$R10</xm:f>
            <x14:dxf>
              <fill>
                <patternFill>
                  <bgColor rgb="FFFF0000"/>
                </patternFill>
              </fill>
            </x14:dxf>
          </x14:cfRule>
          <xm:sqref>AP18:BB18</xm:sqref>
        </x14:conditionalFormatting>
        <x14:conditionalFormatting xmlns:xm="http://schemas.microsoft.com/office/excel/2006/main">
          <x14:cfRule type="expression" priority="4689715" id="{90D7E1FF-542D-40C8-9BD5-DFEB4CDD256F}">
            <xm:f>$AR$4='Data entry'!$R10</xm:f>
            <x14:dxf>
              <fill>
                <patternFill>
                  <bgColor rgb="FFFFFF00"/>
                </patternFill>
              </fill>
            </x14:dxf>
          </x14:cfRule>
          <xm:sqref>AD17:AR17</xm:sqref>
        </x14:conditionalFormatting>
        <x14:conditionalFormatting xmlns:xm="http://schemas.microsoft.com/office/excel/2006/main">
          <x14:cfRule type="expression" priority="4689716" id="{0EBB5305-4A4A-4205-A1FF-11160070CBC3}">
            <xm:f>$AS$4='Data entry'!$R10</xm:f>
            <x14:dxf>
              <fill>
                <patternFill>
                  <bgColor rgb="FFFF0000"/>
                </patternFill>
              </fill>
            </x14:dxf>
          </x14:cfRule>
          <xm:sqref>AQ18:BC18</xm:sqref>
        </x14:conditionalFormatting>
        <x14:conditionalFormatting xmlns:xm="http://schemas.microsoft.com/office/excel/2006/main">
          <x14:cfRule type="expression" priority="4689717" id="{AC8EB30C-4253-4CE1-820E-1801F6D8D35B}">
            <xm:f>$AS$4='Data entry'!$R10</xm:f>
            <x14:dxf>
              <fill>
                <patternFill>
                  <bgColor rgb="FFFFFF00"/>
                </patternFill>
              </fill>
            </x14:dxf>
          </x14:cfRule>
          <xm:sqref>AE17:AS17</xm:sqref>
        </x14:conditionalFormatting>
        <x14:conditionalFormatting xmlns:xm="http://schemas.microsoft.com/office/excel/2006/main">
          <x14:cfRule type="expression" priority="4689718" id="{E11744C1-7201-4272-A1B0-945490B42425}">
            <xm:f>$AT$4='Data entry'!$R10</xm:f>
            <x14:dxf>
              <fill>
                <patternFill>
                  <bgColor rgb="FFFF0000"/>
                </patternFill>
              </fill>
            </x14:dxf>
          </x14:cfRule>
          <xm:sqref>AR18:BD18</xm:sqref>
        </x14:conditionalFormatting>
        <x14:conditionalFormatting xmlns:xm="http://schemas.microsoft.com/office/excel/2006/main">
          <x14:cfRule type="expression" priority="4689719" id="{5EE2823B-E955-4EA7-B99C-0B1F77B57A69}">
            <xm:f>$AT$4='Data entry'!$R10</xm:f>
            <x14:dxf>
              <fill>
                <patternFill>
                  <bgColor rgb="FFFFFF00"/>
                </patternFill>
              </fill>
            </x14:dxf>
          </x14:cfRule>
          <xm:sqref>AF17:AT17</xm:sqref>
        </x14:conditionalFormatting>
        <x14:conditionalFormatting xmlns:xm="http://schemas.microsoft.com/office/excel/2006/main">
          <x14:cfRule type="expression" priority="4689720" id="{5737DC63-3262-4B34-900C-2AAEB255FCBA}">
            <xm:f>$AU$4='Data entry'!$R10</xm:f>
            <x14:dxf>
              <fill>
                <patternFill>
                  <bgColor rgb="FFFF0000"/>
                </patternFill>
              </fill>
            </x14:dxf>
          </x14:cfRule>
          <xm:sqref>AS18:BE18</xm:sqref>
        </x14:conditionalFormatting>
        <x14:conditionalFormatting xmlns:xm="http://schemas.microsoft.com/office/excel/2006/main">
          <x14:cfRule type="expression" priority="4689721" id="{2B5C1F1B-3C3D-4CA3-BC64-0E98422075B6}">
            <xm:f>$AU$4='Data entry'!$R10</xm:f>
            <x14:dxf>
              <fill>
                <patternFill>
                  <bgColor rgb="FFFFFF00"/>
                </patternFill>
              </fill>
            </x14:dxf>
          </x14:cfRule>
          <xm:sqref>AG17:AU17</xm:sqref>
        </x14:conditionalFormatting>
        <x14:conditionalFormatting xmlns:xm="http://schemas.microsoft.com/office/excel/2006/main">
          <x14:cfRule type="expression" priority="4689722" id="{B87A1285-B003-4855-8F4B-53C391BA10E6}">
            <xm:f>$AV$4='Data entry'!$R10</xm:f>
            <x14:dxf>
              <fill>
                <patternFill>
                  <bgColor rgb="FFFF0000"/>
                </patternFill>
              </fill>
            </x14:dxf>
          </x14:cfRule>
          <xm:sqref>AT18:BF18</xm:sqref>
        </x14:conditionalFormatting>
        <x14:conditionalFormatting xmlns:xm="http://schemas.microsoft.com/office/excel/2006/main">
          <x14:cfRule type="expression" priority="4689723" id="{338EE31C-78DB-4818-B837-0380F9E457FA}">
            <xm:f>$AV$4='Data entry'!$R10</xm:f>
            <x14:dxf>
              <fill>
                <patternFill>
                  <bgColor rgb="FFFFFF00"/>
                </patternFill>
              </fill>
            </x14:dxf>
          </x14:cfRule>
          <xm:sqref>AH17:AV17</xm:sqref>
        </x14:conditionalFormatting>
        <x14:conditionalFormatting xmlns:xm="http://schemas.microsoft.com/office/excel/2006/main">
          <x14:cfRule type="expression" priority="4689724" id="{5C40EA66-2801-4C91-B885-BF6A1ECFC35C}">
            <xm:f>$AW$4='Data entry'!$R10</xm:f>
            <x14:dxf>
              <fill>
                <patternFill>
                  <bgColor rgb="FFFF0000"/>
                </patternFill>
              </fill>
            </x14:dxf>
          </x14:cfRule>
          <xm:sqref>AU18:BG18</xm:sqref>
        </x14:conditionalFormatting>
        <x14:conditionalFormatting xmlns:xm="http://schemas.microsoft.com/office/excel/2006/main">
          <x14:cfRule type="expression" priority="4689725" id="{51BCD5CE-DF86-4C2F-8A81-DDA1EFD6C8F7}">
            <xm:f>$AW$4='Data entry'!$R10</xm:f>
            <x14:dxf>
              <fill>
                <patternFill>
                  <bgColor rgb="FFFFFF00"/>
                </patternFill>
              </fill>
            </x14:dxf>
          </x14:cfRule>
          <xm:sqref>AI17:AW17</xm:sqref>
        </x14:conditionalFormatting>
        <x14:conditionalFormatting xmlns:xm="http://schemas.microsoft.com/office/excel/2006/main">
          <x14:cfRule type="expression" priority="4689726" id="{DC2ED5A0-8917-4877-8CD3-9DF9BE5993C9}">
            <xm:f>$AX$4='Data entry'!$R10</xm:f>
            <x14:dxf>
              <fill>
                <patternFill>
                  <bgColor rgb="FFFF0000"/>
                </patternFill>
              </fill>
            </x14:dxf>
          </x14:cfRule>
          <xm:sqref>AV18:BH18</xm:sqref>
        </x14:conditionalFormatting>
        <x14:conditionalFormatting xmlns:xm="http://schemas.microsoft.com/office/excel/2006/main">
          <x14:cfRule type="expression" priority="4689727" id="{59B31869-20F9-45BD-BC80-0A6C8945CE2C}">
            <xm:f>$AX$4='Data entry'!$R10</xm:f>
            <x14:dxf>
              <fill>
                <patternFill>
                  <bgColor rgb="FFFFFF00"/>
                </patternFill>
              </fill>
            </x14:dxf>
          </x14:cfRule>
          <xm:sqref>AJ17:AX17</xm:sqref>
        </x14:conditionalFormatting>
        <x14:conditionalFormatting xmlns:xm="http://schemas.microsoft.com/office/excel/2006/main">
          <x14:cfRule type="expression" priority="4689728" id="{D4208FA0-4262-4037-934C-6D0742B2AD8E}">
            <xm:f>$AY$4='Data entry'!$R10</xm:f>
            <x14:dxf>
              <fill>
                <patternFill>
                  <bgColor rgb="FFFF0000"/>
                </patternFill>
              </fill>
            </x14:dxf>
          </x14:cfRule>
          <xm:sqref>AW18:BI18</xm:sqref>
        </x14:conditionalFormatting>
        <x14:conditionalFormatting xmlns:xm="http://schemas.microsoft.com/office/excel/2006/main">
          <x14:cfRule type="expression" priority="4689729" id="{04D6E423-18C7-42B2-A67D-F49D8E62B571}">
            <xm:f>$AY$4='Data entry'!$R10</xm:f>
            <x14:dxf>
              <fill>
                <patternFill>
                  <bgColor rgb="FFFFFF00"/>
                </patternFill>
              </fill>
            </x14:dxf>
          </x14:cfRule>
          <xm:sqref>AK17:AY17</xm:sqref>
        </x14:conditionalFormatting>
        <x14:conditionalFormatting xmlns:xm="http://schemas.microsoft.com/office/excel/2006/main">
          <x14:cfRule type="expression" priority="4689730" id="{A931C203-6E4B-4EBD-A2F4-1876881F48D4}">
            <xm:f>$AZ$4='Data entry'!$R10</xm:f>
            <x14:dxf>
              <fill>
                <patternFill>
                  <bgColor rgb="FFFF0000"/>
                </patternFill>
              </fill>
            </x14:dxf>
          </x14:cfRule>
          <xm:sqref>AX18:BJ18</xm:sqref>
        </x14:conditionalFormatting>
        <x14:conditionalFormatting xmlns:xm="http://schemas.microsoft.com/office/excel/2006/main">
          <x14:cfRule type="expression" priority="4689731" id="{092D9100-E652-40FE-8CAA-720DC0681250}">
            <xm:f>$AZ$4='Data entry'!$R10</xm:f>
            <x14:dxf>
              <fill>
                <patternFill>
                  <bgColor rgb="FFFFFF00"/>
                </patternFill>
              </fill>
            </x14:dxf>
          </x14:cfRule>
          <xm:sqref>AL17:AZ17</xm:sqref>
        </x14:conditionalFormatting>
        <x14:conditionalFormatting xmlns:xm="http://schemas.microsoft.com/office/excel/2006/main">
          <x14:cfRule type="expression" priority="4689732" id="{A3C7E6BE-A225-483C-A983-A915DB662C52}">
            <xm:f>$BA$4='Data entry'!$R10</xm:f>
            <x14:dxf>
              <fill>
                <patternFill>
                  <bgColor rgb="FFFF0000"/>
                </patternFill>
              </fill>
            </x14:dxf>
          </x14:cfRule>
          <xm:sqref>AY18:BK18</xm:sqref>
        </x14:conditionalFormatting>
        <x14:conditionalFormatting xmlns:xm="http://schemas.microsoft.com/office/excel/2006/main">
          <x14:cfRule type="expression" priority="4689733" id="{F5CF569A-8AFA-4CFF-8BD3-F04D8927A99F}">
            <xm:f>$BA$4='Data entry'!$R10</xm:f>
            <x14:dxf>
              <fill>
                <patternFill>
                  <bgColor rgb="FFFFFF00"/>
                </patternFill>
              </fill>
            </x14:dxf>
          </x14:cfRule>
          <xm:sqref>AM17:BA17</xm:sqref>
        </x14:conditionalFormatting>
        <x14:conditionalFormatting xmlns:xm="http://schemas.microsoft.com/office/excel/2006/main">
          <x14:cfRule type="expression" priority="4689734" id="{E4DAC94A-7983-4BFB-A87B-45B58561841A}">
            <xm:f>$BB$4='Data entry'!$R10</xm:f>
            <x14:dxf>
              <fill>
                <patternFill>
                  <bgColor rgb="FFFF0000"/>
                </patternFill>
              </fill>
            </x14:dxf>
          </x14:cfRule>
          <xm:sqref>AZ18:BL18</xm:sqref>
        </x14:conditionalFormatting>
        <x14:conditionalFormatting xmlns:xm="http://schemas.microsoft.com/office/excel/2006/main">
          <x14:cfRule type="expression" priority="4689735" id="{E63849C5-F39B-4B0E-8F8A-B532EDF2CBAE}">
            <xm:f>$BB$4='Data entry'!$R10</xm:f>
            <x14:dxf>
              <fill>
                <patternFill>
                  <bgColor rgb="FFFFFF00"/>
                </patternFill>
              </fill>
            </x14:dxf>
          </x14:cfRule>
          <xm:sqref>AN17:BB17</xm:sqref>
        </x14:conditionalFormatting>
        <x14:conditionalFormatting xmlns:xm="http://schemas.microsoft.com/office/excel/2006/main">
          <x14:cfRule type="expression" priority="4689736" id="{4FDC32D3-C1F5-455D-9AA4-A03359B72526}">
            <xm:f>$BC$4='Data entry'!$R10</xm:f>
            <x14:dxf>
              <fill>
                <patternFill>
                  <bgColor rgb="FFFF0000"/>
                </patternFill>
              </fill>
            </x14:dxf>
          </x14:cfRule>
          <xm:sqref>BA18:BM18</xm:sqref>
        </x14:conditionalFormatting>
        <x14:conditionalFormatting xmlns:xm="http://schemas.microsoft.com/office/excel/2006/main">
          <x14:cfRule type="expression" priority="4689737" id="{5F0D0C60-B233-4C56-B05D-98C99990877F}">
            <xm:f>$BC$4='Data entry'!$R10</xm:f>
            <x14:dxf>
              <fill>
                <patternFill>
                  <bgColor rgb="FFFFFF00"/>
                </patternFill>
              </fill>
            </x14:dxf>
          </x14:cfRule>
          <xm:sqref>AO17:BC17</xm:sqref>
        </x14:conditionalFormatting>
        <x14:conditionalFormatting xmlns:xm="http://schemas.microsoft.com/office/excel/2006/main">
          <x14:cfRule type="expression" priority="4689738" id="{9EBCB60F-8135-43B6-A0F3-548D4092CC98}">
            <xm:f>$BD$4='Data entry'!$R10</xm:f>
            <x14:dxf>
              <fill>
                <patternFill>
                  <bgColor rgb="FFFF0000"/>
                </patternFill>
              </fill>
            </x14:dxf>
          </x14:cfRule>
          <xm:sqref>BB18:BN18</xm:sqref>
        </x14:conditionalFormatting>
        <x14:conditionalFormatting xmlns:xm="http://schemas.microsoft.com/office/excel/2006/main">
          <x14:cfRule type="expression" priority="4689739" id="{961AF346-4A73-41ED-9A8D-27D431B09C05}">
            <xm:f>$BD$4='Data entry'!$R10</xm:f>
            <x14:dxf>
              <fill>
                <patternFill>
                  <bgColor rgb="FFFFFF00"/>
                </patternFill>
              </fill>
            </x14:dxf>
          </x14:cfRule>
          <xm:sqref>AP17:BD17</xm:sqref>
        </x14:conditionalFormatting>
        <x14:conditionalFormatting xmlns:xm="http://schemas.microsoft.com/office/excel/2006/main">
          <x14:cfRule type="expression" priority="4689740" id="{5A887026-27CD-4F8C-8BA6-1E92704C1CA6}">
            <xm:f>$BE$4='Data entry'!$R10</xm:f>
            <x14:dxf>
              <fill>
                <patternFill>
                  <bgColor rgb="FFFF0000"/>
                </patternFill>
              </fill>
            </x14:dxf>
          </x14:cfRule>
          <xm:sqref>BC18:BO18</xm:sqref>
        </x14:conditionalFormatting>
        <x14:conditionalFormatting xmlns:xm="http://schemas.microsoft.com/office/excel/2006/main">
          <x14:cfRule type="expression" priority="4689741" id="{7F46217B-A1E9-4515-B31E-E756FCD7C6D9}">
            <xm:f>$BE$4='Data entry'!$R10</xm:f>
            <x14:dxf>
              <fill>
                <patternFill>
                  <bgColor rgb="FFFFFF00"/>
                </patternFill>
              </fill>
            </x14:dxf>
          </x14:cfRule>
          <xm:sqref>AP17:BE17</xm:sqref>
        </x14:conditionalFormatting>
        <x14:conditionalFormatting xmlns:xm="http://schemas.microsoft.com/office/excel/2006/main">
          <x14:cfRule type="expression" priority="4689742" id="{F4D9285C-8CA0-4EF1-943E-6A462D47CC77}">
            <xm:f>$BF$4='Data entry'!$R10</xm:f>
            <x14:dxf>
              <fill>
                <patternFill>
                  <bgColor rgb="FFFF0000"/>
                </patternFill>
              </fill>
            </x14:dxf>
          </x14:cfRule>
          <xm:sqref>BD18:BP18</xm:sqref>
        </x14:conditionalFormatting>
        <x14:conditionalFormatting xmlns:xm="http://schemas.microsoft.com/office/excel/2006/main">
          <x14:cfRule type="expression" priority="4689743" id="{B9E4407D-651D-4DC0-9D61-3271D62A65E9}">
            <xm:f>$BF$4='Data entry'!$R10</xm:f>
            <x14:dxf>
              <fill>
                <patternFill>
                  <bgColor rgb="FFFFFF00"/>
                </patternFill>
              </fill>
            </x14:dxf>
          </x14:cfRule>
          <xm:sqref>AR17:BF17</xm:sqref>
        </x14:conditionalFormatting>
        <x14:conditionalFormatting xmlns:xm="http://schemas.microsoft.com/office/excel/2006/main">
          <x14:cfRule type="expression" priority="4689744" id="{4CDC062F-DDFF-4556-B941-08F919727F69}">
            <xm:f>$BG$4='Data entry'!$R10</xm:f>
            <x14:dxf>
              <fill>
                <patternFill>
                  <bgColor rgb="FFFF0000"/>
                </patternFill>
              </fill>
            </x14:dxf>
          </x14:cfRule>
          <xm:sqref>BE18:BQ18</xm:sqref>
        </x14:conditionalFormatting>
        <x14:conditionalFormatting xmlns:xm="http://schemas.microsoft.com/office/excel/2006/main">
          <x14:cfRule type="expression" priority="4689745" id="{789184FA-9055-433B-8A1B-92C7ED59E81F}">
            <xm:f>$BG$4='Data entry'!$R10</xm:f>
            <x14:dxf>
              <fill>
                <patternFill>
                  <bgColor rgb="FFFFFF00"/>
                </patternFill>
              </fill>
            </x14:dxf>
          </x14:cfRule>
          <xm:sqref>AS17:BG17</xm:sqref>
        </x14:conditionalFormatting>
        <x14:conditionalFormatting xmlns:xm="http://schemas.microsoft.com/office/excel/2006/main">
          <x14:cfRule type="expression" priority="4689746" id="{58651E5C-09C9-46C1-B95C-E8A578A49E15}">
            <xm:f>$BH$4='Data entry'!$R10</xm:f>
            <x14:dxf>
              <fill>
                <patternFill>
                  <bgColor rgb="FFFFFF00"/>
                </patternFill>
              </fill>
            </x14:dxf>
          </x14:cfRule>
          <xm:sqref>AT17:BH17</xm:sqref>
        </x14:conditionalFormatting>
        <x14:conditionalFormatting xmlns:xm="http://schemas.microsoft.com/office/excel/2006/main">
          <x14:cfRule type="expression" priority="4689747" id="{97B30B86-8311-4DC0-A533-8C0D53F37839}">
            <xm:f>$BH$4='Data entry'!$R10</xm:f>
            <x14:dxf>
              <fill>
                <patternFill>
                  <bgColor rgb="FFFF0000"/>
                </patternFill>
              </fill>
            </x14:dxf>
          </x14:cfRule>
          <xm:sqref>BF18:BR18</xm:sqref>
        </x14:conditionalFormatting>
        <x14:conditionalFormatting xmlns:xm="http://schemas.microsoft.com/office/excel/2006/main">
          <x14:cfRule type="expression" priority="4689748" id="{78344C0C-5AEA-40B1-A20C-6D77DF58E1F5}">
            <xm:f>$BI$4='Data entry'!$R10</xm:f>
            <x14:dxf>
              <fill>
                <patternFill>
                  <bgColor rgb="FFFFFF00"/>
                </patternFill>
              </fill>
            </x14:dxf>
          </x14:cfRule>
          <xm:sqref>AU17:BI17</xm:sqref>
        </x14:conditionalFormatting>
        <x14:conditionalFormatting xmlns:xm="http://schemas.microsoft.com/office/excel/2006/main">
          <x14:cfRule type="expression" priority="4689749" id="{A9CE044F-482E-4F25-B28F-89ACC58502B1}">
            <xm:f>$BI$4='Data entry'!$R10</xm:f>
            <x14:dxf>
              <fill>
                <patternFill>
                  <bgColor rgb="FFFF0000"/>
                </patternFill>
              </fill>
            </x14:dxf>
          </x14:cfRule>
          <xm:sqref>BG18:BS18</xm:sqref>
        </x14:conditionalFormatting>
        <x14:conditionalFormatting xmlns:xm="http://schemas.microsoft.com/office/excel/2006/main">
          <x14:cfRule type="expression" priority="4689750" id="{F63BE0EB-3C71-4456-BEF0-11180AB7A8BB}">
            <xm:f>$BJ$4='Data entry'!$R10</xm:f>
            <x14:dxf>
              <fill>
                <patternFill>
                  <bgColor rgb="FFFFFF00"/>
                </patternFill>
              </fill>
            </x14:dxf>
          </x14:cfRule>
          <xm:sqref>AV17:BJ17</xm:sqref>
        </x14:conditionalFormatting>
        <x14:conditionalFormatting xmlns:xm="http://schemas.microsoft.com/office/excel/2006/main">
          <x14:cfRule type="expression" priority="4689751" id="{478A5DCB-1DAA-4497-A6CC-B4F01FB96D10}">
            <xm:f>$BJ$4='Data entry'!$R10</xm:f>
            <x14:dxf>
              <fill>
                <patternFill>
                  <bgColor rgb="FFFF0000"/>
                </patternFill>
              </fill>
            </x14:dxf>
          </x14:cfRule>
          <xm:sqref>BH18:BT18</xm:sqref>
        </x14:conditionalFormatting>
        <x14:conditionalFormatting xmlns:xm="http://schemas.microsoft.com/office/excel/2006/main">
          <x14:cfRule type="expression" priority="4689752" id="{CDE4AD5B-65A6-4FA4-9EC0-8D05F22312A9}">
            <xm:f>$BK$4='Data entry'!$R10</xm:f>
            <x14:dxf>
              <fill>
                <patternFill>
                  <bgColor rgb="FFFF0000"/>
                </patternFill>
              </fill>
            </x14:dxf>
          </x14:cfRule>
          <xm:sqref>BI18:BU18</xm:sqref>
        </x14:conditionalFormatting>
        <x14:conditionalFormatting xmlns:xm="http://schemas.microsoft.com/office/excel/2006/main">
          <x14:cfRule type="expression" priority="4689753" id="{AB32E790-6CD8-4D11-9A69-57D785FE4BBC}">
            <xm:f>$BK$4='Data entry'!$R10</xm:f>
            <x14:dxf>
              <fill>
                <patternFill>
                  <bgColor rgb="FFFFFF00"/>
                </patternFill>
              </fill>
            </x14:dxf>
          </x14:cfRule>
          <xm:sqref>AW17:BK17</xm:sqref>
        </x14:conditionalFormatting>
        <x14:conditionalFormatting xmlns:xm="http://schemas.microsoft.com/office/excel/2006/main">
          <x14:cfRule type="expression" priority="4689754" id="{99810EB9-805C-43D8-852A-EEECE7874CDB}">
            <xm:f>$BL$4='Data entry'!$R10</xm:f>
            <x14:dxf>
              <fill>
                <patternFill>
                  <bgColor rgb="FFFF0000"/>
                </patternFill>
              </fill>
            </x14:dxf>
          </x14:cfRule>
          <xm:sqref>BJ18:BV18</xm:sqref>
        </x14:conditionalFormatting>
        <x14:conditionalFormatting xmlns:xm="http://schemas.microsoft.com/office/excel/2006/main">
          <x14:cfRule type="expression" priority="4689755" id="{BF5F5475-4E46-479C-97A6-D5175F5D1803}">
            <xm:f>$BL$4='Data entry'!$R10</xm:f>
            <x14:dxf>
              <fill>
                <patternFill>
                  <bgColor rgb="FFFFFF00"/>
                </patternFill>
              </fill>
            </x14:dxf>
          </x14:cfRule>
          <xm:sqref>AX17:BL17</xm:sqref>
        </x14:conditionalFormatting>
        <x14:conditionalFormatting xmlns:xm="http://schemas.microsoft.com/office/excel/2006/main">
          <x14:cfRule type="expression" priority="4689756" id="{B86FDF2F-16C9-46B1-847E-7EA1A8A34B9D}">
            <xm:f>$BM$4='Data entry'!$R10</xm:f>
            <x14:dxf>
              <fill>
                <patternFill>
                  <bgColor rgb="FFFF0000"/>
                </patternFill>
              </fill>
            </x14:dxf>
          </x14:cfRule>
          <xm:sqref>BK18:BW18</xm:sqref>
        </x14:conditionalFormatting>
        <x14:conditionalFormatting xmlns:xm="http://schemas.microsoft.com/office/excel/2006/main">
          <x14:cfRule type="expression" priority="4689757" id="{72FD189F-4CED-400D-9FEF-21A328970A4D}">
            <xm:f>$BM$4='Data entry'!$R10</xm:f>
            <x14:dxf>
              <fill>
                <patternFill>
                  <bgColor rgb="FFFFFF00"/>
                </patternFill>
              </fill>
            </x14:dxf>
          </x14:cfRule>
          <xm:sqref>AY17:BM17</xm:sqref>
        </x14:conditionalFormatting>
        <x14:conditionalFormatting xmlns:xm="http://schemas.microsoft.com/office/excel/2006/main">
          <x14:cfRule type="expression" priority="4689758" id="{BBBBF859-D5A7-4F55-BFBF-8A77E3357590}">
            <xm:f>$BN$4='Data entry'!$R10</xm:f>
            <x14:dxf>
              <fill>
                <patternFill>
                  <bgColor rgb="FFFF0000"/>
                </patternFill>
              </fill>
            </x14:dxf>
          </x14:cfRule>
          <xm:sqref>BL18:BX18</xm:sqref>
        </x14:conditionalFormatting>
        <x14:conditionalFormatting xmlns:xm="http://schemas.microsoft.com/office/excel/2006/main">
          <x14:cfRule type="expression" priority="4689759" id="{50CB1D75-0FD5-4D24-92B1-E8A41DC6575C}">
            <xm:f>$BN$4='Data entry'!$R10</xm:f>
            <x14:dxf>
              <fill>
                <patternFill>
                  <bgColor rgb="FFFFFF00"/>
                </patternFill>
              </fill>
            </x14:dxf>
          </x14:cfRule>
          <xm:sqref>AZ17:BN17</xm:sqref>
        </x14:conditionalFormatting>
        <x14:conditionalFormatting xmlns:xm="http://schemas.microsoft.com/office/excel/2006/main">
          <x14:cfRule type="expression" priority="4689760" id="{9EF3226D-E8FC-496B-A6FF-71776AEA54D1}">
            <xm:f>$BO$4='Data entry'!$R10</xm:f>
            <x14:dxf>
              <fill>
                <patternFill>
                  <bgColor rgb="FFFF0000"/>
                </patternFill>
              </fill>
            </x14:dxf>
          </x14:cfRule>
          <xm:sqref>BM18:BY18</xm:sqref>
        </x14:conditionalFormatting>
        <x14:conditionalFormatting xmlns:xm="http://schemas.microsoft.com/office/excel/2006/main">
          <x14:cfRule type="expression" priority="4689761" id="{3B86C801-ECFE-4D05-8AA5-1581116BAFBC}">
            <xm:f>$BO$4='Data entry'!$R10</xm:f>
            <x14:dxf>
              <fill>
                <patternFill>
                  <bgColor rgb="FFFFFF00"/>
                </patternFill>
              </fill>
            </x14:dxf>
          </x14:cfRule>
          <xm:sqref>BA17:BO17</xm:sqref>
        </x14:conditionalFormatting>
        <x14:conditionalFormatting xmlns:xm="http://schemas.microsoft.com/office/excel/2006/main">
          <x14:cfRule type="expression" priority="4689762" id="{058A23EC-3371-4A02-9F20-1ECA603AC6BC}">
            <xm:f>$BP$4='Data entry'!$R10</xm:f>
            <x14:dxf>
              <fill>
                <patternFill>
                  <bgColor rgb="FFFF0000"/>
                </patternFill>
              </fill>
            </x14:dxf>
          </x14:cfRule>
          <xm:sqref>BN18:BZ18</xm:sqref>
        </x14:conditionalFormatting>
        <x14:conditionalFormatting xmlns:xm="http://schemas.microsoft.com/office/excel/2006/main">
          <x14:cfRule type="expression" priority="4689763" id="{3E711E31-3992-4555-AB22-87133D60CD15}">
            <xm:f>$BP$4='Data entry'!$R10</xm:f>
            <x14:dxf>
              <fill>
                <patternFill>
                  <bgColor rgb="FFFFFF00"/>
                </patternFill>
              </fill>
            </x14:dxf>
          </x14:cfRule>
          <xm:sqref>BB17:BP17</xm:sqref>
        </x14:conditionalFormatting>
        <x14:conditionalFormatting xmlns:xm="http://schemas.microsoft.com/office/excel/2006/main">
          <x14:cfRule type="expression" priority="4689764" id="{23E9F8B9-37D5-4730-9453-6F23E8ECBBE3}">
            <xm:f>$BQ$4='Data entry'!$R10</xm:f>
            <x14:dxf>
              <fill>
                <patternFill>
                  <bgColor rgb="FFFFFF00"/>
                </patternFill>
              </fill>
            </x14:dxf>
          </x14:cfRule>
          <xm:sqref>BC17:BQ17</xm:sqref>
        </x14:conditionalFormatting>
        <x14:conditionalFormatting xmlns:xm="http://schemas.microsoft.com/office/excel/2006/main">
          <x14:cfRule type="expression" priority="4689765" id="{BCFD92F6-AAD3-44FD-BC61-A292A81B883E}">
            <xm:f>$BQ$4='Data entry'!$R10</xm:f>
            <x14:dxf>
              <fill>
                <patternFill>
                  <bgColor rgb="FFFF0000"/>
                </patternFill>
              </fill>
            </x14:dxf>
          </x14:cfRule>
          <xm:sqref>BO18:CA18</xm:sqref>
        </x14:conditionalFormatting>
        <x14:conditionalFormatting xmlns:xm="http://schemas.microsoft.com/office/excel/2006/main">
          <x14:cfRule type="expression" priority="4689766" id="{357D60E5-F356-477E-8020-A18F42C02832}">
            <xm:f>$BR$4='Data entry'!$R10</xm:f>
            <x14:dxf>
              <fill>
                <patternFill>
                  <bgColor rgb="FFFFFF00"/>
                </patternFill>
              </fill>
            </x14:dxf>
          </x14:cfRule>
          <xm:sqref>BD17:BR17</xm:sqref>
        </x14:conditionalFormatting>
        <x14:conditionalFormatting xmlns:xm="http://schemas.microsoft.com/office/excel/2006/main">
          <x14:cfRule type="expression" priority="4689767" id="{DA2B6511-43B3-432D-B6AA-1DB1188B90A6}">
            <xm:f>$BR$4='Data entry'!$R10</xm:f>
            <x14:dxf>
              <fill>
                <patternFill>
                  <bgColor rgb="FFFF0000"/>
                </patternFill>
              </fill>
            </x14:dxf>
          </x14:cfRule>
          <xm:sqref>BP18:CB18</xm:sqref>
        </x14:conditionalFormatting>
        <x14:conditionalFormatting xmlns:xm="http://schemas.microsoft.com/office/excel/2006/main">
          <x14:cfRule type="expression" priority="4689768" id="{0D5F64E4-4136-4BFA-B833-CC8578525D9C}">
            <xm:f>$BS$4='Data entry'!$R10</xm:f>
            <x14:dxf>
              <fill>
                <patternFill>
                  <bgColor rgb="FFFFFF00"/>
                </patternFill>
              </fill>
            </x14:dxf>
          </x14:cfRule>
          <xm:sqref>BE17:BS17</xm:sqref>
        </x14:conditionalFormatting>
        <x14:conditionalFormatting xmlns:xm="http://schemas.microsoft.com/office/excel/2006/main">
          <x14:cfRule type="expression" priority="4689769" id="{AC94D468-F078-4AE2-8771-102996E07B09}">
            <xm:f>$BS$4='Data entry'!$R10</xm:f>
            <x14:dxf>
              <fill>
                <patternFill>
                  <bgColor rgb="FFFF0000"/>
                </patternFill>
              </fill>
            </x14:dxf>
          </x14:cfRule>
          <xm:sqref>BQ18:CC18</xm:sqref>
        </x14:conditionalFormatting>
        <x14:conditionalFormatting xmlns:xm="http://schemas.microsoft.com/office/excel/2006/main">
          <x14:cfRule type="expression" priority="4689770" id="{10E78F76-181E-4F19-9F89-7DD36D3EFE30}">
            <xm:f>$BT$4='Data entry'!$R10</xm:f>
            <x14:dxf>
              <fill>
                <patternFill>
                  <bgColor rgb="FFFFFF00"/>
                </patternFill>
              </fill>
            </x14:dxf>
          </x14:cfRule>
          <xm:sqref>BF17:BT17</xm:sqref>
        </x14:conditionalFormatting>
        <x14:conditionalFormatting xmlns:xm="http://schemas.microsoft.com/office/excel/2006/main">
          <x14:cfRule type="expression" priority="4689771" id="{6A5FADC6-9512-4EFB-90A5-7B5244D10D1F}">
            <xm:f>$BT$4='Data entry'!$R10</xm:f>
            <x14:dxf>
              <fill>
                <patternFill>
                  <bgColor rgb="FFFF0000"/>
                </patternFill>
              </fill>
            </x14:dxf>
          </x14:cfRule>
          <xm:sqref>BR18:CC18</xm:sqref>
        </x14:conditionalFormatting>
        <x14:conditionalFormatting xmlns:xm="http://schemas.microsoft.com/office/excel/2006/main">
          <x14:cfRule type="expression" priority="4689772" id="{A51139D1-8841-4B96-B8CB-DFE3808765CF}">
            <xm:f>$BU$4='Data entry'!$R10</xm:f>
            <x14:dxf>
              <fill>
                <patternFill>
                  <bgColor rgb="FFFFFF00"/>
                </patternFill>
              </fill>
            </x14:dxf>
          </x14:cfRule>
          <xm:sqref>BG17:BU17</xm:sqref>
        </x14:conditionalFormatting>
        <x14:conditionalFormatting xmlns:xm="http://schemas.microsoft.com/office/excel/2006/main">
          <x14:cfRule type="expression" priority="4689773" id="{55CA7258-760F-4BFF-ACB5-A70FEB3E7981}">
            <xm:f>$BU$4='Data entry'!$R10</xm:f>
            <x14:dxf>
              <fill>
                <patternFill>
                  <bgColor rgb="FFFF0000"/>
                </patternFill>
              </fill>
            </x14:dxf>
          </x14:cfRule>
          <xm:sqref>BS18:CC18</xm:sqref>
        </x14:conditionalFormatting>
        <x14:conditionalFormatting xmlns:xm="http://schemas.microsoft.com/office/excel/2006/main">
          <x14:cfRule type="expression" priority="4689774" id="{A922B218-64DB-4CBB-9AB8-FE0EBB44E09E}">
            <xm:f>$BV$4='Data entry'!$R10</xm:f>
            <x14:dxf>
              <fill>
                <patternFill>
                  <bgColor rgb="FFFFFF00"/>
                </patternFill>
              </fill>
            </x14:dxf>
          </x14:cfRule>
          <xm:sqref>BH17:BV17</xm:sqref>
        </x14:conditionalFormatting>
        <x14:conditionalFormatting xmlns:xm="http://schemas.microsoft.com/office/excel/2006/main">
          <x14:cfRule type="expression" priority="4689775" id="{C98E908A-CD31-4778-B41C-7AFB9DBE639A}">
            <xm:f>$BV$4='Data entry'!$R10</xm:f>
            <x14:dxf>
              <fill>
                <patternFill>
                  <bgColor rgb="FFFF0000"/>
                </patternFill>
              </fill>
            </x14:dxf>
          </x14:cfRule>
          <xm:sqref>BT18:CC18</xm:sqref>
        </x14:conditionalFormatting>
        <x14:conditionalFormatting xmlns:xm="http://schemas.microsoft.com/office/excel/2006/main">
          <x14:cfRule type="expression" priority="4689776" id="{465CCCA3-B4DB-4B61-8AC7-8A5E4CEC9E3F}">
            <xm:f>$BW$4='Data entry'!$R10</xm:f>
            <x14:dxf>
              <fill>
                <patternFill>
                  <bgColor rgb="FFFFFF00"/>
                </patternFill>
              </fill>
            </x14:dxf>
          </x14:cfRule>
          <xm:sqref>BI17:BW17</xm:sqref>
        </x14:conditionalFormatting>
        <x14:conditionalFormatting xmlns:xm="http://schemas.microsoft.com/office/excel/2006/main">
          <x14:cfRule type="expression" priority="4689777" id="{37566F97-6D06-400B-A709-FE657B07687F}">
            <xm:f>$BW$4='Data entry'!$R10</xm:f>
            <x14:dxf>
              <fill>
                <patternFill>
                  <bgColor rgb="FFFF0000"/>
                </patternFill>
              </fill>
            </x14:dxf>
          </x14:cfRule>
          <xm:sqref>BU18:CC18</xm:sqref>
        </x14:conditionalFormatting>
        <x14:conditionalFormatting xmlns:xm="http://schemas.microsoft.com/office/excel/2006/main">
          <x14:cfRule type="expression" priority="4689778" id="{D8FBA3AC-5CF0-4E45-97CA-1D4DEE729ADA}">
            <xm:f>$BX$4='Data entry'!$R10</xm:f>
            <x14:dxf>
              <fill>
                <patternFill>
                  <bgColor rgb="FFFFFF00"/>
                </patternFill>
              </fill>
            </x14:dxf>
          </x14:cfRule>
          <xm:sqref>BJ17:BX17</xm:sqref>
        </x14:conditionalFormatting>
        <x14:conditionalFormatting xmlns:xm="http://schemas.microsoft.com/office/excel/2006/main">
          <x14:cfRule type="expression" priority="4689779" id="{E077C84B-A94F-431D-B232-4AFCC7C64F54}">
            <xm:f>$BX$4='Data entry'!$R10</xm:f>
            <x14:dxf>
              <fill>
                <patternFill>
                  <bgColor rgb="FFFF0000"/>
                </patternFill>
              </fill>
            </x14:dxf>
          </x14:cfRule>
          <xm:sqref>BV18:CC18</xm:sqref>
        </x14:conditionalFormatting>
        <x14:conditionalFormatting xmlns:xm="http://schemas.microsoft.com/office/excel/2006/main">
          <x14:cfRule type="expression" priority="4689780" id="{63783BA8-0C97-4A44-86FD-7A2BCF1B9957}">
            <xm:f>$BY$4='Data entry'!$R10</xm:f>
            <x14:dxf>
              <fill>
                <patternFill>
                  <bgColor rgb="FFFFFF00"/>
                </patternFill>
              </fill>
            </x14:dxf>
          </x14:cfRule>
          <xm:sqref>BK17:BY17</xm:sqref>
        </x14:conditionalFormatting>
        <x14:conditionalFormatting xmlns:xm="http://schemas.microsoft.com/office/excel/2006/main">
          <x14:cfRule type="expression" priority="4689781" id="{BB8DB8B4-B71B-46D2-AEE7-346F16103F74}">
            <xm:f>$BY$4='Data entry'!$R10</xm:f>
            <x14:dxf>
              <fill>
                <patternFill>
                  <bgColor rgb="FFFF0000"/>
                </patternFill>
              </fill>
            </x14:dxf>
          </x14:cfRule>
          <xm:sqref>BW18:CC18</xm:sqref>
        </x14:conditionalFormatting>
        <x14:conditionalFormatting xmlns:xm="http://schemas.microsoft.com/office/excel/2006/main">
          <x14:cfRule type="expression" priority="4689782" id="{1B638B98-2B06-4FEB-90C1-446A3E0A3979}">
            <xm:f>$BZ$4='Data entry'!$R10</xm:f>
            <x14:dxf>
              <fill>
                <patternFill>
                  <bgColor rgb="FFFFFF00"/>
                </patternFill>
              </fill>
            </x14:dxf>
          </x14:cfRule>
          <xm:sqref>BL17:BZ17</xm:sqref>
        </x14:conditionalFormatting>
        <x14:conditionalFormatting xmlns:xm="http://schemas.microsoft.com/office/excel/2006/main">
          <x14:cfRule type="expression" priority="4689783" id="{D3A0A2F8-D1B2-4DC5-B2A9-0EF53074E685}">
            <xm:f>$BZ$4='Data entry'!$R10</xm:f>
            <x14:dxf>
              <fill>
                <patternFill>
                  <bgColor rgb="FFFF0000"/>
                </patternFill>
              </fill>
            </x14:dxf>
          </x14:cfRule>
          <xm:sqref>BX18:CC18</xm:sqref>
        </x14:conditionalFormatting>
        <x14:conditionalFormatting xmlns:xm="http://schemas.microsoft.com/office/excel/2006/main">
          <x14:cfRule type="expression" priority="4689784" id="{83F6D018-7D3B-4D33-9998-11572F2F2FF5}">
            <xm:f>$CA$4='Data entry'!$R10</xm:f>
            <x14:dxf>
              <fill>
                <patternFill>
                  <bgColor rgb="FFFFFF00"/>
                </patternFill>
              </fill>
            </x14:dxf>
          </x14:cfRule>
          <xm:sqref>BM17:CA17</xm:sqref>
        </x14:conditionalFormatting>
        <x14:conditionalFormatting xmlns:xm="http://schemas.microsoft.com/office/excel/2006/main">
          <x14:cfRule type="expression" priority="4689785" id="{8E6D0B51-5626-4ED9-9072-C7A2C139704F}">
            <xm:f>$CA$4='Data entry'!$R10</xm:f>
            <x14:dxf>
              <fill>
                <patternFill>
                  <bgColor rgb="FFFF0000"/>
                </patternFill>
              </fill>
            </x14:dxf>
          </x14:cfRule>
          <xm:sqref>BY18:CC18</xm:sqref>
        </x14:conditionalFormatting>
        <x14:conditionalFormatting xmlns:xm="http://schemas.microsoft.com/office/excel/2006/main">
          <x14:cfRule type="expression" priority="4689786" id="{E1886EE4-3BDE-43A9-9F4B-79377FEC37FE}">
            <xm:f>$CB$4='Data entry'!$R10</xm:f>
            <x14:dxf>
              <fill>
                <patternFill>
                  <bgColor rgb="FFFFFF00"/>
                </patternFill>
              </fill>
            </x14:dxf>
          </x14:cfRule>
          <xm:sqref>BN17:CB17</xm:sqref>
        </x14:conditionalFormatting>
        <x14:conditionalFormatting xmlns:xm="http://schemas.microsoft.com/office/excel/2006/main">
          <x14:cfRule type="expression" priority="4689787" id="{ADEF572A-6C18-4602-BB86-01C96D36E07E}">
            <xm:f>$CB$4='Data entry'!$R10</xm:f>
            <x14:dxf>
              <fill>
                <patternFill>
                  <bgColor rgb="FFFF0000"/>
                </patternFill>
              </fill>
            </x14:dxf>
          </x14:cfRule>
          <xm:sqref>BZ18:CC18</xm:sqref>
        </x14:conditionalFormatting>
        <x14:conditionalFormatting xmlns:xm="http://schemas.microsoft.com/office/excel/2006/main">
          <x14:cfRule type="expression" priority="4689788" id="{7984E1C9-E073-4955-8543-62145CB6D008}">
            <xm:f>$CC$4='Data entry'!$R10</xm:f>
            <x14:dxf>
              <fill>
                <patternFill>
                  <bgColor rgb="FFFFFF00"/>
                </patternFill>
              </fill>
            </x14:dxf>
          </x14:cfRule>
          <xm:sqref>BO17:CC17</xm:sqref>
        </x14:conditionalFormatting>
        <x14:conditionalFormatting xmlns:xm="http://schemas.microsoft.com/office/excel/2006/main">
          <x14:cfRule type="expression" priority="4689789" id="{18A957B3-59FA-4698-BA92-2A208FF18E2F}">
            <xm:f>$CC$4='Data entry'!$R10</xm:f>
            <x14:dxf>
              <fill>
                <patternFill>
                  <bgColor rgb="FFFF0000"/>
                </patternFill>
              </fill>
            </x14:dxf>
          </x14:cfRule>
          <xm:sqref>CA18:CC18</xm:sqref>
        </x14:conditionalFormatting>
        <x14:conditionalFormatting xmlns:xm="http://schemas.microsoft.com/office/excel/2006/main">
          <x14:cfRule type="expression" priority="4689876" id="{5B0DB825-B7C2-40AC-B7EF-F267F054CFB9}">
            <xm:f>$U$4='Data entry'!$R11</xm:f>
            <x14:dxf>
              <fill>
                <patternFill>
                  <bgColor rgb="FFFF0000"/>
                </patternFill>
              </fill>
            </x14:dxf>
          </x14:cfRule>
          <xm:sqref>S21:AE21</xm:sqref>
        </x14:conditionalFormatting>
        <x14:conditionalFormatting xmlns:xm="http://schemas.microsoft.com/office/excel/2006/main">
          <x14:cfRule type="expression" priority="4689877" id="{18311200-E2BB-400F-B594-3B9A2C6068C2}">
            <xm:f>$V$4='Data entry'!$R11</xm:f>
            <x14:dxf>
              <fill>
                <patternFill>
                  <bgColor rgb="FFFF0000"/>
                </patternFill>
              </fill>
            </x14:dxf>
          </x14:cfRule>
          <xm:sqref>T21:AF21</xm:sqref>
        </x14:conditionalFormatting>
        <x14:conditionalFormatting xmlns:xm="http://schemas.microsoft.com/office/excel/2006/main">
          <x14:cfRule type="expression" priority="4689878" id="{D6DFB621-1A58-4C59-A987-ECAD0EB2D32B}">
            <xm:f>$V$4='Data entry'!$R11</xm:f>
            <x14:dxf>
              <fill>
                <patternFill>
                  <bgColor rgb="FFFFFF00"/>
                </patternFill>
              </fill>
            </x14:dxf>
          </x14:cfRule>
          <xm:sqref>H20:V20</xm:sqref>
        </x14:conditionalFormatting>
        <x14:conditionalFormatting xmlns:xm="http://schemas.microsoft.com/office/excel/2006/main">
          <x14:cfRule type="expression" priority="4689879" id="{5F87A680-DC5F-433D-A779-B7A534ACCDA9}">
            <xm:f>$W$4='Data entry'!$R11</xm:f>
            <x14:dxf>
              <fill>
                <patternFill>
                  <bgColor rgb="FFFF0000"/>
                </patternFill>
              </fill>
            </x14:dxf>
          </x14:cfRule>
          <xm:sqref>U21:AG21</xm:sqref>
        </x14:conditionalFormatting>
        <x14:conditionalFormatting xmlns:xm="http://schemas.microsoft.com/office/excel/2006/main">
          <x14:cfRule type="expression" priority="4689880" id="{964539FF-A92C-4F68-B268-B7157A32678C}">
            <xm:f>$W$4='Data entry'!$R11</xm:f>
            <x14:dxf>
              <fill>
                <patternFill>
                  <bgColor rgb="FFFFFF00"/>
                </patternFill>
              </fill>
            </x14:dxf>
          </x14:cfRule>
          <xm:sqref>I20:W20</xm:sqref>
        </x14:conditionalFormatting>
        <x14:conditionalFormatting xmlns:xm="http://schemas.microsoft.com/office/excel/2006/main">
          <x14:cfRule type="expression" priority="4689881" id="{46C1533A-F090-4A90-9309-3F59EC3FD3B0}">
            <xm:f>$X$4='Data entry'!$R11</xm:f>
            <x14:dxf>
              <fill>
                <patternFill>
                  <bgColor rgb="FFFF0000"/>
                </patternFill>
              </fill>
            </x14:dxf>
          </x14:cfRule>
          <xm:sqref>V21:AH21</xm:sqref>
        </x14:conditionalFormatting>
        <x14:conditionalFormatting xmlns:xm="http://schemas.microsoft.com/office/excel/2006/main">
          <x14:cfRule type="expression" priority="4689882" id="{7C70E81C-DDD4-4D75-933A-4F6A39893184}">
            <xm:f>$X$4='Data entry'!$R11</xm:f>
            <x14:dxf>
              <fill>
                <patternFill>
                  <bgColor rgb="FFFFFF00"/>
                </patternFill>
              </fill>
            </x14:dxf>
          </x14:cfRule>
          <xm:sqref>J20:X20</xm:sqref>
        </x14:conditionalFormatting>
        <x14:conditionalFormatting xmlns:xm="http://schemas.microsoft.com/office/excel/2006/main">
          <x14:cfRule type="expression" priority="4689883" id="{561AF073-0EF8-4B72-A119-40A639C4359D}">
            <xm:f>$Y$4='Data entry'!$R11</xm:f>
            <x14:dxf>
              <fill>
                <patternFill>
                  <bgColor rgb="FFFF0000"/>
                </patternFill>
              </fill>
            </x14:dxf>
          </x14:cfRule>
          <xm:sqref>W21:AI21</xm:sqref>
        </x14:conditionalFormatting>
        <x14:conditionalFormatting xmlns:xm="http://schemas.microsoft.com/office/excel/2006/main">
          <x14:cfRule type="expression" priority="4689884" id="{F242E808-8F07-4A89-9524-7D4C767CE357}">
            <xm:f>$Y$4='Data entry'!$R11</xm:f>
            <x14:dxf>
              <fill>
                <patternFill>
                  <bgColor rgb="FFFFFF00"/>
                </patternFill>
              </fill>
            </x14:dxf>
          </x14:cfRule>
          <xm:sqref>K20:Y20</xm:sqref>
        </x14:conditionalFormatting>
        <x14:conditionalFormatting xmlns:xm="http://schemas.microsoft.com/office/excel/2006/main">
          <x14:cfRule type="expression" priority="4689885" id="{DD601058-982B-4218-BD9D-64BB823C2633}">
            <xm:f>$Z$4='Data entry'!$R11</xm:f>
            <x14:dxf>
              <fill>
                <patternFill>
                  <bgColor rgb="FFFF0000"/>
                </patternFill>
              </fill>
            </x14:dxf>
          </x14:cfRule>
          <xm:sqref>X21:AJ21</xm:sqref>
        </x14:conditionalFormatting>
        <x14:conditionalFormatting xmlns:xm="http://schemas.microsoft.com/office/excel/2006/main">
          <x14:cfRule type="expression" priority="4689886" id="{C9DB141D-79F6-4093-92A3-7BF7A1622985}">
            <xm:f>$Z$4='Data entry'!$R11</xm:f>
            <x14:dxf>
              <fill>
                <patternFill>
                  <bgColor rgb="FFFFFF00"/>
                </patternFill>
              </fill>
            </x14:dxf>
          </x14:cfRule>
          <xm:sqref>L20:Z20</xm:sqref>
        </x14:conditionalFormatting>
        <x14:conditionalFormatting xmlns:xm="http://schemas.microsoft.com/office/excel/2006/main">
          <x14:cfRule type="expression" priority="4689887" id="{710EB8D3-F5C0-4E3C-8214-2D0C4E26F649}">
            <xm:f>$AA$4='Data entry'!$R11</xm:f>
            <x14:dxf>
              <fill>
                <patternFill>
                  <bgColor rgb="FFFF0000"/>
                </patternFill>
              </fill>
            </x14:dxf>
          </x14:cfRule>
          <xm:sqref>Y21:AK21</xm:sqref>
        </x14:conditionalFormatting>
        <x14:conditionalFormatting xmlns:xm="http://schemas.microsoft.com/office/excel/2006/main">
          <x14:cfRule type="expression" priority="4689888" id="{33825D69-C967-4D27-B395-5D44A3083802}">
            <xm:f>$AA$4='Data entry'!$R11</xm:f>
            <x14:dxf>
              <fill>
                <patternFill>
                  <bgColor rgb="FFFFFF00"/>
                </patternFill>
              </fill>
            </x14:dxf>
          </x14:cfRule>
          <xm:sqref>M20:AA20</xm:sqref>
        </x14:conditionalFormatting>
        <x14:conditionalFormatting xmlns:xm="http://schemas.microsoft.com/office/excel/2006/main">
          <x14:cfRule type="expression" priority="4689889" id="{9811A97D-351B-4D32-8754-AF433277E62B}">
            <xm:f>$AB$4='Data entry'!$R11</xm:f>
            <x14:dxf>
              <fill>
                <patternFill>
                  <bgColor rgb="FFFF0000"/>
                </patternFill>
              </fill>
            </x14:dxf>
          </x14:cfRule>
          <xm:sqref>Z21:AL21</xm:sqref>
        </x14:conditionalFormatting>
        <x14:conditionalFormatting xmlns:xm="http://schemas.microsoft.com/office/excel/2006/main">
          <x14:cfRule type="expression" priority="4689890" id="{6DD3E556-C72E-438B-92DA-3096ED1E4178}">
            <xm:f>$AB$4='Data entry'!$R11</xm:f>
            <x14:dxf>
              <fill>
                <patternFill>
                  <bgColor rgb="FFFFFF00"/>
                </patternFill>
              </fill>
            </x14:dxf>
          </x14:cfRule>
          <xm:sqref>N20:AB20</xm:sqref>
        </x14:conditionalFormatting>
        <x14:conditionalFormatting xmlns:xm="http://schemas.microsoft.com/office/excel/2006/main">
          <x14:cfRule type="expression" priority="4689891" id="{C0DF7A1B-D6BC-4371-BD3A-F0708147FA1C}">
            <xm:f>$AC$4='Data entry'!$R11</xm:f>
            <x14:dxf>
              <fill>
                <patternFill>
                  <bgColor rgb="FFFF0000"/>
                </patternFill>
              </fill>
            </x14:dxf>
          </x14:cfRule>
          <xm:sqref>AA21:AM21</xm:sqref>
        </x14:conditionalFormatting>
        <x14:conditionalFormatting xmlns:xm="http://schemas.microsoft.com/office/excel/2006/main">
          <x14:cfRule type="expression" priority="4689892" id="{DB2E1F48-AF0E-41F9-A976-6B1963CA5711}">
            <xm:f>$AC$4='Data entry'!$R11</xm:f>
            <x14:dxf>
              <fill>
                <patternFill>
                  <bgColor rgb="FFFFFF00"/>
                </patternFill>
              </fill>
            </x14:dxf>
          </x14:cfRule>
          <xm:sqref>O20:AC20</xm:sqref>
        </x14:conditionalFormatting>
        <x14:conditionalFormatting xmlns:xm="http://schemas.microsoft.com/office/excel/2006/main">
          <x14:cfRule type="expression" priority="4689893" id="{89909907-F9A9-4AF9-BC1D-304710A43F50}">
            <xm:f>$AD$4='Data entry'!$R11</xm:f>
            <x14:dxf>
              <fill>
                <patternFill>
                  <bgColor rgb="FFFF0000"/>
                </patternFill>
              </fill>
            </x14:dxf>
          </x14:cfRule>
          <xm:sqref>AB21:AN21</xm:sqref>
        </x14:conditionalFormatting>
        <x14:conditionalFormatting xmlns:xm="http://schemas.microsoft.com/office/excel/2006/main">
          <x14:cfRule type="expression" priority="4689894" id="{729676B7-E331-43A4-ACC9-850DCEE76A0E}">
            <xm:f>$AD$4='Data entry'!$R11</xm:f>
            <x14:dxf>
              <fill>
                <patternFill>
                  <bgColor rgb="FFFFFF00"/>
                </patternFill>
              </fill>
            </x14:dxf>
          </x14:cfRule>
          <xm:sqref>P20:AD20</xm:sqref>
        </x14:conditionalFormatting>
        <x14:conditionalFormatting xmlns:xm="http://schemas.microsoft.com/office/excel/2006/main">
          <x14:cfRule type="expression" priority="4689895" id="{00DA2C55-350E-44AA-ABEA-808FABFDA737}">
            <xm:f>$AE$4='Data entry'!$R11</xm:f>
            <x14:dxf>
              <fill>
                <patternFill>
                  <bgColor rgb="FFFF0000"/>
                </patternFill>
              </fill>
            </x14:dxf>
          </x14:cfRule>
          <xm:sqref>AC21:AO21</xm:sqref>
        </x14:conditionalFormatting>
        <x14:conditionalFormatting xmlns:xm="http://schemas.microsoft.com/office/excel/2006/main">
          <x14:cfRule type="expression" priority="4689896" id="{373C95F1-00C1-45E9-B561-5224945BA4A4}">
            <xm:f>$AE$4='Data entry'!$R11</xm:f>
            <x14:dxf>
              <fill>
                <patternFill>
                  <bgColor rgb="FFFFFF00"/>
                </patternFill>
              </fill>
            </x14:dxf>
          </x14:cfRule>
          <xm:sqref>Q20:AE20</xm:sqref>
        </x14:conditionalFormatting>
        <x14:conditionalFormatting xmlns:xm="http://schemas.microsoft.com/office/excel/2006/main">
          <x14:cfRule type="expression" priority="4689897" id="{65E90E74-6BEF-4B00-BD5E-ECACFEBC225A}">
            <xm:f>$AF$4='Data entry'!$R11</xm:f>
            <x14:dxf>
              <fill>
                <patternFill>
                  <bgColor rgb="FFFF0000"/>
                </patternFill>
              </fill>
            </x14:dxf>
          </x14:cfRule>
          <xm:sqref>AD21:AP21</xm:sqref>
        </x14:conditionalFormatting>
        <x14:conditionalFormatting xmlns:xm="http://schemas.microsoft.com/office/excel/2006/main">
          <x14:cfRule type="expression" priority="4689898" id="{56B519D7-E083-4811-B42B-D6CB10D44BB3}">
            <xm:f>$AF$4='Data entry'!$R11</xm:f>
            <x14:dxf>
              <fill>
                <patternFill>
                  <bgColor rgb="FFFFFF00"/>
                </patternFill>
              </fill>
            </x14:dxf>
          </x14:cfRule>
          <xm:sqref>R20:AF20</xm:sqref>
        </x14:conditionalFormatting>
        <x14:conditionalFormatting xmlns:xm="http://schemas.microsoft.com/office/excel/2006/main">
          <x14:cfRule type="expression" priority="4689899" id="{889682B6-BF9B-414B-86B7-1C802156B058}">
            <xm:f>$AG$4='Data entry'!$R11</xm:f>
            <x14:dxf>
              <fill>
                <patternFill>
                  <bgColor rgb="FFFF0000"/>
                </patternFill>
              </fill>
            </x14:dxf>
          </x14:cfRule>
          <xm:sqref>AE21:AQ21</xm:sqref>
        </x14:conditionalFormatting>
        <x14:conditionalFormatting xmlns:xm="http://schemas.microsoft.com/office/excel/2006/main">
          <x14:cfRule type="expression" priority="4689900" id="{19913D88-1940-4CB0-B29C-D46D60833BD5}">
            <xm:f>$AG$4='Data entry'!$R11</xm:f>
            <x14:dxf>
              <fill>
                <patternFill>
                  <bgColor rgb="FFFFFF00"/>
                </patternFill>
              </fill>
            </x14:dxf>
          </x14:cfRule>
          <xm:sqref>S20:AG20</xm:sqref>
        </x14:conditionalFormatting>
        <x14:conditionalFormatting xmlns:xm="http://schemas.microsoft.com/office/excel/2006/main">
          <x14:cfRule type="expression" priority="4689901" id="{3DD7B9A5-18A3-463F-BAD5-9796FC487328}">
            <xm:f>$AH$4='Data entry'!$R11</xm:f>
            <x14:dxf>
              <fill>
                <patternFill>
                  <bgColor rgb="FFFF0000"/>
                </patternFill>
              </fill>
            </x14:dxf>
          </x14:cfRule>
          <xm:sqref>AF21:AR21</xm:sqref>
        </x14:conditionalFormatting>
        <x14:conditionalFormatting xmlns:xm="http://schemas.microsoft.com/office/excel/2006/main">
          <x14:cfRule type="expression" priority="4689902" id="{31005CF4-5608-496E-91EB-F7F505046C80}">
            <xm:f>$AH$4='Data entry'!$R11</xm:f>
            <x14:dxf>
              <fill>
                <patternFill>
                  <bgColor rgb="FFFFFF00"/>
                </patternFill>
              </fill>
            </x14:dxf>
          </x14:cfRule>
          <xm:sqref>T20:AH20</xm:sqref>
        </x14:conditionalFormatting>
        <x14:conditionalFormatting xmlns:xm="http://schemas.microsoft.com/office/excel/2006/main">
          <x14:cfRule type="expression" priority="4689903" id="{CD14F654-5B7A-444F-8FC1-7DD71E76E475}">
            <xm:f>$AI$4='Data entry'!$R11</xm:f>
            <x14:dxf>
              <fill>
                <patternFill>
                  <bgColor rgb="FFFF0000"/>
                </patternFill>
              </fill>
            </x14:dxf>
          </x14:cfRule>
          <xm:sqref>AG21:AS21</xm:sqref>
        </x14:conditionalFormatting>
        <x14:conditionalFormatting xmlns:xm="http://schemas.microsoft.com/office/excel/2006/main">
          <x14:cfRule type="expression" priority="4689904" id="{0E4E448C-6C46-4285-B877-A61A90294385}">
            <xm:f>$AI$4='Data entry'!$R11</xm:f>
            <x14:dxf>
              <fill>
                <patternFill>
                  <bgColor rgb="FFFFFF00"/>
                </patternFill>
              </fill>
            </x14:dxf>
          </x14:cfRule>
          <xm:sqref>U20:AI20</xm:sqref>
        </x14:conditionalFormatting>
        <x14:conditionalFormatting xmlns:xm="http://schemas.microsoft.com/office/excel/2006/main">
          <x14:cfRule type="expression" priority="4689905" id="{B1C1818F-791C-403D-BE73-6F6E9DC6A16D}">
            <xm:f>$AJ$4='Data entry'!$R11</xm:f>
            <x14:dxf>
              <fill>
                <patternFill>
                  <bgColor rgb="FFFF0000"/>
                </patternFill>
              </fill>
            </x14:dxf>
          </x14:cfRule>
          <xm:sqref>AH21:AT21</xm:sqref>
        </x14:conditionalFormatting>
        <x14:conditionalFormatting xmlns:xm="http://schemas.microsoft.com/office/excel/2006/main">
          <x14:cfRule type="expression" priority="4689906" id="{A1237792-221B-431B-B8A7-E9A64DA46D93}">
            <xm:f>$AJ$4='Data entry'!$R11</xm:f>
            <x14:dxf>
              <fill>
                <patternFill>
                  <bgColor rgb="FFFFFF00"/>
                </patternFill>
              </fill>
            </x14:dxf>
          </x14:cfRule>
          <xm:sqref>V20:AJ20</xm:sqref>
        </x14:conditionalFormatting>
        <x14:conditionalFormatting xmlns:xm="http://schemas.microsoft.com/office/excel/2006/main">
          <x14:cfRule type="expression" priority="4689907" id="{617DC2AF-C7A3-4724-8EA3-17DEFEDC8949}">
            <xm:f>$AK$4='Data entry'!$R11</xm:f>
            <x14:dxf>
              <fill>
                <patternFill>
                  <bgColor rgb="FFFF0000"/>
                </patternFill>
              </fill>
            </x14:dxf>
          </x14:cfRule>
          <xm:sqref>AI21:AU21</xm:sqref>
        </x14:conditionalFormatting>
        <x14:conditionalFormatting xmlns:xm="http://schemas.microsoft.com/office/excel/2006/main">
          <x14:cfRule type="expression" priority="4689908" id="{AA72317D-37B1-48EB-A28B-BF2AC8DC4519}">
            <xm:f>$AK$4='Data entry'!$R11</xm:f>
            <x14:dxf>
              <fill>
                <patternFill>
                  <bgColor rgb="FFFFFF00"/>
                </patternFill>
              </fill>
            </x14:dxf>
          </x14:cfRule>
          <xm:sqref>W20:AK20</xm:sqref>
        </x14:conditionalFormatting>
        <x14:conditionalFormatting xmlns:xm="http://schemas.microsoft.com/office/excel/2006/main">
          <x14:cfRule type="expression" priority="4689909" id="{6CA9FB7A-20EA-4D3A-B74C-A001F4BE810D}">
            <xm:f>$AL$4='Data entry'!$R11</xm:f>
            <x14:dxf>
              <fill>
                <patternFill>
                  <bgColor rgb="FFFF0000"/>
                </patternFill>
              </fill>
            </x14:dxf>
          </x14:cfRule>
          <xm:sqref>AJ21:AV21</xm:sqref>
        </x14:conditionalFormatting>
        <x14:conditionalFormatting xmlns:xm="http://schemas.microsoft.com/office/excel/2006/main">
          <x14:cfRule type="expression" priority="4689910" id="{81A75DAA-573F-4EF3-A640-1B992C18BEA0}">
            <xm:f>$AL$4='Data entry'!$R11</xm:f>
            <x14:dxf>
              <fill>
                <patternFill>
                  <bgColor rgb="FFFFFF00"/>
                </patternFill>
              </fill>
            </x14:dxf>
          </x14:cfRule>
          <xm:sqref>X20:AL20</xm:sqref>
        </x14:conditionalFormatting>
        <x14:conditionalFormatting xmlns:xm="http://schemas.microsoft.com/office/excel/2006/main">
          <x14:cfRule type="expression" priority="4689911" id="{3D44713E-4ABA-4CCD-9DF4-5513A9FB5E1E}">
            <xm:f>$AM$4='Data entry'!$R11</xm:f>
            <x14:dxf>
              <fill>
                <patternFill>
                  <bgColor rgb="FFFF0000"/>
                </patternFill>
              </fill>
            </x14:dxf>
          </x14:cfRule>
          <xm:sqref>AK21:AW21</xm:sqref>
        </x14:conditionalFormatting>
        <x14:conditionalFormatting xmlns:xm="http://schemas.microsoft.com/office/excel/2006/main">
          <x14:cfRule type="expression" priority="4689912" id="{05A26B51-72A7-4423-822F-2BDBC28275D0}">
            <xm:f>$AM$4='Data entry'!$R11</xm:f>
            <x14:dxf>
              <fill>
                <patternFill>
                  <bgColor rgb="FFFFFF00"/>
                </patternFill>
              </fill>
            </x14:dxf>
          </x14:cfRule>
          <xm:sqref>Y20:AM20</xm:sqref>
        </x14:conditionalFormatting>
        <x14:conditionalFormatting xmlns:xm="http://schemas.microsoft.com/office/excel/2006/main">
          <x14:cfRule type="expression" priority="4689913" id="{B8A20675-6230-4694-A7F6-6B3DC7142773}">
            <xm:f>$AN$4='Data entry'!$R11</xm:f>
            <x14:dxf>
              <fill>
                <patternFill>
                  <bgColor rgb="FFFF0000"/>
                </patternFill>
              </fill>
            </x14:dxf>
          </x14:cfRule>
          <xm:sqref>AL21:AX21</xm:sqref>
        </x14:conditionalFormatting>
        <x14:conditionalFormatting xmlns:xm="http://schemas.microsoft.com/office/excel/2006/main">
          <x14:cfRule type="expression" priority="4689914" id="{8421181C-7450-42E9-BC1D-065CCFCA960E}">
            <xm:f>$AN$4='Data entry'!$R11</xm:f>
            <x14:dxf>
              <fill>
                <patternFill>
                  <bgColor rgb="FFFFFF00"/>
                </patternFill>
              </fill>
            </x14:dxf>
          </x14:cfRule>
          <xm:sqref>Z20:AN20</xm:sqref>
        </x14:conditionalFormatting>
        <x14:conditionalFormatting xmlns:xm="http://schemas.microsoft.com/office/excel/2006/main">
          <x14:cfRule type="expression" priority="4689915" id="{067FE4BD-6EF4-4684-B6E0-35AB2F267EE7}">
            <xm:f>$AO$4='Data entry'!$R11</xm:f>
            <x14:dxf>
              <fill>
                <patternFill>
                  <bgColor rgb="FFFF0000"/>
                </patternFill>
              </fill>
            </x14:dxf>
          </x14:cfRule>
          <xm:sqref>AM21:AY21</xm:sqref>
        </x14:conditionalFormatting>
        <x14:conditionalFormatting xmlns:xm="http://schemas.microsoft.com/office/excel/2006/main">
          <x14:cfRule type="expression" priority="4689916" id="{F7653492-88D1-47AC-8BA3-0CCE65C3C2AB}">
            <xm:f>$AO$4='Data entry'!$R11</xm:f>
            <x14:dxf>
              <fill>
                <patternFill>
                  <bgColor rgb="FFFFFF00"/>
                </patternFill>
              </fill>
            </x14:dxf>
          </x14:cfRule>
          <xm:sqref>AA20:AO20</xm:sqref>
        </x14:conditionalFormatting>
        <x14:conditionalFormatting xmlns:xm="http://schemas.microsoft.com/office/excel/2006/main">
          <x14:cfRule type="expression" priority="4689917" id="{207A5E5D-B322-482E-9193-1D7318138358}">
            <xm:f>$AP$4='Data entry'!$R11</xm:f>
            <x14:dxf>
              <fill>
                <patternFill>
                  <bgColor rgb="FFFF0000"/>
                </patternFill>
              </fill>
            </x14:dxf>
          </x14:cfRule>
          <xm:sqref>AN21:AZ21</xm:sqref>
        </x14:conditionalFormatting>
        <x14:conditionalFormatting xmlns:xm="http://schemas.microsoft.com/office/excel/2006/main">
          <x14:cfRule type="expression" priority="4689918" id="{21DA638D-4CA0-4067-BFF1-240CE1A0261B}">
            <xm:f>$AP$4='Data entry'!$R11</xm:f>
            <x14:dxf>
              <fill>
                <patternFill>
                  <bgColor rgb="FFFFFF00"/>
                </patternFill>
              </fill>
            </x14:dxf>
          </x14:cfRule>
          <xm:sqref>AB20:AP20</xm:sqref>
        </x14:conditionalFormatting>
        <x14:conditionalFormatting xmlns:xm="http://schemas.microsoft.com/office/excel/2006/main">
          <x14:cfRule type="expression" priority="4689919" id="{71963D96-A42A-4B90-BFC7-6D83D37766EF}">
            <xm:f>$AQ$4='Data entry'!$R11</xm:f>
            <x14:dxf>
              <fill>
                <patternFill>
                  <bgColor rgb="FFFF0000"/>
                </patternFill>
              </fill>
            </x14:dxf>
          </x14:cfRule>
          <xm:sqref>AO21:BA21</xm:sqref>
        </x14:conditionalFormatting>
        <x14:conditionalFormatting xmlns:xm="http://schemas.microsoft.com/office/excel/2006/main">
          <x14:cfRule type="expression" priority="4689920" id="{74952595-84B6-484F-8FF6-FCC1F337DF4D}">
            <xm:f>$AQ$4='Data entry'!$R11</xm:f>
            <x14:dxf>
              <fill>
                <patternFill>
                  <bgColor rgb="FFFFFF00"/>
                </patternFill>
              </fill>
            </x14:dxf>
          </x14:cfRule>
          <xm:sqref>AC20:AQ20</xm:sqref>
        </x14:conditionalFormatting>
        <x14:conditionalFormatting xmlns:xm="http://schemas.microsoft.com/office/excel/2006/main">
          <x14:cfRule type="expression" priority="4689921" id="{8AC9C4B9-0A34-4BC0-B0F7-CA89434C4911}">
            <xm:f>$P$4='Data entry'!$R11</xm:f>
            <x14:dxf>
              <fill>
                <patternFill>
                  <bgColor rgb="FFFFFF00"/>
                </patternFill>
              </fill>
            </x14:dxf>
          </x14:cfRule>
          <xm:sqref>C20:P20</xm:sqref>
        </x14:conditionalFormatting>
        <x14:conditionalFormatting xmlns:xm="http://schemas.microsoft.com/office/excel/2006/main">
          <x14:cfRule type="expression" priority="4689922" id="{0A726775-ABFD-4F22-967C-1A4D87BA3751}">
            <xm:f>$Q$4='Data entry'!$R11</xm:f>
            <x14:dxf>
              <fill>
                <patternFill>
                  <bgColor rgb="FFFFFF00"/>
                </patternFill>
              </fill>
            </x14:dxf>
          </x14:cfRule>
          <xm:sqref>C20:Q20</xm:sqref>
        </x14:conditionalFormatting>
        <x14:conditionalFormatting xmlns:xm="http://schemas.microsoft.com/office/excel/2006/main">
          <x14:cfRule type="expression" priority="4689923" id="{3A8414BD-262C-43B5-86EE-FA6901D00453}">
            <xm:f>$Q$4='Data entry'!$R11</xm:f>
            <x14:dxf>
              <fill>
                <patternFill>
                  <bgColor rgb="FFFF0000"/>
                </patternFill>
              </fill>
            </x14:dxf>
          </x14:cfRule>
          <xm:sqref>O21:AA21</xm:sqref>
        </x14:conditionalFormatting>
        <x14:conditionalFormatting xmlns:xm="http://schemas.microsoft.com/office/excel/2006/main">
          <x14:cfRule type="expression" priority="4689924" id="{B8B5501D-F3EF-4449-9306-F652960C65F4}">
            <xm:f>$R$4='Data entry'!$R11</xm:f>
            <x14:dxf>
              <fill>
                <patternFill>
                  <bgColor rgb="FFFF0000"/>
                </patternFill>
              </fill>
            </x14:dxf>
          </x14:cfRule>
          <xm:sqref>P21:AB21</xm:sqref>
        </x14:conditionalFormatting>
        <x14:conditionalFormatting xmlns:xm="http://schemas.microsoft.com/office/excel/2006/main">
          <x14:cfRule type="expression" priority="4689925" id="{5D070DEC-B82E-4D87-B907-A3E5AB836991}">
            <xm:f>$R$4='Data entry'!$R11</xm:f>
            <x14:dxf>
              <fill>
                <patternFill>
                  <bgColor rgb="FFFFFF00"/>
                </patternFill>
              </fill>
            </x14:dxf>
          </x14:cfRule>
          <xm:sqref>D20:R20</xm:sqref>
        </x14:conditionalFormatting>
        <x14:conditionalFormatting xmlns:xm="http://schemas.microsoft.com/office/excel/2006/main">
          <x14:cfRule type="expression" priority="4689926" id="{E4D16A10-F818-4664-9FB2-F0E839824D4B}">
            <xm:f>$S$4='Data entry'!$R11</xm:f>
            <x14:dxf>
              <fill>
                <patternFill>
                  <bgColor rgb="FFFF0000"/>
                </patternFill>
              </fill>
            </x14:dxf>
          </x14:cfRule>
          <xm:sqref>Q21:AC21</xm:sqref>
        </x14:conditionalFormatting>
        <x14:conditionalFormatting xmlns:xm="http://schemas.microsoft.com/office/excel/2006/main">
          <x14:cfRule type="expression" priority="4689927" id="{1A9F9911-A3E9-4730-AFBE-AB8C596545CA}">
            <xm:f>$S$4='Data entry'!$R11</xm:f>
            <x14:dxf>
              <fill>
                <patternFill>
                  <bgColor rgb="FFFFFF00"/>
                </patternFill>
              </fill>
            </x14:dxf>
          </x14:cfRule>
          <xm:sqref>E20:S20</xm:sqref>
        </x14:conditionalFormatting>
        <x14:conditionalFormatting xmlns:xm="http://schemas.microsoft.com/office/excel/2006/main">
          <x14:cfRule type="expression" priority="4689928" id="{8BB5CD1B-B2AC-442A-9550-26DE19A62D22}">
            <xm:f>$T$4='Data entry'!$R11</xm:f>
            <x14:dxf>
              <fill>
                <patternFill>
                  <bgColor rgb="FFFF0000"/>
                </patternFill>
              </fill>
            </x14:dxf>
          </x14:cfRule>
          <xm:sqref>R21:AD21</xm:sqref>
        </x14:conditionalFormatting>
        <x14:conditionalFormatting xmlns:xm="http://schemas.microsoft.com/office/excel/2006/main">
          <x14:cfRule type="expression" priority="4689929" id="{E7B59C69-7921-4049-84A1-8B3E5F7B0598}">
            <xm:f>$T$4='Data entry'!$R11</xm:f>
            <x14:dxf>
              <fill>
                <patternFill>
                  <bgColor rgb="FFFFFF00"/>
                </patternFill>
              </fill>
            </x14:dxf>
          </x14:cfRule>
          <xm:sqref>F20:T20</xm:sqref>
        </x14:conditionalFormatting>
        <x14:conditionalFormatting xmlns:xm="http://schemas.microsoft.com/office/excel/2006/main">
          <x14:cfRule type="expression" priority="4689930" id="{238C09E5-7A3D-439D-949F-A7733073F9A2}">
            <xm:f>$U$4='Data entry'!$R11</xm:f>
            <x14:dxf>
              <fill>
                <patternFill>
                  <bgColor rgb="FFFFFF00"/>
                </patternFill>
              </fill>
            </x14:dxf>
          </x14:cfRule>
          <xm:sqref>G20:U20</xm:sqref>
        </x14:conditionalFormatting>
        <x14:conditionalFormatting xmlns:xm="http://schemas.microsoft.com/office/excel/2006/main">
          <x14:cfRule type="expression" priority="4689931" id="{DE4D4432-0A19-452A-AF14-2873FE4DF411}">
            <xm:f>$AR$4='Data entry'!$R11</xm:f>
            <x14:dxf>
              <fill>
                <patternFill>
                  <bgColor rgb="FFFF0000"/>
                </patternFill>
              </fill>
            </x14:dxf>
          </x14:cfRule>
          <xm:sqref>AP21:BB21</xm:sqref>
        </x14:conditionalFormatting>
        <x14:conditionalFormatting xmlns:xm="http://schemas.microsoft.com/office/excel/2006/main">
          <x14:cfRule type="expression" priority="4689932" id="{90D7E1FF-542D-40C8-9BD5-DFEB4CDD256F}">
            <xm:f>$AR$4='Data entry'!$R11</xm:f>
            <x14:dxf>
              <fill>
                <patternFill>
                  <bgColor rgb="FFFFFF00"/>
                </patternFill>
              </fill>
            </x14:dxf>
          </x14:cfRule>
          <xm:sqref>AD20:AR20</xm:sqref>
        </x14:conditionalFormatting>
        <x14:conditionalFormatting xmlns:xm="http://schemas.microsoft.com/office/excel/2006/main">
          <x14:cfRule type="expression" priority="4689933" id="{0EBB5305-4A4A-4205-A1FF-11160070CBC3}">
            <xm:f>$AS$4='Data entry'!$R11</xm:f>
            <x14:dxf>
              <fill>
                <patternFill>
                  <bgColor rgb="FFFF0000"/>
                </patternFill>
              </fill>
            </x14:dxf>
          </x14:cfRule>
          <xm:sqref>AQ21:BC21</xm:sqref>
        </x14:conditionalFormatting>
        <x14:conditionalFormatting xmlns:xm="http://schemas.microsoft.com/office/excel/2006/main">
          <x14:cfRule type="expression" priority="4689934" id="{AC8EB30C-4253-4CE1-820E-1801F6D8D35B}">
            <xm:f>$AS$4='Data entry'!$R11</xm:f>
            <x14:dxf>
              <fill>
                <patternFill>
                  <bgColor rgb="FFFFFF00"/>
                </patternFill>
              </fill>
            </x14:dxf>
          </x14:cfRule>
          <xm:sqref>AE20:AS20</xm:sqref>
        </x14:conditionalFormatting>
        <x14:conditionalFormatting xmlns:xm="http://schemas.microsoft.com/office/excel/2006/main">
          <x14:cfRule type="expression" priority="4689935" id="{E11744C1-7201-4272-A1B0-945490B42425}">
            <xm:f>$AT$4='Data entry'!$R11</xm:f>
            <x14:dxf>
              <fill>
                <patternFill>
                  <bgColor rgb="FFFF0000"/>
                </patternFill>
              </fill>
            </x14:dxf>
          </x14:cfRule>
          <xm:sqref>AR21:BD21</xm:sqref>
        </x14:conditionalFormatting>
        <x14:conditionalFormatting xmlns:xm="http://schemas.microsoft.com/office/excel/2006/main">
          <x14:cfRule type="expression" priority="4689936" id="{5EE2823B-E955-4EA7-B99C-0B1F77B57A69}">
            <xm:f>$AT$4='Data entry'!$R11</xm:f>
            <x14:dxf>
              <fill>
                <patternFill>
                  <bgColor rgb="FFFFFF00"/>
                </patternFill>
              </fill>
            </x14:dxf>
          </x14:cfRule>
          <xm:sqref>AF20:AT20</xm:sqref>
        </x14:conditionalFormatting>
        <x14:conditionalFormatting xmlns:xm="http://schemas.microsoft.com/office/excel/2006/main">
          <x14:cfRule type="expression" priority="4689937" id="{5737DC63-3262-4B34-900C-2AAEB255FCBA}">
            <xm:f>$AU$4='Data entry'!$R11</xm:f>
            <x14:dxf>
              <fill>
                <patternFill>
                  <bgColor rgb="FFFF0000"/>
                </patternFill>
              </fill>
            </x14:dxf>
          </x14:cfRule>
          <xm:sqref>AS21:BE21</xm:sqref>
        </x14:conditionalFormatting>
        <x14:conditionalFormatting xmlns:xm="http://schemas.microsoft.com/office/excel/2006/main">
          <x14:cfRule type="expression" priority="4689938" id="{2B5C1F1B-3C3D-4CA3-BC64-0E98422075B6}">
            <xm:f>$AU$4='Data entry'!$R11</xm:f>
            <x14:dxf>
              <fill>
                <patternFill>
                  <bgColor rgb="FFFFFF00"/>
                </patternFill>
              </fill>
            </x14:dxf>
          </x14:cfRule>
          <xm:sqref>AG20:AU20</xm:sqref>
        </x14:conditionalFormatting>
        <x14:conditionalFormatting xmlns:xm="http://schemas.microsoft.com/office/excel/2006/main">
          <x14:cfRule type="expression" priority="4689939" id="{B87A1285-B003-4855-8F4B-53C391BA10E6}">
            <xm:f>$AV$4='Data entry'!$R11</xm:f>
            <x14:dxf>
              <fill>
                <patternFill>
                  <bgColor rgb="FFFF0000"/>
                </patternFill>
              </fill>
            </x14:dxf>
          </x14:cfRule>
          <xm:sqref>AT21:BF21</xm:sqref>
        </x14:conditionalFormatting>
        <x14:conditionalFormatting xmlns:xm="http://schemas.microsoft.com/office/excel/2006/main">
          <x14:cfRule type="expression" priority="4689940" id="{338EE31C-78DB-4818-B837-0380F9E457FA}">
            <xm:f>$AV$4='Data entry'!$R11</xm:f>
            <x14:dxf>
              <fill>
                <patternFill>
                  <bgColor rgb="FFFFFF00"/>
                </patternFill>
              </fill>
            </x14:dxf>
          </x14:cfRule>
          <xm:sqref>AH20:AV20</xm:sqref>
        </x14:conditionalFormatting>
        <x14:conditionalFormatting xmlns:xm="http://schemas.microsoft.com/office/excel/2006/main">
          <x14:cfRule type="expression" priority="4689941" id="{5C40EA66-2801-4C91-B885-BF6A1ECFC35C}">
            <xm:f>$AW$4='Data entry'!$R11</xm:f>
            <x14:dxf>
              <fill>
                <patternFill>
                  <bgColor rgb="FFFF0000"/>
                </patternFill>
              </fill>
            </x14:dxf>
          </x14:cfRule>
          <xm:sqref>AU21:BG21</xm:sqref>
        </x14:conditionalFormatting>
        <x14:conditionalFormatting xmlns:xm="http://schemas.microsoft.com/office/excel/2006/main">
          <x14:cfRule type="expression" priority="4689942" id="{51BCD5CE-DF86-4C2F-8A81-DDA1EFD6C8F7}">
            <xm:f>$AW$4='Data entry'!$R11</xm:f>
            <x14:dxf>
              <fill>
                <patternFill>
                  <bgColor rgb="FFFFFF00"/>
                </patternFill>
              </fill>
            </x14:dxf>
          </x14:cfRule>
          <xm:sqref>AI20:AW20</xm:sqref>
        </x14:conditionalFormatting>
        <x14:conditionalFormatting xmlns:xm="http://schemas.microsoft.com/office/excel/2006/main">
          <x14:cfRule type="expression" priority="4689943" id="{DC2ED5A0-8917-4877-8CD3-9DF9BE5993C9}">
            <xm:f>$AX$4='Data entry'!$R11</xm:f>
            <x14:dxf>
              <fill>
                <patternFill>
                  <bgColor rgb="FFFF0000"/>
                </patternFill>
              </fill>
            </x14:dxf>
          </x14:cfRule>
          <xm:sqref>AV21:BH21</xm:sqref>
        </x14:conditionalFormatting>
        <x14:conditionalFormatting xmlns:xm="http://schemas.microsoft.com/office/excel/2006/main">
          <x14:cfRule type="expression" priority="4689944" id="{59B31869-20F9-45BD-BC80-0A6C8945CE2C}">
            <xm:f>$AX$4='Data entry'!$R11</xm:f>
            <x14:dxf>
              <fill>
                <patternFill>
                  <bgColor rgb="FFFFFF00"/>
                </patternFill>
              </fill>
            </x14:dxf>
          </x14:cfRule>
          <xm:sqref>AJ20:AX20</xm:sqref>
        </x14:conditionalFormatting>
        <x14:conditionalFormatting xmlns:xm="http://schemas.microsoft.com/office/excel/2006/main">
          <x14:cfRule type="expression" priority="4689945" id="{D4208FA0-4262-4037-934C-6D0742B2AD8E}">
            <xm:f>$AY$4='Data entry'!$R11</xm:f>
            <x14:dxf>
              <fill>
                <patternFill>
                  <bgColor rgb="FFFF0000"/>
                </patternFill>
              </fill>
            </x14:dxf>
          </x14:cfRule>
          <xm:sqref>AW21:BI21</xm:sqref>
        </x14:conditionalFormatting>
        <x14:conditionalFormatting xmlns:xm="http://schemas.microsoft.com/office/excel/2006/main">
          <x14:cfRule type="expression" priority="4689946" id="{04D6E423-18C7-42B2-A67D-F49D8E62B571}">
            <xm:f>$AY$4='Data entry'!$R11</xm:f>
            <x14:dxf>
              <fill>
                <patternFill>
                  <bgColor rgb="FFFFFF00"/>
                </patternFill>
              </fill>
            </x14:dxf>
          </x14:cfRule>
          <xm:sqref>AK20:AY20</xm:sqref>
        </x14:conditionalFormatting>
        <x14:conditionalFormatting xmlns:xm="http://schemas.microsoft.com/office/excel/2006/main">
          <x14:cfRule type="expression" priority="4689947" id="{A931C203-6E4B-4EBD-A2F4-1876881F48D4}">
            <xm:f>$AZ$4='Data entry'!$R11</xm:f>
            <x14:dxf>
              <fill>
                <patternFill>
                  <bgColor rgb="FFFF0000"/>
                </patternFill>
              </fill>
            </x14:dxf>
          </x14:cfRule>
          <xm:sqref>AX21:BJ21</xm:sqref>
        </x14:conditionalFormatting>
        <x14:conditionalFormatting xmlns:xm="http://schemas.microsoft.com/office/excel/2006/main">
          <x14:cfRule type="expression" priority="4689948" id="{092D9100-E652-40FE-8CAA-720DC0681250}">
            <xm:f>$AZ$4='Data entry'!$R11</xm:f>
            <x14:dxf>
              <fill>
                <patternFill>
                  <bgColor rgb="FFFFFF00"/>
                </patternFill>
              </fill>
            </x14:dxf>
          </x14:cfRule>
          <xm:sqref>AL20:AZ20</xm:sqref>
        </x14:conditionalFormatting>
        <x14:conditionalFormatting xmlns:xm="http://schemas.microsoft.com/office/excel/2006/main">
          <x14:cfRule type="expression" priority="4689949" id="{A3C7E6BE-A225-483C-A983-A915DB662C52}">
            <xm:f>$BA$4='Data entry'!$R11</xm:f>
            <x14:dxf>
              <fill>
                <patternFill>
                  <bgColor rgb="FFFF0000"/>
                </patternFill>
              </fill>
            </x14:dxf>
          </x14:cfRule>
          <xm:sqref>AY21:BK21</xm:sqref>
        </x14:conditionalFormatting>
        <x14:conditionalFormatting xmlns:xm="http://schemas.microsoft.com/office/excel/2006/main">
          <x14:cfRule type="expression" priority="4689950" id="{F5CF569A-8AFA-4CFF-8BD3-F04D8927A99F}">
            <xm:f>$BA$4='Data entry'!$R11</xm:f>
            <x14:dxf>
              <fill>
                <patternFill>
                  <bgColor rgb="FFFFFF00"/>
                </patternFill>
              </fill>
            </x14:dxf>
          </x14:cfRule>
          <xm:sqref>AM20:BA20</xm:sqref>
        </x14:conditionalFormatting>
        <x14:conditionalFormatting xmlns:xm="http://schemas.microsoft.com/office/excel/2006/main">
          <x14:cfRule type="expression" priority="4689951" id="{E4DAC94A-7983-4BFB-A87B-45B58561841A}">
            <xm:f>$BB$4='Data entry'!$R11</xm:f>
            <x14:dxf>
              <fill>
                <patternFill>
                  <bgColor rgb="FFFF0000"/>
                </patternFill>
              </fill>
            </x14:dxf>
          </x14:cfRule>
          <xm:sqref>AZ21:BL21</xm:sqref>
        </x14:conditionalFormatting>
        <x14:conditionalFormatting xmlns:xm="http://schemas.microsoft.com/office/excel/2006/main">
          <x14:cfRule type="expression" priority="4689952" id="{E63849C5-F39B-4B0E-8F8A-B532EDF2CBAE}">
            <xm:f>$BB$4='Data entry'!$R11</xm:f>
            <x14:dxf>
              <fill>
                <patternFill>
                  <bgColor rgb="FFFFFF00"/>
                </patternFill>
              </fill>
            </x14:dxf>
          </x14:cfRule>
          <xm:sqref>AN20:BB20</xm:sqref>
        </x14:conditionalFormatting>
        <x14:conditionalFormatting xmlns:xm="http://schemas.microsoft.com/office/excel/2006/main">
          <x14:cfRule type="expression" priority="4689953" id="{4FDC32D3-C1F5-455D-9AA4-A03359B72526}">
            <xm:f>$BC$4='Data entry'!$R11</xm:f>
            <x14:dxf>
              <fill>
                <patternFill>
                  <bgColor rgb="FFFF0000"/>
                </patternFill>
              </fill>
            </x14:dxf>
          </x14:cfRule>
          <xm:sqref>BA21:BM21</xm:sqref>
        </x14:conditionalFormatting>
        <x14:conditionalFormatting xmlns:xm="http://schemas.microsoft.com/office/excel/2006/main">
          <x14:cfRule type="expression" priority="4689954" id="{5F0D0C60-B233-4C56-B05D-98C99990877F}">
            <xm:f>$BC$4='Data entry'!$R11</xm:f>
            <x14:dxf>
              <fill>
                <patternFill>
                  <bgColor rgb="FFFFFF00"/>
                </patternFill>
              </fill>
            </x14:dxf>
          </x14:cfRule>
          <xm:sqref>AO20:BC20</xm:sqref>
        </x14:conditionalFormatting>
        <x14:conditionalFormatting xmlns:xm="http://schemas.microsoft.com/office/excel/2006/main">
          <x14:cfRule type="expression" priority="4689955" id="{9EBCB60F-8135-43B6-A0F3-548D4092CC98}">
            <xm:f>$BD$4='Data entry'!$R11</xm:f>
            <x14:dxf>
              <fill>
                <patternFill>
                  <bgColor rgb="FFFF0000"/>
                </patternFill>
              </fill>
            </x14:dxf>
          </x14:cfRule>
          <xm:sqref>BB21:BN21</xm:sqref>
        </x14:conditionalFormatting>
        <x14:conditionalFormatting xmlns:xm="http://schemas.microsoft.com/office/excel/2006/main">
          <x14:cfRule type="expression" priority="4689956" id="{961AF346-4A73-41ED-9A8D-27D431B09C05}">
            <xm:f>$BD$4='Data entry'!$R11</xm:f>
            <x14:dxf>
              <fill>
                <patternFill>
                  <bgColor rgb="FFFFFF00"/>
                </patternFill>
              </fill>
            </x14:dxf>
          </x14:cfRule>
          <xm:sqref>AP20:BD20</xm:sqref>
        </x14:conditionalFormatting>
        <x14:conditionalFormatting xmlns:xm="http://schemas.microsoft.com/office/excel/2006/main">
          <x14:cfRule type="expression" priority="4689957" id="{5A887026-27CD-4F8C-8BA6-1E92704C1CA6}">
            <xm:f>$BE$4='Data entry'!$R11</xm:f>
            <x14:dxf>
              <fill>
                <patternFill>
                  <bgColor rgb="FFFF0000"/>
                </patternFill>
              </fill>
            </x14:dxf>
          </x14:cfRule>
          <xm:sqref>BC21:BO21</xm:sqref>
        </x14:conditionalFormatting>
        <x14:conditionalFormatting xmlns:xm="http://schemas.microsoft.com/office/excel/2006/main">
          <x14:cfRule type="expression" priority="4689958" id="{7F46217B-A1E9-4515-B31E-E756FCD7C6D9}">
            <xm:f>$BE$4='Data entry'!$R11</xm:f>
            <x14:dxf>
              <fill>
                <patternFill>
                  <bgColor rgb="FFFFFF00"/>
                </patternFill>
              </fill>
            </x14:dxf>
          </x14:cfRule>
          <xm:sqref>AP20:BE20</xm:sqref>
        </x14:conditionalFormatting>
        <x14:conditionalFormatting xmlns:xm="http://schemas.microsoft.com/office/excel/2006/main">
          <x14:cfRule type="expression" priority="4689959" id="{F4D9285C-8CA0-4EF1-943E-6A462D47CC77}">
            <xm:f>$BF$4='Data entry'!$R11</xm:f>
            <x14:dxf>
              <fill>
                <patternFill>
                  <bgColor rgb="FFFF0000"/>
                </patternFill>
              </fill>
            </x14:dxf>
          </x14:cfRule>
          <xm:sqref>BD21:BP21</xm:sqref>
        </x14:conditionalFormatting>
        <x14:conditionalFormatting xmlns:xm="http://schemas.microsoft.com/office/excel/2006/main">
          <x14:cfRule type="expression" priority="4689960" id="{B9E4407D-651D-4DC0-9D61-3271D62A65E9}">
            <xm:f>$BF$4='Data entry'!$R11</xm:f>
            <x14:dxf>
              <fill>
                <patternFill>
                  <bgColor rgb="FFFFFF00"/>
                </patternFill>
              </fill>
            </x14:dxf>
          </x14:cfRule>
          <xm:sqref>AR20:BF20</xm:sqref>
        </x14:conditionalFormatting>
        <x14:conditionalFormatting xmlns:xm="http://schemas.microsoft.com/office/excel/2006/main">
          <x14:cfRule type="expression" priority="4689961" id="{4CDC062F-DDFF-4556-B941-08F919727F69}">
            <xm:f>$BG$4='Data entry'!$R11</xm:f>
            <x14:dxf>
              <fill>
                <patternFill>
                  <bgColor rgb="FFFF0000"/>
                </patternFill>
              </fill>
            </x14:dxf>
          </x14:cfRule>
          <xm:sqref>BE21:BQ21</xm:sqref>
        </x14:conditionalFormatting>
        <x14:conditionalFormatting xmlns:xm="http://schemas.microsoft.com/office/excel/2006/main">
          <x14:cfRule type="expression" priority="4689962" id="{789184FA-9055-433B-8A1B-92C7ED59E81F}">
            <xm:f>$BG$4='Data entry'!$R11</xm:f>
            <x14:dxf>
              <fill>
                <patternFill>
                  <bgColor rgb="FFFFFF00"/>
                </patternFill>
              </fill>
            </x14:dxf>
          </x14:cfRule>
          <xm:sqref>AS20:BG20</xm:sqref>
        </x14:conditionalFormatting>
        <x14:conditionalFormatting xmlns:xm="http://schemas.microsoft.com/office/excel/2006/main">
          <x14:cfRule type="expression" priority="4689963" id="{58651E5C-09C9-46C1-B95C-E8A578A49E15}">
            <xm:f>$BH$4='Data entry'!$R11</xm:f>
            <x14:dxf>
              <fill>
                <patternFill>
                  <bgColor rgb="FFFFFF00"/>
                </patternFill>
              </fill>
            </x14:dxf>
          </x14:cfRule>
          <xm:sqref>AT20:BH20</xm:sqref>
        </x14:conditionalFormatting>
        <x14:conditionalFormatting xmlns:xm="http://schemas.microsoft.com/office/excel/2006/main">
          <x14:cfRule type="expression" priority="4689964" id="{97B30B86-8311-4DC0-A533-8C0D53F37839}">
            <xm:f>$BH$4='Data entry'!$R11</xm:f>
            <x14:dxf>
              <fill>
                <patternFill>
                  <bgColor rgb="FFFF0000"/>
                </patternFill>
              </fill>
            </x14:dxf>
          </x14:cfRule>
          <xm:sqref>BF21:BR21</xm:sqref>
        </x14:conditionalFormatting>
        <x14:conditionalFormatting xmlns:xm="http://schemas.microsoft.com/office/excel/2006/main">
          <x14:cfRule type="expression" priority="4689965" id="{78344C0C-5AEA-40B1-A20C-6D77DF58E1F5}">
            <xm:f>$BI$4='Data entry'!$R11</xm:f>
            <x14:dxf>
              <fill>
                <patternFill>
                  <bgColor rgb="FFFFFF00"/>
                </patternFill>
              </fill>
            </x14:dxf>
          </x14:cfRule>
          <xm:sqref>AU20:BI20</xm:sqref>
        </x14:conditionalFormatting>
        <x14:conditionalFormatting xmlns:xm="http://schemas.microsoft.com/office/excel/2006/main">
          <x14:cfRule type="expression" priority="4689966" id="{A9CE044F-482E-4F25-B28F-89ACC58502B1}">
            <xm:f>$BI$4='Data entry'!$R11</xm:f>
            <x14:dxf>
              <fill>
                <patternFill>
                  <bgColor rgb="FFFF0000"/>
                </patternFill>
              </fill>
            </x14:dxf>
          </x14:cfRule>
          <xm:sqref>BG21:BS21</xm:sqref>
        </x14:conditionalFormatting>
        <x14:conditionalFormatting xmlns:xm="http://schemas.microsoft.com/office/excel/2006/main">
          <x14:cfRule type="expression" priority="4689967" id="{F63BE0EB-3C71-4456-BEF0-11180AB7A8BB}">
            <xm:f>$BJ$4='Data entry'!$R11</xm:f>
            <x14:dxf>
              <fill>
                <patternFill>
                  <bgColor rgb="FFFFFF00"/>
                </patternFill>
              </fill>
            </x14:dxf>
          </x14:cfRule>
          <xm:sqref>AV20:BJ20</xm:sqref>
        </x14:conditionalFormatting>
        <x14:conditionalFormatting xmlns:xm="http://schemas.microsoft.com/office/excel/2006/main">
          <x14:cfRule type="expression" priority="4689968" id="{478A5DCB-1DAA-4497-A6CC-B4F01FB96D10}">
            <xm:f>$BJ$4='Data entry'!$R11</xm:f>
            <x14:dxf>
              <fill>
                <patternFill>
                  <bgColor rgb="FFFF0000"/>
                </patternFill>
              </fill>
            </x14:dxf>
          </x14:cfRule>
          <xm:sqref>BH21:BT21</xm:sqref>
        </x14:conditionalFormatting>
        <x14:conditionalFormatting xmlns:xm="http://schemas.microsoft.com/office/excel/2006/main">
          <x14:cfRule type="expression" priority="4689969" id="{CDE4AD5B-65A6-4FA4-9EC0-8D05F22312A9}">
            <xm:f>$BK$4='Data entry'!$R11</xm:f>
            <x14:dxf>
              <fill>
                <patternFill>
                  <bgColor rgb="FFFF0000"/>
                </patternFill>
              </fill>
            </x14:dxf>
          </x14:cfRule>
          <xm:sqref>BI21:BU21</xm:sqref>
        </x14:conditionalFormatting>
        <x14:conditionalFormatting xmlns:xm="http://schemas.microsoft.com/office/excel/2006/main">
          <x14:cfRule type="expression" priority="4689970" id="{AB32E790-6CD8-4D11-9A69-57D785FE4BBC}">
            <xm:f>$BK$4='Data entry'!$R11</xm:f>
            <x14:dxf>
              <fill>
                <patternFill>
                  <bgColor rgb="FFFFFF00"/>
                </patternFill>
              </fill>
            </x14:dxf>
          </x14:cfRule>
          <xm:sqref>AW20:BK20</xm:sqref>
        </x14:conditionalFormatting>
        <x14:conditionalFormatting xmlns:xm="http://schemas.microsoft.com/office/excel/2006/main">
          <x14:cfRule type="expression" priority="4689971" id="{99810EB9-805C-43D8-852A-EEECE7874CDB}">
            <xm:f>$BL$4='Data entry'!$R11</xm:f>
            <x14:dxf>
              <fill>
                <patternFill>
                  <bgColor rgb="FFFF0000"/>
                </patternFill>
              </fill>
            </x14:dxf>
          </x14:cfRule>
          <xm:sqref>BJ21:BV21</xm:sqref>
        </x14:conditionalFormatting>
        <x14:conditionalFormatting xmlns:xm="http://schemas.microsoft.com/office/excel/2006/main">
          <x14:cfRule type="expression" priority="4689972" id="{BF5F5475-4E46-479C-97A6-D5175F5D1803}">
            <xm:f>$BL$4='Data entry'!$R11</xm:f>
            <x14:dxf>
              <fill>
                <patternFill>
                  <bgColor rgb="FFFFFF00"/>
                </patternFill>
              </fill>
            </x14:dxf>
          </x14:cfRule>
          <xm:sqref>AX20:BL20</xm:sqref>
        </x14:conditionalFormatting>
        <x14:conditionalFormatting xmlns:xm="http://schemas.microsoft.com/office/excel/2006/main">
          <x14:cfRule type="expression" priority="4689973" id="{B86FDF2F-16C9-46B1-847E-7EA1A8A34B9D}">
            <xm:f>$BM$4='Data entry'!$R11</xm:f>
            <x14:dxf>
              <fill>
                <patternFill>
                  <bgColor rgb="FFFF0000"/>
                </patternFill>
              </fill>
            </x14:dxf>
          </x14:cfRule>
          <xm:sqref>BK21:BW21</xm:sqref>
        </x14:conditionalFormatting>
        <x14:conditionalFormatting xmlns:xm="http://schemas.microsoft.com/office/excel/2006/main">
          <x14:cfRule type="expression" priority="4689974" id="{72FD189F-4CED-400D-9FEF-21A328970A4D}">
            <xm:f>$BM$4='Data entry'!$R11</xm:f>
            <x14:dxf>
              <fill>
                <patternFill>
                  <bgColor rgb="FFFFFF00"/>
                </patternFill>
              </fill>
            </x14:dxf>
          </x14:cfRule>
          <xm:sqref>AY20:BM20</xm:sqref>
        </x14:conditionalFormatting>
        <x14:conditionalFormatting xmlns:xm="http://schemas.microsoft.com/office/excel/2006/main">
          <x14:cfRule type="expression" priority="4689975" id="{BBBBF859-D5A7-4F55-BFBF-8A77E3357590}">
            <xm:f>$BN$4='Data entry'!$R11</xm:f>
            <x14:dxf>
              <fill>
                <patternFill>
                  <bgColor rgb="FFFF0000"/>
                </patternFill>
              </fill>
            </x14:dxf>
          </x14:cfRule>
          <xm:sqref>BL21:BX21</xm:sqref>
        </x14:conditionalFormatting>
        <x14:conditionalFormatting xmlns:xm="http://schemas.microsoft.com/office/excel/2006/main">
          <x14:cfRule type="expression" priority="4689976" id="{50CB1D75-0FD5-4D24-92B1-E8A41DC6575C}">
            <xm:f>$BN$4='Data entry'!$R11</xm:f>
            <x14:dxf>
              <fill>
                <patternFill>
                  <bgColor rgb="FFFFFF00"/>
                </patternFill>
              </fill>
            </x14:dxf>
          </x14:cfRule>
          <xm:sqref>AZ20:BN20</xm:sqref>
        </x14:conditionalFormatting>
        <x14:conditionalFormatting xmlns:xm="http://schemas.microsoft.com/office/excel/2006/main">
          <x14:cfRule type="expression" priority="4689977" id="{9EF3226D-E8FC-496B-A6FF-71776AEA54D1}">
            <xm:f>$BO$4='Data entry'!$R11</xm:f>
            <x14:dxf>
              <fill>
                <patternFill>
                  <bgColor rgb="FFFF0000"/>
                </patternFill>
              </fill>
            </x14:dxf>
          </x14:cfRule>
          <xm:sqref>BM21:BY21</xm:sqref>
        </x14:conditionalFormatting>
        <x14:conditionalFormatting xmlns:xm="http://schemas.microsoft.com/office/excel/2006/main">
          <x14:cfRule type="expression" priority="4689978" id="{3B86C801-ECFE-4D05-8AA5-1581116BAFBC}">
            <xm:f>$BO$4='Data entry'!$R11</xm:f>
            <x14:dxf>
              <fill>
                <patternFill>
                  <bgColor rgb="FFFFFF00"/>
                </patternFill>
              </fill>
            </x14:dxf>
          </x14:cfRule>
          <xm:sqref>BA20:BO20</xm:sqref>
        </x14:conditionalFormatting>
        <x14:conditionalFormatting xmlns:xm="http://schemas.microsoft.com/office/excel/2006/main">
          <x14:cfRule type="expression" priority="4689979" id="{058A23EC-3371-4A02-9F20-1ECA603AC6BC}">
            <xm:f>$BP$4='Data entry'!$R11</xm:f>
            <x14:dxf>
              <fill>
                <patternFill>
                  <bgColor rgb="FFFF0000"/>
                </patternFill>
              </fill>
            </x14:dxf>
          </x14:cfRule>
          <xm:sqref>BN21:BZ21</xm:sqref>
        </x14:conditionalFormatting>
        <x14:conditionalFormatting xmlns:xm="http://schemas.microsoft.com/office/excel/2006/main">
          <x14:cfRule type="expression" priority="4689980" id="{3E711E31-3992-4555-AB22-87133D60CD15}">
            <xm:f>$BP$4='Data entry'!$R11</xm:f>
            <x14:dxf>
              <fill>
                <patternFill>
                  <bgColor rgb="FFFFFF00"/>
                </patternFill>
              </fill>
            </x14:dxf>
          </x14:cfRule>
          <xm:sqref>BB20:BP20</xm:sqref>
        </x14:conditionalFormatting>
        <x14:conditionalFormatting xmlns:xm="http://schemas.microsoft.com/office/excel/2006/main">
          <x14:cfRule type="expression" priority="4689981" id="{23E9F8B9-37D5-4730-9453-6F23E8ECBBE3}">
            <xm:f>$BQ$4='Data entry'!$R11</xm:f>
            <x14:dxf>
              <fill>
                <patternFill>
                  <bgColor rgb="FFFFFF00"/>
                </patternFill>
              </fill>
            </x14:dxf>
          </x14:cfRule>
          <xm:sqref>BC20:BQ20</xm:sqref>
        </x14:conditionalFormatting>
        <x14:conditionalFormatting xmlns:xm="http://schemas.microsoft.com/office/excel/2006/main">
          <x14:cfRule type="expression" priority="4689982" id="{BCFD92F6-AAD3-44FD-BC61-A292A81B883E}">
            <xm:f>$BQ$4='Data entry'!$R11</xm:f>
            <x14:dxf>
              <fill>
                <patternFill>
                  <bgColor rgb="FFFF0000"/>
                </patternFill>
              </fill>
            </x14:dxf>
          </x14:cfRule>
          <xm:sqref>BO21:CA21</xm:sqref>
        </x14:conditionalFormatting>
        <x14:conditionalFormatting xmlns:xm="http://schemas.microsoft.com/office/excel/2006/main">
          <x14:cfRule type="expression" priority="4689983" id="{357D60E5-F356-477E-8020-A18F42C02832}">
            <xm:f>$BR$4='Data entry'!$R11</xm:f>
            <x14:dxf>
              <fill>
                <patternFill>
                  <bgColor rgb="FFFFFF00"/>
                </patternFill>
              </fill>
            </x14:dxf>
          </x14:cfRule>
          <xm:sqref>BD20:BR20</xm:sqref>
        </x14:conditionalFormatting>
        <x14:conditionalFormatting xmlns:xm="http://schemas.microsoft.com/office/excel/2006/main">
          <x14:cfRule type="expression" priority="4689984" id="{DA2B6511-43B3-432D-B6AA-1DB1188B90A6}">
            <xm:f>$BR$4='Data entry'!$R11</xm:f>
            <x14:dxf>
              <fill>
                <patternFill>
                  <bgColor rgb="FFFF0000"/>
                </patternFill>
              </fill>
            </x14:dxf>
          </x14:cfRule>
          <xm:sqref>BP21:CB21</xm:sqref>
        </x14:conditionalFormatting>
        <x14:conditionalFormatting xmlns:xm="http://schemas.microsoft.com/office/excel/2006/main">
          <x14:cfRule type="expression" priority="4689985" id="{0D5F64E4-4136-4BFA-B833-CC8578525D9C}">
            <xm:f>$BS$4='Data entry'!$R11</xm:f>
            <x14:dxf>
              <fill>
                <patternFill>
                  <bgColor rgb="FFFFFF00"/>
                </patternFill>
              </fill>
            </x14:dxf>
          </x14:cfRule>
          <xm:sqref>BE20:BS20</xm:sqref>
        </x14:conditionalFormatting>
        <x14:conditionalFormatting xmlns:xm="http://schemas.microsoft.com/office/excel/2006/main">
          <x14:cfRule type="expression" priority="4689986" id="{AC94D468-F078-4AE2-8771-102996E07B09}">
            <xm:f>$BS$4='Data entry'!$R11</xm:f>
            <x14:dxf>
              <fill>
                <patternFill>
                  <bgColor rgb="FFFF0000"/>
                </patternFill>
              </fill>
            </x14:dxf>
          </x14:cfRule>
          <xm:sqref>BQ21:CC21</xm:sqref>
        </x14:conditionalFormatting>
        <x14:conditionalFormatting xmlns:xm="http://schemas.microsoft.com/office/excel/2006/main">
          <x14:cfRule type="expression" priority="4689987" id="{10E78F76-181E-4F19-9F89-7DD36D3EFE30}">
            <xm:f>$BT$4='Data entry'!$R11</xm:f>
            <x14:dxf>
              <fill>
                <patternFill>
                  <bgColor rgb="FFFFFF00"/>
                </patternFill>
              </fill>
            </x14:dxf>
          </x14:cfRule>
          <xm:sqref>BF20:BT20</xm:sqref>
        </x14:conditionalFormatting>
        <x14:conditionalFormatting xmlns:xm="http://schemas.microsoft.com/office/excel/2006/main">
          <x14:cfRule type="expression" priority="4689988" id="{6A5FADC6-9512-4EFB-90A5-7B5244D10D1F}">
            <xm:f>$BT$4='Data entry'!$R11</xm:f>
            <x14:dxf>
              <fill>
                <patternFill>
                  <bgColor rgb="FFFF0000"/>
                </patternFill>
              </fill>
            </x14:dxf>
          </x14:cfRule>
          <xm:sqref>BR21:CC21</xm:sqref>
        </x14:conditionalFormatting>
        <x14:conditionalFormatting xmlns:xm="http://schemas.microsoft.com/office/excel/2006/main">
          <x14:cfRule type="expression" priority="4689989" id="{A51139D1-8841-4B96-B8CB-DFE3808765CF}">
            <xm:f>$BU$4='Data entry'!$R11</xm:f>
            <x14:dxf>
              <fill>
                <patternFill>
                  <bgColor rgb="FFFFFF00"/>
                </patternFill>
              </fill>
            </x14:dxf>
          </x14:cfRule>
          <xm:sqref>BG20:BU20</xm:sqref>
        </x14:conditionalFormatting>
        <x14:conditionalFormatting xmlns:xm="http://schemas.microsoft.com/office/excel/2006/main">
          <x14:cfRule type="expression" priority="4689990" id="{55CA7258-760F-4BFF-ACB5-A70FEB3E7981}">
            <xm:f>$BU$4='Data entry'!$R11</xm:f>
            <x14:dxf>
              <fill>
                <patternFill>
                  <bgColor rgb="FFFF0000"/>
                </patternFill>
              </fill>
            </x14:dxf>
          </x14:cfRule>
          <xm:sqref>BS21:CC21</xm:sqref>
        </x14:conditionalFormatting>
        <x14:conditionalFormatting xmlns:xm="http://schemas.microsoft.com/office/excel/2006/main">
          <x14:cfRule type="expression" priority="4689991" id="{A922B218-64DB-4CBB-9AB8-FE0EBB44E09E}">
            <xm:f>$BV$4='Data entry'!$R11</xm:f>
            <x14:dxf>
              <fill>
                <patternFill>
                  <bgColor rgb="FFFFFF00"/>
                </patternFill>
              </fill>
            </x14:dxf>
          </x14:cfRule>
          <xm:sqref>BH20:BV20</xm:sqref>
        </x14:conditionalFormatting>
        <x14:conditionalFormatting xmlns:xm="http://schemas.microsoft.com/office/excel/2006/main">
          <x14:cfRule type="expression" priority="4689992" id="{C98E908A-CD31-4778-B41C-7AFB9DBE639A}">
            <xm:f>$BV$4='Data entry'!$R11</xm:f>
            <x14:dxf>
              <fill>
                <patternFill>
                  <bgColor rgb="FFFF0000"/>
                </patternFill>
              </fill>
            </x14:dxf>
          </x14:cfRule>
          <xm:sqref>BT21:CC21</xm:sqref>
        </x14:conditionalFormatting>
        <x14:conditionalFormatting xmlns:xm="http://schemas.microsoft.com/office/excel/2006/main">
          <x14:cfRule type="expression" priority="4689993" id="{465CCCA3-B4DB-4B61-8AC7-8A5E4CEC9E3F}">
            <xm:f>$BW$4='Data entry'!$R11</xm:f>
            <x14:dxf>
              <fill>
                <patternFill>
                  <bgColor rgb="FFFFFF00"/>
                </patternFill>
              </fill>
            </x14:dxf>
          </x14:cfRule>
          <xm:sqref>BI20:BW20</xm:sqref>
        </x14:conditionalFormatting>
        <x14:conditionalFormatting xmlns:xm="http://schemas.microsoft.com/office/excel/2006/main">
          <x14:cfRule type="expression" priority="4689994" id="{37566F97-6D06-400B-A709-FE657B07687F}">
            <xm:f>$BW$4='Data entry'!$R11</xm:f>
            <x14:dxf>
              <fill>
                <patternFill>
                  <bgColor rgb="FFFF0000"/>
                </patternFill>
              </fill>
            </x14:dxf>
          </x14:cfRule>
          <xm:sqref>BU21:CC21</xm:sqref>
        </x14:conditionalFormatting>
        <x14:conditionalFormatting xmlns:xm="http://schemas.microsoft.com/office/excel/2006/main">
          <x14:cfRule type="expression" priority="4689995" id="{D8FBA3AC-5CF0-4E45-97CA-1D4DEE729ADA}">
            <xm:f>$BX$4='Data entry'!$R11</xm:f>
            <x14:dxf>
              <fill>
                <patternFill>
                  <bgColor rgb="FFFFFF00"/>
                </patternFill>
              </fill>
            </x14:dxf>
          </x14:cfRule>
          <xm:sqref>BJ20:BX20</xm:sqref>
        </x14:conditionalFormatting>
        <x14:conditionalFormatting xmlns:xm="http://schemas.microsoft.com/office/excel/2006/main">
          <x14:cfRule type="expression" priority="4689996" id="{E077C84B-A94F-431D-B232-4AFCC7C64F54}">
            <xm:f>$BX$4='Data entry'!$R11</xm:f>
            <x14:dxf>
              <fill>
                <patternFill>
                  <bgColor rgb="FFFF0000"/>
                </patternFill>
              </fill>
            </x14:dxf>
          </x14:cfRule>
          <xm:sqref>BV21:CC21</xm:sqref>
        </x14:conditionalFormatting>
        <x14:conditionalFormatting xmlns:xm="http://schemas.microsoft.com/office/excel/2006/main">
          <x14:cfRule type="expression" priority="4689997" id="{63783BA8-0C97-4A44-86FD-7A2BCF1B9957}">
            <xm:f>$BY$4='Data entry'!$R11</xm:f>
            <x14:dxf>
              <fill>
                <patternFill>
                  <bgColor rgb="FFFFFF00"/>
                </patternFill>
              </fill>
            </x14:dxf>
          </x14:cfRule>
          <xm:sqref>BK20:BY20</xm:sqref>
        </x14:conditionalFormatting>
        <x14:conditionalFormatting xmlns:xm="http://schemas.microsoft.com/office/excel/2006/main">
          <x14:cfRule type="expression" priority="4689998" id="{BB8DB8B4-B71B-46D2-AEE7-346F16103F74}">
            <xm:f>$BY$4='Data entry'!$R11</xm:f>
            <x14:dxf>
              <fill>
                <patternFill>
                  <bgColor rgb="FFFF0000"/>
                </patternFill>
              </fill>
            </x14:dxf>
          </x14:cfRule>
          <xm:sqref>BW21:CC21</xm:sqref>
        </x14:conditionalFormatting>
        <x14:conditionalFormatting xmlns:xm="http://schemas.microsoft.com/office/excel/2006/main">
          <x14:cfRule type="expression" priority="4689999" id="{1B638B98-2B06-4FEB-90C1-446A3E0A3979}">
            <xm:f>$BZ$4='Data entry'!$R11</xm:f>
            <x14:dxf>
              <fill>
                <patternFill>
                  <bgColor rgb="FFFFFF00"/>
                </patternFill>
              </fill>
            </x14:dxf>
          </x14:cfRule>
          <xm:sqref>BL20:BZ20</xm:sqref>
        </x14:conditionalFormatting>
        <x14:conditionalFormatting xmlns:xm="http://schemas.microsoft.com/office/excel/2006/main">
          <x14:cfRule type="expression" priority="4690000" id="{D3A0A2F8-D1B2-4DC5-B2A9-0EF53074E685}">
            <xm:f>$BZ$4='Data entry'!$R11</xm:f>
            <x14:dxf>
              <fill>
                <patternFill>
                  <bgColor rgb="FFFF0000"/>
                </patternFill>
              </fill>
            </x14:dxf>
          </x14:cfRule>
          <xm:sqref>BX21:CC21</xm:sqref>
        </x14:conditionalFormatting>
        <x14:conditionalFormatting xmlns:xm="http://schemas.microsoft.com/office/excel/2006/main">
          <x14:cfRule type="expression" priority="4690001" id="{83F6D018-7D3B-4D33-9998-11572F2F2FF5}">
            <xm:f>$CA$4='Data entry'!$R11</xm:f>
            <x14:dxf>
              <fill>
                <patternFill>
                  <bgColor rgb="FFFFFF00"/>
                </patternFill>
              </fill>
            </x14:dxf>
          </x14:cfRule>
          <xm:sqref>BM20:CA20</xm:sqref>
        </x14:conditionalFormatting>
        <x14:conditionalFormatting xmlns:xm="http://schemas.microsoft.com/office/excel/2006/main">
          <x14:cfRule type="expression" priority="4690002" id="{8E6D0B51-5626-4ED9-9072-C7A2C139704F}">
            <xm:f>$CA$4='Data entry'!$R11</xm:f>
            <x14:dxf>
              <fill>
                <patternFill>
                  <bgColor rgb="FFFF0000"/>
                </patternFill>
              </fill>
            </x14:dxf>
          </x14:cfRule>
          <xm:sqref>BY21:CC21</xm:sqref>
        </x14:conditionalFormatting>
        <x14:conditionalFormatting xmlns:xm="http://schemas.microsoft.com/office/excel/2006/main">
          <x14:cfRule type="expression" priority="4690003" id="{E1886EE4-3BDE-43A9-9F4B-79377FEC37FE}">
            <xm:f>$CB$4='Data entry'!$R11</xm:f>
            <x14:dxf>
              <fill>
                <patternFill>
                  <bgColor rgb="FFFFFF00"/>
                </patternFill>
              </fill>
            </x14:dxf>
          </x14:cfRule>
          <xm:sqref>BN20:CB20</xm:sqref>
        </x14:conditionalFormatting>
        <x14:conditionalFormatting xmlns:xm="http://schemas.microsoft.com/office/excel/2006/main">
          <x14:cfRule type="expression" priority="4690004" id="{ADEF572A-6C18-4602-BB86-01C96D36E07E}">
            <xm:f>$CB$4='Data entry'!$R11</xm:f>
            <x14:dxf>
              <fill>
                <patternFill>
                  <bgColor rgb="FFFF0000"/>
                </patternFill>
              </fill>
            </x14:dxf>
          </x14:cfRule>
          <xm:sqref>BZ21:CC21</xm:sqref>
        </x14:conditionalFormatting>
        <x14:conditionalFormatting xmlns:xm="http://schemas.microsoft.com/office/excel/2006/main">
          <x14:cfRule type="expression" priority="4690005" id="{7984E1C9-E073-4955-8543-62145CB6D008}">
            <xm:f>$CC$4='Data entry'!$R11</xm:f>
            <x14:dxf>
              <fill>
                <patternFill>
                  <bgColor rgb="FFFFFF00"/>
                </patternFill>
              </fill>
            </x14:dxf>
          </x14:cfRule>
          <xm:sqref>BO20:CC20</xm:sqref>
        </x14:conditionalFormatting>
        <x14:conditionalFormatting xmlns:xm="http://schemas.microsoft.com/office/excel/2006/main">
          <x14:cfRule type="expression" priority="4690006" id="{18A957B3-59FA-4698-BA92-2A208FF18E2F}">
            <xm:f>$CC$4='Data entry'!$R11</xm:f>
            <x14:dxf>
              <fill>
                <patternFill>
                  <bgColor rgb="FFFF0000"/>
                </patternFill>
              </fill>
            </x14:dxf>
          </x14:cfRule>
          <xm:sqref>CA21:CC21</xm:sqref>
        </x14:conditionalFormatting>
        <x14:conditionalFormatting xmlns:xm="http://schemas.microsoft.com/office/excel/2006/main">
          <x14:cfRule type="expression" priority="4690093" id="{5B0DB825-B7C2-40AC-B7EF-F267F054CFB9}">
            <xm:f>$U$4='Data entry'!$R12</xm:f>
            <x14:dxf>
              <fill>
                <patternFill>
                  <bgColor rgb="FFFF0000"/>
                </patternFill>
              </fill>
            </x14:dxf>
          </x14:cfRule>
          <xm:sqref>S24:AE24</xm:sqref>
        </x14:conditionalFormatting>
        <x14:conditionalFormatting xmlns:xm="http://schemas.microsoft.com/office/excel/2006/main">
          <x14:cfRule type="expression" priority="4690094" id="{18311200-E2BB-400F-B594-3B9A2C6068C2}">
            <xm:f>$V$4='Data entry'!$R12</xm:f>
            <x14:dxf>
              <fill>
                <patternFill>
                  <bgColor rgb="FFFF0000"/>
                </patternFill>
              </fill>
            </x14:dxf>
          </x14:cfRule>
          <xm:sqref>T24:AF24</xm:sqref>
        </x14:conditionalFormatting>
        <x14:conditionalFormatting xmlns:xm="http://schemas.microsoft.com/office/excel/2006/main">
          <x14:cfRule type="expression" priority="4690095" id="{D6DFB621-1A58-4C59-A987-ECAD0EB2D32B}">
            <xm:f>$V$4='Data entry'!$R12</xm:f>
            <x14:dxf>
              <fill>
                <patternFill>
                  <bgColor rgb="FFFFFF00"/>
                </patternFill>
              </fill>
            </x14:dxf>
          </x14:cfRule>
          <xm:sqref>H23:V23</xm:sqref>
        </x14:conditionalFormatting>
        <x14:conditionalFormatting xmlns:xm="http://schemas.microsoft.com/office/excel/2006/main">
          <x14:cfRule type="expression" priority="4690096" id="{5F87A680-DC5F-433D-A779-B7A534ACCDA9}">
            <xm:f>$W$4='Data entry'!$R12</xm:f>
            <x14:dxf>
              <fill>
                <patternFill>
                  <bgColor rgb="FFFF0000"/>
                </patternFill>
              </fill>
            </x14:dxf>
          </x14:cfRule>
          <xm:sqref>U24:AG24</xm:sqref>
        </x14:conditionalFormatting>
        <x14:conditionalFormatting xmlns:xm="http://schemas.microsoft.com/office/excel/2006/main">
          <x14:cfRule type="expression" priority="4690097" id="{964539FF-A92C-4F68-B268-B7157A32678C}">
            <xm:f>$W$4='Data entry'!$R12</xm:f>
            <x14:dxf>
              <fill>
                <patternFill>
                  <bgColor rgb="FFFFFF00"/>
                </patternFill>
              </fill>
            </x14:dxf>
          </x14:cfRule>
          <xm:sqref>I23:W23</xm:sqref>
        </x14:conditionalFormatting>
        <x14:conditionalFormatting xmlns:xm="http://schemas.microsoft.com/office/excel/2006/main">
          <x14:cfRule type="expression" priority="4690098" id="{46C1533A-F090-4A90-9309-3F59EC3FD3B0}">
            <xm:f>$X$4='Data entry'!$R12</xm:f>
            <x14:dxf>
              <fill>
                <patternFill>
                  <bgColor rgb="FFFF0000"/>
                </patternFill>
              </fill>
            </x14:dxf>
          </x14:cfRule>
          <xm:sqref>V24:AH24</xm:sqref>
        </x14:conditionalFormatting>
        <x14:conditionalFormatting xmlns:xm="http://schemas.microsoft.com/office/excel/2006/main">
          <x14:cfRule type="expression" priority="4690099" id="{7C70E81C-DDD4-4D75-933A-4F6A39893184}">
            <xm:f>$X$4='Data entry'!$R12</xm:f>
            <x14:dxf>
              <fill>
                <patternFill>
                  <bgColor rgb="FFFFFF00"/>
                </patternFill>
              </fill>
            </x14:dxf>
          </x14:cfRule>
          <xm:sqref>J23:X23</xm:sqref>
        </x14:conditionalFormatting>
        <x14:conditionalFormatting xmlns:xm="http://schemas.microsoft.com/office/excel/2006/main">
          <x14:cfRule type="expression" priority="4690100" id="{561AF073-0EF8-4B72-A119-40A639C4359D}">
            <xm:f>$Y$4='Data entry'!$R12</xm:f>
            <x14:dxf>
              <fill>
                <patternFill>
                  <bgColor rgb="FFFF0000"/>
                </patternFill>
              </fill>
            </x14:dxf>
          </x14:cfRule>
          <xm:sqref>W24:AI24</xm:sqref>
        </x14:conditionalFormatting>
        <x14:conditionalFormatting xmlns:xm="http://schemas.microsoft.com/office/excel/2006/main">
          <x14:cfRule type="expression" priority="4690101" id="{F242E808-8F07-4A89-9524-7D4C767CE357}">
            <xm:f>$Y$4='Data entry'!$R12</xm:f>
            <x14:dxf>
              <fill>
                <patternFill>
                  <bgColor rgb="FFFFFF00"/>
                </patternFill>
              </fill>
            </x14:dxf>
          </x14:cfRule>
          <xm:sqref>K23:Y23</xm:sqref>
        </x14:conditionalFormatting>
        <x14:conditionalFormatting xmlns:xm="http://schemas.microsoft.com/office/excel/2006/main">
          <x14:cfRule type="expression" priority="4690102" id="{DD601058-982B-4218-BD9D-64BB823C2633}">
            <xm:f>$Z$4='Data entry'!$R12</xm:f>
            <x14:dxf>
              <fill>
                <patternFill>
                  <bgColor rgb="FFFF0000"/>
                </patternFill>
              </fill>
            </x14:dxf>
          </x14:cfRule>
          <xm:sqref>X24:AJ24</xm:sqref>
        </x14:conditionalFormatting>
        <x14:conditionalFormatting xmlns:xm="http://schemas.microsoft.com/office/excel/2006/main">
          <x14:cfRule type="expression" priority="4690103" id="{C9DB141D-79F6-4093-92A3-7BF7A1622985}">
            <xm:f>$Z$4='Data entry'!$R12</xm:f>
            <x14:dxf>
              <fill>
                <patternFill>
                  <bgColor rgb="FFFFFF00"/>
                </patternFill>
              </fill>
            </x14:dxf>
          </x14:cfRule>
          <xm:sqref>L23:Z23</xm:sqref>
        </x14:conditionalFormatting>
        <x14:conditionalFormatting xmlns:xm="http://schemas.microsoft.com/office/excel/2006/main">
          <x14:cfRule type="expression" priority="4690104" id="{710EB8D3-F5C0-4E3C-8214-2D0C4E26F649}">
            <xm:f>$AA$4='Data entry'!$R12</xm:f>
            <x14:dxf>
              <fill>
                <patternFill>
                  <bgColor rgb="FFFF0000"/>
                </patternFill>
              </fill>
            </x14:dxf>
          </x14:cfRule>
          <xm:sqref>Y24:AK24</xm:sqref>
        </x14:conditionalFormatting>
        <x14:conditionalFormatting xmlns:xm="http://schemas.microsoft.com/office/excel/2006/main">
          <x14:cfRule type="expression" priority="4690105" id="{33825D69-C967-4D27-B395-5D44A3083802}">
            <xm:f>$AA$4='Data entry'!$R12</xm:f>
            <x14:dxf>
              <fill>
                <patternFill>
                  <bgColor rgb="FFFFFF00"/>
                </patternFill>
              </fill>
            </x14:dxf>
          </x14:cfRule>
          <xm:sqref>M23:AA23</xm:sqref>
        </x14:conditionalFormatting>
        <x14:conditionalFormatting xmlns:xm="http://schemas.microsoft.com/office/excel/2006/main">
          <x14:cfRule type="expression" priority="4690106" id="{9811A97D-351B-4D32-8754-AF433277E62B}">
            <xm:f>$AB$4='Data entry'!$R12</xm:f>
            <x14:dxf>
              <fill>
                <patternFill>
                  <bgColor rgb="FFFF0000"/>
                </patternFill>
              </fill>
            </x14:dxf>
          </x14:cfRule>
          <xm:sqref>Z24:AL24</xm:sqref>
        </x14:conditionalFormatting>
        <x14:conditionalFormatting xmlns:xm="http://schemas.microsoft.com/office/excel/2006/main">
          <x14:cfRule type="expression" priority="4690107" id="{6DD3E556-C72E-438B-92DA-3096ED1E4178}">
            <xm:f>$AB$4='Data entry'!$R12</xm:f>
            <x14:dxf>
              <fill>
                <patternFill>
                  <bgColor rgb="FFFFFF00"/>
                </patternFill>
              </fill>
            </x14:dxf>
          </x14:cfRule>
          <xm:sqref>N23:AB23</xm:sqref>
        </x14:conditionalFormatting>
        <x14:conditionalFormatting xmlns:xm="http://schemas.microsoft.com/office/excel/2006/main">
          <x14:cfRule type="expression" priority="4690108" id="{C0DF7A1B-D6BC-4371-BD3A-F0708147FA1C}">
            <xm:f>$AC$4='Data entry'!$R12</xm:f>
            <x14:dxf>
              <fill>
                <patternFill>
                  <bgColor rgb="FFFF0000"/>
                </patternFill>
              </fill>
            </x14:dxf>
          </x14:cfRule>
          <xm:sqref>AA24:AM24</xm:sqref>
        </x14:conditionalFormatting>
        <x14:conditionalFormatting xmlns:xm="http://schemas.microsoft.com/office/excel/2006/main">
          <x14:cfRule type="expression" priority="4690109" id="{DB2E1F48-AF0E-41F9-A976-6B1963CA5711}">
            <xm:f>$AC$4='Data entry'!$R12</xm:f>
            <x14:dxf>
              <fill>
                <patternFill>
                  <bgColor rgb="FFFFFF00"/>
                </patternFill>
              </fill>
            </x14:dxf>
          </x14:cfRule>
          <xm:sqref>O23:AC23</xm:sqref>
        </x14:conditionalFormatting>
        <x14:conditionalFormatting xmlns:xm="http://schemas.microsoft.com/office/excel/2006/main">
          <x14:cfRule type="expression" priority="4690110" id="{89909907-F9A9-4AF9-BC1D-304710A43F50}">
            <xm:f>$AD$4='Data entry'!$R12</xm:f>
            <x14:dxf>
              <fill>
                <patternFill>
                  <bgColor rgb="FFFF0000"/>
                </patternFill>
              </fill>
            </x14:dxf>
          </x14:cfRule>
          <xm:sqref>AB24:AN24</xm:sqref>
        </x14:conditionalFormatting>
        <x14:conditionalFormatting xmlns:xm="http://schemas.microsoft.com/office/excel/2006/main">
          <x14:cfRule type="expression" priority="4690111" id="{729676B7-E331-43A4-ACC9-850DCEE76A0E}">
            <xm:f>$AD$4='Data entry'!$R12</xm:f>
            <x14:dxf>
              <fill>
                <patternFill>
                  <bgColor rgb="FFFFFF00"/>
                </patternFill>
              </fill>
            </x14:dxf>
          </x14:cfRule>
          <xm:sqref>P23:AD23</xm:sqref>
        </x14:conditionalFormatting>
        <x14:conditionalFormatting xmlns:xm="http://schemas.microsoft.com/office/excel/2006/main">
          <x14:cfRule type="expression" priority="4690112" id="{00DA2C55-350E-44AA-ABEA-808FABFDA737}">
            <xm:f>$AE$4='Data entry'!$R12</xm:f>
            <x14:dxf>
              <fill>
                <patternFill>
                  <bgColor rgb="FFFF0000"/>
                </patternFill>
              </fill>
            </x14:dxf>
          </x14:cfRule>
          <xm:sqref>AC24:AO24</xm:sqref>
        </x14:conditionalFormatting>
        <x14:conditionalFormatting xmlns:xm="http://schemas.microsoft.com/office/excel/2006/main">
          <x14:cfRule type="expression" priority="4690113" id="{373C95F1-00C1-45E9-B561-5224945BA4A4}">
            <xm:f>$AE$4='Data entry'!$R12</xm:f>
            <x14:dxf>
              <fill>
                <patternFill>
                  <bgColor rgb="FFFFFF00"/>
                </patternFill>
              </fill>
            </x14:dxf>
          </x14:cfRule>
          <xm:sqref>Q23:AE23</xm:sqref>
        </x14:conditionalFormatting>
        <x14:conditionalFormatting xmlns:xm="http://schemas.microsoft.com/office/excel/2006/main">
          <x14:cfRule type="expression" priority="4690114" id="{65E90E74-6BEF-4B00-BD5E-ECACFEBC225A}">
            <xm:f>$AF$4='Data entry'!$R12</xm:f>
            <x14:dxf>
              <fill>
                <patternFill>
                  <bgColor rgb="FFFF0000"/>
                </patternFill>
              </fill>
            </x14:dxf>
          </x14:cfRule>
          <xm:sqref>AD24:AP24</xm:sqref>
        </x14:conditionalFormatting>
        <x14:conditionalFormatting xmlns:xm="http://schemas.microsoft.com/office/excel/2006/main">
          <x14:cfRule type="expression" priority="4690115" id="{56B519D7-E083-4811-B42B-D6CB10D44BB3}">
            <xm:f>$AF$4='Data entry'!$R12</xm:f>
            <x14:dxf>
              <fill>
                <patternFill>
                  <bgColor rgb="FFFFFF00"/>
                </patternFill>
              </fill>
            </x14:dxf>
          </x14:cfRule>
          <xm:sqref>R23:AF23</xm:sqref>
        </x14:conditionalFormatting>
        <x14:conditionalFormatting xmlns:xm="http://schemas.microsoft.com/office/excel/2006/main">
          <x14:cfRule type="expression" priority="4690116" id="{889682B6-BF9B-414B-86B7-1C802156B058}">
            <xm:f>$AG$4='Data entry'!$R12</xm:f>
            <x14:dxf>
              <fill>
                <patternFill>
                  <bgColor rgb="FFFF0000"/>
                </patternFill>
              </fill>
            </x14:dxf>
          </x14:cfRule>
          <xm:sqref>AE24:AQ24</xm:sqref>
        </x14:conditionalFormatting>
        <x14:conditionalFormatting xmlns:xm="http://schemas.microsoft.com/office/excel/2006/main">
          <x14:cfRule type="expression" priority="4690117" id="{19913D88-1940-4CB0-B29C-D46D60833BD5}">
            <xm:f>$AG$4='Data entry'!$R12</xm:f>
            <x14:dxf>
              <fill>
                <patternFill>
                  <bgColor rgb="FFFFFF00"/>
                </patternFill>
              </fill>
            </x14:dxf>
          </x14:cfRule>
          <xm:sqref>S23:AG23</xm:sqref>
        </x14:conditionalFormatting>
        <x14:conditionalFormatting xmlns:xm="http://schemas.microsoft.com/office/excel/2006/main">
          <x14:cfRule type="expression" priority="4690118" id="{3DD7B9A5-18A3-463F-BAD5-9796FC487328}">
            <xm:f>$AH$4='Data entry'!$R12</xm:f>
            <x14:dxf>
              <fill>
                <patternFill>
                  <bgColor rgb="FFFF0000"/>
                </patternFill>
              </fill>
            </x14:dxf>
          </x14:cfRule>
          <xm:sqref>AF24:AR24</xm:sqref>
        </x14:conditionalFormatting>
        <x14:conditionalFormatting xmlns:xm="http://schemas.microsoft.com/office/excel/2006/main">
          <x14:cfRule type="expression" priority="4690119" id="{31005CF4-5608-496E-91EB-F7F505046C80}">
            <xm:f>$AH$4='Data entry'!$R12</xm:f>
            <x14:dxf>
              <fill>
                <patternFill>
                  <bgColor rgb="FFFFFF00"/>
                </patternFill>
              </fill>
            </x14:dxf>
          </x14:cfRule>
          <xm:sqref>T23:AH23</xm:sqref>
        </x14:conditionalFormatting>
        <x14:conditionalFormatting xmlns:xm="http://schemas.microsoft.com/office/excel/2006/main">
          <x14:cfRule type="expression" priority="4690120" id="{CD14F654-5B7A-444F-8FC1-7DD71E76E475}">
            <xm:f>$AI$4='Data entry'!$R12</xm:f>
            <x14:dxf>
              <fill>
                <patternFill>
                  <bgColor rgb="FFFF0000"/>
                </patternFill>
              </fill>
            </x14:dxf>
          </x14:cfRule>
          <xm:sqref>AG24:AS24</xm:sqref>
        </x14:conditionalFormatting>
        <x14:conditionalFormatting xmlns:xm="http://schemas.microsoft.com/office/excel/2006/main">
          <x14:cfRule type="expression" priority="4690121" id="{0E4E448C-6C46-4285-B877-A61A90294385}">
            <xm:f>$AI$4='Data entry'!$R12</xm:f>
            <x14:dxf>
              <fill>
                <patternFill>
                  <bgColor rgb="FFFFFF00"/>
                </patternFill>
              </fill>
            </x14:dxf>
          </x14:cfRule>
          <xm:sqref>U23:AI23</xm:sqref>
        </x14:conditionalFormatting>
        <x14:conditionalFormatting xmlns:xm="http://schemas.microsoft.com/office/excel/2006/main">
          <x14:cfRule type="expression" priority="4690122" id="{B1C1818F-791C-403D-BE73-6F6E9DC6A16D}">
            <xm:f>$AJ$4='Data entry'!$R12</xm:f>
            <x14:dxf>
              <fill>
                <patternFill>
                  <bgColor rgb="FFFF0000"/>
                </patternFill>
              </fill>
            </x14:dxf>
          </x14:cfRule>
          <xm:sqref>AH24:AT24</xm:sqref>
        </x14:conditionalFormatting>
        <x14:conditionalFormatting xmlns:xm="http://schemas.microsoft.com/office/excel/2006/main">
          <x14:cfRule type="expression" priority="4690123" id="{A1237792-221B-431B-B8A7-E9A64DA46D93}">
            <xm:f>$AJ$4='Data entry'!$R12</xm:f>
            <x14:dxf>
              <fill>
                <patternFill>
                  <bgColor rgb="FFFFFF00"/>
                </patternFill>
              </fill>
            </x14:dxf>
          </x14:cfRule>
          <xm:sqref>V23:AJ23</xm:sqref>
        </x14:conditionalFormatting>
        <x14:conditionalFormatting xmlns:xm="http://schemas.microsoft.com/office/excel/2006/main">
          <x14:cfRule type="expression" priority="4690124" id="{617DC2AF-C7A3-4724-8EA3-17DEFEDC8949}">
            <xm:f>$AK$4='Data entry'!$R12</xm:f>
            <x14:dxf>
              <fill>
                <patternFill>
                  <bgColor rgb="FFFF0000"/>
                </patternFill>
              </fill>
            </x14:dxf>
          </x14:cfRule>
          <xm:sqref>AI24:AU24</xm:sqref>
        </x14:conditionalFormatting>
        <x14:conditionalFormatting xmlns:xm="http://schemas.microsoft.com/office/excel/2006/main">
          <x14:cfRule type="expression" priority="4690125" id="{AA72317D-37B1-48EB-A28B-BF2AC8DC4519}">
            <xm:f>$AK$4='Data entry'!$R12</xm:f>
            <x14:dxf>
              <fill>
                <patternFill>
                  <bgColor rgb="FFFFFF00"/>
                </patternFill>
              </fill>
            </x14:dxf>
          </x14:cfRule>
          <xm:sqref>W23:AK23</xm:sqref>
        </x14:conditionalFormatting>
        <x14:conditionalFormatting xmlns:xm="http://schemas.microsoft.com/office/excel/2006/main">
          <x14:cfRule type="expression" priority="4690126" id="{6CA9FB7A-20EA-4D3A-B74C-A001F4BE810D}">
            <xm:f>$AL$4='Data entry'!$R12</xm:f>
            <x14:dxf>
              <fill>
                <patternFill>
                  <bgColor rgb="FFFF0000"/>
                </patternFill>
              </fill>
            </x14:dxf>
          </x14:cfRule>
          <xm:sqref>AJ24:AV24</xm:sqref>
        </x14:conditionalFormatting>
        <x14:conditionalFormatting xmlns:xm="http://schemas.microsoft.com/office/excel/2006/main">
          <x14:cfRule type="expression" priority="4690127" id="{81A75DAA-573F-4EF3-A640-1B992C18BEA0}">
            <xm:f>$AL$4='Data entry'!$R12</xm:f>
            <x14:dxf>
              <fill>
                <patternFill>
                  <bgColor rgb="FFFFFF00"/>
                </patternFill>
              </fill>
            </x14:dxf>
          </x14:cfRule>
          <xm:sqref>X23:AL23</xm:sqref>
        </x14:conditionalFormatting>
        <x14:conditionalFormatting xmlns:xm="http://schemas.microsoft.com/office/excel/2006/main">
          <x14:cfRule type="expression" priority="4690128" id="{3D44713E-4ABA-4CCD-9DF4-5513A9FB5E1E}">
            <xm:f>$AM$4='Data entry'!$R12</xm:f>
            <x14:dxf>
              <fill>
                <patternFill>
                  <bgColor rgb="FFFF0000"/>
                </patternFill>
              </fill>
            </x14:dxf>
          </x14:cfRule>
          <xm:sqref>AK24:AW24</xm:sqref>
        </x14:conditionalFormatting>
        <x14:conditionalFormatting xmlns:xm="http://schemas.microsoft.com/office/excel/2006/main">
          <x14:cfRule type="expression" priority="4690129" id="{05A26B51-72A7-4423-822F-2BDBC28275D0}">
            <xm:f>$AM$4='Data entry'!$R12</xm:f>
            <x14:dxf>
              <fill>
                <patternFill>
                  <bgColor rgb="FFFFFF00"/>
                </patternFill>
              </fill>
            </x14:dxf>
          </x14:cfRule>
          <xm:sqref>Y23:AM23</xm:sqref>
        </x14:conditionalFormatting>
        <x14:conditionalFormatting xmlns:xm="http://schemas.microsoft.com/office/excel/2006/main">
          <x14:cfRule type="expression" priority="4690130" id="{B8A20675-6230-4694-A7F6-6B3DC7142773}">
            <xm:f>$AN$4='Data entry'!$R12</xm:f>
            <x14:dxf>
              <fill>
                <patternFill>
                  <bgColor rgb="FFFF0000"/>
                </patternFill>
              </fill>
            </x14:dxf>
          </x14:cfRule>
          <xm:sqref>AL24:AX24</xm:sqref>
        </x14:conditionalFormatting>
        <x14:conditionalFormatting xmlns:xm="http://schemas.microsoft.com/office/excel/2006/main">
          <x14:cfRule type="expression" priority="4690131" id="{8421181C-7450-42E9-BC1D-065CCFCA960E}">
            <xm:f>$AN$4='Data entry'!$R12</xm:f>
            <x14:dxf>
              <fill>
                <patternFill>
                  <bgColor rgb="FFFFFF00"/>
                </patternFill>
              </fill>
            </x14:dxf>
          </x14:cfRule>
          <xm:sqref>Z23:AN23</xm:sqref>
        </x14:conditionalFormatting>
        <x14:conditionalFormatting xmlns:xm="http://schemas.microsoft.com/office/excel/2006/main">
          <x14:cfRule type="expression" priority="4690132" id="{067FE4BD-6EF4-4684-B6E0-35AB2F267EE7}">
            <xm:f>$AO$4='Data entry'!$R12</xm:f>
            <x14:dxf>
              <fill>
                <patternFill>
                  <bgColor rgb="FFFF0000"/>
                </patternFill>
              </fill>
            </x14:dxf>
          </x14:cfRule>
          <xm:sqref>AM24:AY24</xm:sqref>
        </x14:conditionalFormatting>
        <x14:conditionalFormatting xmlns:xm="http://schemas.microsoft.com/office/excel/2006/main">
          <x14:cfRule type="expression" priority="4690133" id="{F7653492-88D1-47AC-8BA3-0CCE65C3C2AB}">
            <xm:f>$AO$4='Data entry'!$R12</xm:f>
            <x14:dxf>
              <fill>
                <patternFill>
                  <bgColor rgb="FFFFFF00"/>
                </patternFill>
              </fill>
            </x14:dxf>
          </x14:cfRule>
          <xm:sqref>AA23:AO23</xm:sqref>
        </x14:conditionalFormatting>
        <x14:conditionalFormatting xmlns:xm="http://schemas.microsoft.com/office/excel/2006/main">
          <x14:cfRule type="expression" priority="4690134" id="{207A5E5D-B322-482E-9193-1D7318138358}">
            <xm:f>$AP$4='Data entry'!$R12</xm:f>
            <x14:dxf>
              <fill>
                <patternFill>
                  <bgColor rgb="FFFF0000"/>
                </patternFill>
              </fill>
            </x14:dxf>
          </x14:cfRule>
          <xm:sqref>AN24:AZ24</xm:sqref>
        </x14:conditionalFormatting>
        <x14:conditionalFormatting xmlns:xm="http://schemas.microsoft.com/office/excel/2006/main">
          <x14:cfRule type="expression" priority="4690135" id="{21DA638D-4CA0-4067-BFF1-240CE1A0261B}">
            <xm:f>$AP$4='Data entry'!$R12</xm:f>
            <x14:dxf>
              <fill>
                <patternFill>
                  <bgColor rgb="FFFFFF00"/>
                </patternFill>
              </fill>
            </x14:dxf>
          </x14:cfRule>
          <xm:sqref>AB23:AP23</xm:sqref>
        </x14:conditionalFormatting>
        <x14:conditionalFormatting xmlns:xm="http://schemas.microsoft.com/office/excel/2006/main">
          <x14:cfRule type="expression" priority="4690136" id="{71963D96-A42A-4B90-BFC7-6D83D37766EF}">
            <xm:f>$AQ$4='Data entry'!$R12</xm:f>
            <x14:dxf>
              <fill>
                <patternFill>
                  <bgColor rgb="FFFF0000"/>
                </patternFill>
              </fill>
            </x14:dxf>
          </x14:cfRule>
          <xm:sqref>AO24:BA24</xm:sqref>
        </x14:conditionalFormatting>
        <x14:conditionalFormatting xmlns:xm="http://schemas.microsoft.com/office/excel/2006/main">
          <x14:cfRule type="expression" priority="4690137" id="{74952595-84B6-484F-8FF6-FCC1F337DF4D}">
            <xm:f>$AQ$4='Data entry'!$R12</xm:f>
            <x14:dxf>
              <fill>
                <patternFill>
                  <bgColor rgb="FFFFFF00"/>
                </patternFill>
              </fill>
            </x14:dxf>
          </x14:cfRule>
          <xm:sqref>AC23:AQ23</xm:sqref>
        </x14:conditionalFormatting>
        <x14:conditionalFormatting xmlns:xm="http://schemas.microsoft.com/office/excel/2006/main">
          <x14:cfRule type="expression" priority="4690138" id="{8AC9C4B9-0A34-4BC0-B0F7-CA89434C4911}">
            <xm:f>$P$4='Data entry'!$R12</xm:f>
            <x14:dxf>
              <fill>
                <patternFill>
                  <bgColor rgb="FFFFFF00"/>
                </patternFill>
              </fill>
            </x14:dxf>
          </x14:cfRule>
          <xm:sqref>C23:P23</xm:sqref>
        </x14:conditionalFormatting>
        <x14:conditionalFormatting xmlns:xm="http://schemas.microsoft.com/office/excel/2006/main">
          <x14:cfRule type="expression" priority="4690139" id="{0A726775-ABFD-4F22-967C-1A4D87BA3751}">
            <xm:f>$Q$4='Data entry'!$R12</xm:f>
            <x14:dxf>
              <fill>
                <patternFill>
                  <bgColor rgb="FFFFFF00"/>
                </patternFill>
              </fill>
            </x14:dxf>
          </x14:cfRule>
          <xm:sqref>C23:Q23</xm:sqref>
        </x14:conditionalFormatting>
        <x14:conditionalFormatting xmlns:xm="http://schemas.microsoft.com/office/excel/2006/main">
          <x14:cfRule type="expression" priority="4690140" id="{3A8414BD-262C-43B5-86EE-FA6901D00453}">
            <xm:f>$Q$4='Data entry'!$R12</xm:f>
            <x14:dxf>
              <fill>
                <patternFill>
                  <bgColor rgb="FFFF0000"/>
                </patternFill>
              </fill>
            </x14:dxf>
          </x14:cfRule>
          <xm:sqref>O24:AA24</xm:sqref>
        </x14:conditionalFormatting>
        <x14:conditionalFormatting xmlns:xm="http://schemas.microsoft.com/office/excel/2006/main">
          <x14:cfRule type="expression" priority="4690141" id="{B8B5501D-F3EF-4449-9306-F652960C65F4}">
            <xm:f>$R$4='Data entry'!$R12</xm:f>
            <x14:dxf>
              <fill>
                <patternFill>
                  <bgColor rgb="FFFF0000"/>
                </patternFill>
              </fill>
            </x14:dxf>
          </x14:cfRule>
          <xm:sqref>P24:AB24</xm:sqref>
        </x14:conditionalFormatting>
        <x14:conditionalFormatting xmlns:xm="http://schemas.microsoft.com/office/excel/2006/main">
          <x14:cfRule type="expression" priority="4690142" id="{5D070DEC-B82E-4D87-B907-A3E5AB836991}">
            <xm:f>$R$4='Data entry'!$R12</xm:f>
            <x14:dxf>
              <fill>
                <patternFill>
                  <bgColor rgb="FFFFFF00"/>
                </patternFill>
              </fill>
            </x14:dxf>
          </x14:cfRule>
          <xm:sqref>D23:R23</xm:sqref>
        </x14:conditionalFormatting>
        <x14:conditionalFormatting xmlns:xm="http://schemas.microsoft.com/office/excel/2006/main">
          <x14:cfRule type="expression" priority="4690143" id="{E4D16A10-F818-4664-9FB2-F0E839824D4B}">
            <xm:f>$S$4='Data entry'!$R12</xm:f>
            <x14:dxf>
              <fill>
                <patternFill>
                  <bgColor rgb="FFFF0000"/>
                </patternFill>
              </fill>
            </x14:dxf>
          </x14:cfRule>
          <xm:sqref>Q24:AC24</xm:sqref>
        </x14:conditionalFormatting>
        <x14:conditionalFormatting xmlns:xm="http://schemas.microsoft.com/office/excel/2006/main">
          <x14:cfRule type="expression" priority="4690144" id="{1A9F9911-A3E9-4730-AFBE-AB8C596545CA}">
            <xm:f>$S$4='Data entry'!$R12</xm:f>
            <x14:dxf>
              <fill>
                <patternFill>
                  <bgColor rgb="FFFFFF00"/>
                </patternFill>
              </fill>
            </x14:dxf>
          </x14:cfRule>
          <xm:sqref>E23:S23</xm:sqref>
        </x14:conditionalFormatting>
        <x14:conditionalFormatting xmlns:xm="http://schemas.microsoft.com/office/excel/2006/main">
          <x14:cfRule type="expression" priority="4690145" id="{8BB5CD1B-B2AC-442A-9550-26DE19A62D22}">
            <xm:f>$T$4='Data entry'!$R12</xm:f>
            <x14:dxf>
              <fill>
                <patternFill>
                  <bgColor rgb="FFFF0000"/>
                </patternFill>
              </fill>
            </x14:dxf>
          </x14:cfRule>
          <xm:sqref>R24:AD24</xm:sqref>
        </x14:conditionalFormatting>
        <x14:conditionalFormatting xmlns:xm="http://schemas.microsoft.com/office/excel/2006/main">
          <x14:cfRule type="expression" priority="4690146" id="{E7B59C69-7921-4049-84A1-8B3E5F7B0598}">
            <xm:f>$T$4='Data entry'!$R12</xm:f>
            <x14:dxf>
              <fill>
                <patternFill>
                  <bgColor rgb="FFFFFF00"/>
                </patternFill>
              </fill>
            </x14:dxf>
          </x14:cfRule>
          <xm:sqref>F23:T23</xm:sqref>
        </x14:conditionalFormatting>
        <x14:conditionalFormatting xmlns:xm="http://schemas.microsoft.com/office/excel/2006/main">
          <x14:cfRule type="expression" priority="4690147" id="{238C09E5-7A3D-439D-949F-A7733073F9A2}">
            <xm:f>$U$4='Data entry'!$R12</xm:f>
            <x14:dxf>
              <fill>
                <patternFill>
                  <bgColor rgb="FFFFFF00"/>
                </patternFill>
              </fill>
            </x14:dxf>
          </x14:cfRule>
          <xm:sqref>G23:U23</xm:sqref>
        </x14:conditionalFormatting>
        <x14:conditionalFormatting xmlns:xm="http://schemas.microsoft.com/office/excel/2006/main">
          <x14:cfRule type="expression" priority="4690148" id="{DE4D4432-0A19-452A-AF14-2873FE4DF411}">
            <xm:f>$AR$4='Data entry'!$R12</xm:f>
            <x14:dxf>
              <fill>
                <patternFill>
                  <bgColor rgb="FFFF0000"/>
                </patternFill>
              </fill>
            </x14:dxf>
          </x14:cfRule>
          <xm:sqref>AP24:BB24</xm:sqref>
        </x14:conditionalFormatting>
        <x14:conditionalFormatting xmlns:xm="http://schemas.microsoft.com/office/excel/2006/main">
          <x14:cfRule type="expression" priority="4690149" id="{90D7E1FF-542D-40C8-9BD5-DFEB4CDD256F}">
            <xm:f>$AR$4='Data entry'!$R12</xm:f>
            <x14:dxf>
              <fill>
                <patternFill>
                  <bgColor rgb="FFFFFF00"/>
                </patternFill>
              </fill>
            </x14:dxf>
          </x14:cfRule>
          <xm:sqref>AD23:AR23</xm:sqref>
        </x14:conditionalFormatting>
        <x14:conditionalFormatting xmlns:xm="http://schemas.microsoft.com/office/excel/2006/main">
          <x14:cfRule type="expression" priority="4690150" id="{0EBB5305-4A4A-4205-A1FF-11160070CBC3}">
            <xm:f>$AS$4='Data entry'!$R12</xm:f>
            <x14:dxf>
              <fill>
                <patternFill>
                  <bgColor rgb="FFFF0000"/>
                </patternFill>
              </fill>
            </x14:dxf>
          </x14:cfRule>
          <xm:sqref>AQ24:BC24</xm:sqref>
        </x14:conditionalFormatting>
        <x14:conditionalFormatting xmlns:xm="http://schemas.microsoft.com/office/excel/2006/main">
          <x14:cfRule type="expression" priority="4690151" id="{AC8EB30C-4253-4CE1-820E-1801F6D8D35B}">
            <xm:f>$AS$4='Data entry'!$R12</xm:f>
            <x14:dxf>
              <fill>
                <patternFill>
                  <bgColor rgb="FFFFFF00"/>
                </patternFill>
              </fill>
            </x14:dxf>
          </x14:cfRule>
          <xm:sqref>AE23:AS23</xm:sqref>
        </x14:conditionalFormatting>
        <x14:conditionalFormatting xmlns:xm="http://schemas.microsoft.com/office/excel/2006/main">
          <x14:cfRule type="expression" priority="4690152" id="{E11744C1-7201-4272-A1B0-945490B42425}">
            <xm:f>$AT$4='Data entry'!$R12</xm:f>
            <x14:dxf>
              <fill>
                <patternFill>
                  <bgColor rgb="FFFF0000"/>
                </patternFill>
              </fill>
            </x14:dxf>
          </x14:cfRule>
          <xm:sqref>AR24:BD24</xm:sqref>
        </x14:conditionalFormatting>
        <x14:conditionalFormatting xmlns:xm="http://schemas.microsoft.com/office/excel/2006/main">
          <x14:cfRule type="expression" priority="4690153" id="{5EE2823B-E955-4EA7-B99C-0B1F77B57A69}">
            <xm:f>$AT$4='Data entry'!$R12</xm:f>
            <x14:dxf>
              <fill>
                <patternFill>
                  <bgColor rgb="FFFFFF00"/>
                </patternFill>
              </fill>
            </x14:dxf>
          </x14:cfRule>
          <xm:sqref>AF23:AT23</xm:sqref>
        </x14:conditionalFormatting>
        <x14:conditionalFormatting xmlns:xm="http://schemas.microsoft.com/office/excel/2006/main">
          <x14:cfRule type="expression" priority="4690154" id="{5737DC63-3262-4B34-900C-2AAEB255FCBA}">
            <xm:f>$AU$4='Data entry'!$R12</xm:f>
            <x14:dxf>
              <fill>
                <patternFill>
                  <bgColor rgb="FFFF0000"/>
                </patternFill>
              </fill>
            </x14:dxf>
          </x14:cfRule>
          <xm:sqref>AS24:BE24</xm:sqref>
        </x14:conditionalFormatting>
        <x14:conditionalFormatting xmlns:xm="http://schemas.microsoft.com/office/excel/2006/main">
          <x14:cfRule type="expression" priority="4690155" id="{2B5C1F1B-3C3D-4CA3-BC64-0E98422075B6}">
            <xm:f>$AU$4='Data entry'!$R12</xm:f>
            <x14:dxf>
              <fill>
                <patternFill>
                  <bgColor rgb="FFFFFF00"/>
                </patternFill>
              </fill>
            </x14:dxf>
          </x14:cfRule>
          <xm:sqref>AG23:AU23</xm:sqref>
        </x14:conditionalFormatting>
        <x14:conditionalFormatting xmlns:xm="http://schemas.microsoft.com/office/excel/2006/main">
          <x14:cfRule type="expression" priority="4690156" id="{B87A1285-B003-4855-8F4B-53C391BA10E6}">
            <xm:f>$AV$4='Data entry'!$R12</xm:f>
            <x14:dxf>
              <fill>
                <patternFill>
                  <bgColor rgb="FFFF0000"/>
                </patternFill>
              </fill>
            </x14:dxf>
          </x14:cfRule>
          <xm:sqref>AT24:BF24</xm:sqref>
        </x14:conditionalFormatting>
        <x14:conditionalFormatting xmlns:xm="http://schemas.microsoft.com/office/excel/2006/main">
          <x14:cfRule type="expression" priority="4690157" id="{338EE31C-78DB-4818-B837-0380F9E457FA}">
            <xm:f>$AV$4='Data entry'!$R12</xm:f>
            <x14:dxf>
              <fill>
                <patternFill>
                  <bgColor rgb="FFFFFF00"/>
                </patternFill>
              </fill>
            </x14:dxf>
          </x14:cfRule>
          <xm:sqref>AH23:AV23</xm:sqref>
        </x14:conditionalFormatting>
        <x14:conditionalFormatting xmlns:xm="http://schemas.microsoft.com/office/excel/2006/main">
          <x14:cfRule type="expression" priority="4690158" id="{5C40EA66-2801-4C91-B885-BF6A1ECFC35C}">
            <xm:f>$AW$4='Data entry'!$R12</xm:f>
            <x14:dxf>
              <fill>
                <patternFill>
                  <bgColor rgb="FFFF0000"/>
                </patternFill>
              </fill>
            </x14:dxf>
          </x14:cfRule>
          <xm:sqref>AU24:BG24</xm:sqref>
        </x14:conditionalFormatting>
        <x14:conditionalFormatting xmlns:xm="http://schemas.microsoft.com/office/excel/2006/main">
          <x14:cfRule type="expression" priority="4690159" id="{51BCD5CE-DF86-4C2F-8A81-DDA1EFD6C8F7}">
            <xm:f>$AW$4='Data entry'!$R12</xm:f>
            <x14:dxf>
              <fill>
                <patternFill>
                  <bgColor rgb="FFFFFF00"/>
                </patternFill>
              </fill>
            </x14:dxf>
          </x14:cfRule>
          <xm:sqref>AI23:AW23</xm:sqref>
        </x14:conditionalFormatting>
        <x14:conditionalFormatting xmlns:xm="http://schemas.microsoft.com/office/excel/2006/main">
          <x14:cfRule type="expression" priority="4690160" id="{DC2ED5A0-8917-4877-8CD3-9DF9BE5993C9}">
            <xm:f>$AX$4='Data entry'!$R12</xm:f>
            <x14:dxf>
              <fill>
                <patternFill>
                  <bgColor rgb="FFFF0000"/>
                </patternFill>
              </fill>
            </x14:dxf>
          </x14:cfRule>
          <xm:sqref>AV24:BH24</xm:sqref>
        </x14:conditionalFormatting>
        <x14:conditionalFormatting xmlns:xm="http://schemas.microsoft.com/office/excel/2006/main">
          <x14:cfRule type="expression" priority="4690161" id="{59B31869-20F9-45BD-BC80-0A6C8945CE2C}">
            <xm:f>$AX$4='Data entry'!$R12</xm:f>
            <x14:dxf>
              <fill>
                <patternFill>
                  <bgColor rgb="FFFFFF00"/>
                </patternFill>
              </fill>
            </x14:dxf>
          </x14:cfRule>
          <xm:sqref>AJ23:AX23</xm:sqref>
        </x14:conditionalFormatting>
        <x14:conditionalFormatting xmlns:xm="http://schemas.microsoft.com/office/excel/2006/main">
          <x14:cfRule type="expression" priority="4690162" id="{D4208FA0-4262-4037-934C-6D0742B2AD8E}">
            <xm:f>$AY$4='Data entry'!$R12</xm:f>
            <x14:dxf>
              <fill>
                <patternFill>
                  <bgColor rgb="FFFF0000"/>
                </patternFill>
              </fill>
            </x14:dxf>
          </x14:cfRule>
          <xm:sqref>AW24:BI24</xm:sqref>
        </x14:conditionalFormatting>
        <x14:conditionalFormatting xmlns:xm="http://schemas.microsoft.com/office/excel/2006/main">
          <x14:cfRule type="expression" priority="4690163" id="{04D6E423-18C7-42B2-A67D-F49D8E62B571}">
            <xm:f>$AY$4='Data entry'!$R12</xm:f>
            <x14:dxf>
              <fill>
                <patternFill>
                  <bgColor rgb="FFFFFF00"/>
                </patternFill>
              </fill>
            </x14:dxf>
          </x14:cfRule>
          <xm:sqref>AK23:AY23</xm:sqref>
        </x14:conditionalFormatting>
        <x14:conditionalFormatting xmlns:xm="http://schemas.microsoft.com/office/excel/2006/main">
          <x14:cfRule type="expression" priority="4690164" id="{A931C203-6E4B-4EBD-A2F4-1876881F48D4}">
            <xm:f>$AZ$4='Data entry'!$R12</xm:f>
            <x14:dxf>
              <fill>
                <patternFill>
                  <bgColor rgb="FFFF0000"/>
                </patternFill>
              </fill>
            </x14:dxf>
          </x14:cfRule>
          <xm:sqref>AX24:BJ24</xm:sqref>
        </x14:conditionalFormatting>
        <x14:conditionalFormatting xmlns:xm="http://schemas.microsoft.com/office/excel/2006/main">
          <x14:cfRule type="expression" priority="4690165" id="{092D9100-E652-40FE-8CAA-720DC0681250}">
            <xm:f>$AZ$4='Data entry'!$R12</xm:f>
            <x14:dxf>
              <fill>
                <patternFill>
                  <bgColor rgb="FFFFFF00"/>
                </patternFill>
              </fill>
            </x14:dxf>
          </x14:cfRule>
          <xm:sqref>AL23:AZ23</xm:sqref>
        </x14:conditionalFormatting>
        <x14:conditionalFormatting xmlns:xm="http://schemas.microsoft.com/office/excel/2006/main">
          <x14:cfRule type="expression" priority="4690166" id="{A3C7E6BE-A225-483C-A983-A915DB662C52}">
            <xm:f>$BA$4='Data entry'!$R12</xm:f>
            <x14:dxf>
              <fill>
                <patternFill>
                  <bgColor rgb="FFFF0000"/>
                </patternFill>
              </fill>
            </x14:dxf>
          </x14:cfRule>
          <xm:sqref>AY24:BK24</xm:sqref>
        </x14:conditionalFormatting>
        <x14:conditionalFormatting xmlns:xm="http://schemas.microsoft.com/office/excel/2006/main">
          <x14:cfRule type="expression" priority="4690167" id="{F5CF569A-8AFA-4CFF-8BD3-F04D8927A99F}">
            <xm:f>$BA$4='Data entry'!$R12</xm:f>
            <x14:dxf>
              <fill>
                <patternFill>
                  <bgColor rgb="FFFFFF00"/>
                </patternFill>
              </fill>
            </x14:dxf>
          </x14:cfRule>
          <xm:sqref>AM23:BA23</xm:sqref>
        </x14:conditionalFormatting>
        <x14:conditionalFormatting xmlns:xm="http://schemas.microsoft.com/office/excel/2006/main">
          <x14:cfRule type="expression" priority="4690168" id="{E4DAC94A-7983-4BFB-A87B-45B58561841A}">
            <xm:f>$BB$4='Data entry'!$R12</xm:f>
            <x14:dxf>
              <fill>
                <patternFill>
                  <bgColor rgb="FFFF0000"/>
                </patternFill>
              </fill>
            </x14:dxf>
          </x14:cfRule>
          <xm:sqref>AZ24:BL24</xm:sqref>
        </x14:conditionalFormatting>
        <x14:conditionalFormatting xmlns:xm="http://schemas.microsoft.com/office/excel/2006/main">
          <x14:cfRule type="expression" priority="4690169" id="{E63849C5-F39B-4B0E-8F8A-B532EDF2CBAE}">
            <xm:f>$BB$4='Data entry'!$R12</xm:f>
            <x14:dxf>
              <fill>
                <patternFill>
                  <bgColor rgb="FFFFFF00"/>
                </patternFill>
              </fill>
            </x14:dxf>
          </x14:cfRule>
          <xm:sqref>AN23:BB23</xm:sqref>
        </x14:conditionalFormatting>
        <x14:conditionalFormatting xmlns:xm="http://schemas.microsoft.com/office/excel/2006/main">
          <x14:cfRule type="expression" priority="4690170" id="{4FDC32D3-C1F5-455D-9AA4-A03359B72526}">
            <xm:f>$BC$4='Data entry'!$R12</xm:f>
            <x14:dxf>
              <fill>
                <patternFill>
                  <bgColor rgb="FFFF0000"/>
                </patternFill>
              </fill>
            </x14:dxf>
          </x14:cfRule>
          <xm:sqref>BA24:BM24</xm:sqref>
        </x14:conditionalFormatting>
        <x14:conditionalFormatting xmlns:xm="http://schemas.microsoft.com/office/excel/2006/main">
          <x14:cfRule type="expression" priority="4690171" id="{5F0D0C60-B233-4C56-B05D-98C99990877F}">
            <xm:f>$BC$4='Data entry'!$R12</xm:f>
            <x14:dxf>
              <fill>
                <patternFill>
                  <bgColor rgb="FFFFFF00"/>
                </patternFill>
              </fill>
            </x14:dxf>
          </x14:cfRule>
          <xm:sqref>AO23:BC23</xm:sqref>
        </x14:conditionalFormatting>
        <x14:conditionalFormatting xmlns:xm="http://schemas.microsoft.com/office/excel/2006/main">
          <x14:cfRule type="expression" priority="4690172" id="{9EBCB60F-8135-43B6-A0F3-548D4092CC98}">
            <xm:f>$BD$4='Data entry'!$R12</xm:f>
            <x14:dxf>
              <fill>
                <patternFill>
                  <bgColor rgb="FFFF0000"/>
                </patternFill>
              </fill>
            </x14:dxf>
          </x14:cfRule>
          <xm:sqref>BB24:BN24</xm:sqref>
        </x14:conditionalFormatting>
        <x14:conditionalFormatting xmlns:xm="http://schemas.microsoft.com/office/excel/2006/main">
          <x14:cfRule type="expression" priority="4690173" id="{961AF346-4A73-41ED-9A8D-27D431B09C05}">
            <xm:f>$BD$4='Data entry'!$R12</xm:f>
            <x14:dxf>
              <fill>
                <patternFill>
                  <bgColor rgb="FFFFFF00"/>
                </patternFill>
              </fill>
            </x14:dxf>
          </x14:cfRule>
          <xm:sqref>AP23:BD23</xm:sqref>
        </x14:conditionalFormatting>
        <x14:conditionalFormatting xmlns:xm="http://schemas.microsoft.com/office/excel/2006/main">
          <x14:cfRule type="expression" priority="4690174" id="{5A887026-27CD-4F8C-8BA6-1E92704C1CA6}">
            <xm:f>$BE$4='Data entry'!$R12</xm:f>
            <x14:dxf>
              <fill>
                <patternFill>
                  <bgColor rgb="FFFF0000"/>
                </patternFill>
              </fill>
            </x14:dxf>
          </x14:cfRule>
          <xm:sqref>BC24:BO24</xm:sqref>
        </x14:conditionalFormatting>
        <x14:conditionalFormatting xmlns:xm="http://schemas.microsoft.com/office/excel/2006/main">
          <x14:cfRule type="expression" priority="4690175" id="{7F46217B-A1E9-4515-B31E-E756FCD7C6D9}">
            <xm:f>$BE$4='Data entry'!$R12</xm:f>
            <x14:dxf>
              <fill>
                <patternFill>
                  <bgColor rgb="FFFFFF00"/>
                </patternFill>
              </fill>
            </x14:dxf>
          </x14:cfRule>
          <xm:sqref>AP23:BE23</xm:sqref>
        </x14:conditionalFormatting>
        <x14:conditionalFormatting xmlns:xm="http://schemas.microsoft.com/office/excel/2006/main">
          <x14:cfRule type="expression" priority="4690176" id="{F4D9285C-8CA0-4EF1-943E-6A462D47CC77}">
            <xm:f>$BF$4='Data entry'!$R12</xm:f>
            <x14:dxf>
              <fill>
                <patternFill>
                  <bgColor rgb="FFFF0000"/>
                </patternFill>
              </fill>
            </x14:dxf>
          </x14:cfRule>
          <xm:sqref>BD24:BP24</xm:sqref>
        </x14:conditionalFormatting>
        <x14:conditionalFormatting xmlns:xm="http://schemas.microsoft.com/office/excel/2006/main">
          <x14:cfRule type="expression" priority="4690177" id="{B9E4407D-651D-4DC0-9D61-3271D62A65E9}">
            <xm:f>$BF$4='Data entry'!$R12</xm:f>
            <x14:dxf>
              <fill>
                <patternFill>
                  <bgColor rgb="FFFFFF00"/>
                </patternFill>
              </fill>
            </x14:dxf>
          </x14:cfRule>
          <xm:sqref>AR23:BF23</xm:sqref>
        </x14:conditionalFormatting>
        <x14:conditionalFormatting xmlns:xm="http://schemas.microsoft.com/office/excel/2006/main">
          <x14:cfRule type="expression" priority="4690178" id="{4CDC062F-DDFF-4556-B941-08F919727F69}">
            <xm:f>$BG$4='Data entry'!$R12</xm:f>
            <x14:dxf>
              <fill>
                <patternFill>
                  <bgColor rgb="FFFF0000"/>
                </patternFill>
              </fill>
            </x14:dxf>
          </x14:cfRule>
          <xm:sqref>BE24:BQ24</xm:sqref>
        </x14:conditionalFormatting>
        <x14:conditionalFormatting xmlns:xm="http://schemas.microsoft.com/office/excel/2006/main">
          <x14:cfRule type="expression" priority="4690179" id="{789184FA-9055-433B-8A1B-92C7ED59E81F}">
            <xm:f>$BG$4='Data entry'!$R12</xm:f>
            <x14:dxf>
              <fill>
                <patternFill>
                  <bgColor rgb="FFFFFF00"/>
                </patternFill>
              </fill>
            </x14:dxf>
          </x14:cfRule>
          <xm:sqref>AS23:BG23</xm:sqref>
        </x14:conditionalFormatting>
        <x14:conditionalFormatting xmlns:xm="http://schemas.microsoft.com/office/excel/2006/main">
          <x14:cfRule type="expression" priority="4690180" id="{58651E5C-09C9-46C1-B95C-E8A578A49E15}">
            <xm:f>$BH$4='Data entry'!$R12</xm:f>
            <x14:dxf>
              <fill>
                <patternFill>
                  <bgColor rgb="FFFFFF00"/>
                </patternFill>
              </fill>
            </x14:dxf>
          </x14:cfRule>
          <xm:sqref>AT23:BH23</xm:sqref>
        </x14:conditionalFormatting>
        <x14:conditionalFormatting xmlns:xm="http://schemas.microsoft.com/office/excel/2006/main">
          <x14:cfRule type="expression" priority="4690181" id="{97B30B86-8311-4DC0-A533-8C0D53F37839}">
            <xm:f>$BH$4='Data entry'!$R12</xm:f>
            <x14:dxf>
              <fill>
                <patternFill>
                  <bgColor rgb="FFFF0000"/>
                </patternFill>
              </fill>
            </x14:dxf>
          </x14:cfRule>
          <xm:sqref>BF24:BR24</xm:sqref>
        </x14:conditionalFormatting>
        <x14:conditionalFormatting xmlns:xm="http://schemas.microsoft.com/office/excel/2006/main">
          <x14:cfRule type="expression" priority="4690182" id="{78344C0C-5AEA-40B1-A20C-6D77DF58E1F5}">
            <xm:f>$BI$4='Data entry'!$R12</xm:f>
            <x14:dxf>
              <fill>
                <patternFill>
                  <bgColor rgb="FFFFFF00"/>
                </patternFill>
              </fill>
            </x14:dxf>
          </x14:cfRule>
          <xm:sqref>AU23:BI23</xm:sqref>
        </x14:conditionalFormatting>
        <x14:conditionalFormatting xmlns:xm="http://schemas.microsoft.com/office/excel/2006/main">
          <x14:cfRule type="expression" priority="4690183" id="{A9CE044F-482E-4F25-B28F-89ACC58502B1}">
            <xm:f>$BI$4='Data entry'!$R12</xm:f>
            <x14:dxf>
              <fill>
                <patternFill>
                  <bgColor rgb="FFFF0000"/>
                </patternFill>
              </fill>
            </x14:dxf>
          </x14:cfRule>
          <xm:sqref>BG24:BS24</xm:sqref>
        </x14:conditionalFormatting>
        <x14:conditionalFormatting xmlns:xm="http://schemas.microsoft.com/office/excel/2006/main">
          <x14:cfRule type="expression" priority="4690184" id="{F63BE0EB-3C71-4456-BEF0-11180AB7A8BB}">
            <xm:f>$BJ$4='Data entry'!$R12</xm:f>
            <x14:dxf>
              <fill>
                <patternFill>
                  <bgColor rgb="FFFFFF00"/>
                </patternFill>
              </fill>
            </x14:dxf>
          </x14:cfRule>
          <xm:sqref>AV23:BJ23</xm:sqref>
        </x14:conditionalFormatting>
        <x14:conditionalFormatting xmlns:xm="http://schemas.microsoft.com/office/excel/2006/main">
          <x14:cfRule type="expression" priority="4690185" id="{478A5DCB-1DAA-4497-A6CC-B4F01FB96D10}">
            <xm:f>$BJ$4='Data entry'!$R12</xm:f>
            <x14:dxf>
              <fill>
                <patternFill>
                  <bgColor rgb="FFFF0000"/>
                </patternFill>
              </fill>
            </x14:dxf>
          </x14:cfRule>
          <xm:sqref>BH24:BT24</xm:sqref>
        </x14:conditionalFormatting>
        <x14:conditionalFormatting xmlns:xm="http://schemas.microsoft.com/office/excel/2006/main">
          <x14:cfRule type="expression" priority="4690186" id="{CDE4AD5B-65A6-4FA4-9EC0-8D05F22312A9}">
            <xm:f>$BK$4='Data entry'!$R12</xm:f>
            <x14:dxf>
              <fill>
                <patternFill>
                  <bgColor rgb="FFFF0000"/>
                </patternFill>
              </fill>
            </x14:dxf>
          </x14:cfRule>
          <xm:sqref>BI24:BU24</xm:sqref>
        </x14:conditionalFormatting>
        <x14:conditionalFormatting xmlns:xm="http://schemas.microsoft.com/office/excel/2006/main">
          <x14:cfRule type="expression" priority="4690187" id="{AB32E790-6CD8-4D11-9A69-57D785FE4BBC}">
            <xm:f>$BK$4='Data entry'!$R12</xm:f>
            <x14:dxf>
              <fill>
                <patternFill>
                  <bgColor rgb="FFFFFF00"/>
                </patternFill>
              </fill>
            </x14:dxf>
          </x14:cfRule>
          <xm:sqref>AW23:BK23</xm:sqref>
        </x14:conditionalFormatting>
        <x14:conditionalFormatting xmlns:xm="http://schemas.microsoft.com/office/excel/2006/main">
          <x14:cfRule type="expression" priority="4690188" id="{99810EB9-805C-43D8-852A-EEECE7874CDB}">
            <xm:f>$BL$4='Data entry'!$R12</xm:f>
            <x14:dxf>
              <fill>
                <patternFill>
                  <bgColor rgb="FFFF0000"/>
                </patternFill>
              </fill>
            </x14:dxf>
          </x14:cfRule>
          <xm:sqref>BJ24:BV24</xm:sqref>
        </x14:conditionalFormatting>
        <x14:conditionalFormatting xmlns:xm="http://schemas.microsoft.com/office/excel/2006/main">
          <x14:cfRule type="expression" priority="4690189" id="{BF5F5475-4E46-479C-97A6-D5175F5D1803}">
            <xm:f>$BL$4='Data entry'!$R12</xm:f>
            <x14:dxf>
              <fill>
                <patternFill>
                  <bgColor rgb="FFFFFF00"/>
                </patternFill>
              </fill>
            </x14:dxf>
          </x14:cfRule>
          <xm:sqref>AX23:BL23</xm:sqref>
        </x14:conditionalFormatting>
        <x14:conditionalFormatting xmlns:xm="http://schemas.microsoft.com/office/excel/2006/main">
          <x14:cfRule type="expression" priority="4690190" id="{B86FDF2F-16C9-46B1-847E-7EA1A8A34B9D}">
            <xm:f>$BM$4='Data entry'!$R12</xm:f>
            <x14:dxf>
              <fill>
                <patternFill>
                  <bgColor rgb="FFFF0000"/>
                </patternFill>
              </fill>
            </x14:dxf>
          </x14:cfRule>
          <xm:sqref>BK24:BW24</xm:sqref>
        </x14:conditionalFormatting>
        <x14:conditionalFormatting xmlns:xm="http://schemas.microsoft.com/office/excel/2006/main">
          <x14:cfRule type="expression" priority="4690191" id="{72FD189F-4CED-400D-9FEF-21A328970A4D}">
            <xm:f>$BM$4='Data entry'!$R12</xm:f>
            <x14:dxf>
              <fill>
                <patternFill>
                  <bgColor rgb="FFFFFF00"/>
                </patternFill>
              </fill>
            </x14:dxf>
          </x14:cfRule>
          <xm:sqref>AY23:BM23</xm:sqref>
        </x14:conditionalFormatting>
        <x14:conditionalFormatting xmlns:xm="http://schemas.microsoft.com/office/excel/2006/main">
          <x14:cfRule type="expression" priority="4690192" id="{BBBBF859-D5A7-4F55-BFBF-8A77E3357590}">
            <xm:f>$BN$4='Data entry'!$R12</xm:f>
            <x14:dxf>
              <fill>
                <patternFill>
                  <bgColor rgb="FFFF0000"/>
                </patternFill>
              </fill>
            </x14:dxf>
          </x14:cfRule>
          <xm:sqref>BL24:BX24</xm:sqref>
        </x14:conditionalFormatting>
        <x14:conditionalFormatting xmlns:xm="http://schemas.microsoft.com/office/excel/2006/main">
          <x14:cfRule type="expression" priority="4690193" id="{50CB1D75-0FD5-4D24-92B1-E8A41DC6575C}">
            <xm:f>$BN$4='Data entry'!$R12</xm:f>
            <x14:dxf>
              <fill>
                <patternFill>
                  <bgColor rgb="FFFFFF00"/>
                </patternFill>
              </fill>
            </x14:dxf>
          </x14:cfRule>
          <xm:sqref>AZ23:BN23</xm:sqref>
        </x14:conditionalFormatting>
        <x14:conditionalFormatting xmlns:xm="http://schemas.microsoft.com/office/excel/2006/main">
          <x14:cfRule type="expression" priority="4690194" id="{9EF3226D-E8FC-496B-A6FF-71776AEA54D1}">
            <xm:f>$BO$4='Data entry'!$R12</xm:f>
            <x14:dxf>
              <fill>
                <patternFill>
                  <bgColor rgb="FFFF0000"/>
                </patternFill>
              </fill>
            </x14:dxf>
          </x14:cfRule>
          <xm:sqref>BM24:BY24</xm:sqref>
        </x14:conditionalFormatting>
        <x14:conditionalFormatting xmlns:xm="http://schemas.microsoft.com/office/excel/2006/main">
          <x14:cfRule type="expression" priority="4690195" id="{3B86C801-ECFE-4D05-8AA5-1581116BAFBC}">
            <xm:f>$BO$4='Data entry'!$R12</xm:f>
            <x14:dxf>
              <fill>
                <patternFill>
                  <bgColor rgb="FFFFFF00"/>
                </patternFill>
              </fill>
            </x14:dxf>
          </x14:cfRule>
          <xm:sqref>BA23:BO23</xm:sqref>
        </x14:conditionalFormatting>
        <x14:conditionalFormatting xmlns:xm="http://schemas.microsoft.com/office/excel/2006/main">
          <x14:cfRule type="expression" priority="4690196" id="{058A23EC-3371-4A02-9F20-1ECA603AC6BC}">
            <xm:f>$BP$4='Data entry'!$R12</xm:f>
            <x14:dxf>
              <fill>
                <patternFill>
                  <bgColor rgb="FFFF0000"/>
                </patternFill>
              </fill>
            </x14:dxf>
          </x14:cfRule>
          <xm:sqref>BN24:BZ24</xm:sqref>
        </x14:conditionalFormatting>
        <x14:conditionalFormatting xmlns:xm="http://schemas.microsoft.com/office/excel/2006/main">
          <x14:cfRule type="expression" priority="4690197" id="{3E711E31-3992-4555-AB22-87133D60CD15}">
            <xm:f>$BP$4='Data entry'!$R12</xm:f>
            <x14:dxf>
              <fill>
                <patternFill>
                  <bgColor rgb="FFFFFF00"/>
                </patternFill>
              </fill>
            </x14:dxf>
          </x14:cfRule>
          <xm:sqref>BB23:BP23</xm:sqref>
        </x14:conditionalFormatting>
        <x14:conditionalFormatting xmlns:xm="http://schemas.microsoft.com/office/excel/2006/main">
          <x14:cfRule type="expression" priority="4690198" id="{23E9F8B9-37D5-4730-9453-6F23E8ECBBE3}">
            <xm:f>$BQ$4='Data entry'!$R12</xm:f>
            <x14:dxf>
              <fill>
                <patternFill>
                  <bgColor rgb="FFFFFF00"/>
                </patternFill>
              </fill>
            </x14:dxf>
          </x14:cfRule>
          <xm:sqref>BC23:BQ23</xm:sqref>
        </x14:conditionalFormatting>
        <x14:conditionalFormatting xmlns:xm="http://schemas.microsoft.com/office/excel/2006/main">
          <x14:cfRule type="expression" priority="4690199" id="{BCFD92F6-AAD3-44FD-BC61-A292A81B883E}">
            <xm:f>$BQ$4='Data entry'!$R12</xm:f>
            <x14:dxf>
              <fill>
                <patternFill>
                  <bgColor rgb="FFFF0000"/>
                </patternFill>
              </fill>
            </x14:dxf>
          </x14:cfRule>
          <xm:sqref>BO24:CA24</xm:sqref>
        </x14:conditionalFormatting>
        <x14:conditionalFormatting xmlns:xm="http://schemas.microsoft.com/office/excel/2006/main">
          <x14:cfRule type="expression" priority="4690200" id="{357D60E5-F356-477E-8020-A18F42C02832}">
            <xm:f>$BR$4='Data entry'!$R12</xm:f>
            <x14:dxf>
              <fill>
                <patternFill>
                  <bgColor rgb="FFFFFF00"/>
                </patternFill>
              </fill>
            </x14:dxf>
          </x14:cfRule>
          <xm:sqref>BD23:BR23</xm:sqref>
        </x14:conditionalFormatting>
        <x14:conditionalFormatting xmlns:xm="http://schemas.microsoft.com/office/excel/2006/main">
          <x14:cfRule type="expression" priority="4690201" id="{DA2B6511-43B3-432D-B6AA-1DB1188B90A6}">
            <xm:f>$BR$4='Data entry'!$R12</xm:f>
            <x14:dxf>
              <fill>
                <patternFill>
                  <bgColor rgb="FFFF0000"/>
                </patternFill>
              </fill>
            </x14:dxf>
          </x14:cfRule>
          <xm:sqref>BP24:CB24</xm:sqref>
        </x14:conditionalFormatting>
        <x14:conditionalFormatting xmlns:xm="http://schemas.microsoft.com/office/excel/2006/main">
          <x14:cfRule type="expression" priority="4690202" id="{0D5F64E4-4136-4BFA-B833-CC8578525D9C}">
            <xm:f>$BS$4='Data entry'!$R12</xm:f>
            <x14:dxf>
              <fill>
                <patternFill>
                  <bgColor rgb="FFFFFF00"/>
                </patternFill>
              </fill>
            </x14:dxf>
          </x14:cfRule>
          <xm:sqref>BE23:BS23</xm:sqref>
        </x14:conditionalFormatting>
        <x14:conditionalFormatting xmlns:xm="http://schemas.microsoft.com/office/excel/2006/main">
          <x14:cfRule type="expression" priority="4690203" id="{AC94D468-F078-4AE2-8771-102996E07B09}">
            <xm:f>$BS$4='Data entry'!$R12</xm:f>
            <x14:dxf>
              <fill>
                <patternFill>
                  <bgColor rgb="FFFF0000"/>
                </patternFill>
              </fill>
            </x14:dxf>
          </x14:cfRule>
          <xm:sqref>BQ24:CC24</xm:sqref>
        </x14:conditionalFormatting>
        <x14:conditionalFormatting xmlns:xm="http://schemas.microsoft.com/office/excel/2006/main">
          <x14:cfRule type="expression" priority="4690204" id="{10E78F76-181E-4F19-9F89-7DD36D3EFE30}">
            <xm:f>$BT$4='Data entry'!$R12</xm:f>
            <x14:dxf>
              <fill>
                <patternFill>
                  <bgColor rgb="FFFFFF00"/>
                </patternFill>
              </fill>
            </x14:dxf>
          </x14:cfRule>
          <xm:sqref>BF23:BT23</xm:sqref>
        </x14:conditionalFormatting>
        <x14:conditionalFormatting xmlns:xm="http://schemas.microsoft.com/office/excel/2006/main">
          <x14:cfRule type="expression" priority="4690205" id="{6A5FADC6-9512-4EFB-90A5-7B5244D10D1F}">
            <xm:f>$BT$4='Data entry'!$R12</xm:f>
            <x14:dxf>
              <fill>
                <patternFill>
                  <bgColor rgb="FFFF0000"/>
                </patternFill>
              </fill>
            </x14:dxf>
          </x14:cfRule>
          <xm:sqref>BR24:CC24</xm:sqref>
        </x14:conditionalFormatting>
        <x14:conditionalFormatting xmlns:xm="http://schemas.microsoft.com/office/excel/2006/main">
          <x14:cfRule type="expression" priority="4690206" id="{A51139D1-8841-4B96-B8CB-DFE3808765CF}">
            <xm:f>$BU$4='Data entry'!$R12</xm:f>
            <x14:dxf>
              <fill>
                <patternFill>
                  <bgColor rgb="FFFFFF00"/>
                </patternFill>
              </fill>
            </x14:dxf>
          </x14:cfRule>
          <xm:sqref>BG23:BU23</xm:sqref>
        </x14:conditionalFormatting>
        <x14:conditionalFormatting xmlns:xm="http://schemas.microsoft.com/office/excel/2006/main">
          <x14:cfRule type="expression" priority="4690207" id="{55CA7258-760F-4BFF-ACB5-A70FEB3E7981}">
            <xm:f>$BU$4='Data entry'!$R12</xm:f>
            <x14:dxf>
              <fill>
                <patternFill>
                  <bgColor rgb="FFFF0000"/>
                </patternFill>
              </fill>
            </x14:dxf>
          </x14:cfRule>
          <xm:sqref>BS24:CC24</xm:sqref>
        </x14:conditionalFormatting>
        <x14:conditionalFormatting xmlns:xm="http://schemas.microsoft.com/office/excel/2006/main">
          <x14:cfRule type="expression" priority="4690208" id="{A922B218-64DB-4CBB-9AB8-FE0EBB44E09E}">
            <xm:f>$BV$4='Data entry'!$R12</xm:f>
            <x14:dxf>
              <fill>
                <patternFill>
                  <bgColor rgb="FFFFFF00"/>
                </patternFill>
              </fill>
            </x14:dxf>
          </x14:cfRule>
          <xm:sqref>BH23:BV23</xm:sqref>
        </x14:conditionalFormatting>
        <x14:conditionalFormatting xmlns:xm="http://schemas.microsoft.com/office/excel/2006/main">
          <x14:cfRule type="expression" priority="4690209" id="{C98E908A-CD31-4778-B41C-7AFB9DBE639A}">
            <xm:f>$BV$4='Data entry'!$R12</xm:f>
            <x14:dxf>
              <fill>
                <patternFill>
                  <bgColor rgb="FFFF0000"/>
                </patternFill>
              </fill>
            </x14:dxf>
          </x14:cfRule>
          <xm:sqref>BT24:CC24</xm:sqref>
        </x14:conditionalFormatting>
        <x14:conditionalFormatting xmlns:xm="http://schemas.microsoft.com/office/excel/2006/main">
          <x14:cfRule type="expression" priority="4690210" id="{465CCCA3-B4DB-4B61-8AC7-8A5E4CEC9E3F}">
            <xm:f>$BW$4='Data entry'!$R12</xm:f>
            <x14:dxf>
              <fill>
                <patternFill>
                  <bgColor rgb="FFFFFF00"/>
                </patternFill>
              </fill>
            </x14:dxf>
          </x14:cfRule>
          <xm:sqref>BI23:BW23</xm:sqref>
        </x14:conditionalFormatting>
        <x14:conditionalFormatting xmlns:xm="http://schemas.microsoft.com/office/excel/2006/main">
          <x14:cfRule type="expression" priority="4690211" id="{37566F97-6D06-400B-A709-FE657B07687F}">
            <xm:f>$BW$4='Data entry'!$R12</xm:f>
            <x14:dxf>
              <fill>
                <patternFill>
                  <bgColor rgb="FFFF0000"/>
                </patternFill>
              </fill>
            </x14:dxf>
          </x14:cfRule>
          <xm:sqref>BU24:CC24</xm:sqref>
        </x14:conditionalFormatting>
        <x14:conditionalFormatting xmlns:xm="http://schemas.microsoft.com/office/excel/2006/main">
          <x14:cfRule type="expression" priority="4690212" id="{D8FBA3AC-5CF0-4E45-97CA-1D4DEE729ADA}">
            <xm:f>$BX$4='Data entry'!$R12</xm:f>
            <x14:dxf>
              <fill>
                <patternFill>
                  <bgColor rgb="FFFFFF00"/>
                </patternFill>
              </fill>
            </x14:dxf>
          </x14:cfRule>
          <xm:sqref>BJ23:BX23</xm:sqref>
        </x14:conditionalFormatting>
        <x14:conditionalFormatting xmlns:xm="http://schemas.microsoft.com/office/excel/2006/main">
          <x14:cfRule type="expression" priority="4690213" id="{E077C84B-A94F-431D-B232-4AFCC7C64F54}">
            <xm:f>$BX$4='Data entry'!$R12</xm:f>
            <x14:dxf>
              <fill>
                <patternFill>
                  <bgColor rgb="FFFF0000"/>
                </patternFill>
              </fill>
            </x14:dxf>
          </x14:cfRule>
          <xm:sqref>BV24:CC24</xm:sqref>
        </x14:conditionalFormatting>
        <x14:conditionalFormatting xmlns:xm="http://schemas.microsoft.com/office/excel/2006/main">
          <x14:cfRule type="expression" priority="4690214" id="{63783BA8-0C97-4A44-86FD-7A2BCF1B9957}">
            <xm:f>$BY$4='Data entry'!$R12</xm:f>
            <x14:dxf>
              <fill>
                <patternFill>
                  <bgColor rgb="FFFFFF00"/>
                </patternFill>
              </fill>
            </x14:dxf>
          </x14:cfRule>
          <xm:sqref>BK23:BY23</xm:sqref>
        </x14:conditionalFormatting>
        <x14:conditionalFormatting xmlns:xm="http://schemas.microsoft.com/office/excel/2006/main">
          <x14:cfRule type="expression" priority="4690215" id="{BB8DB8B4-B71B-46D2-AEE7-346F16103F74}">
            <xm:f>$BY$4='Data entry'!$R12</xm:f>
            <x14:dxf>
              <fill>
                <patternFill>
                  <bgColor rgb="FFFF0000"/>
                </patternFill>
              </fill>
            </x14:dxf>
          </x14:cfRule>
          <xm:sqref>BW24:CC24</xm:sqref>
        </x14:conditionalFormatting>
        <x14:conditionalFormatting xmlns:xm="http://schemas.microsoft.com/office/excel/2006/main">
          <x14:cfRule type="expression" priority="4690216" id="{1B638B98-2B06-4FEB-90C1-446A3E0A3979}">
            <xm:f>$BZ$4='Data entry'!$R12</xm:f>
            <x14:dxf>
              <fill>
                <patternFill>
                  <bgColor rgb="FFFFFF00"/>
                </patternFill>
              </fill>
            </x14:dxf>
          </x14:cfRule>
          <xm:sqref>BL23:BZ23</xm:sqref>
        </x14:conditionalFormatting>
        <x14:conditionalFormatting xmlns:xm="http://schemas.microsoft.com/office/excel/2006/main">
          <x14:cfRule type="expression" priority="4690217" id="{D3A0A2F8-D1B2-4DC5-B2A9-0EF53074E685}">
            <xm:f>$BZ$4='Data entry'!$R12</xm:f>
            <x14:dxf>
              <fill>
                <patternFill>
                  <bgColor rgb="FFFF0000"/>
                </patternFill>
              </fill>
            </x14:dxf>
          </x14:cfRule>
          <xm:sqref>BX24:CC24</xm:sqref>
        </x14:conditionalFormatting>
        <x14:conditionalFormatting xmlns:xm="http://schemas.microsoft.com/office/excel/2006/main">
          <x14:cfRule type="expression" priority="4690218" id="{83F6D018-7D3B-4D33-9998-11572F2F2FF5}">
            <xm:f>$CA$4='Data entry'!$R12</xm:f>
            <x14:dxf>
              <fill>
                <patternFill>
                  <bgColor rgb="FFFFFF00"/>
                </patternFill>
              </fill>
            </x14:dxf>
          </x14:cfRule>
          <xm:sqref>BM23:CA23</xm:sqref>
        </x14:conditionalFormatting>
        <x14:conditionalFormatting xmlns:xm="http://schemas.microsoft.com/office/excel/2006/main">
          <x14:cfRule type="expression" priority="4690219" id="{8E6D0B51-5626-4ED9-9072-C7A2C139704F}">
            <xm:f>$CA$4='Data entry'!$R12</xm:f>
            <x14:dxf>
              <fill>
                <patternFill>
                  <bgColor rgb="FFFF0000"/>
                </patternFill>
              </fill>
            </x14:dxf>
          </x14:cfRule>
          <xm:sqref>BY24:CC24</xm:sqref>
        </x14:conditionalFormatting>
        <x14:conditionalFormatting xmlns:xm="http://schemas.microsoft.com/office/excel/2006/main">
          <x14:cfRule type="expression" priority="4690220" id="{E1886EE4-3BDE-43A9-9F4B-79377FEC37FE}">
            <xm:f>$CB$4='Data entry'!$R12</xm:f>
            <x14:dxf>
              <fill>
                <patternFill>
                  <bgColor rgb="FFFFFF00"/>
                </patternFill>
              </fill>
            </x14:dxf>
          </x14:cfRule>
          <xm:sqref>BN23:CB23</xm:sqref>
        </x14:conditionalFormatting>
        <x14:conditionalFormatting xmlns:xm="http://schemas.microsoft.com/office/excel/2006/main">
          <x14:cfRule type="expression" priority="4690221" id="{ADEF572A-6C18-4602-BB86-01C96D36E07E}">
            <xm:f>$CB$4='Data entry'!$R12</xm:f>
            <x14:dxf>
              <fill>
                <patternFill>
                  <bgColor rgb="FFFF0000"/>
                </patternFill>
              </fill>
            </x14:dxf>
          </x14:cfRule>
          <xm:sqref>BZ24:CC24</xm:sqref>
        </x14:conditionalFormatting>
        <x14:conditionalFormatting xmlns:xm="http://schemas.microsoft.com/office/excel/2006/main">
          <x14:cfRule type="expression" priority="4690222" id="{7984E1C9-E073-4955-8543-62145CB6D008}">
            <xm:f>$CC$4='Data entry'!$R12</xm:f>
            <x14:dxf>
              <fill>
                <patternFill>
                  <bgColor rgb="FFFFFF00"/>
                </patternFill>
              </fill>
            </x14:dxf>
          </x14:cfRule>
          <xm:sqref>BO23:CC23</xm:sqref>
        </x14:conditionalFormatting>
        <x14:conditionalFormatting xmlns:xm="http://schemas.microsoft.com/office/excel/2006/main">
          <x14:cfRule type="expression" priority="4690223" id="{18A957B3-59FA-4698-BA92-2A208FF18E2F}">
            <xm:f>$CC$4='Data entry'!$R12</xm:f>
            <x14:dxf>
              <fill>
                <patternFill>
                  <bgColor rgb="FFFF0000"/>
                </patternFill>
              </fill>
            </x14:dxf>
          </x14:cfRule>
          <xm:sqref>CA24:CC24</xm:sqref>
        </x14:conditionalFormatting>
        <x14:conditionalFormatting xmlns:xm="http://schemas.microsoft.com/office/excel/2006/main">
          <x14:cfRule type="expression" priority="4690310" id="{5B0DB825-B7C2-40AC-B7EF-F267F054CFB9}">
            <xm:f>$U$4='Data entry'!$R13</xm:f>
            <x14:dxf>
              <fill>
                <patternFill>
                  <bgColor rgb="FFFF0000"/>
                </patternFill>
              </fill>
            </x14:dxf>
          </x14:cfRule>
          <xm:sqref>S27:AE27</xm:sqref>
        </x14:conditionalFormatting>
        <x14:conditionalFormatting xmlns:xm="http://schemas.microsoft.com/office/excel/2006/main">
          <x14:cfRule type="expression" priority="4690311" id="{18311200-E2BB-400F-B594-3B9A2C6068C2}">
            <xm:f>$V$4='Data entry'!$R13</xm:f>
            <x14:dxf>
              <fill>
                <patternFill>
                  <bgColor rgb="FFFF0000"/>
                </patternFill>
              </fill>
            </x14:dxf>
          </x14:cfRule>
          <xm:sqref>T27:AF27</xm:sqref>
        </x14:conditionalFormatting>
        <x14:conditionalFormatting xmlns:xm="http://schemas.microsoft.com/office/excel/2006/main">
          <x14:cfRule type="expression" priority="4690312" id="{D6DFB621-1A58-4C59-A987-ECAD0EB2D32B}">
            <xm:f>$V$4='Data entry'!$R13</xm:f>
            <x14:dxf>
              <fill>
                <patternFill>
                  <bgColor rgb="FFFFFF00"/>
                </patternFill>
              </fill>
            </x14:dxf>
          </x14:cfRule>
          <xm:sqref>H26:V26</xm:sqref>
        </x14:conditionalFormatting>
        <x14:conditionalFormatting xmlns:xm="http://schemas.microsoft.com/office/excel/2006/main">
          <x14:cfRule type="expression" priority="4690313" id="{5F87A680-DC5F-433D-A779-B7A534ACCDA9}">
            <xm:f>$W$4='Data entry'!$R13</xm:f>
            <x14:dxf>
              <fill>
                <patternFill>
                  <bgColor rgb="FFFF0000"/>
                </patternFill>
              </fill>
            </x14:dxf>
          </x14:cfRule>
          <xm:sqref>U27:AG27</xm:sqref>
        </x14:conditionalFormatting>
        <x14:conditionalFormatting xmlns:xm="http://schemas.microsoft.com/office/excel/2006/main">
          <x14:cfRule type="expression" priority="4690314" id="{964539FF-A92C-4F68-B268-B7157A32678C}">
            <xm:f>$W$4='Data entry'!$R13</xm:f>
            <x14:dxf>
              <fill>
                <patternFill>
                  <bgColor rgb="FFFFFF00"/>
                </patternFill>
              </fill>
            </x14:dxf>
          </x14:cfRule>
          <xm:sqref>I26:W26</xm:sqref>
        </x14:conditionalFormatting>
        <x14:conditionalFormatting xmlns:xm="http://schemas.microsoft.com/office/excel/2006/main">
          <x14:cfRule type="expression" priority="4690315" id="{46C1533A-F090-4A90-9309-3F59EC3FD3B0}">
            <xm:f>$X$4='Data entry'!$R13</xm:f>
            <x14:dxf>
              <fill>
                <patternFill>
                  <bgColor rgb="FFFF0000"/>
                </patternFill>
              </fill>
            </x14:dxf>
          </x14:cfRule>
          <xm:sqref>V27:AH27</xm:sqref>
        </x14:conditionalFormatting>
        <x14:conditionalFormatting xmlns:xm="http://schemas.microsoft.com/office/excel/2006/main">
          <x14:cfRule type="expression" priority="4690316" id="{7C70E81C-DDD4-4D75-933A-4F6A39893184}">
            <xm:f>$X$4='Data entry'!$R13</xm:f>
            <x14:dxf>
              <fill>
                <patternFill>
                  <bgColor rgb="FFFFFF00"/>
                </patternFill>
              </fill>
            </x14:dxf>
          </x14:cfRule>
          <xm:sqref>J26:X26</xm:sqref>
        </x14:conditionalFormatting>
        <x14:conditionalFormatting xmlns:xm="http://schemas.microsoft.com/office/excel/2006/main">
          <x14:cfRule type="expression" priority="4690317" id="{561AF073-0EF8-4B72-A119-40A639C4359D}">
            <xm:f>$Y$4='Data entry'!$R13</xm:f>
            <x14:dxf>
              <fill>
                <patternFill>
                  <bgColor rgb="FFFF0000"/>
                </patternFill>
              </fill>
            </x14:dxf>
          </x14:cfRule>
          <xm:sqref>W27:AI27</xm:sqref>
        </x14:conditionalFormatting>
        <x14:conditionalFormatting xmlns:xm="http://schemas.microsoft.com/office/excel/2006/main">
          <x14:cfRule type="expression" priority="4690318" id="{F242E808-8F07-4A89-9524-7D4C767CE357}">
            <xm:f>$Y$4='Data entry'!$R13</xm:f>
            <x14:dxf>
              <fill>
                <patternFill>
                  <bgColor rgb="FFFFFF00"/>
                </patternFill>
              </fill>
            </x14:dxf>
          </x14:cfRule>
          <xm:sqref>K26:Y26</xm:sqref>
        </x14:conditionalFormatting>
        <x14:conditionalFormatting xmlns:xm="http://schemas.microsoft.com/office/excel/2006/main">
          <x14:cfRule type="expression" priority="4690319" id="{DD601058-982B-4218-BD9D-64BB823C2633}">
            <xm:f>$Z$4='Data entry'!$R13</xm:f>
            <x14:dxf>
              <fill>
                <patternFill>
                  <bgColor rgb="FFFF0000"/>
                </patternFill>
              </fill>
            </x14:dxf>
          </x14:cfRule>
          <xm:sqref>X27:AJ27</xm:sqref>
        </x14:conditionalFormatting>
        <x14:conditionalFormatting xmlns:xm="http://schemas.microsoft.com/office/excel/2006/main">
          <x14:cfRule type="expression" priority="4690320" id="{C9DB141D-79F6-4093-92A3-7BF7A1622985}">
            <xm:f>$Z$4='Data entry'!$R13</xm:f>
            <x14:dxf>
              <fill>
                <patternFill>
                  <bgColor rgb="FFFFFF00"/>
                </patternFill>
              </fill>
            </x14:dxf>
          </x14:cfRule>
          <xm:sqref>L26:Z26</xm:sqref>
        </x14:conditionalFormatting>
        <x14:conditionalFormatting xmlns:xm="http://schemas.microsoft.com/office/excel/2006/main">
          <x14:cfRule type="expression" priority="4690321" id="{710EB8D3-F5C0-4E3C-8214-2D0C4E26F649}">
            <xm:f>$AA$4='Data entry'!$R13</xm:f>
            <x14:dxf>
              <fill>
                <patternFill>
                  <bgColor rgb="FFFF0000"/>
                </patternFill>
              </fill>
            </x14:dxf>
          </x14:cfRule>
          <xm:sqref>Y27:AK27</xm:sqref>
        </x14:conditionalFormatting>
        <x14:conditionalFormatting xmlns:xm="http://schemas.microsoft.com/office/excel/2006/main">
          <x14:cfRule type="expression" priority="4690322" id="{33825D69-C967-4D27-B395-5D44A3083802}">
            <xm:f>$AA$4='Data entry'!$R13</xm:f>
            <x14:dxf>
              <fill>
                <patternFill>
                  <bgColor rgb="FFFFFF00"/>
                </patternFill>
              </fill>
            </x14:dxf>
          </x14:cfRule>
          <xm:sqref>M26:AA26</xm:sqref>
        </x14:conditionalFormatting>
        <x14:conditionalFormatting xmlns:xm="http://schemas.microsoft.com/office/excel/2006/main">
          <x14:cfRule type="expression" priority="4690323" id="{9811A97D-351B-4D32-8754-AF433277E62B}">
            <xm:f>$AB$4='Data entry'!$R13</xm:f>
            <x14:dxf>
              <fill>
                <patternFill>
                  <bgColor rgb="FFFF0000"/>
                </patternFill>
              </fill>
            </x14:dxf>
          </x14:cfRule>
          <xm:sqref>Z27:AL27</xm:sqref>
        </x14:conditionalFormatting>
        <x14:conditionalFormatting xmlns:xm="http://schemas.microsoft.com/office/excel/2006/main">
          <x14:cfRule type="expression" priority="4690324" id="{6DD3E556-C72E-438B-92DA-3096ED1E4178}">
            <xm:f>$AB$4='Data entry'!$R13</xm:f>
            <x14:dxf>
              <fill>
                <patternFill>
                  <bgColor rgb="FFFFFF00"/>
                </patternFill>
              </fill>
            </x14:dxf>
          </x14:cfRule>
          <xm:sqref>N26:AB26</xm:sqref>
        </x14:conditionalFormatting>
        <x14:conditionalFormatting xmlns:xm="http://schemas.microsoft.com/office/excel/2006/main">
          <x14:cfRule type="expression" priority="4690325" id="{C0DF7A1B-D6BC-4371-BD3A-F0708147FA1C}">
            <xm:f>$AC$4='Data entry'!$R13</xm:f>
            <x14:dxf>
              <fill>
                <patternFill>
                  <bgColor rgb="FFFF0000"/>
                </patternFill>
              </fill>
            </x14:dxf>
          </x14:cfRule>
          <xm:sqref>AA27:AM27</xm:sqref>
        </x14:conditionalFormatting>
        <x14:conditionalFormatting xmlns:xm="http://schemas.microsoft.com/office/excel/2006/main">
          <x14:cfRule type="expression" priority="4690326" id="{DB2E1F48-AF0E-41F9-A976-6B1963CA5711}">
            <xm:f>$AC$4='Data entry'!$R13</xm:f>
            <x14:dxf>
              <fill>
                <patternFill>
                  <bgColor rgb="FFFFFF00"/>
                </patternFill>
              </fill>
            </x14:dxf>
          </x14:cfRule>
          <xm:sqref>O26:AC26</xm:sqref>
        </x14:conditionalFormatting>
        <x14:conditionalFormatting xmlns:xm="http://schemas.microsoft.com/office/excel/2006/main">
          <x14:cfRule type="expression" priority="4690327" id="{89909907-F9A9-4AF9-BC1D-304710A43F50}">
            <xm:f>$AD$4='Data entry'!$R13</xm:f>
            <x14:dxf>
              <fill>
                <patternFill>
                  <bgColor rgb="FFFF0000"/>
                </patternFill>
              </fill>
            </x14:dxf>
          </x14:cfRule>
          <xm:sqref>AB27:AN27</xm:sqref>
        </x14:conditionalFormatting>
        <x14:conditionalFormatting xmlns:xm="http://schemas.microsoft.com/office/excel/2006/main">
          <x14:cfRule type="expression" priority="4690328" id="{729676B7-E331-43A4-ACC9-850DCEE76A0E}">
            <xm:f>$AD$4='Data entry'!$R13</xm:f>
            <x14:dxf>
              <fill>
                <patternFill>
                  <bgColor rgb="FFFFFF00"/>
                </patternFill>
              </fill>
            </x14:dxf>
          </x14:cfRule>
          <xm:sqref>P26:AD26</xm:sqref>
        </x14:conditionalFormatting>
        <x14:conditionalFormatting xmlns:xm="http://schemas.microsoft.com/office/excel/2006/main">
          <x14:cfRule type="expression" priority="4690329" id="{00DA2C55-350E-44AA-ABEA-808FABFDA737}">
            <xm:f>$AE$4='Data entry'!$R13</xm:f>
            <x14:dxf>
              <fill>
                <patternFill>
                  <bgColor rgb="FFFF0000"/>
                </patternFill>
              </fill>
            </x14:dxf>
          </x14:cfRule>
          <xm:sqref>AC27:AO27</xm:sqref>
        </x14:conditionalFormatting>
        <x14:conditionalFormatting xmlns:xm="http://schemas.microsoft.com/office/excel/2006/main">
          <x14:cfRule type="expression" priority="4690330" id="{373C95F1-00C1-45E9-B561-5224945BA4A4}">
            <xm:f>$AE$4='Data entry'!$R13</xm:f>
            <x14:dxf>
              <fill>
                <patternFill>
                  <bgColor rgb="FFFFFF00"/>
                </patternFill>
              </fill>
            </x14:dxf>
          </x14:cfRule>
          <xm:sqref>Q26:AE26</xm:sqref>
        </x14:conditionalFormatting>
        <x14:conditionalFormatting xmlns:xm="http://schemas.microsoft.com/office/excel/2006/main">
          <x14:cfRule type="expression" priority="4690331" id="{65E90E74-6BEF-4B00-BD5E-ECACFEBC225A}">
            <xm:f>$AF$4='Data entry'!$R13</xm:f>
            <x14:dxf>
              <fill>
                <patternFill>
                  <bgColor rgb="FFFF0000"/>
                </patternFill>
              </fill>
            </x14:dxf>
          </x14:cfRule>
          <xm:sqref>AD27:AP27</xm:sqref>
        </x14:conditionalFormatting>
        <x14:conditionalFormatting xmlns:xm="http://schemas.microsoft.com/office/excel/2006/main">
          <x14:cfRule type="expression" priority="4690332" id="{56B519D7-E083-4811-B42B-D6CB10D44BB3}">
            <xm:f>$AF$4='Data entry'!$R13</xm:f>
            <x14:dxf>
              <fill>
                <patternFill>
                  <bgColor rgb="FFFFFF00"/>
                </patternFill>
              </fill>
            </x14:dxf>
          </x14:cfRule>
          <xm:sqref>R26:AF26</xm:sqref>
        </x14:conditionalFormatting>
        <x14:conditionalFormatting xmlns:xm="http://schemas.microsoft.com/office/excel/2006/main">
          <x14:cfRule type="expression" priority="4690333" id="{889682B6-BF9B-414B-86B7-1C802156B058}">
            <xm:f>$AG$4='Data entry'!$R13</xm:f>
            <x14:dxf>
              <fill>
                <patternFill>
                  <bgColor rgb="FFFF0000"/>
                </patternFill>
              </fill>
            </x14:dxf>
          </x14:cfRule>
          <xm:sqref>AE27:AQ27</xm:sqref>
        </x14:conditionalFormatting>
        <x14:conditionalFormatting xmlns:xm="http://schemas.microsoft.com/office/excel/2006/main">
          <x14:cfRule type="expression" priority="4690334" id="{19913D88-1940-4CB0-B29C-D46D60833BD5}">
            <xm:f>$AG$4='Data entry'!$R13</xm:f>
            <x14:dxf>
              <fill>
                <patternFill>
                  <bgColor rgb="FFFFFF00"/>
                </patternFill>
              </fill>
            </x14:dxf>
          </x14:cfRule>
          <xm:sqref>S26:AG26</xm:sqref>
        </x14:conditionalFormatting>
        <x14:conditionalFormatting xmlns:xm="http://schemas.microsoft.com/office/excel/2006/main">
          <x14:cfRule type="expression" priority="4690335" id="{3DD7B9A5-18A3-463F-BAD5-9796FC487328}">
            <xm:f>$AH$4='Data entry'!$R13</xm:f>
            <x14:dxf>
              <fill>
                <patternFill>
                  <bgColor rgb="FFFF0000"/>
                </patternFill>
              </fill>
            </x14:dxf>
          </x14:cfRule>
          <xm:sqref>AF27:AR27</xm:sqref>
        </x14:conditionalFormatting>
        <x14:conditionalFormatting xmlns:xm="http://schemas.microsoft.com/office/excel/2006/main">
          <x14:cfRule type="expression" priority="4690336" id="{31005CF4-5608-496E-91EB-F7F505046C80}">
            <xm:f>$AH$4='Data entry'!$R13</xm:f>
            <x14:dxf>
              <fill>
                <patternFill>
                  <bgColor rgb="FFFFFF00"/>
                </patternFill>
              </fill>
            </x14:dxf>
          </x14:cfRule>
          <xm:sqref>T26:AH26</xm:sqref>
        </x14:conditionalFormatting>
        <x14:conditionalFormatting xmlns:xm="http://schemas.microsoft.com/office/excel/2006/main">
          <x14:cfRule type="expression" priority="4690337" id="{CD14F654-5B7A-444F-8FC1-7DD71E76E475}">
            <xm:f>$AI$4='Data entry'!$R13</xm:f>
            <x14:dxf>
              <fill>
                <patternFill>
                  <bgColor rgb="FFFF0000"/>
                </patternFill>
              </fill>
            </x14:dxf>
          </x14:cfRule>
          <xm:sqref>AG27:AS27</xm:sqref>
        </x14:conditionalFormatting>
        <x14:conditionalFormatting xmlns:xm="http://schemas.microsoft.com/office/excel/2006/main">
          <x14:cfRule type="expression" priority="4690338" id="{0E4E448C-6C46-4285-B877-A61A90294385}">
            <xm:f>$AI$4='Data entry'!$R13</xm:f>
            <x14:dxf>
              <fill>
                <patternFill>
                  <bgColor rgb="FFFFFF00"/>
                </patternFill>
              </fill>
            </x14:dxf>
          </x14:cfRule>
          <xm:sqref>U26:AI26</xm:sqref>
        </x14:conditionalFormatting>
        <x14:conditionalFormatting xmlns:xm="http://schemas.microsoft.com/office/excel/2006/main">
          <x14:cfRule type="expression" priority="4690339" id="{B1C1818F-791C-403D-BE73-6F6E9DC6A16D}">
            <xm:f>$AJ$4='Data entry'!$R13</xm:f>
            <x14:dxf>
              <fill>
                <patternFill>
                  <bgColor rgb="FFFF0000"/>
                </patternFill>
              </fill>
            </x14:dxf>
          </x14:cfRule>
          <xm:sqref>AH27:AT27</xm:sqref>
        </x14:conditionalFormatting>
        <x14:conditionalFormatting xmlns:xm="http://schemas.microsoft.com/office/excel/2006/main">
          <x14:cfRule type="expression" priority="4690340" id="{A1237792-221B-431B-B8A7-E9A64DA46D93}">
            <xm:f>$AJ$4='Data entry'!$R13</xm:f>
            <x14:dxf>
              <fill>
                <patternFill>
                  <bgColor rgb="FFFFFF00"/>
                </patternFill>
              </fill>
            </x14:dxf>
          </x14:cfRule>
          <xm:sqref>V26:AJ26</xm:sqref>
        </x14:conditionalFormatting>
        <x14:conditionalFormatting xmlns:xm="http://schemas.microsoft.com/office/excel/2006/main">
          <x14:cfRule type="expression" priority="4690341" id="{617DC2AF-C7A3-4724-8EA3-17DEFEDC8949}">
            <xm:f>$AK$4='Data entry'!$R13</xm:f>
            <x14:dxf>
              <fill>
                <patternFill>
                  <bgColor rgb="FFFF0000"/>
                </patternFill>
              </fill>
            </x14:dxf>
          </x14:cfRule>
          <xm:sqref>AI27:AU27</xm:sqref>
        </x14:conditionalFormatting>
        <x14:conditionalFormatting xmlns:xm="http://schemas.microsoft.com/office/excel/2006/main">
          <x14:cfRule type="expression" priority="4690342" id="{AA72317D-37B1-48EB-A28B-BF2AC8DC4519}">
            <xm:f>$AK$4='Data entry'!$R13</xm:f>
            <x14:dxf>
              <fill>
                <patternFill>
                  <bgColor rgb="FFFFFF00"/>
                </patternFill>
              </fill>
            </x14:dxf>
          </x14:cfRule>
          <xm:sqref>W26:AK26</xm:sqref>
        </x14:conditionalFormatting>
        <x14:conditionalFormatting xmlns:xm="http://schemas.microsoft.com/office/excel/2006/main">
          <x14:cfRule type="expression" priority="4690343" id="{6CA9FB7A-20EA-4D3A-B74C-A001F4BE810D}">
            <xm:f>$AL$4='Data entry'!$R13</xm:f>
            <x14:dxf>
              <fill>
                <patternFill>
                  <bgColor rgb="FFFF0000"/>
                </patternFill>
              </fill>
            </x14:dxf>
          </x14:cfRule>
          <xm:sqref>AJ27:AV27</xm:sqref>
        </x14:conditionalFormatting>
        <x14:conditionalFormatting xmlns:xm="http://schemas.microsoft.com/office/excel/2006/main">
          <x14:cfRule type="expression" priority="4690344" id="{81A75DAA-573F-4EF3-A640-1B992C18BEA0}">
            <xm:f>$AL$4='Data entry'!$R13</xm:f>
            <x14:dxf>
              <fill>
                <patternFill>
                  <bgColor rgb="FFFFFF00"/>
                </patternFill>
              </fill>
            </x14:dxf>
          </x14:cfRule>
          <xm:sqref>X26:AL26</xm:sqref>
        </x14:conditionalFormatting>
        <x14:conditionalFormatting xmlns:xm="http://schemas.microsoft.com/office/excel/2006/main">
          <x14:cfRule type="expression" priority="4690345" id="{3D44713E-4ABA-4CCD-9DF4-5513A9FB5E1E}">
            <xm:f>$AM$4='Data entry'!$R13</xm:f>
            <x14:dxf>
              <fill>
                <patternFill>
                  <bgColor rgb="FFFF0000"/>
                </patternFill>
              </fill>
            </x14:dxf>
          </x14:cfRule>
          <xm:sqref>AK27:AW27</xm:sqref>
        </x14:conditionalFormatting>
        <x14:conditionalFormatting xmlns:xm="http://schemas.microsoft.com/office/excel/2006/main">
          <x14:cfRule type="expression" priority="4690346" id="{05A26B51-72A7-4423-822F-2BDBC28275D0}">
            <xm:f>$AM$4='Data entry'!$R13</xm:f>
            <x14:dxf>
              <fill>
                <patternFill>
                  <bgColor rgb="FFFFFF00"/>
                </patternFill>
              </fill>
            </x14:dxf>
          </x14:cfRule>
          <xm:sqref>Y26:AM26</xm:sqref>
        </x14:conditionalFormatting>
        <x14:conditionalFormatting xmlns:xm="http://schemas.microsoft.com/office/excel/2006/main">
          <x14:cfRule type="expression" priority="4690347" id="{B8A20675-6230-4694-A7F6-6B3DC7142773}">
            <xm:f>$AN$4='Data entry'!$R13</xm:f>
            <x14:dxf>
              <fill>
                <patternFill>
                  <bgColor rgb="FFFF0000"/>
                </patternFill>
              </fill>
            </x14:dxf>
          </x14:cfRule>
          <xm:sqref>AL27:AX27</xm:sqref>
        </x14:conditionalFormatting>
        <x14:conditionalFormatting xmlns:xm="http://schemas.microsoft.com/office/excel/2006/main">
          <x14:cfRule type="expression" priority="4690348" id="{8421181C-7450-42E9-BC1D-065CCFCA960E}">
            <xm:f>$AN$4='Data entry'!$R13</xm:f>
            <x14:dxf>
              <fill>
                <patternFill>
                  <bgColor rgb="FFFFFF00"/>
                </patternFill>
              </fill>
            </x14:dxf>
          </x14:cfRule>
          <xm:sqref>Z26:AN26</xm:sqref>
        </x14:conditionalFormatting>
        <x14:conditionalFormatting xmlns:xm="http://schemas.microsoft.com/office/excel/2006/main">
          <x14:cfRule type="expression" priority="4690349" id="{067FE4BD-6EF4-4684-B6E0-35AB2F267EE7}">
            <xm:f>$AO$4='Data entry'!$R13</xm:f>
            <x14:dxf>
              <fill>
                <patternFill>
                  <bgColor rgb="FFFF0000"/>
                </patternFill>
              </fill>
            </x14:dxf>
          </x14:cfRule>
          <xm:sqref>AM27:AY27</xm:sqref>
        </x14:conditionalFormatting>
        <x14:conditionalFormatting xmlns:xm="http://schemas.microsoft.com/office/excel/2006/main">
          <x14:cfRule type="expression" priority="4690350" id="{F7653492-88D1-47AC-8BA3-0CCE65C3C2AB}">
            <xm:f>$AO$4='Data entry'!$R13</xm:f>
            <x14:dxf>
              <fill>
                <patternFill>
                  <bgColor rgb="FFFFFF00"/>
                </patternFill>
              </fill>
            </x14:dxf>
          </x14:cfRule>
          <xm:sqref>AA26:AO26</xm:sqref>
        </x14:conditionalFormatting>
        <x14:conditionalFormatting xmlns:xm="http://schemas.microsoft.com/office/excel/2006/main">
          <x14:cfRule type="expression" priority="4690351" id="{207A5E5D-B322-482E-9193-1D7318138358}">
            <xm:f>$AP$4='Data entry'!$R13</xm:f>
            <x14:dxf>
              <fill>
                <patternFill>
                  <bgColor rgb="FFFF0000"/>
                </patternFill>
              </fill>
            </x14:dxf>
          </x14:cfRule>
          <xm:sqref>AN27:AZ27</xm:sqref>
        </x14:conditionalFormatting>
        <x14:conditionalFormatting xmlns:xm="http://schemas.microsoft.com/office/excel/2006/main">
          <x14:cfRule type="expression" priority="4690352" id="{21DA638D-4CA0-4067-BFF1-240CE1A0261B}">
            <xm:f>$AP$4='Data entry'!$R13</xm:f>
            <x14:dxf>
              <fill>
                <patternFill>
                  <bgColor rgb="FFFFFF00"/>
                </patternFill>
              </fill>
            </x14:dxf>
          </x14:cfRule>
          <xm:sqref>AB26:AP26</xm:sqref>
        </x14:conditionalFormatting>
        <x14:conditionalFormatting xmlns:xm="http://schemas.microsoft.com/office/excel/2006/main">
          <x14:cfRule type="expression" priority="4690353" id="{71963D96-A42A-4B90-BFC7-6D83D37766EF}">
            <xm:f>$AQ$4='Data entry'!$R13</xm:f>
            <x14:dxf>
              <fill>
                <patternFill>
                  <bgColor rgb="FFFF0000"/>
                </patternFill>
              </fill>
            </x14:dxf>
          </x14:cfRule>
          <xm:sqref>AO27:BA27</xm:sqref>
        </x14:conditionalFormatting>
        <x14:conditionalFormatting xmlns:xm="http://schemas.microsoft.com/office/excel/2006/main">
          <x14:cfRule type="expression" priority="4690354" id="{74952595-84B6-484F-8FF6-FCC1F337DF4D}">
            <xm:f>$AQ$4='Data entry'!$R13</xm:f>
            <x14:dxf>
              <fill>
                <patternFill>
                  <bgColor rgb="FFFFFF00"/>
                </patternFill>
              </fill>
            </x14:dxf>
          </x14:cfRule>
          <xm:sqref>AC26:AQ26</xm:sqref>
        </x14:conditionalFormatting>
        <x14:conditionalFormatting xmlns:xm="http://schemas.microsoft.com/office/excel/2006/main">
          <x14:cfRule type="expression" priority="4690355" id="{8AC9C4B9-0A34-4BC0-B0F7-CA89434C4911}">
            <xm:f>$P$4='Data entry'!$R13</xm:f>
            <x14:dxf>
              <fill>
                <patternFill>
                  <bgColor rgb="FFFFFF00"/>
                </patternFill>
              </fill>
            </x14:dxf>
          </x14:cfRule>
          <xm:sqref>C26:P26</xm:sqref>
        </x14:conditionalFormatting>
        <x14:conditionalFormatting xmlns:xm="http://schemas.microsoft.com/office/excel/2006/main">
          <x14:cfRule type="expression" priority="4690356" id="{0A726775-ABFD-4F22-967C-1A4D87BA3751}">
            <xm:f>$Q$4='Data entry'!$R13</xm:f>
            <x14:dxf>
              <fill>
                <patternFill>
                  <bgColor rgb="FFFFFF00"/>
                </patternFill>
              </fill>
            </x14:dxf>
          </x14:cfRule>
          <xm:sqref>C26:Q26</xm:sqref>
        </x14:conditionalFormatting>
        <x14:conditionalFormatting xmlns:xm="http://schemas.microsoft.com/office/excel/2006/main">
          <x14:cfRule type="expression" priority="4690357" id="{3A8414BD-262C-43B5-86EE-FA6901D00453}">
            <xm:f>$Q$4='Data entry'!$R13</xm:f>
            <x14:dxf>
              <fill>
                <patternFill>
                  <bgColor rgb="FFFF0000"/>
                </patternFill>
              </fill>
            </x14:dxf>
          </x14:cfRule>
          <xm:sqref>O27:AA27</xm:sqref>
        </x14:conditionalFormatting>
        <x14:conditionalFormatting xmlns:xm="http://schemas.microsoft.com/office/excel/2006/main">
          <x14:cfRule type="expression" priority="4690358" id="{B8B5501D-F3EF-4449-9306-F652960C65F4}">
            <xm:f>$R$4='Data entry'!$R13</xm:f>
            <x14:dxf>
              <fill>
                <patternFill>
                  <bgColor rgb="FFFF0000"/>
                </patternFill>
              </fill>
            </x14:dxf>
          </x14:cfRule>
          <xm:sqref>P27:AB27</xm:sqref>
        </x14:conditionalFormatting>
        <x14:conditionalFormatting xmlns:xm="http://schemas.microsoft.com/office/excel/2006/main">
          <x14:cfRule type="expression" priority="4690359" id="{5D070DEC-B82E-4D87-B907-A3E5AB836991}">
            <xm:f>$R$4='Data entry'!$R13</xm:f>
            <x14:dxf>
              <fill>
                <patternFill>
                  <bgColor rgb="FFFFFF00"/>
                </patternFill>
              </fill>
            </x14:dxf>
          </x14:cfRule>
          <xm:sqref>D26:R26</xm:sqref>
        </x14:conditionalFormatting>
        <x14:conditionalFormatting xmlns:xm="http://schemas.microsoft.com/office/excel/2006/main">
          <x14:cfRule type="expression" priority="4690360" id="{E4D16A10-F818-4664-9FB2-F0E839824D4B}">
            <xm:f>$S$4='Data entry'!$R13</xm:f>
            <x14:dxf>
              <fill>
                <patternFill>
                  <bgColor rgb="FFFF0000"/>
                </patternFill>
              </fill>
            </x14:dxf>
          </x14:cfRule>
          <xm:sqref>Q27:AC27</xm:sqref>
        </x14:conditionalFormatting>
        <x14:conditionalFormatting xmlns:xm="http://schemas.microsoft.com/office/excel/2006/main">
          <x14:cfRule type="expression" priority="4690361" id="{1A9F9911-A3E9-4730-AFBE-AB8C596545CA}">
            <xm:f>$S$4='Data entry'!$R13</xm:f>
            <x14:dxf>
              <fill>
                <patternFill>
                  <bgColor rgb="FFFFFF00"/>
                </patternFill>
              </fill>
            </x14:dxf>
          </x14:cfRule>
          <xm:sqref>E26:S26</xm:sqref>
        </x14:conditionalFormatting>
        <x14:conditionalFormatting xmlns:xm="http://schemas.microsoft.com/office/excel/2006/main">
          <x14:cfRule type="expression" priority="4690362" id="{8BB5CD1B-B2AC-442A-9550-26DE19A62D22}">
            <xm:f>$T$4='Data entry'!$R13</xm:f>
            <x14:dxf>
              <fill>
                <patternFill>
                  <bgColor rgb="FFFF0000"/>
                </patternFill>
              </fill>
            </x14:dxf>
          </x14:cfRule>
          <xm:sqref>R27:AD27</xm:sqref>
        </x14:conditionalFormatting>
        <x14:conditionalFormatting xmlns:xm="http://schemas.microsoft.com/office/excel/2006/main">
          <x14:cfRule type="expression" priority="4690363" id="{E7B59C69-7921-4049-84A1-8B3E5F7B0598}">
            <xm:f>$T$4='Data entry'!$R13</xm:f>
            <x14:dxf>
              <fill>
                <patternFill>
                  <bgColor rgb="FFFFFF00"/>
                </patternFill>
              </fill>
            </x14:dxf>
          </x14:cfRule>
          <xm:sqref>F26:T26</xm:sqref>
        </x14:conditionalFormatting>
        <x14:conditionalFormatting xmlns:xm="http://schemas.microsoft.com/office/excel/2006/main">
          <x14:cfRule type="expression" priority="4690364" id="{238C09E5-7A3D-439D-949F-A7733073F9A2}">
            <xm:f>$U$4='Data entry'!$R13</xm:f>
            <x14:dxf>
              <fill>
                <patternFill>
                  <bgColor rgb="FFFFFF00"/>
                </patternFill>
              </fill>
            </x14:dxf>
          </x14:cfRule>
          <xm:sqref>G26:U26</xm:sqref>
        </x14:conditionalFormatting>
        <x14:conditionalFormatting xmlns:xm="http://schemas.microsoft.com/office/excel/2006/main">
          <x14:cfRule type="expression" priority="4690365" id="{DE4D4432-0A19-452A-AF14-2873FE4DF411}">
            <xm:f>$AR$4='Data entry'!$R13</xm:f>
            <x14:dxf>
              <fill>
                <patternFill>
                  <bgColor rgb="FFFF0000"/>
                </patternFill>
              </fill>
            </x14:dxf>
          </x14:cfRule>
          <xm:sqref>AP27:BB27</xm:sqref>
        </x14:conditionalFormatting>
        <x14:conditionalFormatting xmlns:xm="http://schemas.microsoft.com/office/excel/2006/main">
          <x14:cfRule type="expression" priority="4690366" id="{90D7E1FF-542D-40C8-9BD5-DFEB4CDD256F}">
            <xm:f>$AR$4='Data entry'!$R13</xm:f>
            <x14:dxf>
              <fill>
                <patternFill>
                  <bgColor rgb="FFFFFF00"/>
                </patternFill>
              </fill>
            </x14:dxf>
          </x14:cfRule>
          <xm:sqref>AD26:AR26</xm:sqref>
        </x14:conditionalFormatting>
        <x14:conditionalFormatting xmlns:xm="http://schemas.microsoft.com/office/excel/2006/main">
          <x14:cfRule type="expression" priority="4690367" id="{0EBB5305-4A4A-4205-A1FF-11160070CBC3}">
            <xm:f>$AS$4='Data entry'!$R13</xm:f>
            <x14:dxf>
              <fill>
                <patternFill>
                  <bgColor rgb="FFFF0000"/>
                </patternFill>
              </fill>
            </x14:dxf>
          </x14:cfRule>
          <xm:sqref>AQ27:BC27</xm:sqref>
        </x14:conditionalFormatting>
        <x14:conditionalFormatting xmlns:xm="http://schemas.microsoft.com/office/excel/2006/main">
          <x14:cfRule type="expression" priority="4690368" id="{AC8EB30C-4253-4CE1-820E-1801F6D8D35B}">
            <xm:f>$AS$4='Data entry'!$R13</xm:f>
            <x14:dxf>
              <fill>
                <patternFill>
                  <bgColor rgb="FFFFFF00"/>
                </patternFill>
              </fill>
            </x14:dxf>
          </x14:cfRule>
          <xm:sqref>AE26:AS26</xm:sqref>
        </x14:conditionalFormatting>
        <x14:conditionalFormatting xmlns:xm="http://schemas.microsoft.com/office/excel/2006/main">
          <x14:cfRule type="expression" priority="4690369" id="{E11744C1-7201-4272-A1B0-945490B42425}">
            <xm:f>$AT$4='Data entry'!$R13</xm:f>
            <x14:dxf>
              <fill>
                <patternFill>
                  <bgColor rgb="FFFF0000"/>
                </patternFill>
              </fill>
            </x14:dxf>
          </x14:cfRule>
          <xm:sqref>AR27:BD27</xm:sqref>
        </x14:conditionalFormatting>
        <x14:conditionalFormatting xmlns:xm="http://schemas.microsoft.com/office/excel/2006/main">
          <x14:cfRule type="expression" priority="4690370" id="{5EE2823B-E955-4EA7-B99C-0B1F77B57A69}">
            <xm:f>$AT$4='Data entry'!$R13</xm:f>
            <x14:dxf>
              <fill>
                <patternFill>
                  <bgColor rgb="FFFFFF00"/>
                </patternFill>
              </fill>
            </x14:dxf>
          </x14:cfRule>
          <xm:sqref>AF26:AT26</xm:sqref>
        </x14:conditionalFormatting>
        <x14:conditionalFormatting xmlns:xm="http://schemas.microsoft.com/office/excel/2006/main">
          <x14:cfRule type="expression" priority="4690371" id="{5737DC63-3262-4B34-900C-2AAEB255FCBA}">
            <xm:f>$AU$4='Data entry'!$R13</xm:f>
            <x14:dxf>
              <fill>
                <patternFill>
                  <bgColor rgb="FFFF0000"/>
                </patternFill>
              </fill>
            </x14:dxf>
          </x14:cfRule>
          <xm:sqref>AS27:BE27</xm:sqref>
        </x14:conditionalFormatting>
        <x14:conditionalFormatting xmlns:xm="http://schemas.microsoft.com/office/excel/2006/main">
          <x14:cfRule type="expression" priority="4690372" id="{2B5C1F1B-3C3D-4CA3-BC64-0E98422075B6}">
            <xm:f>$AU$4='Data entry'!$R13</xm:f>
            <x14:dxf>
              <fill>
                <patternFill>
                  <bgColor rgb="FFFFFF00"/>
                </patternFill>
              </fill>
            </x14:dxf>
          </x14:cfRule>
          <xm:sqref>AG26:AU26</xm:sqref>
        </x14:conditionalFormatting>
        <x14:conditionalFormatting xmlns:xm="http://schemas.microsoft.com/office/excel/2006/main">
          <x14:cfRule type="expression" priority="4690373" id="{B87A1285-B003-4855-8F4B-53C391BA10E6}">
            <xm:f>$AV$4='Data entry'!$R13</xm:f>
            <x14:dxf>
              <fill>
                <patternFill>
                  <bgColor rgb="FFFF0000"/>
                </patternFill>
              </fill>
            </x14:dxf>
          </x14:cfRule>
          <xm:sqref>AT27:BF27</xm:sqref>
        </x14:conditionalFormatting>
        <x14:conditionalFormatting xmlns:xm="http://schemas.microsoft.com/office/excel/2006/main">
          <x14:cfRule type="expression" priority="4690374" id="{338EE31C-78DB-4818-B837-0380F9E457FA}">
            <xm:f>$AV$4='Data entry'!$R13</xm:f>
            <x14:dxf>
              <fill>
                <patternFill>
                  <bgColor rgb="FFFFFF00"/>
                </patternFill>
              </fill>
            </x14:dxf>
          </x14:cfRule>
          <xm:sqref>AH26:AV26</xm:sqref>
        </x14:conditionalFormatting>
        <x14:conditionalFormatting xmlns:xm="http://schemas.microsoft.com/office/excel/2006/main">
          <x14:cfRule type="expression" priority="4690375" id="{5C40EA66-2801-4C91-B885-BF6A1ECFC35C}">
            <xm:f>$AW$4='Data entry'!$R13</xm:f>
            <x14:dxf>
              <fill>
                <patternFill>
                  <bgColor rgb="FFFF0000"/>
                </patternFill>
              </fill>
            </x14:dxf>
          </x14:cfRule>
          <xm:sqref>AU27:BG27</xm:sqref>
        </x14:conditionalFormatting>
        <x14:conditionalFormatting xmlns:xm="http://schemas.microsoft.com/office/excel/2006/main">
          <x14:cfRule type="expression" priority="4690376" id="{51BCD5CE-DF86-4C2F-8A81-DDA1EFD6C8F7}">
            <xm:f>$AW$4='Data entry'!$R13</xm:f>
            <x14:dxf>
              <fill>
                <patternFill>
                  <bgColor rgb="FFFFFF00"/>
                </patternFill>
              </fill>
            </x14:dxf>
          </x14:cfRule>
          <xm:sqref>AI26:AW26</xm:sqref>
        </x14:conditionalFormatting>
        <x14:conditionalFormatting xmlns:xm="http://schemas.microsoft.com/office/excel/2006/main">
          <x14:cfRule type="expression" priority="4690377" id="{DC2ED5A0-8917-4877-8CD3-9DF9BE5993C9}">
            <xm:f>$AX$4='Data entry'!$R13</xm:f>
            <x14:dxf>
              <fill>
                <patternFill>
                  <bgColor rgb="FFFF0000"/>
                </patternFill>
              </fill>
            </x14:dxf>
          </x14:cfRule>
          <xm:sqref>AV27:BH27</xm:sqref>
        </x14:conditionalFormatting>
        <x14:conditionalFormatting xmlns:xm="http://schemas.microsoft.com/office/excel/2006/main">
          <x14:cfRule type="expression" priority="4690378" id="{59B31869-20F9-45BD-BC80-0A6C8945CE2C}">
            <xm:f>$AX$4='Data entry'!$R13</xm:f>
            <x14:dxf>
              <fill>
                <patternFill>
                  <bgColor rgb="FFFFFF00"/>
                </patternFill>
              </fill>
            </x14:dxf>
          </x14:cfRule>
          <xm:sqref>AJ26:AX26</xm:sqref>
        </x14:conditionalFormatting>
        <x14:conditionalFormatting xmlns:xm="http://schemas.microsoft.com/office/excel/2006/main">
          <x14:cfRule type="expression" priority="4690379" id="{D4208FA0-4262-4037-934C-6D0742B2AD8E}">
            <xm:f>$AY$4='Data entry'!$R13</xm:f>
            <x14:dxf>
              <fill>
                <patternFill>
                  <bgColor rgb="FFFF0000"/>
                </patternFill>
              </fill>
            </x14:dxf>
          </x14:cfRule>
          <xm:sqref>AW27:BI27</xm:sqref>
        </x14:conditionalFormatting>
        <x14:conditionalFormatting xmlns:xm="http://schemas.microsoft.com/office/excel/2006/main">
          <x14:cfRule type="expression" priority="4690380" id="{04D6E423-18C7-42B2-A67D-F49D8E62B571}">
            <xm:f>$AY$4='Data entry'!$R13</xm:f>
            <x14:dxf>
              <fill>
                <patternFill>
                  <bgColor rgb="FFFFFF00"/>
                </patternFill>
              </fill>
            </x14:dxf>
          </x14:cfRule>
          <xm:sqref>AK26:AY26</xm:sqref>
        </x14:conditionalFormatting>
        <x14:conditionalFormatting xmlns:xm="http://schemas.microsoft.com/office/excel/2006/main">
          <x14:cfRule type="expression" priority="4690381" id="{A931C203-6E4B-4EBD-A2F4-1876881F48D4}">
            <xm:f>$AZ$4='Data entry'!$R13</xm:f>
            <x14:dxf>
              <fill>
                <patternFill>
                  <bgColor rgb="FFFF0000"/>
                </patternFill>
              </fill>
            </x14:dxf>
          </x14:cfRule>
          <xm:sqref>AX27:BJ27</xm:sqref>
        </x14:conditionalFormatting>
        <x14:conditionalFormatting xmlns:xm="http://schemas.microsoft.com/office/excel/2006/main">
          <x14:cfRule type="expression" priority="4690382" id="{092D9100-E652-40FE-8CAA-720DC0681250}">
            <xm:f>$AZ$4='Data entry'!$R13</xm:f>
            <x14:dxf>
              <fill>
                <patternFill>
                  <bgColor rgb="FFFFFF00"/>
                </patternFill>
              </fill>
            </x14:dxf>
          </x14:cfRule>
          <xm:sqref>AL26:AZ26</xm:sqref>
        </x14:conditionalFormatting>
        <x14:conditionalFormatting xmlns:xm="http://schemas.microsoft.com/office/excel/2006/main">
          <x14:cfRule type="expression" priority="4690383" id="{A3C7E6BE-A225-483C-A983-A915DB662C52}">
            <xm:f>$BA$4='Data entry'!$R13</xm:f>
            <x14:dxf>
              <fill>
                <patternFill>
                  <bgColor rgb="FFFF0000"/>
                </patternFill>
              </fill>
            </x14:dxf>
          </x14:cfRule>
          <xm:sqref>AY27:BK27</xm:sqref>
        </x14:conditionalFormatting>
        <x14:conditionalFormatting xmlns:xm="http://schemas.microsoft.com/office/excel/2006/main">
          <x14:cfRule type="expression" priority="4690384" id="{F5CF569A-8AFA-4CFF-8BD3-F04D8927A99F}">
            <xm:f>$BA$4='Data entry'!$R13</xm:f>
            <x14:dxf>
              <fill>
                <patternFill>
                  <bgColor rgb="FFFFFF00"/>
                </patternFill>
              </fill>
            </x14:dxf>
          </x14:cfRule>
          <xm:sqref>AM26:BA26</xm:sqref>
        </x14:conditionalFormatting>
        <x14:conditionalFormatting xmlns:xm="http://schemas.microsoft.com/office/excel/2006/main">
          <x14:cfRule type="expression" priority="4690385" id="{E4DAC94A-7983-4BFB-A87B-45B58561841A}">
            <xm:f>$BB$4='Data entry'!$R13</xm:f>
            <x14:dxf>
              <fill>
                <patternFill>
                  <bgColor rgb="FFFF0000"/>
                </patternFill>
              </fill>
            </x14:dxf>
          </x14:cfRule>
          <xm:sqref>AZ27:BL27</xm:sqref>
        </x14:conditionalFormatting>
        <x14:conditionalFormatting xmlns:xm="http://schemas.microsoft.com/office/excel/2006/main">
          <x14:cfRule type="expression" priority="4690386" id="{E63849C5-F39B-4B0E-8F8A-B532EDF2CBAE}">
            <xm:f>$BB$4='Data entry'!$R13</xm:f>
            <x14:dxf>
              <fill>
                <patternFill>
                  <bgColor rgb="FFFFFF00"/>
                </patternFill>
              </fill>
            </x14:dxf>
          </x14:cfRule>
          <xm:sqref>AN26:BB26</xm:sqref>
        </x14:conditionalFormatting>
        <x14:conditionalFormatting xmlns:xm="http://schemas.microsoft.com/office/excel/2006/main">
          <x14:cfRule type="expression" priority="4690387" id="{4FDC32D3-C1F5-455D-9AA4-A03359B72526}">
            <xm:f>$BC$4='Data entry'!$R13</xm:f>
            <x14:dxf>
              <fill>
                <patternFill>
                  <bgColor rgb="FFFF0000"/>
                </patternFill>
              </fill>
            </x14:dxf>
          </x14:cfRule>
          <xm:sqref>BA27:BM27</xm:sqref>
        </x14:conditionalFormatting>
        <x14:conditionalFormatting xmlns:xm="http://schemas.microsoft.com/office/excel/2006/main">
          <x14:cfRule type="expression" priority="4690388" id="{5F0D0C60-B233-4C56-B05D-98C99990877F}">
            <xm:f>$BC$4='Data entry'!$R13</xm:f>
            <x14:dxf>
              <fill>
                <patternFill>
                  <bgColor rgb="FFFFFF00"/>
                </patternFill>
              </fill>
            </x14:dxf>
          </x14:cfRule>
          <xm:sqref>AO26:BC26</xm:sqref>
        </x14:conditionalFormatting>
        <x14:conditionalFormatting xmlns:xm="http://schemas.microsoft.com/office/excel/2006/main">
          <x14:cfRule type="expression" priority="4690389" id="{9EBCB60F-8135-43B6-A0F3-548D4092CC98}">
            <xm:f>$BD$4='Data entry'!$R13</xm:f>
            <x14:dxf>
              <fill>
                <patternFill>
                  <bgColor rgb="FFFF0000"/>
                </patternFill>
              </fill>
            </x14:dxf>
          </x14:cfRule>
          <xm:sqref>BB27:BN27</xm:sqref>
        </x14:conditionalFormatting>
        <x14:conditionalFormatting xmlns:xm="http://schemas.microsoft.com/office/excel/2006/main">
          <x14:cfRule type="expression" priority="4690390" id="{961AF346-4A73-41ED-9A8D-27D431B09C05}">
            <xm:f>$BD$4='Data entry'!$R13</xm:f>
            <x14:dxf>
              <fill>
                <patternFill>
                  <bgColor rgb="FFFFFF00"/>
                </patternFill>
              </fill>
            </x14:dxf>
          </x14:cfRule>
          <xm:sqref>AP26:BD26</xm:sqref>
        </x14:conditionalFormatting>
        <x14:conditionalFormatting xmlns:xm="http://schemas.microsoft.com/office/excel/2006/main">
          <x14:cfRule type="expression" priority="4690391" id="{5A887026-27CD-4F8C-8BA6-1E92704C1CA6}">
            <xm:f>$BE$4='Data entry'!$R13</xm:f>
            <x14:dxf>
              <fill>
                <patternFill>
                  <bgColor rgb="FFFF0000"/>
                </patternFill>
              </fill>
            </x14:dxf>
          </x14:cfRule>
          <xm:sqref>BC27:BO27</xm:sqref>
        </x14:conditionalFormatting>
        <x14:conditionalFormatting xmlns:xm="http://schemas.microsoft.com/office/excel/2006/main">
          <x14:cfRule type="expression" priority="4690392" id="{7F46217B-A1E9-4515-B31E-E756FCD7C6D9}">
            <xm:f>$BE$4='Data entry'!$R13</xm:f>
            <x14:dxf>
              <fill>
                <patternFill>
                  <bgColor rgb="FFFFFF00"/>
                </patternFill>
              </fill>
            </x14:dxf>
          </x14:cfRule>
          <xm:sqref>AP26:BE26</xm:sqref>
        </x14:conditionalFormatting>
        <x14:conditionalFormatting xmlns:xm="http://schemas.microsoft.com/office/excel/2006/main">
          <x14:cfRule type="expression" priority="4690393" id="{F4D9285C-8CA0-4EF1-943E-6A462D47CC77}">
            <xm:f>$BF$4='Data entry'!$R13</xm:f>
            <x14:dxf>
              <fill>
                <patternFill>
                  <bgColor rgb="FFFF0000"/>
                </patternFill>
              </fill>
            </x14:dxf>
          </x14:cfRule>
          <xm:sqref>BD27:BP27</xm:sqref>
        </x14:conditionalFormatting>
        <x14:conditionalFormatting xmlns:xm="http://schemas.microsoft.com/office/excel/2006/main">
          <x14:cfRule type="expression" priority="4690394" id="{B9E4407D-651D-4DC0-9D61-3271D62A65E9}">
            <xm:f>$BF$4='Data entry'!$R13</xm:f>
            <x14:dxf>
              <fill>
                <patternFill>
                  <bgColor rgb="FFFFFF00"/>
                </patternFill>
              </fill>
            </x14:dxf>
          </x14:cfRule>
          <xm:sqref>AR26:BF26</xm:sqref>
        </x14:conditionalFormatting>
        <x14:conditionalFormatting xmlns:xm="http://schemas.microsoft.com/office/excel/2006/main">
          <x14:cfRule type="expression" priority="4690395" id="{4CDC062F-DDFF-4556-B941-08F919727F69}">
            <xm:f>$BG$4='Data entry'!$R13</xm:f>
            <x14:dxf>
              <fill>
                <patternFill>
                  <bgColor rgb="FFFF0000"/>
                </patternFill>
              </fill>
            </x14:dxf>
          </x14:cfRule>
          <xm:sqref>BE27:BQ27</xm:sqref>
        </x14:conditionalFormatting>
        <x14:conditionalFormatting xmlns:xm="http://schemas.microsoft.com/office/excel/2006/main">
          <x14:cfRule type="expression" priority="4690396" id="{789184FA-9055-433B-8A1B-92C7ED59E81F}">
            <xm:f>$BG$4='Data entry'!$R13</xm:f>
            <x14:dxf>
              <fill>
                <patternFill>
                  <bgColor rgb="FFFFFF00"/>
                </patternFill>
              </fill>
            </x14:dxf>
          </x14:cfRule>
          <xm:sqref>AS26:BG26</xm:sqref>
        </x14:conditionalFormatting>
        <x14:conditionalFormatting xmlns:xm="http://schemas.microsoft.com/office/excel/2006/main">
          <x14:cfRule type="expression" priority="4690397" id="{58651E5C-09C9-46C1-B95C-E8A578A49E15}">
            <xm:f>$BH$4='Data entry'!$R13</xm:f>
            <x14:dxf>
              <fill>
                <patternFill>
                  <bgColor rgb="FFFFFF00"/>
                </patternFill>
              </fill>
            </x14:dxf>
          </x14:cfRule>
          <xm:sqref>AT26:BH26</xm:sqref>
        </x14:conditionalFormatting>
        <x14:conditionalFormatting xmlns:xm="http://schemas.microsoft.com/office/excel/2006/main">
          <x14:cfRule type="expression" priority="4690398" id="{97B30B86-8311-4DC0-A533-8C0D53F37839}">
            <xm:f>$BH$4='Data entry'!$R13</xm:f>
            <x14:dxf>
              <fill>
                <patternFill>
                  <bgColor rgb="FFFF0000"/>
                </patternFill>
              </fill>
            </x14:dxf>
          </x14:cfRule>
          <xm:sqref>BF27:BR27</xm:sqref>
        </x14:conditionalFormatting>
        <x14:conditionalFormatting xmlns:xm="http://schemas.microsoft.com/office/excel/2006/main">
          <x14:cfRule type="expression" priority="4690399" id="{78344C0C-5AEA-40B1-A20C-6D77DF58E1F5}">
            <xm:f>$BI$4='Data entry'!$R13</xm:f>
            <x14:dxf>
              <fill>
                <patternFill>
                  <bgColor rgb="FFFFFF00"/>
                </patternFill>
              </fill>
            </x14:dxf>
          </x14:cfRule>
          <xm:sqref>AU26:BI26</xm:sqref>
        </x14:conditionalFormatting>
        <x14:conditionalFormatting xmlns:xm="http://schemas.microsoft.com/office/excel/2006/main">
          <x14:cfRule type="expression" priority="4690400" id="{A9CE044F-482E-4F25-B28F-89ACC58502B1}">
            <xm:f>$BI$4='Data entry'!$R13</xm:f>
            <x14:dxf>
              <fill>
                <patternFill>
                  <bgColor rgb="FFFF0000"/>
                </patternFill>
              </fill>
            </x14:dxf>
          </x14:cfRule>
          <xm:sqref>BG27:BS27</xm:sqref>
        </x14:conditionalFormatting>
        <x14:conditionalFormatting xmlns:xm="http://schemas.microsoft.com/office/excel/2006/main">
          <x14:cfRule type="expression" priority="4690401" id="{F63BE0EB-3C71-4456-BEF0-11180AB7A8BB}">
            <xm:f>$BJ$4='Data entry'!$R13</xm:f>
            <x14:dxf>
              <fill>
                <patternFill>
                  <bgColor rgb="FFFFFF00"/>
                </patternFill>
              </fill>
            </x14:dxf>
          </x14:cfRule>
          <xm:sqref>AV26:BJ26</xm:sqref>
        </x14:conditionalFormatting>
        <x14:conditionalFormatting xmlns:xm="http://schemas.microsoft.com/office/excel/2006/main">
          <x14:cfRule type="expression" priority="4690402" id="{478A5DCB-1DAA-4497-A6CC-B4F01FB96D10}">
            <xm:f>$BJ$4='Data entry'!$R13</xm:f>
            <x14:dxf>
              <fill>
                <patternFill>
                  <bgColor rgb="FFFF0000"/>
                </patternFill>
              </fill>
            </x14:dxf>
          </x14:cfRule>
          <xm:sqref>BH27:BT27</xm:sqref>
        </x14:conditionalFormatting>
        <x14:conditionalFormatting xmlns:xm="http://schemas.microsoft.com/office/excel/2006/main">
          <x14:cfRule type="expression" priority="4690403" id="{CDE4AD5B-65A6-4FA4-9EC0-8D05F22312A9}">
            <xm:f>$BK$4='Data entry'!$R13</xm:f>
            <x14:dxf>
              <fill>
                <patternFill>
                  <bgColor rgb="FFFF0000"/>
                </patternFill>
              </fill>
            </x14:dxf>
          </x14:cfRule>
          <xm:sqref>BI27:BU27</xm:sqref>
        </x14:conditionalFormatting>
        <x14:conditionalFormatting xmlns:xm="http://schemas.microsoft.com/office/excel/2006/main">
          <x14:cfRule type="expression" priority="4690404" id="{AB32E790-6CD8-4D11-9A69-57D785FE4BBC}">
            <xm:f>$BK$4='Data entry'!$R13</xm:f>
            <x14:dxf>
              <fill>
                <patternFill>
                  <bgColor rgb="FFFFFF00"/>
                </patternFill>
              </fill>
            </x14:dxf>
          </x14:cfRule>
          <xm:sqref>AW26:BK26</xm:sqref>
        </x14:conditionalFormatting>
        <x14:conditionalFormatting xmlns:xm="http://schemas.microsoft.com/office/excel/2006/main">
          <x14:cfRule type="expression" priority="4690405" id="{99810EB9-805C-43D8-852A-EEECE7874CDB}">
            <xm:f>$BL$4='Data entry'!$R13</xm:f>
            <x14:dxf>
              <fill>
                <patternFill>
                  <bgColor rgb="FFFF0000"/>
                </patternFill>
              </fill>
            </x14:dxf>
          </x14:cfRule>
          <xm:sqref>BJ27:BV27</xm:sqref>
        </x14:conditionalFormatting>
        <x14:conditionalFormatting xmlns:xm="http://schemas.microsoft.com/office/excel/2006/main">
          <x14:cfRule type="expression" priority="4690406" id="{BF5F5475-4E46-479C-97A6-D5175F5D1803}">
            <xm:f>$BL$4='Data entry'!$R13</xm:f>
            <x14:dxf>
              <fill>
                <patternFill>
                  <bgColor rgb="FFFFFF00"/>
                </patternFill>
              </fill>
            </x14:dxf>
          </x14:cfRule>
          <xm:sqref>AX26:BL26</xm:sqref>
        </x14:conditionalFormatting>
        <x14:conditionalFormatting xmlns:xm="http://schemas.microsoft.com/office/excel/2006/main">
          <x14:cfRule type="expression" priority="4690407" id="{B86FDF2F-16C9-46B1-847E-7EA1A8A34B9D}">
            <xm:f>$BM$4='Data entry'!$R13</xm:f>
            <x14:dxf>
              <fill>
                <patternFill>
                  <bgColor rgb="FFFF0000"/>
                </patternFill>
              </fill>
            </x14:dxf>
          </x14:cfRule>
          <xm:sqref>BK27:BW27</xm:sqref>
        </x14:conditionalFormatting>
        <x14:conditionalFormatting xmlns:xm="http://schemas.microsoft.com/office/excel/2006/main">
          <x14:cfRule type="expression" priority="4690408" id="{72FD189F-4CED-400D-9FEF-21A328970A4D}">
            <xm:f>$BM$4='Data entry'!$R13</xm:f>
            <x14:dxf>
              <fill>
                <patternFill>
                  <bgColor rgb="FFFFFF00"/>
                </patternFill>
              </fill>
            </x14:dxf>
          </x14:cfRule>
          <xm:sqref>AY26:BM26</xm:sqref>
        </x14:conditionalFormatting>
        <x14:conditionalFormatting xmlns:xm="http://schemas.microsoft.com/office/excel/2006/main">
          <x14:cfRule type="expression" priority="4690409" id="{BBBBF859-D5A7-4F55-BFBF-8A77E3357590}">
            <xm:f>$BN$4='Data entry'!$R13</xm:f>
            <x14:dxf>
              <fill>
                <patternFill>
                  <bgColor rgb="FFFF0000"/>
                </patternFill>
              </fill>
            </x14:dxf>
          </x14:cfRule>
          <xm:sqref>BL27:BX27</xm:sqref>
        </x14:conditionalFormatting>
        <x14:conditionalFormatting xmlns:xm="http://schemas.microsoft.com/office/excel/2006/main">
          <x14:cfRule type="expression" priority="4690410" id="{50CB1D75-0FD5-4D24-92B1-E8A41DC6575C}">
            <xm:f>$BN$4='Data entry'!$R13</xm:f>
            <x14:dxf>
              <fill>
                <patternFill>
                  <bgColor rgb="FFFFFF00"/>
                </patternFill>
              </fill>
            </x14:dxf>
          </x14:cfRule>
          <xm:sqref>AZ26:BN26</xm:sqref>
        </x14:conditionalFormatting>
        <x14:conditionalFormatting xmlns:xm="http://schemas.microsoft.com/office/excel/2006/main">
          <x14:cfRule type="expression" priority="4690411" id="{9EF3226D-E8FC-496B-A6FF-71776AEA54D1}">
            <xm:f>$BO$4='Data entry'!$R13</xm:f>
            <x14:dxf>
              <fill>
                <patternFill>
                  <bgColor rgb="FFFF0000"/>
                </patternFill>
              </fill>
            </x14:dxf>
          </x14:cfRule>
          <xm:sqref>BM27:BY27</xm:sqref>
        </x14:conditionalFormatting>
        <x14:conditionalFormatting xmlns:xm="http://schemas.microsoft.com/office/excel/2006/main">
          <x14:cfRule type="expression" priority="4690412" id="{3B86C801-ECFE-4D05-8AA5-1581116BAFBC}">
            <xm:f>$BO$4='Data entry'!$R13</xm:f>
            <x14:dxf>
              <fill>
                <patternFill>
                  <bgColor rgb="FFFFFF00"/>
                </patternFill>
              </fill>
            </x14:dxf>
          </x14:cfRule>
          <xm:sqref>BA26:BO26</xm:sqref>
        </x14:conditionalFormatting>
        <x14:conditionalFormatting xmlns:xm="http://schemas.microsoft.com/office/excel/2006/main">
          <x14:cfRule type="expression" priority="4690413" id="{058A23EC-3371-4A02-9F20-1ECA603AC6BC}">
            <xm:f>$BP$4='Data entry'!$R13</xm:f>
            <x14:dxf>
              <fill>
                <patternFill>
                  <bgColor rgb="FFFF0000"/>
                </patternFill>
              </fill>
            </x14:dxf>
          </x14:cfRule>
          <xm:sqref>BN27:BZ27</xm:sqref>
        </x14:conditionalFormatting>
        <x14:conditionalFormatting xmlns:xm="http://schemas.microsoft.com/office/excel/2006/main">
          <x14:cfRule type="expression" priority="4690414" id="{3E711E31-3992-4555-AB22-87133D60CD15}">
            <xm:f>$BP$4='Data entry'!$R13</xm:f>
            <x14:dxf>
              <fill>
                <patternFill>
                  <bgColor rgb="FFFFFF00"/>
                </patternFill>
              </fill>
            </x14:dxf>
          </x14:cfRule>
          <xm:sqref>BB26:BP26</xm:sqref>
        </x14:conditionalFormatting>
        <x14:conditionalFormatting xmlns:xm="http://schemas.microsoft.com/office/excel/2006/main">
          <x14:cfRule type="expression" priority="4690415" id="{23E9F8B9-37D5-4730-9453-6F23E8ECBBE3}">
            <xm:f>$BQ$4='Data entry'!$R13</xm:f>
            <x14:dxf>
              <fill>
                <patternFill>
                  <bgColor rgb="FFFFFF00"/>
                </patternFill>
              </fill>
            </x14:dxf>
          </x14:cfRule>
          <xm:sqref>BC26:BQ26</xm:sqref>
        </x14:conditionalFormatting>
        <x14:conditionalFormatting xmlns:xm="http://schemas.microsoft.com/office/excel/2006/main">
          <x14:cfRule type="expression" priority="4690416" id="{BCFD92F6-AAD3-44FD-BC61-A292A81B883E}">
            <xm:f>$BQ$4='Data entry'!$R13</xm:f>
            <x14:dxf>
              <fill>
                <patternFill>
                  <bgColor rgb="FFFF0000"/>
                </patternFill>
              </fill>
            </x14:dxf>
          </x14:cfRule>
          <xm:sqref>BO27:CA27</xm:sqref>
        </x14:conditionalFormatting>
        <x14:conditionalFormatting xmlns:xm="http://schemas.microsoft.com/office/excel/2006/main">
          <x14:cfRule type="expression" priority="4690417" id="{357D60E5-F356-477E-8020-A18F42C02832}">
            <xm:f>$BR$4='Data entry'!$R13</xm:f>
            <x14:dxf>
              <fill>
                <patternFill>
                  <bgColor rgb="FFFFFF00"/>
                </patternFill>
              </fill>
            </x14:dxf>
          </x14:cfRule>
          <xm:sqref>BD26:BR26</xm:sqref>
        </x14:conditionalFormatting>
        <x14:conditionalFormatting xmlns:xm="http://schemas.microsoft.com/office/excel/2006/main">
          <x14:cfRule type="expression" priority="4690418" id="{DA2B6511-43B3-432D-B6AA-1DB1188B90A6}">
            <xm:f>$BR$4='Data entry'!$R13</xm:f>
            <x14:dxf>
              <fill>
                <patternFill>
                  <bgColor rgb="FFFF0000"/>
                </patternFill>
              </fill>
            </x14:dxf>
          </x14:cfRule>
          <xm:sqref>BP27:CB27</xm:sqref>
        </x14:conditionalFormatting>
        <x14:conditionalFormatting xmlns:xm="http://schemas.microsoft.com/office/excel/2006/main">
          <x14:cfRule type="expression" priority="4690419" id="{0D5F64E4-4136-4BFA-B833-CC8578525D9C}">
            <xm:f>$BS$4='Data entry'!$R13</xm:f>
            <x14:dxf>
              <fill>
                <patternFill>
                  <bgColor rgb="FFFFFF00"/>
                </patternFill>
              </fill>
            </x14:dxf>
          </x14:cfRule>
          <xm:sqref>BE26:BS26</xm:sqref>
        </x14:conditionalFormatting>
        <x14:conditionalFormatting xmlns:xm="http://schemas.microsoft.com/office/excel/2006/main">
          <x14:cfRule type="expression" priority="4690420" id="{AC94D468-F078-4AE2-8771-102996E07B09}">
            <xm:f>$BS$4='Data entry'!$R13</xm:f>
            <x14:dxf>
              <fill>
                <patternFill>
                  <bgColor rgb="FFFF0000"/>
                </patternFill>
              </fill>
            </x14:dxf>
          </x14:cfRule>
          <xm:sqref>BQ27:CC27</xm:sqref>
        </x14:conditionalFormatting>
        <x14:conditionalFormatting xmlns:xm="http://schemas.microsoft.com/office/excel/2006/main">
          <x14:cfRule type="expression" priority="4690421" id="{10E78F76-181E-4F19-9F89-7DD36D3EFE30}">
            <xm:f>$BT$4='Data entry'!$R13</xm:f>
            <x14:dxf>
              <fill>
                <patternFill>
                  <bgColor rgb="FFFFFF00"/>
                </patternFill>
              </fill>
            </x14:dxf>
          </x14:cfRule>
          <xm:sqref>BF26:BT26</xm:sqref>
        </x14:conditionalFormatting>
        <x14:conditionalFormatting xmlns:xm="http://schemas.microsoft.com/office/excel/2006/main">
          <x14:cfRule type="expression" priority="4690422" id="{6A5FADC6-9512-4EFB-90A5-7B5244D10D1F}">
            <xm:f>$BT$4='Data entry'!$R13</xm:f>
            <x14:dxf>
              <fill>
                <patternFill>
                  <bgColor rgb="FFFF0000"/>
                </patternFill>
              </fill>
            </x14:dxf>
          </x14:cfRule>
          <xm:sqref>BR27:CC27</xm:sqref>
        </x14:conditionalFormatting>
        <x14:conditionalFormatting xmlns:xm="http://schemas.microsoft.com/office/excel/2006/main">
          <x14:cfRule type="expression" priority="4690423" id="{A51139D1-8841-4B96-B8CB-DFE3808765CF}">
            <xm:f>$BU$4='Data entry'!$R13</xm:f>
            <x14:dxf>
              <fill>
                <patternFill>
                  <bgColor rgb="FFFFFF00"/>
                </patternFill>
              </fill>
            </x14:dxf>
          </x14:cfRule>
          <xm:sqref>BG26:BU26</xm:sqref>
        </x14:conditionalFormatting>
        <x14:conditionalFormatting xmlns:xm="http://schemas.microsoft.com/office/excel/2006/main">
          <x14:cfRule type="expression" priority="4690424" id="{55CA7258-760F-4BFF-ACB5-A70FEB3E7981}">
            <xm:f>$BU$4='Data entry'!$R13</xm:f>
            <x14:dxf>
              <fill>
                <patternFill>
                  <bgColor rgb="FFFF0000"/>
                </patternFill>
              </fill>
            </x14:dxf>
          </x14:cfRule>
          <xm:sqref>BS27:CC27</xm:sqref>
        </x14:conditionalFormatting>
        <x14:conditionalFormatting xmlns:xm="http://schemas.microsoft.com/office/excel/2006/main">
          <x14:cfRule type="expression" priority="4690425" id="{A922B218-64DB-4CBB-9AB8-FE0EBB44E09E}">
            <xm:f>$BV$4='Data entry'!$R13</xm:f>
            <x14:dxf>
              <fill>
                <patternFill>
                  <bgColor rgb="FFFFFF00"/>
                </patternFill>
              </fill>
            </x14:dxf>
          </x14:cfRule>
          <xm:sqref>BH26:BV26</xm:sqref>
        </x14:conditionalFormatting>
        <x14:conditionalFormatting xmlns:xm="http://schemas.microsoft.com/office/excel/2006/main">
          <x14:cfRule type="expression" priority="4690426" id="{C98E908A-CD31-4778-B41C-7AFB9DBE639A}">
            <xm:f>$BV$4='Data entry'!$R13</xm:f>
            <x14:dxf>
              <fill>
                <patternFill>
                  <bgColor rgb="FFFF0000"/>
                </patternFill>
              </fill>
            </x14:dxf>
          </x14:cfRule>
          <xm:sqref>BT27:CC27</xm:sqref>
        </x14:conditionalFormatting>
        <x14:conditionalFormatting xmlns:xm="http://schemas.microsoft.com/office/excel/2006/main">
          <x14:cfRule type="expression" priority="4690427" id="{465CCCA3-B4DB-4B61-8AC7-8A5E4CEC9E3F}">
            <xm:f>$BW$4='Data entry'!$R13</xm:f>
            <x14:dxf>
              <fill>
                <patternFill>
                  <bgColor rgb="FFFFFF00"/>
                </patternFill>
              </fill>
            </x14:dxf>
          </x14:cfRule>
          <xm:sqref>BI26:BW26</xm:sqref>
        </x14:conditionalFormatting>
        <x14:conditionalFormatting xmlns:xm="http://schemas.microsoft.com/office/excel/2006/main">
          <x14:cfRule type="expression" priority="4690428" id="{37566F97-6D06-400B-A709-FE657B07687F}">
            <xm:f>$BW$4='Data entry'!$R13</xm:f>
            <x14:dxf>
              <fill>
                <patternFill>
                  <bgColor rgb="FFFF0000"/>
                </patternFill>
              </fill>
            </x14:dxf>
          </x14:cfRule>
          <xm:sqref>BU27:CC27</xm:sqref>
        </x14:conditionalFormatting>
        <x14:conditionalFormatting xmlns:xm="http://schemas.microsoft.com/office/excel/2006/main">
          <x14:cfRule type="expression" priority="4690429" id="{D8FBA3AC-5CF0-4E45-97CA-1D4DEE729ADA}">
            <xm:f>$BX$4='Data entry'!$R13</xm:f>
            <x14:dxf>
              <fill>
                <patternFill>
                  <bgColor rgb="FFFFFF00"/>
                </patternFill>
              </fill>
            </x14:dxf>
          </x14:cfRule>
          <xm:sqref>BJ26:BX26</xm:sqref>
        </x14:conditionalFormatting>
        <x14:conditionalFormatting xmlns:xm="http://schemas.microsoft.com/office/excel/2006/main">
          <x14:cfRule type="expression" priority="4690430" id="{E077C84B-A94F-431D-B232-4AFCC7C64F54}">
            <xm:f>$BX$4='Data entry'!$R13</xm:f>
            <x14:dxf>
              <fill>
                <patternFill>
                  <bgColor rgb="FFFF0000"/>
                </patternFill>
              </fill>
            </x14:dxf>
          </x14:cfRule>
          <xm:sqref>BV27:CC27</xm:sqref>
        </x14:conditionalFormatting>
        <x14:conditionalFormatting xmlns:xm="http://schemas.microsoft.com/office/excel/2006/main">
          <x14:cfRule type="expression" priority="4690431" id="{63783BA8-0C97-4A44-86FD-7A2BCF1B9957}">
            <xm:f>$BY$4='Data entry'!$R13</xm:f>
            <x14:dxf>
              <fill>
                <patternFill>
                  <bgColor rgb="FFFFFF00"/>
                </patternFill>
              </fill>
            </x14:dxf>
          </x14:cfRule>
          <xm:sqref>BK26:BY26</xm:sqref>
        </x14:conditionalFormatting>
        <x14:conditionalFormatting xmlns:xm="http://schemas.microsoft.com/office/excel/2006/main">
          <x14:cfRule type="expression" priority="4690432" id="{BB8DB8B4-B71B-46D2-AEE7-346F16103F74}">
            <xm:f>$BY$4='Data entry'!$R13</xm:f>
            <x14:dxf>
              <fill>
                <patternFill>
                  <bgColor rgb="FFFF0000"/>
                </patternFill>
              </fill>
            </x14:dxf>
          </x14:cfRule>
          <xm:sqref>BW27:CC27</xm:sqref>
        </x14:conditionalFormatting>
        <x14:conditionalFormatting xmlns:xm="http://schemas.microsoft.com/office/excel/2006/main">
          <x14:cfRule type="expression" priority="4690433" id="{1B638B98-2B06-4FEB-90C1-446A3E0A3979}">
            <xm:f>$BZ$4='Data entry'!$R13</xm:f>
            <x14:dxf>
              <fill>
                <patternFill>
                  <bgColor rgb="FFFFFF00"/>
                </patternFill>
              </fill>
            </x14:dxf>
          </x14:cfRule>
          <xm:sqref>BL26:BZ26</xm:sqref>
        </x14:conditionalFormatting>
        <x14:conditionalFormatting xmlns:xm="http://schemas.microsoft.com/office/excel/2006/main">
          <x14:cfRule type="expression" priority="4690434" id="{D3A0A2F8-D1B2-4DC5-B2A9-0EF53074E685}">
            <xm:f>$BZ$4='Data entry'!$R13</xm:f>
            <x14:dxf>
              <fill>
                <patternFill>
                  <bgColor rgb="FFFF0000"/>
                </patternFill>
              </fill>
            </x14:dxf>
          </x14:cfRule>
          <xm:sqref>BX27:CC27</xm:sqref>
        </x14:conditionalFormatting>
        <x14:conditionalFormatting xmlns:xm="http://schemas.microsoft.com/office/excel/2006/main">
          <x14:cfRule type="expression" priority="4690435" id="{83F6D018-7D3B-4D33-9998-11572F2F2FF5}">
            <xm:f>$CA$4='Data entry'!$R13</xm:f>
            <x14:dxf>
              <fill>
                <patternFill>
                  <bgColor rgb="FFFFFF00"/>
                </patternFill>
              </fill>
            </x14:dxf>
          </x14:cfRule>
          <xm:sqref>BM26:CA26</xm:sqref>
        </x14:conditionalFormatting>
        <x14:conditionalFormatting xmlns:xm="http://schemas.microsoft.com/office/excel/2006/main">
          <x14:cfRule type="expression" priority="4690436" id="{8E6D0B51-5626-4ED9-9072-C7A2C139704F}">
            <xm:f>$CA$4='Data entry'!$R13</xm:f>
            <x14:dxf>
              <fill>
                <patternFill>
                  <bgColor rgb="FFFF0000"/>
                </patternFill>
              </fill>
            </x14:dxf>
          </x14:cfRule>
          <xm:sqref>BY27:CC27</xm:sqref>
        </x14:conditionalFormatting>
        <x14:conditionalFormatting xmlns:xm="http://schemas.microsoft.com/office/excel/2006/main">
          <x14:cfRule type="expression" priority="4690437" id="{E1886EE4-3BDE-43A9-9F4B-79377FEC37FE}">
            <xm:f>$CB$4='Data entry'!$R13</xm:f>
            <x14:dxf>
              <fill>
                <patternFill>
                  <bgColor rgb="FFFFFF00"/>
                </patternFill>
              </fill>
            </x14:dxf>
          </x14:cfRule>
          <xm:sqref>BN26:CB26</xm:sqref>
        </x14:conditionalFormatting>
        <x14:conditionalFormatting xmlns:xm="http://schemas.microsoft.com/office/excel/2006/main">
          <x14:cfRule type="expression" priority="4690438" id="{ADEF572A-6C18-4602-BB86-01C96D36E07E}">
            <xm:f>$CB$4='Data entry'!$R13</xm:f>
            <x14:dxf>
              <fill>
                <patternFill>
                  <bgColor rgb="FFFF0000"/>
                </patternFill>
              </fill>
            </x14:dxf>
          </x14:cfRule>
          <xm:sqref>BZ27:CC27</xm:sqref>
        </x14:conditionalFormatting>
        <x14:conditionalFormatting xmlns:xm="http://schemas.microsoft.com/office/excel/2006/main">
          <x14:cfRule type="expression" priority="4690439" id="{7984E1C9-E073-4955-8543-62145CB6D008}">
            <xm:f>$CC$4='Data entry'!$R13</xm:f>
            <x14:dxf>
              <fill>
                <patternFill>
                  <bgColor rgb="FFFFFF00"/>
                </patternFill>
              </fill>
            </x14:dxf>
          </x14:cfRule>
          <xm:sqref>BO26:CC26</xm:sqref>
        </x14:conditionalFormatting>
        <x14:conditionalFormatting xmlns:xm="http://schemas.microsoft.com/office/excel/2006/main">
          <x14:cfRule type="expression" priority="4690440" id="{18A957B3-59FA-4698-BA92-2A208FF18E2F}">
            <xm:f>$CC$4='Data entry'!$R13</xm:f>
            <x14:dxf>
              <fill>
                <patternFill>
                  <bgColor rgb="FFFF0000"/>
                </patternFill>
              </fill>
            </x14:dxf>
          </x14:cfRule>
          <xm:sqref>CA27:CC27</xm:sqref>
        </x14:conditionalFormatting>
        <x14:conditionalFormatting xmlns:xm="http://schemas.microsoft.com/office/excel/2006/main">
          <x14:cfRule type="expression" priority="4690527" id="{5B0DB825-B7C2-40AC-B7EF-F267F054CFB9}">
            <xm:f>$U$4='Data entry'!$R14</xm:f>
            <x14:dxf>
              <fill>
                <patternFill>
                  <bgColor rgb="FFFF0000"/>
                </patternFill>
              </fill>
            </x14:dxf>
          </x14:cfRule>
          <xm:sqref>S30:AE30</xm:sqref>
        </x14:conditionalFormatting>
        <x14:conditionalFormatting xmlns:xm="http://schemas.microsoft.com/office/excel/2006/main">
          <x14:cfRule type="expression" priority="4690528" id="{18311200-E2BB-400F-B594-3B9A2C6068C2}">
            <xm:f>$V$4='Data entry'!$R14</xm:f>
            <x14:dxf>
              <fill>
                <patternFill>
                  <bgColor rgb="FFFF0000"/>
                </patternFill>
              </fill>
            </x14:dxf>
          </x14:cfRule>
          <xm:sqref>T30:AF30</xm:sqref>
        </x14:conditionalFormatting>
        <x14:conditionalFormatting xmlns:xm="http://schemas.microsoft.com/office/excel/2006/main">
          <x14:cfRule type="expression" priority="4690529" id="{D6DFB621-1A58-4C59-A987-ECAD0EB2D32B}">
            <xm:f>$V$4='Data entry'!$R14</xm:f>
            <x14:dxf>
              <fill>
                <patternFill>
                  <bgColor rgb="FFFFFF00"/>
                </patternFill>
              </fill>
            </x14:dxf>
          </x14:cfRule>
          <xm:sqref>H29:V29</xm:sqref>
        </x14:conditionalFormatting>
        <x14:conditionalFormatting xmlns:xm="http://schemas.microsoft.com/office/excel/2006/main">
          <x14:cfRule type="expression" priority="4690530" id="{5F87A680-DC5F-433D-A779-B7A534ACCDA9}">
            <xm:f>$W$4='Data entry'!$R14</xm:f>
            <x14:dxf>
              <fill>
                <patternFill>
                  <bgColor rgb="FFFF0000"/>
                </patternFill>
              </fill>
            </x14:dxf>
          </x14:cfRule>
          <xm:sqref>U30:AG30</xm:sqref>
        </x14:conditionalFormatting>
        <x14:conditionalFormatting xmlns:xm="http://schemas.microsoft.com/office/excel/2006/main">
          <x14:cfRule type="expression" priority="4690531" id="{964539FF-A92C-4F68-B268-B7157A32678C}">
            <xm:f>$W$4='Data entry'!$R14</xm:f>
            <x14:dxf>
              <fill>
                <patternFill>
                  <bgColor rgb="FFFFFF00"/>
                </patternFill>
              </fill>
            </x14:dxf>
          </x14:cfRule>
          <xm:sqref>I29:W29</xm:sqref>
        </x14:conditionalFormatting>
        <x14:conditionalFormatting xmlns:xm="http://schemas.microsoft.com/office/excel/2006/main">
          <x14:cfRule type="expression" priority="4690532" id="{46C1533A-F090-4A90-9309-3F59EC3FD3B0}">
            <xm:f>$X$4='Data entry'!$R14</xm:f>
            <x14:dxf>
              <fill>
                <patternFill>
                  <bgColor rgb="FFFF0000"/>
                </patternFill>
              </fill>
            </x14:dxf>
          </x14:cfRule>
          <xm:sqref>V30:AH30</xm:sqref>
        </x14:conditionalFormatting>
        <x14:conditionalFormatting xmlns:xm="http://schemas.microsoft.com/office/excel/2006/main">
          <x14:cfRule type="expression" priority="4690533" id="{7C70E81C-DDD4-4D75-933A-4F6A39893184}">
            <xm:f>$X$4='Data entry'!$R14</xm:f>
            <x14:dxf>
              <fill>
                <patternFill>
                  <bgColor rgb="FFFFFF00"/>
                </patternFill>
              </fill>
            </x14:dxf>
          </x14:cfRule>
          <xm:sqref>J29:X29</xm:sqref>
        </x14:conditionalFormatting>
        <x14:conditionalFormatting xmlns:xm="http://schemas.microsoft.com/office/excel/2006/main">
          <x14:cfRule type="expression" priority="4690534" id="{561AF073-0EF8-4B72-A119-40A639C4359D}">
            <xm:f>$Y$4='Data entry'!$R14</xm:f>
            <x14:dxf>
              <fill>
                <patternFill>
                  <bgColor rgb="FFFF0000"/>
                </patternFill>
              </fill>
            </x14:dxf>
          </x14:cfRule>
          <xm:sqref>W30:AI30</xm:sqref>
        </x14:conditionalFormatting>
        <x14:conditionalFormatting xmlns:xm="http://schemas.microsoft.com/office/excel/2006/main">
          <x14:cfRule type="expression" priority="4690535" id="{F242E808-8F07-4A89-9524-7D4C767CE357}">
            <xm:f>$Y$4='Data entry'!$R14</xm:f>
            <x14:dxf>
              <fill>
                <patternFill>
                  <bgColor rgb="FFFFFF00"/>
                </patternFill>
              </fill>
            </x14:dxf>
          </x14:cfRule>
          <xm:sqref>K29:Y29</xm:sqref>
        </x14:conditionalFormatting>
        <x14:conditionalFormatting xmlns:xm="http://schemas.microsoft.com/office/excel/2006/main">
          <x14:cfRule type="expression" priority="4690536" id="{DD601058-982B-4218-BD9D-64BB823C2633}">
            <xm:f>$Z$4='Data entry'!$R14</xm:f>
            <x14:dxf>
              <fill>
                <patternFill>
                  <bgColor rgb="FFFF0000"/>
                </patternFill>
              </fill>
            </x14:dxf>
          </x14:cfRule>
          <xm:sqref>X30:AJ30</xm:sqref>
        </x14:conditionalFormatting>
        <x14:conditionalFormatting xmlns:xm="http://schemas.microsoft.com/office/excel/2006/main">
          <x14:cfRule type="expression" priority="4690537" id="{C9DB141D-79F6-4093-92A3-7BF7A1622985}">
            <xm:f>$Z$4='Data entry'!$R14</xm:f>
            <x14:dxf>
              <fill>
                <patternFill>
                  <bgColor rgb="FFFFFF00"/>
                </patternFill>
              </fill>
            </x14:dxf>
          </x14:cfRule>
          <xm:sqref>L29:Z29</xm:sqref>
        </x14:conditionalFormatting>
        <x14:conditionalFormatting xmlns:xm="http://schemas.microsoft.com/office/excel/2006/main">
          <x14:cfRule type="expression" priority="4690538" id="{710EB8D3-F5C0-4E3C-8214-2D0C4E26F649}">
            <xm:f>$AA$4='Data entry'!$R14</xm:f>
            <x14:dxf>
              <fill>
                <patternFill>
                  <bgColor rgb="FFFF0000"/>
                </patternFill>
              </fill>
            </x14:dxf>
          </x14:cfRule>
          <xm:sqref>Y30:AK30</xm:sqref>
        </x14:conditionalFormatting>
        <x14:conditionalFormatting xmlns:xm="http://schemas.microsoft.com/office/excel/2006/main">
          <x14:cfRule type="expression" priority="4690539" id="{33825D69-C967-4D27-B395-5D44A3083802}">
            <xm:f>$AA$4='Data entry'!$R14</xm:f>
            <x14:dxf>
              <fill>
                <patternFill>
                  <bgColor rgb="FFFFFF00"/>
                </patternFill>
              </fill>
            </x14:dxf>
          </x14:cfRule>
          <xm:sqref>M29:AA29</xm:sqref>
        </x14:conditionalFormatting>
        <x14:conditionalFormatting xmlns:xm="http://schemas.microsoft.com/office/excel/2006/main">
          <x14:cfRule type="expression" priority="4690540" id="{9811A97D-351B-4D32-8754-AF433277E62B}">
            <xm:f>$AB$4='Data entry'!$R14</xm:f>
            <x14:dxf>
              <fill>
                <patternFill>
                  <bgColor rgb="FFFF0000"/>
                </patternFill>
              </fill>
            </x14:dxf>
          </x14:cfRule>
          <xm:sqref>Z30:AL30</xm:sqref>
        </x14:conditionalFormatting>
        <x14:conditionalFormatting xmlns:xm="http://schemas.microsoft.com/office/excel/2006/main">
          <x14:cfRule type="expression" priority="4690541" id="{6DD3E556-C72E-438B-92DA-3096ED1E4178}">
            <xm:f>$AB$4='Data entry'!$R14</xm:f>
            <x14:dxf>
              <fill>
                <patternFill>
                  <bgColor rgb="FFFFFF00"/>
                </patternFill>
              </fill>
            </x14:dxf>
          </x14:cfRule>
          <xm:sqref>N29:AB29</xm:sqref>
        </x14:conditionalFormatting>
        <x14:conditionalFormatting xmlns:xm="http://schemas.microsoft.com/office/excel/2006/main">
          <x14:cfRule type="expression" priority="4690542" id="{C0DF7A1B-D6BC-4371-BD3A-F0708147FA1C}">
            <xm:f>$AC$4='Data entry'!$R14</xm:f>
            <x14:dxf>
              <fill>
                <patternFill>
                  <bgColor rgb="FFFF0000"/>
                </patternFill>
              </fill>
            </x14:dxf>
          </x14:cfRule>
          <xm:sqref>AA30:AM30</xm:sqref>
        </x14:conditionalFormatting>
        <x14:conditionalFormatting xmlns:xm="http://schemas.microsoft.com/office/excel/2006/main">
          <x14:cfRule type="expression" priority="4690543" id="{DB2E1F48-AF0E-41F9-A976-6B1963CA5711}">
            <xm:f>$AC$4='Data entry'!$R14</xm:f>
            <x14:dxf>
              <fill>
                <patternFill>
                  <bgColor rgb="FFFFFF00"/>
                </patternFill>
              </fill>
            </x14:dxf>
          </x14:cfRule>
          <xm:sqref>O29:AC29</xm:sqref>
        </x14:conditionalFormatting>
        <x14:conditionalFormatting xmlns:xm="http://schemas.microsoft.com/office/excel/2006/main">
          <x14:cfRule type="expression" priority="4690544" id="{89909907-F9A9-4AF9-BC1D-304710A43F50}">
            <xm:f>$AD$4='Data entry'!$R14</xm:f>
            <x14:dxf>
              <fill>
                <patternFill>
                  <bgColor rgb="FFFF0000"/>
                </patternFill>
              </fill>
            </x14:dxf>
          </x14:cfRule>
          <xm:sqref>AB30:AN30</xm:sqref>
        </x14:conditionalFormatting>
        <x14:conditionalFormatting xmlns:xm="http://schemas.microsoft.com/office/excel/2006/main">
          <x14:cfRule type="expression" priority="4690545" id="{729676B7-E331-43A4-ACC9-850DCEE76A0E}">
            <xm:f>$AD$4='Data entry'!$R14</xm:f>
            <x14:dxf>
              <fill>
                <patternFill>
                  <bgColor rgb="FFFFFF00"/>
                </patternFill>
              </fill>
            </x14:dxf>
          </x14:cfRule>
          <xm:sqref>P29:AD29</xm:sqref>
        </x14:conditionalFormatting>
        <x14:conditionalFormatting xmlns:xm="http://schemas.microsoft.com/office/excel/2006/main">
          <x14:cfRule type="expression" priority="4690546" id="{00DA2C55-350E-44AA-ABEA-808FABFDA737}">
            <xm:f>$AE$4='Data entry'!$R14</xm:f>
            <x14:dxf>
              <fill>
                <patternFill>
                  <bgColor rgb="FFFF0000"/>
                </patternFill>
              </fill>
            </x14:dxf>
          </x14:cfRule>
          <xm:sqref>AC30:AO30</xm:sqref>
        </x14:conditionalFormatting>
        <x14:conditionalFormatting xmlns:xm="http://schemas.microsoft.com/office/excel/2006/main">
          <x14:cfRule type="expression" priority="4690547" id="{373C95F1-00C1-45E9-B561-5224945BA4A4}">
            <xm:f>$AE$4='Data entry'!$R14</xm:f>
            <x14:dxf>
              <fill>
                <patternFill>
                  <bgColor rgb="FFFFFF00"/>
                </patternFill>
              </fill>
            </x14:dxf>
          </x14:cfRule>
          <xm:sqref>Q29:AE29</xm:sqref>
        </x14:conditionalFormatting>
        <x14:conditionalFormatting xmlns:xm="http://schemas.microsoft.com/office/excel/2006/main">
          <x14:cfRule type="expression" priority="4690548" id="{65E90E74-6BEF-4B00-BD5E-ECACFEBC225A}">
            <xm:f>$AF$4='Data entry'!$R14</xm:f>
            <x14:dxf>
              <fill>
                <patternFill>
                  <bgColor rgb="FFFF0000"/>
                </patternFill>
              </fill>
            </x14:dxf>
          </x14:cfRule>
          <xm:sqref>AD30:AP30</xm:sqref>
        </x14:conditionalFormatting>
        <x14:conditionalFormatting xmlns:xm="http://schemas.microsoft.com/office/excel/2006/main">
          <x14:cfRule type="expression" priority="4690549" id="{56B519D7-E083-4811-B42B-D6CB10D44BB3}">
            <xm:f>$AF$4='Data entry'!$R14</xm:f>
            <x14:dxf>
              <fill>
                <patternFill>
                  <bgColor rgb="FFFFFF00"/>
                </patternFill>
              </fill>
            </x14:dxf>
          </x14:cfRule>
          <xm:sqref>R29:AF29</xm:sqref>
        </x14:conditionalFormatting>
        <x14:conditionalFormatting xmlns:xm="http://schemas.microsoft.com/office/excel/2006/main">
          <x14:cfRule type="expression" priority="4690550" id="{889682B6-BF9B-414B-86B7-1C802156B058}">
            <xm:f>$AG$4='Data entry'!$R14</xm:f>
            <x14:dxf>
              <fill>
                <patternFill>
                  <bgColor rgb="FFFF0000"/>
                </patternFill>
              </fill>
            </x14:dxf>
          </x14:cfRule>
          <xm:sqref>AE30:AQ30</xm:sqref>
        </x14:conditionalFormatting>
        <x14:conditionalFormatting xmlns:xm="http://schemas.microsoft.com/office/excel/2006/main">
          <x14:cfRule type="expression" priority="4690551" id="{19913D88-1940-4CB0-B29C-D46D60833BD5}">
            <xm:f>$AG$4='Data entry'!$R14</xm:f>
            <x14:dxf>
              <fill>
                <patternFill>
                  <bgColor rgb="FFFFFF00"/>
                </patternFill>
              </fill>
            </x14:dxf>
          </x14:cfRule>
          <xm:sqref>S29:AG29</xm:sqref>
        </x14:conditionalFormatting>
        <x14:conditionalFormatting xmlns:xm="http://schemas.microsoft.com/office/excel/2006/main">
          <x14:cfRule type="expression" priority="4690552" id="{3DD7B9A5-18A3-463F-BAD5-9796FC487328}">
            <xm:f>$AH$4='Data entry'!$R14</xm:f>
            <x14:dxf>
              <fill>
                <patternFill>
                  <bgColor rgb="FFFF0000"/>
                </patternFill>
              </fill>
            </x14:dxf>
          </x14:cfRule>
          <xm:sqref>AF30:AR30</xm:sqref>
        </x14:conditionalFormatting>
        <x14:conditionalFormatting xmlns:xm="http://schemas.microsoft.com/office/excel/2006/main">
          <x14:cfRule type="expression" priority="4690553" id="{31005CF4-5608-496E-91EB-F7F505046C80}">
            <xm:f>$AH$4='Data entry'!$R14</xm:f>
            <x14:dxf>
              <fill>
                <patternFill>
                  <bgColor rgb="FFFFFF00"/>
                </patternFill>
              </fill>
            </x14:dxf>
          </x14:cfRule>
          <xm:sqref>T29:AH29</xm:sqref>
        </x14:conditionalFormatting>
        <x14:conditionalFormatting xmlns:xm="http://schemas.microsoft.com/office/excel/2006/main">
          <x14:cfRule type="expression" priority="4690554" id="{CD14F654-5B7A-444F-8FC1-7DD71E76E475}">
            <xm:f>$AI$4='Data entry'!$R14</xm:f>
            <x14:dxf>
              <fill>
                <patternFill>
                  <bgColor rgb="FFFF0000"/>
                </patternFill>
              </fill>
            </x14:dxf>
          </x14:cfRule>
          <xm:sqref>AG30:AS30</xm:sqref>
        </x14:conditionalFormatting>
        <x14:conditionalFormatting xmlns:xm="http://schemas.microsoft.com/office/excel/2006/main">
          <x14:cfRule type="expression" priority="4690555" id="{0E4E448C-6C46-4285-B877-A61A90294385}">
            <xm:f>$AI$4='Data entry'!$R14</xm:f>
            <x14:dxf>
              <fill>
                <patternFill>
                  <bgColor rgb="FFFFFF00"/>
                </patternFill>
              </fill>
            </x14:dxf>
          </x14:cfRule>
          <xm:sqref>U29:AI29</xm:sqref>
        </x14:conditionalFormatting>
        <x14:conditionalFormatting xmlns:xm="http://schemas.microsoft.com/office/excel/2006/main">
          <x14:cfRule type="expression" priority="4690556" id="{B1C1818F-791C-403D-BE73-6F6E9DC6A16D}">
            <xm:f>$AJ$4='Data entry'!$R14</xm:f>
            <x14:dxf>
              <fill>
                <patternFill>
                  <bgColor rgb="FFFF0000"/>
                </patternFill>
              </fill>
            </x14:dxf>
          </x14:cfRule>
          <xm:sqref>AH30:AT30</xm:sqref>
        </x14:conditionalFormatting>
        <x14:conditionalFormatting xmlns:xm="http://schemas.microsoft.com/office/excel/2006/main">
          <x14:cfRule type="expression" priority="4690557" id="{A1237792-221B-431B-B8A7-E9A64DA46D93}">
            <xm:f>$AJ$4='Data entry'!$R14</xm:f>
            <x14:dxf>
              <fill>
                <patternFill>
                  <bgColor rgb="FFFFFF00"/>
                </patternFill>
              </fill>
            </x14:dxf>
          </x14:cfRule>
          <xm:sqref>V29:AJ29</xm:sqref>
        </x14:conditionalFormatting>
        <x14:conditionalFormatting xmlns:xm="http://schemas.microsoft.com/office/excel/2006/main">
          <x14:cfRule type="expression" priority="4690558" id="{617DC2AF-C7A3-4724-8EA3-17DEFEDC8949}">
            <xm:f>$AK$4='Data entry'!$R14</xm:f>
            <x14:dxf>
              <fill>
                <patternFill>
                  <bgColor rgb="FFFF0000"/>
                </patternFill>
              </fill>
            </x14:dxf>
          </x14:cfRule>
          <xm:sqref>AI30:AU30</xm:sqref>
        </x14:conditionalFormatting>
        <x14:conditionalFormatting xmlns:xm="http://schemas.microsoft.com/office/excel/2006/main">
          <x14:cfRule type="expression" priority="4690559" id="{AA72317D-37B1-48EB-A28B-BF2AC8DC4519}">
            <xm:f>$AK$4='Data entry'!$R14</xm:f>
            <x14:dxf>
              <fill>
                <patternFill>
                  <bgColor rgb="FFFFFF00"/>
                </patternFill>
              </fill>
            </x14:dxf>
          </x14:cfRule>
          <xm:sqref>W29:AK29</xm:sqref>
        </x14:conditionalFormatting>
        <x14:conditionalFormatting xmlns:xm="http://schemas.microsoft.com/office/excel/2006/main">
          <x14:cfRule type="expression" priority="4690560" id="{6CA9FB7A-20EA-4D3A-B74C-A001F4BE810D}">
            <xm:f>$AL$4='Data entry'!$R14</xm:f>
            <x14:dxf>
              <fill>
                <patternFill>
                  <bgColor rgb="FFFF0000"/>
                </patternFill>
              </fill>
            </x14:dxf>
          </x14:cfRule>
          <xm:sqref>AJ30:AV30</xm:sqref>
        </x14:conditionalFormatting>
        <x14:conditionalFormatting xmlns:xm="http://schemas.microsoft.com/office/excel/2006/main">
          <x14:cfRule type="expression" priority="4690561" id="{81A75DAA-573F-4EF3-A640-1B992C18BEA0}">
            <xm:f>$AL$4='Data entry'!$R14</xm:f>
            <x14:dxf>
              <fill>
                <patternFill>
                  <bgColor rgb="FFFFFF00"/>
                </patternFill>
              </fill>
            </x14:dxf>
          </x14:cfRule>
          <xm:sqref>X29:AL29</xm:sqref>
        </x14:conditionalFormatting>
        <x14:conditionalFormatting xmlns:xm="http://schemas.microsoft.com/office/excel/2006/main">
          <x14:cfRule type="expression" priority="4690562" id="{3D44713E-4ABA-4CCD-9DF4-5513A9FB5E1E}">
            <xm:f>$AM$4='Data entry'!$R14</xm:f>
            <x14:dxf>
              <fill>
                <patternFill>
                  <bgColor rgb="FFFF0000"/>
                </patternFill>
              </fill>
            </x14:dxf>
          </x14:cfRule>
          <xm:sqref>AK30:AW30</xm:sqref>
        </x14:conditionalFormatting>
        <x14:conditionalFormatting xmlns:xm="http://schemas.microsoft.com/office/excel/2006/main">
          <x14:cfRule type="expression" priority="4690563" id="{05A26B51-72A7-4423-822F-2BDBC28275D0}">
            <xm:f>$AM$4='Data entry'!$R14</xm:f>
            <x14:dxf>
              <fill>
                <patternFill>
                  <bgColor rgb="FFFFFF00"/>
                </patternFill>
              </fill>
            </x14:dxf>
          </x14:cfRule>
          <xm:sqref>Y29:AM29</xm:sqref>
        </x14:conditionalFormatting>
        <x14:conditionalFormatting xmlns:xm="http://schemas.microsoft.com/office/excel/2006/main">
          <x14:cfRule type="expression" priority="4690564" id="{B8A20675-6230-4694-A7F6-6B3DC7142773}">
            <xm:f>$AN$4='Data entry'!$R14</xm:f>
            <x14:dxf>
              <fill>
                <patternFill>
                  <bgColor rgb="FFFF0000"/>
                </patternFill>
              </fill>
            </x14:dxf>
          </x14:cfRule>
          <xm:sqref>AL30:AX30</xm:sqref>
        </x14:conditionalFormatting>
        <x14:conditionalFormatting xmlns:xm="http://schemas.microsoft.com/office/excel/2006/main">
          <x14:cfRule type="expression" priority="4690565" id="{8421181C-7450-42E9-BC1D-065CCFCA960E}">
            <xm:f>$AN$4='Data entry'!$R14</xm:f>
            <x14:dxf>
              <fill>
                <patternFill>
                  <bgColor rgb="FFFFFF00"/>
                </patternFill>
              </fill>
            </x14:dxf>
          </x14:cfRule>
          <xm:sqref>Z29:AN29</xm:sqref>
        </x14:conditionalFormatting>
        <x14:conditionalFormatting xmlns:xm="http://schemas.microsoft.com/office/excel/2006/main">
          <x14:cfRule type="expression" priority="4690566" id="{067FE4BD-6EF4-4684-B6E0-35AB2F267EE7}">
            <xm:f>$AO$4='Data entry'!$R14</xm:f>
            <x14:dxf>
              <fill>
                <patternFill>
                  <bgColor rgb="FFFF0000"/>
                </patternFill>
              </fill>
            </x14:dxf>
          </x14:cfRule>
          <xm:sqref>AM30:AY30</xm:sqref>
        </x14:conditionalFormatting>
        <x14:conditionalFormatting xmlns:xm="http://schemas.microsoft.com/office/excel/2006/main">
          <x14:cfRule type="expression" priority="4690567" id="{F7653492-88D1-47AC-8BA3-0CCE65C3C2AB}">
            <xm:f>$AO$4='Data entry'!$R14</xm:f>
            <x14:dxf>
              <fill>
                <patternFill>
                  <bgColor rgb="FFFFFF00"/>
                </patternFill>
              </fill>
            </x14:dxf>
          </x14:cfRule>
          <xm:sqref>AA29:AO29</xm:sqref>
        </x14:conditionalFormatting>
        <x14:conditionalFormatting xmlns:xm="http://schemas.microsoft.com/office/excel/2006/main">
          <x14:cfRule type="expression" priority="4690568" id="{207A5E5D-B322-482E-9193-1D7318138358}">
            <xm:f>$AP$4='Data entry'!$R14</xm:f>
            <x14:dxf>
              <fill>
                <patternFill>
                  <bgColor rgb="FFFF0000"/>
                </patternFill>
              </fill>
            </x14:dxf>
          </x14:cfRule>
          <xm:sqref>AN30:AZ30</xm:sqref>
        </x14:conditionalFormatting>
        <x14:conditionalFormatting xmlns:xm="http://schemas.microsoft.com/office/excel/2006/main">
          <x14:cfRule type="expression" priority="4690569" id="{21DA638D-4CA0-4067-BFF1-240CE1A0261B}">
            <xm:f>$AP$4='Data entry'!$R14</xm:f>
            <x14:dxf>
              <fill>
                <patternFill>
                  <bgColor rgb="FFFFFF00"/>
                </patternFill>
              </fill>
            </x14:dxf>
          </x14:cfRule>
          <xm:sqref>AB29:AP29</xm:sqref>
        </x14:conditionalFormatting>
        <x14:conditionalFormatting xmlns:xm="http://schemas.microsoft.com/office/excel/2006/main">
          <x14:cfRule type="expression" priority="4690570" id="{71963D96-A42A-4B90-BFC7-6D83D37766EF}">
            <xm:f>$AQ$4='Data entry'!$R14</xm:f>
            <x14:dxf>
              <fill>
                <patternFill>
                  <bgColor rgb="FFFF0000"/>
                </patternFill>
              </fill>
            </x14:dxf>
          </x14:cfRule>
          <xm:sqref>AO30:BA30</xm:sqref>
        </x14:conditionalFormatting>
        <x14:conditionalFormatting xmlns:xm="http://schemas.microsoft.com/office/excel/2006/main">
          <x14:cfRule type="expression" priority="4690571" id="{74952595-84B6-484F-8FF6-FCC1F337DF4D}">
            <xm:f>$AQ$4='Data entry'!$R14</xm:f>
            <x14:dxf>
              <fill>
                <patternFill>
                  <bgColor rgb="FFFFFF00"/>
                </patternFill>
              </fill>
            </x14:dxf>
          </x14:cfRule>
          <xm:sqref>AC29:AQ29</xm:sqref>
        </x14:conditionalFormatting>
        <x14:conditionalFormatting xmlns:xm="http://schemas.microsoft.com/office/excel/2006/main">
          <x14:cfRule type="expression" priority="4690572" id="{8AC9C4B9-0A34-4BC0-B0F7-CA89434C4911}">
            <xm:f>$P$4='Data entry'!$R14</xm:f>
            <x14:dxf>
              <fill>
                <patternFill>
                  <bgColor rgb="FFFFFF00"/>
                </patternFill>
              </fill>
            </x14:dxf>
          </x14:cfRule>
          <xm:sqref>C29:P29</xm:sqref>
        </x14:conditionalFormatting>
        <x14:conditionalFormatting xmlns:xm="http://schemas.microsoft.com/office/excel/2006/main">
          <x14:cfRule type="expression" priority="4690573" id="{0A726775-ABFD-4F22-967C-1A4D87BA3751}">
            <xm:f>$Q$4='Data entry'!$R14</xm:f>
            <x14:dxf>
              <fill>
                <patternFill>
                  <bgColor rgb="FFFFFF00"/>
                </patternFill>
              </fill>
            </x14:dxf>
          </x14:cfRule>
          <xm:sqref>C29:Q29</xm:sqref>
        </x14:conditionalFormatting>
        <x14:conditionalFormatting xmlns:xm="http://schemas.microsoft.com/office/excel/2006/main">
          <x14:cfRule type="expression" priority="4690574" id="{3A8414BD-262C-43B5-86EE-FA6901D00453}">
            <xm:f>$Q$4='Data entry'!$R14</xm:f>
            <x14:dxf>
              <fill>
                <patternFill>
                  <bgColor rgb="FFFF0000"/>
                </patternFill>
              </fill>
            </x14:dxf>
          </x14:cfRule>
          <xm:sqref>O30:AA30</xm:sqref>
        </x14:conditionalFormatting>
        <x14:conditionalFormatting xmlns:xm="http://schemas.microsoft.com/office/excel/2006/main">
          <x14:cfRule type="expression" priority="4690575" id="{B8B5501D-F3EF-4449-9306-F652960C65F4}">
            <xm:f>$R$4='Data entry'!$R14</xm:f>
            <x14:dxf>
              <fill>
                <patternFill>
                  <bgColor rgb="FFFF0000"/>
                </patternFill>
              </fill>
            </x14:dxf>
          </x14:cfRule>
          <xm:sqref>P30:AB30</xm:sqref>
        </x14:conditionalFormatting>
        <x14:conditionalFormatting xmlns:xm="http://schemas.microsoft.com/office/excel/2006/main">
          <x14:cfRule type="expression" priority="4690576" id="{5D070DEC-B82E-4D87-B907-A3E5AB836991}">
            <xm:f>$R$4='Data entry'!$R14</xm:f>
            <x14:dxf>
              <fill>
                <patternFill>
                  <bgColor rgb="FFFFFF00"/>
                </patternFill>
              </fill>
            </x14:dxf>
          </x14:cfRule>
          <xm:sqref>D29:R29</xm:sqref>
        </x14:conditionalFormatting>
        <x14:conditionalFormatting xmlns:xm="http://schemas.microsoft.com/office/excel/2006/main">
          <x14:cfRule type="expression" priority="4690577" id="{E4D16A10-F818-4664-9FB2-F0E839824D4B}">
            <xm:f>$S$4='Data entry'!$R14</xm:f>
            <x14:dxf>
              <fill>
                <patternFill>
                  <bgColor rgb="FFFF0000"/>
                </patternFill>
              </fill>
            </x14:dxf>
          </x14:cfRule>
          <xm:sqref>Q30:AC30</xm:sqref>
        </x14:conditionalFormatting>
        <x14:conditionalFormatting xmlns:xm="http://schemas.microsoft.com/office/excel/2006/main">
          <x14:cfRule type="expression" priority="4690578" id="{1A9F9911-A3E9-4730-AFBE-AB8C596545CA}">
            <xm:f>$S$4='Data entry'!$R14</xm:f>
            <x14:dxf>
              <fill>
                <patternFill>
                  <bgColor rgb="FFFFFF00"/>
                </patternFill>
              </fill>
            </x14:dxf>
          </x14:cfRule>
          <xm:sqref>E29:S29</xm:sqref>
        </x14:conditionalFormatting>
        <x14:conditionalFormatting xmlns:xm="http://schemas.microsoft.com/office/excel/2006/main">
          <x14:cfRule type="expression" priority="4690579" id="{8BB5CD1B-B2AC-442A-9550-26DE19A62D22}">
            <xm:f>$T$4='Data entry'!$R14</xm:f>
            <x14:dxf>
              <fill>
                <patternFill>
                  <bgColor rgb="FFFF0000"/>
                </patternFill>
              </fill>
            </x14:dxf>
          </x14:cfRule>
          <xm:sqref>R30:AD30</xm:sqref>
        </x14:conditionalFormatting>
        <x14:conditionalFormatting xmlns:xm="http://schemas.microsoft.com/office/excel/2006/main">
          <x14:cfRule type="expression" priority="4690580" id="{E7B59C69-7921-4049-84A1-8B3E5F7B0598}">
            <xm:f>$T$4='Data entry'!$R14</xm:f>
            <x14:dxf>
              <fill>
                <patternFill>
                  <bgColor rgb="FFFFFF00"/>
                </patternFill>
              </fill>
            </x14:dxf>
          </x14:cfRule>
          <xm:sqref>F29:T29</xm:sqref>
        </x14:conditionalFormatting>
        <x14:conditionalFormatting xmlns:xm="http://schemas.microsoft.com/office/excel/2006/main">
          <x14:cfRule type="expression" priority="4690581" id="{238C09E5-7A3D-439D-949F-A7733073F9A2}">
            <xm:f>$U$4='Data entry'!$R14</xm:f>
            <x14:dxf>
              <fill>
                <patternFill>
                  <bgColor rgb="FFFFFF00"/>
                </patternFill>
              </fill>
            </x14:dxf>
          </x14:cfRule>
          <xm:sqref>G29:U29</xm:sqref>
        </x14:conditionalFormatting>
        <x14:conditionalFormatting xmlns:xm="http://schemas.microsoft.com/office/excel/2006/main">
          <x14:cfRule type="expression" priority="4690582" id="{DE4D4432-0A19-452A-AF14-2873FE4DF411}">
            <xm:f>$AR$4='Data entry'!$R14</xm:f>
            <x14:dxf>
              <fill>
                <patternFill>
                  <bgColor rgb="FFFF0000"/>
                </patternFill>
              </fill>
            </x14:dxf>
          </x14:cfRule>
          <xm:sqref>AP30:BB30</xm:sqref>
        </x14:conditionalFormatting>
        <x14:conditionalFormatting xmlns:xm="http://schemas.microsoft.com/office/excel/2006/main">
          <x14:cfRule type="expression" priority="4690583" id="{90D7E1FF-542D-40C8-9BD5-DFEB4CDD256F}">
            <xm:f>$AR$4='Data entry'!$R14</xm:f>
            <x14:dxf>
              <fill>
                <patternFill>
                  <bgColor rgb="FFFFFF00"/>
                </patternFill>
              </fill>
            </x14:dxf>
          </x14:cfRule>
          <xm:sqref>AD29:AR29</xm:sqref>
        </x14:conditionalFormatting>
        <x14:conditionalFormatting xmlns:xm="http://schemas.microsoft.com/office/excel/2006/main">
          <x14:cfRule type="expression" priority="4690584" id="{0EBB5305-4A4A-4205-A1FF-11160070CBC3}">
            <xm:f>$AS$4='Data entry'!$R14</xm:f>
            <x14:dxf>
              <fill>
                <patternFill>
                  <bgColor rgb="FFFF0000"/>
                </patternFill>
              </fill>
            </x14:dxf>
          </x14:cfRule>
          <xm:sqref>AQ30:BC30</xm:sqref>
        </x14:conditionalFormatting>
        <x14:conditionalFormatting xmlns:xm="http://schemas.microsoft.com/office/excel/2006/main">
          <x14:cfRule type="expression" priority="4690585" id="{AC8EB30C-4253-4CE1-820E-1801F6D8D35B}">
            <xm:f>$AS$4='Data entry'!$R14</xm:f>
            <x14:dxf>
              <fill>
                <patternFill>
                  <bgColor rgb="FFFFFF00"/>
                </patternFill>
              </fill>
            </x14:dxf>
          </x14:cfRule>
          <xm:sqref>AE29:AS29</xm:sqref>
        </x14:conditionalFormatting>
        <x14:conditionalFormatting xmlns:xm="http://schemas.microsoft.com/office/excel/2006/main">
          <x14:cfRule type="expression" priority="4690586" id="{E11744C1-7201-4272-A1B0-945490B42425}">
            <xm:f>$AT$4='Data entry'!$R14</xm:f>
            <x14:dxf>
              <fill>
                <patternFill>
                  <bgColor rgb="FFFF0000"/>
                </patternFill>
              </fill>
            </x14:dxf>
          </x14:cfRule>
          <xm:sqref>AR30:BD30</xm:sqref>
        </x14:conditionalFormatting>
        <x14:conditionalFormatting xmlns:xm="http://schemas.microsoft.com/office/excel/2006/main">
          <x14:cfRule type="expression" priority="4690587" id="{5EE2823B-E955-4EA7-B99C-0B1F77B57A69}">
            <xm:f>$AT$4='Data entry'!$R14</xm:f>
            <x14:dxf>
              <fill>
                <patternFill>
                  <bgColor rgb="FFFFFF00"/>
                </patternFill>
              </fill>
            </x14:dxf>
          </x14:cfRule>
          <xm:sqref>AF29:AT29</xm:sqref>
        </x14:conditionalFormatting>
        <x14:conditionalFormatting xmlns:xm="http://schemas.microsoft.com/office/excel/2006/main">
          <x14:cfRule type="expression" priority="4690588" id="{5737DC63-3262-4B34-900C-2AAEB255FCBA}">
            <xm:f>$AU$4='Data entry'!$R14</xm:f>
            <x14:dxf>
              <fill>
                <patternFill>
                  <bgColor rgb="FFFF0000"/>
                </patternFill>
              </fill>
            </x14:dxf>
          </x14:cfRule>
          <xm:sqref>AS30:BE30</xm:sqref>
        </x14:conditionalFormatting>
        <x14:conditionalFormatting xmlns:xm="http://schemas.microsoft.com/office/excel/2006/main">
          <x14:cfRule type="expression" priority="4690589" id="{2B5C1F1B-3C3D-4CA3-BC64-0E98422075B6}">
            <xm:f>$AU$4='Data entry'!$R14</xm:f>
            <x14:dxf>
              <fill>
                <patternFill>
                  <bgColor rgb="FFFFFF00"/>
                </patternFill>
              </fill>
            </x14:dxf>
          </x14:cfRule>
          <xm:sqref>AG29:AU29</xm:sqref>
        </x14:conditionalFormatting>
        <x14:conditionalFormatting xmlns:xm="http://schemas.microsoft.com/office/excel/2006/main">
          <x14:cfRule type="expression" priority="4690590" id="{B87A1285-B003-4855-8F4B-53C391BA10E6}">
            <xm:f>$AV$4='Data entry'!$R14</xm:f>
            <x14:dxf>
              <fill>
                <patternFill>
                  <bgColor rgb="FFFF0000"/>
                </patternFill>
              </fill>
            </x14:dxf>
          </x14:cfRule>
          <xm:sqref>AT30:BF30</xm:sqref>
        </x14:conditionalFormatting>
        <x14:conditionalFormatting xmlns:xm="http://schemas.microsoft.com/office/excel/2006/main">
          <x14:cfRule type="expression" priority="4690591" id="{338EE31C-78DB-4818-B837-0380F9E457FA}">
            <xm:f>$AV$4='Data entry'!$R14</xm:f>
            <x14:dxf>
              <fill>
                <patternFill>
                  <bgColor rgb="FFFFFF00"/>
                </patternFill>
              </fill>
            </x14:dxf>
          </x14:cfRule>
          <xm:sqref>AH29:AV29</xm:sqref>
        </x14:conditionalFormatting>
        <x14:conditionalFormatting xmlns:xm="http://schemas.microsoft.com/office/excel/2006/main">
          <x14:cfRule type="expression" priority="4690592" id="{5C40EA66-2801-4C91-B885-BF6A1ECFC35C}">
            <xm:f>$AW$4='Data entry'!$R14</xm:f>
            <x14:dxf>
              <fill>
                <patternFill>
                  <bgColor rgb="FFFF0000"/>
                </patternFill>
              </fill>
            </x14:dxf>
          </x14:cfRule>
          <xm:sqref>AU30:BG30</xm:sqref>
        </x14:conditionalFormatting>
        <x14:conditionalFormatting xmlns:xm="http://schemas.microsoft.com/office/excel/2006/main">
          <x14:cfRule type="expression" priority="4690593" id="{51BCD5CE-DF86-4C2F-8A81-DDA1EFD6C8F7}">
            <xm:f>$AW$4='Data entry'!$R14</xm:f>
            <x14:dxf>
              <fill>
                <patternFill>
                  <bgColor rgb="FFFFFF00"/>
                </patternFill>
              </fill>
            </x14:dxf>
          </x14:cfRule>
          <xm:sqref>AI29:AW29</xm:sqref>
        </x14:conditionalFormatting>
        <x14:conditionalFormatting xmlns:xm="http://schemas.microsoft.com/office/excel/2006/main">
          <x14:cfRule type="expression" priority="4690594" id="{DC2ED5A0-8917-4877-8CD3-9DF9BE5993C9}">
            <xm:f>$AX$4='Data entry'!$R14</xm:f>
            <x14:dxf>
              <fill>
                <patternFill>
                  <bgColor rgb="FFFF0000"/>
                </patternFill>
              </fill>
            </x14:dxf>
          </x14:cfRule>
          <xm:sqref>AV30:BH30</xm:sqref>
        </x14:conditionalFormatting>
        <x14:conditionalFormatting xmlns:xm="http://schemas.microsoft.com/office/excel/2006/main">
          <x14:cfRule type="expression" priority="4690595" id="{59B31869-20F9-45BD-BC80-0A6C8945CE2C}">
            <xm:f>$AX$4='Data entry'!$R14</xm:f>
            <x14:dxf>
              <fill>
                <patternFill>
                  <bgColor rgb="FFFFFF00"/>
                </patternFill>
              </fill>
            </x14:dxf>
          </x14:cfRule>
          <xm:sqref>AJ29:AX29</xm:sqref>
        </x14:conditionalFormatting>
        <x14:conditionalFormatting xmlns:xm="http://schemas.microsoft.com/office/excel/2006/main">
          <x14:cfRule type="expression" priority="4690596" id="{D4208FA0-4262-4037-934C-6D0742B2AD8E}">
            <xm:f>$AY$4='Data entry'!$R14</xm:f>
            <x14:dxf>
              <fill>
                <patternFill>
                  <bgColor rgb="FFFF0000"/>
                </patternFill>
              </fill>
            </x14:dxf>
          </x14:cfRule>
          <xm:sqref>AW30:BI30</xm:sqref>
        </x14:conditionalFormatting>
        <x14:conditionalFormatting xmlns:xm="http://schemas.microsoft.com/office/excel/2006/main">
          <x14:cfRule type="expression" priority="4690597" id="{04D6E423-18C7-42B2-A67D-F49D8E62B571}">
            <xm:f>$AY$4='Data entry'!$R14</xm:f>
            <x14:dxf>
              <fill>
                <patternFill>
                  <bgColor rgb="FFFFFF00"/>
                </patternFill>
              </fill>
            </x14:dxf>
          </x14:cfRule>
          <xm:sqref>AK29:AY29</xm:sqref>
        </x14:conditionalFormatting>
        <x14:conditionalFormatting xmlns:xm="http://schemas.microsoft.com/office/excel/2006/main">
          <x14:cfRule type="expression" priority="4690598" id="{A931C203-6E4B-4EBD-A2F4-1876881F48D4}">
            <xm:f>$AZ$4='Data entry'!$R14</xm:f>
            <x14:dxf>
              <fill>
                <patternFill>
                  <bgColor rgb="FFFF0000"/>
                </patternFill>
              </fill>
            </x14:dxf>
          </x14:cfRule>
          <xm:sqref>AX30:BJ30</xm:sqref>
        </x14:conditionalFormatting>
        <x14:conditionalFormatting xmlns:xm="http://schemas.microsoft.com/office/excel/2006/main">
          <x14:cfRule type="expression" priority="4690599" id="{092D9100-E652-40FE-8CAA-720DC0681250}">
            <xm:f>$AZ$4='Data entry'!$R14</xm:f>
            <x14:dxf>
              <fill>
                <patternFill>
                  <bgColor rgb="FFFFFF00"/>
                </patternFill>
              </fill>
            </x14:dxf>
          </x14:cfRule>
          <xm:sqref>AL29:AZ29</xm:sqref>
        </x14:conditionalFormatting>
        <x14:conditionalFormatting xmlns:xm="http://schemas.microsoft.com/office/excel/2006/main">
          <x14:cfRule type="expression" priority="4690600" id="{A3C7E6BE-A225-483C-A983-A915DB662C52}">
            <xm:f>$BA$4='Data entry'!$R14</xm:f>
            <x14:dxf>
              <fill>
                <patternFill>
                  <bgColor rgb="FFFF0000"/>
                </patternFill>
              </fill>
            </x14:dxf>
          </x14:cfRule>
          <xm:sqref>AY30:BK30</xm:sqref>
        </x14:conditionalFormatting>
        <x14:conditionalFormatting xmlns:xm="http://schemas.microsoft.com/office/excel/2006/main">
          <x14:cfRule type="expression" priority="4690601" id="{F5CF569A-8AFA-4CFF-8BD3-F04D8927A99F}">
            <xm:f>$BA$4='Data entry'!$R14</xm:f>
            <x14:dxf>
              <fill>
                <patternFill>
                  <bgColor rgb="FFFFFF00"/>
                </patternFill>
              </fill>
            </x14:dxf>
          </x14:cfRule>
          <xm:sqref>AM29:BA29</xm:sqref>
        </x14:conditionalFormatting>
        <x14:conditionalFormatting xmlns:xm="http://schemas.microsoft.com/office/excel/2006/main">
          <x14:cfRule type="expression" priority="4690602" id="{E4DAC94A-7983-4BFB-A87B-45B58561841A}">
            <xm:f>$BB$4='Data entry'!$R14</xm:f>
            <x14:dxf>
              <fill>
                <patternFill>
                  <bgColor rgb="FFFF0000"/>
                </patternFill>
              </fill>
            </x14:dxf>
          </x14:cfRule>
          <xm:sqref>AZ30:BL30</xm:sqref>
        </x14:conditionalFormatting>
        <x14:conditionalFormatting xmlns:xm="http://schemas.microsoft.com/office/excel/2006/main">
          <x14:cfRule type="expression" priority="4690603" id="{E63849C5-F39B-4B0E-8F8A-B532EDF2CBAE}">
            <xm:f>$BB$4='Data entry'!$R14</xm:f>
            <x14:dxf>
              <fill>
                <patternFill>
                  <bgColor rgb="FFFFFF00"/>
                </patternFill>
              </fill>
            </x14:dxf>
          </x14:cfRule>
          <xm:sqref>AN29:BB29</xm:sqref>
        </x14:conditionalFormatting>
        <x14:conditionalFormatting xmlns:xm="http://schemas.microsoft.com/office/excel/2006/main">
          <x14:cfRule type="expression" priority="4690604" id="{4FDC32D3-C1F5-455D-9AA4-A03359B72526}">
            <xm:f>$BC$4='Data entry'!$R14</xm:f>
            <x14:dxf>
              <fill>
                <patternFill>
                  <bgColor rgb="FFFF0000"/>
                </patternFill>
              </fill>
            </x14:dxf>
          </x14:cfRule>
          <xm:sqref>BA30:BM30</xm:sqref>
        </x14:conditionalFormatting>
        <x14:conditionalFormatting xmlns:xm="http://schemas.microsoft.com/office/excel/2006/main">
          <x14:cfRule type="expression" priority="4690605" id="{5F0D0C60-B233-4C56-B05D-98C99990877F}">
            <xm:f>$BC$4='Data entry'!$R14</xm:f>
            <x14:dxf>
              <fill>
                <patternFill>
                  <bgColor rgb="FFFFFF00"/>
                </patternFill>
              </fill>
            </x14:dxf>
          </x14:cfRule>
          <xm:sqref>AO29:BC29</xm:sqref>
        </x14:conditionalFormatting>
        <x14:conditionalFormatting xmlns:xm="http://schemas.microsoft.com/office/excel/2006/main">
          <x14:cfRule type="expression" priority="4690606" id="{9EBCB60F-8135-43B6-A0F3-548D4092CC98}">
            <xm:f>$BD$4='Data entry'!$R14</xm:f>
            <x14:dxf>
              <fill>
                <patternFill>
                  <bgColor rgb="FFFF0000"/>
                </patternFill>
              </fill>
            </x14:dxf>
          </x14:cfRule>
          <xm:sqref>BB30:BN30</xm:sqref>
        </x14:conditionalFormatting>
        <x14:conditionalFormatting xmlns:xm="http://schemas.microsoft.com/office/excel/2006/main">
          <x14:cfRule type="expression" priority="4690607" id="{961AF346-4A73-41ED-9A8D-27D431B09C05}">
            <xm:f>$BD$4='Data entry'!$R14</xm:f>
            <x14:dxf>
              <fill>
                <patternFill>
                  <bgColor rgb="FFFFFF00"/>
                </patternFill>
              </fill>
            </x14:dxf>
          </x14:cfRule>
          <xm:sqref>AP29:BD29</xm:sqref>
        </x14:conditionalFormatting>
        <x14:conditionalFormatting xmlns:xm="http://schemas.microsoft.com/office/excel/2006/main">
          <x14:cfRule type="expression" priority="4690608" id="{5A887026-27CD-4F8C-8BA6-1E92704C1CA6}">
            <xm:f>$BE$4='Data entry'!$R14</xm:f>
            <x14:dxf>
              <fill>
                <patternFill>
                  <bgColor rgb="FFFF0000"/>
                </patternFill>
              </fill>
            </x14:dxf>
          </x14:cfRule>
          <xm:sqref>BC30:BO30</xm:sqref>
        </x14:conditionalFormatting>
        <x14:conditionalFormatting xmlns:xm="http://schemas.microsoft.com/office/excel/2006/main">
          <x14:cfRule type="expression" priority="4690609" id="{7F46217B-A1E9-4515-B31E-E756FCD7C6D9}">
            <xm:f>$BE$4='Data entry'!$R14</xm:f>
            <x14:dxf>
              <fill>
                <patternFill>
                  <bgColor rgb="FFFFFF00"/>
                </patternFill>
              </fill>
            </x14:dxf>
          </x14:cfRule>
          <xm:sqref>AP29:BE29</xm:sqref>
        </x14:conditionalFormatting>
        <x14:conditionalFormatting xmlns:xm="http://schemas.microsoft.com/office/excel/2006/main">
          <x14:cfRule type="expression" priority="4690610" id="{F4D9285C-8CA0-4EF1-943E-6A462D47CC77}">
            <xm:f>$BF$4='Data entry'!$R14</xm:f>
            <x14:dxf>
              <fill>
                <patternFill>
                  <bgColor rgb="FFFF0000"/>
                </patternFill>
              </fill>
            </x14:dxf>
          </x14:cfRule>
          <xm:sqref>BD30:BP30</xm:sqref>
        </x14:conditionalFormatting>
        <x14:conditionalFormatting xmlns:xm="http://schemas.microsoft.com/office/excel/2006/main">
          <x14:cfRule type="expression" priority="4690611" id="{B9E4407D-651D-4DC0-9D61-3271D62A65E9}">
            <xm:f>$BF$4='Data entry'!$R14</xm:f>
            <x14:dxf>
              <fill>
                <patternFill>
                  <bgColor rgb="FFFFFF00"/>
                </patternFill>
              </fill>
            </x14:dxf>
          </x14:cfRule>
          <xm:sqref>AR29:BF29</xm:sqref>
        </x14:conditionalFormatting>
        <x14:conditionalFormatting xmlns:xm="http://schemas.microsoft.com/office/excel/2006/main">
          <x14:cfRule type="expression" priority="4690612" id="{4CDC062F-DDFF-4556-B941-08F919727F69}">
            <xm:f>$BG$4='Data entry'!$R14</xm:f>
            <x14:dxf>
              <fill>
                <patternFill>
                  <bgColor rgb="FFFF0000"/>
                </patternFill>
              </fill>
            </x14:dxf>
          </x14:cfRule>
          <xm:sqref>BE30:BQ30</xm:sqref>
        </x14:conditionalFormatting>
        <x14:conditionalFormatting xmlns:xm="http://schemas.microsoft.com/office/excel/2006/main">
          <x14:cfRule type="expression" priority="4690613" id="{789184FA-9055-433B-8A1B-92C7ED59E81F}">
            <xm:f>$BG$4='Data entry'!$R14</xm:f>
            <x14:dxf>
              <fill>
                <patternFill>
                  <bgColor rgb="FFFFFF00"/>
                </patternFill>
              </fill>
            </x14:dxf>
          </x14:cfRule>
          <xm:sqref>AS29:BG29</xm:sqref>
        </x14:conditionalFormatting>
        <x14:conditionalFormatting xmlns:xm="http://schemas.microsoft.com/office/excel/2006/main">
          <x14:cfRule type="expression" priority="4690614" id="{58651E5C-09C9-46C1-B95C-E8A578A49E15}">
            <xm:f>$BH$4='Data entry'!$R14</xm:f>
            <x14:dxf>
              <fill>
                <patternFill>
                  <bgColor rgb="FFFFFF00"/>
                </patternFill>
              </fill>
            </x14:dxf>
          </x14:cfRule>
          <xm:sqref>AT29:BH29</xm:sqref>
        </x14:conditionalFormatting>
        <x14:conditionalFormatting xmlns:xm="http://schemas.microsoft.com/office/excel/2006/main">
          <x14:cfRule type="expression" priority="4690615" id="{97B30B86-8311-4DC0-A533-8C0D53F37839}">
            <xm:f>$BH$4='Data entry'!$R14</xm:f>
            <x14:dxf>
              <fill>
                <patternFill>
                  <bgColor rgb="FFFF0000"/>
                </patternFill>
              </fill>
            </x14:dxf>
          </x14:cfRule>
          <xm:sqref>BF30:BR30</xm:sqref>
        </x14:conditionalFormatting>
        <x14:conditionalFormatting xmlns:xm="http://schemas.microsoft.com/office/excel/2006/main">
          <x14:cfRule type="expression" priority="4690616" id="{78344C0C-5AEA-40B1-A20C-6D77DF58E1F5}">
            <xm:f>$BI$4='Data entry'!$R14</xm:f>
            <x14:dxf>
              <fill>
                <patternFill>
                  <bgColor rgb="FFFFFF00"/>
                </patternFill>
              </fill>
            </x14:dxf>
          </x14:cfRule>
          <xm:sqref>AU29:BI29</xm:sqref>
        </x14:conditionalFormatting>
        <x14:conditionalFormatting xmlns:xm="http://schemas.microsoft.com/office/excel/2006/main">
          <x14:cfRule type="expression" priority="4690617" id="{A9CE044F-482E-4F25-B28F-89ACC58502B1}">
            <xm:f>$BI$4='Data entry'!$R14</xm:f>
            <x14:dxf>
              <fill>
                <patternFill>
                  <bgColor rgb="FFFF0000"/>
                </patternFill>
              </fill>
            </x14:dxf>
          </x14:cfRule>
          <xm:sqref>BG30:BS30</xm:sqref>
        </x14:conditionalFormatting>
        <x14:conditionalFormatting xmlns:xm="http://schemas.microsoft.com/office/excel/2006/main">
          <x14:cfRule type="expression" priority="4690618" id="{F63BE0EB-3C71-4456-BEF0-11180AB7A8BB}">
            <xm:f>$BJ$4='Data entry'!$R14</xm:f>
            <x14:dxf>
              <fill>
                <patternFill>
                  <bgColor rgb="FFFFFF00"/>
                </patternFill>
              </fill>
            </x14:dxf>
          </x14:cfRule>
          <xm:sqref>AV29:BJ29</xm:sqref>
        </x14:conditionalFormatting>
        <x14:conditionalFormatting xmlns:xm="http://schemas.microsoft.com/office/excel/2006/main">
          <x14:cfRule type="expression" priority="4690619" id="{478A5DCB-1DAA-4497-A6CC-B4F01FB96D10}">
            <xm:f>$BJ$4='Data entry'!$R14</xm:f>
            <x14:dxf>
              <fill>
                <patternFill>
                  <bgColor rgb="FFFF0000"/>
                </patternFill>
              </fill>
            </x14:dxf>
          </x14:cfRule>
          <xm:sqref>BH30:BT30</xm:sqref>
        </x14:conditionalFormatting>
        <x14:conditionalFormatting xmlns:xm="http://schemas.microsoft.com/office/excel/2006/main">
          <x14:cfRule type="expression" priority="4690620" id="{CDE4AD5B-65A6-4FA4-9EC0-8D05F22312A9}">
            <xm:f>$BK$4='Data entry'!$R14</xm:f>
            <x14:dxf>
              <fill>
                <patternFill>
                  <bgColor rgb="FFFF0000"/>
                </patternFill>
              </fill>
            </x14:dxf>
          </x14:cfRule>
          <xm:sqref>BI30:BU30</xm:sqref>
        </x14:conditionalFormatting>
        <x14:conditionalFormatting xmlns:xm="http://schemas.microsoft.com/office/excel/2006/main">
          <x14:cfRule type="expression" priority="4690621" id="{AB32E790-6CD8-4D11-9A69-57D785FE4BBC}">
            <xm:f>$BK$4='Data entry'!$R14</xm:f>
            <x14:dxf>
              <fill>
                <patternFill>
                  <bgColor rgb="FFFFFF00"/>
                </patternFill>
              </fill>
            </x14:dxf>
          </x14:cfRule>
          <xm:sqref>AW29:BK29</xm:sqref>
        </x14:conditionalFormatting>
        <x14:conditionalFormatting xmlns:xm="http://schemas.microsoft.com/office/excel/2006/main">
          <x14:cfRule type="expression" priority="4690622" id="{99810EB9-805C-43D8-852A-EEECE7874CDB}">
            <xm:f>$BL$4='Data entry'!$R14</xm:f>
            <x14:dxf>
              <fill>
                <patternFill>
                  <bgColor rgb="FFFF0000"/>
                </patternFill>
              </fill>
            </x14:dxf>
          </x14:cfRule>
          <xm:sqref>BJ30:BV30</xm:sqref>
        </x14:conditionalFormatting>
        <x14:conditionalFormatting xmlns:xm="http://schemas.microsoft.com/office/excel/2006/main">
          <x14:cfRule type="expression" priority="4690623" id="{BF5F5475-4E46-479C-97A6-D5175F5D1803}">
            <xm:f>$BL$4='Data entry'!$R14</xm:f>
            <x14:dxf>
              <fill>
                <patternFill>
                  <bgColor rgb="FFFFFF00"/>
                </patternFill>
              </fill>
            </x14:dxf>
          </x14:cfRule>
          <xm:sqref>AX29:BL29</xm:sqref>
        </x14:conditionalFormatting>
        <x14:conditionalFormatting xmlns:xm="http://schemas.microsoft.com/office/excel/2006/main">
          <x14:cfRule type="expression" priority="4690624" id="{B86FDF2F-16C9-46B1-847E-7EA1A8A34B9D}">
            <xm:f>$BM$4='Data entry'!$R14</xm:f>
            <x14:dxf>
              <fill>
                <patternFill>
                  <bgColor rgb="FFFF0000"/>
                </patternFill>
              </fill>
            </x14:dxf>
          </x14:cfRule>
          <xm:sqref>BK30:BW30</xm:sqref>
        </x14:conditionalFormatting>
        <x14:conditionalFormatting xmlns:xm="http://schemas.microsoft.com/office/excel/2006/main">
          <x14:cfRule type="expression" priority="4690625" id="{72FD189F-4CED-400D-9FEF-21A328970A4D}">
            <xm:f>$BM$4='Data entry'!$R14</xm:f>
            <x14:dxf>
              <fill>
                <patternFill>
                  <bgColor rgb="FFFFFF00"/>
                </patternFill>
              </fill>
            </x14:dxf>
          </x14:cfRule>
          <xm:sqref>AY29:BM29</xm:sqref>
        </x14:conditionalFormatting>
        <x14:conditionalFormatting xmlns:xm="http://schemas.microsoft.com/office/excel/2006/main">
          <x14:cfRule type="expression" priority="4690626" id="{BBBBF859-D5A7-4F55-BFBF-8A77E3357590}">
            <xm:f>$BN$4='Data entry'!$R14</xm:f>
            <x14:dxf>
              <fill>
                <patternFill>
                  <bgColor rgb="FFFF0000"/>
                </patternFill>
              </fill>
            </x14:dxf>
          </x14:cfRule>
          <xm:sqref>BL30:BX30</xm:sqref>
        </x14:conditionalFormatting>
        <x14:conditionalFormatting xmlns:xm="http://schemas.microsoft.com/office/excel/2006/main">
          <x14:cfRule type="expression" priority="4690627" id="{50CB1D75-0FD5-4D24-92B1-E8A41DC6575C}">
            <xm:f>$BN$4='Data entry'!$R14</xm:f>
            <x14:dxf>
              <fill>
                <patternFill>
                  <bgColor rgb="FFFFFF00"/>
                </patternFill>
              </fill>
            </x14:dxf>
          </x14:cfRule>
          <xm:sqref>AZ29:BN29</xm:sqref>
        </x14:conditionalFormatting>
        <x14:conditionalFormatting xmlns:xm="http://schemas.microsoft.com/office/excel/2006/main">
          <x14:cfRule type="expression" priority="4690628" id="{9EF3226D-E8FC-496B-A6FF-71776AEA54D1}">
            <xm:f>$BO$4='Data entry'!$R14</xm:f>
            <x14:dxf>
              <fill>
                <patternFill>
                  <bgColor rgb="FFFF0000"/>
                </patternFill>
              </fill>
            </x14:dxf>
          </x14:cfRule>
          <xm:sqref>BM30:BY30</xm:sqref>
        </x14:conditionalFormatting>
        <x14:conditionalFormatting xmlns:xm="http://schemas.microsoft.com/office/excel/2006/main">
          <x14:cfRule type="expression" priority="4690629" id="{3B86C801-ECFE-4D05-8AA5-1581116BAFBC}">
            <xm:f>$BO$4='Data entry'!$R14</xm:f>
            <x14:dxf>
              <fill>
                <patternFill>
                  <bgColor rgb="FFFFFF00"/>
                </patternFill>
              </fill>
            </x14:dxf>
          </x14:cfRule>
          <xm:sqref>BA29:BO29</xm:sqref>
        </x14:conditionalFormatting>
        <x14:conditionalFormatting xmlns:xm="http://schemas.microsoft.com/office/excel/2006/main">
          <x14:cfRule type="expression" priority="4690630" id="{058A23EC-3371-4A02-9F20-1ECA603AC6BC}">
            <xm:f>$BP$4='Data entry'!$R14</xm:f>
            <x14:dxf>
              <fill>
                <patternFill>
                  <bgColor rgb="FFFF0000"/>
                </patternFill>
              </fill>
            </x14:dxf>
          </x14:cfRule>
          <xm:sqref>BN30:BZ30</xm:sqref>
        </x14:conditionalFormatting>
        <x14:conditionalFormatting xmlns:xm="http://schemas.microsoft.com/office/excel/2006/main">
          <x14:cfRule type="expression" priority="4690631" id="{3E711E31-3992-4555-AB22-87133D60CD15}">
            <xm:f>$BP$4='Data entry'!$R14</xm:f>
            <x14:dxf>
              <fill>
                <patternFill>
                  <bgColor rgb="FFFFFF00"/>
                </patternFill>
              </fill>
            </x14:dxf>
          </x14:cfRule>
          <xm:sqref>BB29:BP29</xm:sqref>
        </x14:conditionalFormatting>
        <x14:conditionalFormatting xmlns:xm="http://schemas.microsoft.com/office/excel/2006/main">
          <x14:cfRule type="expression" priority="4690632" id="{23E9F8B9-37D5-4730-9453-6F23E8ECBBE3}">
            <xm:f>$BQ$4='Data entry'!$R14</xm:f>
            <x14:dxf>
              <fill>
                <patternFill>
                  <bgColor rgb="FFFFFF00"/>
                </patternFill>
              </fill>
            </x14:dxf>
          </x14:cfRule>
          <xm:sqref>BC29:BQ29</xm:sqref>
        </x14:conditionalFormatting>
        <x14:conditionalFormatting xmlns:xm="http://schemas.microsoft.com/office/excel/2006/main">
          <x14:cfRule type="expression" priority="4690633" id="{BCFD92F6-AAD3-44FD-BC61-A292A81B883E}">
            <xm:f>$BQ$4='Data entry'!$R14</xm:f>
            <x14:dxf>
              <fill>
                <patternFill>
                  <bgColor rgb="FFFF0000"/>
                </patternFill>
              </fill>
            </x14:dxf>
          </x14:cfRule>
          <xm:sqref>BO30:CA30</xm:sqref>
        </x14:conditionalFormatting>
        <x14:conditionalFormatting xmlns:xm="http://schemas.microsoft.com/office/excel/2006/main">
          <x14:cfRule type="expression" priority="4690634" id="{357D60E5-F356-477E-8020-A18F42C02832}">
            <xm:f>$BR$4='Data entry'!$R14</xm:f>
            <x14:dxf>
              <fill>
                <patternFill>
                  <bgColor rgb="FFFFFF00"/>
                </patternFill>
              </fill>
            </x14:dxf>
          </x14:cfRule>
          <xm:sqref>BD29:BR29</xm:sqref>
        </x14:conditionalFormatting>
        <x14:conditionalFormatting xmlns:xm="http://schemas.microsoft.com/office/excel/2006/main">
          <x14:cfRule type="expression" priority="4690635" id="{DA2B6511-43B3-432D-B6AA-1DB1188B90A6}">
            <xm:f>$BR$4='Data entry'!$R14</xm:f>
            <x14:dxf>
              <fill>
                <patternFill>
                  <bgColor rgb="FFFF0000"/>
                </patternFill>
              </fill>
            </x14:dxf>
          </x14:cfRule>
          <xm:sqref>BP30:CB30</xm:sqref>
        </x14:conditionalFormatting>
        <x14:conditionalFormatting xmlns:xm="http://schemas.microsoft.com/office/excel/2006/main">
          <x14:cfRule type="expression" priority="4690636" id="{0D5F64E4-4136-4BFA-B833-CC8578525D9C}">
            <xm:f>$BS$4='Data entry'!$R14</xm:f>
            <x14:dxf>
              <fill>
                <patternFill>
                  <bgColor rgb="FFFFFF00"/>
                </patternFill>
              </fill>
            </x14:dxf>
          </x14:cfRule>
          <xm:sqref>BE29:BS29</xm:sqref>
        </x14:conditionalFormatting>
        <x14:conditionalFormatting xmlns:xm="http://schemas.microsoft.com/office/excel/2006/main">
          <x14:cfRule type="expression" priority="4690637" id="{AC94D468-F078-4AE2-8771-102996E07B09}">
            <xm:f>$BS$4='Data entry'!$R14</xm:f>
            <x14:dxf>
              <fill>
                <patternFill>
                  <bgColor rgb="FFFF0000"/>
                </patternFill>
              </fill>
            </x14:dxf>
          </x14:cfRule>
          <xm:sqref>BQ30:CC30</xm:sqref>
        </x14:conditionalFormatting>
        <x14:conditionalFormatting xmlns:xm="http://schemas.microsoft.com/office/excel/2006/main">
          <x14:cfRule type="expression" priority="4690638" id="{10E78F76-181E-4F19-9F89-7DD36D3EFE30}">
            <xm:f>$BT$4='Data entry'!$R14</xm:f>
            <x14:dxf>
              <fill>
                <patternFill>
                  <bgColor rgb="FFFFFF00"/>
                </patternFill>
              </fill>
            </x14:dxf>
          </x14:cfRule>
          <xm:sqref>BF29:BT29</xm:sqref>
        </x14:conditionalFormatting>
        <x14:conditionalFormatting xmlns:xm="http://schemas.microsoft.com/office/excel/2006/main">
          <x14:cfRule type="expression" priority="4690639" id="{6A5FADC6-9512-4EFB-90A5-7B5244D10D1F}">
            <xm:f>$BT$4='Data entry'!$R14</xm:f>
            <x14:dxf>
              <fill>
                <patternFill>
                  <bgColor rgb="FFFF0000"/>
                </patternFill>
              </fill>
            </x14:dxf>
          </x14:cfRule>
          <xm:sqref>BR30:CC30</xm:sqref>
        </x14:conditionalFormatting>
        <x14:conditionalFormatting xmlns:xm="http://schemas.microsoft.com/office/excel/2006/main">
          <x14:cfRule type="expression" priority="4690640" id="{A51139D1-8841-4B96-B8CB-DFE3808765CF}">
            <xm:f>$BU$4='Data entry'!$R14</xm:f>
            <x14:dxf>
              <fill>
                <patternFill>
                  <bgColor rgb="FFFFFF00"/>
                </patternFill>
              </fill>
            </x14:dxf>
          </x14:cfRule>
          <xm:sqref>BG29:BU29</xm:sqref>
        </x14:conditionalFormatting>
        <x14:conditionalFormatting xmlns:xm="http://schemas.microsoft.com/office/excel/2006/main">
          <x14:cfRule type="expression" priority="4690641" id="{55CA7258-760F-4BFF-ACB5-A70FEB3E7981}">
            <xm:f>$BU$4='Data entry'!$R14</xm:f>
            <x14:dxf>
              <fill>
                <patternFill>
                  <bgColor rgb="FFFF0000"/>
                </patternFill>
              </fill>
            </x14:dxf>
          </x14:cfRule>
          <xm:sqref>BS30:CC30</xm:sqref>
        </x14:conditionalFormatting>
        <x14:conditionalFormatting xmlns:xm="http://schemas.microsoft.com/office/excel/2006/main">
          <x14:cfRule type="expression" priority="4690642" id="{A922B218-64DB-4CBB-9AB8-FE0EBB44E09E}">
            <xm:f>$BV$4='Data entry'!$R14</xm:f>
            <x14:dxf>
              <fill>
                <patternFill>
                  <bgColor rgb="FFFFFF00"/>
                </patternFill>
              </fill>
            </x14:dxf>
          </x14:cfRule>
          <xm:sqref>BH29:BV29</xm:sqref>
        </x14:conditionalFormatting>
        <x14:conditionalFormatting xmlns:xm="http://schemas.microsoft.com/office/excel/2006/main">
          <x14:cfRule type="expression" priority="4690643" id="{C98E908A-CD31-4778-B41C-7AFB9DBE639A}">
            <xm:f>$BV$4='Data entry'!$R14</xm:f>
            <x14:dxf>
              <fill>
                <patternFill>
                  <bgColor rgb="FFFF0000"/>
                </patternFill>
              </fill>
            </x14:dxf>
          </x14:cfRule>
          <xm:sqref>BT30:CC30</xm:sqref>
        </x14:conditionalFormatting>
        <x14:conditionalFormatting xmlns:xm="http://schemas.microsoft.com/office/excel/2006/main">
          <x14:cfRule type="expression" priority="4690644" id="{465CCCA3-B4DB-4B61-8AC7-8A5E4CEC9E3F}">
            <xm:f>$BW$4='Data entry'!$R14</xm:f>
            <x14:dxf>
              <fill>
                <patternFill>
                  <bgColor rgb="FFFFFF00"/>
                </patternFill>
              </fill>
            </x14:dxf>
          </x14:cfRule>
          <xm:sqref>BI29:BW29</xm:sqref>
        </x14:conditionalFormatting>
        <x14:conditionalFormatting xmlns:xm="http://schemas.microsoft.com/office/excel/2006/main">
          <x14:cfRule type="expression" priority="4690645" id="{37566F97-6D06-400B-A709-FE657B07687F}">
            <xm:f>$BW$4='Data entry'!$R14</xm:f>
            <x14:dxf>
              <fill>
                <patternFill>
                  <bgColor rgb="FFFF0000"/>
                </patternFill>
              </fill>
            </x14:dxf>
          </x14:cfRule>
          <xm:sqref>BU30:CC30</xm:sqref>
        </x14:conditionalFormatting>
        <x14:conditionalFormatting xmlns:xm="http://schemas.microsoft.com/office/excel/2006/main">
          <x14:cfRule type="expression" priority="4690646" id="{D8FBA3AC-5CF0-4E45-97CA-1D4DEE729ADA}">
            <xm:f>$BX$4='Data entry'!$R14</xm:f>
            <x14:dxf>
              <fill>
                <patternFill>
                  <bgColor rgb="FFFFFF00"/>
                </patternFill>
              </fill>
            </x14:dxf>
          </x14:cfRule>
          <xm:sqref>BJ29:BX29</xm:sqref>
        </x14:conditionalFormatting>
        <x14:conditionalFormatting xmlns:xm="http://schemas.microsoft.com/office/excel/2006/main">
          <x14:cfRule type="expression" priority="4690647" id="{E077C84B-A94F-431D-B232-4AFCC7C64F54}">
            <xm:f>$BX$4='Data entry'!$R14</xm:f>
            <x14:dxf>
              <fill>
                <patternFill>
                  <bgColor rgb="FFFF0000"/>
                </patternFill>
              </fill>
            </x14:dxf>
          </x14:cfRule>
          <xm:sqref>BV30:CC30</xm:sqref>
        </x14:conditionalFormatting>
        <x14:conditionalFormatting xmlns:xm="http://schemas.microsoft.com/office/excel/2006/main">
          <x14:cfRule type="expression" priority="4690648" id="{63783BA8-0C97-4A44-86FD-7A2BCF1B9957}">
            <xm:f>$BY$4='Data entry'!$R14</xm:f>
            <x14:dxf>
              <fill>
                <patternFill>
                  <bgColor rgb="FFFFFF00"/>
                </patternFill>
              </fill>
            </x14:dxf>
          </x14:cfRule>
          <xm:sqref>BK29:BY29</xm:sqref>
        </x14:conditionalFormatting>
        <x14:conditionalFormatting xmlns:xm="http://schemas.microsoft.com/office/excel/2006/main">
          <x14:cfRule type="expression" priority="4690649" id="{BB8DB8B4-B71B-46D2-AEE7-346F16103F74}">
            <xm:f>$BY$4='Data entry'!$R14</xm:f>
            <x14:dxf>
              <fill>
                <patternFill>
                  <bgColor rgb="FFFF0000"/>
                </patternFill>
              </fill>
            </x14:dxf>
          </x14:cfRule>
          <xm:sqref>BW30:CC30</xm:sqref>
        </x14:conditionalFormatting>
        <x14:conditionalFormatting xmlns:xm="http://schemas.microsoft.com/office/excel/2006/main">
          <x14:cfRule type="expression" priority="4690650" id="{1B638B98-2B06-4FEB-90C1-446A3E0A3979}">
            <xm:f>$BZ$4='Data entry'!$R14</xm:f>
            <x14:dxf>
              <fill>
                <patternFill>
                  <bgColor rgb="FFFFFF00"/>
                </patternFill>
              </fill>
            </x14:dxf>
          </x14:cfRule>
          <xm:sqref>BL29:BZ29</xm:sqref>
        </x14:conditionalFormatting>
        <x14:conditionalFormatting xmlns:xm="http://schemas.microsoft.com/office/excel/2006/main">
          <x14:cfRule type="expression" priority="4690651" id="{D3A0A2F8-D1B2-4DC5-B2A9-0EF53074E685}">
            <xm:f>$BZ$4='Data entry'!$R14</xm:f>
            <x14:dxf>
              <fill>
                <patternFill>
                  <bgColor rgb="FFFF0000"/>
                </patternFill>
              </fill>
            </x14:dxf>
          </x14:cfRule>
          <xm:sqref>BX30:CC30</xm:sqref>
        </x14:conditionalFormatting>
        <x14:conditionalFormatting xmlns:xm="http://schemas.microsoft.com/office/excel/2006/main">
          <x14:cfRule type="expression" priority="4690652" id="{83F6D018-7D3B-4D33-9998-11572F2F2FF5}">
            <xm:f>$CA$4='Data entry'!$R14</xm:f>
            <x14:dxf>
              <fill>
                <patternFill>
                  <bgColor rgb="FFFFFF00"/>
                </patternFill>
              </fill>
            </x14:dxf>
          </x14:cfRule>
          <xm:sqref>BM29:CA29</xm:sqref>
        </x14:conditionalFormatting>
        <x14:conditionalFormatting xmlns:xm="http://schemas.microsoft.com/office/excel/2006/main">
          <x14:cfRule type="expression" priority="4690653" id="{8E6D0B51-5626-4ED9-9072-C7A2C139704F}">
            <xm:f>$CA$4='Data entry'!$R14</xm:f>
            <x14:dxf>
              <fill>
                <patternFill>
                  <bgColor rgb="FFFF0000"/>
                </patternFill>
              </fill>
            </x14:dxf>
          </x14:cfRule>
          <xm:sqref>BY30:CC30</xm:sqref>
        </x14:conditionalFormatting>
        <x14:conditionalFormatting xmlns:xm="http://schemas.microsoft.com/office/excel/2006/main">
          <x14:cfRule type="expression" priority="4690654" id="{E1886EE4-3BDE-43A9-9F4B-79377FEC37FE}">
            <xm:f>$CB$4='Data entry'!$R14</xm:f>
            <x14:dxf>
              <fill>
                <patternFill>
                  <bgColor rgb="FFFFFF00"/>
                </patternFill>
              </fill>
            </x14:dxf>
          </x14:cfRule>
          <xm:sqref>BN29:CB29</xm:sqref>
        </x14:conditionalFormatting>
        <x14:conditionalFormatting xmlns:xm="http://schemas.microsoft.com/office/excel/2006/main">
          <x14:cfRule type="expression" priority="4690655" id="{ADEF572A-6C18-4602-BB86-01C96D36E07E}">
            <xm:f>$CB$4='Data entry'!$R14</xm:f>
            <x14:dxf>
              <fill>
                <patternFill>
                  <bgColor rgb="FFFF0000"/>
                </patternFill>
              </fill>
            </x14:dxf>
          </x14:cfRule>
          <xm:sqref>BZ30:CC30</xm:sqref>
        </x14:conditionalFormatting>
        <x14:conditionalFormatting xmlns:xm="http://schemas.microsoft.com/office/excel/2006/main">
          <x14:cfRule type="expression" priority="4690656" id="{7984E1C9-E073-4955-8543-62145CB6D008}">
            <xm:f>$CC$4='Data entry'!$R14</xm:f>
            <x14:dxf>
              <fill>
                <patternFill>
                  <bgColor rgb="FFFFFF00"/>
                </patternFill>
              </fill>
            </x14:dxf>
          </x14:cfRule>
          <xm:sqref>BO29:CC29</xm:sqref>
        </x14:conditionalFormatting>
        <x14:conditionalFormatting xmlns:xm="http://schemas.microsoft.com/office/excel/2006/main">
          <x14:cfRule type="expression" priority="4690657" id="{18A957B3-59FA-4698-BA92-2A208FF18E2F}">
            <xm:f>$CC$4='Data entry'!$R14</xm:f>
            <x14:dxf>
              <fill>
                <patternFill>
                  <bgColor rgb="FFFF0000"/>
                </patternFill>
              </fill>
            </x14:dxf>
          </x14:cfRule>
          <xm:sqref>CA30:CC30</xm:sqref>
        </x14:conditionalFormatting>
        <x14:conditionalFormatting xmlns:xm="http://schemas.microsoft.com/office/excel/2006/main">
          <x14:cfRule type="expression" priority="4690744" id="{5B0DB825-B7C2-40AC-B7EF-F267F054CFB9}">
            <xm:f>$U$4='Data entry'!$R15</xm:f>
            <x14:dxf>
              <fill>
                <patternFill>
                  <bgColor rgb="FFFF0000"/>
                </patternFill>
              </fill>
            </x14:dxf>
          </x14:cfRule>
          <xm:sqref>S33:AE33</xm:sqref>
        </x14:conditionalFormatting>
        <x14:conditionalFormatting xmlns:xm="http://schemas.microsoft.com/office/excel/2006/main">
          <x14:cfRule type="expression" priority="4690745" id="{18311200-E2BB-400F-B594-3B9A2C6068C2}">
            <xm:f>$V$4='Data entry'!$R15</xm:f>
            <x14:dxf>
              <fill>
                <patternFill>
                  <bgColor rgb="FFFF0000"/>
                </patternFill>
              </fill>
            </x14:dxf>
          </x14:cfRule>
          <xm:sqref>T33:AF33</xm:sqref>
        </x14:conditionalFormatting>
        <x14:conditionalFormatting xmlns:xm="http://schemas.microsoft.com/office/excel/2006/main">
          <x14:cfRule type="expression" priority="4690746" id="{D6DFB621-1A58-4C59-A987-ECAD0EB2D32B}">
            <xm:f>$V$4='Data entry'!$R15</xm:f>
            <x14:dxf>
              <fill>
                <patternFill>
                  <bgColor rgb="FFFFFF00"/>
                </patternFill>
              </fill>
            </x14:dxf>
          </x14:cfRule>
          <xm:sqref>H32:V32</xm:sqref>
        </x14:conditionalFormatting>
        <x14:conditionalFormatting xmlns:xm="http://schemas.microsoft.com/office/excel/2006/main">
          <x14:cfRule type="expression" priority="4690747" id="{5F87A680-DC5F-433D-A779-B7A534ACCDA9}">
            <xm:f>$W$4='Data entry'!$R15</xm:f>
            <x14:dxf>
              <fill>
                <patternFill>
                  <bgColor rgb="FFFF0000"/>
                </patternFill>
              </fill>
            </x14:dxf>
          </x14:cfRule>
          <xm:sqref>U33:AG33</xm:sqref>
        </x14:conditionalFormatting>
        <x14:conditionalFormatting xmlns:xm="http://schemas.microsoft.com/office/excel/2006/main">
          <x14:cfRule type="expression" priority="4690748" id="{964539FF-A92C-4F68-B268-B7157A32678C}">
            <xm:f>$W$4='Data entry'!$R15</xm:f>
            <x14:dxf>
              <fill>
                <patternFill>
                  <bgColor rgb="FFFFFF00"/>
                </patternFill>
              </fill>
            </x14:dxf>
          </x14:cfRule>
          <xm:sqref>I32:W32</xm:sqref>
        </x14:conditionalFormatting>
        <x14:conditionalFormatting xmlns:xm="http://schemas.microsoft.com/office/excel/2006/main">
          <x14:cfRule type="expression" priority="4690749" id="{46C1533A-F090-4A90-9309-3F59EC3FD3B0}">
            <xm:f>$X$4='Data entry'!$R15</xm:f>
            <x14:dxf>
              <fill>
                <patternFill>
                  <bgColor rgb="FFFF0000"/>
                </patternFill>
              </fill>
            </x14:dxf>
          </x14:cfRule>
          <xm:sqref>V33:AH33</xm:sqref>
        </x14:conditionalFormatting>
        <x14:conditionalFormatting xmlns:xm="http://schemas.microsoft.com/office/excel/2006/main">
          <x14:cfRule type="expression" priority="4690750" id="{7C70E81C-DDD4-4D75-933A-4F6A39893184}">
            <xm:f>$X$4='Data entry'!$R15</xm:f>
            <x14:dxf>
              <fill>
                <patternFill>
                  <bgColor rgb="FFFFFF00"/>
                </patternFill>
              </fill>
            </x14:dxf>
          </x14:cfRule>
          <xm:sqref>J32:X32</xm:sqref>
        </x14:conditionalFormatting>
        <x14:conditionalFormatting xmlns:xm="http://schemas.microsoft.com/office/excel/2006/main">
          <x14:cfRule type="expression" priority="4690751" id="{561AF073-0EF8-4B72-A119-40A639C4359D}">
            <xm:f>$Y$4='Data entry'!$R15</xm:f>
            <x14:dxf>
              <fill>
                <patternFill>
                  <bgColor rgb="FFFF0000"/>
                </patternFill>
              </fill>
            </x14:dxf>
          </x14:cfRule>
          <xm:sqref>W33:AI33</xm:sqref>
        </x14:conditionalFormatting>
        <x14:conditionalFormatting xmlns:xm="http://schemas.microsoft.com/office/excel/2006/main">
          <x14:cfRule type="expression" priority="4690752" id="{F242E808-8F07-4A89-9524-7D4C767CE357}">
            <xm:f>$Y$4='Data entry'!$R15</xm:f>
            <x14:dxf>
              <fill>
                <patternFill>
                  <bgColor rgb="FFFFFF00"/>
                </patternFill>
              </fill>
            </x14:dxf>
          </x14:cfRule>
          <xm:sqref>K32:Y32</xm:sqref>
        </x14:conditionalFormatting>
        <x14:conditionalFormatting xmlns:xm="http://schemas.microsoft.com/office/excel/2006/main">
          <x14:cfRule type="expression" priority="4690753" id="{DD601058-982B-4218-BD9D-64BB823C2633}">
            <xm:f>$Z$4='Data entry'!$R15</xm:f>
            <x14:dxf>
              <fill>
                <patternFill>
                  <bgColor rgb="FFFF0000"/>
                </patternFill>
              </fill>
            </x14:dxf>
          </x14:cfRule>
          <xm:sqref>X33:AJ33</xm:sqref>
        </x14:conditionalFormatting>
        <x14:conditionalFormatting xmlns:xm="http://schemas.microsoft.com/office/excel/2006/main">
          <x14:cfRule type="expression" priority="4690754" id="{C9DB141D-79F6-4093-92A3-7BF7A1622985}">
            <xm:f>$Z$4='Data entry'!$R15</xm:f>
            <x14:dxf>
              <fill>
                <patternFill>
                  <bgColor rgb="FFFFFF00"/>
                </patternFill>
              </fill>
            </x14:dxf>
          </x14:cfRule>
          <xm:sqref>L32:Z32</xm:sqref>
        </x14:conditionalFormatting>
        <x14:conditionalFormatting xmlns:xm="http://schemas.microsoft.com/office/excel/2006/main">
          <x14:cfRule type="expression" priority="4690755" id="{710EB8D3-F5C0-4E3C-8214-2D0C4E26F649}">
            <xm:f>$AA$4='Data entry'!$R15</xm:f>
            <x14:dxf>
              <fill>
                <patternFill>
                  <bgColor rgb="FFFF0000"/>
                </patternFill>
              </fill>
            </x14:dxf>
          </x14:cfRule>
          <xm:sqref>Y33:AK33</xm:sqref>
        </x14:conditionalFormatting>
        <x14:conditionalFormatting xmlns:xm="http://schemas.microsoft.com/office/excel/2006/main">
          <x14:cfRule type="expression" priority="4690756" id="{33825D69-C967-4D27-B395-5D44A3083802}">
            <xm:f>$AA$4='Data entry'!$R15</xm:f>
            <x14:dxf>
              <fill>
                <patternFill>
                  <bgColor rgb="FFFFFF00"/>
                </patternFill>
              </fill>
            </x14:dxf>
          </x14:cfRule>
          <xm:sqref>M32:AA32</xm:sqref>
        </x14:conditionalFormatting>
        <x14:conditionalFormatting xmlns:xm="http://schemas.microsoft.com/office/excel/2006/main">
          <x14:cfRule type="expression" priority="4690757" id="{9811A97D-351B-4D32-8754-AF433277E62B}">
            <xm:f>$AB$4='Data entry'!$R15</xm:f>
            <x14:dxf>
              <fill>
                <patternFill>
                  <bgColor rgb="FFFF0000"/>
                </patternFill>
              </fill>
            </x14:dxf>
          </x14:cfRule>
          <xm:sqref>Z33:AL33</xm:sqref>
        </x14:conditionalFormatting>
        <x14:conditionalFormatting xmlns:xm="http://schemas.microsoft.com/office/excel/2006/main">
          <x14:cfRule type="expression" priority="4690758" id="{6DD3E556-C72E-438B-92DA-3096ED1E4178}">
            <xm:f>$AB$4='Data entry'!$R15</xm:f>
            <x14:dxf>
              <fill>
                <patternFill>
                  <bgColor rgb="FFFFFF00"/>
                </patternFill>
              </fill>
            </x14:dxf>
          </x14:cfRule>
          <xm:sqref>N32:AB32</xm:sqref>
        </x14:conditionalFormatting>
        <x14:conditionalFormatting xmlns:xm="http://schemas.microsoft.com/office/excel/2006/main">
          <x14:cfRule type="expression" priority="4690759" id="{C0DF7A1B-D6BC-4371-BD3A-F0708147FA1C}">
            <xm:f>$AC$4='Data entry'!$R15</xm:f>
            <x14:dxf>
              <fill>
                <patternFill>
                  <bgColor rgb="FFFF0000"/>
                </patternFill>
              </fill>
            </x14:dxf>
          </x14:cfRule>
          <xm:sqref>AA33:AM33</xm:sqref>
        </x14:conditionalFormatting>
        <x14:conditionalFormatting xmlns:xm="http://schemas.microsoft.com/office/excel/2006/main">
          <x14:cfRule type="expression" priority="4690760" id="{DB2E1F48-AF0E-41F9-A976-6B1963CA5711}">
            <xm:f>$AC$4='Data entry'!$R15</xm:f>
            <x14:dxf>
              <fill>
                <patternFill>
                  <bgColor rgb="FFFFFF00"/>
                </patternFill>
              </fill>
            </x14:dxf>
          </x14:cfRule>
          <xm:sqref>O32:AC32</xm:sqref>
        </x14:conditionalFormatting>
        <x14:conditionalFormatting xmlns:xm="http://schemas.microsoft.com/office/excel/2006/main">
          <x14:cfRule type="expression" priority="4690761" id="{89909907-F9A9-4AF9-BC1D-304710A43F50}">
            <xm:f>$AD$4='Data entry'!$R15</xm:f>
            <x14:dxf>
              <fill>
                <patternFill>
                  <bgColor rgb="FFFF0000"/>
                </patternFill>
              </fill>
            </x14:dxf>
          </x14:cfRule>
          <xm:sqref>AB33:AN33</xm:sqref>
        </x14:conditionalFormatting>
        <x14:conditionalFormatting xmlns:xm="http://schemas.microsoft.com/office/excel/2006/main">
          <x14:cfRule type="expression" priority="4690762" id="{729676B7-E331-43A4-ACC9-850DCEE76A0E}">
            <xm:f>$AD$4='Data entry'!$R15</xm:f>
            <x14:dxf>
              <fill>
                <patternFill>
                  <bgColor rgb="FFFFFF00"/>
                </patternFill>
              </fill>
            </x14:dxf>
          </x14:cfRule>
          <xm:sqref>P32:AD32</xm:sqref>
        </x14:conditionalFormatting>
        <x14:conditionalFormatting xmlns:xm="http://schemas.microsoft.com/office/excel/2006/main">
          <x14:cfRule type="expression" priority="4690763" id="{00DA2C55-350E-44AA-ABEA-808FABFDA737}">
            <xm:f>$AE$4='Data entry'!$R15</xm:f>
            <x14:dxf>
              <fill>
                <patternFill>
                  <bgColor rgb="FFFF0000"/>
                </patternFill>
              </fill>
            </x14:dxf>
          </x14:cfRule>
          <xm:sqref>AC33:AO33</xm:sqref>
        </x14:conditionalFormatting>
        <x14:conditionalFormatting xmlns:xm="http://schemas.microsoft.com/office/excel/2006/main">
          <x14:cfRule type="expression" priority="4690764" id="{373C95F1-00C1-45E9-B561-5224945BA4A4}">
            <xm:f>$AE$4='Data entry'!$R15</xm:f>
            <x14:dxf>
              <fill>
                <patternFill>
                  <bgColor rgb="FFFFFF00"/>
                </patternFill>
              </fill>
            </x14:dxf>
          </x14:cfRule>
          <xm:sqref>Q32:AE32</xm:sqref>
        </x14:conditionalFormatting>
        <x14:conditionalFormatting xmlns:xm="http://schemas.microsoft.com/office/excel/2006/main">
          <x14:cfRule type="expression" priority="4690765" id="{65E90E74-6BEF-4B00-BD5E-ECACFEBC225A}">
            <xm:f>$AF$4='Data entry'!$R15</xm:f>
            <x14:dxf>
              <fill>
                <patternFill>
                  <bgColor rgb="FFFF0000"/>
                </patternFill>
              </fill>
            </x14:dxf>
          </x14:cfRule>
          <xm:sqref>AD33:AP33</xm:sqref>
        </x14:conditionalFormatting>
        <x14:conditionalFormatting xmlns:xm="http://schemas.microsoft.com/office/excel/2006/main">
          <x14:cfRule type="expression" priority="4690766" id="{56B519D7-E083-4811-B42B-D6CB10D44BB3}">
            <xm:f>$AF$4='Data entry'!$R15</xm:f>
            <x14:dxf>
              <fill>
                <patternFill>
                  <bgColor rgb="FFFFFF00"/>
                </patternFill>
              </fill>
            </x14:dxf>
          </x14:cfRule>
          <xm:sqref>R32:AF32</xm:sqref>
        </x14:conditionalFormatting>
        <x14:conditionalFormatting xmlns:xm="http://schemas.microsoft.com/office/excel/2006/main">
          <x14:cfRule type="expression" priority="4690767" id="{889682B6-BF9B-414B-86B7-1C802156B058}">
            <xm:f>$AG$4='Data entry'!$R15</xm:f>
            <x14:dxf>
              <fill>
                <patternFill>
                  <bgColor rgb="FFFF0000"/>
                </patternFill>
              </fill>
            </x14:dxf>
          </x14:cfRule>
          <xm:sqref>AE33:AQ33</xm:sqref>
        </x14:conditionalFormatting>
        <x14:conditionalFormatting xmlns:xm="http://schemas.microsoft.com/office/excel/2006/main">
          <x14:cfRule type="expression" priority="4690768" id="{19913D88-1940-4CB0-B29C-D46D60833BD5}">
            <xm:f>$AG$4='Data entry'!$R15</xm:f>
            <x14:dxf>
              <fill>
                <patternFill>
                  <bgColor rgb="FFFFFF00"/>
                </patternFill>
              </fill>
            </x14:dxf>
          </x14:cfRule>
          <xm:sqref>S32:AG32</xm:sqref>
        </x14:conditionalFormatting>
        <x14:conditionalFormatting xmlns:xm="http://schemas.microsoft.com/office/excel/2006/main">
          <x14:cfRule type="expression" priority="4690769" id="{3DD7B9A5-18A3-463F-BAD5-9796FC487328}">
            <xm:f>$AH$4='Data entry'!$R15</xm:f>
            <x14:dxf>
              <fill>
                <patternFill>
                  <bgColor rgb="FFFF0000"/>
                </patternFill>
              </fill>
            </x14:dxf>
          </x14:cfRule>
          <xm:sqref>AF33:AR33</xm:sqref>
        </x14:conditionalFormatting>
        <x14:conditionalFormatting xmlns:xm="http://schemas.microsoft.com/office/excel/2006/main">
          <x14:cfRule type="expression" priority="4690770" id="{31005CF4-5608-496E-91EB-F7F505046C80}">
            <xm:f>$AH$4='Data entry'!$R15</xm:f>
            <x14:dxf>
              <fill>
                <patternFill>
                  <bgColor rgb="FFFFFF00"/>
                </patternFill>
              </fill>
            </x14:dxf>
          </x14:cfRule>
          <xm:sqref>T32:AH32</xm:sqref>
        </x14:conditionalFormatting>
        <x14:conditionalFormatting xmlns:xm="http://schemas.microsoft.com/office/excel/2006/main">
          <x14:cfRule type="expression" priority="4690771" id="{CD14F654-5B7A-444F-8FC1-7DD71E76E475}">
            <xm:f>$AI$4='Data entry'!$R15</xm:f>
            <x14:dxf>
              <fill>
                <patternFill>
                  <bgColor rgb="FFFF0000"/>
                </patternFill>
              </fill>
            </x14:dxf>
          </x14:cfRule>
          <xm:sqref>AG33:AS33</xm:sqref>
        </x14:conditionalFormatting>
        <x14:conditionalFormatting xmlns:xm="http://schemas.microsoft.com/office/excel/2006/main">
          <x14:cfRule type="expression" priority="4690772" id="{0E4E448C-6C46-4285-B877-A61A90294385}">
            <xm:f>$AI$4='Data entry'!$R15</xm:f>
            <x14:dxf>
              <fill>
                <patternFill>
                  <bgColor rgb="FFFFFF00"/>
                </patternFill>
              </fill>
            </x14:dxf>
          </x14:cfRule>
          <xm:sqref>U32:AI32</xm:sqref>
        </x14:conditionalFormatting>
        <x14:conditionalFormatting xmlns:xm="http://schemas.microsoft.com/office/excel/2006/main">
          <x14:cfRule type="expression" priority="4690773" id="{B1C1818F-791C-403D-BE73-6F6E9DC6A16D}">
            <xm:f>$AJ$4='Data entry'!$R15</xm:f>
            <x14:dxf>
              <fill>
                <patternFill>
                  <bgColor rgb="FFFF0000"/>
                </patternFill>
              </fill>
            </x14:dxf>
          </x14:cfRule>
          <xm:sqref>AH33:AT33</xm:sqref>
        </x14:conditionalFormatting>
        <x14:conditionalFormatting xmlns:xm="http://schemas.microsoft.com/office/excel/2006/main">
          <x14:cfRule type="expression" priority="4690774" id="{A1237792-221B-431B-B8A7-E9A64DA46D93}">
            <xm:f>$AJ$4='Data entry'!$R15</xm:f>
            <x14:dxf>
              <fill>
                <patternFill>
                  <bgColor rgb="FFFFFF00"/>
                </patternFill>
              </fill>
            </x14:dxf>
          </x14:cfRule>
          <xm:sqref>V32:AJ32</xm:sqref>
        </x14:conditionalFormatting>
        <x14:conditionalFormatting xmlns:xm="http://schemas.microsoft.com/office/excel/2006/main">
          <x14:cfRule type="expression" priority="4690775" id="{617DC2AF-C7A3-4724-8EA3-17DEFEDC8949}">
            <xm:f>$AK$4='Data entry'!$R15</xm:f>
            <x14:dxf>
              <fill>
                <patternFill>
                  <bgColor rgb="FFFF0000"/>
                </patternFill>
              </fill>
            </x14:dxf>
          </x14:cfRule>
          <xm:sqref>AI33:AU33</xm:sqref>
        </x14:conditionalFormatting>
        <x14:conditionalFormatting xmlns:xm="http://schemas.microsoft.com/office/excel/2006/main">
          <x14:cfRule type="expression" priority="4690776" id="{AA72317D-37B1-48EB-A28B-BF2AC8DC4519}">
            <xm:f>$AK$4='Data entry'!$R15</xm:f>
            <x14:dxf>
              <fill>
                <patternFill>
                  <bgColor rgb="FFFFFF00"/>
                </patternFill>
              </fill>
            </x14:dxf>
          </x14:cfRule>
          <xm:sqref>W32:AK32</xm:sqref>
        </x14:conditionalFormatting>
        <x14:conditionalFormatting xmlns:xm="http://schemas.microsoft.com/office/excel/2006/main">
          <x14:cfRule type="expression" priority="4690777" id="{6CA9FB7A-20EA-4D3A-B74C-A001F4BE810D}">
            <xm:f>$AL$4='Data entry'!$R15</xm:f>
            <x14:dxf>
              <fill>
                <patternFill>
                  <bgColor rgb="FFFF0000"/>
                </patternFill>
              </fill>
            </x14:dxf>
          </x14:cfRule>
          <xm:sqref>AJ33:AV33</xm:sqref>
        </x14:conditionalFormatting>
        <x14:conditionalFormatting xmlns:xm="http://schemas.microsoft.com/office/excel/2006/main">
          <x14:cfRule type="expression" priority="4690778" id="{81A75DAA-573F-4EF3-A640-1B992C18BEA0}">
            <xm:f>$AL$4='Data entry'!$R15</xm:f>
            <x14:dxf>
              <fill>
                <patternFill>
                  <bgColor rgb="FFFFFF00"/>
                </patternFill>
              </fill>
            </x14:dxf>
          </x14:cfRule>
          <xm:sqref>X32:AL32</xm:sqref>
        </x14:conditionalFormatting>
        <x14:conditionalFormatting xmlns:xm="http://schemas.microsoft.com/office/excel/2006/main">
          <x14:cfRule type="expression" priority="4690779" id="{3D44713E-4ABA-4CCD-9DF4-5513A9FB5E1E}">
            <xm:f>$AM$4='Data entry'!$R15</xm:f>
            <x14:dxf>
              <fill>
                <patternFill>
                  <bgColor rgb="FFFF0000"/>
                </patternFill>
              </fill>
            </x14:dxf>
          </x14:cfRule>
          <xm:sqref>AK33:AW33</xm:sqref>
        </x14:conditionalFormatting>
        <x14:conditionalFormatting xmlns:xm="http://schemas.microsoft.com/office/excel/2006/main">
          <x14:cfRule type="expression" priority="4690780" id="{05A26B51-72A7-4423-822F-2BDBC28275D0}">
            <xm:f>$AM$4='Data entry'!$R15</xm:f>
            <x14:dxf>
              <fill>
                <patternFill>
                  <bgColor rgb="FFFFFF00"/>
                </patternFill>
              </fill>
            </x14:dxf>
          </x14:cfRule>
          <xm:sqref>Y32:AM32</xm:sqref>
        </x14:conditionalFormatting>
        <x14:conditionalFormatting xmlns:xm="http://schemas.microsoft.com/office/excel/2006/main">
          <x14:cfRule type="expression" priority="4690781" id="{B8A20675-6230-4694-A7F6-6B3DC7142773}">
            <xm:f>$AN$4='Data entry'!$R15</xm:f>
            <x14:dxf>
              <fill>
                <patternFill>
                  <bgColor rgb="FFFF0000"/>
                </patternFill>
              </fill>
            </x14:dxf>
          </x14:cfRule>
          <xm:sqref>AL33:AX33</xm:sqref>
        </x14:conditionalFormatting>
        <x14:conditionalFormatting xmlns:xm="http://schemas.microsoft.com/office/excel/2006/main">
          <x14:cfRule type="expression" priority="4690782" id="{8421181C-7450-42E9-BC1D-065CCFCA960E}">
            <xm:f>$AN$4='Data entry'!$R15</xm:f>
            <x14:dxf>
              <fill>
                <patternFill>
                  <bgColor rgb="FFFFFF00"/>
                </patternFill>
              </fill>
            </x14:dxf>
          </x14:cfRule>
          <xm:sqref>Z32:AN32</xm:sqref>
        </x14:conditionalFormatting>
        <x14:conditionalFormatting xmlns:xm="http://schemas.microsoft.com/office/excel/2006/main">
          <x14:cfRule type="expression" priority="4690783" id="{067FE4BD-6EF4-4684-B6E0-35AB2F267EE7}">
            <xm:f>$AO$4='Data entry'!$R15</xm:f>
            <x14:dxf>
              <fill>
                <patternFill>
                  <bgColor rgb="FFFF0000"/>
                </patternFill>
              </fill>
            </x14:dxf>
          </x14:cfRule>
          <xm:sqref>AM33:AY33</xm:sqref>
        </x14:conditionalFormatting>
        <x14:conditionalFormatting xmlns:xm="http://schemas.microsoft.com/office/excel/2006/main">
          <x14:cfRule type="expression" priority="4690784" id="{F7653492-88D1-47AC-8BA3-0CCE65C3C2AB}">
            <xm:f>$AO$4='Data entry'!$R15</xm:f>
            <x14:dxf>
              <fill>
                <patternFill>
                  <bgColor rgb="FFFFFF00"/>
                </patternFill>
              </fill>
            </x14:dxf>
          </x14:cfRule>
          <xm:sqref>AA32:AO32</xm:sqref>
        </x14:conditionalFormatting>
        <x14:conditionalFormatting xmlns:xm="http://schemas.microsoft.com/office/excel/2006/main">
          <x14:cfRule type="expression" priority="4690785" id="{207A5E5D-B322-482E-9193-1D7318138358}">
            <xm:f>$AP$4='Data entry'!$R15</xm:f>
            <x14:dxf>
              <fill>
                <patternFill>
                  <bgColor rgb="FFFF0000"/>
                </patternFill>
              </fill>
            </x14:dxf>
          </x14:cfRule>
          <xm:sqref>AN33:AZ33</xm:sqref>
        </x14:conditionalFormatting>
        <x14:conditionalFormatting xmlns:xm="http://schemas.microsoft.com/office/excel/2006/main">
          <x14:cfRule type="expression" priority="4690786" id="{21DA638D-4CA0-4067-BFF1-240CE1A0261B}">
            <xm:f>$AP$4='Data entry'!$R15</xm:f>
            <x14:dxf>
              <fill>
                <patternFill>
                  <bgColor rgb="FFFFFF00"/>
                </patternFill>
              </fill>
            </x14:dxf>
          </x14:cfRule>
          <xm:sqref>AB32:AP32</xm:sqref>
        </x14:conditionalFormatting>
        <x14:conditionalFormatting xmlns:xm="http://schemas.microsoft.com/office/excel/2006/main">
          <x14:cfRule type="expression" priority="4690787" id="{71963D96-A42A-4B90-BFC7-6D83D37766EF}">
            <xm:f>$AQ$4='Data entry'!$R15</xm:f>
            <x14:dxf>
              <fill>
                <patternFill>
                  <bgColor rgb="FFFF0000"/>
                </patternFill>
              </fill>
            </x14:dxf>
          </x14:cfRule>
          <xm:sqref>AO33:BA33</xm:sqref>
        </x14:conditionalFormatting>
        <x14:conditionalFormatting xmlns:xm="http://schemas.microsoft.com/office/excel/2006/main">
          <x14:cfRule type="expression" priority="4690788" id="{74952595-84B6-484F-8FF6-FCC1F337DF4D}">
            <xm:f>$AQ$4='Data entry'!$R15</xm:f>
            <x14:dxf>
              <fill>
                <patternFill>
                  <bgColor rgb="FFFFFF00"/>
                </patternFill>
              </fill>
            </x14:dxf>
          </x14:cfRule>
          <xm:sqref>AC32:AQ32</xm:sqref>
        </x14:conditionalFormatting>
        <x14:conditionalFormatting xmlns:xm="http://schemas.microsoft.com/office/excel/2006/main">
          <x14:cfRule type="expression" priority="4690789" id="{8AC9C4B9-0A34-4BC0-B0F7-CA89434C4911}">
            <xm:f>$P$4='Data entry'!$R15</xm:f>
            <x14:dxf>
              <fill>
                <patternFill>
                  <bgColor rgb="FFFFFF00"/>
                </patternFill>
              </fill>
            </x14:dxf>
          </x14:cfRule>
          <xm:sqref>C32:P32</xm:sqref>
        </x14:conditionalFormatting>
        <x14:conditionalFormatting xmlns:xm="http://schemas.microsoft.com/office/excel/2006/main">
          <x14:cfRule type="expression" priority="4690790" id="{0A726775-ABFD-4F22-967C-1A4D87BA3751}">
            <xm:f>$Q$4='Data entry'!$R15</xm:f>
            <x14:dxf>
              <fill>
                <patternFill>
                  <bgColor rgb="FFFFFF00"/>
                </patternFill>
              </fill>
            </x14:dxf>
          </x14:cfRule>
          <xm:sqref>C32:Q32</xm:sqref>
        </x14:conditionalFormatting>
        <x14:conditionalFormatting xmlns:xm="http://schemas.microsoft.com/office/excel/2006/main">
          <x14:cfRule type="expression" priority="4690791" id="{3A8414BD-262C-43B5-86EE-FA6901D00453}">
            <xm:f>$Q$4='Data entry'!$R15</xm:f>
            <x14:dxf>
              <fill>
                <patternFill>
                  <bgColor rgb="FFFF0000"/>
                </patternFill>
              </fill>
            </x14:dxf>
          </x14:cfRule>
          <xm:sqref>O33:AA33</xm:sqref>
        </x14:conditionalFormatting>
        <x14:conditionalFormatting xmlns:xm="http://schemas.microsoft.com/office/excel/2006/main">
          <x14:cfRule type="expression" priority="4690792" id="{B8B5501D-F3EF-4449-9306-F652960C65F4}">
            <xm:f>$R$4='Data entry'!$R15</xm:f>
            <x14:dxf>
              <fill>
                <patternFill>
                  <bgColor rgb="FFFF0000"/>
                </patternFill>
              </fill>
            </x14:dxf>
          </x14:cfRule>
          <xm:sqref>P33:AB33</xm:sqref>
        </x14:conditionalFormatting>
        <x14:conditionalFormatting xmlns:xm="http://schemas.microsoft.com/office/excel/2006/main">
          <x14:cfRule type="expression" priority="4690793" id="{5D070DEC-B82E-4D87-B907-A3E5AB836991}">
            <xm:f>$R$4='Data entry'!$R15</xm:f>
            <x14:dxf>
              <fill>
                <patternFill>
                  <bgColor rgb="FFFFFF00"/>
                </patternFill>
              </fill>
            </x14:dxf>
          </x14:cfRule>
          <xm:sqref>D32:R32</xm:sqref>
        </x14:conditionalFormatting>
        <x14:conditionalFormatting xmlns:xm="http://schemas.microsoft.com/office/excel/2006/main">
          <x14:cfRule type="expression" priority="4690794" id="{E4D16A10-F818-4664-9FB2-F0E839824D4B}">
            <xm:f>$S$4='Data entry'!$R15</xm:f>
            <x14:dxf>
              <fill>
                <patternFill>
                  <bgColor rgb="FFFF0000"/>
                </patternFill>
              </fill>
            </x14:dxf>
          </x14:cfRule>
          <xm:sqref>Q33:AC33</xm:sqref>
        </x14:conditionalFormatting>
        <x14:conditionalFormatting xmlns:xm="http://schemas.microsoft.com/office/excel/2006/main">
          <x14:cfRule type="expression" priority="4690795" id="{1A9F9911-A3E9-4730-AFBE-AB8C596545CA}">
            <xm:f>$S$4='Data entry'!$R15</xm:f>
            <x14:dxf>
              <fill>
                <patternFill>
                  <bgColor rgb="FFFFFF00"/>
                </patternFill>
              </fill>
            </x14:dxf>
          </x14:cfRule>
          <xm:sqref>E32:S32</xm:sqref>
        </x14:conditionalFormatting>
        <x14:conditionalFormatting xmlns:xm="http://schemas.microsoft.com/office/excel/2006/main">
          <x14:cfRule type="expression" priority="4690796" id="{8BB5CD1B-B2AC-442A-9550-26DE19A62D22}">
            <xm:f>$T$4='Data entry'!$R15</xm:f>
            <x14:dxf>
              <fill>
                <patternFill>
                  <bgColor rgb="FFFF0000"/>
                </patternFill>
              </fill>
            </x14:dxf>
          </x14:cfRule>
          <xm:sqref>R33:AD33</xm:sqref>
        </x14:conditionalFormatting>
        <x14:conditionalFormatting xmlns:xm="http://schemas.microsoft.com/office/excel/2006/main">
          <x14:cfRule type="expression" priority="4690797" id="{E7B59C69-7921-4049-84A1-8B3E5F7B0598}">
            <xm:f>$T$4='Data entry'!$R15</xm:f>
            <x14:dxf>
              <fill>
                <patternFill>
                  <bgColor rgb="FFFFFF00"/>
                </patternFill>
              </fill>
            </x14:dxf>
          </x14:cfRule>
          <xm:sqref>F32:T32</xm:sqref>
        </x14:conditionalFormatting>
        <x14:conditionalFormatting xmlns:xm="http://schemas.microsoft.com/office/excel/2006/main">
          <x14:cfRule type="expression" priority="4690798" id="{238C09E5-7A3D-439D-949F-A7733073F9A2}">
            <xm:f>$U$4='Data entry'!$R15</xm:f>
            <x14:dxf>
              <fill>
                <patternFill>
                  <bgColor rgb="FFFFFF00"/>
                </patternFill>
              </fill>
            </x14:dxf>
          </x14:cfRule>
          <xm:sqref>G32:U32</xm:sqref>
        </x14:conditionalFormatting>
        <x14:conditionalFormatting xmlns:xm="http://schemas.microsoft.com/office/excel/2006/main">
          <x14:cfRule type="expression" priority="4690799" id="{DE4D4432-0A19-452A-AF14-2873FE4DF411}">
            <xm:f>$AR$4='Data entry'!$R15</xm:f>
            <x14:dxf>
              <fill>
                <patternFill>
                  <bgColor rgb="FFFF0000"/>
                </patternFill>
              </fill>
            </x14:dxf>
          </x14:cfRule>
          <xm:sqref>AP33:BB33</xm:sqref>
        </x14:conditionalFormatting>
        <x14:conditionalFormatting xmlns:xm="http://schemas.microsoft.com/office/excel/2006/main">
          <x14:cfRule type="expression" priority="4690800" id="{90D7E1FF-542D-40C8-9BD5-DFEB4CDD256F}">
            <xm:f>$AR$4='Data entry'!$R15</xm:f>
            <x14:dxf>
              <fill>
                <patternFill>
                  <bgColor rgb="FFFFFF00"/>
                </patternFill>
              </fill>
            </x14:dxf>
          </x14:cfRule>
          <xm:sqref>AD32:AR32</xm:sqref>
        </x14:conditionalFormatting>
        <x14:conditionalFormatting xmlns:xm="http://schemas.microsoft.com/office/excel/2006/main">
          <x14:cfRule type="expression" priority="4690801" id="{0EBB5305-4A4A-4205-A1FF-11160070CBC3}">
            <xm:f>$AS$4='Data entry'!$R15</xm:f>
            <x14:dxf>
              <fill>
                <patternFill>
                  <bgColor rgb="FFFF0000"/>
                </patternFill>
              </fill>
            </x14:dxf>
          </x14:cfRule>
          <xm:sqref>AQ33:BC33</xm:sqref>
        </x14:conditionalFormatting>
        <x14:conditionalFormatting xmlns:xm="http://schemas.microsoft.com/office/excel/2006/main">
          <x14:cfRule type="expression" priority="4690802" id="{AC8EB30C-4253-4CE1-820E-1801F6D8D35B}">
            <xm:f>$AS$4='Data entry'!$R15</xm:f>
            <x14:dxf>
              <fill>
                <patternFill>
                  <bgColor rgb="FFFFFF00"/>
                </patternFill>
              </fill>
            </x14:dxf>
          </x14:cfRule>
          <xm:sqref>AE32:AS32</xm:sqref>
        </x14:conditionalFormatting>
        <x14:conditionalFormatting xmlns:xm="http://schemas.microsoft.com/office/excel/2006/main">
          <x14:cfRule type="expression" priority="4690803" id="{E11744C1-7201-4272-A1B0-945490B42425}">
            <xm:f>$AT$4='Data entry'!$R15</xm:f>
            <x14:dxf>
              <fill>
                <patternFill>
                  <bgColor rgb="FFFF0000"/>
                </patternFill>
              </fill>
            </x14:dxf>
          </x14:cfRule>
          <xm:sqref>AR33:BD33</xm:sqref>
        </x14:conditionalFormatting>
        <x14:conditionalFormatting xmlns:xm="http://schemas.microsoft.com/office/excel/2006/main">
          <x14:cfRule type="expression" priority="4690804" id="{5EE2823B-E955-4EA7-B99C-0B1F77B57A69}">
            <xm:f>$AT$4='Data entry'!$R15</xm:f>
            <x14:dxf>
              <fill>
                <patternFill>
                  <bgColor rgb="FFFFFF00"/>
                </patternFill>
              </fill>
            </x14:dxf>
          </x14:cfRule>
          <xm:sqref>AF32:AT32</xm:sqref>
        </x14:conditionalFormatting>
        <x14:conditionalFormatting xmlns:xm="http://schemas.microsoft.com/office/excel/2006/main">
          <x14:cfRule type="expression" priority="4690805" id="{5737DC63-3262-4B34-900C-2AAEB255FCBA}">
            <xm:f>$AU$4='Data entry'!$R15</xm:f>
            <x14:dxf>
              <fill>
                <patternFill>
                  <bgColor rgb="FFFF0000"/>
                </patternFill>
              </fill>
            </x14:dxf>
          </x14:cfRule>
          <xm:sqref>AS33:BE33</xm:sqref>
        </x14:conditionalFormatting>
        <x14:conditionalFormatting xmlns:xm="http://schemas.microsoft.com/office/excel/2006/main">
          <x14:cfRule type="expression" priority="4690806" id="{2B5C1F1B-3C3D-4CA3-BC64-0E98422075B6}">
            <xm:f>$AU$4='Data entry'!$R15</xm:f>
            <x14:dxf>
              <fill>
                <patternFill>
                  <bgColor rgb="FFFFFF00"/>
                </patternFill>
              </fill>
            </x14:dxf>
          </x14:cfRule>
          <xm:sqref>AG32:AU32</xm:sqref>
        </x14:conditionalFormatting>
        <x14:conditionalFormatting xmlns:xm="http://schemas.microsoft.com/office/excel/2006/main">
          <x14:cfRule type="expression" priority="4690807" id="{B87A1285-B003-4855-8F4B-53C391BA10E6}">
            <xm:f>$AV$4='Data entry'!$R15</xm:f>
            <x14:dxf>
              <fill>
                <patternFill>
                  <bgColor rgb="FFFF0000"/>
                </patternFill>
              </fill>
            </x14:dxf>
          </x14:cfRule>
          <xm:sqref>AT33:BF33</xm:sqref>
        </x14:conditionalFormatting>
        <x14:conditionalFormatting xmlns:xm="http://schemas.microsoft.com/office/excel/2006/main">
          <x14:cfRule type="expression" priority="4690808" id="{338EE31C-78DB-4818-B837-0380F9E457FA}">
            <xm:f>$AV$4='Data entry'!$R15</xm:f>
            <x14:dxf>
              <fill>
                <patternFill>
                  <bgColor rgb="FFFFFF00"/>
                </patternFill>
              </fill>
            </x14:dxf>
          </x14:cfRule>
          <xm:sqref>AH32:AV32</xm:sqref>
        </x14:conditionalFormatting>
        <x14:conditionalFormatting xmlns:xm="http://schemas.microsoft.com/office/excel/2006/main">
          <x14:cfRule type="expression" priority="4690809" id="{5C40EA66-2801-4C91-B885-BF6A1ECFC35C}">
            <xm:f>$AW$4='Data entry'!$R15</xm:f>
            <x14:dxf>
              <fill>
                <patternFill>
                  <bgColor rgb="FFFF0000"/>
                </patternFill>
              </fill>
            </x14:dxf>
          </x14:cfRule>
          <xm:sqref>AU33:BG33</xm:sqref>
        </x14:conditionalFormatting>
        <x14:conditionalFormatting xmlns:xm="http://schemas.microsoft.com/office/excel/2006/main">
          <x14:cfRule type="expression" priority="4690810" id="{51BCD5CE-DF86-4C2F-8A81-DDA1EFD6C8F7}">
            <xm:f>$AW$4='Data entry'!$R15</xm:f>
            <x14:dxf>
              <fill>
                <patternFill>
                  <bgColor rgb="FFFFFF00"/>
                </patternFill>
              </fill>
            </x14:dxf>
          </x14:cfRule>
          <xm:sqref>AI32:AW32</xm:sqref>
        </x14:conditionalFormatting>
        <x14:conditionalFormatting xmlns:xm="http://schemas.microsoft.com/office/excel/2006/main">
          <x14:cfRule type="expression" priority="4690811" id="{DC2ED5A0-8917-4877-8CD3-9DF9BE5993C9}">
            <xm:f>$AX$4='Data entry'!$R15</xm:f>
            <x14:dxf>
              <fill>
                <patternFill>
                  <bgColor rgb="FFFF0000"/>
                </patternFill>
              </fill>
            </x14:dxf>
          </x14:cfRule>
          <xm:sqref>AV33:BH33</xm:sqref>
        </x14:conditionalFormatting>
        <x14:conditionalFormatting xmlns:xm="http://schemas.microsoft.com/office/excel/2006/main">
          <x14:cfRule type="expression" priority="4690812" id="{59B31869-20F9-45BD-BC80-0A6C8945CE2C}">
            <xm:f>$AX$4='Data entry'!$R15</xm:f>
            <x14:dxf>
              <fill>
                <patternFill>
                  <bgColor rgb="FFFFFF00"/>
                </patternFill>
              </fill>
            </x14:dxf>
          </x14:cfRule>
          <xm:sqref>AJ32:AX32</xm:sqref>
        </x14:conditionalFormatting>
        <x14:conditionalFormatting xmlns:xm="http://schemas.microsoft.com/office/excel/2006/main">
          <x14:cfRule type="expression" priority="4690813" id="{D4208FA0-4262-4037-934C-6D0742B2AD8E}">
            <xm:f>$AY$4='Data entry'!$R15</xm:f>
            <x14:dxf>
              <fill>
                <patternFill>
                  <bgColor rgb="FFFF0000"/>
                </patternFill>
              </fill>
            </x14:dxf>
          </x14:cfRule>
          <xm:sqref>AW33:BI33</xm:sqref>
        </x14:conditionalFormatting>
        <x14:conditionalFormatting xmlns:xm="http://schemas.microsoft.com/office/excel/2006/main">
          <x14:cfRule type="expression" priority="4690814" id="{04D6E423-18C7-42B2-A67D-F49D8E62B571}">
            <xm:f>$AY$4='Data entry'!$R15</xm:f>
            <x14:dxf>
              <fill>
                <patternFill>
                  <bgColor rgb="FFFFFF00"/>
                </patternFill>
              </fill>
            </x14:dxf>
          </x14:cfRule>
          <xm:sqref>AK32:AY32</xm:sqref>
        </x14:conditionalFormatting>
        <x14:conditionalFormatting xmlns:xm="http://schemas.microsoft.com/office/excel/2006/main">
          <x14:cfRule type="expression" priority="4690815" id="{A931C203-6E4B-4EBD-A2F4-1876881F48D4}">
            <xm:f>$AZ$4='Data entry'!$R15</xm:f>
            <x14:dxf>
              <fill>
                <patternFill>
                  <bgColor rgb="FFFF0000"/>
                </patternFill>
              </fill>
            </x14:dxf>
          </x14:cfRule>
          <xm:sqref>AX33:BJ33</xm:sqref>
        </x14:conditionalFormatting>
        <x14:conditionalFormatting xmlns:xm="http://schemas.microsoft.com/office/excel/2006/main">
          <x14:cfRule type="expression" priority="4690816" id="{092D9100-E652-40FE-8CAA-720DC0681250}">
            <xm:f>$AZ$4='Data entry'!$R15</xm:f>
            <x14:dxf>
              <fill>
                <patternFill>
                  <bgColor rgb="FFFFFF00"/>
                </patternFill>
              </fill>
            </x14:dxf>
          </x14:cfRule>
          <xm:sqref>AL32:AZ32</xm:sqref>
        </x14:conditionalFormatting>
        <x14:conditionalFormatting xmlns:xm="http://schemas.microsoft.com/office/excel/2006/main">
          <x14:cfRule type="expression" priority="4690817" id="{A3C7E6BE-A225-483C-A983-A915DB662C52}">
            <xm:f>$BA$4='Data entry'!$R15</xm:f>
            <x14:dxf>
              <fill>
                <patternFill>
                  <bgColor rgb="FFFF0000"/>
                </patternFill>
              </fill>
            </x14:dxf>
          </x14:cfRule>
          <xm:sqref>AY33:BK33</xm:sqref>
        </x14:conditionalFormatting>
        <x14:conditionalFormatting xmlns:xm="http://schemas.microsoft.com/office/excel/2006/main">
          <x14:cfRule type="expression" priority="4690818" id="{F5CF569A-8AFA-4CFF-8BD3-F04D8927A99F}">
            <xm:f>$BA$4='Data entry'!$R15</xm:f>
            <x14:dxf>
              <fill>
                <patternFill>
                  <bgColor rgb="FFFFFF00"/>
                </patternFill>
              </fill>
            </x14:dxf>
          </x14:cfRule>
          <xm:sqref>AM32:BA32</xm:sqref>
        </x14:conditionalFormatting>
        <x14:conditionalFormatting xmlns:xm="http://schemas.microsoft.com/office/excel/2006/main">
          <x14:cfRule type="expression" priority="4690819" id="{E4DAC94A-7983-4BFB-A87B-45B58561841A}">
            <xm:f>$BB$4='Data entry'!$R15</xm:f>
            <x14:dxf>
              <fill>
                <patternFill>
                  <bgColor rgb="FFFF0000"/>
                </patternFill>
              </fill>
            </x14:dxf>
          </x14:cfRule>
          <xm:sqref>AZ33:BL33</xm:sqref>
        </x14:conditionalFormatting>
        <x14:conditionalFormatting xmlns:xm="http://schemas.microsoft.com/office/excel/2006/main">
          <x14:cfRule type="expression" priority="4690820" id="{E63849C5-F39B-4B0E-8F8A-B532EDF2CBAE}">
            <xm:f>$BB$4='Data entry'!$R15</xm:f>
            <x14:dxf>
              <fill>
                <patternFill>
                  <bgColor rgb="FFFFFF00"/>
                </patternFill>
              </fill>
            </x14:dxf>
          </x14:cfRule>
          <xm:sqref>AN32:BB32</xm:sqref>
        </x14:conditionalFormatting>
        <x14:conditionalFormatting xmlns:xm="http://schemas.microsoft.com/office/excel/2006/main">
          <x14:cfRule type="expression" priority="4690821" id="{4FDC32D3-C1F5-455D-9AA4-A03359B72526}">
            <xm:f>$BC$4='Data entry'!$R15</xm:f>
            <x14:dxf>
              <fill>
                <patternFill>
                  <bgColor rgb="FFFF0000"/>
                </patternFill>
              </fill>
            </x14:dxf>
          </x14:cfRule>
          <xm:sqref>BA33:BM33</xm:sqref>
        </x14:conditionalFormatting>
        <x14:conditionalFormatting xmlns:xm="http://schemas.microsoft.com/office/excel/2006/main">
          <x14:cfRule type="expression" priority="4690822" id="{5F0D0C60-B233-4C56-B05D-98C99990877F}">
            <xm:f>$BC$4='Data entry'!$R15</xm:f>
            <x14:dxf>
              <fill>
                <patternFill>
                  <bgColor rgb="FFFFFF00"/>
                </patternFill>
              </fill>
            </x14:dxf>
          </x14:cfRule>
          <xm:sqref>AO32:BC32</xm:sqref>
        </x14:conditionalFormatting>
        <x14:conditionalFormatting xmlns:xm="http://schemas.microsoft.com/office/excel/2006/main">
          <x14:cfRule type="expression" priority="4690823" id="{9EBCB60F-8135-43B6-A0F3-548D4092CC98}">
            <xm:f>$BD$4='Data entry'!$R15</xm:f>
            <x14:dxf>
              <fill>
                <patternFill>
                  <bgColor rgb="FFFF0000"/>
                </patternFill>
              </fill>
            </x14:dxf>
          </x14:cfRule>
          <xm:sqref>BB33:BN33</xm:sqref>
        </x14:conditionalFormatting>
        <x14:conditionalFormatting xmlns:xm="http://schemas.microsoft.com/office/excel/2006/main">
          <x14:cfRule type="expression" priority="4690824" id="{961AF346-4A73-41ED-9A8D-27D431B09C05}">
            <xm:f>$BD$4='Data entry'!$R15</xm:f>
            <x14:dxf>
              <fill>
                <patternFill>
                  <bgColor rgb="FFFFFF00"/>
                </patternFill>
              </fill>
            </x14:dxf>
          </x14:cfRule>
          <xm:sqref>AP32:BD32</xm:sqref>
        </x14:conditionalFormatting>
        <x14:conditionalFormatting xmlns:xm="http://schemas.microsoft.com/office/excel/2006/main">
          <x14:cfRule type="expression" priority="4690825" id="{5A887026-27CD-4F8C-8BA6-1E92704C1CA6}">
            <xm:f>$BE$4='Data entry'!$R15</xm:f>
            <x14:dxf>
              <fill>
                <patternFill>
                  <bgColor rgb="FFFF0000"/>
                </patternFill>
              </fill>
            </x14:dxf>
          </x14:cfRule>
          <xm:sqref>BC33:BO33</xm:sqref>
        </x14:conditionalFormatting>
        <x14:conditionalFormatting xmlns:xm="http://schemas.microsoft.com/office/excel/2006/main">
          <x14:cfRule type="expression" priority="4690826" id="{7F46217B-A1E9-4515-B31E-E756FCD7C6D9}">
            <xm:f>$BE$4='Data entry'!$R15</xm:f>
            <x14:dxf>
              <fill>
                <patternFill>
                  <bgColor rgb="FFFFFF00"/>
                </patternFill>
              </fill>
            </x14:dxf>
          </x14:cfRule>
          <xm:sqref>AP32:BE32</xm:sqref>
        </x14:conditionalFormatting>
        <x14:conditionalFormatting xmlns:xm="http://schemas.microsoft.com/office/excel/2006/main">
          <x14:cfRule type="expression" priority="4690827" id="{F4D9285C-8CA0-4EF1-943E-6A462D47CC77}">
            <xm:f>$BF$4='Data entry'!$R15</xm:f>
            <x14:dxf>
              <fill>
                <patternFill>
                  <bgColor rgb="FFFF0000"/>
                </patternFill>
              </fill>
            </x14:dxf>
          </x14:cfRule>
          <xm:sqref>BD33:BP33</xm:sqref>
        </x14:conditionalFormatting>
        <x14:conditionalFormatting xmlns:xm="http://schemas.microsoft.com/office/excel/2006/main">
          <x14:cfRule type="expression" priority="4690828" id="{B9E4407D-651D-4DC0-9D61-3271D62A65E9}">
            <xm:f>$BF$4='Data entry'!$R15</xm:f>
            <x14:dxf>
              <fill>
                <patternFill>
                  <bgColor rgb="FFFFFF00"/>
                </patternFill>
              </fill>
            </x14:dxf>
          </x14:cfRule>
          <xm:sqref>AR32:BF32</xm:sqref>
        </x14:conditionalFormatting>
        <x14:conditionalFormatting xmlns:xm="http://schemas.microsoft.com/office/excel/2006/main">
          <x14:cfRule type="expression" priority="4690829" id="{4CDC062F-DDFF-4556-B941-08F919727F69}">
            <xm:f>$BG$4='Data entry'!$R15</xm:f>
            <x14:dxf>
              <fill>
                <patternFill>
                  <bgColor rgb="FFFF0000"/>
                </patternFill>
              </fill>
            </x14:dxf>
          </x14:cfRule>
          <xm:sqref>BE33:BQ33</xm:sqref>
        </x14:conditionalFormatting>
        <x14:conditionalFormatting xmlns:xm="http://schemas.microsoft.com/office/excel/2006/main">
          <x14:cfRule type="expression" priority="4690830" id="{789184FA-9055-433B-8A1B-92C7ED59E81F}">
            <xm:f>$BG$4='Data entry'!$R15</xm:f>
            <x14:dxf>
              <fill>
                <patternFill>
                  <bgColor rgb="FFFFFF00"/>
                </patternFill>
              </fill>
            </x14:dxf>
          </x14:cfRule>
          <xm:sqref>AS32:BG32</xm:sqref>
        </x14:conditionalFormatting>
        <x14:conditionalFormatting xmlns:xm="http://schemas.microsoft.com/office/excel/2006/main">
          <x14:cfRule type="expression" priority="4690831" id="{58651E5C-09C9-46C1-B95C-E8A578A49E15}">
            <xm:f>$BH$4='Data entry'!$R15</xm:f>
            <x14:dxf>
              <fill>
                <patternFill>
                  <bgColor rgb="FFFFFF00"/>
                </patternFill>
              </fill>
            </x14:dxf>
          </x14:cfRule>
          <xm:sqref>AT32:BH32</xm:sqref>
        </x14:conditionalFormatting>
        <x14:conditionalFormatting xmlns:xm="http://schemas.microsoft.com/office/excel/2006/main">
          <x14:cfRule type="expression" priority="4690832" id="{97B30B86-8311-4DC0-A533-8C0D53F37839}">
            <xm:f>$BH$4='Data entry'!$R15</xm:f>
            <x14:dxf>
              <fill>
                <patternFill>
                  <bgColor rgb="FFFF0000"/>
                </patternFill>
              </fill>
            </x14:dxf>
          </x14:cfRule>
          <xm:sqref>BF33:BR33</xm:sqref>
        </x14:conditionalFormatting>
        <x14:conditionalFormatting xmlns:xm="http://schemas.microsoft.com/office/excel/2006/main">
          <x14:cfRule type="expression" priority="4690833" id="{78344C0C-5AEA-40B1-A20C-6D77DF58E1F5}">
            <xm:f>$BI$4='Data entry'!$R15</xm:f>
            <x14:dxf>
              <fill>
                <patternFill>
                  <bgColor rgb="FFFFFF00"/>
                </patternFill>
              </fill>
            </x14:dxf>
          </x14:cfRule>
          <xm:sqref>AU32:BI32</xm:sqref>
        </x14:conditionalFormatting>
        <x14:conditionalFormatting xmlns:xm="http://schemas.microsoft.com/office/excel/2006/main">
          <x14:cfRule type="expression" priority="4690834" id="{A9CE044F-482E-4F25-B28F-89ACC58502B1}">
            <xm:f>$BI$4='Data entry'!$R15</xm:f>
            <x14:dxf>
              <fill>
                <patternFill>
                  <bgColor rgb="FFFF0000"/>
                </patternFill>
              </fill>
            </x14:dxf>
          </x14:cfRule>
          <xm:sqref>BG33:BS33</xm:sqref>
        </x14:conditionalFormatting>
        <x14:conditionalFormatting xmlns:xm="http://schemas.microsoft.com/office/excel/2006/main">
          <x14:cfRule type="expression" priority="4690835" id="{F63BE0EB-3C71-4456-BEF0-11180AB7A8BB}">
            <xm:f>$BJ$4='Data entry'!$R15</xm:f>
            <x14:dxf>
              <fill>
                <patternFill>
                  <bgColor rgb="FFFFFF00"/>
                </patternFill>
              </fill>
            </x14:dxf>
          </x14:cfRule>
          <xm:sqref>AV32:BJ32</xm:sqref>
        </x14:conditionalFormatting>
        <x14:conditionalFormatting xmlns:xm="http://schemas.microsoft.com/office/excel/2006/main">
          <x14:cfRule type="expression" priority="4690836" id="{478A5DCB-1DAA-4497-A6CC-B4F01FB96D10}">
            <xm:f>$BJ$4='Data entry'!$R15</xm:f>
            <x14:dxf>
              <fill>
                <patternFill>
                  <bgColor rgb="FFFF0000"/>
                </patternFill>
              </fill>
            </x14:dxf>
          </x14:cfRule>
          <xm:sqref>BH33:BT33</xm:sqref>
        </x14:conditionalFormatting>
        <x14:conditionalFormatting xmlns:xm="http://schemas.microsoft.com/office/excel/2006/main">
          <x14:cfRule type="expression" priority="4690837" id="{CDE4AD5B-65A6-4FA4-9EC0-8D05F22312A9}">
            <xm:f>$BK$4='Data entry'!$R15</xm:f>
            <x14:dxf>
              <fill>
                <patternFill>
                  <bgColor rgb="FFFF0000"/>
                </patternFill>
              </fill>
            </x14:dxf>
          </x14:cfRule>
          <xm:sqref>BI33:BU33</xm:sqref>
        </x14:conditionalFormatting>
        <x14:conditionalFormatting xmlns:xm="http://schemas.microsoft.com/office/excel/2006/main">
          <x14:cfRule type="expression" priority="4690838" id="{AB32E790-6CD8-4D11-9A69-57D785FE4BBC}">
            <xm:f>$BK$4='Data entry'!$R15</xm:f>
            <x14:dxf>
              <fill>
                <patternFill>
                  <bgColor rgb="FFFFFF00"/>
                </patternFill>
              </fill>
            </x14:dxf>
          </x14:cfRule>
          <xm:sqref>AW32:BK32</xm:sqref>
        </x14:conditionalFormatting>
        <x14:conditionalFormatting xmlns:xm="http://schemas.microsoft.com/office/excel/2006/main">
          <x14:cfRule type="expression" priority="4690839" id="{99810EB9-805C-43D8-852A-EEECE7874CDB}">
            <xm:f>$BL$4='Data entry'!$R15</xm:f>
            <x14:dxf>
              <fill>
                <patternFill>
                  <bgColor rgb="FFFF0000"/>
                </patternFill>
              </fill>
            </x14:dxf>
          </x14:cfRule>
          <xm:sqref>BJ33:BV33</xm:sqref>
        </x14:conditionalFormatting>
        <x14:conditionalFormatting xmlns:xm="http://schemas.microsoft.com/office/excel/2006/main">
          <x14:cfRule type="expression" priority="4690840" id="{BF5F5475-4E46-479C-97A6-D5175F5D1803}">
            <xm:f>$BL$4='Data entry'!$R15</xm:f>
            <x14:dxf>
              <fill>
                <patternFill>
                  <bgColor rgb="FFFFFF00"/>
                </patternFill>
              </fill>
            </x14:dxf>
          </x14:cfRule>
          <xm:sqref>AX32:BL32</xm:sqref>
        </x14:conditionalFormatting>
        <x14:conditionalFormatting xmlns:xm="http://schemas.microsoft.com/office/excel/2006/main">
          <x14:cfRule type="expression" priority="4690841" id="{B86FDF2F-16C9-46B1-847E-7EA1A8A34B9D}">
            <xm:f>$BM$4='Data entry'!$R15</xm:f>
            <x14:dxf>
              <fill>
                <patternFill>
                  <bgColor rgb="FFFF0000"/>
                </patternFill>
              </fill>
            </x14:dxf>
          </x14:cfRule>
          <xm:sqref>BK33:BW33</xm:sqref>
        </x14:conditionalFormatting>
        <x14:conditionalFormatting xmlns:xm="http://schemas.microsoft.com/office/excel/2006/main">
          <x14:cfRule type="expression" priority="4690842" id="{72FD189F-4CED-400D-9FEF-21A328970A4D}">
            <xm:f>$BM$4='Data entry'!$R15</xm:f>
            <x14:dxf>
              <fill>
                <patternFill>
                  <bgColor rgb="FFFFFF00"/>
                </patternFill>
              </fill>
            </x14:dxf>
          </x14:cfRule>
          <xm:sqref>AY32:BM32</xm:sqref>
        </x14:conditionalFormatting>
        <x14:conditionalFormatting xmlns:xm="http://schemas.microsoft.com/office/excel/2006/main">
          <x14:cfRule type="expression" priority="4690843" id="{BBBBF859-D5A7-4F55-BFBF-8A77E3357590}">
            <xm:f>$BN$4='Data entry'!$R15</xm:f>
            <x14:dxf>
              <fill>
                <patternFill>
                  <bgColor rgb="FFFF0000"/>
                </patternFill>
              </fill>
            </x14:dxf>
          </x14:cfRule>
          <xm:sqref>BL33:BX33</xm:sqref>
        </x14:conditionalFormatting>
        <x14:conditionalFormatting xmlns:xm="http://schemas.microsoft.com/office/excel/2006/main">
          <x14:cfRule type="expression" priority="4690844" id="{50CB1D75-0FD5-4D24-92B1-E8A41DC6575C}">
            <xm:f>$BN$4='Data entry'!$R15</xm:f>
            <x14:dxf>
              <fill>
                <patternFill>
                  <bgColor rgb="FFFFFF00"/>
                </patternFill>
              </fill>
            </x14:dxf>
          </x14:cfRule>
          <xm:sqref>AZ32:BN32</xm:sqref>
        </x14:conditionalFormatting>
        <x14:conditionalFormatting xmlns:xm="http://schemas.microsoft.com/office/excel/2006/main">
          <x14:cfRule type="expression" priority="4690845" id="{9EF3226D-E8FC-496B-A6FF-71776AEA54D1}">
            <xm:f>$BO$4='Data entry'!$R15</xm:f>
            <x14:dxf>
              <fill>
                <patternFill>
                  <bgColor rgb="FFFF0000"/>
                </patternFill>
              </fill>
            </x14:dxf>
          </x14:cfRule>
          <xm:sqref>BM33:BY33</xm:sqref>
        </x14:conditionalFormatting>
        <x14:conditionalFormatting xmlns:xm="http://schemas.microsoft.com/office/excel/2006/main">
          <x14:cfRule type="expression" priority="4690846" id="{3B86C801-ECFE-4D05-8AA5-1581116BAFBC}">
            <xm:f>$BO$4='Data entry'!$R15</xm:f>
            <x14:dxf>
              <fill>
                <patternFill>
                  <bgColor rgb="FFFFFF00"/>
                </patternFill>
              </fill>
            </x14:dxf>
          </x14:cfRule>
          <xm:sqref>BA32:BO32</xm:sqref>
        </x14:conditionalFormatting>
        <x14:conditionalFormatting xmlns:xm="http://schemas.microsoft.com/office/excel/2006/main">
          <x14:cfRule type="expression" priority="4690847" id="{058A23EC-3371-4A02-9F20-1ECA603AC6BC}">
            <xm:f>$BP$4='Data entry'!$R15</xm:f>
            <x14:dxf>
              <fill>
                <patternFill>
                  <bgColor rgb="FFFF0000"/>
                </patternFill>
              </fill>
            </x14:dxf>
          </x14:cfRule>
          <xm:sqref>BN33:BZ33</xm:sqref>
        </x14:conditionalFormatting>
        <x14:conditionalFormatting xmlns:xm="http://schemas.microsoft.com/office/excel/2006/main">
          <x14:cfRule type="expression" priority="4690848" id="{3E711E31-3992-4555-AB22-87133D60CD15}">
            <xm:f>$BP$4='Data entry'!$R15</xm:f>
            <x14:dxf>
              <fill>
                <patternFill>
                  <bgColor rgb="FFFFFF00"/>
                </patternFill>
              </fill>
            </x14:dxf>
          </x14:cfRule>
          <xm:sqref>BB32:BP32</xm:sqref>
        </x14:conditionalFormatting>
        <x14:conditionalFormatting xmlns:xm="http://schemas.microsoft.com/office/excel/2006/main">
          <x14:cfRule type="expression" priority="4690849" id="{23E9F8B9-37D5-4730-9453-6F23E8ECBBE3}">
            <xm:f>$BQ$4='Data entry'!$R15</xm:f>
            <x14:dxf>
              <fill>
                <patternFill>
                  <bgColor rgb="FFFFFF00"/>
                </patternFill>
              </fill>
            </x14:dxf>
          </x14:cfRule>
          <xm:sqref>BC32:BQ32</xm:sqref>
        </x14:conditionalFormatting>
        <x14:conditionalFormatting xmlns:xm="http://schemas.microsoft.com/office/excel/2006/main">
          <x14:cfRule type="expression" priority="4690850" id="{BCFD92F6-AAD3-44FD-BC61-A292A81B883E}">
            <xm:f>$BQ$4='Data entry'!$R15</xm:f>
            <x14:dxf>
              <fill>
                <patternFill>
                  <bgColor rgb="FFFF0000"/>
                </patternFill>
              </fill>
            </x14:dxf>
          </x14:cfRule>
          <xm:sqref>BO33:CA33</xm:sqref>
        </x14:conditionalFormatting>
        <x14:conditionalFormatting xmlns:xm="http://schemas.microsoft.com/office/excel/2006/main">
          <x14:cfRule type="expression" priority="4690851" id="{357D60E5-F356-477E-8020-A18F42C02832}">
            <xm:f>$BR$4='Data entry'!$R15</xm:f>
            <x14:dxf>
              <fill>
                <patternFill>
                  <bgColor rgb="FFFFFF00"/>
                </patternFill>
              </fill>
            </x14:dxf>
          </x14:cfRule>
          <xm:sqref>BD32:BR32</xm:sqref>
        </x14:conditionalFormatting>
        <x14:conditionalFormatting xmlns:xm="http://schemas.microsoft.com/office/excel/2006/main">
          <x14:cfRule type="expression" priority="4690852" id="{DA2B6511-43B3-432D-B6AA-1DB1188B90A6}">
            <xm:f>$BR$4='Data entry'!$R15</xm:f>
            <x14:dxf>
              <fill>
                <patternFill>
                  <bgColor rgb="FFFF0000"/>
                </patternFill>
              </fill>
            </x14:dxf>
          </x14:cfRule>
          <xm:sqref>BP33:CB33</xm:sqref>
        </x14:conditionalFormatting>
        <x14:conditionalFormatting xmlns:xm="http://schemas.microsoft.com/office/excel/2006/main">
          <x14:cfRule type="expression" priority="4690853" id="{0D5F64E4-4136-4BFA-B833-CC8578525D9C}">
            <xm:f>$BS$4='Data entry'!$R15</xm:f>
            <x14:dxf>
              <fill>
                <patternFill>
                  <bgColor rgb="FFFFFF00"/>
                </patternFill>
              </fill>
            </x14:dxf>
          </x14:cfRule>
          <xm:sqref>BE32:BS32</xm:sqref>
        </x14:conditionalFormatting>
        <x14:conditionalFormatting xmlns:xm="http://schemas.microsoft.com/office/excel/2006/main">
          <x14:cfRule type="expression" priority="4690854" id="{AC94D468-F078-4AE2-8771-102996E07B09}">
            <xm:f>$BS$4='Data entry'!$R15</xm:f>
            <x14:dxf>
              <fill>
                <patternFill>
                  <bgColor rgb="FFFF0000"/>
                </patternFill>
              </fill>
            </x14:dxf>
          </x14:cfRule>
          <xm:sqref>BQ33:CC33</xm:sqref>
        </x14:conditionalFormatting>
        <x14:conditionalFormatting xmlns:xm="http://schemas.microsoft.com/office/excel/2006/main">
          <x14:cfRule type="expression" priority="4690855" id="{10E78F76-181E-4F19-9F89-7DD36D3EFE30}">
            <xm:f>$BT$4='Data entry'!$R15</xm:f>
            <x14:dxf>
              <fill>
                <patternFill>
                  <bgColor rgb="FFFFFF00"/>
                </patternFill>
              </fill>
            </x14:dxf>
          </x14:cfRule>
          <xm:sqref>BF32:BT32</xm:sqref>
        </x14:conditionalFormatting>
        <x14:conditionalFormatting xmlns:xm="http://schemas.microsoft.com/office/excel/2006/main">
          <x14:cfRule type="expression" priority="4690856" id="{6A5FADC6-9512-4EFB-90A5-7B5244D10D1F}">
            <xm:f>$BT$4='Data entry'!$R15</xm:f>
            <x14:dxf>
              <fill>
                <patternFill>
                  <bgColor rgb="FFFF0000"/>
                </patternFill>
              </fill>
            </x14:dxf>
          </x14:cfRule>
          <xm:sqref>BR33:CC33</xm:sqref>
        </x14:conditionalFormatting>
        <x14:conditionalFormatting xmlns:xm="http://schemas.microsoft.com/office/excel/2006/main">
          <x14:cfRule type="expression" priority="4690857" id="{A51139D1-8841-4B96-B8CB-DFE3808765CF}">
            <xm:f>$BU$4='Data entry'!$R15</xm:f>
            <x14:dxf>
              <fill>
                <patternFill>
                  <bgColor rgb="FFFFFF00"/>
                </patternFill>
              </fill>
            </x14:dxf>
          </x14:cfRule>
          <xm:sqref>BG32:BU32</xm:sqref>
        </x14:conditionalFormatting>
        <x14:conditionalFormatting xmlns:xm="http://schemas.microsoft.com/office/excel/2006/main">
          <x14:cfRule type="expression" priority="4690858" id="{55CA7258-760F-4BFF-ACB5-A70FEB3E7981}">
            <xm:f>$BU$4='Data entry'!$R15</xm:f>
            <x14:dxf>
              <fill>
                <patternFill>
                  <bgColor rgb="FFFF0000"/>
                </patternFill>
              </fill>
            </x14:dxf>
          </x14:cfRule>
          <xm:sqref>BS33:CC33</xm:sqref>
        </x14:conditionalFormatting>
        <x14:conditionalFormatting xmlns:xm="http://schemas.microsoft.com/office/excel/2006/main">
          <x14:cfRule type="expression" priority="4690859" id="{A922B218-64DB-4CBB-9AB8-FE0EBB44E09E}">
            <xm:f>$BV$4='Data entry'!$R15</xm:f>
            <x14:dxf>
              <fill>
                <patternFill>
                  <bgColor rgb="FFFFFF00"/>
                </patternFill>
              </fill>
            </x14:dxf>
          </x14:cfRule>
          <xm:sqref>BH32:BV32</xm:sqref>
        </x14:conditionalFormatting>
        <x14:conditionalFormatting xmlns:xm="http://schemas.microsoft.com/office/excel/2006/main">
          <x14:cfRule type="expression" priority="4690860" id="{C98E908A-CD31-4778-B41C-7AFB9DBE639A}">
            <xm:f>$BV$4='Data entry'!$R15</xm:f>
            <x14:dxf>
              <fill>
                <patternFill>
                  <bgColor rgb="FFFF0000"/>
                </patternFill>
              </fill>
            </x14:dxf>
          </x14:cfRule>
          <xm:sqref>BT33:CC33</xm:sqref>
        </x14:conditionalFormatting>
        <x14:conditionalFormatting xmlns:xm="http://schemas.microsoft.com/office/excel/2006/main">
          <x14:cfRule type="expression" priority="4690861" id="{465CCCA3-B4DB-4B61-8AC7-8A5E4CEC9E3F}">
            <xm:f>$BW$4='Data entry'!$R15</xm:f>
            <x14:dxf>
              <fill>
                <patternFill>
                  <bgColor rgb="FFFFFF00"/>
                </patternFill>
              </fill>
            </x14:dxf>
          </x14:cfRule>
          <xm:sqref>BI32:BW32</xm:sqref>
        </x14:conditionalFormatting>
        <x14:conditionalFormatting xmlns:xm="http://schemas.microsoft.com/office/excel/2006/main">
          <x14:cfRule type="expression" priority="4690862" id="{37566F97-6D06-400B-A709-FE657B07687F}">
            <xm:f>$BW$4='Data entry'!$R15</xm:f>
            <x14:dxf>
              <fill>
                <patternFill>
                  <bgColor rgb="FFFF0000"/>
                </patternFill>
              </fill>
            </x14:dxf>
          </x14:cfRule>
          <xm:sqref>BU33:CC33</xm:sqref>
        </x14:conditionalFormatting>
        <x14:conditionalFormatting xmlns:xm="http://schemas.microsoft.com/office/excel/2006/main">
          <x14:cfRule type="expression" priority="4690863" id="{D8FBA3AC-5CF0-4E45-97CA-1D4DEE729ADA}">
            <xm:f>$BX$4='Data entry'!$R15</xm:f>
            <x14:dxf>
              <fill>
                <patternFill>
                  <bgColor rgb="FFFFFF00"/>
                </patternFill>
              </fill>
            </x14:dxf>
          </x14:cfRule>
          <xm:sqref>BJ32:BX32</xm:sqref>
        </x14:conditionalFormatting>
        <x14:conditionalFormatting xmlns:xm="http://schemas.microsoft.com/office/excel/2006/main">
          <x14:cfRule type="expression" priority="4690864" id="{E077C84B-A94F-431D-B232-4AFCC7C64F54}">
            <xm:f>$BX$4='Data entry'!$R15</xm:f>
            <x14:dxf>
              <fill>
                <patternFill>
                  <bgColor rgb="FFFF0000"/>
                </patternFill>
              </fill>
            </x14:dxf>
          </x14:cfRule>
          <xm:sqref>BV33:CC33</xm:sqref>
        </x14:conditionalFormatting>
        <x14:conditionalFormatting xmlns:xm="http://schemas.microsoft.com/office/excel/2006/main">
          <x14:cfRule type="expression" priority="4690865" id="{63783BA8-0C97-4A44-86FD-7A2BCF1B9957}">
            <xm:f>$BY$4='Data entry'!$R15</xm:f>
            <x14:dxf>
              <fill>
                <patternFill>
                  <bgColor rgb="FFFFFF00"/>
                </patternFill>
              </fill>
            </x14:dxf>
          </x14:cfRule>
          <xm:sqref>BK32:BY32</xm:sqref>
        </x14:conditionalFormatting>
        <x14:conditionalFormatting xmlns:xm="http://schemas.microsoft.com/office/excel/2006/main">
          <x14:cfRule type="expression" priority="4690866" id="{BB8DB8B4-B71B-46D2-AEE7-346F16103F74}">
            <xm:f>$BY$4='Data entry'!$R15</xm:f>
            <x14:dxf>
              <fill>
                <patternFill>
                  <bgColor rgb="FFFF0000"/>
                </patternFill>
              </fill>
            </x14:dxf>
          </x14:cfRule>
          <xm:sqref>BW33:CC33</xm:sqref>
        </x14:conditionalFormatting>
        <x14:conditionalFormatting xmlns:xm="http://schemas.microsoft.com/office/excel/2006/main">
          <x14:cfRule type="expression" priority="4690867" id="{1B638B98-2B06-4FEB-90C1-446A3E0A3979}">
            <xm:f>$BZ$4='Data entry'!$R15</xm:f>
            <x14:dxf>
              <fill>
                <patternFill>
                  <bgColor rgb="FFFFFF00"/>
                </patternFill>
              </fill>
            </x14:dxf>
          </x14:cfRule>
          <xm:sqref>BL32:BZ32</xm:sqref>
        </x14:conditionalFormatting>
        <x14:conditionalFormatting xmlns:xm="http://schemas.microsoft.com/office/excel/2006/main">
          <x14:cfRule type="expression" priority="4690868" id="{D3A0A2F8-D1B2-4DC5-B2A9-0EF53074E685}">
            <xm:f>$BZ$4='Data entry'!$R15</xm:f>
            <x14:dxf>
              <fill>
                <patternFill>
                  <bgColor rgb="FFFF0000"/>
                </patternFill>
              </fill>
            </x14:dxf>
          </x14:cfRule>
          <xm:sqref>BX33:CC33</xm:sqref>
        </x14:conditionalFormatting>
        <x14:conditionalFormatting xmlns:xm="http://schemas.microsoft.com/office/excel/2006/main">
          <x14:cfRule type="expression" priority="4690869" id="{83F6D018-7D3B-4D33-9998-11572F2F2FF5}">
            <xm:f>$CA$4='Data entry'!$R15</xm:f>
            <x14:dxf>
              <fill>
                <patternFill>
                  <bgColor rgb="FFFFFF00"/>
                </patternFill>
              </fill>
            </x14:dxf>
          </x14:cfRule>
          <xm:sqref>BM32:CA32</xm:sqref>
        </x14:conditionalFormatting>
        <x14:conditionalFormatting xmlns:xm="http://schemas.microsoft.com/office/excel/2006/main">
          <x14:cfRule type="expression" priority="4690870" id="{8E6D0B51-5626-4ED9-9072-C7A2C139704F}">
            <xm:f>$CA$4='Data entry'!$R15</xm:f>
            <x14:dxf>
              <fill>
                <patternFill>
                  <bgColor rgb="FFFF0000"/>
                </patternFill>
              </fill>
            </x14:dxf>
          </x14:cfRule>
          <xm:sqref>BY33:CC33</xm:sqref>
        </x14:conditionalFormatting>
        <x14:conditionalFormatting xmlns:xm="http://schemas.microsoft.com/office/excel/2006/main">
          <x14:cfRule type="expression" priority="4690871" id="{E1886EE4-3BDE-43A9-9F4B-79377FEC37FE}">
            <xm:f>$CB$4='Data entry'!$R15</xm:f>
            <x14:dxf>
              <fill>
                <patternFill>
                  <bgColor rgb="FFFFFF00"/>
                </patternFill>
              </fill>
            </x14:dxf>
          </x14:cfRule>
          <xm:sqref>BN32:CB32</xm:sqref>
        </x14:conditionalFormatting>
        <x14:conditionalFormatting xmlns:xm="http://schemas.microsoft.com/office/excel/2006/main">
          <x14:cfRule type="expression" priority="4690872" id="{ADEF572A-6C18-4602-BB86-01C96D36E07E}">
            <xm:f>$CB$4='Data entry'!$R15</xm:f>
            <x14:dxf>
              <fill>
                <patternFill>
                  <bgColor rgb="FFFF0000"/>
                </patternFill>
              </fill>
            </x14:dxf>
          </x14:cfRule>
          <xm:sqref>BZ33:CC33</xm:sqref>
        </x14:conditionalFormatting>
        <x14:conditionalFormatting xmlns:xm="http://schemas.microsoft.com/office/excel/2006/main">
          <x14:cfRule type="expression" priority="4690873" id="{7984E1C9-E073-4955-8543-62145CB6D008}">
            <xm:f>$CC$4='Data entry'!$R15</xm:f>
            <x14:dxf>
              <fill>
                <patternFill>
                  <bgColor rgb="FFFFFF00"/>
                </patternFill>
              </fill>
            </x14:dxf>
          </x14:cfRule>
          <xm:sqref>BO32:CC32</xm:sqref>
        </x14:conditionalFormatting>
        <x14:conditionalFormatting xmlns:xm="http://schemas.microsoft.com/office/excel/2006/main">
          <x14:cfRule type="expression" priority="4690874" id="{18A957B3-59FA-4698-BA92-2A208FF18E2F}">
            <xm:f>$CC$4='Data entry'!$R15</xm:f>
            <x14:dxf>
              <fill>
                <patternFill>
                  <bgColor rgb="FFFF0000"/>
                </patternFill>
              </fill>
            </x14:dxf>
          </x14:cfRule>
          <xm:sqref>CA33:CC33</xm:sqref>
        </x14:conditionalFormatting>
        <x14:conditionalFormatting xmlns:xm="http://schemas.microsoft.com/office/excel/2006/main">
          <x14:cfRule type="expression" priority="4690961" id="{5B0DB825-B7C2-40AC-B7EF-F267F054CFB9}">
            <xm:f>$U$4='Data entry'!$R16</xm:f>
            <x14:dxf>
              <fill>
                <patternFill>
                  <bgColor rgb="FFFF0000"/>
                </patternFill>
              </fill>
            </x14:dxf>
          </x14:cfRule>
          <xm:sqref>S36:AE36</xm:sqref>
        </x14:conditionalFormatting>
        <x14:conditionalFormatting xmlns:xm="http://schemas.microsoft.com/office/excel/2006/main">
          <x14:cfRule type="expression" priority="4690962" id="{18311200-E2BB-400F-B594-3B9A2C6068C2}">
            <xm:f>$V$4='Data entry'!$R16</xm:f>
            <x14:dxf>
              <fill>
                <patternFill>
                  <bgColor rgb="FFFF0000"/>
                </patternFill>
              </fill>
            </x14:dxf>
          </x14:cfRule>
          <xm:sqref>T36:AF36</xm:sqref>
        </x14:conditionalFormatting>
        <x14:conditionalFormatting xmlns:xm="http://schemas.microsoft.com/office/excel/2006/main">
          <x14:cfRule type="expression" priority="4690963" id="{D6DFB621-1A58-4C59-A987-ECAD0EB2D32B}">
            <xm:f>$V$4='Data entry'!$R16</xm:f>
            <x14:dxf>
              <fill>
                <patternFill>
                  <bgColor rgb="FFFFFF00"/>
                </patternFill>
              </fill>
            </x14:dxf>
          </x14:cfRule>
          <xm:sqref>H35:V35</xm:sqref>
        </x14:conditionalFormatting>
        <x14:conditionalFormatting xmlns:xm="http://schemas.microsoft.com/office/excel/2006/main">
          <x14:cfRule type="expression" priority="4690964" id="{5F87A680-DC5F-433D-A779-B7A534ACCDA9}">
            <xm:f>$W$4='Data entry'!$R16</xm:f>
            <x14:dxf>
              <fill>
                <patternFill>
                  <bgColor rgb="FFFF0000"/>
                </patternFill>
              </fill>
            </x14:dxf>
          </x14:cfRule>
          <xm:sqref>U36:AG36</xm:sqref>
        </x14:conditionalFormatting>
        <x14:conditionalFormatting xmlns:xm="http://schemas.microsoft.com/office/excel/2006/main">
          <x14:cfRule type="expression" priority="4690965" id="{964539FF-A92C-4F68-B268-B7157A32678C}">
            <xm:f>$W$4='Data entry'!$R16</xm:f>
            <x14:dxf>
              <fill>
                <patternFill>
                  <bgColor rgb="FFFFFF00"/>
                </patternFill>
              </fill>
            </x14:dxf>
          </x14:cfRule>
          <xm:sqref>I35:W35</xm:sqref>
        </x14:conditionalFormatting>
        <x14:conditionalFormatting xmlns:xm="http://schemas.microsoft.com/office/excel/2006/main">
          <x14:cfRule type="expression" priority="4690966" id="{46C1533A-F090-4A90-9309-3F59EC3FD3B0}">
            <xm:f>$X$4='Data entry'!$R16</xm:f>
            <x14:dxf>
              <fill>
                <patternFill>
                  <bgColor rgb="FFFF0000"/>
                </patternFill>
              </fill>
            </x14:dxf>
          </x14:cfRule>
          <xm:sqref>V36:AH36</xm:sqref>
        </x14:conditionalFormatting>
        <x14:conditionalFormatting xmlns:xm="http://schemas.microsoft.com/office/excel/2006/main">
          <x14:cfRule type="expression" priority="4690967" id="{7C70E81C-DDD4-4D75-933A-4F6A39893184}">
            <xm:f>$X$4='Data entry'!$R16</xm:f>
            <x14:dxf>
              <fill>
                <patternFill>
                  <bgColor rgb="FFFFFF00"/>
                </patternFill>
              </fill>
            </x14:dxf>
          </x14:cfRule>
          <xm:sqref>J35:X35</xm:sqref>
        </x14:conditionalFormatting>
        <x14:conditionalFormatting xmlns:xm="http://schemas.microsoft.com/office/excel/2006/main">
          <x14:cfRule type="expression" priority="4690968" id="{561AF073-0EF8-4B72-A119-40A639C4359D}">
            <xm:f>$Y$4='Data entry'!$R16</xm:f>
            <x14:dxf>
              <fill>
                <patternFill>
                  <bgColor rgb="FFFF0000"/>
                </patternFill>
              </fill>
            </x14:dxf>
          </x14:cfRule>
          <xm:sqref>W36:AI36</xm:sqref>
        </x14:conditionalFormatting>
        <x14:conditionalFormatting xmlns:xm="http://schemas.microsoft.com/office/excel/2006/main">
          <x14:cfRule type="expression" priority="4690969" id="{F242E808-8F07-4A89-9524-7D4C767CE357}">
            <xm:f>$Y$4='Data entry'!$R16</xm:f>
            <x14:dxf>
              <fill>
                <patternFill>
                  <bgColor rgb="FFFFFF00"/>
                </patternFill>
              </fill>
            </x14:dxf>
          </x14:cfRule>
          <xm:sqref>K35:Y35</xm:sqref>
        </x14:conditionalFormatting>
        <x14:conditionalFormatting xmlns:xm="http://schemas.microsoft.com/office/excel/2006/main">
          <x14:cfRule type="expression" priority="4690970" id="{DD601058-982B-4218-BD9D-64BB823C2633}">
            <xm:f>$Z$4='Data entry'!$R16</xm:f>
            <x14:dxf>
              <fill>
                <patternFill>
                  <bgColor rgb="FFFF0000"/>
                </patternFill>
              </fill>
            </x14:dxf>
          </x14:cfRule>
          <xm:sqref>X36:AJ36</xm:sqref>
        </x14:conditionalFormatting>
        <x14:conditionalFormatting xmlns:xm="http://schemas.microsoft.com/office/excel/2006/main">
          <x14:cfRule type="expression" priority="4690971" id="{C9DB141D-79F6-4093-92A3-7BF7A1622985}">
            <xm:f>$Z$4='Data entry'!$R16</xm:f>
            <x14:dxf>
              <fill>
                <patternFill>
                  <bgColor rgb="FFFFFF00"/>
                </patternFill>
              </fill>
            </x14:dxf>
          </x14:cfRule>
          <xm:sqref>L35:Z35</xm:sqref>
        </x14:conditionalFormatting>
        <x14:conditionalFormatting xmlns:xm="http://schemas.microsoft.com/office/excel/2006/main">
          <x14:cfRule type="expression" priority="4690972" id="{710EB8D3-F5C0-4E3C-8214-2D0C4E26F649}">
            <xm:f>$AA$4='Data entry'!$R16</xm:f>
            <x14:dxf>
              <fill>
                <patternFill>
                  <bgColor rgb="FFFF0000"/>
                </patternFill>
              </fill>
            </x14:dxf>
          </x14:cfRule>
          <xm:sqref>Y36:AK36</xm:sqref>
        </x14:conditionalFormatting>
        <x14:conditionalFormatting xmlns:xm="http://schemas.microsoft.com/office/excel/2006/main">
          <x14:cfRule type="expression" priority="4690973" id="{33825D69-C967-4D27-B395-5D44A3083802}">
            <xm:f>$AA$4='Data entry'!$R16</xm:f>
            <x14:dxf>
              <fill>
                <patternFill>
                  <bgColor rgb="FFFFFF00"/>
                </patternFill>
              </fill>
            </x14:dxf>
          </x14:cfRule>
          <xm:sqref>M35:AA35</xm:sqref>
        </x14:conditionalFormatting>
        <x14:conditionalFormatting xmlns:xm="http://schemas.microsoft.com/office/excel/2006/main">
          <x14:cfRule type="expression" priority="4690974" id="{9811A97D-351B-4D32-8754-AF433277E62B}">
            <xm:f>$AB$4='Data entry'!$R16</xm:f>
            <x14:dxf>
              <fill>
                <patternFill>
                  <bgColor rgb="FFFF0000"/>
                </patternFill>
              </fill>
            </x14:dxf>
          </x14:cfRule>
          <xm:sqref>Z36:AL36</xm:sqref>
        </x14:conditionalFormatting>
        <x14:conditionalFormatting xmlns:xm="http://schemas.microsoft.com/office/excel/2006/main">
          <x14:cfRule type="expression" priority="4690975" id="{6DD3E556-C72E-438B-92DA-3096ED1E4178}">
            <xm:f>$AB$4='Data entry'!$R16</xm:f>
            <x14:dxf>
              <fill>
                <patternFill>
                  <bgColor rgb="FFFFFF00"/>
                </patternFill>
              </fill>
            </x14:dxf>
          </x14:cfRule>
          <xm:sqref>N35:AB35</xm:sqref>
        </x14:conditionalFormatting>
        <x14:conditionalFormatting xmlns:xm="http://schemas.microsoft.com/office/excel/2006/main">
          <x14:cfRule type="expression" priority="4690976" id="{C0DF7A1B-D6BC-4371-BD3A-F0708147FA1C}">
            <xm:f>$AC$4='Data entry'!$R16</xm:f>
            <x14:dxf>
              <fill>
                <patternFill>
                  <bgColor rgb="FFFF0000"/>
                </patternFill>
              </fill>
            </x14:dxf>
          </x14:cfRule>
          <xm:sqref>AA36:AM36</xm:sqref>
        </x14:conditionalFormatting>
        <x14:conditionalFormatting xmlns:xm="http://schemas.microsoft.com/office/excel/2006/main">
          <x14:cfRule type="expression" priority="4690977" id="{DB2E1F48-AF0E-41F9-A976-6B1963CA5711}">
            <xm:f>$AC$4='Data entry'!$R16</xm:f>
            <x14:dxf>
              <fill>
                <patternFill>
                  <bgColor rgb="FFFFFF00"/>
                </patternFill>
              </fill>
            </x14:dxf>
          </x14:cfRule>
          <xm:sqref>O35:AC35</xm:sqref>
        </x14:conditionalFormatting>
        <x14:conditionalFormatting xmlns:xm="http://schemas.microsoft.com/office/excel/2006/main">
          <x14:cfRule type="expression" priority="4690978" id="{89909907-F9A9-4AF9-BC1D-304710A43F50}">
            <xm:f>$AD$4='Data entry'!$R16</xm:f>
            <x14:dxf>
              <fill>
                <patternFill>
                  <bgColor rgb="FFFF0000"/>
                </patternFill>
              </fill>
            </x14:dxf>
          </x14:cfRule>
          <xm:sqref>AB36:AN36</xm:sqref>
        </x14:conditionalFormatting>
        <x14:conditionalFormatting xmlns:xm="http://schemas.microsoft.com/office/excel/2006/main">
          <x14:cfRule type="expression" priority="4690979" id="{729676B7-E331-43A4-ACC9-850DCEE76A0E}">
            <xm:f>$AD$4='Data entry'!$R16</xm:f>
            <x14:dxf>
              <fill>
                <patternFill>
                  <bgColor rgb="FFFFFF00"/>
                </patternFill>
              </fill>
            </x14:dxf>
          </x14:cfRule>
          <xm:sqref>P35:AD35</xm:sqref>
        </x14:conditionalFormatting>
        <x14:conditionalFormatting xmlns:xm="http://schemas.microsoft.com/office/excel/2006/main">
          <x14:cfRule type="expression" priority="4690980" id="{00DA2C55-350E-44AA-ABEA-808FABFDA737}">
            <xm:f>$AE$4='Data entry'!$R16</xm:f>
            <x14:dxf>
              <fill>
                <patternFill>
                  <bgColor rgb="FFFF0000"/>
                </patternFill>
              </fill>
            </x14:dxf>
          </x14:cfRule>
          <xm:sqref>AC36:AO36</xm:sqref>
        </x14:conditionalFormatting>
        <x14:conditionalFormatting xmlns:xm="http://schemas.microsoft.com/office/excel/2006/main">
          <x14:cfRule type="expression" priority="4690981" id="{373C95F1-00C1-45E9-B561-5224945BA4A4}">
            <xm:f>$AE$4='Data entry'!$R16</xm:f>
            <x14:dxf>
              <fill>
                <patternFill>
                  <bgColor rgb="FFFFFF00"/>
                </patternFill>
              </fill>
            </x14:dxf>
          </x14:cfRule>
          <xm:sqref>Q35:AE35</xm:sqref>
        </x14:conditionalFormatting>
        <x14:conditionalFormatting xmlns:xm="http://schemas.microsoft.com/office/excel/2006/main">
          <x14:cfRule type="expression" priority="4690982" id="{65E90E74-6BEF-4B00-BD5E-ECACFEBC225A}">
            <xm:f>$AF$4='Data entry'!$R16</xm:f>
            <x14:dxf>
              <fill>
                <patternFill>
                  <bgColor rgb="FFFF0000"/>
                </patternFill>
              </fill>
            </x14:dxf>
          </x14:cfRule>
          <xm:sqref>AD36:AP36</xm:sqref>
        </x14:conditionalFormatting>
        <x14:conditionalFormatting xmlns:xm="http://schemas.microsoft.com/office/excel/2006/main">
          <x14:cfRule type="expression" priority="4690983" id="{56B519D7-E083-4811-B42B-D6CB10D44BB3}">
            <xm:f>$AF$4='Data entry'!$R16</xm:f>
            <x14:dxf>
              <fill>
                <patternFill>
                  <bgColor rgb="FFFFFF00"/>
                </patternFill>
              </fill>
            </x14:dxf>
          </x14:cfRule>
          <xm:sqref>R35:AF35</xm:sqref>
        </x14:conditionalFormatting>
        <x14:conditionalFormatting xmlns:xm="http://schemas.microsoft.com/office/excel/2006/main">
          <x14:cfRule type="expression" priority="4690984" id="{889682B6-BF9B-414B-86B7-1C802156B058}">
            <xm:f>$AG$4='Data entry'!$R16</xm:f>
            <x14:dxf>
              <fill>
                <patternFill>
                  <bgColor rgb="FFFF0000"/>
                </patternFill>
              </fill>
            </x14:dxf>
          </x14:cfRule>
          <xm:sqref>AE36:AQ36</xm:sqref>
        </x14:conditionalFormatting>
        <x14:conditionalFormatting xmlns:xm="http://schemas.microsoft.com/office/excel/2006/main">
          <x14:cfRule type="expression" priority="4690985" id="{19913D88-1940-4CB0-B29C-D46D60833BD5}">
            <xm:f>$AG$4='Data entry'!$R16</xm:f>
            <x14:dxf>
              <fill>
                <patternFill>
                  <bgColor rgb="FFFFFF00"/>
                </patternFill>
              </fill>
            </x14:dxf>
          </x14:cfRule>
          <xm:sqref>S35:AG35</xm:sqref>
        </x14:conditionalFormatting>
        <x14:conditionalFormatting xmlns:xm="http://schemas.microsoft.com/office/excel/2006/main">
          <x14:cfRule type="expression" priority="4690986" id="{3DD7B9A5-18A3-463F-BAD5-9796FC487328}">
            <xm:f>$AH$4='Data entry'!$R16</xm:f>
            <x14:dxf>
              <fill>
                <patternFill>
                  <bgColor rgb="FFFF0000"/>
                </patternFill>
              </fill>
            </x14:dxf>
          </x14:cfRule>
          <xm:sqref>AF36:AR36</xm:sqref>
        </x14:conditionalFormatting>
        <x14:conditionalFormatting xmlns:xm="http://schemas.microsoft.com/office/excel/2006/main">
          <x14:cfRule type="expression" priority="4690987" id="{31005CF4-5608-496E-91EB-F7F505046C80}">
            <xm:f>$AH$4='Data entry'!$R16</xm:f>
            <x14:dxf>
              <fill>
                <patternFill>
                  <bgColor rgb="FFFFFF00"/>
                </patternFill>
              </fill>
            </x14:dxf>
          </x14:cfRule>
          <xm:sqref>T35:AH35</xm:sqref>
        </x14:conditionalFormatting>
        <x14:conditionalFormatting xmlns:xm="http://schemas.microsoft.com/office/excel/2006/main">
          <x14:cfRule type="expression" priority="4690988" id="{CD14F654-5B7A-444F-8FC1-7DD71E76E475}">
            <xm:f>$AI$4='Data entry'!$R16</xm:f>
            <x14:dxf>
              <fill>
                <patternFill>
                  <bgColor rgb="FFFF0000"/>
                </patternFill>
              </fill>
            </x14:dxf>
          </x14:cfRule>
          <xm:sqref>AG36:AS36</xm:sqref>
        </x14:conditionalFormatting>
        <x14:conditionalFormatting xmlns:xm="http://schemas.microsoft.com/office/excel/2006/main">
          <x14:cfRule type="expression" priority="4690989" id="{0E4E448C-6C46-4285-B877-A61A90294385}">
            <xm:f>$AI$4='Data entry'!$R16</xm:f>
            <x14:dxf>
              <fill>
                <patternFill>
                  <bgColor rgb="FFFFFF00"/>
                </patternFill>
              </fill>
            </x14:dxf>
          </x14:cfRule>
          <xm:sqref>U35:AI35</xm:sqref>
        </x14:conditionalFormatting>
        <x14:conditionalFormatting xmlns:xm="http://schemas.microsoft.com/office/excel/2006/main">
          <x14:cfRule type="expression" priority="4690990" id="{B1C1818F-791C-403D-BE73-6F6E9DC6A16D}">
            <xm:f>$AJ$4='Data entry'!$R16</xm:f>
            <x14:dxf>
              <fill>
                <patternFill>
                  <bgColor rgb="FFFF0000"/>
                </patternFill>
              </fill>
            </x14:dxf>
          </x14:cfRule>
          <xm:sqref>AH36:AT36</xm:sqref>
        </x14:conditionalFormatting>
        <x14:conditionalFormatting xmlns:xm="http://schemas.microsoft.com/office/excel/2006/main">
          <x14:cfRule type="expression" priority="4690991" id="{A1237792-221B-431B-B8A7-E9A64DA46D93}">
            <xm:f>$AJ$4='Data entry'!$R16</xm:f>
            <x14:dxf>
              <fill>
                <patternFill>
                  <bgColor rgb="FFFFFF00"/>
                </patternFill>
              </fill>
            </x14:dxf>
          </x14:cfRule>
          <xm:sqref>V35:AJ35</xm:sqref>
        </x14:conditionalFormatting>
        <x14:conditionalFormatting xmlns:xm="http://schemas.microsoft.com/office/excel/2006/main">
          <x14:cfRule type="expression" priority="4690992" id="{617DC2AF-C7A3-4724-8EA3-17DEFEDC8949}">
            <xm:f>$AK$4='Data entry'!$R16</xm:f>
            <x14:dxf>
              <fill>
                <patternFill>
                  <bgColor rgb="FFFF0000"/>
                </patternFill>
              </fill>
            </x14:dxf>
          </x14:cfRule>
          <xm:sqref>AI36:AU36</xm:sqref>
        </x14:conditionalFormatting>
        <x14:conditionalFormatting xmlns:xm="http://schemas.microsoft.com/office/excel/2006/main">
          <x14:cfRule type="expression" priority="4690993" id="{AA72317D-37B1-48EB-A28B-BF2AC8DC4519}">
            <xm:f>$AK$4='Data entry'!$R16</xm:f>
            <x14:dxf>
              <fill>
                <patternFill>
                  <bgColor rgb="FFFFFF00"/>
                </patternFill>
              </fill>
            </x14:dxf>
          </x14:cfRule>
          <xm:sqref>W35:AK35</xm:sqref>
        </x14:conditionalFormatting>
        <x14:conditionalFormatting xmlns:xm="http://schemas.microsoft.com/office/excel/2006/main">
          <x14:cfRule type="expression" priority="4690994" id="{6CA9FB7A-20EA-4D3A-B74C-A001F4BE810D}">
            <xm:f>$AL$4='Data entry'!$R16</xm:f>
            <x14:dxf>
              <fill>
                <patternFill>
                  <bgColor rgb="FFFF0000"/>
                </patternFill>
              </fill>
            </x14:dxf>
          </x14:cfRule>
          <xm:sqref>AJ36:AV36</xm:sqref>
        </x14:conditionalFormatting>
        <x14:conditionalFormatting xmlns:xm="http://schemas.microsoft.com/office/excel/2006/main">
          <x14:cfRule type="expression" priority="4690995" id="{81A75DAA-573F-4EF3-A640-1B992C18BEA0}">
            <xm:f>$AL$4='Data entry'!$R16</xm:f>
            <x14:dxf>
              <fill>
                <patternFill>
                  <bgColor rgb="FFFFFF00"/>
                </patternFill>
              </fill>
            </x14:dxf>
          </x14:cfRule>
          <xm:sqref>X35:AL35</xm:sqref>
        </x14:conditionalFormatting>
        <x14:conditionalFormatting xmlns:xm="http://schemas.microsoft.com/office/excel/2006/main">
          <x14:cfRule type="expression" priority="4690996" id="{3D44713E-4ABA-4CCD-9DF4-5513A9FB5E1E}">
            <xm:f>$AM$4='Data entry'!$R16</xm:f>
            <x14:dxf>
              <fill>
                <patternFill>
                  <bgColor rgb="FFFF0000"/>
                </patternFill>
              </fill>
            </x14:dxf>
          </x14:cfRule>
          <xm:sqref>AK36:AW36</xm:sqref>
        </x14:conditionalFormatting>
        <x14:conditionalFormatting xmlns:xm="http://schemas.microsoft.com/office/excel/2006/main">
          <x14:cfRule type="expression" priority="4690997" id="{05A26B51-72A7-4423-822F-2BDBC28275D0}">
            <xm:f>$AM$4='Data entry'!$R16</xm:f>
            <x14:dxf>
              <fill>
                <patternFill>
                  <bgColor rgb="FFFFFF00"/>
                </patternFill>
              </fill>
            </x14:dxf>
          </x14:cfRule>
          <xm:sqref>Y35:AM35</xm:sqref>
        </x14:conditionalFormatting>
        <x14:conditionalFormatting xmlns:xm="http://schemas.microsoft.com/office/excel/2006/main">
          <x14:cfRule type="expression" priority="4690998" id="{B8A20675-6230-4694-A7F6-6B3DC7142773}">
            <xm:f>$AN$4='Data entry'!$R16</xm:f>
            <x14:dxf>
              <fill>
                <patternFill>
                  <bgColor rgb="FFFF0000"/>
                </patternFill>
              </fill>
            </x14:dxf>
          </x14:cfRule>
          <xm:sqref>AL36:AX36</xm:sqref>
        </x14:conditionalFormatting>
        <x14:conditionalFormatting xmlns:xm="http://schemas.microsoft.com/office/excel/2006/main">
          <x14:cfRule type="expression" priority="4690999" id="{8421181C-7450-42E9-BC1D-065CCFCA960E}">
            <xm:f>$AN$4='Data entry'!$R16</xm:f>
            <x14:dxf>
              <fill>
                <patternFill>
                  <bgColor rgb="FFFFFF00"/>
                </patternFill>
              </fill>
            </x14:dxf>
          </x14:cfRule>
          <xm:sqref>Z35:AN35</xm:sqref>
        </x14:conditionalFormatting>
        <x14:conditionalFormatting xmlns:xm="http://schemas.microsoft.com/office/excel/2006/main">
          <x14:cfRule type="expression" priority="4691000" id="{067FE4BD-6EF4-4684-B6E0-35AB2F267EE7}">
            <xm:f>$AO$4='Data entry'!$R16</xm:f>
            <x14:dxf>
              <fill>
                <patternFill>
                  <bgColor rgb="FFFF0000"/>
                </patternFill>
              </fill>
            </x14:dxf>
          </x14:cfRule>
          <xm:sqref>AM36:AY36</xm:sqref>
        </x14:conditionalFormatting>
        <x14:conditionalFormatting xmlns:xm="http://schemas.microsoft.com/office/excel/2006/main">
          <x14:cfRule type="expression" priority="4691001" id="{F7653492-88D1-47AC-8BA3-0CCE65C3C2AB}">
            <xm:f>$AO$4='Data entry'!$R16</xm:f>
            <x14:dxf>
              <fill>
                <patternFill>
                  <bgColor rgb="FFFFFF00"/>
                </patternFill>
              </fill>
            </x14:dxf>
          </x14:cfRule>
          <xm:sqref>AA35:AO35</xm:sqref>
        </x14:conditionalFormatting>
        <x14:conditionalFormatting xmlns:xm="http://schemas.microsoft.com/office/excel/2006/main">
          <x14:cfRule type="expression" priority="4691002" id="{207A5E5D-B322-482E-9193-1D7318138358}">
            <xm:f>$AP$4='Data entry'!$R16</xm:f>
            <x14:dxf>
              <fill>
                <patternFill>
                  <bgColor rgb="FFFF0000"/>
                </patternFill>
              </fill>
            </x14:dxf>
          </x14:cfRule>
          <xm:sqref>AN36:AZ36</xm:sqref>
        </x14:conditionalFormatting>
        <x14:conditionalFormatting xmlns:xm="http://schemas.microsoft.com/office/excel/2006/main">
          <x14:cfRule type="expression" priority="4691003" id="{21DA638D-4CA0-4067-BFF1-240CE1A0261B}">
            <xm:f>$AP$4='Data entry'!$R16</xm:f>
            <x14:dxf>
              <fill>
                <patternFill>
                  <bgColor rgb="FFFFFF00"/>
                </patternFill>
              </fill>
            </x14:dxf>
          </x14:cfRule>
          <xm:sqref>AB35:AP35</xm:sqref>
        </x14:conditionalFormatting>
        <x14:conditionalFormatting xmlns:xm="http://schemas.microsoft.com/office/excel/2006/main">
          <x14:cfRule type="expression" priority="4691004" id="{71963D96-A42A-4B90-BFC7-6D83D37766EF}">
            <xm:f>$AQ$4='Data entry'!$R16</xm:f>
            <x14:dxf>
              <fill>
                <patternFill>
                  <bgColor rgb="FFFF0000"/>
                </patternFill>
              </fill>
            </x14:dxf>
          </x14:cfRule>
          <xm:sqref>AO36:BA36</xm:sqref>
        </x14:conditionalFormatting>
        <x14:conditionalFormatting xmlns:xm="http://schemas.microsoft.com/office/excel/2006/main">
          <x14:cfRule type="expression" priority="4691005" id="{74952595-84B6-484F-8FF6-FCC1F337DF4D}">
            <xm:f>$AQ$4='Data entry'!$R16</xm:f>
            <x14:dxf>
              <fill>
                <patternFill>
                  <bgColor rgb="FFFFFF00"/>
                </patternFill>
              </fill>
            </x14:dxf>
          </x14:cfRule>
          <xm:sqref>AC35:AQ35</xm:sqref>
        </x14:conditionalFormatting>
        <x14:conditionalFormatting xmlns:xm="http://schemas.microsoft.com/office/excel/2006/main">
          <x14:cfRule type="expression" priority="4691006" id="{8AC9C4B9-0A34-4BC0-B0F7-CA89434C4911}">
            <xm:f>$P$4='Data entry'!$R16</xm:f>
            <x14:dxf>
              <fill>
                <patternFill>
                  <bgColor rgb="FFFFFF00"/>
                </patternFill>
              </fill>
            </x14:dxf>
          </x14:cfRule>
          <xm:sqref>C35:P35</xm:sqref>
        </x14:conditionalFormatting>
        <x14:conditionalFormatting xmlns:xm="http://schemas.microsoft.com/office/excel/2006/main">
          <x14:cfRule type="expression" priority="4691007" id="{0A726775-ABFD-4F22-967C-1A4D87BA3751}">
            <xm:f>$Q$4='Data entry'!$R16</xm:f>
            <x14:dxf>
              <fill>
                <patternFill>
                  <bgColor rgb="FFFFFF00"/>
                </patternFill>
              </fill>
            </x14:dxf>
          </x14:cfRule>
          <xm:sqref>C35:Q35</xm:sqref>
        </x14:conditionalFormatting>
        <x14:conditionalFormatting xmlns:xm="http://schemas.microsoft.com/office/excel/2006/main">
          <x14:cfRule type="expression" priority="4691008" id="{3A8414BD-262C-43B5-86EE-FA6901D00453}">
            <xm:f>$Q$4='Data entry'!$R16</xm:f>
            <x14:dxf>
              <fill>
                <patternFill>
                  <bgColor rgb="FFFF0000"/>
                </patternFill>
              </fill>
            </x14:dxf>
          </x14:cfRule>
          <xm:sqref>O36:AA36</xm:sqref>
        </x14:conditionalFormatting>
        <x14:conditionalFormatting xmlns:xm="http://schemas.microsoft.com/office/excel/2006/main">
          <x14:cfRule type="expression" priority="4691009" id="{B8B5501D-F3EF-4449-9306-F652960C65F4}">
            <xm:f>$R$4='Data entry'!$R16</xm:f>
            <x14:dxf>
              <fill>
                <patternFill>
                  <bgColor rgb="FFFF0000"/>
                </patternFill>
              </fill>
            </x14:dxf>
          </x14:cfRule>
          <xm:sqref>P36:AB36</xm:sqref>
        </x14:conditionalFormatting>
        <x14:conditionalFormatting xmlns:xm="http://schemas.microsoft.com/office/excel/2006/main">
          <x14:cfRule type="expression" priority="4691010" id="{5D070DEC-B82E-4D87-B907-A3E5AB836991}">
            <xm:f>$R$4='Data entry'!$R16</xm:f>
            <x14:dxf>
              <fill>
                <patternFill>
                  <bgColor rgb="FFFFFF00"/>
                </patternFill>
              </fill>
            </x14:dxf>
          </x14:cfRule>
          <xm:sqref>D35:R35</xm:sqref>
        </x14:conditionalFormatting>
        <x14:conditionalFormatting xmlns:xm="http://schemas.microsoft.com/office/excel/2006/main">
          <x14:cfRule type="expression" priority="4691011" id="{E4D16A10-F818-4664-9FB2-F0E839824D4B}">
            <xm:f>$S$4='Data entry'!$R16</xm:f>
            <x14:dxf>
              <fill>
                <patternFill>
                  <bgColor rgb="FFFF0000"/>
                </patternFill>
              </fill>
            </x14:dxf>
          </x14:cfRule>
          <xm:sqref>Q36:AC36</xm:sqref>
        </x14:conditionalFormatting>
        <x14:conditionalFormatting xmlns:xm="http://schemas.microsoft.com/office/excel/2006/main">
          <x14:cfRule type="expression" priority="4691012" id="{1A9F9911-A3E9-4730-AFBE-AB8C596545CA}">
            <xm:f>$S$4='Data entry'!$R16</xm:f>
            <x14:dxf>
              <fill>
                <patternFill>
                  <bgColor rgb="FFFFFF00"/>
                </patternFill>
              </fill>
            </x14:dxf>
          </x14:cfRule>
          <xm:sqref>E35:S35</xm:sqref>
        </x14:conditionalFormatting>
        <x14:conditionalFormatting xmlns:xm="http://schemas.microsoft.com/office/excel/2006/main">
          <x14:cfRule type="expression" priority="4691013" id="{8BB5CD1B-B2AC-442A-9550-26DE19A62D22}">
            <xm:f>$T$4='Data entry'!$R16</xm:f>
            <x14:dxf>
              <fill>
                <patternFill>
                  <bgColor rgb="FFFF0000"/>
                </patternFill>
              </fill>
            </x14:dxf>
          </x14:cfRule>
          <xm:sqref>R36:AD36</xm:sqref>
        </x14:conditionalFormatting>
        <x14:conditionalFormatting xmlns:xm="http://schemas.microsoft.com/office/excel/2006/main">
          <x14:cfRule type="expression" priority="4691014" id="{E7B59C69-7921-4049-84A1-8B3E5F7B0598}">
            <xm:f>$T$4='Data entry'!$R16</xm:f>
            <x14:dxf>
              <fill>
                <patternFill>
                  <bgColor rgb="FFFFFF00"/>
                </patternFill>
              </fill>
            </x14:dxf>
          </x14:cfRule>
          <xm:sqref>F35:T35</xm:sqref>
        </x14:conditionalFormatting>
        <x14:conditionalFormatting xmlns:xm="http://schemas.microsoft.com/office/excel/2006/main">
          <x14:cfRule type="expression" priority="4691015" id="{238C09E5-7A3D-439D-949F-A7733073F9A2}">
            <xm:f>$U$4='Data entry'!$R16</xm:f>
            <x14:dxf>
              <fill>
                <patternFill>
                  <bgColor rgb="FFFFFF00"/>
                </patternFill>
              </fill>
            </x14:dxf>
          </x14:cfRule>
          <xm:sqref>G35:U35</xm:sqref>
        </x14:conditionalFormatting>
        <x14:conditionalFormatting xmlns:xm="http://schemas.microsoft.com/office/excel/2006/main">
          <x14:cfRule type="expression" priority="4691016" id="{DE4D4432-0A19-452A-AF14-2873FE4DF411}">
            <xm:f>$AR$4='Data entry'!$R16</xm:f>
            <x14:dxf>
              <fill>
                <patternFill>
                  <bgColor rgb="FFFF0000"/>
                </patternFill>
              </fill>
            </x14:dxf>
          </x14:cfRule>
          <xm:sqref>AP36:BB36</xm:sqref>
        </x14:conditionalFormatting>
        <x14:conditionalFormatting xmlns:xm="http://schemas.microsoft.com/office/excel/2006/main">
          <x14:cfRule type="expression" priority="4691017" id="{90D7E1FF-542D-40C8-9BD5-DFEB4CDD256F}">
            <xm:f>$AR$4='Data entry'!$R16</xm:f>
            <x14:dxf>
              <fill>
                <patternFill>
                  <bgColor rgb="FFFFFF00"/>
                </patternFill>
              </fill>
            </x14:dxf>
          </x14:cfRule>
          <xm:sqref>AD35:AR35</xm:sqref>
        </x14:conditionalFormatting>
        <x14:conditionalFormatting xmlns:xm="http://schemas.microsoft.com/office/excel/2006/main">
          <x14:cfRule type="expression" priority="4691018" id="{0EBB5305-4A4A-4205-A1FF-11160070CBC3}">
            <xm:f>$AS$4='Data entry'!$R16</xm:f>
            <x14:dxf>
              <fill>
                <patternFill>
                  <bgColor rgb="FFFF0000"/>
                </patternFill>
              </fill>
            </x14:dxf>
          </x14:cfRule>
          <xm:sqref>AQ36:BC36</xm:sqref>
        </x14:conditionalFormatting>
        <x14:conditionalFormatting xmlns:xm="http://schemas.microsoft.com/office/excel/2006/main">
          <x14:cfRule type="expression" priority="4691019" id="{AC8EB30C-4253-4CE1-820E-1801F6D8D35B}">
            <xm:f>$AS$4='Data entry'!$R16</xm:f>
            <x14:dxf>
              <fill>
                <patternFill>
                  <bgColor rgb="FFFFFF00"/>
                </patternFill>
              </fill>
            </x14:dxf>
          </x14:cfRule>
          <xm:sqref>AE35:AS35</xm:sqref>
        </x14:conditionalFormatting>
        <x14:conditionalFormatting xmlns:xm="http://schemas.microsoft.com/office/excel/2006/main">
          <x14:cfRule type="expression" priority="4691020" id="{E11744C1-7201-4272-A1B0-945490B42425}">
            <xm:f>$AT$4='Data entry'!$R16</xm:f>
            <x14:dxf>
              <fill>
                <patternFill>
                  <bgColor rgb="FFFF0000"/>
                </patternFill>
              </fill>
            </x14:dxf>
          </x14:cfRule>
          <xm:sqref>AR36:BD36</xm:sqref>
        </x14:conditionalFormatting>
        <x14:conditionalFormatting xmlns:xm="http://schemas.microsoft.com/office/excel/2006/main">
          <x14:cfRule type="expression" priority="4691021" id="{5EE2823B-E955-4EA7-B99C-0B1F77B57A69}">
            <xm:f>$AT$4='Data entry'!$R16</xm:f>
            <x14:dxf>
              <fill>
                <patternFill>
                  <bgColor rgb="FFFFFF00"/>
                </patternFill>
              </fill>
            </x14:dxf>
          </x14:cfRule>
          <xm:sqref>AF35:AT35</xm:sqref>
        </x14:conditionalFormatting>
        <x14:conditionalFormatting xmlns:xm="http://schemas.microsoft.com/office/excel/2006/main">
          <x14:cfRule type="expression" priority="4691022" id="{5737DC63-3262-4B34-900C-2AAEB255FCBA}">
            <xm:f>$AU$4='Data entry'!$R16</xm:f>
            <x14:dxf>
              <fill>
                <patternFill>
                  <bgColor rgb="FFFF0000"/>
                </patternFill>
              </fill>
            </x14:dxf>
          </x14:cfRule>
          <xm:sqref>AS36:BE36</xm:sqref>
        </x14:conditionalFormatting>
        <x14:conditionalFormatting xmlns:xm="http://schemas.microsoft.com/office/excel/2006/main">
          <x14:cfRule type="expression" priority="4691023" id="{2B5C1F1B-3C3D-4CA3-BC64-0E98422075B6}">
            <xm:f>$AU$4='Data entry'!$R16</xm:f>
            <x14:dxf>
              <fill>
                <patternFill>
                  <bgColor rgb="FFFFFF00"/>
                </patternFill>
              </fill>
            </x14:dxf>
          </x14:cfRule>
          <xm:sqref>AG35:AU35</xm:sqref>
        </x14:conditionalFormatting>
        <x14:conditionalFormatting xmlns:xm="http://schemas.microsoft.com/office/excel/2006/main">
          <x14:cfRule type="expression" priority="4691024" id="{B87A1285-B003-4855-8F4B-53C391BA10E6}">
            <xm:f>$AV$4='Data entry'!$R16</xm:f>
            <x14:dxf>
              <fill>
                <patternFill>
                  <bgColor rgb="FFFF0000"/>
                </patternFill>
              </fill>
            </x14:dxf>
          </x14:cfRule>
          <xm:sqref>AT36:BF36</xm:sqref>
        </x14:conditionalFormatting>
        <x14:conditionalFormatting xmlns:xm="http://schemas.microsoft.com/office/excel/2006/main">
          <x14:cfRule type="expression" priority="4691025" id="{338EE31C-78DB-4818-B837-0380F9E457FA}">
            <xm:f>$AV$4='Data entry'!$R16</xm:f>
            <x14:dxf>
              <fill>
                <patternFill>
                  <bgColor rgb="FFFFFF00"/>
                </patternFill>
              </fill>
            </x14:dxf>
          </x14:cfRule>
          <xm:sqref>AH35:AV35</xm:sqref>
        </x14:conditionalFormatting>
        <x14:conditionalFormatting xmlns:xm="http://schemas.microsoft.com/office/excel/2006/main">
          <x14:cfRule type="expression" priority="4691026" id="{5C40EA66-2801-4C91-B885-BF6A1ECFC35C}">
            <xm:f>$AW$4='Data entry'!$R16</xm:f>
            <x14:dxf>
              <fill>
                <patternFill>
                  <bgColor rgb="FFFF0000"/>
                </patternFill>
              </fill>
            </x14:dxf>
          </x14:cfRule>
          <xm:sqref>AU36:BG36</xm:sqref>
        </x14:conditionalFormatting>
        <x14:conditionalFormatting xmlns:xm="http://schemas.microsoft.com/office/excel/2006/main">
          <x14:cfRule type="expression" priority="4691027" id="{51BCD5CE-DF86-4C2F-8A81-DDA1EFD6C8F7}">
            <xm:f>$AW$4='Data entry'!$R16</xm:f>
            <x14:dxf>
              <fill>
                <patternFill>
                  <bgColor rgb="FFFFFF00"/>
                </patternFill>
              </fill>
            </x14:dxf>
          </x14:cfRule>
          <xm:sqref>AI35:AW35</xm:sqref>
        </x14:conditionalFormatting>
        <x14:conditionalFormatting xmlns:xm="http://schemas.microsoft.com/office/excel/2006/main">
          <x14:cfRule type="expression" priority="4691028" id="{DC2ED5A0-8917-4877-8CD3-9DF9BE5993C9}">
            <xm:f>$AX$4='Data entry'!$R16</xm:f>
            <x14:dxf>
              <fill>
                <patternFill>
                  <bgColor rgb="FFFF0000"/>
                </patternFill>
              </fill>
            </x14:dxf>
          </x14:cfRule>
          <xm:sqref>AV36:BH36</xm:sqref>
        </x14:conditionalFormatting>
        <x14:conditionalFormatting xmlns:xm="http://schemas.microsoft.com/office/excel/2006/main">
          <x14:cfRule type="expression" priority="4691029" id="{59B31869-20F9-45BD-BC80-0A6C8945CE2C}">
            <xm:f>$AX$4='Data entry'!$R16</xm:f>
            <x14:dxf>
              <fill>
                <patternFill>
                  <bgColor rgb="FFFFFF00"/>
                </patternFill>
              </fill>
            </x14:dxf>
          </x14:cfRule>
          <xm:sqref>AJ35:AX35</xm:sqref>
        </x14:conditionalFormatting>
        <x14:conditionalFormatting xmlns:xm="http://schemas.microsoft.com/office/excel/2006/main">
          <x14:cfRule type="expression" priority="4691030" id="{D4208FA0-4262-4037-934C-6D0742B2AD8E}">
            <xm:f>$AY$4='Data entry'!$R16</xm:f>
            <x14:dxf>
              <fill>
                <patternFill>
                  <bgColor rgb="FFFF0000"/>
                </patternFill>
              </fill>
            </x14:dxf>
          </x14:cfRule>
          <xm:sqref>AW36:BI36</xm:sqref>
        </x14:conditionalFormatting>
        <x14:conditionalFormatting xmlns:xm="http://schemas.microsoft.com/office/excel/2006/main">
          <x14:cfRule type="expression" priority="4691031" id="{04D6E423-18C7-42B2-A67D-F49D8E62B571}">
            <xm:f>$AY$4='Data entry'!$R16</xm:f>
            <x14:dxf>
              <fill>
                <patternFill>
                  <bgColor rgb="FFFFFF00"/>
                </patternFill>
              </fill>
            </x14:dxf>
          </x14:cfRule>
          <xm:sqref>AK35:AY35</xm:sqref>
        </x14:conditionalFormatting>
        <x14:conditionalFormatting xmlns:xm="http://schemas.microsoft.com/office/excel/2006/main">
          <x14:cfRule type="expression" priority="4691032" id="{A931C203-6E4B-4EBD-A2F4-1876881F48D4}">
            <xm:f>$AZ$4='Data entry'!$R16</xm:f>
            <x14:dxf>
              <fill>
                <patternFill>
                  <bgColor rgb="FFFF0000"/>
                </patternFill>
              </fill>
            </x14:dxf>
          </x14:cfRule>
          <xm:sqref>AX36:BJ36</xm:sqref>
        </x14:conditionalFormatting>
        <x14:conditionalFormatting xmlns:xm="http://schemas.microsoft.com/office/excel/2006/main">
          <x14:cfRule type="expression" priority="4691033" id="{092D9100-E652-40FE-8CAA-720DC0681250}">
            <xm:f>$AZ$4='Data entry'!$R16</xm:f>
            <x14:dxf>
              <fill>
                <patternFill>
                  <bgColor rgb="FFFFFF00"/>
                </patternFill>
              </fill>
            </x14:dxf>
          </x14:cfRule>
          <xm:sqref>AL35:AZ35</xm:sqref>
        </x14:conditionalFormatting>
        <x14:conditionalFormatting xmlns:xm="http://schemas.microsoft.com/office/excel/2006/main">
          <x14:cfRule type="expression" priority="4691034" id="{A3C7E6BE-A225-483C-A983-A915DB662C52}">
            <xm:f>$BA$4='Data entry'!$R16</xm:f>
            <x14:dxf>
              <fill>
                <patternFill>
                  <bgColor rgb="FFFF0000"/>
                </patternFill>
              </fill>
            </x14:dxf>
          </x14:cfRule>
          <xm:sqref>AY36:BK36</xm:sqref>
        </x14:conditionalFormatting>
        <x14:conditionalFormatting xmlns:xm="http://schemas.microsoft.com/office/excel/2006/main">
          <x14:cfRule type="expression" priority="4691035" id="{F5CF569A-8AFA-4CFF-8BD3-F04D8927A99F}">
            <xm:f>$BA$4='Data entry'!$R16</xm:f>
            <x14:dxf>
              <fill>
                <patternFill>
                  <bgColor rgb="FFFFFF00"/>
                </patternFill>
              </fill>
            </x14:dxf>
          </x14:cfRule>
          <xm:sqref>AM35:BA35</xm:sqref>
        </x14:conditionalFormatting>
        <x14:conditionalFormatting xmlns:xm="http://schemas.microsoft.com/office/excel/2006/main">
          <x14:cfRule type="expression" priority="4691036" id="{E4DAC94A-7983-4BFB-A87B-45B58561841A}">
            <xm:f>$BB$4='Data entry'!$R16</xm:f>
            <x14:dxf>
              <fill>
                <patternFill>
                  <bgColor rgb="FFFF0000"/>
                </patternFill>
              </fill>
            </x14:dxf>
          </x14:cfRule>
          <xm:sqref>AZ36:BL36</xm:sqref>
        </x14:conditionalFormatting>
        <x14:conditionalFormatting xmlns:xm="http://schemas.microsoft.com/office/excel/2006/main">
          <x14:cfRule type="expression" priority="4691037" id="{E63849C5-F39B-4B0E-8F8A-B532EDF2CBAE}">
            <xm:f>$BB$4='Data entry'!$R16</xm:f>
            <x14:dxf>
              <fill>
                <patternFill>
                  <bgColor rgb="FFFFFF00"/>
                </patternFill>
              </fill>
            </x14:dxf>
          </x14:cfRule>
          <xm:sqref>AN35:BB35</xm:sqref>
        </x14:conditionalFormatting>
        <x14:conditionalFormatting xmlns:xm="http://schemas.microsoft.com/office/excel/2006/main">
          <x14:cfRule type="expression" priority="4691038" id="{4FDC32D3-C1F5-455D-9AA4-A03359B72526}">
            <xm:f>$BC$4='Data entry'!$R16</xm:f>
            <x14:dxf>
              <fill>
                <patternFill>
                  <bgColor rgb="FFFF0000"/>
                </patternFill>
              </fill>
            </x14:dxf>
          </x14:cfRule>
          <xm:sqref>BA36:BM36</xm:sqref>
        </x14:conditionalFormatting>
        <x14:conditionalFormatting xmlns:xm="http://schemas.microsoft.com/office/excel/2006/main">
          <x14:cfRule type="expression" priority="4691039" id="{5F0D0C60-B233-4C56-B05D-98C99990877F}">
            <xm:f>$BC$4='Data entry'!$R16</xm:f>
            <x14:dxf>
              <fill>
                <patternFill>
                  <bgColor rgb="FFFFFF00"/>
                </patternFill>
              </fill>
            </x14:dxf>
          </x14:cfRule>
          <xm:sqref>AO35:BC35</xm:sqref>
        </x14:conditionalFormatting>
        <x14:conditionalFormatting xmlns:xm="http://schemas.microsoft.com/office/excel/2006/main">
          <x14:cfRule type="expression" priority="4691040" id="{9EBCB60F-8135-43B6-A0F3-548D4092CC98}">
            <xm:f>$BD$4='Data entry'!$R16</xm:f>
            <x14:dxf>
              <fill>
                <patternFill>
                  <bgColor rgb="FFFF0000"/>
                </patternFill>
              </fill>
            </x14:dxf>
          </x14:cfRule>
          <xm:sqref>BB36:BN36</xm:sqref>
        </x14:conditionalFormatting>
        <x14:conditionalFormatting xmlns:xm="http://schemas.microsoft.com/office/excel/2006/main">
          <x14:cfRule type="expression" priority="4691041" id="{961AF346-4A73-41ED-9A8D-27D431B09C05}">
            <xm:f>$BD$4='Data entry'!$R16</xm:f>
            <x14:dxf>
              <fill>
                <patternFill>
                  <bgColor rgb="FFFFFF00"/>
                </patternFill>
              </fill>
            </x14:dxf>
          </x14:cfRule>
          <xm:sqref>AP35:BD35</xm:sqref>
        </x14:conditionalFormatting>
        <x14:conditionalFormatting xmlns:xm="http://schemas.microsoft.com/office/excel/2006/main">
          <x14:cfRule type="expression" priority="4691042" id="{5A887026-27CD-4F8C-8BA6-1E92704C1CA6}">
            <xm:f>$BE$4='Data entry'!$R16</xm:f>
            <x14:dxf>
              <fill>
                <patternFill>
                  <bgColor rgb="FFFF0000"/>
                </patternFill>
              </fill>
            </x14:dxf>
          </x14:cfRule>
          <xm:sqref>BC36:BO36</xm:sqref>
        </x14:conditionalFormatting>
        <x14:conditionalFormatting xmlns:xm="http://schemas.microsoft.com/office/excel/2006/main">
          <x14:cfRule type="expression" priority="4691043" id="{7F46217B-A1E9-4515-B31E-E756FCD7C6D9}">
            <xm:f>$BE$4='Data entry'!$R16</xm:f>
            <x14:dxf>
              <fill>
                <patternFill>
                  <bgColor rgb="FFFFFF00"/>
                </patternFill>
              </fill>
            </x14:dxf>
          </x14:cfRule>
          <xm:sqref>AP35:BE35</xm:sqref>
        </x14:conditionalFormatting>
        <x14:conditionalFormatting xmlns:xm="http://schemas.microsoft.com/office/excel/2006/main">
          <x14:cfRule type="expression" priority="4691044" id="{F4D9285C-8CA0-4EF1-943E-6A462D47CC77}">
            <xm:f>$BF$4='Data entry'!$R16</xm:f>
            <x14:dxf>
              <fill>
                <patternFill>
                  <bgColor rgb="FFFF0000"/>
                </patternFill>
              </fill>
            </x14:dxf>
          </x14:cfRule>
          <xm:sqref>BD36:BP36</xm:sqref>
        </x14:conditionalFormatting>
        <x14:conditionalFormatting xmlns:xm="http://schemas.microsoft.com/office/excel/2006/main">
          <x14:cfRule type="expression" priority="4691045" id="{B9E4407D-651D-4DC0-9D61-3271D62A65E9}">
            <xm:f>$BF$4='Data entry'!$R16</xm:f>
            <x14:dxf>
              <fill>
                <patternFill>
                  <bgColor rgb="FFFFFF00"/>
                </patternFill>
              </fill>
            </x14:dxf>
          </x14:cfRule>
          <xm:sqref>AR35:BF35</xm:sqref>
        </x14:conditionalFormatting>
        <x14:conditionalFormatting xmlns:xm="http://schemas.microsoft.com/office/excel/2006/main">
          <x14:cfRule type="expression" priority="4691046" id="{4CDC062F-DDFF-4556-B941-08F919727F69}">
            <xm:f>$BG$4='Data entry'!$R16</xm:f>
            <x14:dxf>
              <fill>
                <patternFill>
                  <bgColor rgb="FFFF0000"/>
                </patternFill>
              </fill>
            </x14:dxf>
          </x14:cfRule>
          <xm:sqref>BE36:BQ36</xm:sqref>
        </x14:conditionalFormatting>
        <x14:conditionalFormatting xmlns:xm="http://schemas.microsoft.com/office/excel/2006/main">
          <x14:cfRule type="expression" priority="4691047" id="{789184FA-9055-433B-8A1B-92C7ED59E81F}">
            <xm:f>$BG$4='Data entry'!$R16</xm:f>
            <x14:dxf>
              <fill>
                <patternFill>
                  <bgColor rgb="FFFFFF00"/>
                </patternFill>
              </fill>
            </x14:dxf>
          </x14:cfRule>
          <xm:sqref>AS35:BG35</xm:sqref>
        </x14:conditionalFormatting>
        <x14:conditionalFormatting xmlns:xm="http://schemas.microsoft.com/office/excel/2006/main">
          <x14:cfRule type="expression" priority="4691048" id="{58651E5C-09C9-46C1-B95C-E8A578A49E15}">
            <xm:f>$BH$4='Data entry'!$R16</xm:f>
            <x14:dxf>
              <fill>
                <patternFill>
                  <bgColor rgb="FFFFFF00"/>
                </patternFill>
              </fill>
            </x14:dxf>
          </x14:cfRule>
          <xm:sqref>AT35:BH35</xm:sqref>
        </x14:conditionalFormatting>
        <x14:conditionalFormatting xmlns:xm="http://schemas.microsoft.com/office/excel/2006/main">
          <x14:cfRule type="expression" priority="4691049" id="{97B30B86-8311-4DC0-A533-8C0D53F37839}">
            <xm:f>$BH$4='Data entry'!$R16</xm:f>
            <x14:dxf>
              <fill>
                <patternFill>
                  <bgColor rgb="FFFF0000"/>
                </patternFill>
              </fill>
            </x14:dxf>
          </x14:cfRule>
          <xm:sqref>BF36:BR36</xm:sqref>
        </x14:conditionalFormatting>
        <x14:conditionalFormatting xmlns:xm="http://schemas.microsoft.com/office/excel/2006/main">
          <x14:cfRule type="expression" priority="4691050" id="{78344C0C-5AEA-40B1-A20C-6D77DF58E1F5}">
            <xm:f>$BI$4='Data entry'!$R16</xm:f>
            <x14:dxf>
              <fill>
                <patternFill>
                  <bgColor rgb="FFFFFF00"/>
                </patternFill>
              </fill>
            </x14:dxf>
          </x14:cfRule>
          <xm:sqref>AU35:BI35</xm:sqref>
        </x14:conditionalFormatting>
        <x14:conditionalFormatting xmlns:xm="http://schemas.microsoft.com/office/excel/2006/main">
          <x14:cfRule type="expression" priority="4691051" id="{A9CE044F-482E-4F25-B28F-89ACC58502B1}">
            <xm:f>$BI$4='Data entry'!$R16</xm:f>
            <x14:dxf>
              <fill>
                <patternFill>
                  <bgColor rgb="FFFF0000"/>
                </patternFill>
              </fill>
            </x14:dxf>
          </x14:cfRule>
          <xm:sqref>BG36:BS36</xm:sqref>
        </x14:conditionalFormatting>
        <x14:conditionalFormatting xmlns:xm="http://schemas.microsoft.com/office/excel/2006/main">
          <x14:cfRule type="expression" priority="4691052" id="{F63BE0EB-3C71-4456-BEF0-11180AB7A8BB}">
            <xm:f>$BJ$4='Data entry'!$R16</xm:f>
            <x14:dxf>
              <fill>
                <patternFill>
                  <bgColor rgb="FFFFFF00"/>
                </patternFill>
              </fill>
            </x14:dxf>
          </x14:cfRule>
          <xm:sqref>AV35:BJ35</xm:sqref>
        </x14:conditionalFormatting>
        <x14:conditionalFormatting xmlns:xm="http://schemas.microsoft.com/office/excel/2006/main">
          <x14:cfRule type="expression" priority="4691053" id="{478A5DCB-1DAA-4497-A6CC-B4F01FB96D10}">
            <xm:f>$BJ$4='Data entry'!$R16</xm:f>
            <x14:dxf>
              <fill>
                <patternFill>
                  <bgColor rgb="FFFF0000"/>
                </patternFill>
              </fill>
            </x14:dxf>
          </x14:cfRule>
          <xm:sqref>BH36:BT36</xm:sqref>
        </x14:conditionalFormatting>
        <x14:conditionalFormatting xmlns:xm="http://schemas.microsoft.com/office/excel/2006/main">
          <x14:cfRule type="expression" priority="4691054" id="{CDE4AD5B-65A6-4FA4-9EC0-8D05F22312A9}">
            <xm:f>$BK$4='Data entry'!$R16</xm:f>
            <x14:dxf>
              <fill>
                <patternFill>
                  <bgColor rgb="FFFF0000"/>
                </patternFill>
              </fill>
            </x14:dxf>
          </x14:cfRule>
          <xm:sqref>BI36:BU36</xm:sqref>
        </x14:conditionalFormatting>
        <x14:conditionalFormatting xmlns:xm="http://schemas.microsoft.com/office/excel/2006/main">
          <x14:cfRule type="expression" priority="4691055" id="{AB32E790-6CD8-4D11-9A69-57D785FE4BBC}">
            <xm:f>$BK$4='Data entry'!$R16</xm:f>
            <x14:dxf>
              <fill>
                <patternFill>
                  <bgColor rgb="FFFFFF00"/>
                </patternFill>
              </fill>
            </x14:dxf>
          </x14:cfRule>
          <xm:sqref>AW35:BK35</xm:sqref>
        </x14:conditionalFormatting>
        <x14:conditionalFormatting xmlns:xm="http://schemas.microsoft.com/office/excel/2006/main">
          <x14:cfRule type="expression" priority="4691056" id="{99810EB9-805C-43D8-852A-EEECE7874CDB}">
            <xm:f>$BL$4='Data entry'!$R16</xm:f>
            <x14:dxf>
              <fill>
                <patternFill>
                  <bgColor rgb="FFFF0000"/>
                </patternFill>
              </fill>
            </x14:dxf>
          </x14:cfRule>
          <xm:sqref>BJ36:BV36</xm:sqref>
        </x14:conditionalFormatting>
        <x14:conditionalFormatting xmlns:xm="http://schemas.microsoft.com/office/excel/2006/main">
          <x14:cfRule type="expression" priority="4691057" id="{BF5F5475-4E46-479C-97A6-D5175F5D1803}">
            <xm:f>$BL$4='Data entry'!$R16</xm:f>
            <x14:dxf>
              <fill>
                <patternFill>
                  <bgColor rgb="FFFFFF00"/>
                </patternFill>
              </fill>
            </x14:dxf>
          </x14:cfRule>
          <xm:sqref>AX35:BL35</xm:sqref>
        </x14:conditionalFormatting>
        <x14:conditionalFormatting xmlns:xm="http://schemas.microsoft.com/office/excel/2006/main">
          <x14:cfRule type="expression" priority="4691058" id="{B86FDF2F-16C9-46B1-847E-7EA1A8A34B9D}">
            <xm:f>$BM$4='Data entry'!$R16</xm:f>
            <x14:dxf>
              <fill>
                <patternFill>
                  <bgColor rgb="FFFF0000"/>
                </patternFill>
              </fill>
            </x14:dxf>
          </x14:cfRule>
          <xm:sqref>BK36:BW36</xm:sqref>
        </x14:conditionalFormatting>
        <x14:conditionalFormatting xmlns:xm="http://schemas.microsoft.com/office/excel/2006/main">
          <x14:cfRule type="expression" priority="4691059" id="{72FD189F-4CED-400D-9FEF-21A328970A4D}">
            <xm:f>$BM$4='Data entry'!$R16</xm:f>
            <x14:dxf>
              <fill>
                <patternFill>
                  <bgColor rgb="FFFFFF00"/>
                </patternFill>
              </fill>
            </x14:dxf>
          </x14:cfRule>
          <xm:sqref>AY35:BM35</xm:sqref>
        </x14:conditionalFormatting>
        <x14:conditionalFormatting xmlns:xm="http://schemas.microsoft.com/office/excel/2006/main">
          <x14:cfRule type="expression" priority="4691060" id="{BBBBF859-D5A7-4F55-BFBF-8A77E3357590}">
            <xm:f>$BN$4='Data entry'!$R16</xm:f>
            <x14:dxf>
              <fill>
                <patternFill>
                  <bgColor rgb="FFFF0000"/>
                </patternFill>
              </fill>
            </x14:dxf>
          </x14:cfRule>
          <xm:sqref>BL36:BX36</xm:sqref>
        </x14:conditionalFormatting>
        <x14:conditionalFormatting xmlns:xm="http://schemas.microsoft.com/office/excel/2006/main">
          <x14:cfRule type="expression" priority="4691061" id="{50CB1D75-0FD5-4D24-92B1-E8A41DC6575C}">
            <xm:f>$BN$4='Data entry'!$R16</xm:f>
            <x14:dxf>
              <fill>
                <patternFill>
                  <bgColor rgb="FFFFFF00"/>
                </patternFill>
              </fill>
            </x14:dxf>
          </x14:cfRule>
          <xm:sqref>AZ35:BN35</xm:sqref>
        </x14:conditionalFormatting>
        <x14:conditionalFormatting xmlns:xm="http://schemas.microsoft.com/office/excel/2006/main">
          <x14:cfRule type="expression" priority="4691062" id="{9EF3226D-E8FC-496B-A6FF-71776AEA54D1}">
            <xm:f>$BO$4='Data entry'!$R16</xm:f>
            <x14:dxf>
              <fill>
                <patternFill>
                  <bgColor rgb="FFFF0000"/>
                </patternFill>
              </fill>
            </x14:dxf>
          </x14:cfRule>
          <xm:sqref>BM36:BY36</xm:sqref>
        </x14:conditionalFormatting>
        <x14:conditionalFormatting xmlns:xm="http://schemas.microsoft.com/office/excel/2006/main">
          <x14:cfRule type="expression" priority="4691063" id="{3B86C801-ECFE-4D05-8AA5-1581116BAFBC}">
            <xm:f>$BO$4='Data entry'!$R16</xm:f>
            <x14:dxf>
              <fill>
                <patternFill>
                  <bgColor rgb="FFFFFF00"/>
                </patternFill>
              </fill>
            </x14:dxf>
          </x14:cfRule>
          <xm:sqref>BA35:BO35</xm:sqref>
        </x14:conditionalFormatting>
        <x14:conditionalFormatting xmlns:xm="http://schemas.microsoft.com/office/excel/2006/main">
          <x14:cfRule type="expression" priority="4691064" id="{058A23EC-3371-4A02-9F20-1ECA603AC6BC}">
            <xm:f>$BP$4='Data entry'!$R16</xm:f>
            <x14:dxf>
              <fill>
                <patternFill>
                  <bgColor rgb="FFFF0000"/>
                </patternFill>
              </fill>
            </x14:dxf>
          </x14:cfRule>
          <xm:sqref>BN36:BZ36</xm:sqref>
        </x14:conditionalFormatting>
        <x14:conditionalFormatting xmlns:xm="http://schemas.microsoft.com/office/excel/2006/main">
          <x14:cfRule type="expression" priority="4691065" id="{3E711E31-3992-4555-AB22-87133D60CD15}">
            <xm:f>$BP$4='Data entry'!$R16</xm:f>
            <x14:dxf>
              <fill>
                <patternFill>
                  <bgColor rgb="FFFFFF00"/>
                </patternFill>
              </fill>
            </x14:dxf>
          </x14:cfRule>
          <xm:sqref>BB35:BP35</xm:sqref>
        </x14:conditionalFormatting>
        <x14:conditionalFormatting xmlns:xm="http://schemas.microsoft.com/office/excel/2006/main">
          <x14:cfRule type="expression" priority="4691066" id="{23E9F8B9-37D5-4730-9453-6F23E8ECBBE3}">
            <xm:f>$BQ$4='Data entry'!$R16</xm:f>
            <x14:dxf>
              <fill>
                <patternFill>
                  <bgColor rgb="FFFFFF00"/>
                </patternFill>
              </fill>
            </x14:dxf>
          </x14:cfRule>
          <xm:sqref>BC35:BQ35</xm:sqref>
        </x14:conditionalFormatting>
        <x14:conditionalFormatting xmlns:xm="http://schemas.microsoft.com/office/excel/2006/main">
          <x14:cfRule type="expression" priority="4691067" id="{BCFD92F6-AAD3-44FD-BC61-A292A81B883E}">
            <xm:f>$BQ$4='Data entry'!$R16</xm:f>
            <x14:dxf>
              <fill>
                <patternFill>
                  <bgColor rgb="FFFF0000"/>
                </patternFill>
              </fill>
            </x14:dxf>
          </x14:cfRule>
          <xm:sqref>BO36:CA36</xm:sqref>
        </x14:conditionalFormatting>
        <x14:conditionalFormatting xmlns:xm="http://schemas.microsoft.com/office/excel/2006/main">
          <x14:cfRule type="expression" priority="4691068" id="{357D60E5-F356-477E-8020-A18F42C02832}">
            <xm:f>$BR$4='Data entry'!$R16</xm:f>
            <x14:dxf>
              <fill>
                <patternFill>
                  <bgColor rgb="FFFFFF00"/>
                </patternFill>
              </fill>
            </x14:dxf>
          </x14:cfRule>
          <xm:sqref>BD35:BR35</xm:sqref>
        </x14:conditionalFormatting>
        <x14:conditionalFormatting xmlns:xm="http://schemas.microsoft.com/office/excel/2006/main">
          <x14:cfRule type="expression" priority="4691069" id="{DA2B6511-43B3-432D-B6AA-1DB1188B90A6}">
            <xm:f>$BR$4='Data entry'!$R16</xm:f>
            <x14:dxf>
              <fill>
                <patternFill>
                  <bgColor rgb="FFFF0000"/>
                </patternFill>
              </fill>
            </x14:dxf>
          </x14:cfRule>
          <xm:sqref>BP36:CB36</xm:sqref>
        </x14:conditionalFormatting>
        <x14:conditionalFormatting xmlns:xm="http://schemas.microsoft.com/office/excel/2006/main">
          <x14:cfRule type="expression" priority="4691070" id="{0D5F64E4-4136-4BFA-B833-CC8578525D9C}">
            <xm:f>$BS$4='Data entry'!$R16</xm:f>
            <x14:dxf>
              <fill>
                <patternFill>
                  <bgColor rgb="FFFFFF00"/>
                </patternFill>
              </fill>
            </x14:dxf>
          </x14:cfRule>
          <xm:sqref>BE35:BS35</xm:sqref>
        </x14:conditionalFormatting>
        <x14:conditionalFormatting xmlns:xm="http://schemas.microsoft.com/office/excel/2006/main">
          <x14:cfRule type="expression" priority="4691071" id="{AC94D468-F078-4AE2-8771-102996E07B09}">
            <xm:f>$BS$4='Data entry'!$R16</xm:f>
            <x14:dxf>
              <fill>
                <patternFill>
                  <bgColor rgb="FFFF0000"/>
                </patternFill>
              </fill>
            </x14:dxf>
          </x14:cfRule>
          <xm:sqref>BQ36:CC36</xm:sqref>
        </x14:conditionalFormatting>
        <x14:conditionalFormatting xmlns:xm="http://schemas.microsoft.com/office/excel/2006/main">
          <x14:cfRule type="expression" priority="4691072" id="{10E78F76-181E-4F19-9F89-7DD36D3EFE30}">
            <xm:f>$BT$4='Data entry'!$R16</xm:f>
            <x14:dxf>
              <fill>
                <patternFill>
                  <bgColor rgb="FFFFFF00"/>
                </patternFill>
              </fill>
            </x14:dxf>
          </x14:cfRule>
          <xm:sqref>BF35:BT35</xm:sqref>
        </x14:conditionalFormatting>
        <x14:conditionalFormatting xmlns:xm="http://schemas.microsoft.com/office/excel/2006/main">
          <x14:cfRule type="expression" priority="4691073" id="{6A5FADC6-9512-4EFB-90A5-7B5244D10D1F}">
            <xm:f>$BT$4='Data entry'!$R16</xm:f>
            <x14:dxf>
              <fill>
                <patternFill>
                  <bgColor rgb="FFFF0000"/>
                </patternFill>
              </fill>
            </x14:dxf>
          </x14:cfRule>
          <xm:sqref>BR36:CC36</xm:sqref>
        </x14:conditionalFormatting>
        <x14:conditionalFormatting xmlns:xm="http://schemas.microsoft.com/office/excel/2006/main">
          <x14:cfRule type="expression" priority="4691074" id="{A51139D1-8841-4B96-B8CB-DFE3808765CF}">
            <xm:f>$BU$4='Data entry'!$R16</xm:f>
            <x14:dxf>
              <fill>
                <patternFill>
                  <bgColor rgb="FFFFFF00"/>
                </patternFill>
              </fill>
            </x14:dxf>
          </x14:cfRule>
          <xm:sqref>BG35:BU35</xm:sqref>
        </x14:conditionalFormatting>
        <x14:conditionalFormatting xmlns:xm="http://schemas.microsoft.com/office/excel/2006/main">
          <x14:cfRule type="expression" priority="4691075" id="{55CA7258-760F-4BFF-ACB5-A70FEB3E7981}">
            <xm:f>$BU$4='Data entry'!$R16</xm:f>
            <x14:dxf>
              <fill>
                <patternFill>
                  <bgColor rgb="FFFF0000"/>
                </patternFill>
              </fill>
            </x14:dxf>
          </x14:cfRule>
          <xm:sqref>BS36:CC36</xm:sqref>
        </x14:conditionalFormatting>
        <x14:conditionalFormatting xmlns:xm="http://schemas.microsoft.com/office/excel/2006/main">
          <x14:cfRule type="expression" priority="4691076" id="{A922B218-64DB-4CBB-9AB8-FE0EBB44E09E}">
            <xm:f>$BV$4='Data entry'!$R16</xm:f>
            <x14:dxf>
              <fill>
                <patternFill>
                  <bgColor rgb="FFFFFF00"/>
                </patternFill>
              </fill>
            </x14:dxf>
          </x14:cfRule>
          <xm:sqref>BH35:BV35</xm:sqref>
        </x14:conditionalFormatting>
        <x14:conditionalFormatting xmlns:xm="http://schemas.microsoft.com/office/excel/2006/main">
          <x14:cfRule type="expression" priority="4691077" id="{C98E908A-CD31-4778-B41C-7AFB9DBE639A}">
            <xm:f>$BV$4='Data entry'!$R16</xm:f>
            <x14:dxf>
              <fill>
                <patternFill>
                  <bgColor rgb="FFFF0000"/>
                </patternFill>
              </fill>
            </x14:dxf>
          </x14:cfRule>
          <xm:sqref>BT36:CC36</xm:sqref>
        </x14:conditionalFormatting>
        <x14:conditionalFormatting xmlns:xm="http://schemas.microsoft.com/office/excel/2006/main">
          <x14:cfRule type="expression" priority="4691078" id="{465CCCA3-B4DB-4B61-8AC7-8A5E4CEC9E3F}">
            <xm:f>$BW$4='Data entry'!$R16</xm:f>
            <x14:dxf>
              <fill>
                <patternFill>
                  <bgColor rgb="FFFFFF00"/>
                </patternFill>
              </fill>
            </x14:dxf>
          </x14:cfRule>
          <xm:sqref>BI35:BW35</xm:sqref>
        </x14:conditionalFormatting>
        <x14:conditionalFormatting xmlns:xm="http://schemas.microsoft.com/office/excel/2006/main">
          <x14:cfRule type="expression" priority="4691079" id="{37566F97-6D06-400B-A709-FE657B07687F}">
            <xm:f>$BW$4='Data entry'!$R16</xm:f>
            <x14:dxf>
              <fill>
                <patternFill>
                  <bgColor rgb="FFFF0000"/>
                </patternFill>
              </fill>
            </x14:dxf>
          </x14:cfRule>
          <xm:sqref>BU36:CC36</xm:sqref>
        </x14:conditionalFormatting>
        <x14:conditionalFormatting xmlns:xm="http://schemas.microsoft.com/office/excel/2006/main">
          <x14:cfRule type="expression" priority="4691080" id="{D8FBA3AC-5CF0-4E45-97CA-1D4DEE729ADA}">
            <xm:f>$BX$4='Data entry'!$R16</xm:f>
            <x14:dxf>
              <fill>
                <patternFill>
                  <bgColor rgb="FFFFFF00"/>
                </patternFill>
              </fill>
            </x14:dxf>
          </x14:cfRule>
          <xm:sqref>BJ35:BX35</xm:sqref>
        </x14:conditionalFormatting>
        <x14:conditionalFormatting xmlns:xm="http://schemas.microsoft.com/office/excel/2006/main">
          <x14:cfRule type="expression" priority="4691081" id="{E077C84B-A94F-431D-B232-4AFCC7C64F54}">
            <xm:f>$BX$4='Data entry'!$R16</xm:f>
            <x14:dxf>
              <fill>
                <patternFill>
                  <bgColor rgb="FFFF0000"/>
                </patternFill>
              </fill>
            </x14:dxf>
          </x14:cfRule>
          <xm:sqref>BV36:CC36</xm:sqref>
        </x14:conditionalFormatting>
        <x14:conditionalFormatting xmlns:xm="http://schemas.microsoft.com/office/excel/2006/main">
          <x14:cfRule type="expression" priority="4691082" id="{63783BA8-0C97-4A44-86FD-7A2BCF1B9957}">
            <xm:f>$BY$4='Data entry'!$R16</xm:f>
            <x14:dxf>
              <fill>
                <patternFill>
                  <bgColor rgb="FFFFFF00"/>
                </patternFill>
              </fill>
            </x14:dxf>
          </x14:cfRule>
          <xm:sqref>BK35:BY35</xm:sqref>
        </x14:conditionalFormatting>
        <x14:conditionalFormatting xmlns:xm="http://schemas.microsoft.com/office/excel/2006/main">
          <x14:cfRule type="expression" priority="4691083" id="{BB8DB8B4-B71B-46D2-AEE7-346F16103F74}">
            <xm:f>$BY$4='Data entry'!$R16</xm:f>
            <x14:dxf>
              <fill>
                <patternFill>
                  <bgColor rgb="FFFF0000"/>
                </patternFill>
              </fill>
            </x14:dxf>
          </x14:cfRule>
          <xm:sqref>BW36:CC36</xm:sqref>
        </x14:conditionalFormatting>
        <x14:conditionalFormatting xmlns:xm="http://schemas.microsoft.com/office/excel/2006/main">
          <x14:cfRule type="expression" priority="4691084" id="{1B638B98-2B06-4FEB-90C1-446A3E0A3979}">
            <xm:f>$BZ$4='Data entry'!$R16</xm:f>
            <x14:dxf>
              <fill>
                <patternFill>
                  <bgColor rgb="FFFFFF00"/>
                </patternFill>
              </fill>
            </x14:dxf>
          </x14:cfRule>
          <xm:sqref>BL35:BZ35</xm:sqref>
        </x14:conditionalFormatting>
        <x14:conditionalFormatting xmlns:xm="http://schemas.microsoft.com/office/excel/2006/main">
          <x14:cfRule type="expression" priority="4691085" id="{D3A0A2F8-D1B2-4DC5-B2A9-0EF53074E685}">
            <xm:f>$BZ$4='Data entry'!$R16</xm:f>
            <x14:dxf>
              <fill>
                <patternFill>
                  <bgColor rgb="FFFF0000"/>
                </patternFill>
              </fill>
            </x14:dxf>
          </x14:cfRule>
          <xm:sqref>BX36:CC36</xm:sqref>
        </x14:conditionalFormatting>
        <x14:conditionalFormatting xmlns:xm="http://schemas.microsoft.com/office/excel/2006/main">
          <x14:cfRule type="expression" priority="4691086" id="{83F6D018-7D3B-4D33-9998-11572F2F2FF5}">
            <xm:f>$CA$4='Data entry'!$R16</xm:f>
            <x14:dxf>
              <fill>
                <patternFill>
                  <bgColor rgb="FFFFFF00"/>
                </patternFill>
              </fill>
            </x14:dxf>
          </x14:cfRule>
          <xm:sqref>BM35:CA35</xm:sqref>
        </x14:conditionalFormatting>
        <x14:conditionalFormatting xmlns:xm="http://schemas.microsoft.com/office/excel/2006/main">
          <x14:cfRule type="expression" priority="4691087" id="{8E6D0B51-5626-4ED9-9072-C7A2C139704F}">
            <xm:f>$CA$4='Data entry'!$R16</xm:f>
            <x14:dxf>
              <fill>
                <patternFill>
                  <bgColor rgb="FFFF0000"/>
                </patternFill>
              </fill>
            </x14:dxf>
          </x14:cfRule>
          <xm:sqref>BY36:CC36</xm:sqref>
        </x14:conditionalFormatting>
        <x14:conditionalFormatting xmlns:xm="http://schemas.microsoft.com/office/excel/2006/main">
          <x14:cfRule type="expression" priority="4691088" id="{E1886EE4-3BDE-43A9-9F4B-79377FEC37FE}">
            <xm:f>$CB$4='Data entry'!$R16</xm:f>
            <x14:dxf>
              <fill>
                <patternFill>
                  <bgColor rgb="FFFFFF00"/>
                </patternFill>
              </fill>
            </x14:dxf>
          </x14:cfRule>
          <xm:sqref>BN35:CB35</xm:sqref>
        </x14:conditionalFormatting>
        <x14:conditionalFormatting xmlns:xm="http://schemas.microsoft.com/office/excel/2006/main">
          <x14:cfRule type="expression" priority="4691089" id="{ADEF572A-6C18-4602-BB86-01C96D36E07E}">
            <xm:f>$CB$4='Data entry'!$R16</xm:f>
            <x14:dxf>
              <fill>
                <patternFill>
                  <bgColor rgb="FFFF0000"/>
                </patternFill>
              </fill>
            </x14:dxf>
          </x14:cfRule>
          <xm:sqref>BZ36:CC36</xm:sqref>
        </x14:conditionalFormatting>
        <x14:conditionalFormatting xmlns:xm="http://schemas.microsoft.com/office/excel/2006/main">
          <x14:cfRule type="expression" priority="4691090" id="{7984E1C9-E073-4955-8543-62145CB6D008}">
            <xm:f>$CC$4='Data entry'!$R16</xm:f>
            <x14:dxf>
              <fill>
                <patternFill>
                  <bgColor rgb="FFFFFF00"/>
                </patternFill>
              </fill>
            </x14:dxf>
          </x14:cfRule>
          <xm:sqref>BO35:CC35</xm:sqref>
        </x14:conditionalFormatting>
        <x14:conditionalFormatting xmlns:xm="http://schemas.microsoft.com/office/excel/2006/main">
          <x14:cfRule type="expression" priority="4691091" id="{18A957B3-59FA-4698-BA92-2A208FF18E2F}">
            <xm:f>$CC$4='Data entry'!$R16</xm:f>
            <x14:dxf>
              <fill>
                <patternFill>
                  <bgColor rgb="FFFF0000"/>
                </patternFill>
              </fill>
            </x14:dxf>
          </x14:cfRule>
          <xm:sqref>CA36:CC36</xm:sqref>
        </x14:conditionalFormatting>
        <x14:conditionalFormatting xmlns:xm="http://schemas.microsoft.com/office/excel/2006/main">
          <x14:cfRule type="expression" priority="4691178" id="{5B0DB825-B7C2-40AC-B7EF-F267F054CFB9}">
            <xm:f>$U$4='Data entry'!$R17</xm:f>
            <x14:dxf>
              <fill>
                <patternFill>
                  <bgColor rgb="FFFF0000"/>
                </patternFill>
              </fill>
            </x14:dxf>
          </x14:cfRule>
          <xm:sqref>S39:AE39</xm:sqref>
        </x14:conditionalFormatting>
        <x14:conditionalFormatting xmlns:xm="http://schemas.microsoft.com/office/excel/2006/main">
          <x14:cfRule type="expression" priority="4691179" id="{18311200-E2BB-400F-B594-3B9A2C6068C2}">
            <xm:f>$V$4='Data entry'!$R17</xm:f>
            <x14:dxf>
              <fill>
                <patternFill>
                  <bgColor rgb="FFFF0000"/>
                </patternFill>
              </fill>
            </x14:dxf>
          </x14:cfRule>
          <xm:sqref>T39:AF39</xm:sqref>
        </x14:conditionalFormatting>
        <x14:conditionalFormatting xmlns:xm="http://schemas.microsoft.com/office/excel/2006/main">
          <x14:cfRule type="expression" priority="4691180" id="{D6DFB621-1A58-4C59-A987-ECAD0EB2D32B}">
            <xm:f>$V$4='Data entry'!$R17</xm:f>
            <x14:dxf>
              <fill>
                <patternFill>
                  <bgColor rgb="FFFFFF00"/>
                </patternFill>
              </fill>
            </x14:dxf>
          </x14:cfRule>
          <xm:sqref>H38:V38</xm:sqref>
        </x14:conditionalFormatting>
        <x14:conditionalFormatting xmlns:xm="http://schemas.microsoft.com/office/excel/2006/main">
          <x14:cfRule type="expression" priority="4691181" id="{5F87A680-DC5F-433D-A779-B7A534ACCDA9}">
            <xm:f>$W$4='Data entry'!$R17</xm:f>
            <x14:dxf>
              <fill>
                <patternFill>
                  <bgColor rgb="FFFF0000"/>
                </patternFill>
              </fill>
            </x14:dxf>
          </x14:cfRule>
          <xm:sqref>U39:AG39</xm:sqref>
        </x14:conditionalFormatting>
        <x14:conditionalFormatting xmlns:xm="http://schemas.microsoft.com/office/excel/2006/main">
          <x14:cfRule type="expression" priority="4691182" id="{964539FF-A92C-4F68-B268-B7157A32678C}">
            <xm:f>$W$4='Data entry'!$R17</xm:f>
            <x14:dxf>
              <fill>
                <patternFill>
                  <bgColor rgb="FFFFFF00"/>
                </patternFill>
              </fill>
            </x14:dxf>
          </x14:cfRule>
          <xm:sqref>I38:W38</xm:sqref>
        </x14:conditionalFormatting>
        <x14:conditionalFormatting xmlns:xm="http://schemas.microsoft.com/office/excel/2006/main">
          <x14:cfRule type="expression" priority="4691183" id="{46C1533A-F090-4A90-9309-3F59EC3FD3B0}">
            <xm:f>$X$4='Data entry'!$R17</xm:f>
            <x14:dxf>
              <fill>
                <patternFill>
                  <bgColor rgb="FFFF0000"/>
                </patternFill>
              </fill>
            </x14:dxf>
          </x14:cfRule>
          <xm:sqref>V39:AH39</xm:sqref>
        </x14:conditionalFormatting>
        <x14:conditionalFormatting xmlns:xm="http://schemas.microsoft.com/office/excel/2006/main">
          <x14:cfRule type="expression" priority="4691184" id="{7C70E81C-DDD4-4D75-933A-4F6A39893184}">
            <xm:f>$X$4='Data entry'!$R17</xm:f>
            <x14:dxf>
              <fill>
                <patternFill>
                  <bgColor rgb="FFFFFF00"/>
                </patternFill>
              </fill>
            </x14:dxf>
          </x14:cfRule>
          <xm:sqref>J38:X38</xm:sqref>
        </x14:conditionalFormatting>
        <x14:conditionalFormatting xmlns:xm="http://schemas.microsoft.com/office/excel/2006/main">
          <x14:cfRule type="expression" priority="4691185" id="{561AF073-0EF8-4B72-A119-40A639C4359D}">
            <xm:f>$Y$4='Data entry'!$R17</xm:f>
            <x14:dxf>
              <fill>
                <patternFill>
                  <bgColor rgb="FFFF0000"/>
                </patternFill>
              </fill>
            </x14:dxf>
          </x14:cfRule>
          <xm:sqref>W39:AI39</xm:sqref>
        </x14:conditionalFormatting>
        <x14:conditionalFormatting xmlns:xm="http://schemas.microsoft.com/office/excel/2006/main">
          <x14:cfRule type="expression" priority="4691186" id="{F242E808-8F07-4A89-9524-7D4C767CE357}">
            <xm:f>$Y$4='Data entry'!$R17</xm:f>
            <x14:dxf>
              <fill>
                <patternFill>
                  <bgColor rgb="FFFFFF00"/>
                </patternFill>
              </fill>
            </x14:dxf>
          </x14:cfRule>
          <xm:sqref>K38:Y38</xm:sqref>
        </x14:conditionalFormatting>
        <x14:conditionalFormatting xmlns:xm="http://schemas.microsoft.com/office/excel/2006/main">
          <x14:cfRule type="expression" priority="4691187" id="{DD601058-982B-4218-BD9D-64BB823C2633}">
            <xm:f>$Z$4='Data entry'!$R17</xm:f>
            <x14:dxf>
              <fill>
                <patternFill>
                  <bgColor rgb="FFFF0000"/>
                </patternFill>
              </fill>
            </x14:dxf>
          </x14:cfRule>
          <xm:sqref>X39:AJ39</xm:sqref>
        </x14:conditionalFormatting>
        <x14:conditionalFormatting xmlns:xm="http://schemas.microsoft.com/office/excel/2006/main">
          <x14:cfRule type="expression" priority="4691188" id="{C9DB141D-79F6-4093-92A3-7BF7A1622985}">
            <xm:f>$Z$4='Data entry'!$R17</xm:f>
            <x14:dxf>
              <fill>
                <patternFill>
                  <bgColor rgb="FFFFFF00"/>
                </patternFill>
              </fill>
            </x14:dxf>
          </x14:cfRule>
          <xm:sqref>L38:Z38</xm:sqref>
        </x14:conditionalFormatting>
        <x14:conditionalFormatting xmlns:xm="http://schemas.microsoft.com/office/excel/2006/main">
          <x14:cfRule type="expression" priority="4691189" id="{710EB8D3-F5C0-4E3C-8214-2D0C4E26F649}">
            <xm:f>$AA$4='Data entry'!$R17</xm:f>
            <x14:dxf>
              <fill>
                <patternFill>
                  <bgColor rgb="FFFF0000"/>
                </patternFill>
              </fill>
            </x14:dxf>
          </x14:cfRule>
          <xm:sqref>Y39:AK39</xm:sqref>
        </x14:conditionalFormatting>
        <x14:conditionalFormatting xmlns:xm="http://schemas.microsoft.com/office/excel/2006/main">
          <x14:cfRule type="expression" priority="4691190" id="{33825D69-C967-4D27-B395-5D44A3083802}">
            <xm:f>$AA$4='Data entry'!$R17</xm:f>
            <x14:dxf>
              <fill>
                <patternFill>
                  <bgColor rgb="FFFFFF00"/>
                </patternFill>
              </fill>
            </x14:dxf>
          </x14:cfRule>
          <xm:sqref>M38:AA38</xm:sqref>
        </x14:conditionalFormatting>
        <x14:conditionalFormatting xmlns:xm="http://schemas.microsoft.com/office/excel/2006/main">
          <x14:cfRule type="expression" priority="4691191" id="{9811A97D-351B-4D32-8754-AF433277E62B}">
            <xm:f>$AB$4='Data entry'!$R17</xm:f>
            <x14:dxf>
              <fill>
                <patternFill>
                  <bgColor rgb="FFFF0000"/>
                </patternFill>
              </fill>
            </x14:dxf>
          </x14:cfRule>
          <xm:sqref>Z39:AL39</xm:sqref>
        </x14:conditionalFormatting>
        <x14:conditionalFormatting xmlns:xm="http://schemas.microsoft.com/office/excel/2006/main">
          <x14:cfRule type="expression" priority="4691192" id="{6DD3E556-C72E-438B-92DA-3096ED1E4178}">
            <xm:f>$AB$4='Data entry'!$R17</xm:f>
            <x14:dxf>
              <fill>
                <patternFill>
                  <bgColor rgb="FFFFFF00"/>
                </patternFill>
              </fill>
            </x14:dxf>
          </x14:cfRule>
          <xm:sqref>N38:AB38</xm:sqref>
        </x14:conditionalFormatting>
        <x14:conditionalFormatting xmlns:xm="http://schemas.microsoft.com/office/excel/2006/main">
          <x14:cfRule type="expression" priority="4691193" id="{C0DF7A1B-D6BC-4371-BD3A-F0708147FA1C}">
            <xm:f>$AC$4='Data entry'!$R17</xm:f>
            <x14:dxf>
              <fill>
                <patternFill>
                  <bgColor rgb="FFFF0000"/>
                </patternFill>
              </fill>
            </x14:dxf>
          </x14:cfRule>
          <xm:sqref>AA39:AM39</xm:sqref>
        </x14:conditionalFormatting>
        <x14:conditionalFormatting xmlns:xm="http://schemas.microsoft.com/office/excel/2006/main">
          <x14:cfRule type="expression" priority="4691194" id="{DB2E1F48-AF0E-41F9-A976-6B1963CA5711}">
            <xm:f>$AC$4='Data entry'!$R17</xm:f>
            <x14:dxf>
              <fill>
                <patternFill>
                  <bgColor rgb="FFFFFF00"/>
                </patternFill>
              </fill>
            </x14:dxf>
          </x14:cfRule>
          <xm:sqref>O38:AC38</xm:sqref>
        </x14:conditionalFormatting>
        <x14:conditionalFormatting xmlns:xm="http://schemas.microsoft.com/office/excel/2006/main">
          <x14:cfRule type="expression" priority="4691195" id="{89909907-F9A9-4AF9-BC1D-304710A43F50}">
            <xm:f>$AD$4='Data entry'!$R17</xm:f>
            <x14:dxf>
              <fill>
                <patternFill>
                  <bgColor rgb="FFFF0000"/>
                </patternFill>
              </fill>
            </x14:dxf>
          </x14:cfRule>
          <xm:sqref>AB39:AN39</xm:sqref>
        </x14:conditionalFormatting>
        <x14:conditionalFormatting xmlns:xm="http://schemas.microsoft.com/office/excel/2006/main">
          <x14:cfRule type="expression" priority="4691196" id="{729676B7-E331-43A4-ACC9-850DCEE76A0E}">
            <xm:f>$AD$4='Data entry'!$R17</xm:f>
            <x14:dxf>
              <fill>
                <patternFill>
                  <bgColor rgb="FFFFFF00"/>
                </patternFill>
              </fill>
            </x14:dxf>
          </x14:cfRule>
          <xm:sqref>P38:AD38</xm:sqref>
        </x14:conditionalFormatting>
        <x14:conditionalFormatting xmlns:xm="http://schemas.microsoft.com/office/excel/2006/main">
          <x14:cfRule type="expression" priority="4691197" id="{00DA2C55-350E-44AA-ABEA-808FABFDA737}">
            <xm:f>$AE$4='Data entry'!$R17</xm:f>
            <x14:dxf>
              <fill>
                <patternFill>
                  <bgColor rgb="FFFF0000"/>
                </patternFill>
              </fill>
            </x14:dxf>
          </x14:cfRule>
          <xm:sqref>AC39:AO39</xm:sqref>
        </x14:conditionalFormatting>
        <x14:conditionalFormatting xmlns:xm="http://schemas.microsoft.com/office/excel/2006/main">
          <x14:cfRule type="expression" priority="4691198" id="{373C95F1-00C1-45E9-B561-5224945BA4A4}">
            <xm:f>$AE$4='Data entry'!$R17</xm:f>
            <x14:dxf>
              <fill>
                <patternFill>
                  <bgColor rgb="FFFFFF00"/>
                </patternFill>
              </fill>
            </x14:dxf>
          </x14:cfRule>
          <xm:sqref>Q38:AE38</xm:sqref>
        </x14:conditionalFormatting>
        <x14:conditionalFormatting xmlns:xm="http://schemas.microsoft.com/office/excel/2006/main">
          <x14:cfRule type="expression" priority="4691199" id="{65E90E74-6BEF-4B00-BD5E-ECACFEBC225A}">
            <xm:f>$AF$4='Data entry'!$R17</xm:f>
            <x14:dxf>
              <fill>
                <patternFill>
                  <bgColor rgb="FFFF0000"/>
                </patternFill>
              </fill>
            </x14:dxf>
          </x14:cfRule>
          <xm:sqref>AD39:AP39</xm:sqref>
        </x14:conditionalFormatting>
        <x14:conditionalFormatting xmlns:xm="http://schemas.microsoft.com/office/excel/2006/main">
          <x14:cfRule type="expression" priority="4691200" id="{56B519D7-E083-4811-B42B-D6CB10D44BB3}">
            <xm:f>$AF$4='Data entry'!$R17</xm:f>
            <x14:dxf>
              <fill>
                <patternFill>
                  <bgColor rgb="FFFFFF00"/>
                </patternFill>
              </fill>
            </x14:dxf>
          </x14:cfRule>
          <xm:sqref>R38:AF38</xm:sqref>
        </x14:conditionalFormatting>
        <x14:conditionalFormatting xmlns:xm="http://schemas.microsoft.com/office/excel/2006/main">
          <x14:cfRule type="expression" priority="4691201" id="{889682B6-BF9B-414B-86B7-1C802156B058}">
            <xm:f>$AG$4='Data entry'!$R17</xm:f>
            <x14:dxf>
              <fill>
                <patternFill>
                  <bgColor rgb="FFFF0000"/>
                </patternFill>
              </fill>
            </x14:dxf>
          </x14:cfRule>
          <xm:sqref>AE39:AQ39</xm:sqref>
        </x14:conditionalFormatting>
        <x14:conditionalFormatting xmlns:xm="http://schemas.microsoft.com/office/excel/2006/main">
          <x14:cfRule type="expression" priority="4691202" id="{19913D88-1940-4CB0-B29C-D46D60833BD5}">
            <xm:f>$AG$4='Data entry'!$R17</xm:f>
            <x14:dxf>
              <fill>
                <patternFill>
                  <bgColor rgb="FFFFFF00"/>
                </patternFill>
              </fill>
            </x14:dxf>
          </x14:cfRule>
          <xm:sqref>S38:AG38</xm:sqref>
        </x14:conditionalFormatting>
        <x14:conditionalFormatting xmlns:xm="http://schemas.microsoft.com/office/excel/2006/main">
          <x14:cfRule type="expression" priority="4691203" id="{3DD7B9A5-18A3-463F-BAD5-9796FC487328}">
            <xm:f>$AH$4='Data entry'!$R17</xm:f>
            <x14:dxf>
              <fill>
                <patternFill>
                  <bgColor rgb="FFFF0000"/>
                </patternFill>
              </fill>
            </x14:dxf>
          </x14:cfRule>
          <xm:sqref>AF39:AR39</xm:sqref>
        </x14:conditionalFormatting>
        <x14:conditionalFormatting xmlns:xm="http://schemas.microsoft.com/office/excel/2006/main">
          <x14:cfRule type="expression" priority="4691204" id="{31005CF4-5608-496E-91EB-F7F505046C80}">
            <xm:f>$AH$4='Data entry'!$R17</xm:f>
            <x14:dxf>
              <fill>
                <patternFill>
                  <bgColor rgb="FFFFFF00"/>
                </patternFill>
              </fill>
            </x14:dxf>
          </x14:cfRule>
          <xm:sqref>T38:AH38</xm:sqref>
        </x14:conditionalFormatting>
        <x14:conditionalFormatting xmlns:xm="http://schemas.microsoft.com/office/excel/2006/main">
          <x14:cfRule type="expression" priority="4691205" id="{CD14F654-5B7A-444F-8FC1-7DD71E76E475}">
            <xm:f>$AI$4='Data entry'!$R17</xm:f>
            <x14:dxf>
              <fill>
                <patternFill>
                  <bgColor rgb="FFFF0000"/>
                </patternFill>
              </fill>
            </x14:dxf>
          </x14:cfRule>
          <xm:sqref>AG39:AS39</xm:sqref>
        </x14:conditionalFormatting>
        <x14:conditionalFormatting xmlns:xm="http://schemas.microsoft.com/office/excel/2006/main">
          <x14:cfRule type="expression" priority="4691206" id="{0E4E448C-6C46-4285-B877-A61A90294385}">
            <xm:f>$AI$4='Data entry'!$R17</xm:f>
            <x14:dxf>
              <fill>
                <patternFill>
                  <bgColor rgb="FFFFFF00"/>
                </patternFill>
              </fill>
            </x14:dxf>
          </x14:cfRule>
          <xm:sqref>U38:AI38</xm:sqref>
        </x14:conditionalFormatting>
        <x14:conditionalFormatting xmlns:xm="http://schemas.microsoft.com/office/excel/2006/main">
          <x14:cfRule type="expression" priority="4691207" id="{B1C1818F-791C-403D-BE73-6F6E9DC6A16D}">
            <xm:f>$AJ$4='Data entry'!$R17</xm:f>
            <x14:dxf>
              <fill>
                <patternFill>
                  <bgColor rgb="FFFF0000"/>
                </patternFill>
              </fill>
            </x14:dxf>
          </x14:cfRule>
          <xm:sqref>AH39:AT39</xm:sqref>
        </x14:conditionalFormatting>
        <x14:conditionalFormatting xmlns:xm="http://schemas.microsoft.com/office/excel/2006/main">
          <x14:cfRule type="expression" priority="4691208" id="{A1237792-221B-431B-B8A7-E9A64DA46D93}">
            <xm:f>$AJ$4='Data entry'!$R17</xm:f>
            <x14:dxf>
              <fill>
                <patternFill>
                  <bgColor rgb="FFFFFF00"/>
                </patternFill>
              </fill>
            </x14:dxf>
          </x14:cfRule>
          <xm:sqref>V38:AJ38</xm:sqref>
        </x14:conditionalFormatting>
        <x14:conditionalFormatting xmlns:xm="http://schemas.microsoft.com/office/excel/2006/main">
          <x14:cfRule type="expression" priority="4691209" id="{617DC2AF-C7A3-4724-8EA3-17DEFEDC8949}">
            <xm:f>$AK$4='Data entry'!$R17</xm:f>
            <x14:dxf>
              <fill>
                <patternFill>
                  <bgColor rgb="FFFF0000"/>
                </patternFill>
              </fill>
            </x14:dxf>
          </x14:cfRule>
          <xm:sqref>AI39:AU39</xm:sqref>
        </x14:conditionalFormatting>
        <x14:conditionalFormatting xmlns:xm="http://schemas.microsoft.com/office/excel/2006/main">
          <x14:cfRule type="expression" priority="4691210" id="{AA72317D-37B1-48EB-A28B-BF2AC8DC4519}">
            <xm:f>$AK$4='Data entry'!$R17</xm:f>
            <x14:dxf>
              <fill>
                <patternFill>
                  <bgColor rgb="FFFFFF00"/>
                </patternFill>
              </fill>
            </x14:dxf>
          </x14:cfRule>
          <xm:sqref>W38:AK38</xm:sqref>
        </x14:conditionalFormatting>
        <x14:conditionalFormatting xmlns:xm="http://schemas.microsoft.com/office/excel/2006/main">
          <x14:cfRule type="expression" priority="4691211" id="{6CA9FB7A-20EA-4D3A-B74C-A001F4BE810D}">
            <xm:f>$AL$4='Data entry'!$R17</xm:f>
            <x14:dxf>
              <fill>
                <patternFill>
                  <bgColor rgb="FFFF0000"/>
                </patternFill>
              </fill>
            </x14:dxf>
          </x14:cfRule>
          <xm:sqref>AJ39:AV39</xm:sqref>
        </x14:conditionalFormatting>
        <x14:conditionalFormatting xmlns:xm="http://schemas.microsoft.com/office/excel/2006/main">
          <x14:cfRule type="expression" priority="4691212" id="{81A75DAA-573F-4EF3-A640-1B992C18BEA0}">
            <xm:f>$AL$4='Data entry'!$R17</xm:f>
            <x14:dxf>
              <fill>
                <patternFill>
                  <bgColor rgb="FFFFFF00"/>
                </patternFill>
              </fill>
            </x14:dxf>
          </x14:cfRule>
          <xm:sqref>X38:AL38</xm:sqref>
        </x14:conditionalFormatting>
        <x14:conditionalFormatting xmlns:xm="http://schemas.microsoft.com/office/excel/2006/main">
          <x14:cfRule type="expression" priority="4691213" id="{3D44713E-4ABA-4CCD-9DF4-5513A9FB5E1E}">
            <xm:f>$AM$4='Data entry'!$R17</xm:f>
            <x14:dxf>
              <fill>
                <patternFill>
                  <bgColor rgb="FFFF0000"/>
                </patternFill>
              </fill>
            </x14:dxf>
          </x14:cfRule>
          <xm:sqref>AK39:AW39</xm:sqref>
        </x14:conditionalFormatting>
        <x14:conditionalFormatting xmlns:xm="http://schemas.microsoft.com/office/excel/2006/main">
          <x14:cfRule type="expression" priority="4691214" id="{05A26B51-72A7-4423-822F-2BDBC28275D0}">
            <xm:f>$AM$4='Data entry'!$R17</xm:f>
            <x14:dxf>
              <fill>
                <patternFill>
                  <bgColor rgb="FFFFFF00"/>
                </patternFill>
              </fill>
            </x14:dxf>
          </x14:cfRule>
          <xm:sqref>Y38:AM38</xm:sqref>
        </x14:conditionalFormatting>
        <x14:conditionalFormatting xmlns:xm="http://schemas.microsoft.com/office/excel/2006/main">
          <x14:cfRule type="expression" priority="4691215" id="{B8A20675-6230-4694-A7F6-6B3DC7142773}">
            <xm:f>$AN$4='Data entry'!$R17</xm:f>
            <x14:dxf>
              <fill>
                <patternFill>
                  <bgColor rgb="FFFF0000"/>
                </patternFill>
              </fill>
            </x14:dxf>
          </x14:cfRule>
          <xm:sqref>AL39:AX39</xm:sqref>
        </x14:conditionalFormatting>
        <x14:conditionalFormatting xmlns:xm="http://schemas.microsoft.com/office/excel/2006/main">
          <x14:cfRule type="expression" priority="4691216" id="{8421181C-7450-42E9-BC1D-065CCFCA960E}">
            <xm:f>$AN$4='Data entry'!$R17</xm:f>
            <x14:dxf>
              <fill>
                <patternFill>
                  <bgColor rgb="FFFFFF00"/>
                </patternFill>
              </fill>
            </x14:dxf>
          </x14:cfRule>
          <xm:sqref>Z38:AN38</xm:sqref>
        </x14:conditionalFormatting>
        <x14:conditionalFormatting xmlns:xm="http://schemas.microsoft.com/office/excel/2006/main">
          <x14:cfRule type="expression" priority="4691217" id="{067FE4BD-6EF4-4684-B6E0-35AB2F267EE7}">
            <xm:f>$AO$4='Data entry'!$R17</xm:f>
            <x14:dxf>
              <fill>
                <patternFill>
                  <bgColor rgb="FFFF0000"/>
                </patternFill>
              </fill>
            </x14:dxf>
          </x14:cfRule>
          <xm:sqref>AM39:AY39</xm:sqref>
        </x14:conditionalFormatting>
        <x14:conditionalFormatting xmlns:xm="http://schemas.microsoft.com/office/excel/2006/main">
          <x14:cfRule type="expression" priority="4691218" id="{F7653492-88D1-47AC-8BA3-0CCE65C3C2AB}">
            <xm:f>$AO$4='Data entry'!$R17</xm:f>
            <x14:dxf>
              <fill>
                <patternFill>
                  <bgColor rgb="FFFFFF00"/>
                </patternFill>
              </fill>
            </x14:dxf>
          </x14:cfRule>
          <xm:sqref>AA38:AO38</xm:sqref>
        </x14:conditionalFormatting>
        <x14:conditionalFormatting xmlns:xm="http://schemas.microsoft.com/office/excel/2006/main">
          <x14:cfRule type="expression" priority="4691219" id="{207A5E5D-B322-482E-9193-1D7318138358}">
            <xm:f>$AP$4='Data entry'!$R17</xm:f>
            <x14:dxf>
              <fill>
                <patternFill>
                  <bgColor rgb="FFFF0000"/>
                </patternFill>
              </fill>
            </x14:dxf>
          </x14:cfRule>
          <xm:sqref>AN39:AZ39</xm:sqref>
        </x14:conditionalFormatting>
        <x14:conditionalFormatting xmlns:xm="http://schemas.microsoft.com/office/excel/2006/main">
          <x14:cfRule type="expression" priority="4691220" id="{21DA638D-4CA0-4067-BFF1-240CE1A0261B}">
            <xm:f>$AP$4='Data entry'!$R17</xm:f>
            <x14:dxf>
              <fill>
                <patternFill>
                  <bgColor rgb="FFFFFF00"/>
                </patternFill>
              </fill>
            </x14:dxf>
          </x14:cfRule>
          <xm:sqref>AB38:AP38</xm:sqref>
        </x14:conditionalFormatting>
        <x14:conditionalFormatting xmlns:xm="http://schemas.microsoft.com/office/excel/2006/main">
          <x14:cfRule type="expression" priority="4691221" id="{71963D96-A42A-4B90-BFC7-6D83D37766EF}">
            <xm:f>$AQ$4='Data entry'!$R17</xm:f>
            <x14:dxf>
              <fill>
                <patternFill>
                  <bgColor rgb="FFFF0000"/>
                </patternFill>
              </fill>
            </x14:dxf>
          </x14:cfRule>
          <xm:sqref>AO39:BA39</xm:sqref>
        </x14:conditionalFormatting>
        <x14:conditionalFormatting xmlns:xm="http://schemas.microsoft.com/office/excel/2006/main">
          <x14:cfRule type="expression" priority="4691222" id="{74952595-84B6-484F-8FF6-FCC1F337DF4D}">
            <xm:f>$AQ$4='Data entry'!$R17</xm:f>
            <x14:dxf>
              <fill>
                <patternFill>
                  <bgColor rgb="FFFFFF00"/>
                </patternFill>
              </fill>
            </x14:dxf>
          </x14:cfRule>
          <xm:sqref>AC38:AQ38</xm:sqref>
        </x14:conditionalFormatting>
        <x14:conditionalFormatting xmlns:xm="http://schemas.microsoft.com/office/excel/2006/main">
          <x14:cfRule type="expression" priority="4691223" id="{8AC9C4B9-0A34-4BC0-B0F7-CA89434C4911}">
            <xm:f>$P$4='Data entry'!$R17</xm:f>
            <x14:dxf>
              <fill>
                <patternFill>
                  <bgColor rgb="FFFFFF00"/>
                </patternFill>
              </fill>
            </x14:dxf>
          </x14:cfRule>
          <xm:sqref>C38:P38</xm:sqref>
        </x14:conditionalFormatting>
        <x14:conditionalFormatting xmlns:xm="http://schemas.microsoft.com/office/excel/2006/main">
          <x14:cfRule type="expression" priority="4691224" id="{0A726775-ABFD-4F22-967C-1A4D87BA3751}">
            <xm:f>$Q$4='Data entry'!$R17</xm:f>
            <x14:dxf>
              <fill>
                <patternFill>
                  <bgColor rgb="FFFFFF00"/>
                </patternFill>
              </fill>
            </x14:dxf>
          </x14:cfRule>
          <xm:sqref>C38:Q38</xm:sqref>
        </x14:conditionalFormatting>
        <x14:conditionalFormatting xmlns:xm="http://schemas.microsoft.com/office/excel/2006/main">
          <x14:cfRule type="expression" priority="4691225" id="{3A8414BD-262C-43B5-86EE-FA6901D00453}">
            <xm:f>$Q$4='Data entry'!$R17</xm:f>
            <x14:dxf>
              <fill>
                <patternFill>
                  <bgColor rgb="FFFF0000"/>
                </patternFill>
              </fill>
            </x14:dxf>
          </x14:cfRule>
          <xm:sqref>O39:AA39</xm:sqref>
        </x14:conditionalFormatting>
        <x14:conditionalFormatting xmlns:xm="http://schemas.microsoft.com/office/excel/2006/main">
          <x14:cfRule type="expression" priority="4691226" id="{B8B5501D-F3EF-4449-9306-F652960C65F4}">
            <xm:f>$R$4='Data entry'!$R17</xm:f>
            <x14:dxf>
              <fill>
                <patternFill>
                  <bgColor rgb="FFFF0000"/>
                </patternFill>
              </fill>
            </x14:dxf>
          </x14:cfRule>
          <xm:sqref>P39:AB39</xm:sqref>
        </x14:conditionalFormatting>
        <x14:conditionalFormatting xmlns:xm="http://schemas.microsoft.com/office/excel/2006/main">
          <x14:cfRule type="expression" priority="4691227" id="{5D070DEC-B82E-4D87-B907-A3E5AB836991}">
            <xm:f>$R$4='Data entry'!$R17</xm:f>
            <x14:dxf>
              <fill>
                <patternFill>
                  <bgColor rgb="FFFFFF00"/>
                </patternFill>
              </fill>
            </x14:dxf>
          </x14:cfRule>
          <xm:sqref>D38:R38</xm:sqref>
        </x14:conditionalFormatting>
        <x14:conditionalFormatting xmlns:xm="http://schemas.microsoft.com/office/excel/2006/main">
          <x14:cfRule type="expression" priority="4691228" id="{E4D16A10-F818-4664-9FB2-F0E839824D4B}">
            <xm:f>$S$4='Data entry'!$R17</xm:f>
            <x14:dxf>
              <fill>
                <patternFill>
                  <bgColor rgb="FFFF0000"/>
                </patternFill>
              </fill>
            </x14:dxf>
          </x14:cfRule>
          <xm:sqref>Q39:AC39</xm:sqref>
        </x14:conditionalFormatting>
        <x14:conditionalFormatting xmlns:xm="http://schemas.microsoft.com/office/excel/2006/main">
          <x14:cfRule type="expression" priority="4691229" id="{1A9F9911-A3E9-4730-AFBE-AB8C596545CA}">
            <xm:f>$S$4='Data entry'!$R17</xm:f>
            <x14:dxf>
              <fill>
                <patternFill>
                  <bgColor rgb="FFFFFF00"/>
                </patternFill>
              </fill>
            </x14:dxf>
          </x14:cfRule>
          <xm:sqref>E38:S38</xm:sqref>
        </x14:conditionalFormatting>
        <x14:conditionalFormatting xmlns:xm="http://schemas.microsoft.com/office/excel/2006/main">
          <x14:cfRule type="expression" priority="4691230" id="{8BB5CD1B-B2AC-442A-9550-26DE19A62D22}">
            <xm:f>$T$4='Data entry'!$R17</xm:f>
            <x14:dxf>
              <fill>
                <patternFill>
                  <bgColor rgb="FFFF0000"/>
                </patternFill>
              </fill>
            </x14:dxf>
          </x14:cfRule>
          <xm:sqref>R39:AD39</xm:sqref>
        </x14:conditionalFormatting>
        <x14:conditionalFormatting xmlns:xm="http://schemas.microsoft.com/office/excel/2006/main">
          <x14:cfRule type="expression" priority="4691231" id="{E7B59C69-7921-4049-84A1-8B3E5F7B0598}">
            <xm:f>$T$4='Data entry'!$R17</xm:f>
            <x14:dxf>
              <fill>
                <patternFill>
                  <bgColor rgb="FFFFFF00"/>
                </patternFill>
              </fill>
            </x14:dxf>
          </x14:cfRule>
          <xm:sqref>F38:T38</xm:sqref>
        </x14:conditionalFormatting>
        <x14:conditionalFormatting xmlns:xm="http://schemas.microsoft.com/office/excel/2006/main">
          <x14:cfRule type="expression" priority="4691232" id="{238C09E5-7A3D-439D-949F-A7733073F9A2}">
            <xm:f>$U$4='Data entry'!$R17</xm:f>
            <x14:dxf>
              <fill>
                <patternFill>
                  <bgColor rgb="FFFFFF00"/>
                </patternFill>
              </fill>
            </x14:dxf>
          </x14:cfRule>
          <xm:sqref>G38:U38</xm:sqref>
        </x14:conditionalFormatting>
        <x14:conditionalFormatting xmlns:xm="http://schemas.microsoft.com/office/excel/2006/main">
          <x14:cfRule type="expression" priority="4691233" id="{DE4D4432-0A19-452A-AF14-2873FE4DF411}">
            <xm:f>$AR$4='Data entry'!$R17</xm:f>
            <x14:dxf>
              <fill>
                <patternFill>
                  <bgColor rgb="FFFF0000"/>
                </patternFill>
              </fill>
            </x14:dxf>
          </x14:cfRule>
          <xm:sqref>AP39:BB39</xm:sqref>
        </x14:conditionalFormatting>
        <x14:conditionalFormatting xmlns:xm="http://schemas.microsoft.com/office/excel/2006/main">
          <x14:cfRule type="expression" priority="4691234" id="{90D7E1FF-542D-40C8-9BD5-DFEB4CDD256F}">
            <xm:f>$AR$4='Data entry'!$R17</xm:f>
            <x14:dxf>
              <fill>
                <patternFill>
                  <bgColor rgb="FFFFFF00"/>
                </patternFill>
              </fill>
            </x14:dxf>
          </x14:cfRule>
          <xm:sqref>AD38:AR38</xm:sqref>
        </x14:conditionalFormatting>
        <x14:conditionalFormatting xmlns:xm="http://schemas.microsoft.com/office/excel/2006/main">
          <x14:cfRule type="expression" priority="4691235" id="{0EBB5305-4A4A-4205-A1FF-11160070CBC3}">
            <xm:f>$AS$4='Data entry'!$R17</xm:f>
            <x14:dxf>
              <fill>
                <patternFill>
                  <bgColor rgb="FFFF0000"/>
                </patternFill>
              </fill>
            </x14:dxf>
          </x14:cfRule>
          <xm:sqref>AQ39:BC39</xm:sqref>
        </x14:conditionalFormatting>
        <x14:conditionalFormatting xmlns:xm="http://schemas.microsoft.com/office/excel/2006/main">
          <x14:cfRule type="expression" priority="4691236" id="{AC8EB30C-4253-4CE1-820E-1801F6D8D35B}">
            <xm:f>$AS$4='Data entry'!$R17</xm:f>
            <x14:dxf>
              <fill>
                <patternFill>
                  <bgColor rgb="FFFFFF00"/>
                </patternFill>
              </fill>
            </x14:dxf>
          </x14:cfRule>
          <xm:sqref>AE38:AS38</xm:sqref>
        </x14:conditionalFormatting>
        <x14:conditionalFormatting xmlns:xm="http://schemas.microsoft.com/office/excel/2006/main">
          <x14:cfRule type="expression" priority="4691237" id="{E11744C1-7201-4272-A1B0-945490B42425}">
            <xm:f>$AT$4='Data entry'!$R17</xm:f>
            <x14:dxf>
              <fill>
                <patternFill>
                  <bgColor rgb="FFFF0000"/>
                </patternFill>
              </fill>
            </x14:dxf>
          </x14:cfRule>
          <xm:sqref>AR39:BD39</xm:sqref>
        </x14:conditionalFormatting>
        <x14:conditionalFormatting xmlns:xm="http://schemas.microsoft.com/office/excel/2006/main">
          <x14:cfRule type="expression" priority="4691238" id="{5EE2823B-E955-4EA7-B99C-0B1F77B57A69}">
            <xm:f>$AT$4='Data entry'!$R17</xm:f>
            <x14:dxf>
              <fill>
                <patternFill>
                  <bgColor rgb="FFFFFF00"/>
                </patternFill>
              </fill>
            </x14:dxf>
          </x14:cfRule>
          <xm:sqref>AF38:AT38</xm:sqref>
        </x14:conditionalFormatting>
        <x14:conditionalFormatting xmlns:xm="http://schemas.microsoft.com/office/excel/2006/main">
          <x14:cfRule type="expression" priority="4691239" id="{5737DC63-3262-4B34-900C-2AAEB255FCBA}">
            <xm:f>$AU$4='Data entry'!$R17</xm:f>
            <x14:dxf>
              <fill>
                <patternFill>
                  <bgColor rgb="FFFF0000"/>
                </patternFill>
              </fill>
            </x14:dxf>
          </x14:cfRule>
          <xm:sqref>AS39:BE39</xm:sqref>
        </x14:conditionalFormatting>
        <x14:conditionalFormatting xmlns:xm="http://schemas.microsoft.com/office/excel/2006/main">
          <x14:cfRule type="expression" priority="4691240" id="{2B5C1F1B-3C3D-4CA3-BC64-0E98422075B6}">
            <xm:f>$AU$4='Data entry'!$R17</xm:f>
            <x14:dxf>
              <fill>
                <patternFill>
                  <bgColor rgb="FFFFFF00"/>
                </patternFill>
              </fill>
            </x14:dxf>
          </x14:cfRule>
          <xm:sqref>AG38:AU38</xm:sqref>
        </x14:conditionalFormatting>
        <x14:conditionalFormatting xmlns:xm="http://schemas.microsoft.com/office/excel/2006/main">
          <x14:cfRule type="expression" priority="4691241" id="{B87A1285-B003-4855-8F4B-53C391BA10E6}">
            <xm:f>$AV$4='Data entry'!$R17</xm:f>
            <x14:dxf>
              <fill>
                <patternFill>
                  <bgColor rgb="FFFF0000"/>
                </patternFill>
              </fill>
            </x14:dxf>
          </x14:cfRule>
          <xm:sqref>AT39:BF39</xm:sqref>
        </x14:conditionalFormatting>
        <x14:conditionalFormatting xmlns:xm="http://schemas.microsoft.com/office/excel/2006/main">
          <x14:cfRule type="expression" priority="4691242" id="{338EE31C-78DB-4818-B837-0380F9E457FA}">
            <xm:f>$AV$4='Data entry'!$R17</xm:f>
            <x14:dxf>
              <fill>
                <patternFill>
                  <bgColor rgb="FFFFFF00"/>
                </patternFill>
              </fill>
            </x14:dxf>
          </x14:cfRule>
          <xm:sqref>AH38:AV38</xm:sqref>
        </x14:conditionalFormatting>
        <x14:conditionalFormatting xmlns:xm="http://schemas.microsoft.com/office/excel/2006/main">
          <x14:cfRule type="expression" priority="4691243" id="{5C40EA66-2801-4C91-B885-BF6A1ECFC35C}">
            <xm:f>$AW$4='Data entry'!$R17</xm:f>
            <x14:dxf>
              <fill>
                <patternFill>
                  <bgColor rgb="FFFF0000"/>
                </patternFill>
              </fill>
            </x14:dxf>
          </x14:cfRule>
          <xm:sqref>AU39:BG39</xm:sqref>
        </x14:conditionalFormatting>
        <x14:conditionalFormatting xmlns:xm="http://schemas.microsoft.com/office/excel/2006/main">
          <x14:cfRule type="expression" priority="4691244" id="{51BCD5CE-DF86-4C2F-8A81-DDA1EFD6C8F7}">
            <xm:f>$AW$4='Data entry'!$R17</xm:f>
            <x14:dxf>
              <fill>
                <patternFill>
                  <bgColor rgb="FFFFFF00"/>
                </patternFill>
              </fill>
            </x14:dxf>
          </x14:cfRule>
          <xm:sqref>AI38:AW38</xm:sqref>
        </x14:conditionalFormatting>
        <x14:conditionalFormatting xmlns:xm="http://schemas.microsoft.com/office/excel/2006/main">
          <x14:cfRule type="expression" priority="4691245" id="{DC2ED5A0-8917-4877-8CD3-9DF9BE5993C9}">
            <xm:f>$AX$4='Data entry'!$R17</xm:f>
            <x14:dxf>
              <fill>
                <patternFill>
                  <bgColor rgb="FFFF0000"/>
                </patternFill>
              </fill>
            </x14:dxf>
          </x14:cfRule>
          <xm:sqref>AV39:BH39</xm:sqref>
        </x14:conditionalFormatting>
        <x14:conditionalFormatting xmlns:xm="http://schemas.microsoft.com/office/excel/2006/main">
          <x14:cfRule type="expression" priority="4691246" id="{59B31869-20F9-45BD-BC80-0A6C8945CE2C}">
            <xm:f>$AX$4='Data entry'!$R17</xm:f>
            <x14:dxf>
              <fill>
                <patternFill>
                  <bgColor rgb="FFFFFF00"/>
                </patternFill>
              </fill>
            </x14:dxf>
          </x14:cfRule>
          <xm:sqref>AJ38:AX38</xm:sqref>
        </x14:conditionalFormatting>
        <x14:conditionalFormatting xmlns:xm="http://schemas.microsoft.com/office/excel/2006/main">
          <x14:cfRule type="expression" priority="4691247" id="{D4208FA0-4262-4037-934C-6D0742B2AD8E}">
            <xm:f>$AY$4='Data entry'!$R17</xm:f>
            <x14:dxf>
              <fill>
                <patternFill>
                  <bgColor rgb="FFFF0000"/>
                </patternFill>
              </fill>
            </x14:dxf>
          </x14:cfRule>
          <xm:sqref>AW39:BI39</xm:sqref>
        </x14:conditionalFormatting>
        <x14:conditionalFormatting xmlns:xm="http://schemas.microsoft.com/office/excel/2006/main">
          <x14:cfRule type="expression" priority="4691248" id="{04D6E423-18C7-42B2-A67D-F49D8E62B571}">
            <xm:f>$AY$4='Data entry'!$R17</xm:f>
            <x14:dxf>
              <fill>
                <patternFill>
                  <bgColor rgb="FFFFFF00"/>
                </patternFill>
              </fill>
            </x14:dxf>
          </x14:cfRule>
          <xm:sqref>AK38:AY38</xm:sqref>
        </x14:conditionalFormatting>
        <x14:conditionalFormatting xmlns:xm="http://schemas.microsoft.com/office/excel/2006/main">
          <x14:cfRule type="expression" priority="4691249" id="{A931C203-6E4B-4EBD-A2F4-1876881F48D4}">
            <xm:f>$AZ$4='Data entry'!$R17</xm:f>
            <x14:dxf>
              <fill>
                <patternFill>
                  <bgColor rgb="FFFF0000"/>
                </patternFill>
              </fill>
            </x14:dxf>
          </x14:cfRule>
          <xm:sqref>AX39:BJ39</xm:sqref>
        </x14:conditionalFormatting>
        <x14:conditionalFormatting xmlns:xm="http://schemas.microsoft.com/office/excel/2006/main">
          <x14:cfRule type="expression" priority="4691250" id="{092D9100-E652-40FE-8CAA-720DC0681250}">
            <xm:f>$AZ$4='Data entry'!$R17</xm:f>
            <x14:dxf>
              <fill>
                <patternFill>
                  <bgColor rgb="FFFFFF00"/>
                </patternFill>
              </fill>
            </x14:dxf>
          </x14:cfRule>
          <xm:sqref>AL38:AZ38</xm:sqref>
        </x14:conditionalFormatting>
        <x14:conditionalFormatting xmlns:xm="http://schemas.microsoft.com/office/excel/2006/main">
          <x14:cfRule type="expression" priority="4691251" id="{A3C7E6BE-A225-483C-A983-A915DB662C52}">
            <xm:f>$BA$4='Data entry'!$R17</xm:f>
            <x14:dxf>
              <fill>
                <patternFill>
                  <bgColor rgb="FFFF0000"/>
                </patternFill>
              </fill>
            </x14:dxf>
          </x14:cfRule>
          <xm:sqref>AY39:BK39</xm:sqref>
        </x14:conditionalFormatting>
        <x14:conditionalFormatting xmlns:xm="http://schemas.microsoft.com/office/excel/2006/main">
          <x14:cfRule type="expression" priority="4691252" id="{F5CF569A-8AFA-4CFF-8BD3-F04D8927A99F}">
            <xm:f>$BA$4='Data entry'!$R17</xm:f>
            <x14:dxf>
              <fill>
                <patternFill>
                  <bgColor rgb="FFFFFF00"/>
                </patternFill>
              </fill>
            </x14:dxf>
          </x14:cfRule>
          <xm:sqref>AM38:BA38</xm:sqref>
        </x14:conditionalFormatting>
        <x14:conditionalFormatting xmlns:xm="http://schemas.microsoft.com/office/excel/2006/main">
          <x14:cfRule type="expression" priority="4691253" id="{E4DAC94A-7983-4BFB-A87B-45B58561841A}">
            <xm:f>$BB$4='Data entry'!$R17</xm:f>
            <x14:dxf>
              <fill>
                <patternFill>
                  <bgColor rgb="FFFF0000"/>
                </patternFill>
              </fill>
            </x14:dxf>
          </x14:cfRule>
          <xm:sqref>AZ39:BL39</xm:sqref>
        </x14:conditionalFormatting>
        <x14:conditionalFormatting xmlns:xm="http://schemas.microsoft.com/office/excel/2006/main">
          <x14:cfRule type="expression" priority="4691254" id="{E63849C5-F39B-4B0E-8F8A-B532EDF2CBAE}">
            <xm:f>$BB$4='Data entry'!$R17</xm:f>
            <x14:dxf>
              <fill>
                <patternFill>
                  <bgColor rgb="FFFFFF00"/>
                </patternFill>
              </fill>
            </x14:dxf>
          </x14:cfRule>
          <xm:sqref>AN38:BB38</xm:sqref>
        </x14:conditionalFormatting>
        <x14:conditionalFormatting xmlns:xm="http://schemas.microsoft.com/office/excel/2006/main">
          <x14:cfRule type="expression" priority="4691255" id="{4FDC32D3-C1F5-455D-9AA4-A03359B72526}">
            <xm:f>$BC$4='Data entry'!$R17</xm:f>
            <x14:dxf>
              <fill>
                <patternFill>
                  <bgColor rgb="FFFF0000"/>
                </patternFill>
              </fill>
            </x14:dxf>
          </x14:cfRule>
          <xm:sqref>BA39:BM39</xm:sqref>
        </x14:conditionalFormatting>
        <x14:conditionalFormatting xmlns:xm="http://schemas.microsoft.com/office/excel/2006/main">
          <x14:cfRule type="expression" priority="4691256" id="{5F0D0C60-B233-4C56-B05D-98C99990877F}">
            <xm:f>$BC$4='Data entry'!$R17</xm:f>
            <x14:dxf>
              <fill>
                <patternFill>
                  <bgColor rgb="FFFFFF00"/>
                </patternFill>
              </fill>
            </x14:dxf>
          </x14:cfRule>
          <xm:sqref>AO38:BC38</xm:sqref>
        </x14:conditionalFormatting>
        <x14:conditionalFormatting xmlns:xm="http://schemas.microsoft.com/office/excel/2006/main">
          <x14:cfRule type="expression" priority="4691257" id="{9EBCB60F-8135-43B6-A0F3-548D4092CC98}">
            <xm:f>$BD$4='Data entry'!$R17</xm:f>
            <x14:dxf>
              <fill>
                <patternFill>
                  <bgColor rgb="FFFF0000"/>
                </patternFill>
              </fill>
            </x14:dxf>
          </x14:cfRule>
          <xm:sqref>BB39:BN39</xm:sqref>
        </x14:conditionalFormatting>
        <x14:conditionalFormatting xmlns:xm="http://schemas.microsoft.com/office/excel/2006/main">
          <x14:cfRule type="expression" priority="4691258" id="{961AF346-4A73-41ED-9A8D-27D431B09C05}">
            <xm:f>$BD$4='Data entry'!$R17</xm:f>
            <x14:dxf>
              <fill>
                <patternFill>
                  <bgColor rgb="FFFFFF00"/>
                </patternFill>
              </fill>
            </x14:dxf>
          </x14:cfRule>
          <xm:sqref>AP38:BD38</xm:sqref>
        </x14:conditionalFormatting>
        <x14:conditionalFormatting xmlns:xm="http://schemas.microsoft.com/office/excel/2006/main">
          <x14:cfRule type="expression" priority="4691259" id="{5A887026-27CD-4F8C-8BA6-1E92704C1CA6}">
            <xm:f>$BE$4='Data entry'!$R17</xm:f>
            <x14:dxf>
              <fill>
                <patternFill>
                  <bgColor rgb="FFFF0000"/>
                </patternFill>
              </fill>
            </x14:dxf>
          </x14:cfRule>
          <xm:sqref>BC39:BO39</xm:sqref>
        </x14:conditionalFormatting>
        <x14:conditionalFormatting xmlns:xm="http://schemas.microsoft.com/office/excel/2006/main">
          <x14:cfRule type="expression" priority="4691260" id="{7F46217B-A1E9-4515-B31E-E756FCD7C6D9}">
            <xm:f>$BE$4='Data entry'!$R17</xm:f>
            <x14:dxf>
              <fill>
                <patternFill>
                  <bgColor rgb="FFFFFF00"/>
                </patternFill>
              </fill>
            </x14:dxf>
          </x14:cfRule>
          <xm:sqref>AP38:BE38</xm:sqref>
        </x14:conditionalFormatting>
        <x14:conditionalFormatting xmlns:xm="http://schemas.microsoft.com/office/excel/2006/main">
          <x14:cfRule type="expression" priority="4691261" id="{F4D9285C-8CA0-4EF1-943E-6A462D47CC77}">
            <xm:f>$BF$4='Data entry'!$R17</xm:f>
            <x14:dxf>
              <fill>
                <patternFill>
                  <bgColor rgb="FFFF0000"/>
                </patternFill>
              </fill>
            </x14:dxf>
          </x14:cfRule>
          <xm:sqref>BD39:BP39</xm:sqref>
        </x14:conditionalFormatting>
        <x14:conditionalFormatting xmlns:xm="http://schemas.microsoft.com/office/excel/2006/main">
          <x14:cfRule type="expression" priority="4691262" id="{B9E4407D-651D-4DC0-9D61-3271D62A65E9}">
            <xm:f>$BF$4='Data entry'!$R17</xm:f>
            <x14:dxf>
              <fill>
                <patternFill>
                  <bgColor rgb="FFFFFF00"/>
                </patternFill>
              </fill>
            </x14:dxf>
          </x14:cfRule>
          <xm:sqref>AR38:BF38</xm:sqref>
        </x14:conditionalFormatting>
        <x14:conditionalFormatting xmlns:xm="http://schemas.microsoft.com/office/excel/2006/main">
          <x14:cfRule type="expression" priority="4691263" id="{4CDC062F-DDFF-4556-B941-08F919727F69}">
            <xm:f>$BG$4='Data entry'!$R17</xm:f>
            <x14:dxf>
              <fill>
                <patternFill>
                  <bgColor rgb="FFFF0000"/>
                </patternFill>
              </fill>
            </x14:dxf>
          </x14:cfRule>
          <xm:sqref>BE39:BQ39</xm:sqref>
        </x14:conditionalFormatting>
        <x14:conditionalFormatting xmlns:xm="http://schemas.microsoft.com/office/excel/2006/main">
          <x14:cfRule type="expression" priority="4691264" id="{789184FA-9055-433B-8A1B-92C7ED59E81F}">
            <xm:f>$BG$4='Data entry'!$R17</xm:f>
            <x14:dxf>
              <fill>
                <patternFill>
                  <bgColor rgb="FFFFFF00"/>
                </patternFill>
              </fill>
            </x14:dxf>
          </x14:cfRule>
          <xm:sqref>AS38:BG38</xm:sqref>
        </x14:conditionalFormatting>
        <x14:conditionalFormatting xmlns:xm="http://schemas.microsoft.com/office/excel/2006/main">
          <x14:cfRule type="expression" priority="4691265" id="{58651E5C-09C9-46C1-B95C-E8A578A49E15}">
            <xm:f>$BH$4='Data entry'!$R17</xm:f>
            <x14:dxf>
              <fill>
                <patternFill>
                  <bgColor rgb="FFFFFF00"/>
                </patternFill>
              </fill>
            </x14:dxf>
          </x14:cfRule>
          <xm:sqref>AT38:BH38</xm:sqref>
        </x14:conditionalFormatting>
        <x14:conditionalFormatting xmlns:xm="http://schemas.microsoft.com/office/excel/2006/main">
          <x14:cfRule type="expression" priority="4691266" id="{97B30B86-8311-4DC0-A533-8C0D53F37839}">
            <xm:f>$BH$4='Data entry'!$R17</xm:f>
            <x14:dxf>
              <fill>
                <patternFill>
                  <bgColor rgb="FFFF0000"/>
                </patternFill>
              </fill>
            </x14:dxf>
          </x14:cfRule>
          <xm:sqref>BF39:BR39</xm:sqref>
        </x14:conditionalFormatting>
        <x14:conditionalFormatting xmlns:xm="http://schemas.microsoft.com/office/excel/2006/main">
          <x14:cfRule type="expression" priority="4691267" id="{78344C0C-5AEA-40B1-A20C-6D77DF58E1F5}">
            <xm:f>$BI$4='Data entry'!$R17</xm:f>
            <x14:dxf>
              <fill>
                <patternFill>
                  <bgColor rgb="FFFFFF00"/>
                </patternFill>
              </fill>
            </x14:dxf>
          </x14:cfRule>
          <xm:sqref>AU38:BI38</xm:sqref>
        </x14:conditionalFormatting>
        <x14:conditionalFormatting xmlns:xm="http://schemas.microsoft.com/office/excel/2006/main">
          <x14:cfRule type="expression" priority="4691268" id="{A9CE044F-482E-4F25-B28F-89ACC58502B1}">
            <xm:f>$BI$4='Data entry'!$R17</xm:f>
            <x14:dxf>
              <fill>
                <patternFill>
                  <bgColor rgb="FFFF0000"/>
                </patternFill>
              </fill>
            </x14:dxf>
          </x14:cfRule>
          <xm:sqref>BG39:BS39</xm:sqref>
        </x14:conditionalFormatting>
        <x14:conditionalFormatting xmlns:xm="http://schemas.microsoft.com/office/excel/2006/main">
          <x14:cfRule type="expression" priority="4691269" id="{F63BE0EB-3C71-4456-BEF0-11180AB7A8BB}">
            <xm:f>$BJ$4='Data entry'!$R17</xm:f>
            <x14:dxf>
              <fill>
                <patternFill>
                  <bgColor rgb="FFFFFF00"/>
                </patternFill>
              </fill>
            </x14:dxf>
          </x14:cfRule>
          <xm:sqref>AV38:BJ38</xm:sqref>
        </x14:conditionalFormatting>
        <x14:conditionalFormatting xmlns:xm="http://schemas.microsoft.com/office/excel/2006/main">
          <x14:cfRule type="expression" priority="4691270" id="{478A5DCB-1DAA-4497-A6CC-B4F01FB96D10}">
            <xm:f>$BJ$4='Data entry'!$R17</xm:f>
            <x14:dxf>
              <fill>
                <patternFill>
                  <bgColor rgb="FFFF0000"/>
                </patternFill>
              </fill>
            </x14:dxf>
          </x14:cfRule>
          <xm:sqref>BH39:BT39</xm:sqref>
        </x14:conditionalFormatting>
        <x14:conditionalFormatting xmlns:xm="http://schemas.microsoft.com/office/excel/2006/main">
          <x14:cfRule type="expression" priority="4691271" id="{CDE4AD5B-65A6-4FA4-9EC0-8D05F22312A9}">
            <xm:f>$BK$4='Data entry'!$R17</xm:f>
            <x14:dxf>
              <fill>
                <patternFill>
                  <bgColor rgb="FFFF0000"/>
                </patternFill>
              </fill>
            </x14:dxf>
          </x14:cfRule>
          <xm:sqref>BI39:BU39</xm:sqref>
        </x14:conditionalFormatting>
        <x14:conditionalFormatting xmlns:xm="http://schemas.microsoft.com/office/excel/2006/main">
          <x14:cfRule type="expression" priority="4691272" id="{AB32E790-6CD8-4D11-9A69-57D785FE4BBC}">
            <xm:f>$BK$4='Data entry'!$R17</xm:f>
            <x14:dxf>
              <fill>
                <patternFill>
                  <bgColor rgb="FFFFFF00"/>
                </patternFill>
              </fill>
            </x14:dxf>
          </x14:cfRule>
          <xm:sqref>AW38:BK38</xm:sqref>
        </x14:conditionalFormatting>
        <x14:conditionalFormatting xmlns:xm="http://schemas.microsoft.com/office/excel/2006/main">
          <x14:cfRule type="expression" priority="4691273" id="{99810EB9-805C-43D8-852A-EEECE7874CDB}">
            <xm:f>$BL$4='Data entry'!$R17</xm:f>
            <x14:dxf>
              <fill>
                <patternFill>
                  <bgColor rgb="FFFF0000"/>
                </patternFill>
              </fill>
            </x14:dxf>
          </x14:cfRule>
          <xm:sqref>BJ39:BV39</xm:sqref>
        </x14:conditionalFormatting>
        <x14:conditionalFormatting xmlns:xm="http://schemas.microsoft.com/office/excel/2006/main">
          <x14:cfRule type="expression" priority="4691274" id="{BF5F5475-4E46-479C-97A6-D5175F5D1803}">
            <xm:f>$BL$4='Data entry'!$R17</xm:f>
            <x14:dxf>
              <fill>
                <patternFill>
                  <bgColor rgb="FFFFFF00"/>
                </patternFill>
              </fill>
            </x14:dxf>
          </x14:cfRule>
          <xm:sqref>AX38:BL38</xm:sqref>
        </x14:conditionalFormatting>
        <x14:conditionalFormatting xmlns:xm="http://schemas.microsoft.com/office/excel/2006/main">
          <x14:cfRule type="expression" priority="4691275" id="{B86FDF2F-16C9-46B1-847E-7EA1A8A34B9D}">
            <xm:f>$BM$4='Data entry'!$R17</xm:f>
            <x14:dxf>
              <fill>
                <patternFill>
                  <bgColor rgb="FFFF0000"/>
                </patternFill>
              </fill>
            </x14:dxf>
          </x14:cfRule>
          <xm:sqref>BK39:BW39</xm:sqref>
        </x14:conditionalFormatting>
        <x14:conditionalFormatting xmlns:xm="http://schemas.microsoft.com/office/excel/2006/main">
          <x14:cfRule type="expression" priority="4691276" id="{72FD189F-4CED-400D-9FEF-21A328970A4D}">
            <xm:f>$BM$4='Data entry'!$R17</xm:f>
            <x14:dxf>
              <fill>
                <patternFill>
                  <bgColor rgb="FFFFFF00"/>
                </patternFill>
              </fill>
            </x14:dxf>
          </x14:cfRule>
          <xm:sqref>AY38:BM38</xm:sqref>
        </x14:conditionalFormatting>
        <x14:conditionalFormatting xmlns:xm="http://schemas.microsoft.com/office/excel/2006/main">
          <x14:cfRule type="expression" priority="4691277" id="{BBBBF859-D5A7-4F55-BFBF-8A77E3357590}">
            <xm:f>$BN$4='Data entry'!$R17</xm:f>
            <x14:dxf>
              <fill>
                <patternFill>
                  <bgColor rgb="FFFF0000"/>
                </patternFill>
              </fill>
            </x14:dxf>
          </x14:cfRule>
          <xm:sqref>BL39:BX39</xm:sqref>
        </x14:conditionalFormatting>
        <x14:conditionalFormatting xmlns:xm="http://schemas.microsoft.com/office/excel/2006/main">
          <x14:cfRule type="expression" priority="4691278" id="{50CB1D75-0FD5-4D24-92B1-E8A41DC6575C}">
            <xm:f>$BN$4='Data entry'!$R17</xm:f>
            <x14:dxf>
              <fill>
                <patternFill>
                  <bgColor rgb="FFFFFF00"/>
                </patternFill>
              </fill>
            </x14:dxf>
          </x14:cfRule>
          <xm:sqref>AZ38:BN38</xm:sqref>
        </x14:conditionalFormatting>
        <x14:conditionalFormatting xmlns:xm="http://schemas.microsoft.com/office/excel/2006/main">
          <x14:cfRule type="expression" priority="4691279" id="{9EF3226D-E8FC-496B-A6FF-71776AEA54D1}">
            <xm:f>$BO$4='Data entry'!$R17</xm:f>
            <x14:dxf>
              <fill>
                <patternFill>
                  <bgColor rgb="FFFF0000"/>
                </patternFill>
              </fill>
            </x14:dxf>
          </x14:cfRule>
          <xm:sqref>BM39:BY39</xm:sqref>
        </x14:conditionalFormatting>
        <x14:conditionalFormatting xmlns:xm="http://schemas.microsoft.com/office/excel/2006/main">
          <x14:cfRule type="expression" priority="4691280" id="{3B86C801-ECFE-4D05-8AA5-1581116BAFBC}">
            <xm:f>$BO$4='Data entry'!$R17</xm:f>
            <x14:dxf>
              <fill>
                <patternFill>
                  <bgColor rgb="FFFFFF00"/>
                </patternFill>
              </fill>
            </x14:dxf>
          </x14:cfRule>
          <xm:sqref>BA38:BO38</xm:sqref>
        </x14:conditionalFormatting>
        <x14:conditionalFormatting xmlns:xm="http://schemas.microsoft.com/office/excel/2006/main">
          <x14:cfRule type="expression" priority="4691281" id="{058A23EC-3371-4A02-9F20-1ECA603AC6BC}">
            <xm:f>$BP$4='Data entry'!$R17</xm:f>
            <x14:dxf>
              <fill>
                <patternFill>
                  <bgColor rgb="FFFF0000"/>
                </patternFill>
              </fill>
            </x14:dxf>
          </x14:cfRule>
          <xm:sqref>BN39:BZ39</xm:sqref>
        </x14:conditionalFormatting>
        <x14:conditionalFormatting xmlns:xm="http://schemas.microsoft.com/office/excel/2006/main">
          <x14:cfRule type="expression" priority="4691282" id="{3E711E31-3992-4555-AB22-87133D60CD15}">
            <xm:f>$BP$4='Data entry'!$R17</xm:f>
            <x14:dxf>
              <fill>
                <patternFill>
                  <bgColor rgb="FFFFFF00"/>
                </patternFill>
              </fill>
            </x14:dxf>
          </x14:cfRule>
          <xm:sqref>BB38:BP38</xm:sqref>
        </x14:conditionalFormatting>
        <x14:conditionalFormatting xmlns:xm="http://schemas.microsoft.com/office/excel/2006/main">
          <x14:cfRule type="expression" priority="4691283" id="{23E9F8B9-37D5-4730-9453-6F23E8ECBBE3}">
            <xm:f>$BQ$4='Data entry'!$R17</xm:f>
            <x14:dxf>
              <fill>
                <patternFill>
                  <bgColor rgb="FFFFFF00"/>
                </patternFill>
              </fill>
            </x14:dxf>
          </x14:cfRule>
          <xm:sqref>BC38:BQ38</xm:sqref>
        </x14:conditionalFormatting>
        <x14:conditionalFormatting xmlns:xm="http://schemas.microsoft.com/office/excel/2006/main">
          <x14:cfRule type="expression" priority="4691284" id="{BCFD92F6-AAD3-44FD-BC61-A292A81B883E}">
            <xm:f>$BQ$4='Data entry'!$R17</xm:f>
            <x14:dxf>
              <fill>
                <patternFill>
                  <bgColor rgb="FFFF0000"/>
                </patternFill>
              </fill>
            </x14:dxf>
          </x14:cfRule>
          <xm:sqref>BO39:CA39</xm:sqref>
        </x14:conditionalFormatting>
        <x14:conditionalFormatting xmlns:xm="http://schemas.microsoft.com/office/excel/2006/main">
          <x14:cfRule type="expression" priority="4691285" id="{357D60E5-F356-477E-8020-A18F42C02832}">
            <xm:f>$BR$4='Data entry'!$R17</xm:f>
            <x14:dxf>
              <fill>
                <patternFill>
                  <bgColor rgb="FFFFFF00"/>
                </patternFill>
              </fill>
            </x14:dxf>
          </x14:cfRule>
          <xm:sqref>BD38:BR38</xm:sqref>
        </x14:conditionalFormatting>
        <x14:conditionalFormatting xmlns:xm="http://schemas.microsoft.com/office/excel/2006/main">
          <x14:cfRule type="expression" priority="4691286" id="{DA2B6511-43B3-432D-B6AA-1DB1188B90A6}">
            <xm:f>$BR$4='Data entry'!$R17</xm:f>
            <x14:dxf>
              <fill>
                <patternFill>
                  <bgColor rgb="FFFF0000"/>
                </patternFill>
              </fill>
            </x14:dxf>
          </x14:cfRule>
          <xm:sqref>BP39:CB39</xm:sqref>
        </x14:conditionalFormatting>
        <x14:conditionalFormatting xmlns:xm="http://schemas.microsoft.com/office/excel/2006/main">
          <x14:cfRule type="expression" priority="4691287" id="{0D5F64E4-4136-4BFA-B833-CC8578525D9C}">
            <xm:f>$BS$4='Data entry'!$R17</xm:f>
            <x14:dxf>
              <fill>
                <patternFill>
                  <bgColor rgb="FFFFFF00"/>
                </patternFill>
              </fill>
            </x14:dxf>
          </x14:cfRule>
          <xm:sqref>BE38:BS38</xm:sqref>
        </x14:conditionalFormatting>
        <x14:conditionalFormatting xmlns:xm="http://schemas.microsoft.com/office/excel/2006/main">
          <x14:cfRule type="expression" priority="4691288" id="{AC94D468-F078-4AE2-8771-102996E07B09}">
            <xm:f>$BS$4='Data entry'!$R17</xm:f>
            <x14:dxf>
              <fill>
                <patternFill>
                  <bgColor rgb="FFFF0000"/>
                </patternFill>
              </fill>
            </x14:dxf>
          </x14:cfRule>
          <xm:sqref>BQ39:CC39</xm:sqref>
        </x14:conditionalFormatting>
        <x14:conditionalFormatting xmlns:xm="http://schemas.microsoft.com/office/excel/2006/main">
          <x14:cfRule type="expression" priority="4691289" id="{10E78F76-181E-4F19-9F89-7DD36D3EFE30}">
            <xm:f>$BT$4='Data entry'!$R17</xm:f>
            <x14:dxf>
              <fill>
                <patternFill>
                  <bgColor rgb="FFFFFF00"/>
                </patternFill>
              </fill>
            </x14:dxf>
          </x14:cfRule>
          <xm:sqref>BF38:BT38</xm:sqref>
        </x14:conditionalFormatting>
        <x14:conditionalFormatting xmlns:xm="http://schemas.microsoft.com/office/excel/2006/main">
          <x14:cfRule type="expression" priority="4691290" id="{6A5FADC6-9512-4EFB-90A5-7B5244D10D1F}">
            <xm:f>$BT$4='Data entry'!$R17</xm:f>
            <x14:dxf>
              <fill>
                <patternFill>
                  <bgColor rgb="FFFF0000"/>
                </patternFill>
              </fill>
            </x14:dxf>
          </x14:cfRule>
          <xm:sqref>BR39:CC39</xm:sqref>
        </x14:conditionalFormatting>
        <x14:conditionalFormatting xmlns:xm="http://schemas.microsoft.com/office/excel/2006/main">
          <x14:cfRule type="expression" priority="4691291" id="{A51139D1-8841-4B96-B8CB-DFE3808765CF}">
            <xm:f>$BU$4='Data entry'!$R17</xm:f>
            <x14:dxf>
              <fill>
                <patternFill>
                  <bgColor rgb="FFFFFF00"/>
                </patternFill>
              </fill>
            </x14:dxf>
          </x14:cfRule>
          <xm:sqref>BG38:BU38</xm:sqref>
        </x14:conditionalFormatting>
        <x14:conditionalFormatting xmlns:xm="http://schemas.microsoft.com/office/excel/2006/main">
          <x14:cfRule type="expression" priority="4691292" id="{55CA7258-760F-4BFF-ACB5-A70FEB3E7981}">
            <xm:f>$BU$4='Data entry'!$R17</xm:f>
            <x14:dxf>
              <fill>
                <patternFill>
                  <bgColor rgb="FFFF0000"/>
                </patternFill>
              </fill>
            </x14:dxf>
          </x14:cfRule>
          <xm:sqref>BS39:CC39</xm:sqref>
        </x14:conditionalFormatting>
        <x14:conditionalFormatting xmlns:xm="http://schemas.microsoft.com/office/excel/2006/main">
          <x14:cfRule type="expression" priority="4691293" id="{A922B218-64DB-4CBB-9AB8-FE0EBB44E09E}">
            <xm:f>$BV$4='Data entry'!$R17</xm:f>
            <x14:dxf>
              <fill>
                <patternFill>
                  <bgColor rgb="FFFFFF00"/>
                </patternFill>
              </fill>
            </x14:dxf>
          </x14:cfRule>
          <xm:sqref>BH38:BV38</xm:sqref>
        </x14:conditionalFormatting>
        <x14:conditionalFormatting xmlns:xm="http://schemas.microsoft.com/office/excel/2006/main">
          <x14:cfRule type="expression" priority="4691294" id="{C98E908A-CD31-4778-B41C-7AFB9DBE639A}">
            <xm:f>$BV$4='Data entry'!$R17</xm:f>
            <x14:dxf>
              <fill>
                <patternFill>
                  <bgColor rgb="FFFF0000"/>
                </patternFill>
              </fill>
            </x14:dxf>
          </x14:cfRule>
          <xm:sqref>BT39:CC39</xm:sqref>
        </x14:conditionalFormatting>
        <x14:conditionalFormatting xmlns:xm="http://schemas.microsoft.com/office/excel/2006/main">
          <x14:cfRule type="expression" priority="4691295" id="{465CCCA3-B4DB-4B61-8AC7-8A5E4CEC9E3F}">
            <xm:f>$BW$4='Data entry'!$R17</xm:f>
            <x14:dxf>
              <fill>
                <patternFill>
                  <bgColor rgb="FFFFFF00"/>
                </patternFill>
              </fill>
            </x14:dxf>
          </x14:cfRule>
          <xm:sqref>BI38:BW38</xm:sqref>
        </x14:conditionalFormatting>
        <x14:conditionalFormatting xmlns:xm="http://schemas.microsoft.com/office/excel/2006/main">
          <x14:cfRule type="expression" priority="4691296" id="{37566F97-6D06-400B-A709-FE657B07687F}">
            <xm:f>$BW$4='Data entry'!$R17</xm:f>
            <x14:dxf>
              <fill>
                <patternFill>
                  <bgColor rgb="FFFF0000"/>
                </patternFill>
              </fill>
            </x14:dxf>
          </x14:cfRule>
          <xm:sqref>BU39:CC39</xm:sqref>
        </x14:conditionalFormatting>
        <x14:conditionalFormatting xmlns:xm="http://schemas.microsoft.com/office/excel/2006/main">
          <x14:cfRule type="expression" priority="4691297" id="{D8FBA3AC-5CF0-4E45-97CA-1D4DEE729ADA}">
            <xm:f>$BX$4='Data entry'!$R17</xm:f>
            <x14:dxf>
              <fill>
                <patternFill>
                  <bgColor rgb="FFFFFF00"/>
                </patternFill>
              </fill>
            </x14:dxf>
          </x14:cfRule>
          <xm:sqref>BJ38:BX38</xm:sqref>
        </x14:conditionalFormatting>
        <x14:conditionalFormatting xmlns:xm="http://schemas.microsoft.com/office/excel/2006/main">
          <x14:cfRule type="expression" priority="4691298" id="{E077C84B-A94F-431D-B232-4AFCC7C64F54}">
            <xm:f>$BX$4='Data entry'!$R17</xm:f>
            <x14:dxf>
              <fill>
                <patternFill>
                  <bgColor rgb="FFFF0000"/>
                </patternFill>
              </fill>
            </x14:dxf>
          </x14:cfRule>
          <xm:sqref>BV39:CC39</xm:sqref>
        </x14:conditionalFormatting>
        <x14:conditionalFormatting xmlns:xm="http://schemas.microsoft.com/office/excel/2006/main">
          <x14:cfRule type="expression" priority="4691299" id="{63783BA8-0C97-4A44-86FD-7A2BCF1B9957}">
            <xm:f>$BY$4='Data entry'!$R17</xm:f>
            <x14:dxf>
              <fill>
                <patternFill>
                  <bgColor rgb="FFFFFF00"/>
                </patternFill>
              </fill>
            </x14:dxf>
          </x14:cfRule>
          <xm:sqref>BK38:BY38</xm:sqref>
        </x14:conditionalFormatting>
        <x14:conditionalFormatting xmlns:xm="http://schemas.microsoft.com/office/excel/2006/main">
          <x14:cfRule type="expression" priority="4691300" id="{BB8DB8B4-B71B-46D2-AEE7-346F16103F74}">
            <xm:f>$BY$4='Data entry'!$R17</xm:f>
            <x14:dxf>
              <fill>
                <patternFill>
                  <bgColor rgb="FFFF0000"/>
                </patternFill>
              </fill>
            </x14:dxf>
          </x14:cfRule>
          <xm:sqref>BW39:CC39</xm:sqref>
        </x14:conditionalFormatting>
        <x14:conditionalFormatting xmlns:xm="http://schemas.microsoft.com/office/excel/2006/main">
          <x14:cfRule type="expression" priority="4691301" id="{1B638B98-2B06-4FEB-90C1-446A3E0A3979}">
            <xm:f>$BZ$4='Data entry'!$R17</xm:f>
            <x14:dxf>
              <fill>
                <patternFill>
                  <bgColor rgb="FFFFFF00"/>
                </patternFill>
              </fill>
            </x14:dxf>
          </x14:cfRule>
          <xm:sqref>BL38:BZ38</xm:sqref>
        </x14:conditionalFormatting>
        <x14:conditionalFormatting xmlns:xm="http://schemas.microsoft.com/office/excel/2006/main">
          <x14:cfRule type="expression" priority="4691302" id="{D3A0A2F8-D1B2-4DC5-B2A9-0EF53074E685}">
            <xm:f>$BZ$4='Data entry'!$R17</xm:f>
            <x14:dxf>
              <fill>
                <patternFill>
                  <bgColor rgb="FFFF0000"/>
                </patternFill>
              </fill>
            </x14:dxf>
          </x14:cfRule>
          <xm:sqref>BX39:CC39</xm:sqref>
        </x14:conditionalFormatting>
        <x14:conditionalFormatting xmlns:xm="http://schemas.microsoft.com/office/excel/2006/main">
          <x14:cfRule type="expression" priority="4691303" id="{83F6D018-7D3B-4D33-9998-11572F2F2FF5}">
            <xm:f>$CA$4='Data entry'!$R17</xm:f>
            <x14:dxf>
              <fill>
                <patternFill>
                  <bgColor rgb="FFFFFF00"/>
                </patternFill>
              </fill>
            </x14:dxf>
          </x14:cfRule>
          <xm:sqref>BM38:CA38</xm:sqref>
        </x14:conditionalFormatting>
        <x14:conditionalFormatting xmlns:xm="http://schemas.microsoft.com/office/excel/2006/main">
          <x14:cfRule type="expression" priority="4691304" id="{8E6D0B51-5626-4ED9-9072-C7A2C139704F}">
            <xm:f>$CA$4='Data entry'!$R17</xm:f>
            <x14:dxf>
              <fill>
                <patternFill>
                  <bgColor rgb="FFFF0000"/>
                </patternFill>
              </fill>
            </x14:dxf>
          </x14:cfRule>
          <xm:sqref>BY39:CC39</xm:sqref>
        </x14:conditionalFormatting>
        <x14:conditionalFormatting xmlns:xm="http://schemas.microsoft.com/office/excel/2006/main">
          <x14:cfRule type="expression" priority="4691305" id="{E1886EE4-3BDE-43A9-9F4B-79377FEC37FE}">
            <xm:f>$CB$4='Data entry'!$R17</xm:f>
            <x14:dxf>
              <fill>
                <patternFill>
                  <bgColor rgb="FFFFFF00"/>
                </patternFill>
              </fill>
            </x14:dxf>
          </x14:cfRule>
          <xm:sqref>BN38:CB38</xm:sqref>
        </x14:conditionalFormatting>
        <x14:conditionalFormatting xmlns:xm="http://schemas.microsoft.com/office/excel/2006/main">
          <x14:cfRule type="expression" priority="4691306" id="{ADEF572A-6C18-4602-BB86-01C96D36E07E}">
            <xm:f>$CB$4='Data entry'!$R17</xm:f>
            <x14:dxf>
              <fill>
                <patternFill>
                  <bgColor rgb="FFFF0000"/>
                </patternFill>
              </fill>
            </x14:dxf>
          </x14:cfRule>
          <xm:sqref>BZ39:CC39</xm:sqref>
        </x14:conditionalFormatting>
        <x14:conditionalFormatting xmlns:xm="http://schemas.microsoft.com/office/excel/2006/main">
          <x14:cfRule type="expression" priority="4691307" id="{7984E1C9-E073-4955-8543-62145CB6D008}">
            <xm:f>$CC$4='Data entry'!$R17</xm:f>
            <x14:dxf>
              <fill>
                <patternFill>
                  <bgColor rgb="FFFFFF00"/>
                </patternFill>
              </fill>
            </x14:dxf>
          </x14:cfRule>
          <xm:sqref>BO38:CC38</xm:sqref>
        </x14:conditionalFormatting>
        <x14:conditionalFormatting xmlns:xm="http://schemas.microsoft.com/office/excel/2006/main">
          <x14:cfRule type="expression" priority="4691308" id="{18A957B3-59FA-4698-BA92-2A208FF18E2F}">
            <xm:f>$CC$4='Data entry'!$R17</xm:f>
            <x14:dxf>
              <fill>
                <patternFill>
                  <bgColor rgb="FFFF0000"/>
                </patternFill>
              </fill>
            </x14:dxf>
          </x14:cfRule>
          <xm:sqref>CA39:CC39</xm:sqref>
        </x14:conditionalFormatting>
        <x14:conditionalFormatting xmlns:xm="http://schemas.microsoft.com/office/excel/2006/main">
          <x14:cfRule type="expression" priority="4691395" id="{5B0DB825-B7C2-40AC-B7EF-F267F054CFB9}">
            <xm:f>$U$4='Data entry'!$R18</xm:f>
            <x14:dxf>
              <fill>
                <patternFill>
                  <bgColor rgb="FFFF0000"/>
                </patternFill>
              </fill>
            </x14:dxf>
          </x14:cfRule>
          <xm:sqref>S42:AE42</xm:sqref>
        </x14:conditionalFormatting>
        <x14:conditionalFormatting xmlns:xm="http://schemas.microsoft.com/office/excel/2006/main">
          <x14:cfRule type="expression" priority="4691396" id="{18311200-E2BB-400F-B594-3B9A2C6068C2}">
            <xm:f>$V$4='Data entry'!$R18</xm:f>
            <x14:dxf>
              <fill>
                <patternFill>
                  <bgColor rgb="FFFF0000"/>
                </patternFill>
              </fill>
            </x14:dxf>
          </x14:cfRule>
          <xm:sqref>T42:AF42</xm:sqref>
        </x14:conditionalFormatting>
        <x14:conditionalFormatting xmlns:xm="http://schemas.microsoft.com/office/excel/2006/main">
          <x14:cfRule type="expression" priority="4691397" id="{D6DFB621-1A58-4C59-A987-ECAD0EB2D32B}">
            <xm:f>$V$4='Data entry'!$R18</xm:f>
            <x14:dxf>
              <fill>
                <patternFill>
                  <bgColor rgb="FFFFFF00"/>
                </patternFill>
              </fill>
            </x14:dxf>
          </x14:cfRule>
          <xm:sqref>H41:V41</xm:sqref>
        </x14:conditionalFormatting>
        <x14:conditionalFormatting xmlns:xm="http://schemas.microsoft.com/office/excel/2006/main">
          <x14:cfRule type="expression" priority="4691398" id="{5F87A680-DC5F-433D-A779-B7A534ACCDA9}">
            <xm:f>$W$4='Data entry'!$R18</xm:f>
            <x14:dxf>
              <fill>
                <patternFill>
                  <bgColor rgb="FFFF0000"/>
                </patternFill>
              </fill>
            </x14:dxf>
          </x14:cfRule>
          <xm:sqref>U42:AG42</xm:sqref>
        </x14:conditionalFormatting>
        <x14:conditionalFormatting xmlns:xm="http://schemas.microsoft.com/office/excel/2006/main">
          <x14:cfRule type="expression" priority="4691399" id="{964539FF-A92C-4F68-B268-B7157A32678C}">
            <xm:f>$W$4='Data entry'!$R18</xm:f>
            <x14:dxf>
              <fill>
                <patternFill>
                  <bgColor rgb="FFFFFF00"/>
                </patternFill>
              </fill>
            </x14:dxf>
          </x14:cfRule>
          <xm:sqref>I41:W41</xm:sqref>
        </x14:conditionalFormatting>
        <x14:conditionalFormatting xmlns:xm="http://schemas.microsoft.com/office/excel/2006/main">
          <x14:cfRule type="expression" priority="4691400" id="{46C1533A-F090-4A90-9309-3F59EC3FD3B0}">
            <xm:f>$X$4='Data entry'!$R18</xm:f>
            <x14:dxf>
              <fill>
                <patternFill>
                  <bgColor rgb="FFFF0000"/>
                </patternFill>
              </fill>
            </x14:dxf>
          </x14:cfRule>
          <xm:sqref>V42:AH42</xm:sqref>
        </x14:conditionalFormatting>
        <x14:conditionalFormatting xmlns:xm="http://schemas.microsoft.com/office/excel/2006/main">
          <x14:cfRule type="expression" priority="4691401" id="{7C70E81C-DDD4-4D75-933A-4F6A39893184}">
            <xm:f>$X$4='Data entry'!$R18</xm:f>
            <x14:dxf>
              <fill>
                <patternFill>
                  <bgColor rgb="FFFFFF00"/>
                </patternFill>
              </fill>
            </x14:dxf>
          </x14:cfRule>
          <xm:sqref>J41:X41</xm:sqref>
        </x14:conditionalFormatting>
        <x14:conditionalFormatting xmlns:xm="http://schemas.microsoft.com/office/excel/2006/main">
          <x14:cfRule type="expression" priority="4691402" id="{561AF073-0EF8-4B72-A119-40A639C4359D}">
            <xm:f>$Y$4='Data entry'!$R18</xm:f>
            <x14:dxf>
              <fill>
                <patternFill>
                  <bgColor rgb="FFFF0000"/>
                </patternFill>
              </fill>
            </x14:dxf>
          </x14:cfRule>
          <xm:sqref>W42:AI42</xm:sqref>
        </x14:conditionalFormatting>
        <x14:conditionalFormatting xmlns:xm="http://schemas.microsoft.com/office/excel/2006/main">
          <x14:cfRule type="expression" priority="4691403" id="{F242E808-8F07-4A89-9524-7D4C767CE357}">
            <xm:f>$Y$4='Data entry'!$R18</xm:f>
            <x14:dxf>
              <fill>
                <patternFill>
                  <bgColor rgb="FFFFFF00"/>
                </patternFill>
              </fill>
            </x14:dxf>
          </x14:cfRule>
          <xm:sqref>K41:Y41</xm:sqref>
        </x14:conditionalFormatting>
        <x14:conditionalFormatting xmlns:xm="http://schemas.microsoft.com/office/excel/2006/main">
          <x14:cfRule type="expression" priority="4691404" id="{DD601058-982B-4218-BD9D-64BB823C2633}">
            <xm:f>$Z$4='Data entry'!$R18</xm:f>
            <x14:dxf>
              <fill>
                <patternFill>
                  <bgColor rgb="FFFF0000"/>
                </patternFill>
              </fill>
            </x14:dxf>
          </x14:cfRule>
          <xm:sqref>X42:AJ42</xm:sqref>
        </x14:conditionalFormatting>
        <x14:conditionalFormatting xmlns:xm="http://schemas.microsoft.com/office/excel/2006/main">
          <x14:cfRule type="expression" priority="4691405" id="{C9DB141D-79F6-4093-92A3-7BF7A1622985}">
            <xm:f>$Z$4='Data entry'!$R18</xm:f>
            <x14:dxf>
              <fill>
                <patternFill>
                  <bgColor rgb="FFFFFF00"/>
                </patternFill>
              </fill>
            </x14:dxf>
          </x14:cfRule>
          <xm:sqref>L41:Z41</xm:sqref>
        </x14:conditionalFormatting>
        <x14:conditionalFormatting xmlns:xm="http://schemas.microsoft.com/office/excel/2006/main">
          <x14:cfRule type="expression" priority="4691406" id="{710EB8D3-F5C0-4E3C-8214-2D0C4E26F649}">
            <xm:f>$AA$4='Data entry'!$R18</xm:f>
            <x14:dxf>
              <fill>
                <patternFill>
                  <bgColor rgb="FFFF0000"/>
                </patternFill>
              </fill>
            </x14:dxf>
          </x14:cfRule>
          <xm:sqref>Y42:AK42</xm:sqref>
        </x14:conditionalFormatting>
        <x14:conditionalFormatting xmlns:xm="http://schemas.microsoft.com/office/excel/2006/main">
          <x14:cfRule type="expression" priority="4691407" id="{33825D69-C967-4D27-B395-5D44A3083802}">
            <xm:f>$AA$4='Data entry'!$R18</xm:f>
            <x14:dxf>
              <fill>
                <patternFill>
                  <bgColor rgb="FFFFFF00"/>
                </patternFill>
              </fill>
            </x14:dxf>
          </x14:cfRule>
          <xm:sqref>M41:AA41</xm:sqref>
        </x14:conditionalFormatting>
        <x14:conditionalFormatting xmlns:xm="http://schemas.microsoft.com/office/excel/2006/main">
          <x14:cfRule type="expression" priority="4691408" id="{9811A97D-351B-4D32-8754-AF433277E62B}">
            <xm:f>$AB$4='Data entry'!$R18</xm:f>
            <x14:dxf>
              <fill>
                <patternFill>
                  <bgColor rgb="FFFF0000"/>
                </patternFill>
              </fill>
            </x14:dxf>
          </x14:cfRule>
          <xm:sqref>Z42:AL42</xm:sqref>
        </x14:conditionalFormatting>
        <x14:conditionalFormatting xmlns:xm="http://schemas.microsoft.com/office/excel/2006/main">
          <x14:cfRule type="expression" priority="4691409" id="{6DD3E556-C72E-438B-92DA-3096ED1E4178}">
            <xm:f>$AB$4='Data entry'!$R18</xm:f>
            <x14:dxf>
              <fill>
                <patternFill>
                  <bgColor rgb="FFFFFF00"/>
                </patternFill>
              </fill>
            </x14:dxf>
          </x14:cfRule>
          <xm:sqref>N41:AB41</xm:sqref>
        </x14:conditionalFormatting>
        <x14:conditionalFormatting xmlns:xm="http://schemas.microsoft.com/office/excel/2006/main">
          <x14:cfRule type="expression" priority="4691410" id="{C0DF7A1B-D6BC-4371-BD3A-F0708147FA1C}">
            <xm:f>$AC$4='Data entry'!$R18</xm:f>
            <x14:dxf>
              <fill>
                <patternFill>
                  <bgColor rgb="FFFF0000"/>
                </patternFill>
              </fill>
            </x14:dxf>
          </x14:cfRule>
          <xm:sqref>AA42:AM42</xm:sqref>
        </x14:conditionalFormatting>
        <x14:conditionalFormatting xmlns:xm="http://schemas.microsoft.com/office/excel/2006/main">
          <x14:cfRule type="expression" priority="4691411" id="{DB2E1F48-AF0E-41F9-A976-6B1963CA5711}">
            <xm:f>$AC$4='Data entry'!$R18</xm:f>
            <x14:dxf>
              <fill>
                <patternFill>
                  <bgColor rgb="FFFFFF00"/>
                </patternFill>
              </fill>
            </x14:dxf>
          </x14:cfRule>
          <xm:sqref>O41:AC41</xm:sqref>
        </x14:conditionalFormatting>
        <x14:conditionalFormatting xmlns:xm="http://schemas.microsoft.com/office/excel/2006/main">
          <x14:cfRule type="expression" priority="4691412" id="{89909907-F9A9-4AF9-BC1D-304710A43F50}">
            <xm:f>$AD$4='Data entry'!$R18</xm:f>
            <x14:dxf>
              <fill>
                <patternFill>
                  <bgColor rgb="FFFF0000"/>
                </patternFill>
              </fill>
            </x14:dxf>
          </x14:cfRule>
          <xm:sqref>AB42:AN42</xm:sqref>
        </x14:conditionalFormatting>
        <x14:conditionalFormatting xmlns:xm="http://schemas.microsoft.com/office/excel/2006/main">
          <x14:cfRule type="expression" priority="4691413" id="{729676B7-E331-43A4-ACC9-850DCEE76A0E}">
            <xm:f>$AD$4='Data entry'!$R18</xm:f>
            <x14:dxf>
              <fill>
                <patternFill>
                  <bgColor rgb="FFFFFF00"/>
                </patternFill>
              </fill>
            </x14:dxf>
          </x14:cfRule>
          <xm:sqref>P41:AD41</xm:sqref>
        </x14:conditionalFormatting>
        <x14:conditionalFormatting xmlns:xm="http://schemas.microsoft.com/office/excel/2006/main">
          <x14:cfRule type="expression" priority="4691414" id="{00DA2C55-350E-44AA-ABEA-808FABFDA737}">
            <xm:f>$AE$4='Data entry'!$R18</xm:f>
            <x14:dxf>
              <fill>
                <patternFill>
                  <bgColor rgb="FFFF0000"/>
                </patternFill>
              </fill>
            </x14:dxf>
          </x14:cfRule>
          <xm:sqref>AC42:AO42</xm:sqref>
        </x14:conditionalFormatting>
        <x14:conditionalFormatting xmlns:xm="http://schemas.microsoft.com/office/excel/2006/main">
          <x14:cfRule type="expression" priority="4691415" id="{373C95F1-00C1-45E9-B561-5224945BA4A4}">
            <xm:f>$AE$4='Data entry'!$R18</xm:f>
            <x14:dxf>
              <fill>
                <patternFill>
                  <bgColor rgb="FFFFFF00"/>
                </patternFill>
              </fill>
            </x14:dxf>
          </x14:cfRule>
          <xm:sqref>Q41:AE41</xm:sqref>
        </x14:conditionalFormatting>
        <x14:conditionalFormatting xmlns:xm="http://schemas.microsoft.com/office/excel/2006/main">
          <x14:cfRule type="expression" priority="4691416" id="{65E90E74-6BEF-4B00-BD5E-ECACFEBC225A}">
            <xm:f>$AF$4='Data entry'!$R18</xm:f>
            <x14:dxf>
              <fill>
                <patternFill>
                  <bgColor rgb="FFFF0000"/>
                </patternFill>
              </fill>
            </x14:dxf>
          </x14:cfRule>
          <xm:sqref>AD42:AP42</xm:sqref>
        </x14:conditionalFormatting>
        <x14:conditionalFormatting xmlns:xm="http://schemas.microsoft.com/office/excel/2006/main">
          <x14:cfRule type="expression" priority="4691417" id="{56B519D7-E083-4811-B42B-D6CB10D44BB3}">
            <xm:f>$AF$4='Data entry'!$R18</xm:f>
            <x14:dxf>
              <fill>
                <patternFill>
                  <bgColor rgb="FFFFFF00"/>
                </patternFill>
              </fill>
            </x14:dxf>
          </x14:cfRule>
          <xm:sqref>R41:AF41</xm:sqref>
        </x14:conditionalFormatting>
        <x14:conditionalFormatting xmlns:xm="http://schemas.microsoft.com/office/excel/2006/main">
          <x14:cfRule type="expression" priority="4691418" id="{889682B6-BF9B-414B-86B7-1C802156B058}">
            <xm:f>$AG$4='Data entry'!$R18</xm:f>
            <x14:dxf>
              <fill>
                <patternFill>
                  <bgColor rgb="FFFF0000"/>
                </patternFill>
              </fill>
            </x14:dxf>
          </x14:cfRule>
          <xm:sqref>AE42:AQ42</xm:sqref>
        </x14:conditionalFormatting>
        <x14:conditionalFormatting xmlns:xm="http://schemas.microsoft.com/office/excel/2006/main">
          <x14:cfRule type="expression" priority="4691419" id="{19913D88-1940-4CB0-B29C-D46D60833BD5}">
            <xm:f>$AG$4='Data entry'!$R18</xm:f>
            <x14:dxf>
              <fill>
                <patternFill>
                  <bgColor rgb="FFFFFF00"/>
                </patternFill>
              </fill>
            </x14:dxf>
          </x14:cfRule>
          <xm:sqref>S41:AG41</xm:sqref>
        </x14:conditionalFormatting>
        <x14:conditionalFormatting xmlns:xm="http://schemas.microsoft.com/office/excel/2006/main">
          <x14:cfRule type="expression" priority="4691420" id="{3DD7B9A5-18A3-463F-BAD5-9796FC487328}">
            <xm:f>$AH$4='Data entry'!$R18</xm:f>
            <x14:dxf>
              <fill>
                <patternFill>
                  <bgColor rgb="FFFF0000"/>
                </patternFill>
              </fill>
            </x14:dxf>
          </x14:cfRule>
          <xm:sqref>AF42:AR42</xm:sqref>
        </x14:conditionalFormatting>
        <x14:conditionalFormatting xmlns:xm="http://schemas.microsoft.com/office/excel/2006/main">
          <x14:cfRule type="expression" priority="4691421" id="{31005CF4-5608-496E-91EB-F7F505046C80}">
            <xm:f>$AH$4='Data entry'!$R18</xm:f>
            <x14:dxf>
              <fill>
                <patternFill>
                  <bgColor rgb="FFFFFF00"/>
                </patternFill>
              </fill>
            </x14:dxf>
          </x14:cfRule>
          <xm:sqref>T41:AH41</xm:sqref>
        </x14:conditionalFormatting>
        <x14:conditionalFormatting xmlns:xm="http://schemas.microsoft.com/office/excel/2006/main">
          <x14:cfRule type="expression" priority="4691422" id="{CD14F654-5B7A-444F-8FC1-7DD71E76E475}">
            <xm:f>$AI$4='Data entry'!$R18</xm:f>
            <x14:dxf>
              <fill>
                <patternFill>
                  <bgColor rgb="FFFF0000"/>
                </patternFill>
              </fill>
            </x14:dxf>
          </x14:cfRule>
          <xm:sqref>AG42:AS42</xm:sqref>
        </x14:conditionalFormatting>
        <x14:conditionalFormatting xmlns:xm="http://schemas.microsoft.com/office/excel/2006/main">
          <x14:cfRule type="expression" priority="4691423" id="{0E4E448C-6C46-4285-B877-A61A90294385}">
            <xm:f>$AI$4='Data entry'!$R18</xm:f>
            <x14:dxf>
              <fill>
                <patternFill>
                  <bgColor rgb="FFFFFF00"/>
                </patternFill>
              </fill>
            </x14:dxf>
          </x14:cfRule>
          <xm:sqref>U41:AI41</xm:sqref>
        </x14:conditionalFormatting>
        <x14:conditionalFormatting xmlns:xm="http://schemas.microsoft.com/office/excel/2006/main">
          <x14:cfRule type="expression" priority="4691424" id="{B1C1818F-791C-403D-BE73-6F6E9DC6A16D}">
            <xm:f>$AJ$4='Data entry'!$R18</xm:f>
            <x14:dxf>
              <fill>
                <patternFill>
                  <bgColor rgb="FFFF0000"/>
                </patternFill>
              </fill>
            </x14:dxf>
          </x14:cfRule>
          <xm:sqref>AH42:AT42</xm:sqref>
        </x14:conditionalFormatting>
        <x14:conditionalFormatting xmlns:xm="http://schemas.microsoft.com/office/excel/2006/main">
          <x14:cfRule type="expression" priority="4691425" id="{A1237792-221B-431B-B8A7-E9A64DA46D93}">
            <xm:f>$AJ$4='Data entry'!$R18</xm:f>
            <x14:dxf>
              <fill>
                <patternFill>
                  <bgColor rgb="FFFFFF00"/>
                </patternFill>
              </fill>
            </x14:dxf>
          </x14:cfRule>
          <xm:sqref>V41:AJ41</xm:sqref>
        </x14:conditionalFormatting>
        <x14:conditionalFormatting xmlns:xm="http://schemas.microsoft.com/office/excel/2006/main">
          <x14:cfRule type="expression" priority="4691426" id="{617DC2AF-C7A3-4724-8EA3-17DEFEDC8949}">
            <xm:f>$AK$4='Data entry'!$R18</xm:f>
            <x14:dxf>
              <fill>
                <patternFill>
                  <bgColor rgb="FFFF0000"/>
                </patternFill>
              </fill>
            </x14:dxf>
          </x14:cfRule>
          <xm:sqref>AI42:AU42</xm:sqref>
        </x14:conditionalFormatting>
        <x14:conditionalFormatting xmlns:xm="http://schemas.microsoft.com/office/excel/2006/main">
          <x14:cfRule type="expression" priority="4691427" id="{AA72317D-37B1-48EB-A28B-BF2AC8DC4519}">
            <xm:f>$AK$4='Data entry'!$R18</xm:f>
            <x14:dxf>
              <fill>
                <patternFill>
                  <bgColor rgb="FFFFFF00"/>
                </patternFill>
              </fill>
            </x14:dxf>
          </x14:cfRule>
          <xm:sqref>W41:AK41</xm:sqref>
        </x14:conditionalFormatting>
        <x14:conditionalFormatting xmlns:xm="http://schemas.microsoft.com/office/excel/2006/main">
          <x14:cfRule type="expression" priority="4691428" id="{6CA9FB7A-20EA-4D3A-B74C-A001F4BE810D}">
            <xm:f>$AL$4='Data entry'!$R18</xm:f>
            <x14:dxf>
              <fill>
                <patternFill>
                  <bgColor rgb="FFFF0000"/>
                </patternFill>
              </fill>
            </x14:dxf>
          </x14:cfRule>
          <xm:sqref>AJ42:AV42</xm:sqref>
        </x14:conditionalFormatting>
        <x14:conditionalFormatting xmlns:xm="http://schemas.microsoft.com/office/excel/2006/main">
          <x14:cfRule type="expression" priority="4691429" id="{81A75DAA-573F-4EF3-A640-1B992C18BEA0}">
            <xm:f>$AL$4='Data entry'!$R18</xm:f>
            <x14:dxf>
              <fill>
                <patternFill>
                  <bgColor rgb="FFFFFF00"/>
                </patternFill>
              </fill>
            </x14:dxf>
          </x14:cfRule>
          <xm:sqref>X41:AL41</xm:sqref>
        </x14:conditionalFormatting>
        <x14:conditionalFormatting xmlns:xm="http://schemas.microsoft.com/office/excel/2006/main">
          <x14:cfRule type="expression" priority="4691430" id="{3D44713E-4ABA-4CCD-9DF4-5513A9FB5E1E}">
            <xm:f>$AM$4='Data entry'!$R18</xm:f>
            <x14:dxf>
              <fill>
                <patternFill>
                  <bgColor rgb="FFFF0000"/>
                </patternFill>
              </fill>
            </x14:dxf>
          </x14:cfRule>
          <xm:sqref>AK42:AW42</xm:sqref>
        </x14:conditionalFormatting>
        <x14:conditionalFormatting xmlns:xm="http://schemas.microsoft.com/office/excel/2006/main">
          <x14:cfRule type="expression" priority="4691431" id="{05A26B51-72A7-4423-822F-2BDBC28275D0}">
            <xm:f>$AM$4='Data entry'!$R18</xm:f>
            <x14:dxf>
              <fill>
                <patternFill>
                  <bgColor rgb="FFFFFF00"/>
                </patternFill>
              </fill>
            </x14:dxf>
          </x14:cfRule>
          <xm:sqref>Y41:AM41</xm:sqref>
        </x14:conditionalFormatting>
        <x14:conditionalFormatting xmlns:xm="http://schemas.microsoft.com/office/excel/2006/main">
          <x14:cfRule type="expression" priority="4691432" id="{B8A20675-6230-4694-A7F6-6B3DC7142773}">
            <xm:f>$AN$4='Data entry'!$R18</xm:f>
            <x14:dxf>
              <fill>
                <patternFill>
                  <bgColor rgb="FFFF0000"/>
                </patternFill>
              </fill>
            </x14:dxf>
          </x14:cfRule>
          <xm:sqref>AL42:AX42</xm:sqref>
        </x14:conditionalFormatting>
        <x14:conditionalFormatting xmlns:xm="http://schemas.microsoft.com/office/excel/2006/main">
          <x14:cfRule type="expression" priority="4691433" id="{8421181C-7450-42E9-BC1D-065CCFCA960E}">
            <xm:f>$AN$4='Data entry'!$R18</xm:f>
            <x14:dxf>
              <fill>
                <patternFill>
                  <bgColor rgb="FFFFFF00"/>
                </patternFill>
              </fill>
            </x14:dxf>
          </x14:cfRule>
          <xm:sqref>Z41:AN41</xm:sqref>
        </x14:conditionalFormatting>
        <x14:conditionalFormatting xmlns:xm="http://schemas.microsoft.com/office/excel/2006/main">
          <x14:cfRule type="expression" priority="4691434" id="{067FE4BD-6EF4-4684-B6E0-35AB2F267EE7}">
            <xm:f>$AO$4='Data entry'!$R18</xm:f>
            <x14:dxf>
              <fill>
                <patternFill>
                  <bgColor rgb="FFFF0000"/>
                </patternFill>
              </fill>
            </x14:dxf>
          </x14:cfRule>
          <xm:sqref>AM42:AY42</xm:sqref>
        </x14:conditionalFormatting>
        <x14:conditionalFormatting xmlns:xm="http://schemas.microsoft.com/office/excel/2006/main">
          <x14:cfRule type="expression" priority="4691435" id="{F7653492-88D1-47AC-8BA3-0CCE65C3C2AB}">
            <xm:f>$AO$4='Data entry'!$R18</xm:f>
            <x14:dxf>
              <fill>
                <patternFill>
                  <bgColor rgb="FFFFFF00"/>
                </patternFill>
              </fill>
            </x14:dxf>
          </x14:cfRule>
          <xm:sqref>AA41:AO41</xm:sqref>
        </x14:conditionalFormatting>
        <x14:conditionalFormatting xmlns:xm="http://schemas.microsoft.com/office/excel/2006/main">
          <x14:cfRule type="expression" priority="4691436" id="{207A5E5D-B322-482E-9193-1D7318138358}">
            <xm:f>$AP$4='Data entry'!$R18</xm:f>
            <x14:dxf>
              <fill>
                <patternFill>
                  <bgColor rgb="FFFF0000"/>
                </patternFill>
              </fill>
            </x14:dxf>
          </x14:cfRule>
          <xm:sqref>AN42:AZ42</xm:sqref>
        </x14:conditionalFormatting>
        <x14:conditionalFormatting xmlns:xm="http://schemas.microsoft.com/office/excel/2006/main">
          <x14:cfRule type="expression" priority="4691437" id="{21DA638D-4CA0-4067-BFF1-240CE1A0261B}">
            <xm:f>$AP$4='Data entry'!$R18</xm:f>
            <x14:dxf>
              <fill>
                <patternFill>
                  <bgColor rgb="FFFFFF00"/>
                </patternFill>
              </fill>
            </x14:dxf>
          </x14:cfRule>
          <xm:sqref>AB41:AP41</xm:sqref>
        </x14:conditionalFormatting>
        <x14:conditionalFormatting xmlns:xm="http://schemas.microsoft.com/office/excel/2006/main">
          <x14:cfRule type="expression" priority="4691438" id="{71963D96-A42A-4B90-BFC7-6D83D37766EF}">
            <xm:f>$AQ$4='Data entry'!$R18</xm:f>
            <x14:dxf>
              <fill>
                <patternFill>
                  <bgColor rgb="FFFF0000"/>
                </patternFill>
              </fill>
            </x14:dxf>
          </x14:cfRule>
          <xm:sqref>AO42:BA42</xm:sqref>
        </x14:conditionalFormatting>
        <x14:conditionalFormatting xmlns:xm="http://schemas.microsoft.com/office/excel/2006/main">
          <x14:cfRule type="expression" priority="4691439" id="{74952595-84B6-484F-8FF6-FCC1F337DF4D}">
            <xm:f>$AQ$4='Data entry'!$R18</xm:f>
            <x14:dxf>
              <fill>
                <patternFill>
                  <bgColor rgb="FFFFFF00"/>
                </patternFill>
              </fill>
            </x14:dxf>
          </x14:cfRule>
          <xm:sqref>AC41:AQ41</xm:sqref>
        </x14:conditionalFormatting>
        <x14:conditionalFormatting xmlns:xm="http://schemas.microsoft.com/office/excel/2006/main">
          <x14:cfRule type="expression" priority="4691440" id="{8AC9C4B9-0A34-4BC0-B0F7-CA89434C4911}">
            <xm:f>$P$4='Data entry'!$R18</xm:f>
            <x14:dxf>
              <fill>
                <patternFill>
                  <bgColor rgb="FFFFFF00"/>
                </patternFill>
              </fill>
            </x14:dxf>
          </x14:cfRule>
          <xm:sqref>C41:P41</xm:sqref>
        </x14:conditionalFormatting>
        <x14:conditionalFormatting xmlns:xm="http://schemas.microsoft.com/office/excel/2006/main">
          <x14:cfRule type="expression" priority="4691441" id="{0A726775-ABFD-4F22-967C-1A4D87BA3751}">
            <xm:f>$Q$4='Data entry'!$R18</xm:f>
            <x14:dxf>
              <fill>
                <patternFill>
                  <bgColor rgb="FFFFFF00"/>
                </patternFill>
              </fill>
            </x14:dxf>
          </x14:cfRule>
          <xm:sqref>C41:Q41</xm:sqref>
        </x14:conditionalFormatting>
        <x14:conditionalFormatting xmlns:xm="http://schemas.microsoft.com/office/excel/2006/main">
          <x14:cfRule type="expression" priority="4691442" id="{3A8414BD-262C-43B5-86EE-FA6901D00453}">
            <xm:f>$Q$4='Data entry'!$R18</xm:f>
            <x14:dxf>
              <fill>
                <patternFill>
                  <bgColor rgb="FFFF0000"/>
                </patternFill>
              </fill>
            </x14:dxf>
          </x14:cfRule>
          <xm:sqref>O42:AA42</xm:sqref>
        </x14:conditionalFormatting>
        <x14:conditionalFormatting xmlns:xm="http://schemas.microsoft.com/office/excel/2006/main">
          <x14:cfRule type="expression" priority="4691443" id="{B8B5501D-F3EF-4449-9306-F652960C65F4}">
            <xm:f>$R$4='Data entry'!$R18</xm:f>
            <x14:dxf>
              <fill>
                <patternFill>
                  <bgColor rgb="FFFF0000"/>
                </patternFill>
              </fill>
            </x14:dxf>
          </x14:cfRule>
          <xm:sqref>P42:AB42</xm:sqref>
        </x14:conditionalFormatting>
        <x14:conditionalFormatting xmlns:xm="http://schemas.microsoft.com/office/excel/2006/main">
          <x14:cfRule type="expression" priority="4691444" id="{5D070DEC-B82E-4D87-B907-A3E5AB836991}">
            <xm:f>$R$4='Data entry'!$R18</xm:f>
            <x14:dxf>
              <fill>
                <patternFill>
                  <bgColor rgb="FFFFFF00"/>
                </patternFill>
              </fill>
            </x14:dxf>
          </x14:cfRule>
          <xm:sqref>D41:R41</xm:sqref>
        </x14:conditionalFormatting>
        <x14:conditionalFormatting xmlns:xm="http://schemas.microsoft.com/office/excel/2006/main">
          <x14:cfRule type="expression" priority="4691445" id="{E4D16A10-F818-4664-9FB2-F0E839824D4B}">
            <xm:f>$S$4='Data entry'!$R18</xm:f>
            <x14:dxf>
              <fill>
                <patternFill>
                  <bgColor rgb="FFFF0000"/>
                </patternFill>
              </fill>
            </x14:dxf>
          </x14:cfRule>
          <xm:sqref>Q42:AC42</xm:sqref>
        </x14:conditionalFormatting>
        <x14:conditionalFormatting xmlns:xm="http://schemas.microsoft.com/office/excel/2006/main">
          <x14:cfRule type="expression" priority="4691446" id="{1A9F9911-A3E9-4730-AFBE-AB8C596545CA}">
            <xm:f>$S$4='Data entry'!$R18</xm:f>
            <x14:dxf>
              <fill>
                <patternFill>
                  <bgColor rgb="FFFFFF00"/>
                </patternFill>
              </fill>
            </x14:dxf>
          </x14:cfRule>
          <xm:sqref>E41:S41</xm:sqref>
        </x14:conditionalFormatting>
        <x14:conditionalFormatting xmlns:xm="http://schemas.microsoft.com/office/excel/2006/main">
          <x14:cfRule type="expression" priority="4691447" id="{8BB5CD1B-B2AC-442A-9550-26DE19A62D22}">
            <xm:f>$T$4='Data entry'!$R18</xm:f>
            <x14:dxf>
              <fill>
                <patternFill>
                  <bgColor rgb="FFFF0000"/>
                </patternFill>
              </fill>
            </x14:dxf>
          </x14:cfRule>
          <xm:sqref>R42:AD42</xm:sqref>
        </x14:conditionalFormatting>
        <x14:conditionalFormatting xmlns:xm="http://schemas.microsoft.com/office/excel/2006/main">
          <x14:cfRule type="expression" priority="4691448" id="{E7B59C69-7921-4049-84A1-8B3E5F7B0598}">
            <xm:f>$T$4='Data entry'!$R18</xm:f>
            <x14:dxf>
              <fill>
                <patternFill>
                  <bgColor rgb="FFFFFF00"/>
                </patternFill>
              </fill>
            </x14:dxf>
          </x14:cfRule>
          <xm:sqref>F41:T41</xm:sqref>
        </x14:conditionalFormatting>
        <x14:conditionalFormatting xmlns:xm="http://schemas.microsoft.com/office/excel/2006/main">
          <x14:cfRule type="expression" priority="4691449" id="{238C09E5-7A3D-439D-949F-A7733073F9A2}">
            <xm:f>$U$4='Data entry'!$R18</xm:f>
            <x14:dxf>
              <fill>
                <patternFill>
                  <bgColor rgb="FFFFFF00"/>
                </patternFill>
              </fill>
            </x14:dxf>
          </x14:cfRule>
          <xm:sqref>G41:U41</xm:sqref>
        </x14:conditionalFormatting>
        <x14:conditionalFormatting xmlns:xm="http://schemas.microsoft.com/office/excel/2006/main">
          <x14:cfRule type="expression" priority="4691450" id="{DE4D4432-0A19-452A-AF14-2873FE4DF411}">
            <xm:f>$AR$4='Data entry'!$R18</xm:f>
            <x14:dxf>
              <fill>
                <patternFill>
                  <bgColor rgb="FFFF0000"/>
                </patternFill>
              </fill>
            </x14:dxf>
          </x14:cfRule>
          <xm:sqref>AP42:BB42</xm:sqref>
        </x14:conditionalFormatting>
        <x14:conditionalFormatting xmlns:xm="http://schemas.microsoft.com/office/excel/2006/main">
          <x14:cfRule type="expression" priority="4691451" id="{90D7E1FF-542D-40C8-9BD5-DFEB4CDD256F}">
            <xm:f>$AR$4='Data entry'!$R18</xm:f>
            <x14:dxf>
              <fill>
                <patternFill>
                  <bgColor rgb="FFFFFF00"/>
                </patternFill>
              </fill>
            </x14:dxf>
          </x14:cfRule>
          <xm:sqref>AD41:AR41</xm:sqref>
        </x14:conditionalFormatting>
        <x14:conditionalFormatting xmlns:xm="http://schemas.microsoft.com/office/excel/2006/main">
          <x14:cfRule type="expression" priority="4691452" id="{0EBB5305-4A4A-4205-A1FF-11160070CBC3}">
            <xm:f>$AS$4='Data entry'!$R18</xm:f>
            <x14:dxf>
              <fill>
                <patternFill>
                  <bgColor rgb="FFFF0000"/>
                </patternFill>
              </fill>
            </x14:dxf>
          </x14:cfRule>
          <xm:sqref>AQ42:BC42</xm:sqref>
        </x14:conditionalFormatting>
        <x14:conditionalFormatting xmlns:xm="http://schemas.microsoft.com/office/excel/2006/main">
          <x14:cfRule type="expression" priority="4691453" id="{AC8EB30C-4253-4CE1-820E-1801F6D8D35B}">
            <xm:f>$AS$4='Data entry'!$R18</xm:f>
            <x14:dxf>
              <fill>
                <patternFill>
                  <bgColor rgb="FFFFFF00"/>
                </patternFill>
              </fill>
            </x14:dxf>
          </x14:cfRule>
          <xm:sqref>AE41:AS41</xm:sqref>
        </x14:conditionalFormatting>
        <x14:conditionalFormatting xmlns:xm="http://schemas.microsoft.com/office/excel/2006/main">
          <x14:cfRule type="expression" priority="4691454" id="{E11744C1-7201-4272-A1B0-945490B42425}">
            <xm:f>$AT$4='Data entry'!$R18</xm:f>
            <x14:dxf>
              <fill>
                <patternFill>
                  <bgColor rgb="FFFF0000"/>
                </patternFill>
              </fill>
            </x14:dxf>
          </x14:cfRule>
          <xm:sqref>AR42:BD42</xm:sqref>
        </x14:conditionalFormatting>
        <x14:conditionalFormatting xmlns:xm="http://schemas.microsoft.com/office/excel/2006/main">
          <x14:cfRule type="expression" priority="4691455" id="{5EE2823B-E955-4EA7-B99C-0B1F77B57A69}">
            <xm:f>$AT$4='Data entry'!$R18</xm:f>
            <x14:dxf>
              <fill>
                <patternFill>
                  <bgColor rgb="FFFFFF00"/>
                </patternFill>
              </fill>
            </x14:dxf>
          </x14:cfRule>
          <xm:sqref>AF41:AT41</xm:sqref>
        </x14:conditionalFormatting>
        <x14:conditionalFormatting xmlns:xm="http://schemas.microsoft.com/office/excel/2006/main">
          <x14:cfRule type="expression" priority="4691456" id="{5737DC63-3262-4B34-900C-2AAEB255FCBA}">
            <xm:f>$AU$4='Data entry'!$R18</xm:f>
            <x14:dxf>
              <fill>
                <patternFill>
                  <bgColor rgb="FFFF0000"/>
                </patternFill>
              </fill>
            </x14:dxf>
          </x14:cfRule>
          <xm:sqref>AS42:BE42</xm:sqref>
        </x14:conditionalFormatting>
        <x14:conditionalFormatting xmlns:xm="http://schemas.microsoft.com/office/excel/2006/main">
          <x14:cfRule type="expression" priority="4691457" id="{2B5C1F1B-3C3D-4CA3-BC64-0E98422075B6}">
            <xm:f>$AU$4='Data entry'!$R18</xm:f>
            <x14:dxf>
              <fill>
                <patternFill>
                  <bgColor rgb="FFFFFF00"/>
                </patternFill>
              </fill>
            </x14:dxf>
          </x14:cfRule>
          <xm:sqref>AG41:AU41</xm:sqref>
        </x14:conditionalFormatting>
        <x14:conditionalFormatting xmlns:xm="http://schemas.microsoft.com/office/excel/2006/main">
          <x14:cfRule type="expression" priority="4691458" id="{B87A1285-B003-4855-8F4B-53C391BA10E6}">
            <xm:f>$AV$4='Data entry'!$R18</xm:f>
            <x14:dxf>
              <fill>
                <patternFill>
                  <bgColor rgb="FFFF0000"/>
                </patternFill>
              </fill>
            </x14:dxf>
          </x14:cfRule>
          <xm:sqref>AT42:BF42</xm:sqref>
        </x14:conditionalFormatting>
        <x14:conditionalFormatting xmlns:xm="http://schemas.microsoft.com/office/excel/2006/main">
          <x14:cfRule type="expression" priority="4691459" id="{338EE31C-78DB-4818-B837-0380F9E457FA}">
            <xm:f>$AV$4='Data entry'!$R18</xm:f>
            <x14:dxf>
              <fill>
                <patternFill>
                  <bgColor rgb="FFFFFF00"/>
                </patternFill>
              </fill>
            </x14:dxf>
          </x14:cfRule>
          <xm:sqref>AH41:AV41</xm:sqref>
        </x14:conditionalFormatting>
        <x14:conditionalFormatting xmlns:xm="http://schemas.microsoft.com/office/excel/2006/main">
          <x14:cfRule type="expression" priority="4691460" id="{5C40EA66-2801-4C91-B885-BF6A1ECFC35C}">
            <xm:f>$AW$4='Data entry'!$R18</xm:f>
            <x14:dxf>
              <fill>
                <patternFill>
                  <bgColor rgb="FFFF0000"/>
                </patternFill>
              </fill>
            </x14:dxf>
          </x14:cfRule>
          <xm:sqref>AU42:BG42</xm:sqref>
        </x14:conditionalFormatting>
        <x14:conditionalFormatting xmlns:xm="http://schemas.microsoft.com/office/excel/2006/main">
          <x14:cfRule type="expression" priority="4691461" id="{51BCD5CE-DF86-4C2F-8A81-DDA1EFD6C8F7}">
            <xm:f>$AW$4='Data entry'!$R18</xm:f>
            <x14:dxf>
              <fill>
                <patternFill>
                  <bgColor rgb="FFFFFF00"/>
                </patternFill>
              </fill>
            </x14:dxf>
          </x14:cfRule>
          <xm:sqref>AI41:AW41</xm:sqref>
        </x14:conditionalFormatting>
        <x14:conditionalFormatting xmlns:xm="http://schemas.microsoft.com/office/excel/2006/main">
          <x14:cfRule type="expression" priority="4691462" id="{DC2ED5A0-8917-4877-8CD3-9DF9BE5993C9}">
            <xm:f>$AX$4='Data entry'!$R18</xm:f>
            <x14:dxf>
              <fill>
                <patternFill>
                  <bgColor rgb="FFFF0000"/>
                </patternFill>
              </fill>
            </x14:dxf>
          </x14:cfRule>
          <xm:sqref>AV42:BH42</xm:sqref>
        </x14:conditionalFormatting>
        <x14:conditionalFormatting xmlns:xm="http://schemas.microsoft.com/office/excel/2006/main">
          <x14:cfRule type="expression" priority="4691463" id="{59B31869-20F9-45BD-BC80-0A6C8945CE2C}">
            <xm:f>$AX$4='Data entry'!$R18</xm:f>
            <x14:dxf>
              <fill>
                <patternFill>
                  <bgColor rgb="FFFFFF00"/>
                </patternFill>
              </fill>
            </x14:dxf>
          </x14:cfRule>
          <xm:sqref>AJ41:AX41</xm:sqref>
        </x14:conditionalFormatting>
        <x14:conditionalFormatting xmlns:xm="http://schemas.microsoft.com/office/excel/2006/main">
          <x14:cfRule type="expression" priority="4691464" id="{D4208FA0-4262-4037-934C-6D0742B2AD8E}">
            <xm:f>$AY$4='Data entry'!$R18</xm:f>
            <x14:dxf>
              <fill>
                <patternFill>
                  <bgColor rgb="FFFF0000"/>
                </patternFill>
              </fill>
            </x14:dxf>
          </x14:cfRule>
          <xm:sqref>AW42:BI42</xm:sqref>
        </x14:conditionalFormatting>
        <x14:conditionalFormatting xmlns:xm="http://schemas.microsoft.com/office/excel/2006/main">
          <x14:cfRule type="expression" priority="4691465" id="{04D6E423-18C7-42B2-A67D-F49D8E62B571}">
            <xm:f>$AY$4='Data entry'!$R18</xm:f>
            <x14:dxf>
              <fill>
                <patternFill>
                  <bgColor rgb="FFFFFF00"/>
                </patternFill>
              </fill>
            </x14:dxf>
          </x14:cfRule>
          <xm:sqref>AK41:AY41</xm:sqref>
        </x14:conditionalFormatting>
        <x14:conditionalFormatting xmlns:xm="http://schemas.microsoft.com/office/excel/2006/main">
          <x14:cfRule type="expression" priority="4691466" id="{A931C203-6E4B-4EBD-A2F4-1876881F48D4}">
            <xm:f>$AZ$4='Data entry'!$R18</xm:f>
            <x14:dxf>
              <fill>
                <patternFill>
                  <bgColor rgb="FFFF0000"/>
                </patternFill>
              </fill>
            </x14:dxf>
          </x14:cfRule>
          <xm:sqref>AX42:BJ42</xm:sqref>
        </x14:conditionalFormatting>
        <x14:conditionalFormatting xmlns:xm="http://schemas.microsoft.com/office/excel/2006/main">
          <x14:cfRule type="expression" priority="4691467" id="{092D9100-E652-40FE-8CAA-720DC0681250}">
            <xm:f>$AZ$4='Data entry'!$R18</xm:f>
            <x14:dxf>
              <fill>
                <patternFill>
                  <bgColor rgb="FFFFFF00"/>
                </patternFill>
              </fill>
            </x14:dxf>
          </x14:cfRule>
          <xm:sqref>AL41:AZ41</xm:sqref>
        </x14:conditionalFormatting>
        <x14:conditionalFormatting xmlns:xm="http://schemas.microsoft.com/office/excel/2006/main">
          <x14:cfRule type="expression" priority="4691468" id="{A3C7E6BE-A225-483C-A983-A915DB662C52}">
            <xm:f>$BA$4='Data entry'!$R18</xm:f>
            <x14:dxf>
              <fill>
                <patternFill>
                  <bgColor rgb="FFFF0000"/>
                </patternFill>
              </fill>
            </x14:dxf>
          </x14:cfRule>
          <xm:sqref>AY42:BK42</xm:sqref>
        </x14:conditionalFormatting>
        <x14:conditionalFormatting xmlns:xm="http://schemas.microsoft.com/office/excel/2006/main">
          <x14:cfRule type="expression" priority="4691469" id="{F5CF569A-8AFA-4CFF-8BD3-F04D8927A99F}">
            <xm:f>$BA$4='Data entry'!$R18</xm:f>
            <x14:dxf>
              <fill>
                <patternFill>
                  <bgColor rgb="FFFFFF00"/>
                </patternFill>
              </fill>
            </x14:dxf>
          </x14:cfRule>
          <xm:sqref>AM41:BA41</xm:sqref>
        </x14:conditionalFormatting>
        <x14:conditionalFormatting xmlns:xm="http://schemas.microsoft.com/office/excel/2006/main">
          <x14:cfRule type="expression" priority="4691470" id="{E4DAC94A-7983-4BFB-A87B-45B58561841A}">
            <xm:f>$BB$4='Data entry'!$R18</xm:f>
            <x14:dxf>
              <fill>
                <patternFill>
                  <bgColor rgb="FFFF0000"/>
                </patternFill>
              </fill>
            </x14:dxf>
          </x14:cfRule>
          <xm:sqref>AZ42:BL42</xm:sqref>
        </x14:conditionalFormatting>
        <x14:conditionalFormatting xmlns:xm="http://schemas.microsoft.com/office/excel/2006/main">
          <x14:cfRule type="expression" priority="4691471" id="{E63849C5-F39B-4B0E-8F8A-B532EDF2CBAE}">
            <xm:f>$BB$4='Data entry'!$R18</xm:f>
            <x14:dxf>
              <fill>
                <patternFill>
                  <bgColor rgb="FFFFFF00"/>
                </patternFill>
              </fill>
            </x14:dxf>
          </x14:cfRule>
          <xm:sqref>AN41:BB41</xm:sqref>
        </x14:conditionalFormatting>
        <x14:conditionalFormatting xmlns:xm="http://schemas.microsoft.com/office/excel/2006/main">
          <x14:cfRule type="expression" priority="4691472" id="{4FDC32D3-C1F5-455D-9AA4-A03359B72526}">
            <xm:f>$BC$4='Data entry'!$R18</xm:f>
            <x14:dxf>
              <fill>
                <patternFill>
                  <bgColor rgb="FFFF0000"/>
                </patternFill>
              </fill>
            </x14:dxf>
          </x14:cfRule>
          <xm:sqref>BA42:BM42</xm:sqref>
        </x14:conditionalFormatting>
        <x14:conditionalFormatting xmlns:xm="http://schemas.microsoft.com/office/excel/2006/main">
          <x14:cfRule type="expression" priority="4691473" id="{5F0D0C60-B233-4C56-B05D-98C99990877F}">
            <xm:f>$BC$4='Data entry'!$R18</xm:f>
            <x14:dxf>
              <fill>
                <patternFill>
                  <bgColor rgb="FFFFFF00"/>
                </patternFill>
              </fill>
            </x14:dxf>
          </x14:cfRule>
          <xm:sqref>AO41:BC41</xm:sqref>
        </x14:conditionalFormatting>
        <x14:conditionalFormatting xmlns:xm="http://schemas.microsoft.com/office/excel/2006/main">
          <x14:cfRule type="expression" priority="4691474" id="{9EBCB60F-8135-43B6-A0F3-548D4092CC98}">
            <xm:f>$BD$4='Data entry'!$R18</xm:f>
            <x14:dxf>
              <fill>
                <patternFill>
                  <bgColor rgb="FFFF0000"/>
                </patternFill>
              </fill>
            </x14:dxf>
          </x14:cfRule>
          <xm:sqref>BB42:BN42</xm:sqref>
        </x14:conditionalFormatting>
        <x14:conditionalFormatting xmlns:xm="http://schemas.microsoft.com/office/excel/2006/main">
          <x14:cfRule type="expression" priority="4691475" id="{961AF346-4A73-41ED-9A8D-27D431B09C05}">
            <xm:f>$BD$4='Data entry'!$R18</xm:f>
            <x14:dxf>
              <fill>
                <patternFill>
                  <bgColor rgb="FFFFFF00"/>
                </patternFill>
              </fill>
            </x14:dxf>
          </x14:cfRule>
          <xm:sqref>AP41:BD41</xm:sqref>
        </x14:conditionalFormatting>
        <x14:conditionalFormatting xmlns:xm="http://schemas.microsoft.com/office/excel/2006/main">
          <x14:cfRule type="expression" priority="4691476" id="{5A887026-27CD-4F8C-8BA6-1E92704C1CA6}">
            <xm:f>$BE$4='Data entry'!$R18</xm:f>
            <x14:dxf>
              <fill>
                <patternFill>
                  <bgColor rgb="FFFF0000"/>
                </patternFill>
              </fill>
            </x14:dxf>
          </x14:cfRule>
          <xm:sqref>BC42:BO42</xm:sqref>
        </x14:conditionalFormatting>
        <x14:conditionalFormatting xmlns:xm="http://schemas.microsoft.com/office/excel/2006/main">
          <x14:cfRule type="expression" priority="4691477" id="{7F46217B-A1E9-4515-B31E-E756FCD7C6D9}">
            <xm:f>$BE$4='Data entry'!$R18</xm:f>
            <x14:dxf>
              <fill>
                <patternFill>
                  <bgColor rgb="FFFFFF00"/>
                </patternFill>
              </fill>
            </x14:dxf>
          </x14:cfRule>
          <xm:sqref>AP41:BE41</xm:sqref>
        </x14:conditionalFormatting>
        <x14:conditionalFormatting xmlns:xm="http://schemas.microsoft.com/office/excel/2006/main">
          <x14:cfRule type="expression" priority="4691478" id="{F4D9285C-8CA0-4EF1-943E-6A462D47CC77}">
            <xm:f>$BF$4='Data entry'!$R18</xm:f>
            <x14:dxf>
              <fill>
                <patternFill>
                  <bgColor rgb="FFFF0000"/>
                </patternFill>
              </fill>
            </x14:dxf>
          </x14:cfRule>
          <xm:sqref>BD42:BP42</xm:sqref>
        </x14:conditionalFormatting>
        <x14:conditionalFormatting xmlns:xm="http://schemas.microsoft.com/office/excel/2006/main">
          <x14:cfRule type="expression" priority="4691479" id="{B9E4407D-651D-4DC0-9D61-3271D62A65E9}">
            <xm:f>$BF$4='Data entry'!$R18</xm:f>
            <x14:dxf>
              <fill>
                <patternFill>
                  <bgColor rgb="FFFFFF00"/>
                </patternFill>
              </fill>
            </x14:dxf>
          </x14:cfRule>
          <xm:sqref>AR41:BF41</xm:sqref>
        </x14:conditionalFormatting>
        <x14:conditionalFormatting xmlns:xm="http://schemas.microsoft.com/office/excel/2006/main">
          <x14:cfRule type="expression" priority="4691480" id="{4CDC062F-DDFF-4556-B941-08F919727F69}">
            <xm:f>$BG$4='Data entry'!$R18</xm:f>
            <x14:dxf>
              <fill>
                <patternFill>
                  <bgColor rgb="FFFF0000"/>
                </patternFill>
              </fill>
            </x14:dxf>
          </x14:cfRule>
          <xm:sqref>BE42:BQ42</xm:sqref>
        </x14:conditionalFormatting>
        <x14:conditionalFormatting xmlns:xm="http://schemas.microsoft.com/office/excel/2006/main">
          <x14:cfRule type="expression" priority="4691481" id="{789184FA-9055-433B-8A1B-92C7ED59E81F}">
            <xm:f>$BG$4='Data entry'!$R18</xm:f>
            <x14:dxf>
              <fill>
                <patternFill>
                  <bgColor rgb="FFFFFF00"/>
                </patternFill>
              </fill>
            </x14:dxf>
          </x14:cfRule>
          <xm:sqref>AS41:BG41</xm:sqref>
        </x14:conditionalFormatting>
        <x14:conditionalFormatting xmlns:xm="http://schemas.microsoft.com/office/excel/2006/main">
          <x14:cfRule type="expression" priority="4691482" id="{58651E5C-09C9-46C1-B95C-E8A578A49E15}">
            <xm:f>$BH$4='Data entry'!$R18</xm:f>
            <x14:dxf>
              <fill>
                <patternFill>
                  <bgColor rgb="FFFFFF00"/>
                </patternFill>
              </fill>
            </x14:dxf>
          </x14:cfRule>
          <xm:sqref>AT41:BH41</xm:sqref>
        </x14:conditionalFormatting>
        <x14:conditionalFormatting xmlns:xm="http://schemas.microsoft.com/office/excel/2006/main">
          <x14:cfRule type="expression" priority="4691483" id="{97B30B86-8311-4DC0-A533-8C0D53F37839}">
            <xm:f>$BH$4='Data entry'!$R18</xm:f>
            <x14:dxf>
              <fill>
                <patternFill>
                  <bgColor rgb="FFFF0000"/>
                </patternFill>
              </fill>
            </x14:dxf>
          </x14:cfRule>
          <xm:sqref>BF42:BR42</xm:sqref>
        </x14:conditionalFormatting>
        <x14:conditionalFormatting xmlns:xm="http://schemas.microsoft.com/office/excel/2006/main">
          <x14:cfRule type="expression" priority="4691484" id="{78344C0C-5AEA-40B1-A20C-6D77DF58E1F5}">
            <xm:f>$BI$4='Data entry'!$R18</xm:f>
            <x14:dxf>
              <fill>
                <patternFill>
                  <bgColor rgb="FFFFFF00"/>
                </patternFill>
              </fill>
            </x14:dxf>
          </x14:cfRule>
          <xm:sqref>AU41:BI41</xm:sqref>
        </x14:conditionalFormatting>
        <x14:conditionalFormatting xmlns:xm="http://schemas.microsoft.com/office/excel/2006/main">
          <x14:cfRule type="expression" priority="4691485" id="{A9CE044F-482E-4F25-B28F-89ACC58502B1}">
            <xm:f>$BI$4='Data entry'!$R18</xm:f>
            <x14:dxf>
              <fill>
                <patternFill>
                  <bgColor rgb="FFFF0000"/>
                </patternFill>
              </fill>
            </x14:dxf>
          </x14:cfRule>
          <xm:sqref>BG42:BS42</xm:sqref>
        </x14:conditionalFormatting>
        <x14:conditionalFormatting xmlns:xm="http://schemas.microsoft.com/office/excel/2006/main">
          <x14:cfRule type="expression" priority="4691486" id="{F63BE0EB-3C71-4456-BEF0-11180AB7A8BB}">
            <xm:f>$BJ$4='Data entry'!$R18</xm:f>
            <x14:dxf>
              <fill>
                <patternFill>
                  <bgColor rgb="FFFFFF00"/>
                </patternFill>
              </fill>
            </x14:dxf>
          </x14:cfRule>
          <xm:sqref>AV41:BJ41</xm:sqref>
        </x14:conditionalFormatting>
        <x14:conditionalFormatting xmlns:xm="http://schemas.microsoft.com/office/excel/2006/main">
          <x14:cfRule type="expression" priority="4691487" id="{478A5DCB-1DAA-4497-A6CC-B4F01FB96D10}">
            <xm:f>$BJ$4='Data entry'!$R18</xm:f>
            <x14:dxf>
              <fill>
                <patternFill>
                  <bgColor rgb="FFFF0000"/>
                </patternFill>
              </fill>
            </x14:dxf>
          </x14:cfRule>
          <xm:sqref>BH42:BT42</xm:sqref>
        </x14:conditionalFormatting>
        <x14:conditionalFormatting xmlns:xm="http://schemas.microsoft.com/office/excel/2006/main">
          <x14:cfRule type="expression" priority="4691488" id="{CDE4AD5B-65A6-4FA4-9EC0-8D05F22312A9}">
            <xm:f>$BK$4='Data entry'!$R18</xm:f>
            <x14:dxf>
              <fill>
                <patternFill>
                  <bgColor rgb="FFFF0000"/>
                </patternFill>
              </fill>
            </x14:dxf>
          </x14:cfRule>
          <xm:sqref>BI42:BU42</xm:sqref>
        </x14:conditionalFormatting>
        <x14:conditionalFormatting xmlns:xm="http://schemas.microsoft.com/office/excel/2006/main">
          <x14:cfRule type="expression" priority="4691489" id="{AB32E790-6CD8-4D11-9A69-57D785FE4BBC}">
            <xm:f>$BK$4='Data entry'!$R18</xm:f>
            <x14:dxf>
              <fill>
                <patternFill>
                  <bgColor rgb="FFFFFF00"/>
                </patternFill>
              </fill>
            </x14:dxf>
          </x14:cfRule>
          <xm:sqref>AW41:BK41</xm:sqref>
        </x14:conditionalFormatting>
        <x14:conditionalFormatting xmlns:xm="http://schemas.microsoft.com/office/excel/2006/main">
          <x14:cfRule type="expression" priority="4691490" id="{99810EB9-805C-43D8-852A-EEECE7874CDB}">
            <xm:f>$BL$4='Data entry'!$R18</xm:f>
            <x14:dxf>
              <fill>
                <patternFill>
                  <bgColor rgb="FFFF0000"/>
                </patternFill>
              </fill>
            </x14:dxf>
          </x14:cfRule>
          <xm:sqref>BJ42:BV42</xm:sqref>
        </x14:conditionalFormatting>
        <x14:conditionalFormatting xmlns:xm="http://schemas.microsoft.com/office/excel/2006/main">
          <x14:cfRule type="expression" priority="4691491" id="{BF5F5475-4E46-479C-97A6-D5175F5D1803}">
            <xm:f>$BL$4='Data entry'!$R18</xm:f>
            <x14:dxf>
              <fill>
                <patternFill>
                  <bgColor rgb="FFFFFF00"/>
                </patternFill>
              </fill>
            </x14:dxf>
          </x14:cfRule>
          <xm:sqref>AX41:BL41</xm:sqref>
        </x14:conditionalFormatting>
        <x14:conditionalFormatting xmlns:xm="http://schemas.microsoft.com/office/excel/2006/main">
          <x14:cfRule type="expression" priority="4691492" id="{B86FDF2F-16C9-46B1-847E-7EA1A8A34B9D}">
            <xm:f>$BM$4='Data entry'!$R18</xm:f>
            <x14:dxf>
              <fill>
                <patternFill>
                  <bgColor rgb="FFFF0000"/>
                </patternFill>
              </fill>
            </x14:dxf>
          </x14:cfRule>
          <xm:sqref>BK42:BW42</xm:sqref>
        </x14:conditionalFormatting>
        <x14:conditionalFormatting xmlns:xm="http://schemas.microsoft.com/office/excel/2006/main">
          <x14:cfRule type="expression" priority="4691493" id="{72FD189F-4CED-400D-9FEF-21A328970A4D}">
            <xm:f>$BM$4='Data entry'!$R18</xm:f>
            <x14:dxf>
              <fill>
                <patternFill>
                  <bgColor rgb="FFFFFF00"/>
                </patternFill>
              </fill>
            </x14:dxf>
          </x14:cfRule>
          <xm:sqref>AY41:BM41</xm:sqref>
        </x14:conditionalFormatting>
        <x14:conditionalFormatting xmlns:xm="http://schemas.microsoft.com/office/excel/2006/main">
          <x14:cfRule type="expression" priority="4691494" id="{BBBBF859-D5A7-4F55-BFBF-8A77E3357590}">
            <xm:f>$BN$4='Data entry'!$R18</xm:f>
            <x14:dxf>
              <fill>
                <patternFill>
                  <bgColor rgb="FFFF0000"/>
                </patternFill>
              </fill>
            </x14:dxf>
          </x14:cfRule>
          <xm:sqref>BL42:BX42</xm:sqref>
        </x14:conditionalFormatting>
        <x14:conditionalFormatting xmlns:xm="http://schemas.microsoft.com/office/excel/2006/main">
          <x14:cfRule type="expression" priority="4691495" id="{50CB1D75-0FD5-4D24-92B1-E8A41DC6575C}">
            <xm:f>$BN$4='Data entry'!$R18</xm:f>
            <x14:dxf>
              <fill>
                <patternFill>
                  <bgColor rgb="FFFFFF00"/>
                </patternFill>
              </fill>
            </x14:dxf>
          </x14:cfRule>
          <xm:sqref>AZ41:BN41</xm:sqref>
        </x14:conditionalFormatting>
        <x14:conditionalFormatting xmlns:xm="http://schemas.microsoft.com/office/excel/2006/main">
          <x14:cfRule type="expression" priority="4691496" id="{9EF3226D-E8FC-496B-A6FF-71776AEA54D1}">
            <xm:f>$BO$4='Data entry'!$R18</xm:f>
            <x14:dxf>
              <fill>
                <patternFill>
                  <bgColor rgb="FFFF0000"/>
                </patternFill>
              </fill>
            </x14:dxf>
          </x14:cfRule>
          <xm:sqref>BM42:BY42</xm:sqref>
        </x14:conditionalFormatting>
        <x14:conditionalFormatting xmlns:xm="http://schemas.microsoft.com/office/excel/2006/main">
          <x14:cfRule type="expression" priority="4691497" id="{3B86C801-ECFE-4D05-8AA5-1581116BAFBC}">
            <xm:f>$BO$4='Data entry'!$R18</xm:f>
            <x14:dxf>
              <fill>
                <patternFill>
                  <bgColor rgb="FFFFFF00"/>
                </patternFill>
              </fill>
            </x14:dxf>
          </x14:cfRule>
          <xm:sqref>BA41:BO41</xm:sqref>
        </x14:conditionalFormatting>
        <x14:conditionalFormatting xmlns:xm="http://schemas.microsoft.com/office/excel/2006/main">
          <x14:cfRule type="expression" priority="4691498" id="{058A23EC-3371-4A02-9F20-1ECA603AC6BC}">
            <xm:f>$BP$4='Data entry'!$R18</xm:f>
            <x14:dxf>
              <fill>
                <patternFill>
                  <bgColor rgb="FFFF0000"/>
                </patternFill>
              </fill>
            </x14:dxf>
          </x14:cfRule>
          <xm:sqref>BN42:BZ42</xm:sqref>
        </x14:conditionalFormatting>
        <x14:conditionalFormatting xmlns:xm="http://schemas.microsoft.com/office/excel/2006/main">
          <x14:cfRule type="expression" priority="4691499" id="{3E711E31-3992-4555-AB22-87133D60CD15}">
            <xm:f>$BP$4='Data entry'!$R18</xm:f>
            <x14:dxf>
              <fill>
                <patternFill>
                  <bgColor rgb="FFFFFF00"/>
                </patternFill>
              </fill>
            </x14:dxf>
          </x14:cfRule>
          <xm:sqref>BB41:BP41</xm:sqref>
        </x14:conditionalFormatting>
        <x14:conditionalFormatting xmlns:xm="http://schemas.microsoft.com/office/excel/2006/main">
          <x14:cfRule type="expression" priority="4691500" id="{23E9F8B9-37D5-4730-9453-6F23E8ECBBE3}">
            <xm:f>$BQ$4='Data entry'!$R18</xm:f>
            <x14:dxf>
              <fill>
                <patternFill>
                  <bgColor rgb="FFFFFF00"/>
                </patternFill>
              </fill>
            </x14:dxf>
          </x14:cfRule>
          <xm:sqref>BC41:BQ41</xm:sqref>
        </x14:conditionalFormatting>
        <x14:conditionalFormatting xmlns:xm="http://schemas.microsoft.com/office/excel/2006/main">
          <x14:cfRule type="expression" priority="4691501" id="{BCFD92F6-AAD3-44FD-BC61-A292A81B883E}">
            <xm:f>$BQ$4='Data entry'!$R18</xm:f>
            <x14:dxf>
              <fill>
                <patternFill>
                  <bgColor rgb="FFFF0000"/>
                </patternFill>
              </fill>
            </x14:dxf>
          </x14:cfRule>
          <xm:sqref>BO42:CA42</xm:sqref>
        </x14:conditionalFormatting>
        <x14:conditionalFormatting xmlns:xm="http://schemas.microsoft.com/office/excel/2006/main">
          <x14:cfRule type="expression" priority="4691502" id="{357D60E5-F356-477E-8020-A18F42C02832}">
            <xm:f>$BR$4='Data entry'!$R18</xm:f>
            <x14:dxf>
              <fill>
                <patternFill>
                  <bgColor rgb="FFFFFF00"/>
                </patternFill>
              </fill>
            </x14:dxf>
          </x14:cfRule>
          <xm:sqref>BD41:BR41</xm:sqref>
        </x14:conditionalFormatting>
        <x14:conditionalFormatting xmlns:xm="http://schemas.microsoft.com/office/excel/2006/main">
          <x14:cfRule type="expression" priority="4691503" id="{DA2B6511-43B3-432D-B6AA-1DB1188B90A6}">
            <xm:f>$BR$4='Data entry'!$R18</xm:f>
            <x14:dxf>
              <fill>
                <patternFill>
                  <bgColor rgb="FFFF0000"/>
                </patternFill>
              </fill>
            </x14:dxf>
          </x14:cfRule>
          <xm:sqref>BP42:CB42</xm:sqref>
        </x14:conditionalFormatting>
        <x14:conditionalFormatting xmlns:xm="http://schemas.microsoft.com/office/excel/2006/main">
          <x14:cfRule type="expression" priority="4691504" id="{0D5F64E4-4136-4BFA-B833-CC8578525D9C}">
            <xm:f>$BS$4='Data entry'!$R18</xm:f>
            <x14:dxf>
              <fill>
                <patternFill>
                  <bgColor rgb="FFFFFF00"/>
                </patternFill>
              </fill>
            </x14:dxf>
          </x14:cfRule>
          <xm:sqref>BE41:BS41</xm:sqref>
        </x14:conditionalFormatting>
        <x14:conditionalFormatting xmlns:xm="http://schemas.microsoft.com/office/excel/2006/main">
          <x14:cfRule type="expression" priority="4691505" id="{AC94D468-F078-4AE2-8771-102996E07B09}">
            <xm:f>$BS$4='Data entry'!$R18</xm:f>
            <x14:dxf>
              <fill>
                <patternFill>
                  <bgColor rgb="FFFF0000"/>
                </patternFill>
              </fill>
            </x14:dxf>
          </x14:cfRule>
          <xm:sqref>BQ42:CC42</xm:sqref>
        </x14:conditionalFormatting>
        <x14:conditionalFormatting xmlns:xm="http://schemas.microsoft.com/office/excel/2006/main">
          <x14:cfRule type="expression" priority="4691506" id="{10E78F76-181E-4F19-9F89-7DD36D3EFE30}">
            <xm:f>$BT$4='Data entry'!$R18</xm:f>
            <x14:dxf>
              <fill>
                <patternFill>
                  <bgColor rgb="FFFFFF00"/>
                </patternFill>
              </fill>
            </x14:dxf>
          </x14:cfRule>
          <xm:sqref>BF41:BT41</xm:sqref>
        </x14:conditionalFormatting>
        <x14:conditionalFormatting xmlns:xm="http://schemas.microsoft.com/office/excel/2006/main">
          <x14:cfRule type="expression" priority="4691507" id="{6A5FADC6-9512-4EFB-90A5-7B5244D10D1F}">
            <xm:f>$BT$4='Data entry'!$R18</xm:f>
            <x14:dxf>
              <fill>
                <patternFill>
                  <bgColor rgb="FFFF0000"/>
                </patternFill>
              </fill>
            </x14:dxf>
          </x14:cfRule>
          <xm:sqref>BR42:CC42</xm:sqref>
        </x14:conditionalFormatting>
        <x14:conditionalFormatting xmlns:xm="http://schemas.microsoft.com/office/excel/2006/main">
          <x14:cfRule type="expression" priority="4691508" id="{A51139D1-8841-4B96-B8CB-DFE3808765CF}">
            <xm:f>$BU$4='Data entry'!$R18</xm:f>
            <x14:dxf>
              <fill>
                <patternFill>
                  <bgColor rgb="FFFFFF00"/>
                </patternFill>
              </fill>
            </x14:dxf>
          </x14:cfRule>
          <xm:sqref>BG41:BU41</xm:sqref>
        </x14:conditionalFormatting>
        <x14:conditionalFormatting xmlns:xm="http://schemas.microsoft.com/office/excel/2006/main">
          <x14:cfRule type="expression" priority="4691509" id="{55CA7258-760F-4BFF-ACB5-A70FEB3E7981}">
            <xm:f>$BU$4='Data entry'!$R18</xm:f>
            <x14:dxf>
              <fill>
                <patternFill>
                  <bgColor rgb="FFFF0000"/>
                </patternFill>
              </fill>
            </x14:dxf>
          </x14:cfRule>
          <xm:sqref>BS42:CC42</xm:sqref>
        </x14:conditionalFormatting>
        <x14:conditionalFormatting xmlns:xm="http://schemas.microsoft.com/office/excel/2006/main">
          <x14:cfRule type="expression" priority="4691510" id="{A922B218-64DB-4CBB-9AB8-FE0EBB44E09E}">
            <xm:f>$BV$4='Data entry'!$R18</xm:f>
            <x14:dxf>
              <fill>
                <patternFill>
                  <bgColor rgb="FFFFFF00"/>
                </patternFill>
              </fill>
            </x14:dxf>
          </x14:cfRule>
          <xm:sqref>BH41:BV41</xm:sqref>
        </x14:conditionalFormatting>
        <x14:conditionalFormatting xmlns:xm="http://schemas.microsoft.com/office/excel/2006/main">
          <x14:cfRule type="expression" priority="4691511" id="{C98E908A-CD31-4778-B41C-7AFB9DBE639A}">
            <xm:f>$BV$4='Data entry'!$R18</xm:f>
            <x14:dxf>
              <fill>
                <patternFill>
                  <bgColor rgb="FFFF0000"/>
                </patternFill>
              </fill>
            </x14:dxf>
          </x14:cfRule>
          <xm:sqref>BT42:CC42</xm:sqref>
        </x14:conditionalFormatting>
        <x14:conditionalFormatting xmlns:xm="http://schemas.microsoft.com/office/excel/2006/main">
          <x14:cfRule type="expression" priority="4691512" id="{465CCCA3-B4DB-4B61-8AC7-8A5E4CEC9E3F}">
            <xm:f>$BW$4='Data entry'!$R18</xm:f>
            <x14:dxf>
              <fill>
                <patternFill>
                  <bgColor rgb="FFFFFF00"/>
                </patternFill>
              </fill>
            </x14:dxf>
          </x14:cfRule>
          <xm:sqref>BI41:BW41</xm:sqref>
        </x14:conditionalFormatting>
        <x14:conditionalFormatting xmlns:xm="http://schemas.microsoft.com/office/excel/2006/main">
          <x14:cfRule type="expression" priority="4691513" id="{37566F97-6D06-400B-A709-FE657B07687F}">
            <xm:f>$BW$4='Data entry'!$R18</xm:f>
            <x14:dxf>
              <fill>
                <patternFill>
                  <bgColor rgb="FFFF0000"/>
                </patternFill>
              </fill>
            </x14:dxf>
          </x14:cfRule>
          <xm:sqref>BU42:CC42</xm:sqref>
        </x14:conditionalFormatting>
        <x14:conditionalFormatting xmlns:xm="http://schemas.microsoft.com/office/excel/2006/main">
          <x14:cfRule type="expression" priority="4691514" id="{D8FBA3AC-5CF0-4E45-97CA-1D4DEE729ADA}">
            <xm:f>$BX$4='Data entry'!$R18</xm:f>
            <x14:dxf>
              <fill>
                <patternFill>
                  <bgColor rgb="FFFFFF00"/>
                </patternFill>
              </fill>
            </x14:dxf>
          </x14:cfRule>
          <xm:sqref>BJ41:BX41</xm:sqref>
        </x14:conditionalFormatting>
        <x14:conditionalFormatting xmlns:xm="http://schemas.microsoft.com/office/excel/2006/main">
          <x14:cfRule type="expression" priority="4691515" id="{E077C84B-A94F-431D-B232-4AFCC7C64F54}">
            <xm:f>$BX$4='Data entry'!$R18</xm:f>
            <x14:dxf>
              <fill>
                <patternFill>
                  <bgColor rgb="FFFF0000"/>
                </patternFill>
              </fill>
            </x14:dxf>
          </x14:cfRule>
          <xm:sqref>BV42:CC42</xm:sqref>
        </x14:conditionalFormatting>
        <x14:conditionalFormatting xmlns:xm="http://schemas.microsoft.com/office/excel/2006/main">
          <x14:cfRule type="expression" priority="4691516" id="{63783BA8-0C97-4A44-86FD-7A2BCF1B9957}">
            <xm:f>$BY$4='Data entry'!$R18</xm:f>
            <x14:dxf>
              <fill>
                <patternFill>
                  <bgColor rgb="FFFFFF00"/>
                </patternFill>
              </fill>
            </x14:dxf>
          </x14:cfRule>
          <xm:sqref>BK41:BY41</xm:sqref>
        </x14:conditionalFormatting>
        <x14:conditionalFormatting xmlns:xm="http://schemas.microsoft.com/office/excel/2006/main">
          <x14:cfRule type="expression" priority="4691517" id="{BB8DB8B4-B71B-46D2-AEE7-346F16103F74}">
            <xm:f>$BY$4='Data entry'!$R18</xm:f>
            <x14:dxf>
              <fill>
                <patternFill>
                  <bgColor rgb="FFFF0000"/>
                </patternFill>
              </fill>
            </x14:dxf>
          </x14:cfRule>
          <xm:sqref>BW42:CC42</xm:sqref>
        </x14:conditionalFormatting>
        <x14:conditionalFormatting xmlns:xm="http://schemas.microsoft.com/office/excel/2006/main">
          <x14:cfRule type="expression" priority="4691518" id="{1B638B98-2B06-4FEB-90C1-446A3E0A3979}">
            <xm:f>$BZ$4='Data entry'!$R18</xm:f>
            <x14:dxf>
              <fill>
                <patternFill>
                  <bgColor rgb="FFFFFF00"/>
                </patternFill>
              </fill>
            </x14:dxf>
          </x14:cfRule>
          <xm:sqref>BL41:BZ41</xm:sqref>
        </x14:conditionalFormatting>
        <x14:conditionalFormatting xmlns:xm="http://schemas.microsoft.com/office/excel/2006/main">
          <x14:cfRule type="expression" priority="4691519" id="{D3A0A2F8-D1B2-4DC5-B2A9-0EF53074E685}">
            <xm:f>$BZ$4='Data entry'!$R18</xm:f>
            <x14:dxf>
              <fill>
                <patternFill>
                  <bgColor rgb="FFFF0000"/>
                </patternFill>
              </fill>
            </x14:dxf>
          </x14:cfRule>
          <xm:sqref>BX42:CC42</xm:sqref>
        </x14:conditionalFormatting>
        <x14:conditionalFormatting xmlns:xm="http://schemas.microsoft.com/office/excel/2006/main">
          <x14:cfRule type="expression" priority="4691520" id="{83F6D018-7D3B-4D33-9998-11572F2F2FF5}">
            <xm:f>$CA$4='Data entry'!$R18</xm:f>
            <x14:dxf>
              <fill>
                <patternFill>
                  <bgColor rgb="FFFFFF00"/>
                </patternFill>
              </fill>
            </x14:dxf>
          </x14:cfRule>
          <xm:sqref>BM41:CA41</xm:sqref>
        </x14:conditionalFormatting>
        <x14:conditionalFormatting xmlns:xm="http://schemas.microsoft.com/office/excel/2006/main">
          <x14:cfRule type="expression" priority="4691521" id="{8E6D0B51-5626-4ED9-9072-C7A2C139704F}">
            <xm:f>$CA$4='Data entry'!$R18</xm:f>
            <x14:dxf>
              <fill>
                <patternFill>
                  <bgColor rgb="FFFF0000"/>
                </patternFill>
              </fill>
            </x14:dxf>
          </x14:cfRule>
          <xm:sqref>BY42:CC42</xm:sqref>
        </x14:conditionalFormatting>
        <x14:conditionalFormatting xmlns:xm="http://schemas.microsoft.com/office/excel/2006/main">
          <x14:cfRule type="expression" priority="4691522" id="{E1886EE4-3BDE-43A9-9F4B-79377FEC37FE}">
            <xm:f>$CB$4='Data entry'!$R18</xm:f>
            <x14:dxf>
              <fill>
                <patternFill>
                  <bgColor rgb="FFFFFF00"/>
                </patternFill>
              </fill>
            </x14:dxf>
          </x14:cfRule>
          <xm:sqref>BN41:CB41</xm:sqref>
        </x14:conditionalFormatting>
        <x14:conditionalFormatting xmlns:xm="http://schemas.microsoft.com/office/excel/2006/main">
          <x14:cfRule type="expression" priority="4691523" id="{ADEF572A-6C18-4602-BB86-01C96D36E07E}">
            <xm:f>$CB$4='Data entry'!$R18</xm:f>
            <x14:dxf>
              <fill>
                <patternFill>
                  <bgColor rgb="FFFF0000"/>
                </patternFill>
              </fill>
            </x14:dxf>
          </x14:cfRule>
          <xm:sqref>BZ42:CC42</xm:sqref>
        </x14:conditionalFormatting>
        <x14:conditionalFormatting xmlns:xm="http://schemas.microsoft.com/office/excel/2006/main">
          <x14:cfRule type="expression" priority="4691524" id="{7984E1C9-E073-4955-8543-62145CB6D008}">
            <xm:f>$CC$4='Data entry'!$R18</xm:f>
            <x14:dxf>
              <fill>
                <patternFill>
                  <bgColor rgb="FFFFFF00"/>
                </patternFill>
              </fill>
            </x14:dxf>
          </x14:cfRule>
          <xm:sqref>BO41:CC41</xm:sqref>
        </x14:conditionalFormatting>
        <x14:conditionalFormatting xmlns:xm="http://schemas.microsoft.com/office/excel/2006/main">
          <x14:cfRule type="expression" priority="4691525" id="{18A957B3-59FA-4698-BA92-2A208FF18E2F}">
            <xm:f>$CC$4='Data entry'!$R18</xm:f>
            <x14:dxf>
              <fill>
                <patternFill>
                  <bgColor rgb="FFFF0000"/>
                </patternFill>
              </fill>
            </x14:dxf>
          </x14:cfRule>
          <xm:sqref>CA42:CC42</xm:sqref>
        </x14:conditionalFormatting>
        <x14:conditionalFormatting xmlns:xm="http://schemas.microsoft.com/office/excel/2006/main">
          <x14:cfRule type="expression" priority="4691612" id="{5B0DB825-B7C2-40AC-B7EF-F267F054CFB9}">
            <xm:f>$U$4='Data entry'!$R19</xm:f>
            <x14:dxf>
              <fill>
                <patternFill>
                  <bgColor rgb="FFFF0000"/>
                </patternFill>
              </fill>
            </x14:dxf>
          </x14:cfRule>
          <xm:sqref>S45:AE45</xm:sqref>
        </x14:conditionalFormatting>
        <x14:conditionalFormatting xmlns:xm="http://schemas.microsoft.com/office/excel/2006/main">
          <x14:cfRule type="expression" priority="4691613" id="{18311200-E2BB-400F-B594-3B9A2C6068C2}">
            <xm:f>$V$4='Data entry'!$R19</xm:f>
            <x14:dxf>
              <fill>
                <patternFill>
                  <bgColor rgb="FFFF0000"/>
                </patternFill>
              </fill>
            </x14:dxf>
          </x14:cfRule>
          <xm:sqref>T45:AF45</xm:sqref>
        </x14:conditionalFormatting>
        <x14:conditionalFormatting xmlns:xm="http://schemas.microsoft.com/office/excel/2006/main">
          <x14:cfRule type="expression" priority="4691614" id="{D6DFB621-1A58-4C59-A987-ECAD0EB2D32B}">
            <xm:f>$V$4='Data entry'!$R19</xm:f>
            <x14:dxf>
              <fill>
                <patternFill>
                  <bgColor rgb="FFFFFF00"/>
                </patternFill>
              </fill>
            </x14:dxf>
          </x14:cfRule>
          <xm:sqref>H44:V44</xm:sqref>
        </x14:conditionalFormatting>
        <x14:conditionalFormatting xmlns:xm="http://schemas.microsoft.com/office/excel/2006/main">
          <x14:cfRule type="expression" priority="4691615" id="{5F87A680-DC5F-433D-A779-B7A534ACCDA9}">
            <xm:f>$W$4='Data entry'!$R19</xm:f>
            <x14:dxf>
              <fill>
                <patternFill>
                  <bgColor rgb="FFFF0000"/>
                </patternFill>
              </fill>
            </x14:dxf>
          </x14:cfRule>
          <xm:sqref>U45:AG45</xm:sqref>
        </x14:conditionalFormatting>
        <x14:conditionalFormatting xmlns:xm="http://schemas.microsoft.com/office/excel/2006/main">
          <x14:cfRule type="expression" priority="4691616" id="{964539FF-A92C-4F68-B268-B7157A32678C}">
            <xm:f>$W$4='Data entry'!$R19</xm:f>
            <x14:dxf>
              <fill>
                <patternFill>
                  <bgColor rgb="FFFFFF00"/>
                </patternFill>
              </fill>
            </x14:dxf>
          </x14:cfRule>
          <xm:sqref>I44:W44</xm:sqref>
        </x14:conditionalFormatting>
        <x14:conditionalFormatting xmlns:xm="http://schemas.microsoft.com/office/excel/2006/main">
          <x14:cfRule type="expression" priority="4691617" id="{46C1533A-F090-4A90-9309-3F59EC3FD3B0}">
            <xm:f>$X$4='Data entry'!$R19</xm:f>
            <x14:dxf>
              <fill>
                <patternFill>
                  <bgColor rgb="FFFF0000"/>
                </patternFill>
              </fill>
            </x14:dxf>
          </x14:cfRule>
          <xm:sqref>V45:AH45</xm:sqref>
        </x14:conditionalFormatting>
        <x14:conditionalFormatting xmlns:xm="http://schemas.microsoft.com/office/excel/2006/main">
          <x14:cfRule type="expression" priority="4691618" id="{7C70E81C-DDD4-4D75-933A-4F6A39893184}">
            <xm:f>$X$4='Data entry'!$R19</xm:f>
            <x14:dxf>
              <fill>
                <patternFill>
                  <bgColor rgb="FFFFFF00"/>
                </patternFill>
              </fill>
            </x14:dxf>
          </x14:cfRule>
          <xm:sqref>J44:X44</xm:sqref>
        </x14:conditionalFormatting>
        <x14:conditionalFormatting xmlns:xm="http://schemas.microsoft.com/office/excel/2006/main">
          <x14:cfRule type="expression" priority="4691619" id="{561AF073-0EF8-4B72-A119-40A639C4359D}">
            <xm:f>$Y$4='Data entry'!$R19</xm:f>
            <x14:dxf>
              <fill>
                <patternFill>
                  <bgColor rgb="FFFF0000"/>
                </patternFill>
              </fill>
            </x14:dxf>
          </x14:cfRule>
          <xm:sqref>W45:AI45</xm:sqref>
        </x14:conditionalFormatting>
        <x14:conditionalFormatting xmlns:xm="http://schemas.microsoft.com/office/excel/2006/main">
          <x14:cfRule type="expression" priority="4691620" id="{F242E808-8F07-4A89-9524-7D4C767CE357}">
            <xm:f>$Y$4='Data entry'!$R19</xm:f>
            <x14:dxf>
              <fill>
                <patternFill>
                  <bgColor rgb="FFFFFF00"/>
                </patternFill>
              </fill>
            </x14:dxf>
          </x14:cfRule>
          <xm:sqref>K44:Y44</xm:sqref>
        </x14:conditionalFormatting>
        <x14:conditionalFormatting xmlns:xm="http://schemas.microsoft.com/office/excel/2006/main">
          <x14:cfRule type="expression" priority="4691621" id="{DD601058-982B-4218-BD9D-64BB823C2633}">
            <xm:f>$Z$4='Data entry'!$R19</xm:f>
            <x14:dxf>
              <fill>
                <patternFill>
                  <bgColor rgb="FFFF0000"/>
                </patternFill>
              </fill>
            </x14:dxf>
          </x14:cfRule>
          <xm:sqref>X45:AJ45</xm:sqref>
        </x14:conditionalFormatting>
        <x14:conditionalFormatting xmlns:xm="http://schemas.microsoft.com/office/excel/2006/main">
          <x14:cfRule type="expression" priority="4691622" id="{C9DB141D-79F6-4093-92A3-7BF7A1622985}">
            <xm:f>$Z$4='Data entry'!$R19</xm:f>
            <x14:dxf>
              <fill>
                <patternFill>
                  <bgColor rgb="FFFFFF00"/>
                </patternFill>
              </fill>
            </x14:dxf>
          </x14:cfRule>
          <xm:sqref>L44:Z44</xm:sqref>
        </x14:conditionalFormatting>
        <x14:conditionalFormatting xmlns:xm="http://schemas.microsoft.com/office/excel/2006/main">
          <x14:cfRule type="expression" priority="4691623" id="{710EB8D3-F5C0-4E3C-8214-2D0C4E26F649}">
            <xm:f>$AA$4='Data entry'!$R19</xm:f>
            <x14:dxf>
              <fill>
                <patternFill>
                  <bgColor rgb="FFFF0000"/>
                </patternFill>
              </fill>
            </x14:dxf>
          </x14:cfRule>
          <xm:sqref>Y45:AK45</xm:sqref>
        </x14:conditionalFormatting>
        <x14:conditionalFormatting xmlns:xm="http://schemas.microsoft.com/office/excel/2006/main">
          <x14:cfRule type="expression" priority="4691624" id="{33825D69-C967-4D27-B395-5D44A3083802}">
            <xm:f>$AA$4='Data entry'!$R19</xm:f>
            <x14:dxf>
              <fill>
                <patternFill>
                  <bgColor rgb="FFFFFF00"/>
                </patternFill>
              </fill>
            </x14:dxf>
          </x14:cfRule>
          <xm:sqref>M44:AA44</xm:sqref>
        </x14:conditionalFormatting>
        <x14:conditionalFormatting xmlns:xm="http://schemas.microsoft.com/office/excel/2006/main">
          <x14:cfRule type="expression" priority="4691625" id="{9811A97D-351B-4D32-8754-AF433277E62B}">
            <xm:f>$AB$4='Data entry'!$R19</xm:f>
            <x14:dxf>
              <fill>
                <patternFill>
                  <bgColor rgb="FFFF0000"/>
                </patternFill>
              </fill>
            </x14:dxf>
          </x14:cfRule>
          <xm:sqref>Z45:AL45</xm:sqref>
        </x14:conditionalFormatting>
        <x14:conditionalFormatting xmlns:xm="http://schemas.microsoft.com/office/excel/2006/main">
          <x14:cfRule type="expression" priority="4691626" id="{6DD3E556-C72E-438B-92DA-3096ED1E4178}">
            <xm:f>$AB$4='Data entry'!$R19</xm:f>
            <x14:dxf>
              <fill>
                <patternFill>
                  <bgColor rgb="FFFFFF00"/>
                </patternFill>
              </fill>
            </x14:dxf>
          </x14:cfRule>
          <xm:sqref>N44:AB44</xm:sqref>
        </x14:conditionalFormatting>
        <x14:conditionalFormatting xmlns:xm="http://schemas.microsoft.com/office/excel/2006/main">
          <x14:cfRule type="expression" priority="4691627" id="{C0DF7A1B-D6BC-4371-BD3A-F0708147FA1C}">
            <xm:f>$AC$4='Data entry'!$R19</xm:f>
            <x14:dxf>
              <fill>
                <patternFill>
                  <bgColor rgb="FFFF0000"/>
                </patternFill>
              </fill>
            </x14:dxf>
          </x14:cfRule>
          <xm:sqref>AA45:AM45</xm:sqref>
        </x14:conditionalFormatting>
        <x14:conditionalFormatting xmlns:xm="http://schemas.microsoft.com/office/excel/2006/main">
          <x14:cfRule type="expression" priority="4691628" id="{DB2E1F48-AF0E-41F9-A976-6B1963CA5711}">
            <xm:f>$AC$4='Data entry'!$R19</xm:f>
            <x14:dxf>
              <fill>
                <patternFill>
                  <bgColor rgb="FFFFFF00"/>
                </patternFill>
              </fill>
            </x14:dxf>
          </x14:cfRule>
          <xm:sqref>O44:AC44</xm:sqref>
        </x14:conditionalFormatting>
        <x14:conditionalFormatting xmlns:xm="http://schemas.microsoft.com/office/excel/2006/main">
          <x14:cfRule type="expression" priority="4691629" id="{89909907-F9A9-4AF9-BC1D-304710A43F50}">
            <xm:f>$AD$4='Data entry'!$R19</xm:f>
            <x14:dxf>
              <fill>
                <patternFill>
                  <bgColor rgb="FFFF0000"/>
                </patternFill>
              </fill>
            </x14:dxf>
          </x14:cfRule>
          <xm:sqref>AB45:AN45</xm:sqref>
        </x14:conditionalFormatting>
        <x14:conditionalFormatting xmlns:xm="http://schemas.microsoft.com/office/excel/2006/main">
          <x14:cfRule type="expression" priority="4691630" id="{729676B7-E331-43A4-ACC9-850DCEE76A0E}">
            <xm:f>$AD$4='Data entry'!$R19</xm:f>
            <x14:dxf>
              <fill>
                <patternFill>
                  <bgColor rgb="FFFFFF00"/>
                </patternFill>
              </fill>
            </x14:dxf>
          </x14:cfRule>
          <xm:sqref>P44:AD44</xm:sqref>
        </x14:conditionalFormatting>
        <x14:conditionalFormatting xmlns:xm="http://schemas.microsoft.com/office/excel/2006/main">
          <x14:cfRule type="expression" priority="4691631" id="{00DA2C55-350E-44AA-ABEA-808FABFDA737}">
            <xm:f>$AE$4='Data entry'!$R19</xm:f>
            <x14:dxf>
              <fill>
                <patternFill>
                  <bgColor rgb="FFFF0000"/>
                </patternFill>
              </fill>
            </x14:dxf>
          </x14:cfRule>
          <xm:sqref>AC45:AO45</xm:sqref>
        </x14:conditionalFormatting>
        <x14:conditionalFormatting xmlns:xm="http://schemas.microsoft.com/office/excel/2006/main">
          <x14:cfRule type="expression" priority="4691632" id="{373C95F1-00C1-45E9-B561-5224945BA4A4}">
            <xm:f>$AE$4='Data entry'!$R19</xm:f>
            <x14:dxf>
              <fill>
                <patternFill>
                  <bgColor rgb="FFFFFF00"/>
                </patternFill>
              </fill>
            </x14:dxf>
          </x14:cfRule>
          <xm:sqref>Q44:AE44</xm:sqref>
        </x14:conditionalFormatting>
        <x14:conditionalFormatting xmlns:xm="http://schemas.microsoft.com/office/excel/2006/main">
          <x14:cfRule type="expression" priority="4691633" id="{65E90E74-6BEF-4B00-BD5E-ECACFEBC225A}">
            <xm:f>$AF$4='Data entry'!$R19</xm:f>
            <x14:dxf>
              <fill>
                <patternFill>
                  <bgColor rgb="FFFF0000"/>
                </patternFill>
              </fill>
            </x14:dxf>
          </x14:cfRule>
          <xm:sqref>AD45:AP45</xm:sqref>
        </x14:conditionalFormatting>
        <x14:conditionalFormatting xmlns:xm="http://schemas.microsoft.com/office/excel/2006/main">
          <x14:cfRule type="expression" priority="4691634" id="{56B519D7-E083-4811-B42B-D6CB10D44BB3}">
            <xm:f>$AF$4='Data entry'!$R19</xm:f>
            <x14:dxf>
              <fill>
                <patternFill>
                  <bgColor rgb="FFFFFF00"/>
                </patternFill>
              </fill>
            </x14:dxf>
          </x14:cfRule>
          <xm:sqref>R44:AF44</xm:sqref>
        </x14:conditionalFormatting>
        <x14:conditionalFormatting xmlns:xm="http://schemas.microsoft.com/office/excel/2006/main">
          <x14:cfRule type="expression" priority="4691635" id="{889682B6-BF9B-414B-86B7-1C802156B058}">
            <xm:f>$AG$4='Data entry'!$R19</xm:f>
            <x14:dxf>
              <fill>
                <patternFill>
                  <bgColor rgb="FFFF0000"/>
                </patternFill>
              </fill>
            </x14:dxf>
          </x14:cfRule>
          <xm:sqref>AE45:AQ45</xm:sqref>
        </x14:conditionalFormatting>
        <x14:conditionalFormatting xmlns:xm="http://schemas.microsoft.com/office/excel/2006/main">
          <x14:cfRule type="expression" priority="4691636" id="{19913D88-1940-4CB0-B29C-D46D60833BD5}">
            <xm:f>$AG$4='Data entry'!$R19</xm:f>
            <x14:dxf>
              <fill>
                <patternFill>
                  <bgColor rgb="FFFFFF00"/>
                </patternFill>
              </fill>
            </x14:dxf>
          </x14:cfRule>
          <xm:sqref>S44:AG44</xm:sqref>
        </x14:conditionalFormatting>
        <x14:conditionalFormatting xmlns:xm="http://schemas.microsoft.com/office/excel/2006/main">
          <x14:cfRule type="expression" priority="4691637" id="{3DD7B9A5-18A3-463F-BAD5-9796FC487328}">
            <xm:f>$AH$4='Data entry'!$R19</xm:f>
            <x14:dxf>
              <fill>
                <patternFill>
                  <bgColor rgb="FFFF0000"/>
                </patternFill>
              </fill>
            </x14:dxf>
          </x14:cfRule>
          <xm:sqref>AF45:AR45</xm:sqref>
        </x14:conditionalFormatting>
        <x14:conditionalFormatting xmlns:xm="http://schemas.microsoft.com/office/excel/2006/main">
          <x14:cfRule type="expression" priority="4691638" id="{31005CF4-5608-496E-91EB-F7F505046C80}">
            <xm:f>$AH$4='Data entry'!$R19</xm:f>
            <x14:dxf>
              <fill>
                <patternFill>
                  <bgColor rgb="FFFFFF00"/>
                </patternFill>
              </fill>
            </x14:dxf>
          </x14:cfRule>
          <xm:sqref>T44:AH44</xm:sqref>
        </x14:conditionalFormatting>
        <x14:conditionalFormatting xmlns:xm="http://schemas.microsoft.com/office/excel/2006/main">
          <x14:cfRule type="expression" priority="4691639" id="{CD14F654-5B7A-444F-8FC1-7DD71E76E475}">
            <xm:f>$AI$4='Data entry'!$R19</xm:f>
            <x14:dxf>
              <fill>
                <patternFill>
                  <bgColor rgb="FFFF0000"/>
                </patternFill>
              </fill>
            </x14:dxf>
          </x14:cfRule>
          <xm:sqref>AG45:AS45</xm:sqref>
        </x14:conditionalFormatting>
        <x14:conditionalFormatting xmlns:xm="http://schemas.microsoft.com/office/excel/2006/main">
          <x14:cfRule type="expression" priority="4691640" id="{0E4E448C-6C46-4285-B877-A61A90294385}">
            <xm:f>$AI$4='Data entry'!$R19</xm:f>
            <x14:dxf>
              <fill>
                <patternFill>
                  <bgColor rgb="FFFFFF00"/>
                </patternFill>
              </fill>
            </x14:dxf>
          </x14:cfRule>
          <xm:sqref>U44:AI44</xm:sqref>
        </x14:conditionalFormatting>
        <x14:conditionalFormatting xmlns:xm="http://schemas.microsoft.com/office/excel/2006/main">
          <x14:cfRule type="expression" priority="4691641" id="{B1C1818F-791C-403D-BE73-6F6E9DC6A16D}">
            <xm:f>$AJ$4='Data entry'!$R19</xm:f>
            <x14:dxf>
              <fill>
                <patternFill>
                  <bgColor rgb="FFFF0000"/>
                </patternFill>
              </fill>
            </x14:dxf>
          </x14:cfRule>
          <xm:sqref>AH45:AT45</xm:sqref>
        </x14:conditionalFormatting>
        <x14:conditionalFormatting xmlns:xm="http://schemas.microsoft.com/office/excel/2006/main">
          <x14:cfRule type="expression" priority="4691642" id="{A1237792-221B-431B-B8A7-E9A64DA46D93}">
            <xm:f>$AJ$4='Data entry'!$R19</xm:f>
            <x14:dxf>
              <fill>
                <patternFill>
                  <bgColor rgb="FFFFFF00"/>
                </patternFill>
              </fill>
            </x14:dxf>
          </x14:cfRule>
          <xm:sqref>V44:AJ44</xm:sqref>
        </x14:conditionalFormatting>
        <x14:conditionalFormatting xmlns:xm="http://schemas.microsoft.com/office/excel/2006/main">
          <x14:cfRule type="expression" priority="4691643" id="{617DC2AF-C7A3-4724-8EA3-17DEFEDC8949}">
            <xm:f>$AK$4='Data entry'!$R19</xm:f>
            <x14:dxf>
              <fill>
                <patternFill>
                  <bgColor rgb="FFFF0000"/>
                </patternFill>
              </fill>
            </x14:dxf>
          </x14:cfRule>
          <xm:sqref>AI45:AU45</xm:sqref>
        </x14:conditionalFormatting>
        <x14:conditionalFormatting xmlns:xm="http://schemas.microsoft.com/office/excel/2006/main">
          <x14:cfRule type="expression" priority="4691644" id="{AA72317D-37B1-48EB-A28B-BF2AC8DC4519}">
            <xm:f>$AK$4='Data entry'!$R19</xm:f>
            <x14:dxf>
              <fill>
                <patternFill>
                  <bgColor rgb="FFFFFF00"/>
                </patternFill>
              </fill>
            </x14:dxf>
          </x14:cfRule>
          <xm:sqref>W44:AK44</xm:sqref>
        </x14:conditionalFormatting>
        <x14:conditionalFormatting xmlns:xm="http://schemas.microsoft.com/office/excel/2006/main">
          <x14:cfRule type="expression" priority="4691645" id="{6CA9FB7A-20EA-4D3A-B74C-A001F4BE810D}">
            <xm:f>$AL$4='Data entry'!$R19</xm:f>
            <x14:dxf>
              <fill>
                <patternFill>
                  <bgColor rgb="FFFF0000"/>
                </patternFill>
              </fill>
            </x14:dxf>
          </x14:cfRule>
          <xm:sqref>AJ45:AV45</xm:sqref>
        </x14:conditionalFormatting>
        <x14:conditionalFormatting xmlns:xm="http://schemas.microsoft.com/office/excel/2006/main">
          <x14:cfRule type="expression" priority="4691646" id="{81A75DAA-573F-4EF3-A640-1B992C18BEA0}">
            <xm:f>$AL$4='Data entry'!$R19</xm:f>
            <x14:dxf>
              <fill>
                <patternFill>
                  <bgColor rgb="FFFFFF00"/>
                </patternFill>
              </fill>
            </x14:dxf>
          </x14:cfRule>
          <xm:sqref>X44:AL44</xm:sqref>
        </x14:conditionalFormatting>
        <x14:conditionalFormatting xmlns:xm="http://schemas.microsoft.com/office/excel/2006/main">
          <x14:cfRule type="expression" priority="4691647" id="{3D44713E-4ABA-4CCD-9DF4-5513A9FB5E1E}">
            <xm:f>$AM$4='Data entry'!$R19</xm:f>
            <x14:dxf>
              <fill>
                <patternFill>
                  <bgColor rgb="FFFF0000"/>
                </patternFill>
              </fill>
            </x14:dxf>
          </x14:cfRule>
          <xm:sqref>AK45:AW45</xm:sqref>
        </x14:conditionalFormatting>
        <x14:conditionalFormatting xmlns:xm="http://schemas.microsoft.com/office/excel/2006/main">
          <x14:cfRule type="expression" priority="4691648" id="{05A26B51-72A7-4423-822F-2BDBC28275D0}">
            <xm:f>$AM$4='Data entry'!$R19</xm:f>
            <x14:dxf>
              <fill>
                <patternFill>
                  <bgColor rgb="FFFFFF00"/>
                </patternFill>
              </fill>
            </x14:dxf>
          </x14:cfRule>
          <xm:sqref>Y44:AM44</xm:sqref>
        </x14:conditionalFormatting>
        <x14:conditionalFormatting xmlns:xm="http://schemas.microsoft.com/office/excel/2006/main">
          <x14:cfRule type="expression" priority="4691649" id="{B8A20675-6230-4694-A7F6-6B3DC7142773}">
            <xm:f>$AN$4='Data entry'!$R19</xm:f>
            <x14:dxf>
              <fill>
                <patternFill>
                  <bgColor rgb="FFFF0000"/>
                </patternFill>
              </fill>
            </x14:dxf>
          </x14:cfRule>
          <xm:sqref>AL45:AX45</xm:sqref>
        </x14:conditionalFormatting>
        <x14:conditionalFormatting xmlns:xm="http://schemas.microsoft.com/office/excel/2006/main">
          <x14:cfRule type="expression" priority="4691650" id="{8421181C-7450-42E9-BC1D-065CCFCA960E}">
            <xm:f>$AN$4='Data entry'!$R19</xm:f>
            <x14:dxf>
              <fill>
                <patternFill>
                  <bgColor rgb="FFFFFF00"/>
                </patternFill>
              </fill>
            </x14:dxf>
          </x14:cfRule>
          <xm:sqref>Z44:AN44</xm:sqref>
        </x14:conditionalFormatting>
        <x14:conditionalFormatting xmlns:xm="http://schemas.microsoft.com/office/excel/2006/main">
          <x14:cfRule type="expression" priority="4691651" id="{067FE4BD-6EF4-4684-B6E0-35AB2F267EE7}">
            <xm:f>$AO$4='Data entry'!$R19</xm:f>
            <x14:dxf>
              <fill>
                <patternFill>
                  <bgColor rgb="FFFF0000"/>
                </patternFill>
              </fill>
            </x14:dxf>
          </x14:cfRule>
          <xm:sqref>AM45:AY45</xm:sqref>
        </x14:conditionalFormatting>
        <x14:conditionalFormatting xmlns:xm="http://schemas.microsoft.com/office/excel/2006/main">
          <x14:cfRule type="expression" priority="4691652" id="{F7653492-88D1-47AC-8BA3-0CCE65C3C2AB}">
            <xm:f>$AO$4='Data entry'!$R19</xm:f>
            <x14:dxf>
              <fill>
                <patternFill>
                  <bgColor rgb="FFFFFF00"/>
                </patternFill>
              </fill>
            </x14:dxf>
          </x14:cfRule>
          <xm:sqref>AA44:AO44</xm:sqref>
        </x14:conditionalFormatting>
        <x14:conditionalFormatting xmlns:xm="http://schemas.microsoft.com/office/excel/2006/main">
          <x14:cfRule type="expression" priority="4691653" id="{207A5E5D-B322-482E-9193-1D7318138358}">
            <xm:f>$AP$4='Data entry'!$R19</xm:f>
            <x14:dxf>
              <fill>
                <patternFill>
                  <bgColor rgb="FFFF0000"/>
                </patternFill>
              </fill>
            </x14:dxf>
          </x14:cfRule>
          <xm:sqref>AN45:AZ45</xm:sqref>
        </x14:conditionalFormatting>
        <x14:conditionalFormatting xmlns:xm="http://schemas.microsoft.com/office/excel/2006/main">
          <x14:cfRule type="expression" priority="4691654" id="{21DA638D-4CA0-4067-BFF1-240CE1A0261B}">
            <xm:f>$AP$4='Data entry'!$R19</xm:f>
            <x14:dxf>
              <fill>
                <patternFill>
                  <bgColor rgb="FFFFFF00"/>
                </patternFill>
              </fill>
            </x14:dxf>
          </x14:cfRule>
          <xm:sqref>AB44:AP44</xm:sqref>
        </x14:conditionalFormatting>
        <x14:conditionalFormatting xmlns:xm="http://schemas.microsoft.com/office/excel/2006/main">
          <x14:cfRule type="expression" priority="4691655" id="{71963D96-A42A-4B90-BFC7-6D83D37766EF}">
            <xm:f>$AQ$4='Data entry'!$R19</xm:f>
            <x14:dxf>
              <fill>
                <patternFill>
                  <bgColor rgb="FFFF0000"/>
                </patternFill>
              </fill>
            </x14:dxf>
          </x14:cfRule>
          <xm:sqref>AO45:BA45</xm:sqref>
        </x14:conditionalFormatting>
        <x14:conditionalFormatting xmlns:xm="http://schemas.microsoft.com/office/excel/2006/main">
          <x14:cfRule type="expression" priority="4691656" id="{74952595-84B6-484F-8FF6-FCC1F337DF4D}">
            <xm:f>$AQ$4='Data entry'!$R19</xm:f>
            <x14:dxf>
              <fill>
                <patternFill>
                  <bgColor rgb="FFFFFF00"/>
                </patternFill>
              </fill>
            </x14:dxf>
          </x14:cfRule>
          <xm:sqref>AC44:AQ44</xm:sqref>
        </x14:conditionalFormatting>
        <x14:conditionalFormatting xmlns:xm="http://schemas.microsoft.com/office/excel/2006/main">
          <x14:cfRule type="expression" priority="4691657" id="{8AC9C4B9-0A34-4BC0-B0F7-CA89434C4911}">
            <xm:f>$P$4='Data entry'!$R19</xm:f>
            <x14:dxf>
              <fill>
                <patternFill>
                  <bgColor rgb="FFFFFF00"/>
                </patternFill>
              </fill>
            </x14:dxf>
          </x14:cfRule>
          <xm:sqref>C44:P44</xm:sqref>
        </x14:conditionalFormatting>
        <x14:conditionalFormatting xmlns:xm="http://schemas.microsoft.com/office/excel/2006/main">
          <x14:cfRule type="expression" priority="4691658" id="{0A726775-ABFD-4F22-967C-1A4D87BA3751}">
            <xm:f>$Q$4='Data entry'!$R19</xm:f>
            <x14:dxf>
              <fill>
                <patternFill>
                  <bgColor rgb="FFFFFF00"/>
                </patternFill>
              </fill>
            </x14:dxf>
          </x14:cfRule>
          <xm:sqref>C44:Q44</xm:sqref>
        </x14:conditionalFormatting>
        <x14:conditionalFormatting xmlns:xm="http://schemas.microsoft.com/office/excel/2006/main">
          <x14:cfRule type="expression" priority="4691659" id="{3A8414BD-262C-43B5-86EE-FA6901D00453}">
            <xm:f>$Q$4='Data entry'!$R19</xm:f>
            <x14:dxf>
              <fill>
                <patternFill>
                  <bgColor rgb="FFFF0000"/>
                </patternFill>
              </fill>
            </x14:dxf>
          </x14:cfRule>
          <xm:sqref>O45:AA45</xm:sqref>
        </x14:conditionalFormatting>
        <x14:conditionalFormatting xmlns:xm="http://schemas.microsoft.com/office/excel/2006/main">
          <x14:cfRule type="expression" priority="4691660" id="{B8B5501D-F3EF-4449-9306-F652960C65F4}">
            <xm:f>$R$4='Data entry'!$R19</xm:f>
            <x14:dxf>
              <fill>
                <patternFill>
                  <bgColor rgb="FFFF0000"/>
                </patternFill>
              </fill>
            </x14:dxf>
          </x14:cfRule>
          <xm:sqref>P45:AB45</xm:sqref>
        </x14:conditionalFormatting>
        <x14:conditionalFormatting xmlns:xm="http://schemas.microsoft.com/office/excel/2006/main">
          <x14:cfRule type="expression" priority="4691661" id="{5D070DEC-B82E-4D87-B907-A3E5AB836991}">
            <xm:f>$R$4='Data entry'!$R19</xm:f>
            <x14:dxf>
              <fill>
                <patternFill>
                  <bgColor rgb="FFFFFF00"/>
                </patternFill>
              </fill>
            </x14:dxf>
          </x14:cfRule>
          <xm:sqref>D44:R44</xm:sqref>
        </x14:conditionalFormatting>
        <x14:conditionalFormatting xmlns:xm="http://schemas.microsoft.com/office/excel/2006/main">
          <x14:cfRule type="expression" priority="4691662" id="{E4D16A10-F818-4664-9FB2-F0E839824D4B}">
            <xm:f>$S$4='Data entry'!$R19</xm:f>
            <x14:dxf>
              <fill>
                <patternFill>
                  <bgColor rgb="FFFF0000"/>
                </patternFill>
              </fill>
            </x14:dxf>
          </x14:cfRule>
          <xm:sqref>Q45:AC45</xm:sqref>
        </x14:conditionalFormatting>
        <x14:conditionalFormatting xmlns:xm="http://schemas.microsoft.com/office/excel/2006/main">
          <x14:cfRule type="expression" priority="4691663" id="{1A9F9911-A3E9-4730-AFBE-AB8C596545CA}">
            <xm:f>$S$4='Data entry'!$R19</xm:f>
            <x14:dxf>
              <fill>
                <patternFill>
                  <bgColor rgb="FFFFFF00"/>
                </patternFill>
              </fill>
            </x14:dxf>
          </x14:cfRule>
          <xm:sqref>E44:S44</xm:sqref>
        </x14:conditionalFormatting>
        <x14:conditionalFormatting xmlns:xm="http://schemas.microsoft.com/office/excel/2006/main">
          <x14:cfRule type="expression" priority="4691664" id="{8BB5CD1B-B2AC-442A-9550-26DE19A62D22}">
            <xm:f>$T$4='Data entry'!$R19</xm:f>
            <x14:dxf>
              <fill>
                <patternFill>
                  <bgColor rgb="FFFF0000"/>
                </patternFill>
              </fill>
            </x14:dxf>
          </x14:cfRule>
          <xm:sqref>R45:AD45</xm:sqref>
        </x14:conditionalFormatting>
        <x14:conditionalFormatting xmlns:xm="http://schemas.microsoft.com/office/excel/2006/main">
          <x14:cfRule type="expression" priority="4691665" id="{E7B59C69-7921-4049-84A1-8B3E5F7B0598}">
            <xm:f>$T$4='Data entry'!$R19</xm:f>
            <x14:dxf>
              <fill>
                <patternFill>
                  <bgColor rgb="FFFFFF00"/>
                </patternFill>
              </fill>
            </x14:dxf>
          </x14:cfRule>
          <xm:sqref>F44:T44</xm:sqref>
        </x14:conditionalFormatting>
        <x14:conditionalFormatting xmlns:xm="http://schemas.microsoft.com/office/excel/2006/main">
          <x14:cfRule type="expression" priority="4691666" id="{238C09E5-7A3D-439D-949F-A7733073F9A2}">
            <xm:f>$U$4='Data entry'!$R19</xm:f>
            <x14:dxf>
              <fill>
                <patternFill>
                  <bgColor rgb="FFFFFF00"/>
                </patternFill>
              </fill>
            </x14:dxf>
          </x14:cfRule>
          <xm:sqref>G44:U44</xm:sqref>
        </x14:conditionalFormatting>
        <x14:conditionalFormatting xmlns:xm="http://schemas.microsoft.com/office/excel/2006/main">
          <x14:cfRule type="expression" priority="4691667" id="{DE4D4432-0A19-452A-AF14-2873FE4DF411}">
            <xm:f>$AR$4='Data entry'!$R19</xm:f>
            <x14:dxf>
              <fill>
                <patternFill>
                  <bgColor rgb="FFFF0000"/>
                </patternFill>
              </fill>
            </x14:dxf>
          </x14:cfRule>
          <xm:sqref>AP45:BB45</xm:sqref>
        </x14:conditionalFormatting>
        <x14:conditionalFormatting xmlns:xm="http://schemas.microsoft.com/office/excel/2006/main">
          <x14:cfRule type="expression" priority="4691668" id="{90D7E1FF-542D-40C8-9BD5-DFEB4CDD256F}">
            <xm:f>$AR$4='Data entry'!$R19</xm:f>
            <x14:dxf>
              <fill>
                <patternFill>
                  <bgColor rgb="FFFFFF00"/>
                </patternFill>
              </fill>
            </x14:dxf>
          </x14:cfRule>
          <xm:sqref>AD44:AR44</xm:sqref>
        </x14:conditionalFormatting>
        <x14:conditionalFormatting xmlns:xm="http://schemas.microsoft.com/office/excel/2006/main">
          <x14:cfRule type="expression" priority="4691669" id="{0EBB5305-4A4A-4205-A1FF-11160070CBC3}">
            <xm:f>$AS$4='Data entry'!$R19</xm:f>
            <x14:dxf>
              <fill>
                <patternFill>
                  <bgColor rgb="FFFF0000"/>
                </patternFill>
              </fill>
            </x14:dxf>
          </x14:cfRule>
          <xm:sqref>AQ45:BC45</xm:sqref>
        </x14:conditionalFormatting>
        <x14:conditionalFormatting xmlns:xm="http://schemas.microsoft.com/office/excel/2006/main">
          <x14:cfRule type="expression" priority="4691670" id="{AC8EB30C-4253-4CE1-820E-1801F6D8D35B}">
            <xm:f>$AS$4='Data entry'!$R19</xm:f>
            <x14:dxf>
              <fill>
                <patternFill>
                  <bgColor rgb="FFFFFF00"/>
                </patternFill>
              </fill>
            </x14:dxf>
          </x14:cfRule>
          <xm:sqref>AE44:AS44</xm:sqref>
        </x14:conditionalFormatting>
        <x14:conditionalFormatting xmlns:xm="http://schemas.microsoft.com/office/excel/2006/main">
          <x14:cfRule type="expression" priority="4691671" id="{E11744C1-7201-4272-A1B0-945490B42425}">
            <xm:f>$AT$4='Data entry'!$R19</xm:f>
            <x14:dxf>
              <fill>
                <patternFill>
                  <bgColor rgb="FFFF0000"/>
                </patternFill>
              </fill>
            </x14:dxf>
          </x14:cfRule>
          <xm:sqref>AR45:BD45</xm:sqref>
        </x14:conditionalFormatting>
        <x14:conditionalFormatting xmlns:xm="http://schemas.microsoft.com/office/excel/2006/main">
          <x14:cfRule type="expression" priority="4691672" id="{5EE2823B-E955-4EA7-B99C-0B1F77B57A69}">
            <xm:f>$AT$4='Data entry'!$R19</xm:f>
            <x14:dxf>
              <fill>
                <patternFill>
                  <bgColor rgb="FFFFFF00"/>
                </patternFill>
              </fill>
            </x14:dxf>
          </x14:cfRule>
          <xm:sqref>AF44:AT44</xm:sqref>
        </x14:conditionalFormatting>
        <x14:conditionalFormatting xmlns:xm="http://schemas.microsoft.com/office/excel/2006/main">
          <x14:cfRule type="expression" priority="4691673" id="{5737DC63-3262-4B34-900C-2AAEB255FCBA}">
            <xm:f>$AU$4='Data entry'!$R19</xm:f>
            <x14:dxf>
              <fill>
                <patternFill>
                  <bgColor rgb="FFFF0000"/>
                </patternFill>
              </fill>
            </x14:dxf>
          </x14:cfRule>
          <xm:sqref>AS45:BE45</xm:sqref>
        </x14:conditionalFormatting>
        <x14:conditionalFormatting xmlns:xm="http://schemas.microsoft.com/office/excel/2006/main">
          <x14:cfRule type="expression" priority="4691674" id="{2B5C1F1B-3C3D-4CA3-BC64-0E98422075B6}">
            <xm:f>$AU$4='Data entry'!$R19</xm:f>
            <x14:dxf>
              <fill>
                <patternFill>
                  <bgColor rgb="FFFFFF00"/>
                </patternFill>
              </fill>
            </x14:dxf>
          </x14:cfRule>
          <xm:sqref>AG44:AU44</xm:sqref>
        </x14:conditionalFormatting>
        <x14:conditionalFormatting xmlns:xm="http://schemas.microsoft.com/office/excel/2006/main">
          <x14:cfRule type="expression" priority="4691675" id="{B87A1285-B003-4855-8F4B-53C391BA10E6}">
            <xm:f>$AV$4='Data entry'!$R19</xm:f>
            <x14:dxf>
              <fill>
                <patternFill>
                  <bgColor rgb="FFFF0000"/>
                </patternFill>
              </fill>
            </x14:dxf>
          </x14:cfRule>
          <xm:sqref>AT45:BF45</xm:sqref>
        </x14:conditionalFormatting>
        <x14:conditionalFormatting xmlns:xm="http://schemas.microsoft.com/office/excel/2006/main">
          <x14:cfRule type="expression" priority="4691676" id="{338EE31C-78DB-4818-B837-0380F9E457FA}">
            <xm:f>$AV$4='Data entry'!$R19</xm:f>
            <x14:dxf>
              <fill>
                <patternFill>
                  <bgColor rgb="FFFFFF00"/>
                </patternFill>
              </fill>
            </x14:dxf>
          </x14:cfRule>
          <xm:sqref>AH44:AV44</xm:sqref>
        </x14:conditionalFormatting>
        <x14:conditionalFormatting xmlns:xm="http://schemas.microsoft.com/office/excel/2006/main">
          <x14:cfRule type="expression" priority="4691677" id="{5C40EA66-2801-4C91-B885-BF6A1ECFC35C}">
            <xm:f>$AW$4='Data entry'!$R19</xm:f>
            <x14:dxf>
              <fill>
                <patternFill>
                  <bgColor rgb="FFFF0000"/>
                </patternFill>
              </fill>
            </x14:dxf>
          </x14:cfRule>
          <xm:sqref>AU45:BG45</xm:sqref>
        </x14:conditionalFormatting>
        <x14:conditionalFormatting xmlns:xm="http://schemas.microsoft.com/office/excel/2006/main">
          <x14:cfRule type="expression" priority="4691678" id="{51BCD5CE-DF86-4C2F-8A81-DDA1EFD6C8F7}">
            <xm:f>$AW$4='Data entry'!$R19</xm:f>
            <x14:dxf>
              <fill>
                <patternFill>
                  <bgColor rgb="FFFFFF00"/>
                </patternFill>
              </fill>
            </x14:dxf>
          </x14:cfRule>
          <xm:sqref>AI44:AW44</xm:sqref>
        </x14:conditionalFormatting>
        <x14:conditionalFormatting xmlns:xm="http://schemas.microsoft.com/office/excel/2006/main">
          <x14:cfRule type="expression" priority="4691679" id="{DC2ED5A0-8917-4877-8CD3-9DF9BE5993C9}">
            <xm:f>$AX$4='Data entry'!$R19</xm:f>
            <x14:dxf>
              <fill>
                <patternFill>
                  <bgColor rgb="FFFF0000"/>
                </patternFill>
              </fill>
            </x14:dxf>
          </x14:cfRule>
          <xm:sqref>AV45:BH45</xm:sqref>
        </x14:conditionalFormatting>
        <x14:conditionalFormatting xmlns:xm="http://schemas.microsoft.com/office/excel/2006/main">
          <x14:cfRule type="expression" priority="4691680" id="{59B31869-20F9-45BD-BC80-0A6C8945CE2C}">
            <xm:f>$AX$4='Data entry'!$R19</xm:f>
            <x14:dxf>
              <fill>
                <patternFill>
                  <bgColor rgb="FFFFFF00"/>
                </patternFill>
              </fill>
            </x14:dxf>
          </x14:cfRule>
          <xm:sqref>AJ44:AX44</xm:sqref>
        </x14:conditionalFormatting>
        <x14:conditionalFormatting xmlns:xm="http://schemas.microsoft.com/office/excel/2006/main">
          <x14:cfRule type="expression" priority="4691681" id="{D4208FA0-4262-4037-934C-6D0742B2AD8E}">
            <xm:f>$AY$4='Data entry'!$R19</xm:f>
            <x14:dxf>
              <fill>
                <patternFill>
                  <bgColor rgb="FFFF0000"/>
                </patternFill>
              </fill>
            </x14:dxf>
          </x14:cfRule>
          <xm:sqref>AW45:BI45</xm:sqref>
        </x14:conditionalFormatting>
        <x14:conditionalFormatting xmlns:xm="http://schemas.microsoft.com/office/excel/2006/main">
          <x14:cfRule type="expression" priority="4691682" id="{04D6E423-18C7-42B2-A67D-F49D8E62B571}">
            <xm:f>$AY$4='Data entry'!$R19</xm:f>
            <x14:dxf>
              <fill>
                <patternFill>
                  <bgColor rgb="FFFFFF00"/>
                </patternFill>
              </fill>
            </x14:dxf>
          </x14:cfRule>
          <xm:sqref>AK44:AY44</xm:sqref>
        </x14:conditionalFormatting>
        <x14:conditionalFormatting xmlns:xm="http://schemas.microsoft.com/office/excel/2006/main">
          <x14:cfRule type="expression" priority="4691683" id="{A931C203-6E4B-4EBD-A2F4-1876881F48D4}">
            <xm:f>$AZ$4='Data entry'!$R19</xm:f>
            <x14:dxf>
              <fill>
                <patternFill>
                  <bgColor rgb="FFFF0000"/>
                </patternFill>
              </fill>
            </x14:dxf>
          </x14:cfRule>
          <xm:sqref>AX45:BJ45</xm:sqref>
        </x14:conditionalFormatting>
        <x14:conditionalFormatting xmlns:xm="http://schemas.microsoft.com/office/excel/2006/main">
          <x14:cfRule type="expression" priority="4691684" id="{092D9100-E652-40FE-8CAA-720DC0681250}">
            <xm:f>$AZ$4='Data entry'!$R19</xm:f>
            <x14:dxf>
              <fill>
                <patternFill>
                  <bgColor rgb="FFFFFF00"/>
                </patternFill>
              </fill>
            </x14:dxf>
          </x14:cfRule>
          <xm:sqref>AL44:AZ44</xm:sqref>
        </x14:conditionalFormatting>
        <x14:conditionalFormatting xmlns:xm="http://schemas.microsoft.com/office/excel/2006/main">
          <x14:cfRule type="expression" priority="4691685" id="{A3C7E6BE-A225-483C-A983-A915DB662C52}">
            <xm:f>$BA$4='Data entry'!$R19</xm:f>
            <x14:dxf>
              <fill>
                <patternFill>
                  <bgColor rgb="FFFF0000"/>
                </patternFill>
              </fill>
            </x14:dxf>
          </x14:cfRule>
          <xm:sqref>AY45:BK45</xm:sqref>
        </x14:conditionalFormatting>
        <x14:conditionalFormatting xmlns:xm="http://schemas.microsoft.com/office/excel/2006/main">
          <x14:cfRule type="expression" priority="4691686" id="{F5CF569A-8AFA-4CFF-8BD3-F04D8927A99F}">
            <xm:f>$BA$4='Data entry'!$R19</xm:f>
            <x14:dxf>
              <fill>
                <patternFill>
                  <bgColor rgb="FFFFFF00"/>
                </patternFill>
              </fill>
            </x14:dxf>
          </x14:cfRule>
          <xm:sqref>AM44:BA44</xm:sqref>
        </x14:conditionalFormatting>
        <x14:conditionalFormatting xmlns:xm="http://schemas.microsoft.com/office/excel/2006/main">
          <x14:cfRule type="expression" priority="4691687" id="{E4DAC94A-7983-4BFB-A87B-45B58561841A}">
            <xm:f>$BB$4='Data entry'!$R19</xm:f>
            <x14:dxf>
              <fill>
                <patternFill>
                  <bgColor rgb="FFFF0000"/>
                </patternFill>
              </fill>
            </x14:dxf>
          </x14:cfRule>
          <xm:sqref>AZ45:BL45</xm:sqref>
        </x14:conditionalFormatting>
        <x14:conditionalFormatting xmlns:xm="http://schemas.microsoft.com/office/excel/2006/main">
          <x14:cfRule type="expression" priority="4691688" id="{E63849C5-F39B-4B0E-8F8A-B532EDF2CBAE}">
            <xm:f>$BB$4='Data entry'!$R19</xm:f>
            <x14:dxf>
              <fill>
                <patternFill>
                  <bgColor rgb="FFFFFF00"/>
                </patternFill>
              </fill>
            </x14:dxf>
          </x14:cfRule>
          <xm:sqref>AN44:BB44</xm:sqref>
        </x14:conditionalFormatting>
        <x14:conditionalFormatting xmlns:xm="http://schemas.microsoft.com/office/excel/2006/main">
          <x14:cfRule type="expression" priority="4691689" id="{4FDC32D3-C1F5-455D-9AA4-A03359B72526}">
            <xm:f>$BC$4='Data entry'!$R19</xm:f>
            <x14:dxf>
              <fill>
                <patternFill>
                  <bgColor rgb="FFFF0000"/>
                </patternFill>
              </fill>
            </x14:dxf>
          </x14:cfRule>
          <xm:sqref>BA45:BM45</xm:sqref>
        </x14:conditionalFormatting>
        <x14:conditionalFormatting xmlns:xm="http://schemas.microsoft.com/office/excel/2006/main">
          <x14:cfRule type="expression" priority="4691690" id="{5F0D0C60-B233-4C56-B05D-98C99990877F}">
            <xm:f>$BC$4='Data entry'!$R19</xm:f>
            <x14:dxf>
              <fill>
                <patternFill>
                  <bgColor rgb="FFFFFF00"/>
                </patternFill>
              </fill>
            </x14:dxf>
          </x14:cfRule>
          <xm:sqref>AO44:BC44</xm:sqref>
        </x14:conditionalFormatting>
        <x14:conditionalFormatting xmlns:xm="http://schemas.microsoft.com/office/excel/2006/main">
          <x14:cfRule type="expression" priority="4691691" id="{9EBCB60F-8135-43B6-A0F3-548D4092CC98}">
            <xm:f>$BD$4='Data entry'!$R19</xm:f>
            <x14:dxf>
              <fill>
                <patternFill>
                  <bgColor rgb="FFFF0000"/>
                </patternFill>
              </fill>
            </x14:dxf>
          </x14:cfRule>
          <xm:sqref>BB45:BN45</xm:sqref>
        </x14:conditionalFormatting>
        <x14:conditionalFormatting xmlns:xm="http://schemas.microsoft.com/office/excel/2006/main">
          <x14:cfRule type="expression" priority="4691692" id="{961AF346-4A73-41ED-9A8D-27D431B09C05}">
            <xm:f>$BD$4='Data entry'!$R19</xm:f>
            <x14:dxf>
              <fill>
                <patternFill>
                  <bgColor rgb="FFFFFF00"/>
                </patternFill>
              </fill>
            </x14:dxf>
          </x14:cfRule>
          <xm:sqref>AP44:BD44</xm:sqref>
        </x14:conditionalFormatting>
        <x14:conditionalFormatting xmlns:xm="http://schemas.microsoft.com/office/excel/2006/main">
          <x14:cfRule type="expression" priority="4691693" id="{5A887026-27CD-4F8C-8BA6-1E92704C1CA6}">
            <xm:f>$BE$4='Data entry'!$R19</xm:f>
            <x14:dxf>
              <fill>
                <patternFill>
                  <bgColor rgb="FFFF0000"/>
                </patternFill>
              </fill>
            </x14:dxf>
          </x14:cfRule>
          <xm:sqref>BC45:BO45</xm:sqref>
        </x14:conditionalFormatting>
        <x14:conditionalFormatting xmlns:xm="http://schemas.microsoft.com/office/excel/2006/main">
          <x14:cfRule type="expression" priority="4691694" id="{7F46217B-A1E9-4515-B31E-E756FCD7C6D9}">
            <xm:f>$BE$4='Data entry'!$R19</xm:f>
            <x14:dxf>
              <fill>
                <patternFill>
                  <bgColor rgb="FFFFFF00"/>
                </patternFill>
              </fill>
            </x14:dxf>
          </x14:cfRule>
          <xm:sqref>AP44:BE44</xm:sqref>
        </x14:conditionalFormatting>
        <x14:conditionalFormatting xmlns:xm="http://schemas.microsoft.com/office/excel/2006/main">
          <x14:cfRule type="expression" priority="4691695" id="{F4D9285C-8CA0-4EF1-943E-6A462D47CC77}">
            <xm:f>$BF$4='Data entry'!$R19</xm:f>
            <x14:dxf>
              <fill>
                <patternFill>
                  <bgColor rgb="FFFF0000"/>
                </patternFill>
              </fill>
            </x14:dxf>
          </x14:cfRule>
          <xm:sqref>BD45:BP45</xm:sqref>
        </x14:conditionalFormatting>
        <x14:conditionalFormatting xmlns:xm="http://schemas.microsoft.com/office/excel/2006/main">
          <x14:cfRule type="expression" priority="4691696" id="{B9E4407D-651D-4DC0-9D61-3271D62A65E9}">
            <xm:f>$BF$4='Data entry'!$R19</xm:f>
            <x14:dxf>
              <fill>
                <patternFill>
                  <bgColor rgb="FFFFFF00"/>
                </patternFill>
              </fill>
            </x14:dxf>
          </x14:cfRule>
          <xm:sqref>AR44:BF44</xm:sqref>
        </x14:conditionalFormatting>
        <x14:conditionalFormatting xmlns:xm="http://schemas.microsoft.com/office/excel/2006/main">
          <x14:cfRule type="expression" priority="4691697" id="{4CDC062F-DDFF-4556-B941-08F919727F69}">
            <xm:f>$BG$4='Data entry'!$R19</xm:f>
            <x14:dxf>
              <fill>
                <patternFill>
                  <bgColor rgb="FFFF0000"/>
                </patternFill>
              </fill>
            </x14:dxf>
          </x14:cfRule>
          <xm:sqref>BE45:BQ45</xm:sqref>
        </x14:conditionalFormatting>
        <x14:conditionalFormatting xmlns:xm="http://schemas.microsoft.com/office/excel/2006/main">
          <x14:cfRule type="expression" priority="4691698" id="{789184FA-9055-433B-8A1B-92C7ED59E81F}">
            <xm:f>$BG$4='Data entry'!$R19</xm:f>
            <x14:dxf>
              <fill>
                <patternFill>
                  <bgColor rgb="FFFFFF00"/>
                </patternFill>
              </fill>
            </x14:dxf>
          </x14:cfRule>
          <xm:sqref>AS44:BG44</xm:sqref>
        </x14:conditionalFormatting>
        <x14:conditionalFormatting xmlns:xm="http://schemas.microsoft.com/office/excel/2006/main">
          <x14:cfRule type="expression" priority="4691699" id="{58651E5C-09C9-46C1-B95C-E8A578A49E15}">
            <xm:f>$BH$4='Data entry'!$R19</xm:f>
            <x14:dxf>
              <fill>
                <patternFill>
                  <bgColor rgb="FFFFFF00"/>
                </patternFill>
              </fill>
            </x14:dxf>
          </x14:cfRule>
          <xm:sqref>AT44:BH44</xm:sqref>
        </x14:conditionalFormatting>
        <x14:conditionalFormatting xmlns:xm="http://schemas.microsoft.com/office/excel/2006/main">
          <x14:cfRule type="expression" priority="4691700" id="{97B30B86-8311-4DC0-A533-8C0D53F37839}">
            <xm:f>$BH$4='Data entry'!$R19</xm:f>
            <x14:dxf>
              <fill>
                <patternFill>
                  <bgColor rgb="FFFF0000"/>
                </patternFill>
              </fill>
            </x14:dxf>
          </x14:cfRule>
          <xm:sqref>BF45:BR45</xm:sqref>
        </x14:conditionalFormatting>
        <x14:conditionalFormatting xmlns:xm="http://schemas.microsoft.com/office/excel/2006/main">
          <x14:cfRule type="expression" priority="4691701" id="{78344C0C-5AEA-40B1-A20C-6D77DF58E1F5}">
            <xm:f>$BI$4='Data entry'!$R19</xm:f>
            <x14:dxf>
              <fill>
                <patternFill>
                  <bgColor rgb="FFFFFF00"/>
                </patternFill>
              </fill>
            </x14:dxf>
          </x14:cfRule>
          <xm:sqref>AU44:BI44</xm:sqref>
        </x14:conditionalFormatting>
        <x14:conditionalFormatting xmlns:xm="http://schemas.microsoft.com/office/excel/2006/main">
          <x14:cfRule type="expression" priority="4691702" id="{A9CE044F-482E-4F25-B28F-89ACC58502B1}">
            <xm:f>$BI$4='Data entry'!$R19</xm:f>
            <x14:dxf>
              <fill>
                <patternFill>
                  <bgColor rgb="FFFF0000"/>
                </patternFill>
              </fill>
            </x14:dxf>
          </x14:cfRule>
          <xm:sqref>BG45:BS45</xm:sqref>
        </x14:conditionalFormatting>
        <x14:conditionalFormatting xmlns:xm="http://schemas.microsoft.com/office/excel/2006/main">
          <x14:cfRule type="expression" priority="4691703" id="{F63BE0EB-3C71-4456-BEF0-11180AB7A8BB}">
            <xm:f>$BJ$4='Data entry'!$R19</xm:f>
            <x14:dxf>
              <fill>
                <patternFill>
                  <bgColor rgb="FFFFFF00"/>
                </patternFill>
              </fill>
            </x14:dxf>
          </x14:cfRule>
          <xm:sqref>AV44:BJ44</xm:sqref>
        </x14:conditionalFormatting>
        <x14:conditionalFormatting xmlns:xm="http://schemas.microsoft.com/office/excel/2006/main">
          <x14:cfRule type="expression" priority="4691704" id="{478A5DCB-1DAA-4497-A6CC-B4F01FB96D10}">
            <xm:f>$BJ$4='Data entry'!$R19</xm:f>
            <x14:dxf>
              <fill>
                <patternFill>
                  <bgColor rgb="FFFF0000"/>
                </patternFill>
              </fill>
            </x14:dxf>
          </x14:cfRule>
          <xm:sqref>BH45:BT45</xm:sqref>
        </x14:conditionalFormatting>
        <x14:conditionalFormatting xmlns:xm="http://schemas.microsoft.com/office/excel/2006/main">
          <x14:cfRule type="expression" priority="4691705" id="{CDE4AD5B-65A6-4FA4-9EC0-8D05F22312A9}">
            <xm:f>$BK$4='Data entry'!$R19</xm:f>
            <x14:dxf>
              <fill>
                <patternFill>
                  <bgColor rgb="FFFF0000"/>
                </patternFill>
              </fill>
            </x14:dxf>
          </x14:cfRule>
          <xm:sqref>BI45:BU45</xm:sqref>
        </x14:conditionalFormatting>
        <x14:conditionalFormatting xmlns:xm="http://schemas.microsoft.com/office/excel/2006/main">
          <x14:cfRule type="expression" priority="4691706" id="{AB32E790-6CD8-4D11-9A69-57D785FE4BBC}">
            <xm:f>$BK$4='Data entry'!$R19</xm:f>
            <x14:dxf>
              <fill>
                <patternFill>
                  <bgColor rgb="FFFFFF00"/>
                </patternFill>
              </fill>
            </x14:dxf>
          </x14:cfRule>
          <xm:sqref>AW44:BK44</xm:sqref>
        </x14:conditionalFormatting>
        <x14:conditionalFormatting xmlns:xm="http://schemas.microsoft.com/office/excel/2006/main">
          <x14:cfRule type="expression" priority="4691707" id="{99810EB9-805C-43D8-852A-EEECE7874CDB}">
            <xm:f>$BL$4='Data entry'!$R19</xm:f>
            <x14:dxf>
              <fill>
                <patternFill>
                  <bgColor rgb="FFFF0000"/>
                </patternFill>
              </fill>
            </x14:dxf>
          </x14:cfRule>
          <xm:sqref>BJ45:BV45</xm:sqref>
        </x14:conditionalFormatting>
        <x14:conditionalFormatting xmlns:xm="http://schemas.microsoft.com/office/excel/2006/main">
          <x14:cfRule type="expression" priority="4691708" id="{BF5F5475-4E46-479C-97A6-D5175F5D1803}">
            <xm:f>$BL$4='Data entry'!$R19</xm:f>
            <x14:dxf>
              <fill>
                <patternFill>
                  <bgColor rgb="FFFFFF00"/>
                </patternFill>
              </fill>
            </x14:dxf>
          </x14:cfRule>
          <xm:sqref>AX44:BL44</xm:sqref>
        </x14:conditionalFormatting>
        <x14:conditionalFormatting xmlns:xm="http://schemas.microsoft.com/office/excel/2006/main">
          <x14:cfRule type="expression" priority="4691709" id="{B86FDF2F-16C9-46B1-847E-7EA1A8A34B9D}">
            <xm:f>$BM$4='Data entry'!$R19</xm:f>
            <x14:dxf>
              <fill>
                <patternFill>
                  <bgColor rgb="FFFF0000"/>
                </patternFill>
              </fill>
            </x14:dxf>
          </x14:cfRule>
          <xm:sqref>BK45:BW45</xm:sqref>
        </x14:conditionalFormatting>
        <x14:conditionalFormatting xmlns:xm="http://schemas.microsoft.com/office/excel/2006/main">
          <x14:cfRule type="expression" priority="4691710" id="{72FD189F-4CED-400D-9FEF-21A328970A4D}">
            <xm:f>$BM$4='Data entry'!$R19</xm:f>
            <x14:dxf>
              <fill>
                <patternFill>
                  <bgColor rgb="FFFFFF00"/>
                </patternFill>
              </fill>
            </x14:dxf>
          </x14:cfRule>
          <xm:sqref>AY44:BM44</xm:sqref>
        </x14:conditionalFormatting>
        <x14:conditionalFormatting xmlns:xm="http://schemas.microsoft.com/office/excel/2006/main">
          <x14:cfRule type="expression" priority="4691711" id="{BBBBF859-D5A7-4F55-BFBF-8A77E3357590}">
            <xm:f>$BN$4='Data entry'!$R19</xm:f>
            <x14:dxf>
              <fill>
                <patternFill>
                  <bgColor rgb="FFFF0000"/>
                </patternFill>
              </fill>
            </x14:dxf>
          </x14:cfRule>
          <xm:sqref>BL45:BX45</xm:sqref>
        </x14:conditionalFormatting>
        <x14:conditionalFormatting xmlns:xm="http://schemas.microsoft.com/office/excel/2006/main">
          <x14:cfRule type="expression" priority="4691712" id="{50CB1D75-0FD5-4D24-92B1-E8A41DC6575C}">
            <xm:f>$BN$4='Data entry'!$R19</xm:f>
            <x14:dxf>
              <fill>
                <patternFill>
                  <bgColor rgb="FFFFFF00"/>
                </patternFill>
              </fill>
            </x14:dxf>
          </x14:cfRule>
          <xm:sqref>AZ44:BN44</xm:sqref>
        </x14:conditionalFormatting>
        <x14:conditionalFormatting xmlns:xm="http://schemas.microsoft.com/office/excel/2006/main">
          <x14:cfRule type="expression" priority="4691713" id="{9EF3226D-E8FC-496B-A6FF-71776AEA54D1}">
            <xm:f>$BO$4='Data entry'!$R19</xm:f>
            <x14:dxf>
              <fill>
                <patternFill>
                  <bgColor rgb="FFFF0000"/>
                </patternFill>
              </fill>
            </x14:dxf>
          </x14:cfRule>
          <xm:sqref>BM45:BY45</xm:sqref>
        </x14:conditionalFormatting>
        <x14:conditionalFormatting xmlns:xm="http://schemas.microsoft.com/office/excel/2006/main">
          <x14:cfRule type="expression" priority="4691714" id="{3B86C801-ECFE-4D05-8AA5-1581116BAFBC}">
            <xm:f>$BO$4='Data entry'!$R19</xm:f>
            <x14:dxf>
              <fill>
                <patternFill>
                  <bgColor rgb="FFFFFF00"/>
                </patternFill>
              </fill>
            </x14:dxf>
          </x14:cfRule>
          <xm:sqref>BA44:BO44</xm:sqref>
        </x14:conditionalFormatting>
        <x14:conditionalFormatting xmlns:xm="http://schemas.microsoft.com/office/excel/2006/main">
          <x14:cfRule type="expression" priority="4691715" id="{058A23EC-3371-4A02-9F20-1ECA603AC6BC}">
            <xm:f>$BP$4='Data entry'!$R19</xm:f>
            <x14:dxf>
              <fill>
                <patternFill>
                  <bgColor rgb="FFFF0000"/>
                </patternFill>
              </fill>
            </x14:dxf>
          </x14:cfRule>
          <xm:sqref>BN45:BZ45</xm:sqref>
        </x14:conditionalFormatting>
        <x14:conditionalFormatting xmlns:xm="http://schemas.microsoft.com/office/excel/2006/main">
          <x14:cfRule type="expression" priority="4691716" id="{3E711E31-3992-4555-AB22-87133D60CD15}">
            <xm:f>$BP$4='Data entry'!$R19</xm:f>
            <x14:dxf>
              <fill>
                <patternFill>
                  <bgColor rgb="FFFFFF00"/>
                </patternFill>
              </fill>
            </x14:dxf>
          </x14:cfRule>
          <xm:sqref>BB44:BP44</xm:sqref>
        </x14:conditionalFormatting>
        <x14:conditionalFormatting xmlns:xm="http://schemas.microsoft.com/office/excel/2006/main">
          <x14:cfRule type="expression" priority="4691717" id="{23E9F8B9-37D5-4730-9453-6F23E8ECBBE3}">
            <xm:f>$BQ$4='Data entry'!$R19</xm:f>
            <x14:dxf>
              <fill>
                <patternFill>
                  <bgColor rgb="FFFFFF00"/>
                </patternFill>
              </fill>
            </x14:dxf>
          </x14:cfRule>
          <xm:sqref>BC44:BQ44</xm:sqref>
        </x14:conditionalFormatting>
        <x14:conditionalFormatting xmlns:xm="http://schemas.microsoft.com/office/excel/2006/main">
          <x14:cfRule type="expression" priority="4691718" id="{BCFD92F6-AAD3-44FD-BC61-A292A81B883E}">
            <xm:f>$BQ$4='Data entry'!$R19</xm:f>
            <x14:dxf>
              <fill>
                <patternFill>
                  <bgColor rgb="FFFF0000"/>
                </patternFill>
              </fill>
            </x14:dxf>
          </x14:cfRule>
          <xm:sqref>BO45:CA45</xm:sqref>
        </x14:conditionalFormatting>
        <x14:conditionalFormatting xmlns:xm="http://schemas.microsoft.com/office/excel/2006/main">
          <x14:cfRule type="expression" priority="4691719" id="{357D60E5-F356-477E-8020-A18F42C02832}">
            <xm:f>$BR$4='Data entry'!$R19</xm:f>
            <x14:dxf>
              <fill>
                <patternFill>
                  <bgColor rgb="FFFFFF00"/>
                </patternFill>
              </fill>
            </x14:dxf>
          </x14:cfRule>
          <xm:sqref>BD44:BR44</xm:sqref>
        </x14:conditionalFormatting>
        <x14:conditionalFormatting xmlns:xm="http://schemas.microsoft.com/office/excel/2006/main">
          <x14:cfRule type="expression" priority="4691720" id="{DA2B6511-43B3-432D-B6AA-1DB1188B90A6}">
            <xm:f>$BR$4='Data entry'!$R19</xm:f>
            <x14:dxf>
              <fill>
                <patternFill>
                  <bgColor rgb="FFFF0000"/>
                </patternFill>
              </fill>
            </x14:dxf>
          </x14:cfRule>
          <xm:sqref>BP45:CB45</xm:sqref>
        </x14:conditionalFormatting>
        <x14:conditionalFormatting xmlns:xm="http://schemas.microsoft.com/office/excel/2006/main">
          <x14:cfRule type="expression" priority="4691721" id="{0D5F64E4-4136-4BFA-B833-CC8578525D9C}">
            <xm:f>$BS$4='Data entry'!$R19</xm:f>
            <x14:dxf>
              <fill>
                <patternFill>
                  <bgColor rgb="FFFFFF00"/>
                </patternFill>
              </fill>
            </x14:dxf>
          </x14:cfRule>
          <xm:sqref>BE44:BS44</xm:sqref>
        </x14:conditionalFormatting>
        <x14:conditionalFormatting xmlns:xm="http://schemas.microsoft.com/office/excel/2006/main">
          <x14:cfRule type="expression" priority="4691722" id="{AC94D468-F078-4AE2-8771-102996E07B09}">
            <xm:f>$BS$4='Data entry'!$R19</xm:f>
            <x14:dxf>
              <fill>
                <patternFill>
                  <bgColor rgb="FFFF0000"/>
                </patternFill>
              </fill>
            </x14:dxf>
          </x14:cfRule>
          <xm:sqref>BQ45:CC45</xm:sqref>
        </x14:conditionalFormatting>
        <x14:conditionalFormatting xmlns:xm="http://schemas.microsoft.com/office/excel/2006/main">
          <x14:cfRule type="expression" priority="4691723" id="{10E78F76-181E-4F19-9F89-7DD36D3EFE30}">
            <xm:f>$BT$4='Data entry'!$R19</xm:f>
            <x14:dxf>
              <fill>
                <patternFill>
                  <bgColor rgb="FFFFFF00"/>
                </patternFill>
              </fill>
            </x14:dxf>
          </x14:cfRule>
          <xm:sqref>BF44:BT44</xm:sqref>
        </x14:conditionalFormatting>
        <x14:conditionalFormatting xmlns:xm="http://schemas.microsoft.com/office/excel/2006/main">
          <x14:cfRule type="expression" priority="4691724" id="{6A5FADC6-9512-4EFB-90A5-7B5244D10D1F}">
            <xm:f>$BT$4='Data entry'!$R19</xm:f>
            <x14:dxf>
              <fill>
                <patternFill>
                  <bgColor rgb="FFFF0000"/>
                </patternFill>
              </fill>
            </x14:dxf>
          </x14:cfRule>
          <xm:sqref>BR45:CC45</xm:sqref>
        </x14:conditionalFormatting>
        <x14:conditionalFormatting xmlns:xm="http://schemas.microsoft.com/office/excel/2006/main">
          <x14:cfRule type="expression" priority="4691725" id="{A51139D1-8841-4B96-B8CB-DFE3808765CF}">
            <xm:f>$BU$4='Data entry'!$R19</xm:f>
            <x14:dxf>
              <fill>
                <patternFill>
                  <bgColor rgb="FFFFFF00"/>
                </patternFill>
              </fill>
            </x14:dxf>
          </x14:cfRule>
          <xm:sqref>BG44:BU44</xm:sqref>
        </x14:conditionalFormatting>
        <x14:conditionalFormatting xmlns:xm="http://schemas.microsoft.com/office/excel/2006/main">
          <x14:cfRule type="expression" priority="4691726" id="{55CA7258-760F-4BFF-ACB5-A70FEB3E7981}">
            <xm:f>$BU$4='Data entry'!$R19</xm:f>
            <x14:dxf>
              <fill>
                <patternFill>
                  <bgColor rgb="FFFF0000"/>
                </patternFill>
              </fill>
            </x14:dxf>
          </x14:cfRule>
          <xm:sqref>BS45:CC45</xm:sqref>
        </x14:conditionalFormatting>
        <x14:conditionalFormatting xmlns:xm="http://schemas.microsoft.com/office/excel/2006/main">
          <x14:cfRule type="expression" priority="4691727" id="{A922B218-64DB-4CBB-9AB8-FE0EBB44E09E}">
            <xm:f>$BV$4='Data entry'!$R19</xm:f>
            <x14:dxf>
              <fill>
                <patternFill>
                  <bgColor rgb="FFFFFF00"/>
                </patternFill>
              </fill>
            </x14:dxf>
          </x14:cfRule>
          <xm:sqref>BH44:BV44</xm:sqref>
        </x14:conditionalFormatting>
        <x14:conditionalFormatting xmlns:xm="http://schemas.microsoft.com/office/excel/2006/main">
          <x14:cfRule type="expression" priority="4691728" id="{C98E908A-CD31-4778-B41C-7AFB9DBE639A}">
            <xm:f>$BV$4='Data entry'!$R19</xm:f>
            <x14:dxf>
              <fill>
                <patternFill>
                  <bgColor rgb="FFFF0000"/>
                </patternFill>
              </fill>
            </x14:dxf>
          </x14:cfRule>
          <xm:sqref>BT45:CC45</xm:sqref>
        </x14:conditionalFormatting>
        <x14:conditionalFormatting xmlns:xm="http://schemas.microsoft.com/office/excel/2006/main">
          <x14:cfRule type="expression" priority="4691729" id="{465CCCA3-B4DB-4B61-8AC7-8A5E4CEC9E3F}">
            <xm:f>$BW$4='Data entry'!$R19</xm:f>
            <x14:dxf>
              <fill>
                <patternFill>
                  <bgColor rgb="FFFFFF00"/>
                </patternFill>
              </fill>
            </x14:dxf>
          </x14:cfRule>
          <xm:sqref>BI44:BW44</xm:sqref>
        </x14:conditionalFormatting>
        <x14:conditionalFormatting xmlns:xm="http://schemas.microsoft.com/office/excel/2006/main">
          <x14:cfRule type="expression" priority="4691730" id="{37566F97-6D06-400B-A709-FE657B07687F}">
            <xm:f>$BW$4='Data entry'!$R19</xm:f>
            <x14:dxf>
              <fill>
                <patternFill>
                  <bgColor rgb="FFFF0000"/>
                </patternFill>
              </fill>
            </x14:dxf>
          </x14:cfRule>
          <xm:sqref>BU45:CC45</xm:sqref>
        </x14:conditionalFormatting>
        <x14:conditionalFormatting xmlns:xm="http://schemas.microsoft.com/office/excel/2006/main">
          <x14:cfRule type="expression" priority="4691731" id="{D8FBA3AC-5CF0-4E45-97CA-1D4DEE729ADA}">
            <xm:f>$BX$4='Data entry'!$R19</xm:f>
            <x14:dxf>
              <fill>
                <patternFill>
                  <bgColor rgb="FFFFFF00"/>
                </patternFill>
              </fill>
            </x14:dxf>
          </x14:cfRule>
          <xm:sqref>BJ44:BX44</xm:sqref>
        </x14:conditionalFormatting>
        <x14:conditionalFormatting xmlns:xm="http://schemas.microsoft.com/office/excel/2006/main">
          <x14:cfRule type="expression" priority="4691732" id="{E077C84B-A94F-431D-B232-4AFCC7C64F54}">
            <xm:f>$BX$4='Data entry'!$R19</xm:f>
            <x14:dxf>
              <fill>
                <patternFill>
                  <bgColor rgb="FFFF0000"/>
                </patternFill>
              </fill>
            </x14:dxf>
          </x14:cfRule>
          <xm:sqref>BV45:CC45</xm:sqref>
        </x14:conditionalFormatting>
        <x14:conditionalFormatting xmlns:xm="http://schemas.microsoft.com/office/excel/2006/main">
          <x14:cfRule type="expression" priority="4691733" id="{63783BA8-0C97-4A44-86FD-7A2BCF1B9957}">
            <xm:f>$BY$4='Data entry'!$R19</xm:f>
            <x14:dxf>
              <fill>
                <patternFill>
                  <bgColor rgb="FFFFFF00"/>
                </patternFill>
              </fill>
            </x14:dxf>
          </x14:cfRule>
          <xm:sqref>BK44:BY44</xm:sqref>
        </x14:conditionalFormatting>
        <x14:conditionalFormatting xmlns:xm="http://schemas.microsoft.com/office/excel/2006/main">
          <x14:cfRule type="expression" priority="4691734" id="{BB8DB8B4-B71B-46D2-AEE7-346F16103F74}">
            <xm:f>$BY$4='Data entry'!$R19</xm:f>
            <x14:dxf>
              <fill>
                <patternFill>
                  <bgColor rgb="FFFF0000"/>
                </patternFill>
              </fill>
            </x14:dxf>
          </x14:cfRule>
          <xm:sqref>BW45:CC45</xm:sqref>
        </x14:conditionalFormatting>
        <x14:conditionalFormatting xmlns:xm="http://schemas.microsoft.com/office/excel/2006/main">
          <x14:cfRule type="expression" priority="4691735" id="{1B638B98-2B06-4FEB-90C1-446A3E0A3979}">
            <xm:f>$BZ$4='Data entry'!$R19</xm:f>
            <x14:dxf>
              <fill>
                <patternFill>
                  <bgColor rgb="FFFFFF00"/>
                </patternFill>
              </fill>
            </x14:dxf>
          </x14:cfRule>
          <xm:sqref>BL44:BZ44</xm:sqref>
        </x14:conditionalFormatting>
        <x14:conditionalFormatting xmlns:xm="http://schemas.microsoft.com/office/excel/2006/main">
          <x14:cfRule type="expression" priority="4691736" id="{D3A0A2F8-D1B2-4DC5-B2A9-0EF53074E685}">
            <xm:f>$BZ$4='Data entry'!$R19</xm:f>
            <x14:dxf>
              <fill>
                <patternFill>
                  <bgColor rgb="FFFF0000"/>
                </patternFill>
              </fill>
            </x14:dxf>
          </x14:cfRule>
          <xm:sqref>BX45:CC45</xm:sqref>
        </x14:conditionalFormatting>
        <x14:conditionalFormatting xmlns:xm="http://schemas.microsoft.com/office/excel/2006/main">
          <x14:cfRule type="expression" priority="4691737" id="{83F6D018-7D3B-4D33-9998-11572F2F2FF5}">
            <xm:f>$CA$4='Data entry'!$R19</xm:f>
            <x14:dxf>
              <fill>
                <patternFill>
                  <bgColor rgb="FFFFFF00"/>
                </patternFill>
              </fill>
            </x14:dxf>
          </x14:cfRule>
          <xm:sqref>BM44:CA44</xm:sqref>
        </x14:conditionalFormatting>
        <x14:conditionalFormatting xmlns:xm="http://schemas.microsoft.com/office/excel/2006/main">
          <x14:cfRule type="expression" priority="4691738" id="{8E6D0B51-5626-4ED9-9072-C7A2C139704F}">
            <xm:f>$CA$4='Data entry'!$R19</xm:f>
            <x14:dxf>
              <fill>
                <patternFill>
                  <bgColor rgb="FFFF0000"/>
                </patternFill>
              </fill>
            </x14:dxf>
          </x14:cfRule>
          <xm:sqref>BY45:CC45</xm:sqref>
        </x14:conditionalFormatting>
        <x14:conditionalFormatting xmlns:xm="http://schemas.microsoft.com/office/excel/2006/main">
          <x14:cfRule type="expression" priority="4691739" id="{E1886EE4-3BDE-43A9-9F4B-79377FEC37FE}">
            <xm:f>$CB$4='Data entry'!$R19</xm:f>
            <x14:dxf>
              <fill>
                <patternFill>
                  <bgColor rgb="FFFFFF00"/>
                </patternFill>
              </fill>
            </x14:dxf>
          </x14:cfRule>
          <xm:sqref>BN44:CB44</xm:sqref>
        </x14:conditionalFormatting>
        <x14:conditionalFormatting xmlns:xm="http://schemas.microsoft.com/office/excel/2006/main">
          <x14:cfRule type="expression" priority="4691740" id="{ADEF572A-6C18-4602-BB86-01C96D36E07E}">
            <xm:f>$CB$4='Data entry'!$R19</xm:f>
            <x14:dxf>
              <fill>
                <patternFill>
                  <bgColor rgb="FFFF0000"/>
                </patternFill>
              </fill>
            </x14:dxf>
          </x14:cfRule>
          <xm:sqref>BZ45:CC45</xm:sqref>
        </x14:conditionalFormatting>
        <x14:conditionalFormatting xmlns:xm="http://schemas.microsoft.com/office/excel/2006/main">
          <x14:cfRule type="expression" priority="4691741" id="{7984E1C9-E073-4955-8543-62145CB6D008}">
            <xm:f>$CC$4='Data entry'!$R19</xm:f>
            <x14:dxf>
              <fill>
                <patternFill>
                  <bgColor rgb="FFFFFF00"/>
                </patternFill>
              </fill>
            </x14:dxf>
          </x14:cfRule>
          <xm:sqref>BO44:CC44</xm:sqref>
        </x14:conditionalFormatting>
        <x14:conditionalFormatting xmlns:xm="http://schemas.microsoft.com/office/excel/2006/main">
          <x14:cfRule type="expression" priority="4691742" id="{18A957B3-59FA-4698-BA92-2A208FF18E2F}">
            <xm:f>$CC$4='Data entry'!$R19</xm:f>
            <x14:dxf>
              <fill>
                <patternFill>
                  <bgColor rgb="FFFF0000"/>
                </patternFill>
              </fill>
            </x14:dxf>
          </x14:cfRule>
          <xm:sqref>CA45:CC45</xm:sqref>
        </x14:conditionalFormatting>
        <x14:conditionalFormatting xmlns:xm="http://schemas.microsoft.com/office/excel/2006/main">
          <x14:cfRule type="expression" priority="4691829" id="{5B0DB825-B7C2-40AC-B7EF-F267F054CFB9}">
            <xm:f>$U$4='Data entry'!$R20</xm:f>
            <x14:dxf>
              <fill>
                <patternFill>
                  <bgColor rgb="FFFF0000"/>
                </patternFill>
              </fill>
            </x14:dxf>
          </x14:cfRule>
          <xm:sqref>S48:AE48</xm:sqref>
        </x14:conditionalFormatting>
        <x14:conditionalFormatting xmlns:xm="http://schemas.microsoft.com/office/excel/2006/main">
          <x14:cfRule type="expression" priority="4691830" id="{18311200-E2BB-400F-B594-3B9A2C6068C2}">
            <xm:f>$V$4='Data entry'!$R20</xm:f>
            <x14:dxf>
              <fill>
                <patternFill>
                  <bgColor rgb="FFFF0000"/>
                </patternFill>
              </fill>
            </x14:dxf>
          </x14:cfRule>
          <xm:sqref>T48:AF48</xm:sqref>
        </x14:conditionalFormatting>
        <x14:conditionalFormatting xmlns:xm="http://schemas.microsoft.com/office/excel/2006/main">
          <x14:cfRule type="expression" priority="4691831" id="{D6DFB621-1A58-4C59-A987-ECAD0EB2D32B}">
            <xm:f>$V$4='Data entry'!$R20</xm:f>
            <x14:dxf>
              <fill>
                <patternFill>
                  <bgColor rgb="FFFFFF00"/>
                </patternFill>
              </fill>
            </x14:dxf>
          </x14:cfRule>
          <xm:sqref>H47:V47</xm:sqref>
        </x14:conditionalFormatting>
        <x14:conditionalFormatting xmlns:xm="http://schemas.microsoft.com/office/excel/2006/main">
          <x14:cfRule type="expression" priority="4691832" id="{5F87A680-DC5F-433D-A779-B7A534ACCDA9}">
            <xm:f>$W$4='Data entry'!$R20</xm:f>
            <x14:dxf>
              <fill>
                <patternFill>
                  <bgColor rgb="FFFF0000"/>
                </patternFill>
              </fill>
            </x14:dxf>
          </x14:cfRule>
          <xm:sqref>U48:AG48</xm:sqref>
        </x14:conditionalFormatting>
        <x14:conditionalFormatting xmlns:xm="http://schemas.microsoft.com/office/excel/2006/main">
          <x14:cfRule type="expression" priority="4691833" id="{964539FF-A92C-4F68-B268-B7157A32678C}">
            <xm:f>$W$4='Data entry'!$R20</xm:f>
            <x14:dxf>
              <fill>
                <patternFill>
                  <bgColor rgb="FFFFFF00"/>
                </patternFill>
              </fill>
            </x14:dxf>
          </x14:cfRule>
          <xm:sqref>I47:W47</xm:sqref>
        </x14:conditionalFormatting>
        <x14:conditionalFormatting xmlns:xm="http://schemas.microsoft.com/office/excel/2006/main">
          <x14:cfRule type="expression" priority="4691834" id="{46C1533A-F090-4A90-9309-3F59EC3FD3B0}">
            <xm:f>$X$4='Data entry'!$R20</xm:f>
            <x14:dxf>
              <fill>
                <patternFill>
                  <bgColor rgb="FFFF0000"/>
                </patternFill>
              </fill>
            </x14:dxf>
          </x14:cfRule>
          <xm:sqref>V48:AH48</xm:sqref>
        </x14:conditionalFormatting>
        <x14:conditionalFormatting xmlns:xm="http://schemas.microsoft.com/office/excel/2006/main">
          <x14:cfRule type="expression" priority="4691835" id="{7C70E81C-DDD4-4D75-933A-4F6A39893184}">
            <xm:f>$X$4='Data entry'!$R20</xm:f>
            <x14:dxf>
              <fill>
                <patternFill>
                  <bgColor rgb="FFFFFF00"/>
                </patternFill>
              </fill>
            </x14:dxf>
          </x14:cfRule>
          <xm:sqref>J47:X47</xm:sqref>
        </x14:conditionalFormatting>
        <x14:conditionalFormatting xmlns:xm="http://schemas.microsoft.com/office/excel/2006/main">
          <x14:cfRule type="expression" priority="4691836" id="{561AF073-0EF8-4B72-A119-40A639C4359D}">
            <xm:f>$Y$4='Data entry'!$R20</xm:f>
            <x14:dxf>
              <fill>
                <patternFill>
                  <bgColor rgb="FFFF0000"/>
                </patternFill>
              </fill>
            </x14:dxf>
          </x14:cfRule>
          <xm:sqref>W48:AI48</xm:sqref>
        </x14:conditionalFormatting>
        <x14:conditionalFormatting xmlns:xm="http://schemas.microsoft.com/office/excel/2006/main">
          <x14:cfRule type="expression" priority="4691837" id="{F242E808-8F07-4A89-9524-7D4C767CE357}">
            <xm:f>$Y$4='Data entry'!$R20</xm:f>
            <x14:dxf>
              <fill>
                <patternFill>
                  <bgColor rgb="FFFFFF00"/>
                </patternFill>
              </fill>
            </x14:dxf>
          </x14:cfRule>
          <xm:sqref>K47:Y47</xm:sqref>
        </x14:conditionalFormatting>
        <x14:conditionalFormatting xmlns:xm="http://schemas.microsoft.com/office/excel/2006/main">
          <x14:cfRule type="expression" priority="4691838" id="{DD601058-982B-4218-BD9D-64BB823C2633}">
            <xm:f>$Z$4='Data entry'!$R20</xm:f>
            <x14:dxf>
              <fill>
                <patternFill>
                  <bgColor rgb="FFFF0000"/>
                </patternFill>
              </fill>
            </x14:dxf>
          </x14:cfRule>
          <xm:sqref>X48:AJ48</xm:sqref>
        </x14:conditionalFormatting>
        <x14:conditionalFormatting xmlns:xm="http://schemas.microsoft.com/office/excel/2006/main">
          <x14:cfRule type="expression" priority="4691839" id="{C9DB141D-79F6-4093-92A3-7BF7A1622985}">
            <xm:f>$Z$4='Data entry'!$R20</xm:f>
            <x14:dxf>
              <fill>
                <patternFill>
                  <bgColor rgb="FFFFFF00"/>
                </patternFill>
              </fill>
            </x14:dxf>
          </x14:cfRule>
          <xm:sqref>L47:Z47</xm:sqref>
        </x14:conditionalFormatting>
        <x14:conditionalFormatting xmlns:xm="http://schemas.microsoft.com/office/excel/2006/main">
          <x14:cfRule type="expression" priority="4691840" id="{710EB8D3-F5C0-4E3C-8214-2D0C4E26F649}">
            <xm:f>$AA$4='Data entry'!$R20</xm:f>
            <x14:dxf>
              <fill>
                <patternFill>
                  <bgColor rgb="FFFF0000"/>
                </patternFill>
              </fill>
            </x14:dxf>
          </x14:cfRule>
          <xm:sqref>Y48:AK48</xm:sqref>
        </x14:conditionalFormatting>
        <x14:conditionalFormatting xmlns:xm="http://schemas.microsoft.com/office/excel/2006/main">
          <x14:cfRule type="expression" priority="4691841" id="{33825D69-C967-4D27-B395-5D44A3083802}">
            <xm:f>$AA$4='Data entry'!$R20</xm:f>
            <x14:dxf>
              <fill>
                <patternFill>
                  <bgColor rgb="FFFFFF00"/>
                </patternFill>
              </fill>
            </x14:dxf>
          </x14:cfRule>
          <xm:sqref>M47:AA47</xm:sqref>
        </x14:conditionalFormatting>
        <x14:conditionalFormatting xmlns:xm="http://schemas.microsoft.com/office/excel/2006/main">
          <x14:cfRule type="expression" priority="4691842" id="{9811A97D-351B-4D32-8754-AF433277E62B}">
            <xm:f>$AB$4='Data entry'!$R20</xm:f>
            <x14:dxf>
              <fill>
                <patternFill>
                  <bgColor rgb="FFFF0000"/>
                </patternFill>
              </fill>
            </x14:dxf>
          </x14:cfRule>
          <xm:sqref>Z48:AL48</xm:sqref>
        </x14:conditionalFormatting>
        <x14:conditionalFormatting xmlns:xm="http://schemas.microsoft.com/office/excel/2006/main">
          <x14:cfRule type="expression" priority="4691843" id="{6DD3E556-C72E-438B-92DA-3096ED1E4178}">
            <xm:f>$AB$4='Data entry'!$R20</xm:f>
            <x14:dxf>
              <fill>
                <patternFill>
                  <bgColor rgb="FFFFFF00"/>
                </patternFill>
              </fill>
            </x14:dxf>
          </x14:cfRule>
          <xm:sqref>N47:AB47</xm:sqref>
        </x14:conditionalFormatting>
        <x14:conditionalFormatting xmlns:xm="http://schemas.microsoft.com/office/excel/2006/main">
          <x14:cfRule type="expression" priority="4691844" id="{C0DF7A1B-D6BC-4371-BD3A-F0708147FA1C}">
            <xm:f>$AC$4='Data entry'!$R20</xm:f>
            <x14:dxf>
              <fill>
                <patternFill>
                  <bgColor rgb="FFFF0000"/>
                </patternFill>
              </fill>
            </x14:dxf>
          </x14:cfRule>
          <xm:sqref>AA48:AM48</xm:sqref>
        </x14:conditionalFormatting>
        <x14:conditionalFormatting xmlns:xm="http://schemas.microsoft.com/office/excel/2006/main">
          <x14:cfRule type="expression" priority="4691845" id="{DB2E1F48-AF0E-41F9-A976-6B1963CA5711}">
            <xm:f>$AC$4='Data entry'!$R20</xm:f>
            <x14:dxf>
              <fill>
                <patternFill>
                  <bgColor rgb="FFFFFF00"/>
                </patternFill>
              </fill>
            </x14:dxf>
          </x14:cfRule>
          <xm:sqref>O47:AC47</xm:sqref>
        </x14:conditionalFormatting>
        <x14:conditionalFormatting xmlns:xm="http://schemas.microsoft.com/office/excel/2006/main">
          <x14:cfRule type="expression" priority="4691846" id="{89909907-F9A9-4AF9-BC1D-304710A43F50}">
            <xm:f>$AD$4='Data entry'!$R20</xm:f>
            <x14:dxf>
              <fill>
                <patternFill>
                  <bgColor rgb="FFFF0000"/>
                </patternFill>
              </fill>
            </x14:dxf>
          </x14:cfRule>
          <xm:sqref>AB48:AN48</xm:sqref>
        </x14:conditionalFormatting>
        <x14:conditionalFormatting xmlns:xm="http://schemas.microsoft.com/office/excel/2006/main">
          <x14:cfRule type="expression" priority="4691847" id="{729676B7-E331-43A4-ACC9-850DCEE76A0E}">
            <xm:f>$AD$4='Data entry'!$R20</xm:f>
            <x14:dxf>
              <fill>
                <patternFill>
                  <bgColor rgb="FFFFFF00"/>
                </patternFill>
              </fill>
            </x14:dxf>
          </x14:cfRule>
          <xm:sqref>P47:AD47</xm:sqref>
        </x14:conditionalFormatting>
        <x14:conditionalFormatting xmlns:xm="http://schemas.microsoft.com/office/excel/2006/main">
          <x14:cfRule type="expression" priority="4691848" id="{00DA2C55-350E-44AA-ABEA-808FABFDA737}">
            <xm:f>$AE$4='Data entry'!$R20</xm:f>
            <x14:dxf>
              <fill>
                <patternFill>
                  <bgColor rgb="FFFF0000"/>
                </patternFill>
              </fill>
            </x14:dxf>
          </x14:cfRule>
          <xm:sqref>AC48:AO48</xm:sqref>
        </x14:conditionalFormatting>
        <x14:conditionalFormatting xmlns:xm="http://schemas.microsoft.com/office/excel/2006/main">
          <x14:cfRule type="expression" priority="4691849" id="{373C95F1-00C1-45E9-B561-5224945BA4A4}">
            <xm:f>$AE$4='Data entry'!$R20</xm:f>
            <x14:dxf>
              <fill>
                <patternFill>
                  <bgColor rgb="FFFFFF00"/>
                </patternFill>
              </fill>
            </x14:dxf>
          </x14:cfRule>
          <xm:sqref>Q47:AE47</xm:sqref>
        </x14:conditionalFormatting>
        <x14:conditionalFormatting xmlns:xm="http://schemas.microsoft.com/office/excel/2006/main">
          <x14:cfRule type="expression" priority="4691850" id="{65E90E74-6BEF-4B00-BD5E-ECACFEBC225A}">
            <xm:f>$AF$4='Data entry'!$R20</xm:f>
            <x14:dxf>
              <fill>
                <patternFill>
                  <bgColor rgb="FFFF0000"/>
                </patternFill>
              </fill>
            </x14:dxf>
          </x14:cfRule>
          <xm:sqref>AD48:AP48</xm:sqref>
        </x14:conditionalFormatting>
        <x14:conditionalFormatting xmlns:xm="http://schemas.microsoft.com/office/excel/2006/main">
          <x14:cfRule type="expression" priority="4691851" id="{56B519D7-E083-4811-B42B-D6CB10D44BB3}">
            <xm:f>$AF$4='Data entry'!$R20</xm:f>
            <x14:dxf>
              <fill>
                <patternFill>
                  <bgColor rgb="FFFFFF00"/>
                </patternFill>
              </fill>
            </x14:dxf>
          </x14:cfRule>
          <xm:sqref>R47:AF47</xm:sqref>
        </x14:conditionalFormatting>
        <x14:conditionalFormatting xmlns:xm="http://schemas.microsoft.com/office/excel/2006/main">
          <x14:cfRule type="expression" priority="4691852" id="{889682B6-BF9B-414B-86B7-1C802156B058}">
            <xm:f>$AG$4='Data entry'!$R20</xm:f>
            <x14:dxf>
              <fill>
                <patternFill>
                  <bgColor rgb="FFFF0000"/>
                </patternFill>
              </fill>
            </x14:dxf>
          </x14:cfRule>
          <xm:sqref>AE48:AQ48</xm:sqref>
        </x14:conditionalFormatting>
        <x14:conditionalFormatting xmlns:xm="http://schemas.microsoft.com/office/excel/2006/main">
          <x14:cfRule type="expression" priority="4691853" id="{19913D88-1940-4CB0-B29C-D46D60833BD5}">
            <xm:f>$AG$4='Data entry'!$R20</xm:f>
            <x14:dxf>
              <fill>
                <patternFill>
                  <bgColor rgb="FFFFFF00"/>
                </patternFill>
              </fill>
            </x14:dxf>
          </x14:cfRule>
          <xm:sqref>S47:AG47</xm:sqref>
        </x14:conditionalFormatting>
        <x14:conditionalFormatting xmlns:xm="http://schemas.microsoft.com/office/excel/2006/main">
          <x14:cfRule type="expression" priority="4691854" id="{3DD7B9A5-18A3-463F-BAD5-9796FC487328}">
            <xm:f>$AH$4='Data entry'!$R20</xm:f>
            <x14:dxf>
              <fill>
                <patternFill>
                  <bgColor rgb="FFFF0000"/>
                </patternFill>
              </fill>
            </x14:dxf>
          </x14:cfRule>
          <xm:sqref>AF48:AR48</xm:sqref>
        </x14:conditionalFormatting>
        <x14:conditionalFormatting xmlns:xm="http://schemas.microsoft.com/office/excel/2006/main">
          <x14:cfRule type="expression" priority="4691855" id="{31005CF4-5608-496E-91EB-F7F505046C80}">
            <xm:f>$AH$4='Data entry'!$R20</xm:f>
            <x14:dxf>
              <fill>
                <patternFill>
                  <bgColor rgb="FFFFFF00"/>
                </patternFill>
              </fill>
            </x14:dxf>
          </x14:cfRule>
          <xm:sqref>T47:AH47</xm:sqref>
        </x14:conditionalFormatting>
        <x14:conditionalFormatting xmlns:xm="http://schemas.microsoft.com/office/excel/2006/main">
          <x14:cfRule type="expression" priority="4691856" id="{CD14F654-5B7A-444F-8FC1-7DD71E76E475}">
            <xm:f>$AI$4='Data entry'!$R20</xm:f>
            <x14:dxf>
              <fill>
                <patternFill>
                  <bgColor rgb="FFFF0000"/>
                </patternFill>
              </fill>
            </x14:dxf>
          </x14:cfRule>
          <xm:sqref>AG48:AS48</xm:sqref>
        </x14:conditionalFormatting>
        <x14:conditionalFormatting xmlns:xm="http://schemas.microsoft.com/office/excel/2006/main">
          <x14:cfRule type="expression" priority="4691857" id="{0E4E448C-6C46-4285-B877-A61A90294385}">
            <xm:f>$AI$4='Data entry'!$R20</xm:f>
            <x14:dxf>
              <fill>
                <patternFill>
                  <bgColor rgb="FFFFFF00"/>
                </patternFill>
              </fill>
            </x14:dxf>
          </x14:cfRule>
          <xm:sqref>U47:AI47</xm:sqref>
        </x14:conditionalFormatting>
        <x14:conditionalFormatting xmlns:xm="http://schemas.microsoft.com/office/excel/2006/main">
          <x14:cfRule type="expression" priority="4691858" id="{B1C1818F-791C-403D-BE73-6F6E9DC6A16D}">
            <xm:f>$AJ$4='Data entry'!$R20</xm:f>
            <x14:dxf>
              <fill>
                <patternFill>
                  <bgColor rgb="FFFF0000"/>
                </patternFill>
              </fill>
            </x14:dxf>
          </x14:cfRule>
          <xm:sqref>AH48:AT48</xm:sqref>
        </x14:conditionalFormatting>
        <x14:conditionalFormatting xmlns:xm="http://schemas.microsoft.com/office/excel/2006/main">
          <x14:cfRule type="expression" priority="4691859" id="{A1237792-221B-431B-B8A7-E9A64DA46D93}">
            <xm:f>$AJ$4='Data entry'!$R20</xm:f>
            <x14:dxf>
              <fill>
                <patternFill>
                  <bgColor rgb="FFFFFF00"/>
                </patternFill>
              </fill>
            </x14:dxf>
          </x14:cfRule>
          <xm:sqref>V47:AJ47</xm:sqref>
        </x14:conditionalFormatting>
        <x14:conditionalFormatting xmlns:xm="http://schemas.microsoft.com/office/excel/2006/main">
          <x14:cfRule type="expression" priority="4691860" id="{617DC2AF-C7A3-4724-8EA3-17DEFEDC8949}">
            <xm:f>$AK$4='Data entry'!$R20</xm:f>
            <x14:dxf>
              <fill>
                <patternFill>
                  <bgColor rgb="FFFF0000"/>
                </patternFill>
              </fill>
            </x14:dxf>
          </x14:cfRule>
          <xm:sqref>AI48:AU48</xm:sqref>
        </x14:conditionalFormatting>
        <x14:conditionalFormatting xmlns:xm="http://schemas.microsoft.com/office/excel/2006/main">
          <x14:cfRule type="expression" priority="4691861" id="{AA72317D-37B1-48EB-A28B-BF2AC8DC4519}">
            <xm:f>$AK$4='Data entry'!$R20</xm:f>
            <x14:dxf>
              <fill>
                <patternFill>
                  <bgColor rgb="FFFFFF00"/>
                </patternFill>
              </fill>
            </x14:dxf>
          </x14:cfRule>
          <xm:sqref>W47:AK47</xm:sqref>
        </x14:conditionalFormatting>
        <x14:conditionalFormatting xmlns:xm="http://schemas.microsoft.com/office/excel/2006/main">
          <x14:cfRule type="expression" priority="4691862" id="{6CA9FB7A-20EA-4D3A-B74C-A001F4BE810D}">
            <xm:f>$AL$4='Data entry'!$R20</xm:f>
            <x14:dxf>
              <fill>
                <patternFill>
                  <bgColor rgb="FFFF0000"/>
                </patternFill>
              </fill>
            </x14:dxf>
          </x14:cfRule>
          <xm:sqref>AJ48:AV48</xm:sqref>
        </x14:conditionalFormatting>
        <x14:conditionalFormatting xmlns:xm="http://schemas.microsoft.com/office/excel/2006/main">
          <x14:cfRule type="expression" priority="4691863" id="{81A75DAA-573F-4EF3-A640-1B992C18BEA0}">
            <xm:f>$AL$4='Data entry'!$R20</xm:f>
            <x14:dxf>
              <fill>
                <patternFill>
                  <bgColor rgb="FFFFFF00"/>
                </patternFill>
              </fill>
            </x14:dxf>
          </x14:cfRule>
          <xm:sqref>X47:AL47</xm:sqref>
        </x14:conditionalFormatting>
        <x14:conditionalFormatting xmlns:xm="http://schemas.microsoft.com/office/excel/2006/main">
          <x14:cfRule type="expression" priority="4691864" id="{3D44713E-4ABA-4CCD-9DF4-5513A9FB5E1E}">
            <xm:f>$AM$4='Data entry'!$R20</xm:f>
            <x14:dxf>
              <fill>
                <patternFill>
                  <bgColor rgb="FFFF0000"/>
                </patternFill>
              </fill>
            </x14:dxf>
          </x14:cfRule>
          <xm:sqref>AK48:AW48</xm:sqref>
        </x14:conditionalFormatting>
        <x14:conditionalFormatting xmlns:xm="http://schemas.microsoft.com/office/excel/2006/main">
          <x14:cfRule type="expression" priority="4691865" id="{05A26B51-72A7-4423-822F-2BDBC28275D0}">
            <xm:f>$AM$4='Data entry'!$R20</xm:f>
            <x14:dxf>
              <fill>
                <patternFill>
                  <bgColor rgb="FFFFFF00"/>
                </patternFill>
              </fill>
            </x14:dxf>
          </x14:cfRule>
          <xm:sqref>Y47:AM47</xm:sqref>
        </x14:conditionalFormatting>
        <x14:conditionalFormatting xmlns:xm="http://schemas.microsoft.com/office/excel/2006/main">
          <x14:cfRule type="expression" priority="4691866" id="{B8A20675-6230-4694-A7F6-6B3DC7142773}">
            <xm:f>$AN$4='Data entry'!$R20</xm:f>
            <x14:dxf>
              <fill>
                <patternFill>
                  <bgColor rgb="FFFF0000"/>
                </patternFill>
              </fill>
            </x14:dxf>
          </x14:cfRule>
          <xm:sqref>AL48:AX48</xm:sqref>
        </x14:conditionalFormatting>
        <x14:conditionalFormatting xmlns:xm="http://schemas.microsoft.com/office/excel/2006/main">
          <x14:cfRule type="expression" priority="4691867" id="{8421181C-7450-42E9-BC1D-065CCFCA960E}">
            <xm:f>$AN$4='Data entry'!$R20</xm:f>
            <x14:dxf>
              <fill>
                <patternFill>
                  <bgColor rgb="FFFFFF00"/>
                </patternFill>
              </fill>
            </x14:dxf>
          </x14:cfRule>
          <xm:sqref>Z47:AN47</xm:sqref>
        </x14:conditionalFormatting>
        <x14:conditionalFormatting xmlns:xm="http://schemas.microsoft.com/office/excel/2006/main">
          <x14:cfRule type="expression" priority="4691868" id="{067FE4BD-6EF4-4684-B6E0-35AB2F267EE7}">
            <xm:f>$AO$4='Data entry'!$R20</xm:f>
            <x14:dxf>
              <fill>
                <patternFill>
                  <bgColor rgb="FFFF0000"/>
                </patternFill>
              </fill>
            </x14:dxf>
          </x14:cfRule>
          <xm:sqref>AM48:AY48</xm:sqref>
        </x14:conditionalFormatting>
        <x14:conditionalFormatting xmlns:xm="http://schemas.microsoft.com/office/excel/2006/main">
          <x14:cfRule type="expression" priority="4691869" id="{F7653492-88D1-47AC-8BA3-0CCE65C3C2AB}">
            <xm:f>$AO$4='Data entry'!$R20</xm:f>
            <x14:dxf>
              <fill>
                <patternFill>
                  <bgColor rgb="FFFFFF00"/>
                </patternFill>
              </fill>
            </x14:dxf>
          </x14:cfRule>
          <xm:sqref>AA47:AO47</xm:sqref>
        </x14:conditionalFormatting>
        <x14:conditionalFormatting xmlns:xm="http://schemas.microsoft.com/office/excel/2006/main">
          <x14:cfRule type="expression" priority="4691870" id="{207A5E5D-B322-482E-9193-1D7318138358}">
            <xm:f>$AP$4='Data entry'!$R20</xm:f>
            <x14:dxf>
              <fill>
                <patternFill>
                  <bgColor rgb="FFFF0000"/>
                </patternFill>
              </fill>
            </x14:dxf>
          </x14:cfRule>
          <xm:sqref>AN48:AZ48</xm:sqref>
        </x14:conditionalFormatting>
        <x14:conditionalFormatting xmlns:xm="http://schemas.microsoft.com/office/excel/2006/main">
          <x14:cfRule type="expression" priority="4691871" id="{21DA638D-4CA0-4067-BFF1-240CE1A0261B}">
            <xm:f>$AP$4='Data entry'!$R20</xm:f>
            <x14:dxf>
              <fill>
                <patternFill>
                  <bgColor rgb="FFFFFF00"/>
                </patternFill>
              </fill>
            </x14:dxf>
          </x14:cfRule>
          <xm:sqref>AB47:AP47</xm:sqref>
        </x14:conditionalFormatting>
        <x14:conditionalFormatting xmlns:xm="http://schemas.microsoft.com/office/excel/2006/main">
          <x14:cfRule type="expression" priority="4691872" id="{71963D96-A42A-4B90-BFC7-6D83D37766EF}">
            <xm:f>$AQ$4='Data entry'!$R20</xm:f>
            <x14:dxf>
              <fill>
                <patternFill>
                  <bgColor rgb="FFFF0000"/>
                </patternFill>
              </fill>
            </x14:dxf>
          </x14:cfRule>
          <xm:sqref>AO48:BA48</xm:sqref>
        </x14:conditionalFormatting>
        <x14:conditionalFormatting xmlns:xm="http://schemas.microsoft.com/office/excel/2006/main">
          <x14:cfRule type="expression" priority="4691873" id="{74952595-84B6-484F-8FF6-FCC1F337DF4D}">
            <xm:f>$AQ$4='Data entry'!$R20</xm:f>
            <x14:dxf>
              <fill>
                <patternFill>
                  <bgColor rgb="FFFFFF00"/>
                </patternFill>
              </fill>
            </x14:dxf>
          </x14:cfRule>
          <xm:sqref>AC47:AQ47</xm:sqref>
        </x14:conditionalFormatting>
        <x14:conditionalFormatting xmlns:xm="http://schemas.microsoft.com/office/excel/2006/main">
          <x14:cfRule type="expression" priority="4691874" id="{8AC9C4B9-0A34-4BC0-B0F7-CA89434C4911}">
            <xm:f>$P$4='Data entry'!$R20</xm:f>
            <x14:dxf>
              <fill>
                <patternFill>
                  <bgColor rgb="FFFFFF00"/>
                </patternFill>
              </fill>
            </x14:dxf>
          </x14:cfRule>
          <xm:sqref>C47:P47</xm:sqref>
        </x14:conditionalFormatting>
        <x14:conditionalFormatting xmlns:xm="http://schemas.microsoft.com/office/excel/2006/main">
          <x14:cfRule type="expression" priority="4691875" id="{0A726775-ABFD-4F22-967C-1A4D87BA3751}">
            <xm:f>$Q$4='Data entry'!$R20</xm:f>
            <x14:dxf>
              <fill>
                <patternFill>
                  <bgColor rgb="FFFFFF00"/>
                </patternFill>
              </fill>
            </x14:dxf>
          </x14:cfRule>
          <xm:sqref>C47:Q47</xm:sqref>
        </x14:conditionalFormatting>
        <x14:conditionalFormatting xmlns:xm="http://schemas.microsoft.com/office/excel/2006/main">
          <x14:cfRule type="expression" priority="4691876" id="{3A8414BD-262C-43B5-86EE-FA6901D00453}">
            <xm:f>$Q$4='Data entry'!$R20</xm:f>
            <x14:dxf>
              <fill>
                <patternFill>
                  <bgColor rgb="FFFF0000"/>
                </patternFill>
              </fill>
            </x14:dxf>
          </x14:cfRule>
          <xm:sqref>O48:AA48</xm:sqref>
        </x14:conditionalFormatting>
        <x14:conditionalFormatting xmlns:xm="http://schemas.microsoft.com/office/excel/2006/main">
          <x14:cfRule type="expression" priority="4691877" id="{B8B5501D-F3EF-4449-9306-F652960C65F4}">
            <xm:f>$R$4='Data entry'!$R20</xm:f>
            <x14:dxf>
              <fill>
                <patternFill>
                  <bgColor rgb="FFFF0000"/>
                </patternFill>
              </fill>
            </x14:dxf>
          </x14:cfRule>
          <xm:sqref>P48:AB48</xm:sqref>
        </x14:conditionalFormatting>
        <x14:conditionalFormatting xmlns:xm="http://schemas.microsoft.com/office/excel/2006/main">
          <x14:cfRule type="expression" priority="4691878" id="{5D070DEC-B82E-4D87-B907-A3E5AB836991}">
            <xm:f>$R$4='Data entry'!$R20</xm:f>
            <x14:dxf>
              <fill>
                <patternFill>
                  <bgColor rgb="FFFFFF00"/>
                </patternFill>
              </fill>
            </x14:dxf>
          </x14:cfRule>
          <xm:sqref>D47:R47</xm:sqref>
        </x14:conditionalFormatting>
        <x14:conditionalFormatting xmlns:xm="http://schemas.microsoft.com/office/excel/2006/main">
          <x14:cfRule type="expression" priority="4691879" id="{E4D16A10-F818-4664-9FB2-F0E839824D4B}">
            <xm:f>$S$4='Data entry'!$R20</xm:f>
            <x14:dxf>
              <fill>
                <patternFill>
                  <bgColor rgb="FFFF0000"/>
                </patternFill>
              </fill>
            </x14:dxf>
          </x14:cfRule>
          <xm:sqref>Q48:AC48</xm:sqref>
        </x14:conditionalFormatting>
        <x14:conditionalFormatting xmlns:xm="http://schemas.microsoft.com/office/excel/2006/main">
          <x14:cfRule type="expression" priority="4691880" id="{1A9F9911-A3E9-4730-AFBE-AB8C596545CA}">
            <xm:f>$S$4='Data entry'!$R20</xm:f>
            <x14:dxf>
              <fill>
                <patternFill>
                  <bgColor rgb="FFFFFF00"/>
                </patternFill>
              </fill>
            </x14:dxf>
          </x14:cfRule>
          <xm:sqref>E47:S47</xm:sqref>
        </x14:conditionalFormatting>
        <x14:conditionalFormatting xmlns:xm="http://schemas.microsoft.com/office/excel/2006/main">
          <x14:cfRule type="expression" priority="4691881" id="{8BB5CD1B-B2AC-442A-9550-26DE19A62D22}">
            <xm:f>$T$4='Data entry'!$R20</xm:f>
            <x14:dxf>
              <fill>
                <patternFill>
                  <bgColor rgb="FFFF0000"/>
                </patternFill>
              </fill>
            </x14:dxf>
          </x14:cfRule>
          <xm:sqref>R48:AD48</xm:sqref>
        </x14:conditionalFormatting>
        <x14:conditionalFormatting xmlns:xm="http://schemas.microsoft.com/office/excel/2006/main">
          <x14:cfRule type="expression" priority="4691882" id="{E7B59C69-7921-4049-84A1-8B3E5F7B0598}">
            <xm:f>$T$4='Data entry'!$R20</xm:f>
            <x14:dxf>
              <fill>
                <patternFill>
                  <bgColor rgb="FFFFFF00"/>
                </patternFill>
              </fill>
            </x14:dxf>
          </x14:cfRule>
          <xm:sqref>F47:T47</xm:sqref>
        </x14:conditionalFormatting>
        <x14:conditionalFormatting xmlns:xm="http://schemas.microsoft.com/office/excel/2006/main">
          <x14:cfRule type="expression" priority="4691883" id="{238C09E5-7A3D-439D-949F-A7733073F9A2}">
            <xm:f>$U$4='Data entry'!$R20</xm:f>
            <x14:dxf>
              <fill>
                <patternFill>
                  <bgColor rgb="FFFFFF00"/>
                </patternFill>
              </fill>
            </x14:dxf>
          </x14:cfRule>
          <xm:sqref>G47:U47</xm:sqref>
        </x14:conditionalFormatting>
        <x14:conditionalFormatting xmlns:xm="http://schemas.microsoft.com/office/excel/2006/main">
          <x14:cfRule type="expression" priority="4691884" id="{DE4D4432-0A19-452A-AF14-2873FE4DF411}">
            <xm:f>$AR$4='Data entry'!$R20</xm:f>
            <x14:dxf>
              <fill>
                <patternFill>
                  <bgColor rgb="FFFF0000"/>
                </patternFill>
              </fill>
            </x14:dxf>
          </x14:cfRule>
          <xm:sqref>AP48:BB48</xm:sqref>
        </x14:conditionalFormatting>
        <x14:conditionalFormatting xmlns:xm="http://schemas.microsoft.com/office/excel/2006/main">
          <x14:cfRule type="expression" priority="4691885" id="{90D7E1FF-542D-40C8-9BD5-DFEB4CDD256F}">
            <xm:f>$AR$4='Data entry'!$R20</xm:f>
            <x14:dxf>
              <fill>
                <patternFill>
                  <bgColor rgb="FFFFFF00"/>
                </patternFill>
              </fill>
            </x14:dxf>
          </x14:cfRule>
          <xm:sqref>AD47:AR47</xm:sqref>
        </x14:conditionalFormatting>
        <x14:conditionalFormatting xmlns:xm="http://schemas.microsoft.com/office/excel/2006/main">
          <x14:cfRule type="expression" priority="4691886" id="{0EBB5305-4A4A-4205-A1FF-11160070CBC3}">
            <xm:f>$AS$4='Data entry'!$R20</xm:f>
            <x14:dxf>
              <fill>
                <patternFill>
                  <bgColor rgb="FFFF0000"/>
                </patternFill>
              </fill>
            </x14:dxf>
          </x14:cfRule>
          <xm:sqref>AQ48:BC48</xm:sqref>
        </x14:conditionalFormatting>
        <x14:conditionalFormatting xmlns:xm="http://schemas.microsoft.com/office/excel/2006/main">
          <x14:cfRule type="expression" priority="4691887" id="{AC8EB30C-4253-4CE1-820E-1801F6D8D35B}">
            <xm:f>$AS$4='Data entry'!$R20</xm:f>
            <x14:dxf>
              <fill>
                <patternFill>
                  <bgColor rgb="FFFFFF00"/>
                </patternFill>
              </fill>
            </x14:dxf>
          </x14:cfRule>
          <xm:sqref>AE47:AS47</xm:sqref>
        </x14:conditionalFormatting>
        <x14:conditionalFormatting xmlns:xm="http://schemas.microsoft.com/office/excel/2006/main">
          <x14:cfRule type="expression" priority="4691888" id="{E11744C1-7201-4272-A1B0-945490B42425}">
            <xm:f>$AT$4='Data entry'!$R20</xm:f>
            <x14:dxf>
              <fill>
                <patternFill>
                  <bgColor rgb="FFFF0000"/>
                </patternFill>
              </fill>
            </x14:dxf>
          </x14:cfRule>
          <xm:sqref>AR48:BD48</xm:sqref>
        </x14:conditionalFormatting>
        <x14:conditionalFormatting xmlns:xm="http://schemas.microsoft.com/office/excel/2006/main">
          <x14:cfRule type="expression" priority="4691889" id="{5EE2823B-E955-4EA7-B99C-0B1F77B57A69}">
            <xm:f>$AT$4='Data entry'!$R20</xm:f>
            <x14:dxf>
              <fill>
                <patternFill>
                  <bgColor rgb="FFFFFF00"/>
                </patternFill>
              </fill>
            </x14:dxf>
          </x14:cfRule>
          <xm:sqref>AF47:AT47</xm:sqref>
        </x14:conditionalFormatting>
        <x14:conditionalFormatting xmlns:xm="http://schemas.microsoft.com/office/excel/2006/main">
          <x14:cfRule type="expression" priority="4691890" id="{5737DC63-3262-4B34-900C-2AAEB255FCBA}">
            <xm:f>$AU$4='Data entry'!$R20</xm:f>
            <x14:dxf>
              <fill>
                <patternFill>
                  <bgColor rgb="FFFF0000"/>
                </patternFill>
              </fill>
            </x14:dxf>
          </x14:cfRule>
          <xm:sqref>AS48:BE48</xm:sqref>
        </x14:conditionalFormatting>
        <x14:conditionalFormatting xmlns:xm="http://schemas.microsoft.com/office/excel/2006/main">
          <x14:cfRule type="expression" priority="4691891" id="{2B5C1F1B-3C3D-4CA3-BC64-0E98422075B6}">
            <xm:f>$AU$4='Data entry'!$R20</xm:f>
            <x14:dxf>
              <fill>
                <patternFill>
                  <bgColor rgb="FFFFFF00"/>
                </patternFill>
              </fill>
            </x14:dxf>
          </x14:cfRule>
          <xm:sqref>AG47:AU47</xm:sqref>
        </x14:conditionalFormatting>
        <x14:conditionalFormatting xmlns:xm="http://schemas.microsoft.com/office/excel/2006/main">
          <x14:cfRule type="expression" priority="4691892" id="{B87A1285-B003-4855-8F4B-53C391BA10E6}">
            <xm:f>$AV$4='Data entry'!$R20</xm:f>
            <x14:dxf>
              <fill>
                <patternFill>
                  <bgColor rgb="FFFF0000"/>
                </patternFill>
              </fill>
            </x14:dxf>
          </x14:cfRule>
          <xm:sqref>AT48:BF48</xm:sqref>
        </x14:conditionalFormatting>
        <x14:conditionalFormatting xmlns:xm="http://schemas.microsoft.com/office/excel/2006/main">
          <x14:cfRule type="expression" priority="4691893" id="{338EE31C-78DB-4818-B837-0380F9E457FA}">
            <xm:f>$AV$4='Data entry'!$R20</xm:f>
            <x14:dxf>
              <fill>
                <patternFill>
                  <bgColor rgb="FFFFFF00"/>
                </patternFill>
              </fill>
            </x14:dxf>
          </x14:cfRule>
          <xm:sqref>AH47:AV47</xm:sqref>
        </x14:conditionalFormatting>
        <x14:conditionalFormatting xmlns:xm="http://schemas.microsoft.com/office/excel/2006/main">
          <x14:cfRule type="expression" priority="4691894" id="{5C40EA66-2801-4C91-B885-BF6A1ECFC35C}">
            <xm:f>$AW$4='Data entry'!$R20</xm:f>
            <x14:dxf>
              <fill>
                <patternFill>
                  <bgColor rgb="FFFF0000"/>
                </patternFill>
              </fill>
            </x14:dxf>
          </x14:cfRule>
          <xm:sqref>AU48:BG48</xm:sqref>
        </x14:conditionalFormatting>
        <x14:conditionalFormatting xmlns:xm="http://schemas.microsoft.com/office/excel/2006/main">
          <x14:cfRule type="expression" priority="4691895" id="{51BCD5CE-DF86-4C2F-8A81-DDA1EFD6C8F7}">
            <xm:f>$AW$4='Data entry'!$R20</xm:f>
            <x14:dxf>
              <fill>
                <patternFill>
                  <bgColor rgb="FFFFFF00"/>
                </patternFill>
              </fill>
            </x14:dxf>
          </x14:cfRule>
          <xm:sqref>AI47:AW47</xm:sqref>
        </x14:conditionalFormatting>
        <x14:conditionalFormatting xmlns:xm="http://schemas.microsoft.com/office/excel/2006/main">
          <x14:cfRule type="expression" priority="4691896" id="{DC2ED5A0-8917-4877-8CD3-9DF9BE5993C9}">
            <xm:f>$AX$4='Data entry'!$R20</xm:f>
            <x14:dxf>
              <fill>
                <patternFill>
                  <bgColor rgb="FFFF0000"/>
                </patternFill>
              </fill>
            </x14:dxf>
          </x14:cfRule>
          <xm:sqref>AV48:BH48</xm:sqref>
        </x14:conditionalFormatting>
        <x14:conditionalFormatting xmlns:xm="http://schemas.microsoft.com/office/excel/2006/main">
          <x14:cfRule type="expression" priority="4691897" id="{59B31869-20F9-45BD-BC80-0A6C8945CE2C}">
            <xm:f>$AX$4='Data entry'!$R20</xm:f>
            <x14:dxf>
              <fill>
                <patternFill>
                  <bgColor rgb="FFFFFF00"/>
                </patternFill>
              </fill>
            </x14:dxf>
          </x14:cfRule>
          <xm:sqref>AJ47:AX47</xm:sqref>
        </x14:conditionalFormatting>
        <x14:conditionalFormatting xmlns:xm="http://schemas.microsoft.com/office/excel/2006/main">
          <x14:cfRule type="expression" priority="4691898" id="{D4208FA0-4262-4037-934C-6D0742B2AD8E}">
            <xm:f>$AY$4='Data entry'!$R20</xm:f>
            <x14:dxf>
              <fill>
                <patternFill>
                  <bgColor rgb="FFFF0000"/>
                </patternFill>
              </fill>
            </x14:dxf>
          </x14:cfRule>
          <xm:sqref>AW48:BI48</xm:sqref>
        </x14:conditionalFormatting>
        <x14:conditionalFormatting xmlns:xm="http://schemas.microsoft.com/office/excel/2006/main">
          <x14:cfRule type="expression" priority="4691899" id="{04D6E423-18C7-42B2-A67D-F49D8E62B571}">
            <xm:f>$AY$4='Data entry'!$R20</xm:f>
            <x14:dxf>
              <fill>
                <patternFill>
                  <bgColor rgb="FFFFFF00"/>
                </patternFill>
              </fill>
            </x14:dxf>
          </x14:cfRule>
          <xm:sqref>AK47:AY47</xm:sqref>
        </x14:conditionalFormatting>
        <x14:conditionalFormatting xmlns:xm="http://schemas.microsoft.com/office/excel/2006/main">
          <x14:cfRule type="expression" priority="4691900" id="{A931C203-6E4B-4EBD-A2F4-1876881F48D4}">
            <xm:f>$AZ$4='Data entry'!$R20</xm:f>
            <x14:dxf>
              <fill>
                <patternFill>
                  <bgColor rgb="FFFF0000"/>
                </patternFill>
              </fill>
            </x14:dxf>
          </x14:cfRule>
          <xm:sqref>AX48:BJ48</xm:sqref>
        </x14:conditionalFormatting>
        <x14:conditionalFormatting xmlns:xm="http://schemas.microsoft.com/office/excel/2006/main">
          <x14:cfRule type="expression" priority="4691901" id="{092D9100-E652-40FE-8CAA-720DC0681250}">
            <xm:f>$AZ$4='Data entry'!$R20</xm:f>
            <x14:dxf>
              <fill>
                <patternFill>
                  <bgColor rgb="FFFFFF00"/>
                </patternFill>
              </fill>
            </x14:dxf>
          </x14:cfRule>
          <xm:sqref>AL47:AZ47</xm:sqref>
        </x14:conditionalFormatting>
        <x14:conditionalFormatting xmlns:xm="http://schemas.microsoft.com/office/excel/2006/main">
          <x14:cfRule type="expression" priority="4691902" id="{A3C7E6BE-A225-483C-A983-A915DB662C52}">
            <xm:f>$BA$4='Data entry'!$R20</xm:f>
            <x14:dxf>
              <fill>
                <patternFill>
                  <bgColor rgb="FFFF0000"/>
                </patternFill>
              </fill>
            </x14:dxf>
          </x14:cfRule>
          <xm:sqref>AY48:BK48</xm:sqref>
        </x14:conditionalFormatting>
        <x14:conditionalFormatting xmlns:xm="http://schemas.microsoft.com/office/excel/2006/main">
          <x14:cfRule type="expression" priority="4691903" id="{F5CF569A-8AFA-4CFF-8BD3-F04D8927A99F}">
            <xm:f>$BA$4='Data entry'!$R20</xm:f>
            <x14:dxf>
              <fill>
                <patternFill>
                  <bgColor rgb="FFFFFF00"/>
                </patternFill>
              </fill>
            </x14:dxf>
          </x14:cfRule>
          <xm:sqref>AM47:BA47</xm:sqref>
        </x14:conditionalFormatting>
        <x14:conditionalFormatting xmlns:xm="http://schemas.microsoft.com/office/excel/2006/main">
          <x14:cfRule type="expression" priority="4691904" id="{E4DAC94A-7983-4BFB-A87B-45B58561841A}">
            <xm:f>$BB$4='Data entry'!$R20</xm:f>
            <x14:dxf>
              <fill>
                <patternFill>
                  <bgColor rgb="FFFF0000"/>
                </patternFill>
              </fill>
            </x14:dxf>
          </x14:cfRule>
          <xm:sqref>AZ48:BL48</xm:sqref>
        </x14:conditionalFormatting>
        <x14:conditionalFormatting xmlns:xm="http://schemas.microsoft.com/office/excel/2006/main">
          <x14:cfRule type="expression" priority="4691905" id="{E63849C5-F39B-4B0E-8F8A-B532EDF2CBAE}">
            <xm:f>$BB$4='Data entry'!$R20</xm:f>
            <x14:dxf>
              <fill>
                <patternFill>
                  <bgColor rgb="FFFFFF00"/>
                </patternFill>
              </fill>
            </x14:dxf>
          </x14:cfRule>
          <xm:sqref>AN47:BB47</xm:sqref>
        </x14:conditionalFormatting>
        <x14:conditionalFormatting xmlns:xm="http://schemas.microsoft.com/office/excel/2006/main">
          <x14:cfRule type="expression" priority="4691906" id="{4FDC32D3-C1F5-455D-9AA4-A03359B72526}">
            <xm:f>$BC$4='Data entry'!$R20</xm:f>
            <x14:dxf>
              <fill>
                <patternFill>
                  <bgColor rgb="FFFF0000"/>
                </patternFill>
              </fill>
            </x14:dxf>
          </x14:cfRule>
          <xm:sqref>BA48:BM48</xm:sqref>
        </x14:conditionalFormatting>
        <x14:conditionalFormatting xmlns:xm="http://schemas.microsoft.com/office/excel/2006/main">
          <x14:cfRule type="expression" priority="4691907" id="{5F0D0C60-B233-4C56-B05D-98C99990877F}">
            <xm:f>$BC$4='Data entry'!$R20</xm:f>
            <x14:dxf>
              <fill>
                <patternFill>
                  <bgColor rgb="FFFFFF00"/>
                </patternFill>
              </fill>
            </x14:dxf>
          </x14:cfRule>
          <xm:sqref>AO47:BC47</xm:sqref>
        </x14:conditionalFormatting>
        <x14:conditionalFormatting xmlns:xm="http://schemas.microsoft.com/office/excel/2006/main">
          <x14:cfRule type="expression" priority="4691908" id="{9EBCB60F-8135-43B6-A0F3-548D4092CC98}">
            <xm:f>$BD$4='Data entry'!$R20</xm:f>
            <x14:dxf>
              <fill>
                <patternFill>
                  <bgColor rgb="FFFF0000"/>
                </patternFill>
              </fill>
            </x14:dxf>
          </x14:cfRule>
          <xm:sqref>BB48:BN48</xm:sqref>
        </x14:conditionalFormatting>
        <x14:conditionalFormatting xmlns:xm="http://schemas.microsoft.com/office/excel/2006/main">
          <x14:cfRule type="expression" priority="4691909" id="{961AF346-4A73-41ED-9A8D-27D431B09C05}">
            <xm:f>$BD$4='Data entry'!$R20</xm:f>
            <x14:dxf>
              <fill>
                <patternFill>
                  <bgColor rgb="FFFFFF00"/>
                </patternFill>
              </fill>
            </x14:dxf>
          </x14:cfRule>
          <xm:sqref>AP47:BD47</xm:sqref>
        </x14:conditionalFormatting>
        <x14:conditionalFormatting xmlns:xm="http://schemas.microsoft.com/office/excel/2006/main">
          <x14:cfRule type="expression" priority="4691910" id="{5A887026-27CD-4F8C-8BA6-1E92704C1CA6}">
            <xm:f>$BE$4='Data entry'!$R20</xm:f>
            <x14:dxf>
              <fill>
                <patternFill>
                  <bgColor rgb="FFFF0000"/>
                </patternFill>
              </fill>
            </x14:dxf>
          </x14:cfRule>
          <xm:sqref>BC48:BO48</xm:sqref>
        </x14:conditionalFormatting>
        <x14:conditionalFormatting xmlns:xm="http://schemas.microsoft.com/office/excel/2006/main">
          <x14:cfRule type="expression" priority="4691911" id="{7F46217B-A1E9-4515-B31E-E756FCD7C6D9}">
            <xm:f>$BE$4='Data entry'!$R20</xm:f>
            <x14:dxf>
              <fill>
                <patternFill>
                  <bgColor rgb="FFFFFF00"/>
                </patternFill>
              </fill>
            </x14:dxf>
          </x14:cfRule>
          <xm:sqref>AP47:BE47</xm:sqref>
        </x14:conditionalFormatting>
        <x14:conditionalFormatting xmlns:xm="http://schemas.microsoft.com/office/excel/2006/main">
          <x14:cfRule type="expression" priority="4691912" id="{F4D9285C-8CA0-4EF1-943E-6A462D47CC77}">
            <xm:f>$BF$4='Data entry'!$R20</xm:f>
            <x14:dxf>
              <fill>
                <patternFill>
                  <bgColor rgb="FFFF0000"/>
                </patternFill>
              </fill>
            </x14:dxf>
          </x14:cfRule>
          <xm:sqref>BD48:BP48</xm:sqref>
        </x14:conditionalFormatting>
        <x14:conditionalFormatting xmlns:xm="http://schemas.microsoft.com/office/excel/2006/main">
          <x14:cfRule type="expression" priority="4691913" id="{B9E4407D-651D-4DC0-9D61-3271D62A65E9}">
            <xm:f>$BF$4='Data entry'!$R20</xm:f>
            <x14:dxf>
              <fill>
                <patternFill>
                  <bgColor rgb="FFFFFF00"/>
                </patternFill>
              </fill>
            </x14:dxf>
          </x14:cfRule>
          <xm:sqref>AR47:BF47</xm:sqref>
        </x14:conditionalFormatting>
        <x14:conditionalFormatting xmlns:xm="http://schemas.microsoft.com/office/excel/2006/main">
          <x14:cfRule type="expression" priority="4691914" id="{4CDC062F-DDFF-4556-B941-08F919727F69}">
            <xm:f>$BG$4='Data entry'!$R20</xm:f>
            <x14:dxf>
              <fill>
                <patternFill>
                  <bgColor rgb="FFFF0000"/>
                </patternFill>
              </fill>
            </x14:dxf>
          </x14:cfRule>
          <xm:sqref>BE48:BQ48</xm:sqref>
        </x14:conditionalFormatting>
        <x14:conditionalFormatting xmlns:xm="http://schemas.microsoft.com/office/excel/2006/main">
          <x14:cfRule type="expression" priority="4691915" id="{789184FA-9055-433B-8A1B-92C7ED59E81F}">
            <xm:f>$BG$4='Data entry'!$R20</xm:f>
            <x14:dxf>
              <fill>
                <patternFill>
                  <bgColor rgb="FFFFFF00"/>
                </patternFill>
              </fill>
            </x14:dxf>
          </x14:cfRule>
          <xm:sqref>AS47:BG47</xm:sqref>
        </x14:conditionalFormatting>
        <x14:conditionalFormatting xmlns:xm="http://schemas.microsoft.com/office/excel/2006/main">
          <x14:cfRule type="expression" priority="4691916" id="{58651E5C-09C9-46C1-B95C-E8A578A49E15}">
            <xm:f>$BH$4='Data entry'!$R20</xm:f>
            <x14:dxf>
              <fill>
                <patternFill>
                  <bgColor rgb="FFFFFF00"/>
                </patternFill>
              </fill>
            </x14:dxf>
          </x14:cfRule>
          <xm:sqref>AT47:BH47</xm:sqref>
        </x14:conditionalFormatting>
        <x14:conditionalFormatting xmlns:xm="http://schemas.microsoft.com/office/excel/2006/main">
          <x14:cfRule type="expression" priority="4691917" id="{97B30B86-8311-4DC0-A533-8C0D53F37839}">
            <xm:f>$BH$4='Data entry'!$R20</xm:f>
            <x14:dxf>
              <fill>
                <patternFill>
                  <bgColor rgb="FFFF0000"/>
                </patternFill>
              </fill>
            </x14:dxf>
          </x14:cfRule>
          <xm:sqref>BF48:BR48</xm:sqref>
        </x14:conditionalFormatting>
        <x14:conditionalFormatting xmlns:xm="http://schemas.microsoft.com/office/excel/2006/main">
          <x14:cfRule type="expression" priority="4691918" id="{78344C0C-5AEA-40B1-A20C-6D77DF58E1F5}">
            <xm:f>$BI$4='Data entry'!$R20</xm:f>
            <x14:dxf>
              <fill>
                <patternFill>
                  <bgColor rgb="FFFFFF00"/>
                </patternFill>
              </fill>
            </x14:dxf>
          </x14:cfRule>
          <xm:sqref>AU47:BI47</xm:sqref>
        </x14:conditionalFormatting>
        <x14:conditionalFormatting xmlns:xm="http://schemas.microsoft.com/office/excel/2006/main">
          <x14:cfRule type="expression" priority="4691919" id="{A9CE044F-482E-4F25-B28F-89ACC58502B1}">
            <xm:f>$BI$4='Data entry'!$R20</xm:f>
            <x14:dxf>
              <fill>
                <patternFill>
                  <bgColor rgb="FFFF0000"/>
                </patternFill>
              </fill>
            </x14:dxf>
          </x14:cfRule>
          <xm:sqref>BG48:BS48</xm:sqref>
        </x14:conditionalFormatting>
        <x14:conditionalFormatting xmlns:xm="http://schemas.microsoft.com/office/excel/2006/main">
          <x14:cfRule type="expression" priority="4691920" id="{F63BE0EB-3C71-4456-BEF0-11180AB7A8BB}">
            <xm:f>$BJ$4='Data entry'!$R20</xm:f>
            <x14:dxf>
              <fill>
                <patternFill>
                  <bgColor rgb="FFFFFF00"/>
                </patternFill>
              </fill>
            </x14:dxf>
          </x14:cfRule>
          <xm:sqref>AV47:BJ47</xm:sqref>
        </x14:conditionalFormatting>
        <x14:conditionalFormatting xmlns:xm="http://schemas.microsoft.com/office/excel/2006/main">
          <x14:cfRule type="expression" priority="4691921" id="{478A5DCB-1DAA-4497-A6CC-B4F01FB96D10}">
            <xm:f>$BJ$4='Data entry'!$R20</xm:f>
            <x14:dxf>
              <fill>
                <patternFill>
                  <bgColor rgb="FFFF0000"/>
                </patternFill>
              </fill>
            </x14:dxf>
          </x14:cfRule>
          <xm:sqref>BH48:BT48</xm:sqref>
        </x14:conditionalFormatting>
        <x14:conditionalFormatting xmlns:xm="http://schemas.microsoft.com/office/excel/2006/main">
          <x14:cfRule type="expression" priority="4691922" id="{CDE4AD5B-65A6-4FA4-9EC0-8D05F22312A9}">
            <xm:f>$BK$4='Data entry'!$R20</xm:f>
            <x14:dxf>
              <fill>
                <patternFill>
                  <bgColor rgb="FFFF0000"/>
                </patternFill>
              </fill>
            </x14:dxf>
          </x14:cfRule>
          <xm:sqref>BI48:BU48</xm:sqref>
        </x14:conditionalFormatting>
        <x14:conditionalFormatting xmlns:xm="http://schemas.microsoft.com/office/excel/2006/main">
          <x14:cfRule type="expression" priority="4691923" id="{AB32E790-6CD8-4D11-9A69-57D785FE4BBC}">
            <xm:f>$BK$4='Data entry'!$R20</xm:f>
            <x14:dxf>
              <fill>
                <patternFill>
                  <bgColor rgb="FFFFFF00"/>
                </patternFill>
              </fill>
            </x14:dxf>
          </x14:cfRule>
          <xm:sqref>AW47:BK47</xm:sqref>
        </x14:conditionalFormatting>
        <x14:conditionalFormatting xmlns:xm="http://schemas.microsoft.com/office/excel/2006/main">
          <x14:cfRule type="expression" priority="4691924" id="{99810EB9-805C-43D8-852A-EEECE7874CDB}">
            <xm:f>$BL$4='Data entry'!$R20</xm:f>
            <x14:dxf>
              <fill>
                <patternFill>
                  <bgColor rgb="FFFF0000"/>
                </patternFill>
              </fill>
            </x14:dxf>
          </x14:cfRule>
          <xm:sqref>BJ48:BV48</xm:sqref>
        </x14:conditionalFormatting>
        <x14:conditionalFormatting xmlns:xm="http://schemas.microsoft.com/office/excel/2006/main">
          <x14:cfRule type="expression" priority="4691925" id="{BF5F5475-4E46-479C-97A6-D5175F5D1803}">
            <xm:f>$BL$4='Data entry'!$R20</xm:f>
            <x14:dxf>
              <fill>
                <patternFill>
                  <bgColor rgb="FFFFFF00"/>
                </patternFill>
              </fill>
            </x14:dxf>
          </x14:cfRule>
          <xm:sqref>AX47:BL47</xm:sqref>
        </x14:conditionalFormatting>
        <x14:conditionalFormatting xmlns:xm="http://schemas.microsoft.com/office/excel/2006/main">
          <x14:cfRule type="expression" priority="4691926" id="{B86FDF2F-16C9-46B1-847E-7EA1A8A34B9D}">
            <xm:f>$BM$4='Data entry'!$R20</xm:f>
            <x14:dxf>
              <fill>
                <patternFill>
                  <bgColor rgb="FFFF0000"/>
                </patternFill>
              </fill>
            </x14:dxf>
          </x14:cfRule>
          <xm:sqref>BK48:BW48</xm:sqref>
        </x14:conditionalFormatting>
        <x14:conditionalFormatting xmlns:xm="http://schemas.microsoft.com/office/excel/2006/main">
          <x14:cfRule type="expression" priority="4691927" id="{72FD189F-4CED-400D-9FEF-21A328970A4D}">
            <xm:f>$BM$4='Data entry'!$R20</xm:f>
            <x14:dxf>
              <fill>
                <patternFill>
                  <bgColor rgb="FFFFFF00"/>
                </patternFill>
              </fill>
            </x14:dxf>
          </x14:cfRule>
          <xm:sqref>AY47:BM47</xm:sqref>
        </x14:conditionalFormatting>
        <x14:conditionalFormatting xmlns:xm="http://schemas.microsoft.com/office/excel/2006/main">
          <x14:cfRule type="expression" priority="4691928" id="{BBBBF859-D5A7-4F55-BFBF-8A77E3357590}">
            <xm:f>$BN$4='Data entry'!$R20</xm:f>
            <x14:dxf>
              <fill>
                <patternFill>
                  <bgColor rgb="FFFF0000"/>
                </patternFill>
              </fill>
            </x14:dxf>
          </x14:cfRule>
          <xm:sqref>BL48:BX48</xm:sqref>
        </x14:conditionalFormatting>
        <x14:conditionalFormatting xmlns:xm="http://schemas.microsoft.com/office/excel/2006/main">
          <x14:cfRule type="expression" priority="4691929" id="{50CB1D75-0FD5-4D24-92B1-E8A41DC6575C}">
            <xm:f>$BN$4='Data entry'!$R20</xm:f>
            <x14:dxf>
              <fill>
                <patternFill>
                  <bgColor rgb="FFFFFF00"/>
                </patternFill>
              </fill>
            </x14:dxf>
          </x14:cfRule>
          <xm:sqref>AZ47:BN47</xm:sqref>
        </x14:conditionalFormatting>
        <x14:conditionalFormatting xmlns:xm="http://schemas.microsoft.com/office/excel/2006/main">
          <x14:cfRule type="expression" priority="4691930" id="{9EF3226D-E8FC-496B-A6FF-71776AEA54D1}">
            <xm:f>$BO$4='Data entry'!$R20</xm:f>
            <x14:dxf>
              <fill>
                <patternFill>
                  <bgColor rgb="FFFF0000"/>
                </patternFill>
              </fill>
            </x14:dxf>
          </x14:cfRule>
          <xm:sqref>BM48:BY48</xm:sqref>
        </x14:conditionalFormatting>
        <x14:conditionalFormatting xmlns:xm="http://schemas.microsoft.com/office/excel/2006/main">
          <x14:cfRule type="expression" priority="4691931" id="{3B86C801-ECFE-4D05-8AA5-1581116BAFBC}">
            <xm:f>$BO$4='Data entry'!$R20</xm:f>
            <x14:dxf>
              <fill>
                <patternFill>
                  <bgColor rgb="FFFFFF00"/>
                </patternFill>
              </fill>
            </x14:dxf>
          </x14:cfRule>
          <xm:sqref>BA47:BO47</xm:sqref>
        </x14:conditionalFormatting>
        <x14:conditionalFormatting xmlns:xm="http://schemas.microsoft.com/office/excel/2006/main">
          <x14:cfRule type="expression" priority="4691932" id="{058A23EC-3371-4A02-9F20-1ECA603AC6BC}">
            <xm:f>$BP$4='Data entry'!$R20</xm:f>
            <x14:dxf>
              <fill>
                <patternFill>
                  <bgColor rgb="FFFF0000"/>
                </patternFill>
              </fill>
            </x14:dxf>
          </x14:cfRule>
          <xm:sqref>BN48:BZ48</xm:sqref>
        </x14:conditionalFormatting>
        <x14:conditionalFormatting xmlns:xm="http://schemas.microsoft.com/office/excel/2006/main">
          <x14:cfRule type="expression" priority="4691933" id="{3E711E31-3992-4555-AB22-87133D60CD15}">
            <xm:f>$BP$4='Data entry'!$R20</xm:f>
            <x14:dxf>
              <fill>
                <patternFill>
                  <bgColor rgb="FFFFFF00"/>
                </patternFill>
              </fill>
            </x14:dxf>
          </x14:cfRule>
          <xm:sqref>BB47:BP47</xm:sqref>
        </x14:conditionalFormatting>
        <x14:conditionalFormatting xmlns:xm="http://schemas.microsoft.com/office/excel/2006/main">
          <x14:cfRule type="expression" priority="4691934" id="{23E9F8B9-37D5-4730-9453-6F23E8ECBBE3}">
            <xm:f>$BQ$4='Data entry'!$R20</xm:f>
            <x14:dxf>
              <fill>
                <patternFill>
                  <bgColor rgb="FFFFFF00"/>
                </patternFill>
              </fill>
            </x14:dxf>
          </x14:cfRule>
          <xm:sqref>BC47:BQ47</xm:sqref>
        </x14:conditionalFormatting>
        <x14:conditionalFormatting xmlns:xm="http://schemas.microsoft.com/office/excel/2006/main">
          <x14:cfRule type="expression" priority="4691935" id="{BCFD92F6-AAD3-44FD-BC61-A292A81B883E}">
            <xm:f>$BQ$4='Data entry'!$R20</xm:f>
            <x14:dxf>
              <fill>
                <patternFill>
                  <bgColor rgb="FFFF0000"/>
                </patternFill>
              </fill>
            </x14:dxf>
          </x14:cfRule>
          <xm:sqref>BO48:CA48</xm:sqref>
        </x14:conditionalFormatting>
        <x14:conditionalFormatting xmlns:xm="http://schemas.microsoft.com/office/excel/2006/main">
          <x14:cfRule type="expression" priority="4691936" id="{357D60E5-F356-477E-8020-A18F42C02832}">
            <xm:f>$BR$4='Data entry'!$R20</xm:f>
            <x14:dxf>
              <fill>
                <patternFill>
                  <bgColor rgb="FFFFFF00"/>
                </patternFill>
              </fill>
            </x14:dxf>
          </x14:cfRule>
          <xm:sqref>BD47:BR47</xm:sqref>
        </x14:conditionalFormatting>
        <x14:conditionalFormatting xmlns:xm="http://schemas.microsoft.com/office/excel/2006/main">
          <x14:cfRule type="expression" priority="4691937" id="{DA2B6511-43B3-432D-B6AA-1DB1188B90A6}">
            <xm:f>$BR$4='Data entry'!$R20</xm:f>
            <x14:dxf>
              <fill>
                <patternFill>
                  <bgColor rgb="FFFF0000"/>
                </patternFill>
              </fill>
            </x14:dxf>
          </x14:cfRule>
          <xm:sqref>BP48:CB48</xm:sqref>
        </x14:conditionalFormatting>
        <x14:conditionalFormatting xmlns:xm="http://schemas.microsoft.com/office/excel/2006/main">
          <x14:cfRule type="expression" priority="4691938" id="{0D5F64E4-4136-4BFA-B833-CC8578525D9C}">
            <xm:f>$BS$4='Data entry'!$R20</xm:f>
            <x14:dxf>
              <fill>
                <patternFill>
                  <bgColor rgb="FFFFFF00"/>
                </patternFill>
              </fill>
            </x14:dxf>
          </x14:cfRule>
          <xm:sqref>BE47:BS47</xm:sqref>
        </x14:conditionalFormatting>
        <x14:conditionalFormatting xmlns:xm="http://schemas.microsoft.com/office/excel/2006/main">
          <x14:cfRule type="expression" priority="4691939" id="{AC94D468-F078-4AE2-8771-102996E07B09}">
            <xm:f>$BS$4='Data entry'!$R20</xm:f>
            <x14:dxf>
              <fill>
                <patternFill>
                  <bgColor rgb="FFFF0000"/>
                </patternFill>
              </fill>
            </x14:dxf>
          </x14:cfRule>
          <xm:sqref>BQ48:CC48</xm:sqref>
        </x14:conditionalFormatting>
        <x14:conditionalFormatting xmlns:xm="http://schemas.microsoft.com/office/excel/2006/main">
          <x14:cfRule type="expression" priority="4691940" id="{10E78F76-181E-4F19-9F89-7DD36D3EFE30}">
            <xm:f>$BT$4='Data entry'!$R20</xm:f>
            <x14:dxf>
              <fill>
                <patternFill>
                  <bgColor rgb="FFFFFF00"/>
                </patternFill>
              </fill>
            </x14:dxf>
          </x14:cfRule>
          <xm:sqref>BF47:BT47</xm:sqref>
        </x14:conditionalFormatting>
        <x14:conditionalFormatting xmlns:xm="http://schemas.microsoft.com/office/excel/2006/main">
          <x14:cfRule type="expression" priority="4691941" id="{6A5FADC6-9512-4EFB-90A5-7B5244D10D1F}">
            <xm:f>$BT$4='Data entry'!$R20</xm:f>
            <x14:dxf>
              <fill>
                <patternFill>
                  <bgColor rgb="FFFF0000"/>
                </patternFill>
              </fill>
            </x14:dxf>
          </x14:cfRule>
          <xm:sqref>BR48:CC48</xm:sqref>
        </x14:conditionalFormatting>
        <x14:conditionalFormatting xmlns:xm="http://schemas.microsoft.com/office/excel/2006/main">
          <x14:cfRule type="expression" priority="4691942" id="{A51139D1-8841-4B96-B8CB-DFE3808765CF}">
            <xm:f>$BU$4='Data entry'!$R20</xm:f>
            <x14:dxf>
              <fill>
                <patternFill>
                  <bgColor rgb="FFFFFF00"/>
                </patternFill>
              </fill>
            </x14:dxf>
          </x14:cfRule>
          <xm:sqref>BG47:BU47</xm:sqref>
        </x14:conditionalFormatting>
        <x14:conditionalFormatting xmlns:xm="http://schemas.microsoft.com/office/excel/2006/main">
          <x14:cfRule type="expression" priority="4691943" id="{55CA7258-760F-4BFF-ACB5-A70FEB3E7981}">
            <xm:f>$BU$4='Data entry'!$R20</xm:f>
            <x14:dxf>
              <fill>
                <patternFill>
                  <bgColor rgb="FFFF0000"/>
                </patternFill>
              </fill>
            </x14:dxf>
          </x14:cfRule>
          <xm:sqref>BS48:CC48</xm:sqref>
        </x14:conditionalFormatting>
        <x14:conditionalFormatting xmlns:xm="http://schemas.microsoft.com/office/excel/2006/main">
          <x14:cfRule type="expression" priority="4691944" id="{A922B218-64DB-4CBB-9AB8-FE0EBB44E09E}">
            <xm:f>$BV$4='Data entry'!$R20</xm:f>
            <x14:dxf>
              <fill>
                <patternFill>
                  <bgColor rgb="FFFFFF00"/>
                </patternFill>
              </fill>
            </x14:dxf>
          </x14:cfRule>
          <xm:sqref>BH47:BV47</xm:sqref>
        </x14:conditionalFormatting>
        <x14:conditionalFormatting xmlns:xm="http://schemas.microsoft.com/office/excel/2006/main">
          <x14:cfRule type="expression" priority="4691945" id="{C98E908A-CD31-4778-B41C-7AFB9DBE639A}">
            <xm:f>$BV$4='Data entry'!$R20</xm:f>
            <x14:dxf>
              <fill>
                <patternFill>
                  <bgColor rgb="FFFF0000"/>
                </patternFill>
              </fill>
            </x14:dxf>
          </x14:cfRule>
          <xm:sqref>BT48:CC48</xm:sqref>
        </x14:conditionalFormatting>
        <x14:conditionalFormatting xmlns:xm="http://schemas.microsoft.com/office/excel/2006/main">
          <x14:cfRule type="expression" priority="4691946" id="{465CCCA3-B4DB-4B61-8AC7-8A5E4CEC9E3F}">
            <xm:f>$BW$4='Data entry'!$R20</xm:f>
            <x14:dxf>
              <fill>
                <patternFill>
                  <bgColor rgb="FFFFFF00"/>
                </patternFill>
              </fill>
            </x14:dxf>
          </x14:cfRule>
          <xm:sqref>BI47:BW47</xm:sqref>
        </x14:conditionalFormatting>
        <x14:conditionalFormatting xmlns:xm="http://schemas.microsoft.com/office/excel/2006/main">
          <x14:cfRule type="expression" priority="4691947" id="{37566F97-6D06-400B-A709-FE657B07687F}">
            <xm:f>$BW$4='Data entry'!$R20</xm:f>
            <x14:dxf>
              <fill>
                <patternFill>
                  <bgColor rgb="FFFF0000"/>
                </patternFill>
              </fill>
            </x14:dxf>
          </x14:cfRule>
          <xm:sqref>BU48:CC48</xm:sqref>
        </x14:conditionalFormatting>
        <x14:conditionalFormatting xmlns:xm="http://schemas.microsoft.com/office/excel/2006/main">
          <x14:cfRule type="expression" priority="4691948" id="{D8FBA3AC-5CF0-4E45-97CA-1D4DEE729ADA}">
            <xm:f>$BX$4='Data entry'!$R20</xm:f>
            <x14:dxf>
              <fill>
                <patternFill>
                  <bgColor rgb="FFFFFF00"/>
                </patternFill>
              </fill>
            </x14:dxf>
          </x14:cfRule>
          <xm:sqref>BJ47:BX47</xm:sqref>
        </x14:conditionalFormatting>
        <x14:conditionalFormatting xmlns:xm="http://schemas.microsoft.com/office/excel/2006/main">
          <x14:cfRule type="expression" priority="4691949" id="{E077C84B-A94F-431D-B232-4AFCC7C64F54}">
            <xm:f>$BX$4='Data entry'!$R20</xm:f>
            <x14:dxf>
              <fill>
                <patternFill>
                  <bgColor rgb="FFFF0000"/>
                </patternFill>
              </fill>
            </x14:dxf>
          </x14:cfRule>
          <xm:sqref>BV48:CC48</xm:sqref>
        </x14:conditionalFormatting>
        <x14:conditionalFormatting xmlns:xm="http://schemas.microsoft.com/office/excel/2006/main">
          <x14:cfRule type="expression" priority="4691950" id="{63783BA8-0C97-4A44-86FD-7A2BCF1B9957}">
            <xm:f>$BY$4='Data entry'!$R20</xm:f>
            <x14:dxf>
              <fill>
                <patternFill>
                  <bgColor rgb="FFFFFF00"/>
                </patternFill>
              </fill>
            </x14:dxf>
          </x14:cfRule>
          <xm:sqref>BK47:BY47</xm:sqref>
        </x14:conditionalFormatting>
        <x14:conditionalFormatting xmlns:xm="http://schemas.microsoft.com/office/excel/2006/main">
          <x14:cfRule type="expression" priority="4691951" id="{BB8DB8B4-B71B-46D2-AEE7-346F16103F74}">
            <xm:f>$BY$4='Data entry'!$R20</xm:f>
            <x14:dxf>
              <fill>
                <patternFill>
                  <bgColor rgb="FFFF0000"/>
                </patternFill>
              </fill>
            </x14:dxf>
          </x14:cfRule>
          <xm:sqref>BW48:CC48</xm:sqref>
        </x14:conditionalFormatting>
        <x14:conditionalFormatting xmlns:xm="http://schemas.microsoft.com/office/excel/2006/main">
          <x14:cfRule type="expression" priority="4691952" id="{1B638B98-2B06-4FEB-90C1-446A3E0A3979}">
            <xm:f>$BZ$4='Data entry'!$R20</xm:f>
            <x14:dxf>
              <fill>
                <patternFill>
                  <bgColor rgb="FFFFFF00"/>
                </patternFill>
              </fill>
            </x14:dxf>
          </x14:cfRule>
          <xm:sqref>BL47:BZ47</xm:sqref>
        </x14:conditionalFormatting>
        <x14:conditionalFormatting xmlns:xm="http://schemas.microsoft.com/office/excel/2006/main">
          <x14:cfRule type="expression" priority="4691953" id="{D3A0A2F8-D1B2-4DC5-B2A9-0EF53074E685}">
            <xm:f>$BZ$4='Data entry'!$R20</xm:f>
            <x14:dxf>
              <fill>
                <patternFill>
                  <bgColor rgb="FFFF0000"/>
                </patternFill>
              </fill>
            </x14:dxf>
          </x14:cfRule>
          <xm:sqref>BX48:CC48</xm:sqref>
        </x14:conditionalFormatting>
        <x14:conditionalFormatting xmlns:xm="http://schemas.microsoft.com/office/excel/2006/main">
          <x14:cfRule type="expression" priority="4691954" id="{83F6D018-7D3B-4D33-9998-11572F2F2FF5}">
            <xm:f>$CA$4='Data entry'!$R20</xm:f>
            <x14:dxf>
              <fill>
                <patternFill>
                  <bgColor rgb="FFFFFF00"/>
                </patternFill>
              </fill>
            </x14:dxf>
          </x14:cfRule>
          <xm:sqref>BM47:CA47</xm:sqref>
        </x14:conditionalFormatting>
        <x14:conditionalFormatting xmlns:xm="http://schemas.microsoft.com/office/excel/2006/main">
          <x14:cfRule type="expression" priority="4691955" id="{8E6D0B51-5626-4ED9-9072-C7A2C139704F}">
            <xm:f>$CA$4='Data entry'!$R20</xm:f>
            <x14:dxf>
              <fill>
                <patternFill>
                  <bgColor rgb="FFFF0000"/>
                </patternFill>
              </fill>
            </x14:dxf>
          </x14:cfRule>
          <xm:sqref>BY48:CC48</xm:sqref>
        </x14:conditionalFormatting>
        <x14:conditionalFormatting xmlns:xm="http://schemas.microsoft.com/office/excel/2006/main">
          <x14:cfRule type="expression" priority="4691956" id="{E1886EE4-3BDE-43A9-9F4B-79377FEC37FE}">
            <xm:f>$CB$4='Data entry'!$R20</xm:f>
            <x14:dxf>
              <fill>
                <patternFill>
                  <bgColor rgb="FFFFFF00"/>
                </patternFill>
              </fill>
            </x14:dxf>
          </x14:cfRule>
          <xm:sqref>BN47:CB47</xm:sqref>
        </x14:conditionalFormatting>
        <x14:conditionalFormatting xmlns:xm="http://schemas.microsoft.com/office/excel/2006/main">
          <x14:cfRule type="expression" priority="4691957" id="{ADEF572A-6C18-4602-BB86-01C96D36E07E}">
            <xm:f>$CB$4='Data entry'!$R20</xm:f>
            <x14:dxf>
              <fill>
                <patternFill>
                  <bgColor rgb="FFFF0000"/>
                </patternFill>
              </fill>
            </x14:dxf>
          </x14:cfRule>
          <xm:sqref>BZ48:CC48</xm:sqref>
        </x14:conditionalFormatting>
        <x14:conditionalFormatting xmlns:xm="http://schemas.microsoft.com/office/excel/2006/main">
          <x14:cfRule type="expression" priority="4691958" id="{7984E1C9-E073-4955-8543-62145CB6D008}">
            <xm:f>$CC$4='Data entry'!$R20</xm:f>
            <x14:dxf>
              <fill>
                <patternFill>
                  <bgColor rgb="FFFFFF00"/>
                </patternFill>
              </fill>
            </x14:dxf>
          </x14:cfRule>
          <xm:sqref>BO47:CC47</xm:sqref>
        </x14:conditionalFormatting>
        <x14:conditionalFormatting xmlns:xm="http://schemas.microsoft.com/office/excel/2006/main">
          <x14:cfRule type="expression" priority="4691959" id="{18A957B3-59FA-4698-BA92-2A208FF18E2F}">
            <xm:f>$CC$4='Data entry'!$R20</xm:f>
            <x14:dxf>
              <fill>
                <patternFill>
                  <bgColor rgb="FFFF0000"/>
                </patternFill>
              </fill>
            </x14:dxf>
          </x14:cfRule>
          <xm:sqref>CA48:CC48</xm:sqref>
        </x14:conditionalFormatting>
        <x14:conditionalFormatting xmlns:xm="http://schemas.microsoft.com/office/excel/2006/main">
          <x14:cfRule type="expression" priority="4692046" id="{5B0DB825-B7C2-40AC-B7EF-F267F054CFB9}">
            <xm:f>$U$4='Data entry'!$R21</xm:f>
            <x14:dxf>
              <fill>
                <patternFill>
                  <bgColor rgb="FFFF0000"/>
                </patternFill>
              </fill>
            </x14:dxf>
          </x14:cfRule>
          <xm:sqref>S51:AE51</xm:sqref>
        </x14:conditionalFormatting>
        <x14:conditionalFormatting xmlns:xm="http://schemas.microsoft.com/office/excel/2006/main">
          <x14:cfRule type="expression" priority="4692047" id="{18311200-E2BB-400F-B594-3B9A2C6068C2}">
            <xm:f>$V$4='Data entry'!$R21</xm:f>
            <x14:dxf>
              <fill>
                <patternFill>
                  <bgColor rgb="FFFF0000"/>
                </patternFill>
              </fill>
            </x14:dxf>
          </x14:cfRule>
          <xm:sqref>T51:AF51</xm:sqref>
        </x14:conditionalFormatting>
        <x14:conditionalFormatting xmlns:xm="http://schemas.microsoft.com/office/excel/2006/main">
          <x14:cfRule type="expression" priority="4692048" id="{D6DFB621-1A58-4C59-A987-ECAD0EB2D32B}">
            <xm:f>$V$4='Data entry'!$R21</xm:f>
            <x14:dxf>
              <fill>
                <patternFill>
                  <bgColor rgb="FFFFFF00"/>
                </patternFill>
              </fill>
            </x14:dxf>
          </x14:cfRule>
          <xm:sqref>H50:V50</xm:sqref>
        </x14:conditionalFormatting>
        <x14:conditionalFormatting xmlns:xm="http://schemas.microsoft.com/office/excel/2006/main">
          <x14:cfRule type="expression" priority="4692049" id="{5F87A680-DC5F-433D-A779-B7A534ACCDA9}">
            <xm:f>$W$4='Data entry'!$R21</xm:f>
            <x14:dxf>
              <fill>
                <patternFill>
                  <bgColor rgb="FFFF0000"/>
                </patternFill>
              </fill>
            </x14:dxf>
          </x14:cfRule>
          <xm:sqref>U51:AG51</xm:sqref>
        </x14:conditionalFormatting>
        <x14:conditionalFormatting xmlns:xm="http://schemas.microsoft.com/office/excel/2006/main">
          <x14:cfRule type="expression" priority="4692050" id="{964539FF-A92C-4F68-B268-B7157A32678C}">
            <xm:f>$W$4='Data entry'!$R21</xm:f>
            <x14:dxf>
              <fill>
                <patternFill>
                  <bgColor rgb="FFFFFF00"/>
                </patternFill>
              </fill>
            </x14:dxf>
          </x14:cfRule>
          <xm:sqref>I50:W50</xm:sqref>
        </x14:conditionalFormatting>
        <x14:conditionalFormatting xmlns:xm="http://schemas.microsoft.com/office/excel/2006/main">
          <x14:cfRule type="expression" priority="4692051" id="{46C1533A-F090-4A90-9309-3F59EC3FD3B0}">
            <xm:f>$X$4='Data entry'!$R21</xm:f>
            <x14:dxf>
              <fill>
                <patternFill>
                  <bgColor rgb="FFFF0000"/>
                </patternFill>
              </fill>
            </x14:dxf>
          </x14:cfRule>
          <xm:sqref>V51:AH51</xm:sqref>
        </x14:conditionalFormatting>
        <x14:conditionalFormatting xmlns:xm="http://schemas.microsoft.com/office/excel/2006/main">
          <x14:cfRule type="expression" priority="4692052" id="{7C70E81C-DDD4-4D75-933A-4F6A39893184}">
            <xm:f>$X$4='Data entry'!$R21</xm:f>
            <x14:dxf>
              <fill>
                <patternFill>
                  <bgColor rgb="FFFFFF00"/>
                </patternFill>
              </fill>
            </x14:dxf>
          </x14:cfRule>
          <xm:sqref>J50:X50</xm:sqref>
        </x14:conditionalFormatting>
        <x14:conditionalFormatting xmlns:xm="http://schemas.microsoft.com/office/excel/2006/main">
          <x14:cfRule type="expression" priority="4692053" id="{561AF073-0EF8-4B72-A119-40A639C4359D}">
            <xm:f>$Y$4='Data entry'!$R21</xm:f>
            <x14:dxf>
              <fill>
                <patternFill>
                  <bgColor rgb="FFFF0000"/>
                </patternFill>
              </fill>
            </x14:dxf>
          </x14:cfRule>
          <xm:sqref>W51:AI51</xm:sqref>
        </x14:conditionalFormatting>
        <x14:conditionalFormatting xmlns:xm="http://schemas.microsoft.com/office/excel/2006/main">
          <x14:cfRule type="expression" priority="4692054" id="{F242E808-8F07-4A89-9524-7D4C767CE357}">
            <xm:f>$Y$4='Data entry'!$R21</xm:f>
            <x14:dxf>
              <fill>
                <patternFill>
                  <bgColor rgb="FFFFFF00"/>
                </patternFill>
              </fill>
            </x14:dxf>
          </x14:cfRule>
          <xm:sqref>K50:Y50</xm:sqref>
        </x14:conditionalFormatting>
        <x14:conditionalFormatting xmlns:xm="http://schemas.microsoft.com/office/excel/2006/main">
          <x14:cfRule type="expression" priority="4692055" id="{DD601058-982B-4218-BD9D-64BB823C2633}">
            <xm:f>$Z$4='Data entry'!$R21</xm:f>
            <x14:dxf>
              <fill>
                <patternFill>
                  <bgColor rgb="FFFF0000"/>
                </patternFill>
              </fill>
            </x14:dxf>
          </x14:cfRule>
          <xm:sqref>X51:AJ51</xm:sqref>
        </x14:conditionalFormatting>
        <x14:conditionalFormatting xmlns:xm="http://schemas.microsoft.com/office/excel/2006/main">
          <x14:cfRule type="expression" priority="4692056" id="{C9DB141D-79F6-4093-92A3-7BF7A1622985}">
            <xm:f>$Z$4='Data entry'!$R21</xm:f>
            <x14:dxf>
              <fill>
                <patternFill>
                  <bgColor rgb="FFFFFF00"/>
                </patternFill>
              </fill>
            </x14:dxf>
          </x14:cfRule>
          <xm:sqref>L50:Z50</xm:sqref>
        </x14:conditionalFormatting>
        <x14:conditionalFormatting xmlns:xm="http://schemas.microsoft.com/office/excel/2006/main">
          <x14:cfRule type="expression" priority="4692057" id="{710EB8D3-F5C0-4E3C-8214-2D0C4E26F649}">
            <xm:f>$AA$4='Data entry'!$R21</xm:f>
            <x14:dxf>
              <fill>
                <patternFill>
                  <bgColor rgb="FFFF0000"/>
                </patternFill>
              </fill>
            </x14:dxf>
          </x14:cfRule>
          <xm:sqref>Y51:AK51</xm:sqref>
        </x14:conditionalFormatting>
        <x14:conditionalFormatting xmlns:xm="http://schemas.microsoft.com/office/excel/2006/main">
          <x14:cfRule type="expression" priority="4692058" id="{33825D69-C967-4D27-B395-5D44A3083802}">
            <xm:f>$AA$4='Data entry'!$R21</xm:f>
            <x14:dxf>
              <fill>
                <patternFill>
                  <bgColor rgb="FFFFFF00"/>
                </patternFill>
              </fill>
            </x14:dxf>
          </x14:cfRule>
          <xm:sqref>M50:AA50</xm:sqref>
        </x14:conditionalFormatting>
        <x14:conditionalFormatting xmlns:xm="http://schemas.microsoft.com/office/excel/2006/main">
          <x14:cfRule type="expression" priority="4692059" id="{9811A97D-351B-4D32-8754-AF433277E62B}">
            <xm:f>$AB$4='Data entry'!$R21</xm:f>
            <x14:dxf>
              <fill>
                <patternFill>
                  <bgColor rgb="FFFF0000"/>
                </patternFill>
              </fill>
            </x14:dxf>
          </x14:cfRule>
          <xm:sqref>Z51:AL51</xm:sqref>
        </x14:conditionalFormatting>
        <x14:conditionalFormatting xmlns:xm="http://schemas.microsoft.com/office/excel/2006/main">
          <x14:cfRule type="expression" priority="4692060" id="{6DD3E556-C72E-438B-92DA-3096ED1E4178}">
            <xm:f>$AB$4='Data entry'!$R21</xm:f>
            <x14:dxf>
              <fill>
                <patternFill>
                  <bgColor rgb="FFFFFF00"/>
                </patternFill>
              </fill>
            </x14:dxf>
          </x14:cfRule>
          <xm:sqref>N50:AB50</xm:sqref>
        </x14:conditionalFormatting>
        <x14:conditionalFormatting xmlns:xm="http://schemas.microsoft.com/office/excel/2006/main">
          <x14:cfRule type="expression" priority="4692061" id="{C0DF7A1B-D6BC-4371-BD3A-F0708147FA1C}">
            <xm:f>$AC$4='Data entry'!$R21</xm:f>
            <x14:dxf>
              <fill>
                <patternFill>
                  <bgColor rgb="FFFF0000"/>
                </patternFill>
              </fill>
            </x14:dxf>
          </x14:cfRule>
          <xm:sqref>AA51:AM51</xm:sqref>
        </x14:conditionalFormatting>
        <x14:conditionalFormatting xmlns:xm="http://schemas.microsoft.com/office/excel/2006/main">
          <x14:cfRule type="expression" priority="4692062" id="{DB2E1F48-AF0E-41F9-A976-6B1963CA5711}">
            <xm:f>$AC$4='Data entry'!$R21</xm:f>
            <x14:dxf>
              <fill>
                <patternFill>
                  <bgColor rgb="FFFFFF00"/>
                </patternFill>
              </fill>
            </x14:dxf>
          </x14:cfRule>
          <xm:sqref>O50:AC50</xm:sqref>
        </x14:conditionalFormatting>
        <x14:conditionalFormatting xmlns:xm="http://schemas.microsoft.com/office/excel/2006/main">
          <x14:cfRule type="expression" priority="4692063" id="{89909907-F9A9-4AF9-BC1D-304710A43F50}">
            <xm:f>$AD$4='Data entry'!$R21</xm:f>
            <x14:dxf>
              <fill>
                <patternFill>
                  <bgColor rgb="FFFF0000"/>
                </patternFill>
              </fill>
            </x14:dxf>
          </x14:cfRule>
          <xm:sqref>AB51:AN51</xm:sqref>
        </x14:conditionalFormatting>
        <x14:conditionalFormatting xmlns:xm="http://schemas.microsoft.com/office/excel/2006/main">
          <x14:cfRule type="expression" priority="4692064" id="{729676B7-E331-43A4-ACC9-850DCEE76A0E}">
            <xm:f>$AD$4='Data entry'!$R21</xm:f>
            <x14:dxf>
              <fill>
                <patternFill>
                  <bgColor rgb="FFFFFF00"/>
                </patternFill>
              </fill>
            </x14:dxf>
          </x14:cfRule>
          <xm:sqref>P50:AD50</xm:sqref>
        </x14:conditionalFormatting>
        <x14:conditionalFormatting xmlns:xm="http://schemas.microsoft.com/office/excel/2006/main">
          <x14:cfRule type="expression" priority="4692065" id="{00DA2C55-350E-44AA-ABEA-808FABFDA737}">
            <xm:f>$AE$4='Data entry'!$R21</xm:f>
            <x14:dxf>
              <fill>
                <patternFill>
                  <bgColor rgb="FFFF0000"/>
                </patternFill>
              </fill>
            </x14:dxf>
          </x14:cfRule>
          <xm:sqref>AC51:AO51</xm:sqref>
        </x14:conditionalFormatting>
        <x14:conditionalFormatting xmlns:xm="http://schemas.microsoft.com/office/excel/2006/main">
          <x14:cfRule type="expression" priority="4692066" id="{373C95F1-00C1-45E9-B561-5224945BA4A4}">
            <xm:f>$AE$4='Data entry'!$R21</xm:f>
            <x14:dxf>
              <fill>
                <patternFill>
                  <bgColor rgb="FFFFFF00"/>
                </patternFill>
              </fill>
            </x14:dxf>
          </x14:cfRule>
          <xm:sqref>Q50:AE50</xm:sqref>
        </x14:conditionalFormatting>
        <x14:conditionalFormatting xmlns:xm="http://schemas.microsoft.com/office/excel/2006/main">
          <x14:cfRule type="expression" priority="4692067" id="{65E90E74-6BEF-4B00-BD5E-ECACFEBC225A}">
            <xm:f>$AF$4='Data entry'!$R21</xm:f>
            <x14:dxf>
              <fill>
                <patternFill>
                  <bgColor rgb="FFFF0000"/>
                </patternFill>
              </fill>
            </x14:dxf>
          </x14:cfRule>
          <xm:sqref>AD51:AP51</xm:sqref>
        </x14:conditionalFormatting>
        <x14:conditionalFormatting xmlns:xm="http://schemas.microsoft.com/office/excel/2006/main">
          <x14:cfRule type="expression" priority="4692068" id="{56B519D7-E083-4811-B42B-D6CB10D44BB3}">
            <xm:f>$AF$4='Data entry'!$R21</xm:f>
            <x14:dxf>
              <fill>
                <patternFill>
                  <bgColor rgb="FFFFFF00"/>
                </patternFill>
              </fill>
            </x14:dxf>
          </x14:cfRule>
          <xm:sqref>R50:AF50</xm:sqref>
        </x14:conditionalFormatting>
        <x14:conditionalFormatting xmlns:xm="http://schemas.microsoft.com/office/excel/2006/main">
          <x14:cfRule type="expression" priority="4692069" id="{889682B6-BF9B-414B-86B7-1C802156B058}">
            <xm:f>$AG$4='Data entry'!$R21</xm:f>
            <x14:dxf>
              <fill>
                <patternFill>
                  <bgColor rgb="FFFF0000"/>
                </patternFill>
              </fill>
            </x14:dxf>
          </x14:cfRule>
          <xm:sqref>AE51:AQ51</xm:sqref>
        </x14:conditionalFormatting>
        <x14:conditionalFormatting xmlns:xm="http://schemas.microsoft.com/office/excel/2006/main">
          <x14:cfRule type="expression" priority="4692070" id="{19913D88-1940-4CB0-B29C-D46D60833BD5}">
            <xm:f>$AG$4='Data entry'!$R21</xm:f>
            <x14:dxf>
              <fill>
                <patternFill>
                  <bgColor rgb="FFFFFF00"/>
                </patternFill>
              </fill>
            </x14:dxf>
          </x14:cfRule>
          <xm:sqref>S50:AG50</xm:sqref>
        </x14:conditionalFormatting>
        <x14:conditionalFormatting xmlns:xm="http://schemas.microsoft.com/office/excel/2006/main">
          <x14:cfRule type="expression" priority="4692071" id="{3DD7B9A5-18A3-463F-BAD5-9796FC487328}">
            <xm:f>$AH$4='Data entry'!$R21</xm:f>
            <x14:dxf>
              <fill>
                <patternFill>
                  <bgColor rgb="FFFF0000"/>
                </patternFill>
              </fill>
            </x14:dxf>
          </x14:cfRule>
          <xm:sqref>AF51:AR51</xm:sqref>
        </x14:conditionalFormatting>
        <x14:conditionalFormatting xmlns:xm="http://schemas.microsoft.com/office/excel/2006/main">
          <x14:cfRule type="expression" priority="4692072" id="{31005CF4-5608-496E-91EB-F7F505046C80}">
            <xm:f>$AH$4='Data entry'!$R21</xm:f>
            <x14:dxf>
              <fill>
                <patternFill>
                  <bgColor rgb="FFFFFF00"/>
                </patternFill>
              </fill>
            </x14:dxf>
          </x14:cfRule>
          <xm:sqref>T50:AH50</xm:sqref>
        </x14:conditionalFormatting>
        <x14:conditionalFormatting xmlns:xm="http://schemas.microsoft.com/office/excel/2006/main">
          <x14:cfRule type="expression" priority="4692073" id="{CD14F654-5B7A-444F-8FC1-7DD71E76E475}">
            <xm:f>$AI$4='Data entry'!$R21</xm:f>
            <x14:dxf>
              <fill>
                <patternFill>
                  <bgColor rgb="FFFF0000"/>
                </patternFill>
              </fill>
            </x14:dxf>
          </x14:cfRule>
          <xm:sqref>AG51:AS51</xm:sqref>
        </x14:conditionalFormatting>
        <x14:conditionalFormatting xmlns:xm="http://schemas.microsoft.com/office/excel/2006/main">
          <x14:cfRule type="expression" priority="4692074" id="{0E4E448C-6C46-4285-B877-A61A90294385}">
            <xm:f>$AI$4='Data entry'!$R21</xm:f>
            <x14:dxf>
              <fill>
                <patternFill>
                  <bgColor rgb="FFFFFF00"/>
                </patternFill>
              </fill>
            </x14:dxf>
          </x14:cfRule>
          <xm:sqref>U50:AI50</xm:sqref>
        </x14:conditionalFormatting>
        <x14:conditionalFormatting xmlns:xm="http://schemas.microsoft.com/office/excel/2006/main">
          <x14:cfRule type="expression" priority="4692075" id="{B1C1818F-791C-403D-BE73-6F6E9DC6A16D}">
            <xm:f>$AJ$4='Data entry'!$R21</xm:f>
            <x14:dxf>
              <fill>
                <patternFill>
                  <bgColor rgb="FFFF0000"/>
                </patternFill>
              </fill>
            </x14:dxf>
          </x14:cfRule>
          <xm:sqref>AH51:AT51</xm:sqref>
        </x14:conditionalFormatting>
        <x14:conditionalFormatting xmlns:xm="http://schemas.microsoft.com/office/excel/2006/main">
          <x14:cfRule type="expression" priority="4692076" id="{A1237792-221B-431B-B8A7-E9A64DA46D93}">
            <xm:f>$AJ$4='Data entry'!$R21</xm:f>
            <x14:dxf>
              <fill>
                <patternFill>
                  <bgColor rgb="FFFFFF00"/>
                </patternFill>
              </fill>
            </x14:dxf>
          </x14:cfRule>
          <xm:sqref>V50:AJ50</xm:sqref>
        </x14:conditionalFormatting>
        <x14:conditionalFormatting xmlns:xm="http://schemas.microsoft.com/office/excel/2006/main">
          <x14:cfRule type="expression" priority="4692077" id="{617DC2AF-C7A3-4724-8EA3-17DEFEDC8949}">
            <xm:f>$AK$4='Data entry'!$R21</xm:f>
            <x14:dxf>
              <fill>
                <patternFill>
                  <bgColor rgb="FFFF0000"/>
                </patternFill>
              </fill>
            </x14:dxf>
          </x14:cfRule>
          <xm:sqref>AI51:AU51</xm:sqref>
        </x14:conditionalFormatting>
        <x14:conditionalFormatting xmlns:xm="http://schemas.microsoft.com/office/excel/2006/main">
          <x14:cfRule type="expression" priority="4692078" id="{AA72317D-37B1-48EB-A28B-BF2AC8DC4519}">
            <xm:f>$AK$4='Data entry'!$R21</xm:f>
            <x14:dxf>
              <fill>
                <patternFill>
                  <bgColor rgb="FFFFFF00"/>
                </patternFill>
              </fill>
            </x14:dxf>
          </x14:cfRule>
          <xm:sqref>W50:AK50</xm:sqref>
        </x14:conditionalFormatting>
        <x14:conditionalFormatting xmlns:xm="http://schemas.microsoft.com/office/excel/2006/main">
          <x14:cfRule type="expression" priority="4692079" id="{6CA9FB7A-20EA-4D3A-B74C-A001F4BE810D}">
            <xm:f>$AL$4='Data entry'!$R21</xm:f>
            <x14:dxf>
              <fill>
                <patternFill>
                  <bgColor rgb="FFFF0000"/>
                </patternFill>
              </fill>
            </x14:dxf>
          </x14:cfRule>
          <xm:sqref>AJ51:AV51</xm:sqref>
        </x14:conditionalFormatting>
        <x14:conditionalFormatting xmlns:xm="http://schemas.microsoft.com/office/excel/2006/main">
          <x14:cfRule type="expression" priority="4692080" id="{81A75DAA-573F-4EF3-A640-1B992C18BEA0}">
            <xm:f>$AL$4='Data entry'!$R21</xm:f>
            <x14:dxf>
              <fill>
                <patternFill>
                  <bgColor rgb="FFFFFF00"/>
                </patternFill>
              </fill>
            </x14:dxf>
          </x14:cfRule>
          <xm:sqref>X50:AL50</xm:sqref>
        </x14:conditionalFormatting>
        <x14:conditionalFormatting xmlns:xm="http://schemas.microsoft.com/office/excel/2006/main">
          <x14:cfRule type="expression" priority="4692081" id="{3D44713E-4ABA-4CCD-9DF4-5513A9FB5E1E}">
            <xm:f>$AM$4='Data entry'!$R21</xm:f>
            <x14:dxf>
              <fill>
                <patternFill>
                  <bgColor rgb="FFFF0000"/>
                </patternFill>
              </fill>
            </x14:dxf>
          </x14:cfRule>
          <xm:sqref>AK51:AW51</xm:sqref>
        </x14:conditionalFormatting>
        <x14:conditionalFormatting xmlns:xm="http://schemas.microsoft.com/office/excel/2006/main">
          <x14:cfRule type="expression" priority="4692082" id="{05A26B51-72A7-4423-822F-2BDBC28275D0}">
            <xm:f>$AM$4='Data entry'!$R21</xm:f>
            <x14:dxf>
              <fill>
                <patternFill>
                  <bgColor rgb="FFFFFF00"/>
                </patternFill>
              </fill>
            </x14:dxf>
          </x14:cfRule>
          <xm:sqref>Y50:AM50</xm:sqref>
        </x14:conditionalFormatting>
        <x14:conditionalFormatting xmlns:xm="http://schemas.microsoft.com/office/excel/2006/main">
          <x14:cfRule type="expression" priority="4692083" id="{B8A20675-6230-4694-A7F6-6B3DC7142773}">
            <xm:f>$AN$4='Data entry'!$R21</xm:f>
            <x14:dxf>
              <fill>
                <patternFill>
                  <bgColor rgb="FFFF0000"/>
                </patternFill>
              </fill>
            </x14:dxf>
          </x14:cfRule>
          <xm:sqref>AL51:AX51</xm:sqref>
        </x14:conditionalFormatting>
        <x14:conditionalFormatting xmlns:xm="http://schemas.microsoft.com/office/excel/2006/main">
          <x14:cfRule type="expression" priority="4692084" id="{8421181C-7450-42E9-BC1D-065CCFCA960E}">
            <xm:f>$AN$4='Data entry'!$R21</xm:f>
            <x14:dxf>
              <fill>
                <patternFill>
                  <bgColor rgb="FFFFFF00"/>
                </patternFill>
              </fill>
            </x14:dxf>
          </x14:cfRule>
          <xm:sqref>Z50:AN50</xm:sqref>
        </x14:conditionalFormatting>
        <x14:conditionalFormatting xmlns:xm="http://schemas.microsoft.com/office/excel/2006/main">
          <x14:cfRule type="expression" priority="4692085" id="{067FE4BD-6EF4-4684-B6E0-35AB2F267EE7}">
            <xm:f>$AO$4='Data entry'!$R21</xm:f>
            <x14:dxf>
              <fill>
                <patternFill>
                  <bgColor rgb="FFFF0000"/>
                </patternFill>
              </fill>
            </x14:dxf>
          </x14:cfRule>
          <xm:sqref>AM51:AY51</xm:sqref>
        </x14:conditionalFormatting>
        <x14:conditionalFormatting xmlns:xm="http://schemas.microsoft.com/office/excel/2006/main">
          <x14:cfRule type="expression" priority="4692086" id="{F7653492-88D1-47AC-8BA3-0CCE65C3C2AB}">
            <xm:f>$AO$4='Data entry'!$R21</xm:f>
            <x14:dxf>
              <fill>
                <patternFill>
                  <bgColor rgb="FFFFFF00"/>
                </patternFill>
              </fill>
            </x14:dxf>
          </x14:cfRule>
          <xm:sqref>AA50:AO50</xm:sqref>
        </x14:conditionalFormatting>
        <x14:conditionalFormatting xmlns:xm="http://schemas.microsoft.com/office/excel/2006/main">
          <x14:cfRule type="expression" priority="4692087" id="{207A5E5D-B322-482E-9193-1D7318138358}">
            <xm:f>$AP$4='Data entry'!$R21</xm:f>
            <x14:dxf>
              <fill>
                <patternFill>
                  <bgColor rgb="FFFF0000"/>
                </patternFill>
              </fill>
            </x14:dxf>
          </x14:cfRule>
          <xm:sqref>AN51:AZ51</xm:sqref>
        </x14:conditionalFormatting>
        <x14:conditionalFormatting xmlns:xm="http://schemas.microsoft.com/office/excel/2006/main">
          <x14:cfRule type="expression" priority="4692088" id="{21DA638D-4CA0-4067-BFF1-240CE1A0261B}">
            <xm:f>$AP$4='Data entry'!$R21</xm:f>
            <x14:dxf>
              <fill>
                <patternFill>
                  <bgColor rgb="FFFFFF00"/>
                </patternFill>
              </fill>
            </x14:dxf>
          </x14:cfRule>
          <xm:sqref>AB50:AP50</xm:sqref>
        </x14:conditionalFormatting>
        <x14:conditionalFormatting xmlns:xm="http://schemas.microsoft.com/office/excel/2006/main">
          <x14:cfRule type="expression" priority="4692089" id="{71963D96-A42A-4B90-BFC7-6D83D37766EF}">
            <xm:f>$AQ$4='Data entry'!$R21</xm:f>
            <x14:dxf>
              <fill>
                <patternFill>
                  <bgColor rgb="FFFF0000"/>
                </patternFill>
              </fill>
            </x14:dxf>
          </x14:cfRule>
          <xm:sqref>AO51:BA51</xm:sqref>
        </x14:conditionalFormatting>
        <x14:conditionalFormatting xmlns:xm="http://schemas.microsoft.com/office/excel/2006/main">
          <x14:cfRule type="expression" priority="4692090" id="{74952595-84B6-484F-8FF6-FCC1F337DF4D}">
            <xm:f>$AQ$4='Data entry'!$R21</xm:f>
            <x14:dxf>
              <fill>
                <patternFill>
                  <bgColor rgb="FFFFFF00"/>
                </patternFill>
              </fill>
            </x14:dxf>
          </x14:cfRule>
          <xm:sqref>AC50:AQ50</xm:sqref>
        </x14:conditionalFormatting>
        <x14:conditionalFormatting xmlns:xm="http://schemas.microsoft.com/office/excel/2006/main">
          <x14:cfRule type="expression" priority="4692091" id="{8AC9C4B9-0A34-4BC0-B0F7-CA89434C4911}">
            <xm:f>$P$4='Data entry'!$R21</xm:f>
            <x14:dxf>
              <fill>
                <patternFill>
                  <bgColor rgb="FFFFFF00"/>
                </patternFill>
              </fill>
            </x14:dxf>
          </x14:cfRule>
          <xm:sqref>C50:P50</xm:sqref>
        </x14:conditionalFormatting>
        <x14:conditionalFormatting xmlns:xm="http://schemas.microsoft.com/office/excel/2006/main">
          <x14:cfRule type="expression" priority="4692092" id="{0A726775-ABFD-4F22-967C-1A4D87BA3751}">
            <xm:f>$Q$4='Data entry'!$R21</xm:f>
            <x14:dxf>
              <fill>
                <patternFill>
                  <bgColor rgb="FFFFFF00"/>
                </patternFill>
              </fill>
            </x14:dxf>
          </x14:cfRule>
          <xm:sqref>C50:Q50</xm:sqref>
        </x14:conditionalFormatting>
        <x14:conditionalFormatting xmlns:xm="http://schemas.microsoft.com/office/excel/2006/main">
          <x14:cfRule type="expression" priority="4692093" id="{3A8414BD-262C-43B5-86EE-FA6901D00453}">
            <xm:f>$Q$4='Data entry'!$R21</xm:f>
            <x14:dxf>
              <fill>
                <patternFill>
                  <bgColor rgb="FFFF0000"/>
                </patternFill>
              </fill>
            </x14:dxf>
          </x14:cfRule>
          <xm:sqref>O51:AA51</xm:sqref>
        </x14:conditionalFormatting>
        <x14:conditionalFormatting xmlns:xm="http://schemas.microsoft.com/office/excel/2006/main">
          <x14:cfRule type="expression" priority="4692094" id="{B8B5501D-F3EF-4449-9306-F652960C65F4}">
            <xm:f>$R$4='Data entry'!$R21</xm:f>
            <x14:dxf>
              <fill>
                <patternFill>
                  <bgColor rgb="FFFF0000"/>
                </patternFill>
              </fill>
            </x14:dxf>
          </x14:cfRule>
          <xm:sqref>P51:AB51</xm:sqref>
        </x14:conditionalFormatting>
        <x14:conditionalFormatting xmlns:xm="http://schemas.microsoft.com/office/excel/2006/main">
          <x14:cfRule type="expression" priority="4692095" id="{5D070DEC-B82E-4D87-B907-A3E5AB836991}">
            <xm:f>$R$4='Data entry'!$R21</xm:f>
            <x14:dxf>
              <fill>
                <patternFill>
                  <bgColor rgb="FFFFFF00"/>
                </patternFill>
              </fill>
            </x14:dxf>
          </x14:cfRule>
          <xm:sqref>D50:R50</xm:sqref>
        </x14:conditionalFormatting>
        <x14:conditionalFormatting xmlns:xm="http://schemas.microsoft.com/office/excel/2006/main">
          <x14:cfRule type="expression" priority="4692096" id="{E4D16A10-F818-4664-9FB2-F0E839824D4B}">
            <xm:f>$S$4='Data entry'!$R21</xm:f>
            <x14:dxf>
              <fill>
                <patternFill>
                  <bgColor rgb="FFFF0000"/>
                </patternFill>
              </fill>
            </x14:dxf>
          </x14:cfRule>
          <xm:sqref>Q51:AC51</xm:sqref>
        </x14:conditionalFormatting>
        <x14:conditionalFormatting xmlns:xm="http://schemas.microsoft.com/office/excel/2006/main">
          <x14:cfRule type="expression" priority="4692097" id="{1A9F9911-A3E9-4730-AFBE-AB8C596545CA}">
            <xm:f>$S$4='Data entry'!$R21</xm:f>
            <x14:dxf>
              <fill>
                <patternFill>
                  <bgColor rgb="FFFFFF00"/>
                </patternFill>
              </fill>
            </x14:dxf>
          </x14:cfRule>
          <xm:sqref>E50:S50</xm:sqref>
        </x14:conditionalFormatting>
        <x14:conditionalFormatting xmlns:xm="http://schemas.microsoft.com/office/excel/2006/main">
          <x14:cfRule type="expression" priority="4692098" id="{8BB5CD1B-B2AC-442A-9550-26DE19A62D22}">
            <xm:f>$T$4='Data entry'!$R21</xm:f>
            <x14:dxf>
              <fill>
                <patternFill>
                  <bgColor rgb="FFFF0000"/>
                </patternFill>
              </fill>
            </x14:dxf>
          </x14:cfRule>
          <xm:sqref>R51:AD51</xm:sqref>
        </x14:conditionalFormatting>
        <x14:conditionalFormatting xmlns:xm="http://schemas.microsoft.com/office/excel/2006/main">
          <x14:cfRule type="expression" priority="4692099" id="{E7B59C69-7921-4049-84A1-8B3E5F7B0598}">
            <xm:f>$T$4='Data entry'!$R21</xm:f>
            <x14:dxf>
              <fill>
                <patternFill>
                  <bgColor rgb="FFFFFF00"/>
                </patternFill>
              </fill>
            </x14:dxf>
          </x14:cfRule>
          <xm:sqref>F50:T50</xm:sqref>
        </x14:conditionalFormatting>
        <x14:conditionalFormatting xmlns:xm="http://schemas.microsoft.com/office/excel/2006/main">
          <x14:cfRule type="expression" priority="4692100" id="{238C09E5-7A3D-439D-949F-A7733073F9A2}">
            <xm:f>$U$4='Data entry'!$R21</xm:f>
            <x14:dxf>
              <fill>
                <patternFill>
                  <bgColor rgb="FFFFFF00"/>
                </patternFill>
              </fill>
            </x14:dxf>
          </x14:cfRule>
          <xm:sqref>G50:U50</xm:sqref>
        </x14:conditionalFormatting>
        <x14:conditionalFormatting xmlns:xm="http://schemas.microsoft.com/office/excel/2006/main">
          <x14:cfRule type="expression" priority="4692101" id="{DE4D4432-0A19-452A-AF14-2873FE4DF411}">
            <xm:f>$AR$4='Data entry'!$R21</xm:f>
            <x14:dxf>
              <fill>
                <patternFill>
                  <bgColor rgb="FFFF0000"/>
                </patternFill>
              </fill>
            </x14:dxf>
          </x14:cfRule>
          <xm:sqref>AP51:BB51</xm:sqref>
        </x14:conditionalFormatting>
        <x14:conditionalFormatting xmlns:xm="http://schemas.microsoft.com/office/excel/2006/main">
          <x14:cfRule type="expression" priority="4692102" id="{90D7E1FF-542D-40C8-9BD5-DFEB4CDD256F}">
            <xm:f>$AR$4='Data entry'!$R21</xm:f>
            <x14:dxf>
              <fill>
                <patternFill>
                  <bgColor rgb="FFFFFF00"/>
                </patternFill>
              </fill>
            </x14:dxf>
          </x14:cfRule>
          <xm:sqref>AD50:AR50</xm:sqref>
        </x14:conditionalFormatting>
        <x14:conditionalFormatting xmlns:xm="http://schemas.microsoft.com/office/excel/2006/main">
          <x14:cfRule type="expression" priority="4692103" id="{0EBB5305-4A4A-4205-A1FF-11160070CBC3}">
            <xm:f>$AS$4='Data entry'!$R21</xm:f>
            <x14:dxf>
              <fill>
                <patternFill>
                  <bgColor rgb="FFFF0000"/>
                </patternFill>
              </fill>
            </x14:dxf>
          </x14:cfRule>
          <xm:sqref>AQ51:BC51</xm:sqref>
        </x14:conditionalFormatting>
        <x14:conditionalFormatting xmlns:xm="http://schemas.microsoft.com/office/excel/2006/main">
          <x14:cfRule type="expression" priority="4692104" id="{AC8EB30C-4253-4CE1-820E-1801F6D8D35B}">
            <xm:f>$AS$4='Data entry'!$R21</xm:f>
            <x14:dxf>
              <fill>
                <patternFill>
                  <bgColor rgb="FFFFFF00"/>
                </patternFill>
              </fill>
            </x14:dxf>
          </x14:cfRule>
          <xm:sqref>AE50:AS50</xm:sqref>
        </x14:conditionalFormatting>
        <x14:conditionalFormatting xmlns:xm="http://schemas.microsoft.com/office/excel/2006/main">
          <x14:cfRule type="expression" priority="4692105" id="{E11744C1-7201-4272-A1B0-945490B42425}">
            <xm:f>$AT$4='Data entry'!$R21</xm:f>
            <x14:dxf>
              <fill>
                <patternFill>
                  <bgColor rgb="FFFF0000"/>
                </patternFill>
              </fill>
            </x14:dxf>
          </x14:cfRule>
          <xm:sqref>AR51:BD51</xm:sqref>
        </x14:conditionalFormatting>
        <x14:conditionalFormatting xmlns:xm="http://schemas.microsoft.com/office/excel/2006/main">
          <x14:cfRule type="expression" priority="4692106" id="{5EE2823B-E955-4EA7-B99C-0B1F77B57A69}">
            <xm:f>$AT$4='Data entry'!$R21</xm:f>
            <x14:dxf>
              <fill>
                <patternFill>
                  <bgColor rgb="FFFFFF00"/>
                </patternFill>
              </fill>
            </x14:dxf>
          </x14:cfRule>
          <xm:sqref>AF50:AT50</xm:sqref>
        </x14:conditionalFormatting>
        <x14:conditionalFormatting xmlns:xm="http://schemas.microsoft.com/office/excel/2006/main">
          <x14:cfRule type="expression" priority="4692107" id="{5737DC63-3262-4B34-900C-2AAEB255FCBA}">
            <xm:f>$AU$4='Data entry'!$R21</xm:f>
            <x14:dxf>
              <fill>
                <patternFill>
                  <bgColor rgb="FFFF0000"/>
                </patternFill>
              </fill>
            </x14:dxf>
          </x14:cfRule>
          <xm:sqref>AS51:BE51</xm:sqref>
        </x14:conditionalFormatting>
        <x14:conditionalFormatting xmlns:xm="http://schemas.microsoft.com/office/excel/2006/main">
          <x14:cfRule type="expression" priority="4692108" id="{2B5C1F1B-3C3D-4CA3-BC64-0E98422075B6}">
            <xm:f>$AU$4='Data entry'!$R21</xm:f>
            <x14:dxf>
              <fill>
                <patternFill>
                  <bgColor rgb="FFFFFF00"/>
                </patternFill>
              </fill>
            </x14:dxf>
          </x14:cfRule>
          <xm:sqref>AG50:AU50</xm:sqref>
        </x14:conditionalFormatting>
        <x14:conditionalFormatting xmlns:xm="http://schemas.microsoft.com/office/excel/2006/main">
          <x14:cfRule type="expression" priority="4692109" id="{B87A1285-B003-4855-8F4B-53C391BA10E6}">
            <xm:f>$AV$4='Data entry'!$R21</xm:f>
            <x14:dxf>
              <fill>
                <patternFill>
                  <bgColor rgb="FFFF0000"/>
                </patternFill>
              </fill>
            </x14:dxf>
          </x14:cfRule>
          <xm:sqref>AT51:BF51</xm:sqref>
        </x14:conditionalFormatting>
        <x14:conditionalFormatting xmlns:xm="http://schemas.microsoft.com/office/excel/2006/main">
          <x14:cfRule type="expression" priority="4692110" id="{338EE31C-78DB-4818-B837-0380F9E457FA}">
            <xm:f>$AV$4='Data entry'!$R21</xm:f>
            <x14:dxf>
              <fill>
                <patternFill>
                  <bgColor rgb="FFFFFF00"/>
                </patternFill>
              </fill>
            </x14:dxf>
          </x14:cfRule>
          <xm:sqref>AH50:AV50</xm:sqref>
        </x14:conditionalFormatting>
        <x14:conditionalFormatting xmlns:xm="http://schemas.microsoft.com/office/excel/2006/main">
          <x14:cfRule type="expression" priority="4692111" id="{5C40EA66-2801-4C91-B885-BF6A1ECFC35C}">
            <xm:f>$AW$4='Data entry'!$R21</xm:f>
            <x14:dxf>
              <fill>
                <patternFill>
                  <bgColor rgb="FFFF0000"/>
                </patternFill>
              </fill>
            </x14:dxf>
          </x14:cfRule>
          <xm:sqref>AU51:BG51</xm:sqref>
        </x14:conditionalFormatting>
        <x14:conditionalFormatting xmlns:xm="http://schemas.microsoft.com/office/excel/2006/main">
          <x14:cfRule type="expression" priority="4692112" id="{51BCD5CE-DF86-4C2F-8A81-DDA1EFD6C8F7}">
            <xm:f>$AW$4='Data entry'!$R21</xm:f>
            <x14:dxf>
              <fill>
                <patternFill>
                  <bgColor rgb="FFFFFF00"/>
                </patternFill>
              </fill>
            </x14:dxf>
          </x14:cfRule>
          <xm:sqref>AI50:AW50</xm:sqref>
        </x14:conditionalFormatting>
        <x14:conditionalFormatting xmlns:xm="http://schemas.microsoft.com/office/excel/2006/main">
          <x14:cfRule type="expression" priority="4692113" id="{DC2ED5A0-8917-4877-8CD3-9DF9BE5993C9}">
            <xm:f>$AX$4='Data entry'!$R21</xm:f>
            <x14:dxf>
              <fill>
                <patternFill>
                  <bgColor rgb="FFFF0000"/>
                </patternFill>
              </fill>
            </x14:dxf>
          </x14:cfRule>
          <xm:sqref>AV51:BH51</xm:sqref>
        </x14:conditionalFormatting>
        <x14:conditionalFormatting xmlns:xm="http://schemas.microsoft.com/office/excel/2006/main">
          <x14:cfRule type="expression" priority="4692114" id="{59B31869-20F9-45BD-BC80-0A6C8945CE2C}">
            <xm:f>$AX$4='Data entry'!$R21</xm:f>
            <x14:dxf>
              <fill>
                <patternFill>
                  <bgColor rgb="FFFFFF00"/>
                </patternFill>
              </fill>
            </x14:dxf>
          </x14:cfRule>
          <xm:sqref>AJ50:AX50</xm:sqref>
        </x14:conditionalFormatting>
        <x14:conditionalFormatting xmlns:xm="http://schemas.microsoft.com/office/excel/2006/main">
          <x14:cfRule type="expression" priority="4692115" id="{D4208FA0-4262-4037-934C-6D0742B2AD8E}">
            <xm:f>$AY$4='Data entry'!$R21</xm:f>
            <x14:dxf>
              <fill>
                <patternFill>
                  <bgColor rgb="FFFF0000"/>
                </patternFill>
              </fill>
            </x14:dxf>
          </x14:cfRule>
          <xm:sqref>AW51:BI51</xm:sqref>
        </x14:conditionalFormatting>
        <x14:conditionalFormatting xmlns:xm="http://schemas.microsoft.com/office/excel/2006/main">
          <x14:cfRule type="expression" priority="4692116" id="{04D6E423-18C7-42B2-A67D-F49D8E62B571}">
            <xm:f>$AY$4='Data entry'!$R21</xm:f>
            <x14:dxf>
              <fill>
                <patternFill>
                  <bgColor rgb="FFFFFF00"/>
                </patternFill>
              </fill>
            </x14:dxf>
          </x14:cfRule>
          <xm:sqref>AK50:AY50</xm:sqref>
        </x14:conditionalFormatting>
        <x14:conditionalFormatting xmlns:xm="http://schemas.microsoft.com/office/excel/2006/main">
          <x14:cfRule type="expression" priority="4692117" id="{A931C203-6E4B-4EBD-A2F4-1876881F48D4}">
            <xm:f>$AZ$4='Data entry'!$R21</xm:f>
            <x14:dxf>
              <fill>
                <patternFill>
                  <bgColor rgb="FFFF0000"/>
                </patternFill>
              </fill>
            </x14:dxf>
          </x14:cfRule>
          <xm:sqref>AX51:BJ51</xm:sqref>
        </x14:conditionalFormatting>
        <x14:conditionalFormatting xmlns:xm="http://schemas.microsoft.com/office/excel/2006/main">
          <x14:cfRule type="expression" priority="4692118" id="{092D9100-E652-40FE-8CAA-720DC0681250}">
            <xm:f>$AZ$4='Data entry'!$R21</xm:f>
            <x14:dxf>
              <fill>
                <patternFill>
                  <bgColor rgb="FFFFFF00"/>
                </patternFill>
              </fill>
            </x14:dxf>
          </x14:cfRule>
          <xm:sqref>AL50:AZ50</xm:sqref>
        </x14:conditionalFormatting>
        <x14:conditionalFormatting xmlns:xm="http://schemas.microsoft.com/office/excel/2006/main">
          <x14:cfRule type="expression" priority="4692119" id="{A3C7E6BE-A225-483C-A983-A915DB662C52}">
            <xm:f>$BA$4='Data entry'!$R21</xm:f>
            <x14:dxf>
              <fill>
                <patternFill>
                  <bgColor rgb="FFFF0000"/>
                </patternFill>
              </fill>
            </x14:dxf>
          </x14:cfRule>
          <xm:sqref>AY51:BK51</xm:sqref>
        </x14:conditionalFormatting>
        <x14:conditionalFormatting xmlns:xm="http://schemas.microsoft.com/office/excel/2006/main">
          <x14:cfRule type="expression" priority="4692120" id="{F5CF569A-8AFA-4CFF-8BD3-F04D8927A99F}">
            <xm:f>$BA$4='Data entry'!$R21</xm:f>
            <x14:dxf>
              <fill>
                <patternFill>
                  <bgColor rgb="FFFFFF00"/>
                </patternFill>
              </fill>
            </x14:dxf>
          </x14:cfRule>
          <xm:sqref>AM50:BA50</xm:sqref>
        </x14:conditionalFormatting>
        <x14:conditionalFormatting xmlns:xm="http://schemas.microsoft.com/office/excel/2006/main">
          <x14:cfRule type="expression" priority="4692121" id="{E4DAC94A-7983-4BFB-A87B-45B58561841A}">
            <xm:f>$BB$4='Data entry'!$R21</xm:f>
            <x14:dxf>
              <fill>
                <patternFill>
                  <bgColor rgb="FFFF0000"/>
                </patternFill>
              </fill>
            </x14:dxf>
          </x14:cfRule>
          <xm:sqref>AZ51:BL51</xm:sqref>
        </x14:conditionalFormatting>
        <x14:conditionalFormatting xmlns:xm="http://schemas.microsoft.com/office/excel/2006/main">
          <x14:cfRule type="expression" priority="4692122" id="{E63849C5-F39B-4B0E-8F8A-B532EDF2CBAE}">
            <xm:f>$BB$4='Data entry'!$R21</xm:f>
            <x14:dxf>
              <fill>
                <patternFill>
                  <bgColor rgb="FFFFFF00"/>
                </patternFill>
              </fill>
            </x14:dxf>
          </x14:cfRule>
          <xm:sqref>AN50:BB50</xm:sqref>
        </x14:conditionalFormatting>
        <x14:conditionalFormatting xmlns:xm="http://schemas.microsoft.com/office/excel/2006/main">
          <x14:cfRule type="expression" priority="4692123" id="{4FDC32D3-C1F5-455D-9AA4-A03359B72526}">
            <xm:f>$BC$4='Data entry'!$R21</xm:f>
            <x14:dxf>
              <fill>
                <patternFill>
                  <bgColor rgb="FFFF0000"/>
                </patternFill>
              </fill>
            </x14:dxf>
          </x14:cfRule>
          <xm:sqref>BA51:BM51</xm:sqref>
        </x14:conditionalFormatting>
        <x14:conditionalFormatting xmlns:xm="http://schemas.microsoft.com/office/excel/2006/main">
          <x14:cfRule type="expression" priority="4692124" id="{5F0D0C60-B233-4C56-B05D-98C99990877F}">
            <xm:f>$BC$4='Data entry'!$R21</xm:f>
            <x14:dxf>
              <fill>
                <patternFill>
                  <bgColor rgb="FFFFFF00"/>
                </patternFill>
              </fill>
            </x14:dxf>
          </x14:cfRule>
          <xm:sqref>AO50:BC50</xm:sqref>
        </x14:conditionalFormatting>
        <x14:conditionalFormatting xmlns:xm="http://schemas.microsoft.com/office/excel/2006/main">
          <x14:cfRule type="expression" priority="4692125" id="{9EBCB60F-8135-43B6-A0F3-548D4092CC98}">
            <xm:f>$BD$4='Data entry'!$R21</xm:f>
            <x14:dxf>
              <fill>
                <patternFill>
                  <bgColor rgb="FFFF0000"/>
                </patternFill>
              </fill>
            </x14:dxf>
          </x14:cfRule>
          <xm:sqref>BB51:BN51</xm:sqref>
        </x14:conditionalFormatting>
        <x14:conditionalFormatting xmlns:xm="http://schemas.microsoft.com/office/excel/2006/main">
          <x14:cfRule type="expression" priority="4692126" id="{961AF346-4A73-41ED-9A8D-27D431B09C05}">
            <xm:f>$BD$4='Data entry'!$R21</xm:f>
            <x14:dxf>
              <fill>
                <patternFill>
                  <bgColor rgb="FFFFFF00"/>
                </patternFill>
              </fill>
            </x14:dxf>
          </x14:cfRule>
          <xm:sqref>AP50:BD50</xm:sqref>
        </x14:conditionalFormatting>
        <x14:conditionalFormatting xmlns:xm="http://schemas.microsoft.com/office/excel/2006/main">
          <x14:cfRule type="expression" priority="4692127" id="{5A887026-27CD-4F8C-8BA6-1E92704C1CA6}">
            <xm:f>$BE$4='Data entry'!$R21</xm:f>
            <x14:dxf>
              <fill>
                <patternFill>
                  <bgColor rgb="FFFF0000"/>
                </patternFill>
              </fill>
            </x14:dxf>
          </x14:cfRule>
          <xm:sqref>BC51:BO51</xm:sqref>
        </x14:conditionalFormatting>
        <x14:conditionalFormatting xmlns:xm="http://schemas.microsoft.com/office/excel/2006/main">
          <x14:cfRule type="expression" priority="4692128" id="{7F46217B-A1E9-4515-B31E-E756FCD7C6D9}">
            <xm:f>$BE$4='Data entry'!$R21</xm:f>
            <x14:dxf>
              <fill>
                <patternFill>
                  <bgColor rgb="FFFFFF00"/>
                </patternFill>
              </fill>
            </x14:dxf>
          </x14:cfRule>
          <xm:sqref>AP50:BE50</xm:sqref>
        </x14:conditionalFormatting>
        <x14:conditionalFormatting xmlns:xm="http://schemas.microsoft.com/office/excel/2006/main">
          <x14:cfRule type="expression" priority="4692129" id="{F4D9285C-8CA0-4EF1-943E-6A462D47CC77}">
            <xm:f>$BF$4='Data entry'!$R21</xm:f>
            <x14:dxf>
              <fill>
                <patternFill>
                  <bgColor rgb="FFFF0000"/>
                </patternFill>
              </fill>
            </x14:dxf>
          </x14:cfRule>
          <xm:sqref>BD51:BP51</xm:sqref>
        </x14:conditionalFormatting>
        <x14:conditionalFormatting xmlns:xm="http://schemas.microsoft.com/office/excel/2006/main">
          <x14:cfRule type="expression" priority="4692130" id="{B9E4407D-651D-4DC0-9D61-3271D62A65E9}">
            <xm:f>$BF$4='Data entry'!$R21</xm:f>
            <x14:dxf>
              <fill>
                <patternFill>
                  <bgColor rgb="FFFFFF00"/>
                </patternFill>
              </fill>
            </x14:dxf>
          </x14:cfRule>
          <xm:sqref>AR50:BF50</xm:sqref>
        </x14:conditionalFormatting>
        <x14:conditionalFormatting xmlns:xm="http://schemas.microsoft.com/office/excel/2006/main">
          <x14:cfRule type="expression" priority="4692131" id="{4CDC062F-DDFF-4556-B941-08F919727F69}">
            <xm:f>$BG$4='Data entry'!$R21</xm:f>
            <x14:dxf>
              <fill>
                <patternFill>
                  <bgColor rgb="FFFF0000"/>
                </patternFill>
              </fill>
            </x14:dxf>
          </x14:cfRule>
          <xm:sqref>BE51:BQ51</xm:sqref>
        </x14:conditionalFormatting>
        <x14:conditionalFormatting xmlns:xm="http://schemas.microsoft.com/office/excel/2006/main">
          <x14:cfRule type="expression" priority="4692132" id="{789184FA-9055-433B-8A1B-92C7ED59E81F}">
            <xm:f>$BG$4='Data entry'!$R21</xm:f>
            <x14:dxf>
              <fill>
                <patternFill>
                  <bgColor rgb="FFFFFF00"/>
                </patternFill>
              </fill>
            </x14:dxf>
          </x14:cfRule>
          <xm:sqref>AS50:BG50</xm:sqref>
        </x14:conditionalFormatting>
        <x14:conditionalFormatting xmlns:xm="http://schemas.microsoft.com/office/excel/2006/main">
          <x14:cfRule type="expression" priority="4692133" id="{58651E5C-09C9-46C1-B95C-E8A578A49E15}">
            <xm:f>$BH$4='Data entry'!$R21</xm:f>
            <x14:dxf>
              <fill>
                <patternFill>
                  <bgColor rgb="FFFFFF00"/>
                </patternFill>
              </fill>
            </x14:dxf>
          </x14:cfRule>
          <xm:sqref>AT50:BH50</xm:sqref>
        </x14:conditionalFormatting>
        <x14:conditionalFormatting xmlns:xm="http://schemas.microsoft.com/office/excel/2006/main">
          <x14:cfRule type="expression" priority="4692134" id="{97B30B86-8311-4DC0-A533-8C0D53F37839}">
            <xm:f>$BH$4='Data entry'!$R21</xm:f>
            <x14:dxf>
              <fill>
                <patternFill>
                  <bgColor rgb="FFFF0000"/>
                </patternFill>
              </fill>
            </x14:dxf>
          </x14:cfRule>
          <xm:sqref>BF51:BR51</xm:sqref>
        </x14:conditionalFormatting>
        <x14:conditionalFormatting xmlns:xm="http://schemas.microsoft.com/office/excel/2006/main">
          <x14:cfRule type="expression" priority="4692135" id="{78344C0C-5AEA-40B1-A20C-6D77DF58E1F5}">
            <xm:f>$BI$4='Data entry'!$R21</xm:f>
            <x14:dxf>
              <fill>
                <patternFill>
                  <bgColor rgb="FFFFFF00"/>
                </patternFill>
              </fill>
            </x14:dxf>
          </x14:cfRule>
          <xm:sqref>AU50:BI50</xm:sqref>
        </x14:conditionalFormatting>
        <x14:conditionalFormatting xmlns:xm="http://schemas.microsoft.com/office/excel/2006/main">
          <x14:cfRule type="expression" priority="4692136" id="{A9CE044F-482E-4F25-B28F-89ACC58502B1}">
            <xm:f>$BI$4='Data entry'!$R21</xm:f>
            <x14:dxf>
              <fill>
                <patternFill>
                  <bgColor rgb="FFFF0000"/>
                </patternFill>
              </fill>
            </x14:dxf>
          </x14:cfRule>
          <xm:sqref>BG51:BS51</xm:sqref>
        </x14:conditionalFormatting>
        <x14:conditionalFormatting xmlns:xm="http://schemas.microsoft.com/office/excel/2006/main">
          <x14:cfRule type="expression" priority="4692137" id="{F63BE0EB-3C71-4456-BEF0-11180AB7A8BB}">
            <xm:f>$BJ$4='Data entry'!$R21</xm:f>
            <x14:dxf>
              <fill>
                <patternFill>
                  <bgColor rgb="FFFFFF00"/>
                </patternFill>
              </fill>
            </x14:dxf>
          </x14:cfRule>
          <xm:sqref>AV50:BJ50</xm:sqref>
        </x14:conditionalFormatting>
        <x14:conditionalFormatting xmlns:xm="http://schemas.microsoft.com/office/excel/2006/main">
          <x14:cfRule type="expression" priority="4692138" id="{478A5DCB-1DAA-4497-A6CC-B4F01FB96D10}">
            <xm:f>$BJ$4='Data entry'!$R21</xm:f>
            <x14:dxf>
              <fill>
                <patternFill>
                  <bgColor rgb="FFFF0000"/>
                </patternFill>
              </fill>
            </x14:dxf>
          </x14:cfRule>
          <xm:sqref>BH51:BT51</xm:sqref>
        </x14:conditionalFormatting>
        <x14:conditionalFormatting xmlns:xm="http://schemas.microsoft.com/office/excel/2006/main">
          <x14:cfRule type="expression" priority="4692139" id="{CDE4AD5B-65A6-4FA4-9EC0-8D05F22312A9}">
            <xm:f>$BK$4='Data entry'!$R21</xm:f>
            <x14:dxf>
              <fill>
                <patternFill>
                  <bgColor rgb="FFFF0000"/>
                </patternFill>
              </fill>
            </x14:dxf>
          </x14:cfRule>
          <xm:sqref>BI51:BU51</xm:sqref>
        </x14:conditionalFormatting>
        <x14:conditionalFormatting xmlns:xm="http://schemas.microsoft.com/office/excel/2006/main">
          <x14:cfRule type="expression" priority="4692140" id="{AB32E790-6CD8-4D11-9A69-57D785FE4BBC}">
            <xm:f>$BK$4='Data entry'!$R21</xm:f>
            <x14:dxf>
              <fill>
                <patternFill>
                  <bgColor rgb="FFFFFF00"/>
                </patternFill>
              </fill>
            </x14:dxf>
          </x14:cfRule>
          <xm:sqref>AW50:BK50</xm:sqref>
        </x14:conditionalFormatting>
        <x14:conditionalFormatting xmlns:xm="http://schemas.microsoft.com/office/excel/2006/main">
          <x14:cfRule type="expression" priority="4692141" id="{99810EB9-805C-43D8-852A-EEECE7874CDB}">
            <xm:f>$BL$4='Data entry'!$R21</xm:f>
            <x14:dxf>
              <fill>
                <patternFill>
                  <bgColor rgb="FFFF0000"/>
                </patternFill>
              </fill>
            </x14:dxf>
          </x14:cfRule>
          <xm:sqref>BJ51:BV51</xm:sqref>
        </x14:conditionalFormatting>
        <x14:conditionalFormatting xmlns:xm="http://schemas.microsoft.com/office/excel/2006/main">
          <x14:cfRule type="expression" priority="4692142" id="{BF5F5475-4E46-479C-97A6-D5175F5D1803}">
            <xm:f>$BL$4='Data entry'!$R21</xm:f>
            <x14:dxf>
              <fill>
                <patternFill>
                  <bgColor rgb="FFFFFF00"/>
                </patternFill>
              </fill>
            </x14:dxf>
          </x14:cfRule>
          <xm:sqref>AX50:BL50</xm:sqref>
        </x14:conditionalFormatting>
        <x14:conditionalFormatting xmlns:xm="http://schemas.microsoft.com/office/excel/2006/main">
          <x14:cfRule type="expression" priority="4692143" id="{B86FDF2F-16C9-46B1-847E-7EA1A8A34B9D}">
            <xm:f>$BM$4='Data entry'!$R21</xm:f>
            <x14:dxf>
              <fill>
                <patternFill>
                  <bgColor rgb="FFFF0000"/>
                </patternFill>
              </fill>
            </x14:dxf>
          </x14:cfRule>
          <xm:sqref>BK51:BW51</xm:sqref>
        </x14:conditionalFormatting>
        <x14:conditionalFormatting xmlns:xm="http://schemas.microsoft.com/office/excel/2006/main">
          <x14:cfRule type="expression" priority="4692144" id="{72FD189F-4CED-400D-9FEF-21A328970A4D}">
            <xm:f>$BM$4='Data entry'!$R21</xm:f>
            <x14:dxf>
              <fill>
                <patternFill>
                  <bgColor rgb="FFFFFF00"/>
                </patternFill>
              </fill>
            </x14:dxf>
          </x14:cfRule>
          <xm:sqref>AY50:BM50</xm:sqref>
        </x14:conditionalFormatting>
        <x14:conditionalFormatting xmlns:xm="http://schemas.microsoft.com/office/excel/2006/main">
          <x14:cfRule type="expression" priority="4692145" id="{BBBBF859-D5A7-4F55-BFBF-8A77E3357590}">
            <xm:f>$BN$4='Data entry'!$R21</xm:f>
            <x14:dxf>
              <fill>
                <patternFill>
                  <bgColor rgb="FFFF0000"/>
                </patternFill>
              </fill>
            </x14:dxf>
          </x14:cfRule>
          <xm:sqref>BL51:BX51</xm:sqref>
        </x14:conditionalFormatting>
        <x14:conditionalFormatting xmlns:xm="http://schemas.microsoft.com/office/excel/2006/main">
          <x14:cfRule type="expression" priority="4692146" id="{50CB1D75-0FD5-4D24-92B1-E8A41DC6575C}">
            <xm:f>$BN$4='Data entry'!$R21</xm:f>
            <x14:dxf>
              <fill>
                <patternFill>
                  <bgColor rgb="FFFFFF00"/>
                </patternFill>
              </fill>
            </x14:dxf>
          </x14:cfRule>
          <xm:sqref>AZ50:BN50</xm:sqref>
        </x14:conditionalFormatting>
        <x14:conditionalFormatting xmlns:xm="http://schemas.microsoft.com/office/excel/2006/main">
          <x14:cfRule type="expression" priority="4692147" id="{9EF3226D-E8FC-496B-A6FF-71776AEA54D1}">
            <xm:f>$BO$4='Data entry'!$R21</xm:f>
            <x14:dxf>
              <fill>
                <patternFill>
                  <bgColor rgb="FFFF0000"/>
                </patternFill>
              </fill>
            </x14:dxf>
          </x14:cfRule>
          <xm:sqref>BM51:BY51</xm:sqref>
        </x14:conditionalFormatting>
        <x14:conditionalFormatting xmlns:xm="http://schemas.microsoft.com/office/excel/2006/main">
          <x14:cfRule type="expression" priority="4692148" id="{3B86C801-ECFE-4D05-8AA5-1581116BAFBC}">
            <xm:f>$BO$4='Data entry'!$R21</xm:f>
            <x14:dxf>
              <fill>
                <patternFill>
                  <bgColor rgb="FFFFFF00"/>
                </patternFill>
              </fill>
            </x14:dxf>
          </x14:cfRule>
          <xm:sqref>BA50:BO50</xm:sqref>
        </x14:conditionalFormatting>
        <x14:conditionalFormatting xmlns:xm="http://schemas.microsoft.com/office/excel/2006/main">
          <x14:cfRule type="expression" priority="4692149" id="{058A23EC-3371-4A02-9F20-1ECA603AC6BC}">
            <xm:f>$BP$4='Data entry'!$R21</xm:f>
            <x14:dxf>
              <fill>
                <patternFill>
                  <bgColor rgb="FFFF0000"/>
                </patternFill>
              </fill>
            </x14:dxf>
          </x14:cfRule>
          <xm:sqref>BN51:BZ51</xm:sqref>
        </x14:conditionalFormatting>
        <x14:conditionalFormatting xmlns:xm="http://schemas.microsoft.com/office/excel/2006/main">
          <x14:cfRule type="expression" priority="4692150" id="{3E711E31-3992-4555-AB22-87133D60CD15}">
            <xm:f>$BP$4='Data entry'!$R21</xm:f>
            <x14:dxf>
              <fill>
                <patternFill>
                  <bgColor rgb="FFFFFF00"/>
                </patternFill>
              </fill>
            </x14:dxf>
          </x14:cfRule>
          <xm:sqref>BB50:BP50</xm:sqref>
        </x14:conditionalFormatting>
        <x14:conditionalFormatting xmlns:xm="http://schemas.microsoft.com/office/excel/2006/main">
          <x14:cfRule type="expression" priority="4692151" id="{23E9F8B9-37D5-4730-9453-6F23E8ECBBE3}">
            <xm:f>$BQ$4='Data entry'!$R21</xm:f>
            <x14:dxf>
              <fill>
                <patternFill>
                  <bgColor rgb="FFFFFF00"/>
                </patternFill>
              </fill>
            </x14:dxf>
          </x14:cfRule>
          <xm:sqref>BC50:BQ50</xm:sqref>
        </x14:conditionalFormatting>
        <x14:conditionalFormatting xmlns:xm="http://schemas.microsoft.com/office/excel/2006/main">
          <x14:cfRule type="expression" priority="4692152" id="{BCFD92F6-AAD3-44FD-BC61-A292A81B883E}">
            <xm:f>$BQ$4='Data entry'!$R21</xm:f>
            <x14:dxf>
              <fill>
                <patternFill>
                  <bgColor rgb="FFFF0000"/>
                </patternFill>
              </fill>
            </x14:dxf>
          </x14:cfRule>
          <xm:sqref>BO51:CA51</xm:sqref>
        </x14:conditionalFormatting>
        <x14:conditionalFormatting xmlns:xm="http://schemas.microsoft.com/office/excel/2006/main">
          <x14:cfRule type="expression" priority="4692153" id="{357D60E5-F356-477E-8020-A18F42C02832}">
            <xm:f>$BR$4='Data entry'!$R21</xm:f>
            <x14:dxf>
              <fill>
                <patternFill>
                  <bgColor rgb="FFFFFF00"/>
                </patternFill>
              </fill>
            </x14:dxf>
          </x14:cfRule>
          <xm:sqref>BD50:BR50</xm:sqref>
        </x14:conditionalFormatting>
        <x14:conditionalFormatting xmlns:xm="http://schemas.microsoft.com/office/excel/2006/main">
          <x14:cfRule type="expression" priority="4692154" id="{DA2B6511-43B3-432D-B6AA-1DB1188B90A6}">
            <xm:f>$BR$4='Data entry'!$R21</xm:f>
            <x14:dxf>
              <fill>
                <patternFill>
                  <bgColor rgb="FFFF0000"/>
                </patternFill>
              </fill>
            </x14:dxf>
          </x14:cfRule>
          <xm:sqref>BP51:CB51</xm:sqref>
        </x14:conditionalFormatting>
        <x14:conditionalFormatting xmlns:xm="http://schemas.microsoft.com/office/excel/2006/main">
          <x14:cfRule type="expression" priority="4692155" id="{0D5F64E4-4136-4BFA-B833-CC8578525D9C}">
            <xm:f>$BS$4='Data entry'!$R21</xm:f>
            <x14:dxf>
              <fill>
                <patternFill>
                  <bgColor rgb="FFFFFF00"/>
                </patternFill>
              </fill>
            </x14:dxf>
          </x14:cfRule>
          <xm:sqref>BE50:BS50</xm:sqref>
        </x14:conditionalFormatting>
        <x14:conditionalFormatting xmlns:xm="http://schemas.microsoft.com/office/excel/2006/main">
          <x14:cfRule type="expression" priority="4692156" id="{AC94D468-F078-4AE2-8771-102996E07B09}">
            <xm:f>$BS$4='Data entry'!$R21</xm:f>
            <x14:dxf>
              <fill>
                <patternFill>
                  <bgColor rgb="FFFF0000"/>
                </patternFill>
              </fill>
            </x14:dxf>
          </x14:cfRule>
          <xm:sqref>BQ51:CC51</xm:sqref>
        </x14:conditionalFormatting>
        <x14:conditionalFormatting xmlns:xm="http://schemas.microsoft.com/office/excel/2006/main">
          <x14:cfRule type="expression" priority="4692157" id="{10E78F76-181E-4F19-9F89-7DD36D3EFE30}">
            <xm:f>$BT$4='Data entry'!$R21</xm:f>
            <x14:dxf>
              <fill>
                <patternFill>
                  <bgColor rgb="FFFFFF00"/>
                </patternFill>
              </fill>
            </x14:dxf>
          </x14:cfRule>
          <xm:sqref>BF50:BT50</xm:sqref>
        </x14:conditionalFormatting>
        <x14:conditionalFormatting xmlns:xm="http://schemas.microsoft.com/office/excel/2006/main">
          <x14:cfRule type="expression" priority="4692158" id="{6A5FADC6-9512-4EFB-90A5-7B5244D10D1F}">
            <xm:f>$BT$4='Data entry'!$R21</xm:f>
            <x14:dxf>
              <fill>
                <patternFill>
                  <bgColor rgb="FFFF0000"/>
                </patternFill>
              </fill>
            </x14:dxf>
          </x14:cfRule>
          <xm:sqref>BR51:CC51</xm:sqref>
        </x14:conditionalFormatting>
        <x14:conditionalFormatting xmlns:xm="http://schemas.microsoft.com/office/excel/2006/main">
          <x14:cfRule type="expression" priority="4692159" id="{A51139D1-8841-4B96-B8CB-DFE3808765CF}">
            <xm:f>$BU$4='Data entry'!$R21</xm:f>
            <x14:dxf>
              <fill>
                <patternFill>
                  <bgColor rgb="FFFFFF00"/>
                </patternFill>
              </fill>
            </x14:dxf>
          </x14:cfRule>
          <xm:sqref>BG50:BU50</xm:sqref>
        </x14:conditionalFormatting>
        <x14:conditionalFormatting xmlns:xm="http://schemas.microsoft.com/office/excel/2006/main">
          <x14:cfRule type="expression" priority="4692160" id="{55CA7258-760F-4BFF-ACB5-A70FEB3E7981}">
            <xm:f>$BU$4='Data entry'!$R21</xm:f>
            <x14:dxf>
              <fill>
                <patternFill>
                  <bgColor rgb="FFFF0000"/>
                </patternFill>
              </fill>
            </x14:dxf>
          </x14:cfRule>
          <xm:sqref>BS51:CC51</xm:sqref>
        </x14:conditionalFormatting>
        <x14:conditionalFormatting xmlns:xm="http://schemas.microsoft.com/office/excel/2006/main">
          <x14:cfRule type="expression" priority="4692161" id="{A922B218-64DB-4CBB-9AB8-FE0EBB44E09E}">
            <xm:f>$BV$4='Data entry'!$R21</xm:f>
            <x14:dxf>
              <fill>
                <patternFill>
                  <bgColor rgb="FFFFFF00"/>
                </patternFill>
              </fill>
            </x14:dxf>
          </x14:cfRule>
          <xm:sqref>BH50:BV50</xm:sqref>
        </x14:conditionalFormatting>
        <x14:conditionalFormatting xmlns:xm="http://schemas.microsoft.com/office/excel/2006/main">
          <x14:cfRule type="expression" priority="4692162" id="{C98E908A-CD31-4778-B41C-7AFB9DBE639A}">
            <xm:f>$BV$4='Data entry'!$R21</xm:f>
            <x14:dxf>
              <fill>
                <patternFill>
                  <bgColor rgb="FFFF0000"/>
                </patternFill>
              </fill>
            </x14:dxf>
          </x14:cfRule>
          <xm:sqref>BT51:CC51</xm:sqref>
        </x14:conditionalFormatting>
        <x14:conditionalFormatting xmlns:xm="http://schemas.microsoft.com/office/excel/2006/main">
          <x14:cfRule type="expression" priority="4692163" id="{465CCCA3-B4DB-4B61-8AC7-8A5E4CEC9E3F}">
            <xm:f>$BW$4='Data entry'!$R21</xm:f>
            <x14:dxf>
              <fill>
                <patternFill>
                  <bgColor rgb="FFFFFF00"/>
                </patternFill>
              </fill>
            </x14:dxf>
          </x14:cfRule>
          <xm:sqref>BI50:BW50</xm:sqref>
        </x14:conditionalFormatting>
        <x14:conditionalFormatting xmlns:xm="http://schemas.microsoft.com/office/excel/2006/main">
          <x14:cfRule type="expression" priority="4692164" id="{37566F97-6D06-400B-A709-FE657B07687F}">
            <xm:f>$BW$4='Data entry'!$R21</xm:f>
            <x14:dxf>
              <fill>
                <patternFill>
                  <bgColor rgb="FFFF0000"/>
                </patternFill>
              </fill>
            </x14:dxf>
          </x14:cfRule>
          <xm:sqref>BU51:CC51</xm:sqref>
        </x14:conditionalFormatting>
        <x14:conditionalFormatting xmlns:xm="http://schemas.microsoft.com/office/excel/2006/main">
          <x14:cfRule type="expression" priority="4692165" id="{D8FBA3AC-5CF0-4E45-97CA-1D4DEE729ADA}">
            <xm:f>$BX$4='Data entry'!$R21</xm:f>
            <x14:dxf>
              <fill>
                <patternFill>
                  <bgColor rgb="FFFFFF00"/>
                </patternFill>
              </fill>
            </x14:dxf>
          </x14:cfRule>
          <xm:sqref>BJ50:BX50</xm:sqref>
        </x14:conditionalFormatting>
        <x14:conditionalFormatting xmlns:xm="http://schemas.microsoft.com/office/excel/2006/main">
          <x14:cfRule type="expression" priority="4692166" id="{E077C84B-A94F-431D-B232-4AFCC7C64F54}">
            <xm:f>$BX$4='Data entry'!$R21</xm:f>
            <x14:dxf>
              <fill>
                <patternFill>
                  <bgColor rgb="FFFF0000"/>
                </patternFill>
              </fill>
            </x14:dxf>
          </x14:cfRule>
          <xm:sqref>BV51:CC51</xm:sqref>
        </x14:conditionalFormatting>
        <x14:conditionalFormatting xmlns:xm="http://schemas.microsoft.com/office/excel/2006/main">
          <x14:cfRule type="expression" priority="4692167" id="{63783BA8-0C97-4A44-86FD-7A2BCF1B9957}">
            <xm:f>$BY$4='Data entry'!$R21</xm:f>
            <x14:dxf>
              <fill>
                <patternFill>
                  <bgColor rgb="FFFFFF00"/>
                </patternFill>
              </fill>
            </x14:dxf>
          </x14:cfRule>
          <xm:sqref>BK50:BY50</xm:sqref>
        </x14:conditionalFormatting>
        <x14:conditionalFormatting xmlns:xm="http://schemas.microsoft.com/office/excel/2006/main">
          <x14:cfRule type="expression" priority="4692168" id="{BB8DB8B4-B71B-46D2-AEE7-346F16103F74}">
            <xm:f>$BY$4='Data entry'!$R21</xm:f>
            <x14:dxf>
              <fill>
                <patternFill>
                  <bgColor rgb="FFFF0000"/>
                </patternFill>
              </fill>
            </x14:dxf>
          </x14:cfRule>
          <xm:sqref>BW51:CC51</xm:sqref>
        </x14:conditionalFormatting>
        <x14:conditionalFormatting xmlns:xm="http://schemas.microsoft.com/office/excel/2006/main">
          <x14:cfRule type="expression" priority="4692169" id="{1B638B98-2B06-4FEB-90C1-446A3E0A3979}">
            <xm:f>$BZ$4='Data entry'!$R21</xm:f>
            <x14:dxf>
              <fill>
                <patternFill>
                  <bgColor rgb="FFFFFF00"/>
                </patternFill>
              </fill>
            </x14:dxf>
          </x14:cfRule>
          <xm:sqref>BL50:BZ50</xm:sqref>
        </x14:conditionalFormatting>
        <x14:conditionalFormatting xmlns:xm="http://schemas.microsoft.com/office/excel/2006/main">
          <x14:cfRule type="expression" priority="4692170" id="{D3A0A2F8-D1B2-4DC5-B2A9-0EF53074E685}">
            <xm:f>$BZ$4='Data entry'!$R21</xm:f>
            <x14:dxf>
              <fill>
                <patternFill>
                  <bgColor rgb="FFFF0000"/>
                </patternFill>
              </fill>
            </x14:dxf>
          </x14:cfRule>
          <xm:sqref>BX51:CC51</xm:sqref>
        </x14:conditionalFormatting>
        <x14:conditionalFormatting xmlns:xm="http://schemas.microsoft.com/office/excel/2006/main">
          <x14:cfRule type="expression" priority="4692171" id="{83F6D018-7D3B-4D33-9998-11572F2F2FF5}">
            <xm:f>$CA$4='Data entry'!$R21</xm:f>
            <x14:dxf>
              <fill>
                <patternFill>
                  <bgColor rgb="FFFFFF00"/>
                </patternFill>
              </fill>
            </x14:dxf>
          </x14:cfRule>
          <xm:sqref>BM50:CA50</xm:sqref>
        </x14:conditionalFormatting>
        <x14:conditionalFormatting xmlns:xm="http://schemas.microsoft.com/office/excel/2006/main">
          <x14:cfRule type="expression" priority="4692172" id="{8E6D0B51-5626-4ED9-9072-C7A2C139704F}">
            <xm:f>$CA$4='Data entry'!$R21</xm:f>
            <x14:dxf>
              <fill>
                <patternFill>
                  <bgColor rgb="FFFF0000"/>
                </patternFill>
              </fill>
            </x14:dxf>
          </x14:cfRule>
          <xm:sqref>BY51:CC51</xm:sqref>
        </x14:conditionalFormatting>
        <x14:conditionalFormatting xmlns:xm="http://schemas.microsoft.com/office/excel/2006/main">
          <x14:cfRule type="expression" priority="4692173" id="{E1886EE4-3BDE-43A9-9F4B-79377FEC37FE}">
            <xm:f>$CB$4='Data entry'!$R21</xm:f>
            <x14:dxf>
              <fill>
                <patternFill>
                  <bgColor rgb="FFFFFF00"/>
                </patternFill>
              </fill>
            </x14:dxf>
          </x14:cfRule>
          <xm:sqref>BN50:CB50</xm:sqref>
        </x14:conditionalFormatting>
        <x14:conditionalFormatting xmlns:xm="http://schemas.microsoft.com/office/excel/2006/main">
          <x14:cfRule type="expression" priority="4692174" id="{ADEF572A-6C18-4602-BB86-01C96D36E07E}">
            <xm:f>$CB$4='Data entry'!$R21</xm:f>
            <x14:dxf>
              <fill>
                <patternFill>
                  <bgColor rgb="FFFF0000"/>
                </patternFill>
              </fill>
            </x14:dxf>
          </x14:cfRule>
          <xm:sqref>BZ51:CC51</xm:sqref>
        </x14:conditionalFormatting>
        <x14:conditionalFormatting xmlns:xm="http://schemas.microsoft.com/office/excel/2006/main">
          <x14:cfRule type="expression" priority="4692175" id="{7984E1C9-E073-4955-8543-62145CB6D008}">
            <xm:f>$CC$4='Data entry'!$R21</xm:f>
            <x14:dxf>
              <fill>
                <patternFill>
                  <bgColor rgb="FFFFFF00"/>
                </patternFill>
              </fill>
            </x14:dxf>
          </x14:cfRule>
          <xm:sqref>BO50:CC50</xm:sqref>
        </x14:conditionalFormatting>
        <x14:conditionalFormatting xmlns:xm="http://schemas.microsoft.com/office/excel/2006/main">
          <x14:cfRule type="expression" priority="4692176" id="{18A957B3-59FA-4698-BA92-2A208FF18E2F}">
            <xm:f>$CC$4='Data entry'!$R21</xm:f>
            <x14:dxf>
              <fill>
                <patternFill>
                  <bgColor rgb="FFFF0000"/>
                </patternFill>
              </fill>
            </x14:dxf>
          </x14:cfRule>
          <xm:sqref>CA51:CC51</xm:sqref>
        </x14:conditionalFormatting>
        <x14:conditionalFormatting xmlns:xm="http://schemas.microsoft.com/office/excel/2006/main">
          <x14:cfRule type="expression" priority="4692263" id="{5B0DB825-B7C2-40AC-B7EF-F267F054CFB9}">
            <xm:f>$U$4='Data entry'!$R22</xm:f>
            <x14:dxf>
              <fill>
                <patternFill>
                  <bgColor rgb="FFFF0000"/>
                </patternFill>
              </fill>
            </x14:dxf>
          </x14:cfRule>
          <xm:sqref>S54:AE54</xm:sqref>
        </x14:conditionalFormatting>
        <x14:conditionalFormatting xmlns:xm="http://schemas.microsoft.com/office/excel/2006/main">
          <x14:cfRule type="expression" priority="4692264" id="{18311200-E2BB-400F-B594-3B9A2C6068C2}">
            <xm:f>$V$4='Data entry'!$R22</xm:f>
            <x14:dxf>
              <fill>
                <patternFill>
                  <bgColor rgb="FFFF0000"/>
                </patternFill>
              </fill>
            </x14:dxf>
          </x14:cfRule>
          <xm:sqref>T54:AF54</xm:sqref>
        </x14:conditionalFormatting>
        <x14:conditionalFormatting xmlns:xm="http://schemas.microsoft.com/office/excel/2006/main">
          <x14:cfRule type="expression" priority="4692265" id="{D6DFB621-1A58-4C59-A987-ECAD0EB2D32B}">
            <xm:f>$V$4='Data entry'!$R22</xm:f>
            <x14:dxf>
              <fill>
                <patternFill>
                  <bgColor rgb="FFFFFF00"/>
                </patternFill>
              </fill>
            </x14:dxf>
          </x14:cfRule>
          <xm:sqref>H53:V53</xm:sqref>
        </x14:conditionalFormatting>
        <x14:conditionalFormatting xmlns:xm="http://schemas.microsoft.com/office/excel/2006/main">
          <x14:cfRule type="expression" priority="4692266" id="{5F87A680-DC5F-433D-A779-B7A534ACCDA9}">
            <xm:f>$W$4='Data entry'!$R22</xm:f>
            <x14:dxf>
              <fill>
                <patternFill>
                  <bgColor rgb="FFFF0000"/>
                </patternFill>
              </fill>
            </x14:dxf>
          </x14:cfRule>
          <xm:sqref>U54:AG54</xm:sqref>
        </x14:conditionalFormatting>
        <x14:conditionalFormatting xmlns:xm="http://schemas.microsoft.com/office/excel/2006/main">
          <x14:cfRule type="expression" priority="4692267" id="{964539FF-A92C-4F68-B268-B7157A32678C}">
            <xm:f>$W$4='Data entry'!$R22</xm:f>
            <x14:dxf>
              <fill>
                <patternFill>
                  <bgColor rgb="FFFFFF00"/>
                </patternFill>
              </fill>
            </x14:dxf>
          </x14:cfRule>
          <xm:sqref>I53:W53</xm:sqref>
        </x14:conditionalFormatting>
        <x14:conditionalFormatting xmlns:xm="http://schemas.microsoft.com/office/excel/2006/main">
          <x14:cfRule type="expression" priority="4692268" id="{46C1533A-F090-4A90-9309-3F59EC3FD3B0}">
            <xm:f>$X$4='Data entry'!$R22</xm:f>
            <x14:dxf>
              <fill>
                <patternFill>
                  <bgColor rgb="FFFF0000"/>
                </patternFill>
              </fill>
            </x14:dxf>
          </x14:cfRule>
          <xm:sqref>V54:AH54</xm:sqref>
        </x14:conditionalFormatting>
        <x14:conditionalFormatting xmlns:xm="http://schemas.microsoft.com/office/excel/2006/main">
          <x14:cfRule type="expression" priority="4692269" id="{7C70E81C-DDD4-4D75-933A-4F6A39893184}">
            <xm:f>$X$4='Data entry'!$R22</xm:f>
            <x14:dxf>
              <fill>
                <patternFill>
                  <bgColor rgb="FFFFFF00"/>
                </patternFill>
              </fill>
            </x14:dxf>
          </x14:cfRule>
          <xm:sqref>J53:X53</xm:sqref>
        </x14:conditionalFormatting>
        <x14:conditionalFormatting xmlns:xm="http://schemas.microsoft.com/office/excel/2006/main">
          <x14:cfRule type="expression" priority="4692270" id="{561AF073-0EF8-4B72-A119-40A639C4359D}">
            <xm:f>$Y$4='Data entry'!$R22</xm:f>
            <x14:dxf>
              <fill>
                <patternFill>
                  <bgColor rgb="FFFF0000"/>
                </patternFill>
              </fill>
            </x14:dxf>
          </x14:cfRule>
          <xm:sqref>W54:AI54</xm:sqref>
        </x14:conditionalFormatting>
        <x14:conditionalFormatting xmlns:xm="http://schemas.microsoft.com/office/excel/2006/main">
          <x14:cfRule type="expression" priority="4692271" id="{F242E808-8F07-4A89-9524-7D4C767CE357}">
            <xm:f>$Y$4='Data entry'!$R22</xm:f>
            <x14:dxf>
              <fill>
                <patternFill>
                  <bgColor rgb="FFFFFF00"/>
                </patternFill>
              </fill>
            </x14:dxf>
          </x14:cfRule>
          <xm:sqref>K53:Y53</xm:sqref>
        </x14:conditionalFormatting>
        <x14:conditionalFormatting xmlns:xm="http://schemas.microsoft.com/office/excel/2006/main">
          <x14:cfRule type="expression" priority="4692272" id="{DD601058-982B-4218-BD9D-64BB823C2633}">
            <xm:f>$Z$4='Data entry'!$R22</xm:f>
            <x14:dxf>
              <fill>
                <patternFill>
                  <bgColor rgb="FFFF0000"/>
                </patternFill>
              </fill>
            </x14:dxf>
          </x14:cfRule>
          <xm:sqref>X54:AJ54</xm:sqref>
        </x14:conditionalFormatting>
        <x14:conditionalFormatting xmlns:xm="http://schemas.microsoft.com/office/excel/2006/main">
          <x14:cfRule type="expression" priority="4692273" id="{C9DB141D-79F6-4093-92A3-7BF7A1622985}">
            <xm:f>$Z$4='Data entry'!$R22</xm:f>
            <x14:dxf>
              <fill>
                <patternFill>
                  <bgColor rgb="FFFFFF00"/>
                </patternFill>
              </fill>
            </x14:dxf>
          </x14:cfRule>
          <xm:sqref>L53:Z53</xm:sqref>
        </x14:conditionalFormatting>
        <x14:conditionalFormatting xmlns:xm="http://schemas.microsoft.com/office/excel/2006/main">
          <x14:cfRule type="expression" priority="4692274" id="{710EB8D3-F5C0-4E3C-8214-2D0C4E26F649}">
            <xm:f>$AA$4='Data entry'!$R22</xm:f>
            <x14:dxf>
              <fill>
                <patternFill>
                  <bgColor rgb="FFFF0000"/>
                </patternFill>
              </fill>
            </x14:dxf>
          </x14:cfRule>
          <xm:sqref>Y54:AK54</xm:sqref>
        </x14:conditionalFormatting>
        <x14:conditionalFormatting xmlns:xm="http://schemas.microsoft.com/office/excel/2006/main">
          <x14:cfRule type="expression" priority="4692275" id="{33825D69-C967-4D27-B395-5D44A3083802}">
            <xm:f>$AA$4='Data entry'!$R22</xm:f>
            <x14:dxf>
              <fill>
                <patternFill>
                  <bgColor rgb="FFFFFF00"/>
                </patternFill>
              </fill>
            </x14:dxf>
          </x14:cfRule>
          <xm:sqref>M53:AA53</xm:sqref>
        </x14:conditionalFormatting>
        <x14:conditionalFormatting xmlns:xm="http://schemas.microsoft.com/office/excel/2006/main">
          <x14:cfRule type="expression" priority="4692276" id="{9811A97D-351B-4D32-8754-AF433277E62B}">
            <xm:f>$AB$4='Data entry'!$R22</xm:f>
            <x14:dxf>
              <fill>
                <patternFill>
                  <bgColor rgb="FFFF0000"/>
                </patternFill>
              </fill>
            </x14:dxf>
          </x14:cfRule>
          <xm:sqref>Z54:AL54</xm:sqref>
        </x14:conditionalFormatting>
        <x14:conditionalFormatting xmlns:xm="http://schemas.microsoft.com/office/excel/2006/main">
          <x14:cfRule type="expression" priority="4692277" id="{6DD3E556-C72E-438B-92DA-3096ED1E4178}">
            <xm:f>$AB$4='Data entry'!$R22</xm:f>
            <x14:dxf>
              <fill>
                <patternFill>
                  <bgColor rgb="FFFFFF00"/>
                </patternFill>
              </fill>
            </x14:dxf>
          </x14:cfRule>
          <xm:sqref>N53:AB53</xm:sqref>
        </x14:conditionalFormatting>
        <x14:conditionalFormatting xmlns:xm="http://schemas.microsoft.com/office/excel/2006/main">
          <x14:cfRule type="expression" priority="4692278" id="{C0DF7A1B-D6BC-4371-BD3A-F0708147FA1C}">
            <xm:f>$AC$4='Data entry'!$R22</xm:f>
            <x14:dxf>
              <fill>
                <patternFill>
                  <bgColor rgb="FFFF0000"/>
                </patternFill>
              </fill>
            </x14:dxf>
          </x14:cfRule>
          <xm:sqref>AA54:AM54</xm:sqref>
        </x14:conditionalFormatting>
        <x14:conditionalFormatting xmlns:xm="http://schemas.microsoft.com/office/excel/2006/main">
          <x14:cfRule type="expression" priority="4692279" id="{DB2E1F48-AF0E-41F9-A976-6B1963CA5711}">
            <xm:f>$AC$4='Data entry'!$R22</xm:f>
            <x14:dxf>
              <fill>
                <patternFill>
                  <bgColor rgb="FFFFFF00"/>
                </patternFill>
              </fill>
            </x14:dxf>
          </x14:cfRule>
          <xm:sqref>O53:AC53</xm:sqref>
        </x14:conditionalFormatting>
        <x14:conditionalFormatting xmlns:xm="http://schemas.microsoft.com/office/excel/2006/main">
          <x14:cfRule type="expression" priority="4692280" id="{89909907-F9A9-4AF9-BC1D-304710A43F50}">
            <xm:f>$AD$4='Data entry'!$R22</xm:f>
            <x14:dxf>
              <fill>
                <patternFill>
                  <bgColor rgb="FFFF0000"/>
                </patternFill>
              </fill>
            </x14:dxf>
          </x14:cfRule>
          <xm:sqref>AB54:AN54</xm:sqref>
        </x14:conditionalFormatting>
        <x14:conditionalFormatting xmlns:xm="http://schemas.microsoft.com/office/excel/2006/main">
          <x14:cfRule type="expression" priority="4692281" id="{729676B7-E331-43A4-ACC9-850DCEE76A0E}">
            <xm:f>$AD$4='Data entry'!$R22</xm:f>
            <x14:dxf>
              <fill>
                <patternFill>
                  <bgColor rgb="FFFFFF00"/>
                </patternFill>
              </fill>
            </x14:dxf>
          </x14:cfRule>
          <xm:sqref>P53:AD53</xm:sqref>
        </x14:conditionalFormatting>
        <x14:conditionalFormatting xmlns:xm="http://schemas.microsoft.com/office/excel/2006/main">
          <x14:cfRule type="expression" priority="4692282" id="{00DA2C55-350E-44AA-ABEA-808FABFDA737}">
            <xm:f>$AE$4='Data entry'!$R22</xm:f>
            <x14:dxf>
              <fill>
                <patternFill>
                  <bgColor rgb="FFFF0000"/>
                </patternFill>
              </fill>
            </x14:dxf>
          </x14:cfRule>
          <xm:sqref>AC54:AO54</xm:sqref>
        </x14:conditionalFormatting>
        <x14:conditionalFormatting xmlns:xm="http://schemas.microsoft.com/office/excel/2006/main">
          <x14:cfRule type="expression" priority="4692283" id="{373C95F1-00C1-45E9-B561-5224945BA4A4}">
            <xm:f>$AE$4='Data entry'!$R22</xm:f>
            <x14:dxf>
              <fill>
                <patternFill>
                  <bgColor rgb="FFFFFF00"/>
                </patternFill>
              </fill>
            </x14:dxf>
          </x14:cfRule>
          <xm:sqref>Q53:AE53</xm:sqref>
        </x14:conditionalFormatting>
        <x14:conditionalFormatting xmlns:xm="http://schemas.microsoft.com/office/excel/2006/main">
          <x14:cfRule type="expression" priority="4692284" id="{65E90E74-6BEF-4B00-BD5E-ECACFEBC225A}">
            <xm:f>$AF$4='Data entry'!$R22</xm:f>
            <x14:dxf>
              <fill>
                <patternFill>
                  <bgColor rgb="FFFF0000"/>
                </patternFill>
              </fill>
            </x14:dxf>
          </x14:cfRule>
          <xm:sqref>AD54:AP54</xm:sqref>
        </x14:conditionalFormatting>
        <x14:conditionalFormatting xmlns:xm="http://schemas.microsoft.com/office/excel/2006/main">
          <x14:cfRule type="expression" priority="4692285" id="{56B519D7-E083-4811-B42B-D6CB10D44BB3}">
            <xm:f>$AF$4='Data entry'!$R22</xm:f>
            <x14:dxf>
              <fill>
                <patternFill>
                  <bgColor rgb="FFFFFF00"/>
                </patternFill>
              </fill>
            </x14:dxf>
          </x14:cfRule>
          <xm:sqref>R53:AF53</xm:sqref>
        </x14:conditionalFormatting>
        <x14:conditionalFormatting xmlns:xm="http://schemas.microsoft.com/office/excel/2006/main">
          <x14:cfRule type="expression" priority="4692286" id="{889682B6-BF9B-414B-86B7-1C802156B058}">
            <xm:f>$AG$4='Data entry'!$R22</xm:f>
            <x14:dxf>
              <fill>
                <patternFill>
                  <bgColor rgb="FFFF0000"/>
                </patternFill>
              </fill>
            </x14:dxf>
          </x14:cfRule>
          <xm:sqref>AE54:AQ54</xm:sqref>
        </x14:conditionalFormatting>
        <x14:conditionalFormatting xmlns:xm="http://schemas.microsoft.com/office/excel/2006/main">
          <x14:cfRule type="expression" priority="4692287" id="{19913D88-1940-4CB0-B29C-D46D60833BD5}">
            <xm:f>$AG$4='Data entry'!$R22</xm:f>
            <x14:dxf>
              <fill>
                <patternFill>
                  <bgColor rgb="FFFFFF00"/>
                </patternFill>
              </fill>
            </x14:dxf>
          </x14:cfRule>
          <xm:sqref>S53:AG53</xm:sqref>
        </x14:conditionalFormatting>
        <x14:conditionalFormatting xmlns:xm="http://schemas.microsoft.com/office/excel/2006/main">
          <x14:cfRule type="expression" priority="4692288" id="{3DD7B9A5-18A3-463F-BAD5-9796FC487328}">
            <xm:f>$AH$4='Data entry'!$R22</xm:f>
            <x14:dxf>
              <fill>
                <patternFill>
                  <bgColor rgb="FFFF0000"/>
                </patternFill>
              </fill>
            </x14:dxf>
          </x14:cfRule>
          <xm:sqref>AF54:AR54</xm:sqref>
        </x14:conditionalFormatting>
        <x14:conditionalFormatting xmlns:xm="http://schemas.microsoft.com/office/excel/2006/main">
          <x14:cfRule type="expression" priority="4692289" id="{31005CF4-5608-496E-91EB-F7F505046C80}">
            <xm:f>$AH$4='Data entry'!$R22</xm:f>
            <x14:dxf>
              <fill>
                <patternFill>
                  <bgColor rgb="FFFFFF00"/>
                </patternFill>
              </fill>
            </x14:dxf>
          </x14:cfRule>
          <xm:sqref>T53:AH53</xm:sqref>
        </x14:conditionalFormatting>
        <x14:conditionalFormatting xmlns:xm="http://schemas.microsoft.com/office/excel/2006/main">
          <x14:cfRule type="expression" priority="4692290" id="{CD14F654-5B7A-444F-8FC1-7DD71E76E475}">
            <xm:f>$AI$4='Data entry'!$R22</xm:f>
            <x14:dxf>
              <fill>
                <patternFill>
                  <bgColor rgb="FFFF0000"/>
                </patternFill>
              </fill>
            </x14:dxf>
          </x14:cfRule>
          <xm:sqref>AG54:AS54</xm:sqref>
        </x14:conditionalFormatting>
        <x14:conditionalFormatting xmlns:xm="http://schemas.microsoft.com/office/excel/2006/main">
          <x14:cfRule type="expression" priority="4692291" id="{0E4E448C-6C46-4285-B877-A61A90294385}">
            <xm:f>$AI$4='Data entry'!$R22</xm:f>
            <x14:dxf>
              <fill>
                <patternFill>
                  <bgColor rgb="FFFFFF00"/>
                </patternFill>
              </fill>
            </x14:dxf>
          </x14:cfRule>
          <xm:sqref>U53:AI53</xm:sqref>
        </x14:conditionalFormatting>
        <x14:conditionalFormatting xmlns:xm="http://schemas.microsoft.com/office/excel/2006/main">
          <x14:cfRule type="expression" priority="4692292" id="{B1C1818F-791C-403D-BE73-6F6E9DC6A16D}">
            <xm:f>$AJ$4='Data entry'!$R22</xm:f>
            <x14:dxf>
              <fill>
                <patternFill>
                  <bgColor rgb="FFFF0000"/>
                </patternFill>
              </fill>
            </x14:dxf>
          </x14:cfRule>
          <xm:sqref>AH54:AT54</xm:sqref>
        </x14:conditionalFormatting>
        <x14:conditionalFormatting xmlns:xm="http://schemas.microsoft.com/office/excel/2006/main">
          <x14:cfRule type="expression" priority="4692293" id="{A1237792-221B-431B-B8A7-E9A64DA46D93}">
            <xm:f>$AJ$4='Data entry'!$R22</xm:f>
            <x14:dxf>
              <fill>
                <patternFill>
                  <bgColor rgb="FFFFFF00"/>
                </patternFill>
              </fill>
            </x14:dxf>
          </x14:cfRule>
          <xm:sqref>V53:AJ53</xm:sqref>
        </x14:conditionalFormatting>
        <x14:conditionalFormatting xmlns:xm="http://schemas.microsoft.com/office/excel/2006/main">
          <x14:cfRule type="expression" priority="4692294" id="{617DC2AF-C7A3-4724-8EA3-17DEFEDC8949}">
            <xm:f>$AK$4='Data entry'!$R22</xm:f>
            <x14:dxf>
              <fill>
                <patternFill>
                  <bgColor rgb="FFFF0000"/>
                </patternFill>
              </fill>
            </x14:dxf>
          </x14:cfRule>
          <xm:sqref>AI54:AU54</xm:sqref>
        </x14:conditionalFormatting>
        <x14:conditionalFormatting xmlns:xm="http://schemas.microsoft.com/office/excel/2006/main">
          <x14:cfRule type="expression" priority="4692295" id="{AA72317D-37B1-48EB-A28B-BF2AC8DC4519}">
            <xm:f>$AK$4='Data entry'!$R22</xm:f>
            <x14:dxf>
              <fill>
                <patternFill>
                  <bgColor rgb="FFFFFF00"/>
                </patternFill>
              </fill>
            </x14:dxf>
          </x14:cfRule>
          <xm:sqref>W53:AK53</xm:sqref>
        </x14:conditionalFormatting>
        <x14:conditionalFormatting xmlns:xm="http://schemas.microsoft.com/office/excel/2006/main">
          <x14:cfRule type="expression" priority="4692296" id="{6CA9FB7A-20EA-4D3A-B74C-A001F4BE810D}">
            <xm:f>$AL$4='Data entry'!$R22</xm:f>
            <x14:dxf>
              <fill>
                <patternFill>
                  <bgColor rgb="FFFF0000"/>
                </patternFill>
              </fill>
            </x14:dxf>
          </x14:cfRule>
          <xm:sqref>AJ54:AV54</xm:sqref>
        </x14:conditionalFormatting>
        <x14:conditionalFormatting xmlns:xm="http://schemas.microsoft.com/office/excel/2006/main">
          <x14:cfRule type="expression" priority="4692297" id="{81A75DAA-573F-4EF3-A640-1B992C18BEA0}">
            <xm:f>$AL$4='Data entry'!$R22</xm:f>
            <x14:dxf>
              <fill>
                <patternFill>
                  <bgColor rgb="FFFFFF00"/>
                </patternFill>
              </fill>
            </x14:dxf>
          </x14:cfRule>
          <xm:sqref>X53:AL53</xm:sqref>
        </x14:conditionalFormatting>
        <x14:conditionalFormatting xmlns:xm="http://schemas.microsoft.com/office/excel/2006/main">
          <x14:cfRule type="expression" priority="4692298" id="{3D44713E-4ABA-4CCD-9DF4-5513A9FB5E1E}">
            <xm:f>$AM$4='Data entry'!$R22</xm:f>
            <x14:dxf>
              <fill>
                <patternFill>
                  <bgColor rgb="FFFF0000"/>
                </patternFill>
              </fill>
            </x14:dxf>
          </x14:cfRule>
          <xm:sqref>AK54:AW54</xm:sqref>
        </x14:conditionalFormatting>
        <x14:conditionalFormatting xmlns:xm="http://schemas.microsoft.com/office/excel/2006/main">
          <x14:cfRule type="expression" priority="4692299" id="{05A26B51-72A7-4423-822F-2BDBC28275D0}">
            <xm:f>$AM$4='Data entry'!$R22</xm:f>
            <x14:dxf>
              <fill>
                <patternFill>
                  <bgColor rgb="FFFFFF00"/>
                </patternFill>
              </fill>
            </x14:dxf>
          </x14:cfRule>
          <xm:sqref>Y53:AM53</xm:sqref>
        </x14:conditionalFormatting>
        <x14:conditionalFormatting xmlns:xm="http://schemas.microsoft.com/office/excel/2006/main">
          <x14:cfRule type="expression" priority="4692300" id="{B8A20675-6230-4694-A7F6-6B3DC7142773}">
            <xm:f>$AN$4='Data entry'!$R22</xm:f>
            <x14:dxf>
              <fill>
                <patternFill>
                  <bgColor rgb="FFFF0000"/>
                </patternFill>
              </fill>
            </x14:dxf>
          </x14:cfRule>
          <xm:sqref>AL54:AX54</xm:sqref>
        </x14:conditionalFormatting>
        <x14:conditionalFormatting xmlns:xm="http://schemas.microsoft.com/office/excel/2006/main">
          <x14:cfRule type="expression" priority="4692301" id="{8421181C-7450-42E9-BC1D-065CCFCA960E}">
            <xm:f>$AN$4='Data entry'!$R22</xm:f>
            <x14:dxf>
              <fill>
                <patternFill>
                  <bgColor rgb="FFFFFF00"/>
                </patternFill>
              </fill>
            </x14:dxf>
          </x14:cfRule>
          <xm:sqref>Z53:AN53</xm:sqref>
        </x14:conditionalFormatting>
        <x14:conditionalFormatting xmlns:xm="http://schemas.microsoft.com/office/excel/2006/main">
          <x14:cfRule type="expression" priority="4692302" id="{067FE4BD-6EF4-4684-B6E0-35AB2F267EE7}">
            <xm:f>$AO$4='Data entry'!$R22</xm:f>
            <x14:dxf>
              <fill>
                <patternFill>
                  <bgColor rgb="FFFF0000"/>
                </patternFill>
              </fill>
            </x14:dxf>
          </x14:cfRule>
          <xm:sqref>AM54:AY54</xm:sqref>
        </x14:conditionalFormatting>
        <x14:conditionalFormatting xmlns:xm="http://schemas.microsoft.com/office/excel/2006/main">
          <x14:cfRule type="expression" priority="4692303" id="{F7653492-88D1-47AC-8BA3-0CCE65C3C2AB}">
            <xm:f>$AO$4='Data entry'!$R22</xm:f>
            <x14:dxf>
              <fill>
                <patternFill>
                  <bgColor rgb="FFFFFF00"/>
                </patternFill>
              </fill>
            </x14:dxf>
          </x14:cfRule>
          <xm:sqref>AA53:AO53</xm:sqref>
        </x14:conditionalFormatting>
        <x14:conditionalFormatting xmlns:xm="http://schemas.microsoft.com/office/excel/2006/main">
          <x14:cfRule type="expression" priority="4692304" id="{207A5E5D-B322-482E-9193-1D7318138358}">
            <xm:f>$AP$4='Data entry'!$R22</xm:f>
            <x14:dxf>
              <fill>
                <patternFill>
                  <bgColor rgb="FFFF0000"/>
                </patternFill>
              </fill>
            </x14:dxf>
          </x14:cfRule>
          <xm:sqref>AN54:AZ54</xm:sqref>
        </x14:conditionalFormatting>
        <x14:conditionalFormatting xmlns:xm="http://schemas.microsoft.com/office/excel/2006/main">
          <x14:cfRule type="expression" priority="4692305" id="{21DA638D-4CA0-4067-BFF1-240CE1A0261B}">
            <xm:f>$AP$4='Data entry'!$R22</xm:f>
            <x14:dxf>
              <fill>
                <patternFill>
                  <bgColor rgb="FFFFFF00"/>
                </patternFill>
              </fill>
            </x14:dxf>
          </x14:cfRule>
          <xm:sqref>AB53:AP53</xm:sqref>
        </x14:conditionalFormatting>
        <x14:conditionalFormatting xmlns:xm="http://schemas.microsoft.com/office/excel/2006/main">
          <x14:cfRule type="expression" priority="4692306" id="{71963D96-A42A-4B90-BFC7-6D83D37766EF}">
            <xm:f>$AQ$4='Data entry'!$R22</xm:f>
            <x14:dxf>
              <fill>
                <patternFill>
                  <bgColor rgb="FFFF0000"/>
                </patternFill>
              </fill>
            </x14:dxf>
          </x14:cfRule>
          <xm:sqref>AO54:BA54</xm:sqref>
        </x14:conditionalFormatting>
        <x14:conditionalFormatting xmlns:xm="http://schemas.microsoft.com/office/excel/2006/main">
          <x14:cfRule type="expression" priority="4692307" id="{74952595-84B6-484F-8FF6-FCC1F337DF4D}">
            <xm:f>$AQ$4='Data entry'!$R22</xm:f>
            <x14:dxf>
              <fill>
                <patternFill>
                  <bgColor rgb="FFFFFF00"/>
                </patternFill>
              </fill>
            </x14:dxf>
          </x14:cfRule>
          <xm:sqref>AC53:AQ53</xm:sqref>
        </x14:conditionalFormatting>
        <x14:conditionalFormatting xmlns:xm="http://schemas.microsoft.com/office/excel/2006/main">
          <x14:cfRule type="expression" priority="4692308" id="{8AC9C4B9-0A34-4BC0-B0F7-CA89434C4911}">
            <xm:f>$P$4='Data entry'!$R22</xm:f>
            <x14:dxf>
              <fill>
                <patternFill>
                  <bgColor rgb="FFFFFF00"/>
                </patternFill>
              </fill>
            </x14:dxf>
          </x14:cfRule>
          <xm:sqref>C53:P53</xm:sqref>
        </x14:conditionalFormatting>
        <x14:conditionalFormatting xmlns:xm="http://schemas.microsoft.com/office/excel/2006/main">
          <x14:cfRule type="expression" priority="4692309" id="{0A726775-ABFD-4F22-967C-1A4D87BA3751}">
            <xm:f>$Q$4='Data entry'!$R22</xm:f>
            <x14:dxf>
              <fill>
                <patternFill>
                  <bgColor rgb="FFFFFF00"/>
                </patternFill>
              </fill>
            </x14:dxf>
          </x14:cfRule>
          <xm:sqref>C53:Q53</xm:sqref>
        </x14:conditionalFormatting>
        <x14:conditionalFormatting xmlns:xm="http://schemas.microsoft.com/office/excel/2006/main">
          <x14:cfRule type="expression" priority="4692310" id="{3A8414BD-262C-43B5-86EE-FA6901D00453}">
            <xm:f>$Q$4='Data entry'!$R22</xm:f>
            <x14:dxf>
              <fill>
                <patternFill>
                  <bgColor rgb="FFFF0000"/>
                </patternFill>
              </fill>
            </x14:dxf>
          </x14:cfRule>
          <xm:sqref>O54:AA54</xm:sqref>
        </x14:conditionalFormatting>
        <x14:conditionalFormatting xmlns:xm="http://schemas.microsoft.com/office/excel/2006/main">
          <x14:cfRule type="expression" priority="4692311" id="{B8B5501D-F3EF-4449-9306-F652960C65F4}">
            <xm:f>$R$4='Data entry'!$R22</xm:f>
            <x14:dxf>
              <fill>
                <patternFill>
                  <bgColor rgb="FFFF0000"/>
                </patternFill>
              </fill>
            </x14:dxf>
          </x14:cfRule>
          <xm:sqref>P54:AB54</xm:sqref>
        </x14:conditionalFormatting>
        <x14:conditionalFormatting xmlns:xm="http://schemas.microsoft.com/office/excel/2006/main">
          <x14:cfRule type="expression" priority="4692312" id="{5D070DEC-B82E-4D87-B907-A3E5AB836991}">
            <xm:f>$R$4='Data entry'!$R22</xm:f>
            <x14:dxf>
              <fill>
                <patternFill>
                  <bgColor rgb="FFFFFF00"/>
                </patternFill>
              </fill>
            </x14:dxf>
          </x14:cfRule>
          <xm:sqref>D53:R53</xm:sqref>
        </x14:conditionalFormatting>
        <x14:conditionalFormatting xmlns:xm="http://schemas.microsoft.com/office/excel/2006/main">
          <x14:cfRule type="expression" priority="4692313" id="{E4D16A10-F818-4664-9FB2-F0E839824D4B}">
            <xm:f>$S$4='Data entry'!$R22</xm:f>
            <x14:dxf>
              <fill>
                <patternFill>
                  <bgColor rgb="FFFF0000"/>
                </patternFill>
              </fill>
            </x14:dxf>
          </x14:cfRule>
          <xm:sqref>Q54:AC54</xm:sqref>
        </x14:conditionalFormatting>
        <x14:conditionalFormatting xmlns:xm="http://schemas.microsoft.com/office/excel/2006/main">
          <x14:cfRule type="expression" priority="4692314" id="{1A9F9911-A3E9-4730-AFBE-AB8C596545CA}">
            <xm:f>$S$4='Data entry'!$R22</xm:f>
            <x14:dxf>
              <fill>
                <patternFill>
                  <bgColor rgb="FFFFFF00"/>
                </patternFill>
              </fill>
            </x14:dxf>
          </x14:cfRule>
          <xm:sqref>E53:S53</xm:sqref>
        </x14:conditionalFormatting>
        <x14:conditionalFormatting xmlns:xm="http://schemas.microsoft.com/office/excel/2006/main">
          <x14:cfRule type="expression" priority="4692315" id="{8BB5CD1B-B2AC-442A-9550-26DE19A62D22}">
            <xm:f>$T$4='Data entry'!$R22</xm:f>
            <x14:dxf>
              <fill>
                <patternFill>
                  <bgColor rgb="FFFF0000"/>
                </patternFill>
              </fill>
            </x14:dxf>
          </x14:cfRule>
          <xm:sqref>R54:AD54</xm:sqref>
        </x14:conditionalFormatting>
        <x14:conditionalFormatting xmlns:xm="http://schemas.microsoft.com/office/excel/2006/main">
          <x14:cfRule type="expression" priority="4692316" id="{E7B59C69-7921-4049-84A1-8B3E5F7B0598}">
            <xm:f>$T$4='Data entry'!$R22</xm:f>
            <x14:dxf>
              <fill>
                <patternFill>
                  <bgColor rgb="FFFFFF00"/>
                </patternFill>
              </fill>
            </x14:dxf>
          </x14:cfRule>
          <xm:sqref>F53:T53</xm:sqref>
        </x14:conditionalFormatting>
        <x14:conditionalFormatting xmlns:xm="http://schemas.microsoft.com/office/excel/2006/main">
          <x14:cfRule type="expression" priority="4692317" id="{238C09E5-7A3D-439D-949F-A7733073F9A2}">
            <xm:f>$U$4='Data entry'!$R22</xm:f>
            <x14:dxf>
              <fill>
                <patternFill>
                  <bgColor rgb="FFFFFF00"/>
                </patternFill>
              </fill>
            </x14:dxf>
          </x14:cfRule>
          <xm:sqref>G53:U53</xm:sqref>
        </x14:conditionalFormatting>
        <x14:conditionalFormatting xmlns:xm="http://schemas.microsoft.com/office/excel/2006/main">
          <x14:cfRule type="expression" priority="4692318" id="{DE4D4432-0A19-452A-AF14-2873FE4DF411}">
            <xm:f>$AR$4='Data entry'!$R22</xm:f>
            <x14:dxf>
              <fill>
                <patternFill>
                  <bgColor rgb="FFFF0000"/>
                </patternFill>
              </fill>
            </x14:dxf>
          </x14:cfRule>
          <xm:sqref>AP54:BB54</xm:sqref>
        </x14:conditionalFormatting>
        <x14:conditionalFormatting xmlns:xm="http://schemas.microsoft.com/office/excel/2006/main">
          <x14:cfRule type="expression" priority="4692319" id="{90D7E1FF-542D-40C8-9BD5-DFEB4CDD256F}">
            <xm:f>$AR$4='Data entry'!$R22</xm:f>
            <x14:dxf>
              <fill>
                <patternFill>
                  <bgColor rgb="FFFFFF00"/>
                </patternFill>
              </fill>
            </x14:dxf>
          </x14:cfRule>
          <xm:sqref>AD53:AR53</xm:sqref>
        </x14:conditionalFormatting>
        <x14:conditionalFormatting xmlns:xm="http://schemas.microsoft.com/office/excel/2006/main">
          <x14:cfRule type="expression" priority="4692320" id="{0EBB5305-4A4A-4205-A1FF-11160070CBC3}">
            <xm:f>$AS$4='Data entry'!$R22</xm:f>
            <x14:dxf>
              <fill>
                <patternFill>
                  <bgColor rgb="FFFF0000"/>
                </patternFill>
              </fill>
            </x14:dxf>
          </x14:cfRule>
          <xm:sqref>AQ54:BC54</xm:sqref>
        </x14:conditionalFormatting>
        <x14:conditionalFormatting xmlns:xm="http://schemas.microsoft.com/office/excel/2006/main">
          <x14:cfRule type="expression" priority="4692321" id="{AC8EB30C-4253-4CE1-820E-1801F6D8D35B}">
            <xm:f>$AS$4='Data entry'!$R22</xm:f>
            <x14:dxf>
              <fill>
                <patternFill>
                  <bgColor rgb="FFFFFF00"/>
                </patternFill>
              </fill>
            </x14:dxf>
          </x14:cfRule>
          <xm:sqref>AE53:AS53</xm:sqref>
        </x14:conditionalFormatting>
        <x14:conditionalFormatting xmlns:xm="http://schemas.microsoft.com/office/excel/2006/main">
          <x14:cfRule type="expression" priority="4692322" id="{E11744C1-7201-4272-A1B0-945490B42425}">
            <xm:f>$AT$4='Data entry'!$R22</xm:f>
            <x14:dxf>
              <fill>
                <patternFill>
                  <bgColor rgb="FFFF0000"/>
                </patternFill>
              </fill>
            </x14:dxf>
          </x14:cfRule>
          <xm:sqref>AR54:BD54</xm:sqref>
        </x14:conditionalFormatting>
        <x14:conditionalFormatting xmlns:xm="http://schemas.microsoft.com/office/excel/2006/main">
          <x14:cfRule type="expression" priority="4692323" id="{5EE2823B-E955-4EA7-B99C-0B1F77B57A69}">
            <xm:f>$AT$4='Data entry'!$R22</xm:f>
            <x14:dxf>
              <fill>
                <patternFill>
                  <bgColor rgb="FFFFFF00"/>
                </patternFill>
              </fill>
            </x14:dxf>
          </x14:cfRule>
          <xm:sqref>AF53:AT53</xm:sqref>
        </x14:conditionalFormatting>
        <x14:conditionalFormatting xmlns:xm="http://schemas.microsoft.com/office/excel/2006/main">
          <x14:cfRule type="expression" priority="4692324" id="{5737DC63-3262-4B34-900C-2AAEB255FCBA}">
            <xm:f>$AU$4='Data entry'!$R22</xm:f>
            <x14:dxf>
              <fill>
                <patternFill>
                  <bgColor rgb="FFFF0000"/>
                </patternFill>
              </fill>
            </x14:dxf>
          </x14:cfRule>
          <xm:sqref>AS54:BE54</xm:sqref>
        </x14:conditionalFormatting>
        <x14:conditionalFormatting xmlns:xm="http://schemas.microsoft.com/office/excel/2006/main">
          <x14:cfRule type="expression" priority="4692325" id="{2B5C1F1B-3C3D-4CA3-BC64-0E98422075B6}">
            <xm:f>$AU$4='Data entry'!$R22</xm:f>
            <x14:dxf>
              <fill>
                <patternFill>
                  <bgColor rgb="FFFFFF00"/>
                </patternFill>
              </fill>
            </x14:dxf>
          </x14:cfRule>
          <xm:sqref>AG53:AU53</xm:sqref>
        </x14:conditionalFormatting>
        <x14:conditionalFormatting xmlns:xm="http://schemas.microsoft.com/office/excel/2006/main">
          <x14:cfRule type="expression" priority="4692326" id="{B87A1285-B003-4855-8F4B-53C391BA10E6}">
            <xm:f>$AV$4='Data entry'!$R22</xm:f>
            <x14:dxf>
              <fill>
                <patternFill>
                  <bgColor rgb="FFFF0000"/>
                </patternFill>
              </fill>
            </x14:dxf>
          </x14:cfRule>
          <xm:sqref>AT54:BF54</xm:sqref>
        </x14:conditionalFormatting>
        <x14:conditionalFormatting xmlns:xm="http://schemas.microsoft.com/office/excel/2006/main">
          <x14:cfRule type="expression" priority="4692327" id="{338EE31C-78DB-4818-B837-0380F9E457FA}">
            <xm:f>$AV$4='Data entry'!$R22</xm:f>
            <x14:dxf>
              <fill>
                <patternFill>
                  <bgColor rgb="FFFFFF00"/>
                </patternFill>
              </fill>
            </x14:dxf>
          </x14:cfRule>
          <xm:sqref>AH53:AV53</xm:sqref>
        </x14:conditionalFormatting>
        <x14:conditionalFormatting xmlns:xm="http://schemas.microsoft.com/office/excel/2006/main">
          <x14:cfRule type="expression" priority="4692328" id="{5C40EA66-2801-4C91-B885-BF6A1ECFC35C}">
            <xm:f>$AW$4='Data entry'!$R22</xm:f>
            <x14:dxf>
              <fill>
                <patternFill>
                  <bgColor rgb="FFFF0000"/>
                </patternFill>
              </fill>
            </x14:dxf>
          </x14:cfRule>
          <xm:sqref>AU54:BG54</xm:sqref>
        </x14:conditionalFormatting>
        <x14:conditionalFormatting xmlns:xm="http://schemas.microsoft.com/office/excel/2006/main">
          <x14:cfRule type="expression" priority="4692329" id="{51BCD5CE-DF86-4C2F-8A81-DDA1EFD6C8F7}">
            <xm:f>$AW$4='Data entry'!$R22</xm:f>
            <x14:dxf>
              <fill>
                <patternFill>
                  <bgColor rgb="FFFFFF00"/>
                </patternFill>
              </fill>
            </x14:dxf>
          </x14:cfRule>
          <xm:sqref>AI53:AW53</xm:sqref>
        </x14:conditionalFormatting>
        <x14:conditionalFormatting xmlns:xm="http://schemas.microsoft.com/office/excel/2006/main">
          <x14:cfRule type="expression" priority="4692330" id="{DC2ED5A0-8917-4877-8CD3-9DF9BE5993C9}">
            <xm:f>$AX$4='Data entry'!$R22</xm:f>
            <x14:dxf>
              <fill>
                <patternFill>
                  <bgColor rgb="FFFF0000"/>
                </patternFill>
              </fill>
            </x14:dxf>
          </x14:cfRule>
          <xm:sqref>AV54:BH54</xm:sqref>
        </x14:conditionalFormatting>
        <x14:conditionalFormatting xmlns:xm="http://schemas.microsoft.com/office/excel/2006/main">
          <x14:cfRule type="expression" priority="4692331" id="{59B31869-20F9-45BD-BC80-0A6C8945CE2C}">
            <xm:f>$AX$4='Data entry'!$R22</xm:f>
            <x14:dxf>
              <fill>
                <patternFill>
                  <bgColor rgb="FFFFFF00"/>
                </patternFill>
              </fill>
            </x14:dxf>
          </x14:cfRule>
          <xm:sqref>AJ53:AX53</xm:sqref>
        </x14:conditionalFormatting>
        <x14:conditionalFormatting xmlns:xm="http://schemas.microsoft.com/office/excel/2006/main">
          <x14:cfRule type="expression" priority="4692332" id="{D4208FA0-4262-4037-934C-6D0742B2AD8E}">
            <xm:f>$AY$4='Data entry'!$R22</xm:f>
            <x14:dxf>
              <fill>
                <patternFill>
                  <bgColor rgb="FFFF0000"/>
                </patternFill>
              </fill>
            </x14:dxf>
          </x14:cfRule>
          <xm:sqref>AW54:BI54</xm:sqref>
        </x14:conditionalFormatting>
        <x14:conditionalFormatting xmlns:xm="http://schemas.microsoft.com/office/excel/2006/main">
          <x14:cfRule type="expression" priority="4692333" id="{04D6E423-18C7-42B2-A67D-F49D8E62B571}">
            <xm:f>$AY$4='Data entry'!$R22</xm:f>
            <x14:dxf>
              <fill>
                <patternFill>
                  <bgColor rgb="FFFFFF00"/>
                </patternFill>
              </fill>
            </x14:dxf>
          </x14:cfRule>
          <xm:sqref>AK53:AY53</xm:sqref>
        </x14:conditionalFormatting>
        <x14:conditionalFormatting xmlns:xm="http://schemas.microsoft.com/office/excel/2006/main">
          <x14:cfRule type="expression" priority="4692334" id="{A931C203-6E4B-4EBD-A2F4-1876881F48D4}">
            <xm:f>$AZ$4='Data entry'!$R22</xm:f>
            <x14:dxf>
              <fill>
                <patternFill>
                  <bgColor rgb="FFFF0000"/>
                </patternFill>
              </fill>
            </x14:dxf>
          </x14:cfRule>
          <xm:sqref>AX54:BJ54</xm:sqref>
        </x14:conditionalFormatting>
        <x14:conditionalFormatting xmlns:xm="http://schemas.microsoft.com/office/excel/2006/main">
          <x14:cfRule type="expression" priority="4692335" id="{092D9100-E652-40FE-8CAA-720DC0681250}">
            <xm:f>$AZ$4='Data entry'!$R22</xm:f>
            <x14:dxf>
              <fill>
                <patternFill>
                  <bgColor rgb="FFFFFF00"/>
                </patternFill>
              </fill>
            </x14:dxf>
          </x14:cfRule>
          <xm:sqref>AL53:AZ53</xm:sqref>
        </x14:conditionalFormatting>
        <x14:conditionalFormatting xmlns:xm="http://schemas.microsoft.com/office/excel/2006/main">
          <x14:cfRule type="expression" priority="4692336" id="{A3C7E6BE-A225-483C-A983-A915DB662C52}">
            <xm:f>$BA$4='Data entry'!$R22</xm:f>
            <x14:dxf>
              <fill>
                <patternFill>
                  <bgColor rgb="FFFF0000"/>
                </patternFill>
              </fill>
            </x14:dxf>
          </x14:cfRule>
          <xm:sqref>AY54:BK54</xm:sqref>
        </x14:conditionalFormatting>
        <x14:conditionalFormatting xmlns:xm="http://schemas.microsoft.com/office/excel/2006/main">
          <x14:cfRule type="expression" priority="4692337" id="{F5CF569A-8AFA-4CFF-8BD3-F04D8927A99F}">
            <xm:f>$BA$4='Data entry'!$R22</xm:f>
            <x14:dxf>
              <fill>
                <patternFill>
                  <bgColor rgb="FFFFFF00"/>
                </patternFill>
              </fill>
            </x14:dxf>
          </x14:cfRule>
          <xm:sqref>AM53:BA53</xm:sqref>
        </x14:conditionalFormatting>
        <x14:conditionalFormatting xmlns:xm="http://schemas.microsoft.com/office/excel/2006/main">
          <x14:cfRule type="expression" priority="4692338" id="{E4DAC94A-7983-4BFB-A87B-45B58561841A}">
            <xm:f>$BB$4='Data entry'!$R22</xm:f>
            <x14:dxf>
              <fill>
                <patternFill>
                  <bgColor rgb="FFFF0000"/>
                </patternFill>
              </fill>
            </x14:dxf>
          </x14:cfRule>
          <xm:sqref>AZ54:BL54</xm:sqref>
        </x14:conditionalFormatting>
        <x14:conditionalFormatting xmlns:xm="http://schemas.microsoft.com/office/excel/2006/main">
          <x14:cfRule type="expression" priority="4692339" id="{E63849C5-F39B-4B0E-8F8A-B532EDF2CBAE}">
            <xm:f>$BB$4='Data entry'!$R22</xm:f>
            <x14:dxf>
              <fill>
                <patternFill>
                  <bgColor rgb="FFFFFF00"/>
                </patternFill>
              </fill>
            </x14:dxf>
          </x14:cfRule>
          <xm:sqref>AN53:BB53</xm:sqref>
        </x14:conditionalFormatting>
        <x14:conditionalFormatting xmlns:xm="http://schemas.microsoft.com/office/excel/2006/main">
          <x14:cfRule type="expression" priority="4692340" id="{4FDC32D3-C1F5-455D-9AA4-A03359B72526}">
            <xm:f>$BC$4='Data entry'!$R22</xm:f>
            <x14:dxf>
              <fill>
                <patternFill>
                  <bgColor rgb="FFFF0000"/>
                </patternFill>
              </fill>
            </x14:dxf>
          </x14:cfRule>
          <xm:sqref>BA54:BM54</xm:sqref>
        </x14:conditionalFormatting>
        <x14:conditionalFormatting xmlns:xm="http://schemas.microsoft.com/office/excel/2006/main">
          <x14:cfRule type="expression" priority="4692341" id="{5F0D0C60-B233-4C56-B05D-98C99990877F}">
            <xm:f>$BC$4='Data entry'!$R22</xm:f>
            <x14:dxf>
              <fill>
                <patternFill>
                  <bgColor rgb="FFFFFF00"/>
                </patternFill>
              </fill>
            </x14:dxf>
          </x14:cfRule>
          <xm:sqref>AO53:BC53</xm:sqref>
        </x14:conditionalFormatting>
        <x14:conditionalFormatting xmlns:xm="http://schemas.microsoft.com/office/excel/2006/main">
          <x14:cfRule type="expression" priority="4692342" id="{9EBCB60F-8135-43B6-A0F3-548D4092CC98}">
            <xm:f>$BD$4='Data entry'!$R22</xm:f>
            <x14:dxf>
              <fill>
                <patternFill>
                  <bgColor rgb="FFFF0000"/>
                </patternFill>
              </fill>
            </x14:dxf>
          </x14:cfRule>
          <xm:sqref>BB54:BN54</xm:sqref>
        </x14:conditionalFormatting>
        <x14:conditionalFormatting xmlns:xm="http://schemas.microsoft.com/office/excel/2006/main">
          <x14:cfRule type="expression" priority="4692343" id="{961AF346-4A73-41ED-9A8D-27D431B09C05}">
            <xm:f>$BD$4='Data entry'!$R22</xm:f>
            <x14:dxf>
              <fill>
                <patternFill>
                  <bgColor rgb="FFFFFF00"/>
                </patternFill>
              </fill>
            </x14:dxf>
          </x14:cfRule>
          <xm:sqref>AP53:BD53</xm:sqref>
        </x14:conditionalFormatting>
        <x14:conditionalFormatting xmlns:xm="http://schemas.microsoft.com/office/excel/2006/main">
          <x14:cfRule type="expression" priority="4692344" id="{5A887026-27CD-4F8C-8BA6-1E92704C1CA6}">
            <xm:f>$BE$4='Data entry'!$R22</xm:f>
            <x14:dxf>
              <fill>
                <patternFill>
                  <bgColor rgb="FFFF0000"/>
                </patternFill>
              </fill>
            </x14:dxf>
          </x14:cfRule>
          <xm:sqref>BC54:BO54</xm:sqref>
        </x14:conditionalFormatting>
        <x14:conditionalFormatting xmlns:xm="http://schemas.microsoft.com/office/excel/2006/main">
          <x14:cfRule type="expression" priority="4692345" id="{7F46217B-A1E9-4515-B31E-E756FCD7C6D9}">
            <xm:f>$BE$4='Data entry'!$R22</xm:f>
            <x14:dxf>
              <fill>
                <patternFill>
                  <bgColor rgb="FFFFFF00"/>
                </patternFill>
              </fill>
            </x14:dxf>
          </x14:cfRule>
          <xm:sqref>AP53:BE53</xm:sqref>
        </x14:conditionalFormatting>
        <x14:conditionalFormatting xmlns:xm="http://schemas.microsoft.com/office/excel/2006/main">
          <x14:cfRule type="expression" priority="4692346" id="{F4D9285C-8CA0-4EF1-943E-6A462D47CC77}">
            <xm:f>$BF$4='Data entry'!$R22</xm:f>
            <x14:dxf>
              <fill>
                <patternFill>
                  <bgColor rgb="FFFF0000"/>
                </patternFill>
              </fill>
            </x14:dxf>
          </x14:cfRule>
          <xm:sqref>BD54:BP54</xm:sqref>
        </x14:conditionalFormatting>
        <x14:conditionalFormatting xmlns:xm="http://schemas.microsoft.com/office/excel/2006/main">
          <x14:cfRule type="expression" priority="4692347" id="{B9E4407D-651D-4DC0-9D61-3271D62A65E9}">
            <xm:f>$BF$4='Data entry'!$R22</xm:f>
            <x14:dxf>
              <fill>
                <patternFill>
                  <bgColor rgb="FFFFFF00"/>
                </patternFill>
              </fill>
            </x14:dxf>
          </x14:cfRule>
          <xm:sqref>AR53:BF53</xm:sqref>
        </x14:conditionalFormatting>
        <x14:conditionalFormatting xmlns:xm="http://schemas.microsoft.com/office/excel/2006/main">
          <x14:cfRule type="expression" priority="4692348" id="{4CDC062F-DDFF-4556-B941-08F919727F69}">
            <xm:f>$BG$4='Data entry'!$R22</xm:f>
            <x14:dxf>
              <fill>
                <patternFill>
                  <bgColor rgb="FFFF0000"/>
                </patternFill>
              </fill>
            </x14:dxf>
          </x14:cfRule>
          <xm:sqref>BE54:BQ54</xm:sqref>
        </x14:conditionalFormatting>
        <x14:conditionalFormatting xmlns:xm="http://schemas.microsoft.com/office/excel/2006/main">
          <x14:cfRule type="expression" priority="4692349" id="{789184FA-9055-433B-8A1B-92C7ED59E81F}">
            <xm:f>$BG$4='Data entry'!$R22</xm:f>
            <x14:dxf>
              <fill>
                <patternFill>
                  <bgColor rgb="FFFFFF00"/>
                </patternFill>
              </fill>
            </x14:dxf>
          </x14:cfRule>
          <xm:sqref>AS53:BG53</xm:sqref>
        </x14:conditionalFormatting>
        <x14:conditionalFormatting xmlns:xm="http://schemas.microsoft.com/office/excel/2006/main">
          <x14:cfRule type="expression" priority="4692350" id="{58651E5C-09C9-46C1-B95C-E8A578A49E15}">
            <xm:f>$BH$4='Data entry'!$R22</xm:f>
            <x14:dxf>
              <fill>
                <patternFill>
                  <bgColor rgb="FFFFFF00"/>
                </patternFill>
              </fill>
            </x14:dxf>
          </x14:cfRule>
          <xm:sqref>AT53:BH53</xm:sqref>
        </x14:conditionalFormatting>
        <x14:conditionalFormatting xmlns:xm="http://schemas.microsoft.com/office/excel/2006/main">
          <x14:cfRule type="expression" priority="4692351" id="{97B30B86-8311-4DC0-A533-8C0D53F37839}">
            <xm:f>$BH$4='Data entry'!$R22</xm:f>
            <x14:dxf>
              <fill>
                <patternFill>
                  <bgColor rgb="FFFF0000"/>
                </patternFill>
              </fill>
            </x14:dxf>
          </x14:cfRule>
          <xm:sqref>BF54:BR54</xm:sqref>
        </x14:conditionalFormatting>
        <x14:conditionalFormatting xmlns:xm="http://schemas.microsoft.com/office/excel/2006/main">
          <x14:cfRule type="expression" priority="4692352" id="{78344C0C-5AEA-40B1-A20C-6D77DF58E1F5}">
            <xm:f>$BI$4='Data entry'!$R22</xm:f>
            <x14:dxf>
              <fill>
                <patternFill>
                  <bgColor rgb="FFFFFF00"/>
                </patternFill>
              </fill>
            </x14:dxf>
          </x14:cfRule>
          <xm:sqref>AU53:BI53</xm:sqref>
        </x14:conditionalFormatting>
        <x14:conditionalFormatting xmlns:xm="http://schemas.microsoft.com/office/excel/2006/main">
          <x14:cfRule type="expression" priority="4692353" id="{A9CE044F-482E-4F25-B28F-89ACC58502B1}">
            <xm:f>$BI$4='Data entry'!$R22</xm:f>
            <x14:dxf>
              <fill>
                <patternFill>
                  <bgColor rgb="FFFF0000"/>
                </patternFill>
              </fill>
            </x14:dxf>
          </x14:cfRule>
          <xm:sqref>BG54:BS54</xm:sqref>
        </x14:conditionalFormatting>
        <x14:conditionalFormatting xmlns:xm="http://schemas.microsoft.com/office/excel/2006/main">
          <x14:cfRule type="expression" priority="4692354" id="{F63BE0EB-3C71-4456-BEF0-11180AB7A8BB}">
            <xm:f>$BJ$4='Data entry'!$R22</xm:f>
            <x14:dxf>
              <fill>
                <patternFill>
                  <bgColor rgb="FFFFFF00"/>
                </patternFill>
              </fill>
            </x14:dxf>
          </x14:cfRule>
          <xm:sqref>AV53:BJ53</xm:sqref>
        </x14:conditionalFormatting>
        <x14:conditionalFormatting xmlns:xm="http://schemas.microsoft.com/office/excel/2006/main">
          <x14:cfRule type="expression" priority="4692355" id="{478A5DCB-1DAA-4497-A6CC-B4F01FB96D10}">
            <xm:f>$BJ$4='Data entry'!$R22</xm:f>
            <x14:dxf>
              <fill>
                <patternFill>
                  <bgColor rgb="FFFF0000"/>
                </patternFill>
              </fill>
            </x14:dxf>
          </x14:cfRule>
          <xm:sqref>BH54:BT54</xm:sqref>
        </x14:conditionalFormatting>
        <x14:conditionalFormatting xmlns:xm="http://schemas.microsoft.com/office/excel/2006/main">
          <x14:cfRule type="expression" priority="4692356" id="{CDE4AD5B-65A6-4FA4-9EC0-8D05F22312A9}">
            <xm:f>$BK$4='Data entry'!$R22</xm:f>
            <x14:dxf>
              <fill>
                <patternFill>
                  <bgColor rgb="FFFF0000"/>
                </patternFill>
              </fill>
            </x14:dxf>
          </x14:cfRule>
          <xm:sqref>BI54:BU54</xm:sqref>
        </x14:conditionalFormatting>
        <x14:conditionalFormatting xmlns:xm="http://schemas.microsoft.com/office/excel/2006/main">
          <x14:cfRule type="expression" priority="4692357" id="{AB32E790-6CD8-4D11-9A69-57D785FE4BBC}">
            <xm:f>$BK$4='Data entry'!$R22</xm:f>
            <x14:dxf>
              <fill>
                <patternFill>
                  <bgColor rgb="FFFFFF00"/>
                </patternFill>
              </fill>
            </x14:dxf>
          </x14:cfRule>
          <xm:sqref>AW53:BK53</xm:sqref>
        </x14:conditionalFormatting>
        <x14:conditionalFormatting xmlns:xm="http://schemas.microsoft.com/office/excel/2006/main">
          <x14:cfRule type="expression" priority="4692358" id="{99810EB9-805C-43D8-852A-EEECE7874CDB}">
            <xm:f>$BL$4='Data entry'!$R22</xm:f>
            <x14:dxf>
              <fill>
                <patternFill>
                  <bgColor rgb="FFFF0000"/>
                </patternFill>
              </fill>
            </x14:dxf>
          </x14:cfRule>
          <xm:sqref>BJ54:BV54</xm:sqref>
        </x14:conditionalFormatting>
        <x14:conditionalFormatting xmlns:xm="http://schemas.microsoft.com/office/excel/2006/main">
          <x14:cfRule type="expression" priority="4692359" id="{BF5F5475-4E46-479C-97A6-D5175F5D1803}">
            <xm:f>$BL$4='Data entry'!$R22</xm:f>
            <x14:dxf>
              <fill>
                <patternFill>
                  <bgColor rgb="FFFFFF00"/>
                </patternFill>
              </fill>
            </x14:dxf>
          </x14:cfRule>
          <xm:sqref>AX53:BL53</xm:sqref>
        </x14:conditionalFormatting>
        <x14:conditionalFormatting xmlns:xm="http://schemas.microsoft.com/office/excel/2006/main">
          <x14:cfRule type="expression" priority="4692360" id="{B86FDF2F-16C9-46B1-847E-7EA1A8A34B9D}">
            <xm:f>$BM$4='Data entry'!$R22</xm:f>
            <x14:dxf>
              <fill>
                <patternFill>
                  <bgColor rgb="FFFF0000"/>
                </patternFill>
              </fill>
            </x14:dxf>
          </x14:cfRule>
          <xm:sqref>BK54:BW54</xm:sqref>
        </x14:conditionalFormatting>
        <x14:conditionalFormatting xmlns:xm="http://schemas.microsoft.com/office/excel/2006/main">
          <x14:cfRule type="expression" priority="4692361" id="{72FD189F-4CED-400D-9FEF-21A328970A4D}">
            <xm:f>$BM$4='Data entry'!$R22</xm:f>
            <x14:dxf>
              <fill>
                <patternFill>
                  <bgColor rgb="FFFFFF00"/>
                </patternFill>
              </fill>
            </x14:dxf>
          </x14:cfRule>
          <xm:sqref>AY53:BM53</xm:sqref>
        </x14:conditionalFormatting>
        <x14:conditionalFormatting xmlns:xm="http://schemas.microsoft.com/office/excel/2006/main">
          <x14:cfRule type="expression" priority="4692362" id="{BBBBF859-D5A7-4F55-BFBF-8A77E3357590}">
            <xm:f>$BN$4='Data entry'!$R22</xm:f>
            <x14:dxf>
              <fill>
                <patternFill>
                  <bgColor rgb="FFFF0000"/>
                </patternFill>
              </fill>
            </x14:dxf>
          </x14:cfRule>
          <xm:sqref>BL54:BX54</xm:sqref>
        </x14:conditionalFormatting>
        <x14:conditionalFormatting xmlns:xm="http://schemas.microsoft.com/office/excel/2006/main">
          <x14:cfRule type="expression" priority="4692363" id="{50CB1D75-0FD5-4D24-92B1-E8A41DC6575C}">
            <xm:f>$BN$4='Data entry'!$R22</xm:f>
            <x14:dxf>
              <fill>
                <patternFill>
                  <bgColor rgb="FFFFFF00"/>
                </patternFill>
              </fill>
            </x14:dxf>
          </x14:cfRule>
          <xm:sqref>AZ53:BN53</xm:sqref>
        </x14:conditionalFormatting>
        <x14:conditionalFormatting xmlns:xm="http://schemas.microsoft.com/office/excel/2006/main">
          <x14:cfRule type="expression" priority="4692364" id="{9EF3226D-E8FC-496B-A6FF-71776AEA54D1}">
            <xm:f>$BO$4='Data entry'!$R22</xm:f>
            <x14:dxf>
              <fill>
                <patternFill>
                  <bgColor rgb="FFFF0000"/>
                </patternFill>
              </fill>
            </x14:dxf>
          </x14:cfRule>
          <xm:sqref>BM54:BY54</xm:sqref>
        </x14:conditionalFormatting>
        <x14:conditionalFormatting xmlns:xm="http://schemas.microsoft.com/office/excel/2006/main">
          <x14:cfRule type="expression" priority="4692365" id="{3B86C801-ECFE-4D05-8AA5-1581116BAFBC}">
            <xm:f>$BO$4='Data entry'!$R22</xm:f>
            <x14:dxf>
              <fill>
                <patternFill>
                  <bgColor rgb="FFFFFF00"/>
                </patternFill>
              </fill>
            </x14:dxf>
          </x14:cfRule>
          <xm:sqref>BA53:BO53</xm:sqref>
        </x14:conditionalFormatting>
        <x14:conditionalFormatting xmlns:xm="http://schemas.microsoft.com/office/excel/2006/main">
          <x14:cfRule type="expression" priority="4692366" id="{058A23EC-3371-4A02-9F20-1ECA603AC6BC}">
            <xm:f>$BP$4='Data entry'!$R22</xm:f>
            <x14:dxf>
              <fill>
                <patternFill>
                  <bgColor rgb="FFFF0000"/>
                </patternFill>
              </fill>
            </x14:dxf>
          </x14:cfRule>
          <xm:sqref>BN54:BZ54</xm:sqref>
        </x14:conditionalFormatting>
        <x14:conditionalFormatting xmlns:xm="http://schemas.microsoft.com/office/excel/2006/main">
          <x14:cfRule type="expression" priority="4692367" id="{3E711E31-3992-4555-AB22-87133D60CD15}">
            <xm:f>$BP$4='Data entry'!$R22</xm:f>
            <x14:dxf>
              <fill>
                <patternFill>
                  <bgColor rgb="FFFFFF00"/>
                </patternFill>
              </fill>
            </x14:dxf>
          </x14:cfRule>
          <xm:sqref>BB53:BP53</xm:sqref>
        </x14:conditionalFormatting>
        <x14:conditionalFormatting xmlns:xm="http://schemas.microsoft.com/office/excel/2006/main">
          <x14:cfRule type="expression" priority="4692368" id="{23E9F8B9-37D5-4730-9453-6F23E8ECBBE3}">
            <xm:f>$BQ$4='Data entry'!$R22</xm:f>
            <x14:dxf>
              <fill>
                <patternFill>
                  <bgColor rgb="FFFFFF00"/>
                </patternFill>
              </fill>
            </x14:dxf>
          </x14:cfRule>
          <xm:sqref>BC53:BQ53</xm:sqref>
        </x14:conditionalFormatting>
        <x14:conditionalFormatting xmlns:xm="http://schemas.microsoft.com/office/excel/2006/main">
          <x14:cfRule type="expression" priority="4692369" id="{BCFD92F6-AAD3-44FD-BC61-A292A81B883E}">
            <xm:f>$BQ$4='Data entry'!$R22</xm:f>
            <x14:dxf>
              <fill>
                <patternFill>
                  <bgColor rgb="FFFF0000"/>
                </patternFill>
              </fill>
            </x14:dxf>
          </x14:cfRule>
          <xm:sqref>BO54:CA54</xm:sqref>
        </x14:conditionalFormatting>
        <x14:conditionalFormatting xmlns:xm="http://schemas.microsoft.com/office/excel/2006/main">
          <x14:cfRule type="expression" priority="4692370" id="{357D60E5-F356-477E-8020-A18F42C02832}">
            <xm:f>$BR$4='Data entry'!$R22</xm:f>
            <x14:dxf>
              <fill>
                <patternFill>
                  <bgColor rgb="FFFFFF00"/>
                </patternFill>
              </fill>
            </x14:dxf>
          </x14:cfRule>
          <xm:sqref>BD53:BR53</xm:sqref>
        </x14:conditionalFormatting>
        <x14:conditionalFormatting xmlns:xm="http://schemas.microsoft.com/office/excel/2006/main">
          <x14:cfRule type="expression" priority="4692371" id="{DA2B6511-43B3-432D-B6AA-1DB1188B90A6}">
            <xm:f>$BR$4='Data entry'!$R22</xm:f>
            <x14:dxf>
              <fill>
                <patternFill>
                  <bgColor rgb="FFFF0000"/>
                </patternFill>
              </fill>
            </x14:dxf>
          </x14:cfRule>
          <xm:sqref>BP54:CB54</xm:sqref>
        </x14:conditionalFormatting>
        <x14:conditionalFormatting xmlns:xm="http://schemas.microsoft.com/office/excel/2006/main">
          <x14:cfRule type="expression" priority="4692372" id="{0D5F64E4-4136-4BFA-B833-CC8578525D9C}">
            <xm:f>$BS$4='Data entry'!$R22</xm:f>
            <x14:dxf>
              <fill>
                <patternFill>
                  <bgColor rgb="FFFFFF00"/>
                </patternFill>
              </fill>
            </x14:dxf>
          </x14:cfRule>
          <xm:sqref>BE53:BS53</xm:sqref>
        </x14:conditionalFormatting>
        <x14:conditionalFormatting xmlns:xm="http://schemas.microsoft.com/office/excel/2006/main">
          <x14:cfRule type="expression" priority="4692373" id="{AC94D468-F078-4AE2-8771-102996E07B09}">
            <xm:f>$BS$4='Data entry'!$R22</xm:f>
            <x14:dxf>
              <fill>
                <patternFill>
                  <bgColor rgb="FFFF0000"/>
                </patternFill>
              </fill>
            </x14:dxf>
          </x14:cfRule>
          <xm:sqref>BQ54:CC54</xm:sqref>
        </x14:conditionalFormatting>
        <x14:conditionalFormatting xmlns:xm="http://schemas.microsoft.com/office/excel/2006/main">
          <x14:cfRule type="expression" priority="4692374" id="{10E78F76-181E-4F19-9F89-7DD36D3EFE30}">
            <xm:f>$BT$4='Data entry'!$R22</xm:f>
            <x14:dxf>
              <fill>
                <patternFill>
                  <bgColor rgb="FFFFFF00"/>
                </patternFill>
              </fill>
            </x14:dxf>
          </x14:cfRule>
          <xm:sqref>BF53:BT53</xm:sqref>
        </x14:conditionalFormatting>
        <x14:conditionalFormatting xmlns:xm="http://schemas.microsoft.com/office/excel/2006/main">
          <x14:cfRule type="expression" priority="4692375" id="{6A5FADC6-9512-4EFB-90A5-7B5244D10D1F}">
            <xm:f>$BT$4='Data entry'!$R22</xm:f>
            <x14:dxf>
              <fill>
                <patternFill>
                  <bgColor rgb="FFFF0000"/>
                </patternFill>
              </fill>
            </x14:dxf>
          </x14:cfRule>
          <xm:sqref>BR54:CC54</xm:sqref>
        </x14:conditionalFormatting>
        <x14:conditionalFormatting xmlns:xm="http://schemas.microsoft.com/office/excel/2006/main">
          <x14:cfRule type="expression" priority="4692376" id="{A51139D1-8841-4B96-B8CB-DFE3808765CF}">
            <xm:f>$BU$4='Data entry'!$R22</xm:f>
            <x14:dxf>
              <fill>
                <patternFill>
                  <bgColor rgb="FFFFFF00"/>
                </patternFill>
              </fill>
            </x14:dxf>
          </x14:cfRule>
          <xm:sqref>BG53:BU53</xm:sqref>
        </x14:conditionalFormatting>
        <x14:conditionalFormatting xmlns:xm="http://schemas.microsoft.com/office/excel/2006/main">
          <x14:cfRule type="expression" priority="4692377" id="{55CA7258-760F-4BFF-ACB5-A70FEB3E7981}">
            <xm:f>$BU$4='Data entry'!$R22</xm:f>
            <x14:dxf>
              <fill>
                <patternFill>
                  <bgColor rgb="FFFF0000"/>
                </patternFill>
              </fill>
            </x14:dxf>
          </x14:cfRule>
          <xm:sqref>BS54:CC54</xm:sqref>
        </x14:conditionalFormatting>
        <x14:conditionalFormatting xmlns:xm="http://schemas.microsoft.com/office/excel/2006/main">
          <x14:cfRule type="expression" priority="4692378" id="{A922B218-64DB-4CBB-9AB8-FE0EBB44E09E}">
            <xm:f>$BV$4='Data entry'!$R22</xm:f>
            <x14:dxf>
              <fill>
                <patternFill>
                  <bgColor rgb="FFFFFF00"/>
                </patternFill>
              </fill>
            </x14:dxf>
          </x14:cfRule>
          <xm:sqref>BH53:BV53</xm:sqref>
        </x14:conditionalFormatting>
        <x14:conditionalFormatting xmlns:xm="http://schemas.microsoft.com/office/excel/2006/main">
          <x14:cfRule type="expression" priority="4692379" id="{C98E908A-CD31-4778-B41C-7AFB9DBE639A}">
            <xm:f>$BV$4='Data entry'!$R22</xm:f>
            <x14:dxf>
              <fill>
                <patternFill>
                  <bgColor rgb="FFFF0000"/>
                </patternFill>
              </fill>
            </x14:dxf>
          </x14:cfRule>
          <xm:sqref>BT54:CC54</xm:sqref>
        </x14:conditionalFormatting>
        <x14:conditionalFormatting xmlns:xm="http://schemas.microsoft.com/office/excel/2006/main">
          <x14:cfRule type="expression" priority="4692380" id="{465CCCA3-B4DB-4B61-8AC7-8A5E4CEC9E3F}">
            <xm:f>$BW$4='Data entry'!$R22</xm:f>
            <x14:dxf>
              <fill>
                <patternFill>
                  <bgColor rgb="FFFFFF00"/>
                </patternFill>
              </fill>
            </x14:dxf>
          </x14:cfRule>
          <xm:sqref>BI53:BW53</xm:sqref>
        </x14:conditionalFormatting>
        <x14:conditionalFormatting xmlns:xm="http://schemas.microsoft.com/office/excel/2006/main">
          <x14:cfRule type="expression" priority="4692381" id="{37566F97-6D06-400B-A709-FE657B07687F}">
            <xm:f>$BW$4='Data entry'!$R22</xm:f>
            <x14:dxf>
              <fill>
                <patternFill>
                  <bgColor rgb="FFFF0000"/>
                </patternFill>
              </fill>
            </x14:dxf>
          </x14:cfRule>
          <xm:sqref>BU54:CC54</xm:sqref>
        </x14:conditionalFormatting>
        <x14:conditionalFormatting xmlns:xm="http://schemas.microsoft.com/office/excel/2006/main">
          <x14:cfRule type="expression" priority="4692382" id="{D8FBA3AC-5CF0-4E45-97CA-1D4DEE729ADA}">
            <xm:f>$BX$4='Data entry'!$R22</xm:f>
            <x14:dxf>
              <fill>
                <patternFill>
                  <bgColor rgb="FFFFFF00"/>
                </patternFill>
              </fill>
            </x14:dxf>
          </x14:cfRule>
          <xm:sqref>BJ53:BX53</xm:sqref>
        </x14:conditionalFormatting>
        <x14:conditionalFormatting xmlns:xm="http://schemas.microsoft.com/office/excel/2006/main">
          <x14:cfRule type="expression" priority="4692383" id="{E077C84B-A94F-431D-B232-4AFCC7C64F54}">
            <xm:f>$BX$4='Data entry'!$R22</xm:f>
            <x14:dxf>
              <fill>
                <patternFill>
                  <bgColor rgb="FFFF0000"/>
                </patternFill>
              </fill>
            </x14:dxf>
          </x14:cfRule>
          <xm:sqref>BV54:CC54</xm:sqref>
        </x14:conditionalFormatting>
        <x14:conditionalFormatting xmlns:xm="http://schemas.microsoft.com/office/excel/2006/main">
          <x14:cfRule type="expression" priority="4692384" id="{63783BA8-0C97-4A44-86FD-7A2BCF1B9957}">
            <xm:f>$BY$4='Data entry'!$R22</xm:f>
            <x14:dxf>
              <fill>
                <patternFill>
                  <bgColor rgb="FFFFFF00"/>
                </patternFill>
              </fill>
            </x14:dxf>
          </x14:cfRule>
          <xm:sqref>BK53:BY53</xm:sqref>
        </x14:conditionalFormatting>
        <x14:conditionalFormatting xmlns:xm="http://schemas.microsoft.com/office/excel/2006/main">
          <x14:cfRule type="expression" priority="4692385" id="{BB8DB8B4-B71B-46D2-AEE7-346F16103F74}">
            <xm:f>$BY$4='Data entry'!$R22</xm:f>
            <x14:dxf>
              <fill>
                <patternFill>
                  <bgColor rgb="FFFF0000"/>
                </patternFill>
              </fill>
            </x14:dxf>
          </x14:cfRule>
          <xm:sqref>BW54:CC54</xm:sqref>
        </x14:conditionalFormatting>
        <x14:conditionalFormatting xmlns:xm="http://schemas.microsoft.com/office/excel/2006/main">
          <x14:cfRule type="expression" priority="4692386" id="{1B638B98-2B06-4FEB-90C1-446A3E0A3979}">
            <xm:f>$BZ$4='Data entry'!$R22</xm:f>
            <x14:dxf>
              <fill>
                <patternFill>
                  <bgColor rgb="FFFFFF00"/>
                </patternFill>
              </fill>
            </x14:dxf>
          </x14:cfRule>
          <xm:sqref>BL53:BZ53</xm:sqref>
        </x14:conditionalFormatting>
        <x14:conditionalFormatting xmlns:xm="http://schemas.microsoft.com/office/excel/2006/main">
          <x14:cfRule type="expression" priority="4692387" id="{D3A0A2F8-D1B2-4DC5-B2A9-0EF53074E685}">
            <xm:f>$BZ$4='Data entry'!$R22</xm:f>
            <x14:dxf>
              <fill>
                <patternFill>
                  <bgColor rgb="FFFF0000"/>
                </patternFill>
              </fill>
            </x14:dxf>
          </x14:cfRule>
          <xm:sqref>BX54:CC54</xm:sqref>
        </x14:conditionalFormatting>
        <x14:conditionalFormatting xmlns:xm="http://schemas.microsoft.com/office/excel/2006/main">
          <x14:cfRule type="expression" priority="4692388" id="{83F6D018-7D3B-4D33-9998-11572F2F2FF5}">
            <xm:f>$CA$4='Data entry'!$R22</xm:f>
            <x14:dxf>
              <fill>
                <patternFill>
                  <bgColor rgb="FFFFFF00"/>
                </patternFill>
              </fill>
            </x14:dxf>
          </x14:cfRule>
          <xm:sqref>BM53:CA53</xm:sqref>
        </x14:conditionalFormatting>
        <x14:conditionalFormatting xmlns:xm="http://schemas.microsoft.com/office/excel/2006/main">
          <x14:cfRule type="expression" priority="4692389" id="{8E6D0B51-5626-4ED9-9072-C7A2C139704F}">
            <xm:f>$CA$4='Data entry'!$R22</xm:f>
            <x14:dxf>
              <fill>
                <patternFill>
                  <bgColor rgb="FFFF0000"/>
                </patternFill>
              </fill>
            </x14:dxf>
          </x14:cfRule>
          <xm:sqref>BY54:CC54</xm:sqref>
        </x14:conditionalFormatting>
        <x14:conditionalFormatting xmlns:xm="http://schemas.microsoft.com/office/excel/2006/main">
          <x14:cfRule type="expression" priority="4692390" id="{E1886EE4-3BDE-43A9-9F4B-79377FEC37FE}">
            <xm:f>$CB$4='Data entry'!$R22</xm:f>
            <x14:dxf>
              <fill>
                <patternFill>
                  <bgColor rgb="FFFFFF00"/>
                </patternFill>
              </fill>
            </x14:dxf>
          </x14:cfRule>
          <xm:sqref>BN53:CB53</xm:sqref>
        </x14:conditionalFormatting>
        <x14:conditionalFormatting xmlns:xm="http://schemas.microsoft.com/office/excel/2006/main">
          <x14:cfRule type="expression" priority="4692391" id="{ADEF572A-6C18-4602-BB86-01C96D36E07E}">
            <xm:f>$CB$4='Data entry'!$R22</xm:f>
            <x14:dxf>
              <fill>
                <patternFill>
                  <bgColor rgb="FFFF0000"/>
                </patternFill>
              </fill>
            </x14:dxf>
          </x14:cfRule>
          <xm:sqref>BZ54:CC54</xm:sqref>
        </x14:conditionalFormatting>
        <x14:conditionalFormatting xmlns:xm="http://schemas.microsoft.com/office/excel/2006/main">
          <x14:cfRule type="expression" priority="4692392" id="{7984E1C9-E073-4955-8543-62145CB6D008}">
            <xm:f>$CC$4='Data entry'!$R22</xm:f>
            <x14:dxf>
              <fill>
                <patternFill>
                  <bgColor rgb="FFFFFF00"/>
                </patternFill>
              </fill>
            </x14:dxf>
          </x14:cfRule>
          <xm:sqref>BO53:CC53</xm:sqref>
        </x14:conditionalFormatting>
        <x14:conditionalFormatting xmlns:xm="http://schemas.microsoft.com/office/excel/2006/main">
          <x14:cfRule type="expression" priority="4692393" id="{18A957B3-59FA-4698-BA92-2A208FF18E2F}">
            <xm:f>$CC$4='Data entry'!$R22</xm:f>
            <x14:dxf>
              <fill>
                <patternFill>
                  <bgColor rgb="FFFF0000"/>
                </patternFill>
              </fill>
            </x14:dxf>
          </x14:cfRule>
          <xm:sqref>CA54:CC54</xm:sqref>
        </x14:conditionalFormatting>
        <x14:conditionalFormatting xmlns:xm="http://schemas.microsoft.com/office/excel/2006/main">
          <x14:cfRule type="expression" priority="4692480" id="{5B0DB825-B7C2-40AC-B7EF-F267F054CFB9}">
            <xm:f>$U$4='Data entry'!$R23</xm:f>
            <x14:dxf>
              <fill>
                <patternFill>
                  <bgColor rgb="FFFF0000"/>
                </patternFill>
              </fill>
            </x14:dxf>
          </x14:cfRule>
          <xm:sqref>S57:AE57</xm:sqref>
        </x14:conditionalFormatting>
        <x14:conditionalFormatting xmlns:xm="http://schemas.microsoft.com/office/excel/2006/main">
          <x14:cfRule type="expression" priority="4692481" id="{18311200-E2BB-400F-B594-3B9A2C6068C2}">
            <xm:f>$V$4='Data entry'!$R23</xm:f>
            <x14:dxf>
              <fill>
                <patternFill>
                  <bgColor rgb="FFFF0000"/>
                </patternFill>
              </fill>
            </x14:dxf>
          </x14:cfRule>
          <xm:sqref>T57:AF57</xm:sqref>
        </x14:conditionalFormatting>
        <x14:conditionalFormatting xmlns:xm="http://schemas.microsoft.com/office/excel/2006/main">
          <x14:cfRule type="expression" priority="4692482" id="{D6DFB621-1A58-4C59-A987-ECAD0EB2D32B}">
            <xm:f>$V$4='Data entry'!$R23</xm:f>
            <x14:dxf>
              <fill>
                <patternFill>
                  <bgColor rgb="FFFFFF00"/>
                </patternFill>
              </fill>
            </x14:dxf>
          </x14:cfRule>
          <xm:sqref>H56:V56</xm:sqref>
        </x14:conditionalFormatting>
        <x14:conditionalFormatting xmlns:xm="http://schemas.microsoft.com/office/excel/2006/main">
          <x14:cfRule type="expression" priority="4692483" id="{5F87A680-DC5F-433D-A779-B7A534ACCDA9}">
            <xm:f>$W$4='Data entry'!$R23</xm:f>
            <x14:dxf>
              <fill>
                <patternFill>
                  <bgColor rgb="FFFF0000"/>
                </patternFill>
              </fill>
            </x14:dxf>
          </x14:cfRule>
          <xm:sqref>U57:AG57</xm:sqref>
        </x14:conditionalFormatting>
        <x14:conditionalFormatting xmlns:xm="http://schemas.microsoft.com/office/excel/2006/main">
          <x14:cfRule type="expression" priority="4692484" id="{964539FF-A92C-4F68-B268-B7157A32678C}">
            <xm:f>$W$4='Data entry'!$R23</xm:f>
            <x14:dxf>
              <fill>
                <patternFill>
                  <bgColor rgb="FFFFFF00"/>
                </patternFill>
              </fill>
            </x14:dxf>
          </x14:cfRule>
          <xm:sqref>I56:W56</xm:sqref>
        </x14:conditionalFormatting>
        <x14:conditionalFormatting xmlns:xm="http://schemas.microsoft.com/office/excel/2006/main">
          <x14:cfRule type="expression" priority="4692485" id="{46C1533A-F090-4A90-9309-3F59EC3FD3B0}">
            <xm:f>$X$4='Data entry'!$R23</xm:f>
            <x14:dxf>
              <fill>
                <patternFill>
                  <bgColor rgb="FFFF0000"/>
                </patternFill>
              </fill>
            </x14:dxf>
          </x14:cfRule>
          <xm:sqref>V57:AH57</xm:sqref>
        </x14:conditionalFormatting>
        <x14:conditionalFormatting xmlns:xm="http://schemas.microsoft.com/office/excel/2006/main">
          <x14:cfRule type="expression" priority="4692486" id="{7C70E81C-DDD4-4D75-933A-4F6A39893184}">
            <xm:f>$X$4='Data entry'!$R23</xm:f>
            <x14:dxf>
              <fill>
                <patternFill>
                  <bgColor rgb="FFFFFF00"/>
                </patternFill>
              </fill>
            </x14:dxf>
          </x14:cfRule>
          <xm:sqref>J56:X56</xm:sqref>
        </x14:conditionalFormatting>
        <x14:conditionalFormatting xmlns:xm="http://schemas.microsoft.com/office/excel/2006/main">
          <x14:cfRule type="expression" priority="4692487" id="{561AF073-0EF8-4B72-A119-40A639C4359D}">
            <xm:f>$Y$4='Data entry'!$R23</xm:f>
            <x14:dxf>
              <fill>
                <patternFill>
                  <bgColor rgb="FFFF0000"/>
                </patternFill>
              </fill>
            </x14:dxf>
          </x14:cfRule>
          <xm:sqref>W57:AI57</xm:sqref>
        </x14:conditionalFormatting>
        <x14:conditionalFormatting xmlns:xm="http://schemas.microsoft.com/office/excel/2006/main">
          <x14:cfRule type="expression" priority="4692488" id="{F242E808-8F07-4A89-9524-7D4C767CE357}">
            <xm:f>$Y$4='Data entry'!$R23</xm:f>
            <x14:dxf>
              <fill>
                <patternFill>
                  <bgColor rgb="FFFFFF00"/>
                </patternFill>
              </fill>
            </x14:dxf>
          </x14:cfRule>
          <xm:sqref>K56:Y56</xm:sqref>
        </x14:conditionalFormatting>
        <x14:conditionalFormatting xmlns:xm="http://schemas.microsoft.com/office/excel/2006/main">
          <x14:cfRule type="expression" priority="4692489" id="{DD601058-982B-4218-BD9D-64BB823C2633}">
            <xm:f>$Z$4='Data entry'!$R23</xm:f>
            <x14:dxf>
              <fill>
                <patternFill>
                  <bgColor rgb="FFFF0000"/>
                </patternFill>
              </fill>
            </x14:dxf>
          </x14:cfRule>
          <xm:sqref>X57:AJ57</xm:sqref>
        </x14:conditionalFormatting>
        <x14:conditionalFormatting xmlns:xm="http://schemas.microsoft.com/office/excel/2006/main">
          <x14:cfRule type="expression" priority="4692490" id="{C9DB141D-79F6-4093-92A3-7BF7A1622985}">
            <xm:f>$Z$4='Data entry'!$R23</xm:f>
            <x14:dxf>
              <fill>
                <patternFill>
                  <bgColor rgb="FFFFFF00"/>
                </patternFill>
              </fill>
            </x14:dxf>
          </x14:cfRule>
          <xm:sqref>L56:Z56</xm:sqref>
        </x14:conditionalFormatting>
        <x14:conditionalFormatting xmlns:xm="http://schemas.microsoft.com/office/excel/2006/main">
          <x14:cfRule type="expression" priority="4692491" id="{710EB8D3-F5C0-4E3C-8214-2D0C4E26F649}">
            <xm:f>$AA$4='Data entry'!$R23</xm:f>
            <x14:dxf>
              <fill>
                <patternFill>
                  <bgColor rgb="FFFF0000"/>
                </patternFill>
              </fill>
            </x14:dxf>
          </x14:cfRule>
          <xm:sqref>Y57:AK57</xm:sqref>
        </x14:conditionalFormatting>
        <x14:conditionalFormatting xmlns:xm="http://schemas.microsoft.com/office/excel/2006/main">
          <x14:cfRule type="expression" priority="4692492" id="{33825D69-C967-4D27-B395-5D44A3083802}">
            <xm:f>$AA$4='Data entry'!$R23</xm:f>
            <x14:dxf>
              <fill>
                <patternFill>
                  <bgColor rgb="FFFFFF00"/>
                </patternFill>
              </fill>
            </x14:dxf>
          </x14:cfRule>
          <xm:sqref>M56:AA56</xm:sqref>
        </x14:conditionalFormatting>
        <x14:conditionalFormatting xmlns:xm="http://schemas.microsoft.com/office/excel/2006/main">
          <x14:cfRule type="expression" priority="4692493" id="{9811A97D-351B-4D32-8754-AF433277E62B}">
            <xm:f>$AB$4='Data entry'!$R23</xm:f>
            <x14:dxf>
              <fill>
                <patternFill>
                  <bgColor rgb="FFFF0000"/>
                </patternFill>
              </fill>
            </x14:dxf>
          </x14:cfRule>
          <xm:sqref>Z57:AL57</xm:sqref>
        </x14:conditionalFormatting>
        <x14:conditionalFormatting xmlns:xm="http://schemas.microsoft.com/office/excel/2006/main">
          <x14:cfRule type="expression" priority="4692494" id="{6DD3E556-C72E-438B-92DA-3096ED1E4178}">
            <xm:f>$AB$4='Data entry'!$R23</xm:f>
            <x14:dxf>
              <fill>
                <patternFill>
                  <bgColor rgb="FFFFFF00"/>
                </patternFill>
              </fill>
            </x14:dxf>
          </x14:cfRule>
          <xm:sqref>N56:AB56</xm:sqref>
        </x14:conditionalFormatting>
        <x14:conditionalFormatting xmlns:xm="http://schemas.microsoft.com/office/excel/2006/main">
          <x14:cfRule type="expression" priority="4692495" id="{C0DF7A1B-D6BC-4371-BD3A-F0708147FA1C}">
            <xm:f>$AC$4='Data entry'!$R23</xm:f>
            <x14:dxf>
              <fill>
                <patternFill>
                  <bgColor rgb="FFFF0000"/>
                </patternFill>
              </fill>
            </x14:dxf>
          </x14:cfRule>
          <xm:sqref>AA57:AM57</xm:sqref>
        </x14:conditionalFormatting>
        <x14:conditionalFormatting xmlns:xm="http://schemas.microsoft.com/office/excel/2006/main">
          <x14:cfRule type="expression" priority="4692496" id="{DB2E1F48-AF0E-41F9-A976-6B1963CA5711}">
            <xm:f>$AC$4='Data entry'!$R23</xm:f>
            <x14:dxf>
              <fill>
                <patternFill>
                  <bgColor rgb="FFFFFF00"/>
                </patternFill>
              </fill>
            </x14:dxf>
          </x14:cfRule>
          <xm:sqref>O56:AC56</xm:sqref>
        </x14:conditionalFormatting>
        <x14:conditionalFormatting xmlns:xm="http://schemas.microsoft.com/office/excel/2006/main">
          <x14:cfRule type="expression" priority="4692497" id="{89909907-F9A9-4AF9-BC1D-304710A43F50}">
            <xm:f>$AD$4='Data entry'!$R23</xm:f>
            <x14:dxf>
              <fill>
                <patternFill>
                  <bgColor rgb="FFFF0000"/>
                </patternFill>
              </fill>
            </x14:dxf>
          </x14:cfRule>
          <xm:sqref>AB57:AN57</xm:sqref>
        </x14:conditionalFormatting>
        <x14:conditionalFormatting xmlns:xm="http://schemas.microsoft.com/office/excel/2006/main">
          <x14:cfRule type="expression" priority="4692498" id="{729676B7-E331-43A4-ACC9-850DCEE76A0E}">
            <xm:f>$AD$4='Data entry'!$R23</xm:f>
            <x14:dxf>
              <fill>
                <patternFill>
                  <bgColor rgb="FFFFFF00"/>
                </patternFill>
              </fill>
            </x14:dxf>
          </x14:cfRule>
          <xm:sqref>P56:AD56</xm:sqref>
        </x14:conditionalFormatting>
        <x14:conditionalFormatting xmlns:xm="http://schemas.microsoft.com/office/excel/2006/main">
          <x14:cfRule type="expression" priority="4692499" id="{00DA2C55-350E-44AA-ABEA-808FABFDA737}">
            <xm:f>$AE$4='Data entry'!$R23</xm:f>
            <x14:dxf>
              <fill>
                <patternFill>
                  <bgColor rgb="FFFF0000"/>
                </patternFill>
              </fill>
            </x14:dxf>
          </x14:cfRule>
          <xm:sqref>AC57:AO57</xm:sqref>
        </x14:conditionalFormatting>
        <x14:conditionalFormatting xmlns:xm="http://schemas.microsoft.com/office/excel/2006/main">
          <x14:cfRule type="expression" priority="4692500" id="{373C95F1-00C1-45E9-B561-5224945BA4A4}">
            <xm:f>$AE$4='Data entry'!$R23</xm:f>
            <x14:dxf>
              <fill>
                <patternFill>
                  <bgColor rgb="FFFFFF00"/>
                </patternFill>
              </fill>
            </x14:dxf>
          </x14:cfRule>
          <xm:sqref>Q56:AE56</xm:sqref>
        </x14:conditionalFormatting>
        <x14:conditionalFormatting xmlns:xm="http://schemas.microsoft.com/office/excel/2006/main">
          <x14:cfRule type="expression" priority="4692501" id="{65E90E74-6BEF-4B00-BD5E-ECACFEBC225A}">
            <xm:f>$AF$4='Data entry'!$R23</xm:f>
            <x14:dxf>
              <fill>
                <patternFill>
                  <bgColor rgb="FFFF0000"/>
                </patternFill>
              </fill>
            </x14:dxf>
          </x14:cfRule>
          <xm:sqref>AD57:AP57</xm:sqref>
        </x14:conditionalFormatting>
        <x14:conditionalFormatting xmlns:xm="http://schemas.microsoft.com/office/excel/2006/main">
          <x14:cfRule type="expression" priority="4692502" id="{56B519D7-E083-4811-B42B-D6CB10D44BB3}">
            <xm:f>$AF$4='Data entry'!$R23</xm:f>
            <x14:dxf>
              <fill>
                <patternFill>
                  <bgColor rgb="FFFFFF00"/>
                </patternFill>
              </fill>
            </x14:dxf>
          </x14:cfRule>
          <xm:sqref>R56:AF56</xm:sqref>
        </x14:conditionalFormatting>
        <x14:conditionalFormatting xmlns:xm="http://schemas.microsoft.com/office/excel/2006/main">
          <x14:cfRule type="expression" priority="4692503" id="{889682B6-BF9B-414B-86B7-1C802156B058}">
            <xm:f>$AG$4='Data entry'!$R23</xm:f>
            <x14:dxf>
              <fill>
                <patternFill>
                  <bgColor rgb="FFFF0000"/>
                </patternFill>
              </fill>
            </x14:dxf>
          </x14:cfRule>
          <xm:sqref>AE57:AQ57</xm:sqref>
        </x14:conditionalFormatting>
        <x14:conditionalFormatting xmlns:xm="http://schemas.microsoft.com/office/excel/2006/main">
          <x14:cfRule type="expression" priority="4692504" id="{19913D88-1940-4CB0-B29C-D46D60833BD5}">
            <xm:f>$AG$4='Data entry'!$R23</xm:f>
            <x14:dxf>
              <fill>
                <patternFill>
                  <bgColor rgb="FFFFFF00"/>
                </patternFill>
              </fill>
            </x14:dxf>
          </x14:cfRule>
          <xm:sqref>S56:AG56</xm:sqref>
        </x14:conditionalFormatting>
        <x14:conditionalFormatting xmlns:xm="http://schemas.microsoft.com/office/excel/2006/main">
          <x14:cfRule type="expression" priority="4692505" id="{3DD7B9A5-18A3-463F-BAD5-9796FC487328}">
            <xm:f>$AH$4='Data entry'!$R23</xm:f>
            <x14:dxf>
              <fill>
                <patternFill>
                  <bgColor rgb="FFFF0000"/>
                </patternFill>
              </fill>
            </x14:dxf>
          </x14:cfRule>
          <xm:sqref>AF57:AR57</xm:sqref>
        </x14:conditionalFormatting>
        <x14:conditionalFormatting xmlns:xm="http://schemas.microsoft.com/office/excel/2006/main">
          <x14:cfRule type="expression" priority="4692506" id="{31005CF4-5608-496E-91EB-F7F505046C80}">
            <xm:f>$AH$4='Data entry'!$R23</xm:f>
            <x14:dxf>
              <fill>
                <patternFill>
                  <bgColor rgb="FFFFFF00"/>
                </patternFill>
              </fill>
            </x14:dxf>
          </x14:cfRule>
          <xm:sqref>T56:AH56</xm:sqref>
        </x14:conditionalFormatting>
        <x14:conditionalFormatting xmlns:xm="http://schemas.microsoft.com/office/excel/2006/main">
          <x14:cfRule type="expression" priority="4692507" id="{CD14F654-5B7A-444F-8FC1-7DD71E76E475}">
            <xm:f>$AI$4='Data entry'!$R23</xm:f>
            <x14:dxf>
              <fill>
                <patternFill>
                  <bgColor rgb="FFFF0000"/>
                </patternFill>
              </fill>
            </x14:dxf>
          </x14:cfRule>
          <xm:sqref>AG57:AS57</xm:sqref>
        </x14:conditionalFormatting>
        <x14:conditionalFormatting xmlns:xm="http://schemas.microsoft.com/office/excel/2006/main">
          <x14:cfRule type="expression" priority="4692508" id="{0E4E448C-6C46-4285-B877-A61A90294385}">
            <xm:f>$AI$4='Data entry'!$R23</xm:f>
            <x14:dxf>
              <fill>
                <patternFill>
                  <bgColor rgb="FFFFFF00"/>
                </patternFill>
              </fill>
            </x14:dxf>
          </x14:cfRule>
          <xm:sqref>U56:AI56</xm:sqref>
        </x14:conditionalFormatting>
        <x14:conditionalFormatting xmlns:xm="http://schemas.microsoft.com/office/excel/2006/main">
          <x14:cfRule type="expression" priority="4692509" id="{B1C1818F-791C-403D-BE73-6F6E9DC6A16D}">
            <xm:f>$AJ$4='Data entry'!$R23</xm:f>
            <x14:dxf>
              <fill>
                <patternFill>
                  <bgColor rgb="FFFF0000"/>
                </patternFill>
              </fill>
            </x14:dxf>
          </x14:cfRule>
          <xm:sqref>AH57:AT57</xm:sqref>
        </x14:conditionalFormatting>
        <x14:conditionalFormatting xmlns:xm="http://schemas.microsoft.com/office/excel/2006/main">
          <x14:cfRule type="expression" priority="4692510" id="{A1237792-221B-431B-B8A7-E9A64DA46D93}">
            <xm:f>$AJ$4='Data entry'!$R23</xm:f>
            <x14:dxf>
              <fill>
                <patternFill>
                  <bgColor rgb="FFFFFF00"/>
                </patternFill>
              </fill>
            </x14:dxf>
          </x14:cfRule>
          <xm:sqref>V56:AJ56</xm:sqref>
        </x14:conditionalFormatting>
        <x14:conditionalFormatting xmlns:xm="http://schemas.microsoft.com/office/excel/2006/main">
          <x14:cfRule type="expression" priority="4692511" id="{617DC2AF-C7A3-4724-8EA3-17DEFEDC8949}">
            <xm:f>$AK$4='Data entry'!$R23</xm:f>
            <x14:dxf>
              <fill>
                <patternFill>
                  <bgColor rgb="FFFF0000"/>
                </patternFill>
              </fill>
            </x14:dxf>
          </x14:cfRule>
          <xm:sqref>AI57:AU57</xm:sqref>
        </x14:conditionalFormatting>
        <x14:conditionalFormatting xmlns:xm="http://schemas.microsoft.com/office/excel/2006/main">
          <x14:cfRule type="expression" priority="4692512" id="{AA72317D-37B1-48EB-A28B-BF2AC8DC4519}">
            <xm:f>$AK$4='Data entry'!$R23</xm:f>
            <x14:dxf>
              <fill>
                <patternFill>
                  <bgColor rgb="FFFFFF00"/>
                </patternFill>
              </fill>
            </x14:dxf>
          </x14:cfRule>
          <xm:sqref>W56:AK56</xm:sqref>
        </x14:conditionalFormatting>
        <x14:conditionalFormatting xmlns:xm="http://schemas.microsoft.com/office/excel/2006/main">
          <x14:cfRule type="expression" priority="4692513" id="{6CA9FB7A-20EA-4D3A-B74C-A001F4BE810D}">
            <xm:f>$AL$4='Data entry'!$R23</xm:f>
            <x14:dxf>
              <fill>
                <patternFill>
                  <bgColor rgb="FFFF0000"/>
                </patternFill>
              </fill>
            </x14:dxf>
          </x14:cfRule>
          <xm:sqref>AJ57:AV57</xm:sqref>
        </x14:conditionalFormatting>
        <x14:conditionalFormatting xmlns:xm="http://schemas.microsoft.com/office/excel/2006/main">
          <x14:cfRule type="expression" priority="4692514" id="{81A75DAA-573F-4EF3-A640-1B992C18BEA0}">
            <xm:f>$AL$4='Data entry'!$R23</xm:f>
            <x14:dxf>
              <fill>
                <patternFill>
                  <bgColor rgb="FFFFFF00"/>
                </patternFill>
              </fill>
            </x14:dxf>
          </x14:cfRule>
          <xm:sqref>X56:AL56</xm:sqref>
        </x14:conditionalFormatting>
        <x14:conditionalFormatting xmlns:xm="http://schemas.microsoft.com/office/excel/2006/main">
          <x14:cfRule type="expression" priority="4692515" id="{3D44713E-4ABA-4CCD-9DF4-5513A9FB5E1E}">
            <xm:f>$AM$4='Data entry'!$R23</xm:f>
            <x14:dxf>
              <fill>
                <patternFill>
                  <bgColor rgb="FFFF0000"/>
                </patternFill>
              </fill>
            </x14:dxf>
          </x14:cfRule>
          <xm:sqref>AK57:AW57</xm:sqref>
        </x14:conditionalFormatting>
        <x14:conditionalFormatting xmlns:xm="http://schemas.microsoft.com/office/excel/2006/main">
          <x14:cfRule type="expression" priority="4692516" id="{05A26B51-72A7-4423-822F-2BDBC28275D0}">
            <xm:f>$AM$4='Data entry'!$R23</xm:f>
            <x14:dxf>
              <fill>
                <patternFill>
                  <bgColor rgb="FFFFFF00"/>
                </patternFill>
              </fill>
            </x14:dxf>
          </x14:cfRule>
          <xm:sqref>Y56:AM56</xm:sqref>
        </x14:conditionalFormatting>
        <x14:conditionalFormatting xmlns:xm="http://schemas.microsoft.com/office/excel/2006/main">
          <x14:cfRule type="expression" priority="4692517" id="{B8A20675-6230-4694-A7F6-6B3DC7142773}">
            <xm:f>$AN$4='Data entry'!$R23</xm:f>
            <x14:dxf>
              <fill>
                <patternFill>
                  <bgColor rgb="FFFF0000"/>
                </patternFill>
              </fill>
            </x14:dxf>
          </x14:cfRule>
          <xm:sqref>AL57:AX57</xm:sqref>
        </x14:conditionalFormatting>
        <x14:conditionalFormatting xmlns:xm="http://schemas.microsoft.com/office/excel/2006/main">
          <x14:cfRule type="expression" priority="4692518" id="{8421181C-7450-42E9-BC1D-065CCFCA960E}">
            <xm:f>$AN$4='Data entry'!$R23</xm:f>
            <x14:dxf>
              <fill>
                <patternFill>
                  <bgColor rgb="FFFFFF00"/>
                </patternFill>
              </fill>
            </x14:dxf>
          </x14:cfRule>
          <xm:sqref>Z56:AN56</xm:sqref>
        </x14:conditionalFormatting>
        <x14:conditionalFormatting xmlns:xm="http://schemas.microsoft.com/office/excel/2006/main">
          <x14:cfRule type="expression" priority="4692519" id="{067FE4BD-6EF4-4684-B6E0-35AB2F267EE7}">
            <xm:f>$AO$4='Data entry'!$R23</xm:f>
            <x14:dxf>
              <fill>
                <patternFill>
                  <bgColor rgb="FFFF0000"/>
                </patternFill>
              </fill>
            </x14:dxf>
          </x14:cfRule>
          <xm:sqref>AM57:AY57</xm:sqref>
        </x14:conditionalFormatting>
        <x14:conditionalFormatting xmlns:xm="http://schemas.microsoft.com/office/excel/2006/main">
          <x14:cfRule type="expression" priority="4692520" id="{F7653492-88D1-47AC-8BA3-0CCE65C3C2AB}">
            <xm:f>$AO$4='Data entry'!$R23</xm:f>
            <x14:dxf>
              <fill>
                <patternFill>
                  <bgColor rgb="FFFFFF00"/>
                </patternFill>
              </fill>
            </x14:dxf>
          </x14:cfRule>
          <xm:sqref>AA56:AO56</xm:sqref>
        </x14:conditionalFormatting>
        <x14:conditionalFormatting xmlns:xm="http://schemas.microsoft.com/office/excel/2006/main">
          <x14:cfRule type="expression" priority="4692521" id="{207A5E5D-B322-482E-9193-1D7318138358}">
            <xm:f>$AP$4='Data entry'!$R23</xm:f>
            <x14:dxf>
              <fill>
                <patternFill>
                  <bgColor rgb="FFFF0000"/>
                </patternFill>
              </fill>
            </x14:dxf>
          </x14:cfRule>
          <xm:sqref>AN57:AZ57</xm:sqref>
        </x14:conditionalFormatting>
        <x14:conditionalFormatting xmlns:xm="http://schemas.microsoft.com/office/excel/2006/main">
          <x14:cfRule type="expression" priority="4692522" id="{21DA638D-4CA0-4067-BFF1-240CE1A0261B}">
            <xm:f>$AP$4='Data entry'!$R23</xm:f>
            <x14:dxf>
              <fill>
                <patternFill>
                  <bgColor rgb="FFFFFF00"/>
                </patternFill>
              </fill>
            </x14:dxf>
          </x14:cfRule>
          <xm:sqref>AB56:AP56</xm:sqref>
        </x14:conditionalFormatting>
        <x14:conditionalFormatting xmlns:xm="http://schemas.microsoft.com/office/excel/2006/main">
          <x14:cfRule type="expression" priority="4692523" id="{71963D96-A42A-4B90-BFC7-6D83D37766EF}">
            <xm:f>$AQ$4='Data entry'!$R23</xm:f>
            <x14:dxf>
              <fill>
                <patternFill>
                  <bgColor rgb="FFFF0000"/>
                </patternFill>
              </fill>
            </x14:dxf>
          </x14:cfRule>
          <xm:sqref>AO57:BA57</xm:sqref>
        </x14:conditionalFormatting>
        <x14:conditionalFormatting xmlns:xm="http://schemas.microsoft.com/office/excel/2006/main">
          <x14:cfRule type="expression" priority="4692524" id="{74952595-84B6-484F-8FF6-FCC1F337DF4D}">
            <xm:f>$AQ$4='Data entry'!$R23</xm:f>
            <x14:dxf>
              <fill>
                <patternFill>
                  <bgColor rgb="FFFFFF00"/>
                </patternFill>
              </fill>
            </x14:dxf>
          </x14:cfRule>
          <xm:sqref>AC56:AQ56</xm:sqref>
        </x14:conditionalFormatting>
        <x14:conditionalFormatting xmlns:xm="http://schemas.microsoft.com/office/excel/2006/main">
          <x14:cfRule type="expression" priority="4692525" id="{8AC9C4B9-0A34-4BC0-B0F7-CA89434C4911}">
            <xm:f>$P$4='Data entry'!$R23</xm:f>
            <x14:dxf>
              <fill>
                <patternFill>
                  <bgColor rgb="FFFFFF00"/>
                </patternFill>
              </fill>
            </x14:dxf>
          </x14:cfRule>
          <xm:sqref>C56:P56</xm:sqref>
        </x14:conditionalFormatting>
        <x14:conditionalFormatting xmlns:xm="http://schemas.microsoft.com/office/excel/2006/main">
          <x14:cfRule type="expression" priority="4692526" id="{0A726775-ABFD-4F22-967C-1A4D87BA3751}">
            <xm:f>$Q$4='Data entry'!$R23</xm:f>
            <x14:dxf>
              <fill>
                <patternFill>
                  <bgColor rgb="FFFFFF00"/>
                </patternFill>
              </fill>
            </x14:dxf>
          </x14:cfRule>
          <xm:sqref>C56:Q56</xm:sqref>
        </x14:conditionalFormatting>
        <x14:conditionalFormatting xmlns:xm="http://schemas.microsoft.com/office/excel/2006/main">
          <x14:cfRule type="expression" priority="4692527" id="{3A8414BD-262C-43B5-86EE-FA6901D00453}">
            <xm:f>$Q$4='Data entry'!$R23</xm:f>
            <x14:dxf>
              <fill>
                <patternFill>
                  <bgColor rgb="FFFF0000"/>
                </patternFill>
              </fill>
            </x14:dxf>
          </x14:cfRule>
          <xm:sqref>O57:AA57</xm:sqref>
        </x14:conditionalFormatting>
        <x14:conditionalFormatting xmlns:xm="http://schemas.microsoft.com/office/excel/2006/main">
          <x14:cfRule type="expression" priority="4692528" id="{B8B5501D-F3EF-4449-9306-F652960C65F4}">
            <xm:f>$R$4='Data entry'!$R23</xm:f>
            <x14:dxf>
              <fill>
                <patternFill>
                  <bgColor rgb="FFFF0000"/>
                </patternFill>
              </fill>
            </x14:dxf>
          </x14:cfRule>
          <xm:sqref>P57:AB57</xm:sqref>
        </x14:conditionalFormatting>
        <x14:conditionalFormatting xmlns:xm="http://schemas.microsoft.com/office/excel/2006/main">
          <x14:cfRule type="expression" priority="4692529" id="{5D070DEC-B82E-4D87-B907-A3E5AB836991}">
            <xm:f>$R$4='Data entry'!$R23</xm:f>
            <x14:dxf>
              <fill>
                <patternFill>
                  <bgColor rgb="FFFFFF00"/>
                </patternFill>
              </fill>
            </x14:dxf>
          </x14:cfRule>
          <xm:sqref>D56:R56</xm:sqref>
        </x14:conditionalFormatting>
        <x14:conditionalFormatting xmlns:xm="http://schemas.microsoft.com/office/excel/2006/main">
          <x14:cfRule type="expression" priority="4692530" id="{E4D16A10-F818-4664-9FB2-F0E839824D4B}">
            <xm:f>$S$4='Data entry'!$R23</xm:f>
            <x14:dxf>
              <fill>
                <patternFill>
                  <bgColor rgb="FFFF0000"/>
                </patternFill>
              </fill>
            </x14:dxf>
          </x14:cfRule>
          <xm:sqref>Q57:AC57</xm:sqref>
        </x14:conditionalFormatting>
        <x14:conditionalFormatting xmlns:xm="http://schemas.microsoft.com/office/excel/2006/main">
          <x14:cfRule type="expression" priority="4692531" id="{1A9F9911-A3E9-4730-AFBE-AB8C596545CA}">
            <xm:f>$S$4='Data entry'!$R23</xm:f>
            <x14:dxf>
              <fill>
                <patternFill>
                  <bgColor rgb="FFFFFF00"/>
                </patternFill>
              </fill>
            </x14:dxf>
          </x14:cfRule>
          <xm:sqref>E56:S56</xm:sqref>
        </x14:conditionalFormatting>
        <x14:conditionalFormatting xmlns:xm="http://schemas.microsoft.com/office/excel/2006/main">
          <x14:cfRule type="expression" priority="4692532" id="{8BB5CD1B-B2AC-442A-9550-26DE19A62D22}">
            <xm:f>$T$4='Data entry'!$R23</xm:f>
            <x14:dxf>
              <fill>
                <patternFill>
                  <bgColor rgb="FFFF0000"/>
                </patternFill>
              </fill>
            </x14:dxf>
          </x14:cfRule>
          <xm:sqref>R57:AD57</xm:sqref>
        </x14:conditionalFormatting>
        <x14:conditionalFormatting xmlns:xm="http://schemas.microsoft.com/office/excel/2006/main">
          <x14:cfRule type="expression" priority="4692533" id="{E7B59C69-7921-4049-84A1-8B3E5F7B0598}">
            <xm:f>$T$4='Data entry'!$R23</xm:f>
            <x14:dxf>
              <fill>
                <patternFill>
                  <bgColor rgb="FFFFFF00"/>
                </patternFill>
              </fill>
            </x14:dxf>
          </x14:cfRule>
          <xm:sqref>F56:T56</xm:sqref>
        </x14:conditionalFormatting>
        <x14:conditionalFormatting xmlns:xm="http://schemas.microsoft.com/office/excel/2006/main">
          <x14:cfRule type="expression" priority="4692534" id="{238C09E5-7A3D-439D-949F-A7733073F9A2}">
            <xm:f>$U$4='Data entry'!$R23</xm:f>
            <x14:dxf>
              <fill>
                <patternFill>
                  <bgColor rgb="FFFFFF00"/>
                </patternFill>
              </fill>
            </x14:dxf>
          </x14:cfRule>
          <xm:sqref>G56:U56</xm:sqref>
        </x14:conditionalFormatting>
        <x14:conditionalFormatting xmlns:xm="http://schemas.microsoft.com/office/excel/2006/main">
          <x14:cfRule type="expression" priority="4692535" id="{DE4D4432-0A19-452A-AF14-2873FE4DF411}">
            <xm:f>$AR$4='Data entry'!$R23</xm:f>
            <x14:dxf>
              <fill>
                <patternFill>
                  <bgColor rgb="FFFF0000"/>
                </patternFill>
              </fill>
            </x14:dxf>
          </x14:cfRule>
          <xm:sqref>AP57:BB57</xm:sqref>
        </x14:conditionalFormatting>
        <x14:conditionalFormatting xmlns:xm="http://schemas.microsoft.com/office/excel/2006/main">
          <x14:cfRule type="expression" priority="4692536" id="{90D7E1FF-542D-40C8-9BD5-DFEB4CDD256F}">
            <xm:f>$AR$4='Data entry'!$R23</xm:f>
            <x14:dxf>
              <fill>
                <patternFill>
                  <bgColor rgb="FFFFFF00"/>
                </patternFill>
              </fill>
            </x14:dxf>
          </x14:cfRule>
          <xm:sqref>AD56:AR56</xm:sqref>
        </x14:conditionalFormatting>
        <x14:conditionalFormatting xmlns:xm="http://schemas.microsoft.com/office/excel/2006/main">
          <x14:cfRule type="expression" priority="4692537" id="{0EBB5305-4A4A-4205-A1FF-11160070CBC3}">
            <xm:f>$AS$4='Data entry'!$R23</xm:f>
            <x14:dxf>
              <fill>
                <patternFill>
                  <bgColor rgb="FFFF0000"/>
                </patternFill>
              </fill>
            </x14:dxf>
          </x14:cfRule>
          <xm:sqref>AQ57:BC57</xm:sqref>
        </x14:conditionalFormatting>
        <x14:conditionalFormatting xmlns:xm="http://schemas.microsoft.com/office/excel/2006/main">
          <x14:cfRule type="expression" priority="4692538" id="{AC8EB30C-4253-4CE1-820E-1801F6D8D35B}">
            <xm:f>$AS$4='Data entry'!$R23</xm:f>
            <x14:dxf>
              <fill>
                <patternFill>
                  <bgColor rgb="FFFFFF00"/>
                </patternFill>
              </fill>
            </x14:dxf>
          </x14:cfRule>
          <xm:sqref>AE56:AS56</xm:sqref>
        </x14:conditionalFormatting>
        <x14:conditionalFormatting xmlns:xm="http://schemas.microsoft.com/office/excel/2006/main">
          <x14:cfRule type="expression" priority="4692539" id="{E11744C1-7201-4272-A1B0-945490B42425}">
            <xm:f>$AT$4='Data entry'!$R23</xm:f>
            <x14:dxf>
              <fill>
                <patternFill>
                  <bgColor rgb="FFFF0000"/>
                </patternFill>
              </fill>
            </x14:dxf>
          </x14:cfRule>
          <xm:sqref>AR57:BD57</xm:sqref>
        </x14:conditionalFormatting>
        <x14:conditionalFormatting xmlns:xm="http://schemas.microsoft.com/office/excel/2006/main">
          <x14:cfRule type="expression" priority="4692540" id="{5EE2823B-E955-4EA7-B99C-0B1F77B57A69}">
            <xm:f>$AT$4='Data entry'!$R23</xm:f>
            <x14:dxf>
              <fill>
                <patternFill>
                  <bgColor rgb="FFFFFF00"/>
                </patternFill>
              </fill>
            </x14:dxf>
          </x14:cfRule>
          <xm:sqref>AF56:AT56</xm:sqref>
        </x14:conditionalFormatting>
        <x14:conditionalFormatting xmlns:xm="http://schemas.microsoft.com/office/excel/2006/main">
          <x14:cfRule type="expression" priority="4692541" id="{5737DC63-3262-4B34-900C-2AAEB255FCBA}">
            <xm:f>$AU$4='Data entry'!$R23</xm:f>
            <x14:dxf>
              <fill>
                <patternFill>
                  <bgColor rgb="FFFF0000"/>
                </patternFill>
              </fill>
            </x14:dxf>
          </x14:cfRule>
          <xm:sqref>AS57:BE57</xm:sqref>
        </x14:conditionalFormatting>
        <x14:conditionalFormatting xmlns:xm="http://schemas.microsoft.com/office/excel/2006/main">
          <x14:cfRule type="expression" priority="4692542" id="{2B5C1F1B-3C3D-4CA3-BC64-0E98422075B6}">
            <xm:f>$AU$4='Data entry'!$R23</xm:f>
            <x14:dxf>
              <fill>
                <patternFill>
                  <bgColor rgb="FFFFFF00"/>
                </patternFill>
              </fill>
            </x14:dxf>
          </x14:cfRule>
          <xm:sqref>AG56:AU56</xm:sqref>
        </x14:conditionalFormatting>
        <x14:conditionalFormatting xmlns:xm="http://schemas.microsoft.com/office/excel/2006/main">
          <x14:cfRule type="expression" priority="4692543" id="{B87A1285-B003-4855-8F4B-53C391BA10E6}">
            <xm:f>$AV$4='Data entry'!$R23</xm:f>
            <x14:dxf>
              <fill>
                <patternFill>
                  <bgColor rgb="FFFF0000"/>
                </patternFill>
              </fill>
            </x14:dxf>
          </x14:cfRule>
          <xm:sqref>AT57:BF57</xm:sqref>
        </x14:conditionalFormatting>
        <x14:conditionalFormatting xmlns:xm="http://schemas.microsoft.com/office/excel/2006/main">
          <x14:cfRule type="expression" priority="4692544" id="{338EE31C-78DB-4818-B837-0380F9E457FA}">
            <xm:f>$AV$4='Data entry'!$R23</xm:f>
            <x14:dxf>
              <fill>
                <patternFill>
                  <bgColor rgb="FFFFFF00"/>
                </patternFill>
              </fill>
            </x14:dxf>
          </x14:cfRule>
          <xm:sqref>AH56:AV56</xm:sqref>
        </x14:conditionalFormatting>
        <x14:conditionalFormatting xmlns:xm="http://schemas.microsoft.com/office/excel/2006/main">
          <x14:cfRule type="expression" priority="4692545" id="{5C40EA66-2801-4C91-B885-BF6A1ECFC35C}">
            <xm:f>$AW$4='Data entry'!$R23</xm:f>
            <x14:dxf>
              <fill>
                <patternFill>
                  <bgColor rgb="FFFF0000"/>
                </patternFill>
              </fill>
            </x14:dxf>
          </x14:cfRule>
          <xm:sqref>AU57:BG57</xm:sqref>
        </x14:conditionalFormatting>
        <x14:conditionalFormatting xmlns:xm="http://schemas.microsoft.com/office/excel/2006/main">
          <x14:cfRule type="expression" priority="4692546" id="{51BCD5CE-DF86-4C2F-8A81-DDA1EFD6C8F7}">
            <xm:f>$AW$4='Data entry'!$R23</xm:f>
            <x14:dxf>
              <fill>
                <patternFill>
                  <bgColor rgb="FFFFFF00"/>
                </patternFill>
              </fill>
            </x14:dxf>
          </x14:cfRule>
          <xm:sqref>AI56:AW56</xm:sqref>
        </x14:conditionalFormatting>
        <x14:conditionalFormatting xmlns:xm="http://schemas.microsoft.com/office/excel/2006/main">
          <x14:cfRule type="expression" priority="4692547" id="{DC2ED5A0-8917-4877-8CD3-9DF9BE5993C9}">
            <xm:f>$AX$4='Data entry'!$R23</xm:f>
            <x14:dxf>
              <fill>
                <patternFill>
                  <bgColor rgb="FFFF0000"/>
                </patternFill>
              </fill>
            </x14:dxf>
          </x14:cfRule>
          <xm:sqref>AV57:BH57</xm:sqref>
        </x14:conditionalFormatting>
        <x14:conditionalFormatting xmlns:xm="http://schemas.microsoft.com/office/excel/2006/main">
          <x14:cfRule type="expression" priority="4692548" id="{59B31869-20F9-45BD-BC80-0A6C8945CE2C}">
            <xm:f>$AX$4='Data entry'!$R23</xm:f>
            <x14:dxf>
              <fill>
                <patternFill>
                  <bgColor rgb="FFFFFF00"/>
                </patternFill>
              </fill>
            </x14:dxf>
          </x14:cfRule>
          <xm:sqref>AJ56:AX56</xm:sqref>
        </x14:conditionalFormatting>
        <x14:conditionalFormatting xmlns:xm="http://schemas.microsoft.com/office/excel/2006/main">
          <x14:cfRule type="expression" priority="4692549" id="{D4208FA0-4262-4037-934C-6D0742B2AD8E}">
            <xm:f>$AY$4='Data entry'!$R23</xm:f>
            <x14:dxf>
              <fill>
                <patternFill>
                  <bgColor rgb="FFFF0000"/>
                </patternFill>
              </fill>
            </x14:dxf>
          </x14:cfRule>
          <xm:sqref>AW57:BI57</xm:sqref>
        </x14:conditionalFormatting>
        <x14:conditionalFormatting xmlns:xm="http://schemas.microsoft.com/office/excel/2006/main">
          <x14:cfRule type="expression" priority="4692550" id="{04D6E423-18C7-42B2-A67D-F49D8E62B571}">
            <xm:f>$AY$4='Data entry'!$R23</xm:f>
            <x14:dxf>
              <fill>
                <patternFill>
                  <bgColor rgb="FFFFFF00"/>
                </patternFill>
              </fill>
            </x14:dxf>
          </x14:cfRule>
          <xm:sqref>AK56:AY56</xm:sqref>
        </x14:conditionalFormatting>
        <x14:conditionalFormatting xmlns:xm="http://schemas.microsoft.com/office/excel/2006/main">
          <x14:cfRule type="expression" priority="4692551" id="{A931C203-6E4B-4EBD-A2F4-1876881F48D4}">
            <xm:f>$AZ$4='Data entry'!$R23</xm:f>
            <x14:dxf>
              <fill>
                <patternFill>
                  <bgColor rgb="FFFF0000"/>
                </patternFill>
              </fill>
            </x14:dxf>
          </x14:cfRule>
          <xm:sqref>AX57:BJ57</xm:sqref>
        </x14:conditionalFormatting>
        <x14:conditionalFormatting xmlns:xm="http://schemas.microsoft.com/office/excel/2006/main">
          <x14:cfRule type="expression" priority="4692552" id="{092D9100-E652-40FE-8CAA-720DC0681250}">
            <xm:f>$AZ$4='Data entry'!$R23</xm:f>
            <x14:dxf>
              <fill>
                <patternFill>
                  <bgColor rgb="FFFFFF00"/>
                </patternFill>
              </fill>
            </x14:dxf>
          </x14:cfRule>
          <xm:sqref>AL56:AZ56</xm:sqref>
        </x14:conditionalFormatting>
        <x14:conditionalFormatting xmlns:xm="http://schemas.microsoft.com/office/excel/2006/main">
          <x14:cfRule type="expression" priority="4692553" id="{A3C7E6BE-A225-483C-A983-A915DB662C52}">
            <xm:f>$BA$4='Data entry'!$R23</xm:f>
            <x14:dxf>
              <fill>
                <patternFill>
                  <bgColor rgb="FFFF0000"/>
                </patternFill>
              </fill>
            </x14:dxf>
          </x14:cfRule>
          <xm:sqref>AY57:BK57</xm:sqref>
        </x14:conditionalFormatting>
        <x14:conditionalFormatting xmlns:xm="http://schemas.microsoft.com/office/excel/2006/main">
          <x14:cfRule type="expression" priority="4692554" id="{F5CF569A-8AFA-4CFF-8BD3-F04D8927A99F}">
            <xm:f>$BA$4='Data entry'!$R23</xm:f>
            <x14:dxf>
              <fill>
                <patternFill>
                  <bgColor rgb="FFFFFF00"/>
                </patternFill>
              </fill>
            </x14:dxf>
          </x14:cfRule>
          <xm:sqref>AM56:BA56</xm:sqref>
        </x14:conditionalFormatting>
        <x14:conditionalFormatting xmlns:xm="http://schemas.microsoft.com/office/excel/2006/main">
          <x14:cfRule type="expression" priority="4692555" id="{E4DAC94A-7983-4BFB-A87B-45B58561841A}">
            <xm:f>$BB$4='Data entry'!$R23</xm:f>
            <x14:dxf>
              <fill>
                <patternFill>
                  <bgColor rgb="FFFF0000"/>
                </patternFill>
              </fill>
            </x14:dxf>
          </x14:cfRule>
          <xm:sqref>AZ57:BL57</xm:sqref>
        </x14:conditionalFormatting>
        <x14:conditionalFormatting xmlns:xm="http://schemas.microsoft.com/office/excel/2006/main">
          <x14:cfRule type="expression" priority="4692556" id="{E63849C5-F39B-4B0E-8F8A-B532EDF2CBAE}">
            <xm:f>$BB$4='Data entry'!$R23</xm:f>
            <x14:dxf>
              <fill>
                <patternFill>
                  <bgColor rgb="FFFFFF00"/>
                </patternFill>
              </fill>
            </x14:dxf>
          </x14:cfRule>
          <xm:sqref>AN56:BB56</xm:sqref>
        </x14:conditionalFormatting>
        <x14:conditionalFormatting xmlns:xm="http://schemas.microsoft.com/office/excel/2006/main">
          <x14:cfRule type="expression" priority="4692557" id="{4FDC32D3-C1F5-455D-9AA4-A03359B72526}">
            <xm:f>$BC$4='Data entry'!$R23</xm:f>
            <x14:dxf>
              <fill>
                <patternFill>
                  <bgColor rgb="FFFF0000"/>
                </patternFill>
              </fill>
            </x14:dxf>
          </x14:cfRule>
          <xm:sqref>BA57:BM57</xm:sqref>
        </x14:conditionalFormatting>
        <x14:conditionalFormatting xmlns:xm="http://schemas.microsoft.com/office/excel/2006/main">
          <x14:cfRule type="expression" priority="4692558" id="{5F0D0C60-B233-4C56-B05D-98C99990877F}">
            <xm:f>$BC$4='Data entry'!$R23</xm:f>
            <x14:dxf>
              <fill>
                <patternFill>
                  <bgColor rgb="FFFFFF00"/>
                </patternFill>
              </fill>
            </x14:dxf>
          </x14:cfRule>
          <xm:sqref>AO56:BC56</xm:sqref>
        </x14:conditionalFormatting>
        <x14:conditionalFormatting xmlns:xm="http://schemas.microsoft.com/office/excel/2006/main">
          <x14:cfRule type="expression" priority="4692559" id="{9EBCB60F-8135-43B6-A0F3-548D4092CC98}">
            <xm:f>$BD$4='Data entry'!$R23</xm:f>
            <x14:dxf>
              <fill>
                <patternFill>
                  <bgColor rgb="FFFF0000"/>
                </patternFill>
              </fill>
            </x14:dxf>
          </x14:cfRule>
          <xm:sqref>BB57:BN57</xm:sqref>
        </x14:conditionalFormatting>
        <x14:conditionalFormatting xmlns:xm="http://schemas.microsoft.com/office/excel/2006/main">
          <x14:cfRule type="expression" priority="4692560" id="{961AF346-4A73-41ED-9A8D-27D431B09C05}">
            <xm:f>$BD$4='Data entry'!$R23</xm:f>
            <x14:dxf>
              <fill>
                <patternFill>
                  <bgColor rgb="FFFFFF00"/>
                </patternFill>
              </fill>
            </x14:dxf>
          </x14:cfRule>
          <xm:sqref>AP56:BD56</xm:sqref>
        </x14:conditionalFormatting>
        <x14:conditionalFormatting xmlns:xm="http://schemas.microsoft.com/office/excel/2006/main">
          <x14:cfRule type="expression" priority="4692561" id="{5A887026-27CD-4F8C-8BA6-1E92704C1CA6}">
            <xm:f>$BE$4='Data entry'!$R23</xm:f>
            <x14:dxf>
              <fill>
                <patternFill>
                  <bgColor rgb="FFFF0000"/>
                </patternFill>
              </fill>
            </x14:dxf>
          </x14:cfRule>
          <xm:sqref>BC57:BO57</xm:sqref>
        </x14:conditionalFormatting>
        <x14:conditionalFormatting xmlns:xm="http://schemas.microsoft.com/office/excel/2006/main">
          <x14:cfRule type="expression" priority="4692562" id="{7F46217B-A1E9-4515-B31E-E756FCD7C6D9}">
            <xm:f>$BE$4='Data entry'!$R23</xm:f>
            <x14:dxf>
              <fill>
                <patternFill>
                  <bgColor rgb="FFFFFF00"/>
                </patternFill>
              </fill>
            </x14:dxf>
          </x14:cfRule>
          <xm:sqref>AP56:BE56</xm:sqref>
        </x14:conditionalFormatting>
        <x14:conditionalFormatting xmlns:xm="http://schemas.microsoft.com/office/excel/2006/main">
          <x14:cfRule type="expression" priority="4692563" id="{F4D9285C-8CA0-4EF1-943E-6A462D47CC77}">
            <xm:f>$BF$4='Data entry'!$R23</xm:f>
            <x14:dxf>
              <fill>
                <patternFill>
                  <bgColor rgb="FFFF0000"/>
                </patternFill>
              </fill>
            </x14:dxf>
          </x14:cfRule>
          <xm:sqref>BD57:BP57</xm:sqref>
        </x14:conditionalFormatting>
        <x14:conditionalFormatting xmlns:xm="http://schemas.microsoft.com/office/excel/2006/main">
          <x14:cfRule type="expression" priority="4692564" id="{B9E4407D-651D-4DC0-9D61-3271D62A65E9}">
            <xm:f>$BF$4='Data entry'!$R23</xm:f>
            <x14:dxf>
              <fill>
                <patternFill>
                  <bgColor rgb="FFFFFF00"/>
                </patternFill>
              </fill>
            </x14:dxf>
          </x14:cfRule>
          <xm:sqref>AR56:BF56</xm:sqref>
        </x14:conditionalFormatting>
        <x14:conditionalFormatting xmlns:xm="http://schemas.microsoft.com/office/excel/2006/main">
          <x14:cfRule type="expression" priority="4692565" id="{4CDC062F-DDFF-4556-B941-08F919727F69}">
            <xm:f>$BG$4='Data entry'!$R23</xm:f>
            <x14:dxf>
              <fill>
                <patternFill>
                  <bgColor rgb="FFFF0000"/>
                </patternFill>
              </fill>
            </x14:dxf>
          </x14:cfRule>
          <xm:sqref>BE57:BQ57</xm:sqref>
        </x14:conditionalFormatting>
        <x14:conditionalFormatting xmlns:xm="http://schemas.microsoft.com/office/excel/2006/main">
          <x14:cfRule type="expression" priority="4692566" id="{789184FA-9055-433B-8A1B-92C7ED59E81F}">
            <xm:f>$BG$4='Data entry'!$R23</xm:f>
            <x14:dxf>
              <fill>
                <patternFill>
                  <bgColor rgb="FFFFFF00"/>
                </patternFill>
              </fill>
            </x14:dxf>
          </x14:cfRule>
          <xm:sqref>AS56:BG56</xm:sqref>
        </x14:conditionalFormatting>
        <x14:conditionalFormatting xmlns:xm="http://schemas.microsoft.com/office/excel/2006/main">
          <x14:cfRule type="expression" priority="4692567" id="{58651E5C-09C9-46C1-B95C-E8A578A49E15}">
            <xm:f>$BH$4='Data entry'!$R23</xm:f>
            <x14:dxf>
              <fill>
                <patternFill>
                  <bgColor rgb="FFFFFF00"/>
                </patternFill>
              </fill>
            </x14:dxf>
          </x14:cfRule>
          <xm:sqref>AT56:BH56</xm:sqref>
        </x14:conditionalFormatting>
        <x14:conditionalFormatting xmlns:xm="http://schemas.microsoft.com/office/excel/2006/main">
          <x14:cfRule type="expression" priority="4692568" id="{97B30B86-8311-4DC0-A533-8C0D53F37839}">
            <xm:f>$BH$4='Data entry'!$R23</xm:f>
            <x14:dxf>
              <fill>
                <patternFill>
                  <bgColor rgb="FFFF0000"/>
                </patternFill>
              </fill>
            </x14:dxf>
          </x14:cfRule>
          <xm:sqref>BF57:BR57</xm:sqref>
        </x14:conditionalFormatting>
        <x14:conditionalFormatting xmlns:xm="http://schemas.microsoft.com/office/excel/2006/main">
          <x14:cfRule type="expression" priority="4692569" id="{78344C0C-5AEA-40B1-A20C-6D77DF58E1F5}">
            <xm:f>$BI$4='Data entry'!$R23</xm:f>
            <x14:dxf>
              <fill>
                <patternFill>
                  <bgColor rgb="FFFFFF00"/>
                </patternFill>
              </fill>
            </x14:dxf>
          </x14:cfRule>
          <xm:sqref>AU56:BI56</xm:sqref>
        </x14:conditionalFormatting>
        <x14:conditionalFormatting xmlns:xm="http://schemas.microsoft.com/office/excel/2006/main">
          <x14:cfRule type="expression" priority="4692570" id="{A9CE044F-482E-4F25-B28F-89ACC58502B1}">
            <xm:f>$BI$4='Data entry'!$R23</xm:f>
            <x14:dxf>
              <fill>
                <patternFill>
                  <bgColor rgb="FFFF0000"/>
                </patternFill>
              </fill>
            </x14:dxf>
          </x14:cfRule>
          <xm:sqref>BG57:BS57</xm:sqref>
        </x14:conditionalFormatting>
        <x14:conditionalFormatting xmlns:xm="http://schemas.microsoft.com/office/excel/2006/main">
          <x14:cfRule type="expression" priority="4692571" id="{F63BE0EB-3C71-4456-BEF0-11180AB7A8BB}">
            <xm:f>$BJ$4='Data entry'!$R23</xm:f>
            <x14:dxf>
              <fill>
                <patternFill>
                  <bgColor rgb="FFFFFF00"/>
                </patternFill>
              </fill>
            </x14:dxf>
          </x14:cfRule>
          <xm:sqref>AV56:BJ56</xm:sqref>
        </x14:conditionalFormatting>
        <x14:conditionalFormatting xmlns:xm="http://schemas.microsoft.com/office/excel/2006/main">
          <x14:cfRule type="expression" priority="4692572" id="{478A5DCB-1DAA-4497-A6CC-B4F01FB96D10}">
            <xm:f>$BJ$4='Data entry'!$R23</xm:f>
            <x14:dxf>
              <fill>
                <patternFill>
                  <bgColor rgb="FFFF0000"/>
                </patternFill>
              </fill>
            </x14:dxf>
          </x14:cfRule>
          <xm:sqref>BH57:BT57</xm:sqref>
        </x14:conditionalFormatting>
        <x14:conditionalFormatting xmlns:xm="http://schemas.microsoft.com/office/excel/2006/main">
          <x14:cfRule type="expression" priority="4692573" id="{CDE4AD5B-65A6-4FA4-9EC0-8D05F22312A9}">
            <xm:f>$BK$4='Data entry'!$R23</xm:f>
            <x14:dxf>
              <fill>
                <patternFill>
                  <bgColor rgb="FFFF0000"/>
                </patternFill>
              </fill>
            </x14:dxf>
          </x14:cfRule>
          <xm:sqref>BI57:BU57</xm:sqref>
        </x14:conditionalFormatting>
        <x14:conditionalFormatting xmlns:xm="http://schemas.microsoft.com/office/excel/2006/main">
          <x14:cfRule type="expression" priority="4692574" id="{AB32E790-6CD8-4D11-9A69-57D785FE4BBC}">
            <xm:f>$BK$4='Data entry'!$R23</xm:f>
            <x14:dxf>
              <fill>
                <patternFill>
                  <bgColor rgb="FFFFFF00"/>
                </patternFill>
              </fill>
            </x14:dxf>
          </x14:cfRule>
          <xm:sqref>AW56:BK56</xm:sqref>
        </x14:conditionalFormatting>
        <x14:conditionalFormatting xmlns:xm="http://schemas.microsoft.com/office/excel/2006/main">
          <x14:cfRule type="expression" priority="4692575" id="{99810EB9-805C-43D8-852A-EEECE7874CDB}">
            <xm:f>$BL$4='Data entry'!$R23</xm:f>
            <x14:dxf>
              <fill>
                <patternFill>
                  <bgColor rgb="FFFF0000"/>
                </patternFill>
              </fill>
            </x14:dxf>
          </x14:cfRule>
          <xm:sqref>BJ57:BV57</xm:sqref>
        </x14:conditionalFormatting>
        <x14:conditionalFormatting xmlns:xm="http://schemas.microsoft.com/office/excel/2006/main">
          <x14:cfRule type="expression" priority="4692576" id="{BF5F5475-4E46-479C-97A6-D5175F5D1803}">
            <xm:f>$BL$4='Data entry'!$R23</xm:f>
            <x14:dxf>
              <fill>
                <patternFill>
                  <bgColor rgb="FFFFFF00"/>
                </patternFill>
              </fill>
            </x14:dxf>
          </x14:cfRule>
          <xm:sqref>AX56:BL56</xm:sqref>
        </x14:conditionalFormatting>
        <x14:conditionalFormatting xmlns:xm="http://schemas.microsoft.com/office/excel/2006/main">
          <x14:cfRule type="expression" priority="4692577" id="{B86FDF2F-16C9-46B1-847E-7EA1A8A34B9D}">
            <xm:f>$BM$4='Data entry'!$R23</xm:f>
            <x14:dxf>
              <fill>
                <patternFill>
                  <bgColor rgb="FFFF0000"/>
                </patternFill>
              </fill>
            </x14:dxf>
          </x14:cfRule>
          <xm:sqref>BK57:BW57</xm:sqref>
        </x14:conditionalFormatting>
        <x14:conditionalFormatting xmlns:xm="http://schemas.microsoft.com/office/excel/2006/main">
          <x14:cfRule type="expression" priority="4692578" id="{72FD189F-4CED-400D-9FEF-21A328970A4D}">
            <xm:f>$BM$4='Data entry'!$R23</xm:f>
            <x14:dxf>
              <fill>
                <patternFill>
                  <bgColor rgb="FFFFFF00"/>
                </patternFill>
              </fill>
            </x14:dxf>
          </x14:cfRule>
          <xm:sqref>AY56:BM56</xm:sqref>
        </x14:conditionalFormatting>
        <x14:conditionalFormatting xmlns:xm="http://schemas.microsoft.com/office/excel/2006/main">
          <x14:cfRule type="expression" priority="4692579" id="{BBBBF859-D5A7-4F55-BFBF-8A77E3357590}">
            <xm:f>$BN$4='Data entry'!$R23</xm:f>
            <x14:dxf>
              <fill>
                <patternFill>
                  <bgColor rgb="FFFF0000"/>
                </patternFill>
              </fill>
            </x14:dxf>
          </x14:cfRule>
          <xm:sqref>BL57:BX57</xm:sqref>
        </x14:conditionalFormatting>
        <x14:conditionalFormatting xmlns:xm="http://schemas.microsoft.com/office/excel/2006/main">
          <x14:cfRule type="expression" priority="4692580" id="{50CB1D75-0FD5-4D24-92B1-E8A41DC6575C}">
            <xm:f>$BN$4='Data entry'!$R23</xm:f>
            <x14:dxf>
              <fill>
                <patternFill>
                  <bgColor rgb="FFFFFF00"/>
                </patternFill>
              </fill>
            </x14:dxf>
          </x14:cfRule>
          <xm:sqref>AZ56:BN56</xm:sqref>
        </x14:conditionalFormatting>
        <x14:conditionalFormatting xmlns:xm="http://schemas.microsoft.com/office/excel/2006/main">
          <x14:cfRule type="expression" priority="4692581" id="{9EF3226D-E8FC-496B-A6FF-71776AEA54D1}">
            <xm:f>$BO$4='Data entry'!$R23</xm:f>
            <x14:dxf>
              <fill>
                <patternFill>
                  <bgColor rgb="FFFF0000"/>
                </patternFill>
              </fill>
            </x14:dxf>
          </x14:cfRule>
          <xm:sqref>BM57:BY57</xm:sqref>
        </x14:conditionalFormatting>
        <x14:conditionalFormatting xmlns:xm="http://schemas.microsoft.com/office/excel/2006/main">
          <x14:cfRule type="expression" priority="4692582" id="{3B86C801-ECFE-4D05-8AA5-1581116BAFBC}">
            <xm:f>$BO$4='Data entry'!$R23</xm:f>
            <x14:dxf>
              <fill>
                <patternFill>
                  <bgColor rgb="FFFFFF00"/>
                </patternFill>
              </fill>
            </x14:dxf>
          </x14:cfRule>
          <xm:sqref>BA56:BO56</xm:sqref>
        </x14:conditionalFormatting>
        <x14:conditionalFormatting xmlns:xm="http://schemas.microsoft.com/office/excel/2006/main">
          <x14:cfRule type="expression" priority="4692583" id="{058A23EC-3371-4A02-9F20-1ECA603AC6BC}">
            <xm:f>$BP$4='Data entry'!$R23</xm:f>
            <x14:dxf>
              <fill>
                <patternFill>
                  <bgColor rgb="FFFF0000"/>
                </patternFill>
              </fill>
            </x14:dxf>
          </x14:cfRule>
          <xm:sqref>BN57:BZ57</xm:sqref>
        </x14:conditionalFormatting>
        <x14:conditionalFormatting xmlns:xm="http://schemas.microsoft.com/office/excel/2006/main">
          <x14:cfRule type="expression" priority="4692584" id="{3E711E31-3992-4555-AB22-87133D60CD15}">
            <xm:f>$BP$4='Data entry'!$R23</xm:f>
            <x14:dxf>
              <fill>
                <patternFill>
                  <bgColor rgb="FFFFFF00"/>
                </patternFill>
              </fill>
            </x14:dxf>
          </x14:cfRule>
          <xm:sqref>BB56:BP56</xm:sqref>
        </x14:conditionalFormatting>
        <x14:conditionalFormatting xmlns:xm="http://schemas.microsoft.com/office/excel/2006/main">
          <x14:cfRule type="expression" priority="4692585" id="{23E9F8B9-37D5-4730-9453-6F23E8ECBBE3}">
            <xm:f>$BQ$4='Data entry'!$R23</xm:f>
            <x14:dxf>
              <fill>
                <patternFill>
                  <bgColor rgb="FFFFFF00"/>
                </patternFill>
              </fill>
            </x14:dxf>
          </x14:cfRule>
          <xm:sqref>BC56:BQ56</xm:sqref>
        </x14:conditionalFormatting>
        <x14:conditionalFormatting xmlns:xm="http://schemas.microsoft.com/office/excel/2006/main">
          <x14:cfRule type="expression" priority="4692586" id="{BCFD92F6-AAD3-44FD-BC61-A292A81B883E}">
            <xm:f>$BQ$4='Data entry'!$R23</xm:f>
            <x14:dxf>
              <fill>
                <patternFill>
                  <bgColor rgb="FFFF0000"/>
                </patternFill>
              </fill>
            </x14:dxf>
          </x14:cfRule>
          <xm:sqref>BO57:CA57</xm:sqref>
        </x14:conditionalFormatting>
        <x14:conditionalFormatting xmlns:xm="http://schemas.microsoft.com/office/excel/2006/main">
          <x14:cfRule type="expression" priority="4692587" id="{357D60E5-F356-477E-8020-A18F42C02832}">
            <xm:f>$BR$4='Data entry'!$R23</xm:f>
            <x14:dxf>
              <fill>
                <patternFill>
                  <bgColor rgb="FFFFFF00"/>
                </patternFill>
              </fill>
            </x14:dxf>
          </x14:cfRule>
          <xm:sqref>BD56:BR56</xm:sqref>
        </x14:conditionalFormatting>
        <x14:conditionalFormatting xmlns:xm="http://schemas.microsoft.com/office/excel/2006/main">
          <x14:cfRule type="expression" priority="4692588" id="{DA2B6511-43B3-432D-B6AA-1DB1188B90A6}">
            <xm:f>$BR$4='Data entry'!$R23</xm:f>
            <x14:dxf>
              <fill>
                <patternFill>
                  <bgColor rgb="FFFF0000"/>
                </patternFill>
              </fill>
            </x14:dxf>
          </x14:cfRule>
          <xm:sqref>BP57:CB57</xm:sqref>
        </x14:conditionalFormatting>
        <x14:conditionalFormatting xmlns:xm="http://schemas.microsoft.com/office/excel/2006/main">
          <x14:cfRule type="expression" priority="4692589" id="{0D5F64E4-4136-4BFA-B833-CC8578525D9C}">
            <xm:f>$BS$4='Data entry'!$R23</xm:f>
            <x14:dxf>
              <fill>
                <patternFill>
                  <bgColor rgb="FFFFFF00"/>
                </patternFill>
              </fill>
            </x14:dxf>
          </x14:cfRule>
          <xm:sqref>BE56:BS56</xm:sqref>
        </x14:conditionalFormatting>
        <x14:conditionalFormatting xmlns:xm="http://schemas.microsoft.com/office/excel/2006/main">
          <x14:cfRule type="expression" priority="4692590" id="{AC94D468-F078-4AE2-8771-102996E07B09}">
            <xm:f>$BS$4='Data entry'!$R23</xm:f>
            <x14:dxf>
              <fill>
                <patternFill>
                  <bgColor rgb="FFFF0000"/>
                </patternFill>
              </fill>
            </x14:dxf>
          </x14:cfRule>
          <xm:sqref>BQ57:CC57</xm:sqref>
        </x14:conditionalFormatting>
        <x14:conditionalFormatting xmlns:xm="http://schemas.microsoft.com/office/excel/2006/main">
          <x14:cfRule type="expression" priority="4692591" id="{10E78F76-181E-4F19-9F89-7DD36D3EFE30}">
            <xm:f>$BT$4='Data entry'!$R23</xm:f>
            <x14:dxf>
              <fill>
                <patternFill>
                  <bgColor rgb="FFFFFF00"/>
                </patternFill>
              </fill>
            </x14:dxf>
          </x14:cfRule>
          <xm:sqref>BF56:BT56</xm:sqref>
        </x14:conditionalFormatting>
        <x14:conditionalFormatting xmlns:xm="http://schemas.microsoft.com/office/excel/2006/main">
          <x14:cfRule type="expression" priority="4692592" id="{6A5FADC6-9512-4EFB-90A5-7B5244D10D1F}">
            <xm:f>$BT$4='Data entry'!$R23</xm:f>
            <x14:dxf>
              <fill>
                <patternFill>
                  <bgColor rgb="FFFF0000"/>
                </patternFill>
              </fill>
            </x14:dxf>
          </x14:cfRule>
          <xm:sqref>BR57:CC57</xm:sqref>
        </x14:conditionalFormatting>
        <x14:conditionalFormatting xmlns:xm="http://schemas.microsoft.com/office/excel/2006/main">
          <x14:cfRule type="expression" priority="4692593" id="{A51139D1-8841-4B96-B8CB-DFE3808765CF}">
            <xm:f>$BU$4='Data entry'!$R23</xm:f>
            <x14:dxf>
              <fill>
                <patternFill>
                  <bgColor rgb="FFFFFF00"/>
                </patternFill>
              </fill>
            </x14:dxf>
          </x14:cfRule>
          <xm:sqref>BG56:BU56</xm:sqref>
        </x14:conditionalFormatting>
        <x14:conditionalFormatting xmlns:xm="http://schemas.microsoft.com/office/excel/2006/main">
          <x14:cfRule type="expression" priority="4692594" id="{55CA7258-760F-4BFF-ACB5-A70FEB3E7981}">
            <xm:f>$BU$4='Data entry'!$R23</xm:f>
            <x14:dxf>
              <fill>
                <patternFill>
                  <bgColor rgb="FFFF0000"/>
                </patternFill>
              </fill>
            </x14:dxf>
          </x14:cfRule>
          <xm:sqref>BS57:CC57</xm:sqref>
        </x14:conditionalFormatting>
        <x14:conditionalFormatting xmlns:xm="http://schemas.microsoft.com/office/excel/2006/main">
          <x14:cfRule type="expression" priority="4692595" id="{A922B218-64DB-4CBB-9AB8-FE0EBB44E09E}">
            <xm:f>$BV$4='Data entry'!$R23</xm:f>
            <x14:dxf>
              <fill>
                <patternFill>
                  <bgColor rgb="FFFFFF00"/>
                </patternFill>
              </fill>
            </x14:dxf>
          </x14:cfRule>
          <xm:sqref>BH56:BV56</xm:sqref>
        </x14:conditionalFormatting>
        <x14:conditionalFormatting xmlns:xm="http://schemas.microsoft.com/office/excel/2006/main">
          <x14:cfRule type="expression" priority="4692596" id="{C98E908A-CD31-4778-B41C-7AFB9DBE639A}">
            <xm:f>$BV$4='Data entry'!$R23</xm:f>
            <x14:dxf>
              <fill>
                <patternFill>
                  <bgColor rgb="FFFF0000"/>
                </patternFill>
              </fill>
            </x14:dxf>
          </x14:cfRule>
          <xm:sqref>BT57:CC57</xm:sqref>
        </x14:conditionalFormatting>
        <x14:conditionalFormatting xmlns:xm="http://schemas.microsoft.com/office/excel/2006/main">
          <x14:cfRule type="expression" priority="4692597" id="{465CCCA3-B4DB-4B61-8AC7-8A5E4CEC9E3F}">
            <xm:f>$BW$4='Data entry'!$R23</xm:f>
            <x14:dxf>
              <fill>
                <patternFill>
                  <bgColor rgb="FFFFFF00"/>
                </patternFill>
              </fill>
            </x14:dxf>
          </x14:cfRule>
          <xm:sqref>BI56:BW56</xm:sqref>
        </x14:conditionalFormatting>
        <x14:conditionalFormatting xmlns:xm="http://schemas.microsoft.com/office/excel/2006/main">
          <x14:cfRule type="expression" priority="4692598" id="{37566F97-6D06-400B-A709-FE657B07687F}">
            <xm:f>$BW$4='Data entry'!$R23</xm:f>
            <x14:dxf>
              <fill>
                <patternFill>
                  <bgColor rgb="FFFF0000"/>
                </patternFill>
              </fill>
            </x14:dxf>
          </x14:cfRule>
          <xm:sqref>BU57:CC57</xm:sqref>
        </x14:conditionalFormatting>
        <x14:conditionalFormatting xmlns:xm="http://schemas.microsoft.com/office/excel/2006/main">
          <x14:cfRule type="expression" priority="4692599" id="{D8FBA3AC-5CF0-4E45-97CA-1D4DEE729ADA}">
            <xm:f>$BX$4='Data entry'!$R23</xm:f>
            <x14:dxf>
              <fill>
                <patternFill>
                  <bgColor rgb="FFFFFF00"/>
                </patternFill>
              </fill>
            </x14:dxf>
          </x14:cfRule>
          <xm:sqref>BJ56:BX56</xm:sqref>
        </x14:conditionalFormatting>
        <x14:conditionalFormatting xmlns:xm="http://schemas.microsoft.com/office/excel/2006/main">
          <x14:cfRule type="expression" priority="4692600" id="{E077C84B-A94F-431D-B232-4AFCC7C64F54}">
            <xm:f>$BX$4='Data entry'!$R23</xm:f>
            <x14:dxf>
              <fill>
                <patternFill>
                  <bgColor rgb="FFFF0000"/>
                </patternFill>
              </fill>
            </x14:dxf>
          </x14:cfRule>
          <xm:sqref>BV57:CC57</xm:sqref>
        </x14:conditionalFormatting>
        <x14:conditionalFormatting xmlns:xm="http://schemas.microsoft.com/office/excel/2006/main">
          <x14:cfRule type="expression" priority="4692601" id="{63783BA8-0C97-4A44-86FD-7A2BCF1B9957}">
            <xm:f>$BY$4='Data entry'!$R23</xm:f>
            <x14:dxf>
              <fill>
                <patternFill>
                  <bgColor rgb="FFFFFF00"/>
                </patternFill>
              </fill>
            </x14:dxf>
          </x14:cfRule>
          <xm:sqref>BK56:BY56</xm:sqref>
        </x14:conditionalFormatting>
        <x14:conditionalFormatting xmlns:xm="http://schemas.microsoft.com/office/excel/2006/main">
          <x14:cfRule type="expression" priority="4692602" id="{BB8DB8B4-B71B-46D2-AEE7-346F16103F74}">
            <xm:f>$BY$4='Data entry'!$R23</xm:f>
            <x14:dxf>
              <fill>
                <patternFill>
                  <bgColor rgb="FFFF0000"/>
                </patternFill>
              </fill>
            </x14:dxf>
          </x14:cfRule>
          <xm:sqref>BW57:CC57</xm:sqref>
        </x14:conditionalFormatting>
        <x14:conditionalFormatting xmlns:xm="http://schemas.microsoft.com/office/excel/2006/main">
          <x14:cfRule type="expression" priority="4692603" id="{1B638B98-2B06-4FEB-90C1-446A3E0A3979}">
            <xm:f>$BZ$4='Data entry'!$R23</xm:f>
            <x14:dxf>
              <fill>
                <patternFill>
                  <bgColor rgb="FFFFFF00"/>
                </patternFill>
              </fill>
            </x14:dxf>
          </x14:cfRule>
          <xm:sqref>BL56:BZ56</xm:sqref>
        </x14:conditionalFormatting>
        <x14:conditionalFormatting xmlns:xm="http://schemas.microsoft.com/office/excel/2006/main">
          <x14:cfRule type="expression" priority="4692604" id="{D3A0A2F8-D1B2-4DC5-B2A9-0EF53074E685}">
            <xm:f>$BZ$4='Data entry'!$R23</xm:f>
            <x14:dxf>
              <fill>
                <patternFill>
                  <bgColor rgb="FFFF0000"/>
                </patternFill>
              </fill>
            </x14:dxf>
          </x14:cfRule>
          <xm:sqref>BX57:CC57</xm:sqref>
        </x14:conditionalFormatting>
        <x14:conditionalFormatting xmlns:xm="http://schemas.microsoft.com/office/excel/2006/main">
          <x14:cfRule type="expression" priority="4692605" id="{83F6D018-7D3B-4D33-9998-11572F2F2FF5}">
            <xm:f>$CA$4='Data entry'!$R23</xm:f>
            <x14:dxf>
              <fill>
                <patternFill>
                  <bgColor rgb="FFFFFF00"/>
                </patternFill>
              </fill>
            </x14:dxf>
          </x14:cfRule>
          <xm:sqref>BM56:CA56</xm:sqref>
        </x14:conditionalFormatting>
        <x14:conditionalFormatting xmlns:xm="http://schemas.microsoft.com/office/excel/2006/main">
          <x14:cfRule type="expression" priority="4692606" id="{8E6D0B51-5626-4ED9-9072-C7A2C139704F}">
            <xm:f>$CA$4='Data entry'!$R23</xm:f>
            <x14:dxf>
              <fill>
                <patternFill>
                  <bgColor rgb="FFFF0000"/>
                </patternFill>
              </fill>
            </x14:dxf>
          </x14:cfRule>
          <xm:sqref>BY57:CC57</xm:sqref>
        </x14:conditionalFormatting>
        <x14:conditionalFormatting xmlns:xm="http://schemas.microsoft.com/office/excel/2006/main">
          <x14:cfRule type="expression" priority="4692607" id="{E1886EE4-3BDE-43A9-9F4B-79377FEC37FE}">
            <xm:f>$CB$4='Data entry'!$R23</xm:f>
            <x14:dxf>
              <fill>
                <patternFill>
                  <bgColor rgb="FFFFFF00"/>
                </patternFill>
              </fill>
            </x14:dxf>
          </x14:cfRule>
          <xm:sqref>BN56:CB56</xm:sqref>
        </x14:conditionalFormatting>
        <x14:conditionalFormatting xmlns:xm="http://schemas.microsoft.com/office/excel/2006/main">
          <x14:cfRule type="expression" priority="4692608" id="{ADEF572A-6C18-4602-BB86-01C96D36E07E}">
            <xm:f>$CB$4='Data entry'!$R23</xm:f>
            <x14:dxf>
              <fill>
                <patternFill>
                  <bgColor rgb="FFFF0000"/>
                </patternFill>
              </fill>
            </x14:dxf>
          </x14:cfRule>
          <xm:sqref>BZ57:CC57</xm:sqref>
        </x14:conditionalFormatting>
        <x14:conditionalFormatting xmlns:xm="http://schemas.microsoft.com/office/excel/2006/main">
          <x14:cfRule type="expression" priority="4692609" id="{7984E1C9-E073-4955-8543-62145CB6D008}">
            <xm:f>$CC$4='Data entry'!$R23</xm:f>
            <x14:dxf>
              <fill>
                <patternFill>
                  <bgColor rgb="FFFFFF00"/>
                </patternFill>
              </fill>
            </x14:dxf>
          </x14:cfRule>
          <xm:sqref>BO56:CC56</xm:sqref>
        </x14:conditionalFormatting>
        <x14:conditionalFormatting xmlns:xm="http://schemas.microsoft.com/office/excel/2006/main">
          <x14:cfRule type="expression" priority="4692610" id="{18A957B3-59FA-4698-BA92-2A208FF18E2F}">
            <xm:f>$CC$4='Data entry'!$R23</xm:f>
            <x14:dxf>
              <fill>
                <patternFill>
                  <bgColor rgb="FFFF0000"/>
                </patternFill>
              </fill>
            </x14:dxf>
          </x14:cfRule>
          <xm:sqref>CA57:CC57</xm:sqref>
        </x14:conditionalFormatting>
        <x14:conditionalFormatting xmlns:xm="http://schemas.microsoft.com/office/excel/2006/main">
          <x14:cfRule type="expression" priority="4692697" id="{5B0DB825-B7C2-40AC-B7EF-F267F054CFB9}">
            <xm:f>$U$4='Data entry'!$R24</xm:f>
            <x14:dxf>
              <fill>
                <patternFill>
                  <bgColor rgb="FFFF0000"/>
                </patternFill>
              </fill>
            </x14:dxf>
          </x14:cfRule>
          <xm:sqref>S60:AE60</xm:sqref>
        </x14:conditionalFormatting>
        <x14:conditionalFormatting xmlns:xm="http://schemas.microsoft.com/office/excel/2006/main">
          <x14:cfRule type="expression" priority="4692698" id="{18311200-E2BB-400F-B594-3B9A2C6068C2}">
            <xm:f>$V$4='Data entry'!$R24</xm:f>
            <x14:dxf>
              <fill>
                <patternFill>
                  <bgColor rgb="FFFF0000"/>
                </patternFill>
              </fill>
            </x14:dxf>
          </x14:cfRule>
          <xm:sqref>T60:AF60</xm:sqref>
        </x14:conditionalFormatting>
        <x14:conditionalFormatting xmlns:xm="http://schemas.microsoft.com/office/excel/2006/main">
          <x14:cfRule type="expression" priority="4692699" id="{D6DFB621-1A58-4C59-A987-ECAD0EB2D32B}">
            <xm:f>$V$4='Data entry'!$R24</xm:f>
            <x14:dxf>
              <fill>
                <patternFill>
                  <bgColor rgb="FFFFFF00"/>
                </patternFill>
              </fill>
            </x14:dxf>
          </x14:cfRule>
          <xm:sqref>H59:V59</xm:sqref>
        </x14:conditionalFormatting>
        <x14:conditionalFormatting xmlns:xm="http://schemas.microsoft.com/office/excel/2006/main">
          <x14:cfRule type="expression" priority="4692700" id="{5F87A680-DC5F-433D-A779-B7A534ACCDA9}">
            <xm:f>$W$4='Data entry'!$R24</xm:f>
            <x14:dxf>
              <fill>
                <patternFill>
                  <bgColor rgb="FFFF0000"/>
                </patternFill>
              </fill>
            </x14:dxf>
          </x14:cfRule>
          <xm:sqref>U60:AG60</xm:sqref>
        </x14:conditionalFormatting>
        <x14:conditionalFormatting xmlns:xm="http://schemas.microsoft.com/office/excel/2006/main">
          <x14:cfRule type="expression" priority="4692701" id="{964539FF-A92C-4F68-B268-B7157A32678C}">
            <xm:f>$W$4='Data entry'!$R24</xm:f>
            <x14:dxf>
              <fill>
                <patternFill>
                  <bgColor rgb="FFFFFF00"/>
                </patternFill>
              </fill>
            </x14:dxf>
          </x14:cfRule>
          <xm:sqref>I59:W59</xm:sqref>
        </x14:conditionalFormatting>
        <x14:conditionalFormatting xmlns:xm="http://schemas.microsoft.com/office/excel/2006/main">
          <x14:cfRule type="expression" priority="4692702" id="{46C1533A-F090-4A90-9309-3F59EC3FD3B0}">
            <xm:f>$X$4='Data entry'!$R24</xm:f>
            <x14:dxf>
              <fill>
                <patternFill>
                  <bgColor rgb="FFFF0000"/>
                </patternFill>
              </fill>
            </x14:dxf>
          </x14:cfRule>
          <xm:sqref>V60:AH60</xm:sqref>
        </x14:conditionalFormatting>
        <x14:conditionalFormatting xmlns:xm="http://schemas.microsoft.com/office/excel/2006/main">
          <x14:cfRule type="expression" priority="4692703" id="{7C70E81C-DDD4-4D75-933A-4F6A39893184}">
            <xm:f>$X$4='Data entry'!$R24</xm:f>
            <x14:dxf>
              <fill>
                <patternFill>
                  <bgColor rgb="FFFFFF00"/>
                </patternFill>
              </fill>
            </x14:dxf>
          </x14:cfRule>
          <xm:sqref>J59:X59</xm:sqref>
        </x14:conditionalFormatting>
        <x14:conditionalFormatting xmlns:xm="http://schemas.microsoft.com/office/excel/2006/main">
          <x14:cfRule type="expression" priority="4692704" id="{561AF073-0EF8-4B72-A119-40A639C4359D}">
            <xm:f>$Y$4='Data entry'!$R24</xm:f>
            <x14:dxf>
              <fill>
                <patternFill>
                  <bgColor rgb="FFFF0000"/>
                </patternFill>
              </fill>
            </x14:dxf>
          </x14:cfRule>
          <xm:sqref>W60:AI60</xm:sqref>
        </x14:conditionalFormatting>
        <x14:conditionalFormatting xmlns:xm="http://schemas.microsoft.com/office/excel/2006/main">
          <x14:cfRule type="expression" priority="4692705" id="{F242E808-8F07-4A89-9524-7D4C767CE357}">
            <xm:f>$Y$4='Data entry'!$R24</xm:f>
            <x14:dxf>
              <fill>
                <patternFill>
                  <bgColor rgb="FFFFFF00"/>
                </patternFill>
              </fill>
            </x14:dxf>
          </x14:cfRule>
          <xm:sqref>K59:Y59</xm:sqref>
        </x14:conditionalFormatting>
        <x14:conditionalFormatting xmlns:xm="http://schemas.microsoft.com/office/excel/2006/main">
          <x14:cfRule type="expression" priority="4692706" id="{DD601058-982B-4218-BD9D-64BB823C2633}">
            <xm:f>$Z$4='Data entry'!$R24</xm:f>
            <x14:dxf>
              <fill>
                <patternFill>
                  <bgColor rgb="FFFF0000"/>
                </patternFill>
              </fill>
            </x14:dxf>
          </x14:cfRule>
          <xm:sqref>X60:AJ60</xm:sqref>
        </x14:conditionalFormatting>
        <x14:conditionalFormatting xmlns:xm="http://schemas.microsoft.com/office/excel/2006/main">
          <x14:cfRule type="expression" priority="4692707" id="{C9DB141D-79F6-4093-92A3-7BF7A1622985}">
            <xm:f>$Z$4='Data entry'!$R24</xm:f>
            <x14:dxf>
              <fill>
                <patternFill>
                  <bgColor rgb="FFFFFF00"/>
                </patternFill>
              </fill>
            </x14:dxf>
          </x14:cfRule>
          <xm:sqref>L59:Z59</xm:sqref>
        </x14:conditionalFormatting>
        <x14:conditionalFormatting xmlns:xm="http://schemas.microsoft.com/office/excel/2006/main">
          <x14:cfRule type="expression" priority="4692708" id="{710EB8D3-F5C0-4E3C-8214-2D0C4E26F649}">
            <xm:f>$AA$4='Data entry'!$R24</xm:f>
            <x14:dxf>
              <fill>
                <patternFill>
                  <bgColor rgb="FFFF0000"/>
                </patternFill>
              </fill>
            </x14:dxf>
          </x14:cfRule>
          <xm:sqref>Y60:AK60</xm:sqref>
        </x14:conditionalFormatting>
        <x14:conditionalFormatting xmlns:xm="http://schemas.microsoft.com/office/excel/2006/main">
          <x14:cfRule type="expression" priority="4692709" id="{33825D69-C967-4D27-B395-5D44A3083802}">
            <xm:f>$AA$4='Data entry'!$R24</xm:f>
            <x14:dxf>
              <fill>
                <patternFill>
                  <bgColor rgb="FFFFFF00"/>
                </patternFill>
              </fill>
            </x14:dxf>
          </x14:cfRule>
          <xm:sqref>M59:AA59</xm:sqref>
        </x14:conditionalFormatting>
        <x14:conditionalFormatting xmlns:xm="http://schemas.microsoft.com/office/excel/2006/main">
          <x14:cfRule type="expression" priority="4692710" id="{9811A97D-351B-4D32-8754-AF433277E62B}">
            <xm:f>$AB$4='Data entry'!$R24</xm:f>
            <x14:dxf>
              <fill>
                <patternFill>
                  <bgColor rgb="FFFF0000"/>
                </patternFill>
              </fill>
            </x14:dxf>
          </x14:cfRule>
          <xm:sqref>Z60:AL60</xm:sqref>
        </x14:conditionalFormatting>
        <x14:conditionalFormatting xmlns:xm="http://schemas.microsoft.com/office/excel/2006/main">
          <x14:cfRule type="expression" priority="4692711" id="{6DD3E556-C72E-438B-92DA-3096ED1E4178}">
            <xm:f>$AB$4='Data entry'!$R24</xm:f>
            <x14:dxf>
              <fill>
                <patternFill>
                  <bgColor rgb="FFFFFF00"/>
                </patternFill>
              </fill>
            </x14:dxf>
          </x14:cfRule>
          <xm:sqref>N59:AB59</xm:sqref>
        </x14:conditionalFormatting>
        <x14:conditionalFormatting xmlns:xm="http://schemas.microsoft.com/office/excel/2006/main">
          <x14:cfRule type="expression" priority="4692712" id="{C0DF7A1B-D6BC-4371-BD3A-F0708147FA1C}">
            <xm:f>$AC$4='Data entry'!$R24</xm:f>
            <x14:dxf>
              <fill>
                <patternFill>
                  <bgColor rgb="FFFF0000"/>
                </patternFill>
              </fill>
            </x14:dxf>
          </x14:cfRule>
          <xm:sqref>AA60:AM60</xm:sqref>
        </x14:conditionalFormatting>
        <x14:conditionalFormatting xmlns:xm="http://schemas.microsoft.com/office/excel/2006/main">
          <x14:cfRule type="expression" priority="4692713" id="{DB2E1F48-AF0E-41F9-A976-6B1963CA5711}">
            <xm:f>$AC$4='Data entry'!$R24</xm:f>
            <x14:dxf>
              <fill>
                <patternFill>
                  <bgColor rgb="FFFFFF00"/>
                </patternFill>
              </fill>
            </x14:dxf>
          </x14:cfRule>
          <xm:sqref>O59:AC59</xm:sqref>
        </x14:conditionalFormatting>
        <x14:conditionalFormatting xmlns:xm="http://schemas.microsoft.com/office/excel/2006/main">
          <x14:cfRule type="expression" priority="4692714" id="{89909907-F9A9-4AF9-BC1D-304710A43F50}">
            <xm:f>$AD$4='Data entry'!$R24</xm:f>
            <x14:dxf>
              <fill>
                <patternFill>
                  <bgColor rgb="FFFF0000"/>
                </patternFill>
              </fill>
            </x14:dxf>
          </x14:cfRule>
          <xm:sqref>AB60:AN60</xm:sqref>
        </x14:conditionalFormatting>
        <x14:conditionalFormatting xmlns:xm="http://schemas.microsoft.com/office/excel/2006/main">
          <x14:cfRule type="expression" priority="4692715" id="{729676B7-E331-43A4-ACC9-850DCEE76A0E}">
            <xm:f>$AD$4='Data entry'!$R24</xm:f>
            <x14:dxf>
              <fill>
                <patternFill>
                  <bgColor rgb="FFFFFF00"/>
                </patternFill>
              </fill>
            </x14:dxf>
          </x14:cfRule>
          <xm:sqref>P59:AD59</xm:sqref>
        </x14:conditionalFormatting>
        <x14:conditionalFormatting xmlns:xm="http://schemas.microsoft.com/office/excel/2006/main">
          <x14:cfRule type="expression" priority="4692716" id="{00DA2C55-350E-44AA-ABEA-808FABFDA737}">
            <xm:f>$AE$4='Data entry'!$R24</xm:f>
            <x14:dxf>
              <fill>
                <patternFill>
                  <bgColor rgb="FFFF0000"/>
                </patternFill>
              </fill>
            </x14:dxf>
          </x14:cfRule>
          <xm:sqref>AC60:AO60</xm:sqref>
        </x14:conditionalFormatting>
        <x14:conditionalFormatting xmlns:xm="http://schemas.microsoft.com/office/excel/2006/main">
          <x14:cfRule type="expression" priority="4692717" id="{373C95F1-00C1-45E9-B561-5224945BA4A4}">
            <xm:f>$AE$4='Data entry'!$R24</xm:f>
            <x14:dxf>
              <fill>
                <patternFill>
                  <bgColor rgb="FFFFFF00"/>
                </patternFill>
              </fill>
            </x14:dxf>
          </x14:cfRule>
          <xm:sqref>Q59:AE59</xm:sqref>
        </x14:conditionalFormatting>
        <x14:conditionalFormatting xmlns:xm="http://schemas.microsoft.com/office/excel/2006/main">
          <x14:cfRule type="expression" priority="4692718" id="{65E90E74-6BEF-4B00-BD5E-ECACFEBC225A}">
            <xm:f>$AF$4='Data entry'!$R24</xm:f>
            <x14:dxf>
              <fill>
                <patternFill>
                  <bgColor rgb="FFFF0000"/>
                </patternFill>
              </fill>
            </x14:dxf>
          </x14:cfRule>
          <xm:sqref>AD60:AP60</xm:sqref>
        </x14:conditionalFormatting>
        <x14:conditionalFormatting xmlns:xm="http://schemas.microsoft.com/office/excel/2006/main">
          <x14:cfRule type="expression" priority="4692719" id="{56B519D7-E083-4811-B42B-D6CB10D44BB3}">
            <xm:f>$AF$4='Data entry'!$R24</xm:f>
            <x14:dxf>
              <fill>
                <patternFill>
                  <bgColor rgb="FFFFFF00"/>
                </patternFill>
              </fill>
            </x14:dxf>
          </x14:cfRule>
          <xm:sqref>R59:AF59</xm:sqref>
        </x14:conditionalFormatting>
        <x14:conditionalFormatting xmlns:xm="http://schemas.microsoft.com/office/excel/2006/main">
          <x14:cfRule type="expression" priority="4692720" id="{889682B6-BF9B-414B-86B7-1C802156B058}">
            <xm:f>$AG$4='Data entry'!$R24</xm:f>
            <x14:dxf>
              <fill>
                <patternFill>
                  <bgColor rgb="FFFF0000"/>
                </patternFill>
              </fill>
            </x14:dxf>
          </x14:cfRule>
          <xm:sqref>AE60:AQ60</xm:sqref>
        </x14:conditionalFormatting>
        <x14:conditionalFormatting xmlns:xm="http://schemas.microsoft.com/office/excel/2006/main">
          <x14:cfRule type="expression" priority="4692721" id="{19913D88-1940-4CB0-B29C-D46D60833BD5}">
            <xm:f>$AG$4='Data entry'!$R24</xm:f>
            <x14:dxf>
              <fill>
                <patternFill>
                  <bgColor rgb="FFFFFF00"/>
                </patternFill>
              </fill>
            </x14:dxf>
          </x14:cfRule>
          <xm:sqref>S59:AG59</xm:sqref>
        </x14:conditionalFormatting>
        <x14:conditionalFormatting xmlns:xm="http://schemas.microsoft.com/office/excel/2006/main">
          <x14:cfRule type="expression" priority="4692722" id="{3DD7B9A5-18A3-463F-BAD5-9796FC487328}">
            <xm:f>$AH$4='Data entry'!$R24</xm:f>
            <x14:dxf>
              <fill>
                <patternFill>
                  <bgColor rgb="FFFF0000"/>
                </patternFill>
              </fill>
            </x14:dxf>
          </x14:cfRule>
          <xm:sqref>AF60:AR60</xm:sqref>
        </x14:conditionalFormatting>
        <x14:conditionalFormatting xmlns:xm="http://schemas.microsoft.com/office/excel/2006/main">
          <x14:cfRule type="expression" priority="4692723" id="{31005CF4-5608-496E-91EB-F7F505046C80}">
            <xm:f>$AH$4='Data entry'!$R24</xm:f>
            <x14:dxf>
              <fill>
                <patternFill>
                  <bgColor rgb="FFFFFF00"/>
                </patternFill>
              </fill>
            </x14:dxf>
          </x14:cfRule>
          <xm:sqref>T59:AH59</xm:sqref>
        </x14:conditionalFormatting>
        <x14:conditionalFormatting xmlns:xm="http://schemas.microsoft.com/office/excel/2006/main">
          <x14:cfRule type="expression" priority="4692724" id="{CD14F654-5B7A-444F-8FC1-7DD71E76E475}">
            <xm:f>$AI$4='Data entry'!$R24</xm:f>
            <x14:dxf>
              <fill>
                <patternFill>
                  <bgColor rgb="FFFF0000"/>
                </patternFill>
              </fill>
            </x14:dxf>
          </x14:cfRule>
          <xm:sqref>AG60:AS60</xm:sqref>
        </x14:conditionalFormatting>
        <x14:conditionalFormatting xmlns:xm="http://schemas.microsoft.com/office/excel/2006/main">
          <x14:cfRule type="expression" priority="4692725" id="{0E4E448C-6C46-4285-B877-A61A90294385}">
            <xm:f>$AI$4='Data entry'!$R24</xm:f>
            <x14:dxf>
              <fill>
                <patternFill>
                  <bgColor rgb="FFFFFF00"/>
                </patternFill>
              </fill>
            </x14:dxf>
          </x14:cfRule>
          <xm:sqref>U59:AI59</xm:sqref>
        </x14:conditionalFormatting>
        <x14:conditionalFormatting xmlns:xm="http://schemas.microsoft.com/office/excel/2006/main">
          <x14:cfRule type="expression" priority="4692726" id="{B1C1818F-791C-403D-BE73-6F6E9DC6A16D}">
            <xm:f>$AJ$4='Data entry'!$R24</xm:f>
            <x14:dxf>
              <fill>
                <patternFill>
                  <bgColor rgb="FFFF0000"/>
                </patternFill>
              </fill>
            </x14:dxf>
          </x14:cfRule>
          <xm:sqref>AH60:AT60</xm:sqref>
        </x14:conditionalFormatting>
        <x14:conditionalFormatting xmlns:xm="http://schemas.microsoft.com/office/excel/2006/main">
          <x14:cfRule type="expression" priority="4692727" id="{A1237792-221B-431B-B8A7-E9A64DA46D93}">
            <xm:f>$AJ$4='Data entry'!$R24</xm:f>
            <x14:dxf>
              <fill>
                <patternFill>
                  <bgColor rgb="FFFFFF00"/>
                </patternFill>
              </fill>
            </x14:dxf>
          </x14:cfRule>
          <xm:sqref>V59:AJ59</xm:sqref>
        </x14:conditionalFormatting>
        <x14:conditionalFormatting xmlns:xm="http://schemas.microsoft.com/office/excel/2006/main">
          <x14:cfRule type="expression" priority="4692728" id="{617DC2AF-C7A3-4724-8EA3-17DEFEDC8949}">
            <xm:f>$AK$4='Data entry'!$R24</xm:f>
            <x14:dxf>
              <fill>
                <patternFill>
                  <bgColor rgb="FFFF0000"/>
                </patternFill>
              </fill>
            </x14:dxf>
          </x14:cfRule>
          <xm:sqref>AI60:AU60</xm:sqref>
        </x14:conditionalFormatting>
        <x14:conditionalFormatting xmlns:xm="http://schemas.microsoft.com/office/excel/2006/main">
          <x14:cfRule type="expression" priority="4692729" id="{AA72317D-37B1-48EB-A28B-BF2AC8DC4519}">
            <xm:f>$AK$4='Data entry'!$R24</xm:f>
            <x14:dxf>
              <fill>
                <patternFill>
                  <bgColor rgb="FFFFFF00"/>
                </patternFill>
              </fill>
            </x14:dxf>
          </x14:cfRule>
          <xm:sqref>W59:AK59</xm:sqref>
        </x14:conditionalFormatting>
        <x14:conditionalFormatting xmlns:xm="http://schemas.microsoft.com/office/excel/2006/main">
          <x14:cfRule type="expression" priority="4692730" id="{6CA9FB7A-20EA-4D3A-B74C-A001F4BE810D}">
            <xm:f>$AL$4='Data entry'!$R24</xm:f>
            <x14:dxf>
              <fill>
                <patternFill>
                  <bgColor rgb="FFFF0000"/>
                </patternFill>
              </fill>
            </x14:dxf>
          </x14:cfRule>
          <xm:sqref>AJ60:AV60</xm:sqref>
        </x14:conditionalFormatting>
        <x14:conditionalFormatting xmlns:xm="http://schemas.microsoft.com/office/excel/2006/main">
          <x14:cfRule type="expression" priority="4692731" id="{81A75DAA-573F-4EF3-A640-1B992C18BEA0}">
            <xm:f>$AL$4='Data entry'!$R24</xm:f>
            <x14:dxf>
              <fill>
                <patternFill>
                  <bgColor rgb="FFFFFF00"/>
                </patternFill>
              </fill>
            </x14:dxf>
          </x14:cfRule>
          <xm:sqref>X59:AL59</xm:sqref>
        </x14:conditionalFormatting>
        <x14:conditionalFormatting xmlns:xm="http://schemas.microsoft.com/office/excel/2006/main">
          <x14:cfRule type="expression" priority="4692732" id="{3D44713E-4ABA-4CCD-9DF4-5513A9FB5E1E}">
            <xm:f>$AM$4='Data entry'!$R24</xm:f>
            <x14:dxf>
              <fill>
                <patternFill>
                  <bgColor rgb="FFFF0000"/>
                </patternFill>
              </fill>
            </x14:dxf>
          </x14:cfRule>
          <xm:sqref>AK60:AW60</xm:sqref>
        </x14:conditionalFormatting>
        <x14:conditionalFormatting xmlns:xm="http://schemas.microsoft.com/office/excel/2006/main">
          <x14:cfRule type="expression" priority="4692733" id="{05A26B51-72A7-4423-822F-2BDBC28275D0}">
            <xm:f>$AM$4='Data entry'!$R24</xm:f>
            <x14:dxf>
              <fill>
                <patternFill>
                  <bgColor rgb="FFFFFF00"/>
                </patternFill>
              </fill>
            </x14:dxf>
          </x14:cfRule>
          <xm:sqref>Y59:AM59</xm:sqref>
        </x14:conditionalFormatting>
        <x14:conditionalFormatting xmlns:xm="http://schemas.microsoft.com/office/excel/2006/main">
          <x14:cfRule type="expression" priority="4692734" id="{B8A20675-6230-4694-A7F6-6B3DC7142773}">
            <xm:f>$AN$4='Data entry'!$R24</xm:f>
            <x14:dxf>
              <fill>
                <patternFill>
                  <bgColor rgb="FFFF0000"/>
                </patternFill>
              </fill>
            </x14:dxf>
          </x14:cfRule>
          <xm:sqref>AL60:AX60</xm:sqref>
        </x14:conditionalFormatting>
        <x14:conditionalFormatting xmlns:xm="http://schemas.microsoft.com/office/excel/2006/main">
          <x14:cfRule type="expression" priority="4692735" id="{8421181C-7450-42E9-BC1D-065CCFCA960E}">
            <xm:f>$AN$4='Data entry'!$R24</xm:f>
            <x14:dxf>
              <fill>
                <patternFill>
                  <bgColor rgb="FFFFFF00"/>
                </patternFill>
              </fill>
            </x14:dxf>
          </x14:cfRule>
          <xm:sqref>Z59:AN59</xm:sqref>
        </x14:conditionalFormatting>
        <x14:conditionalFormatting xmlns:xm="http://schemas.microsoft.com/office/excel/2006/main">
          <x14:cfRule type="expression" priority="4692736" id="{067FE4BD-6EF4-4684-B6E0-35AB2F267EE7}">
            <xm:f>$AO$4='Data entry'!$R24</xm:f>
            <x14:dxf>
              <fill>
                <patternFill>
                  <bgColor rgb="FFFF0000"/>
                </patternFill>
              </fill>
            </x14:dxf>
          </x14:cfRule>
          <xm:sqref>AM60:AY60</xm:sqref>
        </x14:conditionalFormatting>
        <x14:conditionalFormatting xmlns:xm="http://schemas.microsoft.com/office/excel/2006/main">
          <x14:cfRule type="expression" priority="4692737" id="{F7653492-88D1-47AC-8BA3-0CCE65C3C2AB}">
            <xm:f>$AO$4='Data entry'!$R24</xm:f>
            <x14:dxf>
              <fill>
                <patternFill>
                  <bgColor rgb="FFFFFF00"/>
                </patternFill>
              </fill>
            </x14:dxf>
          </x14:cfRule>
          <xm:sqref>AA59:AO59</xm:sqref>
        </x14:conditionalFormatting>
        <x14:conditionalFormatting xmlns:xm="http://schemas.microsoft.com/office/excel/2006/main">
          <x14:cfRule type="expression" priority="4692738" id="{207A5E5D-B322-482E-9193-1D7318138358}">
            <xm:f>$AP$4='Data entry'!$R24</xm:f>
            <x14:dxf>
              <fill>
                <patternFill>
                  <bgColor rgb="FFFF0000"/>
                </patternFill>
              </fill>
            </x14:dxf>
          </x14:cfRule>
          <xm:sqref>AN60:AZ60</xm:sqref>
        </x14:conditionalFormatting>
        <x14:conditionalFormatting xmlns:xm="http://schemas.microsoft.com/office/excel/2006/main">
          <x14:cfRule type="expression" priority="4692739" id="{21DA638D-4CA0-4067-BFF1-240CE1A0261B}">
            <xm:f>$AP$4='Data entry'!$R24</xm:f>
            <x14:dxf>
              <fill>
                <patternFill>
                  <bgColor rgb="FFFFFF00"/>
                </patternFill>
              </fill>
            </x14:dxf>
          </x14:cfRule>
          <xm:sqref>AB59:AP59</xm:sqref>
        </x14:conditionalFormatting>
        <x14:conditionalFormatting xmlns:xm="http://schemas.microsoft.com/office/excel/2006/main">
          <x14:cfRule type="expression" priority="4692740" id="{71963D96-A42A-4B90-BFC7-6D83D37766EF}">
            <xm:f>$AQ$4='Data entry'!$R24</xm:f>
            <x14:dxf>
              <fill>
                <patternFill>
                  <bgColor rgb="FFFF0000"/>
                </patternFill>
              </fill>
            </x14:dxf>
          </x14:cfRule>
          <xm:sqref>AO60:BA60</xm:sqref>
        </x14:conditionalFormatting>
        <x14:conditionalFormatting xmlns:xm="http://schemas.microsoft.com/office/excel/2006/main">
          <x14:cfRule type="expression" priority="4692741" id="{74952595-84B6-484F-8FF6-FCC1F337DF4D}">
            <xm:f>$AQ$4='Data entry'!$R24</xm:f>
            <x14:dxf>
              <fill>
                <patternFill>
                  <bgColor rgb="FFFFFF00"/>
                </patternFill>
              </fill>
            </x14:dxf>
          </x14:cfRule>
          <xm:sqref>AC59:AQ59</xm:sqref>
        </x14:conditionalFormatting>
        <x14:conditionalFormatting xmlns:xm="http://schemas.microsoft.com/office/excel/2006/main">
          <x14:cfRule type="expression" priority="4692742" id="{8AC9C4B9-0A34-4BC0-B0F7-CA89434C4911}">
            <xm:f>$P$4='Data entry'!$R24</xm:f>
            <x14:dxf>
              <fill>
                <patternFill>
                  <bgColor rgb="FFFFFF00"/>
                </patternFill>
              </fill>
            </x14:dxf>
          </x14:cfRule>
          <xm:sqref>C59:P59</xm:sqref>
        </x14:conditionalFormatting>
        <x14:conditionalFormatting xmlns:xm="http://schemas.microsoft.com/office/excel/2006/main">
          <x14:cfRule type="expression" priority="4692743" id="{0A726775-ABFD-4F22-967C-1A4D87BA3751}">
            <xm:f>$Q$4='Data entry'!$R24</xm:f>
            <x14:dxf>
              <fill>
                <patternFill>
                  <bgColor rgb="FFFFFF00"/>
                </patternFill>
              </fill>
            </x14:dxf>
          </x14:cfRule>
          <xm:sqref>C59:Q59</xm:sqref>
        </x14:conditionalFormatting>
        <x14:conditionalFormatting xmlns:xm="http://schemas.microsoft.com/office/excel/2006/main">
          <x14:cfRule type="expression" priority="4692744" id="{3A8414BD-262C-43B5-86EE-FA6901D00453}">
            <xm:f>$Q$4='Data entry'!$R24</xm:f>
            <x14:dxf>
              <fill>
                <patternFill>
                  <bgColor rgb="FFFF0000"/>
                </patternFill>
              </fill>
            </x14:dxf>
          </x14:cfRule>
          <xm:sqref>O60:AA60</xm:sqref>
        </x14:conditionalFormatting>
        <x14:conditionalFormatting xmlns:xm="http://schemas.microsoft.com/office/excel/2006/main">
          <x14:cfRule type="expression" priority="4692745" id="{B8B5501D-F3EF-4449-9306-F652960C65F4}">
            <xm:f>$R$4='Data entry'!$R24</xm:f>
            <x14:dxf>
              <fill>
                <patternFill>
                  <bgColor rgb="FFFF0000"/>
                </patternFill>
              </fill>
            </x14:dxf>
          </x14:cfRule>
          <xm:sqref>P60:AB60</xm:sqref>
        </x14:conditionalFormatting>
        <x14:conditionalFormatting xmlns:xm="http://schemas.microsoft.com/office/excel/2006/main">
          <x14:cfRule type="expression" priority="4692746" id="{5D070DEC-B82E-4D87-B907-A3E5AB836991}">
            <xm:f>$R$4='Data entry'!$R24</xm:f>
            <x14:dxf>
              <fill>
                <patternFill>
                  <bgColor rgb="FFFFFF00"/>
                </patternFill>
              </fill>
            </x14:dxf>
          </x14:cfRule>
          <xm:sqref>D59:R59</xm:sqref>
        </x14:conditionalFormatting>
        <x14:conditionalFormatting xmlns:xm="http://schemas.microsoft.com/office/excel/2006/main">
          <x14:cfRule type="expression" priority="4692747" id="{E4D16A10-F818-4664-9FB2-F0E839824D4B}">
            <xm:f>$S$4='Data entry'!$R24</xm:f>
            <x14:dxf>
              <fill>
                <patternFill>
                  <bgColor rgb="FFFF0000"/>
                </patternFill>
              </fill>
            </x14:dxf>
          </x14:cfRule>
          <xm:sqref>Q60:AC60</xm:sqref>
        </x14:conditionalFormatting>
        <x14:conditionalFormatting xmlns:xm="http://schemas.microsoft.com/office/excel/2006/main">
          <x14:cfRule type="expression" priority="4692748" id="{1A9F9911-A3E9-4730-AFBE-AB8C596545CA}">
            <xm:f>$S$4='Data entry'!$R24</xm:f>
            <x14:dxf>
              <fill>
                <patternFill>
                  <bgColor rgb="FFFFFF00"/>
                </patternFill>
              </fill>
            </x14:dxf>
          </x14:cfRule>
          <xm:sqref>E59:S59</xm:sqref>
        </x14:conditionalFormatting>
        <x14:conditionalFormatting xmlns:xm="http://schemas.microsoft.com/office/excel/2006/main">
          <x14:cfRule type="expression" priority="4692749" id="{8BB5CD1B-B2AC-442A-9550-26DE19A62D22}">
            <xm:f>$T$4='Data entry'!$R24</xm:f>
            <x14:dxf>
              <fill>
                <patternFill>
                  <bgColor rgb="FFFF0000"/>
                </patternFill>
              </fill>
            </x14:dxf>
          </x14:cfRule>
          <xm:sqref>R60:AD60</xm:sqref>
        </x14:conditionalFormatting>
        <x14:conditionalFormatting xmlns:xm="http://schemas.microsoft.com/office/excel/2006/main">
          <x14:cfRule type="expression" priority="4692750" id="{E7B59C69-7921-4049-84A1-8B3E5F7B0598}">
            <xm:f>$T$4='Data entry'!$R24</xm:f>
            <x14:dxf>
              <fill>
                <patternFill>
                  <bgColor rgb="FFFFFF00"/>
                </patternFill>
              </fill>
            </x14:dxf>
          </x14:cfRule>
          <xm:sqref>F59:T59</xm:sqref>
        </x14:conditionalFormatting>
        <x14:conditionalFormatting xmlns:xm="http://schemas.microsoft.com/office/excel/2006/main">
          <x14:cfRule type="expression" priority="4692751" id="{238C09E5-7A3D-439D-949F-A7733073F9A2}">
            <xm:f>$U$4='Data entry'!$R24</xm:f>
            <x14:dxf>
              <fill>
                <patternFill>
                  <bgColor rgb="FFFFFF00"/>
                </patternFill>
              </fill>
            </x14:dxf>
          </x14:cfRule>
          <xm:sqref>G59:U59</xm:sqref>
        </x14:conditionalFormatting>
        <x14:conditionalFormatting xmlns:xm="http://schemas.microsoft.com/office/excel/2006/main">
          <x14:cfRule type="expression" priority="4692752" id="{DE4D4432-0A19-452A-AF14-2873FE4DF411}">
            <xm:f>$AR$4='Data entry'!$R24</xm:f>
            <x14:dxf>
              <fill>
                <patternFill>
                  <bgColor rgb="FFFF0000"/>
                </patternFill>
              </fill>
            </x14:dxf>
          </x14:cfRule>
          <xm:sqref>AP60:BB60</xm:sqref>
        </x14:conditionalFormatting>
        <x14:conditionalFormatting xmlns:xm="http://schemas.microsoft.com/office/excel/2006/main">
          <x14:cfRule type="expression" priority="4692753" id="{90D7E1FF-542D-40C8-9BD5-DFEB4CDD256F}">
            <xm:f>$AR$4='Data entry'!$R24</xm:f>
            <x14:dxf>
              <fill>
                <patternFill>
                  <bgColor rgb="FFFFFF00"/>
                </patternFill>
              </fill>
            </x14:dxf>
          </x14:cfRule>
          <xm:sqref>AD59:AR59</xm:sqref>
        </x14:conditionalFormatting>
        <x14:conditionalFormatting xmlns:xm="http://schemas.microsoft.com/office/excel/2006/main">
          <x14:cfRule type="expression" priority="4692754" id="{0EBB5305-4A4A-4205-A1FF-11160070CBC3}">
            <xm:f>$AS$4='Data entry'!$R24</xm:f>
            <x14:dxf>
              <fill>
                <patternFill>
                  <bgColor rgb="FFFF0000"/>
                </patternFill>
              </fill>
            </x14:dxf>
          </x14:cfRule>
          <xm:sqref>AQ60:BC60</xm:sqref>
        </x14:conditionalFormatting>
        <x14:conditionalFormatting xmlns:xm="http://schemas.microsoft.com/office/excel/2006/main">
          <x14:cfRule type="expression" priority="4692755" id="{AC8EB30C-4253-4CE1-820E-1801F6D8D35B}">
            <xm:f>$AS$4='Data entry'!$R24</xm:f>
            <x14:dxf>
              <fill>
                <patternFill>
                  <bgColor rgb="FFFFFF00"/>
                </patternFill>
              </fill>
            </x14:dxf>
          </x14:cfRule>
          <xm:sqref>AE59:AS59</xm:sqref>
        </x14:conditionalFormatting>
        <x14:conditionalFormatting xmlns:xm="http://schemas.microsoft.com/office/excel/2006/main">
          <x14:cfRule type="expression" priority="4692756" id="{E11744C1-7201-4272-A1B0-945490B42425}">
            <xm:f>$AT$4='Data entry'!$R24</xm:f>
            <x14:dxf>
              <fill>
                <patternFill>
                  <bgColor rgb="FFFF0000"/>
                </patternFill>
              </fill>
            </x14:dxf>
          </x14:cfRule>
          <xm:sqref>AR60:BD60</xm:sqref>
        </x14:conditionalFormatting>
        <x14:conditionalFormatting xmlns:xm="http://schemas.microsoft.com/office/excel/2006/main">
          <x14:cfRule type="expression" priority="4692757" id="{5EE2823B-E955-4EA7-B99C-0B1F77B57A69}">
            <xm:f>$AT$4='Data entry'!$R24</xm:f>
            <x14:dxf>
              <fill>
                <patternFill>
                  <bgColor rgb="FFFFFF00"/>
                </patternFill>
              </fill>
            </x14:dxf>
          </x14:cfRule>
          <xm:sqref>AF59:AT59</xm:sqref>
        </x14:conditionalFormatting>
        <x14:conditionalFormatting xmlns:xm="http://schemas.microsoft.com/office/excel/2006/main">
          <x14:cfRule type="expression" priority="4692758" id="{5737DC63-3262-4B34-900C-2AAEB255FCBA}">
            <xm:f>$AU$4='Data entry'!$R24</xm:f>
            <x14:dxf>
              <fill>
                <patternFill>
                  <bgColor rgb="FFFF0000"/>
                </patternFill>
              </fill>
            </x14:dxf>
          </x14:cfRule>
          <xm:sqref>AS60:BE60</xm:sqref>
        </x14:conditionalFormatting>
        <x14:conditionalFormatting xmlns:xm="http://schemas.microsoft.com/office/excel/2006/main">
          <x14:cfRule type="expression" priority="4692759" id="{2B5C1F1B-3C3D-4CA3-BC64-0E98422075B6}">
            <xm:f>$AU$4='Data entry'!$R24</xm:f>
            <x14:dxf>
              <fill>
                <patternFill>
                  <bgColor rgb="FFFFFF00"/>
                </patternFill>
              </fill>
            </x14:dxf>
          </x14:cfRule>
          <xm:sqref>AG59:AU59</xm:sqref>
        </x14:conditionalFormatting>
        <x14:conditionalFormatting xmlns:xm="http://schemas.microsoft.com/office/excel/2006/main">
          <x14:cfRule type="expression" priority="4692760" id="{B87A1285-B003-4855-8F4B-53C391BA10E6}">
            <xm:f>$AV$4='Data entry'!$R24</xm:f>
            <x14:dxf>
              <fill>
                <patternFill>
                  <bgColor rgb="FFFF0000"/>
                </patternFill>
              </fill>
            </x14:dxf>
          </x14:cfRule>
          <xm:sqref>AT60:BF60</xm:sqref>
        </x14:conditionalFormatting>
        <x14:conditionalFormatting xmlns:xm="http://schemas.microsoft.com/office/excel/2006/main">
          <x14:cfRule type="expression" priority="4692761" id="{338EE31C-78DB-4818-B837-0380F9E457FA}">
            <xm:f>$AV$4='Data entry'!$R24</xm:f>
            <x14:dxf>
              <fill>
                <patternFill>
                  <bgColor rgb="FFFFFF00"/>
                </patternFill>
              </fill>
            </x14:dxf>
          </x14:cfRule>
          <xm:sqref>AH59:AV59</xm:sqref>
        </x14:conditionalFormatting>
        <x14:conditionalFormatting xmlns:xm="http://schemas.microsoft.com/office/excel/2006/main">
          <x14:cfRule type="expression" priority="4692762" id="{5C40EA66-2801-4C91-B885-BF6A1ECFC35C}">
            <xm:f>$AW$4='Data entry'!$R24</xm:f>
            <x14:dxf>
              <fill>
                <patternFill>
                  <bgColor rgb="FFFF0000"/>
                </patternFill>
              </fill>
            </x14:dxf>
          </x14:cfRule>
          <xm:sqref>AU60:BG60</xm:sqref>
        </x14:conditionalFormatting>
        <x14:conditionalFormatting xmlns:xm="http://schemas.microsoft.com/office/excel/2006/main">
          <x14:cfRule type="expression" priority="4692763" id="{51BCD5CE-DF86-4C2F-8A81-DDA1EFD6C8F7}">
            <xm:f>$AW$4='Data entry'!$R24</xm:f>
            <x14:dxf>
              <fill>
                <patternFill>
                  <bgColor rgb="FFFFFF00"/>
                </patternFill>
              </fill>
            </x14:dxf>
          </x14:cfRule>
          <xm:sqref>AI59:AW59</xm:sqref>
        </x14:conditionalFormatting>
        <x14:conditionalFormatting xmlns:xm="http://schemas.microsoft.com/office/excel/2006/main">
          <x14:cfRule type="expression" priority="4692764" id="{DC2ED5A0-8917-4877-8CD3-9DF9BE5993C9}">
            <xm:f>$AX$4='Data entry'!$R24</xm:f>
            <x14:dxf>
              <fill>
                <patternFill>
                  <bgColor rgb="FFFF0000"/>
                </patternFill>
              </fill>
            </x14:dxf>
          </x14:cfRule>
          <xm:sqref>AV60:BH60</xm:sqref>
        </x14:conditionalFormatting>
        <x14:conditionalFormatting xmlns:xm="http://schemas.microsoft.com/office/excel/2006/main">
          <x14:cfRule type="expression" priority="4692765" id="{59B31869-20F9-45BD-BC80-0A6C8945CE2C}">
            <xm:f>$AX$4='Data entry'!$R24</xm:f>
            <x14:dxf>
              <fill>
                <patternFill>
                  <bgColor rgb="FFFFFF00"/>
                </patternFill>
              </fill>
            </x14:dxf>
          </x14:cfRule>
          <xm:sqref>AJ59:AX59</xm:sqref>
        </x14:conditionalFormatting>
        <x14:conditionalFormatting xmlns:xm="http://schemas.microsoft.com/office/excel/2006/main">
          <x14:cfRule type="expression" priority="4692766" id="{D4208FA0-4262-4037-934C-6D0742B2AD8E}">
            <xm:f>$AY$4='Data entry'!$R24</xm:f>
            <x14:dxf>
              <fill>
                <patternFill>
                  <bgColor rgb="FFFF0000"/>
                </patternFill>
              </fill>
            </x14:dxf>
          </x14:cfRule>
          <xm:sqref>AW60:BI60</xm:sqref>
        </x14:conditionalFormatting>
        <x14:conditionalFormatting xmlns:xm="http://schemas.microsoft.com/office/excel/2006/main">
          <x14:cfRule type="expression" priority="4692767" id="{04D6E423-18C7-42B2-A67D-F49D8E62B571}">
            <xm:f>$AY$4='Data entry'!$R24</xm:f>
            <x14:dxf>
              <fill>
                <patternFill>
                  <bgColor rgb="FFFFFF00"/>
                </patternFill>
              </fill>
            </x14:dxf>
          </x14:cfRule>
          <xm:sqref>AK59:AY59</xm:sqref>
        </x14:conditionalFormatting>
        <x14:conditionalFormatting xmlns:xm="http://schemas.microsoft.com/office/excel/2006/main">
          <x14:cfRule type="expression" priority="4692768" id="{A931C203-6E4B-4EBD-A2F4-1876881F48D4}">
            <xm:f>$AZ$4='Data entry'!$R24</xm:f>
            <x14:dxf>
              <fill>
                <patternFill>
                  <bgColor rgb="FFFF0000"/>
                </patternFill>
              </fill>
            </x14:dxf>
          </x14:cfRule>
          <xm:sqref>AX60:BJ60</xm:sqref>
        </x14:conditionalFormatting>
        <x14:conditionalFormatting xmlns:xm="http://schemas.microsoft.com/office/excel/2006/main">
          <x14:cfRule type="expression" priority="4692769" id="{092D9100-E652-40FE-8CAA-720DC0681250}">
            <xm:f>$AZ$4='Data entry'!$R24</xm:f>
            <x14:dxf>
              <fill>
                <patternFill>
                  <bgColor rgb="FFFFFF00"/>
                </patternFill>
              </fill>
            </x14:dxf>
          </x14:cfRule>
          <xm:sqref>AL59:AZ59</xm:sqref>
        </x14:conditionalFormatting>
        <x14:conditionalFormatting xmlns:xm="http://schemas.microsoft.com/office/excel/2006/main">
          <x14:cfRule type="expression" priority="4692770" id="{A3C7E6BE-A225-483C-A983-A915DB662C52}">
            <xm:f>$BA$4='Data entry'!$R24</xm:f>
            <x14:dxf>
              <fill>
                <patternFill>
                  <bgColor rgb="FFFF0000"/>
                </patternFill>
              </fill>
            </x14:dxf>
          </x14:cfRule>
          <xm:sqref>AY60:BK60</xm:sqref>
        </x14:conditionalFormatting>
        <x14:conditionalFormatting xmlns:xm="http://schemas.microsoft.com/office/excel/2006/main">
          <x14:cfRule type="expression" priority="4692771" id="{F5CF569A-8AFA-4CFF-8BD3-F04D8927A99F}">
            <xm:f>$BA$4='Data entry'!$R24</xm:f>
            <x14:dxf>
              <fill>
                <patternFill>
                  <bgColor rgb="FFFFFF00"/>
                </patternFill>
              </fill>
            </x14:dxf>
          </x14:cfRule>
          <xm:sqref>AM59:BA59</xm:sqref>
        </x14:conditionalFormatting>
        <x14:conditionalFormatting xmlns:xm="http://schemas.microsoft.com/office/excel/2006/main">
          <x14:cfRule type="expression" priority="4692772" id="{E4DAC94A-7983-4BFB-A87B-45B58561841A}">
            <xm:f>$BB$4='Data entry'!$R24</xm:f>
            <x14:dxf>
              <fill>
                <patternFill>
                  <bgColor rgb="FFFF0000"/>
                </patternFill>
              </fill>
            </x14:dxf>
          </x14:cfRule>
          <xm:sqref>AZ60:BL60</xm:sqref>
        </x14:conditionalFormatting>
        <x14:conditionalFormatting xmlns:xm="http://schemas.microsoft.com/office/excel/2006/main">
          <x14:cfRule type="expression" priority="4692773" id="{E63849C5-F39B-4B0E-8F8A-B532EDF2CBAE}">
            <xm:f>$BB$4='Data entry'!$R24</xm:f>
            <x14:dxf>
              <fill>
                <patternFill>
                  <bgColor rgb="FFFFFF00"/>
                </patternFill>
              </fill>
            </x14:dxf>
          </x14:cfRule>
          <xm:sqref>AN59:BB59</xm:sqref>
        </x14:conditionalFormatting>
        <x14:conditionalFormatting xmlns:xm="http://schemas.microsoft.com/office/excel/2006/main">
          <x14:cfRule type="expression" priority="4692774" id="{4FDC32D3-C1F5-455D-9AA4-A03359B72526}">
            <xm:f>$BC$4='Data entry'!$R24</xm:f>
            <x14:dxf>
              <fill>
                <patternFill>
                  <bgColor rgb="FFFF0000"/>
                </patternFill>
              </fill>
            </x14:dxf>
          </x14:cfRule>
          <xm:sqref>BA60:BM60</xm:sqref>
        </x14:conditionalFormatting>
        <x14:conditionalFormatting xmlns:xm="http://schemas.microsoft.com/office/excel/2006/main">
          <x14:cfRule type="expression" priority="4692775" id="{5F0D0C60-B233-4C56-B05D-98C99990877F}">
            <xm:f>$BC$4='Data entry'!$R24</xm:f>
            <x14:dxf>
              <fill>
                <patternFill>
                  <bgColor rgb="FFFFFF00"/>
                </patternFill>
              </fill>
            </x14:dxf>
          </x14:cfRule>
          <xm:sqref>AO59:BC59</xm:sqref>
        </x14:conditionalFormatting>
        <x14:conditionalFormatting xmlns:xm="http://schemas.microsoft.com/office/excel/2006/main">
          <x14:cfRule type="expression" priority="4692776" id="{9EBCB60F-8135-43B6-A0F3-548D4092CC98}">
            <xm:f>$BD$4='Data entry'!$R24</xm:f>
            <x14:dxf>
              <fill>
                <patternFill>
                  <bgColor rgb="FFFF0000"/>
                </patternFill>
              </fill>
            </x14:dxf>
          </x14:cfRule>
          <xm:sqref>BB60:BN60</xm:sqref>
        </x14:conditionalFormatting>
        <x14:conditionalFormatting xmlns:xm="http://schemas.microsoft.com/office/excel/2006/main">
          <x14:cfRule type="expression" priority="4692777" id="{961AF346-4A73-41ED-9A8D-27D431B09C05}">
            <xm:f>$BD$4='Data entry'!$R24</xm:f>
            <x14:dxf>
              <fill>
                <patternFill>
                  <bgColor rgb="FFFFFF00"/>
                </patternFill>
              </fill>
            </x14:dxf>
          </x14:cfRule>
          <xm:sqref>AP59:BD59</xm:sqref>
        </x14:conditionalFormatting>
        <x14:conditionalFormatting xmlns:xm="http://schemas.microsoft.com/office/excel/2006/main">
          <x14:cfRule type="expression" priority="4692778" id="{5A887026-27CD-4F8C-8BA6-1E92704C1CA6}">
            <xm:f>$BE$4='Data entry'!$R24</xm:f>
            <x14:dxf>
              <fill>
                <patternFill>
                  <bgColor rgb="FFFF0000"/>
                </patternFill>
              </fill>
            </x14:dxf>
          </x14:cfRule>
          <xm:sqref>BC60:BO60</xm:sqref>
        </x14:conditionalFormatting>
        <x14:conditionalFormatting xmlns:xm="http://schemas.microsoft.com/office/excel/2006/main">
          <x14:cfRule type="expression" priority="4692779" id="{7F46217B-A1E9-4515-B31E-E756FCD7C6D9}">
            <xm:f>$BE$4='Data entry'!$R24</xm:f>
            <x14:dxf>
              <fill>
                <patternFill>
                  <bgColor rgb="FFFFFF00"/>
                </patternFill>
              </fill>
            </x14:dxf>
          </x14:cfRule>
          <xm:sqref>AP59:BE59</xm:sqref>
        </x14:conditionalFormatting>
        <x14:conditionalFormatting xmlns:xm="http://schemas.microsoft.com/office/excel/2006/main">
          <x14:cfRule type="expression" priority="4692780" id="{F4D9285C-8CA0-4EF1-943E-6A462D47CC77}">
            <xm:f>$BF$4='Data entry'!$R24</xm:f>
            <x14:dxf>
              <fill>
                <patternFill>
                  <bgColor rgb="FFFF0000"/>
                </patternFill>
              </fill>
            </x14:dxf>
          </x14:cfRule>
          <xm:sqref>BD60:BP60</xm:sqref>
        </x14:conditionalFormatting>
        <x14:conditionalFormatting xmlns:xm="http://schemas.microsoft.com/office/excel/2006/main">
          <x14:cfRule type="expression" priority="4692781" id="{B9E4407D-651D-4DC0-9D61-3271D62A65E9}">
            <xm:f>$BF$4='Data entry'!$R24</xm:f>
            <x14:dxf>
              <fill>
                <patternFill>
                  <bgColor rgb="FFFFFF00"/>
                </patternFill>
              </fill>
            </x14:dxf>
          </x14:cfRule>
          <xm:sqref>AR59:BF59</xm:sqref>
        </x14:conditionalFormatting>
        <x14:conditionalFormatting xmlns:xm="http://schemas.microsoft.com/office/excel/2006/main">
          <x14:cfRule type="expression" priority="4692782" id="{4CDC062F-DDFF-4556-B941-08F919727F69}">
            <xm:f>$BG$4='Data entry'!$R24</xm:f>
            <x14:dxf>
              <fill>
                <patternFill>
                  <bgColor rgb="FFFF0000"/>
                </patternFill>
              </fill>
            </x14:dxf>
          </x14:cfRule>
          <xm:sqref>BE60:BQ60</xm:sqref>
        </x14:conditionalFormatting>
        <x14:conditionalFormatting xmlns:xm="http://schemas.microsoft.com/office/excel/2006/main">
          <x14:cfRule type="expression" priority="4692783" id="{789184FA-9055-433B-8A1B-92C7ED59E81F}">
            <xm:f>$BG$4='Data entry'!$R24</xm:f>
            <x14:dxf>
              <fill>
                <patternFill>
                  <bgColor rgb="FFFFFF00"/>
                </patternFill>
              </fill>
            </x14:dxf>
          </x14:cfRule>
          <xm:sqref>AS59:BG59</xm:sqref>
        </x14:conditionalFormatting>
        <x14:conditionalFormatting xmlns:xm="http://schemas.microsoft.com/office/excel/2006/main">
          <x14:cfRule type="expression" priority="4692784" id="{58651E5C-09C9-46C1-B95C-E8A578A49E15}">
            <xm:f>$BH$4='Data entry'!$R24</xm:f>
            <x14:dxf>
              <fill>
                <patternFill>
                  <bgColor rgb="FFFFFF00"/>
                </patternFill>
              </fill>
            </x14:dxf>
          </x14:cfRule>
          <xm:sqref>AT59:BH59</xm:sqref>
        </x14:conditionalFormatting>
        <x14:conditionalFormatting xmlns:xm="http://schemas.microsoft.com/office/excel/2006/main">
          <x14:cfRule type="expression" priority="4692785" id="{97B30B86-8311-4DC0-A533-8C0D53F37839}">
            <xm:f>$BH$4='Data entry'!$R24</xm:f>
            <x14:dxf>
              <fill>
                <patternFill>
                  <bgColor rgb="FFFF0000"/>
                </patternFill>
              </fill>
            </x14:dxf>
          </x14:cfRule>
          <xm:sqref>BF60:BR60</xm:sqref>
        </x14:conditionalFormatting>
        <x14:conditionalFormatting xmlns:xm="http://schemas.microsoft.com/office/excel/2006/main">
          <x14:cfRule type="expression" priority="4692786" id="{78344C0C-5AEA-40B1-A20C-6D77DF58E1F5}">
            <xm:f>$BI$4='Data entry'!$R24</xm:f>
            <x14:dxf>
              <fill>
                <patternFill>
                  <bgColor rgb="FFFFFF00"/>
                </patternFill>
              </fill>
            </x14:dxf>
          </x14:cfRule>
          <xm:sqref>AU59:BI59</xm:sqref>
        </x14:conditionalFormatting>
        <x14:conditionalFormatting xmlns:xm="http://schemas.microsoft.com/office/excel/2006/main">
          <x14:cfRule type="expression" priority="4692787" id="{A9CE044F-482E-4F25-B28F-89ACC58502B1}">
            <xm:f>$BI$4='Data entry'!$R24</xm:f>
            <x14:dxf>
              <fill>
                <patternFill>
                  <bgColor rgb="FFFF0000"/>
                </patternFill>
              </fill>
            </x14:dxf>
          </x14:cfRule>
          <xm:sqref>BG60:BS60</xm:sqref>
        </x14:conditionalFormatting>
        <x14:conditionalFormatting xmlns:xm="http://schemas.microsoft.com/office/excel/2006/main">
          <x14:cfRule type="expression" priority="4692788" id="{F63BE0EB-3C71-4456-BEF0-11180AB7A8BB}">
            <xm:f>$BJ$4='Data entry'!$R24</xm:f>
            <x14:dxf>
              <fill>
                <patternFill>
                  <bgColor rgb="FFFFFF00"/>
                </patternFill>
              </fill>
            </x14:dxf>
          </x14:cfRule>
          <xm:sqref>AV59:BJ59</xm:sqref>
        </x14:conditionalFormatting>
        <x14:conditionalFormatting xmlns:xm="http://schemas.microsoft.com/office/excel/2006/main">
          <x14:cfRule type="expression" priority="4692789" id="{478A5DCB-1DAA-4497-A6CC-B4F01FB96D10}">
            <xm:f>$BJ$4='Data entry'!$R24</xm:f>
            <x14:dxf>
              <fill>
                <patternFill>
                  <bgColor rgb="FFFF0000"/>
                </patternFill>
              </fill>
            </x14:dxf>
          </x14:cfRule>
          <xm:sqref>BH60:BT60</xm:sqref>
        </x14:conditionalFormatting>
        <x14:conditionalFormatting xmlns:xm="http://schemas.microsoft.com/office/excel/2006/main">
          <x14:cfRule type="expression" priority="4692790" id="{CDE4AD5B-65A6-4FA4-9EC0-8D05F22312A9}">
            <xm:f>$BK$4='Data entry'!$R24</xm:f>
            <x14:dxf>
              <fill>
                <patternFill>
                  <bgColor rgb="FFFF0000"/>
                </patternFill>
              </fill>
            </x14:dxf>
          </x14:cfRule>
          <xm:sqref>BI60:BU60</xm:sqref>
        </x14:conditionalFormatting>
        <x14:conditionalFormatting xmlns:xm="http://schemas.microsoft.com/office/excel/2006/main">
          <x14:cfRule type="expression" priority="4692791" id="{AB32E790-6CD8-4D11-9A69-57D785FE4BBC}">
            <xm:f>$BK$4='Data entry'!$R24</xm:f>
            <x14:dxf>
              <fill>
                <patternFill>
                  <bgColor rgb="FFFFFF00"/>
                </patternFill>
              </fill>
            </x14:dxf>
          </x14:cfRule>
          <xm:sqref>AW59:BK59</xm:sqref>
        </x14:conditionalFormatting>
        <x14:conditionalFormatting xmlns:xm="http://schemas.microsoft.com/office/excel/2006/main">
          <x14:cfRule type="expression" priority="4692792" id="{99810EB9-805C-43D8-852A-EEECE7874CDB}">
            <xm:f>$BL$4='Data entry'!$R24</xm:f>
            <x14:dxf>
              <fill>
                <patternFill>
                  <bgColor rgb="FFFF0000"/>
                </patternFill>
              </fill>
            </x14:dxf>
          </x14:cfRule>
          <xm:sqref>BJ60:BV60</xm:sqref>
        </x14:conditionalFormatting>
        <x14:conditionalFormatting xmlns:xm="http://schemas.microsoft.com/office/excel/2006/main">
          <x14:cfRule type="expression" priority="4692793" id="{BF5F5475-4E46-479C-97A6-D5175F5D1803}">
            <xm:f>$BL$4='Data entry'!$R24</xm:f>
            <x14:dxf>
              <fill>
                <patternFill>
                  <bgColor rgb="FFFFFF00"/>
                </patternFill>
              </fill>
            </x14:dxf>
          </x14:cfRule>
          <xm:sqref>AX59:BL59</xm:sqref>
        </x14:conditionalFormatting>
        <x14:conditionalFormatting xmlns:xm="http://schemas.microsoft.com/office/excel/2006/main">
          <x14:cfRule type="expression" priority="4692794" id="{B86FDF2F-16C9-46B1-847E-7EA1A8A34B9D}">
            <xm:f>$BM$4='Data entry'!$R24</xm:f>
            <x14:dxf>
              <fill>
                <patternFill>
                  <bgColor rgb="FFFF0000"/>
                </patternFill>
              </fill>
            </x14:dxf>
          </x14:cfRule>
          <xm:sqref>BK60:BW60</xm:sqref>
        </x14:conditionalFormatting>
        <x14:conditionalFormatting xmlns:xm="http://schemas.microsoft.com/office/excel/2006/main">
          <x14:cfRule type="expression" priority="4692795" id="{72FD189F-4CED-400D-9FEF-21A328970A4D}">
            <xm:f>$BM$4='Data entry'!$R24</xm:f>
            <x14:dxf>
              <fill>
                <patternFill>
                  <bgColor rgb="FFFFFF00"/>
                </patternFill>
              </fill>
            </x14:dxf>
          </x14:cfRule>
          <xm:sqref>AY59:BM59</xm:sqref>
        </x14:conditionalFormatting>
        <x14:conditionalFormatting xmlns:xm="http://schemas.microsoft.com/office/excel/2006/main">
          <x14:cfRule type="expression" priority="4692796" id="{BBBBF859-D5A7-4F55-BFBF-8A77E3357590}">
            <xm:f>$BN$4='Data entry'!$R24</xm:f>
            <x14:dxf>
              <fill>
                <patternFill>
                  <bgColor rgb="FFFF0000"/>
                </patternFill>
              </fill>
            </x14:dxf>
          </x14:cfRule>
          <xm:sqref>BL60:BX60</xm:sqref>
        </x14:conditionalFormatting>
        <x14:conditionalFormatting xmlns:xm="http://schemas.microsoft.com/office/excel/2006/main">
          <x14:cfRule type="expression" priority="4692797" id="{50CB1D75-0FD5-4D24-92B1-E8A41DC6575C}">
            <xm:f>$BN$4='Data entry'!$R24</xm:f>
            <x14:dxf>
              <fill>
                <patternFill>
                  <bgColor rgb="FFFFFF00"/>
                </patternFill>
              </fill>
            </x14:dxf>
          </x14:cfRule>
          <xm:sqref>AZ59:BN59</xm:sqref>
        </x14:conditionalFormatting>
        <x14:conditionalFormatting xmlns:xm="http://schemas.microsoft.com/office/excel/2006/main">
          <x14:cfRule type="expression" priority="4692798" id="{9EF3226D-E8FC-496B-A6FF-71776AEA54D1}">
            <xm:f>$BO$4='Data entry'!$R24</xm:f>
            <x14:dxf>
              <fill>
                <patternFill>
                  <bgColor rgb="FFFF0000"/>
                </patternFill>
              </fill>
            </x14:dxf>
          </x14:cfRule>
          <xm:sqref>BM60:BY60</xm:sqref>
        </x14:conditionalFormatting>
        <x14:conditionalFormatting xmlns:xm="http://schemas.microsoft.com/office/excel/2006/main">
          <x14:cfRule type="expression" priority="4692799" id="{3B86C801-ECFE-4D05-8AA5-1581116BAFBC}">
            <xm:f>$BO$4='Data entry'!$R24</xm:f>
            <x14:dxf>
              <fill>
                <patternFill>
                  <bgColor rgb="FFFFFF00"/>
                </patternFill>
              </fill>
            </x14:dxf>
          </x14:cfRule>
          <xm:sqref>BA59:BO59</xm:sqref>
        </x14:conditionalFormatting>
        <x14:conditionalFormatting xmlns:xm="http://schemas.microsoft.com/office/excel/2006/main">
          <x14:cfRule type="expression" priority="4692800" id="{058A23EC-3371-4A02-9F20-1ECA603AC6BC}">
            <xm:f>$BP$4='Data entry'!$R24</xm:f>
            <x14:dxf>
              <fill>
                <patternFill>
                  <bgColor rgb="FFFF0000"/>
                </patternFill>
              </fill>
            </x14:dxf>
          </x14:cfRule>
          <xm:sqref>BN60:BZ60</xm:sqref>
        </x14:conditionalFormatting>
        <x14:conditionalFormatting xmlns:xm="http://schemas.microsoft.com/office/excel/2006/main">
          <x14:cfRule type="expression" priority="4692801" id="{3E711E31-3992-4555-AB22-87133D60CD15}">
            <xm:f>$BP$4='Data entry'!$R24</xm:f>
            <x14:dxf>
              <fill>
                <patternFill>
                  <bgColor rgb="FFFFFF00"/>
                </patternFill>
              </fill>
            </x14:dxf>
          </x14:cfRule>
          <xm:sqref>BB59:BP59</xm:sqref>
        </x14:conditionalFormatting>
        <x14:conditionalFormatting xmlns:xm="http://schemas.microsoft.com/office/excel/2006/main">
          <x14:cfRule type="expression" priority="4692802" id="{23E9F8B9-37D5-4730-9453-6F23E8ECBBE3}">
            <xm:f>$BQ$4='Data entry'!$R24</xm:f>
            <x14:dxf>
              <fill>
                <patternFill>
                  <bgColor rgb="FFFFFF00"/>
                </patternFill>
              </fill>
            </x14:dxf>
          </x14:cfRule>
          <xm:sqref>BC59:BQ59</xm:sqref>
        </x14:conditionalFormatting>
        <x14:conditionalFormatting xmlns:xm="http://schemas.microsoft.com/office/excel/2006/main">
          <x14:cfRule type="expression" priority="4692803" id="{BCFD92F6-AAD3-44FD-BC61-A292A81B883E}">
            <xm:f>$BQ$4='Data entry'!$R24</xm:f>
            <x14:dxf>
              <fill>
                <patternFill>
                  <bgColor rgb="FFFF0000"/>
                </patternFill>
              </fill>
            </x14:dxf>
          </x14:cfRule>
          <xm:sqref>BO60:CA60</xm:sqref>
        </x14:conditionalFormatting>
        <x14:conditionalFormatting xmlns:xm="http://schemas.microsoft.com/office/excel/2006/main">
          <x14:cfRule type="expression" priority="4692804" id="{357D60E5-F356-477E-8020-A18F42C02832}">
            <xm:f>$BR$4='Data entry'!$R24</xm:f>
            <x14:dxf>
              <fill>
                <patternFill>
                  <bgColor rgb="FFFFFF00"/>
                </patternFill>
              </fill>
            </x14:dxf>
          </x14:cfRule>
          <xm:sqref>BD59:BR59</xm:sqref>
        </x14:conditionalFormatting>
        <x14:conditionalFormatting xmlns:xm="http://schemas.microsoft.com/office/excel/2006/main">
          <x14:cfRule type="expression" priority="4692805" id="{DA2B6511-43B3-432D-B6AA-1DB1188B90A6}">
            <xm:f>$BR$4='Data entry'!$R24</xm:f>
            <x14:dxf>
              <fill>
                <patternFill>
                  <bgColor rgb="FFFF0000"/>
                </patternFill>
              </fill>
            </x14:dxf>
          </x14:cfRule>
          <xm:sqref>BP60:CB60</xm:sqref>
        </x14:conditionalFormatting>
        <x14:conditionalFormatting xmlns:xm="http://schemas.microsoft.com/office/excel/2006/main">
          <x14:cfRule type="expression" priority="4692806" id="{0D5F64E4-4136-4BFA-B833-CC8578525D9C}">
            <xm:f>$BS$4='Data entry'!$R24</xm:f>
            <x14:dxf>
              <fill>
                <patternFill>
                  <bgColor rgb="FFFFFF00"/>
                </patternFill>
              </fill>
            </x14:dxf>
          </x14:cfRule>
          <xm:sqref>BE59:BS59</xm:sqref>
        </x14:conditionalFormatting>
        <x14:conditionalFormatting xmlns:xm="http://schemas.microsoft.com/office/excel/2006/main">
          <x14:cfRule type="expression" priority="4692807" id="{AC94D468-F078-4AE2-8771-102996E07B09}">
            <xm:f>$BS$4='Data entry'!$R24</xm:f>
            <x14:dxf>
              <fill>
                <patternFill>
                  <bgColor rgb="FFFF0000"/>
                </patternFill>
              </fill>
            </x14:dxf>
          </x14:cfRule>
          <xm:sqref>BQ60:CC60</xm:sqref>
        </x14:conditionalFormatting>
        <x14:conditionalFormatting xmlns:xm="http://schemas.microsoft.com/office/excel/2006/main">
          <x14:cfRule type="expression" priority="4692808" id="{10E78F76-181E-4F19-9F89-7DD36D3EFE30}">
            <xm:f>$BT$4='Data entry'!$R24</xm:f>
            <x14:dxf>
              <fill>
                <patternFill>
                  <bgColor rgb="FFFFFF00"/>
                </patternFill>
              </fill>
            </x14:dxf>
          </x14:cfRule>
          <xm:sqref>BF59:BT59</xm:sqref>
        </x14:conditionalFormatting>
        <x14:conditionalFormatting xmlns:xm="http://schemas.microsoft.com/office/excel/2006/main">
          <x14:cfRule type="expression" priority="4692809" id="{6A5FADC6-9512-4EFB-90A5-7B5244D10D1F}">
            <xm:f>$BT$4='Data entry'!$R24</xm:f>
            <x14:dxf>
              <fill>
                <patternFill>
                  <bgColor rgb="FFFF0000"/>
                </patternFill>
              </fill>
            </x14:dxf>
          </x14:cfRule>
          <xm:sqref>BR60:CC60</xm:sqref>
        </x14:conditionalFormatting>
        <x14:conditionalFormatting xmlns:xm="http://schemas.microsoft.com/office/excel/2006/main">
          <x14:cfRule type="expression" priority="4692810" id="{A51139D1-8841-4B96-B8CB-DFE3808765CF}">
            <xm:f>$BU$4='Data entry'!$R24</xm:f>
            <x14:dxf>
              <fill>
                <patternFill>
                  <bgColor rgb="FFFFFF00"/>
                </patternFill>
              </fill>
            </x14:dxf>
          </x14:cfRule>
          <xm:sqref>BG59:BU59</xm:sqref>
        </x14:conditionalFormatting>
        <x14:conditionalFormatting xmlns:xm="http://schemas.microsoft.com/office/excel/2006/main">
          <x14:cfRule type="expression" priority="4692811" id="{55CA7258-760F-4BFF-ACB5-A70FEB3E7981}">
            <xm:f>$BU$4='Data entry'!$R24</xm:f>
            <x14:dxf>
              <fill>
                <patternFill>
                  <bgColor rgb="FFFF0000"/>
                </patternFill>
              </fill>
            </x14:dxf>
          </x14:cfRule>
          <xm:sqref>BS60:CC60</xm:sqref>
        </x14:conditionalFormatting>
        <x14:conditionalFormatting xmlns:xm="http://schemas.microsoft.com/office/excel/2006/main">
          <x14:cfRule type="expression" priority="4692812" id="{A922B218-64DB-4CBB-9AB8-FE0EBB44E09E}">
            <xm:f>$BV$4='Data entry'!$R24</xm:f>
            <x14:dxf>
              <fill>
                <patternFill>
                  <bgColor rgb="FFFFFF00"/>
                </patternFill>
              </fill>
            </x14:dxf>
          </x14:cfRule>
          <xm:sqref>BH59:BV59</xm:sqref>
        </x14:conditionalFormatting>
        <x14:conditionalFormatting xmlns:xm="http://schemas.microsoft.com/office/excel/2006/main">
          <x14:cfRule type="expression" priority="4692813" id="{C98E908A-CD31-4778-B41C-7AFB9DBE639A}">
            <xm:f>$BV$4='Data entry'!$R24</xm:f>
            <x14:dxf>
              <fill>
                <patternFill>
                  <bgColor rgb="FFFF0000"/>
                </patternFill>
              </fill>
            </x14:dxf>
          </x14:cfRule>
          <xm:sqref>BT60:CC60</xm:sqref>
        </x14:conditionalFormatting>
        <x14:conditionalFormatting xmlns:xm="http://schemas.microsoft.com/office/excel/2006/main">
          <x14:cfRule type="expression" priority="4692814" id="{465CCCA3-B4DB-4B61-8AC7-8A5E4CEC9E3F}">
            <xm:f>$BW$4='Data entry'!$R24</xm:f>
            <x14:dxf>
              <fill>
                <patternFill>
                  <bgColor rgb="FFFFFF00"/>
                </patternFill>
              </fill>
            </x14:dxf>
          </x14:cfRule>
          <xm:sqref>BI59:BW59</xm:sqref>
        </x14:conditionalFormatting>
        <x14:conditionalFormatting xmlns:xm="http://schemas.microsoft.com/office/excel/2006/main">
          <x14:cfRule type="expression" priority="4692815" id="{37566F97-6D06-400B-A709-FE657B07687F}">
            <xm:f>$BW$4='Data entry'!$R24</xm:f>
            <x14:dxf>
              <fill>
                <patternFill>
                  <bgColor rgb="FFFF0000"/>
                </patternFill>
              </fill>
            </x14:dxf>
          </x14:cfRule>
          <xm:sqref>BU60:CC60</xm:sqref>
        </x14:conditionalFormatting>
        <x14:conditionalFormatting xmlns:xm="http://schemas.microsoft.com/office/excel/2006/main">
          <x14:cfRule type="expression" priority="4692816" id="{D8FBA3AC-5CF0-4E45-97CA-1D4DEE729ADA}">
            <xm:f>$BX$4='Data entry'!$R24</xm:f>
            <x14:dxf>
              <fill>
                <patternFill>
                  <bgColor rgb="FFFFFF00"/>
                </patternFill>
              </fill>
            </x14:dxf>
          </x14:cfRule>
          <xm:sqref>BJ59:BX59</xm:sqref>
        </x14:conditionalFormatting>
        <x14:conditionalFormatting xmlns:xm="http://schemas.microsoft.com/office/excel/2006/main">
          <x14:cfRule type="expression" priority="4692817" id="{E077C84B-A94F-431D-B232-4AFCC7C64F54}">
            <xm:f>$BX$4='Data entry'!$R24</xm:f>
            <x14:dxf>
              <fill>
                <patternFill>
                  <bgColor rgb="FFFF0000"/>
                </patternFill>
              </fill>
            </x14:dxf>
          </x14:cfRule>
          <xm:sqref>BV60:CC60</xm:sqref>
        </x14:conditionalFormatting>
        <x14:conditionalFormatting xmlns:xm="http://schemas.microsoft.com/office/excel/2006/main">
          <x14:cfRule type="expression" priority="4692818" id="{63783BA8-0C97-4A44-86FD-7A2BCF1B9957}">
            <xm:f>$BY$4='Data entry'!$R24</xm:f>
            <x14:dxf>
              <fill>
                <patternFill>
                  <bgColor rgb="FFFFFF00"/>
                </patternFill>
              </fill>
            </x14:dxf>
          </x14:cfRule>
          <xm:sqref>BK59:BY59</xm:sqref>
        </x14:conditionalFormatting>
        <x14:conditionalFormatting xmlns:xm="http://schemas.microsoft.com/office/excel/2006/main">
          <x14:cfRule type="expression" priority="4692819" id="{BB8DB8B4-B71B-46D2-AEE7-346F16103F74}">
            <xm:f>$BY$4='Data entry'!$R24</xm:f>
            <x14:dxf>
              <fill>
                <patternFill>
                  <bgColor rgb="FFFF0000"/>
                </patternFill>
              </fill>
            </x14:dxf>
          </x14:cfRule>
          <xm:sqref>BW60:CC60</xm:sqref>
        </x14:conditionalFormatting>
        <x14:conditionalFormatting xmlns:xm="http://schemas.microsoft.com/office/excel/2006/main">
          <x14:cfRule type="expression" priority="4692820" id="{1B638B98-2B06-4FEB-90C1-446A3E0A3979}">
            <xm:f>$BZ$4='Data entry'!$R24</xm:f>
            <x14:dxf>
              <fill>
                <patternFill>
                  <bgColor rgb="FFFFFF00"/>
                </patternFill>
              </fill>
            </x14:dxf>
          </x14:cfRule>
          <xm:sqref>BL59:BZ59</xm:sqref>
        </x14:conditionalFormatting>
        <x14:conditionalFormatting xmlns:xm="http://schemas.microsoft.com/office/excel/2006/main">
          <x14:cfRule type="expression" priority="4692821" id="{D3A0A2F8-D1B2-4DC5-B2A9-0EF53074E685}">
            <xm:f>$BZ$4='Data entry'!$R24</xm:f>
            <x14:dxf>
              <fill>
                <patternFill>
                  <bgColor rgb="FFFF0000"/>
                </patternFill>
              </fill>
            </x14:dxf>
          </x14:cfRule>
          <xm:sqref>BX60:CC60</xm:sqref>
        </x14:conditionalFormatting>
        <x14:conditionalFormatting xmlns:xm="http://schemas.microsoft.com/office/excel/2006/main">
          <x14:cfRule type="expression" priority="4692822" id="{83F6D018-7D3B-4D33-9998-11572F2F2FF5}">
            <xm:f>$CA$4='Data entry'!$R24</xm:f>
            <x14:dxf>
              <fill>
                <patternFill>
                  <bgColor rgb="FFFFFF00"/>
                </patternFill>
              </fill>
            </x14:dxf>
          </x14:cfRule>
          <xm:sqref>BM59:CA59</xm:sqref>
        </x14:conditionalFormatting>
        <x14:conditionalFormatting xmlns:xm="http://schemas.microsoft.com/office/excel/2006/main">
          <x14:cfRule type="expression" priority="4692823" id="{8E6D0B51-5626-4ED9-9072-C7A2C139704F}">
            <xm:f>$CA$4='Data entry'!$R24</xm:f>
            <x14:dxf>
              <fill>
                <patternFill>
                  <bgColor rgb="FFFF0000"/>
                </patternFill>
              </fill>
            </x14:dxf>
          </x14:cfRule>
          <xm:sqref>BY60:CC60</xm:sqref>
        </x14:conditionalFormatting>
        <x14:conditionalFormatting xmlns:xm="http://schemas.microsoft.com/office/excel/2006/main">
          <x14:cfRule type="expression" priority="4692824" id="{E1886EE4-3BDE-43A9-9F4B-79377FEC37FE}">
            <xm:f>$CB$4='Data entry'!$R24</xm:f>
            <x14:dxf>
              <fill>
                <patternFill>
                  <bgColor rgb="FFFFFF00"/>
                </patternFill>
              </fill>
            </x14:dxf>
          </x14:cfRule>
          <xm:sqref>BN59:CB59</xm:sqref>
        </x14:conditionalFormatting>
        <x14:conditionalFormatting xmlns:xm="http://schemas.microsoft.com/office/excel/2006/main">
          <x14:cfRule type="expression" priority="4692825" id="{ADEF572A-6C18-4602-BB86-01C96D36E07E}">
            <xm:f>$CB$4='Data entry'!$R24</xm:f>
            <x14:dxf>
              <fill>
                <patternFill>
                  <bgColor rgb="FFFF0000"/>
                </patternFill>
              </fill>
            </x14:dxf>
          </x14:cfRule>
          <xm:sqref>BZ60:CC60</xm:sqref>
        </x14:conditionalFormatting>
        <x14:conditionalFormatting xmlns:xm="http://schemas.microsoft.com/office/excel/2006/main">
          <x14:cfRule type="expression" priority="4692826" id="{7984E1C9-E073-4955-8543-62145CB6D008}">
            <xm:f>$CC$4='Data entry'!$R24</xm:f>
            <x14:dxf>
              <fill>
                <patternFill>
                  <bgColor rgb="FFFFFF00"/>
                </patternFill>
              </fill>
            </x14:dxf>
          </x14:cfRule>
          <xm:sqref>BO59:CC59</xm:sqref>
        </x14:conditionalFormatting>
        <x14:conditionalFormatting xmlns:xm="http://schemas.microsoft.com/office/excel/2006/main">
          <x14:cfRule type="expression" priority="4692827" id="{18A957B3-59FA-4698-BA92-2A208FF18E2F}">
            <xm:f>$CC$4='Data entry'!$R24</xm:f>
            <x14:dxf>
              <fill>
                <patternFill>
                  <bgColor rgb="FFFF0000"/>
                </patternFill>
              </fill>
            </x14:dxf>
          </x14:cfRule>
          <xm:sqref>CA60:CC60</xm:sqref>
        </x14:conditionalFormatting>
        <x14:conditionalFormatting xmlns:xm="http://schemas.microsoft.com/office/excel/2006/main">
          <x14:cfRule type="expression" priority="4692914" id="{5B0DB825-B7C2-40AC-B7EF-F267F054CFB9}">
            <xm:f>$U$4='Data entry'!$R25</xm:f>
            <x14:dxf>
              <fill>
                <patternFill>
                  <bgColor rgb="FFFF0000"/>
                </patternFill>
              </fill>
            </x14:dxf>
          </x14:cfRule>
          <xm:sqref>S63:AE63</xm:sqref>
        </x14:conditionalFormatting>
        <x14:conditionalFormatting xmlns:xm="http://schemas.microsoft.com/office/excel/2006/main">
          <x14:cfRule type="expression" priority="4692915" id="{18311200-E2BB-400F-B594-3B9A2C6068C2}">
            <xm:f>$V$4='Data entry'!$R25</xm:f>
            <x14:dxf>
              <fill>
                <patternFill>
                  <bgColor rgb="FFFF0000"/>
                </patternFill>
              </fill>
            </x14:dxf>
          </x14:cfRule>
          <xm:sqref>T63:AF63</xm:sqref>
        </x14:conditionalFormatting>
        <x14:conditionalFormatting xmlns:xm="http://schemas.microsoft.com/office/excel/2006/main">
          <x14:cfRule type="expression" priority="4692916" id="{D6DFB621-1A58-4C59-A987-ECAD0EB2D32B}">
            <xm:f>$V$4='Data entry'!$R25</xm:f>
            <x14:dxf>
              <fill>
                <patternFill>
                  <bgColor rgb="FFFFFF00"/>
                </patternFill>
              </fill>
            </x14:dxf>
          </x14:cfRule>
          <xm:sqref>H62:V62</xm:sqref>
        </x14:conditionalFormatting>
        <x14:conditionalFormatting xmlns:xm="http://schemas.microsoft.com/office/excel/2006/main">
          <x14:cfRule type="expression" priority="4692917" id="{5F87A680-DC5F-433D-A779-B7A534ACCDA9}">
            <xm:f>$W$4='Data entry'!$R25</xm:f>
            <x14:dxf>
              <fill>
                <patternFill>
                  <bgColor rgb="FFFF0000"/>
                </patternFill>
              </fill>
            </x14:dxf>
          </x14:cfRule>
          <xm:sqref>U63:AG63</xm:sqref>
        </x14:conditionalFormatting>
        <x14:conditionalFormatting xmlns:xm="http://schemas.microsoft.com/office/excel/2006/main">
          <x14:cfRule type="expression" priority="4692918" id="{964539FF-A92C-4F68-B268-B7157A32678C}">
            <xm:f>$W$4='Data entry'!$R25</xm:f>
            <x14:dxf>
              <fill>
                <patternFill>
                  <bgColor rgb="FFFFFF00"/>
                </patternFill>
              </fill>
            </x14:dxf>
          </x14:cfRule>
          <xm:sqref>I62:W62</xm:sqref>
        </x14:conditionalFormatting>
        <x14:conditionalFormatting xmlns:xm="http://schemas.microsoft.com/office/excel/2006/main">
          <x14:cfRule type="expression" priority="4692919" id="{46C1533A-F090-4A90-9309-3F59EC3FD3B0}">
            <xm:f>$X$4='Data entry'!$R25</xm:f>
            <x14:dxf>
              <fill>
                <patternFill>
                  <bgColor rgb="FFFF0000"/>
                </patternFill>
              </fill>
            </x14:dxf>
          </x14:cfRule>
          <xm:sqref>V63:AH63</xm:sqref>
        </x14:conditionalFormatting>
        <x14:conditionalFormatting xmlns:xm="http://schemas.microsoft.com/office/excel/2006/main">
          <x14:cfRule type="expression" priority="4692920" id="{7C70E81C-DDD4-4D75-933A-4F6A39893184}">
            <xm:f>$X$4='Data entry'!$R25</xm:f>
            <x14:dxf>
              <fill>
                <patternFill>
                  <bgColor rgb="FFFFFF00"/>
                </patternFill>
              </fill>
            </x14:dxf>
          </x14:cfRule>
          <xm:sqref>J62:X62</xm:sqref>
        </x14:conditionalFormatting>
        <x14:conditionalFormatting xmlns:xm="http://schemas.microsoft.com/office/excel/2006/main">
          <x14:cfRule type="expression" priority="4692921" id="{561AF073-0EF8-4B72-A119-40A639C4359D}">
            <xm:f>$Y$4='Data entry'!$R25</xm:f>
            <x14:dxf>
              <fill>
                <patternFill>
                  <bgColor rgb="FFFF0000"/>
                </patternFill>
              </fill>
            </x14:dxf>
          </x14:cfRule>
          <xm:sqref>W63:AI63</xm:sqref>
        </x14:conditionalFormatting>
        <x14:conditionalFormatting xmlns:xm="http://schemas.microsoft.com/office/excel/2006/main">
          <x14:cfRule type="expression" priority="4692922" id="{F242E808-8F07-4A89-9524-7D4C767CE357}">
            <xm:f>$Y$4='Data entry'!$R25</xm:f>
            <x14:dxf>
              <fill>
                <patternFill>
                  <bgColor rgb="FFFFFF00"/>
                </patternFill>
              </fill>
            </x14:dxf>
          </x14:cfRule>
          <xm:sqref>K62:Y62</xm:sqref>
        </x14:conditionalFormatting>
        <x14:conditionalFormatting xmlns:xm="http://schemas.microsoft.com/office/excel/2006/main">
          <x14:cfRule type="expression" priority="4692923" id="{DD601058-982B-4218-BD9D-64BB823C2633}">
            <xm:f>$Z$4='Data entry'!$R25</xm:f>
            <x14:dxf>
              <fill>
                <patternFill>
                  <bgColor rgb="FFFF0000"/>
                </patternFill>
              </fill>
            </x14:dxf>
          </x14:cfRule>
          <xm:sqref>X63:AJ63</xm:sqref>
        </x14:conditionalFormatting>
        <x14:conditionalFormatting xmlns:xm="http://schemas.microsoft.com/office/excel/2006/main">
          <x14:cfRule type="expression" priority="4692924" id="{C9DB141D-79F6-4093-92A3-7BF7A1622985}">
            <xm:f>$Z$4='Data entry'!$R25</xm:f>
            <x14:dxf>
              <fill>
                <patternFill>
                  <bgColor rgb="FFFFFF00"/>
                </patternFill>
              </fill>
            </x14:dxf>
          </x14:cfRule>
          <xm:sqref>L62:Z62</xm:sqref>
        </x14:conditionalFormatting>
        <x14:conditionalFormatting xmlns:xm="http://schemas.microsoft.com/office/excel/2006/main">
          <x14:cfRule type="expression" priority="4692925" id="{710EB8D3-F5C0-4E3C-8214-2D0C4E26F649}">
            <xm:f>$AA$4='Data entry'!$R25</xm:f>
            <x14:dxf>
              <fill>
                <patternFill>
                  <bgColor rgb="FFFF0000"/>
                </patternFill>
              </fill>
            </x14:dxf>
          </x14:cfRule>
          <xm:sqref>Y63:AK63</xm:sqref>
        </x14:conditionalFormatting>
        <x14:conditionalFormatting xmlns:xm="http://schemas.microsoft.com/office/excel/2006/main">
          <x14:cfRule type="expression" priority="4692926" id="{33825D69-C967-4D27-B395-5D44A3083802}">
            <xm:f>$AA$4='Data entry'!$R25</xm:f>
            <x14:dxf>
              <fill>
                <patternFill>
                  <bgColor rgb="FFFFFF00"/>
                </patternFill>
              </fill>
            </x14:dxf>
          </x14:cfRule>
          <xm:sqref>M62:AA62</xm:sqref>
        </x14:conditionalFormatting>
        <x14:conditionalFormatting xmlns:xm="http://schemas.microsoft.com/office/excel/2006/main">
          <x14:cfRule type="expression" priority="4692927" id="{9811A97D-351B-4D32-8754-AF433277E62B}">
            <xm:f>$AB$4='Data entry'!$R25</xm:f>
            <x14:dxf>
              <fill>
                <patternFill>
                  <bgColor rgb="FFFF0000"/>
                </patternFill>
              </fill>
            </x14:dxf>
          </x14:cfRule>
          <xm:sqref>Z63:AL63</xm:sqref>
        </x14:conditionalFormatting>
        <x14:conditionalFormatting xmlns:xm="http://schemas.microsoft.com/office/excel/2006/main">
          <x14:cfRule type="expression" priority="4692928" id="{6DD3E556-C72E-438B-92DA-3096ED1E4178}">
            <xm:f>$AB$4='Data entry'!$R25</xm:f>
            <x14:dxf>
              <fill>
                <patternFill>
                  <bgColor rgb="FFFFFF00"/>
                </patternFill>
              </fill>
            </x14:dxf>
          </x14:cfRule>
          <xm:sqref>N62:AB62</xm:sqref>
        </x14:conditionalFormatting>
        <x14:conditionalFormatting xmlns:xm="http://schemas.microsoft.com/office/excel/2006/main">
          <x14:cfRule type="expression" priority="4692929" id="{C0DF7A1B-D6BC-4371-BD3A-F0708147FA1C}">
            <xm:f>$AC$4='Data entry'!$R25</xm:f>
            <x14:dxf>
              <fill>
                <patternFill>
                  <bgColor rgb="FFFF0000"/>
                </patternFill>
              </fill>
            </x14:dxf>
          </x14:cfRule>
          <xm:sqref>AA63:AM63</xm:sqref>
        </x14:conditionalFormatting>
        <x14:conditionalFormatting xmlns:xm="http://schemas.microsoft.com/office/excel/2006/main">
          <x14:cfRule type="expression" priority="4692930" id="{DB2E1F48-AF0E-41F9-A976-6B1963CA5711}">
            <xm:f>$AC$4='Data entry'!$R25</xm:f>
            <x14:dxf>
              <fill>
                <patternFill>
                  <bgColor rgb="FFFFFF00"/>
                </patternFill>
              </fill>
            </x14:dxf>
          </x14:cfRule>
          <xm:sqref>O62:AC62</xm:sqref>
        </x14:conditionalFormatting>
        <x14:conditionalFormatting xmlns:xm="http://schemas.microsoft.com/office/excel/2006/main">
          <x14:cfRule type="expression" priority="4692931" id="{89909907-F9A9-4AF9-BC1D-304710A43F50}">
            <xm:f>$AD$4='Data entry'!$R25</xm:f>
            <x14:dxf>
              <fill>
                <patternFill>
                  <bgColor rgb="FFFF0000"/>
                </patternFill>
              </fill>
            </x14:dxf>
          </x14:cfRule>
          <xm:sqref>AB63:AN63</xm:sqref>
        </x14:conditionalFormatting>
        <x14:conditionalFormatting xmlns:xm="http://schemas.microsoft.com/office/excel/2006/main">
          <x14:cfRule type="expression" priority="4692932" id="{729676B7-E331-43A4-ACC9-850DCEE76A0E}">
            <xm:f>$AD$4='Data entry'!$R25</xm:f>
            <x14:dxf>
              <fill>
                <patternFill>
                  <bgColor rgb="FFFFFF00"/>
                </patternFill>
              </fill>
            </x14:dxf>
          </x14:cfRule>
          <xm:sqref>P62:AD62</xm:sqref>
        </x14:conditionalFormatting>
        <x14:conditionalFormatting xmlns:xm="http://schemas.microsoft.com/office/excel/2006/main">
          <x14:cfRule type="expression" priority="4692933" id="{00DA2C55-350E-44AA-ABEA-808FABFDA737}">
            <xm:f>$AE$4='Data entry'!$R25</xm:f>
            <x14:dxf>
              <fill>
                <patternFill>
                  <bgColor rgb="FFFF0000"/>
                </patternFill>
              </fill>
            </x14:dxf>
          </x14:cfRule>
          <xm:sqref>AC63:AO63</xm:sqref>
        </x14:conditionalFormatting>
        <x14:conditionalFormatting xmlns:xm="http://schemas.microsoft.com/office/excel/2006/main">
          <x14:cfRule type="expression" priority="4692934" id="{373C95F1-00C1-45E9-B561-5224945BA4A4}">
            <xm:f>$AE$4='Data entry'!$R25</xm:f>
            <x14:dxf>
              <fill>
                <patternFill>
                  <bgColor rgb="FFFFFF00"/>
                </patternFill>
              </fill>
            </x14:dxf>
          </x14:cfRule>
          <xm:sqref>Q62:AE62</xm:sqref>
        </x14:conditionalFormatting>
        <x14:conditionalFormatting xmlns:xm="http://schemas.microsoft.com/office/excel/2006/main">
          <x14:cfRule type="expression" priority="4692935" id="{65E90E74-6BEF-4B00-BD5E-ECACFEBC225A}">
            <xm:f>$AF$4='Data entry'!$R25</xm:f>
            <x14:dxf>
              <fill>
                <patternFill>
                  <bgColor rgb="FFFF0000"/>
                </patternFill>
              </fill>
            </x14:dxf>
          </x14:cfRule>
          <xm:sqref>AD63:AP63</xm:sqref>
        </x14:conditionalFormatting>
        <x14:conditionalFormatting xmlns:xm="http://schemas.microsoft.com/office/excel/2006/main">
          <x14:cfRule type="expression" priority="4692936" id="{56B519D7-E083-4811-B42B-D6CB10D44BB3}">
            <xm:f>$AF$4='Data entry'!$R25</xm:f>
            <x14:dxf>
              <fill>
                <patternFill>
                  <bgColor rgb="FFFFFF00"/>
                </patternFill>
              </fill>
            </x14:dxf>
          </x14:cfRule>
          <xm:sqref>R62:AF62</xm:sqref>
        </x14:conditionalFormatting>
        <x14:conditionalFormatting xmlns:xm="http://schemas.microsoft.com/office/excel/2006/main">
          <x14:cfRule type="expression" priority="4692937" id="{889682B6-BF9B-414B-86B7-1C802156B058}">
            <xm:f>$AG$4='Data entry'!$R25</xm:f>
            <x14:dxf>
              <fill>
                <patternFill>
                  <bgColor rgb="FFFF0000"/>
                </patternFill>
              </fill>
            </x14:dxf>
          </x14:cfRule>
          <xm:sqref>AE63:AQ63</xm:sqref>
        </x14:conditionalFormatting>
        <x14:conditionalFormatting xmlns:xm="http://schemas.microsoft.com/office/excel/2006/main">
          <x14:cfRule type="expression" priority="4692938" id="{19913D88-1940-4CB0-B29C-D46D60833BD5}">
            <xm:f>$AG$4='Data entry'!$R25</xm:f>
            <x14:dxf>
              <fill>
                <patternFill>
                  <bgColor rgb="FFFFFF00"/>
                </patternFill>
              </fill>
            </x14:dxf>
          </x14:cfRule>
          <xm:sqref>S62:AG62</xm:sqref>
        </x14:conditionalFormatting>
        <x14:conditionalFormatting xmlns:xm="http://schemas.microsoft.com/office/excel/2006/main">
          <x14:cfRule type="expression" priority="4692939" id="{3DD7B9A5-18A3-463F-BAD5-9796FC487328}">
            <xm:f>$AH$4='Data entry'!$R25</xm:f>
            <x14:dxf>
              <fill>
                <patternFill>
                  <bgColor rgb="FFFF0000"/>
                </patternFill>
              </fill>
            </x14:dxf>
          </x14:cfRule>
          <xm:sqref>AF63:AR63</xm:sqref>
        </x14:conditionalFormatting>
        <x14:conditionalFormatting xmlns:xm="http://schemas.microsoft.com/office/excel/2006/main">
          <x14:cfRule type="expression" priority="4692940" id="{31005CF4-5608-496E-91EB-F7F505046C80}">
            <xm:f>$AH$4='Data entry'!$R25</xm:f>
            <x14:dxf>
              <fill>
                <patternFill>
                  <bgColor rgb="FFFFFF00"/>
                </patternFill>
              </fill>
            </x14:dxf>
          </x14:cfRule>
          <xm:sqref>T62:AH62</xm:sqref>
        </x14:conditionalFormatting>
        <x14:conditionalFormatting xmlns:xm="http://schemas.microsoft.com/office/excel/2006/main">
          <x14:cfRule type="expression" priority="4692941" id="{CD14F654-5B7A-444F-8FC1-7DD71E76E475}">
            <xm:f>$AI$4='Data entry'!$R25</xm:f>
            <x14:dxf>
              <fill>
                <patternFill>
                  <bgColor rgb="FFFF0000"/>
                </patternFill>
              </fill>
            </x14:dxf>
          </x14:cfRule>
          <xm:sqref>AG63:AS63</xm:sqref>
        </x14:conditionalFormatting>
        <x14:conditionalFormatting xmlns:xm="http://schemas.microsoft.com/office/excel/2006/main">
          <x14:cfRule type="expression" priority="4692942" id="{0E4E448C-6C46-4285-B877-A61A90294385}">
            <xm:f>$AI$4='Data entry'!$R25</xm:f>
            <x14:dxf>
              <fill>
                <patternFill>
                  <bgColor rgb="FFFFFF00"/>
                </patternFill>
              </fill>
            </x14:dxf>
          </x14:cfRule>
          <xm:sqref>U62:AI62</xm:sqref>
        </x14:conditionalFormatting>
        <x14:conditionalFormatting xmlns:xm="http://schemas.microsoft.com/office/excel/2006/main">
          <x14:cfRule type="expression" priority="4692943" id="{B1C1818F-791C-403D-BE73-6F6E9DC6A16D}">
            <xm:f>$AJ$4='Data entry'!$R25</xm:f>
            <x14:dxf>
              <fill>
                <patternFill>
                  <bgColor rgb="FFFF0000"/>
                </patternFill>
              </fill>
            </x14:dxf>
          </x14:cfRule>
          <xm:sqref>AH63:AT63</xm:sqref>
        </x14:conditionalFormatting>
        <x14:conditionalFormatting xmlns:xm="http://schemas.microsoft.com/office/excel/2006/main">
          <x14:cfRule type="expression" priority="4692944" id="{A1237792-221B-431B-B8A7-E9A64DA46D93}">
            <xm:f>$AJ$4='Data entry'!$R25</xm:f>
            <x14:dxf>
              <fill>
                <patternFill>
                  <bgColor rgb="FFFFFF00"/>
                </patternFill>
              </fill>
            </x14:dxf>
          </x14:cfRule>
          <xm:sqref>V62:AJ62</xm:sqref>
        </x14:conditionalFormatting>
        <x14:conditionalFormatting xmlns:xm="http://schemas.microsoft.com/office/excel/2006/main">
          <x14:cfRule type="expression" priority="4692945" id="{617DC2AF-C7A3-4724-8EA3-17DEFEDC8949}">
            <xm:f>$AK$4='Data entry'!$R25</xm:f>
            <x14:dxf>
              <fill>
                <patternFill>
                  <bgColor rgb="FFFF0000"/>
                </patternFill>
              </fill>
            </x14:dxf>
          </x14:cfRule>
          <xm:sqref>AI63:AU63</xm:sqref>
        </x14:conditionalFormatting>
        <x14:conditionalFormatting xmlns:xm="http://schemas.microsoft.com/office/excel/2006/main">
          <x14:cfRule type="expression" priority="4692946" id="{AA72317D-37B1-48EB-A28B-BF2AC8DC4519}">
            <xm:f>$AK$4='Data entry'!$R25</xm:f>
            <x14:dxf>
              <fill>
                <patternFill>
                  <bgColor rgb="FFFFFF00"/>
                </patternFill>
              </fill>
            </x14:dxf>
          </x14:cfRule>
          <xm:sqref>W62:AK62</xm:sqref>
        </x14:conditionalFormatting>
        <x14:conditionalFormatting xmlns:xm="http://schemas.microsoft.com/office/excel/2006/main">
          <x14:cfRule type="expression" priority="4692947" id="{6CA9FB7A-20EA-4D3A-B74C-A001F4BE810D}">
            <xm:f>$AL$4='Data entry'!$R25</xm:f>
            <x14:dxf>
              <fill>
                <patternFill>
                  <bgColor rgb="FFFF0000"/>
                </patternFill>
              </fill>
            </x14:dxf>
          </x14:cfRule>
          <xm:sqref>AJ63:AV63</xm:sqref>
        </x14:conditionalFormatting>
        <x14:conditionalFormatting xmlns:xm="http://schemas.microsoft.com/office/excel/2006/main">
          <x14:cfRule type="expression" priority="4692948" id="{81A75DAA-573F-4EF3-A640-1B992C18BEA0}">
            <xm:f>$AL$4='Data entry'!$R25</xm:f>
            <x14:dxf>
              <fill>
                <patternFill>
                  <bgColor rgb="FFFFFF00"/>
                </patternFill>
              </fill>
            </x14:dxf>
          </x14:cfRule>
          <xm:sqref>X62:AL62</xm:sqref>
        </x14:conditionalFormatting>
        <x14:conditionalFormatting xmlns:xm="http://schemas.microsoft.com/office/excel/2006/main">
          <x14:cfRule type="expression" priority="4692949" id="{3D44713E-4ABA-4CCD-9DF4-5513A9FB5E1E}">
            <xm:f>$AM$4='Data entry'!$R25</xm:f>
            <x14:dxf>
              <fill>
                <patternFill>
                  <bgColor rgb="FFFF0000"/>
                </patternFill>
              </fill>
            </x14:dxf>
          </x14:cfRule>
          <xm:sqref>AK63:AW63</xm:sqref>
        </x14:conditionalFormatting>
        <x14:conditionalFormatting xmlns:xm="http://schemas.microsoft.com/office/excel/2006/main">
          <x14:cfRule type="expression" priority="4692950" id="{05A26B51-72A7-4423-822F-2BDBC28275D0}">
            <xm:f>$AM$4='Data entry'!$R25</xm:f>
            <x14:dxf>
              <fill>
                <patternFill>
                  <bgColor rgb="FFFFFF00"/>
                </patternFill>
              </fill>
            </x14:dxf>
          </x14:cfRule>
          <xm:sqref>Y62:AM62</xm:sqref>
        </x14:conditionalFormatting>
        <x14:conditionalFormatting xmlns:xm="http://schemas.microsoft.com/office/excel/2006/main">
          <x14:cfRule type="expression" priority="4692951" id="{B8A20675-6230-4694-A7F6-6B3DC7142773}">
            <xm:f>$AN$4='Data entry'!$R25</xm:f>
            <x14:dxf>
              <fill>
                <patternFill>
                  <bgColor rgb="FFFF0000"/>
                </patternFill>
              </fill>
            </x14:dxf>
          </x14:cfRule>
          <xm:sqref>AL63:AX63</xm:sqref>
        </x14:conditionalFormatting>
        <x14:conditionalFormatting xmlns:xm="http://schemas.microsoft.com/office/excel/2006/main">
          <x14:cfRule type="expression" priority="4692952" id="{8421181C-7450-42E9-BC1D-065CCFCA960E}">
            <xm:f>$AN$4='Data entry'!$R25</xm:f>
            <x14:dxf>
              <fill>
                <patternFill>
                  <bgColor rgb="FFFFFF00"/>
                </patternFill>
              </fill>
            </x14:dxf>
          </x14:cfRule>
          <xm:sqref>Z62:AN62</xm:sqref>
        </x14:conditionalFormatting>
        <x14:conditionalFormatting xmlns:xm="http://schemas.microsoft.com/office/excel/2006/main">
          <x14:cfRule type="expression" priority="4692953" id="{067FE4BD-6EF4-4684-B6E0-35AB2F267EE7}">
            <xm:f>$AO$4='Data entry'!$R25</xm:f>
            <x14:dxf>
              <fill>
                <patternFill>
                  <bgColor rgb="FFFF0000"/>
                </patternFill>
              </fill>
            </x14:dxf>
          </x14:cfRule>
          <xm:sqref>AM63:AY63</xm:sqref>
        </x14:conditionalFormatting>
        <x14:conditionalFormatting xmlns:xm="http://schemas.microsoft.com/office/excel/2006/main">
          <x14:cfRule type="expression" priority="4692954" id="{F7653492-88D1-47AC-8BA3-0CCE65C3C2AB}">
            <xm:f>$AO$4='Data entry'!$R25</xm:f>
            <x14:dxf>
              <fill>
                <patternFill>
                  <bgColor rgb="FFFFFF00"/>
                </patternFill>
              </fill>
            </x14:dxf>
          </x14:cfRule>
          <xm:sqref>AA62:AO62</xm:sqref>
        </x14:conditionalFormatting>
        <x14:conditionalFormatting xmlns:xm="http://schemas.microsoft.com/office/excel/2006/main">
          <x14:cfRule type="expression" priority="4692955" id="{207A5E5D-B322-482E-9193-1D7318138358}">
            <xm:f>$AP$4='Data entry'!$R25</xm:f>
            <x14:dxf>
              <fill>
                <patternFill>
                  <bgColor rgb="FFFF0000"/>
                </patternFill>
              </fill>
            </x14:dxf>
          </x14:cfRule>
          <xm:sqref>AN63:AZ63</xm:sqref>
        </x14:conditionalFormatting>
        <x14:conditionalFormatting xmlns:xm="http://schemas.microsoft.com/office/excel/2006/main">
          <x14:cfRule type="expression" priority="4692956" id="{21DA638D-4CA0-4067-BFF1-240CE1A0261B}">
            <xm:f>$AP$4='Data entry'!$R25</xm:f>
            <x14:dxf>
              <fill>
                <patternFill>
                  <bgColor rgb="FFFFFF00"/>
                </patternFill>
              </fill>
            </x14:dxf>
          </x14:cfRule>
          <xm:sqref>AB62:AP62</xm:sqref>
        </x14:conditionalFormatting>
        <x14:conditionalFormatting xmlns:xm="http://schemas.microsoft.com/office/excel/2006/main">
          <x14:cfRule type="expression" priority="4692957" id="{71963D96-A42A-4B90-BFC7-6D83D37766EF}">
            <xm:f>$AQ$4='Data entry'!$R25</xm:f>
            <x14:dxf>
              <fill>
                <patternFill>
                  <bgColor rgb="FFFF0000"/>
                </patternFill>
              </fill>
            </x14:dxf>
          </x14:cfRule>
          <xm:sqref>AO63:BA63</xm:sqref>
        </x14:conditionalFormatting>
        <x14:conditionalFormatting xmlns:xm="http://schemas.microsoft.com/office/excel/2006/main">
          <x14:cfRule type="expression" priority="4692958" id="{74952595-84B6-484F-8FF6-FCC1F337DF4D}">
            <xm:f>$AQ$4='Data entry'!$R25</xm:f>
            <x14:dxf>
              <fill>
                <patternFill>
                  <bgColor rgb="FFFFFF00"/>
                </patternFill>
              </fill>
            </x14:dxf>
          </x14:cfRule>
          <xm:sqref>AC62:AQ62</xm:sqref>
        </x14:conditionalFormatting>
        <x14:conditionalFormatting xmlns:xm="http://schemas.microsoft.com/office/excel/2006/main">
          <x14:cfRule type="expression" priority="4692959" id="{8AC9C4B9-0A34-4BC0-B0F7-CA89434C4911}">
            <xm:f>$P$4='Data entry'!$R25</xm:f>
            <x14:dxf>
              <fill>
                <patternFill>
                  <bgColor rgb="FFFFFF00"/>
                </patternFill>
              </fill>
            </x14:dxf>
          </x14:cfRule>
          <xm:sqref>C62:P62</xm:sqref>
        </x14:conditionalFormatting>
        <x14:conditionalFormatting xmlns:xm="http://schemas.microsoft.com/office/excel/2006/main">
          <x14:cfRule type="expression" priority="4692960" id="{0A726775-ABFD-4F22-967C-1A4D87BA3751}">
            <xm:f>$Q$4='Data entry'!$R25</xm:f>
            <x14:dxf>
              <fill>
                <patternFill>
                  <bgColor rgb="FFFFFF00"/>
                </patternFill>
              </fill>
            </x14:dxf>
          </x14:cfRule>
          <xm:sqref>C62:Q62</xm:sqref>
        </x14:conditionalFormatting>
        <x14:conditionalFormatting xmlns:xm="http://schemas.microsoft.com/office/excel/2006/main">
          <x14:cfRule type="expression" priority="4692961" id="{3A8414BD-262C-43B5-86EE-FA6901D00453}">
            <xm:f>$Q$4='Data entry'!$R25</xm:f>
            <x14:dxf>
              <fill>
                <patternFill>
                  <bgColor rgb="FFFF0000"/>
                </patternFill>
              </fill>
            </x14:dxf>
          </x14:cfRule>
          <xm:sqref>O63:AA63</xm:sqref>
        </x14:conditionalFormatting>
        <x14:conditionalFormatting xmlns:xm="http://schemas.microsoft.com/office/excel/2006/main">
          <x14:cfRule type="expression" priority="4692962" id="{B8B5501D-F3EF-4449-9306-F652960C65F4}">
            <xm:f>$R$4='Data entry'!$R25</xm:f>
            <x14:dxf>
              <fill>
                <patternFill>
                  <bgColor rgb="FFFF0000"/>
                </patternFill>
              </fill>
            </x14:dxf>
          </x14:cfRule>
          <xm:sqref>P63:AB63</xm:sqref>
        </x14:conditionalFormatting>
        <x14:conditionalFormatting xmlns:xm="http://schemas.microsoft.com/office/excel/2006/main">
          <x14:cfRule type="expression" priority="4692963" id="{5D070DEC-B82E-4D87-B907-A3E5AB836991}">
            <xm:f>$R$4='Data entry'!$R25</xm:f>
            <x14:dxf>
              <fill>
                <patternFill>
                  <bgColor rgb="FFFFFF00"/>
                </patternFill>
              </fill>
            </x14:dxf>
          </x14:cfRule>
          <xm:sqref>D62:R62</xm:sqref>
        </x14:conditionalFormatting>
        <x14:conditionalFormatting xmlns:xm="http://schemas.microsoft.com/office/excel/2006/main">
          <x14:cfRule type="expression" priority="4692964" id="{E4D16A10-F818-4664-9FB2-F0E839824D4B}">
            <xm:f>$S$4='Data entry'!$R25</xm:f>
            <x14:dxf>
              <fill>
                <patternFill>
                  <bgColor rgb="FFFF0000"/>
                </patternFill>
              </fill>
            </x14:dxf>
          </x14:cfRule>
          <xm:sqref>Q63:AC63</xm:sqref>
        </x14:conditionalFormatting>
        <x14:conditionalFormatting xmlns:xm="http://schemas.microsoft.com/office/excel/2006/main">
          <x14:cfRule type="expression" priority="4692965" id="{1A9F9911-A3E9-4730-AFBE-AB8C596545CA}">
            <xm:f>$S$4='Data entry'!$R25</xm:f>
            <x14:dxf>
              <fill>
                <patternFill>
                  <bgColor rgb="FFFFFF00"/>
                </patternFill>
              </fill>
            </x14:dxf>
          </x14:cfRule>
          <xm:sqref>E62:S62</xm:sqref>
        </x14:conditionalFormatting>
        <x14:conditionalFormatting xmlns:xm="http://schemas.microsoft.com/office/excel/2006/main">
          <x14:cfRule type="expression" priority="4692966" id="{8BB5CD1B-B2AC-442A-9550-26DE19A62D22}">
            <xm:f>$T$4='Data entry'!$R25</xm:f>
            <x14:dxf>
              <fill>
                <patternFill>
                  <bgColor rgb="FFFF0000"/>
                </patternFill>
              </fill>
            </x14:dxf>
          </x14:cfRule>
          <xm:sqref>R63:AD63</xm:sqref>
        </x14:conditionalFormatting>
        <x14:conditionalFormatting xmlns:xm="http://schemas.microsoft.com/office/excel/2006/main">
          <x14:cfRule type="expression" priority="4692967" id="{E7B59C69-7921-4049-84A1-8B3E5F7B0598}">
            <xm:f>$T$4='Data entry'!$R25</xm:f>
            <x14:dxf>
              <fill>
                <patternFill>
                  <bgColor rgb="FFFFFF00"/>
                </patternFill>
              </fill>
            </x14:dxf>
          </x14:cfRule>
          <xm:sqref>F62:T62</xm:sqref>
        </x14:conditionalFormatting>
        <x14:conditionalFormatting xmlns:xm="http://schemas.microsoft.com/office/excel/2006/main">
          <x14:cfRule type="expression" priority="4692968" id="{238C09E5-7A3D-439D-949F-A7733073F9A2}">
            <xm:f>$U$4='Data entry'!$R25</xm:f>
            <x14:dxf>
              <fill>
                <patternFill>
                  <bgColor rgb="FFFFFF00"/>
                </patternFill>
              </fill>
            </x14:dxf>
          </x14:cfRule>
          <xm:sqref>G62:U62</xm:sqref>
        </x14:conditionalFormatting>
        <x14:conditionalFormatting xmlns:xm="http://schemas.microsoft.com/office/excel/2006/main">
          <x14:cfRule type="expression" priority="4692969" id="{DE4D4432-0A19-452A-AF14-2873FE4DF411}">
            <xm:f>$AR$4='Data entry'!$R25</xm:f>
            <x14:dxf>
              <fill>
                <patternFill>
                  <bgColor rgb="FFFF0000"/>
                </patternFill>
              </fill>
            </x14:dxf>
          </x14:cfRule>
          <xm:sqref>AP63:BB63</xm:sqref>
        </x14:conditionalFormatting>
        <x14:conditionalFormatting xmlns:xm="http://schemas.microsoft.com/office/excel/2006/main">
          <x14:cfRule type="expression" priority="4692970" id="{90D7E1FF-542D-40C8-9BD5-DFEB4CDD256F}">
            <xm:f>$AR$4='Data entry'!$R25</xm:f>
            <x14:dxf>
              <fill>
                <patternFill>
                  <bgColor rgb="FFFFFF00"/>
                </patternFill>
              </fill>
            </x14:dxf>
          </x14:cfRule>
          <xm:sqref>AD62:AR62</xm:sqref>
        </x14:conditionalFormatting>
        <x14:conditionalFormatting xmlns:xm="http://schemas.microsoft.com/office/excel/2006/main">
          <x14:cfRule type="expression" priority="4692971" id="{0EBB5305-4A4A-4205-A1FF-11160070CBC3}">
            <xm:f>$AS$4='Data entry'!$R25</xm:f>
            <x14:dxf>
              <fill>
                <patternFill>
                  <bgColor rgb="FFFF0000"/>
                </patternFill>
              </fill>
            </x14:dxf>
          </x14:cfRule>
          <xm:sqref>AQ63:BC63</xm:sqref>
        </x14:conditionalFormatting>
        <x14:conditionalFormatting xmlns:xm="http://schemas.microsoft.com/office/excel/2006/main">
          <x14:cfRule type="expression" priority="4692972" id="{AC8EB30C-4253-4CE1-820E-1801F6D8D35B}">
            <xm:f>$AS$4='Data entry'!$R25</xm:f>
            <x14:dxf>
              <fill>
                <patternFill>
                  <bgColor rgb="FFFFFF00"/>
                </patternFill>
              </fill>
            </x14:dxf>
          </x14:cfRule>
          <xm:sqref>AE62:AS62</xm:sqref>
        </x14:conditionalFormatting>
        <x14:conditionalFormatting xmlns:xm="http://schemas.microsoft.com/office/excel/2006/main">
          <x14:cfRule type="expression" priority="4692973" id="{E11744C1-7201-4272-A1B0-945490B42425}">
            <xm:f>$AT$4='Data entry'!$R25</xm:f>
            <x14:dxf>
              <fill>
                <patternFill>
                  <bgColor rgb="FFFF0000"/>
                </patternFill>
              </fill>
            </x14:dxf>
          </x14:cfRule>
          <xm:sqref>AR63:BD63</xm:sqref>
        </x14:conditionalFormatting>
        <x14:conditionalFormatting xmlns:xm="http://schemas.microsoft.com/office/excel/2006/main">
          <x14:cfRule type="expression" priority="4692974" id="{5EE2823B-E955-4EA7-B99C-0B1F77B57A69}">
            <xm:f>$AT$4='Data entry'!$R25</xm:f>
            <x14:dxf>
              <fill>
                <patternFill>
                  <bgColor rgb="FFFFFF00"/>
                </patternFill>
              </fill>
            </x14:dxf>
          </x14:cfRule>
          <xm:sqref>AF62:AT62</xm:sqref>
        </x14:conditionalFormatting>
        <x14:conditionalFormatting xmlns:xm="http://schemas.microsoft.com/office/excel/2006/main">
          <x14:cfRule type="expression" priority="4692975" id="{5737DC63-3262-4B34-900C-2AAEB255FCBA}">
            <xm:f>$AU$4='Data entry'!$R25</xm:f>
            <x14:dxf>
              <fill>
                <patternFill>
                  <bgColor rgb="FFFF0000"/>
                </patternFill>
              </fill>
            </x14:dxf>
          </x14:cfRule>
          <xm:sqref>AS63:BE63</xm:sqref>
        </x14:conditionalFormatting>
        <x14:conditionalFormatting xmlns:xm="http://schemas.microsoft.com/office/excel/2006/main">
          <x14:cfRule type="expression" priority="4692976" id="{2B5C1F1B-3C3D-4CA3-BC64-0E98422075B6}">
            <xm:f>$AU$4='Data entry'!$R25</xm:f>
            <x14:dxf>
              <fill>
                <patternFill>
                  <bgColor rgb="FFFFFF00"/>
                </patternFill>
              </fill>
            </x14:dxf>
          </x14:cfRule>
          <xm:sqref>AG62:AU62</xm:sqref>
        </x14:conditionalFormatting>
        <x14:conditionalFormatting xmlns:xm="http://schemas.microsoft.com/office/excel/2006/main">
          <x14:cfRule type="expression" priority="4692977" id="{B87A1285-B003-4855-8F4B-53C391BA10E6}">
            <xm:f>$AV$4='Data entry'!$R25</xm:f>
            <x14:dxf>
              <fill>
                <patternFill>
                  <bgColor rgb="FFFF0000"/>
                </patternFill>
              </fill>
            </x14:dxf>
          </x14:cfRule>
          <xm:sqref>AT63:BF63</xm:sqref>
        </x14:conditionalFormatting>
        <x14:conditionalFormatting xmlns:xm="http://schemas.microsoft.com/office/excel/2006/main">
          <x14:cfRule type="expression" priority="4692978" id="{338EE31C-78DB-4818-B837-0380F9E457FA}">
            <xm:f>$AV$4='Data entry'!$R25</xm:f>
            <x14:dxf>
              <fill>
                <patternFill>
                  <bgColor rgb="FFFFFF00"/>
                </patternFill>
              </fill>
            </x14:dxf>
          </x14:cfRule>
          <xm:sqref>AH62:AV62</xm:sqref>
        </x14:conditionalFormatting>
        <x14:conditionalFormatting xmlns:xm="http://schemas.microsoft.com/office/excel/2006/main">
          <x14:cfRule type="expression" priority="4692979" id="{5C40EA66-2801-4C91-B885-BF6A1ECFC35C}">
            <xm:f>$AW$4='Data entry'!$R25</xm:f>
            <x14:dxf>
              <fill>
                <patternFill>
                  <bgColor rgb="FFFF0000"/>
                </patternFill>
              </fill>
            </x14:dxf>
          </x14:cfRule>
          <xm:sqref>AU63:BG63</xm:sqref>
        </x14:conditionalFormatting>
        <x14:conditionalFormatting xmlns:xm="http://schemas.microsoft.com/office/excel/2006/main">
          <x14:cfRule type="expression" priority="4692980" id="{51BCD5CE-DF86-4C2F-8A81-DDA1EFD6C8F7}">
            <xm:f>$AW$4='Data entry'!$R25</xm:f>
            <x14:dxf>
              <fill>
                <patternFill>
                  <bgColor rgb="FFFFFF00"/>
                </patternFill>
              </fill>
            </x14:dxf>
          </x14:cfRule>
          <xm:sqref>AI62:AW62</xm:sqref>
        </x14:conditionalFormatting>
        <x14:conditionalFormatting xmlns:xm="http://schemas.microsoft.com/office/excel/2006/main">
          <x14:cfRule type="expression" priority="4692981" id="{DC2ED5A0-8917-4877-8CD3-9DF9BE5993C9}">
            <xm:f>$AX$4='Data entry'!$R25</xm:f>
            <x14:dxf>
              <fill>
                <patternFill>
                  <bgColor rgb="FFFF0000"/>
                </patternFill>
              </fill>
            </x14:dxf>
          </x14:cfRule>
          <xm:sqref>AV63:BH63</xm:sqref>
        </x14:conditionalFormatting>
        <x14:conditionalFormatting xmlns:xm="http://schemas.microsoft.com/office/excel/2006/main">
          <x14:cfRule type="expression" priority="4692982" id="{59B31869-20F9-45BD-BC80-0A6C8945CE2C}">
            <xm:f>$AX$4='Data entry'!$R25</xm:f>
            <x14:dxf>
              <fill>
                <patternFill>
                  <bgColor rgb="FFFFFF00"/>
                </patternFill>
              </fill>
            </x14:dxf>
          </x14:cfRule>
          <xm:sqref>AJ62:AX62</xm:sqref>
        </x14:conditionalFormatting>
        <x14:conditionalFormatting xmlns:xm="http://schemas.microsoft.com/office/excel/2006/main">
          <x14:cfRule type="expression" priority="4692983" id="{D4208FA0-4262-4037-934C-6D0742B2AD8E}">
            <xm:f>$AY$4='Data entry'!$R25</xm:f>
            <x14:dxf>
              <fill>
                <patternFill>
                  <bgColor rgb="FFFF0000"/>
                </patternFill>
              </fill>
            </x14:dxf>
          </x14:cfRule>
          <xm:sqref>AW63:BI63</xm:sqref>
        </x14:conditionalFormatting>
        <x14:conditionalFormatting xmlns:xm="http://schemas.microsoft.com/office/excel/2006/main">
          <x14:cfRule type="expression" priority="4692984" id="{04D6E423-18C7-42B2-A67D-F49D8E62B571}">
            <xm:f>$AY$4='Data entry'!$R25</xm:f>
            <x14:dxf>
              <fill>
                <patternFill>
                  <bgColor rgb="FFFFFF00"/>
                </patternFill>
              </fill>
            </x14:dxf>
          </x14:cfRule>
          <xm:sqref>AK62:AY62</xm:sqref>
        </x14:conditionalFormatting>
        <x14:conditionalFormatting xmlns:xm="http://schemas.microsoft.com/office/excel/2006/main">
          <x14:cfRule type="expression" priority="4692985" id="{A931C203-6E4B-4EBD-A2F4-1876881F48D4}">
            <xm:f>$AZ$4='Data entry'!$R25</xm:f>
            <x14:dxf>
              <fill>
                <patternFill>
                  <bgColor rgb="FFFF0000"/>
                </patternFill>
              </fill>
            </x14:dxf>
          </x14:cfRule>
          <xm:sqref>AX63:BJ63</xm:sqref>
        </x14:conditionalFormatting>
        <x14:conditionalFormatting xmlns:xm="http://schemas.microsoft.com/office/excel/2006/main">
          <x14:cfRule type="expression" priority="4692986" id="{092D9100-E652-40FE-8CAA-720DC0681250}">
            <xm:f>$AZ$4='Data entry'!$R25</xm:f>
            <x14:dxf>
              <fill>
                <patternFill>
                  <bgColor rgb="FFFFFF00"/>
                </patternFill>
              </fill>
            </x14:dxf>
          </x14:cfRule>
          <xm:sqref>AL62:AZ62</xm:sqref>
        </x14:conditionalFormatting>
        <x14:conditionalFormatting xmlns:xm="http://schemas.microsoft.com/office/excel/2006/main">
          <x14:cfRule type="expression" priority="4692987" id="{A3C7E6BE-A225-483C-A983-A915DB662C52}">
            <xm:f>$BA$4='Data entry'!$R25</xm:f>
            <x14:dxf>
              <fill>
                <patternFill>
                  <bgColor rgb="FFFF0000"/>
                </patternFill>
              </fill>
            </x14:dxf>
          </x14:cfRule>
          <xm:sqref>AY63:BK63</xm:sqref>
        </x14:conditionalFormatting>
        <x14:conditionalFormatting xmlns:xm="http://schemas.microsoft.com/office/excel/2006/main">
          <x14:cfRule type="expression" priority="4692988" id="{F5CF569A-8AFA-4CFF-8BD3-F04D8927A99F}">
            <xm:f>$BA$4='Data entry'!$R25</xm:f>
            <x14:dxf>
              <fill>
                <patternFill>
                  <bgColor rgb="FFFFFF00"/>
                </patternFill>
              </fill>
            </x14:dxf>
          </x14:cfRule>
          <xm:sqref>AM62:BA62</xm:sqref>
        </x14:conditionalFormatting>
        <x14:conditionalFormatting xmlns:xm="http://schemas.microsoft.com/office/excel/2006/main">
          <x14:cfRule type="expression" priority="4692989" id="{E4DAC94A-7983-4BFB-A87B-45B58561841A}">
            <xm:f>$BB$4='Data entry'!$R25</xm:f>
            <x14:dxf>
              <fill>
                <patternFill>
                  <bgColor rgb="FFFF0000"/>
                </patternFill>
              </fill>
            </x14:dxf>
          </x14:cfRule>
          <xm:sqref>AZ63:BL63</xm:sqref>
        </x14:conditionalFormatting>
        <x14:conditionalFormatting xmlns:xm="http://schemas.microsoft.com/office/excel/2006/main">
          <x14:cfRule type="expression" priority="4692990" id="{E63849C5-F39B-4B0E-8F8A-B532EDF2CBAE}">
            <xm:f>$BB$4='Data entry'!$R25</xm:f>
            <x14:dxf>
              <fill>
                <patternFill>
                  <bgColor rgb="FFFFFF00"/>
                </patternFill>
              </fill>
            </x14:dxf>
          </x14:cfRule>
          <xm:sqref>AN62:BB62</xm:sqref>
        </x14:conditionalFormatting>
        <x14:conditionalFormatting xmlns:xm="http://schemas.microsoft.com/office/excel/2006/main">
          <x14:cfRule type="expression" priority="4692991" id="{4FDC32D3-C1F5-455D-9AA4-A03359B72526}">
            <xm:f>$BC$4='Data entry'!$R25</xm:f>
            <x14:dxf>
              <fill>
                <patternFill>
                  <bgColor rgb="FFFF0000"/>
                </patternFill>
              </fill>
            </x14:dxf>
          </x14:cfRule>
          <xm:sqref>BA63:BM63</xm:sqref>
        </x14:conditionalFormatting>
        <x14:conditionalFormatting xmlns:xm="http://schemas.microsoft.com/office/excel/2006/main">
          <x14:cfRule type="expression" priority="4692992" id="{5F0D0C60-B233-4C56-B05D-98C99990877F}">
            <xm:f>$BC$4='Data entry'!$R25</xm:f>
            <x14:dxf>
              <fill>
                <patternFill>
                  <bgColor rgb="FFFFFF00"/>
                </patternFill>
              </fill>
            </x14:dxf>
          </x14:cfRule>
          <xm:sqref>AO62:BC62</xm:sqref>
        </x14:conditionalFormatting>
        <x14:conditionalFormatting xmlns:xm="http://schemas.microsoft.com/office/excel/2006/main">
          <x14:cfRule type="expression" priority="4692993" id="{9EBCB60F-8135-43B6-A0F3-548D4092CC98}">
            <xm:f>$BD$4='Data entry'!$R25</xm:f>
            <x14:dxf>
              <fill>
                <patternFill>
                  <bgColor rgb="FFFF0000"/>
                </patternFill>
              </fill>
            </x14:dxf>
          </x14:cfRule>
          <xm:sqref>BB63:BN63</xm:sqref>
        </x14:conditionalFormatting>
        <x14:conditionalFormatting xmlns:xm="http://schemas.microsoft.com/office/excel/2006/main">
          <x14:cfRule type="expression" priority="4692994" id="{961AF346-4A73-41ED-9A8D-27D431B09C05}">
            <xm:f>$BD$4='Data entry'!$R25</xm:f>
            <x14:dxf>
              <fill>
                <patternFill>
                  <bgColor rgb="FFFFFF00"/>
                </patternFill>
              </fill>
            </x14:dxf>
          </x14:cfRule>
          <xm:sqref>AP62:BD62</xm:sqref>
        </x14:conditionalFormatting>
        <x14:conditionalFormatting xmlns:xm="http://schemas.microsoft.com/office/excel/2006/main">
          <x14:cfRule type="expression" priority="4692995" id="{5A887026-27CD-4F8C-8BA6-1E92704C1CA6}">
            <xm:f>$BE$4='Data entry'!$R25</xm:f>
            <x14:dxf>
              <fill>
                <patternFill>
                  <bgColor rgb="FFFF0000"/>
                </patternFill>
              </fill>
            </x14:dxf>
          </x14:cfRule>
          <xm:sqref>BC63:BO63</xm:sqref>
        </x14:conditionalFormatting>
        <x14:conditionalFormatting xmlns:xm="http://schemas.microsoft.com/office/excel/2006/main">
          <x14:cfRule type="expression" priority="4692996" id="{7F46217B-A1E9-4515-B31E-E756FCD7C6D9}">
            <xm:f>$BE$4='Data entry'!$R25</xm:f>
            <x14:dxf>
              <fill>
                <patternFill>
                  <bgColor rgb="FFFFFF00"/>
                </patternFill>
              </fill>
            </x14:dxf>
          </x14:cfRule>
          <xm:sqref>AP62:BE62</xm:sqref>
        </x14:conditionalFormatting>
        <x14:conditionalFormatting xmlns:xm="http://schemas.microsoft.com/office/excel/2006/main">
          <x14:cfRule type="expression" priority="4692997" id="{F4D9285C-8CA0-4EF1-943E-6A462D47CC77}">
            <xm:f>$BF$4='Data entry'!$R25</xm:f>
            <x14:dxf>
              <fill>
                <patternFill>
                  <bgColor rgb="FFFF0000"/>
                </patternFill>
              </fill>
            </x14:dxf>
          </x14:cfRule>
          <xm:sqref>BD63:BP63</xm:sqref>
        </x14:conditionalFormatting>
        <x14:conditionalFormatting xmlns:xm="http://schemas.microsoft.com/office/excel/2006/main">
          <x14:cfRule type="expression" priority="4692998" id="{B9E4407D-651D-4DC0-9D61-3271D62A65E9}">
            <xm:f>$BF$4='Data entry'!$R25</xm:f>
            <x14:dxf>
              <fill>
                <patternFill>
                  <bgColor rgb="FFFFFF00"/>
                </patternFill>
              </fill>
            </x14:dxf>
          </x14:cfRule>
          <xm:sqref>AR62:BF62</xm:sqref>
        </x14:conditionalFormatting>
        <x14:conditionalFormatting xmlns:xm="http://schemas.microsoft.com/office/excel/2006/main">
          <x14:cfRule type="expression" priority="4692999" id="{4CDC062F-DDFF-4556-B941-08F919727F69}">
            <xm:f>$BG$4='Data entry'!$R25</xm:f>
            <x14:dxf>
              <fill>
                <patternFill>
                  <bgColor rgb="FFFF0000"/>
                </patternFill>
              </fill>
            </x14:dxf>
          </x14:cfRule>
          <xm:sqref>BE63:BQ63</xm:sqref>
        </x14:conditionalFormatting>
        <x14:conditionalFormatting xmlns:xm="http://schemas.microsoft.com/office/excel/2006/main">
          <x14:cfRule type="expression" priority="4693000" id="{789184FA-9055-433B-8A1B-92C7ED59E81F}">
            <xm:f>$BG$4='Data entry'!$R25</xm:f>
            <x14:dxf>
              <fill>
                <patternFill>
                  <bgColor rgb="FFFFFF00"/>
                </patternFill>
              </fill>
            </x14:dxf>
          </x14:cfRule>
          <xm:sqref>AS62:BG62</xm:sqref>
        </x14:conditionalFormatting>
        <x14:conditionalFormatting xmlns:xm="http://schemas.microsoft.com/office/excel/2006/main">
          <x14:cfRule type="expression" priority="4693001" id="{58651E5C-09C9-46C1-B95C-E8A578A49E15}">
            <xm:f>$BH$4='Data entry'!$R25</xm:f>
            <x14:dxf>
              <fill>
                <patternFill>
                  <bgColor rgb="FFFFFF00"/>
                </patternFill>
              </fill>
            </x14:dxf>
          </x14:cfRule>
          <xm:sqref>AT62:BH62</xm:sqref>
        </x14:conditionalFormatting>
        <x14:conditionalFormatting xmlns:xm="http://schemas.microsoft.com/office/excel/2006/main">
          <x14:cfRule type="expression" priority="4693002" id="{97B30B86-8311-4DC0-A533-8C0D53F37839}">
            <xm:f>$BH$4='Data entry'!$R25</xm:f>
            <x14:dxf>
              <fill>
                <patternFill>
                  <bgColor rgb="FFFF0000"/>
                </patternFill>
              </fill>
            </x14:dxf>
          </x14:cfRule>
          <xm:sqref>BF63:BR63</xm:sqref>
        </x14:conditionalFormatting>
        <x14:conditionalFormatting xmlns:xm="http://schemas.microsoft.com/office/excel/2006/main">
          <x14:cfRule type="expression" priority="4693003" id="{78344C0C-5AEA-40B1-A20C-6D77DF58E1F5}">
            <xm:f>$BI$4='Data entry'!$R25</xm:f>
            <x14:dxf>
              <fill>
                <patternFill>
                  <bgColor rgb="FFFFFF00"/>
                </patternFill>
              </fill>
            </x14:dxf>
          </x14:cfRule>
          <xm:sqref>AU62:BI62</xm:sqref>
        </x14:conditionalFormatting>
        <x14:conditionalFormatting xmlns:xm="http://schemas.microsoft.com/office/excel/2006/main">
          <x14:cfRule type="expression" priority="4693004" id="{A9CE044F-482E-4F25-B28F-89ACC58502B1}">
            <xm:f>$BI$4='Data entry'!$R25</xm:f>
            <x14:dxf>
              <fill>
                <patternFill>
                  <bgColor rgb="FFFF0000"/>
                </patternFill>
              </fill>
            </x14:dxf>
          </x14:cfRule>
          <xm:sqref>BG63:BS63</xm:sqref>
        </x14:conditionalFormatting>
        <x14:conditionalFormatting xmlns:xm="http://schemas.microsoft.com/office/excel/2006/main">
          <x14:cfRule type="expression" priority="4693005" id="{F63BE0EB-3C71-4456-BEF0-11180AB7A8BB}">
            <xm:f>$BJ$4='Data entry'!$R25</xm:f>
            <x14:dxf>
              <fill>
                <patternFill>
                  <bgColor rgb="FFFFFF00"/>
                </patternFill>
              </fill>
            </x14:dxf>
          </x14:cfRule>
          <xm:sqref>AV62:BJ62</xm:sqref>
        </x14:conditionalFormatting>
        <x14:conditionalFormatting xmlns:xm="http://schemas.microsoft.com/office/excel/2006/main">
          <x14:cfRule type="expression" priority="4693006" id="{478A5DCB-1DAA-4497-A6CC-B4F01FB96D10}">
            <xm:f>$BJ$4='Data entry'!$R25</xm:f>
            <x14:dxf>
              <fill>
                <patternFill>
                  <bgColor rgb="FFFF0000"/>
                </patternFill>
              </fill>
            </x14:dxf>
          </x14:cfRule>
          <xm:sqref>BH63:BT63</xm:sqref>
        </x14:conditionalFormatting>
        <x14:conditionalFormatting xmlns:xm="http://schemas.microsoft.com/office/excel/2006/main">
          <x14:cfRule type="expression" priority="4693007" id="{CDE4AD5B-65A6-4FA4-9EC0-8D05F22312A9}">
            <xm:f>$BK$4='Data entry'!$R25</xm:f>
            <x14:dxf>
              <fill>
                <patternFill>
                  <bgColor rgb="FFFF0000"/>
                </patternFill>
              </fill>
            </x14:dxf>
          </x14:cfRule>
          <xm:sqref>BI63:BU63</xm:sqref>
        </x14:conditionalFormatting>
        <x14:conditionalFormatting xmlns:xm="http://schemas.microsoft.com/office/excel/2006/main">
          <x14:cfRule type="expression" priority="4693008" id="{AB32E790-6CD8-4D11-9A69-57D785FE4BBC}">
            <xm:f>$BK$4='Data entry'!$R25</xm:f>
            <x14:dxf>
              <fill>
                <patternFill>
                  <bgColor rgb="FFFFFF00"/>
                </patternFill>
              </fill>
            </x14:dxf>
          </x14:cfRule>
          <xm:sqref>AW62:BK62</xm:sqref>
        </x14:conditionalFormatting>
        <x14:conditionalFormatting xmlns:xm="http://schemas.microsoft.com/office/excel/2006/main">
          <x14:cfRule type="expression" priority="4693009" id="{99810EB9-805C-43D8-852A-EEECE7874CDB}">
            <xm:f>$BL$4='Data entry'!$R25</xm:f>
            <x14:dxf>
              <fill>
                <patternFill>
                  <bgColor rgb="FFFF0000"/>
                </patternFill>
              </fill>
            </x14:dxf>
          </x14:cfRule>
          <xm:sqref>BJ63:BV63</xm:sqref>
        </x14:conditionalFormatting>
        <x14:conditionalFormatting xmlns:xm="http://schemas.microsoft.com/office/excel/2006/main">
          <x14:cfRule type="expression" priority="4693010" id="{BF5F5475-4E46-479C-97A6-D5175F5D1803}">
            <xm:f>$BL$4='Data entry'!$R25</xm:f>
            <x14:dxf>
              <fill>
                <patternFill>
                  <bgColor rgb="FFFFFF00"/>
                </patternFill>
              </fill>
            </x14:dxf>
          </x14:cfRule>
          <xm:sqref>AX62:BL62</xm:sqref>
        </x14:conditionalFormatting>
        <x14:conditionalFormatting xmlns:xm="http://schemas.microsoft.com/office/excel/2006/main">
          <x14:cfRule type="expression" priority="4693011" id="{B86FDF2F-16C9-46B1-847E-7EA1A8A34B9D}">
            <xm:f>$BM$4='Data entry'!$R25</xm:f>
            <x14:dxf>
              <fill>
                <patternFill>
                  <bgColor rgb="FFFF0000"/>
                </patternFill>
              </fill>
            </x14:dxf>
          </x14:cfRule>
          <xm:sqref>BK63:BW63</xm:sqref>
        </x14:conditionalFormatting>
        <x14:conditionalFormatting xmlns:xm="http://schemas.microsoft.com/office/excel/2006/main">
          <x14:cfRule type="expression" priority="4693012" id="{72FD189F-4CED-400D-9FEF-21A328970A4D}">
            <xm:f>$BM$4='Data entry'!$R25</xm:f>
            <x14:dxf>
              <fill>
                <patternFill>
                  <bgColor rgb="FFFFFF00"/>
                </patternFill>
              </fill>
            </x14:dxf>
          </x14:cfRule>
          <xm:sqref>AY62:BM62</xm:sqref>
        </x14:conditionalFormatting>
        <x14:conditionalFormatting xmlns:xm="http://schemas.microsoft.com/office/excel/2006/main">
          <x14:cfRule type="expression" priority="4693013" id="{BBBBF859-D5A7-4F55-BFBF-8A77E3357590}">
            <xm:f>$BN$4='Data entry'!$R25</xm:f>
            <x14:dxf>
              <fill>
                <patternFill>
                  <bgColor rgb="FFFF0000"/>
                </patternFill>
              </fill>
            </x14:dxf>
          </x14:cfRule>
          <xm:sqref>BL63:BX63</xm:sqref>
        </x14:conditionalFormatting>
        <x14:conditionalFormatting xmlns:xm="http://schemas.microsoft.com/office/excel/2006/main">
          <x14:cfRule type="expression" priority="4693014" id="{50CB1D75-0FD5-4D24-92B1-E8A41DC6575C}">
            <xm:f>$BN$4='Data entry'!$R25</xm:f>
            <x14:dxf>
              <fill>
                <patternFill>
                  <bgColor rgb="FFFFFF00"/>
                </patternFill>
              </fill>
            </x14:dxf>
          </x14:cfRule>
          <xm:sqref>AZ62:BN62</xm:sqref>
        </x14:conditionalFormatting>
        <x14:conditionalFormatting xmlns:xm="http://schemas.microsoft.com/office/excel/2006/main">
          <x14:cfRule type="expression" priority="4693015" id="{9EF3226D-E8FC-496B-A6FF-71776AEA54D1}">
            <xm:f>$BO$4='Data entry'!$R25</xm:f>
            <x14:dxf>
              <fill>
                <patternFill>
                  <bgColor rgb="FFFF0000"/>
                </patternFill>
              </fill>
            </x14:dxf>
          </x14:cfRule>
          <xm:sqref>BM63:BY63</xm:sqref>
        </x14:conditionalFormatting>
        <x14:conditionalFormatting xmlns:xm="http://schemas.microsoft.com/office/excel/2006/main">
          <x14:cfRule type="expression" priority="4693016" id="{3B86C801-ECFE-4D05-8AA5-1581116BAFBC}">
            <xm:f>$BO$4='Data entry'!$R25</xm:f>
            <x14:dxf>
              <fill>
                <patternFill>
                  <bgColor rgb="FFFFFF00"/>
                </patternFill>
              </fill>
            </x14:dxf>
          </x14:cfRule>
          <xm:sqref>BA62:BO62</xm:sqref>
        </x14:conditionalFormatting>
        <x14:conditionalFormatting xmlns:xm="http://schemas.microsoft.com/office/excel/2006/main">
          <x14:cfRule type="expression" priority="4693017" id="{058A23EC-3371-4A02-9F20-1ECA603AC6BC}">
            <xm:f>$BP$4='Data entry'!$R25</xm:f>
            <x14:dxf>
              <fill>
                <patternFill>
                  <bgColor rgb="FFFF0000"/>
                </patternFill>
              </fill>
            </x14:dxf>
          </x14:cfRule>
          <xm:sqref>BN63:BZ63</xm:sqref>
        </x14:conditionalFormatting>
        <x14:conditionalFormatting xmlns:xm="http://schemas.microsoft.com/office/excel/2006/main">
          <x14:cfRule type="expression" priority="4693018" id="{3E711E31-3992-4555-AB22-87133D60CD15}">
            <xm:f>$BP$4='Data entry'!$R25</xm:f>
            <x14:dxf>
              <fill>
                <patternFill>
                  <bgColor rgb="FFFFFF00"/>
                </patternFill>
              </fill>
            </x14:dxf>
          </x14:cfRule>
          <xm:sqref>BB62:BP62</xm:sqref>
        </x14:conditionalFormatting>
        <x14:conditionalFormatting xmlns:xm="http://schemas.microsoft.com/office/excel/2006/main">
          <x14:cfRule type="expression" priority="4693019" id="{23E9F8B9-37D5-4730-9453-6F23E8ECBBE3}">
            <xm:f>$BQ$4='Data entry'!$R25</xm:f>
            <x14:dxf>
              <fill>
                <patternFill>
                  <bgColor rgb="FFFFFF00"/>
                </patternFill>
              </fill>
            </x14:dxf>
          </x14:cfRule>
          <xm:sqref>BC62:BQ62</xm:sqref>
        </x14:conditionalFormatting>
        <x14:conditionalFormatting xmlns:xm="http://schemas.microsoft.com/office/excel/2006/main">
          <x14:cfRule type="expression" priority="4693020" id="{BCFD92F6-AAD3-44FD-BC61-A292A81B883E}">
            <xm:f>$BQ$4='Data entry'!$R25</xm:f>
            <x14:dxf>
              <fill>
                <patternFill>
                  <bgColor rgb="FFFF0000"/>
                </patternFill>
              </fill>
            </x14:dxf>
          </x14:cfRule>
          <xm:sqref>BO63:CA63</xm:sqref>
        </x14:conditionalFormatting>
        <x14:conditionalFormatting xmlns:xm="http://schemas.microsoft.com/office/excel/2006/main">
          <x14:cfRule type="expression" priority="4693021" id="{357D60E5-F356-477E-8020-A18F42C02832}">
            <xm:f>$BR$4='Data entry'!$R25</xm:f>
            <x14:dxf>
              <fill>
                <patternFill>
                  <bgColor rgb="FFFFFF00"/>
                </patternFill>
              </fill>
            </x14:dxf>
          </x14:cfRule>
          <xm:sqref>BD62:BR62</xm:sqref>
        </x14:conditionalFormatting>
        <x14:conditionalFormatting xmlns:xm="http://schemas.microsoft.com/office/excel/2006/main">
          <x14:cfRule type="expression" priority="4693022" id="{DA2B6511-43B3-432D-B6AA-1DB1188B90A6}">
            <xm:f>$BR$4='Data entry'!$R25</xm:f>
            <x14:dxf>
              <fill>
                <patternFill>
                  <bgColor rgb="FFFF0000"/>
                </patternFill>
              </fill>
            </x14:dxf>
          </x14:cfRule>
          <xm:sqref>BP63:CB63</xm:sqref>
        </x14:conditionalFormatting>
        <x14:conditionalFormatting xmlns:xm="http://schemas.microsoft.com/office/excel/2006/main">
          <x14:cfRule type="expression" priority="4693023" id="{0D5F64E4-4136-4BFA-B833-CC8578525D9C}">
            <xm:f>$BS$4='Data entry'!$R25</xm:f>
            <x14:dxf>
              <fill>
                <patternFill>
                  <bgColor rgb="FFFFFF00"/>
                </patternFill>
              </fill>
            </x14:dxf>
          </x14:cfRule>
          <xm:sqref>BE62:BS62</xm:sqref>
        </x14:conditionalFormatting>
        <x14:conditionalFormatting xmlns:xm="http://schemas.microsoft.com/office/excel/2006/main">
          <x14:cfRule type="expression" priority="4693024" id="{AC94D468-F078-4AE2-8771-102996E07B09}">
            <xm:f>$BS$4='Data entry'!$R25</xm:f>
            <x14:dxf>
              <fill>
                <patternFill>
                  <bgColor rgb="FFFF0000"/>
                </patternFill>
              </fill>
            </x14:dxf>
          </x14:cfRule>
          <xm:sqref>BQ63:CC63</xm:sqref>
        </x14:conditionalFormatting>
        <x14:conditionalFormatting xmlns:xm="http://schemas.microsoft.com/office/excel/2006/main">
          <x14:cfRule type="expression" priority="4693025" id="{10E78F76-181E-4F19-9F89-7DD36D3EFE30}">
            <xm:f>$BT$4='Data entry'!$R25</xm:f>
            <x14:dxf>
              <fill>
                <patternFill>
                  <bgColor rgb="FFFFFF00"/>
                </patternFill>
              </fill>
            </x14:dxf>
          </x14:cfRule>
          <xm:sqref>BF62:BT62</xm:sqref>
        </x14:conditionalFormatting>
        <x14:conditionalFormatting xmlns:xm="http://schemas.microsoft.com/office/excel/2006/main">
          <x14:cfRule type="expression" priority="4693026" id="{6A5FADC6-9512-4EFB-90A5-7B5244D10D1F}">
            <xm:f>$BT$4='Data entry'!$R25</xm:f>
            <x14:dxf>
              <fill>
                <patternFill>
                  <bgColor rgb="FFFF0000"/>
                </patternFill>
              </fill>
            </x14:dxf>
          </x14:cfRule>
          <xm:sqref>BR63:CC63</xm:sqref>
        </x14:conditionalFormatting>
        <x14:conditionalFormatting xmlns:xm="http://schemas.microsoft.com/office/excel/2006/main">
          <x14:cfRule type="expression" priority="4693027" id="{A51139D1-8841-4B96-B8CB-DFE3808765CF}">
            <xm:f>$BU$4='Data entry'!$R25</xm:f>
            <x14:dxf>
              <fill>
                <patternFill>
                  <bgColor rgb="FFFFFF00"/>
                </patternFill>
              </fill>
            </x14:dxf>
          </x14:cfRule>
          <xm:sqref>BG62:BU62</xm:sqref>
        </x14:conditionalFormatting>
        <x14:conditionalFormatting xmlns:xm="http://schemas.microsoft.com/office/excel/2006/main">
          <x14:cfRule type="expression" priority="4693028" id="{55CA7258-760F-4BFF-ACB5-A70FEB3E7981}">
            <xm:f>$BU$4='Data entry'!$R25</xm:f>
            <x14:dxf>
              <fill>
                <patternFill>
                  <bgColor rgb="FFFF0000"/>
                </patternFill>
              </fill>
            </x14:dxf>
          </x14:cfRule>
          <xm:sqref>BS63:CC63</xm:sqref>
        </x14:conditionalFormatting>
        <x14:conditionalFormatting xmlns:xm="http://schemas.microsoft.com/office/excel/2006/main">
          <x14:cfRule type="expression" priority="4693029" id="{A922B218-64DB-4CBB-9AB8-FE0EBB44E09E}">
            <xm:f>$BV$4='Data entry'!$R25</xm:f>
            <x14:dxf>
              <fill>
                <patternFill>
                  <bgColor rgb="FFFFFF00"/>
                </patternFill>
              </fill>
            </x14:dxf>
          </x14:cfRule>
          <xm:sqref>BH62:BV62</xm:sqref>
        </x14:conditionalFormatting>
        <x14:conditionalFormatting xmlns:xm="http://schemas.microsoft.com/office/excel/2006/main">
          <x14:cfRule type="expression" priority="4693030" id="{C98E908A-CD31-4778-B41C-7AFB9DBE639A}">
            <xm:f>$BV$4='Data entry'!$R25</xm:f>
            <x14:dxf>
              <fill>
                <patternFill>
                  <bgColor rgb="FFFF0000"/>
                </patternFill>
              </fill>
            </x14:dxf>
          </x14:cfRule>
          <xm:sqref>BT63:CC63</xm:sqref>
        </x14:conditionalFormatting>
        <x14:conditionalFormatting xmlns:xm="http://schemas.microsoft.com/office/excel/2006/main">
          <x14:cfRule type="expression" priority="4693031" id="{465CCCA3-B4DB-4B61-8AC7-8A5E4CEC9E3F}">
            <xm:f>$BW$4='Data entry'!$R25</xm:f>
            <x14:dxf>
              <fill>
                <patternFill>
                  <bgColor rgb="FFFFFF00"/>
                </patternFill>
              </fill>
            </x14:dxf>
          </x14:cfRule>
          <xm:sqref>BI62:BW62</xm:sqref>
        </x14:conditionalFormatting>
        <x14:conditionalFormatting xmlns:xm="http://schemas.microsoft.com/office/excel/2006/main">
          <x14:cfRule type="expression" priority="4693032" id="{37566F97-6D06-400B-A709-FE657B07687F}">
            <xm:f>$BW$4='Data entry'!$R25</xm:f>
            <x14:dxf>
              <fill>
                <patternFill>
                  <bgColor rgb="FFFF0000"/>
                </patternFill>
              </fill>
            </x14:dxf>
          </x14:cfRule>
          <xm:sqref>BU63:CC63</xm:sqref>
        </x14:conditionalFormatting>
        <x14:conditionalFormatting xmlns:xm="http://schemas.microsoft.com/office/excel/2006/main">
          <x14:cfRule type="expression" priority="4693033" id="{D8FBA3AC-5CF0-4E45-97CA-1D4DEE729ADA}">
            <xm:f>$BX$4='Data entry'!$R25</xm:f>
            <x14:dxf>
              <fill>
                <patternFill>
                  <bgColor rgb="FFFFFF00"/>
                </patternFill>
              </fill>
            </x14:dxf>
          </x14:cfRule>
          <xm:sqref>BJ62:BX62</xm:sqref>
        </x14:conditionalFormatting>
        <x14:conditionalFormatting xmlns:xm="http://schemas.microsoft.com/office/excel/2006/main">
          <x14:cfRule type="expression" priority="4693034" id="{E077C84B-A94F-431D-B232-4AFCC7C64F54}">
            <xm:f>$BX$4='Data entry'!$R25</xm:f>
            <x14:dxf>
              <fill>
                <patternFill>
                  <bgColor rgb="FFFF0000"/>
                </patternFill>
              </fill>
            </x14:dxf>
          </x14:cfRule>
          <xm:sqref>BV63:CC63</xm:sqref>
        </x14:conditionalFormatting>
        <x14:conditionalFormatting xmlns:xm="http://schemas.microsoft.com/office/excel/2006/main">
          <x14:cfRule type="expression" priority="4693035" id="{63783BA8-0C97-4A44-86FD-7A2BCF1B9957}">
            <xm:f>$BY$4='Data entry'!$R25</xm:f>
            <x14:dxf>
              <fill>
                <patternFill>
                  <bgColor rgb="FFFFFF00"/>
                </patternFill>
              </fill>
            </x14:dxf>
          </x14:cfRule>
          <xm:sqref>BK62:BY62</xm:sqref>
        </x14:conditionalFormatting>
        <x14:conditionalFormatting xmlns:xm="http://schemas.microsoft.com/office/excel/2006/main">
          <x14:cfRule type="expression" priority="4693036" id="{BB8DB8B4-B71B-46D2-AEE7-346F16103F74}">
            <xm:f>$BY$4='Data entry'!$R25</xm:f>
            <x14:dxf>
              <fill>
                <patternFill>
                  <bgColor rgb="FFFF0000"/>
                </patternFill>
              </fill>
            </x14:dxf>
          </x14:cfRule>
          <xm:sqref>BW63:CC63</xm:sqref>
        </x14:conditionalFormatting>
        <x14:conditionalFormatting xmlns:xm="http://schemas.microsoft.com/office/excel/2006/main">
          <x14:cfRule type="expression" priority="4693037" id="{1B638B98-2B06-4FEB-90C1-446A3E0A3979}">
            <xm:f>$BZ$4='Data entry'!$R25</xm:f>
            <x14:dxf>
              <fill>
                <patternFill>
                  <bgColor rgb="FFFFFF00"/>
                </patternFill>
              </fill>
            </x14:dxf>
          </x14:cfRule>
          <xm:sqref>BL62:BZ62</xm:sqref>
        </x14:conditionalFormatting>
        <x14:conditionalFormatting xmlns:xm="http://schemas.microsoft.com/office/excel/2006/main">
          <x14:cfRule type="expression" priority="4693038" id="{D3A0A2F8-D1B2-4DC5-B2A9-0EF53074E685}">
            <xm:f>$BZ$4='Data entry'!$R25</xm:f>
            <x14:dxf>
              <fill>
                <patternFill>
                  <bgColor rgb="FFFF0000"/>
                </patternFill>
              </fill>
            </x14:dxf>
          </x14:cfRule>
          <xm:sqref>BX63:CC63</xm:sqref>
        </x14:conditionalFormatting>
        <x14:conditionalFormatting xmlns:xm="http://schemas.microsoft.com/office/excel/2006/main">
          <x14:cfRule type="expression" priority="4693039" id="{83F6D018-7D3B-4D33-9998-11572F2F2FF5}">
            <xm:f>$CA$4='Data entry'!$R25</xm:f>
            <x14:dxf>
              <fill>
                <patternFill>
                  <bgColor rgb="FFFFFF00"/>
                </patternFill>
              </fill>
            </x14:dxf>
          </x14:cfRule>
          <xm:sqref>BM62:CA62</xm:sqref>
        </x14:conditionalFormatting>
        <x14:conditionalFormatting xmlns:xm="http://schemas.microsoft.com/office/excel/2006/main">
          <x14:cfRule type="expression" priority="4693040" id="{8E6D0B51-5626-4ED9-9072-C7A2C139704F}">
            <xm:f>$CA$4='Data entry'!$R25</xm:f>
            <x14:dxf>
              <fill>
                <patternFill>
                  <bgColor rgb="FFFF0000"/>
                </patternFill>
              </fill>
            </x14:dxf>
          </x14:cfRule>
          <xm:sqref>BY63:CC63</xm:sqref>
        </x14:conditionalFormatting>
        <x14:conditionalFormatting xmlns:xm="http://schemas.microsoft.com/office/excel/2006/main">
          <x14:cfRule type="expression" priority="4693041" id="{E1886EE4-3BDE-43A9-9F4B-79377FEC37FE}">
            <xm:f>$CB$4='Data entry'!$R25</xm:f>
            <x14:dxf>
              <fill>
                <patternFill>
                  <bgColor rgb="FFFFFF00"/>
                </patternFill>
              </fill>
            </x14:dxf>
          </x14:cfRule>
          <xm:sqref>BN62:CB62</xm:sqref>
        </x14:conditionalFormatting>
        <x14:conditionalFormatting xmlns:xm="http://schemas.microsoft.com/office/excel/2006/main">
          <x14:cfRule type="expression" priority="4693042" id="{ADEF572A-6C18-4602-BB86-01C96D36E07E}">
            <xm:f>$CB$4='Data entry'!$R25</xm:f>
            <x14:dxf>
              <fill>
                <patternFill>
                  <bgColor rgb="FFFF0000"/>
                </patternFill>
              </fill>
            </x14:dxf>
          </x14:cfRule>
          <xm:sqref>BZ63:CC63</xm:sqref>
        </x14:conditionalFormatting>
        <x14:conditionalFormatting xmlns:xm="http://schemas.microsoft.com/office/excel/2006/main">
          <x14:cfRule type="expression" priority="4693043" id="{7984E1C9-E073-4955-8543-62145CB6D008}">
            <xm:f>$CC$4='Data entry'!$R25</xm:f>
            <x14:dxf>
              <fill>
                <patternFill>
                  <bgColor rgb="FFFFFF00"/>
                </patternFill>
              </fill>
            </x14:dxf>
          </x14:cfRule>
          <xm:sqref>BO62:CC62</xm:sqref>
        </x14:conditionalFormatting>
        <x14:conditionalFormatting xmlns:xm="http://schemas.microsoft.com/office/excel/2006/main">
          <x14:cfRule type="expression" priority="4693044" id="{18A957B3-59FA-4698-BA92-2A208FF18E2F}">
            <xm:f>$CC$4='Data entry'!$R25</xm:f>
            <x14:dxf>
              <fill>
                <patternFill>
                  <bgColor rgb="FFFF0000"/>
                </patternFill>
              </fill>
            </x14:dxf>
          </x14:cfRule>
          <xm:sqref>CA63:CC63</xm:sqref>
        </x14:conditionalFormatting>
        <x14:conditionalFormatting xmlns:xm="http://schemas.microsoft.com/office/excel/2006/main">
          <x14:cfRule type="expression" priority="4693131" id="{5B0DB825-B7C2-40AC-B7EF-F267F054CFB9}">
            <xm:f>$U$4='Data entry'!$R26</xm:f>
            <x14:dxf>
              <fill>
                <patternFill>
                  <bgColor rgb="FFFF0000"/>
                </patternFill>
              </fill>
            </x14:dxf>
          </x14:cfRule>
          <xm:sqref>S66:AE66</xm:sqref>
        </x14:conditionalFormatting>
        <x14:conditionalFormatting xmlns:xm="http://schemas.microsoft.com/office/excel/2006/main">
          <x14:cfRule type="expression" priority="4693132" id="{18311200-E2BB-400F-B594-3B9A2C6068C2}">
            <xm:f>$V$4='Data entry'!$R26</xm:f>
            <x14:dxf>
              <fill>
                <patternFill>
                  <bgColor rgb="FFFF0000"/>
                </patternFill>
              </fill>
            </x14:dxf>
          </x14:cfRule>
          <xm:sqref>T66:AF66</xm:sqref>
        </x14:conditionalFormatting>
        <x14:conditionalFormatting xmlns:xm="http://schemas.microsoft.com/office/excel/2006/main">
          <x14:cfRule type="expression" priority="4693133" id="{D6DFB621-1A58-4C59-A987-ECAD0EB2D32B}">
            <xm:f>$V$4='Data entry'!$R26</xm:f>
            <x14:dxf>
              <fill>
                <patternFill>
                  <bgColor rgb="FFFFFF00"/>
                </patternFill>
              </fill>
            </x14:dxf>
          </x14:cfRule>
          <xm:sqref>H65:V65</xm:sqref>
        </x14:conditionalFormatting>
        <x14:conditionalFormatting xmlns:xm="http://schemas.microsoft.com/office/excel/2006/main">
          <x14:cfRule type="expression" priority="4693134" id="{5F87A680-DC5F-433D-A779-B7A534ACCDA9}">
            <xm:f>$W$4='Data entry'!$R26</xm:f>
            <x14:dxf>
              <fill>
                <patternFill>
                  <bgColor rgb="FFFF0000"/>
                </patternFill>
              </fill>
            </x14:dxf>
          </x14:cfRule>
          <xm:sqref>U66:AG66</xm:sqref>
        </x14:conditionalFormatting>
        <x14:conditionalFormatting xmlns:xm="http://schemas.microsoft.com/office/excel/2006/main">
          <x14:cfRule type="expression" priority="4693135" id="{964539FF-A92C-4F68-B268-B7157A32678C}">
            <xm:f>$W$4='Data entry'!$R26</xm:f>
            <x14:dxf>
              <fill>
                <patternFill>
                  <bgColor rgb="FFFFFF00"/>
                </patternFill>
              </fill>
            </x14:dxf>
          </x14:cfRule>
          <xm:sqref>I65:W65</xm:sqref>
        </x14:conditionalFormatting>
        <x14:conditionalFormatting xmlns:xm="http://schemas.microsoft.com/office/excel/2006/main">
          <x14:cfRule type="expression" priority="4693136" id="{46C1533A-F090-4A90-9309-3F59EC3FD3B0}">
            <xm:f>$X$4='Data entry'!$R26</xm:f>
            <x14:dxf>
              <fill>
                <patternFill>
                  <bgColor rgb="FFFF0000"/>
                </patternFill>
              </fill>
            </x14:dxf>
          </x14:cfRule>
          <xm:sqref>V66:AH66</xm:sqref>
        </x14:conditionalFormatting>
        <x14:conditionalFormatting xmlns:xm="http://schemas.microsoft.com/office/excel/2006/main">
          <x14:cfRule type="expression" priority="4693137" id="{7C70E81C-DDD4-4D75-933A-4F6A39893184}">
            <xm:f>$X$4='Data entry'!$R26</xm:f>
            <x14:dxf>
              <fill>
                <patternFill>
                  <bgColor rgb="FFFFFF00"/>
                </patternFill>
              </fill>
            </x14:dxf>
          </x14:cfRule>
          <xm:sqref>J65:X65</xm:sqref>
        </x14:conditionalFormatting>
        <x14:conditionalFormatting xmlns:xm="http://schemas.microsoft.com/office/excel/2006/main">
          <x14:cfRule type="expression" priority="4693138" id="{561AF073-0EF8-4B72-A119-40A639C4359D}">
            <xm:f>$Y$4='Data entry'!$R26</xm:f>
            <x14:dxf>
              <fill>
                <patternFill>
                  <bgColor rgb="FFFF0000"/>
                </patternFill>
              </fill>
            </x14:dxf>
          </x14:cfRule>
          <xm:sqref>W66:AI66</xm:sqref>
        </x14:conditionalFormatting>
        <x14:conditionalFormatting xmlns:xm="http://schemas.microsoft.com/office/excel/2006/main">
          <x14:cfRule type="expression" priority="4693139" id="{F242E808-8F07-4A89-9524-7D4C767CE357}">
            <xm:f>$Y$4='Data entry'!$R26</xm:f>
            <x14:dxf>
              <fill>
                <patternFill>
                  <bgColor rgb="FFFFFF00"/>
                </patternFill>
              </fill>
            </x14:dxf>
          </x14:cfRule>
          <xm:sqref>K65:Y65</xm:sqref>
        </x14:conditionalFormatting>
        <x14:conditionalFormatting xmlns:xm="http://schemas.microsoft.com/office/excel/2006/main">
          <x14:cfRule type="expression" priority="4693140" id="{DD601058-982B-4218-BD9D-64BB823C2633}">
            <xm:f>$Z$4='Data entry'!$R26</xm:f>
            <x14:dxf>
              <fill>
                <patternFill>
                  <bgColor rgb="FFFF0000"/>
                </patternFill>
              </fill>
            </x14:dxf>
          </x14:cfRule>
          <xm:sqref>X66:AJ66</xm:sqref>
        </x14:conditionalFormatting>
        <x14:conditionalFormatting xmlns:xm="http://schemas.microsoft.com/office/excel/2006/main">
          <x14:cfRule type="expression" priority="4693141" id="{C9DB141D-79F6-4093-92A3-7BF7A1622985}">
            <xm:f>$Z$4='Data entry'!$R26</xm:f>
            <x14:dxf>
              <fill>
                <patternFill>
                  <bgColor rgb="FFFFFF00"/>
                </patternFill>
              </fill>
            </x14:dxf>
          </x14:cfRule>
          <xm:sqref>L65:Z65</xm:sqref>
        </x14:conditionalFormatting>
        <x14:conditionalFormatting xmlns:xm="http://schemas.microsoft.com/office/excel/2006/main">
          <x14:cfRule type="expression" priority="4693142" id="{710EB8D3-F5C0-4E3C-8214-2D0C4E26F649}">
            <xm:f>$AA$4='Data entry'!$R26</xm:f>
            <x14:dxf>
              <fill>
                <patternFill>
                  <bgColor rgb="FFFF0000"/>
                </patternFill>
              </fill>
            </x14:dxf>
          </x14:cfRule>
          <xm:sqref>Y66:AK66</xm:sqref>
        </x14:conditionalFormatting>
        <x14:conditionalFormatting xmlns:xm="http://schemas.microsoft.com/office/excel/2006/main">
          <x14:cfRule type="expression" priority="4693143" id="{33825D69-C967-4D27-B395-5D44A3083802}">
            <xm:f>$AA$4='Data entry'!$R26</xm:f>
            <x14:dxf>
              <fill>
                <patternFill>
                  <bgColor rgb="FFFFFF00"/>
                </patternFill>
              </fill>
            </x14:dxf>
          </x14:cfRule>
          <xm:sqref>M65:AA65</xm:sqref>
        </x14:conditionalFormatting>
        <x14:conditionalFormatting xmlns:xm="http://schemas.microsoft.com/office/excel/2006/main">
          <x14:cfRule type="expression" priority="4693144" id="{9811A97D-351B-4D32-8754-AF433277E62B}">
            <xm:f>$AB$4='Data entry'!$R26</xm:f>
            <x14:dxf>
              <fill>
                <patternFill>
                  <bgColor rgb="FFFF0000"/>
                </patternFill>
              </fill>
            </x14:dxf>
          </x14:cfRule>
          <xm:sqref>Z66:AL66</xm:sqref>
        </x14:conditionalFormatting>
        <x14:conditionalFormatting xmlns:xm="http://schemas.microsoft.com/office/excel/2006/main">
          <x14:cfRule type="expression" priority="4693145" id="{6DD3E556-C72E-438B-92DA-3096ED1E4178}">
            <xm:f>$AB$4='Data entry'!$R26</xm:f>
            <x14:dxf>
              <fill>
                <patternFill>
                  <bgColor rgb="FFFFFF00"/>
                </patternFill>
              </fill>
            </x14:dxf>
          </x14:cfRule>
          <xm:sqref>N65:AB65</xm:sqref>
        </x14:conditionalFormatting>
        <x14:conditionalFormatting xmlns:xm="http://schemas.microsoft.com/office/excel/2006/main">
          <x14:cfRule type="expression" priority="4693146" id="{C0DF7A1B-D6BC-4371-BD3A-F0708147FA1C}">
            <xm:f>$AC$4='Data entry'!$R26</xm:f>
            <x14:dxf>
              <fill>
                <patternFill>
                  <bgColor rgb="FFFF0000"/>
                </patternFill>
              </fill>
            </x14:dxf>
          </x14:cfRule>
          <xm:sqref>AA66:AM66</xm:sqref>
        </x14:conditionalFormatting>
        <x14:conditionalFormatting xmlns:xm="http://schemas.microsoft.com/office/excel/2006/main">
          <x14:cfRule type="expression" priority="4693147" id="{DB2E1F48-AF0E-41F9-A976-6B1963CA5711}">
            <xm:f>$AC$4='Data entry'!$R26</xm:f>
            <x14:dxf>
              <fill>
                <patternFill>
                  <bgColor rgb="FFFFFF00"/>
                </patternFill>
              </fill>
            </x14:dxf>
          </x14:cfRule>
          <xm:sqref>O65:AC65</xm:sqref>
        </x14:conditionalFormatting>
        <x14:conditionalFormatting xmlns:xm="http://schemas.microsoft.com/office/excel/2006/main">
          <x14:cfRule type="expression" priority="4693148" id="{89909907-F9A9-4AF9-BC1D-304710A43F50}">
            <xm:f>$AD$4='Data entry'!$R26</xm:f>
            <x14:dxf>
              <fill>
                <patternFill>
                  <bgColor rgb="FFFF0000"/>
                </patternFill>
              </fill>
            </x14:dxf>
          </x14:cfRule>
          <xm:sqref>AB66:AN66</xm:sqref>
        </x14:conditionalFormatting>
        <x14:conditionalFormatting xmlns:xm="http://schemas.microsoft.com/office/excel/2006/main">
          <x14:cfRule type="expression" priority="4693149" id="{729676B7-E331-43A4-ACC9-850DCEE76A0E}">
            <xm:f>$AD$4='Data entry'!$R26</xm:f>
            <x14:dxf>
              <fill>
                <patternFill>
                  <bgColor rgb="FFFFFF00"/>
                </patternFill>
              </fill>
            </x14:dxf>
          </x14:cfRule>
          <xm:sqref>P65:AD65</xm:sqref>
        </x14:conditionalFormatting>
        <x14:conditionalFormatting xmlns:xm="http://schemas.microsoft.com/office/excel/2006/main">
          <x14:cfRule type="expression" priority="4693150" id="{00DA2C55-350E-44AA-ABEA-808FABFDA737}">
            <xm:f>$AE$4='Data entry'!$R26</xm:f>
            <x14:dxf>
              <fill>
                <patternFill>
                  <bgColor rgb="FFFF0000"/>
                </patternFill>
              </fill>
            </x14:dxf>
          </x14:cfRule>
          <xm:sqref>AC66:AO66</xm:sqref>
        </x14:conditionalFormatting>
        <x14:conditionalFormatting xmlns:xm="http://schemas.microsoft.com/office/excel/2006/main">
          <x14:cfRule type="expression" priority="4693151" id="{373C95F1-00C1-45E9-B561-5224945BA4A4}">
            <xm:f>$AE$4='Data entry'!$R26</xm:f>
            <x14:dxf>
              <fill>
                <patternFill>
                  <bgColor rgb="FFFFFF00"/>
                </patternFill>
              </fill>
            </x14:dxf>
          </x14:cfRule>
          <xm:sqref>Q65:AE65</xm:sqref>
        </x14:conditionalFormatting>
        <x14:conditionalFormatting xmlns:xm="http://schemas.microsoft.com/office/excel/2006/main">
          <x14:cfRule type="expression" priority="4693152" id="{65E90E74-6BEF-4B00-BD5E-ECACFEBC225A}">
            <xm:f>$AF$4='Data entry'!$R26</xm:f>
            <x14:dxf>
              <fill>
                <patternFill>
                  <bgColor rgb="FFFF0000"/>
                </patternFill>
              </fill>
            </x14:dxf>
          </x14:cfRule>
          <xm:sqref>AD66:AP66</xm:sqref>
        </x14:conditionalFormatting>
        <x14:conditionalFormatting xmlns:xm="http://schemas.microsoft.com/office/excel/2006/main">
          <x14:cfRule type="expression" priority="4693153" id="{56B519D7-E083-4811-B42B-D6CB10D44BB3}">
            <xm:f>$AF$4='Data entry'!$R26</xm:f>
            <x14:dxf>
              <fill>
                <patternFill>
                  <bgColor rgb="FFFFFF00"/>
                </patternFill>
              </fill>
            </x14:dxf>
          </x14:cfRule>
          <xm:sqref>R65:AF65</xm:sqref>
        </x14:conditionalFormatting>
        <x14:conditionalFormatting xmlns:xm="http://schemas.microsoft.com/office/excel/2006/main">
          <x14:cfRule type="expression" priority="4693154" id="{889682B6-BF9B-414B-86B7-1C802156B058}">
            <xm:f>$AG$4='Data entry'!$R26</xm:f>
            <x14:dxf>
              <fill>
                <patternFill>
                  <bgColor rgb="FFFF0000"/>
                </patternFill>
              </fill>
            </x14:dxf>
          </x14:cfRule>
          <xm:sqref>AE66:AQ66</xm:sqref>
        </x14:conditionalFormatting>
        <x14:conditionalFormatting xmlns:xm="http://schemas.microsoft.com/office/excel/2006/main">
          <x14:cfRule type="expression" priority="4693155" id="{19913D88-1940-4CB0-B29C-D46D60833BD5}">
            <xm:f>$AG$4='Data entry'!$R26</xm:f>
            <x14:dxf>
              <fill>
                <patternFill>
                  <bgColor rgb="FFFFFF00"/>
                </patternFill>
              </fill>
            </x14:dxf>
          </x14:cfRule>
          <xm:sqref>S65:AG65</xm:sqref>
        </x14:conditionalFormatting>
        <x14:conditionalFormatting xmlns:xm="http://schemas.microsoft.com/office/excel/2006/main">
          <x14:cfRule type="expression" priority="4693156" id="{3DD7B9A5-18A3-463F-BAD5-9796FC487328}">
            <xm:f>$AH$4='Data entry'!$R26</xm:f>
            <x14:dxf>
              <fill>
                <patternFill>
                  <bgColor rgb="FFFF0000"/>
                </patternFill>
              </fill>
            </x14:dxf>
          </x14:cfRule>
          <xm:sqref>AF66:AR66</xm:sqref>
        </x14:conditionalFormatting>
        <x14:conditionalFormatting xmlns:xm="http://schemas.microsoft.com/office/excel/2006/main">
          <x14:cfRule type="expression" priority="4693157" id="{31005CF4-5608-496E-91EB-F7F505046C80}">
            <xm:f>$AH$4='Data entry'!$R26</xm:f>
            <x14:dxf>
              <fill>
                <patternFill>
                  <bgColor rgb="FFFFFF00"/>
                </patternFill>
              </fill>
            </x14:dxf>
          </x14:cfRule>
          <xm:sqref>T65:AH65</xm:sqref>
        </x14:conditionalFormatting>
        <x14:conditionalFormatting xmlns:xm="http://schemas.microsoft.com/office/excel/2006/main">
          <x14:cfRule type="expression" priority="4693158" id="{CD14F654-5B7A-444F-8FC1-7DD71E76E475}">
            <xm:f>$AI$4='Data entry'!$R26</xm:f>
            <x14:dxf>
              <fill>
                <patternFill>
                  <bgColor rgb="FFFF0000"/>
                </patternFill>
              </fill>
            </x14:dxf>
          </x14:cfRule>
          <xm:sqref>AG66:AS66</xm:sqref>
        </x14:conditionalFormatting>
        <x14:conditionalFormatting xmlns:xm="http://schemas.microsoft.com/office/excel/2006/main">
          <x14:cfRule type="expression" priority="4693159" id="{0E4E448C-6C46-4285-B877-A61A90294385}">
            <xm:f>$AI$4='Data entry'!$R26</xm:f>
            <x14:dxf>
              <fill>
                <patternFill>
                  <bgColor rgb="FFFFFF00"/>
                </patternFill>
              </fill>
            </x14:dxf>
          </x14:cfRule>
          <xm:sqref>U65:AI65</xm:sqref>
        </x14:conditionalFormatting>
        <x14:conditionalFormatting xmlns:xm="http://schemas.microsoft.com/office/excel/2006/main">
          <x14:cfRule type="expression" priority="4693160" id="{B1C1818F-791C-403D-BE73-6F6E9DC6A16D}">
            <xm:f>$AJ$4='Data entry'!$R26</xm:f>
            <x14:dxf>
              <fill>
                <patternFill>
                  <bgColor rgb="FFFF0000"/>
                </patternFill>
              </fill>
            </x14:dxf>
          </x14:cfRule>
          <xm:sqref>AH66:AT66</xm:sqref>
        </x14:conditionalFormatting>
        <x14:conditionalFormatting xmlns:xm="http://schemas.microsoft.com/office/excel/2006/main">
          <x14:cfRule type="expression" priority="4693161" id="{A1237792-221B-431B-B8A7-E9A64DA46D93}">
            <xm:f>$AJ$4='Data entry'!$R26</xm:f>
            <x14:dxf>
              <fill>
                <patternFill>
                  <bgColor rgb="FFFFFF00"/>
                </patternFill>
              </fill>
            </x14:dxf>
          </x14:cfRule>
          <xm:sqref>V65:AJ65</xm:sqref>
        </x14:conditionalFormatting>
        <x14:conditionalFormatting xmlns:xm="http://schemas.microsoft.com/office/excel/2006/main">
          <x14:cfRule type="expression" priority="4693162" id="{617DC2AF-C7A3-4724-8EA3-17DEFEDC8949}">
            <xm:f>$AK$4='Data entry'!$R26</xm:f>
            <x14:dxf>
              <fill>
                <patternFill>
                  <bgColor rgb="FFFF0000"/>
                </patternFill>
              </fill>
            </x14:dxf>
          </x14:cfRule>
          <xm:sqref>AI66:AU66</xm:sqref>
        </x14:conditionalFormatting>
        <x14:conditionalFormatting xmlns:xm="http://schemas.microsoft.com/office/excel/2006/main">
          <x14:cfRule type="expression" priority="4693163" id="{AA72317D-37B1-48EB-A28B-BF2AC8DC4519}">
            <xm:f>$AK$4='Data entry'!$R26</xm:f>
            <x14:dxf>
              <fill>
                <patternFill>
                  <bgColor rgb="FFFFFF00"/>
                </patternFill>
              </fill>
            </x14:dxf>
          </x14:cfRule>
          <xm:sqref>W65:AK65</xm:sqref>
        </x14:conditionalFormatting>
        <x14:conditionalFormatting xmlns:xm="http://schemas.microsoft.com/office/excel/2006/main">
          <x14:cfRule type="expression" priority="4693164" id="{6CA9FB7A-20EA-4D3A-B74C-A001F4BE810D}">
            <xm:f>$AL$4='Data entry'!$R26</xm:f>
            <x14:dxf>
              <fill>
                <patternFill>
                  <bgColor rgb="FFFF0000"/>
                </patternFill>
              </fill>
            </x14:dxf>
          </x14:cfRule>
          <xm:sqref>AJ66:AV66</xm:sqref>
        </x14:conditionalFormatting>
        <x14:conditionalFormatting xmlns:xm="http://schemas.microsoft.com/office/excel/2006/main">
          <x14:cfRule type="expression" priority="4693165" id="{81A75DAA-573F-4EF3-A640-1B992C18BEA0}">
            <xm:f>$AL$4='Data entry'!$R26</xm:f>
            <x14:dxf>
              <fill>
                <patternFill>
                  <bgColor rgb="FFFFFF00"/>
                </patternFill>
              </fill>
            </x14:dxf>
          </x14:cfRule>
          <xm:sqref>X65:AL65</xm:sqref>
        </x14:conditionalFormatting>
        <x14:conditionalFormatting xmlns:xm="http://schemas.microsoft.com/office/excel/2006/main">
          <x14:cfRule type="expression" priority="4693166" id="{3D44713E-4ABA-4CCD-9DF4-5513A9FB5E1E}">
            <xm:f>$AM$4='Data entry'!$R26</xm:f>
            <x14:dxf>
              <fill>
                <patternFill>
                  <bgColor rgb="FFFF0000"/>
                </patternFill>
              </fill>
            </x14:dxf>
          </x14:cfRule>
          <xm:sqref>AK66:AW66</xm:sqref>
        </x14:conditionalFormatting>
        <x14:conditionalFormatting xmlns:xm="http://schemas.microsoft.com/office/excel/2006/main">
          <x14:cfRule type="expression" priority="4693167" id="{05A26B51-72A7-4423-822F-2BDBC28275D0}">
            <xm:f>$AM$4='Data entry'!$R26</xm:f>
            <x14:dxf>
              <fill>
                <patternFill>
                  <bgColor rgb="FFFFFF00"/>
                </patternFill>
              </fill>
            </x14:dxf>
          </x14:cfRule>
          <xm:sqref>Y65:AM65</xm:sqref>
        </x14:conditionalFormatting>
        <x14:conditionalFormatting xmlns:xm="http://schemas.microsoft.com/office/excel/2006/main">
          <x14:cfRule type="expression" priority="4693168" id="{B8A20675-6230-4694-A7F6-6B3DC7142773}">
            <xm:f>$AN$4='Data entry'!$R26</xm:f>
            <x14:dxf>
              <fill>
                <patternFill>
                  <bgColor rgb="FFFF0000"/>
                </patternFill>
              </fill>
            </x14:dxf>
          </x14:cfRule>
          <xm:sqref>AL66:AX66</xm:sqref>
        </x14:conditionalFormatting>
        <x14:conditionalFormatting xmlns:xm="http://schemas.microsoft.com/office/excel/2006/main">
          <x14:cfRule type="expression" priority="4693169" id="{8421181C-7450-42E9-BC1D-065CCFCA960E}">
            <xm:f>$AN$4='Data entry'!$R26</xm:f>
            <x14:dxf>
              <fill>
                <patternFill>
                  <bgColor rgb="FFFFFF00"/>
                </patternFill>
              </fill>
            </x14:dxf>
          </x14:cfRule>
          <xm:sqref>Z65:AN65</xm:sqref>
        </x14:conditionalFormatting>
        <x14:conditionalFormatting xmlns:xm="http://schemas.microsoft.com/office/excel/2006/main">
          <x14:cfRule type="expression" priority="4693170" id="{067FE4BD-6EF4-4684-B6E0-35AB2F267EE7}">
            <xm:f>$AO$4='Data entry'!$R26</xm:f>
            <x14:dxf>
              <fill>
                <patternFill>
                  <bgColor rgb="FFFF0000"/>
                </patternFill>
              </fill>
            </x14:dxf>
          </x14:cfRule>
          <xm:sqref>AM66:AY66</xm:sqref>
        </x14:conditionalFormatting>
        <x14:conditionalFormatting xmlns:xm="http://schemas.microsoft.com/office/excel/2006/main">
          <x14:cfRule type="expression" priority="4693171" id="{F7653492-88D1-47AC-8BA3-0CCE65C3C2AB}">
            <xm:f>$AO$4='Data entry'!$R26</xm:f>
            <x14:dxf>
              <fill>
                <patternFill>
                  <bgColor rgb="FFFFFF00"/>
                </patternFill>
              </fill>
            </x14:dxf>
          </x14:cfRule>
          <xm:sqref>AA65:AO65</xm:sqref>
        </x14:conditionalFormatting>
        <x14:conditionalFormatting xmlns:xm="http://schemas.microsoft.com/office/excel/2006/main">
          <x14:cfRule type="expression" priority="4693172" id="{207A5E5D-B322-482E-9193-1D7318138358}">
            <xm:f>$AP$4='Data entry'!$R26</xm:f>
            <x14:dxf>
              <fill>
                <patternFill>
                  <bgColor rgb="FFFF0000"/>
                </patternFill>
              </fill>
            </x14:dxf>
          </x14:cfRule>
          <xm:sqref>AN66:AZ66</xm:sqref>
        </x14:conditionalFormatting>
        <x14:conditionalFormatting xmlns:xm="http://schemas.microsoft.com/office/excel/2006/main">
          <x14:cfRule type="expression" priority="4693173" id="{21DA638D-4CA0-4067-BFF1-240CE1A0261B}">
            <xm:f>$AP$4='Data entry'!$R26</xm:f>
            <x14:dxf>
              <fill>
                <patternFill>
                  <bgColor rgb="FFFFFF00"/>
                </patternFill>
              </fill>
            </x14:dxf>
          </x14:cfRule>
          <xm:sqref>AB65:AP65</xm:sqref>
        </x14:conditionalFormatting>
        <x14:conditionalFormatting xmlns:xm="http://schemas.microsoft.com/office/excel/2006/main">
          <x14:cfRule type="expression" priority="4693174" id="{71963D96-A42A-4B90-BFC7-6D83D37766EF}">
            <xm:f>$AQ$4='Data entry'!$R26</xm:f>
            <x14:dxf>
              <fill>
                <patternFill>
                  <bgColor rgb="FFFF0000"/>
                </patternFill>
              </fill>
            </x14:dxf>
          </x14:cfRule>
          <xm:sqref>AO66:BA66</xm:sqref>
        </x14:conditionalFormatting>
        <x14:conditionalFormatting xmlns:xm="http://schemas.microsoft.com/office/excel/2006/main">
          <x14:cfRule type="expression" priority="4693175" id="{74952595-84B6-484F-8FF6-FCC1F337DF4D}">
            <xm:f>$AQ$4='Data entry'!$R26</xm:f>
            <x14:dxf>
              <fill>
                <patternFill>
                  <bgColor rgb="FFFFFF00"/>
                </patternFill>
              </fill>
            </x14:dxf>
          </x14:cfRule>
          <xm:sqref>AC65:AQ65</xm:sqref>
        </x14:conditionalFormatting>
        <x14:conditionalFormatting xmlns:xm="http://schemas.microsoft.com/office/excel/2006/main">
          <x14:cfRule type="expression" priority="4693176" id="{8AC9C4B9-0A34-4BC0-B0F7-CA89434C4911}">
            <xm:f>$P$4='Data entry'!$R26</xm:f>
            <x14:dxf>
              <fill>
                <patternFill>
                  <bgColor rgb="FFFFFF00"/>
                </patternFill>
              </fill>
            </x14:dxf>
          </x14:cfRule>
          <xm:sqref>C65:P65</xm:sqref>
        </x14:conditionalFormatting>
        <x14:conditionalFormatting xmlns:xm="http://schemas.microsoft.com/office/excel/2006/main">
          <x14:cfRule type="expression" priority="4693177" id="{0A726775-ABFD-4F22-967C-1A4D87BA3751}">
            <xm:f>$Q$4='Data entry'!$R26</xm:f>
            <x14:dxf>
              <fill>
                <patternFill>
                  <bgColor rgb="FFFFFF00"/>
                </patternFill>
              </fill>
            </x14:dxf>
          </x14:cfRule>
          <xm:sqref>C65:Q65</xm:sqref>
        </x14:conditionalFormatting>
        <x14:conditionalFormatting xmlns:xm="http://schemas.microsoft.com/office/excel/2006/main">
          <x14:cfRule type="expression" priority="4693178" id="{3A8414BD-262C-43B5-86EE-FA6901D00453}">
            <xm:f>$Q$4='Data entry'!$R26</xm:f>
            <x14:dxf>
              <fill>
                <patternFill>
                  <bgColor rgb="FFFF0000"/>
                </patternFill>
              </fill>
            </x14:dxf>
          </x14:cfRule>
          <xm:sqref>O66:AA66</xm:sqref>
        </x14:conditionalFormatting>
        <x14:conditionalFormatting xmlns:xm="http://schemas.microsoft.com/office/excel/2006/main">
          <x14:cfRule type="expression" priority="4693179" id="{B8B5501D-F3EF-4449-9306-F652960C65F4}">
            <xm:f>$R$4='Data entry'!$R26</xm:f>
            <x14:dxf>
              <fill>
                <patternFill>
                  <bgColor rgb="FFFF0000"/>
                </patternFill>
              </fill>
            </x14:dxf>
          </x14:cfRule>
          <xm:sqref>P66:AB66</xm:sqref>
        </x14:conditionalFormatting>
        <x14:conditionalFormatting xmlns:xm="http://schemas.microsoft.com/office/excel/2006/main">
          <x14:cfRule type="expression" priority="4693180" id="{5D070DEC-B82E-4D87-B907-A3E5AB836991}">
            <xm:f>$R$4='Data entry'!$R26</xm:f>
            <x14:dxf>
              <fill>
                <patternFill>
                  <bgColor rgb="FFFFFF00"/>
                </patternFill>
              </fill>
            </x14:dxf>
          </x14:cfRule>
          <xm:sqref>D65:R65</xm:sqref>
        </x14:conditionalFormatting>
        <x14:conditionalFormatting xmlns:xm="http://schemas.microsoft.com/office/excel/2006/main">
          <x14:cfRule type="expression" priority="4693181" id="{E4D16A10-F818-4664-9FB2-F0E839824D4B}">
            <xm:f>$S$4='Data entry'!$R26</xm:f>
            <x14:dxf>
              <fill>
                <patternFill>
                  <bgColor rgb="FFFF0000"/>
                </patternFill>
              </fill>
            </x14:dxf>
          </x14:cfRule>
          <xm:sqref>Q66:AC66</xm:sqref>
        </x14:conditionalFormatting>
        <x14:conditionalFormatting xmlns:xm="http://schemas.microsoft.com/office/excel/2006/main">
          <x14:cfRule type="expression" priority="4693182" id="{1A9F9911-A3E9-4730-AFBE-AB8C596545CA}">
            <xm:f>$S$4='Data entry'!$R26</xm:f>
            <x14:dxf>
              <fill>
                <patternFill>
                  <bgColor rgb="FFFFFF00"/>
                </patternFill>
              </fill>
            </x14:dxf>
          </x14:cfRule>
          <xm:sqref>E65:S65</xm:sqref>
        </x14:conditionalFormatting>
        <x14:conditionalFormatting xmlns:xm="http://schemas.microsoft.com/office/excel/2006/main">
          <x14:cfRule type="expression" priority="4693183" id="{8BB5CD1B-B2AC-442A-9550-26DE19A62D22}">
            <xm:f>$T$4='Data entry'!$R26</xm:f>
            <x14:dxf>
              <fill>
                <patternFill>
                  <bgColor rgb="FFFF0000"/>
                </patternFill>
              </fill>
            </x14:dxf>
          </x14:cfRule>
          <xm:sqref>R66:AD66</xm:sqref>
        </x14:conditionalFormatting>
        <x14:conditionalFormatting xmlns:xm="http://schemas.microsoft.com/office/excel/2006/main">
          <x14:cfRule type="expression" priority="4693184" id="{E7B59C69-7921-4049-84A1-8B3E5F7B0598}">
            <xm:f>$T$4='Data entry'!$R26</xm:f>
            <x14:dxf>
              <fill>
                <patternFill>
                  <bgColor rgb="FFFFFF00"/>
                </patternFill>
              </fill>
            </x14:dxf>
          </x14:cfRule>
          <xm:sqref>F65:T65</xm:sqref>
        </x14:conditionalFormatting>
        <x14:conditionalFormatting xmlns:xm="http://schemas.microsoft.com/office/excel/2006/main">
          <x14:cfRule type="expression" priority="4693185" id="{238C09E5-7A3D-439D-949F-A7733073F9A2}">
            <xm:f>$U$4='Data entry'!$R26</xm:f>
            <x14:dxf>
              <fill>
                <patternFill>
                  <bgColor rgb="FFFFFF00"/>
                </patternFill>
              </fill>
            </x14:dxf>
          </x14:cfRule>
          <xm:sqref>G65:U65</xm:sqref>
        </x14:conditionalFormatting>
        <x14:conditionalFormatting xmlns:xm="http://schemas.microsoft.com/office/excel/2006/main">
          <x14:cfRule type="expression" priority="4693186" id="{DE4D4432-0A19-452A-AF14-2873FE4DF411}">
            <xm:f>$AR$4='Data entry'!$R26</xm:f>
            <x14:dxf>
              <fill>
                <patternFill>
                  <bgColor rgb="FFFF0000"/>
                </patternFill>
              </fill>
            </x14:dxf>
          </x14:cfRule>
          <xm:sqref>AP66:BB66</xm:sqref>
        </x14:conditionalFormatting>
        <x14:conditionalFormatting xmlns:xm="http://schemas.microsoft.com/office/excel/2006/main">
          <x14:cfRule type="expression" priority="4693187" id="{90D7E1FF-542D-40C8-9BD5-DFEB4CDD256F}">
            <xm:f>$AR$4='Data entry'!$R26</xm:f>
            <x14:dxf>
              <fill>
                <patternFill>
                  <bgColor rgb="FFFFFF00"/>
                </patternFill>
              </fill>
            </x14:dxf>
          </x14:cfRule>
          <xm:sqref>AD65:AR65</xm:sqref>
        </x14:conditionalFormatting>
        <x14:conditionalFormatting xmlns:xm="http://schemas.microsoft.com/office/excel/2006/main">
          <x14:cfRule type="expression" priority="4693188" id="{0EBB5305-4A4A-4205-A1FF-11160070CBC3}">
            <xm:f>$AS$4='Data entry'!$R26</xm:f>
            <x14:dxf>
              <fill>
                <patternFill>
                  <bgColor rgb="FFFF0000"/>
                </patternFill>
              </fill>
            </x14:dxf>
          </x14:cfRule>
          <xm:sqref>AQ66:BC66</xm:sqref>
        </x14:conditionalFormatting>
        <x14:conditionalFormatting xmlns:xm="http://schemas.microsoft.com/office/excel/2006/main">
          <x14:cfRule type="expression" priority="4693189" id="{AC8EB30C-4253-4CE1-820E-1801F6D8D35B}">
            <xm:f>$AS$4='Data entry'!$R26</xm:f>
            <x14:dxf>
              <fill>
                <patternFill>
                  <bgColor rgb="FFFFFF00"/>
                </patternFill>
              </fill>
            </x14:dxf>
          </x14:cfRule>
          <xm:sqref>AE65:AS65</xm:sqref>
        </x14:conditionalFormatting>
        <x14:conditionalFormatting xmlns:xm="http://schemas.microsoft.com/office/excel/2006/main">
          <x14:cfRule type="expression" priority="4693190" id="{E11744C1-7201-4272-A1B0-945490B42425}">
            <xm:f>$AT$4='Data entry'!$R26</xm:f>
            <x14:dxf>
              <fill>
                <patternFill>
                  <bgColor rgb="FFFF0000"/>
                </patternFill>
              </fill>
            </x14:dxf>
          </x14:cfRule>
          <xm:sqref>AR66:BD66</xm:sqref>
        </x14:conditionalFormatting>
        <x14:conditionalFormatting xmlns:xm="http://schemas.microsoft.com/office/excel/2006/main">
          <x14:cfRule type="expression" priority="4693191" id="{5EE2823B-E955-4EA7-B99C-0B1F77B57A69}">
            <xm:f>$AT$4='Data entry'!$R26</xm:f>
            <x14:dxf>
              <fill>
                <patternFill>
                  <bgColor rgb="FFFFFF00"/>
                </patternFill>
              </fill>
            </x14:dxf>
          </x14:cfRule>
          <xm:sqref>AF65:AT65</xm:sqref>
        </x14:conditionalFormatting>
        <x14:conditionalFormatting xmlns:xm="http://schemas.microsoft.com/office/excel/2006/main">
          <x14:cfRule type="expression" priority="4693192" id="{5737DC63-3262-4B34-900C-2AAEB255FCBA}">
            <xm:f>$AU$4='Data entry'!$R26</xm:f>
            <x14:dxf>
              <fill>
                <patternFill>
                  <bgColor rgb="FFFF0000"/>
                </patternFill>
              </fill>
            </x14:dxf>
          </x14:cfRule>
          <xm:sqref>AS66:BE66</xm:sqref>
        </x14:conditionalFormatting>
        <x14:conditionalFormatting xmlns:xm="http://schemas.microsoft.com/office/excel/2006/main">
          <x14:cfRule type="expression" priority="4693193" id="{2B5C1F1B-3C3D-4CA3-BC64-0E98422075B6}">
            <xm:f>$AU$4='Data entry'!$R26</xm:f>
            <x14:dxf>
              <fill>
                <patternFill>
                  <bgColor rgb="FFFFFF00"/>
                </patternFill>
              </fill>
            </x14:dxf>
          </x14:cfRule>
          <xm:sqref>AG65:AU65</xm:sqref>
        </x14:conditionalFormatting>
        <x14:conditionalFormatting xmlns:xm="http://schemas.microsoft.com/office/excel/2006/main">
          <x14:cfRule type="expression" priority="4693194" id="{B87A1285-B003-4855-8F4B-53C391BA10E6}">
            <xm:f>$AV$4='Data entry'!$R26</xm:f>
            <x14:dxf>
              <fill>
                <patternFill>
                  <bgColor rgb="FFFF0000"/>
                </patternFill>
              </fill>
            </x14:dxf>
          </x14:cfRule>
          <xm:sqref>AT66:BF66</xm:sqref>
        </x14:conditionalFormatting>
        <x14:conditionalFormatting xmlns:xm="http://schemas.microsoft.com/office/excel/2006/main">
          <x14:cfRule type="expression" priority="4693195" id="{338EE31C-78DB-4818-B837-0380F9E457FA}">
            <xm:f>$AV$4='Data entry'!$R26</xm:f>
            <x14:dxf>
              <fill>
                <patternFill>
                  <bgColor rgb="FFFFFF00"/>
                </patternFill>
              </fill>
            </x14:dxf>
          </x14:cfRule>
          <xm:sqref>AH65:AV65</xm:sqref>
        </x14:conditionalFormatting>
        <x14:conditionalFormatting xmlns:xm="http://schemas.microsoft.com/office/excel/2006/main">
          <x14:cfRule type="expression" priority="4693196" id="{5C40EA66-2801-4C91-B885-BF6A1ECFC35C}">
            <xm:f>$AW$4='Data entry'!$R26</xm:f>
            <x14:dxf>
              <fill>
                <patternFill>
                  <bgColor rgb="FFFF0000"/>
                </patternFill>
              </fill>
            </x14:dxf>
          </x14:cfRule>
          <xm:sqref>AU66:BG66</xm:sqref>
        </x14:conditionalFormatting>
        <x14:conditionalFormatting xmlns:xm="http://schemas.microsoft.com/office/excel/2006/main">
          <x14:cfRule type="expression" priority="4693197" id="{51BCD5CE-DF86-4C2F-8A81-DDA1EFD6C8F7}">
            <xm:f>$AW$4='Data entry'!$R26</xm:f>
            <x14:dxf>
              <fill>
                <patternFill>
                  <bgColor rgb="FFFFFF00"/>
                </patternFill>
              </fill>
            </x14:dxf>
          </x14:cfRule>
          <xm:sqref>AI65:AW65</xm:sqref>
        </x14:conditionalFormatting>
        <x14:conditionalFormatting xmlns:xm="http://schemas.microsoft.com/office/excel/2006/main">
          <x14:cfRule type="expression" priority="4693198" id="{DC2ED5A0-8917-4877-8CD3-9DF9BE5993C9}">
            <xm:f>$AX$4='Data entry'!$R26</xm:f>
            <x14:dxf>
              <fill>
                <patternFill>
                  <bgColor rgb="FFFF0000"/>
                </patternFill>
              </fill>
            </x14:dxf>
          </x14:cfRule>
          <xm:sqref>AV66:BH66</xm:sqref>
        </x14:conditionalFormatting>
        <x14:conditionalFormatting xmlns:xm="http://schemas.microsoft.com/office/excel/2006/main">
          <x14:cfRule type="expression" priority="4693199" id="{59B31869-20F9-45BD-BC80-0A6C8945CE2C}">
            <xm:f>$AX$4='Data entry'!$R26</xm:f>
            <x14:dxf>
              <fill>
                <patternFill>
                  <bgColor rgb="FFFFFF00"/>
                </patternFill>
              </fill>
            </x14:dxf>
          </x14:cfRule>
          <xm:sqref>AJ65:AX65</xm:sqref>
        </x14:conditionalFormatting>
        <x14:conditionalFormatting xmlns:xm="http://schemas.microsoft.com/office/excel/2006/main">
          <x14:cfRule type="expression" priority="4693200" id="{D4208FA0-4262-4037-934C-6D0742B2AD8E}">
            <xm:f>$AY$4='Data entry'!$R26</xm:f>
            <x14:dxf>
              <fill>
                <patternFill>
                  <bgColor rgb="FFFF0000"/>
                </patternFill>
              </fill>
            </x14:dxf>
          </x14:cfRule>
          <xm:sqref>AW66:BI66</xm:sqref>
        </x14:conditionalFormatting>
        <x14:conditionalFormatting xmlns:xm="http://schemas.microsoft.com/office/excel/2006/main">
          <x14:cfRule type="expression" priority="4693201" id="{04D6E423-18C7-42B2-A67D-F49D8E62B571}">
            <xm:f>$AY$4='Data entry'!$R26</xm:f>
            <x14:dxf>
              <fill>
                <patternFill>
                  <bgColor rgb="FFFFFF00"/>
                </patternFill>
              </fill>
            </x14:dxf>
          </x14:cfRule>
          <xm:sqref>AK65:AY65</xm:sqref>
        </x14:conditionalFormatting>
        <x14:conditionalFormatting xmlns:xm="http://schemas.microsoft.com/office/excel/2006/main">
          <x14:cfRule type="expression" priority="4693202" id="{A931C203-6E4B-4EBD-A2F4-1876881F48D4}">
            <xm:f>$AZ$4='Data entry'!$R26</xm:f>
            <x14:dxf>
              <fill>
                <patternFill>
                  <bgColor rgb="FFFF0000"/>
                </patternFill>
              </fill>
            </x14:dxf>
          </x14:cfRule>
          <xm:sqref>AX66:BJ66</xm:sqref>
        </x14:conditionalFormatting>
        <x14:conditionalFormatting xmlns:xm="http://schemas.microsoft.com/office/excel/2006/main">
          <x14:cfRule type="expression" priority="4693203" id="{092D9100-E652-40FE-8CAA-720DC0681250}">
            <xm:f>$AZ$4='Data entry'!$R26</xm:f>
            <x14:dxf>
              <fill>
                <patternFill>
                  <bgColor rgb="FFFFFF00"/>
                </patternFill>
              </fill>
            </x14:dxf>
          </x14:cfRule>
          <xm:sqref>AL65:AZ65</xm:sqref>
        </x14:conditionalFormatting>
        <x14:conditionalFormatting xmlns:xm="http://schemas.microsoft.com/office/excel/2006/main">
          <x14:cfRule type="expression" priority="4693204" id="{A3C7E6BE-A225-483C-A983-A915DB662C52}">
            <xm:f>$BA$4='Data entry'!$R26</xm:f>
            <x14:dxf>
              <fill>
                <patternFill>
                  <bgColor rgb="FFFF0000"/>
                </patternFill>
              </fill>
            </x14:dxf>
          </x14:cfRule>
          <xm:sqref>AY66:BK66</xm:sqref>
        </x14:conditionalFormatting>
        <x14:conditionalFormatting xmlns:xm="http://schemas.microsoft.com/office/excel/2006/main">
          <x14:cfRule type="expression" priority="4693205" id="{F5CF569A-8AFA-4CFF-8BD3-F04D8927A99F}">
            <xm:f>$BA$4='Data entry'!$R26</xm:f>
            <x14:dxf>
              <fill>
                <patternFill>
                  <bgColor rgb="FFFFFF00"/>
                </patternFill>
              </fill>
            </x14:dxf>
          </x14:cfRule>
          <xm:sqref>AM65:BA65</xm:sqref>
        </x14:conditionalFormatting>
        <x14:conditionalFormatting xmlns:xm="http://schemas.microsoft.com/office/excel/2006/main">
          <x14:cfRule type="expression" priority="4693206" id="{E4DAC94A-7983-4BFB-A87B-45B58561841A}">
            <xm:f>$BB$4='Data entry'!$R26</xm:f>
            <x14:dxf>
              <fill>
                <patternFill>
                  <bgColor rgb="FFFF0000"/>
                </patternFill>
              </fill>
            </x14:dxf>
          </x14:cfRule>
          <xm:sqref>AZ66:BL66</xm:sqref>
        </x14:conditionalFormatting>
        <x14:conditionalFormatting xmlns:xm="http://schemas.microsoft.com/office/excel/2006/main">
          <x14:cfRule type="expression" priority="4693207" id="{E63849C5-F39B-4B0E-8F8A-B532EDF2CBAE}">
            <xm:f>$BB$4='Data entry'!$R26</xm:f>
            <x14:dxf>
              <fill>
                <patternFill>
                  <bgColor rgb="FFFFFF00"/>
                </patternFill>
              </fill>
            </x14:dxf>
          </x14:cfRule>
          <xm:sqref>AN65:BB65</xm:sqref>
        </x14:conditionalFormatting>
        <x14:conditionalFormatting xmlns:xm="http://schemas.microsoft.com/office/excel/2006/main">
          <x14:cfRule type="expression" priority="4693208" id="{4FDC32D3-C1F5-455D-9AA4-A03359B72526}">
            <xm:f>$BC$4='Data entry'!$R26</xm:f>
            <x14:dxf>
              <fill>
                <patternFill>
                  <bgColor rgb="FFFF0000"/>
                </patternFill>
              </fill>
            </x14:dxf>
          </x14:cfRule>
          <xm:sqref>BA66:BM66</xm:sqref>
        </x14:conditionalFormatting>
        <x14:conditionalFormatting xmlns:xm="http://schemas.microsoft.com/office/excel/2006/main">
          <x14:cfRule type="expression" priority="4693209" id="{5F0D0C60-B233-4C56-B05D-98C99990877F}">
            <xm:f>$BC$4='Data entry'!$R26</xm:f>
            <x14:dxf>
              <fill>
                <patternFill>
                  <bgColor rgb="FFFFFF00"/>
                </patternFill>
              </fill>
            </x14:dxf>
          </x14:cfRule>
          <xm:sqref>AO65:BC65</xm:sqref>
        </x14:conditionalFormatting>
        <x14:conditionalFormatting xmlns:xm="http://schemas.microsoft.com/office/excel/2006/main">
          <x14:cfRule type="expression" priority="4693210" id="{9EBCB60F-8135-43B6-A0F3-548D4092CC98}">
            <xm:f>$BD$4='Data entry'!$R26</xm:f>
            <x14:dxf>
              <fill>
                <patternFill>
                  <bgColor rgb="FFFF0000"/>
                </patternFill>
              </fill>
            </x14:dxf>
          </x14:cfRule>
          <xm:sqref>BB66:BN66</xm:sqref>
        </x14:conditionalFormatting>
        <x14:conditionalFormatting xmlns:xm="http://schemas.microsoft.com/office/excel/2006/main">
          <x14:cfRule type="expression" priority="4693211" id="{961AF346-4A73-41ED-9A8D-27D431B09C05}">
            <xm:f>$BD$4='Data entry'!$R26</xm:f>
            <x14:dxf>
              <fill>
                <patternFill>
                  <bgColor rgb="FFFFFF00"/>
                </patternFill>
              </fill>
            </x14:dxf>
          </x14:cfRule>
          <xm:sqref>AP65:BD65</xm:sqref>
        </x14:conditionalFormatting>
        <x14:conditionalFormatting xmlns:xm="http://schemas.microsoft.com/office/excel/2006/main">
          <x14:cfRule type="expression" priority="4693212" id="{5A887026-27CD-4F8C-8BA6-1E92704C1CA6}">
            <xm:f>$BE$4='Data entry'!$R26</xm:f>
            <x14:dxf>
              <fill>
                <patternFill>
                  <bgColor rgb="FFFF0000"/>
                </patternFill>
              </fill>
            </x14:dxf>
          </x14:cfRule>
          <xm:sqref>BC66:BO66</xm:sqref>
        </x14:conditionalFormatting>
        <x14:conditionalFormatting xmlns:xm="http://schemas.microsoft.com/office/excel/2006/main">
          <x14:cfRule type="expression" priority="4693213" id="{7F46217B-A1E9-4515-B31E-E756FCD7C6D9}">
            <xm:f>$BE$4='Data entry'!$R26</xm:f>
            <x14:dxf>
              <fill>
                <patternFill>
                  <bgColor rgb="FFFFFF00"/>
                </patternFill>
              </fill>
            </x14:dxf>
          </x14:cfRule>
          <xm:sqref>AP65:BE65</xm:sqref>
        </x14:conditionalFormatting>
        <x14:conditionalFormatting xmlns:xm="http://schemas.microsoft.com/office/excel/2006/main">
          <x14:cfRule type="expression" priority="4693214" id="{F4D9285C-8CA0-4EF1-943E-6A462D47CC77}">
            <xm:f>$BF$4='Data entry'!$R26</xm:f>
            <x14:dxf>
              <fill>
                <patternFill>
                  <bgColor rgb="FFFF0000"/>
                </patternFill>
              </fill>
            </x14:dxf>
          </x14:cfRule>
          <xm:sqref>BD66:BP66</xm:sqref>
        </x14:conditionalFormatting>
        <x14:conditionalFormatting xmlns:xm="http://schemas.microsoft.com/office/excel/2006/main">
          <x14:cfRule type="expression" priority="4693215" id="{B9E4407D-651D-4DC0-9D61-3271D62A65E9}">
            <xm:f>$BF$4='Data entry'!$R26</xm:f>
            <x14:dxf>
              <fill>
                <patternFill>
                  <bgColor rgb="FFFFFF00"/>
                </patternFill>
              </fill>
            </x14:dxf>
          </x14:cfRule>
          <xm:sqref>AR65:BF65</xm:sqref>
        </x14:conditionalFormatting>
        <x14:conditionalFormatting xmlns:xm="http://schemas.microsoft.com/office/excel/2006/main">
          <x14:cfRule type="expression" priority="4693216" id="{4CDC062F-DDFF-4556-B941-08F919727F69}">
            <xm:f>$BG$4='Data entry'!$R26</xm:f>
            <x14:dxf>
              <fill>
                <patternFill>
                  <bgColor rgb="FFFF0000"/>
                </patternFill>
              </fill>
            </x14:dxf>
          </x14:cfRule>
          <xm:sqref>BE66:BQ66</xm:sqref>
        </x14:conditionalFormatting>
        <x14:conditionalFormatting xmlns:xm="http://schemas.microsoft.com/office/excel/2006/main">
          <x14:cfRule type="expression" priority="4693217" id="{789184FA-9055-433B-8A1B-92C7ED59E81F}">
            <xm:f>$BG$4='Data entry'!$R26</xm:f>
            <x14:dxf>
              <fill>
                <patternFill>
                  <bgColor rgb="FFFFFF00"/>
                </patternFill>
              </fill>
            </x14:dxf>
          </x14:cfRule>
          <xm:sqref>AS65:BG65</xm:sqref>
        </x14:conditionalFormatting>
        <x14:conditionalFormatting xmlns:xm="http://schemas.microsoft.com/office/excel/2006/main">
          <x14:cfRule type="expression" priority="4693218" id="{58651E5C-09C9-46C1-B95C-E8A578A49E15}">
            <xm:f>$BH$4='Data entry'!$R26</xm:f>
            <x14:dxf>
              <fill>
                <patternFill>
                  <bgColor rgb="FFFFFF00"/>
                </patternFill>
              </fill>
            </x14:dxf>
          </x14:cfRule>
          <xm:sqref>AT65:BH65</xm:sqref>
        </x14:conditionalFormatting>
        <x14:conditionalFormatting xmlns:xm="http://schemas.microsoft.com/office/excel/2006/main">
          <x14:cfRule type="expression" priority="4693219" id="{97B30B86-8311-4DC0-A533-8C0D53F37839}">
            <xm:f>$BH$4='Data entry'!$R26</xm:f>
            <x14:dxf>
              <fill>
                <patternFill>
                  <bgColor rgb="FFFF0000"/>
                </patternFill>
              </fill>
            </x14:dxf>
          </x14:cfRule>
          <xm:sqref>BF66:BR66</xm:sqref>
        </x14:conditionalFormatting>
        <x14:conditionalFormatting xmlns:xm="http://schemas.microsoft.com/office/excel/2006/main">
          <x14:cfRule type="expression" priority="4693220" id="{78344C0C-5AEA-40B1-A20C-6D77DF58E1F5}">
            <xm:f>$BI$4='Data entry'!$R26</xm:f>
            <x14:dxf>
              <fill>
                <patternFill>
                  <bgColor rgb="FFFFFF00"/>
                </patternFill>
              </fill>
            </x14:dxf>
          </x14:cfRule>
          <xm:sqref>AU65:BI65</xm:sqref>
        </x14:conditionalFormatting>
        <x14:conditionalFormatting xmlns:xm="http://schemas.microsoft.com/office/excel/2006/main">
          <x14:cfRule type="expression" priority="4693221" id="{A9CE044F-482E-4F25-B28F-89ACC58502B1}">
            <xm:f>$BI$4='Data entry'!$R26</xm:f>
            <x14:dxf>
              <fill>
                <patternFill>
                  <bgColor rgb="FFFF0000"/>
                </patternFill>
              </fill>
            </x14:dxf>
          </x14:cfRule>
          <xm:sqref>BG66:BS66</xm:sqref>
        </x14:conditionalFormatting>
        <x14:conditionalFormatting xmlns:xm="http://schemas.microsoft.com/office/excel/2006/main">
          <x14:cfRule type="expression" priority="4693222" id="{F63BE0EB-3C71-4456-BEF0-11180AB7A8BB}">
            <xm:f>$BJ$4='Data entry'!$R26</xm:f>
            <x14:dxf>
              <fill>
                <patternFill>
                  <bgColor rgb="FFFFFF00"/>
                </patternFill>
              </fill>
            </x14:dxf>
          </x14:cfRule>
          <xm:sqref>AV65:BJ65</xm:sqref>
        </x14:conditionalFormatting>
        <x14:conditionalFormatting xmlns:xm="http://schemas.microsoft.com/office/excel/2006/main">
          <x14:cfRule type="expression" priority="4693223" id="{478A5DCB-1DAA-4497-A6CC-B4F01FB96D10}">
            <xm:f>$BJ$4='Data entry'!$R26</xm:f>
            <x14:dxf>
              <fill>
                <patternFill>
                  <bgColor rgb="FFFF0000"/>
                </patternFill>
              </fill>
            </x14:dxf>
          </x14:cfRule>
          <xm:sqref>BH66:BT66</xm:sqref>
        </x14:conditionalFormatting>
        <x14:conditionalFormatting xmlns:xm="http://schemas.microsoft.com/office/excel/2006/main">
          <x14:cfRule type="expression" priority="4693224" id="{CDE4AD5B-65A6-4FA4-9EC0-8D05F22312A9}">
            <xm:f>$BK$4='Data entry'!$R26</xm:f>
            <x14:dxf>
              <fill>
                <patternFill>
                  <bgColor rgb="FFFF0000"/>
                </patternFill>
              </fill>
            </x14:dxf>
          </x14:cfRule>
          <xm:sqref>BI66:BU66</xm:sqref>
        </x14:conditionalFormatting>
        <x14:conditionalFormatting xmlns:xm="http://schemas.microsoft.com/office/excel/2006/main">
          <x14:cfRule type="expression" priority="4693225" id="{AB32E790-6CD8-4D11-9A69-57D785FE4BBC}">
            <xm:f>$BK$4='Data entry'!$R26</xm:f>
            <x14:dxf>
              <fill>
                <patternFill>
                  <bgColor rgb="FFFFFF00"/>
                </patternFill>
              </fill>
            </x14:dxf>
          </x14:cfRule>
          <xm:sqref>AW65:BK65</xm:sqref>
        </x14:conditionalFormatting>
        <x14:conditionalFormatting xmlns:xm="http://schemas.microsoft.com/office/excel/2006/main">
          <x14:cfRule type="expression" priority="4693226" id="{99810EB9-805C-43D8-852A-EEECE7874CDB}">
            <xm:f>$BL$4='Data entry'!$R26</xm:f>
            <x14:dxf>
              <fill>
                <patternFill>
                  <bgColor rgb="FFFF0000"/>
                </patternFill>
              </fill>
            </x14:dxf>
          </x14:cfRule>
          <xm:sqref>BJ66:BV66</xm:sqref>
        </x14:conditionalFormatting>
        <x14:conditionalFormatting xmlns:xm="http://schemas.microsoft.com/office/excel/2006/main">
          <x14:cfRule type="expression" priority="4693227" id="{BF5F5475-4E46-479C-97A6-D5175F5D1803}">
            <xm:f>$BL$4='Data entry'!$R26</xm:f>
            <x14:dxf>
              <fill>
                <patternFill>
                  <bgColor rgb="FFFFFF00"/>
                </patternFill>
              </fill>
            </x14:dxf>
          </x14:cfRule>
          <xm:sqref>AX65:BL65</xm:sqref>
        </x14:conditionalFormatting>
        <x14:conditionalFormatting xmlns:xm="http://schemas.microsoft.com/office/excel/2006/main">
          <x14:cfRule type="expression" priority="4693228" id="{B86FDF2F-16C9-46B1-847E-7EA1A8A34B9D}">
            <xm:f>$BM$4='Data entry'!$R26</xm:f>
            <x14:dxf>
              <fill>
                <patternFill>
                  <bgColor rgb="FFFF0000"/>
                </patternFill>
              </fill>
            </x14:dxf>
          </x14:cfRule>
          <xm:sqref>BK66:BW66</xm:sqref>
        </x14:conditionalFormatting>
        <x14:conditionalFormatting xmlns:xm="http://schemas.microsoft.com/office/excel/2006/main">
          <x14:cfRule type="expression" priority="4693229" id="{72FD189F-4CED-400D-9FEF-21A328970A4D}">
            <xm:f>$BM$4='Data entry'!$R26</xm:f>
            <x14:dxf>
              <fill>
                <patternFill>
                  <bgColor rgb="FFFFFF00"/>
                </patternFill>
              </fill>
            </x14:dxf>
          </x14:cfRule>
          <xm:sqref>AY65:BM65</xm:sqref>
        </x14:conditionalFormatting>
        <x14:conditionalFormatting xmlns:xm="http://schemas.microsoft.com/office/excel/2006/main">
          <x14:cfRule type="expression" priority="4693230" id="{BBBBF859-D5A7-4F55-BFBF-8A77E3357590}">
            <xm:f>$BN$4='Data entry'!$R26</xm:f>
            <x14:dxf>
              <fill>
                <patternFill>
                  <bgColor rgb="FFFF0000"/>
                </patternFill>
              </fill>
            </x14:dxf>
          </x14:cfRule>
          <xm:sqref>BL66:BX66</xm:sqref>
        </x14:conditionalFormatting>
        <x14:conditionalFormatting xmlns:xm="http://schemas.microsoft.com/office/excel/2006/main">
          <x14:cfRule type="expression" priority="4693231" id="{50CB1D75-0FD5-4D24-92B1-E8A41DC6575C}">
            <xm:f>$BN$4='Data entry'!$R26</xm:f>
            <x14:dxf>
              <fill>
                <patternFill>
                  <bgColor rgb="FFFFFF00"/>
                </patternFill>
              </fill>
            </x14:dxf>
          </x14:cfRule>
          <xm:sqref>AZ65:BN65</xm:sqref>
        </x14:conditionalFormatting>
        <x14:conditionalFormatting xmlns:xm="http://schemas.microsoft.com/office/excel/2006/main">
          <x14:cfRule type="expression" priority="4693232" id="{9EF3226D-E8FC-496B-A6FF-71776AEA54D1}">
            <xm:f>$BO$4='Data entry'!$R26</xm:f>
            <x14:dxf>
              <fill>
                <patternFill>
                  <bgColor rgb="FFFF0000"/>
                </patternFill>
              </fill>
            </x14:dxf>
          </x14:cfRule>
          <xm:sqref>BM66:BY66</xm:sqref>
        </x14:conditionalFormatting>
        <x14:conditionalFormatting xmlns:xm="http://schemas.microsoft.com/office/excel/2006/main">
          <x14:cfRule type="expression" priority="4693233" id="{3B86C801-ECFE-4D05-8AA5-1581116BAFBC}">
            <xm:f>$BO$4='Data entry'!$R26</xm:f>
            <x14:dxf>
              <fill>
                <patternFill>
                  <bgColor rgb="FFFFFF00"/>
                </patternFill>
              </fill>
            </x14:dxf>
          </x14:cfRule>
          <xm:sqref>BA65:BO65</xm:sqref>
        </x14:conditionalFormatting>
        <x14:conditionalFormatting xmlns:xm="http://schemas.microsoft.com/office/excel/2006/main">
          <x14:cfRule type="expression" priority="4693234" id="{058A23EC-3371-4A02-9F20-1ECA603AC6BC}">
            <xm:f>$BP$4='Data entry'!$R26</xm:f>
            <x14:dxf>
              <fill>
                <patternFill>
                  <bgColor rgb="FFFF0000"/>
                </patternFill>
              </fill>
            </x14:dxf>
          </x14:cfRule>
          <xm:sqref>BN66:BZ66</xm:sqref>
        </x14:conditionalFormatting>
        <x14:conditionalFormatting xmlns:xm="http://schemas.microsoft.com/office/excel/2006/main">
          <x14:cfRule type="expression" priority="4693235" id="{3E711E31-3992-4555-AB22-87133D60CD15}">
            <xm:f>$BP$4='Data entry'!$R26</xm:f>
            <x14:dxf>
              <fill>
                <patternFill>
                  <bgColor rgb="FFFFFF00"/>
                </patternFill>
              </fill>
            </x14:dxf>
          </x14:cfRule>
          <xm:sqref>BB65:BP65</xm:sqref>
        </x14:conditionalFormatting>
        <x14:conditionalFormatting xmlns:xm="http://schemas.microsoft.com/office/excel/2006/main">
          <x14:cfRule type="expression" priority="4693236" id="{23E9F8B9-37D5-4730-9453-6F23E8ECBBE3}">
            <xm:f>$BQ$4='Data entry'!$R26</xm:f>
            <x14:dxf>
              <fill>
                <patternFill>
                  <bgColor rgb="FFFFFF00"/>
                </patternFill>
              </fill>
            </x14:dxf>
          </x14:cfRule>
          <xm:sqref>BC65:BQ65</xm:sqref>
        </x14:conditionalFormatting>
        <x14:conditionalFormatting xmlns:xm="http://schemas.microsoft.com/office/excel/2006/main">
          <x14:cfRule type="expression" priority="4693237" id="{BCFD92F6-AAD3-44FD-BC61-A292A81B883E}">
            <xm:f>$BQ$4='Data entry'!$R26</xm:f>
            <x14:dxf>
              <fill>
                <patternFill>
                  <bgColor rgb="FFFF0000"/>
                </patternFill>
              </fill>
            </x14:dxf>
          </x14:cfRule>
          <xm:sqref>BO66:CA66</xm:sqref>
        </x14:conditionalFormatting>
        <x14:conditionalFormatting xmlns:xm="http://schemas.microsoft.com/office/excel/2006/main">
          <x14:cfRule type="expression" priority="4693238" id="{357D60E5-F356-477E-8020-A18F42C02832}">
            <xm:f>$BR$4='Data entry'!$R26</xm:f>
            <x14:dxf>
              <fill>
                <patternFill>
                  <bgColor rgb="FFFFFF00"/>
                </patternFill>
              </fill>
            </x14:dxf>
          </x14:cfRule>
          <xm:sqref>BD65:BR65</xm:sqref>
        </x14:conditionalFormatting>
        <x14:conditionalFormatting xmlns:xm="http://schemas.microsoft.com/office/excel/2006/main">
          <x14:cfRule type="expression" priority="4693239" id="{DA2B6511-43B3-432D-B6AA-1DB1188B90A6}">
            <xm:f>$BR$4='Data entry'!$R26</xm:f>
            <x14:dxf>
              <fill>
                <patternFill>
                  <bgColor rgb="FFFF0000"/>
                </patternFill>
              </fill>
            </x14:dxf>
          </x14:cfRule>
          <xm:sqref>BP66:CB66</xm:sqref>
        </x14:conditionalFormatting>
        <x14:conditionalFormatting xmlns:xm="http://schemas.microsoft.com/office/excel/2006/main">
          <x14:cfRule type="expression" priority="4693240" id="{0D5F64E4-4136-4BFA-B833-CC8578525D9C}">
            <xm:f>$BS$4='Data entry'!$R26</xm:f>
            <x14:dxf>
              <fill>
                <patternFill>
                  <bgColor rgb="FFFFFF00"/>
                </patternFill>
              </fill>
            </x14:dxf>
          </x14:cfRule>
          <xm:sqref>BE65:BS65</xm:sqref>
        </x14:conditionalFormatting>
        <x14:conditionalFormatting xmlns:xm="http://schemas.microsoft.com/office/excel/2006/main">
          <x14:cfRule type="expression" priority="4693241" id="{AC94D468-F078-4AE2-8771-102996E07B09}">
            <xm:f>$BS$4='Data entry'!$R26</xm:f>
            <x14:dxf>
              <fill>
                <patternFill>
                  <bgColor rgb="FFFF0000"/>
                </patternFill>
              </fill>
            </x14:dxf>
          </x14:cfRule>
          <xm:sqref>BQ66:CC66</xm:sqref>
        </x14:conditionalFormatting>
        <x14:conditionalFormatting xmlns:xm="http://schemas.microsoft.com/office/excel/2006/main">
          <x14:cfRule type="expression" priority="4693242" id="{10E78F76-181E-4F19-9F89-7DD36D3EFE30}">
            <xm:f>$BT$4='Data entry'!$R26</xm:f>
            <x14:dxf>
              <fill>
                <patternFill>
                  <bgColor rgb="FFFFFF00"/>
                </patternFill>
              </fill>
            </x14:dxf>
          </x14:cfRule>
          <xm:sqref>BF65:BT65</xm:sqref>
        </x14:conditionalFormatting>
        <x14:conditionalFormatting xmlns:xm="http://schemas.microsoft.com/office/excel/2006/main">
          <x14:cfRule type="expression" priority="4693243" id="{6A5FADC6-9512-4EFB-90A5-7B5244D10D1F}">
            <xm:f>$BT$4='Data entry'!$R26</xm:f>
            <x14:dxf>
              <fill>
                <patternFill>
                  <bgColor rgb="FFFF0000"/>
                </patternFill>
              </fill>
            </x14:dxf>
          </x14:cfRule>
          <xm:sqref>BR66:CC66</xm:sqref>
        </x14:conditionalFormatting>
        <x14:conditionalFormatting xmlns:xm="http://schemas.microsoft.com/office/excel/2006/main">
          <x14:cfRule type="expression" priority="4693244" id="{A51139D1-8841-4B96-B8CB-DFE3808765CF}">
            <xm:f>$BU$4='Data entry'!$R26</xm:f>
            <x14:dxf>
              <fill>
                <patternFill>
                  <bgColor rgb="FFFFFF00"/>
                </patternFill>
              </fill>
            </x14:dxf>
          </x14:cfRule>
          <xm:sqref>BG65:BU65</xm:sqref>
        </x14:conditionalFormatting>
        <x14:conditionalFormatting xmlns:xm="http://schemas.microsoft.com/office/excel/2006/main">
          <x14:cfRule type="expression" priority="4693245" id="{55CA7258-760F-4BFF-ACB5-A70FEB3E7981}">
            <xm:f>$BU$4='Data entry'!$R26</xm:f>
            <x14:dxf>
              <fill>
                <patternFill>
                  <bgColor rgb="FFFF0000"/>
                </patternFill>
              </fill>
            </x14:dxf>
          </x14:cfRule>
          <xm:sqref>BS66:CC66</xm:sqref>
        </x14:conditionalFormatting>
        <x14:conditionalFormatting xmlns:xm="http://schemas.microsoft.com/office/excel/2006/main">
          <x14:cfRule type="expression" priority="4693246" id="{A922B218-64DB-4CBB-9AB8-FE0EBB44E09E}">
            <xm:f>$BV$4='Data entry'!$R26</xm:f>
            <x14:dxf>
              <fill>
                <patternFill>
                  <bgColor rgb="FFFFFF00"/>
                </patternFill>
              </fill>
            </x14:dxf>
          </x14:cfRule>
          <xm:sqref>BH65:BV65</xm:sqref>
        </x14:conditionalFormatting>
        <x14:conditionalFormatting xmlns:xm="http://schemas.microsoft.com/office/excel/2006/main">
          <x14:cfRule type="expression" priority="4693247" id="{C98E908A-CD31-4778-B41C-7AFB9DBE639A}">
            <xm:f>$BV$4='Data entry'!$R26</xm:f>
            <x14:dxf>
              <fill>
                <patternFill>
                  <bgColor rgb="FFFF0000"/>
                </patternFill>
              </fill>
            </x14:dxf>
          </x14:cfRule>
          <xm:sqref>BT66:CC66</xm:sqref>
        </x14:conditionalFormatting>
        <x14:conditionalFormatting xmlns:xm="http://schemas.microsoft.com/office/excel/2006/main">
          <x14:cfRule type="expression" priority="4693248" id="{465CCCA3-B4DB-4B61-8AC7-8A5E4CEC9E3F}">
            <xm:f>$BW$4='Data entry'!$R26</xm:f>
            <x14:dxf>
              <fill>
                <patternFill>
                  <bgColor rgb="FFFFFF00"/>
                </patternFill>
              </fill>
            </x14:dxf>
          </x14:cfRule>
          <xm:sqref>BI65:BW65</xm:sqref>
        </x14:conditionalFormatting>
        <x14:conditionalFormatting xmlns:xm="http://schemas.microsoft.com/office/excel/2006/main">
          <x14:cfRule type="expression" priority="4693249" id="{37566F97-6D06-400B-A709-FE657B07687F}">
            <xm:f>$BW$4='Data entry'!$R26</xm:f>
            <x14:dxf>
              <fill>
                <patternFill>
                  <bgColor rgb="FFFF0000"/>
                </patternFill>
              </fill>
            </x14:dxf>
          </x14:cfRule>
          <xm:sqref>BU66:CC66</xm:sqref>
        </x14:conditionalFormatting>
        <x14:conditionalFormatting xmlns:xm="http://schemas.microsoft.com/office/excel/2006/main">
          <x14:cfRule type="expression" priority="4693250" id="{D8FBA3AC-5CF0-4E45-97CA-1D4DEE729ADA}">
            <xm:f>$BX$4='Data entry'!$R26</xm:f>
            <x14:dxf>
              <fill>
                <patternFill>
                  <bgColor rgb="FFFFFF00"/>
                </patternFill>
              </fill>
            </x14:dxf>
          </x14:cfRule>
          <xm:sqref>BJ65:BX65</xm:sqref>
        </x14:conditionalFormatting>
        <x14:conditionalFormatting xmlns:xm="http://schemas.microsoft.com/office/excel/2006/main">
          <x14:cfRule type="expression" priority="4693251" id="{E077C84B-A94F-431D-B232-4AFCC7C64F54}">
            <xm:f>$BX$4='Data entry'!$R26</xm:f>
            <x14:dxf>
              <fill>
                <patternFill>
                  <bgColor rgb="FFFF0000"/>
                </patternFill>
              </fill>
            </x14:dxf>
          </x14:cfRule>
          <xm:sqref>BV66:CC66</xm:sqref>
        </x14:conditionalFormatting>
        <x14:conditionalFormatting xmlns:xm="http://schemas.microsoft.com/office/excel/2006/main">
          <x14:cfRule type="expression" priority="4693252" id="{63783BA8-0C97-4A44-86FD-7A2BCF1B9957}">
            <xm:f>$BY$4='Data entry'!$R26</xm:f>
            <x14:dxf>
              <fill>
                <patternFill>
                  <bgColor rgb="FFFFFF00"/>
                </patternFill>
              </fill>
            </x14:dxf>
          </x14:cfRule>
          <xm:sqref>BK65:BY65</xm:sqref>
        </x14:conditionalFormatting>
        <x14:conditionalFormatting xmlns:xm="http://schemas.microsoft.com/office/excel/2006/main">
          <x14:cfRule type="expression" priority="4693253" id="{BB8DB8B4-B71B-46D2-AEE7-346F16103F74}">
            <xm:f>$BY$4='Data entry'!$R26</xm:f>
            <x14:dxf>
              <fill>
                <patternFill>
                  <bgColor rgb="FFFF0000"/>
                </patternFill>
              </fill>
            </x14:dxf>
          </x14:cfRule>
          <xm:sqref>BW66:CC66</xm:sqref>
        </x14:conditionalFormatting>
        <x14:conditionalFormatting xmlns:xm="http://schemas.microsoft.com/office/excel/2006/main">
          <x14:cfRule type="expression" priority="4693254" id="{1B638B98-2B06-4FEB-90C1-446A3E0A3979}">
            <xm:f>$BZ$4='Data entry'!$R26</xm:f>
            <x14:dxf>
              <fill>
                <patternFill>
                  <bgColor rgb="FFFFFF00"/>
                </patternFill>
              </fill>
            </x14:dxf>
          </x14:cfRule>
          <xm:sqref>BL65:BZ65</xm:sqref>
        </x14:conditionalFormatting>
        <x14:conditionalFormatting xmlns:xm="http://schemas.microsoft.com/office/excel/2006/main">
          <x14:cfRule type="expression" priority="4693255" id="{D3A0A2F8-D1B2-4DC5-B2A9-0EF53074E685}">
            <xm:f>$BZ$4='Data entry'!$R26</xm:f>
            <x14:dxf>
              <fill>
                <patternFill>
                  <bgColor rgb="FFFF0000"/>
                </patternFill>
              </fill>
            </x14:dxf>
          </x14:cfRule>
          <xm:sqref>BX66:CC66</xm:sqref>
        </x14:conditionalFormatting>
        <x14:conditionalFormatting xmlns:xm="http://schemas.microsoft.com/office/excel/2006/main">
          <x14:cfRule type="expression" priority="4693256" id="{83F6D018-7D3B-4D33-9998-11572F2F2FF5}">
            <xm:f>$CA$4='Data entry'!$R26</xm:f>
            <x14:dxf>
              <fill>
                <patternFill>
                  <bgColor rgb="FFFFFF00"/>
                </patternFill>
              </fill>
            </x14:dxf>
          </x14:cfRule>
          <xm:sqref>BM65:CA65</xm:sqref>
        </x14:conditionalFormatting>
        <x14:conditionalFormatting xmlns:xm="http://schemas.microsoft.com/office/excel/2006/main">
          <x14:cfRule type="expression" priority="4693257" id="{8E6D0B51-5626-4ED9-9072-C7A2C139704F}">
            <xm:f>$CA$4='Data entry'!$R26</xm:f>
            <x14:dxf>
              <fill>
                <patternFill>
                  <bgColor rgb="FFFF0000"/>
                </patternFill>
              </fill>
            </x14:dxf>
          </x14:cfRule>
          <xm:sqref>BY66:CC66</xm:sqref>
        </x14:conditionalFormatting>
        <x14:conditionalFormatting xmlns:xm="http://schemas.microsoft.com/office/excel/2006/main">
          <x14:cfRule type="expression" priority="4693258" id="{E1886EE4-3BDE-43A9-9F4B-79377FEC37FE}">
            <xm:f>$CB$4='Data entry'!$R26</xm:f>
            <x14:dxf>
              <fill>
                <patternFill>
                  <bgColor rgb="FFFFFF00"/>
                </patternFill>
              </fill>
            </x14:dxf>
          </x14:cfRule>
          <xm:sqref>BN65:CB65</xm:sqref>
        </x14:conditionalFormatting>
        <x14:conditionalFormatting xmlns:xm="http://schemas.microsoft.com/office/excel/2006/main">
          <x14:cfRule type="expression" priority="4693259" id="{ADEF572A-6C18-4602-BB86-01C96D36E07E}">
            <xm:f>$CB$4='Data entry'!$R26</xm:f>
            <x14:dxf>
              <fill>
                <patternFill>
                  <bgColor rgb="FFFF0000"/>
                </patternFill>
              </fill>
            </x14:dxf>
          </x14:cfRule>
          <xm:sqref>BZ66:CC66</xm:sqref>
        </x14:conditionalFormatting>
        <x14:conditionalFormatting xmlns:xm="http://schemas.microsoft.com/office/excel/2006/main">
          <x14:cfRule type="expression" priority="4693260" id="{7984E1C9-E073-4955-8543-62145CB6D008}">
            <xm:f>$CC$4='Data entry'!$R26</xm:f>
            <x14:dxf>
              <fill>
                <patternFill>
                  <bgColor rgb="FFFFFF00"/>
                </patternFill>
              </fill>
            </x14:dxf>
          </x14:cfRule>
          <xm:sqref>BO65:CC65</xm:sqref>
        </x14:conditionalFormatting>
        <x14:conditionalFormatting xmlns:xm="http://schemas.microsoft.com/office/excel/2006/main">
          <x14:cfRule type="expression" priority="4693261" id="{18A957B3-59FA-4698-BA92-2A208FF18E2F}">
            <xm:f>$CC$4='Data entry'!$R26</xm:f>
            <x14:dxf>
              <fill>
                <patternFill>
                  <bgColor rgb="FFFF0000"/>
                </patternFill>
              </fill>
            </x14:dxf>
          </x14:cfRule>
          <xm:sqref>CA66:CC66</xm:sqref>
        </x14:conditionalFormatting>
        <x14:conditionalFormatting xmlns:xm="http://schemas.microsoft.com/office/excel/2006/main">
          <x14:cfRule type="expression" priority="4693348" id="{5B0DB825-B7C2-40AC-B7EF-F267F054CFB9}">
            <xm:f>$U$4='Data entry'!$R27</xm:f>
            <x14:dxf>
              <fill>
                <patternFill>
                  <bgColor rgb="FFFF0000"/>
                </patternFill>
              </fill>
            </x14:dxf>
          </x14:cfRule>
          <xm:sqref>S69:AE69</xm:sqref>
        </x14:conditionalFormatting>
        <x14:conditionalFormatting xmlns:xm="http://schemas.microsoft.com/office/excel/2006/main">
          <x14:cfRule type="expression" priority="4693349" id="{18311200-E2BB-400F-B594-3B9A2C6068C2}">
            <xm:f>$V$4='Data entry'!$R27</xm:f>
            <x14:dxf>
              <fill>
                <patternFill>
                  <bgColor rgb="FFFF0000"/>
                </patternFill>
              </fill>
            </x14:dxf>
          </x14:cfRule>
          <xm:sqref>T69:AF69</xm:sqref>
        </x14:conditionalFormatting>
        <x14:conditionalFormatting xmlns:xm="http://schemas.microsoft.com/office/excel/2006/main">
          <x14:cfRule type="expression" priority="4693350" id="{D6DFB621-1A58-4C59-A987-ECAD0EB2D32B}">
            <xm:f>$V$4='Data entry'!$R27</xm:f>
            <x14:dxf>
              <fill>
                <patternFill>
                  <bgColor rgb="FFFFFF00"/>
                </patternFill>
              </fill>
            </x14:dxf>
          </x14:cfRule>
          <xm:sqref>H68:V68</xm:sqref>
        </x14:conditionalFormatting>
        <x14:conditionalFormatting xmlns:xm="http://schemas.microsoft.com/office/excel/2006/main">
          <x14:cfRule type="expression" priority="4693351" id="{5F87A680-DC5F-433D-A779-B7A534ACCDA9}">
            <xm:f>$W$4='Data entry'!$R27</xm:f>
            <x14:dxf>
              <fill>
                <patternFill>
                  <bgColor rgb="FFFF0000"/>
                </patternFill>
              </fill>
            </x14:dxf>
          </x14:cfRule>
          <xm:sqref>U69:AG69</xm:sqref>
        </x14:conditionalFormatting>
        <x14:conditionalFormatting xmlns:xm="http://schemas.microsoft.com/office/excel/2006/main">
          <x14:cfRule type="expression" priority="4693352" id="{964539FF-A92C-4F68-B268-B7157A32678C}">
            <xm:f>$W$4='Data entry'!$R27</xm:f>
            <x14:dxf>
              <fill>
                <patternFill>
                  <bgColor rgb="FFFFFF00"/>
                </patternFill>
              </fill>
            </x14:dxf>
          </x14:cfRule>
          <xm:sqref>I68:W68</xm:sqref>
        </x14:conditionalFormatting>
        <x14:conditionalFormatting xmlns:xm="http://schemas.microsoft.com/office/excel/2006/main">
          <x14:cfRule type="expression" priority="4693353" id="{46C1533A-F090-4A90-9309-3F59EC3FD3B0}">
            <xm:f>$X$4='Data entry'!$R27</xm:f>
            <x14:dxf>
              <fill>
                <patternFill>
                  <bgColor rgb="FFFF0000"/>
                </patternFill>
              </fill>
            </x14:dxf>
          </x14:cfRule>
          <xm:sqref>V69:AH69</xm:sqref>
        </x14:conditionalFormatting>
        <x14:conditionalFormatting xmlns:xm="http://schemas.microsoft.com/office/excel/2006/main">
          <x14:cfRule type="expression" priority="4693354" id="{7C70E81C-DDD4-4D75-933A-4F6A39893184}">
            <xm:f>$X$4='Data entry'!$R27</xm:f>
            <x14:dxf>
              <fill>
                <patternFill>
                  <bgColor rgb="FFFFFF00"/>
                </patternFill>
              </fill>
            </x14:dxf>
          </x14:cfRule>
          <xm:sqref>J68:X68</xm:sqref>
        </x14:conditionalFormatting>
        <x14:conditionalFormatting xmlns:xm="http://schemas.microsoft.com/office/excel/2006/main">
          <x14:cfRule type="expression" priority="4693355" id="{561AF073-0EF8-4B72-A119-40A639C4359D}">
            <xm:f>$Y$4='Data entry'!$R27</xm:f>
            <x14:dxf>
              <fill>
                <patternFill>
                  <bgColor rgb="FFFF0000"/>
                </patternFill>
              </fill>
            </x14:dxf>
          </x14:cfRule>
          <xm:sqref>W69:AI69</xm:sqref>
        </x14:conditionalFormatting>
        <x14:conditionalFormatting xmlns:xm="http://schemas.microsoft.com/office/excel/2006/main">
          <x14:cfRule type="expression" priority="4693356" id="{F242E808-8F07-4A89-9524-7D4C767CE357}">
            <xm:f>$Y$4='Data entry'!$R27</xm:f>
            <x14:dxf>
              <fill>
                <patternFill>
                  <bgColor rgb="FFFFFF00"/>
                </patternFill>
              </fill>
            </x14:dxf>
          </x14:cfRule>
          <xm:sqref>K68:Y68</xm:sqref>
        </x14:conditionalFormatting>
        <x14:conditionalFormatting xmlns:xm="http://schemas.microsoft.com/office/excel/2006/main">
          <x14:cfRule type="expression" priority="4693357" id="{DD601058-982B-4218-BD9D-64BB823C2633}">
            <xm:f>$Z$4='Data entry'!$R27</xm:f>
            <x14:dxf>
              <fill>
                <patternFill>
                  <bgColor rgb="FFFF0000"/>
                </patternFill>
              </fill>
            </x14:dxf>
          </x14:cfRule>
          <xm:sqref>X69:AJ69</xm:sqref>
        </x14:conditionalFormatting>
        <x14:conditionalFormatting xmlns:xm="http://schemas.microsoft.com/office/excel/2006/main">
          <x14:cfRule type="expression" priority="4693358" id="{C9DB141D-79F6-4093-92A3-7BF7A1622985}">
            <xm:f>$Z$4='Data entry'!$R27</xm:f>
            <x14:dxf>
              <fill>
                <patternFill>
                  <bgColor rgb="FFFFFF00"/>
                </patternFill>
              </fill>
            </x14:dxf>
          </x14:cfRule>
          <xm:sqref>L68:Z68</xm:sqref>
        </x14:conditionalFormatting>
        <x14:conditionalFormatting xmlns:xm="http://schemas.microsoft.com/office/excel/2006/main">
          <x14:cfRule type="expression" priority="4693359" id="{710EB8D3-F5C0-4E3C-8214-2D0C4E26F649}">
            <xm:f>$AA$4='Data entry'!$R27</xm:f>
            <x14:dxf>
              <fill>
                <patternFill>
                  <bgColor rgb="FFFF0000"/>
                </patternFill>
              </fill>
            </x14:dxf>
          </x14:cfRule>
          <xm:sqref>Y69:AK69</xm:sqref>
        </x14:conditionalFormatting>
        <x14:conditionalFormatting xmlns:xm="http://schemas.microsoft.com/office/excel/2006/main">
          <x14:cfRule type="expression" priority="4693360" id="{33825D69-C967-4D27-B395-5D44A3083802}">
            <xm:f>$AA$4='Data entry'!$R27</xm:f>
            <x14:dxf>
              <fill>
                <patternFill>
                  <bgColor rgb="FFFFFF00"/>
                </patternFill>
              </fill>
            </x14:dxf>
          </x14:cfRule>
          <xm:sqref>M68:AA68</xm:sqref>
        </x14:conditionalFormatting>
        <x14:conditionalFormatting xmlns:xm="http://schemas.microsoft.com/office/excel/2006/main">
          <x14:cfRule type="expression" priority="4693361" id="{9811A97D-351B-4D32-8754-AF433277E62B}">
            <xm:f>$AB$4='Data entry'!$R27</xm:f>
            <x14:dxf>
              <fill>
                <patternFill>
                  <bgColor rgb="FFFF0000"/>
                </patternFill>
              </fill>
            </x14:dxf>
          </x14:cfRule>
          <xm:sqref>Z69:AL69</xm:sqref>
        </x14:conditionalFormatting>
        <x14:conditionalFormatting xmlns:xm="http://schemas.microsoft.com/office/excel/2006/main">
          <x14:cfRule type="expression" priority="4693362" id="{6DD3E556-C72E-438B-92DA-3096ED1E4178}">
            <xm:f>$AB$4='Data entry'!$R27</xm:f>
            <x14:dxf>
              <fill>
                <patternFill>
                  <bgColor rgb="FFFFFF00"/>
                </patternFill>
              </fill>
            </x14:dxf>
          </x14:cfRule>
          <xm:sqref>N68:AB68</xm:sqref>
        </x14:conditionalFormatting>
        <x14:conditionalFormatting xmlns:xm="http://schemas.microsoft.com/office/excel/2006/main">
          <x14:cfRule type="expression" priority="4693363" id="{C0DF7A1B-D6BC-4371-BD3A-F0708147FA1C}">
            <xm:f>$AC$4='Data entry'!$R27</xm:f>
            <x14:dxf>
              <fill>
                <patternFill>
                  <bgColor rgb="FFFF0000"/>
                </patternFill>
              </fill>
            </x14:dxf>
          </x14:cfRule>
          <xm:sqref>AA69:AM69</xm:sqref>
        </x14:conditionalFormatting>
        <x14:conditionalFormatting xmlns:xm="http://schemas.microsoft.com/office/excel/2006/main">
          <x14:cfRule type="expression" priority="4693364" id="{DB2E1F48-AF0E-41F9-A976-6B1963CA5711}">
            <xm:f>$AC$4='Data entry'!$R27</xm:f>
            <x14:dxf>
              <fill>
                <patternFill>
                  <bgColor rgb="FFFFFF00"/>
                </patternFill>
              </fill>
            </x14:dxf>
          </x14:cfRule>
          <xm:sqref>O68:AC68</xm:sqref>
        </x14:conditionalFormatting>
        <x14:conditionalFormatting xmlns:xm="http://schemas.microsoft.com/office/excel/2006/main">
          <x14:cfRule type="expression" priority="4693365" id="{89909907-F9A9-4AF9-BC1D-304710A43F50}">
            <xm:f>$AD$4='Data entry'!$R27</xm:f>
            <x14:dxf>
              <fill>
                <patternFill>
                  <bgColor rgb="FFFF0000"/>
                </patternFill>
              </fill>
            </x14:dxf>
          </x14:cfRule>
          <xm:sqref>AB69:AN69</xm:sqref>
        </x14:conditionalFormatting>
        <x14:conditionalFormatting xmlns:xm="http://schemas.microsoft.com/office/excel/2006/main">
          <x14:cfRule type="expression" priority="4693366" id="{729676B7-E331-43A4-ACC9-850DCEE76A0E}">
            <xm:f>$AD$4='Data entry'!$R27</xm:f>
            <x14:dxf>
              <fill>
                <patternFill>
                  <bgColor rgb="FFFFFF00"/>
                </patternFill>
              </fill>
            </x14:dxf>
          </x14:cfRule>
          <xm:sqref>P68:AD68</xm:sqref>
        </x14:conditionalFormatting>
        <x14:conditionalFormatting xmlns:xm="http://schemas.microsoft.com/office/excel/2006/main">
          <x14:cfRule type="expression" priority="4693367" id="{00DA2C55-350E-44AA-ABEA-808FABFDA737}">
            <xm:f>$AE$4='Data entry'!$R27</xm:f>
            <x14:dxf>
              <fill>
                <patternFill>
                  <bgColor rgb="FFFF0000"/>
                </patternFill>
              </fill>
            </x14:dxf>
          </x14:cfRule>
          <xm:sqref>AC69:AO69</xm:sqref>
        </x14:conditionalFormatting>
        <x14:conditionalFormatting xmlns:xm="http://schemas.microsoft.com/office/excel/2006/main">
          <x14:cfRule type="expression" priority="4693368" id="{373C95F1-00C1-45E9-B561-5224945BA4A4}">
            <xm:f>$AE$4='Data entry'!$R27</xm:f>
            <x14:dxf>
              <fill>
                <patternFill>
                  <bgColor rgb="FFFFFF00"/>
                </patternFill>
              </fill>
            </x14:dxf>
          </x14:cfRule>
          <xm:sqref>Q68:AE68</xm:sqref>
        </x14:conditionalFormatting>
        <x14:conditionalFormatting xmlns:xm="http://schemas.microsoft.com/office/excel/2006/main">
          <x14:cfRule type="expression" priority="4693369" id="{65E90E74-6BEF-4B00-BD5E-ECACFEBC225A}">
            <xm:f>$AF$4='Data entry'!$R27</xm:f>
            <x14:dxf>
              <fill>
                <patternFill>
                  <bgColor rgb="FFFF0000"/>
                </patternFill>
              </fill>
            </x14:dxf>
          </x14:cfRule>
          <xm:sqref>AD69:AP69</xm:sqref>
        </x14:conditionalFormatting>
        <x14:conditionalFormatting xmlns:xm="http://schemas.microsoft.com/office/excel/2006/main">
          <x14:cfRule type="expression" priority="4693370" id="{56B519D7-E083-4811-B42B-D6CB10D44BB3}">
            <xm:f>$AF$4='Data entry'!$R27</xm:f>
            <x14:dxf>
              <fill>
                <patternFill>
                  <bgColor rgb="FFFFFF00"/>
                </patternFill>
              </fill>
            </x14:dxf>
          </x14:cfRule>
          <xm:sqref>R68:AF68</xm:sqref>
        </x14:conditionalFormatting>
        <x14:conditionalFormatting xmlns:xm="http://schemas.microsoft.com/office/excel/2006/main">
          <x14:cfRule type="expression" priority="4693371" id="{889682B6-BF9B-414B-86B7-1C802156B058}">
            <xm:f>$AG$4='Data entry'!$R27</xm:f>
            <x14:dxf>
              <fill>
                <patternFill>
                  <bgColor rgb="FFFF0000"/>
                </patternFill>
              </fill>
            </x14:dxf>
          </x14:cfRule>
          <xm:sqref>AE69:AQ69</xm:sqref>
        </x14:conditionalFormatting>
        <x14:conditionalFormatting xmlns:xm="http://schemas.microsoft.com/office/excel/2006/main">
          <x14:cfRule type="expression" priority="4693372" id="{19913D88-1940-4CB0-B29C-D46D60833BD5}">
            <xm:f>$AG$4='Data entry'!$R27</xm:f>
            <x14:dxf>
              <fill>
                <patternFill>
                  <bgColor rgb="FFFFFF00"/>
                </patternFill>
              </fill>
            </x14:dxf>
          </x14:cfRule>
          <xm:sqref>S68:AG68</xm:sqref>
        </x14:conditionalFormatting>
        <x14:conditionalFormatting xmlns:xm="http://schemas.microsoft.com/office/excel/2006/main">
          <x14:cfRule type="expression" priority="4693373" id="{3DD7B9A5-18A3-463F-BAD5-9796FC487328}">
            <xm:f>$AH$4='Data entry'!$R27</xm:f>
            <x14:dxf>
              <fill>
                <patternFill>
                  <bgColor rgb="FFFF0000"/>
                </patternFill>
              </fill>
            </x14:dxf>
          </x14:cfRule>
          <xm:sqref>AF69:AR69</xm:sqref>
        </x14:conditionalFormatting>
        <x14:conditionalFormatting xmlns:xm="http://schemas.microsoft.com/office/excel/2006/main">
          <x14:cfRule type="expression" priority="4693374" id="{31005CF4-5608-496E-91EB-F7F505046C80}">
            <xm:f>$AH$4='Data entry'!$R27</xm:f>
            <x14:dxf>
              <fill>
                <patternFill>
                  <bgColor rgb="FFFFFF00"/>
                </patternFill>
              </fill>
            </x14:dxf>
          </x14:cfRule>
          <xm:sqref>T68:AH68</xm:sqref>
        </x14:conditionalFormatting>
        <x14:conditionalFormatting xmlns:xm="http://schemas.microsoft.com/office/excel/2006/main">
          <x14:cfRule type="expression" priority="4693375" id="{CD14F654-5B7A-444F-8FC1-7DD71E76E475}">
            <xm:f>$AI$4='Data entry'!$R27</xm:f>
            <x14:dxf>
              <fill>
                <patternFill>
                  <bgColor rgb="FFFF0000"/>
                </patternFill>
              </fill>
            </x14:dxf>
          </x14:cfRule>
          <xm:sqref>AG69:AS69</xm:sqref>
        </x14:conditionalFormatting>
        <x14:conditionalFormatting xmlns:xm="http://schemas.microsoft.com/office/excel/2006/main">
          <x14:cfRule type="expression" priority="4693376" id="{0E4E448C-6C46-4285-B877-A61A90294385}">
            <xm:f>$AI$4='Data entry'!$R27</xm:f>
            <x14:dxf>
              <fill>
                <patternFill>
                  <bgColor rgb="FFFFFF00"/>
                </patternFill>
              </fill>
            </x14:dxf>
          </x14:cfRule>
          <xm:sqref>U68:AI68</xm:sqref>
        </x14:conditionalFormatting>
        <x14:conditionalFormatting xmlns:xm="http://schemas.microsoft.com/office/excel/2006/main">
          <x14:cfRule type="expression" priority="4693377" id="{B1C1818F-791C-403D-BE73-6F6E9DC6A16D}">
            <xm:f>$AJ$4='Data entry'!$R27</xm:f>
            <x14:dxf>
              <fill>
                <patternFill>
                  <bgColor rgb="FFFF0000"/>
                </patternFill>
              </fill>
            </x14:dxf>
          </x14:cfRule>
          <xm:sqref>AH69:AT69</xm:sqref>
        </x14:conditionalFormatting>
        <x14:conditionalFormatting xmlns:xm="http://schemas.microsoft.com/office/excel/2006/main">
          <x14:cfRule type="expression" priority="4693378" id="{A1237792-221B-431B-B8A7-E9A64DA46D93}">
            <xm:f>$AJ$4='Data entry'!$R27</xm:f>
            <x14:dxf>
              <fill>
                <patternFill>
                  <bgColor rgb="FFFFFF00"/>
                </patternFill>
              </fill>
            </x14:dxf>
          </x14:cfRule>
          <xm:sqref>V68:AJ68</xm:sqref>
        </x14:conditionalFormatting>
        <x14:conditionalFormatting xmlns:xm="http://schemas.microsoft.com/office/excel/2006/main">
          <x14:cfRule type="expression" priority="4693379" id="{617DC2AF-C7A3-4724-8EA3-17DEFEDC8949}">
            <xm:f>$AK$4='Data entry'!$R27</xm:f>
            <x14:dxf>
              <fill>
                <patternFill>
                  <bgColor rgb="FFFF0000"/>
                </patternFill>
              </fill>
            </x14:dxf>
          </x14:cfRule>
          <xm:sqref>AI69:AU69</xm:sqref>
        </x14:conditionalFormatting>
        <x14:conditionalFormatting xmlns:xm="http://schemas.microsoft.com/office/excel/2006/main">
          <x14:cfRule type="expression" priority="4693380" id="{AA72317D-37B1-48EB-A28B-BF2AC8DC4519}">
            <xm:f>$AK$4='Data entry'!$R27</xm:f>
            <x14:dxf>
              <fill>
                <patternFill>
                  <bgColor rgb="FFFFFF00"/>
                </patternFill>
              </fill>
            </x14:dxf>
          </x14:cfRule>
          <xm:sqref>W68:AK68</xm:sqref>
        </x14:conditionalFormatting>
        <x14:conditionalFormatting xmlns:xm="http://schemas.microsoft.com/office/excel/2006/main">
          <x14:cfRule type="expression" priority="4693381" id="{6CA9FB7A-20EA-4D3A-B74C-A001F4BE810D}">
            <xm:f>$AL$4='Data entry'!$R27</xm:f>
            <x14:dxf>
              <fill>
                <patternFill>
                  <bgColor rgb="FFFF0000"/>
                </patternFill>
              </fill>
            </x14:dxf>
          </x14:cfRule>
          <xm:sqref>AJ69:AV69</xm:sqref>
        </x14:conditionalFormatting>
        <x14:conditionalFormatting xmlns:xm="http://schemas.microsoft.com/office/excel/2006/main">
          <x14:cfRule type="expression" priority="4693382" id="{81A75DAA-573F-4EF3-A640-1B992C18BEA0}">
            <xm:f>$AL$4='Data entry'!$R27</xm:f>
            <x14:dxf>
              <fill>
                <patternFill>
                  <bgColor rgb="FFFFFF00"/>
                </patternFill>
              </fill>
            </x14:dxf>
          </x14:cfRule>
          <xm:sqref>X68:AL68</xm:sqref>
        </x14:conditionalFormatting>
        <x14:conditionalFormatting xmlns:xm="http://schemas.microsoft.com/office/excel/2006/main">
          <x14:cfRule type="expression" priority="4693383" id="{3D44713E-4ABA-4CCD-9DF4-5513A9FB5E1E}">
            <xm:f>$AM$4='Data entry'!$R27</xm:f>
            <x14:dxf>
              <fill>
                <patternFill>
                  <bgColor rgb="FFFF0000"/>
                </patternFill>
              </fill>
            </x14:dxf>
          </x14:cfRule>
          <xm:sqref>AK69:AW69</xm:sqref>
        </x14:conditionalFormatting>
        <x14:conditionalFormatting xmlns:xm="http://schemas.microsoft.com/office/excel/2006/main">
          <x14:cfRule type="expression" priority="4693384" id="{05A26B51-72A7-4423-822F-2BDBC28275D0}">
            <xm:f>$AM$4='Data entry'!$R27</xm:f>
            <x14:dxf>
              <fill>
                <patternFill>
                  <bgColor rgb="FFFFFF00"/>
                </patternFill>
              </fill>
            </x14:dxf>
          </x14:cfRule>
          <xm:sqref>Y68:AM68</xm:sqref>
        </x14:conditionalFormatting>
        <x14:conditionalFormatting xmlns:xm="http://schemas.microsoft.com/office/excel/2006/main">
          <x14:cfRule type="expression" priority="4693385" id="{B8A20675-6230-4694-A7F6-6B3DC7142773}">
            <xm:f>$AN$4='Data entry'!$R27</xm:f>
            <x14:dxf>
              <fill>
                <patternFill>
                  <bgColor rgb="FFFF0000"/>
                </patternFill>
              </fill>
            </x14:dxf>
          </x14:cfRule>
          <xm:sqref>AL69:AX69</xm:sqref>
        </x14:conditionalFormatting>
        <x14:conditionalFormatting xmlns:xm="http://schemas.microsoft.com/office/excel/2006/main">
          <x14:cfRule type="expression" priority="4693386" id="{8421181C-7450-42E9-BC1D-065CCFCA960E}">
            <xm:f>$AN$4='Data entry'!$R27</xm:f>
            <x14:dxf>
              <fill>
                <patternFill>
                  <bgColor rgb="FFFFFF00"/>
                </patternFill>
              </fill>
            </x14:dxf>
          </x14:cfRule>
          <xm:sqref>Z68:AN68</xm:sqref>
        </x14:conditionalFormatting>
        <x14:conditionalFormatting xmlns:xm="http://schemas.microsoft.com/office/excel/2006/main">
          <x14:cfRule type="expression" priority="4693387" id="{067FE4BD-6EF4-4684-B6E0-35AB2F267EE7}">
            <xm:f>$AO$4='Data entry'!$R27</xm:f>
            <x14:dxf>
              <fill>
                <patternFill>
                  <bgColor rgb="FFFF0000"/>
                </patternFill>
              </fill>
            </x14:dxf>
          </x14:cfRule>
          <xm:sqref>AM69:AY69</xm:sqref>
        </x14:conditionalFormatting>
        <x14:conditionalFormatting xmlns:xm="http://schemas.microsoft.com/office/excel/2006/main">
          <x14:cfRule type="expression" priority="4693388" id="{F7653492-88D1-47AC-8BA3-0CCE65C3C2AB}">
            <xm:f>$AO$4='Data entry'!$R27</xm:f>
            <x14:dxf>
              <fill>
                <patternFill>
                  <bgColor rgb="FFFFFF00"/>
                </patternFill>
              </fill>
            </x14:dxf>
          </x14:cfRule>
          <xm:sqref>AA68:AO68</xm:sqref>
        </x14:conditionalFormatting>
        <x14:conditionalFormatting xmlns:xm="http://schemas.microsoft.com/office/excel/2006/main">
          <x14:cfRule type="expression" priority="4693389" id="{207A5E5D-B322-482E-9193-1D7318138358}">
            <xm:f>$AP$4='Data entry'!$R27</xm:f>
            <x14:dxf>
              <fill>
                <patternFill>
                  <bgColor rgb="FFFF0000"/>
                </patternFill>
              </fill>
            </x14:dxf>
          </x14:cfRule>
          <xm:sqref>AN69:AZ69</xm:sqref>
        </x14:conditionalFormatting>
        <x14:conditionalFormatting xmlns:xm="http://schemas.microsoft.com/office/excel/2006/main">
          <x14:cfRule type="expression" priority="4693390" id="{21DA638D-4CA0-4067-BFF1-240CE1A0261B}">
            <xm:f>$AP$4='Data entry'!$R27</xm:f>
            <x14:dxf>
              <fill>
                <patternFill>
                  <bgColor rgb="FFFFFF00"/>
                </patternFill>
              </fill>
            </x14:dxf>
          </x14:cfRule>
          <xm:sqref>AB68:AP68</xm:sqref>
        </x14:conditionalFormatting>
        <x14:conditionalFormatting xmlns:xm="http://schemas.microsoft.com/office/excel/2006/main">
          <x14:cfRule type="expression" priority="4693391" id="{71963D96-A42A-4B90-BFC7-6D83D37766EF}">
            <xm:f>$AQ$4='Data entry'!$R27</xm:f>
            <x14:dxf>
              <fill>
                <patternFill>
                  <bgColor rgb="FFFF0000"/>
                </patternFill>
              </fill>
            </x14:dxf>
          </x14:cfRule>
          <xm:sqref>AO69:BA69</xm:sqref>
        </x14:conditionalFormatting>
        <x14:conditionalFormatting xmlns:xm="http://schemas.microsoft.com/office/excel/2006/main">
          <x14:cfRule type="expression" priority="4693392" id="{74952595-84B6-484F-8FF6-FCC1F337DF4D}">
            <xm:f>$AQ$4='Data entry'!$R27</xm:f>
            <x14:dxf>
              <fill>
                <patternFill>
                  <bgColor rgb="FFFFFF00"/>
                </patternFill>
              </fill>
            </x14:dxf>
          </x14:cfRule>
          <xm:sqref>AC68:AQ68</xm:sqref>
        </x14:conditionalFormatting>
        <x14:conditionalFormatting xmlns:xm="http://schemas.microsoft.com/office/excel/2006/main">
          <x14:cfRule type="expression" priority="4693393" id="{8AC9C4B9-0A34-4BC0-B0F7-CA89434C4911}">
            <xm:f>$P$4='Data entry'!$R27</xm:f>
            <x14:dxf>
              <fill>
                <patternFill>
                  <bgColor rgb="FFFFFF00"/>
                </patternFill>
              </fill>
            </x14:dxf>
          </x14:cfRule>
          <xm:sqref>C68:P68</xm:sqref>
        </x14:conditionalFormatting>
        <x14:conditionalFormatting xmlns:xm="http://schemas.microsoft.com/office/excel/2006/main">
          <x14:cfRule type="expression" priority="4693394" id="{0A726775-ABFD-4F22-967C-1A4D87BA3751}">
            <xm:f>$Q$4='Data entry'!$R27</xm:f>
            <x14:dxf>
              <fill>
                <patternFill>
                  <bgColor rgb="FFFFFF00"/>
                </patternFill>
              </fill>
            </x14:dxf>
          </x14:cfRule>
          <xm:sqref>C68:Q68</xm:sqref>
        </x14:conditionalFormatting>
        <x14:conditionalFormatting xmlns:xm="http://schemas.microsoft.com/office/excel/2006/main">
          <x14:cfRule type="expression" priority="4693395" id="{3A8414BD-262C-43B5-86EE-FA6901D00453}">
            <xm:f>$Q$4='Data entry'!$R27</xm:f>
            <x14:dxf>
              <fill>
                <patternFill>
                  <bgColor rgb="FFFF0000"/>
                </patternFill>
              </fill>
            </x14:dxf>
          </x14:cfRule>
          <xm:sqref>O69:AA69</xm:sqref>
        </x14:conditionalFormatting>
        <x14:conditionalFormatting xmlns:xm="http://schemas.microsoft.com/office/excel/2006/main">
          <x14:cfRule type="expression" priority="4693396" id="{B8B5501D-F3EF-4449-9306-F652960C65F4}">
            <xm:f>$R$4='Data entry'!$R27</xm:f>
            <x14:dxf>
              <fill>
                <patternFill>
                  <bgColor rgb="FFFF0000"/>
                </patternFill>
              </fill>
            </x14:dxf>
          </x14:cfRule>
          <xm:sqref>P69:AB69</xm:sqref>
        </x14:conditionalFormatting>
        <x14:conditionalFormatting xmlns:xm="http://schemas.microsoft.com/office/excel/2006/main">
          <x14:cfRule type="expression" priority="4693397" id="{5D070DEC-B82E-4D87-B907-A3E5AB836991}">
            <xm:f>$R$4='Data entry'!$R27</xm:f>
            <x14:dxf>
              <fill>
                <patternFill>
                  <bgColor rgb="FFFFFF00"/>
                </patternFill>
              </fill>
            </x14:dxf>
          </x14:cfRule>
          <xm:sqref>D68:R68</xm:sqref>
        </x14:conditionalFormatting>
        <x14:conditionalFormatting xmlns:xm="http://schemas.microsoft.com/office/excel/2006/main">
          <x14:cfRule type="expression" priority="4693398" id="{E4D16A10-F818-4664-9FB2-F0E839824D4B}">
            <xm:f>$S$4='Data entry'!$R27</xm:f>
            <x14:dxf>
              <fill>
                <patternFill>
                  <bgColor rgb="FFFF0000"/>
                </patternFill>
              </fill>
            </x14:dxf>
          </x14:cfRule>
          <xm:sqref>Q69:AC69</xm:sqref>
        </x14:conditionalFormatting>
        <x14:conditionalFormatting xmlns:xm="http://schemas.microsoft.com/office/excel/2006/main">
          <x14:cfRule type="expression" priority="4693399" id="{1A9F9911-A3E9-4730-AFBE-AB8C596545CA}">
            <xm:f>$S$4='Data entry'!$R27</xm:f>
            <x14:dxf>
              <fill>
                <patternFill>
                  <bgColor rgb="FFFFFF00"/>
                </patternFill>
              </fill>
            </x14:dxf>
          </x14:cfRule>
          <xm:sqref>E68:S68</xm:sqref>
        </x14:conditionalFormatting>
        <x14:conditionalFormatting xmlns:xm="http://schemas.microsoft.com/office/excel/2006/main">
          <x14:cfRule type="expression" priority="4693400" id="{8BB5CD1B-B2AC-442A-9550-26DE19A62D22}">
            <xm:f>$T$4='Data entry'!$R27</xm:f>
            <x14:dxf>
              <fill>
                <patternFill>
                  <bgColor rgb="FFFF0000"/>
                </patternFill>
              </fill>
            </x14:dxf>
          </x14:cfRule>
          <xm:sqref>R69:AD69</xm:sqref>
        </x14:conditionalFormatting>
        <x14:conditionalFormatting xmlns:xm="http://schemas.microsoft.com/office/excel/2006/main">
          <x14:cfRule type="expression" priority="4693401" id="{E7B59C69-7921-4049-84A1-8B3E5F7B0598}">
            <xm:f>$T$4='Data entry'!$R27</xm:f>
            <x14:dxf>
              <fill>
                <patternFill>
                  <bgColor rgb="FFFFFF00"/>
                </patternFill>
              </fill>
            </x14:dxf>
          </x14:cfRule>
          <xm:sqref>F68:T68</xm:sqref>
        </x14:conditionalFormatting>
        <x14:conditionalFormatting xmlns:xm="http://schemas.microsoft.com/office/excel/2006/main">
          <x14:cfRule type="expression" priority="4693402" id="{238C09E5-7A3D-439D-949F-A7733073F9A2}">
            <xm:f>$U$4='Data entry'!$R27</xm:f>
            <x14:dxf>
              <fill>
                <patternFill>
                  <bgColor rgb="FFFFFF00"/>
                </patternFill>
              </fill>
            </x14:dxf>
          </x14:cfRule>
          <xm:sqref>G68:U68</xm:sqref>
        </x14:conditionalFormatting>
        <x14:conditionalFormatting xmlns:xm="http://schemas.microsoft.com/office/excel/2006/main">
          <x14:cfRule type="expression" priority="4693403" id="{DE4D4432-0A19-452A-AF14-2873FE4DF411}">
            <xm:f>$AR$4='Data entry'!$R27</xm:f>
            <x14:dxf>
              <fill>
                <patternFill>
                  <bgColor rgb="FFFF0000"/>
                </patternFill>
              </fill>
            </x14:dxf>
          </x14:cfRule>
          <xm:sqref>AP69:BB69</xm:sqref>
        </x14:conditionalFormatting>
        <x14:conditionalFormatting xmlns:xm="http://schemas.microsoft.com/office/excel/2006/main">
          <x14:cfRule type="expression" priority="4693404" id="{90D7E1FF-542D-40C8-9BD5-DFEB4CDD256F}">
            <xm:f>$AR$4='Data entry'!$R27</xm:f>
            <x14:dxf>
              <fill>
                <patternFill>
                  <bgColor rgb="FFFFFF00"/>
                </patternFill>
              </fill>
            </x14:dxf>
          </x14:cfRule>
          <xm:sqref>AD68:AR68</xm:sqref>
        </x14:conditionalFormatting>
        <x14:conditionalFormatting xmlns:xm="http://schemas.microsoft.com/office/excel/2006/main">
          <x14:cfRule type="expression" priority="4693405" id="{0EBB5305-4A4A-4205-A1FF-11160070CBC3}">
            <xm:f>$AS$4='Data entry'!$R27</xm:f>
            <x14:dxf>
              <fill>
                <patternFill>
                  <bgColor rgb="FFFF0000"/>
                </patternFill>
              </fill>
            </x14:dxf>
          </x14:cfRule>
          <xm:sqref>AQ69:BC69</xm:sqref>
        </x14:conditionalFormatting>
        <x14:conditionalFormatting xmlns:xm="http://schemas.microsoft.com/office/excel/2006/main">
          <x14:cfRule type="expression" priority="4693406" id="{AC8EB30C-4253-4CE1-820E-1801F6D8D35B}">
            <xm:f>$AS$4='Data entry'!$R27</xm:f>
            <x14:dxf>
              <fill>
                <patternFill>
                  <bgColor rgb="FFFFFF00"/>
                </patternFill>
              </fill>
            </x14:dxf>
          </x14:cfRule>
          <xm:sqref>AE68:AS68</xm:sqref>
        </x14:conditionalFormatting>
        <x14:conditionalFormatting xmlns:xm="http://schemas.microsoft.com/office/excel/2006/main">
          <x14:cfRule type="expression" priority="4693407" id="{E11744C1-7201-4272-A1B0-945490B42425}">
            <xm:f>$AT$4='Data entry'!$R27</xm:f>
            <x14:dxf>
              <fill>
                <patternFill>
                  <bgColor rgb="FFFF0000"/>
                </patternFill>
              </fill>
            </x14:dxf>
          </x14:cfRule>
          <xm:sqref>AR69:BD69</xm:sqref>
        </x14:conditionalFormatting>
        <x14:conditionalFormatting xmlns:xm="http://schemas.microsoft.com/office/excel/2006/main">
          <x14:cfRule type="expression" priority="4693408" id="{5EE2823B-E955-4EA7-B99C-0B1F77B57A69}">
            <xm:f>$AT$4='Data entry'!$R27</xm:f>
            <x14:dxf>
              <fill>
                <patternFill>
                  <bgColor rgb="FFFFFF00"/>
                </patternFill>
              </fill>
            </x14:dxf>
          </x14:cfRule>
          <xm:sqref>AF68:AT68</xm:sqref>
        </x14:conditionalFormatting>
        <x14:conditionalFormatting xmlns:xm="http://schemas.microsoft.com/office/excel/2006/main">
          <x14:cfRule type="expression" priority="4693409" id="{5737DC63-3262-4B34-900C-2AAEB255FCBA}">
            <xm:f>$AU$4='Data entry'!$R27</xm:f>
            <x14:dxf>
              <fill>
                <patternFill>
                  <bgColor rgb="FFFF0000"/>
                </patternFill>
              </fill>
            </x14:dxf>
          </x14:cfRule>
          <xm:sqref>AS69:BE69</xm:sqref>
        </x14:conditionalFormatting>
        <x14:conditionalFormatting xmlns:xm="http://schemas.microsoft.com/office/excel/2006/main">
          <x14:cfRule type="expression" priority="4693410" id="{2B5C1F1B-3C3D-4CA3-BC64-0E98422075B6}">
            <xm:f>$AU$4='Data entry'!$R27</xm:f>
            <x14:dxf>
              <fill>
                <patternFill>
                  <bgColor rgb="FFFFFF00"/>
                </patternFill>
              </fill>
            </x14:dxf>
          </x14:cfRule>
          <xm:sqref>AG68:AU68</xm:sqref>
        </x14:conditionalFormatting>
        <x14:conditionalFormatting xmlns:xm="http://schemas.microsoft.com/office/excel/2006/main">
          <x14:cfRule type="expression" priority="4693411" id="{B87A1285-B003-4855-8F4B-53C391BA10E6}">
            <xm:f>$AV$4='Data entry'!$R27</xm:f>
            <x14:dxf>
              <fill>
                <patternFill>
                  <bgColor rgb="FFFF0000"/>
                </patternFill>
              </fill>
            </x14:dxf>
          </x14:cfRule>
          <xm:sqref>AT69:BF69</xm:sqref>
        </x14:conditionalFormatting>
        <x14:conditionalFormatting xmlns:xm="http://schemas.microsoft.com/office/excel/2006/main">
          <x14:cfRule type="expression" priority="4693412" id="{338EE31C-78DB-4818-B837-0380F9E457FA}">
            <xm:f>$AV$4='Data entry'!$R27</xm:f>
            <x14:dxf>
              <fill>
                <patternFill>
                  <bgColor rgb="FFFFFF00"/>
                </patternFill>
              </fill>
            </x14:dxf>
          </x14:cfRule>
          <xm:sqref>AH68:AV68</xm:sqref>
        </x14:conditionalFormatting>
        <x14:conditionalFormatting xmlns:xm="http://schemas.microsoft.com/office/excel/2006/main">
          <x14:cfRule type="expression" priority="4693413" id="{5C40EA66-2801-4C91-B885-BF6A1ECFC35C}">
            <xm:f>$AW$4='Data entry'!$R27</xm:f>
            <x14:dxf>
              <fill>
                <patternFill>
                  <bgColor rgb="FFFF0000"/>
                </patternFill>
              </fill>
            </x14:dxf>
          </x14:cfRule>
          <xm:sqref>AU69:BG69</xm:sqref>
        </x14:conditionalFormatting>
        <x14:conditionalFormatting xmlns:xm="http://schemas.microsoft.com/office/excel/2006/main">
          <x14:cfRule type="expression" priority="4693414" id="{51BCD5CE-DF86-4C2F-8A81-DDA1EFD6C8F7}">
            <xm:f>$AW$4='Data entry'!$R27</xm:f>
            <x14:dxf>
              <fill>
                <patternFill>
                  <bgColor rgb="FFFFFF00"/>
                </patternFill>
              </fill>
            </x14:dxf>
          </x14:cfRule>
          <xm:sqref>AI68:AW68</xm:sqref>
        </x14:conditionalFormatting>
        <x14:conditionalFormatting xmlns:xm="http://schemas.microsoft.com/office/excel/2006/main">
          <x14:cfRule type="expression" priority="4693415" id="{DC2ED5A0-8917-4877-8CD3-9DF9BE5993C9}">
            <xm:f>$AX$4='Data entry'!$R27</xm:f>
            <x14:dxf>
              <fill>
                <patternFill>
                  <bgColor rgb="FFFF0000"/>
                </patternFill>
              </fill>
            </x14:dxf>
          </x14:cfRule>
          <xm:sqref>AV69:BH69</xm:sqref>
        </x14:conditionalFormatting>
        <x14:conditionalFormatting xmlns:xm="http://schemas.microsoft.com/office/excel/2006/main">
          <x14:cfRule type="expression" priority="4693416" id="{59B31869-20F9-45BD-BC80-0A6C8945CE2C}">
            <xm:f>$AX$4='Data entry'!$R27</xm:f>
            <x14:dxf>
              <fill>
                <patternFill>
                  <bgColor rgb="FFFFFF00"/>
                </patternFill>
              </fill>
            </x14:dxf>
          </x14:cfRule>
          <xm:sqref>AJ68:AX68</xm:sqref>
        </x14:conditionalFormatting>
        <x14:conditionalFormatting xmlns:xm="http://schemas.microsoft.com/office/excel/2006/main">
          <x14:cfRule type="expression" priority="4693417" id="{D4208FA0-4262-4037-934C-6D0742B2AD8E}">
            <xm:f>$AY$4='Data entry'!$R27</xm:f>
            <x14:dxf>
              <fill>
                <patternFill>
                  <bgColor rgb="FFFF0000"/>
                </patternFill>
              </fill>
            </x14:dxf>
          </x14:cfRule>
          <xm:sqref>AW69:BI69</xm:sqref>
        </x14:conditionalFormatting>
        <x14:conditionalFormatting xmlns:xm="http://schemas.microsoft.com/office/excel/2006/main">
          <x14:cfRule type="expression" priority="4693418" id="{04D6E423-18C7-42B2-A67D-F49D8E62B571}">
            <xm:f>$AY$4='Data entry'!$R27</xm:f>
            <x14:dxf>
              <fill>
                <patternFill>
                  <bgColor rgb="FFFFFF00"/>
                </patternFill>
              </fill>
            </x14:dxf>
          </x14:cfRule>
          <xm:sqref>AK68:AY68</xm:sqref>
        </x14:conditionalFormatting>
        <x14:conditionalFormatting xmlns:xm="http://schemas.microsoft.com/office/excel/2006/main">
          <x14:cfRule type="expression" priority="4693419" id="{A931C203-6E4B-4EBD-A2F4-1876881F48D4}">
            <xm:f>$AZ$4='Data entry'!$R27</xm:f>
            <x14:dxf>
              <fill>
                <patternFill>
                  <bgColor rgb="FFFF0000"/>
                </patternFill>
              </fill>
            </x14:dxf>
          </x14:cfRule>
          <xm:sqref>AX69:BJ69</xm:sqref>
        </x14:conditionalFormatting>
        <x14:conditionalFormatting xmlns:xm="http://schemas.microsoft.com/office/excel/2006/main">
          <x14:cfRule type="expression" priority="4693420" id="{092D9100-E652-40FE-8CAA-720DC0681250}">
            <xm:f>$AZ$4='Data entry'!$R27</xm:f>
            <x14:dxf>
              <fill>
                <patternFill>
                  <bgColor rgb="FFFFFF00"/>
                </patternFill>
              </fill>
            </x14:dxf>
          </x14:cfRule>
          <xm:sqref>AL68:AZ68</xm:sqref>
        </x14:conditionalFormatting>
        <x14:conditionalFormatting xmlns:xm="http://schemas.microsoft.com/office/excel/2006/main">
          <x14:cfRule type="expression" priority="4693421" id="{A3C7E6BE-A225-483C-A983-A915DB662C52}">
            <xm:f>$BA$4='Data entry'!$R27</xm:f>
            <x14:dxf>
              <fill>
                <patternFill>
                  <bgColor rgb="FFFF0000"/>
                </patternFill>
              </fill>
            </x14:dxf>
          </x14:cfRule>
          <xm:sqref>AY69:BK69</xm:sqref>
        </x14:conditionalFormatting>
        <x14:conditionalFormatting xmlns:xm="http://schemas.microsoft.com/office/excel/2006/main">
          <x14:cfRule type="expression" priority="4693422" id="{F5CF569A-8AFA-4CFF-8BD3-F04D8927A99F}">
            <xm:f>$BA$4='Data entry'!$R27</xm:f>
            <x14:dxf>
              <fill>
                <patternFill>
                  <bgColor rgb="FFFFFF00"/>
                </patternFill>
              </fill>
            </x14:dxf>
          </x14:cfRule>
          <xm:sqref>AM68:BA68</xm:sqref>
        </x14:conditionalFormatting>
        <x14:conditionalFormatting xmlns:xm="http://schemas.microsoft.com/office/excel/2006/main">
          <x14:cfRule type="expression" priority="4693423" id="{E4DAC94A-7983-4BFB-A87B-45B58561841A}">
            <xm:f>$BB$4='Data entry'!$R27</xm:f>
            <x14:dxf>
              <fill>
                <patternFill>
                  <bgColor rgb="FFFF0000"/>
                </patternFill>
              </fill>
            </x14:dxf>
          </x14:cfRule>
          <xm:sqref>AZ69:BL69</xm:sqref>
        </x14:conditionalFormatting>
        <x14:conditionalFormatting xmlns:xm="http://schemas.microsoft.com/office/excel/2006/main">
          <x14:cfRule type="expression" priority="4693424" id="{E63849C5-F39B-4B0E-8F8A-B532EDF2CBAE}">
            <xm:f>$BB$4='Data entry'!$R27</xm:f>
            <x14:dxf>
              <fill>
                <patternFill>
                  <bgColor rgb="FFFFFF00"/>
                </patternFill>
              </fill>
            </x14:dxf>
          </x14:cfRule>
          <xm:sqref>AN68:BB68</xm:sqref>
        </x14:conditionalFormatting>
        <x14:conditionalFormatting xmlns:xm="http://schemas.microsoft.com/office/excel/2006/main">
          <x14:cfRule type="expression" priority="4693425" id="{4FDC32D3-C1F5-455D-9AA4-A03359B72526}">
            <xm:f>$BC$4='Data entry'!$R27</xm:f>
            <x14:dxf>
              <fill>
                <patternFill>
                  <bgColor rgb="FFFF0000"/>
                </patternFill>
              </fill>
            </x14:dxf>
          </x14:cfRule>
          <xm:sqref>BA69:BM69</xm:sqref>
        </x14:conditionalFormatting>
        <x14:conditionalFormatting xmlns:xm="http://schemas.microsoft.com/office/excel/2006/main">
          <x14:cfRule type="expression" priority="4693426" id="{5F0D0C60-B233-4C56-B05D-98C99990877F}">
            <xm:f>$BC$4='Data entry'!$R27</xm:f>
            <x14:dxf>
              <fill>
                <patternFill>
                  <bgColor rgb="FFFFFF00"/>
                </patternFill>
              </fill>
            </x14:dxf>
          </x14:cfRule>
          <xm:sqref>AO68:BC68</xm:sqref>
        </x14:conditionalFormatting>
        <x14:conditionalFormatting xmlns:xm="http://schemas.microsoft.com/office/excel/2006/main">
          <x14:cfRule type="expression" priority="4693427" id="{9EBCB60F-8135-43B6-A0F3-548D4092CC98}">
            <xm:f>$BD$4='Data entry'!$R27</xm:f>
            <x14:dxf>
              <fill>
                <patternFill>
                  <bgColor rgb="FFFF0000"/>
                </patternFill>
              </fill>
            </x14:dxf>
          </x14:cfRule>
          <xm:sqref>BB69:BN69</xm:sqref>
        </x14:conditionalFormatting>
        <x14:conditionalFormatting xmlns:xm="http://schemas.microsoft.com/office/excel/2006/main">
          <x14:cfRule type="expression" priority="4693428" id="{961AF346-4A73-41ED-9A8D-27D431B09C05}">
            <xm:f>$BD$4='Data entry'!$R27</xm:f>
            <x14:dxf>
              <fill>
                <patternFill>
                  <bgColor rgb="FFFFFF00"/>
                </patternFill>
              </fill>
            </x14:dxf>
          </x14:cfRule>
          <xm:sqref>AP68:BD68</xm:sqref>
        </x14:conditionalFormatting>
        <x14:conditionalFormatting xmlns:xm="http://schemas.microsoft.com/office/excel/2006/main">
          <x14:cfRule type="expression" priority="4693429" id="{5A887026-27CD-4F8C-8BA6-1E92704C1CA6}">
            <xm:f>$BE$4='Data entry'!$R27</xm:f>
            <x14:dxf>
              <fill>
                <patternFill>
                  <bgColor rgb="FFFF0000"/>
                </patternFill>
              </fill>
            </x14:dxf>
          </x14:cfRule>
          <xm:sqref>BC69:BO69</xm:sqref>
        </x14:conditionalFormatting>
        <x14:conditionalFormatting xmlns:xm="http://schemas.microsoft.com/office/excel/2006/main">
          <x14:cfRule type="expression" priority="4693430" id="{7F46217B-A1E9-4515-B31E-E756FCD7C6D9}">
            <xm:f>$BE$4='Data entry'!$R27</xm:f>
            <x14:dxf>
              <fill>
                <patternFill>
                  <bgColor rgb="FFFFFF00"/>
                </patternFill>
              </fill>
            </x14:dxf>
          </x14:cfRule>
          <xm:sqref>AP68:BE68</xm:sqref>
        </x14:conditionalFormatting>
        <x14:conditionalFormatting xmlns:xm="http://schemas.microsoft.com/office/excel/2006/main">
          <x14:cfRule type="expression" priority="4693431" id="{F4D9285C-8CA0-4EF1-943E-6A462D47CC77}">
            <xm:f>$BF$4='Data entry'!$R27</xm:f>
            <x14:dxf>
              <fill>
                <patternFill>
                  <bgColor rgb="FFFF0000"/>
                </patternFill>
              </fill>
            </x14:dxf>
          </x14:cfRule>
          <xm:sqref>BD69:BP69</xm:sqref>
        </x14:conditionalFormatting>
        <x14:conditionalFormatting xmlns:xm="http://schemas.microsoft.com/office/excel/2006/main">
          <x14:cfRule type="expression" priority="4693432" id="{B9E4407D-651D-4DC0-9D61-3271D62A65E9}">
            <xm:f>$BF$4='Data entry'!$R27</xm:f>
            <x14:dxf>
              <fill>
                <patternFill>
                  <bgColor rgb="FFFFFF00"/>
                </patternFill>
              </fill>
            </x14:dxf>
          </x14:cfRule>
          <xm:sqref>AR68:BF68</xm:sqref>
        </x14:conditionalFormatting>
        <x14:conditionalFormatting xmlns:xm="http://schemas.microsoft.com/office/excel/2006/main">
          <x14:cfRule type="expression" priority="4693433" id="{4CDC062F-DDFF-4556-B941-08F919727F69}">
            <xm:f>$BG$4='Data entry'!$R27</xm:f>
            <x14:dxf>
              <fill>
                <patternFill>
                  <bgColor rgb="FFFF0000"/>
                </patternFill>
              </fill>
            </x14:dxf>
          </x14:cfRule>
          <xm:sqref>BE69:BQ69</xm:sqref>
        </x14:conditionalFormatting>
        <x14:conditionalFormatting xmlns:xm="http://schemas.microsoft.com/office/excel/2006/main">
          <x14:cfRule type="expression" priority="4693434" id="{789184FA-9055-433B-8A1B-92C7ED59E81F}">
            <xm:f>$BG$4='Data entry'!$R27</xm:f>
            <x14:dxf>
              <fill>
                <patternFill>
                  <bgColor rgb="FFFFFF00"/>
                </patternFill>
              </fill>
            </x14:dxf>
          </x14:cfRule>
          <xm:sqref>AS68:BG68</xm:sqref>
        </x14:conditionalFormatting>
        <x14:conditionalFormatting xmlns:xm="http://schemas.microsoft.com/office/excel/2006/main">
          <x14:cfRule type="expression" priority="4693435" id="{58651E5C-09C9-46C1-B95C-E8A578A49E15}">
            <xm:f>$BH$4='Data entry'!$R27</xm:f>
            <x14:dxf>
              <fill>
                <patternFill>
                  <bgColor rgb="FFFFFF00"/>
                </patternFill>
              </fill>
            </x14:dxf>
          </x14:cfRule>
          <xm:sqref>AT68:BH68</xm:sqref>
        </x14:conditionalFormatting>
        <x14:conditionalFormatting xmlns:xm="http://schemas.microsoft.com/office/excel/2006/main">
          <x14:cfRule type="expression" priority="4693436" id="{97B30B86-8311-4DC0-A533-8C0D53F37839}">
            <xm:f>$BH$4='Data entry'!$R27</xm:f>
            <x14:dxf>
              <fill>
                <patternFill>
                  <bgColor rgb="FFFF0000"/>
                </patternFill>
              </fill>
            </x14:dxf>
          </x14:cfRule>
          <xm:sqref>BF69:BR69</xm:sqref>
        </x14:conditionalFormatting>
        <x14:conditionalFormatting xmlns:xm="http://schemas.microsoft.com/office/excel/2006/main">
          <x14:cfRule type="expression" priority="4693437" id="{78344C0C-5AEA-40B1-A20C-6D77DF58E1F5}">
            <xm:f>$BI$4='Data entry'!$R27</xm:f>
            <x14:dxf>
              <fill>
                <patternFill>
                  <bgColor rgb="FFFFFF00"/>
                </patternFill>
              </fill>
            </x14:dxf>
          </x14:cfRule>
          <xm:sqref>AU68:BI68</xm:sqref>
        </x14:conditionalFormatting>
        <x14:conditionalFormatting xmlns:xm="http://schemas.microsoft.com/office/excel/2006/main">
          <x14:cfRule type="expression" priority="4693438" id="{A9CE044F-482E-4F25-B28F-89ACC58502B1}">
            <xm:f>$BI$4='Data entry'!$R27</xm:f>
            <x14:dxf>
              <fill>
                <patternFill>
                  <bgColor rgb="FFFF0000"/>
                </patternFill>
              </fill>
            </x14:dxf>
          </x14:cfRule>
          <xm:sqref>BG69:BS69</xm:sqref>
        </x14:conditionalFormatting>
        <x14:conditionalFormatting xmlns:xm="http://schemas.microsoft.com/office/excel/2006/main">
          <x14:cfRule type="expression" priority="4693439" id="{F63BE0EB-3C71-4456-BEF0-11180AB7A8BB}">
            <xm:f>$BJ$4='Data entry'!$R27</xm:f>
            <x14:dxf>
              <fill>
                <patternFill>
                  <bgColor rgb="FFFFFF00"/>
                </patternFill>
              </fill>
            </x14:dxf>
          </x14:cfRule>
          <xm:sqref>AV68:BJ68</xm:sqref>
        </x14:conditionalFormatting>
        <x14:conditionalFormatting xmlns:xm="http://schemas.microsoft.com/office/excel/2006/main">
          <x14:cfRule type="expression" priority="4693440" id="{478A5DCB-1DAA-4497-A6CC-B4F01FB96D10}">
            <xm:f>$BJ$4='Data entry'!$R27</xm:f>
            <x14:dxf>
              <fill>
                <patternFill>
                  <bgColor rgb="FFFF0000"/>
                </patternFill>
              </fill>
            </x14:dxf>
          </x14:cfRule>
          <xm:sqref>BH69:BT69</xm:sqref>
        </x14:conditionalFormatting>
        <x14:conditionalFormatting xmlns:xm="http://schemas.microsoft.com/office/excel/2006/main">
          <x14:cfRule type="expression" priority="4693441" id="{CDE4AD5B-65A6-4FA4-9EC0-8D05F22312A9}">
            <xm:f>$BK$4='Data entry'!$R27</xm:f>
            <x14:dxf>
              <fill>
                <patternFill>
                  <bgColor rgb="FFFF0000"/>
                </patternFill>
              </fill>
            </x14:dxf>
          </x14:cfRule>
          <xm:sqref>BI69:BU69</xm:sqref>
        </x14:conditionalFormatting>
        <x14:conditionalFormatting xmlns:xm="http://schemas.microsoft.com/office/excel/2006/main">
          <x14:cfRule type="expression" priority="4693442" id="{AB32E790-6CD8-4D11-9A69-57D785FE4BBC}">
            <xm:f>$BK$4='Data entry'!$R27</xm:f>
            <x14:dxf>
              <fill>
                <patternFill>
                  <bgColor rgb="FFFFFF00"/>
                </patternFill>
              </fill>
            </x14:dxf>
          </x14:cfRule>
          <xm:sqref>AW68:BK68</xm:sqref>
        </x14:conditionalFormatting>
        <x14:conditionalFormatting xmlns:xm="http://schemas.microsoft.com/office/excel/2006/main">
          <x14:cfRule type="expression" priority="4693443" id="{99810EB9-805C-43D8-852A-EEECE7874CDB}">
            <xm:f>$BL$4='Data entry'!$R27</xm:f>
            <x14:dxf>
              <fill>
                <patternFill>
                  <bgColor rgb="FFFF0000"/>
                </patternFill>
              </fill>
            </x14:dxf>
          </x14:cfRule>
          <xm:sqref>BJ69:BV69</xm:sqref>
        </x14:conditionalFormatting>
        <x14:conditionalFormatting xmlns:xm="http://schemas.microsoft.com/office/excel/2006/main">
          <x14:cfRule type="expression" priority="4693444" id="{BF5F5475-4E46-479C-97A6-D5175F5D1803}">
            <xm:f>$BL$4='Data entry'!$R27</xm:f>
            <x14:dxf>
              <fill>
                <patternFill>
                  <bgColor rgb="FFFFFF00"/>
                </patternFill>
              </fill>
            </x14:dxf>
          </x14:cfRule>
          <xm:sqref>AX68:BL68</xm:sqref>
        </x14:conditionalFormatting>
        <x14:conditionalFormatting xmlns:xm="http://schemas.microsoft.com/office/excel/2006/main">
          <x14:cfRule type="expression" priority="4693445" id="{B86FDF2F-16C9-46B1-847E-7EA1A8A34B9D}">
            <xm:f>$BM$4='Data entry'!$R27</xm:f>
            <x14:dxf>
              <fill>
                <patternFill>
                  <bgColor rgb="FFFF0000"/>
                </patternFill>
              </fill>
            </x14:dxf>
          </x14:cfRule>
          <xm:sqref>BK69:BW69</xm:sqref>
        </x14:conditionalFormatting>
        <x14:conditionalFormatting xmlns:xm="http://schemas.microsoft.com/office/excel/2006/main">
          <x14:cfRule type="expression" priority="4693446" id="{72FD189F-4CED-400D-9FEF-21A328970A4D}">
            <xm:f>$BM$4='Data entry'!$R27</xm:f>
            <x14:dxf>
              <fill>
                <patternFill>
                  <bgColor rgb="FFFFFF00"/>
                </patternFill>
              </fill>
            </x14:dxf>
          </x14:cfRule>
          <xm:sqref>AY68:BM68</xm:sqref>
        </x14:conditionalFormatting>
        <x14:conditionalFormatting xmlns:xm="http://schemas.microsoft.com/office/excel/2006/main">
          <x14:cfRule type="expression" priority="4693447" id="{BBBBF859-D5A7-4F55-BFBF-8A77E3357590}">
            <xm:f>$BN$4='Data entry'!$R27</xm:f>
            <x14:dxf>
              <fill>
                <patternFill>
                  <bgColor rgb="FFFF0000"/>
                </patternFill>
              </fill>
            </x14:dxf>
          </x14:cfRule>
          <xm:sqref>BL69:BX69</xm:sqref>
        </x14:conditionalFormatting>
        <x14:conditionalFormatting xmlns:xm="http://schemas.microsoft.com/office/excel/2006/main">
          <x14:cfRule type="expression" priority="4693448" id="{50CB1D75-0FD5-4D24-92B1-E8A41DC6575C}">
            <xm:f>$BN$4='Data entry'!$R27</xm:f>
            <x14:dxf>
              <fill>
                <patternFill>
                  <bgColor rgb="FFFFFF00"/>
                </patternFill>
              </fill>
            </x14:dxf>
          </x14:cfRule>
          <xm:sqref>AZ68:BN68</xm:sqref>
        </x14:conditionalFormatting>
        <x14:conditionalFormatting xmlns:xm="http://schemas.microsoft.com/office/excel/2006/main">
          <x14:cfRule type="expression" priority="4693449" id="{9EF3226D-E8FC-496B-A6FF-71776AEA54D1}">
            <xm:f>$BO$4='Data entry'!$R27</xm:f>
            <x14:dxf>
              <fill>
                <patternFill>
                  <bgColor rgb="FFFF0000"/>
                </patternFill>
              </fill>
            </x14:dxf>
          </x14:cfRule>
          <xm:sqref>BM69:BY69</xm:sqref>
        </x14:conditionalFormatting>
        <x14:conditionalFormatting xmlns:xm="http://schemas.microsoft.com/office/excel/2006/main">
          <x14:cfRule type="expression" priority="4693450" id="{3B86C801-ECFE-4D05-8AA5-1581116BAFBC}">
            <xm:f>$BO$4='Data entry'!$R27</xm:f>
            <x14:dxf>
              <fill>
                <patternFill>
                  <bgColor rgb="FFFFFF00"/>
                </patternFill>
              </fill>
            </x14:dxf>
          </x14:cfRule>
          <xm:sqref>BA68:BO68</xm:sqref>
        </x14:conditionalFormatting>
        <x14:conditionalFormatting xmlns:xm="http://schemas.microsoft.com/office/excel/2006/main">
          <x14:cfRule type="expression" priority="4693451" id="{058A23EC-3371-4A02-9F20-1ECA603AC6BC}">
            <xm:f>$BP$4='Data entry'!$R27</xm:f>
            <x14:dxf>
              <fill>
                <patternFill>
                  <bgColor rgb="FFFF0000"/>
                </patternFill>
              </fill>
            </x14:dxf>
          </x14:cfRule>
          <xm:sqref>BN69:BZ69</xm:sqref>
        </x14:conditionalFormatting>
        <x14:conditionalFormatting xmlns:xm="http://schemas.microsoft.com/office/excel/2006/main">
          <x14:cfRule type="expression" priority="4693452" id="{3E711E31-3992-4555-AB22-87133D60CD15}">
            <xm:f>$BP$4='Data entry'!$R27</xm:f>
            <x14:dxf>
              <fill>
                <patternFill>
                  <bgColor rgb="FFFFFF00"/>
                </patternFill>
              </fill>
            </x14:dxf>
          </x14:cfRule>
          <xm:sqref>BB68:BP68</xm:sqref>
        </x14:conditionalFormatting>
        <x14:conditionalFormatting xmlns:xm="http://schemas.microsoft.com/office/excel/2006/main">
          <x14:cfRule type="expression" priority="4693453" id="{23E9F8B9-37D5-4730-9453-6F23E8ECBBE3}">
            <xm:f>$BQ$4='Data entry'!$R27</xm:f>
            <x14:dxf>
              <fill>
                <patternFill>
                  <bgColor rgb="FFFFFF00"/>
                </patternFill>
              </fill>
            </x14:dxf>
          </x14:cfRule>
          <xm:sqref>BC68:BQ68</xm:sqref>
        </x14:conditionalFormatting>
        <x14:conditionalFormatting xmlns:xm="http://schemas.microsoft.com/office/excel/2006/main">
          <x14:cfRule type="expression" priority="4693454" id="{BCFD92F6-AAD3-44FD-BC61-A292A81B883E}">
            <xm:f>$BQ$4='Data entry'!$R27</xm:f>
            <x14:dxf>
              <fill>
                <patternFill>
                  <bgColor rgb="FFFF0000"/>
                </patternFill>
              </fill>
            </x14:dxf>
          </x14:cfRule>
          <xm:sqref>BO69:CA69</xm:sqref>
        </x14:conditionalFormatting>
        <x14:conditionalFormatting xmlns:xm="http://schemas.microsoft.com/office/excel/2006/main">
          <x14:cfRule type="expression" priority="4693455" id="{357D60E5-F356-477E-8020-A18F42C02832}">
            <xm:f>$BR$4='Data entry'!$R27</xm:f>
            <x14:dxf>
              <fill>
                <patternFill>
                  <bgColor rgb="FFFFFF00"/>
                </patternFill>
              </fill>
            </x14:dxf>
          </x14:cfRule>
          <xm:sqref>BD68:BR68</xm:sqref>
        </x14:conditionalFormatting>
        <x14:conditionalFormatting xmlns:xm="http://schemas.microsoft.com/office/excel/2006/main">
          <x14:cfRule type="expression" priority="4693456" id="{DA2B6511-43B3-432D-B6AA-1DB1188B90A6}">
            <xm:f>$BR$4='Data entry'!$R27</xm:f>
            <x14:dxf>
              <fill>
                <patternFill>
                  <bgColor rgb="FFFF0000"/>
                </patternFill>
              </fill>
            </x14:dxf>
          </x14:cfRule>
          <xm:sqref>BP69:CB69</xm:sqref>
        </x14:conditionalFormatting>
        <x14:conditionalFormatting xmlns:xm="http://schemas.microsoft.com/office/excel/2006/main">
          <x14:cfRule type="expression" priority="4693457" id="{0D5F64E4-4136-4BFA-B833-CC8578525D9C}">
            <xm:f>$BS$4='Data entry'!$R27</xm:f>
            <x14:dxf>
              <fill>
                <patternFill>
                  <bgColor rgb="FFFFFF00"/>
                </patternFill>
              </fill>
            </x14:dxf>
          </x14:cfRule>
          <xm:sqref>BE68:BS68</xm:sqref>
        </x14:conditionalFormatting>
        <x14:conditionalFormatting xmlns:xm="http://schemas.microsoft.com/office/excel/2006/main">
          <x14:cfRule type="expression" priority="4693458" id="{AC94D468-F078-4AE2-8771-102996E07B09}">
            <xm:f>$BS$4='Data entry'!$R27</xm:f>
            <x14:dxf>
              <fill>
                <patternFill>
                  <bgColor rgb="FFFF0000"/>
                </patternFill>
              </fill>
            </x14:dxf>
          </x14:cfRule>
          <xm:sqref>BQ69:CC69</xm:sqref>
        </x14:conditionalFormatting>
        <x14:conditionalFormatting xmlns:xm="http://schemas.microsoft.com/office/excel/2006/main">
          <x14:cfRule type="expression" priority="4693459" id="{10E78F76-181E-4F19-9F89-7DD36D3EFE30}">
            <xm:f>$BT$4='Data entry'!$R27</xm:f>
            <x14:dxf>
              <fill>
                <patternFill>
                  <bgColor rgb="FFFFFF00"/>
                </patternFill>
              </fill>
            </x14:dxf>
          </x14:cfRule>
          <xm:sqref>BF68:BT68</xm:sqref>
        </x14:conditionalFormatting>
        <x14:conditionalFormatting xmlns:xm="http://schemas.microsoft.com/office/excel/2006/main">
          <x14:cfRule type="expression" priority="4693460" id="{6A5FADC6-9512-4EFB-90A5-7B5244D10D1F}">
            <xm:f>$BT$4='Data entry'!$R27</xm:f>
            <x14:dxf>
              <fill>
                <patternFill>
                  <bgColor rgb="FFFF0000"/>
                </patternFill>
              </fill>
            </x14:dxf>
          </x14:cfRule>
          <xm:sqref>BR69:CC69</xm:sqref>
        </x14:conditionalFormatting>
        <x14:conditionalFormatting xmlns:xm="http://schemas.microsoft.com/office/excel/2006/main">
          <x14:cfRule type="expression" priority="4693461" id="{A51139D1-8841-4B96-B8CB-DFE3808765CF}">
            <xm:f>$BU$4='Data entry'!$R27</xm:f>
            <x14:dxf>
              <fill>
                <patternFill>
                  <bgColor rgb="FFFFFF00"/>
                </patternFill>
              </fill>
            </x14:dxf>
          </x14:cfRule>
          <xm:sqref>BG68:BU68</xm:sqref>
        </x14:conditionalFormatting>
        <x14:conditionalFormatting xmlns:xm="http://schemas.microsoft.com/office/excel/2006/main">
          <x14:cfRule type="expression" priority="4693462" id="{55CA7258-760F-4BFF-ACB5-A70FEB3E7981}">
            <xm:f>$BU$4='Data entry'!$R27</xm:f>
            <x14:dxf>
              <fill>
                <patternFill>
                  <bgColor rgb="FFFF0000"/>
                </patternFill>
              </fill>
            </x14:dxf>
          </x14:cfRule>
          <xm:sqref>BS69:CC69</xm:sqref>
        </x14:conditionalFormatting>
        <x14:conditionalFormatting xmlns:xm="http://schemas.microsoft.com/office/excel/2006/main">
          <x14:cfRule type="expression" priority="4693463" id="{A922B218-64DB-4CBB-9AB8-FE0EBB44E09E}">
            <xm:f>$BV$4='Data entry'!$R27</xm:f>
            <x14:dxf>
              <fill>
                <patternFill>
                  <bgColor rgb="FFFFFF00"/>
                </patternFill>
              </fill>
            </x14:dxf>
          </x14:cfRule>
          <xm:sqref>BH68:BV68</xm:sqref>
        </x14:conditionalFormatting>
        <x14:conditionalFormatting xmlns:xm="http://schemas.microsoft.com/office/excel/2006/main">
          <x14:cfRule type="expression" priority="4693464" id="{C98E908A-CD31-4778-B41C-7AFB9DBE639A}">
            <xm:f>$BV$4='Data entry'!$R27</xm:f>
            <x14:dxf>
              <fill>
                <patternFill>
                  <bgColor rgb="FFFF0000"/>
                </patternFill>
              </fill>
            </x14:dxf>
          </x14:cfRule>
          <xm:sqref>BT69:CC69</xm:sqref>
        </x14:conditionalFormatting>
        <x14:conditionalFormatting xmlns:xm="http://schemas.microsoft.com/office/excel/2006/main">
          <x14:cfRule type="expression" priority="4693465" id="{465CCCA3-B4DB-4B61-8AC7-8A5E4CEC9E3F}">
            <xm:f>$BW$4='Data entry'!$R27</xm:f>
            <x14:dxf>
              <fill>
                <patternFill>
                  <bgColor rgb="FFFFFF00"/>
                </patternFill>
              </fill>
            </x14:dxf>
          </x14:cfRule>
          <xm:sqref>BI68:BW68</xm:sqref>
        </x14:conditionalFormatting>
        <x14:conditionalFormatting xmlns:xm="http://schemas.microsoft.com/office/excel/2006/main">
          <x14:cfRule type="expression" priority="4693466" id="{37566F97-6D06-400B-A709-FE657B07687F}">
            <xm:f>$BW$4='Data entry'!$R27</xm:f>
            <x14:dxf>
              <fill>
                <patternFill>
                  <bgColor rgb="FFFF0000"/>
                </patternFill>
              </fill>
            </x14:dxf>
          </x14:cfRule>
          <xm:sqref>BU69:CC69</xm:sqref>
        </x14:conditionalFormatting>
        <x14:conditionalFormatting xmlns:xm="http://schemas.microsoft.com/office/excel/2006/main">
          <x14:cfRule type="expression" priority="4693467" id="{D8FBA3AC-5CF0-4E45-97CA-1D4DEE729ADA}">
            <xm:f>$BX$4='Data entry'!$R27</xm:f>
            <x14:dxf>
              <fill>
                <patternFill>
                  <bgColor rgb="FFFFFF00"/>
                </patternFill>
              </fill>
            </x14:dxf>
          </x14:cfRule>
          <xm:sqref>BJ68:BX68</xm:sqref>
        </x14:conditionalFormatting>
        <x14:conditionalFormatting xmlns:xm="http://schemas.microsoft.com/office/excel/2006/main">
          <x14:cfRule type="expression" priority="4693468" id="{E077C84B-A94F-431D-B232-4AFCC7C64F54}">
            <xm:f>$BX$4='Data entry'!$R27</xm:f>
            <x14:dxf>
              <fill>
                <patternFill>
                  <bgColor rgb="FFFF0000"/>
                </patternFill>
              </fill>
            </x14:dxf>
          </x14:cfRule>
          <xm:sqref>BV69:CC69</xm:sqref>
        </x14:conditionalFormatting>
        <x14:conditionalFormatting xmlns:xm="http://schemas.microsoft.com/office/excel/2006/main">
          <x14:cfRule type="expression" priority="4693469" id="{63783BA8-0C97-4A44-86FD-7A2BCF1B9957}">
            <xm:f>$BY$4='Data entry'!$R27</xm:f>
            <x14:dxf>
              <fill>
                <patternFill>
                  <bgColor rgb="FFFFFF00"/>
                </patternFill>
              </fill>
            </x14:dxf>
          </x14:cfRule>
          <xm:sqref>BK68:BY68</xm:sqref>
        </x14:conditionalFormatting>
        <x14:conditionalFormatting xmlns:xm="http://schemas.microsoft.com/office/excel/2006/main">
          <x14:cfRule type="expression" priority="4693470" id="{BB8DB8B4-B71B-46D2-AEE7-346F16103F74}">
            <xm:f>$BY$4='Data entry'!$R27</xm:f>
            <x14:dxf>
              <fill>
                <patternFill>
                  <bgColor rgb="FFFF0000"/>
                </patternFill>
              </fill>
            </x14:dxf>
          </x14:cfRule>
          <xm:sqref>BW69:CC69</xm:sqref>
        </x14:conditionalFormatting>
        <x14:conditionalFormatting xmlns:xm="http://schemas.microsoft.com/office/excel/2006/main">
          <x14:cfRule type="expression" priority="4693471" id="{1B638B98-2B06-4FEB-90C1-446A3E0A3979}">
            <xm:f>$BZ$4='Data entry'!$R27</xm:f>
            <x14:dxf>
              <fill>
                <patternFill>
                  <bgColor rgb="FFFFFF00"/>
                </patternFill>
              </fill>
            </x14:dxf>
          </x14:cfRule>
          <xm:sqref>BL68:BZ68</xm:sqref>
        </x14:conditionalFormatting>
        <x14:conditionalFormatting xmlns:xm="http://schemas.microsoft.com/office/excel/2006/main">
          <x14:cfRule type="expression" priority="4693472" id="{D3A0A2F8-D1B2-4DC5-B2A9-0EF53074E685}">
            <xm:f>$BZ$4='Data entry'!$R27</xm:f>
            <x14:dxf>
              <fill>
                <patternFill>
                  <bgColor rgb="FFFF0000"/>
                </patternFill>
              </fill>
            </x14:dxf>
          </x14:cfRule>
          <xm:sqref>BX69:CC69</xm:sqref>
        </x14:conditionalFormatting>
        <x14:conditionalFormatting xmlns:xm="http://schemas.microsoft.com/office/excel/2006/main">
          <x14:cfRule type="expression" priority="4693473" id="{83F6D018-7D3B-4D33-9998-11572F2F2FF5}">
            <xm:f>$CA$4='Data entry'!$R27</xm:f>
            <x14:dxf>
              <fill>
                <patternFill>
                  <bgColor rgb="FFFFFF00"/>
                </patternFill>
              </fill>
            </x14:dxf>
          </x14:cfRule>
          <xm:sqref>BM68:CA68</xm:sqref>
        </x14:conditionalFormatting>
        <x14:conditionalFormatting xmlns:xm="http://schemas.microsoft.com/office/excel/2006/main">
          <x14:cfRule type="expression" priority="4693474" id="{8E6D0B51-5626-4ED9-9072-C7A2C139704F}">
            <xm:f>$CA$4='Data entry'!$R27</xm:f>
            <x14:dxf>
              <fill>
                <patternFill>
                  <bgColor rgb="FFFF0000"/>
                </patternFill>
              </fill>
            </x14:dxf>
          </x14:cfRule>
          <xm:sqref>BY69:CC69</xm:sqref>
        </x14:conditionalFormatting>
        <x14:conditionalFormatting xmlns:xm="http://schemas.microsoft.com/office/excel/2006/main">
          <x14:cfRule type="expression" priority="4693475" id="{E1886EE4-3BDE-43A9-9F4B-79377FEC37FE}">
            <xm:f>$CB$4='Data entry'!$R27</xm:f>
            <x14:dxf>
              <fill>
                <patternFill>
                  <bgColor rgb="FFFFFF00"/>
                </patternFill>
              </fill>
            </x14:dxf>
          </x14:cfRule>
          <xm:sqref>BN68:CB68</xm:sqref>
        </x14:conditionalFormatting>
        <x14:conditionalFormatting xmlns:xm="http://schemas.microsoft.com/office/excel/2006/main">
          <x14:cfRule type="expression" priority="4693476" id="{ADEF572A-6C18-4602-BB86-01C96D36E07E}">
            <xm:f>$CB$4='Data entry'!$R27</xm:f>
            <x14:dxf>
              <fill>
                <patternFill>
                  <bgColor rgb="FFFF0000"/>
                </patternFill>
              </fill>
            </x14:dxf>
          </x14:cfRule>
          <xm:sqref>BZ69:CC69</xm:sqref>
        </x14:conditionalFormatting>
        <x14:conditionalFormatting xmlns:xm="http://schemas.microsoft.com/office/excel/2006/main">
          <x14:cfRule type="expression" priority="4693477" id="{7984E1C9-E073-4955-8543-62145CB6D008}">
            <xm:f>$CC$4='Data entry'!$R27</xm:f>
            <x14:dxf>
              <fill>
                <patternFill>
                  <bgColor rgb="FFFFFF00"/>
                </patternFill>
              </fill>
            </x14:dxf>
          </x14:cfRule>
          <xm:sqref>BO68:CC68</xm:sqref>
        </x14:conditionalFormatting>
        <x14:conditionalFormatting xmlns:xm="http://schemas.microsoft.com/office/excel/2006/main">
          <x14:cfRule type="expression" priority="4693478" id="{18A957B3-59FA-4698-BA92-2A208FF18E2F}">
            <xm:f>$CC$4='Data entry'!$R27</xm:f>
            <x14:dxf>
              <fill>
                <patternFill>
                  <bgColor rgb="FFFF0000"/>
                </patternFill>
              </fill>
            </x14:dxf>
          </x14:cfRule>
          <xm:sqref>CA69:CC69</xm:sqref>
        </x14:conditionalFormatting>
        <x14:conditionalFormatting xmlns:xm="http://schemas.microsoft.com/office/excel/2006/main">
          <x14:cfRule type="expression" priority="4693565" id="{5B0DB825-B7C2-40AC-B7EF-F267F054CFB9}">
            <xm:f>$U$4='Data entry'!$R28</xm:f>
            <x14:dxf>
              <fill>
                <patternFill>
                  <bgColor rgb="FFFF0000"/>
                </patternFill>
              </fill>
            </x14:dxf>
          </x14:cfRule>
          <xm:sqref>S72:AE72</xm:sqref>
        </x14:conditionalFormatting>
        <x14:conditionalFormatting xmlns:xm="http://schemas.microsoft.com/office/excel/2006/main">
          <x14:cfRule type="expression" priority="4693566" id="{18311200-E2BB-400F-B594-3B9A2C6068C2}">
            <xm:f>$V$4='Data entry'!$R28</xm:f>
            <x14:dxf>
              <fill>
                <patternFill>
                  <bgColor rgb="FFFF0000"/>
                </patternFill>
              </fill>
            </x14:dxf>
          </x14:cfRule>
          <xm:sqref>T72:AF72</xm:sqref>
        </x14:conditionalFormatting>
        <x14:conditionalFormatting xmlns:xm="http://schemas.microsoft.com/office/excel/2006/main">
          <x14:cfRule type="expression" priority="4693567" id="{D6DFB621-1A58-4C59-A987-ECAD0EB2D32B}">
            <xm:f>$V$4='Data entry'!$R28</xm:f>
            <x14:dxf>
              <fill>
                <patternFill>
                  <bgColor rgb="FFFFFF00"/>
                </patternFill>
              </fill>
            </x14:dxf>
          </x14:cfRule>
          <xm:sqref>H71:V71</xm:sqref>
        </x14:conditionalFormatting>
        <x14:conditionalFormatting xmlns:xm="http://schemas.microsoft.com/office/excel/2006/main">
          <x14:cfRule type="expression" priority="4693568" id="{5F87A680-DC5F-433D-A779-B7A534ACCDA9}">
            <xm:f>$W$4='Data entry'!$R28</xm:f>
            <x14:dxf>
              <fill>
                <patternFill>
                  <bgColor rgb="FFFF0000"/>
                </patternFill>
              </fill>
            </x14:dxf>
          </x14:cfRule>
          <xm:sqref>U72:AG72</xm:sqref>
        </x14:conditionalFormatting>
        <x14:conditionalFormatting xmlns:xm="http://schemas.microsoft.com/office/excel/2006/main">
          <x14:cfRule type="expression" priority="4693569" id="{964539FF-A92C-4F68-B268-B7157A32678C}">
            <xm:f>$W$4='Data entry'!$R28</xm:f>
            <x14:dxf>
              <fill>
                <patternFill>
                  <bgColor rgb="FFFFFF00"/>
                </patternFill>
              </fill>
            </x14:dxf>
          </x14:cfRule>
          <xm:sqref>I71:W71</xm:sqref>
        </x14:conditionalFormatting>
        <x14:conditionalFormatting xmlns:xm="http://schemas.microsoft.com/office/excel/2006/main">
          <x14:cfRule type="expression" priority="4693570" id="{46C1533A-F090-4A90-9309-3F59EC3FD3B0}">
            <xm:f>$X$4='Data entry'!$R28</xm:f>
            <x14:dxf>
              <fill>
                <patternFill>
                  <bgColor rgb="FFFF0000"/>
                </patternFill>
              </fill>
            </x14:dxf>
          </x14:cfRule>
          <xm:sqref>V72:AH72</xm:sqref>
        </x14:conditionalFormatting>
        <x14:conditionalFormatting xmlns:xm="http://schemas.microsoft.com/office/excel/2006/main">
          <x14:cfRule type="expression" priority="4693571" id="{7C70E81C-DDD4-4D75-933A-4F6A39893184}">
            <xm:f>$X$4='Data entry'!$R28</xm:f>
            <x14:dxf>
              <fill>
                <patternFill>
                  <bgColor rgb="FFFFFF00"/>
                </patternFill>
              </fill>
            </x14:dxf>
          </x14:cfRule>
          <xm:sqref>J71:X71</xm:sqref>
        </x14:conditionalFormatting>
        <x14:conditionalFormatting xmlns:xm="http://schemas.microsoft.com/office/excel/2006/main">
          <x14:cfRule type="expression" priority="4693572" id="{561AF073-0EF8-4B72-A119-40A639C4359D}">
            <xm:f>$Y$4='Data entry'!$R28</xm:f>
            <x14:dxf>
              <fill>
                <patternFill>
                  <bgColor rgb="FFFF0000"/>
                </patternFill>
              </fill>
            </x14:dxf>
          </x14:cfRule>
          <xm:sqref>W72:AI72</xm:sqref>
        </x14:conditionalFormatting>
        <x14:conditionalFormatting xmlns:xm="http://schemas.microsoft.com/office/excel/2006/main">
          <x14:cfRule type="expression" priority="4693573" id="{F242E808-8F07-4A89-9524-7D4C767CE357}">
            <xm:f>$Y$4='Data entry'!$R28</xm:f>
            <x14:dxf>
              <fill>
                <patternFill>
                  <bgColor rgb="FFFFFF00"/>
                </patternFill>
              </fill>
            </x14:dxf>
          </x14:cfRule>
          <xm:sqref>K71:Y71</xm:sqref>
        </x14:conditionalFormatting>
        <x14:conditionalFormatting xmlns:xm="http://schemas.microsoft.com/office/excel/2006/main">
          <x14:cfRule type="expression" priority="4693574" id="{DD601058-982B-4218-BD9D-64BB823C2633}">
            <xm:f>$Z$4='Data entry'!$R28</xm:f>
            <x14:dxf>
              <fill>
                <patternFill>
                  <bgColor rgb="FFFF0000"/>
                </patternFill>
              </fill>
            </x14:dxf>
          </x14:cfRule>
          <xm:sqref>X72:AJ72</xm:sqref>
        </x14:conditionalFormatting>
        <x14:conditionalFormatting xmlns:xm="http://schemas.microsoft.com/office/excel/2006/main">
          <x14:cfRule type="expression" priority="4693575" id="{C9DB141D-79F6-4093-92A3-7BF7A1622985}">
            <xm:f>$Z$4='Data entry'!$R28</xm:f>
            <x14:dxf>
              <fill>
                <patternFill>
                  <bgColor rgb="FFFFFF00"/>
                </patternFill>
              </fill>
            </x14:dxf>
          </x14:cfRule>
          <xm:sqref>L71:Z71</xm:sqref>
        </x14:conditionalFormatting>
        <x14:conditionalFormatting xmlns:xm="http://schemas.microsoft.com/office/excel/2006/main">
          <x14:cfRule type="expression" priority="4693576" id="{710EB8D3-F5C0-4E3C-8214-2D0C4E26F649}">
            <xm:f>$AA$4='Data entry'!$R28</xm:f>
            <x14:dxf>
              <fill>
                <patternFill>
                  <bgColor rgb="FFFF0000"/>
                </patternFill>
              </fill>
            </x14:dxf>
          </x14:cfRule>
          <xm:sqref>Y72:AK72</xm:sqref>
        </x14:conditionalFormatting>
        <x14:conditionalFormatting xmlns:xm="http://schemas.microsoft.com/office/excel/2006/main">
          <x14:cfRule type="expression" priority="4693577" id="{33825D69-C967-4D27-B395-5D44A3083802}">
            <xm:f>$AA$4='Data entry'!$R28</xm:f>
            <x14:dxf>
              <fill>
                <patternFill>
                  <bgColor rgb="FFFFFF00"/>
                </patternFill>
              </fill>
            </x14:dxf>
          </x14:cfRule>
          <xm:sqref>M71:AA71</xm:sqref>
        </x14:conditionalFormatting>
        <x14:conditionalFormatting xmlns:xm="http://schemas.microsoft.com/office/excel/2006/main">
          <x14:cfRule type="expression" priority="4693578" id="{9811A97D-351B-4D32-8754-AF433277E62B}">
            <xm:f>$AB$4='Data entry'!$R28</xm:f>
            <x14:dxf>
              <fill>
                <patternFill>
                  <bgColor rgb="FFFF0000"/>
                </patternFill>
              </fill>
            </x14:dxf>
          </x14:cfRule>
          <xm:sqref>Z72:AL72</xm:sqref>
        </x14:conditionalFormatting>
        <x14:conditionalFormatting xmlns:xm="http://schemas.microsoft.com/office/excel/2006/main">
          <x14:cfRule type="expression" priority="4693579" id="{6DD3E556-C72E-438B-92DA-3096ED1E4178}">
            <xm:f>$AB$4='Data entry'!$R28</xm:f>
            <x14:dxf>
              <fill>
                <patternFill>
                  <bgColor rgb="FFFFFF00"/>
                </patternFill>
              </fill>
            </x14:dxf>
          </x14:cfRule>
          <xm:sqref>N71:AB71</xm:sqref>
        </x14:conditionalFormatting>
        <x14:conditionalFormatting xmlns:xm="http://schemas.microsoft.com/office/excel/2006/main">
          <x14:cfRule type="expression" priority="4693580" id="{C0DF7A1B-D6BC-4371-BD3A-F0708147FA1C}">
            <xm:f>$AC$4='Data entry'!$R28</xm:f>
            <x14:dxf>
              <fill>
                <patternFill>
                  <bgColor rgb="FFFF0000"/>
                </patternFill>
              </fill>
            </x14:dxf>
          </x14:cfRule>
          <xm:sqref>AA72:AM72</xm:sqref>
        </x14:conditionalFormatting>
        <x14:conditionalFormatting xmlns:xm="http://schemas.microsoft.com/office/excel/2006/main">
          <x14:cfRule type="expression" priority="4693581" id="{DB2E1F48-AF0E-41F9-A976-6B1963CA5711}">
            <xm:f>$AC$4='Data entry'!$R28</xm:f>
            <x14:dxf>
              <fill>
                <patternFill>
                  <bgColor rgb="FFFFFF00"/>
                </patternFill>
              </fill>
            </x14:dxf>
          </x14:cfRule>
          <xm:sqref>O71:AC71</xm:sqref>
        </x14:conditionalFormatting>
        <x14:conditionalFormatting xmlns:xm="http://schemas.microsoft.com/office/excel/2006/main">
          <x14:cfRule type="expression" priority="4693582" id="{89909907-F9A9-4AF9-BC1D-304710A43F50}">
            <xm:f>$AD$4='Data entry'!$R28</xm:f>
            <x14:dxf>
              <fill>
                <patternFill>
                  <bgColor rgb="FFFF0000"/>
                </patternFill>
              </fill>
            </x14:dxf>
          </x14:cfRule>
          <xm:sqref>AB72:AN72</xm:sqref>
        </x14:conditionalFormatting>
        <x14:conditionalFormatting xmlns:xm="http://schemas.microsoft.com/office/excel/2006/main">
          <x14:cfRule type="expression" priority="4693583" id="{729676B7-E331-43A4-ACC9-850DCEE76A0E}">
            <xm:f>$AD$4='Data entry'!$R28</xm:f>
            <x14:dxf>
              <fill>
                <patternFill>
                  <bgColor rgb="FFFFFF00"/>
                </patternFill>
              </fill>
            </x14:dxf>
          </x14:cfRule>
          <xm:sqref>P71:AD71</xm:sqref>
        </x14:conditionalFormatting>
        <x14:conditionalFormatting xmlns:xm="http://schemas.microsoft.com/office/excel/2006/main">
          <x14:cfRule type="expression" priority="4693584" id="{00DA2C55-350E-44AA-ABEA-808FABFDA737}">
            <xm:f>$AE$4='Data entry'!$R28</xm:f>
            <x14:dxf>
              <fill>
                <patternFill>
                  <bgColor rgb="FFFF0000"/>
                </patternFill>
              </fill>
            </x14:dxf>
          </x14:cfRule>
          <xm:sqref>AC72:AO72</xm:sqref>
        </x14:conditionalFormatting>
        <x14:conditionalFormatting xmlns:xm="http://schemas.microsoft.com/office/excel/2006/main">
          <x14:cfRule type="expression" priority="4693585" id="{373C95F1-00C1-45E9-B561-5224945BA4A4}">
            <xm:f>$AE$4='Data entry'!$R28</xm:f>
            <x14:dxf>
              <fill>
                <patternFill>
                  <bgColor rgb="FFFFFF00"/>
                </patternFill>
              </fill>
            </x14:dxf>
          </x14:cfRule>
          <xm:sqref>Q71:AE71</xm:sqref>
        </x14:conditionalFormatting>
        <x14:conditionalFormatting xmlns:xm="http://schemas.microsoft.com/office/excel/2006/main">
          <x14:cfRule type="expression" priority="4693586" id="{65E90E74-6BEF-4B00-BD5E-ECACFEBC225A}">
            <xm:f>$AF$4='Data entry'!$R28</xm:f>
            <x14:dxf>
              <fill>
                <patternFill>
                  <bgColor rgb="FFFF0000"/>
                </patternFill>
              </fill>
            </x14:dxf>
          </x14:cfRule>
          <xm:sqref>AD72:AP72</xm:sqref>
        </x14:conditionalFormatting>
        <x14:conditionalFormatting xmlns:xm="http://schemas.microsoft.com/office/excel/2006/main">
          <x14:cfRule type="expression" priority="4693587" id="{56B519D7-E083-4811-B42B-D6CB10D44BB3}">
            <xm:f>$AF$4='Data entry'!$R28</xm:f>
            <x14:dxf>
              <fill>
                <patternFill>
                  <bgColor rgb="FFFFFF00"/>
                </patternFill>
              </fill>
            </x14:dxf>
          </x14:cfRule>
          <xm:sqref>R71:AF71</xm:sqref>
        </x14:conditionalFormatting>
        <x14:conditionalFormatting xmlns:xm="http://schemas.microsoft.com/office/excel/2006/main">
          <x14:cfRule type="expression" priority="4693588" id="{889682B6-BF9B-414B-86B7-1C802156B058}">
            <xm:f>$AG$4='Data entry'!$R28</xm:f>
            <x14:dxf>
              <fill>
                <patternFill>
                  <bgColor rgb="FFFF0000"/>
                </patternFill>
              </fill>
            </x14:dxf>
          </x14:cfRule>
          <xm:sqref>AE72:AQ72</xm:sqref>
        </x14:conditionalFormatting>
        <x14:conditionalFormatting xmlns:xm="http://schemas.microsoft.com/office/excel/2006/main">
          <x14:cfRule type="expression" priority="4693589" id="{19913D88-1940-4CB0-B29C-D46D60833BD5}">
            <xm:f>$AG$4='Data entry'!$R28</xm:f>
            <x14:dxf>
              <fill>
                <patternFill>
                  <bgColor rgb="FFFFFF00"/>
                </patternFill>
              </fill>
            </x14:dxf>
          </x14:cfRule>
          <xm:sqref>S71:AG71</xm:sqref>
        </x14:conditionalFormatting>
        <x14:conditionalFormatting xmlns:xm="http://schemas.microsoft.com/office/excel/2006/main">
          <x14:cfRule type="expression" priority="4693590" id="{3DD7B9A5-18A3-463F-BAD5-9796FC487328}">
            <xm:f>$AH$4='Data entry'!$R28</xm:f>
            <x14:dxf>
              <fill>
                <patternFill>
                  <bgColor rgb="FFFF0000"/>
                </patternFill>
              </fill>
            </x14:dxf>
          </x14:cfRule>
          <xm:sqref>AF72:AR72</xm:sqref>
        </x14:conditionalFormatting>
        <x14:conditionalFormatting xmlns:xm="http://schemas.microsoft.com/office/excel/2006/main">
          <x14:cfRule type="expression" priority="4693591" id="{31005CF4-5608-496E-91EB-F7F505046C80}">
            <xm:f>$AH$4='Data entry'!$R28</xm:f>
            <x14:dxf>
              <fill>
                <patternFill>
                  <bgColor rgb="FFFFFF00"/>
                </patternFill>
              </fill>
            </x14:dxf>
          </x14:cfRule>
          <xm:sqref>T71:AH71</xm:sqref>
        </x14:conditionalFormatting>
        <x14:conditionalFormatting xmlns:xm="http://schemas.microsoft.com/office/excel/2006/main">
          <x14:cfRule type="expression" priority="4693592" id="{CD14F654-5B7A-444F-8FC1-7DD71E76E475}">
            <xm:f>$AI$4='Data entry'!$R28</xm:f>
            <x14:dxf>
              <fill>
                <patternFill>
                  <bgColor rgb="FFFF0000"/>
                </patternFill>
              </fill>
            </x14:dxf>
          </x14:cfRule>
          <xm:sqref>AG72:AS72</xm:sqref>
        </x14:conditionalFormatting>
        <x14:conditionalFormatting xmlns:xm="http://schemas.microsoft.com/office/excel/2006/main">
          <x14:cfRule type="expression" priority="4693593" id="{0E4E448C-6C46-4285-B877-A61A90294385}">
            <xm:f>$AI$4='Data entry'!$R28</xm:f>
            <x14:dxf>
              <fill>
                <patternFill>
                  <bgColor rgb="FFFFFF00"/>
                </patternFill>
              </fill>
            </x14:dxf>
          </x14:cfRule>
          <xm:sqref>U71:AI71</xm:sqref>
        </x14:conditionalFormatting>
        <x14:conditionalFormatting xmlns:xm="http://schemas.microsoft.com/office/excel/2006/main">
          <x14:cfRule type="expression" priority="4693594" id="{B1C1818F-791C-403D-BE73-6F6E9DC6A16D}">
            <xm:f>$AJ$4='Data entry'!$R28</xm:f>
            <x14:dxf>
              <fill>
                <patternFill>
                  <bgColor rgb="FFFF0000"/>
                </patternFill>
              </fill>
            </x14:dxf>
          </x14:cfRule>
          <xm:sqref>AH72:AT72</xm:sqref>
        </x14:conditionalFormatting>
        <x14:conditionalFormatting xmlns:xm="http://schemas.microsoft.com/office/excel/2006/main">
          <x14:cfRule type="expression" priority="4693595" id="{A1237792-221B-431B-B8A7-E9A64DA46D93}">
            <xm:f>$AJ$4='Data entry'!$R28</xm:f>
            <x14:dxf>
              <fill>
                <patternFill>
                  <bgColor rgb="FFFFFF00"/>
                </patternFill>
              </fill>
            </x14:dxf>
          </x14:cfRule>
          <xm:sqref>V71:AJ71</xm:sqref>
        </x14:conditionalFormatting>
        <x14:conditionalFormatting xmlns:xm="http://schemas.microsoft.com/office/excel/2006/main">
          <x14:cfRule type="expression" priority="4693596" id="{617DC2AF-C7A3-4724-8EA3-17DEFEDC8949}">
            <xm:f>$AK$4='Data entry'!$R28</xm:f>
            <x14:dxf>
              <fill>
                <patternFill>
                  <bgColor rgb="FFFF0000"/>
                </patternFill>
              </fill>
            </x14:dxf>
          </x14:cfRule>
          <xm:sqref>AI72:AU72</xm:sqref>
        </x14:conditionalFormatting>
        <x14:conditionalFormatting xmlns:xm="http://schemas.microsoft.com/office/excel/2006/main">
          <x14:cfRule type="expression" priority="4693597" id="{AA72317D-37B1-48EB-A28B-BF2AC8DC4519}">
            <xm:f>$AK$4='Data entry'!$R28</xm:f>
            <x14:dxf>
              <fill>
                <patternFill>
                  <bgColor rgb="FFFFFF00"/>
                </patternFill>
              </fill>
            </x14:dxf>
          </x14:cfRule>
          <xm:sqref>W71:AK71</xm:sqref>
        </x14:conditionalFormatting>
        <x14:conditionalFormatting xmlns:xm="http://schemas.microsoft.com/office/excel/2006/main">
          <x14:cfRule type="expression" priority="4693598" id="{6CA9FB7A-20EA-4D3A-B74C-A001F4BE810D}">
            <xm:f>$AL$4='Data entry'!$R28</xm:f>
            <x14:dxf>
              <fill>
                <patternFill>
                  <bgColor rgb="FFFF0000"/>
                </patternFill>
              </fill>
            </x14:dxf>
          </x14:cfRule>
          <xm:sqref>AJ72:AV72</xm:sqref>
        </x14:conditionalFormatting>
        <x14:conditionalFormatting xmlns:xm="http://schemas.microsoft.com/office/excel/2006/main">
          <x14:cfRule type="expression" priority="4693599" id="{81A75DAA-573F-4EF3-A640-1B992C18BEA0}">
            <xm:f>$AL$4='Data entry'!$R28</xm:f>
            <x14:dxf>
              <fill>
                <patternFill>
                  <bgColor rgb="FFFFFF00"/>
                </patternFill>
              </fill>
            </x14:dxf>
          </x14:cfRule>
          <xm:sqref>X71:AL71</xm:sqref>
        </x14:conditionalFormatting>
        <x14:conditionalFormatting xmlns:xm="http://schemas.microsoft.com/office/excel/2006/main">
          <x14:cfRule type="expression" priority="4693600" id="{3D44713E-4ABA-4CCD-9DF4-5513A9FB5E1E}">
            <xm:f>$AM$4='Data entry'!$R28</xm:f>
            <x14:dxf>
              <fill>
                <patternFill>
                  <bgColor rgb="FFFF0000"/>
                </patternFill>
              </fill>
            </x14:dxf>
          </x14:cfRule>
          <xm:sqref>AK72:AW72</xm:sqref>
        </x14:conditionalFormatting>
        <x14:conditionalFormatting xmlns:xm="http://schemas.microsoft.com/office/excel/2006/main">
          <x14:cfRule type="expression" priority="4693601" id="{05A26B51-72A7-4423-822F-2BDBC28275D0}">
            <xm:f>$AM$4='Data entry'!$R28</xm:f>
            <x14:dxf>
              <fill>
                <patternFill>
                  <bgColor rgb="FFFFFF00"/>
                </patternFill>
              </fill>
            </x14:dxf>
          </x14:cfRule>
          <xm:sqref>Y71:AM71</xm:sqref>
        </x14:conditionalFormatting>
        <x14:conditionalFormatting xmlns:xm="http://schemas.microsoft.com/office/excel/2006/main">
          <x14:cfRule type="expression" priority="4693602" id="{B8A20675-6230-4694-A7F6-6B3DC7142773}">
            <xm:f>$AN$4='Data entry'!$R28</xm:f>
            <x14:dxf>
              <fill>
                <patternFill>
                  <bgColor rgb="FFFF0000"/>
                </patternFill>
              </fill>
            </x14:dxf>
          </x14:cfRule>
          <xm:sqref>AL72:AX72</xm:sqref>
        </x14:conditionalFormatting>
        <x14:conditionalFormatting xmlns:xm="http://schemas.microsoft.com/office/excel/2006/main">
          <x14:cfRule type="expression" priority="4693603" id="{8421181C-7450-42E9-BC1D-065CCFCA960E}">
            <xm:f>$AN$4='Data entry'!$R28</xm:f>
            <x14:dxf>
              <fill>
                <patternFill>
                  <bgColor rgb="FFFFFF00"/>
                </patternFill>
              </fill>
            </x14:dxf>
          </x14:cfRule>
          <xm:sqref>Z71:AN71</xm:sqref>
        </x14:conditionalFormatting>
        <x14:conditionalFormatting xmlns:xm="http://schemas.microsoft.com/office/excel/2006/main">
          <x14:cfRule type="expression" priority="4693604" id="{067FE4BD-6EF4-4684-B6E0-35AB2F267EE7}">
            <xm:f>$AO$4='Data entry'!$R28</xm:f>
            <x14:dxf>
              <fill>
                <patternFill>
                  <bgColor rgb="FFFF0000"/>
                </patternFill>
              </fill>
            </x14:dxf>
          </x14:cfRule>
          <xm:sqref>AM72:AY72</xm:sqref>
        </x14:conditionalFormatting>
        <x14:conditionalFormatting xmlns:xm="http://schemas.microsoft.com/office/excel/2006/main">
          <x14:cfRule type="expression" priority="4693605" id="{F7653492-88D1-47AC-8BA3-0CCE65C3C2AB}">
            <xm:f>$AO$4='Data entry'!$R28</xm:f>
            <x14:dxf>
              <fill>
                <patternFill>
                  <bgColor rgb="FFFFFF00"/>
                </patternFill>
              </fill>
            </x14:dxf>
          </x14:cfRule>
          <xm:sqref>AA71:AO71</xm:sqref>
        </x14:conditionalFormatting>
        <x14:conditionalFormatting xmlns:xm="http://schemas.microsoft.com/office/excel/2006/main">
          <x14:cfRule type="expression" priority="4693606" id="{207A5E5D-B322-482E-9193-1D7318138358}">
            <xm:f>$AP$4='Data entry'!$R28</xm:f>
            <x14:dxf>
              <fill>
                <patternFill>
                  <bgColor rgb="FFFF0000"/>
                </patternFill>
              </fill>
            </x14:dxf>
          </x14:cfRule>
          <xm:sqref>AN72:AZ72</xm:sqref>
        </x14:conditionalFormatting>
        <x14:conditionalFormatting xmlns:xm="http://schemas.microsoft.com/office/excel/2006/main">
          <x14:cfRule type="expression" priority="4693607" id="{21DA638D-4CA0-4067-BFF1-240CE1A0261B}">
            <xm:f>$AP$4='Data entry'!$R28</xm:f>
            <x14:dxf>
              <fill>
                <patternFill>
                  <bgColor rgb="FFFFFF00"/>
                </patternFill>
              </fill>
            </x14:dxf>
          </x14:cfRule>
          <xm:sqref>AB71:AP71</xm:sqref>
        </x14:conditionalFormatting>
        <x14:conditionalFormatting xmlns:xm="http://schemas.microsoft.com/office/excel/2006/main">
          <x14:cfRule type="expression" priority="4693608" id="{71963D96-A42A-4B90-BFC7-6D83D37766EF}">
            <xm:f>$AQ$4='Data entry'!$R28</xm:f>
            <x14:dxf>
              <fill>
                <patternFill>
                  <bgColor rgb="FFFF0000"/>
                </patternFill>
              </fill>
            </x14:dxf>
          </x14:cfRule>
          <xm:sqref>AO72:BA72</xm:sqref>
        </x14:conditionalFormatting>
        <x14:conditionalFormatting xmlns:xm="http://schemas.microsoft.com/office/excel/2006/main">
          <x14:cfRule type="expression" priority="4693609" id="{74952595-84B6-484F-8FF6-FCC1F337DF4D}">
            <xm:f>$AQ$4='Data entry'!$R28</xm:f>
            <x14:dxf>
              <fill>
                <patternFill>
                  <bgColor rgb="FFFFFF00"/>
                </patternFill>
              </fill>
            </x14:dxf>
          </x14:cfRule>
          <xm:sqref>AC71:AQ71</xm:sqref>
        </x14:conditionalFormatting>
        <x14:conditionalFormatting xmlns:xm="http://schemas.microsoft.com/office/excel/2006/main">
          <x14:cfRule type="expression" priority="4693610" id="{8AC9C4B9-0A34-4BC0-B0F7-CA89434C4911}">
            <xm:f>$P$4='Data entry'!$R28</xm:f>
            <x14:dxf>
              <fill>
                <patternFill>
                  <bgColor rgb="FFFFFF00"/>
                </patternFill>
              </fill>
            </x14:dxf>
          </x14:cfRule>
          <xm:sqref>C71:P71</xm:sqref>
        </x14:conditionalFormatting>
        <x14:conditionalFormatting xmlns:xm="http://schemas.microsoft.com/office/excel/2006/main">
          <x14:cfRule type="expression" priority="4693611" id="{0A726775-ABFD-4F22-967C-1A4D87BA3751}">
            <xm:f>$Q$4='Data entry'!$R28</xm:f>
            <x14:dxf>
              <fill>
                <patternFill>
                  <bgColor rgb="FFFFFF00"/>
                </patternFill>
              </fill>
            </x14:dxf>
          </x14:cfRule>
          <xm:sqref>C71:Q71</xm:sqref>
        </x14:conditionalFormatting>
        <x14:conditionalFormatting xmlns:xm="http://schemas.microsoft.com/office/excel/2006/main">
          <x14:cfRule type="expression" priority="4693612" id="{3A8414BD-262C-43B5-86EE-FA6901D00453}">
            <xm:f>$Q$4='Data entry'!$R28</xm:f>
            <x14:dxf>
              <fill>
                <patternFill>
                  <bgColor rgb="FFFF0000"/>
                </patternFill>
              </fill>
            </x14:dxf>
          </x14:cfRule>
          <xm:sqref>O72:AA72</xm:sqref>
        </x14:conditionalFormatting>
        <x14:conditionalFormatting xmlns:xm="http://schemas.microsoft.com/office/excel/2006/main">
          <x14:cfRule type="expression" priority="4693613" id="{B8B5501D-F3EF-4449-9306-F652960C65F4}">
            <xm:f>$R$4='Data entry'!$R28</xm:f>
            <x14:dxf>
              <fill>
                <patternFill>
                  <bgColor rgb="FFFF0000"/>
                </patternFill>
              </fill>
            </x14:dxf>
          </x14:cfRule>
          <xm:sqref>P72:AB72</xm:sqref>
        </x14:conditionalFormatting>
        <x14:conditionalFormatting xmlns:xm="http://schemas.microsoft.com/office/excel/2006/main">
          <x14:cfRule type="expression" priority="4693614" id="{5D070DEC-B82E-4D87-B907-A3E5AB836991}">
            <xm:f>$R$4='Data entry'!$R28</xm:f>
            <x14:dxf>
              <fill>
                <patternFill>
                  <bgColor rgb="FFFFFF00"/>
                </patternFill>
              </fill>
            </x14:dxf>
          </x14:cfRule>
          <xm:sqref>D71:R71</xm:sqref>
        </x14:conditionalFormatting>
        <x14:conditionalFormatting xmlns:xm="http://schemas.microsoft.com/office/excel/2006/main">
          <x14:cfRule type="expression" priority="4693615" id="{E4D16A10-F818-4664-9FB2-F0E839824D4B}">
            <xm:f>$S$4='Data entry'!$R28</xm:f>
            <x14:dxf>
              <fill>
                <patternFill>
                  <bgColor rgb="FFFF0000"/>
                </patternFill>
              </fill>
            </x14:dxf>
          </x14:cfRule>
          <xm:sqref>Q72:AC72</xm:sqref>
        </x14:conditionalFormatting>
        <x14:conditionalFormatting xmlns:xm="http://schemas.microsoft.com/office/excel/2006/main">
          <x14:cfRule type="expression" priority="4693616" id="{1A9F9911-A3E9-4730-AFBE-AB8C596545CA}">
            <xm:f>$S$4='Data entry'!$R28</xm:f>
            <x14:dxf>
              <fill>
                <patternFill>
                  <bgColor rgb="FFFFFF00"/>
                </patternFill>
              </fill>
            </x14:dxf>
          </x14:cfRule>
          <xm:sqref>E71:S71</xm:sqref>
        </x14:conditionalFormatting>
        <x14:conditionalFormatting xmlns:xm="http://schemas.microsoft.com/office/excel/2006/main">
          <x14:cfRule type="expression" priority="4693617" id="{8BB5CD1B-B2AC-442A-9550-26DE19A62D22}">
            <xm:f>$T$4='Data entry'!$R28</xm:f>
            <x14:dxf>
              <fill>
                <patternFill>
                  <bgColor rgb="FFFF0000"/>
                </patternFill>
              </fill>
            </x14:dxf>
          </x14:cfRule>
          <xm:sqref>R72:AD72</xm:sqref>
        </x14:conditionalFormatting>
        <x14:conditionalFormatting xmlns:xm="http://schemas.microsoft.com/office/excel/2006/main">
          <x14:cfRule type="expression" priority="4693618" id="{E7B59C69-7921-4049-84A1-8B3E5F7B0598}">
            <xm:f>$T$4='Data entry'!$R28</xm:f>
            <x14:dxf>
              <fill>
                <patternFill>
                  <bgColor rgb="FFFFFF00"/>
                </patternFill>
              </fill>
            </x14:dxf>
          </x14:cfRule>
          <xm:sqref>F71:T71</xm:sqref>
        </x14:conditionalFormatting>
        <x14:conditionalFormatting xmlns:xm="http://schemas.microsoft.com/office/excel/2006/main">
          <x14:cfRule type="expression" priority="4693619" id="{238C09E5-7A3D-439D-949F-A7733073F9A2}">
            <xm:f>$U$4='Data entry'!$R28</xm:f>
            <x14:dxf>
              <fill>
                <patternFill>
                  <bgColor rgb="FFFFFF00"/>
                </patternFill>
              </fill>
            </x14:dxf>
          </x14:cfRule>
          <xm:sqref>G71:U71</xm:sqref>
        </x14:conditionalFormatting>
        <x14:conditionalFormatting xmlns:xm="http://schemas.microsoft.com/office/excel/2006/main">
          <x14:cfRule type="expression" priority="4693620" id="{DE4D4432-0A19-452A-AF14-2873FE4DF411}">
            <xm:f>$AR$4='Data entry'!$R28</xm:f>
            <x14:dxf>
              <fill>
                <patternFill>
                  <bgColor rgb="FFFF0000"/>
                </patternFill>
              </fill>
            </x14:dxf>
          </x14:cfRule>
          <xm:sqref>AP72:BB72</xm:sqref>
        </x14:conditionalFormatting>
        <x14:conditionalFormatting xmlns:xm="http://schemas.microsoft.com/office/excel/2006/main">
          <x14:cfRule type="expression" priority="4693621" id="{90D7E1FF-542D-40C8-9BD5-DFEB4CDD256F}">
            <xm:f>$AR$4='Data entry'!$R28</xm:f>
            <x14:dxf>
              <fill>
                <patternFill>
                  <bgColor rgb="FFFFFF00"/>
                </patternFill>
              </fill>
            </x14:dxf>
          </x14:cfRule>
          <xm:sqref>AD71:AR71</xm:sqref>
        </x14:conditionalFormatting>
        <x14:conditionalFormatting xmlns:xm="http://schemas.microsoft.com/office/excel/2006/main">
          <x14:cfRule type="expression" priority="4693622" id="{0EBB5305-4A4A-4205-A1FF-11160070CBC3}">
            <xm:f>$AS$4='Data entry'!$R28</xm:f>
            <x14:dxf>
              <fill>
                <patternFill>
                  <bgColor rgb="FFFF0000"/>
                </patternFill>
              </fill>
            </x14:dxf>
          </x14:cfRule>
          <xm:sqref>AQ72:BC72</xm:sqref>
        </x14:conditionalFormatting>
        <x14:conditionalFormatting xmlns:xm="http://schemas.microsoft.com/office/excel/2006/main">
          <x14:cfRule type="expression" priority="4693623" id="{AC8EB30C-4253-4CE1-820E-1801F6D8D35B}">
            <xm:f>$AS$4='Data entry'!$R28</xm:f>
            <x14:dxf>
              <fill>
                <patternFill>
                  <bgColor rgb="FFFFFF00"/>
                </patternFill>
              </fill>
            </x14:dxf>
          </x14:cfRule>
          <xm:sqref>AE71:AS71</xm:sqref>
        </x14:conditionalFormatting>
        <x14:conditionalFormatting xmlns:xm="http://schemas.microsoft.com/office/excel/2006/main">
          <x14:cfRule type="expression" priority="4693624" id="{E11744C1-7201-4272-A1B0-945490B42425}">
            <xm:f>$AT$4='Data entry'!$R28</xm:f>
            <x14:dxf>
              <fill>
                <patternFill>
                  <bgColor rgb="FFFF0000"/>
                </patternFill>
              </fill>
            </x14:dxf>
          </x14:cfRule>
          <xm:sqref>AR72:BD72</xm:sqref>
        </x14:conditionalFormatting>
        <x14:conditionalFormatting xmlns:xm="http://schemas.microsoft.com/office/excel/2006/main">
          <x14:cfRule type="expression" priority="4693625" id="{5EE2823B-E955-4EA7-B99C-0B1F77B57A69}">
            <xm:f>$AT$4='Data entry'!$R28</xm:f>
            <x14:dxf>
              <fill>
                <patternFill>
                  <bgColor rgb="FFFFFF00"/>
                </patternFill>
              </fill>
            </x14:dxf>
          </x14:cfRule>
          <xm:sqref>AF71:AT71</xm:sqref>
        </x14:conditionalFormatting>
        <x14:conditionalFormatting xmlns:xm="http://schemas.microsoft.com/office/excel/2006/main">
          <x14:cfRule type="expression" priority="4693626" id="{5737DC63-3262-4B34-900C-2AAEB255FCBA}">
            <xm:f>$AU$4='Data entry'!$R28</xm:f>
            <x14:dxf>
              <fill>
                <patternFill>
                  <bgColor rgb="FFFF0000"/>
                </patternFill>
              </fill>
            </x14:dxf>
          </x14:cfRule>
          <xm:sqref>AS72:BE72</xm:sqref>
        </x14:conditionalFormatting>
        <x14:conditionalFormatting xmlns:xm="http://schemas.microsoft.com/office/excel/2006/main">
          <x14:cfRule type="expression" priority="4693627" id="{2B5C1F1B-3C3D-4CA3-BC64-0E98422075B6}">
            <xm:f>$AU$4='Data entry'!$R28</xm:f>
            <x14:dxf>
              <fill>
                <patternFill>
                  <bgColor rgb="FFFFFF00"/>
                </patternFill>
              </fill>
            </x14:dxf>
          </x14:cfRule>
          <xm:sqref>AG71:AU71</xm:sqref>
        </x14:conditionalFormatting>
        <x14:conditionalFormatting xmlns:xm="http://schemas.microsoft.com/office/excel/2006/main">
          <x14:cfRule type="expression" priority="4693628" id="{B87A1285-B003-4855-8F4B-53C391BA10E6}">
            <xm:f>$AV$4='Data entry'!$R28</xm:f>
            <x14:dxf>
              <fill>
                <patternFill>
                  <bgColor rgb="FFFF0000"/>
                </patternFill>
              </fill>
            </x14:dxf>
          </x14:cfRule>
          <xm:sqref>AT72:BF72</xm:sqref>
        </x14:conditionalFormatting>
        <x14:conditionalFormatting xmlns:xm="http://schemas.microsoft.com/office/excel/2006/main">
          <x14:cfRule type="expression" priority="4693629" id="{338EE31C-78DB-4818-B837-0380F9E457FA}">
            <xm:f>$AV$4='Data entry'!$R28</xm:f>
            <x14:dxf>
              <fill>
                <patternFill>
                  <bgColor rgb="FFFFFF00"/>
                </patternFill>
              </fill>
            </x14:dxf>
          </x14:cfRule>
          <xm:sqref>AH71:AV71</xm:sqref>
        </x14:conditionalFormatting>
        <x14:conditionalFormatting xmlns:xm="http://schemas.microsoft.com/office/excel/2006/main">
          <x14:cfRule type="expression" priority="4693630" id="{5C40EA66-2801-4C91-B885-BF6A1ECFC35C}">
            <xm:f>$AW$4='Data entry'!$R28</xm:f>
            <x14:dxf>
              <fill>
                <patternFill>
                  <bgColor rgb="FFFF0000"/>
                </patternFill>
              </fill>
            </x14:dxf>
          </x14:cfRule>
          <xm:sqref>AU72:BG72</xm:sqref>
        </x14:conditionalFormatting>
        <x14:conditionalFormatting xmlns:xm="http://schemas.microsoft.com/office/excel/2006/main">
          <x14:cfRule type="expression" priority="4693631" id="{51BCD5CE-DF86-4C2F-8A81-DDA1EFD6C8F7}">
            <xm:f>$AW$4='Data entry'!$R28</xm:f>
            <x14:dxf>
              <fill>
                <patternFill>
                  <bgColor rgb="FFFFFF00"/>
                </patternFill>
              </fill>
            </x14:dxf>
          </x14:cfRule>
          <xm:sqref>AI71:AW71</xm:sqref>
        </x14:conditionalFormatting>
        <x14:conditionalFormatting xmlns:xm="http://schemas.microsoft.com/office/excel/2006/main">
          <x14:cfRule type="expression" priority="4693632" id="{DC2ED5A0-8917-4877-8CD3-9DF9BE5993C9}">
            <xm:f>$AX$4='Data entry'!$R28</xm:f>
            <x14:dxf>
              <fill>
                <patternFill>
                  <bgColor rgb="FFFF0000"/>
                </patternFill>
              </fill>
            </x14:dxf>
          </x14:cfRule>
          <xm:sqref>AV72:BH72</xm:sqref>
        </x14:conditionalFormatting>
        <x14:conditionalFormatting xmlns:xm="http://schemas.microsoft.com/office/excel/2006/main">
          <x14:cfRule type="expression" priority="4693633" id="{59B31869-20F9-45BD-BC80-0A6C8945CE2C}">
            <xm:f>$AX$4='Data entry'!$R28</xm:f>
            <x14:dxf>
              <fill>
                <patternFill>
                  <bgColor rgb="FFFFFF00"/>
                </patternFill>
              </fill>
            </x14:dxf>
          </x14:cfRule>
          <xm:sqref>AJ71:AX71</xm:sqref>
        </x14:conditionalFormatting>
        <x14:conditionalFormatting xmlns:xm="http://schemas.microsoft.com/office/excel/2006/main">
          <x14:cfRule type="expression" priority="4693634" id="{D4208FA0-4262-4037-934C-6D0742B2AD8E}">
            <xm:f>$AY$4='Data entry'!$R28</xm:f>
            <x14:dxf>
              <fill>
                <patternFill>
                  <bgColor rgb="FFFF0000"/>
                </patternFill>
              </fill>
            </x14:dxf>
          </x14:cfRule>
          <xm:sqref>AW72:BI72</xm:sqref>
        </x14:conditionalFormatting>
        <x14:conditionalFormatting xmlns:xm="http://schemas.microsoft.com/office/excel/2006/main">
          <x14:cfRule type="expression" priority="4693635" id="{04D6E423-18C7-42B2-A67D-F49D8E62B571}">
            <xm:f>$AY$4='Data entry'!$R28</xm:f>
            <x14:dxf>
              <fill>
                <patternFill>
                  <bgColor rgb="FFFFFF00"/>
                </patternFill>
              </fill>
            </x14:dxf>
          </x14:cfRule>
          <xm:sqref>AK71:AY71</xm:sqref>
        </x14:conditionalFormatting>
        <x14:conditionalFormatting xmlns:xm="http://schemas.microsoft.com/office/excel/2006/main">
          <x14:cfRule type="expression" priority="4693636" id="{A931C203-6E4B-4EBD-A2F4-1876881F48D4}">
            <xm:f>$AZ$4='Data entry'!$R28</xm:f>
            <x14:dxf>
              <fill>
                <patternFill>
                  <bgColor rgb="FFFF0000"/>
                </patternFill>
              </fill>
            </x14:dxf>
          </x14:cfRule>
          <xm:sqref>AX72:BJ72</xm:sqref>
        </x14:conditionalFormatting>
        <x14:conditionalFormatting xmlns:xm="http://schemas.microsoft.com/office/excel/2006/main">
          <x14:cfRule type="expression" priority="4693637" id="{092D9100-E652-40FE-8CAA-720DC0681250}">
            <xm:f>$AZ$4='Data entry'!$R28</xm:f>
            <x14:dxf>
              <fill>
                <patternFill>
                  <bgColor rgb="FFFFFF00"/>
                </patternFill>
              </fill>
            </x14:dxf>
          </x14:cfRule>
          <xm:sqref>AL71:AZ71</xm:sqref>
        </x14:conditionalFormatting>
        <x14:conditionalFormatting xmlns:xm="http://schemas.microsoft.com/office/excel/2006/main">
          <x14:cfRule type="expression" priority="4693638" id="{A3C7E6BE-A225-483C-A983-A915DB662C52}">
            <xm:f>$BA$4='Data entry'!$R28</xm:f>
            <x14:dxf>
              <fill>
                <patternFill>
                  <bgColor rgb="FFFF0000"/>
                </patternFill>
              </fill>
            </x14:dxf>
          </x14:cfRule>
          <xm:sqref>AY72:BK72</xm:sqref>
        </x14:conditionalFormatting>
        <x14:conditionalFormatting xmlns:xm="http://schemas.microsoft.com/office/excel/2006/main">
          <x14:cfRule type="expression" priority="4693639" id="{F5CF569A-8AFA-4CFF-8BD3-F04D8927A99F}">
            <xm:f>$BA$4='Data entry'!$R28</xm:f>
            <x14:dxf>
              <fill>
                <patternFill>
                  <bgColor rgb="FFFFFF00"/>
                </patternFill>
              </fill>
            </x14:dxf>
          </x14:cfRule>
          <xm:sqref>AM71:BA71</xm:sqref>
        </x14:conditionalFormatting>
        <x14:conditionalFormatting xmlns:xm="http://schemas.microsoft.com/office/excel/2006/main">
          <x14:cfRule type="expression" priority="4693640" id="{E4DAC94A-7983-4BFB-A87B-45B58561841A}">
            <xm:f>$BB$4='Data entry'!$R28</xm:f>
            <x14:dxf>
              <fill>
                <patternFill>
                  <bgColor rgb="FFFF0000"/>
                </patternFill>
              </fill>
            </x14:dxf>
          </x14:cfRule>
          <xm:sqref>AZ72:BL72</xm:sqref>
        </x14:conditionalFormatting>
        <x14:conditionalFormatting xmlns:xm="http://schemas.microsoft.com/office/excel/2006/main">
          <x14:cfRule type="expression" priority="4693641" id="{E63849C5-F39B-4B0E-8F8A-B532EDF2CBAE}">
            <xm:f>$BB$4='Data entry'!$R28</xm:f>
            <x14:dxf>
              <fill>
                <patternFill>
                  <bgColor rgb="FFFFFF00"/>
                </patternFill>
              </fill>
            </x14:dxf>
          </x14:cfRule>
          <xm:sqref>AN71:BB71</xm:sqref>
        </x14:conditionalFormatting>
        <x14:conditionalFormatting xmlns:xm="http://schemas.microsoft.com/office/excel/2006/main">
          <x14:cfRule type="expression" priority="4693642" id="{4FDC32D3-C1F5-455D-9AA4-A03359B72526}">
            <xm:f>$BC$4='Data entry'!$R28</xm:f>
            <x14:dxf>
              <fill>
                <patternFill>
                  <bgColor rgb="FFFF0000"/>
                </patternFill>
              </fill>
            </x14:dxf>
          </x14:cfRule>
          <xm:sqref>BA72:BM72</xm:sqref>
        </x14:conditionalFormatting>
        <x14:conditionalFormatting xmlns:xm="http://schemas.microsoft.com/office/excel/2006/main">
          <x14:cfRule type="expression" priority="4693643" id="{5F0D0C60-B233-4C56-B05D-98C99990877F}">
            <xm:f>$BC$4='Data entry'!$R28</xm:f>
            <x14:dxf>
              <fill>
                <patternFill>
                  <bgColor rgb="FFFFFF00"/>
                </patternFill>
              </fill>
            </x14:dxf>
          </x14:cfRule>
          <xm:sqref>AO71:BC71</xm:sqref>
        </x14:conditionalFormatting>
        <x14:conditionalFormatting xmlns:xm="http://schemas.microsoft.com/office/excel/2006/main">
          <x14:cfRule type="expression" priority="4693644" id="{9EBCB60F-8135-43B6-A0F3-548D4092CC98}">
            <xm:f>$BD$4='Data entry'!$R28</xm:f>
            <x14:dxf>
              <fill>
                <patternFill>
                  <bgColor rgb="FFFF0000"/>
                </patternFill>
              </fill>
            </x14:dxf>
          </x14:cfRule>
          <xm:sqref>BB72:BN72</xm:sqref>
        </x14:conditionalFormatting>
        <x14:conditionalFormatting xmlns:xm="http://schemas.microsoft.com/office/excel/2006/main">
          <x14:cfRule type="expression" priority="4693645" id="{961AF346-4A73-41ED-9A8D-27D431B09C05}">
            <xm:f>$BD$4='Data entry'!$R28</xm:f>
            <x14:dxf>
              <fill>
                <patternFill>
                  <bgColor rgb="FFFFFF00"/>
                </patternFill>
              </fill>
            </x14:dxf>
          </x14:cfRule>
          <xm:sqref>AP71:BD71</xm:sqref>
        </x14:conditionalFormatting>
        <x14:conditionalFormatting xmlns:xm="http://schemas.microsoft.com/office/excel/2006/main">
          <x14:cfRule type="expression" priority="4693646" id="{5A887026-27CD-4F8C-8BA6-1E92704C1CA6}">
            <xm:f>$BE$4='Data entry'!$R28</xm:f>
            <x14:dxf>
              <fill>
                <patternFill>
                  <bgColor rgb="FFFF0000"/>
                </patternFill>
              </fill>
            </x14:dxf>
          </x14:cfRule>
          <xm:sqref>BC72:BO72</xm:sqref>
        </x14:conditionalFormatting>
        <x14:conditionalFormatting xmlns:xm="http://schemas.microsoft.com/office/excel/2006/main">
          <x14:cfRule type="expression" priority="4693647" id="{7F46217B-A1E9-4515-B31E-E756FCD7C6D9}">
            <xm:f>$BE$4='Data entry'!$R28</xm:f>
            <x14:dxf>
              <fill>
                <patternFill>
                  <bgColor rgb="FFFFFF00"/>
                </patternFill>
              </fill>
            </x14:dxf>
          </x14:cfRule>
          <xm:sqref>AP71:BE71</xm:sqref>
        </x14:conditionalFormatting>
        <x14:conditionalFormatting xmlns:xm="http://schemas.microsoft.com/office/excel/2006/main">
          <x14:cfRule type="expression" priority="4693648" id="{F4D9285C-8CA0-4EF1-943E-6A462D47CC77}">
            <xm:f>$BF$4='Data entry'!$R28</xm:f>
            <x14:dxf>
              <fill>
                <patternFill>
                  <bgColor rgb="FFFF0000"/>
                </patternFill>
              </fill>
            </x14:dxf>
          </x14:cfRule>
          <xm:sqref>BD72:BP72</xm:sqref>
        </x14:conditionalFormatting>
        <x14:conditionalFormatting xmlns:xm="http://schemas.microsoft.com/office/excel/2006/main">
          <x14:cfRule type="expression" priority="4693649" id="{B9E4407D-651D-4DC0-9D61-3271D62A65E9}">
            <xm:f>$BF$4='Data entry'!$R28</xm:f>
            <x14:dxf>
              <fill>
                <patternFill>
                  <bgColor rgb="FFFFFF00"/>
                </patternFill>
              </fill>
            </x14:dxf>
          </x14:cfRule>
          <xm:sqref>AR71:BF71</xm:sqref>
        </x14:conditionalFormatting>
        <x14:conditionalFormatting xmlns:xm="http://schemas.microsoft.com/office/excel/2006/main">
          <x14:cfRule type="expression" priority="4693650" id="{4CDC062F-DDFF-4556-B941-08F919727F69}">
            <xm:f>$BG$4='Data entry'!$R28</xm:f>
            <x14:dxf>
              <fill>
                <patternFill>
                  <bgColor rgb="FFFF0000"/>
                </patternFill>
              </fill>
            </x14:dxf>
          </x14:cfRule>
          <xm:sqref>BE72:BQ72</xm:sqref>
        </x14:conditionalFormatting>
        <x14:conditionalFormatting xmlns:xm="http://schemas.microsoft.com/office/excel/2006/main">
          <x14:cfRule type="expression" priority="4693651" id="{789184FA-9055-433B-8A1B-92C7ED59E81F}">
            <xm:f>$BG$4='Data entry'!$R28</xm:f>
            <x14:dxf>
              <fill>
                <patternFill>
                  <bgColor rgb="FFFFFF00"/>
                </patternFill>
              </fill>
            </x14:dxf>
          </x14:cfRule>
          <xm:sqref>AS71:BG71</xm:sqref>
        </x14:conditionalFormatting>
        <x14:conditionalFormatting xmlns:xm="http://schemas.microsoft.com/office/excel/2006/main">
          <x14:cfRule type="expression" priority="4693652" id="{58651E5C-09C9-46C1-B95C-E8A578A49E15}">
            <xm:f>$BH$4='Data entry'!$R28</xm:f>
            <x14:dxf>
              <fill>
                <patternFill>
                  <bgColor rgb="FFFFFF00"/>
                </patternFill>
              </fill>
            </x14:dxf>
          </x14:cfRule>
          <xm:sqref>AT71:BH71</xm:sqref>
        </x14:conditionalFormatting>
        <x14:conditionalFormatting xmlns:xm="http://schemas.microsoft.com/office/excel/2006/main">
          <x14:cfRule type="expression" priority="4693653" id="{97B30B86-8311-4DC0-A533-8C0D53F37839}">
            <xm:f>$BH$4='Data entry'!$R28</xm:f>
            <x14:dxf>
              <fill>
                <patternFill>
                  <bgColor rgb="FFFF0000"/>
                </patternFill>
              </fill>
            </x14:dxf>
          </x14:cfRule>
          <xm:sqref>BF72:BR72</xm:sqref>
        </x14:conditionalFormatting>
        <x14:conditionalFormatting xmlns:xm="http://schemas.microsoft.com/office/excel/2006/main">
          <x14:cfRule type="expression" priority="4693654" id="{78344C0C-5AEA-40B1-A20C-6D77DF58E1F5}">
            <xm:f>$BI$4='Data entry'!$R28</xm:f>
            <x14:dxf>
              <fill>
                <patternFill>
                  <bgColor rgb="FFFFFF00"/>
                </patternFill>
              </fill>
            </x14:dxf>
          </x14:cfRule>
          <xm:sqref>AU71:BI71</xm:sqref>
        </x14:conditionalFormatting>
        <x14:conditionalFormatting xmlns:xm="http://schemas.microsoft.com/office/excel/2006/main">
          <x14:cfRule type="expression" priority="4693655" id="{A9CE044F-482E-4F25-B28F-89ACC58502B1}">
            <xm:f>$BI$4='Data entry'!$R28</xm:f>
            <x14:dxf>
              <fill>
                <patternFill>
                  <bgColor rgb="FFFF0000"/>
                </patternFill>
              </fill>
            </x14:dxf>
          </x14:cfRule>
          <xm:sqref>BG72:BS72</xm:sqref>
        </x14:conditionalFormatting>
        <x14:conditionalFormatting xmlns:xm="http://schemas.microsoft.com/office/excel/2006/main">
          <x14:cfRule type="expression" priority="4693656" id="{F63BE0EB-3C71-4456-BEF0-11180AB7A8BB}">
            <xm:f>$BJ$4='Data entry'!$R28</xm:f>
            <x14:dxf>
              <fill>
                <patternFill>
                  <bgColor rgb="FFFFFF00"/>
                </patternFill>
              </fill>
            </x14:dxf>
          </x14:cfRule>
          <xm:sqref>AV71:BJ71</xm:sqref>
        </x14:conditionalFormatting>
        <x14:conditionalFormatting xmlns:xm="http://schemas.microsoft.com/office/excel/2006/main">
          <x14:cfRule type="expression" priority="4693657" id="{478A5DCB-1DAA-4497-A6CC-B4F01FB96D10}">
            <xm:f>$BJ$4='Data entry'!$R28</xm:f>
            <x14:dxf>
              <fill>
                <patternFill>
                  <bgColor rgb="FFFF0000"/>
                </patternFill>
              </fill>
            </x14:dxf>
          </x14:cfRule>
          <xm:sqref>BH72:BT72</xm:sqref>
        </x14:conditionalFormatting>
        <x14:conditionalFormatting xmlns:xm="http://schemas.microsoft.com/office/excel/2006/main">
          <x14:cfRule type="expression" priority="4693658" id="{CDE4AD5B-65A6-4FA4-9EC0-8D05F22312A9}">
            <xm:f>$BK$4='Data entry'!$R28</xm:f>
            <x14:dxf>
              <fill>
                <patternFill>
                  <bgColor rgb="FFFF0000"/>
                </patternFill>
              </fill>
            </x14:dxf>
          </x14:cfRule>
          <xm:sqref>BI72:BU72</xm:sqref>
        </x14:conditionalFormatting>
        <x14:conditionalFormatting xmlns:xm="http://schemas.microsoft.com/office/excel/2006/main">
          <x14:cfRule type="expression" priority="4693659" id="{AB32E790-6CD8-4D11-9A69-57D785FE4BBC}">
            <xm:f>$BK$4='Data entry'!$R28</xm:f>
            <x14:dxf>
              <fill>
                <patternFill>
                  <bgColor rgb="FFFFFF00"/>
                </patternFill>
              </fill>
            </x14:dxf>
          </x14:cfRule>
          <xm:sqref>AW71:BK71</xm:sqref>
        </x14:conditionalFormatting>
        <x14:conditionalFormatting xmlns:xm="http://schemas.microsoft.com/office/excel/2006/main">
          <x14:cfRule type="expression" priority="4693660" id="{99810EB9-805C-43D8-852A-EEECE7874CDB}">
            <xm:f>$BL$4='Data entry'!$R28</xm:f>
            <x14:dxf>
              <fill>
                <patternFill>
                  <bgColor rgb="FFFF0000"/>
                </patternFill>
              </fill>
            </x14:dxf>
          </x14:cfRule>
          <xm:sqref>BJ72:BV72</xm:sqref>
        </x14:conditionalFormatting>
        <x14:conditionalFormatting xmlns:xm="http://schemas.microsoft.com/office/excel/2006/main">
          <x14:cfRule type="expression" priority="4693661" id="{BF5F5475-4E46-479C-97A6-D5175F5D1803}">
            <xm:f>$BL$4='Data entry'!$R28</xm:f>
            <x14:dxf>
              <fill>
                <patternFill>
                  <bgColor rgb="FFFFFF00"/>
                </patternFill>
              </fill>
            </x14:dxf>
          </x14:cfRule>
          <xm:sqref>AX71:BL71</xm:sqref>
        </x14:conditionalFormatting>
        <x14:conditionalFormatting xmlns:xm="http://schemas.microsoft.com/office/excel/2006/main">
          <x14:cfRule type="expression" priority="4693662" id="{B86FDF2F-16C9-46B1-847E-7EA1A8A34B9D}">
            <xm:f>$BM$4='Data entry'!$R28</xm:f>
            <x14:dxf>
              <fill>
                <patternFill>
                  <bgColor rgb="FFFF0000"/>
                </patternFill>
              </fill>
            </x14:dxf>
          </x14:cfRule>
          <xm:sqref>BK72:BW72</xm:sqref>
        </x14:conditionalFormatting>
        <x14:conditionalFormatting xmlns:xm="http://schemas.microsoft.com/office/excel/2006/main">
          <x14:cfRule type="expression" priority="4693663" id="{72FD189F-4CED-400D-9FEF-21A328970A4D}">
            <xm:f>$BM$4='Data entry'!$R28</xm:f>
            <x14:dxf>
              <fill>
                <patternFill>
                  <bgColor rgb="FFFFFF00"/>
                </patternFill>
              </fill>
            </x14:dxf>
          </x14:cfRule>
          <xm:sqref>AY71:BM71</xm:sqref>
        </x14:conditionalFormatting>
        <x14:conditionalFormatting xmlns:xm="http://schemas.microsoft.com/office/excel/2006/main">
          <x14:cfRule type="expression" priority="4693664" id="{BBBBF859-D5A7-4F55-BFBF-8A77E3357590}">
            <xm:f>$BN$4='Data entry'!$R28</xm:f>
            <x14:dxf>
              <fill>
                <patternFill>
                  <bgColor rgb="FFFF0000"/>
                </patternFill>
              </fill>
            </x14:dxf>
          </x14:cfRule>
          <xm:sqref>BL72:BX72</xm:sqref>
        </x14:conditionalFormatting>
        <x14:conditionalFormatting xmlns:xm="http://schemas.microsoft.com/office/excel/2006/main">
          <x14:cfRule type="expression" priority="4693665" id="{50CB1D75-0FD5-4D24-92B1-E8A41DC6575C}">
            <xm:f>$BN$4='Data entry'!$R28</xm:f>
            <x14:dxf>
              <fill>
                <patternFill>
                  <bgColor rgb="FFFFFF00"/>
                </patternFill>
              </fill>
            </x14:dxf>
          </x14:cfRule>
          <xm:sqref>AZ71:BN71</xm:sqref>
        </x14:conditionalFormatting>
        <x14:conditionalFormatting xmlns:xm="http://schemas.microsoft.com/office/excel/2006/main">
          <x14:cfRule type="expression" priority="4693666" id="{9EF3226D-E8FC-496B-A6FF-71776AEA54D1}">
            <xm:f>$BO$4='Data entry'!$R28</xm:f>
            <x14:dxf>
              <fill>
                <patternFill>
                  <bgColor rgb="FFFF0000"/>
                </patternFill>
              </fill>
            </x14:dxf>
          </x14:cfRule>
          <xm:sqref>BM72:BY72</xm:sqref>
        </x14:conditionalFormatting>
        <x14:conditionalFormatting xmlns:xm="http://schemas.microsoft.com/office/excel/2006/main">
          <x14:cfRule type="expression" priority="4693667" id="{3B86C801-ECFE-4D05-8AA5-1581116BAFBC}">
            <xm:f>$BO$4='Data entry'!$R28</xm:f>
            <x14:dxf>
              <fill>
                <patternFill>
                  <bgColor rgb="FFFFFF00"/>
                </patternFill>
              </fill>
            </x14:dxf>
          </x14:cfRule>
          <xm:sqref>BA71:BO71</xm:sqref>
        </x14:conditionalFormatting>
        <x14:conditionalFormatting xmlns:xm="http://schemas.microsoft.com/office/excel/2006/main">
          <x14:cfRule type="expression" priority="4693668" id="{058A23EC-3371-4A02-9F20-1ECA603AC6BC}">
            <xm:f>$BP$4='Data entry'!$R28</xm:f>
            <x14:dxf>
              <fill>
                <patternFill>
                  <bgColor rgb="FFFF0000"/>
                </patternFill>
              </fill>
            </x14:dxf>
          </x14:cfRule>
          <xm:sqref>BN72:BZ72</xm:sqref>
        </x14:conditionalFormatting>
        <x14:conditionalFormatting xmlns:xm="http://schemas.microsoft.com/office/excel/2006/main">
          <x14:cfRule type="expression" priority="4693669" id="{3E711E31-3992-4555-AB22-87133D60CD15}">
            <xm:f>$BP$4='Data entry'!$R28</xm:f>
            <x14:dxf>
              <fill>
                <patternFill>
                  <bgColor rgb="FFFFFF00"/>
                </patternFill>
              </fill>
            </x14:dxf>
          </x14:cfRule>
          <xm:sqref>BB71:BP71</xm:sqref>
        </x14:conditionalFormatting>
        <x14:conditionalFormatting xmlns:xm="http://schemas.microsoft.com/office/excel/2006/main">
          <x14:cfRule type="expression" priority="4693670" id="{23E9F8B9-37D5-4730-9453-6F23E8ECBBE3}">
            <xm:f>$BQ$4='Data entry'!$R28</xm:f>
            <x14:dxf>
              <fill>
                <patternFill>
                  <bgColor rgb="FFFFFF00"/>
                </patternFill>
              </fill>
            </x14:dxf>
          </x14:cfRule>
          <xm:sqref>BC71:BQ71</xm:sqref>
        </x14:conditionalFormatting>
        <x14:conditionalFormatting xmlns:xm="http://schemas.microsoft.com/office/excel/2006/main">
          <x14:cfRule type="expression" priority="4693671" id="{BCFD92F6-AAD3-44FD-BC61-A292A81B883E}">
            <xm:f>$BQ$4='Data entry'!$R28</xm:f>
            <x14:dxf>
              <fill>
                <patternFill>
                  <bgColor rgb="FFFF0000"/>
                </patternFill>
              </fill>
            </x14:dxf>
          </x14:cfRule>
          <xm:sqref>BO72:CA72</xm:sqref>
        </x14:conditionalFormatting>
        <x14:conditionalFormatting xmlns:xm="http://schemas.microsoft.com/office/excel/2006/main">
          <x14:cfRule type="expression" priority="4693672" id="{357D60E5-F356-477E-8020-A18F42C02832}">
            <xm:f>$BR$4='Data entry'!$R28</xm:f>
            <x14:dxf>
              <fill>
                <patternFill>
                  <bgColor rgb="FFFFFF00"/>
                </patternFill>
              </fill>
            </x14:dxf>
          </x14:cfRule>
          <xm:sqref>BD71:BR71</xm:sqref>
        </x14:conditionalFormatting>
        <x14:conditionalFormatting xmlns:xm="http://schemas.microsoft.com/office/excel/2006/main">
          <x14:cfRule type="expression" priority="4693673" id="{DA2B6511-43B3-432D-B6AA-1DB1188B90A6}">
            <xm:f>$BR$4='Data entry'!$R28</xm:f>
            <x14:dxf>
              <fill>
                <patternFill>
                  <bgColor rgb="FFFF0000"/>
                </patternFill>
              </fill>
            </x14:dxf>
          </x14:cfRule>
          <xm:sqref>BP72:CB72</xm:sqref>
        </x14:conditionalFormatting>
        <x14:conditionalFormatting xmlns:xm="http://schemas.microsoft.com/office/excel/2006/main">
          <x14:cfRule type="expression" priority="4693674" id="{0D5F64E4-4136-4BFA-B833-CC8578525D9C}">
            <xm:f>$BS$4='Data entry'!$R28</xm:f>
            <x14:dxf>
              <fill>
                <patternFill>
                  <bgColor rgb="FFFFFF00"/>
                </patternFill>
              </fill>
            </x14:dxf>
          </x14:cfRule>
          <xm:sqref>BE71:BS71</xm:sqref>
        </x14:conditionalFormatting>
        <x14:conditionalFormatting xmlns:xm="http://schemas.microsoft.com/office/excel/2006/main">
          <x14:cfRule type="expression" priority="4693675" id="{AC94D468-F078-4AE2-8771-102996E07B09}">
            <xm:f>$BS$4='Data entry'!$R28</xm:f>
            <x14:dxf>
              <fill>
                <patternFill>
                  <bgColor rgb="FFFF0000"/>
                </patternFill>
              </fill>
            </x14:dxf>
          </x14:cfRule>
          <xm:sqref>BQ72:CC72</xm:sqref>
        </x14:conditionalFormatting>
        <x14:conditionalFormatting xmlns:xm="http://schemas.microsoft.com/office/excel/2006/main">
          <x14:cfRule type="expression" priority="4693676" id="{10E78F76-181E-4F19-9F89-7DD36D3EFE30}">
            <xm:f>$BT$4='Data entry'!$R28</xm:f>
            <x14:dxf>
              <fill>
                <patternFill>
                  <bgColor rgb="FFFFFF00"/>
                </patternFill>
              </fill>
            </x14:dxf>
          </x14:cfRule>
          <xm:sqref>BF71:BT71</xm:sqref>
        </x14:conditionalFormatting>
        <x14:conditionalFormatting xmlns:xm="http://schemas.microsoft.com/office/excel/2006/main">
          <x14:cfRule type="expression" priority="4693677" id="{6A5FADC6-9512-4EFB-90A5-7B5244D10D1F}">
            <xm:f>$BT$4='Data entry'!$R28</xm:f>
            <x14:dxf>
              <fill>
                <patternFill>
                  <bgColor rgb="FFFF0000"/>
                </patternFill>
              </fill>
            </x14:dxf>
          </x14:cfRule>
          <xm:sqref>BR72:CC72</xm:sqref>
        </x14:conditionalFormatting>
        <x14:conditionalFormatting xmlns:xm="http://schemas.microsoft.com/office/excel/2006/main">
          <x14:cfRule type="expression" priority="4693678" id="{A51139D1-8841-4B96-B8CB-DFE3808765CF}">
            <xm:f>$BU$4='Data entry'!$R28</xm:f>
            <x14:dxf>
              <fill>
                <patternFill>
                  <bgColor rgb="FFFFFF00"/>
                </patternFill>
              </fill>
            </x14:dxf>
          </x14:cfRule>
          <xm:sqref>BG71:BU71</xm:sqref>
        </x14:conditionalFormatting>
        <x14:conditionalFormatting xmlns:xm="http://schemas.microsoft.com/office/excel/2006/main">
          <x14:cfRule type="expression" priority="4693679" id="{55CA7258-760F-4BFF-ACB5-A70FEB3E7981}">
            <xm:f>$BU$4='Data entry'!$R28</xm:f>
            <x14:dxf>
              <fill>
                <patternFill>
                  <bgColor rgb="FFFF0000"/>
                </patternFill>
              </fill>
            </x14:dxf>
          </x14:cfRule>
          <xm:sqref>BS72:CC72</xm:sqref>
        </x14:conditionalFormatting>
        <x14:conditionalFormatting xmlns:xm="http://schemas.microsoft.com/office/excel/2006/main">
          <x14:cfRule type="expression" priority="4693680" id="{A922B218-64DB-4CBB-9AB8-FE0EBB44E09E}">
            <xm:f>$BV$4='Data entry'!$R28</xm:f>
            <x14:dxf>
              <fill>
                <patternFill>
                  <bgColor rgb="FFFFFF00"/>
                </patternFill>
              </fill>
            </x14:dxf>
          </x14:cfRule>
          <xm:sqref>BH71:BV71</xm:sqref>
        </x14:conditionalFormatting>
        <x14:conditionalFormatting xmlns:xm="http://schemas.microsoft.com/office/excel/2006/main">
          <x14:cfRule type="expression" priority="4693681" id="{C98E908A-CD31-4778-B41C-7AFB9DBE639A}">
            <xm:f>$BV$4='Data entry'!$R28</xm:f>
            <x14:dxf>
              <fill>
                <patternFill>
                  <bgColor rgb="FFFF0000"/>
                </patternFill>
              </fill>
            </x14:dxf>
          </x14:cfRule>
          <xm:sqref>BT72:CC72</xm:sqref>
        </x14:conditionalFormatting>
        <x14:conditionalFormatting xmlns:xm="http://schemas.microsoft.com/office/excel/2006/main">
          <x14:cfRule type="expression" priority="4693682" id="{465CCCA3-B4DB-4B61-8AC7-8A5E4CEC9E3F}">
            <xm:f>$BW$4='Data entry'!$R28</xm:f>
            <x14:dxf>
              <fill>
                <patternFill>
                  <bgColor rgb="FFFFFF00"/>
                </patternFill>
              </fill>
            </x14:dxf>
          </x14:cfRule>
          <xm:sqref>BI71:BW71</xm:sqref>
        </x14:conditionalFormatting>
        <x14:conditionalFormatting xmlns:xm="http://schemas.microsoft.com/office/excel/2006/main">
          <x14:cfRule type="expression" priority="4693683" id="{37566F97-6D06-400B-A709-FE657B07687F}">
            <xm:f>$BW$4='Data entry'!$R28</xm:f>
            <x14:dxf>
              <fill>
                <patternFill>
                  <bgColor rgb="FFFF0000"/>
                </patternFill>
              </fill>
            </x14:dxf>
          </x14:cfRule>
          <xm:sqref>BU72:CC72</xm:sqref>
        </x14:conditionalFormatting>
        <x14:conditionalFormatting xmlns:xm="http://schemas.microsoft.com/office/excel/2006/main">
          <x14:cfRule type="expression" priority="4693684" id="{D8FBA3AC-5CF0-4E45-97CA-1D4DEE729ADA}">
            <xm:f>$BX$4='Data entry'!$R28</xm:f>
            <x14:dxf>
              <fill>
                <patternFill>
                  <bgColor rgb="FFFFFF00"/>
                </patternFill>
              </fill>
            </x14:dxf>
          </x14:cfRule>
          <xm:sqref>BJ71:BX71</xm:sqref>
        </x14:conditionalFormatting>
        <x14:conditionalFormatting xmlns:xm="http://schemas.microsoft.com/office/excel/2006/main">
          <x14:cfRule type="expression" priority="4693685" id="{E077C84B-A94F-431D-B232-4AFCC7C64F54}">
            <xm:f>$BX$4='Data entry'!$R28</xm:f>
            <x14:dxf>
              <fill>
                <patternFill>
                  <bgColor rgb="FFFF0000"/>
                </patternFill>
              </fill>
            </x14:dxf>
          </x14:cfRule>
          <xm:sqref>BV72:CC72</xm:sqref>
        </x14:conditionalFormatting>
        <x14:conditionalFormatting xmlns:xm="http://schemas.microsoft.com/office/excel/2006/main">
          <x14:cfRule type="expression" priority="4693686" id="{63783BA8-0C97-4A44-86FD-7A2BCF1B9957}">
            <xm:f>$BY$4='Data entry'!$R28</xm:f>
            <x14:dxf>
              <fill>
                <patternFill>
                  <bgColor rgb="FFFFFF00"/>
                </patternFill>
              </fill>
            </x14:dxf>
          </x14:cfRule>
          <xm:sqref>BK71:BY71</xm:sqref>
        </x14:conditionalFormatting>
        <x14:conditionalFormatting xmlns:xm="http://schemas.microsoft.com/office/excel/2006/main">
          <x14:cfRule type="expression" priority="4693687" id="{BB8DB8B4-B71B-46D2-AEE7-346F16103F74}">
            <xm:f>$BY$4='Data entry'!$R28</xm:f>
            <x14:dxf>
              <fill>
                <patternFill>
                  <bgColor rgb="FFFF0000"/>
                </patternFill>
              </fill>
            </x14:dxf>
          </x14:cfRule>
          <xm:sqref>BW72:CC72</xm:sqref>
        </x14:conditionalFormatting>
        <x14:conditionalFormatting xmlns:xm="http://schemas.microsoft.com/office/excel/2006/main">
          <x14:cfRule type="expression" priority="4693688" id="{1B638B98-2B06-4FEB-90C1-446A3E0A3979}">
            <xm:f>$BZ$4='Data entry'!$R28</xm:f>
            <x14:dxf>
              <fill>
                <patternFill>
                  <bgColor rgb="FFFFFF00"/>
                </patternFill>
              </fill>
            </x14:dxf>
          </x14:cfRule>
          <xm:sqref>BL71:BZ71</xm:sqref>
        </x14:conditionalFormatting>
        <x14:conditionalFormatting xmlns:xm="http://schemas.microsoft.com/office/excel/2006/main">
          <x14:cfRule type="expression" priority="4693689" id="{D3A0A2F8-D1B2-4DC5-B2A9-0EF53074E685}">
            <xm:f>$BZ$4='Data entry'!$R28</xm:f>
            <x14:dxf>
              <fill>
                <patternFill>
                  <bgColor rgb="FFFF0000"/>
                </patternFill>
              </fill>
            </x14:dxf>
          </x14:cfRule>
          <xm:sqref>BX72:CC72</xm:sqref>
        </x14:conditionalFormatting>
        <x14:conditionalFormatting xmlns:xm="http://schemas.microsoft.com/office/excel/2006/main">
          <x14:cfRule type="expression" priority="4693690" id="{83F6D018-7D3B-4D33-9998-11572F2F2FF5}">
            <xm:f>$CA$4='Data entry'!$R28</xm:f>
            <x14:dxf>
              <fill>
                <patternFill>
                  <bgColor rgb="FFFFFF00"/>
                </patternFill>
              </fill>
            </x14:dxf>
          </x14:cfRule>
          <xm:sqref>BM71:CA71</xm:sqref>
        </x14:conditionalFormatting>
        <x14:conditionalFormatting xmlns:xm="http://schemas.microsoft.com/office/excel/2006/main">
          <x14:cfRule type="expression" priority="4693691" id="{8E6D0B51-5626-4ED9-9072-C7A2C139704F}">
            <xm:f>$CA$4='Data entry'!$R28</xm:f>
            <x14:dxf>
              <fill>
                <patternFill>
                  <bgColor rgb="FFFF0000"/>
                </patternFill>
              </fill>
            </x14:dxf>
          </x14:cfRule>
          <xm:sqref>BY72:CC72</xm:sqref>
        </x14:conditionalFormatting>
        <x14:conditionalFormatting xmlns:xm="http://schemas.microsoft.com/office/excel/2006/main">
          <x14:cfRule type="expression" priority="4693692" id="{E1886EE4-3BDE-43A9-9F4B-79377FEC37FE}">
            <xm:f>$CB$4='Data entry'!$R28</xm:f>
            <x14:dxf>
              <fill>
                <patternFill>
                  <bgColor rgb="FFFFFF00"/>
                </patternFill>
              </fill>
            </x14:dxf>
          </x14:cfRule>
          <xm:sqref>BN71:CB71</xm:sqref>
        </x14:conditionalFormatting>
        <x14:conditionalFormatting xmlns:xm="http://schemas.microsoft.com/office/excel/2006/main">
          <x14:cfRule type="expression" priority="4693693" id="{ADEF572A-6C18-4602-BB86-01C96D36E07E}">
            <xm:f>$CB$4='Data entry'!$R28</xm:f>
            <x14:dxf>
              <fill>
                <patternFill>
                  <bgColor rgb="FFFF0000"/>
                </patternFill>
              </fill>
            </x14:dxf>
          </x14:cfRule>
          <xm:sqref>BZ72:CC72</xm:sqref>
        </x14:conditionalFormatting>
        <x14:conditionalFormatting xmlns:xm="http://schemas.microsoft.com/office/excel/2006/main">
          <x14:cfRule type="expression" priority="4693694" id="{7984E1C9-E073-4955-8543-62145CB6D008}">
            <xm:f>$CC$4='Data entry'!$R28</xm:f>
            <x14:dxf>
              <fill>
                <patternFill>
                  <bgColor rgb="FFFFFF00"/>
                </patternFill>
              </fill>
            </x14:dxf>
          </x14:cfRule>
          <xm:sqref>BO71:CC71</xm:sqref>
        </x14:conditionalFormatting>
        <x14:conditionalFormatting xmlns:xm="http://schemas.microsoft.com/office/excel/2006/main">
          <x14:cfRule type="expression" priority="4693695" id="{18A957B3-59FA-4698-BA92-2A208FF18E2F}">
            <xm:f>$CC$4='Data entry'!$R28</xm:f>
            <x14:dxf>
              <fill>
                <patternFill>
                  <bgColor rgb="FFFF0000"/>
                </patternFill>
              </fill>
            </x14:dxf>
          </x14:cfRule>
          <xm:sqref>CA72:CC72</xm:sqref>
        </x14:conditionalFormatting>
        <x14:conditionalFormatting xmlns:xm="http://schemas.microsoft.com/office/excel/2006/main">
          <x14:cfRule type="expression" priority="4693782" id="{5B0DB825-B7C2-40AC-B7EF-F267F054CFB9}">
            <xm:f>$U$4='Data entry'!$R29</xm:f>
            <x14:dxf>
              <fill>
                <patternFill>
                  <bgColor rgb="FFFF0000"/>
                </patternFill>
              </fill>
            </x14:dxf>
          </x14:cfRule>
          <xm:sqref>S75:AE75</xm:sqref>
        </x14:conditionalFormatting>
        <x14:conditionalFormatting xmlns:xm="http://schemas.microsoft.com/office/excel/2006/main">
          <x14:cfRule type="expression" priority="4693783" id="{18311200-E2BB-400F-B594-3B9A2C6068C2}">
            <xm:f>$V$4='Data entry'!$R29</xm:f>
            <x14:dxf>
              <fill>
                <patternFill>
                  <bgColor rgb="FFFF0000"/>
                </patternFill>
              </fill>
            </x14:dxf>
          </x14:cfRule>
          <xm:sqref>T75:AF75</xm:sqref>
        </x14:conditionalFormatting>
        <x14:conditionalFormatting xmlns:xm="http://schemas.microsoft.com/office/excel/2006/main">
          <x14:cfRule type="expression" priority="4693784" id="{D6DFB621-1A58-4C59-A987-ECAD0EB2D32B}">
            <xm:f>$V$4='Data entry'!$R29</xm:f>
            <x14:dxf>
              <fill>
                <patternFill>
                  <bgColor rgb="FFFFFF00"/>
                </patternFill>
              </fill>
            </x14:dxf>
          </x14:cfRule>
          <xm:sqref>H74:V74</xm:sqref>
        </x14:conditionalFormatting>
        <x14:conditionalFormatting xmlns:xm="http://schemas.microsoft.com/office/excel/2006/main">
          <x14:cfRule type="expression" priority="4693785" id="{5F87A680-DC5F-433D-A779-B7A534ACCDA9}">
            <xm:f>$W$4='Data entry'!$R29</xm:f>
            <x14:dxf>
              <fill>
                <patternFill>
                  <bgColor rgb="FFFF0000"/>
                </patternFill>
              </fill>
            </x14:dxf>
          </x14:cfRule>
          <xm:sqref>U75:AG75</xm:sqref>
        </x14:conditionalFormatting>
        <x14:conditionalFormatting xmlns:xm="http://schemas.microsoft.com/office/excel/2006/main">
          <x14:cfRule type="expression" priority="4693786" id="{964539FF-A92C-4F68-B268-B7157A32678C}">
            <xm:f>$W$4='Data entry'!$R29</xm:f>
            <x14:dxf>
              <fill>
                <patternFill>
                  <bgColor rgb="FFFFFF00"/>
                </patternFill>
              </fill>
            </x14:dxf>
          </x14:cfRule>
          <xm:sqref>I74:W74</xm:sqref>
        </x14:conditionalFormatting>
        <x14:conditionalFormatting xmlns:xm="http://schemas.microsoft.com/office/excel/2006/main">
          <x14:cfRule type="expression" priority="4693787" id="{46C1533A-F090-4A90-9309-3F59EC3FD3B0}">
            <xm:f>$X$4='Data entry'!$R29</xm:f>
            <x14:dxf>
              <fill>
                <patternFill>
                  <bgColor rgb="FFFF0000"/>
                </patternFill>
              </fill>
            </x14:dxf>
          </x14:cfRule>
          <xm:sqref>V75:AH75</xm:sqref>
        </x14:conditionalFormatting>
        <x14:conditionalFormatting xmlns:xm="http://schemas.microsoft.com/office/excel/2006/main">
          <x14:cfRule type="expression" priority="4693788" id="{7C70E81C-DDD4-4D75-933A-4F6A39893184}">
            <xm:f>$X$4='Data entry'!$R29</xm:f>
            <x14:dxf>
              <fill>
                <patternFill>
                  <bgColor rgb="FFFFFF00"/>
                </patternFill>
              </fill>
            </x14:dxf>
          </x14:cfRule>
          <xm:sqref>J74:X74</xm:sqref>
        </x14:conditionalFormatting>
        <x14:conditionalFormatting xmlns:xm="http://schemas.microsoft.com/office/excel/2006/main">
          <x14:cfRule type="expression" priority="4693789" id="{561AF073-0EF8-4B72-A119-40A639C4359D}">
            <xm:f>$Y$4='Data entry'!$R29</xm:f>
            <x14:dxf>
              <fill>
                <patternFill>
                  <bgColor rgb="FFFF0000"/>
                </patternFill>
              </fill>
            </x14:dxf>
          </x14:cfRule>
          <xm:sqref>W75:AI75</xm:sqref>
        </x14:conditionalFormatting>
        <x14:conditionalFormatting xmlns:xm="http://schemas.microsoft.com/office/excel/2006/main">
          <x14:cfRule type="expression" priority="4693790" id="{F242E808-8F07-4A89-9524-7D4C767CE357}">
            <xm:f>$Y$4='Data entry'!$R29</xm:f>
            <x14:dxf>
              <fill>
                <patternFill>
                  <bgColor rgb="FFFFFF00"/>
                </patternFill>
              </fill>
            </x14:dxf>
          </x14:cfRule>
          <xm:sqref>K74:Y74</xm:sqref>
        </x14:conditionalFormatting>
        <x14:conditionalFormatting xmlns:xm="http://schemas.microsoft.com/office/excel/2006/main">
          <x14:cfRule type="expression" priority="4693791" id="{DD601058-982B-4218-BD9D-64BB823C2633}">
            <xm:f>$Z$4='Data entry'!$R29</xm:f>
            <x14:dxf>
              <fill>
                <patternFill>
                  <bgColor rgb="FFFF0000"/>
                </patternFill>
              </fill>
            </x14:dxf>
          </x14:cfRule>
          <xm:sqref>X75:AJ75</xm:sqref>
        </x14:conditionalFormatting>
        <x14:conditionalFormatting xmlns:xm="http://schemas.microsoft.com/office/excel/2006/main">
          <x14:cfRule type="expression" priority="4693792" id="{C9DB141D-79F6-4093-92A3-7BF7A1622985}">
            <xm:f>$Z$4='Data entry'!$R29</xm:f>
            <x14:dxf>
              <fill>
                <patternFill>
                  <bgColor rgb="FFFFFF00"/>
                </patternFill>
              </fill>
            </x14:dxf>
          </x14:cfRule>
          <xm:sqref>L74:Z74</xm:sqref>
        </x14:conditionalFormatting>
        <x14:conditionalFormatting xmlns:xm="http://schemas.microsoft.com/office/excel/2006/main">
          <x14:cfRule type="expression" priority="4693793" id="{710EB8D3-F5C0-4E3C-8214-2D0C4E26F649}">
            <xm:f>$AA$4='Data entry'!$R29</xm:f>
            <x14:dxf>
              <fill>
                <patternFill>
                  <bgColor rgb="FFFF0000"/>
                </patternFill>
              </fill>
            </x14:dxf>
          </x14:cfRule>
          <xm:sqref>Y75:AK75</xm:sqref>
        </x14:conditionalFormatting>
        <x14:conditionalFormatting xmlns:xm="http://schemas.microsoft.com/office/excel/2006/main">
          <x14:cfRule type="expression" priority="4693794" id="{33825D69-C967-4D27-B395-5D44A3083802}">
            <xm:f>$AA$4='Data entry'!$R29</xm:f>
            <x14:dxf>
              <fill>
                <patternFill>
                  <bgColor rgb="FFFFFF00"/>
                </patternFill>
              </fill>
            </x14:dxf>
          </x14:cfRule>
          <xm:sqref>M74:AA74</xm:sqref>
        </x14:conditionalFormatting>
        <x14:conditionalFormatting xmlns:xm="http://schemas.microsoft.com/office/excel/2006/main">
          <x14:cfRule type="expression" priority="4693795" id="{9811A97D-351B-4D32-8754-AF433277E62B}">
            <xm:f>$AB$4='Data entry'!$R29</xm:f>
            <x14:dxf>
              <fill>
                <patternFill>
                  <bgColor rgb="FFFF0000"/>
                </patternFill>
              </fill>
            </x14:dxf>
          </x14:cfRule>
          <xm:sqref>Z75:AL75</xm:sqref>
        </x14:conditionalFormatting>
        <x14:conditionalFormatting xmlns:xm="http://schemas.microsoft.com/office/excel/2006/main">
          <x14:cfRule type="expression" priority="4693796" id="{6DD3E556-C72E-438B-92DA-3096ED1E4178}">
            <xm:f>$AB$4='Data entry'!$R29</xm:f>
            <x14:dxf>
              <fill>
                <patternFill>
                  <bgColor rgb="FFFFFF00"/>
                </patternFill>
              </fill>
            </x14:dxf>
          </x14:cfRule>
          <xm:sqref>N74:AB74</xm:sqref>
        </x14:conditionalFormatting>
        <x14:conditionalFormatting xmlns:xm="http://schemas.microsoft.com/office/excel/2006/main">
          <x14:cfRule type="expression" priority="4693797" id="{C0DF7A1B-D6BC-4371-BD3A-F0708147FA1C}">
            <xm:f>$AC$4='Data entry'!$R29</xm:f>
            <x14:dxf>
              <fill>
                <patternFill>
                  <bgColor rgb="FFFF0000"/>
                </patternFill>
              </fill>
            </x14:dxf>
          </x14:cfRule>
          <xm:sqref>AA75:AM75</xm:sqref>
        </x14:conditionalFormatting>
        <x14:conditionalFormatting xmlns:xm="http://schemas.microsoft.com/office/excel/2006/main">
          <x14:cfRule type="expression" priority="4693798" id="{DB2E1F48-AF0E-41F9-A976-6B1963CA5711}">
            <xm:f>$AC$4='Data entry'!$R29</xm:f>
            <x14:dxf>
              <fill>
                <patternFill>
                  <bgColor rgb="FFFFFF00"/>
                </patternFill>
              </fill>
            </x14:dxf>
          </x14:cfRule>
          <xm:sqref>O74:AC74</xm:sqref>
        </x14:conditionalFormatting>
        <x14:conditionalFormatting xmlns:xm="http://schemas.microsoft.com/office/excel/2006/main">
          <x14:cfRule type="expression" priority="4693799" id="{89909907-F9A9-4AF9-BC1D-304710A43F50}">
            <xm:f>$AD$4='Data entry'!$R29</xm:f>
            <x14:dxf>
              <fill>
                <patternFill>
                  <bgColor rgb="FFFF0000"/>
                </patternFill>
              </fill>
            </x14:dxf>
          </x14:cfRule>
          <xm:sqref>AB75:AN75</xm:sqref>
        </x14:conditionalFormatting>
        <x14:conditionalFormatting xmlns:xm="http://schemas.microsoft.com/office/excel/2006/main">
          <x14:cfRule type="expression" priority="4693800" id="{729676B7-E331-43A4-ACC9-850DCEE76A0E}">
            <xm:f>$AD$4='Data entry'!$R29</xm:f>
            <x14:dxf>
              <fill>
                <patternFill>
                  <bgColor rgb="FFFFFF00"/>
                </patternFill>
              </fill>
            </x14:dxf>
          </x14:cfRule>
          <xm:sqref>P74:AD74</xm:sqref>
        </x14:conditionalFormatting>
        <x14:conditionalFormatting xmlns:xm="http://schemas.microsoft.com/office/excel/2006/main">
          <x14:cfRule type="expression" priority="4693801" id="{00DA2C55-350E-44AA-ABEA-808FABFDA737}">
            <xm:f>$AE$4='Data entry'!$R29</xm:f>
            <x14:dxf>
              <fill>
                <patternFill>
                  <bgColor rgb="FFFF0000"/>
                </patternFill>
              </fill>
            </x14:dxf>
          </x14:cfRule>
          <xm:sqref>AC75:AO75</xm:sqref>
        </x14:conditionalFormatting>
        <x14:conditionalFormatting xmlns:xm="http://schemas.microsoft.com/office/excel/2006/main">
          <x14:cfRule type="expression" priority="4693802" id="{373C95F1-00C1-45E9-B561-5224945BA4A4}">
            <xm:f>$AE$4='Data entry'!$R29</xm:f>
            <x14:dxf>
              <fill>
                <patternFill>
                  <bgColor rgb="FFFFFF00"/>
                </patternFill>
              </fill>
            </x14:dxf>
          </x14:cfRule>
          <xm:sqref>Q74:AE74</xm:sqref>
        </x14:conditionalFormatting>
        <x14:conditionalFormatting xmlns:xm="http://schemas.microsoft.com/office/excel/2006/main">
          <x14:cfRule type="expression" priority="4693803" id="{65E90E74-6BEF-4B00-BD5E-ECACFEBC225A}">
            <xm:f>$AF$4='Data entry'!$R29</xm:f>
            <x14:dxf>
              <fill>
                <patternFill>
                  <bgColor rgb="FFFF0000"/>
                </patternFill>
              </fill>
            </x14:dxf>
          </x14:cfRule>
          <xm:sqref>AD75:AP75</xm:sqref>
        </x14:conditionalFormatting>
        <x14:conditionalFormatting xmlns:xm="http://schemas.microsoft.com/office/excel/2006/main">
          <x14:cfRule type="expression" priority="4693804" id="{56B519D7-E083-4811-B42B-D6CB10D44BB3}">
            <xm:f>$AF$4='Data entry'!$R29</xm:f>
            <x14:dxf>
              <fill>
                <patternFill>
                  <bgColor rgb="FFFFFF00"/>
                </patternFill>
              </fill>
            </x14:dxf>
          </x14:cfRule>
          <xm:sqref>R74:AF74</xm:sqref>
        </x14:conditionalFormatting>
        <x14:conditionalFormatting xmlns:xm="http://schemas.microsoft.com/office/excel/2006/main">
          <x14:cfRule type="expression" priority="4693805" id="{889682B6-BF9B-414B-86B7-1C802156B058}">
            <xm:f>$AG$4='Data entry'!$R29</xm:f>
            <x14:dxf>
              <fill>
                <patternFill>
                  <bgColor rgb="FFFF0000"/>
                </patternFill>
              </fill>
            </x14:dxf>
          </x14:cfRule>
          <xm:sqref>AE75:AQ75</xm:sqref>
        </x14:conditionalFormatting>
        <x14:conditionalFormatting xmlns:xm="http://schemas.microsoft.com/office/excel/2006/main">
          <x14:cfRule type="expression" priority="4693806" id="{19913D88-1940-4CB0-B29C-D46D60833BD5}">
            <xm:f>$AG$4='Data entry'!$R29</xm:f>
            <x14:dxf>
              <fill>
                <patternFill>
                  <bgColor rgb="FFFFFF00"/>
                </patternFill>
              </fill>
            </x14:dxf>
          </x14:cfRule>
          <xm:sqref>S74:AG74</xm:sqref>
        </x14:conditionalFormatting>
        <x14:conditionalFormatting xmlns:xm="http://schemas.microsoft.com/office/excel/2006/main">
          <x14:cfRule type="expression" priority="4693807" id="{3DD7B9A5-18A3-463F-BAD5-9796FC487328}">
            <xm:f>$AH$4='Data entry'!$R29</xm:f>
            <x14:dxf>
              <fill>
                <patternFill>
                  <bgColor rgb="FFFF0000"/>
                </patternFill>
              </fill>
            </x14:dxf>
          </x14:cfRule>
          <xm:sqref>AF75:AR75</xm:sqref>
        </x14:conditionalFormatting>
        <x14:conditionalFormatting xmlns:xm="http://schemas.microsoft.com/office/excel/2006/main">
          <x14:cfRule type="expression" priority="4693808" id="{31005CF4-5608-496E-91EB-F7F505046C80}">
            <xm:f>$AH$4='Data entry'!$R29</xm:f>
            <x14:dxf>
              <fill>
                <patternFill>
                  <bgColor rgb="FFFFFF00"/>
                </patternFill>
              </fill>
            </x14:dxf>
          </x14:cfRule>
          <xm:sqref>T74:AH74</xm:sqref>
        </x14:conditionalFormatting>
        <x14:conditionalFormatting xmlns:xm="http://schemas.microsoft.com/office/excel/2006/main">
          <x14:cfRule type="expression" priority="4693809" id="{CD14F654-5B7A-444F-8FC1-7DD71E76E475}">
            <xm:f>$AI$4='Data entry'!$R29</xm:f>
            <x14:dxf>
              <fill>
                <patternFill>
                  <bgColor rgb="FFFF0000"/>
                </patternFill>
              </fill>
            </x14:dxf>
          </x14:cfRule>
          <xm:sqref>AG75:AS75</xm:sqref>
        </x14:conditionalFormatting>
        <x14:conditionalFormatting xmlns:xm="http://schemas.microsoft.com/office/excel/2006/main">
          <x14:cfRule type="expression" priority="4693810" id="{0E4E448C-6C46-4285-B877-A61A90294385}">
            <xm:f>$AI$4='Data entry'!$R29</xm:f>
            <x14:dxf>
              <fill>
                <patternFill>
                  <bgColor rgb="FFFFFF00"/>
                </patternFill>
              </fill>
            </x14:dxf>
          </x14:cfRule>
          <xm:sqref>U74:AI74</xm:sqref>
        </x14:conditionalFormatting>
        <x14:conditionalFormatting xmlns:xm="http://schemas.microsoft.com/office/excel/2006/main">
          <x14:cfRule type="expression" priority="4693811" id="{B1C1818F-791C-403D-BE73-6F6E9DC6A16D}">
            <xm:f>$AJ$4='Data entry'!$R29</xm:f>
            <x14:dxf>
              <fill>
                <patternFill>
                  <bgColor rgb="FFFF0000"/>
                </patternFill>
              </fill>
            </x14:dxf>
          </x14:cfRule>
          <xm:sqref>AH75:AT75</xm:sqref>
        </x14:conditionalFormatting>
        <x14:conditionalFormatting xmlns:xm="http://schemas.microsoft.com/office/excel/2006/main">
          <x14:cfRule type="expression" priority="4693812" id="{A1237792-221B-431B-B8A7-E9A64DA46D93}">
            <xm:f>$AJ$4='Data entry'!$R29</xm:f>
            <x14:dxf>
              <fill>
                <patternFill>
                  <bgColor rgb="FFFFFF00"/>
                </patternFill>
              </fill>
            </x14:dxf>
          </x14:cfRule>
          <xm:sqref>V74:AJ74</xm:sqref>
        </x14:conditionalFormatting>
        <x14:conditionalFormatting xmlns:xm="http://schemas.microsoft.com/office/excel/2006/main">
          <x14:cfRule type="expression" priority="4693813" id="{617DC2AF-C7A3-4724-8EA3-17DEFEDC8949}">
            <xm:f>$AK$4='Data entry'!$R29</xm:f>
            <x14:dxf>
              <fill>
                <patternFill>
                  <bgColor rgb="FFFF0000"/>
                </patternFill>
              </fill>
            </x14:dxf>
          </x14:cfRule>
          <xm:sqref>AI75:AU75</xm:sqref>
        </x14:conditionalFormatting>
        <x14:conditionalFormatting xmlns:xm="http://schemas.microsoft.com/office/excel/2006/main">
          <x14:cfRule type="expression" priority="4693814" id="{AA72317D-37B1-48EB-A28B-BF2AC8DC4519}">
            <xm:f>$AK$4='Data entry'!$R29</xm:f>
            <x14:dxf>
              <fill>
                <patternFill>
                  <bgColor rgb="FFFFFF00"/>
                </patternFill>
              </fill>
            </x14:dxf>
          </x14:cfRule>
          <xm:sqref>W74:AK74</xm:sqref>
        </x14:conditionalFormatting>
        <x14:conditionalFormatting xmlns:xm="http://schemas.microsoft.com/office/excel/2006/main">
          <x14:cfRule type="expression" priority="4693815" id="{6CA9FB7A-20EA-4D3A-B74C-A001F4BE810D}">
            <xm:f>$AL$4='Data entry'!$R29</xm:f>
            <x14:dxf>
              <fill>
                <patternFill>
                  <bgColor rgb="FFFF0000"/>
                </patternFill>
              </fill>
            </x14:dxf>
          </x14:cfRule>
          <xm:sqref>AJ75:AV75</xm:sqref>
        </x14:conditionalFormatting>
        <x14:conditionalFormatting xmlns:xm="http://schemas.microsoft.com/office/excel/2006/main">
          <x14:cfRule type="expression" priority="4693816" id="{81A75DAA-573F-4EF3-A640-1B992C18BEA0}">
            <xm:f>$AL$4='Data entry'!$R29</xm:f>
            <x14:dxf>
              <fill>
                <patternFill>
                  <bgColor rgb="FFFFFF00"/>
                </patternFill>
              </fill>
            </x14:dxf>
          </x14:cfRule>
          <xm:sqref>X74:AL74</xm:sqref>
        </x14:conditionalFormatting>
        <x14:conditionalFormatting xmlns:xm="http://schemas.microsoft.com/office/excel/2006/main">
          <x14:cfRule type="expression" priority="4693817" id="{3D44713E-4ABA-4CCD-9DF4-5513A9FB5E1E}">
            <xm:f>$AM$4='Data entry'!$R29</xm:f>
            <x14:dxf>
              <fill>
                <patternFill>
                  <bgColor rgb="FFFF0000"/>
                </patternFill>
              </fill>
            </x14:dxf>
          </x14:cfRule>
          <xm:sqref>AK75:AW75</xm:sqref>
        </x14:conditionalFormatting>
        <x14:conditionalFormatting xmlns:xm="http://schemas.microsoft.com/office/excel/2006/main">
          <x14:cfRule type="expression" priority="4693818" id="{05A26B51-72A7-4423-822F-2BDBC28275D0}">
            <xm:f>$AM$4='Data entry'!$R29</xm:f>
            <x14:dxf>
              <fill>
                <patternFill>
                  <bgColor rgb="FFFFFF00"/>
                </patternFill>
              </fill>
            </x14:dxf>
          </x14:cfRule>
          <xm:sqref>Y74:AM74</xm:sqref>
        </x14:conditionalFormatting>
        <x14:conditionalFormatting xmlns:xm="http://schemas.microsoft.com/office/excel/2006/main">
          <x14:cfRule type="expression" priority="4693819" id="{B8A20675-6230-4694-A7F6-6B3DC7142773}">
            <xm:f>$AN$4='Data entry'!$R29</xm:f>
            <x14:dxf>
              <fill>
                <patternFill>
                  <bgColor rgb="FFFF0000"/>
                </patternFill>
              </fill>
            </x14:dxf>
          </x14:cfRule>
          <xm:sqref>AL75:AX75</xm:sqref>
        </x14:conditionalFormatting>
        <x14:conditionalFormatting xmlns:xm="http://schemas.microsoft.com/office/excel/2006/main">
          <x14:cfRule type="expression" priority="4693820" id="{8421181C-7450-42E9-BC1D-065CCFCA960E}">
            <xm:f>$AN$4='Data entry'!$R29</xm:f>
            <x14:dxf>
              <fill>
                <patternFill>
                  <bgColor rgb="FFFFFF00"/>
                </patternFill>
              </fill>
            </x14:dxf>
          </x14:cfRule>
          <xm:sqref>Z74:AN74</xm:sqref>
        </x14:conditionalFormatting>
        <x14:conditionalFormatting xmlns:xm="http://schemas.microsoft.com/office/excel/2006/main">
          <x14:cfRule type="expression" priority="4693821" id="{067FE4BD-6EF4-4684-B6E0-35AB2F267EE7}">
            <xm:f>$AO$4='Data entry'!$R29</xm:f>
            <x14:dxf>
              <fill>
                <patternFill>
                  <bgColor rgb="FFFF0000"/>
                </patternFill>
              </fill>
            </x14:dxf>
          </x14:cfRule>
          <xm:sqref>AM75:AY75</xm:sqref>
        </x14:conditionalFormatting>
        <x14:conditionalFormatting xmlns:xm="http://schemas.microsoft.com/office/excel/2006/main">
          <x14:cfRule type="expression" priority="4693822" id="{F7653492-88D1-47AC-8BA3-0CCE65C3C2AB}">
            <xm:f>$AO$4='Data entry'!$R29</xm:f>
            <x14:dxf>
              <fill>
                <patternFill>
                  <bgColor rgb="FFFFFF00"/>
                </patternFill>
              </fill>
            </x14:dxf>
          </x14:cfRule>
          <xm:sqref>AA74:AO74</xm:sqref>
        </x14:conditionalFormatting>
        <x14:conditionalFormatting xmlns:xm="http://schemas.microsoft.com/office/excel/2006/main">
          <x14:cfRule type="expression" priority="4693823" id="{207A5E5D-B322-482E-9193-1D7318138358}">
            <xm:f>$AP$4='Data entry'!$R29</xm:f>
            <x14:dxf>
              <fill>
                <patternFill>
                  <bgColor rgb="FFFF0000"/>
                </patternFill>
              </fill>
            </x14:dxf>
          </x14:cfRule>
          <xm:sqref>AN75:AZ75</xm:sqref>
        </x14:conditionalFormatting>
        <x14:conditionalFormatting xmlns:xm="http://schemas.microsoft.com/office/excel/2006/main">
          <x14:cfRule type="expression" priority="4693824" id="{21DA638D-4CA0-4067-BFF1-240CE1A0261B}">
            <xm:f>$AP$4='Data entry'!$R29</xm:f>
            <x14:dxf>
              <fill>
                <patternFill>
                  <bgColor rgb="FFFFFF00"/>
                </patternFill>
              </fill>
            </x14:dxf>
          </x14:cfRule>
          <xm:sqref>AB74:AP74</xm:sqref>
        </x14:conditionalFormatting>
        <x14:conditionalFormatting xmlns:xm="http://schemas.microsoft.com/office/excel/2006/main">
          <x14:cfRule type="expression" priority="4693825" id="{71963D96-A42A-4B90-BFC7-6D83D37766EF}">
            <xm:f>$AQ$4='Data entry'!$R29</xm:f>
            <x14:dxf>
              <fill>
                <patternFill>
                  <bgColor rgb="FFFF0000"/>
                </patternFill>
              </fill>
            </x14:dxf>
          </x14:cfRule>
          <xm:sqref>AO75:BA75</xm:sqref>
        </x14:conditionalFormatting>
        <x14:conditionalFormatting xmlns:xm="http://schemas.microsoft.com/office/excel/2006/main">
          <x14:cfRule type="expression" priority="4693826" id="{74952595-84B6-484F-8FF6-FCC1F337DF4D}">
            <xm:f>$AQ$4='Data entry'!$R29</xm:f>
            <x14:dxf>
              <fill>
                <patternFill>
                  <bgColor rgb="FFFFFF00"/>
                </patternFill>
              </fill>
            </x14:dxf>
          </x14:cfRule>
          <xm:sqref>AC74:AQ74</xm:sqref>
        </x14:conditionalFormatting>
        <x14:conditionalFormatting xmlns:xm="http://schemas.microsoft.com/office/excel/2006/main">
          <x14:cfRule type="expression" priority="4693827" id="{8AC9C4B9-0A34-4BC0-B0F7-CA89434C4911}">
            <xm:f>$P$4='Data entry'!$R29</xm:f>
            <x14:dxf>
              <fill>
                <patternFill>
                  <bgColor rgb="FFFFFF00"/>
                </patternFill>
              </fill>
            </x14:dxf>
          </x14:cfRule>
          <xm:sqref>C74:P74</xm:sqref>
        </x14:conditionalFormatting>
        <x14:conditionalFormatting xmlns:xm="http://schemas.microsoft.com/office/excel/2006/main">
          <x14:cfRule type="expression" priority="4693828" id="{0A726775-ABFD-4F22-967C-1A4D87BA3751}">
            <xm:f>$Q$4='Data entry'!$R29</xm:f>
            <x14:dxf>
              <fill>
                <patternFill>
                  <bgColor rgb="FFFFFF00"/>
                </patternFill>
              </fill>
            </x14:dxf>
          </x14:cfRule>
          <xm:sqref>C74:Q74</xm:sqref>
        </x14:conditionalFormatting>
        <x14:conditionalFormatting xmlns:xm="http://schemas.microsoft.com/office/excel/2006/main">
          <x14:cfRule type="expression" priority="4693829" id="{3A8414BD-262C-43B5-86EE-FA6901D00453}">
            <xm:f>$Q$4='Data entry'!$R29</xm:f>
            <x14:dxf>
              <fill>
                <patternFill>
                  <bgColor rgb="FFFF0000"/>
                </patternFill>
              </fill>
            </x14:dxf>
          </x14:cfRule>
          <xm:sqref>O75:AA75</xm:sqref>
        </x14:conditionalFormatting>
        <x14:conditionalFormatting xmlns:xm="http://schemas.microsoft.com/office/excel/2006/main">
          <x14:cfRule type="expression" priority="4693830" id="{B8B5501D-F3EF-4449-9306-F652960C65F4}">
            <xm:f>$R$4='Data entry'!$R29</xm:f>
            <x14:dxf>
              <fill>
                <patternFill>
                  <bgColor rgb="FFFF0000"/>
                </patternFill>
              </fill>
            </x14:dxf>
          </x14:cfRule>
          <xm:sqref>P75:AB75</xm:sqref>
        </x14:conditionalFormatting>
        <x14:conditionalFormatting xmlns:xm="http://schemas.microsoft.com/office/excel/2006/main">
          <x14:cfRule type="expression" priority="4693831" id="{5D070DEC-B82E-4D87-B907-A3E5AB836991}">
            <xm:f>$R$4='Data entry'!$R29</xm:f>
            <x14:dxf>
              <fill>
                <patternFill>
                  <bgColor rgb="FFFFFF00"/>
                </patternFill>
              </fill>
            </x14:dxf>
          </x14:cfRule>
          <xm:sqref>D74:R74</xm:sqref>
        </x14:conditionalFormatting>
        <x14:conditionalFormatting xmlns:xm="http://schemas.microsoft.com/office/excel/2006/main">
          <x14:cfRule type="expression" priority="4693832" id="{E4D16A10-F818-4664-9FB2-F0E839824D4B}">
            <xm:f>$S$4='Data entry'!$R29</xm:f>
            <x14:dxf>
              <fill>
                <patternFill>
                  <bgColor rgb="FFFF0000"/>
                </patternFill>
              </fill>
            </x14:dxf>
          </x14:cfRule>
          <xm:sqref>Q75:AC75</xm:sqref>
        </x14:conditionalFormatting>
        <x14:conditionalFormatting xmlns:xm="http://schemas.microsoft.com/office/excel/2006/main">
          <x14:cfRule type="expression" priority="4693833" id="{1A9F9911-A3E9-4730-AFBE-AB8C596545CA}">
            <xm:f>$S$4='Data entry'!$R29</xm:f>
            <x14:dxf>
              <fill>
                <patternFill>
                  <bgColor rgb="FFFFFF00"/>
                </patternFill>
              </fill>
            </x14:dxf>
          </x14:cfRule>
          <xm:sqref>E74:S74</xm:sqref>
        </x14:conditionalFormatting>
        <x14:conditionalFormatting xmlns:xm="http://schemas.microsoft.com/office/excel/2006/main">
          <x14:cfRule type="expression" priority="4693834" id="{8BB5CD1B-B2AC-442A-9550-26DE19A62D22}">
            <xm:f>$T$4='Data entry'!$R29</xm:f>
            <x14:dxf>
              <fill>
                <patternFill>
                  <bgColor rgb="FFFF0000"/>
                </patternFill>
              </fill>
            </x14:dxf>
          </x14:cfRule>
          <xm:sqref>R75:AD75</xm:sqref>
        </x14:conditionalFormatting>
        <x14:conditionalFormatting xmlns:xm="http://schemas.microsoft.com/office/excel/2006/main">
          <x14:cfRule type="expression" priority="4693835" id="{E7B59C69-7921-4049-84A1-8B3E5F7B0598}">
            <xm:f>$T$4='Data entry'!$R29</xm:f>
            <x14:dxf>
              <fill>
                <patternFill>
                  <bgColor rgb="FFFFFF00"/>
                </patternFill>
              </fill>
            </x14:dxf>
          </x14:cfRule>
          <xm:sqref>F74:T74</xm:sqref>
        </x14:conditionalFormatting>
        <x14:conditionalFormatting xmlns:xm="http://schemas.microsoft.com/office/excel/2006/main">
          <x14:cfRule type="expression" priority="4693836" id="{238C09E5-7A3D-439D-949F-A7733073F9A2}">
            <xm:f>$U$4='Data entry'!$R29</xm:f>
            <x14:dxf>
              <fill>
                <patternFill>
                  <bgColor rgb="FFFFFF00"/>
                </patternFill>
              </fill>
            </x14:dxf>
          </x14:cfRule>
          <xm:sqref>G74:U74</xm:sqref>
        </x14:conditionalFormatting>
        <x14:conditionalFormatting xmlns:xm="http://schemas.microsoft.com/office/excel/2006/main">
          <x14:cfRule type="expression" priority="4693837" id="{DE4D4432-0A19-452A-AF14-2873FE4DF411}">
            <xm:f>$AR$4='Data entry'!$R29</xm:f>
            <x14:dxf>
              <fill>
                <patternFill>
                  <bgColor rgb="FFFF0000"/>
                </patternFill>
              </fill>
            </x14:dxf>
          </x14:cfRule>
          <xm:sqref>AP75:BB75</xm:sqref>
        </x14:conditionalFormatting>
        <x14:conditionalFormatting xmlns:xm="http://schemas.microsoft.com/office/excel/2006/main">
          <x14:cfRule type="expression" priority="4693838" id="{90D7E1FF-542D-40C8-9BD5-DFEB4CDD256F}">
            <xm:f>$AR$4='Data entry'!$R29</xm:f>
            <x14:dxf>
              <fill>
                <patternFill>
                  <bgColor rgb="FFFFFF00"/>
                </patternFill>
              </fill>
            </x14:dxf>
          </x14:cfRule>
          <xm:sqref>AD74:AR74</xm:sqref>
        </x14:conditionalFormatting>
        <x14:conditionalFormatting xmlns:xm="http://schemas.microsoft.com/office/excel/2006/main">
          <x14:cfRule type="expression" priority="4693839" id="{0EBB5305-4A4A-4205-A1FF-11160070CBC3}">
            <xm:f>$AS$4='Data entry'!$R29</xm:f>
            <x14:dxf>
              <fill>
                <patternFill>
                  <bgColor rgb="FFFF0000"/>
                </patternFill>
              </fill>
            </x14:dxf>
          </x14:cfRule>
          <xm:sqref>AQ75:BC75</xm:sqref>
        </x14:conditionalFormatting>
        <x14:conditionalFormatting xmlns:xm="http://schemas.microsoft.com/office/excel/2006/main">
          <x14:cfRule type="expression" priority="4693840" id="{AC8EB30C-4253-4CE1-820E-1801F6D8D35B}">
            <xm:f>$AS$4='Data entry'!$R29</xm:f>
            <x14:dxf>
              <fill>
                <patternFill>
                  <bgColor rgb="FFFFFF00"/>
                </patternFill>
              </fill>
            </x14:dxf>
          </x14:cfRule>
          <xm:sqref>AE74:AS74</xm:sqref>
        </x14:conditionalFormatting>
        <x14:conditionalFormatting xmlns:xm="http://schemas.microsoft.com/office/excel/2006/main">
          <x14:cfRule type="expression" priority="4693841" id="{E11744C1-7201-4272-A1B0-945490B42425}">
            <xm:f>$AT$4='Data entry'!$R29</xm:f>
            <x14:dxf>
              <fill>
                <patternFill>
                  <bgColor rgb="FFFF0000"/>
                </patternFill>
              </fill>
            </x14:dxf>
          </x14:cfRule>
          <xm:sqref>AR75:BD75</xm:sqref>
        </x14:conditionalFormatting>
        <x14:conditionalFormatting xmlns:xm="http://schemas.microsoft.com/office/excel/2006/main">
          <x14:cfRule type="expression" priority="4693842" id="{5EE2823B-E955-4EA7-B99C-0B1F77B57A69}">
            <xm:f>$AT$4='Data entry'!$R29</xm:f>
            <x14:dxf>
              <fill>
                <patternFill>
                  <bgColor rgb="FFFFFF00"/>
                </patternFill>
              </fill>
            </x14:dxf>
          </x14:cfRule>
          <xm:sqref>AF74:AT74</xm:sqref>
        </x14:conditionalFormatting>
        <x14:conditionalFormatting xmlns:xm="http://schemas.microsoft.com/office/excel/2006/main">
          <x14:cfRule type="expression" priority="4693843" id="{5737DC63-3262-4B34-900C-2AAEB255FCBA}">
            <xm:f>$AU$4='Data entry'!$R29</xm:f>
            <x14:dxf>
              <fill>
                <patternFill>
                  <bgColor rgb="FFFF0000"/>
                </patternFill>
              </fill>
            </x14:dxf>
          </x14:cfRule>
          <xm:sqref>AS75:BE75</xm:sqref>
        </x14:conditionalFormatting>
        <x14:conditionalFormatting xmlns:xm="http://schemas.microsoft.com/office/excel/2006/main">
          <x14:cfRule type="expression" priority="4693844" id="{2B5C1F1B-3C3D-4CA3-BC64-0E98422075B6}">
            <xm:f>$AU$4='Data entry'!$R29</xm:f>
            <x14:dxf>
              <fill>
                <patternFill>
                  <bgColor rgb="FFFFFF00"/>
                </patternFill>
              </fill>
            </x14:dxf>
          </x14:cfRule>
          <xm:sqref>AG74:AU74</xm:sqref>
        </x14:conditionalFormatting>
        <x14:conditionalFormatting xmlns:xm="http://schemas.microsoft.com/office/excel/2006/main">
          <x14:cfRule type="expression" priority="4693845" id="{B87A1285-B003-4855-8F4B-53C391BA10E6}">
            <xm:f>$AV$4='Data entry'!$R29</xm:f>
            <x14:dxf>
              <fill>
                <patternFill>
                  <bgColor rgb="FFFF0000"/>
                </patternFill>
              </fill>
            </x14:dxf>
          </x14:cfRule>
          <xm:sqref>AT75:BF75</xm:sqref>
        </x14:conditionalFormatting>
        <x14:conditionalFormatting xmlns:xm="http://schemas.microsoft.com/office/excel/2006/main">
          <x14:cfRule type="expression" priority="4693846" id="{338EE31C-78DB-4818-B837-0380F9E457FA}">
            <xm:f>$AV$4='Data entry'!$R29</xm:f>
            <x14:dxf>
              <fill>
                <patternFill>
                  <bgColor rgb="FFFFFF00"/>
                </patternFill>
              </fill>
            </x14:dxf>
          </x14:cfRule>
          <xm:sqref>AH74:AV74</xm:sqref>
        </x14:conditionalFormatting>
        <x14:conditionalFormatting xmlns:xm="http://schemas.microsoft.com/office/excel/2006/main">
          <x14:cfRule type="expression" priority="4693847" id="{5C40EA66-2801-4C91-B885-BF6A1ECFC35C}">
            <xm:f>$AW$4='Data entry'!$R29</xm:f>
            <x14:dxf>
              <fill>
                <patternFill>
                  <bgColor rgb="FFFF0000"/>
                </patternFill>
              </fill>
            </x14:dxf>
          </x14:cfRule>
          <xm:sqref>AU75:BG75</xm:sqref>
        </x14:conditionalFormatting>
        <x14:conditionalFormatting xmlns:xm="http://schemas.microsoft.com/office/excel/2006/main">
          <x14:cfRule type="expression" priority="4693848" id="{51BCD5CE-DF86-4C2F-8A81-DDA1EFD6C8F7}">
            <xm:f>$AW$4='Data entry'!$R29</xm:f>
            <x14:dxf>
              <fill>
                <patternFill>
                  <bgColor rgb="FFFFFF00"/>
                </patternFill>
              </fill>
            </x14:dxf>
          </x14:cfRule>
          <xm:sqref>AI74:AW74</xm:sqref>
        </x14:conditionalFormatting>
        <x14:conditionalFormatting xmlns:xm="http://schemas.microsoft.com/office/excel/2006/main">
          <x14:cfRule type="expression" priority="4693849" id="{DC2ED5A0-8917-4877-8CD3-9DF9BE5993C9}">
            <xm:f>$AX$4='Data entry'!$R29</xm:f>
            <x14:dxf>
              <fill>
                <patternFill>
                  <bgColor rgb="FFFF0000"/>
                </patternFill>
              </fill>
            </x14:dxf>
          </x14:cfRule>
          <xm:sqref>AV75:BH75</xm:sqref>
        </x14:conditionalFormatting>
        <x14:conditionalFormatting xmlns:xm="http://schemas.microsoft.com/office/excel/2006/main">
          <x14:cfRule type="expression" priority="4693850" id="{59B31869-20F9-45BD-BC80-0A6C8945CE2C}">
            <xm:f>$AX$4='Data entry'!$R29</xm:f>
            <x14:dxf>
              <fill>
                <patternFill>
                  <bgColor rgb="FFFFFF00"/>
                </patternFill>
              </fill>
            </x14:dxf>
          </x14:cfRule>
          <xm:sqref>AJ74:AX74</xm:sqref>
        </x14:conditionalFormatting>
        <x14:conditionalFormatting xmlns:xm="http://schemas.microsoft.com/office/excel/2006/main">
          <x14:cfRule type="expression" priority="4693851" id="{D4208FA0-4262-4037-934C-6D0742B2AD8E}">
            <xm:f>$AY$4='Data entry'!$R29</xm:f>
            <x14:dxf>
              <fill>
                <patternFill>
                  <bgColor rgb="FFFF0000"/>
                </patternFill>
              </fill>
            </x14:dxf>
          </x14:cfRule>
          <xm:sqref>AW75:BI75</xm:sqref>
        </x14:conditionalFormatting>
        <x14:conditionalFormatting xmlns:xm="http://schemas.microsoft.com/office/excel/2006/main">
          <x14:cfRule type="expression" priority="4693852" id="{04D6E423-18C7-42B2-A67D-F49D8E62B571}">
            <xm:f>$AY$4='Data entry'!$R29</xm:f>
            <x14:dxf>
              <fill>
                <patternFill>
                  <bgColor rgb="FFFFFF00"/>
                </patternFill>
              </fill>
            </x14:dxf>
          </x14:cfRule>
          <xm:sqref>AK74:AY74</xm:sqref>
        </x14:conditionalFormatting>
        <x14:conditionalFormatting xmlns:xm="http://schemas.microsoft.com/office/excel/2006/main">
          <x14:cfRule type="expression" priority="4693853" id="{A931C203-6E4B-4EBD-A2F4-1876881F48D4}">
            <xm:f>$AZ$4='Data entry'!$R29</xm:f>
            <x14:dxf>
              <fill>
                <patternFill>
                  <bgColor rgb="FFFF0000"/>
                </patternFill>
              </fill>
            </x14:dxf>
          </x14:cfRule>
          <xm:sqref>AX75:BJ75</xm:sqref>
        </x14:conditionalFormatting>
        <x14:conditionalFormatting xmlns:xm="http://schemas.microsoft.com/office/excel/2006/main">
          <x14:cfRule type="expression" priority="4693854" id="{092D9100-E652-40FE-8CAA-720DC0681250}">
            <xm:f>$AZ$4='Data entry'!$R29</xm:f>
            <x14:dxf>
              <fill>
                <patternFill>
                  <bgColor rgb="FFFFFF00"/>
                </patternFill>
              </fill>
            </x14:dxf>
          </x14:cfRule>
          <xm:sqref>AL74:AZ74</xm:sqref>
        </x14:conditionalFormatting>
        <x14:conditionalFormatting xmlns:xm="http://schemas.microsoft.com/office/excel/2006/main">
          <x14:cfRule type="expression" priority="4693855" id="{A3C7E6BE-A225-483C-A983-A915DB662C52}">
            <xm:f>$BA$4='Data entry'!$R29</xm:f>
            <x14:dxf>
              <fill>
                <patternFill>
                  <bgColor rgb="FFFF0000"/>
                </patternFill>
              </fill>
            </x14:dxf>
          </x14:cfRule>
          <xm:sqref>AY75:BK75</xm:sqref>
        </x14:conditionalFormatting>
        <x14:conditionalFormatting xmlns:xm="http://schemas.microsoft.com/office/excel/2006/main">
          <x14:cfRule type="expression" priority="4693856" id="{F5CF569A-8AFA-4CFF-8BD3-F04D8927A99F}">
            <xm:f>$BA$4='Data entry'!$R29</xm:f>
            <x14:dxf>
              <fill>
                <patternFill>
                  <bgColor rgb="FFFFFF00"/>
                </patternFill>
              </fill>
            </x14:dxf>
          </x14:cfRule>
          <xm:sqref>AM74:BA74</xm:sqref>
        </x14:conditionalFormatting>
        <x14:conditionalFormatting xmlns:xm="http://schemas.microsoft.com/office/excel/2006/main">
          <x14:cfRule type="expression" priority="4693857" id="{E4DAC94A-7983-4BFB-A87B-45B58561841A}">
            <xm:f>$BB$4='Data entry'!$R29</xm:f>
            <x14:dxf>
              <fill>
                <patternFill>
                  <bgColor rgb="FFFF0000"/>
                </patternFill>
              </fill>
            </x14:dxf>
          </x14:cfRule>
          <xm:sqref>AZ75:BL75</xm:sqref>
        </x14:conditionalFormatting>
        <x14:conditionalFormatting xmlns:xm="http://schemas.microsoft.com/office/excel/2006/main">
          <x14:cfRule type="expression" priority="4693858" id="{E63849C5-F39B-4B0E-8F8A-B532EDF2CBAE}">
            <xm:f>$BB$4='Data entry'!$R29</xm:f>
            <x14:dxf>
              <fill>
                <patternFill>
                  <bgColor rgb="FFFFFF00"/>
                </patternFill>
              </fill>
            </x14:dxf>
          </x14:cfRule>
          <xm:sqref>AN74:BB74</xm:sqref>
        </x14:conditionalFormatting>
        <x14:conditionalFormatting xmlns:xm="http://schemas.microsoft.com/office/excel/2006/main">
          <x14:cfRule type="expression" priority="4693859" id="{4FDC32D3-C1F5-455D-9AA4-A03359B72526}">
            <xm:f>$BC$4='Data entry'!$R29</xm:f>
            <x14:dxf>
              <fill>
                <patternFill>
                  <bgColor rgb="FFFF0000"/>
                </patternFill>
              </fill>
            </x14:dxf>
          </x14:cfRule>
          <xm:sqref>BA75:BM75</xm:sqref>
        </x14:conditionalFormatting>
        <x14:conditionalFormatting xmlns:xm="http://schemas.microsoft.com/office/excel/2006/main">
          <x14:cfRule type="expression" priority="4693860" id="{5F0D0C60-B233-4C56-B05D-98C99990877F}">
            <xm:f>$BC$4='Data entry'!$R29</xm:f>
            <x14:dxf>
              <fill>
                <patternFill>
                  <bgColor rgb="FFFFFF00"/>
                </patternFill>
              </fill>
            </x14:dxf>
          </x14:cfRule>
          <xm:sqref>AO74:BC74</xm:sqref>
        </x14:conditionalFormatting>
        <x14:conditionalFormatting xmlns:xm="http://schemas.microsoft.com/office/excel/2006/main">
          <x14:cfRule type="expression" priority="4693861" id="{9EBCB60F-8135-43B6-A0F3-548D4092CC98}">
            <xm:f>$BD$4='Data entry'!$R29</xm:f>
            <x14:dxf>
              <fill>
                <patternFill>
                  <bgColor rgb="FFFF0000"/>
                </patternFill>
              </fill>
            </x14:dxf>
          </x14:cfRule>
          <xm:sqref>BB75:BN75</xm:sqref>
        </x14:conditionalFormatting>
        <x14:conditionalFormatting xmlns:xm="http://schemas.microsoft.com/office/excel/2006/main">
          <x14:cfRule type="expression" priority="4693862" id="{961AF346-4A73-41ED-9A8D-27D431B09C05}">
            <xm:f>$BD$4='Data entry'!$R29</xm:f>
            <x14:dxf>
              <fill>
                <patternFill>
                  <bgColor rgb="FFFFFF00"/>
                </patternFill>
              </fill>
            </x14:dxf>
          </x14:cfRule>
          <xm:sqref>AP74:BD74</xm:sqref>
        </x14:conditionalFormatting>
        <x14:conditionalFormatting xmlns:xm="http://schemas.microsoft.com/office/excel/2006/main">
          <x14:cfRule type="expression" priority="4693863" id="{5A887026-27CD-4F8C-8BA6-1E92704C1CA6}">
            <xm:f>$BE$4='Data entry'!$R29</xm:f>
            <x14:dxf>
              <fill>
                <patternFill>
                  <bgColor rgb="FFFF0000"/>
                </patternFill>
              </fill>
            </x14:dxf>
          </x14:cfRule>
          <xm:sqref>BC75:BO75</xm:sqref>
        </x14:conditionalFormatting>
        <x14:conditionalFormatting xmlns:xm="http://schemas.microsoft.com/office/excel/2006/main">
          <x14:cfRule type="expression" priority="4693864" id="{7F46217B-A1E9-4515-B31E-E756FCD7C6D9}">
            <xm:f>$BE$4='Data entry'!$R29</xm:f>
            <x14:dxf>
              <fill>
                <patternFill>
                  <bgColor rgb="FFFFFF00"/>
                </patternFill>
              </fill>
            </x14:dxf>
          </x14:cfRule>
          <xm:sqref>AP74:BE74</xm:sqref>
        </x14:conditionalFormatting>
        <x14:conditionalFormatting xmlns:xm="http://schemas.microsoft.com/office/excel/2006/main">
          <x14:cfRule type="expression" priority="4693865" id="{F4D9285C-8CA0-4EF1-943E-6A462D47CC77}">
            <xm:f>$BF$4='Data entry'!$R29</xm:f>
            <x14:dxf>
              <fill>
                <patternFill>
                  <bgColor rgb="FFFF0000"/>
                </patternFill>
              </fill>
            </x14:dxf>
          </x14:cfRule>
          <xm:sqref>BD75:BP75</xm:sqref>
        </x14:conditionalFormatting>
        <x14:conditionalFormatting xmlns:xm="http://schemas.microsoft.com/office/excel/2006/main">
          <x14:cfRule type="expression" priority="4693866" id="{B9E4407D-651D-4DC0-9D61-3271D62A65E9}">
            <xm:f>$BF$4='Data entry'!$R29</xm:f>
            <x14:dxf>
              <fill>
                <patternFill>
                  <bgColor rgb="FFFFFF00"/>
                </patternFill>
              </fill>
            </x14:dxf>
          </x14:cfRule>
          <xm:sqref>AR74:BF74</xm:sqref>
        </x14:conditionalFormatting>
        <x14:conditionalFormatting xmlns:xm="http://schemas.microsoft.com/office/excel/2006/main">
          <x14:cfRule type="expression" priority="4693867" id="{4CDC062F-DDFF-4556-B941-08F919727F69}">
            <xm:f>$BG$4='Data entry'!$R29</xm:f>
            <x14:dxf>
              <fill>
                <patternFill>
                  <bgColor rgb="FFFF0000"/>
                </patternFill>
              </fill>
            </x14:dxf>
          </x14:cfRule>
          <xm:sqref>BE75:BQ75</xm:sqref>
        </x14:conditionalFormatting>
        <x14:conditionalFormatting xmlns:xm="http://schemas.microsoft.com/office/excel/2006/main">
          <x14:cfRule type="expression" priority="4693868" id="{789184FA-9055-433B-8A1B-92C7ED59E81F}">
            <xm:f>$BG$4='Data entry'!$R29</xm:f>
            <x14:dxf>
              <fill>
                <patternFill>
                  <bgColor rgb="FFFFFF00"/>
                </patternFill>
              </fill>
            </x14:dxf>
          </x14:cfRule>
          <xm:sqref>AS74:BG74</xm:sqref>
        </x14:conditionalFormatting>
        <x14:conditionalFormatting xmlns:xm="http://schemas.microsoft.com/office/excel/2006/main">
          <x14:cfRule type="expression" priority="4693869" id="{58651E5C-09C9-46C1-B95C-E8A578A49E15}">
            <xm:f>$BH$4='Data entry'!$R29</xm:f>
            <x14:dxf>
              <fill>
                <patternFill>
                  <bgColor rgb="FFFFFF00"/>
                </patternFill>
              </fill>
            </x14:dxf>
          </x14:cfRule>
          <xm:sqref>AT74:BH74</xm:sqref>
        </x14:conditionalFormatting>
        <x14:conditionalFormatting xmlns:xm="http://schemas.microsoft.com/office/excel/2006/main">
          <x14:cfRule type="expression" priority="4693870" id="{97B30B86-8311-4DC0-A533-8C0D53F37839}">
            <xm:f>$BH$4='Data entry'!$R29</xm:f>
            <x14:dxf>
              <fill>
                <patternFill>
                  <bgColor rgb="FFFF0000"/>
                </patternFill>
              </fill>
            </x14:dxf>
          </x14:cfRule>
          <xm:sqref>BF75:BR75</xm:sqref>
        </x14:conditionalFormatting>
        <x14:conditionalFormatting xmlns:xm="http://schemas.microsoft.com/office/excel/2006/main">
          <x14:cfRule type="expression" priority="4693871" id="{78344C0C-5AEA-40B1-A20C-6D77DF58E1F5}">
            <xm:f>$BI$4='Data entry'!$R29</xm:f>
            <x14:dxf>
              <fill>
                <patternFill>
                  <bgColor rgb="FFFFFF00"/>
                </patternFill>
              </fill>
            </x14:dxf>
          </x14:cfRule>
          <xm:sqref>AU74:BI74</xm:sqref>
        </x14:conditionalFormatting>
        <x14:conditionalFormatting xmlns:xm="http://schemas.microsoft.com/office/excel/2006/main">
          <x14:cfRule type="expression" priority="4693872" id="{A9CE044F-482E-4F25-B28F-89ACC58502B1}">
            <xm:f>$BI$4='Data entry'!$R29</xm:f>
            <x14:dxf>
              <fill>
                <patternFill>
                  <bgColor rgb="FFFF0000"/>
                </patternFill>
              </fill>
            </x14:dxf>
          </x14:cfRule>
          <xm:sqref>BG75:BS75</xm:sqref>
        </x14:conditionalFormatting>
        <x14:conditionalFormatting xmlns:xm="http://schemas.microsoft.com/office/excel/2006/main">
          <x14:cfRule type="expression" priority="4693873" id="{F63BE0EB-3C71-4456-BEF0-11180AB7A8BB}">
            <xm:f>$BJ$4='Data entry'!$R29</xm:f>
            <x14:dxf>
              <fill>
                <patternFill>
                  <bgColor rgb="FFFFFF00"/>
                </patternFill>
              </fill>
            </x14:dxf>
          </x14:cfRule>
          <xm:sqref>AV74:BJ74</xm:sqref>
        </x14:conditionalFormatting>
        <x14:conditionalFormatting xmlns:xm="http://schemas.microsoft.com/office/excel/2006/main">
          <x14:cfRule type="expression" priority="4693874" id="{478A5DCB-1DAA-4497-A6CC-B4F01FB96D10}">
            <xm:f>$BJ$4='Data entry'!$R29</xm:f>
            <x14:dxf>
              <fill>
                <patternFill>
                  <bgColor rgb="FFFF0000"/>
                </patternFill>
              </fill>
            </x14:dxf>
          </x14:cfRule>
          <xm:sqref>BH75:BT75</xm:sqref>
        </x14:conditionalFormatting>
        <x14:conditionalFormatting xmlns:xm="http://schemas.microsoft.com/office/excel/2006/main">
          <x14:cfRule type="expression" priority="4693875" id="{CDE4AD5B-65A6-4FA4-9EC0-8D05F22312A9}">
            <xm:f>$BK$4='Data entry'!$R29</xm:f>
            <x14:dxf>
              <fill>
                <patternFill>
                  <bgColor rgb="FFFF0000"/>
                </patternFill>
              </fill>
            </x14:dxf>
          </x14:cfRule>
          <xm:sqref>BI75:BU75</xm:sqref>
        </x14:conditionalFormatting>
        <x14:conditionalFormatting xmlns:xm="http://schemas.microsoft.com/office/excel/2006/main">
          <x14:cfRule type="expression" priority="4693876" id="{AB32E790-6CD8-4D11-9A69-57D785FE4BBC}">
            <xm:f>$BK$4='Data entry'!$R29</xm:f>
            <x14:dxf>
              <fill>
                <patternFill>
                  <bgColor rgb="FFFFFF00"/>
                </patternFill>
              </fill>
            </x14:dxf>
          </x14:cfRule>
          <xm:sqref>AW74:BK74</xm:sqref>
        </x14:conditionalFormatting>
        <x14:conditionalFormatting xmlns:xm="http://schemas.microsoft.com/office/excel/2006/main">
          <x14:cfRule type="expression" priority="4693877" id="{99810EB9-805C-43D8-852A-EEECE7874CDB}">
            <xm:f>$BL$4='Data entry'!$R29</xm:f>
            <x14:dxf>
              <fill>
                <patternFill>
                  <bgColor rgb="FFFF0000"/>
                </patternFill>
              </fill>
            </x14:dxf>
          </x14:cfRule>
          <xm:sqref>BJ75:BV75</xm:sqref>
        </x14:conditionalFormatting>
        <x14:conditionalFormatting xmlns:xm="http://schemas.microsoft.com/office/excel/2006/main">
          <x14:cfRule type="expression" priority="4693878" id="{BF5F5475-4E46-479C-97A6-D5175F5D1803}">
            <xm:f>$BL$4='Data entry'!$R29</xm:f>
            <x14:dxf>
              <fill>
                <patternFill>
                  <bgColor rgb="FFFFFF00"/>
                </patternFill>
              </fill>
            </x14:dxf>
          </x14:cfRule>
          <xm:sqref>AX74:BL74</xm:sqref>
        </x14:conditionalFormatting>
        <x14:conditionalFormatting xmlns:xm="http://schemas.microsoft.com/office/excel/2006/main">
          <x14:cfRule type="expression" priority="4693879" id="{B86FDF2F-16C9-46B1-847E-7EA1A8A34B9D}">
            <xm:f>$BM$4='Data entry'!$R29</xm:f>
            <x14:dxf>
              <fill>
                <patternFill>
                  <bgColor rgb="FFFF0000"/>
                </patternFill>
              </fill>
            </x14:dxf>
          </x14:cfRule>
          <xm:sqref>BK75:BW75</xm:sqref>
        </x14:conditionalFormatting>
        <x14:conditionalFormatting xmlns:xm="http://schemas.microsoft.com/office/excel/2006/main">
          <x14:cfRule type="expression" priority="4693880" id="{72FD189F-4CED-400D-9FEF-21A328970A4D}">
            <xm:f>$BM$4='Data entry'!$R29</xm:f>
            <x14:dxf>
              <fill>
                <patternFill>
                  <bgColor rgb="FFFFFF00"/>
                </patternFill>
              </fill>
            </x14:dxf>
          </x14:cfRule>
          <xm:sqref>AY74:BM74</xm:sqref>
        </x14:conditionalFormatting>
        <x14:conditionalFormatting xmlns:xm="http://schemas.microsoft.com/office/excel/2006/main">
          <x14:cfRule type="expression" priority="4693881" id="{BBBBF859-D5A7-4F55-BFBF-8A77E3357590}">
            <xm:f>$BN$4='Data entry'!$R29</xm:f>
            <x14:dxf>
              <fill>
                <patternFill>
                  <bgColor rgb="FFFF0000"/>
                </patternFill>
              </fill>
            </x14:dxf>
          </x14:cfRule>
          <xm:sqref>BL75:BX75</xm:sqref>
        </x14:conditionalFormatting>
        <x14:conditionalFormatting xmlns:xm="http://schemas.microsoft.com/office/excel/2006/main">
          <x14:cfRule type="expression" priority="4693882" id="{50CB1D75-0FD5-4D24-92B1-E8A41DC6575C}">
            <xm:f>$BN$4='Data entry'!$R29</xm:f>
            <x14:dxf>
              <fill>
                <patternFill>
                  <bgColor rgb="FFFFFF00"/>
                </patternFill>
              </fill>
            </x14:dxf>
          </x14:cfRule>
          <xm:sqref>AZ74:BN74</xm:sqref>
        </x14:conditionalFormatting>
        <x14:conditionalFormatting xmlns:xm="http://schemas.microsoft.com/office/excel/2006/main">
          <x14:cfRule type="expression" priority="4693883" id="{9EF3226D-E8FC-496B-A6FF-71776AEA54D1}">
            <xm:f>$BO$4='Data entry'!$R29</xm:f>
            <x14:dxf>
              <fill>
                <patternFill>
                  <bgColor rgb="FFFF0000"/>
                </patternFill>
              </fill>
            </x14:dxf>
          </x14:cfRule>
          <xm:sqref>BM75:BY75</xm:sqref>
        </x14:conditionalFormatting>
        <x14:conditionalFormatting xmlns:xm="http://schemas.microsoft.com/office/excel/2006/main">
          <x14:cfRule type="expression" priority="4693884" id="{3B86C801-ECFE-4D05-8AA5-1581116BAFBC}">
            <xm:f>$BO$4='Data entry'!$R29</xm:f>
            <x14:dxf>
              <fill>
                <patternFill>
                  <bgColor rgb="FFFFFF00"/>
                </patternFill>
              </fill>
            </x14:dxf>
          </x14:cfRule>
          <xm:sqref>BA74:BO74</xm:sqref>
        </x14:conditionalFormatting>
        <x14:conditionalFormatting xmlns:xm="http://schemas.microsoft.com/office/excel/2006/main">
          <x14:cfRule type="expression" priority="4693885" id="{058A23EC-3371-4A02-9F20-1ECA603AC6BC}">
            <xm:f>$BP$4='Data entry'!$R29</xm:f>
            <x14:dxf>
              <fill>
                <patternFill>
                  <bgColor rgb="FFFF0000"/>
                </patternFill>
              </fill>
            </x14:dxf>
          </x14:cfRule>
          <xm:sqref>BN75:BZ75</xm:sqref>
        </x14:conditionalFormatting>
        <x14:conditionalFormatting xmlns:xm="http://schemas.microsoft.com/office/excel/2006/main">
          <x14:cfRule type="expression" priority="4693886" id="{3E711E31-3992-4555-AB22-87133D60CD15}">
            <xm:f>$BP$4='Data entry'!$R29</xm:f>
            <x14:dxf>
              <fill>
                <patternFill>
                  <bgColor rgb="FFFFFF00"/>
                </patternFill>
              </fill>
            </x14:dxf>
          </x14:cfRule>
          <xm:sqref>BB74:BP74</xm:sqref>
        </x14:conditionalFormatting>
        <x14:conditionalFormatting xmlns:xm="http://schemas.microsoft.com/office/excel/2006/main">
          <x14:cfRule type="expression" priority="4693887" id="{23E9F8B9-37D5-4730-9453-6F23E8ECBBE3}">
            <xm:f>$BQ$4='Data entry'!$R29</xm:f>
            <x14:dxf>
              <fill>
                <patternFill>
                  <bgColor rgb="FFFFFF00"/>
                </patternFill>
              </fill>
            </x14:dxf>
          </x14:cfRule>
          <xm:sqref>BC74:BQ74</xm:sqref>
        </x14:conditionalFormatting>
        <x14:conditionalFormatting xmlns:xm="http://schemas.microsoft.com/office/excel/2006/main">
          <x14:cfRule type="expression" priority="4693888" id="{BCFD92F6-AAD3-44FD-BC61-A292A81B883E}">
            <xm:f>$BQ$4='Data entry'!$R29</xm:f>
            <x14:dxf>
              <fill>
                <patternFill>
                  <bgColor rgb="FFFF0000"/>
                </patternFill>
              </fill>
            </x14:dxf>
          </x14:cfRule>
          <xm:sqref>BO75:CA75</xm:sqref>
        </x14:conditionalFormatting>
        <x14:conditionalFormatting xmlns:xm="http://schemas.microsoft.com/office/excel/2006/main">
          <x14:cfRule type="expression" priority="4693889" id="{357D60E5-F356-477E-8020-A18F42C02832}">
            <xm:f>$BR$4='Data entry'!$R29</xm:f>
            <x14:dxf>
              <fill>
                <patternFill>
                  <bgColor rgb="FFFFFF00"/>
                </patternFill>
              </fill>
            </x14:dxf>
          </x14:cfRule>
          <xm:sqref>BD74:BR74</xm:sqref>
        </x14:conditionalFormatting>
        <x14:conditionalFormatting xmlns:xm="http://schemas.microsoft.com/office/excel/2006/main">
          <x14:cfRule type="expression" priority="4693890" id="{DA2B6511-43B3-432D-B6AA-1DB1188B90A6}">
            <xm:f>$BR$4='Data entry'!$R29</xm:f>
            <x14:dxf>
              <fill>
                <patternFill>
                  <bgColor rgb="FFFF0000"/>
                </patternFill>
              </fill>
            </x14:dxf>
          </x14:cfRule>
          <xm:sqref>BP75:CB75</xm:sqref>
        </x14:conditionalFormatting>
        <x14:conditionalFormatting xmlns:xm="http://schemas.microsoft.com/office/excel/2006/main">
          <x14:cfRule type="expression" priority="4693891" id="{0D5F64E4-4136-4BFA-B833-CC8578525D9C}">
            <xm:f>$BS$4='Data entry'!$R29</xm:f>
            <x14:dxf>
              <fill>
                <patternFill>
                  <bgColor rgb="FFFFFF00"/>
                </patternFill>
              </fill>
            </x14:dxf>
          </x14:cfRule>
          <xm:sqref>BE74:BS74</xm:sqref>
        </x14:conditionalFormatting>
        <x14:conditionalFormatting xmlns:xm="http://schemas.microsoft.com/office/excel/2006/main">
          <x14:cfRule type="expression" priority="4693892" id="{AC94D468-F078-4AE2-8771-102996E07B09}">
            <xm:f>$BS$4='Data entry'!$R29</xm:f>
            <x14:dxf>
              <fill>
                <patternFill>
                  <bgColor rgb="FFFF0000"/>
                </patternFill>
              </fill>
            </x14:dxf>
          </x14:cfRule>
          <xm:sqref>BQ75:CC75</xm:sqref>
        </x14:conditionalFormatting>
        <x14:conditionalFormatting xmlns:xm="http://schemas.microsoft.com/office/excel/2006/main">
          <x14:cfRule type="expression" priority="4693893" id="{10E78F76-181E-4F19-9F89-7DD36D3EFE30}">
            <xm:f>$BT$4='Data entry'!$R29</xm:f>
            <x14:dxf>
              <fill>
                <patternFill>
                  <bgColor rgb="FFFFFF00"/>
                </patternFill>
              </fill>
            </x14:dxf>
          </x14:cfRule>
          <xm:sqref>BF74:BT74</xm:sqref>
        </x14:conditionalFormatting>
        <x14:conditionalFormatting xmlns:xm="http://schemas.microsoft.com/office/excel/2006/main">
          <x14:cfRule type="expression" priority="4693894" id="{6A5FADC6-9512-4EFB-90A5-7B5244D10D1F}">
            <xm:f>$BT$4='Data entry'!$R29</xm:f>
            <x14:dxf>
              <fill>
                <patternFill>
                  <bgColor rgb="FFFF0000"/>
                </patternFill>
              </fill>
            </x14:dxf>
          </x14:cfRule>
          <xm:sqref>BR75:CC75</xm:sqref>
        </x14:conditionalFormatting>
        <x14:conditionalFormatting xmlns:xm="http://schemas.microsoft.com/office/excel/2006/main">
          <x14:cfRule type="expression" priority="4693895" id="{A51139D1-8841-4B96-B8CB-DFE3808765CF}">
            <xm:f>$BU$4='Data entry'!$R29</xm:f>
            <x14:dxf>
              <fill>
                <patternFill>
                  <bgColor rgb="FFFFFF00"/>
                </patternFill>
              </fill>
            </x14:dxf>
          </x14:cfRule>
          <xm:sqref>BG74:BU74</xm:sqref>
        </x14:conditionalFormatting>
        <x14:conditionalFormatting xmlns:xm="http://schemas.microsoft.com/office/excel/2006/main">
          <x14:cfRule type="expression" priority="4693896" id="{55CA7258-760F-4BFF-ACB5-A70FEB3E7981}">
            <xm:f>$BU$4='Data entry'!$R29</xm:f>
            <x14:dxf>
              <fill>
                <patternFill>
                  <bgColor rgb="FFFF0000"/>
                </patternFill>
              </fill>
            </x14:dxf>
          </x14:cfRule>
          <xm:sqref>BS75:CC75</xm:sqref>
        </x14:conditionalFormatting>
        <x14:conditionalFormatting xmlns:xm="http://schemas.microsoft.com/office/excel/2006/main">
          <x14:cfRule type="expression" priority="4693897" id="{A922B218-64DB-4CBB-9AB8-FE0EBB44E09E}">
            <xm:f>$BV$4='Data entry'!$R29</xm:f>
            <x14:dxf>
              <fill>
                <patternFill>
                  <bgColor rgb="FFFFFF00"/>
                </patternFill>
              </fill>
            </x14:dxf>
          </x14:cfRule>
          <xm:sqref>BH74:BV74</xm:sqref>
        </x14:conditionalFormatting>
        <x14:conditionalFormatting xmlns:xm="http://schemas.microsoft.com/office/excel/2006/main">
          <x14:cfRule type="expression" priority="4693898" id="{C98E908A-CD31-4778-B41C-7AFB9DBE639A}">
            <xm:f>$BV$4='Data entry'!$R29</xm:f>
            <x14:dxf>
              <fill>
                <patternFill>
                  <bgColor rgb="FFFF0000"/>
                </patternFill>
              </fill>
            </x14:dxf>
          </x14:cfRule>
          <xm:sqref>BT75:CC75</xm:sqref>
        </x14:conditionalFormatting>
        <x14:conditionalFormatting xmlns:xm="http://schemas.microsoft.com/office/excel/2006/main">
          <x14:cfRule type="expression" priority="4693899" id="{465CCCA3-B4DB-4B61-8AC7-8A5E4CEC9E3F}">
            <xm:f>$BW$4='Data entry'!$R29</xm:f>
            <x14:dxf>
              <fill>
                <patternFill>
                  <bgColor rgb="FFFFFF00"/>
                </patternFill>
              </fill>
            </x14:dxf>
          </x14:cfRule>
          <xm:sqref>BI74:BW74</xm:sqref>
        </x14:conditionalFormatting>
        <x14:conditionalFormatting xmlns:xm="http://schemas.microsoft.com/office/excel/2006/main">
          <x14:cfRule type="expression" priority="4693900" id="{37566F97-6D06-400B-A709-FE657B07687F}">
            <xm:f>$BW$4='Data entry'!$R29</xm:f>
            <x14:dxf>
              <fill>
                <patternFill>
                  <bgColor rgb="FFFF0000"/>
                </patternFill>
              </fill>
            </x14:dxf>
          </x14:cfRule>
          <xm:sqref>BU75:CC75</xm:sqref>
        </x14:conditionalFormatting>
        <x14:conditionalFormatting xmlns:xm="http://schemas.microsoft.com/office/excel/2006/main">
          <x14:cfRule type="expression" priority="4693901" id="{D8FBA3AC-5CF0-4E45-97CA-1D4DEE729ADA}">
            <xm:f>$BX$4='Data entry'!$R29</xm:f>
            <x14:dxf>
              <fill>
                <patternFill>
                  <bgColor rgb="FFFFFF00"/>
                </patternFill>
              </fill>
            </x14:dxf>
          </x14:cfRule>
          <xm:sqref>BJ74:BX74</xm:sqref>
        </x14:conditionalFormatting>
        <x14:conditionalFormatting xmlns:xm="http://schemas.microsoft.com/office/excel/2006/main">
          <x14:cfRule type="expression" priority="4693902" id="{E077C84B-A94F-431D-B232-4AFCC7C64F54}">
            <xm:f>$BX$4='Data entry'!$R29</xm:f>
            <x14:dxf>
              <fill>
                <patternFill>
                  <bgColor rgb="FFFF0000"/>
                </patternFill>
              </fill>
            </x14:dxf>
          </x14:cfRule>
          <xm:sqref>BV75:CC75</xm:sqref>
        </x14:conditionalFormatting>
        <x14:conditionalFormatting xmlns:xm="http://schemas.microsoft.com/office/excel/2006/main">
          <x14:cfRule type="expression" priority="4693903" id="{63783BA8-0C97-4A44-86FD-7A2BCF1B9957}">
            <xm:f>$BY$4='Data entry'!$R29</xm:f>
            <x14:dxf>
              <fill>
                <patternFill>
                  <bgColor rgb="FFFFFF00"/>
                </patternFill>
              </fill>
            </x14:dxf>
          </x14:cfRule>
          <xm:sqref>BK74:BY74</xm:sqref>
        </x14:conditionalFormatting>
        <x14:conditionalFormatting xmlns:xm="http://schemas.microsoft.com/office/excel/2006/main">
          <x14:cfRule type="expression" priority="4693904" id="{BB8DB8B4-B71B-46D2-AEE7-346F16103F74}">
            <xm:f>$BY$4='Data entry'!$R29</xm:f>
            <x14:dxf>
              <fill>
                <patternFill>
                  <bgColor rgb="FFFF0000"/>
                </patternFill>
              </fill>
            </x14:dxf>
          </x14:cfRule>
          <xm:sqref>BW75:CC75</xm:sqref>
        </x14:conditionalFormatting>
        <x14:conditionalFormatting xmlns:xm="http://schemas.microsoft.com/office/excel/2006/main">
          <x14:cfRule type="expression" priority="4693905" id="{1B638B98-2B06-4FEB-90C1-446A3E0A3979}">
            <xm:f>$BZ$4='Data entry'!$R29</xm:f>
            <x14:dxf>
              <fill>
                <patternFill>
                  <bgColor rgb="FFFFFF00"/>
                </patternFill>
              </fill>
            </x14:dxf>
          </x14:cfRule>
          <xm:sqref>BL74:BZ74</xm:sqref>
        </x14:conditionalFormatting>
        <x14:conditionalFormatting xmlns:xm="http://schemas.microsoft.com/office/excel/2006/main">
          <x14:cfRule type="expression" priority="4693906" id="{D3A0A2F8-D1B2-4DC5-B2A9-0EF53074E685}">
            <xm:f>$BZ$4='Data entry'!$R29</xm:f>
            <x14:dxf>
              <fill>
                <patternFill>
                  <bgColor rgb="FFFF0000"/>
                </patternFill>
              </fill>
            </x14:dxf>
          </x14:cfRule>
          <xm:sqref>BX75:CC75</xm:sqref>
        </x14:conditionalFormatting>
        <x14:conditionalFormatting xmlns:xm="http://schemas.microsoft.com/office/excel/2006/main">
          <x14:cfRule type="expression" priority="4693907" id="{83F6D018-7D3B-4D33-9998-11572F2F2FF5}">
            <xm:f>$CA$4='Data entry'!$R29</xm:f>
            <x14:dxf>
              <fill>
                <patternFill>
                  <bgColor rgb="FFFFFF00"/>
                </patternFill>
              </fill>
            </x14:dxf>
          </x14:cfRule>
          <xm:sqref>BM74:CA74</xm:sqref>
        </x14:conditionalFormatting>
        <x14:conditionalFormatting xmlns:xm="http://schemas.microsoft.com/office/excel/2006/main">
          <x14:cfRule type="expression" priority="4693908" id="{8E6D0B51-5626-4ED9-9072-C7A2C139704F}">
            <xm:f>$CA$4='Data entry'!$R29</xm:f>
            <x14:dxf>
              <fill>
                <patternFill>
                  <bgColor rgb="FFFF0000"/>
                </patternFill>
              </fill>
            </x14:dxf>
          </x14:cfRule>
          <xm:sqref>BY75:CC75</xm:sqref>
        </x14:conditionalFormatting>
        <x14:conditionalFormatting xmlns:xm="http://schemas.microsoft.com/office/excel/2006/main">
          <x14:cfRule type="expression" priority="4693909" id="{E1886EE4-3BDE-43A9-9F4B-79377FEC37FE}">
            <xm:f>$CB$4='Data entry'!$R29</xm:f>
            <x14:dxf>
              <fill>
                <patternFill>
                  <bgColor rgb="FFFFFF00"/>
                </patternFill>
              </fill>
            </x14:dxf>
          </x14:cfRule>
          <xm:sqref>BN74:CB74</xm:sqref>
        </x14:conditionalFormatting>
        <x14:conditionalFormatting xmlns:xm="http://schemas.microsoft.com/office/excel/2006/main">
          <x14:cfRule type="expression" priority="4693910" id="{ADEF572A-6C18-4602-BB86-01C96D36E07E}">
            <xm:f>$CB$4='Data entry'!$R29</xm:f>
            <x14:dxf>
              <fill>
                <patternFill>
                  <bgColor rgb="FFFF0000"/>
                </patternFill>
              </fill>
            </x14:dxf>
          </x14:cfRule>
          <xm:sqref>BZ75:CC75</xm:sqref>
        </x14:conditionalFormatting>
        <x14:conditionalFormatting xmlns:xm="http://schemas.microsoft.com/office/excel/2006/main">
          <x14:cfRule type="expression" priority="4693911" id="{7984E1C9-E073-4955-8543-62145CB6D008}">
            <xm:f>$CC$4='Data entry'!$R29</xm:f>
            <x14:dxf>
              <fill>
                <patternFill>
                  <bgColor rgb="FFFFFF00"/>
                </patternFill>
              </fill>
            </x14:dxf>
          </x14:cfRule>
          <xm:sqref>BO74:CC74</xm:sqref>
        </x14:conditionalFormatting>
        <x14:conditionalFormatting xmlns:xm="http://schemas.microsoft.com/office/excel/2006/main">
          <x14:cfRule type="expression" priority="4693912" id="{18A957B3-59FA-4698-BA92-2A208FF18E2F}">
            <xm:f>$CC$4='Data entry'!$R29</xm:f>
            <x14:dxf>
              <fill>
                <patternFill>
                  <bgColor rgb="FFFF0000"/>
                </patternFill>
              </fill>
            </x14:dxf>
          </x14:cfRule>
          <xm:sqref>CA75:CC75</xm:sqref>
        </x14:conditionalFormatting>
        <x14:conditionalFormatting xmlns:xm="http://schemas.microsoft.com/office/excel/2006/main">
          <x14:cfRule type="expression" priority="4693999" id="{5B0DB825-B7C2-40AC-B7EF-F267F054CFB9}">
            <xm:f>$U$4='Data entry'!$R30</xm:f>
            <x14:dxf>
              <fill>
                <patternFill>
                  <bgColor rgb="FFFF0000"/>
                </patternFill>
              </fill>
            </x14:dxf>
          </x14:cfRule>
          <xm:sqref>S78:AE78</xm:sqref>
        </x14:conditionalFormatting>
        <x14:conditionalFormatting xmlns:xm="http://schemas.microsoft.com/office/excel/2006/main">
          <x14:cfRule type="expression" priority="4694000" id="{18311200-E2BB-400F-B594-3B9A2C6068C2}">
            <xm:f>$V$4='Data entry'!$R30</xm:f>
            <x14:dxf>
              <fill>
                <patternFill>
                  <bgColor rgb="FFFF0000"/>
                </patternFill>
              </fill>
            </x14:dxf>
          </x14:cfRule>
          <xm:sqref>T78:AF78</xm:sqref>
        </x14:conditionalFormatting>
        <x14:conditionalFormatting xmlns:xm="http://schemas.microsoft.com/office/excel/2006/main">
          <x14:cfRule type="expression" priority="4694001" id="{D6DFB621-1A58-4C59-A987-ECAD0EB2D32B}">
            <xm:f>$V$4='Data entry'!$R30</xm:f>
            <x14:dxf>
              <fill>
                <patternFill>
                  <bgColor rgb="FFFFFF00"/>
                </patternFill>
              </fill>
            </x14:dxf>
          </x14:cfRule>
          <xm:sqref>H77:V77</xm:sqref>
        </x14:conditionalFormatting>
        <x14:conditionalFormatting xmlns:xm="http://schemas.microsoft.com/office/excel/2006/main">
          <x14:cfRule type="expression" priority="4694002" id="{5F87A680-DC5F-433D-A779-B7A534ACCDA9}">
            <xm:f>$W$4='Data entry'!$R30</xm:f>
            <x14:dxf>
              <fill>
                <patternFill>
                  <bgColor rgb="FFFF0000"/>
                </patternFill>
              </fill>
            </x14:dxf>
          </x14:cfRule>
          <xm:sqref>U78:AG78</xm:sqref>
        </x14:conditionalFormatting>
        <x14:conditionalFormatting xmlns:xm="http://schemas.microsoft.com/office/excel/2006/main">
          <x14:cfRule type="expression" priority="4694003" id="{964539FF-A92C-4F68-B268-B7157A32678C}">
            <xm:f>$W$4='Data entry'!$R30</xm:f>
            <x14:dxf>
              <fill>
                <patternFill>
                  <bgColor rgb="FFFFFF00"/>
                </patternFill>
              </fill>
            </x14:dxf>
          </x14:cfRule>
          <xm:sqref>I77:W77</xm:sqref>
        </x14:conditionalFormatting>
        <x14:conditionalFormatting xmlns:xm="http://schemas.microsoft.com/office/excel/2006/main">
          <x14:cfRule type="expression" priority="4694004" id="{46C1533A-F090-4A90-9309-3F59EC3FD3B0}">
            <xm:f>$X$4='Data entry'!$R30</xm:f>
            <x14:dxf>
              <fill>
                <patternFill>
                  <bgColor rgb="FFFF0000"/>
                </patternFill>
              </fill>
            </x14:dxf>
          </x14:cfRule>
          <xm:sqref>V78:AH78</xm:sqref>
        </x14:conditionalFormatting>
        <x14:conditionalFormatting xmlns:xm="http://schemas.microsoft.com/office/excel/2006/main">
          <x14:cfRule type="expression" priority="4694005" id="{7C70E81C-DDD4-4D75-933A-4F6A39893184}">
            <xm:f>$X$4='Data entry'!$R30</xm:f>
            <x14:dxf>
              <fill>
                <patternFill>
                  <bgColor rgb="FFFFFF00"/>
                </patternFill>
              </fill>
            </x14:dxf>
          </x14:cfRule>
          <xm:sqref>J77:X77</xm:sqref>
        </x14:conditionalFormatting>
        <x14:conditionalFormatting xmlns:xm="http://schemas.microsoft.com/office/excel/2006/main">
          <x14:cfRule type="expression" priority="4694006" id="{561AF073-0EF8-4B72-A119-40A639C4359D}">
            <xm:f>$Y$4='Data entry'!$R30</xm:f>
            <x14:dxf>
              <fill>
                <patternFill>
                  <bgColor rgb="FFFF0000"/>
                </patternFill>
              </fill>
            </x14:dxf>
          </x14:cfRule>
          <xm:sqref>W78:AI78</xm:sqref>
        </x14:conditionalFormatting>
        <x14:conditionalFormatting xmlns:xm="http://schemas.microsoft.com/office/excel/2006/main">
          <x14:cfRule type="expression" priority="4694007" id="{F242E808-8F07-4A89-9524-7D4C767CE357}">
            <xm:f>$Y$4='Data entry'!$R30</xm:f>
            <x14:dxf>
              <fill>
                <patternFill>
                  <bgColor rgb="FFFFFF00"/>
                </patternFill>
              </fill>
            </x14:dxf>
          </x14:cfRule>
          <xm:sqref>K77:Y77</xm:sqref>
        </x14:conditionalFormatting>
        <x14:conditionalFormatting xmlns:xm="http://schemas.microsoft.com/office/excel/2006/main">
          <x14:cfRule type="expression" priority="4694008" id="{DD601058-982B-4218-BD9D-64BB823C2633}">
            <xm:f>$Z$4='Data entry'!$R30</xm:f>
            <x14:dxf>
              <fill>
                <patternFill>
                  <bgColor rgb="FFFF0000"/>
                </patternFill>
              </fill>
            </x14:dxf>
          </x14:cfRule>
          <xm:sqref>X78:AJ78</xm:sqref>
        </x14:conditionalFormatting>
        <x14:conditionalFormatting xmlns:xm="http://schemas.microsoft.com/office/excel/2006/main">
          <x14:cfRule type="expression" priority="4694009" id="{C9DB141D-79F6-4093-92A3-7BF7A1622985}">
            <xm:f>$Z$4='Data entry'!$R30</xm:f>
            <x14:dxf>
              <fill>
                <patternFill>
                  <bgColor rgb="FFFFFF00"/>
                </patternFill>
              </fill>
            </x14:dxf>
          </x14:cfRule>
          <xm:sqref>L77:Z77</xm:sqref>
        </x14:conditionalFormatting>
        <x14:conditionalFormatting xmlns:xm="http://schemas.microsoft.com/office/excel/2006/main">
          <x14:cfRule type="expression" priority="4694010" id="{710EB8D3-F5C0-4E3C-8214-2D0C4E26F649}">
            <xm:f>$AA$4='Data entry'!$R30</xm:f>
            <x14:dxf>
              <fill>
                <patternFill>
                  <bgColor rgb="FFFF0000"/>
                </patternFill>
              </fill>
            </x14:dxf>
          </x14:cfRule>
          <xm:sqref>Y78:AK78</xm:sqref>
        </x14:conditionalFormatting>
        <x14:conditionalFormatting xmlns:xm="http://schemas.microsoft.com/office/excel/2006/main">
          <x14:cfRule type="expression" priority="4694011" id="{33825D69-C967-4D27-B395-5D44A3083802}">
            <xm:f>$AA$4='Data entry'!$R30</xm:f>
            <x14:dxf>
              <fill>
                <patternFill>
                  <bgColor rgb="FFFFFF00"/>
                </patternFill>
              </fill>
            </x14:dxf>
          </x14:cfRule>
          <xm:sqref>M77:AA77</xm:sqref>
        </x14:conditionalFormatting>
        <x14:conditionalFormatting xmlns:xm="http://schemas.microsoft.com/office/excel/2006/main">
          <x14:cfRule type="expression" priority="4694012" id="{9811A97D-351B-4D32-8754-AF433277E62B}">
            <xm:f>$AB$4='Data entry'!$R30</xm:f>
            <x14:dxf>
              <fill>
                <patternFill>
                  <bgColor rgb="FFFF0000"/>
                </patternFill>
              </fill>
            </x14:dxf>
          </x14:cfRule>
          <xm:sqref>Z78:AL78</xm:sqref>
        </x14:conditionalFormatting>
        <x14:conditionalFormatting xmlns:xm="http://schemas.microsoft.com/office/excel/2006/main">
          <x14:cfRule type="expression" priority="4694013" id="{6DD3E556-C72E-438B-92DA-3096ED1E4178}">
            <xm:f>$AB$4='Data entry'!$R30</xm:f>
            <x14:dxf>
              <fill>
                <patternFill>
                  <bgColor rgb="FFFFFF00"/>
                </patternFill>
              </fill>
            </x14:dxf>
          </x14:cfRule>
          <xm:sqref>N77:AB77</xm:sqref>
        </x14:conditionalFormatting>
        <x14:conditionalFormatting xmlns:xm="http://schemas.microsoft.com/office/excel/2006/main">
          <x14:cfRule type="expression" priority="4694014" id="{C0DF7A1B-D6BC-4371-BD3A-F0708147FA1C}">
            <xm:f>$AC$4='Data entry'!$R30</xm:f>
            <x14:dxf>
              <fill>
                <patternFill>
                  <bgColor rgb="FFFF0000"/>
                </patternFill>
              </fill>
            </x14:dxf>
          </x14:cfRule>
          <xm:sqref>AA78:AM78</xm:sqref>
        </x14:conditionalFormatting>
        <x14:conditionalFormatting xmlns:xm="http://schemas.microsoft.com/office/excel/2006/main">
          <x14:cfRule type="expression" priority="4694015" id="{DB2E1F48-AF0E-41F9-A976-6B1963CA5711}">
            <xm:f>$AC$4='Data entry'!$R30</xm:f>
            <x14:dxf>
              <fill>
                <patternFill>
                  <bgColor rgb="FFFFFF00"/>
                </patternFill>
              </fill>
            </x14:dxf>
          </x14:cfRule>
          <xm:sqref>O77:AC77</xm:sqref>
        </x14:conditionalFormatting>
        <x14:conditionalFormatting xmlns:xm="http://schemas.microsoft.com/office/excel/2006/main">
          <x14:cfRule type="expression" priority="4694016" id="{89909907-F9A9-4AF9-BC1D-304710A43F50}">
            <xm:f>$AD$4='Data entry'!$R30</xm:f>
            <x14:dxf>
              <fill>
                <patternFill>
                  <bgColor rgb="FFFF0000"/>
                </patternFill>
              </fill>
            </x14:dxf>
          </x14:cfRule>
          <xm:sqref>AB78:AN78</xm:sqref>
        </x14:conditionalFormatting>
        <x14:conditionalFormatting xmlns:xm="http://schemas.microsoft.com/office/excel/2006/main">
          <x14:cfRule type="expression" priority="4694017" id="{729676B7-E331-43A4-ACC9-850DCEE76A0E}">
            <xm:f>$AD$4='Data entry'!$R30</xm:f>
            <x14:dxf>
              <fill>
                <patternFill>
                  <bgColor rgb="FFFFFF00"/>
                </patternFill>
              </fill>
            </x14:dxf>
          </x14:cfRule>
          <xm:sqref>P77:AD77</xm:sqref>
        </x14:conditionalFormatting>
        <x14:conditionalFormatting xmlns:xm="http://schemas.microsoft.com/office/excel/2006/main">
          <x14:cfRule type="expression" priority="4694018" id="{00DA2C55-350E-44AA-ABEA-808FABFDA737}">
            <xm:f>$AE$4='Data entry'!$R30</xm:f>
            <x14:dxf>
              <fill>
                <patternFill>
                  <bgColor rgb="FFFF0000"/>
                </patternFill>
              </fill>
            </x14:dxf>
          </x14:cfRule>
          <xm:sqref>AC78:AO78</xm:sqref>
        </x14:conditionalFormatting>
        <x14:conditionalFormatting xmlns:xm="http://schemas.microsoft.com/office/excel/2006/main">
          <x14:cfRule type="expression" priority="4694019" id="{373C95F1-00C1-45E9-B561-5224945BA4A4}">
            <xm:f>$AE$4='Data entry'!$R30</xm:f>
            <x14:dxf>
              <fill>
                <patternFill>
                  <bgColor rgb="FFFFFF00"/>
                </patternFill>
              </fill>
            </x14:dxf>
          </x14:cfRule>
          <xm:sqref>Q77:AE77</xm:sqref>
        </x14:conditionalFormatting>
        <x14:conditionalFormatting xmlns:xm="http://schemas.microsoft.com/office/excel/2006/main">
          <x14:cfRule type="expression" priority="4694020" id="{65E90E74-6BEF-4B00-BD5E-ECACFEBC225A}">
            <xm:f>$AF$4='Data entry'!$R30</xm:f>
            <x14:dxf>
              <fill>
                <patternFill>
                  <bgColor rgb="FFFF0000"/>
                </patternFill>
              </fill>
            </x14:dxf>
          </x14:cfRule>
          <xm:sqref>AD78:AP78</xm:sqref>
        </x14:conditionalFormatting>
        <x14:conditionalFormatting xmlns:xm="http://schemas.microsoft.com/office/excel/2006/main">
          <x14:cfRule type="expression" priority="4694021" id="{56B519D7-E083-4811-B42B-D6CB10D44BB3}">
            <xm:f>$AF$4='Data entry'!$R30</xm:f>
            <x14:dxf>
              <fill>
                <patternFill>
                  <bgColor rgb="FFFFFF00"/>
                </patternFill>
              </fill>
            </x14:dxf>
          </x14:cfRule>
          <xm:sqref>R77:AF77</xm:sqref>
        </x14:conditionalFormatting>
        <x14:conditionalFormatting xmlns:xm="http://schemas.microsoft.com/office/excel/2006/main">
          <x14:cfRule type="expression" priority="4694022" id="{889682B6-BF9B-414B-86B7-1C802156B058}">
            <xm:f>$AG$4='Data entry'!$R30</xm:f>
            <x14:dxf>
              <fill>
                <patternFill>
                  <bgColor rgb="FFFF0000"/>
                </patternFill>
              </fill>
            </x14:dxf>
          </x14:cfRule>
          <xm:sqref>AE78:AQ78</xm:sqref>
        </x14:conditionalFormatting>
        <x14:conditionalFormatting xmlns:xm="http://schemas.microsoft.com/office/excel/2006/main">
          <x14:cfRule type="expression" priority="4694023" id="{19913D88-1940-4CB0-B29C-D46D60833BD5}">
            <xm:f>$AG$4='Data entry'!$R30</xm:f>
            <x14:dxf>
              <fill>
                <patternFill>
                  <bgColor rgb="FFFFFF00"/>
                </patternFill>
              </fill>
            </x14:dxf>
          </x14:cfRule>
          <xm:sqref>S77:AG77</xm:sqref>
        </x14:conditionalFormatting>
        <x14:conditionalFormatting xmlns:xm="http://schemas.microsoft.com/office/excel/2006/main">
          <x14:cfRule type="expression" priority="4694024" id="{3DD7B9A5-18A3-463F-BAD5-9796FC487328}">
            <xm:f>$AH$4='Data entry'!$R30</xm:f>
            <x14:dxf>
              <fill>
                <patternFill>
                  <bgColor rgb="FFFF0000"/>
                </patternFill>
              </fill>
            </x14:dxf>
          </x14:cfRule>
          <xm:sqref>AF78:AR78</xm:sqref>
        </x14:conditionalFormatting>
        <x14:conditionalFormatting xmlns:xm="http://schemas.microsoft.com/office/excel/2006/main">
          <x14:cfRule type="expression" priority="4694025" id="{31005CF4-5608-496E-91EB-F7F505046C80}">
            <xm:f>$AH$4='Data entry'!$R30</xm:f>
            <x14:dxf>
              <fill>
                <patternFill>
                  <bgColor rgb="FFFFFF00"/>
                </patternFill>
              </fill>
            </x14:dxf>
          </x14:cfRule>
          <xm:sqref>T77:AH77</xm:sqref>
        </x14:conditionalFormatting>
        <x14:conditionalFormatting xmlns:xm="http://schemas.microsoft.com/office/excel/2006/main">
          <x14:cfRule type="expression" priority="4694026" id="{CD14F654-5B7A-444F-8FC1-7DD71E76E475}">
            <xm:f>$AI$4='Data entry'!$R30</xm:f>
            <x14:dxf>
              <fill>
                <patternFill>
                  <bgColor rgb="FFFF0000"/>
                </patternFill>
              </fill>
            </x14:dxf>
          </x14:cfRule>
          <xm:sqref>AG78:AS78</xm:sqref>
        </x14:conditionalFormatting>
        <x14:conditionalFormatting xmlns:xm="http://schemas.microsoft.com/office/excel/2006/main">
          <x14:cfRule type="expression" priority="4694027" id="{0E4E448C-6C46-4285-B877-A61A90294385}">
            <xm:f>$AI$4='Data entry'!$R30</xm:f>
            <x14:dxf>
              <fill>
                <patternFill>
                  <bgColor rgb="FFFFFF00"/>
                </patternFill>
              </fill>
            </x14:dxf>
          </x14:cfRule>
          <xm:sqref>U77:AI77</xm:sqref>
        </x14:conditionalFormatting>
        <x14:conditionalFormatting xmlns:xm="http://schemas.microsoft.com/office/excel/2006/main">
          <x14:cfRule type="expression" priority="4694028" id="{B1C1818F-791C-403D-BE73-6F6E9DC6A16D}">
            <xm:f>$AJ$4='Data entry'!$R30</xm:f>
            <x14:dxf>
              <fill>
                <patternFill>
                  <bgColor rgb="FFFF0000"/>
                </patternFill>
              </fill>
            </x14:dxf>
          </x14:cfRule>
          <xm:sqref>AH78:AT78</xm:sqref>
        </x14:conditionalFormatting>
        <x14:conditionalFormatting xmlns:xm="http://schemas.microsoft.com/office/excel/2006/main">
          <x14:cfRule type="expression" priority="4694029" id="{A1237792-221B-431B-B8A7-E9A64DA46D93}">
            <xm:f>$AJ$4='Data entry'!$R30</xm:f>
            <x14:dxf>
              <fill>
                <patternFill>
                  <bgColor rgb="FFFFFF00"/>
                </patternFill>
              </fill>
            </x14:dxf>
          </x14:cfRule>
          <xm:sqref>V77:AJ77</xm:sqref>
        </x14:conditionalFormatting>
        <x14:conditionalFormatting xmlns:xm="http://schemas.microsoft.com/office/excel/2006/main">
          <x14:cfRule type="expression" priority="4694030" id="{617DC2AF-C7A3-4724-8EA3-17DEFEDC8949}">
            <xm:f>$AK$4='Data entry'!$R30</xm:f>
            <x14:dxf>
              <fill>
                <patternFill>
                  <bgColor rgb="FFFF0000"/>
                </patternFill>
              </fill>
            </x14:dxf>
          </x14:cfRule>
          <xm:sqref>AI78:AU78</xm:sqref>
        </x14:conditionalFormatting>
        <x14:conditionalFormatting xmlns:xm="http://schemas.microsoft.com/office/excel/2006/main">
          <x14:cfRule type="expression" priority="4694031" id="{AA72317D-37B1-48EB-A28B-BF2AC8DC4519}">
            <xm:f>$AK$4='Data entry'!$R30</xm:f>
            <x14:dxf>
              <fill>
                <patternFill>
                  <bgColor rgb="FFFFFF00"/>
                </patternFill>
              </fill>
            </x14:dxf>
          </x14:cfRule>
          <xm:sqref>W77:AK77</xm:sqref>
        </x14:conditionalFormatting>
        <x14:conditionalFormatting xmlns:xm="http://schemas.microsoft.com/office/excel/2006/main">
          <x14:cfRule type="expression" priority="4694032" id="{6CA9FB7A-20EA-4D3A-B74C-A001F4BE810D}">
            <xm:f>$AL$4='Data entry'!$R30</xm:f>
            <x14:dxf>
              <fill>
                <patternFill>
                  <bgColor rgb="FFFF0000"/>
                </patternFill>
              </fill>
            </x14:dxf>
          </x14:cfRule>
          <xm:sqref>AJ78:AV78</xm:sqref>
        </x14:conditionalFormatting>
        <x14:conditionalFormatting xmlns:xm="http://schemas.microsoft.com/office/excel/2006/main">
          <x14:cfRule type="expression" priority="4694033" id="{81A75DAA-573F-4EF3-A640-1B992C18BEA0}">
            <xm:f>$AL$4='Data entry'!$R30</xm:f>
            <x14:dxf>
              <fill>
                <patternFill>
                  <bgColor rgb="FFFFFF00"/>
                </patternFill>
              </fill>
            </x14:dxf>
          </x14:cfRule>
          <xm:sqref>X77:AL77</xm:sqref>
        </x14:conditionalFormatting>
        <x14:conditionalFormatting xmlns:xm="http://schemas.microsoft.com/office/excel/2006/main">
          <x14:cfRule type="expression" priority="4694034" id="{3D44713E-4ABA-4CCD-9DF4-5513A9FB5E1E}">
            <xm:f>$AM$4='Data entry'!$R30</xm:f>
            <x14:dxf>
              <fill>
                <patternFill>
                  <bgColor rgb="FFFF0000"/>
                </patternFill>
              </fill>
            </x14:dxf>
          </x14:cfRule>
          <xm:sqref>AK78:AW78</xm:sqref>
        </x14:conditionalFormatting>
        <x14:conditionalFormatting xmlns:xm="http://schemas.microsoft.com/office/excel/2006/main">
          <x14:cfRule type="expression" priority="4694035" id="{05A26B51-72A7-4423-822F-2BDBC28275D0}">
            <xm:f>$AM$4='Data entry'!$R30</xm:f>
            <x14:dxf>
              <fill>
                <patternFill>
                  <bgColor rgb="FFFFFF00"/>
                </patternFill>
              </fill>
            </x14:dxf>
          </x14:cfRule>
          <xm:sqref>Y77:AM77</xm:sqref>
        </x14:conditionalFormatting>
        <x14:conditionalFormatting xmlns:xm="http://schemas.microsoft.com/office/excel/2006/main">
          <x14:cfRule type="expression" priority="4694036" id="{B8A20675-6230-4694-A7F6-6B3DC7142773}">
            <xm:f>$AN$4='Data entry'!$R30</xm:f>
            <x14:dxf>
              <fill>
                <patternFill>
                  <bgColor rgb="FFFF0000"/>
                </patternFill>
              </fill>
            </x14:dxf>
          </x14:cfRule>
          <xm:sqref>AL78:AX78</xm:sqref>
        </x14:conditionalFormatting>
        <x14:conditionalFormatting xmlns:xm="http://schemas.microsoft.com/office/excel/2006/main">
          <x14:cfRule type="expression" priority="4694037" id="{8421181C-7450-42E9-BC1D-065CCFCA960E}">
            <xm:f>$AN$4='Data entry'!$R30</xm:f>
            <x14:dxf>
              <fill>
                <patternFill>
                  <bgColor rgb="FFFFFF00"/>
                </patternFill>
              </fill>
            </x14:dxf>
          </x14:cfRule>
          <xm:sqref>Z77:AN77</xm:sqref>
        </x14:conditionalFormatting>
        <x14:conditionalFormatting xmlns:xm="http://schemas.microsoft.com/office/excel/2006/main">
          <x14:cfRule type="expression" priority="4694038" id="{067FE4BD-6EF4-4684-B6E0-35AB2F267EE7}">
            <xm:f>$AO$4='Data entry'!$R30</xm:f>
            <x14:dxf>
              <fill>
                <patternFill>
                  <bgColor rgb="FFFF0000"/>
                </patternFill>
              </fill>
            </x14:dxf>
          </x14:cfRule>
          <xm:sqref>AM78:AY78</xm:sqref>
        </x14:conditionalFormatting>
        <x14:conditionalFormatting xmlns:xm="http://schemas.microsoft.com/office/excel/2006/main">
          <x14:cfRule type="expression" priority="4694039" id="{F7653492-88D1-47AC-8BA3-0CCE65C3C2AB}">
            <xm:f>$AO$4='Data entry'!$R30</xm:f>
            <x14:dxf>
              <fill>
                <patternFill>
                  <bgColor rgb="FFFFFF00"/>
                </patternFill>
              </fill>
            </x14:dxf>
          </x14:cfRule>
          <xm:sqref>AA77:AO77</xm:sqref>
        </x14:conditionalFormatting>
        <x14:conditionalFormatting xmlns:xm="http://schemas.microsoft.com/office/excel/2006/main">
          <x14:cfRule type="expression" priority="4694040" id="{207A5E5D-B322-482E-9193-1D7318138358}">
            <xm:f>$AP$4='Data entry'!$R30</xm:f>
            <x14:dxf>
              <fill>
                <patternFill>
                  <bgColor rgb="FFFF0000"/>
                </patternFill>
              </fill>
            </x14:dxf>
          </x14:cfRule>
          <xm:sqref>AN78:AZ78</xm:sqref>
        </x14:conditionalFormatting>
        <x14:conditionalFormatting xmlns:xm="http://schemas.microsoft.com/office/excel/2006/main">
          <x14:cfRule type="expression" priority="4694041" id="{21DA638D-4CA0-4067-BFF1-240CE1A0261B}">
            <xm:f>$AP$4='Data entry'!$R30</xm:f>
            <x14:dxf>
              <fill>
                <patternFill>
                  <bgColor rgb="FFFFFF00"/>
                </patternFill>
              </fill>
            </x14:dxf>
          </x14:cfRule>
          <xm:sqref>AB77:AP77</xm:sqref>
        </x14:conditionalFormatting>
        <x14:conditionalFormatting xmlns:xm="http://schemas.microsoft.com/office/excel/2006/main">
          <x14:cfRule type="expression" priority="4694042" id="{71963D96-A42A-4B90-BFC7-6D83D37766EF}">
            <xm:f>$AQ$4='Data entry'!$R30</xm:f>
            <x14:dxf>
              <fill>
                <patternFill>
                  <bgColor rgb="FFFF0000"/>
                </patternFill>
              </fill>
            </x14:dxf>
          </x14:cfRule>
          <xm:sqref>AO78:BA78</xm:sqref>
        </x14:conditionalFormatting>
        <x14:conditionalFormatting xmlns:xm="http://schemas.microsoft.com/office/excel/2006/main">
          <x14:cfRule type="expression" priority="4694043" id="{74952595-84B6-484F-8FF6-FCC1F337DF4D}">
            <xm:f>$AQ$4='Data entry'!$R30</xm:f>
            <x14:dxf>
              <fill>
                <patternFill>
                  <bgColor rgb="FFFFFF00"/>
                </patternFill>
              </fill>
            </x14:dxf>
          </x14:cfRule>
          <xm:sqref>AC77:AQ77</xm:sqref>
        </x14:conditionalFormatting>
        <x14:conditionalFormatting xmlns:xm="http://schemas.microsoft.com/office/excel/2006/main">
          <x14:cfRule type="expression" priority="4694044" id="{8AC9C4B9-0A34-4BC0-B0F7-CA89434C4911}">
            <xm:f>$P$4='Data entry'!$R30</xm:f>
            <x14:dxf>
              <fill>
                <patternFill>
                  <bgColor rgb="FFFFFF00"/>
                </patternFill>
              </fill>
            </x14:dxf>
          </x14:cfRule>
          <xm:sqref>C77:P77</xm:sqref>
        </x14:conditionalFormatting>
        <x14:conditionalFormatting xmlns:xm="http://schemas.microsoft.com/office/excel/2006/main">
          <x14:cfRule type="expression" priority="4694045" id="{0A726775-ABFD-4F22-967C-1A4D87BA3751}">
            <xm:f>$Q$4='Data entry'!$R30</xm:f>
            <x14:dxf>
              <fill>
                <patternFill>
                  <bgColor rgb="FFFFFF00"/>
                </patternFill>
              </fill>
            </x14:dxf>
          </x14:cfRule>
          <xm:sqref>C77:Q77</xm:sqref>
        </x14:conditionalFormatting>
        <x14:conditionalFormatting xmlns:xm="http://schemas.microsoft.com/office/excel/2006/main">
          <x14:cfRule type="expression" priority="4694046" id="{3A8414BD-262C-43B5-86EE-FA6901D00453}">
            <xm:f>$Q$4='Data entry'!$R30</xm:f>
            <x14:dxf>
              <fill>
                <patternFill>
                  <bgColor rgb="FFFF0000"/>
                </patternFill>
              </fill>
            </x14:dxf>
          </x14:cfRule>
          <xm:sqref>O78:AA78</xm:sqref>
        </x14:conditionalFormatting>
        <x14:conditionalFormatting xmlns:xm="http://schemas.microsoft.com/office/excel/2006/main">
          <x14:cfRule type="expression" priority="4694047" id="{B8B5501D-F3EF-4449-9306-F652960C65F4}">
            <xm:f>$R$4='Data entry'!$R30</xm:f>
            <x14:dxf>
              <fill>
                <patternFill>
                  <bgColor rgb="FFFF0000"/>
                </patternFill>
              </fill>
            </x14:dxf>
          </x14:cfRule>
          <xm:sqref>P78:AB78</xm:sqref>
        </x14:conditionalFormatting>
        <x14:conditionalFormatting xmlns:xm="http://schemas.microsoft.com/office/excel/2006/main">
          <x14:cfRule type="expression" priority="4694048" id="{5D070DEC-B82E-4D87-B907-A3E5AB836991}">
            <xm:f>$R$4='Data entry'!$R30</xm:f>
            <x14:dxf>
              <fill>
                <patternFill>
                  <bgColor rgb="FFFFFF00"/>
                </patternFill>
              </fill>
            </x14:dxf>
          </x14:cfRule>
          <xm:sqref>D77:R77</xm:sqref>
        </x14:conditionalFormatting>
        <x14:conditionalFormatting xmlns:xm="http://schemas.microsoft.com/office/excel/2006/main">
          <x14:cfRule type="expression" priority="4694049" id="{E4D16A10-F818-4664-9FB2-F0E839824D4B}">
            <xm:f>$S$4='Data entry'!$R30</xm:f>
            <x14:dxf>
              <fill>
                <patternFill>
                  <bgColor rgb="FFFF0000"/>
                </patternFill>
              </fill>
            </x14:dxf>
          </x14:cfRule>
          <xm:sqref>Q78:AC78</xm:sqref>
        </x14:conditionalFormatting>
        <x14:conditionalFormatting xmlns:xm="http://schemas.microsoft.com/office/excel/2006/main">
          <x14:cfRule type="expression" priority="4694050" id="{1A9F9911-A3E9-4730-AFBE-AB8C596545CA}">
            <xm:f>$S$4='Data entry'!$R30</xm:f>
            <x14:dxf>
              <fill>
                <patternFill>
                  <bgColor rgb="FFFFFF00"/>
                </patternFill>
              </fill>
            </x14:dxf>
          </x14:cfRule>
          <xm:sqref>E77:S77</xm:sqref>
        </x14:conditionalFormatting>
        <x14:conditionalFormatting xmlns:xm="http://schemas.microsoft.com/office/excel/2006/main">
          <x14:cfRule type="expression" priority="4694051" id="{8BB5CD1B-B2AC-442A-9550-26DE19A62D22}">
            <xm:f>$T$4='Data entry'!$R30</xm:f>
            <x14:dxf>
              <fill>
                <patternFill>
                  <bgColor rgb="FFFF0000"/>
                </patternFill>
              </fill>
            </x14:dxf>
          </x14:cfRule>
          <xm:sqref>R78:AD78</xm:sqref>
        </x14:conditionalFormatting>
        <x14:conditionalFormatting xmlns:xm="http://schemas.microsoft.com/office/excel/2006/main">
          <x14:cfRule type="expression" priority="4694052" id="{E7B59C69-7921-4049-84A1-8B3E5F7B0598}">
            <xm:f>$T$4='Data entry'!$R30</xm:f>
            <x14:dxf>
              <fill>
                <patternFill>
                  <bgColor rgb="FFFFFF00"/>
                </patternFill>
              </fill>
            </x14:dxf>
          </x14:cfRule>
          <xm:sqref>F77:T77</xm:sqref>
        </x14:conditionalFormatting>
        <x14:conditionalFormatting xmlns:xm="http://schemas.microsoft.com/office/excel/2006/main">
          <x14:cfRule type="expression" priority="4694053" id="{238C09E5-7A3D-439D-949F-A7733073F9A2}">
            <xm:f>$U$4='Data entry'!$R30</xm:f>
            <x14:dxf>
              <fill>
                <patternFill>
                  <bgColor rgb="FFFFFF00"/>
                </patternFill>
              </fill>
            </x14:dxf>
          </x14:cfRule>
          <xm:sqref>G77:U77</xm:sqref>
        </x14:conditionalFormatting>
        <x14:conditionalFormatting xmlns:xm="http://schemas.microsoft.com/office/excel/2006/main">
          <x14:cfRule type="expression" priority="4694054" id="{DE4D4432-0A19-452A-AF14-2873FE4DF411}">
            <xm:f>$AR$4='Data entry'!$R30</xm:f>
            <x14:dxf>
              <fill>
                <patternFill>
                  <bgColor rgb="FFFF0000"/>
                </patternFill>
              </fill>
            </x14:dxf>
          </x14:cfRule>
          <xm:sqref>AP78:BB78</xm:sqref>
        </x14:conditionalFormatting>
        <x14:conditionalFormatting xmlns:xm="http://schemas.microsoft.com/office/excel/2006/main">
          <x14:cfRule type="expression" priority="4694055" id="{90D7E1FF-542D-40C8-9BD5-DFEB4CDD256F}">
            <xm:f>$AR$4='Data entry'!$R30</xm:f>
            <x14:dxf>
              <fill>
                <patternFill>
                  <bgColor rgb="FFFFFF00"/>
                </patternFill>
              </fill>
            </x14:dxf>
          </x14:cfRule>
          <xm:sqref>AD77:AR77</xm:sqref>
        </x14:conditionalFormatting>
        <x14:conditionalFormatting xmlns:xm="http://schemas.microsoft.com/office/excel/2006/main">
          <x14:cfRule type="expression" priority="4694056" id="{0EBB5305-4A4A-4205-A1FF-11160070CBC3}">
            <xm:f>$AS$4='Data entry'!$R30</xm:f>
            <x14:dxf>
              <fill>
                <patternFill>
                  <bgColor rgb="FFFF0000"/>
                </patternFill>
              </fill>
            </x14:dxf>
          </x14:cfRule>
          <xm:sqref>AQ78:BC78</xm:sqref>
        </x14:conditionalFormatting>
        <x14:conditionalFormatting xmlns:xm="http://schemas.microsoft.com/office/excel/2006/main">
          <x14:cfRule type="expression" priority="4694057" id="{AC8EB30C-4253-4CE1-820E-1801F6D8D35B}">
            <xm:f>$AS$4='Data entry'!$R30</xm:f>
            <x14:dxf>
              <fill>
                <patternFill>
                  <bgColor rgb="FFFFFF00"/>
                </patternFill>
              </fill>
            </x14:dxf>
          </x14:cfRule>
          <xm:sqref>AE77:AS77</xm:sqref>
        </x14:conditionalFormatting>
        <x14:conditionalFormatting xmlns:xm="http://schemas.microsoft.com/office/excel/2006/main">
          <x14:cfRule type="expression" priority="4694058" id="{E11744C1-7201-4272-A1B0-945490B42425}">
            <xm:f>$AT$4='Data entry'!$R30</xm:f>
            <x14:dxf>
              <fill>
                <patternFill>
                  <bgColor rgb="FFFF0000"/>
                </patternFill>
              </fill>
            </x14:dxf>
          </x14:cfRule>
          <xm:sqref>AR78:BD78</xm:sqref>
        </x14:conditionalFormatting>
        <x14:conditionalFormatting xmlns:xm="http://schemas.microsoft.com/office/excel/2006/main">
          <x14:cfRule type="expression" priority="4694059" id="{5EE2823B-E955-4EA7-B99C-0B1F77B57A69}">
            <xm:f>$AT$4='Data entry'!$R30</xm:f>
            <x14:dxf>
              <fill>
                <patternFill>
                  <bgColor rgb="FFFFFF00"/>
                </patternFill>
              </fill>
            </x14:dxf>
          </x14:cfRule>
          <xm:sqref>AF77:AT77</xm:sqref>
        </x14:conditionalFormatting>
        <x14:conditionalFormatting xmlns:xm="http://schemas.microsoft.com/office/excel/2006/main">
          <x14:cfRule type="expression" priority="4694060" id="{5737DC63-3262-4B34-900C-2AAEB255FCBA}">
            <xm:f>$AU$4='Data entry'!$R30</xm:f>
            <x14:dxf>
              <fill>
                <patternFill>
                  <bgColor rgb="FFFF0000"/>
                </patternFill>
              </fill>
            </x14:dxf>
          </x14:cfRule>
          <xm:sqref>AS78:BE78</xm:sqref>
        </x14:conditionalFormatting>
        <x14:conditionalFormatting xmlns:xm="http://schemas.microsoft.com/office/excel/2006/main">
          <x14:cfRule type="expression" priority="4694061" id="{2B5C1F1B-3C3D-4CA3-BC64-0E98422075B6}">
            <xm:f>$AU$4='Data entry'!$R30</xm:f>
            <x14:dxf>
              <fill>
                <patternFill>
                  <bgColor rgb="FFFFFF00"/>
                </patternFill>
              </fill>
            </x14:dxf>
          </x14:cfRule>
          <xm:sqref>AG77:AU77</xm:sqref>
        </x14:conditionalFormatting>
        <x14:conditionalFormatting xmlns:xm="http://schemas.microsoft.com/office/excel/2006/main">
          <x14:cfRule type="expression" priority="4694062" id="{B87A1285-B003-4855-8F4B-53C391BA10E6}">
            <xm:f>$AV$4='Data entry'!$R30</xm:f>
            <x14:dxf>
              <fill>
                <patternFill>
                  <bgColor rgb="FFFF0000"/>
                </patternFill>
              </fill>
            </x14:dxf>
          </x14:cfRule>
          <xm:sqref>AT78:BF78</xm:sqref>
        </x14:conditionalFormatting>
        <x14:conditionalFormatting xmlns:xm="http://schemas.microsoft.com/office/excel/2006/main">
          <x14:cfRule type="expression" priority="4694063" id="{338EE31C-78DB-4818-B837-0380F9E457FA}">
            <xm:f>$AV$4='Data entry'!$R30</xm:f>
            <x14:dxf>
              <fill>
                <patternFill>
                  <bgColor rgb="FFFFFF00"/>
                </patternFill>
              </fill>
            </x14:dxf>
          </x14:cfRule>
          <xm:sqref>AH77:AV77</xm:sqref>
        </x14:conditionalFormatting>
        <x14:conditionalFormatting xmlns:xm="http://schemas.microsoft.com/office/excel/2006/main">
          <x14:cfRule type="expression" priority="4694064" id="{5C40EA66-2801-4C91-B885-BF6A1ECFC35C}">
            <xm:f>$AW$4='Data entry'!$R30</xm:f>
            <x14:dxf>
              <fill>
                <patternFill>
                  <bgColor rgb="FFFF0000"/>
                </patternFill>
              </fill>
            </x14:dxf>
          </x14:cfRule>
          <xm:sqref>AU78:BG78</xm:sqref>
        </x14:conditionalFormatting>
        <x14:conditionalFormatting xmlns:xm="http://schemas.microsoft.com/office/excel/2006/main">
          <x14:cfRule type="expression" priority="4694065" id="{51BCD5CE-DF86-4C2F-8A81-DDA1EFD6C8F7}">
            <xm:f>$AW$4='Data entry'!$R30</xm:f>
            <x14:dxf>
              <fill>
                <patternFill>
                  <bgColor rgb="FFFFFF00"/>
                </patternFill>
              </fill>
            </x14:dxf>
          </x14:cfRule>
          <xm:sqref>AI77:AW77</xm:sqref>
        </x14:conditionalFormatting>
        <x14:conditionalFormatting xmlns:xm="http://schemas.microsoft.com/office/excel/2006/main">
          <x14:cfRule type="expression" priority="4694066" id="{DC2ED5A0-8917-4877-8CD3-9DF9BE5993C9}">
            <xm:f>$AX$4='Data entry'!$R30</xm:f>
            <x14:dxf>
              <fill>
                <patternFill>
                  <bgColor rgb="FFFF0000"/>
                </patternFill>
              </fill>
            </x14:dxf>
          </x14:cfRule>
          <xm:sqref>AV78:BH78</xm:sqref>
        </x14:conditionalFormatting>
        <x14:conditionalFormatting xmlns:xm="http://schemas.microsoft.com/office/excel/2006/main">
          <x14:cfRule type="expression" priority="4694067" id="{59B31869-20F9-45BD-BC80-0A6C8945CE2C}">
            <xm:f>$AX$4='Data entry'!$R30</xm:f>
            <x14:dxf>
              <fill>
                <patternFill>
                  <bgColor rgb="FFFFFF00"/>
                </patternFill>
              </fill>
            </x14:dxf>
          </x14:cfRule>
          <xm:sqref>AJ77:AX77</xm:sqref>
        </x14:conditionalFormatting>
        <x14:conditionalFormatting xmlns:xm="http://schemas.microsoft.com/office/excel/2006/main">
          <x14:cfRule type="expression" priority="4694068" id="{D4208FA0-4262-4037-934C-6D0742B2AD8E}">
            <xm:f>$AY$4='Data entry'!$R30</xm:f>
            <x14:dxf>
              <fill>
                <patternFill>
                  <bgColor rgb="FFFF0000"/>
                </patternFill>
              </fill>
            </x14:dxf>
          </x14:cfRule>
          <xm:sqref>AW78:BI78</xm:sqref>
        </x14:conditionalFormatting>
        <x14:conditionalFormatting xmlns:xm="http://schemas.microsoft.com/office/excel/2006/main">
          <x14:cfRule type="expression" priority="4694069" id="{04D6E423-18C7-42B2-A67D-F49D8E62B571}">
            <xm:f>$AY$4='Data entry'!$R30</xm:f>
            <x14:dxf>
              <fill>
                <patternFill>
                  <bgColor rgb="FFFFFF00"/>
                </patternFill>
              </fill>
            </x14:dxf>
          </x14:cfRule>
          <xm:sqref>AK77:AY77</xm:sqref>
        </x14:conditionalFormatting>
        <x14:conditionalFormatting xmlns:xm="http://schemas.microsoft.com/office/excel/2006/main">
          <x14:cfRule type="expression" priority="4694070" id="{A931C203-6E4B-4EBD-A2F4-1876881F48D4}">
            <xm:f>$AZ$4='Data entry'!$R30</xm:f>
            <x14:dxf>
              <fill>
                <patternFill>
                  <bgColor rgb="FFFF0000"/>
                </patternFill>
              </fill>
            </x14:dxf>
          </x14:cfRule>
          <xm:sqref>AX78:BJ78</xm:sqref>
        </x14:conditionalFormatting>
        <x14:conditionalFormatting xmlns:xm="http://schemas.microsoft.com/office/excel/2006/main">
          <x14:cfRule type="expression" priority="4694071" id="{092D9100-E652-40FE-8CAA-720DC0681250}">
            <xm:f>$AZ$4='Data entry'!$R30</xm:f>
            <x14:dxf>
              <fill>
                <patternFill>
                  <bgColor rgb="FFFFFF00"/>
                </patternFill>
              </fill>
            </x14:dxf>
          </x14:cfRule>
          <xm:sqref>AL77:AZ77</xm:sqref>
        </x14:conditionalFormatting>
        <x14:conditionalFormatting xmlns:xm="http://schemas.microsoft.com/office/excel/2006/main">
          <x14:cfRule type="expression" priority="4694072" id="{A3C7E6BE-A225-483C-A983-A915DB662C52}">
            <xm:f>$BA$4='Data entry'!$R30</xm:f>
            <x14:dxf>
              <fill>
                <patternFill>
                  <bgColor rgb="FFFF0000"/>
                </patternFill>
              </fill>
            </x14:dxf>
          </x14:cfRule>
          <xm:sqref>AY78:BK78</xm:sqref>
        </x14:conditionalFormatting>
        <x14:conditionalFormatting xmlns:xm="http://schemas.microsoft.com/office/excel/2006/main">
          <x14:cfRule type="expression" priority="4694073" id="{F5CF569A-8AFA-4CFF-8BD3-F04D8927A99F}">
            <xm:f>$BA$4='Data entry'!$R30</xm:f>
            <x14:dxf>
              <fill>
                <patternFill>
                  <bgColor rgb="FFFFFF00"/>
                </patternFill>
              </fill>
            </x14:dxf>
          </x14:cfRule>
          <xm:sqref>AM77:BA77</xm:sqref>
        </x14:conditionalFormatting>
        <x14:conditionalFormatting xmlns:xm="http://schemas.microsoft.com/office/excel/2006/main">
          <x14:cfRule type="expression" priority="4694074" id="{E4DAC94A-7983-4BFB-A87B-45B58561841A}">
            <xm:f>$BB$4='Data entry'!$R30</xm:f>
            <x14:dxf>
              <fill>
                <patternFill>
                  <bgColor rgb="FFFF0000"/>
                </patternFill>
              </fill>
            </x14:dxf>
          </x14:cfRule>
          <xm:sqref>AZ78:BL78</xm:sqref>
        </x14:conditionalFormatting>
        <x14:conditionalFormatting xmlns:xm="http://schemas.microsoft.com/office/excel/2006/main">
          <x14:cfRule type="expression" priority="4694075" id="{E63849C5-F39B-4B0E-8F8A-B532EDF2CBAE}">
            <xm:f>$BB$4='Data entry'!$R30</xm:f>
            <x14:dxf>
              <fill>
                <patternFill>
                  <bgColor rgb="FFFFFF00"/>
                </patternFill>
              </fill>
            </x14:dxf>
          </x14:cfRule>
          <xm:sqref>AN77:BB77</xm:sqref>
        </x14:conditionalFormatting>
        <x14:conditionalFormatting xmlns:xm="http://schemas.microsoft.com/office/excel/2006/main">
          <x14:cfRule type="expression" priority="4694076" id="{4FDC32D3-C1F5-455D-9AA4-A03359B72526}">
            <xm:f>$BC$4='Data entry'!$R30</xm:f>
            <x14:dxf>
              <fill>
                <patternFill>
                  <bgColor rgb="FFFF0000"/>
                </patternFill>
              </fill>
            </x14:dxf>
          </x14:cfRule>
          <xm:sqref>BA78:BM78</xm:sqref>
        </x14:conditionalFormatting>
        <x14:conditionalFormatting xmlns:xm="http://schemas.microsoft.com/office/excel/2006/main">
          <x14:cfRule type="expression" priority="4694077" id="{5F0D0C60-B233-4C56-B05D-98C99990877F}">
            <xm:f>$BC$4='Data entry'!$R30</xm:f>
            <x14:dxf>
              <fill>
                <patternFill>
                  <bgColor rgb="FFFFFF00"/>
                </patternFill>
              </fill>
            </x14:dxf>
          </x14:cfRule>
          <xm:sqref>AO77:BC77</xm:sqref>
        </x14:conditionalFormatting>
        <x14:conditionalFormatting xmlns:xm="http://schemas.microsoft.com/office/excel/2006/main">
          <x14:cfRule type="expression" priority="4694078" id="{9EBCB60F-8135-43B6-A0F3-548D4092CC98}">
            <xm:f>$BD$4='Data entry'!$R30</xm:f>
            <x14:dxf>
              <fill>
                <patternFill>
                  <bgColor rgb="FFFF0000"/>
                </patternFill>
              </fill>
            </x14:dxf>
          </x14:cfRule>
          <xm:sqref>BB78:BN78</xm:sqref>
        </x14:conditionalFormatting>
        <x14:conditionalFormatting xmlns:xm="http://schemas.microsoft.com/office/excel/2006/main">
          <x14:cfRule type="expression" priority="4694079" id="{961AF346-4A73-41ED-9A8D-27D431B09C05}">
            <xm:f>$BD$4='Data entry'!$R30</xm:f>
            <x14:dxf>
              <fill>
                <patternFill>
                  <bgColor rgb="FFFFFF00"/>
                </patternFill>
              </fill>
            </x14:dxf>
          </x14:cfRule>
          <xm:sqref>AP77:BD77</xm:sqref>
        </x14:conditionalFormatting>
        <x14:conditionalFormatting xmlns:xm="http://schemas.microsoft.com/office/excel/2006/main">
          <x14:cfRule type="expression" priority="4694080" id="{5A887026-27CD-4F8C-8BA6-1E92704C1CA6}">
            <xm:f>$BE$4='Data entry'!$R30</xm:f>
            <x14:dxf>
              <fill>
                <patternFill>
                  <bgColor rgb="FFFF0000"/>
                </patternFill>
              </fill>
            </x14:dxf>
          </x14:cfRule>
          <xm:sqref>BC78:BO78</xm:sqref>
        </x14:conditionalFormatting>
        <x14:conditionalFormatting xmlns:xm="http://schemas.microsoft.com/office/excel/2006/main">
          <x14:cfRule type="expression" priority="4694081" id="{7F46217B-A1E9-4515-B31E-E756FCD7C6D9}">
            <xm:f>$BE$4='Data entry'!$R30</xm:f>
            <x14:dxf>
              <fill>
                <patternFill>
                  <bgColor rgb="FFFFFF00"/>
                </patternFill>
              </fill>
            </x14:dxf>
          </x14:cfRule>
          <xm:sqref>AP77:BE77</xm:sqref>
        </x14:conditionalFormatting>
        <x14:conditionalFormatting xmlns:xm="http://schemas.microsoft.com/office/excel/2006/main">
          <x14:cfRule type="expression" priority="4694082" id="{F4D9285C-8CA0-4EF1-943E-6A462D47CC77}">
            <xm:f>$BF$4='Data entry'!$R30</xm:f>
            <x14:dxf>
              <fill>
                <patternFill>
                  <bgColor rgb="FFFF0000"/>
                </patternFill>
              </fill>
            </x14:dxf>
          </x14:cfRule>
          <xm:sqref>BD78:BP78</xm:sqref>
        </x14:conditionalFormatting>
        <x14:conditionalFormatting xmlns:xm="http://schemas.microsoft.com/office/excel/2006/main">
          <x14:cfRule type="expression" priority="4694083" id="{B9E4407D-651D-4DC0-9D61-3271D62A65E9}">
            <xm:f>$BF$4='Data entry'!$R30</xm:f>
            <x14:dxf>
              <fill>
                <patternFill>
                  <bgColor rgb="FFFFFF00"/>
                </patternFill>
              </fill>
            </x14:dxf>
          </x14:cfRule>
          <xm:sqref>AR77:BF77</xm:sqref>
        </x14:conditionalFormatting>
        <x14:conditionalFormatting xmlns:xm="http://schemas.microsoft.com/office/excel/2006/main">
          <x14:cfRule type="expression" priority="4694084" id="{4CDC062F-DDFF-4556-B941-08F919727F69}">
            <xm:f>$BG$4='Data entry'!$R30</xm:f>
            <x14:dxf>
              <fill>
                <patternFill>
                  <bgColor rgb="FFFF0000"/>
                </patternFill>
              </fill>
            </x14:dxf>
          </x14:cfRule>
          <xm:sqref>BE78:BQ78</xm:sqref>
        </x14:conditionalFormatting>
        <x14:conditionalFormatting xmlns:xm="http://schemas.microsoft.com/office/excel/2006/main">
          <x14:cfRule type="expression" priority="4694085" id="{789184FA-9055-433B-8A1B-92C7ED59E81F}">
            <xm:f>$BG$4='Data entry'!$R30</xm:f>
            <x14:dxf>
              <fill>
                <patternFill>
                  <bgColor rgb="FFFFFF00"/>
                </patternFill>
              </fill>
            </x14:dxf>
          </x14:cfRule>
          <xm:sqref>AS77:BG77</xm:sqref>
        </x14:conditionalFormatting>
        <x14:conditionalFormatting xmlns:xm="http://schemas.microsoft.com/office/excel/2006/main">
          <x14:cfRule type="expression" priority="4694086" id="{58651E5C-09C9-46C1-B95C-E8A578A49E15}">
            <xm:f>$BH$4='Data entry'!$R30</xm:f>
            <x14:dxf>
              <fill>
                <patternFill>
                  <bgColor rgb="FFFFFF00"/>
                </patternFill>
              </fill>
            </x14:dxf>
          </x14:cfRule>
          <xm:sqref>AT77:BH77</xm:sqref>
        </x14:conditionalFormatting>
        <x14:conditionalFormatting xmlns:xm="http://schemas.microsoft.com/office/excel/2006/main">
          <x14:cfRule type="expression" priority="4694087" id="{97B30B86-8311-4DC0-A533-8C0D53F37839}">
            <xm:f>$BH$4='Data entry'!$R30</xm:f>
            <x14:dxf>
              <fill>
                <patternFill>
                  <bgColor rgb="FFFF0000"/>
                </patternFill>
              </fill>
            </x14:dxf>
          </x14:cfRule>
          <xm:sqref>BF78:BR78</xm:sqref>
        </x14:conditionalFormatting>
        <x14:conditionalFormatting xmlns:xm="http://schemas.microsoft.com/office/excel/2006/main">
          <x14:cfRule type="expression" priority="4694088" id="{78344C0C-5AEA-40B1-A20C-6D77DF58E1F5}">
            <xm:f>$BI$4='Data entry'!$R30</xm:f>
            <x14:dxf>
              <fill>
                <patternFill>
                  <bgColor rgb="FFFFFF00"/>
                </patternFill>
              </fill>
            </x14:dxf>
          </x14:cfRule>
          <xm:sqref>AU77:BI77</xm:sqref>
        </x14:conditionalFormatting>
        <x14:conditionalFormatting xmlns:xm="http://schemas.microsoft.com/office/excel/2006/main">
          <x14:cfRule type="expression" priority="4694089" id="{A9CE044F-482E-4F25-B28F-89ACC58502B1}">
            <xm:f>$BI$4='Data entry'!$R30</xm:f>
            <x14:dxf>
              <fill>
                <patternFill>
                  <bgColor rgb="FFFF0000"/>
                </patternFill>
              </fill>
            </x14:dxf>
          </x14:cfRule>
          <xm:sqref>BG78:BS78</xm:sqref>
        </x14:conditionalFormatting>
        <x14:conditionalFormatting xmlns:xm="http://schemas.microsoft.com/office/excel/2006/main">
          <x14:cfRule type="expression" priority="4694090" id="{F63BE0EB-3C71-4456-BEF0-11180AB7A8BB}">
            <xm:f>$BJ$4='Data entry'!$R30</xm:f>
            <x14:dxf>
              <fill>
                <patternFill>
                  <bgColor rgb="FFFFFF00"/>
                </patternFill>
              </fill>
            </x14:dxf>
          </x14:cfRule>
          <xm:sqref>AV77:BJ77</xm:sqref>
        </x14:conditionalFormatting>
        <x14:conditionalFormatting xmlns:xm="http://schemas.microsoft.com/office/excel/2006/main">
          <x14:cfRule type="expression" priority="4694091" id="{478A5DCB-1DAA-4497-A6CC-B4F01FB96D10}">
            <xm:f>$BJ$4='Data entry'!$R30</xm:f>
            <x14:dxf>
              <fill>
                <patternFill>
                  <bgColor rgb="FFFF0000"/>
                </patternFill>
              </fill>
            </x14:dxf>
          </x14:cfRule>
          <xm:sqref>BH78:BT78</xm:sqref>
        </x14:conditionalFormatting>
        <x14:conditionalFormatting xmlns:xm="http://schemas.microsoft.com/office/excel/2006/main">
          <x14:cfRule type="expression" priority="4694092" id="{CDE4AD5B-65A6-4FA4-9EC0-8D05F22312A9}">
            <xm:f>$BK$4='Data entry'!$R30</xm:f>
            <x14:dxf>
              <fill>
                <patternFill>
                  <bgColor rgb="FFFF0000"/>
                </patternFill>
              </fill>
            </x14:dxf>
          </x14:cfRule>
          <xm:sqref>BI78:BU78</xm:sqref>
        </x14:conditionalFormatting>
        <x14:conditionalFormatting xmlns:xm="http://schemas.microsoft.com/office/excel/2006/main">
          <x14:cfRule type="expression" priority="4694093" id="{AB32E790-6CD8-4D11-9A69-57D785FE4BBC}">
            <xm:f>$BK$4='Data entry'!$R30</xm:f>
            <x14:dxf>
              <fill>
                <patternFill>
                  <bgColor rgb="FFFFFF00"/>
                </patternFill>
              </fill>
            </x14:dxf>
          </x14:cfRule>
          <xm:sqref>AW77:BK77</xm:sqref>
        </x14:conditionalFormatting>
        <x14:conditionalFormatting xmlns:xm="http://schemas.microsoft.com/office/excel/2006/main">
          <x14:cfRule type="expression" priority="4694094" id="{99810EB9-805C-43D8-852A-EEECE7874CDB}">
            <xm:f>$BL$4='Data entry'!$R30</xm:f>
            <x14:dxf>
              <fill>
                <patternFill>
                  <bgColor rgb="FFFF0000"/>
                </patternFill>
              </fill>
            </x14:dxf>
          </x14:cfRule>
          <xm:sqref>BJ78:BV78</xm:sqref>
        </x14:conditionalFormatting>
        <x14:conditionalFormatting xmlns:xm="http://schemas.microsoft.com/office/excel/2006/main">
          <x14:cfRule type="expression" priority="4694095" id="{BF5F5475-4E46-479C-97A6-D5175F5D1803}">
            <xm:f>$BL$4='Data entry'!$R30</xm:f>
            <x14:dxf>
              <fill>
                <patternFill>
                  <bgColor rgb="FFFFFF00"/>
                </patternFill>
              </fill>
            </x14:dxf>
          </x14:cfRule>
          <xm:sqref>AX77:BL77</xm:sqref>
        </x14:conditionalFormatting>
        <x14:conditionalFormatting xmlns:xm="http://schemas.microsoft.com/office/excel/2006/main">
          <x14:cfRule type="expression" priority="4694096" id="{B86FDF2F-16C9-46B1-847E-7EA1A8A34B9D}">
            <xm:f>$BM$4='Data entry'!$R30</xm:f>
            <x14:dxf>
              <fill>
                <patternFill>
                  <bgColor rgb="FFFF0000"/>
                </patternFill>
              </fill>
            </x14:dxf>
          </x14:cfRule>
          <xm:sqref>BK78:BW78</xm:sqref>
        </x14:conditionalFormatting>
        <x14:conditionalFormatting xmlns:xm="http://schemas.microsoft.com/office/excel/2006/main">
          <x14:cfRule type="expression" priority="4694097" id="{72FD189F-4CED-400D-9FEF-21A328970A4D}">
            <xm:f>$BM$4='Data entry'!$R30</xm:f>
            <x14:dxf>
              <fill>
                <patternFill>
                  <bgColor rgb="FFFFFF00"/>
                </patternFill>
              </fill>
            </x14:dxf>
          </x14:cfRule>
          <xm:sqref>AY77:BM77</xm:sqref>
        </x14:conditionalFormatting>
        <x14:conditionalFormatting xmlns:xm="http://schemas.microsoft.com/office/excel/2006/main">
          <x14:cfRule type="expression" priority="4694098" id="{BBBBF859-D5A7-4F55-BFBF-8A77E3357590}">
            <xm:f>$BN$4='Data entry'!$R30</xm:f>
            <x14:dxf>
              <fill>
                <patternFill>
                  <bgColor rgb="FFFF0000"/>
                </patternFill>
              </fill>
            </x14:dxf>
          </x14:cfRule>
          <xm:sqref>BL78:BX78</xm:sqref>
        </x14:conditionalFormatting>
        <x14:conditionalFormatting xmlns:xm="http://schemas.microsoft.com/office/excel/2006/main">
          <x14:cfRule type="expression" priority="4694099" id="{50CB1D75-0FD5-4D24-92B1-E8A41DC6575C}">
            <xm:f>$BN$4='Data entry'!$R30</xm:f>
            <x14:dxf>
              <fill>
                <patternFill>
                  <bgColor rgb="FFFFFF00"/>
                </patternFill>
              </fill>
            </x14:dxf>
          </x14:cfRule>
          <xm:sqref>AZ77:BN77</xm:sqref>
        </x14:conditionalFormatting>
        <x14:conditionalFormatting xmlns:xm="http://schemas.microsoft.com/office/excel/2006/main">
          <x14:cfRule type="expression" priority="4694100" id="{9EF3226D-E8FC-496B-A6FF-71776AEA54D1}">
            <xm:f>$BO$4='Data entry'!$R30</xm:f>
            <x14:dxf>
              <fill>
                <patternFill>
                  <bgColor rgb="FFFF0000"/>
                </patternFill>
              </fill>
            </x14:dxf>
          </x14:cfRule>
          <xm:sqref>BM78:BY78</xm:sqref>
        </x14:conditionalFormatting>
        <x14:conditionalFormatting xmlns:xm="http://schemas.microsoft.com/office/excel/2006/main">
          <x14:cfRule type="expression" priority="4694101" id="{3B86C801-ECFE-4D05-8AA5-1581116BAFBC}">
            <xm:f>$BO$4='Data entry'!$R30</xm:f>
            <x14:dxf>
              <fill>
                <patternFill>
                  <bgColor rgb="FFFFFF00"/>
                </patternFill>
              </fill>
            </x14:dxf>
          </x14:cfRule>
          <xm:sqref>BA77:BO77</xm:sqref>
        </x14:conditionalFormatting>
        <x14:conditionalFormatting xmlns:xm="http://schemas.microsoft.com/office/excel/2006/main">
          <x14:cfRule type="expression" priority="4694102" id="{058A23EC-3371-4A02-9F20-1ECA603AC6BC}">
            <xm:f>$BP$4='Data entry'!$R30</xm:f>
            <x14:dxf>
              <fill>
                <patternFill>
                  <bgColor rgb="FFFF0000"/>
                </patternFill>
              </fill>
            </x14:dxf>
          </x14:cfRule>
          <xm:sqref>BN78:BZ78</xm:sqref>
        </x14:conditionalFormatting>
        <x14:conditionalFormatting xmlns:xm="http://schemas.microsoft.com/office/excel/2006/main">
          <x14:cfRule type="expression" priority="4694103" id="{3E711E31-3992-4555-AB22-87133D60CD15}">
            <xm:f>$BP$4='Data entry'!$R30</xm:f>
            <x14:dxf>
              <fill>
                <patternFill>
                  <bgColor rgb="FFFFFF00"/>
                </patternFill>
              </fill>
            </x14:dxf>
          </x14:cfRule>
          <xm:sqref>BB77:BP77</xm:sqref>
        </x14:conditionalFormatting>
        <x14:conditionalFormatting xmlns:xm="http://schemas.microsoft.com/office/excel/2006/main">
          <x14:cfRule type="expression" priority="4694104" id="{23E9F8B9-37D5-4730-9453-6F23E8ECBBE3}">
            <xm:f>$BQ$4='Data entry'!$R30</xm:f>
            <x14:dxf>
              <fill>
                <patternFill>
                  <bgColor rgb="FFFFFF00"/>
                </patternFill>
              </fill>
            </x14:dxf>
          </x14:cfRule>
          <xm:sqref>BC77:BQ77</xm:sqref>
        </x14:conditionalFormatting>
        <x14:conditionalFormatting xmlns:xm="http://schemas.microsoft.com/office/excel/2006/main">
          <x14:cfRule type="expression" priority="4694105" id="{BCFD92F6-AAD3-44FD-BC61-A292A81B883E}">
            <xm:f>$BQ$4='Data entry'!$R30</xm:f>
            <x14:dxf>
              <fill>
                <patternFill>
                  <bgColor rgb="FFFF0000"/>
                </patternFill>
              </fill>
            </x14:dxf>
          </x14:cfRule>
          <xm:sqref>BO78:CA78</xm:sqref>
        </x14:conditionalFormatting>
        <x14:conditionalFormatting xmlns:xm="http://schemas.microsoft.com/office/excel/2006/main">
          <x14:cfRule type="expression" priority="4694106" id="{357D60E5-F356-477E-8020-A18F42C02832}">
            <xm:f>$BR$4='Data entry'!$R30</xm:f>
            <x14:dxf>
              <fill>
                <patternFill>
                  <bgColor rgb="FFFFFF00"/>
                </patternFill>
              </fill>
            </x14:dxf>
          </x14:cfRule>
          <xm:sqref>BD77:BR77</xm:sqref>
        </x14:conditionalFormatting>
        <x14:conditionalFormatting xmlns:xm="http://schemas.microsoft.com/office/excel/2006/main">
          <x14:cfRule type="expression" priority="4694107" id="{DA2B6511-43B3-432D-B6AA-1DB1188B90A6}">
            <xm:f>$BR$4='Data entry'!$R30</xm:f>
            <x14:dxf>
              <fill>
                <patternFill>
                  <bgColor rgb="FFFF0000"/>
                </patternFill>
              </fill>
            </x14:dxf>
          </x14:cfRule>
          <xm:sqref>BP78:CB78</xm:sqref>
        </x14:conditionalFormatting>
        <x14:conditionalFormatting xmlns:xm="http://schemas.microsoft.com/office/excel/2006/main">
          <x14:cfRule type="expression" priority="4694108" id="{0D5F64E4-4136-4BFA-B833-CC8578525D9C}">
            <xm:f>$BS$4='Data entry'!$R30</xm:f>
            <x14:dxf>
              <fill>
                <patternFill>
                  <bgColor rgb="FFFFFF00"/>
                </patternFill>
              </fill>
            </x14:dxf>
          </x14:cfRule>
          <xm:sqref>BE77:BS77</xm:sqref>
        </x14:conditionalFormatting>
        <x14:conditionalFormatting xmlns:xm="http://schemas.microsoft.com/office/excel/2006/main">
          <x14:cfRule type="expression" priority="4694109" id="{AC94D468-F078-4AE2-8771-102996E07B09}">
            <xm:f>$BS$4='Data entry'!$R30</xm:f>
            <x14:dxf>
              <fill>
                <patternFill>
                  <bgColor rgb="FFFF0000"/>
                </patternFill>
              </fill>
            </x14:dxf>
          </x14:cfRule>
          <xm:sqref>BQ78:CC78</xm:sqref>
        </x14:conditionalFormatting>
        <x14:conditionalFormatting xmlns:xm="http://schemas.microsoft.com/office/excel/2006/main">
          <x14:cfRule type="expression" priority="4694110" id="{10E78F76-181E-4F19-9F89-7DD36D3EFE30}">
            <xm:f>$BT$4='Data entry'!$R30</xm:f>
            <x14:dxf>
              <fill>
                <patternFill>
                  <bgColor rgb="FFFFFF00"/>
                </patternFill>
              </fill>
            </x14:dxf>
          </x14:cfRule>
          <xm:sqref>BF77:BT77</xm:sqref>
        </x14:conditionalFormatting>
        <x14:conditionalFormatting xmlns:xm="http://schemas.microsoft.com/office/excel/2006/main">
          <x14:cfRule type="expression" priority="4694111" id="{6A5FADC6-9512-4EFB-90A5-7B5244D10D1F}">
            <xm:f>$BT$4='Data entry'!$R30</xm:f>
            <x14:dxf>
              <fill>
                <patternFill>
                  <bgColor rgb="FFFF0000"/>
                </patternFill>
              </fill>
            </x14:dxf>
          </x14:cfRule>
          <xm:sqref>BR78:CC78</xm:sqref>
        </x14:conditionalFormatting>
        <x14:conditionalFormatting xmlns:xm="http://schemas.microsoft.com/office/excel/2006/main">
          <x14:cfRule type="expression" priority="4694112" id="{A51139D1-8841-4B96-B8CB-DFE3808765CF}">
            <xm:f>$BU$4='Data entry'!$R30</xm:f>
            <x14:dxf>
              <fill>
                <patternFill>
                  <bgColor rgb="FFFFFF00"/>
                </patternFill>
              </fill>
            </x14:dxf>
          </x14:cfRule>
          <xm:sqref>BG77:BU77</xm:sqref>
        </x14:conditionalFormatting>
        <x14:conditionalFormatting xmlns:xm="http://schemas.microsoft.com/office/excel/2006/main">
          <x14:cfRule type="expression" priority="4694113" id="{55CA7258-760F-4BFF-ACB5-A70FEB3E7981}">
            <xm:f>$BU$4='Data entry'!$R30</xm:f>
            <x14:dxf>
              <fill>
                <patternFill>
                  <bgColor rgb="FFFF0000"/>
                </patternFill>
              </fill>
            </x14:dxf>
          </x14:cfRule>
          <xm:sqref>BS78:CC78</xm:sqref>
        </x14:conditionalFormatting>
        <x14:conditionalFormatting xmlns:xm="http://schemas.microsoft.com/office/excel/2006/main">
          <x14:cfRule type="expression" priority="4694114" id="{A922B218-64DB-4CBB-9AB8-FE0EBB44E09E}">
            <xm:f>$BV$4='Data entry'!$R30</xm:f>
            <x14:dxf>
              <fill>
                <patternFill>
                  <bgColor rgb="FFFFFF00"/>
                </patternFill>
              </fill>
            </x14:dxf>
          </x14:cfRule>
          <xm:sqref>BH77:BV77</xm:sqref>
        </x14:conditionalFormatting>
        <x14:conditionalFormatting xmlns:xm="http://schemas.microsoft.com/office/excel/2006/main">
          <x14:cfRule type="expression" priority="4694115" id="{C98E908A-CD31-4778-B41C-7AFB9DBE639A}">
            <xm:f>$BV$4='Data entry'!$R30</xm:f>
            <x14:dxf>
              <fill>
                <patternFill>
                  <bgColor rgb="FFFF0000"/>
                </patternFill>
              </fill>
            </x14:dxf>
          </x14:cfRule>
          <xm:sqref>BT78:CC78</xm:sqref>
        </x14:conditionalFormatting>
        <x14:conditionalFormatting xmlns:xm="http://schemas.microsoft.com/office/excel/2006/main">
          <x14:cfRule type="expression" priority="4694116" id="{465CCCA3-B4DB-4B61-8AC7-8A5E4CEC9E3F}">
            <xm:f>$BW$4='Data entry'!$R30</xm:f>
            <x14:dxf>
              <fill>
                <patternFill>
                  <bgColor rgb="FFFFFF00"/>
                </patternFill>
              </fill>
            </x14:dxf>
          </x14:cfRule>
          <xm:sqref>BI77:BW77</xm:sqref>
        </x14:conditionalFormatting>
        <x14:conditionalFormatting xmlns:xm="http://schemas.microsoft.com/office/excel/2006/main">
          <x14:cfRule type="expression" priority="4694117" id="{37566F97-6D06-400B-A709-FE657B07687F}">
            <xm:f>$BW$4='Data entry'!$R30</xm:f>
            <x14:dxf>
              <fill>
                <patternFill>
                  <bgColor rgb="FFFF0000"/>
                </patternFill>
              </fill>
            </x14:dxf>
          </x14:cfRule>
          <xm:sqref>BU78:CC78</xm:sqref>
        </x14:conditionalFormatting>
        <x14:conditionalFormatting xmlns:xm="http://schemas.microsoft.com/office/excel/2006/main">
          <x14:cfRule type="expression" priority="4694118" id="{D8FBA3AC-5CF0-4E45-97CA-1D4DEE729ADA}">
            <xm:f>$BX$4='Data entry'!$R30</xm:f>
            <x14:dxf>
              <fill>
                <patternFill>
                  <bgColor rgb="FFFFFF00"/>
                </patternFill>
              </fill>
            </x14:dxf>
          </x14:cfRule>
          <xm:sqref>BJ77:BX77</xm:sqref>
        </x14:conditionalFormatting>
        <x14:conditionalFormatting xmlns:xm="http://schemas.microsoft.com/office/excel/2006/main">
          <x14:cfRule type="expression" priority="4694119" id="{E077C84B-A94F-431D-B232-4AFCC7C64F54}">
            <xm:f>$BX$4='Data entry'!$R30</xm:f>
            <x14:dxf>
              <fill>
                <patternFill>
                  <bgColor rgb="FFFF0000"/>
                </patternFill>
              </fill>
            </x14:dxf>
          </x14:cfRule>
          <xm:sqref>BV78:CC78</xm:sqref>
        </x14:conditionalFormatting>
        <x14:conditionalFormatting xmlns:xm="http://schemas.microsoft.com/office/excel/2006/main">
          <x14:cfRule type="expression" priority="4694120" id="{63783BA8-0C97-4A44-86FD-7A2BCF1B9957}">
            <xm:f>$BY$4='Data entry'!$R30</xm:f>
            <x14:dxf>
              <fill>
                <patternFill>
                  <bgColor rgb="FFFFFF00"/>
                </patternFill>
              </fill>
            </x14:dxf>
          </x14:cfRule>
          <xm:sqref>BK77:BY77</xm:sqref>
        </x14:conditionalFormatting>
        <x14:conditionalFormatting xmlns:xm="http://schemas.microsoft.com/office/excel/2006/main">
          <x14:cfRule type="expression" priority="4694121" id="{BB8DB8B4-B71B-46D2-AEE7-346F16103F74}">
            <xm:f>$BY$4='Data entry'!$R30</xm:f>
            <x14:dxf>
              <fill>
                <patternFill>
                  <bgColor rgb="FFFF0000"/>
                </patternFill>
              </fill>
            </x14:dxf>
          </x14:cfRule>
          <xm:sqref>BW78:CC78</xm:sqref>
        </x14:conditionalFormatting>
        <x14:conditionalFormatting xmlns:xm="http://schemas.microsoft.com/office/excel/2006/main">
          <x14:cfRule type="expression" priority="4694122" id="{1B638B98-2B06-4FEB-90C1-446A3E0A3979}">
            <xm:f>$BZ$4='Data entry'!$R30</xm:f>
            <x14:dxf>
              <fill>
                <patternFill>
                  <bgColor rgb="FFFFFF00"/>
                </patternFill>
              </fill>
            </x14:dxf>
          </x14:cfRule>
          <xm:sqref>BL77:BZ77</xm:sqref>
        </x14:conditionalFormatting>
        <x14:conditionalFormatting xmlns:xm="http://schemas.microsoft.com/office/excel/2006/main">
          <x14:cfRule type="expression" priority="4694123" id="{D3A0A2F8-D1B2-4DC5-B2A9-0EF53074E685}">
            <xm:f>$BZ$4='Data entry'!$R30</xm:f>
            <x14:dxf>
              <fill>
                <patternFill>
                  <bgColor rgb="FFFF0000"/>
                </patternFill>
              </fill>
            </x14:dxf>
          </x14:cfRule>
          <xm:sqref>BX78:CC78</xm:sqref>
        </x14:conditionalFormatting>
        <x14:conditionalFormatting xmlns:xm="http://schemas.microsoft.com/office/excel/2006/main">
          <x14:cfRule type="expression" priority="4694124" id="{83F6D018-7D3B-4D33-9998-11572F2F2FF5}">
            <xm:f>$CA$4='Data entry'!$R30</xm:f>
            <x14:dxf>
              <fill>
                <patternFill>
                  <bgColor rgb="FFFFFF00"/>
                </patternFill>
              </fill>
            </x14:dxf>
          </x14:cfRule>
          <xm:sqref>BM77:CA77</xm:sqref>
        </x14:conditionalFormatting>
        <x14:conditionalFormatting xmlns:xm="http://schemas.microsoft.com/office/excel/2006/main">
          <x14:cfRule type="expression" priority="4694125" id="{8E6D0B51-5626-4ED9-9072-C7A2C139704F}">
            <xm:f>$CA$4='Data entry'!$R30</xm:f>
            <x14:dxf>
              <fill>
                <patternFill>
                  <bgColor rgb="FFFF0000"/>
                </patternFill>
              </fill>
            </x14:dxf>
          </x14:cfRule>
          <xm:sqref>BY78:CC78</xm:sqref>
        </x14:conditionalFormatting>
        <x14:conditionalFormatting xmlns:xm="http://schemas.microsoft.com/office/excel/2006/main">
          <x14:cfRule type="expression" priority="4694126" id="{E1886EE4-3BDE-43A9-9F4B-79377FEC37FE}">
            <xm:f>$CB$4='Data entry'!$R30</xm:f>
            <x14:dxf>
              <fill>
                <patternFill>
                  <bgColor rgb="FFFFFF00"/>
                </patternFill>
              </fill>
            </x14:dxf>
          </x14:cfRule>
          <xm:sqref>BN77:CB77</xm:sqref>
        </x14:conditionalFormatting>
        <x14:conditionalFormatting xmlns:xm="http://schemas.microsoft.com/office/excel/2006/main">
          <x14:cfRule type="expression" priority="4694127" id="{ADEF572A-6C18-4602-BB86-01C96D36E07E}">
            <xm:f>$CB$4='Data entry'!$R30</xm:f>
            <x14:dxf>
              <fill>
                <patternFill>
                  <bgColor rgb="FFFF0000"/>
                </patternFill>
              </fill>
            </x14:dxf>
          </x14:cfRule>
          <xm:sqref>BZ78:CC78</xm:sqref>
        </x14:conditionalFormatting>
        <x14:conditionalFormatting xmlns:xm="http://schemas.microsoft.com/office/excel/2006/main">
          <x14:cfRule type="expression" priority="4694128" id="{7984E1C9-E073-4955-8543-62145CB6D008}">
            <xm:f>$CC$4='Data entry'!$R30</xm:f>
            <x14:dxf>
              <fill>
                <patternFill>
                  <bgColor rgb="FFFFFF00"/>
                </patternFill>
              </fill>
            </x14:dxf>
          </x14:cfRule>
          <xm:sqref>BO77:CC77</xm:sqref>
        </x14:conditionalFormatting>
        <x14:conditionalFormatting xmlns:xm="http://schemas.microsoft.com/office/excel/2006/main">
          <x14:cfRule type="expression" priority="4694129" id="{18A957B3-59FA-4698-BA92-2A208FF18E2F}">
            <xm:f>$CC$4='Data entry'!$R30</xm:f>
            <x14:dxf>
              <fill>
                <patternFill>
                  <bgColor rgb="FFFF0000"/>
                </patternFill>
              </fill>
            </x14:dxf>
          </x14:cfRule>
          <xm:sqref>CA78:CC78</xm:sqref>
        </x14:conditionalFormatting>
        <x14:conditionalFormatting xmlns:xm="http://schemas.microsoft.com/office/excel/2006/main">
          <x14:cfRule type="expression" priority="4694216" id="{5B0DB825-B7C2-40AC-B7EF-F267F054CFB9}">
            <xm:f>$U$4='Data entry'!$R31</xm:f>
            <x14:dxf>
              <fill>
                <patternFill>
                  <bgColor rgb="FFFF0000"/>
                </patternFill>
              </fill>
            </x14:dxf>
          </x14:cfRule>
          <xm:sqref>S81:AE81</xm:sqref>
        </x14:conditionalFormatting>
        <x14:conditionalFormatting xmlns:xm="http://schemas.microsoft.com/office/excel/2006/main">
          <x14:cfRule type="expression" priority="4694217" id="{18311200-E2BB-400F-B594-3B9A2C6068C2}">
            <xm:f>$V$4='Data entry'!$R31</xm:f>
            <x14:dxf>
              <fill>
                <patternFill>
                  <bgColor rgb="FFFF0000"/>
                </patternFill>
              </fill>
            </x14:dxf>
          </x14:cfRule>
          <xm:sqref>T81:AF81</xm:sqref>
        </x14:conditionalFormatting>
        <x14:conditionalFormatting xmlns:xm="http://schemas.microsoft.com/office/excel/2006/main">
          <x14:cfRule type="expression" priority="4694218" id="{D6DFB621-1A58-4C59-A987-ECAD0EB2D32B}">
            <xm:f>$V$4='Data entry'!$R31</xm:f>
            <x14:dxf>
              <fill>
                <patternFill>
                  <bgColor rgb="FFFFFF00"/>
                </patternFill>
              </fill>
            </x14:dxf>
          </x14:cfRule>
          <xm:sqref>H80:V80</xm:sqref>
        </x14:conditionalFormatting>
        <x14:conditionalFormatting xmlns:xm="http://schemas.microsoft.com/office/excel/2006/main">
          <x14:cfRule type="expression" priority="4694219" id="{5F87A680-DC5F-433D-A779-B7A534ACCDA9}">
            <xm:f>$W$4='Data entry'!$R31</xm:f>
            <x14:dxf>
              <fill>
                <patternFill>
                  <bgColor rgb="FFFF0000"/>
                </patternFill>
              </fill>
            </x14:dxf>
          </x14:cfRule>
          <xm:sqref>U81:AG81</xm:sqref>
        </x14:conditionalFormatting>
        <x14:conditionalFormatting xmlns:xm="http://schemas.microsoft.com/office/excel/2006/main">
          <x14:cfRule type="expression" priority="4694220" id="{964539FF-A92C-4F68-B268-B7157A32678C}">
            <xm:f>$W$4='Data entry'!$R31</xm:f>
            <x14:dxf>
              <fill>
                <patternFill>
                  <bgColor rgb="FFFFFF00"/>
                </patternFill>
              </fill>
            </x14:dxf>
          </x14:cfRule>
          <xm:sqref>I80:W80</xm:sqref>
        </x14:conditionalFormatting>
        <x14:conditionalFormatting xmlns:xm="http://schemas.microsoft.com/office/excel/2006/main">
          <x14:cfRule type="expression" priority="4694221" id="{46C1533A-F090-4A90-9309-3F59EC3FD3B0}">
            <xm:f>$X$4='Data entry'!$R31</xm:f>
            <x14:dxf>
              <fill>
                <patternFill>
                  <bgColor rgb="FFFF0000"/>
                </patternFill>
              </fill>
            </x14:dxf>
          </x14:cfRule>
          <xm:sqref>V81:AH81</xm:sqref>
        </x14:conditionalFormatting>
        <x14:conditionalFormatting xmlns:xm="http://schemas.microsoft.com/office/excel/2006/main">
          <x14:cfRule type="expression" priority="4694222" id="{7C70E81C-DDD4-4D75-933A-4F6A39893184}">
            <xm:f>$X$4='Data entry'!$R31</xm:f>
            <x14:dxf>
              <fill>
                <patternFill>
                  <bgColor rgb="FFFFFF00"/>
                </patternFill>
              </fill>
            </x14:dxf>
          </x14:cfRule>
          <xm:sqref>J80:X80</xm:sqref>
        </x14:conditionalFormatting>
        <x14:conditionalFormatting xmlns:xm="http://schemas.microsoft.com/office/excel/2006/main">
          <x14:cfRule type="expression" priority="4694223" id="{561AF073-0EF8-4B72-A119-40A639C4359D}">
            <xm:f>$Y$4='Data entry'!$R31</xm:f>
            <x14:dxf>
              <fill>
                <patternFill>
                  <bgColor rgb="FFFF0000"/>
                </patternFill>
              </fill>
            </x14:dxf>
          </x14:cfRule>
          <xm:sqref>W81:AI81</xm:sqref>
        </x14:conditionalFormatting>
        <x14:conditionalFormatting xmlns:xm="http://schemas.microsoft.com/office/excel/2006/main">
          <x14:cfRule type="expression" priority="4694224" id="{F242E808-8F07-4A89-9524-7D4C767CE357}">
            <xm:f>$Y$4='Data entry'!$R31</xm:f>
            <x14:dxf>
              <fill>
                <patternFill>
                  <bgColor rgb="FFFFFF00"/>
                </patternFill>
              </fill>
            </x14:dxf>
          </x14:cfRule>
          <xm:sqref>K80:Y80</xm:sqref>
        </x14:conditionalFormatting>
        <x14:conditionalFormatting xmlns:xm="http://schemas.microsoft.com/office/excel/2006/main">
          <x14:cfRule type="expression" priority="4694225" id="{DD601058-982B-4218-BD9D-64BB823C2633}">
            <xm:f>$Z$4='Data entry'!$R31</xm:f>
            <x14:dxf>
              <fill>
                <patternFill>
                  <bgColor rgb="FFFF0000"/>
                </patternFill>
              </fill>
            </x14:dxf>
          </x14:cfRule>
          <xm:sqref>X81:AJ81</xm:sqref>
        </x14:conditionalFormatting>
        <x14:conditionalFormatting xmlns:xm="http://schemas.microsoft.com/office/excel/2006/main">
          <x14:cfRule type="expression" priority="4694226" id="{C9DB141D-79F6-4093-92A3-7BF7A1622985}">
            <xm:f>$Z$4='Data entry'!$R31</xm:f>
            <x14:dxf>
              <fill>
                <patternFill>
                  <bgColor rgb="FFFFFF00"/>
                </patternFill>
              </fill>
            </x14:dxf>
          </x14:cfRule>
          <xm:sqref>L80:Z80</xm:sqref>
        </x14:conditionalFormatting>
        <x14:conditionalFormatting xmlns:xm="http://schemas.microsoft.com/office/excel/2006/main">
          <x14:cfRule type="expression" priority="4694227" id="{710EB8D3-F5C0-4E3C-8214-2D0C4E26F649}">
            <xm:f>$AA$4='Data entry'!$R31</xm:f>
            <x14:dxf>
              <fill>
                <patternFill>
                  <bgColor rgb="FFFF0000"/>
                </patternFill>
              </fill>
            </x14:dxf>
          </x14:cfRule>
          <xm:sqref>Y81:AK81</xm:sqref>
        </x14:conditionalFormatting>
        <x14:conditionalFormatting xmlns:xm="http://schemas.microsoft.com/office/excel/2006/main">
          <x14:cfRule type="expression" priority="4694228" id="{33825D69-C967-4D27-B395-5D44A3083802}">
            <xm:f>$AA$4='Data entry'!$R31</xm:f>
            <x14:dxf>
              <fill>
                <patternFill>
                  <bgColor rgb="FFFFFF00"/>
                </patternFill>
              </fill>
            </x14:dxf>
          </x14:cfRule>
          <xm:sqref>M80:AA80</xm:sqref>
        </x14:conditionalFormatting>
        <x14:conditionalFormatting xmlns:xm="http://schemas.microsoft.com/office/excel/2006/main">
          <x14:cfRule type="expression" priority="4694229" id="{9811A97D-351B-4D32-8754-AF433277E62B}">
            <xm:f>$AB$4='Data entry'!$R31</xm:f>
            <x14:dxf>
              <fill>
                <patternFill>
                  <bgColor rgb="FFFF0000"/>
                </patternFill>
              </fill>
            </x14:dxf>
          </x14:cfRule>
          <xm:sqref>Z81:AL81</xm:sqref>
        </x14:conditionalFormatting>
        <x14:conditionalFormatting xmlns:xm="http://schemas.microsoft.com/office/excel/2006/main">
          <x14:cfRule type="expression" priority="4694230" id="{6DD3E556-C72E-438B-92DA-3096ED1E4178}">
            <xm:f>$AB$4='Data entry'!$R31</xm:f>
            <x14:dxf>
              <fill>
                <patternFill>
                  <bgColor rgb="FFFFFF00"/>
                </patternFill>
              </fill>
            </x14:dxf>
          </x14:cfRule>
          <xm:sqref>N80:AB80</xm:sqref>
        </x14:conditionalFormatting>
        <x14:conditionalFormatting xmlns:xm="http://schemas.microsoft.com/office/excel/2006/main">
          <x14:cfRule type="expression" priority="4694231" id="{C0DF7A1B-D6BC-4371-BD3A-F0708147FA1C}">
            <xm:f>$AC$4='Data entry'!$R31</xm:f>
            <x14:dxf>
              <fill>
                <patternFill>
                  <bgColor rgb="FFFF0000"/>
                </patternFill>
              </fill>
            </x14:dxf>
          </x14:cfRule>
          <xm:sqref>AA81:AM81</xm:sqref>
        </x14:conditionalFormatting>
        <x14:conditionalFormatting xmlns:xm="http://schemas.microsoft.com/office/excel/2006/main">
          <x14:cfRule type="expression" priority="4694232" id="{DB2E1F48-AF0E-41F9-A976-6B1963CA5711}">
            <xm:f>$AC$4='Data entry'!$R31</xm:f>
            <x14:dxf>
              <fill>
                <patternFill>
                  <bgColor rgb="FFFFFF00"/>
                </patternFill>
              </fill>
            </x14:dxf>
          </x14:cfRule>
          <xm:sqref>O80:AC80</xm:sqref>
        </x14:conditionalFormatting>
        <x14:conditionalFormatting xmlns:xm="http://schemas.microsoft.com/office/excel/2006/main">
          <x14:cfRule type="expression" priority="4694233" id="{89909907-F9A9-4AF9-BC1D-304710A43F50}">
            <xm:f>$AD$4='Data entry'!$R31</xm:f>
            <x14:dxf>
              <fill>
                <patternFill>
                  <bgColor rgb="FFFF0000"/>
                </patternFill>
              </fill>
            </x14:dxf>
          </x14:cfRule>
          <xm:sqref>AB81:AN81</xm:sqref>
        </x14:conditionalFormatting>
        <x14:conditionalFormatting xmlns:xm="http://schemas.microsoft.com/office/excel/2006/main">
          <x14:cfRule type="expression" priority="4694234" id="{729676B7-E331-43A4-ACC9-850DCEE76A0E}">
            <xm:f>$AD$4='Data entry'!$R31</xm:f>
            <x14:dxf>
              <fill>
                <patternFill>
                  <bgColor rgb="FFFFFF00"/>
                </patternFill>
              </fill>
            </x14:dxf>
          </x14:cfRule>
          <xm:sqref>P80:AD80</xm:sqref>
        </x14:conditionalFormatting>
        <x14:conditionalFormatting xmlns:xm="http://schemas.microsoft.com/office/excel/2006/main">
          <x14:cfRule type="expression" priority="4694235" id="{00DA2C55-350E-44AA-ABEA-808FABFDA737}">
            <xm:f>$AE$4='Data entry'!$R31</xm:f>
            <x14:dxf>
              <fill>
                <patternFill>
                  <bgColor rgb="FFFF0000"/>
                </patternFill>
              </fill>
            </x14:dxf>
          </x14:cfRule>
          <xm:sqref>AC81:AO81</xm:sqref>
        </x14:conditionalFormatting>
        <x14:conditionalFormatting xmlns:xm="http://schemas.microsoft.com/office/excel/2006/main">
          <x14:cfRule type="expression" priority="4694236" id="{373C95F1-00C1-45E9-B561-5224945BA4A4}">
            <xm:f>$AE$4='Data entry'!$R31</xm:f>
            <x14:dxf>
              <fill>
                <patternFill>
                  <bgColor rgb="FFFFFF00"/>
                </patternFill>
              </fill>
            </x14:dxf>
          </x14:cfRule>
          <xm:sqref>Q80:AE80</xm:sqref>
        </x14:conditionalFormatting>
        <x14:conditionalFormatting xmlns:xm="http://schemas.microsoft.com/office/excel/2006/main">
          <x14:cfRule type="expression" priority="4694237" id="{65E90E74-6BEF-4B00-BD5E-ECACFEBC225A}">
            <xm:f>$AF$4='Data entry'!$R31</xm:f>
            <x14:dxf>
              <fill>
                <patternFill>
                  <bgColor rgb="FFFF0000"/>
                </patternFill>
              </fill>
            </x14:dxf>
          </x14:cfRule>
          <xm:sqref>AD81:AP81</xm:sqref>
        </x14:conditionalFormatting>
        <x14:conditionalFormatting xmlns:xm="http://schemas.microsoft.com/office/excel/2006/main">
          <x14:cfRule type="expression" priority="4694238" id="{56B519D7-E083-4811-B42B-D6CB10D44BB3}">
            <xm:f>$AF$4='Data entry'!$R31</xm:f>
            <x14:dxf>
              <fill>
                <patternFill>
                  <bgColor rgb="FFFFFF00"/>
                </patternFill>
              </fill>
            </x14:dxf>
          </x14:cfRule>
          <xm:sqref>R80:AF80</xm:sqref>
        </x14:conditionalFormatting>
        <x14:conditionalFormatting xmlns:xm="http://schemas.microsoft.com/office/excel/2006/main">
          <x14:cfRule type="expression" priority="4694239" id="{889682B6-BF9B-414B-86B7-1C802156B058}">
            <xm:f>$AG$4='Data entry'!$R31</xm:f>
            <x14:dxf>
              <fill>
                <patternFill>
                  <bgColor rgb="FFFF0000"/>
                </patternFill>
              </fill>
            </x14:dxf>
          </x14:cfRule>
          <xm:sqref>AE81:AQ81</xm:sqref>
        </x14:conditionalFormatting>
        <x14:conditionalFormatting xmlns:xm="http://schemas.microsoft.com/office/excel/2006/main">
          <x14:cfRule type="expression" priority="4694240" id="{19913D88-1940-4CB0-B29C-D46D60833BD5}">
            <xm:f>$AG$4='Data entry'!$R31</xm:f>
            <x14:dxf>
              <fill>
                <patternFill>
                  <bgColor rgb="FFFFFF00"/>
                </patternFill>
              </fill>
            </x14:dxf>
          </x14:cfRule>
          <xm:sqref>S80:AG80</xm:sqref>
        </x14:conditionalFormatting>
        <x14:conditionalFormatting xmlns:xm="http://schemas.microsoft.com/office/excel/2006/main">
          <x14:cfRule type="expression" priority="4694241" id="{3DD7B9A5-18A3-463F-BAD5-9796FC487328}">
            <xm:f>$AH$4='Data entry'!$R31</xm:f>
            <x14:dxf>
              <fill>
                <patternFill>
                  <bgColor rgb="FFFF0000"/>
                </patternFill>
              </fill>
            </x14:dxf>
          </x14:cfRule>
          <xm:sqref>AF81:AR81</xm:sqref>
        </x14:conditionalFormatting>
        <x14:conditionalFormatting xmlns:xm="http://schemas.microsoft.com/office/excel/2006/main">
          <x14:cfRule type="expression" priority="4694242" id="{31005CF4-5608-496E-91EB-F7F505046C80}">
            <xm:f>$AH$4='Data entry'!$R31</xm:f>
            <x14:dxf>
              <fill>
                <patternFill>
                  <bgColor rgb="FFFFFF00"/>
                </patternFill>
              </fill>
            </x14:dxf>
          </x14:cfRule>
          <xm:sqref>T80:AH80</xm:sqref>
        </x14:conditionalFormatting>
        <x14:conditionalFormatting xmlns:xm="http://schemas.microsoft.com/office/excel/2006/main">
          <x14:cfRule type="expression" priority="4694243" id="{CD14F654-5B7A-444F-8FC1-7DD71E76E475}">
            <xm:f>$AI$4='Data entry'!$R31</xm:f>
            <x14:dxf>
              <fill>
                <patternFill>
                  <bgColor rgb="FFFF0000"/>
                </patternFill>
              </fill>
            </x14:dxf>
          </x14:cfRule>
          <xm:sqref>AG81:AS81</xm:sqref>
        </x14:conditionalFormatting>
        <x14:conditionalFormatting xmlns:xm="http://schemas.microsoft.com/office/excel/2006/main">
          <x14:cfRule type="expression" priority="4694244" id="{0E4E448C-6C46-4285-B877-A61A90294385}">
            <xm:f>$AI$4='Data entry'!$R31</xm:f>
            <x14:dxf>
              <fill>
                <patternFill>
                  <bgColor rgb="FFFFFF00"/>
                </patternFill>
              </fill>
            </x14:dxf>
          </x14:cfRule>
          <xm:sqref>U80:AI80</xm:sqref>
        </x14:conditionalFormatting>
        <x14:conditionalFormatting xmlns:xm="http://schemas.microsoft.com/office/excel/2006/main">
          <x14:cfRule type="expression" priority="4694245" id="{B1C1818F-791C-403D-BE73-6F6E9DC6A16D}">
            <xm:f>$AJ$4='Data entry'!$R31</xm:f>
            <x14:dxf>
              <fill>
                <patternFill>
                  <bgColor rgb="FFFF0000"/>
                </patternFill>
              </fill>
            </x14:dxf>
          </x14:cfRule>
          <xm:sqref>AH81:AT81</xm:sqref>
        </x14:conditionalFormatting>
        <x14:conditionalFormatting xmlns:xm="http://schemas.microsoft.com/office/excel/2006/main">
          <x14:cfRule type="expression" priority="4694246" id="{A1237792-221B-431B-B8A7-E9A64DA46D93}">
            <xm:f>$AJ$4='Data entry'!$R31</xm:f>
            <x14:dxf>
              <fill>
                <patternFill>
                  <bgColor rgb="FFFFFF00"/>
                </patternFill>
              </fill>
            </x14:dxf>
          </x14:cfRule>
          <xm:sqref>V80:AJ80</xm:sqref>
        </x14:conditionalFormatting>
        <x14:conditionalFormatting xmlns:xm="http://schemas.microsoft.com/office/excel/2006/main">
          <x14:cfRule type="expression" priority="4694247" id="{617DC2AF-C7A3-4724-8EA3-17DEFEDC8949}">
            <xm:f>$AK$4='Data entry'!$R31</xm:f>
            <x14:dxf>
              <fill>
                <patternFill>
                  <bgColor rgb="FFFF0000"/>
                </patternFill>
              </fill>
            </x14:dxf>
          </x14:cfRule>
          <xm:sqref>AI81:AU81</xm:sqref>
        </x14:conditionalFormatting>
        <x14:conditionalFormatting xmlns:xm="http://schemas.microsoft.com/office/excel/2006/main">
          <x14:cfRule type="expression" priority="4694248" id="{AA72317D-37B1-48EB-A28B-BF2AC8DC4519}">
            <xm:f>$AK$4='Data entry'!$R31</xm:f>
            <x14:dxf>
              <fill>
                <patternFill>
                  <bgColor rgb="FFFFFF00"/>
                </patternFill>
              </fill>
            </x14:dxf>
          </x14:cfRule>
          <xm:sqref>W80:AK80</xm:sqref>
        </x14:conditionalFormatting>
        <x14:conditionalFormatting xmlns:xm="http://schemas.microsoft.com/office/excel/2006/main">
          <x14:cfRule type="expression" priority="4694249" id="{6CA9FB7A-20EA-4D3A-B74C-A001F4BE810D}">
            <xm:f>$AL$4='Data entry'!$R31</xm:f>
            <x14:dxf>
              <fill>
                <patternFill>
                  <bgColor rgb="FFFF0000"/>
                </patternFill>
              </fill>
            </x14:dxf>
          </x14:cfRule>
          <xm:sqref>AJ81:AV81</xm:sqref>
        </x14:conditionalFormatting>
        <x14:conditionalFormatting xmlns:xm="http://schemas.microsoft.com/office/excel/2006/main">
          <x14:cfRule type="expression" priority="4694250" id="{81A75DAA-573F-4EF3-A640-1B992C18BEA0}">
            <xm:f>$AL$4='Data entry'!$R31</xm:f>
            <x14:dxf>
              <fill>
                <patternFill>
                  <bgColor rgb="FFFFFF00"/>
                </patternFill>
              </fill>
            </x14:dxf>
          </x14:cfRule>
          <xm:sqref>X80:AL80</xm:sqref>
        </x14:conditionalFormatting>
        <x14:conditionalFormatting xmlns:xm="http://schemas.microsoft.com/office/excel/2006/main">
          <x14:cfRule type="expression" priority="4694251" id="{3D44713E-4ABA-4CCD-9DF4-5513A9FB5E1E}">
            <xm:f>$AM$4='Data entry'!$R31</xm:f>
            <x14:dxf>
              <fill>
                <patternFill>
                  <bgColor rgb="FFFF0000"/>
                </patternFill>
              </fill>
            </x14:dxf>
          </x14:cfRule>
          <xm:sqref>AK81:AW81</xm:sqref>
        </x14:conditionalFormatting>
        <x14:conditionalFormatting xmlns:xm="http://schemas.microsoft.com/office/excel/2006/main">
          <x14:cfRule type="expression" priority="4694252" id="{05A26B51-72A7-4423-822F-2BDBC28275D0}">
            <xm:f>$AM$4='Data entry'!$R31</xm:f>
            <x14:dxf>
              <fill>
                <patternFill>
                  <bgColor rgb="FFFFFF00"/>
                </patternFill>
              </fill>
            </x14:dxf>
          </x14:cfRule>
          <xm:sqref>Y80:AM80</xm:sqref>
        </x14:conditionalFormatting>
        <x14:conditionalFormatting xmlns:xm="http://schemas.microsoft.com/office/excel/2006/main">
          <x14:cfRule type="expression" priority="4694253" id="{B8A20675-6230-4694-A7F6-6B3DC7142773}">
            <xm:f>$AN$4='Data entry'!$R31</xm:f>
            <x14:dxf>
              <fill>
                <patternFill>
                  <bgColor rgb="FFFF0000"/>
                </patternFill>
              </fill>
            </x14:dxf>
          </x14:cfRule>
          <xm:sqref>AL81:AX81</xm:sqref>
        </x14:conditionalFormatting>
        <x14:conditionalFormatting xmlns:xm="http://schemas.microsoft.com/office/excel/2006/main">
          <x14:cfRule type="expression" priority="4694254" id="{8421181C-7450-42E9-BC1D-065CCFCA960E}">
            <xm:f>$AN$4='Data entry'!$R31</xm:f>
            <x14:dxf>
              <fill>
                <patternFill>
                  <bgColor rgb="FFFFFF00"/>
                </patternFill>
              </fill>
            </x14:dxf>
          </x14:cfRule>
          <xm:sqref>Z80:AN80</xm:sqref>
        </x14:conditionalFormatting>
        <x14:conditionalFormatting xmlns:xm="http://schemas.microsoft.com/office/excel/2006/main">
          <x14:cfRule type="expression" priority="4694255" id="{067FE4BD-6EF4-4684-B6E0-35AB2F267EE7}">
            <xm:f>$AO$4='Data entry'!$R31</xm:f>
            <x14:dxf>
              <fill>
                <patternFill>
                  <bgColor rgb="FFFF0000"/>
                </patternFill>
              </fill>
            </x14:dxf>
          </x14:cfRule>
          <xm:sqref>AM81:AY81</xm:sqref>
        </x14:conditionalFormatting>
        <x14:conditionalFormatting xmlns:xm="http://schemas.microsoft.com/office/excel/2006/main">
          <x14:cfRule type="expression" priority="4694256" id="{F7653492-88D1-47AC-8BA3-0CCE65C3C2AB}">
            <xm:f>$AO$4='Data entry'!$R31</xm:f>
            <x14:dxf>
              <fill>
                <patternFill>
                  <bgColor rgb="FFFFFF00"/>
                </patternFill>
              </fill>
            </x14:dxf>
          </x14:cfRule>
          <xm:sqref>AA80:AO80</xm:sqref>
        </x14:conditionalFormatting>
        <x14:conditionalFormatting xmlns:xm="http://schemas.microsoft.com/office/excel/2006/main">
          <x14:cfRule type="expression" priority="4694257" id="{207A5E5D-B322-482E-9193-1D7318138358}">
            <xm:f>$AP$4='Data entry'!$R31</xm:f>
            <x14:dxf>
              <fill>
                <patternFill>
                  <bgColor rgb="FFFF0000"/>
                </patternFill>
              </fill>
            </x14:dxf>
          </x14:cfRule>
          <xm:sqref>AN81:AZ81</xm:sqref>
        </x14:conditionalFormatting>
        <x14:conditionalFormatting xmlns:xm="http://schemas.microsoft.com/office/excel/2006/main">
          <x14:cfRule type="expression" priority="4694258" id="{21DA638D-4CA0-4067-BFF1-240CE1A0261B}">
            <xm:f>$AP$4='Data entry'!$R31</xm:f>
            <x14:dxf>
              <fill>
                <patternFill>
                  <bgColor rgb="FFFFFF00"/>
                </patternFill>
              </fill>
            </x14:dxf>
          </x14:cfRule>
          <xm:sqref>AB80:AP80</xm:sqref>
        </x14:conditionalFormatting>
        <x14:conditionalFormatting xmlns:xm="http://schemas.microsoft.com/office/excel/2006/main">
          <x14:cfRule type="expression" priority="4694259" id="{71963D96-A42A-4B90-BFC7-6D83D37766EF}">
            <xm:f>$AQ$4='Data entry'!$R31</xm:f>
            <x14:dxf>
              <fill>
                <patternFill>
                  <bgColor rgb="FFFF0000"/>
                </patternFill>
              </fill>
            </x14:dxf>
          </x14:cfRule>
          <xm:sqref>AO81:BA81</xm:sqref>
        </x14:conditionalFormatting>
        <x14:conditionalFormatting xmlns:xm="http://schemas.microsoft.com/office/excel/2006/main">
          <x14:cfRule type="expression" priority="4694260" id="{74952595-84B6-484F-8FF6-FCC1F337DF4D}">
            <xm:f>$AQ$4='Data entry'!$R31</xm:f>
            <x14:dxf>
              <fill>
                <patternFill>
                  <bgColor rgb="FFFFFF00"/>
                </patternFill>
              </fill>
            </x14:dxf>
          </x14:cfRule>
          <xm:sqref>AC80:AQ80</xm:sqref>
        </x14:conditionalFormatting>
        <x14:conditionalFormatting xmlns:xm="http://schemas.microsoft.com/office/excel/2006/main">
          <x14:cfRule type="expression" priority="4694261" id="{8AC9C4B9-0A34-4BC0-B0F7-CA89434C4911}">
            <xm:f>$P$4='Data entry'!$R31</xm:f>
            <x14:dxf>
              <fill>
                <patternFill>
                  <bgColor rgb="FFFFFF00"/>
                </patternFill>
              </fill>
            </x14:dxf>
          </x14:cfRule>
          <xm:sqref>C80:P80</xm:sqref>
        </x14:conditionalFormatting>
        <x14:conditionalFormatting xmlns:xm="http://schemas.microsoft.com/office/excel/2006/main">
          <x14:cfRule type="expression" priority="4694262" id="{0A726775-ABFD-4F22-967C-1A4D87BA3751}">
            <xm:f>$Q$4='Data entry'!$R31</xm:f>
            <x14:dxf>
              <fill>
                <patternFill>
                  <bgColor rgb="FFFFFF00"/>
                </patternFill>
              </fill>
            </x14:dxf>
          </x14:cfRule>
          <xm:sqref>C80:Q80</xm:sqref>
        </x14:conditionalFormatting>
        <x14:conditionalFormatting xmlns:xm="http://schemas.microsoft.com/office/excel/2006/main">
          <x14:cfRule type="expression" priority="4694263" id="{3A8414BD-262C-43B5-86EE-FA6901D00453}">
            <xm:f>$Q$4='Data entry'!$R31</xm:f>
            <x14:dxf>
              <fill>
                <patternFill>
                  <bgColor rgb="FFFF0000"/>
                </patternFill>
              </fill>
            </x14:dxf>
          </x14:cfRule>
          <xm:sqref>O81:AA81</xm:sqref>
        </x14:conditionalFormatting>
        <x14:conditionalFormatting xmlns:xm="http://schemas.microsoft.com/office/excel/2006/main">
          <x14:cfRule type="expression" priority="4694264" id="{B8B5501D-F3EF-4449-9306-F652960C65F4}">
            <xm:f>$R$4='Data entry'!$R31</xm:f>
            <x14:dxf>
              <fill>
                <patternFill>
                  <bgColor rgb="FFFF0000"/>
                </patternFill>
              </fill>
            </x14:dxf>
          </x14:cfRule>
          <xm:sqref>P81:AB81</xm:sqref>
        </x14:conditionalFormatting>
        <x14:conditionalFormatting xmlns:xm="http://schemas.microsoft.com/office/excel/2006/main">
          <x14:cfRule type="expression" priority="4694265" id="{5D070DEC-B82E-4D87-B907-A3E5AB836991}">
            <xm:f>$R$4='Data entry'!$R31</xm:f>
            <x14:dxf>
              <fill>
                <patternFill>
                  <bgColor rgb="FFFFFF00"/>
                </patternFill>
              </fill>
            </x14:dxf>
          </x14:cfRule>
          <xm:sqref>D80:R80</xm:sqref>
        </x14:conditionalFormatting>
        <x14:conditionalFormatting xmlns:xm="http://schemas.microsoft.com/office/excel/2006/main">
          <x14:cfRule type="expression" priority="4694266" id="{E4D16A10-F818-4664-9FB2-F0E839824D4B}">
            <xm:f>$S$4='Data entry'!$R31</xm:f>
            <x14:dxf>
              <fill>
                <patternFill>
                  <bgColor rgb="FFFF0000"/>
                </patternFill>
              </fill>
            </x14:dxf>
          </x14:cfRule>
          <xm:sqref>Q81:AC81</xm:sqref>
        </x14:conditionalFormatting>
        <x14:conditionalFormatting xmlns:xm="http://schemas.microsoft.com/office/excel/2006/main">
          <x14:cfRule type="expression" priority="4694267" id="{1A9F9911-A3E9-4730-AFBE-AB8C596545CA}">
            <xm:f>$S$4='Data entry'!$R31</xm:f>
            <x14:dxf>
              <fill>
                <patternFill>
                  <bgColor rgb="FFFFFF00"/>
                </patternFill>
              </fill>
            </x14:dxf>
          </x14:cfRule>
          <xm:sqref>E80:S80</xm:sqref>
        </x14:conditionalFormatting>
        <x14:conditionalFormatting xmlns:xm="http://schemas.microsoft.com/office/excel/2006/main">
          <x14:cfRule type="expression" priority="4694268" id="{8BB5CD1B-B2AC-442A-9550-26DE19A62D22}">
            <xm:f>$T$4='Data entry'!$R31</xm:f>
            <x14:dxf>
              <fill>
                <patternFill>
                  <bgColor rgb="FFFF0000"/>
                </patternFill>
              </fill>
            </x14:dxf>
          </x14:cfRule>
          <xm:sqref>R81:AD81</xm:sqref>
        </x14:conditionalFormatting>
        <x14:conditionalFormatting xmlns:xm="http://schemas.microsoft.com/office/excel/2006/main">
          <x14:cfRule type="expression" priority="4694269" id="{E7B59C69-7921-4049-84A1-8B3E5F7B0598}">
            <xm:f>$T$4='Data entry'!$R31</xm:f>
            <x14:dxf>
              <fill>
                <patternFill>
                  <bgColor rgb="FFFFFF00"/>
                </patternFill>
              </fill>
            </x14:dxf>
          </x14:cfRule>
          <xm:sqref>F80:T80</xm:sqref>
        </x14:conditionalFormatting>
        <x14:conditionalFormatting xmlns:xm="http://schemas.microsoft.com/office/excel/2006/main">
          <x14:cfRule type="expression" priority="4694270" id="{238C09E5-7A3D-439D-949F-A7733073F9A2}">
            <xm:f>$U$4='Data entry'!$R31</xm:f>
            <x14:dxf>
              <fill>
                <patternFill>
                  <bgColor rgb="FFFFFF00"/>
                </patternFill>
              </fill>
            </x14:dxf>
          </x14:cfRule>
          <xm:sqref>G80:U80</xm:sqref>
        </x14:conditionalFormatting>
        <x14:conditionalFormatting xmlns:xm="http://schemas.microsoft.com/office/excel/2006/main">
          <x14:cfRule type="expression" priority="4694271" id="{DE4D4432-0A19-452A-AF14-2873FE4DF411}">
            <xm:f>$AR$4='Data entry'!$R31</xm:f>
            <x14:dxf>
              <fill>
                <patternFill>
                  <bgColor rgb="FFFF0000"/>
                </patternFill>
              </fill>
            </x14:dxf>
          </x14:cfRule>
          <xm:sqref>AP81:BB81</xm:sqref>
        </x14:conditionalFormatting>
        <x14:conditionalFormatting xmlns:xm="http://schemas.microsoft.com/office/excel/2006/main">
          <x14:cfRule type="expression" priority="4694272" id="{90D7E1FF-542D-40C8-9BD5-DFEB4CDD256F}">
            <xm:f>$AR$4='Data entry'!$R31</xm:f>
            <x14:dxf>
              <fill>
                <patternFill>
                  <bgColor rgb="FFFFFF00"/>
                </patternFill>
              </fill>
            </x14:dxf>
          </x14:cfRule>
          <xm:sqref>AD80:AR80</xm:sqref>
        </x14:conditionalFormatting>
        <x14:conditionalFormatting xmlns:xm="http://schemas.microsoft.com/office/excel/2006/main">
          <x14:cfRule type="expression" priority="4694273" id="{0EBB5305-4A4A-4205-A1FF-11160070CBC3}">
            <xm:f>$AS$4='Data entry'!$R31</xm:f>
            <x14:dxf>
              <fill>
                <patternFill>
                  <bgColor rgb="FFFF0000"/>
                </patternFill>
              </fill>
            </x14:dxf>
          </x14:cfRule>
          <xm:sqref>AQ81:BC81</xm:sqref>
        </x14:conditionalFormatting>
        <x14:conditionalFormatting xmlns:xm="http://schemas.microsoft.com/office/excel/2006/main">
          <x14:cfRule type="expression" priority="4694274" id="{AC8EB30C-4253-4CE1-820E-1801F6D8D35B}">
            <xm:f>$AS$4='Data entry'!$R31</xm:f>
            <x14:dxf>
              <fill>
                <patternFill>
                  <bgColor rgb="FFFFFF00"/>
                </patternFill>
              </fill>
            </x14:dxf>
          </x14:cfRule>
          <xm:sqref>AE80:AS80</xm:sqref>
        </x14:conditionalFormatting>
        <x14:conditionalFormatting xmlns:xm="http://schemas.microsoft.com/office/excel/2006/main">
          <x14:cfRule type="expression" priority="4694275" id="{E11744C1-7201-4272-A1B0-945490B42425}">
            <xm:f>$AT$4='Data entry'!$R31</xm:f>
            <x14:dxf>
              <fill>
                <patternFill>
                  <bgColor rgb="FFFF0000"/>
                </patternFill>
              </fill>
            </x14:dxf>
          </x14:cfRule>
          <xm:sqref>AR81:BD81</xm:sqref>
        </x14:conditionalFormatting>
        <x14:conditionalFormatting xmlns:xm="http://schemas.microsoft.com/office/excel/2006/main">
          <x14:cfRule type="expression" priority="4694276" id="{5EE2823B-E955-4EA7-B99C-0B1F77B57A69}">
            <xm:f>$AT$4='Data entry'!$R31</xm:f>
            <x14:dxf>
              <fill>
                <patternFill>
                  <bgColor rgb="FFFFFF00"/>
                </patternFill>
              </fill>
            </x14:dxf>
          </x14:cfRule>
          <xm:sqref>AF80:AT80</xm:sqref>
        </x14:conditionalFormatting>
        <x14:conditionalFormatting xmlns:xm="http://schemas.microsoft.com/office/excel/2006/main">
          <x14:cfRule type="expression" priority="4694277" id="{5737DC63-3262-4B34-900C-2AAEB255FCBA}">
            <xm:f>$AU$4='Data entry'!$R31</xm:f>
            <x14:dxf>
              <fill>
                <patternFill>
                  <bgColor rgb="FFFF0000"/>
                </patternFill>
              </fill>
            </x14:dxf>
          </x14:cfRule>
          <xm:sqref>AS81:BE81</xm:sqref>
        </x14:conditionalFormatting>
        <x14:conditionalFormatting xmlns:xm="http://schemas.microsoft.com/office/excel/2006/main">
          <x14:cfRule type="expression" priority="4694278" id="{2B5C1F1B-3C3D-4CA3-BC64-0E98422075B6}">
            <xm:f>$AU$4='Data entry'!$R31</xm:f>
            <x14:dxf>
              <fill>
                <patternFill>
                  <bgColor rgb="FFFFFF00"/>
                </patternFill>
              </fill>
            </x14:dxf>
          </x14:cfRule>
          <xm:sqref>AG80:AU80</xm:sqref>
        </x14:conditionalFormatting>
        <x14:conditionalFormatting xmlns:xm="http://schemas.microsoft.com/office/excel/2006/main">
          <x14:cfRule type="expression" priority="4694279" id="{B87A1285-B003-4855-8F4B-53C391BA10E6}">
            <xm:f>$AV$4='Data entry'!$R31</xm:f>
            <x14:dxf>
              <fill>
                <patternFill>
                  <bgColor rgb="FFFF0000"/>
                </patternFill>
              </fill>
            </x14:dxf>
          </x14:cfRule>
          <xm:sqref>AT81:BF81</xm:sqref>
        </x14:conditionalFormatting>
        <x14:conditionalFormatting xmlns:xm="http://schemas.microsoft.com/office/excel/2006/main">
          <x14:cfRule type="expression" priority="4694280" id="{338EE31C-78DB-4818-B837-0380F9E457FA}">
            <xm:f>$AV$4='Data entry'!$R31</xm:f>
            <x14:dxf>
              <fill>
                <patternFill>
                  <bgColor rgb="FFFFFF00"/>
                </patternFill>
              </fill>
            </x14:dxf>
          </x14:cfRule>
          <xm:sqref>AH80:AV80</xm:sqref>
        </x14:conditionalFormatting>
        <x14:conditionalFormatting xmlns:xm="http://schemas.microsoft.com/office/excel/2006/main">
          <x14:cfRule type="expression" priority="4694281" id="{5C40EA66-2801-4C91-B885-BF6A1ECFC35C}">
            <xm:f>$AW$4='Data entry'!$R31</xm:f>
            <x14:dxf>
              <fill>
                <patternFill>
                  <bgColor rgb="FFFF0000"/>
                </patternFill>
              </fill>
            </x14:dxf>
          </x14:cfRule>
          <xm:sqref>AU81:BG81</xm:sqref>
        </x14:conditionalFormatting>
        <x14:conditionalFormatting xmlns:xm="http://schemas.microsoft.com/office/excel/2006/main">
          <x14:cfRule type="expression" priority="4694282" id="{51BCD5CE-DF86-4C2F-8A81-DDA1EFD6C8F7}">
            <xm:f>$AW$4='Data entry'!$R31</xm:f>
            <x14:dxf>
              <fill>
                <patternFill>
                  <bgColor rgb="FFFFFF00"/>
                </patternFill>
              </fill>
            </x14:dxf>
          </x14:cfRule>
          <xm:sqref>AI80:AW80</xm:sqref>
        </x14:conditionalFormatting>
        <x14:conditionalFormatting xmlns:xm="http://schemas.microsoft.com/office/excel/2006/main">
          <x14:cfRule type="expression" priority="4694283" id="{DC2ED5A0-8917-4877-8CD3-9DF9BE5993C9}">
            <xm:f>$AX$4='Data entry'!$R31</xm:f>
            <x14:dxf>
              <fill>
                <patternFill>
                  <bgColor rgb="FFFF0000"/>
                </patternFill>
              </fill>
            </x14:dxf>
          </x14:cfRule>
          <xm:sqref>AV81:BH81</xm:sqref>
        </x14:conditionalFormatting>
        <x14:conditionalFormatting xmlns:xm="http://schemas.microsoft.com/office/excel/2006/main">
          <x14:cfRule type="expression" priority="4694284" id="{59B31869-20F9-45BD-BC80-0A6C8945CE2C}">
            <xm:f>$AX$4='Data entry'!$R31</xm:f>
            <x14:dxf>
              <fill>
                <patternFill>
                  <bgColor rgb="FFFFFF00"/>
                </patternFill>
              </fill>
            </x14:dxf>
          </x14:cfRule>
          <xm:sqref>AJ80:AX80</xm:sqref>
        </x14:conditionalFormatting>
        <x14:conditionalFormatting xmlns:xm="http://schemas.microsoft.com/office/excel/2006/main">
          <x14:cfRule type="expression" priority="4694285" id="{D4208FA0-4262-4037-934C-6D0742B2AD8E}">
            <xm:f>$AY$4='Data entry'!$R31</xm:f>
            <x14:dxf>
              <fill>
                <patternFill>
                  <bgColor rgb="FFFF0000"/>
                </patternFill>
              </fill>
            </x14:dxf>
          </x14:cfRule>
          <xm:sqref>AW81:BI81</xm:sqref>
        </x14:conditionalFormatting>
        <x14:conditionalFormatting xmlns:xm="http://schemas.microsoft.com/office/excel/2006/main">
          <x14:cfRule type="expression" priority="4694286" id="{04D6E423-18C7-42B2-A67D-F49D8E62B571}">
            <xm:f>$AY$4='Data entry'!$R31</xm:f>
            <x14:dxf>
              <fill>
                <patternFill>
                  <bgColor rgb="FFFFFF00"/>
                </patternFill>
              </fill>
            </x14:dxf>
          </x14:cfRule>
          <xm:sqref>AK80:AY80</xm:sqref>
        </x14:conditionalFormatting>
        <x14:conditionalFormatting xmlns:xm="http://schemas.microsoft.com/office/excel/2006/main">
          <x14:cfRule type="expression" priority="4694287" id="{A931C203-6E4B-4EBD-A2F4-1876881F48D4}">
            <xm:f>$AZ$4='Data entry'!$R31</xm:f>
            <x14:dxf>
              <fill>
                <patternFill>
                  <bgColor rgb="FFFF0000"/>
                </patternFill>
              </fill>
            </x14:dxf>
          </x14:cfRule>
          <xm:sqref>AX81:BJ81</xm:sqref>
        </x14:conditionalFormatting>
        <x14:conditionalFormatting xmlns:xm="http://schemas.microsoft.com/office/excel/2006/main">
          <x14:cfRule type="expression" priority="4694288" id="{092D9100-E652-40FE-8CAA-720DC0681250}">
            <xm:f>$AZ$4='Data entry'!$R31</xm:f>
            <x14:dxf>
              <fill>
                <patternFill>
                  <bgColor rgb="FFFFFF00"/>
                </patternFill>
              </fill>
            </x14:dxf>
          </x14:cfRule>
          <xm:sqref>AL80:AZ80</xm:sqref>
        </x14:conditionalFormatting>
        <x14:conditionalFormatting xmlns:xm="http://schemas.microsoft.com/office/excel/2006/main">
          <x14:cfRule type="expression" priority="4694289" id="{A3C7E6BE-A225-483C-A983-A915DB662C52}">
            <xm:f>$BA$4='Data entry'!$R31</xm:f>
            <x14:dxf>
              <fill>
                <patternFill>
                  <bgColor rgb="FFFF0000"/>
                </patternFill>
              </fill>
            </x14:dxf>
          </x14:cfRule>
          <xm:sqref>AY81:BK81</xm:sqref>
        </x14:conditionalFormatting>
        <x14:conditionalFormatting xmlns:xm="http://schemas.microsoft.com/office/excel/2006/main">
          <x14:cfRule type="expression" priority="4694290" id="{F5CF569A-8AFA-4CFF-8BD3-F04D8927A99F}">
            <xm:f>$BA$4='Data entry'!$R31</xm:f>
            <x14:dxf>
              <fill>
                <patternFill>
                  <bgColor rgb="FFFFFF00"/>
                </patternFill>
              </fill>
            </x14:dxf>
          </x14:cfRule>
          <xm:sqref>AM80:BA80</xm:sqref>
        </x14:conditionalFormatting>
        <x14:conditionalFormatting xmlns:xm="http://schemas.microsoft.com/office/excel/2006/main">
          <x14:cfRule type="expression" priority="4694291" id="{E4DAC94A-7983-4BFB-A87B-45B58561841A}">
            <xm:f>$BB$4='Data entry'!$R31</xm:f>
            <x14:dxf>
              <fill>
                <patternFill>
                  <bgColor rgb="FFFF0000"/>
                </patternFill>
              </fill>
            </x14:dxf>
          </x14:cfRule>
          <xm:sqref>AZ81:BL81</xm:sqref>
        </x14:conditionalFormatting>
        <x14:conditionalFormatting xmlns:xm="http://schemas.microsoft.com/office/excel/2006/main">
          <x14:cfRule type="expression" priority="4694292" id="{E63849C5-F39B-4B0E-8F8A-B532EDF2CBAE}">
            <xm:f>$BB$4='Data entry'!$R31</xm:f>
            <x14:dxf>
              <fill>
                <patternFill>
                  <bgColor rgb="FFFFFF00"/>
                </patternFill>
              </fill>
            </x14:dxf>
          </x14:cfRule>
          <xm:sqref>AN80:BB80</xm:sqref>
        </x14:conditionalFormatting>
        <x14:conditionalFormatting xmlns:xm="http://schemas.microsoft.com/office/excel/2006/main">
          <x14:cfRule type="expression" priority="4694293" id="{4FDC32D3-C1F5-455D-9AA4-A03359B72526}">
            <xm:f>$BC$4='Data entry'!$R31</xm:f>
            <x14:dxf>
              <fill>
                <patternFill>
                  <bgColor rgb="FFFF0000"/>
                </patternFill>
              </fill>
            </x14:dxf>
          </x14:cfRule>
          <xm:sqref>BA81:BM81</xm:sqref>
        </x14:conditionalFormatting>
        <x14:conditionalFormatting xmlns:xm="http://schemas.microsoft.com/office/excel/2006/main">
          <x14:cfRule type="expression" priority="4694294" id="{5F0D0C60-B233-4C56-B05D-98C99990877F}">
            <xm:f>$BC$4='Data entry'!$R31</xm:f>
            <x14:dxf>
              <fill>
                <patternFill>
                  <bgColor rgb="FFFFFF00"/>
                </patternFill>
              </fill>
            </x14:dxf>
          </x14:cfRule>
          <xm:sqref>AO80:BC80</xm:sqref>
        </x14:conditionalFormatting>
        <x14:conditionalFormatting xmlns:xm="http://schemas.microsoft.com/office/excel/2006/main">
          <x14:cfRule type="expression" priority="4694295" id="{9EBCB60F-8135-43B6-A0F3-548D4092CC98}">
            <xm:f>$BD$4='Data entry'!$R31</xm:f>
            <x14:dxf>
              <fill>
                <patternFill>
                  <bgColor rgb="FFFF0000"/>
                </patternFill>
              </fill>
            </x14:dxf>
          </x14:cfRule>
          <xm:sqref>BB81:BN81</xm:sqref>
        </x14:conditionalFormatting>
        <x14:conditionalFormatting xmlns:xm="http://schemas.microsoft.com/office/excel/2006/main">
          <x14:cfRule type="expression" priority="4694296" id="{961AF346-4A73-41ED-9A8D-27D431B09C05}">
            <xm:f>$BD$4='Data entry'!$R31</xm:f>
            <x14:dxf>
              <fill>
                <patternFill>
                  <bgColor rgb="FFFFFF00"/>
                </patternFill>
              </fill>
            </x14:dxf>
          </x14:cfRule>
          <xm:sqref>AP80:BD80</xm:sqref>
        </x14:conditionalFormatting>
        <x14:conditionalFormatting xmlns:xm="http://schemas.microsoft.com/office/excel/2006/main">
          <x14:cfRule type="expression" priority="4694297" id="{5A887026-27CD-4F8C-8BA6-1E92704C1CA6}">
            <xm:f>$BE$4='Data entry'!$R31</xm:f>
            <x14:dxf>
              <fill>
                <patternFill>
                  <bgColor rgb="FFFF0000"/>
                </patternFill>
              </fill>
            </x14:dxf>
          </x14:cfRule>
          <xm:sqref>BC81:BO81</xm:sqref>
        </x14:conditionalFormatting>
        <x14:conditionalFormatting xmlns:xm="http://schemas.microsoft.com/office/excel/2006/main">
          <x14:cfRule type="expression" priority="4694298" id="{7F46217B-A1E9-4515-B31E-E756FCD7C6D9}">
            <xm:f>$BE$4='Data entry'!$R31</xm:f>
            <x14:dxf>
              <fill>
                <patternFill>
                  <bgColor rgb="FFFFFF00"/>
                </patternFill>
              </fill>
            </x14:dxf>
          </x14:cfRule>
          <xm:sqref>AP80:BE80</xm:sqref>
        </x14:conditionalFormatting>
        <x14:conditionalFormatting xmlns:xm="http://schemas.microsoft.com/office/excel/2006/main">
          <x14:cfRule type="expression" priority="4694299" id="{F4D9285C-8CA0-4EF1-943E-6A462D47CC77}">
            <xm:f>$BF$4='Data entry'!$R31</xm:f>
            <x14:dxf>
              <fill>
                <patternFill>
                  <bgColor rgb="FFFF0000"/>
                </patternFill>
              </fill>
            </x14:dxf>
          </x14:cfRule>
          <xm:sqref>BD81:BP81</xm:sqref>
        </x14:conditionalFormatting>
        <x14:conditionalFormatting xmlns:xm="http://schemas.microsoft.com/office/excel/2006/main">
          <x14:cfRule type="expression" priority="4694300" id="{B9E4407D-651D-4DC0-9D61-3271D62A65E9}">
            <xm:f>$BF$4='Data entry'!$R31</xm:f>
            <x14:dxf>
              <fill>
                <patternFill>
                  <bgColor rgb="FFFFFF00"/>
                </patternFill>
              </fill>
            </x14:dxf>
          </x14:cfRule>
          <xm:sqref>AR80:BF80</xm:sqref>
        </x14:conditionalFormatting>
        <x14:conditionalFormatting xmlns:xm="http://schemas.microsoft.com/office/excel/2006/main">
          <x14:cfRule type="expression" priority="4694301" id="{4CDC062F-DDFF-4556-B941-08F919727F69}">
            <xm:f>$BG$4='Data entry'!$R31</xm:f>
            <x14:dxf>
              <fill>
                <patternFill>
                  <bgColor rgb="FFFF0000"/>
                </patternFill>
              </fill>
            </x14:dxf>
          </x14:cfRule>
          <xm:sqref>BE81:BQ81</xm:sqref>
        </x14:conditionalFormatting>
        <x14:conditionalFormatting xmlns:xm="http://schemas.microsoft.com/office/excel/2006/main">
          <x14:cfRule type="expression" priority="4694302" id="{789184FA-9055-433B-8A1B-92C7ED59E81F}">
            <xm:f>$BG$4='Data entry'!$R31</xm:f>
            <x14:dxf>
              <fill>
                <patternFill>
                  <bgColor rgb="FFFFFF00"/>
                </patternFill>
              </fill>
            </x14:dxf>
          </x14:cfRule>
          <xm:sqref>AS80:BG80</xm:sqref>
        </x14:conditionalFormatting>
        <x14:conditionalFormatting xmlns:xm="http://schemas.microsoft.com/office/excel/2006/main">
          <x14:cfRule type="expression" priority="4694303" id="{58651E5C-09C9-46C1-B95C-E8A578A49E15}">
            <xm:f>$BH$4='Data entry'!$R31</xm:f>
            <x14:dxf>
              <fill>
                <patternFill>
                  <bgColor rgb="FFFFFF00"/>
                </patternFill>
              </fill>
            </x14:dxf>
          </x14:cfRule>
          <xm:sqref>AT80:BH80</xm:sqref>
        </x14:conditionalFormatting>
        <x14:conditionalFormatting xmlns:xm="http://schemas.microsoft.com/office/excel/2006/main">
          <x14:cfRule type="expression" priority="4694304" id="{97B30B86-8311-4DC0-A533-8C0D53F37839}">
            <xm:f>$BH$4='Data entry'!$R31</xm:f>
            <x14:dxf>
              <fill>
                <patternFill>
                  <bgColor rgb="FFFF0000"/>
                </patternFill>
              </fill>
            </x14:dxf>
          </x14:cfRule>
          <xm:sqref>BF81:BR81</xm:sqref>
        </x14:conditionalFormatting>
        <x14:conditionalFormatting xmlns:xm="http://schemas.microsoft.com/office/excel/2006/main">
          <x14:cfRule type="expression" priority="4694305" id="{78344C0C-5AEA-40B1-A20C-6D77DF58E1F5}">
            <xm:f>$BI$4='Data entry'!$R31</xm:f>
            <x14:dxf>
              <fill>
                <patternFill>
                  <bgColor rgb="FFFFFF00"/>
                </patternFill>
              </fill>
            </x14:dxf>
          </x14:cfRule>
          <xm:sqref>AU80:BI80</xm:sqref>
        </x14:conditionalFormatting>
        <x14:conditionalFormatting xmlns:xm="http://schemas.microsoft.com/office/excel/2006/main">
          <x14:cfRule type="expression" priority="4694306" id="{A9CE044F-482E-4F25-B28F-89ACC58502B1}">
            <xm:f>$BI$4='Data entry'!$R31</xm:f>
            <x14:dxf>
              <fill>
                <patternFill>
                  <bgColor rgb="FFFF0000"/>
                </patternFill>
              </fill>
            </x14:dxf>
          </x14:cfRule>
          <xm:sqref>BG81:BS81</xm:sqref>
        </x14:conditionalFormatting>
        <x14:conditionalFormatting xmlns:xm="http://schemas.microsoft.com/office/excel/2006/main">
          <x14:cfRule type="expression" priority="4694307" id="{F63BE0EB-3C71-4456-BEF0-11180AB7A8BB}">
            <xm:f>$BJ$4='Data entry'!$R31</xm:f>
            <x14:dxf>
              <fill>
                <patternFill>
                  <bgColor rgb="FFFFFF00"/>
                </patternFill>
              </fill>
            </x14:dxf>
          </x14:cfRule>
          <xm:sqref>AV80:BJ80</xm:sqref>
        </x14:conditionalFormatting>
        <x14:conditionalFormatting xmlns:xm="http://schemas.microsoft.com/office/excel/2006/main">
          <x14:cfRule type="expression" priority="4694308" id="{478A5DCB-1DAA-4497-A6CC-B4F01FB96D10}">
            <xm:f>$BJ$4='Data entry'!$R31</xm:f>
            <x14:dxf>
              <fill>
                <patternFill>
                  <bgColor rgb="FFFF0000"/>
                </patternFill>
              </fill>
            </x14:dxf>
          </x14:cfRule>
          <xm:sqref>BH81:BT81</xm:sqref>
        </x14:conditionalFormatting>
        <x14:conditionalFormatting xmlns:xm="http://schemas.microsoft.com/office/excel/2006/main">
          <x14:cfRule type="expression" priority="4694309" id="{CDE4AD5B-65A6-4FA4-9EC0-8D05F22312A9}">
            <xm:f>$BK$4='Data entry'!$R31</xm:f>
            <x14:dxf>
              <fill>
                <patternFill>
                  <bgColor rgb="FFFF0000"/>
                </patternFill>
              </fill>
            </x14:dxf>
          </x14:cfRule>
          <xm:sqref>BI81:BU81</xm:sqref>
        </x14:conditionalFormatting>
        <x14:conditionalFormatting xmlns:xm="http://schemas.microsoft.com/office/excel/2006/main">
          <x14:cfRule type="expression" priority="4694310" id="{AB32E790-6CD8-4D11-9A69-57D785FE4BBC}">
            <xm:f>$BK$4='Data entry'!$R31</xm:f>
            <x14:dxf>
              <fill>
                <patternFill>
                  <bgColor rgb="FFFFFF00"/>
                </patternFill>
              </fill>
            </x14:dxf>
          </x14:cfRule>
          <xm:sqref>AW80:BK80</xm:sqref>
        </x14:conditionalFormatting>
        <x14:conditionalFormatting xmlns:xm="http://schemas.microsoft.com/office/excel/2006/main">
          <x14:cfRule type="expression" priority="4694311" id="{99810EB9-805C-43D8-852A-EEECE7874CDB}">
            <xm:f>$BL$4='Data entry'!$R31</xm:f>
            <x14:dxf>
              <fill>
                <patternFill>
                  <bgColor rgb="FFFF0000"/>
                </patternFill>
              </fill>
            </x14:dxf>
          </x14:cfRule>
          <xm:sqref>BJ81:BV81</xm:sqref>
        </x14:conditionalFormatting>
        <x14:conditionalFormatting xmlns:xm="http://schemas.microsoft.com/office/excel/2006/main">
          <x14:cfRule type="expression" priority="4694312" id="{BF5F5475-4E46-479C-97A6-D5175F5D1803}">
            <xm:f>$BL$4='Data entry'!$R31</xm:f>
            <x14:dxf>
              <fill>
                <patternFill>
                  <bgColor rgb="FFFFFF00"/>
                </patternFill>
              </fill>
            </x14:dxf>
          </x14:cfRule>
          <xm:sqref>AX80:BL80</xm:sqref>
        </x14:conditionalFormatting>
        <x14:conditionalFormatting xmlns:xm="http://schemas.microsoft.com/office/excel/2006/main">
          <x14:cfRule type="expression" priority="4694313" id="{B86FDF2F-16C9-46B1-847E-7EA1A8A34B9D}">
            <xm:f>$BM$4='Data entry'!$R31</xm:f>
            <x14:dxf>
              <fill>
                <patternFill>
                  <bgColor rgb="FFFF0000"/>
                </patternFill>
              </fill>
            </x14:dxf>
          </x14:cfRule>
          <xm:sqref>BK81:BW81</xm:sqref>
        </x14:conditionalFormatting>
        <x14:conditionalFormatting xmlns:xm="http://schemas.microsoft.com/office/excel/2006/main">
          <x14:cfRule type="expression" priority="4694314" id="{72FD189F-4CED-400D-9FEF-21A328970A4D}">
            <xm:f>$BM$4='Data entry'!$R31</xm:f>
            <x14:dxf>
              <fill>
                <patternFill>
                  <bgColor rgb="FFFFFF00"/>
                </patternFill>
              </fill>
            </x14:dxf>
          </x14:cfRule>
          <xm:sqref>AY80:BM80</xm:sqref>
        </x14:conditionalFormatting>
        <x14:conditionalFormatting xmlns:xm="http://schemas.microsoft.com/office/excel/2006/main">
          <x14:cfRule type="expression" priority="4694315" id="{BBBBF859-D5A7-4F55-BFBF-8A77E3357590}">
            <xm:f>$BN$4='Data entry'!$R31</xm:f>
            <x14:dxf>
              <fill>
                <patternFill>
                  <bgColor rgb="FFFF0000"/>
                </patternFill>
              </fill>
            </x14:dxf>
          </x14:cfRule>
          <xm:sqref>BL81:BX81</xm:sqref>
        </x14:conditionalFormatting>
        <x14:conditionalFormatting xmlns:xm="http://schemas.microsoft.com/office/excel/2006/main">
          <x14:cfRule type="expression" priority="4694316" id="{50CB1D75-0FD5-4D24-92B1-E8A41DC6575C}">
            <xm:f>$BN$4='Data entry'!$R31</xm:f>
            <x14:dxf>
              <fill>
                <patternFill>
                  <bgColor rgb="FFFFFF00"/>
                </patternFill>
              </fill>
            </x14:dxf>
          </x14:cfRule>
          <xm:sqref>AZ80:BN80</xm:sqref>
        </x14:conditionalFormatting>
        <x14:conditionalFormatting xmlns:xm="http://schemas.microsoft.com/office/excel/2006/main">
          <x14:cfRule type="expression" priority="4694317" id="{9EF3226D-E8FC-496B-A6FF-71776AEA54D1}">
            <xm:f>$BO$4='Data entry'!$R31</xm:f>
            <x14:dxf>
              <fill>
                <patternFill>
                  <bgColor rgb="FFFF0000"/>
                </patternFill>
              </fill>
            </x14:dxf>
          </x14:cfRule>
          <xm:sqref>BM81:BY81</xm:sqref>
        </x14:conditionalFormatting>
        <x14:conditionalFormatting xmlns:xm="http://schemas.microsoft.com/office/excel/2006/main">
          <x14:cfRule type="expression" priority="4694318" id="{3B86C801-ECFE-4D05-8AA5-1581116BAFBC}">
            <xm:f>$BO$4='Data entry'!$R31</xm:f>
            <x14:dxf>
              <fill>
                <patternFill>
                  <bgColor rgb="FFFFFF00"/>
                </patternFill>
              </fill>
            </x14:dxf>
          </x14:cfRule>
          <xm:sqref>BA80:BO80</xm:sqref>
        </x14:conditionalFormatting>
        <x14:conditionalFormatting xmlns:xm="http://schemas.microsoft.com/office/excel/2006/main">
          <x14:cfRule type="expression" priority="4694319" id="{058A23EC-3371-4A02-9F20-1ECA603AC6BC}">
            <xm:f>$BP$4='Data entry'!$R31</xm:f>
            <x14:dxf>
              <fill>
                <patternFill>
                  <bgColor rgb="FFFF0000"/>
                </patternFill>
              </fill>
            </x14:dxf>
          </x14:cfRule>
          <xm:sqref>BN81:BZ81</xm:sqref>
        </x14:conditionalFormatting>
        <x14:conditionalFormatting xmlns:xm="http://schemas.microsoft.com/office/excel/2006/main">
          <x14:cfRule type="expression" priority="4694320" id="{3E711E31-3992-4555-AB22-87133D60CD15}">
            <xm:f>$BP$4='Data entry'!$R31</xm:f>
            <x14:dxf>
              <fill>
                <patternFill>
                  <bgColor rgb="FFFFFF00"/>
                </patternFill>
              </fill>
            </x14:dxf>
          </x14:cfRule>
          <xm:sqref>BB80:BP80</xm:sqref>
        </x14:conditionalFormatting>
        <x14:conditionalFormatting xmlns:xm="http://schemas.microsoft.com/office/excel/2006/main">
          <x14:cfRule type="expression" priority="4694321" id="{23E9F8B9-37D5-4730-9453-6F23E8ECBBE3}">
            <xm:f>$BQ$4='Data entry'!$R31</xm:f>
            <x14:dxf>
              <fill>
                <patternFill>
                  <bgColor rgb="FFFFFF00"/>
                </patternFill>
              </fill>
            </x14:dxf>
          </x14:cfRule>
          <xm:sqref>BC80:BQ80</xm:sqref>
        </x14:conditionalFormatting>
        <x14:conditionalFormatting xmlns:xm="http://schemas.microsoft.com/office/excel/2006/main">
          <x14:cfRule type="expression" priority="4694322" id="{BCFD92F6-AAD3-44FD-BC61-A292A81B883E}">
            <xm:f>$BQ$4='Data entry'!$R31</xm:f>
            <x14:dxf>
              <fill>
                <patternFill>
                  <bgColor rgb="FFFF0000"/>
                </patternFill>
              </fill>
            </x14:dxf>
          </x14:cfRule>
          <xm:sqref>BO81:CA81</xm:sqref>
        </x14:conditionalFormatting>
        <x14:conditionalFormatting xmlns:xm="http://schemas.microsoft.com/office/excel/2006/main">
          <x14:cfRule type="expression" priority="4694323" id="{357D60E5-F356-477E-8020-A18F42C02832}">
            <xm:f>$BR$4='Data entry'!$R31</xm:f>
            <x14:dxf>
              <fill>
                <patternFill>
                  <bgColor rgb="FFFFFF00"/>
                </patternFill>
              </fill>
            </x14:dxf>
          </x14:cfRule>
          <xm:sqref>BD80:BR80</xm:sqref>
        </x14:conditionalFormatting>
        <x14:conditionalFormatting xmlns:xm="http://schemas.microsoft.com/office/excel/2006/main">
          <x14:cfRule type="expression" priority="4694324" id="{DA2B6511-43B3-432D-B6AA-1DB1188B90A6}">
            <xm:f>$BR$4='Data entry'!$R31</xm:f>
            <x14:dxf>
              <fill>
                <patternFill>
                  <bgColor rgb="FFFF0000"/>
                </patternFill>
              </fill>
            </x14:dxf>
          </x14:cfRule>
          <xm:sqref>BP81:CB81</xm:sqref>
        </x14:conditionalFormatting>
        <x14:conditionalFormatting xmlns:xm="http://schemas.microsoft.com/office/excel/2006/main">
          <x14:cfRule type="expression" priority="4694325" id="{0D5F64E4-4136-4BFA-B833-CC8578525D9C}">
            <xm:f>$BS$4='Data entry'!$R31</xm:f>
            <x14:dxf>
              <fill>
                <patternFill>
                  <bgColor rgb="FFFFFF00"/>
                </patternFill>
              </fill>
            </x14:dxf>
          </x14:cfRule>
          <xm:sqref>BE80:BS80</xm:sqref>
        </x14:conditionalFormatting>
        <x14:conditionalFormatting xmlns:xm="http://schemas.microsoft.com/office/excel/2006/main">
          <x14:cfRule type="expression" priority="4694326" id="{AC94D468-F078-4AE2-8771-102996E07B09}">
            <xm:f>$BS$4='Data entry'!$R31</xm:f>
            <x14:dxf>
              <fill>
                <patternFill>
                  <bgColor rgb="FFFF0000"/>
                </patternFill>
              </fill>
            </x14:dxf>
          </x14:cfRule>
          <xm:sqref>BQ81:CC81</xm:sqref>
        </x14:conditionalFormatting>
        <x14:conditionalFormatting xmlns:xm="http://schemas.microsoft.com/office/excel/2006/main">
          <x14:cfRule type="expression" priority="4694327" id="{10E78F76-181E-4F19-9F89-7DD36D3EFE30}">
            <xm:f>$BT$4='Data entry'!$R31</xm:f>
            <x14:dxf>
              <fill>
                <patternFill>
                  <bgColor rgb="FFFFFF00"/>
                </patternFill>
              </fill>
            </x14:dxf>
          </x14:cfRule>
          <xm:sqref>BF80:BT80</xm:sqref>
        </x14:conditionalFormatting>
        <x14:conditionalFormatting xmlns:xm="http://schemas.microsoft.com/office/excel/2006/main">
          <x14:cfRule type="expression" priority="4694328" id="{6A5FADC6-9512-4EFB-90A5-7B5244D10D1F}">
            <xm:f>$BT$4='Data entry'!$R31</xm:f>
            <x14:dxf>
              <fill>
                <patternFill>
                  <bgColor rgb="FFFF0000"/>
                </patternFill>
              </fill>
            </x14:dxf>
          </x14:cfRule>
          <xm:sqref>BR81:CC81</xm:sqref>
        </x14:conditionalFormatting>
        <x14:conditionalFormatting xmlns:xm="http://schemas.microsoft.com/office/excel/2006/main">
          <x14:cfRule type="expression" priority="4694329" id="{A51139D1-8841-4B96-B8CB-DFE3808765CF}">
            <xm:f>$BU$4='Data entry'!$R31</xm:f>
            <x14:dxf>
              <fill>
                <patternFill>
                  <bgColor rgb="FFFFFF00"/>
                </patternFill>
              </fill>
            </x14:dxf>
          </x14:cfRule>
          <xm:sqref>BG80:BU80</xm:sqref>
        </x14:conditionalFormatting>
        <x14:conditionalFormatting xmlns:xm="http://schemas.microsoft.com/office/excel/2006/main">
          <x14:cfRule type="expression" priority="4694330" id="{55CA7258-760F-4BFF-ACB5-A70FEB3E7981}">
            <xm:f>$BU$4='Data entry'!$R31</xm:f>
            <x14:dxf>
              <fill>
                <patternFill>
                  <bgColor rgb="FFFF0000"/>
                </patternFill>
              </fill>
            </x14:dxf>
          </x14:cfRule>
          <xm:sqref>BS81:CC81</xm:sqref>
        </x14:conditionalFormatting>
        <x14:conditionalFormatting xmlns:xm="http://schemas.microsoft.com/office/excel/2006/main">
          <x14:cfRule type="expression" priority="4694331" id="{A922B218-64DB-4CBB-9AB8-FE0EBB44E09E}">
            <xm:f>$BV$4='Data entry'!$R31</xm:f>
            <x14:dxf>
              <fill>
                <patternFill>
                  <bgColor rgb="FFFFFF00"/>
                </patternFill>
              </fill>
            </x14:dxf>
          </x14:cfRule>
          <xm:sqref>BH80:BV80</xm:sqref>
        </x14:conditionalFormatting>
        <x14:conditionalFormatting xmlns:xm="http://schemas.microsoft.com/office/excel/2006/main">
          <x14:cfRule type="expression" priority="4694332" id="{C98E908A-CD31-4778-B41C-7AFB9DBE639A}">
            <xm:f>$BV$4='Data entry'!$R31</xm:f>
            <x14:dxf>
              <fill>
                <patternFill>
                  <bgColor rgb="FFFF0000"/>
                </patternFill>
              </fill>
            </x14:dxf>
          </x14:cfRule>
          <xm:sqref>BT81:CC81</xm:sqref>
        </x14:conditionalFormatting>
        <x14:conditionalFormatting xmlns:xm="http://schemas.microsoft.com/office/excel/2006/main">
          <x14:cfRule type="expression" priority="4694333" id="{465CCCA3-B4DB-4B61-8AC7-8A5E4CEC9E3F}">
            <xm:f>$BW$4='Data entry'!$R31</xm:f>
            <x14:dxf>
              <fill>
                <patternFill>
                  <bgColor rgb="FFFFFF00"/>
                </patternFill>
              </fill>
            </x14:dxf>
          </x14:cfRule>
          <xm:sqref>BI80:BW80</xm:sqref>
        </x14:conditionalFormatting>
        <x14:conditionalFormatting xmlns:xm="http://schemas.microsoft.com/office/excel/2006/main">
          <x14:cfRule type="expression" priority="4694334" id="{37566F97-6D06-400B-A709-FE657B07687F}">
            <xm:f>$BW$4='Data entry'!$R31</xm:f>
            <x14:dxf>
              <fill>
                <patternFill>
                  <bgColor rgb="FFFF0000"/>
                </patternFill>
              </fill>
            </x14:dxf>
          </x14:cfRule>
          <xm:sqref>BU81:CC81</xm:sqref>
        </x14:conditionalFormatting>
        <x14:conditionalFormatting xmlns:xm="http://schemas.microsoft.com/office/excel/2006/main">
          <x14:cfRule type="expression" priority="4694335" id="{D8FBA3AC-5CF0-4E45-97CA-1D4DEE729ADA}">
            <xm:f>$BX$4='Data entry'!$R31</xm:f>
            <x14:dxf>
              <fill>
                <patternFill>
                  <bgColor rgb="FFFFFF00"/>
                </patternFill>
              </fill>
            </x14:dxf>
          </x14:cfRule>
          <xm:sqref>BJ80:BX80</xm:sqref>
        </x14:conditionalFormatting>
        <x14:conditionalFormatting xmlns:xm="http://schemas.microsoft.com/office/excel/2006/main">
          <x14:cfRule type="expression" priority="4694336" id="{E077C84B-A94F-431D-B232-4AFCC7C64F54}">
            <xm:f>$BX$4='Data entry'!$R31</xm:f>
            <x14:dxf>
              <fill>
                <patternFill>
                  <bgColor rgb="FFFF0000"/>
                </patternFill>
              </fill>
            </x14:dxf>
          </x14:cfRule>
          <xm:sqref>BV81:CC81</xm:sqref>
        </x14:conditionalFormatting>
        <x14:conditionalFormatting xmlns:xm="http://schemas.microsoft.com/office/excel/2006/main">
          <x14:cfRule type="expression" priority="4694337" id="{63783BA8-0C97-4A44-86FD-7A2BCF1B9957}">
            <xm:f>$BY$4='Data entry'!$R31</xm:f>
            <x14:dxf>
              <fill>
                <patternFill>
                  <bgColor rgb="FFFFFF00"/>
                </patternFill>
              </fill>
            </x14:dxf>
          </x14:cfRule>
          <xm:sqref>BK80:BY80</xm:sqref>
        </x14:conditionalFormatting>
        <x14:conditionalFormatting xmlns:xm="http://schemas.microsoft.com/office/excel/2006/main">
          <x14:cfRule type="expression" priority="4694338" id="{BB8DB8B4-B71B-46D2-AEE7-346F16103F74}">
            <xm:f>$BY$4='Data entry'!$R31</xm:f>
            <x14:dxf>
              <fill>
                <patternFill>
                  <bgColor rgb="FFFF0000"/>
                </patternFill>
              </fill>
            </x14:dxf>
          </x14:cfRule>
          <xm:sqref>BW81:CC81</xm:sqref>
        </x14:conditionalFormatting>
        <x14:conditionalFormatting xmlns:xm="http://schemas.microsoft.com/office/excel/2006/main">
          <x14:cfRule type="expression" priority="4694339" id="{1B638B98-2B06-4FEB-90C1-446A3E0A3979}">
            <xm:f>$BZ$4='Data entry'!$R31</xm:f>
            <x14:dxf>
              <fill>
                <patternFill>
                  <bgColor rgb="FFFFFF00"/>
                </patternFill>
              </fill>
            </x14:dxf>
          </x14:cfRule>
          <xm:sqref>BL80:BZ80</xm:sqref>
        </x14:conditionalFormatting>
        <x14:conditionalFormatting xmlns:xm="http://schemas.microsoft.com/office/excel/2006/main">
          <x14:cfRule type="expression" priority="4694340" id="{D3A0A2F8-D1B2-4DC5-B2A9-0EF53074E685}">
            <xm:f>$BZ$4='Data entry'!$R31</xm:f>
            <x14:dxf>
              <fill>
                <patternFill>
                  <bgColor rgb="FFFF0000"/>
                </patternFill>
              </fill>
            </x14:dxf>
          </x14:cfRule>
          <xm:sqref>BX81:CC81</xm:sqref>
        </x14:conditionalFormatting>
        <x14:conditionalFormatting xmlns:xm="http://schemas.microsoft.com/office/excel/2006/main">
          <x14:cfRule type="expression" priority="4694341" id="{83F6D018-7D3B-4D33-9998-11572F2F2FF5}">
            <xm:f>$CA$4='Data entry'!$R31</xm:f>
            <x14:dxf>
              <fill>
                <patternFill>
                  <bgColor rgb="FFFFFF00"/>
                </patternFill>
              </fill>
            </x14:dxf>
          </x14:cfRule>
          <xm:sqref>BM80:CA80</xm:sqref>
        </x14:conditionalFormatting>
        <x14:conditionalFormatting xmlns:xm="http://schemas.microsoft.com/office/excel/2006/main">
          <x14:cfRule type="expression" priority="4694342" id="{8E6D0B51-5626-4ED9-9072-C7A2C139704F}">
            <xm:f>$CA$4='Data entry'!$R31</xm:f>
            <x14:dxf>
              <fill>
                <patternFill>
                  <bgColor rgb="FFFF0000"/>
                </patternFill>
              </fill>
            </x14:dxf>
          </x14:cfRule>
          <xm:sqref>BY81:CC81</xm:sqref>
        </x14:conditionalFormatting>
        <x14:conditionalFormatting xmlns:xm="http://schemas.microsoft.com/office/excel/2006/main">
          <x14:cfRule type="expression" priority="4694343" id="{E1886EE4-3BDE-43A9-9F4B-79377FEC37FE}">
            <xm:f>$CB$4='Data entry'!$R31</xm:f>
            <x14:dxf>
              <fill>
                <patternFill>
                  <bgColor rgb="FFFFFF00"/>
                </patternFill>
              </fill>
            </x14:dxf>
          </x14:cfRule>
          <xm:sqref>BN80:CB80</xm:sqref>
        </x14:conditionalFormatting>
        <x14:conditionalFormatting xmlns:xm="http://schemas.microsoft.com/office/excel/2006/main">
          <x14:cfRule type="expression" priority="4694344" id="{ADEF572A-6C18-4602-BB86-01C96D36E07E}">
            <xm:f>$CB$4='Data entry'!$R31</xm:f>
            <x14:dxf>
              <fill>
                <patternFill>
                  <bgColor rgb="FFFF0000"/>
                </patternFill>
              </fill>
            </x14:dxf>
          </x14:cfRule>
          <xm:sqref>BZ81:CC81</xm:sqref>
        </x14:conditionalFormatting>
        <x14:conditionalFormatting xmlns:xm="http://schemas.microsoft.com/office/excel/2006/main">
          <x14:cfRule type="expression" priority="4694345" id="{7984E1C9-E073-4955-8543-62145CB6D008}">
            <xm:f>$CC$4='Data entry'!$R31</xm:f>
            <x14:dxf>
              <fill>
                <patternFill>
                  <bgColor rgb="FFFFFF00"/>
                </patternFill>
              </fill>
            </x14:dxf>
          </x14:cfRule>
          <xm:sqref>BO80:CC80</xm:sqref>
        </x14:conditionalFormatting>
        <x14:conditionalFormatting xmlns:xm="http://schemas.microsoft.com/office/excel/2006/main">
          <x14:cfRule type="expression" priority="4694346" id="{18A957B3-59FA-4698-BA92-2A208FF18E2F}">
            <xm:f>$CC$4='Data entry'!$R31</xm:f>
            <x14:dxf>
              <fill>
                <patternFill>
                  <bgColor rgb="FFFF0000"/>
                </patternFill>
              </fill>
            </x14:dxf>
          </x14:cfRule>
          <xm:sqref>CA81:CC81</xm:sqref>
        </x14:conditionalFormatting>
        <x14:conditionalFormatting xmlns:xm="http://schemas.microsoft.com/office/excel/2006/main">
          <x14:cfRule type="expression" priority="4694433" id="{5B0DB825-B7C2-40AC-B7EF-F267F054CFB9}">
            <xm:f>$U$4='Data entry'!$R32</xm:f>
            <x14:dxf>
              <fill>
                <patternFill>
                  <bgColor rgb="FFFF0000"/>
                </patternFill>
              </fill>
            </x14:dxf>
          </x14:cfRule>
          <xm:sqref>S84:AE84</xm:sqref>
        </x14:conditionalFormatting>
        <x14:conditionalFormatting xmlns:xm="http://schemas.microsoft.com/office/excel/2006/main">
          <x14:cfRule type="expression" priority="4694434" id="{18311200-E2BB-400F-B594-3B9A2C6068C2}">
            <xm:f>$V$4='Data entry'!$R32</xm:f>
            <x14:dxf>
              <fill>
                <patternFill>
                  <bgColor rgb="FFFF0000"/>
                </patternFill>
              </fill>
            </x14:dxf>
          </x14:cfRule>
          <xm:sqref>T84:AF84</xm:sqref>
        </x14:conditionalFormatting>
        <x14:conditionalFormatting xmlns:xm="http://schemas.microsoft.com/office/excel/2006/main">
          <x14:cfRule type="expression" priority="4694435" id="{D6DFB621-1A58-4C59-A987-ECAD0EB2D32B}">
            <xm:f>$V$4='Data entry'!$R32</xm:f>
            <x14:dxf>
              <fill>
                <patternFill>
                  <bgColor rgb="FFFFFF00"/>
                </patternFill>
              </fill>
            </x14:dxf>
          </x14:cfRule>
          <xm:sqref>H83:V83</xm:sqref>
        </x14:conditionalFormatting>
        <x14:conditionalFormatting xmlns:xm="http://schemas.microsoft.com/office/excel/2006/main">
          <x14:cfRule type="expression" priority="4694436" id="{5F87A680-DC5F-433D-A779-B7A534ACCDA9}">
            <xm:f>$W$4='Data entry'!$R32</xm:f>
            <x14:dxf>
              <fill>
                <patternFill>
                  <bgColor rgb="FFFF0000"/>
                </patternFill>
              </fill>
            </x14:dxf>
          </x14:cfRule>
          <xm:sqref>U84:AG84</xm:sqref>
        </x14:conditionalFormatting>
        <x14:conditionalFormatting xmlns:xm="http://schemas.microsoft.com/office/excel/2006/main">
          <x14:cfRule type="expression" priority="4694437" id="{964539FF-A92C-4F68-B268-B7157A32678C}">
            <xm:f>$W$4='Data entry'!$R32</xm:f>
            <x14:dxf>
              <fill>
                <patternFill>
                  <bgColor rgb="FFFFFF00"/>
                </patternFill>
              </fill>
            </x14:dxf>
          </x14:cfRule>
          <xm:sqref>I83:W83</xm:sqref>
        </x14:conditionalFormatting>
        <x14:conditionalFormatting xmlns:xm="http://schemas.microsoft.com/office/excel/2006/main">
          <x14:cfRule type="expression" priority="4694438" id="{46C1533A-F090-4A90-9309-3F59EC3FD3B0}">
            <xm:f>$X$4='Data entry'!$R32</xm:f>
            <x14:dxf>
              <fill>
                <patternFill>
                  <bgColor rgb="FFFF0000"/>
                </patternFill>
              </fill>
            </x14:dxf>
          </x14:cfRule>
          <xm:sqref>V84:AH84</xm:sqref>
        </x14:conditionalFormatting>
        <x14:conditionalFormatting xmlns:xm="http://schemas.microsoft.com/office/excel/2006/main">
          <x14:cfRule type="expression" priority="4694439" id="{7C70E81C-DDD4-4D75-933A-4F6A39893184}">
            <xm:f>$X$4='Data entry'!$R32</xm:f>
            <x14:dxf>
              <fill>
                <patternFill>
                  <bgColor rgb="FFFFFF00"/>
                </patternFill>
              </fill>
            </x14:dxf>
          </x14:cfRule>
          <xm:sqref>J83:X83</xm:sqref>
        </x14:conditionalFormatting>
        <x14:conditionalFormatting xmlns:xm="http://schemas.microsoft.com/office/excel/2006/main">
          <x14:cfRule type="expression" priority="4694440" id="{561AF073-0EF8-4B72-A119-40A639C4359D}">
            <xm:f>$Y$4='Data entry'!$R32</xm:f>
            <x14:dxf>
              <fill>
                <patternFill>
                  <bgColor rgb="FFFF0000"/>
                </patternFill>
              </fill>
            </x14:dxf>
          </x14:cfRule>
          <xm:sqref>W84:AI84</xm:sqref>
        </x14:conditionalFormatting>
        <x14:conditionalFormatting xmlns:xm="http://schemas.microsoft.com/office/excel/2006/main">
          <x14:cfRule type="expression" priority="4694441" id="{F242E808-8F07-4A89-9524-7D4C767CE357}">
            <xm:f>$Y$4='Data entry'!$R32</xm:f>
            <x14:dxf>
              <fill>
                <patternFill>
                  <bgColor rgb="FFFFFF00"/>
                </patternFill>
              </fill>
            </x14:dxf>
          </x14:cfRule>
          <xm:sqref>K83:Y83</xm:sqref>
        </x14:conditionalFormatting>
        <x14:conditionalFormatting xmlns:xm="http://schemas.microsoft.com/office/excel/2006/main">
          <x14:cfRule type="expression" priority="4694442" id="{DD601058-982B-4218-BD9D-64BB823C2633}">
            <xm:f>$Z$4='Data entry'!$R32</xm:f>
            <x14:dxf>
              <fill>
                <patternFill>
                  <bgColor rgb="FFFF0000"/>
                </patternFill>
              </fill>
            </x14:dxf>
          </x14:cfRule>
          <xm:sqref>X84:AJ84</xm:sqref>
        </x14:conditionalFormatting>
        <x14:conditionalFormatting xmlns:xm="http://schemas.microsoft.com/office/excel/2006/main">
          <x14:cfRule type="expression" priority="4694443" id="{C9DB141D-79F6-4093-92A3-7BF7A1622985}">
            <xm:f>$Z$4='Data entry'!$R32</xm:f>
            <x14:dxf>
              <fill>
                <patternFill>
                  <bgColor rgb="FFFFFF00"/>
                </patternFill>
              </fill>
            </x14:dxf>
          </x14:cfRule>
          <xm:sqref>L83:Z83</xm:sqref>
        </x14:conditionalFormatting>
        <x14:conditionalFormatting xmlns:xm="http://schemas.microsoft.com/office/excel/2006/main">
          <x14:cfRule type="expression" priority="4694444" id="{710EB8D3-F5C0-4E3C-8214-2D0C4E26F649}">
            <xm:f>$AA$4='Data entry'!$R32</xm:f>
            <x14:dxf>
              <fill>
                <patternFill>
                  <bgColor rgb="FFFF0000"/>
                </patternFill>
              </fill>
            </x14:dxf>
          </x14:cfRule>
          <xm:sqref>Y84:AK84</xm:sqref>
        </x14:conditionalFormatting>
        <x14:conditionalFormatting xmlns:xm="http://schemas.microsoft.com/office/excel/2006/main">
          <x14:cfRule type="expression" priority="4694445" id="{33825D69-C967-4D27-B395-5D44A3083802}">
            <xm:f>$AA$4='Data entry'!$R32</xm:f>
            <x14:dxf>
              <fill>
                <patternFill>
                  <bgColor rgb="FFFFFF00"/>
                </patternFill>
              </fill>
            </x14:dxf>
          </x14:cfRule>
          <xm:sqref>M83:AA83</xm:sqref>
        </x14:conditionalFormatting>
        <x14:conditionalFormatting xmlns:xm="http://schemas.microsoft.com/office/excel/2006/main">
          <x14:cfRule type="expression" priority="4694446" id="{9811A97D-351B-4D32-8754-AF433277E62B}">
            <xm:f>$AB$4='Data entry'!$R32</xm:f>
            <x14:dxf>
              <fill>
                <patternFill>
                  <bgColor rgb="FFFF0000"/>
                </patternFill>
              </fill>
            </x14:dxf>
          </x14:cfRule>
          <xm:sqref>Z84:AL84</xm:sqref>
        </x14:conditionalFormatting>
        <x14:conditionalFormatting xmlns:xm="http://schemas.microsoft.com/office/excel/2006/main">
          <x14:cfRule type="expression" priority="4694447" id="{6DD3E556-C72E-438B-92DA-3096ED1E4178}">
            <xm:f>$AB$4='Data entry'!$R32</xm:f>
            <x14:dxf>
              <fill>
                <patternFill>
                  <bgColor rgb="FFFFFF00"/>
                </patternFill>
              </fill>
            </x14:dxf>
          </x14:cfRule>
          <xm:sqref>N83:AB83</xm:sqref>
        </x14:conditionalFormatting>
        <x14:conditionalFormatting xmlns:xm="http://schemas.microsoft.com/office/excel/2006/main">
          <x14:cfRule type="expression" priority="4694448" id="{C0DF7A1B-D6BC-4371-BD3A-F0708147FA1C}">
            <xm:f>$AC$4='Data entry'!$R32</xm:f>
            <x14:dxf>
              <fill>
                <patternFill>
                  <bgColor rgb="FFFF0000"/>
                </patternFill>
              </fill>
            </x14:dxf>
          </x14:cfRule>
          <xm:sqref>AA84:AM84</xm:sqref>
        </x14:conditionalFormatting>
        <x14:conditionalFormatting xmlns:xm="http://schemas.microsoft.com/office/excel/2006/main">
          <x14:cfRule type="expression" priority="4694449" id="{DB2E1F48-AF0E-41F9-A976-6B1963CA5711}">
            <xm:f>$AC$4='Data entry'!$R32</xm:f>
            <x14:dxf>
              <fill>
                <patternFill>
                  <bgColor rgb="FFFFFF00"/>
                </patternFill>
              </fill>
            </x14:dxf>
          </x14:cfRule>
          <xm:sqref>O83:AC83</xm:sqref>
        </x14:conditionalFormatting>
        <x14:conditionalFormatting xmlns:xm="http://schemas.microsoft.com/office/excel/2006/main">
          <x14:cfRule type="expression" priority="4694450" id="{89909907-F9A9-4AF9-BC1D-304710A43F50}">
            <xm:f>$AD$4='Data entry'!$R32</xm:f>
            <x14:dxf>
              <fill>
                <patternFill>
                  <bgColor rgb="FFFF0000"/>
                </patternFill>
              </fill>
            </x14:dxf>
          </x14:cfRule>
          <xm:sqref>AB84:AN84</xm:sqref>
        </x14:conditionalFormatting>
        <x14:conditionalFormatting xmlns:xm="http://schemas.microsoft.com/office/excel/2006/main">
          <x14:cfRule type="expression" priority="4694451" id="{729676B7-E331-43A4-ACC9-850DCEE76A0E}">
            <xm:f>$AD$4='Data entry'!$R32</xm:f>
            <x14:dxf>
              <fill>
                <patternFill>
                  <bgColor rgb="FFFFFF00"/>
                </patternFill>
              </fill>
            </x14:dxf>
          </x14:cfRule>
          <xm:sqref>P83:AD83</xm:sqref>
        </x14:conditionalFormatting>
        <x14:conditionalFormatting xmlns:xm="http://schemas.microsoft.com/office/excel/2006/main">
          <x14:cfRule type="expression" priority="4694452" id="{00DA2C55-350E-44AA-ABEA-808FABFDA737}">
            <xm:f>$AE$4='Data entry'!$R32</xm:f>
            <x14:dxf>
              <fill>
                <patternFill>
                  <bgColor rgb="FFFF0000"/>
                </patternFill>
              </fill>
            </x14:dxf>
          </x14:cfRule>
          <xm:sqref>AC84:AO84</xm:sqref>
        </x14:conditionalFormatting>
        <x14:conditionalFormatting xmlns:xm="http://schemas.microsoft.com/office/excel/2006/main">
          <x14:cfRule type="expression" priority="4694453" id="{373C95F1-00C1-45E9-B561-5224945BA4A4}">
            <xm:f>$AE$4='Data entry'!$R32</xm:f>
            <x14:dxf>
              <fill>
                <patternFill>
                  <bgColor rgb="FFFFFF00"/>
                </patternFill>
              </fill>
            </x14:dxf>
          </x14:cfRule>
          <xm:sqref>Q83:AE83</xm:sqref>
        </x14:conditionalFormatting>
        <x14:conditionalFormatting xmlns:xm="http://schemas.microsoft.com/office/excel/2006/main">
          <x14:cfRule type="expression" priority="4694454" id="{65E90E74-6BEF-4B00-BD5E-ECACFEBC225A}">
            <xm:f>$AF$4='Data entry'!$R32</xm:f>
            <x14:dxf>
              <fill>
                <patternFill>
                  <bgColor rgb="FFFF0000"/>
                </patternFill>
              </fill>
            </x14:dxf>
          </x14:cfRule>
          <xm:sqref>AD84:AP84</xm:sqref>
        </x14:conditionalFormatting>
        <x14:conditionalFormatting xmlns:xm="http://schemas.microsoft.com/office/excel/2006/main">
          <x14:cfRule type="expression" priority="4694455" id="{56B519D7-E083-4811-B42B-D6CB10D44BB3}">
            <xm:f>$AF$4='Data entry'!$R32</xm:f>
            <x14:dxf>
              <fill>
                <patternFill>
                  <bgColor rgb="FFFFFF00"/>
                </patternFill>
              </fill>
            </x14:dxf>
          </x14:cfRule>
          <xm:sqref>R83:AF83</xm:sqref>
        </x14:conditionalFormatting>
        <x14:conditionalFormatting xmlns:xm="http://schemas.microsoft.com/office/excel/2006/main">
          <x14:cfRule type="expression" priority="4694456" id="{889682B6-BF9B-414B-86B7-1C802156B058}">
            <xm:f>$AG$4='Data entry'!$R32</xm:f>
            <x14:dxf>
              <fill>
                <patternFill>
                  <bgColor rgb="FFFF0000"/>
                </patternFill>
              </fill>
            </x14:dxf>
          </x14:cfRule>
          <xm:sqref>AE84:AQ84</xm:sqref>
        </x14:conditionalFormatting>
        <x14:conditionalFormatting xmlns:xm="http://schemas.microsoft.com/office/excel/2006/main">
          <x14:cfRule type="expression" priority="4694457" id="{19913D88-1940-4CB0-B29C-D46D60833BD5}">
            <xm:f>$AG$4='Data entry'!$R32</xm:f>
            <x14:dxf>
              <fill>
                <patternFill>
                  <bgColor rgb="FFFFFF00"/>
                </patternFill>
              </fill>
            </x14:dxf>
          </x14:cfRule>
          <xm:sqref>S83:AG83</xm:sqref>
        </x14:conditionalFormatting>
        <x14:conditionalFormatting xmlns:xm="http://schemas.microsoft.com/office/excel/2006/main">
          <x14:cfRule type="expression" priority="4694458" id="{3DD7B9A5-18A3-463F-BAD5-9796FC487328}">
            <xm:f>$AH$4='Data entry'!$R32</xm:f>
            <x14:dxf>
              <fill>
                <patternFill>
                  <bgColor rgb="FFFF0000"/>
                </patternFill>
              </fill>
            </x14:dxf>
          </x14:cfRule>
          <xm:sqref>AF84:AR84</xm:sqref>
        </x14:conditionalFormatting>
        <x14:conditionalFormatting xmlns:xm="http://schemas.microsoft.com/office/excel/2006/main">
          <x14:cfRule type="expression" priority="4694459" id="{31005CF4-5608-496E-91EB-F7F505046C80}">
            <xm:f>$AH$4='Data entry'!$R32</xm:f>
            <x14:dxf>
              <fill>
                <patternFill>
                  <bgColor rgb="FFFFFF00"/>
                </patternFill>
              </fill>
            </x14:dxf>
          </x14:cfRule>
          <xm:sqref>T83:AH83</xm:sqref>
        </x14:conditionalFormatting>
        <x14:conditionalFormatting xmlns:xm="http://schemas.microsoft.com/office/excel/2006/main">
          <x14:cfRule type="expression" priority="4694460" id="{CD14F654-5B7A-444F-8FC1-7DD71E76E475}">
            <xm:f>$AI$4='Data entry'!$R32</xm:f>
            <x14:dxf>
              <fill>
                <patternFill>
                  <bgColor rgb="FFFF0000"/>
                </patternFill>
              </fill>
            </x14:dxf>
          </x14:cfRule>
          <xm:sqref>AG84:AS84</xm:sqref>
        </x14:conditionalFormatting>
        <x14:conditionalFormatting xmlns:xm="http://schemas.microsoft.com/office/excel/2006/main">
          <x14:cfRule type="expression" priority="4694461" id="{0E4E448C-6C46-4285-B877-A61A90294385}">
            <xm:f>$AI$4='Data entry'!$R32</xm:f>
            <x14:dxf>
              <fill>
                <patternFill>
                  <bgColor rgb="FFFFFF00"/>
                </patternFill>
              </fill>
            </x14:dxf>
          </x14:cfRule>
          <xm:sqref>U83:AI83</xm:sqref>
        </x14:conditionalFormatting>
        <x14:conditionalFormatting xmlns:xm="http://schemas.microsoft.com/office/excel/2006/main">
          <x14:cfRule type="expression" priority="4694462" id="{B1C1818F-791C-403D-BE73-6F6E9DC6A16D}">
            <xm:f>$AJ$4='Data entry'!$R32</xm:f>
            <x14:dxf>
              <fill>
                <patternFill>
                  <bgColor rgb="FFFF0000"/>
                </patternFill>
              </fill>
            </x14:dxf>
          </x14:cfRule>
          <xm:sqref>AH84:AT84</xm:sqref>
        </x14:conditionalFormatting>
        <x14:conditionalFormatting xmlns:xm="http://schemas.microsoft.com/office/excel/2006/main">
          <x14:cfRule type="expression" priority="4694463" id="{A1237792-221B-431B-B8A7-E9A64DA46D93}">
            <xm:f>$AJ$4='Data entry'!$R32</xm:f>
            <x14:dxf>
              <fill>
                <patternFill>
                  <bgColor rgb="FFFFFF00"/>
                </patternFill>
              </fill>
            </x14:dxf>
          </x14:cfRule>
          <xm:sqref>V83:AJ83</xm:sqref>
        </x14:conditionalFormatting>
        <x14:conditionalFormatting xmlns:xm="http://schemas.microsoft.com/office/excel/2006/main">
          <x14:cfRule type="expression" priority="4694464" id="{617DC2AF-C7A3-4724-8EA3-17DEFEDC8949}">
            <xm:f>$AK$4='Data entry'!$R32</xm:f>
            <x14:dxf>
              <fill>
                <patternFill>
                  <bgColor rgb="FFFF0000"/>
                </patternFill>
              </fill>
            </x14:dxf>
          </x14:cfRule>
          <xm:sqref>AI84:AU84</xm:sqref>
        </x14:conditionalFormatting>
        <x14:conditionalFormatting xmlns:xm="http://schemas.microsoft.com/office/excel/2006/main">
          <x14:cfRule type="expression" priority="4694465" id="{AA72317D-37B1-48EB-A28B-BF2AC8DC4519}">
            <xm:f>$AK$4='Data entry'!$R32</xm:f>
            <x14:dxf>
              <fill>
                <patternFill>
                  <bgColor rgb="FFFFFF00"/>
                </patternFill>
              </fill>
            </x14:dxf>
          </x14:cfRule>
          <xm:sqref>W83:AK83</xm:sqref>
        </x14:conditionalFormatting>
        <x14:conditionalFormatting xmlns:xm="http://schemas.microsoft.com/office/excel/2006/main">
          <x14:cfRule type="expression" priority="4694466" id="{6CA9FB7A-20EA-4D3A-B74C-A001F4BE810D}">
            <xm:f>$AL$4='Data entry'!$R32</xm:f>
            <x14:dxf>
              <fill>
                <patternFill>
                  <bgColor rgb="FFFF0000"/>
                </patternFill>
              </fill>
            </x14:dxf>
          </x14:cfRule>
          <xm:sqref>AJ84:AV84</xm:sqref>
        </x14:conditionalFormatting>
        <x14:conditionalFormatting xmlns:xm="http://schemas.microsoft.com/office/excel/2006/main">
          <x14:cfRule type="expression" priority="4694467" id="{81A75DAA-573F-4EF3-A640-1B992C18BEA0}">
            <xm:f>$AL$4='Data entry'!$R32</xm:f>
            <x14:dxf>
              <fill>
                <patternFill>
                  <bgColor rgb="FFFFFF00"/>
                </patternFill>
              </fill>
            </x14:dxf>
          </x14:cfRule>
          <xm:sqref>X83:AL83</xm:sqref>
        </x14:conditionalFormatting>
        <x14:conditionalFormatting xmlns:xm="http://schemas.microsoft.com/office/excel/2006/main">
          <x14:cfRule type="expression" priority="4694468" id="{3D44713E-4ABA-4CCD-9DF4-5513A9FB5E1E}">
            <xm:f>$AM$4='Data entry'!$R32</xm:f>
            <x14:dxf>
              <fill>
                <patternFill>
                  <bgColor rgb="FFFF0000"/>
                </patternFill>
              </fill>
            </x14:dxf>
          </x14:cfRule>
          <xm:sqref>AK84:AW84</xm:sqref>
        </x14:conditionalFormatting>
        <x14:conditionalFormatting xmlns:xm="http://schemas.microsoft.com/office/excel/2006/main">
          <x14:cfRule type="expression" priority="4694469" id="{05A26B51-72A7-4423-822F-2BDBC28275D0}">
            <xm:f>$AM$4='Data entry'!$R32</xm:f>
            <x14:dxf>
              <fill>
                <patternFill>
                  <bgColor rgb="FFFFFF00"/>
                </patternFill>
              </fill>
            </x14:dxf>
          </x14:cfRule>
          <xm:sqref>Y83:AM83</xm:sqref>
        </x14:conditionalFormatting>
        <x14:conditionalFormatting xmlns:xm="http://schemas.microsoft.com/office/excel/2006/main">
          <x14:cfRule type="expression" priority="4694470" id="{B8A20675-6230-4694-A7F6-6B3DC7142773}">
            <xm:f>$AN$4='Data entry'!$R32</xm:f>
            <x14:dxf>
              <fill>
                <patternFill>
                  <bgColor rgb="FFFF0000"/>
                </patternFill>
              </fill>
            </x14:dxf>
          </x14:cfRule>
          <xm:sqref>AL84:AX84</xm:sqref>
        </x14:conditionalFormatting>
        <x14:conditionalFormatting xmlns:xm="http://schemas.microsoft.com/office/excel/2006/main">
          <x14:cfRule type="expression" priority="4694471" id="{8421181C-7450-42E9-BC1D-065CCFCA960E}">
            <xm:f>$AN$4='Data entry'!$R32</xm:f>
            <x14:dxf>
              <fill>
                <patternFill>
                  <bgColor rgb="FFFFFF00"/>
                </patternFill>
              </fill>
            </x14:dxf>
          </x14:cfRule>
          <xm:sqref>Z83:AN83</xm:sqref>
        </x14:conditionalFormatting>
        <x14:conditionalFormatting xmlns:xm="http://schemas.microsoft.com/office/excel/2006/main">
          <x14:cfRule type="expression" priority="4694472" id="{067FE4BD-6EF4-4684-B6E0-35AB2F267EE7}">
            <xm:f>$AO$4='Data entry'!$R32</xm:f>
            <x14:dxf>
              <fill>
                <patternFill>
                  <bgColor rgb="FFFF0000"/>
                </patternFill>
              </fill>
            </x14:dxf>
          </x14:cfRule>
          <xm:sqref>AM84:AY84</xm:sqref>
        </x14:conditionalFormatting>
        <x14:conditionalFormatting xmlns:xm="http://schemas.microsoft.com/office/excel/2006/main">
          <x14:cfRule type="expression" priority="4694473" id="{F7653492-88D1-47AC-8BA3-0CCE65C3C2AB}">
            <xm:f>$AO$4='Data entry'!$R32</xm:f>
            <x14:dxf>
              <fill>
                <patternFill>
                  <bgColor rgb="FFFFFF00"/>
                </patternFill>
              </fill>
            </x14:dxf>
          </x14:cfRule>
          <xm:sqref>AA83:AO83</xm:sqref>
        </x14:conditionalFormatting>
        <x14:conditionalFormatting xmlns:xm="http://schemas.microsoft.com/office/excel/2006/main">
          <x14:cfRule type="expression" priority="4694474" id="{207A5E5D-B322-482E-9193-1D7318138358}">
            <xm:f>$AP$4='Data entry'!$R32</xm:f>
            <x14:dxf>
              <fill>
                <patternFill>
                  <bgColor rgb="FFFF0000"/>
                </patternFill>
              </fill>
            </x14:dxf>
          </x14:cfRule>
          <xm:sqref>AN84:AZ84</xm:sqref>
        </x14:conditionalFormatting>
        <x14:conditionalFormatting xmlns:xm="http://schemas.microsoft.com/office/excel/2006/main">
          <x14:cfRule type="expression" priority="4694475" id="{21DA638D-4CA0-4067-BFF1-240CE1A0261B}">
            <xm:f>$AP$4='Data entry'!$R32</xm:f>
            <x14:dxf>
              <fill>
                <patternFill>
                  <bgColor rgb="FFFFFF00"/>
                </patternFill>
              </fill>
            </x14:dxf>
          </x14:cfRule>
          <xm:sqref>AB83:AP83</xm:sqref>
        </x14:conditionalFormatting>
        <x14:conditionalFormatting xmlns:xm="http://schemas.microsoft.com/office/excel/2006/main">
          <x14:cfRule type="expression" priority="4694476" id="{71963D96-A42A-4B90-BFC7-6D83D37766EF}">
            <xm:f>$AQ$4='Data entry'!$R32</xm:f>
            <x14:dxf>
              <fill>
                <patternFill>
                  <bgColor rgb="FFFF0000"/>
                </patternFill>
              </fill>
            </x14:dxf>
          </x14:cfRule>
          <xm:sqref>AO84:BA84</xm:sqref>
        </x14:conditionalFormatting>
        <x14:conditionalFormatting xmlns:xm="http://schemas.microsoft.com/office/excel/2006/main">
          <x14:cfRule type="expression" priority="4694477" id="{74952595-84B6-484F-8FF6-FCC1F337DF4D}">
            <xm:f>$AQ$4='Data entry'!$R32</xm:f>
            <x14:dxf>
              <fill>
                <patternFill>
                  <bgColor rgb="FFFFFF00"/>
                </patternFill>
              </fill>
            </x14:dxf>
          </x14:cfRule>
          <xm:sqref>AC83:AQ83</xm:sqref>
        </x14:conditionalFormatting>
        <x14:conditionalFormatting xmlns:xm="http://schemas.microsoft.com/office/excel/2006/main">
          <x14:cfRule type="expression" priority="4694478" id="{8AC9C4B9-0A34-4BC0-B0F7-CA89434C4911}">
            <xm:f>$P$4='Data entry'!$R32</xm:f>
            <x14:dxf>
              <fill>
                <patternFill>
                  <bgColor rgb="FFFFFF00"/>
                </patternFill>
              </fill>
            </x14:dxf>
          </x14:cfRule>
          <xm:sqref>C83:P83</xm:sqref>
        </x14:conditionalFormatting>
        <x14:conditionalFormatting xmlns:xm="http://schemas.microsoft.com/office/excel/2006/main">
          <x14:cfRule type="expression" priority="4694479" id="{0A726775-ABFD-4F22-967C-1A4D87BA3751}">
            <xm:f>$Q$4='Data entry'!$R32</xm:f>
            <x14:dxf>
              <fill>
                <patternFill>
                  <bgColor rgb="FFFFFF00"/>
                </patternFill>
              </fill>
            </x14:dxf>
          </x14:cfRule>
          <xm:sqref>C83:Q83</xm:sqref>
        </x14:conditionalFormatting>
        <x14:conditionalFormatting xmlns:xm="http://schemas.microsoft.com/office/excel/2006/main">
          <x14:cfRule type="expression" priority="4694480" id="{3A8414BD-262C-43B5-86EE-FA6901D00453}">
            <xm:f>$Q$4='Data entry'!$R32</xm:f>
            <x14:dxf>
              <fill>
                <patternFill>
                  <bgColor rgb="FFFF0000"/>
                </patternFill>
              </fill>
            </x14:dxf>
          </x14:cfRule>
          <xm:sqref>O84:AA84</xm:sqref>
        </x14:conditionalFormatting>
        <x14:conditionalFormatting xmlns:xm="http://schemas.microsoft.com/office/excel/2006/main">
          <x14:cfRule type="expression" priority="4694481" id="{B8B5501D-F3EF-4449-9306-F652960C65F4}">
            <xm:f>$R$4='Data entry'!$R32</xm:f>
            <x14:dxf>
              <fill>
                <patternFill>
                  <bgColor rgb="FFFF0000"/>
                </patternFill>
              </fill>
            </x14:dxf>
          </x14:cfRule>
          <xm:sqref>P84:AB84</xm:sqref>
        </x14:conditionalFormatting>
        <x14:conditionalFormatting xmlns:xm="http://schemas.microsoft.com/office/excel/2006/main">
          <x14:cfRule type="expression" priority="4694482" id="{5D070DEC-B82E-4D87-B907-A3E5AB836991}">
            <xm:f>$R$4='Data entry'!$R32</xm:f>
            <x14:dxf>
              <fill>
                <patternFill>
                  <bgColor rgb="FFFFFF00"/>
                </patternFill>
              </fill>
            </x14:dxf>
          </x14:cfRule>
          <xm:sqref>D83:R83</xm:sqref>
        </x14:conditionalFormatting>
        <x14:conditionalFormatting xmlns:xm="http://schemas.microsoft.com/office/excel/2006/main">
          <x14:cfRule type="expression" priority="4694483" id="{E4D16A10-F818-4664-9FB2-F0E839824D4B}">
            <xm:f>$S$4='Data entry'!$R32</xm:f>
            <x14:dxf>
              <fill>
                <patternFill>
                  <bgColor rgb="FFFF0000"/>
                </patternFill>
              </fill>
            </x14:dxf>
          </x14:cfRule>
          <xm:sqref>Q84:AC84</xm:sqref>
        </x14:conditionalFormatting>
        <x14:conditionalFormatting xmlns:xm="http://schemas.microsoft.com/office/excel/2006/main">
          <x14:cfRule type="expression" priority="4694484" id="{1A9F9911-A3E9-4730-AFBE-AB8C596545CA}">
            <xm:f>$S$4='Data entry'!$R32</xm:f>
            <x14:dxf>
              <fill>
                <patternFill>
                  <bgColor rgb="FFFFFF00"/>
                </patternFill>
              </fill>
            </x14:dxf>
          </x14:cfRule>
          <xm:sqref>E83:S83</xm:sqref>
        </x14:conditionalFormatting>
        <x14:conditionalFormatting xmlns:xm="http://schemas.microsoft.com/office/excel/2006/main">
          <x14:cfRule type="expression" priority="4694485" id="{8BB5CD1B-B2AC-442A-9550-26DE19A62D22}">
            <xm:f>$T$4='Data entry'!$R32</xm:f>
            <x14:dxf>
              <fill>
                <patternFill>
                  <bgColor rgb="FFFF0000"/>
                </patternFill>
              </fill>
            </x14:dxf>
          </x14:cfRule>
          <xm:sqref>R84:AD84</xm:sqref>
        </x14:conditionalFormatting>
        <x14:conditionalFormatting xmlns:xm="http://schemas.microsoft.com/office/excel/2006/main">
          <x14:cfRule type="expression" priority="4694486" id="{E7B59C69-7921-4049-84A1-8B3E5F7B0598}">
            <xm:f>$T$4='Data entry'!$R32</xm:f>
            <x14:dxf>
              <fill>
                <patternFill>
                  <bgColor rgb="FFFFFF00"/>
                </patternFill>
              </fill>
            </x14:dxf>
          </x14:cfRule>
          <xm:sqref>F83:T83</xm:sqref>
        </x14:conditionalFormatting>
        <x14:conditionalFormatting xmlns:xm="http://schemas.microsoft.com/office/excel/2006/main">
          <x14:cfRule type="expression" priority="4694487" id="{238C09E5-7A3D-439D-949F-A7733073F9A2}">
            <xm:f>$U$4='Data entry'!$R32</xm:f>
            <x14:dxf>
              <fill>
                <patternFill>
                  <bgColor rgb="FFFFFF00"/>
                </patternFill>
              </fill>
            </x14:dxf>
          </x14:cfRule>
          <xm:sqref>G83:U83</xm:sqref>
        </x14:conditionalFormatting>
        <x14:conditionalFormatting xmlns:xm="http://schemas.microsoft.com/office/excel/2006/main">
          <x14:cfRule type="expression" priority="4694488" id="{DE4D4432-0A19-452A-AF14-2873FE4DF411}">
            <xm:f>$AR$4='Data entry'!$R32</xm:f>
            <x14:dxf>
              <fill>
                <patternFill>
                  <bgColor rgb="FFFF0000"/>
                </patternFill>
              </fill>
            </x14:dxf>
          </x14:cfRule>
          <xm:sqref>AP84:BB84</xm:sqref>
        </x14:conditionalFormatting>
        <x14:conditionalFormatting xmlns:xm="http://schemas.microsoft.com/office/excel/2006/main">
          <x14:cfRule type="expression" priority="4694489" id="{90D7E1FF-542D-40C8-9BD5-DFEB4CDD256F}">
            <xm:f>$AR$4='Data entry'!$R32</xm:f>
            <x14:dxf>
              <fill>
                <patternFill>
                  <bgColor rgb="FFFFFF00"/>
                </patternFill>
              </fill>
            </x14:dxf>
          </x14:cfRule>
          <xm:sqref>AD83:AR83</xm:sqref>
        </x14:conditionalFormatting>
        <x14:conditionalFormatting xmlns:xm="http://schemas.microsoft.com/office/excel/2006/main">
          <x14:cfRule type="expression" priority="4694490" id="{0EBB5305-4A4A-4205-A1FF-11160070CBC3}">
            <xm:f>$AS$4='Data entry'!$R32</xm:f>
            <x14:dxf>
              <fill>
                <patternFill>
                  <bgColor rgb="FFFF0000"/>
                </patternFill>
              </fill>
            </x14:dxf>
          </x14:cfRule>
          <xm:sqref>AQ84:BC84</xm:sqref>
        </x14:conditionalFormatting>
        <x14:conditionalFormatting xmlns:xm="http://schemas.microsoft.com/office/excel/2006/main">
          <x14:cfRule type="expression" priority="4694491" id="{AC8EB30C-4253-4CE1-820E-1801F6D8D35B}">
            <xm:f>$AS$4='Data entry'!$R32</xm:f>
            <x14:dxf>
              <fill>
                <patternFill>
                  <bgColor rgb="FFFFFF00"/>
                </patternFill>
              </fill>
            </x14:dxf>
          </x14:cfRule>
          <xm:sqref>AE83:AS83</xm:sqref>
        </x14:conditionalFormatting>
        <x14:conditionalFormatting xmlns:xm="http://schemas.microsoft.com/office/excel/2006/main">
          <x14:cfRule type="expression" priority="4694492" id="{E11744C1-7201-4272-A1B0-945490B42425}">
            <xm:f>$AT$4='Data entry'!$R32</xm:f>
            <x14:dxf>
              <fill>
                <patternFill>
                  <bgColor rgb="FFFF0000"/>
                </patternFill>
              </fill>
            </x14:dxf>
          </x14:cfRule>
          <xm:sqref>AR84:BD84</xm:sqref>
        </x14:conditionalFormatting>
        <x14:conditionalFormatting xmlns:xm="http://schemas.microsoft.com/office/excel/2006/main">
          <x14:cfRule type="expression" priority="4694493" id="{5EE2823B-E955-4EA7-B99C-0B1F77B57A69}">
            <xm:f>$AT$4='Data entry'!$R32</xm:f>
            <x14:dxf>
              <fill>
                <patternFill>
                  <bgColor rgb="FFFFFF00"/>
                </patternFill>
              </fill>
            </x14:dxf>
          </x14:cfRule>
          <xm:sqref>AF83:AT83</xm:sqref>
        </x14:conditionalFormatting>
        <x14:conditionalFormatting xmlns:xm="http://schemas.microsoft.com/office/excel/2006/main">
          <x14:cfRule type="expression" priority="4694494" id="{5737DC63-3262-4B34-900C-2AAEB255FCBA}">
            <xm:f>$AU$4='Data entry'!$R32</xm:f>
            <x14:dxf>
              <fill>
                <patternFill>
                  <bgColor rgb="FFFF0000"/>
                </patternFill>
              </fill>
            </x14:dxf>
          </x14:cfRule>
          <xm:sqref>AS84:BE84</xm:sqref>
        </x14:conditionalFormatting>
        <x14:conditionalFormatting xmlns:xm="http://schemas.microsoft.com/office/excel/2006/main">
          <x14:cfRule type="expression" priority="4694495" id="{2B5C1F1B-3C3D-4CA3-BC64-0E98422075B6}">
            <xm:f>$AU$4='Data entry'!$R32</xm:f>
            <x14:dxf>
              <fill>
                <patternFill>
                  <bgColor rgb="FFFFFF00"/>
                </patternFill>
              </fill>
            </x14:dxf>
          </x14:cfRule>
          <xm:sqref>AG83:AU83</xm:sqref>
        </x14:conditionalFormatting>
        <x14:conditionalFormatting xmlns:xm="http://schemas.microsoft.com/office/excel/2006/main">
          <x14:cfRule type="expression" priority="4694496" id="{B87A1285-B003-4855-8F4B-53C391BA10E6}">
            <xm:f>$AV$4='Data entry'!$R32</xm:f>
            <x14:dxf>
              <fill>
                <patternFill>
                  <bgColor rgb="FFFF0000"/>
                </patternFill>
              </fill>
            </x14:dxf>
          </x14:cfRule>
          <xm:sqref>AT84:BF84</xm:sqref>
        </x14:conditionalFormatting>
        <x14:conditionalFormatting xmlns:xm="http://schemas.microsoft.com/office/excel/2006/main">
          <x14:cfRule type="expression" priority="4694497" id="{338EE31C-78DB-4818-B837-0380F9E457FA}">
            <xm:f>$AV$4='Data entry'!$R32</xm:f>
            <x14:dxf>
              <fill>
                <patternFill>
                  <bgColor rgb="FFFFFF00"/>
                </patternFill>
              </fill>
            </x14:dxf>
          </x14:cfRule>
          <xm:sqref>AH83:AV83</xm:sqref>
        </x14:conditionalFormatting>
        <x14:conditionalFormatting xmlns:xm="http://schemas.microsoft.com/office/excel/2006/main">
          <x14:cfRule type="expression" priority="4694498" id="{5C40EA66-2801-4C91-B885-BF6A1ECFC35C}">
            <xm:f>$AW$4='Data entry'!$R32</xm:f>
            <x14:dxf>
              <fill>
                <patternFill>
                  <bgColor rgb="FFFF0000"/>
                </patternFill>
              </fill>
            </x14:dxf>
          </x14:cfRule>
          <xm:sqref>AU84:BG84</xm:sqref>
        </x14:conditionalFormatting>
        <x14:conditionalFormatting xmlns:xm="http://schemas.microsoft.com/office/excel/2006/main">
          <x14:cfRule type="expression" priority="4694499" id="{51BCD5CE-DF86-4C2F-8A81-DDA1EFD6C8F7}">
            <xm:f>$AW$4='Data entry'!$R32</xm:f>
            <x14:dxf>
              <fill>
                <patternFill>
                  <bgColor rgb="FFFFFF00"/>
                </patternFill>
              </fill>
            </x14:dxf>
          </x14:cfRule>
          <xm:sqref>AI83:AW83</xm:sqref>
        </x14:conditionalFormatting>
        <x14:conditionalFormatting xmlns:xm="http://schemas.microsoft.com/office/excel/2006/main">
          <x14:cfRule type="expression" priority="4694500" id="{DC2ED5A0-8917-4877-8CD3-9DF9BE5993C9}">
            <xm:f>$AX$4='Data entry'!$R32</xm:f>
            <x14:dxf>
              <fill>
                <patternFill>
                  <bgColor rgb="FFFF0000"/>
                </patternFill>
              </fill>
            </x14:dxf>
          </x14:cfRule>
          <xm:sqref>AV84:BH84</xm:sqref>
        </x14:conditionalFormatting>
        <x14:conditionalFormatting xmlns:xm="http://schemas.microsoft.com/office/excel/2006/main">
          <x14:cfRule type="expression" priority="4694501" id="{59B31869-20F9-45BD-BC80-0A6C8945CE2C}">
            <xm:f>$AX$4='Data entry'!$R32</xm:f>
            <x14:dxf>
              <fill>
                <patternFill>
                  <bgColor rgb="FFFFFF00"/>
                </patternFill>
              </fill>
            </x14:dxf>
          </x14:cfRule>
          <xm:sqref>AJ83:AX83</xm:sqref>
        </x14:conditionalFormatting>
        <x14:conditionalFormatting xmlns:xm="http://schemas.microsoft.com/office/excel/2006/main">
          <x14:cfRule type="expression" priority="4694502" id="{D4208FA0-4262-4037-934C-6D0742B2AD8E}">
            <xm:f>$AY$4='Data entry'!$R32</xm:f>
            <x14:dxf>
              <fill>
                <patternFill>
                  <bgColor rgb="FFFF0000"/>
                </patternFill>
              </fill>
            </x14:dxf>
          </x14:cfRule>
          <xm:sqref>AW84:BI84</xm:sqref>
        </x14:conditionalFormatting>
        <x14:conditionalFormatting xmlns:xm="http://schemas.microsoft.com/office/excel/2006/main">
          <x14:cfRule type="expression" priority="4694503" id="{04D6E423-18C7-42B2-A67D-F49D8E62B571}">
            <xm:f>$AY$4='Data entry'!$R32</xm:f>
            <x14:dxf>
              <fill>
                <patternFill>
                  <bgColor rgb="FFFFFF00"/>
                </patternFill>
              </fill>
            </x14:dxf>
          </x14:cfRule>
          <xm:sqref>AK83:AY83</xm:sqref>
        </x14:conditionalFormatting>
        <x14:conditionalFormatting xmlns:xm="http://schemas.microsoft.com/office/excel/2006/main">
          <x14:cfRule type="expression" priority="4694504" id="{A931C203-6E4B-4EBD-A2F4-1876881F48D4}">
            <xm:f>$AZ$4='Data entry'!$R32</xm:f>
            <x14:dxf>
              <fill>
                <patternFill>
                  <bgColor rgb="FFFF0000"/>
                </patternFill>
              </fill>
            </x14:dxf>
          </x14:cfRule>
          <xm:sqref>AX84:BJ84</xm:sqref>
        </x14:conditionalFormatting>
        <x14:conditionalFormatting xmlns:xm="http://schemas.microsoft.com/office/excel/2006/main">
          <x14:cfRule type="expression" priority="4694505" id="{092D9100-E652-40FE-8CAA-720DC0681250}">
            <xm:f>$AZ$4='Data entry'!$R32</xm:f>
            <x14:dxf>
              <fill>
                <patternFill>
                  <bgColor rgb="FFFFFF00"/>
                </patternFill>
              </fill>
            </x14:dxf>
          </x14:cfRule>
          <xm:sqref>AL83:AZ83</xm:sqref>
        </x14:conditionalFormatting>
        <x14:conditionalFormatting xmlns:xm="http://schemas.microsoft.com/office/excel/2006/main">
          <x14:cfRule type="expression" priority="4694506" id="{A3C7E6BE-A225-483C-A983-A915DB662C52}">
            <xm:f>$BA$4='Data entry'!$R32</xm:f>
            <x14:dxf>
              <fill>
                <patternFill>
                  <bgColor rgb="FFFF0000"/>
                </patternFill>
              </fill>
            </x14:dxf>
          </x14:cfRule>
          <xm:sqref>AY84:BK84</xm:sqref>
        </x14:conditionalFormatting>
        <x14:conditionalFormatting xmlns:xm="http://schemas.microsoft.com/office/excel/2006/main">
          <x14:cfRule type="expression" priority="4694507" id="{F5CF569A-8AFA-4CFF-8BD3-F04D8927A99F}">
            <xm:f>$BA$4='Data entry'!$R32</xm:f>
            <x14:dxf>
              <fill>
                <patternFill>
                  <bgColor rgb="FFFFFF00"/>
                </patternFill>
              </fill>
            </x14:dxf>
          </x14:cfRule>
          <xm:sqref>AM83:BA83</xm:sqref>
        </x14:conditionalFormatting>
        <x14:conditionalFormatting xmlns:xm="http://schemas.microsoft.com/office/excel/2006/main">
          <x14:cfRule type="expression" priority="4694508" id="{E4DAC94A-7983-4BFB-A87B-45B58561841A}">
            <xm:f>$BB$4='Data entry'!$R32</xm:f>
            <x14:dxf>
              <fill>
                <patternFill>
                  <bgColor rgb="FFFF0000"/>
                </patternFill>
              </fill>
            </x14:dxf>
          </x14:cfRule>
          <xm:sqref>AZ84:BL84</xm:sqref>
        </x14:conditionalFormatting>
        <x14:conditionalFormatting xmlns:xm="http://schemas.microsoft.com/office/excel/2006/main">
          <x14:cfRule type="expression" priority="4694509" id="{E63849C5-F39B-4B0E-8F8A-B532EDF2CBAE}">
            <xm:f>$BB$4='Data entry'!$R32</xm:f>
            <x14:dxf>
              <fill>
                <patternFill>
                  <bgColor rgb="FFFFFF00"/>
                </patternFill>
              </fill>
            </x14:dxf>
          </x14:cfRule>
          <xm:sqref>AN83:BB83</xm:sqref>
        </x14:conditionalFormatting>
        <x14:conditionalFormatting xmlns:xm="http://schemas.microsoft.com/office/excel/2006/main">
          <x14:cfRule type="expression" priority="4694510" id="{4FDC32D3-C1F5-455D-9AA4-A03359B72526}">
            <xm:f>$BC$4='Data entry'!$R32</xm:f>
            <x14:dxf>
              <fill>
                <patternFill>
                  <bgColor rgb="FFFF0000"/>
                </patternFill>
              </fill>
            </x14:dxf>
          </x14:cfRule>
          <xm:sqref>BA84:BM84</xm:sqref>
        </x14:conditionalFormatting>
        <x14:conditionalFormatting xmlns:xm="http://schemas.microsoft.com/office/excel/2006/main">
          <x14:cfRule type="expression" priority="4694511" id="{5F0D0C60-B233-4C56-B05D-98C99990877F}">
            <xm:f>$BC$4='Data entry'!$R32</xm:f>
            <x14:dxf>
              <fill>
                <patternFill>
                  <bgColor rgb="FFFFFF00"/>
                </patternFill>
              </fill>
            </x14:dxf>
          </x14:cfRule>
          <xm:sqref>AO83:BC83</xm:sqref>
        </x14:conditionalFormatting>
        <x14:conditionalFormatting xmlns:xm="http://schemas.microsoft.com/office/excel/2006/main">
          <x14:cfRule type="expression" priority="4694512" id="{9EBCB60F-8135-43B6-A0F3-548D4092CC98}">
            <xm:f>$BD$4='Data entry'!$R32</xm:f>
            <x14:dxf>
              <fill>
                <patternFill>
                  <bgColor rgb="FFFF0000"/>
                </patternFill>
              </fill>
            </x14:dxf>
          </x14:cfRule>
          <xm:sqref>BB84:BN84</xm:sqref>
        </x14:conditionalFormatting>
        <x14:conditionalFormatting xmlns:xm="http://schemas.microsoft.com/office/excel/2006/main">
          <x14:cfRule type="expression" priority="4694513" id="{961AF346-4A73-41ED-9A8D-27D431B09C05}">
            <xm:f>$BD$4='Data entry'!$R32</xm:f>
            <x14:dxf>
              <fill>
                <patternFill>
                  <bgColor rgb="FFFFFF00"/>
                </patternFill>
              </fill>
            </x14:dxf>
          </x14:cfRule>
          <xm:sqref>AP83:BD83</xm:sqref>
        </x14:conditionalFormatting>
        <x14:conditionalFormatting xmlns:xm="http://schemas.microsoft.com/office/excel/2006/main">
          <x14:cfRule type="expression" priority="4694514" id="{5A887026-27CD-4F8C-8BA6-1E92704C1CA6}">
            <xm:f>$BE$4='Data entry'!$R32</xm:f>
            <x14:dxf>
              <fill>
                <patternFill>
                  <bgColor rgb="FFFF0000"/>
                </patternFill>
              </fill>
            </x14:dxf>
          </x14:cfRule>
          <xm:sqref>BC84:BO84</xm:sqref>
        </x14:conditionalFormatting>
        <x14:conditionalFormatting xmlns:xm="http://schemas.microsoft.com/office/excel/2006/main">
          <x14:cfRule type="expression" priority="4694515" id="{7F46217B-A1E9-4515-B31E-E756FCD7C6D9}">
            <xm:f>$BE$4='Data entry'!$R32</xm:f>
            <x14:dxf>
              <fill>
                <patternFill>
                  <bgColor rgb="FFFFFF00"/>
                </patternFill>
              </fill>
            </x14:dxf>
          </x14:cfRule>
          <xm:sqref>AP83:BE83</xm:sqref>
        </x14:conditionalFormatting>
        <x14:conditionalFormatting xmlns:xm="http://schemas.microsoft.com/office/excel/2006/main">
          <x14:cfRule type="expression" priority="4694516" id="{F4D9285C-8CA0-4EF1-943E-6A462D47CC77}">
            <xm:f>$BF$4='Data entry'!$R32</xm:f>
            <x14:dxf>
              <fill>
                <patternFill>
                  <bgColor rgb="FFFF0000"/>
                </patternFill>
              </fill>
            </x14:dxf>
          </x14:cfRule>
          <xm:sqref>BD84:BP84</xm:sqref>
        </x14:conditionalFormatting>
        <x14:conditionalFormatting xmlns:xm="http://schemas.microsoft.com/office/excel/2006/main">
          <x14:cfRule type="expression" priority="4694517" id="{B9E4407D-651D-4DC0-9D61-3271D62A65E9}">
            <xm:f>$BF$4='Data entry'!$R32</xm:f>
            <x14:dxf>
              <fill>
                <patternFill>
                  <bgColor rgb="FFFFFF00"/>
                </patternFill>
              </fill>
            </x14:dxf>
          </x14:cfRule>
          <xm:sqref>AR83:BF83</xm:sqref>
        </x14:conditionalFormatting>
        <x14:conditionalFormatting xmlns:xm="http://schemas.microsoft.com/office/excel/2006/main">
          <x14:cfRule type="expression" priority="4694518" id="{4CDC062F-DDFF-4556-B941-08F919727F69}">
            <xm:f>$BG$4='Data entry'!$R32</xm:f>
            <x14:dxf>
              <fill>
                <patternFill>
                  <bgColor rgb="FFFF0000"/>
                </patternFill>
              </fill>
            </x14:dxf>
          </x14:cfRule>
          <xm:sqref>BE84:BQ84</xm:sqref>
        </x14:conditionalFormatting>
        <x14:conditionalFormatting xmlns:xm="http://schemas.microsoft.com/office/excel/2006/main">
          <x14:cfRule type="expression" priority="4694519" id="{789184FA-9055-433B-8A1B-92C7ED59E81F}">
            <xm:f>$BG$4='Data entry'!$R32</xm:f>
            <x14:dxf>
              <fill>
                <patternFill>
                  <bgColor rgb="FFFFFF00"/>
                </patternFill>
              </fill>
            </x14:dxf>
          </x14:cfRule>
          <xm:sqref>AS83:BG83</xm:sqref>
        </x14:conditionalFormatting>
        <x14:conditionalFormatting xmlns:xm="http://schemas.microsoft.com/office/excel/2006/main">
          <x14:cfRule type="expression" priority="4694520" id="{58651E5C-09C9-46C1-B95C-E8A578A49E15}">
            <xm:f>$BH$4='Data entry'!$R32</xm:f>
            <x14:dxf>
              <fill>
                <patternFill>
                  <bgColor rgb="FFFFFF00"/>
                </patternFill>
              </fill>
            </x14:dxf>
          </x14:cfRule>
          <xm:sqref>AT83:BH83</xm:sqref>
        </x14:conditionalFormatting>
        <x14:conditionalFormatting xmlns:xm="http://schemas.microsoft.com/office/excel/2006/main">
          <x14:cfRule type="expression" priority="4694521" id="{97B30B86-8311-4DC0-A533-8C0D53F37839}">
            <xm:f>$BH$4='Data entry'!$R32</xm:f>
            <x14:dxf>
              <fill>
                <patternFill>
                  <bgColor rgb="FFFF0000"/>
                </patternFill>
              </fill>
            </x14:dxf>
          </x14:cfRule>
          <xm:sqref>BF84:BR84</xm:sqref>
        </x14:conditionalFormatting>
        <x14:conditionalFormatting xmlns:xm="http://schemas.microsoft.com/office/excel/2006/main">
          <x14:cfRule type="expression" priority="4694522" id="{78344C0C-5AEA-40B1-A20C-6D77DF58E1F5}">
            <xm:f>$BI$4='Data entry'!$R32</xm:f>
            <x14:dxf>
              <fill>
                <patternFill>
                  <bgColor rgb="FFFFFF00"/>
                </patternFill>
              </fill>
            </x14:dxf>
          </x14:cfRule>
          <xm:sqref>AU83:BI83</xm:sqref>
        </x14:conditionalFormatting>
        <x14:conditionalFormatting xmlns:xm="http://schemas.microsoft.com/office/excel/2006/main">
          <x14:cfRule type="expression" priority="4694523" id="{A9CE044F-482E-4F25-B28F-89ACC58502B1}">
            <xm:f>$BI$4='Data entry'!$R32</xm:f>
            <x14:dxf>
              <fill>
                <patternFill>
                  <bgColor rgb="FFFF0000"/>
                </patternFill>
              </fill>
            </x14:dxf>
          </x14:cfRule>
          <xm:sqref>BG84:BS84</xm:sqref>
        </x14:conditionalFormatting>
        <x14:conditionalFormatting xmlns:xm="http://schemas.microsoft.com/office/excel/2006/main">
          <x14:cfRule type="expression" priority="4694524" id="{F63BE0EB-3C71-4456-BEF0-11180AB7A8BB}">
            <xm:f>$BJ$4='Data entry'!$R32</xm:f>
            <x14:dxf>
              <fill>
                <patternFill>
                  <bgColor rgb="FFFFFF00"/>
                </patternFill>
              </fill>
            </x14:dxf>
          </x14:cfRule>
          <xm:sqref>AV83:BJ83</xm:sqref>
        </x14:conditionalFormatting>
        <x14:conditionalFormatting xmlns:xm="http://schemas.microsoft.com/office/excel/2006/main">
          <x14:cfRule type="expression" priority="4694525" id="{478A5DCB-1DAA-4497-A6CC-B4F01FB96D10}">
            <xm:f>$BJ$4='Data entry'!$R32</xm:f>
            <x14:dxf>
              <fill>
                <patternFill>
                  <bgColor rgb="FFFF0000"/>
                </patternFill>
              </fill>
            </x14:dxf>
          </x14:cfRule>
          <xm:sqref>BH84:BT84</xm:sqref>
        </x14:conditionalFormatting>
        <x14:conditionalFormatting xmlns:xm="http://schemas.microsoft.com/office/excel/2006/main">
          <x14:cfRule type="expression" priority="4694526" id="{CDE4AD5B-65A6-4FA4-9EC0-8D05F22312A9}">
            <xm:f>$BK$4='Data entry'!$R32</xm:f>
            <x14:dxf>
              <fill>
                <patternFill>
                  <bgColor rgb="FFFF0000"/>
                </patternFill>
              </fill>
            </x14:dxf>
          </x14:cfRule>
          <xm:sqref>BI84:BU84</xm:sqref>
        </x14:conditionalFormatting>
        <x14:conditionalFormatting xmlns:xm="http://schemas.microsoft.com/office/excel/2006/main">
          <x14:cfRule type="expression" priority="4694527" id="{AB32E790-6CD8-4D11-9A69-57D785FE4BBC}">
            <xm:f>$BK$4='Data entry'!$R32</xm:f>
            <x14:dxf>
              <fill>
                <patternFill>
                  <bgColor rgb="FFFFFF00"/>
                </patternFill>
              </fill>
            </x14:dxf>
          </x14:cfRule>
          <xm:sqref>AW83:BK83</xm:sqref>
        </x14:conditionalFormatting>
        <x14:conditionalFormatting xmlns:xm="http://schemas.microsoft.com/office/excel/2006/main">
          <x14:cfRule type="expression" priority="4694528" id="{99810EB9-805C-43D8-852A-EEECE7874CDB}">
            <xm:f>$BL$4='Data entry'!$R32</xm:f>
            <x14:dxf>
              <fill>
                <patternFill>
                  <bgColor rgb="FFFF0000"/>
                </patternFill>
              </fill>
            </x14:dxf>
          </x14:cfRule>
          <xm:sqref>BJ84:BV84</xm:sqref>
        </x14:conditionalFormatting>
        <x14:conditionalFormatting xmlns:xm="http://schemas.microsoft.com/office/excel/2006/main">
          <x14:cfRule type="expression" priority="4694529" id="{BF5F5475-4E46-479C-97A6-D5175F5D1803}">
            <xm:f>$BL$4='Data entry'!$R32</xm:f>
            <x14:dxf>
              <fill>
                <patternFill>
                  <bgColor rgb="FFFFFF00"/>
                </patternFill>
              </fill>
            </x14:dxf>
          </x14:cfRule>
          <xm:sqref>AX83:BL83</xm:sqref>
        </x14:conditionalFormatting>
        <x14:conditionalFormatting xmlns:xm="http://schemas.microsoft.com/office/excel/2006/main">
          <x14:cfRule type="expression" priority="4694530" id="{B86FDF2F-16C9-46B1-847E-7EA1A8A34B9D}">
            <xm:f>$BM$4='Data entry'!$R32</xm:f>
            <x14:dxf>
              <fill>
                <patternFill>
                  <bgColor rgb="FFFF0000"/>
                </patternFill>
              </fill>
            </x14:dxf>
          </x14:cfRule>
          <xm:sqref>BK84:BW84</xm:sqref>
        </x14:conditionalFormatting>
        <x14:conditionalFormatting xmlns:xm="http://schemas.microsoft.com/office/excel/2006/main">
          <x14:cfRule type="expression" priority="4694531" id="{72FD189F-4CED-400D-9FEF-21A328970A4D}">
            <xm:f>$BM$4='Data entry'!$R32</xm:f>
            <x14:dxf>
              <fill>
                <patternFill>
                  <bgColor rgb="FFFFFF00"/>
                </patternFill>
              </fill>
            </x14:dxf>
          </x14:cfRule>
          <xm:sqref>AY83:BM83</xm:sqref>
        </x14:conditionalFormatting>
        <x14:conditionalFormatting xmlns:xm="http://schemas.microsoft.com/office/excel/2006/main">
          <x14:cfRule type="expression" priority="4694532" id="{BBBBF859-D5A7-4F55-BFBF-8A77E3357590}">
            <xm:f>$BN$4='Data entry'!$R32</xm:f>
            <x14:dxf>
              <fill>
                <patternFill>
                  <bgColor rgb="FFFF0000"/>
                </patternFill>
              </fill>
            </x14:dxf>
          </x14:cfRule>
          <xm:sqref>BL84:BX84</xm:sqref>
        </x14:conditionalFormatting>
        <x14:conditionalFormatting xmlns:xm="http://schemas.microsoft.com/office/excel/2006/main">
          <x14:cfRule type="expression" priority="4694533" id="{50CB1D75-0FD5-4D24-92B1-E8A41DC6575C}">
            <xm:f>$BN$4='Data entry'!$R32</xm:f>
            <x14:dxf>
              <fill>
                <patternFill>
                  <bgColor rgb="FFFFFF00"/>
                </patternFill>
              </fill>
            </x14:dxf>
          </x14:cfRule>
          <xm:sqref>AZ83:BN83</xm:sqref>
        </x14:conditionalFormatting>
        <x14:conditionalFormatting xmlns:xm="http://schemas.microsoft.com/office/excel/2006/main">
          <x14:cfRule type="expression" priority="4694534" id="{9EF3226D-E8FC-496B-A6FF-71776AEA54D1}">
            <xm:f>$BO$4='Data entry'!$R32</xm:f>
            <x14:dxf>
              <fill>
                <patternFill>
                  <bgColor rgb="FFFF0000"/>
                </patternFill>
              </fill>
            </x14:dxf>
          </x14:cfRule>
          <xm:sqref>BM84:BY84</xm:sqref>
        </x14:conditionalFormatting>
        <x14:conditionalFormatting xmlns:xm="http://schemas.microsoft.com/office/excel/2006/main">
          <x14:cfRule type="expression" priority="4694535" id="{3B86C801-ECFE-4D05-8AA5-1581116BAFBC}">
            <xm:f>$BO$4='Data entry'!$R32</xm:f>
            <x14:dxf>
              <fill>
                <patternFill>
                  <bgColor rgb="FFFFFF00"/>
                </patternFill>
              </fill>
            </x14:dxf>
          </x14:cfRule>
          <xm:sqref>BA83:BO83</xm:sqref>
        </x14:conditionalFormatting>
        <x14:conditionalFormatting xmlns:xm="http://schemas.microsoft.com/office/excel/2006/main">
          <x14:cfRule type="expression" priority="4694536" id="{058A23EC-3371-4A02-9F20-1ECA603AC6BC}">
            <xm:f>$BP$4='Data entry'!$R32</xm:f>
            <x14:dxf>
              <fill>
                <patternFill>
                  <bgColor rgb="FFFF0000"/>
                </patternFill>
              </fill>
            </x14:dxf>
          </x14:cfRule>
          <xm:sqref>BN84:BZ84</xm:sqref>
        </x14:conditionalFormatting>
        <x14:conditionalFormatting xmlns:xm="http://schemas.microsoft.com/office/excel/2006/main">
          <x14:cfRule type="expression" priority="4694537" id="{3E711E31-3992-4555-AB22-87133D60CD15}">
            <xm:f>$BP$4='Data entry'!$R32</xm:f>
            <x14:dxf>
              <fill>
                <patternFill>
                  <bgColor rgb="FFFFFF00"/>
                </patternFill>
              </fill>
            </x14:dxf>
          </x14:cfRule>
          <xm:sqref>BB83:BP83</xm:sqref>
        </x14:conditionalFormatting>
        <x14:conditionalFormatting xmlns:xm="http://schemas.microsoft.com/office/excel/2006/main">
          <x14:cfRule type="expression" priority="4694538" id="{23E9F8B9-37D5-4730-9453-6F23E8ECBBE3}">
            <xm:f>$BQ$4='Data entry'!$R32</xm:f>
            <x14:dxf>
              <fill>
                <patternFill>
                  <bgColor rgb="FFFFFF00"/>
                </patternFill>
              </fill>
            </x14:dxf>
          </x14:cfRule>
          <xm:sqref>BC83:BQ83</xm:sqref>
        </x14:conditionalFormatting>
        <x14:conditionalFormatting xmlns:xm="http://schemas.microsoft.com/office/excel/2006/main">
          <x14:cfRule type="expression" priority="4694539" id="{BCFD92F6-AAD3-44FD-BC61-A292A81B883E}">
            <xm:f>$BQ$4='Data entry'!$R32</xm:f>
            <x14:dxf>
              <fill>
                <patternFill>
                  <bgColor rgb="FFFF0000"/>
                </patternFill>
              </fill>
            </x14:dxf>
          </x14:cfRule>
          <xm:sqref>BO84:CA84</xm:sqref>
        </x14:conditionalFormatting>
        <x14:conditionalFormatting xmlns:xm="http://schemas.microsoft.com/office/excel/2006/main">
          <x14:cfRule type="expression" priority="4694540" id="{357D60E5-F356-477E-8020-A18F42C02832}">
            <xm:f>$BR$4='Data entry'!$R32</xm:f>
            <x14:dxf>
              <fill>
                <patternFill>
                  <bgColor rgb="FFFFFF00"/>
                </patternFill>
              </fill>
            </x14:dxf>
          </x14:cfRule>
          <xm:sqref>BD83:BR83</xm:sqref>
        </x14:conditionalFormatting>
        <x14:conditionalFormatting xmlns:xm="http://schemas.microsoft.com/office/excel/2006/main">
          <x14:cfRule type="expression" priority="4694541" id="{DA2B6511-43B3-432D-B6AA-1DB1188B90A6}">
            <xm:f>$BR$4='Data entry'!$R32</xm:f>
            <x14:dxf>
              <fill>
                <patternFill>
                  <bgColor rgb="FFFF0000"/>
                </patternFill>
              </fill>
            </x14:dxf>
          </x14:cfRule>
          <xm:sqref>BP84:CB84</xm:sqref>
        </x14:conditionalFormatting>
        <x14:conditionalFormatting xmlns:xm="http://schemas.microsoft.com/office/excel/2006/main">
          <x14:cfRule type="expression" priority="4694542" id="{0D5F64E4-4136-4BFA-B833-CC8578525D9C}">
            <xm:f>$BS$4='Data entry'!$R32</xm:f>
            <x14:dxf>
              <fill>
                <patternFill>
                  <bgColor rgb="FFFFFF00"/>
                </patternFill>
              </fill>
            </x14:dxf>
          </x14:cfRule>
          <xm:sqref>BE83:BS83</xm:sqref>
        </x14:conditionalFormatting>
        <x14:conditionalFormatting xmlns:xm="http://schemas.microsoft.com/office/excel/2006/main">
          <x14:cfRule type="expression" priority="4694543" id="{AC94D468-F078-4AE2-8771-102996E07B09}">
            <xm:f>$BS$4='Data entry'!$R32</xm:f>
            <x14:dxf>
              <fill>
                <patternFill>
                  <bgColor rgb="FFFF0000"/>
                </patternFill>
              </fill>
            </x14:dxf>
          </x14:cfRule>
          <xm:sqref>BQ84:CC84</xm:sqref>
        </x14:conditionalFormatting>
        <x14:conditionalFormatting xmlns:xm="http://schemas.microsoft.com/office/excel/2006/main">
          <x14:cfRule type="expression" priority="4694544" id="{10E78F76-181E-4F19-9F89-7DD36D3EFE30}">
            <xm:f>$BT$4='Data entry'!$R32</xm:f>
            <x14:dxf>
              <fill>
                <patternFill>
                  <bgColor rgb="FFFFFF00"/>
                </patternFill>
              </fill>
            </x14:dxf>
          </x14:cfRule>
          <xm:sqref>BF83:BT83</xm:sqref>
        </x14:conditionalFormatting>
        <x14:conditionalFormatting xmlns:xm="http://schemas.microsoft.com/office/excel/2006/main">
          <x14:cfRule type="expression" priority="4694545" id="{6A5FADC6-9512-4EFB-90A5-7B5244D10D1F}">
            <xm:f>$BT$4='Data entry'!$R32</xm:f>
            <x14:dxf>
              <fill>
                <patternFill>
                  <bgColor rgb="FFFF0000"/>
                </patternFill>
              </fill>
            </x14:dxf>
          </x14:cfRule>
          <xm:sqref>BR84:CC84</xm:sqref>
        </x14:conditionalFormatting>
        <x14:conditionalFormatting xmlns:xm="http://schemas.microsoft.com/office/excel/2006/main">
          <x14:cfRule type="expression" priority="4694546" id="{A51139D1-8841-4B96-B8CB-DFE3808765CF}">
            <xm:f>$BU$4='Data entry'!$R32</xm:f>
            <x14:dxf>
              <fill>
                <patternFill>
                  <bgColor rgb="FFFFFF00"/>
                </patternFill>
              </fill>
            </x14:dxf>
          </x14:cfRule>
          <xm:sqref>BG83:BU83</xm:sqref>
        </x14:conditionalFormatting>
        <x14:conditionalFormatting xmlns:xm="http://schemas.microsoft.com/office/excel/2006/main">
          <x14:cfRule type="expression" priority="4694547" id="{55CA7258-760F-4BFF-ACB5-A70FEB3E7981}">
            <xm:f>$BU$4='Data entry'!$R32</xm:f>
            <x14:dxf>
              <fill>
                <patternFill>
                  <bgColor rgb="FFFF0000"/>
                </patternFill>
              </fill>
            </x14:dxf>
          </x14:cfRule>
          <xm:sqref>BS84:CC84</xm:sqref>
        </x14:conditionalFormatting>
        <x14:conditionalFormatting xmlns:xm="http://schemas.microsoft.com/office/excel/2006/main">
          <x14:cfRule type="expression" priority="4694548" id="{A922B218-64DB-4CBB-9AB8-FE0EBB44E09E}">
            <xm:f>$BV$4='Data entry'!$R32</xm:f>
            <x14:dxf>
              <fill>
                <patternFill>
                  <bgColor rgb="FFFFFF00"/>
                </patternFill>
              </fill>
            </x14:dxf>
          </x14:cfRule>
          <xm:sqref>BH83:BV83</xm:sqref>
        </x14:conditionalFormatting>
        <x14:conditionalFormatting xmlns:xm="http://schemas.microsoft.com/office/excel/2006/main">
          <x14:cfRule type="expression" priority="4694549" id="{C98E908A-CD31-4778-B41C-7AFB9DBE639A}">
            <xm:f>$BV$4='Data entry'!$R32</xm:f>
            <x14:dxf>
              <fill>
                <patternFill>
                  <bgColor rgb="FFFF0000"/>
                </patternFill>
              </fill>
            </x14:dxf>
          </x14:cfRule>
          <xm:sqref>BT84:CC84</xm:sqref>
        </x14:conditionalFormatting>
        <x14:conditionalFormatting xmlns:xm="http://schemas.microsoft.com/office/excel/2006/main">
          <x14:cfRule type="expression" priority="4694550" id="{465CCCA3-B4DB-4B61-8AC7-8A5E4CEC9E3F}">
            <xm:f>$BW$4='Data entry'!$R32</xm:f>
            <x14:dxf>
              <fill>
                <patternFill>
                  <bgColor rgb="FFFFFF00"/>
                </patternFill>
              </fill>
            </x14:dxf>
          </x14:cfRule>
          <xm:sqref>BI83:BW83</xm:sqref>
        </x14:conditionalFormatting>
        <x14:conditionalFormatting xmlns:xm="http://schemas.microsoft.com/office/excel/2006/main">
          <x14:cfRule type="expression" priority="4694551" id="{37566F97-6D06-400B-A709-FE657B07687F}">
            <xm:f>$BW$4='Data entry'!$R32</xm:f>
            <x14:dxf>
              <fill>
                <patternFill>
                  <bgColor rgb="FFFF0000"/>
                </patternFill>
              </fill>
            </x14:dxf>
          </x14:cfRule>
          <xm:sqref>BU84:CC84</xm:sqref>
        </x14:conditionalFormatting>
        <x14:conditionalFormatting xmlns:xm="http://schemas.microsoft.com/office/excel/2006/main">
          <x14:cfRule type="expression" priority="4694552" id="{D8FBA3AC-5CF0-4E45-97CA-1D4DEE729ADA}">
            <xm:f>$BX$4='Data entry'!$R32</xm:f>
            <x14:dxf>
              <fill>
                <patternFill>
                  <bgColor rgb="FFFFFF00"/>
                </patternFill>
              </fill>
            </x14:dxf>
          </x14:cfRule>
          <xm:sqref>BJ83:BX83</xm:sqref>
        </x14:conditionalFormatting>
        <x14:conditionalFormatting xmlns:xm="http://schemas.microsoft.com/office/excel/2006/main">
          <x14:cfRule type="expression" priority="4694553" id="{E077C84B-A94F-431D-B232-4AFCC7C64F54}">
            <xm:f>$BX$4='Data entry'!$R32</xm:f>
            <x14:dxf>
              <fill>
                <patternFill>
                  <bgColor rgb="FFFF0000"/>
                </patternFill>
              </fill>
            </x14:dxf>
          </x14:cfRule>
          <xm:sqref>BV84:CC84</xm:sqref>
        </x14:conditionalFormatting>
        <x14:conditionalFormatting xmlns:xm="http://schemas.microsoft.com/office/excel/2006/main">
          <x14:cfRule type="expression" priority="4694554" id="{63783BA8-0C97-4A44-86FD-7A2BCF1B9957}">
            <xm:f>$BY$4='Data entry'!$R32</xm:f>
            <x14:dxf>
              <fill>
                <patternFill>
                  <bgColor rgb="FFFFFF00"/>
                </patternFill>
              </fill>
            </x14:dxf>
          </x14:cfRule>
          <xm:sqref>BK83:BY83</xm:sqref>
        </x14:conditionalFormatting>
        <x14:conditionalFormatting xmlns:xm="http://schemas.microsoft.com/office/excel/2006/main">
          <x14:cfRule type="expression" priority="4694555" id="{BB8DB8B4-B71B-46D2-AEE7-346F16103F74}">
            <xm:f>$BY$4='Data entry'!$R32</xm:f>
            <x14:dxf>
              <fill>
                <patternFill>
                  <bgColor rgb="FFFF0000"/>
                </patternFill>
              </fill>
            </x14:dxf>
          </x14:cfRule>
          <xm:sqref>BW84:CC84</xm:sqref>
        </x14:conditionalFormatting>
        <x14:conditionalFormatting xmlns:xm="http://schemas.microsoft.com/office/excel/2006/main">
          <x14:cfRule type="expression" priority="4694556" id="{1B638B98-2B06-4FEB-90C1-446A3E0A3979}">
            <xm:f>$BZ$4='Data entry'!$R32</xm:f>
            <x14:dxf>
              <fill>
                <patternFill>
                  <bgColor rgb="FFFFFF00"/>
                </patternFill>
              </fill>
            </x14:dxf>
          </x14:cfRule>
          <xm:sqref>BL83:BZ83</xm:sqref>
        </x14:conditionalFormatting>
        <x14:conditionalFormatting xmlns:xm="http://schemas.microsoft.com/office/excel/2006/main">
          <x14:cfRule type="expression" priority="4694557" id="{D3A0A2F8-D1B2-4DC5-B2A9-0EF53074E685}">
            <xm:f>$BZ$4='Data entry'!$R32</xm:f>
            <x14:dxf>
              <fill>
                <patternFill>
                  <bgColor rgb="FFFF0000"/>
                </patternFill>
              </fill>
            </x14:dxf>
          </x14:cfRule>
          <xm:sqref>BX84:CC84</xm:sqref>
        </x14:conditionalFormatting>
        <x14:conditionalFormatting xmlns:xm="http://schemas.microsoft.com/office/excel/2006/main">
          <x14:cfRule type="expression" priority="4694558" id="{83F6D018-7D3B-4D33-9998-11572F2F2FF5}">
            <xm:f>$CA$4='Data entry'!$R32</xm:f>
            <x14:dxf>
              <fill>
                <patternFill>
                  <bgColor rgb="FFFFFF00"/>
                </patternFill>
              </fill>
            </x14:dxf>
          </x14:cfRule>
          <xm:sqref>BM83:CA83</xm:sqref>
        </x14:conditionalFormatting>
        <x14:conditionalFormatting xmlns:xm="http://schemas.microsoft.com/office/excel/2006/main">
          <x14:cfRule type="expression" priority="4694559" id="{8E6D0B51-5626-4ED9-9072-C7A2C139704F}">
            <xm:f>$CA$4='Data entry'!$R32</xm:f>
            <x14:dxf>
              <fill>
                <patternFill>
                  <bgColor rgb="FFFF0000"/>
                </patternFill>
              </fill>
            </x14:dxf>
          </x14:cfRule>
          <xm:sqref>BY84:CC84</xm:sqref>
        </x14:conditionalFormatting>
        <x14:conditionalFormatting xmlns:xm="http://schemas.microsoft.com/office/excel/2006/main">
          <x14:cfRule type="expression" priority="4694560" id="{E1886EE4-3BDE-43A9-9F4B-79377FEC37FE}">
            <xm:f>$CB$4='Data entry'!$R32</xm:f>
            <x14:dxf>
              <fill>
                <patternFill>
                  <bgColor rgb="FFFFFF00"/>
                </patternFill>
              </fill>
            </x14:dxf>
          </x14:cfRule>
          <xm:sqref>BN83:CB83</xm:sqref>
        </x14:conditionalFormatting>
        <x14:conditionalFormatting xmlns:xm="http://schemas.microsoft.com/office/excel/2006/main">
          <x14:cfRule type="expression" priority="4694561" id="{ADEF572A-6C18-4602-BB86-01C96D36E07E}">
            <xm:f>$CB$4='Data entry'!$R32</xm:f>
            <x14:dxf>
              <fill>
                <patternFill>
                  <bgColor rgb="FFFF0000"/>
                </patternFill>
              </fill>
            </x14:dxf>
          </x14:cfRule>
          <xm:sqref>BZ84:CC84</xm:sqref>
        </x14:conditionalFormatting>
        <x14:conditionalFormatting xmlns:xm="http://schemas.microsoft.com/office/excel/2006/main">
          <x14:cfRule type="expression" priority="4694562" id="{7984E1C9-E073-4955-8543-62145CB6D008}">
            <xm:f>$CC$4='Data entry'!$R32</xm:f>
            <x14:dxf>
              <fill>
                <patternFill>
                  <bgColor rgb="FFFFFF00"/>
                </patternFill>
              </fill>
            </x14:dxf>
          </x14:cfRule>
          <xm:sqref>BO83:CC83</xm:sqref>
        </x14:conditionalFormatting>
        <x14:conditionalFormatting xmlns:xm="http://schemas.microsoft.com/office/excel/2006/main">
          <x14:cfRule type="expression" priority="4694563" id="{18A957B3-59FA-4698-BA92-2A208FF18E2F}">
            <xm:f>$CC$4='Data entry'!$R32</xm:f>
            <x14:dxf>
              <fill>
                <patternFill>
                  <bgColor rgb="FFFF0000"/>
                </patternFill>
              </fill>
            </x14:dxf>
          </x14:cfRule>
          <xm:sqref>CA84:CC84</xm:sqref>
        </x14:conditionalFormatting>
        <x14:conditionalFormatting xmlns:xm="http://schemas.microsoft.com/office/excel/2006/main">
          <x14:cfRule type="expression" priority="4694650" id="{5B0DB825-B7C2-40AC-B7EF-F267F054CFB9}">
            <xm:f>$U$4='Data entry'!$R33</xm:f>
            <x14:dxf>
              <fill>
                <patternFill>
                  <bgColor rgb="FFFF0000"/>
                </patternFill>
              </fill>
            </x14:dxf>
          </x14:cfRule>
          <xm:sqref>S87:AE87</xm:sqref>
        </x14:conditionalFormatting>
        <x14:conditionalFormatting xmlns:xm="http://schemas.microsoft.com/office/excel/2006/main">
          <x14:cfRule type="expression" priority="4694651" id="{18311200-E2BB-400F-B594-3B9A2C6068C2}">
            <xm:f>$V$4='Data entry'!$R33</xm:f>
            <x14:dxf>
              <fill>
                <patternFill>
                  <bgColor rgb="FFFF0000"/>
                </patternFill>
              </fill>
            </x14:dxf>
          </x14:cfRule>
          <xm:sqref>T87:AF87</xm:sqref>
        </x14:conditionalFormatting>
        <x14:conditionalFormatting xmlns:xm="http://schemas.microsoft.com/office/excel/2006/main">
          <x14:cfRule type="expression" priority="4694652" id="{D6DFB621-1A58-4C59-A987-ECAD0EB2D32B}">
            <xm:f>$V$4='Data entry'!$R33</xm:f>
            <x14:dxf>
              <fill>
                <patternFill>
                  <bgColor rgb="FFFFFF00"/>
                </patternFill>
              </fill>
            </x14:dxf>
          </x14:cfRule>
          <xm:sqref>H86:V86</xm:sqref>
        </x14:conditionalFormatting>
        <x14:conditionalFormatting xmlns:xm="http://schemas.microsoft.com/office/excel/2006/main">
          <x14:cfRule type="expression" priority="4694653" id="{5F87A680-DC5F-433D-A779-B7A534ACCDA9}">
            <xm:f>$W$4='Data entry'!$R33</xm:f>
            <x14:dxf>
              <fill>
                <patternFill>
                  <bgColor rgb="FFFF0000"/>
                </patternFill>
              </fill>
            </x14:dxf>
          </x14:cfRule>
          <xm:sqref>U87:AG87</xm:sqref>
        </x14:conditionalFormatting>
        <x14:conditionalFormatting xmlns:xm="http://schemas.microsoft.com/office/excel/2006/main">
          <x14:cfRule type="expression" priority="4694654" id="{964539FF-A92C-4F68-B268-B7157A32678C}">
            <xm:f>$W$4='Data entry'!$R33</xm:f>
            <x14:dxf>
              <fill>
                <patternFill>
                  <bgColor rgb="FFFFFF00"/>
                </patternFill>
              </fill>
            </x14:dxf>
          </x14:cfRule>
          <xm:sqref>I86:W86</xm:sqref>
        </x14:conditionalFormatting>
        <x14:conditionalFormatting xmlns:xm="http://schemas.microsoft.com/office/excel/2006/main">
          <x14:cfRule type="expression" priority="4694655" id="{46C1533A-F090-4A90-9309-3F59EC3FD3B0}">
            <xm:f>$X$4='Data entry'!$R33</xm:f>
            <x14:dxf>
              <fill>
                <patternFill>
                  <bgColor rgb="FFFF0000"/>
                </patternFill>
              </fill>
            </x14:dxf>
          </x14:cfRule>
          <xm:sqref>V87:AH87</xm:sqref>
        </x14:conditionalFormatting>
        <x14:conditionalFormatting xmlns:xm="http://schemas.microsoft.com/office/excel/2006/main">
          <x14:cfRule type="expression" priority="4694656" id="{7C70E81C-DDD4-4D75-933A-4F6A39893184}">
            <xm:f>$X$4='Data entry'!$R33</xm:f>
            <x14:dxf>
              <fill>
                <patternFill>
                  <bgColor rgb="FFFFFF00"/>
                </patternFill>
              </fill>
            </x14:dxf>
          </x14:cfRule>
          <xm:sqref>J86:X86</xm:sqref>
        </x14:conditionalFormatting>
        <x14:conditionalFormatting xmlns:xm="http://schemas.microsoft.com/office/excel/2006/main">
          <x14:cfRule type="expression" priority="4694657" id="{561AF073-0EF8-4B72-A119-40A639C4359D}">
            <xm:f>$Y$4='Data entry'!$R33</xm:f>
            <x14:dxf>
              <fill>
                <patternFill>
                  <bgColor rgb="FFFF0000"/>
                </patternFill>
              </fill>
            </x14:dxf>
          </x14:cfRule>
          <xm:sqref>W87:AI87</xm:sqref>
        </x14:conditionalFormatting>
        <x14:conditionalFormatting xmlns:xm="http://schemas.microsoft.com/office/excel/2006/main">
          <x14:cfRule type="expression" priority="4694658" id="{F242E808-8F07-4A89-9524-7D4C767CE357}">
            <xm:f>$Y$4='Data entry'!$R33</xm:f>
            <x14:dxf>
              <fill>
                <patternFill>
                  <bgColor rgb="FFFFFF00"/>
                </patternFill>
              </fill>
            </x14:dxf>
          </x14:cfRule>
          <xm:sqref>K86:Y86</xm:sqref>
        </x14:conditionalFormatting>
        <x14:conditionalFormatting xmlns:xm="http://schemas.microsoft.com/office/excel/2006/main">
          <x14:cfRule type="expression" priority="4694659" id="{DD601058-982B-4218-BD9D-64BB823C2633}">
            <xm:f>$Z$4='Data entry'!$R33</xm:f>
            <x14:dxf>
              <fill>
                <patternFill>
                  <bgColor rgb="FFFF0000"/>
                </patternFill>
              </fill>
            </x14:dxf>
          </x14:cfRule>
          <xm:sqref>X87:AJ87</xm:sqref>
        </x14:conditionalFormatting>
        <x14:conditionalFormatting xmlns:xm="http://schemas.microsoft.com/office/excel/2006/main">
          <x14:cfRule type="expression" priority="4694660" id="{C9DB141D-79F6-4093-92A3-7BF7A1622985}">
            <xm:f>$Z$4='Data entry'!$R33</xm:f>
            <x14:dxf>
              <fill>
                <patternFill>
                  <bgColor rgb="FFFFFF00"/>
                </patternFill>
              </fill>
            </x14:dxf>
          </x14:cfRule>
          <xm:sqref>L86:Z86</xm:sqref>
        </x14:conditionalFormatting>
        <x14:conditionalFormatting xmlns:xm="http://schemas.microsoft.com/office/excel/2006/main">
          <x14:cfRule type="expression" priority="4694661" id="{710EB8D3-F5C0-4E3C-8214-2D0C4E26F649}">
            <xm:f>$AA$4='Data entry'!$R33</xm:f>
            <x14:dxf>
              <fill>
                <patternFill>
                  <bgColor rgb="FFFF0000"/>
                </patternFill>
              </fill>
            </x14:dxf>
          </x14:cfRule>
          <xm:sqref>Y87:AK87</xm:sqref>
        </x14:conditionalFormatting>
        <x14:conditionalFormatting xmlns:xm="http://schemas.microsoft.com/office/excel/2006/main">
          <x14:cfRule type="expression" priority="4694662" id="{33825D69-C967-4D27-B395-5D44A3083802}">
            <xm:f>$AA$4='Data entry'!$R33</xm:f>
            <x14:dxf>
              <fill>
                <patternFill>
                  <bgColor rgb="FFFFFF00"/>
                </patternFill>
              </fill>
            </x14:dxf>
          </x14:cfRule>
          <xm:sqref>M86:AA86</xm:sqref>
        </x14:conditionalFormatting>
        <x14:conditionalFormatting xmlns:xm="http://schemas.microsoft.com/office/excel/2006/main">
          <x14:cfRule type="expression" priority="4694663" id="{9811A97D-351B-4D32-8754-AF433277E62B}">
            <xm:f>$AB$4='Data entry'!$R33</xm:f>
            <x14:dxf>
              <fill>
                <patternFill>
                  <bgColor rgb="FFFF0000"/>
                </patternFill>
              </fill>
            </x14:dxf>
          </x14:cfRule>
          <xm:sqref>Z87:AL87</xm:sqref>
        </x14:conditionalFormatting>
        <x14:conditionalFormatting xmlns:xm="http://schemas.microsoft.com/office/excel/2006/main">
          <x14:cfRule type="expression" priority="4694664" id="{6DD3E556-C72E-438B-92DA-3096ED1E4178}">
            <xm:f>$AB$4='Data entry'!$R33</xm:f>
            <x14:dxf>
              <fill>
                <patternFill>
                  <bgColor rgb="FFFFFF00"/>
                </patternFill>
              </fill>
            </x14:dxf>
          </x14:cfRule>
          <xm:sqref>N86:AB86</xm:sqref>
        </x14:conditionalFormatting>
        <x14:conditionalFormatting xmlns:xm="http://schemas.microsoft.com/office/excel/2006/main">
          <x14:cfRule type="expression" priority="4694665" id="{C0DF7A1B-D6BC-4371-BD3A-F0708147FA1C}">
            <xm:f>$AC$4='Data entry'!$R33</xm:f>
            <x14:dxf>
              <fill>
                <patternFill>
                  <bgColor rgb="FFFF0000"/>
                </patternFill>
              </fill>
            </x14:dxf>
          </x14:cfRule>
          <xm:sqref>AA87:AM87</xm:sqref>
        </x14:conditionalFormatting>
        <x14:conditionalFormatting xmlns:xm="http://schemas.microsoft.com/office/excel/2006/main">
          <x14:cfRule type="expression" priority="4694666" id="{DB2E1F48-AF0E-41F9-A976-6B1963CA5711}">
            <xm:f>$AC$4='Data entry'!$R33</xm:f>
            <x14:dxf>
              <fill>
                <patternFill>
                  <bgColor rgb="FFFFFF00"/>
                </patternFill>
              </fill>
            </x14:dxf>
          </x14:cfRule>
          <xm:sqref>O86:AC86</xm:sqref>
        </x14:conditionalFormatting>
        <x14:conditionalFormatting xmlns:xm="http://schemas.microsoft.com/office/excel/2006/main">
          <x14:cfRule type="expression" priority="4694667" id="{89909907-F9A9-4AF9-BC1D-304710A43F50}">
            <xm:f>$AD$4='Data entry'!$R33</xm:f>
            <x14:dxf>
              <fill>
                <patternFill>
                  <bgColor rgb="FFFF0000"/>
                </patternFill>
              </fill>
            </x14:dxf>
          </x14:cfRule>
          <xm:sqref>AB87:AN87</xm:sqref>
        </x14:conditionalFormatting>
        <x14:conditionalFormatting xmlns:xm="http://schemas.microsoft.com/office/excel/2006/main">
          <x14:cfRule type="expression" priority="4694668" id="{729676B7-E331-43A4-ACC9-850DCEE76A0E}">
            <xm:f>$AD$4='Data entry'!$R33</xm:f>
            <x14:dxf>
              <fill>
                <patternFill>
                  <bgColor rgb="FFFFFF00"/>
                </patternFill>
              </fill>
            </x14:dxf>
          </x14:cfRule>
          <xm:sqref>P86:AD86</xm:sqref>
        </x14:conditionalFormatting>
        <x14:conditionalFormatting xmlns:xm="http://schemas.microsoft.com/office/excel/2006/main">
          <x14:cfRule type="expression" priority="4694669" id="{00DA2C55-350E-44AA-ABEA-808FABFDA737}">
            <xm:f>$AE$4='Data entry'!$R33</xm:f>
            <x14:dxf>
              <fill>
                <patternFill>
                  <bgColor rgb="FFFF0000"/>
                </patternFill>
              </fill>
            </x14:dxf>
          </x14:cfRule>
          <xm:sqref>AC87:AO87</xm:sqref>
        </x14:conditionalFormatting>
        <x14:conditionalFormatting xmlns:xm="http://schemas.microsoft.com/office/excel/2006/main">
          <x14:cfRule type="expression" priority="4694670" id="{373C95F1-00C1-45E9-B561-5224945BA4A4}">
            <xm:f>$AE$4='Data entry'!$R33</xm:f>
            <x14:dxf>
              <fill>
                <patternFill>
                  <bgColor rgb="FFFFFF00"/>
                </patternFill>
              </fill>
            </x14:dxf>
          </x14:cfRule>
          <xm:sqref>Q86:AE86</xm:sqref>
        </x14:conditionalFormatting>
        <x14:conditionalFormatting xmlns:xm="http://schemas.microsoft.com/office/excel/2006/main">
          <x14:cfRule type="expression" priority="4694671" id="{65E90E74-6BEF-4B00-BD5E-ECACFEBC225A}">
            <xm:f>$AF$4='Data entry'!$R33</xm:f>
            <x14:dxf>
              <fill>
                <patternFill>
                  <bgColor rgb="FFFF0000"/>
                </patternFill>
              </fill>
            </x14:dxf>
          </x14:cfRule>
          <xm:sqref>AD87:AP87</xm:sqref>
        </x14:conditionalFormatting>
        <x14:conditionalFormatting xmlns:xm="http://schemas.microsoft.com/office/excel/2006/main">
          <x14:cfRule type="expression" priority="4694672" id="{56B519D7-E083-4811-B42B-D6CB10D44BB3}">
            <xm:f>$AF$4='Data entry'!$R33</xm:f>
            <x14:dxf>
              <fill>
                <patternFill>
                  <bgColor rgb="FFFFFF00"/>
                </patternFill>
              </fill>
            </x14:dxf>
          </x14:cfRule>
          <xm:sqref>R86:AF86</xm:sqref>
        </x14:conditionalFormatting>
        <x14:conditionalFormatting xmlns:xm="http://schemas.microsoft.com/office/excel/2006/main">
          <x14:cfRule type="expression" priority="4694673" id="{889682B6-BF9B-414B-86B7-1C802156B058}">
            <xm:f>$AG$4='Data entry'!$R33</xm:f>
            <x14:dxf>
              <fill>
                <patternFill>
                  <bgColor rgb="FFFF0000"/>
                </patternFill>
              </fill>
            </x14:dxf>
          </x14:cfRule>
          <xm:sqref>AE87:AQ87</xm:sqref>
        </x14:conditionalFormatting>
        <x14:conditionalFormatting xmlns:xm="http://schemas.microsoft.com/office/excel/2006/main">
          <x14:cfRule type="expression" priority="4694674" id="{19913D88-1940-4CB0-B29C-D46D60833BD5}">
            <xm:f>$AG$4='Data entry'!$R33</xm:f>
            <x14:dxf>
              <fill>
                <patternFill>
                  <bgColor rgb="FFFFFF00"/>
                </patternFill>
              </fill>
            </x14:dxf>
          </x14:cfRule>
          <xm:sqref>S86:AG86</xm:sqref>
        </x14:conditionalFormatting>
        <x14:conditionalFormatting xmlns:xm="http://schemas.microsoft.com/office/excel/2006/main">
          <x14:cfRule type="expression" priority="4694675" id="{3DD7B9A5-18A3-463F-BAD5-9796FC487328}">
            <xm:f>$AH$4='Data entry'!$R33</xm:f>
            <x14:dxf>
              <fill>
                <patternFill>
                  <bgColor rgb="FFFF0000"/>
                </patternFill>
              </fill>
            </x14:dxf>
          </x14:cfRule>
          <xm:sqref>AF87:AR87</xm:sqref>
        </x14:conditionalFormatting>
        <x14:conditionalFormatting xmlns:xm="http://schemas.microsoft.com/office/excel/2006/main">
          <x14:cfRule type="expression" priority="4694676" id="{31005CF4-5608-496E-91EB-F7F505046C80}">
            <xm:f>$AH$4='Data entry'!$R33</xm:f>
            <x14:dxf>
              <fill>
                <patternFill>
                  <bgColor rgb="FFFFFF00"/>
                </patternFill>
              </fill>
            </x14:dxf>
          </x14:cfRule>
          <xm:sqref>T86:AH86</xm:sqref>
        </x14:conditionalFormatting>
        <x14:conditionalFormatting xmlns:xm="http://schemas.microsoft.com/office/excel/2006/main">
          <x14:cfRule type="expression" priority="4694677" id="{CD14F654-5B7A-444F-8FC1-7DD71E76E475}">
            <xm:f>$AI$4='Data entry'!$R33</xm:f>
            <x14:dxf>
              <fill>
                <patternFill>
                  <bgColor rgb="FFFF0000"/>
                </patternFill>
              </fill>
            </x14:dxf>
          </x14:cfRule>
          <xm:sqref>AG87:AS87</xm:sqref>
        </x14:conditionalFormatting>
        <x14:conditionalFormatting xmlns:xm="http://schemas.microsoft.com/office/excel/2006/main">
          <x14:cfRule type="expression" priority="4694678" id="{0E4E448C-6C46-4285-B877-A61A90294385}">
            <xm:f>$AI$4='Data entry'!$R33</xm:f>
            <x14:dxf>
              <fill>
                <patternFill>
                  <bgColor rgb="FFFFFF00"/>
                </patternFill>
              </fill>
            </x14:dxf>
          </x14:cfRule>
          <xm:sqref>U86:AI86</xm:sqref>
        </x14:conditionalFormatting>
        <x14:conditionalFormatting xmlns:xm="http://schemas.microsoft.com/office/excel/2006/main">
          <x14:cfRule type="expression" priority="4694679" id="{B1C1818F-791C-403D-BE73-6F6E9DC6A16D}">
            <xm:f>$AJ$4='Data entry'!$R33</xm:f>
            <x14:dxf>
              <fill>
                <patternFill>
                  <bgColor rgb="FFFF0000"/>
                </patternFill>
              </fill>
            </x14:dxf>
          </x14:cfRule>
          <xm:sqref>AH87:AT87</xm:sqref>
        </x14:conditionalFormatting>
        <x14:conditionalFormatting xmlns:xm="http://schemas.microsoft.com/office/excel/2006/main">
          <x14:cfRule type="expression" priority="4694680" id="{A1237792-221B-431B-B8A7-E9A64DA46D93}">
            <xm:f>$AJ$4='Data entry'!$R33</xm:f>
            <x14:dxf>
              <fill>
                <patternFill>
                  <bgColor rgb="FFFFFF00"/>
                </patternFill>
              </fill>
            </x14:dxf>
          </x14:cfRule>
          <xm:sqref>V86:AJ86</xm:sqref>
        </x14:conditionalFormatting>
        <x14:conditionalFormatting xmlns:xm="http://schemas.microsoft.com/office/excel/2006/main">
          <x14:cfRule type="expression" priority="4694681" id="{617DC2AF-C7A3-4724-8EA3-17DEFEDC8949}">
            <xm:f>$AK$4='Data entry'!$R33</xm:f>
            <x14:dxf>
              <fill>
                <patternFill>
                  <bgColor rgb="FFFF0000"/>
                </patternFill>
              </fill>
            </x14:dxf>
          </x14:cfRule>
          <xm:sqref>AI87:AU87</xm:sqref>
        </x14:conditionalFormatting>
        <x14:conditionalFormatting xmlns:xm="http://schemas.microsoft.com/office/excel/2006/main">
          <x14:cfRule type="expression" priority="4694682" id="{AA72317D-37B1-48EB-A28B-BF2AC8DC4519}">
            <xm:f>$AK$4='Data entry'!$R33</xm:f>
            <x14:dxf>
              <fill>
                <patternFill>
                  <bgColor rgb="FFFFFF00"/>
                </patternFill>
              </fill>
            </x14:dxf>
          </x14:cfRule>
          <xm:sqref>W86:AK86</xm:sqref>
        </x14:conditionalFormatting>
        <x14:conditionalFormatting xmlns:xm="http://schemas.microsoft.com/office/excel/2006/main">
          <x14:cfRule type="expression" priority="4694683" id="{6CA9FB7A-20EA-4D3A-B74C-A001F4BE810D}">
            <xm:f>$AL$4='Data entry'!$R33</xm:f>
            <x14:dxf>
              <fill>
                <patternFill>
                  <bgColor rgb="FFFF0000"/>
                </patternFill>
              </fill>
            </x14:dxf>
          </x14:cfRule>
          <xm:sqref>AJ87:AV87</xm:sqref>
        </x14:conditionalFormatting>
        <x14:conditionalFormatting xmlns:xm="http://schemas.microsoft.com/office/excel/2006/main">
          <x14:cfRule type="expression" priority="4694684" id="{81A75DAA-573F-4EF3-A640-1B992C18BEA0}">
            <xm:f>$AL$4='Data entry'!$R33</xm:f>
            <x14:dxf>
              <fill>
                <patternFill>
                  <bgColor rgb="FFFFFF00"/>
                </patternFill>
              </fill>
            </x14:dxf>
          </x14:cfRule>
          <xm:sqref>X86:AL86</xm:sqref>
        </x14:conditionalFormatting>
        <x14:conditionalFormatting xmlns:xm="http://schemas.microsoft.com/office/excel/2006/main">
          <x14:cfRule type="expression" priority="4694685" id="{3D44713E-4ABA-4CCD-9DF4-5513A9FB5E1E}">
            <xm:f>$AM$4='Data entry'!$R33</xm:f>
            <x14:dxf>
              <fill>
                <patternFill>
                  <bgColor rgb="FFFF0000"/>
                </patternFill>
              </fill>
            </x14:dxf>
          </x14:cfRule>
          <xm:sqref>AK87:AW87</xm:sqref>
        </x14:conditionalFormatting>
        <x14:conditionalFormatting xmlns:xm="http://schemas.microsoft.com/office/excel/2006/main">
          <x14:cfRule type="expression" priority="4694686" id="{05A26B51-72A7-4423-822F-2BDBC28275D0}">
            <xm:f>$AM$4='Data entry'!$R33</xm:f>
            <x14:dxf>
              <fill>
                <patternFill>
                  <bgColor rgb="FFFFFF00"/>
                </patternFill>
              </fill>
            </x14:dxf>
          </x14:cfRule>
          <xm:sqref>Y86:AM86</xm:sqref>
        </x14:conditionalFormatting>
        <x14:conditionalFormatting xmlns:xm="http://schemas.microsoft.com/office/excel/2006/main">
          <x14:cfRule type="expression" priority="4694687" id="{B8A20675-6230-4694-A7F6-6B3DC7142773}">
            <xm:f>$AN$4='Data entry'!$R33</xm:f>
            <x14:dxf>
              <fill>
                <patternFill>
                  <bgColor rgb="FFFF0000"/>
                </patternFill>
              </fill>
            </x14:dxf>
          </x14:cfRule>
          <xm:sqref>AL87:AX87</xm:sqref>
        </x14:conditionalFormatting>
        <x14:conditionalFormatting xmlns:xm="http://schemas.microsoft.com/office/excel/2006/main">
          <x14:cfRule type="expression" priority="4694688" id="{8421181C-7450-42E9-BC1D-065CCFCA960E}">
            <xm:f>$AN$4='Data entry'!$R33</xm:f>
            <x14:dxf>
              <fill>
                <patternFill>
                  <bgColor rgb="FFFFFF00"/>
                </patternFill>
              </fill>
            </x14:dxf>
          </x14:cfRule>
          <xm:sqref>Z86:AN86</xm:sqref>
        </x14:conditionalFormatting>
        <x14:conditionalFormatting xmlns:xm="http://schemas.microsoft.com/office/excel/2006/main">
          <x14:cfRule type="expression" priority="4694689" id="{067FE4BD-6EF4-4684-B6E0-35AB2F267EE7}">
            <xm:f>$AO$4='Data entry'!$R33</xm:f>
            <x14:dxf>
              <fill>
                <patternFill>
                  <bgColor rgb="FFFF0000"/>
                </patternFill>
              </fill>
            </x14:dxf>
          </x14:cfRule>
          <xm:sqref>AM87:AY87</xm:sqref>
        </x14:conditionalFormatting>
        <x14:conditionalFormatting xmlns:xm="http://schemas.microsoft.com/office/excel/2006/main">
          <x14:cfRule type="expression" priority="4694690" id="{F7653492-88D1-47AC-8BA3-0CCE65C3C2AB}">
            <xm:f>$AO$4='Data entry'!$R33</xm:f>
            <x14:dxf>
              <fill>
                <patternFill>
                  <bgColor rgb="FFFFFF00"/>
                </patternFill>
              </fill>
            </x14:dxf>
          </x14:cfRule>
          <xm:sqref>AA86:AO86</xm:sqref>
        </x14:conditionalFormatting>
        <x14:conditionalFormatting xmlns:xm="http://schemas.microsoft.com/office/excel/2006/main">
          <x14:cfRule type="expression" priority="4694691" id="{207A5E5D-B322-482E-9193-1D7318138358}">
            <xm:f>$AP$4='Data entry'!$R33</xm:f>
            <x14:dxf>
              <fill>
                <patternFill>
                  <bgColor rgb="FFFF0000"/>
                </patternFill>
              </fill>
            </x14:dxf>
          </x14:cfRule>
          <xm:sqref>AN87:AZ87</xm:sqref>
        </x14:conditionalFormatting>
        <x14:conditionalFormatting xmlns:xm="http://schemas.microsoft.com/office/excel/2006/main">
          <x14:cfRule type="expression" priority="4694692" id="{21DA638D-4CA0-4067-BFF1-240CE1A0261B}">
            <xm:f>$AP$4='Data entry'!$R33</xm:f>
            <x14:dxf>
              <fill>
                <patternFill>
                  <bgColor rgb="FFFFFF00"/>
                </patternFill>
              </fill>
            </x14:dxf>
          </x14:cfRule>
          <xm:sqref>AB86:AP86</xm:sqref>
        </x14:conditionalFormatting>
        <x14:conditionalFormatting xmlns:xm="http://schemas.microsoft.com/office/excel/2006/main">
          <x14:cfRule type="expression" priority="4694693" id="{71963D96-A42A-4B90-BFC7-6D83D37766EF}">
            <xm:f>$AQ$4='Data entry'!$R33</xm:f>
            <x14:dxf>
              <fill>
                <patternFill>
                  <bgColor rgb="FFFF0000"/>
                </patternFill>
              </fill>
            </x14:dxf>
          </x14:cfRule>
          <xm:sqref>AO87:BA87</xm:sqref>
        </x14:conditionalFormatting>
        <x14:conditionalFormatting xmlns:xm="http://schemas.microsoft.com/office/excel/2006/main">
          <x14:cfRule type="expression" priority="4694694" id="{74952595-84B6-484F-8FF6-FCC1F337DF4D}">
            <xm:f>$AQ$4='Data entry'!$R33</xm:f>
            <x14:dxf>
              <fill>
                <patternFill>
                  <bgColor rgb="FFFFFF00"/>
                </patternFill>
              </fill>
            </x14:dxf>
          </x14:cfRule>
          <xm:sqref>AC86:AQ86</xm:sqref>
        </x14:conditionalFormatting>
        <x14:conditionalFormatting xmlns:xm="http://schemas.microsoft.com/office/excel/2006/main">
          <x14:cfRule type="expression" priority="4694695" id="{8AC9C4B9-0A34-4BC0-B0F7-CA89434C4911}">
            <xm:f>$P$4='Data entry'!$R33</xm:f>
            <x14:dxf>
              <fill>
                <patternFill>
                  <bgColor rgb="FFFFFF00"/>
                </patternFill>
              </fill>
            </x14:dxf>
          </x14:cfRule>
          <xm:sqref>C86:P86</xm:sqref>
        </x14:conditionalFormatting>
        <x14:conditionalFormatting xmlns:xm="http://schemas.microsoft.com/office/excel/2006/main">
          <x14:cfRule type="expression" priority="4694696" id="{0A726775-ABFD-4F22-967C-1A4D87BA3751}">
            <xm:f>$Q$4='Data entry'!$R33</xm:f>
            <x14:dxf>
              <fill>
                <patternFill>
                  <bgColor rgb="FFFFFF00"/>
                </patternFill>
              </fill>
            </x14:dxf>
          </x14:cfRule>
          <xm:sqref>C86:Q86</xm:sqref>
        </x14:conditionalFormatting>
        <x14:conditionalFormatting xmlns:xm="http://schemas.microsoft.com/office/excel/2006/main">
          <x14:cfRule type="expression" priority="4694697" id="{3A8414BD-262C-43B5-86EE-FA6901D00453}">
            <xm:f>$Q$4='Data entry'!$R33</xm:f>
            <x14:dxf>
              <fill>
                <patternFill>
                  <bgColor rgb="FFFF0000"/>
                </patternFill>
              </fill>
            </x14:dxf>
          </x14:cfRule>
          <xm:sqref>O87:AA87</xm:sqref>
        </x14:conditionalFormatting>
        <x14:conditionalFormatting xmlns:xm="http://schemas.microsoft.com/office/excel/2006/main">
          <x14:cfRule type="expression" priority="4694698" id="{B8B5501D-F3EF-4449-9306-F652960C65F4}">
            <xm:f>$R$4='Data entry'!$R33</xm:f>
            <x14:dxf>
              <fill>
                <patternFill>
                  <bgColor rgb="FFFF0000"/>
                </patternFill>
              </fill>
            </x14:dxf>
          </x14:cfRule>
          <xm:sqref>P87:AB87</xm:sqref>
        </x14:conditionalFormatting>
        <x14:conditionalFormatting xmlns:xm="http://schemas.microsoft.com/office/excel/2006/main">
          <x14:cfRule type="expression" priority="4694699" id="{5D070DEC-B82E-4D87-B907-A3E5AB836991}">
            <xm:f>$R$4='Data entry'!$R33</xm:f>
            <x14:dxf>
              <fill>
                <patternFill>
                  <bgColor rgb="FFFFFF00"/>
                </patternFill>
              </fill>
            </x14:dxf>
          </x14:cfRule>
          <xm:sqref>D86:R86</xm:sqref>
        </x14:conditionalFormatting>
        <x14:conditionalFormatting xmlns:xm="http://schemas.microsoft.com/office/excel/2006/main">
          <x14:cfRule type="expression" priority="4694700" id="{E4D16A10-F818-4664-9FB2-F0E839824D4B}">
            <xm:f>$S$4='Data entry'!$R33</xm:f>
            <x14:dxf>
              <fill>
                <patternFill>
                  <bgColor rgb="FFFF0000"/>
                </patternFill>
              </fill>
            </x14:dxf>
          </x14:cfRule>
          <xm:sqref>Q87:AC87</xm:sqref>
        </x14:conditionalFormatting>
        <x14:conditionalFormatting xmlns:xm="http://schemas.microsoft.com/office/excel/2006/main">
          <x14:cfRule type="expression" priority="4694701" id="{1A9F9911-A3E9-4730-AFBE-AB8C596545CA}">
            <xm:f>$S$4='Data entry'!$R33</xm:f>
            <x14:dxf>
              <fill>
                <patternFill>
                  <bgColor rgb="FFFFFF00"/>
                </patternFill>
              </fill>
            </x14:dxf>
          </x14:cfRule>
          <xm:sqref>E86:S86</xm:sqref>
        </x14:conditionalFormatting>
        <x14:conditionalFormatting xmlns:xm="http://schemas.microsoft.com/office/excel/2006/main">
          <x14:cfRule type="expression" priority="4694702" id="{8BB5CD1B-B2AC-442A-9550-26DE19A62D22}">
            <xm:f>$T$4='Data entry'!$R33</xm:f>
            <x14:dxf>
              <fill>
                <patternFill>
                  <bgColor rgb="FFFF0000"/>
                </patternFill>
              </fill>
            </x14:dxf>
          </x14:cfRule>
          <xm:sqref>R87:AD87</xm:sqref>
        </x14:conditionalFormatting>
        <x14:conditionalFormatting xmlns:xm="http://schemas.microsoft.com/office/excel/2006/main">
          <x14:cfRule type="expression" priority="4694703" id="{E7B59C69-7921-4049-84A1-8B3E5F7B0598}">
            <xm:f>$T$4='Data entry'!$R33</xm:f>
            <x14:dxf>
              <fill>
                <patternFill>
                  <bgColor rgb="FFFFFF00"/>
                </patternFill>
              </fill>
            </x14:dxf>
          </x14:cfRule>
          <xm:sqref>F86:T86</xm:sqref>
        </x14:conditionalFormatting>
        <x14:conditionalFormatting xmlns:xm="http://schemas.microsoft.com/office/excel/2006/main">
          <x14:cfRule type="expression" priority="4694704" id="{238C09E5-7A3D-439D-949F-A7733073F9A2}">
            <xm:f>$U$4='Data entry'!$R33</xm:f>
            <x14:dxf>
              <fill>
                <patternFill>
                  <bgColor rgb="FFFFFF00"/>
                </patternFill>
              </fill>
            </x14:dxf>
          </x14:cfRule>
          <xm:sqref>G86:U86</xm:sqref>
        </x14:conditionalFormatting>
        <x14:conditionalFormatting xmlns:xm="http://schemas.microsoft.com/office/excel/2006/main">
          <x14:cfRule type="expression" priority="4694705" id="{DE4D4432-0A19-452A-AF14-2873FE4DF411}">
            <xm:f>$AR$4='Data entry'!$R33</xm:f>
            <x14:dxf>
              <fill>
                <patternFill>
                  <bgColor rgb="FFFF0000"/>
                </patternFill>
              </fill>
            </x14:dxf>
          </x14:cfRule>
          <xm:sqref>AP87:BB87</xm:sqref>
        </x14:conditionalFormatting>
        <x14:conditionalFormatting xmlns:xm="http://schemas.microsoft.com/office/excel/2006/main">
          <x14:cfRule type="expression" priority="4694706" id="{90D7E1FF-542D-40C8-9BD5-DFEB4CDD256F}">
            <xm:f>$AR$4='Data entry'!$R33</xm:f>
            <x14:dxf>
              <fill>
                <patternFill>
                  <bgColor rgb="FFFFFF00"/>
                </patternFill>
              </fill>
            </x14:dxf>
          </x14:cfRule>
          <xm:sqref>AD86:AR86</xm:sqref>
        </x14:conditionalFormatting>
        <x14:conditionalFormatting xmlns:xm="http://schemas.microsoft.com/office/excel/2006/main">
          <x14:cfRule type="expression" priority="4694707" id="{0EBB5305-4A4A-4205-A1FF-11160070CBC3}">
            <xm:f>$AS$4='Data entry'!$R33</xm:f>
            <x14:dxf>
              <fill>
                <patternFill>
                  <bgColor rgb="FFFF0000"/>
                </patternFill>
              </fill>
            </x14:dxf>
          </x14:cfRule>
          <xm:sqref>AQ87:BC87</xm:sqref>
        </x14:conditionalFormatting>
        <x14:conditionalFormatting xmlns:xm="http://schemas.microsoft.com/office/excel/2006/main">
          <x14:cfRule type="expression" priority="4694708" id="{AC8EB30C-4253-4CE1-820E-1801F6D8D35B}">
            <xm:f>$AS$4='Data entry'!$R33</xm:f>
            <x14:dxf>
              <fill>
                <patternFill>
                  <bgColor rgb="FFFFFF00"/>
                </patternFill>
              </fill>
            </x14:dxf>
          </x14:cfRule>
          <xm:sqref>AE86:AS86</xm:sqref>
        </x14:conditionalFormatting>
        <x14:conditionalFormatting xmlns:xm="http://schemas.microsoft.com/office/excel/2006/main">
          <x14:cfRule type="expression" priority="4694709" id="{E11744C1-7201-4272-A1B0-945490B42425}">
            <xm:f>$AT$4='Data entry'!$R33</xm:f>
            <x14:dxf>
              <fill>
                <patternFill>
                  <bgColor rgb="FFFF0000"/>
                </patternFill>
              </fill>
            </x14:dxf>
          </x14:cfRule>
          <xm:sqref>AR87:BD87</xm:sqref>
        </x14:conditionalFormatting>
        <x14:conditionalFormatting xmlns:xm="http://schemas.microsoft.com/office/excel/2006/main">
          <x14:cfRule type="expression" priority="4694710" id="{5EE2823B-E955-4EA7-B99C-0B1F77B57A69}">
            <xm:f>$AT$4='Data entry'!$R33</xm:f>
            <x14:dxf>
              <fill>
                <patternFill>
                  <bgColor rgb="FFFFFF00"/>
                </patternFill>
              </fill>
            </x14:dxf>
          </x14:cfRule>
          <xm:sqref>AF86:AT86</xm:sqref>
        </x14:conditionalFormatting>
        <x14:conditionalFormatting xmlns:xm="http://schemas.microsoft.com/office/excel/2006/main">
          <x14:cfRule type="expression" priority="4694711" id="{5737DC63-3262-4B34-900C-2AAEB255FCBA}">
            <xm:f>$AU$4='Data entry'!$R33</xm:f>
            <x14:dxf>
              <fill>
                <patternFill>
                  <bgColor rgb="FFFF0000"/>
                </patternFill>
              </fill>
            </x14:dxf>
          </x14:cfRule>
          <xm:sqref>AS87:BE87</xm:sqref>
        </x14:conditionalFormatting>
        <x14:conditionalFormatting xmlns:xm="http://schemas.microsoft.com/office/excel/2006/main">
          <x14:cfRule type="expression" priority="4694712" id="{2B5C1F1B-3C3D-4CA3-BC64-0E98422075B6}">
            <xm:f>$AU$4='Data entry'!$R33</xm:f>
            <x14:dxf>
              <fill>
                <patternFill>
                  <bgColor rgb="FFFFFF00"/>
                </patternFill>
              </fill>
            </x14:dxf>
          </x14:cfRule>
          <xm:sqref>AG86:AU86</xm:sqref>
        </x14:conditionalFormatting>
        <x14:conditionalFormatting xmlns:xm="http://schemas.microsoft.com/office/excel/2006/main">
          <x14:cfRule type="expression" priority="4694713" id="{B87A1285-B003-4855-8F4B-53C391BA10E6}">
            <xm:f>$AV$4='Data entry'!$R33</xm:f>
            <x14:dxf>
              <fill>
                <patternFill>
                  <bgColor rgb="FFFF0000"/>
                </patternFill>
              </fill>
            </x14:dxf>
          </x14:cfRule>
          <xm:sqref>AT87:BF87</xm:sqref>
        </x14:conditionalFormatting>
        <x14:conditionalFormatting xmlns:xm="http://schemas.microsoft.com/office/excel/2006/main">
          <x14:cfRule type="expression" priority="4694714" id="{338EE31C-78DB-4818-B837-0380F9E457FA}">
            <xm:f>$AV$4='Data entry'!$R33</xm:f>
            <x14:dxf>
              <fill>
                <patternFill>
                  <bgColor rgb="FFFFFF00"/>
                </patternFill>
              </fill>
            </x14:dxf>
          </x14:cfRule>
          <xm:sqref>AH86:AV86</xm:sqref>
        </x14:conditionalFormatting>
        <x14:conditionalFormatting xmlns:xm="http://schemas.microsoft.com/office/excel/2006/main">
          <x14:cfRule type="expression" priority="4694715" id="{5C40EA66-2801-4C91-B885-BF6A1ECFC35C}">
            <xm:f>$AW$4='Data entry'!$R33</xm:f>
            <x14:dxf>
              <fill>
                <patternFill>
                  <bgColor rgb="FFFF0000"/>
                </patternFill>
              </fill>
            </x14:dxf>
          </x14:cfRule>
          <xm:sqref>AU87:BG87</xm:sqref>
        </x14:conditionalFormatting>
        <x14:conditionalFormatting xmlns:xm="http://schemas.microsoft.com/office/excel/2006/main">
          <x14:cfRule type="expression" priority="4694716" id="{51BCD5CE-DF86-4C2F-8A81-DDA1EFD6C8F7}">
            <xm:f>$AW$4='Data entry'!$R33</xm:f>
            <x14:dxf>
              <fill>
                <patternFill>
                  <bgColor rgb="FFFFFF00"/>
                </patternFill>
              </fill>
            </x14:dxf>
          </x14:cfRule>
          <xm:sqref>AI86:AW86</xm:sqref>
        </x14:conditionalFormatting>
        <x14:conditionalFormatting xmlns:xm="http://schemas.microsoft.com/office/excel/2006/main">
          <x14:cfRule type="expression" priority="4694717" id="{DC2ED5A0-8917-4877-8CD3-9DF9BE5993C9}">
            <xm:f>$AX$4='Data entry'!$R33</xm:f>
            <x14:dxf>
              <fill>
                <patternFill>
                  <bgColor rgb="FFFF0000"/>
                </patternFill>
              </fill>
            </x14:dxf>
          </x14:cfRule>
          <xm:sqref>AV87:BH87</xm:sqref>
        </x14:conditionalFormatting>
        <x14:conditionalFormatting xmlns:xm="http://schemas.microsoft.com/office/excel/2006/main">
          <x14:cfRule type="expression" priority="4694718" id="{59B31869-20F9-45BD-BC80-0A6C8945CE2C}">
            <xm:f>$AX$4='Data entry'!$R33</xm:f>
            <x14:dxf>
              <fill>
                <patternFill>
                  <bgColor rgb="FFFFFF00"/>
                </patternFill>
              </fill>
            </x14:dxf>
          </x14:cfRule>
          <xm:sqref>AJ86:AX86</xm:sqref>
        </x14:conditionalFormatting>
        <x14:conditionalFormatting xmlns:xm="http://schemas.microsoft.com/office/excel/2006/main">
          <x14:cfRule type="expression" priority="4694719" id="{D4208FA0-4262-4037-934C-6D0742B2AD8E}">
            <xm:f>$AY$4='Data entry'!$R33</xm:f>
            <x14:dxf>
              <fill>
                <patternFill>
                  <bgColor rgb="FFFF0000"/>
                </patternFill>
              </fill>
            </x14:dxf>
          </x14:cfRule>
          <xm:sqref>AW87:BI87</xm:sqref>
        </x14:conditionalFormatting>
        <x14:conditionalFormatting xmlns:xm="http://schemas.microsoft.com/office/excel/2006/main">
          <x14:cfRule type="expression" priority="4694720" id="{04D6E423-18C7-42B2-A67D-F49D8E62B571}">
            <xm:f>$AY$4='Data entry'!$R33</xm:f>
            <x14:dxf>
              <fill>
                <patternFill>
                  <bgColor rgb="FFFFFF00"/>
                </patternFill>
              </fill>
            </x14:dxf>
          </x14:cfRule>
          <xm:sqref>AK86:AY86</xm:sqref>
        </x14:conditionalFormatting>
        <x14:conditionalFormatting xmlns:xm="http://schemas.microsoft.com/office/excel/2006/main">
          <x14:cfRule type="expression" priority="4694721" id="{A931C203-6E4B-4EBD-A2F4-1876881F48D4}">
            <xm:f>$AZ$4='Data entry'!$R33</xm:f>
            <x14:dxf>
              <fill>
                <patternFill>
                  <bgColor rgb="FFFF0000"/>
                </patternFill>
              </fill>
            </x14:dxf>
          </x14:cfRule>
          <xm:sqref>AX87:BJ87</xm:sqref>
        </x14:conditionalFormatting>
        <x14:conditionalFormatting xmlns:xm="http://schemas.microsoft.com/office/excel/2006/main">
          <x14:cfRule type="expression" priority="4694722" id="{092D9100-E652-40FE-8CAA-720DC0681250}">
            <xm:f>$AZ$4='Data entry'!$R33</xm:f>
            <x14:dxf>
              <fill>
                <patternFill>
                  <bgColor rgb="FFFFFF00"/>
                </patternFill>
              </fill>
            </x14:dxf>
          </x14:cfRule>
          <xm:sqref>AL86:AZ86</xm:sqref>
        </x14:conditionalFormatting>
        <x14:conditionalFormatting xmlns:xm="http://schemas.microsoft.com/office/excel/2006/main">
          <x14:cfRule type="expression" priority="4694723" id="{A3C7E6BE-A225-483C-A983-A915DB662C52}">
            <xm:f>$BA$4='Data entry'!$R33</xm:f>
            <x14:dxf>
              <fill>
                <patternFill>
                  <bgColor rgb="FFFF0000"/>
                </patternFill>
              </fill>
            </x14:dxf>
          </x14:cfRule>
          <xm:sqref>AY87:BK87</xm:sqref>
        </x14:conditionalFormatting>
        <x14:conditionalFormatting xmlns:xm="http://schemas.microsoft.com/office/excel/2006/main">
          <x14:cfRule type="expression" priority="4694724" id="{F5CF569A-8AFA-4CFF-8BD3-F04D8927A99F}">
            <xm:f>$BA$4='Data entry'!$R33</xm:f>
            <x14:dxf>
              <fill>
                <patternFill>
                  <bgColor rgb="FFFFFF00"/>
                </patternFill>
              </fill>
            </x14:dxf>
          </x14:cfRule>
          <xm:sqref>AM86:BA86</xm:sqref>
        </x14:conditionalFormatting>
        <x14:conditionalFormatting xmlns:xm="http://schemas.microsoft.com/office/excel/2006/main">
          <x14:cfRule type="expression" priority="4694725" id="{E4DAC94A-7983-4BFB-A87B-45B58561841A}">
            <xm:f>$BB$4='Data entry'!$R33</xm:f>
            <x14:dxf>
              <fill>
                <patternFill>
                  <bgColor rgb="FFFF0000"/>
                </patternFill>
              </fill>
            </x14:dxf>
          </x14:cfRule>
          <xm:sqref>AZ87:BL87</xm:sqref>
        </x14:conditionalFormatting>
        <x14:conditionalFormatting xmlns:xm="http://schemas.microsoft.com/office/excel/2006/main">
          <x14:cfRule type="expression" priority="4694726" id="{E63849C5-F39B-4B0E-8F8A-B532EDF2CBAE}">
            <xm:f>$BB$4='Data entry'!$R33</xm:f>
            <x14:dxf>
              <fill>
                <patternFill>
                  <bgColor rgb="FFFFFF00"/>
                </patternFill>
              </fill>
            </x14:dxf>
          </x14:cfRule>
          <xm:sqref>AN86:BB86</xm:sqref>
        </x14:conditionalFormatting>
        <x14:conditionalFormatting xmlns:xm="http://schemas.microsoft.com/office/excel/2006/main">
          <x14:cfRule type="expression" priority="4694727" id="{4FDC32D3-C1F5-455D-9AA4-A03359B72526}">
            <xm:f>$BC$4='Data entry'!$R33</xm:f>
            <x14:dxf>
              <fill>
                <patternFill>
                  <bgColor rgb="FFFF0000"/>
                </patternFill>
              </fill>
            </x14:dxf>
          </x14:cfRule>
          <xm:sqref>BA87:BM87</xm:sqref>
        </x14:conditionalFormatting>
        <x14:conditionalFormatting xmlns:xm="http://schemas.microsoft.com/office/excel/2006/main">
          <x14:cfRule type="expression" priority="4694728" id="{5F0D0C60-B233-4C56-B05D-98C99990877F}">
            <xm:f>$BC$4='Data entry'!$R33</xm:f>
            <x14:dxf>
              <fill>
                <patternFill>
                  <bgColor rgb="FFFFFF00"/>
                </patternFill>
              </fill>
            </x14:dxf>
          </x14:cfRule>
          <xm:sqref>AO86:BC86</xm:sqref>
        </x14:conditionalFormatting>
        <x14:conditionalFormatting xmlns:xm="http://schemas.microsoft.com/office/excel/2006/main">
          <x14:cfRule type="expression" priority="4694729" id="{9EBCB60F-8135-43B6-A0F3-548D4092CC98}">
            <xm:f>$BD$4='Data entry'!$R33</xm:f>
            <x14:dxf>
              <fill>
                <patternFill>
                  <bgColor rgb="FFFF0000"/>
                </patternFill>
              </fill>
            </x14:dxf>
          </x14:cfRule>
          <xm:sqref>BB87:BN87</xm:sqref>
        </x14:conditionalFormatting>
        <x14:conditionalFormatting xmlns:xm="http://schemas.microsoft.com/office/excel/2006/main">
          <x14:cfRule type="expression" priority="4694730" id="{961AF346-4A73-41ED-9A8D-27D431B09C05}">
            <xm:f>$BD$4='Data entry'!$R33</xm:f>
            <x14:dxf>
              <fill>
                <patternFill>
                  <bgColor rgb="FFFFFF00"/>
                </patternFill>
              </fill>
            </x14:dxf>
          </x14:cfRule>
          <xm:sqref>AP86:BD86</xm:sqref>
        </x14:conditionalFormatting>
        <x14:conditionalFormatting xmlns:xm="http://schemas.microsoft.com/office/excel/2006/main">
          <x14:cfRule type="expression" priority="4694731" id="{5A887026-27CD-4F8C-8BA6-1E92704C1CA6}">
            <xm:f>$BE$4='Data entry'!$R33</xm:f>
            <x14:dxf>
              <fill>
                <patternFill>
                  <bgColor rgb="FFFF0000"/>
                </patternFill>
              </fill>
            </x14:dxf>
          </x14:cfRule>
          <xm:sqref>BC87:BO87</xm:sqref>
        </x14:conditionalFormatting>
        <x14:conditionalFormatting xmlns:xm="http://schemas.microsoft.com/office/excel/2006/main">
          <x14:cfRule type="expression" priority="4694732" id="{7F46217B-A1E9-4515-B31E-E756FCD7C6D9}">
            <xm:f>$BE$4='Data entry'!$R33</xm:f>
            <x14:dxf>
              <fill>
                <patternFill>
                  <bgColor rgb="FFFFFF00"/>
                </patternFill>
              </fill>
            </x14:dxf>
          </x14:cfRule>
          <xm:sqref>AP86:BE86</xm:sqref>
        </x14:conditionalFormatting>
        <x14:conditionalFormatting xmlns:xm="http://schemas.microsoft.com/office/excel/2006/main">
          <x14:cfRule type="expression" priority="4694733" id="{F4D9285C-8CA0-4EF1-943E-6A462D47CC77}">
            <xm:f>$BF$4='Data entry'!$R33</xm:f>
            <x14:dxf>
              <fill>
                <patternFill>
                  <bgColor rgb="FFFF0000"/>
                </patternFill>
              </fill>
            </x14:dxf>
          </x14:cfRule>
          <xm:sqref>BD87:BP87</xm:sqref>
        </x14:conditionalFormatting>
        <x14:conditionalFormatting xmlns:xm="http://schemas.microsoft.com/office/excel/2006/main">
          <x14:cfRule type="expression" priority="4694734" id="{B9E4407D-651D-4DC0-9D61-3271D62A65E9}">
            <xm:f>$BF$4='Data entry'!$R33</xm:f>
            <x14:dxf>
              <fill>
                <patternFill>
                  <bgColor rgb="FFFFFF00"/>
                </patternFill>
              </fill>
            </x14:dxf>
          </x14:cfRule>
          <xm:sqref>AR86:BF86</xm:sqref>
        </x14:conditionalFormatting>
        <x14:conditionalFormatting xmlns:xm="http://schemas.microsoft.com/office/excel/2006/main">
          <x14:cfRule type="expression" priority="4694735" id="{4CDC062F-DDFF-4556-B941-08F919727F69}">
            <xm:f>$BG$4='Data entry'!$R33</xm:f>
            <x14:dxf>
              <fill>
                <patternFill>
                  <bgColor rgb="FFFF0000"/>
                </patternFill>
              </fill>
            </x14:dxf>
          </x14:cfRule>
          <xm:sqref>BE87:BQ87</xm:sqref>
        </x14:conditionalFormatting>
        <x14:conditionalFormatting xmlns:xm="http://schemas.microsoft.com/office/excel/2006/main">
          <x14:cfRule type="expression" priority="4694736" id="{789184FA-9055-433B-8A1B-92C7ED59E81F}">
            <xm:f>$BG$4='Data entry'!$R33</xm:f>
            <x14:dxf>
              <fill>
                <patternFill>
                  <bgColor rgb="FFFFFF00"/>
                </patternFill>
              </fill>
            </x14:dxf>
          </x14:cfRule>
          <xm:sqref>AS86:BG86</xm:sqref>
        </x14:conditionalFormatting>
        <x14:conditionalFormatting xmlns:xm="http://schemas.microsoft.com/office/excel/2006/main">
          <x14:cfRule type="expression" priority="4694737" id="{58651E5C-09C9-46C1-B95C-E8A578A49E15}">
            <xm:f>$BH$4='Data entry'!$R33</xm:f>
            <x14:dxf>
              <fill>
                <patternFill>
                  <bgColor rgb="FFFFFF00"/>
                </patternFill>
              </fill>
            </x14:dxf>
          </x14:cfRule>
          <xm:sqref>AT86:BH86</xm:sqref>
        </x14:conditionalFormatting>
        <x14:conditionalFormatting xmlns:xm="http://schemas.microsoft.com/office/excel/2006/main">
          <x14:cfRule type="expression" priority="4694738" id="{97B30B86-8311-4DC0-A533-8C0D53F37839}">
            <xm:f>$BH$4='Data entry'!$R33</xm:f>
            <x14:dxf>
              <fill>
                <patternFill>
                  <bgColor rgb="FFFF0000"/>
                </patternFill>
              </fill>
            </x14:dxf>
          </x14:cfRule>
          <xm:sqref>BF87:BR87</xm:sqref>
        </x14:conditionalFormatting>
        <x14:conditionalFormatting xmlns:xm="http://schemas.microsoft.com/office/excel/2006/main">
          <x14:cfRule type="expression" priority="4694739" id="{78344C0C-5AEA-40B1-A20C-6D77DF58E1F5}">
            <xm:f>$BI$4='Data entry'!$R33</xm:f>
            <x14:dxf>
              <fill>
                <patternFill>
                  <bgColor rgb="FFFFFF00"/>
                </patternFill>
              </fill>
            </x14:dxf>
          </x14:cfRule>
          <xm:sqref>AU86:BI86</xm:sqref>
        </x14:conditionalFormatting>
        <x14:conditionalFormatting xmlns:xm="http://schemas.microsoft.com/office/excel/2006/main">
          <x14:cfRule type="expression" priority="4694740" id="{A9CE044F-482E-4F25-B28F-89ACC58502B1}">
            <xm:f>$BI$4='Data entry'!$R33</xm:f>
            <x14:dxf>
              <fill>
                <patternFill>
                  <bgColor rgb="FFFF0000"/>
                </patternFill>
              </fill>
            </x14:dxf>
          </x14:cfRule>
          <xm:sqref>BG87:BS87</xm:sqref>
        </x14:conditionalFormatting>
        <x14:conditionalFormatting xmlns:xm="http://schemas.microsoft.com/office/excel/2006/main">
          <x14:cfRule type="expression" priority="4694741" id="{F63BE0EB-3C71-4456-BEF0-11180AB7A8BB}">
            <xm:f>$BJ$4='Data entry'!$R33</xm:f>
            <x14:dxf>
              <fill>
                <patternFill>
                  <bgColor rgb="FFFFFF00"/>
                </patternFill>
              </fill>
            </x14:dxf>
          </x14:cfRule>
          <xm:sqref>AV86:BJ86</xm:sqref>
        </x14:conditionalFormatting>
        <x14:conditionalFormatting xmlns:xm="http://schemas.microsoft.com/office/excel/2006/main">
          <x14:cfRule type="expression" priority="4694742" id="{478A5DCB-1DAA-4497-A6CC-B4F01FB96D10}">
            <xm:f>$BJ$4='Data entry'!$R33</xm:f>
            <x14:dxf>
              <fill>
                <patternFill>
                  <bgColor rgb="FFFF0000"/>
                </patternFill>
              </fill>
            </x14:dxf>
          </x14:cfRule>
          <xm:sqref>BH87:BT87</xm:sqref>
        </x14:conditionalFormatting>
        <x14:conditionalFormatting xmlns:xm="http://schemas.microsoft.com/office/excel/2006/main">
          <x14:cfRule type="expression" priority="4694743" id="{CDE4AD5B-65A6-4FA4-9EC0-8D05F22312A9}">
            <xm:f>$BK$4='Data entry'!$R33</xm:f>
            <x14:dxf>
              <fill>
                <patternFill>
                  <bgColor rgb="FFFF0000"/>
                </patternFill>
              </fill>
            </x14:dxf>
          </x14:cfRule>
          <xm:sqref>BI87:BU87</xm:sqref>
        </x14:conditionalFormatting>
        <x14:conditionalFormatting xmlns:xm="http://schemas.microsoft.com/office/excel/2006/main">
          <x14:cfRule type="expression" priority="4694744" id="{AB32E790-6CD8-4D11-9A69-57D785FE4BBC}">
            <xm:f>$BK$4='Data entry'!$R33</xm:f>
            <x14:dxf>
              <fill>
                <patternFill>
                  <bgColor rgb="FFFFFF00"/>
                </patternFill>
              </fill>
            </x14:dxf>
          </x14:cfRule>
          <xm:sqref>AW86:BK86</xm:sqref>
        </x14:conditionalFormatting>
        <x14:conditionalFormatting xmlns:xm="http://schemas.microsoft.com/office/excel/2006/main">
          <x14:cfRule type="expression" priority="4694745" id="{99810EB9-805C-43D8-852A-EEECE7874CDB}">
            <xm:f>$BL$4='Data entry'!$R33</xm:f>
            <x14:dxf>
              <fill>
                <patternFill>
                  <bgColor rgb="FFFF0000"/>
                </patternFill>
              </fill>
            </x14:dxf>
          </x14:cfRule>
          <xm:sqref>BJ87:BV87</xm:sqref>
        </x14:conditionalFormatting>
        <x14:conditionalFormatting xmlns:xm="http://schemas.microsoft.com/office/excel/2006/main">
          <x14:cfRule type="expression" priority="4694746" id="{BF5F5475-4E46-479C-97A6-D5175F5D1803}">
            <xm:f>$BL$4='Data entry'!$R33</xm:f>
            <x14:dxf>
              <fill>
                <patternFill>
                  <bgColor rgb="FFFFFF00"/>
                </patternFill>
              </fill>
            </x14:dxf>
          </x14:cfRule>
          <xm:sqref>AX86:BL86</xm:sqref>
        </x14:conditionalFormatting>
        <x14:conditionalFormatting xmlns:xm="http://schemas.microsoft.com/office/excel/2006/main">
          <x14:cfRule type="expression" priority="4694747" id="{B86FDF2F-16C9-46B1-847E-7EA1A8A34B9D}">
            <xm:f>$BM$4='Data entry'!$R33</xm:f>
            <x14:dxf>
              <fill>
                <patternFill>
                  <bgColor rgb="FFFF0000"/>
                </patternFill>
              </fill>
            </x14:dxf>
          </x14:cfRule>
          <xm:sqref>BK87:BW87</xm:sqref>
        </x14:conditionalFormatting>
        <x14:conditionalFormatting xmlns:xm="http://schemas.microsoft.com/office/excel/2006/main">
          <x14:cfRule type="expression" priority="4694748" id="{72FD189F-4CED-400D-9FEF-21A328970A4D}">
            <xm:f>$BM$4='Data entry'!$R33</xm:f>
            <x14:dxf>
              <fill>
                <patternFill>
                  <bgColor rgb="FFFFFF00"/>
                </patternFill>
              </fill>
            </x14:dxf>
          </x14:cfRule>
          <xm:sqref>AY86:BM86</xm:sqref>
        </x14:conditionalFormatting>
        <x14:conditionalFormatting xmlns:xm="http://schemas.microsoft.com/office/excel/2006/main">
          <x14:cfRule type="expression" priority="4694749" id="{BBBBF859-D5A7-4F55-BFBF-8A77E3357590}">
            <xm:f>$BN$4='Data entry'!$R33</xm:f>
            <x14:dxf>
              <fill>
                <patternFill>
                  <bgColor rgb="FFFF0000"/>
                </patternFill>
              </fill>
            </x14:dxf>
          </x14:cfRule>
          <xm:sqref>BL87:BX87</xm:sqref>
        </x14:conditionalFormatting>
        <x14:conditionalFormatting xmlns:xm="http://schemas.microsoft.com/office/excel/2006/main">
          <x14:cfRule type="expression" priority="4694750" id="{50CB1D75-0FD5-4D24-92B1-E8A41DC6575C}">
            <xm:f>$BN$4='Data entry'!$R33</xm:f>
            <x14:dxf>
              <fill>
                <patternFill>
                  <bgColor rgb="FFFFFF00"/>
                </patternFill>
              </fill>
            </x14:dxf>
          </x14:cfRule>
          <xm:sqref>AZ86:BN86</xm:sqref>
        </x14:conditionalFormatting>
        <x14:conditionalFormatting xmlns:xm="http://schemas.microsoft.com/office/excel/2006/main">
          <x14:cfRule type="expression" priority="4694751" id="{9EF3226D-E8FC-496B-A6FF-71776AEA54D1}">
            <xm:f>$BO$4='Data entry'!$R33</xm:f>
            <x14:dxf>
              <fill>
                <patternFill>
                  <bgColor rgb="FFFF0000"/>
                </patternFill>
              </fill>
            </x14:dxf>
          </x14:cfRule>
          <xm:sqref>BM87:BY87</xm:sqref>
        </x14:conditionalFormatting>
        <x14:conditionalFormatting xmlns:xm="http://schemas.microsoft.com/office/excel/2006/main">
          <x14:cfRule type="expression" priority="4694752" id="{3B86C801-ECFE-4D05-8AA5-1581116BAFBC}">
            <xm:f>$BO$4='Data entry'!$R33</xm:f>
            <x14:dxf>
              <fill>
                <patternFill>
                  <bgColor rgb="FFFFFF00"/>
                </patternFill>
              </fill>
            </x14:dxf>
          </x14:cfRule>
          <xm:sqref>BA86:BO86</xm:sqref>
        </x14:conditionalFormatting>
        <x14:conditionalFormatting xmlns:xm="http://schemas.microsoft.com/office/excel/2006/main">
          <x14:cfRule type="expression" priority="4694753" id="{058A23EC-3371-4A02-9F20-1ECA603AC6BC}">
            <xm:f>$BP$4='Data entry'!$R33</xm:f>
            <x14:dxf>
              <fill>
                <patternFill>
                  <bgColor rgb="FFFF0000"/>
                </patternFill>
              </fill>
            </x14:dxf>
          </x14:cfRule>
          <xm:sqref>BN87:BZ87</xm:sqref>
        </x14:conditionalFormatting>
        <x14:conditionalFormatting xmlns:xm="http://schemas.microsoft.com/office/excel/2006/main">
          <x14:cfRule type="expression" priority="4694754" id="{3E711E31-3992-4555-AB22-87133D60CD15}">
            <xm:f>$BP$4='Data entry'!$R33</xm:f>
            <x14:dxf>
              <fill>
                <patternFill>
                  <bgColor rgb="FFFFFF00"/>
                </patternFill>
              </fill>
            </x14:dxf>
          </x14:cfRule>
          <xm:sqref>BB86:BP86</xm:sqref>
        </x14:conditionalFormatting>
        <x14:conditionalFormatting xmlns:xm="http://schemas.microsoft.com/office/excel/2006/main">
          <x14:cfRule type="expression" priority="4694755" id="{23E9F8B9-37D5-4730-9453-6F23E8ECBBE3}">
            <xm:f>$BQ$4='Data entry'!$R33</xm:f>
            <x14:dxf>
              <fill>
                <patternFill>
                  <bgColor rgb="FFFFFF00"/>
                </patternFill>
              </fill>
            </x14:dxf>
          </x14:cfRule>
          <xm:sqref>BC86:BQ86</xm:sqref>
        </x14:conditionalFormatting>
        <x14:conditionalFormatting xmlns:xm="http://schemas.microsoft.com/office/excel/2006/main">
          <x14:cfRule type="expression" priority="4694756" id="{BCFD92F6-AAD3-44FD-BC61-A292A81B883E}">
            <xm:f>$BQ$4='Data entry'!$R33</xm:f>
            <x14:dxf>
              <fill>
                <patternFill>
                  <bgColor rgb="FFFF0000"/>
                </patternFill>
              </fill>
            </x14:dxf>
          </x14:cfRule>
          <xm:sqref>BO87:CA87</xm:sqref>
        </x14:conditionalFormatting>
        <x14:conditionalFormatting xmlns:xm="http://schemas.microsoft.com/office/excel/2006/main">
          <x14:cfRule type="expression" priority="4694757" id="{357D60E5-F356-477E-8020-A18F42C02832}">
            <xm:f>$BR$4='Data entry'!$R33</xm:f>
            <x14:dxf>
              <fill>
                <patternFill>
                  <bgColor rgb="FFFFFF00"/>
                </patternFill>
              </fill>
            </x14:dxf>
          </x14:cfRule>
          <xm:sqref>BD86:BR86</xm:sqref>
        </x14:conditionalFormatting>
        <x14:conditionalFormatting xmlns:xm="http://schemas.microsoft.com/office/excel/2006/main">
          <x14:cfRule type="expression" priority="4694758" id="{DA2B6511-43B3-432D-B6AA-1DB1188B90A6}">
            <xm:f>$BR$4='Data entry'!$R33</xm:f>
            <x14:dxf>
              <fill>
                <patternFill>
                  <bgColor rgb="FFFF0000"/>
                </patternFill>
              </fill>
            </x14:dxf>
          </x14:cfRule>
          <xm:sqref>BP87:CB87</xm:sqref>
        </x14:conditionalFormatting>
        <x14:conditionalFormatting xmlns:xm="http://schemas.microsoft.com/office/excel/2006/main">
          <x14:cfRule type="expression" priority="4694759" id="{0D5F64E4-4136-4BFA-B833-CC8578525D9C}">
            <xm:f>$BS$4='Data entry'!$R33</xm:f>
            <x14:dxf>
              <fill>
                <patternFill>
                  <bgColor rgb="FFFFFF00"/>
                </patternFill>
              </fill>
            </x14:dxf>
          </x14:cfRule>
          <xm:sqref>BE86:BS86</xm:sqref>
        </x14:conditionalFormatting>
        <x14:conditionalFormatting xmlns:xm="http://schemas.microsoft.com/office/excel/2006/main">
          <x14:cfRule type="expression" priority="4694760" id="{AC94D468-F078-4AE2-8771-102996E07B09}">
            <xm:f>$BS$4='Data entry'!$R33</xm:f>
            <x14:dxf>
              <fill>
                <patternFill>
                  <bgColor rgb="FFFF0000"/>
                </patternFill>
              </fill>
            </x14:dxf>
          </x14:cfRule>
          <xm:sqref>BQ87:CC87</xm:sqref>
        </x14:conditionalFormatting>
        <x14:conditionalFormatting xmlns:xm="http://schemas.microsoft.com/office/excel/2006/main">
          <x14:cfRule type="expression" priority="4694761" id="{10E78F76-181E-4F19-9F89-7DD36D3EFE30}">
            <xm:f>$BT$4='Data entry'!$R33</xm:f>
            <x14:dxf>
              <fill>
                <patternFill>
                  <bgColor rgb="FFFFFF00"/>
                </patternFill>
              </fill>
            </x14:dxf>
          </x14:cfRule>
          <xm:sqref>BF86:BT86</xm:sqref>
        </x14:conditionalFormatting>
        <x14:conditionalFormatting xmlns:xm="http://schemas.microsoft.com/office/excel/2006/main">
          <x14:cfRule type="expression" priority="4694762" id="{6A5FADC6-9512-4EFB-90A5-7B5244D10D1F}">
            <xm:f>$BT$4='Data entry'!$R33</xm:f>
            <x14:dxf>
              <fill>
                <patternFill>
                  <bgColor rgb="FFFF0000"/>
                </patternFill>
              </fill>
            </x14:dxf>
          </x14:cfRule>
          <xm:sqref>BR87:CC87</xm:sqref>
        </x14:conditionalFormatting>
        <x14:conditionalFormatting xmlns:xm="http://schemas.microsoft.com/office/excel/2006/main">
          <x14:cfRule type="expression" priority="4694763" id="{A51139D1-8841-4B96-B8CB-DFE3808765CF}">
            <xm:f>$BU$4='Data entry'!$R33</xm:f>
            <x14:dxf>
              <fill>
                <patternFill>
                  <bgColor rgb="FFFFFF00"/>
                </patternFill>
              </fill>
            </x14:dxf>
          </x14:cfRule>
          <xm:sqref>BG86:BU86</xm:sqref>
        </x14:conditionalFormatting>
        <x14:conditionalFormatting xmlns:xm="http://schemas.microsoft.com/office/excel/2006/main">
          <x14:cfRule type="expression" priority="4694764" id="{55CA7258-760F-4BFF-ACB5-A70FEB3E7981}">
            <xm:f>$BU$4='Data entry'!$R33</xm:f>
            <x14:dxf>
              <fill>
                <patternFill>
                  <bgColor rgb="FFFF0000"/>
                </patternFill>
              </fill>
            </x14:dxf>
          </x14:cfRule>
          <xm:sqref>BS87:CC87</xm:sqref>
        </x14:conditionalFormatting>
        <x14:conditionalFormatting xmlns:xm="http://schemas.microsoft.com/office/excel/2006/main">
          <x14:cfRule type="expression" priority="4694765" id="{A922B218-64DB-4CBB-9AB8-FE0EBB44E09E}">
            <xm:f>$BV$4='Data entry'!$R33</xm:f>
            <x14:dxf>
              <fill>
                <patternFill>
                  <bgColor rgb="FFFFFF00"/>
                </patternFill>
              </fill>
            </x14:dxf>
          </x14:cfRule>
          <xm:sqref>BH86:BV86</xm:sqref>
        </x14:conditionalFormatting>
        <x14:conditionalFormatting xmlns:xm="http://schemas.microsoft.com/office/excel/2006/main">
          <x14:cfRule type="expression" priority="4694766" id="{C98E908A-CD31-4778-B41C-7AFB9DBE639A}">
            <xm:f>$BV$4='Data entry'!$R33</xm:f>
            <x14:dxf>
              <fill>
                <patternFill>
                  <bgColor rgb="FFFF0000"/>
                </patternFill>
              </fill>
            </x14:dxf>
          </x14:cfRule>
          <xm:sqref>BT87:CC87</xm:sqref>
        </x14:conditionalFormatting>
        <x14:conditionalFormatting xmlns:xm="http://schemas.microsoft.com/office/excel/2006/main">
          <x14:cfRule type="expression" priority="4694767" id="{465CCCA3-B4DB-4B61-8AC7-8A5E4CEC9E3F}">
            <xm:f>$BW$4='Data entry'!$R33</xm:f>
            <x14:dxf>
              <fill>
                <patternFill>
                  <bgColor rgb="FFFFFF00"/>
                </patternFill>
              </fill>
            </x14:dxf>
          </x14:cfRule>
          <xm:sqref>BI86:BW86</xm:sqref>
        </x14:conditionalFormatting>
        <x14:conditionalFormatting xmlns:xm="http://schemas.microsoft.com/office/excel/2006/main">
          <x14:cfRule type="expression" priority="4694768" id="{37566F97-6D06-400B-A709-FE657B07687F}">
            <xm:f>$BW$4='Data entry'!$R33</xm:f>
            <x14:dxf>
              <fill>
                <patternFill>
                  <bgColor rgb="FFFF0000"/>
                </patternFill>
              </fill>
            </x14:dxf>
          </x14:cfRule>
          <xm:sqref>BU87:CC87</xm:sqref>
        </x14:conditionalFormatting>
        <x14:conditionalFormatting xmlns:xm="http://schemas.microsoft.com/office/excel/2006/main">
          <x14:cfRule type="expression" priority="4694769" id="{D8FBA3AC-5CF0-4E45-97CA-1D4DEE729ADA}">
            <xm:f>$BX$4='Data entry'!$R33</xm:f>
            <x14:dxf>
              <fill>
                <patternFill>
                  <bgColor rgb="FFFFFF00"/>
                </patternFill>
              </fill>
            </x14:dxf>
          </x14:cfRule>
          <xm:sqref>BJ86:BX86</xm:sqref>
        </x14:conditionalFormatting>
        <x14:conditionalFormatting xmlns:xm="http://schemas.microsoft.com/office/excel/2006/main">
          <x14:cfRule type="expression" priority="4694770" id="{E077C84B-A94F-431D-B232-4AFCC7C64F54}">
            <xm:f>$BX$4='Data entry'!$R33</xm:f>
            <x14:dxf>
              <fill>
                <patternFill>
                  <bgColor rgb="FFFF0000"/>
                </patternFill>
              </fill>
            </x14:dxf>
          </x14:cfRule>
          <xm:sqref>BV87:CC87</xm:sqref>
        </x14:conditionalFormatting>
        <x14:conditionalFormatting xmlns:xm="http://schemas.microsoft.com/office/excel/2006/main">
          <x14:cfRule type="expression" priority="4694771" id="{63783BA8-0C97-4A44-86FD-7A2BCF1B9957}">
            <xm:f>$BY$4='Data entry'!$R33</xm:f>
            <x14:dxf>
              <fill>
                <patternFill>
                  <bgColor rgb="FFFFFF00"/>
                </patternFill>
              </fill>
            </x14:dxf>
          </x14:cfRule>
          <xm:sqref>BK86:BY86</xm:sqref>
        </x14:conditionalFormatting>
        <x14:conditionalFormatting xmlns:xm="http://schemas.microsoft.com/office/excel/2006/main">
          <x14:cfRule type="expression" priority="4694772" id="{BB8DB8B4-B71B-46D2-AEE7-346F16103F74}">
            <xm:f>$BY$4='Data entry'!$R33</xm:f>
            <x14:dxf>
              <fill>
                <patternFill>
                  <bgColor rgb="FFFF0000"/>
                </patternFill>
              </fill>
            </x14:dxf>
          </x14:cfRule>
          <xm:sqref>BW87:CC87</xm:sqref>
        </x14:conditionalFormatting>
        <x14:conditionalFormatting xmlns:xm="http://schemas.microsoft.com/office/excel/2006/main">
          <x14:cfRule type="expression" priority="4694773" id="{1B638B98-2B06-4FEB-90C1-446A3E0A3979}">
            <xm:f>$BZ$4='Data entry'!$R33</xm:f>
            <x14:dxf>
              <fill>
                <patternFill>
                  <bgColor rgb="FFFFFF00"/>
                </patternFill>
              </fill>
            </x14:dxf>
          </x14:cfRule>
          <xm:sqref>BL86:BZ86</xm:sqref>
        </x14:conditionalFormatting>
        <x14:conditionalFormatting xmlns:xm="http://schemas.microsoft.com/office/excel/2006/main">
          <x14:cfRule type="expression" priority="4694774" id="{D3A0A2F8-D1B2-4DC5-B2A9-0EF53074E685}">
            <xm:f>$BZ$4='Data entry'!$R33</xm:f>
            <x14:dxf>
              <fill>
                <patternFill>
                  <bgColor rgb="FFFF0000"/>
                </patternFill>
              </fill>
            </x14:dxf>
          </x14:cfRule>
          <xm:sqref>BX87:CC87</xm:sqref>
        </x14:conditionalFormatting>
        <x14:conditionalFormatting xmlns:xm="http://schemas.microsoft.com/office/excel/2006/main">
          <x14:cfRule type="expression" priority="4694775" id="{83F6D018-7D3B-4D33-9998-11572F2F2FF5}">
            <xm:f>$CA$4='Data entry'!$R33</xm:f>
            <x14:dxf>
              <fill>
                <patternFill>
                  <bgColor rgb="FFFFFF00"/>
                </patternFill>
              </fill>
            </x14:dxf>
          </x14:cfRule>
          <xm:sqref>BM86:CA86</xm:sqref>
        </x14:conditionalFormatting>
        <x14:conditionalFormatting xmlns:xm="http://schemas.microsoft.com/office/excel/2006/main">
          <x14:cfRule type="expression" priority="4694776" id="{8E6D0B51-5626-4ED9-9072-C7A2C139704F}">
            <xm:f>$CA$4='Data entry'!$R33</xm:f>
            <x14:dxf>
              <fill>
                <patternFill>
                  <bgColor rgb="FFFF0000"/>
                </patternFill>
              </fill>
            </x14:dxf>
          </x14:cfRule>
          <xm:sqref>BY87:CC87</xm:sqref>
        </x14:conditionalFormatting>
        <x14:conditionalFormatting xmlns:xm="http://schemas.microsoft.com/office/excel/2006/main">
          <x14:cfRule type="expression" priority="4694777" id="{E1886EE4-3BDE-43A9-9F4B-79377FEC37FE}">
            <xm:f>$CB$4='Data entry'!$R33</xm:f>
            <x14:dxf>
              <fill>
                <patternFill>
                  <bgColor rgb="FFFFFF00"/>
                </patternFill>
              </fill>
            </x14:dxf>
          </x14:cfRule>
          <xm:sqref>BN86:CB86</xm:sqref>
        </x14:conditionalFormatting>
        <x14:conditionalFormatting xmlns:xm="http://schemas.microsoft.com/office/excel/2006/main">
          <x14:cfRule type="expression" priority="4694778" id="{ADEF572A-6C18-4602-BB86-01C96D36E07E}">
            <xm:f>$CB$4='Data entry'!$R33</xm:f>
            <x14:dxf>
              <fill>
                <patternFill>
                  <bgColor rgb="FFFF0000"/>
                </patternFill>
              </fill>
            </x14:dxf>
          </x14:cfRule>
          <xm:sqref>BZ87:CC87</xm:sqref>
        </x14:conditionalFormatting>
        <x14:conditionalFormatting xmlns:xm="http://schemas.microsoft.com/office/excel/2006/main">
          <x14:cfRule type="expression" priority="4694779" id="{7984E1C9-E073-4955-8543-62145CB6D008}">
            <xm:f>$CC$4='Data entry'!$R33</xm:f>
            <x14:dxf>
              <fill>
                <patternFill>
                  <bgColor rgb="FFFFFF00"/>
                </patternFill>
              </fill>
            </x14:dxf>
          </x14:cfRule>
          <xm:sqref>BO86:CC86</xm:sqref>
        </x14:conditionalFormatting>
        <x14:conditionalFormatting xmlns:xm="http://schemas.microsoft.com/office/excel/2006/main">
          <x14:cfRule type="expression" priority="4694780" id="{18A957B3-59FA-4698-BA92-2A208FF18E2F}">
            <xm:f>$CC$4='Data entry'!$R33</xm:f>
            <x14:dxf>
              <fill>
                <patternFill>
                  <bgColor rgb="FFFF0000"/>
                </patternFill>
              </fill>
            </x14:dxf>
          </x14:cfRule>
          <xm:sqref>CA87:CC87</xm:sqref>
        </x14:conditionalFormatting>
        <x14:conditionalFormatting xmlns:xm="http://schemas.microsoft.com/office/excel/2006/main">
          <x14:cfRule type="expression" priority="4694867" id="{5B0DB825-B7C2-40AC-B7EF-F267F054CFB9}">
            <xm:f>$U$4='Data entry'!$R34</xm:f>
            <x14:dxf>
              <fill>
                <patternFill>
                  <bgColor rgb="FFFF0000"/>
                </patternFill>
              </fill>
            </x14:dxf>
          </x14:cfRule>
          <xm:sqref>S90:AE90</xm:sqref>
        </x14:conditionalFormatting>
        <x14:conditionalFormatting xmlns:xm="http://schemas.microsoft.com/office/excel/2006/main">
          <x14:cfRule type="expression" priority="4694868" id="{18311200-E2BB-400F-B594-3B9A2C6068C2}">
            <xm:f>$V$4='Data entry'!$R34</xm:f>
            <x14:dxf>
              <fill>
                <patternFill>
                  <bgColor rgb="FFFF0000"/>
                </patternFill>
              </fill>
            </x14:dxf>
          </x14:cfRule>
          <xm:sqref>T90:AF90</xm:sqref>
        </x14:conditionalFormatting>
        <x14:conditionalFormatting xmlns:xm="http://schemas.microsoft.com/office/excel/2006/main">
          <x14:cfRule type="expression" priority="4694869" id="{D6DFB621-1A58-4C59-A987-ECAD0EB2D32B}">
            <xm:f>$V$4='Data entry'!$R34</xm:f>
            <x14:dxf>
              <fill>
                <patternFill>
                  <bgColor rgb="FFFFFF00"/>
                </patternFill>
              </fill>
            </x14:dxf>
          </x14:cfRule>
          <xm:sqref>H89:V89</xm:sqref>
        </x14:conditionalFormatting>
        <x14:conditionalFormatting xmlns:xm="http://schemas.microsoft.com/office/excel/2006/main">
          <x14:cfRule type="expression" priority="4694870" id="{5F87A680-DC5F-433D-A779-B7A534ACCDA9}">
            <xm:f>$W$4='Data entry'!$R34</xm:f>
            <x14:dxf>
              <fill>
                <patternFill>
                  <bgColor rgb="FFFF0000"/>
                </patternFill>
              </fill>
            </x14:dxf>
          </x14:cfRule>
          <xm:sqref>U90:AG90</xm:sqref>
        </x14:conditionalFormatting>
        <x14:conditionalFormatting xmlns:xm="http://schemas.microsoft.com/office/excel/2006/main">
          <x14:cfRule type="expression" priority="4694871" id="{964539FF-A92C-4F68-B268-B7157A32678C}">
            <xm:f>$W$4='Data entry'!$R34</xm:f>
            <x14:dxf>
              <fill>
                <patternFill>
                  <bgColor rgb="FFFFFF00"/>
                </patternFill>
              </fill>
            </x14:dxf>
          </x14:cfRule>
          <xm:sqref>I89:W89</xm:sqref>
        </x14:conditionalFormatting>
        <x14:conditionalFormatting xmlns:xm="http://schemas.microsoft.com/office/excel/2006/main">
          <x14:cfRule type="expression" priority="4694872" id="{46C1533A-F090-4A90-9309-3F59EC3FD3B0}">
            <xm:f>$X$4='Data entry'!$R34</xm:f>
            <x14:dxf>
              <fill>
                <patternFill>
                  <bgColor rgb="FFFF0000"/>
                </patternFill>
              </fill>
            </x14:dxf>
          </x14:cfRule>
          <xm:sqref>V90:AH90</xm:sqref>
        </x14:conditionalFormatting>
        <x14:conditionalFormatting xmlns:xm="http://schemas.microsoft.com/office/excel/2006/main">
          <x14:cfRule type="expression" priority="4694873" id="{7C70E81C-DDD4-4D75-933A-4F6A39893184}">
            <xm:f>$X$4='Data entry'!$R34</xm:f>
            <x14:dxf>
              <fill>
                <patternFill>
                  <bgColor rgb="FFFFFF00"/>
                </patternFill>
              </fill>
            </x14:dxf>
          </x14:cfRule>
          <xm:sqref>J89:X89</xm:sqref>
        </x14:conditionalFormatting>
        <x14:conditionalFormatting xmlns:xm="http://schemas.microsoft.com/office/excel/2006/main">
          <x14:cfRule type="expression" priority="4694874" id="{561AF073-0EF8-4B72-A119-40A639C4359D}">
            <xm:f>$Y$4='Data entry'!$R34</xm:f>
            <x14:dxf>
              <fill>
                <patternFill>
                  <bgColor rgb="FFFF0000"/>
                </patternFill>
              </fill>
            </x14:dxf>
          </x14:cfRule>
          <xm:sqref>W90:AI90</xm:sqref>
        </x14:conditionalFormatting>
        <x14:conditionalFormatting xmlns:xm="http://schemas.microsoft.com/office/excel/2006/main">
          <x14:cfRule type="expression" priority="4694875" id="{F242E808-8F07-4A89-9524-7D4C767CE357}">
            <xm:f>$Y$4='Data entry'!$R34</xm:f>
            <x14:dxf>
              <fill>
                <patternFill>
                  <bgColor rgb="FFFFFF00"/>
                </patternFill>
              </fill>
            </x14:dxf>
          </x14:cfRule>
          <xm:sqref>K89:Y89</xm:sqref>
        </x14:conditionalFormatting>
        <x14:conditionalFormatting xmlns:xm="http://schemas.microsoft.com/office/excel/2006/main">
          <x14:cfRule type="expression" priority="4694876" id="{DD601058-982B-4218-BD9D-64BB823C2633}">
            <xm:f>$Z$4='Data entry'!$R34</xm:f>
            <x14:dxf>
              <fill>
                <patternFill>
                  <bgColor rgb="FFFF0000"/>
                </patternFill>
              </fill>
            </x14:dxf>
          </x14:cfRule>
          <xm:sqref>X90:AJ90</xm:sqref>
        </x14:conditionalFormatting>
        <x14:conditionalFormatting xmlns:xm="http://schemas.microsoft.com/office/excel/2006/main">
          <x14:cfRule type="expression" priority="4694877" id="{C9DB141D-79F6-4093-92A3-7BF7A1622985}">
            <xm:f>$Z$4='Data entry'!$R34</xm:f>
            <x14:dxf>
              <fill>
                <patternFill>
                  <bgColor rgb="FFFFFF00"/>
                </patternFill>
              </fill>
            </x14:dxf>
          </x14:cfRule>
          <xm:sqref>L89:Z89</xm:sqref>
        </x14:conditionalFormatting>
        <x14:conditionalFormatting xmlns:xm="http://schemas.microsoft.com/office/excel/2006/main">
          <x14:cfRule type="expression" priority="4694878" id="{710EB8D3-F5C0-4E3C-8214-2D0C4E26F649}">
            <xm:f>$AA$4='Data entry'!$R34</xm:f>
            <x14:dxf>
              <fill>
                <patternFill>
                  <bgColor rgb="FFFF0000"/>
                </patternFill>
              </fill>
            </x14:dxf>
          </x14:cfRule>
          <xm:sqref>Y90:AK90</xm:sqref>
        </x14:conditionalFormatting>
        <x14:conditionalFormatting xmlns:xm="http://schemas.microsoft.com/office/excel/2006/main">
          <x14:cfRule type="expression" priority="4694879" id="{33825D69-C967-4D27-B395-5D44A3083802}">
            <xm:f>$AA$4='Data entry'!$R34</xm:f>
            <x14:dxf>
              <fill>
                <patternFill>
                  <bgColor rgb="FFFFFF00"/>
                </patternFill>
              </fill>
            </x14:dxf>
          </x14:cfRule>
          <xm:sqref>M89:AA89</xm:sqref>
        </x14:conditionalFormatting>
        <x14:conditionalFormatting xmlns:xm="http://schemas.microsoft.com/office/excel/2006/main">
          <x14:cfRule type="expression" priority="4694880" id="{9811A97D-351B-4D32-8754-AF433277E62B}">
            <xm:f>$AB$4='Data entry'!$R34</xm:f>
            <x14:dxf>
              <fill>
                <patternFill>
                  <bgColor rgb="FFFF0000"/>
                </patternFill>
              </fill>
            </x14:dxf>
          </x14:cfRule>
          <xm:sqref>Z90:AL90</xm:sqref>
        </x14:conditionalFormatting>
        <x14:conditionalFormatting xmlns:xm="http://schemas.microsoft.com/office/excel/2006/main">
          <x14:cfRule type="expression" priority="4694881" id="{6DD3E556-C72E-438B-92DA-3096ED1E4178}">
            <xm:f>$AB$4='Data entry'!$R34</xm:f>
            <x14:dxf>
              <fill>
                <patternFill>
                  <bgColor rgb="FFFFFF00"/>
                </patternFill>
              </fill>
            </x14:dxf>
          </x14:cfRule>
          <xm:sqref>N89:AB89</xm:sqref>
        </x14:conditionalFormatting>
        <x14:conditionalFormatting xmlns:xm="http://schemas.microsoft.com/office/excel/2006/main">
          <x14:cfRule type="expression" priority="4694882" id="{C0DF7A1B-D6BC-4371-BD3A-F0708147FA1C}">
            <xm:f>$AC$4='Data entry'!$R34</xm:f>
            <x14:dxf>
              <fill>
                <patternFill>
                  <bgColor rgb="FFFF0000"/>
                </patternFill>
              </fill>
            </x14:dxf>
          </x14:cfRule>
          <xm:sqref>AA90:AM90</xm:sqref>
        </x14:conditionalFormatting>
        <x14:conditionalFormatting xmlns:xm="http://schemas.microsoft.com/office/excel/2006/main">
          <x14:cfRule type="expression" priority="4694883" id="{DB2E1F48-AF0E-41F9-A976-6B1963CA5711}">
            <xm:f>$AC$4='Data entry'!$R34</xm:f>
            <x14:dxf>
              <fill>
                <patternFill>
                  <bgColor rgb="FFFFFF00"/>
                </patternFill>
              </fill>
            </x14:dxf>
          </x14:cfRule>
          <xm:sqref>O89:AC89</xm:sqref>
        </x14:conditionalFormatting>
        <x14:conditionalFormatting xmlns:xm="http://schemas.microsoft.com/office/excel/2006/main">
          <x14:cfRule type="expression" priority="4694884" id="{89909907-F9A9-4AF9-BC1D-304710A43F50}">
            <xm:f>$AD$4='Data entry'!$R34</xm:f>
            <x14:dxf>
              <fill>
                <patternFill>
                  <bgColor rgb="FFFF0000"/>
                </patternFill>
              </fill>
            </x14:dxf>
          </x14:cfRule>
          <xm:sqref>AB90:AN90</xm:sqref>
        </x14:conditionalFormatting>
        <x14:conditionalFormatting xmlns:xm="http://schemas.microsoft.com/office/excel/2006/main">
          <x14:cfRule type="expression" priority="4694885" id="{729676B7-E331-43A4-ACC9-850DCEE76A0E}">
            <xm:f>$AD$4='Data entry'!$R34</xm:f>
            <x14:dxf>
              <fill>
                <patternFill>
                  <bgColor rgb="FFFFFF00"/>
                </patternFill>
              </fill>
            </x14:dxf>
          </x14:cfRule>
          <xm:sqref>P89:AD89</xm:sqref>
        </x14:conditionalFormatting>
        <x14:conditionalFormatting xmlns:xm="http://schemas.microsoft.com/office/excel/2006/main">
          <x14:cfRule type="expression" priority="4694886" id="{00DA2C55-350E-44AA-ABEA-808FABFDA737}">
            <xm:f>$AE$4='Data entry'!$R34</xm:f>
            <x14:dxf>
              <fill>
                <patternFill>
                  <bgColor rgb="FFFF0000"/>
                </patternFill>
              </fill>
            </x14:dxf>
          </x14:cfRule>
          <xm:sqref>AC90:AO90</xm:sqref>
        </x14:conditionalFormatting>
        <x14:conditionalFormatting xmlns:xm="http://schemas.microsoft.com/office/excel/2006/main">
          <x14:cfRule type="expression" priority="4694887" id="{373C95F1-00C1-45E9-B561-5224945BA4A4}">
            <xm:f>$AE$4='Data entry'!$R34</xm:f>
            <x14:dxf>
              <fill>
                <patternFill>
                  <bgColor rgb="FFFFFF00"/>
                </patternFill>
              </fill>
            </x14:dxf>
          </x14:cfRule>
          <xm:sqref>Q89:AE89</xm:sqref>
        </x14:conditionalFormatting>
        <x14:conditionalFormatting xmlns:xm="http://schemas.microsoft.com/office/excel/2006/main">
          <x14:cfRule type="expression" priority="4694888" id="{65E90E74-6BEF-4B00-BD5E-ECACFEBC225A}">
            <xm:f>$AF$4='Data entry'!$R34</xm:f>
            <x14:dxf>
              <fill>
                <patternFill>
                  <bgColor rgb="FFFF0000"/>
                </patternFill>
              </fill>
            </x14:dxf>
          </x14:cfRule>
          <xm:sqref>AD90:AP90</xm:sqref>
        </x14:conditionalFormatting>
        <x14:conditionalFormatting xmlns:xm="http://schemas.microsoft.com/office/excel/2006/main">
          <x14:cfRule type="expression" priority="4694889" id="{56B519D7-E083-4811-B42B-D6CB10D44BB3}">
            <xm:f>$AF$4='Data entry'!$R34</xm:f>
            <x14:dxf>
              <fill>
                <patternFill>
                  <bgColor rgb="FFFFFF00"/>
                </patternFill>
              </fill>
            </x14:dxf>
          </x14:cfRule>
          <xm:sqref>R89:AF89</xm:sqref>
        </x14:conditionalFormatting>
        <x14:conditionalFormatting xmlns:xm="http://schemas.microsoft.com/office/excel/2006/main">
          <x14:cfRule type="expression" priority="4694890" id="{889682B6-BF9B-414B-86B7-1C802156B058}">
            <xm:f>$AG$4='Data entry'!$R34</xm:f>
            <x14:dxf>
              <fill>
                <patternFill>
                  <bgColor rgb="FFFF0000"/>
                </patternFill>
              </fill>
            </x14:dxf>
          </x14:cfRule>
          <xm:sqref>AE90:AQ90</xm:sqref>
        </x14:conditionalFormatting>
        <x14:conditionalFormatting xmlns:xm="http://schemas.microsoft.com/office/excel/2006/main">
          <x14:cfRule type="expression" priority="4694891" id="{19913D88-1940-4CB0-B29C-D46D60833BD5}">
            <xm:f>$AG$4='Data entry'!$R34</xm:f>
            <x14:dxf>
              <fill>
                <patternFill>
                  <bgColor rgb="FFFFFF00"/>
                </patternFill>
              </fill>
            </x14:dxf>
          </x14:cfRule>
          <xm:sqref>S89:AG89</xm:sqref>
        </x14:conditionalFormatting>
        <x14:conditionalFormatting xmlns:xm="http://schemas.microsoft.com/office/excel/2006/main">
          <x14:cfRule type="expression" priority="4694892" id="{3DD7B9A5-18A3-463F-BAD5-9796FC487328}">
            <xm:f>$AH$4='Data entry'!$R34</xm:f>
            <x14:dxf>
              <fill>
                <patternFill>
                  <bgColor rgb="FFFF0000"/>
                </patternFill>
              </fill>
            </x14:dxf>
          </x14:cfRule>
          <xm:sqref>AF90:AR90</xm:sqref>
        </x14:conditionalFormatting>
        <x14:conditionalFormatting xmlns:xm="http://schemas.microsoft.com/office/excel/2006/main">
          <x14:cfRule type="expression" priority="4694893" id="{31005CF4-5608-496E-91EB-F7F505046C80}">
            <xm:f>$AH$4='Data entry'!$R34</xm:f>
            <x14:dxf>
              <fill>
                <patternFill>
                  <bgColor rgb="FFFFFF00"/>
                </patternFill>
              </fill>
            </x14:dxf>
          </x14:cfRule>
          <xm:sqref>T89:AH89</xm:sqref>
        </x14:conditionalFormatting>
        <x14:conditionalFormatting xmlns:xm="http://schemas.microsoft.com/office/excel/2006/main">
          <x14:cfRule type="expression" priority="4694894" id="{CD14F654-5B7A-444F-8FC1-7DD71E76E475}">
            <xm:f>$AI$4='Data entry'!$R34</xm:f>
            <x14:dxf>
              <fill>
                <patternFill>
                  <bgColor rgb="FFFF0000"/>
                </patternFill>
              </fill>
            </x14:dxf>
          </x14:cfRule>
          <xm:sqref>AG90:AS90</xm:sqref>
        </x14:conditionalFormatting>
        <x14:conditionalFormatting xmlns:xm="http://schemas.microsoft.com/office/excel/2006/main">
          <x14:cfRule type="expression" priority="4694895" id="{0E4E448C-6C46-4285-B877-A61A90294385}">
            <xm:f>$AI$4='Data entry'!$R34</xm:f>
            <x14:dxf>
              <fill>
                <patternFill>
                  <bgColor rgb="FFFFFF00"/>
                </patternFill>
              </fill>
            </x14:dxf>
          </x14:cfRule>
          <xm:sqref>U89:AI89</xm:sqref>
        </x14:conditionalFormatting>
        <x14:conditionalFormatting xmlns:xm="http://schemas.microsoft.com/office/excel/2006/main">
          <x14:cfRule type="expression" priority="4694896" id="{B1C1818F-791C-403D-BE73-6F6E9DC6A16D}">
            <xm:f>$AJ$4='Data entry'!$R34</xm:f>
            <x14:dxf>
              <fill>
                <patternFill>
                  <bgColor rgb="FFFF0000"/>
                </patternFill>
              </fill>
            </x14:dxf>
          </x14:cfRule>
          <xm:sqref>AH90:AT90</xm:sqref>
        </x14:conditionalFormatting>
        <x14:conditionalFormatting xmlns:xm="http://schemas.microsoft.com/office/excel/2006/main">
          <x14:cfRule type="expression" priority="4694897" id="{A1237792-221B-431B-B8A7-E9A64DA46D93}">
            <xm:f>$AJ$4='Data entry'!$R34</xm:f>
            <x14:dxf>
              <fill>
                <patternFill>
                  <bgColor rgb="FFFFFF00"/>
                </patternFill>
              </fill>
            </x14:dxf>
          </x14:cfRule>
          <xm:sqref>V89:AJ89</xm:sqref>
        </x14:conditionalFormatting>
        <x14:conditionalFormatting xmlns:xm="http://schemas.microsoft.com/office/excel/2006/main">
          <x14:cfRule type="expression" priority="4694898" id="{617DC2AF-C7A3-4724-8EA3-17DEFEDC8949}">
            <xm:f>$AK$4='Data entry'!$R34</xm:f>
            <x14:dxf>
              <fill>
                <patternFill>
                  <bgColor rgb="FFFF0000"/>
                </patternFill>
              </fill>
            </x14:dxf>
          </x14:cfRule>
          <xm:sqref>AI90:AU90</xm:sqref>
        </x14:conditionalFormatting>
        <x14:conditionalFormatting xmlns:xm="http://schemas.microsoft.com/office/excel/2006/main">
          <x14:cfRule type="expression" priority="4694899" id="{AA72317D-37B1-48EB-A28B-BF2AC8DC4519}">
            <xm:f>$AK$4='Data entry'!$R34</xm:f>
            <x14:dxf>
              <fill>
                <patternFill>
                  <bgColor rgb="FFFFFF00"/>
                </patternFill>
              </fill>
            </x14:dxf>
          </x14:cfRule>
          <xm:sqref>W89:AK89</xm:sqref>
        </x14:conditionalFormatting>
        <x14:conditionalFormatting xmlns:xm="http://schemas.microsoft.com/office/excel/2006/main">
          <x14:cfRule type="expression" priority="4694900" id="{6CA9FB7A-20EA-4D3A-B74C-A001F4BE810D}">
            <xm:f>$AL$4='Data entry'!$R34</xm:f>
            <x14:dxf>
              <fill>
                <patternFill>
                  <bgColor rgb="FFFF0000"/>
                </patternFill>
              </fill>
            </x14:dxf>
          </x14:cfRule>
          <xm:sqref>AJ90:AV90</xm:sqref>
        </x14:conditionalFormatting>
        <x14:conditionalFormatting xmlns:xm="http://schemas.microsoft.com/office/excel/2006/main">
          <x14:cfRule type="expression" priority="4694901" id="{81A75DAA-573F-4EF3-A640-1B992C18BEA0}">
            <xm:f>$AL$4='Data entry'!$R34</xm:f>
            <x14:dxf>
              <fill>
                <patternFill>
                  <bgColor rgb="FFFFFF00"/>
                </patternFill>
              </fill>
            </x14:dxf>
          </x14:cfRule>
          <xm:sqref>X89:AL89</xm:sqref>
        </x14:conditionalFormatting>
        <x14:conditionalFormatting xmlns:xm="http://schemas.microsoft.com/office/excel/2006/main">
          <x14:cfRule type="expression" priority="4694902" id="{3D44713E-4ABA-4CCD-9DF4-5513A9FB5E1E}">
            <xm:f>$AM$4='Data entry'!$R34</xm:f>
            <x14:dxf>
              <fill>
                <patternFill>
                  <bgColor rgb="FFFF0000"/>
                </patternFill>
              </fill>
            </x14:dxf>
          </x14:cfRule>
          <xm:sqref>AK90:AW90</xm:sqref>
        </x14:conditionalFormatting>
        <x14:conditionalFormatting xmlns:xm="http://schemas.microsoft.com/office/excel/2006/main">
          <x14:cfRule type="expression" priority="4694903" id="{05A26B51-72A7-4423-822F-2BDBC28275D0}">
            <xm:f>$AM$4='Data entry'!$R34</xm:f>
            <x14:dxf>
              <fill>
                <patternFill>
                  <bgColor rgb="FFFFFF00"/>
                </patternFill>
              </fill>
            </x14:dxf>
          </x14:cfRule>
          <xm:sqref>Y89:AM89</xm:sqref>
        </x14:conditionalFormatting>
        <x14:conditionalFormatting xmlns:xm="http://schemas.microsoft.com/office/excel/2006/main">
          <x14:cfRule type="expression" priority="4694904" id="{B8A20675-6230-4694-A7F6-6B3DC7142773}">
            <xm:f>$AN$4='Data entry'!$R34</xm:f>
            <x14:dxf>
              <fill>
                <patternFill>
                  <bgColor rgb="FFFF0000"/>
                </patternFill>
              </fill>
            </x14:dxf>
          </x14:cfRule>
          <xm:sqref>AL90:AX90</xm:sqref>
        </x14:conditionalFormatting>
        <x14:conditionalFormatting xmlns:xm="http://schemas.microsoft.com/office/excel/2006/main">
          <x14:cfRule type="expression" priority="4694905" id="{8421181C-7450-42E9-BC1D-065CCFCA960E}">
            <xm:f>$AN$4='Data entry'!$R34</xm:f>
            <x14:dxf>
              <fill>
                <patternFill>
                  <bgColor rgb="FFFFFF00"/>
                </patternFill>
              </fill>
            </x14:dxf>
          </x14:cfRule>
          <xm:sqref>Z89:AN89</xm:sqref>
        </x14:conditionalFormatting>
        <x14:conditionalFormatting xmlns:xm="http://schemas.microsoft.com/office/excel/2006/main">
          <x14:cfRule type="expression" priority="4694906" id="{067FE4BD-6EF4-4684-B6E0-35AB2F267EE7}">
            <xm:f>$AO$4='Data entry'!$R34</xm:f>
            <x14:dxf>
              <fill>
                <patternFill>
                  <bgColor rgb="FFFF0000"/>
                </patternFill>
              </fill>
            </x14:dxf>
          </x14:cfRule>
          <xm:sqref>AM90:AY90</xm:sqref>
        </x14:conditionalFormatting>
        <x14:conditionalFormatting xmlns:xm="http://schemas.microsoft.com/office/excel/2006/main">
          <x14:cfRule type="expression" priority="4694907" id="{F7653492-88D1-47AC-8BA3-0CCE65C3C2AB}">
            <xm:f>$AO$4='Data entry'!$R34</xm:f>
            <x14:dxf>
              <fill>
                <patternFill>
                  <bgColor rgb="FFFFFF00"/>
                </patternFill>
              </fill>
            </x14:dxf>
          </x14:cfRule>
          <xm:sqref>AA89:AO89</xm:sqref>
        </x14:conditionalFormatting>
        <x14:conditionalFormatting xmlns:xm="http://schemas.microsoft.com/office/excel/2006/main">
          <x14:cfRule type="expression" priority="4694908" id="{207A5E5D-B322-482E-9193-1D7318138358}">
            <xm:f>$AP$4='Data entry'!$R34</xm:f>
            <x14:dxf>
              <fill>
                <patternFill>
                  <bgColor rgb="FFFF0000"/>
                </patternFill>
              </fill>
            </x14:dxf>
          </x14:cfRule>
          <xm:sqref>AN90:AZ90</xm:sqref>
        </x14:conditionalFormatting>
        <x14:conditionalFormatting xmlns:xm="http://schemas.microsoft.com/office/excel/2006/main">
          <x14:cfRule type="expression" priority="4694909" id="{21DA638D-4CA0-4067-BFF1-240CE1A0261B}">
            <xm:f>$AP$4='Data entry'!$R34</xm:f>
            <x14:dxf>
              <fill>
                <patternFill>
                  <bgColor rgb="FFFFFF00"/>
                </patternFill>
              </fill>
            </x14:dxf>
          </x14:cfRule>
          <xm:sqref>AB89:AP89</xm:sqref>
        </x14:conditionalFormatting>
        <x14:conditionalFormatting xmlns:xm="http://schemas.microsoft.com/office/excel/2006/main">
          <x14:cfRule type="expression" priority="4694910" id="{71963D96-A42A-4B90-BFC7-6D83D37766EF}">
            <xm:f>$AQ$4='Data entry'!$R34</xm:f>
            <x14:dxf>
              <fill>
                <patternFill>
                  <bgColor rgb="FFFF0000"/>
                </patternFill>
              </fill>
            </x14:dxf>
          </x14:cfRule>
          <xm:sqref>AO90:BA90</xm:sqref>
        </x14:conditionalFormatting>
        <x14:conditionalFormatting xmlns:xm="http://schemas.microsoft.com/office/excel/2006/main">
          <x14:cfRule type="expression" priority="4694911" id="{74952595-84B6-484F-8FF6-FCC1F337DF4D}">
            <xm:f>$AQ$4='Data entry'!$R34</xm:f>
            <x14:dxf>
              <fill>
                <patternFill>
                  <bgColor rgb="FFFFFF00"/>
                </patternFill>
              </fill>
            </x14:dxf>
          </x14:cfRule>
          <xm:sqref>AC89:AQ89</xm:sqref>
        </x14:conditionalFormatting>
        <x14:conditionalFormatting xmlns:xm="http://schemas.microsoft.com/office/excel/2006/main">
          <x14:cfRule type="expression" priority="4694912" id="{8AC9C4B9-0A34-4BC0-B0F7-CA89434C4911}">
            <xm:f>$P$4='Data entry'!$R34</xm:f>
            <x14:dxf>
              <fill>
                <patternFill>
                  <bgColor rgb="FFFFFF00"/>
                </patternFill>
              </fill>
            </x14:dxf>
          </x14:cfRule>
          <xm:sqref>C89:P89</xm:sqref>
        </x14:conditionalFormatting>
        <x14:conditionalFormatting xmlns:xm="http://schemas.microsoft.com/office/excel/2006/main">
          <x14:cfRule type="expression" priority="4694913" id="{0A726775-ABFD-4F22-967C-1A4D87BA3751}">
            <xm:f>$Q$4='Data entry'!$R34</xm:f>
            <x14:dxf>
              <fill>
                <patternFill>
                  <bgColor rgb="FFFFFF00"/>
                </patternFill>
              </fill>
            </x14:dxf>
          </x14:cfRule>
          <xm:sqref>C89:Q89</xm:sqref>
        </x14:conditionalFormatting>
        <x14:conditionalFormatting xmlns:xm="http://schemas.microsoft.com/office/excel/2006/main">
          <x14:cfRule type="expression" priority="4694914" id="{3A8414BD-262C-43B5-86EE-FA6901D00453}">
            <xm:f>$Q$4='Data entry'!$R34</xm:f>
            <x14:dxf>
              <fill>
                <patternFill>
                  <bgColor rgb="FFFF0000"/>
                </patternFill>
              </fill>
            </x14:dxf>
          </x14:cfRule>
          <xm:sqref>O90:AA90</xm:sqref>
        </x14:conditionalFormatting>
        <x14:conditionalFormatting xmlns:xm="http://schemas.microsoft.com/office/excel/2006/main">
          <x14:cfRule type="expression" priority="4694915" id="{B8B5501D-F3EF-4449-9306-F652960C65F4}">
            <xm:f>$R$4='Data entry'!$R34</xm:f>
            <x14:dxf>
              <fill>
                <patternFill>
                  <bgColor rgb="FFFF0000"/>
                </patternFill>
              </fill>
            </x14:dxf>
          </x14:cfRule>
          <xm:sqref>P90:AB90</xm:sqref>
        </x14:conditionalFormatting>
        <x14:conditionalFormatting xmlns:xm="http://schemas.microsoft.com/office/excel/2006/main">
          <x14:cfRule type="expression" priority="4694916" id="{5D070DEC-B82E-4D87-B907-A3E5AB836991}">
            <xm:f>$R$4='Data entry'!$R34</xm:f>
            <x14:dxf>
              <fill>
                <patternFill>
                  <bgColor rgb="FFFFFF00"/>
                </patternFill>
              </fill>
            </x14:dxf>
          </x14:cfRule>
          <xm:sqref>D89:R89</xm:sqref>
        </x14:conditionalFormatting>
        <x14:conditionalFormatting xmlns:xm="http://schemas.microsoft.com/office/excel/2006/main">
          <x14:cfRule type="expression" priority="4694917" id="{E4D16A10-F818-4664-9FB2-F0E839824D4B}">
            <xm:f>$S$4='Data entry'!$R34</xm:f>
            <x14:dxf>
              <fill>
                <patternFill>
                  <bgColor rgb="FFFF0000"/>
                </patternFill>
              </fill>
            </x14:dxf>
          </x14:cfRule>
          <xm:sqref>Q90:AC90</xm:sqref>
        </x14:conditionalFormatting>
        <x14:conditionalFormatting xmlns:xm="http://schemas.microsoft.com/office/excel/2006/main">
          <x14:cfRule type="expression" priority="4694918" id="{1A9F9911-A3E9-4730-AFBE-AB8C596545CA}">
            <xm:f>$S$4='Data entry'!$R34</xm:f>
            <x14:dxf>
              <fill>
                <patternFill>
                  <bgColor rgb="FFFFFF00"/>
                </patternFill>
              </fill>
            </x14:dxf>
          </x14:cfRule>
          <xm:sqref>E89:S89</xm:sqref>
        </x14:conditionalFormatting>
        <x14:conditionalFormatting xmlns:xm="http://schemas.microsoft.com/office/excel/2006/main">
          <x14:cfRule type="expression" priority="4694919" id="{8BB5CD1B-B2AC-442A-9550-26DE19A62D22}">
            <xm:f>$T$4='Data entry'!$R34</xm:f>
            <x14:dxf>
              <fill>
                <patternFill>
                  <bgColor rgb="FFFF0000"/>
                </patternFill>
              </fill>
            </x14:dxf>
          </x14:cfRule>
          <xm:sqref>R90:AD90</xm:sqref>
        </x14:conditionalFormatting>
        <x14:conditionalFormatting xmlns:xm="http://schemas.microsoft.com/office/excel/2006/main">
          <x14:cfRule type="expression" priority="4694920" id="{E7B59C69-7921-4049-84A1-8B3E5F7B0598}">
            <xm:f>$T$4='Data entry'!$R34</xm:f>
            <x14:dxf>
              <fill>
                <patternFill>
                  <bgColor rgb="FFFFFF00"/>
                </patternFill>
              </fill>
            </x14:dxf>
          </x14:cfRule>
          <xm:sqref>F89:T89</xm:sqref>
        </x14:conditionalFormatting>
        <x14:conditionalFormatting xmlns:xm="http://schemas.microsoft.com/office/excel/2006/main">
          <x14:cfRule type="expression" priority="4694921" id="{238C09E5-7A3D-439D-949F-A7733073F9A2}">
            <xm:f>$U$4='Data entry'!$R34</xm:f>
            <x14:dxf>
              <fill>
                <patternFill>
                  <bgColor rgb="FFFFFF00"/>
                </patternFill>
              </fill>
            </x14:dxf>
          </x14:cfRule>
          <xm:sqref>G89:U89</xm:sqref>
        </x14:conditionalFormatting>
        <x14:conditionalFormatting xmlns:xm="http://schemas.microsoft.com/office/excel/2006/main">
          <x14:cfRule type="expression" priority="4694922" id="{DE4D4432-0A19-452A-AF14-2873FE4DF411}">
            <xm:f>$AR$4='Data entry'!$R34</xm:f>
            <x14:dxf>
              <fill>
                <patternFill>
                  <bgColor rgb="FFFF0000"/>
                </patternFill>
              </fill>
            </x14:dxf>
          </x14:cfRule>
          <xm:sqref>AP90:BB90</xm:sqref>
        </x14:conditionalFormatting>
        <x14:conditionalFormatting xmlns:xm="http://schemas.microsoft.com/office/excel/2006/main">
          <x14:cfRule type="expression" priority="4694923" id="{90D7E1FF-542D-40C8-9BD5-DFEB4CDD256F}">
            <xm:f>$AR$4='Data entry'!$R34</xm:f>
            <x14:dxf>
              <fill>
                <patternFill>
                  <bgColor rgb="FFFFFF00"/>
                </patternFill>
              </fill>
            </x14:dxf>
          </x14:cfRule>
          <xm:sqref>AD89:AR89</xm:sqref>
        </x14:conditionalFormatting>
        <x14:conditionalFormatting xmlns:xm="http://schemas.microsoft.com/office/excel/2006/main">
          <x14:cfRule type="expression" priority="4694924" id="{0EBB5305-4A4A-4205-A1FF-11160070CBC3}">
            <xm:f>$AS$4='Data entry'!$R34</xm:f>
            <x14:dxf>
              <fill>
                <patternFill>
                  <bgColor rgb="FFFF0000"/>
                </patternFill>
              </fill>
            </x14:dxf>
          </x14:cfRule>
          <xm:sqref>AQ90:BC90</xm:sqref>
        </x14:conditionalFormatting>
        <x14:conditionalFormatting xmlns:xm="http://schemas.microsoft.com/office/excel/2006/main">
          <x14:cfRule type="expression" priority="4694925" id="{AC8EB30C-4253-4CE1-820E-1801F6D8D35B}">
            <xm:f>$AS$4='Data entry'!$R34</xm:f>
            <x14:dxf>
              <fill>
                <patternFill>
                  <bgColor rgb="FFFFFF00"/>
                </patternFill>
              </fill>
            </x14:dxf>
          </x14:cfRule>
          <xm:sqref>AE89:AS89</xm:sqref>
        </x14:conditionalFormatting>
        <x14:conditionalFormatting xmlns:xm="http://schemas.microsoft.com/office/excel/2006/main">
          <x14:cfRule type="expression" priority="4694926" id="{E11744C1-7201-4272-A1B0-945490B42425}">
            <xm:f>$AT$4='Data entry'!$R34</xm:f>
            <x14:dxf>
              <fill>
                <patternFill>
                  <bgColor rgb="FFFF0000"/>
                </patternFill>
              </fill>
            </x14:dxf>
          </x14:cfRule>
          <xm:sqref>AR90:BD90</xm:sqref>
        </x14:conditionalFormatting>
        <x14:conditionalFormatting xmlns:xm="http://schemas.microsoft.com/office/excel/2006/main">
          <x14:cfRule type="expression" priority="4694927" id="{5EE2823B-E955-4EA7-B99C-0B1F77B57A69}">
            <xm:f>$AT$4='Data entry'!$R34</xm:f>
            <x14:dxf>
              <fill>
                <patternFill>
                  <bgColor rgb="FFFFFF00"/>
                </patternFill>
              </fill>
            </x14:dxf>
          </x14:cfRule>
          <xm:sqref>AF89:AT89</xm:sqref>
        </x14:conditionalFormatting>
        <x14:conditionalFormatting xmlns:xm="http://schemas.microsoft.com/office/excel/2006/main">
          <x14:cfRule type="expression" priority="4694928" id="{5737DC63-3262-4B34-900C-2AAEB255FCBA}">
            <xm:f>$AU$4='Data entry'!$R34</xm:f>
            <x14:dxf>
              <fill>
                <patternFill>
                  <bgColor rgb="FFFF0000"/>
                </patternFill>
              </fill>
            </x14:dxf>
          </x14:cfRule>
          <xm:sqref>AS90:BE90</xm:sqref>
        </x14:conditionalFormatting>
        <x14:conditionalFormatting xmlns:xm="http://schemas.microsoft.com/office/excel/2006/main">
          <x14:cfRule type="expression" priority="4694929" id="{2B5C1F1B-3C3D-4CA3-BC64-0E98422075B6}">
            <xm:f>$AU$4='Data entry'!$R34</xm:f>
            <x14:dxf>
              <fill>
                <patternFill>
                  <bgColor rgb="FFFFFF00"/>
                </patternFill>
              </fill>
            </x14:dxf>
          </x14:cfRule>
          <xm:sqref>AG89:AU89</xm:sqref>
        </x14:conditionalFormatting>
        <x14:conditionalFormatting xmlns:xm="http://schemas.microsoft.com/office/excel/2006/main">
          <x14:cfRule type="expression" priority="4694930" id="{B87A1285-B003-4855-8F4B-53C391BA10E6}">
            <xm:f>$AV$4='Data entry'!$R34</xm:f>
            <x14:dxf>
              <fill>
                <patternFill>
                  <bgColor rgb="FFFF0000"/>
                </patternFill>
              </fill>
            </x14:dxf>
          </x14:cfRule>
          <xm:sqref>AT90:BF90</xm:sqref>
        </x14:conditionalFormatting>
        <x14:conditionalFormatting xmlns:xm="http://schemas.microsoft.com/office/excel/2006/main">
          <x14:cfRule type="expression" priority="4694931" id="{338EE31C-78DB-4818-B837-0380F9E457FA}">
            <xm:f>$AV$4='Data entry'!$R34</xm:f>
            <x14:dxf>
              <fill>
                <patternFill>
                  <bgColor rgb="FFFFFF00"/>
                </patternFill>
              </fill>
            </x14:dxf>
          </x14:cfRule>
          <xm:sqref>AH89:AV89</xm:sqref>
        </x14:conditionalFormatting>
        <x14:conditionalFormatting xmlns:xm="http://schemas.microsoft.com/office/excel/2006/main">
          <x14:cfRule type="expression" priority="4694932" id="{5C40EA66-2801-4C91-B885-BF6A1ECFC35C}">
            <xm:f>$AW$4='Data entry'!$R34</xm:f>
            <x14:dxf>
              <fill>
                <patternFill>
                  <bgColor rgb="FFFF0000"/>
                </patternFill>
              </fill>
            </x14:dxf>
          </x14:cfRule>
          <xm:sqref>AU90:BG90</xm:sqref>
        </x14:conditionalFormatting>
        <x14:conditionalFormatting xmlns:xm="http://schemas.microsoft.com/office/excel/2006/main">
          <x14:cfRule type="expression" priority="4694933" id="{51BCD5CE-DF86-4C2F-8A81-DDA1EFD6C8F7}">
            <xm:f>$AW$4='Data entry'!$R34</xm:f>
            <x14:dxf>
              <fill>
                <patternFill>
                  <bgColor rgb="FFFFFF00"/>
                </patternFill>
              </fill>
            </x14:dxf>
          </x14:cfRule>
          <xm:sqref>AI89:AW89</xm:sqref>
        </x14:conditionalFormatting>
        <x14:conditionalFormatting xmlns:xm="http://schemas.microsoft.com/office/excel/2006/main">
          <x14:cfRule type="expression" priority="4694934" id="{DC2ED5A0-8917-4877-8CD3-9DF9BE5993C9}">
            <xm:f>$AX$4='Data entry'!$R34</xm:f>
            <x14:dxf>
              <fill>
                <patternFill>
                  <bgColor rgb="FFFF0000"/>
                </patternFill>
              </fill>
            </x14:dxf>
          </x14:cfRule>
          <xm:sqref>AV90:BH90</xm:sqref>
        </x14:conditionalFormatting>
        <x14:conditionalFormatting xmlns:xm="http://schemas.microsoft.com/office/excel/2006/main">
          <x14:cfRule type="expression" priority="4694935" id="{59B31869-20F9-45BD-BC80-0A6C8945CE2C}">
            <xm:f>$AX$4='Data entry'!$R34</xm:f>
            <x14:dxf>
              <fill>
                <patternFill>
                  <bgColor rgb="FFFFFF00"/>
                </patternFill>
              </fill>
            </x14:dxf>
          </x14:cfRule>
          <xm:sqref>AJ89:AX89</xm:sqref>
        </x14:conditionalFormatting>
        <x14:conditionalFormatting xmlns:xm="http://schemas.microsoft.com/office/excel/2006/main">
          <x14:cfRule type="expression" priority="4694936" id="{D4208FA0-4262-4037-934C-6D0742B2AD8E}">
            <xm:f>$AY$4='Data entry'!$R34</xm:f>
            <x14:dxf>
              <fill>
                <patternFill>
                  <bgColor rgb="FFFF0000"/>
                </patternFill>
              </fill>
            </x14:dxf>
          </x14:cfRule>
          <xm:sqref>AW90:BI90</xm:sqref>
        </x14:conditionalFormatting>
        <x14:conditionalFormatting xmlns:xm="http://schemas.microsoft.com/office/excel/2006/main">
          <x14:cfRule type="expression" priority="4694937" id="{04D6E423-18C7-42B2-A67D-F49D8E62B571}">
            <xm:f>$AY$4='Data entry'!$R34</xm:f>
            <x14:dxf>
              <fill>
                <patternFill>
                  <bgColor rgb="FFFFFF00"/>
                </patternFill>
              </fill>
            </x14:dxf>
          </x14:cfRule>
          <xm:sqref>AK89:AY89</xm:sqref>
        </x14:conditionalFormatting>
        <x14:conditionalFormatting xmlns:xm="http://schemas.microsoft.com/office/excel/2006/main">
          <x14:cfRule type="expression" priority="4694938" id="{A931C203-6E4B-4EBD-A2F4-1876881F48D4}">
            <xm:f>$AZ$4='Data entry'!$R34</xm:f>
            <x14:dxf>
              <fill>
                <patternFill>
                  <bgColor rgb="FFFF0000"/>
                </patternFill>
              </fill>
            </x14:dxf>
          </x14:cfRule>
          <xm:sqref>AX90:BJ90</xm:sqref>
        </x14:conditionalFormatting>
        <x14:conditionalFormatting xmlns:xm="http://schemas.microsoft.com/office/excel/2006/main">
          <x14:cfRule type="expression" priority="4694939" id="{092D9100-E652-40FE-8CAA-720DC0681250}">
            <xm:f>$AZ$4='Data entry'!$R34</xm:f>
            <x14:dxf>
              <fill>
                <patternFill>
                  <bgColor rgb="FFFFFF00"/>
                </patternFill>
              </fill>
            </x14:dxf>
          </x14:cfRule>
          <xm:sqref>AL89:AZ89</xm:sqref>
        </x14:conditionalFormatting>
        <x14:conditionalFormatting xmlns:xm="http://schemas.microsoft.com/office/excel/2006/main">
          <x14:cfRule type="expression" priority="4694940" id="{A3C7E6BE-A225-483C-A983-A915DB662C52}">
            <xm:f>$BA$4='Data entry'!$R34</xm:f>
            <x14:dxf>
              <fill>
                <patternFill>
                  <bgColor rgb="FFFF0000"/>
                </patternFill>
              </fill>
            </x14:dxf>
          </x14:cfRule>
          <xm:sqref>AY90:BK90</xm:sqref>
        </x14:conditionalFormatting>
        <x14:conditionalFormatting xmlns:xm="http://schemas.microsoft.com/office/excel/2006/main">
          <x14:cfRule type="expression" priority="4694941" id="{F5CF569A-8AFA-4CFF-8BD3-F04D8927A99F}">
            <xm:f>$BA$4='Data entry'!$R34</xm:f>
            <x14:dxf>
              <fill>
                <patternFill>
                  <bgColor rgb="FFFFFF00"/>
                </patternFill>
              </fill>
            </x14:dxf>
          </x14:cfRule>
          <xm:sqref>AM89:BA89</xm:sqref>
        </x14:conditionalFormatting>
        <x14:conditionalFormatting xmlns:xm="http://schemas.microsoft.com/office/excel/2006/main">
          <x14:cfRule type="expression" priority="4694942" id="{E4DAC94A-7983-4BFB-A87B-45B58561841A}">
            <xm:f>$BB$4='Data entry'!$R34</xm:f>
            <x14:dxf>
              <fill>
                <patternFill>
                  <bgColor rgb="FFFF0000"/>
                </patternFill>
              </fill>
            </x14:dxf>
          </x14:cfRule>
          <xm:sqref>AZ90:BL90</xm:sqref>
        </x14:conditionalFormatting>
        <x14:conditionalFormatting xmlns:xm="http://schemas.microsoft.com/office/excel/2006/main">
          <x14:cfRule type="expression" priority="4694943" id="{E63849C5-F39B-4B0E-8F8A-B532EDF2CBAE}">
            <xm:f>$BB$4='Data entry'!$R34</xm:f>
            <x14:dxf>
              <fill>
                <patternFill>
                  <bgColor rgb="FFFFFF00"/>
                </patternFill>
              </fill>
            </x14:dxf>
          </x14:cfRule>
          <xm:sqref>AN89:BB89</xm:sqref>
        </x14:conditionalFormatting>
        <x14:conditionalFormatting xmlns:xm="http://schemas.microsoft.com/office/excel/2006/main">
          <x14:cfRule type="expression" priority="4694944" id="{4FDC32D3-C1F5-455D-9AA4-A03359B72526}">
            <xm:f>$BC$4='Data entry'!$R34</xm:f>
            <x14:dxf>
              <fill>
                <patternFill>
                  <bgColor rgb="FFFF0000"/>
                </patternFill>
              </fill>
            </x14:dxf>
          </x14:cfRule>
          <xm:sqref>BA90:BM90</xm:sqref>
        </x14:conditionalFormatting>
        <x14:conditionalFormatting xmlns:xm="http://schemas.microsoft.com/office/excel/2006/main">
          <x14:cfRule type="expression" priority="4694945" id="{5F0D0C60-B233-4C56-B05D-98C99990877F}">
            <xm:f>$BC$4='Data entry'!$R34</xm:f>
            <x14:dxf>
              <fill>
                <patternFill>
                  <bgColor rgb="FFFFFF00"/>
                </patternFill>
              </fill>
            </x14:dxf>
          </x14:cfRule>
          <xm:sqref>AO89:BC89</xm:sqref>
        </x14:conditionalFormatting>
        <x14:conditionalFormatting xmlns:xm="http://schemas.microsoft.com/office/excel/2006/main">
          <x14:cfRule type="expression" priority="4694946" id="{9EBCB60F-8135-43B6-A0F3-548D4092CC98}">
            <xm:f>$BD$4='Data entry'!$R34</xm:f>
            <x14:dxf>
              <fill>
                <patternFill>
                  <bgColor rgb="FFFF0000"/>
                </patternFill>
              </fill>
            </x14:dxf>
          </x14:cfRule>
          <xm:sqref>BB90:BN90</xm:sqref>
        </x14:conditionalFormatting>
        <x14:conditionalFormatting xmlns:xm="http://schemas.microsoft.com/office/excel/2006/main">
          <x14:cfRule type="expression" priority="4694947" id="{961AF346-4A73-41ED-9A8D-27D431B09C05}">
            <xm:f>$BD$4='Data entry'!$R34</xm:f>
            <x14:dxf>
              <fill>
                <patternFill>
                  <bgColor rgb="FFFFFF00"/>
                </patternFill>
              </fill>
            </x14:dxf>
          </x14:cfRule>
          <xm:sqref>AP89:BD89</xm:sqref>
        </x14:conditionalFormatting>
        <x14:conditionalFormatting xmlns:xm="http://schemas.microsoft.com/office/excel/2006/main">
          <x14:cfRule type="expression" priority="4694948" id="{5A887026-27CD-4F8C-8BA6-1E92704C1CA6}">
            <xm:f>$BE$4='Data entry'!$R34</xm:f>
            <x14:dxf>
              <fill>
                <patternFill>
                  <bgColor rgb="FFFF0000"/>
                </patternFill>
              </fill>
            </x14:dxf>
          </x14:cfRule>
          <xm:sqref>BC90:BO90</xm:sqref>
        </x14:conditionalFormatting>
        <x14:conditionalFormatting xmlns:xm="http://schemas.microsoft.com/office/excel/2006/main">
          <x14:cfRule type="expression" priority="4694949" id="{7F46217B-A1E9-4515-B31E-E756FCD7C6D9}">
            <xm:f>$BE$4='Data entry'!$R34</xm:f>
            <x14:dxf>
              <fill>
                <patternFill>
                  <bgColor rgb="FFFFFF00"/>
                </patternFill>
              </fill>
            </x14:dxf>
          </x14:cfRule>
          <xm:sqref>AP89:BE89</xm:sqref>
        </x14:conditionalFormatting>
        <x14:conditionalFormatting xmlns:xm="http://schemas.microsoft.com/office/excel/2006/main">
          <x14:cfRule type="expression" priority="4694950" id="{F4D9285C-8CA0-4EF1-943E-6A462D47CC77}">
            <xm:f>$BF$4='Data entry'!$R34</xm:f>
            <x14:dxf>
              <fill>
                <patternFill>
                  <bgColor rgb="FFFF0000"/>
                </patternFill>
              </fill>
            </x14:dxf>
          </x14:cfRule>
          <xm:sqref>BD90:BP90</xm:sqref>
        </x14:conditionalFormatting>
        <x14:conditionalFormatting xmlns:xm="http://schemas.microsoft.com/office/excel/2006/main">
          <x14:cfRule type="expression" priority="4694951" id="{B9E4407D-651D-4DC0-9D61-3271D62A65E9}">
            <xm:f>$BF$4='Data entry'!$R34</xm:f>
            <x14:dxf>
              <fill>
                <patternFill>
                  <bgColor rgb="FFFFFF00"/>
                </patternFill>
              </fill>
            </x14:dxf>
          </x14:cfRule>
          <xm:sqref>AR89:BF89</xm:sqref>
        </x14:conditionalFormatting>
        <x14:conditionalFormatting xmlns:xm="http://schemas.microsoft.com/office/excel/2006/main">
          <x14:cfRule type="expression" priority="4694952" id="{4CDC062F-DDFF-4556-B941-08F919727F69}">
            <xm:f>$BG$4='Data entry'!$R34</xm:f>
            <x14:dxf>
              <fill>
                <patternFill>
                  <bgColor rgb="FFFF0000"/>
                </patternFill>
              </fill>
            </x14:dxf>
          </x14:cfRule>
          <xm:sqref>BE90:BQ90</xm:sqref>
        </x14:conditionalFormatting>
        <x14:conditionalFormatting xmlns:xm="http://schemas.microsoft.com/office/excel/2006/main">
          <x14:cfRule type="expression" priority="4694953" id="{789184FA-9055-433B-8A1B-92C7ED59E81F}">
            <xm:f>$BG$4='Data entry'!$R34</xm:f>
            <x14:dxf>
              <fill>
                <patternFill>
                  <bgColor rgb="FFFFFF00"/>
                </patternFill>
              </fill>
            </x14:dxf>
          </x14:cfRule>
          <xm:sqref>AS89:BG89</xm:sqref>
        </x14:conditionalFormatting>
        <x14:conditionalFormatting xmlns:xm="http://schemas.microsoft.com/office/excel/2006/main">
          <x14:cfRule type="expression" priority="4694954" id="{58651E5C-09C9-46C1-B95C-E8A578A49E15}">
            <xm:f>$BH$4='Data entry'!$R34</xm:f>
            <x14:dxf>
              <fill>
                <patternFill>
                  <bgColor rgb="FFFFFF00"/>
                </patternFill>
              </fill>
            </x14:dxf>
          </x14:cfRule>
          <xm:sqref>AT89:BH89</xm:sqref>
        </x14:conditionalFormatting>
        <x14:conditionalFormatting xmlns:xm="http://schemas.microsoft.com/office/excel/2006/main">
          <x14:cfRule type="expression" priority="4694955" id="{97B30B86-8311-4DC0-A533-8C0D53F37839}">
            <xm:f>$BH$4='Data entry'!$R34</xm:f>
            <x14:dxf>
              <fill>
                <patternFill>
                  <bgColor rgb="FFFF0000"/>
                </patternFill>
              </fill>
            </x14:dxf>
          </x14:cfRule>
          <xm:sqref>BF90:BR90</xm:sqref>
        </x14:conditionalFormatting>
        <x14:conditionalFormatting xmlns:xm="http://schemas.microsoft.com/office/excel/2006/main">
          <x14:cfRule type="expression" priority="4694956" id="{78344C0C-5AEA-40B1-A20C-6D77DF58E1F5}">
            <xm:f>$BI$4='Data entry'!$R34</xm:f>
            <x14:dxf>
              <fill>
                <patternFill>
                  <bgColor rgb="FFFFFF00"/>
                </patternFill>
              </fill>
            </x14:dxf>
          </x14:cfRule>
          <xm:sqref>AU89:BI89</xm:sqref>
        </x14:conditionalFormatting>
        <x14:conditionalFormatting xmlns:xm="http://schemas.microsoft.com/office/excel/2006/main">
          <x14:cfRule type="expression" priority="4694957" id="{A9CE044F-482E-4F25-B28F-89ACC58502B1}">
            <xm:f>$BI$4='Data entry'!$R34</xm:f>
            <x14:dxf>
              <fill>
                <patternFill>
                  <bgColor rgb="FFFF0000"/>
                </patternFill>
              </fill>
            </x14:dxf>
          </x14:cfRule>
          <xm:sqref>BG90:BS90</xm:sqref>
        </x14:conditionalFormatting>
        <x14:conditionalFormatting xmlns:xm="http://schemas.microsoft.com/office/excel/2006/main">
          <x14:cfRule type="expression" priority="4694958" id="{F63BE0EB-3C71-4456-BEF0-11180AB7A8BB}">
            <xm:f>$BJ$4='Data entry'!$R34</xm:f>
            <x14:dxf>
              <fill>
                <patternFill>
                  <bgColor rgb="FFFFFF00"/>
                </patternFill>
              </fill>
            </x14:dxf>
          </x14:cfRule>
          <xm:sqref>AV89:BJ89</xm:sqref>
        </x14:conditionalFormatting>
        <x14:conditionalFormatting xmlns:xm="http://schemas.microsoft.com/office/excel/2006/main">
          <x14:cfRule type="expression" priority="4694959" id="{478A5DCB-1DAA-4497-A6CC-B4F01FB96D10}">
            <xm:f>$BJ$4='Data entry'!$R34</xm:f>
            <x14:dxf>
              <fill>
                <patternFill>
                  <bgColor rgb="FFFF0000"/>
                </patternFill>
              </fill>
            </x14:dxf>
          </x14:cfRule>
          <xm:sqref>BH90:BT90</xm:sqref>
        </x14:conditionalFormatting>
        <x14:conditionalFormatting xmlns:xm="http://schemas.microsoft.com/office/excel/2006/main">
          <x14:cfRule type="expression" priority="4694960" id="{CDE4AD5B-65A6-4FA4-9EC0-8D05F22312A9}">
            <xm:f>$BK$4='Data entry'!$R34</xm:f>
            <x14:dxf>
              <fill>
                <patternFill>
                  <bgColor rgb="FFFF0000"/>
                </patternFill>
              </fill>
            </x14:dxf>
          </x14:cfRule>
          <xm:sqref>BI90:BU90</xm:sqref>
        </x14:conditionalFormatting>
        <x14:conditionalFormatting xmlns:xm="http://schemas.microsoft.com/office/excel/2006/main">
          <x14:cfRule type="expression" priority="4694961" id="{AB32E790-6CD8-4D11-9A69-57D785FE4BBC}">
            <xm:f>$BK$4='Data entry'!$R34</xm:f>
            <x14:dxf>
              <fill>
                <patternFill>
                  <bgColor rgb="FFFFFF00"/>
                </patternFill>
              </fill>
            </x14:dxf>
          </x14:cfRule>
          <xm:sqref>AW89:BK89</xm:sqref>
        </x14:conditionalFormatting>
        <x14:conditionalFormatting xmlns:xm="http://schemas.microsoft.com/office/excel/2006/main">
          <x14:cfRule type="expression" priority="4694962" id="{99810EB9-805C-43D8-852A-EEECE7874CDB}">
            <xm:f>$BL$4='Data entry'!$R34</xm:f>
            <x14:dxf>
              <fill>
                <patternFill>
                  <bgColor rgb="FFFF0000"/>
                </patternFill>
              </fill>
            </x14:dxf>
          </x14:cfRule>
          <xm:sqref>BJ90:BV90</xm:sqref>
        </x14:conditionalFormatting>
        <x14:conditionalFormatting xmlns:xm="http://schemas.microsoft.com/office/excel/2006/main">
          <x14:cfRule type="expression" priority="4694963" id="{BF5F5475-4E46-479C-97A6-D5175F5D1803}">
            <xm:f>$BL$4='Data entry'!$R34</xm:f>
            <x14:dxf>
              <fill>
                <patternFill>
                  <bgColor rgb="FFFFFF00"/>
                </patternFill>
              </fill>
            </x14:dxf>
          </x14:cfRule>
          <xm:sqref>AX89:BL89</xm:sqref>
        </x14:conditionalFormatting>
        <x14:conditionalFormatting xmlns:xm="http://schemas.microsoft.com/office/excel/2006/main">
          <x14:cfRule type="expression" priority="4694964" id="{B86FDF2F-16C9-46B1-847E-7EA1A8A34B9D}">
            <xm:f>$BM$4='Data entry'!$R34</xm:f>
            <x14:dxf>
              <fill>
                <patternFill>
                  <bgColor rgb="FFFF0000"/>
                </patternFill>
              </fill>
            </x14:dxf>
          </x14:cfRule>
          <xm:sqref>BK90:BW90</xm:sqref>
        </x14:conditionalFormatting>
        <x14:conditionalFormatting xmlns:xm="http://schemas.microsoft.com/office/excel/2006/main">
          <x14:cfRule type="expression" priority="4694965" id="{72FD189F-4CED-400D-9FEF-21A328970A4D}">
            <xm:f>$BM$4='Data entry'!$R34</xm:f>
            <x14:dxf>
              <fill>
                <patternFill>
                  <bgColor rgb="FFFFFF00"/>
                </patternFill>
              </fill>
            </x14:dxf>
          </x14:cfRule>
          <xm:sqref>AY89:BM89</xm:sqref>
        </x14:conditionalFormatting>
        <x14:conditionalFormatting xmlns:xm="http://schemas.microsoft.com/office/excel/2006/main">
          <x14:cfRule type="expression" priority="4694966" id="{BBBBF859-D5A7-4F55-BFBF-8A77E3357590}">
            <xm:f>$BN$4='Data entry'!$R34</xm:f>
            <x14:dxf>
              <fill>
                <patternFill>
                  <bgColor rgb="FFFF0000"/>
                </patternFill>
              </fill>
            </x14:dxf>
          </x14:cfRule>
          <xm:sqref>BL90:BX90</xm:sqref>
        </x14:conditionalFormatting>
        <x14:conditionalFormatting xmlns:xm="http://schemas.microsoft.com/office/excel/2006/main">
          <x14:cfRule type="expression" priority="4694967" id="{50CB1D75-0FD5-4D24-92B1-E8A41DC6575C}">
            <xm:f>$BN$4='Data entry'!$R34</xm:f>
            <x14:dxf>
              <fill>
                <patternFill>
                  <bgColor rgb="FFFFFF00"/>
                </patternFill>
              </fill>
            </x14:dxf>
          </x14:cfRule>
          <xm:sqref>AZ89:BN89</xm:sqref>
        </x14:conditionalFormatting>
        <x14:conditionalFormatting xmlns:xm="http://schemas.microsoft.com/office/excel/2006/main">
          <x14:cfRule type="expression" priority="4694968" id="{9EF3226D-E8FC-496B-A6FF-71776AEA54D1}">
            <xm:f>$BO$4='Data entry'!$R34</xm:f>
            <x14:dxf>
              <fill>
                <patternFill>
                  <bgColor rgb="FFFF0000"/>
                </patternFill>
              </fill>
            </x14:dxf>
          </x14:cfRule>
          <xm:sqref>BM90:BY90</xm:sqref>
        </x14:conditionalFormatting>
        <x14:conditionalFormatting xmlns:xm="http://schemas.microsoft.com/office/excel/2006/main">
          <x14:cfRule type="expression" priority="4694969" id="{3B86C801-ECFE-4D05-8AA5-1581116BAFBC}">
            <xm:f>$BO$4='Data entry'!$R34</xm:f>
            <x14:dxf>
              <fill>
                <patternFill>
                  <bgColor rgb="FFFFFF00"/>
                </patternFill>
              </fill>
            </x14:dxf>
          </x14:cfRule>
          <xm:sqref>BA89:BO89</xm:sqref>
        </x14:conditionalFormatting>
        <x14:conditionalFormatting xmlns:xm="http://schemas.microsoft.com/office/excel/2006/main">
          <x14:cfRule type="expression" priority="4694970" id="{058A23EC-3371-4A02-9F20-1ECA603AC6BC}">
            <xm:f>$BP$4='Data entry'!$R34</xm:f>
            <x14:dxf>
              <fill>
                <patternFill>
                  <bgColor rgb="FFFF0000"/>
                </patternFill>
              </fill>
            </x14:dxf>
          </x14:cfRule>
          <xm:sqref>BN90:BZ90</xm:sqref>
        </x14:conditionalFormatting>
        <x14:conditionalFormatting xmlns:xm="http://schemas.microsoft.com/office/excel/2006/main">
          <x14:cfRule type="expression" priority="4694971" id="{3E711E31-3992-4555-AB22-87133D60CD15}">
            <xm:f>$BP$4='Data entry'!$R34</xm:f>
            <x14:dxf>
              <fill>
                <patternFill>
                  <bgColor rgb="FFFFFF00"/>
                </patternFill>
              </fill>
            </x14:dxf>
          </x14:cfRule>
          <xm:sqref>BB89:BP89</xm:sqref>
        </x14:conditionalFormatting>
        <x14:conditionalFormatting xmlns:xm="http://schemas.microsoft.com/office/excel/2006/main">
          <x14:cfRule type="expression" priority="4694972" id="{23E9F8B9-37D5-4730-9453-6F23E8ECBBE3}">
            <xm:f>$BQ$4='Data entry'!$R34</xm:f>
            <x14:dxf>
              <fill>
                <patternFill>
                  <bgColor rgb="FFFFFF00"/>
                </patternFill>
              </fill>
            </x14:dxf>
          </x14:cfRule>
          <xm:sqref>BC89:BQ89</xm:sqref>
        </x14:conditionalFormatting>
        <x14:conditionalFormatting xmlns:xm="http://schemas.microsoft.com/office/excel/2006/main">
          <x14:cfRule type="expression" priority="4694973" id="{BCFD92F6-AAD3-44FD-BC61-A292A81B883E}">
            <xm:f>$BQ$4='Data entry'!$R34</xm:f>
            <x14:dxf>
              <fill>
                <patternFill>
                  <bgColor rgb="FFFF0000"/>
                </patternFill>
              </fill>
            </x14:dxf>
          </x14:cfRule>
          <xm:sqref>BO90:CA90</xm:sqref>
        </x14:conditionalFormatting>
        <x14:conditionalFormatting xmlns:xm="http://schemas.microsoft.com/office/excel/2006/main">
          <x14:cfRule type="expression" priority="4694974" id="{357D60E5-F356-477E-8020-A18F42C02832}">
            <xm:f>$BR$4='Data entry'!$R34</xm:f>
            <x14:dxf>
              <fill>
                <patternFill>
                  <bgColor rgb="FFFFFF00"/>
                </patternFill>
              </fill>
            </x14:dxf>
          </x14:cfRule>
          <xm:sqref>BD89:BR89</xm:sqref>
        </x14:conditionalFormatting>
        <x14:conditionalFormatting xmlns:xm="http://schemas.microsoft.com/office/excel/2006/main">
          <x14:cfRule type="expression" priority="4694975" id="{DA2B6511-43B3-432D-B6AA-1DB1188B90A6}">
            <xm:f>$BR$4='Data entry'!$R34</xm:f>
            <x14:dxf>
              <fill>
                <patternFill>
                  <bgColor rgb="FFFF0000"/>
                </patternFill>
              </fill>
            </x14:dxf>
          </x14:cfRule>
          <xm:sqref>BP90:CB90</xm:sqref>
        </x14:conditionalFormatting>
        <x14:conditionalFormatting xmlns:xm="http://schemas.microsoft.com/office/excel/2006/main">
          <x14:cfRule type="expression" priority="4694976" id="{0D5F64E4-4136-4BFA-B833-CC8578525D9C}">
            <xm:f>$BS$4='Data entry'!$R34</xm:f>
            <x14:dxf>
              <fill>
                <patternFill>
                  <bgColor rgb="FFFFFF00"/>
                </patternFill>
              </fill>
            </x14:dxf>
          </x14:cfRule>
          <xm:sqref>BE89:BS89</xm:sqref>
        </x14:conditionalFormatting>
        <x14:conditionalFormatting xmlns:xm="http://schemas.microsoft.com/office/excel/2006/main">
          <x14:cfRule type="expression" priority="4694977" id="{AC94D468-F078-4AE2-8771-102996E07B09}">
            <xm:f>$BS$4='Data entry'!$R34</xm:f>
            <x14:dxf>
              <fill>
                <patternFill>
                  <bgColor rgb="FFFF0000"/>
                </patternFill>
              </fill>
            </x14:dxf>
          </x14:cfRule>
          <xm:sqref>BQ90:CC90</xm:sqref>
        </x14:conditionalFormatting>
        <x14:conditionalFormatting xmlns:xm="http://schemas.microsoft.com/office/excel/2006/main">
          <x14:cfRule type="expression" priority="4694978" id="{10E78F76-181E-4F19-9F89-7DD36D3EFE30}">
            <xm:f>$BT$4='Data entry'!$R34</xm:f>
            <x14:dxf>
              <fill>
                <patternFill>
                  <bgColor rgb="FFFFFF00"/>
                </patternFill>
              </fill>
            </x14:dxf>
          </x14:cfRule>
          <xm:sqref>BF89:BT89</xm:sqref>
        </x14:conditionalFormatting>
        <x14:conditionalFormatting xmlns:xm="http://schemas.microsoft.com/office/excel/2006/main">
          <x14:cfRule type="expression" priority="4694979" id="{6A5FADC6-9512-4EFB-90A5-7B5244D10D1F}">
            <xm:f>$BT$4='Data entry'!$R34</xm:f>
            <x14:dxf>
              <fill>
                <patternFill>
                  <bgColor rgb="FFFF0000"/>
                </patternFill>
              </fill>
            </x14:dxf>
          </x14:cfRule>
          <xm:sqref>BR90:CC90</xm:sqref>
        </x14:conditionalFormatting>
        <x14:conditionalFormatting xmlns:xm="http://schemas.microsoft.com/office/excel/2006/main">
          <x14:cfRule type="expression" priority="4694980" id="{A51139D1-8841-4B96-B8CB-DFE3808765CF}">
            <xm:f>$BU$4='Data entry'!$R34</xm:f>
            <x14:dxf>
              <fill>
                <patternFill>
                  <bgColor rgb="FFFFFF00"/>
                </patternFill>
              </fill>
            </x14:dxf>
          </x14:cfRule>
          <xm:sqref>BG89:BU89</xm:sqref>
        </x14:conditionalFormatting>
        <x14:conditionalFormatting xmlns:xm="http://schemas.microsoft.com/office/excel/2006/main">
          <x14:cfRule type="expression" priority="4694981" id="{55CA7258-760F-4BFF-ACB5-A70FEB3E7981}">
            <xm:f>$BU$4='Data entry'!$R34</xm:f>
            <x14:dxf>
              <fill>
                <patternFill>
                  <bgColor rgb="FFFF0000"/>
                </patternFill>
              </fill>
            </x14:dxf>
          </x14:cfRule>
          <xm:sqref>BS90:CC90</xm:sqref>
        </x14:conditionalFormatting>
        <x14:conditionalFormatting xmlns:xm="http://schemas.microsoft.com/office/excel/2006/main">
          <x14:cfRule type="expression" priority="4694982" id="{A922B218-64DB-4CBB-9AB8-FE0EBB44E09E}">
            <xm:f>$BV$4='Data entry'!$R34</xm:f>
            <x14:dxf>
              <fill>
                <patternFill>
                  <bgColor rgb="FFFFFF00"/>
                </patternFill>
              </fill>
            </x14:dxf>
          </x14:cfRule>
          <xm:sqref>BH89:BV89</xm:sqref>
        </x14:conditionalFormatting>
        <x14:conditionalFormatting xmlns:xm="http://schemas.microsoft.com/office/excel/2006/main">
          <x14:cfRule type="expression" priority="4694983" id="{C98E908A-CD31-4778-B41C-7AFB9DBE639A}">
            <xm:f>$BV$4='Data entry'!$R34</xm:f>
            <x14:dxf>
              <fill>
                <patternFill>
                  <bgColor rgb="FFFF0000"/>
                </patternFill>
              </fill>
            </x14:dxf>
          </x14:cfRule>
          <xm:sqref>BT90:CC90</xm:sqref>
        </x14:conditionalFormatting>
        <x14:conditionalFormatting xmlns:xm="http://schemas.microsoft.com/office/excel/2006/main">
          <x14:cfRule type="expression" priority="4694984" id="{465CCCA3-B4DB-4B61-8AC7-8A5E4CEC9E3F}">
            <xm:f>$BW$4='Data entry'!$R34</xm:f>
            <x14:dxf>
              <fill>
                <patternFill>
                  <bgColor rgb="FFFFFF00"/>
                </patternFill>
              </fill>
            </x14:dxf>
          </x14:cfRule>
          <xm:sqref>BI89:BW89</xm:sqref>
        </x14:conditionalFormatting>
        <x14:conditionalFormatting xmlns:xm="http://schemas.microsoft.com/office/excel/2006/main">
          <x14:cfRule type="expression" priority="4694985" id="{37566F97-6D06-400B-A709-FE657B07687F}">
            <xm:f>$BW$4='Data entry'!$R34</xm:f>
            <x14:dxf>
              <fill>
                <patternFill>
                  <bgColor rgb="FFFF0000"/>
                </patternFill>
              </fill>
            </x14:dxf>
          </x14:cfRule>
          <xm:sqref>BU90:CC90</xm:sqref>
        </x14:conditionalFormatting>
        <x14:conditionalFormatting xmlns:xm="http://schemas.microsoft.com/office/excel/2006/main">
          <x14:cfRule type="expression" priority="4694986" id="{D8FBA3AC-5CF0-4E45-97CA-1D4DEE729ADA}">
            <xm:f>$BX$4='Data entry'!$R34</xm:f>
            <x14:dxf>
              <fill>
                <patternFill>
                  <bgColor rgb="FFFFFF00"/>
                </patternFill>
              </fill>
            </x14:dxf>
          </x14:cfRule>
          <xm:sqref>BJ89:BX89</xm:sqref>
        </x14:conditionalFormatting>
        <x14:conditionalFormatting xmlns:xm="http://schemas.microsoft.com/office/excel/2006/main">
          <x14:cfRule type="expression" priority="4694987" id="{E077C84B-A94F-431D-B232-4AFCC7C64F54}">
            <xm:f>$BX$4='Data entry'!$R34</xm:f>
            <x14:dxf>
              <fill>
                <patternFill>
                  <bgColor rgb="FFFF0000"/>
                </patternFill>
              </fill>
            </x14:dxf>
          </x14:cfRule>
          <xm:sqref>BV90:CC90</xm:sqref>
        </x14:conditionalFormatting>
        <x14:conditionalFormatting xmlns:xm="http://schemas.microsoft.com/office/excel/2006/main">
          <x14:cfRule type="expression" priority="4694988" id="{63783BA8-0C97-4A44-86FD-7A2BCF1B9957}">
            <xm:f>$BY$4='Data entry'!$R34</xm:f>
            <x14:dxf>
              <fill>
                <patternFill>
                  <bgColor rgb="FFFFFF00"/>
                </patternFill>
              </fill>
            </x14:dxf>
          </x14:cfRule>
          <xm:sqref>BK89:BY89</xm:sqref>
        </x14:conditionalFormatting>
        <x14:conditionalFormatting xmlns:xm="http://schemas.microsoft.com/office/excel/2006/main">
          <x14:cfRule type="expression" priority="4694989" id="{BB8DB8B4-B71B-46D2-AEE7-346F16103F74}">
            <xm:f>$BY$4='Data entry'!$R34</xm:f>
            <x14:dxf>
              <fill>
                <patternFill>
                  <bgColor rgb="FFFF0000"/>
                </patternFill>
              </fill>
            </x14:dxf>
          </x14:cfRule>
          <xm:sqref>BW90:CC90</xm:sqref>
        </x14:conditionalFormatting>
        <x14:conditionalFormatting xmlns:xm="http://schemas.microsoft.com/office/excel/2006/main">
          <x14:cfRule type="expression" priority="4694990" id="{1B638B98-2B06-4FEB-90C1-446A3E0A3979}">
            <xm:f>$BZ$4='Data entry'!$R34</xm:f>
            <x14:dxf>
              <fill>
                <patternFill>
                  <bgColor rgb="FFFFFF00"/>
                </patternFill>
              </fill>
            </x14:dxf>
          </x14:cfRule>
          <xm:sqref>BL89:BZ89</xm:sqref>
        </x14:conditionalFormatting>
        <x14:conditionalFormatting xmlns:xm="http://schemas.microsoft.com/office/excel/2006/main">
          <x14:cfRule type="expression" priority="4694991" id="{D3A0A2F8-D1B2-4DC5-B2A9-0EF53074E685}">
            <xm:f>$BZ$4='Data entry'!$R34</xm:f>
            <x14:dxf>
              <fill>
                <patternFill>
                  <bgColor rgb="FFFF0000"/>
                </patternFill>
              </fill>
            </x14:dxf>
          </x14:cfRule>
          <xm:sqref>BX90:CC90</xm:sqref>
        </x14:conditionalFormatting>
        <x14:conditionalFormatting xmlns:xm="http://schemas.microsoft.com/office/excel/2006/main">
          <x14:cfRule type="expression" priority="4694992" id="{83F6D018-7D3B-4D33-9998-11572F2F2FF5}">
            <xm:f>$CA$4='Data entry'!$R34</xm:f>
            <x14:dxf>
              <fill>
                <patternFill>
                  <bgColor rgb="FFFFFF00"/>
                </patternFill>
              </fill>
            </x14:dxf>
          </x14:cfRule>
          <xm:sqref>BM89:CA89</xm:sqref>
        </x14:conditionalFormatting>
        <x14:conditionalFormatting xmlns:xm="http://schemas.microsoft.com/office/excel/2006/main">
          <x14:cfRule type="expression" priority="4694993" id="{8E6D0B51-5626-4ED9-9072-C7A2C139704F}">
            <xm:f>$CA$4='Data entry'!$R34</xm:f>
            <x14:dxf>
              <fill>
                <patternFill>
                  <bgColor rgb="FFFF0000"/>
                </patternFill>
              </fill>
            </x14:dxf>
          </x14:cfRule>
          <xm:sqref>BY90:CC90</xm:sqref>
        </x14:conditionalFormatting>
        <x14:conditionalFormatting xmlns:xm="http://schemas.microsoft.com/office/excel/2006/main">
          <x14:cfRule type="expression" priority="4694994" id="{E1886EE4-3BDE-43A9-9F4B-79377FEC37FE}">
            <xm:f>$CB$4='Data entry'!$R34</xm:f>
            <x14:dxf>
              <fill>
                <patternFill>
                  <bgColor rgb="FFFFFF00"/>
                </patternFill>
              </fill>
            </x14:dxf>
          </x14:cfRule>
          <xm:sqref>BN89:CB89</xm:sqref>
        </x14:conditionalFormatting>
        <x14:conditionalFormatting xmlns:xm="http://schemas.microsoft.com/office/excel/2006/main">
          <x14:cfRule type="expression" priority="4694995" id="{ADEF572A-6C18-4602-BB86-01C96D36E07E}">
            <xm:f>$CB$4='Data entry'!$R34</xm:f>
            <x14:dxf>
              <fill>
                <patternFill>
                  <bgColor rgb="FFFF0000"/>
                </patternFill>
              </fill>
            </x14:dxf>
          </x14:cfRule>
          <xm:sqref>BZ90:CC90</xm:sqref>
        </x14:conditionalFormatting>
        <x14:conditionalFormatting xmlns:xm="http://schemas.microsoft.com/office/excel/2006/main">
          <x14:cfRule type="expression" priority="4694996" id="{7984E1C9-E073-4955-8543-62145CB6D008}">
            <xm:f>$CC$4='Data entry'!$R34</xm:f>
            <x14:dxf>
              <fill>
                <patternFill>
                  <bgColor rgb="FFFFFF00"/>
                </patternFill>
              </fill>
            </x14:dxf>
          </x14:cfRule>
          <xm:sqref>BO89:CC89</xm:sqref>
        </x14:conditionalFormatting>
        <x14:conditionalFormatting xmlns:xm="http://schemas.microsoft.com/office/excel/2006/main">
          <x14:cfRule type="expression" priority="4694997" id="{18A957B3-59FA-4698-BA92-2A208FF18E2F}">
            <xm:f>$CC$4='Data entry'!$R34</xm:f>
            <x14:dxf>
              <fill>
                <patternFill>
                  <bgColor rgb="FFFF0000"/>
                </patternFill>
              </fill>
            </x14:dxf>
          </x14:cfRule>
          <xm:sqref>CA90:CC90</xm:sqref>
        </x14:conditionalFormatting>
        <x14:conditionalFormatting xmlns:xm="http://schemas.microsoft.com/office/excel/2006/main">
          <x14:cfRule type="expression" priority="4695084" id="{5B0DB825-B7C2-40AC-B7EF-F267F054CFB9}">
            <xm:f>$U$4='Data entry'!$R35</xm:f>
            <x14:dxf>
              <fill>
                <patternFill>
                  <bgColor rgb="FFFF0000"/>
                </patternFill>
              </fill>
            </x14:dxf>
          </x14:cfRule>
          <xm:sqref>S93:AE93</xm:sqref>
        </x14:conditionalFormatting>
        <x14:conditionalFormatting xmlns:xm="http://schemas.microsoft.com/office/excel/2006/main">
          <x14:cfRule type="expression" priority="4695085" id="{18311200-E2BB-400F-B594-3B9A2C6068C2}">
            <xm:f>$V$4='Data entry'!$R35</xm:f>
            <x14:dxf>
              <fill>
                <patternFill>
                  <bgColor rgb="FFFF0000"/>
                </patternFill>
              </fill>
            </x14:dxf>
          </x14:cfRule>
          <xm:sqref>T93:AF93</xm:sqref>
        </x14:conditionalFormatting>
        <x14:conditionalFormatting xmlns:xm="http://schemas.microsoft.com/office/excel/2006/main">
          <x14:cfRule type="expression" priority="4695086" id="{D6DFB621-1A58-4C59-A987-ECAD0EB2D32B}">
            <xm:f>$V$4='Data entry'!$R35</xm:f>
            <x14:dxf>
              <fill>
                <patternFill>
                  <bgColor rgb="FFFFFF00"/>
                </patternFill>
              </fill>
            </x14:dxf>
          </x14:cfRule>
          <xm:sqref>H92:V92</xm:sqref>
        </x14:conditionalFormatting>
        <x14:conditionalFormatting xmlns:xm="http://schemas.microsoft.com/office/excel/2006/main">
          <x14:cfRule type="expression" priority="4695087" id="{5F87A680-DC5F-433D-A779-B7A534ACCDA9}">
            <xm:f>$W$4='Data entry'!$R35</xm:f>
            <x14:dxf>
              <fill>
                <patternFill>
                  <bgColor rgb="FFFF0000"/>
                </patternFill>
              </fill>
            </x14:dxf>
          </x14:cfRule>
          <xm:sqref>U93:AG93</xm:sqref>
        </x14:conditionalFormatting>
        <x14:conditionalFormatting xmlns:xm="http://schemas.microsoft.com/office/excel/2006/main">
          <x14:cfRule type="expression" priority="4695088" id="{964539FF-A92C-4F68-B268-B7157A32678C}">
            <xm:f>$W$4='Data entry'!$R35</xm:f>
            <x14:dxf>
              <fill>
                <patternFill>
                  <bgColor rgb="FFFFFF00"/>
                </patternFill>
              </fill>
            </x14:dxf>
          </x14:cfRule>
          <xm:sqref>I92:W92</xm:sqref>
        </x14:conditionalFormatting>
        <x14:conditionalFormatting xmlns:xm="http://schemas.microsoft.com/office/excel/2006/main">
          <x14:cfRule type="expression" priority="4695089" id="{46C1533A-F090-4A90-9309-3F59EC3FD3B0}">
            <xm:f>$X$4='Data entry'!$R35</xm:f>
            <x14:dxf>
              <fill>
                <patternFill>
                  <bgColor rgb="FFFF0000"/>
                </patternFill>
              </fill>
            </x14:dxf>
          </x14:cfRule>
          <xm:sqref>V93:AH93</xm:sqref>
        </x14:conditionalFormatting>
        <x14:conditionalFormatting xmlns:xm="http://schemas.microsoft.com/office/excel/2006/main">
          <x14:cfRule type="expression" priority="4695090" id="{7C70E81C-DDD4-4D75-933A-4F6A39893184}">
            <xm:f>$X$4='Data entry'!$R35</xm:f>
            <x14:dxf>
              <fill>
                <patternFill>
                  <bgColor rgb="FFFFFF00"/>
                </patternFill>
              </fill>
            </x14:dxf>
          </x14:cfRule>
          <xm:sqref>J92:X92</xm:sqref>
        </x14:conditionalFormatting>
        <x14:conditionalFormatting xmlns:xm="http://schemas.microsoft.com/office/excel/2006/main">
          <x14:cfRule type="expression" priority="4695091" id="{561AF073-0EF8-4B72-A119-40A639C4359D}">
            <xm:f>$Y$4='Data entry'!$R35</xm:f>
            <x14:dxf>
              <fill>
                <patternFill>
                  <bgColor rgb="FFFF0000"/>
                </patternFill>
              </fill>
            </x14:dxf>
          </x14:cfRule>
          <xm:sqref>W93:AI93</xm:sqref>
        </x14:conditionalFormatting>
        <x14:conditionalFormatting xmlns:xm="http://schemas.microsoft.com/office/excel/2006/main">
          <x14:cfRule type="expression" priority="4695092" id="{F242E808-8F07-4A89-9524-7D4C767CE357}">
            <xm:f>$Y$4='Data entry'!$R35</xm:f>
            <x14:dxf>
              <fill>
                <patternFill>
                  <bgColor rgb="FFFFFF00"/>
                </patternFill>
              </fill>
            </x14:dxf>
          </x14:cfRule>
          <xm:sqref>K92:Y92</xm:sqref>
        </x14:conditionalFormatting>
        <x14:conditionalFormatting xmlns:xm="http://schemas.microsoft.com/office/excel/2006/main">
          <x14:cfRule type="expression" priority="4695093" id="{DD601058-982B-4218-BD9D-64BB823C2633}">
            <xm:f>$Z$4='Data entry'!$R35</xm:f>
            <x14:dxf>
              <fill>
                <patternFill>
                  <bgColor rgb="FFFF0000"/>
                </patternFill>
              </fill>
            </x14:dxf>
          </x14:cfRule>
          <xm:sqref>X93:AJ93</xm:sqref>
        </x14:conditionalFormatting>
        <x14:conditionalFormatting xmlns:xm="http://schemas.microsoft.com/office/excel/2006/main">
          <x14:cfRule type="expression" priority="4695094" id="{C9DB141D-79F6-4093-92A3-7BF7A1622985}">
            <xm:f>$Z$4='Data entry'!$R35</xm:f>
            <x14:dxf>
              <fill>
                <patternFill>
                  <bgColor rgb="FFFFFF00"/>
                </patternFill>
              </fill>
            </x14:dxf>
          </x14:cfRule>
          <xm:sqref>L92:Z92</xm:sqref>
        </x14:conditionalFormatting>
        <x14:conditionalFormatting xmlns:xm="http://schemas.microsoft.com/office/excel/2006/main">
          <x14:cfRule type="expression" priority="4695095" id="{710EB8D3-F5C0-4E3C-8214-2D0C4E26F649}">
            <xm:f>$AA$4='Data entry'!$R35</xm:f>
            <x14:dxf>
              <fill>
                <patternFill>
                  <bgColor rgb="FFFF0000"/>
                </patternFill>
              </fill>
            </x14:dxf>
          </x14:cfRule>
          <xm:sqref>Y93:AK93</xm:sqref>
        </x14:conditionalFormatting>
        <x14:conditionalFormatting xmlns:xm="http://schemas.microsoft.com/office/excel/2006/main">
          <x14:cfRule type="expression" priority="4695096" id="{33825D69-C967-4D27-B395-5D44A3083802}">
            <xm:f>$AA$4='Data entry'!$R35</xm:f>
            <x14:dxf>
              <fill>
                <patternFill>
                  <bgColor rgb="FFFFFF00"/>
                </patternFill>
              </fill>
            </x14:dxf>
          </x14:cfRule>
          <xm:sqref>M92:AA92</xm:sqref>
        </x14:conditionalFormatting>
        <x14:conditionalFormatting xmlns:xm="http://schemas.microsoft.com/office/excel/2006/main">
          <x14:cfRule type="expression" priority="4695097" id="{9811A97D-351B-4D32-8754-AF433277E62B}">
            <xm:f>$AB$4='Data entry'!$R35</xm:f>
            <x14:dxf>
              <fill>
                <patternFill>
                  <bgColor rgb="FFFF0000"/>
                </patternFill>
              </fill>
            </x14:dxf>
          </x14:cfRule>
          <xm:sqref>Z93:AL93</xm:sqref>
        </x14:conditionalFormatting>
        <x14:conditionalFormatting xmlns:xm="http://schemas.microsoft.com/office/excel/2006/main">
          <x14:cfRule type="expression" priority="4695098" id="{6DD3E556-C72E-438B-92DA-3096ED1E4178}">
            <xm:f>$AB$4='Data entry'!$R35</xm:f>
            <x14:dxf>
              <fill>
                <patternFill>
                  <bgColor rgb="FFFFFF00"/>
                </patternFill>
              </fill>
            </x14:dxf>
          </x14:cfRule>
          <xm:sqref>N92:AB92</xm:sqref>
        </x14:conditionalFormatting>
        <x14:conditionalFormatting xmlns:xm="http://schemas.microsoft.com/office/excel/2006/main">
          <x14:cfRule type="expression" priority="4695099" id="{C0DF7A1B-D6BC-4371-BD3A-F0708147FA1C}">
            <xm:f>$AC$4='Data entry'!$R35</xm:f>
            <x14:dxf>
              <fill>
                <patternFill>
                  <bgColor rgb="FFFF0000"/>
                </patternFill>
              </fill>
            </x14:dxf>
          </x14:cfRule>
          <xm:sqref>AA93:AM93</xm:sqref>
        </x14:conditionalFormatting>
        <x14:conditionalFormatting xmlns:xm="http://schemas.microsoft.com/office/excel/2006/main">
          <x14:cfRule type="expression" priority="4695100" id="{DB2E1F48-AF0E-41F9-A976-6B1963CA5711}">
            <xm:f>$AC$4='Data entry'!$R35</xm:f>
            <x14:dxf>
              <fill>
                <patternFill>
                  <bgColor rgb="FFFFFF00"/>
                </patternFill>
              </fill>
            </x14:dxf>
          </x14:cfRule>
          <xm:sqref>O92:AC92</xm:sqref>
        </x14:conditionalFormatting>
        <x14:conditionalFormatting xmlns:xm="http://schemas.microsoft.com/office/excel/2006/main">
          <x14:cfRule type="expression" priority="4695101" id="{89909907-F9A9-4AF9-BC1D-304710A43F50}">
            <xm:f>$AD$4='Data entry'!$R35</xm:f>
            <x14:dxf>
              <fill>
                <patternFill>
                  <bgColor rgb="FFFF0000"/>
                </patternFill>
              </fill>
            </x14:dxf>
          </x14:cfRule>
          <xm:sqref>AB93:AN93</xm:sqref>
        </x14:conditionalFormatting>
        <x14:conditionalFormatting xmlns:xm="http://schemas.microsoft.com/office/excel/2006/main">
          <x14:cfRule type="expression" priority="4695102" id="{729676B7-E331-43A4-ACC9-850DCEE76A0E}">
            <xm:f>$AD$4='Data entry'!$R35</xm:f>
            <x14:dxf>
              <fill>
                <patternFill>
                  <bgColor rgb="FFFFFF00"/>
                </patternFill>
              </fill>
            </x14:dxf>
          </x14:cfRule>
          <xm:sqref>P92:AD92</xm:sqref>
        </x14:conditionalFormatting>
        <x14:conditionalFormatting xmlns:xm="http://schemas.microsoft.com/office/excel/2006/main">
          <x14:cfRule type="expression" priority="4695103" id="{00DA2C55-350E-44AA-ABEA-808FABFDA737}">
            <xm:f>$AE$4='Data entry'!$R35</xm:f>
            <x14:dxf>
              <fill>
                <patternFill>
                  <bgColor rgb="FFFF0000"/>
                </patternFill>
              </fill>
            </x14:dxf>
          </x14:cfRule>
          <xm:sqref>AC93:AO93</xm:sqref>
        </x14:conditionalFormatting>
        <x14:conditionalFormatting xmlns:xm="http://schemas.microsoft.com/office/excel/2006/main">
          <x14:cfRule type="expression" priority="4695104" id="{373C95F1-00C1-45E9-B561-5224945BA4A4}">
            <xm:f>$AE$4='Data entry'!$R35</xm:f>
            <x14:dxf>
              <fill>
                <patternFill>
                  <bgColor rgb="FFFFFF00"/>
                </patternFill>
              </fill>
            </x14:dxf>
          </x14:cfRule>
          <xm:sqref>Q92:AE92</xm:sqref>
        </x14:conditionalFormatting>
        <x14:conditionalFormatting xmlns:xm="http://schemas.microsoft.com/office/excel/2006/main">
          <x14:cfRule type="expression" priority="4695105" id="{65E90E74-6BEF-4B00-BD5E-ECACFEBC225A}">
            <xm:f>$AF$4='Data entry'!$R35</xm:f>
            <x14:dxf>
              <fill>
                <patternFill>
                  <bgColor rgb="FFFF0000"/>
                </patternFill>
              </fill>
            </x14:dxf>
          </x14:cfRule>
          <xm:sqref>AD93:AP93</xm:sqref>
        </x14:conditionalFormatting>
        <x14:conditionalFormatting xmlns:xm="http://schemas.microsoft.com/office/excel/2006/main">
          <x14:cfRule type="expression" priority="4695106" id="{56B519D7-E083-4811-B42B-D6CB10D44BB3}">
            <xm:f>$AF$4='Data entry'!$R35</xm:f>
            <x14:dxf>
              <fill>
                <patternFill>
                  <bgColor rgb="FFFFFF00"/>
                </patternFill>
              </fill>
            </x14:dxf>
          </x14:cfRule>
          <xm:sqref>R92:AF92</xm:sqref>
        </x14:conditionalFormatting>
        <x14:conditionalFormatting xmlns:xm="http://schemas.microsoft.com/office/excel/2006/main">
          <x14:cfRule type="expression" priority="4695107" id="{889682B6-BF9B-414B-86B7-1C802156B058}">
            <xm:f>$AG$4='Data entry'!$R35</xm:f>
            <x14:dxf>
              <fill>
                <patternFill>
                  <bgColor rgb="FFFF0000"/>
                </patternFill>
              </fill>
            </x14:dxf>
          </x14:cfRule>
          <xm:sqref>AE93:AQ93</xm:sqref>
        </x14:conditionalFormatting>
        <x14:conditionalFormatting xmlns:xm="http://schemas.microsoft.com/office/excel/2006/main">
          <x14:cfRule type="expression" priority="4695108" id="{19913D88-1940-4CB0-B29C-D46D60833BD5}">
            <xm:f>$AG$4='Data entry'!$R35</xm:f>
            <x14:dxf>
              <fill>
                <patternFill>
                  <bgColor rgb="FFFFFF00"/>
                </patternFill>
              </fill>
            </x14:dxf>
          </x14:cfRule>
          <xm:sqref>S92:AG92</xm:sqref>
        </x14:conditionalFormatting>
        <x14:conditionalFormatting xmlns:xm="http://schemas.microsoft.com/office/excel/2006/main">
          <x14:cfRule type="expression" priority="4695109" id="{3DD7B9A5-18A3-463F-BAD5-9796FC487328}">
            <xm:f>$AH$4='Data entry'!$R35</xm:f>
            <x14:dxf>
              <fill>
                <patternFill>
                  <bgColor rgb="FFFF0000"/>
                </patternFill>
              </fill>
            </x14:dxf>
          </x14:cfRule>
          <xm:sqref>AF93:AR93</xm:sqref>
        </x14:conditionalFormatting>
        <x14:conditionalFormatting xmlns:xm="http://schemas.microsoft.com/office/excel/2006/main">
          <x14:cfRule type="expression" priority="4695110" id="{31005CF4-5608-496E-91EB-F7F505046C80}">
            <xm:f>$AH$4='Data entry'!$R35</xm:f>
            <x14:dxf>
              <fill>
                <patternFill>
                  <bgColor rgb="FFFFFF00"/>
                </patternFill>
              </fill>
            </x14:dxf>
          </x14:cfRule>
          <xm:sqref>T92:AH92</xm:sqref>
        </x14:conditionalFormatting>
        <x14:conditionalFormatting xmlns:xm="http://schemas.microsoft.com/office/excel/2006/main">
          <x14:cfRule type="expression" priority="4695111" id="{CD14F654-5B7A-444F-8FC1-7DD71E76E475}">
            <xm:f>$AI$4='Data entry'!$R35</xm:f>
            <x14:dxf>
              <fill>
                <patternFill>
                  <bgColor rgb="FFFF0000"/>
                </patternFill>
              </fill>
            </x14:dxf>
          </x14:cfRule>
          <xm:sqref>AG93:AS93</xm:sqref>
        </x14:conditionalFormatting>
        <x14:conditionalFormatting xmlns:xm="http://schemas.microsoft.com/office/excel/2006/main">
          <x14:cfRule type="expression" priority="4695112" id="{0E4E448C-6C46-4285-B877-A61A90294385}">
            <xm:f>$AI$4='Data entry'!$R35</xm:f>
            <x14:dxf>
              <fill>
                <patternFill>
                  <bgColor rgb="FFFFFF00"/>
                </patternFill>
              </fill>
            </x14:dxf>
          </x14:cfRule>
          <xm:sqref>U92:AI92</xm:sqref>
        </x14:conditionalFormatting>
        <x14:conditionalFormatting xmlns:xm="http://schemas.microsoft.com/office/excel/2006/main">
          <x14:cfRule type="expression" priority="4695113" id="{B1C1818F-791C-403D-BE73-6F6E9DC6A16D}">
            <xm:f>$AJ$4='Data entry'!$R35</xm:f>
            <x14:dxf>
              <fill>
                <patternFill>
                  <bgColor rgb="FFFF0000"/>
                </patternFill>
              </fill>
            </x14:dxf>
          </x14:cfRule>
          <xm:sqref>AH93:AT93</xm:sqref>
        </x14:conditionalFormatting>
        <x14:conditionalFormatting xmlns:xm="http://schemas.microsoft.com/office/excel/2006/main">
          <x14:cfRule type="expression" priority="4695114" id="{A1237792-221B-431B-B8A7-E9A64DA46D93}">
            <xm:f>$AJ$4='Data entry'!$R35</xm:f>
            <x14:dxf>
              <fill>
                <patternFill>
                  <bgColor rgb="FFFFFF00"/>
                </patternFill>
              </fill>
            </x14:dxf>
          </x14:cfRule>
          <xm:sqref>V92:AJ92</xm:sqref>
        </x14:conditionalFormatting>
        <x14:conditionalFormatting xmlns:xm="http://schemas.microsoft.com/office/excel/2006/main">
          <x14:cfRule type="expression" priority="4695115" id="{617DC2AF-C7A3-4724-8EA3-17DEFEDC8949}">
            <xm:f>$AK$4='Data entry'!$R35</xm:f>
            <x14:dxf>
              <fill>
                <patternFill>
                  <bgColor rgb="FFFF0000"/>
                </patternFill>
              </fill>
            </x14:dxf>
          </x14:cfRule>
          <xm:sqref>AI93:AU93</xm:sqref>
        </x14:conditionalFormatting>
        <x14:conditionalFormatting xmlns:xm="http://schemas.microsoft.com/office/excel/2006/main">
          <x14:cfRule type="expression" priority="4695116" id="{AA72317D-37B1-48EB-A28B-BF2AC8DC4519}">
            <xm:f>$AK$4='Data entry'!$R35</xm:f>
            <x14:dxf>
              <fill>
                <patternFill>
                  <bgColor rgb="FFFFFF00"/>
                </patternFill>
              </fill>
            </x14:dxf>
          </x14:cfRule>
          <xm:sqref>W92:AK92</xm:sqref>
        </x14:conditionalFormatting>
        <x14:conditionalFormatting xmlns:xm="http://schemas.microsoft.com/office/excel/2006/main">
          <x14:cfRule type="expression" priority="4695117" id="{6CA9FB7A-20EA-4D3A-B74C-A001F4BE810D}">
            <xm:f>$AL$4='Data entry'!$R35</xm:f>
            <x14:dxf>
              <fill>
                <patternFill>
                  <bgColor rgb="FFFF0000"/>
                </patternFill>
              </fill>
            </x14:dxf>
          </x14:cfRule>
          <xm:sqref>AJ93:AV93</xm:sqref>
        </x14:conditionalFormatting>
        <x14:conditionalFormatting xmlns:xm="http://schemas.microsoft.com/office/excel/2006/main">
          <x14:cfRule type="expression" priority="4695118" id="{81A75DAA-573F-4EF3-A640-1B992C18BEA0}">
            <xm:f>$AL$4='Data entry'!$R35</xm:f>
            <x14:dxf>
              <fill>
                <patternFill>
                  <bgColor rgb="FFFFFF00"/>
                </patternFill>
              </fill>
            </x14:dxf>
          </x14:cfRule>
          <xm:sqref>X92:AL92</xm:sqref>
        </x14:conditionalFormatting>
        <x14:conditionalFormatting xmlns:xm="http://schemas.microsoft.com/office/excel/2006/main">
          <x14:cfRule type="expression" priority="4695119" id="{3D44713E-4ABA-4CCD-9DF4-5513A9FB5E1E}">
            <xm:f>$AM$4='Data entry'!$R35</xm:f>
            <x14:dxf>
              <fill>
                <patternFill>
                  <bgColor rgb="FFFF0000"/>
                </patternFill>
              </fill>
            </x14:dxf>
          </x14:cfRule>
          <xm:sqref>AK93:AW93</xm:sqref>
        </x14:conditionalFormatting>
        <x14:conditionalFormatting xmlns:xm="http://schemas.microsoft.com/office/excel/2006/main">
          <x14:cfRule type="expression" priority="4695120" id="{05A26B51-72A7-4423-822F-2BDBC28275D0}">
            <xm:f>$AM$4='Data entry'!$R35</xm:f>
            <x14:dxf>
              <fill>
                <patternFill>
                  <bgColor rgb="FFFFFF00"/>
                </patternFill>
              </fill>
            </x14:dxf>
          </x14:cfRule>
          <xm:sqref>Y92:AM92</xm:sqref>
        </x14:conditionalFormatting>
        <x14:conditionalFormatting xmlns:xm="http://schemas.microsoft.com/office/excel/2006/main">
          <x14:cfRule type="expression" priority="4695121" id="{B8A20675-6230-4694-A7F6-6B3DC7142773}">
            <xm:f>$AN$4='Data entry'!$R35</xm:f>
            <x14:dxf>
              <fill>
                <patternFill>
                  <bgColor rgb="FFFF0000"/>
                </patternFill>
              </fill>
            </x14:dxf>
          </x14:cfRule>
          <xm:sqref>AL93:AX93</xm:sqref>
        </x14:conditionalFormatting>
        <x14:conditionalFormatting xmlns:xm="http://schemas.microsoft.com/office/excel/2006/main">
          <x14:cfRule type="expression" priority="4695122" id="{8421181C-7450-42E9-BC1D-065CCFCA960E}">
            <xm:f>$AN$4='Data entry'!$R35</xm:f>
            <x14:dxf>
              <fill>
                <patternFill>
                  <bgColor rgb="FFFFFF00"/>
                </patternFill>
              </fill>
            </x14:dxf>
          </x14:cfRule>
          <xm:sqref>Z92:AN92</xm:sqref>
        </x14:conditionalFormatting>
        <x14:conditionalFormatting xmlns:xm="http://schemas.microsoft.com/office/excel/2006/main">
          <x14:cfRule type="expression" priority="4695123" id="{067FE4BD-6EF4-4684-B6E0-35AB2F267EE7}">
            <xm:f>$AO$4='Data entry'!$R35</xm:f>
            <x14:dxf>
              <fill>
                <patternFill>
                  <bgColor rgb="FFFF0000"/>
                </patternFill>
              </fill>
            </x14:dxf>
          </x14:cfRule>
          <xm:sqref>AM93:AY93</xm:sqref>
        </x14:conditionalFormatting>
        <x14:conditionalFormatting xmlns:xm="http://schemas.microsoft.com/office/excel/2006/main">
          <x14:cfRule type="expression" priority="4695124" id="{F7653492-88D1-47AC-8BA3-0CCE65C3C2AB}">
            <xm:f>$AO$4='Data entry'!$R35</xm:f>
            <x14:dxf>
              <fill>
                <patternFill>
                  <bgColor rgb="FFFFFF00"/>
                </patternFill>
              </fill>
            </x14:dxf>
          </x14:cfRule>
          <xm:sqref>AA92:AO92</xm:sqref>
        </x14:conditionalFormatting>
        <x14:conditionalFormatting xmlns:xm="http://schemas.microsoft.com/office/excel/2006/main">
          <x14:cfRule type="expression" priority="4695125" id="{207A5E5D-B322-482E-9193-1D7318138358}">
            <xm:f>$AP$4='Data entry'!$R35</xm:f>
            <x14:dxf>
              <fill>
                <patternFill>
                  <bgColor rgb="FFFF0000"/>
                </patternFill>
              </fill>
            </x14:dxf>
          </x14:cfRule>
          <xm:sqref>AN93:AZ93</xm:sqref>
        </x14:conditionalFormatting>
        <x14:conditionalFormatting xmlns:xm="http://schemas.microsoft.com/office/excel/2006/main">
          <x14:cfRule type="expression" priority="4695126" id="{21DA638D-4CA0-4067-BFF1-240CE1A0261B}">
            <xm:f>$AP$4='Data entry'!$R35</xm:f>
            <x14:dxf>
              <fill>
                <patternFill>
                  <bgColor rgb="FFFFFF00"/>
                </patternFill>
              </fill>
            </x14:dxf>
          </x14:cfRule>
          <xm:sqref>AB92:AP92</xm:sqref>
        </x14:conditionalFormatting>
        <x14:conditionalFormatting xmlns:xm="http://schemas.microsoft.com/office/excel/2006/main">
          <x14:cfRule type="expression" priority="4695127" id="{71963D96-A42A-4B90-BFC7-6D83D37766EF}">
            <xm:f>$AQ$4='Data entry'!$R35</xm:f>
            <x14:dxf>
              <fill>
                <patternFill>
                  <bgColor rgb="FFFF0000"/>
                </patternFill>
              </fill>
            </x14:dxf>
          </x14:cfRule>
          <xm:sqref>AO93:BA93</xm:sqref>
        </x14:conditionalFormatting>
        <x14:conditionalFormatting xmlns:xm="http://schemas.microsoft.com/office/excel/2006/main">
          <x14:cfRule type="expression" priority="4695128" id="{74952595-84B6-484F-8FF6-FCC1F337DF4D}">
            <xm:f>$AQ$4='Data entry'!$R35</xm:f>
            <x14:dxf>
              <fill>
                <patternFill>
                  <bgColor rgb="FFFFFF00"/>
                </patternFill>
              </fill>
            </x14:dxf>
          </x14:cfRule>
          <xm:sqref>AC92:AQ92</xm:sqref>
        </x14:conditionalFormatting>
        <x14:conditionalFormatting xmlns:xm="http://schemas.microsoft.com/office/excel/2006/main">
          <x14:cfRule type="expression" priority="4695129" id="{8AC9C4B9-0A34-4BC0-B0F7-CA89434C4911}">
            <xm:f>$P$4='Data entry'!$R35</xm:f>
            <x14:dxf>
              <fill>
                <patternFill>
                  <bgColor rgb="FFFFFF00"/>
                </patternFill>
              </fill>
            </x14:dxf>
          </x14:cfRule>
          <xm:sqref>C92:P92</xm:sqref>
        </x14:conditionalFormatting>
        <x14:conditionalFormatting xmlns:xm="http://schemas.microsoft.com/office/excel/2006/main">
          <x14:cfRule type="expression" priority="4695130" id="{0A726775-ABFD-4F22-967C-1A4D87BA3751}">
            <xm:f>$Q$4='Data entry'!$R35</xm:f>
            <x14:dxf>
              <fill>
                <patternFill>
                  <bgColor rgb="FFFFFF00"/>
                </patternFill>
              </fill>
            </x14:dxf>
          </x14:cfRule>
          <xm:sqref>C92:Q92</xm:sqref>
        </x14:conditionalFormatting>
        <x14:conditionalFormatting xmlns:xm="http://schemas.microsoft.com/office/excel/2006/main">
          <x14:cfRule type="expression" priority="4695131" id="{3A8414BD-262C-43B5-86EE-FA6901D00453}">
            <xm:f>$Q$4='Data entry'!$R35</xm:f>
            <x14:dxf>
              <fill>
                <patternFill>
                  <bgColor rgb="FFFF0000"/>
                </patternFill>
              </fill>
            </x14:dxf>
          </x14:cfRule>
          <xm:sqref>O93:AA93</xm:sqref>
        </x14:conditionalFormatting>
        <x14:conditionalFormatting xmlns:xm="http://schemas.microsoft.com/office/excel/2006/main">
          <x14:cfRule type="expression" priority="4695132" id="{B8B5501D-F3EF-4449-9306-F652960C65F4}">
            <xm:f>$R$4='Data entry'!$R35</xm:f>
            <x14:dxf>
              <fill>
                <patternFill>
                  <bgColor rgb="FFFF0000"/>
                </patternFill>
              </fill>
            </x14:dxf>
          </x14:cfRule>
          <xm:sqref>P93:AB93</xm:sqref>
        </x14:conditionalFormatting>
        <x14:conditionalFormatting xmlns:xm="http://schemas.microsoft.com/office/excel/2006/main">
          <x14:cfRule type="expression" priority="4695133" id="{5D070DEC-B82E-4D87-B907-A3E5AB836991}">
            <xm:f>$R$4='Data entry'!$R35</xm:f>
            <x14:dxf>
              <fill>
                <patternFill>
                  <bgColor rgb="FFFFFF00"/>
                </patternFill>
              </fill>
            </x14:dxf>
          </x14:cfRule>
          <xm:sqref>D92:R92</xm:sqref>
        </x14:conditionalFormatting>
        <x14:conditionalFormatting xmlns:xm="http://schemas.microsoft.com/office/excel/2006/main">
          <x14:cfRule type="expression" priority="4695134" id="{E4D16A10-F818-4664-9FB2-F0E839824D4B}">
            <xm:f>$S$4='Data entry'!$R35</xm:f>
            <x14:dxf>
              <fill>
                <patternFill>
                  <bgColor rgb="FFFF0000"/>
                </patternFill>
              </fill>
            </x14:dxf>
          </x14:cfRule>
          <xm:sqref>Q93:AC93</xm:sqref>
        </x14:conditionalFormatting>
        <x14:conditionalFormatting xmlns:xm="http://schemas.microsoft.com/office/excel/2006/main">
          <x14:cfRule type="expression" priority="4695135" id="{1A9F9911-A3E9-4730-AFBE-AB8C596545CA}">
            <xm:f>$S$4='Data entry'!$R35</xm:f>
            <x14:dxf>
              <fill>
                <patternFill>
                  <bgColor rgb="FFFFFF00"/>
                </patternFill>
              </fill>
            </x14:dxf>
          </x14:cfRule>
          <xm:sqref>E92:S92</xm:sqref>
        </x14:conditionalFormatting>
        <x14:conditionalFormatting xmlns:xm="http://schemas.microsoft.com/office/excel/2006/main">
          <x14:cfRule type="expression" priority="4695136" id="{8BB5CD1B-B2AC-442A-9550-26DE19A62D22}">
            <xm:f>$T$4='Data entry'!$R35</xm:f>
            <x14:dxf>
              <fill>
                <patternFill>
                  <bgColor rgb="FFFF0000"/>
                </patternFill>
              </fill>
            </x14:dxf>
          </x14:cfRule>
          <xm:sqref>R93:AD93</xm:sqref>
        </x14:conditionalFormatting>
        <x14:conditionalFormatting xmlns:xm="http://schemas.microsoft.com/office/excel/2006/main">
          <x14:cfRule type="expression" priority="4695137" id="{E7B59C69-7921-4049-84A1-8B3E5F7B0598}">
            <xm:f>$T$4='Data entry'!$R35</xm:f>
            <x14:dxf>
              <fill>
                <patternFill>
                  <bgColor rgb="FFFFFF00"/>
                </patternFill>
              </fill>
            </x14:dxf>
          </x14:cfRule>
          <xm:sqref>F92:T92</xm:sqref>
        </x14:conditionalFormatting>
        <x14:conditionalFormatting xmlns:xm="http://schemas.microsoft.com/office/excel/2006/main">
          <x14:cfRule type="expression" priority="4695138" id="{238C09E5-7A3D-439D-949F-A7733073F9A2}">
            <xm:f>$U$4='Data entry'!$R35</xm:f>
            <x14:dxf>
              <fill>
                <patternFill>
                  <bgColor rgb="FFFFFF00"/>
                </patternFill>
              </fill>
            </x14:dxf>
          </x14:cfRule>
          <xm:sqref>G92:U92</xm:sqref>
        </x14:conditionalFormatting>
        <x14:conditionalFormatting xmlns:xm="http://schemas.microsoft.com/office/excel/2006/main">
          <x14:cfRule type="expression" priority="4695139" id="{DE4D4432-0A19-452A-AF14-2873FE4DF411}">
            <xm:f>$AR$4='Data entry'!$R35</xm:f>
            <x14:dxf>
              <fill>
                <patternFill>
                  <bgColor rgb="FFFF0000"/>
                </patternFill>
              </fill>
            </x14:dxf>
          </x14:cfRule>
          <xm:sqref>AP93:BB93</xm:sqref>
        </x14:conditionalFormatting>
        <x14:conditionalFormatting xmlns:xm="http://schemas.microsoft.com/office/excel/2006/main">
          <x14:cfRule type="expression" priority="4695140" id="{90D7E1FF-542D-40C8-9BD5-DFEB4CDD256F}">
            <xm:f>$AR$4='Data entry'!$R35</xm:f>
            <x14:dxf>
              <fill>
                <patternFill>
                  <bgColor rgb="FFFFFF00"/>
                </patternFill>
              </fill>
            </x14:dxf>
          </x14:cfRule>
          <xm:sqref>AD92:AR92</xm:sqref>
        </x14:conditionalFormatting>
        <x14:conditionalFormatting xmlns:xm="http://schemas.microsoft.com/office/excel/2006/main">
          <x14:cfRule type="expression" priority="4695141" id="{0EBB5305-4A4A-4205-A1FF-11160070CBC3}">
            <xm:f>$AS$4='Data entry'!$R35</xm:f>
            <x14:dxf>
              <fill>
                <patternFill>
                  <bgColor rgb="FFFF0000"/>
                </patternFill>
              </fill>
            </x14:dxf>
          </x14:cfRule>
          <xm:sqref>AQ93:BC93</xm:sqref>
        </x14:conditionalFormatting>
        <x14:conditionalFormatting xmlns:xm="http://schemas.microsoft.com/office/excel/2006/main">
          <x14:cfRule type="expression" priority="4695142" id="{AC8EB30C-4253-4CE1-820E-1801F6D8D35B}">
            <xm:f>$AS$4='Data entry'!$R35</xm:f>
            <x14:dxf>
              <fill>
                <patternFill>
                  <bgColor rgb="FFFFFF00"/>
                </patternFill>
              </fill>
            </x14:dxf>
          </x14:cfRule>
          <xm:sqref>AE92:AS92</xm:sqref>
        </x14:conditionalFormatting>
        <x14:conditionalFormatting xmlns:xm="http://schemas.microsoft.com/office/excel/2006/main">
          <x14:cfRule type="expression" priority="4695143" id="{E11744C1-7201-4272-A1B0-945490B42425}">
            <xm:f>$AT$4='Data entry'!$R35</xm:f>
            <x14:dxf>
              <fill>
                <patternFill>
                  <bgColor rgb="FFFF0000"/>
                </patternFill>
              </fill>
            </x14:dxf>
          </x14:cfRule>
          <xm:sqref>AR93:BD93</xm:sqref>
        </x14:conditionalFormatting>
        <x14:conditionalFormatting xmlns:xm="http://schemas.microsoft.com/office/excel/2006/main">
          <x14:cfRule type="expression" priority="4695144" id="{5EE2823B-E955-4EA7-B99C-0B1F77B57A69}">
            <xm:f>$AT$4='Data entry'!$R35</xm:f>
            <x14:dxf>
              <fill>
                <patternFill>
                  <bgColor rgb="FFFFFF00"/>
                </patternFill>
              </fill>
            </x14:dxf>
          </x14:cfRule>
          <xm:sqref>AF92:AT92</xm:sqref>
        </x14:conditionalFormatting>
        <x14:conditionalFormatting xmlns:xm="http://schemas.microsoft.com/office/excel/2006/main">
          <x14:cfRule type="expression" priority="4695145" id="{5737DC63-3262-4B34-900C-2AAEB255FCBA}">
            <xm:f>$AU$4='Data entry'!$R35</xm:f>
            <x14:dxf>
              <fill>
                <patternFill>
                  <bgColor rgb="FFFF0000"/>
                </patternFill>
              </fill>
            </x14:dxf>
          </x14:cfRule>
          <xm:sqref>AS93:BE93</xm:sqref>
        </x14:conditionalFormatting>
        <x14:conditionalFormatting xmlns:xm="http://schemas.microsoft.com/office/excel/2006/main">
          <x14:cfRule type="expression" priority="4695146" id="{2B5C1F1B-3C3D-4CA3-BC64-0E98422075B6}">
            <xm:f>$AU$4='Data entry'!$R35</xm:f>
            <x14:dxf>
              <fill>
                <patternFill>
                  <bgColor rgb="FFFFFF00"/>
                </patternFill>
              </fill>
            </x14:dxf>
          </x14:cfRule>
          <xm:sqref>AG92:AU92</xm:sqref>
        </x14:conditionalFormatting>
        <x14:conditionalFormatting xmlns:xm="http://schemas.microsoft.com/office/excel/2006/main">
          <x14:cfRule type="expression" priority="4695147" id="{B87A1285-B003-4855-8F4B-53C391BA10E6}">
            <xm:f>$AV$4='Data entry'!$R35</xm:f>
            <x14:dxf>
              <fill>
                <patternFill>
                  <bgColor rgb="FFFF0000"/>
                </patternFill>
              </fill>
            </x14:dxf>
          </x14:cfRule>
          <xm:sqref>AT93:BF93</xm:sqref>
        </x14:conditionalFormatting>
        <x14:conditionalFormatting xmlns:xm="http://schemas.microsoft.com/office/excel/2006/main">
          <x14:cfRule type="expression" priority="4695148" id="{338EE31C-78DB-4818-B837-0380F9E457FA}">
            <xm:f>$AV$4='Data entry'!$R35</xm:f>
            <x14:dxf>
              <fill>
                <patternFill>
                  <bgColor rgb="FFFFFF00"/>
                </patternFill>
              </fill>
            </x14:dxf>
          </x14:cfRule>
          <xm:sqref>AH92:AV92</xm:sqref>
        </x14:conditionalFormatting>
        <x14:conditionalFormatting xmlns:xm="http://schemas.microsoft.com/office/excel/2006/main">
          <x14:cfRule type="expression" priority="4695149" id="{5C40EA66-2801-4C91-B885-BF6A1ECFC35C}">
            <xm:f>$AW$4='Data entry'!$R35</xm:f>
            <x14:dxf>
              <fill>
                <patternFill>
                  <bgColor rgb="FFFF0000"/>
                </patternFill>
              </fill>
            </x14:dxf>
          </x14:cfRule>
          <xm:sqref>AU93:BG93</xm:sqref>
        </x14:conditionalFormatting>
        <x14:conditionalFormatting xmlns:xm="http://schemas.microsoft.com/office/excel/2006/main">
          <x14:cfRule type="expression" priority="4695150" id="{51BCD5CE-DF86-4C2F-8A81-DDA1EFD6C8F7}">
            <xm:f>$AW$4='Data entry'!$R35</xm:f>
            <x14:dxf>
              <fill>
                <patternFill>
                  <bgColor rgb="FFFFFF00"/>
                </patternFill>
              </fill>
            </x14:dxf>
          </x14:cfRule>
          <xm:sqref>AI92:AW92</xm:sqref>
        </x14:conditionalFormatting>
        <x14:conditionalFormatting xmlns:xm="http://schemas.microsoft.com/office/excel/2006/main">
          <x14:cfRule type="expression" priority="4695151" id="{DC2ED5A0-8917-4877-8CD3-9DF9BE5993C9}">
            <xm:f>$AX$4='Data entry'!$R35</xm:f>
            <x14:dxf>
              <fill>
                <patternFill>
                  <bgColor rgb="FFFF0000"/>
                </patternFill>
              </fill>
            </x14:dxf>
          </x14:cfRule>
          <xm:sqref>AV93:BH93</xm:sqref>
        </x14:conditionalFormatting>
        <x14:conditionalFormatting xmlns:xm="http://schemas.microsoft.com/office/excel/2006/main">
          <x14:cfRule type="expression" priority="4695152" id="{59B31869-20F9-45BD-BC80-0A6C8945CE2C}">
            <xm:f>$AX$4='Data entry'!$R35</xm:f>
            <x14:dxf>
              <fill>
                <patternFill>
                  <bgColor rgb="FFFFFF00"/>
                </patternFill>
              </fill>
            </x14:dxf>
          </x14:cfRule>
          <xm:sqref>AJ92:AX92</xm:sqref>
        </x14:conditionalFormatting>
        <x14:conditionalFormatting xmlns:xm="http://schemas.microsoft.com/office/excel/2006/main">
          <x14:cfRule type="expression" priority="4695153" id="{D4208FA0-4262-4037-934C-6D0742B2AD8E}">
            <xm:f>$AY$4='Data entry'!$R35</xm:f>
            <x14:dxf>
              <fill>
                <patternFill>
                  <bgColor rgb="FFFF0000"/>
                </patternFill>
              </fill>
            </x14:dxf>
          </x14:cfRule>
          <xm:sqref>AW93:BI93</xm:sqref>
        </x14:conditionalFormatting>
        <x14:conditionalFormatting xmlns:xm="http://schemas.microsoft.com/office/excel/2006/main">
          <x14:cfRule type="expression" priority="4695154" id="{04D6E423-18C7-42B2-A67D-F49D8E62B571}">
            <xm:f>$AY$4='Data entry'!$R35</xm:f>
            <x14:dxf>
              <fill>
                <patternFill>
                  <bgColor rgb="FFFFFF00"/>
                </patternFill>
              </fill>
            </x14:dxf>
          </x14:cfRule>
          <xm:sqref>AK92:AY92</xm:sqref>
        </x14:conditionalFormatting>
        <x14:conditionalFormatting xmlns:xm="http://schemas.microsoft.com/office/excel/2006/main">
          <x14:cfRule type="expression" priority="4695155" id="{A931C203-6E4B-4EBD-A2F4-1876881F48D4}">
            <xm:f>$AZ$4='Data entry'!$R35</xm:f>
            <x14:dxf>
              <fill>
                <patternFill>
                  <bgColor rgb="FFFF0000"/>
                </patternFill>
              </fill>
            </x14:dxf>
          </x14:cfRule>
          <xm:sqref>AX93:BJ93</xm:sqref>
        </x14:conditionalFormatting>
        <x14:conditionalFormatting xmlns:xm="http://schemas.microsoft.com/office/excel/2006/main">
          <x14:cfRule type="expression" priority="4695156" id="{092D9100-E652-40FE-8CAA-720DC0681250}">
            <xm:f>$AZ$4='Data entry'!$R35</xm:f>
            <x14:dxf>
              <fill>
                <patternFill>
                  <bgColor rgb="FFFFFF00"/>
                </patternFill>
              </fill>
            </x14:dxf>
          </x14:cfRule>
          <xm:sqref>AL92:AZ92</xm:sqref>
        </x14:conditionalFormatting>
        <x14:conditionalFormatting xmlns:xm="http://schemas.microsoft.com/office/excel/2006/main">
          <x14:cfRule type="expression" priority="4695157" id="{A3C7E6BE-A225-483C-A983-A915DB662C52}">
            <xm:f>$BA$4='Data entry'!$R35</xm:f>
            <x14:dxf>
              <fill>
                <patternFill>
                  <bgColor rgb="FFFF0000"/>
                </patternFill>
              </fill>
            </x14:dxf>
          </x14:cfRule>
          <xm:sqref>AY93:BK93</xm:sqref>
        </x14:conditionalFormatting>
        <x14:conditionalFormatting xmlns:xm="http://schemas.microsoft.com/office/excel/2006/main">
          <x14:cfRule type="expression" priority="4695158" id="{F5CF569A-8AFA-4CFF-8BD3-F04D8927A99F}">
            <xm:f>$BA$4='Data entry'!$R35</xm:f>
            <x14:dxf>
              <fill>
                <patternFill>
                  <bgColor rgb="FFFFFF00"/>
                </patternFill>
              </fill>
            </x14:dxf>
          </x14:cfRule>
          <xm:sqref>AM92:BA92</xm:sqref>
        </x14:conditionalFormatting>
        <x14:conditionalFormatting xmlns:xm="http://schemas.microsoft.com/office/excel/2006/main">
          <x14:cfRule type="expression" priority="4695159" id="{E4DAC94A-7983-4BFB-A87B-45B58561841A}">
            <xm:f>$BB$4='Data entry'!$R35</xm:f>
            <x14:dxf>
              <fill>
                <patternFill>
                  <bgColor rgb="FFFF0000"/>
                </patternFill>
              </fill>
            </x14:dxf>
          </x14:cfRule>
          <xm:sqref>AZ93:BL93</xm:sqref>
        </x14:conditionalFormatting>
        <x14:conditionalFormatting xmlns:xm="http://schemas.microsoft.com/office/excel/2006/main">
          <x14:cfRule type="expression" priority="4695160" id="{E63849C5-F39B-4B0E-8F8A-B532EDF2CBAE}">
            <xm:f>$BB$4='Data entry'!$R35</xm:f>
            <x14:dxf>
              <fill>
                <patternFill>
                  <bgColor rgb="FFFFFF00"/>
                </patternFill>
              </fill>
            </x14:dxf>
          </x14:cfRule>
          <xm:sqref>AN92:BB92</xm:sqref>
        </x14:conditionalFormatting>
        <x14:conditionalFormatting xmlns:xm="http://schemas.microsoft.com/office/excel/2006/main">
          <x14:cfRule type="expression" priority="4695161" id="{4FDC32D3-C1F5-455D-9AA4-A03359B72526}">
            <xm:f>$BC$4='Data entry'!$R35</xm:f>
            <x14:dxf>
              <fill>
                <patternFill>
                  <bgColor rgb="FFFF0000"/>
                </patternFill>
              </fill>
            </x14:dxf>
          </x14:cfRule>
          <xm:sqref>BA93:BM93</xm:sqref>
        </x14:conditionalFormatting>
        <x14:conditionalFormatting xmlns:xm="http://schemas.microsoft.com/office/excel/2006/main">
          <x14:cfRule type="expression" priority="4695162" id="{5F0D0C60-B233-4C56-B05D-98C99990877F}">
            <xm:f>$BC$4='Data entry'!$R35</xm:f>
            <x14:dxf>
              <fill>
                <patternFill>
                  <bgColor rgb="FFFFFF00"/>
                </patternFill>
              </fill>
            </x14:dxf>
          </x14:cfRule>
          <xm:sqref>AO92:BC92</xm:sqref>
        </x14:conditionalFormatting>
        <x14:conditionalFormatting xmlns:xm="http://schemas.microsoft.com/office/excel/2006/main">
          <x14:cfRule type="expression" priority="4695163" id="{9EBCB60F-8135-43B6-A0F3-548D4092CC98}">
            <xm:f>$BD$4='Data entry'!$R35</xm:f>
            <x14:dxf>
              <fill>
                <patternFill>
                  <bgColor rgb="FFFF0000"/>
                </patternFill>
              </fill>
            </x14:dxf>
          </x14:cfRule>
          <xm:sqref>BB93:BN93</xm:sqref>
        </x14:conditionalFormatting>
        <x14:conditionalFormatting xmlns:xm="http://schemas.microsoft.com/office/excel/2006/main">
          <x14:cfRule type="expression" priority="4695164" id="{961AF346-4A73-41ED-9A8D-27D431B09C05}">
            <xm:f>$BD$4='Data entry'!$R35</xm:f>
            <x14:dxf>
              <fill>
                <patternFill>
                  <bgColor rgb="FFFFFF00"/>
                </patternFill>
              </fill>
            </x14:dxf>
          </x14:cfRule>
          <xm:sqref>AP92:BD92</xm:sqref>
        </x14:conditionalFormatting>
        <x14:conditionalFormatting xmlns:xm="http://schemas.microsoft.com/office/excel/2006/main">
          <x14:cfRule type="expression" priority="4695165" id="{5A887026-27CD-4F8C-8BA6-1E92704C1CA6}">
            <xm:f>$BE$4='Data entry'!$R35</xm:f>
            <x14:dxf>
              <fill>
                <patternFill>
                  <bgColor rgb="FFFF0000"/>
                </patternFill>
              </fill>
            </x14:dxf>
          </x14:cfRule>
          <xm:sqref>BC93:BO93</xm:sqref>
        </x14:conditionalFormatting>
        <x14:conditionalFormatting xmlns:xm="http://schemas.microsoft.com/office/excel/2006/main">
          <x14:cfRule type="expression" priority="4695166" id="{7F46217B-A1E9-4515-B31E-E756FCD7C6D9}">
            <xm:f>$BE$4='Data entry'!$R35</xm:f>
            <x14:dxf>
              <fill>
                <patternFill>
                  <bgColor rgb="FFFFFF00"/>
                </patternFill>
              </fill>
            </x14:dxf>
          </x14:cfRule>
          <xm:sqref>AP92:BE92</xm:sqref>
        </x14:conditionalFormatting>
        <x14:conditionalFormatting xmlns:xm="http://schemas.microsoft.com/office/excel/2006/main">
          <x14:cfRule type="expression" priority="4695167" id="{F4D9285C-8CA0-4EF1-943E-6A462D47CC77}">
            <xm:f>$BF$4='Data entry'!$R35</xm:f>
            <x14:dxf>
              <fill>
                <patternFill>
                  <bgColor rgb="FFFF0000"/>
                </patternFill>
              </fill>
            </x14:dxf>
          </x14:cfRule>
          <xm:sqref>BD93:BP93</xm:sqref>
        </x14:conditionalFormatting>
        <x14:conditionalFormatting xmlns:xm="http://schemas.microsoft.com/office/excel/2006/main">
          <x14:cfRule type="expression" priority="4695168" id="{B9E4407D-651D-4DC0-9D61-3271D62A65E9}">
            <xm:f>$BF$4='Data entry'!$R35</xm:f>
            <x14:dxf>
              <fill>
                <patternFill>
                  <bgColor rgb="FFFFFF00"/>
                </patternFill>
              </fill>
            </x14:dxf>
          </x14:cfRule>
          <xm:sqref>AR92:BF92</xm:sqref>
        </x14:conditionalFormatting>
        <x14:conditionalFormatting xmlns:xm="http://schemas.microsoft.com/office/excel/2006/main">
          <x14:cfRule type="expression" priority="4695169" id="{4CDC062F-DDFF-4556-B941-08F919727F69}">
            <xm:f>$BG$4='Data entry'!$R35</xm:f>
            <x14:dxf>
              <fill>
                <patternFill>
                  <bgColor rgb="FFFF0000"/>
                </patternFill>
              </fill>
            </x14:dxf>
          </x14:cfRule>
          <xm:sqref>BE93:BQ93</xm:sqref>
        </x14:conditionalFormatting>
        <x14:conditionalFormatting xmlns:xm="http://schemas.microsoft.com/office/excel/2006/main">
          <x14:cfRule type="expression" priority="4695170" id="{789184FA-9055-433B-8A1B-92C7ED59E81F}">
            <xm:f>$BG$4='Data entry'!$R35</xm:f>
            <x14:dxf>
              <fill>
                <patternFill>
                  <bgColor rgb="FFFFFF00"/>
                </patternFill>
              </fill>
            </x14:dxf>
          </x14:cfRule>
          <xm:sqref>AS92:BG92</xm:sqref>
        </x14:conditionalFormatting>
        <x14:conditionalFormatting xmlns:xm="http://schemas.microsoft.com/office/excel/2006/main">
          <x14:cfRule type="expression" priority="4695171" id="{58651E5C-09C9-46C1-B95C-E8A578A49E15}">
            <xm:f>$BH$4='Data entry'!$R35</xm:f>
            <x14:dxf>
              <fill>
                <patternFill>
                  <bgColor rgb="FFFFFF00"/>
                </patternFill>
              </fill>
            </x14:dxf>
          </x14:cfRule>
          <xm:sqref>AT92:BH92</xm:sqref>
        </x14:conditionalFormatting>
        <x14:conditionalFormatting xmlns:xm="http://schemas.microsoft.com/office/excel/2006/main">
          <x14:cfRule type="expression" priority="4695172" id="{97B30B86-8311-4DC0-A533-8C0D53F37839}">
            <xm:f>$BH$4='Data entry'!$R35</xm:f>
            <x14:dxf>
              <fill>
                <patternFill>
                  <bgColor rgb="FFFF0000"/>
                </patternFill>
              </fill>
            </x14:dxf>
          </x14:cfRule>
          <xm:sqref>BF93:BR93</xm:sqref>
        </x14:conditionalFormatting>
        <x14:conditionalFormatting xmlns:xm="http://schemas.microsoft.com/office/excel/2006/main">
          <x14:cfRule type="expression" priority="4695173" id="{78344C0C-5AEA-40B1-A20C-6D77DF58E1F5}">
            <xm:f>$BI$4='Data entry'!$R35</xm:f>
            <x14:dxf>
              <fill>
                <patternFill>
                  <bgColor rgb="FFFFFF00"/>
                </patternFill>
              </fill>
            </x14:dxf>
          </x14:cfRule>
          <xm:sqref>AU92:BI92</xm:sqref>
        </x14:conditionalFormatting>
        <x14:conditionalFormatting xmlns:xm="http://schemas.microsoft.com/office/excel/2006/main">
          <x14:cfRule type="expression" priority="4695174" id="{A9CE044F-482E-4F25-B28F-89ACC58502B1}">
            <xm:f>$BI$4='Data entry'!$R35</xm:f>
            <x14:dxf>
              <fill>
                <patternFill>
                  <bgColor rgb="FFFF0000"/>
                </patternFill>
              </fill>
            </x14:dxf>
          </x14:cfRule>
          <xm:sqref>BG93:BS93</xm:sqref>
        </x14:conditionalFormatting>
        <x14:conditionalFormatting xmlns:xm="http://schemas.microsoft.com/office/excel/2006/main">
          <x14:cfRule type="expression" priority="4695175" id="{F63BE0EB-3C71-4456-BEF0-11180AB7A8BB}">
            <xm:f>$BJ$4='Data entry'!$R35</xm:f>
            <x14:dxf>
              <fill>
                <patternFill>
                  <bgColor rgb="FFFFFF00"/>
                </patternFill>
              </fill>
            </x14:dxf>
          </x14:cfRule>
          <xm:sqref>AV92:BJ92</xm:sqref>
        </x14:conditionalFormatting>
        <x14:conditionalFormatting xmlns:xm="http://schemas.microsoft.com/office/excel/2006/main">
          <x14:cfRule type="expression" priority="4695176" id="{478A5DCB-1DAA-4497-A6CC-B4F01FB96D10}">
            <xm:f>$BJ$4='Data entry'!$R35</xm:f>
            <x14:dxf>
              <fill>
                <patternFill>
                  <bgColor rgb="FFFF0000"/>
                </patternFill>
              </fill>
            </x14:dxf>
          </x14:cfRule>
          <xm:sqref>BH93:BT93</xm:sqref>
        </x14:conditionalFormatting>
        <x14:conditionalFormatting xmlns:xm="http://schemas.microsoft.com/office/excel/2006/main">
          <x14:cfRule type="expression" priority="4695177" id="{CDE4AD5B-65A6-4FA4-9EC0-8D05F22312A9}">
            <xm:f>$BK$4='Data entry'!$R35</xm:f>
            <x14:dxf>
              <fill>
                <patternFill>
                  <bgColor rgb="FFFF0000"/>
                </patternFill>
              </fill>
            </x14:dxf>
          </x14:cfRule>
          <xm:sqref>BI93:BU93</xm:sqref>
        </x14:conditionalFormatting>
        <x14:conditionalFormatting xmlns:xm="http://schemas.microsoft.com/office/excel/2006/main">
          <x14:cfRule type="expression" priority="4695178" id="{AB32E790-6CD8-4D11-9A69-57D785FE4BBC}">
            <xm:f>$BK$4='Data entry'!$R35</xm:f>
            <x14:dxf>
              <fill>
                <patternFill>
                  <bgColor rgb="FFFFFF00"/>
                </patternFill>
              </fill>
            </x14:dxf>
          </x14:cfRule>
          <xm:sqref>AW92:BK92</xm:sqref>
        </x14:conditionalFormatting>
        <x14:conditionalFormatting xmlns:xm="http://schemas.microsoft.com/office/excel/2006/main">
          <x14:cfRule type="expression" priority="4695179" id="{99810EB9-805C-43D8-852A-EEECE7874CDB}">
            <xm:f>$BL$4='Data entry'!$R35</xm:f>
            <x14:dxf>
              <fill>
                <patternFill>
                  <bgColor rgb="FFFF0000"/>
                </patternFill>
              </fill>
            </x14:dxf>
          </x14:cfRule>
          <xm:sqref>BJ93:BV93</xm:sqref>
        </x14:conditionalFormatting>
        <x14:conditionalFormatting xmlns:xm="http://schemas.microsoft.com/office/excel/2006/main">
          <x14:cfRule type="expression" priority="4695180" id="{BF5F5475-4E46-479C-97A6-D5175F5D1803}">
            <xm:f>$BL$4='Data entry'!$R35</xm:f>
            <x14:dxf>
              <fill>
                <patternFill>
                  <bgColor rgb="FFFFFF00"/>
                </patternFill>
              </fill>
            </x14:dxf>
          </x14:cfRule>
          <xm:sqref>AX92:BL92</xm:sqref>
        </x14:conditionalFormatting>
        <x14:conditionalFormatting xmlns:xm="http://schemas.microsoft.com/office/excel/2006/main">
          <x14:cfRule type="expression" priority="4695181" id="{B86FDF2F-16C9-46B1-847E-7EA1A8A34B9D}">
            <xm:f>$BM$4='Data entry'!$R35</xm:f>
            <x14:dxf>
              <fill>
                <patternFill>
                  <bgColor rgb="FFFF0000"/>
                </patternFill>
              </fill>
            </x14:dxf>
          </x14:cfRule>
          <xm:sqref>BK93:BW93</xm:sqref>
        </x14:conditionalFormatting>
        <x14:conditionalFormatting xmlns:xm="http://schemas.microsoft.com/office/excel/2006/main">
          <x14:cfRule type="expression" priority="4695182" id="{72FD189F-4CED-400D-9FEF-21A328970A4D}">
            <xm:f>$BM$4='Data entry'!$R35</xm:f>
            <x14:dxf>
              <fill>
                <patternFill>
                  <bgColor rgb="FFFFFF00"/>
                </patternFill>
              </fill>
            </x14:dxf>
          </x14:cfRule>
          <xm:sqref>AY92:BM92</xm:sqref>
        </x14:conditionalFormatting>
        <x14:conditionalFormatting xmlns:xm="http://schemas.microsoft.com/office/excel/2006/main">
          <x14:cfRule type="expression" priority="4695183" id="{BBBBF859-D5A7-4F55-BFBF-8A77E3357590}">
            <xm:f>$BN$4='Data entry'!$R35</xm:f>
            <x14:dxf>
              <fill>
                <patternFill>
                  <bgColor rgb="FFFF0000"/>
                </patternFill>
              </fill>
            </x14:dxf>
          </x14:cfRule>
          <xm:sqref>BL93:BX93</xm:sqref>
        </x14:conditionalFormatting>
        <x14:conditionalFormatting xmlns:xm="http://schemas.microsoft.com/office/excel/2006/main">
          <x14:cfRule type="expression" priority="4695184" id="{50CB1D75-0FD5-4D24-92B1-E8A41DC6575C}">
            <xm:f>$BN$4='Data entry'!$R35</xm:f>
            <x14:dxf>
              <fill>
                <patternFill>
                  <bgColor rgb="FFFFFF00"/>
                </patternFill>
              </fill>
            </x14:dxf>
          </x14:cfRule>
          <xm:sqref>AZ92:BN92</xm:sqref>
        </x14:conditionalFormatting>
        <x14:conditionalFormatting xmlns:xm="http://schemas.microsoft.com/office/excel/2006/main">
          <x14:cfRule type="expression" priority="4695185" id="{9EF3226D-E8FC-496B-A6FF-71776AEA54D1}">
            <xm:f>$BO$4='Data entry'!$R35</xm:f>
            <x14:dxf>
              <fill>
                <patternFill>
                  <bgColor rgb="FFFF0000"/>
                </patternFill>
              </fill>
            </x14:dxf>
          </x14:cfRule>
          <xm:sqref>BM93:BY93</xm:sqref>
        </x14:conditionalFormatting>
        <x14:conditionalFormatting xmlns:xm="http://schemas.microsoft.com/office/excel/2006/main">
          <x14:cfRule type="expression" priority="4695186" id="{3B86C801-ECFE-4D05-8AA5-1581116BAFBC}">
            <xm:f>$BO$4='Data entry'!$R35</xm:f>
            <x14:dxf>
              <fill>
                <patternFill>
                  <bgColor rgb="FFFFFF00"/>
                </patternFill>
              </fill>
            </x14:dxf>
          </x14:cfRule>
          <xm:sqref>BA92:BO92</xm:sqref>
        </x14:conditionalFormatting>
        <x14:conditionalFormatting xmlns:xm="http://schemas.microsoft.com/office/excel/2006/main">
          <x14:cfRule type="expression" priority="4695187" id="{058A23EC-3371-4A02-9F20-1ECA603AC6BC}">
            <xm:f>$BP$4='Data entry'!$R35</xm:f>
            <x14:dxf>
              <fill>
                <patternFill>
                  <bgColor rgb="FFFF0000"/>
                </patternFill>
              </fill>
            </x14:dxf>
          </x14:cfRule>
          <xm:sqref>BN93:BZ93</xm:sqref>
        </x14:conditionalFormatting>
        <x14:conditionalFormatting xmlns:xm="http://schemas.microsoft.com/office/excel/2006/main">
          <x14:cfRule type="expression" priority="4695188" id="{3E711E31-3992-4555-AB22-87133D60CD15}">
            <xm:f>$BP$4='Data entry'!$R35</xm:f>
            <x14:dxf>
              <fill>
                <patternFill>
                  <bgColor rgb="FFFFFF00"/>
                </patternFill>
              </fill>
            </x14:dxf>
          </x14:cfRule>
          <xm:sqref>BB92:BP92</xm:sqref>
        </x14:conditionalFormatting>
        <x14:conditionalFormatting xmlns:xm="http://schemas.microsoft.com/office/excel/2006/main">
          <x14:cfRule type="expression" priority="4695189" id="{23E9F8B9-37D5-4730-9453-6F23E8ECBBE3}">
            <xm:f>$BQ$4='Data entry'!$R35</xm:f>
            <x14:dxf>
              <fill>
                <patternFill>
                  <bgColor rgb="FFFFFF00"/>
                </patternFill>
              </fill>
            </x14:dxf>
          </x14:cfRule>
          <xm:sqref>BC92:BQ92</xm:sqref>
        </x14:conditionalFormatting>
        <x14:conditionalFormatting xmlns:xm="http://schemas.microsoft.com/office/excel/2006/main">
          <x14:cfRule type="expression" priority="4695190" id="{BCFD92F6-AAD3-44FD-BC61-A292A81B883E}">
            <xm:f>$BQ$4='Data entry'!$R35</xm:f>
            <x14:dxf>
              <fill>
                <patternFill>
                  <bgColor rgb="FFFF0000"/>
                </patternFill>
              </fill>
            </x14:dxf>
          </x14:cfRule>
          <xm:sqref>BO93:CA93</xm:sqref>
        </x14:conditionalFormatting>
        <x14:conditionalFormatting xmlns:xm="http://schemas.microsoft.com/office/excel/2006/main">
          <x14:cfRule type="expression" priority="4695191" id="{357D60E5-F356-477E-8020-A18F42C02832}">
            <xm:f>$BR$4='Data entry'!$R35</xm:f>
            <x14:dxf>
              <fill>
                <patternFill>
                  <bgColor rgb="FFFFFF00"/>
                </patternFill>
              </fill>
            </x14:dxf>
          </x14:cfRule>
          <xm:sqref>BD92:BR92</xm:sqref>
        </x14:conditionalFormatting>
        <x14:conditionalFormatting xmlns:xm="http://schemas.microsoft.com/office/excel/2006/main">
          <x14:cfRule type="expression" priority="4695192" id="{DA2B6511-43B3-432D-B6AA-1DB1188B90A6}">
            <xm:f>$BR$4='Data entry'!$R35</xm:f>
            <x14:dxf>
              <fill>
                <patternFill>
                  <bgColor rgb="FFFF0000"/>
                </patternFill>
              </fill>
            </x14:dxf>
          </x14:cfRule>
          <xm:sqref>BP93:CB93</xm:sqref>
        </x14:conditionalFormatting>
        <x14:conditionalFormatting xmlns:xm="http://schemas.microsoft.com/office/excel/2006/main">
          <x14:cfRule type="expression" priority="4695193" id="{0D5F64E4-4136-4BFA-B833-CC8578525D9C}">
            <xm:f>$BS$4='Data entry'!$R35</xm:f>
            <x14:dxf>
              <fill>
                <patternFill>
                  <bgColor rgb="FFFFFF00"/>
                </patternFill>
              </fill>
            </x14:dxf>
          </x14:cfRule>
          <xm:sqref>BE92:BS92</xm:sqref>
        </x14:conditionalFormatting>
        <x14:conditionalFormatting xmlns:xm="http://schemas.microsoft.com/office/excel/2006/main">
          <x14:cfRule type="expression" priority="4695194" id="{AC94D468-F078-4AE2-8771-102996E07B09}">
            <xm:f>$BS$4='Data entry'!$R35</xm:f>
            <x14:dxf>
              <fill>
                <patternFill>
                  <bgColor rgb="FFFF0000"/>
                </patternFill>
              </fill>
            </x14:dxf>
          </x14:cfRule>
          <xm:sqref>BQ93:CC93</xm:sqref>
        </x14:conditionalFormatting>
        <x14:conditionalFormatting xmlns:xm="http://schemas.microsoft.com/office/excel/2006/main">
          <x14:cfRule type="expression" priority="4695195" id="{10E78F76-181E-4F19-9F89-7DD36D3EFE30}">
            <xm:f>$BT$4='Data entry'!$R35</xm:f>
            <x14:dxf>
              <fill>
                <patternFill>
                  <bgColor rgb="FFFFFF00"/>
                </patternFill>
              </fill>
            </x14:dxf>
          </x14:cfRule>
          <xm:sqref>BF92:BT92</xm:sqref>
        </x14:conditionalFormatting>
        <x14:conditionalFormatting xmlns:xm="http://schemas.microsoft.com/office/excel/2006/main">
          <x14:cfRule type="expression" priority="4695196" id="{6A5FADC6-9512-4EFB-90A5-7B5244D10D1F}">
            <xm:f>$BT$4='Data entry'!$R35</xm:f>
            <x14:dxf>
              <fill>
                <patternFill>
                  <bgColor rgb="FFFF0000"/>
                </patternFill>
              </fill>
            </x14:dxf>
          </x14:cfRule>
          <xm:sqref>BR93:CC93</xm:sqref>
        </x14:conditionalFormatting>
        <x14:conditionalFormatting xmlns:xm="http://schemas.microsoft.com/office/excel/2006/main">
          <x14:cfRule type="expression" priority="4695197" id="{A51139D1-8841-4B96-B8CB-DFE3808765CF}">
            <xm:f>$BU$4='Data entry'!$R35</xm:f>
            <x14:dxf>
              <fill>
                <patternFill>
                  <bgColor rgb="FFFFFF00"/>
                </patternFill>
              </fill>
            </x14:dxf>
          </x14:cfRule>
          <xm:sqref>BG92:BU92</xm:sqref>
        </x14:conditionalFormatting>
        <x14:conditionalFormatting xmlns:xm="http://schemas.microsoft.com/office/excel/2006/main">
          <x14:cfRule type="expression" priority="4695198" id="{55CA7258-760F-4BFF-ACB5-A70FEB3E7981}">
            <xm:f>$BU$4='Data entry'!$R35</xm:f>
            <x14:dxf>
              <fill>
                <patternFill>
                  <bgColor rgb="FFFF0000"/>
                </patternFill>
              </fill>
            </x14:dxf>
          </x14:cfRule>
          <xm:sqref>BS93:CC93</xm:sqref>
        </x14:conditionalFormatting>
        <x14:conditionalFormatting xmlns:xm="http://schemas.microsoft.com/office/excel/2006/main">
          <x14:cfRule type="expression" priority="4695199" id="{A922B218-64DB-4CBB-9AB8-FE0EBB44E09E}">
            <xm:f>$BV$4='Data entry'!$R35</xm:f>
            <x14:dxf>
              <fill>
                <patternFill>
                  <bgColor rgb="FFFFFF00"/>
                </patternFill>
              </fill>
            </x14:dxf>
          </x14:cfRule>
          <xm:sqref>BH92:BV92</xm:sqref>
        </x14:conditionalFormatting>
        <x14:conditionalFormatting xmlns:xm="http://schemas.microsoft.com/office/excel/2006/main">
          <x14:cfRule type="expression" priority="4695200" id="{C98E908A-CD31-4778-B41C-7AFB9DBE639A}">
            <xm:f>$BV$4='Data entry'!$R35</xm:f>
            <x14:dxf>
              <fill>
                <patternFill>
                  <bgColor rgb="FFFF0000"/>
                </patternFill>
              </fill>
            </x14:dxf>
          </x14:cfRule>
          <xm:sqref>BT93:CC93</xm:sqref>
        </x14:conditionalFormatting>
        <x14:conditionalFormatting xmlns:xm="http://schemas.microsoft.com/office/excel/2006/main">
          <x14:cfRule type="expression" priority="4695201" id="{465CCCA3-B4DB-4B61-8AC7-8A5E4CEC9E3F}">
            <xm:f>$BW$4='Data entry'!$R35</xm:f>
            <x14:dxf>
              <fill>
                <patternFill>
                  <bgColor rgb="FFFFFF00"/>
                </patternFill>
              </fill>
            </x14:dxf>
          </x14:cfRule>
          <xm:sqref>BI92:BW92</xm:sqref>
        </x14:conditionalFormatting>
        <x14:conditionalFormatting xmlns:xm="http://schemas.microsoft.com/office/excel/2006/main">
          <x14:cfRule type="expression" priority="4695202" id="{37566F97-6D06-400B-A709-FE657B07687F}">
            <xm:f>$BW$4='Data entry'!$R35</xm:f>
            <x14:dxf>
              <fill>
                <patternFill>
                  <bgColor rgb="FFFF0000"/>
                </patternFill>
              </fill>
            </x14:dxf>
          </x14:cfRule>
          <xm:sqref>BU93:CC93</xm:sqref>
        </x14:conditionalFormatting>
        <x14:conditionalFormatting xmlns:xm="http://schemas.microsoft.com/office/excel/2006/main">
          <x14:cfRule type="expression" priority="4695203" id="{D8FBA3AC-5CF0-4E45-97CA-1D4DEE729ADA}">
            <xm:f>$BX$4='Data entry'!$R35</xm:f>
            <x14:dxf>
              <fill>
                <patternFill>
                  <bgColor rgb="FFFFFF00"/>
                </patternFill>
              </fill>
            </x14:dxf>
          </x14:cfRule>
          <xm:sqref>BJ92:BX92</xm:sqref>
        </x14:conditionalFormatting>
        <x14:conditionalFormatting xmlns:xm="http://schemas.microsoft.com/office/excel/2006/main">
          <x14:cfRule type="expression" priority="4695204" id="{E077C84B-A94F-431D-B232-4AFCC7C64F54}">
            <xm:f>$BX$4='Data entry'!$R35</xm:f>
            <x14:dxf>
              <fill>
                <patternFill>
                  <bgColor rgb="FFFF0000"/>
                </patternFill>
              </fill>
            </x14:dxf>
          </x14:cfRule>
          <xm:sqref>BV93:CC93</xm:sqref>
        </x14:conditionalFormatting>
        <x14:conditionalFormatting xmlns:xm="http://schemas.microsoft.com/office/excel/2006/main">
          <x14:cfRule type="expression" priority="4695205" id="{63783BA8-0C97-4A44-86FD-7A2BCF1B9957}">
            <xm:f>$BY$4='Data entry'!$R35</xm:f>
            <x14:dxf>
              <fill>
                <patternFill>
                  <bgColor rgb="FFFFFF00"/>
                </patternFill>
              </fill>
            </x14:dxf>
          </x14:cfRule>
          <xm:sqref>BK92:BY92</xm:sqref>
        </x14:conditionalFormatting>
        <x14:conditionalFormatting xmlns:xm="http://schemas.microsoft.com/office/excel/2006/main">
          <x14:cfRule type="expression" priority="4695206" id="{BB8DB8B4-B71B-46D2-AEE7-346F16103F74}">
            <xm:f>$BY$4='Data entry'!$R35</xm:f>
            <x14:dxf>
              <fill>
                <patternFill>
                  <bgColor rgb="FFFF0000"/>
                </patternFill>
              </fill>
            </x14:dxf>
          </x14:cfRule>
          <xm:sqref>BW93:CC93</xm:sqref>
        </x14:conditionalFormatting>
        <x14:conditionalFormatting xmlns:xm="http://schemas.microsoft.com/office/excel/2006/main">
          <x14:cfRule type="expression" priority="4695207" id="{1B638B98-2B06-4FEB-90C1-446A3E0A3979}">
            <xm:f>$BZ$4='Data entry'!$R35</xm:f>
            <x14:dxf>
              <fill>
                <patternFill>
                  <bgColor rgb="FFFFFF00"/>
                </patternFill>
              </fill>
            </x14:dxf>
          </x14:cfRule>
          <xm:sqref>BL92:BZ92</xm:sqref>
        </x14:conditionalFormatting>
        <x14:conditionalFormatting xmlns:xm="http://schemas.microsoft.com/office/excel/2006/main">
          <x14:cfRule type="expression" priority="4695208" id="{D3A0A2F8-D1B2-4DC5-B2A9-0EF53074E685}">
            <xm:f>$BZ$4='Data entry'!$R35</xm:f>
            <x14:dxf>
              <fill>
                <patternFill>
                  <bgColor rgb="FFFF0000"/>
                </patternFill>
              </fill>
            </x14:dxf>
          </x14:cfRule>
          <xm:sqref>BX93:CC93</xm:sqref>
        </x14:conditionalFormatting>
        <x14:conditionalFormatting xmlns:xm="http://schemas.microsoft.com/office/excel/2006/main">
          <x14:cfRule type="expression" priority="4695209" id="{83F6D018-7D3B-4D33-9998-11572F2F2FF5}">
            <xm:f>$CA$4='Data entry'!$R35</xm:f>
            <x14:dxf>
              <fill>
                <patternFill>
                  <bgColor rgb="FFFFFF00"/>
                </patternFill>
              </fill>
            </x14:dxf>
          </x14:cfRule>
          <xm:sqref>BM92:CA92</xm:sqref>
        </x14:conditionalFormatting>
        <x14:conditionalFormatting xmlns:xm="http://schemas.microsoft.com/office/excel/2006/main">
          <x14:cfRule type="expression" priority="4695210" id="{8E6D0B51-5626-4ED9-9072-C7A2C139704F}">
            <xm:f>$CA$4='Data entry'!$R35</xm:f>
            <x14:dxf>
              <fill>
                <patternFill>
                  <bgColor rgb="FFFF0000"/>
                </patternFill>
              </fill>
            </x14:dxf>
          </x14:cfRule>
          <xm:sqref>BY93:CC93</xm:sqref>
        </x14:conditionalFormatting>
        <x14:conditionalFormatting xmlns:xm="http://schemas.microsoft.com/office/excel/2006/main">
          <x14:cfRule type="expression" priority="4695211" id="{E1886EE4-3BDE-43A9-9F4B-79377FEC37FE}">
            <xm:f>$CB$4='Data entry'!$R35</xm:f>
            <x14:dxf>
              <fill>
                <patternFill>
                  <bgColor rgb="FFFFFF00"/>
                </patternFill>
              </fill>
            </x14:dxf>
          </x14:cfRule>
          <xm:sqref>BN92:CB92</xm:sqref>
        </x14:conditionalFormatting>
        <x14:conditionalFormatting xmlns:xm="http://schemas.microsoft.com/office/excel/2006/main">
          <x14:cfRule type="expression" priority="4695212" id="{ADEF572A-6C18-4602-BB86-01C96D36E07E}">
            <xm:f>$CB$4='Data entry'!$R35</xm:f>
            <x14:dxf>
              <fill>
                <patternFill>
                  <bgColor rgb="FFFF0000"/>
                </patternFill>
              </fill>
            </x14:dxf>
          </x14:cfRule>
          <xm:sqref>BZ93:CC93</xm:sqref>
        </x14:conditionalFormatting>
        <x14:conditionalFormatting xmlns:xm="http://schemas.microsoft.com/office/excel/2006/main">
          <x14:cfRule type="expression" priority="4695213" id="{7984E1C9-E073-4955-8543-62145CB6D008}">
            <xm:f>$CC$4='Data entry'!$R35</xm:f>
            <x14:dxf>
              <fill>
                <patternFill>
                  <bgColor rgb="FFFFFF00"/>
                </patternFill>
              </fill>
            </x14:dxf>
          </x14:cfRule>
          <xm:sqref>BO92:CC92</xm:sqref>
        </x14:conditionalFormatting>
        <x14:conditionalFormatting xmlns:xm="http://schemas.microsoft.com/office/excel/2006/main">
          <x14:cfRule type="expression" priority="4695214" id="{18A957B3-59FA-4698-BA92-2A208FF18E2F}">
            <xm:f>$CC$4='Data entry'!$R35</xm:f>
            <x14:dxf>
              <fill>
                <patternFill>
                  <bgColor rgb="FFFF0000"/>
                </patternFill>
              </fill>
            </x14:dxf>
          </x14:cfRule>
          <xm:sqref>CA93:CC93</xm:sqref>
        </x14:conditionalFormatting>
        <x14:conditionalFormatting xmlns:xm="http://schemas.microsoft.com/office/excel/2006/main">
          <x14:cfRule type="expression" priority="4695301" id="{5B0DB825-B7C2-40AC-B7EF-F267F054CFB9}">
            <xm:f>$U$4='Data entry'!$R36</xm:f>
            <x14:dxf>
              <fill>
                <patternFill>
                  <bgColor rgb="FFFF0000"/>
                </patternFill>
              </fill>
            </x14:dxf>
          </x14:cfRule>
          <xm:sqref>S96:AE96</xm:sqref>
        </x14:conditionalFormatting>
        <x14:conditionalFormatting xmlns:xm="http://schemas.microsoft.com/office/excel/2006/main">
          <x14:cfRule type="expression" priority="4695302" id="{18311200-E2BB-400F-B594-3B9A2C6068C2}">
            <xm:f>$V$4='Data entry'!$R36</xm:f>
            <x14:dxf>
              <fill>
                <patternFill>
                  <bgColor rgb="FFFF0000"/>
                </patternFill>
              </fill>
            </x14:dxf>
          </x14:cfRule>
          <xm:sqref>T96:AF96</xm:sqref>
        </x14:conditionalFormatting>
        <x14:conditionalFormatting xmlns:xm="http://schemas.microsoft.com/office/excel/2006/main">
          <x14:cfRule type="expression" priority="4695303" id="{D6DFB621-1A58-4C59-A987-ECAD0EB2D32B}">
            <xm:f>$V$4='Data entry'!$R36</xm:f>
            <x14:dxf>
              <fill>
                <patternFill>
                  <bgColor rgb="FFFFFF00"/>
                </patternFill>
              </fill>
            </x14:dxf>
          </x14:cfRule>
          <xm:sqref>H95:V95</xm:sqref>
        </x14:conditionalFormatting>
        <x14:conditionalFormatting xmlns:xm="http://schemas.microsoft.com/office/excel/2006/main">
          <x14:cfRule type="expression" priority="4695304" id="{5F87A680-DC5F-433D-A779-B7A534ACCDA9}">
            <xm:f>$W$4='Data entry'!$R36</xm:f>
            <x14:dxf>
              <fill>
                <patternFill>
                  <bgColor rgb="FFFF0000"/>
                </patternFill>
              </fill>
            </x14:dxf>
          </x14:cfRule>
          <xm:sqref>U96:AG96</xm:sqref>
        </x14:conditionalFormatting>
        <x14:conditionalFormatting xmlns:xm="http://schemas.microsoft.com/office/excel/2006/main">
          <x14:cfRule type="expression" priority="4695305" id="{964539FF-A92C-4F68-B268-B7157A32678C}">
            <xm:f>$W$4='Data entry'!$R36</xm:f>
            <x14:dxf>
              <fill>
                <patternFill>
                  <bgColor rgb="FFFFFF00"/>
                </patternFill>
              </fill>
            </x14:dxf>
          </x14:cfRule>
          <xm:sqref>I95:W95</xm:sqref>
        </x14:conditionalFormatting>
        <x14:conditionalFormatting xmlns:xm="http://schemas.microsoft.com/office/excel/2006/main">
          <x14:cfRule type="expression" priority="4695306" id="{46C1533A-F090-4A90-9309-3F59EC3FD3B0}">
            <xm:f>$X$4='Data entry'!$R36</xm:f>
            <x14:dxf>
              <fill>
                <patternFill>
                  <bgColor rgb="FFFF0000"/>
                </patternFill>
              </fill>
            </x14:dxf>
          </x14:cfRule>
          <xm:sqref>V96:AH96</xm:sqref>
        </x14:conditionalFormatting>
        <x14:conditionalFormatting xmlns:xm="http://schemas.microsoft.com/office/excel/2006/main">
          <x14:cfRule type="expression" priority="4695307" id="{7C70E81C-DDD4-4D75-933A-4F6A39893184}">
            <xm:f>$X$4='Data entry'!$R36</xm:f>
            <x14:dxf>
              <fill>
                <patternFill>
                  <bgColor rgb="FFFFFF00"/>
                </patternFill>
              </fill>
            </x14:dxf>
          </x14:cfRule>
          <xm:sqref>J95:X95</xm:sqref>
        </x14:conditionalFormatting>
        <x14:conditionalFormatting xmlns:xm="http://schemas.microsoft.com/office/excel/2006/main">
          <x14:cfRule type="expression" priority="4695308" id="{561AF073-0EF8-4B72-A119-40A639C4359D}">
            <xm:f>$Y$4='Data entry'!$R36</xm:f>
            <x14:dxf>
              <fill>
                <patternFill>
                  <bgColor rgb="FFFF0000"/>
                </patternFill>
              </fill>
            </x14:dxf>
          </x14:cfRule>
          <xm:sqref>W96:AI96</xm:sqref>
        </x14:conditionalFormatting>
        <x14:conditionalFormatting xmlns:xm="http://schemas.microsoft.com/office/excel/2006/main">
          <x14:cfRule type="expression" priority="4695309" id="{F242E808-8F07-4A89-9524-7D4C767CE357}">
            <xm:f>$Y$4='Data entry'!$R36</xm:f>
            <x14:dxf>
              <fill>
                <patternFill>
                  <bgColor rgb="FFFFFF00"/>
                </patternFill>
              </fill>
            </x14:dxf>
          </x14:cfRule>
          <xm:sqref>K95:Y95</xm:sqref>
        </x14:conditionalFormatting>
        <x14:conditionalFormatting xmlns:xm="http://schemas.microsoft.com/office/excel/2006/main">
          <x14:cfRule type="expression" priority="4695310" id="{DD601058-982B-4218-BD9D-64BB823C2633}">
            <xm:f>$Z$4='Data entry'!$R36</xm:f>
            <x14:dxf>
              <fill>
                <patternFill>
                  <bgColor rgb="FFFF0000"/>
                </patternFill>
              </fill>
            </x14:dxf>
          </x14:cfRule>
          <xm:sqref>X96:AJ96</xm:sqref>
        </x14:conditionalFormatting>
        <x14:conditionalFormatting xmlns:xm="http://schemas.microsoft.com/office/excel/2006/main">
          <x14:cfRule type="expression" priority="4695311" id="{C9DB141D-79F6-4093-92A3-7BF7A1622985}">
            <xm:f>$Z$4='Data entry'!$R36</xm:f>
            <x14:dxf>
              <fill>
                <patternFill>
                  <bgColor rgb="FFFFFF00"/>
                </patternFill>
              </fill>
            </x14:dxf>
          </x14:cfRule>
          <xm:sqref>L95:Z95</xm:sqref>
        </x14:conditionalFormatting>
        <x14:conditionalFormatting xmlns:xm="http://schemas.microsoft.com/office/excel/2006/main">
          <x14:cfRule type="expression" priority="4695312" id="{710EB8D3-F5C0-4E3C-8214-2D0C4E26F649}">
            <xm:f>$AA$4='Data entry'!$R36</xm:f>
            <x14:dxf>
              <fill>
                <patternFill>
                  <bgColor rgb="FFFF0000"/>
                </patternFill>
              </fill>
            </x14:dxf>
          </x14:cfRule>
          <xm:sqref>Y96:AK96</xm:sqref>
        </x14:conditionalFormatting>
        <x14:conditionalFormatting xmlns:xm="http://schemas.microsoft.com/office/excel/2006/main">
          <x14:cfRule type="expression" priority="4695313" id="{33825D69-C967-4D27-B395-5D44A3083802}">
            <xm:f>$AA$4='Data entry'!$R36</xm:f>
            <x14:dxf>
              <fill>
                <patternFill>
                  <bgColor rgb="FFFFFF00"/>
                </patternFill>
              </fill>
            </x14:dxf>
          </x14:cfRule>
          <xm:sqref>M95:AA95</xm:sqref>
        </x14:conditionalFormatting>
        <x14:conditionalFormatting xmlns:xm="http://schemas.microsoft.com/office/excel/2006/main">
          <x14:cfRule type="expression" priority="4695314" id="{9811A97D-351B-4D32-8754-AF433277E62B}">
            <xm:f>$AB$4='Data entry'!$R36</xm:f>
            <x14:dxf>
              <fill>
                <patternFill>
                  <bgColor rgb="FFFF0000"/>
                </patternFill>
              </fill>
            </x14:dxf>
          </x14:cfRule>
          <xm:sqref>Z96:AL96</xm:sqref>
        </x14:conditionalFormatting>
        <x14:conditionalFormatting xmlns:xm="http://schemas.microsoft.com/office/excel/2006/main">
          <x14:cfRule type="expression" priority="4695315" id="{6DD3E556-C72E-438B-92DA-3096ED1E4178}">
            <xm:f>$AB$4='Data entry'!$R36</xm:f>
            <x14:dxf>
              <fill>
                <patternFill>
                  <bgColor rgb="FFFFFF00"/>
                </patternFill>
              </fill>
            </x14:dxf>
          </x14:cfRule>
          <xm:sqref>N95:AB95</xm:sqref>
        </x14:conditionalFormatting>
        <x14:conditionalFormatting xmlns:xm="http://schemas.microsoft.com/office/excel/2006/main">
          <x14:cfRule type="expression" priority="4695316" id="{C0DF7A1B-D6BC-4371-BD3A-F0708147FA1C}">
            <xm:f>$AC$4='Data entry'!$R36</xm:f>
            <x14:dxf>
              <fill>
                <patternFill>
                  <bgColor rgb="FFFF0000"/>
                </patternFill>
              </fill>
            </x14:dxf>
          </x14:cfRule>
          <xm:sqref>AA96:AM96</xm:sqref>
        </x14:conditionalFormatting>
        <x14:conditionalFormatting xmlns:xm="http://schemas.microsoft.com/office/excel/2006/main">
          <x14:cfRule type="expression" priority="4695317" id="{DB2E1F48-AF0E-41F9-A976-6B1963CA5711}">
            <xm:f>$AC$4='Data entry'!$R36</xm:f>
            <x14:dxf>
              <fill>
                <patternFill>
                  <bgColor rgb="FFFFFF00"/>
                </patternFill>
              </fill>
            </x14:dxf>
          </x14:cfRule>
          <xm:sqref>O95:AC95</xm:sqref>
        </x14:conditionalFormatting>
        <x14:conditionalFormatting xmlns:xm="http://schemas.microsoft.com/office/excel/2006/main">
          <x14:cfRule type="expression" priority="4695318" id="{89909907-F9A9-4AF9-BC1D-304710A43F50}">
            <xm:f>$AD$4='Data entry'!$R36</xm:f>
            <x14:dxf>
              <fill>
                <patternFill>
                  <bgColor rgb="FFFF0000"/>
                </patternFill>
              </fill>
            </x14:dxf>
          </x14:cfRule>
          <xm:sqref>AB96:AN96</xm:sqref>
        </x14:conditionalFormatting>
        <x14:conditionalFormatting xmlns:xm="http://schemas.microsoft.com/office/excel/2006/main">
          <x14:cfRule type="expression" priority="4695319" id="{729676B7-E331-43A4-ACC9-850DCEE76A0E}">
            <xm:f>$AD$4='Data entry'!$R36</xm:f>
            <x14:dxf>
              <fill>
                <patternFill>
                  <bgColor rgb="FFFFFF00"/>
                </patternFill>
              </fill>
            </x14:dxf>
          </x14:cfRule>
          <xm:sqref>P95:AD95</xm:sqref>
        </x14:conditionalFormatting>
        <x14:conditionalFormatting xmlns:xm="http://schemas.microsoft.com/office/excel/2006/main">
          <x14:cfRule type="expression" priority="4695320" id="{00DA2C55-350E-44AA-ABEA-808FABFDA737}">
            <xm:f>$AE$4='Data entry'!$R36</xm:f>
            <x14:dxf>
              <fill>
                <patternFill>
                  <bgColor rgb="FFFF0000"/>
                </patternFill>
              </fill>
            </x14:dxf>
          </x14:cfRule>
          <xm:sqref>AC96:AO96</xm:sqref>
        </x14:conditionalFormatting>
        <x14:conditionalFormatting xmlns:xm="http://schemas.microsoft.com/office/excel/2006/main">
          <x14:cfRule type="expression" priority="4695321" id="{373C95F1-00C1-45E9-B561-5224945BA4A4}">
            <xm:f>$AE$4='Data entry'!$R36</xm:f>
            <x14:dxf>
              <fill>
                <patternFill>
                  <bgColor rgb="FFFFFF00"/>
                </patternFill>
              </fill>
            </x14:dxf>
          </x14:cfRule>
          <xm:sqref>Q95:AE95</xm:sqref>
        </x14:conditionalFormatting>
        <x14:conditionalFormatting xmlns:xm="http://schemas.microsoft.com/office/excel/2006/main">
          <x14:cfRule type="expression" priority="4695322" id="{65E90E74-6BEF-4B00-BD5E-ECACFEBC225A}">
            <xm:f>$AF$4='Data entry'!$R36</xm:f>
            <x14:dxf>
              <fill>
                <patternFill>
                  <bgColor rgb="FFFF0000"/>
                </patternFill>
              </fill>
            </x14:dxf>
          </x14:cfRule>
          <xm:sqref>AD96:AP96</xm:sqref>
        </x14:conditionalFormatting>
        <x14:conditionalFormatting xmlns:xm="http://schemas.microsoft.com/office/excel/2006/main">
          <x14:cfRule type="expression" priority="4695323" id="{56B519D7-E083-4811-B42B-D6CB10D44BB3}">
            <xm:f>$AF$4='Data entry'!$R36</xm:f>
            <x14:dxf>
              <fill>
                <patternFill>
                  <bgColor rgb="FFFFFF00"/>
                </patternFill>
              </fill>
            </x14:dxf>
          </x14:cfRule>
          <xm:sqref>R95:AF95</xm:sqref>
        </x14:conditionalFormatting>
        <x14:conditionalFormatting xmlns:xm="http://schemas.microsoft.com/office/excel/2006/main">
          <x14:cfRule type="expression" priority="4695324" id="{889682B6-BF9B-414B-86B7-1C802156B058}">
            <xm:f>$AG$4='Data entry'!$R36</xm:f>
            <x14:dxf>
              <fill>
                <patternFill>
                  <bgColor rgb="FFFF0000"/>
                </patternFill>
              </fill>
            </x14:dxf>
          </x14:cfRule>
          <xm:sqref>AE96:AQ96</xm:sqref>
        </x14:conditionalFormatting>
        <x14:conditionalFormatting xmlns:xm="http://schemas.microsoft.com/office/excel/2006/main">
          <x14:cfRule type="expression" priority="4695325" id="{19913D88-1940-4CB0-B29C-D46D60833BD5}">
            <xm:f>$AG$4='Data entry'!$R36</xm:f>
            <x14:dxf>
              <fill>
                <patternFill>
                  <bgColor rgb="FFFFFF00"/>
                </patternFill>
              </fill>
            </x14:dxf>
          </x14:cfRule>
          <xm:sqref>S95:AG95</xm:sqref>
        </x14:conditionalFormatting>
        <x14:conditionalFormatting xmlns:xm="http://schemas.microsoft.com/office/excel/2006/main">
          <x14:cfRule type="expression" priority="4695326" id="{3DD7B9A5-18A3-463F-BAD5-9796FC487328}">
            <xm:f>$AH$4='Data entry'!$R36</xm:f>
            <x14:dxf>
              <fill>
                <patternFill>
                  <bgColor rgb="FFFF0000"/>
                </patternFill>
              </fill>
            </x14:dxf>
          </x14:cfRule>
          <xm:sqref>AF96:AR96</xm:sqref>
        </x14:conditionalFormatting>
        <x14:conditionalFormatting xmlns:xm="http://schemas.microsoft.com/office/excel/2006/main">
          <x14:cfRule type="expression" priority="4695327" id="{31005CF4-5608-496E-91EB-F7F505046C80}">
            <xm:f>$AH$4='Data entry'!$R36</xm:f>
            <x14:dxf>
              <fill>
                <patternFill>
                  <bgColor rgb="FFFFFF00"/>
                </patternFill>
              </fill>
            </x14:dxf>
          </x14:cfRule>
          <xm:sqref>T95:AH95</xm:sqref>
        </x14:conditionalFormatting>
        <x14:conditionalFormatting xmlns:xm="http://schemas.microsoft.com/office/excel/2006/main">
          <x14:cfRule type="expression" priority="4695328" id="{CD14F654-5B7A-444F-8FC1-7DD71E76E475}">
            <xm:f>$AI$4='Data entry'!$R36</xm:f>
            <x14:dxf>
              <fill>
                <patternFill>
                  <bgColor rgb="FFFF0000"/>
                </patternFill>
              </fill>
            </x14:dxf>
          </x14:cfRule>
          <xm:sqref>AG96:AS96</xm:sqref>
        </x14:conditionalFormatting>
        <x14:conditionalFormatting xmlns:xm="http://schemas.microsoft.com/office/excel/2006/main">
          <x14:cfRule type="expression" priority="4695329" id="{0E4E448C-6C46-4285-B877-A61A90294385}">
            <xm:f>$AI$4='Data entry'!$R36</xm:f>
            <x14:dxf>
              <fill>
                <patternFill>
                  <bgColor rgb="FFFFFF00"/>
                </patternFill>
              </fill>
            </x14:dxf>
          </x14:cfRule>
          <xm:sqref>U95:AI95</xm:sqref>
        </x14:conditionalFormatting>
        <x14:conditionalFormatting xmlns:xm="http://schemas.microsoft.com/office/excel/2006/main">
          <x14:cfRule type="expression" priority="4695330" id="{B1C1818F-791C-403D-BE73-6F6E9DC6A16D}">
            <xm:f>$AJ$4='Data entry'!$R36</xm:f>
            <x14:dxf>
              <fill>
                <patternFill>
                  <bgColor rgb="FFFF0000"/>
                </patternFill>
              </fill>
            </x14:dxf>
          </x14:cfRule>
          <xm:sqref>AH96:AT96</xm:sqref>
        </x14:conditionalFormatting>
        <x14:conditionalFormatting xmlns:xm="http://schemas.microsoft.com/office/excel/2006/main">
          <x14:cfRule type="expression" priority="4695331" id="{A1237792-221B-431B-B8A7-E9A64DA46D93}">
            <xm:f>$AJ$4='Data entry'!$R36</xm:f>
            <x14:dxf>
              <fill>
                <patternFill>
                  <bgColor rgb="FFFFFF00"/>
                </patternFill>
              </fill>
            </x14:dxf>
          </x14:cfRule>
          <xm:sqref>V95:AJ95</xm:sqref>
        </x14:conditionalFormatting>
        <x14:conditionalFormatting xmlns:xm="http://schemas.microsoft.com/office/excel/2006/main">
          <x14:cfRule type="expression" priority="4695332" id="{617DC2AF-C7A3-4724-8EA3-17DEFEDC8949}">
            <xm:f>$AK$4='Data entry'!$R36</xm:f>
            <x14:dxf>
              <fill>
                <patternFill>
                  <bgColor rgb="FFFF0000"/>
                </patternFill>
              </fill>
            </x14:dxf>
          </x14:cfRule>
          <xm:sqref>AI96:AU96</xm:sqref>
        </x14:conditionalFormatting>
        <x14:conditionalFormatting xmlns:xm="http://schemas.microsoft.com/office/excel/2006/main">
          <x14:cfRule type="expression" priority="4695333" id="{AA72317D-37B1-48EB-A28B-BF2AC8DC4519}">
            <xm:f>$AK$4='Data entry'!$R36</xm:f>
            <x14:dxf>
              <fill>
                <patternFill>
                  <bgColor rgb="FFFFFF00"/>
                </patternFill>
              </fill>
            </x14:dxf>
          </x14:cfRule>
          <xm:sqref>W95:AK95</xm:sqref>
        </x14:conditionalFormatting>
        <x14:conditionalFormatting xmlns:xm="http://schemas.microsoft.com/office/excel/2006/main">
          <x14:cfRule type="expression" priority="4695334" id="{6CA9FB7A-20EA-4D3A-B74C-A001F4BE810D}">
            <xm:f>$AL$4='Data entry'!$R36</xm:f>
            <x14:dxf>
              <fill>
                <patternFill>
                  <bgColor rgb="FFFF0000"/>
                </patternFill>
              </fill>
            </x14:dxf>
          </x14:cfRule>
          <xm:sqref>AJ96:AV96</xm:sqref>
        </x14:conditionalFormatting>
        <x14:conditionalFormatting xmlns:xm="http://schemas.microsoft.com/office/excel/2006/main">
          <x14:cfRule type="expression" priority="4695335" id="{81A75DAA-573F-4EF3-A640-1B992C18BEA0}">
            <xm:f>$AL$4='Data entry'!$R36</xm:f>
            <x14:dxf>
              <fill>
                <patternFill>
                  <bgColor rgb="FFFFFF00"/>
                </patternFill>
              </fill>
            </x14:dxf>
          </x14:cfRule>
          <xm:sqref>X95:AL95</xm:sqref>
        </x14:conditionalFormatting>
        <x14:conditionalFormatting xmlns:xm="http://schemas.microsoft.com/office/excel/2006/main">
          <x14:cfRule type="expression" priority="4695336" id="{3D44713E-4ABA-4CCD-9DF4-5513A9FB5E1E}">
            <xm:f>$AM$4='Data entry'!$R36</xm:f>
            <x14:dxf>
              <fill>
                <patternFill>
                  <bgColor rgb="FFFF0000"/>
                </patternFill>
              </fill>
            </x14:dxf>
          </x14:cfRule>
          <xm:sqref>AK96:AW96</xm:sqref>
        </x14:conditionalFormatting>
        <x14:conditionalFormatting xmlns:xm="http://schemas.microsoft.com/office/excel/2006/main">
          <x14:cfRule type="expression" priority="4695337" id="{05A26B51-72A7-4423-822F-2BDBC28275D0}">
            <xm:f>$AM$4='Data entry'!$R36</xm:f>
            <x14:dxf>
              <fill>
                <patternFill>
                  <bgColor rgb="FFFFFF00"/>
                </patternFill>
              </fill>
            </x14:dxf>
          </x14:cfRule>
          <xm:sqref>Y95:AM95</xm:sqref>
        </x14:conditionalFormatting>
        <x14:conditionalFormatting xmlns:xm="http://schemas.microsoft.com/office/excel/2006/main">
          <x14:cfRule type="expression" priority="4695338" id="{B8A20675-6230-4694-A7F6-6B3DC7142773}">
            <xm:f>$AN$4='Data entry'!$R36</xm:f>
            <x14:dxf>
              <fill>
                <patternFill>
                  <bgColor rgb="FFFF0000"/>
                </patternFill>
              </fill>
            </x14:dxf>
          </x14:cfRule>
          <xm:sqref>AL96:AX96</xm:sqref>
        </x14:conditionalFormatting>
        <x14:conditionalFormatting xmlns:xm="http://schemas.microsoft.com/office/excel/2006/main">
          <x14:cfRule type="expression" priority="4695339" id="{8421181C-7450-42E9-BC1D-065CCFCA960E}">
            <xm:f>$AN$4='Data entry'!$R36</xm:f>
            <x14:dxf>
              <fill>
                <patternFill>
                  <bgColor rgb="FFFFFF00"/>
                </patternFill>
              </fill>
            </x14:dxf>
          </x14:cfRule>
          <xm:sqref>Z95:AN95</xm:sqref>
        </x14:conditionalFormatting>
        <x14:conditionalFormatting xmlns:xm="http://schemas.microsoft.com/office/excel/2006/main">
          <x14:cfRule type="expression" priority="4695340" id="{067FE4BD-6EF4-4684-B6E0-35AB2F267EE7}">
            <xm:f>$AO$4='Data entry'!$R36</xm:f>
            <x14:dxf>
              <fill>
                <patternFill>
                  <bgColor rgb="FFFF0000"/>
                </patternFill>
              </fill>
            </x14:dxf>
          </x14:cfRule>
          <xm:sqref>AM96:AY96</xm:sqref>
        </x14:conditionalFormatting>
        <x14:conditionalFormatting xmlns:xm="http://schemas.microsoft.com/office/excel/2006/main">
          <x14:cfRule type="expression" priority="4695341" id="{F7653492-88D1-47AC-8BA3-0CCE65C3C2AB}">
            <xm:f>$AO$4='Data entry'!$R36</xm:f>
            <x14:dxf>
              <fill>
                <patternFill>
                  <bgColor rgb="FFFFFF00"/>
                </patternFill>
              </fill>
            </x14:dxf>
          </x14:cfRule>
          <xm:sqref>AA95:AO95</xm:sqref>
        </x14:conditionalFormatting>
        <x14:conditionalFormatting xmlns:xm="http://schemas.microsoft.com/office/excel/2006/main">
          <x14:cfRule type="expression" priority="4695342" id="{207A5E5D-B322-482E-9193-1D7318138358}">
            <xm:f>$AP$4='Data entry'!$R36</xm:f>
            <x14:dxf>
              <fill>
                <patternFill>
                  <bgColor rgb="FFFF0000"/>
                </patternFill>
              </fill>
            </x14:dxf>
          </x14:cfRule>
          <xm:sqref>AN96:AZ96</xm:sqref>
        </x14:conditionalFormatting>
        <x14:conditionalFormatting xmlns:xm="http://schemas.microsoft.com/office/excel/2006/main">
          <x14:cfRule type="expression" priority="4695343" id="{21DA638D-4CA0-4067-BFF1-240CE1A0261B}">
            <xm:f>$AP$4='Data entry'!$R36</xm:f>
            <x14:dxf>
              <fill>
                <patternFill>
                  <bgColor rgb="FFFFFF00"/>
                </patternFill>
              </fill>
            </x14:dxf>
          </x14:cfRule>
          <xm:sqref>AB95:AP95</xm:sqref>
        </x14:conditionalFormatting>
        <x14:conditionalFormatting xmlns:xm="http://schemas.microsoft.com/office/excel/2006/main">
          <x14:cfRule type="expression" priority="4695344" id="{71963D96-A42A-4B90-BFC7-6D83D37766EF}">
            <xm:f>$AQ$4='Data entry'!$R36</xm:f>
            <x14:dxf>
              <fill>
                <patternFill>
                  <bgColor rgb="FFFF0000"/>
                </patternFill>
              </fill>
            </x14:dxf>
          </x14:cfRule>
          <xm:sqref>AO96:BA96</xm:sqref>
        </x14:conditionalFormatting>
        <x14:conditionalFormatting xmlns:xm="http://schemas.microsoft.com/office/excel/2006/main">
          <x14:cfRule type="expression" priority="4695345" id="{74952595-84B6-484F-8FF6-FCC1F337DF4D}">
            <xm:f>$AQ$4='Data entry'!$R36</xm:f>
            <x14:dxf>
              <fill>
                <patternFill>
                  <bgColor rgb="FFFFFF00"/>
                </patternFill>
              </fill>
            </x14:dxf>
          </x14:cfRule>
          <xm:sqref>AC95:AQ95</xm:sqref>
        </x14:conditionalFormatting>
        <x14:conditionalFormatting xmlns:xm="http://schemas.microsoft.com/office/excel/2006/main">
          <x14:cfRule type="expression" priority="4695346" id="{8AC9C4B9-0A34-4BC0-B0F7-CA89434C4911}">
            <xm:f>$P$4='Data entry'!$R36</xm:f>
            <x14:dxf>
              <fill>
                <patternFill>
                  <bgColor rgb="FFFFFF00"/>
                </patternFill>
              </fill>
            </x14:dxf>
          </x14:cfRule>
          <xm:sqref>C95:P95</xm:sqref>
        </x14:conditionalFormatting>
        <x14:conditionalFormatting xmlns:xm="http://schemas.microsoft.com/office/excel/2006/main">
          <x14:cfRule type="expression" priority="4695347" id="{0A726775-ABFD-4F22-967C-1A4D87BA3751}">
            <xm:f>$Q$4='Data entry'!$R36</xm:f>
            <x14:dxf>
              <fill>
                <patternFill>
                  <bgColor rgb="FFFFFF00"/>
                </patternFill>
              </fill>
            </x14:dxf>
          </x14:cfRule>
          <xm:sqref>C95:Q95</xm:sqref>
        </x14:conditionalFormatting>
        <x14:conditionalFormatting xmlns:xm="http://schemas.microsoft.com/office/excel/2006/main">
          <x14:cfRule type="expression" priority="4695348" id="{3A8414BD-262C-43B5-86EE-FA6901D00453}">
            <xm:f>$Q$4='Data entry'!$R36</xm:f>
            <x14:dxf>
              <fill>
                <patternFill>
                  <bgColor rgb="FFFF0000"/>
                </patternFill>
              </fill>
            </x14:dxf>
          </x14:cfRule>
          <xm:sqref>O96:AA96</xm:sqref>
        </x14:conditionalFormatting>
        <x14:conditionalFormatting xmlns:xm="http://schemas.microsoft.com/office/excel/2006/main">
          <x14:cfRule type="expression" priority="4695349" id="{B8B5501D-F3EF-4449-9306-F652960C65F4}">
            <xm:f>$R$4='Data entry'!$R36</xm:f>
            <x14:dxf>
              <fill>
                <patternFill>
                  <bgColor rgb="FFFF0000"/>
                </patternFill>
              </fill>
            </x14:dxf>
          </x14:cfRule>
          <xm:sqref>P96:AB96</xm:sqref>
        </x14:conditionalFormatting>
        <x14:conditionalFormatting xmlns:xm="http://schemas.microsoft.com/office/excel/2006/main">
          <x14:cfRule type="expression" priority="4695350" id="{5D070DEC-B82E-4D87-B907-A3E5AB836991}">
            <xm:f>$R$4='Data entry'!$R36</xm:f>
            <x14:dxf>
              <fill>
                <patternFill>
                  <bgColor rgb="FFFFFF00"/>
                </patternFill>
              </fill>
            </x14:dxf>
          </x14:cfRule>
          <xm:sqref>D95:R95</xm:sqref>
        </x14:conditionalFormatting>
        <x14:conditionalFormatting xmlns:xm="http://schemas.microsoft.com/office/excel/2006/main">
          <x14:cfRule type="expression" priority="4695351" id="{E4D16A10-F818-4664-9FB2-F0E839824D4B}">
            <xm:f>$S$4='Data entry'!$R36</xm:f>
            <x14:dxf>
              <fill>
                <patternFill>
                  <bgColor rgb="FFFF0000"/>
                </patternFill>
              </fill>
            </x14:dxf>
          </x14:cfRule>
          <xm:sqref>Q96:AC96</xm:sqref>
        </x14:conditionalFormatting>
        <x14:conditionalFormatting xmlns:xm="http://schemas.microsoft.com/office/excel/2006/main">
          <x14:cfRule type="expression" priority="4695352" id="{1A9F9911-A3E9-4730-AFBE-AB8C596545CA}">
            <xm:f>$S$4='Data entry'!$R36</xm:f>
            <x14:dxf>
              <fill>
                <patternFill>
                  <bgColor rgb="FFFFFF00"/>
                </patternFill>
              </fill>
            </x14:dxf>
          </x14:cfRule>
          <xm:sqref>E95:S95</xm:sqref>
        </x14:conditionalFormatting>
        <x14:conditionalFormatting xmlns:xm="http://schemas.microsoft.com/office/excel/2006/main">
          <x14:cfRule type="expression" priority="4695353" id="{8BB5CD1B-B2AC-442A-9550-26DE19A62D22}">
            <xm:f>$T$4='Data entry'!$R36</xm:f>
            <x14:dxf>
              <fill>
                <patternFill>
                  <bgColor rgb="FFFF0000"/>
                </patternFill>
              </fill>
            </x14:dxf>
          </x14:cfRule>
          <xm:sqref>R96:AD96</xm:sqref>
        </x14:conditionalFormatting>
        <x14:conditionalFormatting xmlns:xm="http://schemas.microsoft.com/office/excel/2006/main">
          <x14:cfRule type="expression" priority="4695354" id="{E7B59C69-7921-4049-84A1-8B3E5F7B0598}">
            <xm:f>$T$4='Data entry'!$R36</xm:f>
            <x14:dxf>
              <fill>
                <patternFill>
                  <bgColor rgb="FFFFFF00"/>
                </patternFill>
              </fill>
            </x14:dxf>
          </x14:cfRule>
          <xm:sqref>F95:T95</xm:sqref>
        </x14:conditionalFormatting>
        <x14:conditionalFormatting xmlns:xm="http://schemas.microsoft.com/office/excel/2006/main">
          <x14:cfRule type="expression" priority="4695355" id="{238C09E5-7A3D-439D-949F-A7733073F9A2}">
            <xm:f>$U$4='Data entry'!$R36</xm:f>
            <x14:dxf>
              <fill>
                <patternFill>
                  <bgColor rgb="FFFFFF00"/>
                </patternFill>
              </fill>
            </x14:dxf>
          </x14:cfRule>
          <xm:sqref>G95:U95</xm:sqref>
        </x14:conditionalFormatting>
        <x14:conditionalFormatting xmlns:xm="http://schemas.microsoft.com/office/excel/2006/main">
          <x14:cfRule type="expression" priority="4695356" id="{DE4D4432-0A19-452A-AF14-2873FE4DF411}">
            <xm:f>$AR$4='Data entry'!$R36</xm:f>
            <x14:dxf>
              <fill>
                <patternFill>
                  <bgColor rgb="FFFF0000"/>
                </patternFill>
              </fill>
            </x14:dxf>
          </x14:cfRule>
          <xm:sqref>AP96:BB96</xm:sqref>
        </x14:conditionalFormatting>
        <x14:conditionalFormatting xmlns:xm="http://schemas.microsoft.com/office/excel/2006/main">
          <x14:cfRule type="expression" priority="4695357" id="{90D7E1FF-542D-40C8-9BD5-DFEB4CDD256F}">
            <xm:f>$AR$4='Data entry'!$R36</xm:f>
            <x14:dxf>
              <fill>
                <patternFill>
                  <bgColor rgb="FFFFFF00"/>
                </patternFill>
              </fill>
            </x14:dxf>
          </x14:cfRule>
          <xm:sqref>AD95:AR95</xm:sqref>
        </x14:conditionalFormatting>
        <x14:conditionalFormatting xmlns:xm="http://schemas.microsoft.com/office/excel/2006/main">
          <x14:cfRule type="expression" priority="4695358" id="{0EBB5305-4A4A-4205-A1FF-11160070CBC3}">
            <xm:f>$AS$4='Data entry'!$R36</xm:f>
            <x14:dxf>
              <fill>
                <patternFill>
                  <bgColor rgb="FFFF0000"/>
                </patternFill>
              </fill>
            </x14:dxf>
          </x14:cfRule>
          <xm:sqref>AQ96:BC96</xm:sqref>
        </x14:conditionalFormatting>
        <x14:conditionalFormatting xmlns:xm="http://schemas.microsoft.com/office/excel/2006/main">
          <x14:cfRule type="expression" priority="4695359" id="{AC8EB30C-4253-4CE1-820E-1801F6D8D35B}">
            <xm:f>$AS$4='Data entry'!$R36</xm:f>
            <x14:dxf>
              <fill>
                <patternFill>
                  <bgColor rgb="FFFFFF00"/>
                </patternFill>
              </fill>
            </x14:dxf>
          </x14:cfRule>
          <xm:sqref>AE95:AS95</xm:sqref>
        </x14:conditionalFormatting>
        <x14:conditionalFormatting xmlns:xm="http://schemas.microsoft.com/office/excel/2006/main">
          <x14:cfRule type="expression" priority="4695360" id="{E11744C1-7201-4272-A1B0-945490B42425}">
            <xm:f>$AT$4='Data entry'!$R36</xm:f>
            <x14:dxf>
              <fill>
                <patternFill>
                  <bgColor rgb="FFFF0000"/>
                </patternFill>
              </fill>
            </x14:dxf>
          </x14:cfRule>
          <xm:sqref>AR96:BD96</xm:sqref>
        </x14:conditionalFormatting>
        <x14:conditionalFormatting xmlns:xm="http://schemas.microsoft.com/office/excel/2006/main">
          <x14:cfRule type="expression" priority="4695361" id="{5EE2823B-E955-4EA7-B99C-0B1F77B57A69}">
            <xm:f>$AT$4='Data entry'!$R36</xm:f>
            <x14:dxf>
              <fill>
                <patternFill>
                  <bgColor rgb="FFFFFF00"/>
                </patternFill>
              </fill>
            </x14:dxf>
          </x14:cfRule>
          <xm:sqref>AF95:AT95</xm:sqref>
        </x14:conditionalFormatting>
        <x14:conditionalFormatting xmlns:xm="http://schemas.microsoft.com/office/excel/2006/main">
          <x14:cfRule type="expression" priority="4695362" id="{5737DC63-3262-4B34-900C-2AAEB255FCBA}">
            <xm:f>$AU$4='Data entry'!$R36</xm:f>
            <x14:dxf>
              <fill>
                <patternFill>
                  <bgColor rgb="FFFF0000"/>
                </patternFill>
              </fill>
            </x14:dxf>
          </x14:cfRule>
          <xm:sqref>AS96:BE96</xm:sqref>
        </x14:conditionalFormatting>
        <x14:conditionalFormatting xmlns:xm="http://schemas.microsoft.com/office/excel/2006/main">
          <x14:cfRule type="expression" priority="4695363" id="{2B5C1F1B-3C3D-4CA3-BC64-0E98422075B6}">
            <xm:f>$AU$4='Data entry'!$R36</xm:f>
            <x14:dxf>
              <fill>
                <patternFill>
                  <bgColor rgb="FFFFFF00"/>
                </patternFill>
              </fill>
            </x14:dxf>
          </x14:cfRule>
          <xm:sqref>AG95:AU95</xm:sqref>
        </x14:conditionalFormatting>
        <x14:conditionalFormatting xmlns:xm="http://schemas.microsoft.com/office/excel/2006/main">
          <x14:cfRule type="expression" priority="4695364" id="{B87A1285-B003-4855-8F4B-53C391BA10E6}">
            <xm:f>$AV$4='Data entry'!$R36</xm:f>
            <x14:dxf>
              <fill>
                <patternFill>
                  <bgColor rgb="FFFF0000"/>
                </patternFill>
              </fill>
            </x14:dxf>
          </x14:cfRule>
          <xm:sqref>AT96:BF96</xm:sqref>
        </x14:conditionalFormatting>
        <x14:conditionalFormatting xmlns:xm="http://schemas.microsoft.com/office/excel/2006/main">
          <x14:cfRule type="expression" priority="4695365" id="{338EE31C-78DB-4818-B837-0380F9E457FA}">
            <xm:f>$AV$4='Data entry'!$R36</xm:f>
            <x14:dxf>
              <fill>
                <patternFill>
                  <bgColor rgb="FFFFFF00"/>
                </patternFill>
              </fill>
            </x14:dxf>
          </x14:cfRule>
          <xm:sqref>AH95:AV95</xm:sqref>
        </x14:conditionalFormatting>
        <x14:conditionalFormatting xmlns:xm="http://schemas.microsoft.com/office/excel/2006/main">
          <x14:cfRule type="expression" priority="4695366" id="{5C40EA66-2801-4C91-B885-BF6A1ECFC35C}">
            <xm:f>$AW$4='Data entry'!$R36</xm:f>
            <x14:dxf>
              <fill>
                <patternFill>
                  <bgColor rgb="FFFF0000"/>
                </patternFill>
              </fill>
            </x14:dxf>
          </x14:cfRule>
          <xm:sqref>AU96:BG96</xm:sqref>
        </x14:conditionalFormatting>
        <x14:conditionalFormatting xmlns:xm="http://schemas.microsoft.com/office/excel/2006/main">
          <x14:cfRule type="expression" priority="4695367" id="{51BCD5CE-DF86-4C2F-8A81-DDA1EFD6C8F7}">
            <xm:f>$AW$4='Data entry'!$R36</xm:f>
            <x14:dxf>
              <fill>
                <patternFill>
                  <bgColor rgb="FFFFFF00"/>
                </patternFill>
              </fill>
            </x14:dxf>
          </x14:cfRule>
          <xm:sqref>AI95:AW95</xm:sqref>
        </x14:conditionalFormatting>
        <x14:conditionalFormatting xmlns:xm="http://schemas.microsoft.com/office/excel/2006/main">
          <x14:cfRule type="expression" priority="4695368" id="{DC2ED5A0-8917-4877-8CD3-9DF9BE5993C9}">
            <xm:f>$AX$4='Data entry'!$R36</xm:f>
            <x14:dxf>
              <fill>
                <patternFill>
                  <bgColor rgb="FFFF0000"/>
                </patternFill>
              </fill>
            </x14:dxf>
          </x14:cfRule>
          <xm:sqref>AV96:BH96</xm:sqref>
        </x14:conditionalFormatting>
        <x14:conditionalFormatting xmlns:xm="http://schemas.microsoft.com/office/excel/2006/main">
          <x14:cfRule type="expression" priority="4695369" id="{59B31869-20F9-45BD-BC80-0A6C8945CE2C}">
            <xm:f>$AX$4='Data entry'!$R36</xm:f>
            <x14:dxf>
              <fill>
                <patternFill>
                  <bgColor rgb="FFFFFF00"/>
                </patternFill>
              </fill>
            </x14:dxf>
          </x14:cfRule>
          <xm:sqref>AJ95:AX95</xm:sqref>
        </x14:conditionalFormatting>
        <x14:conditionalFormatting xmlns:xm="http://schemas.microsoft.com/office/excel/2006/main">
          <x14:cfRule type="expression" priority="4695370" id="{D4208FA0-4262-4037-934C-6D0742B2AD8E}">
            <xm:f>$AY$4='Data entry'!$R36</xm:f>
            <x14:dxf>
              <fill>
                <patternFill>
                  <bgColor rgb="FFFF0000"/>
                </patternFill>
              </fill>
            </x14:dxf>
          </x14:cfRule>
          <xm:sqref>AW96:BI96</xm:sqref>
        </x14:conditionalFormatting>
        <x14:conditionalFormatting xmlns:xm="http://schemas.microsoft.com/office/excel/2006/main">
          <x14:cfRule type="expression" priority="4695371" id="{04D6E423-18C7-42B2-A67D-F49D8E62B571}">
            <xm:f>$AY$4='Data entry'!$R36</xm:f>
            <x14:dxf>
              <fill>
                <patternFill>
                  <bgColor rgb="FFFFFF00"/>
                </patternFill>
              </fill>
            </x14:dxf>
          </x14:cfRule>
          <xm:sqref>AK95:AY95</xm:sqref>
        </x14:conditionalFormatting>
        <x14:conditionalFormatting xmlns:xm="http://schemas.microsoft.com/office/excel/2006/main">
          <x14:cfRule type="expression" priority="4695372" id="{A931C203-6E4B-4EBD-A2F4-1876881F48D4}">
            <xm:f>$AZ$4='Data entry'!$R36</xm:f>
            <x14:dxf>
              <fill>
                <patternFill>
                  <bgColor rgb="FFFF0000"/>
                </patternFill>
              </fill>
            </x14:dxf>
          </x14:cfRule>
          <xm:sqref>AX96:BJ96</xm:sqref>
        </x14:conditionalFormatting>
        <x14:conditionalFormatting xmlns:xm="http://schemas.microsoft.com/office/excel/2006/main">
          <x14:cfRule type="expression" priority="4695373" id="{092D9100-E652-40FE-8CAA-720DC0681250}">
            <xm:f>$AZ$4='Data entry'!$R36</xm:f>
            <x14:dxf>
              <fill>
                <patternFill>
                  <bgColor rgb="FFFFFF00"/>
                </patternFill>
              </fill>
            </x14:dxf>
          </x14:cfRule>
          <xm:sqref>AL95:AZ95</xm:sqref>
        </x14:conditionalFormatting>
        <x14:conditionalFormatting xmlns:xm="http://schemas.microsoft.com/office/excel/2006/main">
          <x14:cfRule type="expression" priority="4695374" id="{A3C7E6BE-A225-483C-A983-A915DB662C52}">
            <xm:f>$BA$4='Data entry'!$R36</xm:f>
            <x14:dxf>
              <fill>
                <patternFill>
                  <bgColor rgb="FFFF0000"/>
                </patternFill>
              </fill>
            </x14:dxf>
          </x14:cfRule>
          <xm:sqref>AY96:BK96</xm:sqref>
        </x14:conditionalFormatting>
        <x14:conditionalFormatting xmlns:xm="http://schemas.microsoft.com/office/excel/2006/main">
          <x14:cfRule type="expression" priority="4695375" id="{F5CF569A-8AFA-4CFF-8BD3-F04D8927A99F}">
            <xm:f>$BA$4='Data entry'!$R36</xm:f>
            <x14:dxf>
              <fill>
                <patternFill>
                  <bgColor rgb="FFFFFF00"/>
                </patternFill>
              </fill>
            </x14:dxf>
          </x14:cfRule>
          <xm:sqref>AM95:BA95</xm:sqref>
        </x14:conditionalFormatting>
        <x14:conditionalFormatting xmlns:xm="http://schemas.microsoft.com/office/excel/2006/main">
          <x14:cfRule type="expression" priority="4695376" id="{E4DAC94A-7983-4BFB-A87B-45B58561841A}">
            <xm:f>$BB$4='Data entry'!$R36</xm:f>
            <x14:dxf>
              <fill>
                <patternFill>
                  <bgColor rgb="FFFF0000"/>
                </patternFill>
              </fill>
            </x14:dxf>
          </x14:cfRule>
          <xm:sqref>AZ96:BL96</xm:sqref>
        </x14:conditionalFormatting>
        <x14:conditionalFormatting xmlns:xm="http://schemas.microsoft.com/office/excel/2006/main">
          <x14:cfRule type="expression" priority="4695377" id="{E63849C5-F39B-4B0E-8F8A-B532EDF2CBAE}">
            <xm:f>$BB$4='Data entry'!$R36</xm:f>
            <x14:dxf>
              <fill>
                <patternFill>
                  <bgColor rgb="FFFFFF00"/>
                </patternFill>
              </fill>
            </x14:dxf>
          </x14:cfRule>
          <xm:sqref>AN95:BB95</xm:sqref>
        </x14:conditionalFormatting>
        <x14:conditionalFormatting xmlns:xm="http://schemas.microsoft.com/office/excel/2006/main">
          <x14:cfRule type="expression" priority="4695378" id="{4FDC32D3-C1F5-455D-9AA4-A03359B72526}">
            <xm:f>$BC$4='Data entry'!$R36</xm:f>
            <x14:dxf>
              <fill>
                <patternFill>
                  <bgColor rgb="FFFF0000"/>
                </patternFill>
              </fill>
            </x14:dxf>
          </x14:cfRule>
          <xm:sqref>BA96:BM96</xm:sqref>
        </x14:conditionalFormatting>
        <x14:conditionalFormatting xmlns:xm="http://schemas.microsoft.com/office/excel/2006/main">
          <x14:cfRule type="expression" priority="4695379" id="{5F0D0C60-B233-4C56-B05D-98C99990877F}">
            <xm:f>$BC$4='Data entry'!$R36</xm:f>
            <x14:dxf>
              <fill>
                <patternFill>
                  <bgColor rgb="FFFFFF00"/>
                </patternFill>
              </fill>
            </x14:dxf>
          </x14:cfRule>
          <xm:sqref>AO95:BC95</xm:sqref>
        </x14:conditionalFormatting>
        <x14:conditionalFormatting xmlns:xm="http://schemas.microsoft.com/office/excel/2006/main">
          <x14:cfRule type="expression" priority="4695380" id="{9EBCB60F-8135-43B6-A0F3-548D4092CC98}">
            <xm:f>$BD$4='Data entry'!$R36</xm:f>
            <x14:dxf>
              <fill>
                <patternFill>
                  <bgColor rgb="FFFF0000"/>
                </patternFill>
              </fill>
            </x14:dxf>
          </x14:cfRule>
          <xm:sqref>BB96:BN96</xm:sqref>
        </x14:conditionalFormatting>
        <x14:conditionalFormatting xmlns:xm="http://schemas.microsoft.com/office/excel/2006/main">
          <x14:cfRule type="expression" priority="4695381" id="{961AF346-4A73-41ED-9A8D-27D431B09C05}">
            <xm:f>$BD$4='Data entry'!$R36</xm:f>
            <x14:dxf>
              <fill>
                <patternFill>
                  <bgColor rgb="FFFFFF00"/>
                </patternFill>
              </fill>
            </x14:dxf>
          </x14:cfRule>
          <xm:sqref>AP95:BD95</xm:sqref>
        </x14:conditionalFormatting>
        <x14:conditionalFormatting xmlns:xm="http://schemas.microsoft.com/office/excel/2006/main">
          <x14:cfRule type="expression" priority="4695382" id="{5A887026-27CD-4F8C-8BA6-1E92704C1CA6}">
            <xm:f>$BE$4='Data entry'!$R36</xm:f>
            <x14:dxf>
              <fill>
                <patternFill>
                  <bgColor rgb="FFFF0000"/>
                </patternFill>
              </fill>
            </x14:dxf>
          </x14:cfRule>
          <xm:sqref>BC96:BO96</xm:sqref>
        </x14:conditionalFormatting>
        <x14:conditionalFormatting xmlns:xm="http://schemas.microsoft.com/office/excel/2006/main">
          <x14:cfRule type="expression" priority="4695383" id="{7F46217B-A1E9-4515-B31E-E756FCD7C6D9}">
            <xm:f>$BE$4='Data entry'!$R36</xm:f>
            <x14:dxf>
              <fill>
                <patternFill>
                  <bgColor rgb="FFFFFF00"/>
                </patternFill>
              </fill>
            </x14:dxf>
          </x14:cfRule>
          <xm:sqref>AP95:BE95</xm:sqref>
        </x14:conditionalFormatting>
        <x14:conditionalFormatting xmlns:xm="http://schemas.microsoft.com/office/excel/2006/main">
          <x14:cfRule type="expression" priority="4695384" id="{F4D9285C-8CA0-4EF1-943E-6A462D47CC77}">
            <xm:f>$BF$4='Data entry'!$R36</xm:f>
            <x14:dxf>
              <fill>
                <patternFill>
                  <bgColor rgb="FFFF0000"/>
                </patternFill>
              </fill>
            </x14:dxf>
          </x14:cfRule>
          <xm:sqref>BD96:BP96</xm:sqref>
        </x14:conditionalFormatting>
        <x14:conditionalFormatting xmlns:xm="http://schemas.microsoft.com/office/excel/2006/main">
          <x14:cfRule type="expression" priority="4695385" id="{B9E4407D-651D-4DC0-9D61-3271D62A65E9}">
            <xm:f>$BF$4='Data entry'!$R36</xm:f>
            <x14:dxf>
              <fill>
                <patternFill>
                  <bgColor rgb="FFFFFF00"/>
                </patternFill>
              </fill>
            </x14:dxf>
          </x14:cfRule>
          <xm:sqref>AR95:BF95</xm:sqref>
        </x14:conditionalFormatting>
        <x14:conditionalFormatting xmlns:xm="http://schemas.microsoft.com/office/excel/2006/main">
          <x14:cfRule type="expression" priority="4695386" id="{4CDC062F-DDFF-4556-B941-08F919727F69}">
            <xm:f>$BG$4='Data entry'!$R36</xm:f>
            <x14:dxf>
              <fill>
                <patternFill>
                  <bgColor rgb="FFFF0000"/>
                </patternFill>
              </fill>
            </x14:dxf>
          </x14:cfRule>
          <xm:sqref>BE96:BQ96</xm:sqref>
        </x14:conditionalFormatting>
        <x14:conditionalFormatting xmlns:xm="http://schemas.microsoft.com/office/excel/2006/main">
          <x14:cfRule type="expression" priority="4695387" id="{789184FA-9055-433B-8A1B-92C7ED59E81F}">
            <xm:f>$BG$4='Data entry'!$R36</xm:f>
            <x14:dxf>
              <fill>
                <patternFill>
                  <bgColor rgb="FFFFFF00"/>
                </patternFill>
              </fill>
            </x14:dxf>
          </x14:cfRule>
          <xm:sqref>AS95:BG95</xm:sqref>
        </x14:conditionalFormatting>
        <x14:conditionalFormatting xmlns:xm="http://schemas.microsoft.com/office/excel/2006/main">
          <x14:cfRule type="expression" priority="4695388" id="{58651E5C-09C9-46C1-B95C-E8A578A49E15}">
            <xm:f>$BH$4='Data entry'!$R36</xm:f>
            <x14:dxf>
              <fill>
                <patternFill>
                  <bgColor rgb="FFFFFF00"/>
                </patternFill>
              </fill>
            </x14:dxf>
          </x14:cfRule>
          <xm:sqref>AT95:BH95</xm:sqref>
        </x14:conditionalFormatting>
        <x14:conditionalFormatting xmlns:xm="http://schemas.microsoft.com/office/excel/2006/main">
          <x14:cfRule type="expression" priority="4695389" id="{97B30B86-8311-4DC0-A533-8C0D53F37839}">
            <xm:f>$BH$4='Data entry'!$R36</xm:f>
            <x14:dxf>
              <fill>
                <patternFill>
                  <bgColor rgb="FFFF0000"/>
                </patternFill>
              </fill>
            </x14:dxf>
          </x14:cfRule>
          <xm:sqref>BF96:BR96</xm:sqref>
        </x14:conditionalFormatting>
        <x14:conditionalFormatting xmlns:xm="http://schemas.microsoft.com/office/excel/2006/main">
          <x14:cfRule type="expression" priority="4695390" id="{78344C0C-5AEA-40B1-A20C-6D77DF58E1F5}">
            <xm:f>$BI$4='Data entry'!$R36</xm:f>
            <x14:dxf>
              <fill>
                <patternFill>
                  <bgColor rgb="FFFFFF00"/>
                </patternFill>
              </fill>
            </x14:dxf>
          </x14:cfRule>
          <xm:sqref>AU95:BI95</xm:sqref>
        </x14:conditionalFormatting>
        <x14:conditionalFormatting xmlns:xm="http://schemas.microsoft.com/office/excel/2006/main">
          <x14:cfRule type="expression" priority="4695391" id="{A9CE044F-482E-4F25-B28F-89ACC58502B1}">
            <xm:f>$BI$4='Data entry'!$R36</xm:f>
            <x14:dxf>
              <fill>
                <patternFill>
                  <bgColor rgb="FFFF0000"/>
                </patternFill>
              </fill>
            </x14:dxf>
          </x14:cfRule>
          <xm:sqref>BG96:BS96</xm:sqref>
        </x14:conditionalFormatting>
        <x14:conditionalFormatting xmlns:xm="http://schemas.microsoft.com/office/excel/2006/main">
          <x14:cfRule type="expression" priority="4695392" id="{F63BE0EB-3C71-4456-BEF0-11180AB7A8BB}">
            <xm:f>$BJ$4='Data entry'!$R36</xm:f>
            <x14:dxf>
              <fill>
                <patternFill>
                  <bgColor rgb="FFFFFF00"/>
                </patternFill>
              </fill>
            </x14:dxf>
          </x14:cfRule>
          <xm:sqref>AV95:BJ95</xm:sqref>
        </x14:conditionalFormatting>
        <x14:conditionalFormatting xmlns:xm="http://schemas.microsoft.com/office/excel/2006/main">
          <x14:cfRule type="expression" priority="4695393" id="{478A5DCB-1DAA-4497-A6CC-B4F01FB96D10}">
            <xm:f>$BJ$4='Data entry'!$R36</xm:f>
            <x14:dxf>
              <fill>
                <patternFill>
                  <bgColor rgb="FFFF0000"/>
                </patternFill>
              </fill>
            </x14:dxf>
          </x14:cfRule>
          <xm:sqref>BH96:BT96</xm:sqref>
        </x14:conditionalFormatting>
        <x14:conditionalFormatting xmlns:xm="http://schemas.microsoft.com/office/excel/2006/main">
          <x14:cfRule type="expression" priority="4695394" id="{CDE4AD5B-65A6-4FA4-9EC0-8D05F22312A9}">
            <xm:f>$BK$4='Data entry'!$R36</xm:f>
            <x14:dxf>
              <fill>
                <patternFill>
                  <bgColor rgb="FFFF0000"/>
                </patternFill>
              </fill>
            </x14:dxf>
          </x14:cfRule>
          <xm:sqref>BI96:BU96</xm:sqref>
        </x14:conditionalFormatting>
        <x14:conditionalFormatting xmlns:xm="http://schemas.microsoft.com/office/excel/2006/main">
          <x14:cfRule type="expression" priority="4695395" id="{AB32E790-6CD8-4D11-9A69-57D785FE4BBC}">
            <xm:f>$BK$4='Data entry'!$R36</xm:f>
            <x14:dxf>
              <fill>
                <patternFill>
                  <bgColor rgb="FFFFFF00"/>
                </patternFill>
              </fill>
            </x14:dxf>
          </x14:cfRule>
          <xm:sqref>AW95:BK95</xm:sqref>
        </x14:conditionalFormatting>
        <x14:conditionalFormatting xmlns:xm="http://schemas.microsoft.com/office/excel/2006/main">
          <x14:cfRule type="expression" priority="4695396" id="{99810EB9-805C-43D8-852A-EEECE7874CDB}">
            <xm:f>$BL$4='Data entry'!$R36</xm:f>
            <x14:dxf>
              <fill>
                <patternFill>
                  <bgColor rgb="FFFF0000"/>
                </patternFill>
              </fill>
            </x14:dxf>
          </x14:cfRule>
          <xm:sqref>BJ96:BV96</xm:sqref>
        </x14:conditionalFormatting>
        <x14:conditionalFormatting xmlns:xm="http://schemas.microsoft.com/office/excel/2006/main">
          <x14:cfRule type="expression" priority="4695397" id="{BF5F5475-4E46-479C-97A6-D5175F5D1803}">
            <xm:f>$BL$4='Data entry'!$R36</xm:f>
            <x14:dxf>
              <fill>
                <patternFill>
                  <bgColor rgb="FFFFFF00"/>
                </patternFill>
              </fill>
            </x14:dxf>
          </x14:cfRule>
          <xm:sqref>AX95:BL95</xm:sqref>
        </x14:conditionalFormatting>
        <x14:conditionalFormatting xmlns:xm="http://schemas.microsoft.com/office/excel/2006/main">
          <x14:cfRule type="expression" priority="4695398" id="{B86FDF2F-16C9-46B1-847E-7EA1A8A34B9D}">
            <xm:f>$BM$4='Data entry'!$R36</xm:f>
            <x14:dxf>
              <fill>
                <patternFill>
                  <bgColor rgb="FFFF0000"/>
                </patternFill>
              </fill>
            </x14:dxf>
          </x14:cfRule>
          <xm:sqref>BK96:BW96</xm:sqref>
        </x14:conditionalFormatting>
        <x14:conditionalFormatting xmlns:xm="http://schemas.microsoft.com/office/excel/2006/main">
          <x14:cfRule type="expression" priority="4695399" id="{72FD189F-4CED-400D-9FEF-21A328970A4D}">
            <xm:f>$BM$4='Data entry'!$R36</xm:f>
            <x14:dxf>
              <fill>
                <patternFill>
                  <bgColor rgb="FFFFFF00"/>
                </patternFill>
              </fill>
            </x14:dxf>
          </x14:cfRule>
          <xm:sqref>AY95:BM95</xm:sqref>
        </x14:conditionalFormatting>
        <x14:conditionalFormatting xmlns:xm="http://schemas.microsoft.com/office/excel/2006/main">
          <x14:cfRule type="expression" priority="4695400" id="{BBBBF859-D5A7-4F55-BFBF-8A77E3357590}">
            <xm:f>$BN$4='Data entry'!$R36</xm:f>
            <x14:dxf>
              <fill>
                <patternFill>
                  <bgColor rgb="FFFF0000"/>
                </patternFill>
              </fill>
            </x14:dxf>
          </x14:cfRule>
          <xm:sqref>BL96:BX96</xm:sqref>
        </x14:conditionalFormatting>
        <x14:conditionalFormatting xmlns:xm="http://schemas.microsoft.com/office/excel/2006/main">
          <x14:cfRule type="expression" priority="4695401" id="{50CB1D75-0FD5-4D24-92B1-E8A41DC6575C}">
            <xm:f>$BN$4='Data entry'!$R36</xm:f>
            <x14:dxf>
              <fill>
                <patternFill>
                  <bgColor rgb="FFFFFF00"/>
                </patternFill>
              </fill>
            </x14:dxf>
          </x14:cfRule>
          <xm:sqref>AZ95:BN95</xm:sqref>
        </x14:conditionalFormatting>
        <x14:conditionalFormatting xmlns:xm="http://schemas.microsoft.com/office/excel/2006/main">
          <x14:cfRule type="expression" priority="4695402" id="{9EF3226D-E8FC-496B-A6FF-71776AEA54D1}">
            <xm:f>$BO$4='Data entry'!$R36</xm:f>
            <x14:dxf>
              <fill>
                <patternFill>
                  <bgColor rgb="FFFF0000"/>
                </patternFill>
              </fill>
            </x14:dxf>
          </x14:cfRule>
          <xm:sqref>BM96:BY96</xm:sqref>
        </x14:conditionalFormatting>
        <x14:conditionalFormatting xmlns:xm="http://schemas.microsoft.com/office/excel/2006/main">
          <x14:cfRule type="expression" priority="4695403" id="{3B86C801-ECFE-4D05-8AA5-1581116BAFBC}">
            <xm:f>$BO$4='Data entry'!$R36</xm:f>
            <x14:dxf>
              <fill>
                <patternFill>
                  <bgColor rgb="FFFFFF00"/>
                </patternFill>
              </fill>
            </x14:dxf>
          </x14:cfRule>
          <xm:sqref>BA95:BO95</xm:sqref>
        </x14:conditionalFormatting>
        <x14:conditionalFormatting xmlns:xm="http://schemas.microsoft.com/office/excel/2006/main">
          <x14:cfRule type="expression" priority="4695404" id="{058A23EC-3371-4A02-9F20-1ECA603AC6BC}">
            <xm:f>$BP$4='Data entry'!$R36</xm:f>
            <x14:dxf>
              <fill>
                <patternFill>
                  <bgColor rgb="FFFF0000"/>
                </patternFill>
              </fill>
            </x14:dxf>
          </x14:cfRule>
          <xm:sqref>BN96:BZ96</xm:sqref>
        </x14:conditionalFormatting>
        <x14:conditionalFormatting xmlns:xm="http://schemas.microsoft.com/office/excel/2006/main">
          <x14:cfRule type="expression" priority="4695405" id="{3E711E31-3992-4555-AB22-87133D60CD15}">
            <xm:f>$BP$4='Data entry'!$R36</xm:f>
            <x14:dxf>
              <fill>
                <patternFill>
                  <bgColor rgb="FFFFFF00"/>
                </patternFill>
              </fill>
            </x14:dxf>
          </x14:cfRule>
          <xm:sqref>BB95:BP95</xm:sqref>
        </x14:conditionalFormatting>
        <x14:conditionalFormatting xmlns:xm="http://schemas.microsoft.com/office/excel/2006/main">
          <x14:cfRule type="expression" priority="4695406" id="{23E9F8B9-37D5-4730-9453-6F23E8ECBBE3}">
            <xm:f>$BQ$4='Data entry'!$R36</xm:f>
            <x14:dxf>
              <fill>
                <patternFill>
                  <bgColor rgb="FFFFFF00"/>
                </patternFill>
              </fill>
            </x14:dxf>
          </x14:cfRule>
          <xm:sqref>BC95:BQ95</xm:sqref>
        </x14:conditionalFormatting>
        <x14:conditionalFormatting xmlns:xm="http://schemas.microsoft.com/office/excel/2006/main">
          <x14:cfRule type="expression" priority="4695407" id="{BCFD92F6-AAD3-44FD-BC61-A292A81B883E}">
            <xm:f>$BQ$4='Data entry'!$R36</xm:f>
            <x14:dxf>
              <fill>
                <patternFill>
                  <bgColor rgb="FFFF0000"/>
                </patternFill>
              </fill>
            </x14:dxf>
          </x14:cfRule>
          <xm:sqref>BO96:CA96</xm:sqref>
        </x14:conditionalFormatting>
        <x14:conditionalFormatting xmlns:xm="http://schemas.microsoft.com/office/excel/2006/main">
          <x14:cfRule type="expression" priority="4695408" id="{357D60E5-F356-477E-8020-A18F42C02832}">
            <xm:f>$BR$4='Data entry'!$R36</xm:f>
            <x14:dxf>
              <fill>
                <patternFill>
                  <bgColor rgb="FFFFFF00"/>
                </patternFill>
              </fill>
            </x14:dxf>
          </x14:cfRule>
          <xm:sqref>BD95:BR95</xm:sqref>
        </x14:conditionalFormatting>
        <x14:conditionalFormatting xmlns:xm="http://schemas.microsoft.com/office/excel/2006/main">
          <x14:cfRule type="expression" priority="4695409" id="{DA2B6511-43B3-432D-B6AA-1DB1188B90A6}">
            <xm:f>$BR$4='Data entry'!$R36</xm:f>
            <x14:dxf>
              <fill>
                <patternFill>
                  <bgColor rgb="FFFF0000"/>
                </patternFill>
              </fill>
            </x14:dxf>
          </x14:cfRule>
          <xm:sqref>BP96:CB96</xm:sqref>
        </x14:conditionalFormatting>
        <x14:conditionalFormatting xmlns:xm="http://schemas.microsoft.com/office/excel/2006/main">
          <x14:cfRule type="expression" priority="4695410" id="{0D5F64E4-4136-4BFA-B833-CC8578525D9C}">
            <xm:f>$BS$4='Data entry'!$R36</xm:f>
            <x14:dxf>
              <fill>
                <patternFill>
                  <bgColor rgb="FFFFFF00"/>
                </patternFill>
              </fill>
            </x14:dxf>
          </x14:cfRule>
          <xm:sqref>BE95:BS95</xm:sqref>
        </x14:conditionalFormatting>
        <x14:conditionalFormatting xmlns:xm="http://schemas.microsoft.com/office/excel/2006/main">
          <x14:cfRule type="expression" priority="4695411" id="{AC94D468-F078-4AE2-8771-102996E07B09}">
            <xm:f>$BS$4='Data entry'!$R36</xm:f>
            <x14:dxf>
              <fill>
                <patternFill>
                  <bgColor rgb="FFFF0000"/>
                </patternFill>
              </fill>
            </x14:dxf>
          </x14:cfRule>
          <xm:sqref>BQ96:CC96</xm:sqref>
        </x14:conditionalFormatting>
        <x14:conditionalFormatting xmlns:xm="http://schemas.microsoft.com/office/excel/2006/main">
          <x14:cfRule type="expression" priority="4695412" id="{10E78F76-181E-4F19-9F89-7DD36D3EFE30}">
            <xm:f>$BT$4='Data entry'!$R36</xm:f>
            <x14:dxf>
              <fill>
                <patternFill>
                  <bgColor rgb="FFFFFF00"/>
                </patternFill>
              </fill>
            </x14:dxf>
          </x14:cfRule>
          <xm:sqref>BF95:BT95</xm:sqref>
        </x14:conditionalFormatting>
        <x14:conditionalFormatting xmlns:xm="http://schemas.microsoft.com/office/excel/2006/main">
          <x14:cfRule type="expression" priority="4695413" id="{6A5FADC6-9512-4EFB-90A5-7B5244D10D1F}">
            <xm:f>$BT$4='Data entry'!$R36</xm:f>
            <x14:dxf>
              <fill>
                <patternFill>
                  <bgColor rgb="FFFF0000"/>
                </patternFill>
              </fill>
            </x14:dxf>
          </x14:cfRule>
          <xm:sqref>BR96:CC96</xm:sqref>
        </x14:conditionalFormatting>
        <x14:conditionalFormatting xmlns:xm="http://schemas.microsoft.com/office/excel/2006/main">
          <x14:cfRule type="expression" priority="4695414" id="{A51139D1-8841-4B96-B8CB-DFE3808765CF}">
            <xm:f>$BU$4='Data entry'!$R36</xm:f>
            <x14:dxf>
              <fill>
                <patternFill>
                  <bgColor rgb="FFFFFF00"/>
                </patternFill>
              </fill>
            </x14:dxf>
          </x14:cfRule>
          <xm:sqref>BG95:BU95</xm:sqref>
        </x14:conditionalFormatting>
        <x14:conditionalFormatting xmlns:xm="http://schemas.microsoft.com/office/excel/2006/main">
          <x14:cfRule type="expression" priority="4695415" id="{55CA7258-760F-4BFF-ACB5-A70FEB3E7981}">
            <xm:f>$BU$4='Data entry'!$R36</xm:f>
            <x14:dxf>
              <fill>
                <patternFill>
                  <bgColor rgb="FFFF0000"/>
                </patternFill>
              </fill>
            </x14:dxf>
          </x14:cfRule>
          <xm:sqref>BS96:CC96</xm:sqref>
        </x14:conditionalFormatting>
        <x14:conditionalFormatting xmlns:xm="http://schemas.microsoft.com/office/excel/2006/main">
          <x14:cfRule type="expression" priority="4695416" id="{A922B218-64DB-4CBB-9AB8-FE0EBB44E09E}">
            <xm:f>$BV$4='Data entry'!$R36</xm:f>
            <x14:dxf>
              <fill>
                <patternFill>
                  <bgColor rgb="FFFFFF00"/>
                </patternFill>
              </fill>
            </x14:dxf>
          </x14:cfRule>
          <xm:sqref>BH95:BV95</xm:sqref>
        </x14:conditionalFormatting>
        <x14:conditionalFormatting xmlns:xm="http://schemas.microsoft.com/office/excel/2006/main">
          <x14:cfRule type="expression" priority="4695417" id="{C98E908A-CD31-4778-B41C-7AFB9DBE639A}">
            <xm:f>$BV$4='Data entry'!$R36</xm:f>
            <x14:dxf>
              <fill>
                <patternFill>
                  <bgColor rgb="FFFF0000"/>
                </patternFill>
              </fill>
            </x14:dxf>
          </x14:cfRule>
          <xm:sqref>BT96:CC96</xm:sqref>
        </x14:conditionalFormatting>
        <x14:conditionalFormatting xmlns:xm="http://schemas.microsoft.com/office/excel/2006/main">
          <x14:cfRule type="expression" priority="4695418" id="{465CCCA3-B4DB-4B61-8AC7-8A5E4CEC9E3F}">
            <xm:f>$BW$4='Data entry'!$R36</xm:f>
            <x14:dxf>
              <fill>
                <patternFill>
                  <bgColor rgb="FFFFFF00"/>
                </patternFill>
              </fill>
            </x14:dxf>
          </x14:cfRule>
          <xm:sqref>BI95:BW95</xm:sqref>
        </x14:conditionalFormatting>
        <x14:conditionalFormatting xmlns:xm="http://schemas.microsoft.com/office/excel/2006/main">
          <x14:cfRule type="expression" priority="4695419" id="{37566F97-6D06-400B-A709-FE657B07687F}">
            <xm:f>$BW$4='Data entry'!$R36</xm:f>
            <x14:dxf>
              <fill>
                <patternFill>
                  <bgColor rgb="FFFF0000"/>
                </patternFill>
              </fill>
            </x14:dxf>
          </x14:cfRule>
          <xm:sqref>BU96:CC96</xm:sqref>
        </x14:conditionalFormatting>
        <x14:conditionalFormatting xmlns:xm="http://schemas.microsoft.com/office/excel/2006/main">
          <x14:cfRule type="expression" priority="4695420" id="{D8FBA3AC-5CF0-4E45-97CA-1D4DEE729ADA}">
            <xm:f>$BX$4='Data entry'!$R36</xm:f>
            <x14:dxf>
              <fill>
                <patternFill>
                  <bgColor rgb="FFFFFF00"/>
                </patternFill>
              </fill>
            </x14:dxf>
          </x14:cfRule>
          <xm:sqref>BJ95:BX95</xm:sqref>
        </x14:conditionalFormatting>
        <x14:conditionalFormatting xmlns:xm="http://schemas.microsoft.com/office/excel/2006/main">
          <x14:cfRule type="expression" priority="4695421" id="{E077C84B-A94F-431D-B232-4AFCC7C64F54}">
            <xm:f>$BX$4='Data entry'!$R36</xm:f>
            <x14:dxf>
              <fill>
                <patternFill>
                  <bgColor rgb="FFFF0000"/>
                </patternFill>
              </fill>
            </x14:dxf>
          </x14:cfRule>
          <xm:sqref>BV96:CC96</xm:sqref>
        </x14:conditionalFormatting>
        <x14:conditionalFormatting xmlns:xm="http://schemas.microsoft.com/office/excel/2006/main">
          <x14:cfRule type="expression" priority="4695422" id="{63783BA8-0C97-4A44-86FD-7A2BCF1B9957}">
            <xm:f>$BY$4='Data entry'!$R36</xm:f>
            <x14:dxf>
              <fill>
                <patternFill>
                  <bgColor rgb="FFFFFF00"/>
                </patternFill>
              </fill>
            </x14:dxf>
          </x14:cfRule>
          <xm:sqref>BK95:BY95</xm:sqref>
        </x14:conditionalFormatting>
        <x14:conditionalFormatting xmlns:xm="http://schemas.microsoft.com/office/excel/2006/main">
          <x14:cfRule type="expression" priority="4695423" id="{BB8DB8B4-B71B-46D2-AEE7-346F16103F74}">
            <xm:f>$BY$4='Data entry'!$R36</xm:f>
            <x14:dxf>
              <fill>
                <patternFill>
                  <bgColor rgb="FFFF0000"/>
                </patternFill>
              </fill>
            </x14:dxf>
          </x14:cfRule>
          <xm:sqref>BW96:CC96</xm:sqref>
        </x14:conditionalFormatting>
        <x14:conditionalFormatting xmlns:xm="http://schemas.microsoft.com/office/excel/2006/main">
          <x14:cfRule type="expression" priority="4695424" id="{1B638B98-2B06-4FEB-90C1-446A3E0A3979}">
            <xm:f>$BZ$4='Data entry'!$R36</xm:f>
            <x14:dxf>
              <fill>
                <patternFill>
                  <bgColor rgb="FFFFFF00"/>
                </patternFill>
              </fill>
            </x14:dxf>
          </x14:cfRule>
          <xm:sqref>BL95:BZ95</xm:sqref>
        </x14:conditionalFormatting>
        <x14:conditionalFormatting xmlns:xm="http://schemas.microsoft.com/office/excel/2006/main">
          <x14:cfRule type="expression" priority="4695425" id="{D3A0A2F8-D1B2-4DC5-B2A9-0EF53074E685}">
            <xm:f>$BZ$4='Data entry'!$R36</xm:f>
            <x14:dxf>
              <fill>
                <patternFill>
                  <bgColor rgb="FFFF0000"/>
                </patternFill>
              </fill>
            </x14:dxf>
          </x14:cfRule>
          <xm:sqref>BX96:CC96</xm:sqref>
        </x14:conditionalFormatting>
        <x14:conditionalFormatting xmlns:xm="http://schemas.microsoft.com/office/excel/2006/main">
          <x14:cfRule type="expression" priority="4695426" id="{83F6D018-7D3B-4D33-9998-11572F2F2FF5}">
            <xm:f>$CA$4='Data entry'!$R36</xm:f>
            <x14:dxf>
              <fill>
                <patternFill>
                  <bgColor rgb="FFFFFF00"/>
                </patternFill>
              </fill>
            </x14:dxf>
          </x14:cfRule>
          <xm:sqref>BM95:CA95</xm:sqref>
        </x14:conditionalFormatting>
        <x14:conditionalFormatting xmlns:xm="http://schemas.microsoft.com/office/excel/2006/main">
          <x14:cfRule type="expression" priority="4695427" id="{8E6D0B51-5626-4ED9-9072-C7A2C139704F}">
            <xm:f>$CA$4='Data entry'!$R36</xm:f>
            <x14:dxf>
              <fill>
                <patternFill>
                  <bgColor rgb="FFFF0000"/>
                </patternFill>
              </fill>
            </x14:dxf>
          </x14:cfRule>
          <xm:sqref>BY96:CC96</xm:sqref>
        </x14:conditionalFormatting>
        <x14:conditionalFormatting xmlns:xm="http://schemas.microsoft.com/office/excel/2006/main">
          <x14:cfRule type="expression" priority="4695428" id="{E1886EE4-3BDE-43A9-9F4B-79377FEC37FE}">
            <xm:f>$CB$4='Data entry'!$R36</xm:f>
            <x14:dxf>
              <fill>
                <patternFill>
                  <bgColor rgb="FFFFFF00"/>
                </patternFill>
              </fill>
            </x14:dxf>
          </x14:cfRule>
          <xm:sqref>BN95:CB95</xm:sqref>
        </x14:conditionalFormatting>
        <x14:conditionalFormatting xmlns:xm="http://schemas.microsoft.com/office/excel/2006/main">
          <x14:cfRule type="expression" priority="4695429" id="{ADEF572A-6C18-4602-BB86-01C96D36E07E}">
            <xm:f>$CB$4='Data entry'!$R36</xm:f>
            <x14:dxf>
              <fill>
                <patternFill>
                  <bgColor rgb="FFFF0000"/>
                </patternFill>
              </fill>
            </x14:dxf>
          </x14:cfRule>
          <xm:sqref>BZ96:CC96</xm:sqref>
        </x14:conditionalFormatting>
        <x14:conditionalFormatting xmlns:xm="http://schemas.microsoft.com/office/excel/2006/main">
          <x14:cfRule type="expression" priority="4695430" id="{7984E1C9-E073-4955-8543-62145CB6D008}">
            <xm:f>$CC$4='Data entry'!$R36</xm:f>
            <x14:dxf>
              <fill>
                <patternFill>
                  <bgColor rgb="FFFFFF00"/>
                </patternFill>
              </fill>
            </x14:dxf>
          </x14:cfRule>
          <xm:sqref>BO95:CC95</xm:sqref>
        </x14:conditionalFormatting>
        <x14:conditionalFormatting xmlns:xm="http://schemas.microsoft.com/office/excel/2006/main">
          <x14:cfRule type="expression" priority="4695431" id="{18A957B3-59FA-4698-BA92-2A208FF18E2F}">
            <xm:f>$CC$4='Data entry'!$R36</xm:f>
            <x14:dxf>
              <fill>
                <patternFill>
                  <bgColor rgb="FFFF0000"/>
                </patternFill>
              </fill>
            </x14:dxf>
          </x14:cfRule>
          <xm:sqref>CA96:CC96</xm:sqref>
        </x14:conditionalFormatting>
        <x14:conditionalFormatting xmlns:xm="http://schemas.microsoft.com/office/excel/2006/main">
          <x14:cfRule type="expression" priority="4695518" id="{5B0DB825-B7C2-40AC-B7EF-F267F054CFB9}">
            <xm:f>$U$4='Data entry'!$R37</xm:f>
            <x14:dxf>
              <fill>
                <patternFill>
                  <bgColor rgb="FFFF0000"/>
                </patternFill>
              </fill>
            </x14:dxf>
          </x14:cfRule>
          <xm:sqref>S99:AE99</xm:sqref>
        </x14:conditionalFormatting>
        <x14:conditionalFormatting xmlns:xm="http://schemas.microsoft.com/office/excel/2006/main">
          <x14:cfRule type="expression" priority="4695519" id="{18311200-E2BB-400F-B594-3B9A2C6068C2}">
            <xm:f>$V$4='Data entry'!$R37</xm:f>
            <x14:dxf>
              <fill>
                <patternFill>
                  <bgColor rgb="FFFF0000"/>
                </patternFill>
              </fill>
            </x14:dxf>
          </x14:cfRule>
          <xm:sqref>T99:AF99</xm:sqref>
        </x14:conditionalFormatting>
        <x14:conditionalFormatting xmlns:xm="http://schemas.microsoft.com/office/excel/2006/main">
          <x14:cfRule type="expression" priority="4695520" id="{D6DFB621-1A58-4C59-A987-ECAD0EB2D32B}">
            <xm:f>$V$4='Data entry'!$R37</xm:f>
            <x14:dxf>
              <fill>
                <patternFill>
                  <bgColor rgb="FFFFFF00"/>
                </patternFill>
              </fill>
            </x14:dxf>
          </x14:cfRule>
          <xm:sqref>H98:V98</xm:sqref>
        </x14:conditionalFormatting>
        <x14:conditionalFormatting xmlns:xm="http://schemas.microsoft.com/office/excel/2006/main">
          <x14:cfRule type="expression" priority="4695521" id="{5F87A680-DC5F-433D-A779-B7A534ACCDA9}">
            <xm:f>$W$4='Data entry'!$R37</xm:f>
            <x14:dxf>
              <fill>
                <patternFill>
                  <bgColor rgb="FFFF0000"/>
                </patternFill>
              </fill>
            </x14:dxf>
          </x14:cfRule>
          <xm:sqref>U99:AG99</xm:sqref>
        </x14:conditionalFormatting>
        <x14:conditionalFormatting xmlns:xm="http://schemas.microsoft.com/office/excel/2006/main">
          <x14:cfRule type="expression" priority="4695522" id="{964539FF-A92C-4F68-B268-B7157A32678C}">
            <xm:f>$W$4='Data entry'!$R37</xm:f>
            <x14:dxf>
              <fill>
                <patternFill>
                  <bgColor rgb="FFFFFF00"/>
                </patternFill>
              </fill>
            </x14:dxf>
          </x14:cfRule>
          <xm:sqref>I98:W98</xm:sqref>
        </x14:conditionalFormatting>
        <x14:conditionalFormatting xmlns:xm="http://schemas.microsoft.com/office/excel/2006/main">
          <x14:cfRule type="expression" priority="4695523" id="{46C1533A-F090-4A90-9309-3F59EC3FD3B0}">
            <xm:f>$X$4='Data entry'!$R37</xm:f>
            <x14:dxf>
              <fill>
                <patternFill>
                  <bgColor rgb="FFFF0000"/>
                </patternFill>
              </fill>
            </x14:dxf>
          </x14:cfRule>
          <xm:sqref>V99:AH99</xm:sqref>
        </x14:conditionalFormatting>
        <x14:conditionalFormatting xmlns:xm="http://schemas.microsoft.com/office/excel/2006/main">
          <x14:cfRule type="expression" priority="4695524" id="{7C70E81C-DDD4-4D75-933A-4F6A39893184}">
            <xm:f>$X$4='Data entry'!$R37</xm:f>
            <x14:dxf>
              <fill>
                <patternFill>
                  <bgColor rgb="FFFFFF00"/>
                </patternFill>
              </fill>
            </x14:dxf>
          </x14:cfRule>
          <xm:sqref>J98:X98</xm:sqref>
        </x14:conditionalFormatting>
        <x14:conditionalFormatting xmlns:xm="http://schemas.microsoft.com/office/excel/2006/main">
          <x14:cfRule type="expression" priority="4695525" id="{561AF073-0EF8-4B72-A119-40A639C4359D}">
            <xm:f>$Y$4='Data entry'!$R37</xm:f>
            <x14:dxf>
              <fill>
                <patternFill>
                  <bgColor rgb="FFFF0000"/>
                </patternFill>
              </fill>
            </x14:dxf>
          </x14:cfRule>
          <xm:sqref>W99:AI99</xm:sqref>
        </x14:conditionalFormatting>
        <x14:conditionalFormatting xmlns:xm="http://schemas.microsoft.com/office/excel/2006/main">
          <x14:cfRule type="expression" priority="4695526" id="{F242E808-8F07-4A89-9524-7D4C767CE357}">
            <xm:f>$Y$4='Data entry'!$R37</xm:f>
            <x14:dxf>
              <fill>
                <patternFill>
                  <bgColor rgb="FFFFFF00"/>
                </patternFill>
              </fill>
            </x14:dxf>
          </x14:cfRule>
          <xm:sqref>K98:Y98</xm:sqref>
        </x14:conditionalFormatting>
        <x14:conditionalFormatting xmlns:xm="http://schemas.microsoft.com/office/excel/2006/main">
          <x14:cfRule type="expression" priority="4695527" id="{DD601058-982B-4218-BD9D-64BB823C2633}">
            <xm:f>$Z$4='Data entry'!$R37</xm:f>
            <x14:dxf>
              <fill>
                <patternFill>
                  <bgColor rgb="FFFF0000"/>
                </patternFill>
              </fill>
            </x14:dxf>
          </x14:cfRule>
          <xm:sqref>X99:AJ99</xm:sqref>
        </x14:conditionalFormatting>
        <x14:conditionalFormatting xmlns:xm="http://schemas.microsoft.com/office/excel/2006/main">
          <x14:cfRule type="expression" priority="4695528" id="{C9DB141D-79F6-4093-92A3-7BF7A1622985}">
            <xm:f>$Z$4='Data entry'!$R37</xm:f>
            <x14:dxf>
              <fill>
                <patternFill>
                  <bgColor rgb="FFFFFF00"/>
                </patternFill>
              </fill>
            </x14:dxf>
          </x14:cfRule>
          <xm:sqref>L98:Z98</xm:sqref>
        </x14:conditionalFormatting>
        <x14:conditionalFormatting xmlns:xm="http://schemas.microsoft.com/office/excel/2006/main">
          <x14:cfRule type="expression" priority="4695529" id="{710EB8D3-F5C0-4E3C-8214-2D0C4E26F649}">
            <xm:f>$AA$4='Data entry'!$R37</xm:f>
            <x14:dxf>
              <fill>
                <patternFill>
                  <bgColor rgb="FFFF0000"/>
                </patternFill>
              </fill>
            </x14:dxf>
          </x14:cfRule>
          <xm:sqref>Y99:AK99</xm:sqref>
        </x14:conditionalFormatting>
        <x14:conditionalFormatting xmlns:xm="http://schemas.microsoft.com/office/excel/2006/main">
          <x14:cfRule type="expression" priority="4695530" id="{33825D69-C967-4D27-B395-5D44A3083802}">
            <xm:f>$AA$4='Data entry'!$R37</xm:f>
            <x14:dxf>
              <fill>
                <patternFill>
                  <bgColor rgb="FFFFFF00"/>
                </patternFill>
              </fill>
            </x14:dxf>
          </x14:cfRule>
          <xm:sqref>M98:AA98</xm:sqref>
        </x14:conditionalFormatting>
        <x14:conditionalFormatting xmlns:xm="http://schemas.microsoft.com/office/excel/2006/main">
          <x14:cfRule type="expression" priority="4695531" id="{9811A97D-351B-4D32-8754-AF433277E62B}">
            <xm:f>$AB$4='Data entry'!$R37</xm:f>
            <x14:dxf>
              <fill>
                <patternFill>
                  <bgColor rgb="FFFF0000"/>
                </patternFill>
              </fill>
            </x14:dxf>
          </x14:cfRule>
          <xm:sqref>Z99:AL99</xm:sqref>
        </x14:conditionalFormatting>
        <x14:conditionalFormatting xmlns:xm="http://schemas.microsoft.com/office/excel/2006/main">
          <x14:cfRule type="expression" priority="4695532" id="{6DD3E556-C72E-438B-92DA-3096ED1E4178}">
            <xm:f>$AB$4='Data entry'!$R37</xm:f>
            <x14:dxf>
              <fill>
                <patternFill>
                  <bgColor rgb="FFFFFF00"/>
                </patternFill>
              </fill>
            </x14:dxf>
          </x14:cfRule>
          <xm:sqref>N98:AB98</xm:sqref>
        </x14:conditionalFormatting>
        <x14:conditionalFormatting xmlns:xm="http://schemas.microsoft.com/office/excel/2006/main">
          <x14:cfRule type="expression" priority="4695533" id="{C0DF7A1B-D6BC-4371-BD3A-F0708147FA1C}">
            <xm:f>$AC$4='Data entry'!$R37</xm:f>
            <x14:dxf>
              <fill>
                <patternFill>
                  <bgColor rgb="FFFF0000"/>
                </patternFill>
              </fill>
            </x14:dxf>
          </x14:cfRule>
          <xm:sqref>AA99:AM99</xm:sqref>
        </x14:conditionalFormatting>
        <x14:conditionalFormatting xmlns:xm="http://schemas.microsoft.com/office/excel/2006/main">
          <x14:cfRule type="expression" priority="4695534" id="{DB2E1F48-AF0E-41F9-A976-6B1963CA5711}">
            <xm:f>$AC$4='Data entry'!$R37</xm:f>
            <x14:dxf>
              <fill>
                <patternFill>
                  <bgColor rgb="FFFFFF00"/>
                </patternFill>
              </fill>
            </x14:dxf>
          </x14:cfRule>
          <xm:sqref>O98:AC98</xm:sqref>
        </x14:conditionalFormatting>
        <x14:conditionalFormatting xmlns:xm="http://schemas.microsoft.com/office/excel/2006/main">
          <x14:cfRule type="expression" priority="4695535" id="{89909907-F9A9-4AF9-BC1D-304710A43F50}">
            <xm:f>$AD$4='Data entry'!$R37</xm:f>
            <x14:dxf>
              <fill>
                <patternFill>
                  <bgColor rgb="FFFF0000"/>
                </patternFill>
              </fill>
            </x14:dxf>
          </x14:cfRule>
          <xm:sqref>AB99:AN99</xm:sqref>
        </x14:conditionalFormatting>
        <x14:conditionalFormatting xmlns:xm="http://schemas.microsoft.com/office/excel/2006/main">
          <x14:cfRule type="expression" priority="4695536" id="{729676B7-E331-43A4-ACC9-850DCEE76A0E}">
            <xm:f>$AD$4='Data entry'!$R37</xm:f>
            <x14:dxf>
              <fill>
                <patternFill>
                  <bgColor rgb="FFFFFF00"/>
                </patternFill>
              </fill>
            </x14:dxf>
          </x14:cfRule>
          <xm:sqref>P98:AD98</xm:sqref>
        </x14:conditionalFormatting>
        <x14:conditionalFormatting xmlns:xm="http://schemas.microsoft.com/office/excel/2006/main">
          <x14:cfRule type="expression" priority="4695537" id="{00DA2C55-350E-44AA-ABEA-808FABFDA737}">
            <xm:f>$AE$4='Data entry'!$R37</xm:f>
            <x14:dxf>
              <fill>
                <patternFill>
                  <bgColor rgb="FFFF0000"/>
                </patternFill>
              </fill>
            </x14:dxf>
          </x14:cfRule>
          <xm:sqref>AC99:AO99</xm:sqref>
        </x14:conditionalFormatting>
        <x14:conditionalFormatting xmlns:xm="http://schemas.microsoft.com/office/excel/2006/main">
          <x14:cfRule type="expression" priority="4695538" id="{373C95F1-00C1-45E9-B561-5224945BA4A4}">
            <xm:f>$AE$4='Data entry'!$R37</xm:f>
            <x14:dxf>
              <fill>
                <patternFill>
                  <bgColor rgb="FFFFFF00"/>
                </patternFill>
              </fill>
            </x14:dxf>
          </x14:cfRule>
          <xm:sqref>Q98:AE98</xm:sqref>
        </x14:conditionalFormatting>
        <x14:conditionalFormatting xmlns:xm="http://schemas.microsoft.com/office/excel/2006/main">
          <x14:cfRule type="expression" priority="4695539" id="{65E90E74-6BEF-4B00-BD5E-ECACFEBC225A}">
            <xm:f>$AF$4='Data entry'!$R37</xm:f>
            <x14:dxf>
              <fill>
                <patternFill>
                  <bgColor rgb="FFFF0000"/>
                </patternFill>
              </fill>
            </x14:dxf>
          </x14:cfRule>
          <xm:sqref>AD99:AP99</xm:sqref>
        </x14:conditionalFormatting>
        <x14:conditionalFormatting xmlns:xm="http://schemas.microsoft.com/office/excel/2006/main">
          <x14:cfRule type="expression" priority="4695540" id="{56B519D7-E083-4811-B42B-D6CB10D44BB3}">
            <xm:f>$AF$4='Data entry'!$R37</xm:f>
            <x14:dxf>
              <fill>
                <patternFill>
                  <bgColor rgb="FFFFFF00"/>
                </patternFill>
              </fill>
            </x14:dxf>
          </x14:cfRule>
          <xm:sqref>R98:AF98</xm:sqref>
        </x14:conditionalFormatting>
        <x14:conditionalFormatting xmlns:xm="http://schemas.microsoft.com/office/excel/2006/main">
          <x14:cfRule type="expression" priority="4695541" id="{889682B6-BF9B-414B-86B7-1C802156B058}">
            <xm:f>$AG$4='Data entry'!$R37</xm:f>
            <x14:dxf>
              <fill>
                <patternFill>
                  <bgColor rgb="FFFF0000"/>
                </patternFill>
              </fill>
            </x14:dxf>
          </x14:cfRule>
          <xm:sqref>AE99:AQ99</xm:sqref>
        </x14:conditionalFormatting>
        <x14:conditionalFormatting xmlns:xm="http://schemas.microsoft.com/office/excel/2006/main">
          <x14:cfRule type="expression" priority="4695542" id="{19913D88-1940-4CB0-B29C-D46D60833BD5}">
            <xm:f>$AG$4='Data entry'!$R37</xm:f>
            <x14:dxf>
              <fill>
                <patternFill>
                  <bgColor rgb="FFFFFF00"/>
                </patternFill>
              </fill>
            </x14:dxf>
          </x14:cfRule>
          <xm:sqref>S98:AG98</xm:sqref>
        </x14:conditionalFormatting>
        <x14:conditionalFormatting xmlns:xm="http://schemas.microsoft.com/office/excel/2006/main">
          <x14:cfRule type="expression" priority="4695543" id="{3DD7B9A5-18A3-463F-BAD5-9796FC487328}">
            <xm:f>$AH$4='Data entry'!$R37</xm:f>
            <x14:dxf>
              <fill>
                <patternFill>
                  <bgColor rgb="FFFF0000"/>
                </patternFill>
              </fill>
            </x14:dxf>
          </x14:cfRule>
          <xm:sqref>AF99:AR99</xm:sqref>
        </x14:conditionalFormatting>
        <x14:conditionalFormatting xmlns:xm="http://schemas.microsoft.com/office/excel/2006/main">
          <x14:cfRule type="expression" priority="4695544" id="{31005CF4-5608-496E-91EB-F7F505046C80}">
            <xm:f>$AH$4='Data entry'!$R37</xm:f>
            <x14:dxf>
              <fill>
                <patternFill>
                  <bgColor rgb="FFFFFF00"/>
                </patternFill>
              </fill>
            </x14:dxf>
          </x14:cfRule>
          <xm:sqref>T98:AH98</xm:sqref>
        </x14:conditionalFormatting>
        <x14:conditionalFormatting xmlns:xm="http://schemas.microsoft.com/office/excel/2006/main">
          <x14:cfRule type="expression" priority="4695545" id="{CD14F654-5B7A-444F-8FC1-7DD71E76E475}">
            <xm:f>$AI$4='Data entry'!$R37</xm:f>
            <x14:dxf>
              <fill>
                <patternFill>
                  <bgColor rgb="FFFF0000"/>
                </patternFill>
              </fill>
            </x14:dxf>
          </x14:cfRule>
          <xm:sqref>AG99:AS99</xm:sqref>
        </x14:conditionalFormatting>
        <x14:conditionalFormatting xmlns:xm="http://schemas.microsoft.com/office/excel/2006/main">
          <x14:cfRule type="expression" priority="4695546" id="{0E4E448C-6C46-4285-B877-A61A90294385}">
            <xm:f>$AI$4='Data entry'!$R37</xm:f>
            <x14:dxf>
              <fill>
                <patternFill>
                  <bgColor rgb="FFFFFF00"/>
                </patternFill>
              </fill>
            </x14:dxf>
          </x14:cfRule>
          <xm:sqref>U98:AI98</xm:sqref>
        </x14:conditionalFormatting>
        <x14:conditionalFormatting xmlns:xm="http://schemas.microsoft.com/office/excel/2006/main">
          <x14:cfRule type="expression" priority="4695547" id="{B1C1818F-791C-403D-BE73-6F6E9DC6A16D}">
            <xm:f>$AJ$4='Data entry'!$R37</xm:f>
            <x14:dxf>
              <fill>
                <patternFill>
                  <bgColor rgb="FFFF0000"/>
                </patternFill>
              </fill>
            </x14:dxf>
          </x14:cfRule>
          <xm:sqref>AH99:AT99</xm:sqref>
        </x14:conditionalFormatting>
        <x14:conditionalFormatting xmlns:xm="http://schemas.microsoft.com/office/excel/2006/main">
          <x14:cfRule type="expression" priority="4695548" id="{A1237792-221B-431B-B8A7-E9A64DA46D93}">
            <xm:f>$AJ$4='Data entry'!$R37</xm:f>
            <x14:dxf>
              <fill>
                <patternFill>
                  <bgColor rgb="FFFFFF00"/>
                </patternFill>
              </fill>
            </x14:dxf>
          </x14:cfRule>
          <xm:sqref>V98:AJ98</xm:sqref>
        </x14:conditionalFormatting>
        <x14:conditionalFormatting xmlns:xm="http://schemas.microsoft.com/office/excel/2006/main">
          <x14:cfRule type="expression" priority="4695549" id="{617DC2AF-C7A3-4724-8EA3-17DEFEDC8949}">
            <xm:f>$AK$4='Data entry'!$R37</xm:f>
            <x14:dxf>
              <fill>
                <patternFill>
                  <bgColor rgb="FFFF0000"/>
                </patternFill>
              </fill>
            </x14:dxf>
          </x14:cfRule>
          <xm:sqref>AI99:AU99</xm:sqref>
        </x14:conditionalFormatting>
        <x14:conditionalFormatting xmlns:xm="http://schemas.microsoft.com/office/excel/2006/main">
          <x14:cfRule type="expression" priority="4695550" id="{AA72317D-37B1-48EB-A28B-BF2AC8DC4519}">
            <xm:f>$AK$4='Data entry'!$R37</xm:f>
            <x14:dxf>
              <fill>
                <patternFill>
                  <bgColor rgb="FFFFFF00"/>
                </patternFill>
              </fill>
            </x14:dxf>
          </x14:cfRule>
          <xm:sqref>W98:AK98</xm:sqref>
        </x14:conditionalFormatting>
        <x14:conditionalFormatting xmlns:xm="http://schemas.microsoft.com/office/excel/2006/main">
          <x14:cfRule type="expression" priority="4695551" id="{6CA9FB7A-20EA-4D3A-B74C-A001F4BE810D}">
            <xm:f>$AL$4='Data entry'!$R37</xm:f>
            <x14:dxf>
              <fill>
                <patternFill>
                  <bgColor rgb="FFFF0000"/>
                </patternFill>
              </fill>
            </x14:dxf>
          </x14:cfRule>
          <xm:sqref>AJ99:AV99</xm:sqref>
        </x14:conditionalFormatting>
        <x14:conditionalFormatting xmlns:xm="http://schemas.microsoft.com/office/excel/2006/main">
          <x14:cfRule type="expression" priority="4695552" id="{81A75DAA-573F-4EF3-A640-1B992C18BEA0}">
            <xm:f>$AL$4='Data entry'!$R37</xm:f>
            <x14:dxf>
              <fill>
                <patternFill>
                  <bgColor rgb="FFFFFF00"/>
                </patternFill>
              </fill>
            </x14:dxf>
          </x14:cfRule>
          <xm:sqref>X98:AL98</xm:sqref>
        </x14:conditionalFormatting>
        <x14:conditionalFormatting xmlns:xm="http://schemas.microsoft.com/office/excel/2006/main">
          <x14:cfRule type="expression" priority="4695553" id="{3D44713E-4ABA-4CCD-9DF4-5513A9FB5E1E}">
            <xm:f>$AM$4='Data entry'!$R37</xm:f>
            <x14:dxf>
              <fill>
                <patternFill>
                  <bgColor rgb="FFFF0000"/>
                </patternFill>
              </fill>
            </x14:dxf>
          </x14:cfRule>
          <xm:sqref>AK99:AW99</xm:sqref>
        </x14:conditionalFormatting>
        <x14:conditionalFormatting xmlns:xm="http://schemas.microsoft.com/office/excel/2006/main">
          <x14:cfRule type="expression" priority="4695554" id="{05A26B51-72A7-4423-822F-2BDBC28275D0}">
            <xm:f>$AM$4='Data entry'!$R37</xm:f>
            <x14:dxf>
              <fill>
                <patternFill>
                  <bgColor rgb="FFFFFF00"/>
                </patternFill>
              </fill>
            </x14:dxf>
          </x14:cfRule>
          <xm:sqref>Y98:AM98</xm:sqref>
        </x14:conditionalFormatting>
        <x14:conditionalFormatting xmlns:xm="http://schemas.microsoft.com/office/excel/2006/main">
          <x14:cfRule type="expression" priority="4695555" id="{B8A20675-6230-4694-A7F6-6B3DC7142773}">
            <xm:f>$AN$4='Data entry'!$R37</xm:f>
            <x14:dxf>
              <fill>
                <patternFill>
                  <bgColor rgb="FFFF0000"/>
                </patternFill>
              </fill>
            </x14:dxf>
          </x14:cfRule>
          <xm:sqref>AL99:AX99</xm:sqref>
        </x14:conditionalFormatting>
        <x14:conditionalFormatting xmlns:xm="http://schemas.microsoft.com/office/excel/2006/main">
          <x14:cfRule type="expression" priority="4695556" id="{8421181C-7450-42E9-BC1D-065CCFCA960E}">
            <xm:f>$AN$4='Data entry'!$R37</xm:f>
            <x14:dxf>
              <fill>
                <patternFill>
                  <bgColor rgb="FFFFFF00"/>
                </patternFill>
              </fill>
            </x14:dxf>
          </x14:cfRule>
          <xm:sqref>Z98:AN98</xm:sqref>
        </x14:conditionalFormatting>
        <x14:conditionalFormatting xmlns:xm="http://schemas.microsoft.com/office/excel/2006/main">
          <x14:cfRule type="expression" priority="4695557" id="{067FE4BD-6EF4-4684-B6E0-35AB2F267EE7}">
            <xm:f>$AO$4='Data entry'!$R37</xm:f>
            <x14:dxf>
              <fill>
                <patternFill>
                  <bgColor rgb="FFFF0000"/>
                </patternFill>
              </fill>
            </x14:dxf>
          </x14:cfRule>
          <xm:sqref>AM99:AY99</xm:sqref>
        </x14:conditionalFormatting>
        <x14:conditionalFormatting xmlns:xm="http://schemas.microsoft.com/office/excel/2006/main">
          <x14:cfRule type="expression" priority="4695558" id="{F7653492-88D1-47AC-8BA3-0CCE65C3C2AB}">
            <xm:f>$AO$4='Data entry'!$R37</xm:f>
            <x14:dxf>
              <fill>
                <patternFill>
                  <bgColor rgb="FFFFFF00"/>
                </patternFill>
              </fill>
            </x14:dxf>
          </x14:cfRule>
          <xm:sqref>AA98:AO98</xm:sqref>
        </x14:conditionalFormatting>
        <x14:conditionalFormatting xmlns:xm="http://schemas.microsoft.com/office/excel/2006/main">
          <x14:cfRule type="expression" priority="4695559" id="{207A5E5D-B322-482E-9193-1D7318138358}">
            <xm:f>$AP$4='Data entry'!$R37</xm:f>
            <x14:dxf>
              <fill>
                <patternFill>
                  <bgColor rgb="FFFF0000"/>
                </patternFill>
              </fill>
            </x14:dxf>
          </x14:cfRule>
          <xm:sqref>AN99:AZ99</xm:sqref>
        </x14:conditionalFormatting>
        <x14:conditionalFormatting xmlns:xm="http://schemas.microsoft.com/office/excel/2006/main">
          <x14:cfRule type="expression" priority="4695560" id="{21DA638D-4CA0-4067-BFF1-240CE1A0261B}">
            <xm:f>$AP$4='Data entry'!$R37</xm:f>
            <x14:dxf>
              <fill>
                <patternFill>
                  <bgColor rgb="FFFFFF00"/>
                </patternFill>
              </fill>
            </x14:dxf>
          </x14:cfRule>
          <xm:sqref>AB98:AP98</xm:sqref>
        </x14:conditionalFormatting>
        <x14:conditionalFormatting xmlns:xm="http://schemas.microsoft.com/office/excel/2006/main">
          <x14:cfRule type="expression" priority="4695561" id="{71963D96-A42A-4B90-BFC7-6D83D37766EF}">
            <xm:f>$AQ$4='Data entry'!$R37</xm:f>
            <x14:dxf>
              <fill>
                <patternFill>
                  <bgColor rgb="FFFF0000"/>
                </patternFill>
              </fill>
            </x14:dxf>
          </x14:cfRule>
          <xm:sqref>AO99:BA99</xm:sqref>
        </x14:conditionalFormatting>
        <x14:conditionalFormatting xmlns:xm="http://schemas.microsoft.com/office/excel/2006/main">
          <x14:cfRule type="expression" priority="4695562" id="{74952595-84B6-484F-8FF6-FCC1F337DF4D}">
            <xm:f>$AQ$4='Data entry'!$R37</xm:f>
            <x14:dxf>
              <fill>
                <patternFill>
                  <bgColor rgb="FFFFFF00"/>
                </patternFill>
              </fill>
            </x14:dxf>
          </x14:cfRule>
          <xm:sqref>AC98:AQ98</xm:sqref>
        </x14:conditionalFormatting>
        <x14:conditionalFormatting xmlns:xm="http://schemas.microsoft.com/office/excel/2006/main">
          <x14:cfRule type="expression" priority="4695563" id="{8AC9C4B9-0A34-4BC0-B0F7-CA89434C4911}">
            <xm:f>$P$4='Data entry'!$R37</xm:f>
            <x14:dxf>
              <fill>
                <patternFill>
                  <bgColor rgb="FFFFFF00"/>
                </patternFill>
              </fill>
            </x14:dxf>
          </x14:cfRule>
          <xm:sqref>C98:P98</xm:sqref>
        </x14:conditionalFormatting>
        <x14:conditionalFormatting xmlns:xm="http://schemas.microsoft.com/office/excel/2006/main">
          <x14:cfRule type="expression" priority="4695564" id="{0A726775-ABFD-4F22-967C-1A4D87BA3751}">
            <xm:f>$Q$4='Data entry'!$R37</xm:f>
            <x14:dxf>
              <fill>
                <patternFill>
                  <bgColor rgb="FFFFFF00"/>
                </patternFill>
              </fill>
            </x14:dxf>
          </x14:cfRule>
          <xm:sqref>C98:Q98</xm:sqref>
        </x14:conditionalFormatting>
        <x14:conditionalFormatting xmlns:xm="http://schemas.microsoft.com/office/excel/2006/main">
          <x14:cfRule type="expression" priority="4695565" id="{3A8414BD-262C-43B5-86EE-FA6901D00453}">
            <xm:f>$Q$4='Data entry'!$R37</xm:f>
            <x14:dxf>
              <fill>
                <patternFill>
                  <bgColor rgb="FFFF0000"/>
                </patternFill>
              </fill>
            </x14:dxf>
          </x14:cfRule>
          <xm:sqref>O99:AA99</xm:sqref>
        </x14:conditionalFormatting>
        <x14:conditionalFormatting xmlns:xm="http://schemas.microsoft.com/office/excel/2006/main">
          <x14:cfRule type="expression" priority="4695566" id="{B8B5501D-F3EF-4449-9306-F652960C65F4}">
            <xm:f>$R$4='Data entry'!$R37</xm:f>
            <x14:dxf>
              <fill>
                <patternFill>
                  <bgColor rgb="FFFF0000"/>
                </patternFill>
              </fill>
            </x14:dxf>
          </x14:cfRule>
          <xm:sqref>P99:AB99</xm:sqref>
        </x14:conditionalFormatting>
        <x14:conditionalFormatting xmlns:xm="http://schemas.microsoft.com/office/excel/2006/main">
          <x14:cfRule type="expression" priority="4695567" id="{5D070DEC-B82E-4D87-B907-A3E5AB836991}">
            <xm:f>$R$4='Data entry'!$R37</xm:f>
            <x14:dxf>
              <fill>
                <patternFill>
                  <bgColor rgb="FFFFFF00"/>
                </patternFill>
              </fill>
            </x14:dxf>
          </x14:cfRule>
          <xm:sqref>D98:R98</xm:sqref>
        </x14:conditionalFormatting>
        <x14:conditionalFormatting xmlns:xm="http://schemas.microsoft.com/office/excel/2006/main">
          <x14:cfRule type="expression" priority="4695568" id="{E4D16A10-F818-4664-9FB2-F0E839824D4B}">
            <xm:f>$S$4='Data entry'!$R37</xm:f>
            <x14:dxf>
              <fill>
                <patternFill>
                  <bgColor rgb="FFFF0000"/>
                </patternFill>
              </fill>
            </x14:dxf>
          </x14:cfRule>
          <xm:sqref>Q99:AC99</xm:sqref>
        </x14:conditionalFormatting>
        <x14:conditionalFormatting xmlns:xm="http://schemas.microsoft.com/office/excel/2006/main">
          <x14:cfRule type="expression" priority="4695569" id="{1A9F9911-A3E9-4730-AFBE-AB8C596545CA}">
            <xm:f>$S$4='Data entry'!$R37</xm:f>
            <x14:dxf>
              <fill>
                <patternFill>
                  <bgColor rgb="FFFFFF00"/>
                </patternFill>
              </fill>
            </x14:dxf>
          </x14:cfRule>
          <xm:sqref>E98:S98</xm:sqref>
        </x14:conditionalFormatting>
        <x14:conditionalFormatting xmlns:xm="http://schemas.microsoft.com/office/excel/2006/main">
          <x14:cfRule type="expression" priority="4695570" id="{8BB5CD1B-B2AC-442A-9550-26DE19A62D22}">
            <xm:f>$T$4='Data entry'!$R37</xm:f>
            <x14:dxf>
              <fill>
                <patternFill>
                  <bgColor rgb="FFFF0000"/>
                </patternFill>
              </fill>
            </x14:dxf>
          </x14:cfRule>
          <xm:sqref>R99:AD99</xm:sqref>
        </x14:conditionalFormatting>
        <x14:conditionalFormatting xmlns:xm="http://schemas.microsoft.com/office/excel/2006/main">
          <x14:cfRule type="expression" priority="4695571" id="{E7B59C69-7921-4049-84A1-8B3E5F7B0598}">
            <xm:f>$T$4='Data entry'!$R37</xm:f>
            <x14:dxf>
              <fill>
                <patternFill>
                  <bgColor rgb="FFFFFF00"/>
                </patternFill>
              </fill>
            </x14:dxf>
          </x14:cfRule>
          <xm:sqref>F98:T98</xm:sqref>
        </x14:conditionalFormatting>
        <x14:conditionalFormatting xmlns:xm="http://schemas.microsoft.com/office/excel/2006/main">
          <x14:cfRule type="expression" priority="4695572" id="{238C09E5-7A3D-439D-949F-A7733073F9A2}">
            <xm:f>$U$4='Data entry'!$R37</xm:f>
            <x14:dxf>
              <fill>
                <patternFill>
                  <bgColor rgb="FFFFFF00"/>
                </patternFill>
              </fill>
            </x14:dxf>
          </x14:cfRule>
          <xm:sqref>G98:U98</xm:sqref>
        </x14:conditionalFormatting>
        <x14:conditionalFormatting xmlns:xm="http://schemas.microsoft.com/office/excel/2006/main">
          <x14:cfRule type="expression" priority="4695573" id="{DE4D4432-0A19-452A-AF14-2873FE4DF411}">
            <xm:f>$AR$4='Data entry'!$R37</xm:f>
            <x14:dxf>
              <fill>
                <patternFill>
                  <bgColor rgb="FFFF0000"/>
                </patternFill>
              </fill>
            </x14:dxf>
          </x14:cfRule>
          <xm:sqref>AP99:BB99</xm:sqref>
        </x14:conditionalFormatting>
        <x14:conditionalFormatting xmlns:xm="http://schemas.microsoft.com/office/excel/2006/main">
          <x14:cfRule type="expression" priority="4695574" id="{90D7E1FF-542D-40C8-9BD5-DFEB4CDD256F}">
            <xm:f>$AR$4='Data entry'!$R37</xm:f>
            <x14:dxf>
              <fill>
                <patternFill>
                  <bgColor rgb="FFFFFF00"/>
                </patternFill>
              </fill>
            </x14:dxf>
          </x14:cfRule>
          <xm:sqref>AD98:AR98</xm:sqref>
        </x14:conditionalFormatting>
        <x14:conditionalFormatting xmlns:xm="http://schemas.microsoft.com/office/excel/2006/main">
          <x14:cfRule type="expression" priority="4695575" id="{0EBB5305-4A4A-4205-A1FF-11160070CBC3}">
            <xm:f>$AS$4='Data entry'!$R37</xm:f>
            <x14:dxf>
              <fill>
                <patternFill>
                  <bgColor rgb="FFFF0000"/>
                </patternFill>
              </fill>
            </x14:dxf>
          </x14:cfRule>
          <xm:sqref>AQ99:BC99</xm:sqref>
        </x14:conditionalFormatting>
        <x14:conditionalFormatting xmlns:xm="http://schemas.microsoft.com/office/excel/2006/main">
          <x14:cfRule type="expression" priority="4695576" id="{AC8EB30C-4253-4CE1-820E-1801F6D8D35B}">
            <xm:f>$AS$4='Data entry'!$R37</xm:f>
            <x14:dxf>
              <fill>
                <patternFill>
                  <bgColor rgb="FFFFFF00"/>
                </patternFill>
              </fill>
            </x14:dxf>
          </x14:cfRule>
          <xm:sqref>AE98:AS98</xm:sqref>
        </x14:conditionalFormatting>
        <x14:conditionalFormatting xmlns:xm="http://schemas.microsoft.com/office/excel/2006/main">
          <x14:cfRule type="expression" priority="4695577" id="{E11744C1-7201-4272-A1B0-945490B42425}">
            <xm:f>$AT$4='Data entry'!$R37</xm:f>
            <x14:dxf>
              <fill>
                <patternFill>
                  <bgColor rgb="FFFF0000"/>
                </patternFill>
              </fill>
            </x14:dxf>
          </x14:cfRule>
          <xm:sqref>AR99:BD99</xm:sqref>
        </x14:conditionalFormatting>
        <x14:conditionalFormatting xmlns:xm="http://schemas.microsoft.com/office/excel/2006/main">
          <x14:cfRule type="expression" priority="4695578" id="{5EE2823B-E955-4EA7-B99C-0B1F77B57A69}">
            <xm:f>$AT$4='Data entry'!$R37</xm:f>
            <x14:dxf>
              <fill>
                <patternFill>
                  <bgColor rgb="FFFFFF00"/>
                </patternFill>
              </fill>
            </x14:dxf>
          </x14:cfRule>
          <xm:sqref>AF98:AT98</xm:sqref>
        </x14:conditionalFormatting>
        <x14:conditionalFormatting xmlns:xm="http://schemas.microsoft.com/office/excel/2006/main">
          <x14:cfRule type="expression" priority="4695579" id="{5737DC63-3262-4B34-900C-2AAEB255FCBA}">
            <xm:f>$AU$4='Data entry'!$R37</xm:f>
            <x14:dxf>
              <fill>
                <patternFill>
                  <bgColor rgb="FFFF0000"/>
                </patternFill>
              </fill>
            </x14:dxf>
          </x14:cfRule>
          <xm:sqref>AS99:BE99</xm:sqref>
        </x14:conditionalFormatting>
        <x14:conditionalFormatting xmlns:xm="http://schemas.microsoft.com/office/excel/2006/main">
          <x14:cfRule type="expression" priority="4695580" id="{2B5C1F1B-3C3D-4CA3-BC64-0E98422075B6}">
            <xm:f>$AU$4='Data entry'!$R37</xm:f>
            <x14:dxf>
              <fill>
                <patternFill>
                  <bgColor rgb="FFFFFF00"/>
                </patternFill>
              </fill>
            </x14:dxf>
          </x14:cfRule>
          <xm:sqref>AG98:AU98</xm:sqref>
        </x14:conditionalFormatting>
        <x14:conditionalFormatting xmlns:xm="http://schemas.microsoft.com/office/excel/2006/main">
          <x14:cfRule type="expression" priority="4695581" id="{B87A1285-B003-4855-8F4B-53C391BA10E6}">
            <xm:f>$AV$4='Data entry'!$R37</xm:f>
            <x14:dxf>
              <fill>
                <patternFill>
                  <bgColor rgb="FFFF0000"/>
                </patternFill>
              </fill>
            </x14:dxf>
          </x14:cfRule>
          <xm:sqref>AT99:BF99</xm:sqref>
        </x14:conditionalFormatting>
        <x14:conditionalFormatting xmlns:xm="http://schemas.microsoft.com/office/excel/2006/main">
          <x14:cfRule type="expression" priority="4695582" id="{338EE31C-78DB-4818-B837-0380F9E457FA}">
            <xm:f>$AV$4='Data entry'!$R37</xm:f>
            <x14:dxf>
              <fill>
                <patternFill>
                  <bgColor rgb="FFFFFF00"/>
                </patternFill>
              </fill>
            </x14:dxf>
          </x14:cfRule>
          <xm:sqref>AH98:AV98</xm:sqref>
        </x14:conditionalFormatting>
        <x14:conditionalFormatting xmlns:xm="http://schemas.microsoft.com/office/excel/2006/main">
          <x14:cfRule type="expression" priority="4695583" id="{5C40EA66-2801-4C91-B885-BF6A1ECFC35C}">
            <xm:f>$AW$4='Data entry'!$R37</xm:f>
            <x14:dxf>
              <fill>
                <patternFill>
                  <bgColor rgb="FFFF0000"/>
                </patternFill>
              </fill>
            </x14:dxf>
          </x14:cfRule>
          <xm:sqref>AU99:BG99</xm:sqref>
        </x14:conditionalFormatting>
        <x14:conditionalFormatting xmlns:xm="http://schemas.microsoft.com/office/excel/2006/main">
          <x14:cfRule type="expression" priority="4695584" id="{51BCD5CE-DF86-4C2F-8A81-DDA1EFD6C8F7}">
            <xm:f>$AW$4='Data entry'!$R37</xm:f>
            <x14:dxf>
              <fill>
                <patternFill>
                  <bgColor rgb="FFFFFF00"/>
                </patternFill>
              </fill>
            </x14:dxf>
          </x14:cfRule>
          <xm:sqref>AI98:AW98</xm:sqref>
        </x14:conditionalFormatting>
        <x14:conditionalFormatting xmlns:xm="http://schemas.microsoft.com/office/excel/2006/main">
          <x14:cfRule type="expression" priority="4695585" id="{DC2ED5A0-8917-4877-8CD3-9DF9BE5993C9}">
            <xm:f>$AX$4='Data entry'!$R37</xm:f>
            <x14:dxf>
              <fill>
                <patternFill>
                  <bgColor rgb="FFFF0000"/>
                </patternFill>
              </fill>
            </x14:dxf>
          </x14:cfRule>
          <xm:sqref>AV99:BH99</xm:sqref>
        </x14:conditionalFormatting>
        <x14:conditionalFormatting xmlns:xm="http://schemas.microsoft.com/office/excel/2006/main">
          <x14:cfRule type="expression" priority="4695586" id="{59B31869-20F9-45BD-BC80-0A6C8945CE2C}">
            <xm:f>$AX$4='Data entry'!$R37</xm:f>
            <x14:dxf>
              <fill>
                <patternFill>
                  <bgColor rgb="FFFFFF00"/>
                </patternFill>
              </fill>
            </x14:dxf>
          </x14:cfRule>
          <xm:sqref>AJ98:AX98</xm:sqref>
        </x14:conditionalFormatting>
        <x14:conditionalFormatting xmlns:xm="http://schemas.microsoft.com/office/excel/2006/main">
          <x14:cfRule type="expression" priority="4695587" id="{D4208FA0-4262-4037-934C-6D0742B2AD8E}">
            <xm:f>$AY$4='Data entry'!$R37</xm:f>
            <x14:dxf>
              <fill>
                <patternFill>
                  <bgColor rgb="FFFF0000"/>
                </patternFill>
              </fill>
            </x14:dxf>
          </x14:cfRule>
          <xm:sqref>AW99:BI99</xm:sqref>
        </x14:conditionalFormatting>
        <x14:conditionalFormatting xmlns:xm="http://schemas.microsoft.com/office/excel/2006/main">
          <x14:cfRule type="expression" priority="4695588" id="{04D6E423-18C7-42B2-A67D-F49D8E62B571}">
            <xm:f>$AY$4='Data entry'!$R37</xm:f>
            <x14:dxf>
              <fill>
                <patternFill>
                  <bgColor rgb="FFFFFF00"/>
                </patternFill>
              </fill>
            </x14:dxf>
          </x14:cfRule>
          <xm:sqref>AK98:AY98</xm:sqref>
        </x14:conditionalFormatting>
        <x14:conditionalFormatting xmlns:xm="http://schemas.microsoft.com/office/excel/2006/main">
          <x14:cfRule type="expression" priority="4695589" id="{A931C203-6E4B-4EBD-A2F4-1876881F48D4}">
            <xm:f>$AZ$4='Data entry'!$R37</xm:f>
            <x14:dxf>
              <fill>
                <patternFill>
                  <bgColor rgb="FFFF0000"/>
                </patternFill>
              </fill>
            </x14:dxf>
          </x14:cfRule>
          <xm:sqref>AX99:BJ99</xm:sqref>
        </x14:conditionalFormatting>
        <x14:conditionalFormatting xmlns:xm="http://schemas.microsoft.com/office/excel/2006/main">
          <x14:cfRule type="expression" priority="4695590" id="{092D9100-E652-40FE-8CAA-720DC0681250}">
            <xm:f>$AZ$4='Data entry'!$R37</xm:f>
            <x14:dxf>
              <fill>
                <patternFill>
                  <bgColor rgb="FFFFFF00"/>
                </patternFill>
              </fill>
            </x14:dxf>
          </x14:cfRule>
          <xm:sqref>AL98:AZ98</xm:sqref>
        </x14:conditionalFormatting>
        <x14:conditionalFormatting xmlns:xm="http://schemas.microsoft.com/office/excel/2006/main">
          <x14:cfRule type="expression" priority="4695591" id="{A3C7E6BE-A225-483C-A983-A915DB662C52}">
            <xm:f>$BA$4='Data entry'!$R37</xm:f>
            <x14:dxf>
              <fill>
                <patternFill>
                  <bgColor rgb="FFFF0000"/>
                </patternFill>
              </fill>
            </x14:dxf>
          </x14:cfRule>
          <xm:sqref>AY99:BK99</xm:sqref>
        </x14:conditionalFormatting>
        <x14:conditionalFormatting xmlns:xm="http://schemas.microsoft.com/office/excel/2006/main">
          <x14:cfRule type="expression" priority="4695592" id="{F5CF569A-8AFA-4CFF-8BD3-F04D8927A99F}">
            <xm:f>$BA$4='Data entry'!$R37</xm:f>
            <x14:dxf>
              <fill>
                <patternFill>
                  <bgColor rgb="FFFFFF00"/>
                </patternFill>
              </fill>
            </x14:dxf>
          </x14:cfRule>
          <xm:sqref>AM98:BA98</xm:sqref>
        </x14:conditionalFormatting>
        <x14:conditionalFormatting xmlns:xm="http://schemas.microsoft.com/office/excel/2006/main">
          <x14:cfRule type="expression" priority="4695593" id="{E4DAC94A-7983-4BFB-A87B-45B58561841A}">
            <xm:f>$BB$4='Data entry'!$R37</xm:f>
            <x14:dxf>
              <fill>
                <patternFill>
                  <bgColor rgb="FFFF0000"/>
                </patternFill>
              </fill>
            </x14:dxf>
          </x14:cfRule>
          <xm:sqref>AZ99:BL99</xm:sqref>
        </x14:conditionalFormatting>
        <x14:conditionalFormatting xmlns:xm="http://schemas.microsoft.com/office/excel/2006/main">
          <x14:cfRule type="expression" priority="4695594" id="{E63849C5-F39B-4B0E-8F8A-B532EDF2CBAE}">
            <xm:f>$BB$4='Data entry'!$R37</xm:f>
            <x14:dxf>
              <fill>
                <patternFill>
                  <bgColor rgb="FFFFFF00"/>
                </patternFill>
              </fill>
            </x14:dxf>
          </x14:cfRule>
          <xm:sqref>AN98:BB98</xm:sqref>
        </x14:conditionalFormatting>
        <x14:conditionalFormatting xmlns:xm="http://schemas.microsoft.com/office/excel/2006/main">
          <x14:cfRule type="expression" priority="4695595" id="{4FDC32D3-C1F5-455D-9AA4-A03359B72526}">
            <xm:f>$BC$4='Data entry'!$R37</xm:f>
            <x14:dxf>
              <fill>
                <patternFill>
                  <bgColor rgb="FFFF0000"/>
                </patternFill>
              </fill>
            </x14:dxf>
          </x14:cfRule>
          <xm:sqref>BA99:BM99</xm:sqref>
        </x14:conditionalFormatting>
        <x14:conditionalFormatting xmlns:xm="http://schemas.microsoft.com/office/excel/2006/main">
          <x14:cfRule type="expression" priority="4695596" id="{5F0D0C60-B233-4C56-B05D-98C99990877F}">
            <xm:f>$BC$4='Data entry'!$R37</xm:f>
            <x14:dxf>
              <fill>
                <patternFill>
                  <bgColor rgb="FFFFFF00"/>
                </patternFill>
              </fill>
            </x14:dxf>
          </x14:cfRule>
          <xm:sqref>AO98:BC98</xm:sqref>
        </x14:conditionalFormatting>
        <x14:conditionalFormatting xmlns:xm="http://schemas.microsoft.com/office/excel/2006/main">
          <x14:cfRule type="expression" priority="4695597" id="{9EBCB60F-8135-43B6-A0F3-548D4092CC98}">
            <xm:f>$BD$4='Data entry'!$R37</xm:f>
            <x14:dxf>
              <fill>
                <patternFill>
                  <bgColor rgb="FFFF0000"/>
                </patternFill>
              </fill>
            </x14:dxf>
          </x14:cfRule>
          <xm:sqref>BB99:BN99</xm:sqref>
        </x14:conditionalFormatting>
        <x14:conditionalFormatting xmlns:xm="http://schemas.microsoft.com/office/excel/2006/main">
          <x14:cfRule type="expression" priority="4695598" id="{961AF346-4A73-41ED-9A8D-27D431B09C05}">
            <xm:f>$BD$4='Data entry'!$R37</xm:f>
            <x14:dxf>
              <fill>
                <patternFill>
                  <bgColor rgb="FFFFFF00"/>
                </patternFill>
              </fill>
            </x14:dxf>
          </x14:cfRule>
          <xm:sqref>AP98:BD98</xm:sqref>
        </x14:conditionalFormatting>
        <x14:conditionalFormatting xmlns:xm="http://schemas.microsoft.com/office/excel/2006/main">
          <x14:cfRule type="expression" priority="4695599" id="{5A887026-27CD-4F8C-8BA6-1E92704C1CA6}">
            <xm:f>$BE$4='Data entry'!$R37</xm:f>
            <x14:dxf>
              <fill>
                <patternFill>
                  <bgColor rgb="FFFF0000"/>
                </patternFill>
              </fill>
            </x14:dxf>
          </x14:cfRule>
          <xm:sqref>BC99:BO99</xm:sqref>
        </x14:conditionalFormatting>
        <x14:conditionalFormatting xmlns:xm="http://schemas.microsoft.com/office/excel/2006/main">
          <x14:cfRule type="expression" priority="4695600" id="{7F46217B-A1E9-4515-B31E-E756FCD7C6D9}">
            <xm:f>$BE$4='Data entry'!$R37</xm:f>
            <x14:dxf>
              <fill>
                <patternFill>
                  <bgColor rgb="FFFFFF00"/>
                </patternFill>
              </fill>
            </x14:dxf>
          </x14:cfRule>
          <xm:sqref>AP98:BE98</xm:sqref>
        </x14:conditionalFormatting>
        <x14:conditionalFormatting xmlns:xm="http://schemas.microsoft.com/office/excel/2006/main">
          <x14:cfRule type="expression" priority="4695601" id="{F4D9285C-8CA0-4EF1-943E-6A462D47CC77}">
            <xm:f>$BF$4='Data entry'!$R37</xm:f>
            <x14:dxf>
              <fill>
                <patternFill>
                  <bgColor rgb="FFFF0000"/>
                </patternFill>
              </fill>
            </x14:dxf>
          </x14:cfRule>
          <xm:sqref>BD99:BP99</xm:sqref>
        </x14:conditionalFormatting>
        <x14:conditionalFormatting xmlns:xm="http://schemas.microsoft.com/office/excel/2006/main">
          <x14:cfRule type="expression" priority="4695602" id="{B9E4407D-651D-4DC0-9D61-3271D62A65E9}">
            <xm:f>$BF$4='Data entry'!$R37</xm:f>
            <x14:dxf>
              <fill>
                <patternFill>
                  <bgColor rgb="FFFFFF00"/>
                </patternFill>
              </fill>
            </x14:dxf>
          </x14:cfRule>
          <xm:sqref>AR98:BF98</xm:sqref>
        </x14:conditionalFormatting>
        <x14:conditionalFormatting xmlns:xm="http://schemas.microsoft.com/office/excel/2006/main">
          <x14:cfRule type="expression" priority="4695603" id="{4CDC062F-DDFF-4556-B941-08F919727F69}">
            <xm:f>$BG$4='Data entry'!$R37</xm:f>
            <x14:dxf>
              <fill>
                <patternFill>
                  <bgColor rgb="FFFF0000"/>
                </patternFill>
              </fill>
            </x14:dxf>
          </x14:cfRule>
          <xm:sqref>BE99:BQ99</xm:sqref>
        </x14:conditionalFormatting>
        <x14:conditionalFormatting xmlns:xm="http://schemas.microsoft.com/office/excel/2006/main">
          <x14:cfRule type="expression" priority="4695604" id="{789184FA-9055-433B-8A1B-92C7ED59E81F}">
            <xm:f>$BG$4='Data entry'!$R37</xm:f>
            <x14:dxf>
              <fill>
                <patternFill>
                  <bgColor rgb="FFFFFF00"/>
                </patternFill>
              </fill>
            </x14:dxf>
          </x14:cfRule>
          <xm:sqref>AS98:BG98</xm:sqref>
        </x14:conditionalFormatting>
        <x14:conditionalFormatting xmlns:xm="http://schemas.microsoft.com/office/excel/2006/main">
          <x14:cfRule type="expression" priority="4695605" id="{58651E5C-09C9-46C1-B95C-E8A578A49E15}">
            <xm:f>$BH$4='Data entry'!$R37</xm:f>
            <x14:dxf>
              <fill>
                <patternFill>
                  <bgColor rgb="FFFFFF00"/>
                </patternFill>
              </fill>
            </x14:dxf>
          </x14:cfRule>
          <xm:sqref>AT98:BH98</xm:sqref>
        </x14:conditionalFormatting>
        <x14:conditionalFormatting xmlns:xm="http://schemas.microsoft.com/office/excel/2006/main">
          <x14:cfRule type="expression" priority="4695606" id="{97B30B86-8311-4DC0-A533-8C0D53F37839}">
            <xm:f>$BH$4='Data entry'!$R37</xm:f>
            <x14:dxf>
              <fill>
                <patternFill>
                  <bgColor rgb="FFFF0000"/>
                </patternFill>
              </fill>
            </x14:dxf>
          </x14:cfRule>
          <xm:sqref>BF99:BR99</xm:sqref>
        </x14:conditionalFormatting>
        <x14:conditionalFormatting xmlns:xm="http://schemas.microsoft.com/office/excel/2006/main">
          <x14:cfRule type="expression" priority="4695607" id="{78344C0C-5AEA-40B1-A20C-6D77DF58E1F5}">
            <xm:f>$BI$4='Data entry'!$R37</xm:f>
            <x14:dxf>
              <fill>
                <patternFill>
                  <bgColor rgb="FFFFFF00"/>
                </patternFill>
              </fill>
            </x14:dxf>
          </x14:cfRule>
          <xm:sqref>AU98:BI98</xm:sqref>
        </x14:conditionalFormatting>
        <x14:conditionalFormatting xmlns:xm="http://schemas.microsoft.com/office/excel/2006/main">
          <x14:cfRule type="expression" priority="4695608" id="{A9CE044F-482E-4F25-B28F-89ACC58502B1}">
            <xm:f>$BI$4='Data entry'!$R37</xm:f>
            <x14:dxf>
              <fill>
                <patternFill>
                  <bgColor rgb="FFFF0000"/>
                </patternFill>
              </fill>
            </x14:dxf>
          </x14:cfRule>
          <xm:sqref>BG99:BS99</xm:sqref>
        </x14:conditionalFormatting>
        <x14:conditionalFormatting xmlns:xm="http://schemas.microsoft.com/office/excel/2006/main">
          <x14:cfRule type="expression" priority="4695609" id="{F63BE0EB-3C71-4456-BEF0-11180AB7A8BB}">
            <xm:f>$BJ$4='Data entry'!$R37</xm:f>
            <x14:dxf>
              <fill>
                <patternFill>
                  <bgColor rgb="FFFFFF00"/>
                </patternFill>
              </fill>
            </x14:dxf>
          </x14:cfRule>
          <xm:sqref>AV98:BJ98</xm:sqref>
        </x14:conditionalFormatting>
        <x14:conditionalFormatting xmlns:xm="http://schemas.microsoft.com/office/excel/2006/main">
          <x14:cfRule type="expression" priority="4695610" id="{478A5DCB-1DAA-4497-A6CC-B4F01FB96D10}">
            <xm:f>$BJ$4='Data entry'!$R37</xm:f>
            <x14:dxf>
              <fill>
                <patternFill>
                  <bgColor rgb="FFFF0000"/>
                </patternFill>
              </fill>
            </x14:dxf>
          </x14:cfRule>
          <xm:sqref>BH99:BT99</xm:sqref>
        </x14:conditionalFormatting>
        <x14:conditionalFormatting xmlns:xm="http://schemas.microsoft.com/office/excel/2006/main">
          <x14:cfRule type="expression" priority="4695611" id="{CDE4AD5B-65A6-4FA4-9EC0-8D05F22312A9}">
            <xm:f>$BK$4='Data entry'!$R37</xm:f>
            <x14:dxf>
              <fill>
                <patternFill>
                  <bgColor rgb="FFFF0000"/>
                </patternFill>
              </fill>
            </x14:dxf>
          </x14:cfRule>
          <xm:sqref>BI99:BU99</xm:sqref>
        </x14:conditionalFormatting>
        <x14:conditionalFormatting xmlns:xm="http://schemas.microsoft.com/office/excel/2006/main">
          <x14:cfRule type="expression" priority="4695612" id="{AB32E790-6CD8-4D11-9A69-57D785FE4BBC}">
            <xm:f>$BK$4='Data entry'!$R37</xm:f>
            <x14:dxf>
              <fill>
                <patternFill>
                  <bgColor rgb="FFFFFF00"/>
                </patternFill>
              </fill>
            </x14:dxf>
          </x14:cfRule>
          <xm:sqref>AW98:BK98</xm:sqref>
        </x14:conditionalFormatting>
        <x14:conditionalFormatting xmlns:xm="http://schemas.microsoft.com/office/excel/2006/main">
          <x14:cfRule type="expression" priority="4695613" id="{99810EB9-805C-43D8-852A-EEECE7874CDB}">
            <xm:f>$BL$4='Data entry'!$R37</xm:f>
            <x14:dxf>
              <fill>
                <patternFill>
                  <bgColor rgb="FFFF0000"/>
                </patternFill>
              </fill>
            </x14:dxf>
          </x14:cfRule>
          <xm:sqref>BJ99:BV99</xm:sqref>
        </x14:conditionalFormatting>
        <x14:conditionalFormatting xmlns:xm="http://schemas.microsoft.com/office/excel/2006/main">
          <x14:cfRule type="expression" priority="4695614" id="{BF5F5475-4E46-479C-97A6-D5175F5D1803}">
            <xm:f>$BL$4='Data entry'!$R37</xm:f>
            <x14:dxf>
              <fill>
                <patternFill>
                  <bgColor rgb="FFFFFF00"/>
                </patternFill>
              </fill>
            </x14:dxf>
          </x14:cfRule>
          <xm:sqref>AX98:BL98</xm:sqref>
        </x14:conditionalFormatting>
        <x14:conditionalFormatting xmlns:xm="http://schemas.microsoft.com/office/excel/2006/main">
          <x14:cfRule type="expression" priority="4695615" id="{B86FDF2F-16C9-46B1-847E-7EA1A8A34B9D}">
            <xm:f>$BM$4='Data entry'!$R37</xm:f>
            <x14:dxf>
              <fill>
                <patternFill>
                  <bgColor rgb="FFFF0000"/>
                </patternFill>
              </fill>
            </x14:dxf>
          </x14:cfRule>
          <xm:sqref>BK99:BW99</xm:sqref>
        </x14:conditionalFormatting>
        <x14:conditionalFormatting xmlns:xm="http://schemas.microsoft.com/office/excel/2006/main">
          <x14:cfRule type="expression" priority="4695616" id="{72FD189F-4CED-400D-9FEF-21A328970A4D}">
            <xm:f>$BM$4='Data entry'!$R37</xm:f>
            <x14:dxf>
              <fill>
                <patternFill>
                  <bgColor rgb="FFFFFF00"/>
                </patternFill>
              </fill>
            </x14:dxf>
          </x14:cfRule>
          <xm:sqref>AY98:BM98</xm:sqref>
        </x14:conditionalFormatting>
        <x14:conditionalFormatting xmlns:xm="http://schemas.microsoft.com/office/excel/2006/main">
          <x14:cfRule type="expression" priority="4695617" id="{BBBBF859-D5A7-4F55-BFBF-8A77E3357590}">
            <xm:f>$BN$4='Data entry'!$R37</xm:f>
            <x14:dxf>
              <fill>
                <patternFill>
                  <bgColor rgb="FFFF0000"/>
                </patternFill>
              </fill>
            </x14:dxf>
          </x14:cfRule>
          <xm:sqref>BL99:BX99</xm:sqref>
        </x14:conditionalFormatting>
        <x14:conditionalFormatting xmlns:xm="http://schemas.microsoft.com/office/excel/2006/main">
          <x14:cfRule type="expression" priority="4695618" id="{50CB1D75-0FD5-4D24-92B1-E8A41DC6575C}">
            <xm:f>$BN$4='Data entry'!$R37</xm:f>
            <x14:dxf>
              <fill>
                <patternFill>
                  <bgColor rgb="FFFFFF00"/>
                </patternFill>
              </fill>
            </x14:dxf>
          </x14:cfRule>
          <xm:sqref>AZ98:BN98</xm:sqref>
        </x14:conditionalFormatting>
        <x14:conditionalFormatting xmlns:xm="http://schemas.microsoft.com/office/excel/2006/main">
          <x14:cfRule type="expression" priority="4695619" id="{9EF3226D-E8FC-496B-A6FF-71776AEA54D1}">
            <xm:f>$BO$4='Data entry'!$R37</xm:f>
            <x14:dxf>
              <fill>
                <patternFill>
                  <bgColor rgb="FFFF0000"/>
                </patternFill>
              </fill>
            </x14:dxf>
          </x14:cfRule>
          <xm:sqref>BM99:BY99</xm:sqref>
        </x14:conditionalFormatting>
        <x14:conditionalFormatting xmlns:xm="http://schemas.microsoft.com/office/excel/2006/main">
          <x14:cfRule type="expression" priority="4695620" id="{3B86C801-ECFE-4D05-8AA5-1581116BAFBC}">
            <xm:f>$BO$4='Data entry'!$R37</xm:f>
            <x14:dxf>
              <fill>
                <patternFill>
                  <bgColor rgb="FFFFFF00"/>
                </patternFill>
              </fill>
            </x14:dxf>
          </x14:cfRule>
          <xm:sqref>BA98:BO98</xm:sqref>
        </x14:conditionalFormatting>
        <x14:conditionalFormatting xmlns:xm="http://schemas.microsoft.com/office/excel/2006/main">
          <x14:cfRule type="expression" priority="4695621" id="{058A23EC-3371-4A02-9F20-1ECA603AC6BC}">
            <xm:f>$BP$4='Data entry'!$R37</xm:f>
            <x14:dxf>
              <fill>
                <patternFill>
                  <bgColor rgb="FFFF0000"/>
                </patternFill>
              </fill>
            </x14:dxf>
          </x14:cfRule>
          <xm:sqref>BN99:BZ99</xm:sqref>
        </x14:conditionalFormatting>
        <x14:conditionalFormatting xmlns:xm="http://schemas.microsoft.com/office/excel/2006/main">
          <x14:cfRule type="expression" priority="4695622" id="{3E711E31-3992-4555-AB22-87133D60CD15}">
            <xm:f>$BP$4='Data entry'!$R37</xm:f>
            <x14:dxf>
              <fill>
                <patternFill>
                  <bgColor rgb="FFFFFF00"/>
                </patternFill>
              </fill>
            </x14:dxf>
          </x14:cfRule>
          <xm:sqref>BB98:BP98</xm:sqref>
        </x14:conditionalFormatting>
        <x14:conditionalFormatting xmlns:xm="http://schemas.microsoft.com/office/excel/2006/main">
          <x14:cfRule type="expression" priority="4695623" id="{23E9F8B9-37D5-4730-9453-6F23E8ECBBE3}">
            <xm:f>$BQ$4='Data entry'!$R37</xm:f>
            <x14:dxf>
              <fill>
                <patternFill>
                  <bgColor rgb="FFFFFF00"/>
                </patternFill>
              </fill>
            </x14:dxf>
          </x14:cfRule>
          <xm:sqref>BC98:BQ98</xm:sqref>
        </x14:conditionalFormatting>
        <x14:conditionalFormatting xmlns:xm="http://schemas.microsoft.com/office/excel/2006/main">
          <x14:cfRule type="expression" priority="4695624" id="{BCFD92F6-AAD3-44FD-BC61-A292A81B883E}">
            <xm:f>$BQ$4='Data entry'!$R37</xm:f>
            <x14:dxf>
              <fill>
                <patternFill>
                  <bgColor rgb="FFFF0000"/>
                </patternFill>
              </fill>
            </x14:dxf>
          </x14:cfRule>
          <xm:sqref>BO99:CA99</xm:sqref>
        </x14:conditionalFormatting>
        <x14:conditionalFormatting xmlns:xm="http://schemas.microsoft.com/office/excel/2006/main">
          <x14:cfRule type="expression" priority="4695625" id="{357D60E5-F356-477E-8020-A18F42C02832}">
            <xm:f>$BR$4='Data entry'!$R37</xm:f>
            <x14:dxf>
              <fill>
                <patternFill>
                  <bgColor rgb="FFFFFF00"/>
                </patternFill>
              </fill>
            </x14:dxf>
          </x14:cfRule>
          <xm:sqref>BD98:BR98</xm:sqref>
        </x14:conditionalFormatting>
        <x14:conditionalFormatting xmlns:xm="http://schemas.microsoft.com/office/excel/2006/main">
          <x14:cfRule type="expression" priority="4695626" id="{DA2B6511-43B3-432D-B6AA-1DB1188B90A6}">
            <xm:f>$BR$4='Data entry'!$R37</xm:f>
            <x14:dxf>
              <fill>
                <patternFill>
                  <bgColor rgb="FFFF0000"/>
                </patternFill>
              </fill>
            </x14:dxf>
          </x14:cfRule>
          <xm:sqref>BP99:CB99</xm:sqref>
        </x14:conditionalFormatting>
        <x14:conditionalFormatting xmlns:xm="http://schemas.microsoft.com/office/excel/2006/main">
          <x14:cfRule type="expression" priority="4695627" id="{0D5F64E4-4136-4BFA-B833-CC8578525D9C}">
            <xm:f>$BS$4='Data entry'!$R37</xm:f>
            <x14:dxf>
              <fill>
                <patternFill>
                  <bgColor rgb="FFFFFF00"/>
                </patternFill>
              </fill>
            </x14:dxf>
          </x14:cfRule>
          <xm:sqref>BE98:BS98</xm:sqref>
        </x14:conditionalFormatting>
        <x14:conditionalFormatting xmlns:xm="http://schemas.microsoft.com/office/excel/2006/main">
          <x14:cfRule type="expression" priority="4695628" id="{AC94D468-F078-4AE2-8771-102996E07B09}">
            <xm:f>$BS$4='Data entry'!$R37</xm:f>
            <x14:dxf>
              <fill>
                <patternFill>
                  <bgColor rgb="FFFF0000"/>
                </patternFill>
              </fill>
            </x14:dxf>
          </x14:cfRule>
          <xm:sqref>BQ99:CC99</xm:sqref>
        </x14:conditionalFormatting>
        <x14:conditionalFormatting xmlns:xm="http://schemas.microsoft.com/office/excel/2006/main">
          <x14:cfRule type="expression" priority="4695629" id="{10E78F76-181E-4F19-9F89-7DD36D3EFE30}">
            <xm:f>$BT$4='Data entry'!$R37</xm:f>
            <x14:dxf>
              <fill>
                <patternFill>
                  <bgColor rgb="FFFFFF00"/>
                </patternFill>
              </fill>
            </x14:dxf>
          </x14:cfRule>
          <xm:sqref>BF98:BT98</xm:sqref>
        </x14:conditionalFormatting>
        <x14:conditionalFormatting xmlns:xm="http://schemas.microsoft.com/office/excel/2006/main">
          <x14:cfRule type="expression" priority="4695630" id="{6A5FADC6-9512-4EFB-90A5-7B5244D10D1F}">
            <xm:f>$BT$4='Data entry'!$R37</xm:f>
            <x14:dxf>
              <fill>
                <patternFill>
                  <bgColor rgb="FFFF0000"/>
                </patternFill>
              </fill>
            </x14:dxf>
          </x14:cfRule>
          <xm:sqref>BR99:CC99</xm:sqref>
        </x14:conditionalFormatting>
        <x14:conditionalFormatting xmlns:xm="http://schemas.microsoft.com/office/excel/2006/main">
          <x14:cfRule type="expression" priority="4695631" id="{A51139D1-8841-4B96-B8CB-DFE3808765CF}">
            <xm:f>$BU$4='Data entry'!$R37</xm:f>
            <x14:dxf>
              <fill>
                <patternFill>
                  <bgColor rgb="FFFFFF00"/>
                </patternFill>
              </fill>
            </x14:dxf>
          </x14:cfRule>
          <xm:sqref>BG98:BU98</xm:sqref>
        </x14:conditionalFormatting>
        <x14:conditionalFormatting xmlns:xm="http://schemas.microsoft.com/office/excel/2006/main">
          <x14:cfRule type="expression" priority="4695632" id="{55CA7258-760F-4BFF-ACB5-A70FEB3E7981}">
            <xm:f>$BU$4='Data entry'!$R37</xm:f>
            <x14:dxf>
              <fill>
                <patternFill>
                  <bgColor rgb="FFFF0000"/>
                </patternFill>
              </fill>
            </x14:dxf>
          </x14:cfRule>
          <xm:sqref>BS99:CC99</xm:sqref>
        </x14:conditionalFormatting>
        <x14:conditionalFormatting xmlns:xm="http://schemas.microsoft.com/office/excel/2006/main">
          <x14:cfRule type="expression" priority="4695633" id="{A922B218-64DB-4CBB-9AB8-FE0EBB44E09E}">
            <xm:f>$BV$4='Data entry'!$R37</xm:f>
            <x14:dxf>
              <fill>
                <patternFill>
                  <bgColor rgb="FFFFFF00"/>
                </patternFill>
              </fill>
            </x14:dxf>
          </x14:cfRule>
          <xm:sqref>BH98:BV98</xm:sqref>
        </x14:conditionalFormatting>
        <x14:conditionalFormatting xmlns:xm="http://schemas.microsoft.com/office/excel/2006/main">
          <x14:cfRule type="expression" priority="4695634" id="{C98E908A-CD31-4778-B41C-7AFB9DBE639A}">
            <xm:f>$BV$4='Data entry'!$R37</xm:f>
            <x14:dxf>
              <fill>
                <patternFill>
                  <bgColor rgb="FFFF0000"/>
                </patternFill>
              </fill>
            </x14:dxf>
          </x14:cfRule>
          <xm:sqref>BT99:CC99</xm:sqref>
        </x14:conditionalFormatting>
        <x14:conditionalFormatting xmlns:xm="http://schemas.microsoft.com/office/excel/2006/main">
          <x14:cfRule type="expression" priority="4695635" id="{465CCCA3-B4DB-4B61-8AC7-8A5E4CEC9E3F}">
            <xm:f>$BW$4='Data entry'!$R37</xm:f>
            <x14:dxf>
              <fill>
                <patternFill>
                  <bgColor rgb="FFFFFF00"/>
                </patternFill>
              </fill>
            </x14:dxf>
          </x14:cfRule>
          <xm:sqref>BI98:BW98</xm:sqref>
        </x14:conditionalFormatting>
        <x14:conditionalFormatting xmlns:xm="http://schemas.microsoft.com/office/excel/2006/main">
          <x14:cfRule type="expression" priority="4695636" id="{37566F97-6D06-400B-A709-FE657B07687F}">
            <xm:f>$BW$4='Data entry'!$R37</xm:f>
            <x14:dxf>
              <fill>
                <patternFill>
                  <bgColor rgb="FFFF0000"/>
                </patternFill>
              </fill>
            </x14:dxf>
          </x14:cfRule>
          <xm:sqref>BU99:CC99</xm:sqref>
        </x14:conditionalFormatting>
        <x14:conditionalFormatting xmlns:xm="http://schemas.microsoft.com/office/excel/2006/main">
          <x14:cfRule type="expression" priority="4695637" id="{D8FBA3AC-5CF0-4E45-97CA-1D4DEE729ADA}">
            <xm:f>$BX$4='Data entry'!$R37</xm:f>
            <x14:dxf>
              <fill>
                <patternFill>
                  <bgColor rgb="FFFFFF00"/>
                </patternFill>
              </fill>
            </x14:dxf>
          </x14:cfRule>
          <xm:sqref>BJ98:BX98</xm:sqref>
        </x14:conditionalFormatting>
        <x14:conditionalFormatting xmlns:xm="http://schemas.microsoft.com/office/excel/2006/main">
          <x14:cfRule type="expression" priority="4695638" id="{E077C84B-A94F-431D-B232-4AFCC7C64F54}">
            <xm:f>$BX$4='Data entry'!$R37</xm:f>
            <x14:dxf>
              <fill>
                <patternFill>
                  <bgColor rgb="FFFF0000"/>
                </patternFill>
              </fill>
            </x14:dxf>
          </x14:cfRule>
          <xm:sqref>BV99:CC99</xm:sqref>
        </x14:conditionalFormatting>
        <x14:conditionalFormatting xmlns:xm="http://schemas.microsoft.com/office/excel/2006/main">
          <x14:cfRule type="expression" priority="4695639" id="{63783BA8-0C97-4A44-86FD-7A2BCF1B9957}">
            <xm:f>$BY$4='Data entry'!$R37</xm:f>
            <x14:dxf>
              <fill>
                <patternFill>
                  <bgColor rgb="FFFFFF00"/>
                </patternFill>
              </fill>
            </x14:dxf>
          </x14:cfRule>
          <xm:sqref>BK98:BY98</xm:sqref>
        </x14:conditionalFormatting>
        <x14:conditionalFormatting xmlns:xm="http://schemas.microsoft.com/office/excel/2006/main">
          <x14:cfRule type="expression" priority="4695640" id="{BB8DB8B4-B71B-46D2-AEE7-346F16103F74}">
            <xm:f>$BY$4='Data entry'!$R37</xm:f>
            <x14:dxf>
              <fill>
                <patternFill>
                  <bgColor rgb="FFFF0000"/>
                </patternFill>
              </fill>
            </x14:dxf>
          </x14:cfRule>
          <xm:sqref>BW99:CC99</xm:sqref>
        </x14:conditionalFormatting>
        <x14:conditionalFormatting xmlns:xm="http://schemas.microsoft.com/office/excel/2006/main">
          <x14:cfRule type="expression" priority="4695641" id="{1B638B98-2B06-4FEB-90C1-446A3E0A3979}">
            <xm:f>$BZ$4='Data entry'!$R37</xm:f>
            <x14:dxf>
              <fill>
                <patternFill>
                  <bgColor rgb="FFFFFF00"/>
                </patternFill>
              </fill>
            </x14:dxf>
          </x14:cfRule>
          <xm:sqref>BL98:BZ98</xm:sqref>
        </x14:conditionalFormatting>
        <x14:conditionalFormatting xmlns:xm="http://schemas.microsoft.com/office/excel/2006/main">
          <x14:cfRule type="expression" priority="4695642" id="{D3A0A2F8-D1B2-4DC5-B2A9-0EF53074E685}">
            <xm:f>$BZ$4='Data entry'!$R37</xm:f>
            <x14:dxf>
              <fill>
                <patternFill>
                  <bgColor rgb="FFFF0000"/>
                </patternFill>
              </fill>
            </x14:dxf>
          </x14:cfRule>
          <xm:sqref>BX99:CC99</xm:sqref>
        </x14:conditionalFormatting>
        <x14:conditionalFormatting xmlns:xm="http://schemas.microsoft.com/office/excel/2006/main">
          <x14:cfRule type="expression" priority="4695643" id="{83F6D018-7D3B-4D33-9998-11572F2F2FF5}">
            <xm:f>$CA$4='Data entry'!$R37</xm:f>
            <x14:dxf>
              <fill>
                <patternFill>
                  <bgColor rgb="FFFFFF00"/>
                </patternFill>
              </fill>
            </x14:dxf>
          </x14:cfRule>
          <xm:sqref>BM98:CA98</xm:sqref>
        </x14:conditionalFormatting>
        <x14:conditionalFormatting xmlns:xm="http://schemas.microsoft.com/office/excel/2006/main">
          <x14:cfRule type="expression" priority="4695644" id="{8E6D0B51-5626-4ED9-9072-C7A2C139704F}">
            <xm:f>$CA$4='Data entry'!$R37</xm:f>
            <x14:dxf>
              <fill>
                <patternFill>
                  <bgColor rgb="FFFF0000"/>
                </patternFill>
              </fill>
            </x14:dxf>
          </x14:cfRule>
          <xm:sqref>BY99:CC99</xm:sqref>
        </x14:conditionalFormatting>
        <x14:conditionalFormatting xmlns:xm="http://schemas.microsoft.com/office/excel/2006/main">
          <x14:cfRule type="expression" priority="4695645" id="{E1886EE4-3BDE-43A9-9F4B-79377FEC37FE}">
            <xm:f>$CB$4='Data entry'!$R37</xm:f>
            <x14:dxf>
              <fill>
                <patternFill>
                  <bgColor rgb="FFFFFF00"/>
                </patternFill>
              </fill>
            </x14:dxf>
          </x14:cfRule>
          <xm:sqref>BN98:CB98</xm:sqref>
        </x14:conditionalFormatting>
        <x14:conditionalFormatting xmlns:xm="http://schemas.microsoft.com/office/excel/2006/main">
          <x14:cfRule type="expression" priority="4695646" id="{ADEF572A-6C18-4602-BB86-01C96D36E07E}">
            <xm:f>$CB$4='Data entry'!$R37</xm:f>
            <x14:dxf>
              <fill>
                <patternFill>
                  <bgColor rgb="FFFF0000"/>
                </patternFill>
              </fill>
            </x14:dxf>
          </x14:cfRule>
          <xm:sqref>BZ99:CC99</xm:sqref>
        </x14:conditionalFormatting>
        <x14:conditionalFormatting xmlns:xm="http://schemas.microsoft.com/office/excel/2006/main">
          <x14:cfRule type="expression" priority="4695647" id="{7984E1C9-E073-4955-8543-62145CB6D008}">
            <xm:f>$CC$4='Data entry'!$R37</xm:f>
            <x14:dxf>
              <fill>
                <patternFill>
                  <bgColor rgb="FFFFFF00"/>
                </patternFill>
              </fill>
            </x14:dxf>
          </x14:cfRule>
          <xm:sqref>BO98:CC98</xm:sqref>
        </x14:conditionalFormatting>
        <x14:conditionalFormatting xmlns:xm="http://schemas.microsoft.com/office/excel/2006/main">
          <x14:cfRule type="expression" priority="4695648" id="{18A957B3-59FA-4698-BA92-2A208FF18E2F}">
            <xm:f>$CC$4='Data entry'!$R37</xm:f>
            <x14:dxf>
              <fill>
                <patternFill>
                  <bgColor rgb="FFFF0000"/>
                </patternFill>
              </fill>
            </x14:dxf>
          </x14:cfRule>
          <xm:sqref>CA99:CC99</xm:sqref>
        </x14:conditionalFormatting>
        <x14:conditionalFormatting xmlns:xm="http://schemas.microsoft.com/office/excel/2006/main">
          <x14:cfRule type="expression" priority="4695735" id="{5B0DB825-B7C2-40AC-B7EF-F267F054CFB9}">
            <xm:f>$U$4='Data entry'!$R38</xm:f>
            <x14:dxf>
              <fill>
                <patternFill>
                  <bgColor rgb="FFFF0000"/>
                </patternFill>
              </fill>
            </x14:dxf>
          </x14:cfRule>
          <xm:sqref>S102:AE102</xm:sqref>
        </x14:conditionalFormatting>
        <x14:conditionalFormatting xmlns:xm="http://schemas.microsoft.com/office/excel/2006/main">
          <x14:cfRule type="expression" priority="4695736" id="{18311200-E2BB-400F-B594-3B9A2C6068C2}">
            <xm:f>$V$4='Data entry'!$R38</xm:f>
            <x14:dxf>
              <fill>
                <patternFill>
                  <bgColor rgb="FFFF0000"/>
                </patternFill>
              </fill>
            </x14:dxf>
          </x14:cfRule>
          <xm:sqref>T102:AF102</xm:sqref>
        </x14:conditionalFormatting>
        <x14:conditionalFormatting xmlns:xm="http://schemas.microsoft.com/office/excel/2006/main">
          <x14:cfRule type="expression" priority="4695737" id="{D6DFB621-1A58-4C59-A987-ECAD0EB2D32B}">
            <xm:f>$V$4='Data entry'!$R38</xm:f>
            <x14:dxf>
              <fill>
                <patternFill>
                  <bgColor rgb="FFFFFF00"/>
                </patternFill>
              </fill>
            </x14:dxf>
          </x14:cfRule>
          <xm:sqref>H101:V101</xm:sqref>
        </x14:conditionalFormatting>
        <x14:conditionalFormatting xmlns:xm="http://schemas.microsoft.com/office/excel/2006/main">
          <x14:cfRule type="expression" priority="4695738" id="{5F87A680-DC5F-433D-A779-B7A534ACCDA9}">
            <xm:f>$W$4='Data entry'!$R38</xm:f>
            <x14:dxf>
              <fill>
                <patternFill>
                  <bgColor rgb="FFFF0000"/>
                </patternFill>
              </fill>
            </x14:dxf>
          </x14:cfRule>
          <xm:sqref>U102:AG102</xm:sqref>
        </x14:conditionalFormatting>
        <x14:conditionalFormatting xmlns:xm="http://schemas.microsoft.com/office/excel/2006/main">
          <x14:cfRule type="expression" priority="4695739" id="{964539FF-A92C-4F68-B268-B7157A32678C}">
            <xm:f>$W$4='Data entry'!$R38</xm:f>
            <x14:dxf>
              <fill>
                <patternFill>
                  <bgColor rgb="FFFFFF00"/>
                </patternFill>
              </fill>
            </x14:dxf>
          </x14:cfRule>
          <xm:sqref>I101:W101</xm:sqref>
        </x14:conditionalFormatting>
        <x14:conditionalFormatting xmlns:xm="http://schemas.microsoft.com/office/excel/2006/main">
          <x14:cfRule type="expression" priority="4695740" id="{46C1533A-F090-4A90-9309-3F59EC3FD3B0}">
            <xm:f>$X$4='Data entry'!$R38</xm:f>
            <x14:dxf>
              <fill>
                <patternFill>
                  <bgColor rgb="FFFF0000"/>
                </patternFill>
              </fill>
            </x14:dxf>
          </x14:cfRule>
          <xm:sqref>V102:AH102</xm:sqref>
        </x14:conditionalFormatting>
        <x14:conditionalFormatting xmlns:xm="http://schemas.microsoft.com/office/excel/2006/main">
          <x14:cfRule type="expression" priority="4695741" id="{7C70E81C-DDD4-4D75-933A-4F6A39893184}">
            <xm:f>$X$4='Data entry'!$R38</xm:f>
            <x14:dxf>
              <fill>
                <patternFill>
                  <bgColor rgb="FFFFFF00"/>
                </patternFill>
              </fill>
            </x14:dxf>
          </x14:cfRule>
          <xm:sqref>J101:X101</xm:sqref>
        </x14:conditionalFormatting>
        <x14:conditionalFormatting xmlns:xm="http://schemas.microsoft.com/office/excel/2006/main">
          <x14:cfRule type="expression" priority="4695742" id="{561AF073-0EF8-4B72-A119-40A639C4359D}">
            <xm:f>$Y$4='Data entry'!$R38</xm:f>
            <x14:dxf>
              <fill>
                <patternFill>
                  <bgColor rgb="FFFF0000"/>
                </patternFill>
              </fill>
            </x14:dxf>
          </x14:cfRule>
          <xm:sqref>W102:AI102</xm:sqref>
        </x14:conditionalFormatting>
        <x14:conditionalFormatting xmlns:xm="http://schemas.microsoft.com/office/excel/2006/main">
          <x14:cfRule type="expression" priority="4695743" id="{F242E808-8F07-4A89-9524-7D4C767CE357}">
            <xm:f>$Y$4='Data entry'!$R38</xm:f>
            <x14:dxf>
              <fill>
                <patternFill>
                  <bgColor rgb="FFFFFF00"/>
                </patternFill>
              </fill>
            </x14:dxf>
          </x14:cfRule>
          <xm:sqref>K101:Y101</xm:sqref>
        </x14:conditionalFormatting>
        <x14:conditionalFormatting xmlns:xm="http://schemas.microsoft.com/office/excel/2006/main">
          <x14:cfRule type="expression" priority="4695744" id="{DD601058-982B-4218-BD9D-64BB823C2633}">
            <xm:f>$Z$4='Data entry'!$R38</xm:f>
            <x14:dxf>
              <fill>
                <patternFill>
                  <bgColor rgb="FFFF0000"/>
                </patternFill>
              </fill>
            </x14:dxf>
          </x14:cfRule>
          <xm:sqref>X102:AJ102</xm:sqref>
        </x14:conditionalFormatting>
        <x14:conditionalFormatting xmlns:xm="http://schemas.microsoft.com/office/excel/2006/main">
          <x14:cfRule type="expression" priority="4695745" id="{C9DB141D-79F6-4093-92A3-7BF7A1622985}">
            <xm:f>$Z$4='Data entry'!$R38</xm:f>
            <x14:dxf>
              <fill>
                <patternFill>
                  <bgColor rgb="FFFFFF00"/>
                </patternFill>
              </fill>
            </x14:dxf>
          </x14:cfRule>
          <xm:sqref>L101:Z101</xm:sqref>
        </x14:conditionalFormatting>
        <x14:conditionalFormatting xmlns:xm="http://schemas.microsoft.com/office/excel/2006/main">
          <x14:cfRule type="expression" priority="4695746" id="{710EB8D3-F5C0-4E3C-8214-2D0C4E26F649}">
            <xm:f>$AA$4='Data entry'!$R38</xm:f>
            <x14:dxf>
              <fill>
                <patternFill>
                  <bgColor rgb="FFFF0000"/>
                </patternFill>
              </fill>
            </x14:dxf>
          </x14:cfRule>
          <xm:sqref>Y102:AK102</xm:sqref>
        </x14:conditionalFormatting>
        <x14:conditionalFormatting xmlns:xm="http://schemas.microsoft.com/office/excel/2006/main">
          <x14:cfRule type="expression" priority="4695747" id="{33825D69-C967-4D27-B395-5D44A3083802}">
            <xm:f>$AA$4='Data entry'!$R38</xm:f>
            <x14:dxf>
              <fill>
                <patternFill>
                  <bgColor rgb="FFFFFF00"/>
                </patternFill>
              </fill>
            </x14:dxf>
          </x14:cfRule>
          <xm:sqref>M101:AA101</xm:sqref>
        </x14:conditionalFormatting>
        <x14:conditionalFormatting xmlns:xm="http://schemas.microsoft.com/office/excel/2006/main">
          <x14:cfRule type="expression" priority="4695748" id="{9811A97D-351B-4D32-8754-AF433277E62B}">
            <xm:f>$AB$4='Data entry'!$R38</xm:f>
            <x14:dxf>
              <fill>
                <patternFill>
                  <bgColor rgb="FFFF0000"/>
                </patternFill>
              </fill>
            </x14:dxf>
          </x14:cfRule>
          <xm:sqref>Z102:AL102</xm:sqref>
        </x14:conditionalFormatting>
        <x14:conditionalFormatting xmlns:xm="http://schemas.microsoft.com/office/excel/2006/main">
          <x14:cfRule type="expression" priority="4695749" id="{6DD3E556-C72E-438B-92DA-3096ED1E4178}">
            <xm:f>$AB$4='Data entry'!$R38</xm:f>
            <x14:dxf>
              <fill>
                <patternFill>
                  <bgColor rgb="FFFFFF00"/>
                </patternFill>
              </fill>
            </x14:dxf>
          </x14:cfRule>
          <xm:sqref>N101:AB101</xm:sqref>
        </x14:conditionalFormatting>
        <x14:conditionalFormatting xmlns:xm="http://schemas.microsoft.com/office/excel/2006/main">
          <x14:cfRule type="expression" priority="4695750" id="{C0DF7A1B-D6BC-4371-BD3A-F0708147FA1C}">
            <xm:f>$AC$4='Data entry'!$R38</xm:f>
            <x14:dxf>
              <fill>
                <patternFill>
                  <bgColor rgb="FFFF0000"/>
                </patternFill>
              </fill>
            </x14:dxf>
          </x14:cfRule>
          <xm:sqref>AA102:AM102</xm:sqref>
        </x14:conditionalFormatting>
        <x14:conditionalFormatting xmlns:xm="http://schemas.microsoft.com/office/excel/2006/main">
          <x14:cfRule type="expression" priority="4695751" id="{DB2E1F48-AF0E-41F9-A976-6B1963CA5711}">
            <xm:f>$AC$4='Data entry'!$R38</xm:f>
            <x14:dxf>
              <fill>
                <patternFill>
                  <bgColor rgb="FFFFFF00"/>
                </patternFill>
              </fill>
            </x14:dxf>
          </x14:cfRule>
          <xm:sqref>O101:AC101</xm:sqref>
        </x14:conditionalFormatting>
        <x14:conditionalFormatting xmlns:xm="http://schemas.microsoft.com/office/excel/2006/main">
          <x14:cfRule type="expression" priority="4695752" id="{89909907-F9A9-4AF9-BC1D-304710A43F50}">
            <xm:f>$AD$4='Data entry'!$R38</xm:f>
            <x14:dxf>
              <fill>
                <patternFill>
                  <bgColor rgb="FFFF0000"/>
                </patternFill>
              </fill>
            </x14:dxf>
          </x14:cfRule>
          <xm:sqref>AB102:AN102</xm:sqref>
        </x14:conditionalFormatting>
        <x14:conditionalFormatting xmlns:xm="http://schemas.microsoft.com/office/excel/2006/main">
          <x14:cfRule type="expression" priority="4695753" id="{729676B7-E331-43A4-ACC9-850DCEE76A0E}">
            <xm:f>$AD$4='Data entry'!$R38</xm:f>
            <x14:dxf>
              <fill>
                <patternFill>
                  <bgColor rgb="FFFFFF00"/>
                </patternFill>
              </fill>
            </x14:dxf>
          </x14:cfRule>
          <xm:sqref>P101:AD101</xm:sqref>
        </x14:conditionalFormatting>
        <x14:conditionalFormatting xmlns:xm="http://schemas.microsoft.com/office/excel/2006/main">
          <x14:cfRule type="expression" priority="4695754" id="{00DA2C55-350E-44AA-ABEA-808FABFDA737}">
            <xm:f>$AE$4='Data entry'!$R38</xm:f>
            <x14:dxf>
              <fill>
                <patternFill>
                  <bgColor rgb="FFFF0000"/>
                </patternFill>
              </fill>
            </x14:dxf>
          </x14:cfRule>
          <xm:sqref>AC102:AO102</xm:sqref>
        </x14:conditionalFormatting>
        <x14:conditionalFormatting xmlns:xm="http://schemas.microsoft.com/office/excel/2006/main">
          <x14:cfRule type="expression" priority="4695755" id="{373C95F1-00C1-45E9-B561-5224945BA4A4}">
            <xm:f>$AE$4='Data entry'!$R38</xm:f>
            <x14:dxf>
              <fill>
                <patternFill>
                  <bgColor rgb="FFFFFF00"/>
                </patternFill>
              </fill>
            </x14:dxf>
          </x14:cfRule>
          <xm:sqref>Q101:AE101</xm:sqref>
        </x14:conditionalFormatting>
        <x14:conditionalFormatting xmlns:xm="http://schemas.microsoft.com/office/excel/2006/main">
          <x14:cfRule type="expression" priority="4695756" id="{65E90E74-6BEF-4B00-BD5E-ECACFEBC225A}">
            <xm:f>$AF$4='Data entry'!$R38</xm:f>
            <x14:dxf>
              <fill>
                <patternFill>
                  <bgColor rgb="FFFF0000"/>
                </patternFill>
              </fill>
            </x14:dxf>
          </x14:cfRule>
          <xm:sqref>AD102:AP102</xm:sqref>
        </x14:conditionalFormatting>
        <x14:conditionalFormatting xmlns:xm="http://schemas.microsoft.com/office/excel/2006/main">
          <x14:cfRule type="expression" priority="4695757" id="{56B519D7-E083-4811-B42B-D6CB10D44BB3}">
            <xm:f>$AF$4='Data entry'!$R38</xm:f>
            <x14:dxf>
              <fill>
                <patternFill>
                  <bgColor rgb="FFFFFF00"/>
                </patternFill>
              </fill>
            </x14:dxf>
          </x14:cfRule>
          <xm:sqref>R101:AF101</xm:sqref>
        </x14:conditionalFormatting>
        <x14:conditionalFormatting xmlns:xm="http://schemas.microsoft.com/office/excel/2006/main">
          <x14:cfRule type="expression" priority="4695758" id="{889682B6-BF9B-414B-86B7-1C802156B058}">
            <xm:f>$AG$4='Data entry'!$R38</xm:f>
            <x14:dxf>
              <fill>
                <patternFill>
                  <bgColor rgb="FFFF0000"/>
                </patternFill>
              </fill>
            </x14:dxf>
          </x14:cfRule>
          <xm:sqref>AE102:AQ102</xm:sqref>
        </x14:conditionalFormatting>
        <x14:conditionalFormatting xmlns:xm="http://schemas.microsoft.com/office/excel/2006/main">
          <x14:cfRule type="expression" priority="4695759" id="{19913D88-1940-4CB0-B29C-D46D60833BD5}">
            <xm:f>$AG$4='Data entry'!$R38</xm:f>
            <x14:dxf>
              <fill>
                <patternFill>
                  <bgColor rgb="FFFFFF00"/>
                </patternFill>
              </fill>
            </x14:dxf>
          </x14:cfRule>
          <xm:sqref>S101:AG101</xm:sqref>
        </x14:conditionalFormatting>
        <x14:conditionalFormatting xmlns:xm="http://schemas.microsoft.com/office/excel/2006/main">
          <x14:cfRule type="expression" priority="4695760" id="{3DD7B9A5-18A3-463F-BAD5-9796FC487328}">
            <xm:f>$AH$4='Data entry'!$R38</xm:f>
            <x14:dxf>
              <fill>
                <patternFill>
                  <bgColor rgb="FFFF0000"/>
                </patternFill>
              </fill>
            </x14:dxf>
          </x14:cfRule>
          <xm:sqref>AF102:AR102</xm:sqref>
        </x14:conditionalFormatting>
        <x14:conditionalFormatting xmlns:xm="http://schemas.microsoft.com/office/excel/2006/main">
          <x14:cfRule type="expression" priority="4695761" id="{31005CF4-5608-496E-91EB-F7F505046C80}">
            <xm:f>$AH$4='Data entry'!$R38</xm:f>
            <x14:dxf>
              <fill>
                <patternFill>
                  <bgColor rgb="FFFFFF00"/>
                </patternFill>
              </fill>
            </x14:dxf>
          </x14:cfRule>
          <xm:sqref>T101:AH101</xm:sqref>
        </x14:conditionalFormatting>
        <x14:conditionalFormatting xmlns:xm="http://schemas.microsoft.com/office/excel/2006/main">
          <x14:cfRule type="expression" priority="4695762" id="{CD14F654-5B7A-444F-8FC1-7DD71E76E475}">
            <xm:f>$AI$4='Data entry'!$R38</xm:f>
            <x14:dxf>
              <fill>
                <patternFill>
                  <bgColor rgb="FFFF0000"/>
                </patternFill>
              </fill>
            </x14:dxf>
          </x14:cfRule>
          <xm:sqref>AG102:AS102</xm:sqref>
        </x14:conditionalFormatting>
        <x14:conditionalFormatting xmlns:xm="http://schemas.microsoft.com/office/excel/2006/main">
          <x14:cfRule type="expression" priority="4695763" id="{0E4E448C-6C46-4285-B877-A61A90294385}">
            <xm:f>$AI$4='Data entry'!$R38</xm:f>
            <x14:dxf>
              <fill>
                <patternFill>
                  <bgColor rgb="FFFFFF00"/>
                </patternFill>
              </fill>
            </x14:dxf>
          </x14:cfRule>
          <xm:sqref>U101:AI101</xm:sqref>
        </x14:conditionalFormatting>
        <x14:conditionalFormatting xmlns:xm="http://schemas.microsoft.com/office/excel/2006/main">
          <x14:cfRule type="expression" priority="4695764" id="{B1C1818F-791C-403D-BE73-6F6E9DC6A16D}">
            <xm:f>$AJ$4='Data entry'!$R38</xm:f>
            <x14:dxf>
              <fill>
                <patternFill>
                  <bgColor rgb="FFFF0000"/>
                </patternFill>
              </fill>
            </x14:dxf>
          </x14:cfRule>
          <xm:sqref>AH102:AT102</xm:sqref>
        </x14:conditionalFormatting>
        <x14:conditionalFormatting xmlns:xm="http://schemas.microsoft.com/office/excel/2006/main">
          <x14:cfRule type="expression" priority="4695765" id="{A1237792-221B-431B-B8A7-E9A64DA46D93}">
            <xm:f>$AJ$4='Data entry'!$R38</xm:f>
            <x14:dxf>
              <fill>
                <patternFill>
                  <bgColor rgb="FFFFFF00"/>
                </patternFill>
              </fill>
            </x14:dxf>
          </x14:cfRule>
          <xm:sqref>V101:AJ101</xm:sqref>
        </x14:conditionalFormatting>
        <x14:conditionalFormatting xmlns:xm="http://schemas.microsoft.com/office/excel/2006/main">
          <x14:cfRule type="expression" priority="4695766" id="{617DC2AF-C7A3-4724-8EA3-17DEFEDC8949}">
            <xm:f>$AK$4='Data entry'!$R38</xm:f>
            <x14:dxf>
              <fill>
                <patternFill>
                  <bgColor rgb="FFFF0000"/>
                </patternFill>
              </fill>
            </x14:dxf>
          </x14:cfRule>
          <xm:sqref>AI102:AU102</xm:sqref>
        </x14:conditionalFormatting>
        <x14:conditionalFormatting xmlns:xm="http://schemas.microsoft.com/office/excel/2006/main">
          <x14:cfRule type="expression" priority="4695767" id="{AA72317D-37B1-48EB-A28B-BF2AC8DC4519}">
            <xm:f>$AK$4='Data entry'!$R38</xm:f>
            <x14:dxf>
              <fill>
                <patternFill>
                  <bgColor rgb="FFFFFF00"/>
                </patternFill>
              </fill>
            </x14:dxf>
          </x14:cfRule>
          <xm:sqref>W101:AK101</xm:sqref>
        </x14:conditionalFormatting>
        <x14:conditionalFormatting xmlns:xm="http://schemas.microsoft.com/office/excel/2006/main">
          <x14:cfRule type="expression" priority="4695768" id="{6CA9FB7A-20EA-4D3A-B74C-A001F4BE810D}">
            <xm:f>$AL$4='Data entry'!$R38</xm:f>
            <x14:dxf>
              <fill>
                <patternFill>
                  <bgColor rgb="FFFF0000"/>
                </patternFill>
              </fill>
            </x14:dxf>
          </x14:cfRule>
          <xm:sqref>AJ102:AV102</xm:sqref>
        </x14:conditionalFormatting>
        <x14:conditionalFormatting xmlns:xm="http://schemas.microsoft.com/office/excel/2006/main">
          <x14:cfRule type="expression" priority="4695769" id="{81A75DAA-573F-4EF3-A640-1B992C18BEA0}">
            <xm:f>$AL$4='Data entry'!$R38</xm:f>
            <x14:dxf>
              <fill>
                <patternFill>
                  <bgColor rgb="FFFFFF00"/>
                </patternFill>
              </fill>
            </x14:dxf>
          </x14:cfRule>
          <xm:sqref>X101:AL101</xm:sqref>
        </x14:conditionalFormatting>
        <x14:conditionalFormatting xmlns:xm="http://schemas.microsoft.com/office/excel/2006/main">
          <x14:cfRule type="expression" priority="4695770" id="{3D44713E-4ABA-4CCD-9DF4-5513A9FB5E1E}">
            <xm:f>$AM$4='Data entry'!$R38</xm:f>
            <x14:dxf>
              <fill>
                <patternFill>
                  <bgColor rgb="FFFF0000"/>
                </patternFill>
              </fill>
            </x14:dxf>
          </x14:cfRule>
          <xm:sqref>AK102:AW102</xm:sqref>
        </x14:conditionalFormatting>
        <x14:conditionalFormatting xmlns:xm="http://schemas.microsoft.com/office/excel/2006/main">
          <x14:cfRule type="expression" priority="4695771" id="{05A26B51-72A7-4423-822F-2BDBC28275D0}">
            <xm:f>$AM$4='Data entry'!$R38</xm:f>
            <x14:dxf>
              <fill>
                <patternFill>
                  <bgColor rgb="FFFFFF00"/>
                </patternFill>
              </fill>
            </x14:dxf>
          </x14:cfRule>
          <xm:sqref>Y101:AM101</xm:sqref>
        </x14:conditionalFormatting>
        <x14:conditionalFormatting xmlns:xm="http://schemas.microsoft.com/office/excel/2006/main">
          <x14:cfRule type="expression" priority="4695772" id="{B8A20675-6230-4694-A7F6-6B3DC7142773}">
            <xm:f>$AN$4='Data entry'!$R38</xm:f>
            <x14:dxf>
              <fill>
                <patternFill>
                  <bgColor rgb="FFFF0000"/>
                </patternFill>
              </fill>
            </x14:dxf>
          </x14:cfRule>
          <xm:sqref>AL102:AX102</xm:sqref>
        </x14:conditionalFormatting>
        <x14:conditionalFormatting xmlns:xm="http://schemas.microsoft.com/office/excel/2006/main">
          <x14:cfRule type="expression" priority="4695773" id="{8421181C-7450-42E9-BC1D-065CCFCA960E}">
            <xm:f>$AN$4='Data entry'!$R38</xm:f>
            <x14:dxf>
              <fill>
                <patternFill>
                  <bgColor rgb="FFFFFF00"/>
                </patternFill>
              </fill>
            </x14:dxf>
          </x14:cfRule>
          <xm:sqref>Z101:AN101</xm:sqref>
        </x14:conditionalFormatting>
        <x14:conditionalFormatting xmlns:xm="http://schemas.microsoft.com/office/excel/2006/main">
          <x14:cfRule type="expression" priority="4695774" id="{067FE4BD-6EF4-4684-B6E0-35AB2F267EE7}">
            <xm:f>$AO$4='Data entry'!$R38</xm:f>
            <x14:dxf>
              <fill>
                <patternFill>
                  <bgColor rgb="FFFF0000"/>
                </patternFill>
              </fill>
            </x14:dxf>
          </x14:cfRule>
          <xm:sqref>AM102:AY102</xm:sqref>
        </x14:conditionalFormatting>
        <x14:conditionalFormatting xmlns:xm="http://schemas.microsoft.com/office/excel/2006/main">
          <x14:cfRule type="expression" priority="4695775" id="{F7653492-88D1-47AC-8BA3-0CCE65C3C2AB}">
            <xm:f>$AO$4='Data entry'!$R38</xm:f>
            <x14:dxf>
              <fill>
                <patternFill>
                  <bgColor rgb="FFFFFF00"/>
                </patternFill>
              </fill>
            </x14:dxf>
          </x14:cfRule>
          <xm:sqref>AA101:AO101</xm:sqref>
        </x14:conditionalFormatting>
        <x14:conditionalFormatting xmlns:xm="http://schemas.microsoft.com/office/excel/2006/main">
          <x14:cfRule type="expression" priority="4695776" id="{207A5E5D-B322-482E-9193-1D7318138358}">
            <xm:f>$AP$4='Data entry'!$R38</xm:f>
            <x14:dxf>
              <fill>
                <patternFill>
                  <bgColor rgb="FFFF0000"/>
                </patternFill>
              </fill>
            </x14:dxf>
          </x14:cfRule>
          <xm:sqref>AN102:AZ102</xm:sqref>
        </x14:conditionalFormatting>
        <x14:conditionalFormatting xmlns:xm="http://schemas.microsoft.com/office/excel/2006/main">
          <x14:cfRule type="expression" priority="4695777" id="{21DA638D-4CA0-4067-BFF1-240CE1A0261B}">
            <xm:f>$AP$4='Data entry'!$R38</xm:f>
            <x14:dxf>
              <fill>
                <patternFill>
                  <bgColor rgb="FFFFFF00"/>
                </patternFill>
              </fill>
            </x14:dxf>
          </x14:cfRule>
          <xm:sqref>AB101:AP101</xm:sqref>
        </x14:conditionalFormatting>
        <x14:conditionalFormatting xmlns:xm="http://schemas.microsoft.com/office/excel/2006/main">
          <x14:cfRule type="expression" priority="4695778" id="{71963D96-A42A-4B90-BFC7-6D83D37766EF}">
            <xm:f>$AQ$4='Data entry'!$R38</xm:f>
            <x14:dxf>
              <fill>
                <patternFill>
                  <bgColor rgb="FFFF0000"/>
                </patternFill>
              </fill>
            </x14:dxf>
          </x14:cfRule>
          <xm:sqref>AO102:BA102</xm:sqref>
        </x14:conditionalFormatting>
        <x14:conditionalFormatting xmlns:xm="http://schemas.microsoft.com/office/excel/2006/main">
          <x14:cfRule type="expression" priority="4695779" id="{74952595-84B6-484F-8FF6-FCC1F337DF4D}">
            <xm:f>$AQ$4='Data entry'!$R38</xm:f>
            <x14:dxf>
              <fill>
                <patternFill>
                  <bgColor rgb="FFFFFF00"/>
                </patternFill>
              </fill>
            </x14:dxf>
          </x14:cfRule>
          <xm:sqref>AC101:AQ101</xm:sqref>
        </x14:conditionalFormatting>
        <x14:conditionalFormatting xmlns:xm="http://schemas.microsoft.com/office/excel/2006/main">
          <x14:cfRule type="expression" priority="4695780" id="{8AC9C4B9-0A34-4BC0-B0F7-CA89434C4911}">
            <xm:f>$P$4='Data entry'!$R38</xm:f>
            <x14:dxf>
              <fill>
                <patternFill>
                  <bgColor rgb="FFFFFF00"/>
                </patternFill>
              </fill>
            </x14:dxf>
          </x14:cfRule>
          <xm:sqref>C101:P101</xm:sqref>
        </x14:conditionalFormatting>
        <x14:conditionalFormatting xmlns:xm="http://schemas.microsoft.com/office/excel/2006/main">
          <x14:cfRule type="expression" priority="4695781" id="{0A726775-ABFD-4F22-967C-1A4D87BA3751}">
            <xm:f>$Q$4='Data entry'!$R38</xm:f>
            <x14:dxf>
              <fill>
                <patternFill>
                  <bgColor rgb="FFFFFF00"/>
                </patternFill>
              </fill>
            </x14:dxf>
          </x14:cfRule>
          <xm:sqref>C101:Q101</xm:sqref>
        </x14:conditionalFormatting>
        <x14:conditionalFormatting xmlns:xm="http://schemas.microsoft.com/office/excel/2006/main">
          <x14:cfRule type="expression" priority="4695782" id="{3A8414BD-262C-43B5-86EE-FA6901D00453}">
            <xm:f>$Q$4='Data entry'!$R38</xm:f>
            <x14:dxf>
              <fill>
                <patternFill>
                  <bgColor rgb="FFFF0000"/>
                </patternFill>
              </fill>
            </x14:dxf>
          </x14:cfRule>
          <xm:sqref>O102:AA102</xm:sqref>
        </x14:conditionalFormatting>
        <x14:conditionalFormatting xmlns:xm="http://schemas.microsoft.com/office/excel/2006/main">
          <x14:cfRule type="expression" priority="4695783" id="{B8B5501D-F3EF-4449-9306-F652960C65F4}">
            <xm:f>$R$4='Data entry'!$R38</xm:f>
            <x14:dxf>
              <fill>
                <patternFill>
                  <bgColor rgb="FFFF0000"/>
                </patternFill>
              </fill>
            </x14:dxf>
          </x14:cfRule>
          <xm:sqref>P102:AB102</xm:sqref>
        </x14:conditionalFormatting>
        <x14:conditionalFormatting xmlns:xm="http://schemas.microsoft.com/office/excel/2006/main">
          <x14:cfRule type="expression" priority="4695784" id="{5D070DEC-B82E-4D87-B907-A3E5AB836991}">
            <xm:f>$R$4='Data entry'!$R38</xm:f>
            <x14:dxf>
              <fill>
                <patternFill>
                  <bgColor rgb="FFFFFF00"/>
                </patternFill>
              </fill>
            </x14:dxf>
          </x14:cfRule>
          <xm:sqref>D101:R101</xm:sqref>
        </x14:conditionalFormatting>
        <x14:conditionalFormatting xmlns:xm="http://schemas.microsoft.com/office/excel/2006/main">
          <x14:cfRule type="expression" priority="4695785" id="{E4D16A10-F818-4664-9FB2-F0E839824D4B}">
            <xm:f>$S$4='Data entry'!$R38</xm:f>
            <x14:dxf>
              <fill>
                <patternFill>
                  <bgColor rgb="FFFF0000"/>
                </patternFill>
              </fill>
            </x14:dxf>
          </x14:cfRule>
          <xm:sqref>Q102:AC102</xm:sqref>
        </x14:conditionalFormatting>
        <x14:conditionalFormatting xmlns:xm="http://schemas.microsoft.com/office/excel/2006/main">
          <x14:cfRule type="expression" priority="4695786" id="{1A9F9911-A3E9-4730-AFBE-AB8C596545CA}">
            <xm:f>$S$4='Data entry'!$R38</xm:f>
            <x14:dxf>
              <fill>
                <patternFill>
                  <bgColor rgb="FFFFFF00"/>
                </patternFill>
              </fill>
            </x14:dxf>
          </x14:cfRule>
          <xm:sqref>E101:S101</xm:sqref>
        </x14:conditionalFormatting>
        <x14:conditionalFormatting xmlns:xm="http://schemas.microsoft.com/office/excel/2006/main">
          <x14:cfRule type="expression" priority="4695787" id="{8BB5CD1B-B2AC-442A-9550-26DE19A62D22}">
            <xm:f>$T$4='Data entry'!$R38</xm:f>
            <x14:dxf>
              <fill>
                <patternFill>
                  <bgColor rgb="FFFF0000"/>
                </patternFill>
              </fill>
            </x14:dxf>
          </x14:cfRule>
          <xm:sqref>R102:AD102</xm:sqref>
        </x14:conditionalFormatting>
        <x14:conditionalFormatting xmlns:xm="http://schemas.microsoft.com/office/excel/2006/main">
          <x14:cfRule type="expression" priority="4695788" id="{E7B59C69-7921-4049-84A1-8B3E5F7B0598}">
            <xm:f>$T$4='Data entry'!$R38</xm:f>
            <x14:dxf>
              <fill>
                <patternFill>
                  <bgColor rgb="FFFFFF00"/>
                </patternFill>
              </fill>
            </x14:dxf>
          </x14:cfRule>
          <xm:sqref>F101:T101</xm:sqref>
        </x14:conditionalFormatting>
        <x14:conditionalFormatting xmlns:xm="http://schemas.microsoft.com/office/excel/2006/main">
          <x14:cfRule type="expression" priority="4695789" id="{238C09E5-7A3D-439D-949F-A7733073F9A2}">
            <xm:f>$U$4='Data entry'!$R38</xm:f>
            <x14:dxf>
              <fill>
                <patternFill>
                  <bgColor rgb="FFFFFF00"/>
                </patternFill>
              </fill>
            </x14:dxf>
          </x14:cfRule>
          <xm:sqref>G101:U101</xm:sqref>
        </x14:conditionalFormatting>
        <x14:conditionalFormatting xmlns:xm="http://schemas.microsoft.com/office/excel/2006/main">
          <x14:cfRule type="expression" priority="4695790" id="{DE4D4432-0A19-452A-AF14-2873FE4DF411}">
            <xm:f>$AR$4='Data entry'!$R38</xm:f>
            <x14:dxf>
              <fill>
                <patternFill>
                  <bgColor rgb="FFFF0000"/>
                </patternFill>
              </fill>
            </x14:dxf>
          </x14:cfRule>
          <xm:sqref>AP102:BB102</xm:sqref>
        </x14:conditionalFormatting>
        <x14:conditionalFormatting xmlns:xm="http://schemas.microsoft.com/office/excel/2006/main">
          <x14:cfRule type="expression" priority="4695791" id="{90D7E1FF-542D-40C8-9BD5-DFEB4CDD256F}">
            <xm:f>$AR$4='Data entry'!$R38</xm:f>
            <x14:dxf>
              <fill>
                <patternFill>
                  <bgColor rgb="FFFFFF00"/>
                </patternFill>
              </fill>
            </x14:dxf>
          </x14:cfRule>
          <xm:sqref>AD101:AR101</xm:sqref>
        </x14:conditionalFormatting>
        <x14:conditionalFormatting xmlns:xm="http://schemas.microsoft.com/office/excel/2006/main">
          <x14:cfRule type="expression" priority="4695792" id="{0EBB5305-4A4A-4205-A1FF-11160070CBC3}">
            <xm:f>$AS$4='Data entry'!$R38</xm:f>
            <x14:dxf>
              <fill>
                <patternFill>
                  <bgColor rgb="FFFF0000"/>
                </patternFill>
              </fill>
            </x14:dxf>
          </x14:cfRule>
          <xm:sqref>AQ102:BC102</xm:sqref>
        </x14:conditionalFormatting>
        <x14:conditionalFormatting xmlns:xm="http://schemas.microsoft.com/office/excel/2006/main">
          <x14:cfRule type="expression" priority="4695793" id="{AC8EB30C-4253-4CE1-820E-1801F6D8D35B}">
            <xm:f>$AS$4='Data entry'!$R38</xm:f>
            <x14:dxf>
              <fill>
                <patternFill>
                  <bgColor rgb="FFFFFF00"/>
                </patternFill>
              </fill>
            </x14:dxf>
          </x14:cfRule>
          <xm:sqref>AE101:AS101</xm:sqref>
        </x14:conditionalFormatting>
        <x14:conditionalFormatting xmlns:xm="http://schemas.microsoft.com/office/excel/2006/main">
          <x14:cfRule type="expression" priority="4695794" id="{E11744C1-7201-4272-A1B0-945490B42425}">
            <xm:f>$AT$4='Data entry'!$R38</xm:f>
            <x14:dxf>
              <fill>
                <patternFill>
                  <bgColor rgb="FFFF0000"/>
                </patternFill>
              </fill>
            </x14:dxf>
          </x14:cfRule>
          <xm:sqref>AR102:BD102</xm:sqref>
        </x14:conditionalFormatting>
        <x14:conditionalFormatting xmlns:xm="http://schemas.microsoft.com/office/excel/2006/main">
          <x14:cfRule type="expression" priority="4695795" id="{5EE2823B-E955-4EA7-B99C-0B1F77B57A69}">
            <xm:f>$AT$4='Data entry'!$R38</xm:f>
            <x14:dxf>
              <fill>
                <patternFill>
                  <bgColor rgb="FFFFFF00"/>
                </patternFill>
              </fill>
            </x14:dxf>
          </x14:cfRule>
          <xm:sqref>AF101:AT101</xm:sqref>
        </x14:conditionalFormatting>
        <x14:conditionalFormatting xmlns:xm="http://schemas.microsoft.com/office/excel/2006/main">
          <x14:cfRule type="expression" priority="4695796" id="{5737DC63-3262-4B34-900C-2AAEB255FCBA}">
            <xm:f>$AU$4='Data entry'!$R38</xm:f>
            <x14:dxf>
              <fill>
                <patternFill>
                  <bgColor rgb="FFFF0000"/>
                </patternFill>
              </fill>
            </x14:dxf>
          </x14:cfRule>
          <xm:sqref>AS102:BE102</xm:sqref>
        </x14:conditionalFormatting>
        <x14:conditionalFormatting xmlns:xm="http://schemas.microsoft.com/office/excel/2006/main">
          <x14:cfRule type="expression" priority="4695797" id="{2B5C1F1B-3C3D-4CA3-BC64-0E98422075B6}">
            <xm:f>$AU$4='Data entry'!$R38</xm:f>
            <x14:dxf>
              <fill>
                <patternFill>
                  <bgColor rgb="FFFFFF00"/>
                </patternFill>
              </fill>
            </x14:dxf>
          </x14:cfRule>
          <xm:sqref>AG101:AU101</xm:sqref>
        </x14:conditionalFormatting>
        <x14:conditionalFormatting xmlns:xm="http://schemas.microsoft.com/office/excel/2006/main">
          <x14:cfRule type="expression" priority="4695798" id="{B87A1285-B003-4855-8F4B-53C391BA10E6}">
            <xm:f>$AV$4='Data entry'!$R38</xm:f>
            <x14:dxf>
              <fill>
                <patternFill>
                  <bgColor rgb="FFFF0000"/>
                </patternFill>
              </fill>
            </x14:dxf>
          </x14:cfRule>
          <xm:sqref>AT102:BF102</xm:sqref>
        </x14:conditionalFormatting>
        <x14:conditionalFormatting xmlns:xm="http://schemas.microsoft.com/office/excel/2006/main">
          <x14:cfRule type="expression" priority="4695799" id="{338EE31C-78DB-4818-B837-0380F9E457FA}">
            <xm:f>$AV$4='Data entry'!$R38</xm:f>
            <x14:dxf>
              <fill>
                <patternFill>
                  <bgColor rgb="FFFFFF00"/>
                </patternFill>
              </fill>
            </x14:dxf>
          </x14:cfRule>
          <xm:sqref>AH101:AV101</xm:sqref>
        </x14:conditionalFormatting>
        <x14:conditionalFormatting xmlns:xm="http://schemas.microsoft.com/office/excel/2006/main">
          <x14:cfRule type="expression" priority="4695800" id="{5C40EA66-2801-4C91-B885-BF6A1ECFC35C}">
            <xm:f>$AW$4='Data entry'!$R38</xm:f>
            <x14:dxf>
              <fill>
                <patternFill>
                  <bgColor rgb="FFFF0000"/>
                </patternFill>
              </fill>
            </x14:dxf>
          </x14:cfRule>
          <xm:sqref>AU102:BG102</xm:sqref>
        </x14:conditionalFormatting>
        <x14:conditionalFormatting xmlns:xm="http://schemas.microsoft.com/office/excel/2006/main">
          <x14:cfRule type="expression" priority="4695801" id="{51BCD5CE-DF86-4C2F-8A81-DDA1EFD6C8F7}">
            <xm:f>$AW$4='Data entry'!$R38</xm:f>
            <x14:dxf>
              <fill>
                <patternFill>
                  <bgColor rgb="FFFFFF00"/>
                </patternFill>
              </fill>
            </x14:dxf>
          </x14:cfRule>
          <xm:sqref>AI101:AW101</xm:sqref>
        </x14:conditionalFormatting>
        <x14:conditionalFormatting xmlns:xm="http://schemas.microsoft.com/office/excel/2006/main">
          <x14:cfRule type="expression" priority="4695802" id="{DC2ED5A0-8917-4877-8CD3-9DF9BE5993C9}">
            <xm:f>$AX$4='Data entry'!$R38</xm:f>
            <x14:dxf>
              <fill>
                <patternFill>
                  <bgColor rgb="FFFF0000"/>
                </patternFill>
              </fill>
            </x14:dxf>
          </x14:cfRule>
          <xm:sqref>AV102:BH102</xm:sqref>
        </x14:conditionalFormatting>
        <x14:conditionalFormatting xmlns:xm="http://schemas.microsoft.com/office/excel/2006/main">
          <x14:cfRule type="expression" priority="4695803" id="{59B31869-20F9-45BD-BC80-0A6C8945CE2C}">
            <xm:f>$AX$4='Data entry'!$R38</xm:f>
            <x14:dxf>
              <fill>
                <patternFill>
                  <bgColor rgb="FFFFFF00"/>
                </patternFill>
              </fill>
            </x14:dxf>
          </x14:cfRule>
          <xm:sqref>AJ101:AX101</xm:sqref>
        </x14:conditionalFormatting>
        <x14:conditionalFormatting xmlns:xm="http://schemas.microsoft.com/office/excel/2006/main">
          <x14:cfRule type="expression" priority="4695804" id="{D4208FA0-4262-4037-934C-6D0742B2AD8E}">
            <xm:f>$AY$4='Data entry'!$R38</xm:f>
            <x14:dxf>
              <fill>
                <patternFill>
                  <bgColor rgb="FFFF0000"/>
                </patternFill>
              </fill>
            </x14:dxf>
          </x14:cfRule>
          <xm:sqref>AW102:BI102</xm:sqref>
        </x14:conditionalFormatting>
        <x14:conditionalFormatting xmlns:xm="http://schemas.microsoft.com/office/excel/2006/main">
          <x14:cfRule type="expression" priority="4695805" id="{04D6E423-18C7-42B2-A67D-F49D8E62B571}">
            <xm:f>$AY$4='Data entry'!$R38</xm:f>
            <x14:dxf>
              <fill>
                <patternFill>
                  <bgColor rgb="FFFFFF00"/>
                </patternFill>
              </fill>
            </x14:dxf>
          </x14:cfRule>
          <xm:sqref>AK101:AY101</xm:sqref>
        </x14:conditionalFormatting>
        <x14:conditionalFormatting xmlns:xm="http://schemas.microsoft.com/office/excel/2006/main">
          <x14:cfRule type="expression" priority="4695806" id="{A931C203-6E4B-4EBD-A2F4-1876881F48D4}">
            <xm:f>$AZ$4='Data entry'!$R38</xm:f>
            <x14:dxf>
              <fill>
                <patternFill>
                  <bgColor rgb="FFFF0000"/>
                </patternFill>
              </fill>
            </x14:dxf>
          </x14:cfRule>
          <xm:sqref>AX102:BJ102</xm:sqref>
        </x14:conditionalFormatting>
        <x14:conditionalFormatting xmlns:xm="http://schemas.microsoft.com/office/excel/2006/main">
          <x14:cfRule type="expression" priority="4695807" id="{092D9100-E652-40FE-8CAA-720DC0681250}">
            <xm:f>$AZ$4='Data entry'!$R38</xm:f>
            <x14:dxf>
              <fill>
                <patternFill>
                  <bgColor rgb="FFFFFF00"/>
                </patternFill>
              </fill>
            </x14:dxf>
          </x14:cfRule>
          <xm:sqref>AL101:AZ101</xm:sqref>
        </x14:conditionalFormatting>
        <x14:conditionalFormatting xmlns:xm="http://schemas.microsoft.com/office/excel/2006/main">
          <x14:cfRule type="expression" priority="4695808" id="{A3C7E6BE-A225-483C-A983-A915DB662C52}">
            <xm:f>$BA$4='Data entry'!$R38</xm:f>
            <x14:dxf>
              <fill>
                <patternFill>
                  <bgColor rgb="FFFF0000"/>
                </patternFill>
              </fill>
            </x14:dxf>
          </x14:cfRule>
          <xm:sqref>AY102:BK102</xm:sqref>
        </x14:conditionalFormatting>
        <x14:conditionalFormatting xmlns:xm="http://schemas.microsoft.com/office/excel/2006/main">
          <x14:cfRule type="expression" priority="4695809" id="{F5CF569A-8AFA-4CFF-8BD3-F04D8927A99F}">
            <xm:f>$BA$4='Data entry'!$R38</xm:f>
            <x14:dxf>
              <fill>
                <patternFill>
                  <bgColor rgb="FFFFFF00"/>
                </patternFill>
              </fill>
            </x14:dxf>
          </x14:cfRule>
          <xm:sqref>AM101:BA101</xm:sqref>
        </x14:conditionalFormatting>
        <x14:conditionalFormatting xmlns:xm="http://schemas.microsoft.com/office/excel/2006/main">
          <x14:cfRule type="expression" priority="4695810" id="{E4DAC94A-7983-4BFB-A87B-45B58561841A}">
            <xm:f>$BB$4='Data entry'!$R38</xm:f>
            <x14:dxf>
              <fill>
                <patternFill>
                  <bgColor rgb="FFFF0000"/>
                </patternFill>
              </fill>
            </x14:dxf>
          </x14:cfRule>
          <xm:sqref>AZ102:BL102</xm:sqref>
        </x14:conditionalFormatting>
        <x14:conditionalFormatting xmlns:xm="http://schemas.microsoft.com/office/excel/2006/main">
          <x14:cfRule type="expression" priority="4695811" id="{E63849C5-F39B-4B0E-8F8A-B532EDF2CBAE}">
            <xm:f>$BB$4='Data entry'!$R38</xm:f>
            <x14:dxf>
              <fill>
                <patternFill>
                  <bgColor rgb="FFFFFF00"/>
                </patternFill>
              </fill>
            </x14:dxf>
          </x14:cfRule>
          <xm:sqref>AN101:BB101</xm:sqref>
        </x14:conditionalFormatting>
        <x14:conditionalFormatting xmlns:xm="http://schemas.microsoft.com/office/excel/2006/main">
          <x14:cfRule type="expression" priority="4695812" id="{4FDC32D3-C1F5-455D-9AA4-A03359B72526}">
            <xm:f>$BC$4='Data entry'!$R38</xm:f>
            <x14:dxf>
              <fill>
                <patternFill>
                  <bgColor rgb="FFFF0000"/>
                </patternFill>
              </fill>
            </x14:dxf>
          </x14:cfRule>
          <xm:sqref>BA102:BM102</xm:sqref>
        </x14:conditionalFormatting>
        <x14:conditionalFormatting xmlns:xm="http://schemas.microsoft.com/office/excel/2006/main">
          <x14:cfRule type="expression" priority="4695813" id="{5F0D0C60-B233-4C56-B05D-98C99990877F}">
            <xm:f>$BC$4='Data entry'!$R38</xm:f>
            <x14:dxf>
              <fill>
                <patternFill>
                  <bgColor rgb="FFFFFF00"/>
                </patternFill>
              </fill>
            </x14:dxf>
          </x14:cfRule>
          <xm:sqref>AO101:BC101</xm:sqref>
        </x14:conditionalFormatting>
        <x14:conditionalFormatting xmlns:xm="http://schemas.microsoft.com/office/excel/2006/main">
          <x14:cfRule type="expression" priority="4695814" id="{9EBCB60F-8135-43B6-A0F3-548D4092CC98}">
            <xm:f>$BD$4='Data entry'!$R38</xm:f>
            <x14:dxf>
              <fill>
                <patternFill>
                  <bgColor rgb="FFFF0000"/>
                </patternFill>
              </fill>
            </x14:dxf>
          </x14:cfRule>
          <xm:sqref>BB102:BN102</xm:sqref>
        </x14:conditionalFormatting>
        <x14:conditionalFormatting xmlns:xm="http://schemas.microsoft.com/office/excel/2006/main">
          <x14:cfRule type="expression" priority="4695815" id="{961AF346-4A73-41ED-9A8D-27D431B09C05}">
            <xm:f>$BD$4='Data entry'!$R38</xm:f>
            <x14:dxf>
              <fill>
                <patternFill>
                  <bgColor rgb="FFFFFF00"/>
                </patternFill>
              </fill>
            </x14:dxf>
          </x14:cfRule>
          <xm:sqref>AP101:BD101</xm:sqref>
        </x14:conditionalFormatting>
        <x14:conditionalFormatting xmlns:xm="http://schemas.microsoft.com/office/excel/2006/main">
          <x14:cfRule type="expression" priority="4695816" id="{5A887026-27CD-4F8C-8BA6-1E92704C1CA6}">
            <xm:f>$BE$4='Data entry'!$R38</xm:f>
            <x14:dxf>
              <fill>
                <patternFill>
                  <bgColor rgb="FFFF0000"/>
                </patternFill>
              </fill>
            </x14:dxf>
          </x14:cfRule>
          <xm:sqref>BC102:BO102</xm:sqref>
        </x14:conditionalFormatting>
        <x14:conditionalFormatting xmlns:xm="http://schemas.microsoft.com/office/excel/2006/main">
          <x14:cfRule type="expression" priority="4695817" id="{7F46217B-A1E9-4515-B31E-E756FCD7C6D9}">
            <xm:f>$BE$4='Data entry'!$R38</xm:f>
            <x14:dxf>
              <fill>
                <patternFill>
                  <bgColor rgb="FFFFFF00"/>
                </patternFill>
              </fill>
            </x14:dxf>
          </x14:cfRule>
          <xm:sqref>AP101:BE101</xm:sqref>
        </x14:conditionalFormatting>
        <x14:conditionalFormatting xmlns:xm="http://schemas.microsoft.com/office/excel/2006/main">
          <x14:cfRule type="expression" priority="4695818" id="{F4D9285C-8CA0-4EF1-943E-6A462D47CC77}">
            <xm:f>$BF$4='Data entry'!$R38</xm:f>
            <x14:dxf>
              <fill>
                <patternFill>
                  <bgColor rgb="FFFF0000"/>
                </patternFill>
              </fill>
            </x14:dxf>
          </x14:cfRule>
          <xm:sqref>BD102:BP102</xm:sqref>
        </x14:conditionalFormatting>
        <x14:conditionalFormatting xmlns:xm="http://schemas.microsoft.com/office/excel/2006/main">
          <x14:cfRule type="expression" priority="4695819" id="{B9E4407D-651D-4DC0-9D61-3271D62A65E9}">
            <xm:f>$BF$4='Data entry'!$R38</xm:f>
            <x14:dxf>
              <fill>
                <patternFill>
                  <bgColor rgb="FFFFFF00"/>
                </patternFill>
              </fill>
            </x14:dxf>
          </x14:cfRule>
          <xm:sqref>AR101:BF101</xm:sqref>
        </x14:conditionalFormatting>
        <x14:conditionalFormatting xmlns:xm="http://schemas.microsoft.com/office/excel/2006/main">
          <x14:cfRule type="expression" priority="4695820" id="{4CDC062F-DDFF-4556-B941-08F919727F69}">
            <xm:f>$BG$4='Data entry'!$R38</xm:f>
            <x14:dxf>
              <fill>
                <patternFill>
                  <bgColor rgb="FFFF0000"/>
                </patternFill>
              </fill>
            </x14:dxf>
          </x14:cfRule>
          <xm:sqref>BE102:BQ102</xm:sqref>
        </x14:conditionalFormatting>
        <x14:conditionalFormatting xmlns:xm="http://schemas.microsoft.com/office/excel/2006/main">
          <x14:cfRule type="expression" priority="4695821" id="{789184FA-9055-433B-8A1B-92C7ED59E81F}">
            <xm:f>$BG$4='Data entry'!$R38</xm:f>
            <x14:dxf>
              <fill>
                <patternFill>
                  <bgColor rgb="FFFFFF00"/>
                </patternFill>
              </fill>
            </x14:dxf>
          </x14:cfRule>
          <xm:sqref>AS101:BG101</xm:sqref>
        </x14:conditionalFormatting>
        <x14:conditionalFormatting xmlns:xm="http://schemas.microsoft.com/office/excel/2006/main">
          <x14:cfRule type="expression" priority="4695822" id="{58651E5C-09C9-46C1-B95C-E8A578A49E15}">
            <xm:f>$BH$4='Data entry'!$R38</xm:f>
            <x14:dxf>
              <fill>
                <patternFill>
                  <bgColor rgb="FFFFFF00"/>
                </patternFill>
              </fill>
            </x14:dxf>
          </x14:cfRule>
          <xm:sqref>AT101:BH101</xm:sqref>
        </x14:conditionalFormatting>
        <x14:conditionalFormatting xmlns:xm="http://schemas.microsoft.com/office/excel/2006/main">
          <x14:cfRule type="expression" priority="4695823" id="{97B30B86-8311-4DC0-A533-8C0D53F37839}">
            <xm:f>$BH$4='Data entry'!$R38</xm:f>
            <x14:dxf>
              <fill>
                <patternFill>
                  <bgColor rgb="FFFF0000"/>
                </patternFill>
              </fill>
            </x14:dxf>
          </x14:cfRule>
          <xm:sqref>BF102:BR102</xm:sqref>
        </x14:conditionalFormatting>
        <x14:conditionalFormatting xmlns:xm="http://schemas.microsoft.com/office/excel/2006/main">
          <x14:cfRule type="expression" priority="4695824" id="{78344C0C-5AEA-40B1-A20C-6D77DF58E1F5}">
            <xm:f>$BI$4='Data entry'!$R38</xm:f>
            <x14:dxf>
              <fill>
                <patternFill>
                  <bgColor rgb="FFFFFF00"/>
                </patternFill>
              </fill>
            </x14:dxf>
          </x14:cfRule>
          <xm:sqref>AU101:BI101</xm:sqref>
        </x14:conditionalFormatting>
        <x14:conditionalFormatting xmlns:xm="http://schemas.microsoft.com/office/excel/2006/main">
          <x14:cfRule type="expression" priority="4695825" id="{A9CE044F-482E-4F25-B28F-89ACC58502B1}">
            <xm:f>$BI$4='Data entry'!$R38</xm:f>
            <x14:dxf>
              <fill>
                <patternFill>
                  <bgColor rgb="FFFF0000"/>
                </patternFill>
              </fill>
            </x14:dxf>
          </x14:cfRule>
          <xm:sqref>BG102:BS102</xm:sqref>
        </x14:conditionalFormatting>
        <x14:conditionalFormatting xmlns:xm="http://schemas.microsoft.com/office/excel/2006/main">
          <x14:cfRule type="expression" priority="4695826" id="{F63BE0EB-3C71-4456-BEF0-11180AB7A8BB}">
            <xm:f>$BJ$4='Data entry'!$R38</xm:f>
            <x14:dxf>
              <fill>
                <patternFill>
                  <bgColor rgb="FFFFFF00"/>
                </patternFill>
              </fill>
            </x14:dxf>
          </x14:cfRule>
          <xm:sqref>AV101:BJ101</xm:sqref>
        </x14:conditionalFormatting>
        <x14:conditionalFormatting xmlns:xm="http://schemas.microsoft.com/office/excel/2006/main">
          <x14:cfRule type="expression" priority="4695827" id="{478A5DCB-1DAA-4497-A6CC-B4F01FB96D10}">
            <xm:f>$BJ$4='Data entry'!$R38</xm:f>
            <x14:dxf>
              <fill>
                <patternFill>
                  <bgColor rgb="FFFF0000"/>
                </patternFill>
              </fill>
            </x14:dxf>
          </x14:cfRule>
          <xm:sqref>BH102:BT102</xm:sqref>
        </x14:conditionalFormatting>
        <x14:conditionalFormatting xmlns:xm="http://schemas.microsoft.com/office/excel/2006/main">
          <x14:cfRule type="expression" priority="4695828" id="{CDE4AD5B-65A6-4FA4-9EC0-8D05F22312A9}">
            <xm:f>$BK$4='Data entry'!$R38</xm:f>
            <x14:dxf>
              <fill>
                <patternFill>
                  <bgColor rgb="FFFF0000"/>
                </patternFill>
              </fill>
            </x14:dxf>
          </x14:cfRule>
          <xm:sqref>BI102:BU102</xm:sqref>
        </x14:conditionalFormatting>
        <x14:conditionalFormatting xmlns:xm="http://schemas.microsoft.com/office/excel/2006/main">
          <x14:cfRule type="expression" priority="4695829" id="{AB32E790-6CD8-4D11-9A69-57D785FE4BBC}">
            <xm:f>$BK$4='Data entry'!$R38</xm:f>
            <x14:dxf>
              <fill>
                <patternFill>
                  <bgColor rgb="FFFFFF00"/>
                </patternFill>
              </fill>
            </x14:dxf>
          </x14:cfRule>
          <xm:sqref>AW101:BK101</xm:sqref>
        </x14:conditionalFormatting>
        <x14:conditionalFormatting xmlns:xm="http://schemas.microsoft.com/office/excel/2006/main">
          <x14:cfRule type="expression" priority="4695830" id="{99810EB9-805C-43D8-852A-EEECE7874CDB}">
            <xm:f>$BL$4='Data entry'!$R38</xm:f>
            <x14:dxf>
              <fill>
                <patternFill>
                  <bgColor rgb="FFFF0000"/>
                </patternFill>
              </fill>
            </x14:dxf>
          </x14:cfRule>
          <xm:sqref>BJ102:BV102</xm:sqref>
        </x14:conditionalFormatting>
        <x14:conditionalFormatting xmlns:xm="http://schemas.microsoft.com/office/excel/2006/main">
          <x14:cfRule type="expression" priority="4695831" id="{BF5F5475-4E46-479C-97A6-D5175F5D1803}">
            <xm:f>$BL$4='Data entry'!$R38</xm:f>
            <x14:dxf>
              <fill>
                <patternFill>
                  <bgColor rgb="FFFFFF00"/>
                </patternFill>
              </fill>
            </x14:dxf>
          </x14:cfRule>
          <xm:sqref>AX101:BL101</xm:sqref>
        </x14:conditionalFormatting>
        <x14:conditionalFormatting xmlns:xm="http://schemas.microsoft.com/office/excel/2006/main">
          <x14:cfRule type="expression" priority="4695832" id="{B86FDF2F-16C9-46B1-847E-7EA1A8A34B9D}">
            <xm:f>$BM$4='Data entry'!$R38</xm:f>
            <x14:dxf>
              <fill>
                <patternFill>
                  <bgColor rgb="FFFF0000"/>
                </patternFill>
              </fill>
            </x14:dxf>
          </x14:cfRule>
          <xm:sqref>BK102:BW102</xm:sqref>
        </x14:conditionalFormatting>
        <x14:conditionalFormatting xmlns:xm="http://schemas.microsoft.com/office/excel/2006/main">
          <x14:cfRule type="expression" priority="4695833" id="{72FD189F-4CED-400D-9FEF-21A328970A4D}">
            <xm:f>$BM$4='Data entry'!$R38</xm:f>
            <x14:dxf>
              <fill>
                <patternFill>
                  <bgColor rgb="FFFFFF00"/>
                </patternFill>
              </fill>
            </x14:dxf>
          </x14:cfRule>
          <xm:sqref>AY101:BM101</xm:sqref>
        </x14:conditionalFormatting>
        <x14:conditionalFormatting xmlns:xm="http://schemas.microsoft.com/office/excel/2006/main">
          <x14:cfRule type="expression" priority="4695834" id="{BBBBF859-D5A7-4F55-BFBF-8A77E3357590}">
            <xm:f>$BN$4='Data entry'!$R38</xm:f>
            <x14:dxf>
              <fill>
                <patternFill>
                  <bgColor rgb="FFFF0000"/>
                </patternFill>
              </fill>
            </x14:dxf>
          </x14:cfRule>
          <xm:sqref>BL102:BX102</xm:sqref>
        </x14:conditionalFormatting>
        <x14:conditionalFormatting xmlns:xm="http://schemas.microsoft.com/office/excel/2006/main">
          <x14:cfRule type="expression" priority="4695835" id="{50CB1D75-0FD5-4D24-92B1-E8A41DC6575C}">
            <xm:f>$BN$4='Data entry'!$R38</xm:f>
            <x14:dxf>
              <fill>
                <patternFill>
                  <bgColor rgb="FFFFFF00"/>
                </patternFill>
              </fill>
            </x14:dxf>
          </x14:cfRule>
          <xm:sqref>AZ101:BN101</xm:sqref>
        </x14:conditionalFormatting>
        <x14:conditionalFormatting xmlns:xm="http://schemas.microsoft.com/office/excel/2006/main">
          <x14:cfRule type="expression" priority="4695836" id="{9EF3226D-E8FC-496B-A6FF-71776AEA54D1}">
            <xm:f>$BO$4='Data entry'!$R38</xm:f>
            <x14:dxf>
              <fill>
                <patternFill>
                  <bgColor rgb="FFFF0000"/>
                </patternFill>
              </fill>
            </x14:dxf>
          </x14:cfRule>
          <xm:sqref>BM102:BY102</xm:sqref>
        </x14:conditionalFormatting>
        <x14:conditionalFormatting xmlns:xm="http://schemas.microsoft.com/office/excel/2006/main">
          <x14:cfRule type="expression" priority="4695837" id="{3B86C801-ECFE-4D05-8AA5-1581116BAFBC}">
            <xm:f>$BO$4='Data entry'!$R38</xm:f>
            <x14:dxf>
              <fill>
                <patternFill>
                  <bgColor rgb="FFFFFF00"/>
                </patternFill>
              </fill>
            </x14:dxf>
          </x14:cfRule>
          <xm:sqref>BA101:BO101</xm:sqref>
        </x14:conditionalFormatting>
        <x14:conditionalFormatting xmlns:xm="http://schemas.microsoft.com/office/excel/2006/main">
          <x14:cfRule type="expression" priority="4695838" id="{058A23EC-3371-4A02-9F20-1ECA603AC6BC}">
            <xm:f>$BP$4='Data entry'!$R38</xm:f>
            <x14:dxf>
              <fill>
                <patternFill>
                  <bgColor rgb="FFFF0000"/>
                </patternFill>
              </fill>
            </x14:dxf>
          </x14:cfRule>
          <xm:sqref>BN102:BZ102</xm:sqref>
        </x14:conditionalFormatting>
        <x14:conditionalFormatting xmlns:xm="http://schemas.microsoft.com/office/excel/2006/main">
          <x14:cfRule type="expression" priority="4695839" id="{3E711E31-3992-4555-AB22-87133D60CD15}">
            <xm:f>$BP$4='Data entry'!$R38</xm:f>
            <x14:dxf>
              <fill>
                <patternFill>
                  <bgColor rgb="FFFFFF00"/>
                </patternFill>
              </fill>
            </x14:dxf>
          </x14:cfRule>
          <xm:sqref>BB101:BP101</xm:sqref>
        </x14:conditionalFormatting>
        <x14:conditionalFormatting xmlns:xm="http://schemas.microsoft.com/office/excel/2006/main">
          <x14:cfRule type="expression" priority="4695840" id="{23E9F8B9-37D5-4730-9453-6F23E8ECBBE3}">
            <xm:f>$BQ$4='Data entry'!$R38</xm:f>
            <x14:dxf>
              <fill>
                <patternFill>
                  <bgColor rgb="FFFFFF00"/>
                </patternFill>
              </fill>
            </x14:dxf>
          </x14:cfRule>
          <xm:sqref>BC101:BQ101</xm:sqref>
        </x14:conditionalFormatting>
        <x14:conditionalFormatting xmlns:xm="http://schemas.microsoft.com/office/excel/2006/main">
          <x14:cfRule type="expression" priority="4695841" id="{BCFD92F6-AAD3-44FD-BC61-A292A81B883E}">
            <xm:f>$BQ$4='Data entry'!$R38</xm:f>
            <x14:dxf>
              <fill>
                <patternFill>
                  <bgColor rgb="FFFF0000"/>
                </patternFill>
              </fill>
            </x14:dxf>
          </x14:cfRule>
          <xm:sqref>BO102:CA102</xm:sqref>
        </x14:conditionalFormatting>
        <x14:conditionalFormatting xmlns:xm="http://schemas.microsoft.com/office/excel/2006/main">
          <x14:cfRule type="expression" priority="4695842" id="{357D60E5-F356-477E-8020-A18F42C02832}">
            <xm:f>$BR$4='Data entry'!$R38</xm:f>
            <x14:dxf>
              <fill>
                <patternFill>
                  <bgColor rgb="FFFFFF00"/>
                </patternFill>
              </fill>
            </x14:dxf>
          </x14:cfRule>
          <xm:sqref>BD101:BR101</xm:sqref>
        </x14:conditionalFormatting>
        <x14:conditionalFormatting xmlns:xm="http://schemas.microsoft.com/office/excel/2006/main">
          <x14:cfRule type="expression" priority="4695843" id="{DA2B6511-43B3-432D-B6AA-1DB1188B90A6}">
            <xm:f>$BR$4='Data entry'!$R38</xm:f>
            <x14:dxf>
              <fill>
                <patternFill>
                  <bgColor rgb="FFFF0000"/>
                </patternFill>
              </fill>
            </x14:dxf>
          </x14:cfRule>
          <xm:sqref>BP102:CB102</xm:sqref>
        </x14:conditionalFormatting>
        <x14:conditionalFormatting xmlns:xm="http://schemas.microsoft.com/office/excel/2006/main">
          <x14:cfRule type="expression" priority="4695844" id="{0D5F64E4-4136-4BFA-B833-CC8578525D9C}">
            <xm:f>$BS$4='Data entry'!$R38</xm:f>
            <x14:dxf>
              <fill>
                <patternFill>
                  <bgColor rgb="FFFFFF00"/>
                </patternFill>
              </fill>
            </x14:dxf>
          </x14:cfRule>
          <xm:sqref>BE101:BS101</xm:sqref>
        </x14:conditionalFormatting>
        <x14:conditionalFormatting xmlns:xm="http://schemas.microsoft.com/office/excel/2006/main">
          <x14:cfRule type="expression" priority="4695845" id="{AC94D468-F078-4AE2-8771-102996E07B09}">
            <xm:f>$BS$4='Data entry'!$R38</xm:f>
            <x14:dxf>
              <fill>
                <patternFill>
                  <bgColor rgb="FFFF0000"/>
                </patternFill>
              </fill>
            </x14:dxf>
          </x14:cfRule>
          <xm:sqref>BQ102:CC102</xm:sqref>
        </x14:conditionalFormatting>
        <x14:conditionalFormatting xmlns:xm="http://schemas.microsoft.com/office/excel/2006/main">
          <x14:cfRule type="expression" priority="4695846" id="{10E78F76-181E-4F19-9F89-7DD36D3EFE30}">
            <xm:f>$BT$4='Data entry'!$R38</xm:f>
            <x14:dxf>
              <fill>
                <patternFill>
                  <bgColor rgb="FFFFFF00"/>
                </patternFill>
              </fill>
            </x14:dxf>
          </x14:cfRule>
          <xm:sqref>BF101:BT101</xm:sqref>
        </x14:conditionalFormatting>
        <x14:conditionalFormatting xmlns:xm="http://schemas.microsoft.com/office/excel/2006/main">
          <x14:cfRule type="expression" priority="4695847" id="{6A5FADC6-9512-4EFB-90A5-7B5244D10D1F}">
            <xm:f>$BT$4='Data entry'!$R38</xm:f>
            <x14:dxf>
              <fill>
                <patternFill>
                  <bgColor rgb="FFFF0000"/>
                </patternFill>
              </fill>
            </x14:dxf>
          </x14:cfRule>
          <xm:sqref>BR102:CC102</xm:sqref>
        </x14:conditionalFormatting>
        <x14:conditionalFormatting xmlns:xm="http://schemas.microsoft.com/office/excel/2006/main">
          <x14:cfRule type="expression" priority="4695848" id="{A51139D1-8841-4B96-B8CB-DFE3808765CF}">
            <xm:f>$BU$4='Data entry'!$R38</xm:f>
            <x14:dxf>
              <fill>
                <patternFill>
                  <bgColor rgb="FFFFFF00"/>
                </patternFill>
              </fill>
            </x14:dxf>
          </x14:cfRule>
          <xm:sqref>BG101:BU101</xm:sqref>
        </x14:conditionalFormatting>
        <x14:conditionalFormatting xmlns:xm="http://schemas.microsoft.com/office/excel/2006/main">
          <x14:cfRule type="expression" priority="4695849" id="{55CA7258-760F-4BFF-ACB5-A70FEB3E7981}">
            <xm:f>$BU$4='Data entry'!$R38</xm:f>
            <x14:dxf>
              <fill>
                <patternFill>
                  <bgColor rgb="FFFF0000"/>
                </patternFill>
              </fill>
            </x14:dxf>
          </x14:cfRule>
          <xm:sqref>BS102:CC102</xm:sqref>
        </x14:conditionalFormatting>
        <x14:conditionalFormatting xmlns:xm="http://schemas.microsoft.com/office/excel/2006/main">
          <x14:cfRule type="expression" priority="4695850" id="{A922B218-64DB-4CBB-9AB8-FE0EBB44E09E}">
            <xm:f>$BV$4='Data entry'!$R38</xm:f>
            <x14:dxf>
              <fill>
                <patternFill>
                  <bgColor rgb="FFFFFF00"/>
                </patternFill>
              </fill>
            </x14:dxf>
          </x14:cfRule>
          <xm:sqref>BH101:BV101</xm:sqref>
        </x14:conditionalFormatting>
        <x14:conditionalFormatting xmlns:xm="http://schemas.microsoft.com/office/excel/2006/main">
          <x14:cfRule type="expression" priority="4695851" id="{C98E908A-CD31-4778-B41C-7AFB9DBE639A}">
            <xm:f>$BV$4='Data entry'!$R38</xm:f>
            <x14:dxf>
              <fill>
                <patternFill>
                  <bgColor rgb="FFFF0000"/>
                </patternFill>
              </fill>
            </x14:dxf>
          </x14:cfRule>
          <xm:sqref>BT102:CC102</xm:sqref>
        </x14:conditionalFormatting>
        <x14:conditionalFormatting xmlns:xm="http://schemas.microsoft.com/office/excel/2006/main">
          <x14:cfRule type="expression" priority="4695852" id="{465CCCA3-B4DB-4B61-8AC7-8A5E4CEC9E3F}">
            <xm:f>$BW$4='Data entry'!$R38</xm:f>
            <x14:dxf>
              <fill>
                <patternFill>
                  <bgColor rgb="FFFFFF00"/>
                </patternFill>
              </fill>
            </x14:dxf>
          </x14:cfRule>
          <xm:sqref>BI101:BW101</xm:sqref>
        </x14:conditionalFormatting>
        <x14:conditionalFormatting xmlns:xm="http://schemas.microsoft.com/office/excel/2006/main">
          <x14:cfRule type="expression" priority="4695853" id="{37566F97-6D06-400B-A709-FE657B07687F}">
            <xm:f>$BW$4='Data entry'!$R38</xm:f>
            <x14:dxf>
              <fill>
                <patternFill>
                  <bgColor rgb="FFFF0000"/>
                </patternFill>
              </fill>
            </x14:dxf>
          </x14:cfRule>
          <xm:sqref>BU102:CC102</xm:sqref>
        </x14:conditionalFormatting>
        <x14:conditionalFormatting xmlns:xm="http://schemas.microsoft.com/office/excel/2006/main">
          <x14:cfRule type="expression" priority="4695854" id="{D8FBA3AC-5CF0-4E45-97CA-1D4DEE729ADA}">
            <xm:f>$BX$4='Data entry'!$R38</xm:f>
            <x14:dxf>
              <fill>
                <patternFill>
                  <bgColor rgb="FFFFFF00"/>
                </patternFill>
              </fill>
            </x14:dxf>
          </x14:cfRule>
          <xm:sqref>BJ101:BX101</xm:sqref>
        </x14:conditionalFormatting>
        <x14:conditionalFormatting xmlns:xm="http://schemas.microsoft.com/office/excel/2006/main">
          <x14:cfRule type="expression" priority="4695855" id="{E077C84B-A94F-431D-B232-4AFCC7C64F54}">
            <xm:f>$BX$4='Data entry'!$R38</xm:f>
            <x14:dxf>
              <fill>
                <patternFill>
                  <bgColor rgb="FFFF0000"/>
                </patternFill>
              </fill>
            </x14:dxf>
          </x14:cfRule>
          <xm:sqref>BV102:CC102</xm:sqref>
        </x14:conditionalFormatting>
        <x14:conditionalFormatting xmlns:xm="http://schemas.microsoft.com/office/excel/2006/main">
          <x14:cfRule type="expression" priority="4695856" id="{63783BA8-0C97-4A44-86FD-7A2BCF1B9957}">
            <xm:f>$BY$4='Data entry'!$R38</xm:f>
            <x14:dxf>
              <fill>
                <patternFill>
                  <bgColor rgb="FFFFFF00"/>
                </patternFill>
              </fill>
            </x14:dxf>
          </x14:cfRule>
          <xm:sqref>BK101:BY101</xm:sqref>
        </x14:conditionalFormatting>
        <x14:conditionalFormatting xmlns:xm="http://schemas.microsoft.com/office/excel/2006/main">
          <x14:cfRule type="expression" priority="4695857" id="{BB8DB8B4-B71B-46D2-AEE7-346F16103F74}">
            <xm:f>$BY$4='Data entry'!$R38</xm:f>
            <x14:dxf>
              <fill>
                <patternFill>
                  <bgColor rgb="FFFF0000"/>
                </patternFill>
              </fill>
            </x14:dxf>
          </x14:cfRule>
          <xm:sqref>BW102:CC102</xm:sqref>
        </x14:conditionalFormatting>
        <x14:conditionalFormatting xmlns:xm="http://schemas.microsoft.com/office/excel/2006/main">
          <x14:cfRule type="expression" priority="4695858" id="{1B638B98-2B06-4FEB-90C1-446A3E0A3979}">
            <xm:f>$BZ$4='Data entry'!$R38</xm:f>
            <x14:dxf>
              <fill>
                <patternFill>
                  <bgColor rgb="FFFFFF00"/>
                </patternFill>
              </fill>
            </x14:dxf>
          </x14:cfRule>
          <xm:sqref>BL101:BZ101</xm:sqref>
        </x14:conditionalFormatting>
        <x14:conditionalFormatting xmlns:xm="http://schemas.microsoft.com/office/excel/2006/main">
          <x14:cfRule type="expression" priority="4695859" id="{D3A0A2F8-D1B2-4DC5-B2A9-0EF53074E685}">
            <xm:f>$BZ$4='Data entry'!$R38</xm:f>
            <x14:dxf>
              <fill>
                <patternFill>
                  <bgColor rgb="FFFF0000"/>
                </patternFill>
              </fill>
            </x14:dxf>
          </x14:cfRule>
          <xm:sqref>BX102:CC102</xm:sqref>
        </x14:conditionalFormatting>
        <x14:conditionalFormatting xmlns:xm="http://schemas.microsoft.com/office/excel/2006/main">
          <x14:cfRule type="expression" priority="4695860" id="{83F6D018-7D3B-4D33-9998-11572F2F2FF5}">
            <xm:f>$CA$4='Data entry'!$R38</xm:f>
            <x14:dxf>
              <fill>
                <patternFill>
                  <bgColor rgb="FFFFFF00"/>
                </patternFill>
              </fill>
            </x14:dxf>
          </x14:cfRule>
          <xm:sqref>BM101:CA101</xm:sqref>
        </x14:conditionalFormatting>
        <x14:conditionalFormatting xmlns:xm="http://schemas.microsoft.com/office/excel/2006/main">
          <x14:cfRule type="expression" priority="4695861" id="{8E6D0B51-5626-4ED9-9072-C7A2C139704F}">
            <xm:f>$CA$4='Data entry'!$R38</xm:f>
            <x14:dxf>
              <fill>
                <patternFill>
                  <bgColor rgb="FFFF0000"/>
                </patternFill>
              </fill>
            </x14:dxf>
          </x14:cfRule>
          <xm:sqref>BY102:CC102</xm:sqref>
        </x14:conditionalFormatting>
        <x14:conditionalFormatting xmlns:xm="http://schemas.microsoft.com/office/excel/2006/main">
          <x14:cfRule type="expression" priority="4695862" id="{E1886EE4-3BDE-43A9-9F4B-79377FEC37FE}">
            <xm:f>$CB$4='Data entry'!$R38</xm:f>
            <x14:dxf>
              <fill>
                <patternFill>
                  <bgColor rgb="FFFFFF00"/>
                </patternFill>
              </fill>
            </x14:dxf>
          </x14:cfRule>
          <xm:sqref>BN101:CB101</xm:sqref>
        </x14:conditionalFormatting>
        <x14:conditionalFormatting xmlns:xm="http://schemas.microsoft.com/office/excel/2006/main">
          <x14:cfRule type="expression" priority="4695863" id="{ADEF572A-6C18-4602-BB86-01C96D36E07E}">
            <xm:f>$CB$4='Data entry'!$R38</xm:f>
            <x14:dxf>
              <fill>
                <patternFill>
                  <bgColor rgb="FFFF0000"/>
                </patternFill>
              </fill>
            </x14:dxf>
          </x14:cfRule>
          <xm:sqref>BZ102:CC102</xm:sqref>
        </x14:conditionalFormatting>
        <x14:conditionalFormatting xmlns:xm="http://schemas.microsoft.com/office/excel/2006/main">
          <x14:cfRule type="expression" priority="4695864" id="{7984E1C9-E073-4955-8543-62145CB6D008}">
            <xm:f>$CC$4='Data entry'!$R38</xm:f>
            <x14:dxf>
              <fill>
                <patternFill>
                  <bgColor rgb="FFFFFF00"/>
                </patternFill>
              </fill>
            </x14:dxf>
          </x14:cfRule>
          <xm:sqref>BO101:CC101</xm:sqref>
        </x14:conditionalFormatting>
        <x14:conditionalFormatting xmlns:xm="http://schemas.microsoft.com/office/excel/2006/main">
          <x14:cfRule type="expression" priority="4695865" id="{18A957B3-59FA-4698-BA92-2A208FF18E2F}">
            <xm:f>$CC$4='Data entry'!$R38</xm:f>
            <x14:dxf>
              <fill>
                <patternFill>
                  <bgColor rgb="FFFF0000"/>
                </patternFill>
              </fill>
            </x14:dxf>
          </x14:cfRule>
          <xm:sqref>CA102:CC102</xm:sqref>
        </x14:conditionalFormatting>
        <x14:conditionalFormatting xmlns:xm="http://schemas.microsoft.com/office/excel/2006/main">
          <x14:cfRule type="expression" priority="4695952" id="{5B0DB825-B7C2-40AC-B7EF-F267F054CFB9}">
            <xm:f>$U$4='Data entry'!$R39</xm:f>
            <x14:dxf>
              <fill>
                <patternFill>
                  <bgColor rgb="FFFF0000"/>
                </patternFill>
              </fill>
            </x14:dxf>
          </x14:cfRule>
          <xm:sqref>S105:AE105</xm:sqref>
        </x14:conditionalFormatting>
        <x14:conditionalFormatting xmlns:xm="http://schemas.microsoft.com/office/excel/2006/main">
          <x14:cfRule type="expression" priority="4695953" id="{18311200-E2BB-400F-B594-3B9A2C6068C2}">
            <xm:f>$V$4='Data entry'!$R39</xm:f>
            <x14:dxf>
              <fill>
                <patternFill>
                  <bgColor rgb="FFFF0000"/>
                </patternFill>
              </fill>
            </x14:dxf>
          </x14:cfRule>
          <xm:sqref>T105:AF105</xm:sqref>
        </x14:conditionalFormatting>
        <x14:conditionalFormatting xmlns:xm="http://schemas.microsoft.com/office/excel/2006/main">
          <x14:cfRule type="expression" priority="4695954" id="{D6DFB621-1A58-4C59-A987-ECAD0EB2D32B}">
            <xm:f>$V$4='Data entry'!$R39</xm:f>
            <x14:dxf>
              <fill>
                <patternFill>
                  <bgColor rgb="FFFFFF00"/>
                </patternFill>
              </fill>
            </x14:dxf>
          </x14:cfRule>
          <xm:sqref>H104:V104</xm:sqref>
        </x14:conditionalFormatting>
        <x14:conditionalFormatting xmlns:xm="http://schemas.microsoft.com/office/excel/2006/main">
          <x14:cfRule type="expression" priority="4695955" id="{5F87A680-DC5F-433D-A779-B7A534ACCDA9}">
            <xm:f>$W$4='Data entry'!$R39</xm:f>
            <x14:dxf>
              <fill>
                <patternFill>
                  <bgColor rgb="FFFF0000"/>
                </patternFill>
              </fill>
            </x14:dxf>
          </x14:cfRule>
          <xm:sqref>U105:AG105</xm:sqref>
        </x14:conditionalFormatting>
        <x14:conditionalFormatting xmlns:xm="http://schemas.microsoft.com/office/excel/2006/main">
          <x14:cfRule type="expression" priority="4695956" id="{964539FF-A92C-4F68-B268-B7157A32678C}">
            <xm:f>$W$4='Data entry'!$R39</xm:f>
            <x14:dxf>
              <fill>
                <patternFill>
                  <bgColor rgb="FFFFFF00"/>
                </patternFill>
              </fill>
            </x14:dxf>
          </x14:cfRule>
          <xm:sqref>I104:W104</xm:sqref>
        </x14:conditionalFormatting>
        <x14:conditionalFormatting xmlns:xm="http://schemas.microsoft.com/office/excel/2006/main">
          <x14:cfRule type="expression" priority="4695957" id="{46C1533A-F090-4A90-9309-3F59EC3FD3B0}">
            <xm:f>$X$4='Data entry'!$R39</xm:f>
            <x14:dxf>
              <fill>
                <patternFill>
                  <bgColor rgb="FFFF0000"/>
                </patternFill>
              </fill>
            </x14:dxf>
          </x14:cfRule>
          <xm:sqref>V105:AH105</xm:sqref>
        </x14:conditionalFormatting>
        <x14:conditionalFormatting xmlns:xm="http://schemas.microsoft.com/office/excel/2006/main">
          <x14:cfRule type="expression" priority="4695958" id="{7C70E81C-DDD4-4D75-933A-4F6A39893184}">
            <xm:f>$X$4='Data entry'!$R39</xm:f>
            <x14:dxf>
              <fill>
                <patternFill>
                  <bgColor rgb="FFFFFF00"/>
                </patternFill>
              </fill>
            </x14:dxf>
          </x14:cfRule>
          <xm:sqref>J104:X104</xm:sqref>
        </x14:conditionalFormatting>
        <x14:conditionalFormatting xmlns:xm="http://schemas.microsoft.com/office/excel/2006/main">
          <x14:cfRule type="expression" priority="4695959" id="{561AF073-0EF8-4B72-A119-40A639C4359D}">
            <xm:f>$Y$4='Data entry'!$R39</xm:f>
            <x14:dxf>
              <fill>
                <patternFill>
                  <bgColor rgb="FFFF0000"/>
                </patternFill>
              </fill>
            </x14:dxf>
          </x14:cfRule>
          <xm:sqref>W105:AI105</xm:sqref>
        </x14:conditionalFormatting>
        <x14:conditionalFormatting xmlns:xm="http://schemas.microsoft.com/office/excel/2006/main">
          <x14:cfRule type="expression" priority="4695960" id="{F242E808-8F07-4A89-9524-7D4C767CE357}">
            <xm:f>$Y$4='Data entry'!$R39</xm:f>
            <x14:dxf>
              <fill>
                <patternFill>
                  <bgColor rgb="FFFFFF00"/>
                </patternFill>
              </fill>
            </x14:dxf>
          </x14:cfRule>
          <xm:sqref>K104:Y104</xm:sqref>
        </x14:conditionalFormatting>
        <x14:conditionalFormatting xmlns:xm="http://schemas.microsoft.com/office/excel/2006/main">
          <x14:cfRule type="expression" priority="4695961" id="{DD601058-982B-4218-BD9D-64BB823C2633}">
            <xm:f>$Z$4='Data entry'!$R39</xm:f>
            <x14:dxf>
              <fill>
                <patternFill>
                  <bgColor rgb="FFFF0000"/>
                </patternFill>
              </fill>
            </x14:dxf>
          </x14:cfRule>
          <xm:sqref>X105:AJ105</xm:sqref>
        </x14:conditionalFormatting>
        <x14:conditionalFormatting xmlns:xm="http://schemas.microsoft.com/office/excel/2006/main">
          <x14:cfRule type="expression" priority="4695962" id="{C9DB141D-79F6-4093-92A3-7BF7A1622985}">
            <xm:f>$Z$4='Data entry'!$R39</xm:f>
            <x14:dxf>
              <fill>
                <patternFill>
                  <bgColor rgb="FFFFFF00"/>
                </patternFill>
              </fill>
            </x14:dxf>
          </x14:cfRule>
          <xm:sqref>L104:Z104</xm:sqref>
        </x14:conditionalFormatting>
        <x14:conditionalFormatting xmlns:xm="http://schemas.microsoft.com/office/excel/2006/main">
          <x14:cfRule type="expression" priority="4695963" id="{710EB8D3-F5C0-4E3C-8214-2D0C4E26F649}">
            <xm:f>$AA$4='Data entry'!$R39</xm:f>
            <x14:dxf>
              <fill>
                <patternFill>
                  <bgColor rgb="FFFF0000"/>
                </patternFill>
              </fill>
            </x14:dxf>
          </x14:cfRule>
          <xm:sqref>Y105:AK105</xm:sqref>
        </x14:conditionalFormatting>
        <x14:conditionalFormatting xmlns:xm="http://schemas.microsoft.com/office/excel/2006/main">
          <x14:cfRule type="expression" priority="4695964" id="{33825D69-C967-4D27-B395-5D44A3083802}">
            <xm:f>$AA$4='Data entry'!$R39</xm:f>
            <x14:dxf>
              <fill>
                <patternFill>
                  <bgColor rgb="FFFFFF00"/>
                </patternFill>
              </fill>
            </x14:dxf>
          </x14:cfRule>
          <xm:sqref>M104:AA104</xm:sqref>
        </x14:conditionalFormatting>
        <x14:conditionalFormatting xmlns:xm="http://schemas.microsoft.com/office/excel/2006/main">
          <x14:cfRule type="expression" priority="4695965" id="{9811A97D-351B-4D32-8754-AF433277E62B}">
            <xm:f>$AB$4='Data entry'!$R39</xm:f>
            <x14:dxf>
              <fill>
                <patternFill>
                  <bgColor rgb="FFFF0000"/>
                </patternFill>
              </fill>
            </x14:dxf>
          </x14:cfRule>
          <xm:sqref>Z105:AL105</xm:sqref>
        </x14:conditionalFormatting>
        <x14:conditionalFormatting xmlns:xm="http://schemas.microsoft.com/office/excel/2006/main">
          <x14:cfRule type="expression" priority="4695966" id="{6DD3E556-C72E-438B-92DA-3096ED1E4178}">
            <xm:f>$AB$4='Data entry'!$R39</xm:f>
            <x14:dxf>
              <fill>
                <patternFill>
                  <bgColor rgb="FFFFFF00"/>
                </patternFill>
              </fill>
            </x14:dxf>
          </x14:cfRule>
          <xm:sqref>N104:AB104</xm:sqref>
        </x14:conditionalFormatting>
        <x14:conditionalFormatting xmlns:xm="http://schemas.microsoft.com/office/excel/2006/main">
          <x14:cfRule type="expression" priority="4695967" id="{C0DF7A1B-D6BC-4371-BD3A-F0708147FA1C}">
            <xm:f>$AC$4='Data entry'!$R39</xm:f>
            <x14:dxf>
              <fill>
                <patternFill>
                  <bgColor rgb="FFFF0000"/>
                </patternFill>
              </fill>
            </x14:dxf>
          </x14:cfRule>
          <xm:sqref>AA105:AM105</xm:sqref>
        </x14:conditionalFormatting>
        <x14:conditionalFormatting xmlns:xm="http://schemas.microsoft.com/office/excel/2006/main">
          <x14:cfRule type="expression" priority="4695968" id="{DB2E1F48-AF0E-41F9-A976-6B1963CA5711}">
            <xm:f>$AC$4='Data entry'!$R39</xm:f>
            <x14:dxf>
              <fill>
                <patternFill>
                  <bgColor rgb="FFFFFF00"/>
                </patternFill>
              </fill>
            </x14:dxf>
          </x14:cfRule>
          <xm:sqref>O104:AC104</xm:sqref>
        </x14:conditionalFormatting>
        <x14:conditionalFormatting xmlns:xm="http://schemas.microsoft.com/office/excel/2006/main">
          <x14:cfRule type="expression" priority="4695969" id="{89909907-F9A9-4AF9-BC1D-304710A43F50}">
            <xm:f>$AD$4='Data entry'!$R39</xm:f>
            <x14:dxf>
              <fill>
                <patternFill>
                  <bgColor rgb="FFFF0000"/>
                </patternFill>
              </fill>
            </x14:dxf>
          </x14:cfRule>
          <xm:sqref>AB105:AN105</xm:sqref>
        </x14:conditionalFormatting>
        <x14:conditionalFormatting xmlns:xm="http://schemas.microsoft.com/office/excel/2006/main">
          <x14:cfRule type="expression" priority="4695970" id="{729676B7-E331-43A4-ACC9-850DCEE76A0E}">
            <xm:f>$AD$4='Data entry'!$R39</xm:f>
            <x14:dxf>
              <fill>
                <patternFill>
                  <bgColor rgb="FFFFFF00"/>
                </patternFill>
              </fill>
            </x14:dxf>
          </x14:cfRule>
          <xm:sqref>P104:AD104</xm:sqref>
        </x14:conditionalFormatting>
        <x14:conditionalFormatting xmlns:xm="http://schemas.microsoft.com/office/excel/2006/main">
          <x14:cfRule type="expression" priority="4695971" id="{00DA2C55-350E-44AA-ABEA-808FABFDA737}">
            <xm:f>$AE$4='Data entry'!$R39</xm:f>
            <x14:dxf>
              <fill>
                <patternFill>
                  <bgColor rgb="FFFF0000"/>
                </patternFill>
              </fill>
            </x14:dxf>
          </x14:cfRule>
          <xm:sqref>AC105:AO105</xm:sqref>
        </x14:conditionalFormatting>
        <x14:conditionalFormatting xmlns:xm="http://schemas.microsoft.com/office/excel/2006/main">
          <x14:cfRule type="expression" priority="4695972" id="{373C95F1-00C1-45E9-B561-5224945BA4A4}">
            <xm:f>$AE$4='Data entry'!$R39</xm:f>
            <x14:dxf>
              <fill>
                <patternFill>
                  <bgColor rgb="FFFFFF00"/>
                </patternFill>
              </fill>
            </x14:dxf>
          </x14:cfRule>
          <xm:sqref>Q104:AE104</xm:sqref>
        </x14:conditionalFormatting>
        <x14:conditionalFormatting xmlns:xm="http://schemas.microsoft.com/office/excel/2006/main">
          <x14:cfRule type="expression" priority="4695973" id="{65E90E74-6BEF-4B00-BD5E-ECACFEBC225A}">
            <xm:f>$AF$4='Data entry'!$R39</xm:f>
            <x14:dxf>
              <fill>
                <patternFill>
                  <bgColor rgb="FFFF0000"/>
                </patternFill>
              </fill>
            </x14:dxf>
          </x14:cfRule>
          <xm:sqref>AD105:AP105</xm:sqref>
        </x14:conditionalFormatting>
        <x14:conditionalFormatting xmlns:xm="http://schemas.microsoft.com/office/excel/2006/main">
          <x14:cfRule type="expression" priority="4695974" id="{56B519D7-E083-4811-B42B-D6CB10D44BB3}">
            <xm:f>$AF$4='Data entry'!$R39</xm:f>
            <x14:dxf>
              <fill>
                <patternFill>
                  <bgColor rgb="FFFFFF00"/>
                </patternFill>
              </fill>
            </x14:dxf>
          </x14:cfRule>
          <xm:sqref>R104:AF104</xm:sqref>
        </x14:conditionalFormatting>
        <x14:conditionalFormatting xmlns:xm="http://schemas.microsoft.com/office/excel/2006/main">
          <x14:cfRule type="expression" priority="4695975" id="{889682B6-BF9B-414B-86B7-1C802156B058}">
            <xm:f>$AG$4='Data entry'!$R39</xm:f>
            <x14:dxf>
              <fill>
                <patternFill>
                  <bgColor rgb="FFFF0000"/>
                </patternFill>
              </fill>
            </x14:dxf>
          </x14:cfRule>
          <xm:sqref>AE105:AQ105</xm:sqref>
        </x14:conditionalFormatting>
        <x14:conditionalFormatting xmlns:xm="http://schemas.microsoft.com/office/excel/2006/main">
          <x14:cfRule type="expression" priority="4695976" id="{19913D88-1940-4CB0-B29C-D46D60833BD5}">
            <xm:f>$AG$4='Data entry'!$R39</xm:f>
            <x14:dxf>
              <fill>
                <patternFill>
                  <bgColor rgb="FFFFFF00"/>
                </patternFill>
              </fill>
            </x14:dxf>
          </x14:cfRule>
          <xm:sqref>S104:AG104</xm:sqref>
        </x14:conditionalFormatting>
        <x14:conditionalFormatting xmlns:xm="http://schemas.microsoft.com/office/excel/2006/main">
          <x14:cfRule type="expression" priority="4695977" id="{3DD7B9A5-18A3-463F-BAD5-9796FC487328}">
            <xm:f>$AH$4='Data entry'!$R39</xm:f>
            <x14:dxf>
              <fill>
                <patternFill>
                  <bgColor rgb="FFFF0000"/>
                </patternFill>
              </fill>
            </x14:dxf>
          </x14:cfRule>
          <xm:sqref>AF105:AR105</xm:sqref>
        </x14:conditionalFormatting>
        <x14:conditionalFormatting xmlns:xm="http://schemas.microsoft.com/office/excel/2006/main">
          <x14:cfRule type="expression" priority="4695978" id="{31005CF4-5608-496E-91EB-F7F505046C80}">
            <xm:f>$AH$4='Data entry'!$R39</xm:f>
            <x14:dxf>
              <fill>
                <patternFill>
                  <bgColor rgb="FFFFFF00"/>
                </patternFill>
              </fill>
            </x14:dxf>
          </x14:cfRule>
          <xm:sqref>T104:AH104</xm:sqref>
        </x14:conditionalFormatting>
        <x14:conditionalFormatting xmlns:xm="http://schemas.microsoft.com/office/excel/2006/main">
          <x14:cfRule type="expression" priority="4695979" id="{CD14F654-5B7A-444F-8FC1-7DD71E76E475}">
            <xm:f>$AI$4='Data entry'!$R39</xm:f>
            <x14:dxf>
              <fill>
                <patternFill>
                  <bgColor rgb="FFFF0000"/>
                </patternFill>
              </fill>
            </x14:dxf>
          </x14:cfRule>
          <xm:sqref>AG105:AS105</xm:sqref>
        </x14:conditionalFormatting>
        <x14:conditionalFormatting xmlns:xm="http://schemas.microsoft.com/office/excel/2006/main">
          <x14:cfRule type="expression" priority="4695980" id="{0E4E448C-6C46-4285-B877-A61A90294385}">
            <xm:f>$AI$4='Data entry'!$R39</xm:f>
            <x14:dxf>
              <fill>
                <patternFill>
                  <bgColor rgb="FFFFFF00"/>
                </patternFill>
              </fill>
            </x14:dxf>
          </x14:cfRule>
          <xm:sqref>U104:AI104</xm:sqref>
        </x14:conditionalFormatting>
        <x14:conditionalFormatting xmlns:xm="http://schemas.microsoft.com/office/excel/2006/main">
          <x14:cfRule type="expression" priority="4695981" id="{B1C1818F-791C-403D-BE73-6F6E9DC6A16D}">
            <xm:f>$AJ$4='Data entry'!$R39</xm:f>
            <x14:dxf>
              <fill>
                <patternFill>
                  <bgColor rgb="FFFF0000"/>
                </patternFill>
              </fill>
            </x14:dxf>
          </x14:cfRule>
          <xm:sqref>AH105:AT105</xm:sqref>
        </x14:conditionalFormatting>
        <x14:conditionalFormatting xmlns:xm="http://schemas.microsoft.com/office/excel/2006/main">
          <x14:cfRule type="expression" priority="4695982" id="{A1237792-221B-431B-B8A7-E9A64DA46D93}">
            <xm:f>$AJ$4='Data entry'!$R39</xm:f>
            <x14:dxf>
              <fill>
                <patternFill>
                  <bgColor rgb="FFFFFF00"/>
                </patternFill>
              </fill>
            </x14:dxf>
          </x14:cfRule>
          <xm:sqref>V104:AJ104</xm:sqref>
        </x14:conditionalFormatting>
        <x14:conditionalFormatting xmlns:xm="http://schemas.microsoft.com/office/excel/2006/main">
          <x14:cfRule type="expression" priority="4695983" id="{617DC2AF-C7A3-4724-8EA3-17DEFEDC8949}">
            <xm:f>$AK$4='Data entry'!$R39</xm:f>
            <x14:dxf>
              <fill>
                <patternFill>
                  <bgColor rgb="FFFF0000"/>
                </patternFill>
              </fill>
            </x14:dxf>
          </x14:cfRule>
          <xm:sqref>AI105:AU105</xm:sqref>
        </x14:conditionalFormatting>
        <x14:conditionalFormatting xmlns:xm="http://schemas.microsoft.com/office/excel/2006/main">
          <x14:cfRule type="expression" priority="4695984" id="{AA72317D-37B1-48EB-A28B-BF2AC8DC4519}">
            <xm:f>$AK$4='Data entry'!$R39</xm:f>
            <x14:dxf>
              <fill>
                <patternFill>
                  <bgColor rgb="FFFFFF00"/>
                </patternFill>
              </fill>
            </x14:dxf>
          </x14:cfRule>
          <xm:sqref>W104:AK104</xm:sqref>
        </x14:conditionalFormatting>
        <x14:conditionalFormatting xmlns:xm="http://schemas.microsoft.com/office/excel/2006/main">
          <x14:cfRule type="expression" priority="4695985" id="{6CA9FB7A-20EA-4D3A-B74C-A001F4BE810D}">
            <xm:f>$AL$4='Data entry'!$R39</xm:f>
            <x14:dxf>
              <fill>
                <patternFill>
                  <bgColor rgb="FFFF0000"/>
                </patternFill>
              </fill>
            </x14:dxf>
          </x14:cfRule>
          <xm:sqref>AJ105:AV105</xm:sqref>
        </x14:conditionalFormatting>
        <x14:conditionalFormatting xmlns:xm="http://schemas.microsoft.com/office/excel/2006/main">
          <x14:cfRule type="expression" priority="4695986" id="{81A75DAA-573F-4EF3-A640-1B992C18BEA0}">
            <xm:f>$AL$4='Data entry'!$R39</xm:f>
            <x14:dxf>
              <fill>
                <patternFill>
                  <bgColor rgb="FFFFFF00"/>
                </patternFill>
              </fill>
            </x14:dxf>
          </x14:cfRule>
          <xm:sqref>X104:AL104</xm:sqref>
        </x14:conditionalFormatting>
        <x14:conditionalFormatting xmlns:xm="http://schemas.microsoft.com/office/excel/2006/main">
          <x14:cfRule type="expression" priority="4695987" id="{3D44713E-4ABA-4CCD-9DF4-5513A9FB5E1E}">
            <xm:f>$AM$4='Data entry'!$R39</xm:f>
            <x14:dxf>
              <fill>
                <patternFill>
                  <bgColor rgb="FFFF0000"/>
                </patternFill>
              </fill>
            </x14:dxf>
          </x14:cfRule>
          <xm:sqref>AK105:AW105</xm:sqref>
        </x14:conditionalFormatting>
        <x14:conditionalFormatting xmlns:xm="http://schemas.microsoft.com/office/excel/2006/main">
          <x14:cfRule type="expression" priority="4695988" id="{05A26B51-72A7-4423-822F-2BDBC28275D0}">
            <xm:f>$AM$4='Data entry'!$R39</xm:f>
            <x14:dxf>
              <fill>
                <patternFill>
                  <bgColor rgb="FFFFFF00"/>
                </patternFill>
              </fill>
            </x14:dxf>
          </x14:cfRule>
          <xm:sqref>Y104:AM104</xm:sqref>
        </x14:conditionalFormatting>
        <x14:conditionalFormatting xmlns:xm="http://schemas.microsoft.com/office/excel/2006/main">
          <x14:cfRule type="expression" priority="4695989" id="{B8A20675-6230-4694-A7F6-6B3DC7142773}">
            <xm:f>$AN$4='Data entry'!$R39</xm:f>
            <x14:dxf>
              <fill>
                <patternFill>
                  <bgColor rgb="FFFF0000"/>
                </patternFill>
              </fill>
            </x14:dxf>
          </x14:cfRule>
          <xm:sqref>AL105:AX105</xm:sqref>
        </x14:conditionalFormatting>
        <x14:conditionalFormatting xmlns:xm="http://schemas.microsoft.com/office/excel/2006/main">
          <x14:cfRule type="expression" priority="4695990" id="{8421181C-7450-42E9-BC1D-065CCFCA960E}">
            <xm:f>$AN$4='Data entry'!$R39</xm:f>
            <x14:dxf>
              <fill>
                <patternFill>
                  <bgColor rgb="FFFFFF00"/>
                </patternFill>
              </fill>
            </x14:dxf>
          </x14:cfRule>
          <xm:sqref>Z104:AN104</xm:sqref>
        </x14:conditionalFormatting>
        <x14:conditionalFormatting xmlns:xm="http://schemas.microsoft.com/office/excel/2006/main">
          <x14:cfRule type="expression" priority="4695991" id="{067FE4BD-6EF4-4684-B6E0-35AB2F267EE7}">
            <xm:f>$AO$4='Data entry'!$R39</xm:f>
            <x14:dxf>
              <fill>
                <patternFill>
                  <bgColor rgb="FFFF0000"/>
                </patternFill>
              </fill>
            </x14:dxf>
          </x14:cfRule>
          <xm:sqref>AM105:AY105</xm:sqref>
        </x14:conditionalFormatting>
        <x14:conditionalFormatting xmlns:xm="http://schemas.microsoft.com/office/excel/2006/main">
          <x14:cfRule type="expression" priority="4695992" id="{F7653492-88D1-47AC-8BA3-0CCE65C3C2AB}">
            <xm:f>$AO$4='Data entry'!$R39</xm:f>
            <x14:dxf>
              <fill>
                <patternFill>
                  <bgColor rgb="FFFFFF00"/>
                </patternFill>
              </fill>
            </x14:dxf>
          </x14:cfRule>
          <xm:sqref>AA104:AO104</xm:sqref>
        </x14:conditionalFormatting>
        <x14:conditionalFormatting xmlns:xm="http://schemas.microsoft.com/office/excel/2006/main">
          <x14:cfRule type="expression" priority="4695993" id="{207A5E5D-B322-482E-9193-1D7318138358}">
            <xm:f>$AP$4='Data entry'!$R39</xm:f>
            <x14:dxf>
              <fill>
                <patternFill>
                  <bgColor rgb="FFFF0000"/>
                </patternFill>
              </fill>
            </x14:dxf>
          </x14:cfRule>
          <xm:sqref>AN105:AZ105</xm:sqref>
        </x14:conditionalFormatting>
        <x14:conditionalFormatting xmlns:xm="http://schemas.microsoft.com/office/excel/2006/main">
          <x14:cfRule type="expression" priority="4695994" id="{21DA638D-4CA0-4067-BFF1-240CE1A0261B}">
            <xm:f>$AP$4='Data entry'!$R39</xm:f>
            <x14:dxf>
              <fill>
                <patternFill>
                  <bgColor rgb="FFFFFF00"/>
                </patternFill>
              </fill>
            </x14:dxf>
          </x14:cfRule>
          <xm:sqref>AB104:AP104</xm:sqref>
        </x14:conditionalFormatting>
        <x14:conditionalFormatting xmlns:xm="http://schemas.microsoft.com/office/excel/2006/main">
          <x14:cfRule type="expression" priority="4695995" id="{71963D96-A42A-4B90-BFC7-6D83D37766EF}">
            <xm:f>$AQ$4='Data entry'!$R39</xm:f>
            <x14:dxf>
              <fill>
                <patternFill>
                  <bgColor rgb="FFFF0000"/>
                </patternFill>
              </fill>
            </x14:dxf>
          </x14:cfRule>
          <xm:sqref>AO105:BA105</xm:sqref>
        </x14:conditionalFormatting>
        <x14:conditionalFormatting xmlns:xm="http://schemas.microsoft.com/office/excel/2006/main">
          <x14:cfRule type="expression" priority="4695996" id="{74952595-84B6-484F-8FF6-FCC1F337DF4D}">
            <xm:f>$AQ$4='Data entry'!$R39</xm:f>
            <x14:dxf>
              <fill>
                <patternFill>
                  <bgColor rgb="FFFFFF00"/>
                </patternFill>
              </fill>
            </x14:dxf>
          </x14:cfRule>
          <xm:sqref>AC104:AQ104</xm:sqref>
        </x14:conditionalFormatting>
        <x14:conditionalFormatting xmlns:xm="http://schemas.microsoft.com/office/excel/2006/main">
          <x14:cfRule type="expression" priority="4695997" id="{8AC9C4B9-0A34-4BC0-B0F7-CA89434C4911}">
            <xm:f>$P$4='Data entry'!$R39</xm:f>
            <x14:dxf>
              <fill>
                <patternFill>
                  <bgColor rgb="FFFFFF00"/>
                </patternFill>
              </fill>
            </x14:dxf>
          </x14:cfRule>
          <xm:sqref>C104:P104</xm:sqref>
        </x14:conditionalFormatting>
        <x14:conditionalFormatting xmlns:xm="http://schemas.microsoft.com/office/excel/2006/main">
          <x14:cfRule type="expression" priority="4695998" id="{0A726775-ABFD-4F22-967C-1A4D87BA3751}">
            <xm:f>$Q$4='Data entry'!$R39</xm:f>
            <x14:dxf>
              <fill>
                <patternFill>
                  <bgColor rgb="FFFFFF00"/>
                </patternFill>
              </fill>
            </x14:dxf>
          </x14:cfRule>
          <xm:sqref>C104:Q104</xm:sqref>
        </x14:conditionalFormatting>
        <x14:conditionalFormatting xmlns:xm="http://schemas.microsoft.com/office/excel/2006/main">
          <x14:cfRule type="expression" priority="4695999" id="{3A8414BD-262C-43B5-86EE-FA6901D00453}">
            <xm:f>$Q$4='Data entry'!$R39</xm:f>
            <x14:dxf>
              <fill>
                <patternFill>
                  <bgColor rgb="FFFF0000"/>
                </patternFill>
              </fill>
            </x14:dxf>
          </x14:cfRule>
          <xm:sqref>O105:AA105</xm:sqref>
        </x14:conditionalFormatting>
        <x14:conditionalFormatting xmlns:xm="http://schemas.microsoft.com/office/excel/2006/main">
          <x14:cfRule type="expression" priority="4696000" id="{B8B5501D-F3EF-4449-9306-F652960C65F4}">
            <xm:f>$R$4='Data entry'!$R39</xm:f>
            <x14:dxf>
              <fill>
                <patternFill>
                  <bgColor rgb="FFFF0000"/>
                </patternFill>
              </fill>
            </x14:dxf>
          </x14:cfRule>
          <xm:sqref>P105:AB105</xm:sqref>
        </x14:conditionalFormatting>
        <x14:conditionalFormatting xmlns:xm="http://schemas.microsoft.com/office/excel/2006/main">
          <x14:cfRule type="expression" priority="4696001" id="{5D070DEC-B82E-4D87-B907-A3E5AB836991}">
            <xm:f>$R$4='Data entry'!$R39</xm:f>
            <x14:dxf>
              <fill>
                <patternFill>
                  <bgColor rgb="FFFFFF00"/>
                </patternFill>
              </fill>
            </x14:dxf>
          </x14:cfRule>
          <xm:sqref>D104:R104</xm:sqref>
        </x14:conditionalFormatting>
        <x14:conditionalFormatting xmlns:xm="http://schemas.microsoft.com/office/excel/2006/main">
          <x14:cfRule type="expression" priority="4696002" id="{E4D16A10-F818-4664-9FB2-F0E839824D4B}">
            <xm:f>$S$4='Data entry'!$R39</xm:f>
            <x14:dxf>
              <fill>
                <patternFill>
                  <bgColor rgb="FFFF0000"/>
                </patternFill>
              </fill>
            </x14:dxf>
          </x14:cfRule>
          <xm:sqref>Q105:AC105</xm:sqref>
        </x14:conditionalFormatting>
        <x14:conditionalFormatting xmlns:xm="http://schemas.microsoft.com/office/excel/2006/main">
          <x14:cfRule type="expression" priority="4696003" id="{1A9F9911-A3E9-4730-AFBE-AB8C596545CA}">
            <xm:f>$S$4='Data entry'!$R39</xm:f>
            <x14:dxf>
              <fill>
                <patternFill>
                  <bgColor rgb="FFFFFF00"/>
                </patternFill>
              </fill>
            </x14:dxf>
          </x14:cfRule>
          <xm:sqref>E104:S104</xm:sqref>
        </x14:conditionalFormatting>
        <x14:conditionalFormatting xmlns:xm="http://schemas.microsoft.com/office/excel/2006/main">
          <x14:cfRule type="expression" priority="4696004" id="{8BB5CD1B-B2AC-442A-9550-26DE19A62D22}">
            <xm:f>$T$4='Data entry'!$R39</xm:f>
            <x14:dxf>
              <fill>
                <patternFill>
                  <bgColor rgb="FFFF0000"/>
                </patternFill>
              </fill>
            </x14:dxf>
          </x14:cfRule>
          <xm:sqref>R105:AD105</xm:sqref>
        </x14:conditionalFormatting>
        <x14:conditionalFormatting xmlns:xm="http://schemas.microsoft.com/office/excel/2006/main">
          <x14:cfRule type="expression" priority="4696005" id="{E7B59C69-7921-4049-84A1-8B3E5F7B0598}">
            <xm:f>$T$4='Data entry'!$R39</xm:f>
            <x14:dxf>
              <fill>
                <patternFill>
                  <bgColor rgb="FFFFFF00"/>
                </patternFill>
              </fill>
            </x14:dxf>
          </x14:cfRule>
          <xm:sqref>F104:T104</xm:sqref>
        </x14:conditionalFormatting>
        <x14:conditionalFormatting xmlns:xm="http://schemas.microsoft.com/office/excel/2006/main">
          <x14:cfRule type="expression" priority="4696006" id="{238C09E5-7A3D-439D-949F-A7733073F9A2}">
            <xm:f>$U$4='Data entry'!$R39</xm:f>
            <x14:dxf>
              <fill>
                <patternFill>
                  <bgColor rgb="FFFFFF00"/>
                </patternFill>
              </fill>
            </x14:dxf>
          </x14:cfRule>
          <xm:sqref>G104:U104</xm:sqref>
        </x14:conditionalFormatting>
        <x14:conditionalFormatting xmlns:xm="http://schemas.microsoft.com/office/excel/2006/main">
          <x14:cfRule type="expression" priority="4696007" id="{DE4D4432-0A19-452A-AF14-2873FE4DF411}">
            <xm:f>$AR$4='Data entry'!$R39</xm:f>
            <x14:dxf>
              <fill>
                <patternFill>
                  <bgColor rgb="FFFF0000"/>
                </patternFill>
              </fill>
            </x14:dxf>
          </x14:cfRule>
          <xm:sqref>AP105:BB105</xm:sqref>
        </x14:conditionalFormatting>
        <x14:conditionalFormatting xmlns:xm="http://schemas.microsoft.com/office/excel/2006/main">
          <x14:cfRule type="expression" priority="4696008" id="{90D7E1FF-542D-40C8-9BD5-DFEB4CDD256F}">
            <xm:f>$AR$4='Data entry'!$R39</xm:f>
            <x14:dxf>
              <fill>
                <patternFill>
                  <bgColor rgb="FFFFFF00"/>
                </patternFill>
              </fill>
            </x14:dxf>
          </x14:cfRule>
          <xm:sqref>AD104:AR104</xm:sqref>
        </x14:conditionalFormatting>
        <x14:conditionalFormatting xmlns:xm="http://schemas.microsoft.com/office/excel/2006/main">
          <x14:cfRule type="expression" priority="4696009" id="{0EBB5305-4A4A-4205-A1FF-11160070CBC3}">
            <xm:f>$AS$4='Data entry'!$R39</xm:f>
            <x14:dxf>
              <fill>
                <patternFill>
                  <bgColor rgb="FFFF0000"/>
                </patternFill>
              </fill>
            </x14:dxf>
          </x14:cfRule>
          <xm:sqref>AQ105:BC105</xm:sqref>
        </x14:conditionalFormatting>
        <x14:conditionalFormatting xmlns:xm="http://schemas.microsoft.com/office/excel/2006/main">
          <x14:cfRule type="expression" priority="4696010" id="{AC8EB30C-4253-4CE1-820E-1801F6D8D35B}">
            <xm:f>$AS$4='Data entry'!$R39</xm:f>
            <x14:dxf>
              <fill>
                <patternFill>
                  <bgColor rgb="FFFFFF00"/>
                </patternFill>
              </fill>
            </x14:dxf>
          </x14:cfRule>
          <xm:sqref>AE104:AS104</xm:sqref>
        </x14:conditionalFormatting>
        <x14:conditionalFormatting xmlns:xm="http://schemas.microsoft.com/office/excel/2006/main">
          <x14:cfRule type="expression" priority="4696011" id="{E11744C1-7201-4272-A1B0-945490B42425}">
            <xm:f>$AT$4='Data entry'!$R39</xm:f>
            <x14:dxf>
              <fill>
                <patternFill>
                  <bgColor rgb="FFFF0000"/>
                </patternFill>
              </fill>
            </x14:dxf>
          </x14:cfRule>
          <xm:sqref>AR105:BD105</xm:sqref>
        </x14:conditionalFormatting>
        <x14:conditionalFormatting xmlns:xm="http://schemas.microsoft.com/office/excel/2006/main">
          <x14:cfRule type="expression" priority="4696012" id="{5EE2823B-E955-4EA7-B99C-0B1F77B57A69}">
            <xm:f>$AT$4='Data entry'!$R39</xm:f>
            <x14:dxf>
              <fill>
                <patternFill>
                  <bgColor rgb="FFFFFF00"/>
                </patternFill>
              </fill>
            </x14:dxf>
          </x14:cfRule>
          <xm:sqref>AF104:AT104</xm:sqref>
        </x14:conditionalFormatting>
        <x14:conditionalFormatting xmlns:xm="http://schemas.microsoft.com/office/excel/2006/main">
          <x14:cfRule type="expression" priority="4696013" id="{5737DC63-3262-4B34-900C-2AAEB255FCBA}">
            <xm:f>$AU$4='Data entry'!$R39</xm:f>
            <x14:dxf>
              <fill>
                <patternFill>
                  <bgColor rgb="FFFF0000"/>
                </patternFill>
              </fill>
            </x14:dxf>
          </x14:cfRule>
          <xm:sqref>AS105:BE105</xm:sqref>
        </x14:conditionalFormatting>
        <x14:conditionalFormatting xmlns:xm="http://schemas.microsoft.com/office/excel/2006/main">
          <x14:cfRule type="expression" priority="4696014" id="{2B5C1F1B-3C3D-4CA3-BC64-0E98422075B6}">
            <xm:f>$AU$4='Data entry'!$R39</xm:f>
            <x14:dxf>
              <fill>
                <patternFill>
                  <bgColor rgb="FFFFFF00"/>
                </patternFill>
              </fill>
            </x14:dxf>
          </x14:cfRule>
          <xm:sqref>AG104:AU104</xm:sqref>
        </x14:conditionalFormatting>
        <x14:conditionalFormatting xmlns:xm="http://schemas.microsoft.com/office/excel/2006/main">
          <x14:cfRule type="expression" priority="4696015" id="{B87A1285-B003-4855-8F4B-53C391BA10E6}">
            <xm:f>$AV$4='Data entry'!$R39</xm:f>
            <x14:dxf>
              <fill>
                <patternFill>
                  <bgColor rgb="FFFF0000"/>
                </patternFill>
              </fill>
            </x14:dxf>
          </x14:cfRule>
          <xm:sqref>AT105:BF105</xm:sqref>
        </x14:conditionalFormatting>
        <x14:conditionalFormatting xmlns:xm="http://schemas.microsoft.com/office/excel/2006/main">
          <x14:cfRule type="expression" priority="4696016" id="{338EE31C-78DB-4818-B837-0380F9E457FA}">
            <xm:f>$AV$4='Data entry'!$R39</xm:f>
            <x14:dxf>
              <fill>
                <patternFill>
                  <bgColor rgb="FFFFFF00"/>
                </patternFill>
              </fill>
            </x14:dxf>
          </x14:cfRule>
          <xm:sqref>AH104:AV104</xm:sqref>
        </x14:conditionalFormatting>
        <x14:conditionalFormatting xmlns:xm="http://schemas.microsoft.com/office/excel/2006/main">
          <x14:cfRule type="expression" priority="4696017" id="{5C40EA66-2801-4C91-B885-BF6A1ECFC35C}">
            <xm:f>$AW$4='Data entry'!$R39</xm:f>
            <x14:dxf>
              <fill>
                <patternFill>
                  <bgColor rgb="FFFF0000"/>
                </patternFill>
              </fill>
            </x14:dxf>
          </x14:cfRule>
          <xm:sqref>AU105:BG105</xm:sqref>
        </x14:conditionalFormatting>
        <x14:conditionalFormatting xmlns:xm="http://schemas.microsoft.com/office/excel/2006/main">
          <x14:cfRule type="expression" priority="4696018" id="{51BCD5CE-DF86-4C2F-8A81-DDA1EFD6C8F7}">
            <xm:f>$AW$4='Data entry'!$R39</xm:f>
            <x14:dxf>
              <fill>
                <patternFill>
                  <bgColor rgb="FFFFFF00"/>
                </patternFill>
              </fill>
            </x14:dxf>
          </x14:cfRule>
          <xm:sqref>AI104:AW104</xm:sqref>
        </x14:conditionalFormatting>
        <x14:conditionalFormatting xmlns:xm="http://schemas.microsoft.com/office/excel/2006/main">
          <x14:cfRule type="expression" priority="4696019" id="{DC2ED5A0-8917-4877-8CD3-9DF9BE5993C9}">
            <xm:f>$AX$4='Data entry'!$R39</xm:f>
            <x14:dxf>
              <fill>
                <patternFill>
                  <bgColor rgb="FFFF0000"/>
                </patternFill>
              </fill>
            </x14:dxf>
          </x14:cfRule>
          <xm:sqref>AV105:BH105</xm:sqref>
        </x14:conditionalFormatting>
        <x14:conditionalFormatting xmlns:xm="http://schemas.microsoft.com/office/excel/2006/main">
          <x14:cfRule type="expression" priority="4696020" id="{59B31869-20F9-45BD-BC80-0A6C8945CE2C}">
            <xm:f>$AX$4='Data entry'!$R39</xm:f>
            <x14:dxf>
              <fill>
                <patternFill>
                  <bgColor rgb="FFFFFF00"/>
                </patternFill>
              </fill>
            </x14:dxf>
          </x14:cfRule>
          <xm:sqref>AJ104:AX104</xm:sqref>
        </x14:conditionalFormatting>
        <x14:conditionalFormatting xmlns:xm="http://schemas.microsoft.com/office/excel/2006/main">
          <x14:cfRule type="expression" priority="4696021" id="{D4208FA0-4262-4037-934C-6D0742B2AD8E}">
            <xm:f>$AY$4='Data entry'!$R39</xm:f>
            <x14:dxf>
              <fill>
                <patternFill>
                  <bgColor rgb="FFFF0000"/>
                </patternFill>
              </fill>
            </x14:dxf>
          </x14:cfRule>
          <xm:sqref>AW105:BI105</xm:sqref>
        </x14:conditionalFormatting>
        <x14:conditionalFormatting xmlns:xm="http://schemas.microsoft.com/office/excel/2006/main">
          <x14:cfRule type="expression" priority="4696022" id="{04D6E423-18C7-42B2-A67D-F49D8E62B571}">
            <xm:f>$AY$4='Data entry'!$R39</xm:f>
            <x14:dxf>
              <fill>
                <patternFill>
                  <bgColor rgb="FFFFFF00"/>
                </patternFill>
              </fill>
            </x14:dxf>
          </x14:cfRule>
          <xm:sqref>AK104:AY104</xm:sqref>
        </x14:conditionalFormatting>
        <x14:conditionalFormatting xmlns:xm="http://schemas.microsoft.com/office/excel/2006/main">
          <x14:cfRule type="expression" priority="4696023" id="{A931C203-6E4B-4EBD-A2F4-1876881F48D4}">
            <xm:f>$AZ$4='Data entry'!$R39</xm:f>
            <x14:dxf>
              <fill>
                <patternFill>
                  <bgColor rgb="FFFF0000"/>
                </patternFill>
              </fill>
            </x14:dxf>
          </x14:cfRule>
          <xm:sqref>AX105:BJ105</xm:sqref>
        </x14:conditionalFormatting>
        <x14:conditionalFormatting xmlns:xm="http://schemas.microsoft.com/office/excel/2006/main">
          <x14:cfRule type="expression" priority="4696024" id="{092D9100-E652-40FE-8CAA-720DC0681250}">
            <xm:f>$AZ$4='Data entry'!$R39</xm:f>
            <x14:dxf>
              <fill>
                <patternFill>
                  <bgColor rgb="FFFFFF00"/>
                </patternFill>
              </fill>
            </x14:dxf>
          </x14:cfRule>
          <xm:sqref>AL104:AZ104</xm:sqref>
        </x14:conditionalFormatting>
        <x14:conditionalFormatting xmlns:xm="http://schemas.microsoft.com/office/excel/2006/main">
          <x14:cfRule type="expression" priority="4696025" id="{A3C7E6BE-A225-483C-A983-A915DB662C52}">
            <xm:f>$BA$4='Data entry'!$R39</xm:f>
            <x14:dxf>
              <fill>
                <patternFill>
                  <bgColor rgb="FFFF0000"/>
                </patternFill>
              </fill>
            </x14:dxf>
          </x14:cfRule>
          <xm:sqref>AY105:BK105</xm:sqref>
        </x14:conditionalFormatting>
        <x14:conditionalFormatting xmlns:xm="http://schemas.microsoft.com/office/excel/2006/main">
          <x14:cfRule type="expression" priority="4696026" id="{F5CF569A-8AFA-4CFF-8BD3-F04D8927A99F}">
            <xm:f>$BA$4='Data entry'!$R39</xm:f>
            <x14:dxf>
              <fill>
                <patternFill>
                  <bgColor rgb="FFFFFF00"/>
                </patternFill>
              </fill>
            </x14:dxf>
          </x14:cfRule>
          <xm:sqref>AM104:BA104</xm:sqref>
        </x14:conditionalFormatting>
        <x14:conditionalFormatting xmlns:xm="http://schemas.microsoft.com/office/excel/2006/main">
          <x14:cfRule type="expression" priority="4696027" id="{E4DAC94A-7983-4BFB-A87B-45B58561841A}">
            <xm:f>$BB$4='Data entry'!$R39</xm:f>
            <x14:dxf>
              <fill>
                <patternFill>
                  <bgColor rgb="FFFF0000"/>
                </patternFill>
              </fill>
            </x14:dxf>
          </x14:cfRule>
          <xm:sqref>AZ105:BL105</xm:sqref>
        </x14:conditionalFormatting>
        <x14:conditionalFormatting xmlns:xm="http://schemas.microsoft.com/office/excel/2006/main">
          <x14:cfRule type="expression" priority="4696028" id="{E63849C5-F39B-4B0E-8F8A-B532EDF2CBAE}">
            <xm:f>$BB$4='Data entry'!$R39</xm:f>
            <x14:dxf>
              <fill>
                <patternFill>
                  <bgColor rgb="FFFFFF00"/>
                </patternFill>
              </fill>
            </x14:dxf>
          </x14:cfRule>
          <xm:sqref>AN104:BB104</xm:sqref>
        </x14:conditionalFormatting>
        <x14:conditionalFormatting xmlns:xm="http://schemas.microsoft.com/office/excel/2006/main">
          <x14:cfRule type="expression" priority="4696029" id="{4FDC32D3-C1F5-455D-9AA4-A03359B72526}">
            <xm:f>$BC$4='Data entry'!$R39</xm:f>
            <x14:dxf>
              <fill>
                <patternFill>
                  <bgColor rgb="FFFF0000"/>
                </patternFill>
              </fill>
            </x14:dxf>
          </x14:cfRule>
          <xm:sqref>BA105:BM105</xm:sqref>
        </x14:conditionalFormatting>
        <x14:conditionalFormatting xmlns:xm="http://schemas.microsoft.com/office/excel/2006/main">
          <x14:cfRule type="expression" priority="4696030" id="{5F0D0C60-B233-4C56-B05D-98C99990877F}">
            <xm:f>$BC$4='Data entry'!$R39</xm:f>
            <x14:dxf>
              <fill>
                <patternFill>
                  <bgColor rgb="FFFFFF00"/>
                </patternFill>
              </fill>
            </x14:dxf>
          </x14:cfRule>
          <xm:sqref>AO104:BC104</xm:sqref>
        </x14:conditionalFormatting>
        <x14:conditionalFormatting xmlns:xm="http://schemas.microsoft.com/office/excel/2006/main">
          <x14:cfRule type="expression" priority="4696031" id="{9EBCB60F-8135-43B6-A0F3-548D4092CC98}">
            <xm:f>$BD$4='Data entry'!$R39</xm:f>
            <x14:dxf>
              <fill>
                <patternFill>
                  <bgColor rgb="FFFF0000"/>
                </patternFill>
              </fill>
            </x14:dxf>
          </x14:cfRule>
          <xm:sqref>BB105:BN105</xm:sqref>
        </x14:conditionalFormatting>
        <x14:conditionalFormatting xmlns:xm="http://schemas.microsoft.com/office/excel/2006/main">
          <x14:cfRule type="expression" priority="4696032" id="{961AF346-4A73-41ED-9A8D-27D431B09C05}">
            <xm:f>$BD$4='Data entry'!$R39</xm:f>
            <x14:dxf>
              <fill>
                <patternFill>
                  <bgColor rgb="FFFFFF00"/>
                </patternFill>
              </fill>
            </x14:dxf>
          </x14:cfRule>
          <xm:sqref>AP104:BD104</xm:sqref>
        </x14:conditionalFormatting>
        <x14:conditionalFormatting xmlns:xm="http://schemas.microsoft.com/office/excel/2006/main">
          <x14:cfRule type="expression" priority="4696033" id="{5A887026-27CD-4F8C-8BA6-1E92704C1CA6}">
            <xm:f>$BE$4='Data entry'!$R39</xm:f>
            <x14:dxf>
              <fill>
                <patternFill>
                  <bgColor rgb="FFFF0000"/>
                </patternFill>
              </fill>
            </x14:dxf>
          </x14:cfRule>
          <xm:sqref>BC105:BO105</xm:sqref>
        </x14:conditionalFormatting>
        <x14:conditionalFormatting xmlns:xm="http://schemas.microsoft.com/office/excel/2006/main">
          <x14:cfRule type="expression" priority="4696034" id="{7F46217B-A1E9-4515-B31E-E756FCD7C6D9}">
            <xm:f>$BE$4='Data entry'!$R39</xm:f>
            <x14:dxf>
              <fill>
                <patternFill>
                  <bgColor rgb="FFFFFF00"/>
                </patternFill>
              </fill>
            </x14:dxf>
          </x14:cfRule>
          <xm:sqref>AP104:BE104</xm:sqref>
        </x14:conditionalFormatting>
        <x14:conditionalFormatting xmlns:xm="http://schemas.microsoft.com/office/excel/2006/main">
          <x14:cfRule type="expression" priority="4696035" id="{F4D9285C-8CA0-4EF1-943E-6A462D47CC77}">
            <xm:f>$BF$4='Data entry'!$R39</xm:f>
            <x14:dxf>
              <fill>
                <patternFill>
                  <bgColor rgb="FFFF0000"/>
                </patternFill>
              </fill>
            </x14:dxf>
          </x14:cfRule>
          <xm:sqref>BD105:BP105</xm:sqref>
        </x14:conditionalFormatting>
        <x14:conditionalFormatting xmlns:xm="http://schemas.microsoft.com/office/excel/2006/main">
          <x14:cfRule type="expression" priority="4696036" id="{B9E4407D-651D-4DC0-9D61-3271D62A65E9}">
            <xm:f>$BF$4='Data entry'!$R39</xm:f>
            <x14:dxf>
              <fill>
                <patternFill>
                  <bgColor rgb="FFFFFF00"/>
                </patternFill>
              </fill>
            </x14:dxf>
          </x14:cfRule>
          <xm:sqref>AR104:BF104</xm:sqref>
        </x14:conditionalFormatting>
        <x14:conditionalFormatting xmlns:xm="http://schemas.microsoft.com/office/excel/2006/main">
          <x14:cfRule type="expression" priority="4696037" id="{4CDC062F-DDFF-4556-B941-08F919727F69}">
            <xm:f>$BG$4='Data entry'!$R39</xm:f>
            <x14:dxf>
              <fill>
                <patternFill>
                  <bgColor rgb="FFFF0000"/>
                </patternFill>
              </fill>
            </x14:dxf>
          </x14:cfRule>
          <xm:sqref>BE105:BQ105</xm:sqref>
        </x14:conditionalFormatting>
        <x14:conditionalFormatting xmlns:xm="http://schemas.microsoft.com/office/excel/2006/main">
          <x14:cfRule type="expression" priority="4696038" id="{789184FA-9055-433B-8A1B-92C7ED59E81F}">
            <xm:f>$BG$4='Data entry'!$R39</xm:f>
            <x14:dxf>
              <fill>
                <patternFill>
                  <bgColor rgb="FFFFFF00"/>
                </patternFill>
              </fill>
            </x14:dxf>
          </x14:cfRule>
          <xm:sqref>AS104:BG104</xm:sqref>
        </x14:conditionalFormatting>
        <x14:conditionalFormatting xmlns:xm="http://schemas.microsoft.com/office/excel/2006/main">
          <x14:cfRule type="expression" priority="4696039" id="{58651E5C-09C9-46C1-B95C-E8A578A49E15}">
            <xm:f>$BH$4='Data entry'!$R39</xm:f>
            <x14:dxf>
              <fill>
                <patternFill>
                  <bgColor rgb="FFFFFF00"/>
                </patternFill>
              </fill>
            </x14:dxf>
          </x14:cfRule>
          <xm:sqref>AT104:BH104</xm:sqref>
        </x14:conditionalFormatting>
        <x14:conditionalFormatting xmlns:xm="http://schemas.microsoft.com/office/excel/2006/main">
          <x14:cfRule type="expression" priority="4696040" id="{97B30B86-8311-4DC0-A533-8C0D53F37839}">
            <xm:f>$BH$4='Data entry'!$R39</xm:f>
            <x14:dxf>
              <fill>
                <patternFill>
                  <bgColor rgb="FFFF0000"/>
                </patternFill>
              </fill>
            </x14:dxf>
          </x14:cfRule>
          <xm:sqref>BF105:BR105</xm:sqref>
        </x14:conditionalFormatting>
        <x14:conditionalFormatting xmlns:xm="http://schemas.microsoft.com/office/excel/2006/main">
          <x14:cfRule type="expression" priority="4696041" id="{78344C0C-5AEA-40B1-A20C-6D77DF58E1F5}">
            <xm:f>$BI$4='Data entry'!$R39</xm:f>
            <x14:dxf>
              <fill>
                <patternFill>
                  <bgColor rgb="FFFFFF00"/>
                </patternFill>
              </fill>
            </x14:dxf>
          </x14:cfRule>
          <xm:sqref>AU104:BI104</xm:sqref>
        </x14:conditionalFormatting>
        <x14:conditionalFormatting xmlns:xm="http://schemas.microsoft.com/office/excel/2006/main">
          <x14:cfRule type="expression" priority="4696042" id="{A9CE044F-482E-4F25-B28F-89ACC58502B1}">
            <xm:f>$BI$4='Data entry'!$R39</xm:f>
            <x14:dxf>
              <fill>
                <patternFill>
                  <bgColor rgb="FFFF0000"/>
                </patternFill>
              </fill>
            </x14:dxf>
          </x14:cfRule>
          <xm:sqref>BG105:BS105</xm:sqref>
        </x14:conditionalFormatting>
        <x14:conditionalFormatting xmlns:xm="http://schemas.microsoft.com/office/excel/2006/main">
          <x14:cfRule type="expression" priority="4696043" id="{F63BE0EB-3C71-4456-BEF0-11180AB7A8BB}">
            <xm:f>$BJ$4='Data entry'!$R39</xm:f>
            <x14:dxf>
              <fill>
                <patternFill>
                  <bgColor rgb="FFFFFF00"/>
                </patternFill>
              </fill>
            </x14:dxf>
          </x14:cfRule>
          <xm:sqref>AV104:BJ104</xm:sqref>
        </x14:conditionalFormatting>
        <x14:conditionalFormatting xmlns:xm="http://schemas.microsoft.com/office/excel/2006/main">
          <x14:cfRule type="expression" priority="4696044" id="{478A5DCB-1DAA-4497-A6CC-B4F01FB96D10}">
            <xm:f>$BJ$4='Data entry'!$R39</xm:f>
            <x14:dxf>
              <fill>
                <patternFill>
                  <bgColor rgb="FFFF0000"/>
                </patternFill>
              </fill>
            </x14:dxf>
          </x14:cfRule>
          <xm:sqref>BH105:BT105</xm:sqref>
        </x14:conditionalFormatting>
        <x14:conditionalFormatting xmlns:xm="http://schemas.microsoft.com/office/excel/2006/main">
          <x14:cfRule type="expression" priority="4696045" id="{CDE4AD5B-65A6-4FA4-9EC0-8D05F22312A9}">
            <xm:f>$BK$4='Data entry'!$R39</xm:f>
            <x14:dxf>
              <fill>
                <patternFill>
                  <bgColor rgb="FFFF0000"/>
                </patternFill>
              </fill>
            </x14:dxf>
          </x14:cfRule>
          <xm:sqref>BI105:BU105</xm:sqref>
        </x14:conditionalFormatting>
        <x14:conditionalFormatting xmlns:xm="http://schemas.microsoft.com/office/excel/2006/main">
          <x14:cfRule type="expression" priority="4696046" id="{AB32E790-6CD8-4D11-9A69-57D785FE4BBC}">
            <xm:f>$BK$4='Data entry'!$R39</xm:f>
            <x14:dxf>
              <fill>
                <patternFill>
                  <bgColor rgb="FFFFFF00"/>
                </patternFill>
              </fill>
            </x14:dxf>
          </x14:cfRule>
          <xm:sqref>AW104:BK104</xm:sqref>
        </x14:conditionalFormatting>
        <x14:conditionalFormatting xmlns:xm="http://schemas.microsoft.com/office/excel/2006/main">
          <x14:cfRule type="expression" priority="4696047" id="{99810EB9-805C-43D8-852A-EEECE7874CDB}">
            <xm:f>$BL$4='Data entry'!$R39</xm:f>
            <x14:dxf>
              <fill>
                <patternFill>
                  <bgColor rgb="FFFF0000"/>
                </patternFill>
              </fill>
            </x14:dxf>
          </x14:cfRule>
          <xm:sqref>BJ105:BV105</xm:sqref>
        </x14:conditionalFormatting>
        <x14:conditionalFormatting xmlns:xm="http://schemas.microsoft.com/office/excel/2006/main">
          <x14:cfRule type="expression" priority="4696048" id="{BF5F5475-4E46-479C-97A6-D5175F5D1803}">
            <xm:f>$BL$4='Data entry'!$R39</xm:f>
            <x14:dxf>
              <fill>
                <patternFill>
                  <bgColor rgb="FFFFFF00"/>
                </patternFill>
              </fill>
            </x14:dxf>
          </x14:cfRule>
          <xm:sqref>AX104:BL104</xm:sqref>
        </x14:conditionalFormatting>
        <x14:conditionalFormatting xmlns:xm="http://schemas.microsoft.com/office/excel/2006/main">
          <x14:cfRule type="expression" priority="4696049" id="{B86FDF2F-16C9-46B1-847E-7EA1A8A34B9D}">
            <xm:f>$BM$4='Data entry'!$R39</xm:f>
            <x14:dxf>
              <fill>
                <patternFill>
                  <bgColor rgb="FFFF0000"/>
                </patternFill>
              </fill>
            </x14:dxf>
          </x14:cfRule>
          <xm:sqref>BK105:BW105</xm:sqref>
        </x14:conditionalFormatting>
        <x14:conditionalFormatting xmlns:xm="http://schemas.microsoft.com/office/excel/2006/main">
          <x14:cfRule type="expression" priority="4696050" id="{72FD189F-4CED-400D-9FEF-21A328970A4D}">
            <xm:f>$BM$4='Data entry'!$R39</xm:f>
            <x14:dxf>
              <fill>
                <patternFill>
                  <bgColor rgb="FFFFFF00"/>
                </patternFill>
              </fill>
            </x14:dxf>
          </x14:cfRule>
          <xm:sqref>AY104:BM104</xm:sqref>
        </x14:conditionalFormatting>
        <x14:conditionalFormatting xmlns:xm="http://schemas.microsoft.com/office/excel/2006/main">
          <x14:cfRule type="expression" priority="4696051" id="{BBBBF859-D5A7-4F55-BFBF-8A77E3357590}">
            <xm:f>$BN$4='Data entry'!$R39</xm:f>
            <x14:dxf>
              <fill>
                <patternFill>
                  <bgColor rgb="FFFF0000"/>
                </patternFill>
              </fill>
            </x14:dxf>
          </x14:cfRule>
          <xm:sqref>BL105:BX105</xm:sqref>
        </x14:conditionalFormatting>
        <x14:conditionalFormatting xmlns:xm="http://schemas.microsoft.com/office/excel/2006/main">
          <x14:cfRule type="expression" priority="4696052" id="{50CB1D75-0FD5-4D24-92B1-E8A41DC6575C}">
            <xm:f>$BN$4='Data entry'!$R39</xm:f>
            <x14:dxf>
              <fill>
                <patternFill>
                  <bgColor rgb="FFFFFF00"/>
                </patternFill>
              </fill>
            </x14:dxf>
          </x14:cfRule>
          <xm:sqref>AZ104:BN104</xm:sqref>
        </x14:conditionalFormatting>
        <x14:conditionalFormatting xmlns:xm="http://schemas.microsoft.com/office/excel/2006/main">
          <x14:cfRule type="expression" priority="4696053" id="{9EF3226D-E8FC-496B-A6FF-71776AEA54D1}">
            <xm:f>$BO$4='Data entry'!$R39</xm:f>
            <x14:dxf>
              <fill>
                <patternFill>
                  <bgColor rgb="FFFF0000"/>
                </patternFill>
              </fill>
            </x14:dxf>
          </x14:cfRule>
          <xm:sqref>BM105:BY105</xm:sqref>
        </x14:conditionalFormatting>
        <x14:conditionalFormatting xmlns:xm="http://schemas.microsoft.com/office/excel/2006/main">
          <x14:cfRule type="expression" priority="4696054" id="{3B86C801-ECFE-4D05-8AA5-1581116BAFBC}">
            <xm:f>$BO$4='Data entry'!$R39</xm:f>
            <x14:dxf>
              <fill>
                <patternFill>
                  <bgColor rgb="FFFFFF00"/>
                </patternFill>
              </fill>
            </x14:dxf>
          </x14:cfRule>
          <xm:sqref>BA104:BO104</xm:sqref>
        </x14:conditionalFormatting>
        <x14:conditionalFormatting xmlns:xm="http://schemas.microsoft.com/office/excel/2006/main">
          <x14:cfRule type="expression" priority="4696055" id="{058A23EC-3371-4A02-9F20-1ECA603AC6BC}">
            <xm:f>$BP$4='Data entry'!$R39</xm:f>
            <x14:dxf>
              <fill>
                <patternFill>
                  <bgColor rgb="FFFF0000"/>
                </patternFill>
              </fill>
            </x14:dxf>
          </x14:cfRule>
          <xm:sqref>BN105:BZ105</xm:sqref>
        </x14:conditionalFormatting>
        <x14:conditionalFormatting xmlns:xm="http://schemas.microsoft.com/office/excel/2006/main">
          <x14:cfRule type="expression" priority="4696056" id="{3E711E31-3992-4555-AB22-87133D60CD15}">
            <xm:f>$BP$4='Data entry'!$R39</xm:f>
            <x14:dxf>
              <fill>
                <patternFill>
                  <bgColor rgb="FFFFFF00"/>
                </patternFill>
              </fill>
            </x14:dxf>
          </x14:cfRule>
          <xm:sqref>BB104:BP104</xm:sqref>
        </x14:conditionalFormatting>
        <x14:conditionalFormatting xmlns:xm="http://schemas.microsoft.com/office/excel/2006/main">
          <x14:cfRule type="expression" priority="4696057" id="{23E9F8B9-37D5-4730-9453-6F23E8ECBBE3}">
            <xm:f>$BQ$4='Data entry'!$R39</xm:f>
            <x14:dxf>
              <fill>
                <patternFill>
                  <bgColor rgb="FFFFFF00"/>
                </patternFill>
              </fill>
            </x14:dxf>
          </x14:cfRule>
          <xm:sqref>BC104:BQ104</xm:sqref>
        </x14:conditionalFormatting>
        <x14:conditionalFormatting xmlns:xm="http://schemas.microsoft.com/office/excel/2006/main">
          <x14:cfRule type="expression" priority="4696058" id="{BCFD92F6-AAD3-44FD-BC61-A292A81B883E}">
            <xm:f>$BQ$4='Data entry'!$R39</xm:f>
            <x14:dxf>
              <fill>
                <patternFill>
                  <bgColor rgb="FFFF0000"/>
                </patternFill>
              </fill>
            </x14:dxf>
          </x14:cfRule>
          <xm:sqref>BO105:CA105</xm:sqref>
        </x14:conditionalFormatting>
        <x14:conditionalFormatting xmlns:xm="http://schemas.microsoft.com/office/excel/2006/main">
          <x14:cfRule type="expression" priority="4696059" id="{357D60E5-F356-477E-8020-A18F42C02832}">
            <xm:f>$BR$4='Data entry'!$R39</xm:f>
            <x14:dxf>
              <fill>
                <patternFill>
                  <bgColor rgb="FFFFFF00"/>
                </patternFill>
              </fill>
            </x14:dxf>
          </x14:cfRule>
          <xm:sqref>BD104:BR104</xm:sqref>
        </x14:conditionalFormatting>
        <x14:conditionalFormatting xmlns:xm="http://schemas.microsoft.com/office/excel/2006/main">
          <x14:cfRule type="expression" priority="4696060" id="{DA2B6511-43B3-432D-B6AA-1DB1188B90A6}">
            <xm:f>$BR$4='Data entry'!$R39</xm:f>
            <x14:dxf>
              <fill>
                <patternFill>
                  <bgColor rgb="FFFF0000"/>
                </patternFill>
              </fill>
            </x14:dxf>
          </x14:cfRule>
          <xm:sqref>BP105:CB105</xm:sqref>
        </x14:conditionalFormatting>
        <x14:conditionalFormatting xmlns:xm="http://schemas.microsoft.com/office/excel/2006/main">
          <x14:cfRule type="expression" priority="4696061" id="{0D5F64E4-4136-4BFA-B833-CC8578525D9C}">
            <xm:f>$BS$4='Data entry'!$R39</xm:f>
            <x14:dxf>
              <fill>
                <patternFill>
                  <bgColor rgb="FFFFFF00"/>
                </patternFill>
              </fill>
            </x14:dxf>
          </x14:cfRule>
          <xm:sqref>BE104:BS104</xm:sqref>
        </x14:conditionalFormatting>
        <x14:conditionalFormatting xmlns:xm="http://schemas.microsoft.com/office/excel/2006/main">
          <x14:cfRule type="expression" priority="4696062" id="{AC94D468-F078-4AE2-8771-102996E07B09}">
            <xm:f>$BS$4='Data entry'!$R39</xm:f>
            <x14:dxf>
              <fill>
                <patternFill>
                  <bgColor rgb="FFFF0000"/>
                </patternFill>
              </fill>
            </x14:dxf>
          </x14:cfRule>
          <xm:sqref>BQ105:CC105</xm:sqref>
        </x14:conditionalFormatting>
        <x14:conditionalFormatting xmlns:xm="http://schemas.microsoft.com/office/excel/2006/main">
          <x14:cfRule type="expression" priority="4696063" id="{10E78F76-181E-4F19-9F89-7DD36D3EFE30}">
            <xm:f>$BT$4='Data entry'!$R39</xm:f>
            <x14:dxf>
              <fill>
                <patternFill>
                  <bgColor rgb="FFFFFF00"/>
                </patternFill>
              </fill>
            </x14:dxf>
          </x14:cfRule>
          <xm:sqref>BF104:BT104</xm:sqref>
        </x14:conditionalFormatting>
        <x14:conditionalFormatting xmlns:xm="http://schemas.microsoft.com/office/excel/2006/main">
          <x14:cfRule type="expression" priority="4696064" id="{6A5FADC6-9512-4EFB-90A5-7B5244D10D1F}">
            <xm:f>$BT$4='Data entry'!$R39</xm:f>
            <x14:dxf>
              <fill>
                <patternFill>
                  <bgColor rgb="FFFF0000"/>
                </patternFill>
              </fill>
            </x14:dxf>
          </x14:cfRule>
          <xm:sqref>BR105:CC105</xm:sqref>
        </x14:conditionalFormatting>
        <x14:conditionalFormatting xmlns:xm="http://schemas.microsoft.com/office/excel/2006/main">
          <x14:cfRule type="expression" priority="4696065" id="{A51139D1-8841-4B96-B8CB-DFE3808765CF}">
            <xm:f>$BU$4='Data entry'!$R39</xm:f>
            <x14:dxf>
              <fill>
                <patternFill>
                  <bgColor rgb="FFFFFF00"/>
                </patternFill>
              </fill>
            </x14:dxf>
          </x14:cfRule>
          <xm:sqref>BG104:BU104</xm:sqref>
        </x14:conditionalFormatting>
        <x14:conditionalFormatting xmlns:xm="http://schemas.microsoft.com/office/excel/2006/main">
          <x14:cfRule type="expression" priority="4696066" id="{55CA7258-760F-4BFF-ACB5-A70FEB3E7981}">
            <xm:f>$BU$4='Data entry'!$R39</xm:f>
            <x14:dxf>
              <fill>
                <patternFill>
                  <bgColor rgb="FFFF0000"/>
                </patternFill>
              </fill>
            </x14:dxf>
          </x14:cfRule>
          <xm:sqref>BS105:CC105</xm:sqref>
        </x14:conditionalFormatting>
        <x14:conditionalFormatting xmlns:xm="http://schemas.microsoft.com/office/excel/2006/main">
          <x14:cfRule type="expression" priority="4696067" id="{A922B218-64DB-4CBB-9AB8-FE0EBB44E09E}">
            <xm:f>$BV$4='Data entry'!$R39</xm:f>
            <x14:dxf>
              <fill>
                <patternFill>
                  <bgColor rgb="FFFFFF00"/>
                </patternFill>
              </fill>
            </x14:dxf>
          </x14:cfRule>
          <xm:sqref>BH104:BV104</xm:sqref>
        </x14:conditionalFormatting>
        <x14:conditionalFormatting xmlns:xm="http://schemas.microsoft.com/office/excel/2006/main">
          <x14:cfRule type="expression" priority="4696068" id="{C98E908A-CD31-4778-B41C-7AFB9DBE639A}">
            <xm:f>$BV$4='Data entry'!$R39</xm:f>
            <x14:dxf>
              <fill>
                <patternFill>
                  <bgColor rgb="FFFF0000"/>
                </patternFill>
              </fill>
            </x14:dxf>
          </x14:cfRule>
          <xm:sqref>BT105:CC105</xm:sqref>
        </x14:conditionalFormatting>
        <x14:conditionalFormatting xmlns:xm="http://schemas.microsoft.com/office/excel/2006/main">
          <x14:cfRule type="expression" priority="4696069" id="{465CCCA3-B4DB-4B61-8AC7-8A5E4CEC9E3F}">
            <xm:f>$BW$4='Data entry'!$R39</xm:f>
            <x14:dxf>
              <fill>
                <patternFill>
                  <bgColor rgb="FFFFFF00"/>
                </patternFill>
              </fill>
            </x14:dxf>
          </x14:cfRule>
          <xm:sqref>BI104:BW104</xm:sqref>
        </x14:conditionalFormatting>
        <x14:conditionalFormatting xmlns:xm="http://schemas.microsoft.com/office/excel/2006/main">
          <x14:cfRule type="expression" priority="4696070" id="{37566F97-6D06-400B-A709-FE657B07687F}">
            <xm:f>$BW$4='Data entry'!$R39</xm:f>
            <x14:dxf>
              <fill>
                <patternFill>
                  <bgColor rgb="FFFF0000"/>
                </patternFill>
              </fill>
            </x14:dxf>
          </x14:cfRule>
          <xm:sqref>BU105:CC105</xm:sqref>
        </x14:conditionalFormatting>
        <x14:conditionalFormatting xmlns:xm="http://schemas.microsoft.com/office/excel/2006/main">
          <x14:cfRule type="expression" priority="4696071" id="{D8FBA3AC-5CF0-4E45-97CA-1D4DEE729ADA}">
            <xm:f>$BX$4='Data entry'!$R39</xm:f>
            <x14:dxf>
              <fill>
                <patternFill>
                  <bgColor rgb="FFFFFF00"/>
                </patternFill>
              </fill>
            </x14:dxf>
          </x14:cfRule>
          <xm:sqref>BJ104:BX104</xm:sqref>
        </x14:conditionalFormatting>
        <x14:conditionalFormatting xmlns:xm="http://schemas.microsoft.com/office/excel/2006/main">
          <x14:cfRule type="expression" priority="4696072" id="{E077C84B-A94F-431D-B232-4AFCC7C64F54}">
            <xm:f>$BX$4='Data entry'!$R39</xm:f>
            <x14:dxf>
              <fill>
                <patternFill>
                  <bgColor rgb="FFFF0000"/>
                </patternFill>
              </fill>
            </x14:dxf>
          </x14:cfRule>
          <xm:sqref>BV105:CC105</xm:sqref>
        </x14:conditionalFormatting>
        <x14:conditionalFormatting xmlns:xm="http://schemas.microsoft.com/office/excel/2006/main">
          <x14:cfRule type="expression" priority="4696073" id="{63783BA8-0C97-4A44-86FD-7A2BCF1B9957}">
            <xm:f>$BY$4='Data entry'!$R39</xm:f>
            <x14:dxf>
              <fill>
                <patternFill>
                  <bgColor rgb="FFFFFF00"/>
                </patternFill>
              </fill>
            </x14:dxf>
          </x14:cfRule>
          <xm:sqref>BK104:BY104</xm:sqref>
        </x14:conditionalFormatting>
        <x14:conditionalFormatting xmlns:xm="http://schemas.microsoft.com/office/excel/2006/main">
          <x14:cfRule type="expression" priority="4696074" id="{BB8DB8B4-B71B-46D2-AEE7-346F16103F74}">
            <xm:f>$BY$4='Data entry'!$R39</xm:f>
            <x14:dxf>
              <fill>
                <patternFill>
                  <bgColor rgb="FFFF0000"/>
                </patternFill>
              </fill>
            </x14:dxf>
          </x14:cfRule>
          <xm:sqref>BW105:CC105</xm:sqref>
        </x14:conditionalFormatting>
        <x14:conditionalFormatting xmlns:xm="http://schemas.microsoft.com/office/excel/2006/main">
          <x14:cfRule type="expression" priority="4696075" id="{1B638B98-2B06-4FEB-90C1-446A3E0A3979}">
            <xm:f>$BZ$4='Data entry'!$R39</xm:f>
            <x14:dxf>
              <fill>
                <patternFill>
                  <bgColor rgb="FFFFFF00"/>
                </patternFill>
              </fill>
            </x14:dxf>
          </x14:cfRule>
          <xm:sqref>BL104:BZ104</xm:sqref>
        </x14:conditionalFormatting>
        <x14:conditionalFormatting xmlns:xm="http://schemas.microsoft.com/office/excel/2006/main">
          <x14:cfRule type="expression" priority="4696076" id="{D3A0A2F8-D1B2-4DC5-B2A9-0EF53074E685}">
            <xm:f>$BZ$4='Data entry'!$R39</xm:f>
            <x14:dxf>
              <fill>
                <patternFill>
                  <bgColor rgb="FFFF0000"/>
                </patternFill>
              </fill>
            </x14:dxf>
          </x14:cfRule>
          <xm:sqref>BX105:CC105</xm:sqref>
        </x14:conditionalFormatting>
        <x14:conditionalFormatting xmlns:xm="http://schemas.microsoft.com/office/excel/2006/main">
          <x14:cfRule type="expression" priority="4696077" id="{83F6D018-7D3B-4D33-9998-11572F2F2FF5}">
            <xm:f>$CA$4='Data entry'!$R39</xm:f>
            <x14:dxf>
              <fill>
                <patternFill>
                  <bgColor rgb="FFFFFF00"/>
                </patternFill>
              </fill>
            </x14:dxf>
          </x14:cfRule>
          <xm:sqref>BM104:CA104</xm:sqref>
        </x14:conditionalFormatting>
        <x14:conditionalFormatting xmlns:xm="http://schemas.microsoft.com/office/excel/2006/main">
          <x14:cfRule type="expression" priority="4696078" id="{8E6D0B51-5626-4ED9-9072-C7A2C139704F}">
            <xm:f>$CA$4='Data entry'!$R39</xm:f>
            <x14:dxf>
              <fill>
                <patternFill>
                  <bgColor rgb="FFFF0000"/>
                </patternFill>
              </fill>
            </x14:dxf>
          </x14:cfRule>
          <xm:sqref>BY105:CC105</xm:sqref>
        </x14:conditionalFormatting>
        <x14:conditionalFormatting xmlns:xm="http://schemas.microsoft.com/office/excel/2006/main">
          <x14:cfRule type="expression" priority="4696079" id="{E1886EE4-3BDE-43A9-9F4B-79377FEC37FE}">
            <xm:f>$CB$4='Data entry'!$R39</xm:f>
            <x14:dxf>
              <fill>
                <patternFill>
                  <bgColor rgb="FFFFFF00"/>
                </patternFill>
              </fill>
            </x14:dxf>
          </x14:cfRule>
          <xm:sqref>BN104:CB104</xm:sqref>
        </x14:conditionalFormatting>
        <x14:conditionalFormatting xmlns:xm="http://schemas.microsoft.com/office/excel/2006/main">
          <x14:cfRule type="expression" priority="4696080" id="{ADEF572A-6C18-4602-BB86-01C96D36E07E}">
            <xm:f>$CB$4='Data entry'!$R39</xm:f>
            <x14:dxf>
              <fill>
                <patternFill>
                  <bgColor rgb="FFFF0000"/>
                </patternFill>
              </fill>
            </x14:dxf>
          </x14:cfRule>
          <xm:sqref>BZ105:CC105</xm:sqref>
        </x14:conditionalFormatting>
        <x14:conditionalFormatting xmlns:xm="http://schemas.microsoft.com/office/excel/2006/main">
          <x14:cfRule type="expression" priority="4696081" id="{7984E1C9-E073-4955-8543-62145CB6D008}">
            <xm:f>$CC$4='Data entry'!$R39</xm:f>
            <x14:dxf>
              <fill>
                <patternFill>
                  <bgColor rgb="FFFFFF00"/>
                </patternFill>
              </fill>
            </x14:dxf>
          </x14:cfRule>
          <xm:sqref>BO104:CC104</xm:sqref>
        </x14:conditionalFormatting>
        <x14:conditionalFormatting xmlns:xm="http://schemas.microsoft.com/office/excel/2006/main">
          <x14:cfRule type="expression" priority="4696082" id="{18A957B3-59FA-4698-BA92-2A208FF18E2F}">
            <xm:f>$CC$4='Data entry'!$R39</xm:f>
            <x14:dxf>
              <fill>
                <patternFill>
                  <bgColor rgb="FFFF0000"/>
                </patternFill>
              </fill>
            </x14:dxf>
          </x14:cfRule>
          <xm:sqref>CA105:CC105</xm:sqref>
        </x14:conditionalFormatting>
        <x14:conditionalFormatting xmlns:xm="http://schemas.microsoft.com/office/excel/2006/main">
          <x14:cfRule type="expression" priority="4696169" id="{5B0DB825-B7C2-40AC-B7EF-F267F054CFB9}">
            <xm:f>$U$4='Data entry'!$R40</xm:f>
            <x14:dxf>
              <fill>
                <patternFill>
                  <bgColor rgb="FFFF0000"/>
                </patternFill>
              </fill>
            </x14:dxf>
          </x14:cfRule>
          <xm:sqref>S108:AE108</xm:sqref>
        </x14:conditionalFormatting>
        <x14:conditionalFormatting xmlns:xm="http://schemas.microsoft.com/office/excel/2006/main">
          <x14:cfRule type="expression" priority="4696170" id="{18311200-E2BB-400F-B594-3B9A2C6068C2}">
            <xm:f>$V$4='Data entry'!$R40</xm:f>
            <x14:dxf>
              <fill>
                <patternFill>
                  <bgColor rgb="FFFF0000"/>
                </patternFill>
              </fill>
            </x14:dxf>
          </x14:cfRule>
          <xm:sqref>T108:AF108</xm:sqref>
        </x14:conditionalFormatting>
        <x14:conditionalFormatting xmlns:xm="http://schemas.microsoft.com/office/excel/2006/main">
          <x14:cfRule type="expression" priority="4696171" id="{D6DFB621-1A58-4C59-A987-ECAD0EB2D32B}">
            <xm:f>$V$4='Data entry'!$R40</xm:f>
            <x14:dxf>
              <fill>
                <patternFill>
                  <bgColor rgb="FFFFFF00"/>
                </patternFill>
              </fill>
            </x14:dxf>
          </x14:cfRule>
          <xm:sqref>H107:V107</xm:sqref>
        </x14:conditionalFormatting>
        <x14:conditionalFormatting xmlns:xm="http://schemas.microsoft.com/office/excel/2006/main">
          <x14:cfRule type="expression" priority="4696172" id="{5F87A680-DC5F-433D-A779-B7A534ACCDA9}">
            <xm:f>$W$4='Data entry'!$R40</xm:f>
            <x14:dxf>
              <fill>
                <patternFill>
                  <bgColor rgb="FFFF0000"/>
                </patternFill>
              </fill>
            </x14:dxf>
          </x14:cfRule>
          <xm:sqref>U108:AG108</xm:sqref>
        </x14:conditionalFormatting>
        <x14:conditionalFormatting xmlns:xm="http://schemas.microsoft.com/office/excel/2006/main">
          <x14:cfRule type="expression" priority="4696173" id="{964539FF-A92C-4F68-B268-B7157A32678C}">
            <xm:f>$W$4='Data entry'!$R40</xm:f>
            <x14:dxf>
              <fill>
                <patternFill>
                  <bgColor rgb="FFFFFF00"/>
                </patternFill>
              </fill>
            </x14:dxf>
          </x14:cfRule>
          <xm:sqref>I107:W107</xm:sqref>
        </x14:conditionalFormatting>
        <x14:conditionalFormatting xmlns:xm="http://schemas.microsoft.com/office/excel/2006/main">
          <x14:cfRule type="expression" priority="4696174" id="{46C1533A-F090-4A90-9309-3F59EC3FD3B0}">
            <xm:f>$X$4='Data entry'!$R40</xm:f>
            <x14:dxf>
              <fill>
                <patternFill>
                  <bgColor rgb="FFFF0000"/>
                </patternFill>
              </fill>
            </x14:dxf>
          </x14:cfRule>
          <xm:sqref>V108:AH108</xm:sqref>
        </x14:conditionalFormatting>
        <x14:conditionalFormatting xmlns:xm="http://schemas.microsoft.com/office/excel/2006/main">
          <x14:cfRule type="expression" priority="4696175" id="{7C70E81C-DDD4-4D75-933A-4F6A39893184}">
            <xm:f>$X$4='Data entry'!$R40</xm:f>
            <x14:dxf>
              <fill>
                <patternFill>
                  <bgColor rgb="FFFFFF00"/>
                </patternFill>
              </fill>
            </x14:dxf>
          </x14:cfRule>
          <xm:sqref>J107:X107</xm:sqref>
        </x14:conditionalFormatting>
        <x14:conditionalFormatting xmlns:xm="http://schemas.microsoft.com/office/excel/2006/main">
          <x14:cfRule type="expression" priority="4696176" id="{561AF073-0EF8-4B72-A119-40A639C4359D}">
            <xm:f>$Y$4='Data entry'!$R40</xm:f>
            <x14:dxf>
              <fill>
                <patternFill>
                  <bgColor rgb="FFFF0000"/>
                </patternFill>
              </fill>
            </x14:dxf>
          </x14:cfRule>
          <xm:sqref>W108:AI108</xm:sqref>
        </x14:conditionalFormatting>
        <x14:conditionalFormatting xmlns:xm="http://schemas.microsoft.com/office/excel/2006/main">
          <x14:cfRule type="expression" priority="4696177" id="{F242E808-8F07-4A89-9524-7D4C767CE357}">
            <xm:f>$Y$4='Data entry'!$R40</xm:f>
            <x14:dxf>
              <fill>
                <patternFill>
                  <bgColor rgb="FFFFFF00"/>
                </patternFill>
              </fill>
            </x14:dxf>
          </x14:cfRule>
          <xm:sqref>K107:Y107</xm:sqref>
        </x14:conditionalFormatting>
        <x14:conditionalFormatting xmlns:xm="http://schemas.microsoft.com/office/excel/2006/main">
          <x14:cfRule type="expression" priority="4696178" id="{DD601058-982B-4218-BD9D-64BB823C2633}">
            <xm:f>$Z$4='Data entry'!$R40</xm:f>
            <x14:dxf>
              <fill>
                <patternFill>
                  <bgColor rgb="FFFF0000"/>
                </patternFill>
              </fill>
            </x14:dxf>
          </x14:cfRule>
          <xm:sqref>X108:AJ108</xm:sqref>
        </x14:conditionalFormatting>
        <x14:conditionalFormatting xmlns:xm="http://schemas.microsoft.com/office/excel/2006/main">
          <x14:cfRule type="expression" priority="4696179" id="{C9DB141D-79F6-4093-92A3-7BF7A1622985}">
            <xm:f>$Z$4='Data entry'!$R40</xm:f>
            <x14:dxf>
              <fill>
                <patternFill>
                  <bgColor rgb="FFFFFF00"/>
                </patternFill>
              </fill>
            </x14:dxf>
          </x14:cfRule>
          <xm:sqref>L107:Z107</xm:sqref>
        </x14:conditionalFormatting>
        <x14:conditionalFormatting xmlns:xm="http://schemas.microsoft.com/office/excel/2006/main">
          <x14:cfRule type="expression" priority="4696180" id="{710EB8D3-F5C0-4E3C-8214-2D0C4E26F649}">
            <xm:f>$AA$4='Data entry'!$R40</xm:f>
            <x14:dxf>
              <fill>
                <patternFill>
                  <bgColor rgb="FFFF0000"/>
                </patternFill>
              </fill>
            </x14:dxf>
          </x14:cfRule>
          <xm:sqref>Y108:AK108</xm:sqref>
        </x14:conditionalFormatting>
        <x14:conditionalFormatting xmlns:xm="http://schemas.microsoft.com/office/excel/2006/main">
          <x14:cfRule type="expression" priority="4696181" id="{33825D69-C967-4D27-B395-5D44A3083802}">
            <xm:f>$AA$4='Data entry'!$R40</xm:f>
            <x14:dxf>
              <fill>
                <patternFill>
                  <bgColor rgb="FFFFFF00"/>
                </patternFill>
              </fill>
            </x14:dxf>
          </x14:cfRule>
          <xm:sqref>M107:AA107</xm:sqref>
        </x14:conditionalFormatting>
        <x14:conditionalFormatting xmlns:xm="http://schemas.microsoft.com/office/excel/2006/main">
          <x14:cfRule type="expression" priority="4696182" id="{9811A97D-351B-4D32-8754-AF433277E62B}">
            <xm:f>$AB$4='Data entry'!$R40</xm:f>
            <x14:dxf>
              <fill>
                <patternFill>
                  <bgColor rgb="FFFF0000"/>
                </patternFill>
              </fill>
            </x14:dxf>
          </x14:cfRule>
          <xm:sqref>Z108:AL108</xm:sqref>
        </x14:conditionalFormatting>
        <x14:conditionalFormatting xmlns:xm="http://schemas.microsoft.com/office/excel/2006/main">
          <x14:cfRule type="expression" priority="4696183" id="{6DD3E556-C72E-438B-92DA-3096ED1E4178}">
            <xm:f>$AB$4='Data entry'!$R40</xm:f>
            <x14:dxf>
              <fill>
                <patternFill>
                  <bgColor rgb="FFFFFF00"/>
                </patternFill>
              </fill>
            </x14:dxf>
          </x14:cfRule>
          <xm:sqref>N107:AB107</xm:sqref>
        </x14:conditionalFormatting>
        <x14:conditionalFormatting xmlns:xm="http://schemas.microsoft.com/office/excel/2006/main">
          <x14:cfRule type="expression" priority="4696184" id="{C0DF7A1B-D6BC-4371-BD3A-F0708147FA1C}">
            <xm:f>$AC$4='Data entry'!$R40</xm:f>
            <x14:dxf>
              <fill>
                <patternFill>
                  <bgColor rgb="FFFF0000"/>
                </patternFill>
              </fill>
            </x14:dxf>
          </x14:cfRule>
          <xm:sqref>AA108:AM108</xm:sqref>
        </x14:conditionalFormatting>
        <x14:conditionalFormatting xmlns:xm="http://schemas.microsoft.com/office/excel/2006/main">
          <x14:cfRule type="expression" priority="4696185" id="{DB2E1F48-AF0E-41F9-A976-6B1963CA5711}">
            <xm:f>$AC$4='Data entry'!$R40</xm:f>
            <x14:dxf>
              <fill>
                <patternFill>
                  <bgColor rgb="FFFFFF00"/>
                </patternFill>
              </fill>
            </x14:dxf>
          </x14:cfRule>
          <xm:sqref>O107:AC107</xm:sqref>
        </x14:conditionalFormatting>
        <x14:conditionalFormatting xmlns:xm="http://schemas.microsoft.com/office/excel/2006/main">
          <x14:cfRule type="expression" priority="4696186" id="{89909907-F9A9-4AF9-BC1D-304710A43F50}">
            <xm:f>$AD$4='Data entry'!$R40</xm:f>
            <x14:dxf>
              <fill>
                <patternFill>
                  <bgColor rgb="FFFF0000"/>
                </patternFill>
              </fill>
            </x14:dxf>
          </x14:cfRule>
          <xm:sqref>AB108:AN108</xm:sqref>
        </x14:conditionalFormatting>
        <x14:conditionalFormatting xmlns:xm="http://schemas.microsoft.com/office/excel/2006/main">
          <x14:cfRule type="expression" priority="4696187" id="{729676B7-E331-43A4-ACC9-850DCEE76A0E}">
            <xm:f>$AD$4='Data entry'!$R40</xm:f>
            <x14:dxf>
              <fill>
                <patternFill>
                  <bgColor rgb="FFFFFF00"/>
                </patternFill>
              </fill>
            </x14:dxf>
          </x14:cfRule>
          <xm:sqref>P107:AD107</xm:sqref>
        </x14:conditionalFormatting>
        <x14:conditionalFormatting xmlns:xm="http://schemas.microsoft.com/office/excel/2006/main">
          <x14:cfRule type="expression" priority="4696188" id="{00DA2C55-350E-44AA-ABEA-808FABFDA737}">
            <xm:f>$AE$4='Data entry'!$R40</xm:f>
            <x14:dxf>
              <fill>
                <patternFill>
                  <bgColor rgb="FFFF0000"/>
                </patternFill>
              </fill>
            </x14:dxf>
          </x14:cfRule>
          <xm:sqref>AC108:AO108</xm:sqref>
        </x14:conditionalFormatting>
        <x14:conditionalFormatting xmlns:xm="http://schemas.microsoft.com/office/excel/2006/main">
          <x14:cfRule type="expression" priority="4696189" id="{373C95F1-00C1-45E9-B561-5224945BA4A4}">
            <xm:f>$AE$4='Data entry'!$R40</xm:f>
            <x14:dxf>
              <fill>
                <patternFill>
                  <bgColor rgb="FFFFFF00"/>
                </patternFill>
              </fill>
            </x14:dxf>
          </x14:cfRule>
          <xm:sqref>Q107:AE107</xm:sqref>
        </x14:conditionalFormatting>
        <x14:conditionalFormatting xmlns:xm="http://schemas.microsoft.com/office/excel/2006/main">
          <x14:cfRule type="expression" priority="4696190" id="{65E90E74-6BEF-4B00-BD5E-ECACFEBC225A}">
            <xm:f>$AF$4='Data entry'!$R40</xm:f>
            <x14:dxf>
              <fill>
                <patternFill>
                  <bgColor rgb="FFFF0000"/>
                </patternFill>
              </fill>
            </x14:dxf>
          </x14:cfRule>
          <xm:sqref>AD108:AP108</xm:sqref>
        </x14:conditionalFormatting>
        <x14:conditionalFormatting xmlns:xm="http://schemas.microsoft.com/office/excel/2006/main">
          <x14:cfRule type="expression" priority="4696191" id="{56B519D7-E083-4811-B42B-D6CB10D44BB3}">
            <xm:f>$AF$4='Data entry'!$R40</xm:f>
            <x14:dxf>
              <fill>
                <patternFill>
                  <bgColor rgb="FFFFFF00"/>
                </patternFill>
              </fill>
            </x14:dxf>
          </x14:cfRule>
          <xm:sqref>R107:AF107</xm:sqref>
        </x14:conditionalFormatting>
        <x14:conditionalFormatting xmlns:xm="http://schemas.microsoft.com/office/excel/2006/main">
          <x14:cfRule type="expression" priority="4696192" id="{889682B6-BF9B-414B-86B7-1C802156B058}">
            <xm:f>$AG$4='Data entry'!$R40</xm:f>
            <x14:dxf>
              <fill>
                <patternFill>
                  <bgColor rgb="FFFF0000"/>
                </patternFill>
              </fill>
            </x14:dxf>
          </x14:cfRule>
          <xm:sqref>AE108:AQ108</xm:sqref>
        </x14:conditionalFormatting>
        <x14:conditionalFormatting xmlns:xm="http://schemas.microsoft.com/office/excel/2006/main">
          <x14:cfRule type="expression" priority="4696193" id="{19913D88-1940-4CB0-B29C-D46D60833BD5}">
            <xm:f>$AG$4='Data entry'!$R40</xm:f>
            <x14:dxf>
              <fill>
                <patternFill>
                  <bgColor rgb="FFFFFF00"/>
                </patternFill>
              </fill>
            </x14:dxf>
          </x14:cfRule>
          <xm:sqref>S107:AG107</xm:sqref>
        </x14:conditionalFormatting>
        <x14:conditionalFormatting xmlns:xm="http://schemas.microsoft.com/office/excel/2006/main">
          <x14:cfRule type="expression" priority="4696194" id="{3DD7B9A5-18A3-463F-BAD5-9796FC487328}">
            <xm:f>$AH$4='Data entry'!$R40</xm:f>
            <x14:dxf>
              <fill>
                <patternFill>
                  <bgColor rgb="FFFF0000"/>
                </patternFill>
              </fill>
            </x14:dxf>
          </x14:cfRule>
          <xm:sqref>AF108:AR108</xm:sqref>
        </x14:conditionalFormatting>
        <x14:conditionalFormatting xmlns:xm="http://schemas.microsoft.com/office/excel/2006/main">
          <x14:cfRule type="expression" priority="4696195" id="{31005CF4-5608-496E-91EB-F7F505046C80}">
            <xm:f>$AH$4='Data entry'!$R40</xm:f>
            <x14:dxf>
              <fill>
                <patternFill>
                  <bgColor rgb="FFFFFF00"/>
                </patternFill>
              </fill>
            </x14:dxf>
          </x14:cfRule>
          <xm:sqref>T107:AH107</xm:sqref>
        </x14:conditionalFormatting>
        <x14:conditionalFormatting xmlns:xm="http://schemas.microsoft.com/office/excel/2006/main">
          <x14:cfRule type="expression" priority="4696196" id="{CD14F654-5B7A-444F-8FC1-7DD71E76E475}">
            <xm:f>$AI$4='Data entry'!$R40</xm:f>
            <x14:dxf>
              <fill>
                <patternFill>
                  <bgColor rgb="FFFF0000"/>
                </patternFill>
              </fill>
            </x14:dxf>
          </x14:cfRule>
          <xm:sqref>AG108:AS108</xm:sqref>
        </x14:conditionalFormatting>
        <x14:conditionalFormatting xmlns:xm="http://schemas.microsoft.com/office/excel/2006/main">
          <x14:cfRule type="expression" priority="4696197" id="{0E4E448C-6C46-4285-B877-A61A90294385}">
            <xm:f>$AI$4='Data entry'!$R40</xm:f>
            <x14:dxf>
              <fill>
                <patternFill>
                  <bgColor rgb="FFFFFF00"/>
                </patternFill>
              </fill>
            </x14:dxf>
          </x14:cfRule>
          <xm:sqref>U107:AI107</xm:sqref>
        </x14:conditionalFormatting>
        <x14:conditionalFormatting xmlns:xm="http://schemas.microsoft.com/office/excel/2006/main">
          <x14:cfRule type="expression" priority="4696198" id="{B1C1818F-791C-403D-BE73-6F6E9DC6A16D}">
            <xm:f>$AJ$4='Data entry'!$R40</xm:f>
            <x14:dxf>
              <fill>
                <patternFill>
                  <bgColor rgb="FFFF0000"/>
                </patternFill>
              </fill>
            </x14:dxf>
          </x14:cfRule>
          <xm:sqref>AH108:AT108</xm:sqref>
        </x14:conditionalFormatting>
        <x14:conditionalFormatting xmlns:xm="http://schemas.microsoft.com/office/excel/2006/main">
          <x14:cfRule type="expression" priority="4696199" id="{A1237792-221B-431B-B8A7-E9A64DA46D93}">
            <xm:f>$AJ$4='Data entry'!$R40</xm:f>
            <x14:dxf>
              <fill>
                <patternFill>
                  <bgColor rgb="FFFFFF00"/>
                </patternFill>
              </fill>
            </x14:dxf>
          </x14:cfRule>
          <xm:sqref>V107:AJ107</xm:sqref>
        </x14:conditionalFormatting>
        <x14:conditionalFormatting xmlns:xm="http://schemas.microsoft.com/office/excel/2006/main">
          <x14:cfRule type="expression" priority="4696200" id="{617DC2AF-C7A3-4724-8EA3-17DEFEDC8949}">
            <xm:f>$AK$4='Data entry'!$R40</xm:f>
            <x14:dxf>
              <fill>
                <patternFill>
                  <bgColor rgb="FFFF0000"/>
                </patternFill>
              </fill>
            </x14:dxf>
          </x14:cfRule>
          <xm:sqref>AI108:AU108</xm:sqref>
        </x14:conditionalFormatting>
        <x14:conditionalFormatting xmlns:xm="http://schemas.microsoft.com/office/excel/2006/main">
          <x14:cfRule type="expression" priority="4696201" id="{AA72317D-37B1-48EB-A28B-BF2AC8DC4519}">
            <xm:f>$AK$4='Data entry'!$R40</xm:f>
            <x14:dxf>
              <fill>
                <patternFill>
                  <bgColor rgb="FFFFFF00"/>
                </patternFill>
              </fill>
            </x14:dxf>
          </x14:cfRule>
          <xm:sqref>W107:AK107</xm:sqref>
        </x14:conditionalFormatting>
        <x14:conditionalFormatting xmlns:xm="http://schemas.microsoft.com/office/excel/2006/main">
          <x14:cfRule type="expression" priority="4696202" id="{6CA9FB7A-20EA-4D3A-B74C-A001F4BE810D}">
            <xm:f>$AL$4='Data entry'!$R40</xm:f>
            <x14:dxf>
              <fill>
                <patternFill>
                  <bgColor rgb="FFFF0000"/>
                </patternFill>
              </fill>
            </x14:dxf>
          </x14:cfRule>
          <xm:sqref>AJ108:AV108</xm:sqref>
        </x14:conditionalFormatting>
        <x14:conditionalFormatting xmlns:xm="http://schemas.microsoft.com/office/excel/2006/main">
          <x14:cfRule type="expression" priority="4696203" id="{81A75DAA-573F-4EF3-A640-1B992C18BEA0}">
            <xm:f>$AL$4='Data entry'!$R40</xm:f>
            <x14:dxf>
              <fill>
                <patternFill>
                  <bgColor rgb="FFFFFF00"/>
                </patternFill>
              </fill>
            </x14:dxf>
          </x14:cfRule>
          <xm:sqref>X107:AL107</xm:sqref>
        </x14:conditionalFormatting>
        <x14:conditionalFormatting xmlns:xm="http://schemas.microsoft.com/office/excel/2006/main">
          <x14:cfRule type="expression" priority="4696204" id="{3D44713E-4ABA-4CCD-9DF4-5513A9FB5E1E}">
            <xm:f>$AM$4='Data entry'!$R40</xm:f>
            <x14:dxf>
              <fill>
                <patternFill>
                  <bgColor rgb="FFFF0000"/>
                </patternFill>
              </fill>
            </x14:dxf>
          </x14:cfRule>
          <xm:sqref>AK108:AW108</xm:sqref>
        </x14:conditionalFormatting>
        <x14:conditionalFormatting xmlns:xm="http://schemas.microsoft.com/office/excel/2006/main">
          <x14:cfRule type="expression" priority="4696205" id="{05A26B51-72A7-4423-822F-2BDBC28275D0}">
            <xm:f>$AM$4='Data entry'!$R40</xm:f>
            <x14:dxf>
              <fill>
                <patternFill>
                  <bgColor rgb="FFFFFF00"/>
                </patternFill>
              </fill>
            </x14:dxf>
          </x14:cfRule>
          <xm:sqref>Y107:AM107</xm:sqref>
        </x14:conditionalFormatting>
        <x14:conditionalFormatting xmlns:xm="http://schemas.microsoft.com/office/excel/2006/main">
          <x14:cfRule type="expression" priority="4696206" id="{B8A20675-6230-4694-A7F6-6B3DC7142773}">
            <xm:f>$AN$4='Data entry'!$R40</xm:f>
            <x14:dxf>
              <fill>
                <patternFill>
                  <bgColor rgb="FFFF0000"/>
                </patternFill>
              </fill>
            </x14:dxf>
          </x14:cfRule>
          <xm:sqref>AL108:AX108</xm:sqref>
        </x14:conditionalFormatting>
        <x14:conditionalFormatting xmlns:xm="http://schemas.microsoft.com/office/excel/2006/main">
          <x14:cfRule type="expression" priority="4696207" id="{8421181C-7450-42E9-BC1D-065CCFCA960E}">
            <xm:f>$AN$4='Data entry'!$R40</xm:f>
            <x14:dxf>
              <fill>
                <patternFill>
                  <bgColor rgb="FFFFFF00"/>
                </patternFill>
              </fill>
            </x14:dxf>
          </x14:cfRule>
          <xm:sqref>Z107:AN107</xm:sqref>
        </x14:conditionalFormatting>
        <x14:conditionalFormatting xmlns:xm="http://schemas.microsoft.com/office/excel/2006/main">
          <x14:cfRule type="expression" priority="4696208" id="{067FE4BD-6EF4-4684-B6E0-35AB2F267EE7}">
            <xm:f>$AO$4='Data entry'!$R40</xm:f>
            <x14:dxf>
              <fill>
                <patternFill>
                  <bgColor rgb="FFFF0000"/>
                </patternFill>
              </fill>
            </x14:dxf>
          </x14:cfRule>
          <xm:sqref>AM108:AY108</xm:sqref>
        </x14:conditionalFormatting>
        <x14:conditionalFormatting xmlns:xm="http://schemas.microsoft.com/office/excel/2006/main">
          <x14:cfRule type="expression" priority="4696209" id="{F7653492-88D1-47AC-8BA3-0CCE65C3C2AB}">
            <xm:f>$AO$4='Data entry'!$R40</xm:f>
            <x14:dxf>
              <fill>
                <patternFill>
                  <bgColor rgb="FFFFFF00"/>
                </patternFill>
              </fill>
            </x14:dxf>
          </x14:cfRule>
          <xm:sqref>AA107:AO107</xm:sqref>
        </x14:conditionalFormatting>
        <x14:conditionalFormatting xmlns:xm="http://schemas.microsoft.com/office/excel/2006/main">
          <x14:cfRule type="expression" priority="4696210" id="{207A5E5D-B322-482E-9193-1D7318138358}">
            <xm:f>$AP$4='Data entry'!$R40</xm:f>
            <x14:dxf>
              <fill>
                <patternFill>
                  <bgColor rgb="FFFF0000"/>
                </patternFill>
              </fill>
            </x14:dxf>
          </x14:cfRule>
          <xm:sqref>AN108:AZ108</xm:sqref>
        </x14:conditionalFormatting>
        <x14:conditionalFormatting xmlns:xm="http://schemas.microsoft.com/office/excel/2006/main">
          <x14:cfRule type="expression" priority="4696211" id="{21DA638D-4CA0-4067-BFF1-240CE1A0261B}">
            <xm:f>$AP$4='Data entry'!$R40</xm:f>
            <x14:dxf>
              <fill>
                <patternFill>
                  <bgColor rgb="FFFFFF00"/>
                </patternFill>
              </fill>
            </x14:dxf>
          </x14:cfRule>
          <xm:sqref>AB107:AP107</xm:sqref>
        </x14:conditionalFormatting>
        <x14:conditionalFormatting xmlns:xm="http://schemas.microsoft.com/office/excel/2006/main">
          <x14:cfRule type="expression" priority="4696212" id="{71963D96-A42A-4B90-BFC7-6D83D37766EF}">
            <xm:f>$AQ$4='Data entry'!$R40</xm:f>
            <x14:dxf>
              <fill>
                <patternFill>
                  <bgColor rgb="FFFF0000"/>
                </patternFill>
              </fill>
            </x14:dxf>
          </x14:cfRule>
          <xm:sqref>AO108:BA108</xm:sqref>
        </x14:conditionalFormatting>
        <x14:conditionalFormatting xmlns:xm="http://schemas.microsoft.com/office/excel/2006/main">
          <x14:cfRule type="expression" priority="4696213" id="{74952595-84B6-484F-8FF6-FCC1F337DF4D}">
            <xm:f>$AQ$4='Data entry'!$R40</xm:f>
            <x14:dxf>
              <fill>
                <patternFill>
                  <bgColor rgb="FFFFFF00"/>
                </patternFill>
              </fill>
            </x14:dxf>
          </x14:cfRule>
          <xm:sqref>AC107:AQ107</xm:sqref>
        </x14:conditionalFormatting>
        <x14:conditionalFormatting xmlns:xm="http://schemas.microsoft.com/office/excel/2006/main">
          <x14:cfRule type="expression" priority="4696214" id="{8AC9C4B9-0A34-4BC0-B0F7-CA89434C4911}">
            <xm:f>$P$4='Data entry'!$R40</xm:f>
            <x14:dxf>
              <fill>
                <patternFill>
                  <bgColor rgb="FFFFFF00"/>
                </patternFill>
              </fill>
            </x14:dxf>
          </x14:cfRule>
          <xm:sqref>C107:P107</xm:sqref>
        </x14:conditionalFormatting>
        <x14:conditionalFormatting xmlns:xm="http://schemas.microsoft.com/office/excel/2006/main">
          <x14:cfRule type="expression" priority="4696215" id="{0A726775-ABFD-4F22-967C-1A4D87BA3751}">
            <xm:f>$Q$4='Data entry'!$R40</xm:f>
            <x14:dxf>
              <fill>
                <patternFill>
                  <bgColor rgb="FFFFFF00"/>
                </patternFill>
              </fill>
            </x14:dxf>
          </x14:cfRule>
          <xm:sqref>C107:Q107</xm:sqref>
        </x14:conditionalFormatting>
        <x14:conditionalFormatting xmlns:xm="http://schemas.microsoft.com/office/excel/2006/main">
          <x14:cfRule type="expression" priority="4696216" id="{3A8414BD-262C-43B5-86EE-FA6901D00453}">
            <xm:f>$Q$4='Data entry'!$R40</xm:f>
            <x14:dxf>
              <fill>
                <patternFill>
                  <bgColor rgb="FFFF0000"/>
                </patternFill>
              </fill>
            </x14:dxf>
          </x14:cfRule>
          <xm:sqref>O108:AA108</xm:sqref>
        </x14:conditionalFormatting>
        <x14:conditionalFormatting xmlns:xm="http://schemas.microsoft.com/office/excel/2006/main">
          <x14:cfRule type="expression" priority="4696217" id="{B8B5501D-F3EF-4449-9306-F652960C65F4}">
            <xm:f>$R$4='Data entry'!$R40</xm:f>
            <x14:dxf>
              <fill>
                <patternFill>
                  <bgColor rgb="FFFF0000"/>
                </patternFill>
              </fill>
            </x14:dxf>
          </x14:cfRule>
          <xm:sqref>P108:AB108</xm:sqref>
        </x14:conditionalFormatting>
        <x14:conditionalFormatting xmlns:xm="http://schemas.microsoft.com/office/excel/2006/main">
          <x14:cfRule type="expression" priority="4696218" id="{5D070DEC-B82E-4D87-B907-A3E5AB836991}">
            <xm:f>$R$4='Data entry'!$R40</xm:f>
            <x14:dxf>
              <fill>
                <patternFill>
                  <bgColor rgb="FFFFFF00"/>
                </patternFill>
              </fill>
            </x14:dxf>
          </x14:cfRule>
          <xm:sqref>D107:R107</xm:sqref>
        </x14:conditionalFormatting>
        <x14:conditionalFormatting xmlns:xm="http://schemas.microsoft.com/office/excel/2006/main">
          <x14:cfRule type="expression" priority="4696219" id="{E4D16A10-F818-4664-9FB2-F0E839824D4B}">
            <xm:f>$S$4='Data entry'!$R40</xm:f>
            <x14:dxf>
              <fill>
                <patternFill>
                  <bgColor rgb="FFFF0000"/>
                </patternFill>
              </fill>
            </x14:dxf>
          </x14:cfRule>
          <xm:sqref>Q108:AC108</xm:sqref>
        </x14:conditionalFormatting>
        <x14:conditionalFormatting xmlns:xm="http://schemas.microsoft.com/office/excel/2006/main">
          <x14:cfRule type="expression" priority="4696220" id="{1A9F9911-A3E9-4730-AFBE-AB8C596545CA}">
            <xm:f>$S$4='Data entry'!$R40</xm:f>
            <x14:dxf>
              <fill>
                <patternFill>
                  <bgColor rgb="FFFFFF00"/>
                </patternFill>
              </fill>
            </x14:dxf>
          </x14:cfRule>
          <xm:sqref>E107:S107</xm:sqref>
        </x14:conditionalFormatting>
        <x14:conditionalFormatting xmlns:xm="http://schemas.microsoft.com/office/excel/2006/main">
          <x14:cfRule type="expression" priority="4696221" id="{8BB5CD1B-B2AC-442A-9550-26DE19A62D22}">
            <xm:f>$T$4='Data entry'!$R40</xm:f>
            <x14:dxf>
              <fill>
                <patternFill>
                  <bgColor rgb="FFFF0000"/>
                </patternFill>
              </fill>
            </x14:dxf>
          </x14:cfRule>
          <xm:sqref>R108:AD108</xm:sqref>
        </x14:conditionalFormatting>
        <x14:conditionalFormatting xmlns:xm="http://schemas.microsoft.com/office/excel/2006/main">
          <x14:cfRule type="expression" priority="4696222" id="{E7B59C69-7921-4049-84A1-8B3E5F7B0598}">
            <xm:f>$T$4='Data entry'!$R40</xm:f>
            <x14:dxf>
              <fill>
                <patternFill>
                  <bgColor rgb="FFFFFF00"/>
                </patternFill>
              </fill>
            </x14:dxf>
          </x14:cfRule>
          <xm:sqref>F107:T107</xm:sqref>
        </x14:conditionalFormatting>
        <x14:conditionalFormatting xmlns:xm="http://schemas.microsoft.com/office/excel/2006/main">
          <x14:cfRule type="expression" priority="4696223" id="{238C09E5-7A3D-439D-949F-A7733073F9A2}">
            <xm:f>$U$4='Data entry'!$R40</xm:f>
            <x14:dxf>
              <fill>
                <patternFill>
                  <bgColor rgb="FFFFFF00"/>
                </patternFill>
              </fill>
            </x14:dxf>
          </x14:cfRule>
          <xm:sqref>G107:U107</xm:sqref>
        </x14:conditionalFormatting>
        <x14:conditionalFormatting xmlns:xm="http://schemas.microsoft.com/office/excel/2006/main">
          <x14:cfRule type="expression" priority="4696224" id="{DE4D4432-0A19-452A-AF14-2873FE4DF411}">
            <xm:f>$AR$4='Data entry'!$R40</xm:f>
            <x14:dxf>
              <fill>
                <patternFill>
                  <bgColor rgb="FFFF0000"/>
                </patternFill>
              </fill>
            </x14:dxf>
          </x14:cfRule>
          <xm:sqref>AP108:BB108</xm:sqref>
        </x14:conditionalFormatting>
        <x14:conditionalFormatting xmlns:xm="http://schemas.microsoft.com/office/excel/2006/main">
          <x14:cfRule type="expression" priority="4696225" id="{90D7E1FF-542D-40C8-9BD5-DFEB4CDD256F}">
            <xm:f>$AR$4='Data entry'!$R40</xm:f>
            <x14:dxf>
              <fill>
                <patternFill>
                  <bgColor rgb="FFFFFF00"/>
                </patternFill>
              </fill>
            </x14:dxf>
          </x14:cfRule>
          <xm:sqref>AD107:AR107</xm:sqref>
        </x14:conditionalFormatting>
        <x14:conditionalFormatting xmlns:xm="http://schemas.microsoft.com/office/excel/2006/main">
          <x14:cfRule type="expression" priority="4696226" id="{0EBB5305-4A4A-4205-A1FF-11160070CBC3}">
            <xm:f>$AS$4='Data entry'!$R40</xm:f>
            <x14:dxf>
              <fill>
                <patternFill>
                  <bgColor rgb="FFFF0000"/>
                </patternFill>
              </fill>
            </x14:dxf>
          </x14:cfRule>
          <xm:sqref>AQ108:BC108</xm:sqref>
        </x14:conditionalFormatting>
        <x14:conditionalFormatting xmlns:xm="http://schemas.microsoft.com/office/excel/2006/main">
          <x14:cfRule type="expression" priority="4696227" id="{AC8EB30C-4253-4CE1-820E-1801F6D8D35B}">
            <xm:f>$AS$4='Data entry'!$R40</xm:f>
            <x14:dxf>
              <fill>
                <patternFill>
                  <bgColor rgb="FFFFFF00"/>
                </patternFill>
              </fill>
            </x14:dxf>
          </x14:cfRule>
          <xm:sqref>AE107:AS107</xm:sqref>
        </x14:conditionalFormatting>
        <x14:conditionalFormatting xmlns:xm="http://schemas.microsoft.com/office/excel/2006/main">
          <x14:cfRule type="expression" priority="4696228" id="{E11744C1-7201-4272-A1B0-945490B42425}">
            <xm:f>$AT$4='Data entry'!$R40</xm:f>
            <x14:dxf>
              <fill>
                <patternFill>
                  <bgColor rgb="FFFF0000"/>
                </patternFill>
              </fill>
            </x14:dxf>
          </x14:cfRule>
          <xm:sqref>AR108:BD108</xm:sqref>
        </x14:conditionalFormatting>
        <x14:conditionalFormatting xmlns:xm="http://schemas.microsoft.com/office/excel/2006/main">
          <x14:cfRule type="expression" priority="4696229" id="{5EE2823B-E955-4EA7-B99C-0B1F77B57A69}">
            <xm:f>$AT$4='Data entry'!$R40</xm:f>
            <x14:dxf>
              <fill>
                <patternFill>
                  <bgColor rgb="FFFFFF00"/>
                </patternFill>
              </fill>
            </x14:dxf>
          </x14:cfRule>
          <xm:sqref>AF107:AT107</xm:sqref>
        </x14:conditionalFormatting>
        <x14:conditionalFormatting xmlns:xm="http://schemas.microsoft.com/office/excel/2006/main">
          <x14:cfRule type="expression" priority="4696230" id="{5737DC63-3262-4B34-900C-2AAEB255FCBA}">
            <xm:f>$AU$4='Data entry'!$R40</xm:f>
            <x14:dxf>
              <fill>
                <patternFill>
                  <bgColor rgb="FFFF0000"/>
                </patternFill>
              </fill>
            </x14:dxf>
          </x14:cfRule>
          <xm:sqref>AS108:BE108</xm:sqref>
        </x14:conditionalFormatting>
        <x14:conditionalFormatting xmlns:xm="http://schemas.microsoft.com/office/excel/2006/main">
          <x14:cfRule type="expression" priority="4696231" id="{2B5C1F1B-3C3D-4CA3-BC64-0E98422075B6}">
            <xm:f>$AU$4='Data entry'!$R40</xm:f>
            <x14:dxf>
              <fill>
                <patternFill>
                  <bgColor rgb="FFFFFF00"/>
                </patternFill>
              </fill>
            </x14:dxf>
          </x14:cfRule>
          <xm:sqref>AG107:AU107</xm:sqref>
        </x14:conditionalFormatting>
        <x14:conditionalFormatting xmlns:xm="http://schemas.microsoft.com/office/excel/2006/main">
          <x14:cfRule type="expression" priority="4696232" id="{B87A1285-B003-4855-8F4B-53C391BA10E6}">
            <xm:f>$AV$4='Data entry'!$R40</xm:f>
            <x14:dxf>
              <fill>
                <patternFill>
                  <bgColor rgb="FFFF0000"/>
                </patternFill>
              </fill>
            </x14:dxf>
          </x14:cfRule>
          <xm:sqref>AT108:BF108</xm:sqref>
        </x14:conditionalFormatting>
        <x14:conditionalFormatting xmlns:xm="http://schemas.microsoft.com/office/excel/2006/main">
          <x14:cfRule type="expression" priority="4696233" id="{338EE31C-78DB-4818-B837-0380F9E457FA}">
            <xm:f>$AV$4='Data entry'!$R40</xm:f>
            <x14:dxf>
              <fill>
                <patternFill>
                  <bgColor rgb="FFFFFF00"/>
                </patternFill>
              </fill>
            </x14:dxf>
          </x14:cfRule>
          <xm:sqref>AH107:AV107</xm:sqref>
        </x14:conditionalFormatting>
        <x14:conditionalFormatting xmlns:xm="http://schemas.microsoft.com/office/excel/2006/main">
          <x14:cfRule type="expression" priority="4696234" id="{5C40EA66-2801-4C91-B885-BF6A1ECFC35C}">
            <xm:f>$AW$4='Data entry'!$R40</xm:f>
            <x14:dxf>
              <fill>
                <patternFill>
                  <bgColor rgb="FFFF0000"/>
                </patternFill>
              </fill>
            </x14:dxf>
          </x14:cfRule>
          <xm:sqref>AU108:BG108</xm:sqref>
        </x14:conditionalFormatting>
        <x14:conditionalFormatting xmlns:xm="http://schemas.microsoft.com/office/excel/2006/main">
          <x14:cfRule type="expression" priority="4696235" id="{51BCD5CE-DF86-4C2F-8A81-DDA1EFD6C8F7}">
            <xm:f>$AW$4='Data entry'!$R40</xm:f>
            <x14:dxf>
              <fill>
                <patternFill>
                  <bgColor rgb="FFFFFF00"/>
                </patternFill>
              </fill>
            </x14:dxf>
          </x14:cfRule>
          <xm:sqref>AI107:AW107</xm:sqref>
        </x14:conditionalFormatting>
        <x14:conditionalFormatting xmlns:xm="http://schemas.microsoft.com/office/excel/2006/main">
          <x14:cfRule type="expression" priority="4696236" id="{DC2ED5A0-8917-4877-8CD3-9DF9BE5993C9}">
            <xm:f>$AX$4='Data entry'!$R40</xm:f>
            <x14:dxf>
              <fill>
                <patternFill>
                  <bgColor rgb="FFFF0000"/>
                </patternFill>
              </fill>
            </x14:dxf>
          </x14:cfRule>
          <xm:sqref>AV108:BH108</xm:sqref>
        </x14:conditionalFormatting>
        <x14:conditionalFormatting xmlns:xm="http://schemas.microsoft.com/office/excel/2006/main">
          <x14:cfRule type="expression" priority="4696237" id="{59B31869-20F9-45BD-BC80-0A6C8945CE2C}">
            <xm:f>$AX$4='Data entry'!$R40</xm:f>
            <x14:dxf>
              <fill>
                <patternFill>
                  <bgColor rgb="FFFFFF00"/>
                </patternFill>
              </fill>
            </x14:dxf>
          </x14:cfRule>
          <xm:sqref>AJ107:AX107</xm:sqref>
        </x14:conditionalFormatting>
        <x14:conditionalFormatting xmlns:xm="http://schemas.microsoft.com/office/excel/2006/main">
          <x14:cfRule type="expression" priority="4696238" id="{D4208FA0-4262-4037-934C-6D0742B2AD8E}">
            <xm:f>$AY$4='Data entry'!$R40</xm:f>
            <x14:dxf>
              <fill>
                <patternFill>
                  <bgColor rgb="FFFF0000"/>
                </patternFill>
              </fill>
            </x14:dxf>
          </x14:cfRule>
          <xm:sqref>AW108:BI108</xm:sqref>
        </x14:conditionalFormatting>
        <x14:conditionalFormatting xmlns:xm="http://schemas.microsoft.com/office/excel/2006/main">
          <x14:cfRule type="expression" priority="4696239" id="{04D6E423-18C7-42B2-A67D-F49D8E62B571}">
            <xm:f>$AY$4='Data entry'!$R40</xm:f>
            <x14:dxf>
              <fill>
                <patternFill>
                  <bgColor rgb="FFFFFF00"/>
                </patternFill>
              </fill>
            </x14:dxf>
          </x14:cfRule>
          <xm:sqref>AK107:AY107</xm:sqref>
        </x14:conditionalFormatting>
        <x14:conditionalFormatting xmlns:xm="http://schemas.microsoft.com/office/excel/2006/main">
          <x14:cfRule type="expression" priority="4696240" id="{A931C203-6E4B-4EBD-A2F4-1876881F48D4}">
            <xm:f>$AZ$4='Data entry'!$R40</xm:f>
            <x14:dxf>
              <fill>
                <patternFill>
                  <bgColor rgb="FFFF0000"/>
                </patternFill>
              </fill>
            </x14:dxf>
          </x14:cfRule>
          <xm:sqref>AX108:BJ108</xm:sqref>
        </x14:conditionalFormatting>
        <x14:conditionalFormatting xmlns:xm="http://schemas.microsoft.com/office/excel/2006/main">
          <x14:cfRule type="expression" priority="4696241" id="{092D9100-E652-40FE-8CAA-720DC0681250}">
            <xm:f>$AZ$4='Data entry'!$R40</xm:f>
            <x14:dxf>
              <fill>
                <patternFill>
                  <bgColor rgb="FFFFFF00"/>
                </patternFill>
              </fill>
            </x14:dxf>
          </x14:cfRule>
          <xm:sqref>AL107:AZ107</xm:sqref>
        </x14:conditionalFormatting>
        <x14:conditionalFormatting xmlns:xm="http://schemas.microsoft.com/office/excel/2006/main">
          <x14:cfRule type="expression" priority="4696242" id="{A3C7E6BE-A225-483C-A983-A915DB662C52}">
            <xm:f>$BA$4='Data entry'!$R40</xm:f>
            <x14:dxf>
              <fill>
                <patternFill>
                  <bgColor rgb="FFFF0000"/>
                </patternFill>
              </fill>
            </x14:dxf>
          </x14:cfRule>
          <xm:sqref>AY108:BK108</xm:sqref>
        </x14:conditionalFormatting>
        <x14:conditionalFormatting xmlns:xm="http://schemas.microsoft.com/office/excel/2006/main">
          <x14:cfRule type="expression" priority="4696243" id="{F5CF569A-8AFA-4CFF-8BD3-F04D8927A99F}">
            <xm:f>$BA$4='Data entry'!$R40</xm:f>
            <x14:dxf>
              <fill>
                <patternFill>
                  <bgColor rgb="FFFFFF00"/>
                </patternFill>
              </fill>
            </x14:dxf>
          </x14:cfRule>
          <xm:sqref>AM107:BA107</xm:sqref>
        </x14:conditionalFormatting>
        <x14:conditionalFormatting xmlns:xm="http://schemas.microsoft.com/office/excel/2006/main">
          <x14:cfRule type="expression" priority="4696244" id="{E4DAC94A-7983-4BFB-A87B-45B58561841A}">
            <xm:f>$BB$4='Data entry'!$R40</xm:f>
            <x14:dxf>
              <fill>
                <patternFill>
                  <bgColor rgb="FFFF0000"/>
                </patternFill>
              </fill>
            </x14:dxf>
          </x14:cfRule>
          <xm:sqref>AZ108:BL108</xm:sqref>
        </x14:conditionalFormatting>
        <x14:conditionalFormatting xmlns:xm="http://schemas.microsoft.com/office/excel/2006/main">
          <x14:cfRule type="expression" priority="4696245" id="{E63849C5-F39B-4B0E-8F8A-B532EDF2CBAE}">
            <xm:f>$BB$4='Data entry'!$R40</xm:f>
            <x14:dxf>
              <fill>
                <patternFill>
                  <bgColor rgb="FFFFFF00"/>
                </patternFill>
              </fill>
            </x14:dxf>
          </x14:cfRule>
          <xm:sqref>AN107:BB107</xm:sqref>
        </x14:conditionalFormatting>
        <x14:conditionalFormatting xmlns:xm="http://schemas.microsoft.com/office/excel/2006/main">
          <x14:cfRule type="expression" priority="4696246" id="{4FDC32D3-C1F5-455D-9AA4-A03359B72526}">
            <xm:f>$BC$4='Data entry'!$R40</xm:f>
            <x14:dxf>
              <fill>
                <patternFill>
                  <bgColor rgb="FFFF0000"/>
                </patternFill>
              </fill>
            </x14:dxf>
          </x14:cfRule>
          <xm:sqref>BA108:BM108</xm:sqref>
        </x14:conditionalFormatting>
        <x14:conditionalFormatting xmlns:xm="http://schemas.microsoft.com/office/excel/2006/main">
          <x14:cfRule type="expression" priority="4696247" id="{5F0D0C60-B233-4C56-B05D-98C99990877F}">
            <xm:f>$BC$4='Data entry'!$R40</xm:f>
            <x14:dxf>
              <fill>
                <patternFill>
                  <bgColor rgb="FFFFFF00"/>
                </patternFill>
              </fill>
            </x14:dxf>
          </x14:cfRule>
          <xm:sqref>AO107:BC107</xm:sqref>
        </x14:conditionalFormatting>
        <x14:conditionalFormatting xmlns:xm="http://schemas.microsoft.com/office/excel/2006/main">
          <x14:cfRule type="expression" priority="4696248" id="{9EBCB60F-8135-43B6-A0F3-548D4092CC98}">
            <xm:f>$BD$4='Data entry'!$R40</xm:f>
            <x14:dxf>
              <fill>
                <patternFill>
                  <bgColor rgb="FFFF0000"/>
                </patternFill>
              </fill>
            </x14:dxf>
          </x14:cfRule>
          <xm:sqref>BB108:BN108</xm:sqref>
        </x14:conditionalFormatting>
        <x14:conditionalFormatting xmlns:xm="http://schemas.microsoft.com/office/excel/2006/main">
          <x14:cfRule type="expression" priority="4696249" id="{961AF346-4A73-41ED-9A8D-27D431B09C05}">
            <xm:f>$BD$4='Data entry'!$R40</xm:f>
            <x14:dxf>
              <fill>
                <patternFill>
                  <bgColor rgb="FFFFFF00"/>
                </patternFill>
              </fill>
            </x14:dxf>
          </x14:cfRule>
          <xm:sqref>AP107:BD107</xm:sqref>
        </x14:conditionalFormatting>
        <x14:conditionalFormatting xmlns:xm="http://schemas.microsoft.com/office/excel/2006/main">
          <x14:cfRule type="expression" priority="4696250" id="{5A887026-27CD-4F8C-8BA6-1E92704C1CA6}">
            <xm:f>$BE$4='Data entry'!$R40</xm:f>
            <x14:dxf>
              <fill>
                <patternFill>
                  <bgColor rgb="FFFF0000"/>
                </patternFill>
              </fill>
            </x14:dxf>
          </x14:cfRule>
          <xm:sqref>BC108:BO108</xm:sqref>
        </x14:conditionalFormatting>
        <x14:conditionalFormatting xmlns:xm="http://schemas.microsoft.com/office/excel/2006/main">
          <x14:cfRule type="expression" priority="4696251" id="{7F46217B-A1E9-4515-B31E-E756FCD7C6D9}">
            <xm:f>$BE$4='Data entry'!$R40</xm:f>
            <x14:dxf>
              <fill>
                <patternFill>
                  <bgColor rgb="FFFFFF00"/>
                </patternFill>
              </fill>
            </x14:dxf>
          </x14:cfRule>
          <xm:sqref>AP107:BE107</xm:sqref>
        </x14:conditionalFormatting>
        <x14:conditionalFormatting xmlns:xm="http://schemas.microsoft.com/office/excel/2006/main">
          <x14:cfRule type="expression" priority="4696252" id="{F4D9285C-8CA0-4EF1-943E-6A462D47CC77}">
            <xm:f>$BF$4='Data entry'!$R40</xm:f>
            <x14:dxf>
              <fill>
                <patternFill>
                  <bgColor rgb="FFFF0000"/>
                </patternFill>
              </fill>
            </x14:dxf>
          </x14:cfRule>
          <xm:sqref>BD108:BP108</xm:sqref>
        </x14:conditionalFormatting>
        <x14:conditionalFormatting xmlns:xm="http://schemas.microsoft.com/office/excel/2006/main">
          <x14:cfRule type="expression" priority="4696253" id="{B9E4407D-651D-4DC0-9D61-3271D62A65E9}">
            <xm:f>$BF$4='Data entry'!$R40</xm:f>
            <x14:dxf>
              <fill>
                <patternFill>
                  <bgColor rgb="FFFFFF00"/>
                </patternFill>
              </fill>
            </x14:dxf>
          </x14:cfRule>
          <xm:sqref>AR107:BF107</xm:sqref>
        </x14:conditionalFormatting>
        <x14:conditionalFormatting xmlns:xm="http://schemas.microsoft.com/office/excel/2006/main">
          <x14:cfRule type="expression" priority="4696254" id="{4CDC062F-DDFF-4556-B941-08F919727F69}">
            <xm:f>$BG$4='Data entry'!$R40</xm:f>
            <x14:dxf>
              <fill>
                <patternFill>
                  <bgColor rgb="FFFF0000"/>
                </patternFill>
              </fill>
            </x14:dxf>
          </x14:cfRule>
          <xm:sqref>BE108:BQ108</xm:sqref>
        </x14:conditionalFormatting>
        <x14:conditionalFormatting xmlns:xm="http://schemas.microsoft.com/office/excel/2006/main">
          <x14:cfRule type="expression" priority="4696255" id="{789184FA-9055-433B-8A1B-92C7ED59E81F}">
            <xm:f>$BG$4='Data entry'!$R40</xm:f>
            <x14:dxf>
              <fill>
                <patternFill>
                  <bgColor rgb="FFFFFF00"/>
                </patternFill>
              </fill>
            </x14:dxf>
          </x14:cfRule>
          <xm:sqref>AS107:BG107</xm:sqref>
        </x14:conditionalFormatting>
        <x14:conditionalFormatting xmlns:xm="http://schemas.microsoft.com/office/excel/2006/main">
          <x14:cfRule type="expression" priority="4696256" id="{58651E5C-09C9-46C1-B95C-E8A578A49E15}">
            <xm:f>$BH$4='Data entry'!$R40</xm:f>
            <x14:dxf>
              <fill>
                <patternFill>
                  <bgColor rgb="FFFFFF00"/>
                </patternFill>
              </fill>
            </x14:dxf>
          </x14:cfRule>
          <xm:sqref>AT107:BH107</xm:sqref>
        </x14:conditionalFormatting>
        <x14:conditionalFormatting xmlns:xm="http://schemas.microsoft.com/office/excel/2006/main">
          <x14:cfRule type="expression" priority="4696257" id="{97B30B86-8311-4DC0-A533-8C0D53F37839}">
            <xm:f>$BH$4='Data entry'!$R40</xm:f>
            <x14:dxf>
              <fill>
                <patternFill>
                  <bgColor rgb="FFFF0000"/>
                </patternFill>
              </fill>
            </x14:dxf>
          </x14:cfRule>
          <xm:sqref>BF108:BR108</xm:sqref>
        </x14:conditionalFormatting>
        <x14:conditionalFormatting xmlns:xm="http://schemas.microsoft.com/office/excel/2006/main">
          <x14:cfRule type="expression" priority="4696258" id="{78344C0C-5AEA-40B1-A20C-6D77DF58E1F5}">
            <xm:f>$BI$4='Data entry'!$R40</xm:f>
            <x14:dxf>
              <fill>
                <patternFill>
                  <bgColor rgb="FFFFFF00"/>
                </patternFill>
              </fill>
            </x14:dxf>
          </x14:cfRule>
          <xm:sqref>AU107:BI107</xm:sqref>
        </x14:conditionalFormatting>
        <x14:conditionalFormatting xmlns:xm="http://schemas.microsoft.com/office/excel/2006/main">
          <x14:cfRule type="expression" priority="4696259" id="{A9CE044F-482E-4F25-B28F-89ACC58502B1}">
            <xm:f>$BI$4='Data entry'!$R40</xm:f>
            <x14:dxf>
              <fill>
                <patternFill>
                  <bgColor rgb="FFFF0000"/>
                </patternFill>
              </fill>
            </x14:dxf>
          </x14:cfRule>
          <xm:sqref>BG108:BS108</xm:sqref>
        </x14:conditionalFormatting>
        <x14:conditionalFormatting xmlns:xm="http://schemas.microsoft.com/office/excel/2006/main">
          <x14:cfRule type="expression" priority="4696260" id="{F63BE0EB-3C71-4456-BEF0-11180AB7A8BB}">
            <xm:f>$BJ$4='Data entry'!$R40</xm:f>
            <x14:dxf>
              <fill>
                <patternFill>
                  <bgColor rgb="FFFFFF00"/>
                </patternFill>
              </fill>
            </x14:dxf>
          </x14:cfRule>
          <xm:sqref>AV107:BJ107</xm:sqref>
        </x14:conditionalFormatting>
        <x14:conditionalFormatting xmlns:xm="http://schemas.microsoft.com/office/excel/2006/main">
          <x14:cfRule type="expression" priority="4696261" id="{478A5DCB-1DAA-4497-A6CC-B4F01FB96D10}">
            <xm:f>$BJ$4='Data entry'!$R40</xm:f>
            <x14:dxf>
              <fill>
                <patternFill>
                  <bgColor rgb="FFFF0000"/>
                </patternFill>
              </fill>
            </x14:dxf>
          </x14:cfRule>
          <xm:sqref>BH108:BT108</xm:sqref>
        </x14:conditionalFormatting>
        <x14:conditionalFormatting xmlns:xm="http://schemas.microsoft.com/office/excel/2006/main">
          <x14:cfRule type="expression" priority="4696262" id="{CDE4AD5B-65A6-4FA4-9EC0-8D05F22312A9}">
            <xm:f>$BK$4='Data entry'!$R40</xm:f>
            <x14:dxf>
              <fill>
                <patternFill>
                  <bgColor rgb="FFFF0000"/>
                </patternFill>
              </fill>
            </x14:dxf>
          </x14:cfRule>
          <xm:sqref>BI108:BU108</xm:sqref>
        </x14:conditionalFormatting>
        <x14:conditionalFormatting xmlns:xm="http://schemas.microsoft.com/office/excel/2006/main">
          <x14:cfRule type="expression" priority="4696263" id="{AB32E790-6CD8-4D11-9A69-57D785FE4BBC}">
            <xm:f>$BK$4='Data entry'!$R40</xm:f>
            <x14:dxf>
              <fill>
                <patternFill>
                  <bgColor rgb="FFFFFF00"/>
                </patternFill>
              </fill>
            </x14:dxf>
          </x14:cfRule>
          <xm:sqref>AW107:BK107</xm:sqref>
        </x14:conditionalFormatting>
        <x14:conditionalFormatting xmlns:xm="http://schemas.microsoft.com/office/excel/2006/main">
          <x14:cfRule type="expression" priority="4696264" id="{99810EB9-805C-43D8-852A-EEECE7874CDB}">
            <xm:f>$BL$4='Data entry'!$R40</xm:f>
            <x14:dxf>
              <fill>
                <patternFill>
                  <bgColor rgb="FFFF0000"/>
                </patternFill>
              </fill>
            </x14:dxf>
          </x14:cfRule>
          <xm:sqref>BJ108:BV108</xm:sqref>
        </x14:conditionalFormatting>
        <x14:conditionalFormatting xmlns:xm="http://schemas.microsoft.com/office/excel/2006/main">
          <x14:cfRule type="expression" priority="4696265" id="{BF5F5475-4E46-479C-97A6-D5175F5D1803}">
            <xm:f>$BL$4='Data entry'!$R40</xm:f>
            <x14:dxf>
              <fill>
                <patternFill>
                  <bgColor rgb="FFFFFF00"/>
                </patternFill>
              </fill>
            </x14:dxf>
          </x14:cfRule>
          <xm:sqref>AX107:BL107</xm:sqref>
        </x14:conditionalFormatting>
        <x14:conditionalFormatting xmlns:xm="http://schemas.microsoft.com/office/excel/2006/main">
          <x14:cfRule type="expression" priority="4696266" id="{B86FDF2F-16C9-46B1-847E-7EA1A8A34B9D}">
            <xm:f>$BM$4='Data entry'!$R40</xm:f>
            <x14:dxf>
              <fill>
                <patternFill>
                  <bgColor rgb="FFFF0000"/>
                </patternFill>
              </fill>
            </x14:dxf>
          </x14:cfRule>
          <xm:sqref>BK108:BW108</xm:sqref>
        </x14:conditionalFormatting>
        <x14:conditionalFormatting xmlns:xm="http://schemas.microsoft.com/office/excel/2006/main">
          <x14:cfRule type="expression" priority="4696267" id="{72FD189F-4CED-400D-9FEF-21A328970A4D}">
            <xm:f>$BM$4='Data entry'!$R40</xm:f>
            <x14:dxf>
              <fill>
                <patternFill>
                  <bgColor rgb="FFFFFF00"/>
                </patternFill>
              </fill>
            </x14:dxf>
          </x14:cfRule>
          <xm:sqref>AY107:BM107</xm:sqref>
        </x14:conditionalFormatting>
        <x14:conditionalFormatting xmlns:xm="http://schemas.microsoft.com/office/excel/2006/main">
          <x14:cfRule type="expression" priority="4696268" id="{BBBBF859-D5A7-4F55-BFBF-8A77E3357590}">
            <xm:f>$BN$4='Data entry'!$R40</xm:f>
            <x14:dxf>
              <fill>
                <patternFill>
                  <bgColor rgb="FFFF0000"/>
                </patternFill>
              </fill>
            </x14:dxf>
          </x14:cfRule>
          <xm:sqref>BL108:BX108</xm:sqref>
        </x14:conditionalFormatting>
        <x14:conditionalFormatting xmlns:xm="http://schemas.microsoft.com/office/excel/2006/main">
          <x14:cfRule type="expression" priority="4696269" id="{50CB1D75-0FD5-4D24-92B1-E8A41DC6575C}">
            <xm:f>$BN$4='Data entry'!$R40</xm:f>
            <x14:dxf>
              <fill>
                <patternFill>
                  <bgColor rgb="FFFFFF00"/>
                </patternFill>
              </fill>
            </x14:dxf>
          </x14:cfRule>
          <xm:sqref>AZ107:BN107</xm:sqref>
        </x14:conditionalFormatting>
        <x14:conditionalFormatting xmlns:xm="http://schemas.microsoft.com/office/excel/2006/main">
          <x14:cfRule type="expression" priority="4696270" id="{9EF3226D-E8FC-496B-A6FF-71776AEA54D1}">
            <xm:f>$BO$4='Data entry'!$R40</xm:f>
            <x14:dxf>
              <fill>
                <patternFill>
                  <bgColor rgb="FFFF0000"/>
                </patternFill>
              </fill>
            </x14:dxf>
          </x14:cfRule>
          <xm:sqref>BM108:BY108</xm:sqref>
        </x14:conditionalFormatting>
        <x14:conditionalFormatting xmlns:xm="http://schemas.microsoft.com/office/excel/2006/main">
          <x14:cfRule type="expression" priority="4696271" id="{3B86C801-ECFE-4D05-8AA5-1581116BAFBC}">
            <xm:f>$BO$4='Data entry'!$R40</xm:f>
            <x14:dxf>
              <fill>
                <patternFill>
                  <bgColor rgb="FFFFFF00"/>
                </patternFill>
              </fill>
            </x14:dxf>
          </x14:cfRule>
          <xm:sqref>BA107:BO107</xm:sqref>
        </x14:conditionalFormatting>
        <x14:conditionalFormatting xmlns:xm="http://schemas.microsoft.com/office/excel/2006/main">
          <x14:cfRule type="expression" priority="4696272" id="{058A23EC-3371-4A02-9F20-1ECA603AC6BC}">
            <xm:f>$BP$4='Data entry'!$R40</xm:f>
            <x14:dxf>
              <fill>
                <patternFill>
                  <bgColor rgb="FFFF0000"/>
                </patternFill>
              </fill>
            </x14:dxf>
          </x14:cfRule>
          <xm:sqref>BN108:BZ108</xm:sqref>
        </x14:conditionalFormatting>
        <x14:conditionalFormatting xmlns:xm="http://schemas.microsoft.com/office/excel/2006/main">
          <x14:cfRule type="expression" priority="4696273" id="{3E711E31-3992-4555-AB22-87133D60CD15}">
            <xm:f>$BP$4='Data entry'!$R40</xm:f>
            <x14:dxf>
              <fill>
                <patternFill>
                  <bgColor rgb="FFFFFF00"/>
                </patternFill>
              </fill>
            </x14:dxf>
          </x14:cfRule>
          <xm:sqref>BB107:BP107</xm:sqref>
        </x14:conditionalFormatting>
        <x14:conditionalFormatting xmlns:xm="http://schemas.microsoft.com/office/excel/2006/main">
          <x14:cfRule type="expression" priority="4696274" id="{23E9F8B9-37D5-4730-9453-6F23E8ECBBE3}">
            <xm:f>$BQ$4='Data entry'!$R40</xm:f>
            <x14:dxf>
              <fill>
                <patternFill>
                  <bgColor rgb="FFFFFF00"/>
                </patternFill>
              </fill>
            </x14:dxf>
          </x14:cfRule>
          <xm:sqref>BC107:BQ107</xm:sqref>
        </x14:conditionalFormatting>
        <x14:conditionalFormatting xmlns:xm="http://schemas.microsoft.com/office/excel/2006/main">
          <x14:cfRule type="expression" priority="4696275" id="{BCFD92F6-AAD3-44FD-BC61-A292A81B883E}">
            <xm:f>$BQ$4='Data entry'!$R40</xm:f>
            <x14:dxf>
              <fill>
                <patternFill>
                  <bgColor rgb="FFFF0000"/>
                </patternFill>
              </fill>
            </x14:dxf>
          </x14:cfRule>
          <xm:sqref>BO108:CA108</xm:sqref>
        </x14:conditionalFormatting>
        <x14:conditionalFormatting xmlns:xm="http://schemas.microsoft.com/office/excel/2006/main">
          <x14:cfRule type="expression" priority="4696276" id="{357D60E5-F356-477E-8020-A18F42C02832}">
            <xm:f>$BR$4='Data entry'!$R40</xm:f>
            <x14:dxf>
              <fill>
                <patternFill>
                  <bgColor rgb="FFFFFF00"/>
                </patternFill>
              </fill>
            </x14:dxf>
          </x14:cfRule>
          <xm:sqref>BD107:BR107</xm:sqref>
        </x14:conditionalFormatting>
        <x14:conditionalFormatting xmlns:xm="http://schemas.microsoft.com/office/excel/2006/main">
          <x14:cfRule type="expression" priority="4696277" id="{DA2B6511-43B3-432D-B6AA-1DB1188B90A6}">
            <xm:f>$BR$4='Data entry'!$R40</xm:f>
            <x14:dxf>
              <fill>
                <patternFill>
                  <bgColor rgb="FFFF0000"/>
                </patternFill>
              </fill>
            </x14:dxf>
          </x14:cfRule>
          <xm:sqref>BP108:CB108</xm:sqref>
        </x14:conditionalFormatting>
        <x14:conditionalFormatting xmlns:xm="http://schemas.microsoft.com/office/excel/2006/main">
          <x14:cfRule type="expression" priority="4696278" id="{0D5F64E4-4136-4BFA-B833-CC8578525D9C}">
            <xm:f>$BS$4='Data entry'!$R40</xm:f>
            <x14:dxf>
              <fill>
                <patternFill>
                  <bgColor rgb="FFFFFF00"/>
                </patternFill>
              </fill>
            </x14:dxf>
          </x14:cfRule>
          <xm:sqref>BE107:BS107</xm:sqref>
        </x14:conditionalFormatting>
        <x14:conditionalFormatting xmlns:xm="http://schemas.microsoft.com/office/excel/2006/main">
          <x14:cfRule type="expression" priority="4696279" id="{AC94D468-F078-4AE2-8771-102996E07B09}">
            <xm:f>$BS$4='Data entry'!$R40</xm:f>
            <x14:dxf>
              <fill>
                <patternFill>
                  <bgColor rgb="FFFF0000"/>
                </patternFill>
              </fill>
            </x14:dxf>
          </x14:cfRule>
          <xm:sqref>BQ108:CC108</xm:sqref>
        </x14:conditionalFormatting>
        <x14:conditionalFormatting xmlns:xm="http://schemas.microsoft.com/office/excel/2006/main">
          <x14:cfRule type="expression" priority="4696280" id="{10E78F76-181E-4F19-9F89-7DD36D3EFE30}">
            <xm:f>$BT$4='Data entry'!$R40</xm:f>
            <x14:dxf>
              <fill>
                <patternFill>
                  <bgColor rgb="FFFFFF00"/>
                </patternFill>
              </fill>
            </x14:dxf>
          </x14:cfRule>
          <xm:sqref>BF107:BT107</xm:sqref>
        </x14:conditionalFormatting>
        <x14:conditionalFormatting xmlns:xm="http://schemas.microsoft.com/office/excel/2006/main">
          <x14:cfRule type="expression" priority="4696281" id="{6A5FADC6-9512-4EFB-90A5-7B5244D10D1F}">
            <xm:f>$BT$4='Data entry'!$R40</xm:f>
            <x14:dxf>
              <fill>
                <patternFill>
                  <bgColor rgb="FFFF0000"/>
                </patternFill>
              </fill>
            </x14:dxf>
          </x14:cfRule>
          <xm:sqref>BR108:CC108</xm:sqref>
        </x14:conditionalFormatting>
        <x14:conditionalFormatting xmlns:xm="http://schemas.microsoft.com/office/excel/2006/main">
          <x14:cfRule type="expression" priority="4696282" id="{A51139D1-8841-4B96-B8CB-DFE3808765CF}">
            <xm:f>$BU$4='Data entry'!$R40</xm:f>
            <x14:dxf>
              <fill>
                <patternFill>
                  <bgColor rgb="FFFFFF00"/>
                </patternFill>
              </fill>
            </x14:dxf>
          </x14:cfRule>
          <xm:sqref>BG107:BU107</xm:sqref>
        </x14:conditionalFormatting>
        <x14:conditionalFormatting xmlns:xm="http://schemas.microsoft.com/office/excel/2006/main">
          <x14:cfRule type="expression" priority="4696283" id="{55CA7258-760F-4BFF-ACB5-A70FEB3E7981}">
            <xm:f>$BU$4='Data entry'!$R40</xm:f>
            <x14:dxf>
              <fill>
                <patternFill>
                  <bgColor rgb="FFFF0000"/>
                </patternFill>
              </fill>
            </x14:dxf>
          </x14:cfRule>
          <xm:sqref>BS108:CC108</xm:sqref>
        </x14:conditionalFormatting>
        <x14:conditionalFormatting xmlns:xm="http://schemas.microsoft.com/office/excel/2006/main">
          <x14:cfRule type="expression" priority="4696284" id="{A922B218-64DB-4CBB-9AB8-FE0EBB44E09E}">
            <xm:f>$BV$4='Data entry'!$R40</xm:f>
            <x14:dxf>
              <fill>
                <patternFill>
                  <bgColor rgb="FFFFFF00"/>
                </patternFill>
              </fill>
            </x14:dxf>
          </x14:cfRule>
          <xm:sqref>BH107:BV107</xm:sqref>
        </x14:conditionalFormatting>
        <x14:conditionalFormatting xmlns:xm="http://schemas.microsoft.com/office/excel/2006/main">
          <x14:cfRule type="expression" priority="4696285" id="{C98E908A-CD31-4778-B41C-7AFB9DBE639A}">
            <xm:f>$BV$4='Data entry'!$R40</xm:f>
            <x14:dxf>
              <fill>
                <patternFill>
                  <bgColor rgb="FFFF0000"/>
                </patternFill>
              </fill>
            </x14:dxf>
          </x14:cfRule>
          <xm:sqref>BT108:CC108</xm:sqref>
        </x14:conditionalFormatting>
        <x14:conditionalFormatting xmlns:xm="http://schemas.microsoft.com/office/excel/2006/main">
          <x14:cfRule type="expression" priority="4696286" id="{465CCCA3-B4DB-4B61-8AC7-8A5E4CEC9E3F}">
            <xm:f>$BW$4='Data entry'!$R40</xm:f>
            <x14:dxf>
              <fill>
                <patternFill>
                  <bgColor rgb="FFFFFF00"/>
                </patternFill>
              </fill>
            </x14:dxf>
          </x14:cfRule>
          <xm:sqref>BI107:BW107</xm:sqref>
        </x14:conditionalFormatting>
        <x14:conditionalFormatting xmlns:xm="http://schemas.microsoft.com/office/excel/2006/main">
          <x14:cfRule type="expression" priority="4696287" id="{37566F97-6D06-400B-A709-FE657B07687F}">
            <xm:f>$BW$4='Data entry'!$R40</xm:f>
            <x14:dxf>
              <fill>
                <patternFill>
                  <bgColor rgb="FFFF0000"/>
                </patternFill>
              </fill>
            </x14:dxf>
          </x14:cfRule>
          <xm:sqref>BU108:CC108</xm:sqref>
        </x14:conditionalFormatting>
        <x14:conditionalFormatting xmlns:xm="http://schemas.microsoft.com/office/excel/2006/main">
          <x14:cfRule type="expression" priority="4696288" id="{D8FBA3AC-5CF0-4E45-97CA-1D4DEE729ADA}">
            <xm:f>$BX$4='Data entry'!$R40</xm:f>
            <x14:dxf>
              <fill>
                <patternFill>
                  <bgColor rgb="FFFFFF00"/>
                </patternFill>
              </fill>
            </x14:dxf>
          </x14:cfRule>
          <xm:sqref>BJ107:BX107</xm:sqref>
        </x14:conditionalFormatting>
        <x14:conditionalFormatting xmlns:xm="http://schemas.microsoft.com/office/excel/2006/main">
          <x14:cfRule type="expression" priority="4696289" id="{E077C84B-A94F-431D-B232-4AFCC7C64F54}">
            <xm:f>$BX$4='Data entry'!$R40</xm:f>
            <x14:dxf>
              <fill>
                <patternFill>
                  <bgColor rgb="FFFF0000"/>
                </patternFill>
              </fill>
            </x14:dxf>
          </x14:cfRule>
          <xm:sqref>BV108:CC108</xm:sqref>
        </x14:conditionalFormatting>
        <x14:conditionalFormatting xmlns:xm="http://schemas.microsoft.com/office/excel/2006/main">
          <x14:cfRule type="expression" priority="4696290" id="{63783BA8-0C97-4A44-86FD-7A2BCF1B9957}">
            <xm:f>$BY$4='Data entry'!$R40</xm:f>
            <x14:dxf>
              <fill>
                <patternFill>
                  <bgColor rgb="FFFFFF00"/>
                </patternFill>
              </fill>
            </x14:dxf>
          </x14:cfRule>
          <xm:sqref>BK107:BY107</xm:sqref>
        </x14:conditionalFormatting>
        <x14:conditionalFormatting xmlns:xm="http://schemas.microsoft.com/office/excel/2006/main">
          <x14:cfRule type="expression" priority="4696291" id="{BB8DB8B4-B71B-46D2-AEE7-346F16103F74}">
            <xm:f>$BY$4='Data entry'!$R40</xm:f>
            <x14:dxf>
              <fill>
                <patternFill>
                  <bgColor rgb="FFFF0000"/>
                </patternFill>
              </fill>
            </x14:dxf>
          </x14:cfRule>
          <xm:sqref>BW108:CC108</xm:sqref>
        </x14:conditionalFormatting>
        <x14:conditionalFormatting xmlns:xm="http://schemas.microsoft.com/office/excel/2006/main">
          <x14:cfRule type="expression" priority="4696292" id="{1B638B98-2B06-4FEB-90C1-446A3E0A3979}">
            <xm:f>$BZ$4='Data entry'!$R40</xm:f>
            <x14:dxf>
              <fill>
                <patternFill>
                  <bgColor rgb="FFFFFF00"/>
                </patternFill>
              </fill>
            </x14:dxf>
          </x14:cfRule>
          <xm:sqref>BL107:BZ107</xm:sqref>
        </x14:conditionalFormatting>
        <x14:conditionalFormatting xmlns:xm="http://schemas.microsoft.com/office/excel/2006/main">
          <x14:cfRule type="expression" priority="4696293" id="{D3A0A2F8-D1B2-4DC5-B2A9-0EF53074E685}">
            <xm:f>$BZ$4='Data entry'!$R40</xm:f>
            <x14:dxf>
              <fill>
                <patternFill>
                  <bgColor rgb="FFFF0000"/>
                </patternFill>
              </fill>
            </x14:dxf>
          </x14:cfRule>
          <xm:sqref>BX108:CC108</xm:sqref>
        </x14:conditionalFormatting>
        <x14:conditionalFormatting xmlns:xm="http://schemas.microsoft.com/office/excel/2006/main">
          <x14:cfRule type="expression" priority="4696294" id="{83F6D018-7D3B-4D33-9998-11572F2F2FF5}">
            <xm:f>$CA$4='Data entry'!$R40</xm:f>
            <x14:dxf>
              <fill>
                <patternFill>
                  <bgColor rgb="FFFFFF00"/>
                </patternFill>
              </fill>
            </x14:dxf>
          </x14:cfRule>
          <xm:sqref>BM107:CA107</xm:sqref>
        </x14:conditionalFormatting>
        <x14:conditionalFormatting xmlns:xm="http://schemas.microsoft.com/office/excel/2006/main">
          <x14:cfRule type="expression" priority="4696295" id="{8E6D0B51-5626-4ED9-9072-C7A2C139704F}">
            <xm:f>$CA$4='Data entry'!$R40</xm:f>
            <x14:dxf>
              <fill>
                <patternFill>
                  <bgColor rgb="FFFF0000"/>
                </patternFill>
              </fill>
            </x14:dxf>
          </x14:cfRule>
          <xm:sqref>BY108:CC108</xm:sqref>
        </x14:conditionalFormatting>
        <x14:conditionalFormatting xmlns:xm="http://schemas.microsoft.com/office/excel/2006/main">
          <x14:cfRule type="expression" priority="4696296" id="{E1886EE4-3BDE-43A9-9F4B-79377FEC37FE}">
            <xm:f>$CB$4='Data entry'!$R40</xm:f>
            <x14:dxf>
              <fill>
                <patternFill>
                  <bgColor rgb="FFFFFF00"/>
                </patternFill>
              </fill>
            </x14:dxf>
          </x14:cfRule>
          <xm:sqref>BN107:CB107</xm:sqref>
        </x14:conditionalFormatting>
        <x14:conditionalFormatting xmlns:xm="http://schemas.microsoft.com/office/excel/2006/main">
          <x14:cfRule type="expression" priority="4696297" id="{ADEF572A-6C18-4602-BB86-01C96D36E07E}">
            <xm:f>$CB$4='Data entry'!$R40</xm:f>
            <x14:dxf>
              <fill>
                <patternFill>
                  <bgColor rgb="FFFF0000"/>
                </patternFill>
              </fill>
            </x14:dxf>
          </x14:cfRule>
          <xm:sqref>BZ108:CC108</xm:sqref>
        </x14:conditionalFormatting>
        <x14:conditionalFormatting xmlns:xm="http://schemas.microsoft.com/office/excel/2006/main">
          <x14:cfRule type="expression" priority="4696298" id="{7984E1C9-E073-4955-8543-62145CB6D008}">
            <xm:f>$CC$4='Data entry'!$R40</xm:f>
            <x14:dxf>
              <fill>
                <patternFill>
                  <bgColor rgb="FFFFFF00"/>
                </patternFill>
              </fill>
            </x14:dxf>
          </x14:cfRule>
          <xm:sqref>BO107:CC107</xm:sqref>
        </x14:conditionalFormatting>
        <x14:conditionalFormatting xmlns:xm="http://schemas.microsoft.com/office/excel/2006/main">
          <x14:cfRule type="expression" priority="4696299" id="{18A957B3-59FA-4698-BA92-2A208FF18E2F}">
            <xm:f>$CC$4='Data entry'!$R40</xm:f>
            <x14:dxf>
              <fill>
                <patternFill>
                  <bgColor rgb="FFFF0000"/>
                </patternFill>
              </fill>
            </x14:dxf>
          </x14:cfRule>
          <xm:sqref>CA108:CC108</xm:sqref>
        </x14:conditionalFormatting>
        <x14:conditionalFormatting xmlns:xm="http://schemas.microsoft.com/office/excel/2006/main">
          <x14:cfRule type="expression" priority="4696386" id="{5B0DB825-B7C2-40AC-B7EF-F267F054CFB9}">
            <xm:f>$U$4='Data entry'!$R41</xm:f>
            <x14:dxf>
              <fill>
                <patternFill>
                  <bgColor rgb="FFFF0000"/>
                </patternFill>
              </fill>
            </x14:dxf>
          </x14:cfRule>
          <xm:sqref>S111:AE111</xm:sqref>
        </x14:conditionalFormatting>
        <x14:conditionalFormatting xmlns:xm="http://schemas.microsoft.com/office/excel/2006/main">
          <x14:cfRule type="expression" priority="4696387" id="{18311200-E2BB-400F-B594-3B9A2C6068C2}">
            <xm:f>$V$4='Data entry'!$R41</xm:f>
            <x14:dxf>
              <fill>
                <patternFill>
                  <bgColor rgb="FFFF0000"/>
                </patternFill>
              </fill>
            </x14:dxf>
          </x14:cfRule>
          <xm:sqref>T111:AF111</xm:sqref>
        </x14:conditionalFormatting>
        <x14:conditionalFormatting xmlns:xm="http://schemas.microsoft.com/office/excel/2006/main">
          <x14:cfRule type="expression" priority="4696388" id="{D6DFB621-1A58-4C59-A987-ECAD0EB2D32B}">
            <xm:f>$V$4='Data entry'!$R41</xm:f>
            <x14:dxf>
              <fill>
                <patternFill>
                  <bgColor rgb="FFFFFF00"/>
                </patternFill>
              </fill>
            </x14:dxf>
          </x14:cfRule>
          <xm:sqref>H110:V110</xm:sqref>
        </x14:conditionalFormatting>
        <x14:conditionalFormatting xmlns:xm="http://schemas.microsoft.com/office/excel/2006/main">
          <x14:cfRule type="expression" priority="4696389" id="{5F87A680-DC5F-433D-A779-B7A534ACCDA9}">
            <xm:f>$W$4='Data entry'!$R41</xm:f>
            <x14:dxf>
              <fill>
                <patternFill>
                  <bgColor rgb="FFFF0000"/>
                </patternFill>
              </fill>
            </x14:dxf>
          </x14:cfRule>
          <xm:sqref>U111:AG111</xm:sqref>
        </x14:conditionalFormatting>
        <x14:conditionalFormatting xmlns:xm="http://schemas.microsoft.com/office/excel/2006/main">
          <x14:cfRule type="expression" priority="4696390" id="{964539FF-A92C-4F68-B268-B7157A32678C}">
            <xm:f>$W$4='Data entry'!$R41</xm:f>
            <x14:dxf>
              <fill>
                <patternFill>
                  <bgColor rgb="FFFFFF00"/>
                </patternFill>
              </fill>
            </x14:dxf>
          </x14:cfRule>
          <xm:sqref>I110:W110</xm:sqref>
        </x14:conditionalFormatting>
        <x14:conditionalFormatting xmlns:xm="http://schemas.microsoft.com/office/excel/2006/main">
          <x14:cfRule type="expression" priority="4696391" id="{46C1533A-F090-4A90-9309-3F59EC3FD3B0}">
            <xm:f>$X$4='Data entry'!$R41</xm:f>
            <x14:dxf>
              <fill>
                <patternFill>
                  <bgColor rgb="FFFF0000"/>
                </patternFill>
              </fill>
            </x14:dxf>
          </x14:cfRule>
          <xm:sqref>V111:AH111</xm:sqref>
        </x14:conditionalFormatting>
        <x14:conditionalFormatting xmlns:xm="http://schemas.microsoft.com/office/excel/2006/main">
          <x14:cfRule type="expression" priority="4696392" id="{7C70E81C-DDD4-4D75-933A-4F6A39893184}">
            <xm:f>$X$4='Data entry'!$R41</xm:f>
            <x14:dxf>
              <fill>
                <patternFill>
                  <bgColor rgb="FFFFFF00"/>
                </patternFill>
              </fill>
            </x14:dxf>
          </x14:cfRule>
          <xm:sqref>J110:X110</xm:sqref>
        </x14:conditionalFormatting>
        <x14:conditionalFormatting xmlns:xm="http://schemas.microsoft.com/office/excel/2006/main">
          <x14:cfRule type="expression" priority="4696393" id="{561AF073-0EF8-4B72-A119-40A639C4359D}">
            <xm:f>$Y$4='Data entry'!$R41</xm:f>
            <x14:dxf>
              <fill>
                <patternFill>
                  <bgColor rgb="FFFF0000"/>
                </patternFill>
              </fill>
            </x14:dxf>
          </x14:cfRule>
          <xm:sqref>W111:AI111</xm:sqref>
        </x14:conditionalFormatting>
        <x14:conditionalFormatting xmlns:xm="http://schemas.microsoft.com/office/excel/2006/main">
          <x14:cfRule type="expression" priority="4696394" id="{F242E808-8F07-4A89-9524-7D4C767CE357}">
            <xm:f>$Y$4='Data entry'!$R41</xm:f>
            <x14:dxf>
              <fill>
                <patternFill>
                  <bgColor rgb="FFFFFF00"/>
                </patternFill>
              </fill>
            </x14:dxf>
          </x14:cfRule>
          <xm:sqref>K110:Y110</xm:sqref>
        </x14:conditionalFormatting>
        <x14:conditionalFormatting xmlns:xm="http://schemas.microsoft.com/office/excel/2006/main">
          <x14:cfRule type="expression" priority="4696395" id="{DD601058-982B-4218-BD9D-64BB823C2633}">
            <xm:f>$Z$4='Data entry'!$R41</xm:f>
            <x14:dxf>
              <fill>
                <patternFill>
                  <bgColor rgb="FFFF0000"/>
                </patternFill>
              </fill>
            </x14:dxf>
          </x14:cfRule>
          <xm:sqref>X111:AJ111</xm:sqref>
        </x14:conditionalFormatting>
        <x14:conditionalFormatting xmlns:xm="http://schemas.microsoft.com/office/excel/2006/main">
          <x14:cfRule type="expression" priority="4696396" id="{C9DB141D-79F6-4093-92A3-7BF7A1622985}">
            <xm:f>$Z$4='Data entry'!$R41</xm:f>
            <x14:dxf>
              <fill>
                <patternFill>
                  <bgColor rgb="FFFFFF00"/>
                </patternFill>
              </fill>
            </x14:dxf>
          </x14:cfRule>
          <xm:sqref>L110:Z110</xm:sqref>
        </x14:conditionalFormatting>
        <x14:conditionalFormatting xmlns:xm="http://schemas.microsoft.com/office/excel/2006/main">
          <x14:cfRule type="expression" priority="4696397" id="{710EB8D3-F5C0-4E3C-8214-2D0C4E26F649}">
            <xm:f>$AA$4='Data entry'!$R41</xm:f>
            <x14:dxf>
              <fill>
                <patternFill>
                  <bgColor rgb="FFFF0000"/>
                </patternFill>
              </fill>
            </x14:dxf>
          </x14:cfRule>
          <xm:sqref>Y111:AK111</xm:sqref>
        </x14:conditionalFormatting>
        <x14:conditionalFormatting xmlns:xm="http://schemas.microsoft.com/office/excel/2006/main">
          <x14:cfRule type="expression" priority="4696398" id="{33825D69-C967-4D27-B395-5D44A3083802}">
            <xm:f>$AA$4='Data entry'!$R41</xm:f>
            <x14:dxf>
              <fill>
                <patternFill>
                  <bgColor rgb="FFFFFF00"/>
                </patternFill>
              </fill>
            </x14:dxf>
          </x14:cfRule>
          <xm:sqref>M110:AA110</xm:sqref>
        </x14:conditionalFormatting>
        <x14:conditionalFormatting xmlns:xm="http://schemas.microsoft.com/office/excel/2006/main">
          <x14:cfRule type="expression" priority="4696399" id="{9811A97D-351B-4D32-8754-AF433277E62B}">
            <xm:f>$AB$4='Data entry'!$R41</xm:f>
            <x14:dxf>
              <fill>
                <patternFill>
                  <bgColor rgb="FFFF0000"/>
                </patternFill>
              </fill>
            </x14:dxf>
          </x14:cfRule>
          <xm:sqref>Z111:AL111</xm:sqref>
        </x14:conditionalFormatting>
        <x14:conditionalFormatting xmlns:xm="http://schemas.microsoft.com/office/excel/2006/main">
          <x14:cfRule type="expression" priority="4696400" id="{6DD3E556-C72E-438B-92DA-3096ED1E4178}">
            <xm:f>$AB$4='Data entry'!$R41</xm:f>
            <x14:dxf>
              <fill>
                <patternFill>
                  <bgColor rgb="FFFFFF00"/>
                </patternFill>
              </fill>
            </x14:dxf>
          </x14:cfRule>
          <xm:sqref>N110:AB110</xm:sqref>
        </x14:conditionalFormatting>
        <x14:conditionalFormatting xmlns:xm="http://schemas.microsoft.com/office/excel/2006/main">
          <x14:cfRule type="expression" priority="4696401" id="{C0DF7A1B-D6BC-4371-BD3A-F0708147FA1C}">
            <xm:f>$AC$4='Data entry'!$R41</xm:f>
            <x14:dxf>
              <fill>
                <patternFill>
                  <bgColor rgb="FFFF0000"/>
                </patternFill>
              </fill>
            </x14:dxf>
          </x14:cfRule>
          <xm:sqref>AA111:AM111</xm:sqref>
        </x14:conditionalFormatting>
        <x14:conditionalFormatting xmlns:xm="http://schemas.microsoft.com/office/excel/2006/main">
          <x14:cfRule type="expression" priority="4696402" id="{DB2E1F48-AF0E-41F9-A976-6B1963CA5711}">
            <xm:f>$AC$4='Data entry'!$R41</xm:f>
            <x14:dxf>
              <fill>
                <patternFill>
                  <bgColor rgb="FFFFFF00"/>
                </patternFill>
              </fill>
            </x14:dxf>
          </x14:cfRule>
          <xm:sqref>O110:AC110</xm:sqref>
        </x14:conditionalFormatting>
        <x14:conditionalFormatting xmlns:xm="http://schemas.microsoft.com/office/excel/2006/main">
          <x14:cfRule type="expression" priority="4696403" id="{89909907-F9A9-4AF9-BC1D-304710A43F50}">
            <xm:f>$AD$4='Data entry'!$R41</xm:f>
            <x14:dxf>
              <fill>
                <patternFill>
                  <bgColor rgb="FFFF0000"/>
                </patternFill>
              </fill>
            </x14:dxf>
          </x14:cfRule>
          <xm:sqref>AB111:AN111</xm:sqref>
        </x14:conditionalFormatting>
        <x14:conditionalFormatting xmlns:xm="http://schemas.microsoft.com/office/excel/2006/main">
          <x14:cfRule type="expression" priority="4696404" id="{729676B7-E331-43A4-ACC9-850DCEE76A0E}">
            <xm:f>$AD$4='Data entry'!$R41</xm:f>
            <x14:dxf>
              <fill>
                <patternFill>
                  <bgColor rgb="FFFFFF00"/>
                </patternFill>
              </fill>
            </x14:dxf>
          </x14:cfRule>
          <xm:sqref>P110:AD110</xm:sqref>
        </x14:conditionalFormatting>
        <x14:conditionalFormatting xmlns:xm="http://schemas.microsoft.com/office/excel/2006/main">
          <x14:cfRule type="expression" priority="4696405" id="{00DA2C55-350E-44AA-ABEA-808FABFDA737}">
            <xm:f>$AE$4='Data entry'!$R41</xm:f>
            <x14:dxf>
              <fill>
                <patternFill>
                  <bgColor rgb="FFFF0000"/>
                </patternFill>
              </fill>
            </x14:dxf>
          </x14:cfRule>
          <xm:sqref>AC111:AO111</xm:sqref>
        </x14:conditionalFormatting>
        <x14:conditionalFormatting xmlns:xm="http://schemas.microsoft.com/office/excel/2006/main">
          <x14:cfRule type="expression" priority="4696406" id="{373C95F1-00C1-45E9-B561-5224945BA4A4}">
            <xm:f>$AE$4='Data entry'!$R41</xm:f>
            <x14:dxf>
              <fill>
                <patternFill>
                  <bgColor rgb="FFFFFF00"/>
                </patternFill>
              </fill>
            </x14:dxf>
          </x14:cfRule>
          <xm:sqref>Q110:AE110</xm:sqref>
        </x14:conditionalFormatting>
        <x14:conditionalFormatting xmlns:xm="http://schemas.microsoft.com/office/excel/2006/main">
          <x14:cfRule type="expression" priority="4696407" id="{65E90E74-6BEF-4B00-BD5E-ECACFEBC225A}">
            <xm:f>$AF$4='Data entry'!$R41</xm:f>
            <x14:dxf>
              <fill>
                <patternFill>
                  <bgColor rgb="FFFF0000"/>
                </patternFill>
              </fill>
            </x14:dxf>
          </x14:cfRule>
          <xm:sqref>AD111:AP111</xm:sqref>
        </x14:conditionalFormatting>
        <x14:conditionalFormatting xmlns:xm="http://schemas.microsoft.com/office/excel/2006/main">
          <x14:cfRule type="expression" priority="4696408" id="{56B519D7-E083-4811-B42B-D6CB10D44BB3}">
            <xm:f>$AF$4='Data entry'!$R41</xm:f>
            <x14:dxf>
              <fill>
                <patternFill>
                  <bgColor rgb="FFFFFF00"/>
                </patternFill>
              </fill>
            </x14:dxf>
          </x14:cfRule>
          <xm:sqref>R110:AF110</xm:sqref>
        </x14:conditionalFormatting>
        <x14:conditionalFormatting xmlns:xm="http://schemas.microsoft.com/office/excel/2006/main">
          <x14:cfRule type="expression" priority="4696409" id="{889682B6-BF9B-414B-86B7-1C802156B058}">
            <xm:f>$AG$4='Data entry'!$R41</xm:f>
            <x14:dxf>
              <fill>
                <patternFill>
                  <bgColor rgb="FFFF0000"/>
                </patternFill>
              </fill>
            </x14:dxf>
          </x14:cfRule>
          <xm:sqref>AE111:AQ111</xm:sqref>
        </x14:conditionalFormatting>
        <x14:conditionalFormatting xmlns:xm="http://schemas.microsoft.com/office/excel/2006/main">
          <x14:cfRule type="expression" priority="4696410" id="{19913D88-1940-4CB0-B29C-D46D60833BD5}">
            <xm:f>$AG$4='Data entry'!$R41</xm:f>
            <x14:dxf>
              <fill>
                <patternFill>
                  <bgColor rgb="FFFFFF00"/>
                </patternFill>
              </fill>
            </x14:dxf>
          </x14:cfRule>
          <xm:sqref>S110:AG110</xm:sqref>
        </x14:conditionalFormatting>
        <x14:conditionalFormatting xmlns:xm="http://schemas.microsoft.com/office/excel/2006/main">
          <x14:cfRule type="expression" priority="4696411" id="{3DD7B9A5-18A3-463F-BAD5-9796FC487328}">
            <xm:f>$AH$4='Data entry'!$R41</xm:f>
            <x14:dxf>
              <fill>
                <patternFill>
                  <bgColor rgb="FFFF0000"/>
                </patternFill>
              </fill>
            </x14:dxf>
          </x14:cfRule>
          <xm:sqref>AF111:AR111</xm:sqref>
        </x14:conditionalFormatting>
        <x14:conditionalFormatting xmlns:xm="http://schemas.microsoft.com/office/excel/2006/main">
          <x14:cfRule type="expression" priority="4696412" id="{31005CF4-5608-496E-91EB-F7F505046C80}">
            <xm:f>$AH$4='Data entry'!$R41</xm:f>
            <x14:dxf>
              <fill>
                <patternFill>
                  <bgColor rgb="FFFFFF00"/>
                </patternFill>
              </fill>
            </x14:dxf>
          </x14:cfRule>
          <xm:sqref>T110:AH110</xm:sqref>
        </x14:conditionalFormatting>
        <x14:conditionalFormatting xmlns:xm="http://schemas.microsoft.com/office/excel/2006/main">
          <x14:cfRule type="expression" priority="4696413" id="{CD14F654-5B7A-444F-8FC1-7DD71E76E475}">
            <xm:f>$AI$4='Data entry'!$R41</xm:f>
            <x14:dxf>
              <fill>
                <patternFill>
                  <bgColor rgb="FFFF0000"/>
                </patternFill>
              </fill>
            </x14:dxf>
          </x14:cfRule>
          <xm:sqref>AG111:AS111</xm:sqref>
        </x14:conditionalFormatting>
        <x14:conditionalFormatting xmlns:xm="http://schemas.microsoft.com/office/excel/2006/main">
          <x14:cfRule type="expression" priority="4696414" id="{0E4E448C-6C46-4285-B877-A61A90294385}">
            <xm:f>$AI$4='Data entry'!$R41</xm:f>
            <x14:dxf>
              <fill>
                <patternFill>
                  <bgColor rgb="FFFFFF00"/>
                </patternFill>
              </fill>
            </x14:dxf>
          </x14:cfRule>
          <xm:sqref>U110:AI110</xm:sqref>
        </x14:conditionalFormatting>
        <x14:conditionalFormatting xmlns:xm="http://schemas.microsoft.com/office/excel/2006/main">
          <x14:cfRule type="expression" priority="4696415" id="{B1C1818F-791C-403D-BE73-6F6E9DC6A16D}">
            <xm:f>$AJ$4='Data entry'!$R41</xm:f>
            <x14:dxf>
              <fill>
                <patternFill>
                  <bgColor rgb="FFFF0000"/>
                </patternFill>
              </fill>
            </x14:dxf>
          </x14:cfRule>
          <xm:sqref>AH111:AT111</xm:sqref>
        </x14:conditionalFormatting>
        <x14:conditionalFormatting xmlns:xm="http://schemas.microsoft.com/office/excel/2006/main">
          <x14:cfRule type="expression" priority="4696416" id="{A1237792-221B-431B-B8A7-E9A64DA46D93}">
            <xm:f>$AJ$4='Data entry'!$R41</xm:f>
            <x14:dxf>
              <fill>
                <patternFill>
                  <bgColor rgb="FFFFFF00"/>
                </patternFill>
              </fill>
            </x14:dxf>
          </x14:cfRule>
          <xm:sqref>V110:AJ110</xm:sqref>
        </x14:conditionalFormatting>
        <x14:conditionalFormatting xmlns:xm="http://schemas.microsoft.com/office/excel/2006/main">
          <x14:cfRule type="expression" priority="4696417" id="{617DC2AF-C7A3-4724-8EA3-17DEFEDC8949}">
            <xm:f>$AK$4='Data entry'!$R41</xm:f>
            <x14:dxf>
              <fill>
                <patternFill>
                  <bgColor rgb="FFFF0000"/>
                </patternFill>
              </fill>
            </x14:dxf>
          </x14:cfRule>
          <xm:sqref>AI111:AU111</xm:sqref>
        </x14:conditionalFormatting>
        <x14:conditionalFormatting xmlns:xm="http://schemas.microsoft.com/office/excel/2006/main">
          <x14:cfRule type="expression" priority="4696418" id="{AA72317D-37B1-48EB-A28B-BF2AC8DC4519}">
            <xm:f>$AK$4='Data entry'!$R41</xm:f>
            <x14:dxf>
              <fill>
                <patternFill>
                  <bgColor rgb="FFFFFF00"/>
                </patternFill>
              </fill>
            </x14:dxf>
          </x14:cfRule>
          <xm:sqref>W110:AK110</xm:sqref>
        </x14:conditionalFormatting>
        <x14:conditionalFormatting xmlns:xm="http://schemas.microsoft.com/office/excel/2006/main">
          <x14:cfRule type="expression" priority="4696419" id="{6CA9FB7A-20EA-4D3A-B74C-A001F4BE810D}">
            <xm:f>$AL$4='Data entry'!$R41</xm:f>
            <x14:dxf>
              <fill>
                <patternFill>
                  <bgColor rgb="FFFF0000"/>
                </patternFill>
              </fill>
            </x14:dxf>
          </x14:cfRule>
          <xm:sqref>AJ111:AV111</xm:sqref>
        </x14:conditionalFormatting>
        <x14:conditionalFormatting xmlns:xm="http://schemas.microsoft.com/office/excel/2006/main">
          <x14:cfRule type="expression" priority="4696420" id="{81A75DAA-573F-4EF3-A640-1B992C18BEA0}">
            <xm:f>$AL$4='Data entry'!$R41</xm:f>
            <x14:dxf>
              <fill>
                <patternFill>
                  <bgColor rgb="FFFFFF00"/>
                </patternFill>
              </fill>
            </x14:dxf>
          </x14:cfRule>
          <xm:sqref>X110:AL110</xm:sqref>
        </x14:conditionalFormatting>
        <x14:conditionalFormatting xmlns:xm="http://schemas.microsoft.com/office/excel/2006/main">
          <x14:cfRule type="expression" priority="4696421" id="{3D44713E-4ABA-4CCD-9DF4-5513A9FB5E1E}">
            <xm:f>$AM$4='Data entry'!$R41</xm:f>
            <x14:dxf>
              <fill>
                <patternFill>
                  <bgColor rgb="FFFF0000"/>
                </patternFill>
              </fill>
            </x14:dxf>
          </x14:cfRule>
          <xm:sqref>AK111:AW111</xm:sqref>
        </x14:conditionalFormatting>
        <x14:conditionalFormatting xmlns:xm="http://schemas.microsoft.com/office/excel/2006/main">
          <x14:cfRule type="expression" priority="4696422" id="{05A26B51-72A7-4423-822F-2BDBC28275D0}">
            <xm:f>$AM$4='Data entry'!$R41</xm:f>
            <x14:dxf>
              <fill>
                <patternFill>
                  <bgColor rgb="FFFFFF00"/>
                </patternFill>
              </fill>
            </x14:dxf>
          </x14:cfRule>
          <xm:sqref>Y110:AM110</xm:sqref>
        </x14:conditionalFormatting>
        <x14:conditionalFormatting xmlns:xm="http://schemas.microsoft.com/office/excel/2006/main">
          <x14:cfRule type="expression" priority="4696423" id="{B8A20675-6230-4694-A7F6-6B3DC7142773}">
            <xm:f>$AN$4='Data entry'!$R41</xm:f>
            <x14:dxf>
              <fill>
                <patternFill>
                  <bgColor rgb="FFFF0000"/>
                </patternFill>
              </fill>
            </x14:dxf>
          </x14:cfRule>
          <xm:sqref>AL111:AX111</xm:sqref>
        </x14:conditionalFormatting>
        <x14:conditionalFormatting xmlns:xm="http://schemas.microsoft.com/office/excel/2006/main">
          <x14:cfRule type="expression" priority="4696424" id="{8421181C-7450-42E9-BC1D-065CCFCA960E}">
            <xm:f>$AN$4='Data entry'!$R41</xm:f>
            <x14:dxf>
              <fill>
                <patternFill>
                  <bgColor rgb="FFFFFF00"/>
                </patternFill>
              </fill>
            </x14:dxf>
          </x14:cfRule>
          <xm:sqref>Z110:AN110</xm:sqref>
        </x14:conditionalFormatting>
        <x14:conditionalFormatting xmlns:xm="http://schemas.microsoft.com/office/excel/2006/main">
          <x14:cfRule type="expression" priority="4696425" id="{067FE4BD-6EF4-4684-B6E0-35AB2F267EE7}">
            <xm:f>$AO$4='Data entry'!$R41</xm:f>
            <x14:dxf>
              <fill>
                <patternFill>
                  <bgColor rgb="FFFF0000"/>
                </patternFill>
              </fill>
            </x14:dxf>
          </x14:cfRule>
          <xm:sqref>AM111:AY111</xm:sqref>
        </x14:conditionalFormatting>
        <x14:conditionalFormatting xmlns:xm="http://schemas.microsoft.com/office/excel/2006/main">
          <x14:cfRule type="expression" priority="4696426" id="{F7653492-88D1-47AC-8BA3-0CCE65C3C2AB}">
            <xm:f>$AO$4='Data entry'!$R41</xm:f>
            <x14:dxf>
              <fill>
                <patternFill>
                  <bgColor rgb="FFFFFF00"/>
                </patternFill>
              </fill>
            </x14:dxf>
          </x14:cfRule>
          <xm:sqref>AA110:AO110</xm:sqref>
        </x14:conditionalFormatting>
        <x14:conditionalFormatting xmlns:xm="http://schemas.microsoft.com/office/excel/2006/main">
          <x14:cfRule type="expression" priority="4696427" id="{207A5E5D-B322-482E-9193-1D7318138358}">
            <xm:f>$AP$4='Data entry'!$R41</xm:f>
            <x14:dxf>
              <fill>
                <patternFill>
                  <bgColor rgb="FFFF0000"/>
                </patternFill>
              </fill>
            </x14:dxf>
          </x14:cfRule>
          <xm:sqref>AN111:AZ111</xm:sqref>
        </x14:conditionalFormatting>
        <x14:conditionalFormatting xmlns:xm="http://schemas.microsoft.com/office/excel/2006/main">
          <x14:cfRule type="expression" priority="4696428" id="{21DA638D-4CA0-4067-BFF1-240CE1A0261B}">
            <xm:f>$AP$4='Data entry'!$R41</xm:f>
            <x14:dxf>
              <fill>
                <patternFill>
                  <bgColor rgb="FFFFFF00"/>
                </patternFill>
              </fill>
            </x14:dxf>
          </x14:cfRule>
          <xm:sqref>AB110:AP110</xm:sqref>
        </x14:conditionalFormatting>
        <x14:conditionalFormatting xmlns:xm="http://schemas.microsoft.com/office/excel/2006/main">
          <x14:cfRule type="expression" priority="4696429" id="{71963D96-A42A-4B90-BFC7-6D83D37766EF}">
            <xm:f>$AQ$4='Data entry'!$R41</xm:f>
            <x14:dxf>
              <fill>
                <patternFill>
                  <bgColor rgb="FFFF0000"/>
                </patternFill>
              </fill>
            </x14:dxf>
          </x14:cfRule>
          <xm:sqref>AO111:BA111</xm:sqref>
        </x14:conditionalFormatting>
        <x14:conditionalFormatting xmlns:xm="http://schemas.microsoft.com/office/excel/2006/main">
          <x14:cfRule type="expression" priority="4696430" id="{74952595-84B6-484F-8FF6-FCC1F337DF4D}">
            <xm:f>$AQ$4='Data entry'!$R41</xm:f>
            <x14:dxf>
              <fill>
                <patternFill>
                  <bgColor rgb="FFFFFF00"/>
                </patternFill>
              </fill>
            </x14:dxf>
          </x14:cfRule>
          <xm:sqref>AC110:AQ110</xm:sqref>
        </x14:conditionalFormatting>
        <x14:conditionalFormatting xmlns:xm="http://schemas.microsoft.com/office/excel/2006/main">
          <x14:cfRule type="expression" priority="4696431" id="{8AC9C4B9-0A34-4BC0-B0F7-CA89434C4911}">
            <xm:f>$P$4='Data entry'!$R41</xm:f>
            <x14:dxf>
              <fill>
                <patternFill>
                  <bgColor rgb="FFFFFF00"/>
                </patternFill>
              </fill>
            </x14:dxf>
          </x14:cfRule>
          <xm:sqref>C110:P110</xm:sqref>
        </x14:conditionalFormatting>
        <x14:conditionalFormatting xmlns:xm="http://schemas.microsoft.com/office/excel/2006/main">
          <x14:cfRule type="expression" priority="4696432" id="{0A726775-ABFD-4F22-967C-1A4D87BA3751}">
            <xm:f>$Q$4='Data entry'!$R41</xm:f>
            <x14:dxf>
              <fill>
                <patternFill>
                  <bgColor rgb="FFFFFF00"/>
                </patternFill>
              </fill>
            </x14:dxf>
          </x14:cfRule>
          <xm:sqref>C110:Q110</xm:sqref>
        </x14:conditionalFormatting>
        <x14:conditionalFormatting xmlns:xm="http://schemas.microsoft.com/office/excel/2006/main">
          <x14:cfRule type="expression" priority="4696433" id="{3A8414BD-262C-43B5-86EE-FA6901D00453}">
            <xm:f>$Q$4='Data entry'!$R41</xm:f>
            <x14:dxf>
              <fill>
                <patternFill>
                  <bgColor rgb="FFFF0000"/>
                </patternFill>
              </fill>
            </x14:dxf>
          </x14:cfRule>
          <xm:sqref>O111:AA111</xm:sqref>
        </x14:conditionalFormatting>
        <x14:conditionalFormatting xmlns:xm="http://schemas.microsoft.com/office/excel/2006/main">
          <x14:cfRule type="expression" priority="4696434" id="{B8B5501D-F3EF-4449-9306-F652960C65F4}">
            <xm:f>$R$4='Data entry'!$R41</xm:f>
            <x14:dxf>
              <fill>
                <patternFill>
                  <bgColor rgb="FFFF0000"/>
                </patternFill>
              </fill>
            </x14:dxf>
          </x14:cfRule>
          <xm:sqref>P111:AB111</xm:sqref>
        </x14:conditionalFormatting>
        <x14:conditionalFormatting xmlns:xm="http://schemas.microsoft.com/office/excel/2006/main">
          <x14:cfRule type="expression" priority="4696435" id="{5D070DEC-B82E-4D87-B907-A3E5AB836991}">
            <xm:f>$R$4='Data entry'!$R41</xm:f>
            <x14:dxf>
              <fill>
                <patternFill>
                  <bgColor rgb="FFFFFF00"/>
                </patternFill>
              </fill>
            </x14:dxf>
          </x14:cfRule>
          <xm:sqref>D110:R110</xm:sqref>
        </x14:conditionalFormatting>
        <x14:conditionalFormatting xmlns:xm="http://schemas.microsoft.com/office/excel/2006/main">
          <x14:cfRule type="expression" priority="4696436" id="{E4D16A10-F818-4664-9FB2-F0E839824D4B}">
            <xm:f>$S$4='Data entry'!$R41</xm:f>
            <x14:dxf>
              <fill>
                <patternFill>
                  <bgColor rgb="FFFF0000"/>
                </patternFill>
              </fill>
            </x14:dxf>
          </x14:cfRule>
          <xm:sqref>Q111:AC111</xm:sqref>
        </x14:conditionalFormatting>
        <x14:conditionalFormatting xmlns:xm="http://schemas.microsoft.com/office/excel/2006/main">
          <x14:cfRule type="expression" priority="4696437" id="{1A9F9911-A3E9-4730-AFBE-AB8C596545CA}">
            <xm:f>$S$4='Data entry'!$R41</xm:f>
            <x14:dxf>
              <fill>
                <patternFill>
                  <bgColor rgb="FFFFFF00"/>
                </patternFill>
              </fill>
            </x14:dxf>
          </x14:cfRule>
          <xm:sqref>E110:S110</xm:sqref>
        </x14:conditionalFormatting>
        <x14:conditionalFormatting xmlns:xm="http://schemas.microsoft.com/office/excel/2006/main">
          <x14:cfRule type="expression" priority="4696438" id="{8BB5CD1B-B2AC-442A-9550-26DE19A62D22}">
            <xm:f>$T$4='Data entry'!$R41</xm:f>
            <x14:dxf>
              <fill>
                <patternFill>
                  <bgColor rgb="FFFF0000"/>
                </patternFill>
              </fill>
            </x14:dxf>
          </x14:cfRule>
          <xm:sqref>R111:AD111</xm:sqref>
        </x14:conditionalFormatting>
        <x14:conditionalFormatting xmlns:xm="http://schemas.microsoft.com/office/excel/2006/main">
          <x14:cfRule type="expression" priority="4696439" id="{E7B59C69-7921-4049-84A1-8B3E5F7B0598}">
            <xm:f>$T$4='Data entry'!$R41</xm:f>
            <x14:dxf>
              <fill>
                <patternFill>
                  <bgColor rgb="FFFFFF00"/>
                </patternFill>
              </fill>
            </x14:dxf>
          </x14:cfRule>
          <xm:sqref>F110:T110</xm:sqref>
        </x14:conditionalFormatting>
        <x14:conditionalFormatting xmlns:xm="http://schemas.microsoft.com/office/excel/2006/main">
          <x14:cfRule type="expression" priority="4696440" id="{238C09E5-7A3D-439D-949F-A7733073F9A2}">
            <xm:f>$U$4='Data entry'!$R41</xm:f>
            <x14:dxf>
              <fill>
                <patternFill>
                  <bgColor rgb="FFFFFF00"/>
                </patternFill>
              </fill>
            </x14:dxf>
          </x14:cfRule>
          <xm:sqref>G110:U110</xm:sqref>
        </x14:conditionalFormatting>
        <x14:conditionalFormatting xmlns:xm="http://schemas.microsoft.com/office/excel/2006/main">
          <x14:cfRule type="expression" priority="4696441" id="{DE4D4432-0A19-452A-AF14-2873FE4DF411}">
            <xm:f>$AR$4='Data entry'!$R41</xm:f>
            <x14:dxf>
              <fill>
                <patternFill>
                  <bgColor rgb="FFFF0000"/>
                </patternFill>
              </fill>
            </x14:dxf>
          </x14:cfRule>
          <xm:sqref>AP111:BB111</xm:sqref>
        </x14:conditionalFormatting>
        <x14:conditionalFormatting xmlns:xm="http://schemas.microsoft.com/office/excel/2006/main">
          <x14:cfRule type="expression" priority="4696442" id="{90D7E1FF-542D-40C8-9BD5-DFEB4CDD256F}">
            <xm:f>$AR$4='Data entry'!$R41</xm:f>
            <x14:dxf>
              <fill>
                <patternFill>
                  <bgColor rgb="FFFFFF00"/>
                </patternFill>
              </fill>
            </x14:dxf>
          </x14:cfRule>
          <xm:sqref>AD110:AR110</xm:sqref>
        </x14:conditionalFormatting>
        <x14:conditionalFormatting xmlns:xm="http://schemas.microsoft.com/office/excel/2006/main">
          <x14:cfRule type="expression" priority="4696443" id="{0EBB5305-4A4A-4205-A1FF-11160070CBC3}">
            <xm:f>$AS$4='Data entry'!$R41</xm:f>
            <x14:dxf>
              <fill>
                <patternFill>
                  <bgColor rgb="FFFF0000"/>
                </patternFill>
              </fill>
            </x14:dxf>
          </x14:cfRule>
          <xm:sqref>AQ111:BC111</xm:sqref>
        </x14:conditionalFormatting>
        <x14:conditionalFormatting xmlns:xm="http://schemas.microsoft.com/office/excel/2006/main">
          <x14:cfRule type="expression" priority="4696444" id="{AC8EB30C-4253-4CE1-820E-1801F6D8D35B}">
            <xm:f>$AS$4='Data entry'!$R41</xm:f>
            <x14:dxf>
              <fill>
                <patternFill>
                  <bgColor rgb="FFFFFF00"/>
                </patternFill>
              </fill>
            </x14:dxf>
          </x14:cfRule>
          <xm:sqref>AE110:AS110</xm:sqref>
        </x14:conditionalFormatting>
        <x14:conditionalFormatting xmlns:xm="http://schemas.microsoft.com/office/excel/2006/main">
          <x14:cfRule type="expression" priority="4696445" id="{E11744C1-7201-4272-A1B0-945490B42425}">
            <xm:f>$AT$4='Data entry'!$R41</xm:f>
            <x14:dxf>
              <fill>
                <patternFill>
                  <bgColor rgb="FFFF0000"/>
                </patternFill>
              </fill>
            </x14:dxf>
          </x14:cfRule>
          <xm:sqref>AR111:BD111</xm:sqref>
        </x14:conditionalFormatting>
        <x14:conditionalFormatting xmlns:xm="http://schemas.microsoft.com/office/excel/2006/main">
          <x14:cfRule type="expression" priority="4696446" id="{5EE2823B-E955-4EA7-B99C-0B1F77B57A69}">
            <xm:f>$AT$4='Data entry'!$R41</xm:f>
            <x14:dxf>
              <fill>
                <patternFill>
                  <bgColor rgb="FFFFFF00"/>
                </patternFill>
              </fill>
            </x14:dxf>
          </x14:cfRule>
          <xm:sqref>AF110:AT110</xm:sqref>
        </x14:conditionalFormatting>
        <x14:conditionalFormatting xmlns:xm="http://schemas.microsoft.com/office/excel/2006/main">
          <x14:cfRule type="expression" priority="4696447" id="{5737DC63-3262-4B34-900C-2AAEB255FCBA}">
            <xm:f>$AU$4='Data entry'!$R41</xm:f>
            <x14:dxf>
              <fill>
                <patternFill>
                  <bgColor rgb="FFFF0000"/>
                </patternFill>
              </fill>
            </x14:dxf>
          </x14:cfRule>
          <xm:sqref>AS111:BE111</xm:sqref>
        </x14:conditionalFormatting>
        <x14:conditionalFormatting xmlns:xm="http://schemas.microsoft.com/office/excel/2006/main">
          <x14:cfRule type="expression" priority="4696448" id="{2B5C1F1B-3C3D-4CA3-BC64-0E98422075B6}">
            <xm:f>$AU$4='Data entry'!$R41</xm:f>
            <x14:dxf>
              <fill>
                <patternFill>
                  <bgColor rgb="FFFFFF00"/>
                </patternFill>
              </fill>
            </x14:dxf>
          </x14:cfRule>
          <xm:sqref>AG110:AU110</xm:sqref>
        </x14:conditionalFormatting>
        <x14:conditionalFormatting xmlns:xm="http://schemas.microsoft.com/office/excel/2006/main">
          <x14:cfRule type="expression" priority="4696449" id="{B87A1285-B003-4855-8F4B-53C391BA10E6}">
            <xm:f>$AV$4='Data entry'!$R41</xm:f>
            <x14:dxf>
              <fill>
                <patternFill>
                  <bgColor rgb="FFFF0000"/>
                </patternFill>
              </fill>
            </x14:dxf>
          </x14:cfRule>
          <xm:sqref>AT111:BF111</xm:sqref>
        </x14:conditionalFormatting>
        <x14:conditionalFormatting xmlns:xm="http://schemas.microsoft.com/office/excel/2006/main">
          <x14:cfRule type="expression" priority="4696450" id="{338EE31C-78DB-4818-B837-0380F9E457FA}">
            <xm:f>$AV$4='Data entry'!$R41</xm:f>
            <x14:dxf>
              <fill>
                <patternFill>
                  <bgColor rgb="FFFFFF00"/>
                </patternFill>
              </fill>
            </x14:dxf>
          </x14:cfRule>
          <xm:sqref>AH110:AV110</xm:sqref>
        </x14:conditionalFormatting>
        <x14:conditionalFormatting xmlns:xm="http://schemas.microsoft.com/office/excel/2006/main">
          <x14:cfRule type="expression" priority="4696451" id="{5C40EA66-2801-4C91-B885-BF6A1ECFC35C}">
            <xm:f>$AW$4='Data entry'!$R41</xm:f>
            <x14:dxf>
              <fill>
                <patternFill>
                  <bgColor rgb="FFFF0000"/>
                </patternFill>
              </fill>
            </x14:dxf>
          </x14:cfRule>
          <xm:sqref>AU111:BG111</xm:sqref>
        </x14:conditionalFormatting>
        <x14:conditionalFormatting xmlns:xm="http://schemas.microsoft.com/office/excel/2006/main">
          <x14:cfRule type="expression" priority="4696452" id="{51BCD5CE-DF86-4C2F-8A81-DDA1EFD6C8F7}">
            <xm:f>$AW$4='Data entry'!$R41</xm:f>
            <x14:dxf>
              <fill>
                <patternFill>
                  <bgColor rgb="FFFFFF00"/>
                </patternFill>
              </fill>
            </x14:dxf>
          </x14:cfRule>
          <xm:sqref>AI110:AW110</xm:sqref>
        </x14:conditionalFormatting>
        <x14:conditionalFormatting xmlns:xm="http://schemas.microsoft.com/office/excel/2006/main">
          <x14:cfRule type="expression" priority="4696453" id="{DC2ED5A0-8917-4877-8CD3-9DF9BE5993C9}">
            <xm:f>$AX$4='Data entry'!$R41</xm:f>
            <x14:dxf>
              <fill>
                <patternFill>
                  <bgColor rgb="FFFF0000"/>
                </patternFill>
              </fill>
            </x14:dxf>
          </x14:cfRule>
          <xm:sqref>AV111:BH111</xm:sqref>
        </x14:conditionalFormatting>
        <x14:conditionalFormatting xmlns:xm="http://schemas.microsoft.com/office/excel/2006/main">
          <x14:cfRule type="expression" priority="4696454" id="{59B31869-20F9-45BD-BC80-0A6C8945CE2C}">
            <xm:f>$AX$4='Data entry'!$R41</xm:f>
            <x14:dxf>
              <fill>
                <patternFill>
                  <bgColor rgb="FFFFFF00"/>
                </patternFill>
              </fill>
            </x14:dxf>
          </x14:cfRule>
          <xm:sqref>AJ110:AX110</xm:sqref>
        </x14:conditionalFormatting>
        <x14:conditionalFormatting xmlns:xm="http://schemas.microsoft.com/office/excel/2006/main">
          <x14:cfRule type="expression" priority="4696455" id="{D4208FA0-4262-4037-934C-6D0742B2AD8E}">
            <xm:f>$AY$4='Data entry'!$R41</xm:f>
            <x14:dxf>
              <fill>
                <patternFill>
                  <bgColor rgb="FFFF0000"/>
                </patternFill>
              </fill>
            </x14:dxf>
          </x14:cfRule>
          <xm:sqref>AW111:BI111</xm:sqref>
        </x14:conditionalFormatting>
        <x14:conditionalFormatting xmlns:xm="http://schemas.microsoft.com/office/excel/2006/main">
          <x14:cfRule type="expression" priority="4696456" id="{04D6E423-18C7-42B2-A67D-F49D8E62B571}">
            <xm:f>$AY$4='Data entry'!$R41</xm:f>
            <x14:dxf>
              <fill>
                <patternFill>
                  <bgColor rgb="FFFFFF00"/>
                </patternFill>
              </fill>
            </x14:dxf>
          </x14:cfRule>
          <xm:sqref>AK110:AY110</xm:sqref>
        </x14:conditionalFormatting>
        <x14:conditionalFormatting xmlns:xm="http://schemas.microsoft.com/office/excel/2006/main">
          <x14:cfRule type="expression" priority="4696457" id="{A931C203-6E4B-4EBD-A2F4-1876881F48D4}">
            <xm:f>$AZ$4='Data entry'!$R41</xm:f>
            <x14:dxf>
              <fill>
                <patternFill>
                  <bgColor rgb="FFFF0000"/>
                </patternFill>
              </fill>
            </x14:dxf>
          </x14:cfRule>
          <xm:sqref>AX111:BJ111</xm:sqref>
        </x14:conditionalFormatting>
        <x14:conditionalFormatting xmlns:xm="http://schemas.microsoft.com/office/excel/2006/main">
          <x14:cfRule type="expression" priority="4696458" id="{092D9100-E652-40FE-8CAA-720DC0681250}">
            <xm:f>$AZ$4='Data entry'!$R41</xm:f>
            <x14:dxf>
              <fill>
                <patternFill>
                  <bgColor rgb="FFFFFF00"/>
                </patternFill>
              </fill>
            </x14:dxf>
          </x14:cfRule>
          <xm:sqref>AL110:AZ110</xm:sqref>
        </x14:conditionalFormatting>
        <x14:conditionalFormatting xmlns:xm="http://schemas.microsoft.com/office/excel/2006/main">
          <x14:cfRule type="expression" priority="4696459" id="{A3C7E6BE-A225-483C-A983-A915DB662C52}">
            <xm:f>$BA$4='Data entry'!$R41</xm:f>
            <x14:dxf>
              <fill>
                <patternFill>
                  <bgColor rgb="FFFF0000"/>
                </patternFill>
              </fill>
            </x14:dxf>
          </x14:cfRule>
          <xm:sqref>AY111:BK111</xm:sqref>
        </x14:conditionalFormatting>
        <x14:conditionalFormatting xmlns:xm="http://schemas.microsoft.com/office/excel/2006/main">
          <x14:cfRule type="expression" priority="4696460" id="{F5CF569A-8AFA-4CFF-8BD3-F04D8927A99F}">
            <xm:f>$BA$4='Data entry'!$R41</xm:f>
            <x14:dxf>
              <fill>
                <patternFill>
                  <bgColor rgb="FFFFFF00"/>
                </patternFill>
              </fill>
            </x14:dxf>
          </x14:cfRule>
          <xm:sqref>AM110:BA110</xm:sqref>
        </x14:conditionalFormatting>
        <x14:conditionalFormatting xmlns:xm="http://schemas.microsoft.com/office/excel/2006/main">
          <x14:cfRule type="expression" priority="4696461" id="{E4DAC94A-7983-4BFB-A87B-45B58561841A}">
            <xm:f>$BB$4='Data entry'!$R41</xm:f>
            <x14:dxf>
              <fill>
                <patternFill>
                  <bgColor rgb="FFFF0000"/>
                </patternFill>
              </fill>
            </x14:dxf>
          </x14:cfRule>
          <xm:sqref>AZ111:BL111</xm:sqref>
        </x14:conditionalFormatting>
        <x14:conditionalFormatting xmlns:xm="http://schemas.microsoft.com/office/excel/2006/main">
          <x14:cfRule type="expression" priority="4696462" id="{E63849C5-F39B-4B0E-8F8A-B532EDF2CBAE}">
            <xm:f>$BB$4='Data entry'!$R41</xm:f>
            <x14:dxf>
              <fill>
                <patternFill>
                  <bgColor rgb="FFFFFF00"/>
                </patternFill>
              </fill>
            </x14:dxf>
          </x14:cfRule>
          <xm:sqref>AN110:BB110</xm:sqref>
        </x14:conditionalFormatting>
        <x14:conditionalFormatting xmlns:xm="http://schemas.microsoft.com/office/excel/2006/main">
          <x14:cfRule type="expression" priority="4696463" id="{4FDC32D3-C1F5-455D-9AA4-A03359B72526}">
            <xm:f>$BC$4='Data entry'!$R41</xm:f>
            <x14:dxf>
              <fill>
                <patternFill>
                  <bgColor rgb="FFFF0000"/>
                </patternFill>
              </fill>
            </x14:dxf>
          </x14:cfRule>
          <xm:sqref>BA111:BM111</xm:sqref>
        </x14:conditionalFormatting>
        <x14:conditionalFormatting xmlns:xm="http://schemas.microsoft.com/office/excel/2006/main">
          <x14:cfRule type="expression" priority="4696464" id="{5F0D0C60-B233-4C56-B05D-98C99990877F}">
            <xm:f>$BC$4='Data entry'!$R41</xm:f>
            <x14:dxf>
              <fill>
                <patternFill>
                  <bgColor rgb="FFFFFF00"/>
                </patternFill>
              </fill>
            </x14:dxf>
          </x14:cfRule>
          <xm:sqref>AO110:BC110</xm:sqref>
        </x14:conditionalFormatting>
        <x14:conditionalFormatting xmlns:xm="http://schemas.microsoft.com/office/excel/2006/main">
          <x14:cfRule type="expression" priority="4696465" id="{9EBCB60F-8135-43B6-A0F3-548D4092CC98}">
            <xm:f>$BD$4='Data entry'!$R41</xm:f>
            <x14:dxf>
              <fill>
                <patternFill>
                  <bgColor rgb="FFFF0000"/>
                </patternFill>
              </fill>
            </x14:dxf>
          </x14:cfRule>
          <xm:sqref>BB111:BN111</xm:sqref>
        </x14:conditionalFormatting>
        <x14:conditionalFormatting xmlns:xm="http://schemas.microsoft.com/office/excel/2006/main">
          <x14:cfRule type="expression" priority="4696466" id="{961AF346-4A73-41ED-9A8D-27D431B09C05}">
            <xm:f>$BD$4='Data entry'!$R41</xm:f>
            <x14:dxf>
              <fill>
                <patternFill>
                  <bgColor rgb="FFFFFF00"/>
                </patternFill>
              </fill>
            </x14:dxf>
          </x14:cfRule>
          <xm:sqref>AP110:BD110</xm:sqref>
        </x14:conditionalFormatting>
        <x14:conditionalFormatting xmlns:xm="http://schemas.microsoft.com/office/excel/2006/main">
          <x14:cfRule type="expression" priority="4696467" id="{5A887026-27CD-4F8C-8BA6-1E92704C1CA6}">
            <xm:f>$BE$4='Data entry'!$R41</xm:f>
            <x14:dxf>
              <fill>
                <patternFill>
                  <bgColor rgb="FFFF0000"/>
                </patternFill>
              </fill>
            </x14:dxf>
          </x14:cfRule>
          <xm:sqref>BC111:BO111</xm:sqref>
        </x14:conditionalFormatting>
        <x14:conditionalFormatting xmlns:xm="http://schemas.microsoft.com/office/excel/2006/main">
          <x14:cfRule type="expression" priority="4696468" id="{7F46217B-A1E9-4515-B31E-E756FCD7C6D9}">
            <xm:f>$BE$4='Data entry'!$R41</xm:f>
            <x14:dxf>
              <fill>
                <patternFill>
                  <bgColor rgb="FFFFFF00"/>
                </patternFill>
              </fill>
            </x14:dxf>
          </x14:cfRule>
          <xm:sqref>AP110:BE110</xm:sqref>
        </x14:conditionalFormatting>
        <x14:conditionalFormatting xmlns:xm="http://schemas.microsoft.com/office/excel/2006/main">
          <x14:cfRule type="expression" priority="4696469" id="{F4D9285C-8CA0-4EF1-943E-6A462D47CC77}">
            <xm:f>$BF$4='Data entry'!$R41</xm:f>
            <x14:dxf>
              <fill>
                <patternFill>
                  <bgColor rgb="FFFF0000"/>
                </patternFill>
              </fill>
            </x14:dxf>
          </x14:cfRule>
          <xm:sqref>BD111:BP111</xm:sqref>
        </x14:conditionalFormatting>
        <x14:conditionalFormatting xmlns:xm="http://schemas.microsoft.com/office/excel/2006/main">
          <x14:cfRule type="expression" priority="4696470" id="{B9E4407D-651D-4DC0-9D61-3271D62A65E9}">
            <xm:f>$BF$4='Data entry'!$R41</xm:f>
            <x14:dxf>
              <fill>
                <patternFill>
                  <bgColor rgb="FFFFFF00"/>
                </patternFill>
              </fill>
            </x14:dxf>
          </x14:cfRule>
          <xm:sqref>AR110:BF110</xm:sqref>
        </x14:conditionalFormatting>
        <x14:conditionalFormatting xmlns:xm="http://schemas.microsoft.com/office/excel/2006/main">
          <x14:cfRule type="expression" priority="4696471" id="{4CDC062F-DDFF-4556-B941-08F919727F69}">
            <xm:f>$BG$4='Data entry'!$R41</xm:f>
            <x14:dxf>
              <fill>
                <patternFill>
                  <bgColor rgb="FFFF0000"/>
                </patternFill>
              </fill>
            </x14:dxf>
          </x14:cfRule>
          <xm:sqref>BE111:BQ111</xm:sqref>
        </x14:conditionalFormatting>
        <x14:conditionalFormatting xmlns:xm="http://schemas.microsoft.com/office/excel/2006/main">
          <x14:cfRule type="expression" priority="4696472" id="{789184FA-9055-433B-8A1B-92C7ED59E81F}">
            <xm:f>$BG$4='Data entry'!$R41</xm:f>
            <x14:dxf>
              <fill>
                <patternFill>
                  <bgColor rgb="FFFFFF00"/>
                </patternFill>
              </fill>
            </x14:dxf>
          </x14:cfRule>
          <xm:sqref>AS110:BG110</xm:sqref>
        </x14:conditionalFormatting>
        <x14:conditionalFormatting xmlns:xm="http://schemas.microsoft.com/office/excel/2006/main">
          <x14:cfRule type="expression" priority="4696473" id="{58651E5C-09C9-46C1-B95C-E8A578A49E15}">
            <xm:f>$BH$4='Data entry'!$R41</xm:f>
            <x14:dxf>
              <fill>
                <patternFill>
                  <bgColor rgb="FFFFFF00"/>
                </patternFill>
              </fill>
            </x14:dxf>
          </x14:cfRule>
          <xm:sqref>AT110:BH110</xm:sqref>
        </x14:conditionalFormatting>
        <x14:conditionalFormatting xmlns:xm="http://schemas.microsoft.com/office/excel/2006/main">
          <x14:cfRule type="expression" priority="4696474" id="{97B30B86-8311-4DC0-A533-8C0D53F37839}">
            <xm:f>$BH$4='Data entry'!$R41</xm:f>
            <x14:dxf>
              <fill>
                <patternFill>
                  <bgColor rgb="FFFF0000"/>
                </patternFill>
              </fill>
            </x14:dxf>
          </x14:cfRule>
          <xm:sqref>BF111:BR111</xm:sqref>
        </x14:conditionalFormatting>
        <x14:conditionalFormatting xmlns:xm="http://schemas.microsoft.com/office/excel/2006/main">
          <x14:cfRule type="expression" priority="4696475" id="{78344C0C-5AEA-40B1-A20C-6D77DF58E1F5}">
            <xm:f>$BI$4='Data entry'!$R41</xm:f>
            <x14:dxf>
              <fill>
                <patternFill>
                  <bgColor rgb="FFFFFF00"/>
                </patternFill>
              </fill>
            </x14:dxf>
          </x14:cfRule>
          <xm:sqref>AU110:BI110</xm:sqref>
        </x14:conditionalFormatting>
        <x14:conditionalFormatting xmlns:xm="http://schemas.microsoft.com/office/excel/2006/main">
          <x14:cfRule type="expression" priority="4696476" id="{A9CE044F-482E-4F25-B28F-89ACC58502B1}">
            <xm:f>$BI$4='Data entry'!$R41</xm:f>
            <x14:dxf>
              <fill>
                <patternFill>
                  <bgColor rgb="FFFF0000"/>
                </patternFill>
              </fill>
            </x14:dxf>
          </x14:cfRule>
          <xm:sqref>BG111:BS111</xm:sqref>
        </x14:conditionalFormatting>
        <x14:conditionalFormatting xmlns:xm="http://schemas.microsoft.com/office/excel/2006/main">
          <x14:cfRule type="expression" priority="4696477" id="{F63BE0EB-3C71-4456-BEF0-11180AB7A8BB}">
            <xm:f>$BJ$4='Data entry'!$R41</xm:f>
            <x14:dxf>
              <fill>
                <patternFill>
                  <bgColor rgb="FFFFFF00"/>
                </patternFill>
              </fill>
            </x14:dxf>
          </x14:cfRule>
          <xm:sqref>AV110:BJ110</xm:sqref>
        </x14:conditionalFormatting>
        <x14:conditionalFormatting xmlns:xm="http://schemas.microsoft.com/office/excel/2006/main">
          <x14:cfRule type="expression" priority="4696478" id="{478A5DCB-1DAA-4497-A6CC-B4F01FB96D10}">
            <xm:f>$BJ$4='Data entry'!$R41</xm:f>
            <x14:dxf>
              <fill>
                <patternFill>
                  <bgColor rgb="FFFF0000"/>
                </patternFill>
              </fill>
            </x14:dxf>
          </x14:cfRule>
          <xm:sqref>BH111:BT111</xm:sqref>
        </x14:conditionalFormatting>
        <x14:conditionalFormatting xmlns:xm="http://schemas.microsoft.com/office/excel/2006/main">
          <x14:cfRule type="expression" priority="4696479" id="{CDE4AD5B-65A6-4FA4-9EC0-8D05F22312A9}">
            <xm:f>$BK$4='Data entry'!$R41</xm:f>
            <x14:dxf>
              <fill>
                <patternFill>
                  <bgColor rgb="FFFF0000"/>
                </patternFill>
              </fill>
            </x14:dxf>
          </x14:cfRule>
          <xm:sqref>BI111:BU111</xm:sqref>
        </x14:conditionalFormatting>
        <x14:conditionalFormatting xmlns:xm="http://schemas.microsoft.com/office/excel/2006/main">
          <x14:cfRule type="expression" priority="4696480" id="{AB32E790-6CD8-4D11-9A69-57D785FE4BBC}">
            <xm:f>$BK$4='Data entry'!$R41</xm:f>
            <x14:dxf>
              <fill>
                <patternFill>
                  <bgColor rgb="FFFFFF00"/>
                </patternFill>
              </fill>
            </x14:dxf>
          </x14:cfRule>
          <xm:sqref>AW110:BK110</xm:sqref>
        </x14:conditionalFormatting>
        <x14:conditionalFormatting xmlns:xm="http://schemas.microsoft.com/office/excel/2006/main">
          <x14:cfRule type="expression" priority="4696481" id="{99810EB9-805C-43D8-852A-EEECE7874CDB}">
            <xm:f>$BL$4='Data entry'!$R41</xm:f>
            <x14:dxf>
              <fill>
                <patternFill>
                  <bgColor rgb="FFFF0000"/>
                </patternFill>
              </fill>
            </x14:dxf>
          </x14:cfRule>
          <xm:sqref>BJ111:BV111</xm:sqref>
        </x14:conditionalFormatting>
        <x14:conditionalFormatting xmlns:xm="http://schemas.microsoft.com/office/excel/2006/main">
          <x14:cfRule type="expression" priority="4696482" id="{BF5F5475-4E46-479C-97A6-D5175F5D1803}">
            <xm:f>$BL$4='Data entry'!$R41</xm:f>
            <x14:dxf>
              <fill>
                <patternFill>
                  <bgColor rgb="FFFFFF00"/>
                </patternFill>
              </fill>
            </x14:dxf>
          </x14:cfRule>
          <xm:sqref>AX110:BL110</xm:sqref>
        </x14:conditionalFormatting>
        <x14:conditionalFormatting xmlns:xm="http://schemas.microsoft.com/office/excel/2006/main">
          <x14:cfRule type="expression" priority="4696483" id="{B86FDF2F-16C9-46B1-847E-7EA1A8A34B9D}">
            <xm:f>$BM$4='Data entry'!$R41</xm:f>
            <x14:dxf>
              <fill>
                <patternFill>
                  <bgColor rgb="FFFF0000"/>
                </patternFill>
              </fill>
            </x14:dxf>
          </x14:cfRule>
          <xm:sqref>BK111:BW111</xm:sqref>
        </x14:conditionalFormatting>
        <x14:conditionalFormatting xmlns:xm="http://schemas.microsoft.com/office/excel/2006/main">
          <x14:cfRule type="expression" priority="4696484" id="{72FD189F-4CED-400D-9FEF-21A328970A4D}">
            <xm:f>$BM$4='Data entry'!$R41</xm:f>
            <x14:dxf>
              <fill>
                <patternFill>
                  <bgColor rgb="FFFFFF00"/>
                </patternFill>
              </fill>
            </x14:dxf>
          </x14:cfRule>
          <xm:sqref>AY110:BM110</xm:sqref>
        </x14:conditionalFormatting>
        <x14:conditionalFormatting xmlns:xm="http://schemas.microsoft.com/office/excel/2006/main">
          <x14:cfRule type="expression" priority="4696485" id="{BBBBF859-D5A7-4F55-BFBF-8A77E3357590}">
            <xm:f>$BN$4='Data entry'!$R41</xm:f>
            <x14:dxf>
              <fill>
                <patternFill>
                  <bgColor rgb="FFFF0000"/>
                </patternFill>
              </fill>
            </x14:dxf>
          </x14:cfRule>
          <xm:sqref>BL111:BX111</xm:sqref>
        </x14:conditionalFormatting>
        <x14:conditionalFormatting xmlns:xm="http://schemas.microsoft.com/office/excel/2006/main">
          <x14:cfRule type="expression" priority="4696486" id="{50CB1D75-0FD5-4D24-92B1-E8A41DC6575C}">
            <xm:f>$BN$4='Data entry'!$R41</xm:f>
            <x14:dxf>
              <fill>
                <patternFill>
                  <bgColor rgb="FFFFFF00"/>
                </patternFill>
              </fill>
            </x14:dxf>
          </x14:cfRule>
          <xm:sqref>AZ110:BN110</xm:sqref>
        </x14:conditionalFormatting>
        <x14:conditionalFormatting xmlns:xm="http://schemas.microsoft.com/office/excel/2006/main">
          <x14:cfRule type="expression" priority="4696487" id="{9EF3226D-E8FC-496B-A6FF-71776AEA54D1}">
            <xm:f>$BO$4='Data entry'!$R41</xm:f>
            <x14:dxf>
              <fill>
                <patternFill>
                  <bgColor rgb="FFFF0000"/>
                </patternFill>
              </fill>
            </x14:dxf>
          </x14:cfRule>
          <xm:sqref>BM111:BY111</xm:sqref>
        </x14:conditionalFormatting>
        <x14:conditionalFormatting xmlns:xm="http://schemas.microsoft.com/office/excel/2006/main">
          <x14:cfRule type="expression" priority="4696488" id="{3B86C801-ECFE-4D05-8AA5-1581116BAFBC}">
            <xm:f>$BO$4='Data entry'!$R41</xm:f>
            <x14:dxf>
              <fill>
                <patternFill>
                  <bgColor rgb="FFFFFF00"/>
                </patternFill>
              </fill>
            </x14:dxf>
          </x14:cfRule>
          <xm:sqref>BA110:BO110</xm:sqref>
        </x14:conditionalFormatting>
        <x14:conditionalFormatting xmlns:xm="http://schemas.microsoft.com/office/excel/2006/main">
          <x14:cfRule type="expression" priority="4696489" id="{058A23EC-3371-4A02-9F20-1ECA603AC6BC}">
            <xm:f>$BP$4='Data entry'!$R41</xm:f>
            <x14:dxf>
              <fill>
                <patternFill>
                  <bgColor rgb="FFFF0000"/>
                </patternFill>
              </fill>
            </x14:dxf>
          </x14:cfRule>
          <xm:sqref>BN111:BZ111</xm:sqref>
        </x14:conditionalFormatting>
        <x14:conditionalFormatting xmlns:xm="http://schemas.microsoft.com/office/excel/2006/main">
          <x14:cfRule type="expression" priority="4696490" id="{3E711E31-3992-4555-AB22-87133D60CD15}">
            <xm:f>$BP$4='Data entry'!$R41</xm:f>
            <x14:dxf>
              <fill>
                <patternFill>
                  <bgColor rgb="FFFFFF00"/>
                </patternFill>
              </fill>
            </x14:dxf>
          </x14:cfRule>
          <xm:sqref>BB110:BP110</xm:sqref>
        </x14:conditionalFormatting>
        <x14:conditionalFormatting xmlns:xm="http://schemas.microsoft.com/office/excel/2006/main">
          <x14:cfRule type="expression" priority="4696491" id="{23E9F8B9-37D5-4730-9453-6F23E8ECBBE3}">
            <xm:f>$BQ$4='Data entry'!$R41</xm:f>
            <x14:dxf>
              <fill>
                <patternFill>
                  <bgColor rgb="FFFFFF00"/>
                </patternFill>
              </fill>
            </x14:dxf>
          </x14:cfRule>
          <xm:sqref>BC110:BQ110</xm:sqref>
        </x14:conditionalFormatting>
        <x14:conditionalFormatting xmlns:xm="http://schemas.microsoft.com/office/excel/2006/main">
          <x14:cfRule type="expression" priority="4696492" id="{BCFD92F6-AAD3-44FD-BC61-A292A81B883E}">
            <xm:f>$BQ$4='Data entry'!$R41</xm:f>
            <x14:dxf>
              <fill>
                <patternFill>
                  <bgColor rgb="FFFF0000"/>
                </patternFill>
              </fill>
            </x14:dxf>
          </x14:cfRule>
          <xm:sqref>BO111:CA111</xm:sqref>
        </x14:conditionalFormatting>
        <x14:conditionalFormatting xmlns:xm="http://schemas.microsoft.com/office/excel/2006/main">
          <x14:cfRule type="expression" priority="4696493" id="{357D60E5-F356-477E-8020-A18F42C02832}">
            <xm:f>$BR$4='Data entry'!$R41</xm:f>
            <x14:dxf>
              <fill>
                <patternFill>
                  <bgColor rgb="FFFFFF00"/>
                </patternFill>
              </fill>
            </x14:dxf>
          </x14:cfRule>
          <xm:sqref>BD110:BR110</xm:sqref>
        </x14:conditionalFormatting>
        <x14:conditionalFormatting xmlns:xm="http://schemas.microsoft.com/office/excel/2006/main">
          <x14:cfRule type="expression" priority="4696494" id="{DA2B6511-43B3-432D-B6AA-1DB1188B90A6}">
            <xm:f>$BR$4='Data entry'!$R41</xm:f>
            <x14:dxf>
              <fill>
                <patternFill>
                  <bgColor rgb="FFFF0000"/>
                </patternFill>
              </fill>
            </x14:dxf>
          </x14:cfRule>
          <xm:sqref>BP111:CB111</xm:sqref>
        </x14:conditionalFormatting>
        <x14:conditionalFormatting xmlns:xm="http://schemas.microsoft.com/office/excel/2006/main">
          <x14:cfRule type="expression" priority="4696495" id="{0D5F64E4-4136-4BFA-B833-CC8578525D9C}">
            <xm:f>$BS$4='Data entry'!$R41</xm:f>
            <x14:dxf>
              <fill>
                <patternFill>
                  <bgColor rgb="FFFFFF00"/>
                </patternFill>
              </fill>
            </x14:dxf>
          </x14:cfRule>
          <xm:sqref>BE110:BS110</xm:sqref>
        </x14:conditionalFormatting>
        <x14:conditionalFormatting xmlns:xm="http://schemas.microsoft.com/office/excel/2006/main">
          <x14:cfRule type="expression" priority="4696496" id="{AC94D468-F078-4AE2-8771-102996E07B09}">
            <xm:f>$BS$4='Data entry'!$R41</xm:f>
            <x14:dxf>
              <fill>
                <patternFill>
                  <bgColor rgb="FFFF0000"/>
                </patternFill>
              </fill>
            </x14:dxf>
          </x14:cfRule>
          <xm:sqref>BQ111:CC111</xm:sqref>
        </x14:conditionalFormatting>
        <x14:conditionalFormatting xmlns:xm="http://schemas.microsoft.com/office/excel/2006/main">
          <x14:cfRule type="expression" priority="4696497" id="{10E78F76-181E-4F19-9F89-7DD36D3EFE30}">
            <xm:f>$BT$4='Data entry'!$R41</xm:f>
            <x14:dxf>
              <fill>
                <patternFill>
                  <bgColor rgb="FFFFFF00"/>
                </patternFill>
              </fill>
            </x14:dxf>
          </x14:cfRule>
          <xm:sqref>BF110:BT110</xm:sqref>
        </x14:conditionalFormatting>
        <x14:conditionalFormatting xmlns:xm="http://schemas.microsoft.com/office/excel/2006/main">
          <x14:cfRule type="expression" priority="4696498" id="{6A5FADC6-9512-4EFB-90A5-7B5244D10D1F}">
            <xm:f>$BT$4='Data entry'!$R41</xm:f>
            <x14:dxf>
              <fill>
                <patternFill>
                  <bgColor rgb="FFFF0000"/>
                </patternFill>
              </fill>
            </x14:dxf>
          </x14:cfRule>
          <xm:sqref>BR111:CC111</xm:sqref>
        </x14:conditionalFormatting>
        <x14:conditionalFormatting xmlns:xm="http://schemas.microsoft.com/office/excel/2006/main">
          <x14:cfRule type="expression" priority="4696499" id="{A51139D1-8841-4B96-B8CB-DFE3808765CF}">
            <xm:f>$BU$4='Data entry'!$R41</xm:f>
            <x14:dxf>
              <fill>
                <patternFill>
                  <bgColor rgb="FFFFFF00"/>
                </patternFill>
              </fill>
            </x14:dxf>
          </x14:cfRule>
          <xm:sqref>BG110:BU110</xm:sqref>
        </x14:conditionalFormatting>
        <x14:conditionalFormatting xmlns:xm="http://schemas.microsoft.com/office/excel/2006/main">
          <x14:cfRule type="expression" priority="4696500" id="{55CA7258-760F-4BFF-ACB5-A70FEB3E7981}">
            <xm:f>$BU$4='Data entry'!$R41</xm:f>
            <x14:dxf>
              <fill>
                <patternFill>
                  <bgColor rgb="FFFF0000"/>
                </patternFill>
              </fill>
            </x14:dxf>
          </x14:cfRule>
          <xm:sqref>BS111:CC111</xm:sqref>
        </x14:conditionalFormatting>
        <x14:conditionalFormatting xmlns:xm="http://schemas.microsoft.com/office/excel/2006/main">
          <x14:cfRule type="expression" priority="4696501" id="{A922B218-64DB-4CBB-9AB8-FE0EBB44E09E}">
            <xm:f>$BV$4='Data entry'!$R41</xm:f>
            <x14:dxf>
              <fill>
                <patternFill>
                  <bgColor rgb="FFFFFF00"/>
                </patternFill>
              </fill>
            </x14:dxf>
          </x14:cfRule>
          <xm:sqref>BH110:BV110</xm:sqref>
        </x14:conditionalFormatting>
        <x14:conditionalFormatting xmlns:xm="http://schemas.microsoft.com/office/excel/2006/main">
          <x14:cfRule type="expression" priority="4696502" id="{C98E908A-CD31-4778-B41C-7AFB9DBE639A}">
            <xm:f>$BV$4='Data entry'!$R41</xm:f>
            <x14:dxf>
              <fill>
                <patternFill>
                  <bgColor rgb="FFFF0000"/>
                </patternFill>
              </fill>
            </x14:dxf>
          </x14:cfRule>
          <xm:sqref>BT111:CC111</xm:sqref>
        </x14:conditionalFormatting>
        <x14:conditionalFormatting xmlns:xm="http://schemas.microsoft.com/office/excel/2006/main">
          <x14:cfRule type="expression" priority="4696503" id="{465CCCA3-B4DB-4B61-8AC7-8A5E4CEC9E3F}">
            <xm:f>$BW$4='Data entry'!$R41</xm:f>
            <x14:dxf>
              <fill>
                <patternFill>
                  <bgColor rgb="FFFFFF00"/>
                </patternFill>
              </fill>
            </x14:dxf>
          </x14:cfRule>
          <xm:sqref>BI110:BW110</xm:sqref>
        </x14:conditionalFormatting>
        <x14:conditionalFormatting xmlns:xm="http://schemas.microsoft.com/office/excel/2006/main">
          <x14:cfRule type="expression" priority="4696504" id="{37566F97-6D06-400B-A709-FE657B07687F}">
            <xm:f>$BW$4='Data entry'!$R41</xm:f>
            <x14:dxf>
              <fill>
                <patternFill>
                  <bgColor rgb="FFFF0000"/>
                </patternFill>
              </fill>
            </x14:dxf>
          </x14:cfRule>
          <xm:sqref>BU111:CC111</xm:sqref>
        </x14:conditionalFormatting>
        <x14:conditionalFormatting xmlns:xm="http://schemas.microsoft.com/office/excel/2006/main">
          <x14:cfRule type="expression" priority="4696505" id="{D8FBA3AC-5CF0-4E45-97CA-1D4DEE729ADA}">
            <xm:f>$BX$4='Data entry'!$R41</xm:f>
            <x14:dxf>
              <fill>
                <patternFill>
                  <bgColor rgb="FFFFFF00"/>
                </patternFill>
              </fill>
            </x14:dxf>
          </x14:cfRule>
          <xm:sqref>BJ110:BX110</xm:sqref>
        </x14:conditionalFormatting>
        <x14:conditionalFormatting xmlns:xm="http://schemas.microsoft.com/office/excel/2006/main">
          <x14:cfRule type="expression" priority="4696506" id="{E077C84B-A94F-431D-B232-4AFCC7C64F54}">
            <xm:f>$BX$4='Data entry'!$R41</xm:f>
            <x14:dxf>
              <fill>
                <patternFill>
                  <bgColor rgb="FFFF0000"/>
                </patternFill>
              </fill>
            </x14:dxf>
          </x14:cfRule>
          <xm:sqref>BV111:CC111</xm:sqref>
        </x14:conditionalFormatting>
        <x14:conditionalFormatting xmlns:xm="http://schemas.microsoft.com/office/excel/2006/main">
          <x14:cfRule type="expression" priority="4696507" id="{63783BA8-0C97-4A44-86FD-7A2BCF1B9957}">
            <xm:f>$BY$4='Data entry'!$R41</xm:f>
            <x14:dxf>
              <fill>
                <patternFill>
                  <bgColor rgb="FFFFFF00"/>
                </patternFill>
              </fill>
            </x14:dxf>
          </x14:cfRule>
          <xm:sqref>BK110:BY110</xm:sqref>
        </x14:conditionalFormatting>
        <x14:conditionalFormatting xmlns:xm="http://schemas.microsoft.com/office/excel/2006/main">
          <x14:cfRule type="expression" priority="4696508" id="{BB8DB8B4-B71B-46D2-AEE7-346F16103F74}">
            <xm:f>$BY$4='Data entry'!$R41</xm:f>
            <x14:dxf>
              <fill>
                <patternFill>
                  <bgColor rgb="FFFF0000"/>
                </patternFill>
              </fill>
            </x14:dxf>
          </x14:cfRule>
          <xm:sqref>BW111:CC111</xm:sqref>
        </x14:conditionalFormatting>
        <x14:conditionalFormatting xmlns:xm="http://schemas.microsoft.com/office/excel/2006/main">
          <x14:cfRule type="expression" priority="4696509" id="{1B638B98-2B06-4FEB-90C1-446A3E0A3979}">
            <xm:f>$BZ$4='Data entry'!$R41</xm:f>
            <x14:dxf>
              <fill>
                <patternFill>
                  <bgColor rgb="FFFFFF00"/>
                </patternFill>
              </fill>
            </x14:dxf>
          </x14:cfRule>
          <xm:sqref>BL110:BZ110</xm:sqref>
        </x14:conditionalFormatting>
        <x14:conditionalFormatting xmlns:xm="http://schemas.microsoft.com/office/excel/2006/main">
          <x14:cfRule type="expression" priority="4696510" id="{D3A0A2F8-D1B2-4DC5-B2A9-0EF53074E685}">
            <xm:f>$BZ$4='Data entry'!$R41</xm:f>
            <x14:dxf>
              <fill>
                <patternFill>
                  <bgColor rgb="FFFF0000"/>
                </patternFill>
              </fill>
            </x14:dxf>
          </x14:cfRule>
          <xm:sqref>BX111:CC111</xm:sqref>
        </x14:conditionalFormatting>
        <x14:conditionalFormatting xmlns:xm="http://schemas.microsoft.com/office/excel/2006/main">
          <x14:cfRule type="expression" priority="4696511" id="{83F6D018-7D3B-4D33-9998-11572F2F2FF5}">
            <xm:f>$CA$4='Data entry'!$R41</xm:f>
            <x14:dxf>
              <fill>
                <patternFill>
                  <bgColor rgb="FFFFFF00"/>
                </patternFill>
              </fill>
            </x14:dxf>
          </x14:cfRule>
          <xm:sqref>BM110:CA110</xm:sqref>
        </x14:conditionalFormatting>
        <x14:conditionalFormatting xmlns:xm="http://schemas.microsoft.com/office/excel/2006/main">
          <x14:cfRule type="expression" priority="4696512" id="{8E6D0B51-5626-4ED9-9072-C7A2C139704F}">
            <xm:f>$CA$4='Data entry'!$R41</xm:f>
            <x14:dxf>
              <fill>
                <patternFill>
                  <bgColor rgb="FFFF0000"/>
                </patternFill>
              </fill>
            </x14:dxf>
          </x14:cfRule>
          <xm:sqref>BY111:CC111</xm:sqref>
        </x14:conditionalFormatting>
        <x14:conditionalFormatting xmlns:xm="http://schemas.microsoft.com/office/excel/2006/main">
          <x14:cfRule type="expression" priority="4696513" id="{E1886EE4-3BDE-43A9-9F4B-79377FEC37FE}">
            <xm:f>$CB$4='Data entry'!$R41</xm:f>
            <x14:dxf>
              <fill>
                <patternFill>
                  <bgColor rgb="FFFFFF00"/>
                </patternFill>
              </fill>
            </x14:dxf>
          </x14:cfRule>
          <xm:sqref>BN110:CB110</xm:sqref>
        </x14:conditionalFormatting>
        <x14:conditionalFormatting xmlns:xm="http://schemas.microsoft.com/office/excel/2006/main">
          <x14:cfRule type="expression" priority="4696514" id="{ADEF572A-6C18-4602-BB86-01C96D36E07E}">
            <xm:f>$CB$4='Data entry'!$R41</xm:f>
            <x14:dxf>
              <fill>
                <patternFill>
                  <bgColor rgb="FFFF0000"/>
                </patternFill>
              </fill>
            </x14:dxf>
          </x14:cfRule>
          <xm:sqref>BZ111:CC111</xm:sqref>
        </x14:conditionalFormatting>
        <x14:conditionalFormatting xmlns:xm="http://schemas.microsoft.com/office/excel/2006/main">
          <x14:cfRule type="expression" priority="4696515" id="{7984E1C9-E073-4955-8543-62145CB6D008}">
            <xm:f>$CC$4='Data entry'!$R41</xm:f>
            <x14:dxf>
              <fill>
                <patternFill>
                  <bgColor rgb="FFFFFF00"/>
                </patternFill>
              </fill>
            </x14:dxf>
          </x14:cfRule>
          <xm:sqref>BO110:CC110</xm:sqref>
        </x14:conditionalFormatting>
        <x14:conditionalFormatting xmlns:xm="http://schemas.microsoft.com/office/excel/2006/main">
          <x14:cfRule type="expression" priority="4696516" id="{18A957B3-59FA-4698-BA92-2A208FF18E2F}">
            <xm:f>$CC$4='Data entry'!$R41</xm:f>
            <x14:dxf>
              <fill>
                <patternFill>
                  <bgColor rgb="FFFF0000"/>
                </patternFill>
              </fill>
            </x14:dxf>
          </x14:cfRule>
          <xm:sqref>CA111:CC111</xm:sqref>
        </x14:conditionalFormatting>
        <x14:conditionalFormatting xmlns:xm="http://schemas.microsoft.com/office/excel/2006/main">
          <x14:cfRule type="expression" priority="4696603" id="{5B0DB825-B7C2-40AC-B7EF-F267F054CFB9}">
            <xm:f>$U$4='Data entry'!$R42</xm:f>
            <x14:dxf>
              <fill>
                <patternFill>
                  <bgColor rgb="FFFF0000"/>
                </patternFill>
              </fill>
            </x14:dxf>
          </x14:cfRule>
          <xm:sqref>S114:AE114</xm:sqref>
        </x14:conditionalFormatting>
        <x14:conditionalFormatting xmlns:xm="http://schemas.microsoft.com/office/excel/2006/main">
          <x14:cfRule type="expression" priority="4696604" id="{18311200-E2BB-400F-B594-3B9A2C6068C2}">
            <xm:f>$V$4='Data entry'!$R42</xm:f>
            <x14:dxf>
              <fill>
                <patternFill>
                  <bgColor rgb="FFFF0000"/>
                </patternFill>
              </fill>
            </x14:dxf>
          </x14:cfRule>
          <xm:sqref>T114:AF114</xm:sqref>
        </x14:conditionalFormatting>
        <x14:conditionalFormatting xmlns:xm="http://schemas.microsoft.com/office/excel/2006/main">
          <x14:cfRule type="expression" priority="4696605" id="{D6DFB621-1A58-4C59-A987-ECAD0EB2D32B}">
            <xm:f>$V$4='Data entry'!$R42</xm:f>
            <x14:dxf>
              <fill>
                <patternFill>
                  <bgColor rgb="FFFFFF00"/>
                </patternFill>
              </fill>
            </x14:dxf>
          </x14:cfRule>
          <xm:sqref>H113:V113</xm:sqref>
        </x14:conditionalFormatting>
        <x14:conditionalFormatting xmlns:xm="http://schemas.microsoft.com/office/excel/2006/main">
          <x14:cfRule type="expression" priority="4696606" id="{5F87A680-DC5F-433D-A779-B7A534ACCDA9}">
            <xm:f>$W$4='Data entry'!$R42</xm:f>
            <x14:dxf>
              <fill>
                <patternFill>
                  <bgColor rgb="FFFF0000"/>
                </patternFill>
              </fill>
            </x14:dxf>
          </x14:cfRule>
          <xm:sqref>U114:AG114</xm:sqref>
        </x14:conditionalFormatting>
        <x14:conditionalFormatting xmlns:xm="http://schemas.microsoft.com/office/excel/2006/main">
          <x14:cfRule type="expression" priority="4696607" id="{964539FF-A92C-4F68-B268-B7157A32678C}">
            <xm:f>$W$4='Data entry'!$R42</xm:f>
            <x14:dxf>
              <fill>
                <patternFill>
                  <bgColor rgb="FFFFFF00"/>
                </patternFill>
              </fill>
            </x14:dxf>
          </x14:cfRule>
          <xm:sqref>I113:W113</xm:sqref>
        </x14:conditionalFormatting>
        <x14:conditionalFormatting xmlns:xm="http://schemas.microsoft.com/office/excel/2006/main">
          <x14:cfRule type="expression" priority="4696608" id="{46C1533A-F090-4A90-9309-3F59EC3FD3B0}">
            <xm:f>$X$4='Data entry'!$R42</xm:f>
            <x14:dxf>
              <fill>
                <patternFill>
                  <bgColor rgb="FFFF0000"/>
                </patternFill>
              </fill>
            </x14:dxf>
          </x14:cfRule>
          <xm:sqref>V114:AH114</xm:sqref>
        </x14:conditionalFormatting>
        <x14:conditionalFormatting xmlns:xm="http://schemas.microsoft.com/office/excel/2006/main">
          <x14:cfRule type="expression" priority="4696609" id="{7C70E81C-DDD4-4D75-933A-4F6A39893184}">
            <xm:f>$X$4='Data entry'!$R42</xm:f>
            <x14:dxf>
              <fill>
                <patternFill>
                  <bgColor rgb="FFFFFF00"/>
                </patternFill>
              </fill>
            </x14:dxf>
          </x14:cfRule>
          <xm:sqref>J113:X113</xm:sqref>
        </x14:conditionalFormatting>
        <x14:conditionalFormatting xmlns:xm="http://schemas.microsoft.com/office/excel/2006/main">
          <x14:cfRule type="expression" priority="4696610" id="{561AF073-0EF8-4B72-A119-40A639C4359D}">
            <xm:f>$Y$4='Data entry'!$R42</xm:f>
            <x14:dxf>
              <fill>
                <patternFill>
                  <bgColor rgb="FFFF0000"/>
                </patternFill>
              </fill>
            </x14:dxf>
          </x14:cfRule>
          <xm:sqref>W114:AI114</xm:sqref>
        </x14:conditionalFormatting>
        <x14:conditionalFormatting xmlns:xm="http://schemas.microsoft.com/office/excel/2006/main">
          <x14:cfRule type="expression" priority="4696611" id="{F242E808-8F07-4A89-9524-7D4C767CE357}">
            <xm:f>$Y$4='Data entry'!$R42</xm:f>
            <x14:dxf>
              <fill>
                <patternFill>
                  <bgColor rgb="FFFFFF00"/>
                </patternFill>
              </fill>
            </x14:dxf>
          </x14:cfRule>
          <xm:sqref>K113:Y113</xm:sqref>
        </x14:conditionalFormatting>
        <x14:conditionalFormatting xmlns:xm="http://schemas.microsoft.com/office/excel/2006/main">
          <x14:cfRule type="expression" priority="4696612" id="{DD601058-982B-4218-BD9D-64BB823C2633}">
            <xm:f>$Z$4='Data entry'!$R42</xm:f>
            <x14:dxf>
              <fill>
                <patternFill>
                  <bgColor rgb="FFFF0000"/>
                </patternFill>
              </fill>
            </x14:dxf>
          </x14:cfRule>
          <xm:sqref>X114:AJ114</xm:sqref>
        </x14:conditionalFormatting>
        <x14:conditionalFormatting xmlns:xm="http://schemas.microsoft.com/office/excel/2006/main">
          <x14:cfRule type="expression" priority="4696613" id="{C9DB141D-79F6-4093-92A3-7BF7A1622985}">
            <xm:f>$Z$4='Data entry'!$R42</xm:f>
            <x14:dxf>
              <fill>
                <patternFill>
                  <bgColor rgb="FFFFFF00"/>
                </patternFill>
              </fill>
            </x14:dxf>
          </x14:cfRule>
          <xm:sqref>L113:Z113</xm:sqref>
        </x14:conditionalFormatting>
        <x14:conditionalFormatting xmlns:xm="http://schemas.microsoft.com/office/excel/2006/main">
          <x14:cfRule type="expression" priority="4696614" id="{710EB8D3-F5C0-4E3C-8214-2D0C4E26F649}">
            <xm:f>$AA$4='Data entry'!$R42</xm:f>
            <x14:dxf>
              <fill>
                <patternFill>
                  <bgColor rgb="FFFF0000"/>
                </patternFill>
              </fill>
            </x14:dxf>
          </x14:cfRule>
          <xm:sqref>Y114:AK114</xm:sqref>
        </x14:conditionalFormatting>
        <x14:conditionalFormatting xmlns:xm="http://schemas.microsoft.com/office/excel/2006/main">
          <x14:cfRule type="expression" priority="4696615" id="{33825D69-C967-4D27-B395-5D44A3083802}">
            <xm:f>$AA$4='Data entry'!$R42</xm:f>
            <x14:dxf>
              <fill>
                <patternFill>
                  <bgColor rgb="FFFFFF00"/>
                </patternFill>
              </fill>
            </x14:dxf>
          </x14:cfRule>
          <xm:sqref>M113:AA113</xm:sqref>
        </x14:conditionalFormatting>
        <x14:conditionalFormatting xmlns:xm="http://schemas.microsoft.com/office/excel/2006/main">
          <x14:cfRule type="expression" priority="4696616" id="{9811A97D-351B-4D32-8754-AF433277E62B}">
            <xm:f>$AB$4='Data entry'!$R42</xm:f>
            <x14:dxf>
              <fill>
                <patternFill>
                  <bgColor rgb="FFFF0000"/>
                </patternFill>
              </fill>
            </x14:dxf>
          </x14:cfRule>
          <xm:sqref>Z114:AL114</xm:sqref>
        </x14:conditionalFormatting>
        <x14:conditionalFormatting xmlns:xm="http://schemas.microsoft.com/office/excel/2006/main">
          <x14:cfRule type="expression" priority="4696617" id="{6DD3E556-C72E-438B-92DA-3096ED1E4178}">
            <xm:f>$AB$4='Data entry'!$R42</xm:f>
            <x14:dxf>
              <fill>
                <patternFill>
                  <bgColor rgb="FFFFFF00"/>
                </patternFill>
              </fill>
            </x14:dxf>
          </x14:cfRule>
          <xm:sqref>N113:AB113</xm:sqref>
        </x14:conditionalFormatting>
        <x14:conditionalFormatting xmlns:xm="http://schemas.microsoft.com/office/excel/2006/main">
          <x14:cfRule type="expression" priority="4696618" id="{C0DF7A1B-D6BC-4371-BD3A-F0708147FA1C}">
            <xm:f>$AC$4='Data entry'!$R42</xm:f>
            <x14:dxf>
              <fill>
                <patternFill>
                  <bgColor rgb="FFFF0000"/>
                </patternFill>
              </fill>
            </x14:dxf>
          </x14:cfRule>
          <xm:sqref>AA114:AM114</xm:sqref>
        </x14:conditionalFormatting>
        <x14:conditionalFormatting xmlns:xm="http://schemas.microsoft.com/office/excel/2006/main">
          <x14:cfRule type="expression" priority="4696619" id="{DB2E1F48-AF0E-41F9-A976-6B1963CA5711}">
            <xm:f>$AC$4='Data entry'!$R42</xm:f>
            <x14:dxf>
              <fill>
                <patternFill>
                  <bgColor rgb="FFFFFF00"/>
                </patternFill>
              </fill>
            </x14:dxf>
          </x14:cfRule>
          <xm:sqref>O113:AC113</xm:sqref>
        </x14:conditionalFormatting>
        <x14:conditionalFormatting xmlns:xm="http://schemas.microsoft.com/office/excel/2006/main">
          <x14:cfRule type="expression" priority="4696620" id="{89909907-F9A9-4AF9-BC1D-304710A43F50}">
            <xm:f>$AD$4='Data entry'!$R42</xm:f>
            <x14:dxf>
              <fill>
                <patternFill>
                  <bgColor rgb="FFFF0000"/>
                </patternFill>
              </fill>
            </x14:dxf>
          </x14:cfRule>
          <xm:sqref>AB114:AN114</xm:sqref>
        </x14:conditionalFormatting>
        <x14:conditionalFormatting xmlns:xm="http://schemas.microsoft.com/office/excel/2006/main">
          <x14:cfRule type="expression" priority="4696621" id="{729676B7-E331-43A4-ACC9-850DCEE76A0E}">
            <xm:f>$AD$4='Data entry'!$R42</xm:f>
            <x14:dxf>
              <fill>
                <patternFill>
                  <bgColor rgb="FFFFFF00"/>
                </patternFill>
              </fill>
            </x14:dxf>
          </x14:cfRule>
          <xm:sqref>P113:AD113</xm:sqref>
        </x14:conditionalFormatting>
        <x14:conditionalFormatting xmlns:xm="http://schemas.microsoft.com/office/excel/2006/main">
          <x14:cfRule type="expression" priority="4696622" id="{00DA2C55-350E-44AA-ABEA-808FABFDA737}">
            <xm:f>$AE$4='Data entry'!$R42</xm:f>
            <x14:dxf>
              <fill>
                <patternFill>
                  <bgColor rgb="FFFF0000"/>
                </patternFill>
              </fill>
            </x14:dxf>
          </x14:cfRule>
          <xm:sqref>AC114:AO114</xm:sqref>
        </x14:conditionalFormatting>
        <x14:conditionalFormatting xmlns:xm="http://schemas.microsoft.com/office/excel/2006/main">
          <x14:cfRule type="expression" priority="4696623" id="{373C95F1-00C1-45E9-B561-5224945BA4A4}">
            <xm:f>$AE$4='Data entry'!$R42</xm:f>
            <x14:dxf>
              <fill>
                <patternFill>
                  <bgColor rgb="FFFFFF00"/>
                </patternFill>
              </fill>
            </x14:dxf>
          </x14:cfRule>
          <xm:sqref>Q113:AE113</xm:sqref>
        </x14:conditionalFormatting>
        <x14:conditionalFormatting xmlns:xm="http://schemas.microsoft.com/office/excel/2006/main">
          <x14:cfRule type="expression" priority="4696624" id="{65E90E74-6BEF-4B00-BD5E-ECACFEBC225A}">
            <xm:f>$AF$4='Data entry'!$R42</xm:f>
            <x14:dxf>
              <fill>
                <patternFill>
                  <bgColor rgb="FFFF0000"/>
                </patternFill>
              </fill>
            </x14:dxf>
          </x14:cfRule>
          <xm:sqref>AD114:AP114</xm:sqref>
        </x14:conditionalFormatting>
        <x14:conditionalFormatting xmlns:xm="http://schemas.microsoft.com/office/excel/2006/main">
          <x14:cfRule type="expression" priority="4696625" id="{56B519D7-E083-4811-B42B-D6CB10D44BB3}">
            <xm:f>$AF$4='Data entry'!$R42</xm:f>
            <x14:dxf>
              <fill>
                <patternFill>
                  <bgColor rgb="FFFFFF00"/>
                </patternFill>
              </fill>
            </x14:dxf>
          </x14:cfRule>
          <xm:sqref>R113:AF113</xm:sqref>
        </x14:conditionalFormatting>
        <x14:conditionalFormatting xmlns:xm="http://schemas.microsoft.com/office/excel/2006/main">
          <x14:cfRule type="expression" priority="4696626" id="{889682B6-BF9B-414B-86B7-1C802156B058}">
            <xm:f>$AG$4='Data entry'!$R42</xm:f>
            <x14:dxf>
              <fill>
                <patternFill>
                  <bgColor rgb="FFFF0000"/>
                </patternFill>
              </fill>
            </x14:dxf>
          </x14:cfRule>
          <xm:sqref>AE114:AQ114</xm:sqref>
        </x14:conditionalFormatting>
        <x14:conditionalFormatting xmlns:xm="http://schemas.microsoft.com/office/excel/2006/main">
          <x14:cfRule type="expression" priority="4696627" id="{19913D88-1940-4CB0-B29C-D46D60833BD5}">
            <xm:f>$AG$4='Data entry'!$R42</xm:f>
            <x14:dxf>
              <fill>
                <patternFill>
                  <bgColor rgb="FFFFFF00"/>
                </patternFill>
              </fill>
            </x14:dxf>
          </x14:cfRule>
          <xm:sqref>S113:AG113</xm:sqref>
        </x14:conditionalFormatting>
        <x14:conditionalFormatting xmlns:xm="http://schemas.microsoft.com/office/excel/2006/main">
          <x14:cfRule type="expression" priority="4696628" id="{3DD7B9A5-18A3-463F-BAD5-9796FC487328}">
            <xm:f>$AH$4='Data entry'!$R42</xm:f>
            <x14:dxf>
              <fill>
                <patternFill>
                  <bgColor rgb="FFFF0000"/>
                </patternFill>
              </fill>
            </x14:dxf>
          </x14:cfRule>
          <xm:sqref>AF114:AR114</xm:sqref>
        </x14:conditionalFormatting>
        <x14:conditionalFormatting xmlns:xm="http://schemas.microsoft.com/office/excel/2006/main">
          <x14:cfRule type="expression" priority="4696629" id="{31005CF4-5608-496E-91EB-F7F505046C80}">
            <xm:f>$AH$4='Data entry'!$R42</xm:f>
            <x14:dxf>
              <fill>
                <patternFill>
                  <bgColor rgb="FFFFFF00"/>
                </patternFill>
              </fill>
            </x14:dxf>
          </x14:cfRule>
          <xm:sqref>T113:AH113</xm:sqref>
        </x14:conditionalFormatting>
        <x14:conditionalFormatting xmlns:xm="http://schemas.microsoft.com/office/excel/2006/main">
          <x14:cfRule type="expression" priority="4696630" id="{CD14F654-5B7A-444F-8FC1-7DD71E76E475}">
            <xm:f>$AI$4='Data entry'!$R42</xm:f>
            <x14:dxf>
              <fill>
                <patternFill>
                  <bgColor rgb="FFFF0000"/>
                </patternFill>
              </fill>
            </x14:dxf>
          </x14:cfRule>
          <xm:sqref>AG114:AS114</xm:sqref>
        </x14:conditionalFormatting>
        <x14:conditionalFormatting xmlns:xm="http://schemas.microsoft.com/office/excel/2006/main">
          <x14:cfRule type="expression" priority="4696631" id="{0E4E448C-6C46-4285-B877-A61A90294385}">
            <xm:f>$AI$4='Data entry'!$R42</xm:f>
            <x14:dxf>
              <fill>
                <patternFill>
                  <bgColor rgb="FFFFFF00"/>
                </patternFill>
              </fill>
            </x14:dxf>
          </x14:cfRule>
          <xm:sqref>U113:AI113</xm:sqref>
        </x14:conditionalFormatting>
        <x14:conditionalFormatting xmlns:xm="http://schemas.microsoft.com/office/excel/2006/main">
          <x14:cfRule type="expression" priority="4696632" id="{B1C1818F-791C-403D-BE73-6F6E9DC6A16D}">
            <xm:f>$AJ$4='Data entry'!$R42</xm:f>
            <x14:dxf>
              <fill>
                <patternFill>
                  <bgColor rgb="FFFF0000"/>
                </patternFill>
              </fill>
            </x14:dxf>
          </x14:cfRule>
          <xm:sqref>AH114:AT114</xm:sqref>
        </x14:conditionalFormatting>
        <x14:conditionalFormatting xmlns:xm="http://schemas.microsoft.com/office/excel/2006/main">
          <x14:cfRule type="expression" priority="4696633" id="{A1237792-221B-431B-B8A7-E9A64DA46D93}">
            <xm:f>$AJ$4='Data entry'!$R42</xm:f>
            <x14:dxf>
              <fill>
                <patternFill>
                  <bgColor rgb="FFFFFF00"/>
                </patternFill>
              </fill>
            </x14:dxf>
          </x14:cfRule>
          <xm:sqref>V113:AJ113</xm:sqref>
        </x14:conditionalFormatting>
        <x14:conditionalFormatting xmlns:xm="http://schemas.microsoft.com/office/excel/2006/main">
          <x14:cfRule type="expression" priority="4696634" id="{617DC2AF-C7A3-4724-8EA3-17DEFEDC8949}">
            <xm:f>$AK$4='Data entry'!$R42</xm:f>
            <x14:dxf>
              <fill>
                <patternFill>
                  <bgColor rgb="FFFF0000"/>
                </patternFill>
              </fill>
            </x14:dxf>
          </x14:cfRule>
          <xm:sqref>AI114:AU114</xm:sqref>
        </x14:conditionalFormatting>
        <x14:conditionalFormatting xmlns:xm="http://schemas.microsoft.com/office/excel/2006/main">
          <x14:cfRule type="expression" priority="4696635" id="{AA72317D-37B1-48EB-A28B-BF2AC8DC4519}">
            <xm:f>$AK$4='Data entry'!$R42</xm:f>
            <x14:dxf>
              <fill>
                <patternFill>
                  <bgColor rgb="FFFFFF00"/>
                </patternFill>
              </fill>
            </x14:dxf>
          </x14:cfRule>
          <xm:sqref>W113:AK113</xm:sqref>
        </x14:conditionalFormatting>
        <x14:conditionalFormatting xmlns:xm="http://schemas.microsoft.com/office/excel/2006/main">
          <x14:cfRule type="expression" priority="4696636" id="{6CA9FB7A-20EA-4D3A-B74C-A001F4BE810D}">
            <xm:f>$AL$4='Data entry'!$R42</xm:f>
            <x14:dxf>
              <fill>
                <patternFill>
                  <bgColor rgb="FFFF0000"/>
                </patternFill>
              </fill>
            </x14:dxf>
          </x14:cfRule>
          <xm:sqref>AJ114:AV114</xm:sqref>
        </x14:conditionalFormatting>
        <x14:conditionalFormatting xmlns:xm="http://schemas.microsoft.com/office/excel/2006/main">
          <x14:cfRule type="expression" priority="4696637" id="{81A75DAA-573F-4EF3-A640-1B992C18BEA0}">
            <xm:f>$AL$4='Data entry'!$R42</xm:f>
            <x14:dxf>
              <fill>
                <patternFill>
                  <bgColor rgb="FFFFFF00"/>
                </patternFill>
              </fill>
            </x14:dxf>
          </x14:cfRule>
          <xm:sqref>X113:AL113</xm:sqref>
        </x14:conditionalFormatting>
        <x14:conditionalFormatting xmlns:xm="http://schemas.microsoft.com/office/excel/2006/main">
          <x14:cfRule type="expression" priority="4696638" id="{3D44713E-4ABA-4CCD-9DF4-5513A9FB5E1E}">
            <xm:f>$AM$4='Data entry'!$R42</xm:f>
            <x14:dxf>
              <fill>
                <patternFill>
                  <bgColor rgb="FFFF0000"/>
                </patternFill>
              </fill>
            </x14:dxf>
          </x14:cfRule>
          <xm:sqref>AK114:AW114</xm:sqref>
        </x14:conditionalFormatting>
        <x14:conditionalFormatting xmlns:xm="http://schemas.microsoft.com/office/excel/2006/main">
          <x14:cfRule type="expression" priority="4696639" id="{05A26B51-72A7-4423-822F-2BDBC28275D0}">
            <xm:f>$AM$4='Data entry'!$R42</xm:f>
            <x14:dxf>
              <fill>
                <patternFill>
                  <bgColor rgb="FFFFFF00"/>
                </patternFill>
              </fill>
            </x14:dxf>
          </x14:cfRule>
          <xm:sqref>Y113:AM113</xm:sqref>
        </x14:conditionalFormatting>
        <x14:conditionalFormatting xmlns:xm="http://schemas.microsoft.com/office/excel/2006/main">
          <x14:cfRule type="expression" priority="4696640" id="{B8A20675-6230-4694-A7F6-6B3DC7142773}">
            <xm:f>$AN$4='Data entry'!$R42</xm:f>
            <x14:dxf>
              <fill>
                <patternFill>
                  <bgColor rgb="FFFF0000"/>
                </patternFill>
              </fill>
            </x14:dxf>
          </x14:cfRule>
          <xm:sqref>AL114:AX114</xm:sqref>
        </x14:conditionalFormatting>
        <x14:conditionalFormatting xmlns:xm="http://schemas.microsoft.com/office/excel/2006/main">
          <x14:cfRule type="expression" priority="4696641" id="{8421181C-7450-42E9-BC1D-065CCFCA960E}">
            <xm:f>$AN$4='Data entry'!$R42</xm:f>
            <x14:dxf>
              <fill>
                <patternFill>
                  <bgColor rgb="FFFFFF00"/>
                </patternFill>
              </fill>
            </x14:dxf>
          </x14:cfRule>
          <xm:sqref>Z113:AN113</xm:sqref>
        </x14:conditionalFormatting>
        <x14:conditionalFormatting xmlns:xm="http://schemas.microsoft.com/office/excel/2006/main">
          <x14:cfRule type="expression" priority="4696642" id="{067FE4BD-6EF4-4684-B6E0-35AB2F267EE7}">
            <xm:f>$AO$4='Data entry'!$R42</xm:f>
            <x14:dxf>
              <fill>
                <patternFill>
                  <bgColor rgb="FFFF0000"/>
                </patternFill>
              </fill>
            </x14:dxf>
          </x14:cfRule>
          <xm:sqref>AM114:AY114</xm:sqref>
        </x14:conditionalFormatting>
        <x14:conditionalFormatting xmlns:xm="http://schemas.microsoft.com/office/excel/2006/main">
          <x14:cfRule type="expression" priority="4696643" id="{F7653492-88D1-47AC-8BA3-0CCE65C3C2AB}">
            <xm:f>$AO$4='Data entry'!$R42</xm:f>
            <x14:dxf>
              <fill>
                <patternFill>
                  <bgColor rgb="FFFFFF00"/>
                </patternFill>
              </fill>
            </x14:dxf>
          </x14:cfRule>
          <xm:sqref>AA113:AO113</xm:sqref>
        </x14:conditionalFormatting>
        <x14:conditionalFormatting xmlns:xm="http://schemas.microsoft.com/office/excel/2006/main">
          <x14:cfRule type="expression" priority="4696644" id="{207A5E5D-B322-482E-9193-1D7318138358}">
            <xm:f>$AP$4='Data entry'!$R42</xm:f>
            <x14:dxf>
              <fill>
                <patternFill>
                  <bgColor rgb="FFFF0000"/>
                </patternFill>
              </fill>
            </x14:dxf>
          </x14:cfRule>
          <xm:sqref>AN114:AZ114</xm:sqref>
        </x14:conditionalFormatting>
        <x14:conditionalFormatting xmlns:xm="http://schemas.microsoft.com/office/excel/2006/main">
          <x14:cfRule type="expression" priority="4696645" id="{21DA638D-4CA0-4067-BFF1-240CE1A0261B}">
            <xm:f>$AP$4='Data entry'!$R42</xm:f>
            <x14:dxf>
              <fill>
                <patternFill>
                  <bgColor rgb="FFFFFF00"/>
                </patternFill>
              </fill>
            </x14:dxf>
          </x14:cfRule>
          <xm:sqref>AB113:AP113</xm:sqref>
        </x14:conditionalFormatting>
        <x14:conditionalFormatting xmlns:xm="http://schemas.microsoft.com/office/excel/2006/main">
          <x14:cfRule type="expression" priority="4696646" id="{71963D96-A42A-4B90-BFC7-6D83D37766EF}">
            <xm:f>$AQ$4='Data entry'!$R42</xm:f>
            <x14:dxf>
              <fill>
                <patternFill>
                  <bgColor rgb="FFFF0000"/>
                </patternFill>
              </fill>
            </x14:dxf>
          </x14:cfRule>
          <xm:sqref>AO114:BA114</xm:sqref>
        </x14:conditionalFormatting>
        <x14:conditionalFormatting xmlns:xm="http://schemas.microsoft.com/office/excel/2006/main">
          <x14:cfRule type="expression" priority="4696647" id="{74952595-84B6-484F-8FF6-FCC1F337DF4D}">
            <xm:f>$AQ$4='Data entry'!$R42</xm:f>
            <x14:dxf>
              <fill>
                <patternFill>
                  <bgColor rgb="FFFFFF00"/>
                </patternFill>
              </fill>
            </x14:dxf>
          </x14:cfRule>
          <xm:sqref>AC113:AQ113</xm:sqref>
        </x14:conditionalFormatting>
        <x14:conditionalFormatting xmlns:xm="http://schemas.microsoft.com/office/excel/2006/main">
          <x14:cfRule type="expression" priority="4696648" id="{8AC9C4B9-0A34-4BC0-B0F7-CA89434C4911}">
            <xm:f>$P$4='Data entry'!$R42</xm:f>
            <x14:dxf>
              <fill>
                <patternFill>
                  <bgColor rgb="FFFFFF00"/>
                </patternFill>
              </fill>
            </x14:dxf>
          </x14:cfRule>
          <xm:sqref>C113:P113</xm:sqref>
        </x14:conditionalFormatting>
        <x14:conditionalFormatting xmlns:xm="http://schemas.microsoft.com/office/excel/2006/main">
          <x14:cfRule type="expression" priority="4696649" id="{0A726775-ABFD-4F22-967C-1A4D87BA3751}">
            <xm:f>$Q$4='Data entry'!$R42</xm:f>
            <x14:dxf>
              <fill>
                <patternFill>
                  <bgColor rgb="FFFFFF00"/>
                </patternFill>
              </fill>
            </x14:dxf>
          </x14:cfRule>
          <xm:sqref>C113:Q113</xm:sqref>
        </x14:conditionalFormatting>
        <x14:conditionalFormatting xmlns:xm="http://schemas.microsoft.com/office/excel/2006/main">
          <x14:cfRule type="expression" priority="4696650" id="{3A8414BD-262C-43B5-86EE-FA6901D00453}">
            <xm:f>$Q$4='Data entry'!$R42</xm:f>
            <x14:dxf>
              <fill>
                <patternFill>
                  <bgColor rgb="FFFF0000"/>
                </patternFill>
              </fill>
            </x14:dxf>
          </x14:cfRule>
          <xm:sqref>O114:AA114</xm:sqref>
        </x14:conditionalFormatting>
        <x14:conditionalFormatting xmlns:xm="http://schemas.microsoft.com/office/excel/2006/main">
          <x14:cfRule type="expression" priority="4696651" id="{B8B5501D-F3EF-4449-9306-F652960C65F4}">
            <xm:f>$R$4='Data entry'!$R42</xm:f>
            <x14:dxf>
              <fill>
                <patternFill>
                  <bgColor rgb="FFFF0000"/>
                </patternFill>
              </fill>
            </x14:dxf>
          </x14:cfRule>
          <xm:sqref>P114:AB114</xm:sqref>
        </x14:conditionalFormatting>
        <x14:conditionalFormatting xmlns:xm="http://schemas.microsoft.com/office/excel/2006/main">
          <x14:cfRule type="expression" priority="4696652" id="{5D070DEC-B82E-4D87-B907-A3E5AB836991}">
            <xm:f>$R$4='Data entry'!$R42</xm:f>
            <x14:dxf>
              <fill>
                <patternFill>
                  <bgColor rgb="FFFFFF00"/>
                </patternFill>
              </fill>
            </x14:dxf>
          </x14:cfRule>
          <xm:sqref>D113:R113</xm:sqref>
        </x14:conditionalFormatting>
        <x14:conditionalFormatting xmlns:xm="http://schemas.microsoft.com/office/excel/2006/main">
          <x14:cfRule type="expression" priority="4696653" id="{E4D16A10-F818-4664-9FB2-F0E839824D4B}">
            <xm:f>$S$4='Data entry'!$R42</xm:f>
            <x14:dxf>
              <fill>
                <patternFill>
                  <bgColor rgb="FFFF0000"/>
                </patternFill>
              </fill>
            </x14:dxf>
          </x14:cfRule>
          <xm:sqref>Q114:AC114</xm:sqref>
        </x14:conditionalFormatting>
        <x14:conditionalFormatting xmlns:xm="http://schemas.microsoft.com/office/excel/2006/main">
          <x14:cfRule type="expression" priority="4696654" id="{1A9F9911-A3E9-4730-AFBE-AB8C596545CA}">
            <xm:f>$S$4='Data entry'!$R42</xm:f>
            <x14:dxf>
              <fill>
                <patternFill>
                  <bgColor rgb="FFFFFF00"/>
                </patternFill>
              </fill>
            </x14:dxf>
          </x14:cfRule>
          <xm:sqref>E113:S113</xm:sqref>
        </x14:conditionalFormatting>
        <x14:conditionalFormatting xmlns:xm="http://schemas.microsoft.com/office/excel/2006/main">
          <x14:cfRule type="expression" priority="4696655" id="{8BB5CD1B-B2AC-442A-9550-26DE19A62D22}">
            <xm:f>$T$4='Data entry'!$R42</xm:f>
            <x14:dxf>
              <fill>
                <patternFill>
                  <bgColor rgb="FFFF0000"/>
                </patternFill>
              </fill>
            </x14:dxf>
          </x14:cfRule>
          <xm:sqref>R114:AD114</xm:sqref>
        </x14:conditionalFormatting>
        <x14:conditionalFormatting xmlns:xm="http://schemas.microsoft.com/office/excel/2006/main">
          <x14:cfRule type="expression" priority="4696656" id="{E7B59C69-7921-4049-84A1-8B3E5F7B0598}">
            <xm:f>$T$4='Data entry'!$R42</xm:f>
            <x14:dxf>
              <fill>
                <patternFill>
                  <bgColor rgb="FFFFFF00"/>
                </patternFill>
              </fill>
            </x14:dxf>
          </x14:cfRule>
          <xm:sqref>F113:T113</xm:sqref>
        </x14:conditionalFormatting>
        <x14:conditionalFormatting xmlns:xm="http://schemas.microsoft.com/office/excel/2006/main">
          <x14:cfRule type="expression" priority="4696657" id="{238C09E5-7A3D-439D-949F-A7733073F9A2}">
            <xm:f>$U$4='Data entry'!$R42</xm:f>
            <x14:dxf>
              <fill>
                <patternFill>
                  <bgColor rgb="FFFFFF00"/>
                </patternFill>
              </fill>
            </x14:dxf>
          </x14:cfRule>
          <xm:sqref>G113:U113</xm:sqref>
        </x14:conditionalFormatting>
        <x14:conditionalFormatting xmlns:xm="http://schemas.microsoft.com/office/excel/2006/main">
          <x14:cfRule type="expression" priority="4696658" id="{DE4D4432-0A19-452A-AF14-2873FE4DF411}">
            <xm:f>$AR$4='Data entry'!$R42</xm:f>
            <x14:dxf>
              <fill>
                <patternFill>
                  <bgColor rgb="FFFF0000"/>
                </patternFill>
              </fill>
            </x14:dxf>
          </x14:cfRule>
          <xm:sqref>AP114:BB114</xm:sqref>
        </x14:conditionalFormatting>
        <x14:conditionalFormatting xmlns:xm="http://schemas.microsoft.com/office/excel/2006/main">
          <x14:cfRule type="expression" priority="4696659" id="{90D7E1FF-542D-40C8-9BD5-DFEB4CDD256F}">
            <xm:f>$AR$4='Data entry'!$R42</xm:f>
            <x14:dxf>
              <fill>
                <patternFill>
                  <bgColor rgb="FFFFFF00"/>
                </patternFill>
              </fill>
            </x14:dxf>
          </x14:cfRule>
          <xm:sqref>AD113:AR113</xm:sqref>
        </x14:conditionalFormatting>
        <x14:conditionalFormatting xmlns:xm="http://schemas.microsoft.com/office/excel/2006/main">
          <x14:cfRule type="expression" priority="4696660" id="{0EBB5305-4A4A-4205-A1FF-11160070CBC3}">
            <xm:f>$AS$4='Data entry'!$R42</xm:f>
            <x14:dxf>
              <fill>
                <patternFill>
                  <bgColor rgb="FFFF0000"/>
                </patternFill>
              </fill>
            </x14:dxf>
          </x14:cfRule>
          <xm:sqref>AQ114:BC114</xm:sqref>
        </x14:conditionalFormatting>
        <x14:conditionalFormatting xmlns:xm="http://schemas.microsoft.com/office/excel/2006/main">
          <x14:cfRule type="expression" priority="4696661" id="{AC8EB30C-4253-4CE1-820E-1801F6D8D35B}">
            <xm:f>$AS$4='Data entry'!$R42</xm:f>
            <x14:dxf>
              <fill>
                <patternFill>
                  <bgColor rgb="FFFFFF00"/>
                </patternFill>
              </fill>
            </x14:dxf>
          </x14:cfRule>
          <xm:sqref>AE113:AS113</xm:sqref>
        </x14:conditionalFormatting>
        <x14:conditionalFormatting xmlns:xm="http://schemas.microsoft.com/office/excel/2006/main">
          <x14:cfRule type="expression" priority="4696662" id="{E11744C1-7201-4272-A1B0-945490B42425}">
            <xm:f>$AT$4='Data entry'!$R42</xm:f>
            <x14:dxf>
              <fill>
                <patternFill>
                  <bgColor rgb="FFFF0000"/>
                </patternFill>
              </fill>
            </x14:dxf>
          </x14:cfRule>
          <xm:sqref>AR114:BD114</xm:sqref>
        </x14:conditionalFormatting>
        <x14:conditionalFormatting xmlns:xm="http://schemas.microsoft.com/office/excel/2006/main">
          <x14:cfRule type="expression" priority="4696663" id="{5EE2823B-E955-4EA7-B99C-0B1F77B57A69}">
            <xm:f>$AT$4='Data entry'!$R42</xm:f>
            <x14:dxf>
              <fill>
                <patternFill>
                  <bgColor rgb="FFFFFF00"/>
                </patternFill>
              </fill>
            </x14:dxf>
          </x14:cfRule>
          <xm:sqref>AF113:AT113</xm:sqref>
        </x14:conditionalFormatting>
        <x14:conditionalFormatting xmlns:xm="http://schemas.microsoft.com/office/excel/2006/main">
          <x14:cfRule type="expression" priority="4696664" id="{5737DC63-3262-4B34-900C-2AAEB255FCBA}">
            <xm:f>$AU$4='Data entry'!$R42</xm:f>
            <x14:dxf>
              <fill>
                <patternFill>
                  <bgColor rgb="FFFF0000"/>
                </patternFill>
              </fill>
            </x14:dxf>
          </x14:cfRule>
          <xm:sqref>AS114:BE114</xm:sqref>
        </x14:conditionalFormatting>
        <x14:conditionalFormatting xmlns:xm="http://schemas.microsoft.com/office/excel/2006/main">
          <x14:cfRule type="expression" priority="4696665" id="{2B5C1F1B-3C3D-4CA3-BC64-0E98422075B6}">
            <xm:f>$AU$4='Data entry'!$R42</xm:f>
            <x14:dxf>
              <fill>
                <patternFill>
                  <bgColor rgb="FFFFFF00"/>
                </patternFill>
              </fill>
            </x14:dxf>
          </x14:cfRule>
          <xm:sqref>AG113:AU113</xm:sqref>
        </x14:conditionalFormatting>
        <x14:conditionalFormatting xmlns:xm="http://schemas.microsoft.com/office/excel/2006/main">
          <x14:cfRule type="expression" priority="4696666" id="{B87A1285-B003-4855-8F4B-53C391BA10E6}">
            <xm:f>$AV$4='Data entry'!$R42</xm:f>
            <x14:dxf>
              <fill>
                <patternFill>
                  <bgColor rgb="FFFF0000"/>
                </patternFill>
              </fill>
            </x14:dxf>
          </x14:cfRule>
          <xm:sqref>AT114:BF114</xm:sqref>
        </x14:conditionalFormatting>
        <x14:conditionalFormatting xmlns:xm="http://schemas.microsoft.com/office/excel/2006/main">
          <x14:cfRule type="expression" priority="4696667" id="{338EE31C-78DB-4818-B837-0380F9E457FA}">
            <xm:f>$AV$4='Data entry'!$R42</xm:f>
            <x14:dxf>
              <fill>
                <patternFill>
                  <bgColor rgb="FFFFFF00"/>
                </patternFill>
              </fill>
            </x14:dxf>
          </x14:cfRule>
          <xm:sqref>AH113:AV113</xm:sqref>
        </x14:conditionalFormatting>
        <x14:conditionalFormatting xmlns:xm="http://schemas.microsoft.com/office/excel/2006/main">
          <x14:cfRule type="expression" priority="4696668" id="{5C40EA66-2801-4C91-B885-BF6A1ECFC35C}">
            <xm:f>$AW$4='Data entry'!$R42</xm:f>
            <x14:dxf>
              <fill>
                <patternFill>
                  <bgColor rgb="FFFF0000"/>
                </patternFill>
              </fill>
            </x14:dxf>
          </x14:cfRule>
          <xm:sqref>AU114:BG114</xm:sqref>
        </x14:conditionalFormatting>
        <x14:conditionalFormatting xmlns:xm="http://schemas.microsoft.com/office/excel/2006/main">
          <x14:cfRule type="expression" priority="4696669" id="{51BCD5CE-DF86-4C2F-8A81-DDA1EFD6C8F7}">
            <xm:f>$AW$4='Data entry'!$R42</xm:f>
            <x14:dxf>
              <fill>
                <patternFill>
                  <bgColor rgb="FFFFFF00"/>
                </patternFill>
              </fill>
            </x14:dxf>
          </x14:cfRule>
          <xm:sqref>AI113:AW113</xm:sqref>
        </x14:conditionalFormatting>
        <x14:conditionalFormatting xmlns:xm="http://schemas.microsoft.com/office/excel/2006/main">
          <x14:cfRule type="expression" priority="4696670" id="{DC2ED5A0-8917-4877-8CD3-9DF9BE5993C9}">
            <xm:f>$AX$4='Data entry'!$R42</xm:f>
            <x14:dxf>
              <fill>
                <patternFill>
                  <bgColor rgb="FFFF0000"/>
                </patternFill>
              </fill>
            </x14:dxf>
          </x14:cfRule>
          <xm:sqref>AV114:BH114</xm:sqref>
        </x14:conditionalFormatting>
        <x14:conditionalFormatting xmlns:xm="http://schemas.microsoft.com/office/excel/2006/main">
          <x14:cfRule type="expression" priority="4696671" id="{59B31869-20F9-45BD-BC80-0A6C8945CE2C}">
            <xm:f>$AX$4='Data entry'!$R42</xm:f>
            <x14:dxf>
              <fill>
                <patternFill>
                  <bgColor rgb="FFFFFF00"/>
                </patternFill>
              </fill>
            </x14:dxf>
          </x14:cfRule>
          <xm:sqref>AJ113:AX113</xm:sqref>
        </x14:conditionalFormatting>
        <x14:conditionalFormatting xmlns:xm="http://schemas.microsoft.com/office/excel/2006/main">
          <x14:cfRule type="expression" priority="4696672" id="{D4208FA0-4262-4037-934C-6D0742B2AD8E}">
            <xm:f>$AY$4='Data entry'!$R42</xm:f>
            <x14:dxf>
              <fill>
                <patternFill>
                  <bgColor rgb="FFFF0000"/>
                </patternFill>
              </fill>
            </x14:dxf>
          </x14:cfRule>
          <xm:sqref>AW114:BI114</xm:sqref>
        </x14:conditionalFormatting>
        <x14:conditionalFormatting xmlns:xm="http://schemas.microsoft.com/office/excel/2006/main">
          <x14:cfRule type="expression" priority="4696673" id="{04D6E423-18C7-42B2-A67D-F49D8E62B571}">
            <xm:f>$AY$4='Data entry'!$R42</xm:f>
            <x14:dxf>
              <fill>
                <patternFill>
                  <bgColor rgb="FFFFFF00"/>
                </patternFill>
              </fill>
            </x14:dxf>
          </x14:cfRule>
          <xm:sqref>AK113:AY113</xm:sqref>
        </x14:conditionalFormatting>
        <x14:conditionalFormatting xmlns:xm="http://schemas.microsoft.com/office/excel/2006/main">
          <x14:cfRule type="expression" priority="4696674" id="{A931C203-6E4B-4EBD-A2F4-1876881F48D4}">
            <xm:f>$AZ$4='Data entry'!$R42</xm:f>
            <x14:dxf>
              <fill>
                <patternFill>
                  <bgColor rgb="FFFF0000"/>
                </patternFill>
              </fill>
            </x14:dxf>
          </x14:cfRule>
          <xm:sqref>AX114:BJ114</xm:sqref>
        </x14:conditionalFormatting>
        <x14:conditionalFormatting xmlns:xm="http://schemas.microsoft.com/office/excel/2006/main">
          <x14:cfRule type="expression" priority="4696675" id="{092D9100-E652-40FE-8CAA-720DC0681250}">
            <xm:f>$AZ$4='Data entry'!$R42</xm:f>
            <x14:dxf>
              <fill>
                <patternFill>
                  <bgColor rgb="FFFFFF00"/>
                </patternFill>
              </fill>
            </x14:dxf>
          </x14:cfRule>
          <xm:sqref>AL113:AZ113</xm:sqref>
        </x14:conditionalFormatting>
        <x14:conditionalFormatting xmlns:xm="http://schemas.microsoft.com/office/excel/2006/main">
          <x14:cfRule type="expression" priority="4696676" id="{A3C7E6BE-A225-483C-A983-A915DB662C52}">
            <xm:f>$BA$4='Data entry'!$R42</xm:f>
            <x14:dxf>
              <fill>
                <patternFill>
                  <bgColor rgb="FFFF0000"/>
                </patternFill>
              </fill>
            </x14:dxf>
          </x14:cfRule>
          <xm:sqref>AY114:BK114</xm:sqref>
        </x14:conditionalFormatting>
        <x14:conditionalFormatting xmlns:xm="http://schemas.microsoft.com/office/excel/2006/main">
          <x14:cfRule type="expression" priority="4696677" id="{F5CF569A-8AFA-4CFF-8BD3-F04D8927A99F}">
            <xm:f>$BA$4='Data entry'!$R42</xm:f>
            <x14:dxf>
              <fill>
                <patternFill>
                  <bgColor rgb="FFFFFF00"/>
                </patternFill>
              </fill>
            </x14:dxf>
          </x14:cfRule>
          <xm:sqref>AM113:BA113</xm:sqref>
        </x14:conditionalFormatting>
        <x14:conditionalFormatting xmlns:xm="http://schemas.microsoft.com/office/excel/2006/main">
          <x14:cfRule type="expression" priority="4696678" id="{E4DAC94A-7983-4BFB-A87B-45B58561841A}">
            <xm:f>$BB$4='Data entry'!$R42</xm:f>
            <x14:dxf>
              <fill>
                <patternFill>
                  <bgColor rgb="FFFF0000"/>
                </patternFill>
              </fill>
            </x14:dxf>
          </x14:cfRule>
          <xm:sqref>AZ114:BL114</xm:sqref>
        </x14:conditionalFormatting>
        <x14:conditionalFormatting xmlns:xm="http://schemas.microsoft.com/office/excel/2006/main">
          <x14:cfRule type="expression" priority="4696679" id="{E63849C5-F39B-4B0E-8F8A-B532EDF2CBAE}">
            <xm:f>$BB$4='Data entry'!$R42</xm:f>
            <x14:dxf>
              <fill>
                <patternFill>
                  <bgColor rgb="FFFFFF00"/>
                </patternFill>
              </fill>
            </x14:dxf>
          </x14:cfRule>
          <xm:sqref>AN113:BB113</xm:sqref>
        </x14:conditionalFormatting>
        <x14:conditionalFormatting xmlns:xm="http://schemas.microsoft.com/office/excel/2006/main">
          <x14:cfRule type="expression" priority="4696680" id="{4FDC32D3-C1F5-455D-9AA4-A03359B72526}">
            <xm:f>$BC$4='Data entry'!$R42</xm:f>
            <x14:dxf>
              <fill>
                <patternFill>
                  <bgColor rgb="FFFF0000"/>
                </patternFill>
              </fill>
            </x14:dxf>
          </x14:cfRule>
          <xm:sqref>BA114:BM114</xm:sqref>
        </x14:conditionalFormatting>
        <x14:conditionalFormatting xmlns:xm="http://schemas.microsoft.com/office/excel/2006/main">
          <x14:cfRule type="expression" priority="4696681" id="{5F0D0C60-B233-4C56-B05D-98C99990877F}">
            <xm:f>$BC$4='Data entry'!$R42</xm:f>
            <x14:dxf>
              <fill>
                <patternFill>
                  <bgColor rgb="FFFFFF00"/>
                </patternFill>
              </fill>
            </x14:dxf>
          </x14:cfRule>
          <xm:sqref>AO113:BC113</xm:sqref>
        </x14:conditionalFormatting>
        <x14:conditionalFormatting xmlns:xm="http://schemas.microsoft.com/office/excel/2006/main">
          <x14:cfRule type="expression" priority="4696682" id="{9EBCB60F-8135-43B6-A0F3-548D4092CC98}">
            <xm:f>$BD$4='Data entry'!$R42</xm:f>
            <x14:dxf>
              <fill>
                <patternFill>
                  <bgColor rgb="FFFF0000"/>
                </patternFill>
              </fill>
            </x14:dxf>
          </x14:cfRule>
          <xm:sqref>BB114:BN114</xm:sqref>
        </x14:conditionalFormatting>
        <x14:conditionalFormatting xmlns:xm="http://schemas.microsoft.com/office/excel/2006/main">
          <x14:cfRule type="expression" priority="4696683" id="{961AF346-4A73-41ED-9A8D-27D431B09C05}">
            <xm:f>$BD$4='Data entry'!$R42</xm:f>
            <x14:dxf>
              <fill>
                <patternFill>
                  <bgColor rgb="FFFFFF00"/>
                </patternFill>
              </fill>
            </x14:dxf>
          </x14:cfRule>
          <xm:sqref>AP113:BD113</xm:sqref>
        </x14:conditionalFormatting>
        <x14:conditionalFormatting xmlns:xm="http://schemas.microsoft.com/office/excel/2006/main">
          <x14:cfRule type="expression" priority="4696684" id="{5A887026-27CD-4F8C-8BA6-1E92704C1CA6}">
            <xm:f>$BE$4='Data entry'!$R42</xm:f>
            <x14:dxf>
              <fill>
                <patternFill>
                  <bgColor rgb="FFFF0000"/>
                </patternFill>
              </fill>
            </x14:dxf>
          </x14:cfRule>
          <xm:sqref>BC114:BO114</xm:sqref>
        </x14:conditionalFormatting>
        <x14:conditionalFormatting xmlns:xm="http://schemas.microsoft.com/office/excel/2006/main">
          <x14:cfRule type="expression" priority="4696685" id="{7F46217B-A1E9-4515-B31E-E756FCD7C6D9}">
            <xm:f>$BE$4='Data entry'!$R42</xm:f>
            <x14:dxf>
              <fill>
                <patternFill>
                  <bgColor rgb="FFFFFF00"/>
                </patternFill>
              </fill>
            </x14:dxf>
          </x14:cfRule>
          <xm:sqref>AP113:BE113</xm:sqref>
        </x14:conditionalFormatting>
        <x14:conditionalFormatting xmlns:xm="http://schemas.microsoft.com/office/excel/2006/main">
          <x14:cfRule type="expression" priority="4696686" id="{F4D9285C-8CA0-4EF1-943E-6A462D47CC77}">
            <xm:f>$BF$4='Data entry'!$R42</xm:f>
            <x14:dxf>
              <fill>
                <patternFill>
                  <bgColor rgb="FFFF0000"/>
                </patternFill>
              </fill>
            </x14:dxf>
          </x14:cfRule>
          <xm:sqref>BD114:BP114</xm:sqref>
        </x14:conditionalFormatting>
        <x14:conditionalFormatting xmlns:xm="http://schemas.microsoft.com/office/excel/2006/main">
          <x14:cfRule type="expression" priority="4696687" id="{B9E4407D-651D-4DC0-9D61-3271D62A65E9}">
            <xm:f>$BF$4='Data entry'!$R42</xm:f>
            <x14:dxf>
              <fill>
                <patternFill>
                  <bgColor rgb="FFFFFF00"/>
                </patternFill>
              </fill>
            </x14:dxf>
          </x14:cfRule>
          <xm:sqref>AR113:BF113</xm:sqref>
        </x14:conditionalFormatting>
        <x14:conditionalFormatting xmlns:xm="http://schemas.microsoft.com/office/excel/2006/main">
          <x14:cfRule type="expression" priority="4696688" id="{4CDC062F-DDFF-4556-B941-08F919727F69}">
            <xm:f>$BG$4='Data entry'!$R42</xm:f>
            <x14:dxf>
              <fill>
                <patternFill>
                  <bgColor rgb="FFFF0000"/>
                </patternFill>
              </fill>
            </x14:dxf>
          </x14:cfRule>
          <xm:sqref>BE114:BQ114</xm:sqref>
        </x14:conditionalFormatting>
        <x14:conditionalFormatting xmlns:xm="http://schemas.microsoft.com/office/excel/2006/main">
          <x14:cfRule type="expression" priority="4696689" id="{789184FA-9055-433B-8A1B-92C7ED59E81F}">
            <xm:f>$BG$4='Data entry'!$R42</xm:f>
            <x14:dxf>
              <fill>
                <patternFill>
                  <bgColor rgb="FFFFFF00"/>
                </patternFill>
              </fill>
            </x14:dxf>
          </x14:cfRule>
          <xm:sqref>AS113:BG113</xm:sqref>
        </x14:conditionalFormatting>
        <x14:conditionalFormatting xmlns:xm="http://schemas.microsoft.com/office/excel/2006/main">
          <x14:cfRule type="expression" priority="4696690" id="{58651E5C-09C9-46C1-B95C-E8A578A49E15}">
            <xm:f>$BH$4='Data entry'!$R42</xm:f>
            <x14:dxf>
              <fill>
                <patternFill>
                  <bgColor rgb="FFFFFF00"/>
                </patternFill>
              </fill>
            </x14:dxf>
          </x14:cfRule>
          <xm:sqref>AT113:BH113</xm:sqref>
        </x14:conditionalFormatting>
        <x14:conditionalFormatting xmlns:xm="http://schemas.microsoft.com/office/excel/2006/main">
          <x14:cfRule type="expression" priority="4696691" id="{97B30B86-8311-4DC0-A533-8C0D53F37839}">
            <xm:f>$BH$4='Data entry'!$R42</xm:f>
            <x14:dxf>
              <fill>
                <patternFill>
                  <bgColor rgb="FFFF0000"/>
                </patternFill>
              </fill>
            </x14:dxf>
          </x14:cfRule>
          <xm:sqref>BF114:BR114</xm:sqref>
        </x14:conditionalFormatting>
        <x14:conditionalFormatting xmlns:xm="http://schemas.microsoft.com/office/excel/2006/main">
          <x14:cfRule type="expression" priority="4696692" id="{78344C0C-5AEA-40B1-A20C-6D77DF58E1F5}">
            <xm:f>$BI$4='Data entry'!$R42</xm:f>
            <x14:dxf>
              <fill>
                <patternFill>
                  <bgColor rgb="FFFFFF00"/>
                </patternFill>
              </fill>
            </x14:dxf>
          </x14:cfRule>
          <xm:sqref>AU113:BI113</xm:sqref>
        </x14:conditionalFormatting>
        <x14:conditionalFormatting xmlns:xm="http://schemas.microsoft.com/office/excel/2006/main">
          <x14:cfRule type="expression" priority="4696693" id="{A9CE044F-482E-4F25-B28F-89ACC58502B1}">
            <xm:f>$BI$4='Data entry'!$R42</xm:f>
            <x14:dxf>
              <fill>
                <patternFill>
                  <bgColor rgb="FFFF0000"/>
                </patternFill>
              </fill>
            </x14:dxf>
          </x14:cfRule>
          <xm:sqref>BG114:BS114</xm:sqref>
        </x14:conditionalFormatting>
        <x14:conditionalFormatting xmlns:xm="http://schemas.microsoft.com/office/excel/2006/main">
          <x14:cfRule type="expression" priority="4696694" id="{F63BE0EB-3C71-4456-BEF0-11180AB7A8BB}">
            <xm:f>$BJ$4='Data entry'!$R42</xm:f>
            <x14:dxf>
              <fill>
                <patternFill>
                  <bgColor rgb="FFFFFF00"/>
                </patternFill>
              </fill>
            </x14:dxf>
          </x14:cfRule>
          <xm:sqref>AV113:BJ113</xm:sqref>
        </x14:conditionalFormatting>
        <x14:conditionalFormatting xmlns:xm="http://schemas.microsoft.com/office/excel/2006/main">
          <x14:cfRule type="expression" priority="4696695" id="{478A5DCB-1DAA-4497-A6CC-B4F01FB96D10}">
            <xm:f>$BJ$4='Data entry'!$R42</xm:f>
            <x14:dxf>
              <fill>
                <patternFill>
                  <bgColor rgb="FFFF0000"/>
                </patternFill>
              </fill>
            </x14:dxf>
          </x14:cfRule>
          <xm:sqref>BH114:BT114</xm:sqref>
        </x14:conditionalFormatting>
        <x14:conditionalFormatting xmlns:xm="http://schemas.microsoft.com/office/excel/2006/main">
          <x14:cfRule type="expression" priority="4696696" id="{CDE4AD5B-65A6-4FA4-9EC0-8D05F22312A9}">
            <xm:f>$BK$4='Data entry'!$R42</xm:f>
            <x14:dxf>
              <fill>
                <patternFill>
                  <bgColor rgb="FFFF0000"/>
                </patternFill>
              </fill>
            </x14:dxf>
          </x14:cfRule>
          <xm:sqref>BI114:BU114</xm:sqref>
        </x14:conditionalFormatting>
        <x14:conditionalFormatting xmlns:xm="http://schemas.microsoft.com/office/excel/2006/main">
          <x14:cfRule type="expression" priority="4696697" id="{AB32E790-6CD8-4D11-9A69-57D785FE4BBC}">
            <xm:f>$BK$4='Data entry'!$R42</xm:f>
            <x14:dxf>
              <fill>
                <patternFill>
                  <bgColor rgb="FFFFFF00"/>
                </patternFill>
              </fill>
            </x14:dxf>
          </x14:cfRule>
          <xm:sqref>AW113:BK113</xm:sqref>
        </x14:conditionalFormatting>
        <x14:conditionalFormatting xmlns:xm="http://schemas.microsoft.com/office/excel/2006/main">
          <x14:cfRule type="expression" priority="4696698" id="{99810EB9-805C-43D8-852A-EEECE7874CDB}">
            <xm:f>$BL$4='Data entry'!$R42</xm:f>
            <x14:dxf>
              <fill>
                <patternFill>
                  <bgColor rgb="FFFF0000"/>
                </patternFill>
              </fill>
            </x14:dxf>
          </x14:cfRule>
          <xm:sqref>BJ114:BV114</xm:sqref>
        </x14:conditionalFormatting>
        <x14:conditionalFormatting xmlns:xm="http://schemas.microsoft.com/office/excel/2006/main">
          <x14:cfRule type="expression" priority="4696699" id="{BF5F5475-4E46-479C-97A6-D5175F5D1803}">
            <xm:f>$BL$4='Data entry'!$R42</xm:f>
            <x14:dxf>
              <fill>
                <patternFill>
                  <bgColor rgb="FFFFFF00"/>
                </patternFill>
              </fill>
            </x14:dxf>
          </x14:cfRule>
          <xm:sqref>AX113:BL113</xm:sqref>
        </x14:conditionalFormatting>
        <x14:conditionalFormatting xmlns:xm="http://schemas.microsoft.com/office/excel/2006/main">
          <x14:cfRule type="expression" priority="4696700" id="{B86FDF2F-16C9-46B1-847E-7EA1A8A34B9D}">
            <xm:f>$BM$4='Data entry'!$R42</xm:f>
            <x14:dxf>
              <fill>
                <patternFill>
                  <bgColor rgb="FFFF0000"/>
                </patternFill>
              </fill>
            </x14:dxf>
          </x14:cfRule>
          <xm:sqref>BK114:BW114</xm:sqref>
        </x14:conditionalFormatting>
        <x14:conditionalFormatting xmlns:xm="http://schemas.microsoft.com/office/excel/2006/main">
          <x14:cfRule type="expression" priority="4696701" id="{72FD189F-4CED-400D-9FEF-21A328970A4D}">
            <xm:f>$BM$4='Data entry'!$R42</xm:f>
            <x14:dxf>
              <fill>
                <patternFill>
                  <bgColor rgb="FFFFFF00"/>
                </patternFill>
              </fill>
            </x14:dxf>
          </x14:cfRule>
          <xm:sqref>AY113:BM113</xm:sqref>
        </x14:conditionalFormatting>
        <x14:conditionalFormatting xmlns:xm="http://schemas.microsoft.com/office/excel/2006/main">
          <x14:cfRule type="expression" priority="4696702" id="{BBBBF859-D5A7-4F55-BFBF-8A77E3357590}">
            <xm:f>$BN$4='Data entry'!$R42</xm:f>
            <x14:dxf>
              <fill>
                <patternFill>
                  <bgColor rgb="FFFF0000"/>
                </patternFill>
              </fill>
            </x14:dxf>
          </x14:cfRule>
          <xm:sqref>BL114:BX114</xm:sqref>
        </x14:conditionalFormatting>
        <x14:conditionalFormatting xmlns:xm="http://schemas.microsoft.com/office/excel/2006/main">
          <x14:cfRule type="expression" priority="4696703" id="{50CB1D75-0FD5-4D24-92B1-E8A41DC6575C}">
            <xm:f>$BN$4='Data entry'!$R42</xm:f>
            <x14:dxf>
              <fill>
                <patternFill>
                  <bgColor rgb="FFFFFF00"/>
                </patternFill>
              </fill>
            </x14:dxf>
          </x14:cfRule>
          <xm:sqref>AZ113:BN113</xm:sqref>
        </x14:conditionalFormatting>
        <x14:conditionalFormatting xmlns:xm="http://schemas.microsoft.com/office/excel/2006/main">
          <x14:cfRule type="expression" priority="4696704" id="{9EF3226D-E8FC-496B-A6FF-71776AEA54D1}">
            <xm:f>$BO$4='Data entry'!$R42</xm:f>
            <x14:dxf>
              <fill>
                <patternFill>
                  <bgColor rgb="FFFF0000"/>
                </patternFill>
              </fill>
            </x14:dxf>
          </x14:cfRule>
          <xm:sqref>BM114:BY114</xm:sqref>
        </x14:conditionalFormatting>
        <x14:conditionalFormatting xmlns:xm="http://schemas.microsoft.com/office/excel/2006/main">
          <x14:cfRule type="expression" priority="4696705" id="{3B86C801-ECFE-4D05-8AA5-1581116BAFBC}">
            <xm:f>$BO$4='Data entry'!$R42</xm:f>
            <x14:dxf>
              <fill>
                <patternFill>
                  <bgColor rgb="FFFFFF00"/>
                </patternFill>
              </fill>
            </x14:dxf>
          </x14:cfRule>
          <xm:sqref>BA113:BO113</xm:sqref>
        </x14:conditionalFormatting>
        <x14:conditionalFormatting xmlns:xm="http://schemas.microsoft.com/office/excel/2006/main">
          <x14:cfRule type="expression" priority="4696706" id="{058A23EC-3371-4A02-9F20-1ECA603AC6BC}">
            <xm:f>$BP$4='Data entry'!$R42</xm:f>
            <x14:dxf>
              <fill>
                <patternFill>
                  <bgColor rgb="FFFF0000"/>
                </patternFill>
              </fill>
            </x14:dxf>
          </x14:cfRule>
          <xm:sqref>BN114:BZ114</xm:sqref>
        </x14:conditionalFormatting>
        <x14:conditionalFormatting xmlns:xm="http://schemas.microsoft.com/office/excel/2006/main">
          <x14:cfRule type="expression" priority="4696707" id="{3E711E31-3992-4555-AB22-87133D60CD15}">
            <xm:f>$BP$4='Data entry'!$R42</xm:f>
            <x14:dxf>
              <fill>
                <patternFill>
                  <bgColor rgb="FFFFFF00"/>
                </patternFill>
              </fill>
            </x14:dxf>
          </x14:cfRule>
          <xm:sqref>BB113:BP113</xm:sqref>
        </x14:conditionalFormatting>
        <x14:conditionalFormatting xmlns:xm="http://schemas.microsoft.com/office/excel/2006/main">
          <x14:cfRule type="expression" priority="4696708" id="{23E9F8B9-37D5-4730-9453-6F23E8ECBBE3}">
            <xm:f>$BQ$4='Data entry'!$R42</xm:f>
            <x14:dxf>
              <fill>
                <patternFill>
                  <bgColor rgb="FFFFFF00"/>
                </patternFill>
              </fill>
            </x14:dxf>
          </x14:cfRule>
          <xm:sqref>BC113:BQ113</xm:sqref>
        </x14:conditionalFormatting>
        <x14:conditionalFormatting xmlns:xm="http://schemas.microsoft.com/office/excel/2006/main">
          <x14:cfRule type="expression" priority="4696709" id="{BCFD92F6-AAD3-44FD-BC61-A292A81B883E}">
            <xm:f>$BQ$4='Data entry'!$R42</xm:f>
            <x14:dxf>
              <fill>
                <patternFill>
                  <bgColor rgb="FFFF0000"/>
                </patternFill>
              </fill>
            </x14:dxf>
          </x14:cfRule>
          <xm:sqref>BO114:CA114</xm:sqref>
        </x14:conditionalFormatting>
        <x14:conditionalFormatting xmlns:xm="http://schemas.microsoft.com/office/excel/2006/main">
          <x14:cfRule type="expression" priority="4696710" id="{357D60E5-F356-477E-8020-A18F42C02832}">
            <xm:f>$BR$4='Data entry'!$R42</xm:f>
            <x14:dxf>
              <fill>
                <patternFill>
                  <bgColor rgb="FFFFFF00"/>
                </patternFill>
              </fill>
            </x14:dxf>
          </x14:cfRule>
          <xm:sqref>BD113:BR113</xm:sqref>
        </x14:conditionalFormatting>
        <x14:conditionalFormatting xmlns:xm="http://schemas.microsoft.com/office/excel/2006/main">
          <x14:cfRule type="expression" priority="4696711" id="{DA2B6511-43B3-432D-B6AA-1DB1188B90A6}">
            <xm:f>$BR$4='Data entry'!$R42</xm:f>
            <x14:dxf>
              <fill>
                <patternFill>
                  <bgColor rgb="FFFF0000"/>
                </patternFill>
              </fill>
            </x14:dxf>
          </x14:cfRule>
          <xm:sqref>BP114:CB114</xm:sqref>
        </x14:conditionalFormatting>
        <x14:conditionalFormatting xmlns:xm="http://schemas.microsoft.com/office/excel/2006/main">
          <x14:cfRule type="expression" priority="4696712" id="{0D5F64E4-4136-4BFA-B833-CC8578525D9C}">
            <xm:f>$BS$4='Data entry'!$R42</xm:f>
            <x14:dxf>
              <fill>
                <patternFill>
                  <bgColor rgb="FFFFFF00"/>
                </patternFill>
              </fill>
            </x14:dxf>
          </x14:cfRule>
          <xm:sqref>BE113:BS113</xm:sqref>
        </x14:conditionalFormatting>
        <x14:conditionalFormatting xmlns:xm="http://schemas.microsoft.com/office/excel/2006/main">
          <x14:cfRule type="expression" priority="4696713" id="{AC94D468-F078-4AE2-8771-102996E07B09}">
            <xm:f>$BS$4='Data entry'!$R42</xm:f>
            <x14:dxf>
              <fill>
                <patternFill>
                  <bgColor rgb="FFFF0000"/>
                </patternFill>
              </fill>
            </x14:dxf>
          </x14:cfRule>
          <xm:sqref>BQ114:CC114</xm:sqref>
        </x14:conditionalFormatting>
        <x14:conditionalFormatting xmlns:xm="http://schemas.microsoft.com/office/excel/2006/main">
          <x14:cfRule type="expression" priority="4696714" id="{10E78F76-181E-4F19-9F89-7DD36D3EFE30}">
            <xm:f>$BT$4='Data entry'!$R42</xm:f>
            <x14:dxf>
              <fill>
                <patternFill>
                  <bgColor rgb="FFFFFF00"/>
                </patternFill>
              </fill>
            </x14:dxf>
          </x14:cfRule>
          <xm:sqref>BF113:BT113</xm:sqref>
        </x14:conditionalFormatting>
        <x14:conditionalFormatting xmlns:xm="http://schemas.microsoft.com/office/excel/2006/main">
          <x14:cfRule type="expression" priority="4696715" id="{6A5FADC6-9512-4EFB-90A5-7B5244D10D1F}">
            <xm:f>$BT$4='Data entry'!$R42</xm:f>
            <x14:dxf>
              <fill>
                <patternFill>
                  <bgColor rgb="FFFF0000"/>
                </patternFill>
              </fill>
            </x14:dxf>
          </x14:cfRule>
          <xm:sqref>BR114:CC114</xm:sqref>
        </x14:conditionalFormatting>
        <x14:conditionalFormatting xmlns:xm="http://schemas.microsoft.com/office/excel/2006/main">
          <x14:cfRule type="expression" priority="4696716" id="{A51139D1-8841-4B96-B8CB-DFE3808765CF}">
            <xm:f>$BU$4='Data entry'!$R42</xm:f>
            <x14:dxf>
              <fill>
                <patternFill>
                  <bgColor rgb="FFFFFF00"/>
                </patternFill>
              </fill>
            </x14:dxf>
          </x14:cfRule>
          <xm:sqref>BG113:BU113</xm:sqref>
        </x14:conditionalFormatting>
        <x14:conditionalFormatting xmlns:xm="http://schemas.microsoft.com/office/excel/2006/main">
          <x14:cfRule type="expression" priority="4696717" id="{55CA7258-760F-4BFF-ACB5-A70FEB3E7981}">
            <xm:f>$BU$4='Data entry'!$R42</xm:f>
            <x14:dxf>
              <fill>
                <patternFill>
                  <bgColor rgb="FFFF0000"/>
                </patternFill>
              </fill>
            </x14:dxf>
          </x14:cfRule>
          <xm:sqref>BS114:CC114</xm:sqref>
        </x14:conditionalFormatting>
        <x14:conditionalFormatting xmlns:xm="http://schemas.microsoft.com/office/excel/2006/main">
          <x14:cfRule type="expression" priority="4696718" id="{A922B218-64DB-4CBB-9AB8-FE0EBB44E09E}">
            <xm:f>$BV$4='Data entry'!$R42</xm:f>
            <x14:dxf>
              <fill>
                <patternFill>
                  <bgColor rgb="FFFFFF00"/>
                </patternFill>
              </fill>
            </x14:dxf>
          </x14:cfRule>
          <xm:sqref>BH113:BV113</xm:sqref>
        </x14:conditionalFormatting>
        <x14:conditionalFormatting xmlns:xm="http://schemas.microsoft.com/office/excel/2006/main">
          <x14:cfRule type="expression" priority="4696719" id="{C98E908A-CD31-4778-B41C-7AFB9DBE639A}">
            <xm:f>$BV$4='Data entry'!$R42</xm:f>
            <x14:dxf>
              <fill>
                <patternFill>
                  <bgColor rgb="FFFF0000"/>
                </patternFill>
              </fill>
            </x14:dxf>
          </x14:cfRule>
          <xm:sqref>BT114:CC114</xm:sqref>
        </x14:conditionalFormatting>
        <x14:conditionalFormatting xmlns:xm="http://schemas.microsoft.com/office/excel/2006/main">
          <x14:cfRule type="expression" priority="4696720" id="{465CCCA3-B4DB-4B61-8AC7-8A5E4CEC9E3F}">
            <xm:f>$BW$4='Data entry'!$R42</xm:f>
            <x14:dxf>
              <fill>
                <patternFill>
                  <bgColor rgb="FFFFFF00"/>
                </patternFill>
              </fill>
            </x14:dxf>
          </x14:cfRule>
          <xm:sqref>BI113:BW113</xm:sqref>
        </x14:conditionalFormatting>
        <x14:conditionalFormatting xmlns:xm="http://schemas.microsoft.com/office/excel/2006/main">
          <x14:cfRule type="expression" priority="4696721" id="{37566F97-6D06-400B-A709-FE657B07687F}">
            <xm:f>$BW$4='Data entry'!$R42</xm:f>
            <x14:dxf>
              <fill>
                <patternFill>
                  <bgColor rgb="FFFF0000"/>
                </patternFill>
              </fill>
            </x14:dxf>
          </x14:cfRule>
          <xm:sqref>BU114:CC114</xm:sqref>
        </x14:conditionalFormatting>
        <x14:conditionalFormatting xmlns:xm="http://schemas.microsoft.com/office/excel/2006/main">
          <x14:cfRule type="expression" priority="4696722" id="{D8FBA3AC-5CF0-4E45-97CA-1D4DEE729ADA}">
            <xm:f>$BX$4='Data entry'!$R42</xm:f>
            <x14:dxf>
              <fill>
                <patternFill>
                  <bgColor rgb="FFFFFF00"/>
                </patternFill>
              </fill>
            </x14:dxf>
          </x14:cfRule>
          <xm:sqref>BJ113:BX113</xm:sqref>
        </x14:conditionalFormatting>
        <x14:conditionalFormatting xmlns:xm="http://schemas.microsoft.com/office/excel/2006/main">
          <x14:cfRule type="expression" priority="4696723" id="{E077C84B-A94F-431D-B232-4AFCC7C64F54}">
            <xm:f>$BX$4='Data entry'!$R42</xm:f>
            <x14:dxf>
              <fill>
                <patternFill>
                  <bgColor rgb="FFFF0000"/>
                </patternFill>
              </fill>
            </x14:dxf>
          </x14:cfRule>
          <xm:sqref>BV114:CC114</xm:sqref>
        </x14:conditionalFormatting>
        <x14:conditionalFormatting xmlns:xm="http://schemas.microsoft.com/office/excel/2006/main">
          <x14:cfRule type="expression" priority="4696724" id="{63783BA8-0C97-4A44-86FD-7A2BCF1B9957}">
            <xm:f>$BY$4='Data entry'!$R42</xm:f>
            <x14:dxf>
              <fill>
                <patternFill>
                  <bgColor rgb="FFFFFF00"/>
                </patternFill>
              </fill>
            </x14:dxf>
          </x14:cfRule>
          <xm:sqref>BK113:BY113</xm:sqref>
        </x14:conditionalFormatting>
        <x14:conditionalFormatting xmlns:xm="http://schemas.microsoft.com/office/excel/2006/main">
          <x14:cfRule type="expression" priority="4696725" id="{BB8DB8B4-B71B-46D2-AEE7-346F16103F74}">
            <xm:f>$BY$4='Data entry'!$R42</xm:f>
            <x14:dxf>
              <fill>
                <patternFill>
                  <bgColor rgb="FFFF0000"/>
                </patternFill>
              </fill>
            </x14:dxf>
          </x14:cfRule>
          <xm:sqref>BW114:CC114</xm:sqref>
        </x14:conditionalFormatting>
        <x14:conditionalFormatting xmlns:xm="http://schemas.microsoft.com/office/excel/2006/main">
          <x14:cfRule type="expression" priority="4696726" id="{1B638B98-2B06-4FEB-90C1-446A3E0A3979}">
            <xm:f>$BZ$4='Data entry'!$R42</xm:f>
            <x14:dxf>
              <fill>
                <patternFill>
                  <bgColor rgb="FFFFFF00"/>
                </patternFill>
              </fill>
            </x14:dxf>
          </x14:cfRule>
          <xm:sqref>BL113:BZ113</xm:sqref>
        </x14:conditionalFormatting>
        <x14:conditionalFormatting xmlns:xm="http://schemas.microsoft.com/office/excel/2006/main">
          <x14:cfRule type="expression" priority="4696727" id="{D3A0A2F8-D1B2-4DC5-B2A9-0EF53074E685}">
            <xm:f>$BZ$4='Data entry'!$R42</xm:f>
            <x14:dxf>
              <fill>
                <patternFill>
                  <bgColor rgb="FFFF0000"/>
                </patternFill>
              </fill>
            </x14:dxf>
          </x14:cfRule>
          <xm:sqref>BX114:CC114</xm:sqref>
        </x14:conditionalFormatting>
        <x14:conditionalFormatting xmlns:xm="http://schemas.microsoft.com/office/excel/2006/main">
          <x14:cfRule type="expression" priority="4696728" id="{83F6D018-7D3B-4D33-9998-11572F2F2FF5}">
            <xm:f>$CA$4='Data entry'!$R42</xm:f>
            <x14:dxf>
              <fill>
                <patternFill>
                  <bgColor rgb="FFFFFF00"/>
                </patternFill>
              </fill>
            </x14:dxf>
          </x14:cfRule>
          <xm:sqref>BM113:CA113</xm:sqref>
        </x14:conditionalFormatting>
        <x14:conditionalFormatting xmlns:xm="http://schemas.microsoft.com/office/excel/2006/main">
          <x14:cfRule type="expression" priority="4696729" id="{8E6D0B51-5626-4ED9-9072-C7A2C139704F}">
            <xm:f>$CA$4='Data entry'!$R42</xm:f>
            <x14:dxf>
              <fill>
                <patternFill>
                  <bgColor rgb="FFFF0000"/>
                </patternFill>
              </fill>
            </x14:dxf>
          </x14:cfRule>
          <xm:sqref>BY114:CC114</xm:sqref>
        </x14:conditionalFormatting>
        <x14:conditionalFormatting xmlns:xm="http://schemas.microsoft.com/office/excel/2006/main">
          <x14:cfRule type="expression" priority="4696730" id="{E1886EE4-3BDE-43A9-9F4B-79377FEC37FE}">
            <xm:f>$CB$4='Data entry'!$R42</xm:f>
            <x14:dxf>
              <fill>
                <patternFill>
                  <bgColor rgb="FFFFFF00"/>
                </patternFill>
              </fill>
            </x14:dxf>
          </x14:cfRule>
          <xm:sqref>BN113:CB113</xm:sqref>
        </x14:conditionalFormatting>
        <x14:conditionalFormatting xmlns:xm="http://schemas.microsoft.com/office/excel/2006/main">
          <x14:cfRule type="expression" priority="4696731" id="{ADEF572A-6C18-4602-BB86-01C96D36E07E}">
            <xm:f>$CB$4='Data entry'!$R42</xm:f>
            <x14:dxf>
              <fill>
                <patternFill>
                  <bgColor rgb="FFFF0000"/>
                </patternFill>
              </fill>
            </x14:dxf>
          </x14:cfRule>
          <xm:sqref>BZ114:CC114</xm:sqref>
        </x14:conditionalFormatting>
        <x14:conditionalFormatting xmlns:xm="http://schemas.microsoft.com/office/excel/2006/main">
          <x14:cfRule type="expression" priority="4696732" id="{7984E1C9-E073-4955-8543-62145CB6D008}">
            <xm:f>$CC$4='Data entry'!$R42</xm:f>
            <x14:dxf>
              <fill>
                <patternFill>
                  <bgColor rgb="FFFFFF00"/>
                </patternFill>
              </fill>
            </x14:dxf>
          </x14:cfRule>
          <xm:sqref>BO113:CC113</xm:sqref>
        </x14:conditionalFormatting>
        <x14:conditionalFormatting xmlns:xm="http://schemas.microsoft.com/office/excel/2006/main">
          <x14:cfRule type="expression" priority="4696733" id="{18A957B3-59FA-4698-BA92-2A208FF18E2F}">
            <xm:f>$CC$4='Data entry'!$R42</xm:f>
            <x14:dxf>
              <fill>
                <patternFill>
                  <bgColor rgb="FFFF0000"/>
                </patternFill>
              </fill>
            </x14:dxf>
          </x14:cfRule>
          <xm:sqref>CA114:CC114</xm:sqref>
        </x14:conditionalFormatting>
        <x14:conditionalFormatting xmlns:xm="http://schemas.microsoft.com/office/excel/2006/main">
          <x14:cfRule type="expression" priority="4696820" id="{5B0DB825-B7C2-40AC-B7EF-F267F054CFB9}">
            <xm:f>$U$4='Data entry'!$R43</xm:f>
            <x14:dxf>
              <fill>
                <patternFill>
                  <bgColor rgb="FFFF0000"/>
                </patternFill>
              </fill>
            </x14:dxf>
          </x14:cfRule>
          <xm:sqref>S117:AE117</xm:sqref>
        </x14:conditionalFormatting>
        <x14:conditionalFormatting xmlns:xm="http://schemas.microsoft.com/office/excel/2006/main">
          <x14:cfRule type="expression" priority="4696821" id="{18311200-E2BB-400F-B594-3B9A2C6068C2}">
            <xm:f>$V$4='Data entry'!$R43</xm:f>
            <x14:dxf>
              <fill>
                <patternFill>
                  <bgColor rgb="FFFF0000"/>
                </patternFill>
              </fill>
            </x14:dxf>
          </x14:cfRule>
          <xm:sqref>T117:AF117</xm:sqref>
        </x14:conditionalFormatting>
        <x14:conditionalFormatting xmlns:xm="http://schemas.microsoft.com/office/excel/2006/main">
          <x14:cfRule type="expression" priority="4696822" id="{D6DFB621-1A58-4C59-A987-ECAD0EB2D32B}">
            <xm:f>$V$4='Data entry'!$R43</xm:f>
            <x14:dxf>
              <fill>
                <patternFill>
                  <bgColor rgb="FFFFFF00"/>
                </patternFill>
              </fill>
            </x14:dxf>
          </x14:cfRule>
          <xm:sqref>H116:V116</xm:sqref>
        </x14:conditionalFormatting>
        <x14:conditionalFormatting xmlns:xm="http://schemas.microsoft.com/office/excel/2006/main">
          <x14:cfRule type="expression" priority="4696823" id="{5F87A680-DC5F-433D-A779-B7A534ACCDA9}">
            <xm:f>$W$4='Data entry'!$R43</xm:f>
            <x14:dxf>
              <fill>
                <patternFill>
                  <bgColor rgb="FFFF0000"/>
                </patternFill>
              </fill>
            </x14:dxf>
          </x14:cfRule>
          <xm:sqref>U117:AG117</xm:sqref>
        </x14:conditionalFormatting>
        <x14:conditionalFormatting xmlns:xm="http://schemas.microsoft.com/office/excel/2006/main">
          <x14:cfRule type="expression" priority="4696824" id="{964539FF-A92C-4F68-B268-B7157A32678C}">
            <xm:f>$W$4='Data entry'!$R43</xm:f>
            <x14:dxf>
              <fill>
                <patternFill>
                  <bgColor rgb="FFFFFF00"/>
                </patternFill>
              </fill>
            </x14:dxf>
          </x14:cfRule>
          <xm:sqref>I116:W116</xm:sqref>
        </x14:conditionalFormatting>
        <x14:conditionalFormatting xmlns:xm="http://schemas.microsoft.com/office/excel/2006/main">
          <x14:cfRule type="expression" priority="4696825" id="{46C1533A-F090-4A90-9309-3F59EC3FD3B0}">
            <xm:f>$X$4='Data entry'!$R43</xm:f>
            <x14:dxf>
              <fill>
                <patternFill>
                  <bgColor rgb="FFFF0000"/>
                </patternFill>
              </fill>
            </x14:dxf>
          </x14:cfRule>
          <xm:sqref>V117:AH117</xm:sqref>
        </x14:conditionalFormatting>
        <x14:conditionalFormatting xmlns:xm="http://schemas.microsoft.com/office/excel/2006/main">
          <x14:cfRule type="expression" priority="4696826" id="{7C70E81C-DDD4-4D75-933A-4F6A39893184}">
            <xm:f>$X$4='Data entry'!$R43</xm:f>
            <x14:dxf>
              <fill>
                <patternFill>
                  <bgColor rgb="FFFFFF00"/>
                </patternFill>
              </fill>
            </x14:dxf>
          </x14:cfRule>
          <xm:sqref>J116:X116</xm:sqref>
        </x14:conditionalFormatting>
        <x14:conditionalFormatting xmlns:xm="http://schemas.microsoft.com/office/excel/2006/main">
          <x14:cfRule type="expression" priority="4696827" id="{561AF073-0EF8-4B72-A119-40A639C4359D}">
            <xm:f>$Y$4='Data entry'!$R43</xm:f>
            <x14:dxf>
              <fill>
                <patternFill>
                  <bgColor rgb="FFFF0000"/>
                </patternFill>
              </fill>
            </x14:dxf>
          </x14:cfRule>
          <xm:sqref>W117:AI117</xm:sqref>
        </x14:conditionalFormatting>
        <x14:conditionalFormatting xmlns:xm="http://schemas.microsoft.com/office/excel/2006/main">
          <x14:cfRule type="expression" priority="4696828" id="{F242E808-8F07-4A89-9524-7D4C767CE357}">
            <xm:f>$Y$4='Data entry'!$R43</xm:f>
            <x14:dxf>
              <fill>
                <patternFill>
                  <bgColor rgb="FFFFFF00"/>
                </patternFill>
              </fill>
            </x14:dxf>
          </x14:cfRule>
          <xm:sqref>K116:Y116</xm:sqref>
        </x14:conditionalFormatting>
        <x14:conditionalFormatting xmlns:xm="http://schemas.microsoft.com/office/excel/2006/main">
          <x14:cfRule type="expression" priority="4696829" id="{DD601058-982B-4218-BD9D-64BB823C2633}">
            <xm:f>$Z$4='Data entry'!$R43</xm:f>
            <x14:dxf>
              <fill>
                <patternFill>
                  <bgColor rgb="FFFF0000"/>
                </patternFill>
              </fill>
            </x14:dxf>
          </x14:cfRule>
          <xm:sqref>X117:AJ117</xm:sqref>
        </x14:conditionalFormatting>
        <x14:conditionalFormatting xmlns:xm="http://schemas.microsoft.com/office/excel/2006/main">
          <x14:cfRule type="expression" priority="4696830" id="{C9DB141D-79F6-4093-92A3-7BF7A1622985}">
            <xm:f>$Z$4='Data entry'!$R43</xm:f>
            <x14:dxf>
              <fill>
                <patternFill>
                  <bgColor rgb="FFFFFF00"/>
                </patternFill>
              </fill>
            </x14:dxf>
          </x14:cfRule>
          <xm:sqref>L116:Z116</xm:sqref>
        </x14:conditionalFormatting>
        <x14:conditionalFormatting xmlns:xm="http://schemas.microsoft.com/office/excel/2006/main">
          <x14:cfRule type="expression" priority="4696831" id="{710EB8D3-F5C0-4E3C-8214-2D0C4E26F649}">
            <xm:f>$AA$4='Data entry'!$R43</xm:f>
            <x14:dxf>
              <fill>
                <patternFill>
                  <bgColor rgb="FFFF0000"/>
                </patternFill>
              </fill>
            </x14:dxf>
          </x14:cfRule>
          <xm:sqref>Y117:AK117</xm:sqref>
        </x14:conditionalFormatting>
        <x14:conditionalFormatting xmlns:xm="http://schemas.microsoft.com/office/excel/2006/main">
          <x14:cfRule type="expression" priority="4696832" id="{33825D69-C967-4D27-B395-5D44A3083802}">
            <xm:f>$AA$4='Data entry'!$R43</xm:f>
            <x14:dxf>
              <fill>
                <patternFill>
                  <bgColor rgb="FFFFFF00"/>
                </patternFill>
              </fill>
            </x14:dxf>
          </x14:cfRule>
          <xm:sqref>M116:AA116</xm:sqref>
        </x14:conditionalFormatting>
        <x14:conditionalFormatting xmlns:xm="http://schemas.microsoft.com/office/excel/2006/main">
          <x14:cfRule type="expression" priority="4696833" id="{9811A97D-351B-4D32-8754-AF433277E62B}">
            <xm:f>$AB$4='Data entry'!$R43</xm:f>
            <x14:dxf>
              <fill>
                <patternFill>
                  <bgColor rgb="FFFF0000"/>
                </patternFill>
              </fill>
            </x14:dxf>
          </x14:cfRule>
          <xm:sqref>Z117:AL117</xm:sqref>
        </x14:conditionalFormatting>
        <x14:conditionalFormatting xmlns:xm="http://schemas.microsoft.com/office/excel/2006/main">
          <x14:cfRule type="expression" priority="4696834" id="{6DD3E556-C72E-438B-92DA-3096ED1E4178}">
            <xm:f>$AB$4='Data entry'!$R43</xm:f>
            <x14:dxf>
              <fill>
                <patternFill>
                  <bgColor rgb="FFFFFF00"/>
                </patternFill>
              </fill>
            </x14:dxf>
          </x14:cfRule>
          <xm:sqref>N116:AB116</xm:sqref>
        </x14:conditionalFormatting>
        <x14:conditionalFormatting xmlns:xm="http://schemas.microsoft.com/office/excel/2006/main">
          <x14:cfRule type="expression" priority="4696835" id="{C0DF7A1B-D6BC-4371-BD3A-F0708147FA1C}">
            <xm:f>$AC$4='Data entry'!$R43</xm:f>
            <x14:dxf>
              <fill>
                <patternFill>
                  <bgColor rgb="FFFF0000"/>
                </patternFill>
              </fill>
            </x14:dxf>
          </x14:cfRule>
          <xm:sqref>AA117:AM117</xm:sqref>
        </x14:conditionalFormatting>
        <x14:conditionalFormatting xmlns:xm="http://schemas.microsoft.com/office/excel/2006/main">
          <x14:cfRule type="expression" priority="4696836" id="{DB2E1F48-AF0E-41F9-A976-6B1963CA5711}">
            <xm:f>$AC$4='Data entry'!$R43</xm:f>
            <x14:dxf>
              <fill>
                <patternFill>
                  <bgColor rgb="FFFFFF00"/>
                </patternFill>
              </fill>
            </x14:dxf>
          </x14:cfRule>
          <xm:sqref>O116:AC116</xm:sqref>
        </x14:conditionalFormatting>
        <x14:conditionalFormatting xmlns:xm="http://schemas.microsoft.com/office/excel/2006/main">
          <x14:cfRule type="expression" priority="4696837" id="{89909907-F9A9-4AF9-BC1D-304710A43F50}">
            <xm:f>$AD$4='Data entry'!$R43</xm:f>
            <x14:dxf>
              <fill>
                <patternFill>
                  <bgColor rgb="FFFF0000"/>
                </patternFill>
              </fill>
            </x14:dxf>
          </x14:cfRule>
          <xm:sqref>AB117:AN117</xm:sqref>
        </x14:conditionalFormatting>
        <x14:conditionalFormatting xmlns:xm="http://schemas.microsoft.com/office/excel/2006/main">
          <x14:cfRule type="expression" priority="4696838" id="{729676B7-E331-43A4-ACC9-850DCEE76A0E}">
            <xm:f>$AD$4='Data entry'!$R43</xm:f>
            <x14:dxf>
              <fill>
                <patternFill>
                  <bgColor rgb="FFFFFF00"/>
                </patternFill>
              </fill>
            </x14:dxf>
          </x14:cfRule>
          <xm:sqref>P116:AD116</xm:sqref>
        </x14:conditionalFormatting>
        <x14:conditionalFormatting xmlns:xm="http://schemas.microsoft.com/office/excel/2006/main">
          <x14:cfRule type="expression" priority="4696839" id="{00DA2C55-350E-44AA-ABEA-808FABFDA737}">
            <xm:f>$AE$4='Data entry'!$R43</xm:f>
            <x14:dxf>
              <fill>
                <patternFill>
                  <bgColor rgb="FFFF0000"/>
                </patternFill>
              </fill>
            </x14:dxf>
          </x14:cfRule>
          <xm:sqref>AC117:AO117</xm:sqref>
        </x14:conditionalFormatting>
        <x14:conditionalFormatting xmlns:xm="http://schemas.microsoft.com/office/excel/2006/main">
          <x14:cfRule type="expression" priority="4696840" id="{373C95F1-00C1-45E9-B561-5224945BA4A4}">
            <xm:f>$AE$4='Data entry'!$R43</xm:f>
            <x14:dxf>
              <fill>
                <patternFill>
                  <bgColor rgb="FFFFFF00"/>
                </patternFill>
              </fill>
            </x14:dxf>
          </x14:cfRule>
          <xm:sqref>Q116:AE116</xm:sqref>
        </x14:conditionalFormatting>
        <x14:conditionalFormatting xmlns:xm="http://schemas.microsoft.com/office/excel/2006/main">
          <x14:cfRule type="expression" priority="4696841" id="{65E90E74-6BEF-4B00-BD5E-ECACFEBC225A}">
            <xm:f>$AF$4='Data entry'!$R43</xm:f>
            <x14:dxf>
              <fill>
                <patternFill>
                  <bgColor rgb="FFFF0000"/>
                </patternFill>
              </fill>
            </x14:dxf>
          </x14:cfRule>
          <xm:sqref>AD117:AP117</xm:sqref>
        </x14:conditionalFormatting>
        <x14:conditionalFormatting xmlns:xm="http://schemas.microsoft.com/office/excel/2006/main">
          <x14:cfRule type="expression" priority="4696842" id="{56B519D7-E083-4811-B42B-D6CB10D44BB3}">
            <xm:f>$AF$4='Data entry'!$R43</xm:f>
            <x14:dxf>
              <fill>
                <patternFill>
                  <bgColor rgb="FFFFFF00"/>
                </patternFill>
              </fill>
            </x14:dxf>
          </x14:cfRule>
          <xm:sqref>R116:AF116</xm:sqref>
        </x14:conditionalFormatting>
        <x14:conditionalFormatting xmlns:xm="http://schemas.microsoft.com/office/excel/2006/main">
          <x14:cfRule type="expression" priority="4696843" id="{889682B6-BF9B-414B-86B7-1C802156B058}">
            <xm:f>$AG$4='Data entry'!$R43</xm:f>
            <x14:dxf>
              <fill>
                <patternFill>
                  <bgColor rgb="FFFF0000"/>
                </patternFill>
              </fill>
            </x14:dxf>
          </x14:cfRule>
          <xm:sqref>AE117:AQ117</xm:sqref>
        </x14:conditionalFormatting>
        <x14:conditionalFormatting xmlns:xm="http://schemas.microsoft.com/office/excel/2006/main">
          <x14:cfRule type="expression" priority="4696844" id="{19913D88-1940-4CB0-B29C-D46D60833BD5}">
            <xm:f>$AG$4='Data entry'!$R43</xm:f>
            <x14:dxf>
              <fill>
                <patternFill>
                  <bgColor rgb="FFFFFF00"/>
                </patternFill>
              </fill>
            </x14:dxf>
          </x14:cfRule>
          <xm:sqref>S116:AG116</xm:sqref>
        </x14:conditionalFormatting>
        <x14:conditionalFormatting xmlns:xm="http://schemas.microsoft.com/office/excel/2006/main">
          <x14:cfRule type="expression" priority="4696845" id="{3DD7B9A5-18A3-463F-BAD5-9796FC487328}">
            <xm:f>$AH$4='Data entry'!$R43</xm:f>
            <x14:dxf>
              <fill>
                <patternFill>
                  <bgColor rgb="FFFF0000"/>
                </patternFill>
              </fill>
            </x14:dxf>
          </x14:cfRule>
          <xm:sqref>AF117:AR117</xm:sqref>
        </x14:conditionalFormatting>
        <x14:conditionalFormatting xmlns:xm="http://schemas.microsoft.com/office/excel/2006/main">
          <x14:cfRule type="expression" priority="4696846" id="{31005CF4-5608-496E-91EB-F7F505046C80}">
            <xm:f>$AH$4='Data entry'!$R43</xm:f>
            <x14:dxf>
              <fill>
                <patternFill>
                  <bgColor rgb="FFFFFF00"/>
                </patternFill>
              </fill>
            </x14:dxf>
          </x14:cfRule>
          <xm:sqref>T116:AH116</xm:sqref>
        </x14:conditionalFormatting>
        <x14:conditionalFormatting xmlns:xm="http://schemas.microsoft.com/office/excel/2006/main">
          <x14:cfRule type="expression" priority="4696847" id="{CD14F654-5B7A-444F-8FC1-7DD71E76E475}">
            <xm:f>$AI$4='Data entry'!$R43</xm:f>
            <x14:dxf>
              <fill>
                <patternFill>
                  <bgColor rgb="FFFF0000"/>
                </patternFill>
              </fill>
            </x14:dxf>
          </x14:cfRule>
          <xm:sqref>AG117:AS117</xm:sqref>
        </x14:conditionalFormatting>
        <x14:conditionalFormatting xmlns:xm="http://schemas.microsoft.com/office/excel/2006/main">
          <x14:cfRule type="expression" priority="4696848" id="{0E4E448C-6C46-4285-B877-A61A90294385}">
            <xm:f>$AI$4='Data entry'!$R43</xm:f>
            <x14:dxf>
              <fill>
                <patternFill>
                  <bgColor rgb="FFFFFF00"/>
                </patternFill>
              </fill>
            </x14:dxf>
          </x14:cfRule>
          <xm:sqref>U116:AI116</xm:sqref>
        </x14:conditionalFormatting>
        <x14:conditionalFormatting xmlns:xm="http://schemas.microsoft.com/office/excel/2006/main">
          <x14:cfRule type="expression" priority="4696849" id="{B1C1818F-791C-403D-BE73-6F6E9DC6A16D}">
            <xm:f>$AJ$4='Data entry'!$R43</xm:f>
            <x14:dxf>
              <fill>
                <patternFill>
                  <bgColor rgb="FFFF0000"/>
                </patternFill>
              </fill>
            </x14:dxf>
          </x14:cfRule>
          <xm:sqref>AH117:AT117</xm:sqref>
        </x14:conditionalFormatting>
        <x14:conditionalFormatting xmlns:xm="http://schemas.microsoft.com/office/excel/2006/main">
          <x14:cfRule type="expression" priority="4696850" id="{A1237792-221B-431B-B8A7-E9A64DA46D93}">
            <xm:f>$AJ$4='Data entry'!$R43</xm:f>
            <x14:dxf>
              <fill>
                <patternFill>
                  <bgColor rgb="FFFFFF00"/>
                </patternFill>
              </fill>
            </x14:dxf>
          </x14:cfRule>
          <xm:sqref>V116:AJ116</xm:sqref>
        </x14:conditionalFormatting>
        <x14:conditionalFormatting xmlns:xm="http://schemas.microsoft.com/office/excel/2006/main">
          <x14:cfRule type="expression" priority="4696851" id="{617DC2AF-C7A3-4724-8EA3-17DEFEDC8949}">
            <xm:f>$AK$4='Data entry'!$R43</xm:f>
            <x14:dxf>
              <fill>
                <patternFill>
                  <bgColor rgb="FFFF0000"/>
                </patternFill>
              </fill>
            </x14:dxf>
          </x14:cfRule>
          <xm:sqref>AI117:AU117</xm:sqref>
        </x14:conditionalFormatting>
        <x14:conditionalFormatting xmlns:xm="http://schemas.microsoft.com/office/excel/2006/main">
          <x14:cfRule type="expression" priority="4696852" id="{AA72317D-37B1-48EB-A28B-BF2AC8DC4519}">
            <xm:f>$AK$4='Data entry'!$R43</xm:f>
            <x14:dxf>
              <fill>
                <patternFill>
                  <bgColor rgb="FFFFFF00"/>
                </patternFill>
              </fill>
            </x14:dxf>
          </x14:cfRule>
          <xm:sqref>W116:AK116</xm:sqref>
        </x14:conditionalFormatting>
        <x14:conditionalFormatting xmlns:xm="http://schemas.microsoft.com/office/excel/2006/main">
          <x14:cfRule type="expression" priority="4696853" id="{6CA9FB7A-20EA-4D3A-B74C-A001F4BE810D}">
            <xm:f>$AL$4='Data entry'!$R43</xm:f>
            <x14:dxf>
              <fill>
                <patternFill>
                  <bgColor rgb="FFFF0000"/>
                </patternFill>
              </fill>
            </x14:dxf>
          </x14:cfRule>
          <xm:sqref>AJ117:AV117</xm:sqref>
        </x14:conditionalFormatting>
        <x14:conditionalFormatting xmlns:xm="http://schemas.microsoft.com/office/excel/2006/main">
          <x14:cfRule type="expression" priority="4696854" id="{81A75DAA-573F-4EF3-A640-1B992C18BEA0}">
            <xm:f>$AL$4='Data entry'!$R43</xm:f>
            <x14:dxf>
              <fill>
                <patternFill>
                  <bgColor rgb="FFFFFF00"/>
                </patternFill>
              </fill>
            </x14:dxf>
          </x14:cfRule>
          <xm:sqref>X116:AL116</xm:sqref>
        </x14:conditionalFormatting>
        <x14:conditionalFormatting xmlns:xm="http://schemas.microsoft.com/office/excel/2006/main">
          <x14:cfRule type="expression" priority="4696855" id="{3D44713E-4ABA-4CCD-9DF4-5513A9FB5E1E}">
            <xm:f>$AM$4='Data entry'!$R43</xm:f>
            <x14:dxf>
              <fill>
                <patternFill>
                  <bgColor rgb="FFFF0000"/>
                </patternFill>
              </fill>
            </x14:dxf>
          </x14:cfRule>
          <xm:sqref>AK117:AW117</xm:sqref>
        </x14:conditionalFormatting>
        <x14:conditionalFormatting xmlns:xm="http://schemas.microsoft.com/office/excel/2006/main">
          <x14:cfRule type="expression" priority="4696856" id="{05A26B51-72A7-4423-822F-2BDBC28275D0}">
            <xm:f>$AM$4='Data entry'!$R43</xm:f>
            <x14:dxf>
              <fill>
                <patternFill>
                  <bgColor rgb="FFFFFF00"/>
                </patternFill>
              </fill>
            </x14:dxf>
          </x14:cfRule>
          <xm:sqref>Y116:AM116</xm:sqref>
        </x14:conditionalFormatting>
        <x14:conditionalFormatting xmlns:xm="http://schemas.microsoft.com/office/excel/2006/main">
          <x14:cfRule type="expression" priority="4696857" id="{B8A20675-6230-4694-A7F6-6B3DC7142773}">
            <xm:f>$AN$4='Data entry'!$R43</xm:f>
            <x14:dxf>
              <fill>
                <patternFill>
                  <bgColor rgb="FFFF0000"/>
                </patternFill>
              </fill>
            </x14:dxf>
          </x14:cfRule>
          <xm:sqref>AL117:AX117</xm:sqref>
        </x14:conditionalFormatting>
        <x14:conditionalFormatting xmlns:xm="http://schemas.microsoft.com/office/excel/2006/main">
          <x14:cfRule type="expression" priority="4696858" id="{8421181C-7450-42E9-BC1D-065CCFCA960E}">
            <xm:f>$AN$4='Data entry'!$R43</xm:f>
            <x14:dxf>
              <fill>
                <patternFill>
                  <bgColor rgb="FFFFFF00"/>
                </patternFill>
              </fill>
            </x14:dxf>
          </x14:cfRule>
          <xm:sqref>Z116:AN116</xm:sqref>
        </x14:conditionalFormatting>
        <x14:conditionalFormatting xmlns:xm="http://schemas.microsoft.com/office/excel/2006/main">
          <x14:cfRule type="expression" priority="4696859" id="{067FE4BD-6EF4-4684-B6E0-35AB2F267EE7}">
            <xm:f>$AO$4='Data entry'!$R43</xm:f>
            <x14:dxf>
              <fill>
                <patternFill>
                  <bgColor rgb="FFFF0000"/>
                </patternFill>
              </fill>
            </x14:dxf>
          </x14:cfRule>
          <xm:sqref>AM117:AY117</xm:sqref>
        </x14:conditionalFormatting>
        <x14:conditionalFormatting xmlns:xm="http://schemas.microsoft.com/office/excel/2006/main">
          <x14:cfRule type="expression" priority="4696860" id="{F7653492-88D1-47AC-8BA3-0CCE65C3C2AB}">
            <xm:f>$AO$4='Data entry'!$R43</xm:f>
            <x14:dxf>
              <fill>
                <patternFill>
                  <bgColor rgb="FFFFFF00"/>
                </patternFill>
              </fill>
            </x14:dxf>
          </x14:cfRule>
          <xm:sqref>AA116:AO116</xm:sqref>
        </x14:conditionalFormatting>
        <x14:conditionalFormatting xmlns:xm="http://schemas.microsoft.com/office/excel/2006/main">
          <x14:cfRule type="expression" priority="4696861" id="{207A5E5D-B322-482E-9193-1D7318138358}">
            <xm:f>$AP$4='Data entry'!$R43</xm:f>
            <x14:dxf>
              <fill>
                <patternFill>
                  <bgColor rgb="FFFF0000"/>
                </patternFill>
              </fill>
            </x14:dxf>
          </x14:cfRule>
          <xm:sqref>AN117:AZ117</xm:sqref>
        </x14:conditionalFormatting>
        <x14:conditionalFormatting xmlns:xm="http://schemas.microsoft.com/office/excel/2006/main">
          <x14:cfRule type="expression" priority="4696862" id="{21DA638D-4CA0-4067-BFF1-240CE1A0261B}">
            <xm:f>$AP$4='Data entry'!$R43</xm:f>
            <x14:dxf>
              <fill>
                <patternFill>
                  <bgColor rgb="FFFFFF00"/>
                </patternFill>
              </fill>
            </x14:dxf>
          </x14:cfRule>
          <xm:sqref>AB116:AP116</xm:sqref>
        </x14:conditionalFormatting>
        <x14:conditionalFormatting xmlns:xm="http://schemas.microsoft.com/office/excel/2006/main">
          <x14:cfRule type="expression" priority="4696863" id="{71963D96-A42A-4B90-BFC7-6D83D37766EF}">
            <xm:f>$AQ$4='Data entry'!$R43</xm:f>
            <x14:dxf>
              <fill>
                <patternFill>
                  <bgColor rgb="FFFF0000"/>
                </patternFill>
              </fill>
            </x14:dxf>
          </x14:cfRule>
          <xm:sqref>AO117:BA117</xm:sqref>
        </x14:conditionalFormatting>
        <x14:conditionalFormatting xmlns:xm="http://schemas.microsoft.com/office/excel/2006/main">
          <x14:cfRule type="expression" priority="4696864" id="{74952595-84B6-484F-8FF6-FCC1F337DF4D}">
            <xm:f>$AQ$4='Data entry'!$R43</xm:f>
            <x14:dxf>
              <fill>
                <patternFill>
                  <bgColor rgb="FFFFFF00"/>
                </patternFill>
              </fill>
            </x14:dxf>
          </x14:cfRule>
          <xm:sqref>AC116:AQ116</xm:sqref>
        </x14:conditionalFormatting>
        <x14:conditionalFormatting xmlns:xm="http://schemas.microsoft.com/office/excel/2006/main">
          <x14:cfRule type="expression" priority="4696865" id="{8AC9C4B9-0A34-4BC0-B0F7-CA89434C4911}">
            <xm:f>$P$4='Data entry'!$R43</xm:f>
            <x14:dxf>
              <fill>
                <patternFill>
                  <bgColor rgb="FFFFFF00"/>
                </patternFill>
              </fill>
            </x14:dxf>
          </x14:cfRule>
          <xm:sqref>C116:P116</xm:sqref>
        </x14:conditionalFormatting>
        <x14:conditionalFormatting xmlns:xm="http://schemas.microsoft.com/office/excel/2006/main">
          <x14:cfRule type="expression" priority="4696866" id="{0A726775-ABFD-4F22-967C-1A4D87BA3751}">
            <xm:f>$Q$4='Data entry'!$R43</xm:f>
            <x14:dxf>
              <fill>
                <patternFill>
                  <bgColor rgb="FFFFFF00"/>
                </patternFill>
              </fill>
            </x14:dxf>
          </x14:cfRule>
          <xm:sqref>C116:Q116</xm:sqref>
        </x14:conditionalFormatting>
        <x14:conditionalFormatting xmlns:xm="http://schemas.microsoft.com/office/excel/2006/main">
          <x14:cfRule type="expression" priority="4696867" id="{3A8414BD-262C-43B5-86EE-FA6901D00453}">
            <xm:f>$Q$4='Data entry'!$R43</xm:f>
            <x14:dxf>
              <fill>
                <patternFill>
                  <bgColor rgb="FFFF0000"/>
                </patternFill>
              </fill>
            </x14:dxf>
          </x14:cfRule>
          <xm:sqref>O117:AA117</xm:sqref>
        </x14:conditionalFormatting>
        <x14:conditionalFormatting xmlns:xm="http://schemas.microsoft.com/office/excel/2006/main">
          <x14:cfRule type="expression" priority="4696868" id="{B8B5501D-F3EF-4449-9306-F652960C65F4}">
            <xm:f>$R$4='Data entry'!$R43</xm:f>
            <x14:dxf>
              <fill>
                <patternFill>
                  <bgColor rgb="FFFF0000"/>
                </patternFill>
              </fill>
            </x14:dxf>
          </x14:cfRule>
          <xm:sqref>P117:AB117</xm:sqref>
        </x14:conditionalFormatting>
        <x14:conditionalFormatting xmlns:xm="http://schemas.microsoft.com/office/excel/2006/main">
          <x14:cfRule type="expression" priority="4696869" id="{5D070DEC-B82E-4D87-B907-A3E5AB836991}">
            <xm:f>$R$4='Data entry'!$R43</xm:f>
            <x14:dxf>
              <fill>
                <patternFill>
                  <bgColor rgb="FFFFFF00"/>
                </patternFill>
              </fill>
            </x14:dxf>
          </x14:cfRule>
          <xm:sqref>D116:R116</xm:sqref>
        </x14:conditionalFormatting>
        <x14:conditionalFormatting xmlns:xm="http://schemas.microsoft.com/office/excel/2006/main">
          <x14:cfRule type="expression" priority="4696870" id="{E4D16A10-F818-4664-9FB2-F0E839824D4B}">
            <xm:f>$S$4='Data entry'!$R43</xm:f>
            <x14:dxf>
              <fill>
                <patternFill>
                  <bgColor rgb="FFFF0000"/>
                </patternFill>
              </fill>
            </x14:dxf>
          </x14:cfRule>
          <xm:sqref>Q117:AC117</xm:sqref>
        </x14:conditionalFormatting>
        <x14:conditionalFormatting xmlns:xm="http://schemas.microsoft.com/office/excel/2006/main">
          <x14:cfRule type="expression" priority="4696871" id="{1A9F9911-A3E9-4730-AFBE-AB8C596545CA}">
            <xm:f>$S$4='Data entry'!$R43</xm:f>
            <x14:dxf>
              <fill>
                <patternFill>
                  <bgColor rgb="FFFFFF00"/>
                </patternFill>
              </fill>
            </x14:dxf>
          </x14:cfRule>
          <xm:sqref>E116:S116</xm:sqref>
        </x14:conditionalFormatting>
        <x14:conditionalFormatting xmlns:xm="http://schemas.microsoft.com/office/excel/2006/main">
          <x14:cfRule type="expression" priority="4696872" id="{8BB5CD1B-B2AC-442A-9550-26DE19A62D22}">
            <xm:f>$T$4='Data entry'!$R43</xm:f>
            <x14:dxf>
              <fill>
                <patternFill>
                  <bgColor rgb="FFFF0000"/>
                </patternFill>
              </fill>
            </x14:dxf>
          </x14:cfRule>
          <xm:sqref>R117:AD117</xm:sqref>
        </x14:conditionalFormatting>
        <x14:conditionalFormatting xmlns:xm="http://schemas.microsoft.com/office/excel/2006/main">
          <x14:cfRule type="expression" priority="4696873" id="{E7B59C69-7921-4049-84A1-8B3E5F7B0598}">
            <xm:f>$T$4='Data entry'!$R43</xm:f>
            <x14:dxf>
              <fill>
                <patternFill>
                  <bgColor rgb="FFFFFF00"/>
                </patternFill>
              </fill>
            </x14:dxf>
          </x14:cfRule>
          <xm:sqref>F116:T116</xm:sqref>
        </x14:conditionalFormatting>
        <x14:conditionalFormatting xmlns:xm="http://schemas.microsoft.com/office/excel/2006/main">
          <x14:cfRule type="expression" priority="4696874" id="{238C09E5-7A3D-439D-949F-A7733073F9A2}">
            <xm:f>$U$4='Data entry'!$R43</xm:f>
            <x14:dxf>
              <fill>
                <patternFill>
                  <bgColor rgb="FFFFFF00"/>
                </patternFill>
              </fill>
            </x14:dxf>
          </x14:cfRule>
          <xm:sqref>G116:U116</xm:sqref>
        </x14:conditionalFormatting>
        <x14:conditionalFormatting xmlns:xm="http://schemas.microsoft.com/office/excel/2006/main">
          <x14:cfRule type="expression" priority="4696875" id="{DE4D4432-0A19-452A-AF14-2873FE4DF411}">
            <xm:f>$AR$4='Data entry'!$R43</xm:f>
            <x14:dxf>
              <fill>
                <patternFill>
                  <bgColor rgb="FFFF0000"/>
                </patternFill>
              </fill>
            </x14:dxf>
          </x14:cfRule>
          <xm:sqref>AP117:BB117</xm:sqref>
        </x14:conditionalFormatting>
        <x14:conditionalFormatting xmlns:xm="http://schemas.microsoft.com/office/excel/2006/main">
          <x14:cfRule type="expression" priority="4696876" id="{90D7E1FF-542D-40C8-9BD5-DFEB4CDD256F}">
            <xm:f>$AR$4='Data entry'!$R43</xm:f>
            <x14:dxf>
              <fill>
                <patternFill>
                  <bgColor rgb="FFFFFF00"/>
                </patternFill>
              </fill>
            </x14:dxf>
          </x14:cfRule>
          <xm:sqref>AD116:AR116</xm:sqref>
        </x14:conditionalFormatting>
        <x14:conditionalFormatting xmlns:xm="http://schemas.microsoft.com/office/excel/2006/main">
          <x14:cfRule type="expression" priority="4696877" id="{0EBB5305-4A4A-4205-A1FF-11160070CBC3}">
            <xm:f>$AS$4='Data entry'!$R43</xm:f>
            <x14:dxf>
              <fill>
                <patternFill>
                  <bgColor rgb="FFFF0000"/>
                </patternFill>
              </fill>
            </x14:dxf>
          </x14:cfRule>
          <xm:sqref>AQ117:BC117</xm:sqref>
        </x14:conditionalFormatting>
        <x14:conditionalFormatting xmlns:xm="http://schemas.microsoft.com/office/excel/2006/main">
          <x14:cfRule type="expression" priority="4696878" id="{AC8EB30C-4253-4CE1-820E-1801F6D8D35B}">
            <xm:f>$AS$4='Data entry'!$R43</xm:f>
            <x14:dxf>
              <fill>
                <patternFill>
                  <bgColor rgb="FFFFFF00"/>
                </patternFill>
              </fill>
            </x14:dxf>
          </x14:cfRule>
          <xm:sqref>AE116:AS116</xm:sqref>
        </x14:conditionalFormatting>
        <x14:conditionalFormatting xmlns:xm="http://schemas.microsoft.com/office/excel/2006/main">
          <x14:cfRule type="expression" priority="4696879" id="{E11744C1-7201-4272-A1B0-945490B42425}">
            <xm:f>$AT$4='Data entry'!$R43</xm:f>
            <x14:dxf>
              <fill>
                <patternFill>
                  <bgColor rgb="FFFF0000"/>
                </patternFill>
              </fill>
            </x14:dxf>
          </x14:cfRule>
          <xm:sqref>AR117:BD117</xm:sqref>
        </x14:conditionalFormatting>
        <x14:conditionalFormatting xmlns:xm="http://schemas.microsoft.com/office/excel/2006/main">
          <x14:cfRule type="expression" priority="4696880" id="{5EE2823B-E955-4EA7-B99C-0B1F77B57A69}">
            <xm:f>$AT$4='Data entry'!$R43</xm:f>
            <x14:dxf>
              <fill>
                <patternFill>
                  <bgColor rgb="FFFFFF00"/>
                </patternFill>
              </fill>
            </x14:dxf>
          </x14:cfRule>
          <xm:sqref>AF116:AT116</xm:sqref>
        </x14:conditionalFormatting>
        <x14:conditionalFormatting xmlns:xm="http://schemas.microsoft.com/office/excel/2006/main">
          <x14:cfRule type="expression" priority="4696881" id="{5737DC63-3262-4B34-900C-2AAEB255FCBA}">
            <xm:f>$AU$4='Data entry'!$R43</xm:f>
            <x14:dxf>
              <fill>
                <patternFill>
                  <bgColor rgb="FFFF0000"/>
                </patternFill>
              </fill>
            </x14:dxf>
          </x14:cfRule>
          <xm:sqref>AS117:BE117</xm:sqref>
        </x14:conditionalFormatting>
        <x14:conditionalFormatting xmlns:xm="http://schemas.microsoft.com/office/excel/2006/main">
          <x14:cfRule type="expression" priority="4696882" id="{2B5C1F1B-3C3D-4CA3-BC64-0E98422075B6}">
            <xm:f>$AU$4='Data entry'!$R43</xm:f>
            <x14:dxf>
              <fill>
                <patternFill>
                  <bgColor rgb="FFFFFF00"/>
                </patternFill>
              </fill>
            </x14:dxf>
          </x14:cfRule>
          <xm:sqref>AG116:AU116</xm:sqref>
        </x14:conditionalFormatting>
        <x14:conditionalFormatting xmlns:xm="http://schemas.microsoft.com/office/excel/2006/main">
          <x14:cfRule type="expression" priority="4696883" id="{B87A1285-B003-4855-8F4B-53C391BA10E6}">
            <xm:f>$AV$4='Data entry'!$R43</xm:f>
            <x14:dxf>
              <fill>
                <patternFill>
                  <bgColor rgb="FFFF0000"/>
                </patternFill>
              </fill>
            </x14:dxf>
          </x14:cfRule>
          <xm:sqref>AT117:BF117</xm:sqref>
        </x14:conditionalFormatting>
        <x14:conditionalFormatting xmlns:xm="http://schemas.microsoft.com/office/excel/2006/main">
          <x14:cfRule type="expression" priority="4696884" id="{338EE31C-78DB-4818-B837-0380F9E457FA}">
            <xm:f>$AV$4='Data entry'!$R43</xm:f>
            <x14:dxf>
              <fill>
                <patternFill>
                  <bgColor rgb="FFFFFF00"/>
                </patternFill>
              </fill>
            </x14:dxf>
          </x14:cfRule>
          <xm:sqref>AH116:AV116</xm:sqref>
        </x14:conditionalFormatting>
        <x14:conditionalFormatting xmlns:xm="http://schemas.microsoft.com/office/excel/2006/main">
          <x14:cfRule type="expression" priority="4696885" id="{5C40EA66-2801-4C91-B885-BF6A1ECFC35C}">
            <xm:f>$AW$4='Data entry'!$R43</xm:f>
            <x14:dxf>
              <fill>
                <patternFill>
                  <bgColor rgb="FFFF0000"/>
                </patternFill>
              </fill>
            </x14:dxf>
          </x14:cfRule>
          <xm:sqref>AU117:BG117</xm:sqref>
        </x14:conditionalFormatting>
        <x14:conditionalFormatting xmlns:xm="http://schemas.microsoft.com/office/excel/2006/main">
          <x14:cfRule type="expression" priority="4696886" id="{51BCD5CE-DF86-4C2F-8A81-DDA1EFD6C8F7}">
            <xm:f>$AW$4='Data entry'!$R43</xm:f>
            <x14:dxf>
              <fill>
                <patternFill>
                  <bgColor rgb="FFFFFF00"/>
                </patternFill>
              </fill>
            </x14:dxf>
          </x14:cfRule>
          <xm:sqref>AI116:AW116</xm:sqref>
        </x14:conditionalFormatting>
        <x14:conditionalFormatting xmlns:xm="http://schemas.microsoft.com/office/excel/2006/main">
          <x14:cfRule type="expression" priority="4696887" id="{DC2ED5A0-8917-4877-8CD3-9DF9BE5993C9}">
            <xm:f>$AX$4='Data entry'!$R43</xm:f>
            <x14:dxf>
              <fill>
                <patternFill>
                  <bgColor rgb="FFFF0000"/>
                </patternFill>
              </fill>
            </x14:dxf>
          </x14:cfRule>
          <xm:sqref>AV117:BH117</xm:sqref>
        </x14:conditionalFormatting>
        <x14:conditionalFormatting xmlns:xm="http://schemas.microsoft.com/office/excel/2006/main">
          <x14:cfRule type="expression" priority="4696888" id="{59B31869-20F9-45BD-BC80-0A6C8945CE2C}">
            <xm:f>$AX$4='Data entry'!$R43</xm:f>
            <x14:dxf>
              <fill>
                <patternFill>
                  <bgColor rgb="FFFFFF00"/>
                </patternFill>
              </fill>
            </x14:dxf>
          </x14:cfRule>
          <xm:sqref>AJ116:AX116</xm:sqref>
        </x14:conditionalFormatting>
        <x14:conditionalFormatting xmlns:xm="http://schemas.microsoft.com/office/excel/2006/main">
          <x14:cfRule type="expression" priority="4696889" id="{D4208FA0-4262-4037-934C-6D0742B2AD8E}">
            <xm:f>$AY$4='Data entry'!$R43</xm:f>
            <x14:dxf>
              <fill>
                <patternFill>
                  <bgColor rgb="FFFF0000"/>
                </patternFill>
              </fill>
            </x14:dxf>
          </x14:cfRule>
          <xm:sqref>AW117:BI117</xm:sqref>
        </x14:conditionalFormatting>
        <x14:conditionalFormatting xmlns:xm="http://schemas.microsoft.com/office/excel/2006/main">
          <x14:cfRule type="expression" priority="4696890" id="{04D6E423-18C7-42B2-A67D-F49D8E62B571}">
            <xm:f>$AY$4='Data entry'!$R43</xm:f>
            <x14:dxf>
              <fill>
                <patternFill>
                  <bgColor rgb="FFFFFF00"/>
                </patternFill>
              </fill>
            </x14:dxf>
          </x14:cfRule>
          <xm:sqref>AK116:AY116</xm:sqref>
        </x14:conditionalFormatting>
        <x14:conditionalFormatting xmlns:xm="http://schemas.microsoft.com/office/excel/2006/main">
          <x14:cfRule type="expression" priority="4696891" id="{A931C203-6E4B-4EBD-A2F4-1876881F48D4}">
            <xm:f>$AZ$4='Data entry'!$R43</xm:f>
            <x14:dxf>
              <fill>
                <patternFill>
                  <bgColor rgb="FFFF0000"/>
                </patternFill>
              </fill>
            </x14:dxf>
          </x14:cfRule>
          <xm:sqref>AX117:BJ117</xm:sqref>
        </x14:conditionalFormatting>
        <x14:conditionalFormatting xmlns:xm="http://schemas.microsoft.com/office/excel/2006/main">
          <x14:cfRule type="expression" priority="4696892" id="{092D9100-E652-40FE-8CAA-720DC0681250}">
            <xm:f>$AZ$4='Data entry'!$R43</xm:f>
            <x14:dxf>
              <fill>
                <patternFill>
                  <bgColor rgb="FFFFFF00"/>
                </patternFill>
              </fill>
            </x14:dxf>
          </x14:cfRule>
          <xm:sqref>AL116:AZ116</xm:sqref>
        </x14:conditionalFormatting>
        <x14:conditionalFormatting xmlns:xm="http://schemas.microsoft.com/office/excel/2006/main">
          <x14:cfRule type="expression" priority="4696893" id="{A3C7E6BE-A225-483C-A983-A915DB662C52}">
            <xm:f>$BA$4='Data entry'!$R43</xm:f>
            <x14:dxf>
              <fill>
                <patternFill>
                  <bgColor rgb="FFFF0000"/>
                </patternFill>
              </fill>
            </x14:dxf>
          </x14:cfRule>
          <xm:sqref>AY117:BK117</xm:sqref>
        </x14:conditionalFormatting>
        <x14:conditionalFormatting xmlns:xm="http://schemas.microsoft.com/office/excel/2006/main">
          <x14:cfRule type="expression" priority="4696894" id="{F5CF569A-8AFA-4CFF-8BD3-F04D8927A99F}">
            <xm:f>$BA$4='Data entry'!$R43</xm:f>
            <x14:dxf>
              <fill>
                <patternFill>
                  <bgColor rgb="FFFFFF00"/>
                </patternFill>
              </fill>
            </x14:dxf>
          </x14:cfRule>
          <xm:sqref>AM116:BA116</xm:sqref>
        </x14:conditionalFormatting>
        <x14:conditionalFormatting xmlns:xm="http://schemas.microsoft.com/office/excel/2006/main">
          <x14:cfRule type="expression" priority="4696895" id="{E4DAC94A-7983-4BFB-A87B-45B58561841A}">
            <xm:f>$BB$4='Data entry'!$R43</xm:f>
            <x14:dxf>
              <fill>
                <patternFill>
                  <bgColor rgb="FFFF0000"/>
                </patternFill>
              </fill>
            </x14:dxf>
          </x14:cfRule>
          <xm:sqref>AZ117:BL117</xm:sqref>
        </x14:conditionalFormatting>
        <x14:conditionalFormatting xmlns:xm="http://schemas.microsoft.com/office/excel/2006/main">
          <x14:cfRule type="expression" priority="4696896" id="{E63849C5-F39B-4B0E-8F8A-B532EDF2CBAE}">
            <xm:f>$BB$4='Data entry'!$R43</xm:f>
            <x14:dxf>
              <fill>
                <patternFill>
                  <bgColor rgb="FFFFFF00"/>
                </patternFill>
              </fill>
            </x14:dxf>
          </x14:cfRule>
          <xm:sqref>AN116:BB116</xm:sqref>
        </x14:conditionalFormatting>
        <x14:conditionalFormatting xmlns:xm="http://schemas.microsoft.com/office/excel/2006/main">
          <x14:cfRule type="expression" priority="4696897" id="{4FDC32D3-C1F5-455D-9AA4-A03359B72526}">
            <xm:f>$BC$4='Data entry'!$R43</xm:f>
            <x14:dxf>
              <fill>
                <patternFill>
                  <bgColor rgb="FFFF0000"/>
                </patternFill>
              </fill>
            </x14:dxf>
          </x14:cfRule>
          <xm:sqref>BA117:BM117</xm:sqref>
        </x14:conditionalFormatting>
        <x14:conditionalFormatting xmlns:xm="http://schemas.microsoft.com/office/excel/2006/main">
          <x14:cfRule type="expression" priority="4696898" id="{5F0D0C60-B233-4C56-B05D-98C99990877F}">
            <xm:f>$BC$4='Data entry'!$R43</xm:f>
            <x14:dxf>
              <fill>
                <patternFill>
                  <bgColor rgb="FFFFFF00"/>
                </patternFill>
              </fill>
            </x14:dxf>
          </x14:cfRule>
          <xm:sqref>AO116:BC116</xm:sqref>
        </x14:conditionalFormatting>
        <x14:conditionalFormatting xmlns:xm="http://schemas.microsoft.com/office/excel/2006/main">
          <x14:cfRule type="expression" priority="4696899" id="{9EBCB60F-8135-43B6-A0F3-548D4092CC98}">
            <xm:f>$BD$4='Data entry'!$R43</xm:f>
            <x14:dxf>
              <fill>
                <patternFill>
                  <bgColor rgb="FFFF0000"/>
                </patternFill>
              </fill>
            </x14:dxf>
          </x14:cfRule>
          <xm:sqref>BB117:BN117</xm:sqref>
        </x14:conditionalFormatting>
        <x14:conditionalFormatting xmlns:xm="http://schemas.microsoft.com/office/excel/2006/main">
          <x14:cfRule type="expression" priority="4696900" id="{961AF346-4A73-41ED-9A8D-27D431B09C05}">
            <xm:f>$BD$4='Data entry'!$R43</xm:f>
            <x14:dxf>
              <fill>
                <patternFill>
                  <bgColor rgb="FFFFFF00"/>
                </patternFill>
              </fill>
            </x14:dxf>
          </x14:cfRule>
          <xm:sqref>AP116:BD116</xm:sqref>
        </x14:conditionalFormatting>
        <x14:conditionalFormatting xmlns:xm="http://schemas.microsoft.com/office/excel/2006/main">
          <x14:cfRule type="expression" priority="4696901" id="{5A887026-27CD-4F8C-8BA6-1E92704C1CA6}">
            <xm:f>$BE$4='Data entry'!$R43</xm:f>
            <x14:dxf>
              <fill>
                <patternFill>
                  <bgColor rgb="FFFF0000"/>
                </patternFill>
              </fill>
            </x14:dxf>
          </x14:cfRule>
          <xm:sqref>BC117:BO117</xm:sqref>
        </x14:conditionalFormatting>
        <x14:conditionalFormatting xmlns:xm="http://schemas.microsoft.com/office/excel/2006/main">
          <x14:cfRule type="expression" priority="4696902" id="{7F46217B-A1E9-4515-B31E-E756FCD7C6D9}">
            <xm:f>$BE$4='Data entry'!$R43</xm:f>
            <x14:dxf>
              <fill>
                <patternFill>
                  <bgColor rgb="FFFFFF00"/>
                </patternFill>
              </fill>
            </x14:dxf>
          </x14:cfRule>
          <xm:sqref>AP116:BE116</xm:sqref>
        </x14:conditionalFormatting>
        <x14:conditionalFormatting xmlns:xm="http://schemas.microsoft.com/office/excel/2006/main">
          <x14:cfRule type="expression" priority="4696903" id="{F4D9285C-8CA0-4EF1-943E-6A462D47CC77}">
            <xm:f>$BF$4='Data entry'!$R43</xm:f>
            <x14:dxf>
              <fill>
                <patternFill>
                  <bgColor rgb="FFFF0000"/>
                </patternFill>
              </fill>
            </x14:dxf>
          </x14:cfRule>
          <xm:sqref>BD117:BP117</xm:sqref>
        </x14:conditionalFormatting>
        <x14:conditionalFormatting xmlns:xm="http://schemas.microsoft.com/office/excel/2006/main">
          <x14:cfRule type="expression" priority="4696904" id="{B9E4407D-651D-4DC0-9D61-3271D62A65E9}">
            <xm:f>$BF$4='Data entry'!$R43</xm:f>
            <x14:dxf>
              <fill>
                <patternFill>
                  <bgColor rgb="FFFFFF00"/>
                </patternFill>
              </fill>
            </x14:dxf>
          </x14:cfRule>
          <xm:sqref>AR116:BF116</xm:sqref>
        </x14:conditionalFormatting>
        <x14:conditionalFormatting xmlns:xm="http://schemas.microsoft.com/office/excel/2006/main">
          <x14:cfRule type="expression" priority="4696905" id="{4CDC062F-DDFF-4556-B941-08F919727F69}">
            <xm:f>$BG$4='Data entry'!$R43</xm:f>
            <x14:dxf>
              <fill>
                <patternFill>
                  <bgColor rgb="FFFF0000"/>
                </patternFill>
              </fill>
            </x14:dxf>
          </x14:cfRule>
          <xm:sqref>BE117:BQ117</xm:sqref>
        </x14:conditionalFormatting>
        <x14:conditionalFormatting xmlns:xm="http://schemas.microsoft.com/office/excel/2006/main">
          <x14:cfRule type="expression" priority="4696906" id="{789184FA-9055-433B-8A1B-92C7ED59E81F}">
            <xm:f>$BG$4='Data entry'!$R43</xm:f>
            <x14:dxf>
              <fill>
                <patternFill>
                  <bgColor rgb="FFFFFF00"/>
                </patternFill>
              </fill>
            </x14:dxf>
          </x14:cfRule>
          <xm:sqref>AS116:BG116</xm:sqref>
        </x14:conditionalFormatting>
        <x14:conditionalFormatting xmlns:xm="http://schemas.microsoft.com/office/excel/2006/main">
          <x14:cfRule type="expression" priority="4696907" id="{58651E5C-09C9-46C1-B95C-E8A578A49E15}">
            <xm:f>$BH$4='Data entry'!$R43</xm:f>
            <x14:dxf>
              <fill>
                <patternFill>
                  <bgColor rgb="FFFFFF00"/>
                </patternFill>
              </fill>
            </x14:dxf>
          </x14:cfRule>
          <xm:sqref>AT116:BH116</xm:sqref>
        </x14:conditionalFormatting>
        <x14:conditionalFormatting xmlns:xm="http://schemas.microsoft.com/office/excel/2006/main">
          <x14:cfRule type="expression" priority="4696908" id="{97B30B86-8311-4DC0-A533-8C0D53F37839}">
            <xm:f>$BH$4='Data entry'!$R43</xm:f>
            <x14:dxf>
              <fill>
                <patternFill>
                  <bgColor rgb="FFFF0000"/>
                </patternFill>
              </fill>
            </x14:dxf>
          </x14:cfRule>
          <xm:sqref>BF117:BR117</xm:sqref>
        </x14:conditionalFormatting>
        <x14:conditionalFormatting xmlns:xm="http://schemas.microsoft.com/office/excel/2006/main">
          <x14:cfRule type="expression" priority="4696909" id="{78344C0C-5AEA-40B1-A20C-6D77DF58E1F5}">
            <xm:f>$BI$4='Data entry'!$R43</xm:f>
            <x14:dxf>
              <fill>
                <patternFill>
                  <bgColor rgb="FFFFFF00"/>
                </patternFill>
              </fill>
            </x14:dxf>
          </x14:cfRule>
          <xm:sqref>AU116:BI116</xm:sqref>
        </x14:conditionalFormatting>
        <x14:conditionalFormatting xmlns:xm="http://schemas.microsoft.com/office/excel/2006/main">
          <x14:cfRule type="expression" priority="4696910" id="{A9CE044F-482E-4F25-B28F-89ACC58502B1}">
            <xm:f>$BI$4='Data entry'!$R43</xm:f>
            <x14:dxf>
              <fill>
                <patternFill>
                  <bgColor rgb="FFFF0000"/>
                </patternFill>
              </fill>
            </x14:dxf>
          </x14:cfRule>
          <xm:sqref>BG117:BS117</xm:sqref>
        </x14:conditionalFormatting>
        <x14:conditionalFormatting xmlns:xm="http://schemas.microsoft.com/office/excel/2006/main">
          <x14:cfRule type="expression" priority="4696911" id="{F63BE0EB-3C71-4456-BEF0-11180AB7A8BB}">
            <xm:f>$BJ$4='Data entry'!$R43</xm:f>
            <x14:dxf>
              <fill>
                <patternFill>
                  <bgColor rgb="FFFFFF00"/>
                </patternFill>
              </fill>
            </x14:dxf>
          </x14:cfRule>
          <xm:sqref>AV116:BJ116</xm:sqref>
        </x14:conditionalFormatting>
        <x14:conditionalFormatting xmlns:xm="http://schemas.microsoft.com/office/excel/2006/main">
          <x14:cfRule type="expression" priority="4696912" id="{478A5DCB-1DAA-4497-A6CC-B4F01FB96D10}">
            <xm:f>$BJ$4='Data entry'!$R43</xm:f>
            <x14:dxf>
              <fill>
                <patternFill>
                  <bgColor rgb="FFFF0000"/>
                </patternFill>
              </fill>
            </x14:dxf>
          </x14:cfRule>
          <xm:sqref>BH117:BT117</xm:sqref>
        </x14:conditionalFormatting>
        <x14:conditionalFormatting xmlns:xm="http://schemas.microsoft.com/office/excel/2006/main">
          <x14:cfRule type="expression" priority="4696913" id="{CDE4AD5B-65A6-4FA4-9EC0-8D05F22312A9}">
            <xm:f>$BK$4='Data entry'!$R43</xm:f>
            <x14:dxf>
              <fill>
                <patternFill>
                  <bgColor rgb="FFFF0000"/>
                </patternFill>
              </fill>
            </x14:dxf>
          </x14:cfRule>
          <xm:sqref>BI117:BU117</xm:sqref>
        </x14:conditionalFormatting>
        <x14:conditionalFormatting xmlns:xm="http://schemas.microsoft.com/office/excel/2006/main">
          <x14:cfRule type="expression" priority="4696914" id="{AB32E790-6CD8-4D11-9A69-57D785FE4BBC}">
            <xm:f>$BK$4='Data entry'!$R43</xm:f>
            <x14:dxf>
              <fill>
                <patternFill>
                  <bgColor rgb="FFFFFF00"/>
                </patternFill>
              </fill>
            </x14:dxf>
          </x14:cfRule>
          <xm:sqref>AW116:BK116</xm:sqref>
        </x14:conditionalFormatting>
        <x14:conditionalFormatting xmlns:xm="http://schemas.microsoft.com/office/excel/2006/main">
          <x14:cfRule type="expression" priority="4696915" id="{99810EB9-805C-43D8-852A-EEECE7874CDB}">
            <xm:f>$BL$4='Data entry'!$R43</xm:f>
            <x14:dxf>
              <fill>
                <patternFill>
                  <bgColor rgb="FFFF0000"/>
                </patternFill>
              </fill>
            </x14:dxf>
          </x14:cfRule>
          <xm:sqref>BJ117:BV117</xm:sqref>
        </x14:conditionalFormatting>
        <x14:conditionalFormatting xmlns:xm="http://schemas.microsoft.com/office/excel/2006/main">
          <x14:cfRule type="expression" priority="4696916" id="{BF5F5475-4E46-479C-97A6-D5175F5D1803}">
            <xm:f>$BL$4='Data entry'!$R43</xm:f>
            <x14:dxf>
              <fill>
                <patternFill>
                  <bgColor rgb="FFFFFF00"/>
                </patternFill>
              </fill>
            </x14:dxf>
          </x14:cfRule>
          <xm:sqref>AX116:BL116</xm:sqref>
        </x14:conditionalFormatting>
        <x14:conditionalFormatting xmlns:xm="http://schemas.microsoft.com/office/excel/2006/main">
          <x14:cfRule type="expression" priority="4696917" id="{B86FDF2F-16C9-46B1-847E-7EA1A8A34B9D}">
            <xm:f>$BM$4='Data entry'!$R43</xm:f>
            <x14:dxf>
              <fill>
                <patternFill>
                  <bgColor rgb="FFFF0000"/>
                </patternFill>
              </fill>
            </x14:dxf>
          </x14:cfRule>
          <xm:sqref>BK117:BW117</xm:sqref>
        </x14:conditionalFormatting>
        <x14:conditionalFormatting xmlns:xm="http://schemas.microsoft.com/office/excel/2006/main">
          <x14:cfRule type="expression" priority="4696918" id="{72FD189F-4CED-400D-9FEF-21A328970A4D}">
            <xm:f>$BM$4='Data entry'!$R43</xm:f>
            <x14:dxf>
              <fill>
                <patternFill>
                  <bgColor rgb="FFFFFF00"/>
                </patternFill>
              </fill>
            </x14:dxf>
          </x14:cfRule>
          <xm:sqref>AY116:BM116</xm:sqref>
        </x14:conditionalFormatting>
        <x14:conditionalFormatting xmlns:xm="http://schemas.microsoft.com/office/excel/2006/main">
          <x14:cfRule type="expression" priority="4696919" id="{BBBBF859-D5A7-4F55-BFBF-8A77E3357590}">
            <xm:f>$BN$4='Data entry'!$R43</xm:f>
            <x14:dxf>
              <fill>
                <patternFill>
                  <bgColor rgb="FFFF0000"/>
                </patternFill>
              </fill>
            </x14:dxf>
          </x14:cfRule>
          <xm:sqref>BL117:BX117</xm:sqref>
        </x14:conditionalFormatting>
        <x14:conditionalFormatting xmlns:xm="http://schemas.microsoft.com/office/excel/2006/main">
          <x14:cfRule type="expression" priority="4696920" id="{50CB1D75-0FD5-4D24-92B1-E8A41DC6575C}">
            <xm:f>$BN$4='Data entry'!$R43</xm:f>
            <x14:dxf>
              <fill>
                <patternFill>
                  <bgColor rgb="FFFFFF00"/>
                </patternFill>
              </fill>
            </x14:dxf>
          </x14:cfRule>
          <xm:sqref>AZ116:BN116</xm:sqref>
        </x14:conditionalFormatting>
        <x14:conditionalFormatting xmlns:xm="http://schemas.microsoft.com/office/excel/2006/main">
          <x14:cfRule type="expression" priority="4696921" id="{9EF3226D-E8FC-496B-A6FF-71776AEA54D1}">
            <xm:f>$BO$4='Data entry'!$R43</xm:f>
            <x14:dxf>
              <fill>
                <patternFill>
                  <bgColor rgb="FFFF0000"/>
                </patternFill>
              </fill>
            </x14:dxf>
          </x14:cfRule>
          <xm:sqref>BM117:BY117</xm:sqref>
        </x14:conditionalFormatting>
        <x14:conditionalFormatting xmlns:xm="http://schemas.microsoft.com/office/excel/2006/main">
          <x14:cfRule type="expression" priority="4696922" id="{3B86C801-ECFE-4D05-8AA5-1581116BAFBC}">
            <xm:f>$BO$4='Data entry'!$R43</xm:f>
            <x14:dxf>
              <fill>
                <patternFill>
                  <bgColor rgb="FFFFFF00"/>
                </patternFill>
              </fill>
            </x14:dxf>
          </x14:cfRule>
          <xm:sqref>BA116:BO116</xm:sqref>
        </x14:conditionalFormatting>
        <x14:conditionalFormatting xmlns:xm="http://schemas.microsoft.com/office/excel/2006/main">
          <x14:cfRule type="expression" priority="4696923" id="{058A23EC-3371-4A02-9F20-1ECA603AC6BC}">
            <xm:f>$BP$4='Data entry'!$R43</xm:f>
            <x14:dxf>
              <fill>
                <patternFill>
                  <bgColor rgb="FFFF0000"/>
                </patternFill>
              </fill>
            </x14:dxf>
          </x14:cfRule>
          <xm:sqref>BN117:BZ117</xm:sqref>
        </x14:conditionalFormatting>
        <x14:conditionalFormatting xmlns:xm="http://schemas.microsoft.com/office/excel/2006/main">
          <x14:cfRule type="expression" priority="4696924" id="{3E711E31-3992-4555-AB22-87133D60CD15}">
            <xm:f>$BP$4='Data entry'!$R43</xm:f>
            <x14:dxf>
              <fill>
                <patternFill>
                  <bgColor rgb="FFFFFF00"/>
                </patternFill>
              </fill>
            </x14:dxf>
          </x14:cfRule>
          <xm:sqref>BB116:BP116</xm:sqref>
        </x14:conditionalFormatting>
        <x14:conditionalFormatting xmlns:xm="http://schemas.microsoft.com/office/excel/2006/main">
          <x14:cfRule type="expression" priority="4696925" id="{23E9F8B9-37D5-4730-9453-6F23E8ECBBE3}">
            <xm:f>$BQ$4='Data entry'!$R43</xm:f>
            <x14:dxf>
              <fill>
                <patternFill>
                  <bgColor rgb="FFFFFF00"/>
                </patternFill>
              </fill>
            </x14:dxf>
          </x14:cfRule>
          <xm:sqref>BC116:BQ116</xm:sqref>
        </x14:conditionalFormatting>
        <x14:conditionalFormatting xmlns:xm="http://schemas.microsoft.com/office/excel/2006/main">
          <x14:cfRule type="expression" priority="4696926" id="{BCFD92F6-AAD3-44FD-BC61-A292A81B883E}">
            <xm:f>$BQ$4='Data entry'!$R43</xm:f>
            <x14:dxf>
              <fill>
                <patternFill>
                  <bgColor rgb="FFFF0000"/>
                </patternFill>
              </fill>
            </x14:dxf>
          </x14:cfRule>
          <xm:sqref>BO117:CA117</xm:sqref>
        </x14:conditionalFormatting>
        <x14:conditionalFormatting xmlns:xm="http://schemas.microsoft.com/office/excel/2006/main">
          <x14:cfRule type="expression" priority="4696927" id="{357D60E5-F356-477E-8020-A18F42C02832}">
            <xm:f>$BR$4='Data entry'!$R43</xm:f>
            <x14:dxf>
              <fill>
                <patternFill>
                  <bgColor rgb="FFFFFF00"/>
                </patternFill>
              </fill>
            </x14:dxf>
          </x14:cfRule>
          <xm:sqref>BD116:BR116</xm:sqref>
        </x14:conditionalFormatting>
        <x14:conditionalFormatting xmlns:xm="http://schemas.microsoft.com/office/excel/2006/main">
          <x14:cfRule type="expression" priority="4696928" id="{DA2B6511-43B3-432D-B6AA-1DB1188B90A6}">
            <xm:f>$BR$4='Data entry'!$R43</xm:f>
            <x14:dxf>
              <fill>
                <patternFill>
                  <bgColor rgb="FFFF0000"/>
                </patternFill>
              </fill>
            </x14:dxf>
          </x14:cfRule>
          <xm:sqref>BP117:CB117</xm:sqref>
        </x14:conditionalFormatting>
        <x14:conditionalFormatting xmlns:xm="http://schemas.microsoft.com/office/excel/2006/main">
          <x14:cfRule type="expression" priority="4696929" id="{0D5F64E4-4136-4BFA-B833-CC8578525D9C}">
            <xm:f>$BS$4='Data entry'!$R43</xm:f>
            <x14:dxf>
              <fill>
                <patternFill>
                  <bgColor rgb="FFFFFF00"/>
                </patternFill>
              </fill>
            </x14:dxf>
          </x14:cfRule>
          <xm:sqref>BE116:BS116</xm:sqref>
        </x14:conditionalFormatting>
        <x14:conditionalFormatting xmlns:xm="http://schemas.microsoft.com/office/excel/2006/main">
          <x14:cfRule type="expression" priority="4696930" id="{AC94D468-F078-4AE2-8771-102996E07B09}">
            <xm:f>$BS$4='Data entry'!$R43</xm:f>
            <x14:dxf>
              <fill>
                <patternFill>
                  <bgColor rgb="FFFF0000"/>
                </patternFill>
              </fill>
            </x14:dxf>
          </x14:cfRule>
          <xm:sqref>BQ117:CC117</xm:sqref>
        </x14:conditionalFormatting>
        <x14:conditionalFormatting xmlns:xm="http://schemas.microsoft.com/office/excel/2006/main">
          <x14:cfRule type="expression" priority="4696931" id="{10E78F76-181E-4F19-9F89-7DD36D3EFE30}">
            <xm:f>$BT$4='Data entry'!$R43</xm:f>
            <x14:dxf>
              <fill>
                <patternFill>
                  <bgColor rgb="FFFFFF00"/>
                </patternFill>
              </fill>
            </x14:dxf>
          </x14:cfRule>
          <xm:sqref>BF116:BT116</xm:sqref>
        </x14:conditionalFormatting>
        <x14:conditionalFormatting xmlns:xm="http://schemas.microsoft.com/office/excel/2006/main">
          <x14:cfRule type="expression" priority="4696932" id="{6A5FADC6-9512-4EFB-90A5-7B5244D10D1F}">
            <xm:f>$BT$4='Data entry'!$R43</xm:f>
            <x14:dxf>
              <fill>
                <patternFill>
                  <bgColor rgb="FFFF0000"/>
                </patternFill>
              </fill>
            </x14:dxf>
          </x14:cfRule>
          <xm:sqref>BR117:CC117</xm:sqref>
        </x14:conditionalFormatting>
        <x14:conditionalFormatting xmlns:xm="http://schemas.microsoft.com/office/excel/2006/main">
          <x14:cfRule type="expression" priority="4696933" id="{A51139D1-8841-4B96-B8CB-DFE3808765CF}">
            <xm:f>$BU$4='Data entry'!$R43</xm:f>
            <x14:dxf>
              <fill>
                <patternFill>
                  <bgColor rgb="FFFFFF00"/>
                </patternFill>
              </fill>
            </x14:dxf>
          </x14:cfRule>
          <xm:sqref>BG116:BU116</xm:sqref>
        </x14:conditionalFormatting>
        <x14:conditionalFormatting xmlns:xm="http://schemas.microsoft.com/office/excel/2006/main">
          <x14:cfRule type="expression" priority="4696934" id="{55CA7258-760F-4BFF-ACB5-A70FEB3E7981}">
            <xm:f>$BU$4='Data entry'!$R43</xm:f>
            <x14:dxf>
              <fill>
                <patternFill>
                  <bgColor rgb="FFFF0000"/>
                </patternFill>
              </fill>
            </x14:dxf>
          </x14:cfRule>
          <xm:sqref>BS117:CC117</xm:sqref>
        </x14:conditionalFormatting>
        <x14:conditionalFormatting xmlns:xm="http://schemas.microsoft.com/office/excel/2006/main">
          <x14:cfRule type="expression" priority="4696935" id="{A922B218-64DB-4CBB-9AB8-FE0EBB44E09E}">
            <xm:f>$BV$4='Data entry'!$R43</xm:f>
            <x14:dxf>
              <fill>
                <patternFill>
                  <bgColor rgb="FFFFFF00"/>
                </patternFill>
              </fill>
            </x14:dxf>
          </x14:cfRule>
          <xm:sqref>BH116:BV116</xm:sqref>
        </x14:conditionalFormatting>
        <x14:conditionalFormatting xmlns:xm="http://schemas.microsoft.com/office/excel/2006/main">
          <x14:cfRule type="expression" priority="4696936" id="{C98E908A-CD31-4778-B41C-7AFB9DBE639A}">
            <xm:f>$BV$4='Data entry'!$R43</xm:f>
            <x14:dxf>
              <fill>
                <patternFill>
                  <bgColor rgb="FFFF0000"/>
                </patternFill>
              </fill>
            </x14:dxf>
          </x14:cfRule>
          <xm:sqref>BT117:CC117</xm:sqref>
        </x14:conditionalFormatting>
        <x14:conditionalFormatting xmlns:xm="http://schemas.microsoft.com/office/excel/2006/main">
          <x14:cfRule type="expression" priority="4696937" id="{465CCCA3-B4DB-4B61-8AC7-8A5E4CEC9E3F}">
            <xm:f>$BW$4='Data entry'!$R43</xm:f>
            <x14:dxf>
              <fill>
                <patternFill>
                  <bgColor rgb="FFFFFF00"/>
                </patternFill>
              </fill>
            </x14:dxf>
          </x14:cfRule>
          <xm:sqref>BI116:BW116</xm:sqref>
        </x14:conditionalFormatting>
        <x14:conditionalFormatting xmlns:xm="http://schemas.microsoft.com/office/excel/2006/main">
          <x14:cfRule type="expression" priority="4696938" id="{37566F97-6D06-400B-A709-FE657B07687F}">
            <xm:f>$BW$4='Data entry'!$R43</xm:f>
            <x14:dxf>
              <fill>
                <patternFill>
                  <bgColor rgb="FFFF0000"/>
                </patternFill>
              </fill>
            </x14:dxf>
          </x14:cfRule>
          <xm:sqref>BU117:CC117</xm:sqref>
        </x14:conditionalFormatting>
        <x14:conditionalFormatting xmlns:xm="http://schemas.microsoft.com/office/excel/2006/main">
          <x14:cfRule type="expression" priority="4696939" id="{D8FBA3AC-5CF0-4E45-97CA-1D4DEE729ADA}">
            <xm:f>$BX$4='Data entry'!$R43</xm:f>
            <x14:dxf>
              <fill>
                <patternFill>
                  <bgColor rgb="FFFFFF00"/>
                </patternFill>
              </fill>
            </x14:dxf>
          </x14:cfRule>
          <xm:sqref>BJ116:BX116</xm:sqref>
        </x14:conditionalFormatting>
        <x14:conditionalFormatting xmlns:xm="http://schemas.microsoft.com/office/excel/2006/main">
          <x14:cfRule type="expression" priority="4696940" id="{E077C84B-A94F-431D-B232-4AFCC7C64F54}">
            <xm:f>$BX$4='Data entry'!$R43</xm:f>
            <x14:dxf>
              <fill>
                <patternFill>
                  <bgColor rgb="FFFF0000"/>
                </patternFill>
              </fill>
            </x14:dxf>
          </x14:cfRule>
          <xm:sqref>BV117:CC117</xm:sqref>
        </x14:conditionalFormatting>
        <x14:conditionalFormatting xmlns:xm="http://schemas.microsoft.com/office/excel/2006/main">
          <x14:cfRule type="expression" priority="4696941" id="{63783BA8-0C97-4A44-86FD-7A2BCF1B9957}">
            <xm:f>$BY$4='Data entry'!$R43</xm:f>
            <x14:dxf>
              <fill>
                <patternFill>
                  <bgColor rgb="FFFFFF00"/>
                </patternFill>
              </fill>
            </x14:dxf>
          </x14:cfRule>
          <xm:sqref>BK116:BY116</xm:sqref>
        </x14:conditionalFormatting>
        <x14:conditionalFormatting xmlns:xm="http://schemas.microsoft.com/office/excel/2006/main">
          <x14:cfRule type="expression" priority="4696942" id="{BB8DB8B4-B71B-46D2-AEE7-346F16103F74}">
            <xm:f>$BY$4='Data entry'!$R43</xm:f>
            <x14:dxf>
              <fill>
                <patternFill>
                  <bgColor rgb="FFFF0000"/>
                </patternFill>
              </fill>
            </x14:dxf>
          </x14:cfRule>
          <xm:sqref>BW117:CC117</xm:sqref>
        </x14:conditionalFormatting>
        <x14:conditionalFormatting xmlns:xm="http://schemas.microsoft.com/office/excel/2006/main">
          <x14:cfRule type="expression" priority="4696943" id="{1B638B98-2B06-4FEB-90C1-446A3E0A3979}">
            <xm:f>$BZ$4='Data entry'!$R43</xm:f>
            <x14:dxf>
              <fill>
                <patternFill>
                  <bgColor rgb="FFFFFF00"/>
                </patternFill>
              </fill>
            </x14:dxf>
          </x14:cfRule>
          <xm:sqref>BL116:BZ116</xm:sqref>
        </x14:conditionalFormatting>
        <x14:conditionalFormatting xmlns:xm="http://schemas.microsoft.com/office/excel/2006/main">
          <x14:cfRule type="expression" priority="4696944" id="{D3A0A2F8-D1B2-4DC5-B2A9-0EF53074E685}">
            <xm:f>$BZ$4='Data entry'!$R43</xm:f>
            <x14:dxf>
              <fill>
                <patternFill>
                  <bgColor rgb="FFFF0000"/>
                </patternFill>
              </fill>
            </x14:dxf>
          </x14:cfRule>
          <xm:sqref>BX117:CC117</xm:sqref>
        </x14:conditionalFormatting>
        <x14:conditionalFormatting xmlns:xm="http://schemas.microsoft.com/office/excel/2006/main">
          <x14:cfRule type="expression" priority="4696945" id="{83F6D018-7D3B-4D33-9998-11572F2F2FF5}">
            <xm:f>$CA$4='Data entry'!$R43</xm:f>
            <x14:dxf>
              <fill>
                <patternFill>
                  <bgColor rgb="FFFFFF00"/>
                </patternFill>
              </fill>
            </x14:dxf>
          </x14:cfRule>
          <xm:sqref>BM116:CA116</xm:sqref>
        </x14:conditionalFormatting>
        <x14:conditionalFormatting xmlns:xm="http://schemas.microsoft.com/office/excel/2006/main">
          <x14:cfRule type="expression" priority="4696946" id="{8E6D0B51-5626-4ED9-9072-C7A2C139704F}">
            <xm:f>$CA$4='Data entry'!$R43</xm:f>
            <x14:dxf>
              <fill>
                <patternFill>
                  <bgColor rgb="FFFF0000"/>
                </patternFill>
              </fill>
            </x14:dxf>
          </x14:cfRule>
          <xm:sqref>BY117:CC117</xm:sqref>
        </x14:conditionalFormatting>
        <x14:conditionalFormatting xmlns:xm="http://schemas.microsoft.com/office/excel/2006/main">
          <x14:cfRule type="expression" priority="4696947" id="{E1886EE4-3BDE-43A9-9F4B-79377FEC37FE}">
            <xm:f>$CB$4='Data entry'!$R43</xm:f>
            <x14:dxf>
              <fill>
                <patternFill>
                  <bgColor rgb="FFFFFF00"/>
                </patternFill>
              </fill>
            </x14:dxf>
          </x14:cfRule>
          <xm:sqref>BN116:CB116</xm:sqref>
        </x14:conditionalFormatting>
        <x14:conditionalFormatting xmlns:xm="http://schemas.microsoft.com/office/excel/2006/main">
          <x14:cfRule type="expression" priority="4696948" id="{ADEF572A-6C18-4602-BB86-01C96D36E07E}">
            <xm:f>$CB$4='Data entry'!$R43</xm:f>
            <x14:dxf>
              <fill>
                <patternFill>
                  <bgColor rgb="FFFF0000"/>
                </patternFill>
              </fill>
            </x14:dxf>
          </x14:cfRule>
          <xm:sqref>BZ117:CC117</xm:sqref>
        </x14:conditionalFormatting>
        <x14:conditionalFormatting xmlns:xm="http://schemas.microsoft.com/office/excel/2006/main">
          <x14:cfRule type="expression" priority="4696949" id="{7984E1C9-E073-4955-8543-62145CB6D008}">
            <xm:f>$CC$4='Data entry'!$R43</xm:f>
            <x14:dxf>
              <fill>
                <patternFill>
                  <bgColor rgb="FFFFFF00"/>
                </patternFill>
              </fill>
            </x14:dxf>
          </x14:cfRule>
          <xm:sqref>BO116:CC116</xm:sqref>
        </x14:conditionalFormatting>
        <x14:conditionalFormatting xmlns:xm="http://schemas.microsoft.com/office/excel/2006/main">
          <x14:cfRule type="expression" priority="4696950" id="{18A957B3-59FA-4698-BA92-2A208FF18E2F}">
            <xm:f>$CC$4='Data entry'!$R43</xm:f>
            <x14:dxf>
              <fill>
                <patternFill>
                  <bgColor rgb="FFFF0000"/>
                </patternFill>
              </fill>
            </x14:dxf>
          </x14:cfRule>
          <xm:sqref>CA117:CC117</xm:sqref>
        </x14:conditionalFormatting>
        <x14:conditionalFormatting xmlns:xm="http://schemas.microsoft.com/office/excel/2006/main">
          <x14:cfRule type="expression" priority="4697037" id="{5B0DB825-B7C2-40AC-B7EF-F267F054CFB9}">
            <xm:f>$U$4='Data entry'!$R44</xm:f>
            <x14:dxf>
              <fill>
                <patternFill>
                  <bgColor rgb="FFFF0000"/>
                </patternFill>
              </fill>
            </x14:dxf>
          </x14:cfRule>
          <xm:sqref>S120:AE120</xm:sqref>
        </x14:conditionalFormatting>
        <x14:conditionalFormatting xmlns:xm="http://schemas.microsoft.com/office/excel/2006/main">
          <x14:cfRule type="expression" priority="4697038" id="{18311200-E2BB-400F-B594-3B9A2C6068C2}">
            <xm:f>$V$4='Data entry'!$R44</xm:f>
            <x14:dxf>
              <fill>
                <patternFill>
                  <bgColor rgb="FFFF0000"/>
                </patternFill>
              </fill>
            </x14:dxf>
          </x14:cfRule>
          <xm:sqref>T120:AF120</xm:sqref>
        </x14:conditionalFormatting>
        <x14:conditionalFormatting xmlns:xm="http://schemas.microsoft.com/office/excel/2006/main">
          <x14:cfRule type="expression" priority="4697039" id="{D6DFB621-1A58-4C59-A987-ECAD0EB2D32B}">
            <xm:f>$V$4='Data entry'!$R44</xm:f>
            <x14:dxf>
              <fill>
                <patternFill>
                  <bgColor rgb="FFFFFF00"/>
                </patternFill>
              </fill>
            </x14:dxf>
          </x14:cfRule>
          <xm:sqref>H119:V119</xm:sqref>
        </x14:conditionalFormatting>
        <x14:conditionalFormatting xmlns:xm="http://schemas.microsoft.com/office/excel/2006/main">
          <x14:cfRule type="expression" priority="4697040" id="{5F87A680-DC5F-433D-A779-B7A534ACCDA9}">
            <xm:f>$W$4='Data entry'!$R44</xm:f>
            <x14:dxf>
              <fill>
                <patternFill>
                  <bgColor rgb="FFFF0000"/>
                </patternFill>
              </fill>
            </x14:dxf>
          </x14:cfRule>
          <xm:sqref>U120:AG120</xm:sqref>
        </x14:conditionalFormatting>
        <x14:conditionalFormatting xmlns:xm="http://schemas.microsoft.com/office/excel/2006/main">
          <x14:cfRule type="expression" priority="4697041" id="{964539FF-A92C-4F68-B268-B7157A32678C}">
            <xm:f>$W$4='Data entry'!$R44</xm:f>
            <x14:dxf>
              <fill>
                <patternFill>
                  <bgColor rgb="FFFFFF00"/>
                </patternFill>
              </fill>
            </x14:dxf>
          </x14:cfRule>
          <xm:sqref>I119:W119</xm:sqref>
        </x14:conditionalFormatting>
        <x14:conditionalFormatting xmlns:xm="http://schemas.microsoft.com/office/excel/2006/main">
          <x14:cfRule type="expression" priority="4697042" id="{46C1533A-F090-4A90-9309-3F59EC3FD3B0}">
            <xm:f>$X$4='Data entry'!$R44</xm:f>
            <x14:dxf>
              <fill>
                <patternFill>
                  <bgColor rgb="FFFF0000"/>
                </patternFill>
              </fill>
            </x14:dxf>
          </x14:cfRule>
          <xm:sqref>V120:AH120</xm:sqref>
        </x14:conditionalFormatting>
        <x14:conditionalFormatting xmlns:xm="http://schemas.microsoft.com/office/excel/2006/main">
          <x14:cfRule type="expression" priority="4697043" id="{7C70E81C-DDD4-4D75-933A-4F6A39893184}">
            <xm:f>$X$4='Data entry'!$R44</xm:f>
            <x14:dxf>
              <fill>
                <patternFill>
                  <bgColor rgb="FFFFFF00"/>
                </patternFill>
              </fill>
            </x14:dxf>
          </x14:cfRule>
          <xm:sqref>J119:X119</xm:sqref>
        </x14:conditionalFormatting>
        <x14:conditionalFormatting xmlns:xm="http://schemas.microsoft.com/office/excel/2006/main">
          <x14:cfRule type="expression" priority="4697044" id="{561AF073-0EF8-4B72-A119-40A639C4359D}">
            <xm:f>$Y$4='Data entry'!$R44</xm:f>
            <x14:dxf>
              <fill>
                <patternFill>
                  <bgColor rgb="FFFF0000"/>
                </patternFill>
              </fill>
            </x14:dxf>
          </x14:cfRule>
          <xm:sqref>W120:AI120</xm:sqref>
        </x14:conditionalFormatting>
        <x14:conditionalFormatting xmlns:xm="http://schemas.microsoft.com/office/excel/2006/main">
          <x14:cfRule type="expression" priority="4697045" id="{F242E808-8F07-4A89-9524-7D4C767CE357}">
            <xm:f>$Y$4='Data entry'!$R44</xm:f>
            <x14:dxf>
              <fill>
                <patternFill>
                  <bgColor rgb="FFFFFF00"/>
                </patternFill>
              </fill>
            </x14:dxf>
          </x14:cfRule>
          <xm:sqref>K119:Y119</xm:sqref>
        </x14:conditionalFormatting>
        <x14:conditionalFormatting xmlns:xm="http://schemas.microsoft.com/office/excel/2006/main">
          <x14:cfRule type="expression" priority="4697046" id="{DD601058-982B-4218-BD9D-64BB823C2633}">
            <xm:f>$Z$4='Data entry'!$R44</xm:f>
            <x14:dxf>
              <fill>
                <patternFill>
                  <bgColor rgb="FFFF0000"/>
                </patternFill>
              </fill>
            </x14:dxf>
          </x14:cfRule>
          <xm:sqref>X120:AJ120</xm:sqref>
        </x14:conditionalFormatting>
        <x14:conditionalFormatting xmlns:xm="http://schemas.microsoft.com/office/excel/2006/main">
          <x14:cfRule type="expression" priority="4697047" id="{C9DB141D-79F6-4093-92A3-7BF7A1622985}">
            <xm:f>$Z$4='Data entry'!$R44</xm:f>
            <x14:dxf>
              <fill>
                <patternFill>
                  <bgColor rgb="FFFFFF00"/>
                </patternFill>
              </fill>
            </x14:dxf>
          </x14:cfRule>
          <xm:sqref>L119:Z119</xm:sqref>
        </x14:conditionalFormatting>
        <x14:conditionalFormatting xmlns:xm="http://schemas.microsoft.com/office/excel/2006/main">
          <x14:cfRule type="expression" priority="4697048" id="{710EB8D3-F5C0-4E3C-8214-2D0C4E26F649}">
            <xm:f>$AA$4='Data entry'!$R44</xm:f>
            <x14:dxf>
              <fill>
                <patternFill>
                  <bgColor rgb="FFFF0000"/>
                </patternFill>
              </fill>
            </x14:dxf>
          </x14:cfRule>
          <xm:sqref>Y120:AK120</xm:sqref>
        </x14:conditionalFormatting>
        <x14:conditionalFormatting xmlns:xm="http://schemas.microsoft.com/office/excel/2006/main">
          <x14:cfRule type="expression" priority="4697049" id="{33825D69-C967-4D27-B395-5D44A3083802}">
            <xm:f>$AA$4='Data entry'!$R44</xm:f>
            <x14:dxf>
              <fill>
                <patternFill>
                  <bgColor rgb="FFFFFF00"/>
                </patternFill>
              </fill>
            </x14:dxf>
          </x14:cfRule>
          <xm:sqref>M119:AA119</xm:sqref>
        </x14:conditionalFormatting>
        <x14:conditionalFormatting xmlns:xm="http://schemas.microsoft.com/office/excel/2006/main">
          <x14:cfRule type="expression" priority="4697050" id="{9811A97D-351B-4D32-8754-AF433277E62B}">
            <xm:f>$AB$4='Data entry'!$R44</xm:f>
            <x14:dxf>
              <fill>
                <patternFill>
                  <bgColor rgb="FFFF0000"/>
                </patternFill>
              </fill>
            </x14:dxf>
          </x14:cfRule>
          <xm:sqref>Z120:AL120</xm:sqref>
        </x14:conditionalFormatting>
        <x14:conditionalFormatting xmlns:xm="http://schemas.microsoft.com/office/excel/2006/main">
          <x14:cfRule type="expression" priority="4697051" id="{6DD3E556-C72E-438B-92DA-3096ED1E4178}">
            <xm:f>$AB$4='Data entry'!$R44</xm:f>
            <x14:dxf>
              <fill>
                <patternFill>
                  <bgColor rgb="FFFFFF00"/>
                </patternFill>
              </fill>
            </x14:dxf>
          </x14:cfRule>
          <xm:sqref>N119:AB119</xm:sqref>
        </x14:conditionalFormatting>
        <x14:conditionalFormatting xmlns:xm="http://schemas.microsoft.com/office/excel/2006/main">
          <x14:cfRule type="expression" priority="4697052" id="{C0DF7A1B-D6BC-4371-BD3A-F0708147FA1C}">
            <xm:f>$AC$4='Data entry'!$R44</xm:f>
            <x14:dxf>
              <fill>
                <patternFill>
                  <bgColor rgb="FFFF0000"/>
                </patternFill>
              </fill>
            </x14:dxf>
          </x14:cfRule>
          <xm:sqref>AA120:AM120</xm:sqref>
        </x14:conditionalFormatting>
        <x14:conditionalFormatting xmlns:xm="http://schemas.microsoft.com/office/excel/2006/main">
          <x14:cfRule type="expression" priority="4697053" id="{DB2E1F48-AF0E-41F9-A976-6B1963CA5711}">
            <xm:f>$AC$4='Data entry'!$R44</xm:f>
            <x14:dxf>
              <fill>
                <patternFill>
                  <bgColor rgb="FFFFFF00"/>
                </patternFill>
              </fill>
            </x14:dxf>
          </x14:cfRule>
          <xm:sqref>O119:AC119</xm:sqref>
        </x14:conditionalFormatting>
        <x14:conditionalFormatting xmlns:xm="http://schemas.microsoft.com/office/excel/2006/main">
          <x14:cfRule type="expression" priority="4697054" id="{89909907-F9A9-4AF9-BC1D-304710A43F50}">
            <xm:f>$AD$4='Data entry'!$R44</xm:f>
            <x14:dxf>
              <fill>
                <patternFill>
                  <bgColor rgb="FFFF0000"/>
                </patternFill>
              </fill>
            </x14:dxf>
          </x14:cfRule>
          <xm:sqref>AB120:AN120</xm:sqref>
        </x14:conditionalFormatting>
        <x14:conditionalFormatting xmlns:xm="http://schemas.microsoft.com/office/excel/2006/main">
          <x14:cfRule type="expression" priority="4697055" id="{729676B7-E331-43A4-ACC9-850DCEE76A0E}">
            <xm:f>$AD$4='Data entry'!$R44</xm:f>
            <x14:dxf>
              <fill>
                <patternFill>
                  <bgColor rgb="FFFFFF00"/>
                </patternFill>
              </fill>
            </x14:dxf>
          </x14:cfRule>
          <xm:sqref>P119:AD119</xm:sqref>
        </x14:conditionalFormatting>
        <x14:conditionalFormatting xmlns:xm="http://schemas.microsoft.com/office/excel/2006/main">
          <x14:cfRule type="expression" priority="4697056" id="{00DA2C55-350E-44AA-ABEA-808FABFDA737}">
            <xm:f>$AE$4='Data entry'!$R44</xm:f>
            <x14:dxf>
              <fill>
                <patternFill>
                  <bgColor rgb="FFFF0000"/>
                </patternFill>
              </fill>
            </x14:dxf>
          </x14:cfRule>
          <xm:sqref>AC120:AO120</xm:sqref>
        </x14:conditionalFormatting>
        <x14:conditionalFormatting xmlns:xm="http://schemas.microsoft.com/office/excel/2006/main">
          <x14:cfRule type="expression" priority="4697057" id="{373C95F1-00C1-45E9-B561-5224945BA4A4}">
            <xm:f>$AE$4='Data entry'!$R44</xm:f>
            <x14:dxf>
              <fill>
                <patternFill>
                  <bgColor rgb="FFFFFF00"/>
                </patternFill>
              </fill>
            </x14:dxf>
          </x14:cfRule>
          <xm:sqref>Q119:AE119</xm:sqref>
        </x14:conditionalFormatting>
        <x14:conditionalFormatting xmlns:xm="http://schemas.microsoft.com/office/excel/2006/main">
          <x14:cfRule type="expression" priority="4697058" id="{65E90E74-6BEF-4B00-BD5E-ECACFEBC225A}">
            <xm:f>$AF$4='Data entry'!$R44</xm:f>
            <x14:dxf>
              <fill>
                <patternFill>
                  <bgColor rgb="FFFF0000"/>
                </patternFill>
              </fill>
            </x14:dxf>
          </x14:cfRule>
          <xm:sqref>AD120:AP120</xm:sqref>
        </x14:conditionalFormatting>
        <x14:conditionalFormatting xmlns:xm="http://schemas.microsoft.com/office/excel/2006/main">
          <x14:cfRule type="expression" priority="4697059" id="{56B519D7-E083-4811-B42B-D6CB10D44BB3}">
            <xm:f>$AF$4='Data entry'!$R44</xm:f>
            <x14:dxf>
              <fill>
                <patternFill>
                  <bgColor rgb="FFFFFF00"/>
                </patternFill>
              </fill>
            </x14:dxf>
          </x14:cfRule>
          <xm:sqref>R119:AF119</xm:sqref>
        </x14:conditionalFormatting>
        <x14:conditionalFormatting xmlns:xm="http://schemas.microsoft.com/office/excel/2006/main">
          <x14:cfRule type="expression" priority="4697060" id="{889682B6-BF9B-414B-86B7-1C802156B058}">
            <xm:f>$AG$4='Data entry'!$R44</xm:f>
            <x14:dxf>
              <fill>
                <patternFill>
                  <bgColor rgb="FFFF0000"/>
                </patternFill>
              </fill>
            </x14:dxf>
          </x14:cfRule>
          <xm:sqref>AE120:AQ120</xm:sqref>
        </x14:conditionalFormatting>
        <x14:conditionalFormatting xmlns:xm="http://schemas.microsoft.com/office/excel/2006/main">
          <x14:cfRule type="expression" priority="4697061" id="{19913D88-1940-4CB0-B29C-D46D60833BD5}">
            <xm:f>$AG$4='Data entry'!$R44</xm:f>
            <x14:dxf>
              <fill>
                <patternFill>
                  <bgColor rgb="FFFFFF00"/>
                </patternFill>
              </fill>
            </x14:dxf>
          </x14:cfRule>
          <xm:sqref>S119:AG119</xm:sqref>
        </x14:conditionalFormatting>
        <x14:conditionalFormatting xmlns:xm="http://schemas.microsoft.com/office/excel/2006/main">
          <x14:cfRule type="expression" priority="4697062" id="{3DD7B9A5-18A3-463F-BAD5-9796FC487328}">
            <xm:f>$AH$4='Data entry'!$R44</xm:f>
            <x14:dxf>
              <fill>
                <patternFill>
                  <bgColor rgb="FFFF0000"/>
                </patternFill>
              </fill>
            </x14:dxf>
          </x14:cfRule>
          <xm:sqref>AF120:AR120</xm:sqref>
        </x14:conditionalFormatting>
        <x14:conditionalFormatting xmlns:xm="http://schemas.microsoft.com/office/excel/2006/main">
          <x14:cfRule type="expression" priority="4697063" id="{31005CF4-5608-496E-91EB-F7F505046C80}">
            <xm:f>$AH$4='Data entry'!$R44</xm:f>
            <x14:dxf>
              <fill>
                <patternFill>
                  <bgColor rgb="FFFFFF00"/>
                </patternFill>
              </fill>
            </x14:dxf>
          </x14:cfRule>
          <xm:sqref>T119:AH119</xm:sqref>
        </x14:conditionalFormatting>
        <x14:conditionalFormatting xmlns:xm="http://schemas.microsoft.com/office/excel/2006/main">
          <x14:cfRule type="expression" priority="4697064" id="{CD14F654-5B7A-444F-8FC1-7DD71E76E475}">
            <xm:f>$AI$4='Data entry'!$R44</xm:f>
            <x14:dxf>
              <fill>
                <patternFill>
                  <bgColor rgb="FFFF0000"/>
                </patternFill>
              </fill>
            </x14:dxf>
          </x14:cfRule>
          <xm:sqref>AG120:AS120</xm:sqref>
        </x14:conditionalFormatting>
        <x14:conditionalFormatting xmlns:xm="http://schemas.microsoft.com/office/excel/2006/main">
          <x14:cfRule type="expression" priority="4697065" id="{0E4E448C-6C46-4285-B877-A61A90294385}">
            <xm:f>$AI$4='Data entry'!$R44</xm:f>
            <x14:dxf>
              <fill>
                <patternFill>
                  <bgColor rgb="FFFFFF00"/>
                </patternFill>
              </fill>
            </x14:dxf>
          </x14:cfRule>
          <xm:sqref>U119:AI119</xm:sqref>
        </x14:conditionalFormatting>
        <x14:conditionalFormatting xmlns:xm="http://schemas.microsoft.com/office/excel/2006/main">
          <x14:cfRule type="expression" priority="4697066" id="{B1C1818F-791C-403D-BE73-6F6E9DC6A16D}">
            <xm:f>$AJ$4='Data entry'!$R44</xm:f>
            <x14:dxf>
              <fill>
                <patternFill>
                  <bgColor rgb="FFFF0000"/>
                </patternFill>
              </fill>
            </x14:dxf>
          </x14:cfRule>
          <xm:sqref>AH120:AT120</xm:sqref>
        </x14:conditionalFormatting>
        <x14:conditionalFormatting xmlns:xm="http://schemas.microsoft.com/office/excel/2006/main">
          <x14:cfRule type="expression" priority="4697067" id="{A1237792-221B-431B-B8A7-E9A64DA46D93}">
            <xm:f>$AJ$4='Data entry'!$R44</xm:f>
            <x14:dxf>
              <fill>
                <patternFill>
                  <bgColor rgb="FFFFFF00"/>
                </patternFill>
              </fill>
            </x14:dxf>
          </x14:cfRule>
          <xm:sqref>V119:AJ119</xm:sqref>
        </x14:conditionalFormatting>
        <x14:conditionalFormatting xmlns:xm="http://schemas.microsoft.com/office/excel/2006/main">
          <x14:cfRule type="expression" priority="4697068" id="{617DC2AF-C7A3-4724-8EA3-17DEFEDC8949}">
            <xm:f>$AK$4='Data entry'!$R44</xm:f>
            <x14:dxf>
              <fill>
                <patternFill>
                  <bgColor rgb="FFFF0000"/>
                </patternFill>
              </fill>
            </x14:dxf>
          </x14:cfRule>
          <xm:sqref>AI120:AU120</xm:sqref>
        </x14:conditionalFormatting>
        <x14:conditionalFormatting xmlns:xm="http://schemas.microsoft.com/office/excel/2006/main">
          <x14:cfRule type="expression" priority="4697069" id="{AA72317D-37B1-48EB-A28B-BF2AC8DC4519}">
            <xm:f>$AK$4='Data entry'!$R44</xm:f>
            <x14:dxf>
              <fill>
                <patternFill>
                  <bgColor rgb="FFFFFF00"/>
                </patternFill>
              </fill>
            </x14:dxf>
          </x14:cfRule>
          <xm:sqref>W119:AK119</xm:sqref>
        </x14:conditionalFormatting>
        <x14:conditionalFormatting xmlns:xm="http://schemas.microsoft.com/office/excel/2006/main">
          <x14:cfRule type="expression" priority="4697070" id="{6CA9FB7A-20EA-4D3A-B74C-A001F4BE810D}">
            <xm:f>$AL$4='Data entry'!$R44</xm:f>
            <x14:dxf>
              <fill>
                <patternFill>
                  <bgColor rgb="FFFF0000"/>
                </patternFill>
              </fill>
            </x14:dxf>
          </x14:cfRule>
          <xm:sqref>AJ120:AV120</xm:sqref>
        </x14:conditionalFormatting>
        <x14:conditionalFormatting xmlns:xm="http://schemas.microsoft.com/office/excel/2006/main">
          <x14:cfRule type="expression" priority="4697071" id="{81A75DAA-573F-4EF3-A640-1B992C18BEA0}">
            <xm:f>$AL$4='Data entry'!$R44</xm:f>
            <x14:dxf>
              <fill>
                <patternFill>
                  <bgColor rgb="FFFFFF00"/>
                </patternFill>
              </fill>
            </x14:dxf>
          </x14:cfRule>
          <xm:sqref>X119:AL119</xm:sqref>
        </x14:conditionalFormatting>
        <x14:conditionalFormatting xmlns:xm="http://schemas.microsoft.com/office/excel/2006/main">
          <x14:cfRule type="expression" priority="4697072" id="{3D44713E-4ABA-4CCD-9DF4-5513A9FB5E1E}">
            <xm:f>$AM$4='Data entry'!$R44</xm:f>
            <x14:dxf>
              <fill>
                <patternFill>
                  <bgColor rgb="FFFF0000"/>
                </patternFill>
              </fill>
            </x14:dxf>
          </x14:cfRule>
          <xm:sqref>AK120:AW120</xm:sqref>
        </x14:conditionalFormatting>
        <x14:conditionalFormatting xmlns:xm="http://schemas.microsoft.com/office/excel/2006/main">
          <x14:cfRule type="expression" priority="4697073" id="{05A26B51-72A7-4423-822F-2BDBC28275D0}">
            <xm:f>$AM$4='Data entry'!$R44</xm:f>
            <x14:dxf>
              <fill>
                <patternFill>
                  <bgColor rgb="FFFFFF00"/>
                </patternFill>
              </fill>
            </x14:dxf>
          </x14:cfRule>
          <xm:sqref>Y119:AM119</xm:sqref>
        </x14:conditionalFormatting>
        <x14:conditionalFormatting xmlns:xm="http://schemas.microsoft.com/office/excel/2006/main">
          <x14:cfRule type="expression" priority="4697074" id="{B8A20675-6230-4694-A7F6-6B3DC7142773}">
            <xm:f>$AN$4='Data entry'!$R44</xm:f>
            <x14:dxf>
              <fill>
                <patternFill>
                  <bgColor rgb="FFFF0000"/>
                </patternFill>
              </fill>
            </x14:dxf>
          </x14:cfRule>
          <xm:sqref>AL120:AX120</xm:sqref>
        </x14:conditionalFormatting>
        <x14:conditionalFormatting xmlns:xm="http://schemas.microsoft.com/office/excel/2006/main">
          <x14:cfRule type="expression" priority="4697075" id="{8421181C-7450-42E9-BC1D-065CCFCA960E}">
            <xm:f>$AN$4='Data entry'!$R44</xm:f>
            <x14:dxf>
              <fill>
                <patternFill>
                  <bgColor rgb="FFFFFF00"/>
                </patternFill>
              </fill>
            </x14:dxf>
          </x14:cfRule>
          <xm:sqref>Z119:AN119</xm:sqref>
        </x14:conditionalFormatting>
        <x14:conditionalFormatting xmlns:xm="http://schemas.microsoft.com/office/excel/2006/main">
          <x14:cfRule type="expression" priority="4697076" id="{067FE4BD-6EF4-4684-B6E0-35AB2F267EE7}">
            <xm:f>$AO$4='Data entry'!$R44</xm:f>
            <x14:dxf>
              <fill>
                <patternFill>
                  <bgColor rgb="FFFF0000"/>
                </patternFill>
              </fill>
            </x14:dxf>
          </x14:cfRule>
          <xm:sqref>AM120:AY120</xm:sqref>
        </x14:conditionalFormatting>
        <x14:conditionalFormatting xmlns:xm="http://schemas.microsoft.com/office/excel/2006/main">
          <x14:cfRule type="expression" priority="4697077" id="{F7653492-88D1-47AC-8BA3-0CCE65C3C2AB}">
            <xm:f>$AO$4='Data entry'!$R44</xm:f>
            <x14:dxf>
              <fill>
                <patternFill>
                  <bgColor rgb="FFFFFF00"/>
                </patternFill>
              </fill>
            </x14:dxf>
          </x14:cfRule>
          <xm:sqref>AA119:AO119</xm:sqref>
        </x14:conditionalFormatting>
        <x14:conditionalFormatting xmlns:xm="http://schemas.microsoft.com/office/excel/2006/main">
          <x14:cfRule type="expression" priority="4697078" id="{207A5E5D-B322-482E-9193-1D7318138358}">
            <xm:f>$AP$4='Data entry'!$R44</xm:f>
            <x14:dxf>
              <fill>
                <patternFill>
                  <bgColor rgb="FFFF0000"/>
                </patternFill>
              </fill>
            </x14:dxf>
          </x14:cfRule>
          <xm:sqref>AN120:AZ120</xm:sqref>
        </x14:conditionalFormatting>
        <x14:conditionalFormatting xmlns:xm="http://schemas.microsoft.com/office/excel/2006/main">
          <x14:cfRule type="expression" priority="4697079" id="{21DA638D-4CA0-4067-BFF1-240CE1A0261B}">
            <xm:f>$AP$4='Data entry'!$R44</xm:f>
            <x14:dxf>
              <fill>
                <patternFill>
                  <bgColor rgb="FFFFFF00"/>
                </patternFill>
              </fill>
            </x14:dxf>
          </x14:cfRule>
          <xm:sqref>AB119:AP119</xm:sqref>
        </x14:conditionalFormatting>
        <x14:conditionalFormatting xmlns:xm="http://schemas.microsoft.com/office/excel/2006/main">
          <x14:cfRule type="expression" priority="4697080" id="{71963D96-A42A-4B90-BFC7-6D83D37766EF}">
            <xm:f>$AQ$4='Data entry'!$R44</xm:f>
            <x14:dxf>
              <fill>
                <patternFill>
                  <bgColor rgb="FFFF0000"/>
                </patternFill>
              </fill>
            </x14:dxf>
          </x14:cfRule>
          <xm:sqref>AO120:BA120</xm:sqref>
        </x14:conditionalFormatting>
        <x14:conditionalFormatting xmlns:xm="http://schemas.microsoft.com/office/excel/2006/main">
          <x14:cfRule type="expression" priority="4697081" id="{74952595-84B6-484F-8FF6-FCC1F337DF4D}">
            <xm:f>$AQ$4='Data entry'!$R44</xm:f>
            <x14:dxf>
              <fill>
                <patternFill>
                  <bgColor rgb="FFFFFF00"/>
                </patternFill>
              </fill>
            </x14:dxf>
          </x14:cfRule>
          <xm:sqref>AC119:AQ119</xm:sqref>
        </x14:conditionalFormatting>
        <x14:conditionalFormatting xmlns:xm="http://schemas.microsoft.com/office/excel/2006/main">
          <x14:cfRule type="expression" priority="4697082" id="{8AC9C4B9-0A34-4BC0-B0F7-CA89434C4911}">
            <xm:f>$P$4='Data entry'!$R44</xm:f>
            <x14:dxf>
              <fill>
                <patternFill>
                  <bgColor rgb="FFFFFF00"/>
                </patternFill>
              </fill>
            </x14:dxf>
          </x14:cfRule>
          <xm:sqref>C119:P119</xm:sqref>
        </x14:conditionalFormatting>
        <x14:conditionalFormatting xmlns:xm="http://schemas.microsoft.com/office/excel/2006/main">
          <x14:cfRule type="expression" priority="4697083" id="{0A726775-ABFD-4F22-967C-1A4D87BA3751}">
            <xm:f>$Q$4='Data entry'!$R44</xm:f>
            <x14:dxf>
              <fill>
                <patternFill>
                  <bgColor rgb="FFFFFF00"/>
                </patternFill>
              </fill>
            </x14:dxf>
          </x14:cfRule>
          <xm:sqref>C119:Q119</xm:sqref>
        </x14:conditionalFormatting>
        <x14:conditionalFormatting xmlns:xm="http://schemas.microsoft.com/office/excel/2006/main">
          <x14:cfRule type="expression" priority="4697084" id="{3A8414BD-262C-43B5-86EE-FA6901D00453}">
            <xm:f>$Q$4='Data entry'!$R44</xm:f>
            <x14:dxf>
              <fill>
                <patternFill>
                  <bgColor rgb="FFFF0000"/>
                </patternFill>
              </fill>
            </x14:dxf>
          </x14:cfRule>
          <xm:sqref>O120:AA120</xm:sqref>
        </x14:conditionalFormatting>
        <x14:conditionalFormatting xmlns:xm="http://schemas.microsoft.com/office/excel/2006/main">
          <x14:cfRule type="expression" priority="4697085" id="{B8B5501D-F3EF-4449-9306-F652960C65F4}">
            <xm:f>$R$4='Data entry'!$R44</xm:f>
            <x14:dxf>
              <fill>
                <patternFill>
                  <bgColor rgb="FFFF0000"/>
                </patternFill>
              </fill>
            </x14:dxf>
          </x14:cfRule>
          <xm:sqref>P120:AB120</xm:sqref>
        </x14:conditionalFormatting>
        <x14:conditionalFormatting xmlns:xm="http://schemas.microsoft.com/office/excel/2006/main">
          <x14:cfRule type="expression" priority="4697086" id="{5D070DEC-B82E-4D87-B907-A3E5AB836991}">
            <xm:f>$R$4='Data entry'!$R44</xm:f>
            <x14:dxf>
              <fill>
                <patternFill>
                  <bgColor rgb="FFFFFF00"/>
                </patternFill>
              </fill>
            </x14:dxf>
          </x14:cfRule>
          <xm:sqref>D119:R119</xm:sqref>
        </x14:conditionalFormatting>
        <x14:conditionalFormatting xmlns:xm="http://schemas.microsoft.com/office/excel/2006/main">
          <x14:cfRule type="expression" priority="4697087" id="{E4D16A10-F818-4664-9FB2-F0E839824D4B}">
            <xm:f>$S$4='Data entry'!$R44</xm:f>
            <x14:dxf>
              <fill>
                <patternFill>
                  <bgColor rgb="FFFF0000"/>
                </patternFill>
              </fill>
            </x14:dxf>
          </x14:cfRule>
          <xm:sqref>Q120:AC120</xm:sqref>
        </x14:conditionalFormatting>
        <x14:conditionalFormatting xmlns:xm="http://schemas.microsoft.com/office/excel/2006/main">
          <x14:cfRule type="expression" priority="4697088" id="{1A9F9911-A3E9-4730-AFBE-AB8C596545CA}">
            <xm:f>$S$4='Data entry'!$R44</xm:f>
            <x14:dxf>
              <fill>
                <patternFill>
                  <bgColor rgb="FFFFFF00"/>
                </patternFill>
              </fill>
            </x14:dxf>
          </x14:cfRule>
          <xm:sqref>E119:S119</xm:sqref>
        </x14:conditionalFormatting>
        <x14:conditionalFormatting xmlns:xm="http://schemas.microsoft.com/office/excel/2006/main">
          <x14:cfRule type="expression" priority="4697089" id="{8BB5CD1B-B2AC-442A-9550-26DE19A62D22}">
            <xm:f>$T$4='Data entry'!$R44</xm:f>
            <x14:dxf>
              <fill>
                <patternFill>
                  <bgColor rgb="FFFF0000"/>
                </patternFill>
              </fill>
            </x14:dxf>
          </x14:cfRule>
          <xm:sqref>R120:AD120</xm:sqref>
        </x14:conditionalFormatting>
        <x14:conditionalFormatting xmlns:xm="http://schemas.microsoft.com/office/excel/2006/main">
          <x14:cfRule type="expression" priority="4697090" id="{E7B59C69-7921-4049-84A1-8B3E5F7B0598}">
            <xm:f>$T$4='Data entry'!$R44</xm:f>
            <x14:dxf>
              <fill>
                <patternFill>
                  <bgColor rgb="FFFFFF00"/>
                </patternFill>
              </fill>
            </x14:dxf>
          </x14:cfRule>
          <xm:sqref>F119:T119</xm:sqref>
        </x14:conditionalFormatting>
        <x14:conditionalFormatting xmlns:xm="http://schemas.microsoft.com/office/excel/2006/main">
          <x14:cfRule type="expression" priority="4697091" id="{238C09E5-7A3D-439D-949F-A7733073F9A2}">
            <xm:f>$U$4='Data entry'!$R44</xm:f>
            <x14:dxf>
              <fill>
                <patternFill>
                  <bgColor rgb="FFFFFF00"/>
                </patternFill>
              </fill>
            </x14:dxf>
          </x14:cfRule>
          <xm:sqref>G119:U119</xm:sqref>
        </x14:conditionalFormatting>
        <x14:conditionalFormatting xmlns:xm="http://schemas.microsoft.com/office/excel/2006/main">
          <x14:cfRule type="expression" priority="4697092" id="{DE4D4432-0A19-452A-AF14-2873FE4DF411}">
            <xm:f>$AR$4='Data entry'!$R44</xm:f>
            <x14:dxf>
              <fill>
                <patternFill>
                  <bgColor rgb="FFFF0000"/>
                </patternFill>
              </fill>
            </x14:dxf>
          </x14:cfRule>
          <xm:sqref>AP120:BB120</xm:sqref>
        </x14:conditionalFormatting>
        <x14:conditionalFormatting xmlns:xm="http://schemas.microsoft.com/office/excel/2006/main">
          <x14:cfRule type="expression" priority="4697093" id="{90D7E1FF-542D-40C8-9BD5-DFEB4CDD256F}">
            <xm:f>$AR$4='Data entry'!$R44</xm:f>
            <x14:dxf>
              <fill>
                <patternFill>
                  <bgColor rgb="FFFFFF00"/>
                </patternFill>
              </fill>
            </x14:dxf>
          </x14:cfRule>
          <xm:sqref>AD119:AR119</xm:sqref>
        </x14:conditionalFormatting>
        <x14:conditionalFormatting xmlns:xm="http://schemas.microsoft.com/office/excel/2006/main">
          <x14:cfRule type="expression" priority="4697094" id="{0EBB5305-4A4A-4205-A1FF-11160070CBC3}">
            <xm:f>$AS$4='Data entry'!$R44</xm:f>
            <x14:dxf>
              <fill>
                <patternFill>
                  <bgColor rgb="FFFF0000"/>
                </patternFill>
              </fill>
            </x14:dxf>
          </x14:cfRule>
          <xm:sqref>AQ120:BC120</xm:sqref>
        </x14:conditionalFormatting>
        <x14:conditionalFormatting xmlns:xm="http://schemas.microsoft.com/office/excel/2006/main">
          <x14:cfRule type="expression" priority="4697095" id="{AC8EB30C-4253-4CE1-820E-1801F6D8D35B}">
            <xm:f>$AS$4='Data entry'!$R44</xm:f>
            <x14:dxf>
              <fill>
                <patternFill>
                  <bgColor rgb="FFFFFF00"/>
                </patternFill>
              </fill>
            </x14:dxf>
          </x14:cfRule>
          <xm:sqref>AE119:AS119</xm:sqref>
        </x14:conditionalFormatting>
        <x14:conditionalFormatting xmlns:xm="http://schemas.microsoft.com/office/excel/2006/main">
          <x14:cfRule type="expression" priority="4697096" id="{E11744C1-7201-4272-A1B0-945490B42425}">
            <xm:f>$AT$4='Data entry'!$R44</xm:f>
            <x14:dxf>
              <fill>
                <patternFill>
                  <bgColor rgb="FFFF0000"/>
                </patternFill>
              </fill>
            </x14:dxf>
          </x14:cfRule>
          <xm:sqref>AR120:BD120</xm:sqref>
        </x14:conditionalFormatting>
        <x14:conditionalFormatting xmlns:xm="http://schemas.microsoft.com/office/excel/2006/main">
          <x14:cfRule type="expression" priority="4697097" id="{5EE2823B-E955-4EA7-B99C-0B1F77B57A69}">
            <xm:f>$AT$4='Data entry'!$R44</xm:f>
            <x14:dxf>
              <fill>
                <patternFill>
                  <bgColor rgb="FFFFFF00"/>
                </patternFill>
              </fill>
            </x14:dxf>
          </x14:cfRule>
          <xm:sqref>AF119:AT119</xm:sqref>
        </x14:conditionalFormatting>
        <x14:conditionalFormatting xmlns:xm="http://schemas.microsoft.com/office/excel/2006/main">
          <x14:cfRule type="expression" priority="4697098" id="{5737DC63-3262-4B34-900C-2AAEB255FCBA}">
            <xm:f>$AU$4='Data entry'!$R44</xm:f>
            <x14:dxf>
              <fill>
                <patternFill>
                  <bgColor rgb="FFFF0000"/>
                </patternFill>
              </fill>
            </x14:dxf>
          </x14:cfRule>
          <xm:sqref>AS120:BE120</xm:sqref>
        </x14:conditionalFormatting>
        <x14:conditionalFormatting xmlns:xm="http://schemas.microsoft.com/office/excel/2006/main">
          <x14:cfRule type="expression" priority="4697099" id="{2B5C1F1B-3C3D-4CA3-BC64-0E98422075B6}">
            <xm:f>$AU$4='Data entry'!$R44</xm:f>
            <x14:dxf>
              <fill>
                <patternFill>
                  <bgColor rgb="FFFFFF00"/>
                </patternFill>
              </fill>
            </x14:dxf>
          </x14:cfRule>
          <xm:sqref>AG119:AU119</xm:sqref>
        </x14:conditionalFormatting>
        <x14:conditionalFormatting xmlns:xm="http://schemas.microsoft.com/office/excel/2006/main">
          <x14:cfRule type="expression" priority="4697100" id="{B87A1285-B003-4855-8F4B-53C391BA10E6}">
            <xm:f>$AV$4='Data entry'!$R44</xm:f>
            <x14:dxf>
              <fill>
                <patternFill>
                  <bgColor rgb="FFFF0000"/>
                </patternFill>
              </fill>
            </x14:dxf>
          </x14:cfRule>
          <xm:sqref>AT120:BF120</xm:sqref>
        </x14:conditionalFormatting>
        <x14:conditionalFormatting xmlns:xm="http://schemas.microsoft.com/office/excel/2006/main">
          <x14:cfRule type="expression" priority="4697101" id="{338EE31C-78DB-4818-B837-0380F9E457FA}">
            <xm:f>$AV$4='Data entry'!$R44</xm:f>
            <x14:dxf>
              <fill>
                <patternFill>
                  <bgColor rgb="FFFFFF00"/>
                </patternFill>
              </fill>
            </x14:dxf>
          </x14:cfRule>
          <xm:sqref>AH119:AV119</xm:sqref>
        </x14:conditionalFormatting>
        <x14:conditionalFormatting xmlns:xm="http://schemas.microsoft.com/office/excel/2006/main">
          <x14:cfRule type="expression" priority="4697102" id="{5C40EA66-2801-4C91-B885-BF6A1ECFC35C}">
            <xm:f>$AW$4='Data entry'!$R44</xm:f>
            <x14:dxf>
              <fill>
                <patternFill>
                  <bgColor rgb="FFFF0000"/>
                </patternFill>
              </fill>
            </x14:dxf>
          </x14:cfRule>
          <xm:sqref>AU120:BG120</xm:sqref>
        </x14:conditionalFormatting>
        <x14:conditionalFormatting xmlns:xm="http://schemas.microsoft.com/office/excel/2006/main">
          <x14:cfRule type="expression" priority="4697103" id="{51BCD5CE-DF86-4C2F-8A81-DDA1EFD6C8F7}">
            <xm:f>$AW$4='Data entry'!$R44</xm:f>
            <x14:dxf>
              <fill>
                <patternFill>
                  <bgColor rgb="FFFFFF00"/>
                </patternFill>
              </fill>
            </x14:dxf>
          </x14:cfRule>
          <xm:sqref>AI119:AW119</xm:sqref>
        </x14:conditionalFormatting>
        <x14:conditionalFormatting xmlns:xm="http://schemas.microsoft.com/office/excel/2006/main">
          <x14:cfRule type="expression" priority="4697104" id="{DC2ED5A0-8917-4877-8CD3-9DF9BE5993C9}">
            <xm:f>$AX$4='Data entry'!$R44</xm:f>
            <x14:dxf>
              <fill>
                <patternFill>
                  <bgColor rgb="FFFF0000"/>
                </patternFill>
              </fill>
            </x14:dxf>
          </x14:cfRule>
          <xm:sqref>AV120:BH120</xm:sqref>
        </x14:conditionalFormatting>
        <x14:conditionalFormatting xmlns:xm="http://schemas.microsoft.com/office/excel/2006/main">
          <x14:cfRule type="expression" priority="4697105" id="{59B31869-20F9-45BD-BC80-0A6C8945CE2C}">
            <xm:f>$AX$4='Data entry'!$R44</xm:f>
            <x14:dxf>
              <fill>
                <patternFill>
                  <bgColor rgb="FFFFFF00"/>
                </patternFill>
              </fill>
            </x14:dxf>
          </x14:cfRule>
          <xm:sqref>AJ119:AX119</xm:sqref>
        </x14:conditionalFormatting>
        <x14:conditionalFormatting xmlns:xm="http://schemas.microsoft.com/office/excel/2006/main">
          <x14:cfRule type="expression" priority="4697106" id="{D4208FA0-4262-4037-934C-6D0742B2AD8E}">
            <xm:f>$AY$4='Data entry'!$R44</xm:f>
            <x14:dxf>
              <fill>
                <patternFill>
                  <bgColor rgb="FFFF0000"/>
                </patternFill>
              </fill>
            </x14:dxf>
          </x14:cfRule>
          <xm:sqref>AW120:BI120</xm:sqref>
        </x14:conditionalFormatting>
        <x14:conditionalFormatting xmlns:xm="http://schemas.microsoft.com/office/excel/2006/main">
          <x14:cfRule type="expression" priority="4697107" id="{04D6E423-18C7-42B2-A67D-F49D8E62B571}">
            <xm:f>$AY$4='Data entry'!$R44</xm:f>
            <x14:dxf>
              <fill>
                <patternFill>
                  <bgColor rgb="FFFFFF00"/>
                </patternFill>
              </fill>
            </x14:dxf>
          </x14:cfRule>
          <xm:sqref>AK119:AY119</xm:sqref>
        </x14:conditionalFormatting>
        <x14:conditionalFormatting xmlns:xm="http://schemas.microsoft.com/office/excel/2006/main">
          <x14:cfRule type="expression" priority="4697108" id="{A931C203-6E4B-4EBD-A2F4-1876881F48D4}">
            <xm:f>$AZ$4='Data entry'!$R44</xm:f>
            <x14:dxf>
              <fill>
                <patternFill>
                  <bgColor rgb="FFFF0000"/>
                </patternFill>
              </fill>
            </x14:dxf>
          </x14:cfRule>
          <xm:sqref>AX120:BJ120</xm:sqref>
        </x14:conditionalFormatting>
        <x14:conditionalFormatting xmlns:xm="http://schemas.microsoft.com/office/excel/2006/main">
          <x14:cfRule type="expression" priority="4697109" id="{092D9100-E652-40FE-8CAA-720DC0681250}">
            <xm:f>$AZ$4='Data entry'!$R44</xm:f>
            <x14:dxf>
              <fill>
                <patternFill>
                  <bgColor rgb="FFFFFF00"/>
                </patternFill>
              </fill>
            </x14:dxf>
          </x14:cfRule>
          <xm:sqref>AL119:AZ119</xm:sqref>
        </x14:conditionalFormatting>
        <x14:conditionalFormatting xmlns:xm="http://schemas.microsoft.com/office/excel/2006/main">
          <x14:cfRule type="expression" priority="4697110" id="{A3C7E6BE-A225-483C-A983-A915DB662C52}">
            <xm:f>$BA$4='Data entry'!$R44</xm:f>
            <x14:dxf>
              <fill>
                <patternFill>
                  <bgColor rgb="FFFF0000"/>
                </patternFill>
              </fill>
            </x14:dxf>
          </x14:cfRule>
          <xm:sqref>AY120:BK120</xm:sqref>
        </x14:conditionalFormatting>
        <x14:conditionalFormatting xmlns:xm="http://schemas.microsoft.com/office/excel/2006/main">
          <x14:cfRule type="expression" priority="4697111" id="{F5CF569A-8AFA-4CFF-8BD3-F04D8927A99F}">
            <xm:f>$BA$4='Data entry'!$R44</xm:f>
            <x14:dxf>
              <fill>
                <patternFill>
                  <bgColor rgb="FFFFFF00"/>
                </patternFill>
              </fill>
            </x14:dxf>
          </x14:cfRule>
          <xm:sqref>AM119:BA119</xm:sqref>
        </x14:conditionalFormatting>
        <x14:conditionalFormatting xmlns:xm="http://schemas.microsoft.com/office/excel/2006/main">
          <x14:cfRule type="expression" priority="4697112" id="{E4DAC94A-7983-4BFB-A87B-45B58561841A}">
            <xm:f>$BB$4='Data entry'!$R44</xm:f>
            <x14:dxf>
              <fill>
                <patternFill>
                  <bgColor rgb="FFFF0000"/>
                </patternFill>
              </fill>
            </x14:dxf>
          </x14:cfRule>
          <xm:sqref>AZ120:BL120</xm:sqref>
        </x14:conditionalFormatting>
        <x14:conditionalFormatting xmlns:xm="http://schemas.microsoft.com/office/excel/2006/main">
          <x14:cfRule type="expression" priority="4697113" id="{E63849C5-F39B-4B0E-8F8A-B532EDF2CBAE}">
            <xm:f>$BB$4='Data entry'!$R44</xm:f>
            <x14:dxf>
              <fill>
                <patternFill>
                  <bgColor rgb="FFFFFF00"/>
                </patternFill>
              </fill>
            </x14:dxf>
          </x14:cfRule>
          <xm:sqref>AN119:BB119</xm:sqref>
        </x14:conditionalFormatting>
        <x14:conditionalFormatting xmlns:xm="http://schemas.microsoft.com/office/excel/2006/main">
          <x14:cfRule type="expression" priority="4697114" id="{4FDC32D3-C1F5-455D-9AA4-A03359B72526}">
            <xm:f>$BC$4='Data entry'!$R44</xm:f>
            <x14:dxf>
              <fill>
                <patternFill>
                  <bgColor rgb="FFFF0000"/>
                </patternFill>
              </fill>
            </x14:dxf>
          </x14:cfRule>
          <xm:sqref>BA120:BM120</xm:sqref>
        </x14:conditionalFormatting>
        <x14:conditionalFormatting xmlns:xm="http://schemas.microsoft.com/office/excel/2006/main">
          <x14:cfRule type="expression" priority="4697115" id="{5F0D0C60-B233-4C56-B05D-98C99990877F}">
            <xm:f>$BC$4='Data entry'!$R44</xm:f>
            <x14:dxf>
              <fill>
                <patternFill>
                  <bgColor rgb="FFFFFF00"/>
                </patternFill>
              </fill>
            </x14:dxf>
          </x14:cfRule>
          <xm:sqref>AO119:BC119</xm:sqref>
        </x14:conditionalFormatting>
        <x14:conditionalFormatting xmlns:xm="http://schemas.microsoft.com/office/excel/2006/main">
          <x14:cfRule type="expression" priority="4697116" id="{9EBCB60F-8135-43B6-A0F3-548D4092CC98}">
            <xm:f>$BD$4='Data entry'!$R44</xm:f>
            <x14:dxf>
              <fill>
                <patternFill>
                  <bgColor rgb="FFFF0000"/>
                </patternFill>
              </fill>
            </x14:dxf>
          </x14:cfRule>
          <xm:sqref>BB120:BN120</xm:sqref>
        </x14:conditionalFormatting>
        <x14:conditionalFormatting xmlns:xm="http://schemas.microsoft.com/office/excel/2006/main">
          <x14:cfRule type="expression" priority="4697117" id="{961AF346-4A73-41ED-9A8D-27D431B09C05}">
            <xm:f>$BD$4='Data entry'!$R44</xm:f>
            <x14:dxf>
              <fill>
                <patternFill>
                  <bgColor rgb="FFFFFF00"/>
                </patternFill>
              </fill>
            </x14:dxf>
          </x14:cfRule>
          <xm:sqref>AP119:BD119</xm:sqref>
        </x14:conditionalFormatting>
        <x14:conditionalFormatting xmlns:xm="http://schemas.microsoft.com/office/excel/2006/main">
          <x14:cfRule type="expression" priority="4697118" id="{5A887026-27CD-4F8C-8BA6-1E92704C1CA6}">
            <xm:f>$BE$4='Data entry'!$R44</xm:f>
            <x14:dxf>
              <fill>
                <patternFill>
                  <bgColor rgb="FFFF0000"/>
                </patternFill>
              </fill>
            </x14:dxf>
          </x14:cfRule>
          <xm:sqref>BC120:BO120</xm:sqref>
        </x14:conditionalFormatting>
        <x14:conditionalFormatting xmlns:xm="http://schemas.microsoft.com/office/excel/2006/main">
          <x14:cfRule type="expression" priority="4697119" id="{7F46217B-A1E9-4515-B31E-E756FCD7C6D9}">
            <xm:f>$BE$4='Data entry'!$R44</xm:f>
            <x14:dxf>
              <fill>
                <patternFill>
                  <bgColor rgb="FFFFFF00"/>
                </patternFill>
              </fill>
            </x14:dxf>
          </x14:cfRule>
          <xm:sqref>AP119:BE119</xm:sqref>
        </x14:conditionalFormatting>
        <x14:conditionalFormatting xmlns:xm="http://schemas.microsoft.com/office/excel/2006/main">
          <x14:cfRule type="expression" priority="4697120" id="{F4D9285C-8CA0-4EF1-943E-6A462D47CC77}">
            <xm:f>$BF$4='Data entry'!$R44</xm:f>
            <x14:dxf>
              <fill>
                <patternFill>
                  <bgColor rgb="FFFF0000"/>
                </patternFill>
              </fill>
            </x14:dxf>
          </x14:cfRule>
          <xm:sqref>BD120:BP120</xm:sqref>
        </x14:conditionalFormatting>
        <x14:conditionalFormatting xmlns:xm="http://schemas.microsoft.com/office/excel/2006/main">
          <x14:cfRule type="expression" priority="4697121" id="{B9E4407D-651D-4DC0-9D61-3271D62A65E9}">
            <xm:f>$BF$4='Data entry'!$R44</xm:f>
            <x14:dxf>
              <fill>
                <patternFill>
                  <bgColor rgb="FFFFFF00"/>
                </patternFill>
              </fill>
            </x14:dxf>
          </x14:cfRule>
          <xm:sqref>AR119:BF119</xm:sqref>
        </x14:conditionalFormatting>
        <x14:conditionalFormatting xmlns:xm="http://schemas.microsoft.com/office/excel/2006/main">
          <x14:cfRule type="expression" priority="4697122" id="{4CDC062F-DDFF-4556-B941-08F919727F69}">
            <xm:f>$BG$4='Data entry'!$R44</xm:f>
            <x14:dxf>
              <fill>
                <patternFill>
                  <bgColor rgb="FFFF0000"/>
                </patternFill>
              </fill>
            </x14:dxf>
          </x14:cfRule>
          <xm:sqref>BE120:BQ120</xm:sqref>
        </x14:conditionalFormatting>
        <x14:conditionalFormatting xmlns:xm="http://schemas.microsoft.com/office/excel/2006/main">
          <x14:cfRule type="expression" priority="4697123" id="{789184FA-9055-433B-8A1B-92C7ED59E81F}">
            <xm:f>$BG$4='Data entry'!$R44</xm:f>
            <x14:dxf>
              <fill>
                <patternFill>
                  <bgColor rgb="FFFFFF00"/>
                </patternFill>
              </fill>
            </x14:dxf>
          </x14:cfRule>
          <xm:sqref>AS119:BG119</xm:sqref>
        </x14:conditionalFormatting>
        <x14:conditionalFormatting xmlns:xm="http://schemas.microsoft.com/office/excel/2006/main">
          <x14:cfRule type="expression" priority="4697124" id="{58651E5C-09C9-46C1-B95C-E8A578A49E15}">
            <xm:f>$BH$4='Data entry'!$R44</xm:f>
            <x14:dxf>
              <fill>
                <patternFill>
                  <bgColor rgb="FFFFFF00"/>
                </patternFill>
              </fill>
            </x14:dxf>
          </x14:cfRule>
          <xm:sqref>AT119:BH119</xm:sqref>
        </x14:conditionalFormatting>
        <x14:conditionalFormatting xmlns:xm="http://schemas.microsoft.com/office/excel/2006/main">
          <x14:cfRule type="expression" priority="4697125" id="{97B30B86-8311-4DC0-A533-8C0D53F37839}">
            <xm:f>$BH$4='Data entry'!$R44</xm:f>
            <x14:dxf>
              <fill>
                <patternFill>
                  <bgColor rgb="FFFF0000"/>
                </patternFill>
              </fill>
            </x14:dxf>
          </x14:cfRule>
          <xm:sqref>BF120:BR120</xm:sqref>
        </x14:conditionalFormatting>
        <x14:conditionalFormatting xmlns:xm="http://schemas.microsoft.com/office/excel/2006/main">
          <x14:cfRule type="expression" priority="4697126" id="{78344C0C-5AEA-40B1-A20C-6D77DF58E1F5}">
            <xm:f>$BI$4='Data entry'!$R44</xm:f>
            <x14:dxf>
              <fill>
                <patternFill>
                  <bgColor rgb="FFFFFF00"/>
                </patternFill>
              </fill>
            </x14:dxf>
          </x14:cfRule>
          <xm:sqref>AU119:BI119</xm:sqref>
        </x14:conditionalFormatting>
        <x14:conditionalFormatting xmlns:xm="http://schemas.microsoft.com/office/excel/2006/main">
          <x14:cfRule type="expression" priority="4697127" id="{A9CE044F-482E-4F25-B28F-89ACC58502B1}">
            <xm:f>$BI$4='Data entry'!$R44</xm:f>
            <x14:dxf>
              <fill>
                <patternFill>
                  <bgColor rgb="FFFF0000"/>
                </patternFill>
              </fill>
            </x14:dxf>
          </x14:cfRule>
          <xm:sqref>BG120:BS120</xm:sqref>
        </x14:conditionalFormatting>
        <x14:conditionalFormatting xmlns:xm="http://schemas.microsoft.com/office/excel/2006/main">
          <x14:cfRule type="expression" priority="4697128" id="{F63BE0EB-3C71-4456-BEF0-11180AB7A8BB}">
            <xm:f>$BJ$4='Data entry'!$R44</xm:f>
            <x14:dxf>
              <fill>
                <patternFill>
                  <bgColor rgb="FFFFFF00"/>
                </patternFill>
              </fill>
            </x14:dxf>
          </x14:cfRule>
          <xm:sqref>AV119:BJ119</xm:sqref>
        </x14:conditionalFormatting>
        <x14:conditionalFormatting xmlns:xm="http://schemas.microsoft.com/office/excel/2006/main">
          <x14:cfRule type="expression" priority="4697129" id="{478A5DCB-1DAA-4497-A6CC-B4F01FB96D10}">
            <xm:f>$BJ$4='Data entry'!$R44</xm:f>
            <x14:dxf>
              <fill>
                <patternFill>
                  <bgColor rgb="FFFF0000"/>
                </patternFill>
              </fill>
            </x14:dxf>
          </x14:cfRule>
          <xm:sqref>BH120:BT120</xm:sqref>
        </x14:conditionalFormatting>
        <x14:conditionalFormatting xmlns:xm="http://schemas.microsoft.com/office/excel/2006/main">
          <x14:cfRule type="expression" priority="4697130" id="{CDE4AD5B-65A6-4FA4-9EC0-8D05F22312A9}">
            <xm:f>$BK$4='Data entry'!$R44</xm:f>
            <x14:dxf>
              <fill>
                <patternFill>
                  <bgColor rgb="FFFF0000"/>
                </patternFill>
              </fill>
            </x14:dxf>
          </x14:cfRule>
          <xm:sqref>BI120:BU120</xm:sqref>
        </x14:conditionalFormatting>
        <x14:conditionalFormatting xmlns:xm="http://schemas.microsoft.com/office/excel/2006/main">
          <x14:cfRule type="expression" priority="4697131" id="{AB32E790-6CD8-4D11-9A69-57D785FE4BBC}">
            <xm:f>$BK$4='Data entry'!$R44</xm:f>
            <x14:dxf>
              <fill>
                <patternFill>
                  <bgColor rgb="FFFFFF00"/>
                </patternFill>
              </fill>
            </x14:dxf>
          </x14:cfRule>
          <xm:sqref>AW119:BK119</xm:sqref>
        </x14:conditionalFormatting>
        <x14:conditionalFormatting xmlns:xm="http://schemas.microsoft.com/office/excel/2006/main">
          <x14:cfRule type="expression" priority="4697132" id="{99810EB9-805C-43D8-852A-EEECE7874CDB}">
            <xm:f>$BL$4='Data entry'!$R44</xm:f>
            <x14:dxf>
              <fill>
                <patternFill>
                  <bgColor rgb="FFFF0000"/>
                </patternFill>
              </fill>
            </x14:dxf>
          </x14:cfRule>
          <xm:sqref>BJ120:BV120</xm:sqref>
        </x14:conditionalFormatting>
        <x14:conditionalFormatting xmlns:xm="http://schemas.microsoft.com/office/excel/2006/main">
          <x14:cfRule type="expression" priority="4697133" id="{BF5F5475-4E46-479C-97A6-D5175F5D1803}">
            <xm:f>$BL$4='Data entry'!$R44</xm:f>
            <x14:dxf>
              <fill>
                <patternFill>
                  <bgColor rgb="FFFFFF00"/>
                </patternFill>
              </fill>
            </x14:dxf>
          </x14:cfRule>
          <xm:sqref>AX119:BL119</xm:sqref>
        </x14:conditionalFormatting>
        <x14:conditionalFormatting xmlns:xm="http://schemas.microsoft.com/office/excel/2006/main">
          <x14:cfRule type="expression" priority="4697134" id="{B86FDF2F-16C9-46B1-847E-7EA1A8A34B9D}">
            <xm:f>$BM$4='Data entry'!$R44</xm:f>
            <x14:dxf>
              <fill>
                <patternFill>
                  <bgColor rgb="FFFF0000"/>
                </patternFill>
              </fill>
            </x14:dxf>
          </x14:cfRule>
          <xm:sqref>BK120:BW120</xm:sqref>
        </x14:conditionalFormatting>
        <x14:conditionalFormatting xmlns:xm="http://schemas.microsoft.com/office/excel/2006/main">
          <x14:cfRule type="expression" priority="4697135" id="{72FD189F-4CED-400D-9FEF-21A328970A4D}">
            <xm:f>$BM$4='Data entry'!$R44</xm:f>
            <x14:dxf>
              <fill>
                <patternFill>
                  <bgColor rgb="FFFFFF00"/>
                </patternFill>
              </fill>
            </x14:dxf>
          </x14:cfRule>
          <xm:sqref>AY119:BM119</xm:sqref>
        </x14:conditionalFormatting>
        <x14:conditionalFormatting xmlns:xm="http://schemas.microsoft.com/office/excel/2006/main">
          <x14:cfRule type="expression" priority="4697136" id="{BBBBF859-D5A7-4F55-BFBF-8A77E3357590}">
            <xm:f>$BN$4='Data entry'!$R44</xm:f>
            <x14:dxf>
              <fill>
                <patternFill>
                  <bgColor rgb="FFFF0000"/>
                </patternFill>
              </fill>
            </x14:dxf>
          </x14:cfRule>
          <xm:sqref>BL120:BX120</xm:sqref>
        </x14:conditionalFormatting>
        <x14:conditionalFormatting xmlns:xm="http://schemas.microsoft.com/office/excel/2006/main">
          <x14:cfRule type="expression" priority="4697137" id="{50CB1D75-0FD5-4D24-92B1-E8A41DC6575C}">
            <xm:f>$BN$4='Data entry'!$R44</xm:f>
            <x14:dxf>
              <fill>
                <patternFill>
                  <bgColor rgb="FFFFFF00"/>
                </patternFill>
              </fill>
            </x14:dxf>
          </x14:cfRule>
          <xm:sqref>AZ119:BN119</xm:sqref>
        </x14:conditionalFormatting>
        <x14:conditionalFormatting xmlns:xm="http://schemas.microsoft.com/office/excel/2006/main">
          <x14:cfRule type="expression" priority="4697138" id="{9EF3226D-E8FC-496B-A6FF-71776AEA54D1}">
            <xm:f>$BO$4='Data entry'!$R44</xm:f>
            <x14:dxf>
              <fill>
                <patternFill>
                  <bgColor rgb="FFFF0000"/>
                </patternFill>
              </fill>
            </x14:dxf>
          </x14:cfRule>
          <xm:sqref>BM120:BY120</xm:sqref>
        </x14:conditionalFormatting>
        <x14:conditionalFormatting xmlns:xm="http://schemas.microsoft.com/office/excel/2006/main">
          <x14:cfRule type="expression" priority="4697139" id="{3B86C801-ECFE-4D05-8AA5-1581116BAFBC}">
            <xm:f>$BO$4='Data entry'!$R44</xm:f>
            <x14:dxf>
              <fill>
                <patternFill>
                  <bgColor rgb="FFFFFF00"/>
                </patternFill>
              </fill>
            </x14:dxf>
          </x14:cfRule>
          <xm:sqref>BA119:BO119</xm:sqref>
        </x14:conditionalFormatting>
        <x14:conditionalFormatting xmlns:xm="http://schemas.microsoft.com/office/excel/2006/main">
          <x14:cfRule type="expression" priority="4697140" id="{058A23EC-3371-4A02-9F20-1ECA603AC6BC}">
            <xm:f>$BP$4='Data entry'!$R44</xm:f>
            <x14:dxf>
              <fill>
                <patternFill>
                  <bgColor rgb="FFFF0000"/>
                </patternFill>
              </fill>
            </x14:dxf>
          </x14:cfRule>
          <xm:sqref>BN120:BZ120</xm:sqref>
        </x14:conditionalFormatting>
        <x14:conditionalFormatting xmlns:xm="http://schemas.microsoft.com/office/excel/2006/main">
          <x14:cfRule type="expression" priority="4697141" id="{3E711E31-3992-4555-AB22-87133D60CD15}">
            <xm:f>$BP$4='Data entry'!$R44</xm:f>
            <x14:dxf>
              <fill>
                <patternFill>
                  <bgColor rgb="FFFFFF00"/>
                </patternFill>
              </fill>
            </x14:dxf>
          </x14:cfRule>
          <xm:sqref>BB119:BP119</xm:sqref>
        </x14:conditionalFormatting>
        <x14:conditionalFormatting xmlns:xm="http://schemas.microsoft.com/office/excel/2006/main">
          <x14:cfRule type="expression" priority="4697142" id="{23E9F8B9-37D5-4730-9453-6F23E8ECBBE3}">
            <xm:f>$BQ$4='Data entry'!$R44</xm:f>
            <x14:dxf>
              <fill>
                <patternFill>
                  <bgColor rgb="FFFFFF00"/>
                </patternFill>
              </fill>
            </x14:dxf>
          </x14:cfRule>
          <xm:sqref>BC119:BQ119</xm:sqref>
        </x14:conditionalFormatting>
        <x14:conditionalFormatting xmlns:xm="http://schemas.microsoft.com/office/excel/2006/main">
          <x14:cfRule type="expression" priority="4697143" id="{BCFD92F6-AAD3-44FD-BC61-A292A81B883E}">
            <xm:f>$BQ$4='Data entry'!$R44</xm:f>
            <x14:dxf>
              <fill>
                <patternFill>
                  <bgColor rgb="FFFF0000"/>
                </patternFill>
              </fill>
            </x14:dxf>
          </x14:cfRule>
          <xm:sqref>BO120:CA120</xm:sqref>
        </x14:conditionalFormatting>
        <x14:conditionalFormatting xmlns:xm="http://schemas.microsoft.com/office/excel/2006/main">
          <x14:cfRule type="expression" priority="4697144" id="{357D60E5-F356-477E-8020-A18F42C02832}">
            <xm:f>$BR$4='Data entry'!$R44</xm:f>
            <x14:dxf>
              <fill>
                <patternFill>
                  <bgColor rgb="FFFFFF00"/>
                </patternFill>
              </fill>
            </x14:dxf>
          </x14:cfRule>
          <xm:sqref>BD119:BR119</xm:sqref>
        </x14:conditionalFormatting>
        <x14:conditionalFormatting xmlns:xm="http://schemas.microsoft.com/office/excel/2006/main">
          <x14:cfRule type="expression" priority="4697145" id="{DA2B6511-43B3-432D-B6AA-1DB1188B90A6}">
            <xm:f>$BR$4='Data entry'!$R44</xm:f>
            <x14:dxf>
              <fill>
                <patternFill>
                  <bgColor rgb="FFFF0000"/>
                </patternFill>
              </fill>
            </x14:dxf>
          </x14:cfRule>
          <xm:sqref>BP120:CB120</xm:sqref>
        </x14:conditionalFormatting>
        <x14:conditionalFormatting xmlns:xm="http://schemas.microsoft.com/office/excel/2006/main">
          <x14:cfRule type="expression" priority="4697146" id="{0D5F64E4-4136-4BFA-B833-CC8578525D9C}">
            <xm:f>$BS$4='Data entry'!$R44</xm:f>
            <x14:dxf>
              <fill>
                <patternFill>
                  <bgColor rgb="FFFFFF00"/>
                </patternFill>
              </fill>
            </x14:dxf>
          </x14:cfRule>
          <xm:sqref>BE119:BS119</xm:sqref>
        </x14:conditionalFormatting>
        <x14:conditionalFormatting xmlns:xm="http://schemas.microsoft.com/office/excel/2006/main">
          <x14:cfRule type="expression" priority="4697147" id="{AC94D468-F078-4AE2-8771-102996E07B09}">
            <xm:f>$BS$4='Data entry'!$R44</xm:f>
            <x14:dxf>
              <fill>
                <patternFill>
                  <bgColor rgb="FFFF0000"/>
                </patternFill>
              </fill>
            </x14:dxf>
          </x14:cfRule>
          <xm:sqref>BQ120:CC120</xm:sqref>
        </x14:conditionalFormatting>
        <x14:conditionalFormatting xmlns:xm="http://schemas.microsoft.com/office/excel/2006/main">
          <x14:cfRule type="expression" priority="4697148" id="{10E78F76-181E-4F19-9F89-7DD36D3EFE30}">
            <xm:f>$BT$4='Data entry'!$R44</xm:f>
            <x14:dxf>
              <fill>
                <patternFill>
                  <bgColor rgb="FFFFFF00"/>
                </patternFill>
              </fill>
            </x14:dxf>
          </x14:cfRule>
          <xm:sqref>BF119:BT119</xm:sqref>
        </x14:conditionalFormatting>
        <x14:conditionalFormatting xmlns:xm="http://schemas.microsoft.com/office/excel/2006/main">
          <x14:cfRule type="expression" priority="4697149" id="{6A5FADC6-9512-4EFB-90A5-7B5244D10D1F}">
            <xm:f>$BT$4='Data entry'!$R44</xm:f>
            <x14:dxf>
              <fill>
                <patternFill>
                  <bgColor rgb="FFFF0000"/>
                </patternFill>
              </fill>
            </x14:dxf>
          </x14:cfRule>
          <xm:sqref>BR120:CC120</xm:sqref>
        </x14:conditionalFormatting>
        <x14:conditionalFormatting xmlns:xm="http://schemas.microsoft.com/office/excel/2006/main">
          <x14:cfRule type="expression" priority="4697150" id="{A51139D1-8841-4B96-B8CB-DFE3808765CF}">
            <xm:f>$BU$4='Data entry'!$R44</xm:f>
            <x14:dxf>
              <fill>
                <patternFill>
                  <bgColor rgb="FFFFFF00"/>
                </patternFill>
              </fill>
            </x14:dxf>
          </x14:cfRule>
          <xm:sqref>BG119:BU119</xm:sqref>
        </x14:conditionalFormatting>
        <x14:conditionalFormatting xmlns:xm="http://schemas.microsoft.com/office/excel/2006/main">
          <x14:cfRule type="expression" priority="4697151" id="{55CA7258-760F-4BFF-ACB5-A70FEB3E7981}">
            <xm:f>$BU$4='Data entry'!$R44</xm:f>
            <x14:dxf>
              <fill>
                <patternFill>
                  <bgColor rgb="FFFF0000"/>
                </patternFill>
              </fill>
            </x14:dxf>
          </x14:cfRule>
          <xm:sqref>BS120:CC120</xm:sqref>
        </x14:conditionalFormatting>
        <x14:conditionalFormatting xmlns:xm="http://schemas.microsoft.com/office/excel/2006/main">
          <x14:cfRule type="expression" priority="4697152" id="{A922B218-64DB-4CBB-9AB8-FE0EBB44E09E}">
            <xm:f>$BV$4='Data entry'!$R44</xm:f>
            <x14:dxf>
              <fill>
                <patternFill>
                  <bgColor rgb="FFFFFF00"/>
                </patternFill>
              </fill>
            </x14:dxf>
          </x14:cfRule>
          <xm:sqref>BH119:BV119</xm:sqref>
        </x14:conditionalFormatting>
        <x14:conditionalFormatting xmlns:xm="http://schemas.microsoft.com/office/excel/2006/main">
          <x14:cfRule type="expression" priority="4697153" id="{C98E908A-CD31-4778-B41C-7AFB9DBE639A}">
            <xm:f>$BV$4='Data entry'!$R44</xm:f>
            <x14:dxf>
              <fill>
                <patternFill>
                  <bgColor rgb="FFFF0000"/>
                </patternFill>
              </fill>
            </x14:dxf>
          </x14:cfRule>
          <xm:sqref>BT120:CC120</xm:sqref>
        </x14:conditionalFormatting>
        <x14:conditionalFormatting xmlns:xm="http://schemas.microsoft.com/office/excel/2006/main">
          <x14:cfRule type="expression" priority="4697154" id="{465CCCA3-B4DB-4B61-8AC7-8A5E4CEC9E3F}">
            <xm:f>$BW$4='Data entry'!$R44</xm:f>
            <x14:dxf>
              <fill>
                <patternFill>
                  <bgColor rgb="FFFFFF00"/>
                </patternFill>
              </fill>
            </x14:dxf>
          </x14:cfRule>
          <xm:sqref>BI119:BW119</xm:sqref>
        </x14:conditionalFormatting>
        <x14:conditionalFormatting xmlns:xm="http://schemas.microsoft.com/office/excel/2006/main">
          <x14:cfRule type="expression" priority="4697155" id="{37566F97-6D06-400B-A709-FE657B07687F}">
            <xm:f>$BW$4='Data entry'!$R44</xm:f>
            <x14:dxf>
              <fill>
                <patternFill>
                  <bgColor rgb="FFFF0000"/>
                </patternFill>
              </fill>
            </x14:dxf>
          </x14:cfRule>
          <xm:sqref>BU120:CC120</xm:sqref>
        </x14:conditionalFormatting>
        <x14:conditionalFormatting xmlns:xm="http://schemas.microsoft.com/office/excel/2006/main">
          <x14:cfRule type="expression" priority="4697156" id="{D8FBA3AC-5CF0-4E45-97CA-1D4DEE729ADA}">
            <xm:f>$BX$4='Data entry'!$R44</xm:f>
            <x14:dxf>
              <fill>
                <patternFill>
                  <bgColor rgb="FFFFFF00"/>
                </patternFill>
              </fill>
            </x14:dxf>
          </x14:cfRule>
          <xm:sqref>BJ119:BX119</xm:sqref>
        </x14:conditionalFormatting>
        <x14:conditionalFormatting xmlns:xm="http://schemas.microsoft.com/office/excel/2006/main">
          <x14:cfRule type="expression" priority="4697157" id="{E077C84B-A94F-431D-B232-4AFCC7C64F54}">
            <xm:f>$BX$4='Data entry'!$R44</xm:f>
            <x14:dxf>
              <fill>
                <patternFill>
                  <bgColor rgb="FFFF0000"/>
                </patternFill>
              </fill>
            </x14:dxf>
          </x14:cfRule>
          <xm:sqref>BV120:CC120</xm:sqref>
        </x14:conditionalFormatting>
        <x14:conditionalFormatting xmlns:xm="http://schemas.microsoft.com/office/excel/2006/main">
          <x14:cfRule type="expression" priority="4697158" id="{63783BA8-0C97-4A44-86FD-7A2BCF1B9957}">
            <xm:f>$BY$4='Data entry'!$R44</xm:f>
            <x14:dxf>
              <fill>
                <patternFill>
                  <bgColor rgb="FFFFFF00"/>
                </patternFill>
              </fill>
            </x14:dxf>
          </x14:cfRule>
          <xm:sqref>BK119:BY119</xm:sqref>
        </x14:conditionalFormatting>
        <x14:conditionalFormatting xmlns:xm="http://schemas.microsoft.com/office/excel/2006/main">
          <x14:cfRule type="expression" priority="4697159" id="{BB8DB8B4-B71B-46D2-AEE7-346F16103F74}">
            <xm:f>$BY$4='Data entry'!$R44</xm:f>
            <x14:dxf>
              <fill>
                <patternFill>
                  <bgColor rgb="FFFF0000"/>
                </patternFill>
              </fill>
            </x14:dxf>
          </x14:cfRule>
          <xm:sqref>BW120:CC120</xm:sqref>
        </x14:conditionalFormatting>
        <x14:conditionalFormatting xmlns:xm="http://schemas.microsoft.com/office/excel/2006/main">
          <x14:cfRule type="expression" priority="4697160" id="{1B638B98-2B06-4FEB-90C1-446A3E0A3979}">
            <xm:f>$BZ$4='Data entry'!$R44</xm:f>
            <x14:dxf>
              <fill>
                <patternFill>
                  <bgColor rgb="FFFFFF00"/>
                </patternFill>
              </fill>
            </x14:dxf>
          </x14:cfRule>
          <xm:sqref>BL119:BZ119</xm:sqref>
        </x14:conditionalFormatting>
        <x14:conditionalFormatting xmlns:xm="http://schemas.microsoft.com/office/excel/2006/main">
          <x14:cfRule type="expression" priority="4697161" id="{D3A0A2F8-D1B2-4DC5-B2A9-0EF53074E685}">
            <xm:f>$BZ$4='Data entry'!$R44</xm:f>
            <x14:dxf>
              <fill>
                <patternFill>
                  <bgColor rgb="FFFF0000"/>
                </patternFill>
              </fill>
            </x14:dxf>
          </x14:cfRule>
          <xm:sqref>BX120:CC120</xm:sqref>
        </x14:conditionalFormatting>
        <x14:conditionalFormatting xmlns:xm="http://schemas.microsoft.com/office/excel/2006/main">
          <x14:cfRule type="expression" priority="4697162" id="{83F6D018-7D3B-4D33-9998-11572F2F2FF5}">
            <xm:f>$CA$4='Data entry'!$R44</xm:f>
            <x14:dxf>
              <fill>
                <patternFill>
                  <bgColor rgb="FFFFFF00"/>
                </patternFill>
              </fill>
            </x14:dxf>
          </x14:cfRule>
          <xm:sqref>BM119:CA119</xm:sqref>
        </x14:conditionalFormatting>
        <x14:conditionalFormatting xmlns:xm="http://schemas.microsoft.com/office/excel/2006/main">
          <x14:cfRule type="expression" priority="4697163" id="{8E6D0B51-5626-4ED9-9072-C7A2C139704F}">
            <xm:f>$CA$4='Data entry'!$R44</xm:f>
            <x14:dxf>
              <fill>
                <patternFill>
                  <bgColor rgb="FFFF0000"/>
                </patternFill>
              </fill>
            </x14:dxf>
          </x14:cfRule>
          <xm:sqref>BY120:CC120</xm:sqref>
        </x14:conditionalFormatting>
        <x14:conditionalFormatting xmlns:xm="http://schemas.microsoft.com/office/excel/2006/main">
          <x14:cfRule type="expression" priority="4697164" id="{E1886EE4-3BDE-43A9-9F4B-79377FEC37FE}">
            <xm:f>$CB$4='Data entry'!$R44</xm:f>
            <x14:dxf>
              <fill>
                <patternFill>
                  <bgColor rgb="FFFFFF00"/>
                </patternFill>
              </fill>
            </x14:dxf>
          </x14:cfRule>
          <xm:sqref>BN119:CB119</xm:sqref>
        </x14:conditionalFormatting>
        <x14:conditionalFormatting xmlns:xm="http://schemas.microsoft.com/office/excel/2006/main">
          <x14:cfRule type="expression" priority="4697165" id="{ADEF572A-6C18-4602-BB86-01C96D36E07E}">
            <xm:f>$CB$4='Data entry'!$R44</xm:f>
            <x14:dxf>
              <fill>
                <patternFill>
                  <bgColor rgb="FFFF0000"/>
                </patternFill>
              </fill>
            </x14:dxf>
          </x14:cfRule>
          <xm:sqref>BZ120:CC120</xm:sqref>
        </x14:conditionalFormatting>
        <x14:conditionalFormatting xmlns:xm="http://schemas.microsoft.com/office/excel/2006/main">
          <x14:cfRule type="expression" priority="4697166" id="{7984E1C9-E073-4955-8543-62145CB6D008}">
            <xm:f>$CC$4='Data entry'!$R44</xm:f>
            <x14:dxf>
              <fill>
                <patternFill>
                  <bgColor rgb="FFFFFF00"/>
                </patternFill>
              </fill>
            </x14:dxf>
          </x14:cfRule>
          <xm:sqref>BO119:CC119</xm:sqref>
        </x14:conditionalFormatting>
        <x14:conditionalFormatting xmlns:xm="http://schemas.microsoft.com/office/excel/2006/main">
          <x14:cfRule type="expression" priority="4697167" id="{18A957B3-59FA-4698-BA92-2A208FF18E2F}">
            <xm:f>$CC$4='Data entry'!$R44</xm:f>
            <x14:dxf>
              <fill>
                <patternFill>
                  <bgColor rgb="FFFF0000"/>
                </patternFill>
              </fill>
            </x14:dxf>
          </x14:cfRule>
          <xm:sqref>CA120:CC120</xm:sqref>
        </x14:conditionalFormatting>
        <x14:conditionalFormatting xmlns:xm="http://schemas.microsoft.com/office/excel/2006/main">
          <x14:cfRule type="expression" priority="4697253" id="{5B0DB825-B7C2-40AC-B7EF-F267F054CFB9}">
            <xm:f>$U$4='Data entry'!$R45</xm:f>
            <x14:dxf>
              <fill>
                <patternFill>
                  <bgColor rgb="FFFF0000"/>
                </patternFill>
              </fill>
            </x14:dxf>
          </x14:cfRule>
          <xm:sqref>S123:AE123</xm:sqref>
        </x14:conditionalFormatting>
        <x14:conditionalFormatting xmlns:xm="http://schemas.microsoft.com/office/excel/2006/main">
          <x14:cfRule type="expression" priority="4697254" id="{18311200-E2BB-400F-B594-3B9A2C6068C2}">
            <xm:f>$V$4='Data entry'!$R45</xm:f>
            <x14:dxf>
              <fill>
                <patternFill>
                  <bgColor rgb="FFFF0000"/>
                </patternFill>
              </fill>
            </x14:dxf>
          </x14:cfRule>
          <xm:sqref>T123:AF123</xm:sqref>
        </x14:conditionalFormatting>
        <x14:conditionalFormatting xmlns:xm="http://schemas.microsoft.com/office/excel/2006/main">
          <x14:cfRule type="expression" priority="4697255" id="{D6DFB621-1A58-4C59-A987-ECAD0EB2D32B}">
            <xm:f>$V$4='Data entry'!$R45</xm:f>
            <x14:dxf>
              <fill>
                <patternFill>
                  <bgColor rgb="FFFFFF00"/>
                </patternFill>
              </fill>
            </x14:dxf>
          </x14:cfRule>
          <xm:sqref>H122:V122</xm:sqref>
        </x14:conditionalFormatting>
        <x14:conditionalFormatting xmlns:xm="http://schemas.microsoft.com/office/excel/2006/main">
          <x14:cfRule type="expression" priority="4697256" id="{5F87A680-DC5F-433D-A779-B7A534ACCDA9}">
            <xm:f>$W$4='Data entry'!$R45</xm:f>
            <x14:dxf>
              <fill>
                <patternFill>
                  <bgColor rgb="FFFF0000"/>
                </patternFill>
              </fill>
            </x14:dxf>
          </x14:cfRule>
          <xm:sqref>U123:AG123</xm:sqref>
        </x14:conditionalFormatting>
        <x14:conditionalFormatting xmlns:xm="http://schemas.microsoft.com/office/excel/2006/main">
          <x14:cfRule type="expression" priority="4697257" id="{964539FF-A92C-4F68-B268-B7157A32678C}">
            <xm:f>$W$4='Data entry'!$R45</xm:f>
            <x14:dxf>
              <fill>
                <patternFill>
                  <bgColor rgb="FFFFFF00"/>
                </patternFill>
              </fill>
            </x14:dxf>
          </x14:cfRule>
          <xm:sqref>I122:W122</xm:sqref>
        </x14:conditionalFormatting>
        <x14:conditionalFormatting xmlns:xm="http://schemas.microsoft.com/office/excel/2006/main">
          <x14:cfRule type="expression" priority="4697258" id="{46C1533A-F090-4A90-9309-3F59EC3FD3B0}">
            <xm:f>$X$4='Data entry'!$R45</xm:f>
            <x14:dxf>
              <fill>
                <patternFill>
                  <bgColor rgb="FFFF0000"/>
                </patternFill>
              </fill>
            </x14:dxf>
          </x14:cfRule>
          <xm:sqref>V123:AH123</xm:sqref>
        </x14:conditionalFormatting>
        <x14:conditionalFormatting xmlns:xm="http://schemas.microsoft.com/office/excel/2006/main">
          <x14:cfRule type="expression" priority="4697259" id="{7C70E81C-DDD4-4D75-933A-4F6A39893184}">
            <xm:f>$X$4='Data entry'!$R45</xm:f>
            <x14:dxf>
              <fill>
                <patternFill>
                  <bgColor rgb="FFFFFF00"/>
                </patternFill>
              </fill>
            </x14:dxf>
          </x14:cfRule>
          <xm:sqref>J122:X122</xm:sqref>
        </x14:conditionalFormatting>
        <x14:conditionalFormatting xmlns:xm="http://schemas.microsoft.com/office/excel/2006/main">
          <x14:cfRule type="expression" priority="4697260" id="{561AF073-0EF8-4B72-A119-40A639C4359D}">
            <xm:f>$Y$4='Data entry'!$R45</xm:f>
            <x14:dxf>
              <fill>
                <patternFill>
                  <bgColor rgb="FFFF0000"/>
                </patternFill>
              </fill>
            </x14:dxf>
          </x14:cfRule>
          <xm:sqref>W123:AI123</xm:sqref>
        </x14:conditionalFormatting>
        <x14:conditionalFormatting xmlns:xm="http://schemas.microsoft.com/office/excel/2006/main">
          <x14:cfRule type="expression" priority="4697261" id="{F242E808-8F07-4A89-9524-7D4C767CE357}">
            <xm:f>$Y$4='Data entry'!$R45</xm:f>
            <x14:dxf>
              <fill>
                <patternFill>
                  <bgColor rgb="FFFFFF00"/>
                </patternFill>
              </fill>
            </x14:dxf>
          </x14:cfRule>
          <xm:sqref>K122:Y122</xm:sqref>
        </x14:conditionalFormatting>
        <x14:conditionalFormatting xmlns:xm="http://schemas.microsoft.com/office/excel/2006/main">
          <x14:cfRule type="expression" priority="4697262" id="{DD601058-982B-4218-BD9D-64BB823C2633}">
            <xm:f>$Z$4='Data entry'!$R45</xm:f>
            <x14:dxf>
              <fill>
                <patternFill>
                  <bgColor rgb="FFFF0000"/>
                </patternFill>
              </fill>
            </x14:dxf>
          </x14:cfRule>
          <xm:sqref>X123:AJ123</xm:sqref>
        </x14:conditionalFormatting>
        <x14:conditionalFormatting xmlns:xm="http://schemas.microsoft.com/office/excel/2006/main">
          <x14:cfRule type="expression" priority="4697263" id="{C9DB141D-79F6-4093-92A3-7BF7A1622985}">
            <xm:f>$Z$4='Data entry'!$R45</xm:f>
            <x14:dxf>
              <fill>
                <patternFill>
                  <bgColor rgb="FFFFFF00"/>
                </patternFill>
              </fill>
            </x14:dxf>
          </x14:cfRule>
          <xm:sqref>L122:Z122</xm:sqref>
        </x14:conditionalFormatting>
        <x14:conditionalFormatting xmlns:xm="http://schemas.microsoft.com/office/excel/2006/main">
          <x14:cfRule type="expression" priority="4697264" id="{710EB8D3-F5C0-4E3C-8214-2D0C4E26F649}">
            <xm:f>$AA$4='Data entry'!$R45</xm:f>
            <x14:dxf>
              <fill>
                <patternFill>
                  <bgColor rgb="FFFF0000"/>
                </patternFill>
              </fill>
            </x14:dxf>
          </x14:cfRule>
          <xm:sqref>Y123:AK123</xm:sqref>
        </x14:conditionalFormatting>
        <x14:conditionalFormatting xmlns:xm="http://schemas.microsoft.com/office/excel/2006/main">
          <x14:cfRule type="expression" priority="4697265" id="{33825D69-C967-4D27-B395-5D44A3083802}">
            <xm:f>$AA$4='Data entry'!$R45</xm:f>
            <x14:dxf>
              <fill>
                <patternFill>
                  <bgColor rgb="FFFFFF00"/>
                </patternFill>
              </fill>
            </x14:dxf>
          </x14:cfRule>
          <xm:sqref>M122:AA122</xm:sqref>
        </x14:conditionalFormatting>
        <x14:conditionalFormatting xmlns:xm="http://schemas.microsoft.com/office/excel/2006/main">
          <x14:cfRule type="expression" priority="4697266" id="{9811A97D-351B-4D32-8754-AF433277E62B}">
            <xm:f>$AB$4='Data entry'!$R45</xm:f>
            <x14:dxf>
              <fill>
                <patternFill>
                  <bgColor rgb="FFFF0000"/>
                </patternFill>
              </fill>
            </x14:dxf>
          </x14:cfRule>
          <xm:sqref>Z123:AL123</xm:sqref>
        </x14:conditionalFormatting>
        <x14:conditionalFormatting xmlns:xm="http://schemas.microsoft.com/office/excel/2006/main">
          <x14:cfRule type="expression" priority="4697267" id="{6DD3E556-C72E-438B-92DA-3096ED1E4178}">
            <xm:f>$AB$4='Data entry'!$R45</xm:f>
            <x14:dxf>
              <fill>
                <patternFill>
                  <bgColor rgb="FFFFFF00"/>
                </patternFill>
              </fill>
            </x14:dxf>
          </x14:cfRule>
          <xm:sqref>N122:AB122</xm:sqref>
        </x14:conditionalFormatting>
        <x14:conditionalFormatting xmlns:xm="http://schemas.microsoft.com/office/excel/2006/main">
          <x14:cfRule type="expression" priority="4697268" id="{C0DF7A1B-D6BC-4371-BD3A-F0708147FA1C}">
            <xm:f>$AC$4='Data entry'!$R45</xm:f>
            <x14:dxf>
              <fill>
                <patternFill>
                  <bgColor rgb="FFFF0000"/>
                </patternFill>
              </fill>
            </x14:dxf>
          </x14:cfRule>
          <xm:sqref>AA123:AM123</xm:sqref>
        </x14:conditionalFormatting>
        <x14:conditionalFormatting xmlns:xm="http://schemas.microsoft.com/office/excel/2006/main">
          <x14:cfRule type="expression" priority="4697269" id="{DB2E1F48-AF0E-41F9-A976-6B1963CA5711}">
            <xm:f>$AC$4='Data entry'!$R45</xm:f>
            <x14:dxf>
              <fill>
                <patternFill>
                  <bgColor rgb="FFFFFF00"/>
                </patternFill>
              </fill>
            </x14:dxf>
          </x14:cfRule>
          <xm:sqref>O122:AC122</xm:sqref>
        </x14:conditionalFormatting>
        <x14:conditionalFormatting xmlns:xm="http://schemas.microsoft.com/office/excel/2006/main">
          <x14:cfRule type="expression" priority="4697270" id="{89909907-F9A9-4AF9-BC1D-304710A43F50}">
            <xm:f>$AD$4='Data entry'!$R45</xm:f>
            <x14:dxf>
              <fill>
                <patternFill>
                  <bgColor rgb="FFFF0000"/>
                </patternFill>
              </fill>
            </x14:dxf>
          </x14:cfRule>
          <xm:sqref>AB123:AN123</xm:sqref>
        </x14:conditionalFormatting>
        <x14:conditionalFormatting xmlns:xm="http://schemas.microsoft.com/office/excel/2006/main">
          <x14:cfRule type="expression" priority="4697271" id="{729676B7-E331-43A4-ACC9-850DCEE76A0E}">
            <xm:f>$AD$4='Data entry'!$R45</xm:f>
            <x14:dxf>
              <fill>
                <patternFill>
                  <bgColor rgb="FFFFFF00"/>
                </patternFill>
              </fill>
            </x14:dxf>
          </x14:cfRule>
          <xm:sqref>P122:AD122</xm:sqref>
        </x14:conditionalFormatting>
        <x14:conditionalFormatting xmlns:xm="http://schemas.microsoft.com/office/excel/2006/main">
          <x14:cfRule type="expression" priority="4697272" id="{00DA2C55-350E-44AA-ABEA-808FABFDA737}">
            <xm:f>$AE$4='Data entry'!$R45</xm:f>
            <x14:dxf>
              <fill>
                <patternFill>
                  <bgColor rgb="FFFF0000"/>
                </patternFill>
              </fill>
            </x14:dxf>
          </x14:cfRule>
          <xm:sqref>AC123:AO123</xm:sqref>
        </x14:conditionalFormatting>
        <x14:conditionalFormatting xmlns:xm="http://schemas.microsoft.com/office/excel/2006/main">
          <x14:cfRule type="expression" priority="4697273" id="{373C95F1-00C1-45E9-B561-5224945BA4A4}">
            <xm:f>$AE$4='Data entry'!$R45</xm:f>
            <x14:dxf>
              <fill>
                <patternFill>
                  <bgColor rgb="FFFFFF00"/>
                </patternFill>
              </fill>
            </x14:dxf>
          </x14:cfRule>
          <xm:sqref>Q122:AE122</xm:sqref>
        </x14:conditionalFormatting>
        <x14:conditionalFormatting xmlns:xm="http://schemas.microsoft.com/office/excel/2006/main">
          <x14:cfRule type="expression" priority="4697274" id="{65E90E74-6BEF-4B00-BD5E-ECACFEBC225A}">
            <xm:f>$AF$4='Data entry'!$R45</xm:f>
            <x14:dxf>
              <fill>
                <patternFill>
                  <bgColor rgb="FFFF0000"/>
                </patternFill>
              </fill>
            </x14:dxf>
          </x14:cfRule>
          <xm:sqref>AD123:AP123</xm:sqref>
        </x14:conditionalFormatting>
        <x14:conditionalFormatting xmlns:xm="http://schemas.microsoft.com/office/excel/2006/main">
          <x14:cfRule type="expression" priority="4697275" id="{56B519D7-E083-4811-B42B-D6CB10D44BB3}">
            <xm:f>$AF$4='Data entry'!$R45</xm:f>
            <x14:dxf>
              <fill>
                <patternFill>
                  <bgColor rgb="FFFFFF00"/>
                </patternFill>
              </fill>
            </x14:dxf>
          </x14:cfRule>
          <xm:sqref>R122:AF122</xm:sqref>
        </x14:conditionalFormatting>
        <x14:conditionalFormatting xmlns:xm="http://schemas.microsoft.com/office/excel/2006/main">
          <x14:cfRule type="expression" priority="4697276" id="{889682B6-BF9B-414B-86B7-1C802156B058}">
            <xm:f>$AG$4='Data entry'!$R45</xm:f>
            <x14:dxf>
              <fill>
                <patternFill>
                  <bgColor rgb="FFFF0000"/>
                </patternFill>
              </fill>
            </x14:dxf>
          </x14:cfRule>
          <xm:sqref>AE123:AQ123</xm:sqref>
        </x14:conditionalFormatting>
        <x14:conditionalFormatting xmlns:xm="http://schemas.microsoft.com/office/excel/2006/main">
          <x14:cfRule type="expression" priority="4697277" id="{19913D88-1940-4CB0-B29C-D46D60833BD5}">
            <xm:f>$AG$4='Data entry'!$R45</xm:f>
            <x14:dxf>
              <fill>
                <patternFill>
                  <bgColor rgb="FFFFFF00"/>
                </patternFill>
              </fill>
            </x14:dxf>
          </x14:cfRule>
          <xm:sqref>S122:AG122</xm:sqref>
        </x14:conditionalFormatting>
        <x14:conditionalFormatting xmlns:xm="http://schemas.microsoft.com/office/excel/2006/main">
          <x14:cfRule type="expression" priority="4697278" id="{3DD7B9A5-18A3-463F-BAD5-9796FC487328}">
            <xm:f>$AH$4='Data entry'!$R45</xm:f>
            <x14:dxf>
              <fill>
                <patternFill>
                  <bgColor rgb="FFFF0000"/>
                </patternFill>
              </fill>
            </x14:dxf>
          </x14:cfRule>
          <xm:sqref>AF123:AR123</xm:sqref>
        </x14:conditionalFormatting>
        <x14:conditionalFormatting xmlns:xm="http://schemas.microsoft.com/office/excel/2006/main">
          <x14:cfRule type="expression" priority="4697279" id="{31005CF4-5608-496E-91EB-F7F505046C80}">
            <xm:f>$AH$4='Data entry'!$R45</xm:f>
            <x14:dxf>
              <fill>
                <patternFill>
                  <bgColor rgb="FFFFFF00"/>
                </patternFill>
              </fill>
            </x14:dxf>
          </x14:cfRule>
          <xm:sqref>T122:AH122</xm:sqref>
        </x14:conditionalFormatting>
        <x14:conditionalFormatting xmlns:xm="http://schemas.microsoft.com/office/excel/2006/main">
          <x14:cfRule type="expression" priority="4697280" id="{CD14F654-5B7A-444F-8FC1-7DD71E76E475}">
            <xm:f>$AI$4='Data entry'!$R45</xm:f>
            <x14:dxf>
              <fill>
                <patternFill>
                  <bgColor rgb="FFFF0000"/>
                </patternFill>
              </fill>
            </x14:dxf>
          </x14:cfRule>
          <xm:sqref>AG123:AS123</xm:sqref>
        </x14:conditionalFormatting>
        <x14:conditionalFormatting xmlns:xm="http://schemas.microsoft.com/office/excel/2006/main">
          <x14:cfRule type="expression" priority="4697281" id="{0E4E448C-6C46-4285-B877-A61A90294385}">
            <xm:f>$AI$4='Data entry'!$R45</xm:f>
            <x14:dxf>
              <fill>
                <patternFill>
                  <bgColor rgb="FFFFFF00"/>
                </patternFill>
              </fill>
            </x14:dxf>
          </x14:cfRule>
          <xm:sqref>U122:AI122</xm:sqref>
        </x14:conditionalFormatting>
        <x14:conditionalFormatting xmlns:xm="http://schemas.microsoft.com/office/excel/2006/main">
          <x14:cfRule type="expression" priority="4697282" id="{B1C1818F-791C-403D-BE73-6F6E9DC6A16D}">
            <xm:f>$AJ$4='Data entry'!$R45</xm:f>
            <x14:dxf>
              <fill>
                <patternFill>
                  <bgColor rgb="FFFF0000"/>
                </patternFill>
              </fill>
            </x14:dxf>
          </x14:cfRule>
          <xm:sqref>AH123:AT123</xm:sqref>
        </x14:conditionalFormatting>
        <x14:conditionalFormatting xmlns:xm="http://schemas.microsoft.com/office/excel/2006/main">
          <x14:cfRule type="expression" priority="4697283" id="{A1237792-221B-431B-B8A7-E9A64DA46D93}">
            <xm:f>$AJ$4='Data entry'!$R45</xm:f>
            <x14:dxf>
              <fill>
                <patternFill>
                  <bgColor rgb="FFFFFF00"/>
                </patternFill>
              </fill>
            </x14:dxf>
          </x14:cfRule>
          <xm:sqref>V122:AJ122</xm:sqref>
        </x14:conditionalFormatting>
        <x14:conditionalFormatting xmlns:xm="http://schemas.microsoft.com/office/excel/2006/main">
          <x14:cfRule type="expression" priority="4697284" id="{617DC2AF-C7A3-4724-8EA3-17DEFEDC8949}">
            <xm:f>$AK$4='Data entry'!$R45</xm:f>
            <x14:dxf>
              <fill>
                <patternFill>
                  <bgColor rgb="FFFF0000"/>
                </patternFill>
              </fill>
            </x14:dxf>
          </x14:cfRule>
          <xm:sqref>AI123:AU123</xm:sqref>
        </x14:conditionalFormatting>
        <x14:conditionalFormatting xmlns:xm="http://schemas.microsoft.com/office/excel/2006/main">
          <x14:cfRule type="expression" priority="4697285" id="{AA72317D-37B1-48EB-A28B-BF2AC8DC4519}">
            <xm:f>$AK$4='Data entry'!$R45</xm:f>
            <x14:dxf>
              <fill>
                <patternFill>
                  <bgColor rgb="FFFFFF00"/>
                </patternFill>
              </fill>
            </x14:dxf>
          </x14:cfRule>
          <xm:sqref>W122:AK122</xm:sqref>
        </x14:conditionalFormatting>
        <x14:conditionalFormatting xmlns:xm="http://schemas.microsoft.com/office/excel/2006/main">
          <x14:cfRule type="expression" priority="4697286" id="{6CA9FB7A-20EA-4D3A-B74C-A001F4BE810D}">
            <xm:f>$AL$4='Data entry'!$R45</xm:f>
            <x14:dxf>
              <fill>
                <patternFill>
                  <bgColor rgb="FFFF0000"/>
                </patternFill>
              </fill>
            </x14:dxf>
          </x14:cfRule>
          <xm:sqref>AJ123:AV123</xm:sqref>
        </x14:conditionalFormatting>
        <x14:conditionalFormatting xmlns:xm="http://schemas.microsoft.com/office/excel/2006/main">
          <x14:cfRule type="expression" priority="4697287" id="{81A75DAA-573F-4EF3-A640-1B992C18BEA0}">
            <xm:f>$AL$4='Data entry'!$R45</xm:f>
            <x14:dxf>
              <fill>
                <patternFill>
                  <bgColor rgb="FFFFFF00"/>
                </patternFill>
              </fill>
            </x14:dxf>
          </x14:cfRule>
          <xm:sqref>X122:AL122</xm:sqref>
        </x14:conditionalFormatting>
        <x14:conditionalFormatting xmlns:xm="http://schemas.microsoft.com/office/excel/2006/main">
          <x14:cfRule type="expression" priority="4697288" id="{3D44713E-4ABA-4CCD-9DF4-5513A9FB5E1E}">
            <xm:f>$AM$4='Data entry'!$R45</xm:f>
            <x14:dxf>
              <fill>
                <patternFill>
                  <bgColor rgb="FFFF0000"/>
                </patternFill>
              </fill>
            </x14:dxf>
          </x14:cfRule>
          <xm:sqref>AK123:AW123</xm:sqref>
        </x14:conditionalFormatting>
        <x14:conditionalFormatting xmlns:xm="http://schemas.microsoft.com/office/excel/2006/main">
          <x14:cfRule type="expression" priority="4697289" id="{05A26B51-72A7-4423-822F-2BDBC28275D0}">
            <xm:f>$AM$4='Data entry'!$R45</xm:f>
            <x14:dxf>
              <fill>
                <patternFill>
                  <bgColor rgb="FFFFFF00"/>
                </patternFill>
              </fill>
            </x14:dxf>
          </x14:cfRule>
          <xm:sqref>Y122:AM122</xm:sqref>
        </x14:conditionalFormatting>
        <x14:conditionalFormatting xmlns:xm="http://schemas.microsoft.com/office/excel/2006/main">
          <x14:cfRule type="expression" priority="4697290" id="{B8A20675-6230-4694-A7F6-6B3DC7142773}">
            <xm:f>$AN$4='Data entry'!$R45</xm:f>
            <x14:dxf>
              <fill>
                <patternFill>
                  <bgColor rgb="FFFF0000"/>
                </patternFill>
              </fill>
            </x14:dxf>
          </x14:cfRule>
          <xm:sqref>AL123:AX123</xm:sqref>
        </x14:conditionalFormatting>
        <x14:conditionalFormatting xmlns:xm="http://schemas.microsoft.com/office/excel/2006/main">
          <x14:cfRule type="expression" priority="4697291" id="{8421181C-7450-42E9-BC1D-065CCFCA960E}">
            <xm:f>$AN$4='Data entry'!$R45</xm:f>
            <x14:dxf>
              <fill>
                <patternFill>
                  <bgColor rgb="FFFFFF00"/>
                </patternFill>
              </fill>
            </x14:dxf>
          </x14:cfRule>
          <xm:sqref>Z122:AN122</xm:sqref>
        </x14:conditionalFormatting>
        <x14:conditionalFormatting xmlns:xm="http://schemas.microsoft.com/office/excel/2006/main">
          <x14:cfRule type="expression" priority="4697292" id="{067FE4BD-6EF4-4684-B6E0-35AB2F267EE7}">
            <xm:f>$AO$4='Data entry'!$R45</xm:f>
            <x14:dxf>
              <fill>
                <patternFill>
                  <bgColor rgb="FFFF0000"/>
                </patternFill>
              </fill>
            </x14:dxf>
          </x14:cfRule>
          <xm:sqref>AM123:AY123</xm:sqref>
        </x14:conditionalFormatting>
        <x14:conditionalFormatting xmlns:xm="http://schemas.microsoft.com/office/excel/2006/main">
          <x14:cfRule type="expression" priority="4697293" id="{F7653492-88D1-47AC-8BA3-0CCE65C3C2AB}">
            <xm:f>$AO$4='Data entry'!$R45</xm:f>
            <x14:dxf>
              <fill>
                <patternFill>
                  <bgColor rgb="FFFFFF00"/>
                </patternFill>
              </fill>
            </x14:dxf>
          </x14:cfRule>
          <xm:sqref>AA122:AO122</xm:sqref>
        </x14:conditionalFormatting>
        <x14:conditionalFormatting xmlns:xm="http://schemas.microsoft.com/office/excel/2006/main">
          <x14:cfRule type="expression" priority="4697294" id="{207A5E5D-B322-482E-9193-1D7318138358}">
            <xm:f>$AP$4='Data entry'!$R45</xm:f>
            <x14:dxf>
              <fill>
                <patternFill>
                  <bgColor rgb="FFFF0000"/>
                </patternFill>
              </fill>
            </x14:dxf>
          </x14:cfRule>
          <xm:sqref>AN123:AZ123</xm:sqref>
        </x14:conditionalFormatting>
        <x14:conditionalFormatting xmlns:xm="http://schemas.microsoft.com/office/excel/2006/main">
          <x14:cfRule type="expression" priority="4697295" id="{21DA638D-4CA0-4067-BFF1-240CE1A0261B}">
            <xm:f>$AP$4='Data entry'!$R45</xm:f>
            <x14:dxf>
              <fill>
                <patternFill>
                  <bgColor rgb="FFFFFF00"/>
                </patternFill>
              </fill>
            </x14:dxf>
          </x14:cfRule>
          <xm:sqref>AB122:AP122</xm:sqref>
        </x14:conditionalFormatting>
        <x14:conditionalFormatting xmlns:xm="http://schemas.microsoft.com/office/excel/2006/main">
          <x14:cfRule type="expression" priority="4697296" id="{71963D96-A42A-4B90-BFC7-6D83D37766EF}">
            <xm:f>$AQ$4='Data entry'!$R45</xm:f>
            <x14:dxf>
              <fill>
                <patternFill>
                  <bgColor rgb="FFFF0000"/>
                </patternFill>
              </fill>
            </x14:dxf>
          </x14:cfRule>
          <xm:sqref>AO123:BA123</xm:sqref>
        </x14:conditionalFormatting>
        <x14:conditionalFormatting xmlns:xm="http://schemas.microsoft.com/office/excel/2006/main">
          <x14:cfRule type="expression" priority="4697297" id="{74952595-84B6-484F-8FF6-FCC1F337DF4D}">
            <xm:f>$AQ$4='Data entry'!$R45</xm:f>
            <x14:dxf>
              <fill>
                <patternFill>
                  <bgColor rgb="FFFFFF00"/>
                </patternFill>
              </fill>
            </x14:dxf>
          </x14:cfRule>
          <xm:sqref>AC122:AQ122</xm:sqref>
        </x14:conditionalFormatting>
        <x14:conditionalFormatting xmlns:xm="http://schemas.microsoft.com/office/excel/2006/main">
          <x14:cfRule type="expression" priority="4697298" id="{8AC9C4B9-0A34-4BC0-B0F7-CA89434C4911}">
            <xm:f>$P$4='Data entry'!$R45</xm:f>
            <x14:dxf>
              <fill>
                <patternFill>
                  <bgColor rgb="FFFFFF00"/>
                </patternFill>
              </fill>
            </x14:dxf>
          </x14:cfRule>
          <xm:sqref>C122:P122</xm:sqref>
        </x14:conditionalFormatting>
        <x14:conditionalFormatting xmlns:xm="http://schemas.microsoft.com/office/excel/2006/main">
          <x14:cfRule type="expression" priority="4697299" id="{0A726775-ABFD-4F22-967C-1A4D87BA3751}">
            <xm:f>$Q$4='Data entry'!$R45</xm:f>
            <x14:dxf>
              <fill>
                <patternFill>
                  <bgColor rgb="FFFFFF00"/>
                </patternFill>
              </fill>
            </x14:dxf>
          </x14:cfRule>
          <xm:sqref>C122:Q122</xm:sqref>
        </x14:conditionalFormatting>
        <x14:conditionalFormatting xmlns:xm="http://schemas.microsoft.com/office/excel/2006/main">
          <x14:cfRule type="expression" priority="4697300" id="{3A8414BD-262C-43B5-86EE-FA6901D00453}">
            <xm:f>$Q$4='Data entry'!$R45</xm:f>
            <x14:dxf>
              <fill>
                <patternFill>
                  <bgColor rgb="FFFF0000"/>
                </patternFill>
              </fill>
            </x14:dxf>
          </x14:cfRule>
          <xm:sqref>O123:AA123</xm:sqref>
        </x14:conditionalFormatting>
        <x14:conditionalFormatting xmlns:xm="http://schemas.microsoft.com/office/excel/2006/main">
          <x14:cfRule type="expression" priority="4697301" id="{B8B5501D-F3EF-4449-9306-F652960C65F4}">
            <xm:f>$R$4='Data entry'!$R45</xm:f>
            <x14:dxf>
              <fill>
                <patternFill>
                  <bgColor rgb="FFFF0000"/>
                </patternFill>
              </fill>
            </x14:dxf>
          </x14:cfRule>
          <xm:sqref>P123:AB123</xm:sqref>
        </x14:conditionalFormatting>
        <x14:conditionalFormatting xmlns:xm="http://schemas.microsoft.com/office/excel/2006/main">
          <x14:cfRule type="expression" priority="4697302" id="{5D070DEC-B82E-4D87-B907-A3E5AB836991}">
            <xm:f>$R$4='Data entry'!$R45</xm:f>
            <x14:dxf>
              <fill>
                <patternFill>
                  <bgColor rgb="FFFFFF00"/>
                </patternFill>
              </fill>
            </x14:dxf>
          </x14:cfRule>
          <xm:sqref>D122:R122</xm:sqref>
        </x14:conditionalFormatting>
        <x14:conditionalFormatting xmlns:xm="http://schemas.microsoft.com/office/excel/2006/main">
          <x14:cfRule type="expression" priority="4697303" id="{E4D16A10-F818-4664-9FB2-F0E839824D4B}">
            <xm:f>$S$4='Data entry'!$R45</xm:f>
            <x14:dxf>
              <fill>
                <patternFill>
                  <bgColor rgb="FFFF0000"/>
                </patternFill>
              </fill>
            </x14:dxf>
          </x14:cfRule>
          <xm:sqref>Q123:AC123</xm:sqref>
        </x14:conditionalFormatting>
        <x14:conditionalFormatting xmlns:xm="http://schemas.microsoft.com/office/excel/2006/main">
          <x14:cfRule type="expression" priority="4697304" id="{1A9F9911-A3E9-4730-AFBE-AB8C596545CA}">
            <xm:f>$S$4='Data entry'!$R45</xm:f>
            <x14:dxf>
              <fill>
                <patternFill>
                  <bgColor rgb="FFFFFF00"/>
                </patternFill>
              </fill>
            </x14:dxf>
          </x14:cfRule>
          <xm:sqref>E122:S122</xm:sqref>
        </x14:conditionalFormatting>
        <x14:conditionalFormatting xmlns:xm="http://schemas.microsoft.com/office/excel/2006/main">
          <x14:cfRule type="expression" priority="4697305" id="{8BB5CD1B-B2AC-442A-9550-26DE19A62D22}">
            <xm:f>$T$4='Data entry'!$R45</xm:f>
            <x14:dxf>
              <fill>
                <patternFill>
                  <bgColor rgb="FFFF0000"/>
                </patternFill>
              </fill>
            </x14:dxf>
          </x14:cfRule>
          <xm:sqref>R123:AD123</xm:sqref>
        </x14:conditionalFormatting>
        <x14:conditionalFormatting xmlns:xm="http://schemas.microsoft.com/office/excel/2006/main">
          <x14:cfRule type="expression" priority="4697306" id="{E7B59C69-7921-4049-84A1-8B3E5F7B0598}">
            <xm:f>$T$4='Data entry'!$R45</xm:f>
            <x14:dxf>
              <fill>
                <patternFill>
                  <bgColor rgb="FFFFFF00"/>
                </patternFill>
              </fill>
            </x14:dxf>
          </x14:cfRule>
          <xm:sqref>F122:T122</xm:sqref>
        </x14:conditionalFormatting>
        <x14:conditionalFormatting xmlns:xm="http://schemas.microsoft.com/office/excel/2006/main">
          <x14:cfRule type="expression" priority="4697307" id="{238C09E5-7A3D-439D-949F-A7733073F9A2}">
            <xm:f>$U$4='Data entry'!$R45</xm:f>
            <x14:dxf>
              <fill>
                <patternFill>
                  <bgColor rgb="FFFFFF00"/>
                </patternFill>
              </fill>
            </x14:dxf>
          </x14:cfRule>
          <xm:sqref>G122:U122</xm:sqref>
        </x14:conditionalFormatting>
        <x14:conditionalFormatting xmlns:xm="http://schemas.microsoft.com/office/excel/2006/main">
          <x14:cfRule type="expression" priority="4697308" id="{DE4D4432-0A19-452A-AF14-2873FE4DF411}">
            <xm:f>$AR$4='Data entry'!$R45</xm:f>
            <x14:dxf>
              <fill>
                <patternFill>
                  <bgColor rgb="FFFF0000"/>
                </patternFill>
              </fill>
            </x14:dxf>
          </x14:cfRule>
          <xm:sqref>AP123:BB123</xm:sqref>
        </x14:conditionalFormatting>
        <x14:conditionalFormatting xmlns:xm="http://schemas.microsoft.com/office/excel/2006/main">
          <x14:cfRule type="expression" priority="4697309" id="{90D7E1FF-542D-40C8-9BD5-DFEB4CDD256F}">
            <xm:f>$AR$4='Data entry'!$R45</xm:f>
            <x14:dxf>
              <fill>
                <patternFill>
                  <bgColor rgb="FFFFFF00"/>
                </patternFill>
              </fill>
            </x14:dxf>
          </x14:cfRule>
          <xm:sqref>AD122:AR122</xm:sqref>
        </x14:conditionalFormatting>
        <x14:conditionalFormatting xmlns:xm="http://schemas.microsoft.com/office/excel/2006/main">
          <x14:cfRule type="expression" priority="4697310" id="{0EBB5305-4A4A-4205-A1FF-11160070CBC3}">
            <xm:f>$AS$4='Data entry'!$R45</xm:f>
            <x14:dxf>
              <fill>
                <patternFill>
                  <bgColor rgb="FFFF0000"/>
                </patternFill>
              </fill>
            </x14:dxf>
          </x14:cfRule>
          <xm:sqref>AQ123:BC123</xm:sqref>
        </x14:conditionalFormatting>
        <x14:conditionalFormatting xmlns:xm="http://schemas.microsoft.com/office/excel/2006/main">
          <x14:cfRule type="expression" priority="4697311" id="{AC8EB30C-4253-4CE1-820E-1801F6D8D35B}">
            <xm:f>$AS$4='Data entry'!$R45</xm:f>
            <x14:dxf>
              <fill>
                <patternFill>
                  <bgColor rgb="FFFFFF00"/>
                </patternFill>
              </fill>
            </x14:dxf>
          </x14:cfRule>
          <xm:sqref>AE122:AS122</xm:sqref>
        </x14:conditionalFormatting>
        <x14:conditionalFormatting xmlns:xm="http://schemas.microsoft.com/office/excel/2006/main">
          <x14:cfRule type="expression" priority="4697312" id="{E11744C1-7201-4272-A1B0-945490B42425}">
            <xm:f>$AT$4='Data entry'!$R45</xm:f>
            <x14:dxf>
              <fill>
                <patternFill>
                  <bgColor rgb="FFFF0000"/>
                </patternFill>
              </fill>
            </x14:dxf>
          </x14:cfRule>
          <xm:sqref>AR123:BD123</xm:sqref>
        </x14:conditionalFormatting>
        <x14:conditionalFormatting xmlns:xm="http://schemas.microsoft.com/office/excel/2006/main">
          <x14:cfRule type="expression" priority="4697313" id="{5EE2823B-E955-4EA7-B99C-0B1F77B57A69}">
            <xm:f>$AT$4='Data entry'!$R45</xm:f>
            <x14:dxf>
              <fill>
                <patternFill>
                  <bgColor rgb="FFFFFF00"/>
                </patternFill>
              </fill>
            </x14:dxf>
          </x14:cfRule>
          <xm:sqref>AF122:AT122</xm:sqref>
        </x14:conditionalFormatting>
        <x14:conditionalFormatting xmlns:xm="http://schemas.microsoft.com/office/excel/2006/main">
          <x14:cfRule type="expression" priority="4697314" id="{5737DC63-3262-4B34-900C-2AAEB255FCBA}">
            <xm:f>$AU$4='Data entry'!$R45</xm:f>
            <x14:dxf>
              <fill>
                <patternFill>
                  <bgColor rgb="FFFF0000"/>
                </patternFill>
              </fill>
            </x14:dxf>
          </x14:cfRule>
          <xm:sqref>AS123:BE123</xm:sqref>
        </x14:conditionalFormatting>
        <x14:conditionalFormatting xmlns:xm="http://schemas.microsoft.com/office/excel/2006/main">
          <x14:cfRule type="expression" priority="4697315" id="{2B5C1F1B-3C3D-4CA3-BC64-0E98422075B6}">
            <xm:f>$AU$4='Data entry'!$R45</xm:f>
            <x14:dxf>
              <fill>
                <patternFill>
                  <bgColor rgb="FFFFFF00"/>
                </patternFill>
              </fill>
            </x14:dxf>
          </x14:cfRule>
          <xm:sqref>AG122:AU122</xm:sqref>
        </x14:conditionalFormatting>
        <x14:conditionalFormatting xmlns:xm="http://schemas.microsoft.com/office/excel/2006/main">
          <x14:cfRule type="expression" priority="4697316" id="{B87A1285-B003-4855-8F4B-53C391BA10E6}">
            <xm:f>$AV$4='Data entry'!$R45</xm:f>
            <x14:dxf>
              <fill>
                <patternFill>
                  <bgColor rgb="FFFF0000"/>
                </patternFill>
              </fill>
            </x14:dxf>
          </x14:cfRule>
          <xm:sqref>AT123:BF123</xm:sqref>
        </x14:conditionalFormatting>
        <x14:conditionalFormatting xmlns:xm="http://schemas.microsoft.com/office/excel/2006/main">
          <x14:cfRule type="expression" priority="4697317" id="{338EE31C-78DB-4818-B837-0380F9E457FA}">
            <xm:f>$AV$4='Data entry'!$R45</xm:f>
            <x14:dxf>
              <fill>
                <patternFill>
                  <bgColor rgb="FFFFFF00"/>
                </patternFill>
              </fill>
            </x14:dxf>
          </x14:cfRule>
          <xm:sqref>AH122:AV122</xm:sqref>
        </x14:conditionalFormatting>
        <x14:conditionalFormatting xmlns:xm="http://schemas.microsoft.com/office/excel/2006/main">
          <x14:cfRule type="expression" priority="4697318" id="{5C40EA66-2801-4C91-B885-BF6A1ECFC35C}">
            <xm:f>$AW$4='Data entry'!$R45</xm:f>
            <x14:dxf>
              <fill>
                <patternFill>
                  <bgColor rgb="FFFF0000"/>
                </patternFill>
              </fill>
            </x14:dxf>
          </x14:cfRule>
          <xm:sqref>AU123:BG123</xm:sqref>
        </x14:conditionalFormatting>
        <x14:conditionalFormatting xmlns:xm="http://schemas.microsoft.com/office/excel/2006/main">
          <x14:cfRule type="expression" priority="4697319" id="{51BCD5CE-DF86-4C2F-8A81-DDA1EFD6C8F7}">
            <xm:f>$AW$4='Data entry'!$R45</xm:f>
            <x14:dxf>
              <fill>
                <patternFill>
                  <bgColor rgb="FFFFFF00"/>
                </patternFill>
              </fill>
            </x14:dxf>
          </x14:cfRule>
          <xm:sqref>AI122:AW122</xm:sqref>
        </x14:conditionalFormatting>
        <x14:conditionalFormatting xmlns:xm="http://schemas.microsoft.com/office/excel/2006/main">
          <x14:cfRule type="expression" priority="4697320" id="{DC2ED5A0-8917-4877-8CD3-9DF9BE5993C9}">
            <xm:f>$AX$4='Data entry'!$R45</xm:f>
            <x14:dxf>
              <fill>
                <patternFill>
                  <bgColor rgb="FFFF0000"/>
                </patternFill>
              </fill>
            </x14:dxf>
          </x14:cfRule>
          <xm:sqref>AV123:BH123</xm:sqref>
        </x14:conditionalFormatting>
        <x14:conditionalFormatting xmlns:xm="http://schemas.microsoft.com/office/excel/2006/main">
          <x14:cfRule type="expression" priority="4697321" id="{59B31869-20F9-45BD-BC80-0A6C8945CE2C}">
            <xm:f>$AX$4='Data entry'!$R45</xm:f>
            <x14:dxf>
              <fill>
                <patternFill>
                  <bgColor rgb="FFFFFF00"/>
                </patternFill>
              </fill>
            </x14:dxf>
          </x14:cfRule>
          <xm:sqref>AJ122:AX122</xm:sqref>
        </x14:conditionalFormatting>
        <x14:conditionalFormatting xmlns:xm="http://schemas.microsoft.com/office/excel/2006/main">
          <x14:cfRule type="expression" priority="4697322" id="{D4208FA0-4262-4037-934C-6D0742B2AD8E}">
            <xm:f>$AY$4='Data entry'!$R45</xm:f>
            <x14:dxf>
              <fill>
                <patternFill>
                  <bgColor rgb="FFFF0000"/>
                </patternFill>
              </fill>
            </x14:dxf>
          </x14:cfRule>
          <xm:sqref>AW123:BI123</xm:sqref>
        </x14:conditionalFormatting>
        <x14:conditionalFormatting xmlns:xm="http://schemas.microsoft.com/office/excel/2006/main">
          <x14:cfRule type="expression" priority="4697323" id="{04D6E423-18C7-42B2-A67D-F49D8E62B571}">
            <xm:f>$AY$4='Data entry'!$R45</xm:f>
            <x14:dxf>
              <fill>
                <patternFill>
                  <bgColor rgb="FFFFFF00"/>
                </patternFill>
              </fill>
            </x14:dxf>
          </x14:cfRule>
          <xm:sqref>AK122:AY122</xm:sqref>
        </x14:conditionalFormatting>
        <x14:conditionalFormatting xmlns:xm="http://schemas.microsoft.com/office/excel/2006/main">
          <x14:cfRule type="expression" priority="4697324" id="{A931C203-6E4B-4EBD-A2F4-1876881F48D4}">
            <xm:f>$AZ$4='Data entry'!$R45</xm:f>
            <x14:dxf>
              <fill>
                <patternFill>
                  <bgColor rgb="FFFF0000"/>
                </patternFill>
              </fill>
            </x14:dxf>
          </x14:cfRule>
          <xm:sqref>AX123:BJ123</xm:sqref>
        </x14:conditionalFormatting>
        <x14:conditionalFormatting xmlns:xm="http://schemas.microsoft.com/office/excel/2006/main">
          <x14:cfRule type="expression" priority="4697325" id="{092D9100-E652-40FE-8CAA-720DC0681250}">
            <xm:f>$AZ$4='Data entry'!$R45</xm:f>
            <x14:dxf>
              <fill>
                <patternFill>
                  <bgColor rgb="FFFFFF00"/>
                </patternFill>
              </fill>
            </x14:dxf>
          </x14:cfRule>
          <xm:sqref>AL122:AZ122</xm:sqref>
        </x14:conditionalFormatting>
        <x14:conditionalFormatting xmlns:xm="http://schemas.microsoft.com/office/excel/2006/main">
          <x14:cfRule type="expression" priority="4697326" id="{A3C7E6BE-A225-483C-A983-A915DB662C52}">
            <xm:f>$BA$4='Data entry'!$R45</xm:f>
            <x14:dxf>
              <fill>
                <patternFill>
                  <bgColor rgb="FFFF0000"/>
                </patternFill>
              </fill>
            </x14:dxf>
          </x14:cfRule>
          <xm:sqref>AY123:BK123</xm:sqref>
        </x14:conditionalFormatting>
        <x14:conditionalFormatting xmlns:xm="http://schemas.microsoft.com/office/excel/2006/main">
          <x14:cfRule type="expression" priority="4697327" id="{F5CF569A-8AFA-4CFF-8BD3-F04D8927A99F}">
            <xm:f>$BA$4='Data entry'!$R45</xm:f>
            <x14:dxf>
              <fill>
                <patternFill>
                  <bgColor rgb="FFFFFF00"/>
                </patternFill>
              </fill>
            </x14:dxf>
          </x14:cfRule>
          <xm:sqref>AM122:BA122</xm:sqref>
        </x14:conditionalFormatting>
        <x14:conditionalFormatting xmlns:xm="http://schemas.microsoft.com/office/excel/2006/main">
          <x14:cfRule type="expression" priority="4697328" id="{E4DAC94A-7983-4BFB-A87B-45B58561841A}">
            <xm:f>$BB$4='Data entry'!$R45</xm:f>
            <x14:dxf>
              <fill>
                <patternFill>
                  <bgColor rgb="FFFF0000"/>
                </patternFill>
              </fill>
            </x14:dxf>
          </x14:cfRule>
          <xm:sqref>AZ123:BL123</xm:sqref>
        </x14:conditionalFormatting>
        <x14:conditionalFormatting xmlns:xm="http://schemas.microsoft.com/office/excel/2006/main">
          <x14:cfRule type="expression" priority="4697329" id="{E63849C5-F39B-4B0E-8F8A-B532EDF2CBAE}">
            <xm:f>$BB$4='Data entry'!$R45</xm:f>
            <x14:dxf>
              <fill>
                <patternFill>
                  <bgColor rgb="FFFFFF00"/>
                </patternFill>
              </fill>
            </x14:dxf>
          </x14:cfRule>
          <xm:sqref>AN122:BB122</xm:sqref>
        </x14:conditionalFormatting>
        <x14:conditionalFormatting xmlns:xm="http://schemas.microsoft.com/office/excel/2006/main">
          <x14:cfRule type="expression" priority="4697330" id="{4FDC32D3-C1F5-455D-9AA4-A03359B72526}">
            <xm:f>$BC$4='Data entry'!$R45</xm:f>
            <x14:dxf>
              <fill>
                <patternFill>
                  <bgColor rgb="FFFF0000"/>
                </patternFill>
              </fill>
            </x14:dxf>
          </x14:cfRule>
          <xm:sqref>BA123:BM123</xm:sqref>
        </x14:conditionalFormatting>
        <x14:conditionalFormatting xmlns:xm="http://schemas.microsoft.com/office/excel/2006/main">
          <x14:cfRule type="expression" priority="4697331" id="{5F0D0C60-B233-4C56-B05D-98C99990877F}">
            <xm:f>$BC$4='Data entry'!$R45</xm:f>
            <x14:dxf>
              <fill>
                <patternFill>
                  <bgColor rgb="FFFFFF00"/>
                </patternFill>
              </fill>
            </x14:dxf>
          </x14:cfRule>
          <xm:sqref>AO122:BC122</xm:sqref>
        </x14:conditionalFormatting>
        <x14:conditionalFormatting xmlns:xm="http://schemas.microsoft.com/office/excel/2006/main">
          <x14:cfRule type="expression" priority="4697332" id="{9EBCB60F-8135-43B6-A0F3-548D4092CC98}">
            <xm:f>$BD$4='Data entry'!$R45</xm:f>
            <x14:dxf>
              <fill>
                <patternFill>
                  <bgColor rgb="FFFF0000"/>
                </patternFill>
              </fill>
            </x14:dxf>
          </x14:cfRule>
          <xm:sqref>BB123:BN123</xm:sqref>
        </x14:conditionalFormatting>
        <x14:conditionalFormatting xmlns:xm="http://schemas.microsoft.com/office/excel/2006/main">
          <x14:cfRule type="expression" priority="4697333" id="{961AF346-4A73-41ED-9A8D-27D431B09C05}">
            <xm:f>$BD$4='Data entry'!$R45</xm:f>
            <x14:dxf>
              <fill>
                <patternFill>
                  <bgColor rgb="FFFFFF00"/>
                </patternFill>
              </fill>
            </x14:dxf>
          </x14:cfRule>
          <xm:sqref>AP122:BD122</xm:sqref>
        </x14:conditionalFormatting>
        <x14:conditionalFormatting xmlns:xm="http://schemas.microsoft.com/office/excel/2006/main">
          <x14:cfRule type="expression" priority="4697334" id="{5A887026-27CD-4F8C-8BA6-1E92704C1CA6}">
            <xm:f>$BE$4='Data entry'!$R45</xm:f>
            <x14:dxf>
              <fill>
                <patternFill>
                  <bgColor rgb="FFFF0000"/>
                </patternFill>
              </fill>
            </x14:dxf>
          </x14:cfRule>
          <xm:sqref>BC123:BO123</xm:sqref>
        </x14:conditionalFormatting>
        <x14:conditionalFormatting xmlns:xm="http://schemas.microsoft.com/office/excel/2006/main">
          <x14:cfRule type="expression" priority="4697335" id="{7F46217B-A1E9-4515-B31E-E756FCD7C6D9}">
            <xm:f>$BE$4='Data entry'!$R45</xm:f>
            <x14:dxf>
              <fill>
                <patternFill>
                  <bgColor rgb="FFFFFF00"/>
                </patternFill>
              </fill>
            </x14:dxf>
          </x14:cfRule>
          <xm:sqref>AP122:BE122</xm:sqref>
        </x14:conditionalFormatting>
        <x14:conditionalFormatting xmlns:xm="http://schemas.microsoft.com/office/excel/2006/main">
          <x14:cfRule type="expression" priority="4697336" id="{F4D9285C-8CA0-4EF1-943E-6A462D47CC77}">
            <xm:f>$BF$4='Data entry'!$R45</xm:f>
            <x14:dxf>
              <fill>
                <patternFill>
                  <bgColor rgb="FFFF0000"/>
                </patternFill>
              </fill>
            </x14:dxf>
          </x14:cfRule>
          <xm:sqref>BD123:BP123</xm:sqref>
        </x14:conditionalFormatting>
        <x14:conditionalFormatting xmlns:xm="http://schemas.microsoft.com/office/excel/2006/main">
          <x14:cfRule type="expression" priority="4697337" id="{B9E4407D-651D-4DC0-9D61-3271D62A65E9}">
            <xm:f>$BF$4='Data entry'!$R45</xm:f>
            <x14:dxf>
              <fill>
                <patternFill>
                  <bgColor rgb="FFFFFF00"/>
                </patternFill>
              </fill>
            </x14:dxf>
          </x14:cfRule>
          <xm:sqref>AR122:BF122</xm:sqref>
        </x14:conditionalFormatting>
        <x14:conditionalFormatting xmlns:xm="http://schemas.microsoft.com/office/excel/2006/main">
          <x14:cfRule type="expression" priority="4697338" id="{4CDC062F-DDFF-4556-B941-08F919727F69}">
            <xm:f>$BG$4='Data entry'!$R45</xm:f>
            <x14:dxf>
              <fill>
                <patternFill>
                  <bgColor rgb="FFFF0000"/>
                </patternFill>
              </fill>
            </x14:dxf>
          </x14:cfRule>
          <xm:sqref>BE123:BQ123</xm:sqref>
        </x14:conditionalFormatting>
        <x14:conditionalFormatting xmlns:xm="http://schemas.microsoft.com/office/excel/2006/main">
          <x14:cfRule type="expression" priority="4697339" id="{789184FA-9055-433B-8A1B-92C7ED59E81F}">
            <xm:f>$BG$4='Data entry'!$R45</xm:f>
            <x14:dxf>
              <fill>
                <patternFill>
                  <bgColor rgb="FFFFFF00"/>
                </patternFill>
              </fill>
            </x14:dxf>
          </x14:cfRule>
          <xm:sqref>AS122:BG122</xm:sqref>
        </x14:conditionalFormatting>
        <x14:conditionalFormatting xmlns:xm="http://schemas.microsoft.com/office/excel/2006/main">
          <x14:cfRule type="expression" priority="4697340" id="{58651E5C-09C9-46C1-B95C-E8A578A49E15}">
            <xm:f>$BH$4='Data entry'!$R45</xm:f>
            <x14:dxf>
              <fill>
                <patternFill>
                  <bgColor rgb="FFFFFF00"/>
                </patternFill>
              </fill>
            </x14:dxf>
          </x14:cfRule>
          <xm:sqref>AT122:BH122</xm:sqref>
        </x14:conditionalFormatting>
        <x14:conditionalFormatting xmlns:xm="http://schemas.microsoft.com/office/excel/2006/main">
          <x14:cfRule type="expression" priority="4697341" id="{97B30B86-8311-4DC0-A533-8C0D53F37839}">
            <xm:f>$BH$4='Data entry'!$R45</xm:f>
            <x14:dxf>
              <fill>
                <patternFill>
                  <bgColor rgb="FFFF0000"/>
                </patternFill>
              </fill>
            </x14:dxf>
          </x14:cfRule>
          <xm:sqref>BF123:BR123</xm:sqref>
        </x14:conditionalFormatting>
        <x14:conditionalFormatting xmlns:xm="http://schemas.microsoft.com/office/excel/2006/main">
          <x14:cfRule type="expression" priority="4697342" id="{78344C0C-5AEA-40B1-A20C-6D77DF58E1F5}">
            <xm:f>$BI$4='Data entry'!$R45</xm:f>
            <x14:dxf>
              <fill>
                <patternFill>
                  <bgColor rgb="FFFFFF00"/>
                </patternFill>
              </fill>
            </x14:dxf>
          </x14:cfRule>
          <xm:sqref>AU122:BI122</xm:sqref>
        </x14:conditionalFormatting>
        <x14:conditionalFormatting xmlns:xm="http://schemas.microsoft.com/office/excel/2006/main">
          <x14:cfRule type="expression" priority="4697343" id="{A9CE044F-482E-4F25-B28F-89ACC58502B1}">
            <xm:f>$BI$4='Data entry'!$R45</xm:f>
            <x14:dxf>
              <fill>
                <patternFill>
                  <bgColor rgb="FFFF0000"/>
                </patternFill>
              </fill>
            </x14:dxf>
          </x14:cfRule>
          <xm:sqref>BG123:BS123</xm:sqref>
        </x14:conditionalFormatting>
        <x14:conditionalFormatting xmlns:xm="http://schemas.microsoft.com/office/excel/2006/main">
          <x14:cfRule type="expression" priority="4697344" id="{F63BE0EB-3C71-4456-BEF0-11180AB7A8BB}">
            <xm:f>$BJ$4='Data entry'!$R45</xm:f>
            <x14:dxf>
              <fill>
                <patternFill>
                  <bgColor rgb="FFFFFF00"/>
                </patternFill>
              </fill>
            </x14:dxf>
          </x14:cfRule>
          <xm:sqref>AV122:BJ122</xm:sqref>
        </x14:conditionalFormatting>
        <x14:conditionalFormatting xmlns:xm="http://schemas.microsoft.com/office/excel/2006/main">
          <x14:cfRule type="expression" priority="4697345" id="{478A5DCB-1DAA-4497-A6CC-B4F01FB96D10}">
            <xm:f>$BJ$4='Data entry'!$R45</xm:f>
            <x14:dxf>
              <fill>
                <patternFill>
                  <bgColor rgb="FFFF0000"/>
                </patternFill>
              </fill>
            </x14:dxf>
          </x14:cfRule>
          <xm:sqref>BH123:BT123</xm:sqref>
        </x14:conditionalFormatting>
        <x14:conditionalFormatting xmlns:xm="http://schemas.microsoft.com/office/excel/2006/main">
          <x14:cfRule type="expression" priority="4697346" id="{CDE4AD5B-65A6-4FA4-9EC0-8D05F22312A9}">
            <xm:f>$BK$4='Data entry'!$R45</xm:f>
            <x14:dxf>
              <fill>
                <patternFill>
                  <bgColor rgb="FFFF0000"/>
                </patternFill>
              </fill>
            </x14:dxf>
          </x14:cfRule>
          <xm:sqref>BI123:BU123</xm:sqref>
        </x14:conditionalFormatting>
        <x14:conditionalFormatting xmlns:xm="http://schemas.microsoft.com/office/excel/2006/main">
          <x14:cfRule type="expression" priority="4697347" id="{AB32E790-6CD8-4D11-9A69-57D785FE4BBC}">
            <xm:f>$BK$4='Data entry'!$R45</xm:f>
            <x14:dxf>
              <fill>
                <patternFill>
                  <bgColor rgb="FFFFFF00"/>
                </patternFill>
              </fill>
            </x14:dxf>
          </x14:cfRule>
          <xm:sqref>AW122:BK122</xm:sqref>
        </x14:conditionalFormatting>
        <x14:conditionalFormatting xmlns:xm="http://schemas.microsoft.com/office/excel/2006/main">
          <x14:cfRule type="expression" priority="4697348" id="{99810EB9-805C-43D8-852A-EEECE7874CDB}">
            <xm:f>$BL$4='Data entry'!$R45</xm:f>
            <x14:dxf>
              <fill>
                <patternFill>
                  <bgColor rgb="FFFF0000"/>
                </patternFill>
              </fill>
            </x14:dxf>
          </x14:cfRule>
          <xm:sqref>BJ123:BV123</xm:sqref>
        </x14:conditionalFormatting>
        <x14:conditionalFormatting xmlns:xm="http://schemas.microsoft.com/office/excel/2006/main">
          <x14:cfRule type="expression" priority="4697349" id="{BF5F5475-4E46-479C-97A6-D5175F5D1803}">
            <xm:f>$BL$4='Data entry'!$R45</xm:f>
            <x14:dxf>
              <fill>
                <patternFill>
                  <bgColor rgb="FFFFFF00"/>
                </patternFill>
              </fill>
            </x14:dxf>
          </x14:cfRule>
          <xm:sqref>AX122:BL122</xm:sqref>
        </x14:conditionalFormatting>
        <x14:conditionalFormatting xmlns:xm="http://schemas.microsoft.com/office/excel/2006/main">
          <x14:cfRule type="expression" priority="4697350" id="{B86FDF2F-16C9-46B1-847E-7EA1A8A34B9D}">
            <xm:f>$BM$4='Data entry'!$R45</xm:f>
            <x14:dxf>
              <fill>
                <patternFill>
                  <bgColor rgb="FFFF0000"/>
                </patternFill>
              </fill>
            </x14:dxf>
          </x14:cfRule>
          <xm:sqref>BK123:BW123</xm:sqref>
        </x14:conditionalFormatting>
        <x14:conditionalFormatting xmlns:xm="http://schemas.microsoft.com/office/excel/2006/main">
          <x14:cfRule type="expression" priority="4697351" id="{72FD189F-4CED-400D-9FEF-21A328970A4D}">
            <xm:f>$BM$4='Data entry'!$R45</xm:f>
            <x14:dxf>
              <fill>
                <patternFill>
                  <bgColor rgb="FFFFFF00"/>
                </patternFill>
              </fill>
            </x14:dxf>
          </x14:cfRule>
          <xm:sqref>AY122:BM122</xm:sqref>
        </x14:conditionalFormatting>
        <x14:conditionalFormatting xmlns:xm="http://schemas.microsoft.com/office/excel/2006/main">
          <x14:cfRule type="expression" priority="4697352" id="{BBBBF859-D5A7-4F55-BFBF-8A77E3357590}">
            <xm:f>$BN$4='Data entry'!$R45</xm:f>
            <x14:dxf>
              <fill>
                <patternFill>
                  <bgColor rgb="FFFF0000"/>
                </patternFill>
              </fill>
            </x14:dxf>
          </x14:cfRule>
          <xm:sqref>BL123:BX123</xm:sqref>
        </x14:conditionalFormatting>
        <x14:conditionalFormatting xmlns:xm="http://schemas.microsoft.com/office/excel/2006/main">
          <x14:cfRule type="expression" priority="4697353" id="{50CB1D75-0FD5-4D24-92B1-E8A41DC6575C}">
            <xm:f>$BN$4='Data entry'!$R45</xm:f>
            <x14:dxf>
              <fill>
                <patternFill>
                  <bgColor rgb="FFFFFF00"/>
                </patternFill>
              </fill>
            </x14:dxf>
          </x14:cfRule>
          <xm:sqref>AZ122:BN122</xm:sqref>
        </x14:conditionalFormatting>
        <x14:conditionalFormatting xmlns:xm="http://schemas.microsoft.com/office/excel/2006/main">
          <x14:cfRule type="expression" priority="4697354" id="{9EF3226D-E8FC-496B-A6FF-71776AEA54D1}">
            <xm:f>$BO$4='Data entry'!$R45</xm:f>
            <x14:dxf>
              <fill>
                <patternFill>
                  <bgColor rgb="FFFF0000"/>
                </patternFill>
              </fill>
            </x14:dxf>
          </x14:cfRule>
          <xm:sqref>BM123:BY123</xm:sqref>
        </x14:conditionalFormatting>
        <x14:conditionalFormatting xmlns:xm="http://schemas.microsoft.com/office/excel/2006/main">
          <x14:cfRule type="expression" priority="4697355" id="{3B86C801-ECFE-4D05-8AA5-1581116BAFBC}">
            <xm:f>$BO$4='Data entry'!$R45</xm:f>
            <x14:dxf>
              <fill>
                <patternFill>
                  <bgColor rgb="FFFFFF00"/>
                </patternFill>
              </fill>
            </x14:dxf>
          </x14:cfRule>
          <xm:sqref>BA122:BO122</xm:sqref>
        </x14:conditionalFormatting>
        <x14:conditionalFormatting xmlns:xm="http://schemas.microsoft.com/office/excel/2006/main">
          <x14:cfRule type="expression" priority="4697356" id="{058A23EC-3371-4A02-9F20-1ECA603AC6BC}">
            <xm:f>$BP$4='Data entry'!$R45</xm:f>
            <x14:dxf>
              <fill>
                <patternFill>
                  <bgColor rgb="FFFF0000"/>
                </patternFill>
              </fill>
            </x14:dxf>
          </x14:cfRule>
          <xm:sqref>BN123:BZ123</xm:sqref>
        </x14:conditionalFormatting>
        <x14:conditionalFormatting xmlns:xm="http://schemas.microsoft.com/office/excel/2006/main">
          <x14:cfRule type="expression" priority="4697357" id="{3E711E31-3992-4555-AB22-87133D60CD15}">
            <xm:f>$BP$4='Data entry'!$R45</xm:f>
            <x14:dxf>
              <fill>
                <patternFill>
                  <bgColor rgb="FFFFFF00"/>
                </patternFill>
              </fill>
            </x14:dxf>
          </x14:cfRule>
          <xm:sqref>BB122:BP122</xm:sqref>
        </x14:conditionalFormatting>
        <x14:conditionalFormatting xmlns:xm="http://schemas.microsoft.com/office/excel/2006/main">
          <x14:cfRule type="expression" priority="4697358" id="{23E9F8B9-37D5-4730-9453-6F23E8ECBBE3}">
            <xm:f>$BQ$4='Data entry'!$R45</xm:f>
            <x14:dxf>
              <fill>
                <patternFill>
                  <bgColor rgb="FFFFFF00"/>
                </patternFill>
              </fill>
            </x14:dxf>
          </x14:cfRule>
          <xm:sqref>BC122:BQ122</xm:sqref>
        </x14:conditionalFormatting>
        <x14:conditionalFormatting xmlns:xm="http://schemas.microsoft.com/office/excel/2006/main">
          <x14:cfRule type="expression" priority="4697359" id="{BCFD92F6-AAD3-44FD-BC61-A292A81B883E}">
            <xm:f>$BQ$4='Data entry'!$R45</xm:f>
            <x14:dxf>
              <fill>
                <patternFill>
                  <bgColor rgb="FFFF0000"/>
                </patternFill>
              </fill>
            </x14:dxf>
          </x14:cfRule>
          <xm:sqref>BO123:CA123</xm:sqref>
        </x14:conditionalFormatting>
        <x14:conditionalFormatting xmlns:xm="http://schemas.microsoft.com/office/excel/2006/main">
          <x14:cfRule type="expression" priority="4697360" id="{357D60E5-F356-477E-8020-A18F42C02832}">
            <xm:f>$BR$4='Data entry'!$R45</xm:f>
            <x14:dxf>
              <fill>
                <patternFill>
                  <bgColor rgb="FFFFFF00"/>
                </patternFill>
              </fill>
            </x14:dxf>
          </x14:cfRule>
          <xm:sqref>BD122:BR122</xm:sqref>
        </x14:conditionalFormatting>
        <x14:conditionalFormatting xmlns:xm="http://schemas.microsoft.com/office/excel/2006/main">
          <x14:cfRule type="expression" priority="4697361" id="{DA2B6511-43B3-432D-B6AA-1DB1188B90A6}">
            <xm:f>$BR$4='Data entry'!$R45</xm:f>
            <x14:dxf>
              <fill>
                <patternFill>
                  <bgColor rgb="FFFF0000"/>
                </patternFill>
              </fill>
            </x14:dxf>
          </x14:cfRule>
          <xm:sqref>BP123:CB123</xm:sqref>
        </x14:conditionalFormatting>
        <x14:conditionalFormatting xmlns:xm="http://schemas.microsoft.com/office/excel/2006/main">
          <x14:cfRule type="expression" priority="4697362" id="{0D5F64E4-4136-4BFA-B833-CC8578525D9C}">
            <xm:f>$BS$4='Data entry'!$R45</xm:f>
            <x14:dxf>
              <fill>
                <patternFill>
                  <bgColor rgb="FFFFFF00"/>
                </patternFill>
              </fill>
            </x14:dxf>
          </x14:cfRule>
          <xm:sqref>BE122:BS122</xm:sqref>
        </x14:conditionalFormatting>
        <x14:conditionalFormatting xmlns:xm="http://schemas.microsoft.com/office/excel/2006/main">
          <x14:cfRule type="expression" priority="4697363" id="{AC94D468-F078-4AE2-8771-102996E07B09}">
            <xm:f>$BS$4='Data entry'!$R45</xm:f>
            <x14:dxf>
              <fill>
                <patternFill>
                  <bgColor rgb="FFFF0000"/>
                </patternFill>
              </fill>
            </x14:dxf>
          </x14:cfRule>
          <xm:sqref>BQ123:CC123</xm:sqref>
        </x14:conditionalFormatting>
        <x14:conditionalFormatting xmlns:xm="http://schemas.microsoft.com/office/excel/2006/main">
          <x14:cfRule type="expression" priority="4697364" id="{10E78F76-181E-4F19-9F89-7DD36D3EFE30}">
            <xm:f>$BT$4='Data entry'!$R45</xm:f>
            <x14:dxf>
              <fill>
                <patternFill>
                  <bgColor rgb="FFFFFF00"/>
                </patternFill>
              </fill>
            </x14:dxf>
          </x14:cfRule>
          <xm:sqref>BF122:BT122</xm:sqref>
        </x14:conditionalFormatting>
        <x14:conditionalFormatting xmlns:xm="http://schemas.microsoft.com/office/excel/2006/main">
          <x14:cfRule type="expression" priority="4697365" id="{6A5FADC6-9512-4EFB-90A5-7B5244D10D1F}">
            <xm:f>$BT$4='Data entry'!$R45</xm:f>
            <x14:dxf>
              <fill>
                <patternFill>
                  <bgColor rgb="FFFF0000"/>
                </patternFill>
              </fill>
            </x14:dxf>
          </x14:cfRule>
          <xm:sqref>BR123:CC123</xm:sqref>
        </x14:conditionalFormatting>
        <x14:conditionalFormatting xmlns:xm="http://schemas.microsoft.com/office/excel/2006/main">
          <x14:cfRule type="expression" priority="4697366" id="{A51139D1-8841-4B96-B8CB-DFE3808765CF}">
            <xm:f>$BU$4='Data entry'!$R45</xm:f>
            <x14:dxf>
              <fill>
                <patternFill>
                  <bgColor rgb="FFFFFF00"/>
                </patternFill>
              </fill>
            </x14:dxf>
          </x14:cfRule>
          <xm:sqref>BG122:BU122</xm:sqref>
        </x14:conditionalFormatting>
        <x14:conditionalFormatting xmlns:xm="http://schemas.microsoft.com/office/excel/2006/main">
          <x14:cfRule type="expression" priority="4697367" id="{55CA7258-760F-4BFF-ACB5-A70FEB3E7981}">
            <xm:f>$BU$4='Data entry'!$R45</xm:f>
            <x14:dxf>
              <fill>
                <patternFill>
                  <bgColor rgb="FFFF0000"/>
                </patternFill>
              </fill>
            </x14:dxf>
          </x14:cfRule>
          <xm:sqref>BS123:CC123</xm:sqref>
        </x14:conditionalFormatting>
        <x14:conditionalFormatting xmlns:xm="http://schemas.microsoft.com/office/excel/2006/main">
          <x14:cfRule type="expression" priority="4697368" id="{A922B218-64DB-4CBB-9AB8-FE0EBB44E09E}">
            <xm:f>$BV$4='Data entry'!$R45</xm:f>
            <x14:dxf>
              <fill>
                <patternFill>
                  <bgColor rgb="FFFFFF00"/>
                </patternFill>
              </fill>
            </x14:dxf>
          </x14:cfRule>
          <xm:sqref>BH122:BV122</xm:sqref>
        </x14:conditionalFormatting>
        <x14:conditionalFormatting xmlns:xm="http://schemas.microsoft.com/office/excel/2006/main">
          <x14:cfRule type="expression" priority="4697369" id="{C98E908A-CD31-4778-B41C-7AFB9DBE639A}">
            <xm:f>$BV$4='Data entry'!$R45</xm:f>
            <x14:dxf>
              <fill>
                <patternFill>
                  <bgColor rgb="FFFF0000"/>
                </patternFill>
              </fill>
            </x14:dxf>
          </x14:cfRule>
          <xm:sqref>BT123:CC123</xm:sqref>
        </x14:conditionalFormatting>
        <x14:conditionalFormatting xmlns:xm="http://schemas.microsoft.com/office/excel/2006/main">
          <x14:cfRule type="expression" priority="4697370" id="{465CCCA3-B4DB-4B61-8AC7-8A5E4CEC9E3F}">
            <xm:f>$BW$4='Data entry'!$R45</xm:f>
            <x14:dxf>
              <fill>
                <patternFill>
                  <bgColor rgb="FFFFFF00"/>
                </patternFill>
              </fill>
            </x14:dxf>
          </x14:cfRule>
          <xm:sqref>BI122:BW122</xm:sqref>
        </x14:conditionalFormatting>
        <x14:conditionalFormatting xmlns:xm="http://schemas.microsoft.com/office/excel/2006/main">
          <x14:cfRule type="expression" priority="4697371" id="{37566F97-6D06-400B-A709-FE657B07687F}">
            <xm:f>$BW$4='Data entry'!$R45</xm:f>
            <x14:dxf>
              <fill>
                <patternFill>
                  <bgColor rgb="FFFF0000"/>
                </patternFill>
              </fill>
            </x14:dxf>
          </x14:cfRule>
          <xm:sqref>BU123:CC123</xm:sqref>
        </x14:conditionalFormatting>
        <x14:conditionalFormatting xmlns:xm="http://schemas.microsoft.com/office/excel/2006/main">
          <x14:cfRule type="expression" priority="4697372" id="{D8FBA3AC-5CF0-4E45-97CA-1D4DEE729ADA}">
            <xm:f>$BX$4='Data entry'!$R45</xm:f>
            <x14:dxf>
              <fill>
                <patternFill>
                  <bgColor rgb="FFFFFF00"/>
                </patternFill>
              </fill>
            </x14:dxf>
          </x14:cfRule>
          <xm:sqref>BJ122:BX122</xm:sqref>
        </x14:conditionalFormatting>
        <x14:conditionalFormatting xmlns:xm="http://schemas.microsoft.com/office/excel/2006/main">
          <x14:cfRule type="expression" priority="4697373" id="{E077C84B-A94F-431D-B232-4AFCC7C64F54}">
            <xm:f>$BX$4='Data entry'!$R45</xm:f>
            <x14:dxf>
              <fill>
                <patternFill>
                  <bgColor rgb="FFFF0000"/>
                </patternFill>
              </fill>
            </x14:dxf>
          </x14:cfRule>
          <xm:sqref>BV123:CC123</xm:sqref>
        </x14:conditionalFormatting>
        <x14:conditionalFormatting xmlns:xm="http://schemas.microsoft.com/office/excel/2006/main">
          <x14:cfRule type="expression" priority="4697374" id="{63783BA8-0C97-4A44-86FD-7A2BCF1B9957}">
            <xm:f>$BY$4='Data entry'!$R45</xm:f>
            <x14:dxf>
              <fill>
                <patternFill>
                  <bgColor rgb="FFFFFF00"/>
                </patternFill>
              </fill>
            </x14:dxf>
          </x14:cfRule>
          <xm:sqref>BK122:BY122</xm:sqref>
        </x14:conditionalFormatting>
        <x14:conditionalFormatting xmlns:xm="http://schemas.microsoft.com/office/excel/2006/main">
          <x14:cfRule type="expression" priority="4697375" id="{BB8DB8B4-B71B-46D2-AEE7-346F16103F74}">
            <xm:f>$BY$4='Data entry'!$R45</xm:f>
            <x14:dxf>
              <fill>
                <patternFill>
                  <bgColor rgb="FFFF0000"/>
                </patternFill>
              </fill>
            </x14:dxf>
          </x14:cfRule>
          <xm:sqref>BW123:CC123</xm:sqref>
        </x14:conditionalFormatting>
        <x14:conditionalFormatting xmlns:xm="http://schemas.microsoft.com/office/excel/2006/main">
          <x14:cfRule type="expression" priority="4697376" id="{1B638B98-2B06-4FEB-90C1-446A3E0A3979}">
            <xm:f>$BZ$4='Data entry'!$R45</xm:f>
            <x14:dxf>
              <fill>
                <patternFill>
                  <bgColor rgb="FFFFFF00"/>
                </patternFill>
              </fill>
            </x14:dxf>
          </x14:cfRule>
          <xm:sqref>BL122:BZ122</xm:sqref>
        </x14:conditionalFormatting>
        <x14:conditionalFormatting xmlns:xm="http://schemas.microsoft.com/office/excel/2006/main">
          <x14:cfRule type="expression" priority="4697377" id="{D3A0A2F8-D1B2-4DC5-B2A9-0EF53074E685}">
            <xm:f>$BZ$4='Data entry'!$R45</xm:f>
            <x14:dxf>
              <fill>
                <patternFill>
                  <bgColor rgb="FFFF0000"/>
                </patternFill>
              </fill>
            </x14:dxf>
          </x14:cfRule>
          <xm:sqref>BX123:CC123</xm:sqref>
        </x14:conditionalFormatting>
        <x14:conditionalFormatting xmlns:xm="http://schemas.microsoft.com/office/excel/2006/main">
          <x14:cfRule type="expression" priority="4697378" id="{83F6D018-7D3B-4D33-9998-11572F2F2FF5}">
            <xm:f>$CA$4='Data entry'!$R45</xm:f>
            <x14:dxf>
              <fill>
                <patternFill>
                  <bgColor rgb="FFFFFF00"/>
                </patternFill>
              </fill>
            </x14:dxf>
          </x14:cfRule>
          <xm:sqref>BM122:CA122</xm:sqref>
        </x14:conditionalFormatting>
        <x14:conditionalFormatting xmlns:xm="http://schemas.microsoft.com/office/excel/2006/main">
          <x14:cfRule type="expression" priority="4697379" id="{8E6D0B51-5626-4ED9-9072-C7A2C139704F}">
            <xm:f>$CA$4='Data entry'!$R45</xm:f>
            <x14:dxf>
              <fill>
                <patternFill>
                  <bgColor rgb="FFFF0000"/>
                </patternFill>
              </fill>
            </x14:dxf>
          </x14:cfRule>
          <xm:sqref>BY123:CC123</xm:sqref>
        </x14:conditionalFormatting>
        <x14:conditionalFormatting xmlns:xm="http://schemas.microsoft.com/office/excel/2006/main">
          <x14:cfRule type="expression" priority="4697380" id="{E1886EE4-3BDE-43A9-9F4B-79377FEC37FE}">
            <xm:f>$CB$4='Data entry'!$R45</xm:f>
            <x14:dxf>
              <fill>
                <patternFill>
                  <bgColor rgb="FFFFFF00"/>
                </patternFill>
              </fill>
            </x14:dxf>
          </x14:cfRule>
          <xm:sqref>BN122:CB122</xm:sqref>
        </x14:conditionalFormatting>
        <x14:conditionalFormatting xmlns:xm="http://schemas.microsoft.com/office/excel/2006/main">
          <x14:cfRule type="expression" priority="4697381" id="{ADEF572A-6C18-4602-BB86-01C96D36E07E}">
            <xm:f>$CB$4='Data entry'!$R45</xm:f>
            <x14:dxf>
              <fill>
                <patternFill>
                  <bgColor rgb="FFFF0000"/>
                </patternFill>
              </fill>
            </x14:dxf>
          </x14:cfRule>
          <xm:sqref>BZ123:CC123</xm:sqref>
        </x14:conditionalFormatting>
        <x14:conditionalFormatting xmlns:xm="http://schemas.microsoft.com/office/excel/2006/main">
          <x14:cfRule type="expression" priority="4697382" id="{7984E1C9-E073-4955-8543-62145CB6D008}">
            <xm:f>$CC$4='Data entry'!$R45</xm:f>
            <x14:dxf>
              <fill>
                <patternFill>
                  <bgColor rgb="FFFFFF00"/>
                </patternFill>
              </fill>
            </x14:dxf>
          </x14:cfRule>
          <xm:sqref>BO122:CC122</xm:sqref>
        </x14:conditionalFormatting>
        <x14:conditionalFormatting xmlns:xm="http://schemas.microsoft.com/office/excel/2006/main">
          <x14:cfRule type="expression" priority="4697383" id="{18A957B3-59FA-4698-BA92-2A208FF18E2F}">
            <xm:f>$CC$4='Data entry'!$R45</xm:f>
            <x14:dxf>
              <fill>
                <patternFill>
                  <bgColor rgb="FFFF0000"/>
                </patternFill>
              </fill>
            </x14:dxf>
          </x14:cfRule>
          <xm:sqref>CA123:CC123</xm:sqref>
        </x14:conditionalFormatting>
        <x14:conditionalFormatting xmlns:xm="http://schemas.microsoft.com/office/excel/2006/main">
          <x14:cfRule type="expression" priority="4697469" id="{5B0DB825-B7C2-40AC-B7EF-F267F054CFB9}">
            <xm:f>$U$4='Data entry'!$R46</xm:f>
            <x14:dxf>
              <fill>
                <patternFill>
                  <bgColor rgb="FFFF0000"/>
                </patternFill>
              </fill>
            </x14:dxf>
          </x14:cfRule>
          <xm:sqref>S126:AE126</xm:sqref>
        </x14:conditionalFormatting>
        <x14:conditionalFormatting xmlns:xm="http://schemas.microsoft.com/office/excel/2006/main">
          <x14:cfRule type="expression" priority="4697470" id="{18311200-E2BB-400F-B594-3B9A2C6068C2}">
            <xm:f>$V$4='Data entry'!$R46</xm:f>
            <x14:dxf>
              <fill>
                <patternFill>
                  <bgColor rgb="FFFF0000"/>
                </patternFill>
              </fill>
            </x14:dxf>
          </x14:cfRule>
          <xm:sqref>T126:AF126</xm:sqref>
        </x14:conditionalFormatting>
        <x14:conditionalFormatting xmlns:xm="http://schemas.microsoft.com/office/excel/2006/main">
          <x14:cfRule type="expression" priority="4697471" id="{D6DFB621-1A58-4C59-A987-ECAD0EB2D32B}">
            <xm:f>$V$4='Data entry'!$R46</xm:f>
            <x14:dxf>
              <fill>
                <patternFill>
                  <bgColor rgb="FFFFFF00"/>
                </patternFill>
              </fill>
            </x14:dxf>
          </x14:cfRule>
          <xm:sqref>H125:V125</xm:sqref>
        </x14:conditionalFormatting>
        <x14:conditionalFormatting xmlns:xm="http://schemas.microsoft.com/office/excel/2006/main">
          <x14:cfRule type="expression" priority="4697472" id="{5F87A680-DC5F-433D-A779-B7A534ACCDA9}">
            <xm:f>$W$4='Data entry'!$R46</xm:f>
            <x14:dxf>
              <fill>
                <patternFill>
                  <bgColor rgb="FFFF0000"/>
                </patternFill>
              </fill>
            </x14:dxf>
          </x14:cfRule>
          <xm:sqref>U126:AG126</xm:sqref>
        </x14:conditionalFormatting>
        <x14:conditionalFormatting xmlns:xm="http://schemas.microsoft.com/office/excel/2006/main">
          <x14:cfRule type="expression" priority="4697473" id="{964539FF-A92C-4F68-B268-B7157A32678C}">
            <xm:f>$W$4='Data entry'!$R46</xm:f>
            <x14:dxf>
              <fill>
                <patternFill>
                  <bgColor rgb="FFFFFF00"/>
                </patternFill>
              </fill>
            </x14:dxf>
          </x14:cfRule>
          <xm:sqref>I125:W125</xm:sqref>
        </x14:conditionalFormatting>
        <x14:conditionalFormatting xmlns:xm="http://schemas.microsoft.com/office/excel/2006/main">
          <x14:cfRule type="expression" priority="4697474" id="{46C1533A-F090-4A90-9309-3F59EC3FD3B0}">
            <xm:f>$X$4='Data entry'!$R46</xm:f>
            <x14:dxf>
              <fill>
                <patternFill>
                  <bgColor rgb="FFFF0000"/>
                </patternFill>
              </fill>
            </x14:dxf>
          </x14:cfRule>
          <xm:sqref>V126:AH126</xm:sqref>
        </x14:conditionalFormatting>
        <x14:conditionalFormatting xmlns:xm="http://schemas.microsoft.com/office/excel/2006/main">
          <x14:cfRule type="expression" priority="4697475" id="{7C70E81C-DDD4-4D75-933A-4F6A39893184}">
            <xm:f>$X$4='Data entry'!$R46</xm:f>
            <x14:dxf>
              <fill>
                <patternFill>
                  <bgColor rgb="FFFFFF00"/>
                </patternFill>
              </fill>
            </x14:dxf>
          </x14:cfRule>
          <xm:sqref>J125:X125</xm:sqref>
        </x14:conditionalFormatting>
        <x14:conditionalFormatting xmlns:xm="http://schemas.microsoft.com/office/excel/2006/main">
          <x14:cfRule type="expression" priority="4697476" id="{561AF073-0EF8-4B72-A119-40A639C4359D}">
            <xm:f>$Y$4='Data entry'!$R46</xm:f>
            <x14:dxf>
              <fill>
                <patternFill>
                  <bgColor rgb="FFFF0000"/>
                </patternFill>
              </fill>
            </x14:dxf>
          </x14:cfRule>
          <xm:sqref>W126:AI126</xm:sqref>
        </x14:conditionalFormatting>
        <x14:conditionalFormatting xmlns:xm="http://schemas.microsoft.com/office/excel/2006/main">
          <x14:cfRule type="expression" priority="4697477" id="{F242E808-8F07-4A89-9524-7D4C767CE357}">
            <xm:f>$Y$4='Data entry'!$R46</xm:f>
            <x14:dxf>
              <fill>
                <patternFill>
                  <bgColor rgb="FFFFFF00"/>
                </patternFill>
              </fill>
            </x14:dxf>
          </x14:cfRule>
          <xm:sqref>K125:Y125</xm:sqref>
        </x14:conditionalFormatting>
        <x14:conditionalFormatting xmlns:xm="http://schemas.microsoft.com/office/excel/2006/main">
          <x14:cfRule type="expression" priority="4697478" id="{DD601058-982B-4218-BD9D-64BB823C2633}">
            <xm:f>$Z$4='Data entry'!$R46</xm:f>
            <x14:dxf>
              <fill>
                <patternFill>
                  <bgColor rgb="FFFF0000"/>
                </patternFill>
              </fill>
            </x14:dxf>
          </x14:cfRule>
          <xm:sqref>X126:AJ126</xm:sqref>
        </x14:conditionalFormatting>
        <x14:conditionalFormatting xmlns:xm="http://schemas.microsoft.com/office/excel/2006/main">
          <x14:cfRule type="expression" priority="4697479" id="{C9DB141D-79F6-4093-92A3-7BF7A1622985}">
            <xm:f>$Z$4='Data entry'!$R46</xm:f>
            <x14:dxf>
              <fill>
                <patternFill>
                  <bgColor rgb="FFFFFF00"/>
                </patternFill>
              </fill>
            </x14:dxf>
          </x14:cfRule>
          <xm:sqref>L125:Z125</xm:sqref>
        </x14:conditionalFormatting>
        <x14:conditionalFormatting xmlns:xm="http://schemas.microsoft.com/office/excel/2006/main">
          <x14:cfRule type="expression" priority="4697480" id="{710EB8D3-F5C0-4E3C-8214-2D0C4E26F649}">
            <xm:f>$AA$4='Data entry'!$R46</xm:f>
            <x14:dxf>
              <fill>
                <patternFill>
                  <bgColor rgb="FFFF0000"/>
                </patternFill>
              </fill>
            </x14:dxf>
          </x14:cfRule>
          <xm:sqref>Y126:AK126</xm:sqref>
        </x14:conditionalFormatting>
        <x14:conditionalFormatting xmlns:xm="http://schemas.microsoft.com/office/excel/2006/main">
          <x14:cfRule type="expression" priority="4697481" id="{33825D69-C967-4D27-B395-5D44A3083802}">
            <xm:f>$AA$4='Data entry'!$R46</xm:f>
            <x14:dxf>
              <fill>
                <patternFill>
                  <bgColor rgb="FFFFFF00"/>
                </patternFill>
              </fill>
            </x14:dxf>
          </x14:cfRule>
          <xm:sqref>M125:AA125</xm:sqref>
        </x14:conditionalFormatting>
        <x14:conditionalFormatting xmlns:xm="http://schemas.microsoft.com/office/excel/2006/main">
          <x14:cfRule type="expression" priority="4697482" id="{9811A97D-351B-4D32-8754-AF433277E62B}">
            <xm:f>$AB$4='Data entry'!$R46</xm:f>
            <x14:dxf>
              <fill>
                <patternFill>
                  <bgColor rgb="FFFF0000"/>
                </patternFill>
              </fill>
            </x14:dxf>
          </x14:cfRule>
          <xm:sqref>Z126:AL126</xm:sqref>
        </x14:conditionalFormatting>
        <x14:conditionalFormatting xmlns:xm="http://schemas.microsoft.com/office/excel/2006/main">
          <x14:cfRule type="expression" priority="4697483" id="{6DD3E556-C72E-438B-92DA-3096ED1E4178}">
            <xm:f>$AB$4='Data entry'!$R46</xm:f>
            <x14:dxf>
              <fill>
                <patternFill>
                  <bgColor rgb="FFFFFF00"/>
                </patternFill>
              </fill>
            </x14:dxf>
          </x14:cfRule>
          <xm:sqref>N125:AB125</xm:sqref>
        </x14:conditionalFormatting>
        <x14:conditionalFormatting xmlns:xm="http://schemas.microsoft.com/office/excel/2006/main">
          <x14:cfRule type="expression" priority="4697484" id="{C0DF7A1B-D6BC-4371-BD3A-F0708147FA1C}">
            <xm:f>$AC$4='Data entry'!$R46</xm:f>
            <x14:dxf>
              <fill>
                <patternFill>
                  <bgColor rgb="FFFF0000"/>
                </patternFill>
              </fill>
            </x14:dxf>
          </x14:cfRule>
          <xm:sqref>AA126:AM126</xm:sqref>
        </x14:conditionalFormatting>
        <x14:conditionalFormatting xmlns:xm="http://schemas.microsoft.com/office/excel/2006/main">
          <x14:cfRule type="expression" priority="4697485" id="{DB2E1F48-AF0E-41F9-A976-6B1963CA5711}">
            <xm:f>$AC$4='Data entry'!$R46</xm:f>
            <x14:dxf>
              <fill>
                <patternFill>
                  <bgColor rgb="FFFFFF00"/>
                </patternFill>
              </fill>
            </x14:dxf>
          </x14:cfRule>
          <xm:sqref>O125:AC125</xm:sqref>
        </x14:conditionalFormatting>
        <x14:conditionalFormatting xmlns:xm="http://schemas.microsoft.com/office/excel/2006/main">
          <x14:cfRule type="expression" priority="4697486" id="{89909907-F9A9-4AF9-BC1D-304710A43F50}">
            <xm:f>$AD$4='Data entry'!$R46</xm:f>
            <x14:dxf>
              <fill>
                <patternFill>
                  <bgColor rgb="FFFF0000"/>
                </patternFill>
              </fill>
            </x14:dxf>
          </x14:cfRule>
          <xm:sqref>AB126:AN126</xm:sqref>
        </x14:conditionalFormatting>
        <x14:conditionalFormatting xmlns:xm="http://schemas.microsoft.com/office/excel/2006/main">
          <x14:cfRule type="expression" priority="4697487" id="{729676B7-E331-43A4-ACC9-850DCEE76A0E}">
            <xm:f>$AD$4='Data entry'!$R46</xm:f>
            <x14:dxf>
              <fill>
                <patternFill>
                  <bgColor rgb="FFFFFF00"/>
                </patternFill>
              </fill>
            </x14:dxf>
          </x14:cfRule>
          <xm:sqref>P125:AD125</xm:sqref>
        </x14:conditionalFormatting>
        <x14:conditionalFormatting xmlns:xm="http://schemas.microsoft.com/office/excel/2006/main">
          <x14:cfRule type="expression" priority="4697488" id="{00DA2C55-350E-44AA-ABEA-808FABFDA737}">
            <xm:f>$AE$4='Data entry'!$R46</xm:f>
            <x14:dxf>
              <fill>
                <patternFill>
                  <bgColor rgb="FFFF0000"/>
                </patternFill>
              </fill>
            </x14:dxf>
          </x14:cfRule>
          <xm:sqref>AC126:AO126</xm:sqref>
        </x14:conditionalFormatting>
        <x14:conditionalFormatting xmlns:xm="http://schemas.microsoft.com/office/excel/2006/main">
          <x14:cfRule type="expression" priority="4697489" id="{373C95F1-00C1-45E9-B561-5224945BA4A4}">
            <xm:f>$AE$4='Data entry'!$R46</xm:f>
            <x14:dxf>
              <fill>
                <patternFill>
                  <bgColor rgb="FFFFFF00"/>
                </patternFill>
              </fill>
            </x14:dxf>
          </x14:cfRule>
          <xm:sqref>Q125:AE125</xm:sqref>
        </x14:conditionalFormatting>
        <x14:conditionalFormatting xmlns:xm="http://schemas.microsoft.com/office/excel/2006/main">
          <x14:cfRule type="expression" priority="4697490" id="{65E90E74-6BEF-4B00-BD5E-ECACFEBC225A}">
            <xm:f>$AF$4='Data entry'!$R46</xm:f>
            <x14:dxf>
              <fill>
                <patternFill>
                  <bgColor rgb="FFFF0000"/>
                </patternFill>
              </fill>
            </x14:dxf>
          </x14:cfRule>
          <xm:sqref>AD126:AP126</xm:sqref>
        </x14:conditionalFormatting>
        <x14:conditionalFormatting xmlns:xm="http://schemas.microsoft.com/office/excel/2006/main">
          <x14:cfRule type="expression" priority="4697491" id="{56B519D7-E083-4811-B42B-D6CB10D44BB3}">
            <xm:f>$AF$4='Data entry'!$R46</xm:f>
            <x14:dxf>
              <fill>
                <patternFill>
                  <bgColor rgb="FFFFFF00"/>
                </patternFill>
              </fill>
            </x14:dxf>
          </x14:cfRule>
          <xm:sqref>R125:AF125</xm:sqref>
        </x14:conditionalFormatting>
        <x14:conditionalFormatting xmlns:xm="http://schemas.microsoft.com/office/excel/2006/main">
          <x14:cfRule type="expression" priority="4697492" id="{889682B6-BF9B-414B-86B7-1C802156B058}">
            <xm:f>$AG$4='Data entry'!$R46</xm:f>
            <x14:dxf>
              <fill>
                <patternFill>
                  <bgColor rgb="FFFF0000"/>
                </patternFill>
              </fill>
            </x14:dxf>
          </x14:cfRule>
          <xm:sqref>AE126:AQ126</xm:sqref>
        </x14:conditionalFormatting>
        <x14:conditionalFormatting xmlns:xm="http://schemas.microsoft.com/office/excel/2006/main">
          <x14:cfRule type="expression" priority="4697493" id="{19913D88-1940-4CB0-B29C-D46D60833BD5}">
            <xm:f>$AG$4='Data entry'!$R46</xm:f>
            <x14:dxf>
              <fill>
                <patternFill>
                  <bgColor rgb="FFFFFF00"/>
                </patternFill>
              </fill>
            </x14:dxf>
          </x14:cfRule>
          <xm:sqref>S125:AG125</xm:sqref>
        </x14:conditionalFormatting>
        <x14:conditionalFormatting xmlns:xm="http://schemas.microsoft.com/office/excel/2006/main">
          <x14:cfRule type="expression" priority="4697494" id="{3DD7B9A5-18A3-463F-BAD5-9796FC487328}">
            <xm:f>$AH$4='Data entry'!$R46</xm:f>
            <x14:dxf>
              <fill>
                <patternFill>
                  <bgColor rgb="FFFF0000"/>
                </patternFill>
              </fill>
            </x14:dxf>
          </x14:cfRule>
          <xm:sqref>AF126:AR126</xm:sqref>
        </x14:conditionalFormatting>
        <x14:conditionalFormatting xmlns:xm="http://schemas.microsoft.com/office/excel/2006/main">
          <x14:cfRule type="expression" priority="4697495" id="{31005CF4-5608-496E-91EB-F7F505046C80}">
            <xm:f>$AH$4='Data entry'!$R46</xm:f>
            <x14:dxf>
              <fill>
                <patternFill>
                  <bgColor rgb="FFFFFF00"/>
                </patternFill>
              </fill>
            </x14:dxf>
          </x14:cfRule>
          <xm:sqref>T125:AH125</xm:sqref>
        </x14:conditionalFormatting>
        <x14:conditionalFormatting xmlns:xm="http://schemas.microsoft.com/office/excel/2006/main">
          <x14:cfRule type="expression" priority="4697496" id="{CD14F654-5B7A-444F-8FC1-7DD71E76E475}">
            <xm:f>$AI$4='Data entry'!$R46</xm:f>
            <x14:dxf>
              <fill>
                <patternFill>
                  <bgColor rgb="FFFF0000"/>
                </patternFill>
              </fill>
            </x14:dxf>
          </x14:cfRule>
          <xm:sqref>AG126:AS126</xm:sqref>
        </x14:conditionalFormatting>
        <x14:conditionalFormatting xmlns:xm="http://schemas.microsoft.com/office/excel/2006/main">
          <x14:cfRule type="expression" priority="4697497" id="{0E4E448C-6C46-4285-B877-A61A90294385}">
            <xm:f>$AI$4='Data entry'!$R46</xm:f>
            <x14:dxf>
              <fill>
                <patternFill>
                  <bgColor rgb="FFFFFF00"/>
                </patternFill>
              </fill>
            </x14:dxf>
          </x14:cfRule>
          <xm:sqref>U125:AI125</xm:sqref>
        </x14:conditionalFormatting>
        <x14:conditionalFormatting xmlns:xm="http://schemas.microsoft.com/office/excel/2006/main">
          <x14:cfRule type="expression" priority="4697498" id="{B1C1818F-791C-403D-BE73-6F6E9DC6A16D}">
            <xm:f>$AJ$4='Data entry'!$R46</xm:f>
            <x14:dxf>
              <fill>
                <patternFill>
                  <bgColor rgb="FFFF0000"/>
                </patternFill>
              </fill>
            </x14:dxf>
          </x14:cfRule>
          <xm:sqref>AH126:AT126</xm:sqref>
        </x14:conditionalFormatting>
        <x14:conditionalFormatting xmlns:xm="http://schemas.microsoft.com/office/excel/2006/main">
          <x14:cfRule type="expression" priority="4697499" id="{A1237792-221B-431B-B8A7-E9A64DA46D93}">
            <xm:f>$AJ$4='Data entry'!$R46</xm:f>
            <x14:dxf>
              <fill>
                <patternFill>
                  <bgColor rgb="FFFFFF00"/>
                </patternFill>
              </fill>
            </x14:dxf>
          </x14:cfRule>
          <xm:sqref>V125:AJ125</xm:sqref>
        </x14:conditionalFormatting>
        <x14:conditionalFormatting xmlns:xm="http://schemas.microsoft.com/office/excel/2006/main">
          <x14:cfRule type="expression" priority="4697500" id="{617DC2AF-C7A3-4724-8EA3-17DEFEDC8949}">
            <xm:f>$AK$4='Data entry'!$R46</xm:f>
            <x14:dxf>
              <fill>
                <patternFill>
                  <bgColor rgb="FFFF0000"/>
                </patternFill>
              </fill>
            </x14:dxf>
          </x14:cfRule>
          <xm:sqref>AI126:AU126</xm:sqref>
        </x14:conditionalFormatting>
        <x14:conditionalFormatting xmlns:xm="http://schemas.microsoft.com/office/excel/2006/main">
          <x14:cfRule type="expression" priority="4697501" id="{AA72317D-37B1-48EB-A28B-BF2AC8DC4519}">
            <xm:f>$AK$4='Data entry'!$R46</xm:f>
            <x14:dxf>
              <fill>
                <patternFill>
                  <bgColor rgb="FFFFFF00"/>
                </patternFill>
              </fill>
            </x14:dxf>
          </x14:cfRule>
          <xm:sqref>W125:AK125</xm:sqref>
        </x14:conditionalFormatting>
        <x14:conditionalFormatting xmlns:xm="http://schemas.microsoft.com/office/excel/2006/main">
          <x14:cfRule type="expression" priority="4697502" id="{6CA9FB7A-20EA-4D3A-B74C-A001F4BE810D}">
            <xm:f>$AL$4='Data entry'!$R46</xm:f>
            <x14:dxf>
              <fill>
                <patternFill>
                  <bgColor rgb="FFFF0000"/>
                </patternFill>
              </fill>
            </x14:dxf>
          </x14:cfRule>
          <xm:sqref>AJ126:AV126</xm:sqref>
        </x14:conditionalFormatting>
        <x14:conditionalFormatting xmlns:xm="http://schemas.microsoft.com/office/excel/2006/main">
          <x14:cfRule type="expression" priority="4697503" id="{81A75DAA-573F-4EF3-A640-1B992C18BEA0}">
            <xm:f>$AL$4='Data entry'!$R46</xm:f>
            <x14:dxf>
              <fill>
                <patternFill>
                  <bgColor rgb="FFFFFF00"/>
                </patternFill>
              </fill>
            </x14:dxf>
          </x14:cfRule>
          <xm:sqref>X125:AL125</xm:sqref>
        </x14:conditionalFormatting>
        <x14:conditionalFormatting xmlns:xm="http://schemas.microsoft.com/office/excel/2006/main">
          <x14:cfRule type="expression" priority="4697504" id="{3D44713E-4ABA-4CCD-9DF4-5513A9FB5E1E}">
            <xm:f>$AM$4='Data entry'!$R46</xm:f>
            <x14:dxf>
              <fill>
                <patternFill>
                  <bgColor rgb="FFFF0000"/>
                </patternFill>
              </fill>
            </x14:dxf>
          </x14:cfRule>
          <xm:sqref>AK126:AW126</xm:sqref>
        </x14:conditionalFormatting>
        <x14:conditionalFormatting xmlns:xm="http://schemas.microsoft.com/office/excel/2006/main">
          <x14:cfRule type="expression" priority="4697505" id="{05A26B51-72A7-4423-822F-2BDBC28275D0}">
            <xm:f>$AM$4='Data entry'!$R46</xm:f>
            <x14:dxf>
              <fill>
                <patternFill>
                  <bgColor rgb="FFFFFF00"/>
                </patternFill>
              </fill>
            </x14:dxf>
          </x14:cfRule>
          <xm:sqref>Y125:AM125</xm:sqref>
        </x14:conditionalFormatting>
        <x14:conditionalFormatting xmlns:xm="http://schemas.microsoft.com/office/excel/2006/main">
          <x14:cfRule type="expression" priority="4697506" id="{B8A20675-6230-4694-A7F6-6B3DC7142773}">
            <xm:f>$AN$4='Data entry'!$R46</xm:f>
            <x14:dxf>
              <fill>
                <patternFill>
                  <bgColor rgb="FFFF0000"/>
                </patternFill>
              </fill>
            </x14:dxf>
          </x14:cfRule>
          <xm:sqref>AL126:AX126</xm:sqref>
        </x14:conditionalFormatting>
        <x14:conditionalFormatting xmlns:xm="http://schemas.microsoft.com/office/excel/2006/main">
          <x14:cfRule type="expression" priority="4697507" id="{8421181C-7450-42E9-BC1D-065CCFCA960E}">
            <xm:f>$AN$4='Data entry'!$R46</xm:f>
            <x14:dxf>
              <fill>
                <patternFill>
                  <bgColor rgb="FFFFFF00"/>
                </patternFill>
              </fill>
            </x14:dxf>
          </x14:cfRule>
          <xm:sqref>Z125:AN125</xm:sqref>
        </x14:conditionalFormatting>
        <x14:conditionalFormatting xmlns:xm="http://schemas.microsoft.com/office/excel/2006/main">
          <x14:cfRule type="expression" priority="4697508" id="{067FE4BD-6EF4-4684-B6E0-35AB2F267EE7}">
            <xm:f>$AO$4='Data entry'!$R46</xm:f>
            <x14:dxf>
              <fill>
                <patternFill>
                  <bgColor rgb="FFFF0000"/>
                </patternFill>
              </fill>
            </x14:dxf>
          </x14:cfRule>
          <xm:sqref>AM126:AY126</xm:sqref>
        </x14:conditionalFormatting>
        <x14:conditionalFormatting xmlns:xm="http://schemas.microsoft.com/office/excel/2006/main">
          <x14:cfRule type="expression" priority="4697509" id="{F7653492-88D1-47AC-8BA3-0CCE65C3C2AB}">
            <xm:f>$AO$4='Data entry'!$R46</xm:f>
            <x14:dxf>
              <fill>
                <patternFill>
                  <bgColor rgb="FFFFFF00"/>
                </patternFill>
              </fill>
            </x14:dxf>
          </x14:cfRule>
          <xm:sqref>AA125:AO125</xm:sqref>
        </x14:conditionalFormatting>
        <x14:conditionalFormatting xmlns:xm="http://schemas.microsoft.com/office/excel/2006/main">
          <x14:cfRule type="expression" priority="4697510" id="{207A5E5D-B322-482E-9193-1D7318138358}">
            <xm:f>$AP$4='Data entry'!$R46</xm:f>
            <x14:dxf>
              <fill>
                <patternFill>
                  <bgColor rgb="FFFF0000"/>
                </patternFill>
              </fill>
            </x14:dxf>
          </x14:cfRule>
          <xm:sqref>AN126:AZ126</xm:sqref>
        </x14:conditionalFormatting>
        <x14:conditionalFormatting xmlns:xm="http://schemas.microsoft.com/office/excel/2006/main">
          <x14:cfRule type="expression" priority="4697511" id="{21DA638D-4CA0-4067-BFF1-240CE1A0261B}">
            <xm:f>$AP$4='Data entry'!$R46</xm:f>
            <x14:dxf>
              <fill>
                <patternFill>
                  <bgColor rgb="FFFFFF00"/>
                </patternFill>
              </fill>
            </x14:dxf>
          </x14:cfRule>
          <xm:sqref>AB125:AP125</xm:sqref>
        </x14:conditionalFormatting>
        <x14:conditionalFormatting xmlns:xm="http://schemas.microsoft.com/office/excel/2006/main">
          <x14:cfRule type="expression" priority="4697512" id="{71963D96-A42A-4B90-BFC7-6D83D37766EF}">
            <xm:f>$AQ$4='Data entry'!$R46</xm:f>
            <x14:dxf>
              <fill>
                <patternFill>
                  <bgColor rgb="FFFF0000"/>
                </patternFill>
              </fill>
            </x14:dxf>
          </x14:cfRule>
          <xm:sqref>AO126:BA126</xm:sqref>
        </x14:conditionalFormatting>
        <x14:conditionalFormatting xmlns:xm="http://schemas.microsoft.com/office/excel/2006/main">
          <x14:cfRule type="expression" priority="4697513" id="{74952595-84B6-484F-8FF6-FCC1F337DF4D}">
            <xm:f>$AQ$4='Data entry'!$R46</xm:f>
            <x14:dxf>
              <fill>
                <patternFill>
                  <bgColor rgb="FFFFFF00"/>
                </patternFill>
              </fill>
            </x14:dxf>
          </x14:cfRule>
          <xm:sqref>AC125:AQ125</xm:sqref>
        </x14:conditionalFormatting>
        <x14:conditionalFormatting xmlns:xm="http://schemas.microsoft.com/office/excel/2006/main">
          <x14:cfRule type="expression" priority="4697514" id="{8AC9C4B9-0A34-4BC0-B0F7-CA89434C4911}">
            <xm:f>$P$4='Data entry'!$R46</xm:f>
            <x14:dxf>
              <fill>
                <patternFill>
                  <bgColor rgb="FFFFFF00"/>
                </patternFill>
              </fill>
            </x14:dxf>
          </x14:cfRule>
          <xm:sqref>C125:P125</xm:sqref>
        </x14:conditionalFormatting>
        <x14:conditionalFormatting xmlns:xm="http://schemas.microsoft.com/office/excel/2006/main">
          <x14:cfRule type="expression" priority="4697515" id="{0A726775-ABFD-4F22-967C-1A4D87BA3751}">
            <xm:f>$Q$4='Data entry'!$R46</xm:f>
            <x14:dxf>
              <fill>
                <patternFill>
                  <bgColor rgb="FFFFFF00"/>
                </patternFill>
              </fill>
            </x14:dxf>
          </x14:cfRule>
          <xm:sqref>C125:Q125</xm:sqref>
        </x14:conditionalFormatting>
        <x14:conditionalFormatting xmlns:xm="http://schemas.microsoft.com/office/excel/2006/main">
          <x14:cfRule type="expression" priority="4697516" id="{3A8414BD-262C-43B5-86EE-FA6901D00453}">
            <xm:f>$Q$4='Data entry'!$R46</xm:f>
            <x14:dxf>
              <fill>
                <patternFill>
                  <bgColor rgb="FFFF0000"/>
                </patternFill>
              </fill>
            </x14:dxf>
          </x14:cfRule>
          <xm:sqref>O126:AA126</xm:sqref>
        </x14:conditionalFormatting>
        <x14:conditionalFormatting xmlns:xm="http://schemas.microsoft.com/office/excel/2006/main">
          <x14:cfRule type="expression" priority="4697517" id="{B8B5501D-F3EF-4449-9306-F652960C65F4}">
            <xm:f>$R$4='Data entry'!$R46</xm:f>
            <x14:dxf>
              <fill>
                <patternFill>
                  <bgColor rgb="FFFF0000"/>
                </patternFill>
              </fill>
            </x14:dxf>
          </x14:cfRule>
          <xm:sqref>P126:AB126</xm:sqref>
        </x14:conditionalFormatting>
        <x14:conditionalFormatting xmlns:xm="http://schemas.microsoft.com/office/excel/2006/main">
          <x14:cfRule type="expression" priority="4697518" id="{5D070DEC-B82E-4D87-B907-A3E5AB836991}">
            <xm:f>$R$4='Data entry'!$R46</xm:f>
            <x14:dxf>
              <fill>
                <patternFill>
                  <bgColor rgb="FFFFFF00"/>
                </patternFill>
              </fill>
            </x14:dxf>
          </x14:cfRule>
          <xm:sqref>D125:R125</xm:sqref>
        </x14:conditionalFormatting>
        <x14:conditionalFormatting xmlns:xm="http://schemas.microsoft.com/office/excel/2006/main">
          <x14:cfRule type="expression" priority="4697519" id="{E4D16A10-F818-4664-9FB2-F0E839824D4B}">
            <xm:f>$S$4='Data entry'!$R46</xm:f>
            <x14:dxf>
              <fill>
                <patternFill>
                  <bgColor rgb="FFFF0000"/>
                </patternFill>
              </fill>
            </x14:dxf>
          </x14:cfRule>
          <xm:sqref>Q126:AC126</xm:sqref>
        </x14:conditionalFormatting>
        <x14:conditionalFormatting xmlns:xm="http://schemas.microsoft.com/office/excel/2006/main">
          <x14:cfRule type="expression" priority="4697520" id="{1A9F9911-A3E9-4730-AFBE-AB8C596545CA}">
            <xm:f>$S$4='Data entry'!$R46</xm:f>
            <x14:dxf>
              <fill>
                <patternFill>
                  <bgColor rgb="FFFFFF00"/>
                </patternFill>
              </fill>
            </x14:dxf>
          </x14:cfRule>
          <xm:sqref>E125:S125</xm:sqref>
        </x14:conditionalFormatting>
        <x14:conditionalFormatting xmlns:xm="http://schemas.microsoft.com/office/excel/2006/main">
          <x14:cfRule type="expression" priority="4697521" id="{8BB5CD1B-B2AC-442A-9550-26DE19A62D22}">
            <xm:f>$T$4='Data entry'!$R46</xm:f>
            <x14:dxf>
              <fill>
                <patternFill>
                  <bgColor rgb="FFFF0000"/>
                </patternFill>
              </fill>
            </x14:dxf>
          </x14:cfRule>
          <xm:sqref>R126:AD126</xm:sqref>
        </x14:conditionalFormatting>
        <x14:conditionalFormatting xmlns:xm="http://schemas.microsoft.com/office/excel/2006/main">
          <x14:cfRule type="expression" priority="4697522" id="{E7B59C69-7921-4049-84A1-8B3E5F7B0598}">
            <xm:f>$T$4='Data entry'!$R46</xm:f>
            <x14:dxf>
              <fill>
                <patternFill>
                  <bgColor rgb="FFFFFF00"/>
                </patternFill>
              </fill>
            </x14:dxf>
          </x14:cfRule>
          <xm:sqref>F125:T125</xm:sqref>
        </x14:conditionalFormatting>
        <x14:conditionalFormatting xmlns:xm="http://schemas.microsoft.com/office/excel/2006/main">
          <x14:cfRule type="expression" priority="4697523" id="{238C09E5-7A3D-439D-949F-A7733073F9A2}">
            <xm:f>$U$4='Data entry'!$R46</xm:f>
            <x14:dxf>
              <fill>
                <patternFill>
                  <bgColor rgb="FFFFFF00"/>
                </patternFill>
              </fill>
            </x14:dxf>
          </x14:cfRule>
          <xm:sqref>G125:U125</xm:sqref>
        </x14:conditionalFormatting>
        <x14:conditionalFormatting xmlns:xm="http://schemas.microsoft.com/office/excel/2006/main">
          <x14:cfRule type="expression" priority="4697524" id="{DE4D4432-0A19-452A-AF14-2873FE4DF411}">
            <xm:f>$AR$4='Data entry'!$R46</xm:f>
            <x14:dxf>
              <fill>
                <patternFill>
                  <bgColor rgb="FFFF0000"/>
                </patternFill>
              </fill>
            </x14:dxf>
          </x14:cfRule>
          <xm:sqref>AP126:BB126</xm:sqref>
        </x14:conditionalFormatting>
        <x14:conditionalFormatting xmlns:xm="http://schemas.microsoft.com/office/excel/2006/main">
          <x14:cfRule type="expression" priority="4697525" id="{90D7E1FF-542D-40C8-9BD5-DFEB4CDD256F}">
            <xm:f>$AR$4='Data entry'!$R46</xm:f>
            <x14:dxf>
              <fill>
                <patternFill>
                  <bgColor rgb="FFFFFF00"/>
                </patternFill>
              </fill>
            </x14:dxf>
          </x14:cfRule>
          <xm:sqref>AD125:AR125</xm:sqref>
        </x14:conditionalFormatting>
        <x14:conditionalFormatting xmlns:xm="http://schemas.microsoft.com/office/excel/2006/main">
          <x14:cfRule type="expression" priority="4697526" id="{0EBB5305-4A4A-4205-A1FF-11160070CBC3}">
            <xm:f>$AS$4='Data entry'!$R46</xm:f>
            <x14:dxf>
              <fill>
                <patternFill>
                  <bgColor rgb="FFFF0000"/>
                </patternFill>
              </fill>
            </x14:dxf>
          </x14:cfRule>
          <xm:sqref>AQ126:BC126</xm:sqref>
        </x14:conditionalFormatting>
        <x14:conditionalFormatting xmlns:xm="http://schemas.microsoft.com/office/excel/2006/main">
          <x14:cfRule type="expression" priority="4697527" id="{AC8EB30C-4253-4CE1-820E-1801F6D8D35B}">
            <xm:f>$AS$4='Data entry'!$R46</xm:f>
            <x14:dxf>
              <fill>
                <patternFill>
                  <bgColor rgb="FFFFFF00"/>
                </patternFill>
              </fill>
            </x14:dxf>
          </x14:cfRule>
          <xm:sqref>AE125:AS125</xm:sqref>
        </x14:conditionalFormatting>
        <x14:conditionalFormatting xmlns:xm="http://schemas.microsoft.com/office/excel/2006/main">
          <x14:cfRule type="expression" priority="4697528" id="{E11744C1-7201-4272-A1B0-945490B42425}">
            <xm:f>$AT$4='Data entry'!$R46</xm:f>
            <x14:dxf>
              <fill>
                <patternFill>
                  <bgColor rgb="FFFF0000"/>
                </patternFill>
              </fill>
            </x14:dxf>
          </x14:cfRule>
          <xm:sqref>AR126:BD126</xm:sqref>
        </x14:conditionalFormatting>
        <x14:conditionalFormatting xmlns:xm="http://schemas.microsoft.com/office/excel/2006/main">
          <x14:cfRule type="expression" priority="4697529" id="{5EE2823B-E955-4EA7-B99C-0B1F77B57A69}">
            <xm:f>$AT$4='Data entry'!$R46</xm:f>
            <x14:dxf>
              <fill>
                <patternFill>
                  <bgColor rgb="FFFFFF00"/>
                </patternFill>
              </fill>
            </x14:dxf>
          </x14:cfRule>
          <xm:sqref>AF125:AT125</xm:sqref>
        </x14:conditionalFormatting>
        <x14:conditionalFormatting xmlns:xm="http://schemas.microsoft.com/office/excel/2006/main">
          <x14:cfRule type="expression" priority="4697530" id="{5737DC63-3262-4B34-900C-2AAEB255FCBA}">
            <xm:f>$AU$4='Data entry'!$R46</xm:f>
            <x14:dxf>
              <fill>
                <patternFill>
                  <bgColor rgb="FFFF0000"/>
                </patternFill>
              </fill>
            </x14:dxf>
          </x14:cfRule>
          <xm:sqref>AS126:BE126</xm:sqref>
        </x14:conditionalFormatting>
        <x14:conditionalFormatting xmlns:xm="http://schemas.microsoft.com/office/excel/2006/main">
          <x14:cfRule type="expression" priority="4697531" id="{2B5C1F1B-3C3D-4CA3-BC64-0E98422075B6}">
            <xm:f>$AU$4='Data entry'!$R46</xm:f>
            <x14:dxf>
              <fill>
                <patternFill>
                  <bgColor rgb="FFFFFF00"/>
                </patternFill>
              </fill>
            </x14:dxf>
          </x14:cfRule>
          <xm:sqref>AG125:AU125</xm:sqref>
        </x14:conditionalFormatting>
        <x14:conditionalFormatting xmlns:xm="http://schemas.microsoft.com/office/excel/2006/main">
          <x14:cfRule type="expression" priority="4697532" id="{B87A1285-B003-4855-8F4B-53C391BA10E6}">
            <xm:f>$AV$4='Data entry'!$R46</xm:f>
            <x14:dxf>
              <fill>
                <patternFill>
                  <bgColor rgb="FFFF0000"/>
                </patternFill>
              </fill>
            </x14:dxf>
          </x14:cfRule>
          <xm:sqref>AT126:BF126</xm:sqref>
        </x14:conditionalFormatting>
        <x14:conditionalFormatting xmlns:xm="http://schemas.microsoft.com/office/excel/2006/main">
          <x14:cfRule type="expression" priority="4697533" id="{338EE31C-78DB-4818-B837-0380F9E457FA}">
            <xm:f>$AV$4='Data entry'!$R46</xm:f>
            <x14:dxf>
              <fill>
                <patternFill>
                  <bgColor rgb="FFFFFF00"/>
                </patternFill>
              </fill>
            </x14:dxf>
          </x14:cfRule>
          <xm:sqref>AH125:AV125</xm:sqref>
        </x14:conditionalFormatting>
        <x14:conditionalFormatting xmlns:xm="http://schemas.microsoft.com/office/excel/2006/main">
          <x14:cfRule type="expression" priority="4697534" id="{5C40EA66-2801-4C91-B885-BF6A1ECFC35C}">
            <xm:f>$AW$4='Data entry'!$R46</xm:f>
            <x14:dxf>
              <fill>
                <patternFill>
                  <bgColor rgb="FFFF0000"/>
                </patternFill>
              </fill>
            </x14:dxf>
          </x14:cfRule>
          <xm:sqref>AU126:BG126</xm:sqref>
        </x14:conditionalFormatting>
        <x14:conditionalFormatting xmlns:xm="http://schemas.microsoft.com/office/excel/2006/main">
          <x14:cfRule type="expression" priority="4697535" id="{51BCD5CE-DF86-4C2F-8A81-DDA1EFD6C8F7}">
            <xm:f>$AW$4='Data entry'!$R46</xm:f>
            <x14:dxf>
              <fill>
                <patternFill>
                  <bgColor rgb="FFFFFF00"/>
                </patternFill>
              </fill>
            </x14:dxf>
          </x14:cfRule>
          <xm:sqref>AI125:AW125</xm:sqref>
        </x14:conditionalFormatting>
        <x14:conditionalFormatting xmlns:xm="http://schemas.microsoft.com/office/excel/2006/main">
          <x14:cfRule type="expression" priority="4697536" id="{DC2ED5A0-8917-4877-8CD3-9DF9BE5993C9}">
            <xm:f>$AX$4='Data entry'!$R46</xm:f>
            <x14:dxf>
              <fill>
                <patternFill>
                  <bgColor rgb="FFFF0000"/>
                </patternFill>
              </fill>
            </x14:dxf>
          </x14:cfRule>
          <xm:sqref>AV126:BH126</xm:sqref>
        </x14:conditionalFormatting>
        <x14:conditionalFormatting xmlns:xm="http://schemas.microsoft.com/office/excel/2006/main">
          <x14:cfRule type="expression" priority="4697537" id="{59B31869-20F9-45BD-BC80-0A6C8945CE2C}">
            <xm:f>$AX$4='Data entry'!$R46</xm:f>
            <x14:dxf>
              <fill>
                <patternFill>
                  <bgColor rgb="FFFFFF00"/>
                </patternFill>
              </fill>
            </x14:dxf>
          </x14:cfRule>
          <xm:sqref>AJ125:AX125</xm:sqref>
        </x14:conditionalFormatting>
        <x14:conditionalFormatting xmlns:xm="http://schemas.microsoft.com/office/excel/2006/main">
          <x14:cfRule type="expression" priority="4697538" id="{D4208FA0-4262-4037-934C-6D0742B2AD8E}">
            <xm:f>$AY$4='Data entry'!$R46</xm:f>
            <x14:dxf>
              <fill>
                <patternFill>
                  <bgColor rgb="FFFF0000"/>
                </patternFill>
              </fill>
            </x14:dxf>
          </x14:cfRule>
          <xm:sqref>AW126:BI126</xm:sqref>
        </x14:conditionalFormatting>
        <x14:conditionalFormatting xmlns:xm="http://schemas.microsoft.com/office/excel/2006/main">
          <x14:cfRule type="expression" priority="4697539" id="{04D6E423-18C7-42B2-A67D-F49D8E62B571}">
            <xm:f>$AY$4='Data entry'!$R46</xm:f>
            <x14:dxf>
              <fill>
                <patternFill>
                  <bgColor rgb="FFFFFF00"/>
                </patternFill>
              </fill>
            </x14:dxf>
          </x14:cfRule>
          <xm:sqref>AK125:AY125</xm:sqref>
        </x14:conditionalFormatting>
        <x14:conditionalFormatting xmlns:xm="http://schemas.microsoft.com/office/excel/2006/main">
          <x14:cfRule type="expression" priority="4697540" id="{A931C203-6E4B-4EBD-A2F4-1876881F48D4}">
            <xm:f>$AZ$4='Data entry'!$R46</xm:f>
            <x14:dxf>
              <fill>
                <patternFill>
                  <bgColor rgb="FFFF0000"/>
                </patternFill>
              </fill>
            </x14:dxf>
          </x14:cfRule>
          <xm:sqref>AX126:BJ126</xm:sqref>
        </x14:conditionalFormatting>
        <x14:conditionalFormatting xmlns:xm="http://schemas.microsoft.com/office/excel/2006/main">
          <x14:cfRule type="expression" priority="4697541" id="{092D9100-E652-40FE-8CAA-720DC0681250}">
            <xm:f>$AZ$4='Data entry'!$R46</xm:f>
            <x14:dxf>
              <fill>
                <patternFill>
                  <bgColor rgb="FFFFFF00"/>
                </patternFill>
              </fill>
            </x14:dxf>
          </x14:cfRule>
          <xm:sqref>AL125:AZ125</xm:sqref>
        </x14:conditionalFormatting>
        <x14:conditionalFormatting xmlns:xm="http://schemas.microsoft.com/office/excel/2006/main">
          <x14:cfRule type="expression" priority="4697542" id="{A3C7E6BE-A225-483C-A983-A915DB662C52}">
            <xm:f>$BA$4='Data entry'!$R46</xm:f>
            <x14:dxf>
              <fill>
                <patternFill>
                  <bgColor rgb="FFFF0000"/>
                </patternFill>
              </fill>
            </x14:dxf>
          </x14:cfRule>
          <xm:sqref>AY126:BK126</xm:sqref>
        </x14:conditionalFormatting>
        <x14:conditionalFormatting xmlns:xm="http://schemas.microsoft.com/office/excel/2006/main">
          <x14:cfRule type="expression" priority="4697543" id="{F5CF569A-8AFA-4CFF-8BD3-F04D8927A99F}">
            <xm:f>$BA$4='Data entry'!$R46</xm:f>
            <x14:dxf>
              <fill>
                <patternFill>
                  <bgColor rgb="FFFFFF00"/>
                </patternFill>
              </fill>
            </x14:dxf>
          </x14:cfRule>
          <xm:sqref>AM125:BA125</xm:sqref>
        </x14:conditionalFormatting>
        <x14:conditionalFormatting xmlns:xm="http://schemas.microsoft.com/office/excel/2006/main">
          <x14:cfRule type="expression" priority="4697544" id="{E4DAC94A-7983-4BFB-A87B-45B58561841A}">
            <xm:f>$BB$4='Data entry'!$R46</xm:f>
            <x14:dxf>
              <fill>
                <patternFill>
                  <bgColor rgb="FFFF0000"/>
                </patternFill>
              </fill>
            </x14:dxf>
          </x14:cfRule>
          <xm:sqref>AZ126:BL126</xm:sqref>
        </x14:conditionalFormatting>
        <x14:conditionalFormatting xmlns:xm="http://schemas.microsoft.com/office/excel/2006/main">
          <x14:cfRule type="expression" priority="4697545" id="{E63849C5-F39B-4B0E-8F8A-B532EDF2CBAE}">
            <xm:f>$BB$4='Data entry'!$R46</xm:f>
            <x14:dxf>
              <fill>
                <patternFill>
                  <bgColor rgb="FFFFFF00"/>
                </patternFill>
              </fill>
            </x14:dxf>
          </x14:cfRule>
          <xm:sqref>AN125:BB125</xm:sqref>
        </x14:conditionalFormatting>
        <x14:conditionalFormatting xmlns:xm="http://schemas.microsoft.com/office/excel/2006/main">
          <x14:cfRule type="expression" priority="4697546" id="{4FDC32D3-C1F5-455D-9AA4-A03359B72526}">
            <xm:f>$BC$4='Data entry'!$R46</xm:f>
            <x14:dxf>
              <fill>
                <patternFill>
                  <bgColor rgb="FFFF0000"/>
                </patternFill>
              </fill>
            </x14:dxf>
          </x14:cfRule>
          <xm:sqref>BA126:BM126</xm:sqref>
        </x14:conditionalFormatting>
        <x14:conditionalFormatting xmlns:xm="http://schemas.microsoft.com/office/excel/2006/main">
          <x14:cfRule type="expression" priority="4697547" id="{5F0D0C60-B233-4C56-B05D-98C99990877F}">
            <xm:f>$BC$4='Data entry'!$R46</xm:f>
            <x14:dxf>
              <fill>
                <patternFill>
                  <bgColor rgb="FFFFFF00"/>
                </patternFill>
              </fill>
            </x14:dxf>
          </x14:cfRule>
          <xm:sqref>AO125:BC125</xm:sqref>
        </x14:conditionalFormatting>
        <x14:conditionalFormatting xmlns:xm="http://schemas.microsoft.com/office/excel/2006/main">
          <x14:cfRule type="expression" priority="4697548" id="{9EBCB60F-8135-43B6-A0F3-548D4092CC98}">
            <xm:f>$BD$4='Data entry'!$R46</xm:f>
            <x14:dxf>
              <fill>
                <patternFill>
                  <bgColor rgb="FFFF0000"/>
                </patternFill>
              </fill>
            </x14:dxf>
          </x14:cfRule>
          <xm:sqref>BB126:BN126</xm:sqref>
        </x14:conditionalFormatting>
        <x14:conditionalFormatting xmlns:xm="http://schemas.microsoft.com/office/excel/2006/main">
          <x14:cfRule type="expression" priority="4697549" id="{961AF346-4A73-41ED-9A8D-27D431B09C05}">
            <xm:f>$BD$4='Data entry'!$R46</xm:f>
            <x14:dxf>
              <fill>
                <patternFill>
                  <bgColor rgb="FFFFFF00"/>
                </patternFill>
              </fill>
            </x14:dxf>
          </x14:cfRule>
          <xm:sqref>AP125:BD125</xm:sqref>
        </x14:conditionalFormatting>
        <x14:conditionalFormatting xmlns:xm="http://schemas.microsoft.com/office/excel/2006/main">
          <x14:cfRule type="expression" priority="4697550" id="{5A887026-27CD-4F8C-8BA6-1E92704C1CA6}">
            <xm:f>$BE$4='Data entry'!$R46</xm:f>
            <x14:dxf>
              <fill>
                <patternFill>
                  <bgColor rgb="FFFF0000"/>
                </patternFill>
              </fill>
            </x14:dxf>
          </x14:cfRule>
          <xm:sqref>BC126:BO126</xm:sqref>
        </x14:conditionalFormatting>
        <x14:conditionalFormatting xmlns:xm="http://schemas.microsoft.com/office/excel/2006/main">
          <x14:cfRule type="expression" priority="4697551" id="{7F46217B-A1E9-4515-B31E-E756FCD7C6D9}">
            <xm:f>$BE$4='Data entry'!$R46</xm:f>
            <x14:dxf>
              <fill>
                <patternFill>
                  <bgColor rgb="FFFFFF00"/>
                </patternFill>
              </fill>
            </x14:dxf>
          </x14:cfRule>
          <xm:sqref>AP125:BE125</xm:sqref>
        </x14:conditionalFormatting>
        <x14:conditionalFormatting xmlns:xm="http://schemas.microsoft.com/office/excel/2006/main">
          <x14:cfRule type="expression" priority="4697552" id="{F4D9285C-8CA0-4EF1-943E-6A462D47CC77}">
            <xm:f>$BF$4='Data entry'!$R46</xm:f>
            <x14:dxf>
              <fill>
                <patternFill>
                  <bgColor rgb="FFFF0000"/>
                </patternFill>
              </fill>
            </x14:dxf>
          </x14:cfRule>
          <xm:sqref>BD126:BP126</xm:sqref>
        </x14:conditionalFormatting>
        <x14:conditionalFormatting xmlns:xm="http://schemas.microsoft.com/office/excel/2006/main">
          <x14:cfRule type="expression" priority="4697553" id="{B9E4407D-651D-4DC0-9D61-3271D62A65E9}">
            <xm:f>$BF$4='Data entry'!$R46</xm:f>
            <x14:dxf>
              <fill>
                <patternFill>
                  <bgColor rgb="FFFFFF00"/>
                </patternFill>
              </fill>
            </x14:dxf>
          </x14:cfRule>
          <xm:sqref>AR125:BF125</xm:sqref>
        </x14:conditionalFormatting>
        <x14:conditionalFormatting xmlns:xm="http://schemas.microsoft.com/office/excel/2006/main">
          <x14:cfRule type="expression" priority="4697554" id="{4CDC062F-DDFF-4556-B941-08F919727F69}">
            <xm:f>$BG$4='Data entry'!$R46</xm:f>
            <x14:dxf>
              <fill>
                <patternFill>
                  <bgColor rgb="FFFF0000"/>
                </patternFill>
              </fill>
            </x14:dxf>
          </x14:cfRule>
          <xm:sqref>BE126:BQ126</xm:sqref>
        </x14:conditionalFormatting>
        <x14:conditionalFormatting xmlns:xm="http://schemas.microsoft.com/office/excel/2006/main">
          <x14:cfRule type="expression" priority="4697555" id="{789184FA-9055-433B-8A1B-92C7ED59E81F}">
            <xm:f>$BG$4='Data entry'!$R46</xm:f>
            <x14:dxf>
              <fill>
                <patternFill>
                  <bgColor rgb="FFFFFF00"/>
                </patternFill>
              </fill>
            </x14:dxf>
          </x14:cfRule>
          <xm:sqref>AS125:BG125</xm:sqref>
        </x14:conditionalFormatting>
        <x14:conditionalFormatting xmlns:xm="http://schemas.microsoft.com/office/excel/2006/main">
          <x14:cfRule type="expression" priority="4697556" id="{58651E5C-09C9-46C1-B95C-E8A578A49E15}">
            <xm:f>$BH$4='Data entry'!$R46</xm:f>
            <x14:dxf>
              <fill>
                <patternFill>
                  <bgColor rgb="FFFFFF00"/>
                </patternFill>
              </fill>
            </x14:dxf>
          </x14:cfRule>
          <xm:sqref>AT125:BH125</xm:sqref>
        </x14:conditionalFormatting>
        <x14:conditionalFormatting xmlns:xm="http://schemas.microsoft.com/office/excel/2006/main">
          <x14:cfRule type="expression" priority="4697557" id="{97B30B86-8311-4DC0-A533-8C0D53F37839}">
            <xm:f>$BH$4='Data entry'!$R46</xm:f>
            <x14:dxf>
              <fill>
                <patternFill>
                  <bgColor rgb="FFFF0000"/>
                </patternFill>
              </fill>
            </x14:dxf>
          </x14:cfRule>
          <xm:sqref>BF126:BR126</xm:sqref>
        </x14:conditionalFormatting>
        <x14:conditionalFormatting xmlns:xm="http://schemas.microsoft.com/office/excel/2006/main">
          <x14:cfRule type="expression" priority="4697558" id="{78344C0C-5AEA-40B1-A20C-6D77DF58E1F5}">
            <xm:f>$BI$4='Data entry'!$R46</xm:f>
            <x14:dxf>
              <fill>
                <patternFill>
                  <bgColor rgb="FFFFFF00"/>
                </patternFill>
              </fill>
            </x14:dxf>
          </x14:cfRule>
          <xm:sqref>AU125:BI125</xm:sqref>
        </x14:conditionalFormatting>
        <x14:conditionalFormatting xmlns:xm="http://schemas.microsoft.com/office/excel/2006/main">
          <x14:cfRule type="expression" priority="4697559" id="{A9CE044F-482E-4F25-B28F-89ACC58502B1}">
            <xm:f>$BI$4='Data entry'!$R46</xm:f>
            <x14:dxf>
              <fill>
                <patternFill>
                  <bgColor rgb="FFFF0000"/>
                </patternFill>
              </fill>
            </x14:dxf>
          </x14:cfRule>
          <xm:sqref>BG126:BS126</xm:sqref>
        </x14:conditionalFormatting>
        <x14:conditionalFormatting xmlns:xm="http://schemas.microsoft.com/office/excel/2006/main">
          <x14:cfRule type="expression" priority="4697560" id="{F63BE0EB-3C71-4456-BEF0-11180AB7A8BB}">
            <xm:f>$BJ$4='Data entry'!$R46</xm:f>
            <x14:dxf>
              <fill>
                <patternFill>
                  <bgColor rgb="FFFFFF00"/>
                </patternFill>
              </fill>
            </x14:dxf>
          </x14:cfRule>
          <xm:sqref>AV125:BJ125</xm:sqref>
        </x14:conditionalFormatting>
        <x14:conditionalFormatting xmlns:xm="http://schemas.microsoft.com/office/excel/2006/main">
          <x14:cfRule type="expression" priority="4697561" id="{478A5DCB-1DAA-4497-A6CC-B4F01FB96D10}">
            <xm:f>$BJ$4='Data entry'!$R46</xm:f>
            <x14:dxf>
              <fill>
                <patternFill>
                  <bgColor rgb="FFFF0000"/>
                </patternFill>
              </fill>
            </x14:dxf>
          </x14:cfRule>
          <xm:sqref>BH126:BT126</xm:sqref>
        </x14:conditionalFormatting>
        <x14:conditionalFormatting xmlns:xm="http://schemas.microsoft.com/office/excel/2006/main">
          <x14:cfRule type="expression" priority="4697562" id="{CDE4AD5B-65A6-4FA4-9EC0-8D05F22312A9}">
            <xm:f>$BK$4='Data entry'!$R46</xm:f>
            <x14:dxf>
              <fill>
                <patternFill>
                  <bgColor rgb="FFFF0000"/>
                </patternFill>
              </fill>
            </x14:dxf>
          </x14:cfRule>
          <xm:sqref>BI126:BU126</xm:sqref>
        </x14:conditionalFormatting>
        <x14:conditionalFormatting xmlns:xm="http://schemas.microsoft.com/office/excel/2006/main">
          <x14:cfRule type="expression" priority="4697563" id="{AB32E790-6CD8-4D11-9A69-57D785FE4BBC}">
            <xm:f>$BK$4='Data entry'!$R46</xm:f>
            <x14:dxf>
              <fill>
                <patternFill>
                  <bgColor rgb="FFFFFF00"/>
                </patternFill>
              </fill>
            </x14:dxf>
          </x14:cfRule>
          <xm:sqref>AW125:BK125</xm:sqref>
        </x14:conditionalFormatting>
        <x14:conditionalFormatting xmlns:xm="http://schemas.microsoft.com/office/excel/2006/main">
          <x14:cfRule type="expression" priority="4697564" id="{99810EB9-805C-43D8-852A-EEECE7874CDB}">
            <xm:f>$BL$4='Data entry'!$R46</xm:f>
            <x14:dxf>
              <fill>
                <patternFill>
                  <bgColor rgb="FFFF0000"/>
                </patternFill>
              </fill>
            </x14:dxf>
          </x14:cfRule>
          <xm:sqref>BJ126:BV126</xm:sqref>
        </x14:conditionalFormatting>
        <x14:conditionalFormatting xmlns:xm="http://schemas.microsoft.com/office/excel/2006/main">
          <x14:cfRule type="expression" priority="4697565" id="{BF5F5475-4E46-479C-97A6-D5175F5D1803}">
            <xm:f>$BL$4='Data entry'!$R46</xm:f>
            <x14:dxf>
              <fill>
                <patternFill>
                  <bgColor rgb="FFFFFF00"/>
                </patternFill>
              </fill>
            </x14:dxf>
          </x14:cfRule>
          <xm:sqref>AX125:BL125</xm:sqref>
        </x14:conditionalFormatting>
        <x14:conditionalFormatting xmlns:xm="http://schemas.microsoft.com/office/excel/2006/main">
          <x14:cfRule type="expression" priority="4697566" id="{B86FDF2F-16C9-46B1-847E-7EA1A8A34B9D}">
            <xm:f>$BM$4='Data entry'!$R46</xm:f>
            <x14:dxf>
              <fill>
                <patternFill>
                  <bgColor rgb="FFFF0000"/>
                </patternFill>
              </fill>
            </x14:dxf>
          </x14:cfRule>
          <xm:sqref>BK126:BW126</xm:sqref>
        </x14:conditionalFormatting>
        <x14:conditionalFormatting xmlns:xm="http://schemas.microsoft.com/office/excel/2006/main">
          <x14:cfRule type="expression" priority="4697567" id="{72FD189F-4CED-400D-9FEF-21A328970A4D}">
            <xm:f>$BM$4='Data entry'!$R46</xm:f>
            <x14:dxf>
              <fill>
                <patternFill>
                  <bgColor rgb="FFFFFF00"/>
                </patternFill>
              </fill>
            </x14:dxf>
          </x14:cfRule>
          <xm:sqref>AY125:BM125</xm:sqref>
        </x14:conditionalFormatting>
        <x14:conditionalFormatting xmlns:xm="http://schemas.microsoft.com/office/excel/2006/main">
          <x14:cfRule type="expression" priority="4697568" id="{BBBBF859-D5A7-4F55-BFBF-8A77E3357590}">
            <xm:f>$BN$4='Data entry'!$R46</xm:f>
            <x14:dxf>
              <fill>
                <patternFill>
                  <bgColor rgb="FFFF0000"/>
                </patternFill>
              </fill>
            </x14:dxf>
          </x14:cfRule>
          <xm:sqref>BL126:BX126</xm:sqref>
        </x14:conditionalFormatting>
        <x14:conditionalFormatting xmlns:xm="http://schemas.microsoft.com/office/excel/2006/main">
          <x14:cfRule type="expression" priority="4697569" id="{50CB1D75-0FD5-4D24-92B1-E8A41DC6575C}">
            <xm:f>$BN$4='Data entry'!$R46</xm:f>
            <x14:dxf>
              <fill>
                <patternFill>
                  <bgColor rgb="FFFFFF00"/>
                </patternFill>
              </fill>
            </x14:dxf>
          </x14:cfRule>
          <xm:sqref>AZ125:BN125</xm:sqref>
        </x14:conditionalFormatting>
        <x14:conditionalFormatting xmlns:xm="http://schemas.microsoft.com/office/excel/2006/main">
          <x14:cfRule type="expression" priority="4697570" id="{9EF3226D-E8FC-496B-A6FF-71776AEA54D1}">
            <xm:f>$BO$4='Data entry'!$R46</xm:f>
            <x14:dxf>
              <fill>
                <patternFill>
                  <bgColor rgb="FFFF0000"/>
                </patternFill>
              </fill>
            </x14:dxf>
          </x14:cfRule>
          <xm:sqref>BM126:BY126</xm:sqref>
        </x14:conditionalFormatting>
        <x14:conditionalFormatting xmlns:xm="http://schemas.microsoft.com/office/excel/2006/main">
          <x14:cfRule type="expression" priority="4697571" id="{3B86C801-ECFE-4D05-8AA5-1581116BAFBC}">
            <xm:f>$BO$4='Data entry'!$R46</xm:f>
            <x14:dxf>
              <fill>
                <patternFill>
                  <bgColor rgb="FFFFFF00"/>
                </patternFill>
              </fill>
            </x14:dxf>
          </x14:cfRule>
          <xm:sqref>BA125:BO125</xm:sqref>
        </x14:conditionalFormatting>
        <x14:conditionalFormatting xmlns:xm="http://schemas.microsoft.com/office/excel/2006/main">
          <x14:cfRule type="expression" priority="4697572" id="{058A23EC-3371-4A02-9F20-1ECA603AC6BC}">
            <xm:f>$BP$4='Data entry'!$R46</xm:f>
            <x14:dxf>
              <fill>
                <patternFill>
                  <bgColor rgb="FFFF0000"/>
                </patternFill>
              </fill>
            </x14:dxf>
          </x14:cfRule>
          <xm:sqref>BN126:BZ126</xm:sqref>
        </x14:conditionalFormatting>
        <x14:conditionalFormatting xmlns:xm="http://schemas.microsoft.com/office/excel/2006/main">
          <x14:cfRule type="expression" priority="4697573" id="{3E711E31-3992-4555-AB22-87133D60CD15}">
            <xm:f>$BP$4='Data entry'!$R46</xm:f>
            <x14:dxf>
              <fill>
                <patternFill>
                  <bgColor rgb="FFFFFF00"/>
                </patternFill>
              </fill>
            </x14:dxf>
          </x14:cfRule>
          <xm:sqref>BB125:BP125</xm:sqref>
        </x14:conditionalFormatting>
        <x14:conditionalFormatting xmlns:xm="http://schemas.microsoft.com/office/excel/2006/main">
          <x14:cfRule type="expression" priority="4697574" id="{23E9F8B9-37D5-4730-9453-6F23E8ECBBE3}">
            <xm:f>$BQ$4='Data entry'!$R46</xm:f>
            <x14:dxf>
              <fill>
                <patternFill>
                  <bgColor rgb="FFFFFF00"/>
                </patternFill>
              </fill>
            </x14:dxf>
          </x14:cfRule>
          <xm:sqref>BC125:BQ125</xm:sqref>
        </x14:conditionalFormatting>
        <x14:conditionalFormatting xmlns:xm="http://schemas.microsoft.com/office/excel/2006/main">
          <x14:cfRule type="expression" priority="4697575" id="{BCFD92F6-AAD3-44FD-BC61-A292A81B883E}">
            <xm:f>$BQ$4='Data entry'!$R46</xm:f>
            <x14:dxf>
              <fill>
                <patternFill>
                  <bgColor rgb="FFFF0000"/>
                </patternFill>
              </fill>
            </x14:dxf>
          </x14:cfRule>
          <xm:sqref>BO126:CA126</xm:sqref>
        </x14:conditionalFormatting>
        <x14:conditionalFormatting xmlns:xm="http://schemas.microsoft.com/office/excel/2006/main">
          <x14:cfRule type="expression" priority="4697576" id="{357D60E5-F356-477E-8020-A18F42C02832}">
            <xm:f>$BR$4='Data entry'!$R46</xm:f>
            <x14:dxf>
              <fill>
                <patternFill>
                  <bgColor rgb="FFFFFF00"/>
                </patternFill>
              </fill>
            </x14:dxf>
          </x14:cfRule>
          <xm:sqref>BD125:BR125</xm:sqref>
        </x14:conditionalFormatting>
        <x14:conditionalFormatting xmlns:xm="http://schemas.microsoft.com/office/excel/2006/main">
          <x14:cfRule type="expression" priority="4697577" id="{DA2B6511-43B3-432D-B6AA-1DB1188B90A6}">
            <xm:f>$BR$4='Data entry'!$R46</xm:f>
            <x14:dxf>
              <fill>
                <patternFill>
                  <bgColor rgb="FFFF0000"/>
                </patternFill>
              </fill>
            </x14:dxf>
          </x14:cfRule>
          <xm:sqref>BP126:CB126</xm:sqref>
        </x14:conditionalFormatting>
        <x14:conditionalFormatting xmlns:xm="http://schemas.microsoft.com/office/excel/2006/main">
          <x14:cfRule type="expression" priority="4697578" id="{0D5F64E4-4136-4BFA-B833-CC8578525D9C}">
            <xm:f>$BS$4='Data entry'!$R46</xm:f>
            <x14:dxf>
              <fill>
                <patternFill>
                  <bgColor rgb="FFFFFF00"/>
                </patternFill>
              </fill>
            </x14:dxf>
          </x14:cfRule>
          <xm:sqref>BE125:BS125</xm:sqref>
        </x14:conditionalFormatting>
        <x14:conditionalFormatting xmlns:xm="http://schemas.microsoft.com/office/excel/2006/main">
          <x14:cfRule type="expression" priority="4697579" id="{AC94D468-F078-4AE2-8771-102996E07B09}">
            <xm:f>$BS$4='Data entry'!$R46</xm:f>
            <x14:dxf>
              <fill>
                <patternFill>
                  <bgColor rgb="FFFF0000"/>
                </patternFill>
              </fill>
            </x14:dxf>
          </x14:cfRule>
          <xm:sqref>BQ126:CC126</xm:sqref>
        </x14:conditionalFormatting>
        <x14:conditionalFormatting xmlns:xm="http://schemas.microsoft.com/office/excel/2006/main">
          <x14:cfRule type="expression" priority="4697580" id="{10E78F76-181E-4F19-9F89-7DD36D3EFE30}">
            <xm:f>$BT$4='Data entry'!$R46</xm:f>
            <x14:dxf>
              <fill>
                <patternFill>
                  <bgColor rgb="FFFFFF00"/>
                </patternFill>
              </fill>
            </x14:dxf>
          </x14:cfRule>
          <xm:sqref>BF125:BT125</xm:sqref>
        </x14:conditionalFormatting>
        <x14:conditionalFormatting xmlns:xm="http://schemas.microsoft.com/office/excel/2006/main">
          <x14:cfRule type="expression" priority="4697581" id="{6A5FADC6-9512-4EFB-90A5-7B5244D10D1F}">
            <xm:f>$BT$4='Data entry'!$R46</xm:f>
            <x14:dxf>
              <fill>
                <patternFill>
                  <bgColor rgb="FFFF0000"/>
                </patternFill>
              </fill>
            </x14:dxf>
          </x14:cfRule>
          <xm:sqref>BR126:CC126</xm:sqref>
        </x14:conditionalFormatting>
        <x14:conditionalFormatting xmlns:xm="http://schemas.microsoft.com/office/excel/2006/main">
          <x14:cfRule type="expression" priority="4697582" id="{A51139D1-8841-4B96-B8CB-DFE3808765CF}">
            <xm:f>$BU$4='Data entry'!$R46</xm:f>
            <x14:dxf>
              <fill>
                <patternFill>
                  <bgColor rgb="FFFFFF00"/>
                </patternFill>
              </fill>
            </x14:dxf>
          </x14:cfRule>
          <xm:sqref>BG125:BU125</xm:sqref>
        </x14:conditionalFormatting>
        <x14:conditionalFormatting xmlns:xm="http://schemas.microsoft.com/office/excel/2006/main">
          <x14:cfRule type="expression" priority="4697583" id="{55CA7258-760F-4BFF-ACB5-A70FEB3E7981}">
            <xm:f>$BU$4='Data entry'!$R46</xm:f>
            <x14:dxf>
              <fill>
                <patternFill>
                  <bgColor rgb="FFFF0000"/>
                </patternFill>
              </fill>
            </x14:dxf>
          </x14:cfRule>
          <xm:sqref>BS126:CC126</xm:sqref>
        </x14:conditionalFormatting>
        <x14:conditionalFormatting xmlns:xm="http://schemas.microsoft.com/office/excel/2006/main">
          <x14:cfRule type="expression" priority="4697584" id="{A922B218-64DB-4CBB-9AB8-FE0EBB44E09E}">
            <xm:f>$BV$4='Data entry'!$R46</xm:f>
            <x14:dxf>
              <fill>
                <patternFill>
                  <bgColor rgb="FFFFFF00"/>
                </patternFill>
              </fill>
            </x14:dxf>
          </x14:cfRule>
          <xm:sqref>BH125:BV125</xm:sqref>
        </x14:conditionalFormatting>
        <x14:conditionalFormatting xmlns:xm="http://schemas.microsoft.com/office/excel/2006/main">
          <x14:cfRule type="expression" priority="4697585" id="{C98E908A-CD31-4778-B41C-7AFB9DBE639A}">
            <xm:f>$BV$4='Data entry'!$R46</xm:f>
            <x14:dxf>
              <fill>
                <patternFill>
                  <bgColor rgb="FFFF0000"/>
                </patternFill>
              </fill>
            </x14:dxf>
          </x14:cfRule>
          <xm:sqref>BT126:CC126</xm:sqref>
        </x14:conditionalFormatting>
        <x14:conditionalFormatting xmlns:xm="http://schemas.microsoft.com/office/excel/2006/main">
          <x14:cfRule type="expression" priority="4697586" id="{465CCCA3-B4DB-4B61-8AC7-8A5E4CEC9E3F}">
            <xm:f>$BW$4='Data entry'!$R46</xm:f>
            <x14:dxf>
              <fill>
                <patternFill>
                  <bgColor rgb="FFFFFF00"/>
                </patternFill>
              </fill>
            </x14:dxf>
          </x14:cfRule>
          <xm:sqref>BI125:BW125</xm:sqref>
        </x14:conditionalFormatting>
        <x14:conditionalFormatting xmlns:xm="http://schemas.microsoft.com/office/excel/2006/main">
          <x14:cfRule type="expression" priority="4697587" id="{37566F97-6D06-400B-A709-FE657B07687F}">
            <xm:f>$BW$4='Data entry'!$R46</xm:f>
            <x14:dxf>
              <fill>
                <patternFill>
                  <bgColor rgb="FFFF0000"/>
                </patternFill>
              </fill>
            </x14:dxf>
          </x14:cfRule>
          <xm:sqref>BU126:CC126</xm:sqref>
        </x14:conditionalFormatting>
        <x14:conditionalFormatting xmlns:xm="http://schemas.microsoft.com/office/excel/2006/main">
          <x14:cfRule type="expression" priority="4697588" id="{D8FBA3AC-5CF0-4E45-97CA-1D4DEE729ADA}">
            <xm:f>$BX$4='Data entry'!$R46</xm:f>
            <x14:dxf>
              <fill>
                <patternFill>
                  <bgColor rgb="FFFFFF00"/>
                </patternFill>
              </fill>
            </x14:dxf>
          </x14:cfRule>
          <xm:sqref>BJ125:BX125</xm:sqref>
        </x14:conditionalFormatting>
        <x14:conditionalFormatting xmlns:xm="http://schemas.microsoft.com/office/excel/2006/main">
          <x14:cfRule type="expression" priority="4697589" id="{E077C84B-A94F-431D-B232-4AFCC7C64F54}">
            <xm:f>$BX$4='Data entry'!$R46</xm:f>
            <x14:dxf>
              <fill>
                <patternFill>
                  <bgColor rgb="FFFF0000"/>
                </patternFill>
              </fill>
            </x14:dxf>
          </x14:cfRule>
          <xm:sqref>BV126:CC126</xm:sqref>
        </x14:conditionalFormatting>
        <x14:conditionalFormatting xmlns:xm="http://schemas.microsoft.com/office/excel/2006/main">
          <x14:cfRule type="expression" priority="4697590" id="{63783BA8-0C97-4A44-86FD-7A2BCF1B9957}">
            <xm:f>$BY$4='Data entry'!$R46</xm:f>
            <x14:dxf>
              <fill>
                <patternFill>
                  <bgColor rgb="FFFFFF00"/>
                </patternFill>
              </fill>
            </x14:dxf>
          </x14:cfRule>
          <xm:sqref>BK125:BY125</xm:sqref>
        </x14:conditionalFormatting>
        <x14:conditionalFormatting xmlns:xm="http://schemas.microsoft.com/office/excel/2006/main">
          <x14:cfRule type="expression" priority="4697591" id="{BB8DB8B4-B71B-46D2-AEE7-346F16103F74}">
            <xm:f>$BY$4='Data entry'!$R46</xm:f>
            <x14:dxf>
              <fill>
                <patternFill>
                  <bgColor rgb="FFFF0000"/>
                </patternFill>
              </fill>
            </x14:dxf>
          </x14:cfRule>
          <xm:sqref>BW126:CC126</xm:sqref>
        </x14:conditionalFormatting>
        <x14:conditionalFormatting xmlns:xm="http://schemas.microsoft.com/office/excel/2006/main">
          <x14:cfRule type="expression" priority="4697592" id="{1B638B98-2B06-4FEB-90C1-446A3E0A3979}">
            <xm:f>$BZ$4='Data entry'!$R46</xm:f>
            <x14:dxf>
              <fill>
                <patternFill>
                  <bgColor rgb="FFFFFF00"/>
                </patternFill>
              </fill>
            </x14:dxf>
          </x14:cfRule>
          <xm:sqref>BL125:BZ125</xm:sqref>
        </x14:conditionalFormatting>
        <x14:conditionalFormatting xmlns:xm="http://schemas.microsoft.com/office/excel/2006/main">
          <x14:cfRule type="expression" priority="4697593" id="{D3A0A2F8-D1B2-4DC5-B2A9-0EF53074E685}">
            <xm:f>$BZ$4='Data entry'!$R46</xm:f>
            <x14:dxf>
              <fill>
                <patternFill>
                  <bgColor rgb="FFFF0000"/>
                </patternFill>
              </fill>
            </x14:dxf>
          </x14:cfRule>
          <xm:sqref>BX126:CC126</xm:sqref>
        </x14:conditionalFormatting>
        <x14:conditionalFormatting xmlns:xm="http://schemas.microsoft.com/office/excel/2006/main">
          <x14:cfRule type="expression" priority="4697594" id="{83F6D018-7D3B-4D33-9998-11572F2F2FF5}">
            <xm:f>$CA$4='Data entry'!$R46</xm:f>
            <x14:dxf>
              <fill>
                <patternFill>
                  <bgColor rgb="FFFFFF00"/>
                </patternFill>
              </fill>
            </x14:dxf>
          </x14:cfRule>
          <xm:sqref>BM125:CA125</xm:sqref>
        </x14:conditionalFormatting>
        <x14:conditionalFormatting xmlns:xm="http://schemas.microsoft.com/office/excel/2006/main">
          <x14:cfRule type="expression" priority="4697595" id="{8E6D0B51-5626-4ED9-9072-C7A2C139704F}">
            <xm:f>$CA$4='Data entry'!$R46</xm:f>
            <x14:dxf>
              <fill>
                <patternFill>
                  <bgColor rgb="FFFF0000"/>
                </patternFill>
              </fill>
            </x14:dxf>
          </x14:cfRule>
          <xm:sqref>BY126:CC126</xm:sqref>
        </x14:conditionalFormatting>
        <x14:conditionalFormatting xmlns:xm="http://schemas.microsoft.com/office/excel/2006/main">
          <x14:cfRule type="expression" priority="4697596" id="{E1886EE4-3BDE-43A9-9F4B-79377FEC37FE}">
            <xm:f>$CB$4='Data entry'!$R46</xm:f>
            <x14:dxf>
              <fill>
                <patternFill>
                  <bgColor rgb="FFFFFF00"/>
                </patternFill>
              </fill>
            </x14:dxf>
          </x14:cfRule>
          <xm:sqref>BN125:CB125</xm:sqref>
        </x14:conditionalFormatting>
        <x14:conditionalFormatting xmlns:xm="http://schemas.microsoft.com/office/excel/2006/main">
          <x14:cfRule type="expression" priority="4697597" id="{ADEF572A-6C18-4602-BB86-01C96D36E07E}">
            <xm:f>$CB$4='Data entry'!$R46</xm:f>
            <x14:dxf>
              <fill>
                <patternFill>
                  <bgColor rgb="FFFF0000"/>
                </patternFill>
              </fill>
            </x14:dxf>
          </x14:cfRule>
          <xm:sqref>BZ126:CC126</xm:sqref>
        </x14:conditionalFormatting>
        <x14:conditionalFormatting xmlns:xm="http://schemas.microsoft.com/office/excel/2006/main">
          <x14:cfRule type="expression" priority="4697598" id="{7984E1C9-E073-4955-8543-62145CB6D008}">
            <xm:f>$CC$4='Data entry'!$R46</xm:f>
            <x14:dxf>
              <fill>
                <patternFill>
                  <bgColor rgb="FFFFFF00"/>
                </patternFill>
              </fill>
            </x14:dxf>
          </x14:cfRule>
          <xm:sqref>BO125:CC125</xm:sqref>
        </x14:conditionalFormatting>
        <x14:conditionalFormatting xmlns:xm="http://schemas.microsoft.com/office/excel/2006/main">
          <x14:cfRule type="expression" priority="4697599" id="{18A957B3-59FA-4698-BA92-2A208FF18E2F}">
            <xm:f>$CC$4='Data entry'!$R46</xm:f>
            <x14:dxf>
              <fill>
                <patternFill>
                  <bgColor rgb="FFFF0000"/>
                </patternFill>
              </fill>
            </x14:dxf>
          </x14:cfRule>
          <xm:sqref>CA126:CC126</xm:sqref>
        </x14:conditionalFormatting>
        <x14:conditionalFormatting xmlns:xm="http://schemas.microsoft.com/office/excel/2006/main">
          <x14:cfRule type="expression" priority="4697686" id="{5B0DB825-B7C2-40AC-B7EF-F267F054CFB9}">
            <xm:f>$U$4='Data entry'!$R47</xm:f>
            <x14:dxf>
              <fill>
                <patternFill>
                  <bgColor rgb="FFFF0000"/>
                </patternFill>
              </fill>
            </x14:dxf>
          </x14:cfRule>
          <xm:sqref>S129:AE129</xm:sqref>
        </x14:conditionalFormatting>
        <x14:conditionalFormatting xmlns:xm="http://schemas.microsoft.com/office/excel/2006/main">
          <x14:cfRule type="expression" priority="4697687" id="{18311200-E2BB-400F-B594-3B9A2C6068C2}">
            <xm:f>$V$4='Data entry'!$R47</xm:f>
            <x14:dxf>
              <fill>
                <patternFill>
                  <bgColor rgb="FFFF0000"/>
                </patternFill>
              </fill>
            </x14:dxf>
          </x14:cfRule>
          <xm:sqref>T129:AF129</xm:sqref>
        </x14:conditionalFormatting>
        <x14:conditionalFormatting xmlns:xm="http://schemas.microsoft.com/office/excel/2006/main">
          <x14:cfRule type="expression" priority="4697688" id="{D6DFB621-1A58-4C59-A987-ECAD0EB2D32B}">
            <xm:f>$V$4='Data entry'!$R47</xm:f>
            <x14:dxf>
              <fill>
                <patternFill>
                  <bgColor rgb="FFFFFF00"/>
                </patternFill>
              </fill>
            </x14:dxf>
          </x14:cfRule>
          <xm:sqref>H128:V128</xm:sqref>
        </x14:conditionalFormatting>
        <x14:conditionalFormatting xmlns:xm="http://schemas.microsoft.com/office/excel/2006/main">
          <x14:cfRule type="expression" priority="4697689" id="{5F87A680-DC5F-433D-A779-B7A534ACCDA9}">
            <xm:f>$W$4='Data entry'!$R47</xm:f>
            <x14:dxf>
              <fill>
                <patternFill>
                  <bgColor rgb="FFFF0000"/>
                </patternFill>
              </fill>
            </x14:dxf>
          </x14:cfRule>
          <xm:sqref>U129:AG129</xm:sqref>
        </x14:conditionalFormatting>
        <x14:conditionalFormatting xmlns:xm="http://schemas.microsoft.com/office/excel/2006/main">
          <x14:cfRule type="expression" priority="4697690" id="{964539FF-A92C-4F68-B268-B7157A32678C}">
            <xm:f>$W$4='Data entry'!$R47</xm:f>
            <x14:dxf>
              <fill>
                <patternFill>
                  <bgColor rgb="FFFFFF00"/>
                </patternFill>
              </fill>
            </x14:dxf>
          </x14:cfRule>
          <xm:sqref>I128:W128</xm:sqref>
        </x14:conditionalFormatting>
        <x14:conditionalFormatting xmlns:xm="http://schemas.microsoft.com/office/excel/2006/main">
          <x14:cfRule type="expression" priority="4697691" id="{46C1533A-F090-4A90-9309-3F59EC3FD3B0}">
            <xm:f>$X$4='Data entry'!$R47</xm:f>
            <x14:dxf>
              <fill>
                <patternFill>
                  <bgColor rgb="FFFF0000"/>
                </patternFill>
              </fill>
            </x14:dxf>
          </x14:cfRule>
          <xm:sqref>V129:AH129</xm:sqref>
        </x14:conditionalFormatting>
        <x14:conditionalFormatting xmlns:xm="http://schemas.microsoft.com/office/excel/2006/main">
          <x14:cfRule type="expression" priority="4697692" id="{7C70E81C-DDD4-4D75-933A-4F6A39893184}">
            <xm:f>$X$4='Data entry'!$R47</xm:f>
            <x14:dxf>
              <fill>
                <patternFill>
                  <bgColor rgb="FFFFFF00"/>
                </patternFill>
              </fill>
            </x14:dxf>
          </x14:cfRule>
          <xm:sqref>J128:X128</xm:sqref>
        </x14:conditionalFormatting>
        <x14:conditionalFormatting xmlns:xm="http://schemas.microsoft.com/office/excel/2006/main">
          <x14:cfRule type="expression" priority="4697693" id="{561AF073-0EF8-4B72-A119-40A639C4359D}">
            <xm:f>$Y$4='Data entry'!$R47</xm:f>
            <x14:dxf>
              <fill>
                <patternFill>
                  <bgColor rgb="FFFF0000"/>
                </patternFill>
              </fill>
            </x14:dxf>
          </x14:cfRule>
          <xm:sqref>W129:AI129</xm:sqref>
        </x14:conditionalFormatting>
        <x14:conditionalFormatting xmlns:xm="http://schemas.microsoft.com/office/excel/2006/main">
          <x14:cfRule type="expression" priority="4697694" id="{F242E808-8F07-4A89-9524-7D4C767CE357}">
            <xm:f>$Y$4='Data entry'!$R47</xm:f>
            <x14:dxf>
              <fill>
                <patternFill>
                  <bgColor rgb="FFFFFF00"/>
                </patternFill>
              </fill>
            </x14:dxf>
          </x14:cfRule>
          <xm:sqref>K128:Y128</xm:sqref>
        </x14:conditionalFormatting>
        <x14:conditionalFormatting xmlns:xm="http://schemas.microsoft.com/office/excel/2006/main">
          <x14:cfRule type="expression" priority="4697695" id="{DD601058-982B-4218-BD9D-64BB823C2633}">
            <xm:f>$Z$4='Data entry'!$R47</xm:f>
            <x14:dxf>
              <fill>
                <patternFill>
                  <bgColor rgb="FFFF0000"/>
                </patternFill>
              </fill>
            </x14:dxf>
          </x14:cfRule>
          <xm:sqref>X129:AJ129</xm:sqref>
        </x14:conditionalFormatting>
        <x14:conditionalFormatting xmlns:xm="http://schemas.microsoft.com/office/excel/2006/main">
          <x14:cfRule type="expression" priority="4697696" id="{C9DB141D-79F6-4093-92A3-7BF7A1622985}">
            <xm:f>$Z$4='Data entry'!$R47</xm:f>
            <x14:dxf>
              <fill>
                <patternFill>
                  <bgColor rgb="FFFFFF00"/>
                </patternFill>
              </fill>
            </x14:dxf>
          </x14:cfRule>
          <xm:sqref>L128:Z128</xm:sqref>
        </x14:conditionalFormatting>
        <x14:conditionalFormatting xmlns:xm="http://schemas.microsoft.com/office/excel/2006/main">
          <x14:cfRule type="expression" priority="4697697" id="{710EB8D3-F5C0-4E3C-8214-2D0C4E26F649}">
            <xm:f>$AA$4='Data entry'!$R47</xm:f>
            <x14:dxf>
              <fill>
                <patternFill>
                  <bgColor rgb="FFFF0000"/>
                </patternFill>
              </fill>
            </x14:dxf>
          </x14:cfRule>
          <xm:sqref>Y129:AK129</xm:sqref>
        </x14:conditionalFormatting>
        <x14:conditionalFormatting xmlns:xm="http://schemas.microsoft.com/office/excel/2006/main">
          <x14:cfRule type="expression" priority="4697698" id="{33825D69-C967-4D27-B395-5D44A3083802}">
            <xm:f>$AA$4='Data entry'!$R47</xm:f>
            <x14:dxf>
              <fill>
                <patternFill>
                  <bgColor rgb="FFFFFF00"/>
                </patternFill>
              </fill>
            </x14:dxf>
          </x14:cfRule>
          <xm:sqref>M128:AA128</xm:sqref>
        </x14:conditionalFormatting>
        <x14:conditionalFormatting xmlns:xm="http://schemas.microsoft.com/office/excel/2006/main">
          <x14:cfRule type="expression" priority="4697699" id="{9811A97D-351B-4D32-8754-AF433277E62B}">
            <xm:f>$AB$4='Data entry'!$R47</xm:f>
            <x14:dxf>
              <fill>
                <patternFill>
                  <bgColor rgb="FFFF0000"/>
                </patternFill>
              </fill>
            </x14:dxf>
          </x14:cfRule>
          <xm:sqref>Z129:AL129</xm:sqref>
        </x14:conditionalFormatting>
        <x14:conditionalFormatting xmlns:xm="http://schemas.microsoft.com/office/excel/2006/main">
          <x14:cfRule type="expression" priority="4697700" id="{6DD3E556-C72E-438B-92DA-3096ED1E4178}">
            <xm:f>$AB$4='Data entry'!$R47</xm:f>
            <x14:dxf>
              <fill>
                <patternFill>
                  <bgColor rgb="FFFFFF00"/>
                </patternFill>
              </fill>
            </x14:dxf>
          </x14:cfRule>
          <xm:sqref>N128:AB128</xm:sqref>
        </x14:conditionalFormatting>
        <x14:conditionalFormatting xmlns:xm="http://schemas.microsoft.com/office/excel/2006/main">
          <x14:cfRule type="expression" priority="4697701" id="{C0DF7A1B-D6BC-4371-BD3A-F0708147FA1C}">
            <xm:f>$AC$4='Data entry'!$R47</xm:f>
            <x14:dxf>
              <fill>
                <patternFill>
                  <bgColor rgb="FFFF0000"/>
                </patternFill>
              </fill>
            </x14:dxf>
          </x14:cfRule>
          <xm:sqref>AA129:AM129</xm:sqref>
        </x14:conditionalFormatting>
        <x14:conditionalFormatting xmlns:xm="http://schemas.microsoft.com/office/excel/2006/main">
          <x14:cfRule type="expression" priority="4697702" id="{DB2E1F48-AF0E-41F9-A976-6B1963CA5711}">
            <xm:f>$AC$4='Data entry'!$R47</xm:f>
            <x14:dxf>
              <fill>
                <patternFill>
                  <bgColor rgb="FFFFFF00"/>
                </patternFill>
              </fill>
            </x14:dxf>
          </x14:cfRule>
          <xm:sqref>O128:AC128</xm:sqref>
        </x14:conditionalFormatting>
        <x14:conditionalFormatting xmlns:xm="http://schemas.microsoft.com/office/excel/2006/main">
          <x14:cfRule type="expression" priority="4697703" id="{89909907-F9A9-4AF9-BC1D-304710A43F50}">
            <xm:f>$AD$4='Data entry'!$R47</xm:f>
            <x14:dxf>
              <fill>
                <patternFill>
                  <bgColor rgb="FFFF0000"/>
                </patternFill>
              </fill>
            </x14:dxf>
          </x14:cfRule>
          <xm:sqref>AB129:AN129</xm:sqref>
        </x14:conditionalFormatting>
        <x14:conditionalFormatting xmlns:xm="http://schemas.microsoft.com/office/excel/2006/main">
          <x14:cfRule type="expression" priority="4697704" id="{729676B7-E331-43A4-ACC9-850DCEE76A0E}">
            <xm:f>$AD$4='Data entry'!$R47</xm:f>
            <x14:dxf>
              <fill>
                <patternFill>
                  <bgColor rgb="FFFFFF00"/>
                </patternFill>
              </fill>
            </x14:dxf>
          </x14:cfRule>
          <xm:sqref>P128:AD128</xm:sqref>
        </x14:conditionalFormatting>
        <x14:conditionalFormatting xmlns:xm="http://schemas.microsoft.com/office/excel/2006/main">
          <x14:cfRule type="expression" priority="4697705" id="{00DA2C55-350E-44AA-ABEA-808FABFDA737}">
            <xm:f>$AE$4='Data entry'!$R47</xm:f>
            <x14:dxf>
              <fill>
                <patternFill>
                  <bgColor rgb="FFFF0000"/>
                </patternFill>
              </fill>
            </x14:dxf>
          </x14:cfRule>
          <xm:sqref>AC129:AO129</xm:sqref>
        </x14:conditionalFormatting>
        <x14:conditionalFormatting xmlns:xm="http://schemas.microsoft.com/office/excel/2006/main">
          <x14:cfRule type="expression" priority="4697706" id="{373C95F1-00C1-45E9-B561-5224945BA4A4}">
            <xm:f>$AE$4='Data entry'!$R47</xm:f>
            <x14:dxf>
              <fill>
                <patternFill>
                  <bgColor rgb="FFFFFF00"/>
                </patternFill>
              </fill>
            </x14:dxf>
          </x14:cfRule>
          <xm:sqref>Q128:AE128</xm:sqref>
        </x14:conditionalFormatting>
        <x14:conditionalFormatting xmlns:xm="http://schemas.microsoft.com/office/excel/2006/main">
          <x14:cfRule type="expression" priority="4697707" id="{65E90E74-6BEF-4B00-BD5E-ECACFEBC225A}">
            <xm:f>$AF$4='Data entry'!$R47</xm:f>
            <x14:dxf>
              <fill>
                <patternFill>
                  <bgColor rgb="FFFF0000"/>
                </patternFill>
              </fill>
            </x14:dxf>
          </x14:cfRule>
          <xm:sqref>AD129:AP129</xm:sqref>
        </x14:conditionalFormatting>
        <x14:conditionalFormatting xmlns:xm="http://schemas.microsoft.com/office/excel/2006/main">
          <x14:cfRule type="expression" priority="4697708" id="{56B519D7-E083-4811-B42B-D6CB10D44BB3}">
            <xm:f>$AF$4='Data entry'!$R47</xm:f>
            <x14:dxf>
              <fill>
                <patternFill>
                  <bgColor rgb="FFFFFF00"/>
                </patternFill>
              </fill>
            </x14:dxf>
          </x14:cfRule>
          <xm:sqref>R128:AF128</xm:sqref>
        </x14:conditionalFormatting>
        <x14:conditionalFormatting xmlns:xm="http://schemas.microsoft.com/office/excel/2006/main">
          <x14:cfRule type="expression" priority="4697709" id="{889682B6-BF9B-414B-86B7-1C802156B058}">
            <xm:f>$AG$4='Data entry'!$R47</xm:f>
            <x14:dxf>
              <fill>
                <patternFill>
                  <bgColor rgb="FFFF0000"/>
                </patternFill>
              </fill>
            </x14:dxf>
          </x14:cfRule>
          <xm:sqref>AE129:AQ129</xm:sqref>
        </x14:conditionalFormatting>
        <x14:conditionalFormatting xmlns:xm="http://schemas.microsoft.com/office/excel/2006/main">
          <x14:cfRule type="expression" priority="4697710" id="{19913D88-1940-4CB0-B29C-D46D60833BD5}">
            <xm:f>$AG$4='Data entry'!$R47</xm:f>
            <x14:dxf>
              <fill>
                <patternFill>
                  <bgColor rgb="FFFFFF00"/>
                </patternFill>
              </fill>
            </x14:dxf>
          </x14:cfRule>
          <xm:sqref>S128:AG128</xm:sqref>
        </x14:conditionalFormatting>
        <x14:conditionalFormatting xmlns:xm="http://schemas.microsoft.com/office/excel/2006/main">
          <x14:cfRule type="expression" priority="4697711" id="{3DD7B9A5-18A3-463F-BAD5-9796FC487328}">
            <xm:f>$AH$4='Data entry'!$R47</xm:f>
            <x14:dxf>
              <fill>
                <patternFill>
                  <bgColor rgb="FFFF0000"/>
                </patternFill>
              </fill>
            </x14:dxf>
          </x14:cfRule>
          <xm:sqref>AF129:AR129</xm:sqref>
        </x14:conditionalFormatting>
        <x14:conditionalFormatting xmlns:xm="http://schemas.microsoft.com/office/excel/2006/main">
          <x14:cfRule type="expression" priority="4697712" id="{31005CF4-5608-496E-91EB-F7F505046C80}">
            <xm:f>$AH$4='Data entry'!$R47</xm:f>
            <x14:dxf>
              <fill>
                <patternFill>
                  <bgColor rgb="FFFFFF00"/>
                </patternFill>
              </fill>
            </x14:dxf>
          </x14:cfRule>
          <xm:sqref>T128:AH128</xm:sqref>
        </x14:conditionalFormatting>
        <x14:conditionalFormatting xmlns:xm="http://schemas.microsoft.com/office/excel/2006/main">
          <x14:cfRule type="expression" priority="4697713" id="{CD14F654-5B7A-444F-8FC1-7DD71E76E475}">
            <xm:f>$AI$4='Data entry'!$R47</xm:f>
            <x14:dxf>
              <fill>
                <patternFill>
                  <bgColor rgb="FFFF0000"/>
                </patternFill>
              </fill>
            </x14:dxf>
          </x14:cfRule>
          <xm:sqref>AG129:AS129</xm:sqref>
        </x14:conditionalFormatting>
        <x14:conditionalFormatting xmlns:xm="http://schemas.microsoft.com/office/excel/2006/main">
          <x14:cfRule type="expression" priority="4697714" id="{0E4E448C-6C46-4285-B877-A61A90294385}">
            <xm:f>$AI$4='Data entry'!$R47</xm:f>
            <x14:dxf>
              <fill>
                <patternFill>
                  <bgColor rgb="FFFFFF00"/>
                </patternFill>
              </fill>
            </x14:dxf>
          </x14:cfRule>
          <xm:sqref>U128:AI128</xm:sqref>
        </x14:conditionalFormatting>
        <x14:conditionalFormatting xmlns:xm="http://schemas.microsoft.com/office/excel/2006/main">
          <x14:cfRule type="expression" priority="4697715" id="{B1C1818F-791C-403D-BE73-6F6E9DC6A16D}">
            <xm:f>$AJ$4='Data entry'!$R47</xm:f>
            <x14:dxf>
              <fill>
                <patternFill>
                  <bgColor rgb="FFFF0000"/>
                </patternFill>
              </fill>
            </x14:dxf>
          </x14:cfRule>
          <xm:sqref>AH129:AT129</xm:sqref>
        </x14:conditionalFormatting>
        <x14:conditionalFormatting xmlns:xm="http://schemas.microsoft.com/office/excel/2006/main">
          <x14:cfRule type="expression" priority="4697716" id="{A1237792-221B-431B-B8A7-E9A64DA46D93}">
            <xm:f>$AJ$4='Data entry'!$R47</xm:f>
            <x14:dxf>
              <fill>
                <patternFill>
                  <bgColor rgb="FFFFFF00"/>
                </patternFill>
              </fill>
            </x14:dxf>
          </x14:cfRule>
          <xm:sqref>V128:AJ128</xm:sqref>
        </x14:conditionalFormatting>
        <x14:conditionalFormatting xmlns:xm="http://schemas.microsoft.com/office/excel/2006/main">
          <x14:cfRule type="expression" priority="4697717" id="{617DC2AF-C7A3-4724-8EA3-17DEFEDC8949}">
            <xm:f>$AK$4='Data entry'!$R47</xm:f>
            <x14:dxf>
              <fill>
                <patternFill>
                  <bgColor rgb="FFFF0000"/>
                </patternFill>
              </fill>
            </x14:dxf>
          </x14:cfRule>
          <xm:sqref>AI129:AU129</xm:sqref>
        </x14:conditionalFormatting>
        <x14:conditionalFormatting xmlns:xm="http://schemas.microsoft.com/office/excel/2006/main">
          <x14:cfRule type="expression" priority="4697718" id="{AA72317D-37B1-48EB-A28B-BF2AC8DC4519}">
            <xm:f>$AK$4='Data entry'!$R47</xm:f>
            <x14:dxf>
              <fill>
                <patternFill>
                  <bgColor rgb="FFFFFF00"/>
                </patternFill>
              </fill>
            </x14:dxf>
          </x14:cfRule>
          <xm:sqref>W128:AK128</xm:sqref>
        </x14:conditionalFormatting>
        <x14:conditionalFormatting xmlns:xm="http://schemas.microsoft.com/office/excel/2006/main">
          <x14:cfRule type="expression" priority="4697719" id="{6CA9FB7A-20EA-4D3A-B74C-A001F4BE810D}">
            <xm:f>$AL$4='Data entry'!$R47</xm:f>
            <x14:dxf>
              <fill>
                <patternFill>
                  <bgColor rgb="FFFF0000"/>
                </patternFill>
              </fill>
            </x14:dxf>
          </x14:cfRule>
          <xm:sqref>AJ129:AV129</xm:sqref>
        </x14:conditionalFormatting>
        <x14:conditionalFormatting xmlns:xm="http://schemas.microsoft.com/office/excel/2006/main">
          <x14:cfRule type="expression" priority="4697720" id="{81A75DAA-573F-4EF3-A640-1B992C18BEA0}">
            <xm:f>$AL$4='Data entry'!$R47</xm:f>
            <x14:dxf>
              <fill>
                <patternFill>
                  <bgColor rgb="FFFFFF00"/>
                </patternFill>
              </fill>
            </x14:dxf>
          </x14:cfRule>
          <xm:sqref>X128:AL128</xm:sqref>
        </x14:conditionalFormatting>
        <x14:conditionalFormatting xmlns:xm="http://schemas.microsoft.com/office/excel/2006/main">
          <x14:cfRule type="expression" priority="4697721" id="{3D44713E-4ABA-4CCD-9DF4-5513A9FB5E1E}">
            <xm:f>$AM$4='Data entry'!$R47</xm:f>
            <x14:dxf>
              <fill>
                <patternFill>
                  <bgColor rgb="FFFF0000"/>
                </patternFill>
              </fill>
            </x14:dxf>
          </x14:cfRule>
          <xm:sqref>AK129:AW129</xm:sqref>
        </x14:conditionalFormatting>
        <x14:conditionalFormatting xmlns:xm="http://schemas.microsoft.com/office/excel/2006/main">
          <x14:cfRule type="expression" priority="4697722" id="{05A26B51-72A7-4423-822F-2BDBC28275D0}">
            <xm:f>$AM$4='Data entry'!$R47</xm:f>
            <x14:dxf>
              <fill>
                <patternFill>
                  <bgColor rgb="FFFFFF00"/>
                </patternFill>
              </fill>
            </x14:dxf>
          </x14:cfRule>
          <xm:sqref>Y128:AM128</xm:sqref>
        </x14:conditionalFormatting>
        <x14:conditionalFormatting xmlns:xm="http://schemas.microsoft.com/office/excel/2006/main">
          <x14:cfRule type="expression" priority="4697723" id="{B8A20675-6230-4694-A7F6-6B3DC7142773}">
            <xm:f>$AN$4='Data entry'!$R47</xm:f>
            <x14:dxf>
              <fill>
                <patternFill>
                  <bgColor rgb="FFFF0000"/>
                </patternFill>
              </fill>
            </x14:dxf>
          </x14:cfRule>
          <xm:sqref>AL129:AX129</xm:sqref>
        </x14:conditionalFormatting>
        <x14:conditionalFormatting xmlns:xm="http://schemas.microsoft.com/office/excel/2006/main">
          <x14:cfRule type="expression" priority="4697724" id="{8421181C-7450-42E9-BC1D-065CCFCA960E}">
            <xm:f>$AN$4='Data entry'!$R47</xm:f>
            <x14:dxf>
              <fill>
                <patternFill>
                  <bgColor rgb="FFFFFF00"/>
                </patternFill>
              </fill>
            </x14:dxf>
          </x14:cfRule>
          <xm:sqref>Z128:AN128</xm:sqref>
        </x14:conditionalFormatting>
        <x14:conditionalFormatting xmlns:xm="http://schemas.microsoft.com/office/excel/2006/main">
          <x14:cfRule type="expression" priority="4697725" id="{067FE4BD-6EF4-4684-B6E0-35AB2F267EE7}">
            <xm:f>$AO$4='Data entry'!$R47</xm:f>
            <x14:dxf>
              <fill>
                <patternFill>
                  <bgColor rgb="FFFF0000"/>
                </patternFill>
              </fill>
            </x14:dxf>
          </x14:cfRule>
          <xm:sqref>AM129:AY129</xm:sqref>
        </x14:conditionalFormatting>
        <x14:conditionalFormatting xmlns:xm="http://schemas.microsoft.com/office/excel/2006/main">
          <x14:cfRule type="expression" priority="4697726" id="{F7653492-88D1-47AC-8BA3-0CCE65C3C2AB}">
            <xm:f>$AO$4='Data entry'!$R47</xm:f>
            <x14:dxf>
              <fill>
                <patternFill>
                  <bgColor rgb="FFFFFF00"/>
                </patternFill>
              </fill>
            </x14:dxf>
          </x14:cfRule>
          <xm:sqref>AA128:AO128</xm:sqref>
        </x14:conditionalFormatting>
        <x14:conditionalFormatting xmlns:xm="http://schemas.microsoft.com/office/excel/2006/main">
          <x14:cfRule type="expression" priority="4697727" id="{207A5E5D-B322-482E-9193-1D7318138358}">
            <xm:f>$AP$4='Data entry'!$R47</xm:f>
            <x14:dxf>
              <fill>
                <patternFill>
                  <bgColor rgb="FFFF0000"/>
                </patternFill>
              </fill>
            </x14:dxf>
          </x14:cfRule>
          <xm:sqref>AN129:AZ129</xm:sqref>
        </x14:conditionalFormatting>
        <x14:conditionalFormatting xmlns:xm="http://schemas.microsoft.com/office/excel/2006/main">
          <x14:cfRule type="expression" priority="4697728" id="{21DA638D-4CA0-4067-BFF1-240CE1A0261B}">
            <xm:f>$AP$4='Data entry'!$R47</xm:f>
            <x14:dxf>
              <fill>
                <patternFill>
                  <bgColor rgb="FFFFFF00"/>
                </patternFill>
              </fill>
            </x14:dxf>
          </x14:cfRule>
          <xm:sqref>AB128:AP128</xm:sqref>
        </x14:conditionalFormatting>
        <x14:conditionalFormatting xmlns:xm="http://schemas.microsoft.com/office/excel/2006/main">
          <x14:cfRule type="expression" priority="4697729" id="{71963D96-A42A-4B90-BFC7-6D83D37766EF}">
            <xm:f>$AQ$4='Data entry'!$R47</xm:f>
            <x14:dxf>
              <fill>
                <patternFill>
                  <bgColor rgb="FFFF0000"/>
                </patternFill>
              </fill>
            </x14:dxf>
          </x14:cfRule>
          <xm:sqref>AO129:BA129</xm:sqref>
        </x14:conditionalFormatting>
        <x14:conditionalFormatting xmlns:xm="http://schemas.microsoft.com/office/excel/2006/main">
          <x14:cfRule type="expression" priority="4697730" id="{74952595-84B6-484F-8FF6-FCC1F337DF4D}">
            <xm:f>$AQ$4='Data entry'!$R47</xm:f>
            <x14:dxf>
              <fill>
                <patternFill>
                  <bgColor rgb="FFFFFF00"/>
                </patternFill>
              </fill>
            </x14:dxf>
          </x14:cfRule>
          <xm:sqref>AC128:AQ128</xm:sqref>
        </x14:conditionalFormatting>
        <x14:conditionalFormatting xmlns:xm="http://schemas.microsoft.com/office/excel/2006/main">
          <x14:cfRule type="expression" priority="4697731" id="{8AC9C4B9-0A34-4BC0-B0F7-CA89434C4911}">
            <xm:f>$P$4='Data entry'!$R47</xm:f>
            <x14:dxf>
              <fill>
                <patternFill>
                  <bgColor rgb="FFFFFF00"/>
                </patternFill>
              </fill>
            </x14:dxf>
          </x14:cfRule>
          <xm:sqref>C128:P128</xm:sqref>
        </x14:conditionalFormatting>
        <x14:conditionalFormatting xmlns:xm="http://schemas.microsoft.com/office/excel/2006/main">
          <x14:cfRule type="expression" priority="4697732" id="{0A726775-ABFD-4F22-967C-1A4D87BA3751}">
            <xm:f>$Q$4='Data entry'!$R47</xm:f>
            <x14:dxf>
              <fill>
                <patternFill>
                  <bgColor rgb="FFFFFF00"/>
                </patternFill>
              </fill>
            </x14:dxf>
          </x14:cfRule>
          <xm:sqref>C128:Q128</xm:sqref>
        </x14:conditionalFormatting>
        <x14:conditionalFormatting xmlns:xm="http://schemas.microsoft.com/office/excel/2006/main">
          <x14:cfRule type="expression" priority="4697733" id="{3A8414BD-262C-43B5-86EE-FA6901D00453}">
            <xm:f>$Q$4='Data entry'!$R47</xm:f>
            <x14:dxf>
              <fill>
                <patternFill>
                  <bgColor rgb="FFFF0000"/>
                </patternFill>
              </fill>
            </x14:dxf>
          </x14:cfRule>
          <xm:sqref>O129:AA129</xm:sqref>
        </x14:conditionalFormatting>
        <x14:conditionalFormatting xmlns:xm="http://schemas.microsoft.com/office/excel/2006/main">
          <x14:cfRule type="expression" priority="4697734" id="{B8B5501D-F3EF-4449-9306-F652960C65F4}">
            <xm:f>$R$4='Data entry'!$R47</xm:f>
            <x14:dxf>
              <fill>
                <patternFill>
                  <bgColor rgb="FFFF0000"/>
                </patternFill>
              </fill>
            </x14:dxf>
          </x14:cfRule>
          <xm:sqref>P129:AB129</xm:sqref>
        </x14:conditionalFormatting>
        <x14:conditionalFormatting xmlns:xm="http://schemas.microsoft.com/office/excel/2006/main">
          <x14:cfRule type="expression" priority="4697735" id="{5D070DEC-B82E-4D87-B907-A3E5AB836991}">
            <xm:f>$R$4='Data entry'!$R47</xm:f>
            <x14:dxf>
              <fill>
                <patternFill>
                  <bgColor rgb="FFFFFF00"/>
                </patternFill>
              </fill>
            </x14:dxf>
          </x14:cfRule>
          <xm:sqref>D128:R128</xm:sqref>
        </x14:conditionalFormatting>
        <x14:conditionalFormatting xmlns:xm="http://schemas.microsoft.com/office/excel/2006/main">
          <x14:cfRule type="expression" priority="4697736" id="{E4D16A10-F818-4664-9FB2-F0E839824D4B}">
            <xm:f>$S$4='Data entry'!$R47</xm:f>
            <x14:dxf>
              <fill>
                <patternFill>
                  <bgColor rgb="FFFF0000"/>
                </patternFill>
              </fill>
            </x14:dxf>
          </x14:cfRule>
          <xm:sqref>Q129:AC129</xm:sqref>
        </x14:conditionalFormatting>
        <x14:conditionalFormatting xmlns:xm="http://schemas.microsoft.com/office/excel/2006/main">
          <x14:cfRule type="expression" priority="4697737" id="{1A9F9911-A3E9-4730-AFBE-AB8C596545CA}">
            <xm:f>$S$4='Data entry'!$R47</xm:f>
            <x14:dxf>
              <fill>
                <patternFill>
                  <bgColor rgb="FFFFFF00"/>
                </patternFill>
              </fill>
            </x14:dxf>
          </x14:cfRule>
          <xm:sqref>E128:S128</xm:sqref>
        </x14:conditionalFormatting>
        <x14:conditionalFormatting xmlns:xm="http://schemas.microsoft.com/office/excel/2006/main">
          <x14:cfRule type="expression" priority="4697738" id="{8BB5CD1B-B2AC-442A-9550-26DE19A62D22}">
            <xm:f>$T$4='Data entry'!$R47</xm:f>
            <x14:dxf>
              <fill>
                <patternFill>
                  <bgColor rgb="FFFF0000"/>
                </patternFill>
              </fill>
            </x14:dxf>
          </x14:cfRule>
          <xm:sqref>R129:AD129</xm:sqref>
        </x14:conditionalFormatting>
        <x14:conditionalFormatting xmlns:xm="http://schemas.microsoft.com/office/excel/2006/main">
          <x14:cfRule type="expression" priority="4697739" id="{E7B59C69-7921-4049-84A1-8B3E5F7B0598}">
            <xm:f>$T$4='Data entry'!$R47</xm:f>
            <x14:dxf>
              <fill>
                <patternFill>
                  <bgColor rgb="FFFFFF00"/>
                </patternFill>
              </fill>
            </x14:dxf>
          </x14:cfRule>
          <xm:sqref>F128:T128</xm:sqref>
        </x14:conditionalFormatting>
        <x14:conditionalFormatting xmlns:xm="http://schemas.microsoft.com/office/excel/2006/main">
          <x14:cfRule type="expression" priority="4697740" id="{238C09E5-7A3D-439D-949F-A7733073F9A2}">
            <xm:f>$U$4='Data entry'!$R47</xm:f>
            <x14:dxf>
              <fill>
                <patternFill>
                  <bgColor rgb="FFFFFF00"/>
                </patternFill>
              </fill>
            </x14:dxf>
          </x14:cfRule>
          <xm:sqref>G128:U128</xm:sqref>
        </x14:conditionalFormatting>
        <x14:conditionalFormatting xmlns:xm="http://schemas.microsoft.com/office/excel/2006/main">
          <x14:cfRule type="expression" priority="4697741" id="{DE4D4432-0A19-452A-AF14-2873FE4DF411}">
            <xm:f>$AR$4='Data entry'!$R47</xm:f>
            <x14:dxf>
              <fill>
                <patternFill>
                  <bgColor rgb="FFFF0000"/>
                </patternFill>
              </fill>
            </x14:dxf>
          </x14:cfRule>
          <xm:sqref>AP129:BB129</xm:sqref>
        </x14:conditionalFormatting>
        <x14:conditionalFormatting xmlns:xm="http://schemas.microsoft.com/office/excel/2006/main">
          <x14:cfRule type="expression" priority="4697742" id="{90D7E1FF-542D-40C8-9BD5-DFEB4CDD256F}">
            <xm:f>$AR$4='Data entry'!$R47</xm:f>
            <x14:dxf>
              <fill>
                <patternFill>
                  <bgColor rgb="FFFFFF00"/>
                </patternFill>
              </fill>
            </x14:dxf>
          </x14:cfRule>
          <xm:sqref>AD128:AR128</xm:sqref>
        </x14:conditionalFormatting>
        <x14:conditionalFormatting xmlns:xm="http://schemas.microsoft.com/office/excel/2006/main">
          <x14:cfRule type="expression" priority="4697743" id="{0EBB5305-4A4A-4205-A1FF-11160070CBC3}">
            <xm:f>$AS$4='Data entry'!$R47</xm:f>
            <x14:dxf>
              <fill>
                <patternFill>
                  <bgColor rgb="FFFF0000"/>
                </patternFill>
              </fill>
            </x14:dxf>
          </x14:cfRule>
          <xm:sqref>AQ129:BC129</xm:sqref>
        </x14:conditionalFormatting>
        <x14:conditionalFormatting xmlns:xm="http://schemas.microsoft.com/office/excel/2006/main">
          <x14:cfRule type="expression" priority="4697744" id="{AC8EB30C-4253-4CE1-820E-1801F6D8D35B}">
            <xm:f>$AS$4='Data entry'!$R47</xm:f>
            <x14:dxf>
              <fill>
                <patternFill>
                  <bgColor rgb="FFFFFF00"/>
                </patternFill>
              </fill>
            </x14:dxf>
          </x14:cfRule>
          <xm:sqref>AE128:AS128</xm:sqref>
        </x14:conditionalFormatting>
        <x14:conditionalFormatting xmlns:xm="http://schemas.microsoft.com/office/excel/2006/main">
          <x14:cfRule type="expression" priority="4697745" id="{E11744C1-7201-4272-A1B0-945490B42425}">
            <xm:f>$AT$4='Data entry'!$R47</xm:f>
            <x14:dxf>
              <fill>
                <patternFill>
                  <bgColor rgb="FFFF0000"/>
                </patternFill>
              </fill>
            </x14:dxf>
          </x14:cfRule>
          <xm:sqref>AR129:BD129</xm:sqref>
        </x14:conditionalFormatting>
        <x14:conditionalFormatting xmlns:xm="http://schemas.microsoft.com/office/excel/2006/main">
          <x14:cfRule type="expression" priority="4697746" id="{5EE2823B-E955-4EA7-B99C-0B1F77B57A69}">
            <xm:f>$AT$4='Data entry'!$R47</xm:f>
            <x14:dxf>
              <fill>
                <patternFill>
                  <bgColor rgb="FFFFFF00"/>
                </patternFill>
              </fill>
            </x14:dxf>
          </x14:cfRule>
          <xm:sqref>AF128:AT128</xm:sqref>
        </x14:conditionalFormatting>
        <x14:conditionalFormatting xmlns:xm="http://schemas.microsoft.com/office/excel/2006/main">
          <x14:cfRule type="expression" priority="4697747" id="{5737DC63-3262-4B34-900C-2AAEB255FCBA}">
            <xm:f>$AU$4='Data entry'!$R47</xm:f>
            <x14:dxf>
              <fill>
                <patternFill>
                  <bgColor rgb="FFFF0000"/>
                </patternFill>
              </fill>
            </x14:dxf>
          </x14:cfRule>
          <xm:sqref>AS129:BE129</xm:sqref>
        </x14:conditionalFormatting>
        <x14:conditionalFormatting xmlns:xm="http://schemas.microsoft.com/office/excel/2006/main">
          <x14:cfRule type="expression" priority="4697748" id="{2B5C1F1B-3C3D-4CA3-BC64-0E98422075B6}">
            <xm:f>$AU$4='Data entry'!$R47</xm:f>
            <x14:dxf>
              <fill>
                <patternFill>
                  <bgColor rgb="FFFFFF00"/>
                </patternFill>
              </fill>
            </x14:dxf>
          </x14:cfRule>
          <xm:sqref>AG128:AU128</xm:sqref>
        </x14:conditionalFormatting>
        <x14:conditionalFormatting xmlns:xm="http://schemas.microsoft.com/office/excel/2006/main">
          <x14:cfRule type="expression" priority="4697749" id="{B87A1285-B003-4855-8F4B-53C391BA10E6}">
            <xm:f>$AV$4='Data entry'!$R47</xm:f>
            <x14:dxf>
              <fill>
                <patternFill>
                  <bgColor rgb="FFFF0000"/>
                </patternFill>
              </fill>
            </x14:dxf>
          </x14:cfRule>
          <xm:sqref>AT129:BF129</xm:sqref>
        </x14:conditionalFormatting>
        <x14:conditionalFormatting xmlns:xm="http://schemas.microsoft.com/office/excel/2006/main">
          <x14:cfRule type="expression" priority="4697750" id="{338EE31C-78DB-4818-B837-0380F9E457FA}">
            <xm:f>$AV$4='Data entry'!$R47</xm:f>
            <x14:dxf>
              <fill>
                <patternFill>
                  <bgColor rgb="FFFFFF00"/>
                </patternFill>
              </fill>
            </x14:dxf>
          </x14:cfRule>
          <xm:sqref>AH128:AV128</xm:sqref>
        </x14:conditionalFormatting>
        <x14:conditionalFormatting xmlns:xm="http://schemas.microsoft.com/office/excel/2006/main">
          <x14:cfRule type="expression" priority="4697751" id="{5C40EA66-2801-4C91-B885-BF6A1ECFC35C}">
            <xm:f>$AW$4='Data entry'!$R47</xm:f>
            <x14:dxf>
              <fill>
                <patternFill>
                  <bgColor rgb="FFFF0000"/>
                </patternFill>
              </fill>
            </x14:dxf>
          </x14:cfRule>
          <xm:sqref>AU129:BG129</xm:sqref>
        </x14:conditionalFormatting>
        <x14:conditionalFormatting xmlns:xm="http://schemas.microsoft.com/office/excel/2006/main">
          <x14:cfRule type="expression" priority="4697752" id="{51BCD5CE-DF86-4C2F-8A81-DDA1EFD6C8F7}">
            <xm:f>$AW$4='Data entry'!$R47</xm:f>
            <x14:dxf>
              <fill>
                <patternFill>
                  <bgColor rgb="FFFFFF00"/>
                </patternFill>
              </fill>
            </x14:dxf>
          </x14:cfRule>
          <xm:sqref>AI128:AW128</xm:sqref>
        </x14:conditionalFormatting>
        <x14:conditionalFormatting xmlns:xm="http://schemas.microsoft.com/office/excel/2006/main">
          <x14:cfRule type="expression" priority="4697753" id="{DC2ED5A0-8917-4877-8CD3-9DF9BE5993C9}">
            <xm:f>$AX$4='Data entry'!$R47</xm:f>
            <x14:dxf>
              <fill>
                <patternFill>
                  <bgColor rgb="FFFF0000"/>
                </patternFill>
              </fill>
            </x14:dxf>
          </x14:cfRule>
          <xm:sqref>AV129:BH129</xm:sqref>
        </x14:conditionalFormatting>
        <x14:conditionalFormatting xmlns:xm="http://schemas.microsoft.com/office/excel/2006/main">
          <x14:cfRule type="expression" priority="4697754" id="{59B31869-20F9-45BD-BC80-0A6C8945CE2C}">
            <xm:f>$AX$4='Data entry'!$R47</xm:f>
            <x14:dxf>
              <fill>
                <patternFill>
                  <bgColor rgb="FFFFFF00"/>
                </patternFill>
              </fill>
            </x14:dxf>
          </x14:cfRule>
          <xm:sqref>AJ128:AX128</xm:sqref>
        </x14:conditionalFormatting>
        <x14:conditionalFormatting xmlns:xm="http://schemas.microsoft.com/office/excel/2006/main">
          <x14:cfRule type="expression" priority="4697755" id="{D4208FA0-4262-4037-934C-6D0742B2AD8E}">
            <xm:f>$AY$4='Data entry'!$R47</xm:f>
            <x14:dxf>
              <fill>
                <patternFill>
                  <bgColor rgb="FFFF0000"/>
                </patternFill>
              </fill>
            </x14:dxf>
          </x14:cfRule>
          <xm:sqref>AW129:BI129</xm:sqref>
        </x14:conditionalFormatting>
        <x14:conditionalFormatting xmlns:xm="http://schemas.microsoft.com/office/excel/2006/main">
          <x14:cfRule type="expression" priority="4697756" id="{04D6E423-18C7-42B2-A67D-F49D8E62B571}">
            <xm:f>$AY$4='Data entry'!$R47</xm:f>
            <x14:dxf>
              <fill>
                <patternFill>
                  <bgColor rgb="FFFFFF00"/>
                </patternFill>
              </fill>
            </x14:dxf>
          </x14:cfRule>
          <xm:sqref>AK128:AY128</xm:sqref>
        </x14:conditionalFormatting>
        <x14:conditionalFormatting xmlns:xm="http://schemas.microsoft.com/office/excel/2006/main">
          <x14:cfRule type="expression" priority="4697757" id="{A931C203-6E4B-4EBD-A2F4-1876881F48D4}">
            <xm:f>$AZ$4='Data entry'!$R47</xm:f>
            <x14:dxf>
              <fill>
                <patternFill>
                  <bgColor rgb="FFFF0000"/>
                </patternFill>
              </fill>
            </x14:dxf>
          </x14:cfRule>
          <xm:sqref>AX129:BJ129</xm:sqref>
        </x14:conditionalFormatting>
        <x14:conditionalFormatting xmlns:xm="http://schemas.microsoft.com/office/excel/2006/main">
          <x14:cfRule type="expression" priority="4697758" id="{092D9100-E652-40FE-8CAA-720DC0681250}">
            <xm:f>$AZ$4='Data entry'!$R47</xm:f>
            <x14:dxf>
              <fill>
                <patternFill>
                  <bgColor rgb="FFFFFF00"/>
                </patternFill>
              </fill>
            </x14:dxf>
          </x14:cfRule>
          <xm:sqref>AL128:AZ128</xm:sqref>
        </x14:conditionalFormatting>
        <x14:conditionalFormatting xmlns:xm="http://schemas.microsoft.com/office/excel/2006/main">
          <x14:cfRule type="expression" priority="4697759" id="{A3C7E6BE-A225-483C-A983-A915DB662C52}">
            <xm:f>$BA$4='Data entry'!$R47</xm:f>
            <x14:dxf>
              <fill>
                <patternFill>
                  <bgColor rgb="FFFF0000"/>
                </patternFill>
              </fill>
            </x14:dxf>
          </x14:cfRule>
          <xm:sqref>AY129:BK129</xm:sqref>
        </x14:conditionalFormatting>
        <x14:conditionalFormatting xmlns:xm="http://schemas.microsoft.com/office/excel/2006/main">
          <x14:cfRule type="expression" priority="4697760" id="{F5CF569A-8AFA-4CFF-8BD3-F04D8927A99F}">
            <xm:f>$BA$4='Data entry'!$R47</xm:f>
            <x14:dxf>
              <fill>
                <patternFill>
                  <bgColor rgb="FFFFFF00"/>
                </patternFill>
              </fill>
            </x14:dxf>
          </x14:cfRule>
          <xm:sqref>AM128:BA128</xm:sqref>
        </x14:conditionalFormatting>
        <x14:conditionalFormatting xmlns:xm="http://schemas.microsoft.com/office/excel/2006/main">
          <x14:cfRule type="expression" priority="4697761" id="{E4DAC94A-7983-4BFB-A87B-45B58561841A}">
            <xm:f>$BB$4='Data entry'!$R47</xm:f>
            <x14:dxf>
              <fill>
                <patternFill>
                  <bgColor rgb="FFFF0000"/>
                </patternFill>
              </fill>
            </x14:dxf>
          </x14:cfRule>
          <xm:sqref>AZ129:BL129</xm:sqref>
        </x14:conditionalFormatting>
        <x14:conditionalFormatting xmlns:xm="http://schemas.microsoft.com/office/excel/2006/main">
          <x14:cfRule type="expression" priority="4697762" id="{E63849C5-F39B-4B0E-8F8A-B532EDF2CBAE}">
            <xm:f>$BB$4='Data entry'!$R47</xm:f>
            <x14:dxf>
              <fill>
                <patternFill>
                  <bgColor rgb="FFFFFF00"/>
                </patternFill>
              </fill>
            </x14:dxf>
          </x14:cfRule>
          <xm:sqref>AN128:BB128</xm:sqref>
        </x14:conditionalFormatting>
        <x14:conditionalFormatting xmlns:xm="http://schemas.microsoft.com/office/excel/2006/main">
          <x14:cfRule type="expression" priority="4697763" id="{4FDC32D3-C1F5-455D-9AA4-A03359B72526}">
            <xm:f>$BC$4='Data entry'!$R47</xm:f>
            <x14:dxf>
              <fill>
                <patternFill>
                  <bgColor rgb="FFFF0000"/>
                </patternFill>
              </fill>
            </x14:dxf>
          </x14:cfRule>
          <xm:sqref>BA129:BM129</xm:sqref>
        </x14:conditionalFormatting>
        <x14:conditionalFormatting xmlns:xm="http://schemas.microsoft.com/office/excel/2006/main">
          <x14:cfRule type="expression" priority="4697764" id="{5F0D0C60-B233-4C56-B05D-98C99990877F}">
            <xm:f>$BC$4='Data entry'!$R47</xm:f>
            <x14:dxf>
              <fill>
                <patternFill>
                  <bgColor rgb="FFFFFF00"/>
                </patternFill>
              </fill>
            </x14:dxf>
          </x14:cfRule>
          <xm:sqref>AO128:BC128</xm:sqref>
        </x14:conditionalFormatting>
        <x14:conditionalFormatting xmlns:xm="http://schemas.microsoft.com/office/excel/2006/main">
          <x14:cfRule type="expression" priority="4697765" id="{9EBCB60F-8135-43B6-A0F3-548D4092CC98}">
            <xm:f>$BD$4='Data entry'!$R47</xm:f>
            <x14:dxf>
              <fill>
                <patternFill>
                  <bgColor rgb="FFFF0000"/>
                </patternFill>
              </fill>
            </x14:dxf>
          </x14:cfRule>
          <xm:sqref>BB129:BN129</xm:sqref>
        </x14:conditionalFormatting>
        <x14:conditionalFormatting xmlns:xm="http://schemas.microsoft.com/office/excel/2006/main">
          <x14:cfRule type="expression" priority="4697766" id="{961AF346-4A73-41ED-9A8D-27D431B09C05}">
            <xm:f>$BD$4='Data entry'!$R47</xm:f>
            <x14:dxf>
              <fill>
                <patternFill>
                  <bgColor rgb="FFFFFF00"/>
                </patternFill>
              </fill>
            </x14:dxf>
          </x14:cfRule>
          <xm:sqref>AP128:BD128</xm:sqref>
        </x14:conditionalFormatting>
        <x14:conditionalFormatting xmlns:xm="http://schemas.microsoft.com/office/excel/2006/main">
          <x14:cfRule type="expression" priority="4697767" id="{5A887026-27CD-4F8C-8BA6-1E92704C1CA6}">
            <xm:f>$BE$4='Data entry'!$R47</xm:f>
            <x14:dxf>
              <fill>
                <patternFill>
                  <bgColor rgb="FFFF0000"/>
                </patternFill>
              </fill>
            </x14:dxf>
          </x14:cfRule>
          <xm:sqref>BC129:BO129</xm:sqref>
        </x14:conditionalFormatting>
        <x14:conditionalFormatting xmlns:xm="http://schemas.microsoft.com/office/excel/2006/main">
          <x14:cfRule type="expression" priority="4697768" id="{7F46217B-A1E9-4515-B31E-E756FCD7C6D9}">
            <xm:f>$BE$4='Data entry'!$R47</xm:f>
            <x14:dxf>
              <fill>
                <patternFill>
                  <bgColor rgb="FFFFFF00"/>
                </patternFill>
              </fill>
            </x14:dxf>
          </x14:cfRule>
          <xm:sqref>AP128:BE128</xm:sqref>
        </x14:conditionalFormatting>
        <x14:conditionalFormatting xmlns:xm="http://schemas.microsoft.com/office/excel/2006/main">
          <x14:cfRule type="expression" priority="4697769" id="{F4D9285C-8CA0-4EF1-943E-6A462D47CC77}">
            <xm:f>$BF$4='Data entry'!$R47</xm:f>
            <x14:dxf>
              <fill>
                <patternFill>
                  <bgColor rgb="FFFF0000"/>
                </patternFill>
              </fill>
            </x14:dxf>
          </x14:cfRule>
          <xm:sqref>BD129:BP129</xm:sqref>
        </x14:conditionalFormatting>
        <x14:conditionalFormatting xmlns:xm="http://schemas.microsoft.com/office/excel/2006/main">
          <x14:cfRule type="expression" priority="4697770" id="{B9E4407D-651D-4DC0-9D61-3271D62A65E9}">
            <xm:f>$BF$4='Data entry'!$R47</xm:f>
            <x14:dxf>
              <fill>
                <patternFill>
                  <bgColor rgb="FFFFFF00"/>
                </patternFill>
              </fill>
            </x14:dxf>
          </x14:cfRule>
          <xm:sqref>AR128:BF128</xm:sqref>
        </x14:conditionalFormatting>
        <x14:conditionalFormatting xmlns:xm="http://schemas.microsoft.com/office/excel/2006/main">
          <x14:cfRule type="expression" priority="4697771" id="{4CDC062F-DDFF-4556-B941-08F919727F69}">
            <xm:f>$BG$4='Data entry'!$R47</xm:f>
            <x14:dxf>
              <fill>
                <patternFill>
                  <bgColor rgb="FFFF0000"/>
                </patternFill>
              </fill>
            </x14:dxf>
          </x14:cfRule>
          <xm:sqref>BE129:BQ129</xm:sqref>
        </x14:conditionalFormatting>
        <x14:conditionalFormatting xmlns:xm="http://schemas.microsoft.com/office/excel/2006/main">
          <x14:cfRule type="expression" priority="4697772" id="{789184FA-9055-433B-8A1B-92C7ED59E81F}">
            <xm:f>$BG$4='Data entry'!$R47</xm:f>
            <x14:dxf>
              <fill>
                <patternFill>
                  <bgColor rgb="FFFFFF00"/>
                </patternFill>
              </fill>
            </x14:dxf>
          </x14:cfRule>
          <xm:sqref>AS128:BG128</xm:sqref>
        </x14:conditionalFormatting>
        <x14:conditionalFormatting xmlns:xm="http://schemas.microsoft.com/office/excel/2006/main">
          <x14:cfRule type="expression" priority="4697773" id="{58651E5C-09C9-46C1-B95C-E8A578A49E15}">
            <xm:f>$BH$4='Data entry'!$R47</xm:f>
            <x14:dxf>
              <fill>
                <patternFill>
                  <bgColor rgb="FFFFFF00"/>
                </patternFill>
              </fill>
            </x14:dxf>
          </x14:cfRule>
          <xm:sqref>AT128:BH128</xm:sqref>
        </x14:conditionalFormatting>
        <x14:conditionalFormatting xmlns:xm="http://schemas.microsoft.com/office/excel/2006/main">
          <x14:cfRule type="expression" priority="4697774" id="{97B30B86-8311-4DC0-A533-8C0D53F37839}">
            <xm:f>$BH$4='Data entry'!$R47</xm:f>
            <x14:dxf>
              <fill>
                <patternFill>
                  <bgColor rgb="FFFF0000"/>
                </patternFill>
              </fill>
            </x14:dxf>
          </x14:cfRule>
          <xm:sqref>BF129:BR129</xm:sqref>
        </x14:conditionalFormatting>
        <x14:conditionalFormatting xmlns:xm="http://schemas.microsoft.com/office/excel/2006/main">
          <x14:cfRule type="expression" priority="4697775" id="{78344C0C-5AEA-40B1-A20C-6D77DF58E1F5}">
            <xm:f>$BI$4='Data entry'!$R47</xm:f>
            <x14:dxf>
              <fill>
                <patternFill>
                  <bgColor rgb="FFFFFF00"/>
                </patternFill>
              </fill>
            </x14:dxf>
          </x14:cfRule>
          <xm:sqref>AU128:BI128</xm:sqref>
        </x14:conditionalFormatting>
        <x14:conditionalFormatting xmlns:xm="http://schemas.microsoft.com/office/excel/2006/main">
          <x14:cfRule type="expression" priority="4697776" id="{A9CE044F-482E-4F25-B28F-89ACC58502B1}">
            <xm:f>$BI$4='Data entry'!$R47</xm:f>
            <x14:dxf>
              <fill>
                <patternFill>
                  <bgColor rgb="FFFF0000"/>
                </patternFill>
              </fill>
            </x14:dxf>
          </x14:cfRule>
          <xm:sqref>BG129:BS129</xm:sqref>
        </x14:conditionalFormatting>
        <x14:conditionalFormatting xmlns:xm="http://schemas.microsoft.com/office/excel/2006/main">
          <x14:cfRule type="expression" priority="4697777" id="{F63BE0EB-3C71-4456-BEF0-11180AB7A8BB}">
            <xm:f>$BJ$4='Data entry'!$R47</xm:f>
            <x14:dxf>
              <fill>
                <patternFill>
                  <bgColor rgb="FFFFFF00"/>
                </patternFill>
              </fill>
            </x14:dxf>
          </x14:cfRule>
          <xm:sqref>AV128:BJ128</xm:sqref>
        </x14:conditionalFormatting>
        <x14:conditionalFormatting xmlns:xm="http://schemas.microsoft.com/office/excel/2006/main">
          <x14:cfRule type="expression" priority="4697778" id="{478A5DCB-1DAA-4497-A6CC-B4F01FB96D10}">
            <xm:f>$BJ$4='Data entry'!$R47</xm:f>
            <x14:dxf>
              <fill>
                <patternFill>
                  <bgColor rgb="FFFF0000"/>
                </patternFill>
              </fill>
            </x14:dxf>
          </x14:cfRule>
          <xm:sqref>BH129:BT129</xm:sqref>
        </x14:conditionalFormatting>
        <x14:conditionalFormatting xmlns:xm="http://schemas.microsoft.com/office/excel/2006/main">
          <x14:cfRule type="expression" priority="4697779" id="{CDE4AD5B-65A6-4FA4-9EC0-8D05F22312A9}">
            <xm:f>$BK$4='Data entry'!$R47</xm:f>
            <x14:dxf>
              <fill>
                <patternFill>
                  <bgColor rgb="FFFF0000"/>
                </patternFill>
              </fill>
            </x14:dxf>
          </x14:cfRule>
          <xm:sqref>BI129:BU129</xm:sqref>
        </x14:conditionalFormatting>
        <x14:conditionalFormatting xmlns:xm="http://schemas.microsoft.com/office/excel/2006/main">
          <x14:cfRule type="expression" priority="4697780" id="{AB32E790-6CD8-4D11-9A69-57D785FE4BBC}">
            <xm:f>$BK$4='Data entry'!$R47</xm:f>
            <x14:dxf>
              <fill>
                <patternFill>
                  <bgColor rgb="FFFFFF00"/>
                </patternFill>
              </fill>
            </x14:dxf>
          </x14:cfRule>
          <xm:sqref>AW128:BK128</xm:sqref>
        </x14:conditionalFormatting>
        <x14:conditionalFormatting xmlns:xm="http://schemas.microsoft.com/office/excel/2006/main">
          <x14:cfRule type="expression" priority="4697781" id="{99810EB9-805C-43D8-852A-EEECE7874CDB}">
            <xm:f>$BL$4='Data entry'!$R47</xm:f>
            <x14:dxf>
              <fill>
                <patternFill>
                  <bgColor rgb="FFFF0000"/>
                </patternFill>
              </fill>
            </x14:dxf>
          </x14:cfRule>
          <xm:sqref>BJ129:BV129</xm:sqref>
        </x14:conditionalFormatting>
        <x14:conditionalFormatting xmlns:xm="http://schemas.microsoft.com/office/excel/2006/main">
          <x14:cfRule type="expression" priority="4697782" id="{BF5F5475-4E46-479C-97A6-D5175F5D1803}">
            <xm:f>$BL$4='Data entry'!$R47</xm:f>
            <x14:dxf>
              <fill>
                <patternFill>
                  <bgColor rgb="FFFFFF00"/>
                </patternFill>
              </fill>
            </x14:dxf>
          </x14:cfRule>
          <xm:sqref>AX128:BL128</xm:sqref>
        </x14:conditionalFormatting>
        <x14:conditionalFormatting xmlns:xm="http://schemas.microsoft.com/office/excel/2006/main">
          <x14:cfRule type="expression" priority="4697783" id="{B86FDF2F-16C9-46B1-847E-7EA1A8A34B9D}">
            <xm:f>$BM$4='Data entry'!$R47</xm:f>
            <x14:dxf>
              <fill>
                <patternFill>
                  <bgColor rgb="FFFF0000"/>
                </patternFill>
              </fill>
            </x14:dxf>
          </x14:cfRule>
          <xm:sqref>BK129:BW129</xm:sqref>
        </x14:conditionalFormatting>
        <x14:conditionalFormatting xmlns:xm="http://schemas.microsoft.com/office/excel/2006/main">
          <x14:cfRule type="expression" priority="4697784" id="{72FD189F-4CED-400D-9FEF-21A328970A4D}">
            <xm:f>$BM$4='Data entry'!$R47</xm:f>
            <x14:dxf>
              <fill>
                <patternFill>
                  <bgColor rgb="FFFFFF00"/>
                </patternFill>
              </fill>
            </x14:dxf>
          </x14:cfRule>
          <xm:sqref>AY128:BM128</xm:sqref>
        </x14:conditionalFormatting>
        <x14:conditionalFormatting xmlns:xm="http://schemas.microsoft.com/office/excel/2006/main">
          <x14:cfRule type="expression" priority="4697785" id="{BBBBF859-D5A7-4F55-BFBF-8A77E3357590}">
            <xm:f>$BN$4='Data entry'!$R47</xm:f>
            <x14:dxf>
              <fill>
                <patternFill>
                  <bgColor rgb="FFFF0000"/>
                </patternFill>
              </fill>
            </x14:dxf>
          </x14:cfRule>
          <xm:sqref>BL129:BX129</xm:sqref>
        </x14:conditionalFormatting>
        <x14:conditionalFormatting xmlns:xm="http://schemas.microsoft.com/office/excel/2006/main">
          <x14:cfRule type="expression" priority="4697786" id="{50CB1D75-0FD5-4D24-92B1-E8A41DC6575C}">
            <xm:f>$BN$4='Data entry'!$R47</xm:f>
            <x14:dxf>
              <fill>
                <patternFill>
                  <bgColor rgb="FFFFFF00"/>
                </patternFill>
              </fill>
            </x14:dxf>
          </x14:cfRule>
          <xm:sqref>AZ128:BN128</xm:sqref>
        </x14:conditionalFormatting>
        <x14:conditionalFormatting xmlns:xm="http://schemas.microsoft.com/office/excel/2006/main">
          <x14:cfRule type="expression" priority="4697787" id="{9EF3226D-E8FC-496B-A6FF-71776AEA54D1}">
            <xm:f>$BO$4='Data entry'!$R47</xm:f>
            <x14:dxf>
              <fill>
                <patternFill>
                  <bgColor rgb="FFFF0000"/>
                </patternFill>
              </fill>
            </x14:dxf>
          </x14:cfRule>
          <xm:sqref>BM129:BY129</xm:sqref>
        </x14:conditionalFormatting>
        <x14:conditionalFormatting xmlns:xm="http://schemas.microsoft.com/office/excel/2006/main">
          <x14:cfRule type="expression" priority="4697788" id="{3B86C801-ECFE-4D05-8AA5-1581116BAFBC}">
            <xm:f>$BO$4='Data entry'!$R47</xm:f>
            <x14:dxf>
              <fill>
                <patternFill>
                  <bgColor rgb="FFFFFF00"/>
                </patternFill>
              </fill>
            </x14:dxf>
          </x14:cfRule>
          <xm:sqref>BA128:BO128</xm:sqref>
        </x14:conditionalFormatting>
        <x14:conditionalFormatting xmlns:xm="http://schemas.microsoft.com/office/excel/2006/main">
          <x14:cfRule type="expression" priority="4697789" id="{058A23EC-3371-4A02-9F20-1ECA603AC6BC}">
            <xm:f>$BP$4='Data entry'!$R47</xm:f>
            <x14:dxf>
              <fill>
                <patternFill>
                  <bgColor rgb="FFFF0000"/>
                </patternFill>
              </fill>
            </x14:dxf>
          </x14:cfRule>
          <xm:sqref>BN129:BZ129</xm:sqref>
        </x14:conditionalFormatting>
        <x14:conditionalFormatting xmlns:xm="http://schemas.microsoft.com/office/excel/2006/main">
          <x14:cfRule type="expression" priority="4697790" id="{3E711E31-3992-4555-AB22-87133D60CD15}">
            <xm:f>$BP$4='Data entry'!$R47</xm:f>
            <x14:dxf>
              <fill>
                <patternFill>
                  <bgColor rgb="FFFFFF00"/>
                </patternFill>
              </fill>
            </x14:dxf>
          </x14:cfRule>
          <xm:sqref>BB128:BP128</xm:sqref>
        </x14:conditionalFormatting>
        <x14:conditionalFormatting xmlns:xm="http://schemas.microsoft.com/office/excel/2006/main">
          <x14:cfRule type="expression" priority="4697791" id="{23E9F8B9-37D5-4730-9453-6F23E8ECBBE3}">
            <xm:f>$BQ$4='Data entry'!$R47</xm:f>
            <x14:dxf>
              <fill>
                <patternFill>
                  <bgColor rgb="FFFFFF00"/>
                </patternFill>
              </fill>
            </x14:dxf>
          </x14:cfRule>
          <xm:sqref>BC128:BQ128</xm:sqref>
        </x14:conditionalFormatting>
        <x14:conditionalFormatting xmlns:xm="http://schemas.microsoft.com/office/excel/2006/main">
          <x14:cfRule type="expression" priority="4697792" id="{BCFD92F6-AAD3-44FD-BC61-A292A81B883E}">
            <xm:f>$BQ$4='Data entry'!$R47</xm:f>
            <x14:dxf>
              <fill>
                <patternFill>
                  <bgColor rgb="FFFF0000"/>
                </patternFill>
              </fill>
            </x14:dxf>
          </x14:cfRule>
          <xm:sqref>BO129:CA129</xm:sqref>
        </x14:conditionalFormatting>
        <x14:conditionalFormatting xmlns:xm="http://schemas.microsoft.com/office/excel/2006/main">
          <x14:cfRule type="expression" priority="4697793" id="{357D60E5-F356-477E-8020-A18F42C02832}">
            <xm:f>$BR$4='Data entry'!$R47</xm:f>
            <x14:dxf>
              <fill>
                <patternFill>
                  <bgColor rgb="FFFFFF00"/>
                </patternFill>
              </fill>
            </x14:dxf>
          </x14:cfRule>
          <xm:sqref>BD128:BR128</xm:sqref>
        </x14:conditionalFormatting>
        <x14:conditionalFormatting xmlns:xm="http://schemas.microsoft.com/office/excel/2006/main">
          <x14:cfRule type="expression" priority="4697794" id="{DA2B6511-43B3-432D-B6AA-1DB1188B90A6}">
            <xm:f>$BR$4='Data entry'!$R47</xm:f>
            <x14:dxf>
              <fill>
                <patternFill>
                  <bgColor rgb="FFFF0000"/>
                </patternFill>
              </fill>
            </x14:dxf>
          </x14:cfRule>
          <xm:sqref>BP129:CB129</xm:sqref>
        </x14:conditionalFormatting>
        <x14:conditionalFormatting xmlns:xm="http://schemas.microsoft.com/office/excel/2006/main">
          <x14:cfRule type="expression" priority="4697795" id="{0D5F64E4-4136-4BFA-B833-CC8578525D9C}">
            <xm:f>$BS$4='Data entry'!$R47</xm:f>
            <x14:dxf>
              <fill>
                <patternFill>
                  <bgColor rgb="FFFFFF00"/>
                </patternFill>
              </fill>
            </x14:dxf>
          </x14:cfRule>
          <xm:sqref>BE128:BS128</xm:sqref>
        </x14:conditionalFormatting>
        <x14:conditionalFormatting xmlns:xm="http://schemas.microsoft.com/office/excel/2006/main">
          <x14:cfRule type="expression" priority="4697796" id="{AC94D468-F078-4AE2-8771-102996E07B09}">
            <xm:f>$BS$4='Data entry'!$R47</xm:f>
            <x14:dxf>
              <fill>
                <patternFill>
                  <bgColor rgb="FFFF0000"/>
                </patternFill>
              </fill>
            </x14:dxf>
          </x14:cfRule>
          <xm:sqref>BQ129:CC129</xm:sqref>
        </x14:conditionalFormatting>
        <x14:conditionalFormatting xmlns:xm="http://schemas.microsoft.com/office/excel/2006/main">
          <x14:cfRule type="expression" priority="4697797" id="{10E78F76-181E-4F19-9F89-7DD36D3EFE30}">
            <xm:f>$BT$4='Data entry'!$R47</xm:f>
            <x14:dxf>
              <fill>
                <patternFill>
                  <bgColor rgb="FFFFFF00"/>
                </patternFill>
              </fill>
            </x14:dxf>
          </x14:cfRule>
          <xm:sqref>BF128:BT128</xm:sqref>
        </x14:conditionalFormatting>
        <x14:conditionalFormatting xmlns:xm="http://schemas.microsoft.com/office/excel/2006/main">
          <x14:cfRule type="expression" priority="4697798" id="{6A5FADC6-9512-4EFB-90A5-7B5244D10D1F}">
            <xm:f>$BT$4='Data entry'!$R47</xm:f>
            <x14:dxf>
              <fill>
                <patternFill>
                  <bgColor rgb="FFFF0000"/>
                </patternFill>
              </fill>
            </x14:dxf>
          </x14:cfRule>
          <xm:sqref>BR129:CC129</xm:sqref>
        </x14:conditionalFormatting>
        <x14:conditionalFormatting xmlns:xm="http://schemas.microsoft.com/office/excel/2006/main">
          <x14:cfRule type="expression" priority="4697799" id="{A51139D1-8841-4B96-B8CB-DFE3808765CF}">
            <xm:f>$BU$4='Data entry'!$R47</xm:f>
            <x14:dxf>
              <fill>
                <patternFill>
                  <bgColor rgb="FFFFFF00"/>
                </patternFill>
              </fill>
            </x14:dxf>
          </x14:cfRule>
          <xm:sqref>BG128:BU128</xm:sqref>
        </x14:conditionalFormatting>
        <x14:conditionalFormatting xmlns:xm="http://schemas.microsoft.com/office/excel/2006/main">
          <x14:cfRule type="expression" priority="4697800" id="{55CA7258-760F-4BFF-ACB5-A70FEB3E7981}">
            <xm:f>$BU$4='Data entry'!$R47</xm:f>
            <x14:dxf>
              <fill>
                <patternFill>
                  <bgColor rgb="FFFF0000"/>
                </patternFill>
              </fill>
            </x14:dxf>
          </x14:cfRule>
          <xm:sqref>BS129:CC129</xm:sqref>
        </x14:conditionalFormatting>
        <x14:conditionalFormatting xmlns:xm="http://schemas.microsoft.com/office/excel/2006/main">
          <x14:cfRule type="expression" priority="4697801" id="{A922B218-64DB-4CBB-9AB8-FE0EBB44E09E}">
            <xm:f>$BV$4='Data entry'!$R47</xm:f>
            <x14:dxf>
              <fill>
                <patternFill>
                  <bgColor rgb="FFFFFF00"/>
                </patternFill>
              </fill>
            </x14:dxf>
          </x14:cfRule>
          <xm:sqref>BH128:BV128</xm:sqref>
        </x14:conditionalFormatting>
        <x14:conditionalFormatting xmlns:xm="http://schemas.microsoft.com/office/excel/2006/main">
          <x14:cfRule type="expression" priority="4697802" id="{C98E908A-CD31-4778-B41C-7AFB9DBE639A}">
            <xm:f>$BV$4='Data entry'!$R47</xm:f>
            <x14:dxf>
              <fill>
                <patternFill>
                  <bgColor rgb="FFFF0000"/>
                </patternFill>
              </fill>
            </x14:dxf>
          </x14:cfRule>
          <xm:sqref>BT129:CC129</xm:sqref>
        </x14:conditionalFormatting>
        <x14:conditionalFormatting xmlns:xm="http://schemas.microsoft.com/office/excel/2006/main">
          <x14:cfRule type="expression" priority="4697803" id="{465CCCA3-B4DB-4B61-8AC7-8A5E4CEC9E3F}">
            <xm:f>$BW$4='Data entry'!$R47</xm:f>
            <x14:dxf>
              <fill>
                <patternFill>
                  <bgColor rgb="FFFFFF00"/>
                </patternFill>
              </fill>
            </x14:dxf>
          </x14:cfRule>
          <xm:sqref>BI128:BW128</xm:sqref>
        </x14:conditionalFormatting>
        <x14:conditionalFormatting xmlns:xm="http://schemas.microsoft.com/office/excel/2006/main">
          <x14:cfRule type="expression" priority="4697804" id="{37566F97-6D06-400B-A709-FE657B07687F}">
            <xm:f>$BW$4='Data entry'!$R47</xm:f>
            <x14:dxf>
              <fill>
                <patternFill>
                  <bgColor rgb="FFFF0000"/>
                </patternFill>
              </fill>
            </x14:dxf>
          </x14:cfRule>
          <xm:sqref>BU129:CC129</xm:sqref>
        </x14:conditionalFormatting>
        <x14:conditionalFormatting xmlns:xm="http://schemas.microsoft.com/office/excel/2006/main">
          <x14:cfRule type="expression" priority="4697805" id="{D8FBA3AC-5CF0-4E45-97CA-1D4DEE729ADA}">
            <xm:f>$BX$4='Data entry'!$R47</xm:f>
            <x14:dxf>
              <fill>
                <patternFill>
                  <bgColor rgb="FFFFFF00"/>
                </patternFill>
              </fill>
            </x14:dxf>
          </x14:cfRule>
          <xm:sqref>BJ128:BX128</xm:sqref>
        </x14:conditionalFormatting>
        <x14:conditionalFormatting xmlns:xm="http://schemas.microsoft.com/office/excel/2006/main">
          <x14:cfRule type="expression" priority="4697806" id="{E077C84B-A94F-431D-B232-4AFCC7C64F54}">
            <xm:f>$BX$4='Data entry'!$R47</xm:f>
            <x14:dxf>
              <fill>
                <patternFill>
                  <bgColor rgb="FFFF0000"/>
                </patternFill>
              </fill>
            </x14:dxf>
          </x14:cfRule>
          <xm:sqref>BV129:CC129</xm:sqref>
        </x14:conditionalFormatting>
        <x14:conditionalFormatting xmlns:xm="http://schemas.microsoft.com/office/excel/2006/main">
          <x14:cfRule type="expression" priority="4697807" id="{63783BA8-0C97-4A44-86FD-7A2BCF1B9957}">
            <xm:f>$BY$4='Data entry'!$R47</xm:f>
            <x14:dxf>
              <fill>
                <patternFill>
                  <bgColor rgb="FFFFFF00"/>
                </patternFill>
              </fill>
            </x14:dxf>
          </x14:cfRule>
          <xm:sqref>BK128:BY128</xm:sqref>
        </x14:conditionalFormatting>
        <x14:conditionalFormatting xmlns:xm="http://schemas.microsoft.com/office/excel/2006/main">
          <x14:cfRule type="expression" priority="4697808" id="{BB8DB8B4-B71B-46D2-AEE7-346F16103F74}">
            <xm:f>$BY$4='Data entry'!$R47</xm:f>
            <x14:dxf>
              <fill>
                <patternFill>
                  <bgColor rgb="FFFF0000"/>
                </patternFill>
              </fill>
            </x14:dxf>
          </x14:cfRule>
          <xm:sqref>BW129:CC129</xm:sqref>
        </x14:conditionalFormatting>
        <x14:conditionalFormatting xmlns:xm="http://schemas.microsoft.com/office/excel/2006/main">
          <x14:cfRule type="expression" priority="4697809" id="{1B638B98-2B06-4FEB-90C1-446A3E0A3979}">
            <xm:f>$BZ$4='Data entry'!$R47</xm:f>
            <x14:dxf>
              <fill>
                <patternFill>
                  <bgColor rgb="FFFFFF00"/>
                </patternFill>
              </fill>
            </x14:dxf>
          </x14:cfRule>
          <xm:sqref>BL128:BZ128</xm:sqref>
        </x14:conditionalFormatting>
        <x14:conditionalFormatting xmlns:xm="http://schemas.microsoft.com/office/excel/2006/main">
          <x14:cfRule type="expression" priority="4697810" id="{D3A0A2F8-D1B2-4DC5-B2A9-0EF53074E685}">
            <xm:f>$BZ$4='Data entry'!$R47</xm:f>
            <x14:dxf>
              <fill>
                <patternFill>
                  <bgColor rgb="FFFF0000"/>
                </patternFill>
              </fill>
            </x14:dxf>
          </x14:cfRule>
          <xm:sqref>BX129:CC129</xm:sqref>
        </x14:conditionalFormatting>
        <x14:conditionalFormatting xmlns:xm="http://schemas.microsoft.com/office/excel/2006/main">
          <x14:cfRule type="expression" priority="4697811" id="{83F6D018-7D3B-4D33-9998-11572F2F2FF5}">
            <xm:f>$CA$4='Data entry'!$R47</xm:f>
            <x14:dxf>
              <fill>
                <patternFill>
                  <bgColor rgb="FFFFFF00"/>
                </patternFill>
              </fill>
            </x14:dxf>
          </x14:cfRule>
          <xm:sqref>BM128:CA128</xm:sqref>
        </x14:conditionalFormatting>
        <x14:conditionalFormatting xmlns:xm="http://schemas.microsoft.com/office/excel/2006/main">
          <x14:cfRule type="expression" priority="4697812" id="{8E6D0B51-5626-4ED9-9072-C7A2C139704F}">
            <xm:f>$CA$4='Data entry'!$R47</xm:f>
            <x14:dxf>
              <fill>
                <patternFill>
                  <bgColor rgb="FFFF0000"/>
                </patternFill>
              </fill>
            </x14:dxf>
          </x14:cfRule>
          <xm:sqref>BY129:CC129</xm:sqref>
        </x14:conditionalFormatting>
        <x14:conditionalFormatting xmlns:xm="http://schemas.microsoft.com/office/excel/2006/main">
          <x14:cfRule type="expression" priority="4697813" id="{E1886EE4-3BDE-43A9-9F4B-79377FEC37FE}">
            <xm:f>$CB$4='Data entry'!$R47</xm:f>
            <x14:dxf>
              <fill>
                <patternFill>
                  <bgColor rgb="FFFFFF00"/>
                </patternFill>
              </fill>
            </x14:dxf>
          </x14:cfRule>
          <xm:sqref>BN128:CB128</xm:sqref>
        </x14:conditionalFormatting>
        <x14:conditionalFormatting xmlns:xm="http://schemas.microsoft.com/office/excel/2006/main">
          <x14:cfRule type="expression" priority="4697814" id="{ADEF572A-6C18-4602-BB86-01C96D36E07E}">
            <xm:f>$CB$4='Data entry'!$R47</xm:f>
            <x14:dxf>
              <fill>
                <patternFill>
                  <bgColor rgb="FFFF0000"/>
                </patternFill>
              </fill>
            </x14:dxf>
          </x14:cfRule>
          <xm:sqref>BZ129:CC129</xm:sqref>
        </x14:conditionalFormatting>
        <x14:conditionalFormatting xmlns:xm="http://schemas.microsoft.com/office/excel/2006/main">
          <x14:cfRule type="expression" priority="4697815" id="{7984E1C9-E073-4955-8543-62145CB6D008}">
            <xm:f>$CC$4='Data entry'!$R47</xm:f>
            <x14:dxf>
              <fill>
                <patternFill>
                  <bgColor rgb="FFFFFF00"/>
                </patternFill>
              </fill>
            </x14:dxf>
          </x14:cfRule>
          <xm:sqref>BO128:CC128</xm:sqref>
        </x14:conditionalFormatting>
        <x14:conditionalFormatting xmlns:xm="http://schemas.microsoft.com/office/excel/2006/main">
          <x14:cfRule type="expression" priority="4697816" id="{18A957B3-59FA-4698-BA92-2A208FF18E2F}">
            <xm:f>$CC$4='Data entry'!$R47</xm:f>
            <x14:dxf>
              <fill>
                <patternFill>
                  <bgColor rgb="FFFF0000"/>
                </patternFill>
              </fill>
            </x14:dxf>
          </x14:cfRule>
          <xm:sqref>CA129:CC129</xm:sqref>
        </x14:conditionalFormatting>
        <x14:conditionalFormatting xmlns:xm="http://schemas.microsoft.com/office/excel/2006/main">
          <x14:cfRule type="expression" priority="4697903" id="{5B0DB825-B7C2-40AC-B7EF-F267F054CFB9}">
            <xm:f>$U$4='Data entry'!$R48</xm:f>
            <x14:dxf>
              <fill>
                <patternFill>
                  <bgColor rgb="FFFF0000"/>
                </patternFill>
              </fill>
            </x14:dxf>
          </x14:cfRule>
          <xm:sqref>S132:AE132</xm:sqref>
        </x14:conditionalFormatting>
        <x14:conditionalFormatting xmlns:xm="http://schemas.microsoft.com/office/excel/2006/main">
          <x14:cfRule type="expression" priority="4697904" id="{18311200-E2BB-400F-B594-3B9A2C6068C2}">
            <xm:f>$V$4='Data entry'!$R48</xm:f>
            <x14:dxf>
              <fill>
                <patternFill>
                  <bgColor rgb="FFFF0000"/>
                </patternFill>
              </fill>
            </x14:dxf>
          </x14:cfRule>
          <xm:sqref>T132:AF132</xm:sqref>
        </x14:conditionalFormatting>
        <x14:conditionalFormatting xmlns:xm="http://schemas.microsoft.com/office/excel/2006/main">
          <x14:cfRule type="expression" priority="4697905" id="{D6DFB621-1A58-4C59-A987-ECAD0EB2D32B}">
            <xm:f>$V$4='Data entry'!$R48</xm:f>
            <x14:dxf>
              <fill>
                <patternFill>
                  <bgColor rgb="FFFFFF00"/>
                </patternFill>
              </fill>
            </x14:dxf>
          </x14:cfRule>
          <xm:sqref>H131:V131</xm:sqref>
        </x14:conditionalFormatting>
        <x14:conditionalFormatting xmlns:xm="http://schemas.microsoft.com/office/excel/2006/main">
          <x14:cfRule type="expression" priority="4697906" id="{5F87A680-DC5F-433D-A779-B7A534ACCDA9}">
            <xm:f>$W$4='Data entry'!$R48</xm:f>
            <x14:dxf>
              <fill>
                <patternFill>
                  <bgColor rgb="FFFF0000"/>
                </patternFill>
              </fill>
            </x14:dxf>
          </x14:cfRule>
          <xm:sqref>U132:AG132</xm:sqref>
        </x14:conditionalFormatting>
        <x14:conditionalFormatting xmlns:xm="http://schemas.microsoft.com/office/excel/2006/main">
          <x14:cfRule type="expression" priority="4697907" id="{964539FF-A92C-4F68-B268-B7157A32678C}">
            <xm:f>$W$4='Data entry'!$R48</xm:f>
            <x14:dxf>
              <fill>
                <patternFill>
                  <bgColor rgb="FFFFFF00"/>
                </patternFill>
              </fill>
            </x14:dxf>
          </x14:cfRule>
          <xm:sqref>I131:W131</xm:sqref>
        </x14:conditionalFormatting>
        <x14:conditionalFormatting xmlns:xm="http://schemas.microsoft.com/office/excel/2006/main">
          <x14:cfRule type="expression" priority="4697908" id="{46C1533A-F090-4A90-9309-3F59EC3FD3B0}">
            <xm:f>$X$4='Data entry'!$R48</xm:f>
            <x14:dxf>
              <fill>
                <patternFill>
                  <bgColor rgb="FFFF0000"/>
                </patternFill>
              </fill>
            </x14:dxf>
          </x14:cfRule>
          <xm:sqref>V132:AH132</xm:sqref>
        </x14:conditionalFormatting>
        <x14:conditionalFormatting xmlns:xm="http://schemas.microsoft.com/office/excel/2006/main">
          <x14:cfRule type="expression" priority="4697909" id="{7C70E81C-DDD4-4D75-933A-4F6A39893184}">
            <xm:f>$X$4='Data entry'!$R48</xm:f>
            <x14:dxf>
              <fill>
                <patternFill>
                  <bgColor rgb="FFFFFF00"/>
                </patternFill>
              </fill>
            </x14:dxf>
          </x14:cfRule>
          <xm:sqref>J131:X131</xm:sqref>
        </x14:conditionalFormatting>
        <x14:conditionalFormatting xmlns:xm="http://schemas.microsoft.com/office/excel/2006/main">
          <x14:cfRule type="expression" priority="4697910" id="{561AF073-0EF8-4B72-A119-40A639C4359D}">
            <xm:f>$Y$4='Data entry'!$R48</xm:f>
            <x14:dxf>
              <fill>
                <patternFill>
                  <bgColor rgb="FFFF0000"/>
                </patternFill>
              </fill>
            </x14:dxf>
          </x14:cfRule>
          <xm:sqref>W132:AI132</xm:sqref>
        </x14:conditionalFormatting>
        <x14:conditionalFormatting xmlns:xm="http://schemas.microsoft.com/office/excel/2006/main">
          <x14:cfRule type="expression" priority="4697911" id="{F242E808-8F07-4A89-9524-7D4C767CE357}">
            <xm:f>$Y$4='Data entry'!$R48</xm:f>
            <x14:dxf>
              <fill>
                <patternFill>
                  <bgColor rgb="FFFFFF00"/>
                </patternFill>
              </fill>
            </x14:dxf>
          </x14:cfRule>
          <xm:sqref>K131:Y131</xm:sqref>
        </x14:conditionalFormatting>
        <x14:conditionalFormatting xmlns:xm="http://schemas.microsoft.com/office/excel/2006/main">
          <x14:cfRule type="expression" priority="4697912" id="{DD601058-982B-4218-BD9D-64BB823C2633}">
            <xm:f>$Z$4='Data entry'!$R48</xm:f>
            <x14:dxf>
              <fill>
                <patternFill>
                  <bgColor rgb="FFFF0000"/>
                </patternFill>
              </fill>
            </x14:dxf>
          </x14:cfRule>
          <xm:sqref>X132:AJ132</xm:sqref>
        </x14:conditionalFormatting>
        <x14:conditionalFormatting xmlns:xm="http://schemas.microsoft.com/office/excel/2006/main">
          <x14:cfRule type="expression" priority="4697913" id="{C9DB141D-79F6-4093-92A3-7BF7A1622985}">
            <xm:f>$Z$4='Data entry'!$R48</xm:f>
            <x14:dxf>
              <fill>
                <patternFill>
                  <bgColor rgb="FFFFFF00"/>
                </patternFill>
              </fill>
            </x14:dxf>
          </x14:cfRule>
          <xm:sqref>L131:Z131</xm:sqref>
        </x14:conditionalFormatting>
        <x14:conditionalFormatting xmlns:xm="http://schemas.microsoft.com/office/excel/2006/main">
          <x14:cfRule type="expression" priority="4697914" id="{710EB8D3-F5C0-4E3C-8214-2D0C4E26F649}">
            <xm:f>$AA$4='Data entry'!$R48</xm:f>
            <x14:dxf>
              <fill>
                <patternFill>
                  <bgColor rgb="FFFF0000"/>
                </patternFill>
              </fill>
            </x14:dxf>
          </x14:cfRule>
          <xm:sqref>Y132:AK132</xm:sqref>
        </x14:conditionalFormatting>
        <x14:conditionalFormatting xmlns:xm="http://schemas.microsoft.com/office/excel/2006/main">
          <x14:cfRule type="expression" priority="4697915" id="{33825D69-C967-4D27-B395-5D44A3083802}">
            <xm:f>$AA$4='Data entry'!$R48</xm:f>
            <x14:dxf>
              <fill>
                <patternFill>
                  <bgColor rgb="FFFFFF00"/>
                </patternFill>
              </fill>
            </x14:dxf>
          </x14:cfRule>
          <xm:sqref>M131:AA131</xm:sqref>
        </x14:conditionalFormatting>
        <x14:conditionalFormatting xmlns:xm="http://schemas.microsoft.com/office/excel/2006/main">
          <x14:cfRule type="expression" priority="4697916" id="{9811A97D-351B-4D32-8754-AF433277E62B}">
            <xm:f>$AB$4='Data entry'!$R48</xm:f>
            <x14:dxf>
              <fill>
                <patternFill>
                  <bgColor rgb="FFFF0000"/>
                </patternFill>
              </fill>
            </x14:dxf>
          </x14:cfRule>
          <xm:sqref>Z132:AL132</xm:sqref>
        </x14:conditionalFormatting>
        <x14:conditionalFormatting xmlns:xm="http://schemas.microsoft.com/office/excel/2006/main">
          <x14:cfRule type="expression" priority="4697917" id="{6DD3E556-C72E-438B-92DA-3096ED1E4178}">
            <xm:f>$AB$4='Data entry'!$R48</xm:f>
            <x14:dxf>
              <fill>
                <patternFill>
                  <bgColor rgb="FFFFFF00"/>
                </patternFill>
              </fill>
            </x14:dxf>
          </x14:cfRule>
          <xm:sqref>N131:AB131</xm:sqref>
        </x14:conditionalFormatting>
        <x14:conditionalFormatting xmlns:xm="http://schemas.microsoft.com/office/excel/2006/main">
          <x14:cfRule type="expression" priority="4697918" id="{C0DF7A1B-D6BC-4371-BD3A-F0708147FA1C}">
            <xm:f>$AC$4='Data entry'!$R48</xm:f>
            <x14:dxf>
              <fill>
                <patternFill>
                  <bgColor rgb="FFFF0000"/>
                </patternFill>
              </fill>
            </x14:dxf>
          </x14:cfRule>
          <xm:sqref>AA132:AM132</xm:sqref>
        </x14:conditionalFormatting>
        <x14:conditionalFormatting xmlns:xm="http://schemas.microsoft.com/office/excel/2006/main">
          <x14:cfRule type="expression" priority="4697919" id="{DB2E1F48-AF0E-41F9-A976-6B1963CA5711}">
            <xm:f>$AC$4='Data entry'!$R48</xm:f>
            <x14:dxf>
              <fill>
                <patternFill>
                  <bgColor rgb="FFFFFF00"/>
                </patternFill>
              </fill>
            </x14:dxf>
          </x14:cfRule>
          <xm:sqref>O131:AC131</xm:sqref>
        </x14:conditionalFormatting>
        <x14:conditionalFormatting xmlns:xm="http://schemas.microsoft.com/office/excel/2006/main">
          <x14:cfRule type="expression" priority="4697920" id="{89909907-F9A9-4AF9-BC1D-304710A43F50}">
            <xm:f>$AD$4='Data entry'!$R48</xm:f>
            <x14:dxf>
              <fill>
                <patternFill>
                  <bgColor rgb="FFFF0000"/>
                </patternFill>
              </fill>
            </x14:dxf>
          </x14:cfRule>
          <xm:sqref>AB132:AN132</xm:sqref>
        </x14:conditionalFormatting>
        <x14:conditionalFormatting xmlns:xm="http://schemas.microsoft.com/office/excel/2006/main">
          <x14:cfRule type="expression" priority="4697921" id="{729676B7-E331-43A4-ACC9-850DCEE76A0E}">
            <xm:f>$AD$4='Data entry'!$R48</xm:f>
            <x14:dxf>
              <fill>
                <patternFill>
                  <bgColor rgb="FFFFFF00"/>
                </patternFill>
              </fill>
            </x14:dxf>
          </x14:cfRule>
          <xm:sqref>P131:AD131</xm:sqref>
        </x14:conditionalFormatting>
        <x14:conditionalFormatting xmlns:xm="http://schemas.microsoft.com/office/excel/2006/main">
          <x14:cfRule type="expression" priority="4697922" id="{00DA2C55-350E-44AA-ABEA-808FABFDA737}">
            <xm:f>$AE$4='Data entry'!$R48</xm:f>
            <x14:dxf>
              <fill>
                <patternFill>
                  <bgColor rgb="FFFF0000"/>
                </patternFill>
              </fill>
            </x14:dxf>
          </x14:cfRule>
          <xm:sqref>AC132:AO132</xm:sqref>
        </x14:conditionalFormatting>
        <x14:conditionalFormatting xmlns:xm="http://schemas.microsoft.com/office/excel/2006/main">
          <x14:cfRule type="expression" priority="4697923" id="{373C95F1-00C1-45E9-B561-5224945BA4A4}">
            <xm:f>$AE$4='Data entry'!$R48</xm:f>
            <x14:dxf>
              <fill>
                <patternFill>
                  <bgColor rgb="FFFFFF00"/>
                </patternFill>
              </fill>
            </x14:dxf>
          </x14:cfRule>
          <xm:sqref>Q131:AE131</xm:sqref>
        </x14:conditionalFormatting>
        <x14:conditionalFormatting xmlns:xm="http://schemas.microsoft.com/office/excel/2006/main">
          <x14:cfRule type="expression" priority="4697924" id="{65E90E74-6BEF-4B00-BD5E-ECACFEBC225A}">
            <xm:f>$AF$4='Data entry'!$R48</xm:f>
            <x14:dxf>
              <fill>
                <patternFill>
                  <bgColor rgb="FFFF0000"/>
                </patternFill>
              </fill>
            </x14:dxf>
          </x14:cfRule>
          <xm:sqref>AD132:AP132</xm:sqref>
        </x14:conditionalFormatting>
        <x14:conditionalFormatting xmlns:xm="http://schemas.microsoft.com/office/excel/2006/main">
          <x14:cfRule type="expression" priority="4697925" id="{56B519D7-E083-4811-B42B-D6CB10D44BB3}">
            <xm:f>$AF$4='Data entry'!$R48</xm:f>
            <x14:dxf>
              <fill>
                <patternFill>
                  <bgColor rgb="FFFFFF00"/>
                </patternFill>
              </fill>
            </x14:dxf>
          </x14:cfRule>
          <xm:sqref>R131:AF131</xm:sqref>
        </x14:conditionalFormatting>
        <x14:conditionalFormatting xmlns:xm="http://schemas.microsoft.com/office/excel/2006/main">
          <x14:cfRule type="expression" priority="4697926" id="{889682B6-BF9B-414B-86B7-1C802156B058}">
            <xm:f>$AG$4='Data entry'!$R48</xm:f>
            <x14:dxf>
              <fill>
                <patternFill>
                  <bgColor rgb="FFFF0000"/>
                </patternFill>
              </fill>
            </x14:dxf>
          </x14:cfRule>
          <xm:sqref>AE132:AQ132</xm:sqref>
        </x14:conditionalFormatting>
        <x14:conditionalFormatting xmlns:xm="http://schemas.microsoft.com/office/excel/2006/main">
          <x14:cfRule type="expression" priority="4697927" id="{19913D88-1940-4CB0-B29C-D46D60833BD5}">
            <xm:f>$AG$4='Data entry'!$R48</xm:f>
            <x14:dxf>
              <fill>
                <patternFill>
                  <bgColor rgb="FFFFFF00"/>
                </patternFill>
              </fill>
            </x14:dxf>
          </x14:cfRule>
          <xm:sqref>S131:AG131</xm:sqref>
        </x14:conditionalFormatting>
        <x14:conditionalFormatting xmlns:xm="http://schemas.microsoft.com/office/excel/2006/main">
          <x14:cfRule type="expression" priority="4697928" id="{3DD7B9A5-18A3-463F-BAD5-9796FC487328}">
            <xm:f>$AH$4='Data entry'!$R48</xm:f>
            <x14:dxf>
              <fill>
                <patternFill>
                  <bgColor rgb="FFFF0000"/>
                </patternFill>
              </fill>
            </x14:dxf>
          </x14:cfRule>
          <xm:sqref>AF132:AR132</xm:sqref>
        </x14:conditionalFormatting>
        <x14:conditionalFormatting xmlns:xm="http://schemas.microsoft.com/office/excel/2006/main">
          <x14:cfRule type="expression" priority="4697929" id="{31005CF4-5608-496E-91EB-F7F505046C80}">
            <xm:f>$AH$4='Data entry'!$R48</xm:f>
            <x14:dxf>
              <fill>
                <patternFill>
                  <bgColor rgb="FFFFFF00"/>
                </patternFill>
              </fill>
            </x14:dxf>
          </x14:cfRule>
          <xm:sqref>T131:AH131</xm:sqref>
        </x14:conditionalFormatting>
        <x14:conditionalFormatting xmlns:xm="http://schemas.microsoft.com/office/excel/2006/main">
          <x14:cfRule type="expression" priority="4697930" id="{CD14F654-5B7A-444F-8FC1-7DD71E76E475}">
            <xm:f>$AI$4='Data entry'!$R48</xm:f>
            <x14:dxf>
              <fill>
                <patternFill>
                  <bgColor rgb="FFFF0000"/>
                </patternFill>
              </fill>
            </x14:dxf>
          </x14:cfRule>
          <xm:sqref>AG132:AS132</xm:sqref>
        </x14:conditionalFormatting>
        <x14:conditionalFormatting xmlns:xm="http://schemas.microsoft.com/office/excel/2006/main">
          <x14:cfRule type="expression" priority="4697931" id="{0E4E448C-6C46-4285-B877-A61A90294385}">
            <xm:f>$AI$4='Data entry'!$R48</xm:f>
            <x14:dxf>
              <fill>
                <patternFill>
                  <bgColor rgb="FFFFFF00"/>
                </patternFill>
              </fill>
            </x14:dxf>
          </x14:cfRule>
          <xm:sqref>U131:AI131</xm:sqref>
        </x14:conditionalFormatting>
        <x14:conditionalFormatting xmlns:xm="http://schemas.microsoft.com/office/excel/2006/main">
          <x14:cfRule type="expression" priority="4697932" id="{B1C1818F-791C-403D-BE73-6F6E9DC6A16D}">
            <xm:f>$AJ$4='Data entry'!$R48</xm:f>
            <x14:dxf>
              <fill>
                <patternFill>
                  <bgColor rgb="FFFF0000"/>
                </patternFill>
              </fill>
            </x14:dxf>
          </x14:cfRule>
          <xm:sqref>AH132:AT132</xm:sqref>
        </x14:conditionalFormatting>
        <x14:conditionalFormatting xmlns:xm="http://schemas.microsoft.com/office/excel/2006/main">
          <x14:cfRule type="expression" priority="4697933" id="{A1237792-221B-431B-B8A7-E9A64DA46D93}">
            <xm:f>$AJ$4='Data entry'!$R48</xm:f>
            <x14:dxf>
              <fill>
                <patternFill>
                  <bgColor rgb="FFFFFF00"/>
                </patternFill>
              </fill>
            </x14:dxf>
          </x14:cfRule>
          <xm:sqref>V131:AJ131</xm:sqref>
        </x14:conditionalFormatting>
        <x14:conditionalFormatting xmlns:xm="http://schemas.microsoft.com/office/excel/2006/main">
          <x14:cfRule type="expression" priority="4697934" id="{617DC2AF-C7A3-4724-8EA3-17DEFEDC8949}">
            <xm:f>$AK$4='Data entry'!$R48</xm:f>
            <x14:dxf>
              <fill>
                <patternFill>
                  <bgColor rgb="FFFF0000"/>
                </patternFill>
              </fill>
            </x14:dxf>
          </x14:cfRule>
          <xm:sqref>AI132:AU132</xm:sqref>
        </x14:conditionalFormatting>
        <x14:conditionalFormatting xmlns:xm="http://schemas.microsoft.com/office/excel/2006/main">
          <x14:cfRule type="expression" priority="4697935" id="{AA72317D-37B1-48EB-A28B-BF2AC8DC4519}">
            <xm:f>$AK$4='Data entry'!$R48</xm:f>
            <x14:dxf>
              <fill>
                <patternFill>
                  <bgColor rgb="FFFFFF00"/>
                </patternFill>
              </fill>
            </x14:dxf>
          </x14:cfRule>
          <xm:sqref>W131:AK131</xm:sqref>
        </x14:conditionalFormatting>
        <x14:conditionalFormatting xmlns:xm="http://schemas.microsoft.com/office/excel/2006/main">
          <x14:cfRule type="expression" priority="4697936" id="{6CA9FB7A-20EA-4D3A-B74C-A001F4BE810D}">
            <xm:f>$AL$4='Data entry'!$R48</xm:f>
            <x14:dxf>
              <fill>
                <patternFill>
                  <bgColor rgb="FFFF0000"/>
                </patternFill>
              </fill>
            </x14:dxf>
          </x14:cfRule>
          <xm:sqref>AJ132:AV132</xm:sqref>
        </x14:conditionalFormatting>
        <x14:conditionalFormatting xmlns:xm="http://schemas.microsoft.com/office/excel/2006/main">
          <x14:cfRule type="expression" priority="4697937" id="{81A75DAA-573F-4EF3-A640-1B992C18BEA0}">
            <xm:f>$AL$4='Data entry'!$R48</xm:f>
            <x14:dxf>
              <fill>
                <patternFill>
                  <bgColor rgb="FFFFFF00"/>
                </patternFill>
              </fill>
            </x14:dxf>
          </x14:cfRule>
          <xm:sqref>X131:AL131</xm:sqref>
        </x14:conditionalFormatting>
        <x14:conditionalFormatting xmlns:xm="http://schemas.microsoft.com/office/excel/2006/main">
          <x14:cfRule type="expression" priority="4697938" id="{3D44713E-4ABA-4CCD-9DF4-5513A9FB5E1E}">
            <xm:f>$AM$4='Data entry'!$R48</xm:f>
            <x14:dxf>
              <fill>
                <patternFill>
                  <bgColor rgb="FFFF0000"/>
                </patternFill>
              </fill>
            </x14:dxf>
          </x14:cfRule>
          <xm:sqref>AK132:AW132</xm:sqref>
        </x14:conditionalFormatting>
        <x14:conditionalFormatting xmlns:xm="http://schemas.microsoft.com/office/excel/2006/main">
          <x14:cfRule type="expression" priority="4697939" id="{05A26B51-72A7-4423-822F-2BDBC28275D0}">
            <xm:f>$AM$4='Data entry'!$R48</xm:f>
            <x14:dxf>
              <fill>
                <patternFill>
                  <bgColor rgb="FFFFFF00"/>
                </patternFill>
              </fill>
            </x14:dxf>
          </x14:cfRule>
          <xm:sqref>Y131:AM131</xm:sqref>
        </x14:conditionalFormatting>
        <x14:conditionalFormatting xmlns:xm="http://schemas.microsoft.com/office/excel/2006/main">
          <x14:cfRule type="expression" priority="4697940" id="{B8A20675-6230-4694-A7F6-6B3DC7142773}">
            <xm:f>$AN$4='Data entry'!$R48</xm:f>
            <x14:dxf>
              <fill>
                <patternFill>
                  <bgColor rgb="FFFF0000"/>
                </patternFill>
              </fill>
            </x14:dxf>
          </x14:cfRule>
          <xm:sqref>AL132:AX132</xm:sqref>
        </x14:conditionalFormatting>
        <x14:conditionalFormatting xmlns:xm="http://schemas.microsoft.com/office/excel/2006/main">
          <x14:cfRule type="expression" priority="4697941" id="{8421181C-7450-42E9-BC1D-065CCFCA960E}">
            <xm:f>$AN$4='Data entry'!$R48</xm:f>
            <x14:dxf>
              <fill>
                <patternFill>
                  <bgColor rgb="FFFFFF00"/>
                </patternFill>
              </fill>
            </x14:dxf>
          </x14:cfRule>
          <xm:sqref>Z131:AN131</xm:sqref>
        </x14:conditionalFormatting>
        <x14:conditionalFormatting xmlns:xm="http://schemas.microsoft.com/office/excel/2006/main">
          <x14:cfRule type="expression" priority="4697942" id="{067FE4BD-6EF4-4684-B6E0-35AB2F267EE7}">
            <xm:f>$AO$4='Data entry'!$R48</xm:f>
            <x14:dxf>
              <fill>
                <patternFill>
                  <bgColor rgb="FFFF0000"/>
                </patternFill>
              </fill>
            </x14:dxf>
          </x14:cfRule>
          <xm:sqref>AM132:AY132</xm:sqref>
        </x14:conditionalFormatting>
        <x14:conditionalFormatting xmlns:xm="http://schemas.microsoft.com/office/excel/2006/main">
          <x14:cfRule type="expression" priority="4697943" id="{F7653492-88D1-47AC-8BA3-0CCE65C3C2AB}">
            <xm:f>$AO$4='Data entry'!$R48</xm:f>
            <x14:dxf>
              <fill>
                <patternFill>
                  <bgColor rgb="FFFFFF00"/>
                </patternFill>
              </fill>
            </x14:dxf>
          </x14:cfRule>
          <xm:sqref>AA131:AO131</xm:sqref>
        </x14:conditionalFormatting>
        <x14:conditionalFormatting xmlns:xm="http://schemas.microsoft.com/office/excel/2006/main">
          <x14:cfRule type="expression" priority="4697944" id="{207A5E5D-B322-482E-9193-1D7318138358}">
            <xm:f>$AP$4='Data entry'!$R48</xm:f>
            <x14:dxf>
              <fill>
                <patternFill>
                  <bgColor rgb="FFFF0000"/>
                </patternFill>
              </fill>
            </x14:dxf>
          </x14:cfRule>
          <xm:sqref>AN132:AZ132</xm:sqref>
        </x14:conditionalFormatting>
        <x14:conditionalFormatting xmlns:xm="http://schemas.microsoft.com/office/excel/2006/main">
          <x14:cfRule type="expression" priority="4697945" id="{21DA638D-4CA0-4067-BFF1-240CE1A0261B}">
            <xm:f>$AP$4='Data entry'!$R48</xm:f>
            <x14:dxf>
              <fill>
                <patternFill>
                  <bgColor rgb="FFFFFF00"/>
                </patternFill>
              </fill>
            </x14:dxf>
          </x14:cfRule>
          <xm:sqref>AB131:AP131</xm:sqref>
        </x14:conditionalFormatting>
        <x14:conditionalFormatting xmlns:xm="http://schemas.microsoft.com/office/excel/2006/main">
          <x14:cfRule type="expression" priority="4697946" id="{71963D96-A42A-4B90-BFC7-6D83D37766EF}">
            <xm:f>$AQ$4='Data entry'!$R48</xm:f>
            <x14:dxf>
              <fill>
                <patternFill>
                  <bgColor rgb="FFFF0000"/>
                </patternFill>
              </fill>
            </x14:dxf>
          </x14:cfRule>
          <xm:sqref>AO132:BA132</xm:sqref>
        </x14:conditionalFormatting>
        <x14:conditionalFormatting xmlns:xm="http://schemas.microsoft.com/office/excel/2006/main">
          <x14:cfRule type="expression" priority="4697947" id="{74952595-84B6-484F-8FF6-FCC1F337DF4D}">
            <xm:f>$AQ$4='Data entry'!$R48</xm:f>
            <x14:dxf>
              <fill>
                <patternFill>
                  <bgColor rgb="FFFFFF00"/>
                </patternFill>
              </fill>
            </x14:dxf>
          </x14:cfRule>
          <xm:sqref>AC131:AQ131</xm:sqref>
        </x14:conditionalFormatting>
        <x14:conditionalFormatting xmlns:xm="http://schemas.microsoft.com/office/excel/2006/main">
          <x14:cfRule type="expression" priority="4697948" id="{8AC9C4B9-0A34-4BC0-B0F7-CA89434C4911}">
            <xm:f>$P$4='Data entry'!$R48</xm:f>
            <x14:dxf>
              <fill>
                <patternFill>
                  <bgColor rgb="FFFFFF00"/>
                </patternFill>
              </fill>
            </x14:dxf>
          </x14:cfRule>
          <xm:sqref>C131:P131</xm:sqref>
        </x14:conditionalFormatting>
        <x14:conditionalFormatting xmlns:xm="http://schemas.microsoft.com/office/excel/2006/main">
          <x14:cfRule type="expression" priority="4697949" id="{0A726775-ABFD-4F22-967C-1A4D87BA3751}">
            <xm:f>$Q$4='Data entry'!$R48</xm:f>
            <x14:dxf>
              <fill>
                <patternFill>
                  <bgColor rgb="FFFFFF00"/>
                </patternFill>
              </fill>
            </x14:dxf>
          </x14:cfRule>
          <xm:sqref>C131:Q131</xm:sqref>
        </x14:conditionalFormatting>
        <x14:conditionalFormatting xmlns:xm="http://schemas.microsoft.com/office/excel/2006/main">
          <x14:cfRule type="expression" priority="4697950" id="{3A8414BD-262C-43B5-86EE-FA6901D00453}">
            <xm:f>$Q$4='Data entry'!$R48</xm:f>
            <x14:dxf>
              <fill>
                <patternFill>
                  <bgColor rgb="FFFF0000"/>
                </patternFill>
              </fill>
            </x14:dxf>
          </x14:cfRule>
          <xm:sqref>O132:AA132</xm:sqref>
        </x14:conditionalFormatting>
        <x14:conditionalFormatting xmlns:xm="http://schemas.microsoft.com/office/excel/2006/main">
          <x14:cfRule type="expression" priority="4697951" id="{B8B5501D-F3EF-4449-9306-F652960C65F4}">
            <xm:f>$R$4='Data entry'!$R48</xm:f>
            <x14:dxf>
              <fill>
                <patternFill>
                  <bgColor rgb="FFFF0000"/>
                </patternFill>
              </fill>
            </x14:dxf>
          </x14:cfRule>
          <xm:sqref>P132:AB132</xm:sqref>
        </x14:conditionalFormatting>
        <x14:conditionalFormatting xmlns:xm="http://schemas.microsoft.com/office/excel/2006/main">
          <x14:cfRule type="expression" priority="4697952" id="{5D070DEC-B82E-4D87-B907-A3E5AB836991}">
            <xm:f>$R$4='Data entry'!$R48</xm:f>
            <x14:dxf>
              <fill>
                <patternFill>
                  <bgColor rgb="FFFFFF00"/>
                </patternFill>
              </fill>
            </x14:dxf>
          </x14:cfRule>
          <xm:sqref>D131:R131</xm:sqref>
        </x14:conditionalFormatting>
        <x14:conditionalFormatting xmlns:xm="http://schemas.microsoft.com/office/excel/2006/main">
          <x14:cfRule type="expression" priority="4697953" id="{E4D16A10-F818-4664-9FB2-F0E839824D4B}">
            <xm:f>$S$4='Data entry'!$R48</xm:f>
            <x14:dxf>
              <fill>
                <patternFill>
                  <bgColor rgb="FFFF0000"/>
                </patternFill>
              </fill>
            </x14:dxf>
          </x14:cfRule>
          <xm:sqref>Q132:AC132</xm:sqref>
        </x14:conditionalFormatting>
        <x14:conditionalFormatting xmlns:xm="http://schemas.microsoft.com/office/excel/2006/main">
          <x14:cfRule type="expression" priority="4697954" id="{1A9F9911-A3E9-4730-AFBE-AB8C596545CA}">
            <xm:f>$S$4='Data entry'!$R48</xm:f>
            <x14:dxf>
              <fill>
                <patternFill>
                  <bgColor rgb="FFFFFF00"/>
                </patternFill>
              </fill>
            </x14:dxf>
          </x14:cfRule>
          <xm:sqref>E131:S131</xm:sqref>
        </x14:conditionalFormatting>
        <x14:conditionalFormatting xmlns:xm="http://schemas.microsoft.com/office/excel/2006/main">
          <x14:cfRule type="expression" priority="4697955" id="{8BB5CD1B-B2AC-442A-9550-26DE19A62D22}">
            <xm:f>$T$4='Data entry'!$R48</xm:f>
            <x14:dxf>
              <fill>
                <patternFill>
                  <bgColor rgb="FFFF0000"/>
                </patternFill>
              </fill>
            </x14:dxf>
          </x14:cfRule>
          <xm:sqref>R132:AD132</xm:sqref>
        </x14:conditionalFormatting>
        <x14:conditionalFormatting xmlns:xm="http://schemas.microsoft.com/office/excel/2006/main">
          <x14:cfRule type="expression" priority="4697956" id="{E7B59C69-7921-4049-84A1-8B3E5F7B0598}">
            <xm:f>$T$4='Data entry'!$R48</xm:f>
            <x14:dxf>
              <fill>
                <patternFill>
                  <bgColor rgb="FFFFFF00"/>
                </patternFill>
              </fill>
            </x14:dxf>
          </x14:cfRule>
          <xm:sqref>F131:T131</xm:sqref>
        </x14:conditionalFormatting>
        <x14:conditionalFormatting xmlns:xm="http://schemas.microsoft.com/office/excel/2006/main">
          <x14:cfRule type="expression" priority="4697957" id="{238C09E5-7A3D-439D-949F-A7733073F9A2}">
            <xm:f>$U$4='Data entry'!$R48</xm:f>
            <x14:dxf>
              <fill>
                <patternFill>
                  <bgColor rgb="FFFFFF00"/>
                </patternFill>
              </fill>
            </x14:dxf>
          </x14:cfRule>
          <xm:sqref>G131:U131</xm:sqref>
        </x14:conditionalFormatting>
        <x14:conditionalFormatting xmlns:xm="http://schemas.microsoft.com/office/excel/2006/main">
          <x14:cfRule type="expression" priority="4697958" id="{DE4D4432-0A19-452A-AF14-2873FE4DF411}">
            <xm:f>$AR$4='Data entry'!$R48</xm:f>
            <x14:dxf>
              <fill>
                <patternFill>
                  <bgColor rgb="FFFF0000"/>
                </patternFill>
              </fill>
            </x14:dxf>
          </x14:cfRule>
          <xm:sqref>AP132:BB132</xm:sqref>
        </x14:conditionalFormatting>
        <x14:conditionalFormatting xmlns:xm="http://schemas.microsoft.com/office/excel/2006/main">
          <x14:cfRule type="expression" priority="4697959" id="{90D7E1FF-542D-40C8-9BD5-DFEB4CDD256F}">
            <xm:f>$AR$4='Data entry'!$R48</xm:f>
            <x14:dxf>
              <fill>
                <patternFill>
                  <bgColor rgb="FFFFFF00"/>
                </patternFill>
              </fill>
            </x14:dxf>
          </x14:cfRule>
          <xm:sqref>AD131:AR131</xm:sqref>
        </x14:conditionalFormatting>
        <x14:conditionalFormatting xmlns:xm="http://schemas.microsoft.com/office/excel/2006/main">
          <x14:cfRule type="expression" priority="4697960" id="{0EBB5305-4A4A-4205-A1FF-11160070CBC3}">
            <xm:f>$AS$4='Data entry'!$R48</xm:f>
            <x14:dxf>
              <fill>
                <patternFill>
                  <bgColor rgb="FFFF0000"/>
                </patternFill>
              </fill>
            </x14:dxf>
          </x14:cfRule>
          <xm:sqref>AQ132:BC132</xm:sqref>
        </x14:conditionalFormatting>
        <x14:conditionalFormatting xmlns:xm="http://schemas.microsoft.com/office/excel/2006/main">
          <x14:cfRule type="expression" priority="4697961" id="{AC8EB30C-4253-4CE1-820E-1801F6D8D35B}">
            <xm:f>$AS$4='Data entry'!$R48</xm:f>
            <x14:dxf>
              <fill>
                <patternFill>
                  <bgColor rgb="FFFFFF00"/>
                </patternFill>
              </fill>
            </x14:dxf>
          </x14:cfRule>
          <xm:sqref>AE131:AS131</xm:sqref>
        </x14:conditionalFormatting>
        <x14:conditionalFormatting xmlns:xm="http://schemas.microsoft.com/office/excel/2006/main">
          <x14:cfRule type="expression" priority="4697962" id="{E11744C1-7201-4272-A1B0-945490B42425}">
            <xm:f>$AT$4='Data entry'!$R48</xm:f>
            <x14:dxf>
              <fill>
                <patternFill>
                  <bgColor rgb="FFFF0000"/>
                </patternFill>
              </fill>
            </x14:dxf>
          </x14:cfRule>
          <xm:sqref>AR132:BD132</xm:sqref>
        </x14:conditionalFormatting>
        <x14:conditionalFormatting xmlns:xm="http://schemas.microsoft.com/office/excel/2006/main">
          <x14:cfRule type="expression" priority="4697963" id="{5EE2823B-E955-4EA7-B99C-0B1F77B57A69}">
            <xm:f>$AT$4='Data entry'!$R48</xm:f>
            <x14:dxf>
              <fill>
                <patternFill>
                  <bgColor rgb="FFFFFF00"/>
                </patternFill>
              </fill>
            </x14:dxf>
          </x14:cfRule>
          <xm:sqref>AF131:AT131</xm:sqref>
        </x14:conditionalFormatting>
        <x14:conditionalFormatting xmlns:xm="http://schemas.microsoft.com/office/excel/2006/main">
          <x14:cfRule type="expression" priority="4697964" id="{5737DC63-3262-4B34-900C-2AAEB255FCBA}">
            <xm:f>$AU$4='Data entry'!$R48</xm:f>
            <x14:dxf>
              <fill>
                <patternFill>
                  <bgColor rgb="FFFF0000"/>
                </patternFill>
              </fill>
            </x14:dxf>
          </x14:cfRule>
          <xm:sqref>AS132:BE132</xm:sqref>
        </x14:conditionalFormatting>
        <x14:conditionalFormatting xmlns:xm="http://schemas.microsoft.com/office/excel/2006/main">
          <x14:cfRule type="expression" priority="4697965" id="{2B5C1F1B-3C3D-4CA3-BC64-0E98422075B6}">
            <xm:f>$AU$4='Data entry'!$R48</xm:f>
            <x14:dxf>
              <fill>
                <patternFill>
                  <bgColor rgb="FFFFFF00"/>
                </patternFill>
              </fill>
            </x14:dxf>
          </x14:cfRule>
          <xm:sqref>AG131:AU131</xm:sqref>
        </x14:conditionalFormatting>
        <x14:conditionalFormatting xmlns:xm="http://schemas.microsoft.com/office/excel/2006/main">
          <x14:cfRule type="expression" priority="4697966" id="{B87A1285-B003-4855-8F4B-53C391BA10E6}">
            <xm:f>$AV$4='Data entry'!$R48</xm:f>
            <x14:dxf>
              <fill>
                <patternFill>
                  <bgColor rgb="FFFF0000"/>
                </patternFill>
              </fill>
            </x14:dxf>
          </x14:cfRule>
          <xm:sqref>AT132:BF132</xm:sqref>
        </x14:conditionalFormatting>
        <x14:conditionalFormatting xmlns:xm="http://schemas.microsoft.com/office/excel/2006/main">
          <x14:cfRule type="expression" priority="4697967" id="{338EE31C-78DB-4818-B837-0380F9E457FA}">
            <xm:f>$AV$4='Data entry'!$R48</xm:f>
            <x14:dxf>
              <fill>
                <patternFill>
                  <bgColor rgb="FFFFFF00"/>
                </patternFill>
              </fill>
            </x14:dxf>
          </x14:cfRule>
          <xm:sqref>AH131:AV131</xm:sqref>
        </x14:conditionalFormatting>
        <x14:conditionalFormatting xmlns:xm="http://schemas.microsoft.com/office/excel/2006/main">
          <x14:cfRule type="expression" priority="4697968" id="{5C40EA66-2801-4C91-B885-BF6A1ECFC35C}">
            <xm:f>$AW$4='Data entry'!$R48</xm:f>
            <x14:dxf>
              <fill>
                <patternFill>
                  <bgColor rgb="FFFF0000"/>
                </patternFill>
              </fill>
            </x14:dxf>
          </x14:cfRule>
          <xm:sqref>AU132:BG132</xm:sqref>
        </x14:conditionalFormatting>
        <x14:conditionalFormatting xmlns:xm="http://schemas.microsoft.com/office/excel/2006/main">
          <x14:cfRule type="expression" priority="4697969" id="{51BCD5CE-DF86-4C2F-8A81-DDA1EFD6C8F7}">
            <xm:f>$AW$4='Data entry'!$R48</xm:f>
            <x14:dxf>
              <fill>
                <patternFill>
                  <bgColor rgb="FFFFFF00"/>
                </patternFill>
              </fill>
            </x14:dxf>
          </x14:cfRule>
          <xm:sqref>AI131:AW131</xm:sqref>
        </x14:conditionalFormatting>
        <x14:conditionalFormatting xmlns:xm="http://schemas.microsoft.com/office/excel/2006/main">
          <x14:cfRule type="expression" priority="4697970" id="{DC2ED5A0-8917-4877-8CD3-9DF9BE5993C9}">
            <xm:f>$AX$4='Data entry'!$R48</xm:f>
            <x14:dxf>
              <fill>
                <patternFill>
                  <bgColor rgb="FFFF0000"/>
                </patternFill>
              </fill>
            </x14:dxf>
          </x14:cfRule>
          <xm:sqref>AV132:BH132</xm:sqref>
        </x14:conditionalFormatting>
        <x14:conditionalFormatting xmlns:xm="http://schemas.microsoft.com/office/excel/2006/main">
          <x14:cfRule type="expression" priority="4697971" id="{59B31869-20F9-45BD-BC80-0A6C8945CE2C}">
            <xm:f>$AX$4='Data entry'!$R48</xm:f>
            <x14:dxf>
              <fill>
                <patternFill>
                  <bgColor rgb="FFFFFF00"/>
                </patternFill>
              </fill>
            </x14:dxf>
          </x14:cfRule>
          <xm:sqref>AJ131:AX131</xm:sqref>
        </x14:conditionalFormatting>
        <x14:conditionalFormatting xmlns:xm="http://schemas.microsoft.com/office/excel/2006/main">
          <x14:cfRule type="expression" priority="4697972" id="{D4208FA0-4262-4037-934C-6D0742B2AD8E}">
            <xm:f>$AY$4='Data entry'!$R48</xm:f>
            <x14:dxf>
              <fill>
                <patternFill>
                  <bgColor rgb="FFFF0000"/>
                </patternFill>
              </fill>
            </x14:dxf>
          </x14:cfRule>
          <xm:sqref>AW132:BI132</xm:sqref>
        </x14:conditionalFormatting>
        <x14:conditionalFormatting xmlns:xm="http://schemas.microsoft.com/office/excel/2006/main">
          <x14:cfRule type="expression" priority="4697973" id="{04D6E423-18C7-42B2-A67D-F49D8E62B571}">
            <xm:f>$AY$4='Data entry'!$R48</xm:f>
            <x14:dxf>
              <fill>
                <patternFill>
                  <bgColor rgb="FFFFFF00"/>
                </patternFill>
              </fill>
            </x14:dxf>
          </x14:cfRule>
          <xm:sqref>AK131:AY131</xm:sqref>
        </x14:conditionalFormatting>
        <x14:conditionalFormatting xmlns:xm="http://schemas.microsoft.com/office/excel/2006/main">
          <x14:cfRule type="expression" priority="4697974" id="{A931C203-6E4B-4EBD-A2F4-1876881F48D4}">
            <xm:f>$AZ$4='Data entry'!$R48</xm:f>
            <x14:dxf>
              <fill>
                <patternFill>
                  <bgColor rgb="FFFF0000"/>
                </patternFill>
              </fill>
            </x14:dxf>
          </x14:cfRule>
          <xm:sqref>AX132:BJ132</xm:sqref>
        </x14:conditionalFormatting>
        <x14:conditionalFormatting xmlns:xm="http://schemas.microsoft.com/office/excel/2006/main">
          <x14:cfRule type="expression" priority="4697975" id="{092D9100-E652-40FE-8CAA-720DC0681250}">
            <xm:f>$AZ$4='Data entry'!$R48</xm:f>
            <x14:dxf>
              <fill>
                <patternFill>
                  <bgColor rgb="FFFFFF00"/>
                </patternFill>
              </fill>
            </x14:dxf>
          </x14:cfRule>
          <xm:sqref>AL131:AZ131</xm:sqref>
        </x14:conditionalFormatting>
        <x14:conditionalFormatting xmlns:xm="http://schemas.microsoft.com/office/excel/2006/main">
          <x14:cfRule type="expression" priority="4697976" id="{A3C7E6BE-A225-483C-A983-A915DB662C52}">
            <xm:f>$BA$4='Data entry'!$R48</xm:f>
            <x14:dxf>
              <fill>
                <patternFill>
                  <bgColor rgb="FFFF0000"/>
                </patternFill>
              </fill>
            </x14:dxf>
          </x14:cfRule>
          <xm:sqref>AY132:BK132</xm:sqref>
        </x14:conditionalFormatting>
        <x14:conditionalFormatting xmlns:xm="http://schemas.microsoft.com/office/excel/2006/main">
          <x14:cfRule type="expression" priority="4697977" id="{F5CF569A-8AFA-4CFF-8BD3-F04D8927A99F}">
            <xm:f>$BA$4='Data entry'!$R48</xm:f>
            <x14:dxf>
              <fill>
                <patternFill>
                  <bgColor rgb="FFFFFF00"/>
                </patternFill>
              </fill>
            </x14:dxf>
          </x14:cfRule>
          <xm:sqref>AM131:BA131</xm:sqref>
        </x14:conditionalFormatting>
        <x14:conditionalFormatting xmlns:xm="http://schemas.microsoft.com/office/excel/2006/main">
          <x14:cfRule type="expression" priority="4697978" id="{E4DAC94A-7983-4BFB-A87B-45B58561841A}">
            <xm:f>$BB$4='Data entry'!$R48</xm:f>
            <x14:dxf>
              <fill>
                <patternFill>
                  <bgColor rgb="FFFF0000"/>
                </patternFill>
              </fill>
            </x14:dxf>
          </x14:cfRule>
          <xm:sqref>AZ132:BL132</xm:sqref>
        </x14:conditionalFormatting>
        <x14:conditionalFormatting xmlns:xm="http://schemas.microsoft.com/office/excel/2006/main">
          <x14:cfRule type="expression" priority="4697979" id="{E63849C5-F39B-4B0E-8F8A-B532EDF2CBAE}">
            <xm:f>$BB$4='Data entry'!$R48</xm:f>
            <x14:dxf>
              <fill>
                <patternFill>
                  <bgColor rgb="FFFFFF00"/>
                </patternFill>
              </fill>
            </x14:dxf>
          </x14:cfRule>
          <xm:sqref>AN131:BB131</xm:sqref>
        </x14:conditionalFormatting>
        <x14:conditionalFormatting xmlns:xm="http://schemas.microsoft.com/office/excel/2006/main">
          <x14:cfRule type="expression" priority="4697980" id="{4FDC32D3-C1F5-455D-9AA4-A03359B72526}">
            <xm:f>$BC$4='Data entry'!$R48</xm:f>
            <x14:dxf>
              <fill>
                <patternFill>
                  <bgColor rgb="FFFF0000"/>
                </patternFill>
              </fill>
            </x14:dxf>
          </x14:cfRule>
          <xm:sqref>BA132:BM132</xm:sqref>
        </x14:conditionalFormatting>
        <x14:conditionalFormatting xmlns:xm="http://schemas.microsoft.com/office/excel/2006/main">
          <x14:cfRule type="expression" priority="4697981" id="{5F0D0C60-B233-4C56-B05D-98C99990877F}">
            <xm:f>$BC$4='Data entry'!$R48</xm:f>
            <x14:dxf>
              <fill>
                <patternFill>
                  <bgColor rgb="FFFFFF00"/>
                </patternFill>
              </fill>
            </x14:dxf>
          </x14:cfRule>
          <xm:sqref>AO131:BC131</xm:sqref>
        </x14:conditionalFormatting>
        <x14:conditionalFormatting xmlns:xm="http://schemas.microsoft.com/office/excel/2006/main">
          <x14:cfRule type="expression" priority="4697982" id="{9EBCB60F-8135-43B6-A0F3-548D4092CC98}">
            <xm:f>$BD$4='Data entry'!$R48</xm:f>
            <x14:dxf>
              <fill>
                <patternFill>
                  <bgColor rgb="FFFF0000"/>
                </patternFill>
              </fill>
            </x14:dxf>
          </x14:cfRule>
          <xm:sqref>BB132:BN132</xm:sqref>
        </x14:conditionalFormatting>
        <x14:conditionalFormatting xmlns:xm="http://schemas.microsoft.com/office/excel/2006/main">
          <x14:cfRule type="expression" priority="4697983" id="{961AF346-4A73-41ED-9A8D-27D431B09C05}">
            <xm:f>$BD$4='Data entry'!$R48</xm:f>
            <x14:dxf>
              <fill>
                <patternFill>
                  <bgColor rgb="FFFFFF00"/>
                </patternFill>
              </fill>
            </x14:dxf>
          </x14:cfRule>
          <xm:sqref>AP131:BD131</xm:sqref>
        </x14:conditionalFormatting>
        <x14:conditionalFormatting xmlns:xm="http://schemas.microsoft.com/office/excel/2006/main">
          <x14:cfRule type="expression" priority="4697984" id="{5A887026-27CD-4F8C-8BA6-1E92704C1CA6}">
            <xm:f>$BE$4='Data entry'!$R48</xm:f>
            <x14:dxf>
              <fill>
                <patternFill>
                  <bgColor rgb="FFFF0000"/>
                </patternFill>
              </fill>
            </x14:dxf>
          </x14:cfRule>
          <xm:sqref>BC132:BO132</xm:sqref>
        </x14:conditionalFormatting>
        <x14:conditionalFormatting xmlns:xm="http://schemas.microsoft.com/office/excel/2006/main">
          <x14:cfRule type="expression" priority="4697985" id="{7F46217B-A1E9-4515-B31E-E756FCD7C6D9}">
            <xm:f>$BE$4='Data entry'!$R48</xm:f>
            <x14:dxf>
              <fill>
                <patternFill>
                  <bgColor rgb="FFFFFF00"/>
                </patternFill>
              </fill>
            </x14:dxf>
          </x14:cfRule>
          <xm:sqref>AP131:BE131</xm:sqref>
        </x14:conditionalFormatting>
        <x14:conditionalFormatting xmlns:xm="http://schemas.microsoft.com/office/excel/2006/main">
          <x14:cfRule type="expression" priority="4697986" id="{F4D9285C-8CA0-4EF1-943E-6A462D47CC77}">
            <xm:f>$BF$4='Data entry'!$R48</xm:f>
            <x14:dxf>
              <fill>
                <patternFill>
                  <bgColor rgb="FFFF0000"/>
                </patternFill>
              </fill>
            </x14:dxf>
          </x14:cfRule>
          <xm:sqref>BD132:BP132</xm:sqref>
        </x14:conditionalFormatting>
        <x14:conditionalFormatting xmlns:xm="http://schemas.microsoft.com/office/excel/2006/main">
          <x14:cfRule type="expression" priority="4697987" id="{B9E4407D-651D-4DC0-9D61-3271D62A65E9}">
            <xm:f>$BF$4='Data entry'!$R48</xm:f>
            <x14:dxf>
              <fill>
                <patternFill>
                  <bgColor rgb="FFFFFF00"/>
                </patternFill>
              </fill>
            </x14:dxf>
          </x14:cfRule>
          <xm:sqref>AR131:BF131</xm:sqref>
        </x14:conditionalFormatting>
        <x14:conditionalFormatting xmlns:xm="http://schemas.microsoft.com/office/excel/2006/main">
          <x14:cfRule type="expression" priority="4697988" id="{4CDC062F-DDFF-4556-B941-08F919727F69}">
            <xm:f>$BG$4='Data entry'!$R48</xm:f>
            <x14:dxf>
              <fill>
                <patternFill>
                  <bgColor rgb="FFFF0000"/>
                </patternFill>
              </fill>
            </x14:dxf>
          </x14:cfRule>
          <xm:sqref>BE132:BQ132</xm:sqref>
        </x14:conditionalFormatting>
        <x14:conditionalFormatting xmlns:xm="http://schemas.microsoft.com/office/excel/2006/main">
          <x14:cfRule type="expression" priority="4697989" id="{789184FA-9055-433B-8A1B-92C7ED59E81F}">
            <xm:f>$BG$4='Data entry'!$R48</xm:f>
            <x14:dxf>
              <fill>
                <patternFill>
                  <bgColor rgb="FFFFFF00"/>
                </patternFill>
              </fill>
            </x14:dxf>
          </x14:cfRule>
          <xm:sqref>AS131:BG131</xm:sqref>
        </x14:conditionalFormatting>
        <x14:conditionalFormatting xmlns:xm="http://schemas.microsoft.com/office/excel/2006/main">
          <x14:cfRule type="expression" priority="4697990" id="{58651E5C-09C9-46C1-B95C-E8A578A49E15}">
            <xm:f>$BH$4='Data entry'!$R48</xm:f>
            <x14:dxf>
              <fill>
                <patternFill>
                  <bgColor rgb="FFFFFF00"/>
                </patternFill>
              </fill>
            </x14:dxf>
          </x14:cfRule>
          <xm:sqref>AT131:BH131</xm:sqref>
        </x14:conditionalFormatting>
        <x14:conditionalFormatting xmlns:xm="http://schemas.microsoft.com/office/excel/2006/main">
          <x14:cfRule type="expression" priority="4697991" id="{97B30B86-8311-4DC0-A533-8C0D53F37839}">
            <xm:f>$BH$4='Data entry'!$R48</xm:f>
            <x14:dxf>
              <fill>
                <patternFill>
                  <bgColor rgb="FFFF0000"/>
                </patternFill>
              </fill>
            </x14:dxf>
          </x14:cfRule>
          <xm:sqref>BF132:BR132</xm:sqref>
        </x14:conditionalFormatting>
        <x14:conditionalFormatting xmlns:xm="http://schemas.microsoft.com/office/excel/2006/main">
          <x14:cfRule type="expression" priority="4697992" id="{78344C0C-5AEA-40B1-A20C-6D77DF58E1F5}">
            <xm:f>$BI$4='Data entry'!$R48</xm:f>
            <x14:dxf>
              <fill>
                <patternFill>
                  <bgColor rgb="FFFFFF00"/>
                </patternFill>
              </fill>
            </x14:dxf>
          </x14:cfRule>
          <xm:sqref>AU131:BI131</xm:sqref>
        </x14:conditionalFormatting>
        <x14:conditionalFormatting xmlns:xm="http://schemas.microsoft.com/office/excel/2006/main">
          <x14:cfRule type="expression" priority="4697993" id="{A9CE044F-482E-4F25-B28F-89ACC58502B1}">
            <xm:f>$BI$4='Data entry'!$R48</xm:f>
            <x14:dxf>
              <fill>
                <patternFill>
                  <bgColor rgb="FFFF0000"/>
                </patternFill>
              </fill>
            </x14:dxf>
          </x14:cfRule>
          <xm:sqref>BG132:BS132</xm:sqref>
        </x14:conditionalFormatting>
        <x14:conditionalFormatting xmlns:xm="http://schemas.microsoft.com/office/excel/2006/main">
          <x14:cfRule type="expression" priority="4697994" id="{F63BE0EB-3C71-4456-BEF0-11180AB7A8BB}">
            <xm:f>$BJ$4='Data entry'!$R48</xm:f>
            <x14:dxf>
              <fill>
                <patternFill>
                  <bgColor rgb="FFFFFF00"/>
                </patternFill>
              </fill>
            </x14:dxf>
          </x14:cfRule>
          <xm:sqref>AV131:BJ131</xm:sqref>
        </x14:conditionalFormatting>
        <x14:conditionalFormatting xmlns:xm="http://schemas.microsoft.com/office/excel/2006/main">
          <x14:cfRule type="expression" priority="4697995" id="{478A5DCB-1DAA-4497-A6CC-B4F01FB96D10}">
            <xm:f>$BJ$4='Data entry'!$R48</xm:f>
            <x14:dxf>
              <fill>
                <patternFill>
                  <bgColor rgb="FFFF0000"/>
                </patternFill>
              </fill>
            </x14:dxf>
          </x14:cfRule>
          <xm:sqref>BH132:BT132</xm:sqref>
        </x14:conditionalFormatting>
        <x14:conditionalFormatting xmlns:xm="http://schemas.microsoft.com/office/excel/2006/main">
          <x14:cfRule type="expression" priority="4697996" id="{CDE4AD5B-65A6-4FA4-9EC0-8D05F22312A9}">
            <xm:f>$BK$4='Data entry'!$R48</xm:f>
            <x14:dxf>
              <fill>
                <patternFill>
                  <bgColor rgb="FFFF0000"/>
                </patternFill>
              </fill>
            </x14:dxf>
          </x14:cfRule>
          <xm:sqref>BI132:BU132</xm:sqref>
        </x14:conditionalFormatting>
        <x14:conditionalFormatting xmlns:xm="http://schemas.microsoft.com/office/excel/2006/main">
          <x14:cfRule type="expression" priority="4697997" id="{AB32E790-6CD8-4D11-9A69-57D785FE4BBC}">
            <xm:f>$BK$4='Data entry'!$R48</xm:f>
            <x14:dxf>
              <fill>
                <patternFill>
                  <bgColor rgb="FFFFFF00"/>
                </patternFill>
              </fill>
            </x14:dxf>
          </x14:cfRule>
          <xm:sqref>AW131:BK131</xm:sqref>
        </x14:conditionalFormatting>
        <x14:conditionalFormatting xmlns:xm="http://schemas.microsoft.com/office/excel/2006/main">
          <x14:cfRule type="expression" priority="4697998" id="{99810EB9-805C-43D8-852A-EEECE7874CDB}">
            <xm:f>$BL$4='Data entry'!$R48</xm:f>
            <x14:dxf>
              <fill>
                <patternFill>
                  <bgColor rgb="FFFF0000"/>
                </patternFill>
              </fill>
            </x14:dxf>
          </x14:cfRule>
          <xm:sqref>BJ132:BV132</xm:sqref>
        </x14:conditionalFormatting>
        <x14:conditionalFormatting xmlns:xm="http://schemas.microsoft.com/office/excel/2006/main">
          <x14:cfRule type="expression" priority="4697999" id="{BF5F5475-4E46-479C-97A6-D5175F5D1803}">
            <xm:f>$BL$4='Data entry'!$R48</xm:f>
            <x14:dxf>
              <fill>
                <patternFill>
                  <bgColor rgb="FFFFFF00"/>
                </patternFill>
              </fill>
            </x14:dxf>
          </x14:cfRule>
          <xm:sqref>AX131:BL131</xm:sqref>
        </x14:conditionalFormatting>
        <x14:conditionalFormatting xmlns:xm="http://schemas.microsoft.com/office/excel/2006/main">
          <x14:cfRule type="expression" priority="4698000" id="{B86FDF2F-16C9-46B1-847E-7EA1A8A34B9D}">
            <xm:f>$BM$4='Data entry'!$R48</xm:f>
            <x14:dxf>
              <fill>
                <patternFill>
                  <bgColor rgb="FFFF0000"/>
                </patternFill>
              </fill>
            </x14:dxf>
          </x14:cfRule>
          <xm:sqref>BK132:BW132</xm:sqref>
        </x14:conditionalFormatting>
        <x14:conditionalFormatting xmlns:xm="http://schemas.microsoft.com/office/excel/2006/main">
          <x14:cfRule type="expression" priority="4698001" id="{72FD189F-4CED-400D-9FEF-21A328970A4D}">
            <xm:f>$BM$4='Data entry'!$R48</xm:f>
            <x14:dxf>
              <fill>
                <patternFill>
                  <bgColor rgb="FFFFFF00"/>
                </patternFill>
              </fill>
            </x14:dxf>
          </x14:cfRule>
          <xm:sqref>AY131:BM131</xm:sqref>
        </x14:conditionalFormatting>
        <x14:conditionalFormatting xmlns:xm="http://schemas.microsoft.com/office/excel/2006/main">
          <x14:cfRule type="expression" priority="4698002" id="{BBBBF859-D5A7-4F55-BFBF-8A77E3357590}">
            <xm:f>$BN$4='Data entry'!$R48</xm:f>
            <x14:dxf>
              <fill>
                <patternFill>
                  <bgColor rgb="FFFF0000"/>
                </patternFill>
              </fill>
            </x14:dxf>
          </x14:cfRule>
          <xm:sqref>BL132:BX132</xm:sqref>
        </x14:conditionalFormatting>
        <x14:conditionalFormatting xmlns:xm="http://schemas.microsoft.com/office/excel/2006/main">
          <x14:cfRule type="expression" priority="4698003" id="{50CB1D75-0FD5-4D24-92B1-E8A41DC6575C}">
            <xm:f>$BN$4='Data entry'!$R48</xm:f>
            <x14:dxf>
              <fill>
                <patternFill>
                  <bgColor rgb="FFFFFF00"/>
                </patternFill>
              </fill>
            </x14:dxf>
          </x14:cfRule>
          <xm:sqref>AZ131:BN131</xm:sqref>
        </x14:conditionalFormatting>
        <x14:conditionalFormatting xmlns:xm="http://schemas.microsoft.com/office/excel/2006/main">
          <x14:cfRule type="expression" priority="4698004" id="{9EF3226D-E8FC-496B-A6FF-71776AEA54D1}">
            <xm:f>$BO$4='Data entry'!$R48</xm:f>
            <x14:dxf>
              <fill>
                <patternFill>
                  <bgColor rgb="FFFF0000"/>
                </patternFill>
              </fill>
            </x14:dxf>
          </x14:cfRule>
          <xm:sqref>BM132:BY132</xm:sqref>
        </x14:conditionalFormatting>
        <x14:conditionalFormatting xmlns:xm="http://schemas.microsoft.com/office/excel/2006/main">
          <x14:cfRule type="expression" priority="4698005" id="{3B86C801-ECFE-4D05-8AA5-1581116BAFBC}">
            <xm:f>$BO$4='Data entry'!$R48</xm:f>
            <x14:dxf>
              <fill>
                <patternFill>
                  <bgColor rgb="FFFFFF00"/>
                </patternFill>
              </fill>
            </x14:dxf>
          </x14:cfRule>
          <xm:sqref>BA131:BO131</xm:sqref>
        </x14:conditionalFormatting>
        <x14:conditionalFormatting xmlns:xm="http://schemas.microsoft.com/office/excel/2006/main">
          <x14:cfRule type="expression" priority="4698006" id="{058A23EC-3371-4A02-9F20-1ECA603AC6BC}">
            <xm:f>$BP$4='Data entry'!$R48</xm:f>
            <x14:dxf>
              <fill>
                <patternFill>
                  <bgColor rgb="FFFF0000"/>
                </patternFill>
              </fill>
            </x14:dxf>
          </x14:cfRule>
          <xm:sqref>BN132:BZ132</xm:sqref>
        </x14:conditionalFormatting>
        <x14:conditionalFormatting xmlns:xm="http://schemas.microsoft.com/office/excel/2006/main">
          <x14:cfRule type="expression" priority="4698007" id="{3E711E31-3992-4555-AB22-87133D60CD15}">
            <xm:f>$BP$4='Data entry'!$R48</xm:f>
            <x14:dxf>
              <fill>
                <patternFill>
                  <bgColor rgb="FFFFFF00"/>
                </patternFill>
              </fill>
            </x14:dxf>
          </x14:cfRule>
          <xm:sqref>BB131:BP131</xm:sqref>
        </x14:conditionalFormatting>
        <x14:conditionalFormatting xmlns:xm="http://schemas.microsoft.com/office/excel/2006/main">
          <x14:cfRule type="expression" priority="4698008" id="{23E9F8B9-37D5-4730-9453-6F23E8ECBBE3}">
            <xm:f>$BQ$4='Data entry'!$R48</xm:f>
            <x14:dxf>
              <fill>
                <patternFill>
                  <bgColor rgb="FFFFFF00"/>
                </patternFill>
              </fill>
            </x14:dxf>
          </x14:cfRule>
          <xm:sqref>BC131:BQ131</xm:sqref>
        </x14:conditionalFormatting>
        <x14:conditionalFormatting xmlns:xm="http://schemas.microsoft.com/office/excel/2006/main">
          <x14:cfRule type="expression" priority="4698009" id="{BCFD92F6-AAD3-44FD-BC61-A292A81B883E}">
            <xm:f>$BQ$4='Data entry'!$R48</xm:f>
            <x14:dxf>
              <fill>
                <patternFill>
                  <bgColor rgb="FFFF0000"/>
                </patternFill>
              </fill>
            </x14:dxf>
          </x14:cfRule>
          <xm:sqref>BO132:CA132</xm:sqref>
        </x14:conditionalFormatting>
        <x14:conditionalFormatting xmlns:xm="http://schemas.microsoft.com/office/excel/2006/main">
          <x14:cfRule type="expression" priority="4698010" id="{357D60E5-F356-477E-8020-A18F42C02832}">
            <xm:f>$BR$4='Data entry'!$R48</xm:f>
            <x14:dxf>
              <fill>
                <patternFill>
                  <bgColor rgb="FFFFFF00"/>
                </patternFill>
              </fill>
            </x14:dxf>
          </x14:cfRule>
          <xm:sqref>BD131:BR131</xm:sqref>
        </x14:conditionalFormatting>
        <x14:conditionalFormatting xmlns:xm="http://schemas.microsoft.com/office/excel/2006/main">
          <x14:cfRule type="expression" priority="4698011" id="{DA2B6511-43B3-432D-B6AA-1DB1188B90A6}">
            <xm:f>$BR$4='Data entry'!$R48</xm:f>
            <x14:dxf>
              <fill>
                <patternFill>
                  <bgColor rgb="FFFF0000"/>
                </patternFill>
              </fill>
            </x14:dxf>
          </x14:cfRule>
          <xm:sqref>BP132:CB132</xm:sqref>
        </x14:conditionalFormatting>
        <x14:conditionalFormatting xmlns:xm="http://schemas.microsoft.com/office/excel/2006/main">
          <x14:cfRule type="expression" priority="4698012" id="{0D5F64E4-4136-4BFA-B833-CC8578525D9C}">
            <xm:f>$BS$4='Data entry'!$R48</xm:f>
            <x14:dxf>
              <fill>
                <patternFill>
                  <bgColor rgb="FFFFFF00"/>
                </patternFill>
              </fill>
            </x14:dxf>
          </x14:cfRule>
          <xm:sqref>BE131:BS131</xm:sqref>
        </x14:conditionalFormatting>
        <x14:conditionalFormatting xmlns:xm="http://schemas.microsoft.com/office/excel/2006/main">
          <x14:cfRule type="expression" priority="4698013" id="{AC94D468-F078-4AE2-8771-102996E07B09}">
            <xm:f>$BS$4='Data entry'!$R48</xm:f>
            <x14:dxf>
              <fill>
                <patternFill>
                  <bgColor rgb="FFFF0000"/>
                </patternFill>
              </fill>
            </x14:dxf>
          </x14:cfRule>
          <xm:sqref>BQ132:CC132</xm:sqref>
        </x14:conditionalFormatting>
        <x14:conditionalFormatting xmlns:xm="http://schemas.microsoft.com/office/excel/2006/main">
          <x14:cfRule type="expression" priority="4698014" id="{10E78F76-181E-4F19-9F89-7DD36D3EFE30}">
            <xm:f>$BT$4='Data entry'!$R48</xm:f>
            <x14:dxf>
              <fill>
                <patternFill>
                  <bgColor rgb="FFFFFF00"/>
                </patternFill>
              </fill>
            </x14:dxf>
          </x14:cfRule>
          <xm:sqref>BF131:BT131</xm:sqref>
        </x14:conditionalFormatting>
        <x14:conditionalFormatting xmlns:xm="http://schemas.microsoft.com/office/excel/2006/main">
          <x14:cfRule type="expression" priority="4698015" id="{6A5FADC6-9512-4EFB-90A5-7B5244D10D1F}">
            <xm:f>$BT$4='Data entry'!$R48</xm:f>
            <x14:dxf>
              <fill>
                <patternFill>
                  <bgColor rgb="FFFF0000"/>
                </patternFill>
              </fill>
            </x14:dxf>
          </x14:cfRule>
          <xm:sqref>BR132:CC132</xm:sqref>
        </x14:conditionalFormatting>
        <x14:conditionalFormatting xmlns:xm="http://schemas.microsoft.com/office/excel/2006/main">
          <x14:cfRule type="expression" priority="4698016" id="{A51139D1-8841-4B96-B8CB-DFE3808765CF}">
            <xm:f>$BU$4='Data entry'!$R48</xm:f>
            <x14:dxf>
              <fill>
                <patternFill>
                  <bgColor rgb="FFFFFF00"/>
                </patternFill>
              </fill>
            </x14:dxf>
          </x14:cfRule>
          <xm:sqref>BG131:BU131</xm:sqref>
        </x14:conditionalFormatting>
        <x14:conditionalFormatting xmlns:xm="http://schemas.microsoft.com/office/excel/2006/main">
          <x14:cfRule type="expression" priority="4698017" id="{55CA7258-760F-4BFF-ACB5-A70FEB3E7981}">
            <xm:f>$BU$4='Data entry'!$R48</xm:f>
            <x14:dxf>
              <fill>
                <patternFill>
                  <bgColor rgb="FFFF0000"/>
                </patternFill>
              </fill>
            </x14:dxf>
          </x14:cfRule>
          <xm:sqref>BS132:CC132</xm:sqref>
        </x14:conditionalFormatting>
        <x14:conditionalFormatting xmlns:xm="http://schemas.microsoft.com/office/excel/2006/main">
          <x14:cfRule type="expression" priority="4698018" id="{A922B218-64DB-4CBB-9AB8-FE0EBB44E09E}">
            <xm:f>$BV$4='Data entry'!$R48</xm:f>
            <x14:dxf>
              <fill>
                <patternFill>
                  <bgColor rgb="FFFFFF00"/>
                </patternFill>
              </fill>
            </x14:dxf>
          </x14:cfRule>
          <xm:sqref>BH131:BV131</xm:sqref>
        </x14:conditionalFormatting>
        <x14:conditionalFormatting xmlns:xm="http://schemas.microsoft.com/office/excel/2006/main">
          <x14:cfRule type="expression" priority="4698019" id="{C98E908A-CD31-4778-B41C-7AFB9DBE639A}">
            <xm:f>$BV$4='Data entry'!$R48</xm:f>
            <x14:dxf>
              <fill>
                <patternFill>
                  <bgColor rgb="FFFF0000"/>
                </patternFill>
              </fill>
            </x14:dxf>
          </x14:cfRule>
          <xm:sqref>BT132:CC132</xm:sqref>
        </x14:conditionalFormatting>
        <x14:conditionalFormatting xmlns:xm="http://schemas.microsoft.com/office/excel/2006/main">
          <x14:cfRule type="expression" priority="4698020" id="{465CCCA3-B4DB-4B61-8AC7-8A5E4CEC9E3F}">
            <xm:f>$BW$4='Data entry'!$R48</xm:f>
            <x14:dxf>
              <fill>
                <patternFill>
                  <bgColor rgb="FFFFFF00"/>
                </patternFill>
              </fill>
            </x14:dxf>
          </x14:cfRule>
          <xm:sqref>BI131:BW131</xm:sqref>
        </x14:conditionalFormatting>
        <x14:conditionalFormatting xmlns:xm="http://schemas.microsoft.com/office/excel/2006/main">
          <x14:cfRule type="expression" priority="4698021" id="{37566F97-6D06-400B-A709-FE657B07687F}">
            <xm:f>$BW$4='Data entry'!$R48</xm:f>
            <x14:dxf>
              <fill>
                <patternFill>
                  <bgColor rgb="FFFF0000"/>
                </patternFill>
              </fill>
            </x14:dxf>
          </x14:cfRule>
          <xm:sqref>BU132:CC132</xm:sqref>
        </x14:conditionalFormatting>
        <x14:conditionalFormatting xmlns:xm="http://schemas.microsoft.com/office/excel/2006/main">
          <x14:cfRule type="expression" priority="4698022" id="{D8FBA3AC-5CF0-4E45-97CA-1D4DEE729ADA}">
            <xm:f>$BX$4='Data entry'!$R48</xm:f>
            <x14:dxf>
              <fill>
                <patternFill>
                  <bgColor rgb="FFFFFF00"/>
                </patternFill>
              </fill>
            </x14:dxf>
          </x14:cfRule>
          <xm:sqref>BJ131:BX131</xm:sqref>
        </x14:conditionalFormatting>
        <x14:conditionalFormatting xmlns:xm="http://schemas.microsoft.com/office/excel/2006/main">
          <x14:cfRule type="expression" priority="4698023" id="{E077C84B-A94F-431D-B232-4AFCC7C64F54}">
            <xm:f>$BX$4='Data entry'!$R48</xm:f>
            <x14:dxf>
              <fill>
                <patternFill>
                  <bgColor rgb="FFFF0000"/>
                </patternFill>
              </fill>
            </x14:dxf>
          </x14:cfRule>
          <xm:sqref>BV132:CC132</xm:sqref>
        </x14:conditionalFormatting>
        <x14:conditionalFormatting xmlns:xm="http://schemas.microsoft.com/office/excel/2006/main">
          <x14:cfRule type="expression" priority="4698024" id="{63783BA8-0C97-4A44-86FD-7A2BCF1B9957}">
            <xm:f>$BY$4='Data entry'!$R48</xm:f>
            <x14:dxf>
              <fill>
                <patternFill>
                  <bgColor rgb="FFFFFF00"/>
                </patternFill>
              </fill>
            </x14:dxf>
          </x14:cfRule>
          <xm:sqref>BK131:BY131</xm:sqref>
        </x14:conditionalFormatting>
        <x14:conditionalFormatting xmlns:xm="http://schemas.microsoft.com/office/excel/2006/main">
          <x14:cfRule type="expression" priority="4698025" id="{BB8DB8B4-B71B-46D2-AEE7-346F16103F74}">
            <xm:f>$BY$4='Data entry'!$R48</xm:f>
            <x14:dxf>
              <fill>
                <patternFill>
                  <bgColor rgb="FFFF0000"/>
                </patternFill>
              </fill>
            </x14:dxf>
          </x14:cfRule>
          <xm:sqref>BW132:CC132</xm:sqref>
        </x14:conditionalFormatting>
        <x14:conditionalFormatting xmlns:xm="http://schemas.microsoft.com/office/excel/2006/main">
          <x14:cfRule type="expression" priority="4698026" id="{1B638B98-2B06-4FEB-90C1-446A3E0A3979}">
            <xm:f>$BZ$4='Data entry'!$R48</xm:f>
            <x14:dxf>
              <fill>
                <patternFill>
                  <bgColor rgb="FFFFFF00"/>
                </patternFill>
              </fill>
            </x14:dxf>
          </x14:cfRule>
          <xm:sqref>BL131:BZ131</xm:sqref>
        </x14:conditionalFormatting>
        <x14:conditionalFormatting xmlns:xm="http://schemas.microsoft.com/office/excel/2006/main">
          <x14:cfRule type="expression" priority="4698027" id="{D3A0A2F8-D1B2-4DC5-B2A9-0EF53074E685}">
            <xm:f>$BZ$4='Data entry'!$R48</xm:f>
            <x14:dxf>
              <fill>
                <patternFill>
                  <bgColor rgb="FFFF0000"/>
                </patternFill>
              </fill>
            </x14:dxf>
          </x14:cfRule>
          <xm:sqref>BX132:CC132</xm:sqref>
        </x14:conditionalFormatting>
        <x14:conditionalFormatting xmlns:xm="http://schemas.microsoft.com/office/excel/2006/main">
          <x14:cfRule type="expression" priority="4698028" id="{83F6D018-7D3B-4D33-9998-11572F2F2FF5}">
            <xm:f>$CA$4='Data entry'!$R48</xm:f>
            <x14:dxf>
              <fill>
                <patternFill>
                  <bgColor rgb="FFFFFF00"/>
                </patternFill>
              </fill>
            </x14:dxf>
          </x14:cfRule>
          <xm:sqref>BM131:CA131</xm:sqref>
        </x14:conditionalFormatting>
        <x14:conditionalFormatting xmlns:xm="http://schemas.microsoft.com/office/excel/2006/main">
          <x14:cfRule type="expression" priority="4698029" id="{8E6D0B51-5626-4ED9-9072-C7A2C139704F}">
            <xm:f>$CA$4='Data entry'!$R48</xm:f>
            <x14:dxf>
              <fill>
                <patternFill>
                  <bgColor rgb="FFFF0000"/>
                </patternFill>
              </fill>
            </x14:dxf>
          </x14:cfRule>
          <xm:sqref>BY132:CC132</xm:sqref>
        </x14:conditionalFormatting>
        <x14:conditionalFormatting xmlns:xm="http://schemas.microsoft.com/office/excel/2006/main">
          <x14:cfRule type="expression" priority="4698030" id="{E1886EE4-3BDE-43A9-9F4B-79377FEC37FE}">
            <xm:f>$CB$4='Data entry'!$R48</xm:f>
            <x14:dxf>
              <fill>
                <patternFill>
                  <bgColor rgb="FFFFFF00"/>
                </patternFill>
              </fill>
            </x14:dxf>
          </x14:cfRule>
          <xm:sqref>BN131:CB131</xm:sqref>
        </x14:conditionalFormatting>
        <x14:conditionalFormatting xmlns:xm="http://schemas.microsoft.com/office/excel/2006/main">
          <x14:cfRule type="expression" priority="4698031" id="{ADEF572A-6C18-4602-BB86-01C96D36E07E}">
            <xm:f>$CB$4='Data entry'!$R48</xm:f>
            <x14:dxf>
              <fill>
                <patternFill>
                  <bgColor rgb="FFFF0000"/>
                </patternFill>
              </fill>
            </x14:dxf>
          </x14:cfRule>
          <xm:sqref>BZ132:CC132</xm:sqref>
        </x14:conditionalFormatting>
        <x14:conditionalFormatting xmlns:xm="http://schemas.microsoft.com/office/excel/2006/main">
          <x14:cfRule type="expression" priority="4698032" id="{7984E1C9-E073-4955-8543-62145CB6D008}">
            <xm:f>$CC$4='Data entry'!$R48</xm:f>
            <x14:dxf>
              <fill>
                <patternFill>
                  <bgColor rgb="FFFFFF00"/>
                </patternFill>
              </fill>
            </x14:dxf>
          </x14:cfRule>
          <xm:sqref>BO131:CC131</xm:sqref>
        </x14:conditionalFormatting>
        <x14:conditionalFormatting xmlns:xm="http://schemas.microsoft.com/office/excel/2006/main">
          <x14:cfRule type="expression" priority="4698033" id="{18A957B3-59FA-4698-BA92-2A208FF18E2F}">
            <xm:f>$CC$4='Data entry'!$R48</xm:f>
            <x14:dxf>
              <fill>
                <patternFill>
                  <bgColor rgb="FFFF0000"/>
                </patternFill>
              </fill>
            </x14:dxf>
          </x14:cfRule>
          <xm:sqref>CA132:CC132</xm:sqref>
        </x14:conditionalFormatting>
        <x14:conditionalFormatting xmlns:xm="http://schemas.microsoft.com/office/excel/2006/main">
          <x14:cfRule type="expression" priority="4698120" id="{5B0DB825-B7C2-40AC-B7EF-F267F054CFB9}">
            <xm:f>$U$4='Data entry'!$R49</xm:f>
            <x14:dxf>
              <fill>
                <patternFill>
                  <bgColor rgb="FFFF0000"/>
                </patternFill>
              </fill>
            </x14:dxf>
          </x14:cfRule>
          <xm:sqref>S135:AE135</xm:sqref>
        </x14:conditionalFormatting>
        <x14:conditionalFormatting xmlns:xm="http://schemas.microsoft.com/office/excel/2006/main">
          <x14:cfRule type="expression" priority="4698121" id="{18311200-E2BB-400F-B594-3B9A2C6068C2}">
            <xm:f>$V$4='Data entry'!$R49</xm:f>
            <x14:dxf>
              <fill>
                <patternFill>
                  <bgColor rgb="FFFF0000"/>
                </patternFill>
              </fill>
            </x14:dxf>
          </x14:cfRule>
          <xm:sqref>T135:AF135</xm:sqref>
        </x14:conditionalFormatting>
        <x14:conditionalFormatting xmlns:xm="http://schemas.microsoft.com/office/excel/2006/main">
          <x14:cfRule type="expression" priority="4698122" id="{D6DFB621-1A58-4C59-A987-ECAD0EB2D32B}">
            <xm:f>$V$4='Data entry'!$R49</xm:f>
            <x14:dxf>
              <fill>
                <patternFill>
                  <bgColor rgb="FFFFFF00"/>
                </patternFill>
              </fill>
            </x14:dxf>
          </x14:cfRule>
          <xm:sqref>H134:V134</xm:sqref>
        </x14:conditionalFormatting>
        <x14:conditionalFormatting xmlns:xm="http://schemas.microsoft.com/office/excel/2006/main">
          <x14:cfRule type="expression" priority="4698123" id="{5F87A680-DC5F-433D-A779-B7A534ACCDA9}">
            <xm:f>$W$4='Data entry'!$R49</xm:f>
            <x14:dxf>
              <fill>
                <patternFill>
                  <bgColor rgb="FFFF0000"/>
                </patternFill>
              </fill>
            </x14:dxf>
          </x14:cfRule>
          <xm:sqref>U135:AG135</xm:sqref>
        </x14:conditionalFormatting>
        <x14:conditionalFormatting xmlns:xm="http://schemas.microsoft.com/office/excel/2006/main">
          <x14:cfRule type="expression" priority="4698124" id="{964539FF-A92C-4F68-B268-B7157A32678C}">
            <xm:f>$W$4='Data entry'!$R49</xm:f>
            <x14:dxf>
              <fill>
                <patternFill>
                  <bgColor rgb="FFFFFF00"/>
                </patternFill>
              </fill>
            </x14:dxf>
          </x14:cfRule>
          <xm:sqref>I134:W134</xm:sqref>
        </x14:conditionalFormatting>
        <x14:conditionalFormatting xmlns:xm="http://schemas.microsoft.com/office/excel/2006/main">
          <x14:cfRule type="expression" priority="4698125" id="{46C1533A-F090-4A90-9309-3F59EC3FD3B0}">
            <xm:f>$X$4='Data entry'!$R49</xm:f>
            <x14:dxf>
              <fill>
                <patternFill>
                  <bgColor rgb="FFFF0000"/>
                </patternFill>
              </fill>
            </x14:dxf>
          </x14:cfRule>
          <xm:sqref>V135:AH135</xm:sqref>
        </x14:conditionalFormatting>
        <x14:conditionalFormatting xmlns:xm="http://schemas.microsoft.com/office/excel/2006/main">
          <x14:cfRule type="expression" priority="4698126" id="{7C70E81C-DDD4-4D75-933A-4F6A39893184}">
            <xm:f>$X$4='Data entry'!$R49</xm:f>
            <x14:dxf>
              <fill>
                <patternFill>
                  <bgColor rgb="FFFFFF00"/>
                </patternFill>
              </fill>
            </x14:dxf>
          </x14:cfRule>
          <xm:sqref>J134:X134</xm:sqref>
        </x14:conditionalFormatting>
        <x14:conditionalFormatting xmlns:xm="http://schemas.microsoft.com/office/excel/2006/main">
          <x14:cfRule type="expression" priority="4698127" id="{561AF073-0EF8-4B72-A119-40A639C4359D}">
            <xm:f>$Y$4='Data entry'!$R49</xm:f>
            <x14:dxf>
              <fill>
                <patternFill>
                  <bgColor rgb="FFFF0000"/>
                </patternFill>
              </fill>
            </x14:dxf>
          </x14:cfRule>
          <xm:sqref>W135:AI135</xm:sqref>
        </x14:conditionalFormatting>
        <x14:conditionalFormatting xmlns:xm="http://schemas.microsoft.com/office/excel/2006/main">
          <x14:cfRule type="expression" priority="4698128" id="{F242E808-8F07-4A89-9524-7D4C767CE357}">
            <xm:f>$Y$4='Data entry'!$R49</xm:f>
            <x14:dxf>
              <fill>
                <patternFill>
                  <bgColor rgb="FFFFFF00"/>
                </patternFill>
              </fill>
            </x14:dxf>
          </x14:cfRule>
          <xm:sqref>K134:Y134</xm:sqref>
        </x14:conditionalFormatting>
        <x14:conditionalFormatting xmlns:xm="http://schemas.microsoft.com/office/excel/2006/main">
          <x14:cfRule type="expression" priority="4698129" id="{DD601058-982B-4218-BD9D-64BB823C2633}">
            <xm:f>$Z$4='Data entry'!$R49</xm:f>
            <x14:dxf>
              <fill>
                <patternFill>
                  <bgColor rgb="FFFF0000"/>
                </patternFill>
              </fill>
            </x14:dxf>
          </x14:cfRule>
          <xm:sqref>X135:AJ135</xm:sqref>
        </x14:conditionalFormatting>
        <x14:conditionalFormatting xmlns:xm="http://schemas.microsoft.com/office/excel/2006/main">
          <x14:cfRule type="expression" priority="4698130" id="{C9DB141D-79F6-4093-92A3-7BF7A1622985}">
            <xm:f>$Z$4='Data entry'!$R49</xm:f>
            <x14:dxf>
              <fill>
                <patternFill>
                  <bgColor rgb="FFFFFF00"/>
                </patternFill>
              </fill>
            </x14:dxf>
          </x14:cfRule>
          <xm:sqref>L134:Z134</xm:sqref>
        </x14:conditionalFormatting>
        <x14:conditionalFormatting xmlns:xm="http://schemas.microsoft.com/office/excel/2006/main">
          <x14:cfRule type="expression" priority="4698131" id="{710EB8D3-F5C0-4E3C-8214-2D0C4E26F649}">
            <xm:f>$AA$4='Data entry'!$R49</xm:f>
            <x14:dxf>
              <fill>
                <patternFill>
                  <bgColor rgb="FFFF0000"/>
                </patternFill>
              </fill>
            </x14:dxf>
          </x14:cfRule>
          <xm:sqref>Y135:AK135</xm:sqref>
        </x14:conditionalFormatting>
        <x14:conditionalFormatting xmlns:xm="http://schemas.microsoft.com/office/excel/2006/main">
          <x14:cfRule type="expression" priority="4698132" id="{33825D69-C967-4D27-B395-5D44A3083802}">
            <xm:f>$AA$4='Data entry'!$R49</xm:f>
            <x14:dxf>
              <fill>
                <patternFill>
                  <bgColor rgb="FFFFFF00"/>
                </patternFill>
              </fill>
            </x14:dxf>
          </x14:cfRule>
          <xm:sqref>M134:AA134</xm:sqref>
        </x14:conditionalFormatting>
        <x14:conditionalFormatting xmlns:xm="http://schemas.microsoft.com/office/excel/2006/main">
          <x14:cfRule type="expression" priority="4698133" id="{9811A97D-351B-4D32-8754-AF433277E62B}">
            <xm:f>$AB$4='Data entry'!$R49</xm:f>
            <x14:dxf>
              <fill>
                <patternFill>
                  <bgColor rgb="FFFF0000"/>
                </patternFill>
              </fill>
            </x14:dxf>
          </x14:cfRule>
          <xm:sqref>Z135:AL135</xm:sqref>
        </x14:conditionalFormatting>
        <x14:conditionalFormatting xmlns:xm="http://schemas.microsoft.com/office/excel/2006/main">
          <x14:cfRule type="expression" priority="4698134" id="{6DD3E556-C72E-438B-92DA-3096ED1E4178}">
            <xm:f>$AB$4='Data entry'!$R49</xm:f>
            <x14:dxf>
              <fill>
                <patternFill>
                  <bgColor rgb="FFFFFF00"/>
                </patternFill>
              </fill>
            </x14:dxf>
          </x14:cfRule>
          <xm:sqref>N134:AB134</xm:sqref>
        </x14:conditionalFormatting>
        <x14:conditionalFormatting xmlns:xm="http://schemas.microsoft.com/office/excel/2006/main">
          <x14:cfRule type="expression" priority="4698135" id="{C0DF7A1B-D6BC-4371-BD3A-F0708147FA1C}">
            <xm:f>$AC$4='Data entry'!$R49</xm:f>
            <x14:dxf>
              <fill>
                <patternFill>
                  <bgColor rgb="FFFF0000"/>
                </patternFill>
              </fill>
            </x14:dxf>
          </x14:cfRule>
          <xm:sqref>AA135:AM135</xm:sqref>
        </x14:conditionalFormatting>
        <x14:conditionalFormatting xmlns:xm="http://schemas.microsoft.com/office/excel/2006/main">
          <x14:cfRule type="expression" priority="4698136" id="{DB2E1F48-AF0E-41F9-A976-6B1963CA5711}">
            <xm:f>$AC$4='Data entry'!$R49</xm:f>
            <x14:dxf>
              <fill>
                <patternFill>
                  <bgColor rgb="FFFFFF00"/>
                </patternFill>
              </fill>
            </x14:dxf>
          </x14:cfRule>
          <xm:sqref>O134:AC134</xm:sqref>
        </x14:conditionalFormatting>
        <x14:conditionalFormatting xmlns:xm="http://schemas.microsoft.com/office/excel/2006/main">
          <x14:cfRule type="expression" priority="4698137" id="{89909907-F9A9-4AF9-BC1D-304710A43F50}">
            <xm:f>$AD$4='Data entry'!$R49</xm:f>
            <x14:dxf>
              <fill>
                <patternFill>
                  <bgColor rgb="FFFF0000"/>
                </patternFill>
              </fill>
            </x14:dxf>
          </x14:cfRule>
          <xm:sqref>AB135:AN135</xm:sqref>
        </x14:conditionalFormatting>
        <x14:conditionalFormatting xmlns:xm="http://schemas.microsoft.com/office/excel/2006/main">
          <x14:cfRule type="expression" priority="4698138" id="{729676B7-E331-43A4-ACC9-850DCEE76A0E}">
            <xm:f>$AD$4='Data entry'!$R49</xm:f>
            <x14:dxf>
              <fill>
                <patternFill>
                  <bgColor rgb="FFFFFF00"/>
                </patternFill>
              </fill>
            </x14:dxf>
          </x14:cfRule>
          <xm:sqref>P134:AD134</xm:sqref>
        </x14:conditionalFormatting>
        <x14:conditionalFormatting xmlns:xm="http://schemas.microsoft.com/office/excel/2006/main">
          <x14:cfRule type="expression" priority="4698139" id="{00DA2C55-350E-44AA-ABEA-808FABFDA737}">
            <xm:f>$AE$4='Data entry'!$R49</xm:f>
            <x14:dxf>
              <fill>
                <patternFill>
                  <bgColor rgb="FFFF0000"/>
                </patternFill>
              </fill>
            </x14:dxf>
          </x14:cfRule>
          <xm:sqref>AC135:AO135</xm:sqref>
        </x14:conditionalFormatting>
        <x14:conditionalFormatting xmlns:xm="http://schemas.microsoft.com/office/excel/2006/main">
          <x14:cfRule type="expression" priority="4698140" id="{373C95F1-00C1-45E9-B561-5224945BA4A4}">
            <xm:f>$AE$4='Data entry'!$R49</xm:f>
            <x14:dxf>
              <fill>
                <patternFill>
                  <bgColor rgb="FFFFFF00"/>
                </patternFill>
              </fill>
            </x14:dxf>
          </x14:cfRule>
          <xm:sqref>Q134:AE134</xm:sqref>
        </x14:conditionalFormatting>
        <x14:conditionalFormatting xmlns:xm="http://schemas.microsoft.com/office/excel/2006/main">
          <x14:cfRule type="expression" priority="4698141" id="{65E90E74-6BEF-4B00-BD5E-ECACFEBC225A}">
            <xm:f>$AF$4='Data entry'!$R49</xm:f>
            <x14:dxf>
              <fill>
                <patternFill>
                  <bgColor rgb="FFFF0000"/>
                </patternFill>
              </fill>
            </x14:dxf>
          </x14:cfRule>
          <xm:sqref>AD135:AP135</xm:sqref>
        </x14:conditionalFormatting>
        <x14:conditionalFormatting xmlns:xm="http://schemas.microsoft.com/office/excel/2006/main">
          <x14:cfRule type="expression" priority="4698142" id="{56B519D7-E083-4811-B42B-D6CB10D44BB3}">
            <xm:f>$AF$4='Data entry'!$R49</xm:f>
            <x14:dxf>
              <fill>
                <patternFill>
                  <bgColor rgb="FFFFFF00"/>
                </patternFill>
              </fill>
            </x14:dxf>
          </x14:cfRule>
          <xm:sqref>R134:AF134</xm:sqref>
        </x14:conditionalFormatting>
        <x14:conditionalFormatting xmlns:xm="http://schemas.microsoft.com/office/excel/2006/main">
          <x14:cfRule type="expression" priority="4698143" id="{889682B6-BF9B-414B-86B7-1C802156B058}">
            <xm:f>$AG$4='Data entry'!$R49</xm:f>
            <x14:dxf>
              <fill>
                <patternFill>
                  <bgColor rgb="FFFF0000"/>
                </patternFill>
              </fill>
            </x14:dxf>
          </x14:cfRule>
          <xm:sqref>AE135:AQ135</xm:sqref>
        </x14:conditionalFormatting>
        <x14:conditionalFormatting xmlns:xm="http://schemas.microsoft.com/office/excel/2006/main">
          <x14:cfRule type="expression" priority="4698144" id="{19913D88-1940-4CB0-B29C-D46D60833BD5}">
            <xm:f>$AG$4='Data entry'!$R49</xm:f>
            <x14:dxf>
              <fill>
                <patternFill>
                  <bgColor rgb="FFFFFF00"/>
                </patternFill>
              </fill>
            </x14:dxf>
          </x14:cfRule>
          <xm:sqref>S134:AG134</xm:sqref>
        </x14:conditionalFormatting>
        <x14:conditionalFormatting xmlns:xm="http://schemas.microsoft.com/office/excel/2006/main">
          <x14:cfRule type="expression" priority="4698145" id="{3DD7B9A5-18A3-463F-BAD5-9796FC487328}">
            <xm:f>$AH$4='Data entry'!$R49</xm:f>
            <x14:dxf>
              <fill>
                <patternFill>
                  <bgColor rgb="FFFF0000"/>
                </patternFill>
              </fill>
            </x14:dxf>
          </x14:cfRule>
          <xm:sqref>AF135:AR135</xm:sqref>
        </x14:conditionalFormatting>
        <x14:conditionalFormatting xmlns:xm="http://schemas.microsoft.com/office/excel/2006/main">
          <x14:cfRule type="expression" priority="4698146" id="{31005CF4-5608-496E-91EB-F7F505046C80}">
            <xm:f>$AH$4='Data entry'!$R49</xm:f>
            <x14:dxf>
              <fill>
                <patternFill>
                  <bgColor rgb="FFFFFF00"/>
                </patternFill>
              </fill>
            </x14:dxf>
          </x14:cfRule>
          <xm:sqref>T134:AH134</xm:sqref>
        </x14:conditionalFormatting>
        <x14:conditionalFormatting xmlns:xm="http://schemas.microsoft.com/office/excel/2006/main">
          <x14:cfRule type="expression" priority="4698147" id="{CD14F654-5B7A-444F-8FC1-7DD71E76E475}">
            <xm:f>$AI$4='Data entry'!$R49</xm:f>
            <x14:dxf>
              <fill>
                <patternFill>
                  <bgColor rgb="FFFF0000"/>
                </patternFill>
              </fill>
            </x14:dxf>
          </x14:cfRule>
          <xm:sqref>AG135:AS135</xm:sqref>
        </x14:conditionalFormatting>
        <x14:conditionalFormatting xmlns:xm="http://schemas.microsoft.com/office/excel/2006/main">
          <x14:cfRule type="expression" priority="4698148" id="{0E4E448C-6C46-4285-B877-A61A90294385}">
            <xm:f>$AI$4='Data entry'!$R49</xm:f>
            <x14:dxf>
              <fill>
                <patternFill>
                  <bgColor rgb="FFFFFF00"/>
                </patternFill>
              </fill>
            </x14:dxf>
          </x14:cfRule>
          <xm:sqref>U134:AI134</xm:sqref>
        </x14:conditionalFormatting>
        <x14:conditionalFormatting xmlns:xm="http://schemas.microsoft.com/office/excel/2006/main">
          <x14:cfRule type="expression" priority="4698149" id="{B1C1818F-791C-403D-BE73-6F6E9DC6A16D}">
            <xm:f>$AJ$4='Data entry'!$R49</xm:f>
            <x14:dxf>
              <fill>
                <patternFill>
                  <bgColor rgb="FFFF0000"/>
                </patternFill>
              </fill>
            </x14:dxf>
          </x14:cfRule>
          <xm:sqref>AH135:AT135</xm:sqref>
        </x14:conditionalFormatting>
        <x14:conditionalFormatting xmlns:xm="http://schemas.microsoft.com/office/excel/2006/main">
          <x14:cfRule type="expression" priority="4698150" id="{A1237792-221B-431B-B8A7-E9A64DA46D93}">
            <xm:f>$AJ$4='Data entry'!$R49</xm:f>
            <x14:dxf>
              <fill>
                <patternFill>
                  <bgColor rgb="FFFFFF00"/>
                </patternFill>
              </fill>
            </x14:dxf>
          </x14:cfRule>
          <xm:sqref>V134:AJ134</xm:sqref>
        </x14:conditionalFormatting>
        <x14:conditionalFormatting xmlns:xm="http://schemas.microsoft.com/office/excel/2006/main">
          <x14:cfRule type="expression" priority="4698151" id="{617DC2AF-C7A3-4724-8EA3-17DEFEDC8949}">
            <xm:f>$AK$4='Data entry'!$R49</xm:f>
            <x14:dxf>
              <fill>
                <patternFill>
                  <bgColor rgb="FFFF0000"/>
                </patternFill>
              </fill>
            </x14:dxf>
          </x14:cfRule>
          <xm:sqref>AI135:AU135</xm:sqref>
        </x14:conditionalFormatting>
        <x14:conditionalFormatting xmlns:xm="http://schemas.microsoft.com/office/excel/2006/main">
          <x14:cfRule type="expression" priority="4698152" id="{AA72317D-37B1-48EB-A28B-BF2AC8DC4519}">
            <xm:f>$AK$4='Data entry'!$R49</xm:f>
            <x14:dxf>
              <fill>
                <patternFill>
                  <bgColor rgb="FFFFFF00"/>
                </patternFill>
              </fill>
            </x14:dxf>
          </x14:cfRule>
          <xm:sqref>W134:AK134</xm:sqref>
        </x14:conditionalFormatting>
        <x14:conditionalFormatting xmlns:xm="http://schemas.microsoft.com/office/excel/2006/main">
          <x14:cfRule type="expression" priority="4698153" id="{6CA9FB7A-20EA-4D3A-B74C-A001F4BE810D}">
            <xm:f>$AL$4='Data entry'!$R49</xm:f>
            <x14:dxf>
              <fill>
                <patternFill>
                  <bgColor rgb="FFFF0000"/>
                </patternFill>
              </fill>
            </x14:dxf>
          </x14:cfRule>
          <xm:sqref>AJ135:AV135</xm:sqref>
        </x14:conditionalFormatting>
        <x14:conditionalFormatting xmlns:xm="http://schemas.microsoft.com/office/excel/2006/main">
          <x14:cfRule type="expression" priority="4698154" id="{81A75DAA-573F-4EF3-A640-1B992C18BEA0}">
            <xm:f>$AL$4='Data entry'!$R49</xm:f>
            <x14:dxf>
              <fill>
                <patternFill>
                  <bgColor rgb="FFFFFF00"/>
                </patternFill>
              </fill>
            </x14:dxf>
          </x14:cfRule>
          <xm:sqref>X134:AL134</xm:sqref>
        </x14:conditionalFormatting>
        <x14:conditionalFormatting xmlns:xm="http://schemas.microsoft.com/office/excel/2006/main">
          <x14:cfRule type="expression" priority="4698155" id="{3D44713E-4ABA-4CCD-9DF4-5513A9FB5E1E}">
            <xm:f>$AM$4='Data entry'!$R49</xm:f>
            <x14:dxf>
              <fill>
                <patternFill>
                  <bgColor rgb="FFFF0000"/>
                </patternFill>
              </fill>
            </x14:dxf>
          </x14:cfRule>
          <xm:sqref>AK135:AW135</xm:sqref>
        </x14:conditionalFormatting>
        <x14:conditionalFormatting xmlns:xm="http://schemas.microsoft.com/office/excel/2006/main">
          <x14:cfRule type="expression" priority="4698156" id="{05A26B51-72A7-4423-822F-2BDBC28275D0}">
            <xm:f>$AM$4='Data entry'!$R49</xm:f>
            <x14:dxf>
              <fill>
                <patternFill>
                  <bgColor rgb="FFFFFF00"/>
                </patternFill>
              </fill>
            </x14:dxf>
          </x14:cfRule>
          <xm:sqref>Y134:AM134</xm:sqref>
        </x14:conditionalFormatting>
        <x14:conditionalFormatting xmlns:xm="http://schemas.microsoft.com/office/excel/2006/main">
          <x14:cfRule type="expression" priority="4698157" id="{B8A20675-6230-4694-A7F6-6B3DC7142773}">
            <xm:f>$AN$4='Data entry'!$R49</xm:f>
            <x14:dxf>
              <fill>
                <patternFill>
                  <bgColor rgb="FFFF0000"/>
                </patternFill>
              </fill>
            </x14:dxf>
          </x14:cfRule>
          <xm:sqref>AL135:AX135</xm:sqref>
        </x14:conditionalFormatting>
        <x14:conditionalFormatting xmlns:xm="http://schemas.microsoft.com/office/excel/2006/main">
          <x14:cfRule type="expression" priority="4698158" id="{8421181C-7450-42E9-BC1D-065CCFCA960E}">
            <xm:f>$AN$4='Data entry'!$R49</xm:f>
            <x14:dxf>
              <fill>
                <patternFill>
                  <bgColor rgb="FFFFFF00"/>
                </patternFill>
              </fill>
            </x14:dxf>
          </x14:cfRule>
          <xm:sqref>Z134:AN134</xm:sqref>
        </x14:conditionalFormatting>
        <x14:conditionalFormatting xmlns:xm="http://schemas.microsoft.com/office/excel/2006/main">
          <x14:cfRule type="expression" priority="4698159" id="{067FE4BD-6EF4-4684-B6E0-35AB2F267EE7}">
            <xm:f>$AO$4='Data entry'!$R49</xm:f>
            <x14:dxf>
              <fill>
                <patternFill>
                  <bgColor rgb="FFFF0000"/>
                </patternFill>
              </fill>
            </x14:dxf>
          </x14:cfRule>
          <xm:sqref>AM135:AY135</xm:sqref>
        </x14:conditionalFormatting>
        <x14:conditionalFormatting xmlns:xm="http://schemas.microsoft.com/office/excel/2006/main">
          <x14:cfRule type="expression" priority="4698160" id="{F7653492-88D1-47AC-8BA3-0CCE65C3C2AB}">
            <xm:f>$AO$4='Data entry'!$R49</xm:f>
            <x14:dxf>
              <fill>
                <patternFill>
                  <bgColor rgb="FFFFFF00"/>
                </patternFill>
              </fill>
            </x14:dxf>
          </x14:cfRule>
          <xm:sqref>AA134:AO134</xm:sqref>
        </x14:conditionalFormatting>
        <x14:conditionalFormatting xmlns:xm="http://schemas.microsoft.com/office/excel/2006/main">
          <x14:cfRule type="expression" priority="4698161" id="{207A5E5D-B322-482E-9193-1D7318138358}">
            <xm:f>$AP$4='Data entry'!$R49</xm:f>
            <x14:dxf>
              <fill>
                <patternFill>
                  <bgColor rgb="FFFF0000"/>
                </patternFill>
              </fill>
            </x14:dxf>
          </x14:cfRule>
          <xm:sqref>AN135:AZ135</xm:sqref>
        </x14:conditionalFormatting>
        <x14:conditionalFormatting xmlns:xm="http://schemas.microsoft.com/office/excel/2006/main">
          <x14:cfRule type="expression" priority="4698162" id="{21DA638D-4CA0-4067-BFF1-240CE1A0261B}">
            <xm:f>$AP$4='Data entry'!$R49</xm:f>
            <x14:dxf>
              <fill>
                <patternFill>
                  <bgColor rgb="FFFFFF00"/>
                </patternFill>
              </fill>
            </x14:dxf>
          </x14:cfRule>
          <xm:sqref>AB134:AP134</xm:sqref>
        </x14:conditionalFormatting>
        <x14:conditionalFormatting xmlns:xm="http://schemas.microsoft.com/office/excel/2006/main">
          <x14:cfRule type="expression" priority="4698163" id="{71963D96-A42A-4B90-BFC7-6D83D37766EF}">
            <xm:f>$AQ$4='Data entry'!$R49</xm:f>
            <x14:dxf>
              <fill>
                <patternFill>
                  <bgColor rgb="FFFF0000"/>
                </patternFill>
              </fill>
            </x14:dxf>
          </x14:cfRule>
          <xm:sqref>AO135:BA135</xm:sqref>
        </x14:conditionalFormatting>
        <x14:conditionalFormatting xmlns:xm="http://schemas.microsoft.com/office/excel/2006/main">
          <x14:cfRule type="expression" priority="4698164" id="{74952595-84B6-484F-8FF6-FCC1F337DF4D}">
            <xm:f>$AQ$4='Data entry'!$R49</xm:f>
            <x14:dxf>
              <fill>
                <patternFill>
                  <bgColor rgb="FFFFFF00"/>
                </patternFill>
              </fill>
            </x14:dxf>
          </x14:cfRule>
          <xm:sqref>AC134:AQ134</xm:sqref>
        </x14:conditionalFormatting>
        <x14:conditionalFormatting xmlns:xm="http://schemas.microsoft.com/office/excel/2006/main">
          <x14:cfRule type="expression" priority="4698165" id="{8AC9C4B9-0A34-4BC0-B0F7-CA89434C4911}">
            <xm:f>$P$4='Data entry'!$R49</xm:f>
            <x14:dxf>
              <fill>
                <patternFill>
                  <bgColor rgb="FFFFFF00"/>
                </patternFill>
              </fill>
            </x14:dxf>
          </x14:cfRule>
          <xm:sqref>C134:P134</xm:sqref>
        </x14:conditionalFormatting>
        <x14:conditionalFormatting xmlns:xm="http://schemas.microsoft.com/office/excel/2006/main">
          <x14:cfRule type="expression" priority="4698166" id="{0A726775-ABFD-4F22-967C-1A4D87BA3751}">
            <xm:f>$Q$4='Data entry'!$R49</xm:f>
            <x14:dxf>
              <fill>
                <patternFill>
                  <bgColor rgb="FFFFFF00"/>
                </patternFill>
              </fill>
            </x14:dxf>
          </x14:cfRule>
          <xm:sqref>C134:Q134</xm:sqref>
        </x14:conditionalFormatting>
        <x14:conditionalFormatting xmlns:xm="http://schemas.microsoft.com/office/excel/2006/main">
          <x14:cfRule type="expression" priority="4698167" id="{3A8414BD-262C-43B5-86EE-FA6901D00453}">
            <xm:f>$Q$4='Data entry'!$R49</xm:f>
            <x14:dxf>
              <fill>
                <patternFill>
                  <bgColor rgb="FFFF0000"/>
                </patternFill>
              </fill>
            </x14:dxf>
          </x14:cfRule>
          <xm:sqref>O135:AA135</xm:sqref>
        </x14:conditionalFormatting>
        <x14:conditionalFormatting xmlns:xm="http://schemas.microsoft.com/office/excel/2006/main">
          <x14:cfRule type="expression" priority="4698168" id="{B8B5501D-F3EF-4449-9306-F652960C65F4}">
            <xm:f>$R$4='Data entry'!$R49</xm:f>
            <x14:dxf>
              <fill>
                <patternFill>
                  <bgColor rgb="FFFF0000"/>
                </patternFill>
              </fill>
            </x14:dxf>
          </x14:cfRule>
          <xm:sqref>P135:AB135</xm:sqref>
        </x14:conditionalFormatting>
        <x14:conditionalFormatting xmlns:xm="http://schemas.microsoft.com/office/excel/2006/main">
          <x14:cfRule type="expression" priority="4698169" id="{5D070DEC-B82E-4D87-B907-A3E5AB836991}">
            <xm:f>$R$4='Data entry'!$R49</xm:f>
            <x14:dxf>
              <fill>
                <patternFill>
                  <bgColor rgb="FFFFFF00"/>
                </patternFill>
              </fill>
            </x14:dxf>
          </x14:cfRule>
          <xm:sqref>D134:R134</xm:sqref>
        </x14:conditionalFormatting>
        <x14:conditionalFormatting xmlns:xm="http://schemas.microsoft.com/office/excel/2006/main">
          <x14:cfRule type="expression" priority="4698170" id="{E4D16A10-F818-4664-9FB2-F0E839824D4B}">
            <xm:f>$S$4='Data entry'!$R49</xm:f>
            <x14:dxf>
              <fill>
                <patternFill>
                  <bgColor rgb="FFFF0000"/>
                </patternFill>
              </fill>
            </x14:dxf>
          </x14:cfRule>
          <xm:sqref>Q135:AC135</xm:sqref>
        </x14:conditionalFormatting>
        <x14:conditionalFormatting xmlns:xm="http://schemas.microsoft.com/office/excel/2006/main">
          <x14:cfRule type="expression" priority="4698171" id="{1A9F9911-A3E9-4730-AFBE-AB8C596545CA}">
            <xm:f>$S$4='Data entry'!$R49</xm:f>
            <x14:dxf>
              <fill>
                <patternFill>
                  <bgColor rgb="FFFFFF00"/>
                </patternFill>
              </fill>
            </x14:dxf>
          </x14:cfRule>
          <xm:sqref>E134:S134</xm:sqref>
        </x14:conditionalFormatting>
        <x14:conditionalFormatting xmlns:xm="http://schemas.microsoft.com/office/excel/2006/main">
          <x14:cfRule type="expression" priority="4698172" id="{8BB5CD1B-B2AC-442A-9550-26DE19A62D22}">
            <xm:f>$T$4='Data entry'!$R49</xm:f>
            <x14:dxf>
              <fill>
                <patternFill>
                  <bgColor rgb="FFFF0000"/>
                </patternFill>
              </fill>
            </x14:dxf>
          </x14:cfRule>
          <xm:sqref>R135:AD135</xm:sqref>
        </x14:conditionalFormatting>
        <x14:conditionalFormatting xmlns:xm="http://schemas.microsoft.com/office/excel/2006/main">
          <x14:cfRule type="expression" priority="4698173" id="{E7B59C69-7921-4049-84A1-8B3E5F7B0598}">
            <xm:f>$T$4='Data entry'!$R49</xm:f>
            <x14:dxf>
              <fill>
                <patternFill>
                  <bgColor rgb="FFFFFF00"/>
                </patternFill>
              </fill>
            </x14:dxf>
          </x14:cfRule>
          <xm:sqref>F134:T134</xm:sqref>
        </x14:conditionalFormatting>
        <x14:conditionalFormatting xmlns:xm="http://schemas.microsoft.com/office/excel/2006/main">
          <x14:cfRule type="expression" priority="4698174" id="{238C09E5-7A3D-439D-949F-A7733073F9A2}">
            <xm:f>$U$4='Data entry'!$R49</xm:f>
            <x14:dxf>
              <fill>
                <patternFill>
                  <bgColor rgb="FFFFFF00"/>
                </patternFill>
              </fill>
            </x14:dxf>
          </x14:cfRule>
          <xm:sqref>G134:U134</xm:sqref>
        </x14:conditionalFormatting>
        <x14:conditionalFormatting xmlns:xm="http://schemas.microsoft.com/office/excel/2006/main">
          <x14:cfRule type="expression" priority="4698175" id="{DE4D4432-0A19-452A-AF14-2873FE4DF411}">
            <xm:f>$AR$4='Data entry'!$R49</xm:f>
            <x14:dxf>
              <fill>
                <patternFill>
                  <bgColor rgb="FFFF0000"/>
                </patternFill>
              </fill>
            </x14:dxf>
          </x14:cfRule>
          <xm:sqref>AP135:BB135</xm:sqref>
        </x14:conditionalFormatting>
        <x14:conditionalFormatting xmlns:xm="http://schemas.microsoft.com/office/excel/2006/main">
          <x14:cfRule type="expression" priority="4698176" id="{90D7E1FF-542D-40C8-9BD5-DFEB4CDD256F}">
            <xm:f>$AR$4='Data entry'!$R49</xm:f>
            <x14:dxf>
              <fill>
                <patternFill>
                  <bgColor rgb="FFFFFF00"/>
                </patternFill>
              </fill>
            </x14:dxf>
          </x14:cfRule>
          <xm:sqref>AD134:AR134</xm:sqref>
        </x14:conditionalFormatting>
        <x14:conditionalFormatting xmlns:xm="http://schemas.microsoft.com/office/excel/2006/main">
          <x14:cfRule type="expression" priority="4698177" id="{0EBB5305-4A4A-4205-A1FF-11160070CBC3}">
            <xm:f>$AS$4='Data entry'!$R49</xm:f>
            <x14:dxf>
              <fill>
                <patternFill>
                  <bgColor rgb="FFFF0000"/>
                </patternFill>
              </fill>
            </x14:dxf>
          </x14:cfRule>
          <xm:sqref>AQ135:BC135</xm:sqref>
        </x14:conditionalFormatting>
        <x14:conditionalFormatting xmlns:xm="http://schemas.microsoft.com/office/excel/2006/main">
          <x14:cfRule type="expression" priority="4698178" id="{AC8EB30C-4253-4CE1-820E-1801F6D8D35B}">
            <xm:f>$AS$4='Data entry'!$R49</xm:f>
            <x14:dxf>
              <fill>
                <patternFill>
                  <bgColor rgb="FFFFFF00"/>
                </patternFill>
              </fill>
            </x14:dxf>
          </x14:cfRule>
          <xm:sqref>AE134:AS134</xm:sqref>
        </x14:conditionalFormatting>
        <x14:conditionalFormatting xmlns:xm="http://schemas.microsoft.com/office/excel/2006/main">
          <x14:cfRule type="expression" priority="4698179" id="{E11744C1-7201-4272-A1B0-945490B42425}">
            <xm:f>$AT$4='Data entry'!$R49</xm:f>
            <x14:dxf>
              <fill>
                <patternFill>
                  <bgColor rgb="FFFF0000"/>
                </patternFill>
              </fill>
            </x14:dxf>
          </x14:cfRule>
          <xm:sqref>AR135:BD135</xm:sqref>
        </x14:conditionalFormatting>
        <x14:conditionalFormatting xmlns:xm="http://schemas.microsoft.com/office/excel/2006/main">
          <x14:cfRule type="expression" priority="4698180" id="{5EE2823B-E955-4EA7-B99C-0B1F77B57A69}">
            <xm:f>$AT$4='Data entry'!$R49</xm:f>
            <x14:dxf>
              <fill>
                <patternFill>
                  <bgColor rgb="FFFFFF00"/>
                </patternFill>
              </fill>
            </x14:dxf>
          </x14:cfRule>
          <xm:sqref>AF134:AT134</xm:sqref>
        </x14:conditionalFormatting>
        <x14:conditionalFormatting xmlns:xm="http://schemas.microsoft.com/office/excel/2006/main">
          <x14:cfRule type="expression" priority="4698181" id="{5737DC63-3262-4B34-900C-2AAEB255FCBA}">
            <xm:f>$AU$4='Data entry'!$R49</xm:f>
            <x14:dxf>
              <fill>
                <patternFill>
                  <bgColor rgb="FFFF0000"/>
                </patternFill>
              </fill>
            </x14:dxf>
          </x14:cfRule>
          <xm:sqref>AS135:BE135</xm:sqref>
        </x14:conditionalFormatting>
        <x14:conditionalFormatting xmlns:xm="http://schemas.microsoft.com/office/excel/2006/main">
          <x14:cfRule type="expression" priority="4698182" id="{2B5C1F1B-3C3D-4CA3-BC64-0E98422075B6}">
            <xm:f>$AU$4='Data entry'!$R49</xm:f>
            <x14:dxf>
              <fill>
                <patternFill>
                  <bgColor rgb="FFFFFF00"/>
                </patternFill>
              </fill>
            </x14:dxf>
          </x14:cfRule>
          <xm:sqref>AG134:AU134</xm:sqref>
        </x14:conditionalFormatting>
        <x14:conditionalFormatting xmlns:xm="http://schemas.microsoft.com/office/excel/2006/main">
          <x14:cfRule type="expression" priority="4698183" id="{B87A1285-B003-4855-8F4B-53C391BA10E6}">
            <xm:f>$AV$4='Data entry'!$R49</xm:f>
            <x14:dxf>
              <fill>
                <patternFill>
                  <bgColor rgb="FFFF0000"/>
                </patternFill>
              </fill>
            </x14:dxf>
          </x14:cfRule>
          <xm:sqref>AT135:BF135</xm:sqref>
        </x14:conditionalFormatting>
        <x14:conditionalFormatting xmlns:xm="http://schemas.microsoft.com/office/excel/2006/main">
          <x14:cfRule type="expression" priority="4698184" id="{338EE31C-78DB-4818-B837-0380F9E457FA}">
            <xm:f>$AV$4='Data entry'!$R49</xm:f>
            <x14:dxf>
              <fill>
                <patternFill>
                  <bgColor rgb="FFFFFF00"/>
                </patternFill>
              </fill>
            </x14:dxf>
          </x14:cfRule>
          <xm:sqref>AH134:AV134</xm:sqref>
        </x14:conditionalFormatting>
        <x14:conditionalFormatting xmlns:xm="http://schemas.microsoft.com/office/excel/2006/main">
          <x14:cfRule type="expression" priority="4698185" id="{5C40EA66-2801-4C91-B885-BF6A1ECFC35C}">
            <xm:f>$AW$4='Data entry'!$R49</xm:f>
            <x14:dxf>
              <fill>
                <patternFill>
                  <bgColor rgb="FFFF0000"/>
                </patternFill>
              </fill>
            </x14:dxf>
          </x14:cfRule>
          <xm:sqref>AU135:BG135</xm:sqref>
        </x14:conditionalFormatting>
        <x14:conditionalFormatting xmlns:xm="http://schemas.microsoft.com/office/excel/2006/main">
          <x14:cfRule type="expression" priority="4698186" id="{51BCD5CE-DF86-4C2F-8A81-DDA1EFD6C8F7}">
            <xm:f>$AW$4='Data entry'!$R49</xm:f>
            <x14:dxf>
              <fill>
                <patternFill>
                  <bgColor rgb="FFFFFF00"/>
                </patternFill>
              </fill>
            </x14:dxf>
          </x14:cfRule>
          <xm:sqref>AI134:AW134</xm:sqref>
        </x14:conditionalFormatting>
        <x14:conditionalFormatting xmlns:xm="http://schemas.microsoft.com/office/excel/2006/main">
          <x14:cfRule type="expression" priority="4698187" id="{DC2ED5A0-8917-4877-8CD3-9DF9BE5993C9}">
            <xm:f>$AX$4='Data entry'!$R49</xm:f>
            <x14:dxf>
              <fill>
                <patternFill>
                  <bgColor rgb="FFFF0000"/>
                </patternFill>
              </fill>
            </x14:dxf>
          </x14:cfRule>
          <xm:sqref>AV135:BH135</xm:sqref>
        </x14:conditionalFormatting>
        <x14:conditionalFormatting xmlns:xm="http://schemas.microsoft.com/office/excel/2006/main">
          <x14:cfRule type="expression" priority="4698188" id="{59B31869-20F9-45BD-BC80-0A6C8945CE2C}">
            <xm:f>$AX$4='Data entry'!$R49</xm:f>
            <x14:dxf>
              <fill>
                <patternFill>
                  <bgColor rgb="FFFFFF00"/>
                </patternFill>
              </fill>
            </x14:dxf>
          </x14:cfRule>
          <xm:sqref>AJ134:AX134</xm:sqref>
        </x14:conditionalFormatting>
        <x14:conditionalFormatting xmlns:xm="http://schemas.microsoft.com/office/excel/2006/main">
          <x14:cfRule type="expression" priority="4698189" id="{D4208FA0-4262-4037-934C-6D0742B2AD8E}">
            <xm:f>$AY$4='Data entry'!$R49</xm:f>
            <x14:dxf>
              <fill>
                <patternFill>
                  <bgColor rgb="FFFF0000"/>
                </patternFill>
              </fill>
            </x14:dxf>
          </x14:cfRule>
          <xm:sqref>AW135:BI135</xm:sqref>
        </x14:conditionalFormatting>
        <x14:conditionalFormatting xmlns:xm="http://schemas.microsoft.com/office/excel/2006/main">
          <x14:cfRule type="expression" priority="4698190" id="{04D6E423-18C7-42B2-A67D-F49D8E62B571}">
            <xm:f>$AY$4='Data entry'!$R49</xm:f>
            <x14:dxf>
              <fill>
                <patternFill>
                  <bgColor rgb="FFFFFF00"/>
                </patternFill>
              </fill>
            </x14:dxf>
          </x14:cfRule>
          <xm:sqref>AK134:AY134</xm:sqref>
        </x14:conditionalFormatting>
        <x14:conditionalFormatting xmlns:xm="http://schemas.microsoft.com/office/excel/2006/main">
          <x14:cfRule type="expression" priority="4698191" id="{A931C203-6E4B-4EBD-A2F4-1876881F48D4}">
            <xm:f>$AZ$4='Data entry'!$R49</xm:f>
            <x14:dxf>
              <fill>
                <patternFill>
                  <bgColor rgb="FFFF0000"/>
                </patternFill>
              </fill>
            </x14:dxf>
          </x14:cfRule>
          <xm:sqref>AX135:BJ135</xm:sqref>
        </x14:conditionalFormatting>
        <x14:conditionalFormatting xmlns:xm="http://schemas.microsoft.com/office/excel/2006/main">
          <x14:cfRule type="expression" priority="4698192" id="{092D9100-E652-40FE-8CAA-720DC0681250}">
            <xm:f>$AZ$4='Data entry'!$R49</xm:f>
            <x14:dxf>
              <fill>
                <patternFill>
                  <bgColor rgb="FFFFFF00"/>
                </patternFill>
              </fill>
            </x14:dxf>
          </x14:cfRule>
          <xm:sqref>AL134:AZ134</xm:sqref>
        </x14:conditionalFormatting>
        <x14:conditionalFormatting xmlns:xm="http://schemas.microsoft.com/office/excel/2006/main">
          <x14:cfRule type="expression" priority="4698193" id="{A3C7E6BE-A225-483C-A983-A915DB662C52}">
            <xm:f>$BA$4='Data entry'!$R49</xm:f>
            <x14:dxf>
              <fill>
                <patternFill>
                  <bgColor rgb="FFFF0000"/>
                </patternFill>
              </fill>
            </x14:dxf>
          </x14:cfRule>
          <xm:sqref>AY135:BK135</xm:sqref>
        </x14:conditionalFormatting>
        <x14:conditionalFormatting xmlns:xm="http://schemas.microsoft.com/office/excel/2006/main">
          <x14:cfRule type="expression" priority="4698194" id="{F5CF569A-8AFA-4CFF-8BD3-F04D8927A99F}">
            <xm:f>$BA$4='Data entry'!$R49</xm:f>
            <x14:dxf>
              <fill>
                <patternFill>
                  <bgColor rgb="FFFFFF00"/>
                </patternFill>
              </fill>
            </x14:dxf>
          </x14:cfRule>
          <xm:sqref>AM134:BA134</xm:sqref>
        </x14:conditionalFormatting>
        <x14:conditionalFormatting xmlns:xm="http://schemas.microsoft.com/office/excel/2006/main">
          <x14:cfRule type="expression" priority="4698195" id="{E4DAC94A-7983-4BFB-A87B-45B58561841A}">
            <xm:f>$BB$4='Data entry'!$R49</xm:f>
            <x14:dxf>
              <fill>
                <patternFill>
                  <bgColor rgb="FFFF0000"/>
                </patternFill>
              </fill>
            </x14:dxf>
          </x14:cfRule>
          <xm:sqref>AZ135:BL135</xm:sqref>
        </x14:conditionalFormatting>
        <x14:conditionalFormatting xmlns:xm="http://schemas.microsoft.com/office/excel/2006/main">
          <x14:cfRule type="expression" priority="4698196" id="{E63849C5-F39B-4B0E-8F8A-B532EDF2CBAE}">
            <xm:f>$BB$4='Data entry'!$R49</xm:f>
            <x14:dxf>
              <fill>
                <patternFill>
                  <bgColor rgb="FFFFFF00"/>
                </patternFill>
              </fill>
            </x14:dxf>
          </x14:cfRule>
          <xm:sqref>AN134:BB134</xm:sqref>
        </x14:conditionalFormatting>
        <x14:conditionalFormatting xmlns:xm="http://schemas.microsoft.com/office/excel/2006/main">
          <x14:cfRule type="expression" priority="4698197" id="{4FDC32D3-C1F5-455D-9AA4-A03359B72526}">
            <xm:f>$BC$4='Data entry'!$R49</xm:f>
            <x14:dxf>
              <fill>
                <patternFill>
                  <bgColor rgb="FFFF0000"/>
                </patternFill>
              </fill>
            </x14:dxf>
          </x14:cfRule>
          <xm:sqref>BA135:BM135</xm:sqref>
        </x14:conditionalFormatting>
        <x14:conditionalFormatting xmlns:xm="http://schemas.microsoft.com/office/excel/2006/main">
          <x14:cfRule type="expression" priority="4698198" id="{5F0D0C60-B233-4C56-B05D-98C99990877F}">
            <xm:f>$BC$4='Data entry'!$R49</xm:f>
            <x14:dxf>
              <fill>
                <patternFill>
                  <bgColor rgb="FFFFFF00"/>
                </patternFill>
              </fill>
            </x14:dxf>
          </x14:cfRule>
          <xm:sqref>AO134:BC134</xm:sqref>
        </x14:conditionalFormatting>
        <x14:conditionalFormatting xmlns:xm="http://schemas.microsoft.com/office/excel/2006/main">
          <x14:cfRule type="expression" priority="4698199" id="{9EBCB60F-8135-43B6-A0F3-548D4092CC98}">
            <xm:f>$BD$4='Data entry'!$R49</xm:f>
            <x14:dxf>
              <fill>
                <patternFill>
                  <bgColor rgb="FFFF0000"/>
                </patternFill>
              </fill>
            </x14:dxf>
          </x14:cfRule>
          <xm:sqref>BB135:BN135</xm:sqref>
        </x14:conditionalFormatting>
        <x14:conditionalFormatting xmlns:xm="http://schemas.microsoft.com/office/excel/2006/main">
          <x14:cfRule type="expression" priority="4698200" id="{961AF346-4A73-41ED-9A8D-27D431B09C05}">
            <xm:f>$BD$4='Data entry'!$R49</xm:f>
            <x14:dxf>
              <fill>
                <patternFill>
                  <bgColor rgb="FFFFFF00"/>
                </patternFill>
              </fill>
            </x14:dxf>
          </x14:cfRule>
          <xm:sqref>AP134:BD134</xm:sqref>
        </x14:conditionalFormatting>
        <x14:conditionalFormatting xmlns:xm="http://schemas.microsoft.com/office/excel/2006/main">
          <x14:cfRule type="expression" priority="4698201" id="{5A887026-27CD-4F8C-8BA6-1E92704C1CA6}">
            <xm:f>$BE$4='Data entry'!$R49</xm:f>
            <x14:dxf>
              <fill>
                <patternFill>
                  <bgColor rgb="FFFF0000"/>
                </patternFill>
              </fill>
            </x14:dxf>
          </x14:cfRule>
          <xm:sqref>BC135:BO135</xm:sqref>
        </x14:conditionalFormatting>
        <x14:conditionalFormatting xmlns:xm="http://schemas.microsoft.com/office/excel/2006/main">
          <x14:cfRule type="expression" priority="4698202" id="{7F46217B-A1E9-4515-B31E-E756FCD7C6D9}">
            <xm:f>$BE$4='Data entry'!$R49</xm:f>
            <x14:dxf>
              <fill>
                <patternFill>
                  <bgColor rgb="FFFFFF00"/>
                </patternFill>
              </fill>
            </x14:dxf>
          </x14:cfRule>
          <xm:sqref>AP134:BE134</xm:sqref>
        </x14:conditionalFormatting>
        <x14:conditionalFormatting xmlns:xm="http://schemas.microsoft.com/office/excel/2006/main">
          <x14:cfRule type="expression" priority="4698203" id="{F4D9285C-8CA0-4EF1-943E-6A462D47CC77}">
            <xm:f>$BF$4='Data entry'!$R49</xm:f>
            <x14:dxf>
              <fill>
                <patternFill>
                  <bgColor rgb="FFFF0000"/>
                </patternFill>
              </fill>
            </x14:dxf>
          </x14:cfRule>
          <xm:sqref>BD135:BP135</xm:sqref>
        </x14:conditionalFormatting>
        <x14:conditionalFormatting xmlns:xm="http://schemas.microsoft.com/office/excel/2006/main">
          <x14:cfRule type="expression" priority="4698204" id="{B9E4407D-651D-4DC0-9D61-3271D62A65E9}">
            <xm:f>$BF$4='Data entry'!$R49</xm:f>
            <x14:dxf>
              <fill>
                <patternFill>
                  <bgColor rgb="FFFFFF00"/>
                </patternFill>
              </fill>
            </x14:dxf>
          </x14:cfRule>
          <xm:sqref>AR134:BF134</xm:sqref>
        </x14:conditionalFormatting>
        <x14:conditionalFormatting xmlns:xm="http://schemas.microsoft.com/office/excel/2006/main">
          <x14:cfRule type="expression" priority="4698205" id="{4CDC062F-DDFF-4556-B941-08F919727F69}">
            <xm:f>$BG$4='Data entry'!$R49</xm:f>
            <x14:dxf>
              <fill>
                <patternFill>
                  <bgColor rgb="FFFF0000"/>
                </patternFill>
              </fill>
            </x14:dxf>
          </x14:cfRule>
          <xm:sqref>BE135:BQ135</xm:sqref>
        </x14:conditionalFormatting>
        <x14:conditionalFormatting xmlns:xm="http://schemas.microsoft.com/office/excel/2006/main">
          <x14:cfRule type="expression" priority="4698206" id="{789184FA-9055-433B-8A1B-92C7ED59E81F}">
            <xm:f>$BG$4='Data entry'!$R49</xm:f>
            <x14:dxf>
              <fill>
                <patternFill>
                  <bgColor rgb="FFFFFF00"/>
                </patternFill>
              </fill>
            </x14:dxf>
          </x14:cfRule>
          <xm:sqref>AS134:BG134</xm:sqref>
        </x14:conditionalFormatting>
        <x14:conditionalFormatting xmlns:xm="http://schemas.microsoft.com/office/excel/2006/main">
          <x14:cfRule type="expression" priority="4698207" id="{58651E5C-09C9-46C1-B95C-E8A578A49E15}">
            <xm:f>$BH$4='Data entry'!$R49</xm:f>
            <x14:dxf>
              <fill>
                <patternFill>
                  <bgColor rgb="FFFFFF00"/>
                </patternFill>
              </fill>
            </x14:dxf>
          </x14:cfRule>
          <xm:sqref>AT134:BH134</xm:sqref>
        </x14:conditionalFormatting>
        <x14:conditionalFormatting xmlns:xm="http://schemas.microsoft.com/office/excel/2006/main">
          <x14:cfRule type="expression" priority="4698208" id="{97B30B86-8311-4DC0-A533-8C0D53F37839}">
            <xm:f>$BH$4='Data entry'!$R49</xm:f>
            <x14:dxf>
              <fill>
                <patternFill>
                  <bgColor rgb="FFFF0000"/>
                </patternFill>
              </fill>
            </x14:dxf>
          </x14:cfRule>
          <xm:sqref>BF135:BR135</xm:sqref>
        </x14:conditionalFormatting>
        <x14:conditionalFormatting xmlns:xm="http://schemas.microsoft.com/office/excel/2006/main">
          <x14:cfRule type="expression" priority="4698209" id="{78344C0C-5AEA-40B1-A20C-6D77DF58E1F5}">
            <xm:f>$BI$4='Data entry'!$R49</xm:f>
            <x14:dxf>
              <fill>
                <patternFill>
                  <bgColor rgb="FFFFFF00"/>
                </patternFill>
              </fill>
            </x14:dxf>
          </x14:cfRule>
          <xm:sqref>AU134:BI134</xm:sqref>
        </x14:conditionalFormatting>
        <x14:conditionalFormatting xmlns:xm="http://schemas.microsoft.com/office/excel/2006/main">
          <x14:cfRule type="expression" priority="4698210" id="{A9CE044F-482E-4F25-B28F-89ACC58502B1}">
            <xm:f>$BI$4='Data entry'!$R49</xm:f>
            <x14:dxf>
              <fill>
                <patternFill>
                  <bgColor rgb="FFFF0000"/>
                </patternFill>
              </fill>
            </x14:dxf>
          </x14:cfRule>
          <xm:sqref>BG135:BS135</xm:sqref>
        </x14:conditionalFormatting>
        <x14:conditionalFormatting xmlns:xm="http://schemas.microsoft.com/office/excel/2006/main">
          <x14:cfRule type="expression" priority="4698211" id="{F63BE0EB-3C71-4456-BEF0-11180AB7A8BB}">
            <xm:f>$BJ$4='Data entry'!$R49</xm:f>
            <x14:dxf>
              <fill>
                <patternFill>
                  <bgColor rgb="FFFFFF00"/>
                </patternFill>
              </fill>
            </x14:dxf>
          </x14:cfRule>
          <xm:sqref>AV134:BJ134</xm:sqref>
        </x14:conditionalFormatting>
        <x14:conditionalFormatting xmlns:xm="http://schemas.microsoft.com/office/excel/2006/main">
          <x14:cfRule type="expression" priority="4698212" id="{478A5DCB-1DAA-4497-A6CC-B4F01FB96D10}">
            <xm:f>$BJ$4='Data entry'!$R49</xm:f>
            <x14:dxf>
              <fill>
                <patternFill>
                  <bgColor rgb="FFFF0000"/>
                </patternFill>
              </fill>
            </x14:dxf>
          </x14:cfRule>
          <xm:sqref>BH135:BT135</xm:sqref>
        </x14:conditionalFormatting>
        <x14:conditionalFormatting xmlns:xm="http://schemas.microsoft.com/office/excel/2006/main">
          <x14:cfRule type="expression" priority="4698213" id="{CDE4AD5B-65A6-4FA4-9EC0-8D05F22312A9}">
            <xm:f>$BK$4='Data entry'!$R49</xm:f>
            <x14:dxf>
              <fill>
                <patternFill>
                  <bgColor rgb="FFFF0000"/>
                </patternFill>
              </fill>
            </x14:dxf>
          </x14:cfRule>
          <xm:sqref>BI135:BU135</xm:sqref>
        </x14:conditionalFormatting>
        <x14:conditionalFormatting xmlns:xm="http://schemas.microsoft.com/office/excel/2006/main">
          <x14:cfRule type="expression" priority="4698214" id="{AB32E790-6CD8-4D11-9A69-57D785FE4BBC}">
            <xm:f>$BK$4='Data entry'!$R49</xm:f>
            <x14:dxf>
              <fill>
                <patternFill>
                  <bgColor rgb="FFFFFF00"/>
                </patternFill>
              </fill>
            </x14:dxf>
          </x14:cfRule>
          <xm:sqref>AW134:BK134</xm:sqref>
        </x14:conditionalFormatting>
        <x14:conditionalFormatting xmlns:xm="http://schemas.microsoft.com/office/excel/2006/main">
          <x14:cfRule type="expression" priority="4698215" id="{99810EB9-805C-43D8-852A-EEECE7874CDB}">
            <xm:f>$BL$4='Data entry'!$R49</xm:f>
            <x14:dxf>
              <fill>
                <patternFill>
                  <bgColor rgb="FFFF0000"/>
                </patternFill>
              </fill>
            </x14:dxf>
          </x14:cfRule>
          <xm:sqref>BJ135:BV135</xm:sqref>
        </x14:conditionalFormatting>
        <x14:conditionalFormatting xmlns:xm="http://schemas.microsoft.com/office/excel/2006/main">
          <x14:cfRule type="expression" priority="4698216" id="{BF5F5475-4E46-479C-97A6-D5175F5D1803}">
            <xm:f>$BL$4='Data entry'!$R49</xm:f>
            <x14:dxf>
              <fill>
                <patternFill>
                  <bgColor rgb="FFFFFF00"/>
                </patternFill>
              </fill>
            </x14:dxf>
          </x14:cfRule>
          <xm:sqref>AX134:BL134</xm:sqref>
        </x14:conditionalFormatting>
        <x14:conditionalFormatting xmlns:xm="http://schemas.microsoft.com/office/excel/2006/main">
          <x14:cfRule type="expression" priority="4698217" id="{B86FDF2F-16C9-46B1-847E-7EA1A8A34B9D}">
            <xm:f>$BM$4='Data entry'!$R49</xm:f>
            <x14:dxf>
              <fill>
                <patternFill>
                  <bgColor rgb="FFFF0000"/>
                </patternFill>
              </fill>
            </x14:dxf>
          </x14:cfRule>
          <xm:sqref>BK135:BW135</xm:sqref>
        </x14:conditionalFormatting>
        <x14:conditionalFormatting xmlns:xm="http://schemas.microsoft.com/office/excel/2006/main">
          <x14:cfRule type="expression" priority="4698218" id="{72FD189F-4CED-400D-9FEF-21A328970A4D}">
            <xm:f>$BM$4='Data entry'!$R49</xm:f>
            <x14:dxf>
              <fill>
                <patternFill>
                  <bgColor rgb="FFFFFF00"/>
                </patternFill>
              </fill>
            </x14:dxf>
          </x14:cfRule>
          <xm:sqref>AY134:BM134</xm:sqref>
        </x14:conditionalFormatting>
        <x14:conditionalFormatting xmlns:xm="http://schemas.microsoft.com/office/excel/2006/main">
          <x14:cfRule type="expression" priority="4698219" id="{BBBBF859-D5A7-4F55-BFBF-8A77E3357590}">
            <xm:f>$BN$4='Data entry'!$R49</xm:f>
            <x14:dxf>
              <fill>
                <patternFill>
                  <bgColor rgb="FFFF0000"/>
                </patternFill>
              </fill>
            </x14:dxf>
          </x14:cfRule>
          <xm:sqref>BL135:BX135</xm:sqref>
        </x14:conditionalFormatting>
        <x14:conditionalFormatting xmlns:xm="http://schemas.microsoft.com/office/excel/2006/main">
          <x14:cfRule type="expression" priority="4698220" id="{50CB1D75-0FD5-4D24-92B1-E8A41DC6575C}">
            <xm:f>$BN$4='Data entry'!$R49</xm:f>
            <x14:dxf>
              <fill>
                <patternFill>
                  <bgColor rgb="FFFFFF00"/>
                </patternFill>
              </fill>
            </x14:dxf>
          </x14:cfRule>
          <xm:sqref>AZ134:BN134</xm:sqref>
        </x14:conditionalFormatting>
        <x14:conditionalFormatting xmlns:xm="http://schemas.microsoft.com/office/excel/2006/main">
          <x14:cfRule type="expression" priority="4698221" id="{9EF3226D-E8FC-496B-A6FF-71776AEA54D1}">
            <xm:f>$BO$4='Data entry'!$R49</xm:f>
            <x14:dxf>
              <fill>
                <patternFill>
                  <bgColor rgb="FFFF0000"/>
                </patternFill>
              </fill>
            </x14:dxf>
          </x14:cfRule>
          <xm:sqref>BM135:BY135</xm:sqref>
        </x14:conditionalFormatting>
        <x14:conditionalFormatting xmlns:xm="http://schemas.microsoft.com/office/excel/2006/main">
          <x14:cfRule type="expression" priority="4698222" id="{3B86C801-ECFE-4D05-8AA5-1581116BAFBC}">
            <xm:f>$BO$4='Data entry'!$R49</xm:f>
            <x14:dxf>
              <fill>
                <patternFill>
                  <bgColor rgb="FFFFFF00"/>
                </patternFill>
              </fill>
            </x14:dxf>
          </x14:cfRule>
          <xm:sqref>BA134:BO134</xm:sqref>
        </x14:conditionalFormatting>
        <x14:conditionalFormatting xmlns:xm="http://schemas.microsoft.com/office/excel/2006/main">
          <x14:cfRule type="expression" priority="4698223" id="{058A23EC-3371-4A02-9F20-1ECA603AC6BC}">
            <xm:f>$BP$4='Data entry'!$R49</xm:f>
            <x14:dxf>
              <fill>
                <patternFill>
                  <bgColor rgb="FFFF0000"/>
                </patternFill>
              </fill>
            </x14:dxf>
          </x14:cfRule>
          <xm:sqref>BN135:BZ135</xm:sqref>
        </x14:conditionalFormatting>
        <x14:conditionalFormatting xmlns:xm="http://schemas.microsoft.com/office/excel/2006/main">
          <x14:cfRule type="expression" priority="4698224" id="{3E711E31-3992-4555-AB22-87133D60CD15}">
            <xm:f>$BP$4='Data entry'!$R49</xm:f>
            <x14:dxf>
              <fill>
                <patternFill>
                  <bgColor rgb="FFFFFF00"/>
                </patternFill>
              </fill>
            </x14:dxf>
          </x14:cfRule>
          <xm:sqref>BB134:BP134</xm:sqref>
        </x14:conditionalFormatting>
        <x14:conditionalFormatting xmlns:xm="http://schemas.microsoft.com/office/excel/2006/main">
          <x14:cfRule type="expression" priority="4698225" id="{23E9F8B9-37D5-4730-9453-6F23E8ECBBE3}">
            <xm:f>$BQ$4='Data entry'!$R49</xm:f>
            <x14:dxf>
              <fill>
                <patternFill>
                  <bgColor rgb="FFFFFF00"/>
                </patternFill>
              </fill>
            </x14:dxf>
          </x14:cfRule>
          <xm:sqref>BC134:BQ134</xm:sqref>
        </x14:conditionalFormatting>
        <x14:conditionalFormatting xmlns:xm="http://schemas.microsoft.com/office/excel/2006/main">
          <x14:cfRule type="expression" priority="4698226" id="{BCFD92F6-AAD3-44FD-BC61-A292A81B883E}">
            <xm:f>$BQ$4='Data entry'!$R49</xm:f>
            <x14:dxf>
              <fill>
                <patternFill>
                  <bgColor rgb="FFFF0000"/>
                </patternFill>
              </fill>
            </x14:dxf>
          </x14:cfRule>
          <xm:sqref>BO135:CA135</xm:sqref>
        </x14:conditionalFormatting>
        <x14:conditionalFormatting xmlns:xm="http://schemas.microsoft.com/office/excel/2006/main">
          <x14:cfRule type="expression" priority="4698227" id="{357D60E5-F356-477E-8020-A18F42C02832}">
            <xm:f>$BR$4='Data entry'!$R49</xm:f>
            <x14:dxf>
              <fill>
                <patternFill>
                  <bgColor rgb="FFFFFF00"/>
                </patternFill>
              </fill>
            </x14:dxf>
          </x14:cfRule>
          <xm:sqref>BD134:BR134</xm:sqref>
        </x14:conditionalFormatting>
        <x14:conditionalFormatting xmlns:xm="http://schemas.microsoft.com/office/excel/2006/main">
          <x14:cfRule type="expression" priority="4698228" id="{DA2B6511-43B3-432D-B6AA-1DB1188B90A6}">
            <xm:f>$BR$4='Data entry'!$R49</xm:f>
            <x14:dxf>
              <fill>
                <patternFill>
                  <bgColor rgb="FFFF0000"/>
                </patternFill>
              </fill>
            </x14:dxf>
          </x14:cfRule>
          <xm:sqref>BP135:CB135</xm:sqref>
        </x14:conditionalFormatting>
        <x14:conditionalFormatting xmlns:xm="http://schemas.microsoft.com/office/excel/2006/main">
          <x14:cfRule type="expression" priority="4698229" id="{0D5F64E4-4136-4BFA-B833-CC8578525D9C}">
            <xm:f>$BS$4='Data entry'!$R49</xm:f>
            <x14:dxf>
              <fill>
                <patternFill>
                  <bgColor rgb="FFFFFF00"/>
                </patternFill>
              </fill>
            </x14:dxf>
          </x14:cfRule>
          <xm:sqref>BE134:BS134</xm:sqref>
        </x14:conditionalFormatting>
        <x14:conditionalFormatting xmlns:xm="http://schemas.microsoft.com/office/excel/2006/main">
          <x14:cfRule type="expression" priority="4698230" id="{AC94D468-F078-4AE2-8771-102996E07B09}">
            <xm:f>$BS$4='Data entry'!$R49</xm:f>
            <x14:dxf>
              <fill>
                <patternFill>
                  <bgColor rgb="FFFF0000"/>
                </patternFill>
              </fill>
            </x14:dxf>
          </x14:cfRule>
          <xm:sqref>BQ135:CC135</xm:sqref>
        </x14:conditionalFormatting>
        <x14:conditionalFormatting xmlns:xm="http://schemas.microsoft.com/office/excel/2006/main">
          <x14:cfRule type="expression" priority="4698231" id="{10E78F76-181E-4F19-9F89-7DD36D3EFE30}">
            <xm:f>$BT$4='Data entry'!$R49</xm:f>
            <x14:dxf>
              <fill>
                <patternFill>
                  <bgColor rgb="FFFFFF00"/>
                </patternFill>
              </fill>
            </x14:dxf>
          </x14:cfRule>
          <xm:sqref>BF134:BT134</xm:sqref>
        </x14:conditionalFormatting>
        <x14:conditionalFormatting xmlns:xm="http://schemas.microsoft.com/office/excel/2006/main">
          <x14:cfRule type="expression" priority="4698232" id="{6A5FADC6-9512-4EFB-90A5-7B5244D10D1F}">
            <xm:f>$BT$4='Data entry'!$R49</xm:f>
            <x14:dxf>
              <fill>
                <patternFill>
                  <bgColor rgb="FFFF0000"/>
                </patternFill>
              </fill>
            </x14:dxf>
          </x14:cfRule>
          <xm:sqref>BR135:CC135</xm:sqref>
        </x14:conditionalFormatting>
        <x14:conditionalFormatting xmlns:xm="http://schemas.microsoft.com/office/excel/2006/main">
          <x14:cfRule type="expression" priority="4698233" id="{A51139D1-8841-4B96-B8CB-DFE3808765CF}">
            <xm:f>$BU$4='Data entry'!$R49</xm:f>
            <x14:dxf>
              <fill>
                <patternFill>
                  <bgColor rgb="FFFFFF00"/>
                </patternFill>
              </fill>
            </x14:dxf>
          </x14:cfRule>
          <xm:sqref>BG134:BU134</xm:sqref>
        </x14:conditionalFormatting>
        <x14:conditionalFormatting xmlns:xm="http://schemas.microsoft.com/office/excel/2006/main">
          <x14:cfRule type="expression" priority="4698234" id="{55CA7258-760F-4BFF-ACB5-A70FEB3E7981}">
            <xm:f>$BU$4='Data entry'!$R49</xm:f>
            <x14:dxf>
              <fill>
                <patternFill>
                  <bgColor rgb="FFFF0000"/>
                </patternFill>
              </fill>
            </x14:dxf>
          </x14:cfRule>
          <xm:sqref>BS135:CC135</xm:sqref>
        </x14:conditionalFormatting>
        <x14:conditionalFormatting xmlns:xm="http://schemas.microsoft.com/office/excel/2006/main">
          <x14:cfRule type="expression" priority="4698235" id="{A922B218-64DB-4CBB-9AB8-FE0EBB44E09E}">
            <xm:f>$BV$4='Data entry'!$R49</xm:f>
            <x14:dxf>
              <fill>
                <patternFill>
                  <bgColor rgb="FFFFFF00"/>
                </patternFill>
              </fill>
            </x14:dxf>
          </x14:cfRule>
          <xm:sqref>BH134:BV134</xm:sqref>
        </x14:conditionalFormatting>
        <x14:conditionalFormatting xmlns:xm="http://schemas.microsoft.com/office/excel/2006/main">
          <x14:cfRule type="expression" priority="4698236" id="{C98E908A-CD31-4778-B41C-7AFB9DBE639A}">
            <xm:f>$BV$4='Data entry'!$R49</xm:f>
            <x14:dxf>
              <fill>
                <patternFill>
                  <bgColor rgb="FFFF0000"/>
                </patternFill>
              </fill>
            </x14:dxf>
          </x14:cfRule>
          <xm:sqref>BT135:CC135</xm:sqref>
        </x14:conditionalFormatting>
        <x14:conditionalFormatting xmlns:xm="http://schemas.microsoft.com/office/excel/2006/main">
          <x14:cfRule type="expression" priority="4698237" id="{465CCCA3-B4DB-4B61-8AC7-8A5E4CEC9E3F}">
            <xm:f>$BW$4='Data entry'!$R49</xm:f>
            <x14:dxf>
              <fill>
                <patternFill>
                  <bgColor rgb="FFFFFF00"/>
                </patternFill>
              </fill>
            </x14:dxf>
          </x14:cfRule>
          <xm:sqref>BI134:BW134</xm:sqref>
        </x14:conditionalFormatting>
        <x14:conditionalFormatting xmlns:xm="http://schemas.microsoft.com/office/excel/2006/main">
          <x14:cfRule type="expression" priority="4698238" id="{37566F97-6D06-400B-A709-FE657B07687F}">
            <xm:f>$BW$4='Data entry'!$R49</xm:f>
            <x14:dxf>
              <fill>
                <patternFill>
                  <bgColor rgb="FFFF0000"/>
                </patternFill>
              </fill>
            </x14:dxf>
          </x14:cfRule>
          <xm:sqref>BU135:CC135</xm:sqref>
        </x14:conditionalFormatting>
        <x14:conditionalFormatting xmlns:xm="http://schemas.microsoft.com/office/excel/2006/main">
          <x14:cfRule type="expression" priority="4698239" id="{D8FBA3AC-5CF0-4E45-97CA-1D4DEE729ADA}">
            <xm:f>$BX$4='Data entry'!$R49</xm:f>
            <x14:dxf>
              <fill>
                <patternFill>
                  <bgColor rgb="FFFFFF00"/>
                </patternFill>
              </fill>
            </x14:dxf>
          </x14:cfRule>
          <xm:sqref>BJ134:BX134</xm:sqref>
        </x14:conditionalFormatting>
        <x14:conditionalFormatting xmlns:xm="http://schemas.microsoft.com/office/excel/2006/main">
          <x14:cfRule type="expression" priority="4698240" id="{E077C84B-A94F-431D-B232-4AFCC7C64F54}">
            <xm:f>$BX$4='Data entry'!$R49</xm:f>
            <x14:dxf>
              <fill>
                <patternFill>
                  <bgColor rgb="FFFF0000"/>
                </patternFill>
              </fill>
            </x14:dxf>
          </x14:cfRule>
          <xm:sqref>BV135:CC135</xm:sqref>
        </x14:conditionalFormatting>
        <x14:conditionalFormatting xmlns:xm="http://schemas.microsoft.com/office/excel/2006/main">
          <x14:cfRule type="expression" priority="4698241" id="{63783BA8-0C97-4A44-86FD-7A2BCF1B9957}">
            <xm:f>$BY$4='Data entry'!$R49</xm:f>
            <x14:dxf>
              <fill>
                <patternFill>
                  <bgColor rgb="FFFFFF00"/>
                </patternFill>
              </fill>
            </x14:dxf>
          </x14:cfRule>
          <xm:sqref>BK134:BY134</xm:sqref>
        </x14:conditionalFormatting>
        <x14:conditionalFormatting xmlns:xm="http://schemas.microsoft.com/office/excel/2006/main">
          <x14:cfRule type="expression" priority="4698242" id="{BB8DB8B4-B71B-46D2-AEE7-346F16103F74}">
            <xm:f>$BY$4='Data entry'!$R49</xm:f>
            <x14:dxf>
              <fill>
                <patternFill>
                  <bgColor rgb="FFFF0000"/>
                </patternFill>
              </fill>
            </x14:dxf>
          </x14:cfRule>
          <xm:sqref>BW135:CC135</xm:sqref>
        </x14:conditionalFormatting>
        <x14:conditionalFormatting xmlns:xm="http://schemas.microsoft.com/office/excel/2006/main">
          <x14:cfRule type="expression" priority="4698243" id="{1B638B98-2B06-4FEB-90C1-446A3E0A3979}">
            <xm:f>$BZ$4='Data entry'!$R49</xm:f>
            <x14:dxf>
              <fill>
                <patternFill>
                  <bgColor rgb="FFFFFF00"/>
                </patternFill>
              </fill>
            </x14:dxf>
          </x14:cfRule>
          <xm:sqref>BL134:BZ134</xm:sqref>
        </x14:conditionalFormatting>
        <x14:conditionalFormatting xmlns:xm="http://schemas.microsoft.com/office/excel/2006/main">
          <x14:cfRule type="expression" priority="4698244" id="{D3A0A2F8-D1B2-4DC5-B2A9-0EF53074E685}">
            <xm:f>$BZ$4='Data entry'!$R49</xm:f>
            <x14:dxf>
              <fill>
                <patternFill>
                  <bgColor rgb="FFFF0000"/>
                </patternFill>
              </fill>
            </x14:dxf>
          </x14:cfRule>
          <xm:sqref>BX135:CC135</xm:sqref>
        </x14:conditionalFormatting>
        <x14:conditionalFormatting xmlns:xm="http://schemas.microsoft.com/office/excel/2006/main">
          <x14:cfRule type="expression" priority="4698245" id="{83F6D018-7D3B-4D33-9998-11572F2F2FF5}">
            <xm:f>$CA$4='Data entry'!$R49</xm:f>
            <x14:dxf>
              <fill>
                <patternFill>
                  <bgColor rgb="FFFFFF00"/>
                </patternFill>
              </fill>
            </x14:dxf>
          </x14:cfRule>
          <xm:sqref>BM134:CA134</xm:sqref>
        </x14:conditionalFormatting>
        <x14:conditionalFormatting xmlns:xm="http://schemas.microsoft.com/office/excel/2006/main">
          <x14:cfRule type="expression" priority="4698246" id="{8E6D0B51-5626-4ED9-9072-C7A2C139704F}">
            <xm:f>$CA$4='Data entry'!$R49</xm:f>
            <x14:dxf>
              <fill>
                <patternFill>
                  <bgColor rgb="FFFF0000"/>
                </patternFill>
              </fill>
            </x14:dxf>
          </x14:cfRule>
          <xm:sqref>BY135:CC135</xm:sqref>
        </x14:conditionalFormatting>
        <x14:conditionalFormatting xmlns:xm="http://schemas.microsoft.com/office/excel/2006/main">
          <x14:cfRule type="expression" priority="4698247" id="{E1886EE4-3BDE-43A9-9F4B-79377FEC37FE}">
            <xm:f>$CB$4='Data entry'!$R49</xm:f>
            <x14:dxf>
              <fill>
                <patternFill>
                  <bgColor rgb="FFFFFF00"/>
                </patternFill>
              </fill>
            </x14:dxf>
          </x14:cfRule>
          <xm:sqref>BN134:CB134</xm:sqref>
        </x14:conditionalFormatting>
        <x14:conditionalFormatting xmlns:xm="http://schemas.microsoft.com/office/excel/2006/main">
          <x14:cfRule type="expression" priority="4698248" id="{ADEF572A-6C18-4602-BB86-01C96D36E07E}">
            <xm:f>$CB$4='Data entry'!$R49</xm:f>
            <x14:dxf>
              <fill>
                <patternFill>
                  <bgColor rgb="FFFF0000"/>
                </patternFill>
              </fill>
            </x14:dxf>
          </x14:cfRule>
          <xm:sqref>BZ135:CC135</xm:sqref>
        </x14:conditionalFormatting>
        <x14:conditionalFormatting xmlns:xm="http://schemas.microsoft.com/office/excel/2006/main">
          <x14:cfRule type="expression" priority="4698249" id="{7984E1C9-E073-4955-8543-62145CB6D008}">
            <xm:f>$CC$4='Data entry'!$R49</xm:f>
            <x14:dxf>
              <fill>
                <patternFill>
                  <bgColor rgb="FFFFFF00"/>
                </patternFill>
              </fill>
            </x14:dxf>
          </x14:cfRule>
          <xm:sqref>BO134:CC134</xm:sqref>
        </x14:conditionalFormatting>
        <x14:conditionalFormatting xmlns:xm="http://schemas.microsoft.com/office/excel/2006/main">
          <x14:cfRule type="expression" priority="4698250" id="{18A957B3-59FA-4698-BA92-2A208FF18E2F}">
            <xm:f>$CC$4='Data entry'!$R49</xm:f>
            <x14:dxf>
              <fill>
                <patternFill>
                  <bgColor rgb="FFFF0000"/>
                </patternFill>
              </fill>
            </x14:dxf>
          </x14:cfRule>
          <xm:sqref>CA135:CC135</xm:sqref>
        </x14:conditionalFormatting>
        <x14:conditionalFormatting xmlns:xm="http://schemas.microsoft.com/office/excel/2006/main">
          <x14:cfRule type="expression" priority="4698337" id="{5B0DB825-B7C2-40AC-B7EF-F267F054CFB9}">
            <xm:f>$U$4='Data entry'!$R50</xm:f>
            <x14:dxf>
              <fill>
                <patternFill>
                  <bgColor rgb="FFFF0000"/>
                </patternFill>
              </fill>
            </x14:dxf>
          </x14:cfRule>
          <xm:sqref>S138:AE138</xm:sqref>
        </x14:conditionalFormatting>
        <x14:conditionalFormatting xmlns:xm="http://schemas.microsoft.com/office/excel/2006/main">
          <x14:cfRule type="expression" priority="4698338" id="{18311200-E2BB-400F-B594-3B9A2C6068C2}">
            <xm:f>$V$4='Data entry'!$R50</xm:f>
            <x14:dxf>
              <fill>
                <patternFill>
                  <bgColor rgb="FFFF0000"/>
                </patternFill>
              </fill>
            </x14:dxf>
          </x14:cfRule>
          <xm:sqref>T138:AF138</xm:sqref>
        </x14:conditionalFormatting>
        <x14:conditionalFormatting xmlns:xm="http://schemas.microsoft.com/office/excel/2006/main">
          <x14:cfRule type="expression" priority="4698339" id="{D6DFB621-1A58-4C59-A987-ECAD0EB2D32B}">
            <xm:f>$V$4='Data entry'!$R50</xm:f>
            <x14:dxf>
              <fill>
                <patternFill>
                  <bgColor rgb="FFFFFF00"/>
                </patternFill>
              </fill>
            </x14:dxf>
          </x14:cfRule>
          <xm:sqref>H137:V137</xm:sqref>
        </x14:conditionalFormatting>
        <x14:conditionalFormatting xmlns:xm="http://schemas.microsoft.com/office/excel/2006/main">
          <x14:cfRule type="expression" priority="4698340" id="{5F87A680-DC5F-433D-A779-B7A534ACCDA9}">
            <xm:f>$W$4='Data entry'!$R50</xm:f>
            <x14:dxf>
              <fill>
                <patternFill>
                  <bgColor rgb="FFFF0000"/>
                </patternFill>
              </fill>
            </x14:dxf>
          </x14:cfRule>
          <xm:sqref>U138:AG138</xm:sqref>
        </x14:conditionalFormatting>
        <x14:conditionalFormatting xmlns:xm="http://schemas.microsoft.com/office/excel/2006/main">
          <x14:cfRule type="expression" priority="4698341" id="{964539FF-A92C-4F68-B268-B7157A32678C}">
            <xm:f>$W$4='Data entry'!$R50</xm:f>
            <x14:dxf>
              <fill>
                <patternFill>
                  <bgColor rgb="FFFFFF00"/>
                </patternFill>
              </fill>
            </x14:dxf>
          </x14:cfRule>
          <xm:sqref>I137:W137</xm:sqref>
        </x14:conditionalFormatting>
        <x14:conditionalFormatting xmlns:xm="http://schemas.microsoft.com/office/excel/2006/main">
          <x14:cfRule type="expression" priority="4698342" id="{46C1533A-F090-4A90-9309-3F59EC3FD3B0}">
            <xm:f>$X$4='Data entry'!$R50</xm:f>
            <x14:dxf>
              <fill>
                <patternFill>
                  <bgColor rgb="FFFF0000"/>
                </patternFill>
              </fill>
            </x14:dxf>
          </x14:cfRule>
          <xm:sqref>V138:AH138</xm:sqref>
        </x14:conditionalFormatting>
        <x14:conditionalFormatting xmlns:xm="http://schemas.microsoft.com/office/excel/2006/main">
          <x14:cfRule type="expression" priority="4698343" id="{7C70E81C-DDD4-4D75-933A-4F6A39893184}">
            <xm:f>$X$4='Data entry'!$R50</xm:f>
            <x14:dxf>
              <fill>
                <patternFill>
                  <bgColor rgb="FFFFFF00"/>
                </patternFill>
              </fill>
            </x14:dxf>
          </x14:cfRule>
          <xm:sqref>J137:X137</xm:sqref>
        </x14:conditionalFormatting>
        <x14:conditionalFormatting xmlns:xm="http://schemas.microsoft.com/office/excel/2006/main">
          <x14:cfRule type="expression" priority="4698344" id="{561AF073-0EF8-4B72-A119-40A639C4359D}">
            <xm:f>$Y$4='Data entry'!$R50</xm:f>
            <x14:dxf>
              <fill>
                <patternFill>
                  <bgColor rgb="FFFF0000"/>
                </patternFill>
              </fill>
            </x14:dxf>
          </x14:cfRule>
          <xm:sqref>W138:AI138</xm:sqref>
        </x14:conditionalFormatting>
        <x14:conditionalFormatting xmlns:xm="http://schemas.microsoft.com/office/excel/2006/main">
          <x14:cfRule type="expression" priority="4698345" id="{F242E808-8F07-4A89-9524-7D4C767CE357}">
            <xm:f>$Y$4='Data entry'!$R50</xm:f>
            <x14:dxf>
              <fill>
                <patternFill>
                  <bgColor rgb="FFFFFF00"/>
                </patternFill>
              </fill>
            </x14:dxf>
          </x14:cfRule>
          <xm:sqref>K137:Y137</xm:sqref>
        </x14:conditionalFormatting>
        <x14:conditionalFormatting xmlns:xm="http://schemas.microsoft.com/office/excel/2006/main">
          <x14:cfRule type="expression" priority="4698346" id="{DD601058-982B-4218-BD9D-64BB823C2633}">
            <xm:f>$Z$4='Data entry'!$R50</xm:f>
            <x14:dxf>
              <fill>
                <patternFill>
                  <bgColor rgb="FFFF0000"/>
                </patternFill>
              </fill>
            </x14:dxf>
          </x14:cfRule>
          <xm:sqref>X138:AJ138</xm:sqref>
        </x14:conditionalFormatting>
        <x14:conditionalFormatting xmlns:xm="http://schemas.microsoft.com/office/excel/2006/main">
          <x14:cfRule type="expression" priority="4698347" id="{C9DB141D-79F6-4093-92A3-7BF7A1622985}">
            <xm:f>$Z$4='Data entry'!$R50</xm:f>
            <x14:dxf>
              <fill>
                <patternFill>
                  <bgColor rgb="FFFFFF00"/>
                </patternFill>
              </fill>
            </x14:dxf>
          </x14:cfRule>
          <xm:sqref>L137:Z137</xm:sqref>
        </x14:conditionalFormatting>
        <x14:conditionalFormatting xmlns:xm="http://schemas.microsoft.com/office/excel/2006/main">
          <x14:cfRule type="expression" priority="4698348" id="{710EB8D3-F5C0-4E3C-8214-2D0C4E26F649}">
            <xm:f>$AA$4='Data entry'!$R50</xm:f>
            <x14:dxf>
              <fill>
                <patternFill>
                  <bgColor rgb="FFFF0000"/>
                </patternFill>
              </fill>
            </x14:dxf>
          </x14:cfRule>
          <xm:sqref>Y138:AK138</xm:sqref>
        </x14:conditionalFormatting>
        <x14:conditionalFormatting xmlns:xm="http://schemas.microsoft.com/office/excel/2006/main">
          <x14:cfRule type="expression" priority="4698349" id="{33825D69-C967-4D27-B395-5D44A3083802}">
            <xm:f>$AA$4='Data entry'!$R50</xm:f>
            <x14:dxf>
              <fill>
                <patternFill>
                  <bgColor rgb="FFFFFF00"/>
                </patternFill>
              </fill>
            </x14:dxf>
          </x14:cfRule>
          <xm:sqref>M137:AA137</xm:sqref>
        </x14:conditionalFormatting>
        <x14:conditionalFormatting xmlns:xm="http://schemas.microsoft.com/office/excel/2006/main">
          <x14:cfRule type="expression" priority="4698350" id="{9811A97D-351B-4D32-8754-AF433277E62B}">
            <xm:f>$AB$4='Data entry'!$R50</xm:f>
            <x14:dxf>
              <fill>
                <patternFill>
                  <bgColor rgb="FFFF0000"/>
                </patternFill>
              </fill>
            </x14:dxf>
          </x14:cfRule>
          <xm:sqref>Z138:AL138</xm:sqref>
        </x14:conditionalFormatting>
        <x14:conditionalFormatting xmlns:xm="http://schemas.microsoft.com/office/excel/2006/main">
          <x14:cfRule type="expression" priority="4698351" id="{6DD3E556-C72E-438B-92DA-3096ED1E4178}">
            <xm:f>$AB$4='Data entry'!$R50</xm:f>
            <x14:dxf>
              <fill>
                <patternFill>
                  <bgColor rgb="FFFFFF00"/>
                </patternFill>
              </fill>
            </x14:dxf>
          </x14:cfRule>
          <xm:sqref>N137:AB137</xm:sqref>
        </x14:conditionalFormatting>
        <x14:conditionalFormatting xmlns:xm="http://schemas.microsoft.com/office/excel/2006/main">
          <x14:cfRule type="expression" priority="4698352" id="{C0DF7A1B-D6BC-4371-BD3A-F0708147FA1C}">
            <xm:f>$AC$4='Data entry'!$R50</xm:f>
            <x14:dxf>
              <fill>
                <patternFill>
                  <bgColor rgb="FFFF0000"/>
                </patternFill>
              </fill>
            </x14:dxf>
          </x14:cfRule>
          <xm:sqref>AA138:AM138</xm:sqref>
        </x14:conditionalFormatting>
        <x14:conditionalFormatting xmlns:xm="http://schemas.microsoft.com/office/excel/2006/main">
          <x14:cfRule type="expression" priority="4698353" id="{DB2E1F48-AF0E-41F9-A976-6B1963CA5711}">
            <xm:f>$AC$4='Data entry'!$R50</xm:f>
            <x14:dxf>
              <fill>
                <patternFill>
                  <bgColor rgb="FFFFFF00"/>
                </patternFill>
              </fill>
            </x14:dxf>
          </x14:cfRule>
          <xm:sqref>O137:AC137</xm:sqref>
        </x14:conditionalFormatting>
        <x14:conditionalFormatting xmlns:xm="http://schemas.microsoft.com/office/excel/2006/main">
          <x14:cfRule type="expression" priority="4698354" id="{89909907-F9A9-4AF9-BC1D-304710A43F50}">
            <xm:f>$AD$4='Data entry'!$R50</xm:f>
            <x14:dxf>
              <fill>
                <patternFill>
                  <bgColor rgb="FFFF0000"/>
                </patternFill>
              </fill>
            </x14:dxf>
          </x14:cfRule>
          <xm:sqref>AB138:AN138</xm:sqref>
        </x14:conditionalFormatting>
        <x14:conditionalFormatting xmlns:xm="http://schemas.microsoft.com/office/excel/2006/main">
          <x14:cfRule type="expression" priority="4698355" id="{729676B7-E331-43A4-ACC9-850DCEE76A0E}">
            <xm:f>$AD$4='Data entry'!$R50</xm:f>
            <x14:dxf>
              <fill>
                <patternFill>
                  <bgColor rgb="FFFFFF00"/>
                </patternFill>
              </fill>
            </x14:dxf>
          </x14:cfRule>
          <xm:sqref>P137:AD137</xm:sqref>
        </x14:conditionalFormatting>
        <x14:conditionalFormatting xmlns:xm="http://schemas.microsoft.com/office/excel/2006/main">
          <x14:cfRule type="expression" priority="4698356" id="{00DA2C55-350E-44AA-ABEA-808FABFDA737}">
            <xm:f>$AE$4='Data entry'!$R50</xm:f>
            <x14:dxf>
              <fill>
                <patternFill>
                  <bgColor rgb="FFFF0000"/>
                </patternFill>
              </fill>
            </x14:dxf>
          </x14:cfRule>
          <xm:sqref>AC138:AO138</xm:sqref>
        </x14:conditionalFormatting>
        <x14:conditionalFormatting xmlns:xm="http://schemas.microsoft.com/office/excel/2006/main">
          <x14:cfRule type="expression" priority="4698357" id="{373C95F1-00C1-45E9-B561-5224945BA4A4}">
            <xm:f>$AE$4='Data entry'!$R50</xm:f>
            <x14:dxf>
              <fill>
                <patternFill>
                  <bgColor rgb="FFFFFF00"/>
                </patternFill>
              </fill>
            </x14:dxf>
          </x14:cfRule>
          <xm:sqref>Q137:AE137</xm:sqref>
        </x14:conditionalFormatting>
        <x14:conditionalFormatting xmlns:xm="http://schemas.microsoft.com/office/excel/2006/main">
          <x14:cfRule type="expression" priority="4698358" id="{65E90E74-6BEF-4B00-BD5E-ECACFEBC225A}">
            <xm:f>$AF$4='Data entry'!$R50</xm:f>
            <x14:dxf>
              <fill>
                <patternFill>
                  <bgColor rgb="FFFF0000"/>
                </patternFill>
              </fill>
            </x14:dxf>
          </x14:cfRule>
          <xm:sqref>AD138:AP138</xm:sqref>
        </x14:conditionalFormatting>
        <x14:conditionalFormatting xmlns:xm="http://schemas.microsoft.com/office/excel/2006/main">
          <x14:cfRule type="expression" priority="4698359" id="{56B519D7-E083-4811-B42B-D6CB10D44BB3}">
            <xm:f>$AF$4='Data entry'!$R50</xm:f>
            <x14:dxf>
              <fill>
                <patternFill>
                  <bgColor rgb="FFFFFF00"/>
                </patternFill>
              </fill>
            </x14:dxf>
          </x14:cfRule>
          <xm:sqref>R137:AF137</xm:sqref>
        </x14:conditionalFormatting>
        <x14:conditionalFormatting xmlns:xm="http://schemas.microsoft.com/office/excel/2006/main">
          <x14:cfRule type="expression" priority="4698360" id="{889682B6-BF9B-414B-86B7-1C802156B058}">
            <xm:f>$AG$4='Data entry'!$R50</xm:f>
            <x14:dxf>
              <fill>
                <patternFill>
                  <bgColor rgb="FFFF0000"/>
                </patternFill>
              </fill>
            </x14:dxf>
          </x14:cfRule>
          <xm:sqref>AE138:AQ138</xm:sqref>
        </x14:conditionalFormatting>
        <x14:conditionalFormatting xmlns:xm="http://schemas.microsoft.com/office/excel/2006/main">
          <x14:cfRule type="expression" priority="4698361" id="{19913D88-1940-4CB0-B29C-D46D60833BD5}">
            <xm:f>$AG$4='Data entry'!$R50</xm:f>
            <x14:dxf>
              <fill>
                <patternFill>
                  <bgColor rgb="FFFFFF00"/>
                </patternFill>
              </fill>
            </x14:dxf>
          </x14:cfRule>
          <xm:sqref>S137:AG137</xm:sqref>
        </x14:conditionalFormatting>
        <x14:conditionalFormatting xmlns:xm="http://schemas.microsoft.com/office/excel/2006/main">
          <x14:cfRule type="expression" priority="4698362" id="{3DD7B9A5-18A3-463F-BAD5-9796FC487328}">
            <xm:f>$AH$4='Data entry'!$R50</xm:f>
            <x14:dxf>
              <fill>
                <patternFill>
                  <bgColor rgb="FFFF0000"/>
                </patternFill>
              </fill>
            </x14:dxf>
          </x14:cfRule>
          <xm:sqref>AF138:AR138</xm:sqref>
        </x14:conditionalFormatting>
        <x14:conditionalFormatting xmlns:xm="http://schemas.microsoft.com/office/excel/2006/main">
          <x14:cfRule type="expression" priority="4698363" id="{31005CF4-5608-496E-91EB-F7F505046C80}">
            <xm:f>$AH$4='Data entry'!$R50</xm:f>
            <x14:dxf>
              <fill>
                <patternFill>
                  <bgColor rgb="FFFFFF00"/>
                </patternFill>
              </fill>
            </x14:dxf>
          </x14:cfRule>
          <xm:sqref>T137:AH137</xm:sqref>
        </x14:conditionalFormatting>
        <x14:conditionalFormatting xmlns:xm="http://schemas.microsoft.com/office/excel/2006/main">
          <x14:cfRule type="expression" priority="4698364" id="{CD14F654-5B7A-444F-8FC1-7DD71E76E475}">
            <xm:f>$AI$4='Data entry'!$R50</xm:f>
            <x14:dxf>
              <fill>
                <patternFill>
                  <bgColor rgb="FFFF0000"/>
                </patternFill>
              </fill>
            </x14:dxf>
          </x14:cfRule>
          <xm:sqref>AG138:AS138</xm:sqref>
        </x14:conditionalFormatting>
        <x14:conditionalFormatting xmlns:xm="http://schemas.microsoft.com/office/excel/2006/main">
          <x14:cfRule type="expression" priority="4698365" id="{0E4E448C-6C46-4285-B877-A61A90294385}">
            <xm:f>$AI$4='Data entry'!$R50</xm:f>
            <x14:dxf>
              <fill>
                <patternFill>
                  <bgColor rgb="FFFFFF00"/>
                </patternFill>
              </fill>
            </x14:dxf>
          </x14:cfRule>
          <xm:sqref>U137:AI137</xm:sqref>
        </x14:conditionalFormatting>
        <x14:conditionalFormatting xmlns:xm="http://schemas.microsoft.com/office/excel/2006/main">
          <x14:cfRule type="expression" priority="4698366" id="{B1C1818F-791C-403D-BE73-6F6E9DC6A16D}">
            <xm:f>$AJ$4='Data entry'!$R50</xm:f>
            <x14:dxf>
              <fill>
                <patternFill>
                  <bgColor rgb="FFFF0000"/>
                </patternFill>
              </fill>
            </x14:dxf>
          </x14:cfRule>
          <xm:sqref>AH138:AT138</xm:sqref>
        </x14:conditionalFormatting>
        <x14:conditionalFormatting xmlns:xm="http://schemas.microsoft.com/office/excel/2006/main">
          <x14:cfRule type="expression" priority="4698367" id="{A1237792-221B-431B-B8A7-E9A64DA46D93}">
            <xm:f>$AJ$4='Data entry'!$R50</xm:f>
            <x14:dxf>
              <fill>
                <patternFill>
                  <bgColor rgb="FFFFFF00"/>
                </patternFill>
              </fill>
            </x14:dxf>
          </x14:cfRule>
          <xm:sqref>V137:AJ137</xm:sqref>
        </x14:conditionalFormatting>
        <x14:conditionalFormatting xmlns:xm="http://schemas.microsoft.com/office/excel/2006/main">
          <x14:cfRule type="expression" priority="4698368" id="{617DC2AF-C7A3-4724-8EA3-17DEFEDC8949}">
            <xm:f>$AK$4='Data entry'!$R50</xm:f>
            <x14:dxf>
              <fill>
                <patternFill>
                  <bgColor rgb="FFFF0000"/>
                </patternFill>
              </fill>
            </x14:dxf>
          </x14:cfRule>
          <xm:sqref>AI138:AU138</xm:sqref>
        </x14:conditionalFormatting>
        <x14:conditionalFormatting xmlns:xm="http://schemas.microsoft.com/office/excel/2006/main">
          <x14:cfRule type="expression" priority="4698369" id="{AA72317D-37B1-48EB-A28B-BF2AC8DC4519}">
            <xm:f>$AK$4='Data entry'!$R50</xm:f>
            <x14:dxf>
              <fill>
                <patternFill>
                  <bgColor rgb="FFFFFF00"/>
                </patternFill>
              </fill>
            </x14:dxf>
          </x14:cfRule>
          <xm:sqref>W137:AK137</xm:sqref>
        </x14:conditionalFormatting>
        <x14:conditionalFormatting xmlns:xm="http://schemas.microsoft.com/office/excel/2006/main">
          <x14:cfRule type="expression" priority="4698370" id="{6CA9FB7A-20EA-4D3A-B74C-A001F4BE810D}">
            <xm:f>$AL$4='Data entry'!$R50</xm:f>
            <x14:dxf>
              <fill>
                <patternFill>
                  <bgColor rgb="FFFF0000"/>
                </patternFill>
              </fill>
            </x14:dxf>
          </x14:cfRule>
          <xm:sqref>AJ138:AV138</xm:sqref>
        </x14:conditionalFormatting>
        <x14:conditionalFormatting xmlns:xm="http://schemas.microsoft.com/office/excel/2006/main">
          <x14:cfRule type="expression" priority="4698371" id="{81A75DAA-573F-4EF3-A640-1B992C18BEA0}">
            <xm:f>$AL$4='Data entry'!$R50</xm:f>
            <x14:dxf>
              <fill>
                <patternFill>
                  <bgColor rgb="FFFFFF00"/>
                </patternFill>
              </fill>
            </x14:dxf>
          </x14:cfRule>
          <xm:sqref>X137:AL137</xm:sqref>
        </x14:conditionalFormatting>
        <x14:conditionalFormatting xmlns:xm="http://schemas.microsoft.com/office/excel/2006/main">
          <x14:cfRule type="expression" priority="4698372" id="{3D44713E-4ABA-4CCD-9DF4-5513A9FB5E1E}">
            <xm:f>$AM$4='Data entry'!$R50</xm:f>
            <x14:dxf>
              <fill>
                <patternFill>
                  <bgColor rgb="FFFF0000"/>
                </patternFill>
              </fill>
            </x14:dxf>
          </x14:cfRule>
          <xm:sqref>AK138:AW138</xm:sqref>
        </x14:conditionalFormatting>
        <x14:conditionalFormatting xmlns:xm="http://schemas.microsoft.com/office/excel/2006/main">
          <x14:cfRule type="expression" priority="4698373" id="{05A26B51-72A7-4423-822F-2BDBC28275D0}">
            <xm:f>$AM$4='Data entry'!$R50</xm:f>
            <x14:dxf>
              <fill>
                <patternFill>
                  <bgColor rgb="FFFFFF00"/>
                </patternFill>
              </fill>
            </x14:dxf>
          </x14:cfRule>
          <xm:sqref>Y137:AM137</xm:sqref>
        </x14:conditionalFormatting>
        <x14:conditionalFormatting xmlns:xm="http://schemas.microsoft.com/office/excel/2006/main">
          <x14:cfRule type="expression" priority="4698374" id="{B8A20675-6230-4694-A7F6-6B3DC7142773}">
            <xm:f>$AN$4='Data entry'!$R50</xm:f>
            <x14:dxf>
              <fill>
                <patternFill>
                  <bgColor rgb="FFFF0000"/>
                </patternFill>
              </fill>
            </x14:dxf>
          </x14:cfRule>
          <xm:sqref>AL138:AX138</xm:sqref>
        </x14:conditionalFormatting>
        <x14:conditionalFormatting xmlns:xm="http://schemas.microsoft.com/office/excel/2006/main">
          <x14:cfRule type="expression" priority="4698375" id="{8421181C-7450-42E9-BC1D-065CCFCA960E}">
            <xm:f>$AN$4='Data entry'!$R50</xm:f>
            <x14:dxf>
              <fill>
                <patternFill>
                  <bgColor rgb="FFFFFF00"/>
                </patternFill>
              </fill>
            </x14:dxf>
          </x14:cfRule>
          <xm:sqref>Z137:AN137</xm:sqref>
        </x14:conditionalFormatting>
        <x14:conditionalFormatting xmlns:xm="http://schemas.microsoft.com/office/excel/2006/main">
          <x14:cfRule type="expression" priority="4698376" id="{067FE4BD-6EF4-4684-B6E0-35AB2F267EE7}">
            <xm:f>$AO$4='Data entry'!$R50</xm:f>
            <x14:dxf>
              <fill>
                <patternFill>
                  <bgColor rgb="FFFF0000"/>
                </patternFill>
              </fill>
            </x14:dxf>
          </x14:cfRule>
          <xm:sqref>AM138:AY138</xm:sqref>
        </x14:conditionalFormatting>
        <x14:conditionalFormatting xmlns:xm="http://schemas.microsoft.com/office/excel/2006/main">
          <x14:cfRule type="expression" priority="4698377" id="{F7653492-88D1-47AC-8BA3-0CCE65C3C2AB}">
            <xm:f>$AO$4='Data entry'!$R50</xm:f>
            <x14:dxf>
              <fill>
                <patternFill>
                  <bgColor rgb="FFFFFF00"/>
                </patternFill>
              </fill>
            </x14:dxf>
          </x14:cfRule>
          <xm:sqref>AA137:AO137</xm:sqref>
        </x14:conditionalFormatting>
        <x14:conditionalFormatting xmlns:xm="http://schemas.microsoft.com/office/excel/2006/main">
          <x14:cfRule type="expression" priority="4698378" id="{207A5E5D-B322-482E-9193-1D7318138358}">
            <xm:f>$AP$4='Data entry'!$R50</xm:f>
            <x14:dxf>
              <fill>
                <patternFill>
                  <bgColor rgb="FFFF0000"/>
                </patternFill>
              </fill>
            </x14:dxf>
          </x14:cfRule>
          <xm:sqref>AN138:AZ138</xm:sqref>
        </x14:conditionalFormatting>
        <x14:conditionalFormatting xmlns:xm="http://schemas.microsoft.com/office/excel/2006/main">
          <x14:cfRule type="expression" priority="4698379" id="{21DA638D-4CA0-4067-BFF1-240CE1A0261B}">
            <xm:f>$AP$4='Data entry'!$R50</xm:f>
            <x14:dxf>
              <fill>
                <patternFill>
                  <bgColor rgb="FFFFFF00"/>
                </patternFill>
              </fill>
            </x14:dxf>
          </x14:cfRule>
          <xm:sqref>AB137:AP137</xm:sqref>
        </x14:conditionalFormatting>
        <x14:conditionalFormatting xmlns:xm="http://schemas.microsoft.com/office/excel/2006/main">
          <x14:cfRule type="expression" priority="4698380" id="{71963D96-A42A-4B90-BFC7-6D83D37766EF}">
            <xm:f>$AQ$4='Data entry'!$R50</xm:f>
            <x14:dxf>
              <fill>
                <patternFill>
                  <bgColor rgb="FFFF0000"/>
                </patternFill>
              </fill>
            </x14:dxf>
          </x14:cfRule>
          <xm:sqref>AO138:BA138</xm:sqref>
        </x14:conditionalFormatting>
        <x14:conditionalFormatting xmlns:xm="http://schemas.microsoft.com/office/excel/2006/main">
          <x14:cfRule type="expression" priority="4698381" id="{74952595-84B6-484F-8FF6-FCC1F337DF4D}">
            <xm:f>$AQ$4='Data entry'!$R50</xm:f>
            <x14:dxf>
              <fill>
                <patternFill>
                  <bgColor rgb="FFFFFF00"/>
                </patternFill>
              </fill>
            </x14:dxf>
          </x14:cfRule>
          <xm:sqref>AC137:AQ137</xm:sqref>
        </x14:conditionalFormatting>
        <x14:conditionalFormatting xmlns:xm="http://schemas.microsoft.com/office/excel/2006/main">
          <x14:cfRule type="expression" priority="4698382" id="{8AC9C4B9-0A34-4BC0-B0F7-CA89434C4911}">
            <xm:f>$P$4='Data entry'!$R50</xm:f>
            <x14:dxf>
              <fill>
                <patternFill>
                  <bgColor rgb="FFFFFF00"/>
                </patternFill>
              </fill>
            </x14:dxf>
          </x14:cfRule>
          <xm:sqref>C137:P137</xm:sqref>
        </x14:conditionalFormatting>
        <x14:conditionalFormatting xmlns:xm="http://schemas.microsoft.com/office/excel/2006/main">
          <x14:cfRule type="expression" priority="4698383" id="{0A726775-ABFD-4F22-967C-1A4D87BA3751}">
            <xm:f>$Q$4='Data entry'!$R50</xm:f>
            <x14:dxf>
              <fill>
                <patternFill>
                  <bgColor rgb="FFFFFF00"/>
                </patternFill>
              </fill>
            </x14:dxf>
          </x14:cfRule>
          <xm:sqref>C137:Q137</xm:sqref>
        </x14:conditionalFormatting>
        <x14:conditionalFormatting xmlns:xm="http://schemas.microsoft.com/office/excel/2006/main">
          <x14:cfRule type="expression" priority="4698384" id="{3A8414BD-262C-43B5-86EE-FA6901D00453}">
            <xm:f>$Q$4='Data entry'!$R50</xm:f>
            <x14:dxf>
              <fill>
                <patternFill>
                  <bgColor rgb="FFFF0000"/>
                </patternFill>
              </fill>
            </x14:dxf>
          </x14:cfRule>
          <xm:sqref>O138:AA138</xm:sqref>
        </x14:conditionalFormatting>
        <x14:conditionalFormatting xmlns:xm="http://schemas.microsoft.com/office/excel/2006/main">
          <x14:cfRule type="expression" priority="4698385" id="{B8B5501D-F3EF-4449-9306-F652960C65F4}">
            <xm:f>$R$4='Data entry'!$R50</xm:f>
            <x14:dxf>
              <fill>
                <patternFill>
                  <bgColor rgb="FFFF0000"/>
                </patternFill>
              </fill>
            </x14:dxf>
          </x14:cfRule>
          <xm:sqref>P138:AB138</xm:sqref>
        </x14:conditionalFormatting>
        <x14:conditionalFormatting xmlns:xm="http://schemas.microsoft.com/office/excel/2006/main">
          <x14:cfRule type="expression" priority="4698386" id="{5D070DEC-B82E-4D87-B907-A3E5AB836991}">
            <xm:f>$R$4='Data entry'!$R50</xm:f>
            <x14:dxf>
              <fill>
                <patternFill>
                  <bgColor rgb="FFFFFF00"/>
                </patternFill>
              </fill>
            </x14:dxf>
          </x14:cfRule>
          <xm:sqref>D137:R137</xm:sqref>
        </x14:conditionalFormatting>
        <x14:conditionalFormatting xmlns:xm="http://schemas.microsoft.com/office/excel/2006/main">
          <x14:cfRule type="expression" priority="4698387" id="{E4D16A10-F818-4664-9FB2-F0E839824D4B}">
            <xm:f>$S$4='Data entry'!$R50</xm:f>
            <x14:dxf>
              <fill>
                <patternFill>
                  <bgColor rgb="FFFF0000"/>
                </patternFill>
              </fill>
            </x14:dxf>
          </x14:cfRule>
          <xm:sqref>Q138:AC138</xm:sqref>
        </x14:conditionalFormatting>
        <x14:conditionalFormatting xmlns:xm="http://schemas.microsoft.com/office/excel/2006/main">
          <x14:cfRule type="expression" priority="4698388" id="{1A9F9911-A3E9-4730-AFBE-AB8C596545CA}">
            <xm:f>$S$4='Data entry'!$R50</xm:f>
            <x14:dxf>
              <fill>
                <patternFill>
                  <bgColor rgb="FFFFFF00"/>
                </patternFill>
              </fill>
            </x14:dxf>
          </x14:cfRule>
          <xm:sqref>E137:S137</xm:sqref>
        </x14:conditionalFormatting>
        <x14:conditionalFormatting xmlns:xm="http://schemas.microsoft.com/office/excel/2006/main">
          <x14:cfRule type="expression" priority="4698389" id="{8BB5CD1B-B2AC-442A-9550-26DE19A62D22}">
            <xm:f>$T$4='Data entry'!$R50</xm:f>
            <x14:dxf>
              <fill>
                <patternFill>
                  <bgColor rgb="FFFF0000"/>
                </patternFill>
              </fill>
            </x14:dxf>
          </x14:cfRule>
          <xm:sqref>R138:AD138</xm:sqref>
        </x14:conditionalFormatting>
        <x14:conditionalFormatting xmlns:xm="http://schemas.microsoft.com/office/excel/2006/main">
          <x14:cfRule type="expression" priority="4698390" id="{E7B59C69-7921-4049-84A1-8B3E5F7B0598}">
            <xm:f>$T$4='Data entry'!$R50</xm:f>
            <x14:dxf>
              <fill>
                <patternFill>
                  <bgColor rgb="FFFFFF00"/>
                </patternFill>
              </fill>
            </x14:dxf>
          </x14:cfRule>
          <xm:sqref>F137:T137</xm:sqref>
        </x14:conditionalFormatting>
        <x14:conditionalFormatting xmlns:xm="http://schemas.microsoft.com/office/excel/2006/main">
          <x14:cfRule type="expression" priority="4698391" id="{238C09E5-7A3D-439D-949F-A7733073F9A2}">
            <xm:f>$U$4='Data entry'!$R50</xm:f>
            <x14:dxf>
              <fill>
                <patternFill>
                  <bgColor rgb="FFFFFF00"/>
                </patternFill>
              </fill>
            </x14:dxf>
          </x14:cfRule>
          <xm:sqref>G137:U137</xm:sqref>
        </x14:conditionalFormatting>
        <x14:conditionalFormatting xmlns:xm="http://schemas.microsoft.com/office/excel/2006/main">
          <x14:cfRule type="expression" priority="4698392" id="{DE4D4432-0A19-452A-AF14-2873FE4DF411}">
            <xm:f>$AR$4='Data entry'!$R50</xm:f>
            <x14:dxf>
              <fill>
                <patternFill>
                  <bgColor rgb="FFFF0000"/>
                </patternFill>
              </fill>
            </x14:dxf>
          </x14:cfRule>
          <xm:sqref>AP138:BB138</xm:sqref>
        </x14:conditionalFormatting>
        <x14:conditionalFormatting xmlns:xm="http://schemas.microsoft.com/office/excel/2006/main">
          <x14:cfRule type="expression" priority="4698393" id="{90D7E1FF-542D-40C8-9BD5-DFEB4CDD256F}">
            <xm:f>$AR$4='Data entry'!$R50</xm:f>
            <x14:dxf>
              <fill>
                <patternFill>
                  <bgColor rgb="FFFFFF00"/>
                </patternFill>
              </fill>
            </x14:dxf>
          </x14:cfRule>
          <xm:sqref>AD137:AR137</xm:sqref>
        </x14:conditionalFormatting>
        <x14:conditionalFormatting xmlns:xm="http://schemas.microsoft.com/office/excel/2006/main">
          <x14:cfRule type="expression" priority="4698394" id="{0EBB5305-4A4A-4205-A1FF-11160070CBC3}">
            <xm:f>$AS$4='Data entry'!$R50</xm:f>
            <x14:dxf>
              <fill>
                <patternFill>
                  <bgColor rgb="FFFF0000"/>
                </patternFill>
              </fill>
            </x14:dxf>
          </x14:cfRule>
          <xm:sqref>AQ138:BC138</xm:sqref>
        </x14:conditionalFormatting>
        <x14:conditionalFormatting xmlns:xm="http://schemas.microsoft.com/office/excel/2006/main">
          <x14:cfRule type="expression" priority="4698395" id="{AC8EB30C-4253-4CE1-820E-1801F6D8D35B}">
            <xm:f>$AS$4='Data entry'!$R50</xm:f>
            <x14:dxf>
              <fill>
                <patternFill>
                  <bgColor rgb="FFFFFF00"/>
                </patternFill>
              </fill>
            </x14:dxf>
          </x14:cfRule>
          <xm:sqref>AE137:AS137</xm:sqref>
        </x14:conditionalFormatting>
        <x14:conditionalFormatting xmlns:xm="http://schemas.microsoft.com/office/excel/2006/main">
          <x14:cfRule type="expression" priority="4698396" id="{E11744C1-7201-4272-A1B0-945490B42425}">
            <xm:f>$AT$4='Data entry'!$R50</xm:f>
            <x14:dxf>
              <fill>
                <patternFill>
                  <bgColor rgb="FFFF0000"/>
                </patternFill>
              </fill>
            </x14:dxf>
          </x14:cfRule>
          <xm:sqref>AR138:BD138</xm:sqref>
        </x14:conditionalFormatting>
        <x14:conditionalFormatting xmlns:xm="http://schemas.microsoft.com/office/excel/2006/main">
          <x14:cfRule type="expression" priority="4698397" id="{5EE2823B-E955-4EA7-B99C-0B1F77B57A69}">
            <xm:f>$AT$4='Data entry'!$R50</xm:f>
            <x14:dxf>
              <fill>
                <patternFill>
                  <bgColor rgb="FFFFFF00"/>
                </patternFill>
              </fill>
            </x14:dxf>
          </x14:cfRule>
          <xm:sqref>AF137:AT137</xm:sqref>
        </x14:conditionalFormatting>
        <x14:conditionalFormatting xmlns:xm="http://schemas.microsoft.com/office/excel/2006/main">
          <x14:cfRule type="expression" priority="4698398" id="{5737DC63-3262-4B34-900C-2AAEB255FCBA}">
            <xm:f>$AU$4='Data entry'!$R50</xm:f>
            <x14:dxf>
              <fill>
                <patternFill>
                  <bgColor rgb="FFFF0000"/>
                </patternFill>
              </fill>
            </x14:dxf>
          </x14:cfRule>
          <xm:sqref>AS138:BE138</xm:sqref>
        </x14:conditionalFormatting>
        <x14:conditionalFormatting xmlns:xm="http://schemas.microsoft.com/office/excel/2006/main">
          <x14:cfRule type="expression" priority="4698399" id="{2B5C1F1B-3C3D-4CA3-BC64-0E98422075B6}">
            <xm:f>$AU$4='Data entry'!$R50</xm:f>
            <x14:dxf>
              <fill>
                <patternFill>
                  <bgColor rgb="FFFFFF00"/>
                </patternFill>
              </fill>
            </x14:dxf>
          </x14:cfRule>
          <xm:sqref>AG137:AU137</xm:sqref>
        </x14:conditionalFormatting>
        <x14:conditionalFormatting xmlns:xm="http://schemas.microsoft.com/office/excel/2006/main">
          <x14:cfRule type="expression" priority="4698400" id="{B87A1285-B003-4855-8F4B-53C391BA10E6}">
            <xm:f>$AV$4='Data entry'!$R50</xm:f>
            <x14:dxf>
              <fill>
                <patternFill>
                  <bgColor rgb="FFFF0000"/>
                </patternFill>
              </fill>
            </x14:dxf>
          </x14:cfRule>
          <xm:sqref>AT138:BF138</xm:sqref>
        </x14:conditionalFormatting>
        <x14:conditionalFormatting xmlns:xm="http://schemas.microsoft.com/office/excel/2006/main">
          <x14:cfRule type="expression" priority="4698401" id="{338EE31C-78DB-4818-B837-0380F9E457FA}">
            <xm:f>$AV$4='Data entry'!$R50</xm:f>
            <x14:dxf>
              <fill>
                <patternFill>
                  <bgColor rgb="FFFFFF00"/>
                </patternFill>
              </fill>
            </x14:dxf>
          </x14:cfRule>
          <xm:sqref>AH137:AV137</xm:sqref>
        </x14:conditionalFormatting>
        <x14:conditionalFormatting xmlns:xm="http://schemas.microsoft.com/office/excel/2006/main">
          <x14:cfRule type="expression" priority="4698402" id="{5C40EA66-2801-4C91-B885-BF6A1ECFC35C}">
            <xm:f>$AW$4='Data entry'!$R50</xm:f>
            <x14:dxf>
              <fill>
                <patternFill>
                  <bgColor rgb="FFFF0000"/>
                </patternFill>
              </fill>
            </x14:dxf>
          </x14:cfRule>
          <xm:sqref>AU138:BG138</xm:sqref>
        </x14:conditionalFormatting>
        <x14:conditionalFormatting xmlns:xm="http://schemas.microsoft.com/office/excel/2006/main">
          <x14:cfRule type="expression" priority="4698403" id="{51BCD5CE-DF86-4C2F-8A81-DDA1EFD6C8F7}">
            <xm:f>$AW$4='Data entry'!$R50</xm:f>
            <x14:dxf>
              <fill>
                <patternFill>
                  <bgColor rgb="FFFFFF00"/>
                </patternFill>
              </fill>
            </x14:dxf>
          </x14:cfRule>
          <xm:sqref>AI137:AW137</xm:sqref>
        </x14:conditionalFormatting>
        <x14:conditionalFormatting xmlns:xm="http://schemas.microsoft.com/office/excel/2006/main">
          <x14:cfRule type="expression" priority="4698404" id="{DC2ED5A0-8917-4877-8CD3-9DF9BE5993C9}">
            <xm:f>$AX$4='Data entry'!$R50</xm:f>
            <x14:dxf>
              <fill>
                <patternFill>
                  <bgColor rgb="FFFF0000"/>
                </patternFill>
              </fill>
            </x14:dxf>
          </x14:cfRule>
          <xm:sqref>AV138:BH138</xm:sqref>
        </x14:conditionalFormatting>
        <x14:conditionalFormatting xmlns:xm="http://schemas.microsoft.com/office/excel/2006/main">
          <x14:cfRule type="expression" priority="4698405" id="{59B31869-20F9-45BD-BC80-0A6C8945CE2C}">
            <xm:f>$AX$4='Data entry'!$R50</xm:f>
            <x14:dxf>
              <fill>
                <patternFill>
                  <bgColor rgb="FFFFFF00"/>
                </patternFill>
              </fill>
            </x14:dxf>
          </x14:cfRule>
          <xm:sqref>AJ137:AX137</xm:sqref>
        </x14:conditionalFormatting>
        <x14:conditionalFormatting xmlns:xm="http://schemas.microsoft.com/office/excel/2006/main">
          <x14:cfRule type="expression" priority="4698406" id="{D4208FA0-4262-4037-934C-6D0742B2AD8E}">
            <xm:f>$AY$4='Data entry'!$R50</xm:f>
            <x14:dxf>
              <fill>
                <patternFill>
                  <bgColor rgb="FFFF0000"/>
                </patternFill>
              </fill>
            </x14:dxf>
          </x14:cfRule>
          <xm:sqref>AW138:BI138</xm:sqref>
        </x14:conditionalFormatting>
        <x14:conditionalFormatting xmlns:xm="http://schemas.microsoft.com/office/excel/2006/main">
          <x14:cfRule type="expression" priority="4698407" id="{04D6E423-18C7-42B2-A67D-F49D8E62B571}">
            <xm:f>$AY$4='Data entry'!$R50</xm:f>
            <x14:dxf>
              <fill>
                <patternFill>
                  <bgColor rgb="FFFFFF00"/>
                </patternFill>
              </fill>
            </x14:dxf>
          </x14:cfRule>
          <xm:sqref>AK137:AY137</xm:sqref>
        </x14:conditionalFormatting>
        <x14:conditionalFormatting xmlns:xm="http://schemas.microsoft.com/office/excel/2006/main">
          <x14:cfRule type="expression" priority="4698408" id="{A931C203-6E4B-4EBD-A2F4-1876881F48D4}">
            <xm:f>$AZ$4='Data entry'!$R50</xm:f>
            <x14:dxf>
              <fill>
                <patternFill>
                  <bgColor rgb="FFFF0000"/>
                </patternFill>
              </fill>
            </x14:dxf>
          </x14:cfRule>
          <xm:sqref>AX138:BJ138</xm:sqref>
        </x14:conditionalFormatting>
        <x14:conditionalFormatting xmlns:xm="http://schemas.microsoft.com/office/excel/2006/main">
          <x14:cfRule type="expression" priority="4698409" id="{092D9100-E652-40FE-8CAA-720DC0681250}">
            <xm:f>$AZ$4='Data entry'!$R50</xm:f>
            <x14:dxf>
              <fill>
                <patternFill>
                  <bgColor rgb="FFFFFF00"/>
                </patternFill>
              </fill>
            </x14:dxf>
          </x14:cfRule>
          <xm:sqref>AL137:AZ137</xm:sqref>
        </x14:conditionalFormatting>
        <x14:conditionalFormatting xmlns:xm="http://schemas.microsoft.com/office/excel/2006/main">
          <x14:cfRule type="expression" priority="4698410" id="{A3C7E6BE-A225-483C-A983-A915DB662C52}">
            <xm:f>$BA$4='Data entry'!$R50</xm:f>
            <x14:dxf>
              <fill>
                <patternFill>
                  <bgColor rgb="FFFF0000"/>
                </patternFill>
              </fill>
            </x14:dxf>
          </x14:cfRule>
          <xm:sqref>AY138:BK138</xm:sqref>
        </x14:conditionalFormatting>
        <x14:conditionalFormatting xmlns:xm="http://schemas.microsoft.com/office/excel/2006/main">
          <x14:cfRule type="expression" priority="4698411" id="{F5CF569A-8AFA-4CFF-8BD3-F04D8927A99F}">
            <xm:f>$BA$4='Data entry'!$R50</xm:f>
            <x14:dxf>
              <fill>
                <patternFill>
                  <bgColor rgb="FFFFFF00"/>
                </patternFill>
              </fill>
            </x14:dxf>
          </x14:cfRule>
          <xm:sqref>AM137:BA137</xm:sqref>
        </x14:conditionalFormatting>
        <x14:conditionalFormatting xmlns:xm="http://schemas.microsoft.com/office/excel/2006/main">
          <x14:cfRule type="expression" priority="4698412" id="{E4DAC94A-7983-4BFB-A87B-45B58561841A}">
            <xm:f>$BB$4='Data entry'!$R50</xm:f>
            <x14:dxf>
              <fill>
                <patternFill>
                  <bgColor rgb="FFFF0000"/>
                </patternFill>
              </fill>
            </x14:dxf>
          </x14:cfRule>
          <xm:sqref>AZ138:BL138</xm:sqref>
        </x14:conditionalFormatting>
        <x14:conditionalFormatting xmlns:xm="http://schemas.microsoft.com/office/excel/2006/main">
          <x14:cfRule type="expression" priority="4698413" id="{E63849C5-F39B-4B0E-8F8A-B532EDF2CBAE}">
            <xm:f>$BB$4='Data entry'!$R50</xm:f>
            <x14:dxf>
              <fill>
                <patternFill>
                  <bgColor rgb="FFFFFF00"/>
                </patternFill>
              </fill>
            </x14:dxf>
          </x14:cfRule>
          <xm:sqref>AN137:BB137</xm:sqref>
        </x14:conditionalFormatting>
        <x14:conditionalFormatting xmlns:xm="http://schemas.microsoft.com/office/excel/2006/main">
          <x14:cfRule type="expression" priority="4698414" id="{4FDC32D3-C1F5-455D-9AA4-A03359B72526}">
            <xm:f>$BC$4='Data entry'!$R50</xm:f>
            <x14:dxf>
              <fill>
                <patternFill>
                  <bgColor rgb="FFFF0000"/>
                </patternFill>
              </fill>
            </x14:dxf>
          </x14:cfRule>
          <xm:sqref>BA138:BM138</xm:sqref>
        </x14:conditionalFormatting>
        <x14:conditionalFormatting xmlns:xm="http://schemas.microsoft.com/office/excel/2006/main">
          <x14:cfRule type="expression" priority="4698415" id="{5F0D0C60-B233-4C56-B05D-98C99990877F}">
            <xm:f>$BC$4='Data entry'!$R50</xm:f>
            <x14:dxf>
              <fill>
                <patternFill>
                  <bgColor rgb="FFFFFF00"/>
                </patternFill>
              </fill>
            </x14:dxf>
          </x14:cfRule>
          <xm:sqref>AO137:BC137</xm:sqref>
        </x14:conditionalFormatting>
        <x14:conditionalFormatting xmlns:xm="http://schemas.microsoft.com/office/excel/2006/main">
          <x14:cfRule type="expression" priority="4698416" id="{9EBCB60F-8135-43B6-A0F3-548D4092CC98}">
            <xm:f>$BD$4='Data entry'!$R50</xm:f>
            <x14:dxf>
              <fill>
                <patternFill>
                  <bgColor rgb="FFFF0000"/>
                </patternFill>
              </fill>
            </x14:dxf>
          </x14:cfRule>
          <xm:sqref>BB138:BN138</xm:sqref>
        </x14:conditionalFormatting>
        <x14:conditionalFormatting xmlns:xm="http://schemas.microsoft.com/office/excel/2006/main">
          <x14:cfRule type="expression" priority="4698417" id="{961AF346-4A73-41ED-9A8D-27D431B09C05}">
            <xm:f>$BD$4='Data entry'!$R50</xm:f>
            <x14:dxf>
              <fill>
                <patternFill>
                  <bgColor rgb="FFFFFF00"/>
                </patternFill>
              </fill>
            </x14:dxf>
          </x14:cfRule>
          <xm:sqref>AP137:BD137</xm:sqref>
        </x14:conditionalFormatting>
        <x14:conditionalFormatting xmlns:xm="http://schemas.microsoft.com/office/excel/2006/main">
          <x14:cfRule type="expression" priority="4698418" id="{5A887026-27CD-4F8C-8BA6-1E92704C1CA6}">
            <xm:f>$BE$4='Data entry'!$R50</xm:f>
            <x14:dxf>
              <fill>
                <patternFill>
                  <bgColor rgb="FFFF0000"/>
                </patternFill>
              </fill>
            </x14:dxf>
          </x14:cfRule>
          <xm:sqref>BC138:BO138</xm:sqref>
        </x14:conditionalFormatting>
        <x14:conditionalFormatting xmlns:xm="http://schemas.microsoft.com/office/excel/2006/main">
          <x14:cfRule type="expression" priority="4698419" id="{7F46217B-A1E9-4515-B31E-E756FCD7C6D9}">
            <xm:f>$BE$4='Data entry'!$R50</xm:f>
            <x14:dxf>
              <fill>
                <patternFill>
                  <bgColor rgb="FFFFFF00"/>
                </patternFill>
              </fill>
            </x14:dxf>
          </x14:cfRule>
          <xm:sqref>AP137:BE137</xm:sqref>
        </x14:conditionalFormatting>
        <x14:conditionalFormatting xmlns:xm="http://schemas.microsoft.com/office/excel/2006/main">
          <x14:cfRule type="expression" priority="4698420" id="{F4D9285C-8CA0-4EF1-943E-6A462D47CC77}">
            <xm:f>$BF$4='Data entry'!$R50</xm:f>
            <x14:dxf>
              <fill>
                <patternFill>
                  <bgColor rgb="FFFF0000"/>
                </patternFill>
              </fill>
            </x14:dxf>
          </x14:cfRule>
          <xm:sqref>BD138:BP138</xm:sqref>
        </x14:conditionalFormatting>
        <x14:conditionalFormatting xmlns:xm="http://schemas.microsoft.com/office/excel/2006/main">
          <x14:cfRule type="expression" priority="4698421" id="{B9E4407D-651D-4DC0-9D61-3271D62A65E9}">
            <xm:f>$BF$4='Data entry'!$R50</xm:f>
            <x14:dxf>
              <fill>
                <patternFill>
                  <bgColor rgb="FFFFFF00"/>
                </patternFill>
              </fill>
            </x14:dxf>
          </x14:cfRule>
          <xm:sqref>AR137:BF137</xm:sqref>
        </x14:conditionalFormatting>
        <x14:conditionalFormatting xmlns:xm="http://schemas.microsoft.com/office/excel/2006/main">
          <x14:cfRule type="expression" priority="4698422" id="{4CDC062F-DDFF-4556-B941-08F919727F69}">
            <xm:f>$BG$4='Data entry'!$R50</xm:f>
            <x14:dxf>
              <fill>
                <patternFill>
                  <bgColor rgb="FFFF0000"/>
                </patternFill>
              </fill>
            </x14:dxf>
          </x14:cfRule>
          <xm:sqref>BE138:BQ138</xm:sqref>
        </x14:conditionalFormatting>
        <x14:conditionalFormatting xmlns:xm="http://schemas.microsoft.com/office/excel/2006/main">
          <x14:cfRule type="expression" priority="4698423" id="{789184FA-9055-433B-8A1B-92C7ED59E81F}">
            <xm:f>$BG$4='Data entry'!$R50</xm:f>
            <x14:dxf>
              <fill>
                <patternFill>
                  <bgColor rgb="FFFFFF00"/>
                </patternFill>
              </fill>
            </x14:dxf>
          </x14:cfRule>
          <xm:sqref>AS137:BG137</xm:sqref>
        </x14:conditionalFormatting>
        <x14:conditionalFormatting xmlns:xm="http://schemas.microsoft.com/office/excel/2006/main">
          <x14:cfRule type="expression" priority="4698424" id="{58651E5C-09C9-46C1-B95C-E8A578A49E15}">
            <xm:f>$BH$4='Data entry'!$R50</xm:f>
            <x14:dxf>
              <fill>
                <patternFill>
                  <bgColor rgb="FFFFFF00"/>
                </patternFill>
              </fill>
            </x14:dxf>
          </x14:cfRule>
          <xm:sqref>AT137:BH137</xm:sqref>
        </x14:conditionalFormatting>
        <x14:conditionalFormatting xmlns:xm="http://schemas.microsoft.com/office/excel/2006/main">
          <x14:cfRule type="expression" priority="4698425" id="{97B30B86-8311-4DC0-A533-8C0D53F37839}">
            <xm:f>$BH$4='Data entry'!$R50</xm:f>
            <x14:dxf>
              <fill>
                <patternFill>
                  <bgColor rgb="FFFF0000"/>
                </patternFill>
              </fill>
            </x14:dxf>
          </x14:cfRule>
          <xm:sqref>BF138:BR138</xm:sqref>
        </x14:conditionalFormatting>
        <x14:conditionalFormatting xmlns:xm="http://schemas.microsoft.com/office/excel/2006/main">
          <x14:cfRule type="expression" priority="4698426" id="{78344C0C-5AEA-40B1-A20C-6D77DF58E1F5}">
            <xm:f>$BI$4='Data entry'!$R50</xm:f>
            <x14:dxf>
              <fill>
                <patternFill>
                  <bgColor rgb="FFFFFF00"/>
                </patternFill>
              </fill>
            </x14:dxf>
          </x14:cfRule>
          <xm:sqref>AU137:BI137</xm:sqref>
        </x14:conditionalFormatting>
        <x14:conditionalFormatting xmlns:xm="http://schemas.microsoft.com/office/excel/2006/main">
          <x14:cfRule type="expression" priority="4698427" id="{A9CE044F-482E-4F25-B28F-89ACC58502B1}">
            <xm:f>$BI$4='Data entry'!$R50</xm:f>
            <x14:dxf>
              <fill>
                <patternFill>
                  <bgColor rgb="FFFF0000"/>
                </patternFill>
              </fill>
            </x14:dxf>
          </x14:cfRule>
          <xm:sqref>BG138:BS138</xm:sqref>
        </x14:conditionalFormatting>
        <x14:conditionalFormatting xmlns:xm="http://schemas.microsoft.com/office/excel/2006/main">
          <x14:cfRule type="expression" priority="4698428" id="{F63BE0EB-3C71-4456-BEF0-11180AB7A8BB}">
            <xm:f>$BJ$4='Data entry'!$R50</xm:f>
            <x14:dxf>
              <fill>
                <patternFill>
                  <bgColor rgb="FFFFFF00"/>
                </patternFill>
              </fill>
            </x14:dxf>
          </x14:cfRule>
          <xm:sqref>AV137:BJ137</xm:sqref>
        </x14:conditionalFormatting>
        <x14:conditionalFormatting xmlns:xm="http://schemas.microsoft.com/office/excel/2006/main">
          <x14:cfRule type="expression" priority="4698429" id="{478A5DCB-1DAA-4497-A6CC-B4F01FB96D10}">
            <xm:f>$BJ$4='Data entry'!$R50</xm:f>
            <x14:dxf>
              <fill>
                <patternFill>
                  <bgColor rgb="FFFF0000"/>
                </patternFill>
              </fill>
            </x14:dxf>
          </x14:cfRule>
          <xm:sqref>BH138:BT138</xm:sqref>
        </x14:conditionalFormatting>
        <x14:conditionalFormatting xmlns:xm="http://schemas.microsoft.com/office/excel/2006/main">
          <x14:cfRule type="expression" priority="4698430" id="{CDE4AD5B-65A6-4FA4-9EC0-8D05F22312A9}">
            <xm:f>$BK$4='Data entry'!$R50</xm:f>
            <x14:dxf>
              <fill>
                <patternFill>
                  <bgColor rgb="FFFF0000"/>
                </patternFill>
              </fill>
            </x14:dxf>
          </x14:cfRule>
          <xm:sqref>BI138:BU138</xm:sqref>
        </x14:conditionalFormatting>
        <x14:conditionalFormatting xmlns:xm="http://schemas.microsoft.com/office/excel/2006/main">
          <x14:cfRule type="expression" priority="4698431" id="{AB32E790-6CD8-4D11-9A69-57D785FE4BBC}">
            <xm:f>$BK$4='Data entry'!$R50</xm:f>
            <x14:dxf>
              <fill>
                <patternFill>
                  <bgColor rgb="FFFFFF00"/>
                </patternFill>
              </fill>
            </x14:dxf>
          </x14:cfRule>
          <xm:sqref>AW137:BK137</xm:sqref>
        </x14:conditionalFormatting>
        <x14:conditionalFormatting xmlns:xm="http://schemas.microsoft.com/office/excel/2006/main">
          <x14:cfRule type="expression" priority="4698432" id="{99810EB9-805C-43D8-852A-EEECE7874CDB}">
            <xm:f>$BL$4='Data entry'!$R50</xm:f>
            <x14:dxf>
              <fill>
                <patternFill>
                  <bgColor rgb="FFFF0000"/>
                </patternFill>
              </fill>
            </x14:dxf>
          </x14:cfRule>
          <xm:sqref>BJ138:BV138</xm:sqref>
        </x14:conditionalFormatting>
        <x14:conditionalFormatting xmlns:xm="http://schemas.microsoft.com/office/excel/2006/main">
          <x14:cfRule type="expression" priority="4698433" id="{BF5F5475-4E46-479C-97A6-D5175F5D1803}">
            <xm:f>$BL$4='Data entry'!$R50</xm:f>
            <x14:dxf>
              <fill>
                <patternFill>
                  <bgColor rgb="FFFFFF00"/>
                </patternFill>
              </fill>
            </x14:dxf>
          </x14:cfRule>
          <xm:sqref>AX137:BL137</xm:sqref>
        </x14:conditionalFormatting>
        <x14:conditionalFormatting xmlns:xm="http://schemas.microsoft.com/office/excel/2006/main">
          <x14:cfRule type="expression" priority="4698434" id="{B86FDF2F-16C9-46B1-847E-7EA1A8A34B9D}">
            <xm:f>$BM$4='Data entry'!$R50</xm:f>
            <x14:dxf>
              <fill>
                <patternFill>
                  <bgColor rgb="FFFF0000"/>
                </patternFill>
              </fill>
            </x14:dxf>
          </x14:cfRule>
          <xm:sqref>BK138:BW138</xm:sqref>
        </x14:conditionalFormatting>
        <x14:conditionalFormatting xmlns:xm="http://schemas.microsoft.com/office/excel/2006/main">
          <x14:cfRule type="expression" priority="4698435" id="{72FD189F-4CED-400D-9FEF-21A328970A4D}">
            <xm:f>$BM$4='Data entry'!$R50</xm:f>
            <x14:dxf>
              <fill>
                <patternFill>
                  <bgColor rgb="FFFFFF00"/>
                </patternFill>
              </fill>
            </x14:dxf>
          </x14:cfRule>
          <xm:sqref>AY137:BM137</xm:sqref>
        </x14:conditionalFormatting>
        <x14:conditionalFormatting xmlns:xm="http://schemas.microsoft.com/office/excel/2006/main">
          <x14:cfRule type="expression" priority="4698436" id="{BBBBF859-D5A7-4F55-BFBF-8A77E3357590}">
            <xm:f>$BN$4='Data entry'!$R50</xm:f>
            <x14:dxf>
              <fill>
                <patternFill>
                  <bgColor rgb="FFFF0000"/>
                </patternFill>
              </fill>
            </x14:dxf>
          </x14:cfRule>
          <xm:sqref>BL138:BX138</xm:sqref>
        </x14:conditionalFormatting>
        <x14:conditionalFormatting xmlns:xm="http://schemas.microsoft.com/office/excel/2006/main">
          <x14:cfRule type="expression" priority="4698437" id="{50CB1D75-0FD5-4D24-92B1-E8A41DC6575C}">
            <xm:f>$BN$4='Data entry'!$R50</xm:f>
            <x14:dxf>
              <fill>
                <patternFill>
                  <bgColor rgb="FFFFFF00"/>
                </patternFill>
              </fill>
            </x14:dxf>
          </x14:cfRule>
          <xm:sqref>AZ137:BN137</xm:sqref>
        </x14:conditionalFormatting>
        <x14:conditionalFormatting xmlns:xm="http://schemas.microsoft.com/office/excel/2006/main">
          <x14:cfRule type="expression" priority="4698438" id="{9EF3226D-E8FC-496B-A6FF-71776AEA54D1}">
            <xm:f>$BO$4='Data entry'!$R50</xm:f>
            <x14:dxf>
              <fill>
                <patternFill>
                  <bgColor rgb="FFFF0000"/>
                </patternFill>
              </fill>
            </x14:dxf>
          </x14:cfRule>
          <xm:sqref>BM138:BY138</xm:sqref>
        </x14:conditionalFormatting>
        <x14:conditionalFormatting xmlns:xm="http://schemas.microsoft.com/office/excel/2006/main">
          <x14:cfRule type="expression" priority="4698439" id="{3B86C801-ECFE-4D05-8AA5-1581116BAFBC}">
            <xm:f>$BO$4='Data entry'!$R50</xm:f>
            <x14:dxf>
              <fill>
                <patternFill>
                  <bgColor rgb="FFFFFF00"/>
                </patternFill>
              </fill>
            </x14:dxf>
          </x14:cfRule>
          <xm:sqref>BA137:BO137</xm:sqref>
        </x14:conditionalFormatting>
        <x14:conditionalFormatting xmlns:xm="http://schemas.microsoft.com/office/excel/2006/main">
          <x14:cfRule type="expression" priority="4698440" id="{058A23EC-3371-4A02-9F20-1ECA603AC6BC}">
            <xm:f>$BP$4='Data entry'!$R50</xm:f>
            <x14:dxf>
              <fill>
                <patternFill>
                  <bgColor rgb="FFFF0000"/>
                </patternFill>
              </fill>
            </x14:dxf>
          </x14:cfRule>
          <xm:sqref>BN138:BZ138</xm:sqref>
        </x14:conditionalFormatting>
        <x14:conditionalFormatting xmlns:xm="http://schemas.microsoft.com/office/excel/2006/main">
          <x14:cfRule type="expression" priority="4698441" id="{3E711E31-3992-4555-AB22-87133D60CD15}">
            <xm:f>$BP$4='Data entry'!$R50</xm:f>
            <x14:dxf>
              <fill>
                <patternFill>
                  <bgColor rgb="FFFFFF00"/>
                </patternFill>
              </fill>
            </x14:dxf>
          </x14:cfRule>
          <xm:sqref>BB137:BP137</xm:sqref>
        </x14:conditionalFormatting>
        <x14:conditionalFormatting xmlns:xm="http://schemas.microsoft.com/office/excel/2006/main">
          <x14:cfRule type="expression" priority="4698442" id="{23E9F8B9-37D5-4730-9453-6F23E8ECBBE3}">
            <xm:f>$BQ$4='Data entry'!$R50</xm:f>
            <x14:dxf>
              <fill>
                <patternFill>
                  <bgColor rgb="FFFFFF00"/>
                </patternFill>
              </fill>
            </x14:dxf>
          </x14:cfRule>
          <xm:sqref>BC137:BQ137</xm:sqref>
        </x14:conditionalFormatting>
        <x14:conditionalFormatting xmlns:xm="http://schemas.microsoft.com/office/excel/2006/main">
          <x14:cfRule type="expression" priority="4698443" id="{BCFD92F6-AAD3-44FD-BC61-A292A81B883E}">
            <xm:f>$BQ$4='Data entry'!$R50</xm:f>
            <x14:dxf>
              <fill>
                <patternFill>
                  <bgColor rgb="FFFF0000"/>
                </patternFill>
              </fill>
            </x14:dxf>
          </x14:cfRule>
          <xm:sqref>BO138:CA138</xm:sqref>
        </x14:conditionalFormatting>
        <x14:conditionalFormatting xmlns:xm="http://schemas.microsoft.com/office/excel/2006/main">
          <x14:cfRule type="expression" priority="4698444" id="{357D60E5-F356-477E-8020-A18F42C02832}">
            <xm:f>$BR$4='Data entry'!$R50</xm:f>
            <x14:dxf>
              <fill>
                <patternFill>
                  <bgColor rgb="FFFFFF00"/>
                </patternFill>
              </fill>
            </x14:dxf>
          </x14:cfRule>
          <xm:sqref>BD137:BR137</xm:sqref>
        </x14:conditionalFormatting>
        <x14:conditionalFormatting xmlns:xm="http://schemas.microsoft.com/office/excel/2006/main">
          <x14:cfRule type="expression" priority="4698445" id="{DA2B6511-43B3-432D-B6AA-1DB1188B90A6}">
            <xm:f>$BR$4='Data entry'!$R50</xm:f>
            <x14:dxf>
              <fill>
                <patternFill>
                  <bgColor rgb="FFFF0000"/>
                </patternFill>
              </fill>
            </x14:dxf>
          </x14:cfRule>
          <xm:sqref>BP138:CB138</xm:sqref>
        </x14:conditionalFormatting>
        <x14:conditionalFormatting xmlns:xm="http://schemas.microsoft.com/office/excel/2006/main">
          <x14:cfRule type="expression" priority="4698446" id="{0D5F64E4-4136-4BFA-B833-CC8578525D9C}">
            <xm:f>$BS$4='Data entry'!$R50</xm:f>
            <x14:dxf>
              <fill>
                <patternFill>
                  <bgColor rgb="FFFFFF00"/>
                </patternFill>
              </fill>
            </x14:dxf>
          </x14:cfRule>
          <xm:sqref>BE137:BS137</xm:sqref>
        </x14:conditionalFormatting>
        <x14:conditionalFormatting xmlns:xm="http://schemas.microsoft.com/office/excel/2006/main">
          <x14:cfRule type="expression" priority="4698447" id="{AC94D468-F078-4AE2-8771-102996E07B09}">
            <xm:f>$BS$4='Data entry'!$R50</xm:f>
            <x14:dxf>
              <fill>
                <patternFill>
                  <bgColor rgb="FFFF0000"/>
                </patternFill>
              </fill>
            </x14:dxf>
          </x14:cfRule>
          <xm:sqref>BQ138:CC138</xm:sqref>
        </x14:conditionalFormatting>
        <x14:conditionalFormatting xmlns:xm="http://schemas.microsoft.com/office/excel/2006/main">
          <x14:cfRule type="expression" priority="4698448" id="{10E78F76-181E-4F19-9F89-7DD36D3EFE30}">
            <xm:f>$BT$4='Data entry'!$R50</xm:f>
            <x14:dxf>
              <fill>
                <patternFill>
                  <bgColor rgb="FFFFFF00"/>
                </patternFill>
              </fill>
            </x14:dxf>
          </x14:cfRule>
          <xm:sqref>BF137:BT137</xm:sqref>
        </x14:conditionalFormatting>
        <x14:conditionalFormatting xmlns:xm="http://schemas.microsoft.com/office/excel/2006/main">
          <x14:cfRule type="expression" priority="4698449" id="{6A5FADC6-9512-4EFB-90A5-7B5244D10D1F}">
            <xm:f>$BT$4='Data entry'!$R50</xm:f>
            <x14:dxf>
              <fill>
                <patternFill>
                  <bgColor rgb="FFFF0000"/>
                </patternFill>
              </fill>
            </x14:dxf>
          </x14:cfRule>
          <xm:sqref>BR138:CC138</xm:sqref>
        </x14:conditionalFormatting>
        <x14:conditionalFormatting xmlns:xm="http://schemas.microsoft.com/office/excel/2006/main">
          <x14:cfRule type="expression" priority="4698450" id="{A51139D1-8841-4B96-B8CB-DFE3808765CF}">
            <xm:f>$BU$4='Data entry'!$R50</xm:f>
            <x14:dxf>
              <fill>
                <patternFill>
                  <bgColor rgb="FFFFFF00"/>
                </patternFill>
              </fill>
            </x14:dxf>
          </x14:cfRule>
          <xm:sqref>BG137:BU137</xm:sqref>
        </x14:conditionalFormatting>
        <x14:conditionalFormatting xmlns:xm="http://schemas.microsoft.com/office/excel/2006/main">
          <x14:cfRule type="expression" priority="4698451" id="{55CA7258-760F-4BFF-ACB5-A70FEB3E7981}">
            <xm:f>$BU$4='Data entry'!$R50</xm:f>
            <x14:dxf>
              <fill>
                <patternFill>
                  <bgColor rgb="FFFF0000"/>
                </patternFill>
              </fill>
            </x14:dxf>
          </x14:cfRule>
          <xm:sqref>BS138:CC138</xm:sqref>
        </x14:conditionalFormatting>
        <x14:conditionalFormatting xmlns:xm="http://schemas.microsoft.com/office/excel/2006/main">
          <x14:cfRule type="expression" priority="4698452" id="{A922B218-64DB-4CBB-9AB8-FE0EBB44E09E}">
            <xm:f>$BV$4='Data entry'!$R50</xm:f>
            <x14:dxf>
              <fill>
                <patternFill>
                  <bgColor rgb="FFFFFF00"/>
                </patternFill>
              </fill>
            </x14:dxf>
          </x14:cfRule>
          <xm:sqref>BH137:BV137</xm:sqref>
        </x14:conditionalFormatting>
        <x14:conditionalFormatting xmlns:xm="http://schemas.microsoft.com/office/excel/2006/main">
          <x14:cfRule type="expression" priority="4698453" id="{C98E908A-CD31-4778-B41C-7AFB9DBE639A}">
            <xm:f>$BV$4='Data entry'!$R50</xm:f>
            <x14:dxf>
              <fill>
                <patternFill>
                  <bgColor rgb="FFFF0000"/>
                </patternFill>
              </fill>
            </x14:dxf>
          </x14:cfRule>
          <xm:sqref>BT138:CC138</xm:sqref>
        </x14:conditionalFormatting>
        <x14:conditionalFormatting xmlns:xm="http://schemas.microsoft.com/office/excel/2006/main">
          <x14:cfRule type="expression" priority="4698454" id="{465CCCA3-B4DB-4B61-8AC7-8A5E4CEC9E3F}">
            <xm:f>$BW$4='Data entry'!$R50</xm:f>
            <x14:dxf>
              <fill>
                <patternFill>
                  <bgColor rgb="FFFFFF00"/>
                </patternFill>
              </fill>
            </x14:dxf>
          </x14:cfRule>
          <xm:sqref>BI137:BW137</xm:sqref>
        </x14:conditionalFormatting>
        <x14:conditionalFormatting xmlns:xm="http://schemas.microsoft.com/office/excel/2006/main">
          <x14:cfRule type="expression" priority="4698455" id="{37566F97-6D06-400B-A709-FE657B07687F}">
            <xm:f>$BW$4='Data entry'!$R50</xm:f>
            <x14:dxf>
              <fill>
                <patternFill>
                  <bgColor rgb="FFFF0000"/>
                </patternFill>
              </fill>
            </x14:dxf>
          </x14:cfRule>
          <xm:sqref>BU138:CC138</xm:sqref>
        </x14:conditionalFormatting>
        <x14:conditionalFormatting xmlns:xm="http://schemas.microsoft.com/office/excel/2006/main">
          <x14:cfRule type="expression" priority="4698456" id="{D8FBA3AC-5CF0-4E45-97CA-1D4DEE729ADA}">
            <xm:f>$BX$4='Data entry'!$R50</xm:f>
            <x14:dxf>
              <fill>
                <patternFill>
                  <bgColor rgb="FFFFFF00"/>
                </patternFill>
              </fill>
            </x14:dxf>
          </x14:cfRule>
          <xm:sqref>BJ137:BX137</xm:sqref>
        </x14:conditionalFormatting>
        <x14:conditionalFormatting xmlns:xm="http://schemas.microsoft.com/office/excel/2006/main">
          <x14:cfRule type="expression" priority="4698457" id="{E077C84B-A94F-431D-B232-4AFCC7C64F54}">
            <xm:f>$BX$4='Data entry'!$R50</xm:f>
            <x14:dxf>
              <fill>
                <patternFill>
                  <bgColor rgb="FFFF0000"/>
                </patternFill>
              </fill>
            </x14:dxf>
          </x14:cfRule>
          <xm:sqref>BV138:CC138</xm:sqref>
        </x14:conditionalFormatting>
        <x14:conditionalFormatting xmlns:xm="http://schemas.microsoft.com/office/excel/2006/main">
          <x14:cfRule type="expression" priority="4698458" id="{63783BA8-0C97-4A44-86FD-7A2BCF1B9957}">
            <xm:f>$BY$4='Data entry'!$R50</xm:f>
            <x14:dxf>
              <fill>
                <patternFill>
                  <bgColor rgb="FFFFFF00"/>
                </patternFill>
              </fill>
            </x14:dxf>
          </x14:cfRule>
          <xm:sqref>BK137:BY137</xm:sqref>
        </x14:conditionalFormatting>
        <x14:conditionalFormatting xmlns:xm="http://schemas.microsoft.com/office/excel/2006/main">
          <x14:cfRule type="expression" priority="4698459" id="{BB8DB8B4-B71B-46D2-AEE7-346F16103F74}">
            <xm:f>$BY$4='Data entry'!$R50</xm:f>
            <x14:dxf>
              <fill>
                <patternFill>
                  <bgColor rgb="FFFF0000"/>
                </patternFill>
              </fill>
            </x14:dxf>
          </x14:cfRule>
          <xm:sqref>BW138:CC138</xm:sqref>
        </x14:conditionalFormatting>
        <x14:conditionalFormatting xmlns:xm="http://schemas.microsoft.com/office/excel/2006/main">
          <x14:cfRule type="expression" priority="4698460" id="{1B638B98-2B06-4FEB-90C1-446A3E0A3979}">
            <xm:f>$BZ$4='Data entry'!$R50</xm:f>
            <x14:dxf>
              <fill>
                <patternFill>
                  <bgColor rgb="FFFFFF00"/>
                </patternFill>
              </fill>
            </x14:dxf>
          </x14:cfRule>
          <xm:sqref>BL137:BZ137</xm:sqref>
        </x14:conditionalFormatting>
        <x14:conditionalFormatting xmlns:xm="http://schemas.microsoft.com/office/excel/2006/main">
          <x14:cfRule type="expression" priority="4698461" id="{D3A0A2F8-D1B2-4DC5-B2A9-0EF53074E685}">
            <xm:f>$BZ$4='Data entry'!$R50</xm:f>
            <x14:dxf>
              <fill>
                <patternFill>
                  <bgColor rgb="FFFF0000"/>
                </patternFill>
              </fill>
            </x14:dxf>
          </x14:cfRule>
          <xm:sqref>BX138:CC138</xm:sqref>
        </x14:conditionalFormatting>
        <x14:conditionalFormatting xmlns:xm="http://schemas.microsoft.com/office/excel/2006/main">
          <x14:cfRule type="expression" priority="4698462" id="{83F6D018-7D3B-4D33-9998-11572F2F2FF5}">
            <xm:f>$CA$4='Data entry'!$R50</xm:f>
            <x14:dxf>
              <fill>
                <patternFill>
                  <bgColor rgb="FFFFFF00"/>
                </patternFill>
              </fill>
            </x14:dxf>
          </x14:cfRule>
          <xm:sqref>BM137:CA137</xm:sqref>
        </x14:conditionalFormatting>
        <x14:conditionalFormatting xmlns:xm="http://schemas.microsoft.com/office/excel/2006/main">
          <x14:cfRule type="expression" priority="4698463" id="{8E6D0B51-5626-4ED9-9072-C7A2C139704F}">
            <xm:f>$CA$4='Data entry'!$R50</xm:f>
            <x14:dxf>
              <fill>
                <patternFill>
                  <bgColor rgb="FFFF0000"/>
                </patternFill>
              </fill>
            </x14:dxf>
          </x14:cfRule>
          <xm:sqref>BY138:CC138</xm:sqref>
        </x14:conditionalFormatting>
        <x14:conditionalFormatting xmlns:xm="http://schemas.microsoft.com/office/excel/2006/main">
          <x14:cfRule type="expression" priority="4698464" id="{E1886EE4-3BDE-43A9-9F4B-79377FEC37FE}">
            <xm:f>$CB$4='Data entry'!$R50</xm:f>
            <x14:dxf>
              <fill>
                <patternFill>
                  <bgColor rgb="FFFFFF00"/>
                </patternFill>
              </fill>
            </x14:dxf>
          </x14:cfRule>
          <xm:sqref>BN137:CB137</xm:sqref>
        </x14:conditionalFormatting>
        <x14:conditionalFormatting xmlns:xm="http://schemas.microsoft.com/office/excel/2006/main">
          <x14:cfRule type="expression" priority="4698465" id="{ADEF572A-6C18-4602-BB86-01C96D36E07E}">
            <xm:f>$CB$4='Data entry'!$R50</xm:f>
            <x14:dxf>
              <fill>
                <patternFill>
                  <bgColor rgb="FFFF0000"/>
                </patternFill>
              </fill>
            </x14:dxf>
          </x14:cfRule>
          <xm:sqref>BZ138:CC138</xm:sqref>
        </x14:conditionalFormatting>
        <x14:conditionalFormatting xmlns:xm="http://schemas.microsoft.com/office/excel/2006/main">
          <x14:cfRule type="expression" priority="4698466" id="{7984E1C9-E073-4955-8543-62145CB6D008}">
            <xm:f>$CC$4='Data entry'!$R50</xm:f>
            <x14:dxf>
              <fill>
                <patternFill>
                  <bgColor rgb="FFFFFF00"/>
                </patternFill>
              </fill>
            </x14:dxf>
          </x14:cfRule>
          <xm:sqref>BO137:CC137</xm:sqref>
        </x14:conditionalFormatting>
        <x14:conditionalFormatting xmlns:xm="http://schemas.microsoft.com/office/excel/2006/main">
          <x14:cfRule type="expression" priority="4698467" id="{18A957B3-59FA-4698-BA92-2A208FF18E2F}">
            <xm:f>$CC$4='Data entry'!$R50</xm:f>
            <x14:dxf>
              <fill>
                <patternFill>
                  <bgColor rgb="FFFF0000"/>
                </patternFill>
              </fill>
            </x14:dxf>
          </x14:cfRule>
          <xm:sqref>CA138:CC138</xm:sqref>
        </x14:conditionalFormatting>
        <x14:conditionalFormatting xmlns:xm="http://schemas.microsoft.com/office/excel/2006/main">
          <x14:cfRule type="expression" priority="4698554" id="{5B0DB825-B7C2-40AC-B7EF-F267F054CFB9}">
            <xm:f>$U$4='Data entry'!$R51</xm:f>
            <x14:dxf>
              <fill>
                <patternFill>
                  <bgColor rgb="FFFF0000"/>
                </patternFill>
              </fill>
            </x14:dxf>
          </x14:cfRule>
          <xm:sqref>S141:AE141</xm:sqref>
        </x14:conditionalFormatting>
        <x14:conditionalFormatting xmlns:xm="http://schemas.microsoft.com/office/excel/2006/main">
          <x14:cfRule type="expression" priority="4698555" id="{18311200-E2BB-400F-B594-3B9A2C6068C2}">
            <xm:f>$V$4='Data entry'!$R51</xm:f>
            <x14:dxf>
              <fill>
                <patternFill>
                  <bgColor rgb="FFFF0000"/>
                </patternFill>
              </fill>
            </x14:dxf>
          </x14:cfRule>
          <xm:sqref>T141:AF141</xm:sqref>
        </x14:conditionalFormatting>
        <x14:conditionalFormatting xmlns:xm="http://schemas.microsoft.com/office/excel/2006/main">
          <x14:cfRule type="expression" priority="4698556" id="{D6DFB621-1A58-4C59-A987-ECAD0EB2D32B}">
            <xm:f>$V$4='Data entry'!$R51</xm:f>
            <x14:dxf>
              <fill>
                <patternFill>
                  <bgColor rgb="FFFFFF00"/>
                </patternFill>
              </fill>
            </x14:dxf>
          </x14:cfRule>
          <xm:sqref>H140:V140</xm:sqref>
        </x14:conditionalFormatting>
        <x14:conditionalFormatting xmlns:xm="http://schemas.microsoft.com/office/excel/2006/main">
          <x14:cfRule type="expression" priority="4698557" id="{5F87A680-DC5F-433D-A779-B7A534ACCDA9}">
            <xm:f>$W$4='Data entry'!$R51</xm:f>
            <x14:dxf>
              <fill>
                <patternFill>
                  <bgColor rgb="FFFF0000"/>
                </patternFill>
              </fill>
            </x14:dxf>
          </x14:cfRule>
          <xm:sqref>U141:AG141</xm:sqref>
        </x14:conditionalFormatting>
        <x14:conditionalFormatting xmlns:xm="http://schemas.microsoft.com/office/excel/2006/main">
          <x14:cfRule type="expression" priority="4698558" id="{964539FF-A92C-4F68-B268-B7157A32678C}">
            <xm:f>$W$4='Data entry'!$R51</xm:f>
            <x14:dxf>
              <fill>
                <patternFill>
                  <bgColor rgb="FFFFFF00"/>
                </patternFill>
              </fill>
            </x14:dxf>
          </x14:cfRule>
          <xm:sqref>I140:W140</xm:sqref>
        </x14:conditionalFormatting>
        <x14:conditionalFormatting xmlns:xm="http://schemas.microsoft.com/office/excel/2006/main">
          <x14:cfRule type="expression" priority="4698559" id="{46C1533A-F090-4A90-9309-3F59EC3FD3B0}">
            <xm:f>$X$4='Data entry'!$R51</xm:f>
            <x14:dxf>
              <fill>
                <patternFill>
                  <bgColor rgb="FFFF0000"/>
                </patternFill>
              </fill>
            </x14:dxf>
          </x14:cfRule>
          <xm:sqref>V141:AH141</xm:sqref>
        </x14:conditionalFormatting>
        <x14:conditionalFormatting xmlns:xm="http://schemas.microsoft.com/office/excel/2006/main">
          <x14:cfRule type="expression" priority="4698560" id="{7C70E81C-DDD4-4D75-933A-4F6A39893184}">
            <xm:f>$X$4='Data entry'!$R51</xm:f>
            <x14:dxf>
              <fill>
                <patternFill>
                  <bgColor rgb="FFFFFF00"/>
                </patternFill>
              </fill>
            </x14:dxf>
          </x14:cfRule>
          <xm:sqref>J140:X140</xm:sqref>
        </x14:conditionalFormatting>
        <x14:conditionalFormatting xmlns:xm="http://schemas.microsoft.com/office/excel/2006/main">
          <x14:cfRule type="expression" priority="4698561" id="{561AF073-0EF8-4B72-A119-40A639C4359D}">
            <xm:f>$Y$4='Data entry'!$R51</xm:f>
            <x14:dxf>
              <fill>
                <patternFill>
                  <bgColor rgb="FFFF0000"/>
                </patternFill>
              </fill>
            </x14:dxf>
          </x14:cfRule>
          <xm:sqref>W141:AI141</xm:sqref>
        </x14:conditionalFormatting>
        <x14:conditionalFormatting xmlns:xm="http://schemas.microsoft.com/office/excel/2006/main">
          <x14:cfRule type="expression" priority="4698562" id="{F242E808-8F07-4A89-9524-7D4C767CE357}">
            <xm:f>$Y$4='Data entry'!$R51</xm:f>
            <x14:dxf>
              <fill>
                <patternFill>
                  <bgColor rgb="FFFFFF00"/>
                </patternFill>
              </fill>
            </x14:dxf>
          </x14:cfRule>
          <xm:sqref>K140:Y140</xm:sqref>
        </x14:conditionalFormatting>
        <x14:conditionalFormatting xmlns:xm="http://schemas.microsoft.com/office/excel/2006/main">
          <x14:cfRule type="expression" priority="4698563" id="{DD601058-982B-4218-BD9D-64BB823C2633}">
            <xm:f>$Z$4='Data entry'!$R51</xm:f>
            <x14:dxf>
              <fill>
                <patternFill>
                  <bgColor rgb="FFFF0000"/>
                </patternFill>
              </fill>
            </x14:dxf>
          </x14:cfRule>
          <xm:sqref>X141:AJ141</xm:sqref>
        </x14:conditionalFormatting>
        <x14:conditionalFormatting xmlns:xm="http://schemas.microsoft.com/office/excel/2006/main">
          <x14:cfRule type="expression" priority="4698564" id="{C9DB141D-79F6-4093-92A3-7BF7A1622985}">
            <xm:f>$Z$4='Data entry'!$R51</xm:f>
            <x14:dxf>
              <fill>
                <patternFill>
                  <bgColor rgb="FFFFFF00"/>
                </patternFill>
              </fill>
            </x14:dxf>
          </x14:cfRule>
          <xm:sqref>L140:Z140</xm:sqref>
        </x14:conditionalFormatting>
        <x14:conditionalFormatting xmlns:xm="http://schemas.microsoft.com/office/excel/2006/main">
          <x14:cfRule type="expression" priority="4698565" id="{710EB8D3-F5C0-4E3C-8214-2D0C4E26F649}">
            <xm:f>$AA$4='Data entry'!$R51</xm:f>
            <x14:dxf>
              <fill>
                <patternFill>
                  <bgColor rgb="FFFF0000"/>
                </patternFill>
              </fill>
            </x14:dxf>
          </x14:cfRule>
          <xm:sqref>Y141:AK141</xm:sqref>
        </x14:conditionalFormatting>
        <x14:conditionalFormatting xmlns:xm="http://schemas.microsoft.com/office/excel/2006/main">
          <x14:cfRule type="expression" priority="4698566" id="{33825D69-C967-4D27-B395-5D44A3083802}">
            <xm:f>$AA$4='Data entry'!$R51</xm:f>
            <x14:dxf>
              <fill>
                <patternFill>
                  <bgColor rgb="FFFFFF00"/>
                </patternFill>
              </fill>
            </x14:dxf>
          </x14:cfRule>
          <xm:sqref>M140:AA140</xm:sqref>
        </x14:conditionalFormatting>
        <x14:conditionalFormatting xmlns:xm="http://schemas.microsoft.com/office/excel/2006/main">
          <x14:cfRule type="expression" priority="4698567" id="{9811A97D-351B-4D32-8754-AF433277E62B}">
            <xm:f>$AB$4='Data entry'!$R51</xm:f>
            <x14:dxf>
              <fill>
                <patternFill>
                  <bgColor rgb="FFFF0000"/>
                </patternFill>
              </fill>
            </x14:dxf>
          </x14:cfRule>
          <xm:sqref>Z141:AL141</xm:sqref>
        </x14:conditionalFormatting>
        <x14:conditionalFormatting xmlns:xm="http://schemas.microsoft.com/office/excel/2006/main">
          <x14:cfRule type="expression" priority="4698568" id="{6DD3E556-C72E-438B-92DA-3096ED1E4178}">
            <xm:f>$AB$4='Data entry'!$R51</xm:f>
            <x14:dxf>
              <fill>
                <patternFill>
                  <bgColor rgb="FFFFFF00"/>
                </patternFill>
              </fill>
            </x14:dxf>
          </x14:cfRule>
          <xm:sqref>N140:AB140</xm:sqref>
        </x14:conditionalFormatting>
        <x14:conditionalFormatting xmlns:xm="http://schemas.microsoft.com/office/excel/2006/main">
          <x14:cfRule type="expression" priority="4698569" id="{C0DF7A1B-D6BC-4371-BD3A-F0708147FA1C}">
            <xm:f>$AC$4='Data entry'!$R51</xm:f>
            <x14:dxf>
              <fill>
                <patternFill>
                  <bgColor rgb="FFFF0000"/>
                </patternFill>
              </fill>
            </x14:dxf>
          </x14:cfRule>
          <xm:sqref>AA141:AM141</xm:sqref>
        </x14:conditionalFormatting>
        <x14:conditionalFormatting xmlns:xm="http://schemas.microsoft.com/office/excel/2006/main">
          <x14:cfRule type="expression" priority="4698570" id="{DB2E1F48-AF0E-41F9-A976-6B1963CA5711}">
            <xm:f>$AC$4='Data entry'!$R51</xm:f>
            <x14:dxf>
              <fill>
                <patternFill>
                  <bgColor rgb="FFFFFF00"/>
                </patternFill>
              </fill>
            </x14:dxf>
          </x14:cfRule>
          <xm:sqref>O140:AC140</xm:sqref>
        </x14:conditionalFormatting>
        <x14:conditionalFormatting xmlns:xm="http://schemas.microsoft.com/office/excel/2006/main">
          <x14:cfRule type="expression" priority="4698571" id="{89909907-F9A9-4AF9-BC1D-304710A43F50}">
            <xm:f>$AD$4='Data entry'!$R51</xm:f>
            <x14:dxf>
              <fill>
                <patternFill>
                  <bgColor rgb="FFFF0000"/>
                </patternFill>
              </fill>
            </x14:dxf>
          </x14:cfRule>
          <xm:sqref>AB141:AN141</xm:sqref>
        </x14:conditionalFormatting>
        <x14:conditionalFormatting xmlns:xm="http://schemas.microsoft.com/office/excel/2006/main">
          <x14:cfRule type="expression" priority="4698572" id="{729676B7-E331-43A4-ACC9-850DCEE76A0E}">
            <xm:f>$AD$4='Data entry'!$R51</xm:f>
            <x14:dxf>
              <fill>
                <patternFill>
                  <bgColor rgb="FFFFFF00"/>
                </patternFill>
              </fill>
            </x14:dxf>
          </x14:cfRule>
          <xm:sqref>P140:AD140</xm:sqref>
        </x14:conditionalFormatting>
        <x14:conditionalFormatting xmlns:xm="http://schemas.microsoft.com/office/excel/2006/main">
          <x14:cfRule type="expression" priority="4698573" id="{00DA2C55-350E-44AA-ABEA-808FABFDA737}">
            <xm:f>$AE$4='Data entry'!$R51</xm:f>
            <x14:dxf>
              <fill>
                <patternFill>
                  <bgColor rgb="FFFF0000"/>
                </patternFill>
              </fill>
            </x14:dxf>
          </x14:cfRule>
          <xm:sqref>AC141:AO141</xm:sqref>
        </x14:conditionalFormatting>
        <x14:conditionalFormatting xmlns:xm="http://schemas.microsoft.com/office/excel/2006/main">
          <x14:cfRule type="expression" priority="4698574" id="{373C95F1-00C1-45E9-B561-5224945BA4A4}">
            <xm:f>$AE$4='Data entry'!$R51</xm:f>
            <x14:dxf>
              <fill>
                <patternFill>
                  <bgColor rgb="FFFFFF00"/>
                </patternFill>
              </fill>
            </x14:dxf>
          </x14:cfRule>
          <xm:sqref>Q140:AE140</xm:sqref>
        </x14:conditionalFormatting>
        <x14:conditionalFormatting xmlns:xm="http://schemas.microsoft.com/office/excel/2006/main">
          <x14:cfRule type="expression" priority="4698575" id="{65E90E74-6BEF-4B00-BD5E-ECACFEBC225A}">
            <xm:f>$AF$4='Data entry'!$R51</xm:f>
            <x14:dxf>
              <fill>
                <patternFill>
                  <bgColor rgb="FFFF0000"/>
                </patternFill>
              </fill>
            </x14:dxf>
          </x14:cfRule>
          <xm:sqref>AD141:AP141</xm:sqref>
        </x14:conditionalFormatting>
        <x14:conditionalFormatting xmlns:xm="http://schemas.microsoft.com/office/excel/2006/main">
          <x14:cfRule type="expression" priority="4698576" id="{56B519D7-E083-4811-B42B-D6CB10D44BB3}">
            <xm:f>$AF$4='Data entry'!$R51</xm:f>
            <x14:dxf>
              <fill>
                <patternFill>
                  <bgColor rgb="FFFFFF00"/>
                </patternFill>
              </fill>
            </x14:dxf>
          </x14:cfRule>
          <xm:sqref>R140:AF140</xm:sqref>
        </x14:conditionalFormatting>
        <x14:conditionalFormatting xmlns:xm="http://schemas.microsoft.com/office/excel/2006/main">
          <x14:cfRule type="expression" priority="4698577" id="{889682B6-BF9B-414B-86B7-1C802156B058}">
            <xm:f>$AG$4='Data entry'!$R51</xm:f>
            <x14:dxf>
              <fill>
                <patternFill>
                  <bgColor rgb="FFFF0000"/>
                </patternFill>
              </fill>
            </x14:dxf>
          </x14:cfRule>
          <xm:sqref>AE141:AQ141</xm:sqref>
        </x14:conditionalFormatting>
        <x14:conditionalFormatting xmlns:xm="http://schemas.microsoft.com/office/excel/2006/main">
          <x14:cfRule type="expression" priority="4698578" id="{19913D88-1940-4CB0-B29C-D46D60833BD5}">
            <xm:f>$AG$4='Data entry'!$R51</xm:f>
            <x14:dxf>
              <fill>
                <patternFill>
                  <bgColor rgb="FFFFFF00"/>
                </patternFill>
              </fill>
            </x14:dxf>
          </x14:cfRule>
          <xm:sqref>S140:AG140</xm:sqref>
        </x14:conditionalFormatting>
        <x14:conditionalFormatting xmlns:xm="http://schemas.microsoft.com/office/excel/2006/main">
          <x14:cfRule type="expression" priority="4698579" id="{3DD7B9A5-18A3-463F-BAD5-9796FC487328}">
            <xm:f>$AH$4='Data entry'!$R51</xm:f>
            <x14:dxf>
              <fill>
                <patternFill>
                  <bgColor rgb="FFFF0000"/>
                </patternFill>
              </fill>
            </x14:dxf>
          </x14:cfRule>
          <xm:sqref>AF141:AR141</xm:sqref>
        </x14:conditionalFormatting>
        <x14:conditionalFormatting xmlns:xm="http://schemas.microsoft.com/office/excel/2006/main">
          <x14:cfRule type="expression" priority="4698580" id="{31005CF4-5608-496E-91EB-F7F505046C80}">
            <xm:f>$AH$4='Data entry'!$R51</xm:f>
            <x14:dxf>
              <fill>
                <patternFill>
                  <bgColor rgb="FFFFFF00"/>
                </patternFill>
              </fill>
            </x14:dxf>
          </x14:cfRule>
          <xm:sqref>T140:AH140</xm:sqref>
        </x14:conditionalFormatting>
        <x14:conditionalFormatting xmlns:xm="http://schemas.microsoft.com/office/excel/2006/main">
          <x14:cfRule type="expression" priority="4698581" id="{CD14F654-5B7A-444F-8FC1-7DD71E76E475}">
            <xm:f>$AI$4='Data entry'!$R51</xm:f>
            <x14:dxf>
              <fill>
                <patternFill>
                  <bgColor rgb="FFFF0000"/>
                </patternFill>
              </fill>
            </x14:dxf>
          </x14:cfRule>
          <xm:sqref>AG141:AS141</xm:sqref>
        </x14:conditionalFormatting>
        <x14:conditionalFormatting xmlns:xm="http://schemas.microsoft.com/office/excel/2006/main">
          <x14:cfRule type="expression" priority="4698582" id="{0E4E448C-6C46-4285-B877-A61A90294385}">
            <xm:f>$AI$4='Data entry'!$R51</xm:f>
            <x14:dxf>
              <fill>
                <patternFill>
                  <bgColor rgb="FFFFFF00"/>
                </patternFill>
              </fill>
            </x14:dxf>
          </x14:cfRule>
          <xm:sqref>U140:AI140</xm:sqref>
        </x14:conditionalFormatting>
        <x14:conditionalFormatting xmlns:xm="http://schemas.microsoft.com/office/excel/2006/main">
          <x14:cfRule type="expression" priority="4698583" id="{B1C1818F-791C-403D-BE73-6F6E9DC6A16D}">
            <xm:f>$AJ$4='Data entry'!$R51</xm:f>
            <x14:dxf>
              <fill>
                <patternFill>
                  <bgColor rgb="FFFF0000"/>
                </patternFill>
              </fill>
            </x14:dxf>
          </x14:cfRule>
          <xm:sqref>AH141:AT141</xm:sqref>
        </x14:conditionalFormatting>
        <x14:conditionalFormatting xmlns:xm="http://schemas.microsoft.com/office/excel/2006/main">
          <x14:cfRule type="expression" priority="4698584" id="{A1237792-221B-431B-B8A7-E9A64DA46D93}">
            <xm:f>$AJ$4='Data entry'!$R51</xm:f>
            <x14:dxf>
              <fill>
                <patternFill>
                  <bgColor rgb="FFFFFF00"/>
                </patternFill>
              </fill>
            </x14:dxf>
          </x14:cfRule>
          <xm:sqref>V140:AJ140</xm:sqref>
        </x14:conditionalFormatting>
        <x14:conditionalFormatting xmlns:xm="http://schemas.microsoft.com/office/excel/2006/main">
          <x14:cfRule type="expression" priority="4698585" id="{617DC2AF-C7A3-4724-8EA3-17DEFEDC8949}">
            <xm:f>$AK$4='Data entry'!$R51</xm:f>
            <x14:dxf>
              <fill>
                <patternFill>
                  <bgColor rgb="FFFF0000"/>
                </patternFill>
              </fill>
            </x14:dxf>
          </x14:cfRule>
          <xm:sqref>AI141:AU141</xm:sqref>
        </x14:conditionalFormatting>
        <x14:conditionalFormatting xmlns:xm="http://schemas.microsoft.com/office/excel/2006/main">
          <x14:cfRule type="expression" priority="4698586" id="{AA72317D-37B1-48EB-A28B-BF2AC8DC4519}">
            <xm:f>$AK$4='Data entry'!$R51</xm:f>
            <x14:dxf>
              <fill>
                <patternFill>
                  <bgColor rgb="FFFFFF00"/>
                </patternFill>
              </fill>
            </x14:dxf>
          </x14:cfRule>
          <xm:sqref>W140:AK140</xm:sqref>
        </x14:conditionalFormatting>
        <x14:conditionalFormatting xmlns:xm="http://schemas.microsoft.com/office/excel/2006/main">
          <x14:cfRule type="expression" priority="4698587" id="{6CA9FB7A-20EA-4D3A-B74C-A001F4BE810D}">
            <xm:f>$AL$4='Data entry'!$R51</xm:f>
            <x14:dxf>
              <fill>
                <patternFill>
                  <bgColor rgb="FFFF0000"/>
                </patternFill>
              </fill>
            </x14:dxf>
          </x14:cfRule>
          <xm:sqref>AJ141:AV141</xm:sqref>
        </x14:conditionalFormatting>
        <x14:conditionalFormatting xmlns:xm="http://schemas.microsoft.com/office/excel/2006/main">
          <x14:cfRule type="expression" priority="4698588" id="{81A75DAA-573F-4EF3-A640-1B992C18BEA0}">
            <xm:f>$AL$4='Data entry'!$R51</xm:f>
            <x14:dxf>
              <fill>
                <patternFill>
                  <bgColor rgb="FFFFFF00"/>
                </patternFill>
              </fill>
            </x14:dxf>
          </x14:cfRule>
          <xm:sqref>X140:AL140</xm:sqref>
        </x14:conditionalFormatting>
        <x14:conditionalFormatting xmlns:xm="http://schemas.microsoft.com/office/excel/2006/main">
          <x14:cfRule type="expression" priority="4698589" id="{3D44713E-4ABA-4CCD-9DF4-5513A9FB5E1E}">
            <xm:f>$AM$4='Data entry'!$R51</xm:f>
            <x14:dxf>
              <fill>
                <patternFill>
                  <bgColor rgb="FFFF0000"/>
                </patternFill>
              </fill>
            </x14:dxf>
          </x14:cfRule>
          <xm:sqref>AK141:AW141</xm:sqref>
        </x14:conditionalFormatting>
        <x14:conditionalFormatting xmlns:xm="http://schemas.microsoft.com/office/excel/2006/main">
          <x14:cfRule type="expression" priority="4698590" id="{05A26B51-72A7-4423-822F-2BDBC28275D0}">
            <xm:f>$AM$4='Data entry'!$R51</xm:f>
            <x14:dxf>
              <fill>
                <patternFill>
                  <bgColor rgb="FFFFFF00"/>
                </patternFill>
              </fill>
            </x14:dxf>
          </x14:cfRule>
          <xm:sqref>Y140:AM140</xm:sqref>
        </x14:conditionalFormatting>
        <x14:conditionalFormatting xmlns:xm="http://schemas.microsoft.com/office/excel/2006/main">
          <x14:cfRule type="expression" priority="4698591" id="{B8A20675-6230-4694-A7F6-6B3DC7142773}">
            <xm:f>$AN$4='Data entry'!$R51</xm:f>
            <x14:dxf>
              <fill>
                <patternFill>
                  <bgColor rgb="FFFF0000"/>
                </patternFill>
              </fill>
            </x14:dxf>
          </x14:cfRule>
          <xm:sqref>AL141:AX141</xm:sqref>
        </x14:conditionalFormatting>
        <x14:conditionalFormatting xmlns:xm="http://schemas.microsoft.com/office/excel/2006/main">
          <x14:cfRule type="expression" priority="4698592" id="{8421181C-7450-42E9-BC1D-065CCFCA960E}">
            <xm:f>$AN$4='Data entry'!$R51</xm:f>
            <x14:dxf>
              <fill>
                <patternFill>
                  <bgColor rgb="FFFFFF00"/>
                </patternFill>
              </fill>
            </x14:dxf>
          </x14:cfRule>
          <xm:sqref>Z140:AN140</xm:sqref>
        </x14:conditionalFormatting>
        <x14:conditionalFormatting xmlns:xm="http://schemas.microsoft.com/office/excel/2006/main">
          <x14:cfRule type="expression" priority="4698593" id="{067FE4BD-6EF4-4684-B6E0-35AB2F267EE7}">
            <xm:f>$AO$4='Data entry'!$R51</xm:f>
            <x14:dxf>
              <fill>
                <patternFill>
                  <bgColor rgb="FFFF0000"/>
                </patternFill>
              </fill>
            </x14:dxf>
          </x14:cfRule>
          <xm:sqref>AM141:AY141</xm:sqref>
        </x14:conditionalFormatting>
        <x14:conditionalFormatting xmlns:xm="http://schemas.microsoft.com/office/excel/2006/main">
          <x14:cfRule type="expression" priority="4698594" id="{F7653492-88D1-47AC-8BA3-0CCE65C3C2AB}">
            <xm:f>$AO$4='Data entry'!$R51</xm:f>
            <x14:dxf>
              <fill>
                <patternFill>
                  <bgColor rgb="FFFFFF00"/>
                </patternFill>
              </fill>
            </x14:dxf>
          </x14:cfRule>
          <xm:sqref>AA140:AO140</xm:sqref>
        </x14:conditionalFormatting>
        <x14:conditionalFormatting xmlns:xm="http://schemas.microsoft.com/office/excel/2006/main">
          <x14:cfRule type="expression" priority="4698595" id="{207A5E5D-B322-482E-9193-1D7318138358}">
            <xm:f>$AP$4='Data entry'!$R51</xm:f>
            <x14:dxf>
              <fill>
                <patternFill>
                  <bgColor rgb="FFFF0000"/>
                </patternFill>
              </fill>
            </x14:dxf>
          </x14:cfRule>
          <xm:sqref>AN141:AZ141</xm:sqref>
        </x14:conditionalFormatting>
        <x14:conditionalFormatting xmlns:xm="http://schemas.microsoft.com/office/excel/2006/main">
          <x14:cfRule type="expression" priority="4698596" id="{21DA638D-4CA0-4067-BFF1-240CE1A0261B}">
            <xm:f>$AP$4='Data entry'!$R51</xm:f>
            <x14:dxf>
              <fill>
                <patternFill>
                  <bgColor rgb="FFFFFF00"/>
                </patternFill>
              </fill>
            </x14:dxf>
          </x14:cfRule>
          <xm:sqref>AB140:AP140</xm:sqref>
        </x14:conditionalFormatting>
        <x14:conditionalFormatting xmlns:xm="http://schemas.microsoft.com/office/excel/2006/main">
          <x14:cfRule type="expression" priority="4698597" id="{71963D96-A42A-4B90-BFC7-6D83D37766EF}">
            <xm:f>$AQ$4='Data entry'!$R51</xm:f>
            <x14:dxf>
              <fill>
                <patternFill>
                  <bgColor rgb="FFFF0000"/>
                </patternFill>
              </fill>
            </x14:dxf>
          </x14:cfRule>
          <xm:sqref>AO141:BA141</xm:sqref>
        </x14:conditionalFormatting>
        <x14:conditionalFormatting xmlns:xm="http://schemas.microsoft.com/office/excel/2006/main">
          <x14:cfRule type="expression" priority="4698598" id="{74952595-84B6-484F-8FF6-FCC1F337DF4D}">
            <xm:f>$AQ$4='Data entry'!$R51</xm:f>
            <x14:dxf>
              <fill>
                <patternFill>
                  <bgColor rgb="FFFFFF00"/>
                </patternFill>
              </fill>
            </x14:dxf>
          </x14:cfRule>
          <xm:sqref>AC140:AQ140</xm:sqref>
        </x14:conditionalFormatting>
        <x14:conditionalFormatting xmlns:xm="http://schemas.microsoft.com/office/excel/2006/main">
          <x14:cfRule type="expression" priority="4698599" id="{8AC9C4B9-0A34-4BC0-B0F7-CA89434C4911}">
            <xm:f>$P$4='Data entry'!$R51</xm:f>
            <x14:dxf>
              <fill>
                <patternFill>
                  <bgColor rgb="FFFFFF00"/>
                </patternFill>
              </fill>
            </x14:dxf>
          </x14:cfRule>
          <xm:sqref>C140:P140</xm:sqref>
        </x14:conditionalFormatting>
        <x14:conditionalFormatting xmlns:xm="http://schemas.microsoft.com/office/excel/2006/main">
          <x14:cfRule type="expression" priority="4698600" id="{0A726775-ABFD-4F22-967C-1A4D87BA3751}">
            <xm:f>$Q$4='Data entry'!$R51</xm:f>
            <x14:dxf>
              <fill>
                <patternFill>
                  <bgColor rgb="FFFFFF00"/>
                </patternFill>
              </fill>
            </x14:dxf>
          </x14:cfRule>
          <xm:sqref>C140:Q140</xm:sqref>
        </x14:conditionalFormatting>
        <x14:conditionalFormatting xmlns:xm="http://schemas.microsoft.com/office/excel/2006/main">
          <x14:cfRule type="expression" priority="4698601" id="{3A8414BD-262C-43B5-86EE-FA6901D00453}">
            <xm:f>$Q$4='Data entry'!$R51</xm:f>
            <x14:dxf>
              <fill>
                <patternFill>
                  <bgColor rgb="FFFF0000"/>
                </patternFill>
              </fill>
            </x14:dxf>
          </x14:cfRule>
          <xm:sqref>O141:AA141</xm:sqref>
        </x14:conditionalFormatting>
        <x14:conditionalFormatting xmlns:xm="http://schemas.microsoft.com/office/excel/2006/main">
          <x14:cfRule type="expression" priority="4698602" id="{B8B5501D-F3EF-4449-9306-F652960C65F4}">
            <xm:f>$R$4='Data entry'!$R51</xm:f>
            <x14:dxf>
              <fill>
                <patternFill>
                  <bgColor rgb="FFFF0000"/>
                </patternFill>
              </fill>
            </x14:dxf>
          </x14:cfRule>
          <xm:sqref>P141:AB141</xm:sqref>
        </x14:conditionalFormatting>
        <x14:conditionalFormatting xmlns:xm="http://schemas.microsoft.com/office/excel/2006/main">
          <x14:cfRule type="expression" priority="4698603" id="{5D070DEC-B82E-4D87-B907-A3E5AB836991}">
            <xm:f>$R$4='Data entry'!$R51</xm:f>
            <x14:dxf>
              <fill>
                <patternFill>
                  <bgColor rgb="FFFFFF00"/>
                </patternFill>
              </fill>
            </x14:dxf>
          </x14:cfRule>
          <xm:sqref>D140:R140</xm:sqref>
        </x14:conditionalFormatting>
        <x14:conditionalFormatting xmlns:xm="http://schemas.microsoft.com/office/excel/2006/main">
          <x14:cfRule type="expression" priority="4698604" id="{E4D16A10-F818-4664-9FB2-F0E839824D4B}">
            <xm:f>$S$4='Data entry'!$R51</xm:f>
            <x14:dxf>
              <fill>
                <patternFill>
                  <bgColor rgb="FFFF0000"/>
                </patternFill>
              </fill>
            </x14:dxf>
          </x14:cfRule>
          <xm:sqref>Q141:AC141</xm:sqref>
        </x14:conditionalFormatting>
        <x14:conditionalFormatting xmlns:xm="http://schemas.microsoft.com/office/excel/2006/main">
          <x14:cfRule type="expression" priority="4698605" id="{1A9F9911-A3E9-4730-AFBE-AB8C596545CA}">
            <xm:f>$S$4='Data entry'!$R51</xm:f>
            <x14:dxf>
              <fill>
                <patternFill>
                  <bgColor rgb="FFFFFF00"/>
                </patternFill>
              </fill>
            </x14:dxf>
          </x14:cfRule>
          <xm:sqref>E140:S140</xm:sqref>
        </x14:conditionalFormatting>
        <x14:conditionalFormatting xmlns:xm="http://schemas.microsoft.com/office/excel/2006/main">
          <x14:cfRule type="expression" priority="4698606" id="{8BB5CD1B-B2AC-442A-9550-26DE19A62D22}">
            <xm:f>$T$4='Data entry'!$R51</xm:f>
            <x14:dxf>
              <fill>
                <patternFill>
                  <bgColor rgb="FFFF0000"/>
                </patternFill>
              </fill>
            </x14:dxf>
          </x14:cfRule>
          <xm:sqref>R141:AD141</xm:sqref>
        </x14:conditionalFormatting>
        <x14:conditionalFormatting xmlns:xm="http://schemas.microsoft.com/office/excel/2006/main">
          <x14:cfRule type="expression" priority="4698607" id="{E7B59C69-7921-4049-84A1-8B3E5F7B0598}">
            <xm:f>$T$4='Data entry'!$R51</xm:f>
            <x14:dxf>
              <fill>
                <patternFill>
                  <bgColor rgb="FFFFFF00"/>
                </patternFill>
              </fill>
            </x14:dxf>
          </x14:cfRule>
          <xm:sqref>F140:T140</xm:sqref>
        </x14:conditionalFormatting>
        <x14:conditionalFormatting xmlns:xm="http://schemas.microsoft.com/office/excel/2006/main">
          <x14:cfRule type="expression" priority="4698608" id="{238C09E5-7A3D-439D-949F-A7733073F9A2}">
            <xm:f>$U$4='Data entry'!$R51</xm:f>
            <x14:dxf>
              <fill>
                <patternFill>
                  <bgColor rgb="FFFFFF00"/>
                </patternFill>
              </fill>
            </x14:dxf>
          </x14:cfRule>
          <xm:sqref>G140:U140</xm:sqref>
        </x14:conditionalFormatting>
        <x14:conditionalFormatting xmlns:xm="http://schemas.microsoft.com/office/excel/2006/main">
          <x14:cfRule type="expression" priority="4698609" id="{DE4D4432-0A19-452A-AF14-2873FE4DF411}">
            <xm:f>$AR$4='Data entry'!$R51</xm:f>
            <x14:dxf>
              <fill>
                <patternFill>
                  <bgColor rgb="FFFF0000"/>
                </patternFill>
              </fill>
            </x14:dxf>
          </x14:cfRule>
          <xm:sqref>AP141:BB141</xm:sqref>
        </x14:conditionalFormatting>
        <x14:conditionalFormatting xmlns:xm="http://schemas.microsoft.com/office/excel/2006/main">
          <x14:cfRule type="expression" priority="4698610" id="{90D7E1FF-542D-40C8-9BD5-DFEB4CDD256F}">
            <xm:f>$AR$4='Data entry'!$R51</xm:f>
            <x14:dxf>
              <fill>
                <patternFill>
                  <bgColor rgb="FFFFFF00"/>
                </patternFill>
              </fill>
            </x14:dxf>
          </x14:cfRule>
          <xm:sqref>AD140:AR140</xm:sqref>
        </x14:conditionalFormatting>
        <x14:conditionalFormatting xmlns:xm="http://schemas.microsoft.com/office/excel/2006/main">
          <x14:cfRule type="expression" priority="4698611" id="{0EBB5305-4A4A-4205-A1FF-11160070CBC3}">
            <xm:f>$AS$4='Data entry'!$R51</xm:f>
            <x14:dxf>
              <fill>
                <patternFill>
                  <bgColor rgb="FFFF0000"/>
                </patternFill>
              </fill>
            </x14:dxf>
          </x14:cfRule>
          <xm:sqref>AQ141:BC141</xm:sqref>
        </x14:conditionalFormatting>
        <x14:conditionalFormatting xmlns:xm="http://schemas.microsoft.com/office/excel/2006/main">
          <x14:cfRule type="expression" priority="4698612" id="{AC8EB30C-4253-4CE1-820E-1801F6D8D35B}">
            <xm:f>$AS$4='Data entry'!$R51</xm:f>
            <x14:dxf>
              <fill>
                <patternFill>
                  <bgColor rgb="FFFFFF00"/>
                </patternFill>
              </fill>
            </x14:dxf>
          </x14:cfRule>
          <xm:sqref>AE140:AS140</xm:sqref>
        </x14:conditionalFormatting>
        <x14:conditionalFormatting xmlns:xm="http://schemas.microsoft.com/office/excel/2006/main">
          <x14:cfRule type="expression" priority="4698613" id="{E11744C1-7201-4272-A1B0-945490B42425}">
            <xm:f>$AT$4='Data entry'!$R51</xm:f>
            <x14:dxf>
              <fill>
                <patternFill>
                  <bgColor rgb="FFFF0000"/>
                </patternFill>
              </fill>
            </x14:dxf>
          </x14:cfRule>
          <xm:sqref>AR141:BD141</xm:sqref>
        </x14:conditionalFormatting>
        <x14:conditionalFormatting xmlns:xm="http://schemas.microsoft.com/office/excel/2006/main">
          <x14:cfRule type="expression" priority="4698614" id="{5EE2823B-E955-4EA7-B99C-0B1F77B57A69}">
            <xm:f>$AT$4='Data entry'!$R51</xm:f>
            <x14:dxf>
              <fill>
                <patternFill>
                  <bgColor rgb="FFFFFF00"/>
                </patternFill>
              </fill>
            </x14:dxf>
          </x14:cfRule>
          <xm:sqref>AF140:AT140</xm:sqref>
        </x14:conditionalFormatting>
        <x14:conditionalFormatting xmlns:xm="http://schemas.microsoft.com/office/excel/2006/main">
          <x14:cfRule type="expression" priority="4698615" id="{5737DC63-3262-4B34-900C-2AAEB255FCBA}">
            <xm:f>$AU$4='Data entry'!$R51</xm:f>
            <x14:dxf>
              <fill>
                <patternFill>
                  <bgColor rgb="FFFF0000"/>
                </patternFill>
              </fill>
            </x14:dxf>
          </x14:cfRule>
          <xm:sqref>AS141:BE141</xm:sqref>
        </x14:conditionalFormatting>
        <x14:conditionalFormatting xmlns:xm="http://schemas.microsoft.com/office/excel/2006/main">
          <x14:cfRule type="expression" priority="4698616" id="{2B5C1F1B-3C3D-4CA3-BC64-0E98422075B6}">
            <xm:f>$AU$4='Data entry'!$R51</xm:f>
            <x14:dxf>
              <fill>
                <patternFill>
                  <bgColor rgb="FFFFFF00"/>
                </patternFill>
              </fill>
            </x14:dxf>
          </x14:cfRule>
          <xm:sqref>AG140:AU140</xm:sqref>
        </x14:conditionalFormatting>
        <x14:conditionalFormatting xmlns:xm="http://schemas.microsoft.com/office/excel/2006/main">
          <x14:cfRule type="expression" priority="4698617" id="{B87A1285-B003-4855-8F4B-53C391BA10E6}">
            <xm:f>$AV$4='Data entry'!$R51</xm:f>
            <x14:dxf>
              <fill>
                <patternFill>
                  <bgColor rgb="FFFF0000"/>
                </patternFill>
              </fill>
            </x14:dxf>
          </x14:cfRule>
          <xm:sqref>AT141:BF141</xm:sqref>
        </x14:conditionalFormatting>
        <x14:conditionalFormatting xmlns:xm="http://schemas.microsoft.com/office/excel/2006/main">
          <x14:cfRule type="expression" priority="4698618" id="{338EE31C-78DB-4818-B837-0380F9E457FA}">
            <xm:f>$AV$4='Data entry'!$R51</xm:f>
            <x14:dxf>
              <fill>
                <patternFill>
                  <bgColor rgb="FFFFFF00"/>
                </patternFill>
              </fill>
            </x14:dxf>
          </x14:cfRule>
          <xm:sqref>AH140:AV140</xm:sqref>
        </x14:conditionalFormatting>
        <x14:conditionalFormatting xmlns:xm="http://schemas.microsoft.com/office/excel/2006/main">
          <x14:cfRule type="expression" priority="4698619" id="{5C40EA66-2801-4C91-B885-BF6A1ECFC35C}">
            <xm:f>$AW$4='Data entry'!$R51</xm:f>
            <x14:dxf>
              <fill>
                <patternFill>
                  <bgColor rgb="FFFF0000"/>
                </patternFill>
              </fill>
            </x14:dxf>
          </x14:cfRule>
          <xm:sqref>AU141:BG141</xm:sqref>
        </x14:conditionalFormatting>
        <x14:conditionalFormatting xmlns:xm="http://schemas.microsoft.com/office/excel/2006/main">
          <x14:cfRule type="expression" priority="4698620" id="{51BCD5CE-DF86-4C2F-8A81-DDA1EFD6C8F7}">
            <xm:f>$AW$4='Data entry'!$R51</xm:f>
            <x14:dxf>
              <fill>
                <patternFill>
                  <bgColor rgb="FFFFFF00"/>
                </patternFill>
              </fill>
            </x14:dxf>
          </x14:cfRule>
          <xm:sqref>AI140:AW140</xm:sqref>
        </x14:conditionalFormatting>
        <x14:conditionalFormatting xmlns:xm="http://schemas.microsoft.com/office/excel/2006/main">
          <x14:cfRule type="expression" priority="4698621" id="{DC2ED5A0-8917-4877-8CD3-9DF9BE5993C9}">
            <xm:f>$AX$4='Data entry'!$R51</xm:f>
            <x14:dxf>
              <fill>
                <patternFill>
                  <bgColor rgb="FFFF0000"/>
                </patternFill>
              </fill>
            </x14:dxf>
          </x14:cfRule>
          <xm:sqref>AV141:BH141</xm:sqref>
        </x14:conditionalFormatting>
        <x14:conditionalFormatting xmlns:xm="http://schemas.microsoft.com/office/excel/2006/main">
          <x14:cfRule type="expression" priority="4698622" id="{59B31869-20F9-45BD-BC80-0A6C8945CE2C}">
            <xm:f>$AX$4='Data entry'!$R51</xm:f>
            <x14:dxf>
              <fill>
                <patternFill>
                  <bgColor rgb="FFFFFF00"/>
                </patternFill>
              </fill>
            </x14:dxf>
          </x14:cfRule>
          <xm:sqref>AJ140:AX140</xm:sqref>
        </x14:conditionalFormatting>
        <x14:conditionalFormatting xmlns:xm="http://schemas.microsoft.com/office/excel/2006/main">
          <x14:cfRule type="expression" priority="4698623" id="{D4208FA0-4262-4037-934C-6D0742B2AD8E}">
            <xm:f>$AY$4='Data entry'!$R51</xm:f>
            <x14:dxf>
              <fill>
                <patternFill>
                  <bgColor rgb="FFFF0000"/>
                </patternFill>
              </fill>
            </x14:dxf>
          </x14:cfRule>
          <xm:sqref>AW141:BI141</xm:sqref>
        </x14:conditionalFormatting>
        <x14:conditionalFormatting xmlns:xm="http://schemas.microsoft.com/office/excel/2006/main">
          <x14:cfRule type="expression" priority="4698624" id="{04D6E423-18C7-42B2-A67D-F49D8E62B571}">
            <xm:f>$AY$4='Data entry'!$R51</xm:f>
            <x14:dxf>
              <fill>
                <patternFill>
                  <bgColor rgb="FFFFFF00"/>
                </patternFill>
              </fill>
            </x14:dxf>
          </x14:cfRule>
          <xm:sqref>AK140:AY140</xm:sqref>
        </x14:conditionalFormatting>
        <x14:conditionalFormatting xmlns:xm="http://schemas.microsoft.com/office/excel/2006/main">
          <x14:cfRule type="expression" priority="4698625" id="{A931C203-6E4B-4EBD-A2F4-1876881F48D4}">
            <xm:f>$AZ$4='Data entry'!$R51</xm:f>
            <x14:dxf>
              <fill>
                <patternFill>
                  <bgColor rgb="FFFF0000"/>
                </patternFill>
              </fill>
            </x14:dxf>
          </x14:cfRule>
          <xm:sqref>AX141:BJ141</xm:sqref>
        </x14:conditionalFormatting>
        <x14:conditionalFormatting xmlns:xm="http://schemas.microsoft.com/office/excel/2006/main">
          <x14:cfRule type="expression" priority="4698626" id="{092D9100-E652-40FE-8CAA-720DC0681250}">
            <xm:f>$AZ$4='Data entry'!$R51</xm:f>
            <x14:dxf>
              <fill>
                <patternFill>
                  <bgColor rgb="FFFFFF00"/>
                </patternFill>
              </fill>
            </x14:dxf>
          </x14:cfRule>
          <xm:sqref>AL140:AZ140</xm:sqref>
        </x14:conditionalFormatting>
        <x14:conditionalFormatting xmlns:xm="http://schemas.microsoft.com/office/excel/2006/main">
          <x14:cfRule type="expression" priority="4698627" id="{A3C7E6BE-A225-483C-A983-A915DB662C52}">
            <xm:f>$BA$4='Data entry'!$R51</xm:f>
            <x14:dxf>
              <fill>
                <patternFill>
                  <bgColor rgb="FFFF0000"/>
                </patternFill>
              </fill>
            </x14:dxf>
          </x14:cfRule>
          <xm:sqref>AY141:BK141</xm:sqref>
        </x14:conditionalFormatting>
        <x14:conditionalFormatting xmlns:xm="http://schemas.microsoft.com/office/excel/2006/main">
          <x14:cfRule type="expression" priority="4698628" id="{F5CF569A-8AFA-4CFF-8BD3-F04D8927A99F}">
            <xm:f>$BA$4='Data entry'!$R51</xm:f>
            <x14:dxf>
              <fill>
                <patternFill>
                  <bgColor rgb="FFFFFF00"/>
                </patternFill>
              </fill>
            </x14:dxf>
          </x14:cfRule>
          <xm:sqref>AM140:BA140</xm:sqref>
        </x14:conditionalFormatting>
        <x14:conditionalFormatting xmlns:xm="http://schemas.microsoft.com/office/excel/2006/main">
          <x14:cfRule type="expression" priority="4698629" id="{E4DAC94A-7983-4BFB-A87B-45B58561841A}">
            <xm:f>$BB$4='Data entry'!$R51</xm:f>
            <x14:dxf>
              <fill>
                <patternFill>
                  <bgColor rgb="FFFF0000"/>
                </patternFill>
              </fill>
            </x14:dxf>
          </x14:cfRule>
          <xm:sqref>AZ141:BL141</xm:sqref>
        </x14:conditionalFormatting>
        <x14:conditionalFormatting xmlns:xm="http://schemas.microsoft.com/office/excel/2006/main">
          <x14:cfRule type="expression" priority="4698630" id="{E63849C5-F39B-4B0E-8F8A-B532EDF2CBAE}">
            <xm:f>$BB$4='Data entry'!$R51</xm:f>
            <x14:dxf>
              <fill>
                <patternFill>
                  <bgColor rgb="FFFFFF00"/>
                </patternFill>
              </fill>
            </x14:dxf>
          </x14:cfRule>
          <xm:sqref>AN140:BB140</xm:sqref>
        </x14:conditionalFormatting>
        <x14:conditionalFormatting xmlns:xm="http://schemas.microsoft.com/office/excel/2006/main">
          <x14:cfRule type="expression" priority="4698631" id="{4FDC32D3-C1F5-455D-9AA4-A03359B72526}">
            <xm:f>$BC$4='Data entry'!$R51</xm:f>
            <x14:dxf>
              <fill>
                <patternFill>
                  <bgColor rgb="FFFF0000"/>
                </patternFill>
              </fill>
            </x14:dxf>
          </x14:cfRule>
          <xm:sqref>BA141:BM141</xm:sqref>
        </x14:conditionalFormatting>
        <x14:conditionalFormatting xmlns:xm="http://schemas.microsoft.com/office/excel/2006/main">
          <x14:cfRule type="expression" priority="4698632" id="{5F0D0C60-B233-4C56-B05D-98C99990877F}">
            <xm:f>$BC$4='Data entry'!$R51</xm:f>
            <x14:dxf>
              <fill>
                <patternFill>
                  <bgColor rgb="FFFFFF00"/>
                </patternFill>
              </fill>
            </x14:dxf>
          </x14:cfRule>
          <xm:sqref>AO140:BC140</xm:sqref>
        </x14:conditionalFormatting>
        <x14:conditionalFormatting xmlns:xm="http://schemas.microsoft.com/office/excel/2006/main">
          <x14:cfRule type="expression" priority="4698633" id="{9EBCB60F-8135-43B6-A0F3-548D4092CC98}">
            <xm:f>$BD$4='Data entry'!$R51</xm:f>
            <x14:dxf>
              <fill>
                <patternFill>
                  <bgColor rgb="FFFF0000"/>
                </patternFill>
              </fill>
            </x14:dxf>
          </x14:cfRule>
          <xm:sqref>BB141:BN141</xm:sqref>
        </x14:conditionalFormatting>
        <x14:conditionalFormatting xmlns:xm="http://schemas.microsoft.com/office/excel/2006/main">
          <x14:cfRule type="expression" priority="4698634" id="{961AF346-4A73-41ED-9A8D-27D431B09C05}">
            <xm:f>$BD$4='Data entry'!$R51</xm:f>
            <x14:dxf>
              <fill>
                <patternFill>
                  <bgColor rgb="FFFFFF00"/>
                </patternFill>
              </fill>
            </x14:dxf>
          </x14:cfRule>
          <xm:sqref>AP140:BD140</xm:sqref>
        </x14:conditionalFormatting>
        <x14:conditionalFormatting xmlns:xm="http://schemas.microsoft.com/office/excel/2006/main">
          <x14:cfRule type="expression" priority="4698635" id="{5A887026-27CD-4F8C-8BA6-1E92704C1CA6}">
            <xm:f>$BE$4='Data entry'!$R51</xm:f>
            <x14:dxf>
              <fill>
                <patternFill>
                  <bgColor rgb="FFFF0000"/>
                </patternFill>
              </fill>
            </x14:dxf>
          </x14:cfRule>
          <xm:sqref>BC141:BO141</xm:sqref>
        </x14:conditionalFormatting>
        <x14:conditionalFormatting xmlns:xm="http://schemas.microsoft.com/office/excel/2006/main">
          <x14:cfRule type="expression" priority="4698636" id="{7F46217B-A1E9-4515-B31E-E756FCD7C6D9}">
            <xm:f>$BE$4='Data entry'!$R51</xm:f>
            <x14:dxf>
              <fill>
                <patternFill>
                  <bgColor rgb="FFFFFF00"/>
                </patternFill>
              </fill>
            </x14:dxf>
          </x14:cfRule>
          <xm:sqref>AP140:BE140</xm:sqref>
        </x14:conditionalFormatting>
        <x14:conditionalFormatting xmlns:xm="http://schemas.microsoft.com/office/excel/2006/main">
          <x14:cfRule type="expression" priority="4698637" id="{F4D9285C-8CA0-4EF1-943E-6A462D47CC77}">
            <xm:f>$BF$4='Data entry'!$R51</xm:f>
            <x14:dxf>
              <fill>
                <patternFill>
                  <bgColor rgb="FFFF0000"/>
                </patternFill>
              </fill>
            </x14:dxf>
          </x14:cfRule>
          <xm:sqref>BD141:BP141</xm:sqref>
        </x14:conditionalFormatting>
        <x14:conditionalFormatting xmlns:xm="http://schemas.microsoft.com/office/excel/2006/main">
          <x14:cfRule type="expression" priority="4698638" id="{B9E4407D-651D-4DC0-9D61-3271D62A65E9}">
            <xm:f>$BF$4='Data entry'!$R51</xm:f>
            <x14:dxf>
              <fill>
                <patternFill>
                  <bgColor rgb="FFFFFF00"/>
                </patternFill>
              </fill>
            </x14:dxf>
          </x14:cfRule>
          <xm:sqref>AR140:BF140</xm:sqref>
        </x14:conditionalFormatting>
        <x14:conditionalFormatting xmlns:xm="http://schemas.microsoft.com/office/excel/2006/main">
          <x14:cfRule type="expression" priority="4698639" id="{4CDC062F-DDFF-4556-B941-08F919727F69}">
            <xm:f>$BG$4='Data entry'!$R51</xm:f>
            <x14:dxf>
              <fill>
                <patternFill>
                  <bgColor rgb="FFFF0000"/>
                </patternFill>
              </fill>
            </x14:dxf>
          </x14:cfRule>
          <xm:sqref>BE141:BQ141</xm:sqref>
        </x14:conditionalFormatting>
        <x14:conditionalFormatting xmlns:xm="http://schemas.microsoft.com/office/excel/2006/main">
          <x14:cfRule type="expression" priority="4698640" id="{789184FA-9055-433B-8A1B-92C7ED59E81F}">
            <xm:f>$BG$4='Data entry'!$R51</xm:f>
            <x14:dxf>
              <fill>
                <patternFill>
                  <bgColor rgb="FFFFFF00"/>
                </patternFill>
              </fill>
            </x14:dxf>
          </x14:cfRule>
          <xm:sqref>AS140:BG140</xm:sqref>
        </x14:conditionalFormatting>
        <x14:conditionalFormatting xmlns:xm="http://schemas.microsoft.com/office/excel/2006/main">
          <x14:cfRule type="expression" priority="4698641" id="{58651E5C-09C9-46C1-B95C-E8A578A49E15}">
            <xm:f>$BH$4='Data entry'!$R51</xm:f>
            <x14:dxf>
              <fill>
                <patternFill>
                  <bgColor rgb="FFFFFF00"/>
                </patternFill>
              </fill>
            </x14:dxf>
          </x14:cfRule>
          <xm:sqref>AT140:BH140</xm:sqref>
        </x14:conditionalFormatting>
        <x14:conditionalFormatting xmlns:xm="http://schemas.microsoft.com/office/excel/2006/main">
          <x14:cfRule type="expression" priority="4698642" id="{97B30B86-8311-4DC0-A533-8C0D53F37839}">
            <xm:f>$BH$4='Data entry'!$R51</xm:f>
            <x14:dxf>
              <fill>
                <patternFill>
                  <bgColor rgb="FFFF0000"/>
                </patternFill>
              </fill>
            </x14:dxf>
          </x14:cfRule>
          <xm:sqref>BF141:BR141</xm:sqref>
        </x14:conditionalFormatting>
        <x14:conditionalFormatting xmlns:xm="http://schemas.microsoft.com/office/excel/2006/main">
          <x14:cfRule type="expression" priority="4698643" id="{78344C0C-5AEA-40B1-A20C-6D77DF58E1F5}">
            <xm:f>$BI$4='Data entry'!$R51</xm:f>
            <x14:dxf>
              <fill>
                <patternFill>
                  <bgColor rgb="FFFFFF00"/>
                </patternFill>
              </fill>
            </x14:dxf>
          </x14:cfRule>
          <xm:sqref>AU140:BI140</xm:sqref>
        </x14:conditionalFormatting>
        <x14:conditionalFormatting xmlns:xm="http://schemas.microsoft.com/office/excel/2006/main">
          <x14:cfRule type="expression" priority="4698644" id="{A9CE044F-482E-4F25-B28F-89ACC58502B1}">
            <xm:f>$BI$4='Data entry'!$R51</xm:f>
            <x14:dxf>
              <fill>
                <patternFill>
                  <bgColor rgb="FFFF0000"/>
                </patternFill>
              </fill>
            </x14:dxf>
          </x14:cfRule>
          <xm:sqref>BG141:BS141</xm:sqref>
        </x14:conditionalFormatting>
        <x14:conditionalFormatting xmlns:xm="http://schemas.microsoft.com/office/excel/2006/main">
          <x14:cfRule type="expression" priority="4698645" id="{F63BE0EB-3C71-4456-BEF0-11180AB7A8BB}">
            <xm:f>$BJ$4='Data entry'!$R51</xm:f>
            <x14:dxf>
              <fill>
                <patternFill>
                  <bgColor rgb="FFFFFF00"/>
                </patternFill>
              </fill>
            </x14:dxf>
          </x14:cfRule>
          <xm:sqref>AV140:BJ140</xm:sqref>
        </x14:conditionalFormatting>
        <x14:conditionalFormatting xmlns:xm="http://schemas.microsoft.com/office/excel/2006/main">
          <x14:cfRule type="expression" priority="4698646" id="{478A5DCB-1DAA-4497-A6CC-B4F01FB96D10}">
            <xm:f>$BJ$4='Data entry'!$R51</xm:f>
            <x14:dxf>
              <fill>
                <patternFill>
                  <bgColor rgb="FFFF0000"/>
                </patternFill>
              </fill>
            </x14:dxf>
          </x14:cfRule>
          <xm:sqref>BH141:BT141</xm:sqref>
        </x14:conditionalFormatting>
        <x14:conditionalFormatting xmlns:xm="http://schemas.microsoft.com/office/excel/2006/main">
          <x14:cfRule type="expression" priority="4698647" id="{CDE4AD5B-65A6-4FA4-9EC0-8D05F22312A9}">
            <xm:f>$BK$4='Data entry'!$R51</xm:f>
            <x14:dxf>
              <fill>
                <patternFill>
                  <bgColor rgb="FFFF0000"/>
                </patternFill>
              </fill>
            </x14:dxf>
          </x14:cfRule>
          <xm:sqref>BI141:BU141</xm:sqref>
        </x14:conditionalFormatting>
        <x14:conditionalFormatting xmlns:xm="http://schemas.microsoft.com/office/excel/2006/main">
          <x14:cfRule type="expression" priority="4698648" id="{AB32E790-6CD8-4D11-9A69-57D785FE4BBC}">
            <xm:f>$BK$4='Data entry'!$R51</xm:f>
            <x14:dxf>
              <fill>
                <patternFill>
                  <bgColor rgb="FFFFFF00"/>
                </patternFill>
              </fill>
            </x14:dxf>
          </x14:cfRule>
          <xm:sqref>AW140:BK140</xm:sqref>
        </x14:conditionalFormatting>
        <x14:conditionalFormatting xmlns:xm="http://schemas.microsoft.com/office/excel/2006/main">
          <x14:cfRule type="expression" priority="4698649" id="{99810EB9-805C-43D8-852A-EEECE7874CDB}">
            <xm:f>$BL$4='Data entry'!$R51</xm:f>
            <x14:dxf>
              <fill>
                <patternFill>
                  <bgColor rgb="FFFF0000"/>
                </patternFill>
              </fill>
            </x14:dxf>
          </x14:cfRule>
          <xm:sqref>BJ141:BV141</xm:sqref>
        </x14:conditionalFormatting>
        <x14:conditionalFormatting xmlns:xm="http://schemas.microsoft.com/office/excel/2006/main">
          <x14:cfRule type="expression" priority="4698650" id="{BF5F5475-4E46-479C-97A6-D5175F5D1803}">
            <xm:f>$BL$4='Data entry'!$R51</xm:f>
            <x14:dxf>
              <fill>
                <patternFill>
                  <bgColor rgb="FFFFFF00"/>
                </patternFill>
              </fill>
            </x14:dxf>
          </x14:cfRule>
          <xm:sqref>AX140:BL140</xm:sqref>
        </x14:conditionalFormatting>
        <x14:conditionalFormatting xmlns:xm="http://schemas.microsoft.com/office/excel/2006/main">
          <x14:cfRule type="expression" priority="4698651" id="{B86FDF2F-16C9-46B1-847E-7EA1A8A34B9D}">
            <xm:f>$BM$4='Data entry'!$R51</xm:f>
            <x14:dxf>
              <fill>
                <patternFill>
                  <bgColor rgb="FFFF0000"/>
                </patternFill>
              </fill>
            </x14:dxf>
          </x14:cfRule>
          <xm:sqref>BK141:BW141</xm:sqref>
        </x14:conditionalFormatting>
        <x14:conditionalFormatting xmlns:xm="http://schemas.microsoft.com/office/excel/2006/main">
          <x14:cfRule type="expression" priority="4698652" id="{72FD189F-4CED-400D-9FEF-21A328970A4D}">
            <xm:f>$BM$4='Data entry'!$R51</xm:f>
            <x14:dxf>
              <fill>
                <patternFill>
                  <bgColor rgb="FFFFFF00"/>
                </patternFill>
              </fill>
            </x14:dxf>
          </x14:cfRule>
          <xm:sqref>AY140:BM140</xm:sqref>
        </x14:conditionalFormatting>
        <x14:conditionalFormatting xmlns:xm="http://schemas.microsoft.com/office/excel/2006/main">
          <x14:cfRule type="expression" priority="4698653" id="{BBBBF859-D5A7-4F55-BFBF-8A77E3357590}">
            <xm:f>$BN$4='Data entry'!$R51</xm:f>
            <x14:dxf>
              <fill>
                <patternFill>
                  <bgColor rgb="FFFF0000"/>
                </patternFill>
              </fill>
            </x14:dxf>
          </x14:cfRule>
          <xm:sqref>BL141:BX141</xm:sqref>
        </x14:conditionalFormatting>
        <x14:conditionalFormatting xmlns:xm="http://schemas.microsoft.com/office/excel/2006/main">
          <x14:cfRule type="expression" priority="4698654" id="{50CB1D75-0FD5-4D24-92B1-E8A41DC6575C}">
            <xm:f>$BN$4='Data entry'!$R51</xm:f>
            <x14:dxf>
              <fill>
                <patternFill>
                  <bgColor rgb="FFFFFF00"/>
                </patternFill>
              </fill>
            </x14:dxf>
          </x14:cfRule>
          <xm:sqref>AZ140:BN140</xm:sqref>
        </x14:conditionalFormatting>
        <x14:conditionalFormatting xmlns:xm="http://schemas.microsoft.com/office/excel/2006/main">
          <x14:cfRule type="expression" priority="4698655" id="{9EF3226D-E8FC-496B-A6FF-71776AEA54D1}">
            <xm:f>$BO$4='Data entry'!$R51</xm:f>
            <x14:dxf>
              <fill>
                <patternFill>
                  <bgColor rgb="FFFF0000"/>
                </patternFill>
              </fill>
            </x14:dxf>
          </x14:cfRule>
          <xm:sqref>BM141:BY141</xm:sqref>
        </x14:conditionalFormatting>
        <x14:conditionalFormatting xmlns:xm="http://schemas.microsoft.com/office/excel/2006/main">
          <x14:cfRule type="expression" priority="4698656" id="{3B86C801-ECFE-4D05-8AA5-1581116BAFBC}">
            <xm:f>$BO$4='Data entry'!$R51</xm:f>
            <x14:dxf>
              <fill>
                <patternFill>
                  <bgColor rgb="FFFFFF00"/>
                </patternFill>
              </fill>
            </x14:dxf>
          </x14:cfRule>
          <xm:sqref>BA140:BO140</xm:sqref>
        </x14:conditionalFormatting>
        <x14:conditionalFormatting xmlns:xm="http://schemas.microsoft.com/office/excel/2006/main">
          <x14:cfRule type="expression" priority="4698657" id="{058A23EC-3371-4A02-9F20-1ECA603AC6BC}">
            <xm:f>$BP$4='Data entry'!$R51</xm:f>
            <x14:dxf>
              <fill>
                <patternFill>
                  <bgColor rgb="FFFF0000"/>
                </patternFill>
              </fill>
            </x14:dxf>
          </x14:cfRule>
          <xm:sqref>BN141:BZ141</xm:sqref>
        </x14:conditionalFormatting>
        <x14:conditionalFormatting xmlns:xm="http://schemas.microsoft.com/office/excel/2006/main">
          <x14:cfRule type="expression" priority="4698658" id="{3E711E31-3992-4555-AB22-87133D60CD15}">
            <xm:f>$BP$4='Data entry'!$R51</xm:f>
            <x14:dxf>
              <fill>
                <patternFill>
                  <bgColor rgb="FFFFFF00"/>
                </patternFill>
              </fill>
            </x14:dxf>
          </x14:cfRule>
          <xm:sqref>BB140:BP140</xm:sqref>
        </x14:conditionalFormatting>
        <x14:conditionalFormatting xmlns:xm="http://schemas.microsoft.com/office/excel/2006/main">
          <x14:cfRule type="expression" priority="4698659" id="{23E9F8B9-37D5-4730-9453-6F23E8ECBBE3}">
            <xm:f>$BQ$4='Data entry'!$R51</xm:f>
            <x14:dxf>
              <fill>
                <patternFill>
                  <bgColor rgb="FFFFFF00"/>
                </patternFill>
              </fill>
            </x14:dxf>
          </x14:cfRule>
          <xm:sqref>BC140:BQ140</xm:sqref>
        </x14:conditionalFormatting>
        <x14:conditionalFormatting xmlns:xm="http://schemas.microsoft.com/office/excel/2006/main">
          <x14:cfRule type="expression" priority="4698660" id="{BCFD92F6-AAD3-44FD-BC61-A292A81B883E}">
            <xm:f>$BQ$4='Data entry'!$R51</xm:f>
            <x14:dxf>
              <fill>
                <patternFill>
                  <bgColor rgb="FFFF0000"/>
                </patternFill>
              </fill>
            </x14:dxf>
          </x14:cfRule>
          <xm:sqref>BO141:CA141</xm:sqref>
        </x14:conditionalFormatting>
        <x14:conditionalFormatting xmlns:xm="http://schemas.microsoft.com/office/excel/2006/main">
          <x14:cfRule type="expression" priority="4698661" id="{357D60E5-F356-477E-8020-A18F42C02832}">
            <xm:f>$BR$4='Data entry'!$R51</xm:f>
            <x14:dxf>
              <fill>
                <patternFill>
                  <bgColor rgb="FFFFFF00"/>
                </patternFill>
              </fill>
            </x14:dxf>
          </x14:cfRule>
          <xm:sqref>BD140:BR140</xm:sqref>
        </x14:conditionalFormatting>
        <x14:conditionalFormatting xmlns:xm="http://schemas.microsoft.com/office/excel/2006/main">
          <x14:cfRule type="expression" priority="4698662" id="{DA2B6511-43B3-432D-B6AA-1DB1188B90A6}">
            <xm:f>$BR$4='Data entry'!$R51</xm:f>
            <x14:dxf>
              <fill>
                <patternFill>
                  <bgColor rgb="FFFF0000"/>
                </patternFill>
              </fill>
            </x14:dxf>
          </x14:cfRule>
          <xm:sqref>BP141:CB141</xm:sqref>
        </x14:conditionalFormatting>
        <x14:conditionalFormatting xmlns:xm="http://schemas.microsoft.com/office/excel/2006/main">
          <x14:cfRule type="expression" priority="4698663" id="{0D5F64E4-4136-4BFA-B833-CC8578525D9C}">
            <xm:f>$BS$4='Data entry'!$R51</xm:f>
            <x14:dxf>
              <fill>
                <patternFill>
                  <bgColor rgb="FFFFFF00"/>
                </patternFill>
              </fill>
            </x14:dxf>
          </x14:cfRule>
          <xm:sqref>BE140:BS140</xm:sqref>
        </x14:conditionalFormatting>
        <x14:conditionalFormatting xmlns:xm="http://schemas.microsoft.com/office/excel/2006/main">
          <x14:cfRule type="expression" priority="4698664" id="{AC94D468-F078-4AE2-8771-102996E07B09}">
            <xm:f>$BS$4='Data entry'!$R51</xm:f>
            <x14:dxf>
              <fill>
                <patternFill>
                  <bgColor rgb="FFFF0000"/>
                </patternFill>
              </fill>
            </x14:dxf>
          </x14:cfRule>
          <xm:sqref>BQ141:CC141</xm:sqref>
        </x14:conditionalFormatting>
        <x14:conditionalFormatting xmlns:xm="http://schemas.microsoft.com/office/excel/2006/main">
          <x14:cfRule type="expression" priority="4698665" id="{10E78F76-181E-4F19-9F89-7DD36D3EFE30}">
            <xm:f>$BT$4='Data entry'!$R51</xm:f>
            <x14:dxf>
              <fill>
                <patternFill>
                  <bgColor rgb="FFFFFF00"/>
                </patternFill>
              </fill>
            </x14:dxf>
          </x14:cfRule>
          <xm:sqref>BF140:BT140</xm:sqref>
        </x14:conditionalFormatting>
        <x14:conditionalFormatting xmlns:xm="http://schemas.microsoft.com/office/excel/2006/main">
          <x14:cfRule type="expression" priority="4698666" id="{6A5FADC6-9512-4EFB-90A5-7B5244D10D1F}">
            <xm:f>$BT$4='Data entry'!$R51</xm:f>
            <x14:dxf>
              <fill>
                <patternFill>
                  <bgColor rgb="FFFF0000"/>
                </patternFill>
              </fill>
            </x14:dxf>
          </x14:cfRule>
          <xm:sqref>BR141:CC141</xm:sqref>
        </x14:conditionalFormatting>
        <x14:conditionalFormatting xmlns:xm="http://schemas.microsoft.com/office/excel/2006/main">
          <x14:cfRule type="expression" priority="4698667" id="{A51139D1-8841-4B96-B8CB-DFE3808765CF}">
            <xm:f>$BU$4='Data entry'!$R51</xm:f>
            <x14:dxf>
              <fill>
                <patternFill>
                  <bgColor rgb="FFFFFF00"/>
                </patternFill>
              </fill>
            </x14:dxf>
          </x14:cfRule>
          <xm:sqref>BG140:BU140</xm:sqref>
        </x14:conditionalFormatting>
        <x14:conditionalFormatting xmlns:xm="http://schemas.microsoft.com/office/excel/2006/main">
          <x14:cfRule type="expression" priority="4698668" id="{55CA7258-760F-4BFF-ACB5-A70FEB3E7981}">
            <xm:f>$BU$4='Data entry'!$R51</xm:f>
            <x14:dxf>
              <fill>
                <patternFill>
                  <bgColor rgb="FFFF0000"/>
                </patternFill>
              </fill>
            </x14:dxf>
          </x14:cfRule>
          <xm:sqref>BS141:CC141</xm:sqref>
        </x14:conditionalFormatting>
        <x14:conditionalFormatting xmlns:xm="http://schemas.microsoft.com/office/excel/2006/main">
          <x14:cfRule type="expression" priority="4698669" id="{A922B218-64DB-4CBB-9AB8-FE0EBB44E09E}">
            <xm:f>$BV$4='Data entry'!$R51</xm:f>
            <x14:dxf>
              <fill>
                <patternFill>
                  <bgColor rgb="FFFFFF00"/>
                </patternFill>
              </fill>
            </x14:dxf>
          </x14:cfRule>
          <xm:sqref>BH140:BV140</xm:sqref>
        </x14:conditionalFormatting>
        <x14:conditionalFormatting xmlns:xm="http://schemas.microsoft.com/office/excel/2006/main">
          <x14:cfRule type="expression" priority="4698670" id="{C98E908A-CD31-4778-B41C-7AFB9DBE639A}">
            <xm:f>$BV$4='Data entry'!$R51</xm:f>
            <x14:dxf>
              <fill>
                <patternFill>
                  <bgColor rgb="FFFF0000"/>
                </patternFill>
              </fill>
            </x14:dxf>
          </x14:cfRule>
          <xm:sqref>BT141:CC141</xm:sqref>
        </x14:conditionalFormatting>
        <x14:conditionalFormatting xmlns:xm="http://schemas.microsoft.com/office/excel/2006/main">
          <x14:cfRule type="expression" priority="4698671" id="{465CCCA3-B4DB-4B61-8AC7-8A5E4CEC9E3F}">
            <xm:f>$BW$4='Data entry'!$R51</xm:f>
            <x14:dxf>
              <fill>
                <patternFill>
                  <bgColor rgb="FFFFFF00"/>
                </patternFill>
              </fill>
            </x14:dxf>
          </x14:cfRule>
          <xm:sqref>BI140:BW140</xm:sqref>
        </x14:conditionalFormatting>
        <x14:conditionalFormatting xmlns:xm="http://schemas.microsoft.com/office/excel/2006/main">
          <x14:cfRule type="expression" priority="4698672" id="{37566F97-6D06-400B-A709-FE657B07687F}">
            <xm:f>$BW$4='Data entry'!$R51</xm:f>
            <x14:dxf>
              <fill>
                <patternFill>
                  <bgColor rgb="FFFF0000"/>
                </patternFill>
              </fill>
            </x14:dxf>
          </x14:cfRule>
          <xm:sqref>BU141:CC141</xm:sqref>
        </x14:conditionalFormatting>
        <x14:conditionalFormatting xmlns:xm="http://schemas.microsoft.com/office/excel/2006/main">
          <x14:cfRule type="expression" priority="4698673" id="{D8FBA3AC-5CF0-4E45-97CA-1D4DEE729ADA}">
            <xm:f>$BX$4='Data entry'!$R51</xm:f>
            <x14:dxf>
              <fill>
                <patternFill>
                  <bgColor rgb="FFFFFF00"/>
                </patternFill>
              </fill>
            </x14:dxf>
          </x14:cfRule>
          <xm:sqref>BJ140:BX140</xm:sqref>
        </x14:conditionalFormatting>
        <x14:conditionalFormatting xmlns:xm="http://schemas.microsoft.com/office/excel/2006/main">
          <x14:cfRule type="expression" priority="4698674" id="{E077C84B-A94F-431D-B232-4AFCC7C64F54}">
            <xm:f>$BX$4='Data entry'!$R51</xm:f>
            <x14:dxf>
              <fill>
                <patternFill>
                  <bgColor rgb="FFFF0000"/>
                </patternFill>
              </fill>
            </x14:dxf>
          </x14:cfRule>
          <xm:sqref>BV141:CC141</xm:sqref>
        </x14:conditionalFormatting>
        <x14:conditionalFormatting xmlns:xm="http://schemas.microsoft.com/office/excel/2006/main">
          <x14:cfRule type="expression" priority="4698675" id="{63783BA8-0C97-4A44-86FD-7A2BCF1B9957}">
            <xm:f>$BY$4='Data entry'!$R51</xm:f>
            <x14:dxf>
              <fill>
                <patternFill>
                  <bgColor rgb="FFFFFF00"/>
                </patternFill>
              </fill>
            </x14:dxf>
          </x14:cfRule>
          <xm:sqref>BK140:BY140</xm:sqref>
        </x14:conditionalFormatting>
        <x14:conditionalFormatting xmlns:xm="http://schemas.microsoft.com/office/excel/2006/main">
          <x14:cfRule type="expression" priority="4698676" id="{BB8DB8B4-B71B-46D2-AEE7-346F16103F74}">
            <xm:f>$BY$4='Data entry'!$R51</xm:f>
            <x14:dxf>
              <fill>
                <patternFill>
                  <bgColor rgb="FFFF0000"/>
                </patternFill>
              </fill>
            </x14:dxf>
          </x14:cfRule>
          <xm:sqref>BW141:CC141</xm:sqref>
        </x14:conditionalFormatting>
        <x14:conditionalFormatting xmlns:xm="http://schemas.microsoft.com/office/excel/2006/main">
          <x14:cfRule type="expression" priority="4698677" id="{1B638B98-2B06-4FEB-90C1-446A3E0A3979}">
            <xm:f>$BZ$4='Data entry'!$R51</xm:f>
            <x14:dxf>
              <fill>
                <patternFill>
                  <bgColor rgb="FFFFFF00"/>
                </patternFill>
              </fill>
            </x14:dxf>
          </x14:cfRule>
          <xm:sqref>BL140:BZ140</xm:sqref>
        </x14:conditionalFormatting>
        <x14:conditionalFormatting xmlns:xm="http://schemas.microsoft.com/office/excel/2006/main">
          <x14:cfRule type="expression" priority="4698678" id="{D3A0A2F8-D1B2-4DC5-B2A9-0EF53074E685}">
            <xm:f>$BZ$4='Data entry'!$R51</xm:f>
            <x14:dxf>
              <fill>
                <patternFill>
                  <bgColor rgb="FFFF0000"/>
                </patternFill>
              </fill>
            </x14:dxf>
          </x14:cfRule>
          <xm:sqref>BX141:CC141</xm:sqref>
        </x14:conditionalFormatting>
        <x14:conditionalFormatting xmlns:xm="http://schemas.microsoft.com/office/excel/2006/main">
          <x14:cfRule type="expression" priority="4698679" id="{83F6D018-7D3B-4D33-9998-11572F2F2FF5}">
            <xm:f>$CA$4='Data entry'!$R51</xm:f>
            <x14:dxf>
              <fill>
                <patternFill>
                  <bgColor rgb="FFFFFF00"/>
                </patternFill>
              </fill>
            </x14:dxf>
          </x14:cfRule>
          <xm:sqref>BM140:CA140</xm:sqref>
        </x14:conditionalFormatting>
        <x14:conditionalFormatting xmlns:xm="http://schemas.microsoft.com/office/excel/2006/main">
          <x14:cfRule type="expression" priority="4698680" id="{8E6D0B51-5626-4ED9-9072-C7A2C139704F}">
            <xm:f>$CA$4='Data entry'!$R51</xm:f>
            <x14:dxf>
              <fill>
                <patternFill>
                  <bgColor rgb="FFFF0000"/>
                </patternFill>
              </fill>
            </x14:dxf>
          </x14:cfRule>
          <xm:sqref>BY141:CC141</xm:sqref>
        </x14:conditionalFormatting>
        <x14:conditionalFormatting xmlns:xm="http://schemas.microsoft.com/office/excel/2006/main">
          <x14:cfRule type="expression" priority="4698681" id="{E1886EE4-3BDE-43A9-9F4B-79377FEC37FE}">
            <xm:f>$CB$4='Data entry'!$R51</xm:f>
            <x14:dxf>
              <fill>
                <patternFill>
                  <bgColor rgb="FFFFFF00"/>
                </patternFill>
              </fill>
            </x14:dxf>
          </x14:cfRule>
          <xm:sqref>BN140:CB140</xm:sqref>
        </x14:conditionalFormatting>
        <x14:conditionalFormatting xmlns:xm="http://schemas.microsoft.com/office/excel/2006/main">
          <x14:cfRule type="expression" priority="4698682" id="{ADEF572A-6C18-4602-BB86-01C96D36E07E}">
            <xm:f>$CB$4='Data entry'!$R51</xm:f>
            <x14:dxf>
              <fill>
                <patternFill>
                  <bgColor rgb="FFFF0000"/>
                </patternFill>
              </fill>
            </x14:dxf>
          </x14:cfRule>
          <xm:sqref>BZ141:CC141</xm:sqref>
        </x14:conditionalFormatting>
        <x14:conditionalFormatting xmlns:xm="http://schemas.microsoft.com/office/excel/2006/main">
          <x14:cfRule type="expression" priority="4698683" id="{7984E1C9-E073-4955-8543-62145CB6D008}">
            <xm:f>$CC$4='Data entry'!$R51</xm:f>
            <x14:dxf>
              <fill>
                <patternFill>
                  <bgColor rgb="FFFFFF00"/>
                </patternFill>
              </fill>
            </x14:dxf>
          </x14:cfRule>
          <xm:sqref>BO140:CC140</xm:sqref>
        </x14:conditionalFormatting>
        <x14:conditionalFormatting xmlns:xm="http://schemas.microsoft.com/office/excel/2006/main">
          <x14:cfRule type="expression" priority="4698684" id="{18A957B3-59FA-4698-BA92-2A208FF18E2F}">
            <xm:f>$CC$4='Data entry'!$R51</xm:f>
            <x14:dxf>
              <fill>
                <patternFill>
                  <bgColor rgb="FFFF0000"/>
                </patternFill>
              </fill>
            </x14:dxf>
          </x14:cfRule>
          <xm:sqref>CA141:CC141</xm:sqref>
        </x14:conditionalFormatting>
        <x14:conditionalFormatting xmlns:xm="http://schemas.microsoft.com/office/excel/2006/main">
          <x14:cfRule type="expression" priority="4698771" id="{5B0DB825-B7C2-40AC-B7EF-F267F054CFB9}">
            <xm:f>$U$4='Data entry'!$R52</xm:f>
            <x14:dxf>
              <fill>
                <patternFill>
                  <bgColor rgb="FFFF0000"/>
                </patternFill>
              </fill>
            </x14:dxf>
          </x14:cfRule>
          <xm:sqref>S144:AE144</xm:sqref>
        </x14:conditionalFormatting>
        <x14:conditionalFormatting xmlns:xm="http://schemas.microsoft.com/office/excel/2006/main">
          <x14:cfRule type="expression" priority="4698772" id="{18311200-E2BB-400F-B594-3B9A2C6068C2}">
            <xm:f>$V$4='Data entry'!$R52</xm:f>
            <x14:dxf>
              <fill>
                <patternFill>
                  <bgColor rgb="FFFF0000"/>
                </patternFill>
              </fill>
            </x14:dxf>
          </x14:cfRule>
          <xm:sqref>T144:AF144</xm:sqref>
        </x14:conditionalFormatting>
        <x14:conditionalFormatting xmlns:xm="http://schemas.microsoft.com/office/excel/2006/main">
          <x14:cfRule type="expression" priority="4698773" id="{D6DFB621-1A58-4C59-A987-ECAD0EB2D32B}">
            <xm:f>$V$4='Data entry'!$R52</xm:f>
            <x14:dxf>
              <fill>
                <patternFill>
                  <bgColor rgb="FFFFFF00"/>
                </patternFill>
              </fill>
            </x14:dxf>
          </x14:cfRule>
          <xm:sqref>H143:V143</xm:sqref>
        </x14:conditionalFormatting>
        <x14:conditionalFormatting xmlns:xm="http://schemas.microsoft.com/office/excel/2006/main">
          <x14:cfRule type="expression" priority="4698774" id="{5F87A680-DC5F-433D-A779-B7A534ACCDA9}">
            <xm:f>$W$4='Data entry'!$R52</xm:f>
            <x14:dxf>
              <fill>
                <patternFill>
                  <bgColor rgb="FFFF0000"/>
                </patternFill>
              </fill>
            </x14:dxf>
          </x14:cfRule>
          <xm:sqref>U144:AG144</xm:sqref>
        </x14:conditionalFormatting>
        <x14:conditionalFormatting xmlns:xm="http://schemas.microsoft.com/office/excel/2006/main">
          <x14:cfRule type="expression" priority="4698775" id="{964539FF-A92C-4F68-B268-B7157A32678C}">
            <xm:f>$W$4='Data entry'!$R52</xm:f>
            <x14:dxf>
              <fill>
                <patternFill>
                  <bgColor rgb="FFFFFF00"/>
                </patternFill>
              </fill>
            </x14:dxf>
          </x14:cfRule>
          <xm:sqref>I143:W143</xm:sqref>
        </x14:conditionalFormatting>
        <x14:conditionalFormatting xmlns:xm="http://schemas.microsoft.com/office/excel/2006/main">
          <x14:cfRule type="expression" priority="4698776" id="{46C1533A-F090-4A90-9309-3F59EC3FD3B0}">
            <xm:f>$X$4='Data entry'!$R52</xm:f>
            <x14:dxf>
              <fill>
                <patternFill>
                  <bgColor rgb="FFFF0000"/>
                </patternFill>
              </fill>
            </x14:dxf>
          </x14:cfRule>
          <xm:sqref>V144:AH144</xm:sqref>
        </x14:conditionalFormatting>
        <x14:conditionalFormatting xmlns:xm="http://schemas.microsoft.com/office/excel/2006/main">
          <x14:cfRule type="expression" priority="4698777" id="{7C70E81C-DDD4-4D75-933A-4F6A39893184}">
            <xm:f>$X$4='Data entry'!$R52</xm:f>
            <x14:dxf>
              <fill>
                <patternFill>
                  <bgColor rgb="FFFFFF00"/>
                </patternFill>
              </fill>
            </x14:dxf>
          </x14:cfRule>
          <xm:sqref>J143:X143</xm:sqref>
        </x14:conditionalFormatting>
        <x14:conditionalFormatting xmlns:xm="http://schemas.microsoft.com/office/excel/2006/main">
          <x14:cfRule type="expression" priority="4698778" id="{561AF073-0EF8-4B72-A119-40A639C4359D}">
            <xm:f>$Y$4='Data entry'!$R52</xm:f>
            <x14:dxf>
              <fill>
                <patternFill>
                  <bgColor rgb="FFFF0000"/>
                </patternFill>
              </fill>
            </x14:dxf>
          </x14:cfRule>
          <xm:sqref>W144:AI144</xm:sqref>
        </x14:conditionalFormatting>
        <x14:conditionalFormatting xmlns:xm="http://schemas.microsoft.com/office/excel/2006/main">
          <x14:cfRule type="expression" priority="4698779" id="{F242E808-8F07-4A89-9524-7D4C767CE357}">
            <xm:f>$Y$4='Data entry'!$R52</xm:f>
            <x14:dxf>
              <fill>
                <patternFill>
                  <bgColor rgb="FFFFFF00"/>
                </patternFill>
              </fill>
            </x14:dxf>
          </x14:cfRule>
          <xm:sqref>K143:Y143</xm:sqref>
        </x14:conditionalFormatting>
        <x14:conditionalFormatting xmlns:xm="http://schemas.microsoft.com/office/excel/2006/main">
          <x14:cfRule type="expression" priority="4698780" id="{DD601058-982B-4218-BD9D-64BB823C2633}">
            <xm:f>$Z$4='Data entry'!$R52</xm:f>
            <x14:dxf>
              <fill>
                <patternFill>
                  <bgColor rgb="FFFF0000"/>
                </patternFill>
              </fill>
            </x14:dxf>
          </x14:cfRule>
          <xm:sqref>X144:AJ144</xm:sqref>
        </x14:conditionalFormatting>
        <x14:conditionalFormatting xmlns:xm="http://schemas.microsoft.com/office/excel/2006/main">
          <x14:cfRule type="expression" priority="4698781" id="{C9DB141D-79F6-4093-92A3-7BF7A1622985}">
            <xm:f>$Z$4='Data entry'!$R52</xm:f>
            <x14:dxf>
              <fill>
                <patternFill>
                  <bgColor rgb="FFFFFF00"/>
                </patternFill>
              </fill>
            </x14:dxf>
          </x14:cfRule>
          <xm:sqref>L143:Z143</xm:sqref>
        </x14:conditionalFormatting>
        <x14:conditionalFormatting xmlns:xm="http://schemas.microsoft.com/office/excel/2006/main">
          <x14:cfRule type="expression" priority="4698782" id="{710EB8D3-F5C0-4E3C-8214-2D0C4E26F649}">
            <xm:f>$AA$4='Data entry'!$R52</xm:f>
            <x14:dxf>
              <fill>
                <patternFill>
                  <bgColor rgb="FFFF0000"/>
                </patternFill>
              </fill>
            </x14:dxf>
          </x14:cfRule>
          <xm:sqref>Y144:AK144</xm:sqref>
        </x14:conditionalFormatting>
        <x14:conditionalFormatting xmlns:xm="http://schemas.microsoft.com/office/excel/2006/main">
          <x14:cfRule type="expression" priority="4698783" id="{33825D69-C967-4D27-B395-5D44A3083802}">
            <xm:f>$AA$4='Data entry'!$R52</xm:f>
            <x14:dxf>
              <fill>
                <patternFill>
                  <bgColor rgb="FFFFFF00"/>
                </patternFill>
              </fill>
            </x14:dxf>
          </x14:cfRule>
          <xm:sqref>M143:AA143</xm:sqref>
        </x14:conditionalFormatting>
        <x14:conditionalFormatting xmlns:xm="http://schemas.microsoft.com/office/excel/2006/main">
          <x14:cfRule type="expression" priority="4698784" id="{9811A97D-351B-4D32-8754-AF433277E62B}">
            <xm:f>$AB$4='Data entry'!$R52</xm:f>
            <x14:dxf>
              <fill>
                <patternFill>
                  <bgColor rgb="FFFF0000"/>
                </patternFill>
              </fill>
            </x14:dxf>
          </x14:cfRule>
          <xm:sqref>Z144:AL144</xm:sqref>
        </x14:conditionalFormatting>
        <x14:conditionalFormatting xmlns:xm="http://schemas.microsoft.com/office/excel/2006/main">
          <x14:cfRule type="expression" priority="4698785" id="{6DD3E556-C72E-438B-92DA-3096ED1E4178}">
            <xm:f>$AB$4='Data entry'!$R52</xm:f>
            <x14:dxf>
              <fill>
                <patternFill>
                  <bgColor rgb="FFFFFF00"/>
                </patternFill>
              </fill>
            </x14:dxf>
          </x14:cfRule>
          <xm:sqref>N143:AB143</xm:sqref>
        </x14:conditionalFormatting>
        <x14:conditionalFormatting xmlns:xm="http://schemas.microsoft.com/office/excel/2006/main">
          <x14:cfRule type="expression" priority="4698786" id="{C0DF7A1B-D6BC-4371-BD3A-F0708147FA1C}">
            <xm:f>$AC$4='Data entry'!$R52</xm:f>
            <x14:dxf>
              <fill>
                <patternFill>
                  <bgColor rgb="FFFF0000"/>
                </patternFill>
              </fill>
            </x14:dxf>
          </x14:cfRule>
          <xm:sqref>AA144:AM144</xm:sqref>
        </x14:conditionalFormatting>
        <x14:conditionalFormatting xmlns:xm="http://schemas.microsoft.com/office/excel/2006/main">
          <x14:cfRule type="expression" priority="4698787" id="{DB2E1F48-AF0E-41F9-A976-6B1963CA5711}">
            <xm:f>$AC$4='Data entry'!$R52</xm:f>
            <x14:dxf>
              <fill>
                <patternFill>
                  <bgColor rgb="FFFFFF00"/>
                </patternFill>
              </fill>
            </x14:dxf>
          </x14:cfRule>
          <xm:sqref>O143:AC143</xm:sqref>
        </x14:conditionalFormatting>
        <x14:conditionalFormatting xmlns:xm="http://schemas.microsoft.com/office/excel/2006/main">
          <x14:cfRule type="expression" priority="4698788" id="{89909907-F9A9-4AF9-BC1D-304710A43F50}">
            <xm:f>$AD$4='Data entry'!$R52</xm:f>
            <x14:dxf>
              <fill>
                <patternFill>
                  <bgColor rgb="FFFF0000"/>
                </patternFill>
              </fill>
            </x14:dxf>
          </x14:cfRule>
          <xm:sqref>AB144:AN144</xm:sqref>
        </x14:conditionalFormatting>
        <x14:conditionalFormatting xmlns:xm="http://schemas.microsoft.com/office/excel/2006/main">
          <x14:cfRule type="expression" priority="4698789" id="{729676B7-E331-43A4-ACC9-850DCEE76A0E}">
            <xm:f>$AD$4='Data entry'!$R52</xm:f>
            <x14:dxf>
              <fill>
                <patternFill>
                  <bgColor rgb="FFFFFF00"/>
                </patternFill>
              </fill>
            </x14:dxf>
          </x14:cfRule>
          <xm:sqref>P143:AD143</xm:sqref>
        </x14:conditionalFormatting>
        <x14:conditionalFormatting xmlns:xm="http://schemas.microsoft.com/office/excel/2006/main">
          <x14:cfRule type="expression" priority="4698790" id="{00DA2C55-350E-44AA-ABEA-808FABFDA737}">
            <xm:f>$AE$4='Data entry'!$R52</xm:f>
            <x14:dxf>
              <fill>
                <patternFill>
                  <bgColor rgb="FFFF0000"/>
                </patternFill>
              </fill>
            </x14:dxf>
          </x14:cfRule>
          <xm:sqref>AC144:AO144</xm:sqref>
        </x14:conditionalFormatting>
        <x14:conditionalFormatting xmlns:xm="http://schemas.microsoft.com/office/excel/2006/main">
          <x14:cfRule type="expression" priority="4698791" id="{373C95F1-00C1-45E9-B561-5224945BA4A4}">
            <xm:f>$AE$4='Data entry'!$R52</xm:f>
            <x14:dxf>
              <fill>
                <patternFill>
                  <bgColor rgb="FFFFFF00"/>
                </patternFill>
              </fill>
            </x14:dxf>
          </x14:cfRule>
          <xm:sqref>Q143:AE143</xm:sqref>
        </x14:conditionalFormatting>
        <x14:conditionalFormatting xmlns:xm="http://schemas.microsoft.com/office/excel/2006/main">
          <x14:cfRule type="expression" priority="4698792" id="{65E90E74-6BEF-4B00-BD5E-ECACFEBC225A}">
            <xm:f>$AF$4='Data entry'!$R52</xm:f>
            <x14:dxf>
              <fill>
                <patternFill>
                  <bgColor rgb="FFFF0000"/>
                </patternFill>
              </fill>
            </x14:dxf>
          </x14:cfRule>
          <xm:sqref>AD144:AP144</xm:sqref>
        </x14:conditionalFormatting>
        <x14:conditionalFormatting xmlns:xm="http://schemas.microsoft.com/office/excel/2006/main">
          <x14:cfRule type="expression" priority="4698793" id="{56B519D7-E083-4811-B42B-D6CB10D44BB3}">
            <xm:f>$AF$4='Data entry'!$R52</xm:f>
            <x14:dxf>
              <fill>
                <patternFill>
                  <bgColor rgb="FFFFFF00"/>
                </patternFill>
              </fill>
            </x14:dxf>
          </x14:cfRule>
          <xm:sqref>R143:AF143</xm:sqref>
        </x14:conditionalFormatting>
        <x14:conditionalFormatting xmlns:xm="http://schemas.microsoft.com/office/excel/2006/main">
          <x14:cfRule type="expression" priority="4698794" id="{889682B6-BF9B-414B-86B7-1C802156B058}">
            <xm:f>$AG$4='Data entry'!$R52</xm:f>
            <x14:dxf>
              <fill>
                <patternFill>
                  <bgColor rgb="FFFF0000"/>
                </patternFill>
              </fill>
            </x14:dxf>
          </x14:cfRule>
          <xm:sqref>AE144:AQ144</xm:sqref>
        </x14:conditionalFormatting>
        <x14:conditionalFormatting xmlns:xm="http://schemas.microsoft.com/office/excel/2006/main">
          <x14:cfRule type="expression" priority="4698795" id="{19913D88-1940-4CB0-B29C-D46D60833BD5}">
            <xm:f>$AG$4='Data entry'!$R52</xm:f>
            <x14:dxf>
              <fill>
                <patternFill>
                  <bgColor rgb="FFFFFF00"/>
                </patternFill>
              </fill>
            </x14:dxf>
          </x14:cfRule>
          <xm:sqref>S143:AG143</xm:sqref>
        </x14:conditionalFormatting>
        <x14:conditionalFormatting xmlns:xm="http://schemas.microsoft.com/office/excel/2006/main">
          <x14:cfRule type="expression" priority="4698796" id="{3DD7B9A5-18A3-463F-BAD5-9796FC487328}">
            <xm:f>$AH$4='Data entry'!$R52</xm:f>
            <x14:dxf>
              <fill>
                <patternFill>
                  <bgColor rgb="FFFF0000"/>
                </patternFill>
              </fill>
            </x14:dxf>
          </x14:cfRule>
          <xm:sqref>AF144:AR144</xm:sqref>
        </x14:conditionalFormatting>
        <x14:conditionalFormatting xmlns:xm="http://schemas.microsoft.com/office/excel/2006/main">
          <x14:cfRule type="expression" priority="4698797" id="{31005CF4-5608-496E-91EB-F7F505046C80}">
            <xm:f>$AH$4='Data entry'!$R52</xm:f>
            <x14:dxf>
              <fill>
                <patternFill>
                  <bgColor rgb="FFFFFF00"/>
                </patternFill>
              </fill>
            </x14:dxf>
          </x14:cfRule>
          <xm:sqref>T143:AH143</xm:sqref>
        </x14:conditionalFormatting>
        <x14:conditionalFormatting xmlns:xm="http://schemas.microsoft.com/office/excel/2006/main">
          <x14:cfRule type="expression" priority="4698798" id="{CD14F654-5B7A-444F-8FC1-7DD71E76E475}">
            <xm:f>$AI$4='Data entry'!$R52</xm:f>
            <x14:dxf>
              <fill>
                <patternFill>
                  <bgColor rgb="FFFF0000"/>
                </patternFill>
              </fill>
            </x14:dxf>
          </x14:cfRule>
          <xm:sqref>AG144:AS144</xm:sqref>
        </x14:conditionalFormatting>
        <x14:conditionalFormatting xmlns:xm="http://schemas.microsoft.com/office/excel/2006/main">
          <x14:cfRule type="expression" priority="4698799" id="{0E4E448C-6C46-4285-B877-A61A90294385}">
            <xm:f>$AI$4='Data entry'!$R52</xm:f>
            <x14:dxf>
              <fill>
                <patternFill>
                  <bgColor rgb="FFFFFF00"/>
                </patternFill>
              </fill>
            </x14:dxf>
          </x14:cfRule>
          <xm:sqref>U143:AI143</xm:sqref>
        </x14:conditionalFormatting>
        <x14:conditionalFormatting xmlns:xm="http://schemas.microsoft.com/office/excel/2006/main">
          <x14:cfRule type="expression" priority="4698800" id="{B1C1818F-791C-403D-BE73-6F6E9DC6A16D}">
            <xm:f>$AJ$4='Data entry'!$R52</xm:f>
            <x14:dxf>
              <fill>
                <patternFill>
                  <bgColor rgb="FFFF0000"/>
                </patternFill>
              </fill>
            </x14:dxf>
          </x14:cfRule>
          <xm:sqref>AH144:AT144</xm:sqref>
        </x14:conditionalFormatting>
        <x14:conditionalFormatting xmlns:xm="http://schemas.microsoft.com/office/excel/2006/main">
          <x14:cfRule type="expression" priority="4698801" id="{A1237792-221B-431B-B8A7-E9A64DA46D93}">
            <xm:f>$AJ$4='Data entry'!$R52</xm:f>
            <x14:dxf>
              <fill>
                <patternFill>
                  <bgColor rgb="FFFFFF00"/>
                </patternFill>
              </fill>
            </x14:dxf>
          </x14:cfRule>
          <xm:sqref>V143:AJ143</xm:sqref>
        </x14:conditionalFormatting>
        <x14:conditionalFormatting xmlns:xm="http://schemas.microsoft.com/office/excel/2006/main">
          <x14:cfRule type="expression" priority="4698802" id="{617DC2AF-C7A3-4724-8EA3-17DEFEDC8949}">
            <xm:f>$AK$4='Data entry'!$R52</xm:f>
            <x14:dxf>
              <fill>
                <patternFill>
                  <bgColor rgb="FFFF0000"/>
                </patternFill>
              </fill>
            </x14:dxf>
          </x14:cfRule>
          <xm:sqref>AI144:AU144</xm:sqref>
        </x14:conditionalFormatting>
        <x14:conditionalFormatting xmlns:xm="http://schemas.microsoft.com/office/excel/2006/main">
          <x14:cfRule type="expression" priority="4698803" id="{AA72317D-37B1-48EB-A28B-BF2AC8DC4519}">
            <xm:f>$AK$4='Data entry'!$R52</xm:f>
            <x14:dxf>
              <fill>
                <patternFill>
                  <bgColor rgb="FFFFFF00"/>
                </patternFill>
              </fill>
            </x14:dxf>
          </x14:cfRule>
          <xm:sqref>W143:AK143</xm:sqref>
        </x14:conditionalFormatting>
        <x14:conditionalFormatting xmlns:xm="http://schemas.microsoft.com/office/excel/2006/main">
          <x14:cfRule type="expression" priority="4698804" id="{6CA9FB7A-20EA-4D3A-B74C-A001F4BE810D}">
            <xm:f>$AL$4='Data entry'!$R52</xm:f>
            <x14:dxf>
              <fill>
                <patternFill>
                  <bgColor rgb="FFFF0000"/>
                </patternFill>
              </fill>
            </x14:dxf>
          </x14:cfRule>
          <xm:sqref>AJ144:AV144</xm:sqref>
        </x14:conditionalFormatting>
        <x14:conditionalFormatting xmlns:xm="http://schemas.microsoft.com/office/excel/2006/main">
          <x14:cfRule type="expression" priority="4698805" id="{81A75DAA-573F-4EF3-A640-1B992C18BEA0}">
            <xm:f>$AL$4='Data entry'!$R52</xm:f>
            <x14:dxf>
              <fill>
                <patternFill>
                  <bgColor rgb="FFFFFF00"/>
                </patternFill>
              </fill>
            </x14:dxf>
          </x14:cfRule>
          <xm:sqref>X143:AL143</xm:sqref>
        </x14:conditionalFormatting>
        <x14:conditionalFormatting xmlns:xm="http://schemas.microsoft.com/office/excel/2006/main">
          <x14:cfRule type="expression" priority="4698806" id="{3D44713E-4ABA-4CCD-9DF4-5513A9FB5E1E}">
            <xm:f>$AM$4='Data entry'!$R52</xm:f>
            <x14:dxf>
              <fill>
                <patternFill>
                  <bgColor rgb="FFFF0000"/>
                </patternFill>
              </fill>
            </x14:dxf>
          </x14:cfRule>
          <xm:sqref>AK144:AW144</xm:sqref>
        </x14:conditionalFormatting>
        <x14:conditionalFormatting xmlns:xm="http://schemas.microsoft.com/office/excel/2006/main">
          <x14:cfRule type="expression" priority="4698807" id="{05A26B51-72A7-4423-822F-2BDBC28275D0}">
            <xm:f>$AM$4='Data entry'!$R52</xm:f>
            <x14:dxf>
              <fill>
                <patternFill>
                  <bgColor rgb="FFFFFF00"/>
                </patternFill>
              </fill>
            </x14:dxf>
          </x14:cfRule>
          <xm:sqref>Y143:AM143</xm:sqref>
        </x14:conditionalFormatting>
        <x14:conditionalFormatting xmlns:xm="http://schemas.microsoft.com/office/excel/2006/main">
          <x14:cfRule type="expression" priority="4698808" id="{B8A20675-6230-4694-A7F6-6B3DC7142773}">
            <xm:f>$AN$4='Data entry'!$R52</xm:f>
            <x14:dxf>
              <fill>
                <patternFill>
                  <bgColor rgb="FFFF0000"/>
                </patternFill>
              </fill>
            </x14:dxf>
          </x14:cfRule>
          <xm:sqref>AL144:AX144</xm:sqref>
        </x14:conditionalFormatting>
        <x14:conditionalFormatting xmlns:xm="http://schemas.microsoft.com/office/excel/2006/main">
          <x14:cfRule type="expression" priority="4698809" id="{8421181C-7450-42E9-BC1D-065CCFCA960E}">
            <xm:f>$AN$4='Data entry'!$R52</xm:f>
            <x14:dxf>
              <fill>
                <patternFill>
                  <bgColor rgb="FFFFFF00"/>
                </patternFill>
              </fill>
            </x14:dxf>
          </x14:cfRule>
          <xm:sqref>Z143:AN143</xm:sqref>
        </x14:conditionalFormatting>
        <x14:conditionalFormatting xmlns:xm="http://schemas.microsoft.com/office/excel/2006/main">
          <x14:cfRule type="expression" priority="4698810" id="{067FE4BD-6EF4-4684-B6E0-35AB2F267EE7}">
            <xm:f>$AO$4='Data entry'!$R52</xm:f>
            <x14:dxf>
              <fill>
                <patternFill>
                  <bgColor rgb="FFFF0000"/>
                </patternFill>
              </fill>
            </x14:dxf>
          </x14:cfRule>
          <xm:sqref>AM144:AY144</xm:sqref>
        </x14:conditionalFormatting>
        <x14:conditionalFormatting xmlns:xm="http://schemas.microsoft.com/office/excel/2006/main">
          <x14:cfRule type="expression" priority="4698811" id="{F7653492-88D1-47AC-8BA3-0CCE65C3C2AB}">
            <xm:f>$AO$4='Data entry'!$R52</xm:f>
            <x14:dxf>
              <fill>
                <patternFill>
                  <bgColor rgb="FFFFFF00"/>
                </patternFill>
              </fill>
            </x14:dxf>
          </x14:cfRule>
          <xm:sqref>AA143:AO143</xm:sqref>
        </x14:conditionalFormatting>
        <x14:conditionalFormatting xmlns:xm="http://schemas.microsoft.com/office/excel/2006/main">
          <x14:cfRule type="expression" priority="4698812" id="{207A5E5D-B322-482E-9193-1D7318138358}">
            <xm:f>$AP$4='Data entry'!$R52</xm:f>
            <x14:dxf>
              <fill>
                <patternFill>
                  <bgColor rgb="FFFF0000"/>
                </patternFill>
              </fill>
            </x14:dxf>
          </x14:cfRule>
          <xm:sqref>AN144:AZ144</xm:sqref>
        </x14:conditionalFormatting>
        <x14:conditionalFormatting xmlns:xm="http://schemas.microsoft.com/office/excel/2006/main">
          <x14:cfRule type="expression" priority="4698813" id="{21DA638D-4CA0-4067-BFF1-240CE1A0261B}">
            <xm:f>$AP$4='Data entry'!$R52</xm:f>
            <x14:dxf>
              <fill>
                <patternFill>
                  <bgColor rgb="FFFFFF00"/>
                </patternFill>
              </fill>
            </x14:dxf>
          </x14:cfRule>
          <xm:sqref>AB143:AP143</xm:sqref>
        </x14:conditionalFormatting>
        <x14:conditionalFormatting xmlns:xm="http://schemas.microsoft.com/office/excel/2006/main">
          <x14:cfRule type="expression" priority="4698814" id="{71963D96-A42A-4B90-BFC7-6D83D37766EF}">
            <xm:f>$AQ$4='Data entry'!$R52</xm:f>
            <x14:dxf>
              <fill>
                <patternFill>
                  <bgColor rgb="FFFF0000"/>
                </patternFill>
              </fill>
            </x14:dxf>
          </x14:cfRule>
          <xm:sqref>AO144:BA144</xm:sqref>
        </x14:conditionalFormatting>
        <x14:conditionalFormatting xmlns:xm="http://schemas.microsoft.com/office/excel/2006/main">
          <x14:cfRule type="expression" priority="4698815" id="{74952595-84B6-484F-8FF6-FCC1F337DF4D}">
            <xm:f>$AQ$4='Data entry'!$R52</xm:f>
            <x14:dxf>
              <fill>
                <patternFill>
                  <bgColor rgb="FFFFFF00"/>
                </patternFill>
              </fill>
            </x14:dxf>
          </x14:cfRule>
          <xm:sqref>AC143:AQ143</xm:sqref>
        </x14:conditionalFormatting>
        <x14:conditionalFormatting xmlns:xm="http://schemas.microsoft.com/office/excel/2006/main">
          <x14:cfRule type="expression" priority="4698816" id="{8AC9C4B9-0A34-4BC0-B0F7-CA89434C4911}">
            <xm:f>$P$4='Data entry'!$R52</xm:f>
            <x14:dxf>
              <fill>
                <patternFill>
                  <bgColor rgb="FFFFFF00"/>
                </patternFill>
              </fill>
            </x14:dxf>
          </x14:cfRule>
          <xm:sqref>C143:P143</xm:sqref>
        </x14:conditionalFormatting>
        <x14:conditionalFormatting xmlns:xm="http://schemas.microsoft.com/office/excel/2006/main">
          <x14:cfRule type="expression" priority="4698817" id="{0A726775-ABFD-4F22-967C-1A4D87BA3751}">
            <xm:f>$Q$4='Data entry'!$R52</xm:f>
            <x14:dxf>
              <fill>
                <patternFill>
                  <bgColor rgb="FFFFFF00"/>
                </patternFill>
              </fill>
            </x14:dxf>
          </x14:cfRule>
          <xm:sqref>C143:Q143</xm:sqref>
        </x14:conditionalFormatting>
        <x14:conditionalFormatting xmlns:xm="http://schemas.microsoft.com/office/excel/2006/main">
          <x14:cfRule type="expression" priority="4698818" id="{3A8414BD-262C-43B5-86EE-FA6901D00453}">
            <xm:f>$Q$4='Data entry'!$R52</xm:f>
            <x14:dxf>
              <fill>
                <patternFill>
                  <bgColor rgb="FFFF0000"/>
                </patternFill>
              </fill>
            </x14:dxf>
          </x14:cfRule>
          <xm:sqref>O144:AA144</xm:sqref>
        </x14:conditionalFormatting>
        <x14:conditionalFormatting xmlns:xm="http://schemas.microsoft.com/office/excel/2006/main">
          <x14:cfRule type="expression" priority="4698819" id="{B8B5501D-F3EF-4449-9306-F652960C65F4}">
            <xm:f>$R$4='Data entry'!$R52</xm:f>
            <x14:dxf>
              <fill>
                <patternFill>
                  <bgColor rgb="FFFF0000"/>
                </patternFill>
              </fill>
            </x14:dxf>
          </x14:cfRule>
          <xm:sqref>P144:AB144</xm:sqref>
        </x14:conditionalFormatting>
        <x14:conditionalFormatting xmlns:xm="http://schemas.microsoft.com/office/excel/2006/main">
          <x14:cfRule type="expression" priority="4698820" id="{5D070DEC-B82E-4D87-B907-A3E5AB836991}">
            <xm:f>$R$4='Data entry'!$R52</xm:f>
            <x14:dxf>
              <fill>
                <patternFill>
                  <bgColor rgb="FFFFFF00"/>
                </patternFill>
              </fill>
            </x14:dxf>
          </x14:cfRule>
          <xm:sqref>D143:R143</xm:sqref>
        </x14:conditionalFormatting>
        <x14:conditionalFormatting xmlns:xm="http://schemas.microsoft.com/office/excel/2006/main">
          <x14:cfRule type="expression" priority="4698821" id="{E4D16A10-F818-4664-9FB2-F0E839824D4B}">
            <xm:f>$S$4='Data entry'!$R52</xm:f>
            <x14:dxf>
              <fill>
                <patternFill>
                  <bgColor rgb="FFFF0000"/>
                </patternFill>
              </fill>
            </x14:dxf>
          </x14:cfRule>
          <xm:sqref>Q144:AC144</xm:sqref>
        </x14:conditionalFormatting>
        <x14:conditionalFormatting xmlns:xm="http://schemas.microsoft.com/office/excel/2006/main">
          <x14:cfRule type="expression" priority="4698822" id="{1A9F9911-A3E9-4730-AFBE-AB8C596545CA}">
            <xm:f>$S$4='Data entry'!$R52</xm:f>
            <x14:dxf>
              <fill>
                <patternFill>
                  <bgColor rgb="FFFFFF00"/>
                </patternFill>
              </fill>
            </x14:dxf>
          </x14:cfRule>
          <xm:sqref>E143:S143</xm:sqref>
        </x14:conditionalFormatting>
        <x14:conditionalFormatting xmlns:xm="http://schemas.microsoft.com/office/excel/2006/main">
          <x14:cfRule type="expression" priority="4698823" id="{8BB5CD1B-B2AC-442A-9550-26DE19A62D22}">
            <xm:f>$T$4='Data entry'!$R52</xm:f>
            <x14:dxf>
              <fill>
                <patternFill>
                  <bgColor rgb="FFFF0000"/>
                </patternFill>
              </fill>
            </x14:dxf>
          </x14:cfRule>
          <xm:sqref>R144:AD144</xm:sqref>
        </x14:conditionalFormatting>
        <x14:conditionalFormatting xmlns:xm="http://schemas.microsoft.com/office/excel/2006/main">
          <x14:cfRule type="expression" priority="4698824" id="{E7B59C69-7921-4049-84A1-8B3E5F7B0598}">
            <xm:f>$T$4='Data entry'!$R52</xm:f>
            <x14:dxf>
              <fill>
                <patternFill>
                  <bgColor rgb="FFFFFF00"/>
                </patternFill>
              </fill>
            </x14:dxf>
          </x14:cfRule>
          <xm:sqref>F143:T143</xm:sqref>
        </x14:conditionalFormatting>
        <x14:conditionalFormatting xmlns:xm="http://schemas.microsoft.com/office/excel/2006/main">
          <x14:cfRule type="expression" priority="4698825" id="{238C09E5-7A3D-439D-949F-A7733073F9A2}">
            <xm:f>$U$4='Data entry'!$R52</xm:f>
            <x14:dxf>
              <fill>
                <patternFill>
                  <bgColor rgb="FFFFFF00"/>
                </patternFill>
              </fill>
            </x14:dxf>
          </x14:cfRule>
          <xm:sqref>G143:U143</xm:sqref>
        </x14:conditionalFormatting>
        <x14:conditionalFormatting xmlns:xm="http://schemas.microsoft.com/office/excel/2006/main">
          <x14:cfRule type="expression" priority="4698826" id="{DE4D4432-0A19-452A-AF14-2873FE4DF411}">
            <xm:f>$AR$4='Data entry'!$R52</xm:f>
            <x14:dxf>
              <fill>
                <patternFill>
                  <bgColor rgb="FFFF0000"/>
                </patternFill>
              </fill>
            </x14:dxf>
          </x14:cfRule>
          <xm:sqref>AP144:BB144</xm:sqref>
        </x14:conditionalFormatting>
        <x14:conditionalFormatting xmlns:xm="http://schemas.microsoft.com/office/excel/2006/main">
          <x14:cfRule type="expression" priority="4698827" id="{90D7E1FF-542D-40C8-9BD5-DFEB4CDD256F}">
            <xm:f>$AR$4='Data entry'!$R52</xm:f>
            <x14:dxf>
              <fill>
                <patternFill>
                  <bgColor rgb="FFFFFF00"/>
                </patternFill>
              </fill>
            </x14:dxf>
          </x14:cfRule>
          <xm:sqref>AD143:AR143</xm:sqref>
        </x14:conditionalFormatting>
        <x14:conditionalFormatting xmlns:xm="http://schemas.microsoft.com/office/excel/2006/main">
          <x14:cfRule type="expression" priority="4698828" id="{0EBB5305-4A4A-4205-A1FF-11160070CBC3}">
            <xm:f>$AS$4='Data entry'!$R52</xm:f>
            <x14:dxf>
              <fill>
                <patternFill>
                  <bgColor rgb="FFFF0000"/>
                </patternFill>
              </fill>
            </x14:dxf>
          </x14:cfRule>
          <xm:sqref>AQ144:BC144</xm:sqref>
        </x14:conditionalFormatting>
        <x14:conditionalFormatting xmlns:xm="http://schemas.microsoft.com/office/excel/2006/main">
          <x14:cfRule type="expression" priority="4698829" id="{AC8EB30C-4253-4CE1-820E-1801F6D8D35B}">
            <xm:f>$AS$4='Data entry'!$R52</xm:f>
            <x14:dxf>
              <fill>
                <patternFill>
                  <bgColor rgb="FFFFFF00"/>
                </patternFill>
              </fill>
            </x14:dxf>
          </x14:cfRule>
          <xm:sqref>AE143:AS143</xm:sqref>
        </x14:conditionalFormatting>
        <x14:conditionalFormatting xmlns:xm="http://schemas.microsoft.com/office/excel/2006/main">
          <x14:cfRule type="expression" priority="4698830" id="{E11744C1-7201-4272-A1B0-945490B42425}">
            <xm:f>$AT$4='Data entry'!$R52</xm:f>
            <x14:dxf>
              <fill>
                <patternFill>
                  <bgColor rgb="FFFF0000"/>
                </patternFill>
              </fill>
            </x14:dxf>
          </x14:cfRule>
          <xm:sqref>AR144:BD144</xm:sqref>
        </x14:conditionalFormatting>
        <x14:conditionalFormatting xmlns:xm="http://schemas.microsoft.com/office/excel/2006/main">
          <x14:cfRule type="expression" priority="4698831" id="{5EE2823B-E955-4EA7-B99C-0B1F77B57A69}">
            <xm:f>$AT$4='Data entry'!$R52</xm:f>
            <x14:dxf>
              <fill>
                <patternFill>
                  <bgColor rgb="FFFFFF00"/>
                </patternFill>
              </fill>
            </x14:dxf>
          </x14:cfRule>
          <xm:sqref>AF143:AT143</xm:sqref>
        </x14:conditionalFormatting>
        <x14:conditionalFormatting xmlns:xm="http://schemas.microsoft.com/office/excel/2006/main">
          <x14:cfRule type="expression" priority="4698832" id="{5737DC63-3262-4B34-900C-2AAEB255FCBA}">
            <xm:f>$AU$4='Data entry'!$R52</xm:f>
            <x14:dxf>
              <fill>
                <patternFill>
                  <bgColor rgb="FFFF0000"/>
                </patternFill>
              </fill>
            </x14:dxf>
          </x14:cfRule>
          <xm:sqref>AS144:BE144</xm:sqref>
        </x14:conditionalFormatting>
        <x14:conditionalFormatting xmlns:xm="http://schemas.microsoft.com/office/excel/2006/main">
          <x14:cfRule type="expression" priority="4698833" id="{2B5C1F1B-3C3D-4CA3-BC64-0E98422075B6}">
            <xm:f>$AU$4='Data entry'!$R52</xm:f>
            <x14:dxf>
              <fill>
                <patternFill>
                  <bgColor rgb="FFFFFF00"/>
                </patternFill>
              </fill>
            </x14:dxf>
          </x14:cfRule>
          <xm:sqref>AG143:AU143</xm:sqref>
        </x14:conditionalFormatting>
        <x14:conditionalFormatting xmlns:xm="http://schemas.microsoft.com/office/excel/2006/main">
          <x14:cfRule type="expression" priority="4698834" id="{B87A1285-B003-4855-8F4B-53C391BA10E6}">
            <xm:f>$AV$4='Data entry'!$R52</xm:f>
            <x14:dxf>
              <fill>
                <patternFill>
                  <bgColor rgb="FFFF0000"/>
                </patternFill>
              </fill>
            </x14:dxf>
          </x14:cfRule>
          <xm:sqref>AT144:BF144</xm:sqref>
        </x14:conditionalFormatting>
        <x14:conditionalFormatting xmlns:xm="http://schemas.microsoft.com/office/excel/2006/main">
          <x14:cfRule type="expression" priority="4698835" id="{338EE31C-78DB-4818-B837-0380F9E457FA}">
            <xm:f>$AV$4='Data entry'!$R52</xm:f>
            <x14:dxf>
              <fill>
                <patternFill>
                  <bgColor rgb="FFFFFF00"/>
                </patternFill>
              </fill>
            </x14:dxf>
          </x14:cfRule>
          <xm:sqref>AH143:AV143</xm:sqref>
        </x14:conditionalFormatting>
        <x14:conditionalFormatting xmlns:xm="http://schemas.microsoft.com/office/excel/2006/main">
          <x14:cfRule type="expression" priority="4698836" id="{5C40EA66-2801-4C91-B885-BF6A1ECFC35C}">
            <xm:f>$AW$4='Data entry'!$R52</xm:f>
            <x14:dxf>
              <fill>
                <patternFill>
                  <bgColor rgb="FFFF0000"/>
                </patternFill>
              </fill>
            </x14:dxf>
          </x14:cfRule>
          <xm:sqref>AU144:BG144</xm:sqref>
        </x14:conditionalFormatting>
        <x14:conditionalFormatting xmlns:xm="http://schemas.microsoft.com/office/excel/2006/main">
          <x14:cfRule type="expression" priority="4698837" id="{51BCD5CE-DF86-4C2F-8A81-DDA1EFD6C8F7}">
            <xm:f>$AW$4='Data entry'!$R52</xm:f>
            <x14:dxf>
              <fill>
                <patternFill>
                  <bgColor rgb="FFFFFF00"/>
                </patternFill>
              </fill>
            </x14:dxf>
          </x14:cfRule>
          <xm:sqref>AI143:AW143</xm:sqref>
        </x14:conditionalFormatting>
        <x14:conditionalFormatting xmlns:xm="http://schemas.microsoft.com/office/excel/2006/main">
          <x14:cfRule type="expression" priority="4698838" id="{DC2ED5A0-8917-4877-8CD3-9DF9BE5993C9}">
            <xm:f>$AX$4='Data entry'!$R52</xm:f>
            <x14:dxf>
              <fill>
                <patternFill>
                  <bgColor rgb="FFFF0000"/>
                </patternFill>
              </fill>
            </x14:dxf>
          </x14:cfRule>
          <xm:sqref>AV144:BH144</xm:sqref>
        </x14:conditionalFormatting>
        <x14:conditionalFormatting xmlns:xm="http://schemas.microsoft.com/office/excel/2006/main">
          <x14:cfRule type="expression" priority="4698839" id="{59B31869-20F9-45BD-BC80-0A6C8945CE2C}">
            <xm:f>$AX$4='Data entry'!$R52</xm:f>
            <x14:dxf>
              <fill>
                <patternFill>
                  <bgColor rgb="FFFFFF00"/>
                </patternFill>
              </fill>
            </x14:dxf>
          </x14:cfRule>
          <xm:sqref>AJ143:AX143</xm:sqref>
        </x14:conditionalFormatting>
        <x14:conditionalFormatting xmlns:xm="http://schemas.microsoft.com/office/excel/2006/main">
          <x14:cfRule type="expression" priority="4698840" id="{D4208FA0-4262-4037-934C-6D0742B2AD8E}">
            <xm:f>$AY$4='Data entry'!$R52</xm:f>
            <x14:dxf>
              <fill>
                <patternFill>
                  <bgColor rgb="FFFF0000"/>
                </patternFill>
              </fill>
            </x14:dxf>
          </x14:cfRule>
          <xm:sqref>AW144:BI144</xm:sqref>
        </x14:conditionalFormatting>
        <x14:conditionalFormatting xmlns:xm="http://schemas.microsoft.com/office/excel/2006/main">
          <x14:cfRule type="expression" priority="4698841" id="{04D6E423-18C7-42B2-A67D-F49D8E62B571}">
            <xm:f>$AY$4='Data entry'!$R52</xm:f>
            <x14:dxf>
              <fill>
                <patternFill>
                  <bgColor rgb="FFFFFF00"/>
                </patternFill>
              </fill>
            </x14:dxf>
          </x14:cfRule>
          <xm:sqref>AK143:AY143</xm:sqref>
        </x14:conditionalFormatting>
        <x14:conditionalFormatting xmlns:xm="http://schemas.microsoft.com/office/excel/2006/main">
          <x14:cfRule type="expression" priority="4698842" id="{A931C203-6E4B-4EBD-A2F4-1876881F48D4}">
            <xm:f>$AZ$4='Data entry'!$R52</xm:f>
            <x14:dxf>
              <fill>
                <patternFill>
                  <bgColor rgb="FFFF0000"/>
                </patternFill>
              </fill>
            </x14:dxf>
          </x14:cfRule>
          <xm:sqref>AX144:BJ144</xm:sqref>
        </x14:conditionalFormatting>
        <x14:conditionalFormatting xmlns:xm="http://schemas.microsoft.com/office/excel/2006/main">
          <x14:cfRule type="expression" priority="4698843" id="{092D9100-E652-40FE-8CAA-720DC0681250}">
            <xm:f>$AZ$4='Data entry'!$R52</xm:f>
            <x14:dxf>
              <fill>
                <patternFill>
                  <bgColor rgb="FFFFFF00"/>
                </patternFill>
              </fill>
            </x14:dxf>
          </x14:cfRule>
          <xm:sqref>AL143:AZ143</xm:sqref>
        </x14:conditionalFormatting>
        <x14:conditionalFormatting xmlns:xm="http://schemas.microsoft.com/office/excel/2006/main">
          <x14:cfRule type="expression" priority="4698844" id="{A3C7E6BE-A225-483C-A983-A915DB662C52}">
            <xm:f>$BA$4='Data entry'!$R52</xm:f>
            <x14:dxf>
              <fill>
                <patternFill>
                  <bgColor rgb="FFFF0000"/>
                </patternFill>
              </fill>
            </x14:dxf>
          </x14:cfRule>
          <xm:sqref>AY144:BK144</xm:sqref>
        </x14:conditionalFormatting>
        <x14:conditionalFormatting xmlns:xm="http://schemas.microsoft.com/office/excel/2006/main">
          <x14:cfRule type="expression" priority="4698845" id="{F5CF569A-8AFA-4CFF-8BD3-F04D8927A99F}">
            <xm:f>$BA$4='Data entry'!$R52</xm:f>
            <x14:dxf>
              <fill>
                <patternFill>
                  <bgColor rgb="FFFFFF00"/>
                </patternFill>
              </fill>
            </x14:dxf>
          </x14:cfRule>
          <xm:sqref>AM143:BA143</xm:sqref>
        </x14:conditionalFormatting>
        <x14:conditionalFormatting xmlns:xm="http://schemas.microsoft.com/office/excel/2006/main">
          <x14:cfRule type="expression" priority="4698846" id="{E4DAC94A-7983-4BFB-A87B-45B58561841A}">
            <xm:f>$BB$4='Data entry'!$R52</xm:f>
            <x14:dxf>
              <fill>
                <patternFill>
                  <bgColor rgb="FFFF0000"/>
                </patternFill>
              </fill>
            </x14:dxf>
          </x14:cfRule>
          <xm:sqref>AZ144:BL144</xm:sqref>
        </x14:conditionalFormatting>
        <x14:conditionalFormatting xmlns:xm="http://schemas.microsoft.com/office/excel/2006/main">
          <x14:cfRule type="expression" priority="4698847" id="{E63849C5-F39B-4B0E-8F8A-B532EDF2CBAE}">
            <xm:f>$BB$4='Data entry'!$R52</xm:f>
            <x14:dxf>
              <fill>
                <patternFill>
                  <bgColor rgb="FFFFFF00"/>
                </patternFill>
              </fill>
            </x14:dxf>
          </x14:cfRule>
          <xm:sqref>AN143:BB143</xm:sqref>
        </x14:conditionalFormatting>
        <x14:conditionalFormatting xmlns:xm="http://schemas.microsoft.com/office/excel/2006/main">
          <x14:cfRule type="expression" priority="4698848" id="{4FDC32D3-C1F5-455D-9AA4-A03359B72526}">
            <xm:f>$BC$4='Data entry'!$R52</xm:f>
            <x14:dxf>
              <fill>
                <patternFill>
                  <bgColor rgb="FFFF0000"/>
                </patternFill>
              </fill>
            </x14:dxf>
          </x14:cfRule>
          <xm:sqref>BA144:BM144</xm:sqref>
        </x14:conditionalFormatting>
        <x14:conditionalFormatting xmlns:xm="http://schemas.microsoft.com/office/excel/2006/main">
          <x14:cfRule type="expression" priority="4698849" id="{5F0D0C60-B233-4C56-B05D-98C99990877F}">
            <xm:f>$BC$4='Data entry'!$R52</xm:f>
            <x14:dxf>
              <fill>
                <patternFill>
                  <bgColor rgb="FFFFFF00"/>
                </patternFill>
              </fill>
            </x14:dxf>
          </x14:cfRule>
          <xm:sqref>AO143:BC143</xm:sqref>
        </x14:conditionalFormatting>
        <x14:conditionalFormatting xmlns:xm="http://schemas.microsoft.com/office/excel/2006/main">
          <x14:cfRule type="expression" priority="4698850" id="{9EBCB60F-8135-43B6-A0F3-548D4092CC98}">
            <xm:f>$BD$4='Data entry'!$R52</xm:f>
            <x14:dxf>
              <fill>
                <patternFill>
                  <bgColor rgb="FFFF0000"/>
                </patternFill>
              </fill>
            </x14:dxf>
          </x14:cfRule>
          <xm:sqref>BB144:BN144</xm:sqref>
        </x14:conditionalFormatting>
        <x14:conditionalFormatting xmlns:xm="http://schemas.microsoft.com/office/excel/2006/main">
          <x14:cfRule type="expression" priority="4698851" id="{961AF346-4A73-41ED-9A8D-27D431B09C05}">
            <xm:f>$BD$4='Data entry'!$R52</xm:f>
            <x14:dxf>
              <fill>
                <patternFill>
                  <bgColor rgb="FFFFFF00"/>
                </patternFill>
              </fill>
            </x14:dxf>
          </x14:cfRule>
          <xm:sqref>AP143:BD143</xm:sqref>
        </x14:conditionalFormatting>
        <x14:conditionalFormatting xmlns:xm="http://schemas.microsoft.com/office/excel/2006/main">
          <x14:cfRule type="expression" priority="4698852" id="{5A887026-27CD-4F8C-8BA6-1E92704C1CA6}">
            <xm:f>$BE$4='Data entry'!$R52</xm:f>
            <x14:dxf>
              <fill>
                <patternFill>
                  <bgColor rgb="FFFF0000"/>
                </patternFill>
              </fill>
            </x14:dxf>
          </x14:cfRule>
          <xm:sqref>BC144:BO144</xm:sqref>
        </x14:conditionalFormatting>
        <x14:conditionalFormatting xmlns:xm="http://schemas.microsoft.com/office/excel/2006/main">
          <x14:cfRule type="expression" priority="4698853" id="{7F46217B-A1E9-4515-B31E-E756FCD7C6D9}">
            <xm:f>$BE$4='Data entry'!$R52</xm:f>
            <x14:dxf>
              <fill>
                <patternFill>
                  <bgColor rgb="FFFFFF00"/>
                </patternFill>
              </fill>
            </x14:dxf>
          </x14:cfRule>
          <xm:sqref>AP143:BE143</xm:sqref>
        </x14:conditionalFormatting>
        <x14:conditionalFormatting xmlns:xm="http://schemas.microsoft.com/office/excel/2006/main">
          <x14:cfRule type="expression" priority="4698854" id="{F4D9285C-8CA0-4EF1-943E-6A462D47CC77}">
            <xm:f>$BF$4='Data entry'!$R52</xm:f>
            <x14:dxf>
              <fill>
                <patternFill>
                  <bgColor rgb="FFFF0000"/>
                </patternFill>
              </fill>
            </x14:dxf>
          </x14:cfRule>
          <xm:sqref>BD144:BP144</xm:sqref>
        </x14:conditionalFormatting>
        <x14:conditionalFormatting xmlns:xm="http://schemas.microsoft.com/office/excel/2006/main">
          <x14:cfRule type="expression" priority="4698855" id="{B9E4407D-651D-4DC0-9D61-3271D62A65E9}">
            <xm:f>$BF$4='Data entry'!$R52</xm:f>
            <x14:dxf>
              <fill>
                <patternFill>
                  <bgColor rgb="FFFFFF00"/>
                </patternFill>
              </fill>
            </x14:dxf>
          </x14:cfRule>
          <xm:sqref>AR143:BF143</xm:sqref>
        </x14:conditionalFormatting>
        <x14:conditionalFormatting xmlns:xm="http://schemas.microsoft.com/office/excel/2006/main">
          <x14:cfRule type="expression" priority="4698856" id="{4CDC062F-DDFF-4556-B941-08F919727F69}">
            <xm:f>$BG$4='Data entry'!$R52</xm:f>
            <x14:dxf>
              <fill>
                <patternFill>
                  <bgColor rgb="FFFF0000"/>
                </patternFill>
              </fill>
            </x14:dxf>
          </x14:cfRule>
          <xm:sqref>BE144:BQ144</xm:sqref>
        </x14:conditionalFormatting>
        <x14:conditionalFormatting xmlns:xm="http://schemas.microsoft.com/office/excel/2006/main">
          <x14:cfRule type="expression" priority="4698857" id="{789184FA-9055-433B-8A1B-92C7ED59E81F}">
            <xm:f>$BG$4='Data entry'!$R52</xm:f>
            <x14:dxf>
              <fill>
                <patternFill>
                  <bgColor rgb="FFFFFF00"/>
                </patternFill>
              </fill>
            </x14:dxf>
          </x14:cfRule>
          <xm:sqref>AS143:BG143</xm:sqref>
        </x14:conditionalFormatting>
        <x14:conditionalFormatting xmlns:xm="http://schemas.microsoft.com/office/excel/2006/main">
          <x14:cfRule type="expression" priority="4698858" id="{58651E5C-09C9-46C1-B95C-E8A578A49E15}">
            <xm:f>$BH$4='Data entry'!$R52</xm:f>
            <x14:dxf>
              <fill>
                <patternFill>
                  <bgColor rgb="FFFFFF00"/>
                </patternFill>
              </fill>
            </x14:dxf>
          </x14:cfRule>
          <xm:sqref>AT143:BH143</xm:sqref>
        </x14:conditionalFormatting>
        <x14:conditionalFormatting xmlns:xm="http://schemas.microsoft.com/office/excel/2006/main">
          <x14:cfRule type="expression" priority="4698859" id="{97B30B86-8311-4DC0-A533-8C0D53F37839}">
            <xm:f>$BH$4='Data entry'!$R52</xm:f>
            <x14:dxf>
              <fill>
                <patternFill>
                  <bgColor rgb="FFFF0000"/>
                </patternFill>
              </fill>
            </x14:dxf>
          </x14:cfRule>
          <xm:sqref>BF144:BR144</xm:sqref>
        </x14:conditionalFormatting>
        <x14:conditionalFormatting xmlns:xm="http://schemas.microsoft.com/office/excel/2006/main">
          <x14:cfRule type="expression" priority="4698860" id="{78344C0C-5AEA-40B1-A20C-6D77DF58E1F5}">
            <xm:f>$BI$4='Data entry'!$R52</xm:f>
            <x14:dxf>
              <fill>
                <patternFill>
                  <bgColor rgb="FFFFFF00"/>
                </patternFill>
              </fill>
            </x14:dxf>
          </x14:cfRule>
          <xm:sqref>AU143:BI143</xm:sqref>
        </x14:conditionalFormatting>
        <x14:conditionalFormatting xmlns:xm="http://schemas.microsoft.com/office/excel/2006/main">
          <x14:cfRule type="expression" priority="4698861" id="{A9CE044F-482E-4F25-B28F-89ACC58502B1}">
            <xm:f>$BI$4='Data entry'!$R52</xm:f>
            <x14:dxf>
              <fill>
                <patternFill>
                  <bgColor rgb="FFFF0000"/>
                </patternFill>
              </fill>
            </x14:dxf>
          </x14:cfRule>
          <xm:sqref>BG144:BS144</xm:sqref>
        </x14:conditionalFormatting>
        <x14:conditionalFormatting xmlns:xm="http://schemas.microsoft.com/office/excel/2006/main">
          <x14:cfRule type="expression" priority="4698862" id="{F63BE0EB-3C71-4456-BEF0-11180AB7A8BB}">
            <xm:f>$BJ$4='Data entry'!$R52</xm:f>
            <x14:dxf>
              <fill>
                <patternFill>
                  <bgColor rgb="FFFFFF00"/>
                </patternFill>
              </fill>
            </x14:dxf>
          </x14:cfRule>
          <xm:sqref>AV143:BJ143</xm:sqref>
        </x14:conditionalFormatting>
        <x14:conditionalFormatting xmlns:xm="http://schemas.microsoft.com/office/excel/2006/main">
          <x14:cfRule type="expression" priority="4698863" id="{478A5DCB-1DAA-4497-A6CC-B4F01FB96D10}">
            <xm:f>$BJ$4='Data entry'!$R52</xm:f>
            <x14:dxf>
              <fill>
                <patternFill>
                  <bgColor rgb="FFFF0000"/>
                </patternFill>
              </fill>
            </x14:dxf>
          </x14:cfRule>
          <xm:sqref>BH144:BT144</xm:sqref>
        </x14:conditionalFormatting>
        <x14:conditionalFormatting xmlns:xm="http://schemas.microsoft.com/office/excel/2006/main">
          <x14:cfRule type="expression" priority="4698864" id="{CDE4AD5B-65A6-4FA4-9EC0-8D05F22312A9}">
            <xm:f>$BK$4='Data entry'!$R52</xm:f>
            <x14:dxf>
              <fill>
                <patternFill>
                  <bgColor rgb="FFFF0000"/>
                </patternFill>
              </fill>
            </x14:dxf>
          </x14:cfRule>
          <xm:sqref>BI144:BU144</xm:sqref>
        </x14:conditionalFormatting>
        <x14:conditionalFormatting xmlns:xm="http://schemas.microsoft.com/office/excel/2006/main">
          <x14:cfRule type="expression" priority="4698865" id="{AB32E790-6CD8-4D11-9A69-57D785FE4BBC}">
            <xm:f>$BK$4='Data entry'!$R52</xm:f>
            <x14:dxf>
              <fill>
                <patternFill>
                  <bgColor rgb="FFFFFF00"/>
                </patternFill>
              </fill>
            </x14:dxf>
          </x14:cfRule>
          <xm:sqref>AW143:BK143</xm:sqref>
        </x14:conditionalFormatting>
        <x14:conditionalFormatting xmlns:xm="http://schemas.microsoft.com/office/excel/2006/main">
          <x14:cfRule type="expression" priority="4698866" id="{99810EB9-805C-43D8-852A-EEECE7874CDB}">
            <xm:f>$BL$4='Data entry'!$R52</xm:f>
            <x14:dxf>
              <fill>
                <patternFill>
                  <bgColor rgb="FFFF0000"/>
                </patternFill>
              </fill>
            </x14:dxf>
          </x14:cfRule>
          <xm:sqref>BJ144:BV144</xm:sqref>
        </x14:conditionalFormatting>
        <x14:conditionalFormatting xmlns:xm="http://schemas.microsoft.com/office/excel/2006/main">
          <x14:cfRule type="expression" priority="4698867" id="{BF5F5475-4E46-479C-97A6-D5175F5D1803}">
            <xm:f>$BL$4='Data entry'!$R52</xm:f>
            <x14:dxf>
              <fill>
                <patternFill>
                  <bgColor rgb="FFFFFF00"/>
                </patternFill>
              </fill>
            </x14:dxf>
          </x14:cfRule>
          <xm:sqref>AX143:BL143</xm:sqref>
        </x14:conditionalFormatting>
        <x14:conditionalFormatting xmlns:xm="http://schemas.microsoft.com/office/excel/2006/main">
          <x14:cfRule type="expression" priority="4698868" id="{B86FDF2F-16C9-46B1-847E-7EA1A8A34B9D}">
            <xm:f>$BM$4='Data entry'!$R52</xm:f>
            <x14:dxf>
              <fill>
                <patternFill>
                  <bgColor rgb="FFFF0000"/>
                </patternFill>
              </fill>
            </x14:dxf>
          </x14:cfRule>
          <xm:sqref>BK144:BW144</xm:sqref>
        </x14:conditionalFormatting>
        <x14:conditionalFormatting xmlns:xm="http://schemas.microsoft.com/office/excel/2006/main">
          <x14:cfRule type="expression" priority="4698869" id="{72FD189F-4CED-400D-9FEF-21A328970A4D}">
            <xm:f>$BM$4='Data entry'!$R52</xm:f>
            <x14:dxf>
              <fill>
                <patternFill>
                  <bgColor rgb="FFFFFF00"/>
                </patternFill>
              </fill>
            </x14:dxf>
          </x14:cfRule>
          <xm:sqref>AY143:BM143</xm:sqref>
        </x14:conditionalFormatting>
        <x14:conditionalFormatting xmlns:xm="http://schemas.microsoft.com/office/excel/2006/main">
          <x14:cfRule type="expression" priority="4698870" id="{BBBBF859-D5A7-4F55-BFBF-8A77E3357590}">
            <xm:f>$BN$4='Data entry'!$R52</xm:f>
            <x14:dxf>
              <fill>
                <patternFill>
                  <bgColor rgb="FFFF0000"/>
                </patternFill>
              </fill>
            </x14:dxf>
          </x14:cfRule>
          <xm:sqref>BL144:BX144</xm:sqref>
        </x14:conditionalFormatting>
        <x14:conditionalFormatting xmlns:xm="http://schemas.microsoft.com/office/excel/2006/main">
          <x14:cfRule type="expression" priority="4698871" id="{50CB1D75-0FD5-4D24-92B1-E8A41DC6575C}">
            <xm:f>$BN$4='Data entry'!$R52</xm:f>
            <x14:dxf>
              <fill>
                <patternFill>
                  <bgColor rgb="FFFFFF00"/>
                </patternFill>
              </fill>
            </x14:dxf>
          </x14:cfRule>
          <xm:sqref>AZ143:BN143</xm:sqref>
        </x14:conditionalFormatting>
        <x14:conditionalFormatting xmlns:xm="http://schemas.microsoft.com/office/excel/2006/main">
          <x14:cfRule type="expression" priority="4698872" id="{9EF3226D-E8FC-496B-A6FF-71776AEA54D1}">
            <xm:f>$BO$4='Data entry'!$R52</xm:f>
            <x14:dxf>
              <fill>
                <patternFill>
                  <bgColor rgb="FFFF0000"/>
                </patternFill>
              </fill>
            </x14:dxf>
          </x14:cfRule>
          <xm:sqref>BM144:BY144</xm:sqref>
        </x14:conditionalFormatting>
        <x14:conditionalFormatting xmlns:xm="http://schemas.microsoft.com/office/excel/2006/main">
          <x14:cfRule type="expression" priority="4698873" id="{3B86C801-ECFE-4D05-8AA5-1581116BAFBC}">
            <xm:f>$BO$4='Data entry'!$R52</xm:f>
            <x14:dxf>
              <fill>
                <patternFill>
                  <bgColor rgb="FFFFFF00"/>
                </patternFill>
              </fill>
            </x14:dxf>
          </x14:cfRule>
          <xm:sqref>BA143:BO143</xm:sqref>
        </x14:conditionalFormatting>
        <x14:conditionalFormatting xmlns:xm="http://schemas.microsoft.com/office/excel/2006/main">
          <x14:cfRule type="expression" priority="4698874" id="{058A23EC-3371-4A02-9F20-1ECA603AC6BC}">
            <xm:f>$BP$4='Data entry'!$R52</xm:f>
            <x14:dxf>
              <fill>
                <patternFill>
                  <bgColor rgb="FFFF0000"/>
                </patternFill>
              </fill>
            </x14:dxf>
          </x14:cfRule>
          <xm:sqref>BN144:BZ144</xm:sqref>
        </x14:conditionalFormatting>
        <x14:conditionalFormatting xmlns:xm="http://schemas.microsoft.com/office/excel/2006/main">
          <x14:cfRule type="expression" priority="4698875" id="{3E711E31-3992-4555-AB22-87133D60CD15}">
            <xm:f>$BP$4='Data entry'!$R52</xm:f>
            <x14:dxf>
              <fill>
                <patternFill>
                  <bgColor rgb="FFFFFF00"/>
                </patternFill>
              </fill>
            </x14:dxf>
          </x14:cfRule>
          <xm:sqref>BB143:BP143</xm:sqref>
        </x14:conditionalFormatting>
        <x14:conditionalFormatting xmlns:xm="http://schemas.microsoft.com/office/excel/2006/main">
          <x14:cfRule type="expression" priority="4698876" id="{23E9F8B9-37D5-4730-9453-6F23E8ECBBE3}">
            <xm:f>$BQ$4='Data entry'!$R52</xm:f>
            <x14:dxf>
              <fill>
                <patternFill>
                  <bgColor rgb="FFFFFF00"/>
                </patternFill>
              </fill>
            </x14:dxf>
          </x14:cfRule>
          <xm:sqref>BC143:BQ143</xm:sqref>
        </x14:conditionalFormatting>
        <x14:conditionalFormatting xmlns:xm="http://schemas.microsoft.com/office/excel/2006/main">
          <x14:cfRule type="expression" priority="4698877" id="{BCFD92F6-AAD3-44FD-BC61-A292A81B883E}">
            <xm:f>$BQ$4='Data entry'!$R52</xm:f>
            <x14:dxf>
              <fill>
                <patternFill>
                  <bgColor rgb="FFFF0000"/>
                </patternFill>
              </fill>
            </x14:dxf>
          </x14:cfRule>
          <xm:sqref>BO144:CA144</xm:sqref>
        </x14:conditionalFormatting>
        <x14:conditionalFormatting xmlns:xm="http://schemas.microsoft.com/office/excel/2006/main">
          <x14:cfRule type="expression" priority="4698878" id="{357D60E5-F356-477E-8020-A18F42C02832}">
            <xm:f>$BR$4='Data entry'!$R52</xm:f>
            <x14:dxf>
              <fill>
                <patternFill>
                  <bgColor rgb="FFFFFF00"/>
                </patternFill>
              </fill>
            </x14:dxf>
          </x14:cfRule>
          <xm:sqref>BD143:BR143</xm:sqref>
        </x14:conditionalFormatting>
        <x14:conditionalFormatting xmlns:xm="http://schemas.microsoft.com/office/excel/2006/main">
          <x14:cfRule type="expression" priority="4698879" id="{DA2B6511-43B3-432D-B6AA-1DB1188B90A6}">
            <xm:f>$BR$4='Data entry'!$R52</xm:f>
            <x14:dxf>
              <fill>
                <patternFill>
                  <bgColor rgb="FFFF0000"/>
                </patternFill>
              </fill>
            </x14:dxf>
          </x14:cfRule>
          <xm:sqref>BP144:CB144</xm:sqref>
        </x14:conditionalFormatting>
        <x14:conditionalFormatting xmlns:xm="http://schemas.microsoft.com/office/excel/2006/main">
          <x14:cfRule type="expression" priority="4698880" id="{0D5F64E4-4136-4BFA-B833-CC8578525D9C}">
            <xm:f>$BS$4='Data entry'!$R52</xm:f>
            <x14:dxf>
              <fill>
                <patternFill>
                  <bgColor rgb="FFFFFF00"/>
                </patternFill>
              </fill>
            </x14:dxf>
          </x14:cfRule>
          <xm:sqref>BE143:BS143</xm:sqref>
        </x14:conditionalFormatting>
        <x14:conditionalFormatting xmlns:xm="http://schemas.microsoft.com/office/excel/2006/main">
          <x14:cfRule type="expression" priority="4698881" id="{AC94D468-F078-4AE2-8771-102996E07B09}">
            <xm:f>$BS$4='Data entry'!$R52</xm:f>
            <x14:dxf>
              <fill>
                <patternFill>
                  <bgColor rgb="FFFF0000"/>
                </patternFill>
              </fill>
            </x14:dxf>
          </x14:cfRule>
          <xm:sqref>BQ144:CC144</xm:sqref>
        </x14:conditionalFormatting>
        <x14:conditionalFormatting xmlns:xm="http://schemas.microsoft.com/office/excel/2006/main">
          <x14:cfRule type="expression" priority="4698882" id="{10E78F76-181E-4F19-9F89-7DD36D3EFE30}">
            <xm:f>$BT$4='Data entry'!$R52</xm:f>
            <x14:dxf>
              <fill>
                <patternFill>
                  <bgColor rgb="FFFFFF00"/>
                </patternFill>
              </fill>
            </x14:dxf>
          </x14:cfRule>
          <xm:sqref>BF143:BT143</xm:sqref>
        </x14:conditionalFormatting>
        <x14:conditionalFormatting xmlns:xm="http://schemas.microsoft.com/office/excel/2006/main">
          <x14:cfRule type="expression" priority="4698883" id="{6A5FADC6-9512-4EFB-90A5-7B5244D10D1F}">
            <xm:f>$BT$4='Data entry'!$R52</xm:f>
            <x14:dxf>
              <fill>
                <patternFill>
                  <bgColor rgb="FFFF0000"/>
                </patternFill>
              </fill>
            </x14:dxf>
          </x14:cfRule>
          <xm:sqref>BR144:CC144</xm:sqref>
        </x14:conditionalFormatting>
        <x14:conditionalFormatting xmlns:xm="http://schemas.microsoft.com/office/excel/2006/main">
          <x14:cfRule type="expression" priority="4698884" id="{A51139D1-8841-4B96-B8CB-DFE3808765CF}">
            <xm:f>$BU$4='Data entry'!$R52</xm:f>
            <x14:dxf>
              <fill>
                <patternFill>
                  <bgColor rgb="FFFFFF00"/>
                </patternFill>
              </fill>
            </x14:dxf>
          </x14:cfRule>
          <xm:sqref>BG143:BU143</xm:sqref>
        </x14:conditionalFormatting>
        <x14:conditionalFormatting xmlns:xm="http://schemas.microsoft.com/office/excel/2006/main">
          <x14:cfRule type="expression" priority="4698885" id="{55CA7258-760F-4BFF-ACB5-A70FEB3E7981}">
            <xm:f>$BU$4='Data entry'!$R52</xm:f>
            <x14:dxf>
              <fill>
                <patternFill>
                  <bgColor rgb="FFFF0000"/>
                </patternFill>
              </fill>
            </x14:dxf>
          </x14:cfRule>
          <xm:sqref>BS144:CC144</xm:sqref>
        </x14:conditionalFormatting>
        <x14:conditionalFormatting xmlns:xm="http://schemas.microsoft.com/office/excel/2006/main">
          <x14:cfRule type="expression" priority="4698886" id="{A922B218-64DB-4CBB-9AB8-FE0EBB44E09E}">
            <xm:f>$BV$4='Data entry'!$R52</xm:f>
            <x14:dxf>
              <fill>
                <patternFill>
                  <bgColor rgb="FFFFFF00"/>
                </patternFill>
              </fill>
            </x14:dxf>
          </x14:cfRule>
          <xm:sqref>BH143:BV143</xm:sqref>
        </x14:conditionalFormatting>
        <x14:conditionalFormatting xmlns:xm="http://schemas.microsoft.com/office/excel/2006/main">
          <x14:cfRule type="expression" priority="4698887" id="{C98E908A-CD31-4778-B41C-7AFB9DBE639A}">
            <xm:f>$BV$4='Data entry'!$R52</xm:f>
            <x14:dxf>
              <fill>
                <patternFill>
                  <bgColor rgb="FFFF0000"/>
                </patternFill>
              </fill>
            </x14:dxf>
          </x14:cfRule>
          <xm:sqref>BT144:CC144</xm:sqref>
        </x14:conditionalFormatting>
        <x14:conditionalFormatting xmlns:xm="http://schemas.microsoft.com/office/excel/2006/main">
          <x14:cfRule type="expression" priority="4698888" id="{465CCCA3-B4DB-4B61-8AC7-8A5E4CEC9E3F}">
            <xm:f>$BW$4='Data entry'!$R52</xm:f>
            <x14:dxf>
              <fill>
                <patternFill>
                  <bgColor rgb="FFFFFF00"/>
                </patternFill>
              </fill>
            </x14:dxf>
          </x14:cfRule>
          <xm:sqref>BI143:BW143</xm:sqref>
        </x14:conditionalFormatting>
        <x14:conditionalFormatting xmlns:xm="http://schemas.microsoft.com/office/excel/2006/main">
          <x14:cfRule type="expression" priority="4698889" id="{37566F97-6D06-400B-A709-FE657B07687F}">
            <xm:f>$BW$4='Data entry'!$R52</xm:f>
            <x14:dxf>
              <fill>
                <patternFill>
                  <bgColor rgb="FFFF0000"/>
                </patternFill>
              </fill>
            </x14:dxf>
          </x14:cfRule>
          <xm:sqref>BU144:CC144</xm:sqref>
        </x14:conditionalFormatting>
        <x14:conditionalFormatting xmlns:xm="http://schemas.microsoft.com/office/excel/2006/main">
          <x14:cfRule type="expression" priority="4698890" id="{D8FBA3AC-5CF0-4E45-97CA-1D4DEE729ADA}">
            <xm:f>$BX$4='Data entry'!$R52</xm:f>
            <x14:dxf>
              <fill>
                <patternFill>
                  <bgColor rgb="FFFFFF00"/>
                </patternFill>
              </fill>
            </x14:dxf>
          </x14:cfRule>
          <xm:sqref>BJ143:BX143</xm:sqref>
        </x14:conditionalFormatting>
        <x14:conditionalFormatting xmlns:xm="http://schemas.microsoft.com/office/excel/2006/main">
          <x14:cfRule type="expression" priority="4698891" id="{E077C84B-A94F-431D-B232-4AFCC7C64F54}">
            <xm:f>$BX$4='Data entry'!$R52</xm:f>
            <x14:dxf>
              <fill>
                <patternFill>
                  <bgColor rgb="FFFF0000"/>
                </patternFill>
              </fill>
            </x14:dxf>
          </x14:cfRule>
          <xm:sqref>BV144:CC144</xm:sqref>
        </x14:conditionalFormatting>
        <x14:conditionalFormatting xmlns:xm="http://schemas.microsoft.com/office/excel/2006/main">
          <x14:cfRule type="expression" priority="4698892" id="{63783BA8-0C97-4A44-86FD-7A2BCF1B9957}">
            <xm:f>$BY$4='Data entry'!$R52</xm:f>
            <x14:dxf>
              <fill>
                <patternFill>
                  <bgColor rgb="FFFFFF00"/>
                </patternFill>
              </fill>
            </x14:dxf>
          </x14:cfRule>
          <xm:sqref>BK143:BY143</xm:sqref>
        </x14:conditionalFormatting>
        <x14:conditionalFormatting xmlns:xm="http://schemas.microsoft.com/office/excel/2006/main">
          <x14:cfRule type="expression" priority="4698893" id="{BB8DB8B4-B71B-46D2-AEE7-346F16103F74}">
            <xm:f>$BY$4='Data entry'!$R52</xm:f>
            <x14:dxf>
              <fill>
                <patternFill>
                  <bgColor rgb="FFFF0000"/>
                </patternFill>
              </fill>
            </x14:dxf>
          </x14:cfRule>
          <xm:sqref>BW144:CC144</xm:sqref>
        </x14:conditionalFormatting>
        <x14:conditionalFormatting xmlns:xm="http://schemas.microsoft.com/office/excel/2006/main">
          <x14:cfRule type="expression" priority="4698894" id="{1B638B98-2B06-4FEB-90C1-446A3E0A3979}">
            <xm:f>$BZ$4='Data entry'!$R52</xm:f>
            <x14:dxf>
              <fill>
                <patternFill>
                  <bgColor rgb="FFFFFF00"/>
                </patternFill>
              </fill>
            </x14:dxf>
          </x14:cfRule>
          <xm:sqref>BL143:BZ143</xm:sqref>
        </x14:conditionalFormatting>
        <x14:conditionalFormatting xmlns:xm="http://schemas.microsoft.com/office/excel/2006/main">
          <x14:cfRule type="expression" priority="4698895" id="{D3A0A2F8-D1B2-4DC5-B2A9-0EF53074E685}">
            <xm:f>$BZ$4='Data entry'!$R52</xm:f>
            <x14:dxf>
              <fill>
                <patternFill>
                  <bgColor rgb="FFFF0000"/>
                </patternFill>
              </fill>
            </x14:dxf>
          </x14:cfRule>
          <xm:sqref>BX144:CC144</xm:sqref>
        </x14:conditionalFormatting>
        <x14:conditionalFormatting xmlns:xm="http://schemas.microsoft.com/office/excel/2006/main">
          <x14:cfRule type="expression" priority="4698896" id="{83F6D018-7D3B-4D33-9998-11572F2F2FF5}">
            <xm:f>$CA$4='Data entry'!$R52</xm:f>
            <x14:dxf>
              <fill>
                <patternFill>
                  <bgColor rgb="FFFFFF00"/>
                </patternFill>
              </fill>
            </x14:dxf>
          </x14:cfRule>
          <xm:sqref>BM143:CA143</xm:sqref>
        </x14:conditionalFormatting>
        <x14:conditionalFormatting xmlns:xm="http://schemas.microsoft.com/office/excel/2006/main">
          <x14:cfRule type="expression" priority="4698897" id="{8E6D0B51-5626-4ED9-9072-C7A2C139704F}">
            <xm:f>$CA$4='Data entry'!$R52</xm:f>
            <x14:dxf>
              <fill>
                <patternFill>
                  <bgColor rgb="FFFF0000"/>
                </patternFill>
              </fill>
            </x14:dxf>
          </x14:cfRule>
          <xm:sqref>BY144:CC144</xm:sqref>
        </x14:conditionalFormatting>
        <x14:conditionalFormatting xmlns:xm="http://schemas.microsoft.com/office/excel/2006/main">
          <x14:cfRule type="expression" priority="4698898" id="{E1886EE4-3BDE-43A9-9F4B-79377FEC37FE}">
            <xm:f>$CB$4='Data entry'!$R52</xm:f>
            <x14:dxf>
              <fill>
                <patternFill>
                  <bgColor rgb="FFFFFF00"/>
                </patternFill>
              </fill>
            </x14:dxf>
          </x14:cfRule>
          <xm:sqref>BN143:CB143</xm:sqref>
        </x14:conditionalFormatting>
        <x14:conditionalFormatting xmlns:xm="http://schemas.microsoft.com/office/excel/2006/main">
          <x14:cfRule type="expression" priority="4698899" id="{ADEF572A-6C18-4602-BB86-01C96D36E07E}">
            <xm:f>$CB$4='Data entry'!$R52</xm:f>
            <x14:dxf>
              <fill>
                <patternFill>
                  <bgColor rgb="FFFF0000"/>
                </patternFill>
              </fill>
            </x14:dxf>
          </x14:cfRule>
          <xm:sqref>BZ144:CC144</xm:sqref>
        </x14:conditionalFormatting>
        <x14:conditionalFormatting xmlns:xm="http://schemas.microsoft.com/office/excel/2006/main">
          <x14:cfRule type="expression" priority="4698900" id="{7984E1C9-E073-4955-8543-62145CB6D008}">
            <xm:f>$CC$4='Data entry'!$R52</xm:f>
            <x14:dxf>
              <fill>
                <patternFill>
                  <bgColor rgb="FFFFFF00"/>
                </patternFill>
              </fill>
            </x14:dxf>
          </x14:cfRule>
          <xm:sqref>BO143:CC143</xm:sqref>
        </x14:conditionalFormatting>
        <x14:conditionalFormatting xmlns:xm="http://schemas.microsoft.com/office/excel/2006/main">
          <x14:cfRule type="expression" priority="4698901" id="{18A957B3-59FA-4698-BA92-2A208FF18E2F}">
            <xm:f>$CC$4='Data entry'!$R52</xm:f>
            <x14:dxf>
              <fill>
                <patternFill>
                  <bgColor rgb="FFFF0000"/>
                </patternFill>
              </fill>
            </x14:dxf>
          </x14:cfRule>
          <xm:sqref>CA144:CC144</xm:sqref>
        </x14:conditionalFormatting>
        <x14:conditionalFormatting xmlns:xm="http://schemas.microsoft.com/office/excel/2006/main">
          <x14:cfRule type="expression" priority="4698988" id="{5B0DB825-B7C2-40AC-B7EF-F267F054CFB9}">
            <xm:f>$U$4='Data entry'!$R53</xm:f>
            <x14:dxf>
              <fill>
                <patternFill>
                  <bgColor rgb="FFFF0000"/>
                </patternFill>
              </fill>
            </x14:dxf>
          </x14:cfRule>
          <xm:sqref>S147:AE147</xm:sqref>
        </x14:conditionalFormatting>
        <x14:conditionalFormatting xmlns:xm="http://schemas.microsoft.com/office/excel/2006/main">
          <x14:cfRule type="expression" priority="4698989" id="{18311200-E2BB-400F-B594-3B9A2C6068C2}">
            <xm:f>$V$4='Data entry'!$R53</xm:f>
            <x14:dxf>
              <fill>
                <patternFill>
                  <bgColor rgb="FFFF0000"/>
                </patternFill>
              </fill>
            </x14:dxf>
          </x14:cfRule>
          <xm:sqref>T147:AF147</xm:sqref>
        </x14:conditionalFormatting>
        <x14:conditionalFormatting xmlns:xm="http://schemas.microsoft.com/office/excel/2006/main">
          <x14:cfRule type="expression" priority="4698990" id="{D6DFB621-1A58-4C59-A987-ECAD0EB2D32B}">
            <xm:f>$V$4='Data entry'!$R53</xm:f>
            <x14:dxf>
              <fill>
                <patternFill>
                  <bgColor rgb="FFFFFF00"/>
                </patternFill>
              </fill>
            </x14:dxf>
          </x14:cfRule>
          <xm:sqref>H146:V146</xm:sqref>
        </x14:conditionalFormatting>
        <x14:conditionalFormatting xmlns:xm="http://schemas.microsoft.com/office/excel/2006/main">
          <x14:cfRule type="expression" priority="4698991" id="{5F87A680-DC5F-433D-A779-B7A534ACCDA9}">
            <xm:f>$W$4='Data entry'!$R53</xm:f>
            <x14:dxf>
              <fill>
                <patternFill>
                  <bgColor rgb="FFFF0000"/>
                </patternFill>
              </fill>
            </x14:dxf>
          </x14:cfRule>
          <xm:sqref>U147:AG147</xm:sqref>
        </x14:conditionalFormatting>
        <x14:conditionalFormatting xmlns:xm="http://schemas.microsoft.com/office/excel/2006/main">
          <x14:cfRule type="expression" priority="4698992" id="{964539FF-A92C-4F68-B268-B7157A32678C}">
            <xm:f>$W$4='Data entry'!$R53</xm:f>
            <x14:dxf>
              <fill>
                <patternFill>
                  <bgColor rgb="FFFFFF00"/>
                </patternFill>
              </fill>
            </x14:dxf>
          </x14:cfRule>
          <xm:sqref>I146:W146</xm:sqref>
        </x14:conditionalFormatting>
        <x14:conditionalFormatting xmlns:xm="http://schemas.microsoft.com/office/excel/2006/main">
          <x14:cfRule type="expression" priority="4698993" id="{46C1533A-F090-4A90-9309-3F59EC3FD3B0}">
            <xm:f>$X$4='Data entry'!$R53</xm:f>
            <x14:dxf>
              <fill>
                <patternFill>
                  <bgColor rgb="FFFF0000"/>
                </patternFill>
              </fill>
            </x14:dxf>
          </x14:cfRule>
          <xm:sqref>V147:AH147</xm:sqref>
        </x14:conditionalFormatting>
        <x14:conditionalFormatting xmlns:xm="http://schemas.microsoft.com/office/excel/2006/main">
          <x14:cfRule type="expression" priority="4698994" id="{7C70E81C-DDD4-4D75-933A-4F6A39893184}">
            <xm:f>$X$4='Data entry'!$R53</xm:f>
            <x14:dxf>
              <fill>
                <patternFill>
                  <bgColor rgb="FFFFFF00"/>
                </patternFill>
              </fill>
            </x14:dxf>
          </x14:cfRule>
          <xm:sqref>J146:X146</xm:sqref>
        </x14:conditionalFormatting>
        <x14:conditionalFormatting xmlns:xm="http://schemas.microsoft.com/office/excel/2006/main">
          <x14:cfRule type="expression" priority="4698995" id="{561AF073-0EF8-4B72-A119-40A639C4359D}">
            <xm:f>$Y$4='Data entry'!$R53</xm:f>
            <x14:dxf>
              <fill>
                <patternFill>
                  <bgColor rgb="FFFF0000"/>
                </patternFill>
              </fill>
            </x14:dxf>
          </x14:cfRule>
          <xm:sqref>W147:AI147</xm:sqref>
        </x14:conditionalFormatting>
        <x14:conditionalFormatting xmlns:xm="http://schemas.microsoft.com/office/excel/2006/main">
          <x14:cfRule type="expression" priority="4698996" id="{F242E808-8F07-4A89-9524-7D4C767CE357}">
            <xm:f>$Y$4='Data entry'!$R53</xm:f>
            <x14:dxf>
              <fill>
                <patternFill>
                  <bgColor rgb="FFFFFF00"/>
                </patternFill>
              </fill>
            </x14:dxf>
          </x14:cfRule>
          <xm:sqref>K146:Y146</xm:sqref>
        </x14:conditionalFormatting>
        <x14:conditionalFormatting xmlns:xm="http://schemas.microsoft.com/office/excel/2006/main">
          <x14:cfRule type="expression" priority="4698997" id="{DD601058-982B-4218-BD9D-64BB823C2633}">
            <xm:f>$Z$4='Data entry'!$R53</xm:f>
            <x14:dxf>
              <fill>
                <patternFill>
                  <bgColor rgb="FFFF0000"/>
                </patternFill>
              </fill>
            </x14:dxf>
          </x14:cfRule>
          <xm:sqref>X147:AJ147</xm:sqref>
        </x14:conditionalFormatting>
        <x14:conditionalFormatting xmlns:xm="http://schemas.microsoft.com/office/excel/2006/main">
          <x14:cfRule type="expression" priority="4698998" id="{C9DB141D-79F6-4093-92A3-7BF7A1622985}">
            <xm:f>$Z$4='Data entry'!$R53</xm:f>
            <x14:dxf>
              <fill>
                <patternFill>
                  <bgColor rgb="FFFFFF00"/>
                </patternFill>
              </fill>
            </x14:dxf>
          </x14:cfRule>
          <xm:sqref>L146:Z146</xm:sqref>
        </x14:conditionalFormatting>
        <x14:conditionalFormatting xmlns:xm="http://schemas.microsoft.com/office/excel/2006/main">
          <x14:cfRule type="expression" priority="4698999" id="{710EB8D3-F5C0-4E3C-8214-2D0C4E26F649}">
            <xm:f>$AA$4='Data entry'!$R53</xm:f>
            <x14:dxf>
              <fill>
                <patternFill>
                  <bgColor rgb="FFFF0000"/>
                </patternFill>
              </fill>
            </x14:dxf>
          </x14:cfRule>
          <xm:sqref>Y147:AK147</xm:sqref>
        </x14:conditionalFormatting>
        <x14:conditionalFormatting xmlns:xm="http://schemas.microsoft.com/office/excel/2006/main">
          <x14:cfRule type="expression" priority="4699000" id="{33825D69-C967-4D27-B395-5D44A3083802}">
            <xm:f>$AA$4='Data entry'!$R53</xm:f>
            <x14:dxf>
              <fill>
                <patternFill>
                  <bgColor rgb="FFFFFF00"/>
                </patternFill>
              </fill>
            </x14:dxf>
          </x14:cfRule>
          <xm:sqref>M146:AA146</xm:sqref>
        </x14:conditionalFormatting>
        <x14:conditionalFormatting xmlns:xm="http://schemas.microsoft.com/office/excel/2006/main">
          <x14:cfRule type="expression" priority="4699001" id="{9811A97D-351B-4D32-8754-AF433277E62B}">
            <xm:f>$AB$4='Data entry'!$R53</xm:f>
            <x14:dxf>
              <fill>
                <patternFill>
                  <bgColor rgb="FFFF0000"/>
                </patternFill>
              </fill>
            </x14:dxf>
          </x14:cfRule>
          <xm:sqref>Z147:AL147</xm:sqref>
        </x14:conditionalFormatting>
        <x14:conditionalFormatting xmlns:xm="http://schemas.microsoft.com/office/excel/2006/main">
          <x14:cfRule type="expression" priority="4699002" id="{6DD3E556-C72E-438B-92DA-3096ED1E4178}">
            <xm:f>$AB$4='Data entry'!$R53</xm:f>
            <x14:dxf>
              <fill>
                <patternFill>
                  <bgColor rgb="FFFFFF00"/>
                </patternFill>
              </fill>
            </x14:dxf>
          </x14:cfRule>
          <xm:sqref>N146:AB146</xm:sqref>
        </x14:conditionalFormatting>
        <x14:conditionalFormatting xmlns:xm="http://schemas.microsoft.com/office/excel/2006/main">
          <x14:cfRule type="expression" priority="4699003" id="{C0DF7A1B-D6BC-4371-BD3A-F0708147FA1C}">
            <xm:f>$AC$4='Data entry'!$R53</xm:f>
            <x14:dxf>
              <fill>
                <patternFill>
                  <bgColor rgb="FFFF0000"/>
                </patternFill>
              </fill>
            </x14:dxf>
          </x14:cfRule>
          <xm:sqref>AA147:AM147</xm:sqref>
        </x14:conditionalFormatting>
        <x14:conditionalFormatting xmlns:xm="http://schemas.microsoft.com/office/excel/2006/main">
          <x14:cfRule type="expression" priority="4699004" id="{DB2E1F48-AF0E-41F9-A976-6B1963CA5711}">
            <xm:f>$AC$4='Data entry'!$R53</xm:f>
            <x14:dxf>
              <fill>
                <patternFill>
                  <bgColor rgb="FFFFFF00"/>
                </patternFill>
              </fill>
            </x14:dxf>
          </x14:cfRule>
          <xm:sqref>O146:AC146</xm:sqref>
        </x14:conditionalFormatting>
        <x14:conditionalFormatting xmlns:xm="http://schemas.microsoft.com/office/excel/2006/main">
          <x14:cfRule type="expression" priority="4699005" id="{89909907-F9A9-4AF9-BC1D-304710A43F50}">
            <xm:f>$AD$4='Data entry'!$R53</xm:f>
            <x14:dxf>
              <fill>
                <patternFill>
                  <bgColor rgb="FFFF0000"/>
                </patternFill>
              </fill>
            </x14:dxf>
          </x14:cfRule>
          <xm:sqref>AB147:AN147</xm:sqref>
        </x14:conditionalFormatting>
        <x14:conditionalFormatting xmlns:xm="http://schemas.microsoft.com/office/excel/2006/main">
          <x14:cfRule type="expression" priority="4699006" id="{729676B7-E331-43A4-ACC9-850DCEE76A0E}">
            <xm:f>$AD$4='Data entry'!$R53</xm:f>
            <x14:dxf>
              <fill>
                <patternFill>
                  <bgColor rgb="FFFFFF00"/>
                </patternFill>
              </fill>
            </x14:dxf>
          </x14:cfRule>
          <xm:sqref>P146:AD146</xm:sqref>
        </x14:conditionalFormatting>
        <x14:conditionalFormatting xmlns:xm="http://schemas.microsoft.com/office/excel/2006/main">
          <x14:cfRule type="expression" priority="4699007" id="{00DA2C55-350E-44AA-ABEA-808FABFDA737}">
            <xm:f>$AE$4='Data entry'!$R53</xm:f>
            <x14:dxf>
              <fill>
                <patternFill>
                  <bgColor rgb="FFFF0000"/>
                </patternFill>
              </fill>
            </x14:dxf>
          </x14:cfRule>
          <xm:sqref>AC147:AO147</xm:sqref>
        </x14:conditionalFormatting>
        <x14:conditionalFormatting xmlns:xm="http://schemas.microsoft.com/office/excel/2006/main">
          <x14:cfRule type="expression" priority="4699008" id="{373C95F1-00C1-45E9-B561-5224945BA4A4}">
            <xm:f>$AE$4='Data entry'!$R53</xm:f>
            <x14:dxf>
              <fill>
                <patternFill>
                  <bgColor rgb="FFFFFF00"/>
                </patternFill>
              </fill>
            </x14:dxf>
          </x14:cfRule>
          <xm:sqref>Q146:AE146</xm:sqref>
        </x14:conditionalFormatting>
        <x14:conditionalFormatting xmlns:xm="http://schemas.microsoft.com/office/excel/2006/main">
          <x14:cfRule type="expression" priority="4699009" id="{65E90E74-6BEF-4B00-BD5E-ECACFEBC225A}">
            <xm:f>$AF$4='Data entry'!$R53</xm:f>
            <x14:dxf>
              <fill>
                <patternFill>
                  <bgColor rgb="FFFF0000"/>
                </patternFill>
              </fill>
            </x14:dxf>
          </x14:cfRule>
          <xm:sqref>AD147:AP147</xm:sqref>
        </x14:conditionalFormatting>
        <x14:conditionalFormatting xmlns:xm="http://schemas.microsoft.com/office/excel/2006/main">
          <x14:cfRule type="expression" priority="4699010" id="{56B519D7-E083-4811-B42B-D6CB10D44BB3}">
            <xm:f>$AF$4='Data entry'!$R53</xm:f>
            <x14:dxf>
              <fill>
                <patternFill>
                  <bgColor rgb="FFFFFF00"/>
                </patternFill>
              </fill>
            </x14:dxf>
          </x14:cfRule>
          <xm:sqref>R146:AF146</xm:sqref>
        </x14:conditionalFormatting>
        <x14:conditionalFormatting xmlns:xm="http://schemas.microsoft.com/office/excel/2006/main">
          <x14:cfRule type="expression" priority="4699011" id="{889682B6-BF9B-414B-86B7-1C802156B058}">
            <xm:f>$AG$4='Data entry'!$R53</xm:f>
            <x14:dxf>
              <fill>
                <patternFill>
                  <bgColor rgb="FFFF0000"/>
                </patternFill>
              </fill>
            </x14:dxf>
          </x14:cfRule>
          <xm:sqref>AE147:AQ147</xm:sqref>
        </x14:conditionalFormatting>
        <x14:conditionalFormatting xmlns:xm="http://schemas.microsoft.com/office/excel/2006/main">
          <x14:cfRule type="expression" priority="4699012" id="{19913D88-1940-4CB0-B29C-D46D60833BD5}">
            <xm:f>$AG$4='Data entry'!$R53</xm:f>
            <x14:dxf>
              <fill>
                <patternFill>
                  <bgColor rgb="FFFFFF00"/>
                </patternFill>
              </fill>
            </x14:dxf>
          </x14:cfRule>
          <xm:sqref>S146:AG146</xm:sqref>
        </x14:conditionalFormatting>
        <x14:conditionalFormatting xmlns:xm="http://schemas.microsoft.com/office/excel/2006/main">
          <x14:cfRule type="expression" priority="4699013" id="{3DD7B9A5-18A3-463F-BAD5-9796FC487328}">
            <xm:f>$AH$4='Data entry'!$R53</xm:f>
            <x14:dxf>
              <fill>
                <patternFill>
                  <bgColor rgb="FFFF0000"/>
                </patternFill>
              </fill>
            </x14:dxf>
          </x14:cfRule>
          <xm:sqref>AF147:AR147</xm:sqref>
        </x14:conditionalFormatting>
        <x14:conditionalFormatting xmlns:xm="http://schemas.microsoft.com/office/excel/2006/main">
          <x14:cfRule type="expression" priority="4699014" id="{31005CF4-5608-496E-91EB-F7F505046C80}">
            <xm:f>$AH$4='Data entry'!$R53</xm:f>
            <x14:dxf>
              <fill>
                <patternFill>
                  <bgColor rgb="FFFFFF00"/>
                </patternFill>
              </fill>
            </x14:dxf>
          </x14:cfRule>
          <xm:sqref>T146:AH146</xm:sqref>
        </x14:conditionalFormatting>
        <x14:conditionalFormatting xmlns:xm="http://schemas.microsoft.com/office/excel/2006/main">
          <x14:cfRule type="expression" priority="4699015" id="{CD14F654-5B7A-444F-8FC1-7DD71E76E475}">
            <xm:f>$AI$4='Data entry'!$R53</xm:f>
            <x14:dxf>
              <fill>
                <patternFill>
                  <bgColor rgb="FFFF0000"/>
                </patternFill>
              </fill>
            </x14:dxf>
          </x14:cfRule>
          <xm:sqref>AG147:AS147</xm:sqref>
        </x14:conditionalFormatting>
        <x14:conditionalFormatting xmlns:xm="http://schemas.microsoft.com/office/excel/2006/main">
          <x14:cfRule type="expression" priority="4699016" id="{0E4E448C-6C46-4285-B877-A61A90294385}">
            <xm:f>$AI$4='Data entry'!$R53</xm:f>
            <x14:dxf>
              <fill>
                <patternFill>
                  <bgColor rgb="FFFFFF00"/>
                </patternFill>
              </fill>
            </x14:dxf>
          </x14:cfRule>
          <xm:sqref>U146:AI146</xm:sqref>
        </x14:conditionalFormatting>
        <x14:conditionalFormatting xmlns:xm="http://schemas.microsoft.com/office/excel/2006/main">
          <x14:cfRule type="expression" priority="4699017" id="{B1C1818F-791C-403D-BE73-6F6E9DC6A16D}">
            <xm:f>$AJ$4='Data entry'!$R53</xm:f>
            <x14:dxf>
              <fill>
                <patternFill>
                  <bgColor rgb="FFFF0000"/>
                </patternFill>
              </fill>
            </x14:dxf>
          </x14:cfRule>
          <xm:sqref>AH147:AT147</xm:sqref>
        </x14:conditionalFormatting>
        <x14:conditionalFormatting xmlns:xm="http://schemas.microsoft.com/office/excel/2006/main">
          <x14:cfRule type="expression" priority="4699018" id="{A1237792-221B-431B-B8A7-E9A64DA46D93}">
            <xm:f>$AJ$4='Data entry'!$R53</xm:f>
            <x14:dxf>
              <fill>
                <patternFill>
                  <bgColor rgb="FFFFFF00"/>
                </patternFill>
              </fill>
            </x14:dxf>
          </x14:cfRule>
          <xm:sqref>V146:AJ146</xm:sqref>
        </x14:conditionalFormatting>
        <x14:conditionalFormatting xmlns:xm="http://schemas.microsoft.com/office/excel/2006/main">
          <x14:cfRule type="expression" priority="4699019" id="{617DC2AF-C7A3-4724-8EA3-17DEFEDC8949}">
            <xm:f>$AK$4='Data entry'!$R53</xm:f>
            <x14:dxf>
              <fill>
                <patternFill>
                  <bgColor rgb="FFFF0000"/>
                </patternFill>
              </fill>
            </x14:dxf>
          </x14:cfRule>
          <xm:sqref>AI147:AU147</xm:sqref>
        </x14:conditionalFormatting>
        <x14:conditionalFormatting xmlns:xm="http://schemas.microsoft.com/office/excel/2006/main">
          <x14:cfRule type="expression" priority="4699020" id="{AA72317D-37B1-48EB-A28B-BF2AC8DC4519}">
            <xm:f>$AK$4='Data entry'!$R53</xm:f>
            <x14:dxf>
              <fill>
                <patternFill>
                  <bgColor rgb="FFFFFF00"/>
                </patternFill>
              </fill>
            </x14:dxf>
          </x14:cfRule>
          <xm:sqref>W146:AK146</xm:sqref>
        </x14:conditionalFormatting>
        <x14:conditionalFormatting xmlns:xm="http://schemas.microsoft.com/office/excel/2006/main">
          <x14:cfRule type="expression" priority="4699021" id="{6CA9FB7A-20EA-4D3A-B74C-A001F4BE810D}">
            <xm:f>$AL$4='Data entry'!$R53</xm:f>
            <x14:dxf>
              <fill>
                <patternFill>
                  <bgColor rgb="FFFF0000"/>
                </patternFill>
              </fill>
            </x14:dxf>
          </x14:cfRule>
          <xm:sqref>AJ147:AV147</xm:sqref>
        </x14:conditionalFormatting>
        <x14:conditionalFormatting xmlns:xm="http://schemas.microsoft.com/office/excel/2006/main">
          <x14:cfRule type="expression" priority="4699022" id="{81A75DAA-573F-4EF3-A640-1B992C18BEA0}">
            <xm:f>$AL$4='Data entry'!$R53</xm:f>
            <x14:dxf>
              <fill>
                <patternFill>
                  <bgColor rgb="FFFFFF00"/>
                </patternFill>
              </fill>
            </x14:dxf>
          </x14:cfRule>
          <xm:sqref>X146:AL146</xm:sqref>
        </x14:conditionalFormatting>
        <x14:conditionalFormatting xmlns:xm="http://schemas.microsoft.com/office/excel/2006/main">
          <x14:cfRule type="expression" priority="4699023" id="{3D44713E-4ABA-4CCD-9DF4-5513A9FB5E1E}">
            <xm:f>$AM$4='Data entry'!$R53</xm:f>
            <x14:dxf>
              <fill>
                <patternFill>
                  <bgColor rgb="FFFF0000"/>
                </patternFill>
              </fill>
            </x14:dxf>
          </x14:cfRule>
          <xm:sqref>AK147:AW147</xm:sqref>
        </x14:conditionalFormatting>
        <x14:conditionalFormatting xmlns:xm="http://schemas.microsoft.com/office/excel/2006/main">
          <x14:cfRule type="expression" priority="4699024" id="{05A26B51-72A7-4423-822F-2BDBC28275D0}">
            <xm:f>$AM$4='Data entry'!$R53</xm:f>
            <x14:dxf>
              <fill>
                <patternFill>
                  <bgColor rgb="FFFFFF00"/>
                </patternFill>
              </fill>
            </x14:dxf>
          </x14:cfRule>
          <xm:sqref>Y146:AM146</xm:sqref>
        </x14:conditionalFormatting>
        <x14:conditionalFormatting xmlns:xm="http://schemas.microsoft.com/office/excel/2006/main">
          <x14:cfRule type="expression" priority="4699025" id="{B8A20675-6230-4694-A7F6-6B3DC7142773}">
            <xm:f>$AN$4='Data entry'!$R53</xm:f>
            <x14:dxf>
              <fill>
                <patternFill>
                  <bgColor rgb="FFFF0000"/>
                </patternFill>
              </fill>
            </x14:dxf>
          </x14:cfRule>
          <xm:sqref>AL147:AX147</xm:sqref>
        </x14:conditionalFormatting>
        <x14:conditionalFormatting xmlns:xm="http://schemas.microsoft.com/office/excel/2006/main">
          <x14:cfRule type="expression" priority="4699026" id="{8421181C-7450-42E9-BC1D-065CCFCA960E}">
            <xm:f>$AN$4='Data entry'!$R53</xm:f>
            <x14:dxf>
              <fill>
                <patternFill>
                  <bgColor rgb="FFFFFF00"/>
                </patternFill>
              </fill>
            </x14:dxf>
          </x14:cfRule>
          <xm:sqref>Z146:AN146</xm:sqref>
        </x14:conditionalFormatting>
        <x14:conditionalFormatting xmlns:xm="http://schemas.microsoft.com/office/excel/2006/main">
          <x14:cfRule type="expression" priority="4699027" id="{067FE4BD-6EF4-4684-B6E0-35AB2F267EE7}">
            <xm:f>$AO$4='Data entry'!$R53</xm:f>
            <x14:dxf>
              <fill>
                <patternFill>
                  <bgColor rgb="FFFF0000"/>
                </patternFill>
              </fill>
            </x14:dxf>
          </x14:cfRule>
          <xm:sqref>AM147:AY147</xm:sqref>
        </x14:conditionalFormatting>
        <x14:conditionalFormatting xmlns:xm="http://schemas.microsoft.com/office/excel/2006/main">
          <x14:cfRule type="expression" priority="4699028" id="{F7653492-88D1-47AC-8BA3-0CCE65C3C2AB}">
            <xm:f>$AO$4='Data entry'!$R53</xm:f>
            <x14:dxf>
              <fill>
                <patternFill>
                  <bgColor rgb="FFFFFF00"/>
                </patternFill>
              </fill>
            </x14:dxf>
          </x14:cfRule>
          <xm:sqref>AA146:AO146</xm:sqref>
        </x14:conditionalFormatting>
        <x14:conditionalFormatting xmlns:xm="http://schemas.microsoft.com/office/excel/2006/main">
          <x14:cfRule type="expression" priority="4699029" id="{207A5E5D-B322-482E-9193-1D7318138358}">
            <xm:f>$AP$4='Data entry'!$R53</xm:f>
            <x14:dxf>
              <fill>
                <patternFill>
                  <bgColor rgb="FFFF0000"/>
                </patternFill>
              </fill>
            </x14:dxf>
          </x14:cfRule>
          <xm:sqref>AN147:AZ147</xm:sqref>
        </x14:conditionalFormatting>
        <x14:conditionalFormatting xmlns:xm="http://schemas.microsoft.com/office/excel/2006/main">
          <x14:cfRule type="expression" priority="4699030" id="{21DA638D-4CA0-4067-BFF1-240CE1A0261B}">
            <xm:f>$AP$4='Data entry'!$R53</xm:f>
            <x14:dxf>
              <fill>
                <patternFill>
                  <bgColor rgb="FFFFFF00"/>
                </patternFill>
              </fill>
            </x14:dxf>
          </x14:cfRule>
          <xm:sqref>AB146:AP146</xm:sqref>
        </x14:conditionalFormatting>
        <x14:conditionalFormatting xmlns:xm="http://schemas.microsoft.com/office/excel/2006/main">
          <x14:cfRule type="expression" priority="4699031" id="{71963D96-A42A-4B90-BFC7-6D83D37766EF}">
            <xm:f>$AQ$4='Data entry'!$R53</xm:f>
            <x14:dxf>
              <fill>
                <patternFill>
                  <bgColor rgb="FFFF0000"/>
                </patternFill>
              </fill>
            </x14:dxf>
          </x14:cfRule>
          <xm:sqref>AO147:BA147</xm:sqref>
        </x14:conditionalFormatting>
        <x14:conditionalFormatting xmlns:xm="http://schemas.microsoft.com/office/excel/2006/main">
          <x14:cfRule type="expression" priority="4699032" id="{74952595-84B6-484F-8FF6-FCC1F337DF4D}">
            <xm:f>$AQ$4='Data entry'!$R53</xm:f>
            <x14:dxf>
              <fill>
                <patternFill>
                  <bgColor rgb="FFFFFF00"/>
                </patternFill>
              </fill>
            </x14:dxf>
          </x14:cfRule>
          <xm:sqref>AC146:AQ146</xm:sqref>
        </x14:conditionalFormatting>
        <x14:conditionalFormatting xmlns:xm="http://schemas.microsoft.com/office/excel/2006/main">
          <x14:cfRule type="expression" priority="4699033" id="{8AC9C4B9-0A34-4BC0-B0F7-CA89434C4911}">
            <xm:f>$P$4='Data entry'!$R53</xm:f>
            <x14:dxf>
              <fill>
                <patternFill>
                  <bgColor rgb="FFFFFF00"/>
                </patternFill>
              </fill>
            </x14:dxf>
          </x14:cfRule>
          <xm:sqref>C146:P146</xm:sqref>
        </x14:conditionalFormatting>
        <x14:conditionalFormatting xmlns:xm="http://schemas.microsoft.com/office/excel/2006/main">
          <x14:cfRule type="expression" priority="4699034" id="{0A726775-ABFD-4F22-967C-1A4D87BA3751}">
            <xm:f>$Q$4='Data entry'!$R53</xm:f>
            <x14:dxf>
              <fill>
                <patternFill>
                  <bgColor rgb="FFFFFF00"/>
                </patternFill>
              </fill>
            </x14:dxf>
          </x14:cfRule>
          <xm:sqref>C146:Q146</xm:sqref>
        </x14:conditionalFormatting>
        <x14:conditionalFormatting xmlns:xm="http://schemas.microsoft.com/office/excel/2006/main">
          <x14:cfRule type="expression" priority="4699035" id="{3A8414BD-262C-43B5-86EE-FA6901D00453}">
            <xm:f>$Q$4='Data entry'!$R53</xm:f>
            <x14:dxf>
              <fill>
                <patternFill>
                  <bgColor rgb="FFFF0000"/>
                </patternFill>
              </fill>
            </x14:dxf>
          </x14:cfRule>
          <xm:sqref>O147:AA147</xm:sqref>
        </x14:conditionalFormatting>
        <x14:conditionalFormatting xmlns:xm="http://schemas.microsoft.com/office/excel/2006/main">
          <x14:cfRule type="expression" priority="4699036" id="{B8B5501D-F3EF-4449-9306-F652960C65F4}">
            <xm:f>$R$4='Data entry'!$R53</xm:f>
            <x14:dxf>
              <fill>
                <patternFill>
                  <bgColor rgb="FFFF0000"/>
                </patternFill>
              </fill>
            </x14:dxf>
          </x14:cfRule>
          <xm:sqref>P147:AB147</xm:sqref>
        </x14:conditionalFormatting>
        <x14:conditionalFormatting xmlns:xm="http://schemas.microsoft.com/office/excel/2006/main">
          <x14:cfRule type="expression" priority="4699037" id="{5D070DEC-B82E-4D87-B907-A3E5AB836991}">
            <xm:f>$R$4='Data entry'!$R53</xm:f>
            <x14:dxf>
              <fill>
                <patternFill>
                  <bgColor rgb="FFFFFF00"/>
                </patternFill>
              </fill>
            </x14:dxf>
          </x14:cfRule>
          <xm:sqref>D146:R146</xm:sqref>
        </x14:conditionalFormatting>
        <x14:conditionalFormatting xmlns:xm="http://schemas.microsoft.com/office/excel/2006/main">
          <x14:cfRule type="expression" priority="4699038" id="{E4D16A10-F818-4664-9FB2-F0E839824D4B}">
            <xm:f>$S$4='Data entry'!$R53</xm:f>
            <x14:dxf>
              <fill>
                <patternFill>
                  <bgColor rgb="FFFF0000"/>
                </patternFill>
              </fill>
            </x14:dxf>
          </x14:cfRule>
          <xm:sqref>Q147:AC147</xm:sqref>
        </x14:conditionalFormatting>
        <x14:conditionalFormatting xmlns:xm="http://schemas.microsoft.com/office/excel/2006/main">
          <x14:cfRule type="expression" priority="4699039" id="{1A9F9911-A3E9-4730-AFBE-AB8C596545CA}">
            <xm:f>$S$4='Data entry'!$R53</xm:f>
            <x14:dxf>
              <fill>
                <patternFill>
                  <bgColor rgb="FFFFFF00"/>
                </patternFill>
              </fill>
            </x14:dxf>
          </x14:cfRule>
          <xm:sqref>E146:S146</xm:sqref>
        </x14:conditionalFormatting>
        <x14:conditionalFormatting xmlns:xm="http://schemas.microsoft.com/office/excel/2006/main">
          <x14:cfRule type="expression" priority="4699040" id="{8BB5CD1B-B2AC-442A-9550-26DE19A62D22}">
            <xm:f>$T$4='Data entry'!$R53</xm:f>
            <x14:dxf>
              <fill>
                <patternFill>
                  <bgColor rgb="FFFF0000"/>
                </patternFill>
              </fill>
            </x14:dxf>
          </x14:cfRule>
          <xm:sqref>R147:AD147</xm:sqref>
        </x14:conditionalFormatting>
        <x14:conditionalFormatting xmlns:xm="http://schemas.microsoft.com/office/excel/2006/main">
          <x14:cfRule type="expression" priority="4699041" id="{E7B59C69-7921-4049-84A1-8B3E5F7B0598}">
            <xm:f>$T$4='Data entry'!$R53</xm:f>
            <x14:dxf>
              <fill>
                <patternFill>
                  <bgColor rgb="FFFFFF00"/>
                </patternFill>
              </fill>
            </x14:dxf>
          </x14:cfRule>
          <xm:sqref>F146:T146</xm:sqref>
        </x14:conditionalFormatting>
        <x14:conditionalFormatting xmlns:xm="http://schemas.microsoft.com/office/excel/2006/main">
          <x14:cfRule type="expression" priority="4699042" id="{238C09E5-7A3D-439D-949F-A7733073F9A2}">
            <xm:f>$U$4='Data entry'!$R53</xm:f>
            <x14:dxf>
              <fill>
                <patternFill>
                  <bgColor rgb="FFFFFF00"/>
                </patternFill>
              </fill>
            </x14:dxf>
          </x14:cfRule>
          <xm:sqref>G146:U146</xm:sqref>
        </x14:conditionalFormatting>
        <x14:conditionalFormatting xmlns:xm="http://schemas.microsoft.com/office/excel/2006/main">
          <x14:cfRule type="expression" priority="4699043" id="{DE4D4432-0A19-452A-AF14-2873FE4DF411}">
            <xm:f>$AR$4='Data entry'!$R53</xm:f>
            <x14:dxf>
              <fill>
                <patternFill>
                  <bgColor rgb="FFFF0000"/>
                </patternFill>
              </fill>
            </x14:dxf>
          </x14:cfRule>
          <xm:sqref>AP147:BB147</xm:sqref>
        </x14:conditionalFormatting>
        <x14:conditionalFormatting xmlns:xm="http://schemas.microsoft.com/office/excel/2006/main">
          <x14:cfRule type="expression" priority="4699044" id="{90D7E1FF-542D-40C8-9BD5-DFEB4CDD256F}">
            <xm:f>$AR$4='Data entry'!$R53</xm:f>
            <x14:dxf>
              <fill>
                <patternFill>
                  <bgColor rgb="FFFFFF00"/>
                </patternFill>
              </fill>
            </x14:dxf>
          </x14:cfRule>
          <xm:sqref>AD146:AR146</xm:sqref>
        </x14:conditionalFormatting>
        <x14:conditionalFormatting xmlns:xm="http://schemas.microsoft.com/office/excel/2006/main">
          <x14:cfRule type="expression" priority="4699045" id="{0EBB5305-4A4A-4205-A1FF-11160070CBC3}">
            <xm:f>$AS$4='Data entry'!$R53</xm:f>
            <x14:dxf>
              <fill>
                <patternFill>
                  <bgColor rgb="FFFF0000"/>
                </patternFill>
              </fill>
            </x14:dxf>
          </x14:cfRule>
          <xm:sqref>AQ147:BC147</xm:sqref>
        </x14:conditionalFormatting>
        <x14:conditionalFormatting xmlns:xm="http://schemas.microsoft.com/office/excel/2006/main">
          <x14:cfRule type="expression" priority="4699046" id="{AC8EB30C-4253-4CE1-820E-1801F6D8D35B}">
            <xm:f>$AS$4='Data entry'!$R53</xm:f>
            <x14:dxf>
              <fill>
                <patternFill>
                  <bgColor rgb="FFFFFF00"/>
                </patternFill>
              </fill>
            </x14:dxf>
          </x14:cfRule>
          <xm:sqref>AE146:AS146</xm:sqref>
        </x14:conditionalFormatting>
        <x14:conditionalFormatting xmlns:xm="http://schemas.microsoft.com/office/excel/2006/main">
          <x14:cfRule type="expression" priority="4699047" id="{E11744C1-7201-4272-A1B0-945490B42425}">
            <xm:f>$AT$4='Data entry'!$R53</xm:f>
            <x14:dxf>
              <fill>
                <patternFill>
                  <bgColor rgb="FFFF0000"/>
                </patternFill>
              </fill>
            </x14:dxf>
          </x14:cfRule>
          <xm:sqref>AR147:BD147</xm:sqref>
        </x14:conditionalFormatting>
        <x14:conditionalFormatting xmlns:xm="http://schemas.microsoft.com/office/excel/2006/main">
          <x14:cfRule type="expression" priority="4699048" id="{5EE2823B-E955-4EA7-B99C-0B1F77B57A69}">
            <xm:f>$AT$4='Data entry'!$R53</xm:f>
            <x14:dxf>
              <fill>
                <patternFill>
                  <bgColor rgb="FFFFFF00"/>
                </patternFill>
              </fill>
            </x14:dxf>
          </x14:cfRule>
          <xm:sqref>AF146:AT146</xm:sqref>
        </x14:conditionalFormatting>
        <x14:conditionalFormatting xmlns:xm="http://schemas.microsoft.com/office/excel/2006/main">
          <x14:cfRule type="expression" priority="4699049" id="{5737DC63-3262-4B34-900C-2AAEB255FCBA}">
            <xm:f>$AU$4='Data entry'!$R53</xm:f>
            <x14:dxf>
              <fill>
                <patternFill>
                  <bgColor rgb="FFFF0000"/>
                </patternFill>
              </fill>
            </x14:dxf>
          </x14:cfRule>
          <xm:sqref>AS147:BE147</xm:sqref>
        </x14:conditionalFormatting>
        <x14:conditionalFormatting xmlns:xm="http://schemas.microsoft.com/office/excel/2006/main">
          <x14:cfRule type="expression" priority="4699050" id="{2B5C1F1B-3C3D-4CA3-BC64-0E98422075B6}">
            <xm:f>$AU$4='Data entry'!$R53</xm:f>
            <x14:dxf>
              <fill>
                <patternFill>
                  <bgColor rgb="FFFFFF00"/>
                </patternFill>
              </fill>
            </x14:dxf>
          </x14:cfRule>
          <xm:sqref>AG146:AU146</xm:sqref>
        </x14:conditionalFormatting>
        <x14:conditionalFormatting xmlns:xm="http://schemas.microsoft.com/office/excel/2006/main">
          <x14:cfRule type="expression" priority="4699051" id="{B87A1285-B003-4855-8F4B-53C391BA10E6}">
            <xm:f>$AV$4='Data entry'!$R53</xm:f>
            <x14:dxf>
              <fill>
                <patternFill>
                  <bgColor rgb="FFFF0000"/>
                </patternFill>
              </fill>
            </x14:dxf>
          </x14:cfRule>
          <xm:sqref>AT147:BF147</xm:sqref>
        </x14:conditionalFormatting>
        <x14:conditionalFormatting xmlns:xm="http://schemas.microsoft.com/office/excel/2006/main">
          <x14:cfRule type="expression" priority="4699052" id="{338EE31C-78DB-4818-B837-0380F9E457FA}">
            <xm:f>$AV$4='Data entry'!$R53</xm:f>
            <x14:dxf>
              <fill>
                <patternFill>
                  <bgColor rgb="FFFFFF00"/>
                </patternFill>
              </fill>
            </x14:dxf>
          </x14:cfRule>
          <xm:sqref>AH146:AV146</xm:sqref>
        </x14:conditionalFormatting>
        <x14:conditionalFormatting xmlns:xm="http://schemas.microsoft.com/office/excel/2006/main">
          <x14:cfRule type="expression" priority="4699053" id="{5C40EA66-2801-4C91-B885-BF6A1ECFC35C}">
            <xm:f>$AW$4='Data entry'!$R53</xm:f>
            <x14:dxf>
              <fill>
                <patternFill>
                  <bgColor rgb="FFFF0000"/>
                </patternFill>
              </fill>
            </x14:dxf>
          </x14:cfRule>
          <xm:sqref>AU147:BG147</xm:sqref>
        </x14:conditionalFormatting>
        <x14:conditionalFormatting xmlns:xm="http://schemas.microsoft.com/office/excel/2006/main">
          <x14:cfRule type="expression" priority="4699054" id="{51BCD5CE-DF86-4C2F-8A81-DDA1EFD6C8F7}">
            <xm:f>$AW$4='Data entry'!$R53</xm:f>
            <x14:dxf>
              <fill>
                <patternFill>
                  <bgColor rgb="FFFFFF00"/>
                </patternFill>
              </fill>
            </x14:dxf>
          </x14:cfRule>
          <xm:sqref>AI146:AW146</xm:sqref>
        </x14:conditionalFormatting>
        <x14:conditionalFormatting xmlns:xm="http://schemas.microsoft.com/office/excel/2006/main">
          <x14:cfRule type="expression" priority="4699055" id="{DC2ED5A0-8917-4877-8CD3-9DF9BE5993C9}">
            <xm:f>$AX$4='Data entry'!$R53</xm:f>
            <x14:dxf>
              <fill>
                <patternFill>
                  <bgColor rgb="FFFF0000"/>
                </patternFill>
              </fill>
            </x14:dxf>
          </x14:cfRule>
          <xm:sqref>AV147:BH147</xm:sqref>
        </x14:conditionalFormatting>
        <x14:conditionalFormatting xmlns:xm="http://schemas.microsoft.com/office/excel/2006/main">
          <x14:cfRule type="expression" priority="4699056" id="{59B31869-20F9-45BD-BC80-0A6C8945CE2C}">
            <xm:f>$AX$4='Data entry'!$R53</xm:f>
            <x14:dxf>
              <fill>
                <patternFill>
                  <bgColor rgb="FFFFFF00"/>
                </patternFill>
              </fill>
            </x14:dxf>
          </x14:cfRule>
          <xm:sqref>AJ146:AX146</xm:sqref>
        </x14:conditionalFormatting>
        <x14:conditionalFormatting xmlns:xm="http://schemas.microsoft.com/office/excel/2006/main">
          <x14:cfRule type="expression" priority="4699057" id="{D4208FA0-4262-4037-934C-6D0742B2AD8E}">
            <xm:f>$AY$4='Data entry'!$R53</xm:f>
            <x14:dxf>
              <fill>
                <patternFill>
                  <bgColor rgb="FFFF0000"/>
                </patternFill>
              </fill>
            </x14:dxf>
          </x14:cfRule>
          <xm:sqref>AW147:BI147</xm:sqref>
        </x14:conditionalFormatting>
        <x14:conditionalFormatting xmlns:xm="http://schemas.microsoft.com/office/excel/2006/main">
          <x14:cfRule type="expression" priority="4699058" id="{04D6E423-18C7-42B2-A67D-F49D8E62B571}">
            <xm:f>$AY$4='Data entry'!$R53</xm:f>
            <x14:dxf>
              <fill>
                <patternFill>
                  <bgColor rgb="FFFFFF00"/>
                </patternFill>
              </fill>
            </x14:dxf>
          </x14:cfRule>
          <xm:sqref>AK146:AY146</xm:sqref>
        </x14:conditionalFormatting>
        <x14:conditionalFormatting xmlns:xm="http://schemas.microsoft.com/office/excel/2006/main">
          <x14:cfRule type="expression" priority="4699059" id="{A931C203-6E4B-4EBD-A2F4-1876881F48D4}">
            <xm:f>$AZ$4='Data entry'!$R53</xm:f>
            <x14:dxf>
              <fill>
                <patternFill>
                  <bgColor rgb="FFFF0000"/>
                </patternFill>
              </fill>
            </x14:dxf>
          </x14:cfRule>
          <xm:sqref>AX147:BJ147</xm:sqref>
        </x14:conditionalFormatting>
        <x14:conditionalFormatting xmlns:xm="http://schemas.microsoft.com/office/excel/2006/main">
          <x14:cfRule type="expression" priority="4699060" id="{092D9100-E652-40FE-8CAA-720DC0681250}">
            <xm:f>$AZ$4='Data entry'!$R53</xm:f>
            <x14:dxf>
              <fill>
                <patternFill>
                  <bgColor rgb="FFFFFF00"/>
                </patternFill>
              </fill>
            </x14:dxf>
          </x14:cfRule>
          <xm:sqref>AL146:AZ146</xm:sqref>
        </x14:conditionalFormatting>
        <x14:conditionalFormatting xmlns:xm="http://schemas.microsoft.com/office/excel/2006/main">
          <x14:cfRule type="expression" priority="4699061" id="{A3C7E6BE-A225-483C-A983-A915DB662C52}">
            <xm:f>$BA$4='Data entry'!$R53</xm:f>
            <x14:dxf>
              <fill>
                <patternFill>
                  <bgColor rgb="FFFF0000"/>
                </patternFill>
              </fill>
            </x14:dxf>
          </x14:cfRule>
          <xm:sqref>AY147:BK147</xm:sqref>
        </x14:conditionalFormatting>
        <x14:conditionalFormatting xmlns:xm="http://schemas.microsoft.com/office/excel/2006/main">
          <x14:cfRule type="expression" priority="4699062" id="{F5CF569A-8AFA-4CFF-8BD3-F04D8927A99F}">
            <xm:f>$BA$4='Data entry'!$R53</xm:f>
            <x14:dxf>
              <fill>
                <patternFill>
                  <bgColor rgb="FFFFFF00"/>
                </patternFill>
              </fill>
            </x14:dxf>
          </x14:cfRule>
          <xm:sqref>AM146:BA146</xm:sqref>
        </x14:conditionalFormatting>
        <x14:conditionalFormatting xmlns:xm="http://schemas.microsoft.com/office/excel/2006/main">
          <x14:cfRule type="expression" priority="4699063" id="{E4DAC94A-7983-4BFB-A87B-45B58561841A}">
            <xm:f>$BB$4='Data entry'!$R53</xm:f>
            <x14:dxf>
              <fill>
                <patternFill>
                  <bgColor rgb="FFFF0000"/>
                </patternFill>
              </fill>
            </x14:dxf>
          </x14:cfRule>
          <xm:sqref>AZ147:BL147</xm:sqref>
        </x14:conditionalFormatting>
        <x14:conditionalFormatting xmlns:xm="http://schemas.microsoft.com/office/excel/2006/main">
          <x14:cfRule type="expression" priority="4699064" id="{E63849C5-F39B-4B0E-8F8A-B532EDF2CBAE}">
            <xm:f>$BB$4='Data entry'!$R53</xm:f>
            <x14:dxf>
              <fill>
                <patternFill>
                  <bgColor rgb="FFFFFF00"/>
                </patternFill>
              </fill>
            </x14:dxf>
          </x14:cfRule>
          <xm:sqref>AN146:BB146</xm:sqref>
        </x14:conditionalFormatting>
        <x14:conditionalFormatting xmlns:xm="http://schemas.microsoft.com/office/excel/2006/main">
          <x14:cfRule type="expression" priority="4699065" id="{4FDC32D3-C1F5-455D-9AA4-A03359B72526}">
            <xm:f>$BC$4='Data entry'!$R53</xm:f>
            <x14:dxf>
              <fill>
                <patternFill>
                  <bgColor rgb="FFFF0000"/>
                </patternFill>
              </fill>
            </x14:dxf>
          </x14:cfRule>
          <xm:sqref>BA147:BM147</xm:sqref>
        </x14:conditionalFormatting>
        <x14:conditionalFormatting xmlns:xm="http://schemas.microsoft.com/office/excel/2006/main">
          <x14:cfRule type="expression" priority="4699066" id="{5F0D0C60-B233-4C56-B05D-98C99990877F}">
            <xm:f>$BC$4='Data entry'!$R53</xm:f>
            <x14:dxf>
              <fill>
                <patternFill>
                  <bgColor rgb="FFFFFF00"/>
                </patternFill>
              </fill>
            </x14:dxf>
          </x14:cfRule>
          <xm:sqref>AO146:BC146</xm:sqref>
        </x14:conditionalFormatting>
        <x14:conditionalFormatting xmlns:xm="http://schemas.microsoft.com/office/excel/2006/main">
          <x14:cfRule type="expression" priority="4699067" id="{9EBCB60F-8135-43B6-A0F3-548D4092CC98}">
            <xm:f>$BD$4='Data entry'!$R53</xm:f>
            <x14:dxf>
              <fill>
                <patternFill>
                  <bgColor rgb="FFFF0000"/>
                </patternFill>
              </fill>
            </x14:dxf>
          </x14:cfRule>
          <xm:sqref>BB147:BN147</xm:sqref>
        </x14:conditionalFormatting>
        <x14:conditionalFormatting xmlns:xm="http://schemas.microsoft.com/office/excel/2006/main">
          <x14:cfRule type="expression" priority="4699068" id="{961AF346-4A73-41ED-9A8D-27D431B09C05}">
            <xm:f>$BD$4='Data entry'!$R53</xm:f>
            <x14:dxf>
              <fill>
                <patternFill>
                  <bgColor rgb="FFFFFF00"/>
                </patternFill>
              </fill>
            </x14:dxf>
          </x14:cfRule>
          <xm:sqref>AP146:BD146</xm:sqref>
        </x14:conditionalFormatting>
        <x14:conditionalFormatting xmlns:xm="http://schemas.microsoft.com/office/excel/2006/main">
          <x14:cfRule type="expression" priority="4699069" id="{5A887026-27CD-4F8C-8BA6-1E92704C1CA6}">
            <xm:f>$BE$4='Data entry'!$R53</xm:f>
            <x14:dxf>
              <fill>
                <patternFill>
                  <bgColor rgb="FFFF0000"/>
                </patternFill>
              </fill>
            </x14:dxf>
          </x14:cfRule>
          <xm:sqref>BC147:BO147</xm:sqref>
        </x14:conditionalFormatting>
        <x14:conditionalFormatting xmlns:xm="http://schemas.microsoft.com/office/excel/2006/main">
          <x14:cfRule type="expression" priority="4699070" id="{7F46217B-A1E9-4515-B31E-E756FCD7C6D9}">
            <xm:f>$BE$4='Data entry'!$R53</xm:f>
            <x14:dxf>
              <fill>
                <patternFill>
                  <bgColor rgb="FFFFFF00"/>
                </patternFill>
              </fill>
            </x14:dxf>
          </x14:cfRule>
          <xm:sqref>AP146:BE146</xm:sqref>
        </x14:conditionalFormatting>
        <x14:conditionalFormatting xmlns:xm="http://schemas.microsoft.com/office/excel/2006/main">
          <x14:cfRule type="expression" priority="4699071" id="{F4D9285C-8CA0-4EF1-943E-6A462D47CC77}">
            <xm:f>$BF$4='Data entry'!$R53</xm:f>
            <x14:dxf>
              <fill>
                <patternFill>
                  <bgColor rgb="FFFF0000"/>
                </patternFill>
              </fill>
            </x14:dxf>
          </x14:cfRule>
          <xm:sqref>BD147:BP147</xm:sqref>
        </x14:conditionalFormatting>
        <x14:conditionalFormatting xmlns:xm="http://schemas.microsoft.com/office/excel/2006/main">
          <x14:cfRule type="expression" priority="4699072" id="{B9E4407D-651D-4DC0-9D61-3271D62A65E9}">
            <xm:f>$BF$4='Data entry'!$R53</xm:f>
            <x14:dxf>
              <fill>
                <patternFill>
                  <bgColor rgb="FFFFFF00"/>
                </patternFill>
              </fill>
            </x14:dxf>
          </x14:cfRule>
          <xm:sqref>AR146:BF146</xm:sqref>
        </x14:conditionalFormatting>
        <x14:conditionalFormatting xmlns:xm="http://schemas.microsoft.com/office/excel/2006/main">
          <x14:cfRule type="expression" priority="4699073" id="{4CDC062F-DDFF-4556-B941-08F919727F69}">
            <xm:f>$BG$4='Data entry'!$R53</xm:f>
            <x14:dxf>
              <fill>
                <patternFill>
                  <bgColor rgb="FFFF0000"/>
                </patternFill>
              </fill>
            </x14:dxf>
          </x14:cfRule>
          <xm:sqref>BE147:BQ147</xm:sqref>
        </x14:conditionalFormatting>
        <x14:conditionalFormatting xmlns:xm="http://schemas.microsoft.com/office/excel/2006/main">
          <x14:cfRule type="expression" priority="4699074" id="{789184FA-9055-433B-8A1B-92C7ED59E81F}">
            <xm:f>$BG$4='Data entry'!$R53</xm:f>
            <x14:dxf>
              <fill>
                <patternFill>
                  <bgColor rgb="FFFFFF00"/>
                </patternFill>
              </fill>
            </x14:dxf>
          </x14:cfRule>
          <xm:sqref>AS146:BG146</xm:sqref>
        </x14:conditionalFormatting>
        <x14:conditionalFormatting xmlns:xm="http://schemas.microsoft.com/office/excel/2006/main">
          <x14:cfRule type="expression" priority="4699075" id="{58651E5C-09C9-46C1-B95C-E8A578A49E15}">
            <xm:f>$BH$4='Data entry'!$R53</xm:f>
            <x14:dxf>
              <fill>
                <patternFill>
                  <bgColor rgb="FFFFFF00"/>
                </patternFill>
              </fill>
            </x14:dxf>
          </x14:cfRule>
          <xm:sqref>AT146:BH146</xm:sqref>
        </x14:conditionalFormatting>
        <x14:conditionalFormatting xmlns:xm="http://schemas.microsoft.com/office/excel/2006/main">
          <x14:cfRule type="expression" priority="4699076" id="{97B30B86-8311-4DC0-A533-8C0D53F37839}">
            <xm:f>$BH$4='Data entry'!$R53</xm:f>
            <x14:dxf>
              <fill>
                <patternFill>
                  <bgColor rgb="FFFF0000"/>
                </patternFill>
              </fill>
            </x14:dxf>
          </x14:cfRule>
          <xm:sqref>BF147:BR147</xm:sqref>
        </x14:conditionalFormatting>
        <x14:conditionalFormatting xmlns:xm="http://schemas.microsoft.com/office/excel/2006/main">
          <x14:cfRule type="expression" priority="4699077" id="{78344C0C-5AEA-40B1-A20C-6D77DF58E1F5}">
            <xm:f>$BI$4='Data entry'!$R53</xm:f>
            <x14:dxf>
              <fill>
                <patternFill>
                  <bgColor rgb="FFFFFF00"/>
                </patternFill>
              </fill>
            </x14:dxf>
          </x14:cfRule>
          <xm:sqref>AU146:BI146</xm:sqref>
        </x14:conditionalFormatting>
        <x14:conditionalFormatting xmlns:xm="http://schemas.microsoft.com/office/excel/2006/main">
          <x14:cfRule type="expression" priority="4699078" id="{A9CE044F-482E-4F25-B28F-89ACC58502B1}">
            <xm:f>$BI$4='Data entry'!$R53</xm:f>
            <x14:dxf>
              <fill>
                <patternFill>
                  <bgColor rgb="FFFF0000"/>
                </patternFill>
              </fill>
            </x14:dxf>
          </x14:cfRule>
          <xm:sqref>BG147:BS147</xm:sqref>
        </x14:conditionalFormatting>
        <x14:conditionalFormatting xmlns:xm="http://schemas.microsoft.com/office/excel/2006/main">
          <x14:cfRule type="expression" priority="4699079" id="{F63BE0EB-3C71-4456-BEF0-11180AB7A8BB}">
            <xm:f>$BJ$4='Data entry'!$R53</xm:f>
            <x14:dxf>
              <fill>
                <patternFill>
                  <bgColor rgb="FFFFFF00"/>
                </patternFill>
              </fill>
            </x14:dxf>
          </x14:cfRule>
          <xm:sqref>AV146:BJ146</xm:sqref>
        </x14:conditionalFormatting>
        <x14:conditionalFormatting xmlns:xm="http://schemas.microsoft.com/office/excel/2006/main">
          <x14:cfRule type="expression" priority="4699080" id="{478A5DCB-1DAA-4497-A6CC-B4F01FB96D10}">
            <xm:f>$BJ$4='Data entry'!$R53</xm:f>
            <x14:dxf>
              <fill>
                <patternFill>
                  <bgColor rgb="FFFF0000"/>
                </patternFill>
              </fill>
            </x14:dxf>
          </x14:cfRule>
          <xm:sqref>BH147:BT147</xm:sqref>
        </x14:conditionalFormatting>
        <x14:conditionalFormatting xmlns:xm="http://schemas.microsoft.com/office/excel/2006/main">
          <x14:cfRule type="expression" priority="4699081" id="{CDE4AD5B-65A6-4FA4-9EC0-8D05F22312A9}">
            <xm:f>$BK$4='Data entry'!$R53</xm:f>
            <x14:dxf>
              <fill>
                <patternFill>
                  <bgColor rgb="FFFF0000"/>
                </patternFill>
              </fill>
            </x14:dxf>
          </x14:cfRule>
          <xm:sqref>BI147:BU147</xm:sqref>
        </x14:conditionalFormatting>
        <x14:conditionalFormatting xmlns:xm="http://schemas.microsoft.com/office/excel/2006/main">
          <x14:cfRule type="expression" priority="4699082" id="{AB32E790-6CD8-4D11-9A69-57D785FE4BBC}">
            <xm:f>$BK$4='Data entry'!$R53</xm:f>
            <x14:dxf>
              <fill>
                <patternFill>
                  <bgColor rgb="FFFFFF00"/>
                </patternFill>
              </fill>
            </x14:dxf>
          </x14:cfRule>
          <xm:sqref>AW146:BK146</xm:sqref>
        </x14:conditionalFormatting>
        <x14:conditionalFormatting xmlns:xm="http://schemas.microsoft.com/office/excel/2006/main">
          <x14:cfRule type="expression" priority="4699083" id="{99810EB9-805C-43D8-852A-EEECE7874CDB}">
            <xm:f>$BL$4='Data entry'!$R53</xm:f>
            <x14:dxf>
              <fill>
                <patternFill>
                  <bgColor rgb="FFFF0000"/>
                </patternFill>
              </fill>
            </x14:dxf>
          </x14:cfRule>
          <xm:sqref>BJ147:BV147</xm:sqref>
        </x14:conditionalFormatting>
        <x14:conditionalFormatting xmlns:xm="http://schemas.microsoft.com/office/excel/2006/main">
          <x14:cfRule type="expression" priority="4699084" id="{BF5F5475-4E46-479C-97A6-D5175F5D1803}">
            <xm:f>$BL$4='Data entry'!$R53</xm:f>
            <x14:dxf>
              <fill>
                <patternFill>
                  <bgColor rgb="FFFFFF00"/>
                </patternFill>
              </fill>
            </x14:dxf>
          </x14:cfRule>
          <xm:sqref>AX146:BL146</xm:sqref>
        </x14:conditionalFormatting>
        <x14:conditionalFormatting xmlns:xm="http://schemas.microsoft.com/office/excel/2006/main">
          <x14:cfRule type="expression" priority="4699085" id="{B86FDF2F-16C9-46B1-847E-7EA1A8A34B9D}">
            <xm:f>$BM$4='Data entry'!$R53</xm:f>
            <x14:dxf>
              <fill>
                <patternFill>
                  <bgColor rgb="FFFF0000"/>
                </patternFill>
              </fill>
            </x14:dxf>
          </x14:cfRule>
          <xm:sqref>BK147:BW147</xm:sqref>
        </x14:conditionalFormatting>
        <x14:conditionalFormatting xmlns:xm="http://schemas.microsoft.com/office/excel/2006/main">
          <x14:cfRule type="expression" priority="4699086" id="{72FD189F-4CED-400D-9FEF-21A328970A4D}">
            <xm:f>$BM$4='Data entry'!$R53</xm:f>
            <x14:dxf>
              <fill>
                <patternFill>
                  <bgColor rgb="FFFFFF00"/>
                </patternFill>
              </fill>
            </x14:dxf>
          </x14:cfRule>
          <xm:sqref>AY146:BM146</xm:sqref>
        </x14:conditionalFormatting>
        <x14:conditionalFormatting xmlns:xm="http://schemas.microsoft.com/office/excel/2006/main">
          <x14:cfRule type="expression" priority="4699087" id="{BBBBF859-D5A7-4F55-BFBF-8A77E3357590}">
            <xm:f>$BN$4='Data entry'!$R53</xm:f>
            <x14:dxf>
              <fill>
                <patternFill>
                  <bgColor rgb="FFFF0000"/>
                </patternFill>
              </fill>
            </x14:dxf>
          </x14:cfRule>
          <xm:sqref>BL147:BX147</xm:sqref>
        </x14:conditionalFormatting>
        <x14:conditionalFormatting xmlns:xm="http://schemas.microsoft.com/office/excel/2006/main">
          <x14:cfRule type="expression" priority="4699088" id="{50CB1D75-0FD5-4D24-92B1-E8A41DC6575C}">
            <xm:f>$BN$4='Data entry'!$R53</xm:f>
            <x14:dxf>
              <fill>
                <patternFill>
                  <bgColor rgb="FFFFFF00"/>
                </patternFill>
              </fill>
            </x14:dxf>
          </x14:cfRule>
          <xm:sqref>AZ146:BN146</xm:sqref>
        </x14:conditionalFormatting>
        <x14:conditionalFormatting xmlns:xm="http://schemas.microsoft.com/office/excel/2006/main">
          <x14:cfRule type="expression" priority="4699089" id="{9EF3226D-E8FC-496B-A6FF-71776AEA54D1}">
            <xm:f>$BO$4='Data entry'!$R53</xm:f>
            <x14:dxf>
              <fill>
                <patternFill>
                  <bgColor rgb="FFFF0000"/>
                </patternFill>
              </fill>
            </x14:dxf>
          </x14:cfRule>
          <xm:sqref>BM147:BY147</xm:sqref>
        </x14:conditionalFormatting>
        <x14:conditionalFormatting xmlns:xm="http://schemas.microsoft.com/office/excel/2006/main">
          <x14:cfRule type="expression" priority="4699090" id="{3B86C801-ECFE-4D05-8AA5-1581116BAFBC}">
            <xm:f>$BO$4='Data entry'!$R53</xm:f>
            <x14:dxf>
              <fill>
                <patternFill>
                  <bgColor rgb="FFFFFF00"/>
                </patternFill>
              </fill>
            </x14:dxf>
          </x14:cfRule>
          <xm:sqref>BA146:BO146</xm:sqref>
        </x14:conditionalFormatting>
        <x14:conditionalFormatting xmlns:xm="http://schemas.microsoft.com/office/excel/2006/main">
          <x14:cfRule type="expression" priority="4699091" id="{058A23EC-3371-4A02-9F20-1ECA603AC6BC}">
            <xm:f>$BP$4='Data entry'!$R53</xm:f>
            <x14:dxf>
              <fill>
                <patternFill>
                  <bgColor rgb="FFFF0000"/>
                </patternFill>
              </fill>
            </x14:dxf>
          </x14:cfRule>
          <xm:sqref>BN147:BZ147</xm:sqref>
        </x14:conditionalFormatting>
        <x14:conditionalFormatting xmlns:xm="http://schemas.microsoft.com/office/excel/2006/main">
          <x14:cfRule type="expression" priority="4699092" id="{3E711E31-3992-4555-AB22-87133D60CD15}">
            <xm:f>$BP$4='Data entry'!$R53</xm:f>
            <x14:dxf>
              <fill>
                <patternFill>
                  <bgColor rgb="FFFFFF00"/>
                </patternFill>
              </fill>
            </x14:dxf>
          </x14:cfRule>
          <xm:sqref>BB146:BP146</xm:sqref>
        </x14:conditionalFormatting>
        <x14:conditionalFormatting xmlns:xm="http://schemas.microsoft.com/office/excel/2006/main">
          <x14:cfRule type="expression" priority="4699093" id="{23E9F8B9-37D5-4730-9453-6F23E8ECBBE3}">
            <xm:f>$BQ$4='Data entry'!$R53</xm:f>
            <x14:dxf>
              <fill>
                <patternFill>
                  <bgColor rgb="FFFFFF00"/>
                </patternFill>
              </fill>
            </x14:dxf>
          </x14:cfRule>
          <xm:sqref>BC146:BQ146</xm:sqref>
        </x14:conditionalFormatting>
        <x14:conditionalFormatting xmlns:xm="http://schemas.microsoft.com/office/excel/2006/main">
          <x14:cfRule type="expression" priority="4699094" id="{BCFD92F6-AAD3-44FD-BC61-A292A81B883E}">
            <xm:f>$BQ$4='Data entry'!$R53</xm:f>
            <x14:dxf>
              <fill>
                <patternFill>
                  <bgColor rgb="FFFF0000"/>
                </patternFill>
              </fill>
            </x14:dxf>
          </x14:cfRule>
          <xm:sqref>BO147:CA147</xm:sqref>
        </x14:conditionalFormatting>
        <x14:conditionalFormatting xmlns:xm="http://schemas.microsoft.com/office/excel/2006/main">
          <x14:cfRule type="expression" priority="4699095" id="{357D60E5-F356-477E-8020-A18F42C02832}">
            <xm:f>$BR$4='Data entry'!$R53</xm:f>
            <x14:dxf>
              <fill>
                <patternFill>
                  <bgColor rgb="FFFFFF00"/>
                </patternFill>
              </fill>
            </x14:dxf>
          </x14:cfRule>
          <xm:sqref>BD146:BR146</xm:sqref>
        </x14:conditionalFormatting>
        <x14:conditionalFormatting xmlns:xm="http://schemas.microsoft.com/office/excel/2006/main">
          <x14:cfRule type="expression" priority="4699096" id="{DA2B6511-43B3-432D-B6AA-1DB1188B90A6}">
            <xm:f>$BR$4='Data entry'!$R53</xm:f>
            <x14:dxf>
              <fill>
                <patternFill>
                  <bgColor rgb="FFFF0000"/>
                </patternFill>
              </fill>
            </x14:dxf>
          </x14:cfRule>
          <xm:sqref>BP147:CB147</xm:sqref>
        </x14:conditionalFormatting>
        <x14:conditionalFormatting xmlns:xm="http://schemas.microsoft.com/office/excel/2006/main">
          <x14:cfRule type="expression" priority="4699097" id="{0D5F64E4-4136-4BFA-B833-CC8578525D9C}">
            <xm:f>$BS$4='Data entry'!$R53</xm:f>
            <x14:dxf>
              <fill>
                <patternFill>
                  <bgColor rgb="FFFFFF00"/>
                </patternFill>
              </fill>
            </x14:dxf>
          </x14:cfRule>
          <xm:sqref>BE146:BS146</xm:sqref>
        </x14:conditionalFormatting>
        <x14:conditionalFormatting xmlns:xm="http://schemas.microsoft.com/office/excel/2006/main">
          <x14:cfRule type="expression" priority="4699098" id="{AC94D468-F078-4AE2-8771-102996E07B09}">
            <xm:f>$BS$4='Data entry'!$R53</xm:f>
            <x14:dxf>
              <fill>
                <patternFill>
                  <bgColor rgb="FFFF0000"/>
                </patternFill>
              </fill>
            </x14:dxf>
          </x14:cfRule>
          <xm:sqref>BQ147:CC147</xm:sqref>
        </x14:conditionalFormatting>
        <x14:conditionalFormatting xmlns:xm="http://schemas.microsoft.com/office/excel/2006/main">
          <x14:cfRule type="expression" priority="4699099" id="{10E78F76-181E-4F19-9F89-7DD36D3EFE30}">
            <xm:f>$BT$4='Data entry'!$R53</xm:f>
            <x14:dxf>
              <fill>
                <patternFill>
                  <bgColor rgb="FFFFFF00"/>
                </patternFill>
              </fill>
            </x14:dxf>
          </x14:cfRule>
          <xm:sqref>BF146:BT146</xm:sqref>
        </x14:conditionalFormatting>
        <x14:conditionalFormatting xmlns:xm="http://schemas.microsoft.com/office/excel/2006/main">
          <x14:cfRule type="expression" priority="4699100" id="{6A5FADC6-9512-4EFB-90A5-7B5244D10D1F}">
            <xm:f>$BT$4='Data entry'!$R53</xm:f>
            <x14:dxf>
              <fill>
                <patternFill>
                  <bgColor rgb="FFFF0000"/>
                </patternFill>
              </fill>
            </x14:dxf>
          </x14:cfRule>
          <xm:sqref>BR147:CC147</xm:sqref>
        </x14:conditionalFormatting>
        <x14:conditionalFormatting xmlns:xm="http://schemas.microsoft.com/office/excel/2006/main">
          <x14:cfRule type="expression" priority="4699101" id="{A51139D1-8841-4B96-B8CB-DFE3808765CF}">
            <xm:f>$BU$4='Data entry'!$R53</xm:f>
            <x14:dxf>
              <fill>
                <patternFill>
                  <bgColor rgb="FFFFFF00"/>
                </patternFill>
              </fill>
            </x14:dxf>
          </x14:cfRule>
          <xm:sqref>BG146:BU146</xm:sqref>
        </x14:conditionalFormatting>
        <x14:conditionalFormatting xmlns:xm="http://schemas.microsoft.com/office/excel/2006/main">
          <x14:cfRule type="expression" priority="4699102" id="{55CA7258-760F-4BFF-ACB5-A70FEB3E7981}">
            <xm:f>$BU$4='Data entry'!$R53</xm:f>
            <x14:dxf>
              <fill>
                <patternFill>
                  <bgColor rgb="FFFF0000"/>
                </patternFill>
              </fill>
            </x14:dxf>
          </x14:cfRule>
          <xm:sqref>BS147:CC147</xm:sqref>
        </x14:conditionalFormatting>
        <x14:conditionalFormatting xmlns:xm="http://schemas.microsoft.com/office/excel/2006/main">
          <x14:cfRule type="expression" priority="4699103" id="{A922B218-64DB-4CBB-9AB8-FE0EBB44E09E}">
            <xm:f>$BV$4='Data entry'!$R53</xm:f>
            <x14:dxf>
              <fill>
                <patternFill>
                  <bgColor rgb="FFFFFF00"/>
                </patternFill>
              </fill>
            </x14:dxf>
          </x14:cfRule>
          <xm:sqref>BH146:BV146</xm:sqref>
        </x14:conditionalFormatting>
        <x14:conditionalFormatting xmlns:xm="http://schemas.microsoft.com/office/excel/2006/main">
          <x14:cfRule type="expression" priority="4699104" id="{C98E908A-CD31-4778-B41C-7AFB9DBE639A}">
            <xm:f>$BV$4='Data entry'!$R53</xm:f>
            <x14:dxf>
              <fill>
                <patternFill>
                  <bgColor rgb="FFFF0000"/>
                </patternFill>
              </fill>
            </x14:dxf>
          </x14:cfRule>
          <xm:sqref>BT147:CC147</xm:sqref>
        </x14:conditionalFormatting>
        <x14:conditionalFormatting xmlns:xm="http://schemas.microsoft.com/office/excel/2006/main">
          <x14:cfRule type="expression" priority="4699105" id="{465CCCA3-B4DB-4B61-8AC7-8A5E4CEC9E3F}">
            <xm:f>$BW$4='Data entry'!$R53</xm:f>
            <x14:dxf>
              <fill>
                <patternFill>
                  <bgColor rgb="FFFFFF00"/>
                </patternFill>
              </fill>
            </x14:dxf>
          </x14:cfRule>
          <xm:sqref>BI146:BW146</xm:sqref>
        </x14:conditionalFormatting>
        <x14:conditionalFormatting xmlns:xm="http://schemas.microsoft.com/office/excel/2006/main">
          <x14:cfRule type="expression" priority="4699106" id="{37566F97-6D06-400B-A709-FE657B07687F}">
            <xm:f>$BW$4='Data entry'!$R53</xm:f>
            <x14:dxf>
              <fill>
                <patternFill>
                  <bgColor rgb="FFFF0000"/>
                </patternFill>
              </fill>
            </x14:dxf>
          </x14:cfRule>
          <xm:sqref>BU147:CC147</xm:sqref>
        </x14:conditionalFormatting>
        <x14:conditionalFormatting xmlns:xm="http://schemas.microsoft.com/office/excel/2006/main">
          <x14:cfRule type="expression" priority="4699107" id="{D8FBA3AC-5CF0-4E45-97CA-1D4DEE729ADA}">
            <xm:f>$BX$4='Data entry'!$R53</xm:f>
            <x14:dxf>
              <fill>
                <patternFill>
                  <bgColor rgb="FFFFFF00"/>
                </patternFill>
              </fill>
            </x14:dxf>
          </x14:cfRule>
          <xm:sqref>BJ146:BX146</xm:sqref>
        </x14:conditionalFormatting>
        <x14:conditionalFormatting xmlns:xm="http://schemas.microsoft.com/office/excel/2006/main">
          <x14:cfRule type="expression" priority="4699108" id="{E077C84B-A94F-431D-B232-4AFCC7C64F54}">
            <xm:f>$BX$4='Data entry'!$R53</xm:f>
            <x14:dxf>
              <fill>
                <patternFill>
                  <bgColor rgb="FFFF0000"/>
                </patternFill>
              </fill>
            </x14:dxf>
          </x14:cfRule>
          <xm:sqref>BV147:CC147</xm:sqref>
        </x14:conditionalFormatting>
        <x14:conditionalFormatting xmlns:xm="http://schemas.microsoft.com/office/excel/2006/main">
          <x14:cfRule type="expression" priority="4699109" id="{63783BA8-0C97-4A44-86FD-7A2BCF1B9957}">
            <xm:f>$BY$4='Data entry'!$R53</xm:f>
            <x14:dxf>
              <fill>
                <patternFill>
                  <bgColor rgb="FFFFFF00"/>
                </patternFill>
              </fill>
            </x14:dxf>
          </x14:cfRule>
          <xm:sqref>BK146:BY146</xm:sqref>
        </x14:conditionalFormatting>
        <x14:conditionalFormatting xmlns:xm="http://schemas.microsoft.com/office/excel/2006/main">
          <x14:cfRule type="expression" priority="4699110" id="{BB8DB8B4-B71B-46D2-AEE7-346F16103F74}">
            <xm:f>$BY$4='Data entry'!$R53</xm:f>
            <x14:dxf>
              <fill>
                <patternFill>
                  <bgColor rgb="FFFF0000"/>
                </patternFill>
              </fill>
            </x14:dxf>
          </x14:cfRule>
          <xm:sqref>BW147:CC147</xm:sqref>
        </x14:conditionalFormatting>
        <x14:conditionalFormatting xmlns:xm="http://schemas.microsoft.com/office/excel/2006/main">
          <x14:cfRule type="expression" priority="4699111" id="{1B638B98-2B06-4FEB-90C1-446A3E0A3979}">
            <xm:f>$BZ$4='Data entry'!$R53</xm:f>
            <x14:dxf>
              <fill>
                <patternFill>
                  <bgColor rgb="FFFFFF00"/>
                </patternFill>
              </fill>
            </x14:dxf>
          </x14:cfRule>
          <xm:sqref>BL146:BZ146</xm:sqref>
        </x14:conditionalFormatting>
        <x14:conditionalFormatting xmlns:xm="http://schemas.microsoft.com/office/excel/2006/main">
          <x14:cfRule type="expression" priority="4699112" id="{D3A0A2F8-D1B2-4DC5-B2A9-0EF53074E685}">
            <xm:f>$BZ$4='Data entry'!$R53</xm:f>
            <x14:dxf>
              <fill>
                <patternFill>
                  <bgColor rgb="FFFF0000"/>
                </patternFill>
              </fill>
            </x14:dxf>
          </x14:cfRule>
          <xm:sqref>BX147:CC147</xm:sqref>
        </x14:conditionalFormatting>
        <x14:conditionalFormatting xmlns:xm="http://schemas.microsoft.com/office/excel/2006/main">
          <x14:cfRule type="expression" priority="4699113" id="{83F6D018-7D3B-4D33-9998-11572F2F2FF5}">
            <xm:f>$CA$4='Data entry'!$R53</xm:f>
            <x14:dxf>
              <fill>
                <patternFill>
                  <bgColor rgb="FFFFFF00"/>
                </patternFill>
              </fill>
            </x14:dxf>
          </x14:cfRule>
          <xm:sqref>BM146:CA146</xm:sqref>
        </x14:conditionalFormatting>
        <x14:conditionalFormatting xmlns:xm="http://schemas.microsoft.com/office/excel/2006/main">
          <x14:cfRule type="expression" priority="4699114" id="{8E6D0B51-5626-4ED9-9072-C7A2C139704F}">
            <xm:f>$CA$4='Data entry'!$R53</xm:f>
            <x14:dxf>
              <fill>
                <patternFill>
                  <bgColor rgb="FFFF0000"/>
                </patternFill>
              </fill>
            </x14:dxf>
          </x14:cfRule>
          <xm:sqref>BY147:CC147</xm:sqref>
        </x14:conditionalFormatting>
        <x14:conditionalFormatting xmlns:xm="http://schemas.microsoft.com/office/excel/2006/main">
          <x14:cfRule type="expression" priority="4699115" id="{E1886EE4-3BDE-43A9-9F4B-79377FEC37FE}">
            <xm:f>$CB$4='Data entry'!$R53</xm:f>
            <x14:dxf>
              <fill>
                <patternFill>
                  <bgColor rgb="FFFFFF00"/>
                </patternFill>
              </fill>
            </x14:dxf>
          </x14:cfRule>
          <xm:sqref>BN146:CB146</xm:sqref>
        </x14:conditionalFormatting>
        <x14:conditionalFormatting xmlns:xm="http://schemas.microsoft.com/office/excel/2006/main">
          <x14:cfRule type="expression" priority="4699116" id="{ADEF572A-6C18-4602-BB86-01C96D36E07E}">
            <xm:f>$CB$4='Data entry'!$R53</xm:f>
            <x14:dxf>
              <fill>
                <patternFill>
                  <bgColor rgb="FFFF0000"/>
                </patternFill>
              </fill>
            </x14:dxf>
          </x14:cfRule>
          <xm:sqref>BZ147:CC147</xm:sqref>
        </x14:conditionalFormatting>
        <x14:conditionalFormatting xmlns:xm="http://schemas.microsoft.com/office/excel/2006/main">
          <x14:cfRule type="expression" priority="4699117" id="{7984E1C9-E073-4955-8543-62145CB6D008}">
            <xm:f>$CC$4='Data entry'!$R53</xm:f>
            <x14:dxf>
              <fill>
                <patternFill>
                  <bgColor rgb="FFFFFF00"/>
                </patternFill>
              </fill>
            </x14:dxf>
          </x14:cfRule>
          <xm:sqref>BO146:CC146</xm:sqref>
        </x14:conditionalFormatting>
        <x14:conditionalFormatting xmlns:xm="http://schemas.microsoft.com/office/excel/2006/main">
          <x14:cfRule type="expression" priority="4699118" id="{18A957B3-59FA-4698-BA92-2A208FF18E2F}">
            <xm:f>$CC$4='Data entry'!$R53</xm:f>
            <x14:dxf>
              <fill>
                <patternFill>
                  <bgColor rgb="FFFF0000"/>
                </patternFill>
              </fill>
            </x14:dxf>
          </x14:cfRule>
          <xm:sqref>CA147:CC147</xm:sqref>
        </x14:conditionalFormatting>
        <x14:conditionalFormatting xmlns:xm="http://schemas.microsoft.com/office/excel/2006/main">
          <x14:cfRule type="expression" priority="4699205" id="{5B0DB825-B7C2-40AC-B7EF-F267F054CFB9}">
            <xm:f>$U$4='Data entry'!$R54</xm:f>
            <x14:dxf>
              <fill>
                <patternFill>
                  <bgColor rgb="FFFF0000"/>
                </patternFill>
              </fill>
            </x14:dxf>
          </x14:cfRule>
          <xm:sqref>S150:AE150</xm:sqref>
        </x14:conditionalFormatting>
        <x14:conditionalFormatting xmlns:xm="http://schemas.microsoft.com/office/excel/2006/main">
          <x14:cfRule type="expression" priority="4699206" id="{18311200-E2BB-400F-B594-3B9A2C6068C2}">
            <xm:f>$V$4='Data entry'!$R54</xm:f>
            <x14:dxf>
              <fill>
                <patternFill>
                  <bgColor rgb="FFFF0000"/>
                </patternFill>
              </fill>
            </x14:dxf>
          </x14:cfRule>
          <xm:sqref>T150:AF150</xm:sqref>
        </x14:conditionalFormatting>
        <x14:conditionalFormatting xmlns:xm="http://schemas.microsoft.com/office/excel/2006/main">
          <x14:cfRule type="expression" priority="4699207" id="{D6DFB621-1A58-4C59-A987-ECAD0EB2D32B}">
            <xm:f>$V$4='Data entry'!$R54</xm:f>
            <x14:dxf>
              <fill>
                <patternFill>
                  <bgColor rgb="FFFFFF00"/>
                </patternFill>
              </fill>
            </x14:dxf>
          </x14:cfRule>
          <xm:sqref>H149:V149</xm:sqref>
        </x14:conditionalFormatting>
        <x14:conditionalFormatting xmlns:xm="http://schemas.microsoft.com/office/excel/2006/main">
          <x14:cfRule type="expression" priority="4699208" id="{5F87A680-DC5F-433D-A779-B7A534ACCDA9}">
            <xm:f>$W$4='Data entry'!$R54</xm:f>
            <x14:dxf>
              <fill>
                <patternFill>
                  <bgColor rgb="FFFF0000"/>
                </patternFill>
              </fill>
            </x14:dxf>
          </x14:cfRule>
          <xm:sqref>U150:AG150</xm:sqref>
        </x14:conditionalFormatting>
        <x14:conditionalFormatting xmlns:xm="http://schemas.microsoft.com/office/excel/2006/main">
          <x14:cfRule type="expression" priority="4699209" id="{964539FF-A92C-4F68-B268-B7157A32678C}">
            <xm:f>$W$4='Data entry'!$R54</xm:f>
            <x14:dxf>
              <fill>
                <patternFill>
                  <bgColor rgb="FFFFFF00"/>
                </patternFill>
              </fill>
            </x14:dxf>
          </x14:cfRule>
          <xm:sqref>I149:W149</xm:sqref>
        </x14:conditionalFormatting>
        <x14:conditionalFormatting xmlns:xm="http://schemas.microsoft.com/office/excel/2006/main">
          <x14:cfRule type="expression" priority="4699210" id="{46C1533A-F090-4A90-9309-3F59EC3FD3B0}">
            <xm:f>$X$4='Data entry'!$R54</xm:f>
            <x14:dxf>
              <fill>
                <patternFill>
                  <bgColor rgb="FFFF0000"/>
                </patternFill>
              </fill>
            </x14:dxf>
          </x14:cfRule>
          <xm:sqref>V150:AH150</xm:sqref>
        </x14:conditionalFormatting>
        <x14:conditionalFormatting xmlns:xm="http://schemas.microsoft.com/office/excel/2006/main">
          <x14:cfRule type="expression" priority="4699211" id="{7C70E81C-DDD4-4D75-933A-4F6A39893184}">
            <xm:f>$X$4='Data entry'!$R54</xm:f>
            <x14:dxf>
              <fill>
                <patternFill>
                  <bgColor rgb="FFFFFF00"/>
                </patternFill>
              </fill>
            </x14:dxf>
          </x14:cfRule>
          <xm:sqref>J149:X149</xm:sqref>
        </x14:conditionalFormatting>
        <x14:conditionalFormatting xmlns:xm="http://schemas.microsoft.com/office/excel/2006/main">
          <x14:cfRule type="expression" priority="4699212" id="{561AF073-0EF8-4B72-A119-40A639C4359D}">
            <xm:f>$Y$4='Data entry'!$R54</xm:f>
            <x14:dxf>
              <fill>
                <patternFill>
                  <bgColor rgb="FFFF0000"/>
                </patternFill>
              </fill>
            </x14:dxf>
          </x14:cfRule>
          <xm:sqref>W150:AI150</xm:sqref>
        </x14:conditionalFormatting>
        <x14:conditionalFormatting xmlns:xm="http://schemas.microsoft.com/office/excel/2006/main">
          <x14:cfRule type="expression" priority="4699213" id="{F242E808-8F07-4A89-9524-7D4C767CE357}">
            <xm:f>$Y$4='Data entry'!$R54</xm:f>
            <x14:dxf>
              <fill>
                <patternFill>
                  <bgColor rgb="FFFFFF00"/>
                </patternFill>
              </fill>
            </x14:dxf>
          </x14:cfRule>
          <xm:sqref>K149:Y149</xm:sqref>
        </x14:conditionalFormatting>
        <x14:conditionalFormatting xmlns:xm="http://schemas.microsoft.com/office/excel/2006/main">
          <x14:cfRule type="expression" priority="4699214" id="{DD601058-982B-4218-BD9D-64BB823C2633}">
            <xm:f>$Z$4='Data entry'!$R54</xm:f>
            <x14:dxf>
              <fill>
                <patternFill>
                  <bgColor rgb="FFFF0000"/>
                </patternFill>
              </fill>
            </x14:dxf>
          </x14:cfRule>
          <xm:sqref>X150:AJ150</xm:sqref>
        </x14:conditionalFormatting>
        <x14:conditionalFormatting xmlns:xm="http://schemas.microsoft.com/office/excel/2006/main">
          <x14:cfRule type="expression" priority="4699215" id="{C9DB141D-79F6-4093-92A3-7BF7A1622985}">
            <xm:f>$Z$4='Data entry'!$R54</xm:f>
            <x14:dxf>
              <fill>
                <patternFill>
                  <bgColor rgb="FFFFFF00"/>
                </patternFill>
              </fill>
            </x14:dxf>
          </x14:cfRule>
          <xm:sqref>L149:Z149</xm:sqref>
        </x14:conditionalFormatting>
        <x14:conditionalFormatting xmlns:xm="http://schemas.microsoft.com/office/excel/2006/main">
          <x14:cfRule type="expression" priority="4699216" id="{710EB8D3-F5C0-4E3C-8214-2D0C4E26F649}">
            <xm:f>$AA$4='Data entry'!$R54</xm:f>
            <x14:dxf>
              <fill>
                <patternFill>
                  <bgColor rgb="FFFF0000"/>
                </patternFill>
              </fill>
            </x14:dxf>
          </x14:cfRule>
          <xm:sqref>Y150:AK150</xm:sqref>
        </x14:conditionalFormatting>
        <x14:conditionalFormatting xmlns:xm="http://schemas.microsoft.com/office/excel/2006/main">
          <x14:cfRule type="expression" priority="4699217" id="{33825D69-C967-4D27-B395-5D44A3083802}">
            <xm:f>$AA$4='Data entry'!$R54</xm:f>
            <x14:dxf>
              <fill>
                <patternFill>
                  <bgColor rgb="FFFFFF00"/>
                </patternFill>
              </fill>
            </x14:dxf>
          </x14:cfRule>
          <xm:sqref>M149:AA149</xm:sqref>
        </x14:conditionalFormatting>
        <x14:conditionalFormatting xmlns:xm="http://schemas.microsoft.com/office/excel/2006/main">
          <x14:cfRule type="expression" priority="4699218" id="{9811A97D-351B-4D32-8754-AF433277E62B}">
            <xm:f>$AB$4='Data entry'!$R54</xm:f>
            <x14:dxf>
              <fill>
                <patternFill>
                  <bgColor rgb="FFFF0000"/>
                </patternFill>
              </fill>
            </x14:dxf>
          </x14:cfRule>
          <xm:sqref>Z150:AL150</xm:sqref>
        </x14:conditionalFormatting>
        <x14:conditionalFormatting xmlns:xm="http://schemas.microsoft.com/office/excel/2006/main">
          <x14:cfRule type="expression" priority="4699219" id="{6DD3E556-C72E-438B-92DA-3096ED1E4178}">
            <xm:f>$AB$4='Data entry'!$R54</xm:f>
            <x14:dxf>
              <fill>
                <patternFill>
                  <bgColor rgb="FFFFFF00"/>
                </patternFill>
              </fill>
            </x14:dxf>
          </x14:cfRule>
          <xm:sqref>N149:AB149</xm:sqref>
        </x14:conditionalFormatting>
        <x14:conditionalFormatting xmlns:xm="http://schemas.microsoft.com/office/excel/2006/main">
          <x14:cfRule type="expression" priority="4699220" id="{C0DF7A1B-D6BC-4371-BD3A-F0708147FA1C}">
            <xm:f>$AC$4='Data entry'!$R54</xm:f>
            <x14:dxf>
              <fill>
                <patternFill>
                  <bgColor rgb="FFFF0000"/>
                </patternFill>
              </fill>
            </x14:dxf>
          </x14:cfRule>
          <xm:sqref>AA150:AM150</xm:sqref>
        </x14:conditionalFormatting>
        <x14:conditionalFormatting xmlns:xm="http://schemas.microsoft.com/office/excel/2006/main">
          <x14:cfRule type="expression" priority="4699221" id="{DB2E1F48-AF0E-41F9-A976-6B1963CA5711}">
            <xm:f>$AC$4='Data entry'!$R54</xm:f>
            <x14:dxf>
              <fill>
                <patternFill>
                  <bgColor rgb="FFFFFF00"/>
                </patternFill>
              </fill>
            </x14:dxf>
          </x14:cfRule>
          <xm:sqref>O149:AC149</xm:sqref>
        </x14:conditionalFormatting>
        <x14:conditionalFormatting xmlns:xm="http://schemas.microsoft.com/office/excel/2006/main">
          <x14:cfRule type="expression" priority="4699222" id="{89909907-F9A9-4AF9-BC1D-304710A43F50}">
            <xm:f>$AD$4='Data entry'!$R54</xm:f>
            <x14:dxf>
              <fill>
                <patternFill>
                  <bgColor rgb="FFFF0000"/>
                </patternFill>
              </fill>
            </x14:dxf>
          </x14:cfRule>
          <xm:sqref>AB150:AN150</xm:sqref>
        </x14:conditionalFormatting>
        <x14:conditionalFormatting xmlns:xm="http://schemas.microsoft.com/office/excel/2006/main">
          <x14:cfRule type="expression" priority="4699223" id="{729676B7-E331-43A4-ACC9-850DCEE76A0E}">
            <xm:f>$AD$4='Data entry'!$R54</xm:f>
            <x14:dxf>
              <fill>
                <patternFill>
                  <bgColor rgb="FFFFFF00"/>
                </patternFill>
              </fill>
            </x14:dxf>
          </x14:cfRule>
          <xm:sqref>P149:AD149</xm:sqref>
        </x14:conditionalFormatting>
        <x14:conditionalFormatting xmlns:xm="http://schemas.microsoft.com/office/excel/2006/main">
          <x14:cfRule type="expression" priority="4699224" id="{00DA2C55-350E-44AA-ABEA-808FABFDA737}">
            <xm:f>$AE$4='Data entry'!$R54</xm:f>
            <x14:dxf>
              <fill>
                <patternFill>
                  <bgColor rgb="FFFF0000"/>
                </patternFill>
              </fill>
            </x14:dxf>
          </x14:cfRule>
          <xm:sqref>AC150:AO150</xm:sqref>
        </x14:conditionalFormatting>
        <x14:conditionalFormatting xmlns:xm="http://schemas.microsoft.com/office/excel/2006/main">
          <x14:cfRule type="expression" priority="4699225" id="{373C95F1-00C1-45E9-B561-5224945BA4A4}">
            <xm:f>$AE$4='Data entry'!$R54</xm:f>
            <x14:dxf>
              <fill>
                <patternFill>
                  <bgColor rgb="FFFFFF00"/>
                </patternFill>
              </fill>
            </x14:dxf>
          </x14:cfRule>
          <xm:sqref>Q149:AE149</xm:sqref>
        </x14:conditionalFormatting>
        <x14:conditionalFormatting xmlns:xm="http://schemas.microsoft.com/office/excel/2006/main">
          <x14:cfRule type="expression" priority="4699226" id="{65E90E74-6BEF-4B00-BD5E-ECACFEBC225A}">
            <xm:f>$AF$4='Data entry'!$R54</xm:f>
            <x14:dxf>
              <fill>
                <patternFill>
                  <bgColor rgb="FFFF0000"/>
                </patternFill>
              </fill>
            </x14:dxf>
          </x14:cfRule>
          <xm:sqref>AD150:AP150</xm:sqref>
        </x14:conditionalFormatting>
        <x14:conditionalFormatting xmlns:xm="http://schemas.microsoft.com/office/excel/2006/main">
          <x14:cfRule type="expression" priority="4699227" id="{56B519D7-E083-4811-B42B-D6CB10D44BB3}">
            <xm:f>$AF$4='Data entry'!$R54</xm:f>
            <x14:dxf>
              <fill>
                <patternFill>
                  <bgColor rgb="FFFFFF00"/>
                </patternFill>
              </fill>
            </x14:dxf>
          </x14:cfRule>
          <xm:sqref>R149:AF149</xm:sqref>
        </x14:conditionalFormatting>
        <x14:conditionalFormatting xmlns:xm="http://schemas.microsoft.com/office/excel/2006/main">
          <x14:cfRule type="expression" priority="4699228" id="{889682B6-BF9B-414B-86B7-1C802156B058}">
            <xm:f>$AG$4='Data entry'!$R54</xm:f>
            <x14:dxf>
              <fill>
                <patternFill>
                  <bgColor rgb="FFFF0000"/>
                </patternFill>
              </fill>
            </x14:dxf>
          </x14:cfRule>
          <xm:sqref>AE150:AQ150</xm:sqref>
        </x14:conditionalFormatting>
        <x14:conditionalFormatting xmlns:xm="http://schemas.microsoft.com/office/excel/2006/main">
          <x14:cfRule type="expression" priority="4699229" id="{19913D88-1940-4CB0-B29C-D46D60833BD5}">
            <xm:f>$AG$4='Data entry'!$R54</xm:f>
            <x14:dxf>
              <fill>
                <patternFill>
                  <bgColor rgb="FFFFFF00"/>
                </patternFill>
              </fill>
            </x14:dxf>
          </x14:cfRule>
          <xm:sqref>S149:AG149</xm:sqref>
        </x14:conditionalFormatting>
        <x14:conditionalFormatting xmlns:xm="http://schemas.microsoft.com/office/excel/2006/main">
          <x14:cfRule type="expression" priority="4699230" id="{3DD7B9A5-18A3-463F-BAD5-9796FC487328}">
            <xm:f>$AH$4='Data entry'!$R54</xm:f>
            <x14:dxf>
              <fill>
                <patternFill>
                  <bgColor rgb="FFFF0000"/>
                </patternFill>
              </fill>
            </x14:dxf>
          </x14:cfRule>
          <xm:sqref>AF150:AR150</xm:sqref>
        </x14:conditionalFormatting>
        <x14:conditionalFormatting xmlns:xm="http://schemas.microsoft.com/office/excel/2006/main">
          <x14:cfRule type="expression" priority="4699231" id="{31005CF4-5608-496E-91EB-F7F505046C80}">
            <xm:f>$AH$4='Data entry'!$R54</xm:f>
            <x14:dxf>
              <fill>
                <patternFill>
                  <bgColor rgb="FFFFFF00"/>
                </patternFill>
              </fill>
            </x14:dxf>
          </x14:cfRule>
          <xm:sqref>T149:AH149</xm:sqref>
        </x14:conditionalFormatting>
        <x14:conditionalFormatting xmlns:xm="http://schemas.microsoft.com/office/excel/2006/main">
          <x14:cfRule type="expression" priority="4699232" id="{CD14F654-5B7A-444F-8FC1-7DD71E76E475}">
            <xm:f>$AI$4='Data entry'!$R54</xm:f>
            <x14:dxf>
              <fill>
                <patternFill>
                  <bgColor rgb="FFFF0000"/>
                </patternFill>
              </fill>
            </x14:dxf>
          </x14:cfRule>
          <xm:sqref>AG150:AS150</xm:sqref>
        </x14:conditionalFormatting>
        <x14:conditionalFormatting xmlns:xm="http://schemas.microsoft.com/office/excel/2006/main">
          <x14:cfRule type="expression" priority="4699233" id="{0E4E448C-6C46-4285-B877-A61A90294385}">
            <xm:f>$AI$4='Data entry'!$R54</xm:f>
            <x14:dxf>
              <fill>
                <patternFill>
                  <bgColor rgb="FFFFFF00"/>
                </patternFill>
              </fill>
            </x14:dxf>
          </x14:cfRule>
          <xm:sqref>U149:AI149</xm:sqref>
        </x14:conditionalFormatting>
        <x14:conditionalFormatting xmlns:xm="http://schemas.microsoft.com/office/excel/2006/main">
          <x14:cfRule type="expression" priority="4699234" id="{B1C1818F-791C-403D-BE73-6F6E9DC6A16D}">
            <xm:f>$AJ$4='Data entry'!$R54</xm:f>
            <x14:dxf>
              <fill>
                <patternFill>
                  <bgColor rgb="FFFF0000"/>
                </patternFill>
              </fill>
            </x14:dxf>
          </x14:cfRule>
          <xm:sqref>AH150:AT150</xm:sqref>
        </x14:conditionalFormatting>
        <x14:conditionalFormatting xmlns:xm="http://schemas.microsoft.com/office/excel/2006/main">
          <x14:cfRule type="expression" priority="4699235" id="{A1237792-221B-431B-B8A7-E9A64DA46D93}">
            <xm:f>$AJ$4='Data entry'!$R54</xm:f>
            <x14:dxf>
              <fill>
                <patternFill>
                  <bgColor rgb="FFFFFF00"/>
                </patternFill>
              </fill>
            </x14:dxf>
          </x14:cfRule>
          <xm:sqref>V149:AJ149</xm:sqref>
        </x14:conditionalFormatting>
        <x14:conditionalFormatting xmlns:xm="http://schemas.microsoft.com/office/excel/2006/main">
          <x14:cfRule type="expression" priority="4699236" id="{617DC2AF-C7A3-4724-8EA3-17DEFEDC8949}">
            <xm:f>$AK$4='Data entry'!$R54</xm:f>
            <x14:dxf>
              <fill>
                <patternFill>
                  <bgColor rgb="FFFF0000"/>
                </patternFill>
              </fill>
            </x14:dxf>
          </x14:cfRule>
          <xm:sqref>AI150:AU150</xm:sqref>
        </x14:conditionalFormatting>
        <x14:conditionalFormatting xmlns:xm="http://schemas.microsoft.com/office/excel/2006/main">
          <x14:cfRule type="expression" priority="4699237" id="{AA72317D-37B1-48EB-A28B-BF2AC8DC4519}">
            <xm:f>$AK$4='Data entry'!$R54</xm:f>
            <x14:dxf>
              <fill>
                <patternFill>
                  <bgColor rgb="FFFFFF00"/>
                </patternFill>
              </fill>
            </x14:dxf>
          </x14:cfRule>
          <xm:sqref>W149:AK149</xm:sqref>
        </x14:conditionalFormatting>
        <x14:conditionalFormatting xmlns:xm="http://schemas.microsoft.com/office/excel/2006/main">
          <x14:cfRule type="expression" priority="4699238" id="{6CA9FB7A-20EA-4D3A-B74C-A001F4BE810D}">
            <xm:f>$AL$4='Data entry'!$R54</xm:f>
            <x14:dxf>
              <fill>
                <patternFill>
                  <bgColor rgb="FFFF0000"/>
                </patternFill>
              </fill>
            </x14:dxf>
          </x14:cfRule>
          <xm:sqref>AJ150:AV150</xm:sqref>
        </x14:conditionalFormatting>
        <x14:conditionalFormatting xmlns:xm="http://schemas.microsoft.com/office/excel/2006/main">
          <x14:cfRule type="expression" priority="4699239" id="{81A75DAA-573F-4EF3-A640-1B992C18BEA0}">
            <xm:f>$AL$4='Data entry'!$R54</xm:f>
            <x14:dxf>
              <fill>
                <patternFill>
                  <bgColor rgb="FFFFFF00"/>
                </patternFill>
              </fill>
            </x14:dxf>
          </x14:cfRule>
          <xm:sqref>X149:AL149</xm:sqref>
        </x14:conditionalFormatting>
        <x14:conditionalFormatting xmlns:xm="http://schemas.microsoft.com/office/excel/2006/main">
          <x14:cfRule type="expression" priority="4699240" id="{3D44713E-4ABA-4CCD-9DF4-5513A9FB5E1E}">
            <xm:f>$AM$4='Data entry'!$R54</xm:f>
            <x14:dxf>
              <fill>
                <patternFill>
                  <bgColor rgb="FFFF0000"/>
                </patternFill>
              </fill>
            </x14:dxf>
          </x14:cfRule>
          <xm:sqref>AK150:AW150</xm:sqref>
        </x14:conditionalFormatting>
        <x14:conditionalFormatting xmlns:xm="http://schemas.microsoft.com/office/excel/2006/main">
          <x14:cfRule type="expression" priority="4699241" id="{05A26B51-72A7-4423-822F-2BDBC28275D0}">
            <xm:f>$AM$4='Data entry'!$R54</xm:f>
            <x14:dxf>
              <fill>
                <patternFill>
                  <bgColor rgb="FFFFFF00"/>
                </patternFill>
              </fill>
            </x14:dxf>
          </x14:cfRule>
          <xm:sqref>Y149:AM149</xm:sqref>
        </x14:conditionalFormatting>
        <x14:conditionalFormatting xmlns:xm="http://schemas.microsoft.com/office/excel/2006/main">
          <x14:cfRule type="expression" priority="4699242" id="{B8A20675-6230-4694-A7F6-6B3DC7142773}">
            <xm:f>$AN$4='Data entry'!$R54</xm:f>
            <x14:dxf>
              <fill>
                <patternFill>
                  <bgColor rgb="FFFF0000"/>
                </patternFill>
              </fill>
            </x14:dxf>
          </x14:cfRule>
          <xm:sqref>AL150:AX150</xm:sqref>
        </x14:conditionalFormatting>
        <x14:conditionalFormatting xmlns:xm="http://schemas.microsoft.com/office/excel/2006/main">
          <x14:cfRule type="expression" priority="4699243" id="{8421181C-7450-42E9-BC1D-065CCFCA960E}">
            <xm:f>$AN$4='Data entry'!$R54</xm:f>
            <x14:dxf>
              <fill>
                <patternFill>
                  <bgColor rgb="FFFFFF00"/>
                </patternFill>
              </fill>
            </x14:dxf>
          </x14:cfRule>
          <xm:sqref>Z149:AN149</xm:sqref>
        </x14:conditionalFormatting>
        <x14:conditionalFormatting xmlns:xm="http://schemas.microsoft.com/office/excel/2006/main">
          <x14:cfRule type="expression" priority="4699244" id="{067FE4BD-6EF4-4684-B6E0-35AB2F267EE7}">
            <xm:f>$AO$4='Data entry'!$R54</xm:f>
            <x14:dxf>
              <fill>
                <patternFill>
                  <bgColor rgb="FFFF0000"/>
                </patternFill>
              </fill>
            </x14:dxf>
          </x14:cfRule>
          <xm:sqref>AM150:AY150</xm:sqref>
        </x14:conditionalFormatting>
        <x14:conditionalFormatting xmlns:xm="http://schemas.microsoft.com/office/excel/2006/main">
          <x14:cfRule type="expression" priority="4699245" id="{F7653492-88D1-47AC-8BA3-0CCE65C3C2AB}">
            <xm:f>$AO$4='Data entry'!$R54</xm:f>
            <x14:dxf>
              <fill>
                <patternFill>
                  <bgColor rgb="FFFFFF00"/>
                </patternFill>
              </fill>
            </x14:dxf>
          </x14:cfRule>
          <xm:sqref>AA149:AO149</xm:sqref>
        </x14:conditionalFormatting>
        <x14:conditionalFormatting xmlns:xm="http://schemas.microsoft.com/office/excel/2006/main">
          <x14:cfRule type="expression" priority="4699246" id="{207A5E5D-B322-482E-9193-1D7318138358}">
            <xm:f>$AP$4='Data entry'!$R54</xm:f>
            <x14:dxf>
              <fill>
                <patternFill>
                  <bgColor rgb="FFFF0000"/>
                </patternFill>
              </fill>
            </x14:dxf>
          </x14:cfRule>
          <xm:sqref>AN150:AZ150</xm:sqref>
        </x14:conditionalFormatting>
        <x14:conditionalFormatting xmlns:xm="http://schemas.microsoft.com/office/excel/2006/main">
          <x14:cfRule type="expression" priority="4699247" id="{21DA638D-4CA0-4067-BFF1-240CE1A0261B}">
            <xm:f>$AP$4='Data entry'!$R54</xm:f>
            <x14:dxf>
              <fill>
                <patternFill>
                  <bgColor rgb="FFFFFF00"/>
                </patternFill>
              </fill>
            </x14:dxf>
          </x14:cfRule>
          <xm:sqref>AB149:AP149</xm:sqref>
        </x14:conditionalFormatting>
        <x14:conditionalFormatting xmlns:xm="http://schemas.microsoft.com/office/excel/2006/main">
          <x14:cfRule type="expression" priority="4699248" id="{71963D96-A42A-4B90-BFC7-6D83D37766EF}">
            <xm:f>$AQ$4='Data entry'!$R54</xm:f>
            <x14:dxf>
              <fill>
                <patternFill>
                  <bgColor rgb="FFFF0000"/>
                </patternFill>
              </fill>
            </x14:dxf>
          </x14:cfRule>
          <xm:sqref>AO150:BA150</xm:sqref>
        </x14:conditionalFormatting>
        <x14:conditionalFormatting xmlns:xm="http://schemas.microsoft.com/office/excel/2006/main">
          <x14:cfRule type="expression" priority="4699249" id="{74952595-84B6-484F-8FF6-FCC1F337DF4D}">
            <xm:f>$AQ$4='Data entry'!$R54</xm:f>
            <x14:dxf>
              <fill>
                <patternFill>
                  <bgColor rgb="FFFFFF00"/>
                </patternFill>
              </fill>
            </x14:dxf>
          </x14:cfRule>
          <xm:sqref>AC149:AQ149</xm:sqref>
        </x14:conditionalFormatting>
        <x14:conditionalFormatting xmlns:xm="http://schemas.microsoft.com/office/excel/2006/main">
          <x14:cfRule type="expression" priority="4699250" id="{8AC9C4B9-0A34-4BC0-B0F7-CA89434C4911}">
            <xm:f>$P$4='Data entry'!$R54</xm:f>
            <x14:dxf>
              <fill>
                <patternFill>
                  <bgColor rgb="FFFFFF00"/>
                </patternFill>
              </fill>
            </x14:dxf>
          </x14:cfRule>
          <xm:sqref>C149:P149</xm:sqref>
        </x14:conditionalFormatting>
        <x14:conditionalFormatting xmlns:xm="http://schemas.microsoft.com/office/excel/2006/main">
          <x14:cfRule type="expression" priority="4699251" id="{0A726775-ABFD-4F22-967C-1A4D87BA3751}">
            <xm:f>$Q$4='Data entry'!$R54</xm:f>
            <x14:dxf>
              <fill>
                <patternFill>
                  <bgColor rgb="FFFFFF00"/>
                </patternFill>
              </fill>
            </x14:dxf>
          </x14:cfRule>
          <xm:sqref>C149:Q149</xm:sqref>
        </x14:conditionalFormatting>
        <x14:conditionalFormatting xmlns:xm="http://schemas.microsoft.com/office/excel/2006/main">
          <x14:cfRule type="expression" priority="4699252" id="{3A8414BD-262C-43B5-86EE-FA6901D00453}">
            <xm:f>$Q$4='Data entry'!$R54</xm:f>
            <x14:dxf>
              <fill>
                <patternFill>
                  <bgColor rgb="FFFF0000"/>
                </patternFill>
              </fill>
            </x14:dxf>
          </x14:cfRule>
          <xm:sqref>O150:AA150</xm:sqref>
        </x14:conditionalFormatting>
        <x14:conditionalFormatting xmlns:xm="http://schemas.microsoft.com/office/excel/2006/main">
          <x14:cfRule type="expression" priority="4699253" id="{B8B5501D-F3EF-4449-9306-F652960C65F4}">
            <xm:f>$R$4='Data entry'!$R54</xm:f>
            <x14:dxf>
              <fill>
                <patternFill>
                  <bgColor rgb="FFFF0000"/>
                </patternFill>
              </fill>
            </x14:dxf>
          </x14:cfRule>
          <xm:sqref>P150:AB150</xm:sqref>
        </x14:conditionalFormatting>
        <x14:conditionalFormatting xmlns:xm="http://schemas.microsoft.com/office/excel/2006/main">
          <x14:cfRule type="expression" priority="4699254" id="{5D070DEC-B82E-4D87-B907-A3E5AB836991}">
            <xm:f>$R$4='Data entry'!$R54</xm:f>
            <x14:dxf>
              <fill>
                <patternFill>
                  <bgColor rgb="FFFFFF00"/>
                </patternFill>
              </fill>
            </x14:dxf>
          </x14:cfRule>
          <xm:sqref>D149:R149</xm:sqref>
        </x14:conditionalFormatting>
        <x14:conditionalFormatting xmlns:xm="http://schemas.microsoft.com/office/excel/2006/main">
          <x14:cfRule type="expression" priority="4699255" id="{E4D16A10-F818-4664-9FB2-F0E839824D4B}">
            <xm:f>$S$4='Data entry'!$R54</xm:f>
            <x14:dxf>
              <fill>
                <patternFill>
                  <bgColor rgb="FFFF0000"/>
                </patternFill>
              </fill>
            </x14:dxf>
          </x14:cfRule>
          <xm:sqref>Q150:AC150</xm:sqref>
        </x14:conditionalFormatting>
        <x14:conditionalFormatting xmlns:xm="http://schemas.microsoft.com/office/excel/2006/main">
          <x14:cfRule type="expression" priority="4699256" id="{1A9F9911-A3E9-4730-AFBE-AB8C596545CA}">
            <xm:f>$S$4='Data entry'!$R54</xm:f>
            <x14:dxf>
              <fill>
                <patternFill>
                  <bgColor rgb="FFFFFF00"/>
                </patternFill>
              </fill>
            </x14:dxf>
          </x14:cfRule>
          <xm:sqref>E149:S149</xm:sqref>
        </x14:conditionalFormatting>
        <x14:conditionalFormatting xmlns:xm="http://schemas.microsoft.com/office/excel/2006/main">
          <x14:cfRule type="expression" priority="4699257" id="{8BB5CD1B-B2AC-442A-9550-26DE19A62D22}">
            <xm:f>$T$4='Data entry'!$R54</xm:f>
            <x14:dxf>
              <fill>
                <patternFill>
                  <bgColor rgb="FFFF0000"/>
                </patternFill>
              </fill>
            </x14:dxf>
          </x14:cfRule>
          <xm:sqref>R150:AD150</xm:sqref>
        </x14:conditionalFormatting>
        <x14:conditionalFormatting xmlns:xm="http://schemas.microsoft.com/office/excel/2006/main">
          <x14:cfRule type="expression" priority="4699258" id="{E7B59C69-7921-4049-84A1-8B3E5F7B0598}">
            <xm:f>$T$4='Data entry'!$R54</xm:f>
            <x14:dxf>
              <fill>
                <patternFill>
                  <bgColor rgb="FFFFFF00"/>
                </patternFill>
              </fill>
            </x14:dxf>
          </x14:cfRule>
          <xm:sqref>F149:T149</xm:sqref>
        </x14:conditionalFormatting>
        <x14:conditionalFormatting xmlns:xm="http://schemas.microsoft.com/office/excel/2006/main">
          <x14:cfRule type="expression" priority="4699259" id="{238C09E5-7A3D-439D-949F-A7733073F9A2}">
            <xm:f>$U$4='Data entry'!$R54</xm:f>
            <x14:dxf>
              <fill>
                <patternFill>
                  <bgColor rgb="FFFFFF00"/>
                </patternFill>
              </fill>
            </x14:dxf>
          </x14:cfRule>
          <xm:sqref>G149:U149</xm:sqref>
        </x14:conditionalFormatting>
        <x14:conditionalFormatting xmlns:xm="http://schemas.microsoft.com/office/excel/2006/main">
          <x14:cfRule type="expression" priority="4699260" id="{DE4D4432-0A19-452A-AF14-2873FE4DF411}">
            <xm:f>$AR$4='Data entry'!$R54</xm:f>
            <x14:dxf>
              <fill>
                <patternFill>
                  <bgColor rgb="FFFF0000"/>
                </patternFill>
              </fill>
            </x14:dxf>
          </x14:cfRule>
          <xm:sqref>AP150:BB150</xm:sqref>
        </x14:conditionalFormatting>
        <x14:conditionalFormatting xmlns:xm="http://schemas.microsoft.com/office/excel/2006/main">
          <x14:cfRule type="expression" priority="4699261" id="{90D7E1FF-542D-40C8-9BD5-DFEB4CDD256F}">
            <xm:f>$AR$4='Data entry'!$R54</xm:f>
            <x14:dxf>
              <fill>
                <patternFill>
                  <bgColor rgb="FFFFFF00"/>
                </patternFill>
              </fill>
            </x14:dxf>
          </x14:cfRule>
          <xm:sqref>AD149:AR149</xm:sqref>
        </x14:conditionalFormatting>
        <x14:conditionalFormatting xmlns:xm="http://schemas.microsoft.com/office/excel/2006/main">
          <x14:cfRule type="expression" priority="4699262" id="{0EBB5305-4A4A-4205-A1FF-11160070CBC3}">
            <xm:f>$AS$4='Data entry'!$R54</xm:f>
            <x14:dxf>
              <fill>
                <patternFill>
                  <bgColor rgb="FFFF0000"/>
                </patternFill>
              </fill>
            </x14:dxf>
          </x14:cfRule>
          <xm:sqref>AQ150:BC150</xm:sqref>
        </x14:conditionalFormatting>
        <x14:conditionalFormatting xmlns:xm="http://schemas.microsoft.com/office/excel/2006/main">
          <x14:cfRule type="expression" priority="4699263" id="{AC8EB30C-4253-4CE1-820E-1801F6D8D35B}">
            <xm:f>$AS$4='Data entry'!$R54</xm:f>
            <x14:dxf>
              <fill>
                <patternFill>
                  <bgColor rgb="FFFFFF00"/>
                </patternFill>
              </fill>
            </x14:dxf>
          </x14:cfRule>
          <xm:sqref>AE149:AS149</xm:sqref>
        </x14:conditionalFormatting>
        <x14:conditionalFormatting xmlns:xm="http://schemas.microsoft.com/office/excel/2006/main">
          <x14:cfRule type="expression" priority="4699264" id="{E11744C1-7201-4272-A1B0-945490B42425}">
            <xm:f>$AT$4='Data entry'!$R54</xm:f>
            <x14:dxf>
              <fill>
                <patternFill>
                  <bgColor rgb="FFFF0000"/>
                </patternFill>
              </fill>
            </x14:dxf>
          </x14:cfRule>
          <xm:sqref>AR150:BD150</xm:sqref>
        </x14:conditionalFormatting>
        <x14:conditionalFormatting xmlns:xm="http://schemas.microsoft.com/office/excel/2006/main">
          <x14:cfRule type="expression" priority="4699265" id="{5EE2823B-E955-4EA7-B99C-0B1F77B57A69}">
            <xm:f>$AT$4='Data entry'!$R54</xm:f>
            <x14:dxf>
              <fill>
                <patternFill>
                  <bgColor rgb="FFFFFF00"/>
                </patternFill>
              </fill>
            </x14:dxf>
          </x14:cfRule>
          <xm:sqref>AF149:AT149</xm:sqref>
        </x14:conditionalFormatting>
        <x14:conditionalFormatting xmlns:xm="http://schemas.microsoft.com/office/excel/2006/main">
          <x14:cfRule type="expression" priority="4699266" id="{5737DC63-3262-4B34-900C-2AAEB255FCBA}">
            <xm:f>$AU$4='Data entry'!$R54</xm:f>
            <x14:dxf>
              <fill>
                <patternFill>
                  <bgColor rgb="FFFF0000"/>
                </patternFill>
              </fill>
            </x14:dxf>
          </x14:cfRule>
          <xm:sqref>AS150:BE150</xm:sqref>
        </x14:conditionalFormatting>
        <x14:conditionalFormatting xmlns:xm="http://schemas.microsoft.com/office/excel/2006/main">
          <x14:cfRule type="expression" priority="4699267" id="{2B5C1F1B-3C3D-4CA3-BC64-0E98422075B6}">
            <xm:f>$AU$4='Data entry'!$R54</xm:f>
            <x14:dxf>
              <fill>
                <patternFill>
                  <bgColor rgb="FFFFFF00"/>
                </patternFill>
              </fill>
            </x14:dxf>
          </x14:cfRule>
          <xm:sqref>AG149:AU149</xm:sqref>
        </x14:conditionalFormatting>
        <x14:conditionalFormatting xmlns:xm="http://schemas.microsoft.com/office/excel/2006/main">
          <x14:cfRule type="expression" priority="4699268" id="{B87A1285-B003-4855-8F4B-53C391BA10E6}">
            <xm:f>$AV$4='Data entry'!$R54</xm:f>
            <x14:dxf>
              <fill>
                <patternFill>
                  <bgColor rgb="FFFF0000"/>
                </patternFill>
              </fill>
            </x14:dxf>
          </x14:cfRule>
          <xm:sqref>AT150:BF150</xm:sqref>
        </x14:conditionalFormatting>
        <x14:conditionalFormatting xmlns:xm="http://schemas.microsoft.com/office/excel/2006/main">
          <x14:cfRule type="expression" priority="4699269" id="{338EE31C-78DB-4818-B837-0380F9E457FA}">
            <xm:f>$AV$4='Data entry'!$R54</xm:f>
            <x14:dxf>
              <fill>
                <patternFill>
                  <bgColor rgb="FFFFFF00"/>
                </patternFill>
              </fill>
            </x14:dxf>
          </x14:cfRule>
          <xm:sqref>AH149:AV149</xm:sqref>
        </x14:conditionalFormatting>
        <x14:conditionalFormatting xmlns:xm="http://schemas.microsoft.com/office/excel/2006/main">
          <x14:cfRule type="expression" priority="4699270" id="{5C40EA66-2801-4C91-B885-BF6A1ECFC35C}">
            <xm:f>$AW$4='Data entry'!$R54</xm:f>
            <x14:dxf>
              <fill>
                <patternFill>
                  <bgColor rgb="FFFF0000"/>
                </patternFill>
              </fill>
            </x14:dxf>
          </x14:cfRule>
          <xm:sqref>AU150:BG150</xm:sqref>
        </x14:conditionalFormatting>
        <x14:conditionalFormatting xmlns:xm="http://schemas.microsoft.com/office/excel/2006/main">
          <x14:cfRule type="expression" priority="4699271" id="{51BCD5CE-DF86-4C2F-8A81-DDA1EFD6C8F7}">
            <xm:f>$AW$4='Data entry'!$R54</xm:f>
            <x14:dxf>
              <fill>
                <patternFill>
                  <bgColor rgb="FFFFFF00"/>
                </patternFill>
              </fill>
            </x14:dxf>
          </x14:cfRule>
          <xm:sqref>AI149:AW149</xm:sqref>
        </x14:conditionalFormatting>
        <x14:conditionalFormatting xmlns:xm="http://schemas.microsoft.com/office/excel/2006/main">
          <x14:cfRule type="expression" priority="4699272" id="{DC2ED5A0-8917-4877-8CD3-9DF9BE5993C9}">
            <xm:f>$AX$4='Data entry'!$R54</xm:f>
            <x14:dxf>
              <fill>
                <patternFill>
                  <bgColor rgb="FFFF0000"/>
                </patternFill>
              </fill>
            </x14:dxf>
          </x14:cfRule>
          <xm:sqref>AV150:BH150</xm:sqref>
        </x14:conditionalFormatting>
        <x14:conditionalFormatting xmlns:xm="http://schemas.microsoft.com/office/excel/2006/main">
          <x14:cfRule type="expression" priority="4699273" id="{59B31869-20F9-45BD-BC80-0A6C8945CE2C}">
            <xm:f>$AX$4='Data entry'!$R54</xm:f>
            <x14:dxf>
              <fill>
                <patternFill>
                  <bgColor rgb="FFFFFF00"/>
                </patternFill>
              </fill>
            </x14:dxf>
          </x14:cfRule>
          <xm:sqref>AJ149:AX149</xm:sqref>
        </x14:conditionalFormatting>
        <x14:conditionalFormatting xmlns:xm="http://schemas.microsoft.com/office/excel/2006/main">
          <x14:cfRule type="expression" priority="4699274" id="{D4208FA0-4262-4037-934C-6D0742B2AD8E}">
            <xm:f>$AY$4='Data entry'!$R54</xm:f>
            <x14:dxf>
              <fill>
                <patternFill>
                  <bgColor rgb="FFFF0000"/>
                </patternFill>
              </fill>
            </x14:dxf>
          </x14:cfRule>
          <xm:sqref>AW150:BI150</xm:sqref>
        </x14:conditionalFormatting>
        <x14:conditionalFormatting xmlns:xm="http://schemas.microsoft.com/office/excel/2006/main">
          <x14:cfRule type="expression" priority="4699275" id="{04D6E423-18C7-42B2-A67D-F49D8E62B571}">
            <xm:f>$AY$4='Data entry'!$R54</xm:f>
            <x14:dxf>
              <fill>
                <patternFill>
                  <bgColor rgb="FFFFFF00"/>
                </patternFill>
              </fill>
            </x14:dxf>
          </x14:cfRule>
          <xm:sqref>AK149:AY149</xm:sqref>
        </x14:conditionalFormatting>
        <x14:conditionalFormatting xmlns:xm="http://schemas.microsoft.com/office/excel/2006/main">
          <x14:cfRule type="expression" priority="4699276" id="{A931C203-6E4B-4EBD-A2F4-1876881F48D4}">
            <xm:f>$AZ$4='Data entry'!$R54</xm:f>
            <x14:dxf>
              <fill>
                <patternFill>
                  <bgColor rgb="FFFF0000"/>
                </patternFill>
              </fill>
            </x14:dxf>
          </x14:cfRule>
          <xm:sqref>AX150:BJ150</xm:sqref>
        </x14:conditionalFormatting>
        <x14:conditionalFormatting xmlns:xm="http://schemas.microsoft.com/office/excel/2006/main">
          <x14:cfRule type="expression" priority="4699277" id="{092D9100-E652-40FE-8CAA-720DC0681250}">
            <xm:f>$AZ$4='Data entry'!$R54</xm:f>
            <x14:dxf>
              <fill>
                <patternFill>
                  <bgColor rgb="FFFFFF00"/>
                </patternFill>
              </fill>
            </x14:dxf>
          </x14:cfRule>
          <xm:sqref>AL149:AZ149</xm:sqref>
        </x14:conditionalFormatting>
        <x14:conditionalFormatting xmlns:xm="http://schemas.microsoft.com/office/excel/2006/main">
          <x14:cfRule type="expression" priority="4699278" id="{A3C7E6BE-A225-483C-A983-A915DB662C52}">
            <xm:f>$BA$4='Data entry'!$R54</xm:f>
            <x14:dxf>
              <fill>
                <patternFill>
                  <bgColor rgb="FFFF0000"/>
                </patternFill>
              </fill>
            </x14:dxf>
          </x14:cfRule>
          <xm:sqref>AY150:BK150</xm:sqref>
        </x14:conditionalFormatting>
        <x14:conditionalFormatting xmlns:xm="http://schemas.microsoft.com/office/excel/2006/main">
          <x14:cfRule type="expression" priority="4699279" id="{F5CF569A-8AFA-4CFF-8BD3-F04D8927A99F}">
            <xm:f>$BA$4='Data entry'!$R54</xm:f>
            <x14:dxf>
              <fill>
                <patternFill>
                  <bgColor rgb="FFFFFF00"/>
                </patternFill>
              </fill>
            </x14:dxf>
          </x14:cfRule>
          <xm:sqref>AM149:BA149</xm:sqref>
        </x14:conditionalFormatting>
        <x14:conditionalFormatting xmlns:xm="http://schemas.microsoft.com/office/excel/2006/main">
          <x14:cfRule type="expression" priority="4699280" id="{E4DAC94A-7983-4BFB-A87B-45B58561841A}">
            <xm:f>$BB$4='Data entry'!$R54</xm:f>
            <x14:dxf>
              <fill>
                <patternFill>
                  <bgColor rgb="FFFF0000"/>
                </patternFill>
              </fill>
            </x14:dxf>
          </x14:cfRule>
          <xm:sqref>AZ150:BL150</xm:sqref>
        </x14:conditionalFormatting>
        <x14:conditionalFormatting xmlns:xm="http://schemas.microsoft.com/office/excel/2006/main">
          <x14:cfRule type="expression" priority="4699281" id="{E63849C5-F39B-4B0E-8F8A-B532EDF2CBAE}">
            <xm:f>$BB$4='Data entry'!$R54</xm:f>
            <x14:dxf>
              <fill>
                <patternFill>
                  <bgColor rgb="FFFFFF00"/>
                </patternFill>
              </fill>
            </x14:dxf>
          </x14:cfRule>
          <xm:sqref>AN149:BB149</xm:sqref>
        </x14:conditionalFormatting>
        <x14:conditionalFormatting xmlns:xm="http://schemas.microsoft.com/office/excel/2006/main">
          <x14:cfRule type="expression" priority="4699282" id="{4FDC32D3-C1F5-455D-9AA4-A03359B72526}">
            <xm:f>$BC$4='Data entry'!$R54</xm:f>
            <x14:dxf>
              <fill>
                <patternFill>
                  <bgColor rgb="FFFF0000"/>
                </patternFill>
              </fill>
            </x14:dxf>
          </x14:cfRule>
          <xm:sqref>BA150:BM150</xm:sqref>
        </x14:conditionalFormatting>
        <x14:conditionalFormatting xmlns:xm="http://schemas.microsoft.com/office/excel/2006/main">
          <x14:cfRule type="expression" priority="4699283" id="{5F0D0C60-B233-4C56-B05D-98C99990877F}">
            <xm:f>$BC$4='Data entry'!$R54</xm:f>
            <x14:dxf>
              <fill>
                <patternFill>
                  <bgColor rgb="FFFFFF00"/>
                </patternFill>
              </fill>
            </x14:dxf>
          </x14:cfRule>
          <xm:sqref>AO149:BC149</xm:sqref>
        </x14:conditionalFormatting>
        <x14:conditionalFormatting xmlns:xm="http://schemas.microsoft.com/office/excel/2006/main">
          <x14:cfRule type="expression" priority="4699284" id="{9EBCB60F-8135-43B6-A0F3-548D4092CC98}">
            <xm:f>$BD$4='Data entry'!$R54</xm:f>
            <x14:dxf>
              <fill>
                <patternFill>
                  <bgColor rgb="FFFF0000"/>
                </patternFill>
              </fill>
            </x14:dxf>
          </x14:cfRule>
          <xm:sqref>BB150:BN150</xm:sqref>
        </x14:conditionalFormatting>
        <x14:conditionalFormatting xmlns:xm="http://schemas.microsoft.com/office/excel/2006/main">
          <x14:cfRule type="expression" priority="4699285" id="{961AF346-4A73-41ED-9A8D-27D431B09C05}">
            <xm:f>$BD$4='Data entry'!$R54</xm:f>
            <x14:dxf>
              <fill>
                <patternFill>
                  <bgColor rgb="FFFFFF00"/>
                </patternFill>
              </fill>
            </x14:dxf>
          </x14:cfRule>
          <xm:sqref>AP149:BD149</xm:sqref>
        </x14:conditionalFormatting>
        <x14:conditionalFormatting xmlns:xm="http://schemas.microsoft.com/office/excel/2006/main">
          <x14:cfRule type="expression" priority="4699286" id="{5A887026-27CD-4F8C-8BA6-1E92704C1CA6}">
            <xm:f>$BE$4='Data entry'!$R54</xm:f>
            <x14:dxf>
              <fill>
                <patternFill>
                  <bgColor rgb="FFFF0000"/>
                </patternFill>
              </fill>
            </x14:dxf>
          </x14:cfRule>
          <xm:sqref>BC150:BO150</xm:sqref>
        </x14:conditionalFormatting>
        <x14:conditionalFormatting xmlns:xm="http://schemas.microsoft.com/office/excel/2006/main">
          <x14:cfRule type="expression" priority="4699287" id="{7F46217B-A1E9-4515-B31E-E756FCD7C6D9}">
            <xm:f>$BE$4='Data entry'!$R54</xm:f>
            <x14:dxf>
              <fill>
                <patternFill>
                  <bgColor rgb="FFFFFF00"/>
                </patternFill>
              </fill>
            </x14:dxf>
          </x14:cfRule>
          <xm:sqref>AP149:BE149</xm:sqref>
        </x14:conditionalFormatting>
        <x14:conditionalFormatting xmlns:xm="http://schemas.microsoft.com/office/excel/2006/main">
          <x14:cfRule type="expression" priority="4699288" id="{F4D9285C-8CA0-4EF1-943E-6A462D47CC77}">
            <xm:f>$BF$4='Data entry'!$R54</xm:f>
            <x14:dxf>
              <fill>
                <patternFill>
                  <bgColor rgb="FFFF0000"/>
                </patternFill>
              </fill>
            </x14:dxf>
          </x14:cfRule>
          <xm:sqref>BD150:BP150</xm:sqref>
        </x14:conditionalFormatting>
        <x14:conditionalFormatting xmlns:xm="http://schemas.microsoft.com/office/excel/2006/main">
          <x14:cfRule type="expression" priority="4699289" id="{B9E4407D-651D-4DC0-9D61-3271D62A65E9}">
            <xm:f>$BF$4='Data entry'!$R54</xm:f>
            <x14:dxf>
              <fill>
                <patternFill>
                  <bgColor rgb="FFFFFF00"/>
                </patternFill>
              </fill>
            </x14:dxf>
          </x14:cfRule>
          <xm:sqref>AR149:BF149</xm:sqref>
        </x14:conditionalFormatting>
        <x14:conditionalFormatting xmlns:xm="http://schemas.microsoft.com/office/excel/2006/main">
          <x14:cfRule type="expression" priority="4699290" id="{4CDC062F-DDFF-4556-B941-08F919727F69}">
            <xm:f>$BG$4='Data entry'!$R54</xm:f>
            <x14:dxf>
              <fill>
                <patternFill>
                  <bgColor rgb="FFFF0000"/>
                </patternFill>
              </fill>
            </x14:dxf>
          </x14:cfRule>
          <xm:sqref>BE150:BQ150</xm:sqref>
        </x14:conditionalFormatting>
        <x14:conditionalFormatting xmlns:xm="http://schemas.microsoft.com/office/excel/2006/main">
          <x14:cfRule type="expression" priority="4699291" id="{789184FA-9055-433B-8A1B-92C7ED59E81F}">
            <xm:f>$BG$4='Data entry'!$R54</xm:f>
            <x14:dxf>
              <fill>
                <patternFill>
                  <bgColor rgb="FFFFFF00"/>
                </patternFill>
              </fill>
            </x14:dxf>
          </x14:cfRule>
          <xm:sqref>AS149:BG149</xm:sqref>
        </x14:conditionalFormatting>
        <x14:conditionalFormatting xmlns:xm="http://schemas.microsoft.com/office/excel/2006/main">
          <x14:cfRule type="expression" priority="4699292" id="{58651E5C-09C9-46C1-B95C-E8A578A49E15}">
            <xm:f>$BH$4='Data entry'!$R54</xm:f>
            <x14:dxf>
              <fill>
                <patternFill>
                  <bgColor rgb="FFFFFF00"/>
                </patternFill>
              </fill>
            </x14:dxf>
          </x14:cfRule>
          <xm:sqref>AT149:BH149</xm:sqref>
        </x14:conditionalFormatting>
        <x14:conditionalFormatting xmlns:xm="http://schemas.microsoft.com/office/excel/2006/main">
          <x14:cfRule type="expression" priority="4699293" id="{97B30B86-8311-4DC0-A533-8C0D53F37839}">
            <xm:f>$BH$4='Data entry'!$R54</xm:f>
            <x14:dxf>
              <fill>
                <patternFill>
                  <bgColor rgb="FFFF0000"/>
                </patternFill>
              </fill>
            </x14:dxf>
          </x14:cfRule>
          <xm:sqref>BF150:BR150</xm:sqref>
        </x14:conditionalFormatting>
        <x14:conditionalFormatting xmlns:xm="http://schemas.microsoft.com/office/excel/2006/main">
          <x14:cfRule type="expression" priority="4699294" id="{78344C0C-5AEA-40B1-A20C-6D77DF58E1F5}">
            <xm:f>$BI$4='Data entry'!$R54</xm:f>
            <x14:dxf>
              <fill>
                <patternFill>
                  <bgColor rgb="FFFFFF00"/>
                </patternFill>
              </fill>
            </x14:dxf>
          </x14:cfRule>
          <xm:sqref>AU149:BI149</xm:sqref>
        </x14:conditionalFormatting>
        <x14:conditionalFormatting xmlns:xm="http://schemas.microsoft.com/office/excel/2006/main">
          <x14:cfRule type="expression" priority="4699295" id="{A9CE044F-482E-4F25-B28F-89ACC58502B1}">
            <xm:f>$BI$4='Data entry'!$R54</xm:f>
            <x14:dxf>
              <fill>
                <patternFill>
                  <bgColor rgb="FFFF0000"/>
                </patternFill>
              </fill>
            </x14:dxf>
          </x14:cfRule>
          <xm:sqref>BG150:BS150</xm:sqref>
        </x14:conditionalFormatting>
        <x14:conditionalFormatting xmlns:xm="http://schemas.microsoft.com/office/excel/2006/main">
          <x14:cfRule type="expression" priority="4699296" id="{F63BE0EB-3C71-4456-BEF0-11180AB7A8BB}">
            <xm:f>$BJ$4='Data entry'!$R54</xm:f>
            <x14:dxf>
              <fill>
                <patternFill>
                  <bgColor rgb="FFFFFF00"/>
                </patternFill>
              </fill>
            </x14:dxf>
          </x14:cfRule>
          <xm:sqref>AV149:BJ149</xm:sqref>
        </x14:conditionalFormatting>
        <x14:conditionalFormatting xmlns:xm="http://schemas.microsoft.com/office/excel/2006/main">
          <x14:cfRule type="expression" priority="4699297" id="{478A5DCB-1DAA-4497-A6CC-B4F01FB96D10}">
            <xm:f>$BJ$4='Data entry'!$R54</xm:f>
            <x14:dxf>
              <fill>
                <patternFill>
                  <bgColor rgb="FFFF0000"/>
                </patternFill>
              </fill>
            </x14:dxf>
          </x14:cfRule>
          <xm:sqref>BH150:BT150</xm:sqref>
        </x14:conditionalFormatting>
        <x14:conditionalFormatting xmlns:xm="http://schemas.microsoft.com/office/excel/2006/main">
          <x14:cfRule type="expression" priority="4699298" id="{CDE4AD5B-65A6-4FA4-9EC0-8D05F22312A9}">
            <xm:f>$BK$4='Data entry'!$R54</xm:f>
            <x14:dxf>
              <fill>
                <patternFill>
                  <bgColor rgb="FFFF0000"/>
                </patternFill>
              </fill>
            </x14:dxf>
          </x14:cfRule>
          <xm:sqref>BI150:BU150</xm:sqref>
        </x14:conditionalFormatting>
        <x14:conditionalFormatting xmlns:xm="http://schemas.microsoft.com/office/excel/2006/main">
          <x14:cfRule type="expression" priority="4699299" id="{AB32E790-6CD8-4D11-9A69-57D785FE4BBC}">
            <xm:f>$BK$4='Data entry'!$R54</xm:f>
            <x14:dxf>
              <fill>
                <patternFill>
                  <bgColor rgb="FFFFFF00"/>
                </patternFill>
              </fill>
            </x14:dxf>
          </x14:cfRule>
          <xm:sqref>AW149:BK149</xm:sqref>
        </x14:conditionalFormatting>
        <x14:conditionalFormatting xmlns:xm="http://schemas.microsoft.com/office/excel/2006/main">
          <x14:cfRule type="expression" priority="4699300" id="{99810EB9-805C-43D8-852A-EEECE7874CDB}">
            <xm:f>$BL$4='Data entry'!$R54</xm:f>
            <x14:dxf>
              <fill>
                <patternFill>
                  <bgColor rgb="FFFF0000"/>
                </patternFill>
              </fill>
            </x14:dxf>
          </x14:cfRule>
          <xm:sqref>BJ150:BV150</xm:sqref>
        </x14:conditionalFormatting>
        <x14:conditionalFormatting xmlns:xm="http://schemas.microsoft.com/office/excel/2006/main">
          <x14:cfRule type="expression" priority="4699301" id="{BF5F5475-4E46-479C-97A6-D5175F5D1803}">
            <xm:f>$BL$4='Data entry'!$R54</xm:f>
            <x14:dxf>
              <fill>
                <patternFill>
                  <bgColor rgb="FFFFFF00"/>
                </patternFill>
              </fill>
            </x14:dxf>
          </x14:cfRule>
          <xm:sqref>AX149:BL149</xm:sqref>
        </x14:conditionalFormatting>
        <x14:conditionalFormatting xmlns:xm="http://schemas.microsoft.com/office/excel/2006/main">
          <x14:cfRule type="expression" priority="4699302" id="{B86FDF2F-16C9-46B1-847E-7EA1A8A34B9D}">
            <xm:f>$BM$4='Data entry'!$R54</xm:f>
            <x14:dxf>
              <fill>
                <patternFill>
                  <bgColor rgb="FFFF0000"/>
                </patternFill>
              </fill>
            </x14:dxf>
          </x14:cfRule>
          <xm:sqref>BK150:BW150</xm:sqref>
        </x14:conditionalFormatting>
        <x14:conditionalFormatting xmlns:xm="http://schemas.microsoft.com/office/excel/2006/main">
          <x14:cfRule type="expression" priority="4699303" id="{72FD189F-4CED-400D-9FEF-21A328970A4D}">
            <xm:f>$BM$4='Data entry'!$R54</xm:f>
            <x14:dxf>
              <fill>
                <patternFill>
                  <bgColor rgb="FFFFFF00"/>
                </patternFill>
              </fill>
            </x14:dxf>
          </x14:cfRule>
          <xm:sqref>AY149:BM149</xm:sqref>
        </x14:conditionalFormatting>
        <x14:conditionalFormatting xmlns:xm="http://schemas.microsoft.com/office/excel/2006/main">
          <x14:cfRule type="expression" priority="4699304" id="{BBBBF859-D5A7-4F55-BFBF-8A77E3357590}">
            <xm:f>$BN$4='Data entry'!$R54</xm:f>
            <x14:dxf>
              <fill>
                <patternFill>
                  <bgColor rgb="FFFF0000"/>
                </patternFill>
              </fill>
            </x14:dxf>
          </x14:cfRule>
          <xm:sqref>BL150:BX150</xm:sqref>
        </x14:conditionalFormatting>
        <x14:conditionalFormatting xmlns:xm="http://schemas.microsoft.com/office/excel/2006/main">
          <x14:cfRule type="expression" priority="4699305" id="{50CB1D75-0FD5-4D24-92B1-E8A41DC6575C}">
            <xm:f>$BN$4='Data entry'!$R54</xm:f>
            <x14:dxf>
              <fill>
                <patternFill>
                  <bgColor rgb="FFFFFF00"/>
                </patternFill>
              </fill>
            </x14:dxf>
          </x14:cfRule>
          <xm:sqref>AZ149:BN149</xm:sqref>
        </x14:conditionalFormatting>
        <x14:conditionalFormatting xmlns:xm="http://schemas.microsoft.com/office/excel/2006/main">
          <x14:cfRule type="expression" priority="4699306" id="{9EF3226D-E8FC-496B-A6FF-71776AEA54D1}">
            <xm:f>$BO$4='Data entry'!$R54</xm:f>
            <x14:dxf>
              <fill>
                <patternFill>
                  <bgColor rgb="FFFF0000"/>
                </patternFill>
              </fill>
            </x14:dxf>
          </x14:cfRule>
          <xm:sqref>BM150:BY150</xm:sqref>
        </x14:conditionalFormatting>
        <x14:conditionalFormatting xmlns:xm="http://schemas.microsoft.com/office/excel/2006/main">
          <x14:cfRule type="expression" priority="4699307" id="{3B86C801-ECFE-4D05-8AA5-1581116BAFBC}">
            <xm:f>$BO$4='Data entry'!$R54</xm:f>
            <x14:dxf>
              <fill>
                <patternFill>
                  <bgColor rgb="FFFFFF00"/>
                </patternFill>
              </fill>
            </x14:dxf>
          </x14:cfRule>
          <xm:sqref>BA149:BO149</xm:sqref>
        </x14:conditionalFormatting>
        <x14:conditionalFormatting xmlns:xm="http://schemas.microsoft.com/office/excel/2006/main">
          <x14:cfRule type="expression" priority="4699308" id="{058A23EC-3371-4A02-9F20-1ECA603AC6BC}">
            <xm:f>$BP$4='Data entry'!$R54</xm:f>
            <x14:dxf>
              <fill>
                <patternFill>
                  <bgColor rgb="FFFF0000"/>
                </patternFill>
              </fill>
            </x14:dxf>
          </x14:cfRule>
          <xm:sqref>BN150:BZ150</xm:sqref>
        </x14:conditionalFormatting>
        <x14:conditionalFormatting xmlns:xm="http://schemas.microsoft.com/office/excel/2006/main">
          <x14:cfRule type="expression" priority="4699309" id="{3E711E31-3992-4555-AB22-87133D60CD15}">
            <xm:f>$BP$4='Data entry'!$R54</xm:f>
            <x14:dxf>
              <fill>
                <patternFill>
                  <bgColor rgb="FFFFFF00"/>
                </patternFill>
              </fill>
            </x14:dxf>
          </x14:cfRule>
          <xm:sqref>BB149:BP149</xm:sqref>
        </x14:conditionalFormatting>
        <x14:conditionalFormatting xmlns:xm="http://schemas.microsoft.com/office/excel/2006/main">
          <x14:cfRule type="expression" priority="4699310" id="{23E9F8B9-37D5-4730-9453-6F23E8ECBBE3}">
            <xm:f>$BQ$4='Data entry'!$R54</xm:f>
            <x14:dxf>
              <fill>
                <patternFill>
                  <bgColor rgb="FFFFFF00"/>
                </patternFill>
              </fill>
            </x14:dxf>
          </x14:cfRule>
          <xm:sqref>BC149:BQ149</xm:sqref>
        </x14:conditionalFormatting>
        <x14:conditionalFormatting xmlns:xm="http://schemas.microsoft.com/office/excel/2006/main">
          <x14:cfRule type="expression" priority="4699311" id="{BCFD92F6-AAD3-44FD-BC61-A292A81B883E}">
            <xm:f>$BQ$4='Data entry'!$R54</xm:f>
            <x14:dxf>
              <fill>
                <patternFill>
                  <bgColor rgb="FFFF0000"/>
                </patternFill>
              </fill>
            </x14:dxf>
          </x14:cfRule>
          <xm:sqref>BO150:CA150</xm:sqref>
        </x14:conditionalFormatting>
        <x14:conditionalFormatting xmlns:xm="http://schemas.microsoft.com/office/excel/2006/main">
          <x14:cfRule type="expression" priority="4699312" id="{357D60E5-F356-477E-8020-A18F42C02832}">
            <xm:f>$BR$4='Data entry'!$R54</xm:f>
            <x14:dxf>
              <fill>
                <patternFill>
                  <bgColor rgb="FFFFFF00"/>
                </patternFill>
              </fill>
            </x14:dxf>
          </x14:cfRule>
          <xm:sqref>BD149:BR149</xm:sqref>
        </x14:conditionalFormatting>
        <x14:conditionalFormatting xmlns:xm="http://schemas.microsoft.com/office/excel/2006/main">
          <x14:cfRule type="expression" priority="4699313" id="{DA2B6511-43B3-432D-B6AA-1DB1188B90A6}">
            <xm:f>$BR$4='Data entry'!$R54</xm:f>
            <x14:dxf>
              <fill>
                <patternFill>
                  <bgColor rgb="FFFF0000"/>
                </patternFill>
              </fill>
            </x14:dxf>
          </x14:cfRule>
          <xm:sqref>BP150:CB150</xm:sqref>
        </x14:conditionalFormatting>
        <x14:conditionalFormatting xmlns:xm="http://schemas.microsoft.com/office/excel/2006/main">
          <x14:cfRule type="expression" priority="4699314" id="{0D5F64E4-4136-4BFA-B833-CC8578525D9C}">
            <xm:f>$BS$4='Data entry'!$R54</xm:f>
            <x14:dxf>
              <fill>
                <patternFill>
                  <bgColor rgb="FFFFFF00"/>
                </patternFill>
              </fill>
            </x14:dxf>
          </x14:cfRule>
          <xm:sqref>BE149:BS149</xm:sqref>
        </x14:conditionalFormatting>
        <x14:conditionalFormatting xmlns:xm="http://schemas.microsoft.com/office/excel/2006/main">
          <x14:cfRule type="expression" priority="4699315" id="{AC94D468-F078-4AE2-8771-102996E07B09}">
            <xm:f>$BS$4='Data entry'!$R54</xm:f>
            <x14:dxf>
              <fill>
                <patternFill>
                  <bgColor rgb="FFFF0000"/>
                </patternFill>
              </fill>
            </x14:dxf>
          </x14:cfRule>
          <xm:sqref>BQ150:CC150</xm:sqref>
        </x14:conditionalFormatting>
        <x14:conditionalFormatting xmlns:xm="http://schemas.microsoft.com/office/excel/2006/main">
          <x14:cfRule type="expression" priority="4699316" id="{10E78F76-181E-4F19-9F89-7DD36D3EFE30}">
            <xm:f>$BT$4='Data entry'!$R54</xm:f>
            <x14:dxf>
              <fill>
                <patternFill>
                  <bgColor rgb="FFFFFF00"/>
                </patternFill>
              </fill>
            </x14:dxf>
          </x14:cfRule>
          <xm:sqref>BF149:BT149</xm:sqref>
        </x14:conditionalFormatting>
        <x14:conditionalFormatting xmlns:xm="http://schemas.microsoft.com/office/excel/2006/main">
          <x14:cfRule type="expression" priority="4699317" id="{6A5FADC6-9512-4EFB-90A5-7B5244D10D1F}">
            <xm:f>$BT$4='Data entry'!$R54</xm:f>
            <x14:dxf>
              <fill>
                <patternFill>
                  <bgColor rgb="FFFF0000"/>
                </patternFill>
              </fill>
            </x14:dxf>
          </x14:cfRule>
          <xm:sqref>BR150:CC150</xm:sqref>
        </x14:conditionalFormatting>
        <x14:conditionalFormatting xmlns:xm="http://schemas.microsoft.com/office/excel/2006/main">
          <x14:cfRule type="expression" priority="4699318" id="{A51139D1-8841-4B96-B8CB-DFE3808765CF}">
            <xm:f>$BU$4='Data entry'!$R54</xm:f>
            <x14:dxf>
              <fill>
                <patternFill>
                  <bgColor rgb="FFFFFF00"/>
                </patternFill>
              </fill>
            </x14:dxf>
          </x14:cfRule>
          <xm:sqref>BG149:BU149</xm:sqref>
        </x14:conditionalFormatting>
        <x14:conditionalFormatting xmlns:xm="http://schemas.microsoft.com/office/excel/2006/main">
          <x14:cfRule type="expression" priority="4699319" id="{55CA7258-760F-4BFF-ACB5-A70FEB3E7981}">
            <xm:f>$BU$4='Data entry'!$R54</xm:f>
            <x14:dxf>
              <fill>
                <patternFill>
                  <bgColor rgb="FFFF0000"/>
                </patternFill>
              </fill>
            </x14:dxf>
          </x14:cfRule>
          <xm:sqref>BS150:CC150</xm:sqref>
        </x14:conditionalFormatting>
        <x14:conditionalFormatting xmlns:xm="http://schemas.microsoft.com/office/excel/2006/main">
          <x14:cfRule type="expression" priority="4699320" id="{A922B218-64DB-4CBB-9AB8-FE0EBB44E09E}">
            <xm:f>$BV$4='Data entry'!$R54</xm:f>
            <x14:dxf>
              <fill>
                <patternFill>
                  <bgColor rgb="FFFFFF00"/>
                </patternFill>
              </fill>
            </x14:dxf>
          </x14:cfRule>
          <xm:sqref>BH149:BV149</xm:sqref>
        </x14:conditionalFormatting>
        <x14:conditionalFormatting xmlns:xm="http://schemas.microsoft.com/office/excel/2006/main">
          <x14:cfRule type="expression" priority="4699321" id="{C98E908A-CD31-4778-B41C-7AFB9DBE639A}">
            <xm:f>$BV$4='Data entry'!$R54</xm:f>
            <x14:dxf>
              <fill>
                <patternFill>
                  <bgColor rgb="FFFF0000"/>
                </patternFill>
              </fill>
            </x14:dxf>
          </x14:cfRule>
          <xm:sqref>BT150:CC150</xm:sqref>
        </x14:conditionalFormatting>
        <x14:conditionalFormatting xmlns:xm="http://schemas.microsoft.com/office/excel/2006/main">
          <x14:cfRule type="expression" priority="4699322" id="{465CCCA3-B4DB-4B61-8AC7-8A5E4CEC9E3F}">
            <xm:f>$BW$4='Data entry'!$R54</xm:f>
            <x14:dxf>
              <fill>
                <patternFill>
                  <bgColor rgb="FFFFFF00"/>
                </patternFill>
              </fill>
            </x14:dxf>
          </x14:cfRule>
          <xm:sqref>BI149:BW149</xm:sqref>
        </x14:conditionalFormatting>
        <x14:conditionalFormatting xmlns:xm="http://schemas.microsoft.com/office/excel/2006/main">
          <x14:cfRule type="expression" priority="4699323" id="{37566F97-6D06-400B-A709-FE657B07687F}">
            <xm:f>$BW$4='Data entry'!$R54</xm:f>
            <x14:dxf>
              <fill>
                <patternFill>
                  <bgColor rgb="FFFF0000"/>
                </patternFill>
              </fill>
            </x14:dxf>
          </x14:cfRule>
          <xm:sqref>BU150:CC150</xm:sqref>
        </x14:conditionalFormatting>
        <x14:conditionalFormatting xmlns:xm="http://schemas.microsoft.com/office/excel/2006/main">
          <x14:cfRule type="expression" priority="4699324" id="{D8FBA3AC-5CF0-4E45-97CA-1D4DEE729ADA}">
            <xm:f>$BX$4='Data entry'!$R54</xm:f>
            <x14:dxf>
              <fill>
                <patternFill>
                  <bgColor rgb="FFFFFF00"/>
                </patternFill>
              </fill>
            </x14:dxf>
          </x14:cfRule>
          <xm:sqref>BJ149:BX149</xm:sqref>
        </x14:conditionalFormatting>
        <x14:conditionalFormatting xmlns:xm="http://schemas.microsoft.com/office/excel/2006/main">
          <x14:cfRule type="expression" priority="4699325" id="{E077C84B-A94F-431D-B232-4AFCC7C64F54}">
            <xm:f>$BX$4='Data entry'!$R54</xm:f>
            <x14:dxf>
              <fill>
                <patternFill>
                  <bgColor rgb="FFFF0000"/>
                </patternFill>
              </fill>
            </x14:dxf>
          </x14:cfRule>
          <xm:sqref>BV150:CC150</xm:sqref>
        </x14:conditionalFormatting>
        <x14:conditionalFormatting xmlns:xm="http://schemas.microsoft.com/office/excel/2006/main">
          <x14:cfRule type="expression" priority="4699326" id="{63783BA8-0C97-4A44-86FD-7A2BCF1B9957}">
            <xm:f>$BY$4='Data entry'!$R54</xm:f>
            <x14:dxf>
              <fill>
                <patternFill>
                  <bgColor rgb="FFFFFF00"/>
                </patternFill>
              </fill>
            </x14:dxf>
          </x14:cfRule>
          <xm:sqref>BK149:BY149</xm:sqref>
        </x14:conditionalFormatting>
        <x14:conditionalFormatting xmlns:xm="http://schemas.microsoft.com/office/excel/2006/main">
          <x14:cfRule type="expression" priority="4699327" id="{BB8DB8B4-B71B-46D2-AEE7-346F16103F74}">
            <xm:f>$BY$4='Data entry'!$R54</xm:f>
            <x14:dxf>
              <fill>
                <patternFill>
                  <bgColor rgb="FFFF0000"/>
                </patternFill>
              </fill>
            </x14:dxf>
          </x14:cfRule>
          <xm:sqref>BW150:CC150</xm:sqref>
        </x14:conditionalFormatting>
        <x14:conditionalFormatting xmlns:xm="http://schemas.microsoft.com/office/excel/2006/main">
          <x14:cfRule type="expression" priority="4699328" id="{1B638B98-2B06-4FEB-90C1-446A3E0A3979}">
            <xm:f>$BZ$4='Data entry'!$R54</xm:f>
            <x14:dxf>
              <fill>
                <patternFill>
                  <bgColor rgb="FFFFFF00"/>
                </patternFill>
              </fill>
            </x14:dxf>
          </x14:cfRule>
          <xm:sqref>BL149:BZ149</xm:sqref>
        </x14:conditionalFormatting>
        <x14:conditionalFormatting xmlns:xm="http://schemas.microsoft.com/office/excel/2006/main">
          <x14:cfRule type="expression" priority="4699329" id="{D3A0A2F8-D1B2-4DC5-B2A9-0EF53074E685}">
            <xm:f>$BZ$4='Data entry'!$R54</xm:f>
            <x14:dxf>
              <fill>
                <patternFill>
                  <bgColor rgb="FFFF0000"/>
                </patternFill>
              </fill>
            </x14:dxf>
          </x14:cfRule>
          <xm:sqref>BX150:CC150</xm:sqref>
        </x14:conditionalFormatting>
        <x14:conditionalFormatting xmlns:xm="http://schemas.microsoft.com/office/excel/2006/main">
          <x14:cfRule type="expression" priority="4699330" id="{83F6D018-7D3B-4D33-9998-11572F2F2FF5}">
            <xm:f>$CA$4='Data entry'!$R54</xm:f>
            <x14:dxf>
              <fill>
                <patternFill>
                  <bgColor rgb="FFFFFF00"/>
                </patternFill>
              </fill>
            </x14:dxf>
          </x14:cfRule>
          <xm:sqref>BM149:CA149</xm:sqref>
        </x14:conditionalFormatting>
        <x14:conditionalFormatting xmlns:xm="http://schemas.microsoft.com/office/excel/2006/main">
          <x14:cfRule type="expression" priority="4699331" id="{8E6D0B51-5626-4ED9-9072-C7A2C139704F}">
            <xm:f>$CA$4='Data entry'!$R54</xm:f>
            <x14:dxf>
              <fill>
                <patternFill>
                  <bgColor rgb="FFFF0000"/>
                </patternFill>
              </fill>
            </x14:dxf>
          </x14:cfRule>
          <xm:sqref>BY150:CC150</xm:sqref>
        </x14:conditionalFormatting>
        <x14:conditionalFormatting xmlns:xm="http://schemas.microsoft.com/office/excel/2006/main">
          <x14:cfRule type="expression" priority="4699332" id="{E1886EE4-3BDE-43A9-9F4B-79377FEC37FE}">
            <xm:f>$CB$4='Data entry'!$R54</xm:f>
            <x14:dxf>
              <fill>
                <patternFill>
                  <bgColor rgb="FFFFFF00"/>
                </patternFill>
              </fill>
            </x14:dxf>
          </x14:cfRule>
          <xm:sqref>BN149:CB149</xm:sqref>
        </x14:conditionalFormatting>
        <x14:conditionalFormatting xmlns:xm="http://schemas.microsoft.com/office/excel/2006/main">
          <x14:cfRule type="expression" priority="4699333" id="{ADEF572A-6C18-4602-BB86-01C96D36E07E}">
            <xm:f>$CB$4='Data entry'!$R54</xm:f>
            <x14:dxf>
              <fill>
                <patternFill>
                  <bgColor rgb="FFFF0000"/>
                </patternFill>
              </fill>
            </x14:dxf>
          </x14:cfRule>
          <xm:sqref>BZ150:CC150</xm:sqref>
        </x14:conditionalFormatting>
        <x14:conditionalFormatting xmlns:xm="http://schemas.microsoft.com/office/excel/2006/main">
          <x14:cfRule type="expression" priority="4699334" id="{7984E1C9-E073-4955-8543-62145CB6D008}">
            <xm:f>$CC$4='Data entry'!$R54</xm:f>
            <x14:dxf>
              <fill>
                <patternFill>
                  <bgColor rgb="FFFFFF00"/>
                </patternFill>
              </fill>
            </x14:dxf>
          </x14:cfRule>
          <xm:sqref>BO149:CC149</xm:sqref>
        </x14:conditionalFormatting>
        <x14:conditionalFormatting xmlns:xm="http://schemas.microsoft.com/office/excel/2006/main">
          <x14:cfRule type="expression" priority="4699335" id="{18A957B3-59FA-4698-BA92-2A208FF18E2F}">
            <xm:f>$CC$4='Data entry'!$R54</xm:f>
            <x14:dxf>
              <fill>
                <patternFill>
                  <bgColor rgb="FFFF0000"/>
                </patternFill>
              </fill>
            </x14:dxf>
          </x14:cfRule>
          <xm:sqref>CA150:CC150</xm:sqref>
        </x14:conditionalFormatting>
        <x14:conditionalFormatting xmlns:xm="http://schemas.microsoft.com/office/excel/2006/main">
          <x14:cfRule type="expression" priority="4699422" id="{5B0DB825-B7C2-40AC-B7EF-F267F054CFB9}">
            <xm:f>$U$4='Data entry'!$R55</xm:f>
            <x14:dxf>
              <fill>
                <patternFill>
                  <bgColor rgb="FFFF0000"/>
                </patternFill>
              </fill>
            </x14:dxf>
          </x14:cfRule>
          <xm:sqref>S153:AE153</xm:sqref>
        </x14:conditionalFormatting>
        <x14:conditionalFormatting xmlns:xm="http://schemas.microsoft.com/office/excel/2006/main">
          <x14:cfRule type="expression" priority="4699423" id="{18311200-E2BB-400F-B594-3B9A2C6068C2}">
            <xm:f>$V$4='Data entry'!$R55</xm:f>
            <x14:dxf>
              <fill>
                <patternFill>
                  <bgColor rgb="FFFF0000"/>
                </patternFill>
              </fill>
            </x14:dxf>
          </x14:cfRule>
          <xm:sqref>T153:AF153</xm:sqref>
        </x14:conditionalFormatting>
        <x14:conditionalFormatting xmlns:xm="http://schemas.microsoft.com/office/excel/2006/main">
          <x14:cfRule type="expression" priority="4699424" id="{D6DFB621-1A58-4C59-A987-ECAD0EB2D32B}">
            <xm:f>$V$4='Data entry'!$R55</xm:f>
            <x14:dxf>
              <fill>
                <patternFill>
                  <bgColor rgb="FFFFFF00"/>
                </patternFill>
              </fill>
            </x14:dxf>
          </x14:cfRule>
          <xm:sqref>H152:V152</xm:sqref>
        </x14:conditionalFormatting>
        <x14:conditionalFormatting xmlns:xm="http://schemas.microsoft.com/office/excel/2006/main">
          <x14:cfRule type="expression" priority="4699425" id="{5F87A680-DC5F-433D-A779-B7A534ACCDA9}">
            <xm:f>$W$4='Data entry'!$R55</xm:f>
            <x14:dxf>
              <fill>
                <patternFill>
                  <bgColor rgb="FFFF0000"/>
                </patternFill>
              </fill>
            </x14:dxf>
          </x14:cfRule>
          <xm:sqref>U153:AG153</xm:sqref>
        </x14:conditionalFormatting>
        <x14:conditionalFormatting xmlns:xm="http://schemas.microsoft.com/office/excel/2006/main">
          <x14:cfRule type="expression" priority="4699426" id="{964539FF-A92C-4F68-B268-B7157A32678C}">
            <xm:f>$W$4='Data entry'!$R55</xm:f>
            <x14:dxf>
              <fill>
                <patternFill>
                  <bgColor rgb="FFFFFF00"/>
                </patternFill>
              </fill>
            </x14:dxf>
          </x14:cfRule>
          <xm:sqref>I152:W152</xm:sqref>
        </x14:conditionalFormatting>
        <x14:conditionalFormatting xmlns:xm="http://schemas.microsoft.com/office/excel/2006/main">
          <x14:cfRule type="expression" priority="4699427" id="{46C1533A-F090-4A90-9309-3F59EC3FD3B0}">
            <xm:f>$X$4='Data entry'!$R55</xm:f>
            <x14:dxf>
              <fill>
                <patternFill>
                  <bgColor rgb="FFFF0000"/>
                </patternFill>
              </fill>
            </x14:dxf>
          </x14:cfRule>
          <xm:sqref>V153:AH153</xm:sqref>
        </x14:conditionalFormatting>
        <x14:conditionalFormatting xmlns:xm="http://schemas.microsoft.com/office/excel/2006/main">
          <x14:cfRule type="expression" priority="4699428" id="{7C70E81C-DDD4-4D75-933A-4F6A39893184}">
            <xm:f>$X$4='Data entry'!$R55</xm:f>
            <x14:dxf>
              <fill>
                <patternFill>
                  <bgColor rgb="FFFFFF00"/>
                </patternFill>
              </fill>
            </x14:dxf>
          </x14:cfRule>
          <xm:sqref>J152:X152</xm:sqref>
        </x14:conditionalFormatting>
        <x14:conditionalFormatting xmlns:xm="http://schemas.microsoft.com/office/excel/2006/main">
          <x14:cfRule type="expression" priority="4699429" id="{561AF073-0EF8-4B72-A119-40A639C4359D}">
            <xm:f>$Y$4='Data entry'!$R55</xm:f>
            <x14:dxf>
              <fill>
                <patternFill>
                  <bgColor rgb="FFFF0000"/>
                </patternFill>
              </fill>
            </x14:dxf>
          </x14:cfRule>
          <xm:sqref>W153:AI153</xm:sqref>
        </x14:conditionalFormatting>
        <x14:conditionalFormatting xmlns:xm="http://schemas.microsoft.com/office/excel/2006/main">
          <x14:cfRule type="expression" priority="4699430" id="{F242E808-8F07-4A89-9524-7D4C767CE357}">
            <xm:f>$Y$4='Data entry'!$R55</xm:f>
            <x14:dxf>
              <fill>
                <patternFill>
                  <bgColor rgb="FFFFFF00"/>
                </patternFill>
              </fill>
            </x14:dxf>
          </x14:cfRule>
          <xm:sqref>K152:Y152</xm:sqref>
        </x14:conditionalFormatting>
        <x14:conditionalFormatting xmlns:xm="http://schemas.microsoft.com/office/excel/2006/main">
          <x14:cfRule type="expression" priority="4699431" id="{DD601058-982B-4218-BD9D-64BB823C2633}">
            <xm:f>$Z$4='Data entry'!$R55</xm:f>
            <x14:dxf>
              <fill>
                <patternFill>
                  <bgColor rgb="FFFF0000"/>
                </patternFill>
              </fill>
            </x14:dxf>
          </x14:cfRule>
          <xm:sqref>X153:AJ153</xm:sqref>
        </x14:conditionalFormatting>
        <x14:conditionalFormatting xmlns:xm="http://schemas.microsoft.com/office/excel/2006/main">
          <x14:cfRule type="expression" priority="4699432" id="{C9DB141D-79F6-4093-92A3-7BF7A1622985}">
            <xm:f>$Z$4='Data entry'!$R55</xm:f>
            <x14:dxf>
              <fill>
                <patternFill>
                  <bgColor rgb="FFFFFF00"/>
                </patternFill>
              </fill>
            </x14:dxf>
          </x14:cfRule>
          <xm:sqref>L152:Z152</xm:sqref>
        </x14:conditionalFormatting>
        <x14:conditionalFormatting xmlns:xm="http://schemas.microsoft.com/office/excel/2006/main">
          <x14:cfRule type="expression" priority="4699433" id="{710EB8D3-F5C0-4E3C-8214-2D0C4E26F649}">
            <xm:f>$AA$4='Data entry'!$R55</xm:f>
            <x14:dxf>
              <fill>
                <patternFill>
                  <bgColor rgb="FFFF0000"/>
                </patternFill>
              </fill>
            </x14:dxf>
          </x14:cfRule>
          <xm:sqref>Y153:AK153</xm:sqref>
        </x14:conditionalFormatting>
        <x14:conditionalFormatting xmlns:xm="http://schemas.microsoft.com/office/excel/2006/main">
          <x14:cfRule type="expression" priority="4699434" id="{33825D69-C967-4D27-B395-5D44A3083802}">
            <xm:f>$AA$4='Data entry'!$R55</xm:f>
            <x14:dxf>
              <fill>
                <patternFill>
                  <bgColor rgb="FFFFFF00"/>
                </patternFill>
              </fill>
            </x14:dxf>
          </x14:cfRule>
          <xm:sqref>M152:AA152</xm:sqref>
        </x14:conditionalFormatting>
        <x14:conditionalFormatting xmlns:xm="http://schemas.microsoft.com/office/excel/2006/main">
          <x14:cfRule type="expression" priority="4699435" id="{9811A97D-351B-4D32-8754-AF433277E62B}">
            <xm:f>$AB$4='Data entry'!$R55</xm:f>
            <x14:dxf>
              <fill>
                <patternFill>
                  <bgColor rgb="FFFF0000"/>
                </patternFill>
              </fill>
            </x14:dxf>
          </x14:cfRule>
          <xm:sqref>Z153:AL153</xm:sqref>
        </x14:conditionalFormatting>
        <x14:conditionalFormatting xmlns:xm="http://schemas.microsoft.com/office/excel/2006/main">
          <x14:cfRule type="expression" priority="4699436" id="{6DD3E556-C72E-438B-92DA-3096ED1E4178}">
            <xm:f>$AB$4='Data entry'!$R55</xm:f>
            <x14:dxf>
              <fill>
                <patternFill>
                  <bgColor rgb="FFFFFF00"/>
                </patternFill>
              </fill>
            </x14:dxf>
          </x14:cfRule>
          <xm:sqref>N152:AB152</xm:sqref>
        </x14:conditionalFormatting>
        <x14:conditionalFormatting xmlns:xm="http://schemas.microsoft.com/office/excel/2006/main">
          <x14:cfRule type="expression" priority="4699437" id="{C0DF7A1B-D6BC-4371-BD3A-F0708147FA1C}">
            <xm:f>$AC$4='Data entry'!$R55</xm:f>
            <x14:dxf>
              <fill>
                <patternFill>
                  <bgColor rgb="FFFF0000"/>
                </patternFill>
              </fill>
            </x14:dxf>
          </x14:cfRule>
          <xm:sqref>AA153:AM153</xm:sqref>
        </x14:conditionalFormatting>
        <x14:conditionalFormatting xmlns:xm="http://schemas.microsoft.com/office/excel/2006/main">
          <x14:cfRule type="expression" priority="4699438" id="{DB2E1F48-AF0E-41F9-A976-6B1963CA5711}">
            <xm:f>$AC$4='Data entry'!$R55</xm:f>
            <x14:dxf>
              <fill>
                <patternFill>
                  <bgColor rgb="FFFFFF00"/>
                </patternFill>
              </fill>
            </x14:dxf>
          </x14:cfRule>
          <xm:sqref>O152:AC152</xm:sqref>
        </x14:conditionalFormatting>
        <x14:conditionalFormatting xmlns:xm="http://schemas.microsoft.com/office/excel/2006/main">
          <x14:cfRule type="expression" priority="4699439" id="{89909907-F9A9-4AF9-BC1D-304710A43F50}">
            <xm:f>$AD$4='Data entry'!$R55</xm:f>
            <x14:dxf>
              <fill>
                <patternFill>
                  <bgColor rgb="FFFF0000"/>
                </patternFill>
              </fill>
            </x14:dxf>
          </x14:cfRule>
          <xm:sqref>AB153:AN153</xm:sqref>
        </x14:conditionalFormatting>
        <x14:conditionalFormatting xmlns:xm="http://schemas.microsoft.com/office/excel/2006/main">
          <x14:cfRule type="expression" priority="4699440" id="{729676B7-E331-43A4-ACC9-850DCEE76A0E}">
            <xm:f>$AD$4='Data entry'!$R55</xm:f>
            <x14:dxf>
              <fill>
                <patternFill>
                  <bgColor rgb="FFFFFF00"/>
                </patternFill>
              </fill>
            </x14:dxf>
          </x14:cfRule>
          <xm:sqref>P152:AD152</xm:sqref>
        </x14:conditionalFormatting>
        <x14:conditionalFormatting xmlns:xm="http://schemas.microsoft.com/office/excel/2006/main">
          <x14:cfRule type="expression" priority="4699441" id="{00DA2C55-350E-44AA-ABEA-808FABFDA737}">
            <xm:f>$AE$4='Data entry'!$R55</xm:f>
            <x14:dxf>
              <fill>
                <patternFill>
                  <bgColor rgb="FFFF0000"/>
                </patternFill>
              </fill>
            </x14:dxf>
          </x14:cfRule>
          <xm:sqref>AC153:AO153</xm:sqref>
        </x14:conditionalFormatting>
        <x14:conditionalFormatting xmlns:xm="http://schemas.microsoft.com/office/excel/2006/main">
          <x14:cfRule type="expression" priority="4699442" id="{373C95F1-00C1-45E9-B561-5224945BA4A4}">
            <xm:f>$AE$4='Data entry'!$R55</xm:f>
            <x14:dxf>
              <fill>
                <patternFill>
                  <bgColor rgb="FFFFFF00"/>
                </patternFill>
              </fill>
            </x14:dxf>
          </x14:cfRule>
          <xm:sqref>Q152:AE152</xm:sqref>
        </x14:conditionalFormatting>
        <x14:conditionalFormatting xmlns:xm="http://schemas.microsoft.com/office/excel/2006/main">
          <x14:cfRule type="expression" priority="4699443" id="{65E90E74-6BEF-4B00-BD5E-ECACFEBC225A}">
            <xm:f>$AF$4='Data entry'!$R55</xm:f>
            <x14:dxf>
              <fill>
                <patternFill>
                  <bgColor rgb="FFFF0000"/>
                </patternFill>
              </fill>
            </x14:dxf>
          </x14:cfRule>
          <xm:sqref>AD153:AP153</xm:sqref>
        </x14:conditionalFormatting>
        <x14:conditionalFormatting xmlns:xm="http://schemas.microsoft.com/office/excel/2006/main">
          <x14:cfRule type="expression" priority="4699444" id="{56B519D7-E083-4811-B42B-D6CB10D44BB3}">
            <xm:f>$AF$4='Data entry'!$R55</xm:f>
            <x14:dxf>
              <fill>
                <patternFill>
                  <bgColor rgb="FFFFFF00"/>
                </patternFill>
              </fill>
            </x14:dxf>
          </x14:cfRule>
          <xm:sqref>R152:AF152</xm:sqref>
        </x14:conditionalFormatting>
        <x14:conditionalFormatting xmlns:xm="http://schemas.microsoft.com/office/excel/2006/main">
          <x14:cfRule type="expression" priority="4699445" id="{889682B6-BF9B-414B-86B7-1C802156B058}">
            <xm:f>$AG$4='Data entry'!$R55</xm:f>
            <x14:dxf>
              <fill>
                <patternFill>
                  <bgColor rgb="FFFF0000"/>
                </patternFill>
              </fill>
            </x14:dxf>
          </x14:cfRule>
          <xm:sqref>AE153:AQ153</xm:sqref>
        </x14:conditionalFormatting>
        <x14:conditionalFormatting xmlns:xm="http://schemas.microsoft.com/office/excel/2006/main">
          <x14:cfRule type="expression" priority="4699446" id="{19913D88-1940-4CB0-B29C-D46D60833BD5}">
            <xm:f>$AG$4='Data entry'!$R55</xm:f>
            <x14:dxf>
              <fill>
                <patternFill>
                  <bgColor rgb="FFFFFF00"/>
                </patternFill>
              </fill>
            </x14:dxf>
          </x14:cfRule>
          <xm:sqref>S152:AG152</xm:sqref>
        </x14:conditionalFormatting>
        <x14:conditionalFormatting xmlns:xm="http://schemas.microsoft.com/office/excel/2006/main">
          <x14:cfRule type="expression" priority="4699447" id="{3DD7B9A5-18A3-463F-BAD5-9796FC487328}">
            <xm:f>$AH$4='Data entry'!$R55</xm:f>
            <x14:dxf>
              <fill>
                <patternFill>
                  <bgColor rgb="FFFF0000"/>
                </patternFill>
              </fill>
            </x14:dxf>
          </x14:cfRule>
          <xm:sqref>AF153:AR153</xm:sqref>
        </x14:conditionalFormatting>
        <x14:conditionalFormatting xmlns:xm="http://schemas.microsoft.com/office/excel/2006/main">
          <x14:cfRule type="expression" priority="4699448" id="{31005CF4-5608-496E-91EB-F7F505046C80}">
            <xm:f>$AH$4='Data entry'!$R55</xm:f>
            <x14:dxf>
              <fill>
                <patternFill>
                  <bgColor rgb="FFFFFF00"/>
                </patternFill>
              </fill>
            </x14:dxf>
          </x14:cfRule>
          <xm:sqref>T152:AH152</xm:sqref>
        </x14:conditionalFormatting>
        <x14:conditionalFormatting xmlns:xm="http://schemas.microsoft.com/office/excel/2006/main">
          <x14:cfRule type="expression" priority="4699449" id="{CD14F654-5B7A-444F-8FC1-7DD71E76E475}">
            <xm:f>$AI$4='Data entry'!$R55</xm:f>
            <x14:dxf>
              <fill>
                <patternFill>
                  <bgColor rgb="FFFF0000"/>
                </patternFill>
              </fill>
            </x14:dxf>
          </x14:cfRule>
          <xm:sqref>AG153:AS153</xm:sqref>
        </x14:conditionalFormatting>
        <x14:conditionalFormatting xmlns:xm="http://schemas.microsoft.com/office/excel/2006/main">
          <x14:cfRule type="expression" priority="4699450" id="{0E4E448C-6C46-4285-B877-A61A90294385}">
            <xm:f>$AI$4='Data entry'!$R55</xm:f>
            <x14:dxf>
              <fill>
                <patternFill>
                  <bgColor rgb="FFFFFF00"/>
                </patternFill>
              </fill>
            </x14:dxf>
          </x14:cfRule>
          <xm:sqref>U152:AI152</xm:sqref>
        </x14:conditionalFormatting>
        <x14:conditionalFormatting xmlns:xm="http://schemas.microsoft.com/office/excel/2006/main">
          <x14:cfRule type="expression" priority="4699451" id="{B1C1818F-791C-403D-BE73-6F6E9DC6A16D}">
            <xm:f>$AJ$4='Data entry'!$R55</xm:f>
            <x14:dxf>
              <fill>
                <patternFill>
                  <bgColor rgb="FFFF0000"/>
                </patternFill>
              </fill>
            </x14:dxf>
          </x14:cfRule>
          <xm:sqref>AH153:AT153</xm:sqref>
        </x14:conditionalFormatting>
        <x14:conditionalFormatting xmlns:xm="http://schemas.microsoft.com/office/excel/2006/main">
          <x14:cfRule type="expression" priority="4699452" id="{A1237792-221B-431B-B8A7-E9A64DA46D93}">
            <xm:f>$AJ$4='Data entry'!$R55</xm:f>
            <x14:dxf>
              <fill>
                <patternFill>
                  <bgColor rgb="FFFFFF00"/>
                </patternFill>
              </fill>
            </x14:dxf>
          </x14:cfRule>
          <xm:sqref>V152:AJ152</xm:sqref>
        </x14:conditionalFormatting>
        <x14:conditionalFormatting xmlns:xm="http://schemas.microsoft.com/office/excel/2006/main">
          <x14:cfRule type="expression" priority="4699453" id="{617DC2AF-C7A3-4724-8EA3-17DEFEDC8949}">
            <xm:f>$AK$4='Data entry'!$R55</xm:f>
            <x14:dxf>
              <fill>
                <patternFill>
                  <bgColor rgb="FFFF0000"/>
                </patternFill>
              </fill>
            </x14:dxf>
          </x14:cfRule>
          <xm:sqref>AI153:AU153</xm:sqref>
        </x14:conditionalFormatting>
        <x14:conditionalFormatting xmlns:xm="http://schemas.microsoft.com/office/excel/2006/main">
          <x14:cfRule type="expression" priority="4699454" id="{AA72317D-37B1-48EB-A28B-BF2AC8DC4519}">
            <xm:f>$AK$4='Data entry'!$R55</xm:f>
            <x14:dxf>
              <fill>
                <patternFill>
                  <bgColor rgb="FFFFFF00"/>
                </patternFill>
              </fill>
            </x14:dxf>
          </x14:cfRule>
          <xm:sqref>W152:AK152</xm:sqref>
        </x14:conditionalFormatting>
        <x14:conditionalFormatting xmlns:xm="http://schemas.microsoft.com/office/excel/2006/main">
          <x14:cfRule type="expression" priority="4699455" id="{6CA9FB7A-20EA-4D3A-B74C-A001F4BE810D}">
            <xm:f>$AL$4='Data entry'!$R55</xm:f>
            <x14:dxf>
              <fill>
                <patternFill>
                  <bgColor rgb="FFFF0000"/>
                </patternFill>
              </fill>
            </x14:dxf>
          </x14:cfRule>
          <xm:sqref>AJ153:AV153</xm:sqref>
        </x14:conditionalFormatting>
        <x14:conditionalFormatting xmlns:xm="http://schemas.microsoft.com/office/excel/2006/main">
          <x14:cfRule type="expression" priority="4699456" id="{81A75DAA-573F-4EF3-A640-1B992C18BEA0}">
            <xm:f>$AL$4='Data entry'!$R55</xm:f>
            <x14:dxf>
              <fill>
                <patternFill>
                  <bgColor rgb="FFFFFF00"/>
                </patternFill>
              </fill>
            </x14:dxf>
          </x14:cfRule>
          <xm:sqref>X152:AL152</xm:sqref>
        </x14:conditionalFormatting>
        <x14:conditionalFormatting xmlns:xm="http://schemas.microsoft.com/office/excel/2006/main">
          <x14:cfRule type="expression" priority="4699457" id="{3D44713E-4ABA-4CCD-9DF4-5513A9FB5E1E}">
            <xm:f>$AM$4='Data entry'!$R55</xm:f>
            <x14:dxf>
              <fill>
                <patternFill>
                  <bgColor rgb="FFFF0000"/>
                </patternFill>
              </fill>
            </x14:dxf>
          </x14:cfRule>
          <xm:sqref>AK153:AW153</xm:sqref>
        </x14:conditionalFormatting>
        <x14:conditionalFormatting xmlns:xm="http://schemas.microsoft.com/office/excel/2006/main">
          <x14:cfRule type="expression" priority="4699458" id="{05A26B51-72A7-4423-822F-2BDBC28275D0}">
            <xm:f>$AM$4='Data entry'!$R55</xm:f>
            <x14:dxf>
              <fill>
                <patternFill>
                  <bgColor rgb="FFFFFF00"/>
                </patternFill>
              </fill>
            </x14:dxf>
          </x14:cfRule>
          <xm:sqref>Y152:AM152</xm:sqref>
        </x14:conditionalFormatting>
        <x14:conditionalFormatting xmlns:xm="http://schemas.microsoft.com/office/excel/2006/main">
          <x14:cfRule type="expression" priority="4699459" id="{B8A20675-6230-4694-A7F6-6B3DC7142773}">
            <xm:f>$AN$4='Data entry'!$R55</xm:f>
            <x14:dxf>
              <fill>
                <patternFill>
                  <bgColor rgb="FFFF0000"/>
                </patternFill>
              </fill>
            </x14:dxf>
          </x14:cfRule>
          <xm:sqref>AL153:AX153</xm:sqref>
        </x14:conditionalFormatting>
        <x14:conditionalFormatting xmlns:xm="http://schemas.microsoft.com/office/excel/2006/main">
          <x14:cfRule type="expression" priority="4699460" id="{8421181C-7450-42E9-BC1D-065CCFCA960E}">
            <xm:f>$AN$4='Data entry'!$R55</xm:f>
            <x14:dxf>
              <fill>
                <patternFill>
                  <bgColor rgb="FFFFFF00"/>
                </patternFill>
              </fill>
            </x14:dxf>
          </x14:cfRule>
          <xm:sqref>Z152:AN152</xm:sqref>
        </x14:conditionalFormatting>
        <x14:conditionalFormatting xmlns:xm="http://schemas.microsoft.com/office/excel/2006/main">
          <x14:cfRule type="expression" priority="4699461" id="{067FE4BD-6EF4-4684-B6E0-35AB2F267EE7}">
            <xm:f>$AO$4='Data entry'!$R55</xm:f>
            <x14:dxf>
              <fill>
                <patternFill>
                  <bgColor rgb="FFFF0000"/>
                </patternFill>
              </fill>
            </x14:dxf>
          </x14:cfRule>
          <xm:sqref>AM153:AY153</xm:sqref>
        </x14:conditionalFormatting>
        <x14:conditionalFormatting xmlns:xm="http://schemas.microsoft.com/office/excel/2006/main">
          <x14:cfRule type="expression" priority="4699462" id="{F7653492-88D1-47AC-8BA3-0CCE65C3C2AB}">
            <xm:f>$AO$4='Data entry'!$R55</xm:f>
            <x14:dxf>
              <fill>
                <patternFill>
                  <bgColor rgb="FFFFFF00"/>
                </patternFill>
              </fill>
            </x14:dxf>
          </x14:cfRule>
          <xm:sqref>AA152:AO152</xm:sqref>
        </x14:conditionalFormatting>
        <x14:conditionalFormatting xmlns:xm="http://schemas.microsoft.com/office/excel/2006/main">
          <x14:cfRule type="expression" priority="4699463" id="{207A5E5D-B322-482E-9193-1D7318138358}">
            <xm:f>$AP$4='Data entry'!$R55</xm:f>
            <x14:dxf>
              <fill>
                <patternFill>
                  <bgColor rgb="FFFF0000"/>
                </patternFill>
              </fill>
            </x14:dxf>
          </x14:cfRule>
          <xm:sqref>AN153:AZ153</xm:sqref>
        </x14:conditionalFormatting>
        <x14:conditionalFormatting xmlns:xm="http://schemas.microsoft.com/office/excel/2006/main">
          <x14:cfRule type="expression" priority="4699464" id="{21DA638D-4CA0-4067-BFF1-240CE1A0261B}">
            <xm:f>$AP$4='Data entry'!$R55</xm:f>
            <x14:dxf>
              <fill>
                <patternFill>
                  <bgColor rgb="FFFFFF00"/>
                </patternFill>
              </fill>
            </x14:dxf>
          </x14:cfRule>
          <xm:sqref>AB152:AP152</xm:sqref>
        </x14:conditionalFormatting>
        <x14:conditionalFormatting xmlns:xm="http://schemas.microsoft.com/office/excel/2006/main">
          <x14:cfRule type="expression" priority="4699465" id="{71963D96-A42A-4B90-BFC7-6D83D37766EF}">
            <xm:f>$AQ$4='Data entry'!$R55</xm:f>
            <x14:dxf>
              <fill>
                <patternFill>
                  <bgColor rgb="FFFF0000"/>
                </patternFill>
              </fill>
            </x14:dxf>
          </x14:cfRule>
          <xm:sqref>AO153:BA153</xm:sqref>
        </x14:conditionalFormatting>
        <x14:conditionalFormatting xmlns:xm="http://schemas.microsoft.com/office/excel/2006/main">
          <x14:cfRule type="expression" priority="4699466" id="{74952595-84B6-484F-8FF6-FCC1F337DF4D}">
            <xm:f>$AQ$4='Data entry'!$R55</xm:f>
            <x14:dxf>
              <fill>
                <patternFill>
                  <bgColor rgb="FFFFFF00"/>
                </patternFill>
              </fill>
            </x14:dxf>
          </x14:cfRule>
          <xm:sqref>AC152:AQ152</xm:sqref>
        </x14:conditionalFormatting>
        <x14:conditionalFormatting xmlns:xm="http://schemas.microsoft.com/office/excel/2006/main">
          <x14:cfRule type="expression" priority="4699467" id="{8AC9C4B9-0A34-4BC0-B0F7-CA89434C4911}">
            <xm:f>$P$4='Data entry'!$R55</xm:f>
            <x14:dxf>
              <fill>
                <patternFill>
                  <bgColor rgb="FFFFFF00"/>
                </patternFill>
              </fill>
            </x14:dxf>
          </x14:cfRule>
          <xm:sqref>C152:P152</xm:sqref>
        </x14:conditionalFormatting>
        <x14:conditionalFormatting xmlns:xm="http://schemas.microsoft.com/office/excel/2006/main">
          <x14:cfRule type="expression" priority="4699468" id="{0A726775-ABFD-4F22-967C-1A4D87BA3751}">
            <xm:f>$Q$4='Data entry'!$R55</xm:f>
            <x14:dxf>
              <fill>
                <patternFill>
                  <bgColor rgb="FFFFFF00"/>
                </patternFill>
              </fill>
            </x14:dxf>
          </x14:cfRule>
          <xm:sqref>C152:Q152</xm:sqref>
        </x14:conditionalFormatting>
        <x14:conditionalFormatting xmlns:xm="http://schemas.microsoft.com/office/excel/2006/main">
          <x14:cfRule type="expression" priority="4699469" id="{3A8414BD-262C-43B5-86EE-FA6901D00453}">
            <xm:f>$Q$4='Data entry'!$R55</xm:f>
            <x14:dxf>
              <fill>
                <patternFill>
                  <bgColor rgb="FFFF0000"/>
                </patternFill>
              </fill>
            </x14:dxf>
          </x14:cfRule>
          <xm:sqref>O153:AA153</xm:sqref>
        </x14:conditionalFormatting>
        <x14:conditionalFormatting xmlns:xm="http://schemas.microsoft.com/office/excel/2006/main">
          <x14:cfRule type="expression" priority="4699470" id="{B8B5501D-F3EF-4449-9306-F652960C65F4}">
            <xm:f>$R$4='Data entry'!$R55</xm:f>
            <x14:dxf>
              <fill>
                <patternFill>
                  <bgColor rgb="FFFF0000"/>
                </patternFill>
              </fill>
            </x14:dxf>
          </x14:cfRule>
          <xm:sqref>P153:AB153</xm:sqref>
        </x14:conditionalFormatting>
        <x14:conditionalFormatting xmlns:xm="http://schemas.microsoft.com/office/excel/2006/main">
          <x14:cfRule type="expression" priority="4699471" id="{5D070DEC-B82E-4D87-B907-A3E5AB836991}">
            <xm:f>$R$4='Data entry'!$R55</xm:f>
            <x14:dxf>
              <fill>
                <patternFill>
                  <bgColor rgb="FFFFFF00"/>
                </patternFill>
              </fill>
            </x14:dxf>
          </x14:cfRule>
          <xm:sqref>D152:R152</xm:sqref>
        </x14:conditionalFormatting>
        <x14:conditionalFormatting xmlns:xm="http://schemas.microsoft.com/office/excel/2006/main">
          <x14:cfRule type="expression" priority="4699472" id="{E4D16A10-F818-4664-9FB2-F0E839824D4B}">
            <xm:f>$S$4='Data entry'!$R55</xm:f>
            <x14:dxf>
              <fill>
                <patternFill>
                  <bgColor rgb="FFFF0000"/>
                </patternFill>
              </fill>
            </x14:dxf>
          </x14:cfRule>
          <xm:sqref>Q153:AC153</xm:sqref>
        </x14:conditionalFormatting>
        <x14:conditionalFormatting xmlns:xm="http://schemas.microsoft.com/office/excel/2006/main">
          <x14:cfRule type="expression" priority="4699473" id="{1A9F9911-A3E9-4730-AFBE-AB8C596545CA}">
            <xm:f>$S$4='Data entry'!$R55</xm:f>
            <x14:dxf>
              <fill>
                <patternFill>
                  <bgColor rgb="FFFFFF00"/>
                </patternFill>
              </fill>
            </x14:dxf>
          </x14:cfRule>
          <xm:sqref>E152:S152</xm:sqref>
        </x14:conditionalFormatting>
        <x14:conditionalFormatting xmlns:xm="http://schemas.microsoft.com/office/excel/2006/main">
          <x14:cfRule type="expression" priority="4699474" id="{8BB5CD1B-B2AC-442A-9550-26DE19A62D22}">
            <xm:f>$T$4='Data entry'!$R55</xm:f>
            <x14:dxf>
              <fill>
                <patternFill>
                  <bgColor rgb="FFFF0000"/>
                </patternFill>
              </fill>
            </x14:dxf>
          </x14:cfRule>
          <xm:sqref>R153:AD153</xm:sqref>
        </x14:conditionalFormatting>
        <x14:conditionalFormatting xmlns:xm="http://schemas.microsoft.com/office/excel/2006/main">
          <x14:cfRule type="expression" priority="4699475" id="{E7B59C69-7921-4049-84A1-8B3E5F7B0598}">
            <xm:f>$T$4='Data entry'!$R55</xm:f>
            <x14:dxf>
              <fill>
                <patternFill>
                  <bgColor rgb="FFFFFF00"/>
                </patternFill>
              </fill>
            </x14:dxf>
          </x14:cfRule>
          <xm:sqref>F152:T152</xm:sqref>
        </x14:conditionalFormatting>
        <x14:conditionalFormatting xmlns:xm="http://schemas.microsoft.com/office/excel/2006/main">
          <x14:cfRule type="expression" priority="4699476" id="{238C09E5-7A3D-439D-949F-A7733073F9A2}">
            <xm:f>$U$4='Data entry'!$R55</xm:f>
            <x14:dxf>
              <fill>
                <patternFill>
                  <bgColor rgb="FFFFFF00"/>
                </patternFill>
              </fill>
            </x14:dxf>
          </x14:cfRule>
          <xm:sqref>G152:U152</xm:sqref>
        </x14:conditionalFormatting>
        <x14:conditionalFormatting xmlns:xm="http://schemas.microsoft.com/office/excel/2006/main">
          <x14:cfRule type="expression" priority="4699477" id="{DE4D4432-0A19-452A-AF14-2873FE4DF411}">
            <xm:f>$AR$4='Data entry'!$R55</xm:f>
            <x14:dxf>
              <fill>
                <patternFill>
                  <bgColor rgb="FFFF0000"/>
                </patternFill>
              </fill>
            </x14:dxf>
          </x14:cfRule>
          <xm:sqref>AP153:BB153</xm:sqref>
        </x14:conditionalFormatting>
        <x14:conditionalFormatting xmlns:xm="http://schemas.microsoft.com/office/excel/2006/main">
          <x14:cfRule type="expression" priority="4699478" id="{90D7E1FF-542D-40C8-9BD5-DFEB4CDD256F}">
            <xm:f>$AR$4='Data entry'!$R55</xm:f>
            <x14:dxf>
              <fill>
                <patternFill>
                  <bgColor rgb="FFFFFF00"/>
                </patternFill>
              </fill>
            </x14:dxf>
          </x14:cfRule>
          <xm:sqref>AD152:AR152</xm:sqref>
        </x14:conditionalFormatting>
        <x14:conditionalFormatting xmlns:xm="http://schemas.microsoft.com/office/excel/2006/main">
          <x14:cfRule type="expression" priority="4699479" id="{0EBB5305-4A4A-4205-A1FF-11160070CBC3}">
            <xm:f>$AS$4='Data entry'!$R55</xm:f>
            <x14:dxf>
              <fill>
                <patternFill>
                  <bgColor rgb="FFFF0000"/>
                </patternFill>
              </fill>
            </x14:dxf>
          </x14:cfRule>
          <xm:sqref>AQ153:BC153</xm:sqref>
        </x14:conditionalFormatting>
        <x14:conditionalFormatting xmlns:xm="http://schemas.microsoft.com/office/excel/2006/main">
          <x14:cfRule type="expression" priority="4699480" id="{AC8EB30C-4253-4CE1-820E-1801F6D8D35B}">
            <xm:f>$AS$4='Data entry'!$R55</xm:f>
            <x14:dxf>
              <fill>
                <patternFill>
                  <bgColor rgb="FFFFFF00"/>
                </patternFill>
              </fill>
            </x14:dxf>
          </x14:cfRule>
          <xm:sqref>AE152:AS152</xm:sqref>
        </x14:conditionalFormatting>
        <x14:conditionalFormatting xmlns:xm="http://schemas.microsoft.com/office/excel/2006/main">
          <x14:cfRule type="expression" priority="4699481" id="{E11744C1-7201-4272-A1B0-945490B42425}">
            <xm:f>$AT$4='Data entry'!$R55</xm:f>
            <x14:dxf>
              <fill>
                <patternFill>
                  <bgColor rgb="FFFF0000"/>
                </patternFill>
              </fill>
            </x14:dxf>
          </x14:cfRule>
          <xm:sqref>AR153:BD153</xm:sqref>
        </x14:conditionalFormatting>
        <x14:conditionalFormatting xmlns:xm="http://schemas.microsoft.com/office/excel/2006/main">
          <x14:cfRule type="expression" priority="4699482" id="{5EE2823B-E955-4EA7-B99C-0B1F77B57A69}">
            <xm:f>$AT$4='Data entry'!$R55</xm:f>
            <x14:dxf>
              <fill>
                <patternFill>
                  <bgColor rgb="FFFFFF00"/>
                </patternFill>
              </fill>
            </x14:dxf>
          </x14:cfRule>
          <xm:sqref>AF152:AT152</xm:sqref>
        </x14:conditionalFormatting>
        <x14:conditionalFormatting xmlns:xm="http://schemas.microsoft.com/office/excel/2006/main">
          <x14:cfRule type="expression" priority="4699483" id="{5737DC63-3262-4B34-900C-2AAEB255FCBA}">
            <xm:f>$AU$4='Data entry'!$R55</xm:f>
            <x14:dxf>
              <fill>
                <patternFill>
                  <bgColor rgb="FFFF0000"/>
                </patternFill>
              </fill>
            </x14:dxf>
          </x14:cfRule>
          <xm:sqref>AS153:BE153</xm:sqref>
        </x14:conditionalFormatting>
        <x14:conditionalFormatting xmlns:xm="http://schemas.microsoft.com/office/excel/2006/main">
          <x14:cfRule type="expression" priority="4699484" id="{2B5C1F1B-3C3D-4CA3-BC64-0E98422075B6}">
            <xm:f>$AU$4='Data entry'!$R55</xm:f>
            <x14:dxf>
              <fill>
                <patternFill>
                  <bgColor rgb="FFFFFF00"/>
                </patternFill>
              </fill>
            </x14:dxf>
          </x14:cfRule>
          <xm:sqref>AG152:AU152</xm:sqref>
        </x14:conditionalFormatting>
        <x14:conditionalFormatting xmlns:xm="http://schemas.microsoft.com/office/excel/2006/main">
          <x14:cfRule type="expression" priority="4699485" id="{B87A1285-B003-4855-8F4B-53C391BA10E6}">
            <xm:f>$AV$4='Data entry'!$R55</xm:f>
            <x14:dxf>
              <fill>
                <patternFill>
                  <bgColor rgb="FFFF0000"/>
                </patternFill>
              </fill>
            </x14:dxf>
          </x14:cfRule>
          <xm:sqref>AT153:BF153</xm:sqref>
        </x14:conditionalFormatting>
        <x14:conditionalFormatting xmlns:xm="http://schemas.microsoft.com/office/excel/2006/main">
          <x14:cfRule type="expression" priority="4699486" id="{338EE31C-78DB-4818-B837-0380F9E457FA}">
            <xm:f>$AV$4='Data entry'!$R55</xm:f>
            <x14:dxf>
              <fill>
                <patternFill>
                  <bgColor rgb="FFFFFF00"/>
                </patternFill>
              </fill>
            </x14:dxf>
          </x14:cfRule>
          <xm:sqref>AH152:AV152</xm:sqref>
        </x14:conditionalFormatting>
        <x14:conditionalFormatting xmlns:xm="http://schemas.microsoft.com/office/excel/2006/main">
          <x14:cfRule type="expression" priority="4699487" id="{5C40EA66-2801-4C91-B885-BF6A1ECFC35C}">
            <xm:f>$AW$4='Data entry'!$R55</xm:f>
            <x14:dxf>
              <fill>
                <patternFill>
                  <bgColor rgb="FFFF0000"/>
                </patternFill>
              </fill>
            </x14:dxf>
          </x14:cfRule>
          <xm:sqref>AU153:BG153</xm:sqref>
        </x14:conditionalFormatting>
        <x14:conditionalFormatting xmlns:xm="http://schemas.microsoft.com/office/excel/2006/main">
          <x14:cfRule type="expression" priority="4699488" id="{51BCD5CE-DF86-4C2F-8A81-DDA1EFD6C8F7}">
            <xm:f>$AW$4='Data entry'!$R55</xm:f>
            <x14:dxf>
              <fill>
                <patternFill>
                  <bgColor rgb="FFFFFF00"/>
                </patternFill>
              </fill>
            </x14:dxf>
          </x14:cfRule>
          <xm:sqref>AI152:AW152</xm:sqref>
        </x14:conditionalFormatting>
        <x14:conditionalFormatting xmlns:xm="http://schemas.microsoft.com/office/excel/2006/main">
          <x14:cfRule type="expression" priority="4699489" id="{DC2ED5A0-8917-4877-8CD3-9DF9BE5993C9}">
            <xm:f>$AX$4='Data entry'!$R55</xm:f>
            <x14:dxf>
              <fill>
                <patternFill>
                  <bgColor rgb="FFFF0000"/>
                </patternFill>
              </fill>
            </x14:dxf>
          </x14:cfRule>
          <xm:sqref>AV153:BH153</xm:sqref>
        </x14:conditionalFormatting>
        <x14:conditionalFormatting xmlns:xm="http://schemas.microsoft.com/office/excel/2006/main">
          <x14:cfRule type="expression" priority="4699490" id="{59B31869-20F9-45BD-BC80-0A6C8945CE2C}">
            <xm:f>$AX$4='Data entry'!$R55</xm:f>
            <x14:dxf>
              <fill>
                <patternFill>
                  <bgColor rgb="FFFFFF00"/>
                </patternFill>
              </fill>
            </x14:dxf>
          </x14:cfRule>
          <xm:sqref>AJ152:AX152</xm:sqref>
        </x14:conditionalFormatting>
        <x14:conditionalFormatting xmlns:xm="http://schemas.microsoft.com/office/excel/2006/main">
          <x14:cfRule type="expression" priority="4699491" id="{D4208FA0-4262-4037-934C-6D0742B2AD8E}">
            <xm:f>$AY$4='Data entry'!$R55</xm:f>
            <x14:dxf>
              <fill>
                <patternFill>
                  <bgColor rgb="FFFF0000"/>
                </patternFill>
              </fill>
            </x14:dxf>
          </x14:cfRule>
          <xm:sqref>AW153:BI153</xm:sqref>
        </x14:conditionalFormatting>
        <x14:conditionalFormatting xmlns:xm="http://schemas.microsoft.com/office/excel/2006/main">
          <x14:cfRule type="expression" priority="4699492" id="{04D6E423-18C7-42B2-A67D-F49D8E62B571}">
            <xm:f>$AY$4='Data entry'!$R55</xm:f>
            <x14:dxf>
              <fill>
                <patternFill>
                  <bgColor rgb="FFFFFF00"/>
                </patternFill>
              </fill>
            </x14:dxf>
          </x14:cfRule>
          <xm:sqref>AK152:AY152</xm:sqref>
        </x14:conditionalFormatting>
        <x14:conditionalFormatting xmlns:xm="http://schemas.microsoft.com/office/excel/2006/main">
          <x14:cfRule type="expression" priority="4699493" id="{A931C203-6E4B-4EBD-A2F4-1876881F48D4}">
            <xm:f>$AZ$4='Data entry'!$R55</xm:f>
            <x14:dxf>
              <fill>
                <patternFill>
                  <bgColor rgb="FFFF0000"/>
                </patternFill>
              </fill>
            </x14:dxf>
          </x14:cfRule>
          <xm:sqref>AX153:BJ153</xm:sqref>
        </x14:conditionalFormatting>
        <x14:conditionalFormatting xmlns:xm="http://schemas.microsoft.com/office/excel/2006/main">
          <x14:cfRule type="expression" priority="4699494" id="{092D9100-E652-40FE-8CAA-720DC0681250}">
            <xm:f>$AZ$4='Data entry'!$R55</xm:f>
            <x14:dxf>
              <fill>
                <patternFill>
                  <bgColor rgb="FFFFFF00"/>
                </patternFill>
              </fill>
            </x14:dxf>
          </x14:cfRule>
          <xm:sqref>AL152:AZ152</xm:sqref>
        </x14:conditionalFormatting>
        <x14:conditionalFormatting xmlns:xm="http://schemas.microsoft.com/office/excel/2006/main">
          <x14:cfRule type="expression" priority="4699495" id="{A3C7E6BE-A225-483C-A983-A915DB662C52}">
            <xm:f>$BA$4='Data entry'!$R55</xm:f>
            <x14:dxf>
              <fill>
                <patternFill>
                  <bgColor rgb="FFFF0000"/>
                </patternFill>
              </fill>
            </x14:dxf>
          </x14:cfRule>
          <xm:sqref>AY153:BK153</xm:sqref>
        </x14:conditionalFormatting>
        <x14:conditionalFormatting xmlns:xm="http://schemas.microsoft.com/office/excel/2006/main">
          <x14:cfRule type="expression" priority="4699496" id="{F5CF569A-8AFA-4CFF-8BD3-F04D8927A99F}">
            <xm:f>$BA$4='Data entry'!$R55</xm:f>
            <x14:dxf>
              <fill>
                <patternFill>
                  <bgColor rgb="FFFFFF00"/>
                </patternFill>
              </fill>
            </x14:dxf>
          </x14:cfRule>
          <xm:sqref>AM152:BA152</xm:sqref>
        </x14:conditionalFormatting>
        <x14:conditionalFormatting xmlns:xm="http://schemas.microsoft.com/office/excel/2006/main">
          <x14:cfRule type="expression" priority="4699497" id="{E4DAC94A-7983-4BFB-A87B-45B58561841A}">
            <xm:f>$BB$4='Data entry'!$R55</xm:f>
            <x14:dxf>
              <fill>
                <patternFill>
                  <bgColor rgb="FFFF0000"/>
                </patternFill>
              </fill>
            </x14:dxf>
          </x14:cfRule>
          <xm:sqref>AZ153:BL153</xm:sqref>
        </x14:conditionalFormatting>
        <x14:conditionalFormatting xmlns:xm="http://schemas.microsoft.com/office/excel/2006/main">
          <x14:cfRule type="expression" priority="4699498" id="{E63849C5-F39B-4B0E-8F8A-B532EDF2CBAE}">
            <xm:f>$BB$4='Data entry'!$R55</xm:f>
            <x14:dxf>
              <fill>
                <patternFill>
                  <bgColor rgb="FFFFFF00"/>
                </patternFill>
              </fill>
            </x14:dxf>
          </x14:cfRule>
          <xm:sqref>AN152:BB152</xm:sqref>
        </x14:conditionalFormatting>
        <x14:conditionalFormatting xmlns:xm="http://schemas.microsoft.com/office/excel/2006/main">
          <x14:cfRule type="expression" priority="4699499" id="{4FDC32D3-C1F5-455D-9AA4-A03359B72526}">
            <xm:f>$BC$4='Data entry'!$R55</xm:f>
            <x14:dxf>
              <fill>
                <patternFill>
                  <bgColor rgb="FFFF0000"/>
                </patternFill>
              </fill>
            </x14:dxf>
          </x14:cfRule>
          <xm:sqref>BA153:BM153</xm:sqref>
        </x14:conditionalFormatting>
        <x14:conditionalFormatting xmlns:xm="http://schemas.microsoft.com/office/excel/2006/main">
          <x14:cfRule type="expression" priority="4699500" id="{5F0D0C60-B233-4C56-B05D-98C99990877F}">
            <xm:f>$BC$4='Data entry'!$R55</xm:f>
            <x14:dxf>
              <fill>
                <patternFill>
                  <bgColor rgb="FFFFFF00"/>
                </patternFill>
              </fill>
            </x14:dxf>
          </x14:cfRule>
          <xm:sqref>AO152:BC152</xm:sqref>
        </x14:conditionalFormatting>
        <x14:conditionalFormatting xmlns:xm="http://schemas.microsoft.com/office/excel/2006/main">
          <x14:cfRule type="expression" priority="4699501" id="{9EBCB60F-8135-43B6-A0F3-548D4092CC98}">
            <xm:f>$BD$4='Data entry'!$R55</xm:f>
            <x14:dxf>
              <fill>
                <patternFill>
                  <bgColor rgb="FFFF0000"/>
                </patternFill>
              </fill>
            </x14:dxf>
          </x14:cfRule>
          <xm:sqref>BB153:BN153</xm:sqref>
        </x14:conditionalFormatting>
        <x14:conditionalFormatting xmlns:xm="http://schemas.microsoft.com/office/excel/2006/main">
          <x14:cfRule type="expression" priority="4699502" id="{961AF346-4A73-41ED-9A8D-27D431B09C05}">
            <xm:f>$BD$4='Data entry'!$R55</xm:f>
            <x14:dxf>
              <fill>
                <patternFill>
                  <bgColor rgb="FFFFFF00"/>
                </patternFill>
              </fill>
            </x14:dxf>
          </x14:cfRule>
          <xm:sqref>AP152:BD152</xm:sqref>
        </x14:conditionalFormatting>
        <x14:conditionalFormatting xmlns:xm="http://schemas.microsoft.com/office/excel/2006/main">
          <x14:cfRule type="expression" priority="4699503" id="{5A887026-27CD-4F8C-8BA6-1E92704C1CA6}">
            <xm:f>$BE$4='Data entry'!$R55</xm:f>
            <x14:dxf>
              <fill>
                <patternFill>
                  <bgColor rgb="FFFF0000"/>
                </patternFill>
              </fill>
            </x14:dxf>
          </x14:cfRule>
          <xm:sqref>BC153:BO153</xm:sqref>
        </x14:conditionalFormatting>
        <x14:conditionalFormatting xmlns:xm="http://schemas.microsoft.com/office/excel/2006/main">
          <x14:cfRule type="expression" priority="4699504" id="{7F46217B-A1E9-4515-B31E-E756FCD7C6D9}">
            <xm:f>$BE$4='Data entry'!$R55</xm:f>
            <x14:dxf>
              <fill>
                <patternFill>
                  <bgColor rgb="FFFFFF00"/>
                </patternFill>
              </fill>
            </x14:dxf>
          </x14:cfRule>
          <xm:sqref>AP152:BE152</xm:sqref>
        </x14:conditionalFormatting>
        <x14:conditionalFormatting xmlns:xm="http://schemas.microsoft.com/office/excel/2006/main">
          <x14:cfRule type="expression" priority="4699505" id="{F4D9285C-8CA0-4EF1-943E-6A462D47CC77}">
            <xm:f>$BF$4='Data entry'!$R55</xm:f>
            <x14:dxf>
              <fill>
                <patternFill>
                  <bgColor rgb="FFFF0000"/>
                </patternFill>
              </fill>
            </x14:dxf>
          </x14:cfRule>
          <xm:sqref>BD153:BP153</xm:sqref>
        </x14:conditionalFormatting>
        <x14:conditionalFormatting xmlns:xm="http://schemas.microsoft.com/office/excel/2006/main">
          <x14:cfRule type="expression" priority="4699506" id="{B9E4407D-651D-4DC0-9D61-3271D62A65E9}">
            <xm:f>$BF$4='Data entry'!$R55</xm:f>
            <x14:dxf>
              <fill>
                <patternFill>
                  <bgColor rgb="FFFFFF00"/>
                </patternFill>
              </fill>
            </x14:dxf>
          </x14:cfRule>
          <xm:sqref>AR152:BF152</xm:sqref>
        </x14:conditionalFormatting>
        <x14:conditionalFormatting xmlns:xm="http://schemas.microsoft.com/office/excel/2006/main">
          <x14:cfRule type="expression" priority="4699507" id="{4CDC062F-DDFF-4556-B941-08F919727F69}">
            <xm:f>$BG$4='Data entry'!$R55</xm:f>
            <x14:dxf>
              <fill>
                <patternFill>
                  <bgColor rgb="FFFF0000"/>
                </patternFill>
              </fill>
            </x14:dxf>
          </x14:cfRule>
          <xm:sqref>BE153:BQ153</xm:sqref>
        </x14:conditionalFormatting>
        <x14:conditionalFormatting xmlns:xm="http://schemas.microsoft.com/office/excel/2006/main">
          <x14:cfRule type="expression" priority="4699508" id="{789184FA-9055-433B-8A1B-92C7ED59E81F}">
            <xm:f>$BG$4='Data entry'!$R55</xm:f>
            <x14:dxf>
              <fill>
                <patternFill>
                  <bgColor rgb="FFFFFF00"/>
                </patternFill>
              </fill>
            </x14:dxf>
          </x14:cfRule>
          <xm:sqref>AS152:BG152</xm:sqref>
        </x14:conditionalFormatting>
        <x14:conditionalFormatting xmlns:xm="http://schemas.microsoft.com/office/excel/2006/main">
          <x14:cfRule type="expression" priority="4699509" id="{58651E5C-09C9-46C1-B95C-E8A578A49E15}">
            <xm:f>$BH$4='Data entry'!$R55</xm:f>
            <x14:dxf>
              <fill>
                <patternFill>
                  <bgColor rgb="FFFFFF00"/>
                </patternFill>
              </fill>
            </x14:dxf>
          </x14:cfRule>
          <xm:sqref>AT152:BH152</xm:sqref>
        </x14:conditionalFormatting>
        <x14:conditionalFormatting xmlns:xm="http://schemas.microsoft.com/office/excel/2006/main">
          <x14:cfRule type="expression" priority="4699510" id="{97B30B86-8311-4DC0-A533-8C0D53F37839}">
            <xm:f>$BH$4='Data entry'!$R55</xm:f>
            <x14:dxf>
              <fill>
                <patternFill>
                  <bgColor rgb="FFFF0000"/>
                </patternFill>
              </fill>
            </x14:dxf>
          </x14:cfRule>
          <xm:sqref>BF153:BR153</xm:sqref>
        </x14:conditionalFormatting>
        <x14:conditionalFormatting xmlns:xm="http://schemas.microsoft.com/office/excel/2006/main">
          <x14:cfRule type="expression" priority="4699511" id="{78344C0C-5AEA-40B1-A20C-6D77DF58E1F5}">
            <xm:f>$BI$4='Data entry'!$R55</xm:f>
            <x14:dxf>
              <fill>
                <patternFill>
                  <bgColor rgb="FFFFFF00"/>
                </patternFill>
              </fill>
            </x14:dxf>
          </x14:cfRule>
          <xm:sqref>AU152:BI152</xm:sqref>
        </x14:conditionalFormatting>
        <x14:conditionalFormatting xmlns:xm="http://schemas.microsoft.com/office/excel/2006/main">
          <x14:cfRule type="expression" priority="4699512" id="{A9CE044F-482E-4F25-B28F-89ACC58502B1}">
            <xm:f>$BI$4='Data entry'!$R55</xm:f>
            <x14:dxf>
              <fill>
                <patternFill>
                  <bgColor rgb="FFFF0000"/>
                </patternFill>
              </fill>
            </x14:dxf>
          </x14:cfRule>
          <xm:sqref>BG153:BS153</xm:sqref>
        </x14:conditionalFormatting>
        <x14:conditionalFormatting xmlns:xm="http://schemas.microsoft.com/office/excel/2006/main">
          <x14:cfRule type="expression" priority="4699513" id="{F63BE0EB-3C71-4456-BEF0-11180AB7A8BB}">
            <xm:f>$BJ$4='Data entry'!$R55</xm:f>
            <x14:dxf>
              <fill>
                <patternFill>
                  <bgColor rgb="FFFFFF00"/>
                </patternFill>
              </fill>
            </x14:dxf>
          </x14:cfRule>
          <xm:sqref>AV152:BJ152</xm:sqref>
        </x14:conditionalFormatting>
        <x14:conditionalFormatting xmlns:xm="http://schemas.microsoft.com/office/excel/2006/main">
          <x14:cfRule type="expression" priority="4699514" id="{478A5DCB-1DAA-4497-A6CC-B4F01FB96D10}">
            <xm:f>$BJ$4='Data entry'!$R55</xm:f>
            <x14:dxf>
              <fill>
                <patternFill>
                  <bgColor rgb="FFFF0000"/>
                </patternFill>
              </fill>
            </x14:dxf>
          </x14:cfRule>
          <xm:sqref>BH153:BT153</xm:sqref>
        </x14:conditionalFormatting>
        <x14:conditionalFormatting xmlns:xm="http://schemas.microsoft.com/office/excel/2006/main">
          <x14:cfRule type="expression" priority="4699515" id="{CDE4AD5B-65A6-4FA4-9EC0-8D05F22312A9}">
            <xm:f>$BK$4='Data entry'!$R55</xm:f>
            <x14:dxf>
              <fill>
                <patternFill>
                  <bgColor rgb="FFFF0000"/>
                </patternFill>
              </fill>
            </x14:dxf>
          </x14:cfRule>
          <xm:sqref>BI153:BU153</xm:sqref>
        </x14:conditionalFormatting>
        <x14:conditionalFormatting xmlns:xm="http://schemas.microsoft.com/office/excel/2006/main">
          <x14:cfRule type="expression" priority="4699516" id="{AB32E790-6CD8-4D11-9A69-57D785FE4BBC}">
            <xm:f>$BK$4='Data entry'!$R55</xm:f>
            <x14:dxf>
              <fill>
                <patternFill>
                  <bgColor rgb="FFFFFF00"/>
                </patternFill>
              </fill>
            </x14:dxf>
          </x14:cfRule>
          <xm:sqref>AW152:BK152</xm:sqref>
        </x14:conditionalFormatting>
        <x14:conditionalFormatting xmlns:xm="http://schemas.microsoft.com/office/excel/2006/main">
          <x14:cfRule type="expression" priority="4699517" id="{99810EB9-805C-43D8-852A-EEECE7874CDB}">
            <xm:f>$BL$4='Data entry'!$R55</xm:f>
            <x14:dxf>
              <fill>
                <patternFill>
                  <bgColor rgb="FFFF0000"/>
                </patternFill>
              </fill>
            </x14:dxf>
          </x14:cfRule>
          <xm:sqref>BJ153:BV153</xm:sqref>
        </x14:conditionalFormatting>
        <x14:conditionalFormatting xmlns:xm="http://schemas.microsoft.com/office/excel/2006/main">
          <x14:cfRule type="expression" priority="4699518" id="{BF5F5475-4E46-479C-97A6-D5175F5D1803}">
            <xm:f>$BL$4='Data entry'!$R55</xm:f>
            <x14:dxf>
              <fill>
                <patternFill>
                  <bgColor rgb="FFFFFF00"/>
                </patternFill>
              </fill>
            </x14:dxf>
          </x14:cfRule>
          <xm:sqref>AX152:BL152</xm:sqref>
        </x14:conditionalFormatting>
        <x14:conditionalFormatting xmlns:xm="http://schemas.microsoft.com/office/excel/2006/main">
          <x14:cfRule type="expression" priority="4699519" id="{B86FDF2F-16C9-46B1-847E-7EA1A8A34B9D}">
            <xm:f>$BM$4='Data entry'!$R55</xm:f>
            <x14:dxf>
              <fill>
                <patternFill>
                  <bgColor rgb="FFFF0000"/>
                </patternFill>
              </fill>
            </x14:dxf>
          </x14:cfRule>
          <xm:sqref>BK153:BW153</xm:sqref>
        </x14:conditionalFormatting>
        <x14:conditionalFormatting xmlns:xm="http://schemas.microsoft.com/office/excel/2006/main">
          <x14:cfRule type="expression" priority="4699520" id="{72FD189F-4CED-400D-9FEF-21A328970A4D}">
            <xm:f>$BM$4='Data entry'!$R55</xm:f>
            <x14:dxf>
              <fill>
                <patternFill>
                  <bgColor rgb="FFFFFF00"/>
                </patternFill>
              </fill>
            </x14:dxf>
          </x14:cfRule>
          <xm:sqref>AY152:BM152</xm:sqref>
        </x14:conditionalFormatting>
        <x14:conditionalFormatting xmlns:xm="http://schemas.microsoft.com/office/excel/2006/main">
          <x14:cfRule type="expression" priority="4699521" id="{BBBBF859-D5A7-4F55-BFBF-8A77E3357590}">
            <xm:f>$BN$4='Data entry'!$R55</xm:f>
            <x14:dxf>
              <fill>
                <patternFill>
                  <bgColor rgb="FFFF0000"/>
                </patternFill>
              </fill>
            </x14:dxf>
          </x14:cfRule>
          <xm:sqref>BL153:BX153</xm:sqref>
        </x14:conditionalFormatting>
        <x14:conditionalFormatting xmlns:xm="http://schemas.microsoft.com/office/excel/2006/main">
          <x14:cfRule type="expression" priority="4699522" id="{50CB1D75-0FD5-4D24-92B1-E8A41DC6575C}">
            <xm:f>$BN$4='Data entry'!$R55</xm:f>
            <x14:dxf>
              <fill>
                <patternFill>
                  <bgColor rgb="FFFFFF00"/>
                </patternFill>
              </fill>
            </x14:dxf>
          </x14:cfRule>
          <xm:sqref>AZ152:BN152</xm:sqref>
        </x14:conditionalFormatting>
        <x14:conditionalFormatting xmlns:xm="http://schemas.microsoft.com/office/excel/2006/main">
          <x14:cfRule type="expression" priority="4699523" id="{9EF3226D-E8FC-496B-A6FF-71776AEA54D1}">
            <xm:f>$BO$4='Data entry'!$R55</xm:f>
            <x14:dxf>
              <fill>
                <patternFill>
                  <bgColor rgb="FFFF0000"/>
                </patternFill>
              </fill>
            </x14:dxf>
          </x14:cfRule>
          <xm:sqref>BM153:BY153</xm:sqref>
        </x14:conditionalFormatting>
        <x14:conditionalFormatting xmlns:xm="http://schemas.microsoft.com/office/excel/2006/main">
          <x14:cfRule type="expression" priority="4699524" id="{3B86C801-ECFE-4D05-8AA5-1581116BAFBC}">
            <xm:f>$BO$4='Data entry'!$R55</xm:f>
            <x14:dxf>
              <fill>
                <patternFill>
                  <bgColor rgb="FFFFFF00"/>
                </patternFill>
              </fill>
            </x14:dxf>
          </x14:cfRule>
          <xm:sqref>BA152:BO152</xm:sqref>
        </x14:conditionalFormatting>
        <x14:conditionalFormatting xmlns:xm="http://schemas.microsoft.com/office/excel/2006/main">
          <x14:cfRule type="expression" priority="4699525" id="{058A23EC-3371-4A02-9F20-1ECA603AC6BC}">
            <xm:f>$BP$4='Data entry'!$R55</xm:f>
            <x14:dxf>
              <fill>
                <patternFill>
                  <bgColor rgb="FFFF0000"/>
                </patternFill>
              </fill>
            </x14:dxf>
          </x14:cfRule>
          <xm:sqref>BN153:BZ153</xm:sqref>
        </x14:conditionalFormatting>
        <x14:conditionalFormatting xmlns:xm="http://schemas.microsoft.com/office/excel/2006/main">
          <x14:cfRule type="expression" priority="4699526" id="{3E711E31-3992-4555-AB22-87133D60CD15}">
            <xm:f>$BP$4='Data entry'!$R55</xm:f>
            <x14:dxf>
              <fill>
                <patternFill>
                  <bgColor rgb="FFFFFF00"/>
                </patternFill>
              </fill>
            </x14:dxf>
          </x14:cfRule>
          <xm:sqref>BB152:BP152</xm:sqref>
        </x14:conditionalFormatting>
        <x14:conditionalFormatting xmlns:xm="http://schemas.microsoft.com/office/excel/2006/main">
          <x14:cfRule type="expression" priority="4699527" id="{23E9F8B9-37D5-4730-9453-6F23E8ECBBE3}">
            <xm:f>$BQ$4='Data entry'!$R55</xm:f>
            <x14:dxf>
              <fill>
                <patternFill>
                  <bgColor rgb="FFFFFF00"/>
                </patternFill>
              </fill>
            </x14:dxf>
          </x14:cfRule>
          <xm:sqref>BC152:BQ152</xm:sqref>
        </x14:conditionalFormatting>
        <x14:conditionalFormatting xmlns:xm="http://schemas.microsoft.com/office/excel/2006/main">
          <x14:cfRule type="expression" priority="4699528" id="{BCFD92F6-AAD3-44FD-BC61-A292A81B883E}">
            <xm:f>$BQ$4='Data entry'!$R55</xm:f>
            <x14:dxf>
              <fill>
                <patternFill>
                  <bgColor rgb="FFFF0000"/>
                </patternFill>
              </fill>
            </x14:dxf>
          </x14:cfRule>
          <xm:sqref>BO153:CA153</xm:sqref>
        </x14:conditionalFormatting>
        <x14:conditionalFormatting xmlns:xm="http://schemas.microsoft.com/office/excel/2006/main">
          <x14:cfRule type="expression" priority="4699529" id="{357D60E5-F356-477E-8020-A18F42C02832}">
            <xm:f>$BR$4='Data entry'!$R55</xm:f>
            <x14:dxf>
              <fill>
                <patternFill>
                  <bgColor rgb="FFFFFF00"/>
                </patternFill>
              </fill>
            </x14:dxf>
          </x14:cfRule>
          <xm:sqref>BD152:BR152</xm:sqref>
        </x14:conditionalFormatting>
        <x14:conditionalFormatting xmlns:xm="http://schemas.microsoft.com/office/excel/2006/main">
          <x14:cfRule type="expression" priority="4699530" id="{DA2B6511-43B3-432D-B6AA-1DB1188B90A6}">
            <xm:f>$BR$4='Data entry'!$R55</xm:f>
            <x14:dxf>
              <fill>
                <patternFill>
                  <bgColor rgb="FFFF0000"/>
                </patternFill>
              </fill>
            </x14:dxf>
          </x14:cfRule>
          <xm:sqref>BP153:CB153</xm:sqref>
        </x14:conditionalFormatting>
        <x14:conditionalFormatting xmlns:xm="http://schemas.microsoft.com/office/excel/2006/main">
          <x14:cfRule type="expression" priority="4699531" id="{0D5F64E4-4136-4BFA-B833-CC8578525D9C}">
            <xm:f>$BS$4='Data entry'!$R55</xm:f>
            <x14:dxf>
              <fill>
                <patternFill>
                  <bgColor rgb="FFFFFF00"/>
                </patternFill>
              </fill>
            </x14:dxf>
          </x14:cfRule>
          <xm:sqref>BE152:BS152</xm:sqref>
        </x14:conditionalFormatting>
        <x14:conditionalFormatting xmlns:xm="http://schemas.microsoft.com/office/excel/2006/main">
          <x14:cfRule type="expression" priority="4699532" id="{AC94D468-F078-4AE2-8771-102996E07B09}">
            <xm:f>$BS$4='Data entry'!$R55</xm:f>
            <x14:dxf>
              <fill>
                <patternFill>
                  <bgColor rgb="FFFF0000"/>
                </patternFill>
              </fill>
            </x14:dxf>
          </x14:cfRule>
          <xm:sqref>BQ153:CC153</xm:sqref>
        </x14:conditionalFormatting>
        <x14:conditionalFormatting xmlns:xm="http://schemas.microsoft.com/office/excel/2006/main">
          <x14:cfRule type="expression" priority="4699533" id="{10E78F76-181E-4F19-9F89-7DD36D3EFE30}">
            <xm:f>$BT$4='Data entry'!$R55</xm:f>
            <x14:dxf>
              <fill>
                <patternFill>
                  <bgColor rgb="FFFFFF00"/>
                </patternFill>
              </fill>
            </x14:dxf>
          </x14:cfRule>
          <xm:sqref>BF152:BT152</xm:sqref>
        </x14:conditionalFormatting>
        <x14:conditionalFormatting xmlns:xm="http://schemas.microsoft.com/office/excel/2006/main">
          <x14:cfRule type="expression" priority="4699534" id="{6A5FADC6-9512-4EFB-90A5-7B5244D10D1F}">
            <xm:f>$BT$4='Data entry'!$R55</xm:f>
            <x14:dxf>
              <fill>
                <patternFill>
                  <bgColor rgb="FFFF0000"/>
                </patternFill>
              </fill>
            </x14:dxf>
          </x14:cfRule>
          <xm:sqref>BR153:CC153</xm:sqref>
        </x14:conditionalFormatting>
        <x14:conditionalFormatting xmlns:xm="http://schemas.microsoft.com/office/excel/2006/main">
          <x14:cfRule type="expression" priority="4699535" id="{A51139D1-8841-4B96-B8CB-DFE3808765CF}">
            <xm:f>$BU$4='Data entry'!$R55</xm:f>
            <x14:dxf>
              <fill>
                <patternFill>
                  <bgColor rgb="FFFFFF00"/>
                </patternFill>
              </fill>
            </x14:dxf>
          </x14:cfRule>
          <xm:sqref>BG152:BU152</xm:sqref>
        </x14:conditionalFormatting>
        <x14:conditionalFormatting xmlns:xm="http://schemas.microsoft.com/office/excel/2006/main">
          <x14:cfRule type="expression" priority="4699536" id="{55CA7258-760F-4BFF-ACB5-A70FEB3E7981}">
            <xm:f>$BU$4='Data entry'!$R55</xm:f>
            <x14:dxf>
              <fill>
                <patternFill>
                  <bgColor rgb="FFFF0000"/>
                </patternFill>
              </fill>
            </x14:dxf>
          </x14:cfRule>
          <xm:sqref>BS153:CC153</xm:sqref>
        </x14:conditionalFormatting>
        <x14:conditionalFormatting xmlns:xm="http://schemas.microsoft.com/office/excel/2006/main">
          <x14:cfRule type="expression" priority="4699537" id="{A922B218-64DB-4CBB-9AB8-FE0EBB44E09E}">
            <xm:f>$BV$4='Data entry'!$R55</xm:f>
            <x14:dxf>
              <fill>
                <patternFill>
                  <bgColor rgb="FFFFFF00"/>
                </patternFill>
              </fill>
            </x14:dxf>
          </x14:cfRule>
          <xm:sqref>BH152:BV152</xm:sqref>
        </x14:conditionalFormatting>
        <x14:conditionalFormatting xmlns:xm="http://schemas.microsoft.com/office/excel/2006/main">
          <x14:cfRule type="expression" priority="4699538" id="{C98E908A-CD31-4778-B41C-7AFB9DBE639A}">
            <xm:f>$BV$4='Data entry'!$R55</xm:f>
            <x14:dxf>
              <fill>
                <patternFill>
                  <bgColor rgb="FFFF0000"/>
                </patternFill>
              </fill>
            </x14:dxf>
          </x14:cfRule>
          <xm:sqref>BT153:CC153</xm:sqref>
        </x14:conditionalFormatting>
        <x14:conditionalFormatting xmlns:xm="http://schemas.microsoft.com/office/excel/2006/main">
          <x14:cfRule type="expression" priority="4699539" id="{465CCCA3-B4DB-4B61-8AC7-8A5E4CEC9E3F}">
            <xm:f>$BW$4='Data entry'!$R55</xm:f>
            <x14:dxf>
              <fill>
                <patternFill>
                  <bgColor rgb="FFFFFF00"/>
                </patternFill>
              </fill>
            </x14:dxf>
          </x14:cfRule>
          <xm:sqref>BI152:BW152</xm:sqref>
        </x14:conditionalFormatting>
        <x14:conditionalFormatting xmlns:xm="http://schemas.microsoft.com/office/excel/2006/main">
          <x14:cfRule type="expression" priority="4699540" id="{37566F97-6D06-400B-A709-FE657B07687F}">
            <xm:f>$BW$4='Data entry'!$R55</xm:f>
            <x14:dxf>
              <fill>
                <patternFill>
                  <bgColor rgb="FFFF0000"/>
                </patternFill>
              </fill>
            </x14:dxf>
          </x14:cfRule>
          <xm:sqref>BU153:CC153</xm:sqref>
        </x14:conditionalFormatting>
        <x14:conditionalFormatting xmlns:xm="http://schemas.microsoft.com/office/excel/2006/main">
          <x14:cfRule type="expression" priority="4699541" id="{D8FBA3AC-5CF0-4E45-97CA-1D4DEE729ADA}">
            <xm:f>$BX$4='Data entry'!$R55</xm:f>
            <x14:dxf>
              <fill>
                <patternFill>
                  <bgColor rgb="FFFFFF00"/>
                </patternFill>
              </fill>
            </x14:dxf>
          </x14:cfRule>
          <xm:sqref>BJ152:BX152</xm:sqref>
        </x14:conditionalFormatting>
        <x14:conditionalFormatting xmlns:xm="http://schemas.microsoft.com/office/excel/2006/main">
          <x14:cfRule type="expression" priority="4699542" id="{E077C84B-A94F-431D-B232-4AFCC7C64F54}">
            <xm:f>$BX$4='Data entry'!$R55</xm:f>
            <x14:dxf>
              <fill>
                <patternFill>
                  <bgColor rgb="FFFF0000"/>
                </patternFill>
              </fill>
            </x14:dxf>
          </x14:cfRule>
          <xm:sqref>BV153:CC153</xm:sqref>
        </x14:conditionalFormatting>
        <x14:conditionalFormatting xmlns:xm="http://schemas.microsoft.com/office/excel/2006/main">
          <x14:cfRule type="expression" priority="4699543" id="{63783BA8-0C97-4A44-86FD-7A2BCF1B9957}">
            <xm:f>$BY$4='Data entry'!$R55</xm:f>
            <x14:dxf>
              <fill>
                <patternFill>
                  <bgColor rgb="FFFFFF00"/>
                </patternFill>
              </fill>
            </x14:dxf>
          </x14:cfRule>
          <xm:sqref>BK152:BY152</xm:sqref>
        </x14:conditionalFormatting>
        <x14:conditionalFormatting xmlns:xm="http://schemas.microsoft.com/office/excel/2006/main">
          <x14:cfRule type="expression" priority="4699544" id="{BB8DB8B4-B71B-46D2-AEE7-346F16103F74}">
            <xm:f>$BY$4='Data entry'!$R55</xm:f>
            <x14:dxf>
              <fill>
                <patternFill>
                  <bgColor rgb="FFFF0000"/>
                </patternFill>
              </fill>
            </x14:dxf>
          </x14:cfRule>
          <xm:sqref>BW153:CC153</xm:sqref>
        </x14:conditionalFormatting>
        <x14:conditionalFormatting xmlns:xm="http://schemas.microsoft.com/office/excel/2006/main">
          <x14:cfRule type="expression" priority="4699545" id="{1B638B98-2B06-4FEB-90C1-446A3E0A3979}">
            <xm:f>$BZ$4='Data entry'!$R55</xm:f>
            <x14:dxf>
              <fill>
                <patternFill>
                  <bgColor rgb="FFFFFF00"/>
                </patternFill>
              </fill>
            </x14:dxf>
          </x14:cfRule>
          <xm:sqref>BL152:BZ152</xm:sqref>
        </x14:conditionalFormatting>
        <x14:conditionalFormatting xmlns:xm="http://schemas.microsoft.com/office/excel/2006/main">
          <x14:cfRule type="expression" priority="4699546" id="{D3A0A2F8-D1B2-4DC5-B2A9-0EF53074E685}">
            <xm:f>$BZ$4='Data entry'!$R55</xm:f>
            <x14:dxf>
              <fill>
                <patternFill>
                  <bgColor rgb="FFFF0000"/>
                </patternFill>
              </fill>
            </x14:dxf>
          </x14:cfRule>
          <xm:sqref>BX153:CC153</xm:sqref>
        </x14:conditionalFormatting>
        <x14:conditionalFormatting xmlns:xm="http://schemas.microsoft.com/office/excel/2006/main">
          <x14:cfRule type="expression" priority="4699547" id="{83F6D018-7D3B-4D33-9998-11572F2F2FF5}">
            <xm:f>$CA$4='Data entry'!$R55</xm:f>
            <x14:dxf>
              <fill>
                <patternFill>
                  <bgColor rgb="FFFFFF00"/>
                </patternFill>
              </fill>
            </x14:dxf>
          </x14:cfRule>
          <xm:sqref>BM152:CA152</xm:sqref>
        </x14:conditionalFormatting>
        <x14:conditionalFormatting xmlns:xm="http://schemas.microsoft.com/office/excel/2006/main">
          <x14:cfRule type="expression" priority="4699548" id="{8E6D0B51-5626-4ED9-9072-C7A2C139704F}">
            <xm:f>$CA$4='Data entry'!$R55</xm:f>
            <x14:dxf>
              <fill>
                <patternFill>
                  <bgColor rgb="FFFF0000"/>
                </patternFill>
              </fill>
            </x14:dxf>
          </x14:cfRule>
          <xm:sqref>BY153:CC153</xm:sqref>
        </x14:conditionalFormatting>
        <x14:conditionalFormatting xmlns:xm="http://schemas.microsoft.com/office/excel/2006/main">
          <x14:cfRule type="expression" priority="4699549" id="{E1886EE4-3BDE-43A9-9F4B-79377FEC37FE}">
            <xm:f>$CB$4='Data entry'!$R55</xm:f>
            <x14:dxf>
              <fill>
                <patternFill>
                  <bgColor rgb="FFFFFF00"/>
                </patternFill>
              </fill>
            </x14:dxf>
          </x14:cfRule>
          <xm:sqref>BN152:CB152</xm:sqref>
        </x14:conditionalFormatting>
        <x14:conditionalFormatting xmlns:xm="http://schemas.microsoft.com/office/excel/2006/main">
          <x14:cfRule type="expression" priority="4699550" id="{ADEF572A-6C18-4602-BB86-01C96D36E07E}">
            <xm:f>$CB$4='Data entry'!$R55</xm:f>
            <x14:dxf>
              <fill>
                <patternFill>
                  <bgColor rgb="FFFF0000"/>
                </patternFill>
              </fill>
            </x14:dxf>
          </x14:cfRule>
          <xm:sqref>BZ153:CC153</xm:sqref>
        </x14:conditionalFormatting>
        <x14:conditionalFormatting xmlns:xm="http://schemas.microsoft.com/office/excel/2006/main">
          <x14:cfRule type="expression" priority="4699551" id="{7984E1C9-E073-4955-8543-62145CB6D008}">
            <xm:f>$CC$4='Data entry'!$R55</xm:f>
            <x14:dxf>
              <fill>
                <patternFill>
                  <bgColor rgb="FFFFFF00"/>
                </patternFill>
              </fill>
            </x14:dxf>
          </x14:cfRule>
          <xm:sqref>BO152:CC152</xm:sqref>
        </x14:conditionalFormatting>
        <x14:conditionalFormatting xmlns:xm="http://schemas.microsoft.com/office/excel/2006/main">
          <x14:cfRule type="expression" priority="4699552" id="{18A957B3-59FA-4698-BA92-2A208FF18E2F}">
            <xm:f>$CC$4='Data entry'!$R55</xm:f>
            <x14:dxf>
              <fill>
                <patternFill>
                  <bgColor rgb="FFFF0000"/>
                </patternFill>
              </fill>
            </x14:dxf>
          </x14:cfRule>
          <xm:sqref>CA153:CC153</xm:sqref>
        </x14:conditionalFormatting>
        <x14:conditionalFormatting xmlns:xm="http://schemas.microsoft.com/office/excel/2006/main">
          <x14:cfRule type="expression" priority="4699639" id="{5B0DB825-B7C2-40AC-B7EF-F267F054CFB9}">
            <xm:f>$U$4='Data entry'!$R56</xm:f>
            <x14:dxf>
              <fill>
                <patternFill>
                  <bgColor rgb="FFFF0000"/>
                </patternFill>
              </fill>
            </x14:dxf>
          </x14:cfRule>
          <xm:sqref>S156:AE156</xm:sqref>
        </x14:conditionalFormatting>
        <x14:conditionalFormatting xmlns:xm="http://schemas.microsoft.com/office/excel/2006/main">
          <x14:cfRule type="expression" priority="4699640" id="{18311200-E2BB-400F-B594-3B9A2C6068C2}">
            <xm:f>$V$4='Data entry'!$R56</xm:f>
            <x14:dxf>
              <fill>
                <patternFill>
                  <bgColor rgb="FFFF0000"/>
                </patternFill>
              </fill>
            </x14:dxf>
          </x14:cfRule>
          <xm:sqref>T156:AF156</xm:sqref>
        </x14:conditionalFormatting>
        <x14:conditionalFormatting xmlns:xm="http://schemas.microsoft.com/office/excel/2006/main">
          <x14:cfRule type="expression" priority="4699641" id="{D6DFB621-1A58-4C59-A987-ECAD0EB2D32B}">
            <xm:f>$V$4='Data entry'!$R56</xm:f>
            <x14:dxf>
              <fill>
                <patternFill>
                  <bgColor rgb="FFFFFF00"/>
                </patternFill>
              </fill>
            </x14:dxf>
          </x14:cfRule>
          <xm:sqref>H155:V155</xm:sqref>
        </x14:conditionalFormatting>
        <x14:conditionalFormatting xmlns:xm="http://schemas.microsoft.com/office/excel/2006/main">
          <x14:cfRule type="expression" priority="4699642" id="{5F87A680-DC5F-433D-A779-B7A534ACCDA9}">
            <xm:f>$W$4='Data entry'!$R56</xm:f>
            <x14:dxf>
              <fill>
                <patternFill>
                  <bgColor rgb="FFFF0000"/>
                </patternFill>
              </fill>
            </x14:dxf>
          </x14:cfRule>
          <xm:sqref>U156:AG156</xm:sqref>
        </x14:conditionalFormatting>
        <x14:conditionalFormatting xmlns:xm="http://schemas.microsoft.com/office/excel/2006/main">
          <x14:cfRule type="expression" priority="4699643" id="{964539FF-A92C-4F68-B268-B7157A32678C}">
            <xm:f>$W$4='Data entry'!$R56</xm:f>
            <x14:dxf>
              <fill>
                <patternFill>
                  <bgColor rgb="FFFFFF00"/>
                </patternFill>
              </fill>
            </x14:dxf>
          </x14:cfRule>
          <xm:sqref>I155:W155</xm:sqref>
        </x14:conditionalFormatting>
        <x14:conditionalFormatting xmlns:xm="http://schemas.microsoft.com/office/excel/2006/main">
          <x14:cfRule type="expression" priority="4699644" id="{46C1533A-F090-4A90-9309-3F59EC3FD3B0}">
            <xm:f>$X$4='Data entry'!$R56</xm:f>
            <x14:dxf>
              <fill>
                <patternFill>
                  <bgColor rgb="FFFF0000"/>
                </patternFill>
              </fill>
            </x14:dxf>
          </x14:cfRule>
          <xm:sqref>V156:AH156</xm:sqref>
        </x14:conditionalFormatting>
        <x14:conditionalFormatting xmlns:xm="http://schemas.microsoft.com/office/excel/2006/main">
          <x14:cfRule type="expression" priority="4699645" id="{7C70E81C-DDD4-4D75-933A-4F6A39893184}">
            <xm:f>$X$4='Data entry'!$R56</xm:f>
            <x14:dxf>
              <fill>
                <patternFill>
                  <bgColor rgb="FFFFFF00"/>
                </patternFill>
              </fill>
            </x14:dxf>
          </x14:cfRule>
          <xm:sqref>J155:X155</xm:sqref>
        </x14:conditionalFormatting>
        <x14:conditionalFormatting xmlns:xm="http://schemas.microsoft.com/office/excel/2006/main">
          <x14:cfRule type="expression" priority="4699646" id="{561AF073-0EF8-4B72-A119-40A639C4359D}">
            <xm:f>$Y$4='Data entry'!$R56</xm:f>
            <x14:dxf>
              <fill>
                <patternFill>
                  <bgColor rgb="FFFF0000"/>
                </patternFill>
              </fill>
            </x14:dxf>
          </x14:cfRule>
          <xm:sqref>W156:AI156</xm:sqref>
        </x14:conditionalFormatting>
        <x14:conditionalFormatting xmlns:xm="http://schemas.microsoft.com/office/excel/2006/main">
          <x14:cfRule type="expression" priority="4699647" id="{F242E808-8F07-4A89-9524-7D4C767CE357}">
            <xm:f>$Y$4='Data entry'!$R56</xm:f>
            <x14:dxf>
              <fill>
                <patternFill>
                  <bgColor rgb="FFFFFF00"/>
                </patternFill>
              </fill>
            </x14:dxf>
          </x14:cfRule>
          <xm:sqref>K155:Y155</xm:sqref>
        </x14:conditionalFormatting>
        <x14:conditionalFormatting xmlns:xm="http://schemas.microsoft.com/office/excel/2006/main">
          <x14:cfRule type="expression" priority="4699648" id="{DD601058-982B-4218-BD9D-64BB823C2633}">
            <xm:f>$Z$4='Data entry'!$R56</xm:f>
            <x14:dxf>
              <fill>
                <patternFill>
                  <bgColor rgb="FFFF0000"/>
                </patternFill>
              </fill>
            </x14:dxf>
          </x14:cfRule>
          <xm:sqref>X156:AJ156</xm:sqref>
        </x14:conditionalFormatting>
        <x14:conditionalFormatting xmlns:xm="http://schemas.microsoft.com/office/excel/2006/main">
          <x14:cfRule type="expression" priority="4699649" id="{C9DB141D-79F6-4093-92A3-7BF7A1622985}">
            <xm:f>$Z$4='Data entry'!$R56</xm:f>
            <x14:dxf>
              <fill>
                <patternFill>
                  <bgColor rgb="FFFFFF00"/>
                </patternFill>
              </fill>
            </x14:dxf>
          </x14:cfRule>
          <xm:sqref>L155:Z155</xm:sqref>
        </x14:conditionalFormatting>
        <x14:conditionalFormatting xmlns:xm="http://schemas.microsoft.com/office/excel/2006/main">
          <x14:cfRule type="expression" priority="4699650" id="{710EB8D3-F5C0-4E3C-8214-2D0C4E26F649}">
            <xm:f>$AA$4='Data entry'!$R56</xm:f>
            <x14:dxf>
              <fill>
                <patternFill>
                  <bgColor rgb="FFFF0000"/>
                </patternFill>
              </fill>
            </x14:dxf>
          </x14:cfRule>
          <xm:sqref>Y156:AK156</xm:sqref>
        </x14:conditionalFormatting>
        <x14:conditionalFormatting xmlns:xm="http://schemas.microsoft.com/office/excel/2006/main">
          <x14:cfRule type="expression" priority="4699651" id="{33825D69-C967-4D27-B395-5D44A3083802}">
            <xm:f>$AA$4='Data entry'!$R56</xm:f>
            <x14:dxf>
              <fill>
                <patternFill>
                  <bgColor rgb="FFFFFF00"/>
                </patternFill>
              </fill>
            </x14:dxf>
          </x14:cfRule>
          <xm:sqref>M155:AA155</xm:sqref>
        </x14:conditionalFormatting>
        <x14:conditionalFormatting xmlns:xm="http://schemas.microsoft.com/office/excel/2006/main">
          <x14:cfRule type="expression" priority="4699652" id="{9811A97D-351B-4D32-8754-AF433277E62B}">
            <xm:f>$AB$4='Data entry'!$R56</xm:f>
            <x14:dxf>
              <fill>
                <patternFill>
                  <bgColor rgb="FFFF0000"/>
                </patternFill>
              </fill>
            </x14:dxf>
          </x14:cfRule>
          <xm:sqref>Z156:AL156</xm:sqref>
        </x14:conditionalFormatting>
        <x14:conditionalFormatting xmlns:xm="http://schemas.microsoft.com/office/excel/2006/main">
          <x14:cfRule type="expression" priority="4699653" id="{6DD3E556-C72E-438B-92DA-3096ED1E4178}">
            <xm:f>$AB$4='Data entry'!$R56</xm:f>
            <x14:dxf>
              <fill>
                <patternFill>
                  <bgColor rgb="FFFFFF00"/>
                </patternFill>
              </fill>
            </x14:dxf>
          </x14:cfRule>
          <xm:sqref>N155:AB155</xm:sqref>
        </x14:conditionalFormatting>
        <x14:conditionalFormatting xmlns:xm="http://schemas.microsoft.com/office/excel/2006/main">
          <x14:cfRule type="expression" priority="4699654" id="{C0DF7A1B-D6BC-4371-BD3A-F0708147FA1C}">
            <xm:f>$AC$4='Data entry'!$R56</xm:f>
            <x14:dxf>
              <fill>
                <patternFill>
                  <bgColor rgb="FFFF0000"/>
                </patternFill>
              </fill>
            </x14:dxf>
          </x14:cfRule>
          <xm:sqref>AA156:AM156</xm:sqref>
        </x14:conditionalFormatting>
        <x14:conditionalFormatting xmlns:xm="http://schemas.microsoft.com/office/excel/2006/main">
          <x14:cfRule type="expression" priority="4699655" id="{DB2E1F48-AF0E-41F9-A976-6B1963CA5711}">
            <xm:f>$AC$4='Data entry'!$R56</xm:f>
            <x14:dxf>
              <fill>
                <patternFill>
                  <bgColor rgb="FFFFFF00"/>
                </patternFill>
              </fill>
            </x14:dxf>
          </x14:cfRule>
          <xm:sqref>O155:AC155</xm:sqref>
        </x14:conditionalFormatting>
        <x14:conditionalFormatting xmlns:xm="http://schemas.microsoft.com/office/excel/2006/main">
          <x14:cfRule type="expression" priority="4699656" id="{89909907-F9A9-4AF9-BC1D-304710A43F50}">
            <xm:f>$AD$4='Data entry'!$R56</xm:f>
            <x14:dxf>
              <fill>
                <patternFill>
                  <bgColor rgb="FFFF0000"/>
                </patternFill>
              </fill>
            </x14:dxf>
          </x14:cfRule>
          <xm:sqref>AB156:AN156</xm:sqref>
        </x14:conditionalFormatting>
        <x14:conditionalFormatting xmlns:xm="http://schemas.microsoft.com/office/excel/2006/main">
          <x14:cfRule type="expression" priority="4699657" id="{729676B7-E331-43A4-ACC9-850DCEE76A0E}">
            <xm:f>$AD$4='Data entry'!$R56</xm:f>
            <x14:dxf>
              <fill>
                <patternFill>
                  <bgColor rgb="FFFFFF00"/>
                </patternFill>
              </fill>
            </x14:dxf>
          </x14:cfRule>
          <xm:sqref>P155:AD155</xm:sqref>
        </x14:conditionalFormatting>
        <x14:conditionalFormatting xmlns:xm="http://schemas.microsoft.com/office/excel/2006/main">
          <x14:cfRule type="expression" priority="4699658" id="{00DA2C55-350E-44AA-ABEA-808FABFDA737}">
            <xm:f>$AE$4='Data entry'!$R56</xm:f>
            <x14:dxf>
              <fill>
                <patternFill>
                  <bgColor rgb="FFFF0000"/>
                </patternFill>
              </fill>
            </x14:dxf>
          </x14:cfRule>
          <xm:sqref>AC156:AO156</xm:sqref>
        </x14:conditionalFormatting>
        <x14:conditionalFormatting xmlns:xm="http://schemas.microsoft.com/office/excel/2006/main">
          <x14:cfRule type="expression" priority="4699659" id="{373C95F1-00C1-45E9-B561-5224945BA4A4}">
            <xm:f>$AE$4='Data entry'!$R56</xm:f>
            <x14:dxf>
              <fill>
                <patternFill>
                  <bgColor rgb="FFFFFF00"/>
                </patternFill>
              </fill>
            </x14:dxf>
          </x14:cfRule>
          <xm:sqref>Q155:AE155</xm:sqref>
        </x14:conditionalFormatting>
        <x14:conditionalFormatting xmlns:xm="http://schemas.microsoft.com/office/excel/2006/main">
          <x14:cfRule type="expression" priority="4699660" id="{65E90E74-6BEF-4B00-BD5E-ECACFEBC225A}">
            <xm:f>$AF$4='Data entry'!$R56</xm:f>
            <x14:dxf>
              <fill>
                <patternFill>
                  <bgColor rgb="FFFF0000"/>
                </patternFill>
              </fill>
            </x14:dxf>
          </x14:cfRule>
          <xm:sqref>AD156:AP156</xm:sqref>
        </x14:conditionalFormatting>
        <x14:conditionalFormatting xmlns:xm="http://schemas.microsoft.com/office/excel/2006/main">
          <x14:cfRule type="expression" priority="4699661" id="{56B519D7-E083-4811-B42B-D6CB10D44BB3}">
            <xm:f>$AF$4='Data entry'!$R56</xm:f>
            <x14:dxf>
              <fill>
                <patternFill>
                  <bgColor rgb="FFFFFF00"/>
                </patternFill>
              </fill>
            </x14:dxf>
          </x14:cfRule>
          <xm:sqref>R155:AF155</xm:sqref>
        </x14:conditionalFormatting>
        <x14:conditionalFormatting xmlns:xm="http://schemas.microsoft.com/office/excel/2006/main">
          <x14:cfRule type="expression" priority="4699662" id="{889682B6-BF9B-414B-86B7-1C802156B058}">
            <xm:f>$AG$4='Data entry'!$R56</xm:f>
            <x14:dxf>
              <fill>
                <patternFill>
                  <bgColor rgb="FFFF0000"/>
                </patternFill>
              </fill>
            </x14:dxf>
          </x14:cfRule>
          <xm:sqref>AE156:AQ156</xm:sqref>
        </x14:conditionalFormatting>
        <x14:conditionalFormatting xmlns:xm="http://schemas.microsoft.com/office/excel/2006/main">
          <x14:cfRule type="expression" priority="4699663" id="{19913D88-1940-4CB0-B29C-D46D60833BD5}">
            <xm:f>$AG$4='Data entry'!$R56</xm:f>
            <x14:dxf>
              <fill>
                <patternFill>
                  <bgColor rgb="FFFFFF00"/>
                </patternFill>
              </fill>
            </x14:dxf>
          </x14:cfRule>
          <xm:sqref>S155:AG155</xm:sqref>
        </x14:conditionalFormatting>
        <x14:conditionalFormatting xmlns:xm="http://schemas.microsoft.com/office/excel/2006/main">
          <x14:cfRule type="expression" priority="4699664" id="{3DD7B9A5-18A3-463F-BAD5-9796FC487328}">
            <xm:f>$AH$4='Data entry'!$R56</xm:f>
            <x14:dxf>
              <fill>
                <patternFill>
                  <bgColor rgb="FFFF0000"/>
                </patternFill>
              </fill>
            </x14:dxf>
          </x14:cfRule>
          <xm:sqref>AF156:AR156</xm:sqref>
        </x14:conditionalFormatting>
        <x14:conditionalFormatting xmlns:xm="http://schemas.microsoft.com/office/excel/2006/main">
          <x14:cfRule type="expression" priority="4699665" id="{31005CF4-5608-496E-91EB-F7F505046C80}">
            <xm:f>$AH$4='Data entry'!$R56</xm:f>
            <x14:dxf>
              <fill>
                <patternFill>
                  <bgColor rgb="FFFFFF00"/>
                </patternFill>
              </fill>
            </x14:dxf>
          </x14:cfRule>
          <xm:sqref>T155:AH155</xm:sqref>
        </x14:conditionalFormatting>
        <x14:conditionalFormatting xmlns:xm="http://schemas.microsoft.com/office/excel/2006/main">
          <x14:cfRule type="expression" priority="4699666" id="{CD14F654-5B7A-444F-8FC1-7DD71E76E475}">
            <xm:f>$AI$4='Data entry'!$R56</xm:f>
            <x14:dxf>
              <fill>
                <patternFill>
                  <bgColor rgb="FFFF0000"/>
                </patternFill>
              </fill>
            </x14:dxf>
          </x14:cfRule>
          <xm:sqref>AG156:AS156</xm:sqref>
        </x14:conditionalFormatting>
        <x14:conditionalFormatting xmlns:xm="http://schemas.microsoft.com/office/excel/2006/main">
          <x14:cfRule type="expression" priority="4699667" id="{0E4E448C-6C46-4285-B877-A61A90294385}">
            <xm:f>$AI$4='Data entry'!$R56</xm:f>
            <x14:dxf>
              <fill>
                <patternFill>
                  <bgColor rgb="FFFFFF00"/>
                </patternFill>
              </fill>
            </x14:dxf>
          </x14:cfRule>
          <xm:sqref>U155:AI155</xm:sqref>
        </x14:conditionalFormatting>
        <x14:conditionalFormatting xmlns:xm="http://schemas.microsoft.com/office/excel/2006/main">
          <x14:cfRule type="expression" priority="4699668" id="{B1C1818F-791C-403D-BE73-6F6E9DC6A16D}">
            <xm:f>$AJ$4='Data entry'!$R56</xm:f>
            <x14:dxf>
              <fill>
                <patternFill>
                  <bgColor rgb="FFFF0000"/>
                </patternFill>
              </fill>
            </x14:dxf>
          </x14:cfRule>
          <xm:sqref>AH156:AT156</xm:sqref>
        </x14:conditionalFormatting>
        <x14:conditionalFormatting xmlns:xm="http://schemas.microsoft.com/office/excel/2006/main">
          <x14:cfRule type="expression" priority="4699669" id="{A1237792-221B-431B-B8A7-E9A64DA46D93}">
            <xm:f>$AJ$4='Data entry'!$R56</xm:f>
            <x14:dxf>
              <fill>
                <patternFill>
                  <bgColor rgb="FFFFFF00"/>
                </patternFill>
              </fill>
            </x14:dxf>
          </x14:cfRule>
          <xm:sqref>V155:AJ155</xm:sqref>
        </x14:conditionalFormatting>
        <x14:conditionalFormatting xmlns:xm="http://schemas.microsoft.com/office/excel/2006/main">
          <x14:cfRule type="expression" priority="4699670" id="{617DC2AF-C7A3-4724-8EA3-17DEFEDC8949}">
            <xm:f>$AK$4='Data entry'!$R56</xm:f>
            <x14:dxf>
              <fill>
                <patternFill>
                  <bgColor rgb="FFFF0000"/>
                </patternFill>
              </fill>
            </x14:dxf>
          </x14:cfRule>
          <xm:sqref>AI156:AU156</xm:sqref>
        </x14:conditionalFormatting>
        <x14:conditionalFormatting xmlns:xm="http://schemas.microsoft.com/office/excel/2006/main">
          <x14:cfRule type="expression" priority="4699671" id="{AA72317D-37B1-48EB-A28B-BF2AC8DC4519}">
            <xm:f>$AK$4='Data entry'!$R56</xm:f>
            <x14:dxf>
              <fill>
                <patternFill>
                  <bgColor rgb="FFFFFF00"/>
                </patternFill>
              </fill>
            </x14:dxf>
          </x14:cfRule>
          <xm:sqref>W155:AK155</xm:sqref>
        </x14:conditionalFormatting>
        <x14:conditionalFormatting xmlns:xm="http://schemas.microsoft.com/office/excel/2006/main">
          <x14:cfRule type="expression" priority="4699672" id="{6CA9FB7A-20EA-4D3A-B74C-A001F4BE810D}">
            <xm:f>$AL$4='Data entry'!$R56</xm:f>
            <x14:dxf>
              <fill>
                <patternFill>
                  <bgColor rgb="FFFF0000"/>
                </patternFill>
              </fill>
            </x14:dxf>
          </x14:cfRule>
          <xm:sqref>AJ156:AV156</xm:sqref>
        </x14:conditionalFormatting>
        <x14:conditionalFormatting xmlns:xm="http://schemas.microsoft.com/office/excel/2006/main">
          <x14:cfRule type="expression" priority="4699673" id="{81A75DAA-573F-4EF3-A640-1B992C18BEA0}">
            <xm:f>$AL$4='Data entry'!$R56</xm:f>
            <x14:dxf>
              <fill>
                <patternFill>
                  <bgColor rgb="FFFFFF00"/>
                </patternFill>
              </fill>
            </x14:dxf>
          </x14:cfRule>
          <xm:sqref>X155:AL155</xm:sqref>
        </x14:conditionalFormatting>
        <x14:conditionalFormatting xmlns:xm="http://schemas.microsoft.com/office/excel/2006/main">
          <x14:cfRule type="expression" priority="4699674" id="{3D44713E-4ABA-4CCD-9DF4-5513A9FB5E1E}">
            <xm:f>$AM$4='Data entry'!$R56</xm:f>
            <x14:dxf>
              <fill>
                <patternFill>
                  <bgColor rgb="FFFF0000"/>
                </patternFill>
              </fill>
            </x14:dxf>
          </x14:cfRule>
          <xm:sqref>AK156:AW156</xm:sqref>
        </x14:conditionalFormatting>
        <x14:conditionalFormatting xmlns:xm="http://schemas.microsoft.com/office/excel/2006/main">
          <x14:cfRule type="expression" priority="4699675" id="{05A26B51-72A7-4423-822F-2BDBC28275D0}">
            <xm:f>$AM$4='Data entry'!$R56</xm:f>
            <x14:dxf>
              <fill>
                <patternFill>
                  <bgColor rgb="FFFFFF00"/>
                </patternFill>
              </fill>
            </x14:dxf>
          </x14:cfRule>
          <xm:sqref>Y155:AM155</xm:sqref>
        </x14:conditionalFormatting>
        <x14:conditionalFormatting xmlns:xm="http://schemas.microsoft.com/office/excel/2006/main">
          <x14:cfRule type="expression" priority="4699676" id="{B8A20675-6230-4694-A7F6-6B3DC7142773}">
            <xm:f>$AN$4='Data entry'!$R56</xm:f>
            <x14:dxf>
              <fill>
                <patternFill>
                  <bgColor rgb="FFFF0000"/>
                </patternFill>
              </fill>
            </x14:dxf>
          </x14:cfRule>
          <xm:sqref>AL156:AX156</xm:sqref>
        </x14:conditionalFormatting>
        <x14:conditionalFormatting xmlns:xm="http://schemas.microsoft.com/office/excel/2006/main">
          <x14:cfRule type="expression" priority="4699677" id="{8421181C-7450-42E9-BC1D-065CCFCA960E}">
            <xm:f>$AN$4='Data entry'!$R56</xm:f>
            <x14:dxf>
              <fill>
                <patternFill>
                  <bgColor rgb="FFFFFF00"/>
                </patternFill>
              </fill>
            </x14:dxf>
          </x14:cfRule>
          <xm:sqref>Z155:AN155</xm:sqref>
        </x14:conditionalFormatting>
        <x14:conditionalFormatting xmlns:xm="http://schemas.microsoft.com/office/excel/2006/main">
          <x14:cfRule type="expression" priority="4699678" id="{067FE4BD-6EF4-4684-B6E0-35AB2F267EE7}">
            <xm:f>$AO$4='Data entry'!$R56</xm:f>
            <x14:dxf>
              <fill>
                <patternFill>
                  <bgColor rgb="FFFF0000"/>
                </patternFill>
              </fill>
            </x14:dxf>
          </x14:cfRule>
          <xm:sqref>AM156:AY156</xm:sqref>
        </x14:conditionalFormatting>
        <x14:conditionalFormatting xmlns:xm="http://schemas.microsoft.com/office/excel/2006/main">
          <x14:cfRule type="expression" priority="4699679" id="{F7653492-88D1-47AC-8BA3-0CCE65C3C2AB}">
            <xm:f>$AO$4='Data entry'!$R56</xm:f>
            <x14:dxf>
              <fill>
                <patternFill>
                  <bgColor rgb="FFFFFF00"/>
                </patternFill>
              </fill>
            </x14:dxf>
          </x14:cfRule>
          <xm:sqref>AA155:AO155</xm:sqref>
        </x14:conditionalFormatting>
        <x14:conditionalFormatting xmlns:xm="http://schemas.microsoft.com/office/excel/2006/main">
          <x14:cfRule type="expression" priority="4699680" id="{207A5E5D-B322-482E-9193-1D7318138358}">
            <xm:f>$AP$4='Data entry'!$R56</xm:f>
            <x14:dxf>
              <fill>
                <patternFill>
                  <bgColor rgb="FFFF0000"/>
                </patternFill>
              </fill>
            </x14:dxf>
          </x14:cfRule>
          <xm:sqref>AN156:AZ156</xm:sqref>
        </x14:conditionalFormatting>
        <x14:conditionalFormatting xmlns:xm="http://schemas.microsoft.com/office/excel/2006/main">
          <x14:cfRule type="expression" priority="4699681" id="{21DA638D-4CA0-4067-BFF1-240CE1A0261B}">
            <xm:f>$AP$4='Data entry'!$R56</xm:f>
            <x14:dxf>
              <fill>
                <patternFill>
                  <bgColor rgb="FFFFFF00"/>
                </patternFill>
              </fill>
            </x14:dxf>
          </x14:cfRule>
          <xm:sqref>AB155:AP155</xm:sqref>
        </x14:conditionalFormatting>
        <x14:conditionalFormatting xmlns:xm="http://schemas.microsoft.com/office/excel/2006/main">
          <x14:cfRule type="expression" priority="4699682" id="{71963D96-A42A-4B90-BFC7-6D83D37766EF}">
            <xm:f>$AQ$4='Data entry'!$R56</xm:f>
            <x14:dxf>
              <fill>
                <patternFill>
                  <bgColor rgb="FFFF0000"/>
                </patternFill>
              </fill>
            </x14:dxf>
          </x14:cfRule>
          <xm:sqref>AO156:BA156</xm:sqref>
        </x14:conditionalFormatting>
        <x14:conditionalFormatting xmlns:xm="http://schemas.microsoft.com/office/excel/2006/main">
          <x14:cfRule type="expression" priority="4699683" id="{74952595-84B6-484F-8FF6-FCC1F337DF4D}">
            <xm:f>$AQ$4='Data entry'!$R56</xm:f>
            <x14:dxf>
              <fill>
                <patternFill>
                  <bgColor rgb="FFFFFF00"/>
                </patternFill>
              </fill>
            </x14:dxf>
          </x14:cfRule>
          <xm:sqref>AC155:AQ155</xm:sqref>
        </x14:conditionalFormatting>
        <x14:conditionalFormatting xmlns:xm="http://schemas.microsoft.com/office/excel/2006/main">
          <x14:cfRule type="expression" priority="4699684" id="{8AC9C4B9-0A34-4BC0-B0F7-CA89434C4911}">
            <xm:f>$P$4='Data entry'!$R56</xm:f>
            <x14:dxf>
              <fill>
                <patternFill>
                  <bgColor rgb="FFFFFF00"/>
                </patternFill>
              </fill>
            </x14:dxf>
          </x14:cfRule>
          <xm:sqref>C155:P155</xm:sqref>
        </x14:conditionalFormatting>
        <x14:conditionalFormatting xmlns:xm="http://schemas.microsoft.com/office/excel/2006/main">
          <x14:cfRule type="expression" priority="4699685" id="{0A726775-ABFD-4F22-967C-1A4D87BA3751}">
            <xm:f>$Q$4='Data entry'!$R56</xm:f>
            <x14:dxf>
              <fill>
                <patternFill>
                  <bgColor rgb="FFFFFF00"/>
                </patternFill>
              </fill>
            </x14:dxf>
          </x14:cfRule>
          <xm:sqref>C155:Q155</xm:sqref>
        </x14:conditionalFormatting>
        <x14:conditionalFormatting xmlns:xm="http://schemas.microsoft.com/office/excel/2006/main">
          <x14:cfRule type="expression" priority="4699686" id="{3A8414BD-262C-43B5-86EE-FA6901D00453}">
            <xm:f>$Q$4='Data entry'!$R56</xm:f>
            <x14:dxf>
              <fill>
                <patternFill>
                  <bgColor rgb="FFFF0000"/>
                </patternFill>
              </fill>
            </x14:dxf>
          </x14:cfRule>
          <xm:sqref>O156:AA156</xm:sqref>
        </x14:conditionalFormatting>
        <x14:conditionalFormatting xmlns:xm="http://schemas.microsoft.com/office/excel/2006/main">
          <x14:cfRule type="expression" priority="4699687" id="{B8B5501D-F3EF-4449-9306-F652960C65F4}">
            <xm:f>$R$4='Data entry'!$R56</xm:f>
            <x14:dxf>
              <fill>
                <patternFill>
                  <bgColor rgb="FFFF0000"/>
                </patternFill>
              </fill>
            </x14:dxf>
          </x14:cfRule>
          <xm:sqref>P156:AB156</xm:sqref>
        </x14:conditionalFormatting>
        <x14:conditionalFormatting xmlns:xm="http://schemas.microsoft.com/office/excel/2006/main">
          <x14:cfRule type="expression" priority="4699688" id="{5D070DEC-B82E-4D87-B907-A3E5AB836991}">
            <xm:f>$R$4='Data entry'!$R56</xm:f>
            <x14:dxf>
              <fill>
                <patternFill>
                  <bgColor rgb="FFFFFF00"/>
                </patternFill>
              </fill>
            </x14:dxf>
          </x14:cfRule>
          <xm:sqref>D155:R155</xm:sqref>
        </x14:conditionalFormatting>
        <x14:conditionalFormatting xmlns:xm="http://schemas.microsoft.com/office/excel/2006/main">
          <x14:cfRule type="expression" priority="4699689" id="{E4D16A10-F818-4664-9FB2-F0E839824D4B}">
            <xm:f>$S$4='Data entry'!$R56</xm:f>
            <x14:dxf>
              <fill>
                <patternFill>
                  <bgColor rgb="FFFF0000"/>
                </patternFill>
              </fill>
            </x14:dxf>
          </x14:cfRule>
          <xm:sqref>Q156:AC156</xm:sqref>
        </x14:conditionalFormatting>
        <x14:conditionalFormatting xmlns:xm="http://schemas.microsoft.com/office/excel/2006/main">
          <x14:cfRule type="expression" priority="4699690" id="{1A9F9911-A3E9-4730-AFBE-AB8C596545CA}">
            <xm:f>$S$4='Data entry'!$R56</xm:f>
            <x14:dxf>
              <fill>
                <patternFill>
                  <bgColor rgb="FFFFFF00"/>
                </patternFill>
              </fill>
            </x14:dxf>
          </x14:cfRule>
          <xm:sqref>E155:S155</xm:sqref>
        </x14:conditionalFormatting>
        <x14:conditionalFormatting xmlns:xm="http://schemas.microsoft.com/office/excel/2006/main">
          <x14:cfRule type="expression" priority="4699691" id="{8BB5CD1B-B2AC-442A-9550-26DE19A62D22}">
            <xm:f>$T$4='Data entry'!$R56</xm:f>
            <x14:dxf>
              <fill>
                <patternFill>
                  <bgColor rgb="FFFF0000"/>
                </patternFill>
              </fill>
            </x14:dxf>
          </x14:cfRule>
          <xm:sqref>R156:AD156</xm:sqref>
        </x14:conditionalFormatting>
        <x14:conditionalFormatting xmlns:xm="http://schemas.microsoft.com/office/excel/2006/main">
          <x14:cfRule type="expression" priority="4699692" id="{E7B59C69-7921-4049-84A1-8B3E5F7B0598}">
            <xm:f>$T$4='Data entry'!$R56</xm:f>
            <x14:dxf>
              <fill>
                <patternFill>
                  <bgColor rgb="FFFFFF00"/>
                </patternFill>
              </fill>
            </x14:dxf>
          </x14:cfRule>
          <xm:sqref>F155:T155</xm:sqref>
        </x14:conditionalFormatting>
        <x14:conditionalFormatting xmlns:xm="http://schemas.microsoft.com/office/excel/2006/main">
          <x14:cfRule type="expression" priority="4699693" id="{238C09E5-7A3D-439D-949F-A7733073F9A2}">
            <xm:f>$U$4='Data entry'!$R56</xm:f>
            <x14:dxf>
              <fill>
                <patternFill>
                  <bgColor rgb="FFFFFF00"/>
                </patternFill>
              </fill>
            </x14:dxf>
          </x14:cfRule>
          <xm:sqref>G155:U155</xm:sqref>
        </x14:conditionalFormatting>
        <x14:conditionalFormatting xmlns:xm="http://schemas.microsoft.com/office/excel/2006/main">
          <x14:cfRule type="expression" priority="4699694" id="{DE4D4432-0A19-452A-AF14-2873FE4DF411}">
            <xm:f>$AR$4='Data entry'!$R56</xm:f>
            <x14:dxf>
              <fill>
                <patternFill>
                  <bgColor rgb="FFFF0000"/>
                </patternFill>
              </fill>
            </x14:dxf>
          </x14:cfRule>
          <xm:sqref>AP156:BB156</xm:sqref>
        </x14:conditionalFormatting>
        <x14:conditionalFormatting xmlns:xm="http://schemas.microsoft.com/office/excel/2006/main">
          <x14:cfRule type="expression" priority="4699695" id="{90D7E1FF-542D-40C8-9BD5-DFEB4CDD256F}">
            <xm:f>$AR$4='Data entry'!$R56</xm:f>
            <x14:dxf>
              <fill>
                <patternFill>
                  <bgColor rgb="FFFFFF00"/>
                </patternFill>
              </fill>
            </x14:dxf>
          </x14:cfRule>
          <xm:sqref>AD155:AR155</xm:sqref>
        </x14:conditionalFormatting>
        <x14:conditionalFormatting xmlns:xm="http://schemas.microsoft.com/office/excel/2006/main">
          <x14:cfRule type="expression" priority="4699696" id="{0EBB5305-4A4A-4205-A1FF-11160070CBC3}">
            <xm:f>$AS$4='Data entry'!$R56</xm:f>
            <x14:dxf>
              <fill>
                <patternFill>
                  <bgColor rgb="FFFF0000"/>
                </patternFill>
              </fill>
            </x14:dxf>
          </x14:cfRule>
          <xm:sqref>AQ156:BC156</xm:sqref>
        </x14:conditionalFormatting>
        <x14:conditionalFormatting xmlns:xm="http://schemas.microsoft.com/office/excel/2006/main">
          <x14:cfRule type="expression" priority="4699697" id="{AC8EB30C-4253-4CE1-820E-1801F6D8D35B}">
            <xm:f>$AS$4='Data entry'!$R56</xm:f>
            <x14:dxf>
              <fill>
                <patternFill>
                  <bgColor rgb="FFFFFF00"/>
                </patternFill>
              </fill>
            </x14:dxf>
          </x14:cfRule>
          <xm:sqref>AE155:AS155</xm:sqref>
        </x14:conditionalFormatting>
        <x14:conditionalFormatting xmlns:xm="http://schemas.microsoft.com/office/excel/2006/main">
          <x14:cfRule type="expression" priority="4699698" id="{E11744C1-7201-4272-A1B0-945490B42425}">
            <xm:f>$AT$4='Data entry'!$R56</xm:f>
            <x14:dxf>
              <fill>
                <patternFill>
                  <bgColor rgb="FFFF0000"/>
                </patternFill>
              </fill>
            </x14:dxf>
          </x14:cfRule>
          <xm:sqref>AR156:BD156</xm:sqref>
        </x14:conditionalFormatting>
        <x14:conditionalFormatting xmlns:xm="http://schemas.microsoft.com/office/excel/2006/main">
          <x14:cfRule type="expression" priority="4699699" id="{5EE2823B-E955-4EA7-B99C-0B1F77B57A69}">
            <xm:f>$AT$4='Data entry'!$R56</xm:f>
            <x14:dxf>
              <fill>
                <patternFill>
                  <bgColor rgb="FFFFFF00"/>
                </patternFill>
              </fill>
            </x14:dxf>
          </x14:cfRule>
          <xm:sqref>AF155:AT155</xm:sqref>
        </x14:conditionalFormatting>
        <x14:conditionalFormatting xmlns:xm="http://schemas.microsoft.com/office/excel/2006/main">
          <x14:cfRule type="expression" priority="4699700" id="{5737DC63-3262-4B34-900C-2AAEB255FCBA}">
            <xm:f>$AU$4='Data entry'!$R56</xm:f>
            <x14:dxf>
              <fill>
                <patternFill>
                  <bgColor rgb="FFFF0000"/>
                </patternFill>
              </fill>
            </x14:dxf>
          </x14:cfRule>
          <xm:sqref>AS156:BE156</xm:sqref>
        </x14:conditionalFormatting>
        <x14:conditionalFormatting xmlns:xm="http://schemas.microsoft.com/office/excel/2006/main">
          <x14:cfRule type="expression" priority="4699701" id="{2B5C1F1B-3C3D-4CA3-BC64-0E98422075B6}">
            <xm:f>$AU$4='Data entry'!$R56</xm:f>
            <x14:dxf>
              <fill>
                <patternFill>
                  <bgColor rgb="FFFFFF00"/>
                </patternFill>
              </fill>
            </x14:dxf>
          </x14:cfRule>
          <xm:sqref>AG155:AU155</xm:sqref>
        </x14:conditionalFormatting>
        <x14:conditionalFormatting xmlns:xm="http://schemas.microsoft.com/office/excel/2006/main">
          <x14:cfRule type="expression" priority="4699702" id="{B87A1285-B003-4855-8F4B-53C391BA10E6}">
            <xm:f>$AV$4='Data entry'!$R56</xm:f>
            <x14:dxf>
              <fill>
                <patternFill>
                  <bgColor rgb="FFFF0000"/>
                </patternFill>
              </fill>
            </x14:dxf>
          </x14:cfRule>
          <xm:sqref>AT156:BF156</xm:sqref>
        </x14:conditionalFormatting>
        <x14:conditionalFormatting xmlns:xm="http://schemas.microsoft.com/office/excel/2006/main">
          <x14:cfRule type="expression" priority="4699703" id="{338EE31C-78DB-4818-B837-0380F9E457FA}">
            <xm:f>$AV$4='Data entry'!$R56</xm:f>
            <x14:dxf>
              <fill>
                <patternFill>
                  <bgColor rgb="FFFFFF00"/>
                </patternFill>
              </fill>
            </x14:dxf>
          </x14:cfRule>
          <xm:sqref>AH155:AV155</xm:sqref>
        </x14:conditionalFormatting>
        <x14:conditionalFormatting xmlns:xm="http://schemas.microsoft.com/office/excel/2006/main">
          <x14:cfRule type="expression" priority="4699704" id="{5C40EA66-2801-4C91-B885-BF6A1ECFC35C}">
            <xm:f>$AW$4='Data entry'!$R56</xm:f>
            <x14:dxf>
              <fill>
                <patternFill>
                  <bgColor rgb="FFFF0000"/>
                </patternFill>
              </fill>
            </x14:dxf>
          </x14:cfRule>
          <xm:sqref>AU156:BG156</xm:sqref>
        </x14:conditionalFormatting>
        <x14:conditionalFormatting xmlns:xm="http://schemas.microsoft.com/office/excel/2006/main">
          <x14:cfRule type="expression" priority="4699705" id="{51BCD5CE-DF86-4C2F-8A81-DDA1EFD6C8F7}">
            <xm:f>$AW$4='Data entry'!$R56</xm:f>
            <x14:dxf>
              <fill>
                <patternFill>
                  <bgColor rgb="FFFFFF00"/>
                </patternFill>
              </fill>
            </x14:dxf>
          </x14:cfRule>
          <xm:sqref>AI155:AW155</xm:sqref>
        </x14:conditionalFormatting>
        <x14:conditionalFormatting xmlns:xm="http://schemas.microsoft.com/office/excel/2006/main">
          <x14:cfRule type="expression" priority="4699706" id="{DC2ED5A0-8917-4877-8CD3-9DF9BE5993C9}">
            <xm:f>$AX$4='Data entry'!$R56</xm:f>
            <x14:dxf>
              <fill>
                <patternFill>
                  <bgColor rgb="FFFF0000"/>
                </patternFill>
              </fill>
            </x14:dxf>
          </x14:cfRule>
          <xm:sqref>AV156:BH156</xm:sqref>
        </x14:conditionalFormatting>
        <x14:conditionalFormatting xmlns:xm="http://schemas.microsoft.com/office/excel/2006/main">
          <x14:cfRule type="expression" priority="4699707" id="{59B31869-20F9-45BD-BC80-0A6C8945CE2C}">
            <xm:f>$AX$4='Data entry'!$R56</xm:f>
            <x14:dxf>
              <fill>
                <patternFill>
                  <bgColor rgb="FFFFFF00"/>
                </patternFill>
              </fill>
            </x14:dxf>
          </x14:cfRule>
          <xm:sqref>AJ155:AX155</xm:sqref>
        </x14:conditionalFormatting>
        <x14:conditionalFormatting xmlns:xm="http://schemas.microsoft.com/office/excel/2006/main">
          <x14:cfRule type="expression" priority="4699708" id="{D4208FA0-4262-4037-934C-6D0742B2AD8E}">
            <xm:f>$AY$4='Data entry'!$R56</xm:f>
            <x14:dxf>
              <fill>
                <patternFill>
                  <bgColor rgb="FFFF0000"/>
                </patternFill>
              </fill>
            </x14:dxf>
          </x14:cfRule>
          <xm:sqref>AW156:BI156</xm:sqref>
        </x14:conditionalFormatting>
        <x14:conditionalFormatting xmlns:xm="http://schemas.microsoft.com/office/excel/2006/main">
          <x14:cfRule type="expression" priority="4699709" id="{04D6E423-18C7-42B2-A67D-F49D8E62B571}">
            <xm:f>$AY$4='Data entry'!$R56</xm:f>
            <x14:dxf>
              <fill>
                <patternFill>
                  <bgColor rgb="FFFFFF00"/>
                </patternFill>
              </fill>
            </x14:dxf>
          </x14:cfRule>
          <xm:sqref>AK155:AY155</xm:sqref>
        </x14:conditionalFormatting>
        <x14:conditionalFormatting xmlns:xm="http://schemas.microsoft.com/office/excel/2006/main">
          <x14:cfRule type="expression" priority="4699710" id="{A931C203-6E4B-4EBD-A2F4-1876881F48D4}">
            <xm:f>$AZ$4='Data entry'!$R56</xm:f>
            <x14:dxf>
              <fill>
                <patternFill>
                  <bgColor rgb="FFFF0000"/>
                </patternFill>
              </fill>
            </x14:dxf>
          </x14:cfRule>
          <xm:sqref>AX156:BJ156</xm:sqref>
        </x14:conditionalFormatting>
        <x14:conditionalFormatting xmlns:xm="http://schemas.microsoft.com/office/excel/2006/main">
          <x14:cfRule type="expression" priority="4699711" id="{092D9100-E652-40FE-8CAA-720DC0681250}">
            <xm:f>$AZ$4='Data entry'!$R56</xm:f>
            <x14:dxf>
              <fill>
                <patternFill>
                  <bgColor rgb="FFFFFF00"/>
                </patternFill>
              </fill>
            </x14:dxf>
          </x14:cfRule>
          <xm:sqref>AL155:AZ155</xm:sqref>
        </x14:conditionalFormatting>
        <x14:conditionalFormatting xmlns:xm="http://schemas.microsoft.com/office/excel/2006/main">
          <x14:cfRule type="expression" priority="4699712" id="{A3C7E6BE-A225-483C-A983-A915DB662C52}">
            <xm:f>$BA$4='Data entry'!$R56</xm:f>
            <x14:dxf>
              <fill>
                <patternFill>
                  <bgColor rgb="FFFF0000"/>
                </patternFill>
              </fill>
            </x14:dxf>
          </x14:cfRule>
          <xm:sqref>AY156:BK156</xm:sqref>
        </x14:conditionalFormatting>
        <x14:conditionalFormatting xmlns:xm="http://schemas.microsoft.com/office/excel/2006/main">
          <x14:cfRule type="expression" priority="4699713" id="{F5CF569A-8AFA-4CFF-8BD3-F04D8927A99F}">
            <xm:f>$BA$4='Data entry'!$R56</xm:f>
            <x14:dxf>
              <fill>
                <patternFill>
                  <bgColor rgb="FFFFFF00"/>
                </patternFill>
              </fill>
            </x14:dxf>
          </x14:cfRule>
          <xm:sqref>AM155:BA155</xm:sqref>
        </x14:conditionalFormatting>
        <x14:conditionalFormatting xmlns:xm="http://schemas.microsoft.com/office/excel/2006/main">
          <x14:cfRule type="expression" priority="4699714" id="{E4DAC94A-7983-4BFB-A87B-45B58561841A}">
            <xm:f>$BB$4='Data entry'!$R56</xm:f>
            <x14:dxf>
              <fill>
                <patternFill>
                  <bgColor rgb="FFFF0000"/>
                </patternFill>
              </fill>
            </x14:dxf>
          </x14:cfRule>
          <xm:sqref>AZ156:BL156</xm:sqref>
        </x14:conditionalFormatting>
        <x14:conditionalFormatting xmlns:xm="http://schemas.microsoft.com/office/excel/2006/main">
          <x14:cfRule type="expression" priority="4699715" id="{E63849C5-F39B-4B0E-8F8A-B532EDF2CBAE}">
            <xm:f>$BB$4='Data entry'!$R56</xm:f>
            <x14:dxf>
              <fill>
                <patternFill>
                  <bgColor rgb="FFFFFF00"/>
                </patternFill>
              </fill>
            </x14:dxf>
          </x14:cfRule>
          <xm:sqref>AN155:BB155</xm:sqref>
        </x14:conditionalFormatting>
        <x14:conditionalFormatting xmlns:xm="http://schemas.microsoft.com/office/excel/2006/main">
          <x14:cfRule type="expression" priority="4699716" id="{4FDC32D3-C1F5-455D-9AA4-A03359B72526}">
            <xm:f>$BC$4='Data entry'!$R56</xm:f>
            <x14:dxf>
              <fill>
                <patternFill>
                  <bgColor rgb="FFFF0000"/>
                </patternFill>
              </fill>
            </x14:dxf>
          </x14:cfRule>
          <xm:sqref>BA156:BM156</xm:sqref>
        </x14:conditionalFormatting>
        <x14:conditionalFormatting xmlns:xm="http://schemas.microsoft.com/office/excel/2006/main">
          <x14:cfRule type="expression" priority="4699717" id="{5F0D0C60-B233-4C56-B05D-98C99990877F}">
            <xm:f>$BC$4='Data entry'!$R56</xm:f>
            <x14:dxf>
              <fill>
                <patternFill>
                  <bgColor rgb="FFFFFF00"/>
                </patternFill>
              </fill>
            </x14:dxf>
          </x14:cfRule>
          <xm:sqref>AO155:BC155</xm:sqref>
        </x14:conditionalFormatting>
        <x14:conditionalFormatting xmlns:xm="http://schemas.microsoft.com/office/excel/2006/main">
          <x14:cfRule type="expression" priority="4699718" id="{9EBCB60F-8135-43B6-A0F3-548D4092CC98}">
            <xm:f>$BD$4='Data entry'!$R56</xm:f>
            <x14:dxf>
              <fill>
                <patternFill>
                  <bgColor rgb="FFFF0000"/>
                </patternFill>
              </fill>
            </x14:dxf>
          </x14:cfRule>
          <xm:sqref>BB156:BN156</xm:sqref>
        </x14:conditionalFormatting>
        <x14:conditionalFormatting xmlns:xm="http://schemas.microsoft.com/office/excel/2006/main">
          <x14:cfRule type="expression" priority="4699719" id="{961AF346-4A73-41ED-9A8D-27D431B09C05}">
            <xm:f>$BD$4='Data entry'!$R56</xm:f>
            <x14:dxf>
              <fill>
                <patternFill>
                  <bgColor rgb="FFFFFF00"/>
                </patternFill>
              </fill>
            </x14:dxf>
          </x14:cfRule>
          <xm:sqref>AP155:BD155</xm:sqref>
        </x14:conditionalFormatting>
        <x14:conditionalFormatting xmlns:xm="http://schemas.microsoft.com/office/excel/2006/main">
          <x14:cfRule type="expression" priority="4699720" id="{5A887026-27CD-4F8C-8BA6-1E92704C1CA6}">
            <xm:f>$BE$4='Data entry'!$R56</xm:f>
            <x14:dxf>
              <fill>
                <patternFill>
                  <bgColor rgb="FFFF0000"/>
                </patternFill>
              </fill>
            </x14:dxf>
          </x14:cfRule>
          <xm:sqref>BC156:BO156</xm:sqref>
        </x14:conditionalFormatting>
        <x14:conditionalFormatting xmlns:xm="http://schemas.microsoft.com/office/excel/2006/main">
          <x14:cfRule type="expression" priority="4699721" id="{7F46217B-A1E9-4515-B31E-E756FCD7C6D9}">
            <xm:f>$BE$4='Data entry'!$R56</xm:f>
            <x14:dxf>
              <fill>
                <patternFill>
                  <bgColor rgb="FFFFFF00"/>
                </patternFill>
              </fill>
            </x14:dxf>
          </x14:cfRule>
          <xm:sqref>AP155:BE155</xm:sqref>
        </x14:conditionalFormatting>
        <x14:conditionalFormatting xmlns:xm="http://schemas.microsoft.com/office/excel/2006/main">
          <x14:cfRule type="expression" priority="4699722" id="{F4D9285C-8CA0-4EF1-943E-6A462D47CC77}">
            <xm:f>$BF$4='Data entry'!$R56</xm:f>
            <x14:dxf>
              <fill>
                <patternFill>
                  <bgColor rgb="FFFF0000"/>
                </patternFill>
              </fill>
            </x14:dxf>
          </x14:cfRule>
          <xm:sqref>BD156:BP156</xm:sqref>
        </x14:conditionalFormatting>
        <x14:conditionalFormatting xmlns:xm="http://schemas.microsoft.com/office/excel/2006/main">
          <x14:cfRule type="expression" priority="4699723" id="{B9E4407D-651D-4DC0-9D61-3271D62A65E9}">
            <xm:f>$BF$4='Data entry'!$R56</xm:f>
            <x14:dxf>
              <fill>
                <patternFill>
                  <bgColor rgb="FFFFFF00"/>
                </patternFill>
              </fill>
            </x14:dxf>
          </x14:cfRule>
          <xm:sqref>AR155:BF155</xm:sqref>
        </x14:conditionalFormatting>
        <x14:conditionalFormatting xmlns:xm="http://schemas.microsoft.com/office/excel/2006/main">
          <x14:cfRule type="expression" priority="4699724" id="{4CDC062F-DDFF-4556-B941-08F919727F69}">
            <xm:f>$BG$4='Data entry'!$R56</xm:f>
            <x14:dxf>
              <fill>
                <patternFill>
                  <bgColor rgb="FFFF0000"/>
                </patternFill>
              </fill>
            </x14:dxf>
          </x14:cfRule>
          <xm:sqref>BE156:BQ156</xm:sqref>
        </x14:conditionalFormatting>
        <x14:conditionalFormatting xmlns:xm="http://schemas.microsoft.com/office/excel/2006/main">
          <x14:cfRule type="expression" priority="4699725" id="{789184FA-9055-433B-8A1B-92C7ED59E81F}">
            <xm:f>$BG$4='Data entry'!$R56</xm:f>
            <x14:dxf>
              <fill>
                <patternFill>
                  <bgColor rgb="FFFFFF00"/>
                </patternFill>
              </fill>
            </x14:dxf>
          </x14:cfRule>
          <xm:sqref>AS155:BG155</xm:sqref>
        </x14:conditionalFormatting>
        <x14:conditionalFormatting xmlns:xm="http://schemas.microsoft.com/office/excel/2006/main">
          <x14:cfRule type="expression" priority="4699726" id="{58651E5C-09C9-46C1-B95C-E8A578A49E15}">
            <xm:f>$BH$4='Data entry'!$R56</xm:f>
            <x14:dxf>
              <fill>
                <patternFill>
                  <bgColor rgb="FFFFFF00"/>
                </patternFill>
              </fill>
            </x14:dxf>
          </x14:cfRule>
          <xm:sqref>AT155:BH155</xm:sqref>
        </x14:conditionalFormatting>
        <x14:conditionalFormatting xmlns:xm="http://schemas.microsoft.com/office/excel/2006/main">
          <x14:cfRule type="expression" priority="4699727" id="{97B30B86-8311-4DC0-A533-8C0D53F37839}">
            <xm:f>$BH$4='Data entry'!$R56</xm:f>
            <x14:dxf>
              <fill>
                <patternFill>
                  <bgColor rgb="FFFF0000"/>
                </patternFill>
              </fill>
            </x14:dxf>
          </x14:cfRule>
          <xm:sqref>BF156:BR156</xm:sqref>
        </x14:conditionalFormatting>
        <x14:conditionalFormatting xmlns:xm="http://schemas.microsoft.com/office/excel/2006/main">
          <x14:cfRule type="expression" priority="4699728" id="{78344C0C-5AEA-40B1-A20C-6D77DF58E1F5}">
            <xm:f>$BI$4='Data entry'!$R56</xm:f>
            <x14:dxf>
              <fill>
                <patternFill>
                  <bgColor rgb="FFFFFF00"/>
                </patternFill>
              </fill>
            </x14:dxf>
          </x14:cfRule>
          <xm:sqref>AU155:BI155</xm:sqref>
        </x14:conditionalFormatting>
        <x14:conditionalFormatting xmlns:xm="http://schemas.microsoft.com/office/excel/2006/main">
          <x14:cfRule type="expression" priority="4699729" id="{A9CE044F-482E-4F25-B28F-89ACC58502B1}">
            <xm:f>$BI$4='Data entry'!$R56</xm:f>
            <x14:dxf>
              <fill>
                <patternFill>
                  <bgColor rgb="FFFF0000"/>
                </patternFill>
              </fill>
            </x14:dxf>
          </x14:cfRule>
          <xm:sqref>BG156:BS156</xm:sqref>
        </x14:conditionalFormatting>
        <x14:conditionalFormatting xmlns:xm="http://schemas.microsoft.com/office/excel/2006/main">
          <x14:cfRule type="expression" priority="4699730" id="{F63BE0EB-3C71-4456-BEF0-11180AB7A8BB}">
            <xm:f>$BJ$4='Data entry'!$R56</xm:f>
            <x14:dxf>
              <fill>
                <patternFill>
                  <bgColor rgb="FFFFFF00"/>
                </patternFill>
              </fill>
            </x14:dxf>
          </x14:cfRule>
          <xm:sqref>AV155:BJ155</xm:sqref>
        </x14:conditionalFormatting>
        <x14:conditionalFormatting xmlns:xm="http://schemas.microsoft.com/office/excel/2006/main">
          <x14:cfRule type="expression" priority="4699731" id="{478A5DCB-1DAA-4497-A6CC-B4F01FB96D10}">
            <xm:f>$BJ$4='Data entry'!$R56</xm:f>
            <x14:dxf>
              <fill>
                <patternFill>
                  <bgColor rgb="FFFF0000"/>
                </patternFill>
              </fill>
            </x14:dxf>
          </x14:cfRule>
          <xm:sqref>BH156:BT156</xm:sqref>
        </x14:conditionalFormatting>
        <x14:conditionalFormatting xmlns:xm="http://schemas.microsoft.com/office/excel/2006/main">
          <x14:cfRule type="expression" priority="4699732" id="{CDE4AD5B-65A6-4FA4-9EC0-8D05F22312A9}">
            <xm:f>$BK$4='Data entry'!$R56</xm:f>
            <x14:dxf>
              <fill>
                <patternFill>
                  <bgColor rgb="FFFF0000"/>
                </patternFill>
              </fill>
            </x14:dxf>
          </x14:cfRule>
          <xm:sqref>BI156:BU156</xm:sqref>
        </x14:conditionalFormatting>
        <x14:conditionalFormatting xmlns:xm="http://schemas.microsoft.com/office/excel/2006/main">
          <x14:cfRule type="expression" priority="4699733" id="{AB32E790-6CD8-4D11-9A69-57D785FE4BBC}">
            <xm:f>$BK$4='Data entry'!$R56</xm:f>
            <x14:dxf>
              <fill>
                <patternFill>
                  <bgColor rgb="FFFFFF00"/>
                </patternFill>
              </fill>
            </x14:dxf>
          </x14:cfRule>
          <xm:sqref>AW155:BK155</xm:sqref>
        </x14:conditionalFormatting>
        <x14:conditionalFormatting xmlns:xm="http://schemas.microsoft.com/office/excel/2006/main">
          <x14:cfRule type="expression" priority="4699734" id="{99810EB9-805C-43D8-852A-EEECE7874CDB}">
            <xm:f>$BL$4='Data entry'!$R56</xm:f>
            <x14:dxf>
              <fill>
                <patternFill>
                  <bgColor rgb="FFFF0000"/>
                </patternFill>
              </fill>
            </x14:dxf>
          </x14:cfRule>
          <xm:sqref>BJ156:BV156</xm:sqref>
        </x14:conditionalFormatting>
        <x14:conditionalFormatting xmlns:xm="http://schemas.microsoft.com/office/excel/2006/main">
          <x14:cfRule type="expression" priority="4699735" id="{BF5F5475-4E46-479C-97A6-D5175F5D1803}">
            <xm:f>$BL$4='Data entry'!$R56</xm:f>
            <x14:dxf>
              <fill>
                <patternFill>
                  <bgColor rgb="FFFFFF00"/>
                </patternFill>
              </fill>
            </x14:dxf>
          </x14:cfRule>
          <xm:sqref>AX155:BL155</xm:sqref>
        </x14:conditionalFormatting>
        <x14:conditionalFormatting xmlns:xm="http://schemas.microsoft.com/office/excel/2006/main">
          <x14:cfRule type="expression" priority="4699736" id="{B86FDF2F-16C9-46B1-847E-7EA1A8A34B9D}">
            <xm:f>$BM$4='Data entry'!$R56</xm:f>
            <x14:dxf>
              <fill>
                <patternFill>
                  <bgColor rgb="FFFF0000"/>
                </patternFill>
              </fill>
            </x14:dxf>
          </x14:cfRule>
          <xm:sqref>BK156:BW156</xm:sqref>
        </x14:conditionalFormatting>
        <x14:conditionalFormatting xmlns:xm="http://schemas.microsoft.com/office/excel/2006/main">
          <x14:cfRule type="expression" priority="4699737" id="{72FD189F-4CED-400D-9FEF-21A328970A4D}">
            <xm:f>$BM$4='Data entry'!$R56</xm:f>
            <x14:dxf>
              <fill>
                <patternFill>
                  <bgColor rgb="FFFFFF00"/>
                </patternFill>
              </fill>
            </x14:dxf>
          </x14:cfRule>
          <xm:sqref>AY155:BM155</xm:sqref>
        </x14:conditionalFormatting>
        <x14:conditionalFormatting xmlns:xm="http://schemas.microsoft.com/office/excel/2006/main">
          <x14:cfRule type="expression" priority="4699738" id="{BBBBF859-D5A7-4F55-BFBF-8A77E3357590}">
            <xm:f>$BN$4='Data entry'!$R56</xm:f>
            <x14:dxf>
              <fill>
                <patternFill>
                  <bgColor rgb="FFFF0000"/>
                </patternFill>
              </fill>
            </x14:dxf>
          </x14:cfRule>
          <xm:sqref>BL156:BX156</xm:sqref>
        </x14:conditionalFormatting>
        <x14:conditionalFormatting xmlns:xm="http://schemas.microsoft.com/office/excel/2006/main">
          <x14:cfRule type="expression" priority="4699739" id="{50CB1D75-0FD5-4D24-92B1-E8A41DC6575C}">
            <xm:f>$BN$4='Data entry'!$R56</xm:f>
            <x14:dxf>
              <fill>
                <patternFill>
                  <bgColor rgb="FFFFFF00"/>
                </patternFill>
              </fill>
            </x14:dxf>
          </x14:cfRule>
          <xm:sqref>AZ155:BN155</xm:sqref>
        </x14:conditionalFormatting>
        <x14:conditionalFormatting xmlns:xm="http://schemas.microsoft.com/office/excel/2006/main">
          <x14:cfRule type="expression" priority="4699740" id="{9EF3226D-E8FC-496B-A6FF-71776AEA54D1}">
            <xm:f>$BO$4='Data entry'!$R56</xm:f>
            <x14:dxf>
              <fill>
                <patternFill>
                  <bgColor rgb="FFFF0000"/>
                </patternFill>
              </fill>
            </x14:dxf>
          </x14:cfRule>
          <xm:sqref>BM156:BY156</xm:sqref>
        </x14:conditionalFormatting>
        <x14:conditionalFormatting xmlns:xm="http://schemas.microsoft.com/office/excel/2006/main">
          <x14:cfRule type="expression" priority="4699741" id="{3B86C801-ECFE-4D05-8AA5-1581116BAFBC}">
            <xm:f>$BO$4='Data entry'!$R56</xm:f>
            <x14:dxf>
              <fill>
                <patternFill>
                  <bgColor rgb="FFFFFF00"/>
                </patternFill>
              </fill>
            </x14:dxf>
          </x14:cfRule>
          <xm:sqref>BA155:BO155</xm:sqref>
        </x14:conditionalFormatting>
        <x14:conditionalFormatting xmlns:xm="http://schemas.microsoft.com/office/excel/2006/main">
          <x14:cfRule type="expression" priority="4699742" id="{058A23EC-3371-4A02-9F20-1ECA603AC6BC}">
            <xm:f>$BP$4='Data entry'!$R56</xm:f>
            <x14:dxf>
              <fill>
                <patternFill>
                  <bgColor rgb="FFFF0000"/>
                </patternFill>
              </fill>
            </x14:dxf>
          </x14:cfRule>
          <xm:sqref>BN156:BZ156</xm:sqref>
        </x14:conditionalFormatting>
        <x14:conditionalFormatting xmlns:xm="http://schemas.microsoft.com/office/excel/2006/main">
          <x14:cfRule type="expression" priority="4699743" id="{3E711E31-3992-4555-AB22-87133D60CD15}">
            <xm:f>$BP$4='Data entry'!$R56</xm:f>
            <x14:dxf>
              <fill>
                <patternFill>
                  <bgColor rgb="FFFFFF00"/>
                </patternFill>
              </fill>
            </x14:dxf>
          </x14:cfRule>
          <xm:sqref>BB155:BP155</xm:sqref>
        </x14:conditionalFormatting>
        <x14:conditionalFormatting xmlns:xm="http://schemas.microsoft.com/office/excel/2006/main">
          <x14:cfRule type="expression" priority="4699744" id="{23E9F8B9-37D5-4730-9453-6F23E8ECBBE3}">
            <xm:f>$BQ$4='Data entry'!$R56</xm:f>
            <x14:dxf>
              <fill>
                <patternFill>
                  <bgColor rgb="FFFFFF00"/>
                </patternFill>
              </fill>
            </x14:dxf>
          </x14:cfRule>
          <xm:sqref>BC155:BQ155</xm:sqref>
        </x14:conditionalFormatting>
        <x14:conditionalFormatting xmlns:xm="http://schemas.microsoft.com/office/excel/2006/main">
          <x14:cfRule type="expression" priority="4699745" id="{BCFD92F6-AAD3-44FD-BC61-A292A81B883E}">
            <xm:f>$BQ$4='Data entry'!$R56</xm:f>
            <x14:dxf>
              <fill>
                <patternFill>
                  <bgColor rgb="FFFF0000"/>
                </patternFill>
              </fill>
            </x14:dxf>
          </x14:cfRule>
          <xm:sqref>BO156:CA156</xm:sqref>
        </x14:conditionalFormatting>
        <x14:conditionalFormatting xmlns:xm="http://schemas.microsoft.com/office/excel/2006/main">
          <x14:cfRule type="expression" priority="4699746" id="{357D60E5-F356-477E-8020-A18F42C02832}">
            <xm:f>$BR$4='Data entry'!$R56</xm:f>
            <x14:dxf>
              <fill>
                <patternFill>
                  <bgColor rgb="FFFFFF00"/>
                </patternFill>
              </fill>
            </x14:dxf>
          </x14:cfRule>
          <xm:sqref>BD155:BR155</xm:sqref>
        </x14:conditionalFormatting>
        <x14:conditionalFormatting xmlns:xm="http://schemas.microsoft.com/office/excel/2006/main">
          <x14:cfRule type="expression" priority="4699747" id="{DA2B6511-43B3-432D-B6AA-1DB1188B90A6}">
            <xm:f>$BR$4='Data entry'!$R56</xm:f>
            <x14:dxf>
              <fill>
                <patternFill>
                  <bgColor rgb="FFFF0000"/>
                </patternFill>
              </fill>
            </x14:dxf>
          </x14:cfRule>
          <xm:sqref>BP156:CB156</xm:sqref>
        </x14:conditionalFormatting>
        <x14:conditionalFormatting xmlns:xm="http://schemas.microsoft.com/office/excel/2006/main">
          <x14:cfRule type="expression" priority="4699748" id="{0D5F64E4-4136-4BFA-B833-CC8578525D9C}">
            <xm:f>$BS$4='Data entry'!$R56</xm:f>
            <x14:dxf>
              <fill>
                <patternFill>
                  <bgColor rgb="FFFFFF00"/>
                </patternFill>
              </fill>
            </x14:dxf>
          </x14:cfRule>
          <xm:sqref>BE155:BS155</xm:sqref>
        </x14:conditionalFormatting>
        <x14:conditionalFormatting xmlns:xm="http://schemas.microsoft.com/office/excel/2006/main">
          <x14:cfRule type="expression" priority="4699749" id="{AC94D468-F078-4AE2-8771-102996E07B09}">
            <xm:f>$BS$4='Data entry'!$R56</xm:f>
            <x14:dxf>
              <fill>
                <patternFill>
                  <bgColor rgb="FFFF0000"/>
                </patternFill>
              </fill>
            </x14:dxf>
          </x14:cfRule>
          <xm:sqref>BQ156:CC156</xm:sqref>
        </x14:conditionalFormatting>
        <x14:conditionalFormatting xmlns:xm="http://schemas.microsoft.com/office/excel/2006/main">
          <x14:cfRule type="expression" priority="4699750" id="{10E78F76-181E-4F19-9F89-7DD36D3EFE30}">
            <xm:f>$BT$4='Data entry'!$R56</xm:f>
            <x14:dxf>
              <fill>
                <patternFill>
                  <bgColor rgb="FFFFFF00"/>
                </patternFill>
              </fill>
            </x14:dxf>
          </x14:cfRule>
          <xm:sqref>BF155:BT155</xm:sqref>
        </x14:conditionalFormatting>
        <x14:conditionalFormatting xmlns:xm="http://schemas.microsoft.com/office/excel/2006/main">
          <x14:cfRule type="expression" priority="4699751" id="{6A5FADC6-9512-4EFB-90A5-7B5244D10D1F}">
            <xm:f>$BT$4='Data entry'!$R56</xm:f>
            <x14:dxf>
              <fill>
                <patternFill>
                  <bgColor rgb="FFFF0000"/>
                </patternFill>
              </fill>
            </x14:dxf>
          </x14:cfRule>
          <xm:sqref>BR156:CC156</xm:sqref>
        </x14:conditionalFormatting>
        <x14:conditionalFormatting xmlns:xm="http://schemas.microsoft.com/office/excel/2006/main">
          <x14:cfRule type="expression" priority="4699752" id="{A51139D1-8841-4B96-B8CB-DFE3808765CF}">
            <xm:f>$BU$4='Data entry'!$R56</xm:f>
            <x14:dxf>
              <fill>
                <patternFill>
                  <bgColor rgb="FFFFFF00"/>
                </patternFill>
              </fill>
            </x14:dxf>
          </x14:cfRule>
          <xm:sqref>BG155:BU155</xm:sqref>
        </x14:conditionalFormatting>
        <x14:conditionalFormatting xmlns:xm="http://schemas.microsoft.com/office/excel/2006/main">
          <x14:cfRule type="expression" priority="4699753" id="{55CA7258-760F-4BFF-ACB5-A70FEB3E7981}">
            <xm:f>$BU$4='Data entry'!$R56</xm:f>
            <x14:dxf>
              <fill>
                <patternFill>
                  <bgColor rgb="FFFF0000"/>
                </patternFill>
              </fill>
            </x14:dxf>
          </x14:cfRule>
          <xm:sqref>BS156:CC156</xm:sqref>
        </x14:conditionalFormatting>
        <x14:conditionalFormatting xmlns:xm="http://schemas.microsoft.com/office/excel/2006/main">
          <x14:cfRule type="expression" priority="4699754" id="{A922B218-64DB-4CBB-9AB8-FE0EBB44E09E}">
            <xm:f>$BV$4='Data entry'!$R56</xm:f>
            <x14:dxf>
              <fill>
                <patternFill>
                  <bgColor rgb="FFFFFF00"/>
                </patternFill>
              </fill>
            </x14:dxf>
          </x14:cfRule>
          <xm:sqref>BH155:BV155</xm:sqref>
        </x14:conditionalFormatting>
        <x14:conditionalFormatting xmlns:xm="http://schemas.microsoft.com/office/excel/2006/main">
          <x14:cfRule type="expression" priority="4699755" id="{C98E908A-CD31-4778-B41C-7AFB9DBE639A}">
            <xm:f>$BV$4='Data entry'!$R56</xm:f>
            <x14:dxf>
              <fill>
                <patternFill>
                  <bgColor rgb="FFFF0000"/>
                </patternFill>
              </fill>
            </x14:dxf>
          </x14:cfRule>
          <xm:sqref>BT156:CC156</xm:sqref>
        </x14:conditionalFormatting>
        <x14:conditionalFormatting xmlns:xm="http://schemas.microsoft.com/office/excel/2006/main">
          <x14:cfRule type="expression" priority="4699756" id="{465CCCA3-B4DB-4B61-8AC7-8A5E4CEC9E3F}">
            <xm:f>$BW$4='Data entry'!$R56</xm:f>
            <x14:dxf>
              <fill>
                <patternFill>
                  <bgColor rgb="FFFFFF00"/>
                </patternFill>
              </fill>
            </x14:dxf>
          </x14:cfRule>
          <xm:sqref>BI155:BW155</xm:sqref>
        </x14:conditionalFormatting>
        <x14:conditionalFormatting xmlns:xm="http://schemas.microsoft.com/office/excel/2006/main">
          <x14:cfRule type="expression" priority="4699757" id="{37566F97-6D06-400B-A709-FE657B07687F}">
            <xm:f>$BW$4='Data entry'!$R56</xm:f>
            <x14:dxf>
              <fill>
                <patternFill>
                  <bgColor rgb="FFFF0000"/>
                </patternFill>
              </fill>
            </x14:dxf>
          </x14:cfRule>
          <xm:sqref>BU156:CC156</xm:sqref>
        </x14:conditionalFormatting>
        <x14:conditionalFormatting xmlns:xm="http://schemas.microsoft.com/office/excel/2006/main">
          <x14:cfRule type="expression" priority="4699758" id="{D8FBA3AC-5CF0-4E45-97CA-1D4DEE729ADA}">
            <xm:f>$BX$4='Data entry'!$R56</xm:f>
            <x14:dxf>
              <fill>
                <patternFill>
                  <bgColor rgb="FFFFFF00"/>
                </patternFill>
              </fill>
            </x14:dxf>
          </x14:cfRule>
          <xm:sqref>BJ155:BX155</xm:sqref>
        </x14:conditionalFormatting>
        <x14:conditionalFormatting xmlns:xm="http://schemas.microsoft.com/office/excel/2006/main">
          <x14:cfRule type="expression" priority="4699759" id="{E077C84B-A94F-431D-B232-4AFCC7C64F54}">
            <xm:f>$BX$4='Data entry'!$R56</xm:f>
            <x14:dxf>
              <fill>
                <patternFill>
                  <bgColor rgb="FFFF0000"/>
                </patternFill>
              </fill>
            </x14:dxf>
          </x14:cfRule>
          <xm:sqref>BV156:CC156</xm:sqref>
        </x14:conditionalFormatting>
        <x14:conditionalFormatting xmlns:xm="http://schemas.microsoft.com/office/excel/2006/main">
          <x14:cfRule type="expression" priority="4699760" id="{63783BA8-0C97-4A44-86FD-7A2BCF1B9957}">
            <xm:f>$BY$4='Data entry'!$R56</xm:f>
            <x14:dxf>
              <fill>
                <patternFill>
                  <bgColor rgb="FFFFFF00"/>
                </patternFill>
              </fill>
            </x14:dxf>
          </x14:cfRule>
          <xm:sqref>BK155:BY155</xm:sqref>
        </x14:conditionalFormatting>
        <x14:conditionalFormatting xmlns:xm="http://schemas.microsoft.com/office/excel/2006/main">
          <x14:cfRule type="expression" priority="4699761" id="{BB8DB8B4-B71B-46D2-AEE7-346F16103F74}">
            <xm:f>$BY$4='Data entry'!$R56</xm:f>
            <x14:dxf>
              <fill>
                <patternFill>
                  <bgColor rgb="FFFF0000"/>
                </patternFill>
              </fill>
            </x14:dxf>
          </x14:cfRule>
          <xm:sqref>BW156:CC156</xm:sqref>
        </x14:conditionalFormatting>
        <x14:conditionalFormatting xmlns:xm="http://schemas.microsoft.com/office/excel/2006/main">
          <x14:cfRule type="expression" priority="4699762" id="{1B638B98-2B06-4FEB-90C1-446A3E0A3979}">
            <xm:f>$BZ$4='Data entry'!$R56</xm:f>
            <x14:dxf>
              <fill>
                <patternFill>
                  <bgColor rgb="FFFFFF00"/>
                </patternFill>
              </fill>
            </x14:dxf>
          </x14:cfRule>
          <xm:sqref>BL155:BZ155</xm:sqref>
        </x14:conditionalFormatting>
        <x14:conditionalFormatting xmlns:xm="http://schemas.microsoft.com/office/excel/2006/main">
          <x14:cfRule type="expression" priority="4699763" id="{D3A0A2F8-D1B2-4DC5-B2A9-0EF53074E685}">
            <xm:f>$BZ$4='Data entry'!$R56</xm:f>
            <x14:dxf>
              <fill>
                <patternFill>
                  <bgColor rgb="FFFF0000"/>
                </patternFill>
              </fill>
            </x14:dxf>
          </x14:cfRule>
          <xm:sqref>BX156:CC156</xm:sqref>
        </x14:conditionalFormatting>
        <x14:conditionalFormatting xmlns:xm="http://schemas.microsoft.com/office/excel/2006/main">
          <x14:cfRule type="expression" priority="4699764" id="{83F6D018-7D3B-4D33-9998-11572F2F2FF5}">
            <xm:f>$CA$4='Data entry'!$R56</xm:f>
            <x14:dxf>
              <fill>
                <patternFill>
                  <bgColor rgb="FFFFFF00"/>
                </patternFill>
              </fill>
            </x14:dxf>
          </x14:cfRule>
          <xm:sqref>BM155:CA155</xm:sqref>
        </x14:conditionalFormatting>
        <x14:conditionalFormatting xmlns:xm="http://schemas.microsoft.com/office/excel/2006/main">
          <x14:cfRule type="expression" priority="4699765" id="{8E6D0B51-5626-4ED9-9072-C7A2C139704F}">
            <xm:f>$CA$4='Data entry'!$R56</xm:f>
            <x14:dxf>
              <fill>
                <patternFill>
                  <bgColor rgb="FFFF0000"/>
                </patternFill>
              </fill>
            </x14:dxf>
          </x14:cfRule>
          <xm:sqref>BY156:CC156</xm:sqref>
        </x14:conditionalFormatting>
        <x14:conditionalFormatting xmlns:xm="http://schemas.microsoft.com/office/excel/2006/main">
          <x14:cfRule type="expression" priority="4699766" id="{E1886EE4-3BDE-43A9-9F4B-79377FEC37FE}">
            <xm:f>$CB$4='Data entry'!$R56</xm:f>
            <x14:dxf>
              <fill>
                <patternFill>
                  <bgColor rgb="FFFFFF00"/>
                </patternFill>
              </fill>
            </x14:dxf>
          </x14:cfRule>
          <xm:sqref>BN155:CB155</xm:sqref>
        </x14:conditionalFormatting>
        <x14:conditionalFormatting xmlns:xm="http://schemas.microsoft.com/office/excel/2006/main">
          <x14:cfRule type="expression" priority="4699767" id="{ADEF572A-6C18-4602-BB86-01C96D36E07E}">
            <xm:f>$CB$4='Data entry'!$R56</xm:f>
            <x14:dxf>
              <fill>
                <patternFill>
                  <bgColor rgb="FFFF0000"/>
                </patternFill>
              </fill>
            </x14:dxf>
          </x14:cfRule>
          <xm:sqref>BZ156:CC156</xm:sqref>
        </x14:conditionalFormatting>
        <x14:conditionalFormatting xmlns:xm="http://schemas.microsoft.com/office/excel/2006/main">
          <x14:cfRule type="expression" priority="4699768" id="{7984E1C9-E073-4955-8543-62145CB6D008}">
            <xm:f>$CC$4='Data entry'!$R56</xm:f>
            <x14:dxf>
              <fill>
                <patternFill>
                  <bgColor rgb="FFFFFF00"/>
                </patternFill>
              </fill>
            </x14:dxf>
          </x14:cfRule>
          <xm:sqref>BO155:CC155</xm:sqref>
        </x14:conditionalFormatting>
        <x14:conditionalFormatting xmlns:xm="http://schemas.microsoft.com/office/excel/2006/main">
          <x14:cfRule type="expression" priority="4699769" id="{18A957B3-59FA-4698-BA92-2A208FF18E2F}">
            <xm:f>$CC$4='Data entry'!$R56</xm:f>
            <x14:dxf>
              <fill>
                <patternFill>
                  <bgColor rgb="FFFF0000"/>
                </patternFill>
              </fill>
            </x14:dxf>
          </x14:cfRule>
          <xm:sqref>CA156:CC156</xm:sqref>
        </x14:conditionalFormatting>
        <x14:conditionalFormatting xmlns:xm="http://schemas.microsoft.com/office/excel/2006/main">
          <x14:cfRule type="expression" priority="4699856" id="{5B0DB825-B7C2-40AC-B7EF-F267F054CFB9}">
            <xm:f>$U$4='Data entry'!$R57</xm:f>
            <x14:dxf>
              <fill>
                <patternFill>
                  <bgColor rgb="FFFF0000"/>
                </patternFill>
              </fill>
            </x14:dxf>
          </x14:cfRule>
          <xm:sqref>S159:AE159</xm:sqref>
        </x14:conditionalFormatting>
        <x14:conditionalFormatting xmlns:xm="http://schemas.microsoft.com/office/excel/2006/main">
          <x14:cfRule type="expression" priority="4699857" id="{18311200-E2BB-400F-B594-3B9A2C6068C2}">
            <xm:f>$V$4='Data entry'!$R57</xm:f>
            <x14:dxf>
              <fill>
                <patternFill>
                  <bgColor rgb="FFFF0000"/>
                </patternFill>
              </fill>
            </x14:dxf>
          </x14:cfRule>
          <xm:sqref>T159:AF159</xm:sqref>
        </x14:conditionalFormatting>
        <x14:conditionalFormatting xmlns:xm="http://schemas.microsoft.com/office/excel/2006/main">
          <x14:cfRule type="expression" priority="4699858" id="{D6DFB621-1A58-4C59-A987-ECAD0EB2D32B}">
            <xm:f>$V$4='Data entry'!$R57</xm:f>
            <x14:dxf>
              <fill>
                <patternFill>
                  <bgColor rgb="FFFFFF00"/>
                </patternFill>
              </fill>
            </x14:dxf>
          </x14:cfRule>
          <xm:sqref>H158:V158</xm:sqref>
        </x14:conditionalFormatting>
        <x14:conditionalFormatting xmlns:xm="http://schemas.microsoft.com/office/excel/2006/main">
          <x14:cfRule type="expression" priority="4699859" id="{5F87A680-DC5F-433D-A779-B7A534ACCDA9}">
            <xm:f>$W$4='Data entry'!$R57</xm:f>
            <x14:dxf>
              <fill>
                <patternFill>
                  <bgColor rgb="FFFF0000"/>
                </patternFill>
              </fill>
            </x14:dxf>
          </x14:cfRule>
          <xm:sqref>U159:AG159</xm:sqref>
        </x14:conditionalFormatting>
        <x14:conditionalFormatting xmlns:xm="http://schemas.microsoft.com/office/excel/2006/main">
          <x14:cfRule type="expression" priority="4699860" id="{964539FF-A92C-4F68-B268-B7157A32678C}">
            <xm:f>$W$4='Data entry'!$R57</xm:f>
            <x14:dxf>
              <fill>
                <patternFill>
                  <bgColor rgb="FFFFFF00"/>
                </patternFill>
              </fill>
            </x14:dxf>
          </x14:cfRule>
          <xm:sqref>I158:W158</xm:sqref>
        </x14:conditionalFormatting>
        <x14:conditionalFormatting xmlns:xm="http://schemas.microsoft.com/office/excel/2006/main">
          <x14:cfRule type="expression" priority="4699861" id="{46C1533A-F090-4A90-9309-3F59EC3FD3B0}">
            <xm:f>$X$4='Data entry'!$R57</xm:f>
            <x14:dxf>
              <fill>
                <patternFill>
                  <bgColor rgb="FFFF0000"/>
                </patternFill>
              </fill>
            </x14:dxf>
          </x14:cfRule>
          <xm:sqref>V159:AH159</xm:sqref>
        </x14:conditionalFormatting>
        <x14:conditionalFormatting xmlns:xm="http://schemas.microsoft.com/office/excel/2006/main">
          <x14:cfRule type="expression" priority="4699862" id="{7C70E81C-DDD4-4D75-933A-4F6A39893184}">
            <xm:f>$X$4='Data entry'!$R57</xm:f>
            <x14:dxf>
              <fill>
                <patternFill>
                  <bgColor rgb="FFFFFF00"/>
                </patternFill>
              </fill>
            </x14:dxf>
          </x14:cfRule>
          <xm:sqref>J158:X158</xm:sqref>
        </x14:conditionalFormatting>
        <x14:conditionalFormatting xmlns:xm="http://schemas.microsoft.com/office/excel/2006/main">
          <x14:cfRule type="expression" priority="4699863" id="{561AF073-0EF8-4B72-A119-40A639C4359D}">
            <xm:f>$Y$4='Data entry'!$R57</xm:f>
            <x14:dxf>
              <fill>
                <patternFill>
                  <bgColor rgb="FFFF0000"/>
                </patternFill>
              </fill>
            </x14:dxf>
          </x14:cfRule>
          <xm:sqref>W159:AI159</xm:sqref>
        </x14:conditionalFormatting>
        <x14:conditionalFormatting xmlns:xm="http://schemas.microsoft.com/office/excel/2006/main">
          <x14:cfRule type="expression" priority="4699864" id="{F242E808-8F07-4A89-9524-7D4C767CE357}">
            <xm:f>$Y$4='Data entry'!$R57</xm:f>
            <x14:dxf>
              <fill>
                <patternFill>
                  <bgColor rgb="FFFFFF00"/>
                </patternFill>
              </fill>
            </x14:dxf>
          </x14:cfRule>
          <xm:sqref>K158:Y158</xm:sqref>
        </x14:conditionalFormatting>
        <x14:conditionalFormatting xmlns:xm="http://schemas.microsoft.com/office/excel/2006/main">
          <x14:cfRule type="expression" priority="4699865" id="{DD601058-982B-4218-BD9D-64BB823C2633}">
            <xm:f>$Z$4='Data entry'!$R57</xm:f>
            <x14:dxf>
              <fill>
                <patternFill>
                  <bgColor rgb="FFFF0000"/>
                </patternFill>
              </fill>
            </x14:dxf>
          </x14:cfRule>
          <xm:sqref>X159:AJ159</xm:sqref>
        </x14:conditionalFormatting>
        <x14:conditionalFormatting xmlns:xm="http://schemas.microsoft.com/office/excel/2006/main">
          <x14:cfRule type="expression" priority="4699866" id="{C9DB141D-79F6-4093-92A3-7BF7A1622985}">
            <xm:f>$Z$4='Data entry'!$R57</xm:f>
            <x14:dxf>
              <fill>
                <patternFill>
                  <bgColor rgb="FFFFFF00"/>
                </patternFill>
              </fill>
            </x14:dxf>
          </x14:cfRule>
          <xm:sqref>L158:Z158</xm:sqref>
        </x14:conditionalFormatting>
        <x14:conditionalFormatting xmlns:xm="http://schemas.microsoft.com/office/excel/2006/main">
          <x14:cfRule type="expression" priority="4699867" id="{710EB8D3-F5C0-4E3C-8214-2D0C4E26F649}">
            <xm:f>$AA$4='Data entry'!$R57</xm:f>
            <x14:dxf>
              <fill>
                <patternFill>
                  <bgColor rgb="FFFF0000"/>
                </patternFill>
              </fill>
            </x14:dxf>
          </x14:cfRule>
          <xm:sqref>Y159:AK159</xm:sqref>
        </x14:conditionalFormatting>
        <x14:conditionalFormatting xmlns:xm="http://schemas.microsoft.com/office/excel/2006/main">
          <x14:cfRule type="expression" priority="4699868" id="{33825D69-C967-4D27-B395-5D44A3083802}">
            <xm:f>$AA$4='Data entry'!$R57</xm:f>
            <x14:dxf>
              <fill>
                <patternFill>
                  <bgColor rgb="FFFFFF00"/>
                </patternFill>
              </fill>
            </x14:dxf>
          </x14:cfRule>
          <xm:sqref>M158:AA158</xm:sqref>
        </x14:conditionalFormatting>
        <x14:conditionalFormatting xmlns:xm="http://schemas.microsoft.com/office/excel/2006/main">
          <x14:cfRule type="expression" priority="4699869" id="{9811A97D-351B-4D32-8754-AF433277E62B}">
            <xm:f>$AB$4='Data entry'!$R57</xm:f>
            <x14:dxf>
              <fill>
                <patternFill>
                  <bgColor rgb="FFFF0000"/>
                </patternFill>
              </fill>
            </x14:dxf>
          </x14:cfRule>
          <xm:sqref>Z159:AL159</xm:sqref>
        </x14:conditionalFormatting>
        <x14:conditionalFormatting xmlns:xm="http://schemas.microsoft.com/office/excel/2006/main">
          <x14:cfRule type="expression" priority="4699870" id="{6DD3E556-C72E-438B-92DA-3096ED1E4178}">
            <xm:f>$AB$4='Data entry'!$R57</xm:f>
            <x14:dxf>
              <fill>
                <patternFill>
                  <bgColor rgb="FFFFFF00"/>
                </patternFill>
              </fill>
            </x14:dxf>
          </x14:cfRule>
          <xm:sqref>N158:AB158</xm:sqref>
        </x14:conditionalFormatting>
        <x14:conditionalFormatting xmlns:xm="http://schemas.microsoft.com/office/excel/2006/main">
          <x14:cfRule type="expression" priority="4699871" id="{C0DF7A1B-D6BC-4371-BD3A-F0708147FA1C}">
            <xm:f>$AC$4='Data entry'!$R57</xm:f>
            <x14:dxf>
              <fill>
                <patternFill>
                  <bgColor rgb="FFFF0000"/>
                </patternFill>
              </fill>
            </x14:dxf>
          </x14:cfRule>
          <xm:sqref>AA159:AM159</xm:sqref>
        </x14:conditionalFormatting>
        <x14:conditionalFormatting xmlns:xm="http://schemas.microsoft.com/office/excel/2006/main">
          <x14:cfRule type="expression" priority="4699872" id="{DB2E1F48-AF0E-41F9-A976-6B1963CA5711}">
            <xm:f>$AC$4='Data entry'!$R57</xm:f>
            <x14:dxf>
              <fill>
                <patternFill>
                  <bgColor rgb="FFFFFF00"/>
                </patternFill>
              </fill>
            </x14:dxf>
          </x14:cfRule>
          <xm:sqref>O158:AC158</xm:sqref>
        </x14:conditionalFormatting>
        <x14:conditionalFormatting xmlns:xm="http://schemas.microsoft.com/office/excel/2006/main">
          <x14:cfRule type="expression" priority="4699873" id="{89909907-F9A9-4AF9-BC1D-304710A43F50}">
            <xm:f>$AD$4='Data entry'!$R57</xm:f>
            <x14:dxf>
              <fill>
                <patternFill>
                  <bgColor rgb="FFFF0000"/>
                </patternFill>
              </fill>
            </x14:dxf>
          </x14:cfRule>
          <xm:sqref>AB159:AN159</xm:sqref>
        </x14:conditionalFormatting>
        <x14:conditionalFormatting xmlns:xm="http://schemas.microsoft.com/office/excel/2006/main">
          <x14:cfRule type="expression" priority="4699874" id="{729676B7-E331-43A4-ACC9-850DCEE76A0E}">
            <xm:f>$AD$4='Data entry'!$R57</xm:f>
            <x14:dxf>
              <fill>
                <patternFill>
                  <bgColor rgb="FFFFFF00"/>
                </patternFill>
              </fill>
            </x14:dxf>
          </x14:cfRule>
          <xm:sqref>P158:AD158</xm:sqref>
        </x14:conditionalFormatting>
        <x14:conditionalFormatting xmlns:xm="http://schemas.microsoft.com/office/excel/2006/main">
          <x14:cfRule type="expression" priority="4699875" id="{00DA2C55-350E-44AA-ABEA-808FABFDA737}">
            <xm:f>$AE$4='Data entry'!$R57</xm:f>
            <x14:dxf>
              <fill>
                <patternFill>
                  <bgColor rgb="FFFF0000"/>
                </patternFill>
              </fill>
            </x14:dxf>
          </x14:cfRule>
          <xm:sqref>AC159:AO159</xm:sqref>
        </x14:conditionalFormatting>
        <x14:conditionalFormatting xmlns:xm="http://schemas.microsoft.com/office/excel/2006/main">
          <x14:cfRule type="expression" priority="4699876" id="{373C95F1-00C1-45E9-B561-5224945BA4A4}">
            <xm:f>$AE$4='Data entry'!$R57</xm:f>
            <x14:dxf>
              <fill>
                <patternFill>
                  <bgColor rgb="FFFFFF00"/>
                </patternFill>
              </fill>
            </x14:dxf>
          </x14:cfRule>
          <xm:sqref>Q158:AE158</xm:sqref>
        </x14:conditionalFormatting>
        <x14:conditionalFormatting xmlns:xm="http://schemas.microsoft.com/office/excel/2006/main">
          <x14:cfRule type="expression" priority="4699877" id="{65E90E74-6BEF-4B00-BD5E-ECACFEBC225A}">
            <xm:f>$AF$4='Data entry'!$R57</xm:f>
            <x14:dxf>
              <fill>
                <patternFill>
                  <bgColor rgb="FFFF0000"/>
                </patternFill>
              </fill>
            </x14:dxf>
          </x14:cfRule>
          <xm:sqref>AD159:AP159</xm:sqref>
        </x14:conditionalFormatting>
        <x14:conditionalFormatting xmlns:xm="http://schemas.microsoft.com/office/excel/2006/main">
          <x14:cfRule type="expression" priority="4699878" id="{56B519D7-E083-4811-B42B-D6CB10D44BB3}">
            <xm:f>$AF$4='Data entry'!$R57</xm:f>
            <x14:dxf>
              <fill>
                <patternFill>
                  <bgColor rgb="FFFFFF00"/>
                </patternFill>
              </fill>
            </x14:dxf>
          </x14:cfRule>
          <xm:sqref>R158:AF158</xm:sqref>
        </x14:conditionalFormatting>
        <x14:conditionalFormatting xmlns:xm="http://schemas.microsoft.com/office/excel/2006/main">
          <x14:cfRule type="expression" priority="4699879" id="{889682B6-BF9B-414B-86B7-1C802156B058}">
            <xm:f>$AG$4='Data entry'!$R57</xm:f>
            <x14:dxf>
              <fill>
                <patternFill>
                  <bgColor rgb="FFFF0000"/>
                </patternFill>
              </fill>
            </x14:dxf>
          </x14:cfRule>
          <xm:sqref>AE159:AQ159</xm:sqref>
        </x14:conditionalFormatting>
        <x14:conditionalFormatting xmlns:xm="http://schemas.microsoft.com/office/excel/2006/main">
          <x14:cfRule type="expression" priority="4699880" id="{19913D88-1940-4CB0-B29C-D46D60833BD5}">
            <xm:f>$AG$4='Data entry'!$R57</xm:f>
            <x14:dxf>
              <fill>
                <patternFill>
                  <bgColor rgb="FFFFFF00"/>
                </patternFill>
              </fill>
            </x14:dxf>
          </x14:cfRule>
          <xm:sqref>S158:AG158</xm:sqref>
        </x14:conditionalFormatting>
        <x14:conditionalFormatting xmlns:xm="http://schemas.microsoft.com/office/excel/2006/main">
          <x14:cfRule type="expression" priority="4699881" id="{3DD7B9A5-18A3-463F-BAD5-9796FC487328}">
            <xm:f>$AH$4='Data entry'!$R57</xm:f>
            <x14:dxf>
              <fill>
                <patternFill>
                  <bgColor rgb="FFFF0000"/>
                </patternFill>
              </fill>
            </x14:dxf>
          </x14:cfRule>
          <xm:sqref>AF159:AR159</xm:sqref>
        </x14:conditionalFormatting>
        <x14:conditionalFormatting xmlns:xm="http://schemas.microsoft.com/office/excel/2006/main">
          <x14:cfRule type="expression" priority="4699882" id="{31005CF4-5608-496E-91EB-F7F505046C80}">
            <xm:f>$AH$4='Data entry'!$R57</xm:f>
            <x14:dxf>
              <fill>
                <patternFill>
                  <bgColor rgb="FFFFFF00"/>
                </patternFill>
              </fill>
            </x14:dxf>
          </x14:cfRule>
          <xm:sqref>T158:AH158</xm:sqref>
        </x14:conditionalFormatting>
        <x14:conditionalFormatting xmlns:xm="http://schemas.microsoft.com/office/excel/2006/main">
          <x14:cfRule type="expression" priority="4699883" id="{CD14F654-5B7A-444F-8FC1-7DD71E76E475}">
            <xm:f>$AI$4='Data entry'!$R57</xm:f>
            <x14:dxf>
              <fill>
                <patternFill>
                  <bgColor rgb="FFFF0000"/>
                </patternFill>
              </fill>
            </x14:dxf>
          </x14:cfRule>
          <xm:sqref>AG159:AS159</xm:sqref>
        </x14:conditionalFormatting>
        <x14:conditionalFormatting xmlns:xm="http://schemas.microsoft.com/office/excel/2006/main">
          <x14:cfRule type="expression" priority="4699884" id="{0E4E448C-6C46-4285-B877-A61A90294385}">
            <xm:f>$AI$4='Data entry'!$R57</xm:f>
            <x14:dxf>
              <fill>
                <patternFill>
                  <bgColor rgb="FFFFFF00"/>
                </patternFill>
              </fill>
            </x14:dxf>
          </x14:cfRule>
          <xm:sqref>U158:AI158</xm:sqref>
        </x14:conditionalFormatting>
        <x14:conditionalFormatting xmlns:xm="http://schemas.microsoft.com/office/excel/2006/main">
          <x14:cfRule type="expression" priority="4699885" id="{B1C1818F-791C-403D-BE73-6F6E9DC6A16D}">
            <xm:f>$AJ$4='Data entry'!$R57</xm:f>
            <x14:dxf>
              <fill>
                <patternFill>
                  <bgColor rgb="FFFF0000"/>
                </patternFill>
              </fill>
            </x14:dxf>
          </x14:cfRule>
          <xm:sqref>AH159:AT159</xm:sqref>
        </x14:conditionalFormatting>
        <x14:conditionalFormatting xmlns:xm="http://schemas.microsoft.com/office/excel/2006/main">
          <x14:cfRule type="expression" priority="4699886" id="{A1237792-221B-431B-B8A7-E9A64DA46D93}">
            <xm:f>$AJ$4='Data entry'!$R57</xm:f>
            <x14:dxf>
              <fill>
                <patternFill>
                  <bgColor rgb="FFFFFF00"/>
                </patternFill>
              </fill>
            </x14:dxf>
          </x14:cfRule>
          <xm:sqref>V158:AJ158</xm:sqref>
        </x14:conditionalFormatting>
        <x14:conditionalFormatting xmlns:xm="http://schemas.microsoft.com/office/excel/2006/main">
          <x14:cfRule type="expression" priority="4699887" id="{617DC2AF-C7A3-4724-8EA3-17DEFEDC8949}">
            <xm:f>$AK$4='Data entry'!$R57</xm:f>
            <x14:dxf>
              <fill>
                <patternFill>
                  <bgColor rgb="FFFF0000"/>
                </patternFill>
              </fill>
            </x14:dxf>
          </x14:cfRule>
          <xm:sqref>AI159:AU159</xm:sqref>
        </x14:conditionalFormatting>
        <x14:conditionalFormatting xmlns:xm="http://schemas.microsoft.com/office/excel/2006/main">
          <x14:cfRule type="expression" priority="4699888" id="{AA72317D-37B1-48EB-A28B-BF2AC8DC4519}">
            <xm:f>$AK$4='Data entry'!$R57</xm:f>
            <x14:dxf>
              <fill>
                <patternFill>
                  <bgColor rgb="FFFFFF00"/>
                </patternFill>
              </fill>
            </x14:dxf>
          </x14:cfRule>
          <xm:sqref>W158:AK158</xm:sqref>
        </x14:conditionalFormatting>
        <x14:conditionalFormatting xmlns:xm="http://schemas.microsoft.com/office/excel/2006/main">
          <x14:cfRule type="expression" priority="4699889" id="{6CA9FB7A-20EA-4D3A-B74C-A001F4BE810D}">
            <xm:f>$AL$4='Data entry'!$R57</xm:f>
            <x14:dxf>
              <fill>
                <patternFill>
                  <bgColor rgb="FFFF0000"/>
                </patternFill>
              </fill>
            </x14:dxf>
          </x14:cfRule>
          <xm:sqref>AJ159:AV159</xm:sqref>
        </x14:conditionalFormatting>
        <x14:conditionalFormatting xmlns:xm="http://schemas.microsoft.com/office/excel/2006/main">
          <x14:cfRule type="expression" priority="4699890" id="{81A75DAA-573F-4EF3-A640-1B992C18BEA0}">
            <xm:f>$AL$4='Data entry'!$R57</xm:f>
            <x14:dxf>
              <fill>
                <patternFill>
                  <bgColor rgb="FFFFFF00"/>
                </patternFill>
              </fill>
            </x14:dxf>
          </x14:cfRule>
          <xm:sqref>X158:AL158</xm:sqref>
        </x14:conditionalFormatting>
        <x14:conditionalFormatting xmlns:xm="http://schemas.microsoft.com/office/excel/2006/main">
          <x14:cfRule type="expression" priority="4699891" id="{3D44713E-4ABA-4CCD-9DF4-5513A9FB5E1E}">
            <xm:f>$AM$4='Data entry'!$R57</xm:f>
            <x14:dxf>
              <fill>
                <patternFill>
                  <bgColor rgb="FFFF0000"/>
                </patternFill>
              </fill>
            </x14:dxf>
          </x14:cfRule>
          <xm:sqref>AK159:AW159</xm:sqref>
        </x14:conditionalFormatting>
        <x14:conditionalFormatting xmlns:xm="http://schemas.microsoft.com/office/excel/2006/main">
          <x14:cfRule type="expression" priority="4699892" id="{05A26B51-72A7-4423-822F-2BDBC28275D0}">
            <xm:f>$AM$4='Data entry'!$R57</xm:f>
            <x14:dxf>
              <fill>
                <patternFill>
                  <bgColor rgb="FFFFFF00"/>
                </patternFill>
              </fill>
            </x14:dxf>
          </x14:cfRule>
          <xm:sqref>Y158:AM158</xm:sqref>
        </x14:conditionalFormatting>
        <x14:conditionalFormatting xmlns:xm="http://schemas.microsoft.com/office/excel/2006/main">
          <x14:cfRule type="expression" priority="4699893" id="{B8A20675-6230-4694-A7F6-6B3DC7142773}">
            <xm:f>$AN$4='Data entry'!$R57</xm:f>
            <x14:dxf>
              <fill>
                <patternFill>
                  <bgColor rgb="FFFF0000"/>
                </patternFill>
              </fill>
            </x14:dxf>
          </x14:cfRule>
          <xm:sqref>AL159:AX159</xm:sqref>
        </x14:conditionalFormatting>
        <x14:conditionalFormatting xmlns:xm="http://schemas.microsoft.com/office/excel/2006/main">
          <x14:cfRule type="expression" priority="4699894" id="{8421181C-7450-42E9-BC1D-065CCFCA960E}">
            <xm:f>$AN$4='Data entry'!$R57</xm:f>
            <x14:dxf>
              <fill>
                <patternFill>
                  <bgColor rgb="FFFFFF00"/>
                </patternFill>
              </fill>
            </x14:dxf>
          </x14:cfRule>
          <xm:sqref>Z158:AN158</xm:sqref>
        </x14:conditionalFormatting>
        <x14:conditionalFormatting xmlns:xm="http://schemas.microsoft.com/office/excel/2006/main">
          <x14:cfRule type="expression" priority="4699895" id="{067FE4BD-6EF4-4684-B6E0-35AB2F267EE7}">
            <xm:f>$AO$4='Data entry'!$R57</xm:f>
            <x14:dxf>
              <fill>
                <patternFill>
                  <bgColor rgb="FFFF0000"/>
                </patternFill>
              </fill>
            </x14:dxf>
          </x14:cfRule>
          <xm:sqref>AM159:AY159</xm:sqref>
        </x14:conditionalFormatting>
        <x14:conditionalFormatting xmlns:xm="http://schemas.microsoft.com/office/excel/2006/main">
          <x14:cfRule type="expression" priority="4699896" id="{F7653492-88D1-47AC-8BA3-0CCE65C3C2AB}">
            <xm:f>$AO$4='Data entry'!$R57</xm:f>
            <x14:dxf>
              <fill>
                <patternFill>
                  <bgColor rgb="FFFFFF00"/>
                </patternFill>
              </fill>
            </x14:dxf>
          </x14:cfRule>
          <xm:sqref>AA158:AO158</xm:sqref>
        </x14:conditionalFormatting>
        <x14:conditionalFormatting xmlns:xm="http://schemas.microsoft.com/office/excel/2006/main">
          <x14:cfRule type="expression" priority="4699897" id="{207A5E5D-B322-482E-9193-1D7318138358}">
            <xm:f>$AP$4='Data entry'!$R57</xm:f>
            <x14:dxf>
              <fill>
                <patternFill>
                  <bgColor rgb="FFFF0000"/>
                </patternFill>
              </fill>
            </x14:dxf>
          </x14:cfRule>
          <xm:sqref>AN159:AZ159</xm:sqref>
        </x14:conditionalFormatting>
        <x14:conditionalFormatting xmlns:xm="http://schemas.microsoft.com/office/excel/2006/main">
          <x14:cfRule type="expression" priority="4699898" id="{21DA638D-4CA0-4067-BFF1-240CE1A0261B}">
            <xm:f>$AP$4='Data entry'!$R57</xm:f>
            <x14:dxf>
              <fill>
                <patternFill>
                  <bgColor rgb="FFFFFF00"/>
                </patternFill>
              </fill>
            </x14:dxf>
          </x14:cfRule>
          <xm:sqref>AB158:AP158</xm:sqref>
        </x14:conditionalFormatting>
        <x14:conditionalFormatting xmlns:xm="http://schemas.microsoft.com/office/excel/2006/main">
          <x14:cfRule type="expression" priority="4699899" id="{71963D96-A42A-4B90-BFC7-6D83D37766EF}">
            <xm:f>$AQ$4='Data entry'!$R57</xm:f>
            <x14:dxf>
              <fill>
                <patternFill>
                  <bgColor rgb="FFFF0000"/>
                </patternFill>
              </fill>
            </x14:dxf>
          </x14:cfRule>
          <xm:sqref>AO159:BA159</xm:sqref>
        </x14:conditionalFormatting>
        <x14:conditionalFormatting xmlns:xm="http://schemas.microsoft.com/office/excel/2006/main">
          <x14:cfRule type="expression" priority="4699900" id="{74952595-84B6-484F-8FF6-FCC1F337DF4D}">
            <xm:f>$AQ$4='Data entry'!$R57</xm:f>
            <x14:dxf>
              <fill>
                <patternFill>
                  <bgColor rgb="FFFFFF00"/>
                </patternFill>
              </fill>
            </x14:dxf>
          </x14:cfRule>
          <xm:sqref>AC158:AQ158</xm:sqref>
        </x14:conditionalFormatting>
        <x14:conditionalFormatting xmlns:xm="http://schemas.microsoft.com/office/excel/2006/main">
          <x14:cfRule type="expression" priority="4699901" id="{8AC9C4B9-0A34-4BC0-B0F7-CA89434C4911}">
            <xm:f>$P$4='Data entry'!$R57</xm:f>
            <x14:dxf>
              <fill>
                <patternFill>
                  <bgColor rgb="FFFFFF00"/>
                </patternFill>
              </fill>
            </x14:dxf>
          </x14:cfRule>
          <xm:sqref>C158:P158</xm:sqref>
        </x14:conditionalFormatting>
        <x14:conditionalFormatting xmlns:xm="http://schemas.microsoft.com/office/excel/2006/main">
          <x14:cfRule type="expression" priority="4699902" id="{0A726775-ABFD-4F22-967C-1A4D87BA3751}">
            <xm:f>$Q$4='Data entry'!$R57</xm:f>
            <x14:dxf>
              <fill>
                <patternFill>
                  <bgColor rgb="FFFFFF00"/>
                </patternFill>
              </fill>
            </x14:dxf>
          </x14:cfRule>
          <xm:sqref>C158:Q158</xm:sqref>
        </x14:conditionalFormatting>
        <x14:conditionalFormatting xmlns:xm="http://schemas.microsoft.com/office/excel/2006/main">
          <x14:cfRule type="expression" priority="4699903" id="{3A8414BD-262C-43B5-86EE-FA6901D00453}">
            <xm:f>$Q$4='Data entry'!$R57</xm:f>
            <x14:dxf>
              <fill>
                <patternFill>
                  <bgColor rgb="FFFF0000"/>
                </patternFill>
              </fill>
            </x14:dxf>
          </x14:cfRule>
          <xm:sqref>O159:AA159</xm:sqref>
        </x14:conditionalFormatting>
        <x14:conditionalFormatting xmlns:xm="http://schemas.microsoft.com/office/excel/2006/main">
          <x14:cfRule type="expression" priority="4699904" id="{B8B5501D-F3EF-4449-9306-F652960C65F4}">
            <xm:f>$R$4='Data entry'!$R57</xm:f>
            <x14:dxf>
              <fill>
                <patternFill>
                  <bgColor rgb="FFFF0000"/>
                </patternFill>
              </fill>
            </x14:dxf>
          </x14:cfRule>
          <xm:sqref>P159:AB159</xm:sqref>
        </x14:conditionalFormatting>
        <x14:conditionalFormatting xmlns:xm="http://schemas.microsoft.com/office/excel/2006/main">
          <x14:cfRule type="expression" priority="4699905" id="{5D070DEC-B82E-4D87-B907-A3E5AB836991}">
            <xm:f>$R$4='Data entry'!$R57</xm:f>
            <x14:dxf>
              <fill>
                <patternFill>
                  <bgColor rgb="FFFFFF00"/>
                </patternFill>
              </fill>
            </x14:dxf>
          </x14:cfRule>
          <xm:sqref>D158:R158</xm:sqref>
        </x14:conditionalFormatting>
        <x14:conditionalFormatting xmlns:xm="http://schemas.microsoft.com/office/excel/2006/main">
          <x14:cfRule type="expression" priority="4699906" id="{E4D16A10-F818-4664-9FB2-F0E839824D4B}">
            <xm:f>$S$4='Data entry'!$R57</xm:f>
            <x14:dxf>
              <fill>
                <patternFill>
                  <bgColor rgb="FFFF0000"/>
                </patternFill>
              </fill>
            </x14:dxf>
          </x14:cfRule>
          <xm:sqref>Q159:AC159</xm:sqref>
        </x14:conditionalFormatting>
        <x14:conditionalFormatting xmlns:xm="http://schemas.microsoft.com/office/excel/2006/main">
          <x14:cfRule type="expression" priority="4699907" id="{1A9F9911-A3E9-4730-AFBE-AB8C596545CA}">
            <xm:f>$S$4='Data entry'!$R57</xm:f>
            <x14:dxf>
              <fill>
                <patternFill>
                  <bgColor rgb="FFFFFF00"/>
                </patternFill>
              </fill>
            </x14:dxf>
          </x14:cfRule>
          <xm:sqref>E158:S158</xm:sqref>
        </x14:conditionalFormatting>
        <x14:conditionalFormatting xmlns:xm="http://schemas.microsoft.com/office/excel/2006/main">
          <x14:cfRule type="expression" priority="4699908" id="{8BB5CD1B-B2AC-442A-9550-26DE19A62D22}">
            <xm:f>$T$4='Data entry'!$R57</xm:f>
            <x14:dxf>
              <fill>
                <patternFill>
                  <bgColor rgb="FFFF0000"/>
                </patternFill>
              </fill>
            </x14:dxf>
          </x14:cfRule>
          <xm:sqref>R159:AD159</xm:sqref>
        </x14:conditionalFormatting>
        <x14:conditionalFormatting xmlns:xm="http://schemas.microsoft.com/office/excel/2006/main">
          <x14:cfRule type="expression" priority="4699909" id="{E7B59C69-7921-4049-84A1-8B3E5F7B0598}">
            <xm:f>$T$4='Data entry'!$R57</xm:f>
            <x14:dxf>
              <fill>
                <patternFill>
                  <bgColor rgb="FFFFFF00"/>
                </patternFill>
              </fill>
            </x14:dxf>
          </x14:cfRule>
          <xm:sqref>F158:T158</xm:sqref>
        </x14:conditionalFormatting>
        <x14:conditionalFormatting xmlns:xm="http://schemas.microsoft.com/office/excel/2006/main">
          <x14:cfRule type="expression" priority="4699910" id="{238C09E5-7A3D-439D-949F-A7733073F9A2}">
            <xm:f>$U$4='Data entry'!$R57</xm:f>
            <x14:dxf>
              <fill>
                <patternFill>
                  <bgColor rgb="FFFFFF00"/>
                </patternFill>
              </fill>
            </x14:dxf>
          </x14:cfRule>
          <xm:sqref>G158:U158</xm:sqref>
        </x14:conditionalFormatting>
        <x14:conditionalFormatting xmlns:xm="http://schemas.microsoft.com/office/excel/2006/main">
          <x14:cfRule type="expression" priority="4699911" id="{DE4D4432-0A19-452A-AF14-2873FE4DF411}">
            <xm:f>$AR$4='Data entry'!$R57</xm:f>
            <x14:dxf>
              <fill>
                <patternFill>
                  <bgColor rgb="FFFF0000"/>
                </patternFill>
              </fill>
            </x14:dxf>
          </x14:cfRule>
          <xm:sqref>AP159:BB159</xm:sqref>
        </x14:conditionalFormatting>
        <x14:conditionalFormatting xmlns:xm="http://schemas.microsoft.com/office/excel/2006/main">
          <x14:cfRule type="expression" priority="4699912" id="{90D7E1FF-542D-40C8-9BD5-DFEB4CDD256F}">
            <xm:f>$AR$4='Data entry'!$R57</xm:f>
            <x14:dxf>
              <fill>
                <patternFill>
                  <bgColor rgb="FFFFFF00"/>
                </patternFill>
              </fill>
            </x14:dxf>
          </x14:cfRule>
          <xm:sqref>AD158:AR158</xm:sqref>
        </x14:conditionalFormatting>
        <x14:conditionalFormatting xmlns:xm="http://schemas.microsoft.com/office/excel/2006/main">
          <x14:cfRule type="expression" priority="4699913" id="{0EBB5305-4A4A-4205-A1FF-11160070CBC3}">
            <xm:f>$AS$4='Data entry'!$R57</xm:f>
            <x14:dxf>
              <fill>
                <patternFill>
                  <bgColor rgb="FFFF0000"/>
                </patternFill>
              </fill>
            </x14:dxf>
          </x14:cfRule>
          <xm:sqref>AQ159:BC159</xm:sqref>
        </x14:conditionalFormatting>
        <x14:conditionalFormatting xmlns:xm="http://schemas.microsoft.com/office/excel/2006/main">
          <x14:cfRule type="expression" priority="4699914" id="{AC8EB30C-4253-4CE1-820E-1801F6D8D35B}">
            <xm:f>$AS$4='Data entry'!$R57</xm:f>
            <x14:dxf>
              <fill>
                <patternFill>
                  <bgColor rgb="FFFFFF00"/>
                </patternFill>
              </fill>
            </x14:dxf>
          </x14:cfRule>
          <xm:sqref>AE158:AS158</xm:sqref>
        </x14:conditionalFormatting>
        <x14:conditionalFormatting xmlns:xm="http://schemas.microsoft.com/office/excel/2006/main">
          <x14:cfRule type="expression" priority="4699915" id="{E11744C1-7201-4272-A1B0-945490B42425}">
            <xm:f>$AT$4='Data entry'!$R57</xm:f>
            <x14:dxf>
              <fill>
                <patternFill>
                  <bgColor rgb="FFFF0000"/>
                </patternFill>
              </fill>
            </x14:dxf>
          </x14:cfRule>
          <xm:sqref>AR159:BD159</xm:sqref>
        </x14:conditionalFormatting>
        <x14:conditionalFormatting xmlns:xm="http://schemas.microsoft.com/office/excel/2006/main">
          <x14:cfRule type="expression" priority="4699916" id="{5EE2823B-E955-4EA7-B99C-0B1F77B57A69}">
            <xm:f>$AT$4='Data entry'!$R57</xm:f>
            <x14:dxf>
              <fill>
                <patternFill>
                  <bgColor rgb="FFFFFF00"/>
                </patternFill>
              </fill>
            </x14:dxf>
          </x14:cfRule>
          <xm:sqref>AF158:AT158</xm:sqref>
        </x14:conditionalFormatting>
        <x14:conditionalFormatting xmlns:xm="http://schemas.microsoft.com/office/excel/2006/main">
          <x14:cfRule type="expression" priority="4699917" id="{5737DC63-3262-4B34-900C-2AAEB255FCBA}">
            <xm:f>$AU$4='Data entry'!$R57</xm:f>
            <x14:dxf>
              <fill>
                <patternFill>
                  <bgColor rgb="FFFF0000"/>
                </patternFill>
              </fill>
            </x14:dxf>
          </x14:cfRule>
          <xm:sqref>AS159:BE159</xm:sqref>
        </x14:conditionalFormatting>
        <x14:conditionalFormatting xmlns:xm="http://schemas.microsoft.com/office/excel/2006/main">
          <x14:cfRule type="expression" priority="4699918" id="{2B5C1F1B-3C3D-4CA3-BC64-0E98422075B6}">
            <xm:f>$AU$4='Data entry'!$R57</xm:f>
            <x14:dxf>
              <fill>
                <patternFill>
                  <bgColor rgb="FFFFFF00"/>
                </patternFill>
              </fill>
            </x14:dxf>
          </x14:cfRule>
          <xm:sqref>AG158:AU158</xm:sqref>
        </x14:conditionalFormatting>
        <x14:conditionalFormatting xmlns:xm="http://schemas.microsoft.com/office/excel/2006/main">
          <x14:cfRule type="expression" priority="4699919" id="{B87A1285-B003-4855-8F4B-53C391BA10E6}">
            <xm:f>$AV$4='Data entry'!$R57</xm:f>
            <x14:dxf>
              <fill>
                <patternFill>
                  <bgColor rgb="FFFF0000"/>
                </patternFill>
              </fill>
            </x14:dxf>
          </x14:cfRule>
          <xm:sqref>AT159:BF159</xm:sqref>
        </x14:conditionalFormatting>
        <x14:conditionalFormatting xmlns:xm="http://schemas.microsoft.com/office/excel/2006/main">
          <x14:cfRule type="expression" priority="4699920" id="{338EE31C-78DB-4818-B837-0380F9E457FA}">
            <xm:f>$AV$4='Data entry'!$R57</xm:f>
            <x14:dxf>
              <fill>
                <patternFill>
                  <bgColor rgb="FFFFFF00"/>
                </patternFill>
              </fill>
            </x14:dxf>
          </x14:cfRule>
          <xm:sqref>AH158:AV158</xm:sqref>
        </x14:conditionalFormatting>
        <x14:conditionalFormatting xmlns:xm="http://schemas.microsoft.com/office/excel/2006/main">
          <x14:cfRule type="expression" priority="4699921" id="{5C40EA66-2801-4C91-B885-BF6A1ECFC35C}">
            <xm:f>$AW$4='Data entry'!$R57</xm:f>
            <x14:dxf>
              <fill>
                <patternFill>
                  <bgColor rgb="FFFF0000"/>
                </patternFill>
              </fill>
            </x14:dxf>
          </x14:cfRule>
          <xm:sqref>AU159:BG159</xm:sqref>
        </x14:conditionalFormatting>
        <x14:conditionalFormatting xmlns:xm="http://schemas.microsoft.com/office/excel/2006/main">
          <x14:cfRule type="expression" priority="4699922" id="{51BCD5CE-DF86-4C2F-8A81-DDA1EFD6C8F7}">
            <xm:f>$AW$4='Data entry'!$R57</xm:f>
            <x14:dxf>
              <fill>
                <patternFill>
                  <bgColor rgb="FFFFFF00"/>
                </patternFill>
              </fill>
            </x14:dxf>
          </x14:cfRule>
          <xm:sqref>AI158:AW158</xm:sqref>
        </x14:conditionalFormatting>
        <x14:conditionalFormatting xmlns:xm="http://schemas.microsoft.com/office/excel/2006/main">
          <x14:cfRule type="expression" priority="4699923" id="{DC2ED5A0-8917-4877-8CD3-9DF9BE5993C9}">
            <xm:f>$AX$4='Data entry'!$R57</xm:f>
            <x14:dxf>
              <fill>
                <patternFill>
                  <bgColor rgb="FFFF0000"/>
                </patternFill>
              </fill>
            </x14:dxf>
          </x14:cfRule>
          <xm:sqref>AV159:BH159</xm:sqref>
        </x14:conditionalFormatting>
        <x14:conditionalFormatting xmlns:xm="http://schemas.microsoft.com/office/excel/2006/main">
          <x14:cfRule type="expression" priority="4699924" id="{59B31869-20F9-45BD-BC80-0A6C8945CE2C}">
            <xm:f>$AX$4='Data entry'!$R57</xm:f>
            <x14:dxf>
              <fill>
                <patternFill>
                  <bgColor rgb="FFFFFF00"/>
                </patternFill>
              </fill>
            </x14:dxf>
          </x14:cfRule>
          <xm:sqref>AJ158:AX158</xm:sqref>
        </x14:conditionalFormatting>
        <x14:conditionalFormatting xmlns:xm="http://schemas.microsoft.com/office/excel/2006/main">
          <x14:cfRule type="expression" priority="4699925" id="{D4208FA0-4262-4037-934C-6D0742B2AD8E}">
            <xm:f>$AY$4='Data entry'!$R57</xm:f>
            <x14:dxf>
              <fill>
                <patternFill>
                  <bgColor rgb="FFFF0000"/>
                </patternFill>
              </fill>
            </x14:dxf>
          </x14:cfRule>
          <xm:sqref>AW159:BI159</xm:sqref>
        </x14:conditionalFormatting>
        <x14:conditionalFormatting xmlns:xm="http://schemas.microsoft.com/office/excel/2006/main">
          <x14:cfRule type="expression" priority="4699926" id="{04D6E423-18C7-42B2-A67D-F49D8E62B571}">
            <xm:f>$AY$4='Data entry'!$R57</xm:f>
            <x14:dxf>
              <fill>
                <patternFill>
                  <bgColor rgb="FFFFFF00"/>
                </patternFill>
              </fill>
            </x14:dxf>
          </x14:cfRule>
          <xm:sqref>AK158:AY158</xm:sqref>
        </x14:conditionalFormatting>
        <x14:conditionalFormatting xmlns:xm="http://schemas.microsoft.com/office/excel/2006/main">
          <x14:cfRule type="expression" priority="4699927" id="{A931C203-6E4B-4EBD-A2F4-1876881F48D4}">
            <xm:f>$AZ$4='Data entry'!$R57</xm:f>
            <x14:dxf>
              <fill>
                <patternFill>
                  <bgColor rgb="FFFF0000"/>
                </patternFill>
              </fill>
            </x14:dxf>
          </x14:cfRule>
          <xm:sqref>AX159:BJ159</xm:sqref>
        </x14:conditionalFormatting>
        <x14:conditionalFormatting xmlns:xm="http://schemas.microsoft.com/office/excel/2006/main">
          <x14:cfRule type="expression" priority="4699928" id="{092D9100-E652-40FE-8CAA-720DC0681250}">
            <xm:f>$AZ$4='Data entry'!$R57</xm:f>
            <x14:dxf>
              <fill>
                <patternFill>
                  <bgColor rgb="FFFFFF00"/>
                </patternFill>
              </fill>
            </x14:dxf>
          </x14:cfRule>
          <xm:sqref>AL158:AZ158</xm:sqref>
        </x14:conditionalFormatting>
        <x14:conditionalFormatting xmlns:xm="http://schemas.microsoft.com/office/excel/2006/main">
          <x14:cfRule type="expression" priority="4699929" id="{A3C7E6BE-A225-483C-A983-A915DB662C52}">
            <xm:f>$BA$4='Data entry'!$R57</xm:f>
            <x14:dxf>
              <fill>
                <patternFill>
                  <bgColor rgb="FFFF0000"/>
                </patternFill>
              </fill>
            </x14:dxf>
          </x14:cfRule>
          <xm:sqref>AY159:BK159</xm:sqref>
        </x14:conditionalFormatting>
        <x14:conditionalFormatting xmlns:xm="http://schemas.microsoft.com/office/excel/2006/main">
          <x14:cfRule type="expression" priority="4699930" id="{F5CF569A-8AFA-4CFF-8BD3-F04D8927A99F}">
            <xm:f>$BA$4='Data entry'!$R57</xm:f>
            <x14:dxf>
              <fill>
                <patternFill>
                  <bgColor rgb="FFFFFF00"/>
                </patternFill>
              </fill>
            </x14:dxf>
          </x14:cfRule>
          <xm:sqref>AM158:BA158</xm:sqref>
        </x14:conditionalFormatting>
        <x14:conditionalFormatting xmlns:xm="http://schemas.microsoft.com/office/excel/2006/main">
          <x14:cfRule type="expression" priority="4699931" id="{E4DAC94A-7983-4BFB-A87B-45B58561841A}">
            <xm:f>$BB$4='Data entry'!$R57</xm:f>
            <x14:dxf>
              <fill>
                <patternFill>
                  <bgColor rgb="FFFF0000"/>
                </patternFill>
              </fill>
            </x14:dxf>
          </x14:cfRule>
          <xm:sqref>AZ159:BL159</xm:sqref>
        </x14:conditionalFormatting>
        <x14:conditionalFormatting xmlns:xm="http://schemas.microsoft.com/office/excel/2006/main">
          <x14:cfRule type="expression" priority="4699932" id="{E63849C5-F39B-4B0E-8F8A-B532EDF2CBAE}">
            <xm:f>$BB$4='Data entry'!$R57</xm:f>
            <x14:dxf>
              <fill>
                <patternFill>
                  <bgColor rgb="FFFFFF00"/>
                </patternFill>
              </fill>
            </x14:dxf>
          </x14:cfRule>
          <xm:sqref>AN158:BB158</xm:sqref>
        </x14:conditionalFormatting>
        <x14:conditionalFormatting xmlns:xm="http://schemas.microsoft.com/office/excel/2006/main">
          <x14:cfRule type="expression" priority="4699933" id="{4FDC32D3-C1F5-455D-9AA4-A03359B72526}">
            <xm:f>$BC$4='Data entry'!$R57</xm:f>
            <x14:dxf>
              <fill>
                <patternFill>
                  <bgColor rgb="FFFF0000"/>
                </patternFill>
              </fill>
            </x14:dxf>
          </x14:cfRule>
          <xm:sqref>BA159:BM159</xm:sqref>
        </x14:conditionalFormatting>
        <x14:conditionalFormatting xmlns:xm="http://schemas.microsoft.com/office/excel/2006/main">
          <x14:cfRule type="expression" priority="4699934" id="{5F0D0C60-B233-4C56-B05D-98C99990877F}">
            <xm:f>$BC$4='Data entry'!$R57</xm:f>
            <x14:dxf>
              <fill>
                <patternFill>
                  <bgColor rgb="FFFFFF00"/>
                </patternFill>
              </fill>
            </x14:dxf>
          </x14:cfRule>
          <xm:sqref>AO158:BC158</xm:sqref>
        </x14:conditionalFormatting>
        <x14:conditionalFormatting xmlns:xm="http://schemas.microsoft.com/office/excel/2006/main">
          <x14:cfRule type="expression" priority="4699935" id="{9EBCB60F-8135-43B6-A0F3-548D4092CC98}">
            <xm:f>$BD$4='Data entry'!$R57</xm:f>
            <x14:dxf>
              <fill>
                <patternFill>
                  <bgColor rgb="FFFF0000"/>
                </patternFill>
              </fill>
            </x14:dxf>
          </x14:cfRule>
          <xm:sqref>BB159:BN159</xm:sqref>
        </x14:conditionalFormatting>
        <x14:conditionalFormatting xmlns:xm="http://schemas.microsoft.com/office/excel/2006/main">
          <x14:cfRule type="expression" priority="4699936" id="{961AF346-4A73-41ED-9A8D-27D431B09C05}">
            <xm:f>$BD$4='Data entry'!$R57</xm:f>
            <x14:dxf>
              <fill>
                <patternFill>
                  <bgColor rgb="FFFFFF00"/>
                </patternFill>
              </fill>
            </x14:dxf>
          </x14:cfRule>
          <xm:sqref>AP158:BD158</xm:sqref>
        </x14:conditionalFormatting>
        <x14:conditionalFormatting xmlns:xm="http://schemas.microsoft.com/office/excel/2006/main">
          <x14:cfRule type="expression" priority="4699937" id="{5A887026-27CD-4F8C-8BA6-1E92704C1CA6}">
            <xm:f>$BE$4='Data entry'!$R57</xm:f>
            <x14:dxf>
              <fill>
                <patternFill>
                  <bgColor rgb="FFFF0000"/>
                </patternFill>
              </fill>
            </x14:dxf>
          </x14:cfRule>
          <xm:sqref>BC159:BO159</xm:sqref>
        </x14:conditionalFormatting>
        <x14:conditionalFormatting xmlns:xm="http://schemas.microsoft.com/office/excel/2006/main">
          <x14:cfRule type="expression" priority="4699938" id="{7F46217B-A1E9-4515-B31E-E756FCD7C6D9}">
            <xm:f>$BE$4='Data entry'!$R57</xm:f>
            <x14:dxf>
              <fill>
                <patternFill>
                  <bgColor rgb="FFFFFF00"/>
                </patternFill>
              </fill>
            </x14:dxf>
          </x14:cfRule>
          <xm:sqref>AP158:BE158</xm:sqref>
        </x14:conditionalFormatting>
        <x14:conditionalFormatting xmlns:xm="http://schemas.microsoft.com/office/excel/2006/main">
          <x14:cfRule type="expression" priority="4699939" id="{F4D9285C-8CA0-4EF1-943E-6A462D47CC77}">
            <xm:f>$BF$4='Data entry'!$R57</xm:f>
            <x14:dxf>
              <fill>
                <patternFill>
                  <bgColor rgb="FFFF0000"/>
                </patternFill>
              </fill>
            </x14:dxf>
          </x14:cfRule>
          <xm:sqref>BD159:BP159</xm:sqref>
        </x14:conditionalFormatting>
        <x14:conditionalFormatting xmlns:xm="http://schemas.microsoft.com/office/excel/2006/main">
          <x14:cfRule type="expression" priority="4699940" id="{B9E4407D-651D-4DC0-9D61-3271D62A65E9}">
            <xm:f>$BF$4='Data entry'!$R57</xm:f>
            <x14:dxf>
              <fill>
                <patternFill>
                  <bgColor rgb="FFFFFF00"/>
                </patternFill>
              </fill>
            </x14:dxf>
          </x14:cfRule>
          <xm:sqref>AR158:BF158</xm:sqref>
        </x14:conditionalFormatting>
        <x14:conditionalFormatting xmlns:xm="http://schemas.microsoft.com/office/excel/2006/main">
          <x14:cfRule type="expression" priority="4699941" id="{4CDC062F-DDFF-4556-B941-08F919727F69}">
            <xm:f>$BG$4='Data entry'!$R57</xm:f>
            <x14:dxf>
              <fill>
                <patternFill>
                  <bgColor rgb="FFFF0000"/>
                </patternFill>
              </fill>
            </x14:dxf>
          </x14:cfRule>
          <xm:sqref>BE159:BQ159</xm:sqref>
        </x14:conditionalFormatting>
        <x14:conditionalFormatting xmlns:xm="http://schemas.microsoft.com/office/excel/2006/main">
          <x14:cfRule type="expression" priority="4699942" id="{789184FA-9055-433B-8A1B-92C7ED59E81F}">
            <xm:f>$BG$4='Data entry'!$R57</xm:f>
            <x14:dxf>
              <fill>
                <patternFill>
                  <bgColor rgb="FFFFFF00"/>
                </patternFill>
              </fill>
            </x14:dxf>
          </x14:cfRule>
          <xm:sqref>AS158:BG158</xm:sqref>
        </x14:conditionalFormatting>
        <x14:conditionalFormatting xmlns:xm="http://schemas.microsoft.com/office/excel/2006/main">
          <x14:cfRule type="expression" priority="4699943" id="{58651E5C-09C9-46C1-B95C-E8A578A49E15}">
            <xm:f>$BH$4='Data entry'!$R57</xm:f>
            <x14:dxf>
              <fill>
                <patternFill>
                  <bgColor rgb="FFFFFF00"/>
                </patternFill>
              </fill>
            </x14:dxf>
          </x14:cfRule>
          <xm:sqref>AT158:BH158</xm:sqref>
        </x14:conditionalFormatting>
        <x14:conditionalFormatting xmlns:xm="http://schemas.microsoft.com/office/excel/2006/main">
          <x14:cfRule type="expression" priority="4699944" id="{97B30B86-8311-4DC0-A533-8C0D53F37839}">
            <xm:f>$BH$4='Data entry'!$R57</xm:f>
            <x14:dxf>
              <fill>
                <patternFill>
                  <bgColor rgb="FFFF0000"/>
                </patternFill>
              </fill>
            </x14:dxf>
          </x14:cfRule>
          <xm:sqref>BF159:BR159</xm:sqref>
        </x14:conditionalFormatting>
        <x14:conditionalFormatting xmlns:xm="http://schemas.microsoft.com/office/excel/2006/main">
          <x14:cfRule type="expression" priority="4699945" id="{78344C0C-5AEA-40B1-A20C-6D77DF58E1F5}">
            <xm:f>$BI$4='Data entry'!$R57</xm:f>
            <x14:dxf>
              <fill>
                <patternFill>
                  <bgColor rgb="FFFFFF00"/>
                </patternFill>
              </fill>
            </x14:dxf>
          </x14:cfRule>
          <xm:sqref>AU158:BI158</xm:sqref>
        </x14:conditionalFormatting>
        <x14:conditionalFormatting xmlns:xm="http://schemas.microsoft.com/office/excel/2006/main">
          <x14:cfRule type="expression" priority="4699946" id="{A9CE044F-482E-4F25-B28F-89ACC58502B1}">
            <xm:f>$BI$4='Data entry'!$R57</xm:f>
            <x14:dxf>
              <fill>
                <patternFill>
                  <bgColor rgb="FFFF0000"/>
                </patternFill>
              </fill>
            </x14:dxf>
          </x14:cfRule>
          <xm:sqref>BG159:BS159</xm:sqref>
        </x14:conditionalFormatting>
        <x14:conditionalFormatting xmlns:xm="http://schemas.microsoft.com/office/excel/2006/main">
          <x14:cfRule type="expression" priority="4699947" id="{F63BE0EB-3C71-4456-BEF0-11180AB7A8BB}">
            <xm:f>$BJ$4='Data entry'!$R57</xm:f>
            <x14:dxf>
              <fill>
                <patternFill>
                  <bgColor rgb="FFFFFF00"/>
                </patternFill>
              </fill>
            </x14:dxf>
          </x14:cfRule>
          <xm:sqref>AV158:BJ158</xm:sqref>
        </x14:conditionalFormatting>
        <x14:conditionalFormatting xmlns:xm="http://schemas.microsoft.com/office/excel/2006/main">
          <x14:cfRule type="expression" priority="4699948" id="{478A5DCB-1DAA-4497-A6CC-B4F01FB96D10}">
            <xm:f>$BJ$4='Data entry'!$R57</xm:f>
            <x14:dxf>
              <fill>
                <patternFill>
                  <bgColor rgb="FFFF0000"/>
                </patternFill>
              </fill>
            </x14:dxf>
          </x14:cfRule>
          <xm:sqref>BH159:BT159</xm:sqref>
        </x14:conditionalFormatting>
        <x14:conditionalFormatting xmlns:xm="http://schemas.microsoft.com/office/excel/2006/main">
          <x14:cfRule type="expression" priority="4699949" id="{CDE4AD5B-65A6-4FA4-9EC0-8D05F22312A9}">
            <xm:f>$BK$4='Data entry'!$R57</xm:f>
            <x14:dxf>
              <fill>
                <patternFill>
                  <bgColor rgb="FFFF0000"/>
                </patternFill>
              </fill>
            </x14:dxf>
          </x14:cfRule>
          <xm:sqref>BI159:BU159</xm:sqref>
        </x14:conditionalFormatting>
        <x14:conditionalFormatting xmlns:xm="http://schemas.microsoft.com/office/excel/2006/main">
          <x14:cfRule type="expression" priority="4699950" id="{AB32E790-6CD8-4D11-9A69-57D785FE4BBC}">
            <xm:f>$BK$4='Data entry'!$R57</xm:f>
            <x14:dxf>
              <fill>
                <patternFill>
                  <bgColor rgb="FFFFFF00"/>
                </patternFill>
              </fill>
            </x14:dxf>
          </x14:cfRule>
          <xm:sqref>AW158:BK158</xm:sqref>
        </x14:conditionalFormatting>
        <x14:conditionalFormatting xmlns:xm="http://schemas.microsoft.com/office/excel/2006/main">
          <x14:cfRule type="expression" priority="4699951" id="{99810EB9-805C-43D8-852A-EEECE7874CDB}">
            <xm:f>$BL$4='Data entry'!$R57</xm:f>
            <x14:dxf>
              <fill>
                <patternFill>
                  <bgColor rgb="FFFF0000"/>
                </patternFill>
              </fill>
            </x14:dxf>
          </x14:cfRule>
          <xm:sqref>BJ159:BV159</xm:sqref>
        </x14:conditionalFormatting>
        <x14:conditionalFormatting xmlns:xm="http://schemas.microsoft.com/office/excel/2006/main">
          <x14:cfRule type="expression" priority="4699952" id="{BF5F5475-4E46-479C-97A6-D5175F5D1803}">
            <xm:f>$BL$4='Data entry'!$R57</xm:f>
            <x14:dxf>
              <fill>
                <patternFill>
                  <bgColor rgb="FFFFFF00"/>
                </patternFill>
              </fill>
            </x14:dxf>
          </x14:cfRule>
          <xm:sqref>AX158:BL158</xm:sqref>
        </x14:conditionalFormatting>
        <x14:conditionalFormatting xmlns:xm="http://schemas.microsoft.com/office/excel/2006/main">
          <x14:cfRule type="expression" priority="4699953" id="{B86FDF2F-16C9-46B1-847E-7EA1A8A34B9D}">
            <xm:f>$BM$4='Data entry'!$R57</xm:f>
            <x14:dxf>
              <fill>
                <patternFill>
                  <bgColor rgb="FFFF0000"/>
                </patternFill>
              </fill>
            </x14:dxf>
          </x14:cfRule>
          <xm:sqref>BK159:BW159</xm:sqref>
        </x14:conditionalFormatting>
        <x14:conditionalFormatting xmlns:xm="http://schemas.microsoft.com/office/excel/2006/main">
          <x14:cfRule type="expression" priority="4699954" id="{72FD189F-4CED-400D-9FEF-21A328970A4D}">
            <xm:f>$BM$4='Data entry'!$R57</xm:f>
            <x14:dxf>
              <fill>
                <patternFill>
                  <bgColor rgb="FFFFFF00"/>
                </patternFill>
              </fill>
            </x14:dxf>
          </x14:cfRule>
          <xm:sqref>AY158:BM158</xm:sqref>
        </x14:conditionalFormatting>
        <x14:conditionalFormatting xmlns:xm="http://schemas.microsoft.com/office/excel/2006/main">
          <x14:cfRule type="expression" priority="4699955" id="{BBBBF859-D5A7-4F55-BFBF-8A77E3357590}">
            <xm:f>$BN$4='Data entry'!$R57</xm:f>
            <x14:dxf>
              <fill>
                <patternFill>
                  <bgColor rgb="FFFF0000"/>
                </patternFill>
              </fill>
            </x14:dxf>
          </x14:cfRule>
          <xm:sqref>BL159:BX159</xm:sqref>
        </x14:conditionalFormatting>
        <x14:conditionalFormatting xmlns:xm="http://schemas.microsoft.com/office/excel/2006/main">
          <x14:cfRule type="expression" priority="4699956" id="{50CB1D75-0FD5-4D24-92B1-E8A41DC6575C}">
            <xm:f>$BN$4='Data entry'!$R57</xm:f>
            <x14:dxf>
              <fill>
                <patternFill>
                  <bgColor rgb="FFFFFF00"/>
                </patternFill>
              </fill>
            </x14:dxf>
          </x14:cfRule>
          <xm:sqref>AZ158:BN158</xm:sqref>
        </x14:conditionalFormatting>
        <x14:conditionalFormatting xmlns:xm="http://schemas.microsoft.com/office/excel/2006/main">
          <x14:cfRule type="expression" priority="4699957" id="{9EF3226D-E8FC-496B-A6FF-71776AEA54D1}">
            <xm:f>$BO$4='Data entry'!$R57</xm:f>
            <x14:dxf>
              <fill>
                <patternFill>
                  <bgColor rgb="FFFF0000"/>
                </patternFill>
              </fill>
            </x14:dxf>
          </x14:cfRule>
          <xm:sqref>BM159:BY159</xm:sqref>
        </x14:conditionalFormatting>
        <x14:conditionalFormatting xmlns:xm="http://schemas.microsoft.com/office/excel/2006/main">
          <x14:cfRule type="expression" priority="4699958" id="{3B86C801-ECFE-4D05-8AA5-1581116BAFBC}">
            <xm:f>$BO$4='Data entry'!$R57</xm:f>
            <x14:dxf>
              <fill>
                <patternFill>
                  <bgColor rgb="FFFFFF00"/>
                </patternFill>
              </fill>
            </x14:dxf>
          </x14:cfRule>
          <xm:sqref>BA158:BO158</xm:sqref>
        </x14:conditionalFormatting>
        <x14:conditionalFormatting xmlns:xm="http://schemas.microsoft.com/office/excel/2006/main">
          <x14:cfRule type="expression" priority="4699959" id="{058A23EC-3371-4A02-9F20-1ECA603AC6BC}">
            <xm:f>$BP$4='Data entry'!$R57</xm:f>
            <x14:dxf>
              <fill>
                <patternFill>
                  <bgColor rgb="FFFF0000"/>
                </patternFill>
              </fill>
            </x14:dxf>
          </x14:cfRule>
          <xm:sqref>BN159:BZ159</xm:sqref>
        </x14:conditionalFormatting>
        <x14:conditionalFormatting xmlns:xm="http://schemas.microsoft.com/office/excel/2006/main">
          <x14:cfRule type="expression" priority="4699960" id="{3E711E31-3992-4555-AB22-87133D60CD15}">
            <xm:f>$BP$4='Data entry'!$R57</xm:f>
            <x14:dxf>
              <fill>
                <patternFill>
                  <bgColor rgb="FFFFFF00"/>
                </patternFill>
              </fill>
            </x14:dxf>
          </x14:cfRule>
          <xm:sqref>BB158:BP158</xm:sqref>
        </x14:conditionalFormatting>
        <x14:conditionalFormatting xmlns:xm="http://schemas.microsoft.com/office/excel/2006/main">
          <x14:cfRule type="expression" priority="4699961" id="{23E9F8B9-37D5-4730-9453-6F23E8ECBBE3}">
            <xm:f>$BQ$4='Data entry'!$R57</xm:f>
            <x14:dxf>
              <fill>
                <patternFill>
                  <bgColor rgb="FFFFFF00"/>
                </patternFill>
              </fill>
            </x14:dxf>
          </x14:cfRule>
          <xm:sqref>BC158:BQ158</xm:sqref>
        </x14:conditionalFormatting>
        <x14:conditionalFormatting xmlns:xm="http://schemas.microsoft.com/office/excel/2006/main">
          <x14:cfRule type="expression" priority="4699962" id="{BCFD92F6-AAD3-44FD-BC61-A292A81B883E}">
            <xm:f>$BQ$4='Data entry'!$R57</xm:f>
            <x14:dxf>
              <fill>
                <patternFill>
                  <bgColor rgb="FFFF0000"/>
                </patternFill>
              </fill>
            </x14:dxf>
          </x14:cfRule>
          <xm:sqref>BO159:CA159</xm:sqref>
        </x14:conditionalFormatting>
        <x14:conditionalFormatting xmlns:xm="http://schemas.microsoft.com/office/excel/2006/main">
          <x14:cfRule type="expression" priority="4699963" id="{357D60E5-F356-477E-8020-A18F42C02832}">
            <xm:f>$BR$4='Data entry'!$R57</xm:f>
            <x14:dxf>
              <fill>
                <patternFill>
                  <bgColor rgb="FFFFFF00"/>
                </patternFill>
              </fill>
            </x14:dxf>
          </x14:cfRule>
          <xm:sqref>BD158:BR158</xm:sqref>
        </x14:conditionalFormatting>
        <x14:conditionalFormatting xmlns:xm="http://schemas.microsoft.com/office/excel/2006/main">
          <x14:cfRule type="expression" priority="4699964" id="{DA2B6511-43B3-432D-B6AA-1DB1188B90A6}">
            <xm:f>$BR$4='Data entry'!$R57</xm:f>
            <x14:dxf>
              <fill>
                <patternFill>
                  <bgColor rgb="FFFF0000"/>
                </patternFill>
              </fill>
            </x14:dxf>
          </x14:cfRule>
          <xm:sqref>BP159:CB159</xm:sqref>
        </x14:conditionalFormatting>
        <x14:conditionalFormatting xmlns:xm="http://schemas.microsoft.com/office/excel/2006/main">
          <x14:cfRule type="expression" priority="4699965" id="{0D5F64E4-4136-4BFA-B833-CC8578525D9C}">
            <xm:f>$BS$4='Data entry'!$R57</xm:f>
            <x14:dxf>
              <fill>
                <patternFill>
                  <bgColor rgb="FFFFFF00"/>
                </patternFill>
              </fill>
            </x14:dxf>
          </x14:cfRule>
          <xm:sqref>BE158:BS158</xm:sqref>
        </x14:conditionalFormatting>
        <x14:conditionalFormatting xmlns:xm="http://schemas.microsoft.com/office/excel/2006/main">
          <x14:cfRule type="expression" priority="4699966" id="{AC94D468-F078-4AE2-8771-102996E07B09}">
            <xm:f>$BS$4='Data entry'!$R57</xm:f>
            <x14:dxf>
              <fill>
                <patternFill>
                  <bgColor rgb="FFFF0000"/>
                </patternFill>
              </fill>
            </x14:dxf>
          </x14:cfRule>
          <xm:sqref>BQ159:CC159</xm:sqref>
        </x14:conditionalFormatting>
        <x14:conditionalFormatting xmlns:xm="http://schemas.microsoft.com/office/excel/2006/main">
          <x14:cfRule type="expression" priority="4699967" id="{10E78F76-181E-4F19-9F89-7DD36D3EFE30}">
            <xm:f>$BT$4='Data entry'!$R57</xm:f>
            <x14:dxf>
              <fill>
                <patternFill>
                  <bgColor rgb="FFFFFF00"/>
                </patternFill>
              </fill>
            </x14:dxf>
          </x14:cfRule>
          <xm:sqref>BF158:BT158</xm:sqref>
        </x14:conditionalFormatting>
        <x14:conditionalFormatting xmlns:xm="http://schemas.microsoft.com/office/excel/2006/main">
          <x14:cfRule type="expression" priority="4699968" id="{6A5FADC6-9512-4EFB-90A5-7B5244D10D1F}">
            <xm:f>$BT$4='Data entry'!$R57</xm:f>
            <x14:dxf>
              <fill>
                <patternFill>
                  <bgColor rgb="FFFF0000"/>
                </patternFill>
              </fill>
            </x14:dxf>
          </x14:cfRule>
          <xm:sqref>BR159:CC159</xm:sqref>
        </x14:conditionalFormatting>
        <x14:conditionalFormatting xmlns:xm="http://schemas.microsoft.com/office/excel/2006/main">
          <x14:cfRule type="expression" priority="4699969" id="{A51139D1-8841-4B96-B8CB-DFE3808765CF}">
            <xm:f>$BU$4='Data entry'!$R57</xm:f>
            <x14:dxf>
              <fill>
                <patternFill>
                  <bgColor rgb="FFFFFF00"/>
                </patternFill>
              </fill>
            </x14:dxf>
          </x14:cfRule>
          <xm:sqref>BG158:BU158</xm:sqref>
        </x14:conditionalFormatting>
        <x14:conditionalFormatting xmlns:xm="http://schemas.microsoft.com/office/excel/2006/main">
          <x14:cfRule type="expression" priority="4699970" id="{55CA7258-760F-4BFF-ACB5-A70FEB3E7981}">
            <xm:f>$BU$4='Data entry'!$R57</xm:f>
            <x14:dxf>
              <fill>
                <patternFill>
                  <bgColor rgb="FFFF0000"/>
                </patternFill>
              </fill>
            </x14:dxf>
          </x14:cfRule>
          <xm:sqref>BS159:CC159</xm:sqref>
        </x14:conditionalFormatting>
        <x14:conditionalFormatting xmlns:xm="http://schemas.microsoft.com/office/excel/2006/main">
          <x14:cfRule type="expression" priority="4699971" id="{A922B218-64DB-4CBB-9AB8-FE0EBB44E09E}">
            <xm:f>$BV$4='Data entry'!$R57</xm:f>
            <x14:dxf>
              <fill>
                <patternFill>
                  <bgColor rgb="FFFFFF00"/>
                </patternFill>
              </fill>
            </x14:dxf>
          </x14:cfRule>
          <xm:sqref>BH158:BV158</xm:sqref>
        </x14:conditionalFormatting>
        <x14:conditionalFormatting xmlns:xm="http://schemas.microsoft.com/office/excel/2006/main">
          <x14:cfRule type="expression" priority="4699972" id="{C98E908A-CD31-4778-B41C-7AFB9DBE639A}">
            <xm:f>$BV$4='Data entry'!$R57</xm:f>
            <x14:dxf>
              <fill>
                <patternFill>
                  <bgColor rgb="FFFF0000"/>
                </patternFill>
              </fill>
            </x14:dxf>
          </x14:cfRule>
          <xm:sqref>BT159:CC159</xm:sqref>
        </x14:conditionalFormatting>
        <x14:conditionalFormatting xmlns:xm="http://schemas.microsoft.com/office/excel/2006/main">
          <x14:cfRule type="expression" priority="4699973" id="{465CCCA3-B4DB-4B61-8AC7-8A5E4CEC9E3F}">
            <xm:f>$BW$4='Data entry'!$R57</xm:f>
            <x14:dxf>
              <fill>
                <patternFill>
                  <bgColor rgb="FFFFFF00"/>
                </patternFill>
              </fill>
            </x14:dxf>
          </x14:cfRule>
          <xm:sqref>BI158:BW158</xm:sqref>
        </x14:conditionalFormatting>
        <x14:conditionalFormatting xmlns:xm="http://schemas.microsoft.com/office/excel/2006/main">
          <x14:cfRule type="expression" priority="4699974" id="{37566F97-6D06-400B-A709-FE657B07687F}">
            <xm:f>$BW$4='Data entry'!$R57</xm:f>
            <x14:dxf>
              <fill>
                <patternFill>
                  <bgColor rgb="FFFF0000"/>
                </patternFill>
              </fill>
            </x14:dxf>
          </x14:cfRule>
          <xm:sqref>BU159:CC159</xm:sqref>
        </x14:conditionalFormatting>
        <x14:conditionalFormatting xmlns:xm="http://schemas.microsoft.com/office/excel/2006/main">
          <x14:cfRule type="expression" priority="4699975" id="{D8FBA3AC-5CF0-4E45-97CA-1D4DEE729ADA}">
            <xm:f>$BX$4='Data entry'!$R57</xm:f>
            <x14:dxf>
              <fill>
                <patternFill>
                  <bgColor rgb="FFFFFF00"/>
                </patternFill>
              </fill>
            </x14:dxf>
          </x14:cfRule>
          <xm:sqref>BJ158:BX158</xm:sqref>
        </x14:conditionalFormatting>
        <x14:conditionalFormatting xmlns:xm="http://schemas.microsoft.com/office/excel/2006/main">
          <x14:cfRule type="expression" priority="4699976" id="{E077C84B-A94F-431D-B232-4AFCC7C64F54}">
            <xm:f>$BX$4='Data entry'!$R57</xm:f>
            <x14:dxf>
              <fill>
                <patternFill>
                  <bgColor rgb="FFFF0000"/>
                </patternFill>
              </fill>
            </x14:dxf>
          </x14:cfRule>
          <xm:sqref>BV159:CC159</xm:sqref>
        </x14:conditionalFormatting>
        <x14:conditionalFormatting xmlns:xm="http://schemas.microsoft.com/office/excel/2006/main">
          <x14:cfRule type="expression" priority="4699977" id="{63783BA8-0C97-4A44-86FD-7A2BCF1B9957}">
            <xm:f>$BY$4='Data entry'!$R57</xm:f>
            <x14:dxf>
              <fill>
                <patternFill>
                  <bgColor rgb="FFFFFF00"/>
                </patternFill>
              </fill>
            </x14:dxf>
          </x14:cfRule>
          <xm:sqref>BK158:BY158</xm:sqref>
        </x14:conditionalFormatting>
        <x14:conditionalFormatting xmlns:xm="http://schemas.microsoft.com/office/excel/2006/main">
          <x14:cfRule type="expression" priority="4699978" id="{BB8DB8B4-B71B-46D2-AEE7-346F16103F74}">
            <xm:f>$BY$4='Data entry'!$R57</xm:f>
            <x14:dxf>
              <fill>
                <patternFill>
                  <bgColor rgb="FFFF0000"/>
                </patternFill>
              </fill>
            </x14:dxf>
          </x14:cfRule>
          <xm:sqref>BW159:CC159</xm:sqref>
        </x14:conditionalFormatting>
        <x14:conditionalFormatting xmlns:xm="http://schemas.microsoft.com/office/excel/2006/main">
          <x14:cfRule type="expression" priority="4699979" id="{1B638B98-2B06-4FEB-90C1-446A3E0A3979}">
            <xm:f>$BZ$4='Data entry'!$R57</xm:f>
            <x14:dxf>
              <fill>
                <patternFill>
                  <bgColor rgb="FFFFFF00"/>
                </patternFill>
              </fill>
            </x14:dxf>
          </x14:cfRule>
          <xm:sqref>BL158:BZ158</xm:sqref>
        </x14:conditionalFormatting>
        <x14:conditionalFormatting xmlns:xm="http://schemas.microsoft.com/office/excel/2006/main">
          <x14:cfRule type="expression" priority="4699980" id="{D3A0A2F8-D1B2-4DC5-B2A9-0EF53074E685}">
            <xm:f>$BZ$4='Data entry'!$R57</xm:f>
            <x14:dxf>
              <fill>
                <patternFill>
                  <bgColor rgb="FFFF0000"/>
                </patternFill>
              </fill>
            </x14:dxf>
          </x14:cfRule>
          <xm:sqref>BX159:CC159</xm:sqref>
        </x14:conditionalFormatting>
        <x14:conditionalFormatting xmlns:xm="http://schemas.microsoft.com/office/excel/2006/main">
          <x14:cfRule type="expression" priority="4699981" id="{83F6D018-7D3B-4D33-9998-11572F2F2FF5}">
            <xm:f>$CA$4='Data entry'!$R57</xm:f>
            <x14:dxf>
              <fill>
                <patternFill>
                  <bgColor rgb="FFFFFF00"/>
                </patternFill>
              </fill>
            </x14:dxf>
          </x14:cfRule>
          <xm:sqref>BM158:CA158</xm:sqref>
        </x14:conditionalFormatting>
        <x14:conditionalFormatting xmlns:xm="http://schemas.microsoft.com/office/excel/2006/main">
          <x14:cfRule type="expression" priority="4699982" id="{8E6D0B51-5626-4ED9-9072-C7A2C139704F}">
            <xm:f>$CA$4='Data entry'!$R57</xm:f>
            <x14:dxf>
              <fill>
                <patternFill>
                  <bgColor rgb="FFFF0000"/>
                </patternFill>
              </fill>
            </x14:dxf>
          </x14:cfRule>
          <xm:sqref>BY159:CC159</xm:sqref>
        </x14:conditionalFormatting>
        <x14:conditionalFormatting xmlns:xm="http://schemas.microsoft.com/office/excel/2006/main">
          <x14:cfRule type="expression" priority="4699983" id="{E1886EE4-3BDE-43A9-9F4B-79377FEC37FE}">
            <xm:f>$CB$4='Data entry'!$R57</xm:f>
            <x14:dxf>
              <fill>
                <patternFill>
                  <bgColor rgb="FFFFFF00"/>
                </patternFill>
              </fill>
            </x14:dxf>
          </x14:cfRule>
          <xm:sqref>BN158:CB158</xm:sqref>
        </x14:conditionalFormatting>
        <x14:conditionalFormatting xmlns:xm="http://schemas.microsoft.com/office/excel/2006/main">
          <x14:cfRule type="expression" priority="4699984" id="{ADEF572A-6C18-4602-BB86-01C96D36E07E}">
            <xm:f>$CB$4='Data entry'!$R57</xm:f>
            <x14:dxf>
              <fill>
                <patternFill>
                  <bgColor rgb="FFFF0000"/>
                </patternFill>
              </fill>
            </x14:dxf>
          </x14:cfRule>
          <xm:sqref>BZ159:CC159</xm:sqref>
        </x14:conditionalFormatting>
        <x14:conditionalFormatting xmlns:xm="http://schemas.microsoft.com/office/excel/2006/main">
          <x14:cfRule type="expression" priority="4699985" id="{7984E1C9-E073-4955-8543-62145CB6D008}">
            <xm:f>$CC$4='Data entry'!$R57</xm:f>
            <x14:dxf>
              <fill>
                <patternFill>
                  <bgColor rgb="FFFFFF00"/>
                </patternFill>
              </fill>
            </x14:dxf>
          </x14:cfRule>
          <xm:sqref>BO158:CC158</xm:sqref>
        </x14:conditionalFormatting>
        <x14:conditionalFormatting xmlns:xm="http://schemas.microsoft.com/office/excel/2006/main">
          <x14:cfRule type="expression" priority="4699986" id="{18A957B3-59FA-4698-BA92-2A208FF18E2F}">
            <xm:f>$CC$4='Data entry'!$R57</xm:f>
            <x14:dxf>
              <fill>
                <patternFill>
                  <bgColor rgb="FFFF0000"/>
                </patternFill>
              </fill>
            </x14:dxf>
          </x14:cfRule>
          <xm:sqref>CA159:CC159</xm:sqref>
        </x14:conditionalFormatting>
        <x14:conditionalFormatting xmlns:xm="http://schemas.microsoft.com/office/excel/2006/main">
          <x14:cfRule type="expression" priority="4700073" id="{5B0DB825-B7C2-40AC-B7EF-F267F054CFB9}">
            <xm:f>$U$4='Data entry'!$R58</xm:f>
            <x14:dxf>
              <fill>
                <patternFill>
                  <bgColor rgb="FFFF0000"/>
                </patternFill>
              </fill>
            </x14:dxf>
          </x14:cfRule>
          <xm:sqref>S162:AE162</xm:sqref>
        </x14:conditionalFormatting>
        <x14:conditionalFormatting xmlns:xm="http://schemas.microsoft.com/office/excel/2006/main">
          <x14:cfRule type="expression" priority="4700074" id="{18311200-E2BB-400F-B594-3B9A2C6068C2}">
            <xm:f>$V$4='Data entry'!$R58</xm:f>
            <x14:dxf>
              <fill>
                <patternFill>
                  <bgColor rgb="FFFF0000"/>
                </patternFill>
              </fill>
            </x14:dxf>
          </x14:cfRule>
          <xm:sqref>T162:AF162</xm:sqref>
        </x14:conditionalFormatting>
        <x14:conditionalFormatting xmlns:xm="http://schemas.microsoft.com/office/excel/2006/main">
          <x14:cfRule type="expression" priority="4700075" id="{D6DFB621-1A58-4C59-A987-ECAD0EB2D32B}">
            <xm:f>$V$4='Data entry'!$R58</xm:f>
            <x14:dxf>
              <fill>
                <patternFill>
                  <bgColor rgb="FFFFFF00"/>
                </patternFill>
              </fill>
            </x14:dxf>
          </x14:cfRule>
          <xm:sqref>H161:V161</xm:sqref>
        </x14:conditionalFormatting>
        <x14:conditionalFormatting xmlns:xm="http://schemas.microsoft.com/office/excel/2006/main">
          <x14:cfRule type="expression" priority="4700076" id="{5F87A680-DC5F-433D-A779-B7A534ACCDA9}">
            <xm:f>$W$4='Data entry'!$R58</xm:f>
            <x14:dxf>
              <fill>
                <patternFill>
                  <bgColor rgb="FFFF0000"/>
                </patternFill>
              </fill>
            </x14:dxf>
          </x14:cfRule>
          <xm:sqref>U162:AG162</xm:sqref>
        </x14:conditionalFormatting>
        <x14:conditionalFormatting xmlns:xm="http://schemas.microsoft.com/office/excel/2006/main">
          <x14:cfRule type="expression" priority="4700077" id="{964539FF-A92C-4F68-B268-B7157A32678C}">
            <xm:f>$W$4='Data entry'!$R58</xm:f>
            <x14:dxf>
              <fill>
                <patternFill>
                  <bgColor rgb="FFFFFF00"/>
                </patternFill>
              </fill>
            </x14:dxf>
          </x14:cfRule>
          <xm:sqref>I161:W161</xm:sqref>
        </x14:conditionalFormatting>
        <x14:conditionalFormatting xmlns:xm="http://schemas.microsoft.com/office/excel/2006/main">
          <x14:cfRule type="expression" priority="4700078" id="{46C1533A-F090-4A90-9309-3F59EC3FD3B0}">
            <xm:f>$X$4='Data entry'!$R58</xm:f>
            <x14:dxf>
              <fill>
                <patternFill>
                  <bgColor rgb="FFFF0000"/>
                </patternFill>
              </fill>
            </x14:dxf>
          </x14:cfRule>
          <xm:sqref>V162:AH162</xm:sqref>
        </x14:conditionalFormatting>
        <x14:conditionalFormatting xmlns:xm="http://schemas.microsoft.com/office/excel/2006/main">
          <x14:cfRule type="expression" priority="4700079" id="{7C70E81C-DDD4-4D75-933A-4F6A39893184}">
            <xm:f>$X$4='Data entry'!$R58</xm:f>
            <x14:dxf>
              <fill>
                <patternFill>
                  <bgColor rgb="FFFFFF00"/>
                </patternFill>
              </fill>
            </x14:dxf>
          </x14:cfRule>
          <xm:sqref>J161:X161</xm:sqref>
        </x14:conditionalFormatting>
        <x14:conditionalFormatting xmlns:xm="http://schemas.microsoft.com/office/excel/2006/main">
          <x14:cfRule type="expression" priority="4700080" id="{561AF073-0EF8-4B72-A119-40A639C4359D}">
            <xm:f>$Y$4='Data entry'!$R58</xm:f>
            <x14:dxf>
              <fill>
                <patternFill>
                  <bgColor rgb="FFFF0000"/>
                </patternFill>
              </fill>
            </x14:dxf>
          </x14:cfRule>
          <xm:sqref>W162:AI162</xm:sqref>
        </x14:conditionalFormatting>
        <x14:conditionalFormatting xmlns:xm="http://schemas.microsoft.com/office/excel/2006/main">
          <x14:cfRule type="expression" priority="4700081" id="{F242E808-8F07-4A89-9524-7D4C767CE357}">
            <xm:f>$Y$4='Data entry'!$R58</xm:f>
            <x14:dxf>
              <fill>
                <patternFill>
                  <bgColor rgb="FFFFFF00"/>
                </patternFill>
              </fill>
            </x14:dxf>
          </x14:cfRule>
          <xm:sqref>K161:Y161</xm:sqref>
        </x14:conditionalFormatting>
        <x14:conditionalFormatting xmlns:xm="http://schemas.microsoft.com/office/excel/2006/main">
          <x14:cfRule type="expression" priority="4700082" id="{DD601058-982B-4218-BD9D-64BB823C2633}">
            <xm:f>$Z$4='Data entry'!$R58</xm:f>
            <x14:dxf>
              <fill>
                <patternFill>
                  <bgColor rgb="FFFF0000"/>
                </patternFill>
              </fill>
            </x14:dxf>
          </x14:cfRule>
          <xm:sqref>X162:AJ162</xm:sqref>
        </x14:conditionalFormatting>
        <x14:conditionalFormatting xmlns:xm="http://schemas.microsoft.com/office/excel/2006/main">
          <x14:cfRule type="expression" priority="4700083" id="{C9DB141D-79F6-4093-92A3-7BF7A1622985}">
            <xm:f>$Z$4='Data entry'!$R58</xm:f>
            <x14:dxf>
              <fill>
                <patternFill>
                  <bgColor rgb="FFFFFF00"/>
                </patternFill>
              </fill>
            </x14:dxf>
          </x14:cfRule>
          <xm:sqref>L161:Z161</xm:sqref>
        </x14:conditionalFormatting>
        <x14:conditionalFormatting xmlns:xm="http://schemas.microsoft.com/office/excel/2006/main">
          <x14:cfRule type="expression" priority="4700084" id="{710EB8D3-F5C0-4E3C-8214-2D0C4E26F649}">
            <xm:f>$AA$4='Data entry'!$R58</xm:f>
            <x14:dxf>
              <fill>
                <patternFill>
                  <bgColor rgb="FFFF0000"/>
                </patternFill>
              </fill>
            </x14:dxf>
          </x14:cfRule>
          <xm:sqref>Y162:AK162</xm:sqref>
        </x14:conditionalFormatting>
        <x14:conditionalFormatting xmlns:xm="http://schemas.microsoft.com/office/excel/2006/main">
          <x14:cfRule type="expression" priority="4700085" id="{33825D69-C967-4D27-B395-5D44A3083802}">
            <xm:f>$AA$4='Data entry'!$R58</xm:f>
            <x14:dxf>
              <fill>
                <patternFill>
                  <bgColor rgb="FFFFFF00"/>
                </patternFill>
              </fill>
            </x14:dxf>
          </x14:cfRule>
          <xm:sqref>M161:AA161</xm:sqref>
        </x14:conditionalFormatting>
        <x14:conditionalFormatting xmlns:xm="http://schemas.microsoft.com/office/excel/2006/main">
          <x14:cfRule type="expression" priority="4700086" id="{9811A97D-351B-4D32-8754-AF433277E62B}">
            <xm:f>$AB$4='Data entry'!$R58</xm:f>
            <x14:dxf>
              <fill>
                <patternFill>
                  <bgColor rgb="FFFF0000"/>
                </patternFill>
              </fill>
            </x14:dxf>
          </x14:cfRule>
          <xm:sqref>Z162:AL162</xm:sqref>
        </x14:conditionalFormatting>
        <x14:conditionalFormatting xmlns:xm="http://schemas.microsoft.com/office/excel/2006/main">
          <x14:cfRule type="expression" priority="4700087" id="{6DD3E556-C72E-438B-92DA-3096ED1E4178}">
            <xm:f>$AB$4='Data entry'!$R58</xm:f>
            <x14:dxf>
              <fill>
                <patternFill>
                  <bgColor rgb="FFFFFF00"/>
                </patternFill>
              </fill>
            </x14:dxf>
          </x14:cfRule>
          <xm:sqref>N161:AB161</xm:sqref>
        </x14:conditionalFormatting>
        <x14:conditionalFormatting xmlns:xm="http://schemas.microsoft.com/office/excel/2006/main">
          <x14:cfRule type="expression" priority="4700088" id="{C0DF7A1B-D6BC-4371-BD3A-F0708147FA1C}">
            <xm:f>$AC$4='Data entry'!$R58</xm:f>
            <x14:dxf>
              <fill>
                <patternFill>
                  <bgColor rgb="FFFF0000"/>
                </patternFill>
              </fill>
            </x14:dxf>
          </x14:cfRule>
          <xm:sqref>AA162:AM162</xm:sqref>
        </x14:conditionalFormatting>
        <x14:conditionalFormatting xmlns:xm="http://schemas.microsoft.com/office/excel/2006/main">
          <x14:cfRule type="expression" priority="4700089" id="{DB2E1F48-AF0E-41F9-A976-6B1963CA5711}">
            <xm:f>$AC$4='Data entry'!$R58</xm:f>
            <x14:dxf>
              <fill>
                <patternFill>
                  <bgColor rgb="FFFFFF00"/>
                </patternFill>
              </fill>
            </x14:dxf>
          </x14:cfRule>
          <xm:sqref>O161:AC161</xm:sqref>
        </x14:conditionalFormatting>
        <x14:conditionalFormatting xmlns:xm="http://schemas.microsoft.com/office/excel/2006/main">
          <x14:cfRule type="expression" priority="4700090" id="{89909907-F9A9-4AF9-BC1D-304710A43F50}">
            <xm:f>$AD$4='Data entry'!$R58</xm:f>
            <x14:dxf>
              <fill>
                <patternFill>
                  <bgColor rgb="FFFF0000"/>
                </patternFill>
              </fill>
            </x14:dxf>
          </x14:cfRule>
          <xm:sqref>AB162:AN162</xm:sqref>
        </x14:conditionalFormatting>
        <x14:conditionalFormatting xmlns:xm="http://schemas.microsoft.com/office/excel/2006/main">
          <x14:cfRule type="expression" priority="4700091" id="{729676B7-E331-43A4-ACC9-850DCEE76A0E}">
            <xm:f>$AD$4='Data entry'!$R58</xm:f>
            <x14:dxf>
              <fill>
                <patternFill>
                  <bgColor rgb="FFFFFF00"/>
                </patternFill>
              </fill>
            </x14:dxf>
          </x14:cfRule>
          <xm:sqref>P161:AD161</xm:sqref>
        </x14:conditionalFormatting>
        <x14:conditionalFormatting xmlns:xm="http://schemas.microsoft.com/office/excel/2006/main">
          <x14:cfRule type="expression" priority="4700092" id="{00DA2C55-350E-44AA-ABEA-808FABFDA737}">
            <xm:f>$AE$4='Data entry'!$R58</xm:f>
            <x14:dxf>
              <fill>
                <patternFill>
                  <bgColor rgb="FFFF0000"/>
                </patternFill>
              </fill>
            </x14:dxf>
          </x14:cfRule>
          <xm:sqref>AC162:AO162</xm:sqref>
        </x14:conditionalFormatting>
        <x14:conditionalFormatting xmlns:xm="http://schemas.microsoft.com/office/excel/2006/main">
          <x14:cfRule type="expression" priority="4700093" id="{373C95F1-00C1-45E9-B561-5224945BA4A4}">
            <xm:f>$AE$4='Data entry'!$R58</xm:f>
            <x14:dxf>
              <fill>
                <patternFill>
                  <bgColor rgb="FFFFFF00"/>
                </patternFill>
              </fill>
            </x14:dxf>
          </x14:cfRule>
          <xm:sqref>Q161:AE161</xm:sqref>
        </x14:conditionalFormatting>
        <x14:conditionalFormatting xmlns:xm="http://schemas.microsoft.com/office/excel/2006/main">
          <x14:cfRule type="expression" priority="4700094" id="{65E90E74-6BEF-4B00-BD5E-ECACFEBC225A}">
            <xm:f>$AF$4='Data entry'!$R58</xm:f>
            <x14:dxf>
              <fill>
                <patternFill>
                  <bgColor rgb="FFFF0000"/>
                </patternFill>
              </fill>
            </x14:dxf>
          </x14:cfRule>
          <xm:sqref>AD162:AP162</xm:sqref>
        </x14:conditionalFormatting>
        <x14:conditionalFormatting xmlns:xm="http://schemas.microsoft.com/office/excel/2006/main">
          <x14:cfRule type="expression" priority="4700095" id="{56B519D7-E083-4811-B42B-D6CB10D44BB3}">
            <xm:f>$AF$4='Data entry'!$R58</xm:f>
            <x14:dxf>
              <fill>
                <patternFill>
                  <bgColor rgb="FFFFFF00"/>
                </patternFill>
              </fill>
            </x14:dxf>
          </x14:cfRule>
          <xm:sqref>R161:AF161</xm:sqref>
        </x14:conditionalFormatting>
        <x14:conditionalFormatting xmlns:xm="http://schemas.microsoft.com/office/excel/2006/main">
          <x14:cfRule type="expression" priority="4700096" id="{889682B6-BF9B-414B-86B7-1C802156B058}">
            <xm:f>$AG$4='Data entry'!$R58</xm:f>
            <x14:dxf>
              <fill>
                <patternFill>
                  <bgColor rgb="FFFF0000"/>
                </patternFill>
              </fill>
            </x14:dxf>
          </x14:cfRule>
          <xm:sqref>AE162:AQ162</xm:sqref>
        </x14:conditionalFormatting>
        <x14:conditionalFormatting xmlns:xm="http://schemas.microsoft.com/office/excel/2006/main">
          <x14:cfRule type="expression" priority="4700097" id="{19913D88-1940-4CB0-B29C-D46D60833BD5}">
            <xm:f>$AG$4='Data entry'!$R58</xm:f>
            <x14:dxf>
              <fill>
                <patternFill>
                  <bgColor rgb="FFFFFF00"/>
                </patternFill>
              </fill>
            </x14:dxf>
          </x14:cfRule>
          <xm:sqref>S161:AG161</xm:sqref>
        </x14:conditionalFormatting>
        <x14:conditionalFormatting xmlns:xm="http://schemas.microsoft.com/office/excel/2006/main">
          <x14:cfRule type="expression" priority="4700098" id="{3DD7B9A5-18A3-463F-BAD5-9796FC487328}">
            <xm:f>$AH$4='Data entry'!$R58</xm:f>
            <x14:dxf>
              <fill>
                <patternFill>
                  <bgColor rgb="FFFF0000"/>
                </patternFill>
              </fill>
            </x14:dxf>
          </x14:cfRule>
          <xm:sqref>AF162:AR162</xm:sqref>
        </x14:conditionalFormatting>
        <x14:conditionalFormatting xmlns:xm="http://schemas.microsoft.com/office/excel/2006/main">
          <x14:cfRule type="expression" priority="4700099" id="{31005CF4-5608-496E-91EB-F7F505046C80}">
            <xm:f>$AH$4='Data entry'!$R58</xm:f>
            <x14:dxf>
              <fill>
                <patternFill>
                  <bgColor rgb="FFFFFF00"/>
                </patternFill>
              </fill>
            </x14:dxf>
          </x14:cfRule>
          <xm:sqref>T161:AH161</xm:sqref>
        </x14:conditionalFormatting>
        <x14:conditionalFormatting xmlns:xm="http://schemas.microsoft.com/office/excel/2006/main">
          <x14:cfRule type="expression" priority="4700100" id="{CD14F654-5B7A-444F-8FC1-7DD71E76E475}">
            <xm:f>$AI$4='Data entry'!$R58</xm:f>
            <x14:dxf>
              <fill>
                <patternFill>
                  <bgColor rgb="FFFF0000"/>
                </patternFill>
              </fill>
            </x14:dxf>
          </x14:cfRule>
          <xm:sqref>AG162:AS162</xm:sqref>
        </x14:conditionalFormatting>
        <x14:conditionalFormatting xmlns:xm="http://schemas.microsoft.com/office/excel/2006/main">
          <x14:cfRule type="expression" priority="4700101" id="{0E4E448C-6C46-4285-B877-A61A90294385}">
            <xm:f>$AI$4='Data entry'!$R58</xm:f>
            <x14:dxf>
              <fill>
                <patternFill>
                  <bgColor rgb="FFFFFF00"/>
                </patternFill>
              </fill>
            </x14:dxf>
          </x14:cfRule>
          <xm:sqref>U161:AI161</xm:sqref>
        </x14:conditionalFormatting>
        <x14:conditionalFormatting xmlns:xm="http://schemas.microsoft.com/office/excel/2006/main">
          <x14:cfRule type="expression" priority="4700102" id="{B1C1818F-791C-403D-BE73-6F6E9DC6A16D}">
            <xm:f>$AJ$4='Data entry'!$R58</xm:f>
            <x14:dxf>
              <fill>
                <patternFill>
                  <bgColor rgb="FFFF0000"/>
                </patternFill>
              </fill>
            </x14:dxf>
          </x14:cfRule>
          <xm:sqref>AH162:AT162</xm:sqref>
        </x14:conditionalFormatting>
        <x14:conditionalFormatting xmlns:xm="http://schemas.microsoft.com/office/excel/2006/main">
          <x14:cfRule type="expression" priority="4700103" id="{A1237792-221B-431B-B8A7-E9A64DA46D93}">
            <xm:f>$AJ$4='Data entry'!$R58</xm:f>
            <x14:dxf>
              <fill>
                <patternFill>
                  <bgColor rgb="FFFFFF00"/>
                </patternFill>
              </fill>
            </x14:dxf>
          </x14:cfRule>
          <xm:sqref>V161:AJ161</xm:sqref>
        </x14:conditionalFormatting>
        <x14:conditionalFormatting xmlns:xm="http://schemas.microsoft.com/office/excel/2006/main">
          <x14:cfRule type="expression" priority="4700104" id="{617DC2AF-C7A3-4724-8EA3-17DEFEDC8949}">
            <xm:f>$AK$4='Data entry'!$R58</xm:f>
            <x14:dxf>
              <fill>
                <patternFill>
                  <bgColor rgb="FFFF0000"/>
                </patternFill>
              </fill>
            </x14:dxf>
          </x14:cfRule>
          <xm:sqref>AI162:AU162</xm:sqref>
        </x14:conditionalFormatting>
        <x14:conditionalFormatting xmlns:xm="http://schemas.microsoft.com/office/excel/2006/main">
          <x14:cfRule type="expression" priority="4700105" id="{AA72317D-37B1-48EB-A28B-BF2AC8DC4519}">
            <xm:f>$AK$4='Data entry'!$R58</xm:f>
            <x14:dxf>
              <fill>
                <patternFill>
                  <bgColor rgb="FFFFFF00"/>
                </patternFill>
              </fill>
            </x14:dxf>
          </x14:cfRule>
          <xm:sqref>W161:AK161</xm:sqref>
        </x14:conditionalFormatting>
        <x14:conditionalFormatting xmlns:xm="http://schemas.microsoft.com/office/excel/2006/main">
          <x14:cfRule type="expression" priority="4700106" id="{6CA9FB7A-20EA-4D3A-B74C-A001F4BE810D}">
            <xm:f>$AL$4='Data entry'!$R58</xm:f>
            <x14:dxf>
              <fill>
                <patternFill>
                  <bgColor rgb="FFFF0000"/>
                </patternFill>
              </fill>
            </x14:dxf>
          </x14:cfRule>
          <xm:sqref>AJ162:AV162</xm:sqref>
        </x14:conditionalFormatting>
        <x14:conditionalFormatting xmlns:xm="http://schemas.microsoft.com/office/excel/2006/main">
          <x14:cfRule type="expression" priority="4700107" id="{81A75DAA-573F-4EF3-A640-1B992C18BEA0}">
            <xm:f>$AL$4='Data entry'!$R58</xm:f>
            <x14:dxf>
              <fill>
                <patternFill>
                  <bgColor rgb="FFFFFF00"/>
                </patternFill>
              </fill>
            </x14:dxf>
          </x14:cfRule>
          <xm:sqref>X161:AL161</xm:sqref>
        </x14:conditionalFormatting>
        <x14:conditionalFormatting xmlns:xm="http://schemas.microsoft.com/office/excel/2006/main">
          <x14:cfRule type="expression" priority="4700108" id="{3D44713E-4ABA-4CCD-9DF4-5513A9FB5E1E}">
            <xm:f>$AM$4='Data entry'!$R58</xm:f>
            <x14:dxf>
              <fill>
                <patternFill>
                  <bgColor rgb="FFFF0000"/>
                </patternFill>
              </fill>
            </x14:dxf>
          </x14:cfRule>
          <xm:sqref>AK162:AW162</xm:sqref>
        </x14:conditionalFormatting>
        <x14:conditionalFormatting xmlns:xm="http://schemas.microsoft.com/office/excel/2006/main">
          <x14:cfRule type="expression" priority="4700109" id="{05A26B51-72A7-4423-822F-2BDBC28275D0}">
            <xm:f>$AM$4='Data entry'!$R58</xm:f>
            <x14:dxf>
              <fill>
                <patternFill>
                  <bgColor rgb="FFFFFF00"/>
                </patternFill>
              </fill>
            </x14:dxf>
          </x14:cfRule>
          <xm:sqref>Y161:AM161</xm:sqref>
        </x14:conditionalFormatting>
        <x14:conditionalFormatting xmlns:xm="http://schemas.microsoft.com/office/excel/2006/main">
          <x14:cfRule type="expression" priority="4700110" id="{B8A20675-6230-4694-A7F6-6B3DC7142773}">
            <xm:f>$AN$4='Data entry'!$R58</xm:f>
            <x14:dxf>
              <fill>
                <patternFill>
                  <bgColor rgb="FFFF0000"/>
                </patternFill>
              </fill>
            </x14:dxf>
          </x14:cfRule>
          <xm:sqref>AL162:AX162</xm:sqref>
        </x14:conditionalFormatting>
        <x14:conditionalFormatting xmlns:xm="http://schemas.microsoft.com/office/excel/2006/main">
          <x14:cfRule type="expression" priority="4700111" id="{8421181C-7450-42E9-BC1D-065CCFCA960E}">
            <xm:f>$AN$4='Data entry'!$R58</xm:f>
            <x14:dxf>
              <fill>
                <patternFill>
                  <bgColor rgb="FFFFFF00"/>
                </patternFill>
              </fill>
            </x14:dxf>
          </x14:cfRule>
          <xm:sqref>Z161:AN161</xm:sqref>
        </x14:conditionalFormatting>
        <x14:conditionalFormatting xmlns:xm="http://schemas.microsoft.com/office/excel/2006/main">
          <x14:cfRule type="expression" priority="4700112" id="{067FE4BD-6EF4-4684-B6E0-35AB2F267EE7}">
            <xm:f>$AO$4='Data entry'!$R58</xm:f>
            <x14:dxf>
              <fill>
                <patternFill>
                  <bgColor rgb="FFFF0000"/>
                </patternFill>
              </fill>
            </x14:dxf>
          </x14:cfRule>
          <xm:sqref>AM162:AY162</xm:sqref>
        </x14:conditionalFormatting>
        <x14:conditionalFormatting xmlns:xm="http://schemas.microsoft.com/office/excel/2006/main">
          <x14:cfRule type="expression" priority="4700113" id="{F7653492-88D1-47AC-8BA3-0CCE65C3C2AB}">
            <xm:f>$AO$4='Data entry'!$R58</xm:f>
            <x14:dxf>
              <fill>
                <patternFill>
                  <bgColor rgb="FFFFFF00"/>
                </patternFill>
              </fill>
            </x14:dxf>
          </x14:cfRule>
          <xm:sqref>AA161:AO161</xm:sqref>
        </x14:conditionalFormatting>
        <x14:conditionalFormatting xmlns:xm="http://schemas.microsoft.com/office/excel/2006/main">
          <x14:cfRule type="expression" priority="4700114" id="{207A5E5D-B322-482E-9193-1D7318138358}">
            <xm:f>$AP$4='Data entry'!$R58</xm:f>
            <x14:dxf>
              <fill>
                <patternFill>
                  <bgColor rgb="FFFF0000"/>
                </patternFill>
              </fill>
            </x14:dxf>
          </x14:cfRule>
          <xm:sqref>AN162:AZ162</xm:sqref>
        </x14:conditionalFormatting>
        <x14:conditionalFormatting xmlns:xm="http://schemas.microsoft.com/office/excel/2006/main">
          <x14:cfRule type="expression" priority="4700115" id="{21DA638D-4CA0-4067-BFF1-240CE1A0261B}">
            <xm:f>$AP$4='Data entry'!$R58</xm:f>
            <x14:dxf>
              <fill>
                <patternFill>
                  <bgColor rgb="FFFFFF00"/>
                </patternFill>
              </fill>
            </x14:dxf>
          </x14:cfRule>
          <xm:sqref>AB161:AP161</xm:sqref>
        </x14:conditionalFormatting>
        <x14:conditionalFormatting xmlns:xm="http://schemas.microsoft.com/office/excel/2006/main">
          <x14:cfRule type="expression" priority="4700116" id="{71963D96-A42A-4B90-BFC7-6D83D37766EF}">
            <xm:f>$AQ$4='Data entry'!$R58</xm:f>
            <x14:dxf>
              <fill>
                <patternFill>
                  <bgColor rgb="FFFF0000"/>
                </patternFill>
              </fill>
            </x14:dxf>
          </x14:cfRule>
          <xm:sqref>AO162:BA162</xm:sqref>
        </x14:conditionalFormatting>
        <x14:conditionalFormatting xmlns:xm="http://schemas.microsoft.com/office/excel/2006/main">
          <x14:cfRule type="expression" priority="4700117" id="{74952595-84B6-484F-8FF6-FCC1F337DF4D}">
            <xm:f>$AQ$4='Data entry'!$R58</xm:f>
            <x14:dxf>
              <fill>
                <patternFill>
                  <bgColor rgb="FFFFFF00"/>
                </patternFill>
              </fill>
            </x14:dxf>
          </x14:cfRule>
          <xm:sqref>AC161:AQ161</xm:sqref>
        </x14:conditionalFormatting>
        <x14:conditionalFormatting xmlns:xm="http://schemas.microsoft.com/office/excel/2006/main">
          <x14:cfRule type="expression" priority="4700118" id="{8AC9C4B9-0A34-4BC0-B0F7-CA89434C4911}">
            <xm:f>$P$4='Data entry'!$R58</xm:f>
            <x14:dxf>
              <fill>
                <patternFill>
                  <bgColor rgb="FFFFFF00"/>
                </patternFill>
              </fill>
            </x14:dxf>
          </x14:cfRule>
          <xm:sqref>C161:P161</xm:sqref>
        </x14:conditionalFormatting>
        <x14:conditionalFormatting xmlns:xm="http://schemas.microsoft.com/office/excel/2006/main">
          <x14:cfRule type="expression" priority="4700119" id="{0A726775-ABFD-4F22-967C-1A4D87BA3751}">
            <xm:f>$Q$4='Data entry'!$R58</xm:f>
            <x14:dxf>
              <fill>
                <patternFill>
                  <bgColor rgb="FFFFFF00"/>
                </patternFill>
              </fill>
            </x14:dxf>
          </x14:cfRule>
          <xm:sqref>C161:Q161</xm:sqref>
        </x14:conditionalFormatting>
        <x14:conditionalFormatting xmlns:xm="http://schemas.microsoft.com/office/excel/2006/main">
          <x14:cfRule type="expression" priority="4700120" id="{3A8414BD-262C-43B5-86EE-FA6901D00453}">
            <xm:f>$Q$4='Data entry'!$R58</xm:f>
            <x14:dxf>
              <fill>
                <patternFill>
                  <bgColor rgb="FFFF0000"/>
                </patternFill>
              </fill>
            </x14:dxf>
          </x14:cfRule>
          <xm:sqref>O162:AA162</xm:sqref>
        </x14:conditionalFormatting>
        <x14:conditionalFormatting xmlns:xm="http://schemas.microsoft.com/office/excel/2006/main">
          <x14:cfRule type="expression" priority="4700121" id="{B8B5501D-F3EF-4449-9306-F652960C65F4}">
            <xm:f>$R$4='Data entry'!$R58</xm:f>
            <x14:dxf>
              <fill>
                <patternFill>
                  <bgColor rgb="FFFF0000"/>
                </patternFill>
              </fill>
            </x14:dxf>
          </x14:cfRule>
          <xm:sqref>P162:AB162</xm:sqref>
        </x14:conditionalFormatting>
        <x14:conditionalFormatting xmlns:xm="http://schemas.microsoft.com/office/excel/2006/main">
          <x14:cfRule type="expression" priority="4700122" id="{5D070DEC-B82E-4D87-B907-A3E5AB836991}">
            <xm:f>$R$4='Data entry'!$R58</xm:f>
            <x14:dxf>
              <fill>
                <patternFill>
                  <bgColor rgb="FFFFFF00"/>
                </patternFill>
              </fill>
            </x14:dxf>
          </x14:cfRule>
          <xm:sqref>D161:R161</xm:sqref>
        </x14:conditionalFormatting>
        <x14:conditionalFormatting xmlns:xm="http://schemas.microsoft.com/office/excel/2006/main">
          <x14:cfRule type="expression" priority="4700123" id="{E4D16A10-F818-4664-9FB2-F0E839824D4B}">
            <xm:f>$S$4='Data entry'!$R58</xm:f>
            <x14:dxf>
              <fill>
                <patternFill>
                  <bgColor rgb="FFFF0000"/>
                </patternFill>
              </fill>
            </x14:dxf>
          </x14:cfRule>
          <xm:sqref>Q162:AC162</xm:sqref>
        </x14:conditionalFormatting>
        <x14:conditionalFormatting xmlns:xm="http://schemas.microsoft.com/office/excel/2006/main">
          <x14:cfRule type="expression" priority="4700124" id="{1A9F9911-A3E9-4730-AFBE-AB8C596545CA}">
            <xm:f>$S$4='Data entry'!$R58</xm:f>
            <x14:dxf>
              <fill>
                <patternFill>
                  <bgColor rgb="FFFFFF00"/>
                </patternFill>
              </fill>
            </x14:dxf>
          </x14:cfRule>
          <xm:sqref>E161:S161</xm:sqref>
        </x14:conditionalFormatting>
        <x14:conditionalFormatting xmlns:xm="http://schemas.microsoft.com/office/excel/2006/main">
          <x14:cfRule type="expression" priority="4700125" id="{8BB5CD1B-B2AC-442A-9550-26DE19A62D22}">
            <xm:f>$T$4='Data entry'!$R58</xm:f>
            <x14:dxf>
              <fill>
                <patternFill>
                  <bgColor rgb="FFFF0000"/>
                </patternFill>
              </fill>
            </x14:dxf>
          </x14:cfRule>
          <xm:sqref>R162:AD162</xm:sqref>
        </x14:conditionalFormatting>
        <x14:conditionalFormatting xmlns:xm="http://schemas.microsoft.com/office/excel/2006/main">
          <x14:cfRule type="expression" priority="4700126" id="{E7B59C69-7921-4049-84A1-8B3E5F7B0598}">
            <xm:f>$T$4='Data entry'!$R58</xm:f>
            <x14:dxf>
              <fill>
                <patternFill>
                  <bgColor rgb="FFFFFF00"/>
                </patternFill>
              </fill>
            </x14:dxf>
          </x14:cfRule>
          <xm:sqref>F161:T161</xm:sqref>
        </x14:conditionalFormatting>
        <x14:conditionalFormatting xmlns:xm="http://schemas.microsoft.com/office/excel/2006/main">
          <x14:cfRule type="expression" priority="4700127" id="{238C09E5-7A3D-439D-949F-A7733073F9A2}">
            <xm:f>$U$4='Data entry'!$R58</xm:f>
            <x14:dxf>
              <fill>
                <patternFill>
                  <bgColor rgb="FFFFFF00"/>
                </patternFill>
              </fill>
            </x14:dxf>
          </x14:cfRule>
          <xm:sqref>G161:U161</xm:sqref>
        </x14:conditionalFormatting>
        <x14:conditionalFormatting xmlns:xm="http://schemas.microsoft.com/office/excel/2006/main">
          <x14:cfRule type="expression" priority="4700128" id="{DE4D4432-0A19-452A-AF14-2873FE4DF411}">
            <xm:f>$AR$4='Data entry'!$R58</xm:f>
            <x14:dxf>
              <fill>
                <patternFill>
                  <bgColor rgb="FFFF0000"/>
                </patternFill>
              </fill>
            </x14:dxf>
          </x14:cfRule>
          <xm:sqref>AP162:BB162</xm:sqref>
        </x14:conditionalFormatting>
        <x14:conditionalFormatting xmlns:xm="http://schemas.microsoft.com/office/excel/2006/main">
          <x14:cfRule type="expression" priority="4700129" id="{90D7E1FF-542D-40C8-9BD5-DFEB4CDD256F}">
            <xm:f>$AR$4='Data entry'!$R58</xm:f>
            <x14:dxf>
              <fill>
                <patternFill>
                  <bgColor rgb="FFFFFF00"/>
                </patternFill>
              </fill>
            </x14:dxf>
          </x14:cfRule>
          <xm:sqref>AD161:AR161</xm:sqref>
        </x14:conditionalFormatting>
        <x14:conditionalFormatting xmlns:xm="http://schemas.microsoft.com/office/excel/2006/main">
          <x14:cfRule type="expression" priority="4700130" id="{0EBB5305-4A4A-4205-A1FF-11160070CBC3}">
            <xm:f>$AS$4='Data entry'!$R58</xm:f>
            <x14:dxf>
              <fill>
                <patternFill>
                  <bgColor rgb="FFFF0000"/>
                </patternFill>
              </fill>
            </x14:dxf>
          </x14:cfRule>
          <xm:sqref>AQ162:BC162</xm:sqref>
        </x14:conditionalFormatting>
        <x14:conditionalFormatting xmlns:xm="http://schemas.microsoft.com/office/excel/2006/main">
          <x14:cfRule type="expression" priority="4700131" id="{AC8EB30C-4253-4CE1-820E-1801F6D8D35B}">
            <xm:f>$AS$4='Data entry'!$R58</xm:f>
            <x14:dxf>
              <fill>
                <patternFill>
                  <bgColor rgb="FFFFFF00"/>
                </patternFill>
              </fill>
            </x14:dxf>
          </x14:cfRule>
          <xm:sqref>AE161:AS161</xm:sqref>
        </x14:conditionalFormatting>
        <x14:conditionalFormatting xmlns:xm="http://schemas.microsoft.com/office/excel/2006/main">
          <x14:cfRule type="expression" priority="4700132" id="{E11744C1-7201-4272-A1B0-945490B42425}">
            <xm:f>$AT$4='Data entry'!$R58</xm:f>
            <x14:dxf>
              <fill>
                <patternFill>
                  <bgColor rgb="FFFF0000"/>
                </patternFill>
              </fill>
            </x14:dxf>
          </x14:cfRule>
          <xm:sqref>AR162:BD162</xm:sqref>
        </x14:conditionalFormatting>
        <x14:conditionalFormatting xmlns:xm="http://schemas.microsoft.com/office/excel/2006/main">
          <x14:cfRule type="expression" priority="4700133" id="{5EE2823B-E955-4EA7-B99C-0B1F77B57A69}">
            <xm:f>$AT$4='Data entry'!$R58</xm:f>
            <x14:dxf>
              <fill>
                <patternFill>
                  <bgColor rgb="FFFFFF00"/>
                </patternFill>
              </fill>
            </x14:dxf>
          </x14:cfRule>
          <xm:sqref>AF161:AT161</xm:sqref>
        </x14:conditionalFormatting>
        <x14:conditionalFormatting xmlns:xm="http://schemas.microsoft.com/office/excel/2006/main">
          <x14:cfRule type="expression" priority="4700134" id="{5737DC63-3262-4B34-900C-2AAEB255FCBA}">
            <xm:f>$AU$4='Data entry'!$R58</xm:f>
            <x14:dxf>
              <fill>
                <patternFill>
                  <bgColor rgb="FFFF0000"/>
                </patternFill>
              </fill>
            </x14:dxf>
          </x14:cfRule>
          <xm:sqref>AS162:BE162</xm:sqref>
        </x14:conditionalFormatting>
        <x14:conditionalFormatting xmlns:xm="http://schemas.microsoft.com/office/excel/2006/main">
          <x14:cfRule type="expression" priority="4700135" id="{2B5C1F1B-3C3D-4CA3-BC64-0E98422075B6}">
            <xm:f>$AU$4='Data entry'!$R58</xm:f>
            <x14:dxf>
              <fill>
                <patternFill>
                  <bgColor rgb="FFFFFF00"/>
                </patternFill>
              </fill>
            </x14:dxf>
          </x14:cfRule>
          <xm:sqref>AG161:AU161</xm:sqref>
        </x14:conditionalFormatting>
        <x14:conditionalFormatting xmlns:xm="http://schemas.microsoft.com/office/excel/2006/main">
          <x14:cfRule type="expression" priority="4700136" id="{B87A1285-B003-4855-8F4B-53C391BA10E6}">
            <xm:f>$AV$4='Data entry'!$R58</xm:f>
            <x14:dxf>
              <fill>
                <patternFill>
                  <bgColor rgb="FFFF0000"/>
                </patternFill>
              </fill>
            </x14:dxf>
          </x14:cfRule>
          <xm:sqref>AT162:BF162</xm:sqref>
        </x14:conditionalFormatting>
        <x14:conditionalFormatting xmlns:xm="http://schemas.microsoft.com/office/excel/2006/main">
          <x14:cfRule type="expression" priority="4700137" id="{338EE31C-78DB-4818-B837-0380F9E457FA}">
            <xm:f>$AV$4='Data entry'!$R58</xm:f>
            <x14:dxf>
              <fill>
                <patternFill>
                  <bgColor rgb="FFFFFF00"/>
                </patternFill>
              </fill>
            </x14:dxf>
          </x14:cfRule>
          <xm:sqref>AH161:AV161</xm:sqref>
        </x14:conditionalFormatting>
        <x14:conditionalFormatting xmlns:xm="http://schemas.microsoft.com/office/excel/2006/main">
          <x14:cfRule type="expression" priority="4700138" id="{5C40EA66-2801-4C91-B885-BF6A1ECFC35C}">
            <xm:f>$AW$4='Data entry'!$R58</xm:f>
            <x14:dxf>
              <fill>
                <patternFill>
                  <bgColor rgb="FFFF0000"/>
                </patternFill>
              </fill>
            </x14:dxf>
          </x14:cfRule>
          <xm:sqref>AU162:BG162</xm:sqref>
        </x14:conditionalFormatting>
        <x14:conditionalFormatting xmlns:xm="http://schemas.microsoft.com/office/excel/2006/main">
          <x14:cfRule type="expression" priority="4700139" id="{51BCD5CE-DF86-4C2F-8A81-DDA1EFD6C8F7}">
            <xm:f>$AW$4='Data entry'!$R58</xm:f>
            <x14:dxf>
              <fill>
                <patternFill>
                  <bgColor rgb="FFFFFF00"/>
                </patternFill>
              </fill>
            </x14:dxf>
          </x14:cfRule>
          <xm:sqref>AI161:AW161</xm:sqref>
        </x14:conditionalFormatting>
        <x14:conditionalFormatting xmlns:xm="http://schemas.microsoft.com/office/excel/2006/main">
          <x14:cfRule type="expression" priority="4700140" id="{DC2ED5A0-8917-4877-8CD3-9DF9BE5993C9}">
            <xm:f>$AX$4='Data entry'!$R58</xm:f>
            <x14:dxf>
              <fill>
                <patternFill>
                  <bgColor rgb="FFFF0000"/>
                </patternFill>
              </fill>
            </x14:dxf>
          </x14:cfRule>
          <xm:sqref>AV162:BH162</xm:sqref>
        </x14:conditionalFormatting>
        <x14:conditionalFormatting xmlns:xm="http://schemas.microsoft.com/office/excel/2006/main">
          <x14:cfRule type="expression" priority="4700141" id="{59B31869-20F9-45BD-BC80-0A6C8945CE2C}">
            <xm:f>$AX$4='Data entry'!$R58</xm:f>
            <x14:dxf>
              <fill>
                <patternFill>
                  <bgColor rgb="FFFFFF00"/>
                </patternFill>
              </fill>
            </x14:dxf>
          </x14:cfRule>
          <xm:sqref>AJ161:AX161</xm:sqref>
        </x14:conditionalFormatting>
        <x14:conditionalFormatting xmlns:xm="http://schemas.microsoft.com/office/excel/2006/main">
          <x14:cfRule type="expression" priority="4700142" id="{D4208FA0-4262-4037-934C-6D0742B2AD8E}">
            <xm:f>$AY$4='Data entry'!$R58</xm:f>
            <x14:dxf>
              <fill>
                <patternFill>
                  <bgColor rgb="FFFF0000"/>
                </patternFill>
              </fill>
            </x14:dxf>
          </x14:cfRule>
          <xm:sqref>AW162:BI162</xm:sqref>
        </x14:conditionalFormatting>
        <x14:conditionalFormatting xmlns:xm="http://schemas.microsoft.com/office/excel/2006/main">
          <x14:cfRule type="expression" priority="4700143" id="{04D6E423-18C7-42B2-A67D-F49D8E62B571}">
            <xm:f>$AY$4='Data entry'!$R58</xm:f>
            <x14:dxf>
              <fill>
                <patternFill>
                  <bgColor rgb="FFFFFF00"/>
                </patternFill>
              </fill>
            </x14:dxf>
          </x14:cfRule>
          <xm:sqref>AK161:AY161</xm:sqref>
        </x14:conditionalFormatting>
        <x14:conditionalFormatting xmlns:xm="http://schemas.microsoft.com/office/excel/2006/main">
          <x14:cfRule type="expression" priority="4700144" id="{A931C203-6E4B-4EBD-A2F4-1876881F48D4}">
            <xm:f>$AZ$4='Data entry'!$R58</xm:f>
            <x14:dxf>
              <fill>
                <patternFill>
                  <bgColor rgb="FFFF0000"/>
                </patternFill>
              </fill>
            </x14:dxf>
          </x14:cfRule>
          <xm:sqref>AX162:BJ162</xm:sqref>
        </x14:conditionalFormatting>
        <x14:conditionalFormatting xmlns:xm="http://schemas.microsoft.com/office/excel/2006/main">
          <x14:cfRule type="expression" priority="4700145" id="{092D9100-E652-40FE-8CAA-720DC0681250}">
            <xm:f>$AZ$4='Data entry'!$R58</xm:f>
            <x14:dxf>
              <fill>
                <patternFill>
                  <bgColor rgb="FFFFFF00"/>
                </patternFill>
              </fill>
            </x14:dxf>
          </x14:cfRule>
          <xm:sqref>AL161:AZ161</xm:sqref>
        </x14:conditionalFormatting>
        <x14:conditionalFormatting xmlns:xm="http://schemas.microsoft.com/office/excel/2006/main">
          <x14:cfRule type="expression" priority="4700146" id="{A3C7E6BE-A225-483C-A983-A915DB662C52}">
            <xm:f>$BA$4='Data entry'!$R58</xm:f>
            <x14:dxf>
              <fill>
                <patternFill>
                  <bgColor rgb="FFFF0000"/>
                </patternFill>
              </fill>
            </x14:dxf>
          </x14:cfRule>
          <xm:sqref>AY162:BK162</xm:sqref>
        </x14:conditionalFormatting>
        <x14:conditionalFormatting xmlns:xm="http://schemas.microsoft.com/office/excel/2006/main">
          <x14:cfRule type="expression" priority="4700147" id="{F5CF569A-8AFA-4CFF-8BD3-F04D8927A99F}">
            <xm:f>$BA$4='Data entry'!$R58</xm:f>
            <x14:dxf>
              <fill>
                <patternFill>
                  <bgColor rgb="FFFFFF00"/>
                </patternFill>
              </fill>
            </x14:dxf>
          </x14:cfRule>
          <xm:sqref>AM161:BA161</xm:sqref>
        </x14:conditionalFormatting>
        <x14:conditionalFormatting xmlns:xm="http://schemas.microsoft.com/office/excel/2006/main">
          <x14:cfRule type="expression" priority="4700148" id="{E4DAC94A-7983-4BFB-A87B-45B58561841A}">
            <xm:f>$BB$4='Data entry'!$R58</xm:f>
            <x14:dxf>
              <fill>
                <patternFill>
                  <bgColor rgb="FFFF0000"/>
                </patternFill>
              </fill>
            </x14:dxf>
          </x14:cfRule>
          <xm:sqref>AZ162:BL162</xm:sqref>
        </x14:conditionalFormatting>
        <x14:conditionalFormatting xmlns:xm="http://schemas.microsoft.com/office/excel/2006/main">
          <x14:cfRule type="expression" priority="4700149" id="{E63849C5-F39B-4B0E-8F8A-B532EDF2CBAE}">
            <xm:f>$BB$4='Data entry'!$R58</xm:f>
            <x14:dxf>
              <fill>
                <patternFill>
                  <bgColor rgb="FFFFFF00"/>
                </patternFill>
              </fill>
            </x14:dxf>
          </x14:cfRule>
          <xm:sqref>AN161:BB161</xm:sqref>
        </x14:conditionalFormatting>
        <x14:conditionalFormatting xmlns:xm="http://schemas.microsoft.com/office/excel/2006/main">
          <x14:cfRule type="expression" priority="4700150" id="{4FDC32D3-C1F5-455D-9AA4-A03359B72526}">
            <xm:f>$BC$4='Data entry'!$R58</xm:f>
            <x14:dxf>
              <fill>
                <patternFill>
                  <bgColor rgb="FFFF0000"/>
                </patternFill>
              </fill>
            </x14:dxf>
          </x14:cfRule>
          <xm:sqref>BA162:BM162</xm:sqref>
        </x14:conditionalFormatting>
        <x14:conditionalFormatting xmlns:xm="http://schemas.microsoft.com/office/excel/2006/main">
          <x14:cfRule type="expression" priority="4700151" id="{5F0D0C60-B233-4C56-B05D-98C99990877F}">
            <xm:f>$BC$4='Data entry'!$R58</xm:f>
            <x14:dxf>
              <fill>
                <patternFill>
                  <bgColor rgb="FFFFFF00"/>
                </patternFill>
              </fill>
            </x14:dxf>
          </x14:cfRule>
          <xm:sqref>AO161:BC161</xm:sqref>
        </x14:conditionalFormatting>
        <x14:conditionalFormatting xmlns:xm="http://schemas.microsoft.com/office/excel/2006/main">
          <x14:cfRule type="expression" priority="4700152" id="{9EBCB60F-8135-43B6-A0F3-548D4092CC98}">
            <xm:f>$BD$4='Data entry'!$R58</xm:f>
            <x14:dxf>
              <fill>
                <patternFill>
                  <bgColor rgb="FFFF0000"/>
                </patternFill>
              </fill>
            </x14:dxf>
          </x14:cfRule>
          <xm:sqref>BB162:BN162</xm:sqref>
        </x14:conditionalFormatting>
        <x14:conditionalFormatting xmlns:xm="http://schemas.microsoft.com/office/excel/2006/main">
          <x14:cfRule type="expression" priority="4700153" id="{961AF346-4A73-41ED-9A8D-27D431B09C05}">
            <xm:f>$BD$4='Data entry'!$R58</xm:f>
            <x14:dxf>
              <fill>
                <patternFill>
                  <bgColor rgb="FFFFFF00"/>
                </patternFill>
              </fill>
            </x14:dxf>
          </x14:cfRule>
          <xm:sqref>AP161:BD161</xm:sqref>
        </x14:conditionalFormatting>
        <x14:conditionalFormatting xmlns:xm="http://schemas.microsoft.com/office/excel/2006/main">
          <x14:cfRule type="expression" priority="4700154" id="{5A887026-27CD-4F8C-8BA6-1E92704C1CA6}">
            <xm:f>$BE$4='Data entry'!$R58</xm:f>
            <x14:dxf>
              <fill>
                <patternFill>
                  <bgColor rgb="FFFF0000"/>
                </patternFill>
              </fill>
            </x14:dxf>
          </x14:cfRule>
          <xm:sqref>BC162:BO162</xm:sqref>
        </x14:conditionalFormatting>
        <x14:conditionalFormatting xmlns:xm="http://schemas.microsoft.com/office/excel/2006/main">
          <x14:cfRule type="expression" priority="4700155" id="{7F46217B-A1E9-4515-B31E-E756FCD7C6D9}">
            <xm:f>$BE$4='Data entry'!$R58</xm:f>
            <x14:dxf>
              <fill>
                <patternFill>
                  <bgColor rgb="FFFFFF00"/>
                </patternFill>
              </fill>
            </x14:dxf>
          </x14:cfRule>
          <xm:sqref>AP161:BE161</xm:sqref>
        </x14:conditionalFormatting>
        <x14:conditionalFormatting xmlns:xm="http://schemas.microsoft.com/office/excel/2006/main">
          <x14:cfRule type="expression" priority="4700156" id="{F4D9285C-8CA0-4EF1-943E-6A462D47CC77}">
            <xm:f>$BF$4='Data entry'!$R58</xm:f>
            <x14:dxf>
              <fill>
                <patternFill>
                  <bgColor rgb="FFFF0000"/>
                </patternFill>
              </fill>
            </x14:dxf>
          </x14:cfRule>
          <xm:sqref>BD162:BP162</xm:sqref>
        </x14:conditionalFormatting>
        <x14:conditionalFormatting xmlns:xm="http://schemas.microsoft.com/office/excel/2006/main">
          <x14:cfRule type="expression" priority="4700157" id="{B9E4407D-651D-4DC0-9D61-3271D62A65E9}">
            <xm:f>$BF$4='Data entry'!$R58</xm:f>
            <x14:dxf>
              <fill>
                <patternFill>
                  <bgColor rgb="FFFFFF00"/>
                </patternFill>
              </fill>
            </x14:dxf>
          </x14:cfRule>
          <xm:sqref>AR161:BF161</xm:sqref>
        </x14:conditionalFormatting>
        <x14:conditionalFormatting xmlns:xm="http://schemas.microsoft.com/office/excel/2006/main">
          <x14:cfRule type="expression" priority="4700158" id="{4CDC062F-DDFF-4556-B941-08F919727F69}">
            <xm:f>$BG$4='Data entry'!$R58</xm:f>
            <x14:dxf>
              <fill>
                <patternFill>
                  <bgColor rgb="FFFF0000"/>
                </patternFill>
              </fill>
            </x14:dxf>
          </x14:cfRule>
          <xm:sqref>BE162:BQ162</xm:sqref>
        </x14:conditionalFormatting>
        <x14:conditionalFormatting xmlns:xm="http://schemas.microsoft.com/office/excel/2006/main">
          <x14:cfRule type="expression" priority="4700159" id="{789184FA-9055-433B-8A1B-92C7ED59E81F}">
            <xm:f>$BG$4='Data entry'!$R58</xm:f>
            <x14:dxf>
              <fill>
                <patternFill>
                  <bgColor rgb="FFFFFF00"/>
                </patternFill>
              </fill>
            </x14:dxf>
          </x14:cfRule>
          <xm:sqref>AS161:BG161</xm:sqref>
        </x14:conditionalFormatting>
        <x14:conditionalFormatting xmlns:xm="http://schemas.microsoft.com/office/excel/2006/main">
          <x14:cfRule type="expression" priority="4700160" id="{58651E5C-09C9-46C1-B95C-E8A578A49E15}">
            <xm:f>$BH$4='Data entry'!$R58</xm:f>
            <x14:dxf>
              <fill>
                <patternFill>
                  <bgColor rgb="FFFFFF00"/>
                </patternFill>
              </fill>
            </x14:dxf>
          </x14:cfRule>
          <xm:sqref>AT161:BH161</xm:sqref>
        </x14:conditionalFormatting>
        <x14:conditionalFormatting xmlns:xm="http://schemas.microsoft.com/office/excel/2006/main">
          <x14:cfRule type="expression" priority="4700161" id="{97B30B86-8311-4DC0-A533-8C0D53F37839}">
            <xm:f>$BH$4='Data entry'!$R58</xm:f>
            <x14:dxf>
              <fill>
                <patternFill>
                  <bgColor rgb="FFFF0000"/>
                </patternFill>
              </fill>
            </x14:dxf>
          </x14:cfRule>
          <xm:sqref>BF162:BR162</xm:sqref>
        </x14:conditionalFormatting>
        <x14:conditionalFormatting xmlns:xm="http://schemas.microsoft.com/office/excel/2006/main">
          <x14:cfRule type="expression" priority="4700162" id="{78344C0C-5AEA-40B1-A20C-6D77DF58E1F5}">
            <xm:f>$BI$4='Data entry'!$R58</xm:f>
            <x14:dxf>
              <fill>
                <patternFill>
                  <bgColor rgb="FFFFFF00"/>
                </patternFill>
              </fill>
            </x14:dxf>
          </x14:cfRule>
          <xm:sqref>AU161:BI161</xm:sqref>
        </x14:conditionalFormatting>
        <x14:conditionalFormatting xmlns:xm="http://schemas.microsoft.com/office/excel/2006/main">
          <x14:cfRule type="expression" priority="4700163" id="{A9CE044F-482E-4F25-B28F-89ACC58502B1}">
            <xm:f>$BI$4='Data entry'!$R58</xm:f>
            <x14:dxf>
              <fill>
                <patternFill>
                  <bgColor rgb="FFFF0000"/>
                </patternFill>
              </fill>
            </x14:dxf>
          </x14:cfRule>
          <xm:sqref>BG162:BS162</xm:sqref>
        </x14:conditionalFormatting>
        <x14:conditionalFormatting xmlns:xm="http://schemas.microsoft.com/office/excel/2006/main">
          <x14:cfRule type="expression" priority="4700164" id="{F63BE0EB-3C71-4456-BEF0-11180AB7A8BB}">
            <xm:f>$BJ$4='Data entry'!$R58</xm:f>
            <x14:dxf>
              <fill>
                <patternFill>
                  <bgColor rgb="FFFFFF00"/>
                </patternFill>
              </fill>
            </x14:dxf>
          </x14:cfRule>
          <xm:sqref>AV161:BJ161</xm:sqref>
        </x14:conditionalFormatting>
        <x14:conditionalFormatting xmlns:xm="http://schemas.microsoft.com/office/excel/2006/main">
          <x14:cfRule type="expression" priority="4700165" id="{478A5DCB-1DAA-4497-A6CC-B4F01FB96D10}">
            <xm:f>$BJ$4='Data entry'!$R58</xm:f>
            <x14:dxf>
              <fill>
                <patternFill>
                  <bgColor rgb="FFFF0000"/>
                </patternFill>
              </fill>
            </x14:dxf>
          </x14:cfRule>
          <xm:sqref>BH162:BT162</xm:sqref>
        </x14:conditionalFormatting>
        <x14:conditionalFormatting xmlns:xm="http://schemas.microsoft.com/office/excel/2006/main">
          <x14:cfRule type="expression" priority="4700166" id="{CDE4AD5B-65A6-4FA4-9EC0-8D05F22312A9}">
            <xm:f>$BK$4='Data entry'!$R58</xm:f>
            <x14:dxf>
              <fill>
                <patternFill>
                  <bgColor rgb="FFFF0000"/>
                </patternFill>
              </fill>
            </x14:dxf>
          </x14:cfRule>
          <xm:sqref>BI162:BU162</xm:sqref>
        </x14:conditionalFormatting>
        <x14:conditionalFormatting xmlns:xm="http://schemas.microsoft.com/office/excel/2006/main">
          <x14:cfRule type="expression" priority="4700167" id="{AB32E790-6CD8-4D11-9A69-57D785FE4BBC}">
            <xm:f>$BK$4='Data entry'!$R58</xm:f>
            <x14:dxf>
              <fill>
                <patternFill>
                  <bgColor rgb="FFFFFF00"/>
                </patternFill>
              </fill>
            </x14:dxf>
          </x14:cfRule>
          <xm:sqref>AW161:BK161</xm:sqref>
        </x14:conditionalFormatting>
        <x14:conditionalFormatting xmlns:xm="http://schemas.microsoft.com/office/excel/2006/main">
          <x14:cfRule type="expression" priority="4700168" id="{99810EB9-805C-43D8-852A-EEECE7874CDB}">
            <xm:f>$BL$4='Data entry'!$R58</xm:f>
            <x14:dxf>
              <fill>
                <patternFill>
                  <bgColor rgb="FFFF0000"/>
                </patternFill>
              </fill>
            </x14:dxf>
          </x14:cfRule>
          <xm:sqref>BJ162:BV162</xm:sqref>
        </x14:conditionalFormatting>
        <x14:conditionalFormatting xmlns:xm="http://schemas.microsoft.com/office/excel/2006/main">
          <x14:cfRule type="expression" priority="4700169" id="{BF5F5475-4E46-479C-97A6-D5175F5D1803}">
            <xm:f>$BL$4='Data entry'!$R58</xm:f>
            <x14:dxf>
              <fill>
                <patternFill>
                  <bgColor rgb="FFFFFF00"/>
                </patternFill>
              </fill>
            </x14:dxf>
          </x14:cfRule>
          <xm:sqref>AX161:BL161</xm:sqref>
        </x14:conditionalFormatting>
        <x14:conditionalFormatting xmlns:xm="http://schemas.microsoft.com/office/excel/2006/main">
          <x14:cfRule type="expression" priority="4700170" id="{B86FDF2F-16C9-46B1-847E-7EA1A8A34B9D}">
            <xm:f>$BM$4='Data entry'!$R58</xm:f>
            <x14:dxf>
              <fill>
                <patternFill>
                  <bgColor rgb="FFFF0000"/>
                </patternFill>
              </fill>
            </x14:dxf>
          </x14:cfRule>
          <xm:sqref>BK162:BW162</xm:sqref>
        </x14:conditionalFormatting>
        <x14:conditionalFormatting xmlns:xm="http://schemas.microsoft.com/office/excel/2006/main">
          <x14:cfRule type="expression" priority="4700171" id="{72FD189F-4CED-400D-9FEF-21A328970A4D}">
            <xm:f>$BM$4='Data entry'!$R58</xm:f>
            <x14:dxf>
              <fill>
                <patternFill>
                  <bgColor rgb="FFFFFF00"/>
                </patternFill>
              </fill>
            </x14:dxf>
          </x14:cfRule>
          <xm:sqref>AY161:BM161</xm:sqref>
        </x14:conditionalFormatting>
        <x14:conditionalFormatting xmlns:xm="http://schemas.microsoft.com/office/excel/2006/main">
          <x14:cfRule type="expression" priority="4700172" id="{BBBBF859-D5A7-4F55-BFBF-8A77E3357590}">
            <xm:f>$BN$4='Data entry'!$R58</xm:f>
            <x14:dxf>
              <fill>
                <patternFill>
                  <bgColor rgb="FFFF0000"/>
                </patternFill>
              </fill>
            </x14:dxf>
          </x14:cfRule>
          <xm:sqref>BL162:BX162</xm:sqref>
        </x14:conditionalFormatting>
        <x14:conditionalFormatting xmlns:xm="http://schemas.microsoft.com/office/excel/2006/main">
          <x14:cfRule type="expression" priority="4700173" id="{50CB1D75-0FD5-4D24-92B1-E8A41DC6575C}">
            <xm:f>$BN$4='Data entry'!$R58</xm:f>
            <x14:dxf>
              <fill>
                <patternFill>
                  <bgColor rgb="FFFFFF00"/>
                </patternFill>
              </fill>
            </x14:dxf>
          </x14:cfRule>
          <xm:sqref>AZ161:BN161</xm:sqref>
        </x14:conditionalFormatting>
        <x14:conditionalFormatting xmlns:xm="http://schemas.microsoft.com/office/excel/2006/main">
          <x14:cfRule type="expression" priority="4700174" id="{9EF3226D-E8FC-496B-A6FF-71776AEA54D1}">
            <xm:f>$BO$4='Data entry'!$R58</xm:f>
            <x14:dxf>
              <fill>
                <patternFill>
                  <bgColor rgb="FFFF0000"/>
                </patternFill>
              </fill>
            </x14:dxf>
          </x14:cfRule>
          <xm:sqref>BM162:BY162</xm:sqref>
        </x14:conditionalFormatting>
        <x14:conditionalFormatting xmlns:xm="http://schemas.microsoft.com/office/excel/2006/main">
          <x14:cfRule type="expression" priority="4700175" id="{3B86C801-ECFE-4D05-8AA5-1581116BAFBC}">
            <xm:f>$BO$4='Data entry'!$R58</xm:f>
            <x14:dxf>
              <fill>
                <patternFill>
                  <bgColor rgb="FFFFFF00"/>
                </patternFill>
              </fill>
            </x14:dxf>
          </x14:cfRule>
          <xm:sqref>BA161:BO161</xm:sqref>
        </x14:conditionalFormatting>
        <x14:conditionalFormatting xmlns:xm="http://schemas.microsoft.com/office/excel/2006/main">
          <x14:cfRule type="expression" priority="4700176" id="{058A23EC-3371-4A02-9F20-1ECA603AC6BC}">
            <xm:f>$BP$4='Data entry'!$R58</xm:f>
            <x14:dxf>
              <fill>
                <patternFill>
                  <bgColor rgb="FFFF0000"/>
                </patternFill>
              </fill>
            </x14:dxf>
          </x14:cfRule>
          <xm:sqref>BN162:BZ162</xm:sqref>
        </x14:conditionalFormatting>
        <x14:conditionalFormatting xmlns:xm="http://schemas.microsoft.com/office/excel/2006/main">
          <x14:cfRule type="expression" priority="4700177" id="{3E711E31-3992-4555-AB22-87133D60CD15}">
            <xm:f>$BP$4='Data entry'!$R58</xm:f>
            <x14:dxf>
              <fill>
                <patternFill>
                  <bgColor rgb="FFFFFF00"/>
                </patternFill>
              </fill>
            </x14:dxf>
          </x14:cfRule>
          <xm:sqref>BB161:BP161</xm:sqref>
        </x14:conditionalFormatting>
        <x14:conditionalFormatting xmlns:xm="http://schemas.microsoft.com/office/excel/2006/main">
          <x14:cfRule type="expression" priority="4700178" id="{23E9F8B9-37D5-4730-9453-6F23E8ECBBE3}">
            <xm:f>$BQ$4='Data entry'!$R58</xm:f>
            <x14:dxf>
              <fill>
                <patternFill>
                  <bgColor rgb="FFFFFF00"/>
                </patternFill>
              </fill>
            </x14:dxf>
          </x14:cfRule>
          <xm:sqref>BC161:BQ161</xm:sqref>
        </x14:conditionalFormatting>
        <x14:conditionalFormatting xmlns:xm="http://schemas.microsoft.com/office/excel/2006/main">
          <x14:cfRule type="expression" priority="4700179" id="{BCFD92F6-AAD3-44FD-BC61-A292A81B883E}">
            <xm:f>$BQ$4='Data entry'!$R58</xm:f>
            <x14:dxf>
              <fill>
                <patternFill>
                  <bgColor rgb="FFFF0000"/>
                </patternFill>
              </fill>
            </x14:dxf>
          </x14:cfRule>
          <xm:sqref>BO162:CA162</xm:sqref>
        </x14:conditionalFormatting>
        <x14:conditionalFormatting xmlns:xm="http://schemas.microsoft.com/office/excel/2006/main">
          <x14:cfRule type="expression" priority="4700180" id="{357D60E5-F356-477E-8020-A18F42C02832}">
            <xm:f>$BR$4='Data entry'!$R58</xm:f>
            <x14:dxf>
              <fill>
                <patternFill>
                  <bgColor rgb="FFFFFF00"/>
                </patternFill>
              </fill>
            </x14:dxf>
          </x14:cfRule>
          <xm:sqref>BD161:BR161</xm:sqref>
        </x14:conditionalFormatting>
        <x14:conditionalFormatting xmlns:xm="http://schemas.microsoft.com/office/excel/2006/main">
          <x14:cfRule type="expression" priority="4700181" id="{DA2B6511-43B3-432D-B6AA-1DB1188B90A6}">
            <xm:f>$BR$4='Data entry'!$R58</xm:f>
            <x14:dxf>
              <fill>
                <patternFill>
                  <bgColor rgb="FFFF0000"/>
                </patternFill>
              </fill>
            </x14:dxf>
          </x14:cfRule>
          <xm:sqref>BP162:CB162</xm:sqref>
        </x14:conditionalFormatting>
        <x14:conditionalFormatting xmlns:xm="http://schemas.microsoft.com/office/excel/2006/main">
          <x14:cfRule type="expression" priority="4700182" id="{0D5F64E4-4136-4BFA-B833-CC8578525D9C}">
            <xm:f>$BS$4='Data entry'!$R58</xm:f>
            <x14:dxf>
              <fill>
                <patternFill>
                  <bgColor rgb="FFFFFF00"/>
                </patternFill>
              </fill>
            </x14:dxf>
          </x14:cfRule>
          <xm:sqref>BE161:BS161</xm:sqref>
        </x14:conditionalFormatting>
        <x14:conditionalFormatting xmlns:xm="http://schemas.microsoft.com/office/excel/2006/main">
          <x14:cfRule type="expression" priority="4700183" id="{AC94D468-F078-4AE2-8771-102996E07B09}">
            <xm:f>$BS$4='Data entry'!$R58</xm:f>
            <x14:dxf>
              <fill>
                <patternFill>
                  <bgColor rgb="FFFF0000"/>
                </patternFill>
              </fill>
            </x14:dxf>
          </x14:cfRule>
          <xm:sqref>BQ162:CC162</xm:sqref>
        </x14:conditionalFormatting>
        <x14:conditionalFormatting xmlns:xm="http://schemas.microsoft.com/office/excel/2006/main">
          <x14:cfRule type="expression" priority="4700184" id="{10E78F76-181E-4F19-9F89-7DD36D3EFE30}">
            <xm:f>$BT$4='Data entry'!$R58</xm:f>
            <x14:dxf>
              <fill>
                <patternFill>
                  <bgColor rgb="FFFFFF00"/>
                </patternFill>
              </fill>
            </x14:dxf>
          </x14:cfRule>
          <xm:sqref>BF161:BT161</xm:sqref>
        </x14:conditionalFormatting>
        <x14:conditionalFormatting xmlns:xm="http://schemas.microsoft.com/office/excel/2006/main">
          <x14:cfRule type="expression" priority="4700185" id="{6A5FADC6-9512-4EFB-90A5-7B5244D10D1F}">
            <xm:f>$BT$4='Data entry'!$R58</xm:f>
            <x14:dxf>
              <fill>
                <patternFill>
                  <bgColor rgb="FFFF0000"/>
                </patternFill>
              </fill>
            </x14:dxf>
          </x14:cfRule>
          <xm:sqref>BR162:CC162</xm:sqref>
        </x14:conditionalFormatting>
        <x14:conditionalFormatting xmlns:xm="http://schemas.microsoft.com/office/excel/2006/main">
          <x14:cfRule type="expression" priority="4700186" id="{A51139D1-8841-4B96-B8CB-DFE3808765CF}">
            <xm:f>$BU$4='Data entry'!$R58</xm:f>
            <x14:dxf>
              <fill>
                <patternFill>
                  <bgColor rgb="FFFFFF00"/>
                </patternFill>
              </fill>
            </x14:dxf>
          </x14:cfRule>
          <xm:sqref>BG161:BU161</xm:sqref>
        </x14:conditionalFormatting>
        <x14:conditionalFormatting xmlns:xm="http://schemas.microsoft.com/office/excel/2006/main">
          <x14:cfRule type="expression" priority="4700187" id="{55CA7258-760F-4BFF-ACB5-A70FEB3E7981}">
            <xm:f>$BU$4='Data entry'!$R58</xm:f>
            <x14:dxf>
              <fill>
                <patternFill>
                  <bgColor rgb="FFFF0000"/>
                </patternFill>
              </fill>
            </x14:dxf>
          </x14:cfRule>
          <xm:sqref>BS162:CC162</xm:sqref>
        </x14:conditionalFormatting>
        <x14:conditionalFormatting xmlns:xm="http://schemas.microsoft.com/office/excel/2006/main">
          <x14:cfRule type="expression" priority="4700188" id="{A922B218-64DB-4CBB-9AB8-FE0EBB44E09E}">
            <xm:f>$BV$4='Data entry'!$R58</xm:f>
            <x14:dxf>
              <fill>
                <patternFill>
                  <bgColor rgb="FFFFFF00"/>
                </patternFill>
              </fill>
            </x14:dxf>
          </x14:cfRule>
          <xm:sqref>BH161:BV161</xm:sqref>
        </x14:conditionalFormatting>
        <x14:conditionalFormatting xmlns:xm="http://schemas.microsoft.com/office/excel/2006/main">
          <x14:cfRule type="expression" priority="4700189" id="{C98E908A-CD31-4778-B41C-7AFB9DBE639A}">
            <xm:f>$BV$4='Data entry'!$R58</xm:f>
            <x14:dxf>
              <fill>
                <patternFill>
                  <bgColor rgb="FFFF0000"/>
                </patternFill>
              </fill>
            </x14:dxf>
          </x14:cfRule>
          <xm:sqref>BT162:CC162</xm:sqref>
        </x14:conditionalFormatting>
        <x14:conditionalFormatting xmlns:xm="http://schemas.microsoft.com/office/excel/2006/main">
          <x14:cfRule type="expression" priority="4700190" id="{465CCCA3-B4DB-4B61-8AC7-8A5E4CEC9E3F}">
            <xm:f>$BW$4='Data entry'!$R58</xm:f>
            <x14:dxf>
              <fill>
                <patternFill>
                  <bgColor rgb="FFFFFF00"/>
                </patternFill>
              </fill>
            </x14:dxf>
          </x14:cfRule>
          <xm:sqref>BI161:BW161</xm:sqref>
        </x14:conditionalFormatting>
        <x14:conditionalFormatting xmlns:xm="http://schemas.microsoft.com/office/excel/2006/main">
          <x14:cfRule type="expression" priority="4700191" id="{37566F97-6D06-400B-A709-FE657B07687F}">
            <xm:f>$BW$4='Data entry'!$R58</xm:f>
            <x14:dxf>
              <fill>
                <patternFill>
                  <bgColor rgb="FFFF0000"/>
                </patternFill>
              </fill>
            </x14:dxf>
          </x14:cfRule>
          <xm:sqref>BU162:CC162</xm:sqref>
        </x14:conditionalFormatting>
        <x14:conditionalFormatting xmlns:xm="http://schemas.microsoft.com/office/excel/2006/main">
          <x14:cfRule type="expression" priority="4700192" id="{D8FBA3AC-5CF0-4E45-97CA-1D4DEE729ADA}">
            <xm:f>$BX$4='Data entry'!$R58</xm:f>
            <x14:dxf>
              <fill>
                <patternFill>
                  <bgColor rgb="FFFFFF00"/>
                </patternFill>
              </fill>
            </x14:dxf>
          </x14:cfRule>
          <xm:sqref>BJ161:BX161</xm:sqref>
        </x14:conditionalFormatting>
        <x14:conditionalFormatting xmlns:xm="http://schemas.microsoft.com/office/excel/2006/main">
          <x14:cfRule type="expression" priority="4700193" id="{E077C84B-A94F-431D-B232-4AFCC7C64F54}">
            <xm:f>$BX$4='Data entry'!$R58</xm:f>
            <x14:dxf>
              <fill>
                <patternFill>
                  <bgColor rgb="FFFF0000"/>
                </patternFill>
              </fill>
            </x14:dxf>
          </x14:cfRule>
          <xm:sqref>BV162:CC162</xm:sqref>
        </x14:conditionalFormatting>
        <x14:conditionalFormatting xmlns:xm="http://schemas.microsoft.com/office/excel/2006/main">
          <x14:cfRule type="expression" priority="4700194" id="{63783BA8-0C97-4A44-86FD-7A2BCF1B9957}">
            <xm:f>$BY$4='Data entry'!$R58</xm:f>
            <x14:dxf>
              <fill>
                <patternFill>
                  <bgColor rgb="FFFFFF00"/>
                </patternFill>
              </fill>
            </x14:dxf>
          </x14:cfRule>
          <xm:sqref>BK161:BY161</xm:sqref>
        </x14:conditionalFormatting>
        <x14:conditionalFormatting xmlns:xm="http://schemas.microsoft.com/office/excel/2006/main">
          <x14:cfRule type="expression" priority="4700195" id="{BB8DB8B4-B71B-46D2-AEE7-346F16103F74}">
            <xm:f>$BY$4='Data entry'!$R58</xm:f>
            <x14:dxf>
              <fill>
                <patternFill>
                  <bgColor rgb="FFFF0000"/>
                </patternFill>
              </fill>
            </x14:dxf>
          </x14:cfRule>
          <xm:sqref>BW162:CC162</xm:sqref>
        </x14:conditionalFormatting>
        <x14:conditionalFormatting xmlns:xm="http://schemas.microsoft.com/office/excel/2006/main">
          <x14:cfRule type="expression" priority="4700196" id="{1B638B98-2B06-4FEB-90C1-446A3E0A3979}">
            <xm:f>$BZ$4='Data entry'!$R58</xm:f>
            <x14:dxf>
              <fill>
                <patternFill>
                  <bgColor rgb="FFFFFF00"/>
                </patternFill>
              </fill>
            </x14:dxf>
          </x14:cfRule>
          <xm:sqref>BL161:BZ161</xm:sqref>
        </x14:conditionalFormatting>
        <x14:conditionalFormatting xmlns:xm="http://schemas.microsoft.com/office/excel/2006/main">
          <x14:cfRule type="expression" priority="4700197" id="{D3A0A2F8-D1B2-4DC5-B2A9-0EF53074E685}">
            <xm:f>$BZ$4='Data entry'!$R58</xm:f>
            <x14:dxf>
              <fill>
                <patternFill>
                  <bgColor rgb="FFFF0000"/>
                </patternFill>
              </fill>
            </x14:dxf>
          </x14:cfRule>
          <xm:sqref>BX162:CC162</xm:sqref>
        </x14:conditionalFormatting>
        <x14:conditionalFormatting xmlns:xm="http://schemas.microsoft.com/office/excel/2006/main">
          <x14:cfRule type="expression" priority="4700198" id="{83F6D018-7D3B-4D33-9998-11572F2F2FF5}">
            <xm:f>$CA$4='Data entry'!$R58</xm:f>
            <x14:dxf>
              <fill>
                <patternFill>
                  <bgColor rgb="FFFFFF00"/>
                </patternFill>
              </fill>
            </x14:dxf>
          </x14:cfRule>
          <xm:sqref>BM161:CA161</xm:sqref>
        </x14:conditionalFormatting>
        <x14:conditionalFormatting xmlns:xm="http://schemas.microsoft.com/office/excel/2006/main">
          <x14:cfRule type="expression" priority="4700199" id="{8E6D0B51-5626-4ED9-9072-C7A2C139704F}">
            <xm:f>$CA$4='Data entry'!$R58</xm:f>
            <x14:dxf>
              <fill>
                <patternFill>
                  <bgColor rgb="FFFF0000"/>
                </patternFill>
              </fill>
            </x14:dxf>
          </x14:cfRule>
          <xm:sqref>BY162:CC162</xm:sqref>
        </x14:conditionalFormatting>
        <x14:conditionalFormatting xmlns:xm="http://schemas.microsoft.com/office/excel/2006/main">
          <x14:cfRule type="expression" priority="4700200" id="{E1886EE4-3BDE-43A9-9F4B-79377FEC37FE}">
            <xm:f>$CB$4='Data entry'!$R58</xm:f>
            <x14:dxf>
              <fill>
                <patternFill>
                  <bgColor rgb="FFFFFF00"/>
                </patternFill>
              </fill>
            </x14:dxf>
          </x14:cfRule>
          <xm:sqref>BN161:CB161</xm:sqref>
        </x14:conditionalFormatting>
        <x14:conditionalFormatting xmlns:xm="http://schemas.microsoft.com/office/excel/2006/main">
          <x14:cfRule type="expression" priority="4700201" id="{ADEF572A-6C18-4602-BB86-01C96D36E07E}">
            <xm:f>$CB$4='Data entry'!$R58</xm:f>
            <x14:dxf>
              <fill>
                <patternFill>
                  <bgColor rgb="FFFF0000"/>
                </patternFill>
              </fill>
            </x14:dxf>
          </x14:cfRule>
          <xm:sqref>BZ162:CC162</xm:sqref>
        </x14:conditionalFormatting>
        <x14:conditionalFormatting xmlns:xm="http://schemas.microsoft.com/office/excel/2006/main">
          <x14:cfRule type="expression" priority="4700202" id="{7984E1C9-E073-4955-8543-62145CB6D008}">
            <xm:f>$CC$4='Data entry'!$R58</xm:f>
            <x14:dxf>
              <fill>
                <patternFill>
                  <bgColor rgb="FFFFFF00"/>
                </patternFill>
              </fill>
            </x14:dxf>
          </x14:cfRule>
          <xm:sqref>BO161:CC161</xm:sqref>
        </x14:conditionalFormatting>
        <x14:conditionalFormatting xmlns:xm="http://schemas.microsoft.com/office/excel/2006/main">
          <x14:cfRule type="expression" priority="4700203" id="{18A957B3-59FA-4698-BA92-2A208FF18E2F}">
            <xm:f>$CC$4='Data entry'!$R58</xm:f>
            <x14:dxf>
              <fill>
                <patternFill>
                  <bgColor rgb="FFFF0000"/>
                </patternFill>
              </fill>
            </x14:dxf>
          </x14:cfRule>
          <xm:sqref>CA162:CC162</xm:sqref>
        </x14:conditionalFormatting>
        <x14:conditionalFormatting xmlns:xm="http://schemas.microsoft.com/office/excel/2006/main">
          <x14:cfRule type="expression" priority="4700290" id="{5B0DB825-B7C2-40AC-B7EF-F267F054CFB9}">
            <xm:f>$U$4='Data entry'!$R59</xm:f>
            <x14:dxf>
              <fill>
                <patternFill>
                  <bgColor rgb="FFFF0000"/>
                </patternFill>
              </fill>
            </x14:dxf>
          </x14:cfRule>
          <xm:sqref>S165:AE165</xm:sqref>
        </x14:conditionalFormatting>
        <x14:conditionalFormatting xmlns:xm="http://schemas.microsoft.com/office/excel/2006/main">
          <x14:cfRule type="expression" priority="4700291" id="{18311200-E2BB-400F-B594-3B9A2C6068C2}">
            <xm:f>$V$4='Data entry'!$R59</xm:f>
            <x14:dxf>
              <fill>
                <patternFill>
                  <bgColor rgb="FFFF0000"/>
                </patternFill>
              </fill>
            </x14:dxf>
          </x14:cfRule>
          <xm:sqref>T165:AF165</xm:sqref>
        </x14:conditionalFormatting>
        <x14:conditionalFormatting xmlns:xm="http://schemas.microsoft.com/office/excel/2006/main">
          <x14:cfRule type="expression" priority="4700292" id="{D6DFB621-1A58-4C59-A987-ECAD0EB2D32B}">
            <xm:f>$V$4='Data entry'!$R59</xm:f>
            <x14:dxf>
              <fill>
                <patternFill>
                  <bgColor rgb="FFFFFF00"/>
                </patternFill>
              </fill>
            </x14:dxf>
          </x14:cfRule>
          <xm:sqref>H164:V164</xm:sqref>
        </x14:conditionalFormatting>
        <x14:conditionalFormatting xmlns:xm="http://schemas.microsoft.com/office/excel/2006/main">
          <x14:cfRule type="expression" priority="4700293" id="{5F87A680-DC5F-433D-A779-B7A534ACCDA9}">
            <xm:f>$W$4='Data entry'!$R59</xm:f>
            <x14:dxf>
              <fill>
                <patternFill>
                  <bgColor rgb="FFFF0000"/>
                </patternFill>
              </fill>
            </x14:dxf>
          </x14:cfRule>
          <xm:sqref>U165:AG165</xm:sqref>
        </x14:conditionalFormatting>
        <x14:conditionalFormatting xmlns:xm="http://schemas.microsoft.com/office/excel/2006/main">
          <x14:cfRule type="expression" priority="4700294" id="{964539FF-A92C-4F68-B268-B7157A32678C}">
            <xm:f>$W$4='Data entry'!$R59</xm:f>
            <x14:dxf>
              <fill>
                <patternFill>
                  <bgColor rgb="FFFFFF00"/>
                </patternFill>
              </fill>
            </x14:dxf>
          </x14:cfRule>
          <xm:sqref>I164:W164</xm:sqref>
        </x14:conditionalFormatting>
        <x14:conditionalFormatting xmlns:xm="http://schemas.microsoft.com/office/excel/2006/main">
          <x14:cfRule type="expression" priority="4700295" id="{46C1533A-F090-4A90-9309-3F59EC3FD3B0}">
            <xm:f>$X$4='Data entry'!$R59</xm:f>
            <x14:dxf>
              <fill>
                <patternFill>
                  <bgColor rgb="FFFF0000"/>
                </patternFill>
              </fill>
            </x14:dxf>
          </x14:cfRule>
          <xm:sqref>V165:AH165</xm:sqref>
        </x14:conditionalFormatting>
        <x14:conditionalFormatting xmlns:xm="http://schemas.microsoft.com/office/excel/2006/main">
          <x14:cfRule type="expression" priority="4700296" id="{7C70E81C-DDD4-4D75-933A-4F6A39893184}">
            <xm:f>$X$4='Data entry'!$R59</xm:f>
            <x14:dxf>
              <fill>
                <patternFill>
                  <bgColor rgb="FFFFFF00"/>
                </patternFill>
              </fill>
            </x14:dxf>
          </x14:cfRule>
          <xm:sqref>J164:X164</xm:sqref>
        </x14:conditionalFormatting>
        <x14:conditionalFormatting xmlns:xm="http://schemas.microsoft.com/office/excel/2006/main">
          <x14:cfRule type="expression" priority="4700297" id="{561AF073-0EF8-4B72-A119-40A639C4359D}">
            <xm:f>$Y$4='Data entry'!$R59</xm:f>
            <x14:dxf>
              <fill>
                <patternFill>
                  <bgColor rgb="FFFF0000"/>
                </patternFill>
              </fill>
            </x14:dxf>
          </x14:cfRule>
          <xm:sqref>W165:AI165</xm:sqref>
        </x14:conditionalFormatting>
        <x14:conditionalFormatting xmlns:xm="http://schemas.microsoft.com/office/excel/2006/main">
          <x14:cfRule type="expression" priority="4700298" id="{F242E808-8F07-4A89-9524-7D4C767CE357}">
            <xm:f>$Y$4='Data entry'!$R59</xm:f>
            <x14:dxf>
              <fill>
                <patternFill>
                  <bgColor rgb="FFFFFF00"/>
                </patternFill>
              </fill>
            </x14:dxf>
          </x14:cfRule>
          <xm:sqref>K164:Y164</xm:sqref>
        </x14:conditionalFormatting>
        <x14:conditionalFormatting xmlns:xm="http://schemas.microsoft.com/office/excel/2006/main">
          <x14:cfRule type="expression" priority="4700299" id="{DD601058-982B-4218-BD9D-64BB823C2633}">
            <xm:f>$Z$4='Data entry'!$R59</xm:f>
            <x14:dxf>
              <fill>
                <patternFill>
                  <bgColor rgb="FFFF0000"/>
                </patternFill>
              </fill>
            </x14:dxf>
          </x14:cfRule>
          <xm:sqref>X165:AJ165</xm:sqref>
        </x14:conditionalFormatting>
        <x14:conditionalFormatting xmlns:xm="http://schemas.microsoft.com/office/excel/2006/main">
          <x14:cfRule type="expression" priority="4700300" id="{C9DB141D-79F6-4093-92A3-7BF7A1622985}">
            <xm:f>$Z$4='Data entry'!$R59</xm:f>
            <x14:dxf>
              <fill>
                <patternFill>
                  <bgColor rgb="FFFFFF00"/>
                </patternFill>
              </fill>
            </x14:dxf>
          </x14:cfRule>
          <xm:sqref>L164:Z164</xm:sqref>
        </x14:conditionalFormatting>
        <x14:conditionalFormatting xmlns:xm="http://schemas.microsoft.com/office/excel/2006/main">
          <x14:cfRule type="expression" priority="4700301" id="{710EB8D3-F5C0-4E3C-8214-2D0C4E26F649}">
            <xm:f>$AA$4='Data entry'!$R59</xm:f>
            <x14:dxf>
              <fill>
                <patternFill>
                  <bgColor rgb="FFFF0000"/>
                </patternFill>
              </fill>
            </x14:dxf>
          </x14:cfRule>
          <xm:sqref>Y165:AK165</xm:sqref>
        </x14:conditionalFormatting>
        <x14:conditionalFormatting xmlns:xm="http://schemas.microsoft.com/office/excel/2006/main">
          <x14:cfRule type="expression" priority="4700302" id="{33825D69-C967-4D27-B395-5D44A3083802}">
            <xm:f>$AA$4='Data entry'!$R59</xm:f>
            <x14:dxf>
              <fill>
                <patternFill>
                  <bgColor rgb="FFFFFF00"/>
                </patternFill>
              </fill>
            </x14:dxf>
          </x14:cfRule>
          <xm:sqref>M164:AA164</xm:sqref>
        </x14:conditionalFormatting>
        <x14:conditionalFormatting xmlns:xm="http://schemas.microsoft.com/office/excel/2006/main">
          <x14:cfRule type="expression" priority="4700303" id="{9811A97D-351B-4D32-8754-AF433277E62B}">
            <xm:f>$AB$4='Data entry'!$R59</xm:f>
            <x14:dxf>
              <fill>
                <patternFill>
                  <bgColor rgb="FFFF0000"/>
                </patternFill>
              </fill>
            </x14:dxf>
          </x14:cfRule>
          <xm:sqref>Z165:AL165</xm:sqref>
        </x14:conditionalFormatting>
        <x14:conditionalFormatting xmlns:xm="http://schemas.microsoft.com/office/excel/2006/main">
          <x14:cfRule type="expression" priority="4700304" id="{6DD3E556-C72E-438B-92DA-3096ED1E4178}">
            <xm:f>$AB$4='Data entry'!$R59</xm:f>
            <x14:dxf>
              <fill>
                <patternFill>
                  <bgColor rgb="FFFFFF00"/>
                </patternFill>
              </fill>
            </x14:dxf>
          </x14:cfRule>
          <xm:sqref>N164:AB164</xm:sqref>
        </x14:conditionalFormatting>
        <x14:conditionalFormatting xmlns:xm="http://schemas.microsoft.com/office/excel/2006/main">
          <x14:cfRule type="expression" priority="4700305" id="{C0DF7A1B-D6BC-4371-BD3A-F0708147FA1C}">
            <xm:f>$AC$4='Data entry'!$R59</xm:f>
            <x14:dxf>
              <fill>
                <patternFill>
                  <bgColor rgb="FFFF0000"/>
                </patternFill>
              </fill>
            </x14:dxf>
          </x14:cfRule>
          <xm:sqref>AA165:AM165</xm:sqref>
        </x14:conditionalFormatting>
        <x14:conditionalFormatting xmlns:xm="http://schemas.microsoft.com/office/excel/2006/main">
          <x14:cfRule type="expression" priority="4700306" id="{DB2E1F48-AF0E-41F9-A976-6B1963CA5711}">
            <xm:f>$AC$4='Data entry'!$R59</xm:f>
            <x14:dxf>
              <fill>
                <patternFill>
                  <bgColor rgb="FFFFFF00"/>
                </patternFill>
              </fill>
            </x14:dxf>
          </x14:cfRule>
          <xm:sqref>O164:AC164</xm:sqref>
        </x14:conditionalFormatting>
        <x14:conditionalFormatting xmlns:xm="http://schemas.microsoft.com/office/excel/2006/main">
          <x14:cfRule type="expression" priority="4700307" id="{89909907-F9A9-4AF9-BC1D-304710A43F50}">
            <xm:f>$AD$4='Data entry'!$R59</xm:f>
            <x14:dxf>
              <fill>
                <patternFill>
                  <bgColor rgb="FFFF0000"/>
                </patternFill>
              </fill>
            </x14:dxf>
          </x14:cfRule>
          <xm:sqref>AB165:AN165</xm:sqref>
        </x14:conditionalFormatting>
        <x14:conditionalFormatting xmlns:xm="http://schemas.microsoft.com/office/excel/2006/main">
          <x14:cfRule type="expression" priority="4700308" id="{729676B7-E331-43A4-ACC9-850DCEE76A0E}">
            <xm:f>$AD$4='Data entry'!$R59</xm:f>
            <x14:dxf>
              <fill>
                <patternFill>
                  <bgColor rgb="FFFFFF00"/>
                </patternFill>
              </fill>
            </x14:dxf>
          </x14:cfRule>
          <xm:sqref>P164:AD164</xm:sqref>
        </x14:conditionalFormatting>
        <x14:conditionalFormatting xmlns:xm="http://schemas.microsoft.com/office/excel/2006/main">
          <x14:cfRule type="expression" priority="4700309" id="{00DA2C55-350E-44AA-ABEA-808FABFDA737}">
            <xm:f>$AE$4='Data entry'!$R59</xm:f>
            <x14:dxf>
              <fill>
                <patternFill>
                  <bgColor rgb="FFFF0000"/>
                </patternFill>
              </fill>
            </x14:dxf>
          </x14:cfRule>
          <xm:sqref>AC165:AO165</xm:sqref>
        </x14:conditionalFormatting>
        <x14:conditionalFormatting xmlns:xm="http://schemas.microsoft.com/office/excel/2006/main">
          <x14:cfRule type="expression" priority="4700310" id="{373C95F1-00C1-45E9-B561-5224945BA4A4}">
            <xm:f>$AE$4='Data entry'!$R59</xm:f>
            <x14:dxf>
              <fill>
                <patternFill>
                  <bgColor rgb="FFFFFF00"/>
                </patternFill>
              </fill>
            </x14:dxf>
          </x14:cfRule>
          <xm:sqref>Q164:AE164</xm:sqref>
        </x14:conditionalFormatting>
        <x14:conditionalFormatting xmlns:xm="http://schemas.microsoft.com/office/excel/2006/main">
          <x14:cfRule type="expression" priority="4700311" id="{65E90E74-6BEF-4B00-BD5E-ECACFEBC225A}">
            <xm:f>$AF$4='Data entry'!$R59</xm:f>
            <x14:dxf>
              <fill>
                <patternFill>
                  <bgColor rgb="FFFF0000"/>
                </patternFill>
              </fill>
            </x14:dxf>
          </x14:cfRule>
          <xm:sqref>AD165:AP165</xm:sqref>
        </x14:conditionalFormatting>
        <x14:conditionalFormatting xmlns:xm="http://schemas.microsoft.com/office/excel/2006/main">
          <x14:cfRule type="expression" priority="4700312" id="{56B519D7-E083-4811-B42B-D6CB10D44BB3}">
            <xm:f>$AF$4='Data entry'!$R59</xm:f>
            <x14:dxf>
              <fill>
                <patternFill>
                  <bgColor rgb="FFFFFF00"/>
                </patternFill>
              </fill>
            </x14:dxf>
          </x14:cfRule>
          <xm:sqref>R164:AF164</xm:sqref>
        </x14:conditionalFormatting>
        <x14:conditionalFormatting xmlns:xm="http://schemas.microsoft.com/office/excel/2006/main">
          <x14:cfRule type="expression" priority="4700313" id="{889682B6-BF9B-414B-86B7-1C802156B058}">
            <xm:f>$AG$4='Data entry'!$R59</xm:f>
            <x14:dxf>
              <fill>
                <patternFill>
                  <bgColor rgb="FFFF0000"/>
                </patternFill>
              </fill>
            </x14:dxf>
          </x14:cfRule>
          <xm:sqref>AE165:AQ165</xm:sqref>
        </x14:conditionalFormatting>
        <x14:conditionalFormatting xmlns:xm="http://schemas.microsoft.com/office/excel/2006/main">
          <x14:cfRule type="expression" priority="4700314" id="{19913D88-1940-4CB0-B29C-D46D60833BD5}">
            <xm:f>$AG$4='Data entry'!$R59</xm:f>
            <x14:dxf>
              <fill>
                <patternFill>
                  <bgColor rgb="FFFFFF00"/>
                </patternFill>
              </fill>
            </x14:dxf>
          </x14:cfRule>
          <xm:sqref>S164:AG164</xm:sqref>
        </x14:conditionalFormatting>
        <x14:conditionalFormatting xmlns:xm="http://schemas.microsoft.com/office/excel/2006/main">
          <x14:cfRule type="expression" priority="4700315" id="{3DD7B9A5-18A3-463F-BAD5-9796FC487328}">
            <xm:f>$AH$4='Data entry'!$R59</xm:f>
            <x14:dxf>
              <fill>
                <patternFill>
                  <bgColor rgb="FFFF0000"/>
                </patternFill>
              </fill>
            </x14:dxf>
          </x14:cfRule>
          <xm:sqref>AF165:AR165</xm:sqref>
        </x14:conditionalFormatting>
        <x14:conditionalFormatting xmlns:xm="http://schemas.microsoft.com/office/excel/2006/main">
          <x14:cfRule type="expression" priority="4700316" id="{31005CF4-5608-496E-91EB-F7F505046C80}">
            <xm:f>$AH$4='Data entry'!$R59</xm:f>
            <x14:dxf>
              <fill>
                <patternFill>
                  <bgColor rgb="FFFFFF00"/>
                </patternFill>
              </fill>
            </x14:dxf>
          </x14:cfRule>
          <xm:sqref>T164:AH164</xm:sqref>
        </x14:conditionalFormatting>
        <x14:conditionalFormatting xmlns:xm="http://schemas.microsoft.com/office/excel/2006/main">
          <x14:cfRule type="expression" priority="4700317" id="{CD14F654-5B7A-444F-8FC1-7DD71E76E475}">
            <xm:f>$AI$4='Data entry'!$R59</xm:f>
            <x14:dxf>
              <fill>
                <patternFill>
                  <bgColor rgb="FFFF0000"/>
                </patternFill>
              </fill>
            </x14:dxf>
          </x14:cfRule>
          <xm:sqref>AG165:AS165</xm:sqref>
        </x14:conditionalFormatting>
        <x14:conditionalFormatting xmlns:xm="http://schemas.microsoft.com/office/excel/2006/main">
          <x14:cfRule type="expression" priority="4700318" id="{0E4E448C-6C46-4285-B877-A61A90294385}">
            <xm:f>$AI$4='Data entry'!$R59</xm:f>
            <x14:dxf>
              <fill>
                <patternFill>
                  <bgColor rgb="FFFFFF00"/>
                </patternFill>
              </fill>
            </x14:dxf>
          </x14:cfRule>
          <xm:sqref>U164:AI164</xm:sqref>
        </x14:conditionalFormatting>
        <x14:conditionalFormatting xmlns:xm="http://schemas.microsoft.com/office/excel/2006/main">
          <x14:cfRule type="expression" priority="4700319" id="{B1C1818F-791C-403D-BE73-6F6E9DC6A16D}">
            <xm:f>$AJ$4='Data entry'!$R59</xm:f>
            <x14:dxf>
              <fill>
                <patternFill>
                  <bgColor rgb="FFFF0000"/>
                </patternFill>
              </fill>
            </x14:dxf>
          </x14:cfRule>
          <xm:sqref>AH165:AT165</xm:sqref>
        </x14:conditionalFormatting>
        <x14:conditionalFormatting xmlns:xm="http://schemas.microsoft.com/office/excel/2006/main">
          <x14:cfRule type="expression" priority="4700320" id="{A1237792-221B-431B-B8A7-E9A64DA46D93}">
            <xm:f>$AJ$4='Data entry'!$R59</xm:f>
            <x14:dxf>
              <fill>
                <patternFill>
                  <bgColor rgb="FFFFFF00"/>
                </patternFill>
              </fill>
            </x14:dxf>
          </x14:cfRule>
          <xm:sqref>V164:AJ164</xm:sqref>
        </x14:conditionalFormatting>
        <x14:conditionalFormatting xmlns:xm="http://schemas.microsoft.com/office/excel/2006/main">
          <x14:cfRule type="expression" priority="4700321" id="{617DC2AF-C7A3-4724-8EA3-17DEFEDC8949}">
            <xm:f>$AK$4='Data entry'!$R59</xm:f>
            <x14:dxf>
              <fill>
                <patternFill>
                  <bgColor rgb="FFFF0000"/>
                </patternFill>
              </fill>
            </x14:dxf>
          </x14:cfRule>
          <xm:sqref>AI165:AU165</xm:sqref>
        </x14:conditionalFormatting>
        <x14:conditionalFormatting xmlns:xm="http://schemas.microsoft.com/office/excel/2006/main">
          <x14:cfRule type="expression" priority="4700322" id="{AA72317D-37B1-48EB-A28B-BF2AC8DC4519}">
            <xm:f>$AK$4='Data entry'!$R59</xm:f>
            <x14:dxf>
              <fill>
                <patternFill>
                  <bgColor rgb="FFFFFF00"/>
                </patternFill>
              </fill>
            </x14:dxf>
          </x14:cfRule>
          <xm:sqref>W164:AK164</xm:sqref>
        </x14:conditionalFormatting>
        <x14:conditionalFormatting xmlns:xm="http://schemas.microsoft.com/office/excel/2006/main">
          <x14:cfRule type="expression" priority="4700323" id="{6CA9FB7A-20EA-4D3A-B74C-A001F4BE810D}">
            <xm:f>$AL$4='Data entry'!$R59</xm:f>
            <x14:dxf>
              <fill>
                <patternFill>
                  <bgColor rgb="FFFF0000"/>
                </patternFill>
              </fill>
            </x14:dxf>
          </x14:cfRule>
          <xm:sqref>AJ165:AV165</xm:sqref>
        </x14:conditionalFormatting>
        <x14:conditionalFormatting xmlns:xm="http://schemas.microsoft.com/office/excel/2006/main">
          <x14:cfRule type="expression" priority="4700324" id="{81A75DAA-573F-4EF3-A640-1B992C18BEA0}">
            <xm:f>$AL$4='Data entry'!$R59</xm:f>
            <x14:dxf>
              <fill>
                <patternFill>
                  <bgColor rgb="FFFFFF00"/>
                </patternFill>
              </fill>
            </x14:dxf>
          </x14:cfRule>
          <xm:sqref>X164:AL164</xm:sqref>
        </x14:conditionalFormatting>
        <x14:conditionalFormatting xmlns:xm="http://schemas.microsoft.com/office/excel/2006/main">
          <x14:cfRule type="expression" priority="4700325" id="{3D44713E-4ABA-4CCD-9DF4-5513A9FB5E1E}">
            <xm:f>$AM$4='Data entry'!$R59</xm:f>
            <x14:dxf>
              <fill>
                <patternFill>
                  <bgColor rgb="FFFF0000"/>
                </patternFill>
              </fill>
            </x14:dxf>
          </x14:cfRule>
          <xm:sqref>AK165:AW165</xm:sqref>
        </x14:conditionalFormatting>
        <x14:conditionalFormatting xmlns:xm="http://schemas.microsoft.com/office/excel/2006/main">
          <x14:cfRule type="expression" priority="4700326" id="{05A26B51-72A7-4423-822F-2BDBC28275D0}">
            <xm:f>$AM$4='Data entry'!$R59</xm:f>
            <x14:dxf>
              <fill>
                <patternFill>
                  <bgColor rgb="FFFFFF00"/>
                </patternFill>
              </fill>
            </x14:dxf>
          </x14:cfRule>
          <xm:sqref>Y164:AM164</xm:sqref>
        </x14:conditionalFormatting>
        <x14:conditionalFormatting xmlns:xm="http://schemas.microsoft.com/office/excel/2006/main">
          <x14:cfRule type="expression" priority="4700327" id="{B8A20675-6230-4694-A7F6-6B3DC7142773}">
            <xm:f>$AN$4='Data entry'!$R59</xm:f>
            <x14:dxf>
              <fill>
                <patternFill>
                  <bgColor rgb="FFFF0000"/>
                </patternFill>
              </fill>
            </x14:dxf>
          </x14:cfRule>
          <xm:sqref>AL165:AX165</xm:sqref>
        </x14:conditionalFormatting>
        <x14:conditionalFormatting xmlns:xm="http://schemas.microsoft.com/office/excel/2006/main">
          <x14:cfRule type="expression" priority="4700328" id="{8421181C-7450-42E9-BC1D-065CCFCA960E}">
            <xm:f>$AN$4='Data entry'!$R59</xm:f>
            <x14:dxf>
              <fill>
                <patternFill>
                  <bgColor rgb="FFFFFF00"/>
                </patternFill>
              </fill>
            </x14:dxf>
          </x14:cfRule>
          <xm:sqref>Z164:AN164</xm:sqref>
        </x14:conditionalFormatting>
        <x14:conditionalFormatting xmlns:xm="http://schemas.microsoft.com/office/excel/2006/main">
          <x14:cfRule type="expression" priority="4700329" id="{067FE4BD-6EF4-4684-B6E0-35AB2F267EE7}">
            <xm:f>$AO$4='Data entry'!$R59</xm:f>
            <x14:dxf>
              <fill>
                <patternFill>
                  <bgColor rgb="FFFF0000"/>
                </patternFill>
              </fill>
            </x14:dxf>
          </x14:cfRule>
          <xm:sqref>AM165:AY165</xm:sqref>
        </x14:conditionalFormatting>
        <x14:conditionalFormatting xmlns:xm="http://schemas.microsoft.com/office/excel/2006/main">
          <x14:cfRule type="expression" priority="4700330" id="{F7653492-88D1-47AC-8BA3-0CCE65C3C2AB}">
            <xm:f>$AO$4='Data entry'!$R59</xm:f>
            <x14:dxf>
              <fill>
                <patternFill>
                  <bgColor rgb="FFFFFF00"/>
                </patternFill>
              </fill>
            </x14:dxf>
          </x14:cfRule>
          <xm:sqref>AA164:AO164</xm:sqref>
        </x14:conditionalFormatting>
        <x14:conditionalFormatting xmlns:xm="http://schemas.microsoft.com/office/excel/2006/main">
          <x14:cfRule type="expression" priority="4700331" id="{207A5E5D-B322-482E-9193-1D7318138358}">
            <xm:f>$AP$4='Data entry'!$R59</xm:f>
            <x14:dxf>
              <fill>
                <patternFill>
                  <bgColor rgb="FFFF0000"/>
                </patternFill>
              </fill>
            </x14:dxf>
          </x14:cfRule>
          <xm:sqref>AN165:AZ165</xm:sqref>
        </x14:conditionalFormatting>
        <x14:conditionalFormatting xmlns:xm="http://schemas.microsoft.com/office/excel/2006/main">
          <x14:cfRule type="expression" priority="4700332" id="{21DA638D-4CA0-4067-BFF1-240CE1A0261B}">
            <xm:f>$AP$4='Data entry'!$R59</xm:f>
            <x14:dxf>
              <fill>
                <patternFill>
                  <bgColor rgb="FFFFFF00"/>
                </patternFill>
              </fill>
            </x14:dxf>
          </x14:cfRule>
          <xm:sqref>AB164:AP164</xm:sqref>
        </x14:conditionalFormatting>
        <x14:conditionalFormatting xmlns:xm="http://schemas.microsoft.com/office/excel/2006/main">
          <x14:cfRule type="expression" priority="4700333" id="{71963D96-A42A-4B90-BFC7-6D83D37766EF}">
            <xm:f>$AQ$4='Data entry'!$R59</xm:f>
            <x14:dxf>
              <fill>
                <patternFill>
                  <bgColor rgb="FFFF0000"/>
                </patternFill>
              </fill>
            </x14:dxf>
          </x14:cfRule>
          <xm:sqref>AO165:BA165</xm:sqref>
        </x14:conditionalFormatting>
        <x14:conditionalFormatting xmlns:xm="http://schemas.microsoft.com/office/excel/2006/main">
          <x14:cfRule type="expression" priority="4700334" id="{74952595-84B6-484F-8FF6-FCC1F337DF4D}">
            <xm:f>$AQ$4='Data entry'!$R59</xm:f>
            <x14:dxf>
              <fill>
                <patternFill>
                  <bgColor rgb="FFFFFF00"/>
                </patternFill>
              </fill>
            </x14:dxf>
          </x14:cfRule>
          <xm:sqref>AC164:AQ164</xm:sqref>
        </x14:conditionalFormatting>
        <x14:conditionalFormatting xmlns:xm="http://schemas.microsoft.com/office/excel/2006/main">
          <x14:cfRule type="expression" priority="4700335" id="{8AC9C4B9-0A34-4BC0-B0F7-CA89434C4911}">
            <xm:f>$P$4='Data entry'!$R59</xm:f>
            <x14:dxf>
              <fill>
                <patternFill>
                  <bgColor rgb="FFFFFF00"/>
                </patternFill>
              </fill>
            </x14:dxf>
          </x14:cfRule>
          <xm:sqref>C164:P164</xm:sqref>
        </x14:conditionalFormatting>
        <x14:conditionalFormatting xmlns:xm="http://schemas.microsoft.com/office/excel/2006/main">
          <x14:cfRule type="expression" priority="4700336" id="{0A726775-ABFD-4F22-967C-1A4D87BA3751}">
            <xm:f>$Q$4='Data entry'!$R59</xm:f>
            <x14:dxf>
              <fill>
                <patternFill>
                  <bgColor rgb="FFFFFF00"/>
                </patternFill>
              </fill>
            </x14:dxf>
          </x14:cfRule>
          <xm:sqref>C164:Q164</xm:sqref>
        </x14:conditionalFormatting>
        <x14:conditionalFormatting xmlns:xm="http://schemas.microsoft.com/office/excel/2006/main">
          <x14:cfRule type="expression" priority="4700337" id="{3A8414BD-262C-43B5-86EE-FA6901D00453}">
            <xm:f>$Q$4='Data entry'!$R59</xm:f>
            <x14:dxf>
              <fill>
                <patternFill>
                  <bgColor rgb="FFFF0000"/>
                </patternFill>
              </fill>
            </x14:dxf>
          </x14:cfRule>
          <xm:sqref>O165:AA165</xm:sqref>
        </x14:conditionalFormatting>
        <x14:conditionalFormatting xmlns:xm="http://schemas.microsoft.com/office/excel/2006/main">
          <x14:cfRule type="expression" priority="4700338" id="{B8B5501D-F3EF-4449-9306-F652960C65F4}">
            <xm:f>$R$4='Data entry'!$R59</xm:f>
            <x14:dxf>
              <fill>
                <patternFill>
                  <bgColor rgb="FFFF0000"/>
                </patternFill>
              </fill>
            </x14:dxf>
          </x14:cfRule>
          <xm:sqref>P165:AB165</xm:sqref>
        </x14:conditionalFormatting>
        <x14:conditionalFormatting xmlns:xm="http://schemas.microsoft.com/office/excel/2006/main">
          <x14:cfRule type="expression" priority="4700339" id="{5D070DEC-B82E-4D87-B907-A3E5AB836991}">
            <xm:f>$R$4='Data entry'!$R59</xm:f>
            <x14:dxf>
              <fill>
                <patternFill>
                  <bgColor rgb="FFFFFF00"/>
                </patternFill>
              </fill>
            </x14:dxf>
          </x14:cfRule>
          <xm:sqref>D164:R164</xm:sqref>
        </x14:conditionalFormatting>
        <x14:conditionalFormatting xmlns:xm="http://schemas.microsoft.com/office/excel/2006/main">
          <x14:cfRule type="expression" priority="4700340" id="{E4D16A10-F818-4664-9FB2-F0E839824D4B}">
            <xm:f>$S$4='Data entry'!$R59</xm:f>
            <x14:dxf>
              <fill>
                <patternFill>
                  <bgColor rgb="FFFF0000"/>
                </patternFill>
              </fill>
            </x14:dxf>
          </x14:cfRule>
          <xm:sqref>Q165:AC165</xm:sqref>
        </x14:conditionalFormatting>
        <x14:conditionalFormatting xmlns:xm="http://schemas.microsoft.com/office/excel/2006/main">
          <x14:cfRule type="expression" priority="4700341" id="{1A9F9911-A3E9-4730-AFBE-AB8C596545CA}">
            <xm:f>$S$4='Data entry'!$R59</xm:f>
            <x14:dxf>
              <fill>
                <patternFill>
                  <bgColor rgb="FFFFFF00"/>
                </patternFill>
              </fill>
            </x14:dxf>
          </x14:cfRule>
          <xm:sqref>E164:S164</xm:sqref>
        </x14:conditionalFormatting>
        <x14:conditionalFormatting xmlns:xm="http://schemas.microsoft.com/office/excel/2006/main">
          <x14:cfRule type="expression" priority="4700342" id="{8BB5CD1B-B2AC-442A-9550-26DE19A62D22}">
            <xm:f>$T$4='Data entry'!$R59</xm:f>
            <x14:dxf>
              <fill>
                <patternFill>
                  <bgColor rgb="FFFF0000"/>
                </patternFill>
              </fill>
            </x14:dxf>
          </x14:cfRule>
          <xm:sqref>R165:AD165</xm:sqref>
        </x14:conditionalFormatting>
        <x14:conditionalFormatting xmlns:xm="http://schemas.microsoft.com/office/excel/2006/main">
          <x14:cfRule type="expression" priority="4700343" id="{E7B59C69-7921-4049-84A1-8B3E5F7B0598}">
            <xm:f>$T$4='Data entry'!$R59</xm:f>
            <x14:dxf>
              <fill>
                <patternFill>
                  <bgColor rgb="FFFFFF00"/>
                </patternFill>
              </fill>
            </x14:dxf>
          </x14:cfRule>
          <xm:sqref>F164:T164</xm:sqref>
        </x14:conditionalFormatting>
        <x14:conditionalFormatting xmlns:xm="http://schemas.microsoft.com/office/excel/2006/main">
          <x14:cfRule type="expression" priority="4700344" id="{238C09E5-7A3D-439D-949F-A7733073F9A2}">
            <xm:f>$U$4='Data entry'!$R59</xm:f>
            <x14:dxf>
              <fill>
                <patternFill>
                  <bgColor rgb="FFFFFF00"/>
                </patternFill>
              </fill>
            </x14:dxf>
          </x14:cfRule>
          <xm:sqref>G164:U164</xm:sqref>
        </x14:conditionalFormatting>
        <x14:conditionalFormatting xmlns:xm="http://schemas.microsoft.com/office/excel/2006/main">
          <x14:cfRule type="expression" priority="4700345" id="{DE4D4432-0A19-452A-AF14-2873FE4DF411}">
            <xm:f>$AR$4='Data entry'!$R59</xm:f>
            <x14:dxf>
              <fill>
                <patternFill>
                  <bgColor rgb="FFFF0000"/>
                </patternFill>
              </fill>
            </x14:dxf>
          </x14:cfRule>
          <xm:sqref>AP165:BB165</xm:sqref>
        </x14:conditionalFormatting>
        <x14:conditionalFormatting xmlns:xm="http://schemas.microsoft.com/office/excel/2006/main">
          <x14:cfRule type="expression" priority="4700346" id="{90D7E1FF-542D-40C8-9BD5-DFEB4CDD256F}">
            <xm:f>$AR$4='Data entry'!$R59</xm:f>
            <x14:dxf>
              <fill>
                <patternFill>
                  <bgColor rgb="FFFFFF00"/>
                </patternFill>
              </fill>
            </x14:dxf>
          </x14:cfRule>
          <xm:sqref>AD164:AR164</xm:sqref>
        </x14:conditionalFormatting>
        <x14:conditionalFormatting xmlns:xm="http://schemas.microsoft.com/office/excel/2006/main">
          <x14:cfRule type="expression" priority="4700347" id="{0EBB5305-4A4A-4205-A1FF-11160070CBC3}">
            <xm:f>$AS$4='Data entry'!$R59</xm:f>
            <x14:dxf>
              <fill>
                <patternFill>
                  <bgColor rgb="FFFF0000"/>
                </patternFill>
              </fill>
            </x14:dxf>
          </x14:cfRule>
          <xm:sqref>AQ165:BC165</xm:sqref>
        </x14:conditionalFormatting>
        <x14:conditionalFormatting xmlns:xm="http://schemas.microsoft.com/office/excel/2006/main">
          <x14:cfRule type="expression" priority="4700348" id="{AC8EB30C-4253-4CE1-820E-1801F6D8D35B}">
            <xm:f>$AS$4='Data entry'!$R59</xm:f>
            <x14:dxf>
              <fill>
                <patternFill>
                  <bgColor rgb="FFFFFF00"/>
                </patternFill>
              </fill>
            </x14:dxf>
          </x14:cfRule>
          <xm:sqref>AE164:AS164</xm:sqref>
        </x14:conditionalFormatting>
        <x14:conditionalFormatting xmlns:xm="http://schemas.microsoft.com/office/excel/2006/main">
          <x14:cfRule type="expression" priority="4700349" id="{E11744C1-7201-4272-A1B0-945490B42425}">
            <xm:f>$AT$4='Data entry'!$R59</xm:f>
            <x14:dxf>
              <fill>
                <patternFill>
                  <bgColor rgb="FFFF0000"/>
                </patternFill>
              </fill>
            </x14:dxf>
          </x14:cfRule>
          <xm:sqref>AR165:BD165</xm:sqref>
        </x14:conditionalFormatting>
        <x14:conditionalFormatting xmlns:xm="http://schemas.microsoft.com/office/excel/2006/main">
          <x14:cfRule type="expression" priority="4700350" id="{5EE2823B-E955-4EA7-B99C-0B1F77B57A69}">
            <xm:f>$AT$4='Data entry'!$R59</xm:f>
            <x14:dxf>
              <fill>
                <patternFill>
                  <bgColor rgb="FFFFFF00"/>
                </patternFill>
              </fill>
            </x14:dxf>
          </x14:cfRule>
          <xm:sqref>AF164:AT164</xm:sqref>
        </x14:conditionalFormatting>
        <x14:conditionalFormatting xmlns:xm="http://schemas.microsoft.com/office/excel/2006/main">
          <x14:cfRule type="expression" priority="4700351" id="{5737DC63-3262-4B34-900C-2AAEB255FCBA}">
            <xm:f>$AU$4='Data entry'!$R59</xm:f>
            <x14:dxf>
              <fill>
                <patternFill>
                  <bgColor rgb="FFFF0000"/>
                </patternFill>
              </fill>
            </x14:dxf>
          </x14:cfRule>
          <xm:sqref>AS165:BE165</xm:sqref>
        </x14:conditionalFormatting>
        <x14:conditionalFormatting xmlns:xm="http://schemas.microsoft.com/office/excel/2006/main">
          <x14:cfRule type="expression" priority="4700352" id="{2B5C1F1B-3C3D-4CA3-BC64-0E98422075B6}">
            <xm:f>$AU$4='Data entry'!$R59</xm:f>
            <x14:dxf>
              <fill>
                <patternFill>
                  <bgColor rgb="FFFFFF00"/>
                </patternFill>
              </fill>
            </x14:dxf>
          </x14:cfRule>
          <xm:sqref>AG164:AU164</xm:sqref>
        </x14:conditionalFormatting>
        <x14:conditionalFormatting xmlns:xm="http://schemas.microsoft.com/office/excel/2006/main">
          <x14:cfRule type="expression" priority="4700353" id="{B87A1285-B003-4855-8F4B-53C391BA10E6}">
            <xm:f>$AV$4='Data entry'!$R59</xm:f>
            <x14:dxf>
              <fill>
                <patternFill>
                  <bgColor rgb="FFFF0000"/>
                </patternFill>
              </fill>
            </x14:dxf>
          </x14:cfRule>
          <xm:sqref>AT165:BF165</xm:sqref>
        </x14:conditionalFormatting>
        <x14:conditionalFormatting xmlns:xm="http://schemas.microsoft.com/office/excel/2006/main">
          <x14:cfRule type="expression" priority="4700354" id="{338EE31C-78DB-4818-B837-0380F9E457FA}">
            <xm:f>$AV$4='Data entry'!$R59</xm:f>
            <x14:dxf>
              <fill>
                <patternFill>
                  <bgColor rgb="FFFFFF00"/>
                </patternFill>
              </fill>
            </x14:dxf>
          </x14:cfRule>
          <xm:sqref>AH164:AV164</xm:sqref>
        </x14:conditionalFormatting>
        <x14:conditionalFormatting xmlns:xm="http://schemas.microsoft.com/office/excel/2006/main">
          <x14:cfRule type="expression" priority="4700355" id="{5C40EA66-2801-4C91-B885-BF6A1ECFC35C}">
            <xm:f>$AW$4='Data entry'!$R59</xm:f>
            <x14:dxf>
              <fill>
                <patternFill>
                  <bgColor rgb="FFFF0000"/>
                </patternFill>
              </fill>
            </x14:dxf>
          </x14:cfRule>
          <xm:sqref>AU165:BG165</xm:sqref>
        </x14:conditionalFormatting>
        <x14:conditionalFormatting xmlns:xm="http://schemas.microsoft.com/office/excel/2006/main">
          <x14:cfRule type="expression" priority="4700356" id="{51BCD5CE-DF86-4C2F-8A81-DDA1EFD6C8F7}">
            <xm:f>$AW$4='Data entry'!$R59</xm:f>
            <x14:dxf>
              <fill>
                <patternFill>
                  <bgColor rgb="FFFFFF00"/>
                </patternFill>
              </fill>
            </x14:dxf>
          </x14:cfRule>
          <xm:sqref>AI164:AW164</xm:sqref>
        </x14:conditionalFormatting>
        <x14:conditionalFormatting xmlns:xm="http://schemas.microsoft.com/office/excel/2006/main">
          <x14:cfRule type="expression" priority="4700357" id="{DC2ED5A0-8917-4877-8CD3-9DF9BE5993C9}">
            <xm:f>$AX$4='Data entry'!$R59</xm:f>
            <x14:dxf>
              <fill>
                <patternFill>
                  <bgColor rgb="FFFF0000"/>
                </patternFill>
              </fill>
            </x14:dxf>
          </x14:cfRule>
          <xm:sqref>AV165:BH165</xm:sqref>
        </x14:conditionalFormatting>
        <x14:conditionalFormatting xmlns:xm="http://schemas.microsoft.com/office/excel/2006/main">
          <x14:cfRule type="expression" priority="4700358" id="{59B31869-20F9-45BD-BC80-0A6C8945CE2C}">
            <xm:f>$AX$4='Data entry'!$R59</xm:f>
            <x14:dxf>
              <fill>
                <patternFill>
                  <bgColor rgb="FFFFFF00"/>
                </patternFill>
              </fill>
            </x14:dxf>
          </x14:cfRule>
          <xm:sqref>AJ164:AX164</xm:sqref>
        </x14:conditionalFormatting>
        <x14:conditionalFormatting xmlns:xm="http://schemas.microsoft.com/office/excel/2006/main">
          <x14:cfRule type="expression" priority="4700359" id="{D4208FA0-4262-4037-934C-6D0742B2AD8E}">
            <xm:f>$AY$4='Data entry'!$R59</xm:f>
            <x14:dxf>
              <fill>
                <patternFill>
                  <bgColor rgb="FFFF0000"/>
                </patternFill>
              </fill>
            </x14:dxf>
          </x14:cfRule>
          <xm:sqref>AW165:BI165</xm:sqref>
        </x14:conditionalFormatting>
        <x14:conditionalFormatting xmlns:xm="http://schemas.microsoft.com/office/excel/2006/main">
          <x14:cfRule type="expression" priority="4700360" id="{04D6E423-18C7-42B2-A67D-F49D8E62B571}">
            <xm:f>$AY$4='Data entry'!$R59</xm:f>
            <x14:dxf>
              <fill>
                <patternFill>
                  <bgColor rgb="FFFFFF00"/>
                </patternFill>
              </fill>
            </x14:dxf>
          </x14:cfRule>
          <xm:sqref>AK164:AY164</xm:sqref>
        </x14:conditionalFormatting>
        <x14:conditionalFormatting xmlns:xm="http://schemas.microsoft.com/office/excel/2006/main">
          <x14:cfRule type="expression" priority="4700361" id="{A931C203-6E4B-4EBD-A2F4-1876881F48D4}">
            <xm:f>$AZ$4='Data entry'!$R59</xm:f>
            <x14:dxf>
              <fill>
                <patternFill>
                  <bgColor rgb="FFFF0000"/>
                </patternFill>
              </fill>
            </x14:dxf>
          </x14:cfRule>
          <xm:sqref>AX165:BJ165</xm:sqref>
        </x14:conditionalFormatting>
        <x14:conditionalFormatting xmlns:xm="http://schemas.microsoft.com/office/excel/2006/main">
          <x14:cfRule type="expression" priority="4700362" id="{092D9100-E652-40FE-8CAA-720DC0681250}">
            <xm:f>$AZ$4='Data entry'!$R59</xm:f>
            <x14:dxf>
              <fill>
                <patternFill>
                  <bgColor rgb="FFFFFF00"/>
                </patternFill>
              </fill>
            </x14:dxf>
          </x14:cfRule>
          <xm:sqref>AL164:AZ164</xm:sqref>
        </x14:conditionalFormatting>
        <x14:conditionalFormatting xmlns:xm="http://schemas.microsoft.com/office/excel/2006/main">
          <x14:cfRule type="expression" priority="4700363" id="{A3C7E6BE-A225-483C-A983-A915DB662C52}">
            <xm:f>$BA$4='Data entry'!$R59</xm:f>
            <x14:dxf>
              <fill>
                <patternFill>
                  <bgColor rgb="FFFF0000"/>
                </patternFill>
              </fill>
            </x14:dxf>
          </x14:cfRule>
          <xm:sqref>AY165:BK165</xm:sqref>
        </x14:conditionalFormatting>
        <x14:conditionalFormatting xmlns:xm="http://schemas.microsoft.com/office/excel/2006/main">
          <x14:cfRule type="expression" priority="4700364" id="{F5CF569A-8AFA-4CFF-8BD3-F04D8927A99F}">
            <xm:f>$BA$4='Data entry'!$R59</xm:f>
            <x14:dxf>
              <fill>
                <patternFill>
                  <bgColor rgb="FFFFFF00"/>
                </patternFill>
              </fill>
            </x14:dxf>
          </x14:cfRule>
          <xm:sqref>AM164:BA164</xm:sqref>
        </x14:conditionalFormatting>
        <x14:conditionalFormatting xmlns:xm="http://schemas.microsoft.com/office/excel/2006/main">
          <x14:cfRule type="expression" priority="4700365" id="{E4DAC94A-7983-4BFB-A87B-45B58561841A}">
            <xm:f>$BB$4='Data entry'!$R59</xm:f>
            <x14:dxf>
              <fill>
                <patternFill>
                  <bgColor rgb="FFFF0000"/>
                </patternFill>
              </fill>
            </x14:dxf>
          </x14:cfRule>
          <xm:sqref>AZ165:BL165</xm:sqref>
        </x14:conditionalFormatting>
        <x14:conditionalFormatting xmlns:xm="http://schemas.microsoft.com/office/excel/2006/main">
          <x14:cfRule type="expression" priority="4700366" id="{E63849C5-F39B-4B0E-8F8A-B532EDF2CBAE}">
            <xm:f>$BB$4='Data entry'!$R59</xm:f>
            <x14:dxf>
              <fill>
                <patternFill>
                  <bgColor rgb="FFFFFF00"/>
                </patternFill>
              </fill>
            </x14:dxf>
          </x14:cfRule>
          <xm:sqref>AN164:BB164</xm:sqref>
        </x14:conditionalFormatting>
        <x14:conditionalFormatting xmlns:xm="http://schemas.microsoft.com/office/excel/2006/main">
          <x14:cfRule type="expression" priority="4700367" id="{4FDC32D3-C1F5-455D-9AA4-A03359B72526}">
            <xm:f>$BC$4='Data entry'!$R59</xm:f>
            <x14:dxf>
              <fill>
                <patternFill>
                  <bgColor rgb="FFFF0000"/>
                </patternFill>
              </fill>
            </x14:dxf>
          </x14:cfRule>
          <xm:sqref>BA165:BM165</xm:sqref>
        </x14:conditionalFormatting>
        <x14:conditionalFormatting xmlns:xm="http://schemas.microsoft.com/office/excel/2006/main">
          <x14:cfRule type="expression" priority="4700368" id="{5F0D0C60-B233-4C56-B05D-98C99990877F}">
            <xm:f>$BC$4='Data entry'!$R59</xm:f>
            <x14:dxf>
              <fill>
                <patternFill>
                  <bgColor rgb="FFFFFF00"/>
                </patternFill>
              </fill>
            </x14:dxf>
          </x14:cfRule>
          <xm:sqref>AO164:BC164</xm:sqref>
        </x14:conditionalFormatting>
        <x14:conditionalFormatting xmlns:xm="http://schemas.microsoft.com/office/excel/2006/main">
          <x14:cfRule type="expression" priority="4700369" id="{9EBCB60F-8135-43B6-A0F3-548D4092CC98}">
            <xm:f>$BD$4='Data entry'!$R59</xm:f>
            <x14:dxf>
              <fill>
                <patternFill>
                  <bgColor rgb="FFFF0000"/>
                </patternFill>
              </fill>
            </x14:dxf>
          </x14:cfRule>
          <xm:sqref>BB165:BN165</xm:sqref>
        </x14:conditionalFormatting>
        <x14:conditionalFormatting xmlns:xm="http://schemas.microsoft.com/office/excel/2006/main">
          <x14:cfRule type="expression" priority="4700370" id="{961AF346-4A73-41ED-9A8D-27D431B09C05}">
            <xm:f>$BD$4='Data entry'!$R59</xm:f>
            <x14:dxf>
              <fill>
                <patternFill>
                  <bgColor rgb="FFFFFF00"/>
                </patternFill>
              </fill>
            </x14:dxf>
          </x14:cfRule>
          <xm:sqref>AP164:BD164</xm:sqref>
        </x14:conditionalFormatting>
        <x14:conditionalFormatting xmlns:xm="http://schemas.microsoft.com/office/excel/2006/main">
          <x14:cfRule type="expression" priority="4700371" id="{5A887026-27CD-4F8C-8BA6-1E92704C1CA6}">
            <xm:f>$BE$4='Data entry'!$R59</xm:f>
            <x14:dxf>
              <fill>
                <patternFill>
                  <bgColor rgb="FFFF0000"/>
                </patternFill>
              </fill>
            </x14:dxf>
          </x14:cfRule>
          <xm:sqref>BC165:BO165</xm:sqref>
        </x14:conditionalFormatting>
        <x14:conditionalFormatting xmlns:xm="http://schemas.microsoft.com/office/excel/2006/main">
          <x14:cfRule type="expression" priority="4700372" id="{7F46217B-A1E9-4515-B31E-E756FCD7C6D9}">
            <xm:f>$BE$4='Data entry'!$R59</xm:f>
            <x14:dxf>
              <fill>
                <patternFill>
                  <bgColor rgb="FFFFFF00"/>
                </patternFill>
              </fill>
            </x14:dxf>
          </x14:cfRule>
          <xm:sqref>AP164:BE164</xm:sqref>
        </x14:conditionalFormatting>
        <x14:conditionalFormatting xmlns:xm="http://schemas.microsoft.com/office/excel/2006/main">
          <x14:cfRule type="expression" priority="4700373" id="{F4D9285C-8CA0-4EF1-943E-6A462D47CC77}">
            <xm:f>$BF$4='Data entry'!$R59</xm:f>
            <x14:dxf>
              <fill>
                <patternFill>
                  <bgColor rgb="FFFF0000"/>
                </patternFill>
              </fill>
            </x14:dxf>
          </x14:cfRule>
          <xm:sqref>BD165:BP165</xm:sqref>
        </x14:conditionalFormatting>
        <x14:conditionalFormatting xmlns:xm="http://schemas.microsoft.com/office/excel/2006/main">
          <x14:cfRule type="expression" priority="4700374" id="{B9E4407D-651D-4DC0-9D61-3271D62A65E9}">
            <xm:f>$BF$4='Data entry'!$R59</xm:f>
            <x14:dxf>
              <fill>
                <patternFill>
                  <bgColor rgb="FFFFFF00"/>
                </patternFill>
              </fill>
            </x14:dxf>
          </x14:cfRule>
          <xm:sqref>AR164:BF164</xm:sqref>
        </x14:conditionalFormatting>
        <x14:conditionalFormatting xmlns:xm="http://schemas.microsoft.com/office/excel/2006/main">
          <x14:cfRule type="expression" priority="4700375" id="{4CDC062F-DDFF-4556-B941-08F919727F69}">
            <xm:f>$BG$4='Data entry'!$R59</xm:f>
            <x14:dxf>
              <fill>
                <patternFill>
                  <bgColor rgb="FFFF0000"/>
                </patternFill>
              </fill>
            </x14:dxf>
          </x14:cfRule>
          <xm:sqref>BE165:BQ165</xm:sqref>
        </x14:conditionalFormatting>
        <x14:conditionalFormatting xmlns:xm="http://schemas.microsoft.com/office/excel/2006/main">
          <x14:cfRule type="expression" priority="4700376" id="{789184FA-9055-433B-8A1B-92C7ED59E81F}">
            <xm:f>$BG$4='Data entry'!$R59</xm:f>
            <x14:dxf>
              <fill>
                <patternFill>
                  <bgColor rgb="FFFFFF00"/>
                </patternFill>
              </fill>
            </x14:dxf>
          </x14:cfRule>
          <xm:sqref>AS164:BG164</xm:sqref>
        </x14:conditionalFormatting>
        <x14:conditionalFormatting xmlns:xm="http://schemas.microsoft.com/office/excel/2006/main">
          <x14:cfRule type="expression" priority="4700377" id="{58651E5C-09C9-46C1-B95C-E8A578A49E15}">
            <xm:f>$BH$4='Data entry'!$R59</xm:f>
            <x14:dxf>
              <fill>
                <patternFill>
                  <bgColor rgb="FFFFFF00"/>
                </patternFill>
              </fill>
            </x14:dxf>
          </x14:cfRule>
          <xm:sqref>AT164:BH164</xm:sqref>
        </x14:conditionalFormatting>
        <x14:conditionalFormatting xmlns:xm="http://schemas.microsoft.com/office/excel/2006/main">
          <x14:cfRule type="expression" priority="4700378" id="{97B30B86-8311-4DC0-A533-8C0D53F37839}">
            <xm:f>$BH$4='Data entry'!$R59</xm:f>
            <x14:dxf>
              <fill>
                <patternFill>
                  <bgColor rgb="FFFF0000"/>
                </patternFill>
              </fill>
            </x14:dxf>
          </x14:cfRule>
          <xm:sqref>BF165:BR165</xm:sqref>
        </x14:conditionalFormatting>
        <x14:conditionalFormatting xmlns:xm="http://schemas.microsoft.com/office/excel/2006/main">
          <x14:cfRule type="expression" priority="4700379" id="{78344C0C-5AEA-40B1-A20C-6D77DF58E1F5}">
            <xm:f>$BI$4='Data entry'!$R59</xm:f>
            <x14:dxf>
              <fill>
                <patternFill>
                  <bgColor rgb="FFFFFF00"/>
                </patternFill>
              </fill>
            </x14:dxf>
          </x14:cfRule>
          <xm:sqref>AU164:BI164</xm:sqref>
        </x14:conditionalFormatting>
        <x14:conditionalFormatting xmlns:xm="http://schemas.microsoft.com/office/excel/2006/main">
          <x14:cfRule type="expression" priority="4700380" id="{A9CE044F-482E-4F25-B28F-89ACC58502B1}">
            <xm:f>$BI$4='Data entry'!$R59</xm:f>
            <x14:dxf>
              <fill>
                <patternFill>
                  <bgColor rgb="FFFF0000"/>
                </patternFill>
              </fill>
            </x14:dxf>
          </x14:cfRule>
          <xm:sqref>BG165:BS165</xm:sqref>
        </x14:conditionalFormatting>
        <x14:conditionalFormatting xmlns:xm="http://schemas.microsoft.com/office/excel/2006/main">
          <x14:cfRule type="expression" priority="4700381" id="{F63BE0EB-3C71-4456-BEF0-11180AB7A8BB}">
            <xm:f>$BJ$4='Data entry'!$R59</xm:f>
            <x14:dxf>
              <fill>
                <patternFill>
                  <bgColor rgb="FFFFFF00"/>
                </patternFill>
              </fill>
            </x14:dxf>
          </x14:cfRule>
          <xm:sqref>AV164:BJ164</xm:sqref>
        </x14:conditionalFormatting>
        <x14:conditionalFormatting xmlns:xm="http://schemas.microsoft.com/office/excel/2006/main">
          <x14:cfRule type="expression" priority="4700382" id="{478A5DCB-1DAA-4497-A6CC-B4F01FB96D10}">
            <xm:f>$BJ$4='Data entry'!$R59</xm:f>
            <x14:dxf>
              <fill>
                <patternFill>
                  <bgColor rgb="FFFF0000"/>
                </patternFill>
              </fill>
            </x14:dxf>
          </x14:cfRule>
          <xm:sqref>BH165:BT165</xm:sqref>
        </x14:conditionalFormatting>
        <x14:conditionalFormatting xmlns:xm="http://schemas.microsoft.com/office/excel/2006/main">
          <x14:cfRule type="expression" priority="4700383" id="{CDE4AD5B-65A6-4FA4-9EC0-8D05F22312A9}">
            <xm:f>$BK$4='Data entry'!$R59</xm:f>
            <x14:dxf>
              <fill>
                <patternFill>
                  <bgColor rgb="FFFF0000"/>
                </patternFill>
              </fill>
            </x14:dxf>
          </x14:cfRule>
          <xm:sqref>BI165:BU165</xm:sqref>
        </x14:conditionalFormatting>
        <x14:conditionalFormatting xmlns:xm="http://schemas.microsoft.com/office/excel/2006/main">
          <x14:cfRule type="expression" priority="4700384" id="{AB32E790-6CD8-4D11-9A69-57D785FE4BBC}">
            <xm:f>$BK$4='Data entry'!$R59</xm:f>
            <x14:dxf>
              <fill>
                <patternFill>
                  <bgColor rgb="FFFFFF00"/>
                </patternFill>
              </fill>
            </x14:dxf>
          </x14:cfRule>
          <xm:sqref>AW164:BK164</xm:sqref>
        </x14:conditionalFormatting>
        <x14:conditionalFormatting xmlns:xm="http://schemas.microsoft.com/office/excel/2006/main">
          <x14:cfRule type="expression" priority="4700385" id="{99810EB9-805C-43D8-852A-EEECE7874CDB}">
            <xm:f>$BL$4='Data entry'!$R59</xm:f>
            <x14:dxf>
              <fill>
                <patternFill>
                  <bgColor rgb="FFFF0000"/>
                </patternFill>
              </fill>
            </x14:dxf>
          </x14:cfRule>
          <xm:sqref>BJ165:BV165</xm:sqref>
        </x14:conditionalFormatting>
        <x14:conditionalFormatting xmlns:xm="http://schemas.microsoft.com/office/excel/2006/main">
          <x14:cfRule type="expression" priority="4700386" id="{BF5F5475-4E46-479C-97A6-D5175F5D1803}">
            <xm:f>$BL$4='Data entry'!$R59</xm:f>
            <x14:dxf>
              <fill>
                <patternFill>
                  <bgColor rgb="FFFFFF00"/>
                </patternFill>
              </fill>
            </x14:dxf>
          </x14:cfRule>
          <xm:sqref>AX164:BL164</xm:sqref>
        </x14:conditionalFormatting>
        <x14:conditionalFormatting xmlns:xm="http://schemas.microsoft.com/office/excel/2006/main">
          <x14:cfRule type="expression" priority="4700387" id="{B86FDF2F-16C9-46B1-847E-7EA1A8A34B9D}">
            <xm:f>$BM$4='Data entry'!$R59</xm:f>
            <x14:dxf>
              <fill>
                <patternFill>
                  <bgColor rgb="FFFF0000"/>
                </patternFill>
              </fill>
            </x14:dxf>
          </x14:cfRule>
          <xm:sqref>BK165:BW165</xm:sqref>
        </x14:conditionalFormatting>
        <x14:conditionalFormatting xmlns:xm="http://schemas.microsoft.com/office/excel/2006/main">
          <x14:cfRule type="expression" priority="4700388" id="{72FD189F-4CED-400D-9FEF-21A328970A4D}">
            <xm:f>$BM$4='Data entry'!$R59</xm:f>
            <x14:dxf>
              <fill>
                <patternFill>
                  <bgColor rgb="FFFFFF00"/>
                </patternFill>
              </fill>
            </x14:dxf>
          </x14:cfRule>
          <xm:sqref>AY164:BM164</xm:sqref>
        </x14:conditionalFormatting>
        <x14:conditionalFormatting xmlns:xm="http://schemas.microsoft.com/office/excel/2006/main">
          <x14:cfRule type="expression" priority="4700389" id="{BBBBF859-D5A7-4F55-BFBF-8A77E3357590}">
            <xm:f>$BN$4='Data entry'!$R59</xm:f>
            <x14:dxf>
              <fill>
                <patternFill>
                  <bgColor rgb="FFFF0000"/>
                </patternFill>
              </fill>
            </x14:dxf>
          </x14:cfRule>
          <xm:sqref>BL165:BX165</xm:sqref>
        </x14:conditionalFormatting>
        <x14:conditionalFormatting xmlns:xm="http://schemas.microsoft.com/office/excel/2006/main">
          <x14:cfRule type="expression" priority="4700390" id="{50CB1D75-0FD5-4D24-92B1-E8A41DC6575C}">
            <xm:f>$BN$4='Data entry'!$R59</xm:f>
            <x14:dxf>
              <fill>
                <patternFill>
                  <bgColor rgb="FFFFFF00"/>
                </patternFill>
              </fill>
            </x14:dxf>
          </x14:cfRule>
          <xm:sqref>AZ164:BN164</xm:sqref>
        </x14:conditionalFormatting>
        <x14:conditionalFormatting xmlns:xm="http://schemas.microsoft.com/office/excel/2006/main">
          <x14:cfRule type="expression" priority="4700391" id="{9EF3226D-E8FC-496B-A6FF-71776AEA54D1}">
            <xm:f>$BO$4='Data entry'!$R59</xm:f>
            <x14:dxf>
              <fill>
                <patternFill>
                  <bgColor rgb="FFFF0000"/>
                </patternFill>
              </fill>
            </x14:dxf>
          </x14:cfRule>
          <xm:sqref>BM165:BY165</xm:sqref>
        </x14:conditionalFormatting>
        <x14:conditionalFormatting xmlns:xm="http://schemas.microsoft.com/office/excel/2006/main">
          <x14:cfRule type="expression" priority="4700392" id="{3B86C801-ECFE-4D05-8AA5-1581116BAFBC}">
            <xm:f>$BO$4='Data entry'!$R59</xm:f>
            <x14:dxf>
              <fill>
                <patternFill>
                  <bgColor rgb="FFFFFF00"/>
                </patternFill>
              </fill>
            </x14:dxf>
          </x14:cfRule>
          <xm:sqref>BA164:BO164</xm:sqref>
        </x14:conditionalFormatting>
        <x14:conditionalFormatting xmlns:xm="http://schemas.microsoft.com/office/excel/2006/main">
          <x14:cfRule type="expression" priority="4700393" id="{058A23EC-3371-4A02-9F20-1ECA603AC6BC}">
            <xm:f>$BP$4='Data entry'!$R59</xm:f>
            <x14:dxf>
              <fill>
                <patternFill>
                  <bgColor rgb="FFFF0000"/>
                </patternFill>
              </fill>
            </x14:dxf>
          </x14:cfRule>
          <xm:sqref>BN165:BZ165</xm:sqref>
        </x14:conditionalFormatting>
        <x14:conditionalFormatting xmlns:xm="http://schemas.microsoft.com/office/excel/2006/main">
          <x14:cfRule type="expression" priority="4700394" id="{3E711E31-3992-4555-AB22-87133D60CD15}">
            <xm:f>$BP$4='Data entry'!$R59</xm:f>
            <x14:dxf>
              <fill>
                <patternFill>
                  <bgColor rgb="FFFFFF00"/>
                </patternFill>
              </fill>
            </x14:dxf>
          </x14:cfRule>
          <xm:sqref>BB164:BP164</xm:sqref>
        </x14:conditionalFormatting>
        <x14:conditionalFormatting xmlns:xm="http://schemas.microsoft.com/office/excel/2006/main">
          <x14:cfRule type="expression" priority="4700395" id="{23E9F8B9-37D5-4730-9453-6F23E8ECBBE3}">
            <xm:f>$BQ$4='Data entry'!$R59</xm:f>
            <x14:dxf>
              <fill>
                <patternFill>
                  <bgColor rgb="FFFFFF00"/>
                </patternFill>
              </fill>
            </x14:dxf>
          </x14:cfRule>
          <xm:sqref>BC164:BQ164</xm:sqref>
        </x14:conditionalFormatting>
        <x14:conditionalFormatting xmlns:xm="http://schemas.microsoft.com/office/excel/2006/main">
          <x14:cfRule type="expression" priority="4700396" id="{BCFD92F6-AAD3-44FD-BC61-A292A81B883E}">
            <xm:f>$BQ$4='Data entry'!$R59</xm:f>
            <x14:dxf>
              <fill>
                <patternFill>
                  <bgColor rgb="FFFF0000"/>
                </patternFill>
              </fill>
            </x14:dxf>
          </x14:cfRule>
          <xm:sqref>BO165:CA165</xm:sqref>
        </x14:conditionalFormatting>
        <x14:conditionalFormatting xmlns:xm="http://schemas.microsoft.com/office/excel/2006/main">
          <x14:cfRule type="expression" priority="4700397" id="{357D60E5-F356-477E-8020-A18F42C02832}">
            <xm:f>$BR$4='Data entry'!$R59</xm:f>
            <x14:dxf>
              <fill>
                <patternFill>
                  <bgColor rgb="FFFFFF00"/>
                </patternFill>
              </fill>
            </x14:dxf>
          </x14:cfRule>
          <xm:sqref>BD164:BR164</xm:sqref>
        </x14:conditionalFormatting>
        <x14:conditionalFormatting xmlns:xm="http://schemas.microsoft.com/office/excel/2006/main">
          <x14:cfRule type="expression" priority="4700398" id="{DA2B6511-43B3-432D-B6AA-1DB1188B90A6}">
            <xm:f>$BR$4='Data entry'!$R59</xm:f>
            <x14:dxf>
              <fill>
                <patternFill>
                  <bgColor rgb="FFFF0000"/>
                </patternFill>
              </fill>
            </x14:dxf>
          </x14:cfRule>
          <xm:sqref>BP165:CB165</xm:sqref>
        </x14:conditionalFormatting>
        <x14:conditionalFormatting xmlns:xm="http://schemas.microsoft.com/office/excel/2006/main">
          <x14:cfRule type="expression" priority="4700399" id="{0D5F64E4-4136-4BFA-B833-CC8578525D9C}">
            <xm:f>$BS$4='Data entry'!$R59</xm:f>
            <x14:dxf>
              <fill>
                <patternFill>
                  <bgColor rgb="FFFFFF00"/>
                </patternFill>
              </fill>
            </x14:dxf>
          </x14:cfRule>
          <xm:sqref>BE164:BS164</xm:sqref>
        </x14:conditionalFormatting>
        <x14:conditionalFormatting xmlns:xm="http://schemas.microsoft.com/office/excel/2006/main">
          <x14:cfRule type="expression" priority="4700400" id="{AC94D468-F078-4AE2-8771-102996E07B09}">
            <xm:f>$BS$4='Data entry'!$R59</xm:f>
            <x14:dxf>
              <fill>
                <patternFill>
                  <bgColor rgb="FFFF0000"/>
                </patternFill>
              </fill>
            </x14:dxf>
          </x14:cfRule>
          <xm:sqref>BQ165:CC165</xm:sqref>
        </x14:conditionalFormatting>
        <x14:conditionalFormatting xmlns:xm="http://schemas.microsoft.com/office/excel/2006/main">
          <x14:cfRule type="expression" priority="4700401" id="{10E78F76-181E-4F19-9F89-7DD36D3EFE30}">
            <xm:f>$BT$4='Data entry'!$R59</xm:f>
            <x14:dxf>
              <fill>
                <patternFill>
                  <bgColor rgb="FFFFFF00"/>
                </patternFill>
              </fill>
            </x14:dxf>
          </x14:cfRule>
          <xm:sqref>BF164:BT164</xm:sqref>
        </x14:conditionalFormatting>
        <x14:conditionalFormatting xmlns:xm="http://schemas.microsoft.com/office/excel/2006/main">
          <x14:cfRule type="expression" priority="4700402" id="{6A5FADC6-9512-4EFB-90A5-7B5244D10D1F}">
            <xm:f>$BT$4='Data entry'!$R59</xm:f>
            <x14:dxf>
              <fill>
                <patternFill>
                  <bgColor rgb="FFFF0000"/>
                </patternFill>
              </fill>
            </x14:dxf>
          </x14:cfRule>
          <xm:sqref>BR165:CC165</xm:sqref>
        </x14:conditionalFormatting>
        <x14:conditionalFormatting xmlns:xm="http://schemas.microsoft.com/office/excel/2006/main">
          <x14:cfRule type="expression" priority="4700403" id="{A51139D1-8841-4B96-B8CB-DFE3808765CF}">
            <xm:f>$BU$4='Data entry'!$R59</xm:f>
            <x14:dxf>
              <fill>
                <patternFill>
                  <bgColor rgb="FFFFFF00"/>
                </patternFill>
              </fill>
            </x14:dxf>
          </x14:cfRule>
          <xm:sqref>BG164:BU164</xm:sqref>
        </x14:conditionalFormatting>
        <x14:conditionalFormatting xmlns:xm="http://schemas.microsoft.com/office/excel/2006/main">
          <x14:cfRule type="expression" priority="4700404" id="{55CA7258-760F-4BFF-ACB5-A70FEB3E7981}">
            <xm:f>$BU$4='Data entry'!$R59</xm:f>
            <x14:dxf>
              <fill>
                <patternFill>
                  <bgColor rgb="FFFF0000"/>
                </patternFill>
              </fill>
            </x14:dxf>
          </x14:cfRule>
          <xm:sqref>BS165:CC165</xm:sqref>
        </x14:conditionalFormatting>
        <x14:conditionalFormatting xmlns:xm="http://schemas.microsoft.com/office/excel/2006/main">
          <x14:cfRule type="expression" priority="4700405" id="{A922B218-64DB-4CBB-9AB8-FE0EBB44E09E}">
            <xm:f>$BV$4='Data entry'!$R59</xm:f>
            <x14:dxf>
              <fill>
                <patternFill>
                  <bgColor rgb="FFFFFF00"/>
                </patternFill>
              </fill>
            </x14:dxf>
          </x14:cfRule>
          <xm:sqref>BH164:BV164</xm:sqref>
        </x14:conditionalFormatting>
        <x14:conditionalFormatting xmlns:xm="http://schemas.microsoft.com/office/excel/2006/main">
          <x14:cfRule type="expression" priority="4700406" id="{C98E908A-CD31-4778-B41C-7AFB9DBE639A}">
            <xm:f>$BV$4='Data entry'!$R59</xm:f>
            <x14:dxf>
              <fill>
                <patternFill>
                  <bgColor rgb="FFFF0000"/>
                </patternFill>
              </fill>
            </x14:dxf>
          </x14:cfRule>
          <xm:sqref>BT165:CC165</xm:sqref>
        </x14:conditionalFormatting>
        <x14:conditionalFormatting xmlns:xm="http://schemas.microsoft.com/office/excel/2006/main">
          <x14:cfRule type="expression" priority="4700407" id="{465CCCA3-B4DB-4B61-8AC7-8A5E4CEC9E3F}">
            <xm:f>$BW$4='Data entry'!$R59</xm:f>
            <x14:dxf>
              <fill>
                <patternFill>
                  <bgColor rgb="FFFFFF00"/>
                </patternFill>
              </fill>
            </x14:dxf>
          </x14:cfRule>
          <xm:sqref>BI164:BW164</xm:sqref>
        </x14:conditionalFormatting>
        <x14:conditionalFormatting xmlns:xm="http://schemas.microsoft.com/office/excel/2006/main">
          <x14:cfRule type="expression" priority="4700408" id="{37566F97-6D06-400B-A709-FE657B07687F}">
            <xm:f>$BW$4='Data entry'!$R59</xm:f>
            <x14:dxf>
              <fill>
                <patternFill>
                  <bgColor rgb="FFFF0000"/>
                </patternFill>
              </fill>
            </x14:dxf>
          </x14:cfRule>
          <xm:sqref>BU165:CC165</xm:sqref>
        </x14:conditionalFormatting>
        <x14:conditionalFormatting xmlns:xm="http://schemas.microsoft.com/office/excel/2006/main">
          <x14:cfRule type="expression" priority="4700409" id="{D8FBA3AC-5CF0-4E45-97CA-1D4DEE729ADA}">
            <xm:f>$BX$4='Data entry'!$R59</xm:f>
            <x14:dxf>
              <fill>
                <patternFill>
                  <bgColor rgb="FFFFFF00"/>
                </patternFill>
              </fill>
            </x14:dxf>
          </x14:cfRule>
          <xm:sqref>BJ164:BX164</xm:sqref>
        </x14:conditionalFormatting>
        <x14:conditionalFormatting xmlns:xm="http://schemas.microsoft.com/office/excel/2006/main">
          <x14:cfRule type="expression" priority="4700410" id="{E077C84B-A94F-431D-B232-4AFCC7C64F54}">
            <xm:f>$BX$4='Data entry'!$R59</xm:f>
            <x14:dxf>
              <fill>
                <patternFill>
                  <bgColor rgb="FFFF0000"/>
                </patternFill>
              </fill>
            </x14:dxf>
          </x14:cfRule>
          <xm:sqref>BV165:CC165</xm:sqref>
        </x14:conditionalFormatting>
        <x14:conditionalFormatting xmlns:xm="http://schemas.microsoft.com/office/excel/2006/main">
          <x14:cfRule type="expression" priority="4700411" id="{63783BA8-0C97-4A44-86FD-7A2BCF1B9957}">
            <xm:f>$BY$4='Data entry'!$R59</xm:f>
            <x14:dxf>
              <fill>
                <patternFill>
                  <bgColor rgb="FFFFFF00"/>
                </patternFill>
              </fill>
            </x14:dxf>
          </x14:cfRule>
          <xm:sqref>BK164:BY164</xm:sqref>
        </x14:conditionalFormatting>
        <x14:conditionalFormatting xmlns:xm="http://schemas.microsoft.com/office/excel/2006/main">
          <x14:cfRule type="expression" priority="4700412" id="{BB8DB8B4-B71B-46D2-AEE7-346F16103F74}">
            <xm:f>$BY$4='Data entry'!$R59</xm:f>
            <x14:dxf>
              <fill>
                <patternFill>
                  <bgColor rgb="FFFF0000"/>
                </patternFill>
              </fill>
            </x14:dxf>
          </x14:cfRule>
          <xm:sqref>BW165:CC165</xm:sqref>
        </x14:conditionalFormatting>
        <x14:conditionalFormatting xmlns:xm="http://schemas.microsoft.com/office/excel/2006/main">
          <x14:cfRule type="expression" priority="4700413" id="{1B638B98-2B06-4FEB-90C1-446A3E0A3979}">
            <xm:f>$BZ$4='Data entry'!$R59</xm:f>
            <x14:dxf>
              <fill>
                <patternFill>
                  <bgColor rgb="FFFFFF00"/>
                </patternFill>
              </fill>
            </x14:dxf>
          </x14:cfRule>
          <xm:sqref>BL164:BZ164</xm:sqref>
        </x14:conditionalFormatting>
        <x14:conditionalFormatting xmlns:xm="http://schemas.microsoft.com/office/excel/2006/main">
          <x14:cfRule type="expression" priority="4700414" id="{D3A0A2F8-D1B2-4DC5-B2A9-0EF53074E685}">
            <xm:f>$BZ$4='Data entry'!$R59</xm:f>
            <x14:dxf>
              <fill>
                <patternFill>
                  <bgColor rgb="FFFF0000"/>
                </patternFill>
              </fill>
            </x14:dxf>
          </x14:cfRule>
          <xm:sqref>BX165:CC165</xm:sqref>
        </x14:conditionalFormatting>
        <x14:conditionalFormatting xmlns:xm="http://schemas.microsoft.com/office/excel/2006/main">
          <x14:cfRule type="expression" priority="4700415" id="{83F6D018-7D3B-4D33-9998-11572F2F2FF5}">
            <xm:f>$CA$4='Data entry'!$R59</xm:f>
            <x14:dxf>
              <fill>
                <patternFill>
                  <bgColor rgb="FFFFFF00"/>
                </patternFill>
              </fill>
            </x14:dxf>
          </x14:cfRule>
          <xm:sqref>BM164:CA164</xm:sqref>
        </x14:conditionalFormatting>
        <x14:conditionalFormatting xmlns:xm="http://schemas.microsoft.com/office/excel/2006/main">
          <x14:cfRule type="expression" priority="4700416" id="{8E6D0B51-5626-4ED9-9072-C7A2C139704F}">
            <xm:f>$CA$4='Data entry'!$R59</xm:f>
            <x14:dxf>
              <fill>
                <patternFill>
                  <bgColor rgb="FFFF0000"/>
                </patternFill>
              </fill>
            </x14:dxf>
          </x14:cfRule>
          <xm:sqref>BY165:CC165</xm:sqref>
        </x14:conditionalFormatting>
        <x14:conditionalFormatting xmlns:xm="http://schemas.microsoft.com/office/excel/2006/main">
          <x14:cfRule type="expression" priority="4700417" id="{E1886EE4-3BDE-43A9-9F4B-79377FEC37FE}">
            <xm:f>$CB$4='Data entry'!$R59</xm:f>
            <x14:dxf>
              <fill>
                <patternFill>
                  <bgColor rgb="FFFFFF00"/>
                </patternFill>
              </fill>
            </x14:dxf>
          </x14:cfRule>
          <xm:sqref>BN164:CB164</xm:sqref>
        </x14:conditionalFormatting>
        <x14:conditionalFormatting xmlns:xm="http://schemas.microsoft.com/office/excel/2006/main">
          <x14:cfRule type="expression" priority="4700418" id="{ADEF572A-6C18-4602-BB86-01C96D36E07E}">
            <xm:f>$CB$4='Data entry'!$R59</xm:f>
            <x14:dxf>
              <fill>
                <patternFill>
                  <bgColor rgb="FFFF0000"/>
                </patternFill>
              </fill>
            </x14:dxf>
          </x14:cfRule>
          <xm:sqref>BZ165:CC165</xm:sqref>
        </x14:conditionalFormatting>
        <x14:conditionalFormatting xmlns:xm="http://schemas.microsoft.com/office/excel/2006/main">
          <x14:cfRule type="expression" priority="4700419" id="{7984E1C9-E073-4955-8543-62145CB6D008}">
            <xm:f>$CC$4='Data entry'!$R59</xm:f>
            <x14:dxf>
              <fill>
                <patternFill>
                  <bgColor rgb="FFFFFF00"/>
                </patternFill>
              </fill>
            </x14:dxf>
          </x14:cfRule>
          <xm:sqref>BO164:CC164</xm:sqref>
        </x14:conditionalFormatting>
        <x14:conditionalFormatting xmlns:xm="http://schemas.microsoft.com/office/excel/2006/main">
          <x14:cfRule type="expression" priority="4700420" id="{18A957B3-59FA-4698-BA92-2A208FF18E2F}">
            <xm:f>$CC$4='Data entry'!$R59</xm:f>
            <x14:dxf>
              <fill>
                <patternFill>
                  <bgColor rgb="FFFF0000"/>
                </patternFill>
              </fill>
            </x14:dxf>
          </x14:cfRule>
          <xm:sqref>CA165:CC165</xm:sqref>
        </x14:conditionalFormatting>
        <x14:conditionalFormatting xmlns:xm="http://schemas.microsoft.com/office/excel/2006/main">
          <x14:cfRule type="expression" priority="4700507" id="{5B0DB825-B7C2-40AC-B7EF-F267F054CFB9}">
            <xm:f>$U$4='Data entry'!$R60</xm:f>
            <x14:dxf>
              <fill>
                <patternFill>
                  <bgColor rgb="FFFF0000"/>
                </patternFill>
              </fill>
            </x14:dxf>
          </x14:cfRule>
          <xm:sqref>S168:AE168</xm:sqref>
        </x14:conditionalFormatting>
        <x14:conditionalFormatting xmlns:xm="http://schemas.microsoft.com/office/excel/2006/main">
          <x14:cfRule type="expression" priority="4700508" id="{18311200-E2BB-400F-B594-3B9A2C6068C2}">
            <xm:f>$V$4='Data entry'!$R60</xm:f>
            <x14:dxf>
              <fill>
                <patternFill>
                  <bgColor rgb="FFFF0000"/>
                </patternFill>
              </fill>
            </x14:dxf>
          </x14:cfRule>
          <xm:sqref>T168:AF168</xm:sqref>
        </x14:conditionalFormatting>
        <x14:conditionalFormatting xmlns:xm="http://schemas.microsoft.com/office/excel/2006/main">
          <x14:cfRule type="expression" priority="4700509" id="{D6DFB621-1A58-4C59-A987-ECAD0EB2D32B}">
            <xm:f>$V$4='Data entry'!$R60</xm:f>
            <x14:dxf>
              <fill>
                <patternFill>
                  <bgColor rgb="FFFFFF00"/>
                </patternFill>
              </fill>
            </x14:dxf>
          </x14:cfRule>
          <xm:sqref>H167:V167</xm:sqref>
        </x14:conditionalFormatting>
        <x14:conditionalFormatting xmlns:xm="http://schemas.microsoft.com/office/excel/2006/main">
          <x14:cfRule type="expression" priority="4700510" id="{5F87A680-DC5F-433D-A779-B7A534ACCDA9}">
            <xm:f>$W$4='Data entry'!$R60</xm:f>
            <x14:dxf>
              <fill>
                <patternFill>
                  <bgColor rgb="FFFF0000"/>
                </patternFill>
              </fill>
            </x14:dxf>
          </x14:cfRule>
          <xm:sqref>U168:AG168</xm:sqref>
        </x14:conditionalFormatting>
        <x14:conditionalFormatting xmlns:xm="http://schemas.microsoft.com/office/excel/2006/main">
          <x14:cfRule type="expression" priority="4700511" id="{964539FF-A92C-4F68-B268-B7157A32678C}">
            <xm:f>$W$4='Data entry'!$R60</xm:f>
            <x14:dxf>
              <fill>
                <patternFill>
                  <bgColor rgb="FFFFFF00"/>
                </patternFill>
              </fill>
            </x14:dxf>
          </x14:cfRule>
          <xm:sqref>I167:W167</xm:sqref>
        </x14:conditionalFormatting>
        <x14:conditionalFormatting xmlns:xm="http://schemas.microsoft.com/office/excel/2006/main">
          <x14:cfRule type="expression" priority="4700512" id="{46C1533A-F090-4A90-9309-3F59EC3FD3B0}">
            <xm:f>$X$4='Data entry'!$R60</xm:f>
            <x14:dxf>
              <fill>
                <patternFill>
                  <bgColor rgb="FFFF0000"/>
                </patternFill>
              </fill>
            </x14:dxf>
          </x14:cfRule>
          <xm:sqref>V168:AH168</xm:sqref>
        </x14:conditionalFormatting>
        <x14:conditionalFormatting xmlns:xm="http://schemas.microsoft.com/office/excel/2006/main">
          <x14:cfRule type="expression" priority="4700513" id="{7C70E81C-DDD4-4D75-933A-4F6A39893184}">
            <xm:f>$X$4='Data entry'!$R60</xm:f>
            <x14:dxf>
              <fill>
                <patternFill>
                  <bgColor rgb="FFFFFF00"/>
                </patternFill>
              </fill>
            </x14:dxf>
          </x14:cfRule>
          <xm:sqref>J167:X167</xm:sqref>
        </x14:conditionalFormatting>
        <x14:conditionalFormatting xmlns:xm="http://schemas.microsoft.com/office/excel/2006/main">
          <x14:cfRule type="expression" priority="4700514" id="{561AF073-0EF8-4B72-A119-40A639C4359D}">
            <xm:f>$Y$4='Data entry'!$R60</xm:f>
            <x14:dxf>
              <fill>
                <patternFill>
                  <bgColor rgb="FFFF0000"/>
                </patternFill>
              </fill>
            </x14:dxf>
          </x14:cfRule>
          <xm:sqref>W168:AI168</xm:sqref>
        </x14:conditionalFormatting>
        <x14:conditionalFormatting xmlns:xm="http://schemas.microsoft.com/office/excel/2006/main">
          <x14:cfRule type="expression" priority="4700515" id="{F242E808-8F07-4A89-9524-7D4C767CE357}">
            <xm:f>$Y$4='Data entry'!$R60</xm:f>
            <x14:dxf>
              <fill>
                <patternFill>
                  <bgColor rgb="FFFFFF00"/>
                </patternFill>
              </fill>
            </x14:dxf>
          </x14:cfRule>
          <xm:sqref>K167:Y167</xm:sqref>
        </x14:conditionalFormatting>
        <x14:conditionalFormatting xmlns:xm="http://schemas.microsoft.com/office/excel/2006/main">
          <x14:cfRule type="expression" priority="4700516" id="{DD601058-982B-4218-BD9D-64BB823C2633}">
            <xm:f>$Z$4='Data entry'!$R60</xm:f>
            <x14:dxf>
              <fill>
                <patternFill>
                  <bgColor rgb="FFFF0000"/>
                </patternFill>
              </fill>
            </x14:dxf>
          </x14:cfRule>
          <xm:sqref>X168:AJ168</xm:sqref>
        </x14:conditionalFormatting>
        <x14:conditionalFormatting xmlns:xm="http://schemas.microsoft.com/office/excel/2006/main">
          <x14:cfRule type="expression" priority="4700517" id="{C9DB141D-79F6-4093-92A3-7BF7A1622985}">
            <xm:f>$Z$4='Data entry'!$R60</xm:f>
            <x14:dxf>
              <fill>
                <patternFill>
                  <bgColor rgb="FFFFFF00"/>
                </patternFill>
              </fill>
            </x14:dxf>
          </x14:cfRule>
          <xm:sqref>L167:Z167</xm:sqref>
        </x14:conditionalFormatting>
        <x14:conditionalFormatting xmlns:xm="http://schemas.microsoft.com/office/excel/2006/main">
          <x14:cfRule type="expression" priority="4700518" id="{710EB8D3-F5C0-4E3C-8214-2D0C4E26F649}">
            <xm:f>$AA$4='Data entry'!$R60</xm:f>
            <x14:dxf>
              <fill>
                <patternFill>
                  <bgColor rgb="FFFF0000"/>
                </patternFill>
              </fill>
            </x14:dxf>
          </x14:cfRule>
          <xm:sqref>Y168:AK168</xm:sqref>
        </x14:conditionalFormatting>
        <x14:conditionalFormatting xmlns:xm="http://schemas.microsoft.com/office/excel/2006/main">
          <x14:cfRule type="expression" priority="4700519" id="{33825D69-C967-4D27-B395-5D44A3083802}">
            <xm:f>$AA$4='Data entry'!$R60</xm:f>
            <x14:dxf>
              <fill>
                <patternFill>
                  <bgColor rgb="FFFFFF00"/>
                </patternFill>
              </fill>
            </x14:dxf>
          </x14:cfRule>
          <xm:sqref>M167:AA167</xm:sqref>
        </x14:conditionalFormatting>
        <x14:conditionalFormatting xmlns:xm="http://schemas.microsoft.com/office/excel/2006/main">
          <x14:cfRule type="expression" priority="4700520" id="{9811A97D-351B-4D32-8754-AF433277E62B}">
            <xm:f>$AB$4='Data entry'!$R60</xm:f>
            <x14:dxf>
              <fill>
                <patternFill>
                  <bgColor rgb="FFFF0000"/>
                </patternFill>
              </fill>
            </x14:dxf>
          </x14:cfRule>
          <xm:sqref>Z168:AL168</xm:sqref>
        </x14:conditionalFormatting>
        <x14:conditionalFormatting xmlns:xm="http://schemas.microsoft.com/office/excel/2006/main">
          <x14:cfRule type="expression" priority="4700521" id="{6DD3E556-C72E-438B-92DA-3096ED1E4178}">
            <xm:f>$AB$4='Data entry'!$R60</xm:f>
            <x14:dxf>
              <fill>
                <patternFill>
                  <bgColor rgb="FFFFFF00"/>
                </patternFill>
              </fill>
            </x14:dxf>
          </x14:cfRule>
          <xm:sqref>N167:AB167</xm:sqref>
        </x14:conditionalFormatting>
        <x14:conditionalFormatting xmlns:xm="http://schemas.microsoft.com/office/excel/2006/main">
          <x14:cfRule type="expression" priority="4700522" id="{C0DF7A1B-D6BC-4371-BD3A-F0708147FA1C}">
            <xm:f>$AC$4='Data entry'!$R60</xm:f>
            <x14:dxf>
              <fill>
                <patternFill>
                  <bgColor rgb="FFFF0000"/>
                </patternFill>
              </fill>
            </x14:dxf>
          </x14:cfRule>
          <xm:sqref>AA168:AM168</xm:sqref>
        </x14:conditionalFormatting>
        <x14:conditionalFormatting xmlns:xm="http://schemas.microsoft.com/office/excel/2006/main">
          <x14:cfRule type="expression" priority="4700523" id="{DB2E1F48-AF0E-41F9-A976-6B1963CA5711}">
            <xm:f>$AC$4='Data entry'!$R60</xm:f>
            <x14:dxf>
              <fill>
                <patternFill>
                  <bgColor rgb="FFFFFF00"/>
                </patternFill>
              </fill>
            </x14:dxf>
          </x14:cfRule>
          <xm:sqref>O167:AC167</xm:sqref>
        </x14:conditionalFormatting>
        <x14:conditionalFormatting xmlns:xm="http://schemas.microsoft.com/office/excel/2006/main">
          <x14:cfRule type="expression" priority="4700524" id="{89909907-F9A9-4AF9-BC1D-304710A43F50}">
            <xm:f>$AD$4='Data entry'!$R60</xm:f>
            <x14:dxf>
              <fill>
                <patternFill>
                  <bgColor rgb="FFFF0000"/>
                </patternFill>
              </fill>
            </x14:dxf>
          </x14:cfRule>
          <xm:sqref>AB168:AN168</xm:sqref>
        </x14:conditionalFormatting>
        <x14:conditionalFormatting xmlns:xm="http://schemas.microsoft.com/office/excel/2006/main">
          <x14:cfRule type="expression" priority="4700525" id="{729676B7-E331-43A4-ACC9-850DCEE76A0E}">
            <xm:f>$AD$4='Data entry'!$R60</xm:f>
            <x14:dxf>
              <fill>
                <patternFill>
                  <bgColor rgb="FFFFFF00"/>
                </patternFill>
              </fill>
            </x14:dxf>
          </x14:cfRule>
          <xm:sqref>P167:AD167</xm:sqref>
        </x14:conditionalFormatting>
        <x14:conditionalFormatting xmlns:xm="http://schemas.microsoft.com/office/excel/2006/main">
          <x14:cfRule type="expression" priority="4700526" id="{00DA2C55-350E-44AA-ABEA-808FABFDA737}">
            <xm:f>$AE$4='Data entry'!$R60</xm:f>
            <x14:dxf>
              <fill>
                <patternFill>
                  <bgColor rgb="FFFF0000"/>
                </patternFill>
              </fill>
            </x14:dxf>
          </x14:cfRule>
          <xm:sqref>AC168:AO168</xm:sqref>
        </x14:conditionalFormatting>
        <x14:conditionalFormatting xmlns:xm="http://schemas.microsoft.com/office/excel/2006/main">
          <x14:cfRule type="expression" priority="4700527" id="{373C95F1-00C1-45E9-B561-5224945BA4A4}">
            <xm:f>$AE$4='Data entry'!$R60</xm:f>
            <x14:dxf>
              <fill>
                <patternFill>
                  <bgColor rgb="FFFFFF00"/>
                </patternFill>
              </fill>
            </x14:dxf>
          </x14:cfRule>
          <xm:sqref>Q167:AE167</xm:sqref>
        </x14:conditionalFormatting>
        <x14:conditionalFormatting xmlns:xm="http://schemas.microsoft.com/office/excel/2006/main">
          <x14:cfRule type="expression" priority="4700528" id="{65E90E74-6BEF-4B00-BD5E-ECACFEBC225A}">
            <xm:f>$AF$4='Data entry'!$R60</xm:f>
            <x14:dxf>
              <fill>
                <patternFill>
                  <bgColor rgb="FFFF0000"/>
                </patternFill>
              </fill>
            </x14:dxf>
          </x14:cfRule>
          <xm:sqref>AD168:AP168</xm:sqref>
        </x14:conditionalFormatting>
        <x14:conditionalFormatting xmlns:xm="http://schemas.microsoft.com/office/excel/2006/main">
          <x14:cfRule type="expression" priority="4700529" id="{56B519D7-E083-4811-B42B-D6CB10D44BB3}">
            <xm:f>$AF$4='Data entry'!$R60</xm:f>
            <x14:dxf>
              <fill>
                <patternFill>
                  <bgColor rgb="FFFFFF00"/>
                </patternFill>
              </fill>
            </x14:dxf>
          </x14:cfRule>
          <xm:sqref>R167:AF167</xm:sqref>
        </x14:conditionalFormatting>
        <x14:conditionalFormatting xmlns:xm="http://schemas.microsoft.com/office/excel/2006/main">
          <x14:cfRule type="expression" priority="4700530" id="{889682B6-BF9B-414B-86B7-1C802156B058}">
            <xm:f>$AG$4='Data entry'!$R60</xm:f>
            <x14:dxf>
              <fill>
                <patternFill>
                  <bgColor rgb="FFFF0000"/>
                </patternFill>
              </fill>
            </x14:dxf>
          </x14:cfRule>
          <xm:sqref>AE168:AQ168</xm:sqref>
        </x14:conditionalFormatting>
        <x14:conditionalFormatting xmlns:xm="http://schemas.microsoft.com/office/excel/2006/main">
          <x14:cfRule type="expression" priority="4700531" id="{19913D88-1940-4CB0-B29C-D46D60833BD5}">
            <xm:f>$AG$4='Data entry'!$R60</xm:f>
            <x14:dxf>
              <fill>
                <patternFill>
                  <bgColor rgb="FFFFFF00"/>
                </patternFill>
              </fill>
            </x14:dxf>
          </x14:cfRule>
          <xm:sqref>S167:AG167</xm:sqref>
        </x14:conditionalFormatting>
        <x14:conditionalFormatting xmlns:xm="http://schemas.microsoft.com/office/excel/2006/main">
          <x14:cfRule type="expression" priority="4700532" id="{3DD7B9A5-18A3-463F-BAD5-9796FC487328}">
            <xm:f>$AH$4='Data entry'!$R60</xm:f>
            <x14:dxf>
              <fill>
                <patternFill>
                  <bgColor rgb="FFFF0000"/>
                </patternFill>
              </fill>
            </x14:dxf>
          </x14:cfRule>
          <xm:sqref>AF168:AR168</xm:sqref>
        </x14:conditionalFormatting>
        <x14:conditionalFormatting xmlns:xm="http://schemas.microsoft.com/office/excel/2006/main">
          <x14:cfRule type="expression" priority="4700533" id="{31005CF4-5608-496E-91EB-F7F505046C80}">
            <xm:f>$AH$4='Data entry'!$R60</xm:f>
            <x14:dxf>
              <fill>
                <patternFill>
                  <bgColor rgb="FFFFFF00"/>
                </patternFill>
              </fill>
            </x14:dxf>
          </x14:cfRule>
          <xm:sqref>T167:AH167</xm:sqref>
        </x14:conditionalFormatting>
        <x14:conditionalFormatting xmlns:xm="http://schemas.microsoft.com/office/excel/2006/main">
          <x14:cfRule type="expression" priority="4700534" id="{CD14F654-5B7A-444F-8FC1-7DD71E76E475}">
            <xm:f>$AI$4='Data entry'!$R60</xm:f>
            <x14:dxf>
              <fill>
                <patternFill>
                  <bgColor rgb="FFFF0000"/>
                </patternFill>
              </fill>
            </x14:dxf>
          </x14:cfRule>
          <xm:sqref>AG168:AS168</xm:sqref>
        </x14:conditionalFormatting>
        <x14:conditionalFormatting xmlns:xm="http://schemas.microsoft.com/office/excel/2006/main">
          <x14:cfRule type="expression" priority="4700535" id="{0E4E448C-6C46-4285-B877-A61A90294385}">
            <xm:f>$AI$4='Data entry'!$R60</xm:f>
            <x14:dxf>
              <fill>
                <patternFill>
                  <bgColor rgb="FFFFFF00"/>
                </patternFill>
              </fill>
            </x14:dxf>
          </x14:cfRule>
          <xm:sqref>U167:AI167</xm:sqref>
        </x14:conditionalFormatting>
        <x14:conditionalFormatting xmlns:xm="http://schemas.microsoft.com/office/excel/2006/main">
          <x14:cfRule type="expression" priority="4700536" id="{B1C1818F-791C-403D-BE73-6F6E9DC6A16D}">
            <xm:f>$AJ$4='Data entry'!$R60</xm:f>
            <x14:dxf>
              <fill>
                <patternFill>
                  <bgColor rgb="FFFF0000"/>
                </patternFill>
              </fill>
            </x14:dxf>
          </x14:cfRule>
          <xm:sqref>AH168:AT168</xm:sqref>
        </x14:conditionalFormatting>
        <x14:conditionalFormatting xmlns:xm="http://schemas.microsoft.com/office/excel/2006/main">
          <x14:cfRule type="expression" priority="4700537" id="{A1237792-221B-431B-B8A7-E9A64DA46D93}">
            <xm:f>$AJ$4='Data entry'!$R60</xm:f>
            <x14:dxf>
              <fill>
                <patternFill>
                  <bgColor rgb="FFFFFF00"/>
                </patternFill>
              </fill>
            </x14:dxf>
          </x14:cfRule>
          <xm:sqref>V167:AJ167</xm:sqref>
        </x14:conditionalFormatting>
        <x14:conditionalFormatting xmlns:xm="http://schemas.microsoft.com/office/excel/2006/main">
          <x14:cfRule type="expression" priority="4700538" id="{617DC2AF-C7A3-4724-8EA3-17DEFEDC8949}">
            <xm:f>$AK$4='Data entry'!$R60</xm:f>
            <x14:dxf>
              <fill>
                <patternFill>
                  <bgColor rgb="FFFF0000"/>
                </patternFill>
              </fill>
            </x14:dxf>
          </x14:cfRule>
          <xm:sqref>AI168:AU168</xm:sqref>
        </x14:conditionalFormatting>
        <x14:conditionalFormatting xmlns:xm="http://schemas.microsoft.com/office/excel/2006/main">
          <x14:cfRule type="expression" priority="4700539" id="{AA72317D-37B1-48EB-A28B-BF2AC8DC4519}">
            <xm:f>$AK$4='Data entry'!$R60</xm:f>
            <x14:dxf>
              <fill>
                <patternFill>
                  <bgColor rgb="FFFFFF00"/>
                </patternFill>
              </fill>
            </x14:dxf>
          </x14:cfRule>
          <xm:sqref>W167:AK167</xm:sqref>
        </x14:conditionalFormatting>
        <x14:conditionalFormatting xmlns:xm="http://schemas.microsoft.com/office/excel/2006/main">
          <x14:cfRule type="expression" priority="4700540" id="{6CA9FB7A-20EA-4D3A-B74C-A001F4BE810D}">
            <xm:f>$AL$4='Data entry'!$R60</xm:f>
            <x14:dxf>
              <fill>
                <patternFill>
                  <bgColor rgb="FFFF0000"/>
                </patternFill>
              </fill>
            </x14:dxf>
          </x14:cfRule>
          <xm:sqref>AJ168:AV168</xm:sqref>
        </x14:conditionalFormatting>
        <x14:conditionalFormatting xmlns:xm="http://schemas.microsoft.com/office/excel/2006/main">
          <x14:cfRule type="expression" priority="4700541" id="{81A75DAA-573F-4EF3-A640-1B992C18BEA0}">
            <xm:f>$AL$4='Data entry'!$R60</xm:f>
            <x14:dxf>
              <fill>
                <patternFill>
                  <bgColor rgb="FFFFFF00"/>
                </patternFill>
              </fill>
            </x14:dxf>
          </x14:cfRule>
          <xm:sqref>X167:AL167</xm:sqref>
        </x14:conditionalFormatting>
        <x14:conditionalFormatting xmlns:xm="http://schemas.microsoft.com/office/excel/2006/main">
          <x14:cfRule type="expression" priority="4700542" id="{3D44713E-4ABA-4CCD-9DF4-5513A9FB5E1E}">
            <xm:f>$AM$4='Data entry'!$R60</xm:f>
            <x14:dxf>
              <fill>
                <patternFill>
                  <bgColor rgb="FFFF0000"/>
                </patternFill>
              </fill>
            </x14:dxf>
          </x14:cfRule>
          <xm:sqref>AK168:AW168</xm:sqref>
        </x14:conditionalFormatting>
        <x14:conditionalFormatting xmlns:xm="http://schemas.microsoft.com/office/excel/2006/main">
          <x14:cfRule type="expression" priority="4700543" id="{05A26B51-72A7-4423-822F-2BDBC28275D0}">
            <xm:f>$AM$4='Data entry'!$R60</xm:f>
            <x14:dxf>
              <fill>
                <patternFill>
                  <bgColor rgb="FFFFFF00"/>
                </patternFill>
              </fill>
            </x14:dxf>
          </x14:cfRule>
          <xm:sqref>Y167:AM167</xm:sqref>
        </x14:conditionalFormatting>
        <x14:conditionalFormatting xmlns:xm="http://schemas.microsoft.com/office/excel/2006/main">
          <x14:cfRule type="expression" priority="4700544" id="{B8A20675-6230-4694-A7F6-6B3DC7142773}">
            <xm:f>$AN$4='Data entry'!$R60</xm:f>
            <x14:dxf>
              <fill>
                <patternFill>
                  <bgColor rgb="FFFF0000"/>
                </patternFill>
              </fill>
            </x14:dxf>
          </x14:cfRule>
          <xm:sqref>AL168:AX168</xm:sqref>
        </x14:conditionalFormatting>
        <x14:conditionalFormatting xmlns:xm="http://schemas.microsoft.com/office/excel/2006/main">
          <x14:cfRule type="expression" priority="4700545" id="{8421181C-7450-42E9-BC1D-065CCFCA960E}">
            <xm:f>$AN$4='Data entry'!$R60</xm:f>
            <x14:dxf>
              <fill>
                <patternFill>
                  <bgColor rgb="FFFFFF00"/>
                </patternFill>
              </fill>
            </x14:dxf>
          </x14:cfRule>
          <xm:sqref>Z167:AN167</xm:sqref>
        </x14:conditionalFormatting>
        <x14:conditionalFormatting xmlns:xm="http://schemas.microsoft.com/office/excel/2006/main">
          <x14:cfRule type="expression" priority="4700546" id="{067FE4BD-6EF4-4684-B6E0-35AB2F267EE7}">
            <xm:f>$AO$4='Data entry'!$R60</xm:f>
            <x14:dxf>
              <fill>
                <patternFill>
                  <bgColor rgb="FFFF0000"/>
                </patternFill>
              </fill>
            </x14:dxf>
          </x14:cfRule>
          <xm:sqref>AM168:AY168</xm:sqref>
        </x14:conditionalFormatting>
        <x14:conditionalFormatting xmlns:xm="http://schemas.microsoft.com/office/excel/2006/main">
          <x14:cfRule type="expression" priority="4700547" id="{F7653492-88D1-47AC-8BA3-0CCE65C3C2AB}">
            <xm:f>$AO$4='Data entry'!$R60</xm:f>
            <x14:dxf>
              <fill>
                <patternFill>
                  <bgColor rgb="FFFFFF00"/>
                </patternFill>
              </fill>
            </x14:dxf>
          </x14:cfRule>
          <xm:sqref>AA167:AO167</xm:sqref>
        </x14:conditionalFormatting>
        <x14:conditionalFormatting xmlns:xm="http://schemas.microsoft.com/office/excel/2006/main">
          <x14:cfRule type="expression" priority="4700548" id="{207A5E5D-B322-482E-9193-1D7318138358}">
            <xm:f>$AP$4='Data entry'!$R60</xm:f>
            <x14:dxf>
              <fill>
                <patternFill>
                  <bgColor rgb="FFFF0000"/>
                </patternFill>
              </fill>
            </x14:dxf>
          </x14:cfRule>
          <xm:sqref>AN168:AZ168</xm:sqref>
        </x14:conditionalFormatting>
        <x14:conditionalFormatting xmlns:xm="http://schemas.microsoft.com/office/excel/2006/main">
          <x14:cfRule type="expression" priority="4700549" id="{21DA638D-4CA0-4067-BFF1-240CE1A0261B}">
            <xm:f>$AP$4='Data entry'!$R60</xm:f>
            <x14:dxf>
              <fill>
                <patternFill>
                  <bgColor rgb="FFFFFF00"/>
                </patternFill>
              </fill>
            </x14:dxf>
          </x14:cfRule>
          <xm:sqref>AB167:AP167</xm:sqref>
        </x14:conditionalFormatting>
        <x14:conditionalFormatting xmlns:xm="http://schemas.microsoft.com/office/excel/2006/main">
          <x14:cfRule type="expression" priority="4700550" id="{71963D96-A42A-4B90-BFC7-6D83D37766EF}">
            <xm:f>$AQ$4='Data entry'!$R60</xm:f>
            <x14:dxf>
              <fill>
                <patternFill>
                  <bgColor rgb="FFFF0000"/>
                </patternFill>
              </fill>
            </x14:dxf>
          </x14:cfRule>
          <xm:sqref>AO168:BA168</xm:sqref>
        </x14:conditionalFormatting>
        <x14:conditionalFormatting xmlns:xm="http://schemas.microsoft.com/office/excel/2006/main">
          <x14:cfRule type="expression" priority="4700551" id="{74952595-84B6-484F-8FF6-FCC1F337DF4D}">
            <xm:f>$AQ$4='Data entry'!$R60</xm:f>
            <x14:dxf>
              <fill>
                <patternFill>
                  <bgColor rgb="FFFFFF00"/>
                </patternFill>
              </fill>
            </x14:dxf>
          </x14:cfRule>
          <xm:sqref>AC167:AQ167</xm:sqref>
        </x14:conditionalFormatting>
        <x14:conditionalFormatting xmlns:xm="http://schemas.microsoft.com/office/excel/2006/main">
          <x14:cfRule type="expression" priority="4700552" id="{8AC9C4B9-0A34-4BC0-B0F7-CA89434C4911}">
            <xm:f>$P$4='Data entry'!$R60</xm:f>
            <x14:dxf>
              <fill>
                <patternFill>
                  <bgColor rgb="FFFFFF00"/>
                </patternFill>
              </fill>
            </x14:dxf>
          </x14:cfRule>
          <xm:sqref>C167:P167</xm:sqref>
        </x14:conditionalFormatting>
        <x14:conditionalFormatting xmlns:xm="http://schemas.microsoft.com/office/excel/2006/main">
          <x14:cfRule type="expression" priority="4700553" id="{0A726775-ABFD-4F22-967C-1A4D87BA3751}">
            <xm:f>$Q$4='Data entry'!$R60</xm:f>
            <x14:dxf>
              <fill>
                <patternFill>
                  <bgColor rgb="FFFFFF00"/>
                </patternFill>
              </fill>
            </x14:dxf>
          </x14:cfRule>
          <xm:sqref>C167:Q167</xm:sqref>
        </x14:conditionalFormatting>
        <x14:conditionalFormatting xmlns:xm="http://schemas.microsoft.com/office/excel/2006/main">
          <x14:cfRule type="expression" priority="4700554" id="{3A8414BD-262C-43B5-86EE-FA6901D00453}">
            <xm:f>$Q$4='Data entry'!$R60</xm:f>
            <x14:dxf>
              <fill>
                <patternFill>
                  <bgColor rgb="FFFF0000"/>
                </patternFill>
              </fill>
            </x14:dxf>
          </x14:cfRule>
          <xm:sqref>O168:AA168</xm:sqref>
        </x14:conditionalFormatting>
        <x14:conditionalFormatting xmlns:xm="http://schemas.microsoft.com/office/excel/2006/main">
          <x14:cfRule type="expression" priority="4700555" id="{B8B5501D-F3EF-4449-9306-F652960C65F4}">
            <xm:f>$R$4='Data entry'!$R60</xm:f>
            <x14:dxf>
              <fill>
                <patternFill>
                  <bgColor rgb="FFFF0000"/>
                </patternFill>
              </fill>
            </x14:dxf>
          </x14:cfRule>
          <xm:sqref>P168:AB168</xm:sqref>
        </x14:conditionalFormatting>
        <x14:conditionalFormatting xmlns:xm="http://schemas.microsoft.com/office/excel/2006/main">
          <x14:cfRule type="expression" priority="4700556" id="{5D070DEC-B82E-4D87-B907-A3E5AB836991}">
            <xm:f>$R$4='Data entry'!$R60</xm:f>
            <x14:dxf>
              <fill>
                <patternFill>
                  <bgColor rgb="FFFFFF00"/>
                </patternFill>
              </fill>
            </x14:dxf>
          </x14:cfRule>
          <xm:sqref>D167:R167</xm:sqref>
        </x14:conditionalFormatting>
        <x14:conditionalFormatting xmlns:xm="http://schemas.microsoft.com/office/excel/2006/main">
          <x14:cfRule type="expression" priority="4700557" id="{E4D16A10-F818-4664-9FB2-F0E839824D4B}">
            <xm:f>$S$4='Data entry'!$R60</xm:f>
            <x14:dxf>
              <fill>
                <patternFill>
                  <bgColor rgb="FFFF0000"/>
                </patternFill>
              </fill>
            </x14:dxf>
          </x14:cfRule>
          <xm:sqref>Q168:AC168</xm:sqref>
        </x14:conditionalFormatting>
        <x14:conditionalFormatting xmlns:xm="http://schemas.microsoft.com/office/excel/2006/main">
          <x14:cfRule type="expression" priority="4700558" id="{1A9F9911-A3E9-4730-AFBE-AB8C596545CA}">
            <xm:f>$S$4='Data entry'!$R60</xm:f>
            <x14:dxf>
              <fill>
                <patternFill>
                  <bgColor rgb="FFFFFF00"/>
                </patternFill>
              </fill>
            </x14:dxf>
          </x14:cfRule>
          <xm:sqref>E167:S167</xm:sqref>
        </x14:conditionalFormatting>
        <x14:conditionalFormatting xmlns:xm="http://schemas.microsoft.com/office/excel/2006/main">
          <x14:cfRule type="expression" priority="4700559" id="{8BB5CD1B-B2AC-442A-9550-26DE19A62D22}">
            <xm:f>$T$4='Data entry'!$R60</xm:f>
            <x14:dxf>
              <fill>
                <patternFill>
                  <bgColor rgb="FFFF0000"/>
                </patternFill>
              </fill>
            </x14:dxf>
          </x14:cfRule>
          <xm:sqref>R168:AD168</xm:sqref>
        </x14:conditionalFormatting>
        <x14:conditionalFormatting xmlns:xm="http://schemas.microsoft.com/office/excel/2006/main">
          <x14:cfRule type="expression" priority="4700560" id="{E7B59C69-7921-4049-84A1-8B3E5F7B0598}">
            <xm:f>$T$4='Data entry'!$R60</xm:f>
            <x14:dxf>
              <fill>
                <patternFill>
                  <bgColor rgb="FFFFFF00"/>
                </patternFill>
              </fill>
            </x14:dxf>
          </x14:cfRule>
          <xm:sqref>F167:T167</xm:sqref>
        </x14:conditionalFormatting>
        <x14:conditionalFormatting xmlns:xm="http://schemas.microsoft.com/office/excel/2006/main">
          <x14:cfRule type="expression" priority="4700561" id="{238C09E5-7A3D-439D-949F-A7733073F9A2}">
            <xm:f>$U$4='Data entry'!$R60</xm:f>
            <x14:dxf>
              <fill>
                <patternFill>
                  <bgColor rgb="FFFFFF00"/>
                </patternFill>
              </fill>
            </x14:dxf>
          </x14:cfRule>
          <xm:sqref>G167:U167</xm:sqref>
        </x14:conditionalFormatting>
        <x14:conditionalFormatting xmlns:xm="http://schemas.microsoft.com/office/excel/2006/main">
          <x14:cfRule type="expression" priority="4700562" id="{DE4D4432-0A19-452A-AF14-2873FE4DF411}">
            <xm:f>$AR$4='Data entry'!$R60</xm:f>
            <x14:dxf>
              <fill>
                <patternFill>
                  <bgColor rgb="FFFF0000"/>
                </patternFill>
              </fill>
            </x14:dxf>
          </x14:cfRule>
          <xm:sqref>AP168:BB168</xm:sqref>
        </x14:conditionalFormatting>
        <x14:conditionalFormatting xmlns:xm="http://schemas.microsoft.com/office/excel/2006/main">
          <x14:cfRule type="expression" priority="4700563" id="{90D7E1FF-542D-40C8-9BD5-DFEB4CDD256F}">
            <xm:f>$AR$4='Data entry'!$R60</xm:f>
            <x14:dxf>
              <fill>
                <patternFill>
                  <bgColor rgb="FFFFFF00"/>
                </patternFill>
              </fill>
            </x14:dxf>
          </x14:cfRule>
          <xm:sqref>AD167:AR167</xm:sqref>
        </x14:conditionalFormatting>
        <x14:conditionalFormatting xmlns:xm="http://schemas.microsoft.com/office/excel/2006/main">
          <x14:cfRule type="expression" priority="4700564" id="{0EBB5305-4A4A-4205-A1FF-11160070CBC3}">
            <xm:f>$AS$4='Data entry'!$R60</xm:f>
            <x14:dxf>
              <fill>
                <patternFill>
                  <bgColor rgb="FFFF0000"/>
                </patternFill>
              </fill>
            </x14:dxf>
          </x14:cfRule>
          <xm:sqref>AQ168:BC168</xm:sqref>
        </x14:conditionalFormatting>
        <x14:conditionalFormatting xmlns:xm="http://schemas.microsoft.com/office/excel/2006/main">
          <x14:cfRule type="expression" priority="4700565" id="{AC8EB30C-4253-4CE1-820E-1801F6D8D35B}">
            <xm:f>$AS$4='Data entry'!$R60</xm:f>
            <x14:dxf>
              <fill>
                <patternFill>
                  <bgColor rgb="FFFFFF00"/>
                </patternFill>
              </fill>
            </x14:dxf>
          </x14:cfRule>
          <xm:sqref>AE167:AS167</xm:sqref>
        </x14:conditionalFormatting>
        <x14:conditionalFormatting xmlns:xm="http://schemas.microsoft.com/office/excel/2006/main">
          <x14:cfRule type="expression" priority="4700566" id="{E11744C1-7201-4272-A1B0-945490B42425}">
            <xm:f>$AT$4='Data entry'!$R60</xm:f>
            <x14:dxf>
              <fill>
                <patternFill>
                  <bgColor rgb="FFFF0000"/>
                </patternFill>
              </fill>
            </x14:dxf>
          </x14:cfRule>
          <xm:sqref>AR168:BD168</xm:sqref>
        </x14:conditionalFormatting>
        <x14:conditionalFormatting xmlns:xm="http://schemas.microsoft.com/office/excel/2006/main">
          <x14:cfRule type="expression" priority="4700567" id="{5EE2823B-E955-4EA7-B99C-0B1F77B57A69}">
            <xm:f>$AT$4='Data entry'!$R60</xm:f>
            <x14:dxf>
              <fill>
                <patternFill>
                  <bgColor rgb="FFFFFF00"/>
                </patternFill>
              </fill>
            </x14:dxf>
          </x14:cfRule>
          <xm:sqref>AF167:AT167</xm:sqref>
        </x14:conditionalFormatting>
        <x14:conditionalFormatting xmlns:xm="http://schemas.microsoft.com/office/excel/2006/main">
          <x14:cfRule type="expression" priority="4700568" id="{5737DC63-3262-4B34-900C-2AAEB255FCBA}">
            <xm:f>$AU$4='Data entry'!$R60</xm:f>
            <x14:dxf>
              <fill>
                <patternFill>
                  <bgColor rgb="FFFF0000"/>
                </patternFill>
              </fill>
            </x14:dxf>
          </x14:cfRule>
          <xm:sqref>AS168:BE168</xm:sqref>
        </x14:conditionalFormatting>
        <x14:conditionalFormatting xmlns:xm="http://schemas.microsoft.com/office/excel/2006/main">
          <x14:cfRule type="expression" priority="4700569" id="{2B5C1F1B-3C3D-4CA3-BC64-0E98422075B6}">
            <xm:f>$AU$4='Data entry'!$R60</xm:f>
            <x14:dxf>
              <fill>
                <patternFill>
                  <bgColor rgb="FFFFFF00"/>
                </patternFill>
              </fill>
            </x14:dxf>
          </x14:cfRule>
          <xm:sqref>AG167:AU167</xm:sqref>
        </x14:conditionalFormatting>
        <x14:conditionalFormatting xmlns:xm="http://schemas.microsoft.com/office/excel/2006/main">
          <x14:cfRule type="expression" priority="4700570" id="{B87A1285-B003-4855-8F4B-53C391BA10E6}">
            <xm:f>$AV$4='Data entry'!$R60</xm:f>
            <x14:dxf>
              <fill>
                <patternFill>
                  <bgColor rgb="FFFF0000"/>
                </patternFill>
              </fill>
            </x14:dxf>
          </x14:cfRule>
          <xm:sqref>AT168:BF168</xm:sqref>
        </x14:conditionalFormatting>
        <x14:conditionalFormatting xmlns:xm="http://schemas.microsoft.com/office/excel/2006/main">
          <x14:cfRule type="expression" priority="4700571" id="{338EE31C-78DB-4818-B837-0380F9E457FA}">
            <xm:f>$AV$4='Data entry'!$R60</xm:f>
            <x14:dxf>
              <fill>
                <patternFill>
                  <bgColor rgb="FFFFFF00"/>
                </patternFill>
              </fill>
            </x14:dxf>
          </x14:cfRule>
          <xm:sqref>AH167:AV167</xm:sqref>
        </x14:conditionalFormatting>
        <x14:conditionalFormatting xmlns:xm="http://schemas.microsoft.com/office/excel/2006/main">
          <x14:cfRule type="expression" priority="4700572" id="{5C40EA66-2801-4C91-B885-BF6A1ECFC35C}">
            <xm:f>$AW$4='Data entry'!$R60</xm:f>
            <x14:dxf>
              <fill>
                <patternFill>
                  <bgColor rgb="FFFF0000"/>
                </patternFill>
              </fill>
            </x14:dxf>
          </x14:cfRule>
          <xm:sqref>AU168:BG168</xm:sqref>
        </x14:conditionalFormatting>
        <x14:conditionalFormatting xmlns:xm="http://schemas.microsoft.com/office/excel/2006/main">
          <x14:cfRule type="expression" priority="4700573" id="{51BCD5CE-DF86-4C2F-8A81-DDA1EFD6C8F7}">
            <xm:f>$AW$4='Data entry'!$R60</xm:f>
            <x14:dxf>
              <fill>
                <patternFill>
                  <bgColor rgb="FFFFFF00"/>
                </patternFill>
              </fill>
            </x14:dxf>
          </x14:cfRule>
          <xm:sqref>AI167:AW167</xm:sqref>
        </x14:conditionalFormatting>
        <x14:conditionalFormatting xmlns:xm="http://schemas.microsoft.com/office/excel/2006/main">
          <x14:cfRule type="expression" priority="4700574" id="{DC2ED5A0-8917-4877-8CD3-9DF9BE5993C9}">
            <xm:f>$AX$4='Data entry'!$R60</xm:f>
            <x14:dxf>
              <fill>
                <patternFill>
                  <bgColor rgb="FFFF0000"/>
                </patternFill>
              </fill>
            </x14:dxf>
          </x14:cfRule>
          <xm:sqref>AV168:BH168</xm:sqref>
        </x14:conditionalFormatting>
        <x14:conditionalFormatting xmlns:xm="http://schemas.microsoft.com/office/excel/2006/main">
          <x14:cfRule type="expression" priority="4700575" id="{59B31869-20F9-45BD-BC80-0A6C8945CE2C}">
            <xm:f>$AX$4='Data entry'!$R60</xm:f>
            <x14:dxf>
              <fill>
                <patternFill>
                  <bgColor rgb="FFFFFF00"/>
                </patternFill>
              </fill>
            </x14:dxf>
          </x14:cfRule>
          <xm:sqref>AJ167:AX167</xm:sqref>
        </x14:conditionalFormatting>
        <x14:conditionalFormatting xmlns:xm="http://schemas.microsoft.com/office/excel/2006/main">
          <x14:cfRule type="expression" priority="4700576" id="{D4208FA0-4262-4037-934C-6D0742B2AD8E}">
            <xm:f>$AY$4='Data entry'!$R60</xm:f>
            <x14:dxf>
              <fill>
                <patternFill>
                  <bgColor rgb="FFFF0000"/>
                </patternFill>
              </fill>
            </x14:dxf>
          </x14:cfRule>
          <xm:sqref>AW168:BI168</xm:sqref>
        </x14:conditionalFormatting>
        <x14:conditionalFormatting xmlns:xm="http://schemas.microsoft.com/office/excel/2006/main">
          <x14:cfRule type="expression" priority="4700577" id="{04D6E423-18C7-42B2-A67D-F49D8E62B571}">
            <xm:f>$AY$4='Data entry'!$R60</xm:f>
            <x14:dxf>
              <fill>
                <patternFill>
                  <bgColor rgb="FFFFFF00"/>
                </patternFill>
              </fill>
            </x14:dxf>
          </x14:cfRule>
          <xm:sqref>AK167:AY167</xm:sqref>
        </x14:conditionalFormatting>
        <x14:conditionalFormatting xmlns:xm="http://schemas.microsoft.com/office/excel/2006/main">
          <x14:cfRule type="expression" priority="4700578" id="{A931C203-6E4B-4EBD-A2F4-1876881F48D4}">
            <xm:f>$AZ$4='Data entry'!$R60</xm:f>
            <x14:dxf>
              <fill>
                <patternFill>
                  <bgColor rgb="FFFF0000"/>
                </patternFill>
              </fill>
            </x14:dxf>
          </x14:cfRule>
          <xm:sqref>AX168:BJ168</xm:sqref>
        </x14:conditionalFormatting>
        <x14:conditionalFormatting xmlns:xm="http://schemas.microsoft.com/office/excel/2006/main">
          <x14:cfRule type="expression" priority="4700579" id="{092D9100-E652-40FE-8CAA-720DC0681250}">
            <xm:f>$AZ$4='Data entry'!$R60</xm:f>
            <x14:dxf>
              <fill>
                <patternFill>
                  <bgColor rgb="FFFFFF00"/>
                </patternFill>
              </fill>
            </x14:dxf>
          </x14:cfRule>
          <xm:sqref>AL167:AZ167</xm:sqref>
        </x14:conditionalFormatting>
        <x14:conditionalFormatting xmlns:xm="http://schemas.microsoft.com/office/excel/2006/main">
          <x14:cfRule type="expression" priority="4700580" id="{A3C7E6BE-A225-483C-A983-A915DB662C52}">
            <xm:f>$BA$4='Data entry'!$R60</xm:f>
            <x14:dxf>
              <fill>
                <patternFill>
                  <bgColor rgb="FFFF0000"/>
                </patternFill>
              </fill>
            </x14:dxf>
          </x14:cfRule>
          <xm:sqref>AY168:BK168</xm:sqref>
        </x14:conditionalFormatting>
        <x14:conditionalFormatting xmlns:xm="http://schemas.microsoft.com/office/excel/2006/main">
          <x14:cfRule type="expression" priority="4700581" id="{F5CF569A-8AFA-4CFF-8BD3-F04D8927A99F}">
            <xm:f>$BA$4='Data entry'!$R60</xm:f>
            <x14:dxf>
              <fill>
                <patternFill>
                  <bgColor rgb="FFFFFF00"/>
                </patternFill>
              </fill>
            </x14:dxf>
          </x14:cfRule>
          <xm:sqref>AM167:BA167</xm:sqref>
        </x14:conditionalFormatting>
        <x14:conditionalFormatting xmlns:xm="http://schemas.microsoft.com/office/excel/2006/main">
          <x14:cfRule type="expression" priority="4700582" id="{E4DAC94A-7983-4BFB-A87B-45B58561841A}">
            <xm:f>$BB$4='Data entry'!$R60</xm:f>
            <x14:dxf>
              <fill>
                <patternFill>
                  <bgColor rgb="FFFF0000"/>
                </patternFill>
              </fill>
            </x14:dxf>
          </x14:cfRule>
          <xm:sqref>AZ168:BL168</xm:sqref>
        </x14:conditionalFormatting>
        <x14:conditionalFormatting xmlns:xm="http://schemas.microsoft.com/office/excel/2006/main">
          <x14:cfRule type="expression" priority="4700583" id="{E63849C5-F39B-4B0E-8F8A-B532EDF2CBAE}">
            <xm:f>$BB$4='Data entry'!$R60</xm:f>
            <x14:dxf>
              <fill>
                <patternFill>
                  <bgColor rgb="FFFFFF00"/>
                </patternFill>
              </fill>
            </x14:dxf>
          </x14:cfRule>
          <xm:sqref>AN167:BB167</xm:sqref>
        </x14:conditionalFormatting>
        <x14:conditionalFormatting xmlns:xm="http://schemas.microsoft.com/office/excel/2006/main">
          <x14:cfRule type="expression" priority="4700584" id="{4FDC32D3-C1F5-455D-9AA4-A03359B72526}">
            <xm:f>$BC$4='Data entry'!$R60</xm:f>
            <x14:dxf>
              <fill>
                <patternFill>
                  <bgColor rgb="FFFF0000"/>
                </patternFill>
              </fill>
            </x14:dxf>
          </x14:cfRule>
          <xm:sqref>BA168:BM168</xm:sqref>
        </x14:conditionalFormatting>
        <x14:conditionalFormatting xmlns:xm="http://schemas.microsoft.com/office/excel/2006/main">
          <x14:cfRule type="expression" priority="4700585" id="{5F0D0C60-B233-4C56-B05D-98C99990877F}">
            <xm:f>$BC$4='Data entry'!$R60</xm:f>
            <x14:dxf>
              <fill>
                <patternFill>
                  <bgColor rgb="FFFFFF00"/>
                </patternFill>
              </fill>
            </x14:dxf>
          </x14:cfRule>
          <xm:sqref>AO167:BC167</xm:sqref>
        </x14:conditionalFormatting>
        <x14:conditionalFormatting xmlns:xm="http://schemas.microsoft.com/office/excel/2006/main">
          <x14:cfRule type="expression" priority="4700586" id="{9EBCB60F-8135-43B6-A0F3-548D4092CC98}">
            <xm:f>$BD$4='Data entry'!$R60</xm:f>
            <x14:dxf>
              <fill>
                <patternFill>
                  <bgColor rgb="FFFF0000"/>
                </patternFill>
              </fill>
            </x14:dxf>
          </x14:cfRule>
          <xm:sqref>BB168:BN168</xm:sqref>
        </x14:conditionalFormatting>
        <x14:conditionalFormatting xmlns:xm="http://schemas.microsoft.com/office/excel/2006/main">
          <x14:cfRule type="expression" priority="4700587" id="{961AF346-4A73-41ED-9A8D-27D431B09C05}">
            <xm:f>$BD$4='Data entry'!$R60</xm:f>
            <x14:dxf>
              <fill>
                <patternFill>
                  <bgColor rgb="FFFFFF00"/>
                </patternFill>
              </fill>
            </x14:dxf>
          </x14:cfRule>
          <xm:sqref>AP167:BD167</xm:sqref>
        </x14:conditionalFormatting>
        <x14:conditionalFormatting xmlns:xm="http://schemas.microsoft.com/office/excel/2006/main">
          <x14:cfRule type="expression" priority="4700588" id="{5A887026-27CD-4F8C-8BA6-1E92704C1CA6}">
            <xm:f>$BE$4='Data entry'!$R60</xm:f>
            <x14:dxf>
              <fill>
                <patternFill>
                  <bgColor rgb="FFFF0000"/>
                </patternFill>
              </fill>
            </x14:dxf>
          </x14:cfRule>
          <xm:sqref>BC168:BO168</xm:sqref>
        </x14:conditionalFormatting>
        <x14:conditionalFormatting xmlns:xm="http://schemas.microsoft.com/office/excel/2006/main">
          <x14:cfRule type="expression" priority="4700589" id="{7F46217B-A1E9-4515-B31E-E756FCD7C6D9}">
            <xm:f>$BE$4='Data entry'!$R60</xm:f>
            <x14:dxf>
              <fill>
                <patternFill>
                  <bgColor rgb="FFFFFF00"/>
                </patternFill>
              </fill>
            </x14:dxf>
          </x14:cfRule>
          <xm:sqref>AP167:BE167</xm:sqref>
        </x14:conditionalFormatting>
        <x14:conditionalFormatting xmlns:xm="http://schemas.microsoft.com/office/excel/2006/main">
          <x14:cfRule type="expression" priority="4700590" id="{F4D9285C-8CA0-4EF1-943E-6A462D47CC77}">
            <xm:f>$BF$4='Data entry'!$R60</xm:f>
            <x14:dxf>
              <fill>
                <patternFill>
                  <bgColor rgb="FFFF0000"/>
                </patternFill>
              </fill>
            </x14:dxf>
          </x14:cfRule>
          <xm:sqref>BD168:BP168</xm:sqref>
        </x14:conditionalFormatting>
        <x14:conditionalFormatting xmlns:xm="http://schemas.microsoft.com/office/excel/2006/main">
          <x14:cfRule type="expression" priority="4700591" id="{B9E4407D-651D-4DC0-9D61-3271D62A65E9}">
            <xm:f>$BF$4='Data entry'!$R60</xm:f>
            <x14:dxf>
              <fill>
                <patternFill>
                  <bgColor rgb="FFFFFF00"/>
                </patternFill>
              </fill>
            </x14:dxf>
          </x14:cfRule>
          <xm:sqref>AR167:BF167</xm:sqref>
        </x14:conditionalFormatting>
        <x14:conditionalFormatting xmlns:xm="http://schemas.microsoft.com/office/excel/2006/main">
          <x14:cfRule type="expression" priority="4700592" id="{4CDC062F-DDFF-4556-B941-08F919727F69}">
            <xm:f>$BG$4='Data entry'!$R60</xm:f>
            <x14:dxf>
              <fill>
                <patternFill>
                  <bgColor rgb="FFFF0000"/>
                </patternFill>
              </fill>
            </x14:dxf>
          </x14:cfRule>
          <xm:sqref>BE168:BQ168</xm:sqref>
        </x14:conditionalFormatting>
        <x14:conditionalFormatting xmlns:xm="http://schemas.microsoft.com/office/excel/2006/main">
          <x14:cfRule type="expression" priority="4700593" id="{789184FA-9055-433B-8A1B-92C7ED59E81F}">
            <xm:f>$BG$4='Data entry'!$R60</xm:f>
            <x14:dxf>
              <fill>
                <patternFill>
                  <bgColor rgb="FFFFFF00"/>
                </patternFill>
              </fill>
            </x14:dxf>
          </x14:cfRule>
          <xm:sqref>AS167:BG167</xm:sqref>
        </x14:conditionalFormatting>
        <x14:conditionalFormatting xmlns:xm="http://schemas.microsoft.com/office/excel/2006/main">
          <x14:cfRule type="expression" priority="4700594" id="{58651E5C-09C9-46C1-B95C-E8A578A49E15}">
            <xm:f>$BH$4='Data entry'!$R60</xm:f>
            <x14:dxf>
              <fill>
                <patternFill>
                  <bgColor rgb="FFFFFF00"/>
                </patternFill>
              </fill>
            </x14:dxf>
          </x14:cfRule>
          <xm:sqref>AT167:BH167</xm:sqref>
        </x14:conditionalFormatting>
        <x14:conditionalFormatting xmlns:xm="http://schemas.microsoft.com/office/excel/2006/main">
          <x14:cfRule type="expression" priority="4700595" id="{97B30B86-8311-4DC0-A533-8C0D53F37839}">
            <xm:f>$BH$4='Data entry'!$R60</xm:f>
            <x14:dxf>
              <fill>
                <patternFill>
                  <bgColor rgb="FFFF0000"/>
                </patternFill>
              </fill>
            </x14:dxf>
          </x14:cfRule>
          <xm:sqref>BF168:BR168</xm:sqref>
        </x14:conditionalFormatting>
        <x14:conditionalFormatting xmlns:xm="http://schemas.microsoft.com/office/excel/2006/main">
          <x14:cfRule type="expression" priority="4700596" id="{78344C0C-5AEA-40B1-A20C-6D77DF58E1F5}">
            <xm:f>$BI$4='Data entry'!$R60</xm:f>
            <x14:dxf>
              <fill>
                <patternFill>
                  <bgColor rgb="FFFFFF00"/>
                </patternFill>
              </fill>
            </x14:dxf>
          </x14:cfRule>
          <xm:sqref>AU167:BI167</xm:sqref>
        </x14:conditionalFormatting>
        <x14:conditionalFormatting xmlns:xm="http://schemas.microsoft.com/office/excel/2006/main">
          <x14:cfRule type="expression" priority="4700597" id="{A9CE044F-482E-4F25-B28F-89ACC58502B1}">
            <xm:f>$BI$4='Data entry'!$R60</xm:f>
            <x14:dxf>
              <fill>
                <patternFill>
                  <bgColor rgb="FFFF0000"/>
                </patternFill>
              </fill>
            </x14:dxf>
          </x14:cfRule>
          <xm:sqref>BG168:BS168</xm:sqref>
        </x14:conditionalFormatting>
        <x14:conditionalFormatting xmlns:xm="http://schemas.microsoft.com/office/excel/2006/main">
          <x14:cfRule type="expression" priority="4700598" id="{F63BE0EB-3C71-4456-BEF0-11180AB7A8BB}">
            <xm:f>$BJ$4='Data entry'!$R60</xm:f>
            <x14:dxf>
              <fill>
                <patternFill>
                  <bgColor rgb="FFFFFF00"/>
                </patternFill>
              </fill>
            </x14:dxf>
          </x14:cfRule>
          <xm:sqref>AV167:BJ167</xm:sqref>
        </x14:conditionalFormatting>
        <x14:conditionalFormatting xmlns:xm="http://schemas.microsoft.com/office/excel/2006/main">
          <x14:cfRule type="expression" priority="4700599" id="{478A5DCB-1DAA-4497-A6CC-B4F01FB96D10}">
            <xm:f>$BJ$4='Data entry'!$R60</xm:f>
            <x14:dxf>
              <fill>
                <patternFill>
                  <bgColor rgb="FFFF0000"/>
                </patternFill>
              </fill>
            </x14:dxf>
          </x14:cfRule>
          <xm:sqref>BH168:BT168</xm:sqref>
        </x14:conditionalFormatting>
        <x14:conditionalFormatting xmlns:xm="http://schemas.microsoft.com/office/excel/2006/main">
          <x14:cfRule type="expression" priority="4700600" id="{CDE4AD5B-65A6-4FA4-9EC0-8D05F22312A9}">
            <xm:f>$BK$4='Data entry'!$R60</xm:f>
            <x14:dxf>
              <fill>
                <patternFill>
                  <bgColor rgb="FFFF0000"/>
                </patternFill>
              </fill>
            </x14:dxf>
          </x14:cfRule>
          <xm:sqref>BI168:BU168</xm:sqref>
        </x14:conditionalFormatting>
        <x14:conditionalFormatting xmlns:xm="http://schemas.microsoft.com/office/excel/2006/main">
          <x14:cfRule type="expression" priority="4700601" id="{AB32E790-6CD8-4D11-9A69-57D785FE4BBC}">
            <xm:f>$BK$4='Data entry'!$R60</xm:f>
            <x14:dxf>
              <fill>
                <patternFill>
                  <bgColor rgb="FFFFFF00"/>
                </patternFill>
              </fill>
            </x14:dxf>
          </x14:cfRule>
          <xm:sqref>AW167:BK167</xm:sqref>
        </x14:conditionalFormatting>
        <x14:conditionalFormatting xmlns:xm="http://schemas.microsoft.com/office/excel/2006/main">
          <x14:cfRule type="expression" priority="4700602" id="{99810EB9-805C-43D8-852A-EEECE7874CDB}">
            <xm:f>$BL$4='Data entry'!$R60</xm:f>
            <x14:dxf>
              <fill>
                <patternFill>
                  <bgColor rgb="FFFF0000"/>
                </patternFill>
              </fill>
            </x14:dxf>
          </x14:cfRule>
          <xm:sqref>BJ168:BV168</xm:sqref>
        </x14:conditionalFormatting>
        <x14:conditionalFormatting xmlns:xm="http://schemas.microsoft.com/office/excel/2006/main">
          <x14:cfRule type="expression" priority="4700603" id="{BF5F5475-4E46-479C-97A6-D5175F5D1803}">
            <xm:f>$BL$4='Data entry'!$R60</xm:f>
            <x14:dxf>
              <fill>
                <patternFill>
                  <bgColor rgb="FFFFFF00"/>
                </patternFill>
              </fill>
            </x14:dxf>
          </x14:cfRule>
          <xm:sqref>AX167:BL167</xm:sqref>
        </x14:conditionalFormatting>
        <x14:conditionalFormatting xmlns:xm="http://schemas.microsoft.com/office/excel/2006/main">
          <x14:cfRule type="expression" priority="4700604" id="{B86FDF2F-16C9-46B1-847E-7EA1A8A34B9D}">
            <xm:f>$BM$4='Data entry'!$R60</xm:f>
            <x14:dxf>
              <fill>
                <patternFill>
                  <bgColor rgb="FFFF0000"/>
                </patternFill>
              </fill>
            </x14:dxf>
          </x14:cfRule>
          <xm:sqref>BK168:BW168</xm:sqref>
        </x14:conditionalFormatting>
        <x14:conditionalFormatting xmlns:xm="http://schemas.microsoft.com/office/excel/2006/main">
          <x14:cfRule type="expression" priority="4700605" id="{72FD189F-4CED-400D-9FEF-21A328970A4D}">
            <xm:f>$BM$4='Data entry'!$R60</xm:f>
            <x14:dxf>
              <fill>
                <patternFill>
                  <bgColor rgb="FFFFFF00"/>
                </patternFill>
              </fill>
            </x14:dxf>
          </x14:cfRule>
          <xm:sqref>AY167:BM167</xm:sqref>
        </x14:conditionalFormatting>
        <x14:conditionalFormatting xmlns:xm="http://schemas.microsoft.com/office/excel/2006/main">
          <x14:cfRule type="expression" priority="4700606" id="{BBBBF859-D5A7-4F55-BFBF-8A77E3357590}">
            <xm:f>$BN$4='Data entry'!$R60</xm:f>
            <x14:dxf>
              <fill>
                <patternFill>
                  <bgColor rgb="FFFF0000"/>
                </patternFill>
              </fill>
            </x14:dxf>
          </x14:cfRule>
          <xm:sqref>BL168:BX168</xm:sqref>
        </x14:conditionalFormatting>
        <x14:conditionalFormatting xmlns:xm="http://schemas.microsoft.com/office/excel/2006/main">
          <x14:cfRule type="expression" priority="4700607" id="{50CB1D75-0FD5-4D24-92B1-E8A41DC6575C}">
            <xm:f>$BN$4='Data entry'!$R60</xm:f>
            <x14:dxf>
              <fill>
                <patternFill>
                  <bgColor rgb="FFFFFF00"/>
                </patternFill>
              </fill>
            </x14:dxf>
          </x14:cfRule>
          <xm:sqref>AZ167:BN167</xm:sqref>
        </x14:conditionalFormatting>
        <x14:conditionalFormatting xmlns:xm="http://schemas.microsoft.com/office/excel/2006/main">
          <x14:cfRule type="expression" priority="4700608" id="{9EF3226D-E8FC-496B-A6FF-71776AEA54D1}">
            <xm:f>$BO$4='Data entry'!$R60</xm:f>
            <x14:dxf>
              <fill>
                <patternFill>
                  <bgColor rgb="FFFF0000"/>
                </patternFill>
              </fill>
            </x14:dxf>
          </x14:cfRule>
          <xm:sqref>BM168:BY168</xm:sqref>
        </x14:conditionalFormatting>
        <x14:conditionalFormatting xmlns:xm="http://schemas.microsoft.com/office/excel/2006/main">
          <x14:cfRule type="expression" priority="4700609" id="{3B86C801-ECFE-4D05-8AA5-1581116BAFBC}">
            <xm:f>$BO$4='Data entry'!$R60</xm:f>
            <x14:dxf>
              <fill>
                <patternFill>
                  <bgColor rgb="FFFFFF00"/>
                </patternFill>
              </fill>
            </x14:dxf>
          </x14:cfRule>
          <xm:sqref>BA167:BO167</xm:sqref>
        </x14:conditionalFormatting>
        <x14:conditionalFormatting xmlns:xm="http://schemas.microsoft.com/office/excel/2006/main">
          <x14:cfRule type="expression" priority="4700610" id="{058A23EC-3371-4A02-9F20-1ECA603AC6BC}">
            <xm:f>$BP$4='Data entry'!$R60</xm:f>
            <x14:dxf>
              <fill>
                <patternFill>
                  <bgColor rgb="FFFF0000"/>
                </patternFill>
              </fill>
            </x14:dxf>
          </x14:cfRule>
          <xm:sqref>BN168:BZ168</xm:sqref>
        </x14:conditionalFormatting>
        <x14:conditionalFormatting xmlns:xm="http://schemas.microsoft.com/office/excel/2006/main">
          <x14:cfRule type="expression" priority="4700611" id="{3E711E31-3992-4555-AB22-87133D60CD15}">
            <xm:f>$BP$4='Data entry'!$R60</xm:f>
            <x14:dxf>
              <fill>
                <patternFill>
                  <bgColor rgb="FFFFFF00"/>
                </patternFill>
              </fill>
            </x14:dxf>
          </x14:cfRule>
          <xm:sqref>BB167:BP167</xm:sqref>
        </x14:conditionalFormatting>
        <x14:conditionalFormatting xmlns:xm="http://schemas.microsoft.com/office/excel/2006/main">
          <x14:cfRule type="expression" priority="4700612" id="{23E9F8B9-37D5-4730-9453-6F23E8ECBBE3}">
            <xm:f>$BQ$4='Data entry'!$R60</xm:f>
            <x14:dxf>
              <fill>
                <patternFill>
                  <bgColor rgb="FFFFFF00"/>
                </patternFill>
              </fill>
            </x14:dxf>
          </x14:cfRule>
          <xm:sqref>BC167:BQ167</xm:sqref>
        </x14:conditionalFormatting>
        <x14:conditionalFormatting xmlns:xm="http://schemas.microsoft.com/office/excel/2006/main">
          <x14:cfRule type="expression" priority="4700613" id="{BCFD92F6-AAD3-44FD-BC61-A292A81B883E}">
            <xm:f>$BQ$4='Data entry'!$R60</xm:f>
            <x14:dxf>
              <fill>
                <patternFill>
                  <bgColor rgb="FFFF0000"/>
                </patternFill>
              </fill>
            </x14:dxf>
          </x14:cfRule>
          <xm:sqref>BO168:CA168</xm:sqref>
        </x14:conditionalFormatting>
        <x14:conditionalFormatting xmlns:xm="http://schemas.microsoft.com/office/excel/2006/main">
          <x14:cfRule type="expression" priority="4700614" id="{357D60E5-F356-477E-8020-A18F42C02832}">
            <xm:f>$BR$4='Data entry'!$R60</xm:f>
            <x14:dxf>
              <fill>
                <patternFill>
                  <bgColor rgb="FFFFFF00"/>
                </patternFill>
              </fill>
            </x14:dxf>
          </x14:cfRule>
          <xm:sqref>BD167:BR167</xm:sqref>
        </x14:conditionalFormatting>
        <x14:conditionalFormatting xmlns:xm="http://schemas.microsoft.com/office/excel/2006/main">
          <x14:cfRule type="expression" priority="4700615" id="{DA2B6511-43B3-432D-B6AA-1DB1188B90A6}">
            <xm:f>$BR$4='Data entry'!$R60</xm:f>
            <x14:dxf>
              <fill>
                <patternFill>
                  <bgColor rgb="FFFF0000"/>
                </patternFill>
              </fill>
            </x14:dxf>
          </x14:cfRule>
          <xm:sqref>BP168:CB168</xm:sqref>
        </x14:conditionalFormatting>
        <x14:conditionalFormatting xmlns:xm="http://schemas.microsoft.com/office/excel/2006/main">
          <x14:cfRule type="expression" priority="4700616" id="{0D5F64E4-4136-4BFA-B833-CC8578525D9C}">
            <xm:f>$BS$4='Data entry'!$R60</xm:f>
            <x14:dxf>
              <fill>
                <patternFill>
                  <bgColor rgb="FFFFFF00"/>
                </patternFill>
              </fill>
            </x14:dxf>
          </x14:cfRule>
          <xm:sqref>BE167:BS167</xm:sqref>
        </x14:conditionalFormatting>
        <x14:conditionalFormatting xmlns:xm="http://schemas.microsoft.com/office/excel/2006/main">
          <x14:cfRule type="expression" priority="4700617" id="{AC94D468-F078-4AE2-8771-102996E07B09}">
            <xm:f>$BS$4='Data entry'!$R60</xm:f>
            <x14:dxf>
              <fill>
                <patternFill>
                  <bgColor rgb="FFFF0000"/>
                </patternFill>
              </fill>
            </x14:dxf>
          </x14:cfRule>
          <xm:sqref>BQ168:CC168</xm:sqref>
        </x14:conditionalFormatting>
        <x14:conditionalFormatting xmlns:xm="http://schemas.microsoft.com/office/excel/2006/main">
          <x14:cfRule type="expression" priority="4700618" id="{10E78F76-181E-4F19-9F89-7DD36D3EFE30}">
            <xm:f>$BT$4='Data entry'!$R60</xm:f>
            <x14:dxf>
              <fill>
                <patternFill>
                  <bgColor rgb="FFFFFF00"/>
                </patternFill>
              </fill>
            </x14:dxf>
          </x14:cfRule>
          <xm:sqref>BF167:BT167</xm:sqref>
        </x14:conditionalFormatting>
        <x14:conditionalFormatting xmlns:xm="http://schemas.microsoft.com/office/excel/2006/main">
          <x14:cfRule type="expression" priority="4700619" id="{6A5FADC6-9512-4EFB-90A5-7B5244D10D1F}">
            <xm:f>$BT$4='Data entry'!$R60</xm:f>
            <x14:dxf>
              <fill>
                <patternFill>
                  <bgColor rgb="FFFF0000"/>
                </patternFill>
              </fill>
            </x14:dxf>
          </x14:cfRule>
          <xm:sqref>BR168:CC168</xm:sqref>
        </x14:conditionalFormatting>
        <x14:conditionalFormatting xmlns:xm="http://schemas.microsoft.com/office/excel/2006/main">
          <x14:cfRule type="expression" priority="4700620" id="{A51139D1-8841-4B96-B8CB-DFE3808765CF}">
            <xm:f>$BU$4='Data entry'!$R60</xm:f>
            <x14:dxf>
              <fill>
                <patternFill>
                  <bgColor rgb="FFFFFF00"/>
                </patternFill>
              </fill>
            </x14:dxf>
          </x14:cfRule>
          <xm:sqref>BG167:BU167</xm:sqref>
        </x14:conditionalFormatting>
        <x14:conditionalFormatting xmlns:xm="http://schemas.microsoft.com/office/excel/2006/main">
          <x14:cfRule type="expression" priority="4700621" id="{55CA7258-760F-4BFF-ACB5-A70FEB3E7981}">
            <xm:f>$BU$4='Data entry'!$R60</xm:f>
            <x14:dxf>
              <fill>
                <patternFill>
                  <bgColor rgb="FFFF0000"/>
                </patternFill>
              </fill>
            </x14:dxf>
          </x14:cfRule>
          <xm:sqref>BS168:CC168</xm:sqref>
        </x14:conditionalFormatting>
        <x14:conditionalFormatting xmlns:xm="http://schemas.microsoft.com/office/excel/2006/main">
          <x14:cfRule type="expression" priority="4700622" id="{A922B218-64DB-4CBB-9AB8-FE0EBB44E09E}">
            <xm:f>$BV$4='Data entry'!$R60</xm:f>
            <x14:dxf>
              <fill>
                <patternFill>
                  <bgColor rgb="FFFFFF00"/>
                </patternFill>
              </fill>
            </x14:dxf>
          </x14:cfRule>
          <xm:sqref>BH167:BV167</xm:sqref>
        </x14:conditionalFormatting>
        <x14:conditionalFormatting xmlns:xm="http://schemas.microsoft.com/office/excel/2006/main">
          <x14:cfRule type="expression" priority="4700623" id="{C98E908A-CD31-4778-B41C-7AFB9DBE639A}">
            <xm:f>$BV$4='Data entry'!$R60</xm:f>
            <x14:dxf>
              <fill>
                <patternFill>
                  <bgColor rgb="FFFF0000"/>
                </patternFill>
              </fill>
            </x14:dxf>
          </x14:cfRule>
          <xm:sqref>BT168:CC168</xm:sqref>
        </x14:conditionalFormatting>
        <x14:conditionalFormatting xmlns:xm="http://schemas.microsoft.com/office/excel/2006/main">
          <x14:cfRule type="expression" priority="4700624" id="{465CCCA3-B4DB-4B61-8AC7-8A5E4CEC9E3F}">
            <xm:f>$BW$4='Data entry'!$R60</xm:f>
            <x14:dxf>
              <fill>
                <patternFill>
                  <bgColor rgb="FFFFFF00"/>
                </patternFill>
              </fill>
            </x14:dxf>
          </x14:cfRule>
          <xm:sqref>BI167:BW167</xm:sqref>
        </x14:conditionalFormatting>
        <x14:conditionalFormatting xmlns:xm="http://schemas.microsoft.com/office/excel/2006/main">
          <x14:cfRule type="expression" priority="4700625" id="{37566F97-6D06-400B-A709-FE657B07687F}">
            <xm:f>$BW$4='Data entry'!$R60</xm:f>
            <x14:dxf>
              <fill>
                <patternFill>
                  <bgColor rgb="FFFF0000"/>
                </patternFill>
              </fill>
            </x14:dxf>
          </x14:cfRule>
          <xm:sqref>BU168:CC168</xm:sqref>
        </x14:conditionalFormatting>
        <x14:conditionalFormatting xmlns:xm="http://schemas.microsoft.com/office/excel/2006/main">
          <x14:cfRule type="expression" priority="4700626" id="{D8FBA3AC-5CF0-4E45-97CA-1D4DEE729ADA}">
            <xm:f>$BX$4='Data entry'!$R60</xm:f>
            <x14:dxf>
              <fill>
                <patternFill>
                  <bgColor rgb="FFFFFF00"/>
                </patternFill>
              </fill>
            </x14:dxf>
          </x14:cfRule>
          <xm:sqref>BJ167:BX167</xm:sqref>
        </x14:conditionalFormatting>
        <x14:conditionalFormatting xmlns:xm="http://schemas.microsoft.com/office/excel/2006/main">
          <x14:cfRule type="expression" priority="4700627" id="{E077C84B-A94F-431D-B232-4AFCC7C64F54}">
            <xm:f>$BX$4='Data entry'!$R60</xm:f>
            <x14:dxf>
              <fill>
                <patternFill>
                  <bgColor rgb="FFFF0000"/>
                </patternFill>
              </fill>
            </x14:dxf>
          </x14:cfRule>
          <xm:sqref>BV168:CC168</xm:sqref>
        </x14:conditionalFormatting>
        <x14:conditionalFormatting xmlns:xm="http://schemas.microsoft.com/office/excel/2006/main">
          <x14:cfRule type="expression" priority="4700628" id="{63783BA8-0C97-4A44-86FD-7A2BCF1B9957}">
            <xm:f>$BY$4='Data entry'!$R60</xm:f>
            <x14:dxf>
              <fill>
                <patternFill>
                  <bgColor rgb="FFFFFF00"/>
                </patternFill>
              </fill>
            </x14:dxf>
          </x14:cfRule>
          <xm:sqref>BK167:BY167</xm:sqref>
        </x14:conditionalFormatting>
        <x14:conditionalFormatting xmlns:xm="http://schemas.microsoft.com/office/excel/2006/main">
          <x14:cfRule type="expression" priority="4700629" id="{BB8DB8B4-B71B-46D2-AEE7-346F16103F74}">
            <xm:f>$BY$4='Data entry'!$R60</xm:f>
            <x14:dxf>
              <fill>
                <patternFill>
                  <bgColor rgb="FFFF0000"/>
                </patternFill>
              </fill>
            </x14:dxf>
          </x14:cfRule>
          <xm:sqref>BW168:CC168</xm:sqref>
        </x14:conditionalFormatting>
        <x14:conditionalFormatting xmlns:xm="http://schemas.microsoft.com/office/excel/2006/main">
          <x14:cfRule type="expression" priority="4700630" id="{1B638B98-2B06-4FEB-90C1-446A3E0A3979}">
            <xm:f>$BZ$4='Data entry'!$R60</xm:f>
            <x14:dxf>
              <fill>
                <patternFill>
                  <bgColor rgb="FFFFFF00"/>
                </patternFill>
              </fill>
            </x14:dxf>
          </x14:cfRule>
          <xm:sqref>BL167:BZ167</xm:sqref>
        </x14:conditionalFormatting>
        <x14:conditionalFormatting xmlns:xm="http://schemas.microsoft.com/office/excel/2006/main">
          <x14:cfRule type="expression" priority="4700631" id="{D3A0A2F8-D1B2-4DC5-B2A9-0EF53074E685}">
            <xm:f>$BZ$4='Data entry'!$R60</xm:f>
            <x14:dxf>
              <fill>
                <patternFill>
                  <bgColor rgb="FFFF0000"/>
                </patternFill>
              </fill>
            </x14:dxf>
          </x14:cfRule>
          <xm:sqref>BX168:CC168</xm:sqref>
        </x14:conditionalFormatting>
        <x14:conditionalFormatting xmlns:xm="http://schemas.microsoft.com/office/excel/2006/main">
          <x14:cfRule type="expression" priority="4700632" id="{83F6D018-7D3B-4D33-9998-11572F2F2FF5}">
            <xm:f>$CA$4='Data entry'!$R60</xm:f>
            <x14:dxf>
              <fill>
                <patternFill>
                  <bgColor rgb="FFFFFF00"/>
                </patternFill>
              </fill>
            </x14:dxf>
          </x14:cfRule>
          <xm:sqref>BM167:CA167</xm:sqref>
        </x14:conditionalFormatting>
        <x14:conditionalFormatting xmlns:xm="http://schemas.microsoft.com/office/excel/2006/main">
          <x14:cfRule type="expression" priority="4700633" id="{8E6D0B51-5626-4ED9-9072-C7A2C139704F}">
            <xm:f>$CA$4='Data entry'!$R60</xm:f>
            <x14:dxf>
              <fill>
                <patternFill>
                  <bgColor rgb="FFFF0000"/>
                </patternFill>
              </fill>
            </x14:dxf>
          </x14:cfRule>
          <xm:sqref>BY168:CC168</xm:sqref>
        </x14:conditionalFormatting>
        <x14:conditionalFormatting xmlns:xm="http://schemas.microsoft.com/office/excel/2006/main">
          <x14:cfRule type="expression" priority="4700634" id="{E1886EE4-3BDE-43A9-9F4B-79377FEC37FE}">
            <xm:f>$CB$4='Data entry'!$R60</xm:f>
            <x14:dxf>
              <fill>
                <patternFill>
                  <bgColor rgb="FFFFFF00"/>
                </patternFill>
              </fill>
            </x14:dxf>
          </x14:cfRule>
          <xm:sqref>BN167:CB167</xm:sqref>
        </x14:conditionalFormatting>
        <x14:conditionalFormatting xmlns:xm="http://schemas.microsoft.com/office/excel/2006/main">
          <x14:cfRule type="expression" priority="4700635" id="{ADEF572A-6C18-4602-BB86-01C96D36E07E}">
            <xm:f>$CB$4='Data entry'!$R60</xm:f>
            <x14:dxf>
              <fill>
                <patternFill>
                  <bgColor rgb="FFFF0000"/>
                </patternFill>
              </fill>
            </x14:dxf>
          </x14:cfRule>
          <xm:sqref>BZ168:CC168</xm:sqref>
        </x14:conditionalFormatting>
        <x14:conditionalFormatting xmlns:xm="http://schemas.microsoft.com/office/excel/2006/main">
          <x14:cfRule type="expression" priority="4700636" id="{7984E1C9-E073-4955-8543-62145CB6D008}">
            <xm:f>$CC$4='Data entry'!$R60</xm:f>
            <x14:dxf>
              <fill>
                <patternFill>
                  <bgColor rgb="FFFFFF00"/>
                </patternFill>
              </fill>
            </x14:dxf>
          </x14:cfRule>
          <xm:sqref>BO167:CC167</xm:sqref>
        </x14:conditionalFormatting>
        <x14:conditionalFormatting xmlns:xm="http://schemas.microsoft.com/office/excel/2006/main">
          <x14:cfRule type="expression" priority="4700637" id="{18A957B3-59FA-4698-BA92-2A208FF18E2F}">
            <xm:f>$CC$4='Data entry'!$R60</xm:f>
            <x14:dxf>
              <fill>
                <patternFill>
                  <bgColor rgb="FFFF0000"/>
                </patternFill>
              </fill>
            </x14:dxf>
          </x14:cfRule>
          <xm:sqref>CA168:CC168</xm:sqref>
        </x14:conditionalFormatting>
        <x14:conditionalFormatting xmlns:xm="http://schemas.microsoft.com/office/excel/2006/main">
          <x14:cfRule type="expression" priority="4700724" id="{5B0DB825-B7C2-40AC-B7EF-F267F054CFB9}">
            <xm:f>$U$4='Data entry'!$R61</xm:f>
            <x14:dxf>
              <fill>
                <patternFill>
                  <bgColor rgb="FFFF0000"/>
                </patternFill>
              </fill>
            </x14:dxf>
          </x14:cfRule>
          <xm:sqref>S171:AE171</xm:sqref>
        </x14:conditionalFormatting>
        <x14:conditionalFormatting xmlns:xm="http://schemas.microsoft.com/office/excel/2006/main">
          <x14:cfRule type="expression" priority="4700725" id="{18311200-E2BB-400F-B594-3B9A2C6068C2}">
            <xm:f>$V$4='Data entry'!$R61</xm:f>
            <x14:dxf>
              <fill>
                <patternFill>
                  <bgColor rgb="FFFF0000"/>
                </patternFill>
              </fill>
            </x14:dxf>
          </x14:cfRule>
          <xm:sqref>T171:AF171</xm:sqref>
        </x14:conditionalFormatting>
        <x14:conditionalFormatting xmlns:xm="http://schemas.microsoft.com/office/excel/2006/main">
          <x14:cfRule type="expression" priority="4700726" id="{D6DFB621-1A58-4C59-A987-ECAD0EB2D32B}">
            <xm:f>$V$4='Data entry'!$R61</xm:f>
            <x14:dxf>
              <fill>
                <patternFill>
                  <bgColor rgb="FFFFFF00"/>
                </patternFill>
              </fill>
            </x14:dxf>
          </x14:cfRule>
          <xm:sqref>H170:V170</xm:sqref>
        </x14:conditionalFormatting>
        <x14:conditionalFormatting xmlns:xm="http://schemas.microsoft.com/office/excel/2006/main">
          <x14:cfRule type="expression" priority="4700727" id="{5F87A680-DC5F-433D-A779-B7A534ACCDA9}">
            <xm:f>$W$4='Data entry'!$R61</xm:f>
            <x14:dxf>
              <fill>
                <patternFill>
                  <bgColor rgb="FFFF0000"/>
                </patternFill>
              </fill>
            </x14:dxf>
          </x14:cfRule>
          <xm:sqref>U171:AG171</xm:sqref>
        </x14:conditionalFormatting>
        <x14:conditionalFormatting xmlns:xm="http://schemas.microsoft.com/office/excel/2006/main">
          <x14:cfRule type="expression" priority="4700728" id="{964539FF-A92C-4F68-B268-B7157A32678C}">
            <xm:f>$W$4='Data entry'!$R61</xm:f>
            <x14:dxf>
              <fill>
                <patternFill>
                  <bgColor rgb="FFFFFF00"/>
                </patternFill>
              </fill>
            </x14:dxf>
          </x14:cfRule>
          <xm:sqref>I170:W170</xm:sqref>
        </x14:conditionalFormatting>
        <x14:conditionalFormatting xmlns:xm="http://schemas.microsoft.com/office/excel/2006/main">
          <x14:cfRule type="expression" priority="4700729" id="{46C1533A-F090-4A90-9309-3F59EC3FD3B0}">
            <xm:f>$X$4='Data entry'!$R61</xm:f>
            <x14:dxf>
              <fill>
                <patternFill>
                  <bgColor rgb="FFFF0000"/>
                </patternFill>
              </fill>
            </x14:dxf>
          </x14:cfRule>
          <xm:sqref>V171:AH171</xm:sqref>
        </x14:conditionalFormatting>
        <x14:conditionalFormatting xmlns:xm="http://schemas.microsoft.com/office/excel/2006/main">
          <x14:cfRule type="expression" priority="4700730" id="{7C70E81C-DDD4-4D75-933A-4F6A39893184}">
            <xm:f>$X$4='Data entry'!$R61</xm:f>
            <x14:dxf>
              <fill>
                <patternFill>
                  <bgColor rgb="FFFFFF00"/>
                </patternFill>
              </fill>
            </x14:dxf>
          </x14:cfRule>
          <xm:sqref>J170:X170</xm:sqref>
        </x14:conditionalFormatting>
        <x14:conditionalFormatting xmlns:xm="http://schemas.microsoft.com/office/excel/2006/main">
          <x14:cfRule type="expression" priority="4700731" id="{561AF073-0EF8-4B72-A119-40A639C4359D}">
            <xm:f>$Y$4='Data entry'!$R61</xm:f>
            <x14:dxf>
              <fill>
                <patternFill>
                  <bgColor rgb="FFFF0000"/>
                </patternFill>
              </fill>
            </x14:dxf>
          </x14:cfRule>
          <xm:sqref>W171:AI171</xm:sqref>
        </x14:conditionalFormatting>
        <x14:conditionalFormatting xmlns:xm="http://schemas.microsoft.com/office/excel/2006/main">
          <x14:cfRule type="expression" priority="4700732" id="{F242E808-8F07-4A89-9524-7D4C767CE357}">
            <xm:f>$Y$4='Data entry'!$R61</xm:f>
            <x14:dxf>
              <fill>
                <patternFill>
                  <bgColor rgb="FFFFFF00"/>
                </patternFill>
              </fill>
            </x14:dxf>
          </x14:cfRule>
          <xm:sqref>K170:Y170</xm:sqref>
        </x14:conditionalFormatting>
        <x14:conditionalFormatting xmlns:xm="http://schemas.microsoft.com/office/excel/2006/main">
          <x14:cfRule type="expression" priority="4700733" id="{DD601058-982B-4218-BD9D-64BB823C2633}">
            <xm:f>$Z$4='Data entry'!$R61</xm:f>
            <x14:dxf>
              <fill>
                <patternFill>
                  <bgColor rgb="FFFF0000"/>
                </patternFill>
              </fill>
            </x14:dxf>
          </x14:cfRule>
          <xm:sqref>X171:AJ171</xm:sqref>
        </x14:conditionalFormatting>
        <x14:conditionalFormatting xmlns:xm="http://schemas.microsoft.com/office/excel/2006/main">
          <x14:cfRule type="expression" priority="4700734" id="{C9DB141D-79F6-4093-92A3-7BF7A1622985}">
            <xm:f>$Z$4='Data entry'!$R61</xm:f>
            <x14:dxf>
              <fill>
                <patternFill>
                  <bgColor rgb="FFFFFF00"/>
                </patternFill>
              </fill>
            </x14:dxf>
          </x14:cfRule>
          <xm:sqref>L170:Z170</xm:sqref>
        </x14:conditionalFormatting>
        <x14:conditionalFormatting xmlns:xm="http://schemas.microsoft.com/office/excel/2006/main">
          <x14:cfRule type="expression" priority="4700735" id="{710EB8D3-F5C0-4E3C-8214-2D0C4E26F649}">
            <xm:f>$AA$4='Data entry'!$R61</xm:f>
            <x14:dxf>
              <fill>
                <patternFill>
                  <bgColor rgb="FFFF0000"/>
                </patternFill>
              </fill>
            </x14:dxf>
          </x14:cfRule>
          <xm:sqref>Y171:AK171</xm:sqref>
        </x14:conditionalFormatting>
        <x14:conditionalFormatting xmlns:xm="http://schemas.microsoft.com/office/excel/2006/main">
          <x14:cfRule type="expression" priority="4700736" id="{33825D69-C967-4D27-B395-5D44A3083802}">
            <xm:f>$AA$4='Data entry'!$R61</xm:f>
            <x14:dxf>
              <fill>
                <patternFill>
                  <bgColor rgb="FFFFFF00"/>
                </patternFill>
              </fill>
            </x14:dxf>
          </x14:cfRule>
          <xm:sqref>M170:AA170</xm:sqref>
        </x14:conditionalFormatting>
        <x14:conditionalFormatting xmlns:xm="http://schemas.microsoft.com/office/excel/2006/main">
          <x14:cfRule type="expression" priority="4700737" id="{9811A97D-351B-4D32-8754-AF433277E62B}">
            <xm:f>$AB$4='Data entry'!$R61</xm:f>
            <x14:dxf>
              <fill>
                <patternFill>
                  <bgColor rgb="FFFF0000"/>
                </patternFill>
              </fill>
            </x14:dxf>
          </x14:cfRule>
          <xm:sqref>Z171:AL171</xm:sqref>
        </x14:conditionalFormatting>
        <x14:conditionalFormatting xmlns:xm="http://schemas.microsoft.com/office/excel/2006/main">
          <x14:cfRule type="expression" priority="4700738" id="{6DD3E556-C72E-438B-92DA-3096ED1E4178}">
            <xm:f>$AB$4='Data entry'!$R61</xm:f>
            <x14:dxf>
              <fill>
                <patternFill>
                  <bgColor rgb="FFFFFF00"/>
                </patternFill>
              </fill>
            </x14:dxf>
          </x14:cfRule>
          <xm:sqref>N170:AB170</xm:sqref>
        </x14:conditionalFormatting>
        <x14:conditionalFormatting xmlns:xm="http://schemas.microsoft.com/office/excel/2006/main">
          <x14:cfRule type="expression" priority="4700739" id="{C0DF7A1B-D6BC-4371-BD3A-F0708147FA1C}">
            <xm:f>$AC$4='Data entry'!$R61</xm:f>
            <x14:dxf>
              <fill>
                <patternFill>
                  <bgColor rgb="FFFF0000"/>
                </patternFill>
              </fill>
            </x14:dxf>
          </x14:cfRule>
          <xm:sqref>AA171:AM171</xm:sqref>
        </x14:conditionalFormatting>
        <x14:conditionalFormatting xmlns:xm="http://schemas.microsoft.com/office/excel/2006/main">
          <x14:cfRule type="expression" priority="4700740" id="{DB2E1F48-AF0E-41F9-A976-6B1963CA5711}">
            <xm:f>$AC$4='Data entry'!$R61</xm:f>
            <x14:dxf>
              <fill>
                <patternFill>
                  <bgColor rgb="FFFFFF00"/>
                </patternFill>
              </fill>
            </x14:dxf>
          </x14:cfRule>
          <xm:sqref>O170:AC170</xm:sqref>
        </x14:conditionalFormatting>
        <x14:conditionalFormatting xmlns:xm="http://schemas.microsoft.com/office/excel/2006/main">
          <x14:cfRule type="expression" priority="4700741" id="{89909907-F9A9-4AF9-BC1D-304710A43F50}">
            <xm:f>$AD$4='Data entry'!$R61</xm:f>
            <x14:dxf>
              <fill>
                <patternFill>
                  <bgColor rgb="FFFF0000"/>
                </patternFill>
              </fill>
            </x14:dxf>
          </x14:cfRule>
          <xm:sqref>AB171:AN171</xm:sqref>
        </x14:conditionalFormatting>
        <x14:conditionalFormatting xmlns:xm="http://schemas.microsoft.com/office/excel/2006/main">
          <x14:cfRule type="expression" priority="4700742" id="{729676B7-E331-43A4-ACC9-850DCEE76A0E}">
            <xm:f>$AD$4='Data entry'!$R61</xm:f>
            <x14:dxf>
              <fill>
                <patternFill>
                  <bgColor rgb="FFFFFF00"/>
                </patternFill>
              </fill>
            </x14:dxf>
          </x14:cfRule>
          <xm:sqref>P170:AD170</xm:sqref>
        </x14:conditionalFormatting>
        <x14:conditionalFormatting xmlns:xm="http://schemas.microsoft.com/office/excel/2006/main">
          <x14:cfRule type="expression" priority="4700743" id="{00DA2C55-350E-44AA-ABEA-808FABFDA737}">
            <xm:f>$AE$4='Data entry'!$R61</xm:f>
            <x14:dxf>
              <fill>
                <patternFill>
                  <bgColor rgb="FFFF0000"/>
                </patternFill>
              </fill>
            </x14:dxf>
          </x14:cfRule>
          <xm:sqref>AC171:AO171</xm:sqref>
        </x14:conditionalFormatting>
        <x14:conditionalFormatting xmlns:xm="http://schemas.microsoft.com/office/excel/2006/main">
          <x14:cfRule type="expression" priority="4700744" id="{373C95F1-00C1-45E9-B561-5224945BA4A4}">
            <xm:f>$AE$4='Data entry'!$R61</xm:f>
            <x14:dxf>
              <fill>
                <patternFill>
                  <bgColor rgb="FFFFFF00"/>
                </patternFill>
              </fill>
            </x14:dxf>
          </x14:cfRule>
          <xm:sqref>Q170:AE170</xm:sqref>
        </x14:conditionalFormatting>
        <x14:conditionalFormatting xmlns:xm="http://schemas.microsoft.com/office/excel/2006/main">
          <x14:cfRule type="expression" priority="4700745" id="{65E90E74-6BEF-4B00-BD5E-ECACFEBC225A}">
            <xm:f>$AF$4='Data entry'!$R61</xm:f>
            <x14:dxf>
              <fill>
                <patternFill>
                  <bgColor rgb="FFFF0000"/>
                </patternFill>
              </fill>
            </x14:dxf>
          </x14:cfRule>
          <xm:sqref>AD171:AP171</xm:sqref>
        </x14:conditionalFormatting>
        <x14:conditionalFormatting xmlns:xm="http://schemas.microsoft.com/office/excel/2006/main">
          <x14:cfRule type="expression" priority="4700746" id="{56B519D7-E083-4811-B42B-D6CB10D44BB3}">
            <xm:f>$AF$4='Data entry'!$R61</xm:f>
            <x14:dxf>
              <fill>
                <patternFill>
                  <bgColor rgb="FFFFFF00"/>
                </patternFill>
              </fill>
            </x14:dxf>
          </x14:cfRule>
          <xm:sqref>R170:AF170</xm:sqref>
        </x14:conditionalFormatting>
        <x14:conditionalFormatting xmlns:xm="http://schemas.microsoft.com/office/excel/2006/main">
          <x14:cfRule type="expression" priority="4700747" id="{889682B6-BF9B-414B-86B7-1C802156B058}">
            <xm:f>$AG$4='Data entry'!$R61</xm:f>
            <x14:dxf>
              <fill>
                <patternFill>
                  <bgColor rgb="FFFF0000"/>
                </patternFill>
              </fill>
            </x14:dxf>
          </x14:cfRule>
          <xm:sqref>AE171:AQ171</xm:sqref>
        </x14:conditionalFormatting>
        <x14:conditionalFormatting xmlns:xm="http://schemas.microsoft.com/office/excel/2006/main">
          <x14:cfRule type="expression" priority="4700748" id="{19913D88-1940-4CB0-B29C-D46D60833BD5}">
            <xm:f>$AG$4='Data entry'!$R61</xm:f>
            <x14:dxf>
              <fill>
                <patternFill>
                  <bgColor rgb="FFFFFF00"/>
                </patternFill>
              </fill>
            </x14:dxf>
          </x14:cfRule>
          <xm:sqref>S170:AG170</xm:sqref>
        </x14:conditionalFormatting>
        <x14:conditionalFormatting xmlns:xm="http://schemas.microsoft.com/office/excel/2006/main">
          <x14:cfRule type="expression" priority="4700749" id="{3DD7B9A5-18A3-463F-BAD5-9796FC487328}">
            <xm:f>$AH$4='Data entry'!$R61</xm:f>
            <x14:dxf>
              <fill>
                <patternFill>
                  <bgColor rgb="FFFF0000"/>
                </patternFill>
              </fill>
            </x14:dxf>
          </x14:cfRule>
          <xm:sqref>AF171:AR171</xm:sqref>
        </x14:conditionalFormatting>
        <x14:conditionalFormatting xmlns:xm="http://schemas.microsoft.com/office/excel/2006/main">
          <x14:cfRule type="expression" priority="4700750" id="{31005CF4-5608-496E-91EB-F7F505046C80}">
            <xm:f>$AH$4='Data entry'!$R61</xm:f>
            <x14:dxf>
              <fill>
                <patternFill>
                  <bgColor rgb="FFFFFF00"/>
                </patternFill>
              </fill>
            </x14:dxf>
          </x14:cfRule>
          <xm:sqref>T170:AH170</xm:sqref>
        </x14:conditionalFormatting>
        <x14:conditionalFormatting xmlns:xm="http://schemas.microsoft.com/office/excel/2006/main">
          <x14:cfRule type="expression" priority="4700751" id="{CD14F654-5B7A-444F-8FC1-7DD71E76E475}">
            <xm:f>$AI$4='Data entry'!$R61</xm:f>
            <x14:dxf>
              <fill>
                <patternFill>
                  <bgColor rgb="FFFF0000"/>
                </patternFill>
              </fill>
            </x14:dxf>
          </x14:cfRule>
          <xm:sqref>AG171:AS171</xm:sqref>
        </x14:conditionalFormatting>
        <x14:conditionalFormatting xmlns:xm="http://schemas.microsoft.com/office/excel/2006/main">
          <x14:cfRule type="expression" priority="4700752" id="{0E4E448C-6C46-4285-B877-A61A90294385}">
            <xm:f>$AI$4='Data entry'!$R61</xm:f>
            <x14:dxf>
              <fill>
                <patternFill>
                  <bgColor rgb="FFFFFF00"/>
                </patternFill>
              </fill>
            </x14:dxf>
          </x14:cfRule>
          <xm:sqref>U170:AI170</xm:sqref>
        </x14:conditionalFormatting>
        <x14:conditionalFormatting xmlns:xm="http://schemas.microsoft.com/office/excel/2006/main">
          <x14:cfRule type="expression" priority="4700753" id="{B1C1818F-791C-403D-BE73-6F6E9DC6A16D}">
            <xm:f>$AJ$4='Data entry'!$R61</xm:f>
            <x14:dxf>
              <fill>
                <patternFill>
                  <bgColor rgb="FFFF0000"/>
                </patternFill>
              </fill>
            </x14:dxf>
          </x14:cfRule>
          <xm:sqref>AH171:AT171</xm:sqref>
        </x14:conditionalFormatting>
        <x14:conditionalFormatting xmlns:xm="http://schemas.microsoft.com/office/excel/2006/main">
          <x14:cfRule type="expression" priority="4700754" id="{A1237792-221B-431B-B8A7-E9A64DA46D93}">
            <xm:f>$AJ$4='Data entry'!$R61</xm:f>
            <x14:dxf>
              <fill>
                <patternFill>
                  <bgColor rgb="FFFFFF00"/>
                </patternFill>
              </fill>
            </x14:dxf>
          </x14:cfRule>
          <xm:sqref>V170:AJ170</xm:sqref>
        </x14:conditionalFormatting>
        <x14:conditionalFormatting xmlns:xm="http://schemas.microsoft.com/office/excel/2006/main">
          <x14:cfRule type="expression" priority="4700755" id="{617DC2AF-C7A3-4724-8EA3-17DEFEDC8949}">
            <xm:f>$AK$4='Data entry'!$R61</xm:f>
            <x14:dxf>
              <fill>
                <patternFill>
                  <bgColor rgb="FFFF0000"/>
                </patternFill>
              </fill>
            </x14:dxf>
          </x14:cfRule>
          <xm:sqref>AI171:AU171</xm:sqref>
        </x14:conditionalFormatting>
        <x14:conditionalFormatting xmlns:xm="http://schemas.microsoft.com/office/excel/2006/main">
          <x14:cfRule type="expression" priority="4700756" id="{AA72317D-37B1-48EB-A28B-BF2AC8DC4519}">
            <xm:f>$AK$4='Data entry'!$R61</xm:f>
            <x14:dxf>
              <fill>
                <patternFill>
                  <bgColor rgb="FFFFFF00"/>
                </patternFill>
              </fill>
            </x14:dxf>
          </x14:cfRule>
          <xm:sqref>W170:AK170</xm:sqref>
        </x14:conditionalFormatting>
        <x14:conditionalFormatting xmlns:xm="http://schemas.microsoft.com/office/excel/2006/main">
          <x14:cfRule type="expression" priority="4700757" id="{6CA9FB7A-20EA-4D3A-B74C-A001F4BE810D}">
            <xm:f>$AL$4='Data entry'!$R61</xm:f>
            <x14:dxf>
              <fill>
                <patternFill>
                  <bgColor rgb="FFFF0000"/>
                </patternFill>
              </fill>
            </x14:dxf>
          </x14:cfRule>
          <xm:sqref>AJ171:AV171</xm:sqref>
        </x14:conditionalFormatting>
        <x14:conditionalFormatting xmlns:xm="http://schemas.microsoft.com/office/excel/2006/main">
          <x14:cfRule type="expression" priority="4700758" id="{81A75DAA-573F-4EF3-A640-1B992C18BEA0}">
            <xm:f>$AL$4='Data entry'!$R61</xm:f>
            <x14:dxf>
              <fill>
                <patternFill>
                  <bgColor rgb="FFFFFF00"/>
                </patternFill>
              </fill>
            </x14:dxf>
          </x14:cfRule>
          <xm:sqref>X170:AL170</xm:sqref>
        </x14:conditionalFormatting>
        <x14:conditionalFormatting xmlns:xm="http://schemas.microsoft.com/office/excel/2006/main">
          <x14:cfRule type="expression" priority="4700759" id="{3D44713E-4ABA-4CCD-9DF4-5513A9FB5E1E}">
            <xm:f>$AM$4='Data entry'!$R61</xm:f>
            <x14:dxf>
              <fill>
                <patternFill>
                  <bgColor rgb="FFFF0000"/>
                </patternFill>
              </fill>
            </x14:dxf>
          </x14:cfRule>
          <xm:sqref>AK171:AW171</xm:sqref>
        </x14:conditionalFormatting>
        <x14:conditionalFormatting xmlns:xm="http://schemas.microsoft.com/office/excel/2006/main">
          <x14:cfRule type="expression" priority="4700760" id="{05A26B51-72A7-4423-822F-2BDBC28275D0}">
            <xm:f>$AM$4='Data entry'!$R61</xm:f>
            <x14:dxf>
              <fill>
                <patternFill>
                  <bgColor rgb="FFFFFF00"/>
                </patternFill>
              </fill>
            </x14:dxf>
          </x14:cfRule>
          <xm:sqref>Y170:AM170</xm:sqref>
        </x14:conditionalFormatting>
        <x14:conditionalFormatting xmlns:xm="http://schemas.microsoft.com/office/excel/2006/main">
          <x14:cfRule type="expression" priority="4700761" id="{B8A20675-6230-4694-A7F6-6B3DC7142773}">
            <xm:f>$AN$4='Data entry'!$R61</xm:f>
            <x14:dxf>
              <fill>
                <patternFill>
                  <bgColor rgb="FFFF0000"/>
                </patternFill>
              </fill>
            </x14:dxf>
          </x14:cfRule>
          <xm:sqref>AL171:AX171</xm:sqref>
        </x14:conditionalFormatting>
        <x14:conditionalFormatting xmlns:xm="http://schemas.microsoft.com/office/excel/2006/main">
          <x14:cfRule type="expression" priority="4700762" id="{8421181C-7450-42E9-BC1D-065CCFCA960E}">
            <xm:f>$AN$4='Data entry'!$R61</xm:f>
            <x14:dxf>
              <fill>
                <patternFill>
                  <bgColor rgb="FFFFFF00"/>
                </patternFill>
              </fill>
            </x14:dxf>
          </x14:cfRule>
          <xm:sqref>Z170:AN170</xm:sqref>
        </x14:conditionalFormatting>
        <x14:conditionalFormatting xmlns:xm="http://schemas.microsoft.com/office/excel/2006/main">
          <x14:cfRule type="expression" priority="4700763" id="{067FE4BD-6EF4-4684-B6E0-35AB2F267EE7}">
            <xm:f>$AO$4='Data entry'!$R61</xm:f>
            <x14:dxf>
              <fill>
                <patternFill>
                  <bgColor rgb="FFFF0000"/>
                </patternFill>
              </fill>
            </x14:dxf>
          </x14:cfRule>
          <xm:sqref>AM171:AY171</xm:sqref>
        </x14:conditionalFormatting>
        <x14:conditionalFormatting xmlns:xm="http://schemas.microsoft.com/office/excel/2006/main">
          <x14:cfRule type="expression" priority="4700764" id="{F7653492-88D1-47AC-8BA3-0CCE65C3C2AB}">
            <xm:f>$AO$4='Data entry'!$R61</xm:f>
            <x14:dxf>
              <fill>
                <patternFill>
                  <bgColor rgb="FFFFFF00"/>
                </patternFill>
              </fill>
            </x14:dxf>
          </x14:cfRule>
          <xm:sqref>AA170:AO170</xm:sqref>
        </x14:conditionalFormatting>
        <x14:conditionalFormatting xmlns:xm="http://schemas.microsoft.com/office/excel/2006/main">
          <x14:cfRule type="expression" priority="4700765" id="{207A5E5D-B322-482E-9193-1D7318138358}">
            <xm:f>$AP$4='Data entry'!$R61</xm:f>
            <x14:dxf>
              <fill>
                <patternFill>
                  <bgColor rgb="FFFF0000"/>
                </patternFill>
              </fill>
            </x14:dxf>
          </x14:cfRule>
          <xm:sqref>AN171:AZ171</xm:sqref>
        </x14:conditionalFormatting>
        <x14:conditionalFormatting xmlns:xm="http://schemas.microsoft.com/office/excel/2006/main">
          <x14:cfRule type="expression" priority="4700766" id="{21DA638D-4CA0-4067-BFF1-240CE1A0261B}">
            <xm:f>$AP$4='Data entry'!$R61</xm:f>
            <x14:dxf>
              <fill>
                <patternFill>
                  <bgColor rgb="FFFFFF00"/>
                </patternFill>
              </fill>
            </x14:dxf>
          </x14:cfRule>
          <xm:sqref>AB170:AP170</xm:sqref>
        </x14:conditionalFormatting>
        <x14:conditionalFormatting xmlns:xm="http://schemas.microsoft.com/office/excel/2006/main">
          <x14:cfRule type="expression" priority="4700767" id="{71963D96-A42A-4B90-BFC7-6D83D37766EF}">
            <xm:f>$AQ$4='Data entry'!$R61</xm:f>
            <x14:dxf>
              <fill>
                <patternFill>
                  <bgColor rgb="FFFF0000"/>
                </patternFill>
              </fill>
            </x14:dxf>
          </x14:cfRule>
          <xm:sqref>AO171:BA171</xm:sqref>
        </x14:conditionalFormatting>
        <x14:conditionalFormatting xmlns:xm="http://schemas.microsoft.com/office/excel/2006/main">
          <x14:cfRule type="expression" priority="4700768" id="{74952595-84B6-484F-8FF6-FCC1F337DF4D}">
            <xm:f>$AQ$4='Data entry'!$R61</xm:f>
            <x14:dxf>
              <fill>
                <patternFill>
                  <bgColor rgb="FFFFFF00"/>
                </patternFill>
              </fill>
            </x14:dxf>
          </x14:cfRule>
          <xm:sqref>AC170:AQ170</xm:sqref>
        </x14:conditionalFormatting>
        <x14:conditionalFormatting xmlns:xm="http://schemas.microsoft.com/office/excel/2006/main">
          <x14:cfRule type="expression" priority="4700769" id="{8AC9C4B9-0A34-4BC0-B0F7-CA89434C4911}">
            <xm:f>$P$4='Data entry'!$R61</xm:f>
            <x14:dxf>
              <fill>
                <patternFill>
                  <bgColor rgb="FFFFFF00"/>
                </patternFill>
              </fill>
            </x14:dxf>
          </x14:cfRule>
          <xm:sqref>C170:P170</xm:sqref>
        </x14:conditionalFormatting>
        <x14:conditionalFormatting xmlns:xm="http://schemas.microsoft.com/office/excel/2006/main">
          <x14:cfRule type="expression" priority="4700770" id="{0A726775-ABFD-4F22-967C-1A4D87BA3751}">
            <xm:f>$Q$4='Data entry'!$R61</xm:f>
            <x14:dxf>
              <fill>
                <patternFill>
                  <bgColor rgb="FFFFFF00"/>
                </patternFill>
              </fill>
            </x14:dxf>
          </x14:cfRule>
          <xm:sqref>C170:Q170</xm:sqref>
        </x14:conditionalFormatting>
        <x14:conditionalFormatting xmlns:xm="http://schemas.microsoft.com/office/excel/2006/main">
          <x14:cfRule type="expression" priority="4700771" id="{3A8414BD-262C-43B5-86EE-FA6901D00453}">
            <xm:f>$Q$4='Data entry'!$R61</xm:f>
            <x14:dxf>
              <fill>
                <patternFill>
                  <bgColor rgb="FFFF0000"/>
                </patternFill>
              </fill>
            </x14:dxf>
          </x14:cfRule>
          <xm:sqref>O171:AA171</xm:sqref>
        </x14:conditionalFormatting>
        <x14:conditionalFormatting xmlns:xm="http://schemas.microsoft.com/office/excel/2006/main">
          <x14:cfRule type="expression" priority="4700772" id="{B8B5501D-F3EF-4449-9306-F652960C65F4}">
            <xm:f>$R$4='Data entry'!$R61</xm:f>
            <x14:dxf>
              <fill>
                <patternFill>
                  <bgColor rgb="FFFF0000"/>
                </patternFill>
              </fill>
            </x14:dxf>
          </x14:cfRule>
          <xm:sqref>P171:AB171</xm:sqref>
        </x14:conditionalFormatting>
        <x14:conditionalFormatting xmlns:xm="http://schemas.microsoft.com/office/excel/2006/main">
          <x14:cfRule type="expression" priority="4700773" id="{5D070DEC-B82E-4D87-B907-A3E5AB836991}">
            <xm:f>$R$4='Data entry'!$R61</xm:f>
            <x14:dxf>
              <fill>
                <patternFill>
                  <bgColor rgb="FFFFFF00"/>
                </patternFill>
              </fill>
            </x14:dxf>
          </x14:cfRule>
          <xm:sqref>D170:R170</xm:sqref>
        </x14:conditionalFormatting>
        <x14:conditionalFormatting xmlns:xm="http://schemas.microsoft.com/office/excel/2006/main">
          <x14:cfRule type="expression" priority="4700774" id="{E4D16A10-F818-4664-9FB2-F0E839824D4B}">
            <xm:f>$S$4='Data entry'!$R61</xm:f>
            <x14:dxf>
              <fill>
                <patternFill>
                  <bgColor rgb="FFFF0000"/>
                </patternFill>
              </fill>
            </x14:dxf>
          </x14:cfRule>
          <xm:sqref>Q171:AC171</xm:sqref>
        </x14:conditionalFormatting>
        <x14:conditionalFormatting xmlns:xm="http://schemas.microsoft.com/office/excel/2006/main">
          <x14:cfRule type="expression" priority="4700775" id="{1A9F9911-A3E9-4730-AFBE-AB8C596545CA}">
            <xm:f>$S$4='Data entry'!$R61</xm:f>
            <x14:dxf>
              <fill>
                <patternFill>
                  <bgColor rgb="FFFFFF00"/>
                </patternFill>
              </fill>
            </x14:dxf>
          </x14:cfRule>
          <xm:sqref>E170:S170</xm:sqref>
        </x14:conditionalFormatting>
        <x14:conditionalFormatting xmlns:xm="http://schemas.microsoft.com/office/excel/2006/main">
          <x14:cfRule type="expression" priority="4700776" id="{8BB5CD1B-B2AC-442A-9550-26DE19A62D22}">
            <xm:f>$T$4='Data entry'!$R61</xm:f>
            <x14:dxf>
              <fill>
                <patternFill>
                  <bgColor rgb="FFFF0000"/>
                </patternFill>
              </fill>
            </x14:dxf>
          </x14:cfRule>
          <xm:sqref>R171:AD171</xm:sqref>
        </x14:conditionalFormatting>
        <x14:conditionalFormatting xmlns:xm="http://schemas.microsoft.com/office/excel/2006/main">
          <x14:cfRule type="expression" priority="4700777" id="{E7B59C69-7921-4049-84A1-8B3E5F7B0598}">
            <xm:f>$T$4='Data entry'!$R61</xm:f>
            <x14:dxf>
              <fill>
                <patternFill>
                  <bgColor rgb="FFFFFF00"/>
                </patternFill>
              </fill>
            </x14:dxf>
          </x14:cfRule>
          <xm:sqref>F170:T170</xm:sqref>
        </x14:conditionalFormatting>
        <x14:conditionalFormatting xmlns:xm="http://schemas.microsoft.com/office/excel/2006/main">
          <x14:cfRule type="expression" priority="4700778" id="{238C09E5-7A3D-439D-949F-A7733073F9A2}">
            <xm:f>$U$4='Data entry'!$R61</xm:f>
            <x14:dxf>
              <fill>
                <patternFill>
                  <bgColor rgb="FFFFFF00"/>
                </patternFill>
              </fill>
            </x14:dxf>
          </x14:cfRule>
          <xm:sqref>G170:U170</xm:sqref>
        </x14:conditionalFormatting>
        <x14:conditionalFormatting xmlns:xm="http://schemas.microsoft.com/office/excel/2006/main">
          <x14:cfRule type="expression" priority="4700779" id="{DE4D4432-0A19-452A-AF14-2873FE4DF411}">
            <xm:f>$AR$4='Data entry'!$R61</xm:f>
            <x14:dxf>
              <fill>
                <patternFill>
                  <bgColor rgb="FFFF0000"/>
                </patternFill>
              </fill>
            </x14:dxf>
          </x14:cfRule>
          <xm:sqref>AP171:BB171</xm:sqref>
        </x14:conditionalFormatting>
        <x14:conditionalFormatting xmlns:xm="http://schemas.microsoft.com/office/excel/2006/main">
          <x14:cfRule type="expression" priority="4700780" id="{90D7E1FF-542D-40C8-9BD5-DFEB4CDD256F}">
            <xm:f>$AR$4='Data entry'!$R61</xm:f>
            <x14:dxf>
              <fill>
                <patternFill>
                  <bgColor rgb="FFFFFF00"/>
                </patternFill>
              </fill>
            </x14:dxf>
          </x14:cfRule>
          <xm:sqref>AD170:AR170</xm:sqref>
        </x14:conditionalFormatting>
        <x14:conditionalFormatting xmlns:xm="http://schemas.microsoft.com/office/excel/2006/main">
          <x14:cfRule type="expression" priority="4700781" id="{0EBB5305-4A4A-4205-A1FF-11160070CBC3}">
            <xm:f>$AS$4='Data entry'!$R61</xm:f>
            <x14:dxf>
              <fill>
                <patternFill>
                  <bgColor rgb="FFFF0000"/>
                </patternFill>
              </fill>
            </x14:dxf>
          </x14:cfRule>
          <xm:sqref>AQ171:BC171</xm:sqref>
        </x14:conditionalFormatting>
        <x14:conditionalFormatting xmlns:xm="http://schemas.microsoft.com/office/excel/2006/main">
          <x14:cfRule type="expression" priority="4700782" id="{AC8EB30C-4253-4CE1-820E-1801F6D8D35B}">
            <xm:f>$AS$4='Data entry'!$R61</xm:f>
            <x14:dxf>
              <fill>
                <patternFill>
                  <bgColor rgb="FFFFFF00"/>
                </patternFill>
              </fill>
            </x14:dxf>
          </x14:cfRule>
          <xm:sqref>AE170:AS170</xm:sqref>
        </x14:conditionalFormatting>
        <x14:conditionalFormatting xmlns:xm="http://schemas.microsoft.com/office/excel/2006/main">
          <x14:cfRule type="expression" priority="4700783" id="{E11744C1-7201-4272-A1B0-945490B42425}">
            <xm:f>$AT$4='Data entry'!$R61</xm:f>
            <x14:dxf>
              <fill>
                <patternFill>
                  <bgColor rgb="FFFF0000"/>
                </patternFill>
              </fill>
            </x14:dxf>
          </x14:cfRule>
          <xm:sqref>AR171:BD171</xm:sqref>
        </x14:conditionalFormatting>
        <x14:conditionalFormatting xmlns:xm="http://schemas.microsoft.com/office/excel/2006/main">
          <x14:cfRule type="expression" priority="4700784" id="{5EE2823B-E955-4EA7-B99C-0B1F77B57A69}">
            <xm:f>$AT$4='Data entry'!$R61</xm:f>
            <x14:dxf>
              <fill>
                <patternFill>
                  <bgColor rgb="FFFFFF00"/>
                </patternFill>
              </fill>
            </x14:dxf>
          </x14:cfRule>
          <xm:sqref>AF170:AT170</xm:sqref>
        </x14:conditionalFormatting>
        <x14:conditionalFormatting xmlns:xm="http://schemas.microsoft.com/office/excel/2006/main">
          <x14:cfRule type="expression" priority="4700785" id="{5737DC63-3262-4B34-900C-2AAEB255FCBA}">
            <xm:f>$AU$4='Data entry'!$R61</xm:f>
            <x14:dxf>
              <fill>
                <patternFill>
                  <bgColor rgb="FFFF0000"/>
                </patternFill>
              </fill>
            </x14:dxf>
          </x14:cfRule>
          <xm:sqref>AS171:BE171</xm:sqref>
        </x14:conditionalFormatting>
        <x14:conditionalFormatting xmlns:xm="http://schemas.microsoft.com/office/excel/2006/main">
          <x14:cfRule type="expression" priority="4700786" id="{2B5C1F1B-3C3D-4CA3-BC64-0E98422075B6}">
            <xm:f>$AU$4='Data entry'!$R61</xm:f>
            <x14:dxf>
              <fill>
                <patternFill>
                  <bgColor rgb="FFFFFF00"/>
                </patternFill>
              </fill>
            </x14:dxf>
          </x14:cfRule>
          <xm:sqref>AG170:AU170</xm:sqref>
        </x14:conditionalFormatting>
        <x14:conditionalFormatting xmlns:xm="http://schemas.microsoft.com/office/excel/2006/main">
          <x14:cfRule type="expression" priority="4700787" id="{B87A1285-B003-4855-8F4B-53C391BA10E6}">
            <xm:f>$AV$4='Data entry'!$R61</xm:f>
            <x14:dxf>
              <fill>
                <patternFill>
                  <bgColor rgb="FFFF0000"/>
                </patternFill>
              </fill>
            </x14:dxf>
          </x14:cfRule>
          <xm:sqref>AT171:BF171</xm:sqref>
        </x14:conditionalFormatting>
        <x14:conditionalFormatting xmlns:xm="http://schemas.microsoft.com/office/excel/2006/main">
          <x14:cfRule type="expression" priority="4700788" id="{338EE31C-78DB-4818-B837-0380F9E457FA}">
            <xm:f>$AV$4='Data entry'!$R61</xm:f>
            <x14:dxf>
              <fill>
                <patternFill>
                  <bgColor rgb="FFFFFF00"/>
                </patternFill>
              </fill>
            </x14:dxf>
          </x14:cfRule>
          <xm:sqref>AH170:AV170</xm:sqref>
        </x14:conditionalFormatting>
        <x14:conditionalFormatting xmlns:xm="http://schemas.microsoft.com/office/excel/2006/main">
          <x14:cfRule type="expression" priority="4700789" id="{5C40EA66-2801-4C91-B885-BF6A1ECFC35C}">
            <xm:f>$AW$4='Data entry'!$R61</xm:f>
            <x14:dxf>
              <fill>
                <patternFill>
                  <bgColor rgb="FFFF0000"/>
                </patternFill>
              </fill>
            </x14:dxf>
          </x14:cfRule>
          <xm:sqref>AU171:BG171</xm:sqref>
        </x14:conditionalFormatting>
        <x14:conditionalFormatting xmlns:xm="http://schemas.microsoft.com/office/excel/2006/main">
          <x14:cfRule type="expression" priority="4700790" id="{51BCD5CE-DF86-4C2F-8A81-DDA1EFD6C8F7}">
            <xm:f>$AW$4='Data entry'!$R61</xm:f>
            <x14:dxf>
              <fill>
                <patternFill>
                  <bgColor rgb="FFFFFF00"/>
                </patternFill>
              </fill>
            </x14:dxf>
          </x14:cfRule>
          <xm:sqref>AI170:AW170</xm:sqref>
        </x14:conditionalFormatting>
        <x14:conditionalFormatting xmlns:xm="http://schemas.microsoft.com/office/excel/2006/main">
          <x14:cfRule type="expression" priority="4700791" id="{DC2ED5A0-8917-4877-8CD3-9DF9BE5993C9}">
            <xm:f>$AX$4='Data entry'!$R61</xm:f>
            <x14:dxf>
              <fill>
                <patternFill>
                  <bgColor rgb="FFFF0000"/>
                </patternFill>
              </fill>
            </x14:dxf>
          </x14:cfRule>
          <xm:sqref>AV171:BH171</xm:sqref>
        </x14:conditionalFormatting>
        <x14:conditionalFormatting xmlns:xm="http://schemas.microsoft.com/office/excel/2006/main">
          <x14:cfRule type="expression" priority="4700792" id="{59B31869-20F9-45BD-BC80-0A6C8945CE2C}">
            <xm:f>$AX$4='Data entry'!$R61</xm:f>
            <x14:dxf>
              <fill>
                <patternFill>
                  <bgColor rgb="FFFFFF00"/>
                </patternFill>
              </fill>
            </x14:dxf>
          </x14:cfRule>
          <xm:sqref>AJ170:AX170</xm:sqref>
        </x14:conditionalFormatting>
        <x14:conditionalFormatting xmlns:xm="http://schemas.microsoft.com/office/excel/2006/main">
          <x14:cfRule type="expression" priority="4700793" id="{D4208FA0-4262-4037-934C-6D0742B2AD8E}">
            <xm:f>$AY$4='Data entry'!$R61</xm:f>
            <x14:dxf>
              <fill>
                <patternFill>
                  <bgColor rgb="FFFF0000"/>
                </patternFill>
              </fill>
            </x14:dxf>
          </x14:cfRule>
          <xm:sqref>AW171:BI171</xm:sqref>
        </x14:conditionalFormatting>
        <x14:conditionalFormatting xmlns:xm="http://schemas.microsoft.com/office/excel/2006/main">
          <x14:cfRule type="expression" priority="4700794" id="{04D6E423-18C7-42B2-A67D-F49D8E62B571}">
            <xm:f>$AY$4='Data entry'!$R61</xm:f>
            <x14:dxf>
              <fill>
                <patternFill>
                  <bgColor rgb="FFFFFF00"/>
                </patternFill>
              </fill>
            </x14:dxf>
          </x14:cfRule>
          <xm:sqref>AK170:AY170</xm:sqref>
        </x14:conditionalFormatting>
        <x14:conditionalFormatting xmlns:xm="http://schemas.microsoft.com/office/excel/2006/main">
          <x14:cfRule type="expression" priority="4700795" id="{A931C203-6E4B-4EBD-A2F4-1876881F48D4}">
            <xm:f>$AZ$4='Data entry'!$R61</xm:f>
            <x14:dxf>
              <fill>
                <patternFill>
                  <bgColor rgb="FFFF0000"/>
                </patternFill>
              </fill>
            </x14:dxf>
          </x14:cfRule>
          <xm:sqref>AX171:BJ171</xm:sqref>
        </x14:conditionalFormatting>
        <x14:conditionalFormatting xmlns:xm="http://schemas.microsoft.com/office/excel/2006/main">
          <x14:cfRule type="expression" priority="4700796" id="{092D9100-E652-40FE-8CAA-720DC0681250}">
            <xm:f>$AZ$4='Data entry'!$R61</xm:f>
            <x14:dxf>
              <fill>
                <patternFill>
                  <bgColor rgb="FFFFFF00"/>
                </patternFill>
              </fill>
            </x14:dxf>
          </x14:cfRule>
          <xm:sqref>AL170:AZ170</xm:sqref>
        </x14:conditionalFormatting>
        <x14:conditionalFormatting xmlns:xm="http://schemas.microsoft.com/office/excel/2006/main">
          <x14:cfRule type="expression" priority="4700797" id="{A3C7E6BE-A225-483C-A983-A915DB662C52}">
            <xm:f>$BA$4='Data entry'!$R61</xm:f>
            <x14:dxf>
              <fill>
                <patternFill>
                  <bgColor rgb="FFFF0000"/>
                </patternFill>
              </fill>
            </x14:dxf>
          </x14:cfRule>
          <xm:sqref>AY171:BK171</xm:sqref>
        </x14:conditionalFormatting>
        <x14:conditionalFormatting xmlns:xm="http://schemas.microsoft.com/office/excel/2006/main">
          <x14:cfRule type="expression" priority="4700798" id="{F5CF569A-8AFA-4CFF-8BD3-F04D8927A99F}">
            <xm:f>$BA$4='Data entry'!$R61</xm:f>
            <x14:dxf>
              <fill>
                <patternFill>
                  <bgColor rgb="FFFFFF00"/>
                </patternFill>
              </fill>
            </x14:dxf>
          </x14:cfRule>
          <xm:sqref>AM170:BA170</xm:sqref>
        </x14:conditionalFormatting>
        <x14:conditionalFormatting xmlns:xm="http://schemas.microsoft.com/office/excel/2006/main">
          <x14:cfRule type="expression" priority="4700799" id="{E4DAC94A-7983-4BFB-A87B-45B58561841A}">
            <xm:f>$BB$4='Data entry'!$R61</xm:f>
            <x14:dxf>
              <fill>
                <patternFill>
                  <bgColor rgb="FFFF0000"/>
                </patternFill>
              </fill>
            </x14:dxf>
          </x14:cfRule>
          <xm:sqref>AZ171:BL171</xm:sqref>
        </x14:conditionalFormatting>
        <x14:conditionalFormatting xmlns:xm="http://schemas.microsoft.com/office/excel/2006/main">
          <x14:cfRule type="expression" priority="4700800" id="{E63849C5-F39B-4B0E-8F8A-B532EDF2CBAE}">
            <xm:f>$BB$4='Data entry'!$R61</xm:f>
            <x14:dxf>
              <fill>
                <patternFill>
                  <bgColor rgb="FFFFFF00"/>
                </patternFill>
              </fill>
            </x14:dxf>
          </x14:cfRule>
          <xm:sqref>AN170:BB170</xm:sqref>
        </x14:conditionalFormatting>
        <x14:conditionalFormatting xmlns:xm="http://schemas.microsoft.com/office/excel/2006/main">
          <x14:cfRule type="expression" priority="4700801" id="{4FDC32D3-C1F5-455D-9AA4-A03359B72526}">
            <xm:f>$BC$4='Data entry'!$R61</xm:f>
            <x14:dxf>
              <fill>
                <patternFill>
                  <bgColor rgb="FFFF0000"/>
                </patternFill>
              </fill>
            </x14:dxf>
          </x14:cfRule>
          <xm:sqref>BA171:BM171</xm:sqref>
        </x14:conditionalFormatting>
        <x14:conditionalFormatting xmlns:xm="http://schemas.microsoft.com/office/excel/2006/main">
          <x14:cfRule type="expression" priority="4700802" id="{5F0D0C60-B233-4C56-B05D-98C99990877F}">
            <xm:f>$BC$4='Data entry'!$R61</xm:f>
            <x14:dxf>
              <fill>
                <patternFill>
                  <bgColor rgb="FFFFFF00"/>
                </patternFill>
              </fill>
            </x14:dxf>
          </x14:cfRule>
          <xm:sqref>AO170:BC170</xm:sqref>
        </x14:conditionalFormatting>
        <x14:conditionalFormatting xmlns:xm="http://schemas.microsoft.com/office/excel/2006/main">
          <x14:cfRule type="expression" priority="4700803" id="{9EBCB60F-8135-43B6-A0F3-548D4092CC98}">
            <xm:f>$BD$4='Data entry'!$R61</xm:f>
            <x14:dxf>
              <fill>
                <patternFill>
                  <bgColor rgb="FFFF0000"/>
                </patternFill>
              </fill>
            </x14:dxf>
          </x14:cfRule>
          <xm:sqref>BB171:BN171</xm:sqref>
        </x14:conditionalFormatting>
        <x14:conditionalFormatting xmlns:xm="http://schemas.microsoft.com/office/excel/2006/main">
          <x14:cfRule type="expression" priority="4700804" id="{961AF346-4A73-41ED-9A8D-27D431B09C05}">
            <xm:f>$BD$4='Data entry'!$R61</xm:f>
            <x14:dxf>
              <fill>
                <patternFill>
                  <bgColor rgb="FFFFFF00"/>
                </patternFill>
              </fill>
            </x14:dxf>
          </x14:cfRule>
          <xm:sqref>AP170:BD170</xm:sqref>
        </x14:conditionalFormatting>
        <x14:conditionalFormatting xmlns:xm="http://schemas.microsoft.com/office/excel/2006/main">
          <x14:cfRule type="expression" priority="4700805" id="{5A887026-27CD-4F8C-8BA6-1E92704C1CA6}">
            <xm:f>$BE$4='Data entry'!$R61</xm:f>
            <x14:dxf>
              <fill>
                <patternFill>
                  <bgColor rgb="FFFF0000"/>
                </patternFill>
              </fill>
            </x14:dxf>
          </x14:cfRule>
          <xm:sqref>BC171:BO171</xm:sqref>
        </x14:conditionalFormatting>
        <x14:conditionalFormatting xmlns:xm="http://schemas.microsoft.com/office/excel/2006/main">
          <x14:cfRule type="expression" priority="4700806" id="{7F46217B-A1E9-4515-B31E-E756FCD7C6D9}">
            <xm:f>$BE$4='Data entry'!$R61</xm:f>
            <x14:dxf>
              <fill>
                <patternFill>
                  <bgColor rgb="FFFFFF00"/>
                </patternFill>
              </fill>
            </x14:dxf>
          </x14:cfRule>
          <xm:sqref>AP170:BE170</xm:sqref>
        </x14:conditionalFormatting>
        <x14:conditionalFormatting xmlns:xm="http://schemas.microsoft.com/office/excel/2006/main">
          <x14:cfRule type="expression" priority="4700807" id="{F4D9285C-8CA0-4EF1-943E-6A462D47CC77}">
            <xm:f>$BF$4='Data entry'!$R61</xm:f>
            <x14:dxf>
              <fill>
                <patternFill>
                  <bgColor rgb="FFFF0000"/>
                </patternFill>
              </fill>
            </x14:dxf>
          </x14:cfRule>
          <xm:sqref>BD171:BP171</xm:sqref>
        </x14:conditionalFormatting>
        <x14:conditionalFormatting xmlns:xm="http://schemas.microsoft.com/office/excel/2006/main">
          <x14:cfRule type="expression" priority="4700808" id="{B9E4407D-651D-4DC0-9D61-3271D62A65E9}">
            <xm:f>$BF$4='Data entry'!$R61</xm:f>
            <x14:dxf>
              <fill>
                <patternFill>
                  <bgColor rgb="FFFFFF00"/>
                </patternFill>
              </fill>
            </x14:dxf>
          </x14:cfRule>
          <xm:sqref>AR170:BF170</xm:sqref>
        </x14:conditionalFormatting>
        <x14:conditionalFormatting xmlns:xm="http://schemas.microsoft.com/office/excel/2006/main">
          <x14:cfRule type="expression" priority="4700809" id="{4CDC062F-DDFF-4556-B941-08F919727F69}">
            <xm:f>$BG$4='Data entry'!$R61</xm:f>
            <x14:dxf>
              <fill>
                <patternFill>
                  <bgColor rgb="FFFF0000"/>
                </patternFill>
              </fill>
            </x14:dxf>
          </x14:cfRule>
          <xm:sqref>BE171:BQ171</xm:sqref>
        </x14:conditionalFormatting>
        <x14:conditionalFormatting xmlns:xm="http://schemas.microsoft.com/office/excel/2006/main">
          <x14:cfRule type="expression" priority="4700810" id="{789184FA-9055-433B-8A1B-92C7ED59E81F}">
            <xm:f>$BG$4='Data entry'!$R61</xm:f>
            <x14:dxf>
              <fill>
                <patternFill>
                  <bgColor rgb="FFFFFF00"/>
                </patternFill>
              </fill>
            </x14:dxf>
          </x14:cfRule>
          <xm:sqref>AS170:BG170</xm:sqref>
        </x14:conditionalFormatting>
        <x14:conditionalFormatting xmlns:xm="http://schemas.microsoft.com/office/excel/2006/main">
          <x14:cfRule type="expression" priority="4700811" id="{58651E5C-09C9-46C1-B95C-E8A578A49E15}">
            <xm:f>$BH$4='Data entry'!$R61</xm:f>
            <x14:dxf>
              <fill>
                <patternFill>
                  <bgColor rgb="FFFFFF00"/>
                </patternFill>
              </fill>
            </x14:dxf>
          </x14:cfRule>
          <xm:sqref>AT170:BH170</xm:sqref>
        </x14:conditionalFormatting>
        <x14:conditionalFormatting xmlns:xm="http://schemas.microsoft.com/office/excel/2006/main">
          <x14:cfRule type="expression" priority="4700812" id="{97B30B86-8311-4DC0-A533-8C0D53F37839}">
            <xm:f>$BH$4='Data entry'!$R61</xm:f>
            <x14:dxf>
              <fill>
                <patternFill>
                  <bgColor rgb="FFFF0000"/>
                </patternFill>
              </fill>
            </x14:dxf>
          </x14:cfRule>
          <xm:sqref>BF171:BR171</xm:sqref>
        </x14:conditionalFormatting>
        <x14:conditionalFormatting xmlns:xm="http://schemas.microsoft.com/office/excel/2006/main">
          <x14:cfRule type="expression" priority="4700813" id="{78344C0C-5AEA-40B1-A20C-6D77DF58E1F5}">
            <xm:f>$BI$4='Data entry'!$R61</xm:f>
            <x14:dxf>
              <fill>
                <patternFill>
                  <bgColor rgb="FFFFFF00"/>
                </patternFill>
              </fill>
            </x14:dxf>
          </x14:cfRule>
          <xm:sqref>AU170:BI170</xm:sqref>
        </x14:conditionalFormatting>
        <x14:conditionalFormatting xmlns:xm="http://schemas.microsoft.com/office/excel/2006/main">
          <x14:cfRule type="expression" priority="4700814" id="{A9CE044F-482E-4F25-B28F-89ACC58502B1}">
            <xm:f>$BI$4='Data entry'!$R61</xm:f>
            <x14:dxf>
              <fill>
                <patternFill>
                  <bgColor rgb="FFFF0000"/>
                </patternFill>
              </fill>
            </x14:dxf>
          </x14:cfRule>
          <xm:sqref>BG171:BS171</xm:sqref>
        </x14:conditionalFormatting>
        <x14:conditionalFormatting xmlns:xm="http://schemas.microsoft.com/office/excel/2006/main">
          <x14:cfRule type="expression" priority="4700815" id="{F63BE0EB-3C71-4456-BEF0-11180AB7A8BB}">
            <xm:f>$BJ$4='Data entry'!$R61</xm:f>
            <x14:dxf>
              <fill>
                <patternFill>
                  <bgColor rgb="FFFFFF00"/>
                </patternFill>
              </fill>
            </x14:dxf>
          </x14:cfRule>
          <xm:sqref>AV170:BJ170</xm:sqref>
        </x14:conditionalFormatting>
        <x14:conditionalFormatting xmlns:xm="http://schemas.microsoft.com/office/excel/2006/main">
          <x14:cfRule type="expression" priority="4700816" id="{478A5DCB-1DAA-4497-A6CC-B4F01FB96D10}">
            <xm:f>$BJ$4='Data entry'!$R61</xm:f>
            <x14:dxf>
              <fill>
                <patternFill>
                  <bgColor rgb="FFFF0000"/>
                </patternFill>
              </fill>
            </x14:dxf>
          </x14:cfRule>
          <xm:sqref>BH171:BT171</xm:sqref>
        </x14:conditionalFormatting>
        <x14:conditionalFormatting xmlns:xm="http://schemas.microsoft.com/office/excel/2006/main">
          <x14:cfRule type="expression" priority="4700817" id="{CDE4AD5B-65A6-4FA4-9EC0-8D05F22312A9}">
            <xm:f>$BK$4='Data entry'!$R61</xm:f>
            <x14:dxf>
              <fill>
                <patternFill>
                  <bgColor rgb="FFFF0000"/>
                </patternFill>
              </fill>
            </x14:dxf>
          </x14:cfRule>
          <xm:sqref>BI171:BU171</xm:sqref>
        </x14:conditionalFormatting>
        <x14:conditionalFormatting xmlns:xm="http://schemas.microsoft.com/office/excel/2006/main">
          <x14:cfRule type="expression" priority="4700818" id="{AB32E790-6CD8-4D11-9A69-57D785FE4BBC}">
            <xm:f>$BK$4='Data entry'!$R61</xm:f>
            <x14:dxf>
              <fill>
                <patternFill>
                  <bgColor rgb="FFFFFF00"/>
                </patternFill>
              </fill>
            </x14:dxf>
          </x14:cfRule>
          <xm:sqref>AW170:BK170</xm:sqref>
        </x14:conditionalFormatting>
        <x14:conditionalFormatting xmlns:xm="http://schemas.microsoft.com/office/excel/2006/main">
          <x14:cfRule type="expression" priority="4700819" id="{99810EB9-805C-43D8-852A-EEECE7874CDB}">
            <xm:f>$BL$4='Data entry'!$R61</xm:f>
            <x14:dxf>
              <fill>
                <patternFill>
                  <bgColor rgb="FFFF0000"/>
                </patternFill>
              </fill>
            </x14:dxf>
          </x14:cfRule>
          <xm:sqref>BJ171:BV171</xm:sqref>
        </x14:conditionalFormatting>
        <x14:conditionalFormatting xmlns:xm="http://schemas.microsoft.com/office/excel/2006/main">
          <x14:cfRule type="expression" priority="4700820" id="{BF5F5475-4E46-479C-97A6-D5175F5D1803}">
            <xm:f>$BL$4='Data entry'!$R61</xm:f>
            <x14:dxf>
              <fill>
                <patternFill>
                  <bgColor rgb="FFFFFF00"/>
                </patternFill>
              </fill>
            </x14:dxf>
          </x14:cfRule>
          <xm:sqref>AX170:BL170</xm:sqref>
        </x14:conditionalFormatting>
        <x14:conditionalFormatting xmlns:xm="http://schemas.microsoft.com/office/excel/2006/main">
          <x14:cfRule type="expression" priority="4700821" id="{B86FDF2F-16C9-46B1-847E-7EA1A8A34B9D}">
            <xm:f>$BM$4='Data entry'!$R61</xm:f>
            <x14:dxf>
              <fill>
                <patternFill>
                  <bgColor rgb="FFFF0000"/>
                </patternFill>
              </fill>
            </x14:dxf>
          </x14:cfRule>
          <xm:sqref>BK171:BW171</xm:sqref>
        </x14:conditionalFormatting>
        <x14:conditionalFormatting xmlns:xm="http://schemas.microsoft.com/office/excel/2006/main">
          <x14:cfRule type="expression" priority="4700822" id="{72FD189F-4CED-400D-9FEF-21A328970A4D}">
            <xm:f>$BM$4='Data entry'!$R61</xm:f>
            <x14:dxf>
              <fill>
                <patternFill>
                  <bgColor rgb="FFFFFF00"/>
                </patternFill>
              </fill>
            </x14:dxf>
          </x14:cfRule>
          <xm:sqref>AY170:BM170</xm:sqref>
        </x14:conditionalFormatting>
        <x14:conditionalFormatting xmlns:xm="http://schemas.microsoft.com/office/excel/2006/main">
          <x14:cfRule type="expression" priority="4700823" id="{BBBBF859-D5A7-4F55-BFBF-8A77E3357590}">
            <xm:f>$BN$4='Data entry'!$R61</xm:f>
            <x14:dxf>
              <fill>
                <patternFill>
                  <bgColor rgb="FFFF0000"/>
                </patternFill>
              </fill>
            </x14:dxf>
          </x14:cfRule>
          <xm:sqref>BL171:BX171</xm:sqref>
        </x14:conditionalFormatting>
        <x14:conditionalFormatting xmlns:xm="http://schemas.microsoft.com/office/excel/2006/main">
          <x14:cfRule type="expression" priority="4700824" id="{50CB1D75-0FD5-4D24-92B1-E8A41DC6575C}">
            <xm:f>$BN$4='Data entry'!$R61</xm:f>
            <x14:dxf>
              <fill>
                <patternFill>
                  <bgColor rgb="FFFFFF00"/>
                </patternFill>
              </fill>
            </x14:dxf>
          </x14:cfRule>
          <xm:sqref>AZ170:BN170</xm:sqref>
        </x14:conditionalFormatting>
        <x14:conditionalFormatting xmlns:xm="http://schemas.microsoft.com/office/excel/2006/main">
          <x14:cfRule type="expression" priority="4700825" id="{9EF3226D-E8FC-496B-A6FF-71776AEA54D1}">
            <xm:f>$BO$4='Data entry'!$R61</xm:f>
            <x14:dxf>
              <fill>
                <patternFill>
                  <bgColor rgb="FFFF0000"/>
                </patternFill>
              </fill>
            </x14:dxf>
          </x14:cfRule>
          <xm:sqref>BM171:BY171</xm:sqref>
        </x14:conditionalFormatting>
        <x14:conditionalFormatting xmlns:xm="http://schemas.microsoft.com/office/excel/2006/main">
          <x14:cfRule type="expression" priority="4700826" id="{3B86C801-ECFE-4D05-8AA5-1581116BAFBC}">
            <xm:f>$BO$4='Data entry'!$R61</xm:f>
            <x14:dxf>
              <fill>
                <patternFill>
                  <bgColor rgb="FFFFFF00"/>
                </patternFill>
              </fill>
            </x14:dxf>
          </x14:cfRule>
          <xm:sqref>BA170:BO170</xm:sqref>
        </x14:conditionalFormatting>
        <x14:conditionalFormatting xmlns:xm="http://schemas.microsoft.com/office/excel/2006/main">
          <x14:cfRule type="expression" priority="4700827" id="{058A23EC-3371-4A02-9F20-1ECA603AC6BC}">
            <xm:f>$BP$4='Data entry'!$R61</xm:f>
            <x14:dxf>
              <fill>
                <patternFill>
                  <bgColor rgb="FFFF0000"/>
                </patternFill>
              </fill>
            </x14:dxf>
          </x14:cfRule>
          <xm:sqref>BN171:BZ171</xm:sqref>
        </x14:conditionalFormatting>
        <x14:conditionalFormatting xmlns:xm="http://schemas.microsoft.com/office/excel/2006/main">
          <x14:cfRule type="expression" priority="4700828" id="{3E711E31-3992-4555-AB22-87133D60CD15}">
            <xm:f>$BP$4='Data entry'!$R61</xm:f>
            <x14:dxf>
              <fill>
                <patternFill>
                  <bgColor rgb="FFFFFF00"/>
                </patternFill>
              </fill>
            </x14:dxf>
          </x14:cfRule>
          <xm:sqref>BB170:BP170</xm:sqref>
        </x14:conditionalFormatting>
        <x14:conditionalFormatting xmlns:xm="http://schemas.microsoft.com/office/excel/2006/main">
          <x14:cfRule type="expression" priority="4700829" id="{23E9F8B9-37D5-4730-9453-6F23E8ECBBE3}">
            <xm:f>$BQ$4='Data entry'!$R61</xm:f>
            <x14:dxf>
              <fill>
                <patternFill>
                  <bgColor rgb="FFFFFF00"/>
                </patternFill>
              </fill>
            </x14:dxf>
          </x14:cfRule>
          <xm:sqref>BC170:BQ170</xm:sqref>
        </x14:conditionalFormatting>
        <x14:conditionalFormatting xmlns:xm="http://schemas.microsoft.com/office/excel/2006/main">
          <x14:cfRule type="expression" priority="4700830" id="{BCFD92F6-AAD3-44FD-BC61-A292A81B883E}">
            <xm:f>$BQ$4='Data entry'!$R61</xm:f>
            <x14:dxf>
              <fill>
                <patternFill>
                  <bgColor rgb="FFFF0000"/>
                </patternFill>
              </fill>
            </x14:dxf>
          </x14:cfRule>
          <xm:sqref>BO171:CA171</xm:sqref>
        </x14:conditionalFormatting>
        <x14:conditionalFormatting xmlns:xm="http://schemas.microsoft.com/office/excel/2006/main">
          <x14:cfRule type="expression" priority="4700831" id="{357D60E5-F356-477E-8020-A18F42C02832}">
            <xm:f>$BR$4='Data entry'!$R61</xm:f>
            <x14:dxf>
              <fill>
                <patternFill>
                  <bgColor rgb="FFFFFF00"/>
                </patternFill>
              </fill>
            </x14:dxf>
          </x14:cfRule>
          <xm:sqref>BD170:BR170</xm:sqref>
        </x14:conditionalFormatting>
        <x14:conditionalFormatting xmlns:xm="http://schemas.microsoft.com/office/excel/2006/main">
          <x14:cfRule type="expression" priority="4700832" id="{DA2B6511-43B3-432D-B6AA-1DB1188B90A6}">
            <xm:f>$BR$4='Data entry'!$R61</xm:f>
            <x14:dxf>
              <fill>
                <patternFill>
                  <bgColor rgb="FFFF0000"/>
                </patternFill>
              </fill>
            </x14:dxf>
          </x14:cfRule>
          <xm:sqref>BP171:CB171</xm:sqref>
        </x14:conditionalFormatting>
        <x14:conditionalFormatting xmlns:xm="http://schemas.microsoft.com/office/excel/2006/main">
          <x14:cfRule type="expression" priority="4700833" id="{0D5F64E4-4136-4BFA-B833-CC8578525D9C}">
            <xm:f>$BS$4='Data entry'!$R61</xm:f>
            <x14:dxf>
              <fill>
                <patternFill>
                  <bgColor rgb="FFFFFF00"/>
                </patternFill>
              </fill>
            </x14:dxf>
          </x14:cfRule>
          <xm:sqref>BE170:BS170</xm:sqref>
        </x14:conditionalFormatting>
        <x14:conditionalFormatting xmlns:xm="http://schemas.microsoft.com/office/excel/2006/main">
          <x14:cfRule type="expression" priority="4700834" id="{AC94D468-F078-4AE2-8771-102996E07B09}">
            <xm:f>$BS$4='Data entry'!$R61</xm:f>
            <x14:dxf>
              <fill>
                <patternFill>
                  <bgColor rgb="FFFF0000"/>
                </patternFill>
              </fill>
            </x14:dxf>
          </x14:cfRule>
          <xm:sqref>BQ171:CC171</xm:sqref>
        </x14:conditionalFormatting>
        <x14:conditionalFormatting xmlns:xm="http://schemas.microsoft.com/office/excel/2006/main">
          <x14:cfRule type="expression" priority="4700835" id="{10E78F76-181E-4F19-9F89-7DD36D3EFE30}">
            <xm:f>$BT$4='Data entry'!$R61</xm:f>
            <x14:dxf>
              <fill>
                <patternFill>
                  <bgColor rgb="FFFFFF00"/>
                </patternFill>
              </fill>
            </x14:dxf>
          </x14:cfRule>
          <xm:sqref>BF170:BT170</xm:sqref>
        </x14:conditionalFormatting>
        <x14:conditionalFormatting xmlns:xm="http://schemas.microsoft.com/office/excel/2006/main">
          <x14:cfRule type="expression" priority="4700836" id="{6A5FADC6-9512-4EFB-90A5-7B5244D10D1F}">
            <xm:f>$BT$4='Data entry'!$R61</xm:f>
            <x14:dxf>
              <fill>
                <patternFill>
                  <bgColor rgb="FFFF0000"/>
                </patternFill>
              </fill>
            </x14:dxf>
          </x14:cfRule>
          <xm:sqref>BR171:CC171</xm:sqref>
        </x14:conditionalFormatting>
        <x14:conditionalFormatting xmlns:xm="http://schemas.microsoft.com/office/excel/2006/main">
          <x14:cfRule type="expression" priority="4700837" id="{A51139D1-8841-4B96-B8CB-DFE3808765CF}">
            <xm:f>$BU$4='Data entry'!$R61</xm:f>
            <x14:dxf>
              <fill>
                <patternFill>
                  <bgColor rgb="FFFFFF00"/>
                </patternFill>
              </fill>
            </x14:dxf>
          </x14:cfRule>
          <xm:sqref>BG170:BU170</xm:sqref>
        </x14:conditionalFormatting>
        <x14:conditionalFormatting xmlns:xm="http://schemas.microsoft.com/office/excel/2006/main">
          <x14:cfRule type="expression" priority="4700838" id="{55CA7258-760F-4BFF-ACB5-A70FEB3E7981}">
            <xm:f>$BU$4='Data entry'!$R61</xm:f>
            <x14:dxf>
              <fill>
                <patternFill>
                  <bgColor rgb="FFFF0000"/>
                </patternFill>
              </fill>
            </x14:dxf>
          </x14:cfRule>
          <xm:sqref>BS171:CC171</xm:sqref>
        </x14:conditionalFormatting>
        <x14:conditionalFormatting xmlns:xm="http://schemas.microsoft.com/office/excel/2006/main">
          <x14:cfRule type="expression" priority="4700839" id="{A922B218-64DB-4CBB-9AB8-FE0EBB44E09E}">
            <xm:f>$BV$4='Data entry'!$R61</xm:f>
            <x14:dxf>
              <fill>
                <patternFill>
                  <bgColor rgb="FFFFFF00"/>
                </patternFill>
              </fill>
            </x14:dxf>
          </x14:cfRule>
          <xm:sqref>BH170:BV170</xm:sqref>
        </x14:conditionalFormatting>
        <x14:conditionalFormatting xmlns:xm="http://schemas.microsoft.com/office/excel/2006/main">
          <x14:cfRule type="expression" priority="4700840" id="{C98E908A-CD31-4778-B41C-7AFB9DBE639A}">
            <xm:f>$BV$4='Data entry'!$R61</xm:f>
            <x14:dxf>
              <fill>
                <patternFill>
                  <bgColor rgb="FFFF0000"/>
                </patternFill>
              </fill>
            </x14:dxf>
          </x14:cfRule>
          <xm:sqref>BT171:CC171</xm:sqref>
        </x14:conditionalFormatting>
        <x14:conditionalFormatting xmlns:xm="http://schemas.microsoft.com/office/excel/2006/main">
          <x14:cfRule type="expression" priority="4700841" id="{465CCCA3-B4DB-4B61-8AC7-8A5E4CEC9E3F}">
            <xm:f>$BW$4='Data entry'!$R61</xm:f>
            <x14:dxf>
              <fill>
                <patternFill>
                  <bgColor rgb="FFFFFF00"/>
                </patternFill>
              </fill>
            </x14:dxf>
          </x14:cfRule>
          <xm:sqref>BI170:BW170</xm:sqref>
        </x14:conditionalFormatting>
        <x14:conditionalFormatting xmlns:xm="http://schemas.microsoft.com/office/excel/2006/main">
          <x14:cfRule type="expression" priority="4700842" id="{37566F97-6D06-400B-A709-FE657B07687F}">
            <xm:f>$BW$4='Data entry'!$R61</xm:f>
            <x14:dxf>
              <fill>
                <patternFill>
                  <bgColor rgb="FFFF0000"/>
                </patternFill>
              </fill>
            </x14:dxf>
          </x14:cfRule>
          <xm:sqref>BU171:CC171</xm:sqref>
        </x14:conditionalFormatting>
        <x14:conditionalFormatting xmlns:xm="http://schemas.microsoft.com/office/excel/2006/main">
          <x14:cfRule type="expression" priority="4700843" id="{D8FBA3AC-5CF0-4E45-97CA-1D4DEE729ADA}">
            <xm:f>$BX$4='Data entry'!$R61</xm:f>
            <x14:dxf>
              <fill>
                <patternFill>
                  <bgColor rgb="FFFFFF00"/>
                </patternFill>
              </fill>
            </x14:dxf>
          </x14:cfRule>
          <xm:sqref>BJ170:BX170</xm:sqref>
        </x14:conditionalFormatting>
        <x14:conditionalFormatting xmlns:xm="http://schemas.microsoft.com/office/excel/2006/main">
          <x14:cfRule type="expression" priority="4700844" id="{E077C84B-A94F-431D-B232-4AFCC7C64F54}">
            <xm:f>$BX$4='Data entry'!$R61</xm:f>
            <x14:dxf>
              <fill>
                <patternFill>
                  <bgColor rgb="FFFF0000"/>
                </patternFill>
              </fill>
            </x14:dxf>
          </x14:cfRule>
          <xm:sqref>BV171:CC171</xm:sqref>
        </x14:conditionalFormatting>
        <x14:conditionalFormatting xmlns:xm="http://schemas.microsoft.com/office/excel/2006/main">
          <x14:cfRule type="expression" priority="4700845" id="{63783BA8-0C97-4A44-86FD-7A2BCF1B9957}">
            <xm:f>$BY$4='Data entry'!$R61</xm:f>
            <x14:dxf>
              <fill>
                <patternFill>
                  <bgColor rgb="FFFFFF00"/>
                </patternFill>
              </fill>
            </x14:dxf>
          </x14:cfRule>
          <xm:sqref>BK170:BY170</xm:sqref>
        </x14:conditionalFormatting>
        <x14:conditionalFormatting xmlns:xm="http://schemas.microsoft.com/office/excel/2006/main">
          <x14:cfRule type="expression" priority="4700846" id="{BB8DB8B4-B71B-46D2-AEE7-346F16103F74}">
            <xm:f>$BY$4='Data entry'!$R61</xm:f>
            <x14:dxf>
              <fill>
                <patternFill>
                  <bgColor rgb="FFFF0000"/>
                </patternFill>
              </fill>
            </x14:dxf>
          </x14:cfRule>
          <xm:sqref>BW171:CC171</xm:sqref>
        </x14:conditionalFormatting>
        <x14:conditionalFormatting xmlns:xm="http://schemas.microsoft.com/office/excel/2006/main">
          <x14:cfRule type="expression" priority="4700847" id="{1B638B98-2B06-4FEB-90C1-446A3E0A3979}">
            <xm:f>$BZ$4='Data entry'!$R61</xm:f>
            <x14:dxf>
              <fill>
                <patternFill>
                  <bgColor rgb="FFFFFF00"/>
                </patternFill>
              </fill>
            </x14:dxf>
          </x14:cfRule>
          <xm:sqref>BL170:BZ170</xm:sqref>
        </x14:conditionalFormatting>
        <x14:conditionalFormatting xmlns:xm="http://schemas.microsoft.com/office/excel/2006/main">
          <x14:cfRule type="expression" priority="4700848" id="{D3A0A2F8-D1B2-4DC5-B2A9-0EF53074E685}">
            <xm:f>$BZ$4='Data entry'!$R61</xm:f>
            <x14:dxf>
              <fill>
                <patternFill>
                  <bgColor rgb="FFFF0000"/>
                </patternFill>
              </fill>
            </x14:dxf>
          </x14:cfRule>
          <xm:sqref>BX171:CC171</xm:sqref>
        </x14:conditionalFormatting>
        <x14:conditionalFormatting xmlns:xm="http://schemas.microsoft.com/office/excel/2006/main">
          <x14:cfRule type="expression" priority="4700849" id="{83F6D018-7D3B-4D33-9998-11572F2F2FF5}">
            <xm:f>$CA$4='Data entry'!$R61</xm:f>
            <x14:dxf>
              <fill>
                <patternFill>
                  <bgColor rgb="FFFFFF00"/>
                </patternFill>
              </fill>
            </x14:dxf>
          </x14:cfRule>
          <xm:sqref>BM170:CA170</xm:sqref>
        </x14:conditionalFormatting>
        <x14:conditionalFormatting xmlns:xm="http://schemas.microsoft.com/office/excel/2006/main">
          <x14:cfRule type="expression" priority="4700850" id="{8E6D0B51-5626-4ED9-9072-C7A2C139704F}">
            <xm:f>$CA$4='Data entry'!$R61</xm:f>
            <x14:dxf>
              <fill>
                <patternFill>
                  <bgColor rgb="FFFF0000"/>
                </patternFill>
              </fill>
            </x14:dxf>
          </x14:cfRule>
          <xm:sqref>BY171:CC171</xm:sqref>
        </x14:conditionalFormatting>
        <x14:conditionalFormatting xmlns:xm="http://schemas.microsoft.com/office/excel/2006/main">
          <x14:cfRule type="expression" priority="4700851" id="{E1886EE4-3BDE-43A9-9F4B-79377FEC37FE}">
            <xm:f>$CB$4='Data entry'!$R61</xm:f>
            <x14:dxf>
              <fill>
                <patternFill>
                  <bgColor rgb="FFFFFF00"/>
                </patternFill>
              </fill>
            </x14:dxf>
          </x14:cfRule>
          <xm:sqref>BN170:CB170</xm:sqref>
        </x14:conditionalFormatting>
        <x14:conditionalFormatting xmlns:xm="http://schemas.microsoft.com/office/excel/2006/main">
          <x14:cfRule type="expression" priority="4700852" id="{ADEF572A-6C18-4602-BB86-01C96D36E07E}">
            <xm:f>$CB$4='Data entry'!$R61</xm:f>
            <x14:dxf>
              <fill>
                <patternFill>
                  <bgColor rgb="FFFF0000"/>
                </patternFill>
              </fill>
            </x14:dxf>
          </x14:cfRule>
          <xm:sqref>BZ171:CC171</xm:sqref>
        </x14:conditionalFormatting>
        <x14:conditionalFormatting xmlns:xm="http://schemas.microsoft.com/office/excel/2006/main">
          <x14:cfRule type="expression" priority="4700853" id="{7984E1C9-E073-4955-8543-62145CB6D008}">
            <xm:f>$CC$4='Data entry'!$R61</xm:f>
            <x14:dxf>
              <fill>
                <patternFill>
                  <bgColor rgb="FFFFFF00"/>
                </patternFill>
              </fill>
            </x14:dxf>
          </x14:cfRule>
          <xm:sqref>BO170:CC170</xm:sqref>
        </x14:conditionalFormatting>
        <x14:conditionalFormatting xmlns:xm="http://schemas.microsoft.com/office/excel/2006/main">
          <x14:cfRule type="expression" priority="4700854" id="{18A957B3-59FA-4698-BA92-2A208FF18E2F}">
            <xm:f>$CC$4='Data entry'!$R61</xm:f>
            <x14:dxf>
              <fill>
                <patternFill>
                  <bgColor rgb="FFFF0000"/>
                </patternFill>
              </fill>
            </x14:dxf>
          </x14:cfRule>
          <xm:sqref>CA171:CC171</xm:sqref>
        </x14:conditionalFormatting>
        <x14:conditionalFormatting xmlns:xm="http://schemas.microsoft.com/office/excel/2006/main">
          <x14:cfRule type="expression" priority="4700941" id="{5B0DB825-B7C2-40AC-B7EF-F267F054CFB9}">
            <xm:f>$U$4='Data entry'!$R62</xm:f>
            <x14:dxf>
              <fill>
                <patternFill>
                  <bgColor rgb="FFFF0000"/>
                </patternFill>
              </fill>
            </x14:dxf>
          </x14:cfRule>
          <xm:sqref>S174:AE174</xm:sqref>
        </x14:conditionalFormatting>
        <x14:conditionalFormatting xmlns:xm="http://schemas.microsoft.com/office/excel/2006/main">
          <x14:cfRule type="expression" priority="4700942" id="{18311200-E2BB-400F-B594-3B9A2C6068C2}">
            <xm:f>$V$4='Data entry'!$R62</xm:f>
            <x14:dxf>
              <fill>
                <patternFill>
                  <bgColor rgb="FFFF0000"/>
                </patternFill>
              </fill>
            </x14:dxf>
          </x14:cfRule>
          <xm:sqref>T174:AF174</xm:sqref>
        </x14:conditionalFormatting>
        <x14:conditionalFormatting xmlns:xm="http://schemas.microsoft.com/office/excel/2006/main">
          <x14:cfRule type="expression" priority="4700943" id="{D6DFB621-1A58-4C59-A987-ECAD0EB2D32B}">
            <xm:f>$V$4='Data entry'!$R62</xm:f>
            <x14:dxf>
              <fill>
                <patternFill>
                  <bgColor rgb="FFFFFF00"/>
                </patternFill>
              </fill>
            </x14:dxf>
          </x14:cfRule>
          <xm:sqref>H173:V173</xm:sqref>
        </x14:conditionalFormatting>
        <x14:conditionalFormatting xmlns:xm="http://schemas.microsoft.com/office/excel/2006/main">
          <x14:cfRule type="expression" priority="4700944" id="{5F87A680-DC5F-433D-A779-B7A534ACCDA9}">
            <xm:f>$W$4='Data entry'!$R62</xm:f>
            <x14:dxf>
              <fill>
                <patternFill>
                  <bgColor rgb="FFFF0000"/>
                </patternFill>
              </fill>
            </x14:dxf>
          </x14:cfRule>
          <xm:sqref>U174:AG174</xm:sqref>
        </x14:conditionalFormatting>
        <x14:conditionalFormatting xmlns:xm="http://schemas.microsoft.com/office/excel/2006/main">
          <x14:cfRule type="expression" priority="4700945" id="{964539FF-A92C-4F68-B268-B7157A32678C}">
            <xm:f>$W$4='Data entry'!$R62</xm:f>
            <x14:dxf>
              <fill>
                <patternFill>
                  <bgColor rgb="FFFFFF00"/>
                </patternFill>
              </fill>
            </x14:dxf>
          </x14:cfRule>
          <xm:sqref>I173:W173</xm:sqref>
        </x14:conditionalFormatting>
        <x14:conditionalFormatting xmlns:xm="http://schemas.microsoft.com/office/excel/2006/main">
          <x14:cfRule type="expression" priority="4700946" id="{46C1533A-F090-4A90-9309-3F59EC3FD3B0}">
            <xm:f>$X$4='Data entry'!$R62</xm:f>
            <x14:dxf>
              <fill>
                <patternFill>
                  <bgColor rgb="FFFF0000"/>
                </patternFill>
              </fill>
            </x14:dxf>
          </x14:cfRule>
          <xm:sqref>V174:AH174</xm:sqref>
        </x14:conditionalFormatting>
        <x14:conditionalFormatting xmlns:xm="http://schemas.microsoft.com/office/excel/2006/main">
          <x14:cfRule type="expression" priority="4700947" id="{7C70E81C-DDD4-4D75-933A-4F6A39893184}">
            <xm:f>$X$4='Data entry'!$R62</xm:f>
            <x14:dxf>
              <fill>
                <patternFill>
                  <bgColor rgb="FFFFFF00"/>
                </patternFill>
              </fill>
            </x14:dxf>
          </x14:cfRule>
          <xm:sqref>J173:X173</xm:sqref>
        </x14:conditionalFormatting>
        <x14:conditionalFormatting xmlns:xm="http://schemas.microsoft.com/office/excel/2006/main">
          <x14:cfRule type="expression" priority="4700948" id="{561AF073-0EF8-4B72-A119-40A639C4359D}">
            <xm:f>$Y$4='Data entry'!$R62</xm:f>
            <x14:dxf>
              <fill>
                <patternFill>
                  <bgColor rgb="FFFF0000"/>
                </patternFill>
              </fill>
            </x14:dxf>
          </x14:cfRule>
          <xm:sqref>W174:AI174</xm:sqref>
        </x14:conditionalFormatting>
        <x14:conditionalFormatting xmlns:xm="http://schemas.microsoft.com/office/excel/2006/main">
          <x14:cfRule type="expression" priority="4700949" id="{F242E808-8F07-4A89-9524-7D4C767CE357}">
            <xm:f>$Y$4='Data entry'!$R62</xm:f>
            <x14:dxf>
              <fill>
                <patternFill>
                  <bgColor rgb="FFFFFF00"/>
                </patternFill>
              </fill>
            </x14:dxf>
          </x14:cfRule>
          <xm:sqref>K173:Y173</xm:sqref>
        </x14:conditionalFormatting>
        <x14:conditionalFormatting xmlns:xm="http://schemas.microsoft.com/office/excel/2006/main">
          <x14:cfRule type="expression" priority="4700950" id="{DD601058-982B-4218-BD9D-64BB823C2633}">
            <xm:f>$Z$4='Data entry'!$R62</xm:f>
            <x14:dxf>
              <fill>
                <patternFill>
                  <bgColor rgb="FFFF0000"/>
                </patternFill>
              </fill>
            </x14:dxf>
          </x14:cfRule>
          <xm:sqref>X174:AJ174</xm:sqref>
        </x14:conditionalFormatting>
        <x14:conditionalFormatting xmlns:xm="http://schemas.microsoft.com/office/excel/2006/main">
          <x14:cfRule type="expression" priority="4700951" id="{C9DB141D-79F6-4093-92A3-7BF7A1622985}">
            <xm:f>$Z$4='Data entry'!$R62</xm:f>
            <x14:dxf>
              <fill>
                <patternFill>
                  <bgColor rgb="FFFFFF00"/>
                </patternFill>
              </fill>
            </x14:dxf>
          </x14:cfRule>
          <xm:sqref>L173:Z173</xm:sqref>
        </x14:conditionalFormatting>
        <x14:conditionalFormatting xmlns:xm="http://schemas.microsoft.com/office/excel/2006/main">
          <x14:cfRule type="expression" priority="4700952" id="{710EB8D3-F5C0-4E3C-8214-2D0C4E26F649}">
            <xm:f>$AA$4='Data entry'!$R62</xm:f>
            <x14:dxf>
              <fill>
                <patternFill>
                  <bgColor rgb="FFFF0000"/>
                </patternFill>
              </fill>
            </x14:dxf>
          </x14:cfRule>
          <xm:sqref>Y174:AK174</xm:sqref>
        </x14:conditionalFormatting>
        <x14:conditionalFormatting xmlns:xm="http://schemas.microsoft.com/office/excel/2006/main">
          <x14:cfRule type="expression" priority="4700953" id="{33825D69-C967-4D27-B395-5D44A3083802}">
            <xm:f>$AA$4='Data entry'!$R62</xm:f>
            <x14:dxf>
              <fill>
                <patternFill>
                  <bgColor rgb="FFFFFF00"/>
                </patternFill>
              </fill>
            </x14:dxf>
          </x14:cfRule>
          <xm:sqref>M173:AA173</xm:sqref>
        </x14:conditionalFormatting>
        <x14:conditionalFormatting xmlns:xm="http://schemas.microsoft.com/office/excel/2006/main">
          <x14:cfRule type="expression" priority="4700954" id="{9811A97D-351B-4D32-8754-AF433277E62B}">
            <xm:f>$AB$4='Data entry'!$R62</xm:f>
            <x14:dxf>
              <fill>
                <patternFill>
                  <bgColor rgb="FFFF0000"/>
                </patternFill>
              </fill>
            </x14:dxf>
          </x14:cfRule>
          <xm:sqref>Z174:AL174</xm:sqref>
        </x14:conditionalFormatting>
        <x14:conditionalFormatting xmlns:xm="http://schemas.microsoft.com/office/excel/2006/main">
          <x14:cfRule type="expression" priority="4700955" id="{6DD3E556-C72E-438B-92DA-3096ED1E4178}">
            <xm:f>$AB$4='Data entry'!$R62</xm:f>
            <x14:dxf>
              <fill>
                <patternFill>
                  <bgColor rgb="FFFFFF00"/>
                </patternFill>
              </fill>
            </x14:dxf>
          </x14:cfRule>
          <xm:sqref>N173:AB173</xm:sqref>
        </x14:conditionalFormatting>
        <x14:conditionalFormatting xmlns:xm="http://schemas.microsoft.com/office/excel/2006/main">
          <x14:cfRule type="expression" priority="4700956" id="{C0DF7A1B-D6BC-4371-BD3A-F0708147FA1C}">
            <xm:f>$AC$4='Data entry'!$R62</xm:f>
            <x14:dxf>
              <fill>
                <patternFill>
                  <bgColor rgb="FFFF0000"/>
                </patternFill>
              </fill>
            </x14:dxf>
          </x14:cfRule>
          <xm:sqref>AA174:AM174</xm:sqref>
        </x14:conditionalFormatting>
        <x14:conditionalFormatting xmlns:xm="http://schemas.microsoft.com/office/excel/2006/main">
          <x14:cfRule type="expression" priority="4700957" id="{DB2E1F48-AF0E-41F9-A976-6B1963CA5711}">
            <xm:f>$AC$4='Data entry'!$R62</xm:f>
            <x14:dxf>
              <fill>
                <patternFill>
                  <bgColor rgb="FFFFFF00"/>
                </patternFill>
              </fill>
            </x14:dxf>
          </x14:cfRule>
          <xm:sqref>O173:AC173</xm:sqref>
        </x14:conditionalFormatting>
        <x14:conditionalFormatting xmlns:xm="http://schemas.microsoft.com/office/excel/2006/main">
          <x14:cfRule type="expression" priority="4700958" id="{89909907-F9A9-4AF9-BC1D-304710A43F50}">
            <xm:f>$AD$4='Data entry'!$R62</xm:f>
            <x14:dxf>
              <fill>
                <patternFill>
                  <bgColor rgb="FFFF0000"/>
                </patternFill>
              </fill>
            </x14:dxf>
          </x14:cfRule>
          <xm:sqref>AB174:AN174</xm:sqref>
        </x14:conditionalFormatting>
        <x14:conditionalFormatting xmlns:xm="http://schemas.microsoft.com/office/excel/2006/main">
          <x14:cfRule type="expression" priority="4700959" id="{729676B7-E331-43A4-ACC9-850DCEE76A0E}">
            <xm:f>$AD$4='Data entry'!$R62</xm:f>
            <x14:dxf>
              <fill>
                <patternFill>
                  <bgColor rgb="FFFFFF00"/>
                </patternFill>
              </fill>
            </x14:dxf>
          </x14:cfRule>
          <xm:sqref>P173:AD173</xm:sqref>
        </x14:conditionalFormatting>
        <x14:conditionalFormatting xmlns:xm="http://schemas.microsoft.com/office/excel/2006/main">
          <x14:cfRule type="expression" priority="4700960" id="{00DA2C55-350E-44AA-ABEA-808FABFDA737}">
            <xm:f>$AE$4='Data entry'!$R62</xm:f>
            <x14:dxf>
              <fill>
                <patternFill>
                  <bgColor rgb="FFFF0000"/>
                </patternFill>
              </fill>
            </x14:dxf>
          </x14:cfRule>
          <xm:sqref>AC174:AO174</xm:sqref>
        </x14:conditionalFormatting>
        <x14:conditionalFormatting xmlns:xm="http://schemas.microsoft.com/office/excel/2006/main">
          <x14:cfRule type="expression" priority="4700961" id="{373C95F1-00C1-45E9-B561-5224945BA4A4}">
            <xm:f>$AE$4='Data entry'!$R62</xm:f>
            <x14:dxf>
              <fill>
                <patternFill>
                  <bgColor rgb="FFFFFF00"/>
                </patternFill>
              </fill>
            </x14:dxf>
          </x14:cfRule>
          <xm:sqref>Q173:AE173</xm:sqref>
        </x14:conditionalFormatting>
        <x14:conditionalFormatting xmlns:xm="http://schemas.microsoft.com/office/excel/2006/main">
          <x14:cfRule type="expression" priority="4700962" id="{65E90E74-6BEF-4B00-BD5E-ECACFEBC225A}">
            <xm:f>$AF$4='Data entry'!$R62</xm:f>
            <x14:dxf>
              <fill>
                <patternFill>
                  <bgColor rgb="FFFF0000"/>
                </patternFill>
              </fill>
            </x14:dxf>
          </x14:cfRule>
          <xm:sqref>AD174:AP174</xm:sqref>
        </x14:conditionalFormatting>
        <x14:conditionalFormatting xmlns:xm="http://schemas.microsoft.com/office/excel/2006/main">
          <x14:cfRule type="expression" priority="4700963" id="{56B519D7-E083-4811-B42B-D6CB10D44BB3}">
            <xm:f>$AF$4='Data entry'!$R62</xm:f>
            <x14:dxf>
              <fill>
                <patternFill>
                  <bgColor rgb="FFFFFF00"/>
                </patternFill>
              </fill>
            </x14:dxf>
          </x14:cfRule>
          <xm:sqref>R173:AF173</xm:sqref>
        </x14:conditionalFormatting>
        <x14:conditionalFormatting xmlns:xm="http://schemas.microsoft.com/office/excel/2006/main">
          <x14:cfRule type="expression" priority="4700964" id="{889682B6-BF9B-414B-86B7-1C802156B058}">
            <xm:f>$AG$4='Data entry'!$R62</xm:f>
            <x14:dxf>
              <fill>
                <patternFill>
                  <bgColor rgb="FFFF0000"/>
                </patternFill>
              </fill>
            </x14:dxf>
          </x14:cfRule>
          <xm:sqref>AE174:AQ174</xm:sqref>
        </x14:conditionalFormatting>
        <x14:conditionalFormatting xmlns:xm="http://schemas.microsoft.com/office/excel/2006/main">
          <x14:cfRule type="expression" priority="4700965" id="{19913D88-1940-4CB0-B29C-D46D60833BD5}">
            <xm:f>$AG$4='Data entry'!$R62</xm:f>
            <x14:dxf>
              <fill>
                <patternFill>
                  <bgColor rgb="FFFFFF00"/>
                </patternFill>
              </fill>
            </x14:dxf>
          </x14:cfRule>
          <xm:sqref>S173:AG173</xm:sqref>
        </x14:conditionalFormatting>
        <x14:conditionalFormatting xmlns:xm="http://schemas.microsoft.com/office/excel/2006/main">
          <x14:cfRule type="expression" priority="4700966" id="{3DD7B9A5-18A3-463F-BAD5-9796FC487328}">
            <xm:f>$AH$4='Data entry'!$R62</xm:f>
            <x14:dxf>
              <fill>
                <patternFill>
                  <bgColor rgb="FFFF0000"/>
                </patternFill>
              </fill>
            </x14:dxf>
          </x14:cfRule>
          <xm:sqref>AF174:AR174</xm:sqref>
        </x14:conditionalFormatting>
        <x14:conditionalFormatting xmlns:xm="http://schemas.microsoft.com/office/excel/2006/main">
          <x14:cfRule type="expression" priority="4700967" id="{31005CF4-5608-496E-91EB-F7F505046C80}">
            <xm:f>$AH$4='Data entry'!$R62</xm:f>
            <x14:dxf>
              <fill>
                <patternFill>
                  <bgColor rgb="FFFFFF00"/>
                </patternFill>
              </fill>
            </x14:dxf>
          </x14:cfRule>
          <xm:sqref>T173:AH173</xm:sqref>
        </x14:conditionalFormatting>
        <x14:conditionalFormatting xmlns:xm="http://schemas.microsoft.com/office/excel/2006/main">
          <x14:cfRule type="expression" priority="4700968" id="{CD14F654-5B7A-444F-8FC1-7DD71E76E475}">
            <xm:f>$AI$4='Data entry'!$R62</xm:f>
            <x14:dxf>
              <fill>
                <patternFill>
                  <bgColor rgb="FFFF0000"/>
                </patternFill>
              </fill>
            </x14:dxf>
          </x14:cfRule>
          <xm:sqref>AG174:AS174</xm:sqref>
        </x14:conditionalFormatting>
        <x14:conditionalFormatting xmlns:xm="http://schemas.microsoft.com/office/excel/2006/main">
          <x14:cfRule type="expression" priority="4700969" id="{0E4E448C-6C46-4285-B877-A61A90294385}">
            <xm:f>$AI$4='Data entry'!$R62</xm:f>
            <x14:dxf>
              <fill>
                <patternFill>
                  <bgColor rgb="FFFFFF00"/>
                </patternFill>
              </fill>
            </x14:dxf>
          </x14:cfRule>
          <xm:sqref>U173:AI173</xm:sqref>
        </x14:conditionalFormatting>
        <x14:conditionalFormatting xmlns:xm="http://schemas.microsoft.com/office/excel/2006/main">
          <x14:cfRule type="expression" priority="4700970" id="{B1C1818F-791C-403D-BE73-6F6E9DC6A16D}">
            <xm:f>$AJ$4='Data entry'!$R62</xm:f>
            <x14:dxf>
              <fill>
                <patternFill>
                  <bgColor rgb="FFFF0000"/>
                </patternFill>
              </fill>
            </x14:dxf>
          </x14:cfRule>
          <xm:sqref>AH174:AT174</xm:sqref>
        </x14:conditionalFormatting>
        <x14:conditionalFormatting xmlns:xm="http://schemas.microsoft.com/office/excel/2006/main">
          <x14:cfRule type="expression" priority="4700971" id="{A1237792-221B-431B-B8A7-E9A64DA46D93}">
            <xm:f>$AJ$4='Data entry'!$R62</xm:f>
            <x14:dxf>
              <fill>
                <patternFill>
                  <bgColor rgb="FFFFFF00"/>
                </patternFill>
              </fill>
            </x14:dxf>
          </x14:cfRule>
          <xm:sqref>V173:AJ173</xm:sqref>
        </x14:conditionalFormatting>
        <x14:conditionalFormatting xmlns:xm="http://schemas.microsoft.com/office/excel/2006/main">
          <x14:cfRule type="expression" priority="4700972" id="{617DC2AF-C7A3-4724-8EA3-17DEFEDC8949}">
            <xm:f>$AK$4='Data entry'!$R62</xm:f>
            <x14:dxf>
              <fill>
                <patternFill>
                  <bgColor rgb="FFFF0000"/>
                </patternFill>
              </fill>
            </x14:dxf>
          </x14:cfRule>
          <xm:sqref>AI174:AU174</xm:sqref>
        </x14:conditionalFormatting>
        <x14:conditionalFormatting xmlns:xm="http://schemas.microsoft.com/office/excel/2006/main">
          <x14:cfRule type="expression" priority="4700973" id="{AA72317D-37B1-48EB-A28B-BF2AC8DC4519}">
            <xm:f>$AK$4='Data entry'!$R62</xm:f>
            <x14:dxf>
              <fill>
                <patternFill>
                  <bgColor rgb="FFFFFF00"/>
                </patternFill>
              </fill>
            </x14:dxf>
          </x14:cfRule>
          <xm:sqref>W173:AK173</xm:sqref>
        </x14:conditionalFormatting>
        <x14:conditionalFormatting xmlns:xm="http://schemas.microsoft.com/office/excel/2006/main">
          <x14:cfRule type="expression" priority="4700974" id="{6CA9FB7A-20EA-4D3A-B74C-A001F4BE810D}">
            <xm:f>$AL$4='Data entry'!$R62</xm:f>
            <x14:dxf>
              <fill>
                <patternFill>
                  <bgColor rgb="FFFF0000"/>
                </patternFill>
              </fill>
            </x14:dxf>
          </x14:cfRule>
          <xm:sqref>AJ174:AV174</xm:sqref>
        </x14:conditionalFormatting>
        <x14:conditionalFormatting xmlns:xm="http://schemas.microsoft.com/office/excel/2006/main">
          <x14:cfRule type="expression" priority="4700975" id="{81A75DAA-573F-4EF3-A640-1B992C18BEA0}">
            <xm:f>$AL$4='Data entry'!$R62</xm:f>
            <x14:dxf>
              <fill>
                <patternFill>
                  <bgColor rgb="FFFFFF00"/>
                </patternFill>
              </fill>
            </x14:dxf>
          </x14:cfRule>
          <xm:sqref>X173:AL173</xm:sqref>
        </x14:conditionalFormatting>
        <x14:conditionalFormatting xmlns:xm="http://schemas.microsoft.com/office/excel/2006/main">
          <x14:cfRule type="expression" priority="4700976" id="{3D44713E-4ABA-4CCD-9DF4-5513A9FB5E1E}">
            <xm:f>$AM$4='Data entry'!$R62</xm:f>
            <x14:dxf>
              <fill>
                <patternFill>
                  <bgColor rgb="FFFF0000"/>
                </patternFill>
              </fill>
            </x14:dxf>
          </x14:cfRule>
          <xm:sqref>AK174:AW174</xm:sqref>
        </x14:conditionalFormatting>
        <x14:conditionalFormatting xmlns:xm="http://schemas.microsoft.com/office/excel/2006/main">
          <x14:cfRule type="expression" priority="4700977" id="{05A26B51-72A7-4423-822F-2BDBC28275D0}">
            <xm:f>$AM$4='Data entry'!$R62</xm:f>
            <x14:dxf>
              <fill>
                <patternFill>
                  <bgColor rgb="FFFFFF00"/>
                </patternFill>
              </fill>
            </x14:dxf>
          </x14:cfRule>
          <xm:sqref>Y173:AM173</xm:sqref>
        </x14:conditionalFormatting>
        <x14:conditionalFormatting xmlns:xm="http://schemas.microsoft.com/office/excel/2006/main">
          <x14:cfRule type="expression" priority="4700978" id="{B8A20675-6230-4694-A7F6-6B3DC7142773}">
            <xm:f>$AN$4='Data entry'!$R62</xm:f>
            <x14:dxf>
              <fill>
                <patternFill>
                  <bgColor rgb="FFFF0000"/>
                </patternFill>
              </fill>
            </x14:dxf>
          </x14:cfRule>
          <xm:sqref>AL174:AX174</xm:sqref>
        </x14:conditionalFormatting>
        <x14:conditionalFormatting xmlns:xm="http://schemas.microsoft.com/office/excel/2006/main">
          <x14:cfRule type="expression" priority="4700979" id="{8421181C-7450-42E9-BC1D-065CCFCA960E}">
            <xm:f>$AN$4='Data entry'!$R62</xm:f>
            <x14:dxf>
              <fill>
                <patternFill>
                  <bgColor rgb="FFFFFF00"/>
                </patternFill>
              </fill>
            </x14:dxf>
          </x14:cfRule>
          <xm:sqref>Z173:AN173</xm:sqref>
        </x14:conditionalFormatting>
        <x14:conditionalFormatting xmlns:xm="http://schemas.microsoft.com/office/excel/2006/main">
          <x14:cfRule type="expression" priority="4700980" id="{067FE4BD-6EF4-4684-B6E0-35AB2F267EE7}">
            <xm:f>$AO$4='Data entry'!$R62</xm:f>
            <x14:dxf>
              <fill>
                <patternFill>
                  <bgColor rgb="FFFF0000"/>
                </patternFill>
              </fill>
            </x14:dxf>
          </x14:cfRule>
          <xm:sqref>AM174:AY174</xm:sqref>
        </x14:conditionalFormatting>
        <x14:conditionalFormatting xmlns:xm="http://schemas.microsoft.com/office/excel/2006/main">
          <x14:cfRule type="expression" priority="4700981" id="{F7653492-88D1-47AC-8BA3-0CCE65C3C2AB}">
            <xm:f>$AO$4='Data entry'!$R62</xm:f>
            <x14:dxf>
              <fill>
                <patternFill>
                  <bgColor rgb="FFFFFF00"/>
                </patternFill>
              </fill>
            </x14:dxf>
          </x14:cfRule>
          <xm:sqref>AA173:AO173</xm:sqref>
        </x14:conditionalFormatting>
        <x14:conditionalFormatting xmlns:xm="http://schemas.microsoft.com/office/excel/2006/main">
          <x14:cfRule type="expression" priority="4700982" id="{207A5E5D-B322-482E-9193-1D7318138358}">
            <xm:f>$AP$4='Data entry'!$R62</xm:f>
            <x14:dxf>
              <fill>
                <patternFill>
                  <bgColor rgb="FFFF0000"/>
                </patternFill>
              </fill>
            </x14:dxf>
          </x14:cfRule>
          <xm:sqref>AN174:AZ174</xm:sqref>
        </x14:conditionalFormatting>
        <x14:conditionalFormatting xmlns:xm="http://schemas.microsoft.com/office/excel/2006/main">
          <x14:cfRule type="expression" priority="4700983" id="{21DA638D-4CA0-4067-BFF1-240CE1A0261B}">
            <xm:f>$AP$4='Data entry'!$R62</xm:f>
            <x14:dxf>
              <fill>
                <patternFill>
                  <bgColor rgb="FFFFFF00"/>
                </patternFill>
              </fill>
            </x14:dxf>
          </x14:cfRule>
          <xm:sqref>AB173:AP173</xm:sqref>
        </x14:conditionalFormatting>
        <x14:conditionalFormatting xmlns:xm="http://schemas.microsoft.com/office/excel/2006/main">
          <x14:cfRule type="expression" priority="4700984" id="{71963D96-A42A-4B90-BFC7-6D83D37766EF}">
            <xm:f>$AQ$4='Data entry'!$R62</xm:f>
            <x14:dxf>
              <fill>
                <patternFill>
                  <bgColor rgb="FFFF0000"/>
                </patternFill>
              </fill>
            </x14:dxf>
          </x14:cfRule>
          <xm:sqref>AO174:BA174</xm:sqref>
        </x14:conditionalFormatting>
        <x14:conditionalFormatting xmlns:xm="http://schemas.microsoft.com/office/excel/2006/main">
          <x14:cfRule type="expression" priority="4700985" id="{74952595-84B6-484F-8FF6-FCC1F337DF4D}">
            <xm:f>$AQ$4='Data entry'!$R62</xm:f>
            <x14:dxf>
              <fill>
                <patternFill>
                  <bgColor rgb="FFFFFF00"/>
                </patternFill>
              </fill>
            </x14:dxf>
          </x14:cfRule>
          <xm:sqref>AC173:AQ173</xm:sqref>
        </x14:conditionalFormatting>
        <x14:conditionalFormatting xmlns:xm="http://schemas.microsoft.com/office/excel/2006/main">
          <x14:cfRule type="expression" priority="4700986" id="{8AC9C4B9-0A34-4BC0-B0F7-CA89434C4911}">
            <xm:f>$P$4='Data entry'!$R62</xm:f>
            <x14:dxf>
              <fill>
                <patternFill>
                  <bgColor rgb="FFFFFF00"/>
                </patternFill>
              </fill>
            </x14:dxf>
          </x14:cfRule>
          <xm:sqref>C173:P173</xm:sqref>
        </x14:conditionalFormatting>
        <x14:conditionalFormatting xmlns:xm="http://schemas.microsoft.com/office/excel/2006/main">
          <x14:cfRule type="expression" priority="4700987" id="{0A726775-ABFD-4F22-967C-1A4D87BA3751}">
            <xm:f>$Q$4='Data entry'!$R62</xm:f>
            <x14:dxf>
              <fill>
                <patternFill>
                  <bgColor rgb="FFFFFF00"/>
                </patternFill>
              </fill>
            </x14:dxf>
          </x14:cfRule>
          <xm:sqref>C173:Q173</xm:sqref>
        </x14:conditionalFormatting>
        <x14:conditionalFormatting xmlns:xm="http://schemas.microsoft.com/office/excel/2006/main">
          <x14:cfRule type="expression" priority="4700988" id="{3A8414BD-262C-43B5-86EE-FA6901D00453}">
            <xm:f>$Q$4='Data entry'!$R62</xm:f>
            <x14:dxf>
              <fill>
                <patternFill>
                  <bgColor rgb="FFFF0000"/>
                </patternFill>
              </fill>
            </x14:dxf>
          </x14:cfRule>
          <xm:sqref>O174:AA174</xm:sqref>
        </x14:conditionalFormatting>
        <x14:conditionalFormatting xmlns:xm="http://schemas.microsoft.com/office/excel/2006/main">
          <x14:cfRule type="expression" priority="4700989" id="{B8B5501D-F3EF-4449-9306-F652960C65F4}">
            <xm:f>$R$4='Data entry'!$R62</xm:f>
            <x14:dxf>
              <fill>
                <patternFill>
                  <bgColor rgb="FFFF0000"/>
                </patternFill>
              </fill>
            </x14:dxf>
          </x14:cfRule>
          <xm:sqref>P174:AB174</xm:sqref>
        </x14:conditionalFormatting>
        <x14:conditionalFormatting xmlns:xm="http://schemas.microsoft.com/office/excel/2006/main">
          <x14:cfRule type="expression" priority="4700990" id="{5D070DEC-B82E-4D87-B907-A3E5AB836991}">
            <xm:f>$R$4='Data entry'!$R62</xm:f>
            <x14:dxf>
              <fill>
                <patternFill>
                  <bgColor rgb="FFFFFF00"/>
                </patternFill>
              </fill>
            </x14:dxf>
          </x14:cfRule>
          <xm:sqref>D173:R173</xm:sqref>
        </x14:conditionalFormatting>
        <x14:conditionalFormatting xmlns:xm="http://schemas.microsoft.com/office/excel/2006/main">
          <x14:cfRule type="expression" priority="4700991" id="{E4D16A10-F818-4664-9FB2-F0E839824D4B}">
            <xm:f>$S$4='Data entry'!$R62</xm:f>
            <x14:dxf>
              <fill>
                <patternFill>
                  <bgColor rgb="FFFF0000"/>
                </patternFill>
              </fill>
            </x14:dxf>
          </x14:cfRule>
          <xm:sqref>Q174:AC174</xm:sqref>
        </x14:conditionalFormatting>
        <x14:conditionalFormatting xmlns:xm="http://schemas.microsoft.com/office/excel/2006/main">
          <x14:cfRule type="expression" priority="4700992" id="{1A9F9911-A3E9-4730-AFBE-AB8C596545CA}">
            <xm:f>$S$4='Data entry'!$R62</xm:f>
            <x14:dxf>
              <fill>
                <patternFill>
                  <bgColor rgb="FFFFFF00"/>
                </patternFill>
              </fill>
            </x14:dxf>
          </x14:cfRule>
          <xm:sqref>E173:S173</xm:sqref>
        </x14:conditionalFormatting>
        <x14:conditionalFormatting xmlns:xm="http://schemas.microsoft.com/office/excel/2006/main">
          <x14:cfRule type="expression" priority="4700993" id="{8BB5CD1B-B2AC-442A-9550-26DE19A62D22}">
            <xm:f>$T$4='Data entry'!$R62</xm:f>
            <x14:dxf>
              <fill>
                <patternFill>
                  <bgColor rgb="FFFF0000"/>
                </patternFill>
              </fill>
            </x14:dxf>
          </x14:cfRule>
          <xm:sqref>R174:AD174</xm:sqref>
        </x14:conditionalFormatting>
        <x14:conditionalFormatting xmlns:xm="http://schemas.microsoft.com/office/excel/2006/main">
          <x14:cfRule type="expression" priority="4700994" id="{E7B59C69-7921-4049-84A1-8B3E5F7B0598}">
            <xm:f>$T$4='Data entry'!$R62</xm:f>
            <x14:dxf>
              <fill>
                <patternFill>
                  <bgColor rgb="FFFFFF00"/>
                </patternFill>
              </fill>
            </x14:dxf>
          </x14:cfRule>
          <xm:sqref>F173:T173</xm:sqref>
        </x14:conditionalFormatting>
        <x14:conditionalFormatting xmlns:xm="http://schemas.microsoft.com/office/excel/2006/main">
          <x14:cfRule type="expression" priority="4700995" id="{238C09E5-7A3D-439D-949F-A7733073F9A2}">
            <xm:f>$U$4='Data entry'!$R62</xm:f>
            <x14:dxf>
              <fill>
                <patternFill>
                  <bgColor rgb="FFFFFF00"/>
                </patternFill>
              </fill>
            </x14:dxf>
          </x14:cfRule>
          <xm:sqref>G173:U173</xm:sqref>
        </x14:conditionalFormatting>
        <x14:conditionalFormatting xmlns:xm="http://schemas.microsoft.com/office/excel/2006/main">
          <x14:cfRule type="expression" priority="4700996" id="{DE4D4432-0A19-452A-AF14-2873FE4DF411}">
            <xm:f>$AR$4='Data entry'!$R62</xm:f>
            <x14:dxf>
              <fill>
                <patternFill>
                  <bgColor rgb="FFFF0000"/>
                </patternFill>
              </fill>
            </x14:dxf>
          </x14:cfRule>
          <xm:sqref>AP174:BB174</xm:sqref>
        </x14:conditionalFormatting>
        <x14:conditionalFormatting xmlns:xm="http://schemas.microsoft.com/office/excel/2006/main">
          <x14:cfRule type="expression" priority="4700997" id="{90D7E1FF-542D-40C8-9BD5-DFEB4CDD256F}">
            <xm:f>$AR$4='Data entry'!$R62</xm:f>
            <x14:dxf>
              <fill>
                <patternFill>
                  <bgColor rgb="FFFFFF00"/>
                </patternFill>
              </fill>
            </x14:dxf>
          </x14:cfRule>
          <xm:sqref>AD173:AR173</xm:sqref>
        </x14:conditionalFormatting>
        <x14:conditionalFormatting xmlns:xm="http://schemas.microsoft.com/office/excel/2006/main">
          <x14:cfRule type="expression" priority="4700998" id="{0EBB5305-4A4A-4205-A1FF-11160070CBC3}">
            <xm:f>$AS$4='Data entry'!$R62</xm:f>
            <x14:dxf>
              <fill>
                <patternFill>
                  <bgColor rgb="FFFF0000"/>
                </patternFill>
              </fill>
            </x14:dxf>
          </x14:cfRule>
          <xm:sqref>AQ174:BC174</xm:sqref>
        </x14:conditionalFormatting>
        <x14:conditionalFormatting xmlns:xm="http://schemas.microsoft.com/office/excel/2006/main">
          <x14:cfRule type="expression" priority="4700999" id="{AC8EB30C-4253-4CE1-820E-1801F6D8D35B}">
            <xm:f>$AS$4='Data entry'!$R62</xm:f>
            <x14:dxf>
              <fill>
                <patternFill>
                  <bgColor rgb="FFFFFF00"/>
                </patternFill>
              </fill>
            </x14:dxf>
          </x14:cfRule>
          <xm:sqref>AE173:AS173</xm:sqref>
        </x14:conditionalFormatting>
        <x14:conditionalFormatting xmlns:xm="http://schemas.microsoft.com/office/excel/2006/main">
          <x14:cfRule type="expression" priority="4701000" id="{E11744C1-7201-4272-A1B0-945490B42425}">
            <xm:f>$AT$4='Data entry'!$R62</xm:f>
            <x14:dxf>
              <fill>
                <patternFill>
                  <bgColor rgb="FFFF0000"/>
                </patternFill>
              </fill>
            </x14:dxf>
          </x14:cfRule>
          <xm:sqref>AR174:BD174</xm:sqref>
        </x14:conditionalFormatting>
        <x14:conditionalFormatting xmlns:xm="http://schemas.microsoft.com/office/excel/2006/main">
          <x14:cfRule type="expression" priority="4701001" id="{5EE2823B-E955-4EA7-B99C-0B1F77B57A69}">
            <xm:f>$AT$4='Data entry'!$R62</xm:f>
            <x14:dxf>
              <fill>
                <patternFill>
                  <bgColor rgb="FFFFFF00"/>
                </patternFill>
              </fill>
            </x14:dxf>
          </x14:cfRule>
          <xm:sqref>AF173:AT173</xm:sqref>
        </x14:conditionalFormatting>
        <x14:conditionalFormatting xmlns:xm="http://schemas.microsoft.com/office/excel/2006/main">
          <x14:cfRule type="expression" priority="4701002" id="{5737DC63-3262-4B34-900C-2AAEB255FCBA}">
            <xm:f>$AU$4='Data entry'!$R62</xm:f>
            <x14:dxf>
              <fill>
                <patternFill>
                  <bgColor rgb="FFFF0000"/>
                </patternFill>
              </fill>
            </x14:dxf>
          </x14:cfRule>
          <xm:sqref>AS174:BE174</xm:sqref>
        </x14:conditionalFormatting>
        <x14:conditionalFormatting xmlns:xm="http://schemas.microsoft.com/office/excel/2006/main">
          <x14:cfRule type="expression" priority="4701003" id="{2B5C1F1B-3C3D-4CA3-BC64-0E98422075B6}">
            <xm:f>$AU$4='Data entry'!$R62</xm:f>
            <x14:dxf>
              <fill>
                <patternFill>
                  <bgColor rgb="FFFFFF00"/>
                </patternFill>
              </fill>
            </x14:dxf>
          </x14:cfRule>
          <xm:sqref>AG173:AU173</xm:sqref>
        </x14:conditionalFormatting>
        <x14:conditionalFormatting xmlns:xm="http://schemas.microsoft.com/office/excel/2006/main">
          <x14:cfRule type="expression" priority="4701004" id="{B87A1285-B003-4855-8F4B-53C391BA10E6}">
            <xm:f>$AV$4='Data entry'!$R62</xm:f>
            <x14:dxf>
              <fill>
                <patternFill>
                  <bgColor rgb="FFFF0000"/>
                </patternFill>
              </fill>
            </x14:dxf>
          </x14:cfRule>
          <xm:sqref>AT174:BF174</xm:sqref>
        </x14:conditionalFormatting>
        <x14:conditionalFormatting xmlns:xm="http://schemas.microsoft.com/office/excel/2006/main">
          <x14:cfRule type="expression" priority="4701005" id="{338EE31C-78DB-4818-B837-0380F9E457FA}">
            <xm:f>$AV$4='Data entry'!$R62</xm:f>
            <x14:dxf>
              <fill>
                <patternFill>
                  <bgColor rgb="FFFFFF00"/>
                </patternFill>
              </fill>
            </x14:dxf>
          </x14:cfRule>
          <xm:sqref>AH173:AV173</xm:sqref>
        </x14:conditionalFormatting>
        <x14:conditionalFormatting xmlns:xm="http://schemas.microsoft.com/office/excel/2006/main">
          <x14:cfRule type="expression" priority="4701006" id="{5C40EA66-2801-4C91-B885-BF6A1ECFC35C}">
            <xm:f>$AW$4='Data entry'!$R62</xm:f>
            <x14:dxf>
              <fill>
                <patternFill>
                  <bgColor rgb="FFFF0000"/>
                </patternFill>
              </fill>
            </x14:dxf>
          </x14:cfRule>
          <xm:sqref>AU174:BG174</xm:sqref>
        </x14:conditionalFormatting>
        <x14:conditionalFormatting xmlns:xm="http://schemas.microsoft.com/office/excel/2006/main">
          <x14:cfRule type="expression" priority="4701007" id="{51BCD5CE-DF86-4C2F-8A81-DDA1EFD6C8F7}">
            <xm:f>$AW$4='Data entry'!$R62</xm:f>
            <x14:dxf>
              <fill>
                <patternFill>
                  <bgColor rgb="FFFFFF00"/>
                </patternFill>
              </fill>
            </x14:dxf>
          </x14:cfRule>
          <xm:sqref>AI173:AW173</xm:sqref>
        </x14:conditionalFormatting>
        <x14:conditionalFormatting xmlns:xm="http://schemas.microsoft.com/office/excel/2006/main">
          <x14:cfRule type="expression" priority="4701008" id="{DC2ED5A0-8917-4877-8CD3-9DF9BE5993C9}">
            <xm:f>$AX$4='Data entry'!$R62</xm:f>
            <x14:dxf>
              <fill>
                <patternFill>
                  <bgColor rgb="FFFF0000"/>
                </patternFill>
              </fill>
            </x14:dxf>
          </x14:cfRule>
          <xm:sqref>AV174:BH174</xm:sqref>
        </x14:conditionalFormatting>
        <x14:conditionalFormatting xmlns:xm="http://schemas.microsoft.com/office/excel/2006/main">
          <x14:cfRule type="expression" priority="4701009" id="{59B31869-20F9-45BD-BC80-0A6C8945CE2C}">
            <xm:f>$AX$4='Data entry'!$R62</xm:f>
            <x14:dxf>
              <fill>
                <patternFill>
                  <bgColor rgb="FFFFFF00"/>
                </patternFill>
              </fill>
            </x14:dxf>
          </x14:cfRule>
          <xm:sqref>AJ173:AX173</xm:sqref>
        </x14:conditionalFormatting>
        <x14:conditionalFormatting xmlns:xm="http://schemas.microsoft.com/office/excel/2006/main">
          <x14:cfRule type="expression" priority="4701010" id="{D4208FA0-4262-4037-934C-6D0742B2AD8E}">
            <xm:f>$AY$4='Data entry'!$R62</xm:f>
            <x14:dxf>
              <fill>
                <patternFill>
                  <bgColor rgb="FFFF0000"/>
                </patternFill>
              </fill>
            </x14:dxf>
          </x14:cfRule>
          <xm:sqref>AW174:BI174</xm:sqref>
        </x14:conditionalFormatting>
        <x14:conditionalFormatting xmlns:xm="http://schemas.microsoft.com/office/excel/2006/main">
          <x14:cfRule type="expression" priority="4701011" id="{04D6E423-18C7-42B2-A67D-F49D8E62B571}">
            <xm:f>$AY$4='Data entry'!$R62</xm:f>
            <x14:dxf>
              <fill>
                <patternFill>
                  <bgColor rgb="FFFFFF00"/>
                </patternFill>
              </fill>
            </x14:dxf>
          </x14:cfRule>
          <xm:sqref>AK173:AY173</xm:sqref>
        </x14:conditionalFormatting>
        <x14:conditionalFormatting xmlns:xm="http://schemas.microsoft.com/office/excel/2006/main">
          <x14:cfRule type="expression" priority="4701012" id="{A931C203-6E4B-4EBD-A2F4-1876881F48D4}">
            <xm:f>$AZ$4='Data entry'!$R62</xm:f>
            <x14:dxf>
              <fill>
                <patternFill>
                  <bgColor rgb="FFFF0000"/>
                </patternFill>
              </fill>
            </x14:dxf>
          </x14:cfRule>
          <xm:sqref>AX174:BJ174</xm:sqref>
        </x14:conditionalFormatting>
        <x14:conditionalFormatting xmlns:xm="http://schemas.microsoft.com/office/excel/2006/main">
          <x14:cfRule type="expression" priority="4701013" id="{092D9100-E652-40FE-8CAA-720DC0681250}">
            <xm:f>$AZ$4='Data entry'!$R62</xm:f>
            <x14:dxf>
              <fill>
                <patternFill>
                  <bgColor rgb="FFFFFF00"/>
                </patternFill>
              </fill>
            </x14:dxf>
          </x14:cfRule>
          <xm:sqref>AL173:AZ173</xm:sqref>
        </x14:conditionalFormatting>
        <x14:conditionalFormatting xmlns:xm="http://schemas.microsoft.com/office/excel/2006/main">
          <x14:cfRule type="expression" priority="4701014" id="{A3C7E6BE-A225-483C-A983-A915DB662C52}">
            <xm:f>$BA$4='Data entry'!$R62</xm:f>
            <x14:dxf>
              <fill>
                <patternFill>
                  <bgColor rgb="FFFF0000"/>
                </patternFill>
              </fill>
            </x14:dxf>
          </x14:cfRule>
          <xm:sqref>AY174:BK174</xm:sqref>
        </x14:conditionalFormatting>
        <x14:conditionalFormatting xmlns:xm="http://schemas.microsoft.com/office/excel/2006/main">
          <x14:cfRule type="expression" priority="4701015" id="{F5CF569A-8AFA-4CFF-8BD3-F04D8927A99F}">
            <xm:f>$BA$4='Data entry'!$R62</xm:f>
            <x14:dxf>
              <fill>
                <patternFill>
                  <bgColor rgb="FFFFFF00"/>
                </patternFill>
              </fill>
            </x14:dxf>
          </x14:cfRule>
          <xm:sqref>AM173:BA173</xm:sqref>
        </x14:conditionalFormatting>
        <x14:conditionalFormatting xmlns:xm="http://schemas.microsoft.com/office/excel/2006/main">
          <x14:cfRule type="expression" priority="4701016" id="{E4DAC94A-7983-4BFB-A87B-45B58561841A}">
            <xm:f>$BB$4='Data entry'!$R62</xm:f>
            <x14:dxf>
              <fill>
                <patternFill>
                  <bgColor rgb="FFFF0000"/>
                </patternFill>
              </fill>
            </x14:dxf>
          </x14:cfRule>
          <xm:sqref>AZ174:BL174</xm:sqref>
        </x14:conditionalFormatting>
        <x14:conditionalFormatting xmlns:xm="http://schemas.microsoft.com/office/excel/2006/main">
          <x14:cfRule type="expression" priority="4701017" id="{E63849C5-F39B-4B0E-8F8A-B532EDF2CBAE}">
            <xm:f>$BB$4='Data entry'!$R62</xm:f>
            <x14:dxf>
              <fill>
                <patternFill>
                  <bgColor rgb="FFFFFF00"/>
                </patternFill>
              </fill>
            </x14:dxf>
          </x14:cfRule>
          <xm:sqref>AN173:BB173</xm:sqref>
        </x14:conditionalFormatting>
        <x14:conditionalFormatting xmlns:xm="http://schemas.microsoft.com/office/excel/2006/main">
          <x14:cfRule type="expression" priority="4701018" id="{4FDC32D3-C1F5-455D-9AA4-A03359B72526}">
            <xm:f>$BC$4='Data entry'!$R62</xm:f>
            <x14:dxf>
              <fill>
                <patternFill>
                  <bgColor rgb="FFFF0000"/>
                </patternFill>
              </fill>
            </x14:dxf>
          </x14:cfRule>
          <xm:sqref>BA174:BM174</xm:sqref>
        </x14:conditionalFormatting>
        <x14:conditionalFormatting xmlns:xm="http://schemas.microsoft.com/office/excel/2006/main">
          <x14:cfRule type="expression" priority="4701019" id="{5F0D0C60-B233-4C56-B05D-98C99990877F}">
            <xm:f>$BC$4='Data entry'!$R62</xm:f>
            <x14:dxf>
              <fill>
                <patternFill>
                  <bgColor rgb="FFFFFF00"/>
                </patternFill>
              </fill>
            </x14:dxf>
          </x14:cfRule>
          <xm:sqref>AO173:BC173</xm:sqref>
        </x14:conditionalFormatting>
        <x14:conditionalFormatting xmlns:xm="http://schemas.microsoft.com/office/excel/2006/main">
          <x14:cfRule type="expression" priority="4701020" id="{9EBCB60F-8135-43B6-A0F3-548D4092CC98}">
            <xm:f>$BD$4='Data entry'!$R62</xm:f>
            <x14:dxf>
              <fill>
                <patternFill>
                  <bgColor rgb="FFFF0000"/>
                </patternFill>
              </fill>
            </x14:dxf>
          </x14:cfRule>
          <xm:sqref>BB174:BN174</xm:sqref>
        </x14:conditionalFormatting>
        <x14:conditionalFormatting xmlns:xm="http://schemas.microsoft.com/office/excel/2006/main">
          <x14:cfRule type="expression" priority="4701021" id="{961AF346-4A73-41ED-9A8D-27D431B09C05}">
            <xm:f>$BD$4='Data entry'!$R62</xm:f>
            <x14:dxf>
              <fill>
                <patternFill>
                  <bgColor rgb="FFFFFF00"/>
                </patternFill>
              </fill>
            </x14:dxf>
          </x14:cfRule>
          <xm:sqref>AP173:BD173</xm:sqref>
        </x14:conditionalFormatting>
        <x14:conditionalFormatting xmlns:xm="http://schemas.microsoft.com/office/excel/2006/main">
          <x14:cfRule type="expression" priority="4701022" id="{5A887026-27CD-4F8C-8BA6-1E92704C1CA6}">
            <xm:f>$BE$4='Data entry'!$R62</xm:f>
            <x14:dxf>
              <fill>
                <patternFill>
                  <bgColor rgb="FFFF0000"/>
                </patternFill>
              </fill>
            </x14:dxf>
          </x14:cfRule>
          <xm:sqref>BC174:BO174</xm:sqref>
        </x14:conditionalFormatting>
        <x14:conditionalFormatting xmlns:xm="http://schemas.microsoft.com/office/excel/2006/main">
          <x14:cfRule type="expression" priority="4701023" id="{7F46217B-A1E9-4515-B31E-E756FCD7C6D9}">
            <xm:f>$BE$4='Data entry'!$R62</xm:f>
            <x14:dxf>
              <fill>
                <patternFill>
                  <bgColor rgb="FFFFFF00"/>
                </patternFill>
              </fill>
            </x14:dxf>
          </x14:cfRule>
          <xm:sqref>AP173:BE173</xm:sqref>
        </x14:conditionalFormatting>
        <x14:conditionalFormatting xmlns:xm="http://schemas.microsoft.com/office/excel/2006/main">
          <x14:cfRule type="expression" priority="4701024" id="{F4D9285C-8CA0-4EF1-943E-6A462D47CC77}">
            <xm:f>$BF$4='Data entry'!$R62</xm:f>
            <x14:dxf>
              <fill>
                <patternFill>
                  <bgColor rgb="FFFF0000"/>
                </patternFill>
              </fill>
            </x14:dxf>
          </x14:cfRule>
          <xm:sqref>BD174:BP174</xm:sqref>
        </x14:conditionalFormatting>
        <x14:conditionalFormatting xmlns:xm="http://schemas.microsoft.com/office/excel/2006/main">
          <x14:cfRule type="expression" priority="4701025" id="{B9E4407D-651D-4DC0-9D61-3271D62A65E9}">
            <xm:f>$BF$4='Data entry'!$R62</xm:f>
            <x14:dxf>
              <fill>
                <patternFill>
                  <bgColor rgb="FFFFFF00"/>
                </patternFill>
              </fill>
            </x14:dxf>
          </x14:cfRule>
          <xm:sqref>AR173:BF173</xm:sqref>
        </x14:conditionalFormatting>
        <x14:conditionalFormatting xmlns:xm="http://schemas.microsoft.com/office/excel/2006/main">
          <x14:cfRule type="expression" priority="4701026" id="{4CDC062F-DDFF-4556-B941-08F919727F69}">
            <xm:f>$BG$4='Data entry'!$R62</xm:f>
            <x14:dxf>
              <fill>
                <patternFill>
                  <bgColor rgb="FFFF0000"/>
                </patternFill>
              </fill>
            </x14:dxf>
          </x14:cfRule>
          <xm:sqref>BE174:BQ174</xm:sqref>
        </x14:conditionalFormatting>
        <x14:conditionalFormatting xmlns:xm="http://schemas.microsoft.com/office/excel/2006/main">
          <x14:cfRule type="expression" priority="4701027" id="{789184FA-9055-433B-8A1B-92C7ED59E81F}">
            <xm:f>$BG$4='Data entry'!$R62</xm:f>
            <x14:dxf>
              <fill>
                <patternFill>
                  <bgColor rgb="FFFFFF00"/>
                </patternFill>
              </fill>
            </x14:dxf>
          </x14:cfRule>
          <xm:sqref>AS173:BG173</xm:sqref>
        </x14:conditionalFormatting>
        <x14:conditionalFormatting xmlns:xm="http://schemas.microsoft.com/office/excel/2006/main">
          <x14:cfRule type="expression" priority="4701028" id="{58651E5C-09C9-46C1-B95C-E8A578A49E15}">
            <xm:f>$BH$4='Data entry'!$R62</xm:f>
            <x14:dxf>
              <fill>
                <patternFill>
                  <bgColor rgb="FFFFFF00"/>
                </patternFill>
              </fill>
            </x14:dxf>
          </x14:cfRule>
          <xm:sqref>AT173:BH173</xm:sqref>
        </x14:conditionalFormatting>
        <x14:conditionalFormatting xmlns:xm="http://schemas.microsoft.com/office/excel/2006/main">
          <x14:cfRule type="expression" priority="4701029" id="{97B30B86-8311-4DC0-A533-8C0D53F37839}">
            <xm:f>$BH$4='Data entry'!$R62</xm:f>
            <x14:dxf>
              <fill>
                <patternFill>
                  <bgColor rgb="FFFF0000"/>
                </patternFill>
              </fill>
            </x14:dxf>
          </x14:cfRule>
          <xm:sqref>BF174:BR174</xm:sqref>
        </x14:conditionalFormatting>
        <x14:conditionalFormatting xmlns:xm="http://schemas.microsoft.com/office/excel/2006/main">
          <x14:cfRule type="expression" priority="4701030" id="{78344C0C-5AEA-40B1-A20C-6D77DF58E1F5}">
            <xm:f>$BI$4='Data entry'!$R62</xm:f>
            <x14:dxf>
              <fill>
                <patternFill>
                  <bgColor rgb="FFFFFF00"/>
                </patternFill>
              </fill>
            </x14:dxf>
          </x14:cfRule>
          <xm:sqref>AU173:BI173</xm:sqref>
        </x14:conditionalFormatting>
        <x14:conditionalFormatting xmlns:xm="http://schemas.microsoft.com/office/excel/2006/main">
          <x14:cfRule type="expression" priority="4701031" id="{A9CE044F-482E-4F25-B28F-89ACC58502B1}">
            <xm:f>$BI$4='Data entry'!$R62</xm:f>
            <x14:dxf>
              <fill>
                <patternFill>
                  <bgColor rgb="FFFF0000"/>
                </patternFill>
              </fill>
            </x14:dxf>
          </x14:cfRule>
          <xm:sqref>BG174:BS174</xm:sqref>
        </x14:conditionalFormatting>
        <x14:conditionalFormatting xmlns:xm="http://schemas.microsoft.com/office/excel/2006/main">
          <x14:cfRule type="expression" priority="4701032" id="{F63BE0EB-3C71-4456-BEF0-11180AB7A8BB}">
            <xm:f>$BJ$4='Data entry'!$R62</xm:f>
            <x14:dxf>
              <fill>
                <patternFill>
                  <bgColor rgb="FFFFFF00"/>
                </patternFill>
              </fill>
            </x14:dxf>
          </x14:cfRule>
          <xm:sqref>AV173:BJ173</xm:sqref>
        </x14:conditionalFormatting>
        <x14:conditionalFormatting xmlns:xm="http://schemas.microsoft.com/office/excel/2006/main">
          <x14:cfRule type="expression" priority="4701033" id="{478A5DCB-1DAA-4497-A6CC-B4F01FB96D10}">
            <xm:f>$BJ$4='Data entry'!$R62</xm:f>
            <x14:dxf>
              <fill>
                <patternFill>
                  <bgColor rgb="FFFF0000"/>
                </patternFill>
              </fill>
            </x14:dxf>
          </x14:cfRule>
          <xm:sqref>BH174:BT174</xm:sqref>
        </x14:conditionalFormatting>
        <x14:conditionalFormatting xmlns:xm="http://schemas.microsoft.com/office/excel/2006/main">
          <x14:cfRule type="expression" priority="4701034" id="{CDE4AD5B-65A6-4FA4-9EC0-8D05F22312A9}">
            <xm:f>$BK$4='Data entry'!$R62</xm:f>
            <x14:dxf>
              <fill>
                <patternFill>
                  <bgColor rgb="FFFF0000"/>
                </patternFill>
              </fill>
            </x14:dxf>
          </x14:cfRule>
          <xm:sqref>BI174:BU174</xm:sqref>
        </x14:conditionalFormatting>
        <x14:conditionalFormatting xmlns:xm="http://schemas.microsoft.com/office/excel/2006/main">
          <x14:cfRule type="expression" priority="4701035" id="{AB32E790-6CD8-4D11-9A69-57D785FE4BBC}">
            <xm:f>$BK$4='Data entry'!$R62</xm:f>
            <x14:dxf>
              <fill>
                <patternFill>
                  <bgColor rgb="FFFFFF00"/>
                </patternFill>
              </fill>
            </x14:dxf>
          </x14:cfRule>
          <xm:sqref>AW173:BK173</xm:sqref>
        </x14:conditionalFormatting>
        <x14:conditionalFormatting xmlns:xm="http://schemas.microsoft.com/office/excel/2006/main">
          <x14:cfRule type="expression" priority="4701036" id="{99810EB9-805C-43D8-852A-EEECE7874CDB}">
            <xm:f>$BL$4='Data entry'!$R62</xm:f>
            <x14:dxf>
              <fill>
                <patternFill>
                  <bgColor rgb="FFFF0000"/>
                </patternFill>
              </fill>
            </x14:dxf>
          </x14:cfRule>
          <xm:sqref>BJ174:BV174</xm:sqref>
        </x14:conditionalFormatting>
        <x14:conditionalFormatting xmlns:xm="http://schemas.microsoft.com/office/excel/2006/main">
          <x14:cfRule type="expression" priority="4701037" id="{BF5F5475-4E46-479C-97A6-D5175F5D1803}">
            <xm:f>$BL$4='Data entry'!$R62</xm:f>
            <x14:dxf>
              <fill>
                <patternFill>
                  <bgColor rgb="FFFFFF00"/>
                </patternFill>
              </fill>
            </x14:dxf>
          </x14:cfRule>
          <xm:sqref>AX173:BL173</xm:sqref>
        </x14:conditionalFormatting>
        <x14:conditionalFormatting xmlns:xm="http://schemas.microsoft.com/office/excel/2006/main">
          <x14:cfRule type="expression" priority="4701038" id="{B86FDF2F-16C9-46B1-847E-7EA1A8A34B9D}">
            <xm:f>$BM$4='Data entry'!$R62</xm:f>
            <x14:dxf>
              <fill>
                <patternFill>
                  <bgColor rgb="FFFF0000"/>
                </patternFill>
              </fill>
            </x14:dxf>
          </x14:cfRule>
          <xm:sqref>BK174:BW174</xm:sqref>
        </x14:conditionalFormatting>
        <x14:conditionalFormatting xmlns:xm="http://schemas.microsoft.com/office/excel/2006/main">
          <x14:cfRule type="expression" priority="4701039" id="{72FD189F-4CED-400D-9FEF-21A328970A4D}">
            <xm:f>$BM$4='Data entry'!$R62</xm:f>
            <x14:dxf>
              <fill>
                <patternFill>
                  <bgColor rgb="FFFFFF00"/>
                </patternFill>
              </fill>
            </x14:dxf>
          </x14:cfRule>
          <xm:sqref>AY173:BM173</xm:sqref>
        </x14:conditionalFormatting>
        <x14:conditionalFormatting xmlns:xm="http://schemas.microsoft.com/office/excel/2006/main">
          <x14:cfRule type="expression" priority="4701040" id="{BBBBF859-D5A7-4F55-BFBF-8A77E3357590}">
            <xm:f>$BN$4='Data entry'!$R62</xm:f>
            <x14:dxf>
              <fill>
                <patternFill>
                  <bgColor rgb="FFFF0000"/>
                </patternFill>
              </fill>
            </x14:dxf>
          </x14:cfRule>
          <xm:sqref>BL174:BX174</xm:sqref>
        </x14:conditionalFormatting>
        <x14:conditionalFormatting xmlns:xm="http://schemas.microsoft.com/office/excel/2006/main">
          <x14:cfRule type="expression" priority="4701041" id="{50CB1D75-0FD5-4D24-92B1-E8A41DC6575C}">
            <xm:f>$BN$4='Data entry'!$R62</xm:f>
            <x14:dxf>
              <fill>
                <patternFill>
                  <bgColor rgb="FFFFFF00"/>
                </patternFill>
              </fill>
            </x14:dxf>
          </x14:cfRule>
          <xm:sqref>AZ173:BN173</xm:sqref>
        </x14:conditionalFormatting>
        <x14:conditionalFormatting xmlns:xm="http://schemas.microsoft.com/office/excel/2006/main">
          <x14:cfRule type="expression" priority="4701042" id="{9EF3226D-E8FC-496B-A6FF-71776AEA54D1}">
            <xm:f>$BO$4='Data entry'!$R62</xm:f>
            <x14:dxf>
              <fill>
                <patternFill>
                  <bgColor rgb="FFFF0000"/>
                </patternFill>
              </fill>
            </x14:dxf>
          </x14:cfRule>
          <xm:sqref>BM174:BY174</xm:sqref>
        </x14:conditionalFormatting>
        <x14:conditionalFormatting xmlns:xm="http://schemas.microsoft.com/office/excel/2006/main">
          <x14:cfRule type="expression" priority="4701043" id="{3B86C801-ECFE-4D05-8AA5-1581116BAFBC}">
            <xm:f>$BO$4='Data entry'!$R62</xm:f>
            <x14:dxf>
              <fill>
                <patternFill>
                  <bgColor rgb="FFFFFF00"/>
                </patternFill>
              </fill>
            </x14:dxf>
          </x14:cfRule>
          <xm:sqref>BA173:BO173</xm:sqref>
        </x14:conditionalFormatting>
        <x14:conditionalFormatting xmlns:xm="http://schemas.microsoft.com/office/excel/2006/main">
          <x14:cfRule type="expression" priority="4701044" id="{058A23EC-3371-4A02-9F20-1ECA603AC6BC}">
            <xm:f>$BP$4='Data entry'!$R62</xm:f>
            <x14:dxf>
              <fill>
                <patternFill>
                  <bgColor rgb="FFFF0000"/>
                </patternFill>
              </fill>
            </x14:dxf>
          </x14:cfRule>
          <xm:sqref>BN174:BZ174</xm:sqref>
        </x14:conditionalFormatting>
        <x14:conditionalFormatting xmlns:xm="http://schemas.microsoft.com/office/excel/2006/main">
          <x14:cfRule type="expression" priority="4701045" id="{3E711E31-3992-4555-AB22-87133D60CD15}">
            <xm:f>$BP$4='Data entry'!$R62</xm:f>
            <x14:dxf>
              <fill>
                <patternFill>
                  <bgColor rgb="FFFFFF00"/>
                </patternFill>
              </fill>
            </x14:dxf>
          </x14:cfRule>
          <xm:sqref>BB173:BP173</xm:sqref>
        </x14:conditionalFormatting>
        <x14:conditionalFormatting xmlns:xm="http://schemas.microsoft.com/office/excel/2006/main">
          <x14:cfRule type="expression" priority="4701046" id="{23E9F8B9-37D5-4730-9453-6F23E8ECBBE3}">
            <xm:f>$BQ$4='Data entry'!$R62</xm:f>
            <x14:dxf>
              <fill>
                <patternFill>
                  <bgColor rgb="FFFFFF00"/>
                </patternFill>
              </fill>
            </x14:dxf>
          </x14:cfRule>
          <xm:sqref>BC173:BQ173</xm:sqref>
        </x14:conditionalFormatting>
        <x14:conditionalFormatting xmlns:xm="http://schemas.microsoft.com/office/excel/2006/main">
          <x14:cfRule type="expression" priority="4701047" id="{BCFD92F6-AAD3-44FD-BC61-A292A81B883E}">
            <xm:f>$BQ$4='Data entry'!$R62</xm:f>
            <x14:dxf>
              <fill>
                <patternFill>
                  <bgColor rgb="FFFF0000"/>
                </patternFill>
              </fill>
            </x14:dxf>
          </x14:cfRule>
          <xm:sqref>BO174:CA174</xm:sqref>
        </x14:conditionalFormatting>
        <x14:conditionalFormatting xmlns:xm="http://schemas.microsoft.com/office/excel/2006/main">
          <x14:cfRule type="expression" priority="4701048" id="{357D60E5-F356-477E-8020-A18F42C02832}">
            <xm:f>$BR$4='Data entry'!$R62</xm:f>
            <x14:dxf>
              <fill>
                <patternFill>
                  <bgColor rgb="FFFFFF00"/>
                </patternFill>
              </fill>
            </x14:dxf>
          </x14:cfRule>
          <xm:sqref>BD173:BR173</xm:sqref>
        </x14:conditionalFormatting>
        <x14:conditionalFormatting xmlns:xm="http://schemas.microsoft.com/office/excel/2006/main">
          <x14:cfRule type="expression" priority="4701049" id="{DA2B6511-43B3-432D-B6AA-1DB1188B90A6}">
            <xm:f>$BR$4='Data entry'!$R62</xm:f>
            <x14:dxf>
              <fill>
                <patternFill>
                  <bgColor rgb="FFFF0000"/>
                </patternFill>
              </fill>
            </x14:dxf>
          </x14:cfRule>
          <xm:sqref>BP174:CB174</xm:sqref>
        </x14:conditionalFormatting>
        <x14:conditionalFormatting xmlns:xm="http://schemas.microsoft.com/office/excel/2006/main">
          <x14:cfRule type="expression" priority="4701050" id="{0D5F64E4-4136-4BFA-B833-CC8578525D9C}">
            <xm:f>$BS$4='Data entry'!$R62</xm:f>
            <x14:dxf>
              <fill>
                <patternFill>
                  <bgColor rgb="FFFFFF00"/>
                </patternFill>
              </fill>
            </x14:dxf>
          </x14:cfRule>
          <xm:sqref>BE173:BS173</xm:sqref>
        </x14:conditionalFormatting>
        <x14:conditionalFormatting xmlns:xm="http://schemas.microsoft.com/office/excel/2006/main">
          <x14:cfRule type="expression" priority="4701051" id="{AC94D468-F078-4AE2-8771-102996E07B09}">
            <xm:f>$BS$4='Data entry'!$R62</xm:f>
            <x14:dxf>
              <fill>
                <patternFill>
                  <bgColor rgb="FFFF0000"/>
                </patternFill>
              </fill>
            </x14:dxf>
          </x14:cfRule>
          <xm:sqref>BQ174:CC174</xm:sqref>
        </x14:conditionalFormatting>
        <x14:conditionalFormatting xmlns:xm="http://schemas.microsoft.com/office/excel/2006/main">
          <x14:cfRule type="expression" priority="4701052" id="{10E78F76-181E-4F19-9F89-7DD36D3EFE30}">
            <xm:f>$BT$4='Data entry'!$R62</xm:f>
            <x14:dxf>
              <fill>
                <patternFill>
                  <bgColor rgb="FFFFFF00"/>
                </patternFill>
              </fill>
            </x14:dxf>
          </x14:cfRule>
          <xm:sqref>BF173:BT173</xm:sqref>
        </x14:conditionalFormatting>
        <x14:conditionalFormatting xmlns:xm="http://schemas.microsoft.com/office/excel/2006/main">
          <x14:cfRule type="expression" priority="4701053" id="{6A5FADC6-9512-4EFB-90A5-7B5244D10D1F}">
            <xm:f>$BT$4='Data entry'!$R62</xm:f>
            <x14:dxf>
              <fill>
                <patternFill>
                  <bgColor rgb="FFFF0000"/>
                </patternFill>
              </fill>
            </x14:dxf>
          </x14:cfRule>
          <xm:sqref>BR174:CC174</xm:sqref>
        </x14:conditionalFormatting>
        <x14:conditionalFormatting xmlns:xm="http://schemas.microsoft.com/office/excel/2006/main">
          <x14:cfRule type="expression" priority="4701054" id="{A51139D1-8841-4B96-B8CB-DFE3808765CF}">
            <xm:f>$BU$4='Data entry'!$R62</xm:f>
            <x14:dxf>
              <fill>
                <patternFill>
                  <bgColor rgb="FFFFFF00"/>
                </patternFill>
              </fill>
            </x14:dxf>
          </x14:cfRule>
          <xm:sqref>BG173:BU173</xm:sqref>
        </x14:conditionalFormatting>
        <x14:conditionalFormatting xmlns:xm="http://schemas.microsoft.com/office/excel/2006/main">
          <x14:cfRule type="expression" priority="4701055" id="{55CA7258-760F-4BFF-ACB5-A70FEB3E7981}">
            <xm:f>$BU$4='Data entry'!$R62</xm:f>
            <x14:dxf>
              <fill>
                <patternFill>
                  <bgColor rgb="FFFF0000"/>
                </patternFill>
              </fill>
            </x14:dxf>
          </x14:cfRule>
          <xm:sqref>BS174:CC174</xm:sqref>
        </x14:conditionalFormatting>
        <x14:conditionalFormatting xmlns:xm="http://schemas.microsoft.com/office/excel/2006/main">
          <x14:cfRule type="expression" priority="4701056" id="{A922B218-64DB-4CBB-9AB8-FE0EBB44E09E}">
            <xm:f>$BV$4='Data entry'!$R62</xm:f>
            <x14:dxf>
              <fill>
                <patternFill>
                  <bgColor rgb="FFFFFF00"/>
                </patternFill>
              </fill>
            </x14:dxf>
          </x14:cfRule>
          <xm:sqref>BH173:BV173</xm:sqref>
        </x14:conditionalFormatting>
        <x14:conditionalFormatting xmlns:xm="http://schemas.microsoft.com/office/excel/2006/main">
          <x14:cfRule type="expression" priority="4701057" id="{C98E908A-CD31-4778-B41C-7AFB9DBE639A}">
            <xm:f>$BV$4='Data entry'!$R62</xm:f>
            <x14:dxf>
              <fill>
                <patternFill>
                  <bgColor rgb="FFFF0000"/>
                </patternFill>
              </fill>
            </x14:dxf>
          </x14:cfRule>
          <xm:sqref>BT174:CC174</xm:sqref>
        </x14:conditionalFormatting>
        <x14:conditionalFormatting xmlns:xm="http://schemas.microsoft.com/office/excel/2006/main">
          <x14:cfRule type="expression" priority="4701058" id="{465CCCA3-B4DB-4B61-8AC7-8A5E4CEC9E3F}">
            <xm:f>$BW$4='Data entry'!$R62</xm:f>
            <x14:dxf>
              <fill>
                <patternFill>
                  <bgColor rgb="FFFFFF00"/>
                </patternFill>
              </fill>
            </x14:dxf>
          </x14:cfRule>
          <xm:sqref>BI173:BW173</xm:sqref>
        </x14:conditionalFormatting>
        <x14:conditionalFormatting xmlns:xm="http://schemas.microsoft.com/office/excel/2006/main">
          <x14:cfRule type="expression" priority="4701059" id="{37566F97-6D06-400B-A709-FE657B07687F}">
            <xm:f>$BW$4='Data entry'!$R62</xm:f>
            <x14:dxf>
              <fill>
                <patternFill>
                  <bgColor rgb="FFFF0000"/>
                </patternFill>
              </fill>
            </x14:dxf>
          </x14:cfRule>
          <xm:sqref>BU174:CC174</xm:sqref>
        </x14:conditionalFormatting>
        <x14:conditionalFormatting xmlns:xm="http://schemas.microsoft.com/office/excel/2006/main">
          <x14:cfRule type="expression" priority="4701060" id="{D8FBA3AC-5CF0-4E45-97CA-1D4DEE729ADA}">
            <xm:f>$BX$4='Data entry'!$R62</xm:f>
            <x14:dxf>
              <fill>
                <patternFill>
                  <bgColor rgb="FFFFFF00"/>
                </patternFill>
              </fill>
            </x14:dxf>
          </x14:cfRule>
          <xm:sqref>BJ173:BX173</xm:sqref>
        </x14:conditionalFormatting>
        <x14:conditionalFormatting xmlns:xm="http://schemas.microsoft.com/office/excel/2006/main">
          <x14:cfRule type="expression" priority="4701061" id="{E077C84B-A94F-431D-B232-4AFCC7C64F54}">
            <xm:f>$BX$4='Data entry'!$R62</xm:f>
            <x14:dxf>
              <fill>
                <patternFill>
                  <bgColor rgb="FFFF0000"/>
                </patternFill>
              </fill>
            </x14:dxf>
          </x14:cfRule>
          <xm:sqref>BV174:CC174</xm:sqref>
        </x14:conditionalFormatting>
        <x14:conditionalFormatting xmlns:xm="http://schemas.microsoft.com/office/excel/2006/main">
          <x14:cfRule type="expression" priority="4701062" id="{63783BA8-0C97-4A44-86FD-7A2BCF1B9957}">
            <xm:f>$BY$4='Data entry'!$R62</xm:f>
            <x14:dxf>
              <fill>
                <patternFill>
                  <bgColor rgb="FFFFFF00"/>
                </patternFill>
              </fill>
            </x14:dxf>
          </x14:cfRule>
          <xm:sqref>BK173:BY173</xm:sqref>
        </x14:conditionalFormatting>
        <x14:conditionalFormatting xmlns:xm="http://schemas.microsoft.com/office/excel/2006/main">
          <x14:cfRule type="expression" priority="4701063" id="{BB8DB8B4-B71B-46D2-AEE7-346F16103F74}">
            <xm:f>$BY$4='Data entry'!$R62</xm:f>
            <x14:dxf>
              <fill>
                <patternFill>
                  <bgColor rgb="FFFF0000"/>
                </patternFill>
              </fill>
            </x14:dxf>
          </x14:cfRule>
          <xm:sqref>BW174:CC174</xm:sqref>
        </x14:conditionalFormatting>
        <x14:conditionalFormatting xmlns:xm="http://schemas.microsoft.com/office/excel/2006/main">
          <x14:cfRule type="expression" priority="4701064" id="{1B638B98-2B06-4FEB-90C1-446A3E0A3979}">
            <xm:f>$BZ$4='Data entry'!$R62</xm:f>
            <x14:dxf>
              <fill>
                <patternFill>
                  <bgColor rgb="FFFFFF00"/>
                </patternFill>
              </fill>
            </x14:dxf>
          </x14:cfRule>
          <xm:sqref>BL173:BZ173</xm:sqref>
        </x14:conditionalFormatting>
        <x14:conditionalFormatting xmlns:xm="http://schemas.microsoft.com/office/excel/2006/main">
          <x14:cfRule type="expression" priority="4701065" id="{D3A0A2F8-D1B2-4DC5-B2A9-0EF53074E685}">
            <xm:f>$BZ$4='Data entry'!$R62</xm:f>
            <x14:dxf>
              <fill>
                <patternFill>
                  <bgColor rgb="FFFF0000"/>
                </patternFill>
              </fill>
            </x14:dxf>
          </x14:cfRule>
          <xm:sqref>BX174:CC174</xm:sqref>
        </x14:conditionalFormatting>
        <x14:conditionalFormatting xmlns:xm="http://schemas.microsoft.com/office/excel/2006/main">
          <x14:cfRule type="expression" priority="4701066" id="{83F6D018-7D3B-4D33-9998-11572F2F2FF5}">
            <xm:f>$CA$4='Data entry'!$R62</xm:f>
            <x14:dxf>
              <fill>
                <patternFill>
                  <bgColor rgb="FFFFFF00"/>
                </patternFill>
              </fill>
            </x14:dxf>
          </x14:cfRule>
          <xm:sqref>BM173:CA173</xm:sqref>
        </x14:conditionalFormatting>
        <x14:conditionalFormatting xmlns:xm="http://schemas.microsoft.com/office/excel/2006/main">
          <x14:cfRule type="expression" priority="4701067" id="{8E6D0B51-5626-4ED9-9072-C7A2C139704F}">
            <xm:f>$CA$4='Data entry'!$R62</xm:f>
            <x14:dxf>
              <fill>
                <patternFill>
                  <bgColor rgb="FFFF0000"/>
                </patternFill>
              </fill>
            </x14:dxf>
          </x14:cfRule>
          <xm:sqref>BY174:CC174</xm:sqref>
        </x14:conditionalFormatting>
        <x14:conditionalFormatting xmlns:xm="http://schemas.microsoft.com/office/excel/2006/main">
          <x14:cfRule type="expression" priority="4701068" id="{E1886EE4-3BDE-43A9-9F4B-79377FEC37FE}">
            <xm:f>$CB$4='Data entry'!$R62</xm:f>
            <x14:dxf>
              <fill>
                <patternFill>
                  <bgColor rgb="FFFFFF00"/>
                </patternFill>
              </fill>
            </x14:dxf>
          </x14:cfRule>
          <xm:sqref>BN173:CB173</xm:sqref>
        </x14:conditionalFormatting>
        <x14:conditionalFormatting xmlns:xm="http://schemas.microsoft.com/office/excel/2006/main">
          <x14:cfRule type="expression" priority="4701069" id="{ADEF572A-6C18-4602-BB86-01C96D36E07E}">
            <xm:f>$CB$4='Data entry'!$R62</xm:f>
            <x14:dxf>
              <fill>
                <patternFill>
                  <bgColor rgb="FFFF0000"/>
                </patternFill>
              </fill>
            </x14:dxf>
          </x14:cfRule>
          <xm:sqref>BZ174:CC174</xm:sqref>
        </x14:conditionalFormatting>
        <x14:conditionalFormatting xmlns:xm="http://schemas.microsoft.com/office/excel/2006/main">
          <x14:cfRule type="expression" priority="4701070" id="{7984E1C9-E073-4955-8543-62145CB6D008}">
            <xm:f>$CC$4='Data entry'!$R62</xm:f>
            <x14:dxf>
              <fill>
                <patternFill>
                  <bgColor rgb="FFFFFF00"/>
                </patternFill>
              </fill>
            </x14:dxf>
          </x14:cfRule>
          <xm:sqref>BO173:CC173</xm:sqref>
        </x14:conditionalFormatting>
        <x14:conditionalFormatting xmlns:xm="http://schemas.microsoft.com/office/excel/2006/main">
          <x14:cfRule type="expression" priority="4701071" id="{18A957B3-59FA-4698-BA92-2A208FF18E2F}">
            <xm:f>$CC$4='Data entry'!$R62</xm:f>
            <x14:dxf>
              <fill>
                <patternFill>
                  <bgColor rgb="FFFF0000"/>
                </patternFill>
              </fill>
            </x14:dxf>
          </x14:cfRule>
          <xm:sqref>CA174:CC174</xm:sqref>
        </x14:conditionalFormatting>
        <x14:conditionalFormatting xmlns:xm="http://schemas.microsoft.com/office/excel/2006/main">
          <x14:cfRule type="expression" priority="4701158" id="{5B0DB825-B7C2-40AC-B7EF-F267F054CFB9}">
            <xm:f>$U$4='Data entry'!$R63</xm:f>
            <x14:dxf>
              <fill>
                <patternFill>
                  <bgColor rgb="FFFF0000"/>
                </patternFill>
              </fill>
            </x14:dxf>
          </x14:cfRule>
          <xm:sqref>S177:AE177</xm:sqref>
        </x14:conditionalFormatting>
        <x14:conditionalFormatting xmlns:xm="http://schemas.microsoft.com/office/excel/2006/main">
          <x14:cfRule type="expression" priority="4701159" id="{18311200-E2BB-400F-B594-3B9A2C6068C2}">
            <xm:f>$V$4='Data entry'!$R63</xm:f>
            <x14:dxf>
              <fill>
                <patternFill>
                  <bgColor rgb="FFFF0000"/>
                </patternFill>
              </fill>
            </x14:dxf>
          </x14:cfRule>
          <xm:sqref>T177:AF177</xm:sqref>
        </x14:conditionalFormatting>
        <x14:conditionalFormatting xmlns:xm="http://schemas.microsoft.com/office/excel/2006/main">
          <x14:cfRule type="expression" priority="4701160" id="{D6DFB621-1A58-4C59-A987-ECAD0EB2D32B}">
            <xm:f>$V$4='Data entry'!$R63</xm:f>
            <x14:dxf>
              <fill>
                <patternFill>
                  <bgColor rgb="FFFFFF00"/>
                </patternFill>
              </fill>
            </x14:dxf>
          </x14:cfRule>
          <xm:sqref>H176:V176</xm:sqref>
        </x14:conditionalFormatting>
        <x14:conditionalFormatting xmlns:xm="http://schemas.microsoft.com/office/excel/2006/main">
          <x14:cfRule type="expression" priority="4701161" id="{5F87A680-DC5F-433D-A779-B7A534ACCDA9}">
            <xm:f>$W$4='Data entry'!$R63</xm:f>
            <x14:dxf>
              <fill>
                <patternFill>
                  <bgColor rgb="FFFF0000"/>
                </patternFill>
              </fill>
            </x14:dxf>
          </x14:cfRule>
          <xm:sqref>U177:AG177</xm:sqref>
        </x14:conditionalFormatting>
        <x14:conditionalFormatting xmlns:xm="http://schemas.microsoft.com/office/excel/2006/main">
          <x14:cfRule type="expression" priority="4701162" id="{964539FF-A92C-4F68-B268-B7157A32678C}">
            <xm:f>$W$4='Data entry'!$R63</xm:f>
            <x14:dxf>
              <fill>
                <patternFill>
                  <bgColor rgb="FFFFFF00"/>
                </patternFill>
              </fill>
            </x14:dxf>
          </x14:cfRule>
          <xm:sqref>I176:W176</xm:sqref>
        </x14:conditionalFormatting>
        <x14:conditionalFormatting xmlns:xm="http://schemas.microsoft.com/office/excel/2006/main">
          <x14:cfRule type="expression" priority="4701163" id="{46C1533A-F090-4A90-9309-3F59EC3FD3B0}">
            <xm:f>$X$4='Data entry'!$R63</xm:f>
            <x14:dxf>
              <fill>
                <patternFill>
                  <bgColor rgb="FFFF0000"/>
                </patternFill>
              </fill>
            </x14:dxf>
          </x14:cfRule>
          <xm:sqref>V177:AH177</xm:sqref>
        </x14:conditionalFormatting>
        <x14:conditionalFormatting xmlns:xm="http://schemas.microsoft.com/office/excel/2006/main">
          <x14:cfRule type="expression" priority="4701164" id="{7C70E81C-DDD4-4D75-933A-4F6A39893184}">
            <xm:f>$X$4='Data entry'!$R63</xm:f>
            <x14:dxf>
              <fill>
                <patternFill>
                  <bgColor rgb="FFFFFF00"/>
                </patternFill>
              </fill>
            </x14:dxf>
          </x14:cfRule>
          <xm:sqref>J176:X176</xm:sqref>
        </x14:conditionalFormatting>
        <x14:conditionalFormatting xmlns:xm="http://schemas.microsoft.com/office/excel/2006/main">
          <x14:cfRule type="expression" priority="4701165" id="{561AF073-0EF8-4B72-A119-40A639C4359D}">
            <xm:f>$Y$4='Data entry'!$R63</xm:f>
            <x14:dxf>
              <fill>
                <patternFill>
                  <bgColor rgb="FFFF0000"/>
                </patternFill>
              </fill>
            </x14:dxf>
          </x14:cfRule>
          <xm:sqref>W177:AI177</xm:sqref>
        </x14:conditionalFormatting>
        <x14:conditionalFormatting xmlns:xm="http://schemas.microsoft.com/office/excel/2006/main">
          <x14:cfRule type="expression" priority="4701166" id="{F242E808-8F07-4A89-9524-7D4C767CE357}">
            <xm:f>$Y$4='Data entry'!$R63</xm:f>
            <x14:dxf>
              <fill>
                <patternFill>
                  <bgColor rgb="FFFFFF00"/>
                </patternFill>
              </fill>
            </x14:dxf>
          </x14:cfRule>
          <xm:sqref>K176:Y176</xm:sqref>
        </x14:conditionalFormatting>
        <x14:conditionalFormatting xmlns:xm="http://schemas.microsoft.com/office/excel/2006/main">
          <x14:cfRule type="expression" priority="4701167" id="{DD601058-982B-4218-BD9D-64BB823C2633}">
            <xm:f>$Z$4='Data entry'!$R63</xm:f>
            <x14:dxf>
              <fill>
                <patternFill>
                  <bgColor rgb="FFFF0000"/>
                </patternFill>
              </fill>
            </x14:dxf>
          </x14:cfRule>
          <xm:sqref>X177:AJ177</xm:sqref>
        </x14:conditionalFormatting>
        <x14:conditionalFormatting xmlns:xm="http://schemas.microsoft.com/office/excel/2006/main">
          <x14:cfRule type="expression" priority="4701168" id="{C9DB141D-79F6-4093-92A3-7BF7A1622985}">
            <xm:f>$Z$4='Data entry'!$R63</xm:f>
            <x14:dxf>
              <fill>
                <patternFill>
                  <bgColor rgb="FFFFFF00"/>
                </patternFill>
              </fill>
            </x14:dxf>
          </x14:cfRule>
          <xm:sqref>L176:Z176</xm:sqref>
        </x14:conditionalFormatting>
        <x14:conditionalFormatting xmlns:xm="http://schemas.microsoft.com/office/excel/2006/main">
          <x14:cfRule type="expression" priority="4701169" id="{710EB8D3-F5C0-4E3C-8214-2D0C4E26F649}">
            <xm:f>$AA$4='Data entry'!$R63</xm:f>
            <x14:dxf>
              <fill>
                <patternFill>
                  <bgColor rgb="FFFF0000"/>
                </patternFill>
              </fill>
            </x14:dxf>
          </x14:cfRule>
          <xm:sqref>Y177:AK177</xm:sqref>
        </x14:conditionalFormatting>
        <x14:conditionalFormatting xmlns:xm="http://schemas.microsoft.com/office/excel/2006/main">
          <x14:cfRule type="expression" priority="4701170" id="{33825D69-C967-4D27-B395-5D44A3083802}">
            <xm:f>$AA$4='Data entry'!$R63</xm:f>
            <x14:dxf>
              <fill>
                <patternFill>
                  <bgColor rgb="FFFFFF00"/>
                </patternFill>
              </fill>
            </x14:dxf>
          </x14:cfRule>
          <xm:sqref>M176:AA176</xm:sqref>
        </x14:conditionalFormatting>
        <x14:conditionalFormatting xmlns:xm="http://schemas.microsoft.com/office/excel/2006/main">
          <x14:cfRule type="expression" priority="4701171" id="{9811A97D-351B-4D32-8754-AF433277E62B}">
            <xm:f>$AB$4='Data entry'!$R63</xm:f>
            <x14:dxf>
              <fill>
                <patternFill>
                  <bgColor rgb="FFFF0000"/>
                </patternFill>
              </fill>
            </x14:dxf>
          </x14:cfRule>
          <xm:sqref>Z177:AL177</xm:sqref>
        </x14:conditionalFormatting>
        <x14:conditionalFormatting xmlns:xm="http://schemas.microsoft.com/office/excel/2006/main">
          <x14:cfRule type="expression" priority="4701172" id="{6DD3E556-C72E-438B-92DA-3096ED1E4178}">
            <xm:f>$AB$4='Data entry'!$R63</xm:f>
            <x14:dxf>
              <fill>
                <patternFill>
                  <bgColor rgb="FFFFFF00"/>
                </patternFill>
              </fill>
            </x14:dxf>
          </x14:cfRule>
          <xm:sqref>N176:AB176</xm:sqref>
        </x14:conditionalFormatting>
        <x14:conditionalFormatting xmlns:xm="http://schemas.microsoft.com/office/excel/2006/main">
          <x14:cfRule type="expression" priority="4701173" id="{C0DF7A1B-D6BC-4371-BD3A-F0708147FA1C}">
            <xm:f>$AC$4='Data entry'!$R63</xm:f>
            <x14:dxf>
              <fill>
                <patternFill>
                  <bgColor rgb="FFFF0000"/>
                </patternFill>
              </fill>
            </x14:dxf>
          </x14:cfRule>
          <xm:sqref>AA177:AM177</xm:sqref>
        </x14:conditionalFormatting>
        <x14:conditionalFormatting xmlns:xm="http://schemas.microsoft.com/office/excel/2006/main">
          <x14:cfRule type="expression" priority="4701174" id="{DB2E1F48-AF0E-41F9-A976-6B1963CA5711}">
            <xm:f>$AC$4='Data entry'!$R63</xm:f>
            <x14:dxf>
              <fill>
                <patternFill>
                  <bgColor rgb="FFFFFF00"/>
                </patternFill>
              </fill>
            </x14:dxf>
          </x14:cfRule>
          <xm:sqref>O176:AC176</xm:sqref>
        </x14:conditionalFormatting>
        <x14:conditionalFormatting xmlns:xm="http://schemas.microsoft.com/office/excel/2006/main">
          <x14:cfRule type="expression" priority="4701175" id="{89909907-F9A9-4AF9-BC1D-304710A43F50}">
            <xm:f>$AD$4='Data entry'!$R63</xm:f>
            <x14:dxf>
              <fill>
                <patternFill>
                  <bgColor rgb="FFFF0000"/>
                </patternFill>
              </fill>
            </x14:dxf>
          </x14:cfRule>
          <xm:sqref>AB177:AN177</xm:sqref>
        </x14:conditionalFormatting>
        <x14:conditionalFormatting xmlns:xm="http://schemas.microsoft.com/office/excel/2006/main">
          <x14:cfRule type="expression" priority="4701176" id="{729676B7-E331-43A4-ACC9-850DCEE76A0E}">
            <xm:f>$AD$4='Data entry'!$R63</xm:f>
            <x14:dxf>
              <fill>
                <patternFill>
                  <bgColor rgb="FFFFFF00"/>
                </patternFill>
              </fill>
            </x14:dxf>
          </x14:cfRule>
          <xm:sqref>P176:AD176</xm:sqref>
        </x14:conditionalFormatting>
        <x14:conditionalFormatting xmlns:xm="http://schemas.microsoft.com/office/excel/2006/main">
          <x14:cfRule type="expression" priority="4701177" id="{00DA2C55-350E-44AA-ABEA-808FABFDA737}">
            <xm:f>$AE$4='Data entry'!$R63</xm:f>
            <x14:dxf>
              <fill>
                <patternFill>
                  <bgColor rgb="FFFF0000"/>
                </patternFill>
              </fill>
            </x14:dxf>
          </x14:cfRule>
          <xm:sqref>AC177:AO177</xm:sqref>
        </x14:conditionalFormatting>
        <x14:conditionalFormatting xmlns:xm="http://schemas.microsoft.com/office/excel/2006/main">
          <x14:cfRule type="expression" priority="4701178" id="{373C95F1-00C1-45E9-B561-5224945BA4A4}">
            <xm:f>$AE$4='Data entry'!$R63</xm:f>
            <x14:dxf>
              <fill>
                <patternFill>
                  <bgColor rgb="FFFFFF00"/>
                </patternFill>
              </fill>
            </x14:dxf>
          </x14:cfRule>
          <xm:sqref>Q176:AE176</xm:sqref>
        </x14:conditionalFormatting>
        <x14:conditionalFormatting xmlns:xm="http://schemas.microsoft.com/office/excel/2006/main">
          <x14:cfRule type="expression" priority="4701179" id="{65E90E74-6BEF-4B00-BD5E-ECACFEBC225A}">
            <xm:f>$AF$4='Data entry'!$R63</xm:f>
            <x14:dxf>
              <fill>
                <patternFill>
                  <bgColor rgb="FFFF0000"/>
                </patternFill>
              </fill>
            </x14:dxf>
          </x14:cfRule>
          <xm:sqref>AD177:AP177</xm:sqref>
        </x14:conditionalFormatting>
        <x14:conditionalFormatting xmlns:xm="http://schemas.microsoft.com/office/excel/2006/main">
          <x14:cfRule type="expression" priority="4701180" id="{56B519D7-E083-4811-B42B-D6CB10D44BB3}">
            <xm:f>$AF$4='Data entry'!$R63</xm:f>
            <x14:dxf>
              <fill>
                <patternFill>
                  <bgColor rgb="FFFFFF00"/>
                </patternFill>
              </fill>
            </x14:dxf>
          </x14:cfRule>
          <xm:sqref>R176:AF176</xm:sqref>
        </x14:conditionalFormatting>
        <x14:conditionalFormatting xmlns:xm="http://schemas.microsoft.com/office/excel/2006/main">
          <x14:cfRule type="expression" priority="4701181" id="{889682B6-BF9B-414B-86B7-1C802156B058}">
            <xm:f>$AG$4='Data entry'!$R63</xm:f>
            <x14:dxf>
              <fill>
                <patternFill>
                  <bgColor rgb="FFFF0000"/>
                </patternFill>
              </fill>
            </x14:dxf>
          </x14:cfRule>
          <xm:sqref>AE177:AQ177</xm:sqref>
        </x14:conditionalFormatting>
        <x14:conditionalFormatting xmlns:xm="http://schemas.microsoft.com/office/excel/2006/main">
          <x14:cfRule type="expression" priority="4701182" id="{19913D88-1940-4CB0-B29C-D46D60833BD5}">
            <xm:f>$AG$4='Data entry'!$R63</xm:f>
            <x14:dxf>
              <fill>
                <patternFill>
                  <bgColor rgb="FFFFFF00"/>
                </patternFill>
              </fill>
            </x14:dxf>
          </x14:cfRule>
          <xm:sqref>S176:AG176</xm:sqref>
        </x14:conditionalFormatting>
        <x14:conditionalFormatting xmlns:xm="http://schemas.microsoft.com/office/excel/2006/main">
          <x14:cfRule type="expression" priority="4701183" id="{3DD7B9A5-18A3-463F-BAD5-9796FC487328}">
            <xm:f>$AH$4='Data entry'!$R63</xm:f>
            <x14:dxf>
              <fill>
                <patternFill>
                  <bgColor rgb="FFFF0000"/>
                </patternFill>
              </fill>
            </x14:dxf>
          </x14:cfRule>
          <xm:sqref>AF177:AR177</xm:sqref>
        </x14:conditionalFormatting>
        <x14:conditionalFormatting xmlns:xm="http://schemas.microsoft.com/office/excel/2006/main">
          <x14:cfRule type="expression" priority="4701184" id="{31005CF4-5608-496E-91EB-F7F505046C80}">
            <xm:f>$AH$4='Data entry'!$R63</xm:f>
            <x14:dxf>
              <fill>
                <patternFill>
                  <bgColor rgb="FFFFFF00"/>
                </patternFill>
              </fill>
            </x14:dxf>
          </x14:cfRule>
          <xm:sqref>T176:AH176</xm:sqref>
        </x14:conditionalFormatting>
        <x14:conditionalFormatting xmlns:xm="http://schemas.microsoft.com/office/excel/2006/main">
          <x14:cfRule type="expression" priority="4701185" id="{CD14F654-5B7A-444F-8FC1-7DD71E76E475}">
            <xm:f>$AI$4='Data entry'!$R63</xm:f>
            <x14:dxf>
              <fill>
                <patternFill>
                  <bgColor rgb="FFFF0000"/>
                </patternFill>
              </fill>
            </x14:dxf>
          </x14:cfRule>
          <xm:sqref>AG177:AS177</xm:sqref>
        </x14:conditionalFormatting>
        <x14:conditionalFormatting xmlns:xm="http://schemas.microsoft.com/office/excel/2006/main">
          <x14:cfRule type="expression" priority="4701186" id="{0E4E448C-6C46-4285-B877-A61A90294385}">
            <xm:f>$AI$4='Data entry'!$R63</xm:f>
            <x14:dxf>
              <fill>
                <patternFill>
                  <bgColor rgb="FFFFFF00"/>
                </patternFill>
              </fill>
            </x14:dxf>
          </x14:cfRule>
          <xm:sqref>U176:AI176</xm:sqref>
        </x14:conditionalFormatting>
        <x14:conditionalFormatting xmlns:xm="http://schemas.microsoft.com/office/excel/2006/main">
          <x14:cfRule type="expression" priority="4701187" id="{B1C1818F-791C-403D-BE73-6F6E9DC6A16D}">
            <xm:f>$AJ$4='Data entry'!$R63</xm:f>
            <x14:dxf>
              <fill>
                <patternFill>
                  <bgColor rgb="FFFF0000"/>
                </patternFill>
              </fill>
            </x14:dxf>
          </x14:cfRule>
          <xm:sqref>AH177:AT177</xm:sqref>
        </x14:conditionalFormatting>
        <x14:conditionalFormatting xmlns:xm="http://schemas.microsoft.com/office/excel/2006/main">
          <x14:cfRule type="expression" priority="4701188" id="{A1237792-221B-431B-B8A7-E9A64DA46D93}">
            <xm:f>$AJ$4='Data entry'!$R63</xm:f>
            <x14:dxf>
              <fill>
                <patternFill>
                  <bgColor rgb="FFFFFF00"/>
                </patternFill>
              </fill>
            </x14:dxf>
          </x14:cfRule>
          <xm:sqref>V176:AJ176</xm:sqref>
        </x14:conditionalFormatting>
        <x14:conditionalFormatting xmlns:xm="http://schemas.microsoft.com/office/excel/2006/main">
          <x14:cfRule type="expression" priority="4701189" id="{617DC2AF-C7A3-4724-8EA3-17DEFEDC8949}">
            <xm:f>$AK$4='Data entry'!$R63</xm:f>
            <x14:dxf>
              <fill>
                <patternFill>
                  <bgColor rgb="FFFF0000"/>
                </patternFill>
              </fill>
            </x14:dxf>
          </x14:cfRule>
          <xm:sqref>AI177:AU177</xm:sqref>
        </x14:conditionalFormatting>
        <x14:conditionalFormatting xmlns:xm="http://schemas.microsoft.com/office/excel/2006/main">
          <x14:cfRule type="expression" priority="4701190" id="{AA72317D-37B1-48EB-A28B-BF2AC8DC4519}">
            <xm:f>$AK$4='Data entry'!$R63</xm:f>
            <x14:dxf>
              <fill>
                <patternFill>
                  <bgColor rgb="FFFFFF00"/>
                </patternFill>
              </fill>
            </x14:dxf>
          </x14:cfRule>
          <xm:sqref>W176:AK176</xm:sqref>
        </x14:conditionalFormatting>
        <x14:conditionalFormatting xmlns:xm="http://schemas.microsoft.com/office/excel/2006/main">
          <x14:cfRule type="expression" priority="4701191" id="{6CA9FB7A-20EA-4D3A-B74C-A001F4BE810D}">
            <xm:f>$AL$4='Data entry'!$R63</xm:f>
            <x14:dxf>
              <fill>
                <patternFill>
                  <bgColor rgb="FFFF0000"/>
                </patternFill>
              </fill>
            </x14:dxf>
          </x14:cfRule>
          <xm:sqref>AJ177:AV177</xm:sqref>
        </x14:conditionalFormatting>
        <x14:conditionalFormatting xmlns:xm="http://schemas.microsoft.com/office/excel/2006/main">
          <x14:cfRule type="expression" priority="4701192" id="{81A75DAA-573F-4EF3-A640-1B992C18BEA0}">
            <xm:f>$AL$4='Data entry'!$R63</xm:f>
            <x14:dxf>
              <fill>
                <patternFill>
                  <bgColor rgb="FFFFFF00"/>
                </patternFill>
              </fill>
            </x14:dxf>
          </x14:cfRule>
          <xm:sqref>X176:AL176</xm:sqref>
        </x14:conditionalFormatting>
        <x14:conditionalFormatting xmlns:xm="http://schemas.microsoft.com/office/excel/2006/main">
          <x14:cfRule type="expression" priority="4701193" id="{3D44713E-4ABA-4CCD-9DF4-5513A9FB5E1E}">
            <xm:f>$AM$4='Data entry'!$R63</xm:f>
            <x14:dxf>
              <fill>
                <patternFill>
                  <bgColor rgb="FFFF0000"/>
                </patternFill>
              </fill>
            </x14:dxf>
          </x14:cfRule>
          <xm:sqref>AK177:AW177</xm:sqref>
        </x14:conditionalFormatting>
        <x14:conditionalFormatting xmlns:xm="http://schemas.microsoft.com/office/excel/2006/main">
          <x14:cfRule type="expression" priority="4701194" id="{05A26B51-72A7-4423-822F-2BDBC28275D0}">
            <xm:f>$AM$4='Data entry'!$R63</xm:f>
            <x14:dxf>
              <fill>
                <patternFill>
                  <bgColor rgb="FFFFFF00"/>
                </patternFill>
              </fill>
            </x14:dxf>
          </x14:cfRule>
          <xm:sqref>Y176:AM176</xm:sqref>
        </x14:conditionalFormatting>
        <x14:conditionalFormatting xmlns:xm="http://schemas.microsoft.com/office/excel/2006/main">
          <x14:cfRule type="expression" priority="4701195" id="{B8A20675-6230-4694-A7F6-6B3DC7142773}">
            <xm:f>$AN$4='Data entry'!$R63</xm:f>
            <x14:dxf>
              <fill>
                <patternFill>
                  <bgColor rgb="FFFF0000"/>
                </patternFill>
              </fill>
            </x14:dxf>
          </x14:cfRule>
          <xm:sqref>AL177:AX177</xm:sqref>
        </x14:conditionalFormatting>
        <x14:conditionalFormatting xmlns:xm="http://schemas.microsoft.com/office/excel/2006/main">
          <x14:cfRule type="expression" priority="4701196" id="{8421181C-7450-42E9-BC1D-065CCFCA960E}">
            <xm:f>$AN$4='Data entry'!$R63</xm:f>
            <x14:dxf>
              <fill>
                <patternFill>
                  <bgColor rgb="FFFFFF00"/>
                </patternFill>
              </fill>
            </x14:dxf>
          </x14:cfRule>
          <xm:sqref>Z176:AN176</xm:sqref>
        </x14:conditionalFormatting>
        <x14:conditionalFormatting xmlns:xm="http://schemas.microsoft.com/office/excel/2006/main">
          <x14:cfRule type="expression" priority="4701197" id="{067FE4BD-6EF4-4684-B6E0-35AB2F267EE7}">
            <xm:f>$AO$4='Data entry'!$R63</xm:f>
            <x14:dxf>
              <fill>
                <patternFill>
                  <bgColor rgb="FFFF0000"/>
                </patternFill>
              </fill>
            </x14:dxf>
          </x14:cfRule>
          <xm:sqref>AM177:AY177</xm:sqref>
        </x14:conditionalFormatting>
        <x14:conditionalFormatting xmlns:xm="http://schemas.microsoft.com/office/excel/2006/main">
          <x14:cfRule type="expression" priority="4701198" id="{F7653492-88D1-47AC-8BA3-0CCE65C3C2AB}">
            <xm:f>$AO$4='Data entry'!$R63</xm:f>
            <x14:dxf>
              <fill>
                <patternFill>
                  <bgColor rgb="FFFFFF00"/>
                </patternFill>
              </fill>
            </x14:dxf>
          </x14:cfRule>
          <xm:sqref>AA176:AO176</xm:sqref>
        </x14:conditionalFormatting>
        <x14:conditionalFormatting xmlns:xm="http://schemas.microsoft.com/office/excel/2006/main">
          <x14:cfRule type="expression" priority="4701199" id="{207A5E5D-B322-482E-9193-1D7318138358}">
            <xm:f>$AP$4='Data entry'!$R63</xm:f>
            <x14:dxf>
              <fill>
                <patternFill>
                  <bgColor rgb="FFFF0000"/>
                </patternFill>
              </fill>
            </x14:dxf>
          </x14:cfRule>
          <xm:sqref>AN177:AZ177</xm:sqref>
        </x14:conditionalFormatting>
        <x14:conditionalFormatting xmlns:xm="http://schemas.microsoft.com/office/excel/2006/main">
          <x14:cfRule type="expression" priority="4701200" id="{21DA638D-4CA0-4067-BFF1-240CE1A0261B}">
            <xm:f>$AP$4='Data entry'!$R63</xm:f>
            <x14:dxf>
              <fill>
                <patternFill>
                  <bgColor rgb="FFFFFF00"/>
                </patternFill>
              </fill>
            </x14:dxf>
          </x14:cfRule>
          <xm:sqref>AB176:AP176</xm:sqref>
        </x14:conditionalFormatting>
        <x14:conditionalFormatting xmlns:xm="http://schemas.microsoft.com/office/excel/2006/main">
          <x14:cfRule type="expression" priority="4701201" id="{71963D96-A42A-4B90-BFC7-6D83D37766EF}">
            <xm:f>$AQ$4='Data entry'!$R63</xm:f>
            <x14:dxf>
              <fill>
                <patternFill>
                  <bgColor rgb="FFFF0000"/>
                </patternFill>
              </fill>
            </x14:dxf>
          </x14:cfRule>
          <xm:sqref>AO177:BA177</xm:sqref>
        </x14:conditionalFormatting>
        <x14:conditionalFormatting xmlns:xm="http://schemas.microsoft.com/office/excel/2006/main">
          <x14:cfRule type="expression" priority="4701202" id="{74952595-84B6-484F-8FF6-FCC1F337DF4D}">
            <xm:f>$AQ$4='Data entry'!$R63</xm:f>
            <x14:dxf>
              <fill>
                <patternFill>
                  <bgColor rgb="FFFFFF00"/>
                </patternFill>
              </fill>
            </x14:dxf>
          </x14:cfRule>
          <xm:sqref>AC176:AQ176</xm:sqref>
        </x14:conditionalFormatting>
        <x14:conditionalFormatting xmlns:xm="http://schemas.microsoft.com/office/excel/2006/main">
          <x14:cfRule type="expression" priority="4701203" id="{8AC9C4B9-0A34-4BC0-B0F7-CA89434C4911}">
            <xm:f>$P$4='Data entry'!$R63</xm:f>
            <x14:dxf>
              <fill>
                <patternFill>
                  <bgColor rgb="FFFFFF00"/>
                </patternFill>
              </fill>
            </x14:dxf>
          </x14:cfRule>
          <xm:sqref>C176:P176</xm:sqref>
        </x14:conditionalFormatting>
        <x14:conditionalFormatting xmlns:xm="http://schemas.microsoft.com/office/excel/2006/main">
          <x14:cfRule type="expression" priority="4701204" id="{0A726775-ABFD-4F22-967C-1A4D87BA3751}">
            <xm:f>$Q$4='Data entry'!$R63</xm:f>
            <x14:dxf>
              <fill>
                <patternFill>
                  <bgColor rgb="FFFFFF00"/>
                </patternFill>
              </fill>
            </x14:dxf>
          </x14:cfRule>
          <xm:sqref>C176:Q176</xm:sqref>
        </x14:conditionalFormatting>
        <x14:conditionalFormatting xmlns:xm="http://schemas.microsoft.com/office/excel/2006/main">
          <x14:cfRule type="expression" priority="4701205" id="{3A8414BD-262C-43B5-86EE-FA6901D00453}">
            <xm:f>$Q$4='Data entry'!$R63</xm:f>
            <x14:dxf>
              <fill>
                <patternFill>
                  <bgColor rgb="FFFF0000"/>
                </patternFill>
              </fill>
            </x14:dxf>
          </x14:cfRule>
          <xm:sqref>O177:AA177</xm:sqref>
        </x14:conditionalFormatting>
        <x14:conditionalFormatting xmlns:xm="http://schemas.microsoft.com/office/excel/2006/main">
          <x14:cfRule type="expression" priority="4701206" id="{B8B5501D-F3EF-4449-9306-F652960C65F4}">
            <xm:f>$R$4='Data entry'!$R63</xm:f>
            <x14:dxf>
              <fill>
                <patternFill>
                  <bgColor rgb="FFFF0000"/>
                </patternFill>
              </fill>
            </x14:dxf>
          </x14:cfRule>
          <xm:sqref>P177:AB177</xm:sqref>
        </x14:conditionalFormatting>
        <x14:conditionalFormatting xmlns:xm="http://schemas.microsoft.com/office/excel/2006/main">
          <x14:cfRule type="expression" priority="4701207" id="{5D070DEC-B82E-4D87-B907-A3E5AB836991}">
            <xm:f>$R$4='Data entry'!$R63</xm:f>
            <x14:dxf>
              <fill>
                <patternFill>
                  <bgColor rgb="FFFFFF00"/>
                </patternFill>
              </fill>
            </x14:dxf>
          </x14:cfRule>
          <xm:sqref>D176:R176</xm:sqref>
        </x14:conditionalFormatting>
        <x14:conditionalFormatting xmlns:xm="http://schemas.microsoft.com/office/excel/2006/main">
          <x14:cfRule type="expression" priority="4701208" id="{E4D16A10-F818-4664-9FB2-F0E839824D4B}">
            <xm:f>$S$4='Data entry'!$R63</xm:f>
            <x14:dxf>
              <fill>
                <patternFill>
                  <bgColor rgb="FFFF0000"/>
                </patternFill>
              </fill>
            </x14:dxf>
          </x14:cfRule>
          <xm:sqref>Q177:AC177</xm:sqref>
        </x14:conditionalFormatting>
        <x14:conditionalFormatting xmlns:xm="http://schemas.microsoft.com/office/excel/2006/main">
          <x14:cfRule type="expression" priority="4701209" id="{1A9F9911-A3E9-4730-AFBE-AB8C596545CA}">
            <xm:f>$S$4='Data entry'!$R63</xm:f>
            <x14:dxf>
              <fill>
                <patternFill>
                  <bgColor rgb="FFFFFF00"/>
                </patternFill>
              </fill>
            </x14:dxf>
          </x14:cfRule>
          <xm:sqref>E176:S176</xm:sqref>
        </x14:conditionalFormatting>
        <x14:conditionalFormatting xmlns:xm="http://schemas.microsoft.com/office/excel/2006/main">
          <x14:cfRule type="expression" priority="4701210" id="{8BB5CD1B-B2AC-442A-9550-26DE19A62D22}">
            <xm:f>$T$4='Data entry'!$R63</xm:f>
            <x14:dxf>
              <fill>
                <patternFill>
                  <bgColor rgb="FFFF0000"/>
                </patternFill>
              </fill>
            </x14:dxf>
          </x14:cfRule>
          <xm:sqref>R177:AD177</xm:sqref>
        </x14:conditionalFormatting>
        <x14:conditionalFormatting xmlns:xm="http://schemas.microsoft.com/office/excel/2006/main">
          <x14:cfRule type="expression" priority="4701211" id="{E7B59C69-7921-4049-84A1-8B3E5F7B0598}">
            <xm:f>$T$4='Data entry'!$R63</xm:f>
            <x14:dxf>
              <fill>
                <patternFill>
                  <bgColor rgb="FFFFFF00"/>
                </patternFill>
              </fill>
            </x14:dxf>
          </x14:cfRule>
          <xm:sqref>F176:T176</xm:sqref>
        </x14:conditionalFormatting>
        <x14:conditionalFormatting xmlns:xm="http://schemas.microsoft.com/office/excel/2006/main">
          <x14:cfRule type="expression" priority="4701212" id="{238C09E5-7A3D-439D-949F-A7733073F9A2}">
            <xm:f>$U$4='Data entry'!$R63</xm:f>
            <x14:dxf>
              <fill>
                <patternFill>
                  <bgColor rgb="FFFFFF00"/>
                </patternFill>
              </fill>
            </x14:dxf>
          </x14:cfRule>
          <xm:sqref>G176:U176</xm:sqref>
        </x14:conditionalFormatting>
        <x14:conditionalFormatting xmlns:xm="http://schemas.microsoft.com/office/excel/2006/main">
          <x14:cfRule type="expression" priority="4701213" id="{DE4D4432-0A19-452A-AF14-2873FE4DF411}">
            <xm:f>$AR$4='Data entry'!$R63</xm:f>
            <x14:dxf>
              <fill>
                <patternFill>
                  <bgColor rgb="FFFF0000"/>
                </patternFill>
              </fill>
            </x14:dxf>
          </x14:cfRule>
          <xm:sqref>AP177:BB177</xm:sqref>
        </x14:conditionalFormatting>
        <x14:conditionalFormatting xmlns:xm="http://schemas.microsoft.com/office/excel/2006/main">
          <x14:cfRule type="expression" priority="4701214" id="{90D7E1FF-542D-40C8-9BD5-DFEB4CDD256F}">
            <xm:f>$AR$4='Data entry'!$R63</xm:f>
            <x14:dxf>
              <fill>
                <patternFill>
                  <bgColor rgb="FFFFFF00"/>
                </patternFill>
              </fill>
            </x14:dxf>
          </x14:cfRule>
          <xm:sqref>AD176:AR176</xm:sqref>
        </x14:conditionalFormatting>
        <x14:conditionalFormatting xmlns:xm="http://schemas.microsoft.com/office/excel/2006/main">
          <x14:cfRule type="expression" priority="4701215" id="{0EBB5305-4A4A-4205-A1FF-11160070CBC3}">
            <xm:f>$AS$4='Data entry'!$R63</xm:f>
            <x14:dxf>
              <fill>
                <patternFill>
                  <bgColor rgb="FFFF0000"/>
                </patternFill>
              </fill>
            </x14:dxf>
          </x14:cfRule>
          <xm:sqref>AQ177:BC177</xm:sqref>
        </x14:conditionalFormatting>
        <x14:conditionalFormatting xmlns:xm="http://schemas.microsoft.com/office/excel/2006/main">
          <x14:cfRule type="expression" priority="4701216" id="{AC8EB30C-4253-4CE1-820E-1801F6D8D35B}">
            <xm:f>$AS$4='Data entry'!$R63</xm:f>
            <x14:dxf>
              <fill>
                <patternFill>
                  <bgColor rgb="FFFFFF00"/>
                </patternFill>
              </fill>
            </x14:dxf>
          </x14:cfRule>
          <xm:sqref>AE176:AS176</xm:sqref>
        </x14:conditionalFormatting>
        <x14:conditionalFormatting xmlns:xm="http://schemas.microsoft.com/office/excel/2006/main">
          <x14:cfRule type="expression" priority="4701217" id="{E11744C1-7201-4272-A1B0-945490B42425}">
            <xm:f>$AT$4='Data entry'!$R63</xm:f>
            <x14:dxf>
              <fill>
                <patternFill>
                  <bgColor rgb="FFFF0000"/>
                </patternFill>
              </fill>
            </x14:dxf>
          </x14:cfRule>
          <xm:sqref>AR177:BD177</xm:sqref>
        </x14:conditionalFormatting>
        <x14:conditionalFormatting xmlns:xm="http://schemas.microsoft.com/office/excel/2006/main">
          <x14:cfRule type="expression" priority="4701218" id="{5EE2823B-E955-4EA7-B99C-0B1F77B57A69}">
            <xm:f>$AT$4='Data entry'!$R63</xm:f>
            <x14:dxf>
              <fill>
                <patternFill>
                  <bgColor rgb="FFFFFF00"/>
                </patternFill>
              </fill>
            </x14:dxf>
          </x14:cfRule>
          <xm:sqref>AF176:AT176</xm:sqref>
        </x14:conditionalFormatting>
        <x14:conditionalFormatting xmlns:xm="http://schemas.microsoft.com/office/excel/2006/main">
          <x14:cfRule type="expression" priority="4701219" id="{5737DC63-3262-4B34-900C-2AAEB255FCBA}">
            <xm:f>$AU$4='Data entry'!$R63</xm:f>
            <x14:dxf>
              <fill>
                <patternFill>
                  <bgColor rgb="FFFF0000"/>
                </patternFill>
              </fill>
            </x14:dxf>
          </x14:cfRule>
          <xm:sqref>AS177:BE177</xm:sqref>
        </x14:conditionalFormatting>
        <x14:conditionalFormatting xmlns:xm="http://schemas.microsoft.com/office/excel/2006/main">
          <x14:cfRule type="expression" priority="4701220" id="{2B5C1F1B-3C3D-4CA3-BC64-0E98422075B6}">
            <xm:f>$AU$4='Data entry'!$R63</xm:f>
            <x14:dxf>
              <fill>
                <patternFill>
                  <bgColor rgb="FFFFFF00"/>
                </patternFill>
              </fill>
            </x14:dxf>
          </x14:cfRule>
          <xm:sqref>AG176:AU176</xm:sqref>
        </x14:conditionalFormatting>
        <x14:conditionalFormatting xmlns:xm="http://schemas.microsoft.com/office/excel/2006/main">
          <x14:cfRule type="expression" priority="4701221" id="{B87A1285-B003-4855-8F4B-53C391BA10E6}">
            <xm:f>$AV$4='Data entry'!$R63</xm:f>
            <x14:dxf>
              <fill>
                <patternFill>
                  <bgColor rgb="FFFF0000"/>
                </patternFill>
              </fill>
            </x14:dxf>
          </x14:cfRule>
          <xm:sqref>AT177:BF177</xm:sqref>
        </x14:conditionalFormatting>
        <x14:conditionalFormatting xmlns:xm="http://schemas.microsoft.com/office/excel/2006/main">
          <x14:cfRule type="expression" priority="4701222" id="{338EE31C-78DB-4818-B837-0380F9E457FA}">
            <xm:f>$AV$4='Data entry'!$R63</xm:f>
            <x14:dxf>
              <fill>
                <patternFill>
                  <bgColor rgb="FFFFFF00"/>
                </patternFill>
              </fill>
            </x14:dxf>
          </x14:cfRule>
          <xm:sqref>AH176:AV176</xm:sqref>
        </x14:conditionalFormatting>
        <x14:conditionalFormatting xmlns:xm="http://schemas.microsoft.com/office/excel/2006/main">
          <x14:cfRule type="expression" priority="4701223" id="{5C40EA66-2801-4C91-B885-BF6A1ECFC35C}">
            <xm:f>$AW$4='Data entry'!$R63</xm:f>
            <x14:dxf>
              <fill>
                <patternFill>
                  <bgColor rgb="FFFF0000"/>
                </patternFill>
              </fill>
            </x14:dxf>
          </x14:cfRule>
          <xm:sqref>AU177:BG177</xm:sqref>
        </x14:conditionalFormatting>
        <x14:conditionalFormatting xmlns:xm="http://schemas.microsoft.com/office/excel/2006/main">
          <x14:cfRule type="expression" priority="4701224" id="{51BCD5CE-DF86-4C2F-8A81-DDA1EFD6C8F7}">
            <xm:f>$AW$4='Data entry'!$R63</xm:f>
            <x14:dxf>
              <fill>
                <patternFill>
                  <bgColor rgb="FFFFFF00"/>
                </patternFill>
              </fill>
            </x14:dxf>
          </x14:cfRule>
          <xm:sqref>AI176:AW176</xm:sqref>
        </x14:conditionalFormatting>
        <x14:conditionalFormatting xmlns:xm="http://schemas.microsoft.com/office/excel/2006/main">
          <x14:cfRule type="expression" priority="4701225" id="{DC2ED5A0-8917-4877-8CD3-9DF9BE5993C9}">
            <xm:f>$AX$4='Data entry'!$R63</xm:f>
            <x14:dxf>
              <fill>
                <patternFill>
                  <bgColor rgb="FFFF0000"/>
                </patternFill>
              </fill>
            </x14:dxf>
          </x14:cfRule>
          <xm:sqref>AV177:BH177</xm:sqref>
        </x14:conditionalFormatting>
        <x14:conditionalFormatting xmlns:xm="http://schemas.microsoft.com/office/excel/2006/main">
          <x14:cfRule type="expression" priority="4701226" id="{59B31869-20F9-45BD-BC80-0A6C8945CE2C}">
            <xm:f>$AX$4='Data entry'!$R63</xm:f>
            <x14:dxf>
              <fill>
                <patternFill>
                  <bgColor rgb="FFFFFF00"/>
                </patternFill>
              </fill>
            </x14:dxf>
          </x14:cfRule>
          <xm:sqref>AJ176:AX176</xm:sqref>
        </x14:conditionalFormatting>
        <x14:conditionalFormatting xmlns:xm="http://schemas.microsoft.com/office/excel/2006/main">
          <x14:cfRule type="expression" priority="4701227" id="{D4208FA0-4262-4037-934C-6D0742B2AD8E}">
            <xm:f>$AY$4='Data entry'!$R63</xm:f>
            <x14:dxf>
              <fill>
                <patternFill>
                  <bgColor rgb="FFFF0000"/>
                </patternFill>
              </fill>
            </x14:dxf>
          </x14:cfRule>
          <xm:sqref>AW177:BI177</xm:sqref>
        </x14:conditionalFormatting>
        <x14:conditionalFormatting xmlns:xm="http://schemas.microsoft.com/office/excel/2006/main">
          <x14:cfRule type="expression" priority="4701228" id="{04D6E423-18C7-42B2-A67D-F49D8E62B571}">
            <xm:f>$AY$4='Data entry'!$R63</xm:f>
            <x14:dxf>
              <fill>
                <patternFill>
                  <bgColor rgb="FFFFFF00"/>
                </patternFill>
              </fill>
            </x14:dxf>
          </x14:cfRule>
          <xm:sqref>AK176:AY176</xm:sqref>
        </x14:conditionalFormatting>
        <x14:conditionalFormatting xmlns:xm="http://schemas.microsoft.com/office/excel/2006/main">
          <x14:cfRule type="expression" priority="4701229" id="{A931C203-6E4B-4EBD-A2F4-1876881F48D4}">
            <xm:f>$AZ$4='Data entry'!$R63</xm:f>
            <x14:dxf>
              <fill>
                <patternFill>
                  <bgColor rgb="FFFF0000"/>
                </patternFill>
              </fill>
            </x14:dxf>
          </x14:cfRule>
          <xm:sqref>AX177:BJ177</xm:sqref>
        </x14:conditionalFormatting>
        <x14:conditionalFormatting xmlns:xm="http://schemas.microsoft.com/office/excel/2006/main">
          <x14:cfRule type="expression" priority="4701230" id="{092D9100-E652-40FE-8CAA-720DC0681250}">
            <xm:f>$AZ$4='Data entry'!$R63</xm:f>
            <x14:dxf>
              <fill>
                <patternFill>
                  <bgColor rgb="FFFFFF00"/>
                </patternFill>
              </fill>
            </x14:dxf>
          </x14:cfRule>
          <xm:sqref>AL176:AZ176</xm:sqref>
        </x14:conditionalFormatting>
        <x14:conditionalFormatting xmlns:xm="http://schemas.microsoft.com/office/excel/2006/main">
          <x14:cfRule type="expression" priority="4701231" id="{A3C7E6BE-A225-483C-A983-A915DB662C52}">
            <xm:f>$BA$4='Data entry'!$R63</xm:f>
            <x14:dxf>
              <fill>
                <patternFill>
                  <bgColor rgb="FFFF0000"/>
                </patternFill>
              </fill>
            </x14:dxf>
          </x14:cfRule>
          <xm:sqref>AY177:BK177</xm:sqref>
        </x14:conditionalFormatting>
        <x14:conditionalFormatting xmlns:xm="http://schemas.microsoft.com/office/excel/2006/main">
          <x14:cfRule type="expression" priority="4701232" id="{F5CF569A-8AFA-4CFF-8BD3-F04D8927A99F}">
            <xm:f>$BA$4='Data entry'!$R63</xm:f>
            <x14:dxf>
              <fill>
                <patternFill>
                  <bgColor rgb="FFFFFF00"/>
                </patternFill>
              </fill>
            </x14:dxf>
          </x14:cfRule>
          <xm:sqref>AM176:BA176</xm:sqref>
        </x14:conditionalFormatting>
        <x14:conditionalFormatting xmlns:xm="http://schemas.microsoft.com/office/excel/2006/main">
          <x14:cfRule type="expression" priority="4701233" id="{E4DAC94A-7983-4BFB-A87B-45B58561841A}">
            <xm:f>$BB$4='Data entry'!$R63</xm:f>
            <x14:dxf>
              <fill>
                <patternFill>
                  <bgColor rgb="FFFF0000"/>
                </patternFill>
              </fill>
            </x14:dxf>
          </x14:cfRule>
          <xm:sqref>AZ177:BL177</xm:sqref>
        </x14:conditionalFormatting>
        <x14:conditionalFormatting xmlns:xm="http://schemas.microsoft.com/office/excel/2006/main">
          <x14:cfRule type="expression" priority="4701234" id="{E63849C5-F39B-4B0E-8F8A-B532EDF2CBAE}">
            <xm:f>$BB$4='Data entry'!$R63</xm:f>
            <x14:dxf>
              <fill>
                <patternFill>
                  <bgColor rgb="FFFFFF00"/>
                </patternFill>
              </fill>
            </x14:dxf>
          </x14:cfRule>
          <xm:sqref>AN176:BB176</xm:sqref>
        </x14:conditionalFormatting>
        <x14:conditionalFormatting xmlns:xm="http://schemas.microsoft.com/office/excel/2006/main">
          <x14:cfRule type="expression" priority="4701235" id="{4FDC32D3-C1F5-455D-9AA4-A03359B72526}">
            <xm:f>$BC$4='Data entry'!$R63</xm:f>
            <x14:dxf>
              <fill>
                <patternFill>
                  <bgColor rgb="FFFF0000"/>
                </patternFill>
              </fill>
            </x14:dxf>
          </x14:cfRule>
          <xm:sqref>BA177:BM177</xm:sqref>
        </x14:conditionalFormatting>
        <x14:conditionalFormatting xmlns:xm="http://schemas.microsoft.com/office/excel/2006/main">
          <x14:cfRule type="expression" priority="4701236" id="{5F0D0C60-B233-4C56-B05D-98C99990877F}">
            <xm:f>$BC$4='Data entry'!$R63</xm:f>
            <x14:dxf>
              <fill>
                <patternFill>
                  <bgColor rgb="FFFFFF00"/>
                </patternFill>
              </fill>
            </x14:dxf>
          </x14:cfRule>
          <xm:sqref>AO176:BC176</xm:sqref>
        </x14:conditionalFormatting>
        <x14:conditionalFormatting xmlns:xm="http://schemas.microsoft.com/office/excel/2006/main">
          <x14:cfRule type="expression" priority="4701237" id="{9EBCB60F-8135-43B6-A0F3-548D4092CC98}">
            <xm:f>$BD$4='Data entry'!$R63</xm:f>
            <x14:dxf>
              <fill>
                <patternFill>
                  <bgColor rgb="FFFF0000"/>
                </patternFill>
              </fill>
            </x14:dxf>
          </x14:cfRule>
          <xm:sqref>BB177:BN177</xm:sqref>
        </x14:conditionalFormatting>
        <x14:conditionalFormatting xmlns:xm="http://schemas.microsoft.com/office/excel/2006/main">
          <x14:cfRule type="expression" priority="4701238" id="{961AF346-4A73-41ED-9A8D-27D431B09C05}">
            <xm:f>$BD$4='Data entry'!$R63</xm:f>
            <x14:dxf>
              <fill>
                <patternFill>
                  <bgColor rgb="FFFFFF00"/>
                </patternFill>
              </fill>
            </x14:dxf>
          </x14:cfRule>
          <xm:sqref>AP176:BD176</xm:sqref>
        </x14:conditionalFormatting>
        <x14:conditionalFormatting xmlns:xm="http://schemas.microsoft.com/office/excel/2006/main">
          <x14:cfRule type="expression" priority="4701239" id="{5A887026-27CD-4F8C-8BA6-1E92704C1CA6}">
            <xm:f>$BE$4='Data entry'!$R63</xm:f>
            <x14:dxf>
              <fill>
                <patternFill>
                  <bgColor rgb="FFFF0000"/>
                </patternFill>
              </fill>
            </x14:dxf>
          </x14:cfRule>
          <xm:sqref>BC177:BO177</xm:sqref>
        </x14:conditionalFormatting>
        <x14:conditionalFormatting xmlns:xm="http://schemas.microsoft.com/office/excel/2006/main">
          <x14:cfRule type="expression" priority="4701240" id="{7F46217B-A1E9-4515-B31E-E756FCD7C6D9}">
            <xm:f>$BE$4='Data entry'!$R63</xm:f>
            <x14:dxf>
              <fill>
                <patternFill>
                  <bgColor rgb="FFFFFF00"/>
                </patternFill>
              </fill>
            </x14:dxf>
          </x14:cfRule>
          <xm:sqref>AP176:BE176</xm:sqref>
        </x14:conditionalFormatting>
        <x14:conditionalFormatting xmlns:xm="http://schemas.microsoft.com/office/excel/2006/main">
          <x14:cfRule type="expression" priority="4701241" id="{F4D9285C-8CA0-4EF1-943E-6A462D47CC77}">
            <xm:f>$BF$4='Data entry'!$R63</xm:f>
            <x14:dxf>
              <fill>
                <patternFill>
                  <bgColor rgb="FFFF0000"/>
                </patternFill>
              </fill>
            </x14:dxf>
          </x14:cfRule>
          <xm:sqref>BD177:BP177</xm:sqref>
        </x14:conditionalFormatting>
        <x14:conditionalFormatting xmlns:xm="http://schemas.microsoft.com/office/excel/2006/main">
          <x14:cfRule type="expression" priority="4701242" id="{B9E4407D-651D-4DC0-9D61-3271D62A65E9}">
            <xm:f>$BF$4='Data entry'!$R63</xm:f>
            <x14:dxf>
              <fill>
                <patternFill>
                  <bgColor rgb="FFFFFF00"/>
                </patternFill>
              </fill>
            </x14:dxf>
          </x14:cfRule>
          <xm:sqref>AR176:BF176</xm:sqref>
        </x14:conditionalFormatting>
        <x14:conditionalFormatting xmlns:xm="http://schemas.microsoft.com/office/excel/2006/main">
          <x14:cfRule type="expression" priority="4701243" id="{4CDC062F-DDFF-4556-B941-08F919727F69}">
            <xm:f>$BG$4='Data entry'!$R63</xm:f>
            <x14:dxf>
              <fill>
                <patternFill>
                  <bgColor rgb="FFFF0000"/>
                </patternFill>
              </fill>
            </x14:dxf>
          </x14:cfRule>
          <xm:sqref>BE177:BQ177</xm:sqref>
        </x14:conditionalFormatting>
        <x14:conditionalFormatting xmlns:xm="http://schemas.microsoft.com/office/excel/2006/main">
          <x14:cfRule type="expression" priority="4701244" id="{789184FA-9055-433B-8A1B-92C7ED59E81F}">
            <xm:f>$BG$4='Data entry'!$R63</xm:f>
            <x14:dxf>
              <fill>
                <patternFill>
                  <bgColor rgb="FFFFFF00"/>
                </patternFill>
              </fill>
            </x14:dxf>
          </x14:cfRule>
          <xm:sqref>AS176:BG176</xm:sqref>
        </x14:conditionalFormatting>
        <x14:conditionalFormatting xmlns:xm="http://schemas.microsoft.com/office/excel/2006/main">
          <x14:cfRule type="expression" priority="4701245" id="{58651E5C-09C9-46C1-B95C-E8A578A49E15}">
            <xm:f>$BH$4='Data entry'!$R63</xm:f>
            <x14:dxf>
              <fill>
                <patternFill>
                  <bgColor rgb="FFFFFF00"/>
                </patternFill>
              </fill>
            </x14:dxf>
          </x14:cfRule>
          <xm:sqref>AT176:BH176</xm:sqref>
        </x14:conditionalFormatting>
        <x14:conditionalFormatting xmlns:xm="http://schemas.microsoft.com/office/excel/2006/main">
          <x14:cfRule type="expression" priority="4701246" id="{97B30B86-8311-4DC0-A533-8C0D53F37839}">
            <xm:f>$BH$4='Data entry'!$R63</xm:f>
            <x14:dxf>
              <fill>
                <patternFill>
                  <bgColor rgb="FFFF0000"/>
                </patternFill>
              </fill>
            </x14:dxf>
          </x14:cfRule>
          <xm:sqref>BF177:BR177</xm:sqref>
        </x14:conditionalFormatting>
        <x14:conditionalFormatting xmlns:xm="http://schemas.microsoft.com/office/excel/2006/main">
          <x14:cfRule type="expression" priority="4701247" id="{78344C0C-5AEA-40B1-A20C-6D77DF58E1F5}">
            <xm:f>$BI$4='Data entry'!$R63</xm:f>
            <x14:dxf>
              <fill>
                <patternFill>
                  <bgColor rgb="FFFFFF00"/>
                </patternFill>
              </fill>
            </x14:dxf>
          </x14:cfRule>
          <xm:sqref>AU176:BI176</xm:sqref>
        </x14:conditionalFormatting>
        <x14:conditionalFormatting xmlns:xm="http://schemas.microsoft.com/office/excel/2006/main">
          <x14:cfRule type="expression" priority="4701248" id="{A9CE044F-482E-4F25-B28F-89ACC58502B1}">
            <xm:f>$BI$4='Data entry'!$R63</xm:f>
            <x14:dxf>
              <fill>
                <patternFill>
                  <bgColor rgb="FFFF0000"/>
                </patternFill>
              </fill>
            </x14:dxf>
          </x14:cfRule>
          <xm:sqref>BG177:BS177</xm:sqref>
        </x14:conditionalFormatting>
        <x14:conditionalFormatting xmlns:xm="http://schemas.microsoft.com/office/excel/2006/main">
          <x14:cfRule type="expression" priority="4701249" id="{F63BE0EB-3C71-4456-BEF0-11180AB7A8BB}">
            <xm:f>$BJ$4='Data entry'!$R63</xm:f>
            <x14:dxf>
              <fill>
                <patternFill>
                  <bgColor rgb="FFFFFF00"/>
                </patternFill>
              </fill>
            </x14:dxf>
          </x14:cfRule>
          <xm:sqref>AV176:BJ176</xm:sqref>
        </x14:conditionalFormatting>
        <x14:conditionalFormatting xmlns:xm="http://schemas.microsoft.com/office/excel/2006/main">
          <x14:cfRule type="expression" priority="4701250" id="{478A5DCB-1DAA-4497-A6CC-B4F01FB96D10}">
            <xm:f>$BJ$4='Data entry'!$R63</xm:f>
            <x14:dxf>
              <fill>
                <patternFill>
                  <bgColor rgb="FFFF0000"/>
                </patternFill>
              </fill>
            </x14:dxf>
          </x14:cfRule>
          <xm:sqref>BH177:BT177</xm:sqref>
        </x14:conditionalFormatting>
        <x14:conditionalFormatting xmlns:xm="http://schemas.microsoft.com/office/excel/2006/main">
          <x14:cfRule type="expression" priority="4701251" id="{CDE4AD5B-65A6-4FA4-9EC0-8D05F22312A9}">
            <xm:f>$BK$4='Data entry'!$R63</xm:f>
            <x14:dxf>
              <fill>
                <patternFill>
                  <bgColor rgb="FFFF0000"/>
                </patternFill>
              </fill>
            </x14:dxf>
          </x14:cfRule>
          <xm:sqref>BI177:BU177</xm:sqref>
        </x14:conditionalFormatting>
        <x14:conditionalFormatting xmlns:xm="http://schemas.microsoft.com/office/excel/2006/main">
          <x14:cfRule type="expression" priority="4701252" id="{AB32E790-6CD8-4D11-9A69-57D785FE4BBC}">
            <xm:f>$BK$4='Data entry'!$R63</xm:f>
            <x14:dxf>
              <fill>
                <patternFill>
                  <bgColor rgb="FFFFFF00"/>
                </patternFill>
              </fill>
            </x14:dxf>
          </x14:cfRule>
          <xm:sqref>AW176:BK176</xm:sqref>
        </x14:conditionalFormatting>
        <x14:conditionalFormatting xmlns:xm="http://schemas.microsoft.com/office/excel/2006/main">
          <x14:cfRule type="expression" priority="4701253" id="{99810EB9-805C-43D8-852A-EEECE7874CDB}">
            <xm:f>$BL$4='Data entry'!$R63</xm:f>
            <x14:dxf>
              <fill>
                <patternFill>
                  <bgColor rgb="FFFF0000"/>
                </patternFill>
              </fill>
            </x14:dxf>
          </x14:cfRule>
          <xm:sqref>BJ177:BV177</xm:sqref>
        </x14:conditionalFormatting>
        <x14:conditionalFormatting xmlns:xm="http://schemas.microsoft.com/office/excel/2006/main">
          <x14:cfRule type="expression" priority="4701254" id="{BF5F5475-4E46-479C-97A6-D5175F5D1803}">
            <xm:f>$BL$4='Data entry'!$R63</xm:f>
            <x14:dxf>
              <fill>
                <patternFill>
                  <bgColor rgb="FFFFFF00"/>
                </patternFill>
              </fill>
            </x14:dxf>
          </x14:cfRule>
          <xm:sqref>AX176:BL176</xm:sqref>
        </x14:conditionalFormatting>
        <x14:conditionalFormatting xmlns:xm="http://schemas.microsoft.com/office/excel/2006/main">
          <x14:cfRule type="expression" priority="4701255" id="{B86FDF2F-16C9-46B1-847E-7EA1A8A34B9D}">
            <xm:f>$BM$4='Data entry'!$R63</xm:f>
            <x14:dxf>
              <fill>
                <patternFill>
                  <bgColor rgb="FFFF0000"/>
                </patternFill>
              </fill>
            </x14:dxf>
          </x14:cfRule>
          <xm:sqref>BK177:BW177</xm:sqref>
        </x14:conditionalFormatting>
        <x14:conditionalFormatting xmlns:xm="http://schemas.microsoft.com/office/excel/2006/main">
          <x14:cfRule type="expression" priority="4701256" id="{72FD189F-4CED-400D-9FEF-21A328970A4D}">
            <xm:f>$BM$4='Data entry'!$R63</xm:f>
            <x14:dxf>
              <fill>
                <patternFill>
                  <bgColor rgb="FFFFFF00"/>
                </patternFill>
              </fill>
            </x14:dxf>
          </x14:cfRule>
          <xm:sqref>AY176:BM176</xm:sqref>
        </x14:conditionalFormatting>
        <x14:conditionalFormatting xmlns:xm="http://schemas.microsoft.com/office/excel/2006/main">
          <x14:cfRule type="expression" priority="4701257" id="{BBBBF859-D5A7-4F55-BFBF-8A77E3357590}">
            <xm:f>$BN$4='Data entry'!$R63</xm:f>
            <x14:dxf>
              <fill>
                <patternFill>
                  <bgColor rgb="FFFF0000"/>
                </patternFill>
              </fill>
            </x14:dxf>
          </x14:cfRule>
          <xm:sqref>BL177:BX177</xm:sqref>
        </x14:conditionalFormatting>
        <x14:conditionalFormatting xmlns:xm="http://schemas.microsoft.com/office/excel/2006/main">
          <x14:cfRule type="expression" priority="4701258" id="{50CB1D75-0FD5-4D24-92B1-E8A41DC6575C}">
            <xm:f>$BN$4='Data entry'!$R63</xm:f>
            <x14:dxf>
              <fill>
                <patternFill>
                  <bgColor rgb="FFFFFF00"/>
                </patternFill>
              </fill>
            </x14:dxf>
          </x14:cfRule>
          <xm:sqref>AZ176:BN176</xm:sqref>
        </x14:conditionalFormatting>
        <x14:conditionalFormatting xmlns:xm="http://schemas.microsoft.com/office/excel/2006/main">
          <x14:cfRule type="expression" priority="4701259" id="{9EF3226D-E8FC-496B-A6FF-71776AEA54D1}">
            <xm:f>$BO$4='Data entry'!$R63</xm:f>
            <x14:dxf>
              <fill>
                <patternFill>
                  <bgColor rgb="FFFF0000"/>
                </patternFill>
              </fill>
            </x14:dxf>
          </x14:cfRule>
          <xm:sqref>BM177:BY177</xm:sqref>
        </x14:conditionalFormatting>
        <x14:conditionalFormatting xmlns:xm="http://schemas.microsoft.com/office/excel/2006/main">
          <x14:cfRule type="expression" priority="4701260" id="{3B86C801-ECFE-4D05-8AA5-1581116BAFBC}">
            <xm:f>$BO$4='Data entry'!$R63</xm:f>
            <x14:dxf>
              <fill>
                <patternFill>
                  <bgColor rgb="FFFFFF00"/>
                </patternFill>
              </fill>
            </x14:dxf>
          </x14:cfRule>
          <xm:sqref>BA176:BO176</xm:sqref>
        </x14:conditionalFormatting>
        <x14:conditionalFormatting xmlns:xm="http://schemas.microsoft.com/office/excel/2006/main">
          <x14:cfRule type="expression" priority="4701261" id="{058A23EC-3371-4A02-9F20-1ECA603AC6BC}">
            <xm:f>$BP$4='Data entry'!$R63</xm:f>
            <x14:dxf>
              <fill>
                <patternFill>
                  <bgColor rgb="FFFF0000"/>
                </patternFill>
              </fill>
            </x14:dxf>
          </x14:cfRule>
          <xm:sqref>BN177:BZ177</xm:sqref>
        </x14:conditionalFormatting>
        <x14:conditionalFormatting xmlns:xm="http://schemas.microsoft.com/office/excel/2006/main">
          <x14:cfRule type="expression" priority="4701262" id="{3E711E31-3992-4555-AB22-87133D60CD15}">
            <xm:f>$BP$4='Data entry'!$R63</xm:f>
            <x14:dxf>
              <fill>
                <patternFill>
                  <bgColor rgb="FFFFFF00"/>
                </patternFill>
              </fill>
            </x14:dxf>
          </x14:cfRule>
          <xm:sqref>BB176:BP176</xm:sqref>
        </x14:conditionalFormatting>
        <x14:conditionalFormatting xmlns:xm="http://schemas.microsoft.com/office/excel/2006/main">
          <x14:cfRule type="expression" priority="4701263" id="{23E9F8B9-37D5-4730-9453-6F23E8ECBBE3}">
            <xm:f>$BQ$4='Data entry'!$R63</xm:f>
            <x14:dxf>
              <fill>
                <patternFill>
                  <bgColor rgb="FFFFFF00"/>
                </patternFill>
              </fill>
            </x14:dxf>
          </x14:cfRule>
          <xm:sqref>BC176:BQ176</xm:sqref>
        </x14:conditionalFormatting>
        <x14:conditionalFormatting xmlns:xm="http://schemas.microsoft.com/office/excel/2006/main">
          <x14:cfRule type="expression" priority="4701264" id="{BCFD92F6-AAD3-44FD-BC61-A292A81B883E}">
            <xm:f>$BQ$4='Data entry'!$R63</xm:f>
            <x14:dxf>
              <fill>
                <patternFill>
                  <bgColor rgb="FFFF0000"/>
                </patternFill>
              </fill>
            </x14:dxf>
          </x14:cfRule>
          <xm:sqref>BO177:CA177</xm:sqref>
        </x14:conditionalFormatting>
        <x14:conditionalFormatting xmlns:xm="http://schemas.microsoft.com/office/excel/2006/main">
          <x14:cfRule type="expression" priority="4701265" id="{357D60E5-F356-477E-8020-A18F42C02832}">
            <xm:f>$BR$4='Data entry'!$R63</xm:f>
            <x14:dxf>
              <fill>
                <patternFill>
                  <bgColor rgb="FFFFFF00"/>
                </patternFill>
              </fill>
            </x14:dxf>
          </x14:cfRule>
          <xm:sqref>BD176:BR176</xm:sqref>
        </x14:conditionalFormatting>
        <x14:conditionalFormatting xmlns:xm="http://schemas.microsoft.com/office/excel/2006/main">
          <x14:cfRule type="expression" priority="4701266" id="{DA2B6511-43B3-432D-B6AA-1DB1188B90A6}">
            <xm:f>$BR$4='Data entry'!$R63</xm:f>
            <x14:dxf>
              <fill>
                <patternFill>
                  <bgColor rgb="FFFF0000"/>
                </patternFill>
              </fill>
            </x14:dxf>
          </x14:cfRule>
          <xm:sqref>BP177:CB177</xm:sqref>
        </x14:conditionalFormatting>
        <x14:conditionalFormatting xmlns:xm="http://schemas.microsoft.com/office/excel/2006/main">
          <x14:cfRule type="expression" priority="4701267" id="{0D5F64E4-4136-4BFA-B833-CC8578525D9C}">
            <xm:f>$BS$4='Data entry'!$R63</xm:f>
            <x14:dxf>
              <fill>
                <patternFill>
                  <bgColor rgb="FFFFFF00"/>
                </patternFill>
              </fill>
            </x14:dxf>
          </x14:cfRule>
          <xm:sqref>BE176:BS176</xm:sqref>
        </x14:conditionalFormatting>
        <x14:conditionalFormatting xmlns:xm="http://schemas.microsoft.com/office/excel/2006/main">
          <x14:cfRule type="expression" priority="4701268" id="{AC94D468-F078-4AE2-8771-102996E07B09}">
            <xm:f>$BS$4='Data entry'!$R63</xm:f>
            <x14:dxf>
              <fill>
                <patternFill>
                  <bgColor rgb="FFFF0000"/>
                </patternFill>
              </fill>
            </x14:dxf>
          </x14:cfRule>
          <xm:sqref>BQ177:CC177</xm:sqref>
        </x14:conditionalFormatting>
        <x14:conditionalFormatting xmlns:xm="http://schemas.microsoft.com/office/excel/2006/main">
          <x14:cfRule type="expression" priority="4701269" id="{10E78F76-181E-4F19-9F89-7DD36D3EFE30}">
            <xm:f>$BT$4='Data entry'!$R63</xm:f>
            <x14:dxf>
              <fill>
                <patternFill>
                  <bgColor rgb="FFFFFF00"/>
                </patternFill>
              </fill>
            </x14:dxf>
          </x14:cfRule>
          <xm:sqref>BF176:BT176</xm:sqref>
        </x14:conditionalFormatting>
        <x14:conditionalFormatting xmlns:xm="http://schemas.microsoft.com/office/excel/2006/main">
          <x14:cfRule type="expression" priority="4701270" id="{6A5FADC6-9512-4EFB-90A5-7B5244D10D1F}">
            <xm:f>$BT$4='Data entry'!$R63</xm:f>
            <x14:dxf>
              <fill>
                <patternFill>
                  <bgColor rgb="FFFF0000"/>
                </patternFill>
              </fill>
            </x14:dxf>
          </x14:cfRule>
          <xm:sqref>BR177:CC177</xm:sqref>
        </x14:conditionalFormatting>
        <x14:conditionalFormatting xmlns:xm="http://schemas.microsoft.com/office/excel/2006/main">
          <x14:cfRule type="expression" priority="4701271" id="{A51139D1-8841-4B96-B8CB-DFE3808765CF}">
            <xm:f>$BU$4='Data entry'!$R63</xm:f>
            <x14:dxf>
              <fill>
                <patternFill>
                  <bgColor rgb="FFFFFF00"/>
                </patternFill>
              </fill>
            </x14:dxf>
          </x14:cfRule>
          <xm:sqref>BG176:BU176</xm:sqref>
        </x14:conditionalFormatting>
        <x14:conditionalFormatting xmlns:xm="http://schemas.microsoft.com/office/excel/2006/main">
          <x14:cfRule type="expression" priority="4701272" id="{55CA7258-760F-4BFF-ACB5-A70FEB3E7981}">
            <xm:f>$BU$4='Data entry'!$R63</xm:f>
            <x14:dxf>
              <fill>
                <patternFill>
                  <bgColor rgb="FFFF0000"/>
                </patternFill>
              </fill>
            </x14:dxf>
          </x14:cfRule>
          <xm:sqref>BS177:CC177</xm:sqref>
        </x14:conditionalFormatting>
        <x14:conditionalFormatting xmlns:xm="http://schemas.microsoft.com/office/excel/2006/main">
          <x14:cfRule type="expression" priority="4701273" id="{A922B218-64DB-4CBB-9AB8-FE0EBB44E09E}">
            <xm:f>$BV$4='Data entry'!$R63</xm:f>
            <x14:dxf>
              <fill>
                <patternFill>
                  <bgColor rgb="FFFFFF00"/>
                </patternFill>
              </fill>
            </x14:dxf>
          </x14:cfRule>
          <xm:sqref>BH176:BV176</xm:sqref>
        </x14:conditionalFormatting>
        <x14:conditionalFormatting xmlns:xm="http://schemas.microsoft.com/office/excel/2006/main">
          <x14:cfRule type="expression" priority="4701274" id="{C98E908A-CD31-4778-B41C-7AFB9DBE639A}">
            <xm:f>$BV$4='Data entry'!$R63</xm:f>
            <x14:dxf>
              <fill>
                <patternFill>
                  <bgColor rgb="FFFF0000"/>
                </patternFill>
              </fill>
            </x14:dxf>
          </x14:cfRule>
          <xm:sqref>BT177:CC177</xm:sqref>
        </x14:conditionalFormatting>
        <x14:conditionalFormatting xmlns:xm="http://schemas.microsoft.com/office/excel/2006/main">
          <x14:cfRule type="expression" priority="4701275" id="{465CCCA3-B4DB-4B61-8AC7-8A5E4CEC9E3F}">
            <xm:f>$BW$4='Data entry'!$R63</xm:f>
            <x14:dxf>
              <fill>
                <patternFill>
                  <bgColor rgb="FFFFFF00"/>
                </patternFill>
              </fill>
            </x14:dxf>
          </x14:cfRule>
          <xm:sqref>BI176:BW176</xm:sqref>
        </x14:conditionalFormatting>
        <x14:conditionalFormatting xmlns:xm="http://schemas.microsoft.com/office/excel/2006/main">
          <x14:cfRule type="expression" priority="4701276" id="{37566F97-6D06-400B-A709-FE657B07687F}">
            <xm:f>$BW$4='Data entry'!$R63</xm:f>
            <x14:dxf>
              <fill>
                <patternFill>
                  <bgColor rgb="FFFF0000"/>
                </patternFill>
              </fill>
            </x14:dxf>
          </x14:cfRule>
          <xm:sqref>BU177:CC177</xm:sqref>
        </x14:conditionalFormatting>
        <x14:conditionalFormatting xmlns:xm="http://schemas.microsoft.com/office/excel/2006/main">
          <x14:cfRule type="expression" priority="4701277" id="{D8FBA3AC-5CF0-4E45-97CA-1D4DEE729ADA}">
            <xm:f>$BX$4='Data entry'!$R63</xm:f>
            <x14:dxf>
              <fill>
                <patternFill>
                  <bgColor rgb="FFFFFF00"/>
                </patternFill>
              </fill>
            </x14:dxf>
          </x14:cfRule>
          <xm:sqref>BJ176:BX176</xm:sqref>
        </x14:conditionalFormatting>
        <x14:conditionalFormatting xmlns:xm="http://schemas.microsoft.com/office/excel/2006/main">
          <x14:cfRule type="expression" priority="4701278" id="{E077C84B-A94F-431D-B232-4AFCC7C64F54}">
            <xm:f>$BX$4='Data entry'!$R63</xm:f>
            <x14:dxf>
              <fill>
                <patternFill>
                  <bgColor rgb="FFFF0000"/>
                </patternFill>
              </fill>
            </x14:dxf>
          </x14:cfRule>
          <xm:sqref>BV177:CC177</xm:sqref>
        </x14:conditionalFormatting>
        <x14:conditionalFormatting xmlns:xm="http://schemas.microsoft.com/office/excel/2006/main">
          <x14:cfRule type="expression" priority="4701279" id="{63783BA8-0C97-4A44-86FD-7A2BCF1B9957}">
            <xm:f>$BY$4='Data entry'!$R63</xm:f>
            <x14:dxf>
              <fill>
                <patternFill>
                  <bgColor rgb="FFFFFF00"/>
                </patternFill>
              </fill>
            </x14:dxf>
          </x14:cfRule>
          <xm:sqref>BK176:BY176</xm:sqref>
        </x14:conditionalFormatting>
        <x14:conditionalFormatting xmlns:xm="http://schemas.microsoft.com/office/excel/2006/main">
          <x14:cfRule type="expression" priority="4701280" id="{BB8DB8B4-B71B-46D2-AEE7-346F16103F74}">
            <xm:f>$BY$4='Data entry'!$R63</xm:f>
            <x14:dxf>
              <fill>
                <patternFill>
                  <bgColor rgb="FFFF0000"/>
                </patternFill>
              </fill>
            </x14:dxf>
          </x14:cfRule>
          <xm:sqref>BW177:CC177</xm:sqref>
        </x14:conditionalFormatting>
        <x14:conditionalFormatting xmlns:xm="http://schemas.microsoft.com/office/excel/2006/main">
          <x14:cfRule type="expression" priority="4701281" id="{1B638B98-2B06-4FEB-90C1-446A3E0A3979}">
            <xm:f>$BZ$4='Data entry'!$R63</xm:f>
            <x14:dxf>
              <fill>
                <patternFill>
                  <bgColor rgb="FFFFFF00"/>
                </patternFill>
              </fill>
            </x14:dxf>
          </x14:cfRule>
          <xm:sqref>BL176:BZ176</xm:sqref>
        </x14:conditionalFormatting>
        <x14:conditionalFormatting xmlns:xm="http://schemas.microsoft.com/office/excel/2006/main">
          <x14:cfRule type="expression" priority="4701282" id="{D3A0A2F8-D1B2-4DC5-B2A9-0EF53074E685}">
            <xm:f>$BZ$4='Data entry'!$R63</xm:f>
            <x14:dxf>
              <fill>
                <patternFill>
                  <bgColor rgb="FFFF0000"/>
                </patternFill>
              </fill>
            </x14:dxf>
          </x14:cfRule>
          <xm:sqref>BX177:CC177</xm:sqref>
        </x14:conditionalFormatting>
        <x14:conditionalFormatting xmlns:xm="http://schemas.microsoft.com/office/excel/2006/main">
          <x14:cfRule type="expression" priority="4701283" id="{83F6D018-7D3B-4D33-9998-11572F2F2FF5}">
            <xm:f>$CA$4='Data entry'!$R63</xm:f>
            <x14:dxf>
              <fill>
                <patternFill>
                  <bgColor rgb="FFFFFF00"/>
                </patternFill>
              </fill>
            </x14:dxf>
          </x14:cfRule>
          <xm:sqref>BM176:CA176</xm:sqref>
        </x14:conditionalFormatting>
        <x14:conditionalFormatting xmlns:xm="http://schemas.microsoft.com/office/excel/2006/main">
          <x14:cfRule type="expression" priority="4701284" id="{8E6D0B51-5626-4ED9-9072-C7A2C139704F}">
            <xm:f>$CA$4='Data entry'!$R63</xm:f>
            <x14:dxf>
              <fill>
                <patternFill>
                  <bgColor rgb="FFFF0000"/>
                </patternFill>
              </fill>
            </x14:dxf>
          </x14:cfRule>
          <xm:sqref>BY177:CC177</xm:sqref>
        </x14:conditionalFormatting>
        <x14:conditionalFormatting xmlns:xm="http://schemas.microsoft.com/office/excel/2006/main">
          <x14:cfRule type="expression" priority="4701285" id="{E1886EE4-3BDE-43A9-9F4B-79377FEC37FE}">
            <xm:f>$CB$4='Data entry'!$R63</xm:f>
            <x14:dxf>
              <fill>
                <patternFill>
                  <bgColor rgb="FFFFFF00"/>
                </patternFill>
              </fill>
            </x14:dxf>
          </x14:cfRule>
          <xm:sqref>BN176:CB176</xm:sqref>
        </x14:conditionalFormatting>
        <x14:conditionalFormatting xmlns:xm="http://schemas.microsoft.com/office/excel/2006/main">
          <x14:cfRule type="expression" priority="4701286" id="{ADEF572A-6C18-4602-BB86-01C96D36E07E}">
            <xm:f>$CB$4='Data entry'!$R63</xm:f>
            <x14:dxf>
              <fill>
                <patternFill>
                  <bgColor rgb="FFFF0000"/>
                </patternFill>
              </fill>
            </x14:dxf>
          </x14:cfRule>
          <xm:sqref>BZ177:CC177</xm:sqref>
        </x14:conditionalFormatting>
        <x14:conditionalFormatting xmlns:xm="http://schemas.microsoft.com/office/excel/2006/main">
          <x14:cfRule type="expression" priority="4701287" id="{7984E1C9-E073-4955-8543-62145CB6D008}">
            <xm:f>$CC$4='Data entry'!$R63</xm:f>
            <x14:dxf>
              <fill>
                <patternFill>
                  <bgColor rgb="FFFFFF00"/>
                </patternFill>
              </fill>
            </x14:dxf>
          </x14:cfRule>
          <xm:sqref>BO176:CC176</xm:sqref>
        </x14:conditionalFormatting>
        <x14:conditionalFormatting xmlns:xm="http://schemas.microsoft.com/office/excel/2006/main">
          <x14:cfRule type="expression" priority="4701288" id="{18A957B3-59FA-4698-BA92-2A208FF18E2F}">
            <xm:f>$CC$4='Data entry'!$R63</xm:f>
            <x14:dxf>
              <fill>
                <patternFill>
                  <bgColor rgb="FFFF0000"/>
                </patternFill>
              </fill>
            </x14:dxf>
          </x14:cfRule>
          <xm:sqref>CA177:CC177</xm:sqref>
        </x14:conditionalFormatting>
        <x14:conditionalFormatting xmlns:xm="http://schemas.microsoft.com/office/excel/2006/main">
          <x14:cfRule type="expression" priority="4701375" id="{5B0DB825-B7C2-40AC-B7EF-F267F054CFB9}">
            <xm:f>$U$4='Data entry'!$R64</xm:f>
            <x14:dxf>
              <fill>
                <patternFill>
                  <bgColor rgb="FFFF0000"/>
                </patternFill>
              </fill>
            </x14:dxf>
          </x14:cfRule>
          <xm:sqref>S180:AE180</xm:sqref>
        </x14:conditionalFormatting>
        <x14:conditionalFormatting xmlns:xm="http://schemas.microsoft.com/office/excel/2006/main">
          <x14:cfRule type="expression" priority="4701376" id="{18311200-E2BB-400F-B594-3B9A2C6068C2}">
            <xm:f>$V$4='Data entry'!$R64</xm:f>
            <x14:dxf>
              <fill>
                <patternFill>
                  <bgColor rgb="FFFF0000"/>
                </patternFill>
              </fill>
            </x14:dxf>
          </x14:cfRule>
          <xm:sqref>T180:AF180</xm:sqref>
        </x14:conditionalFormatting>
        <x14:conditionalFormatting xmlns:xm="http://schemas.microsoft.com/office/excel/2006/main">
          <x14:cfRule type="expression" priority="4701377" id="{D6DFB621-1A58-4C59-A987-ECAD0EB2D32B}">
            <xm:f>$V$4='Data entry'!$R64</xm:f>
            <x14:dxf>
              <fill>
                <patternFill>
                  <bgColor rgb="FFFFFF00"/>
                </patternFill>
              </fill>
            </x14:dxf>
          </x14:cfRule>
          <xm:sqref>H179:V179</xm:sqref>
        </x14:conditionalFormatting>
        <x14:conditionalFormatting xmlns:xm="http://schemas.microsoft.com/office/excel/2006/main">
          <x14:cfRule type="expression" priority="4701378" id="{5F87A680-DC5F-433D-A779-B7A534ACCDA9}">
            <xm:f>$W$4='Data entry'!$R64</xm:f>
            <x14:dxf>
              <fill>
                <patternFill>
                  <bgColor rgb="FFFF0000"/>
                </patternFill>
              </fill>
            </x14:dxf>
          </x14:cfRule>
          <xm:sqref>U180:AG180</xm:sqref>
        </x14:conditionalFormatting>
        <x14:conditionalFormatting xmlns:xm="http://schemas.microsoft.com/office/excel/2006/main">
          <x14:cfRule type="expression" priority="4701379" id="{964539FF-A92C-4F68-B268-B7157A32678C}">
            <xm:f>$W$4='Data entry'!$R64</xm:f>
            <x14:dxf>
              <fill>
                <patternFill>
                  <bgColor rgb="FFFFFF00"/>
                </patternFill>
              </fill>
            </x14:dxf>
          </x14:cfRule>
          <xm:sqref>I179:W179</xm:sqref>
        </x14:conditionalFormatting>
        <x14:conditionalFormatting xmlns:xm="http://schemas.microsoft.com/office/excel/2006/main">
          <x14:cfRule type="expression" priority="4701380" id="{46C1533A-F090-4A90-9309-3F59EC3FD3B0}">
            <xm:f>$X$4='Data entry'!$R64</xm:f>
            <x14:dxf>
              <fill>
                <patternFill>
                  <bgColor rgb="FFFF0000"/>
                </patternFill>
              </fill>
            </x14:dxf>
          </x14:cfRule>
          <xm:sqref>V180:AH180</xm:sqref>
        </x14:conditionalFormatting>
        <x14:conditionalFormatting xmlns:xm="http://schemas.microsoft.com/office/excel/2006/main">
          <x14:cfRule type="expression" priority="4701381" id="{7C70E81C-DDD4-4D75-933A-4F6A39893184}">
            <xm:f>$X$4='Data entry'!$R64</xm:f>
            <x14:dxf>
              <fill>
                <patternFill>
                  <bgColor rgb="FFFFFF00"/>
                </patternFill>
              </fill>
            </x14:dxf>
          </x14:cfRule>
          <xm:sqref>J179:X179</xm:sqref>
        </x14:conditionalFormatting>
        <x14:conditionalFormatting xmlns:xm="http://schemas.microsoft.com/office/excel/2006/main">
          <x14:cfRule type="expression" priority="4701382" id="{561AF073-0EF8-4B72-A119-40A639C4359D}">
            <xm:f>$Y$4='Data entry'!$R64</xm:f>
            <x14:dxf>
              <fill>
                <patternFill>
                  <bgColor rgb="FFFF0000"/>
                </patternFill>
              </fill>
            </x14:dxf>
          </x14:cfRule>
          <xm:sqref>W180:AI180</xm:sqref>
        </x14:conditionalFormatting>
        <x14:conditionalFormatting xmlns:xm="http://schemas.microsoft.com/office/excel/2006/main">
          <x14:cfRule type="expression" priority="4701383" id="{F242E808-8F07-4A89-9524-7D4C767CE357}">
            <xm:f>$Y$4='Data entry'!$R64</xm:f>
            <x14:dxf>
              <fill>
                <patternFill>
                  <bgColor rgb="FFFFFF00"/>
                </patternFill>
              </fill>
            </x14:dxf>
          </x14:cfRule>
          <xm:sqref>K179:Y179</xm:sqref>
        </x14:conditionalFormatting>
        <x14:conditionalFormatting xmlns:xm="http://schemas.microsoft.com/office/excel/2006/main">
          <x14:cfRule type="expression" priority="4701384" id="{DD601058-982B-4218-BD9D-64BB823C2633}">
            <xm:f>$Z$4='Data entry'!$R64</xm:f>
            <x14:dxf>
              <fill>
                <patternFill>
                  <bgColor rgb="FFFF0000"/>
                </patternFill>
              </fill>
            </x14:dxf>
          </x14:cfRule>
          <xm:sqref>X180:AJ180</xm:sqref>
        </x14:conditionalFormatting>
        <x14:conditionalFormatting xmlns:xm="http://schemas.microsoft.com/office/excel/2006/main">
          <x14:cfRule type="expression" priority="4701385" id="{C9DB141D-79F6-4093-92A3-7BF7A1622985}">
            <xm:f>$Z$4='Data entry'!$R64</xm:f>
            <x14:dxf>
              <fill>
                <patternFill>
                  <bgColor rgb="FFFFFF00"/>
                </patternFill>
              </fill>
            </x14:dxf>
          </x14:cfRule>
          <xm:sqref>L179:Z179</xm:sqref>
        </x14:conditionalFormatting>
        <x14:conditionalFormatting xmlns:xm="http://schemas.microsoft.com/office/excel/2006/main">
          <x14:cfRule type="expression" priority="4701386" id="{710EB8D3-F5C0-4E3C-8214-2D0C4E26F649}">
            <xm:f>$AA$4='Data entry'!$R64</xm:f>
            <x14:dxf>
              <fill>
                <patternFill>
                  <bgColor rgb="FFFF0000"/>
                </patternFill>
              </fill>
            </x14:dxf>
          </x14:cfRule>
          <xm:sqref>Y180:AK180</xm:sqref>
        </x14:conditionalFormatting>
        <x14:conditionalFormatting xmlns:xm="http://schemas.microsoft.com/office/excel/2006/main">
          <x14:cfRule type="expression" priority="4701387" id="{33825D69-C967-4D27-B395-5D44A3083802}">
            <xm:f>$AA$4='Data entry'!$R64</xm:f>
            <x14:dxf>
              <fill>
                <patternFill>
                  <bgColor rgb="FFFFFF00"/>
                </patternFill>
              </fill>
            </x14:dxf>
          </x14:cfRule>
          <xm:sqref>M179:AA179</xm:sqref>
        </x14:conditionalFormatting>
        <x14:conditionalFormatting xmlns:xm="http://schemas.microsoft.com/office/excel/2006/main">
          <x14:cfRule type="expression" priority="4701388" id="{9811A97D-351B-4D32-8754-AF433277E62B}">
            <xm:f>$AB$4='Data entry'!$R64</xm:f>
            <x14:dxf>
              <fill>
                <patternFill>
                  <bgColor rgb="FFFF0000"/>
                </patternFill>
              </fill>
            </x14:dxf>
          </x14:cfRule>
          <xm:sqref>Z180:AL180</xm:sqref>
        </x14:conditionalFormatting>
        <x14:conditionalFormatting xmlns:xm="http://schemas.microsoft.com/office/excel/2006/main">
          <x14:cfRule type="expression" priority="4701389" id="{6DD3E556-C72E-438B-92DA-3096ED1E4178}">
            <xm:f>$AB$4='Data entry'!$R64</xm:f>
            <x14:dxf>
              <fill>
                <patternFill>
                  <bgColor rgb="FFFFFF00"/>
                </patternFill>
              </fill>
            </x14:dxf>
          </x14:cfRule>
          <xm:sqref>N179:AB179</xm:sqref>
        </x14:conditionalFormatting>
        <x14:conditionalFormatting xmlns:xm="http://schemas.microsoft.com/office/excel/2006/main">
          <x14:cfRule type="expression" priority="4701390" id="{C0DF7A1B-D6BC-4371-BD3A-F0708147FA1C}">
            <xm:f>$AC$4='Data entry'!$R64</xm:f>
            <x14:dxf>
              <fill>
                <patternFill>
                  <bgColor rgb="FFFF0000"/>
                </patternFill>
              </fill>
            </x14:dxf>
          </x14:cfRule>
          <xm:sqref>AA180:AM180</xm:sqref>
        </x14:conditionalFormatting>
        <x14:conditionalFormatting xmlns:xm="http://schemas.microsoft.com/office/excel/2006/main">
          <x14:cfRule type="expression" priority="4701391" id="{DB2E1F48-AF0E-41F9-A976-6B1963CA5711}">
            <xm:f>$AC$4='Data entry'!$R64</xm:f>
            <x14:dxf>
              <fill>
                <patternFill>
                  <bgColor rgb="FFFFFF00"/>
                </patternFill>
              </fill>
            </x14:dxf>
          </x14:cfRule>
          <xm:sqref>O179:AC179</xm:sqref>
        </x14:conditionalFormatting>
        <x14:conditionalFormatting xmlns:xm="http://schemas.microsoft.com/office/excel/2006/main">
          <x14:cfRule type="expression" priority="4701392" id="{89909907-F9A9-4AF9-BC1D-304710A43F50}">
            <xm:f>$AD$4='Data entry'!$R64</xm:f>
            <x14:dxf>
              <fill>
                <patternFill>
                  <bgColor rgb="FFFF0000"/>
                </patternFill>
              </fill>
            </x14:dxf>
          </x14:cfRule>
          <xm:sqref>AB180:AN180</xm:sqref>
        </x14:conditionalFormatting>
        <x14:conditionalFormatting xmlns:xm="http://schemas.microsoft.com/office/excel/2006/main">
          <x14:cfRule type="expression" priority="4701393" id="{729676B7-E331-43A4-ACC9-850DCEE76A0E}">
            <xm:f>$AD$4='Data entry'!$R64</xm:f>
            <x14:dxf>
              <fill>
                <patternFill>
                  <bgColor rgb="FFFFFF00"/>
                </patternFill>
              </fill>
            </x14:dxf>
          </x14:cfRule>
          <xm:sqref>P179:AD179</xm:sqref>
        </x14:conditionalFormatting>
        <x14:conditionalFormatting xmlns:xm="http://schemas.microsoft.com/office/excel/2006/main">
          <x14:cfRule type="expression" priority="4701394" id="{00DA2C55-350E-44AA-ABEA-808FABFDA737}">
            <xm:f>$AE$4='Data entry'!$R64</xm:f>
            <x14:dxf>
              <fill>
                <patternFill>
                  <bgColor rgb="FFFF0000"/>
                </patternFill>
              </fill>
            </x14:dxf>
          </x14:cfRule>
          <xm:sqref>AC180:AO180</xm:sqref>
        </x14:conditionalFormatting>
        <x14:conditionalFormatting xmlns:xm="http://schemas.microsoft.com/office/excel/2006/main">
          <x14:cfRule type="expression" priority="4701395" id="{373C95F1-00C1-45E9-B561-5224945BA4A4}">
            <xm:f>$AE$4='Data entry'!$R64</xm:f>
            <x14:dxf>
              <fill>
                <patternFill>
                  <bgColor rgb="FFFFFF00"/>
                </patternFill>
              </fill>
            </x14:dxf>
          </x14:cfRule>
          <xm:sqref>Q179:AE179</xm:sqref>
        </x14:conditionalFormatting>
        <x14:conditionalFormatting xmlns:xm="http://schemas.microsoft.com/office/excel/2006/main">
          <x14:cfRule type="expression" priority="4701396" id="{65E90E74-6BEF-4B00-BD5E-ECACFEBC225A}">
            <xm:f>$AF$4='Data entry'!$R64</xm:f>
            <x14:dxf>
              <fill>
                <patternFill>
                  <bgColor rgb="FFFF0000"/>
                </patternFill>
              </fill>
            </x14:dxf>
          </x14:cfRule>
          <xm:sqref>AD180:AP180</xm:sqref>
        </x14:conditionalFormatting>
        <x14:conditionalFormatting xmlns:xm="http://schemas.microsoft.com/office/excel/2006/main">
          <x14:cfRule type="expression" priority="4701397" id="{56B519D7-E083-4811-B42B-D6CB10D44BB3}">
            <xm:f>$AF$4='Data entry'!$R64</xm:f>
            <x14:dxf>
              <fill>
                <patternFill>
                  <bgColor rgb="FFFFFF00"/>
                </patternFill>
              </fill>
            </x14:dxf>
          </x14:cfRule>
          <xm:sqref>R179:AF179</xm:sqref>
        </x14:conditionalFormatting>
        <x14:conditionalFormatting xmlns:xm="http://schemas.microsoft.com/office/excel/2006/main">
          <x14:cfRule type="expression" priority="4701398" id="{889682B6-BF9B-414B-86B7-1C802156B058}">
            <xm:f>$AG$4='Data entry'!$R64</xm:f>
            <x14:dxf>
              <fill>
                <patternFill>
                  <bgColor rgb="FFFF0000"/>
                </patternFill>
              </fill>
            </x14:dxf>
          </x14:cfRule>
          <xm:sqref>AE180:AQ180</xm:sqref>
        </x14:conditionalFormatting>
        <x14:conditionalFormatting xmlns:xm="http://schemas.microsoft.com/office/excel/2006/main">
          <x14:cfRule type="expression" priority="4701399" id="{19913D88-1940-4CB0-B29C-D46D60833BD5}">
            <xm:f>$AG$4='Data entry'!$R64</xm:f>
            <x14:dxf>
              <fill>
                <patternFill>
                  <bgColor rgb="FFFFFF00"/>
                </patternFill>
              </fill>
            </x14:dxf>
          </x14:cfRule>
          <xm:sqref>S179:AG179</xm:sqref>
        </x14:conditionalFormatting>
        <x14:conditionalFormatting xmlns:xm="http://schemas.microsoft.com/office/excel/2006/main">
          <x14:cfRule type="expression" priority="4701400" id="{3DD7B9A5-18A3-463F-BAD5-9796FC487328}">
            <xm:f>$AH$4='Data entry'!$R64</xm:f>
            <x14:dxf>
              <fill>
                <patternFill>
                  <bgColor rgb="FFFF0000"/>
                </patternFill>
              </fill>
            </x14:dxf>
          </x14:cfRule>
          <xm:sqref>AF180:AR180</xm:sqref>
        </x14:conditionalFormatting>
        <x14:conditionalFormatting xmlns:xm="http://schemas.microsoft.com/office/excel/2006/main">
          <x14:cfRule type="expression" priority="4701401" id="{31005CF4-5608-496E-91EB-F7F505046C80}">
            <xm:f>$AH$4='Data entry'!$R64</xm:f>
            <x14:dxf>
              <fill>
                <patternFill>
                  <bgColor rgb="FFFFFF00"/>
                </patternFill>
              </fill>
            </x14:dxf>
          </x14:cfRule>
          <xm:sqref>T179:AH179</xm:sqref>
        </x14:conditionalFormatting>
        <x14:conditionalFormatting xmlns:xm="http://schemas.microsoft.com/office/excel/2006/main">
          <x14:cfRule type="expression" priority="4701402" id="{CD14F654-5B7A-444F-8FC1-7DD71E76E475}">
            <xm:f>$AI$4='Data entry'!$R64</xm:f>
            <x14:dxf>
              <fill>
                <patternFill>
                  <bgColor rgb="FFFF0000"/>
                </patternFill>
              </fill>
            </x14:dxf>
          </x14:cfRule>
          <xm:sqref>AG180:AS180</xm:sqref>
        </x14:conditionalFormatting>
        <x14:conditionalFormatting xmlns:xm="http://schemas.microsoft.com/office/excel/2006/main">
          <x14:cfRule type="expression" priority="4701403" id="{0E4E448C-6C46-4285-B877-A61A90294385}">
            <xm:f>$AI$4='Data entry'!$R64</xm:f>
            <x14:dxf>
              <fill>
                <patternFill>
                  <bgColor rgb="FFFFFF00"/>
                </patternFill>
              </fill>
            </x14:dxf>
          </x14:cfRule>
          <xm:sqref>U179:AI179</xm:sqref>
        </x14:conditionalFormatting>
        <x14:conditionalFormatting xmlns:xm="http://schemas.microsoft.com/office/excel/2006/main">
          <x14:cfRule type="expression" priority="4701404" id="{B1C1818F-791C-403D-BE73-6F6E9DC6A16D}">
            <xm:f>$AJ$4='Data entry'!$R64</xm:f>
            <x14:dxf>
              <fill>
                <patternFill>
                  <bgColor rgb="FFFF0000"/>
                </patternFill>
              </fill>
            </x14:dxf>
          </x14:cfRule>
          <xm:sqref>AH180:AT180</xm:sqref>
        </x14:conditionalFormatting>
        <x14:conditionalFormatting xmlns:xm="http://schemas.microsoft.com/office/excel/2006/main">
          <x14:cfRule type="expression" priority="4701405" id="{A1237792-221B-431B-B8A7-E9A64DA46D93}">
            <xm:f>$AJ$4='Data entry'!$R64</xm:f>
            <x14:dxf>
              <fill>
                <patternFill>
                  <bgColor rgb="FFFFFF00"/>
                </patternFill>
              </fill>
            </x14:dxf>
          </x14:cfRule>
          <xm:sqref>V179:AJ179</xm:sqref>
        </x14:conditionalFormatting>
        <x14:conditionalFormatting xmlns:xm="http://schemas.microsoft.com/office/excel/2006/main">
          <x14:cfRule type="expression" priority="4701406" id="{617DC2AF-C7A3-4724-8EA3-17DEFEDC8949}">
            <xm:f>$AK$4='Data entry'!$R64</xm:f>
            <x14:dxf>
              <fill>
                <patternFill>
                  <bgColor rgb="FFFF0000"/>
                </patternFill>
              </fill>
            </x14:dxf>
          </x14:cfRule>
          <xm:sqref>AI180:AU180</xm:sqref>
        </x14:conditionalFormatting>
        <x14:conditionalFormatting xmlns:xm="http://schemas.microsoft.com/office/excel/2006/main">
          <x14:cfRule type="expression" priority="4701407" id="{AA72317D-37B1-48EB-A28B-BF2AC8DC4519}">
            <xm:f>$AK$4='Data entry'!$R64</xm:f>
            <x14:dxf>
              <fill>
                <patternFill>
                  <bgColor rgb="FFFFFF00"/>
                </patternFill>
              </fill>
            </x14:dxf>
          </x14:cfRule>
          <xm:sqref>W179:AK179</xm:sqref>
        </x14:conditionalFormatting>
        <x14:conditionalFormatting xmlns:xm="http://schemas.microsoft.com/office/excel/2006/main">
          <x14:cfRule type="expression" priority="4701408" id="{6CA9FB7A-20EA-4D3A-B74C-A001F4BE810D}">
            <xm:f>$AL$4='Data entry'!$R64</xm:f>
            <x14:dxf>
              <fill>
                <patternFill>
                  <bgColor rgb="FFFF0000"/>
                </patternFill>
              </fill>
            </x14:dxf>
          </x14:cfRule>
          <xm:sqref>AJ180:AV180</xm:sqref>
        </x14:conditionalFormatting>
        <x14:conditionalFormatting xmlns:xm="http://schemas.microsoft.com/office/excel/2006/main">
          <x14:cfRule type="expression" priority="4701409" id="{81A75DAA-573F-4EF3-A640-1B992C18BEA0}">
            <xm:f>$AL$4='Data entry'!$R64</xm:f>
            <x14:dxf>
              <fill>
                <patternFill>
                  <bgColor rgb="FFFFFF00"/>
                </patternFill>
              </fill>
            </x14:dxf>
          </x14:cfRule>
          <xm:sqref>X179:AL179</xm:sqref>
        </x14:conditionalFormatting>
        <x14:conditionalFormatting xmlns:xm="http://schemas.microsoft.com/office/excel/2006/main">
          <x14:cfRule type="expression" priority="4701410" id="{3D44713E-4ABA-4CCD-9DF4-5513A9FB5E1E}">
            <xm:f>$AM$4='Data entry'!$R64</xm:f>
            <x14:dxf>
              <fill>
                <patternFill>
                  <bgColor rgb="FFFF0000"/>
                </patternFill>
              </fill>
            </x14:dxf>
          </x14:cfRule>
          <xm:sqref>AK180:AW180</xm:sqref>
        </x14:conditionalFormatting>
        <x14:conditionalFormatting xmlns:xm="http://schemas.microsoft.com/office/excel/2006/main">
          <x14:cfRule type="expression" priority="4701411" id="{05A26B51-72A7-4423-822F-2BDBC28275D0}">
            <xm:f>$AM$4='Data entry'!$R64</xm:f>
            <x14:dxf>
              <fill>
                <patternFill>
                  <bgColor rgb="FFFFFF00"/>
                </patternFill>
              </fill>
            </x14:dxf>
          </x14:cfRule>
          <xm:sqref>Y179:AM179</xm:sqref>
        </x14:conditionalFormatting>
        <x14:conditionalFormatting xmlns:xm="http://schemas.microsoft.com/office/excel/2006/main">
          <x14:cfRule type="expression" priority="4701412" id="{B8A20675-6230-4694-A7F6-6B3DC7142773}">
            <xm:f>$AN$4='Data entry'!$R64</xm:f>
            <x14:dxf>
              <fill>
                <patternFill>
                  <bgColor rgb="FFFF0000"/>
                </patternFill>
              </fill>
            </x14:dxf>
          </x14:cfRule>
          <xm:sqref>AL180:AX180</xm:sqref>
        </x14:conditionalFormatting>
        <x14:conditionalFormatting xmlns:xm="http://schemas.microsoft.com/office/excel/2006/main">
          <x14:cfRule type="expression" priority="4701413" id="{8421181C-7450-42E9-BC1D-065CCFCA960E}">
            <xm:f>$AN$4='Data entry'!$R64</xm:f>
            <x14:dxf>
              <fill>
                <patternFill>
                  <bgColor rgb="FFFFFF00"/>
                </patternFill>
              </fill>
            </x14:dxf>
          </x14:cfRule>
          <xm:sqref>Z179:AN179</xm:sqref>
        </x14:conditionalFormatting>
        <x14:conditionalFormatting xmlns:xm="http://schemas.microsoft.com/office/excel/2006/main">
          <x14:cfRule type="expression" priority="4701414" id="{067FE4BD-6EF4-4684-B6E0-35AB2F267EE7}">
            <xm:f>$AO$4='Data entry'!$R64</xm:f>
            <x14:dxf>
              <fill>
                <patternFill>
                  <bgColor rgb="FFFF0000"/>
                </patternFill>
              </fill>
            </x14:dxf>
          </x14:cfRule>
          <xm:sqref>AM180:AY180</xm:sqref>
        </x14:conditionalFormatting>
        <x14:conditionalFormatting xmlns:xm="http://schemas.microsoft.com/office/excel/2006/main">
          <x14:cfRule type="expression" priority="4701415" id="{F7653492-88D1-47AC-8BA3-0CCE65C3C2AB}">
            <xm:f>$AO$4='Data entry'!$R64</xm:f>
            <x14:dxf>
              <fill>
                <patternFill>
                  <bgColor rgb="FFFFFF00"/>
                </patternFill>
              </fill>
            </x14:dxf>
          </x14:cfRule>
          <xm:sqref>AA179:AO179</xm:sqref>
        </x14:conditionalFormatting>
        <x14:conditionalFormatting xmlns:xm="http://schemas.microsoft.com/office/excel/2006/main">
          <x14:cfRule type="expression" priority="4701416" id="{207A5E5D-B322-482E-9193-1D7318138358}">
            <xm:f>$AP$4='Data entry'!$R64</xm:f>
            <x14:dxf>
              <fill>
                <patternFill>
                  <bgColor rgb="FFFF0000"/>
                </patternFill>
              </fill>
            </x14:dxf>
          </x14:cfRule>
          <xm:sqref>AN180:AZ180</xm:sqref>
        </x14:conditionalFormatting>
        <x14:conditionalFormatting xmlns:xm="http://schemas.microsoft.com/office/excel/2006/main">
          <x14:cfRule type="expression" priority="4701417" id="{21DA638D-4CA0-4067-BFF1-240CE1A0261B}">
            <xm:f>$AP$4='Data entry'!$R64</xm:f>
            <x14:dxf>
              <fill>
                <patternFill>
                  <bgColor rgb="FFFFFF00"/>
                </patternFill>
              </fill>
            </x14:dxf>
          </x14:cfRule>
          <xm:sqref>AB179:AP179</xm:sqref>
        </x14:conditionalFormatting>
        <x14:conditionalFormatting xmlns:xm="http://schemas.microsoft.com/office/excel/2006/main">
          <x14:cfRule type="expression" priority="4701418" id="{71963D96-A42A-4B90-BFC7-6D83D37766EF}">
            <xm:f>$AQ$4='Data entry'!$R64</xm:f>
            <x14:dxf>
              <fill>
                <patternFill>
                  <bgColor rgb="FFFF0000"/>
                </patternFill>
              </fill>
            </x14:dxf>
          </x14:cfRule>
          <xm:sqref>AO180:BA180</xm:sqref>
        </x14:conditionalFormatting>
        <x14:conditionalFormatting xmlns:xm="http://schemas.microsoft.com/office/excel/2006/main">
          <x14:cfRule type="expression" priority="4701419" id="{74952595-84B6-484F-8FF6-FCC1F337DF4D}">
            <xm:f>$AQ$4='Data entry'!$R64</xm:f>
            <x14:dxf>
              <fill>
                <patternFill>
                  <bgColor rgb="FFFFFF00"/>
                </patternFill>
              </fill>
            </x14:dxf>
          </x14:cfRule>
          <xm:sqref>AC179:AQ179</xm:sqref>
        </x14:conditionalFormatting>
        <x14:conditionalFormatting xmlns:xm="http://schemas.microsoft.com/office/excel/2006/main">
          <x14:cfRule type="expression" priority="4701420" id="{8AC9C4B9-0A34-4BC0-B0F7-CA89434C4911}">
            <xm:f>$P$4='Data entry'!$R64</xm:f>
            <x14:dxf>
              <fill>
                <patternFill>
                  <bgColor rgb="FFFFFF00"/>
                </patternFill>
              </fill>
            </x14:dxf>
          </x14:cfRule>
          <xm:sqref>C179:P179</xm:sqref>
        </x14:conditionalFormatting>
        <x14:conditionalFormatting xmlns:xm="http://schemas.microsoft.com/office/excel/2006/main">
          <x14:cfRule type="expression" priority="4701421" id="{0A726775-ABFD-4F22-967C-1A4D87BA3751}">
            <xm:f>$Q$4='Data entry'!$R64</xm:f>
            <x14:dxf>
              <fill>
                <patternFill>
                  <bgColor rgb="FFFFFF00"/>
                </patternFill>
              </fill>
            </x14:dxf>
          </x14:cfRule>
          <xm:sqref>C179:Q179</xm:sqref>
        </x14:conditionalFormatting>
        <x14:conditionalFormatting xmlns:xm="http://schemas.microsoft.com/office/excel/2006/main">
          <x14:cfRule type="expression" priority="4701422" id="{3A8414BD-262C-43B5-86EE-FA6901D00453}">
            <xm:f>$Q$4='Data entry'!$R64</xm:f>
            <x14:dxf>
              <fill>
                <patternFill>
                  <bgColor rgb="FFFF0000"/>
                </patternFill>
              </fill>
            </x14:dxf>
          </x14:cfRule>
          <xm:sqref>O180:AA180</xm:sqref>
        </x14:conditionalFormatting>
        <x14:conditionalFormatting xmlns:xm="http://schemas.microsoft.com/office/excel/2006/main">
          <x14:cfRule type="expression" priority="4701423" id="{B8B5501D-F3EF-4449-9306-F652960C65F4}">
            <xm:f>$R$4='Data entry'!$R64</xm:f>
            <x14:dxf>
              <fill>
                <patternFill>
                  <bgColor rgb="FFFF0000"/>
                </patternFill>
              </fill>
            </x14:dxf>
          </x14:cfRule>
          <xm:sqref>P180:AB180</xm:sqref>
        </x14:conditionalFormatting>
        <x14:conditionalFormatting xmlns:xm="http://schemas.microsoft.com/office/excel/2006/main">
          <x14:cfRule type="expression" priority="4701424" id="{5D070DEC-B82E-4D87-B907-A3E5AB836991}">
            <xm:f>$R$4='Data entry'!$R64</xm:f>
            <x14:dxf>
              <fill>
                <patternFill>
                  <bgColor rgb="FFFFFF00"/>
                </patternFill>
              </fill>
            </x14:dxf>
          </x14:cfRule>
          <xm:sqref>D179:R179</xm:sqref>
        </x14:conditionalFormatting>
        <x14:conditionalFormatting xmlns:xm="http://schemas.microsoft.com/office/excel/2006/main">
          <x14:cfRule type="expression" priority="4701425" id="{E4D16A10-F818-4664-9FB2-F0E839824D4B}">
            <xm:f>$S$4='Data entry'!$R64</xm:f>
            <x14:dxf>
              <fill>
                <patternFill>
                  <bgColor rgb="FFFF0000"/>
                </patternFill>
              </fill>
            </x14:dxf>
          </x14:cfRule>
          <xm:sqref>Q180:AC180</xm:sqref>
        </x14:conditionalFormatting>
        <x14:conditionalFormatting xmlns:xm="http://schemas.microsoft.com/office/excel/2006/main">
          <x14:cfRule type="expression" priority="4701426" id="{1A9F9911-A3E9-4730-AFBE-AB8C596545CA}">
            <xm:f>$S$4='Data entry'!$R64</xm:f>
            <x14:dxf>
              <fill>
                <patternFill>
                  <bgColor rgb="FFFFFF00"/>
                </patternFill>
              </fill>
            </x14:dxf>
          </x14:cfRule>
          <xm:sqref>E179:S179</xm:sqref>
        </x14:conditionalFormatting>
        <x14:conditionalFormatting xmlns:xm="http://schemas.microsoft.com/office/excel/2006/main">
          <x14:cfRule type="expression" priority="4701427" id="{8BB5CD1B-B2AC-442A-9550-26DE19A62D22}">
            <xm:f>$T$4='Data entry'!$R64</xm:f>
            <x14:dxf>
              <fill>
                <patternFill>
                  <bgColor rgb="FFFF0000"/>
                </patternFill>
              </fill>
            </x14:dxf>
          </x14:cfRule>
          <xm:sqref>R180:AD180</xm:sqref>
        </x14:conditionalFormatting>
        <x14:conditionalFormatting xmlns:xm="http://schemas.microsoft.com/office/excel/2006/main">
          <x14:cfRule type="expression" priority="4701428" id="{E7B59C69-7921-4049-84A1-8B3E5F7B0598}">
            <xm:f>$T$4='Data entry'!$R64</xm:f>
            <x14:dxf>
              <fill>
                <patternFill>
                  <bgColor rgb="FFFFFF00"/>
                </patternFill>
              </fill>
            </x14:dxf>
          </x14:cfRule>
          <xm:sqref>F179:T179</xm:sqref>
        </x14:conditionalFormatting>
        <x14:conditionalFormatting xmlns:xm="http://schemas.microsoft.com/office/excel/2006/main">
          <x14:cfRule type="expression" priority="4701429" id="{238C09E5-7A3D-439D-949F-A7733073F9A2}">
            <xm:f>$U$4='Data entry'!$R64</xm:f>
            <x14:dxf>
              <fill>
                <patternFill>
                  <bgColor rgb="FFFFFF00"/>
                </patternFill>
              </fill>
            </x14:dxf>
          </x14:cfRule>
          <xm:sqref>G179:U179</xm:sqref>
        </x14:conditionalFormatting>
        <x14:conditionalFormatting xmlns:xm="http://schemas.microsoft.com/office/excel/2006/main">
          <x14:cfRule type="expression" priority="4701430" id="{DE4D4432-0A19-452A-AF14-2873FE4DF411}">
            <xm:f>$AR$4='Data entry'!$R64</xm:f>
            <x14:dxf>
              <fill>
                <patternFill>
                  <bgColor rgb="FFFF0000"/>
                </patternFill>
              </fill>
            </x14:dxf>
          </x14:cfRule>
          <xm:sqref>AP180:BB180</xm:sqref>
        </x14:conditionalFormatting>
        <x14:conditionalFormatting xmlns:xm="http://schemas.microsoft.com/office/excel/2006/main">
          <x14:cfRule type="expression" priority="4701431" id="{90D7E1FF-542D-40C8-9BD5-DFEB4CDD256F}">
            <xm:f>$AR$4='Data entry'!$R64</xm:f>
            <x14:dxf>
              <fill>
                <patternFill>
                  <bgColor rgb="FFFFFF00"/>
                </patternFill>
              </fill>
            </x14:dxf>
          </x14:cfRule>
          <xm:sqref>AD179:AR179</xm:sqref>
        </x14:conditionalFormatting>
        <x14:conditionalFormatting xmlns:xm="http://schemas.microsoft.com/office/excel/2006/main">
          <x14:cfRule type="expression" priority="4701432" id="{0EBB5305-4A4A-4205-A1FF-11160070CBC3}">
            <xm:f>$AS$4='Data entry'!$R64</xm:f>
            <x14:dxf>
              <fill>
                <patternFill>
                  <bgColor rgb="FFFF0000"/>
                </patternFill>
              </fill>
            </x14:dxf>
          </x14:cfRule>
          <xm:sqref>AQ180:BC180</xm:sqref>
        </x14:conditionalFormatting>
        <x14:conditionalFormatting xmlns:xm="http://schemas.microsoft.com/office/excel/2006/main">
          <x14:cfRule type="expression" priority="4701433" id="{AC8EB30C-4253-4CE1-820E-1801F6D8D35B}">
            <xm:f>$AS$4='Data entry'!$R64</xm:f>
            <x14:dxf>
              <fill>
                <patternFill>
                  <bgColor rgb="FFFFFF00"/>
                </patternFill>
              </fill>
            </x14:dxf>
          </x14:cfRule>
          <xm:sqref>AE179:AS179</xm:sqref>
        </x14:conditionalFormatting>
        <x14:conditionalFormatting xmlns:xm="http://schemas.microsoft.com/office/excel/2006/main">
          <x14:cfRule type="expression" priority="4701434" id="{E11744C1-7201-4272-A1B0-945490B42425}">
            <xm:f>$AT$4='Data entry'!$R64</xm:f>
            <x14:dxf>
              <fill>
                <patternFill>
                  <bgColor rgb="FFFF0000"/>
                </patternFill>
              </fill>
            </x14:dxf>
          </x14:cfRule>
          <xm:sqref>AR180:BD180</xm:sqref>
        </x14:conditionalFormatting>
        <x14:conditionalFormatting xmlns:xm="http://schemas.microsoft.com/office/excel/2006/main">
          <x14:cfRule type="expression" priority="4701435" id="{5EE2823B-E955-4EA7-B99C-0B1F77B57A69}">
            <xm:f>$AT$4='Data entry'!$R64</xm:f>
            <x14:dxf>
              <fill>
                <patternFill>
                  <bgColor rgb="FFFFFF00"/>
                </patternFill>
              </fill>
            </x14:dxf>
          </x14:cfRule>
          <xm:sqref>AF179:AT179</xm:sqref>
        </x14:conditionalFormatting>
        <x14:conditionalFormatting xmlns:xm="http://schemas.microsoft.com/office/excel/2006/main">
          <x14:cfRule type="expression" priority="4701436" id="{5737DC63-3262-4B34-900C-2AAEB255FCBA}">
            <xm:f>$AU$4='Data entry'!$R64</xm:f>
            <x14:dxf>
              <fill>
                <patternFill>
                  <bgColor rgb="FFFF0000"/>
                </patternFill>
              </fill>
            </x14:dxf>
          </x14:cfRule>
          <xm:sqref>AS180:BE180</xm:sqref>
        </x14:conditionalFormatting>
        <x14:conditionalFormatting xmlns:xm="http://schemas.microsoft.com/office/excel/2006/main">
          <x14:cfRule type="expression" priority="4701437" id="{2B5C1F1B-3C3D-4CA3-BC64-0E98422075B6}">
            <xm:f>$AU$4='Data entry'!$R64</xm:f>
            <x14:dxf>
              <fill>
                <patternFill>
                  <bgColor rgb="FFFFFF00"/>
                </patternFill>
              </fill>
            </x14:dxf>
          </x14:cfRule>
          <xm:sqref>AG179:AU179</xm:sqref>
        </x14:conditionalFormatting>
        <x14:conditionalFormatting xmlns:xm="http://schemas.microsoft.com/office/excel/2006/main">
          <x14:cfRule type="expression" priority="4701438" id="{B87A1285-B003-4855-8F4B-53C391BA10E6}">
            <xm:f>$AV$4='Data entry'!$R64</xm:f>
            <x14:dxf>
              <fill>
                <patternFill>
                  <bgColor rgb="FFFF0000"/>
                </patternFill>
              </fill>
            </x14:dxf>
          </x14:cfRule>
          <xm:sqref>AT180:BF180</xm:sqref>
        </x14:conditionalFormatting>
        <x14:conditionalFormatting xmlns:xm="http://schemas.microsoft.com/office/excel/2006/main">
          <x14:cfRule type="expression" priority="4701439" id="{338EE31C-78DB-4818-B837-0380F9E457FA}">
            <xm:f>$AV$4='Data entry'!$R64</xm:f>
            <x14:dxf>
              <fill>
                <patternFill>
                  <bgColor rgb="FFFFFF00"/>
                </patternFill>
              </fill>
            </x14:dxf>
          </x14:cfRule>
          <xm:sqref>AH179:AV179</xm:sqref>
        </x14:conditionalFormatting>
        <x14:conditionalFormatting xmlns:xm="http://schemas.microsoft.com/office/excel/2006/main">
          <x14:cfRule type="expression" priority="4701440" id="{5C40EA66-2801-4C91-B885-BF6A1ECFC35C}">
            <xm:f>$AW$4='Data entry'!$R64</xm:f>
            <x14:dxf>
              <fill>
                <patternFill>
                  <bgColor rgb="FFFF0000"/>
                </patternFill>
              </fill>
            </x14:dxf>
          </x14:cfRule>
          <xm:sqref>AU180:BG180</xm:sqref>
        </x14:conditionalFormatting>
        <x14:conditionalFormatting xmlns:xm="http://schemas.microsoft.com/office/excel/2006/main">
          <x14:cfRule type="expression" priority="4701441" id="{51BCD5CE-DF86-4C2F-8A81-DDA1EFD6C8F7}">
            <xm:f>$AW$4='Data entry'!$R64</xm:f>
            <x14:dxf>
              <fill>
                <patternFill>
                  <bgColor rgb="FFFFFF00"/>
                </patternFill>
              </fill>
            </x14:dxf>
          </x14:cfRule>
          <xm:sqref>AI179:AW179</xm:sqref>
        </x14:conditionalFormatting>
        <x14:conditionalFormatting xmlns:xm="http://schemas.microsoft.com/office/excel/2006/main">
          <x14:cfRule type="expression" priority="4701442" id="{DC2ED5A0-8917-4877-8CD3-9DF9BE5993C9}">
            <xm:f>$AX$4='Data entry'!$R64</xm:f>
            <x14:dxf>
              <fill>
                <patternFill>
                  <bgColor rgb="FFFF0000"/>
                </patternFill>
              </fill>
            </x14:dxf>
          </x14:cfRule>
          <xm:sqref>AV180:BH180</xm:sqref>
        </x14:conditionalFormatting>
        <x14:conditionalFormatting xmlns:xm="http://schemas.microsoft.com/office/excel/2006/main">
          <x14:cfRule type="expression" priority="4701443" id="{59B31869-20F9-45BD-BC80-0A6C8945CE2C}">
            <xm:f>$AX$4='Data entry'!$R64</xm:f>
            <x14:dxf>
              <fill>
                <patternFill>
                  <bgColor rgb="FFFFFF00"/>
                </patternFill>
              </fill>
            </x14:dxf>
          </x14:cfRule>
          <xm:sqref>AJ179:AX179</xm:sqref>
        </x14:conditionalFormatting>
        <x14:conditionalFormatting xmlns:xm="http://schemas.microsoft.com/office/excel/2006/main">
          <x14:cfRule type="expression" priority="4701444" id="{D4208FA0-4262-4037-934C-6D0742B2AD8E}">
            <xm:f>$AY$4='Data entry'!$R64</xm:f>
            <x14:dxf>
              <fill>
                <patternFill>
                  <bgColor rgb="FFFF0000"/>
                </patternFill>
              </fill>
            </x14:dxf>
          </x14:cfRule>
          <xm:sqref>AW180:BI180</xm:sqref>
        </x14:conditionalFormatting>
        <x14:conditionalFormatting xmlns:xm="http://schemas.microsoft.com/office/excel/2006/main">
          <x14:cfRule type="expression" priority="4701445" id="{04D6E423-18C7-42B2-A67D-F49D8E62B571}">
            <xm:f>$AY$4='Data entry'!$R64</xm:f>
            <x14:dxf>
              <fill>
                <patternFill>
                  <bgColor rgb="FFFFFF00"/>
                </patternFill>
              </fill>
            </x14:dxf>
          </x14:cfRule>
          <xm:sqref>AK179:AY179</xm:sqref>
        </x14:conditionalFormatting>
        <x14:conditionalFormatting xmlns:xm="http://schemas.microsoft.com/office/excel/2006/main">
          <x14:cfRule type="expression" priority="4701446" id="{A931C203-6E4B-4EBD-A2F4-1876881F48D4}">
            <xm:f>$AZ$4='Data entry'!$R64</xm:f>
            <x14:dxf>
              <fill>
                <patternFill>
                  <bgColor rgb="FFFF0000"/>
                </patternFill>
              </fill>
            </x14:dxf>
          </x14:cfRule>
          <xm:sqref>AX180:BJ180</xm:sqref>
        </x14:conditionalFormatting>
        <x14:conditionalFormatting xmlns:xm="http://schemas.microsoft.com/office/excel/2006/main">
          <x14:cfRule type="expression" priority="4701447" id="{092D9100-E652-40FE-8CAA-720DC0681250}">
            <xm:f>$AZ$4='Data entry'!$R64</xm:f>
            <x14:dxf>
              <fill>
                <patternFill>
                  <bgColor rgb="FFFFFF00"/>
                </patternFill>
              </fill>
            </x14:dxf>
          </x14:cfRule>
          <xm:sqref>AL179:AZ179</xm:sqref>
        </x14:conditionalFormatting>
        <x14:conditionalFormatting xmlns:xm="http://schemas.microsoft.com/office/excel/2006/main">
          <x14:cfRule type="expression" priority="4701448" id="{A3C7E6BE-A225-483C-A983-A915DB662C52}">
            <xm:f>$BA$4='Data entry'!$R64</xm:f>
            <x14:dxf>
              <fill>
                <patternFill>
                  <bgColor rgb="FFFF0000"/>
                </patternFill>
              </fill>
            </x14:dxf>
          </x14:cfRule>
          <xm:sqref>AY180:BK180</xm:sqref>
        </x14:conditionalFormatting>
        <x14:conditionalFormatting xmlns:xm="http://schemas.microsoft.com/office/excel/2006/main">
          <x14:cfRule type="expression" priority="4701449" id="{F5CF569A-8AFA-4CFF-8BD3-F04D8927A99F}">
            <xm:f>$BA$4='Data entry'!$R64</xm:f>
            <x14:dxf>
              <fill>
                <patternFill>
                  <bgColor rgb="FFFFFF00"/>
                </patternFill>
              </fill>
            </x14:dxf>
          </x14:cfRule>
          <xm:sqref>AM179:BA179</xm:sqref>
        </x14:conditionalFormatting>
        <x14:conditionalFormatting xmlns:xm="http://schemas.microsoft.com/office/excel/2006/main">
          <x14:cfRule type="expression" priority="4701450" id="{E4DAC94A-7983-4BFB-A87B-45B58561841A}">
            <xm:f>$BB$4='Data entry'!$R64</xm:f>
            <x14:dxf>
              <fill>
                <patternFill>
                  <bgColor rgb="FFFF0000"/>
                </patternFill>
              </fill>
            </x14:dxf>
          </x14:cfRule>
          <xm:sqref>AZ180:BL180</xm:sqref>
        </x14:conditionalFormatting>
        <x14:conditionalFormatting xmlns:xm="http://schemas.microsoft.com/office/excel/2006/main">
          <x14:cfRule type="expression" priority="4701451" id="{E63849C5-F39B-4B0E-8F8A-B532EDF2CBAE}">
            <xm:f>$BB$4='Data entry'!$R64</xm:f>
            <x14:dxf>
              <fill>
                <patternFill>
                  <bgColor rgb="FFFFFF00"/>
                </patternFill>
              </fill>
            </x14:dxf>
          </x14:cfRule>
          <xm:sqref>AN179:BB179</xm:sqref>
        </x14:conditionalFormatting>
        <x14:conditionalFormatting xmlns:xm="http://schemas.microsoft.com/office/excel/2006/main">
          <x14:cfRule type="expression" priority="4701452" id="{4FDC32D3-C1F5-455D-9AA4-A03359B72526}">
            <xm:f>$BC$4='Data entry'!$R64</xm:f>
            <x14:dxf>
              <fill>
                <patternFill>
                  <bgColor rgb="FFFF0000"/>
                </patternFill>
              </fill>
            </x14:dxf>
          </x14:cfRule>
          <xm:sqref>BA180:BM180</xm:sqref>
        </x14:conditionalFormatting>
        <x14:conditionalFormatting xmlns:xm="http://schemas.microsoft.com/office/excel/2006/main">
          <x14:cfRule type="expression" priority="4701453" id="{5F0D0C60-B233-4C56-B05D-98C99990877F}">
            <xm:f>$BC$4='Data entry'!$R64</xm:f>
            <x14:dxf>
              <fill>
                <patternFill>
                  <bgColor rgb="FFFFFF00"/>
                </patternFill>
              </fill>
            </x14:dxf>
          </x14:cfRule>
          <xm:sqref>AO179:BC179</xm:sqref>
        </x14:conditionalFormatting>
        <x14:conditionalFormatting xmlns:xm="http://schemas.microsoft.com/office/excel/2006/main">
          <x14:cfRule type="expression" priority="4701454" id="{9EBCB60F-8135-43B6-A0F3-548D4092CC98}">
            <xm:f>$BD$4='Data entry'!$R64</xm:f>
            <x14:dxf>
              <fill>
                <patternFill>
                  <bgColor rgb="FFFF0000"/>
                </patternFill>
              </fill>
            </x14:dxf>
          </x14:cfRule>
          <xm:sqref>BB180:BN180</xm:sqref>
        </x14:conditionalFormatting>
        <x14:conditionalFormatting xmlns:xm="http://schemas.microsoft.com/office/excel/2006/main">
          <x14:cfRule type="expression" priority="4701455" id="{961AF346-4A73-41ED-9A8D-27D431B09C05}">
            <xm:f>$BD$4='Data entry'!$R64</xm:f>
            <x14:dxf>
              <fill>
                <patternFill>
                  <bgColor rgb="FFFFFF00"/>
                </patternFill>
              </fill>
            </x14:dxf>
          </x14:cfRule>
          <xm:sqref>AP179:BD179</xm:sqref>
        </x14:conditionalFormatting>
        <x14:conditionalFormatting xmlns:xm="http://schemas.microsoft.com/office/excel/2006/main">
          <x14:cfRule type="expression" priority="4701456" id="{5A887026-27CD-4F8C-8BA6-1E92704C1CA6}">
            <xm:f>$BE$4='Data entry'!$R64</xm:f>
            <x14:dxf>
              <fill>
                <patternFill>
                  <bgColor rgb="FFFF0000"/>
                </patternFill>
              </fill>
            </x14:dxf>
          </x14:cfRule>
          <xm:sqref>BC180:BO180</xm:sqref>
        </x14:conditionalFormatting>
        <x14:conditionalFormatting xmlns:xm="http://schemas.microsoft.com/office/excel/2006/main">
          <x14:cfRule type="expression" priority="4701457" id="{7F46217B-A1E9-4515-B31E-E756FCD7C6D9}">
            <xm:f>$BE$4='Data entry'!$R64</xm:f>
            <x14:dxf>
              <fill>
                <patternFill>
                  <bgColor rgb="FFFFFF00"/>
                </patternFill>
              </fill>
            </x14:dxf>
          </x14:cfRule>
          <xm:sqref>AP179:BE179</xm:sqref>
        </x14:conditionalFormatting>
        <x14:conditionalFormatting xmlns:xm="http://schemas.microsoft.com/office/excel/2006/main">
          <x14:cfRule type="expression" priority="4701458" id="{F4D9285C-8CA0-4EF1-943E-6A462D47CC77}">
            <xm:f>$BF$4='Data entry'!$R64</xm:f>
            <x14:dxf>
              <fill>
                <patternFill>
                  <bgColor rgb="FFFF0000"/>
                </patternFill>
              </fill>
            </x14:dxf>
          </x14:cfRule>
          <xm:sqref>BD180:BP180</xm:sqref>
        </x14:conditionalFormatting>
        <x14:conditionalFormatting xmlns:xm="http://schemas.microsoft.com/office/excel/2006/main">
          <x14:cfRule type="expression" priority="4701459" id="{B9E4407D-651D-4DC0-9D61-3271D62A65E9}">
            <xm:f>$BF$4='Data entry'!$R64</xm:f>
            <x14:dxf>
              <fill>
                <patternFill>
                  <bgColor rgb="FFFFFF00"/>
                </patternFill>
              </fill>
            </x14:dxf>
          </x14:cfRule>
          <xm:sqref>AR179:BF179</xm:sqref>
        </x14:conditionalFormatting>
        <x14:conditionalFormatting xmlns:xm="http://schemas.microsoft.com/office/excel/2006/main">
          <x14:cfRule type="expression" priority="4701460" id="{4CDC062F-DDFF-4556-B941-08F919727F69}">
            <xm:f>$BG$4='Data entry'!$R64</xm:f>
            <x14:dxf>
              <fill>
                <patternFill>
                  <bgColor rgb="FFFF0000"/>
                </patternFill>
              </fill>
            </x14:dxf>
          </x14:cfRule>
          <xm:sqref>BE180:BQ180</xm:sqref>
        </x14:conditionalFormatting>
        <x14:conditionalFormatting xmlns:xm="http://schemas.microsoft.com/office/excel/2006/main">
          <x14:cfRule type="expression" priority="4701461" id="{789184FA-9055-433B-8A1B-92C7ED59E81F}">
            <xm:f>$BG$4='Data entry'!$R64</xm:f>
            <x14:dxf>
              <fill>
                <patternFill>
                  <bgColor rgb="FFFFFF00"/>
                </patternFill>
              </fill>
            </x14:dxf>
          </x14:cfRule>
          <xm:sqref>AS179:BG179</xm:sqref>
        </x14:conditionalFormatting>
        <x14:conditionalFormatting xmlns:xm="http://schemas.microsoft.com/office/excel/2006/main">
          <x14:cfRule type="expression" priority="4701462" id="{58651E5C-09C9-46C1-B95C-E8A578A49E15}">
            <xm:f>$BH$4='Data entry'!$R64</xm:f>
            <x14:dxf>
              <fill>
                <patternFill>
                  <bgColor rgb="FFFFFF00"/>
                </patternFill>
              </fill>
            </x14:dxf>
          </x14:cfRule>
          <xm:sqref>AT179:BH179</xm:sqref>
        </x14:conditionalFormatting>
        <x14:conditionalFormatting xmlns:xm="http://schemas.microsoft.com/office/excel/2006/main">
          <x14:cfRule type="expression" priority="4701463" id="{97B30B86-8311-4DC0-A533-8C0D53F37839}">
            <xm:f>$BH$4='Data entry'!$R64</xm:f>
            <x14:dxf>
              <fill>
                <patternFill>
                  <bgColor rgb="FFFF0000"/>
                </patternFill>
              </fill>
            </x14:dxf>
          </x14:cfRule>
          <xm:sqref>BF180:BR180</xm:sqref>
        </x14:conditionalFormatting>
        <x14:conditionalFormatting xmlns:xm="http://schemas.microsoft.com/office/excel/2006/main">
          <x14:cfRule type="expression" priority="4701464" id="{78344C0C-5AEA-40B1-A20C-6D77DF58E1F5}">
            <xm:f>$BI$4='Data entry'!$R64</xm:f>
            <x14:dxf>
              <fill>
                <patternFill>
                  <bgColor rgb="FFFFFF00"/>
                </patternFill>
              </fill>
            </x14:dxf>
          </x14:cfRule>
          <xm:sqref>AU179:BI179</xm:sqref>
        </x14:conditionalFormatting>
        <x14:conditionalFormatting xmlns:xm="http://schemas.microsoft.com/office/excel/2006/main">
          <x14:cfRule type="expression" priority="4701465" id="{A9CE044F-482E-4F25-B28F-89ACC58502B1}">
            <xm:f>$BI$4='Data entry'!$R64</xm:f>
            <x14:dxf>
              <fill>
                <patternFill>
                  <bgColor rgb="FFFF0000"/>
                </patternFill>
              </fill>
            </x14:dxf>
          </x14:cfRule>
          <xm:sqref>BG180:BS180</xm:sqref>
        </x14:conditionalFormatting>
        <x14:conditionalFormatting xmlns:xm="http://schemas.microsoft.com/office/excel/2006/main">
          <x14:cfRule type="expression" priority="4701466" id="{F63BE0EB-3C71-4456-BEF0-11180AB7A8BB}">
            <xm:f>$BJ$4='Data entry'!$R64</xm:f>
            <x14:dxf>
              <fill>
                <patternFill>
                  <bgColor rgb="FFFFFF00"/>
                </patternFill>
              </fill>
            </x14:dxf>
          </x14:cfRule>
          <xm:sqref>AV179:BJ179</xm:sqref>
        </x14:conditionalFormatting>
        <x14:conditionalFormatting xmlns:xm="http://schemas.microsoft.com/office/excel/2006/main">
          <x14:cfRule type="expression" priority="4701467" id="{478A5DCB-1DAA-4497-A6CC-B4F01FB96D10}">
            <xm:f>$BJ$4='Data entry'!$R64</xm:f>
            <x14:dxf>
              <fill>
                <patternFill>
                  <bgColor rgb="FFFF0000"/>
                </patternFill>
              </fill>
            </x14:dxf>
          </x14:cfRule>
          <xm:sqref>BH180:BT180</xm:sqref>
        </x14:conditionalFormatting>
        <x14:conditionalFormatting xmlns:xm="http://schemas.microsoft.com/office/excel/2006/main">
          <x14:cfRule type="expression" priority="4701468" id="{CDE4AD5B-65A6-4FA4-9EC0-8D05F22312A9}">
            <xm:f>$BK$4='Data entry'!$R64</xm:f>
            <x14:dxf>
              <fill>
                <patternFill>
                  <bgColor rgb="FFFF0000"/>
                </patternFill>
              </fill>
            </x14:dxf>
          </x14:cfRule>
          <xm:sqref>BI180:BU180</xm:sqref>
        </x14:conditionalFormatting>
        <x14:conditionalFormatting xmlns:xm="http://schemas.microsoft.com/office/excel/2006/main">
          <x14:cfRule type="expression" priority="4701469" id="{AB32E790-6CD8-4D11-9A69-57D785FE4BBC}">
            <xm:f>$BK$4='Data entry'!$R64</xm:f>
            <x14:dxf>
              <fill>
                <patternFill>
                  <bgColor rgb="FFFFFF00"/>
                </patternFill>
              </fill>
            </x14:dxf>
          </x14:cfRule>
          <xm:sqref>AW179:BK179</xm:sqref>
        </x14:conditionalFormatting>
        <x14:conditionalFormatting xmlns:xm="http://schemas.microsoft.com/office/excel/2006/main">
          <x14:cfRule type="expression" priority="4701470" id="{99810EB9-805C-43D8-852A-EEECE7874CDB}">
            <xm:f>$BL$4='Data entry'!$R64</xm:f>
            <x14:dxf>
              <fill>
                <patternFill>
                  <bgColor rgb="FFFF0000"/>
                </patternFill>
              </fill>
            </x14:dxf>
          </x14:cfRule>
          <xm:sqref>BJ180:BV180</xm:sqref>
        </x14:conditionalFormatting>
        <x14:conditionalFormatting xmlns:xm="http://schemas.microsoft.com/office/excel/2006/main">
          <x14:cfRule type="expression" priority="4701471" id="{BF5F5475-4E46-479C-97A6-D5175F5D1803}">
            <xm:f>$BL$4='Data entry'!$R64</xm:f>
            <x14:dxf>
              <fill>
                <patternFill>
                  <bgColor rgb="FFFFFF00"/>
                </patternFill>
              </fill>
            </x14:dxf>
          </x14:cfRule>
          <xm:sqref>AX179:BL179</xm:sqref>
        </x14:conditionalFormatting>
        <x14:conditionalFormatting xmlns:xm="http://schemas.microsoft.com/office/excel/2006/main">
          <x14:cfRule type="expression" priority="4701472" id="{B86FDF2F-16C9-46B1-847E-7EA1A8A34B9D}">
            <xm:f>$BM$4='Data entry'!$R64</xm:f>
            <x14:dxf>
              <fill>
                <patternFill>
                  <bgColor rgb="FFFF0000"/>
                </patternFill>
              </fill>
            </x14:dxf>
          </x14:cfRule>
          <xm:sqref>BK180:BW180</xm:sqref>
        </x14:conditionalFormatting>
        <x14:conditionalFormatting xmlns:xm="http://schemas.microsoft.com/office/excel/2006/main">
          <x14:cfRule type="expression" priority="4701473" id="{72FD189F-4CED-400D-9FEF-21A328970A4D}">
            <xm:f>$BM$4='Data entry'!$R64</xm:f>
            <x14:dxf>
              <fill>
                <patternFill>
                  <bgColor rgb="FFFFFF00"/>
                </patternFill>
              </fill>
            </x14:dxf>
          </x14:cfRule>
          <xm:sqref>AY179:BM179</xm:sqref>
        </x14:conditionalFormatting>
        <x14:conditionalFormatting xmlns:xm="http://schemas.microsoft.com/office/excel/2006/main">
          <x14:cfRule type="expression" priority="4701474" id="{BBBBF859-D5A7-4F55-BFBF-8A77E3357590}">
            <xm:f>$BN$4='Data entry'!$R64</xm:f>
            <x14:dxf>
              <fill>
                <patternFill>
                  <bgColor rgb="FFFF0000"/>
                </patternFill>
              </fill>
            </x14:dxf>
          </x14:cfRule>
          <xm:sqref>BL180:BX180</xm:sqref>
        </x14:conditionalFormatting>
        <x14:conditionalFormatting xmlns:xm="http://schemas.microsoft.com/office/excel/2006/main">
          <x14:cfRule type="expression" priority="4701475" id="{50CB1D75-0FD5-4D24-92B1-E8A41DC6575C}">
            <xm:f>$BN$4='Data entry'!$R64</xm:f>
            <x14:dxf>
              <fill>
                <patternFill>
                  <bgColor rgb="FFFFFF00"/>
                </patternFill>
              </fill>
            </x14:dxf>
          </x14:cfRule>
          <xm:sqref>AZ179:BN179</xm:sqref>
        </x14:conditionalFormatting>
        <x14:conditionalFormatting xmlns:xm="http://schemas.microsoft.com/office/excel/2006/main">
          <x14:cfRule type="expression" priority="4701476" id="{9EF3226D-E8FC-496B-A6FF-71776AEA54D1}">
            <xm:f>$BO$4='Data entry'!$R64</xm:f>
            <x14:dxf>
              <fill>
                <patternFill>
                  <bgColor rgb="FFFF0000"/>
                </patternFill>
              </fill>
            </x14:dxf>
          </x14:cfRule>
          <xm:sqref>BM180:BY180</xm:sqref>
        </x14:conditionalFormatting>
        <x14:conditionalFormatting xmlns:xm="http://schemas.microsoft.com/office/excel/2006/main">
          <x14:cfRule type="expression" priority="4701477" id="{3B86C801-ECFE-4D05-8AA5-1581116BAFBC}">
            <xm:f>$BO$4='Data entry'!$R64</xm:f>
            <x14:dxf>
              <fill>
                <patternFill>
                  <bgColor rgb="FFFFFF00"/>
                </patternFill>
              </fill>
            </x14:dxf>
          </x14:cfRule>
          <xm:sqref>BA179:BO179</xm:sqref>
        </x14:conditionalFormatting>
        <x14:conditionalFormatting xmlns:xm="http://schemas.microsoft.com/office/excel/2006/main">
          <x14:cfRule type="expression" priority="4701478" id="{058A23EC-3371-4A02-9F20-1ECA603AC6BC}">
            <xm:f>$BP$4='Data entry'!$R64</xm:f>
            <x14:dxf>
              <fill>
                <patternFill>
                  <bgColor rgb="FFFF0000"/>
                </patternFill>
              </fill>
            </x14:dxf>
          </x14:cfRule>
          <xm:sqref>BN180:BZ180</xm:sqref>
        </x14:conditionalFormatting>
        <x14:conditionalFormatting xmlns:xm="http://schemas.microsoft.com/office/excel/2006/main">
          <x14:cfRule type="expression" priority="4701479" id="{3E711E31-3992-4555-AB22-87133D60CD15}">
            <xm:f>$BP$4='Data entry'!$R64</xm:f>
            <x14:dxf>
              <fill>
                <patternFill>
                  <bgColor rgb="FFFFFF00"/>
                </patternFill>
              </fill>
            </x14:dxf>
          </x14:cfRule>
          <xm:sqref>BB179:BP179</xm:sqref>
        </x14:conditionalFormatting>
        <x14:conditionalFormatting xmlns:xm="http://schemas.microsoft.com/office/excel/2006/main">
          <x14:cfRule type="expression" priority="4701480" id="{23E9F8B9-37D5-4730-9453-6F23E8ECBBE3}">
            <xm:f>$BQ$4='Data entry'!$R64</xm:f>
            <x14:dxf>
              <fill>
                <patternFill>
                  <bgColor rgb="FFFFFF00"/>
                </patternFill>
              </fill>
            </x14:dxf>
          </x14:cfRule>
          <xm:sqref>BC179:BQ179</xm:sqref>
        </x14:conditionalFormatting>
        <x14:conditionalFormatting xmlns:xm="http://schemas.microsoft.com/office/excel/2006/main">
          <x14:cfRule type="expression" priority="4701481" id="{BCFD92F6-AAD3-44FD-BC61-A292A81B883E}">
            <xm:f>$BQ$4='Data entry'!$R64</xm:f>
            <x14:dxf>
              <fill>
                <patternFill>
                  <bgColor rgb="FFFF0000"/>
                </patternFill>
              </fill>
            </x14:dxf>
          </x14:cfRule>
          <xm:sqref>BO180:CA180</xm:sqref>
        </x14:conditionalFormatting>
        <x14:conditionalFormatting xmlns:xm="http://schemas.microsoft.com/office/excel/2006/main">
          <x14:cfRule type="expression" priority="4701482" id="{357D60E5-F356-477E-8020-A18F42C02832}">
            <xm:f>$BR$4='Data entry'!$R64</xm:f>
            <x14:dxf>
              <fill>
                <patternFill>
                  <bgColor rgb="FFFFFF00"/>
                </patternFill>
              </fill>
            </x14:dxf>
          </x14:cfRule>
          <xm:sqref>BD179:BR179</xm:sqref>
        </x14:conditionalFormatting>
        <x14:conditionalFormatting xmlns:xm="http://schemas.microsoft.com/office/excel/2006/main">
          <x14:cfRule type="expression" priority="4701483" id="{DA2B6511-43B3-432D-B6AA-1DB1188B90A6}">
            <xm:f>$BR$4='Data entry'!$R64</xm:f>
            <x14:dxf>
              <fill>
                <patternFill>
                  <bgColor rgb="FFFF0000"/>
                </patternFill>
              </fill>
            </x14:dxf>
          </x14:cfRule>
          <xm:sqref>BP180:CB180</xm:sqref>
        </x14:conditionalFormatting>
        <x14:conditionalFormatting xmlns:xm="http://schemas.microsoft.com/office/excel/2006/main">
          <x14:cfRule type="expression" priority="4701484" id="{0D5F64E4-4136-4BFA-B833-CC8578525D9C}">
            <xm:f>$BS$4='Data entry'!$R64</xm:f>
            <x14:dxf>
              <fill>
                <patternFill>
                  <bgColor rgb="FFFFFF00"/>
                </patternFill>
              </fill>
            </x14:dxf>
          </x14:cfRule>
          <xm:sqref>BE179:BS179</xm:sqref>
        </x14:conditionalFormatting>
        <x14:conditionalFormatting xmlns:xm="http://schemas.microsoft.com/office/excel/2006/main">
          <x14:cfRule type="expression" priority="4701485" id="{AC94D468-F078-4AE2-8771-102996E07B09}">
            <xm:f>$BS$4='Data entry'!$R64</xm:f>
            <x14:dxf>
              <fill>
                <patternFill>
                  <bgColor rgb="FFFF0000"/>
                </patternFill>
              </fill>
            </x14:dxf>
          </x14:cfRule>
          <xm:sqref>BQ180:CC180</xm:sqref>
        </x14:conditionalFormatting>
        <x14:conditionalFormatting xmlns:xm="http://schemas.microsoft.com/office/excel/2006/main">
          <x14:cfRule type="expression" priority="4701486" id="{10E78F76-181E-4F19-9F89-7DD36D3EFE30}">
            <xm:f>$BT$4='Data entry'!$R64</xm:f>
            <x14:dxf>
              <fill>
                <patternFill>
                  <bgColor rgb="FFFFFF00"/>
                </patternFill>
              </fill>
            </x14:dxf>
          </x14:cfRule>
          <xm:sqref>BF179:BT179</xm:sqref>
        </x14:conditionalFormatting>
        <x14:conditionalFormatting xmlns:xm="http://schemas.microsoft.com/office/excel/2006/main">
          <x14:cfRule type="expression" priority="4701487" id="{6A5FADC6-9512-4EFB-90A5-7B5244D10D1F}">
            <xm:f>$BT$4='Data entry'!$R64</xm:f>
            <x14:dxf>
              <fill>
                <patternFill>
                  <bgColor rgb="FFFF0000"/>
                </patternFill>
              </fill>
            </x14:dxf>
          </x14:cfRule>
          <xm:sqref>BR180:CC180</xm:sqref>
        </x14:conditionalFormatting>
        <x14:conditionalFormatting xmlns:xm="http://schemas.microsoft.com/office/excel/2006/main">
          <x14:cfRule type="expression" priority="4701488" id="{A51139D1-8841-4B96-B8CB-DFE3808765CF}">
            <xm:f>$BU$4='Data entry'!$R64</xm:f>
            <x14:dxf>
              <fill>
                <patternFill>
                  <bgColor rgb="FFFFFF00"/>
                </patternFill>
              </fill>
            </x14:dxf>
          </x14:cfRule>
          <xm:sqref>BG179:BU179</xm:sqref>
        </x14:conditionalFormatting>
        <x14:conditionalFormatting xmlns:xm="http://schemas.microsoft.com/office/excel/2006/main">
          <x14:cfRule type="expression" priority="4701489" id="{55CA7258-760F-4BFF-ACB5-A70FEB3E7981}">
            <xm:f>$BU$4='Data entry'!$R64</xm:f>
            <x14:dxf>
              <fill>
                <patternFill>
                  <bgColor rgb="FFFF0000"/>
                </patternFill>
              </fill>
            </x14:dxf>
          </x14:cfRule>
          <xm:sqref>BS180:CC180</xm:sqref>
        </x14:conditionalFormatting>
        <x14:conditionalFormatting xmlns:xm="http://schemas.microsoft.com/office/excel/2006/main">
          <x14:cfRule type="expression" priority="4701490" id="{A922B218-64DB-4CBB-9AB8-FE0EBB44E09E}">
            <xm:f>$BV$4='Data entry'!$R64</xm:f>
            <x14:dxf>
              <fill>
                <patternFill>
                  <bgColor rgb="FFFFFF00"/>
                </patternFill>
              </fill>
            </x14:dxf>
          </x14:cfRule>
          <xm:sqref>BH179:BV179</xm:sqref>
        </x14:conditionalFormatting>
        <x14:conditionalFormatting xmlns:xm="http://schemas.microsoft.com/office/excel/2006/main">
          <x14:cfRule type="expression" priority="4701491" id="{C98E908A-CD31-4778-B41C-7AFB9DBE639A}">
            <xm:f>$BV$4='Data entry'!$R64</xm:f>
            <x14:dxf>
              <fill>
                <patternFill>
                  <bgColor rgb="FFFF0000"/>
                </patternFill>
              </fill>
            </x14:dxf>
          </x14:cfRule>
          <xm:sqref>BT180:CC180</xm:sqref>
        </x14:conditionalFormatting>
        <x14:conditionalFormatting xmlns:xm="http://schemas.microsoft.com/office/excel/2006/main">
          <x14:cfRule type="expression" priority="4701492" id="{465CCCA3-B4DB-4B61-8AC7-8A5E4CEC9E3F}">
            <xm:f>$BW$4='Data entry'!$R64</xm:f>
            <x14:dxf>
              <fill>
                <patternFill>
                  <bgColor rgb="FFFFFF00"/>
                </patternFill>
              </fill>
            </x14:dxf>
          </x14:cfRule>
          <xm:sqref>BI179:BW179</xm:sqref>
        </x14:conditionalFormatting>
        <x14:conditionalFormatting xmlns:xm="http://schemas.microsoft.com/office/excel/2006/main">
          <x14:cfRule type="expression" priority="4701493" id="{37566F97-6D06-400B-A709-FE657B07687F}">
            <xm:f>$BW$4='Data entry'!$R64</xm:f>
            <x14:dxf>
              <fill>
                <patternFill>
                  <bgColor rgb="FFFF0000"/>
                </patternFill>
              </fill>
            </x14:dxf>
          </x14:cfRule>
          <xm:sqref>BU180:CC180</xm:sqref>
        </x14:conditionalFormatting>
        <x14:conditionalFormatting xmlns:xm="http://schemas.microsoft.com/office/excel/2006/main">
          <x14:cfRule type="expression" priority="4701494" id="{D8FBA3AC-5CF0-4E45-97CA-1D4DEE729ADA}">
            <xm:f>$BX$4='Data entry'!$R64</xm:f>
            <x14:dxf>
              <fill>
                <patternFill>
                  <bgColor rgb="FFFFFF00"/>
                </patternFill>
              </fill>
            </x14:dxf>
          </x14:cfRule>
          <xm:sqref>BJ179:BX179</xm:sqref>
        </x14:conditionalFormatting>
        <x14:conditionalFormatting xmlns:xm="http://schemas.microsoft.com/office/excel/2006/main">
          <x14:cfRule type="expression" priority="4701495" id="{E077C84B-A94F-431D-B232-4AFCC7C64F54}">
            <xm:f>$BX$4='Data entry'!$R64</xm:f>
            <x14:dxf>
              <fill>
                <patternFill>
                  <bgColor rgb="FFFF0000"/>
                </patternFill>
              </fill>
            </x14:dxf>
          </x14:cfRule>
          <xm:sqref>BV180:CC180</xm:sqref>
        </x14:conditionalFormatting>
        <x14:conditionalFormatting xmlns:xm="http://schemas.microsoft.com/office/excel/2006/main">
          <x14:cfRule type="expression" priority="4701496" id="{63783BA8-0C97-4A44-86FD-7A2BCF1B9957}">
            <xm:f>$BY$4='Data entry'!$R64</xm:f>
            <x14:dxf>
              <fill>
                <patternFill>
                  <bgColor rgb="FFFFFF00"/>
                </patternFill>
              </fill>
            </x14:dxf>
          </x14:cfRule>
          <xm:sqref>BK179:BY179</xm:sqref>
        </x14:conditionalFormatting>
        <x14:conditionalFormatting xmlns:xm="http://schemas.microsoft.com/office/excel/2006/main">
          <x14:cfRule type="expression" priority="4701497" id="{BB8DB8B4-B71B-46D2-AEE7-346F16103F74}">
            <xm:f>$BY$4='Data entry'!$R64</xm:f>
            <x14:dxf>
              <fill>
                <patternFill>
                  <bgColor rgb="FFFF0000"/>
                </patternFill>
              </fill>
            </x14:dxf>
          </x14:cfRule>
          <xm:sqref>BW180:CC180</xm:sqref>
        </x14:conditionalFormatting>
        <x14:conditionalFormatting xmlns:xm="http://schemas.microsoft.com/office/excel/2006/main">
          <x14:cfRule type="expression" priority="4701498" id="{1B638B98-2B06-4FEB-90C1-446A3E0A3979}">
            <xm:f>$BZ$4='Data entry'!$R64</xm:f>
            <x14:dxf>
              <fill>
                <patternFill>
                  <bgColor rgb="FFFFFF00"/>
                </patternFill>
              </fill>
            </x14:dxf>
          </x14:cfRule>
          <xm:sqref>BL179:BZ179</xm:sqref>
        </x14:conditionalFormatting>
        <x14:conditionalFormatting xmlns:xm="http://schemas.microsoft.com/office/excel/2006/main">
          <x14:cfRule type="expression" priority="4701499" id="{D3A0A2F8-D1B2-4DC5-B2A9-0EF53074E685}">
            <xm:f>$BZ$4='Data entry'!$R64</xm:f>
            <x14:dxf>
              <fill>
                <patternFill>
                  <bgColor rgb="FFFF0000"/>
                </patternFill>
              </fill>
            </x14:dxf>
          </x14:cfRule>
          <xm:sqref>BX180:CC180</xm:sqref>
        </x14:conditionalFormatting>
        <x14:conditionalFormatting xmlns:xm="http://schemas.microsoft.com/office/excel/2006/main">
          <x14:cfRule type="expression" priority="4701500" id="{83F6D018-7D3B-4D33-9998-11572F2F2FF5}">
            <xm:f>$CA$4='Data entry'!$R64</xm:f>
            <x14:dxf>
              <fill>
                <patternFill>
                  <bgColor rgb="FFFFFF00"/>
                </patternFill>
              </fill>
            </x14:dxf>
          </x14:cfRule>
          <xm:sqref>BM179:CA179</xm:sqref>
        </x14:conditionalFormatting>
        <x14:conditionalFormatting xmlns:xm="http://schemas.microsoft.com/office/excel/2006/main">
          <x14:cfRule type="expression" priority="4701501" id="{8E6D0B51-5626-4ED9-9072-C7A2C139704F}">
            <xm:f>$CA$4='Data entry'!$R64</xm:f>
            <x14:dxf>
              <fill>
                <patternFill>
                  <bgColor rgb="FFFF0000"/>
                </patternFill>
              </fill>
            </x14:dxf>
          </x14:cfRule>
          <xm:sqref>BY180:CC180</xm:sqref>
        </x14:conditionalFormatting>
        <x14:conditionalFormatting xmlns:xm="http://schemas.microsoft.com/office/excel/2006/main">
          <x14:cfRule type="expression" priority="4701502" id="{E1886EE4-3BDE-43A9-9F4B-79377FEC37FE}">
            <xm:f>$CB$4='Data entry'!$R64</xm:f>
            <x14:dxf>
              <fill>
                <patternFill>
                  <bgColor rgb="FFFFFF00"/>
                </patternFill>
              </fill>
            </x14:dxf>
          </x14:cfRule>
          <xm:sqref>BN179:CB179</xm:sqref>
        </x14:conditionalFormatting>
        <x14:conditionalFormatting xmlns:xm="http://schemas.microsoft.com/office/excel/2006/main">
          <x14:cfRule type="expression" priority="4701503" id="{ADEF572A-6C18-4602-BB86-01C96D36E07E}">
            <xm:f>$CB$4='Data entry'!$R64</xm:f>
            <x14:dxf>
              <fill>
                <patternFill>
                  <bgColor rgb="FFFF0000"/>
                </patternFill>
              </fill>
            </x14:dxf>
          </x14:cfRule>
          <xm:sqref>BZ180:CC180</xm:sqref>
        </x14:conditionalFormatting>
        <x14:conditionalFormatting xmlns:xm="http://schemas.microsoft.com/office/excel/2006/main">
          <x14:cfRule type="expression" priority="4701504" id="{7984E1C9-E073-4955-8543-62145CB6D008}">
            <xm:f>$CC$4='Data entry'!$R64</xm:f>
            <x14:dxf>
              <fill>
                <patternFill>
                  <bgColor rgb="FFFFFF00"/>
                </patternFill>
              </fill>
            </x14:dxf>
          </x14:cfRule>
          <xm:sqref>BO179:CC179</xm:sqref>
        </x14:conditionalFormatting>
        <x14:conditionalFormatting xmlns:xm="http://schemas.microsoft.com/office/excel/2006/main">
          <x14:cfRule type="expression" priority="4701505" id="{18A957B3-59FA-4698-BA92-2A208FF18E2F}">
            <xm:f>$CC$4='Data entry'!$R64</xm:f>
            <x14:dxf>
              <fill>
                <patternFill>
                  <bgColor rgb="FFFF0000"/>
                </patternFill>
              </fill>
            </x14:dxf>
          </x14:cfRule>
          <xm:sqref>CA180:CC180</xm:sqref>
        </x14:conditionalFormatting>
        <x14:conditionalFormatting xmlns:xm="http://schemas.microsoft.com/office/excel/2006/main">
          <x14:cfRule type="expression" priority="4701592" id="{5B0DB825-B7C2-40AC-B7EF-F267F054CFB9}">
            <xm:f>$U$4='Data entry'!$R65</xm:f>
            <x14:dxf>
              <fill>
                <patternFill>
                  <bgColor rgb="FFFF0000"/>
                </patternFill>
              </fill>
            </x14:dxf>
          </x14:cfRule>
          <xm:sqref>S183:AE183</xm:sqref>
        </x14:conditionalFormatting>
        <x14:conditionalFormatting xmlns:xm="http://schemas.microsoft.com/office/excel/2006/main">
          <x14:cfRule type="expression" priority="4701593" id="{18311200-E2BB-400F-B594-3B9A2C6068C2}">
            <xm:f>$V$4='Data entry'!$R65</xm:f>
            <x14:dxf>
              <fill>
                <patternFill>
                  <bgColor rgb="FFFF0000"/>
                </patternFill>
              </fill>
            </x14:dxf>
          </x14:cfRule>
          <xm:sqref>T183:AF183</xm:sqref>
        </x14:conditionalFormatting>
        <x14:conditionalFormatting xmlns:xm="http://schemas.microsoft.com/office/excel/2006/main">
          <x14:cfRule type="expression" priority="4701594" id="{D6DFB621-1A58-4C59-A987-ECAD0EB2D32B}">
            <xm:f>$V$4='Data entry'!$R65</xm:f>
            <x14:dxf>
              <fill>
                <patternFill>
                  <bgColor rgb="FFFFFF00"/>
                </patternFill>
              </fill>
            </x14:dxf>
          </x14:cfRule>
          <xm:sqref>H182:V182</xm:sqref>
        </x14:conditionalFormatting>
        <x14:conditionalFormatting xmlns:xm="http://schemas.microsoft.com/office/excel/2006/main">
          <x14:cfRule type="expression" priority="4701595" id="{5F87A680-DC5F-433D-A779-B7A534ACCDA9}">
            <xm:f>$W$4='Data entry'!$R65</xm:f>
            <x14:dxf>
              <fill>
                <patternFill>
                  <bgColor rgb="FFFF0000"/>
                </patternFill>
              </fill>
            </x14:dxf>
          </x14:cfRule>
          <xm:sqref>U183:AG183</xm:sqref>
        </x14:conditionalFormatting>
        <x14:conditionalFormatting xmlns:xm="http://schemas.microsoft.com/office/excel/2006/main">
          <x14:cfRule type="expression" priority="4701596" id="{964539FF-A92C-4F68-B268-B7157A32678C}">
            <xm:f>$W$4='Data entry'!$R65</xm:f>
            <x14:dxf>
              <fill>
                <patternFill>
                  <bgColor rgb="FFFFFF00"/>
                </patternFill>
              </fill>
            </x14:dxf>
          </x14:cfRule>
          <xm:sqref>I182:W182</xm:sqref>
        </x14:conditionalFormatting>
        <x14:conditionalFormatting xmlns:xm="http://schemas.microsoft.com/office/excel/2006/main">
          <x14:cfRule type="expression" priority="4701597" id="{46C1533A-F090-4A90-9309-3F59EC3FD3B0}">
            <xm:f>$X$4='Data entry'!$R65</xm:f>
            <x14:dxf>
              <fill>
                <patternFill>
                  <bgColor rgb="FFFF0000"/>
                </patternFill>
              </fill>
            </x14:dxf>
          </x14:cfRule>
          <xm:sqref>V183:AH183</xm:sqref>
        </x14:conditionalFormatting>
        <x14:conditionalFormatting xmlns:xm="http://schemas.microsoft.com/office/excel/2006/main">
          <x14:cfRule type="expression" priority="4701598" id="{7C70E81C-DDD4-4D75-933A-4F6A39893184}">
            <xm:f>$X$4='Data entry'!$R65</xm:f>
            <x14:dxf>
              <fill>
                <patternFill>
                  <bgColor rgb="FFFFFF00"/>
                </patternFill>
              </fill>
            </x14:dxf>
          </x14:cfRule>
          <xm:sqref>J182:X182</xm:sqref>
        </x14:conditionalFormatting>
        <x14:conditionalFormatting xmlns:xm="http://schemas.microsoft.com/office/excel/2006/main">
          <x14:cfRule type="expression" priority="4701599" id="{561AF073-0EF8-4B72-A119-40A639C4359D}">
            <xm:f>$Y$4='Data entry'!$R65</xm:f>
            <x14:dxf>
              <fill>
                <patternFill>
                  <bgColor rgb="FFFF0000"/>
                </patternFill>
              </fill>
            </x14:dxf>
          </x14:cfRule>
          <xm:sqref>W183:AI183</xm:sqref>
        </x14:conditionalFormatting>
        <x14:conditionalFormatting xmlns:xm="http://schemas.microsoft.com/office/excel/2006/main">
          <x14:cfRule type="expression" priority="4701600" id="{F242E808-8F07-4A89-9524-7D4C767CE357}">
            <xm:f>$Y$4='Data entry'!$R65</xm:f>
            <x14:dxf>
              <fill>
                <patternFill>
                  <bgColor rgb="FFFFFF00"/>
                </patternFill>
              </fill>
            </x14:dxf>
          </x14:cfRule>
          <xm:sqref>K182:Y182</xm:sqref>
        </x14:conditionalFormatting>
        <x14:conditionalFormatting xmlns:xm="http://schemas.microsoft.com/office/excel/2006/main">
          <x14:cfRule type="expression" priority="4701601" id="{DD601058-982B-4218-BD9D-64BB823C2633}">
            <xm:f>$Z$4='Data entry'!$R65</xm:f>
            <x14:dxf>
              <fill>
                <patternFill>
                  <bgColor rgb="FFFF0000"/>
                </patternFill>
              </fill>
            </x14:dxf>
          </x14:cfRule>
          <xm:sqref>X183:AJ183</xm:sqref>
        </x14:conditionalFormatting>
        <x14:conditionalFormatting xmlns:xm="http://schemas.microsoft.com/office/excel/2006/main">
          <x14:cfRule type="expression" priority="4701602" id="{C9DB141D-79F6-4093-92A3-7BF7A1622985}">
            <xm:f>$Z$4='Data entry'!$R65</xm:f>
            <x14:dxf>
              <fill>
                <patternFill>
                  <bgColor rgb="FFFFFF00"/>
                </patternFill>
              </fill>
            </x14:dxf>
          </x14:cfRule>
          <xm:sqref>L182:Z182</xm:sqref>
        </x14:conditionalFormatting>
        <x14:conditionalFormatting xmlns:xm="http://schemas.microsoft.com/office/excel/2006/main">
          <x14:cfRule type="expression" priority="4701603" id="{710EB8D3-F5C0-4E3C-8214-2D0C4E26F649}">
            <xm:f>$AA$4='Data entry'!$R65</xm:f>
            <x14:dxf>
              <fill>
                <patternFill>
                  <bgColor rgb="FFFF0000"/>
                </patternFill>
              </fill>
            </x14:dxf>
          </x14:cfRule>
          <xm:sqref>Y183:AK183</xm:sqref>
        </x14:conditionalFormatting>
        <x14:conditionalFormatting xmlns:xm="http://schemas.microsoft.com/office/excel/2006/main">
          <x14:cfRule type="expression" priority="4701604" id="{33825D69-C967-4D27-B395-5D44A3083802}">
            <xm:f>$AA$4='Data entry'!$R65</xm:f>
            <x14:dxf>
              <fill>
                <patternFill>
                  <bgColor rgb="FFFFFF00"/>
                </patternFill>
              </fill>
            </x14:dxf>
          </x14:cfRule>
          <xm:sqref>M182:AA182</xm:sqref>
        </x14:conditionalFormatting>
        <x14:conditionalFormatting xmlns:xm="http://schemas.microsoft.com/office/excel/2006/main">
          <x14:cfRule type="expression" priority="4701605" id="{9811A97D-351B-4D32-8754-AF433277E62B}">
            <xm:f>$AB$4='Data entry'!$R65</xm:f>
            <x14:dxf>
              <fill>
                <patternFill>
                  <bgColor rgb="FFFF0000"/>
                </patternFill>
              </fill>
            </x14:dxf>
          </x14:cfRule>
          <xm:sqref>Z183:AL183</xm:sqref>
        </x14:conditionalFormatting>
        <x14:conditionalFormatting xmlns:xm="http://schemas.microsoft.com/office/excel/2006/main">
          <x14:cfRule type="expression" priority="4701606" id="{6DD3E556-C72E-438B-92DA-3096ED1E4178}">
            <xm:f>$AB$4='Data entry'!$R65</xm:f>
            <x14:dxf>
              <fill>
                <patternFill>
                  <bgColor rgb="FFFFFF00"/>
                </patternFill>
              </fill>
            </x14:dxf>
          </x14:cfRule>
          <xm:sqref>N182:AB182</xm:sqref>
        </x14:conditionalFormatting>
        <x14:conditionalFormatting xmlns:xm="http://schemas.microsoft.com/office/excel/2006/main">
          <x14:cfRule type="expression" priority="4701607" id="{C0DF7A1B-D6BC-4371-BD3A-F0708147FA1C}">
            <xm:f>$AC$4='Data entry'!$R65</xm:f>
            <x14:dxf>
              <fill>
                <patternFill>
                  <bgColor rgb="FFFF0000"/>
                </patternFill>
              </fill>
            </x14:dxf>
          </x14:cfRule>
          <xm:sqref>AA183:AM183</xm:sqref>
        </x14:conditionalFormatting>
        <x14:conditionalFormatting xmlns:xm="http://schemas.microsoft.com/office/excel/2006/main">
          <x14:cfRule type="expression" priority="4701608" id="{DB2E1F48-AF0E-41F9-A976-6B1963CA5711}">
            <xm:f>$AC$4='Data entry'!$R65</xm:f>
            <x14:dxf>
              <fill>
                <patternFill>
                  <bgColor rgb="FFFFFF00"/>
                </patternFill>
              </fill>
            </x14:dxf>
          </x14:cfRule>
          <xm:sqref>O182:AC182</xm:sqref>
        </x14:conditionalFormatting>
        <x14:conditionalFormatting xmlns:xm="http://schemas.microsoft.com/office/excel/2006/main">
          <x14:cfRule type="expression" priority="4701609" id="{89909907-F9A9-4AF9-BC1D-304710A43F50}">
            <xm:f>$AD$4='Data entry'!$R65</xm:f>
            <x14:dxf>
              <fill>
                <patternFill>
                  <bgColor rgb="FFFF0000"/>
                </patternFill>
              </fill>
            </x14:dxf>
          </x14:cfRule>
          <xm:sqref>AB183:AN183</xm:sqref>
        </x14:conditionalFormatting>
        <x14:conditionalFormatting xmlns:xm="http://schemas.microsoft.com/office/excel/2006/main">
          <x14:cfRule type="expression" priority="4701610" id="{729676B7-E331-43A4-ACC9-850DCEE76A0E}">
            <xm:f>$AD$4='Data entry'!$R65</xm:f>
            <x14:dxf>
              <fill>
                <patternFill>
                  <bgColor rgb="FFFFFF00"/>
                </patternFill>
              </fill>
            </x14:dxf>
          </x14:cfRule>
          <xm:sqref>P182:AD182</xm:sqref>
        </x14:conditionalFormatting>
        <x14:conditionalFormatting xmlns:xm="http://schemas.microsoft.com/office/excel/2006/main">
          <x14:cfRule type="expression" priority="4701611" id="{00DA2C55-350E-44AA-ABEA-808FABFDA737}">
            <xm:f>$AE$4='Data entry'!$R65</xm:f>
            <x14:dxf>
              <fill>
                <patternFill>
                  <bgColor rgb="FFFF0000"/>
                </patternFill>
              </fill>
            </x14:dxf>
          </x14:cfRule>
          <xm:sqref>AC183:AO183</xm:sqref>
        </x14:conditionalFormatting>
        <x14:conditionalFormatting xmlns:xm="http://schemas.microsoft.com/office/excel/2006/main">
          <x14:cfRule type="expression" priority="4701612" id="{373C95F1-00C1-45E9-B561-5224945BA4A4}">
            <xm:f>$AE$4='Data entry'!$R65</xm:f>
            <x14:dxf>
              <fill>
                <patternFill>
                  <bgColor rgb="FFFFFF00"/>
                </patternFill>
              </fill>
            </x14:dxf>
          </x14:cfRule>
          <xm:sqref>Q182:AE182</xm:sqref>
        </x14:conditionalFormatting>
        <x14:conditionalFormatting xmlns:xm="http://schemas.microsoft.com/office/excel/2006/main">
          <x14:cfRule type="expression" priority="4701613" id="{65E90E74-6BEF-4B00-BD5E-ECACFEBC225A}">
            <xm:f>$AF$4='Data entry'!$R65</xm:f>
            <x14:dxf>
              <fill>
                <patternFill>
                  <bgColor rgb="FFFF0000"/>
                </patternFill>
              </fill>
            </x14:dxf>
          </x14:cfRule>
          <xm:sqref>AD183:AP183</xm:sqref>
        </x14:conditionalFormatting>
        <x14:conditionalFormatting xmlns:xm="http://schemas.microsoft.com/office/excel/2006/main">
          <x14:cfRule type="expression" priority="4701614" id="{56B519D7-E083-4811-B42B-D6CB10D44BB3}">
            <xm:f>$AF$4='Data entry'!$R65</xm:f>
            <x14:dxf>
              <fill>
                <patternFill>
                  <bgColor rgb="FFFFFF00"/>
                </patternFill>
              </fill>
            </x14:dxf>
          </x14:cfRule>
          <xm:sqref>R182:AF182</xm:sqref>
        </x14:conditionalFormatting>
        <x14:conditionalFormatting xmlns:xm="http://schemas.microsoft.com/office/excel/2006/main">
          <x14:cfRule type="expression" priority="4701615" id="{889682B6-BF9B-414B-86B7-1C802156B058}">
            <xm:f>$AG$4='Data entry'!$R65</xm:f>
            <x14:dxf>
              <fill>
                <patternFill>
                  <bgColor rgb="FFFF0000"/>
                </patternFill>
              </fill>
            </x14:dxf>
          </x14:cfRule>
          <xm:sqref>AE183:AQ183</xm:sqref>
        </x14:conditionalFormatting>
        <x14:conditionalFormatting xmlns:xm="http://schemas.microsoft.com/office/excel/2006/main">
          <x14:cfRule type="expression" priority="4701616" id="{19913D88-1940-4CB0-B29C-D46D60833BD5}">
            <xm:f>$AG$4='Data entry'!$R65</xm:f>
            <x14:dxf>
              <fill>
                <patternFill>
                  <bgColor rgb="FFFFFF00"/>
                </patternFill>
              </fill>
            </x14:dxf>
          </x14:cfRule>
          <xm:sqref>S182:AG182</xm:sqref>
        </x14:conditionalFormatting>
        <x14:conditionalFormatting xmlns:xm="http://schemas.microsoft.com/office/excel/2006/main">
          <x14:cfRule type="expression" priority="4701617" id="{3DD7B9A5-18A3-463F-BAD5-9796FC487328}">
            <xm:f>$AH$4='Data entry'!$R65</xm:f>
            <x14:dxf>
              <fill>
                <patternFill>
                  <bgColor rgb="FFFF0000"/>
                </patternFill>
              </fill>
            </x14:dxf>
          </x14:cfRule>
          <xm:sqref>AF183:AR183</xm:sqref>
        </x14:conditionalFormatting>
        <x14:conditionalFormatting xmlns:xm="http://schemas.microsoft.com/office/excel/2006/main">
          <x14:cfRule type="expression" priority="4701618" id="{31005CF4-5608-496E-91EB-F7F505046C80}">
            <xm:f>$AH$4='Data entry'!$R65</xm:f>
            <x14:dxf>
              <fill>
                <patternFill>
                  <bgColor rgb="FFFFFF00"/>
                </patternFill>
              </fill>
            </x14:dxf>
          </x14:cfRule>
          <xm:sqref>T182:AH182</xm:sqref>
        </x14:conditionalFormatting>
        <x14:conditionalFormatting xmlns:xm="http://schemas.microsoft.com/office/excel/2006/main">
          <x14:cfRule type="expression" priority="4701619" id="{CD14F654-5B7A-444F-8FC1-7DD71E76E475}">
            <xm:f>$AI$4='Data entry'!$R65</xm:f>
            <x14:dxf>
              <fill>
                <patternFill>
                  <bgColor rgb="FFFF0000"/>
                </patternFill>
              </fill>
            </x14:dxf>
          </x14:cfRule>
          <xm:sqref>AG183:AS183</xm:sqref>
        </x14:conditionalFormatting>
        <x14:conditionalFormatting xmlns:xm="http://schemas.microsoft.com/office/excel/2006/main">
          <x14:cfRule type="expression" priority="4701620" id="{0E4E448C-6C46-4285-B877-A61A90294385}">
            <xm:f>$AI$4='Data entry'!$R65</xm:f>
            <x14:dxf>
              <fill>
                <patternFill>
                  <bgColor rgb="FFFFFF00"/>
                </patternFill>
              </fill>
            </x14:dxf>
          </x14:cfRule>
          <xm:sqref>U182:AI182</xm:sqref>
        </x14:conditionalFormatting>
        <x14:conditionalFormatting xmlns:xm="http://schemas.microsoft.com/office/excel/2006/main">
          <x14:cfRule type="expression" priority="4701621" id="{B1C1818F-791C-403D-BE73-6F6E9DC6A16D}">
            <xm:f>$AJ$4='Data entry'!$R65</xm:f>
            <x14:dxf>
              <fill>
                <patternFill>
                  <bgColor rgb="FFFF0000"/>
                </patternFill>
              </fill>
            </x14:dxf>
          </x14:cfRule>
          <xm:sqref>AH183:AT183</xm:sqref>
        </x14:conditionalFormatting>
        <x14:conditionalFormatting xmlns:xm="http://schemas.microsoft.com/office/excel/2006/main">
          <x14:cfRule type="expression" priority="4701622" id="{A1237792-221B-431B-B8A7-E9A64DA46D93}">
            <xm:f>$AJ$4='Data entry'!$R65</xm:f>
            <x14:dxf>
              <fill>
                <patternFill>
                  <bgColor rgb="FFFFFF00"/>
                </patternFill>
              </fill>
            </x14:dxf>
          </x14:cfRule>
          <xm:sqref>V182:AJ182</xm:sqref>
        </x14:conditionalFormatting>
        <x14:conditionalFormatting xmlns:xm="http://schemas.microsoft.com/office/excel/2006/main">
          <x14:cfRule type="expression" priority="4701623" id="{617DC2AF-C7A3-4724-8EA3-17DEFEDC8949}">
            <xm:f>$AK$4='Data entry'!$R65</xm:f>
            <x14:dxf>
              <fill>
                <patternFill>
                  <bgColor rgb="FFFF0000"/>
                </patternFill>
              </fill>
            </x14:dxf>
          </x14:cfRule>
          <xm:sqref>AI183:AU183</xm:sqref>
        </x14:conditionalFormatting>
        <x14:conditionalFormatting xmlns:xm="http://schemas.microsoft.com/office/excel/2006/main">
          <x14:cfRule type="expression" priority="4701624" id="{AA72317D-37B1-48EB-A28B-BF2AC8DC4519}">
            <xm:f>$AK$4='Data entry'!$R65</xm:f>
            <x14:dxf>
              <fill>
                <patternFill>
                  <bgColor rgb="FFFFFF00"/>
                </patternFill>
              </fill>
            </x14:dxf>
          </x14:cfRule>
          <xm:sqref>W182:AK182</xm:sqref>
        </x14:conditionalFormatting>
        <x14:conditionalFormatting xmlns:xm="http://schemas.microsoft.com/office/excel/2006/main">
          <x14:cfRule type="expression" priority="4701625" id="{6CA9FB7A-20EA-4D3A-B74C-A001F4BE810D}">
            <xm:f>$AL$4='Data entry'!$R65</xm:f>
            <x14:dxf>
              <fill>
                <patternFill>
                  <bgColor rgb="FFFF0000"/>
                </patternFill>
              </fill>
            </x14:dxf>
          </x14:cfRule>
          <xm:sqref>AJ183:AV183</xm:sqref>
        </x14:conditionalFormatting>
        <x14:conditionalFormatting xmlns:xm="http://schemas.microsoft.com/office/excel/2006/main">
          <x14:cfRule type="expression" priority="4701626" id="{81A75DAA-573F-4EF3-A640-1B992C18BEA0}">
            <xm:f>$AL$4='Data entry'!$R65</xm:f>
            <x14:dxf>
              <fill>
                <patternFill>
                  <bgColor rgb="FFFFFF00"/>
                </patternFill>
              </fill>
            </x14:dxf>
          </x14:cfRule>
          <xm:sqref>X182:AL182</xm:sqref>
        </x14:conditionalFormatting>
        <x14:conditionalFormatting xmlns:xm="http://schemas.microsoft.com/office/excel/2006/main">
          <x14:cfRule type="expression" priority="4701627" id="{3D44713E-4ABA-4CCD-9DF4-5513A9FB5E1E}">
            <xm:f>$AM$4='Data entry'!$R65</xm:f>
            <x14:dxf>
              <fill>
                <patternFill>
                  <bgColor rgb="FFFF0000"/>
                </patternFill>
              </fill>
            </x14:dxf>
          </x14:cfRule>
          <xm:sqref>AK183:AW183</xm:sqref>
        </x14:conditionalFormatting>
        <x14:conditionalFormatting xmlns:xm="http://schemas.microsoft.com/office/excel/2006/main">
          <x14:cfRule type="expression" priority="4701628" id="{05A26B51-72A7-4423-822F-2BDBC28275D0}">
            <xm:f>$AM$4='Data entry'!$R65</xm:f>
            <x14:dxf>
              <fill>
                <patternFill>
                  <bgColor rgb="FFFFFF00"/>
                </patternFill>
              </fill>
            </x14:dxf>
          </x14:cfRule>
          <xm:sqref>Y182:AM182</xm:sqref>
        </x14:conditionalFormatting>
        <x14:conditionalFormatting xmlns:xm="http://schemas.microsoft.com/office/excel/2006/main">
          <x14:cfRule type="expression" priority="4701629" id="{B8A20675-6230-4694-A7F6-6B3DC7142773}">
            <xm:f>$AN$4='Data entry'!$R65</xm:f>
            <x14:dxf>
              <fill>
                <patternFill>
                  <bgColor rgb="FFFF0000"/>
                </patternFill>
              </fill>
            </x14:dxf>
          </x14:cfRule>
          <xm:sqref>AL183:AX183</xm:sqref>
        </x14:conditionalFormatting>
        <x14:conditionalFormatting xmlns:xm="http://schemas.microsoft.com/office/excel/2006/main">
          <x14:cfRule type="expression" priority="4701630" id="{8421181C-7450-42E9-BC1D-065CCFCA960E}">
            <xm:f>$AN$4='Data entry'!$R65</xm:f>
            <x14:dxf>
              <fill>
                <patternFill>
                  <bgColor rgb="FFFFFF00"/>
                </patternFill>
              </fill>
            </x14:dxf>
          </x14:cfRule>
          <xm:sqref>Z182:AN182</xm:sqref>
        </x14:conditionalFormatting>
        <x14:conditionalFormatting xmlns:xm="http://schemas.microsoft.com/office/excel/2006/main">
          <x14:cfRule type="expression" priority="4701631" id="{067FE4BD-6EF4-4684-B6E0-35AB2F267EE7}">
            <xm:f>$AO$4='Data entry'!$R65</xm:f>
            <x14:dxf>
              <fill>
                <patternFill>
                  <bgColor rgb="FFFF0000"/>
                </patternFill>
              </fill>
            </x14:dxf>
          </x14:cfRule>
          <xm:sqref>AM183:AY183</xm:sqref>
        </x14:conditionalFormatting>
        <x14:conditionalFormatting xmlns:xm="http://schemas.microsoft.com/office/excel/2006/main">
          <x14:cfRule type="expression" priority="4701632" id="{F7653492-88D1-47AC-8BA3-0CCE65C3C2AB}">
            <xm:f>$AO$4='Data entry'!$R65</xm:f>
            <x14:dxf>
              <fill>
                <patternFill>
                  <bgColor rgb="FFFFFF00"/>
                </patternFill>
              </fill>
            </x14:dxf>
          </x14:cfRule>
          <xm:sqref>AA182:AO182</xm:sqref>
        </x14:conditionalFormatting>
        <x14:conditionalFormatting xmlns:xm="http://schemas.microsoft.com/office/excel/2006/main">
          <x14:cfRule type="expression" priority="4701633" id="{207A5E5D-B322-482E-9193-1D7318138358}">
            <xm:f>$AP$4='Data entry'!$R65</xm:f>
            <x14:dxf>
              <fill>
                <patternFill>
                  <bgColor rgb="FFFF0000"/>
                </patternFill>
              </fill>
            </x14:dxf>
          </x14:cfRule>
          <xm:sqref>AN183:AZ183</xm:sqref>
        </x14:conditionalFormatting>
        <x14:conditionalFormatting xmlns:xm="http://schemas.microsoft.com/office/excel/2006/main">
          <x14:cfRule type="expression" priority="4701634" id="{21DA638D-4CA0-4067-BFF1-240CE1A0261B}">
            <xm:f>$AP$4='Data entry'!$R65</xm:f>
            <x14:dxf>
              <fill>
                <patternFill>
                  <bgColor rgb="FFFFFF00"/>
                </patternFill>
              </fill>
            </x14:dxf>
          </x14:cfRule>
          <xm:sqref>AB182:AP182</xm:sqref>
        </x14:conditionalFormatting>
        <x14:conditionalFormatting xmlns:xm="http://schemas.microsoft.com/office/excel/2006/main">
          <x14:cfRule type="expression" priority="4701635" id="{71963D96-A42A-4B90-BFC7-6D83D37766EF}">
            <xm:f>$AQ$4='Data entry'!$R65</xm:f>
            <x14:dxf>
              <fill>
                <patternFill>
                  <bgColor rgb="FFFF0000"/>
                </patternFill>
              </fill>
            </x14:dxf>
          </x14:cfRule>
          <xm:sqref>AO183:BA183</xm:sqref>
        </x14:conditionalFormatting>
        <x14:conditionalFormatting xmlns:xm="http://schemas.microsoft.com/office/excel/2006/main">
          <x14:cfRule type="expression" priority="4701636" id="{74952595-84B6-484F-8FF6-FCC1F337DF4D}">
            <xm:f>$AQ$4='Data entry'!$R65</xm:f>
            <x14:dxf>
              <fill>
                <patternFill>
                  <bgColor rgb="FFFFFF00"/>
                </patternFill>
              </fill>
            </x14:dxf>
          </x14:cfRule>
          <xm:sqref>AC182:AQ182</xm:sqref>
        </x14:conditionalFormatting>
        <x14:conditionalFormatting xmlns:xm="http://schemas.microsoft.com/office/excel/2006/main">
          <x14:cfRule type="expression" priority="4701637" id="{8AC9C4B9-0A34-4BC0-B0F7-CA89434C4911}">
            <xm:f>$P$4='Data entry'!$R65</xm:f>
            <x14:dxf>
              <fill>
                <patternFill>
                  <bgColor rgb="FFFFFF00"/>
                </patternFill>
              </fill>
            </x14:dxf>
          </x14:cfRule>
          <xm:sqref>C182:P182</xm:sqref>
        </x14:conditionalFormatting>
        <x14:conditionalFormatting xmlns:xm="http://schemas.microsoft.com/office/excel/2006/main">
          <x14:cfRule type="expression" priority="4701638" id="{0A726775-ABFD-4F22-967C-1A4D87BA3751}">
            <xm:f>$Q$4='Data entry'!$R65</xm:f>
            <x14:dxf>
              <fill>
                <patternFill>
                  <bgColor rgb="FFFFFF00"/>
                </patternFill>
              </fill>
            </x14:dxf>
          </x14:cfRule>
          <xm:sqref>C182:Q182</xm:sqref>
        </x14:conditionalFormatting>
        <x14:conditionalFormatting xmlns:xm="http://schemas.microsoft.com/office/excel/2006/main">
          <x14:cfRule type="expression" priority="4701639" id="{3A8414BD-262C-43B5-86EE-FA6901D00453}">
            <xm:f>$Q$4='Data entry'!$R65</xm:f>
            <x14:dxf>
              <fill>
                <patternFill>
                  <bgColor rgb="FFFF0000"/>
                </patternFill>
              </fill>
            </x14:dxf>
          </x14:cfRule>
          <xm:sqref>O183:AA183</xm:sqref>
        </x14:conditionalFormatting>
        <x14:conditionalFormatting xmlns:xm="http://schemas.microsoft.com/office/excel/2006/main">
          <x14:cfRule type="expression" priority="4701640" id="{B8B5501D-F3EF-4449-9306-F652960C65F4}">
            <xm:f>$R$4='Data entry'!$R65</xm:f>
            <x14:dxf>
              <fill>
                <patternFill>
                  <bgColor rgb="FFFF0000"/>
                </patternFill>
              </fill>
            </x14:dxf>
          </x14:cfRule>
          <xm:sqref>P183:AB183</xm:sqref>
        </x14:conditionalFormatting>
        <x14:conditionalFormatting xmlns:xm="http://schemas.microsoft.com/office/excel/2006/main">
          <x14:cfRule type="expression" priority="4701641" id="{5D070DEC-B82E-4D87-B907-A3E5AB836991}">
            <xm:f>$R$4='Data entry'!$R65</xm:f>
            <x14:dxf>
              <fill>
                <patternFill>
                  <bgColor rgb="FFFFFF00"/>
                </patternFill>
              </fill>
            </x14:dxf>
          </x14:cfRule>
          <xm:sqref>D182:R182</xm:sqref>
        </x14:conditionalFormatting>
        <x14:conditionalFormatting xmlns:xm="http://schemas.microsoft.com/office/excel/2006/main">
          <x14:cfRule type="expression" priority="4701642" id="{E4D16A10-F818-4664-9FB2-F0E839824D4B}">
            <xm:f>$S$4='Data entry'!$R65</xm:f>
            <x14:dxf>
              <fill>
                <patternFill>
                  <bgColor rgb="FFFF0000"/>
                </patternFill>
              </fill>
            </x14:dxf>
          </x14:cfRule>
          <xm:sqref>Q183:AC183</xm:sqref>
        </x14:conditionalFormatting>
        <x14:conditionalFormatting xmlns:xm="http://schemas.microsoft.com/office/excel/2006/main">
          <x14:cfRule type="expression" priority="4701643" id="{1A9F9911-A3E9-4730-AFBE-AB8C596545CA}">
            <xm:f>$S$4='Data entry'!$R65</xm:f>
            <x14:dxf>
              <fill>
                <patternFill>
                  <bgColor rgb="FFFFFF00"/>
                </patternFill>
              </fill>
            </x14:dxf>
          </x14:cfRule>
          <xm:sqref>E182:S182</xm:sqref>
        </x14:conditionalFormatting>
        <x14:conditionalFormatting xmlns:xm="http://schemas.microsoft.com/office/excel/2006/main">
          <x14:cfRule type="expression" priority="4701644" id="{8BB5CD1B-B2AC-442A-9550-26DE19A62D22}">
            <xm:f>$T$4='Data entry'!$R65</xm:f>
            <x14:dxf>
              <fill>
                <patternFill>
                  <bgColor rgb="FFFF0000"/>
                </patternFill>
              </fill>
            </x14:dxf>
          </x14:cfRule>
          <xm:sqref>R183:AD183</xm:sqref>
        </x14:conditionalFormatting>
        <x14:conditionalFormatting xmlns:xm="http://schemas.microsoft.com/office/excel/2006/main">
          <x14:cfRule type="expression" priority="4701645" id="{E7B59C69-7921-4049-84A1-8B3E5F7B0598}">
            <xm:f>$T$4='Data entry'!$R65</xm:f>
            <x14:dxf>
              <fill>
                <patternFill>
                  <bgColor rgb="FFFFFF00"/>
                </patternFill>
              </fill>
            </x14:dxf>
          </x14:cfRule>
          <xm:sqref>F182:T182</xm:sqref>
        </x14:conditionalFormatting>
        <x14:conditionalFormatting xmlns:xm="http://schemas.microsoft.com/office/excel/2006/main">
          <x14:cfRule type="expression" priority="4701646" id="{238C09E5-7A3D-439D-949F-A7733073F9A2}">
            <xm:f>$U$4='Data entry'!$R65</xm:f>
            <x14:dxf>
              <fill>
                <patternFill>
                  <bgColor rgb="FFFFFF00"/>
                </patternFill>
              </fill>
            </x14:dxf>
          </x14:cfRule>
          <xm:sqref>G182:U182</xm:sqref>
        </x14:conditionalFormatting>
        <x14:conditionalFormatting xmlns:xm="http://schemas.microsoft.com/office/excel/2006/main">
          <x14:cfRule type="expression" priority="4701647" id="{DE4D4432-0A19-452A-AF14-2873FE4DF411}">
            <xm:f>$AR$4='Data entry'!$R65</xm:f>
            <x14:dxf>
              <fill>
                <patternFill>
                  <bgColor rgb="FFFF0000"/>
                </patternFill>
              </fill>
            </x14:dxf>
          </x14:cfRule>
          <xm:sqref>AP183:BB183</xm:sqref>
        </x14:conditionalFormatting>
        <x14:conditionalFormatting xmlns:xm="http://schemas.microsoft.com/office/excel/2006/main">
          <x14:cfRule type="expression" priority="4701648" id="{90D7E1FF-542D-40C8-9BD5-DFEB4CDD256F}">
            <xm:f>$AR$4='Data entry'!$R65</xm:f>
            <x14:dxf>
              <fill>
                <patternFill>
                  <bgColor rgb="FFFFFF00"/>
                </patternFill>
              </fill>
            </x14:dxf>
          </x14:cfRule>
          <xm:sqref>AD182:AR182</xm:sqref>
        </x14:conditionalFormatting>
        <x14:conditionalFormatting xmlns:xm="http://schemas.microsoft.com/office/excel/2006/main">
          <x14:cfRule type="expression" priority="4701649" id="{0EBB5305-4A4A-4205-A1FF-11160070CBC3}">
            <xm:f>$AS$4='Data entry'!$R65</xm:f>
            <x14:dxf>
              <fill>
                <patternFill>
                  <bgColor rgb="FFFF0000"/>
                </patternFill>
              </fill>
            </x14:dxf>
          </x14:cfRule>
          <xm:sqref>AQ183:BC183</xm:sqref>
        </x14:conditionalFormatting>
        <x14:conditionalFormatting xmlns:xm="http://schemas.microsoft.com/office/excel/2006/main">
          <x14:cfRule type="expression" priority="4701650" id="{AC8EB30C-4253-4CE1-820E-1801F6D8D35B}">
            <xm:f>$AS$4='Data entry'!$R65</xm:f>
            <x14:dxf>
              <fill>
                <patternFill>
                  <bgColor rgb="FFFFFF00"/>
                </patternFill>
              </fill>
            </x14:dxf>
          </x14:cfRule>
          <xm:sqref>AE182:AS182</xm:sqref>
        </x14:conditionalFormatting>
        <x14:conditionalFormatting xmlns:xm="http://schemas.microsoft.com/office/excel/2006/main">
          <x14:cfRule type="expression" priority="4701651" id="{E11744C1-7201-4272-A1B0-945490B42425}">
            <xm:f>$AT$4='Data entry'!$R65</xm:f>
            <x14:dxf>
              <fill>
                <patternFill>
                  <bgColor rgb="FFFF0000"/>
                </patternFill>
              </fill>
            </x14:dxf>
          </x14:cfRule>
          <xm:sqref>AR183:BD183</xm:sqref>
        </x14:conditionalFormatting>
        <x14:conditionalFormatting xmlns:xm="http://schemas.microsoft.com/office/excel/2006/main">
          <x14:cfRule type="expression" priority="4701652" id="{5EE2823B-E955-4EA7-B99C-0B1F77B57A69}">
            <xm:f>$AT$4='Data entry'!$R65</xm:f>
            <x14:dxf>
              <fill>
                <patternFill>
                  <bgColor rgb="FFFFFF00"/>
                </patternFill>
              </fill>
            </x14:dxf>
          </x14:cfRule>
          <xm:sqref>AF182:AT182</xm:sqref>
        </x14:conditionalFormatting>
        <x14:conditionalFormatting xmlns:xm="http://schemas.microsoft.com/office/excel/2006/main">
          <x14:cfRule type="expression" priority="4701653" id="{5737DC63-3262-4B34-900C-2AAEB255FCBA}">
            <xm:f>$AU$4='Data entry'!$R65</xm:f>
            <x14:dxf>
              <fill>
                <patternFill>
                  <bgColor rgb="FFFF0000"/>
                </patternFill>
              </fill>
            </x14:dxf>
          </x14:cfRule>
          <xm:sqref>AS183:BE183</xm:sqref>
        </x14:conditionalFormatting>
        <x14:conditionalFormatting xmlns:xm="http://schemas.microsoft.com/office/excel/2006/main">
          <x14:cfRule type="expression" priority="4701654" id="{2B5C1F1B-3C3D-4CA3-BC64-0E98422075B6}">
            <xm:f>$AU$4='Data entry'!$R65</xm:f>
            <x14:dxf>
              <fill>
                <patternFill>
                  <bgColor rgb="FFFFFF00"/>
                </patternFill>
              </fill>
            </x14:dxf>
          </x14:cfRule>
          <xm:sqref>AG182:AU182</xm:sqref>
        </x14:conditionalFormatting>
        <x14:conditionalFormatting xmlns:xm="http://schemas.microsoft.com/office/excel/2006/main">
          <x14:cfRule type="expression" priority="4701655" id="{B87A1285-B003-4855-8F4B-53C391BA10E6}">
            <xm:f>$AV$4='Data entry'!$R65</xm:f>
            <x14:dxf>
              <fill>
                <patternFill>
                  <bgColor rgb="FFFF0000"/>
                </patternFill>
              </fill>
            </x14:dxf>
          </x14:cfRule>
          <xm:sqref>AT183:BF183</xm:sqref>
        </x14:conditionalFormatting>
        <x14:conditionalFormatting xmlns:xm="http://schemas.microsoft.com/office/excel/2006/main">
          <x14:cfRule type="expression" priority="4701656" id="{338EE31C-78DB-4818-B837-0380F9E457FA}">
            <xm:f>$AV$4='Data entry'!$R65</xm:f>
            <x14:dxf>
              <fill>
                <patternFill>
                  <bgColor rgb="FFFFFF00"/>
                </patternFill>
              </fill>
            </x14:dxf>
          </x14:cfRule>
          <xm:sqref>AH182:AV182</xm:sqref>
        </x14:conditionalFormatting>
        <x14:conditionalFormatting xmlns:xm="http://schemas.microsoft.com/office/excel/2006/main">
          <x14:cfRule type="expression" priority="4701657" id="{5C40EA66-2801-4C91-B885-BF6A1ECFC35C}">
            <xm:f>$AW$4='Data entry'!$R65</xm:f>
            <x14:dxf>
              <fill>
                <patternFill>
                  <bgColor rgb="FFFF0000"/>
                </patternFill>
              </fill>
            </x14:dxf>
          </x14:cfRule>
          <xm:sqref>AU183:BG183</xm:sqref>
        </x14:conditionalFormatting>
        <x14:conditionalFormatting xmlns:xm="http://schemas.microsoft.com/office/excel/2006/main">
          <x14:cfRule type="expression" priority="4701658" id="{51BCD5CE-DF86-4C2F-8A81-DDA1EFD6C8F7}">
            <xm:f>$AW$4='Data entry'!$R65</xm:f>
            <x14:dxf>
              <fill>
                <patternFill>
                  <bgColor rgb="FFFFFF00"/>
                </patternFill>
              </fill>
            </x14:dxf>
          </x14:cfRule>
          <xm:sqref>AI182:AW182</xm:sqref>
        </x14:conditionalFormatting>
        <x14:conditionalFormatting xmlns:xm="http://schemas.microsoft.com/office/excel/2006/main">
          <x14:cfRule type="expression" priority="4701659" id="{DC2ED5A0-8917-4877-8CD3-9DF9BE5993C9}">
            <xm:f>$AX$4='Data entry'!$R65</xm:f>
            <x14:dxf>
              <fill>
                <patternFill>
                  <bgColor rgb="FFFF0000"/>
                </patternFill>
              </fill>
            </x14:dxf>
          </x14:cfRule>
          <xm:sqref>AV183:BH183</xm:sqref>
        </x14:conditionalFormatting>
        <x14:conditionalFormatting xmlns:xm="http://schemas.microsoft.com/office/excel/2006/main">
          <x14:cfRule type="expression" priority="4701660" id="{59B31869-20F9-45BD-BC80-0A6C8945CE2C}">
            <xm:f>$AX$4='Data entry'!$R65</xm:f>
            <x14:dxf>
              <fill>
                <patternFill>
                  <bgColor rgb="FFFFFF00"/>
                </patternFill>
              </fill>
            </x14:dxf>
          </x14:cfRule>
          <xm:sqref>AJ182:AX182</xm:sqref>
        </x14:conditionalFormatting>
        <x14:conditionalFormatting xmlns:xm="http://schemas.microsoft.com/office/excel/2006/main">
          <x14:cfRule type="expression" priority="4701661" id="{D4208FA0-4262-4037-934C-6D0742B2AD8E}">
            <xm:f>$AY$4='Data entry'!$R65</xm:f>
            <x14:dxf>
              <fill>
                <patternFill>
                  <bgColor rgb="FFFF0000"/>
                </patternFill>
              </fill>
            </x14:dxf>
          </x14:cfRule>
          <xm:sqref>AW183:BI183</xm:sqref>
        </x14:conditionalFormatting>
        <x14:conditionalFormatting xmlns:xm="http://schemas.microsoft.com/office/excel/2006/main">
          <x14:cfRule type="expression" priority="4701662" id="{04D6E423-18C7-42B2-A67D-F49D8E62B571}">
            <xm:f>$AY$4='Data entry'!$R65</xm:f>
            <x14:dxf>
              <fill>
                <patternFill>
                  <bgColor rgb="FFFFFF00"/>
                </patternFill>
              </fill>
            </x14:dxf>
          </x14:cfRule>
          <xm:sqref>AK182:AY182</xm:sqref>
        </x14:conditionalFormatting>
        <x14:conditionalFormatting xmlns:xm="http://schemas.microsoft.com/office/excel/2006/main">
          <x14:cfRule type="expression" priority="4701663" id="{A931C203-6E4B-4EBD-A2F4-1876881F48D4}">
            <xm:f>$AZ$4='Data entry'!$R65</xm:f>
            <x14:dxf>
              <fill>
                <patternFill>
                  <bgColor rgb="FFFF0000"/>
                </patternFill>
              </fill>
            </x14:dxf>
          </x14:cfRule>
          <xm:sqref>AX183:BJ183</xm:sqref>
        </x14:conditionalFormatting>
        <x14:conditionalFormatting xmlns:xm="http://schemas.microsoft.com/office/excel/2006/main">
          <x14:cfRule type="expression" priority="4701664" id="{092D9100-E652-40FE-8CAA-720DC0681250}">
            <xm:f>$AZ$4='Data entry'!$R65</xm:f>
            <x14:dxf>
              <fill>
                <patternFill>
                  <bgColor rgb="FFFFFF00"/>
                </patternFill>
              </fill>
            </x14:dxf>
          </x14:cfRule>
          <xm:sqref>AL182:AZ182</xm:sqref>
        </x14:conditionalFormatting>
        <x14:conditionalFormatting xmlns:xm="http://schemas.microsoft.com/office/excel/2006/main">
          <x14:cfRule type="expression" priority="4701665" id="{A3C7E6BE-A225-483C-A983-A915DB662C52}">
            <xm:f>$BA$4='Data entry'!$R65</xm:f>
            <x14:dxf>
              <fill>
                <patternFill>
                  <bgColor rgb="FFFF0000"/>
                </patternFill>
              </fill>
            </x14:dxf>
          </x14:cfRule>
          <xm:sqref>AY183:BK183</xm:sqref>
        </x14:conditionalFormatting>
        <x14:conditionalFormatting xmlns:xm="http://schemas.microsoft.com/office/excel/2006/main">
          <x14:cfRule type="expression" priority="4701666" id="{F5CF569A-8AFA-4CFF-8BD3-F04D8927A99F}">
            <xm:f>$BA$4='Data entry'!$R65</xm:f>
            <x14:dxf>
              <fill>
                <patternFill>
                  <bgColor rgb="FFFFFF00"/>
                </patternFill>
              </fill>
            </x14:dxf>
          </x14:cfRule>
          <xm:sqref>AM182:BA182</xm:sqref>
        </x14:conditionalFormatting>
        <x14:conditionalFormatting xmlns:xm="http://schemas.microsoft.com/office/excel/2006/main">
          <x14:cfRule type="expression" priority="4701667" id="{E4DAC94A-7983-4BFB-A87B-45B58561841A}">
            <xm:f>$BB$4='Data entry'!$R65</xm:f>
            <x14:dxf>
              <fill>
                <patternFill>
                  <bgColor rgb="FFFF0000"/>
                </patternFill>
              </fill>
            </x14:dxf>
          </x14:cfRule>
          <xm:sqref>AZ183:BL183</xm:sqref>
        </x14:conditionalFormatting>
        <x14:conditionalFormatting xmlns:xm="http://schemas.microsoft.com/office/excel/2006/main">
          <x14:cfRule type="expression" priority="4701668" id="{E63849C5-F39B-4B0E-8F8A-B532EDF2CBAE}">
            <xm:f>$BB$4='Data entry'!$R65</xm:f>
            <x14:dxf>
              <fill>
                <patternFill>
                  <bgColor rgb="FFFFFF00"/>
                </patternFill>
              </fill>
            </x14:dxf>
          </x14:cfRule>
          <xm:sqref>AN182:BB182</xm:sqref>
        </x14:conditionalFormatting>
        <x14:conditionalFormatting xmlns:xm="http://schemas.microsoft.com/office/excel/2006/main">
          <x14:cfRule type="expression" priority="4701669" id="{4FDC32D3-C1F5-455D-9AA4-A03359B72526}">
            <xm:f>$BC$4='Data entry'!$R65</xm:f>
            <x14:dxf>
              <fill>
                <patternFill>
                  <bgColor rgb="FFFF0000"/>
                </patternFill>
              </fill>
            </x14:dxf>
          </x14:cfRule>
          <xm:sqref>BA183:BM183</xm:sqref>
        </x14:conditionalFormatting>
        <x14:conditionalFormatting xmlns:xm="http://schemas.microsoft.com/office/excel/2006/main">
          <x14:cfRule type="expression" priority="4701670" id="{5F0D0C60-B233-4C56-B05D-98C99990877F}">
            <xm:f>$BC$4='Data entry'!$R65</xm:f>
            <x14:dxf>
              <fill>
                <patternFill>
                  <bgColor rgb="FFFFFF00"/>
                </patternFill>
              </fill>
            </x14:dxf>
          </x14:cfRule>
          <xm:sqref>AO182:BC182</xm:sqref>
        </x14:conditionalFormatting>
        <x14:conditionalFormatting xmlns:xm="http://schemas.microsoft.com/office/excel/2006/main">
          <x14:cfRule type="expression" priority="4701671" id="{9EBCB60F-8135-43B6-A0F3-548D4092CC98}">
            <xm:f>$BD$4='Data entry'!$R65</xm:f>
            <x14:dxf>
              <fill>
                <patternFill>
                  <bgColor rgb="FFFF0000"/>
                </patternFill>
              </fill>
            </x14:dxf>
          </x14:cfRule>
          <xm:sqref>BB183:BN183</xm:sqref>
        </x14:conditionalFormatting>
        <x14:conditionalFormatting xmlns:xm="http://schemas.microsoft.com/office/excel/2006/main">
          <x14:cfRule type="expression" priority="4701672" id="{961AF346-4A73-41ED-9A8D-27D431B09C05}">
            <xm:f>$BD$4='Data entry'!$R65</xm:f>
            <x14:dxf>
              <fill>
                <patternFill>
                  <bgColor rgb="FFFFFF00"/>
                </patternFill>
              </fill>
            </x14:dxf>
          </x14:cfRule>
          <xm:sqref>AP182:BD182</xm:sqref>
        </x14:conditionalFormatting>
        <x14:conditionalFormatting xmlns:xm="http://schemas.microsoft.com/office/excel/2006/main">
          <x14:cfRule type="expression" priority="4701673" id="{5A887026-27CD-4F8C-8BA6-1E92704C1CA6}">
            <xm:f>$BE$4='Data entry'!$R65</xm:f>
            <x14:dxf>
              <fill>
                <patternFill>
                  <bgColor rgb="FFFF0000"/>
                </patternFill>
              </fill>
            </x14:dxf>
          </x14:cfRule>
          <xm:sqref>BC183:BO183</xm:sqref>
        </x14:conditionalFormatting>
        <x14:conditionalFormatting xmlns:xm="http://schemas.microsoft.com/office/excel/2006/main">
          <x14:cfRule type="expression" priority="4701674" id="{7F46217B-A1E9-4515-B31E-E756FCD7C6D9}">
            <xm:f>$BE$4='Data entry'!$R65</xm:f>
            <x14:dxf>
              <fill>
                <patternFill>
                  <bgColor rgb="FFFFFF00"/>
                </patternFill>
              </fill>
            </x14:dxf>
          </x14:cfRule>
          <xm:sqref>AP182:BE182</xm:sqref>
        </x14:conditionalFormatting>
        <x14:conditionalFormatting xmlns:xm="http://schemas.microsoft.com/office/excel/2006/main">
          <x14:cfRule type="expression" priority="4701675" id="{F4D9285C-8CA0-4EF1-943E-6A462D47CC77}">
            <xm:f>$BF$4='Data entry'!$R65</xm:f>
            <x14:dxf>
              <fill>
                <patternFill>
                  <bgColor rgb="FFFF0000"/>
                </patternFill>
              </fill>
            </x14:dxf>
          </x14:cfRule>
          <xm:sqref>BD183:BP183</xm:sqref>
        </x14:conditionalFormatting>
        <x14:conditionalFormatting xmlns:xm="http://schemas.microsoft.com/office/excel/2006/main">
          <x14:cfRule type="expression" priority="4701676" id="{B9E4407D-651D-4DC0-9D61-3271D62A65E9}">
            <xm:f>$BF$4='Data entry'!$R65</xm:f>
            <x14:dxf>
              <fill>
                <patternFill>
                  <bgColor rgb="FFFFFF00"/>
                </patternFill>
              </fill>
            </x14:dxf>
          </x14:cfRule>
          <xm:sqref>AR182:BF182</xm:sqref>
        </x14:conditionalFormatting>
        <x14:conditionalFormatting xmlns:xm="http://schemas.microsoft.com/office/excel/2006/main">
          <x14:cfRule type="expression" priority="4701677" id="{4CDC062F-DDFF-4556-B941-08F919727F69}">
            <xm:f>$BG$4='Data entry'!$R65</xm:f>
            <x14:dxf>
              <fill>
                <patternFill>
                  <bgColor rgb="FFFF0000"/>
                </patternFill>
              </fill>
            </x14:dxf>
          </x14:cfRule>
          <xm:sqref>BE183:BQ183</xm:sqref>
        </x14:conditionalFormatting>
        <x14:conditionalFormatting xmlns:xm="http://schemas.microsoft.com/office/excel/2006/main">
          <x14:cfRule type="expression" priority="4701678" id="{789184FA-9055-433B-8A1B-92C7ED59E81F}">
            <xm:f>$BG$4='Data entry'!$R65</xm:f>
            <x14:dxf>
              <fill>
                <patternFill>
                  <bgColor rgb="FFFFFF00"/>
                </patternFill>
              </fill>
            </x14:dxf>
          </x14:cfRule>
          <xm:sqref>AS182:BG182</xm:sqref>
        </x14:conditionalFormatting>
        <x14:conditionalFormatting xmlns:xm="http://schemas.microsoft.com/office/excel/2006/main">
          <x14:cfRule type="expression" priority="4701679" id="{58651E5C-09C9-46C1-B95C-E8A578A49E15}">
            <xm:f>$BH$4='Data entry'!$R65</xm:f>
            <x14:dxf>
              <fill>
                <patternFill>
                  <bgColor rgb="FFFFFF00"/>
                </patternFill>
              </fill>
            </x14:dxf>
          </x14:cfRule>
          <xm:sqref>AT182:BH182</xm:sqref>
        </x14:conditionalFormatting>
        <x14:conditionalFormatting xmlns:xm="http://schemas.microsoft.com/office/excel/2006/main">
          <x14:cfRule type="expression" priority="4701680" id="{97B30B86-8311-4DC0-A533-8C0D53F37839}">
            <xm:f>$BH$4='Data entry'!$R65</xm:f>
            <x14:dxf>
              <fill>
                <patternFill>
                  <bgColor rgb="FFFF0000"/>
                </patternFill>
              </fill>
            </x14:dxf>
          </x14:cfRule>
          <xm:sqref>BF183:BR183</xm:sqref>
        </x14:conditionalFormatting>
        <x14:conditionalFormatting xmlns:xm="http://schemas.microsoft.com/office/excel/2006/main">
          <x14:cfRule type="expression" priority="4701681" id="{78344C0C-5AEA-40B1-A20C-6D77DF58E1F5}">
            <xm:f>$BI$4='Data entry'!$R65</xm:f>
            <x14:dxf>
              <fill>
                <patternFill>
                  <bgColor rgb="FFFFFF00"/>
                </patternFill>
              </fill>
            </x14:dxf>
          </x14:cfRule>
          <xm:sqref>AU182:BI182</xm:sqref>
        </x14:conditionalFormatting>
        <x14:conditionalFormatting xmlns:xm="http://schemas.microsoft.com/office/excel/2006/main">
          <x14:cfRule type="expression" priority="4701682" id="{A9CE044F-482E-4F25-B28F-89ACC58502B1}">
            <xm:f>$BI$4='Data entry'!$R65</xm:f>
            <x14:dxf>
              <fill>
                <patternFill>
                  <bgColor rgb="FFFF0000"/>
                </patternFill>
              </fill>
            </x14:dxf>
          </x14:cfRule>
          <xm:sqref>BG183:BS183</xm:sqref>
        </x14:conditionalFormatting>
        <x14:conditionalFormatting xmlns:xm="http://schemas.microsoft.com/office/excel/2006/main">
          <x14:cfRule type="expression" priority="4701683" id="{F63BE0EB-3C71-4456-BEF0-11180AB7A8BB}">
            <xm:f>$BJ$4='Data entry'!$R65</xm:f>
            <x14:dxf>
              <fill>
                <patternFill>
                  <bgColor rgb="FFFFFF00"/>
                </patternFill>
              </fill>
            </x14:dxf>
          </x14:cfRule>
          <xm:sqref>AV182:BJ182</xm:sqref>
        </x14:conditionalFormatting>
        <x14:conditionalFormatting xmlns:xm="http://schemas.microsoft.com/office/excel/2006/main">
          <x14:cfRule type="expression" priority="4701684" id="{478A5DCB-1DAA-4497-A6CC-B4F01FB96D10}">
            <xm:f>$BJ$4='Data entry'!$R65</xm:f>
            <x14:dxf>
              <fill>
                <patternFill>
                  <bgColor rgb="FFFF0000"/>
                </patternFill>
              </fill>
            </x14:dxf>
          </x14:cfRule>
          <xm:sqref>BH183:BT183</xm:sqref>
        </x14:conditionalFormatting>
        <x14:conditionalFormatting xmlns:xm="http://schemas.microsoft.com/office/excel/2006/main">
          <x14:cfRule type="expression" priority="4701685" id="{CDE4AD5B-65A6-4FA4-9EC0-8D05F22312A9}">
            <xm:f>$BK$4='Data entry'!$R65</xm:f>
            <x14:dxf>
              <fill>
                <patternFill>
                  <bgColor rgb="FFFF0000"/>
                </patternFill>
              </fill>
            </x14:dxf>
          </x14:cfRule>
          <xm:sqref>BI183:BU183</xm:sqref>
        </x14:conditionalFormatting>
        <x14:conditionalFormatting xmlns:xm="http://schemas.microsoft.com/office/excel/2006/main">
          <x14:cfRule type="expression" priority="4701686" id="{AB32E790-6CD8-4D11-9A69-57D785FE4BBC}">
            <xm:f>$BK$4='Data entry'!$R65</xm:f>
            <x14:dxf>
              <fill>
                <patternFill>
                  <bgColor rgb="FFFFFF00"/>
                </patternFill>
              </fill>
            </x14:dxf>
          </x14:cfRule>
          <xm:sqref>AW182:BK182</xm:sqref>
        </x14:conditionalFormatting>
        <x14:conditionalFormatting xmlns:xm="http://schemas.microsoft.com/office/excel/2006/main">
          <x14:cfRule type="expression" priority="4701687" id="{99810EB9-805C-43D8-852A-EEECE7874CDB}">
            <xm:f>$BL$4='Data entry'!$R65</xm:f>
            <x14:dxf>
              <fill>
                <patternFill>
                  <bgColor rgb="FFFF0000"/>
                </patternFill>
              </fill>
            </x14:dxf>
          </x14:cfRule>
          <xm:sqref>BJ183:BV183</xm:sqref>
        </x14:conditionalFormatting>
        <x14:conditionalFormatting xmlns:xm="http://schemas.microsoft.com/office/excel/2006/main">
          <x14:cfRule type="expression" priority="4701688" id="{BF5F5475-4E46-479C-97A6-D5175F5D1803}">
            <xm:f>$BL$4='Data entry'!$R65</xm:f>
            <x14:dxf>
              <fill>
                <patternFill>
                  <bgColor rgb="FFFFFF00"/>
                </patternFill>
              </fill>
            </x14:dxf>
          </x14:cfRule>
          <xm:sqref>AX182:BL182</xm:sqref>
        </x14:conditionalFormatting>
        <x14:conditionalFormatting xmlns:xm="http://schemas.microsoft.com/office/excel/2006/main">
          <x14:cfRule type="expression" priority="4701689" id="{B86FDF2F-16C9-46B1-847E-7EA1A8A34B9D}">
            <xm:f>$BM$4='Data entry'!$R65</xm:f>
            <x14:dxf>
              <fill>
                <patternFill>
                  <bgColor rgb="FFFF0000"/>
                </patternFill>
              </fill>
            </x14:dxf>
          </x14:cfRule>
          <xm:sqref>BK183:BW183</xm:sqref>
        </x14:conditionalFormatting>
        <x14:conditionalFormatting xmlns:xm="http://schemas.microsoft.com/office/excel/2006/main">
          <x14:cfRule type="expression" priority="4701690" id="{72FD189F-4CED-400D-9FEF-21A328970A4D}">
            <xm:f>$BM$4='Data entry'!$R65</xm:f>
            <x14:dxf>
              <fill>
                <patternFill>
                  <bgColor rgb="FFFFFF00"/>
                </patternFill>
              </fill>
            </x14:dxf>
          </x14:cfRule>
          <xm:sqref>AY182:BM182</xm:sqref>
        </x14:conditionalFormatting>
        <x14:conditionalFormatting xmlns:xm="http://schemas.microsoft.com/office/excel/2006/main">
          <x14:cfRule type="expression" priority="4701691" id="{BBBBF859-D5A7-4F55-BFBF-8A77E3357590}">
            <xm:f>$BN$4='Data entry'!$R65</xm:f>
            <x14:dxf>
              <fill>
                <patternFill>
                  <bgColor rgb="FFFF0000"/>
                </patternFill>
              </fill>
            </x14:dxf>
          </x14:cfRule>
          <xm:sqref>BL183:BX183</xm:sqref>
        </x14:conditionalFormatting>
        <x14:conditionalFormatting xmlns:xm="http://schemas.microsoft.com/office/excel/2006/main">
          <x14:cfRule type="expression" priority="4701692" id="{50CB1D75-0FD5-4D24-92B1-E8A41DC6575C}">
            <xm:f>$BN$4='Data entry'!$R65</xm:f>
            <x14:dxf>
              <fill>
                <patternFill>
                  <bgColor rgb="FFFFFF00"/>
                </patternFill>
              </fill>
            </x14:dxf>
          </x14:cfRule>
          <xm:sqref>AZ182:BN182</xm:sqref>
        </x14:conditionalFormatting>
        <x14:conditionalFormatting xmlns:xm="http://schemas.microsoft.com/office/excel/2006/main">
          <x14:cfRule type="expression" priority="4701693" id="{9EF3226D-E8FC-496B-A6FF-71776AEA54D1}">
            <xm:f>$BO$4='Data entry'!$R65</xm:f>
            <x14:dxf>
              <fill>
                <patternFill>
                  <bgColor rgb="FFFF0000"/>
                </patternFill>
              </fill>
            </x14:dxf>
          </x14:cfRule>
          <xm:sqref>BM183:BY183</xm:sqref>
        </x14:conditionalFormatting>
        <x14:conditionalFormatting xmlns:xm="http://schemas.microsoft.com/office/excel/2006/main">
          <x14:cfRule type="expression" priority="4701694" id="{3B86C801-ECFE-4D05-8AA5-1581116BAFBC}">
            <xm:f>$BO$4='Data entry'!$R65</xm:f>
            <x14:dxf>
              <fill>
                <patternFill>
                  <bgColor rgb="FFFFFF00"/>
                </patternFill>
              </fill>
            </x14:dxf>
          </x14:cfRule>
          <xm:sqref>BA182:BO182</xm:sqref>
        </x14:conditionalFormatting>
        <x14:conditionalFormatting xmlns:xm="http://schemas.microsoft.com/office/excel/2006/main">
          <x14:cfRule type="expression" priority="4701695" id="{058A23EC-3371-4A02-9F20-1ECA603AC6BC}">
            <xm:f>$BP$4='Data entry'!$R65</xm:f>
            <x14:dxf>
              <fill>
                <patternFill>
                  <bgColor rgb="FFFF0000"/>
                </patternFill>
              </fill>
            </x14:dxf>
          </x14:cfRule>
          <xm:sqref>BN183:BZ183</xm:sqref>
        </x14:conditionalFormatting>
        <x14:conditionalFormatting xmlns:xm="http://schemas.microsoft.com/office/excel/2006/main">
          <x14:cfRule type="expression" priority="4701696" id="{3E711E31-3992-4555-AB22-87133D60CD15}">
            <xm:f>$BP$4='Data entry'!$R65</xm:f>
            <x14:dxf>
              <fill>
                <patternFill>
                  <bgColor rgb="FFFFFF00"/>
                </patternFill>
              </fill>
            </x14:dxf>
          </x14:cfRule>
          <xm:sqref>BB182:BP182</xm:sqref>
        </x14:conditionalFormatting>
        <x14:conditionalFormatting xmlns:xm="http://schemas.microsoft.com/office/excel/2006/main">
          <x14:cfRule type="expression" priority="4701697" id="{23E9F8B9-37D5-4730-9453-6F23E8ECBBE3}">
            <xm:f>$BQ$4='Data entry'!$R65</xm:f>
            <x14:dxf>
              <fill>
                <patternFill>
                  <bgColor rgb="FFFFFF00"/>
                </patternFill>
              </fill>
            </x14:dxf>
          </x14:cfRule>
          <xm:sqref>BC182:BQ182</xm:sqref>
        </x14:conditionalFormatting>
        <x14:conditionalFormatting xmlns:xm="http://schemas.microsoft.com/office/excel/2006/main">
          <x14:cfRule type="expression" priority="4701698" id="{BCFD92F6-AAD3-44FD-BC61-A292A81B883E}">
            <xm:f>$BQ$4='Data entry'!$R65</xm:f>
            <x14:dxf>
              <fill>
                <patternFill>
                  <bgColor rgb="FFFF0000"/>
                </patternFill>
              </fill>
            </x14:dxf>
          </x14:cfRule>
          <xm:sqref>BO183:CA183</xm:sqref>
        </x14:conditionalFormatting>
        <x14:conditionalFormatting xmlns:xm="http://schemas.microsoft.com/office/excel/2006/main">
          <x14:cfRule type="expression" priority="4701699" id="{357D60E5-F356-477E-8020-A18F42C02832}">
            <xm:f>$BR$4='Data entry'!$R65</xm:f>
            <x14:dxf>
              <fill>
                <patternFill>
                  <bgColor rgb="FFFFFF00"/>
                </patternFill>
              </fill>
            </x14:dxf>
          </x14:cfRule>
          <xm:sqref>BD182:BR182</xm:sqref>
        </x14:conditionalFormatting>
        <x14:conditionalFormatting xmlns:xm="http://schemas.microsoft.com/office/excel/2006/main">
          <x14:cfRule type="expression" priority="4701700" id="{DA2B6511-43B3-432D-B6AA-1DB1188B90A6}">
            <xm:f>$BR$4='Data entry'!$R65</xm:f>
            <x14:dxf>
              <fill>
                <patternFill>
                  <bgColor rgb="FFFF0000"/>
                </patternFill>
              </fill>
            </x14:dxf>
          </x14:cfRule>
          <xm:sqref>BP183:CB183</xm:sqref>
        </x14:conditionalFormatting>
        <x14:conditionalFormatting xmlns:xm="http://schemas.microsoft.com/office/excel/2006/main">
          <x14:cfRule type="expression" priority="4701701" id="{0D5F64E4-4136-4BFA-B833-CC8578525D9C}">
            <xm:f>$BS$4='Data entry'!$R65</xm:f>
            <x14:dxf>
              <fill>
                <patternFill>
                  <bgColor rgb="FFFFFF00"/>
                </patternFill>
              </fill>
            </x14:dxf>
          </x14:cfRule>
          <xm:sqref>BE182:BS182</xm:sqref>
        </x14:conditionalFormatting>
        <x14:conditionalFormatting xmlns:xm="http://schemas.microsoft.com/office/excel/2006/main">
          <x14:cfRule type="expression" priority="4701702" id="{AC94D468-F078-4AE2-8771-102996E07B09}">
            <xm:f>$BS$4='Data entry'!$R65</xm:f>
            <x14:dxf>
              <fill>
                <patternFill>
                  <bgColor rgb="FFFF0000"/>
                </patternFill>
              </fill>
            </x14:dxf>
          </x14:cfRule>
          <xm:sqref>BQ183:CC183</xm:sqref>
        </x14:conditionalFormatting>
        <x14:conditionalFormatting xmlns:xm="http://schemas.microsoft.com/office/excel/2006/main">
          <x14:cfRule type="expression" priority="4701703" id="{10E78F76-181E-4F19-9F89-7DD36D3EFE30}">
            <xm:f>$BT$4='Data entry'!$R65</xm:f>
            <x14:dxf>
              <fill>
                <patternFill>
                  <bgColor rgb="FFFFFF00"/>
                </patternFill>
              </fill>
            </x14:dxf>
          </x14:cfRule>
          <xm:sqref>BF182:BT182</xm:sqref>
        </x14:conditionalFormatting>
        <x14:conditionalFormatting xmlns:xm="http://schemas.microsoft.com/office/excel/2006/main">
          <x14:cfRule type="expression" priority="4701704" id="{6A5FADC6-9512-4EFB-90A5-7B5244D10D1F}">
            <xm:f>$BT$4='Data entry'!$R65</xm:f>
            <x14:dxf>
              <fill>
                <patternFill>
                  <bgColor rgb="FFFF0000"/>
                </patternFill>
              </fill>
            </x14:dxf>
          </x14:cfRule>
          <xm:sqref>BR183:CC183</xm:sqref>
        </x14:conditionalFormatting>
        <x14:conditionalFormatting xmlns:xm="http://schemas.microsoft.com/office/excel/2006/main">
          <x14:cfRule type="expression" priority="4701705" id="{A51139D1-8841-4B96-B8CB-DFE3808765CF}">
            <xm:f>$BU$4='Data entry'!$R65</xm:f>
            <x14:dxf>
              <fill>
                <patternFill>
                  <bgColor rgb="FFFFFF00"/>
                </patternFill>
              </fill>
            </x14:dxf>
          </x14:cfRule>
          <xm:sqref>BG182:BU182</xm:sqref>
        </x14:conditionalFormatting>
        <x14:conditionalFormatting xmlns:xm="http://schemas.microsoft.com/office/excel/2006/main">
          <x14:cfRule type="expression" priority="4701706" id="{55CA7258-760F-4BFF-ACB5-A70FEB3E7981}">
            <xm:f>$BU$4='Data entry'!$R65</xm:f>
            <x14:dxf>
              <fill>
                <patternFill>
                  <bgColor rgb="FFFF0000"/>
                </patternFill>
              </fill>
            </x14:dxf>
          </x14:cfRule>
          <xm:sqref>BS183:CC183</xm:sqref>
        </x14:conditionalFormatting>
        <x14:conditionalFormatting xmlns:xm="http://schemas.microsoft.com/office/excel/2006/main">
          <x14:cfRule type="expression" priority="4701707" id="{A922B218-64DB-4CBB-9AB8-FE0EBB44E09E}">
            <xm:f>$BV$4='Data entry'!$R65</xm:f>
            <x14:dxf>
              <fill>
                <patternFill>
                  <bgColor rgb="FFFFFF00"/>
                </patternFill>
              </fill>
            </x14:dxf>
          </x14:cfRule>
          <xm:sqref>BH182:BV182</xm:sqref>
        </x14:conditionalFormatting>
        <x14:conditionalFormatting xmlns:xm="http://schemas.microsoft.com/office/excel/2006/main">
          <x14:cfRule type="expression" priority="4701708" id="{C98E908A-CD31-4778-B41C-7AFB9DBE639A}">
            <xm:f>$BV$4='Data entry'!$R65</xm:f>
            <x14:dxf>
              <fill>
                <patternFill>
                  <bgColor rgb="FFFF0000"/>
                </patternFill>
              </fill>
            </x14:dxf>
          </x14:cfRule>
          <xm:sqref>BT183:CC183</xm:sqref>
        </x14:conditionalFormatting>
        <x14:conditionalFormatting xmlns:xm="http://schemas.microsoft.com/office/excel/2006/main">
          <x14:cfRule type="expression" priority="4701709" id="{465CCCA3-B4DB-4B61-8AC7-8A5E4CEC9E3F}">
            <xm:f>$BW$4='Data entry'!$R65</xm:f>
            <x14:dxf>
              <fill>
                <patternFill>
                  <bgColor rgb="FFFFFF00"/>
                </patternFill>
              </fill>
            </x14:dxf>
          </x14:cfRule>
          <xm:sqref>BI182:BW182</xm:sqref>
        </x14:conditionalFormatting>
        <x14:conditionalFormatting xmlns:xm="http://schemas.microsoft.com/office/excel/2006/main">
          <x14:cfRule type="expression" priority="4701710" id="{37566F97-6D06-400B-A709-FE657B07687F}">
            <xm:f>$BW$4='Data entry'!$R65</xm:f>
            <x14:dxf>
              <fill>
                <patternFill>
                  <bgColor rgb="FFFF0000"/>
                </patternFill>
              </fill>
            </x14:dxf>
          </x14:cfRule>
          <xm:sqref>BU183:CC183</xm:sqref>
        </x14:conditionalFormatting>
        <x14:conditionalFormatting xmlns:xm="http://schemas.microsoft.com/office/excel/2006/main">
          <x14:cfRule type="expression" priority="4701711" id="{D8FBA3AC-5CF0-4E45-97CA-1D4DEE729ADA}">
            <xm:f>$BX$4='Data entry'!$R65</xm:f>
            <x14:dxf>
              <fill>
                <patternFill>
                  <bgColor rgb="FFFFFF00"/>
                </patternFill>
              </fill>
            </x14:dxf>
          </x14:cfRule>
          <xm:sqref>BJ182:BX182</xm:sqref>
        </x14:conditionalFormatting>
        <x14:conditionalFormatting xmlns:xm="http://schemas.microsoft.com/office/excel/2006/main">
          <x14:cfRule type="expression" priority="4701712" id="{E077C84B-A94F-431D-B232-4AFCC7C64F54}">
            <xm:f>$BX$4='Data entry'!$R65</xm:f>
            <x14:dxf>
              <fill>
                <patternFill>
                  <bgColor rgb="FFFF0000"/>
                </patternFill>
              </fill>
            </x14:dxf>
          </x14:cfRule>
          <xm:sqref>BV183:CC183</xm:sqref>
        </x14:conditionalFormatting>
        <x14:conditionalFormatting xmlns:xm="http://schemas.microsoft.com/office/excel/2006/main">
          <x14:cfRule type="expression" priority="4701713" id="{63783BA8-0C97-4A44-86FD-7A2BCF1B9957}">
            <xm:f>$BY$4='Data entry'!$R65</xm:f>
            <x14:dxf>
              <fill>
                <patternFill>
                  <bgColor rgb="FFFFFF00"/>
                </patternFill>
              </fill>
            </x14:dxf>
          </x14:cfRule>
          <xm:sqref>BK182:BY182</xm:sqref>
        </x14:conditionalFormatting>
        <x14:conditionalFormatting xmlns:xm="http://schemas.microsoft.com/office/excel/2006/main">
          <x14:cfRule type="expression" priority="4701714" id="{BB8DB8B4-B71B-46D2-AEE7-346F16103F74}">
            <xm:f>$BY$4='Data entry'!$R65</xm:f>
            <x14:dxf>
              <fill>
                <patternFill>
                  <bgColor rgb="FFFF0000"/>
                </patternFill>
              </fill>
            </x14:dxf>
          </x14:cfRule>
          <xm:sqref>BW183:CC183</xm:sqref>
        </x14:conditionalFormatting>
        <x14:conditionalFormatting xmlns:xm="http://schemas.microsoft.com/office/excel/2006/main">
          <x14:cfRule type="expression" priority="4701715" id="{1B638B98-2B06-4FEB-90C1-446A3E0A3979}">
            <xm:f>$BZ$4='Data entry'!$R65</xm:f>
            <x14:dxf>
              <fill>
                <patternFill>
                  <bgColor rgb="FFFFFF00"/>
                </patternFill>
              </fill>
            </x14:dxf>
          </x14:cfRule>
          <xm:sqref>BL182:BZ182</xm:sqref>
        </x14:conditionalFormatting>
        <x14:conditionalFormatting xmlns:xm="http://schemas.microsoft.com/office/excel/2006/main">
          <x14:cfRule type="expression" priority="4701716" id="{D3A0A2F8-D1B2-4DC5-B2A9-0EF53074E685}">
            <xm:f>$BZ$4='Data entry'!$R65</xm:f>
            <x14:dxf>
              <fill>
                <patternFill>
                  <bgColor rgb="FFFF0000"/>
                </patternFill>
              </fill>
            </x14:dxf>
          </x14:cfRule>
          <xm:sqref>BX183:CC183</xm:sqref>
        </x14:conditionalFormatting>
        <x14:conditionalFormatting xmlns:xm="http://schemas.microsoft.com/office/excel/2006/main">
          <x14:cfRule type="expression" priority="4701717" id="{83F6D018-7D3B-4D33-9998-11572F2F2FF5}">
            <xm:f>$CA$4='Data entry'!$R65</xm:f>
            <x14:dxf>
              <fill>
                <patternFill>
                  <bgColor rgb="FFFFFF00"/>
                </patternFill>
              </fill>
            </x14:dxf>
          </x14:cfRule>
          <xm:sqref>BM182:CA182</xm:sqref>
        </x14:conditionalFormatting>
        <x14:conditionalFormatting xmlns:xm="http://schemas.microsoft.com/office/excel/2006/main">
          <x14:cfRule type="expression" priority="4701718" id="{8E6D0B51-5626-4ED9-9072-C7A2C139704F}">
            <xm:f>$CA$4='Data entry'!$R65</xm:f>
            <x14:dxf>
              <fill>
                <patternFill>
                  <bgColor rgb="FFFF0000"/>
                </patternFill>
              </fill>
            </x14:dxf>
          </x14:cfRule>
          <xm:sqref>BY183:CC183</xm:sqref>
        </x14:conditionalFormatting>
        <x14:conditionalFormatting xmlns:xm="http://schemas.microsoft.com/office/excel/2006/main">
          <x14:cfRule type="expression" priority="4701719" id="{E1886EE4-3BDE-43A9-9F4B-79377FEC37FE}">
            <xm:f>$CB$4='Data entry'!$R65</xm:f>
            <x14:dxf>
              <fill>
                <patternFill>
                  <bgColor rgb="FFFFFF00"/>
                </patternFill>
              </fill>
            </x14:dxf>
          </x14:cfRule>
          <xm:sqref>BN182:CB182</xm:sqref>
        </x14:conditionalFormatting>
        <x14:conditionalFormatting xmlns:xm="http://schemas.microsoft.com/office/excel/2006/main">
          <x14:cfRule type="expression" priority="4701720" id="{ADEF572A-6C18-4602-BB86-01C96D36E07E}">
            <xm:f>$CB$4='Data entry'!$R65</xm:f>
            <x14:dxf>
              <fill>
                <patternFill>
                  <bgColor rgb="FFFF0000"/>
                </patternFill>
              </fill>
            </x14:dxf>
          </x14:cfRule>
          <xm:sqref>BZ183:CC183</xm:sqref>
        </x14:conditionalFormatting>
        <x14:conditionalFormatting xmlns:xm="http://schemas.microsoft.com/office/excel/2006/main">
          <x14:cfRule type="expression" priority="4701721" id="{7984E1C9-E073-4955-8543-62145CB6D008}">
            <xm:f>$CC$4='Data entry'!$R65</xm:f>
            <x14:dxf>
              <fill>
                <patternFill>
                  <bgColor rgb="FFFFFF00"/>
                </patternFill>
              </fill>
            </x14:dxf>
          </x14:cfRule>
          <xm:sqref>BO182:CC182</xm:sqref>
        </x14:conditionalFormatting>
        <x14:conditionalFormatting xmlns:xm="http://schemas.microsoft.com/office/excel/2006/main">
          <x14:cfRule type="expression" priority="4701722" id="{18A957B3-59FA-4698-BA92-2A208FF18E2F}">
            <xm:f>$CC$4='Data entry'!$R65</xm:f>
            <x14:dxf>
              <fill>
                <patternFill>
                  <bgColor rgb="FFFF0000"/>
                </patternFill>
              </fill>
            </x14:dxf>
          </x14:cfRule>
          <xm:sqref>CA183:CC183</xm:sqref>
        </x14:conditionalFormatting>
        <x14:conditionalFormatting xmlns:xm="http://schemas.microsoft.com/office/excel/2006/main">
          <x14:cfRule type="expression" priority="4701809" id="{5B0DB825-B7C2-40AC-B7EF-F267F054CFB9}">
            <xm:f>$U$4='Data entry'!$R66</xm:f>
            <x14:dxf>
              <fill>
                <patternFill>
                  <bgColor rgb="FFFF0000"/>
                </patternFill>
              </fill>
            </x14:dxf>
          </x14:cfRule>
          <xm:sqref>S186:AE186</xm:sqref>
        </x14:conditionalFormatting>
        <x14:conditionalFormatting xmlns:xm="http://schemas.microsoft.com/office/excel/2006/main">
          <x14:cfRule type="expression" priority="4701810" id="{18311200-E2BB-400F-B594-3B9A2C6068C2}">
            <xm:f>$V$4='Data entry'!$R66</xm:f>
            <x14:dxf>
              <fill>
                <patternFill>
                  <bgColor rgb="FFFF0000"/>
                </patternFill>
              </fill>
            </x14:dxf>
          </x14:cfRule>
          <xm:sqref>T186:AF186</xm:sqref>
        </x14:conditionalFormatting>
        <x14:conditionalFormatting xmlns:xm="http://schemas.microsoft.com/office/excel/2006/main">
          <x14:cfRule type="expression" priority="4701811" id="{D6DFB621-1A58-4C59-A987-ECAD0EB2D32B}">
            <xm:f>$V$4='Data entry'!$R66</xm:f>
            <x14:dxf>
              <fill>
                <patternFill>
                  <bgColor rgb="FFFFFF00"/>
                </patternFill>
              </fill>
            </x14:dxf>
          </x14:cfRule>
          <xm:sqref>H185:V185</xm:sqref>
        </x14:conditionalFormatting>
        <x14:conditionalFormatting xmlns:xm="http://schemas.microsoft.com/office/excel/2006/main">
          <x14:cfRule type="expression" priority="4701812" id="{5F87A680-DC5F-433D-A779-B7A534ACCDA9}">
            <xm:f>$W$4='Data entry'!$R66</xm:f>
            <x14:dxf>
              <fill>
                <patternFill>
                  <bgColor rgb="FFFF0000"/>
                </patternFill>
              </fill>
            </x14:dxf>
          </x14:cfRule>
          <xm:sqref>U186:AG186</xm:sqref>
        </x14:conditionalFormatting>
        <x14:conditionalFormatting xmlns:xm="http://schemas.microsoft.com/office/excel/2006/main">
          <x14:cfRule type="expression" priority="4701813" id="{964539FF-A92C-4F68-B268-B7157A32678C}">
            <xm:f>$W$4='Data entry'!$R66</xm:f>
            <x14:dxf>
              <fill>
                <patternFill>
                  <bgColor rgb="FFFFFF00"/>
                </patternFill>
              </fill>
            </x14:dxf>
          </x14:cfRule>
          <xm:sqref>I185:W185</xm:sqref>
        </x14:conditionalFormatting>
        <x14:conditionalFormatting xmlns:xm="http://schemas.microsoft.com/office/excel/2006/main">
          <x14:cfRule type="expression" priority="4701814" id="{46C1533A-F090-4A90-9309-3F59EC3FD3B0}">
            <xm:f>$X$4='Data entry'!$R66</xm:f>
            <x14:dxf>
              <fill>
                <patternFill>
                  <bgColor rgb="FFFF0000"/>
                </patternFill>
              </fill>
            </x14:dxf>
          </x14:cfRule>
          <xm:sqref>V186:AH186</xm:sqref>
        </x14:conditionalFormatting>
        <x14:conditionalFormatting xmlns:xm="http://schemas.microsoft.com/office/excel/2006/main">
          <x14:cfRule type="expression" priority="4701815" id="{7C70E81C-DDD4-4D75-933A-4F6A39893184}">
            <xm:f>$X$4='Data entry'!$R66</xm:f>
            <x14:dxf>
              <fill>
                <patternFill>
                  <bgColor rgb="FFFFFF00"/>
                </patternFill>
              </fill>
            </x14:dxf>
          </x14:cfRule>
          <xm:sqref>J185:X185</xm:sqref>
        </x14:conditionalFormatting>
        <x14:conditionalFormatting xmlns:xm="http://schemas.microsoft.com/office/excel/2006/main">
          <x14:cfRule type="expression" priority="4701816" id="{561AF073-0EF8-4B72-A119-40A639C4359D}">
            <xm:f>$Y$4='Data entry'!$R66</xm:f>
            <x14:dxf>
              <fill>
                <patternFill>
                  <bgColor rgb="FFFF0000"/>
                </patternFill>
              </fill>
            </x14:dxf>
          </x14:cfRule>
          <xm:sqref>W186:AI186</xm:sqref>
        </x14:conditionalFormatting>
        <x14:conditionalFormatting xmlns:xm="http://schemas.microsoft.com/office/excel/2006/main">
          <x14:cfRule type="expression" priority="4701817" id="{F242E808-8F07-4A89-9524-7D4C767CE357}">
            <xm:f>$Y$4='Data entry'!$R66</xm:f>
            <x14:dxf>
              <fill>
                <patternFill>
                  <bgColor rgb="FFFFFF00"/>
                </patternFill>
              </fill>
            </x14:dxf>
          </x14:cfRule>
          <xm:sqref>K185:Y185</xm:sqref>
        </x14:conditionalFormatting>
        <x14:conditionalFormatting xmlns:xm="http://schemas.microsoft.com/office/excel/2006/main">
          <x14:cfRule type="expression" priority="4701818" id="{DD601058-982B-4218-BD9D-64BB823C2633}">
            <xm:f>$Z$4='Data entry'!$R66</xm:f>
            <x14:dxf>
              <fill>
                <patternFill>
                  <bgColor rgb="FFFF0000"/>
                </patternFill>
              </fill>
            </x14:dxf>
          </x14:cfRule>
          <xm:sqref>X186:AJ186</xm:sqref>
        </x14:conditionalFormatting>
        <x14:conditionalFormatting xmlns:xm="http://schemas.microsoft.com/office/excel/2006/main">
          <x14:cfRule type="expression" priority="4701819" id="{C9DB141D-79F6-4093-92A3-7BF7A1622985}">
            <xm:f>$Z$4='Data entry'!$R66</xm:f>
            <x14:dxf>
              <fill>
                <patternFill>
                  <bgColor rgb="FFFFFF00"/>
                </patternFill>
              </fill>
            </x14:dxf>
          </x14:cfRule>
          <xm:sqref>L185:Z185</xm:sqref>
        </x14:conditionalFormatting>
        <x14:conditionalFormatting xmlns:xm="http://schemas.microsoft.com/office/excel/2006/main">
          <x14:cfRule type="expression" priority="4701820" id="{710EB8D3-F5C0-4E3C-8214-2D0C4E26F649}">
            <xm:f>$AA$4='Data entry'!$R66</xm:f>
            <x14:dxf>
              <fill>
                <patternFill>
                  <bgColor rgb="FFFF0000"/>
                </patternFill>
              </fill>
            </x14:dxf>
          </x14:cfRule>
          <xm:sqref>Y186:AK186</xm:sqref>
        </x14:conditionalFormatting>
        <x14:conditionalFormatting xmlns:xm="http://schemas.microsoft.com/office/excel/2006/main">
          <x14:cfRule type="expression" priority="4701821" id="{33825D69-C967-4D27-B395-5D44A3083802}">
            <xm:f>$AA$4='Data entry'!$R66</xm:f>
            <x14:dxf>
              <fill>
                <patternFill>
                  <bgColor rgb="FFFFFF00"/>
                </patternFill>
              </fill>
            </x14:dxf>
          </x14:cfRule>
          <xm:sqref>M185:AA185</xm:sqref>
        </x14:conditionalFormatting>
        <x14:conditionalFormatting xmlns:xm="http://schemas.microsoft.com/office/excel/2006/main">
          <x14:cfRule type="expression" priority="4701822" id="{9811A97D-351B-4D32-8754-AF433277E62B}">
            <xm:f>$AB$4='Data entry'!$R66</xm:f>
            <x14:dxf>
              <fill>
                <patternFill>
                  <bgColor rgb="FFFF0000"/>
                </patternFill>
              </fill>
            </x14:dxf>
          </x14:cfRule>
          <xm:sqref>Z186:AL186</xm:sqref>
        </x14:conditionalFormatting>
        <x14:conditionalFormatting xmlns:xm="http://schemas.microsoft.com/office/excel/2006/main">
          <x14:cfRule type="expression" priority="4701823" id="{6DD3E556-C72E-438B-92DA-3096ED1E4178}">
            <xm:f>$AB$4='Data entry'!$R66</xm:f>
            <x14:dxf>
              <fill>
                <patternFill>
                  <bgColor rgb="FFFFFF00"/>
                </patternFill>
              </fill>
            </x14:dxf>
          </x14:cfRule>
          <xm:sqref>N185:AB185</xm:sqref>
        </x14:conditionalFormatting>
        <x14:conditionalFormatting xmlns:xm="http://schemas.microsoft.com/office/excel/2006/main">
          <x14:cfRule type="expression" priority="4701824" id="{C0DF7A1B-D6BC-4371-BD3A-F0708147FA1C}">
            <xm:f>$AC$4='Data entry'!$R66</xm:f>
            <x14:dxf>
              <fill>
                <patternFill>
                  <bgColor rgb="FFFF0000"/>
                </patternFill>
              </fill>
            </x14:dxf>
          </x14:cfRule>
          <xm:sqref>AA186:AM186</xm:sqref>
        </x14:conditionalFormatting>
        <x14:conditionalFormatting xmlns:xm="http://schemas.microsoft.com/office/excel/2006/main">
          <x14:cfRule type="expression" priority="4701825" id="{DB2E1F48-AF0E-41F9-A976-6B1963CA5711}">
            <xm:f>$AC$4='Data entry'!$R66</xm:f>
            <x14:dxf>
              <fill>
                <patternFill>
                  <bgColor rgb="FFFFFF00"/>
                </patternFill>
              </fill>
            </x14:dxf>
          </x14:cfRule>
          <xm:sqref>O185:AC185</xm:sqref>
        </x14:conditionalFormatting>
        <x14:conditionalFormatting xmlns:xm="http://schemas.microsoft.com/office/excel/2006/main">
          <x14:cfRule type="expression" priority="4701826" id="{89909907-F9A9-4AF9-BC1D-304710A43F50}">
            <xm:f>$AD$4='Data entry'!$R66</xm:f>
            <x14:dxf>
              <fill>
                <patternFill>
                  <bgColor rgb="FFFF0000"/>
                </patternFill>
              </fill>
            </x14:dxf>
          </x14:cfRule>
          <xm:sqref>AB186:AN186</xm:sqref>
        </x14:conditionalFormatting>
        <x14:conditionalFormatting xmlns:xm="http://schemas.microsoft.com/office/excel/2006/main">
          <x14:cfRule type="expression" priority="4701827" id="{729676B7-E331-43A4-ACC9-850DCEE76A0E}">
            <xm:f>$AD$4='Data entry'!$R66</xm:f>
            <x14:dxf>
              <fill>
                <patternFill>
                  <bgColor rgb="FFFFFF00"/>
                </patternFill>
              </fill>
            </x14:dxf>
          </x14:cfRule>
          <xm:sqref>P185:AD185</xm:sqref>
        </x14:conditionalFormatting>
        <x14:conditionalFormatting xmlns:xm="http://schemas.microsoft.com/office/excel/2006/main">
          <x14:cfRule type="expression" priority="4701828" id="{00DA2C55-350E-44AA-ABEA-808FABFDA737}">
            <xm:f>$AE$4='Data entry'!$R66</xm:f>
            <x14:dxf>
              <fill>
                <patternFill>
                  <bgColor rgb="FFFF0000"/>
                </patternFill>
              </fill>
            </x14:dxf>
          </x14:cfRule>
          <xm:sqref>AC186:AO186</xm:sqref>
        </x14:conditionalFormatting>
        <x14:conditionalFormatting xmlns:xm="http://schemas.microsoft.com/office/excel/2006/main">
          <x14:cfRule type="expression" priority="4701829" id="{373C95F1-00C1-45E9-B561-5224945BA4A4}">
            <xm:f>$AE$4='Data entry'!$R66</xm:f>
            <x14:dxf>
              <fill>
                <patternFill>
                  <bgColor rgb="FFFFFF00"/>
                </patternFill>
              </fill>
            </x14:dxf>
          </x14:cfRule>
          <xm:sqref>Q185:AE185</xm:sqref>
        </x14:conditionalFormatting>
        <x14:conditionalFormatting xmlns:xm="http://schemas.microsoft.com/office/excel/2006/main">
          <x14:cfRule type="expression" priority="4701830" id="{65E90E74-6BEF-4B00-BD5E-ECACFEBC225A}">
            <xm:f>$AF$4='Data entry'!$R66</xm:f>
            <x14:dxf>
              <fill>
                <patternFill>
                  <bgColor rgb="FFFF0000"/>
                </patternFill>
              </fill>
            </x14:dxf>
          </x14:cfRule>
          <xm:sqref>AD186:AP186</xm:sqref>
        </x14:conditionalFormatting>
        <x14:conditionalFormatting xmlns:xm="http://schemas.microsoft.com/office/excel/2006/main">
          <x14:cfRule type="expression" priority="4701831" id="{56B519D7-E083-4811-B42B-D6CB10D44BB3}">
            <xm:f>$AF$4='Data entry'!$R66</xm:f>
            <x14:dxf>
              <fill>
                <patternFill>
                  <bgColor rgb="FFFFFF00"/>
                </patternFill>
              </fill>
            </x14:dxf>
          </x14:cfRule>
          <xm:sqref>R185:AF185</xm:sqref>
        </x14:conditionalFormatting>
        <x14:conditionalFormatting xmlns:xm="http://schemas.microsoft.com/office/excel/2006/main">
          <x14:cfRule type="expression" priority="4701832" id="{889682B6-BF9B-414B-86B7-1C802156B058}">
            <xm:f>$AG$4='Data entry'!$R66</xm:f>
            <x14:dxf>
              <fill>
                <patternFill>
                  <bgColor rgb="FFFF0000"/>
                </patternFill>
              </fill>
            </x14:dxf>
          </x14:cfRule>
          <xm:sqref>AE186:AQ186</xm:sqref>
        </x14:conditionalFormatting>
        <x14:conditionalFormatting xmlns:xm="http://schemas.microsoft.com/office/excel/2006/main">
          <x14:cfRule type="expression" priority="4701833" id="{19913D88-1940-4CB0-B29C-D46D60833BD5}">
            <xm:f>$AG$4='Data entry'!$R66</xm:f>
            <x14:dxf>
              <fill>
                <patternFill>
                  <bgColor rgb="FFFFFF00"/>
                </patternFill>
              </fill>
            </x14:dxf>
          </x14:cfRule>
          <xm:sqref>S185:AG185</xm:sqref>
        </x14:conditionalFormatting>
        <x14:conditionalFormatting xmlns:xm="http://schemas.microsoft.com/office/excel/2006/main">
          <x14:cfRule type="expression" priority="4701834" id="{3DD7B9A5-18A3-463F-BAD5-9796FC487328}">
            <xm:f>$AH$4='Data entry'!$R66</xm:f>
            <x14:dxf>
              <fill>
                <patternFill>
                  <bgColor rgb="FFFF0000"/>
                </patternFill>
              </fill>
            </x14:dxf>
          </x14:cfRule>
          <xm:sqref>AF186:AR186</xm:sqref>
        </x14:conditionalFormatting>
        <x14:conditionalFormatting xmlns:xm="http://schemas.microsoft.com/office/excel/2006/main">
          <x14:cfRule type="expression" priority="4701835" id="{31005CF4-5608-496E-91EB-F7F505046C80}">
            <xm:f>$AH$4='Data entry'!$R66</xm:f>
            <x14:dxf>
              <fill>
                <patternFill>
                  <bgColor rgb="FFFFFF00"/>
                </patternFill>
              </fill>
            </x14:dxf>
          </x14:cfRule>
          <xm:sqref>T185:AH185</xm:sqref>
        </x14:conditionalFormatting>
        <x14:conditionalFormatting xmlns:xm="http://schemas.microsoft.com/office/excel/2006/main">
          <x14:cfRule type="expression" priority="4701836" id="{CD14F654-5B7A-444F-8FC1-7DD71E76E475}">
            <xm:f>$AI$4='Data entry'!$R66</xm:f>
            <x14:dxf>
              <fill>
                <patternFill>
                  <bgColor rgb="FFFF0000"/>
                </patternFill>
              </fill>
            </x14:dxf>
          </x14:cfRule>
          <xm:sqref>AG186:AS186</xm:sqref>
        </x14:conditionalFormatting>
        <x14:conditionalFormatting xmlns:xm="http://schemas.microsoft.com/office/excel/2006/main">
          <x14:cfRule type="expression" priority="4701837" id="{0E4E448C-6C46-4285-B877-A61A90294385}">
            <xm:f>$AI$4='Data entry'!$R66</xm:f>
            <x14:dxf>
              <fill>
                <patternFill>
                  <bgColor rgb="FFFFFF00"/>
                </patternFill>
              </fill>
            </x14:dxf>
          </x14:cfRule>
          <xm:sqref>U185:AI185</xm:sqref>
        </x14:conditionalFormatting>
        <x14:conditionalFormatting xmlns:xm="http://schemas.microsoft.com/office/excel/2006/main">
          <x14:cfRule type="expression" priority="4701838" id="{B1C1818F-791C-403D-BE73-6F6E9DC6A16D}">
            <xm:f>$AJ$4='Data entry'!$R66</xm:f>
            <x14:dxf>
              <fill>
                <patternFill>
                  <bgColor rgb="FFFF0000"/>
                </patternFill>
              </fill>
            </x14:dxf>
          </x14:cfRule>
          <xm:sqref>AH186:AT186</xm:sqref>
        </x14:conditionalFormatting>
        <x14:conditionalFormatting xmlns:xm="http://schemas.microsoft.com/office/excel/2006/main">
          <x14:cfRule type="expression" priority="4701839" id="{A1237792-221B-431B-B8A7-E9A64DA46D93}">
            <xm:f>$AJ$4='Data entry'!$R66</xm:f>
            <x14:dxf>
              <fill>
                <patternFill>
                  <bgColor rgb="FFFFFF00"/>
                </patternFill>
              </fill>
            </x14:dxf>
          </x14:cfRule>
          <xm:sqref>V185:AJ185</xm:sqref>
        </x14:conditionalFormatting>
        <x14:conditionalFormatting xmlns:xm="http://schemas.microsoft.com/office/excel/2006/main">
          <x14:cfRule type="expression" priority="4701840" id="{617DC2AF-C7A3-4724-8EA3-17DEFEDC8949}">
            <xm:f>$AK$4='Data entry'!$R66</xm:f>
            <x14:dxf>
              <fill>
                <patternFill>
                  <bgColor rgb="FFFF0000"/>
                </patternFill>
              </fill>
            </x14:dxf>
          </x14:cfRule>
          <xm:sqref>AI186:AU186</xm:sqref>
        </x14:conditionalFormatting>
        <x14:conditionalFormatting xmlns:xm="http://schemas.microsoft.com/office/excel/2006/main">
          <x14:cfRule type="expression" priority="4701841" id="{AA72317D-37B1-48EB-A28B-BF2AC8DC4519}">
            <xm:f>$AK$4='Data entry'!$R66</xm:f>
            <x14:dxf>
              <fill>
                <patternFill>
                  <bgColor rgb="FFFFFF00"/>
                </patternFill>
              </fill>
            </x14:dxf>
          </x14:cfRule>
          <xm:sqref>W185:AK185</xm:sqref>
        </x14:conditionalFormatting>
        <x14:conditionalFormatting xmlns:xm="http://schemas.microsoft.com/office/excel/2006/main">
          <x14:cfRule type="expression" priority="4701842" id="{6CA9FB7A-20EA-4D3A-B74C-A001F4BE810D}">
            <xm:f>$AL$4='Data entry'!$R66</xm:f>
            <x14:dxf>
              <fill>
                <patternFill>
                  <bgColor rgb="FFFF0000"/>
                </patternFill>
              </fill>
            </x14:dxf>
          </x14:cfRule>
          <xm:sqref>AJ186:AV186</xm:sqref>
        </x14:conditionalFormatting>
        <x14:conditionalFormatting xmlns:xm="http://schemas.microsoft.com/office/excel/2006/main">
          <x14:cfRule type="expression" priority="4701843" id="{81A75DAA-573F-4EF3-A640-1B992C18BEA0}">
            <xm:f>$AL$4='Data entry'!$R66</xm:f>
            <x14:dxf>
              <fill>
                <patternFill>
                  <bgColor rgb="FFFFFF00"/>
                </patternFill>
              </fill>
            </x14:dxf>
          </x14:cfRule>
          <xm:sqref>X185:AL185</xm:sqref>
        </x14:conditionalFormatting>
        <x14:conditionalFormatting xmlns:xm="http://schemas.microsoft.com/office/excel/2006/main">
          <x14:cfRule type="expression" priority="4701844" id="{3D44713E-4ABA-4CCD-9DF4-5513A9FB5E1E}">
            <xm:f>$AM$4='Data entry'!$R66</xm:f>
            <x14:dxf>
              <fill>
                <patternFill>
                  <bgColor rgb="FFFF0000"/>
                </patternFill>
              </fill>
            </x14:dxf>
          </x14:cfRule>
          <xm:sqref>AK186:AW186</xm:sqref>
        </x14:conditionalFormatting>
        <x14:conditionalFormatting xmlns:xm="http://schemas.microsoft.com/office/excel/2006/main">
          <x14:cfRule type="expression" priority="4701845" id="{05A26B51-72A7-4423-822F-2BDBC28275D0}">
            <xm:f>$AM$4='Data entry'!$R66</xm:f>
            <x14:dxf>
              <fill>
                <patternFill>
                  <bgColor rgb="FFFFFF00"/>
                </patternFill>
              </fill>
            </x14:dxf>
          </x14:cfRule>
          <xm:sqref>Y185:AM185</xm:sqref>
        </x14:conditionalFormatting>
        <x14:conditionalFormatting xmlns:xm="http://schemas.microsoft.com/office/excel/2006/main">
          <x14:cfRule type="expression" priority="4701846" id="{B8A20675-6230-4694-A7F6-6B3DC7142773}">
            <xm:f>$AN$4='Data entry'!$R66</xm:f>
            <x14:dxf>
              <fill>
                <patternFill>
                  <bgColor rgb="FFFF0000"/>
                </patternFill>
              </fill>
            </x14:dxf>
          </x14:cfRule>
          <xm:sqref>AL186:AX186</xm:sqref>
        </x14:conditionalFormatting>
        <x14:conditionalFormatting xmlns:xm="http://schemas.microsoft.com/office/excel/2006/main">
          <x14:cfRule type="expression" priority="4701847" id="{8421181C-7450-42E9-BC1D-065CCFCA960E}">
            <xm:f>$AN$4='Data entry'!$R66</xm:f>
            <x14:dxf>
              <fill>
                <patternFill>
                  <bgColor rgb="FFFFFF00"/>
                </patternFill>
              </fill>
            </x14:dxf>
          </x14:cfRule>
          <xm:sqref>Z185:AN185</xm:sqref>
        </x14:conditionalFormatting>
        <x14:conditionalFormatting xmlns:xm="http://schemas.microsoft.com/office/excel/2006/main">
          <x14:cfRule type="expression" priority="4701848" id="{067FE4BD-6EF4-4684-B6E0-35AB2F267EE7}">
            <xm:f>$AO$4='Data entry'!$R66</xm:f>
            <x14:dxf>
              <fill>
                <patternFill>
                  <bgColor rgb="FFFF0000"/>
                </patternFill>
              </fill>
            </x14:dxf>
          </x14:cfRule>
          <xm:sqref>AM186:AY186</xm:sqref>
        </x14:conditionalFormatting>
        <x14:conditionalFormatting xmlns:xm="http://schemas.microsoft.com/office/excel/2006/main">
          <x14:cfRule type="expression" priority="4701849" id="{F7653492-88D1-47AC-8BA3-0CCE65C3C2AB}">
            <xm:f>$AO$4='Data entry'!$R66</xm:f>
            <x14:dxf>
              <fill>
                <patternFill>
                  <bgColor rgb="FFFFFF00"/>
                </patternFill>
              </fill>
            </x14:dxf>
          </x14:cfRule>
          <xm:sqref>AA185:AO185</xm:sqref>
        </x14:conditionalFormatting>
        <x14:conditionalFormatting xmlns:xm="http://schemas.microsoft.com/office/excel/2006/main">
          <x14:cfRule type="expression" priority="4701850" id="{207A5E5D-B322-482E-9193-1D7318138358}">
            <xm:f>$AP$4='Data entry'!$R66</xm:f>
            <x14:dxf>
              <fill>
                <patternFill>
                  <bgColor rgb="FFFF0000"/>
                </patternFill>
              </fill>
            </x14:dxf>
          </x14:cfRule>
          <xm:sqref>AN186:AZ186</xm:sqref>
        </x14:conditionalFormatting>
        <x14:conditionalFormatting xmlns:xm="http://schemas.microsoft.com/office/excel/2006/main">
          <x14:cfRule type="expression" priority="4701851" id="{21DA638D-4CA0-4067-BFF1-240CE1A0261B}">
            <xm:f>$AP$4='Data entry'!$R66</xm:f>
            <x14:dxf>
              <fill>
                <patternFill>
                  <bgColor rgb="FFFFFF00"/>
                </patternFill>
              </fill>
            </x14:dxf>
          </x14:cfRule>
          <xm:sqref>AB185:AP185</xm:sqref>
        </x14:conditionalFormatting>
        <x14:conditionalFormatting xmlns:xm="http://schemas.microsoft.com/office/excel/2006/main">
          <x14:cfRule type="expression" priority="4701852" id="{71963D96-A42A-4B90-BFC7-6D83D37766EF}">
            <xm:f>$AQ$4='Data entry'!$R66</xm:f>
            <x14:dxf>
              <fill>
                <patternFill>
                  <bgColor rgb="FFFF0000"/>
                </patternFill>
              </fill>
            </x14:dxf>
          </x14:cfRule>
          <xm:sqref>AO186:BA186</xm:sqref>
        </x14:conditionalFormatting>
        <x14:conditionalFormatting xmlns:xm="http://schemas.microsoft.com/office/excel/2006/main">
          <x14:cfRule type="expression" priority="4701853" id="{74952595-84B6-484F-8FF6-FCC1F337DF4D}">
            <xm:f>$AQ$4='Data entry'!$R66</xm:f>
            <x14:dxf>
              <fill>
                <patternFill>
                  <bgColor rgb="FFFFFF00"/>
                </patternFill>
              </fill>
            </x14:dxf>
          </x14:cfRule>
          <xm:sqref>AC185:AQ185</xm:sqref>
        </x14:conditionalFormatting>
        <x14:conditionalFormatting xmlns:xm="http://schemas.microsoft.com/office/excel/2006/main">
          <x14:cfRule type="expression" priority="4701854" id="{8AC9C4B9-0A34-4BC0-B0F7-CA89434C4911}">
            <xm:f>$P$4='Data entry'!$R66</xm:f>
            <x14:dxf>
              <fill>
                <patternFill>
                  <bgColor rgb="FFFFFF00"/>
                </patternFill>
              </fill>
            </x14:dxf>
          </x14:cfRule>
          <xm:sqref>C185:P185</xm:sqref>
        </x14:conditionalFormatting>
        <x14:conditionalFormatting xmlns:xm="http://schemas.microsoft.com/office/excel/2006/main">
          <x14:cfRule type="expression" priority="4701855" id="{0A726775-ABFD-4F22-967C-1A4D87BA3751}">
            <xm:f>$Q$4='Data entry'!$R66</xm:f>
            <x14:dxf>
              <fill>
                <patternFill>
                  <bgColor rgb="FFFFFF00"/>
                </patternFill>
              </fill>
            </x14:dxf>
          </x14:cfRule>
          <xm:sqref>C185:Q185</xm:sqref>
        </x14:conditionalFormatting>
        <x14:conditionalFormatting xmlns:xm="http://schemas.microsoft.com/office/excel/2006/main">
          <x14:cfRule type="expression" priority="4701856" id="{3A8414BD-262C-43B5-86EE-FA6901D00453}">
            <xm:f>$Q$4='Data entry'!$R66</xm:f>
            <x14:dxf>
              <fill>
                <patternFill>
                  <bgColor rgb="FFFF0000"/>
                </patternFill>
              </fill>
            </x14:dxf>
          </x14:cfRule>
          <xm:sqref>O186:AA186</xm:sqref>
        </x14:conditionalFormatting>
        <x14:conditionalFormatting xmlns:xm="http://schemas.microsoft.com/office/excel/2006/main">
          <x14:cfRule type="expression" priority="4701857" id="{B8B5501D-F3EF-4449-9306-F652960C65F4}">
            <xm:f>$R$4='Data entry'!$R66</xm:f>
            <x14:dxf>
              <fill>
                <patternFill>
                  <bgColor rgb="FFFF0000"/>
                </patternFill>
              </fill>
            </x14:dxf>
          </x14:cfRule>
          <xm:sqref>P186:AB186</xm:sqref>
        </x14:conditionalFormatting>
        <x14:conditionalFormatting xmlns:xm="http://schemas.microsoft.com/office/excel/2006/main">
          <x14:cfRule type="expression" priority="4701858" id="{5D070DEC-B82E-4D87-B907-A3E5AB836991}">
            <xm:f>$R$4='Data entry'!$R66</xm:f>
            <x14:dxf>
              <fill>
                <patternFill>
                  <bgColor rgb="FFFFFF00"/>
                </patternFill>
              </fill>
            </x14:dxf>
          </x14:cfRule>
          <xm:sqref>D185:R185</xm:sqref>
        </x14:conditionalFormatting>
        <x14:conditionalFormatting xmlns:xm="http://schemas.microsoft.com/office/excel/2006/main">
          <x14:cfRule type="expression" priority="4701859" id="{E4D16A10-F818-4664-9FB2-F0E839824D4B}">
            <xm:f>$S$4='Data entry'!$R66</xm:f>
            <x14:dxf>
              <fill>
                <patternFill>
                  <bgColor rgb="FFFF0000"/>
                </patternFill>
              </fill>
            </x14:dxf>
          </x14:cfRule>
          <xm:sqref>Q186:AC186</xm:sqref>
        </x14:conditionalFormatting>
        <x14:conditionalFormatting xmlns:xm="http://schemas.microsoft.com/office/excel/2006/main">
          <x14:cfRule type="expression" priority="4701860" id="{1A9F9911-A3E9-4730-AFBE-AB8C596545CA}">
            <xm:f>$S$4='Data entry'!$R66</xm:f>
            <x14:dxf>
              <fill>
                <patternFill>
                  <bgColor rgb="FFFFFF00"/>
                </patternFill>
              </fill>
            </x14:dxf>
          </x14:cfRule>
          <xm:sqref>E185:S185</xm:sqref>
        </x14:conditionalFormatting>
        <x14:conditionalFormatting xmlns:xm="http://schemas.microsoft.com/office/excel/2006/main">
          <x14:cfRule type="expression" priority="4701861" id="{8BB5CD1B-B2AC-442A-9550-26DE19A62D22}">
            <xm:f>$T$4='Data entry'!$R66</xm:f>
            <x14:dxf>
              <fill>
                <patternFill>
                  <bgColor rgb="FFFF0000"/>
                </patternFill>
              </fill>
            </x14:dxf>
          </x14:cfRule>
          <xm:sqref>R186:AD186</xm:sqref>
        </x14:conditionalFormatting>
        <x14:conditionalFormatting xmlns:xm="http://schemas.microsoft.com/office/excel/2006/main">
          <x14:cfRule type="expression" priority="4701862" id="{E7B59C69-7921-4049-84A1-8B3E5F7B0598}">
            <xm:f>$T$4='Data entry'!$R66</xm:f>
            <x14:dxf>
              <fill>
                <patternFill>
                  <bgColor rgb="FFFFFF00"/>
                </patternFill>
              </fill>
            </x14:dxf>
          </x14:cfRule>
          <xm:sqref>F185:T185</xm:sqref>
        </x14:conditionalFormatting>
        <x14:conditionalFormatting xmlns:xm="http://schemas.microsoft.com/office/excel/2006/main">
          <x14:cfRule type="expression" priority="4701863" id="{238C09E5-7A3D-439D-949F-A7733073F9A2}">
            <xm:f>$U$4='Data entry'!$R66</xm:f>
            <x14:dxf>
              <fill>
                <patternFill>
                  <bgColor rgb="FFFFFF00"/>
                </patternFill>
              </fill>
            </x14:dxf>
          </x14:cfRule>
          <xm:sqref>G185:U185</xm:sqref>
        </x14:conditionalFormatting>
        <x14:conditionalFormatting xmlns:xm="http://schemas.microsoft.com/office/excel/2006/main">
          <x14:cfRule type="expression" priority="4701864" id="{DE4D4432-0A19-452A-AF14-2873FE4DF411}">
            <xm:f>$AR$4='Data entry'!$R66</xm:f>
            <x14:dxf>
              <fill>
                <patternFill>
                  <bgColor rgb="FFFF0000"/>
                </patternFill>
              </fill>
            </x14:dxf>
          </x14:cfRule>
          <xm:sqref>AP186:BB186</xm:sqref>
        </x14:conditionalFormatting>
        <x14:conditionalFormatting xmlns:xm="http://schemas.microsoft.com/office/excel/2006/main">
          <x14:cfRule type="expression" priority="4701865" id="{90D7E1FF-542D-40C8-9BD5-DFEB4CDD256F}">
            <xm:f>$AR$4='Data entry'!$R66</xm:f>
            <x14:dxf>
              <fill>
                <patternFill>
                  <bgColor rgb="FFFFFF00"/>
                </patternFill>
              </fill>
            </x14:dxf>
          </x14:cfRule>
          <xm:sqref>AD185:AR185</xm:sqref>
        </x14:conditionalFormatting>
        <x14:conditionalFormatting xmlns:xm="http://schemas.microsoft.com/office/excel/2006/main">
          <x14:cfRule type="expression" priority="4701866" id="{0EBB5305-4A4A-4205-A1FF-11160070CBC3}">
            <xm:f>$AS$4='Data entry'!$R66</xm:f>
            <x14:dxf>
              <fill>
                <patternFill>
                  <bgColor rgb="FFFF0000"/>
                </patternFill>
              </fill>
            </x14:dxf>
          </x14:cfRule>
          <xm:sqref>AQ186:BC186</xm:sqref>
        </x14:conditionalFormatting>
        <x14:conditionalFormatting xmlns:xm="http://schemas.microsoft.com/office/excel/2006/main">
          <x14:cfRule type="expression" priority="4701867" id="{AC8EB30C-4253-4CE1-820E-1801F6D8D35B}">
            <xm:f>$AS$4='Data entry'!$R66</xm:f>
            <x14:dxf>
              <fill>
                <patternFill>
                  <bgColor rgb="FFFFFF00"/>
                </patternFill>
              </fill>
            </x14:dxf>
          </x14:cfRule>
          <xm:sqref>AE185:AS185</xm:sqref>
        </x14:conditionalFormatting>
        <x14:conditionalFormatting xmlns:xm="http://schemas.microsoft.com/office/excel/2006/main">
          <x14:cfRule type="expression" priority="4701868" id="{E11744C1-7201-4272-A1B0-945490B42425}">
            <xm:f>$AT$4='Data entry'!$R66</xm:f>
            <x14:dxf>
              <fill>
                <patternFill>
                  <bgColor rgb="FFFF0000"/>
                </patternFill>
              </fill>
            </x14:dxf>
          </x14:cfRule>
          <xm:sqref>AR186:BD186</xm:sqref>
        </x14:conditionalFormatting>
        <x14:conditionalFormatting xmlns:xm="http://schemas.microsoft.com/office/excel/2006/main">
          <x14:cfRule type="expression" priority="4701869" id="{5EE2823B-E955-4EA7-B99C-0B1F77B57A69}">
            <xm:f>$AT$4='Data entry'!$R66</xm:f>
            <x14:dxf>
              <fill>
                <patternFill>
                  <bgColor rgb="FFFFFF00"/>
                </patternFill>
              </fill>
            </x14:dxf>
          </x14:cfRule>
          <xm:sqref>AF185:AT185</xm:sqref>
        </x14:conditionalFormatting>
        <x14:conditionalFormatting xmlns:xm="http://schemas.microsoft.com/office/excel/2006/main">
          <x14:cfRule type="expression" priority="4701870" id="{5737DC63-3262-4B34-900C-2AAEB255FCBA}">
            <xm:f>$AU$4='Data entry'!$R66</xm:f>
            <x14:dxf>
              <fill>
                <patternFill>
                  <bgColor rgb="FFFF0000"/>
                </patternFill>
              </fill>
            </x14:dxf>
          </x14:cfRule>
          <xm:sqref>AS186:BE186</xm:sqref>
        </x14:conditionalFormatting>
        <x14:conditionalFormatting xmlns:xm="http://schemas.microsoft.com/office/excel/2006/main">
          <x14:cfRule type="expression" priority="4701871" id="{2B5C1F1B-3C3D-4CA3-BC64-0E98422075B6}">
            <xm:f>$AU$4='Data entry'!$R66</xm:f>
            <x14:dxf>
              <fill>
                <patternFill>
                  <bgColor rgb="FFFFFF00"/>
                </patternFill>
              </fill>
            </x14:dxf>
          </x14:cfRule>
          <xm:sqref>AG185:AU185</xm:sqref>
        </x14:conditionalFormatting>
        <x14:conditionalFormatting xmlns:xm="http://schemas.microsoft.com/office/excel/2006/main">
          <x14:cfRule type="expression" priority="4701872" id="{B87A1285-B003-4855-8F4B-53C391BA10E6}">
            <xm:f>$AV$4='Data entry'!$R66</xm:f>
            <x14:dxf>
              <fill>
                <patternFill>
                  <bgColor rgb="FFFF0000"/>
                </patternFill>
              </fill>
            </x14:dxf>
          </x14:cfRule>
          <xm:sqref>AT186:BF186</xm:sqref>
        </x14:conditionalFormatting>
        <x14:conditionalFormatting xmlns:xm="http://schemas.microsoft.com/office/excel/2006/main">
          <x14:cfRule type="expression" priority="4701873" id="{338EE31C-78DB-4818-B837-0380F9E457FA}">
            <xm:f>$AV$4='Data entry'!$R66</xm:f>
            <x14:dxf>
              <fill>
                <patternFill>
                  <bgColor rgb="FFFFFF00"/>
                </patternFill>
              </fill>
            </x14:dxf>
          </x14:cfRule>
          <xm:sqref>AH185:AV185</xm:sqref>
        </x14:conditionalFormatting>
        <x14:conditionalFormatting xmlns:xm="http://schemas.microsoft.com/office/excel/2006/main">
          <x14:cfRule type="expression" priority="4701874" id="{5C40EA66-2801-4C91-B885-BF6A1ECFC35C}">
            <xm:f>$AW$4='Data entry'!$R66</xm:f>
            <x14:dxf>
              <fill>
                <patternFill>
                  <bgColor rgb="FFFF0000"/>
                </patternFill>
              </fill>
            </x14:dxf>
          </x14:cfRule>
          <xm:sqref>AU186:BG186</xm:sqref>
        </x14:conditionalFormatting>
        <x14:conditionalFormatting xmlns:xm="http://schemas.microsoft.com/office/excel/2006/main">
          <x14:cfRule type="expression" priority="4701875" id="{51BCD5CE-DF86-4C2F-8A81-DDA1EFD6C8F7}">
            <xm:f>$AW$4='Data entry'!$R66</xm:f>
            <x14:dxf>
              <fill>
                <patternFill>
                  <bgColor rgb="FFFFFF00"/>
                </patternFill>
              </fill>
            </x14:dxf>
          </x14:cfRule>
          <xm:sqref>AI185:AW185</xm:sqref>
        </x14:conditionalFormatting>
        <x14:conditionalFormatting xmlns:xm="http://schemas.microsoft.com/office/excel/2006/main">
          <x14:cfRule type="expression" priority="4701876" id="{DC2ED5A0-8917-4877-8CD3-9DF9BE5993C9}">
            <xm:f>$AX$4='Data entry'!$R66</xm:f>
            <x14:dxf>
              <fill>
                <patternFill>
                  <bgColor rgb="FFFF0000"/>
                </patternFill>
              </fill>
            </x14:dxf>
          </x14:cfRule>
          <xm:sqref>AV186:BH186</xm:sqref>
        </x14:conditionalFormatting>
        <x14:conditionalFormatting xmlns:xm="http://schemas.microsoft.com/office/excel/2006/main">
          <x14:cfRule type="expression" priority="4701877" id="{59B31869-20F9-45BD-BC80-0A6C8945CE2C}">
            <xm:f>$AX$4='Data entry'!$R66</xm:f>
            <x14:dxf>
              <fill>
                <patternFill>
                  <bgColor rgb="FFFFFF00"/>
                </patternFill>
              </fill>
            </x14:dxf>
          </x14:cfRule>
          <xm:sqref>AJ185:AX185</xm:sqref>
        </x14:conditionalFormatting>
        <x14:conditionalFormatting xmlns:xm="http://schemas.microsoft.com/office/excel/2006/main">
          <x14:cfRule type="expression" priority="4701878" id="{D4208FA0-4262-4037-934C-6D0742B2AD8E}">
            <xm:f>$AY$4='Data entry'!$R66</xm:f>
            <x14:dxf>
              <fill>
                <patternFill>
                  <bgColor rgb="FFFF0000"/>
                </patternFill>
              </fill>
            </x14:dxf>
          </x14:cfRule>
          <xm:sqref>AW186:BI186</xm:sqref>
        </x14:conditionalFormatting>
        <x14:conditionalFormatting xmlns:xm="http://schemas.microsoft.com/office/excel/2006/main">
          <x14:cfRule type="expression" priority="4701879" id="{04D6E423-18C7-42B2-A67D-F49D8E62B571}">
            <xm:f>$AY$4='Data entry'!$R66</xm:f>
            <x14:dxf>
              <fill>
                <patternFill>
                  <bgColor rgb="FFFFFF00"/>
                </patternFill>
              </fill>
            </x14:dxf>
          </x14:cfRule>
          <xm:sqref>AK185:AY185</xm:sqref>
        </x14:conditionalFormatting>
        <x14:conditionalFormatting xmlns:xm="http://schemas.microsoft.com/office/excel/2006/main">
          <x14:cfRule type="expression" priority="4701880" id="{A931C203-6E4B-4EBD-A2F4-1876881F48D4}">
            <xm:f>$AZ$4='Data entry'!$R66</xm:f>
            <x14:dxf>
              <fill>
                <patternFill>
                  <bgColor rgb="FFFF0000"/>
                </patternFill>
              </fill>
            </x14:dxf>
          </x14:cfRule>
          <xm:sqref>AX186:BJ186</xm:sqref>
        </x14:conditionalFormatting>
        <x14:conditionalFormatting xmlns:xm="http://schemas.microsoft.com/office/excel/2006/main">
          <x14:cfRule type="expression" priority="4701881" id="{092D9100-E652-40FE-8CAA-720DC0681250}">
            <xm:f>$AZ$4='Data entry'!$R66</xm:f>
            <x14:dxf>
              <fill>
                <patternFill>
                  <bgColor rgb="FFFFFF00"/>
                </patternFill>
              </fill>
            </x14:dxf>
          </x14:cfRule>
          <xm:sqref>AL185:AZ185</xm:sqref>
        </x14:conditionalFormatting>
        <x14:conditionalFormatting xmlns:xm="http://schemas.microsoft.com/office/excel/2006/main">
          <x14:cfRule type="expression" priority="4701882" id="{A3C7E6BE-A225-483C-A983-A915DB662C52}">
            <xm:f>$BA$4='Data entry'!$R66</xm:f>
            <x14:dxf>
              <fill>
                <patternFill>
                  <bgColor rgb="FFFF0000"/>
                </patternFill>
              </fill>
            </x14:dxf>
          </x14:cfRule>
          <xm:sqref>AY186:BK186</xm:sqref>
        </x14:conditionalFormatting>
        <x14:conditionalFormatting xmlns:xm="http://schemas.microsoft.com/office/excel/2006/main">
          <x14:cfRule type="expression" priority="4701883" id="{F5CF569A-8AFA-4CFF-8BD3-F04D8927A99F}">
            <xm:f>$BA$4='Data entry'!$R66</xm:f>
            <x14:dxf>
              <fill>
                <patternFill>
                  <bgColor rgb="FFFFFF00"/>
                </patternFill>
              </fill>
            </x14:dxf>
          </x14:cfRule>
          <xm:sqref>AM185:BA185</xm:sqref>
        </x14:conditionalFormatting>
        <x14:conditionalFormatting xmlns:xm="http://schemas.microsoft.com/office/excel/2006/main">
          <x14:cfRule type="expression" priority="4701884" id="{E4DAC94A-7983-4BFB-A87B-45B58561841A}">
            <xm:f>$BB$4='Data entry'!$R66</xm:f>
            <x14:dxf>
              <fill>
                <patternFill>
                  <bgColor rgb="FFFF0000"/>
                </patternFill>
              </fill>
            </x14:dxf>
          </x14:cfRule>
          <xm:sqref>AZ186:BL186</xm:sqref>
        </x14:conditionalFormatting>
        <x14:conditionalFormatting xmlns:xm="http://schemas.microsoft.com/office/excel/2006/main">
          <x14:cfRule type="expression" priority="4701885" id="{E63849C5-F39B-4B0E-8F8A-B532EDF2CBAE}">
            <xm:f>$BB$4='Data entry'!$R66</xm:f>
            <x14:dxf>
              <fill>
                <patternFill>
                  <bgColor rgb="FFFFFF00"/>
                </patternFill>
              </fill>
            </x14:dxf>
          </x14:cfRule>
          <xm:sqref>AN185:BB185</xm:sqref>
        </x14:conditionalFormatting>
        <x14:conditionalFormatting xmlns:xm="http://schemas.microsoft.com/office/excel/2006/main">
          <x14:cfRule type="expression" priority="4701886" id="{4FDC32D3-C1F5-455D-9AA4-A03359B72526}">
            <xm:f>$BC$4='Data entry'!$R66</xm:f>
            <x14:dxf>
              <fill>
                <patternFill>
                  <bgColor rgb="FFFF0000"/>
                </patternFill>
              </fill>
            </x14:dxf>
          </x14:cfRule>
          <xm:sqref>BA186:BM186</xm:sqref>
        </x14:conditionalFormatting>
        <x14:conditionalFormatting xmlns:xm="http://schemas.microsoft.com/office/excel/2006/main">
          <x14:cfRule type="expression" priority="4701887" id="{5F0D0C60-B233-4C56-B05D-98C99990877F}">
            <xm:f>$BC$4='Data entry'!$R66</xm:f>
            <x14:dxf>
              <fill>
                <patternFill>
                  <bgColor rgb="FFFFFF00"/>
                </patternFill>
              </fill>
            </x14:dxf>
          </x14:cfRule>
          <xm:sqref>AO185:BC185</xm:sqref>
        </x14:conditionalFormatting>
        <x14:conditionalFormatting xmlns:xm="http://schemas.microsoft.com/office/excel/2006/main">
          <x14:cfRule type="expression" priority="4701888" id="{9EBCB60F-8135-43B6-A0F3-548D4092CC98}">
            <xm:f>$BD$4='Data entry'!$R66</xm:f>
            <x14:dxf>
              <fill>
                <patternFill>
                  <bgColor rgb="FFFF0000"/>
                </patternFill>
              </fill>
            </x14:dxf>
          </x14:cfRule>
          <xm:sqref>BB186:BN186</xm:sqref>
        </x14:conditionalFormatting>
        <x14:conditionalFormatting xmlns:xm="http://schemas.microsoft.com/office/excel/2006/main">
          <x14:cfRule type="expression" priority="4701889" id="{961AF346-4A73-41ED-9A8D-27D431B09C05}">
            <xm:f>$BD$4='Data entry'!$R66</xm:f>
            <x14:dxf>
              <fill>
                <patternFill>
                  <bgColor rgb="FFFFFF00"/>
                </patternFill>
              </fill>
            </x14:dxf>
          </x14:cfRule>
          <xm:sqref>AP185:BD185</xm:sqref>
        </x14:conditionalFormatting>
        <x14:conditionalFormatting xmlns:xm="http://schemas.microsoft.com/office/excel/2006/main">
          <x14:cfRule type="expression" priority="4701890" id="{5A887026-27CD-4F8C-8BA6-1E92704C1CA6}">
            <xm:f>$BE$4='Data entry'!$R66</xm:f>
            <x14:dxf>
              <fill>
                <patternFill>
                  <bgColor rgb="FFFF0000"/>
                </patternFill>
              </fill>
            </x14:dxf>
          </x14:cfRule>
          <xm:sqref>BC186:BO186</xm:sqref>
        </x14:conditionalFormatting>
        <x14:conditionalFormatting xmlns:xm="http://schemas.microsoft.com/office/excel/2006/main">
          <x14:cfRule type="expression" priority="4701891" id="{7F46217B-A1E9-4515-B31E-E756FCD7C6D9}">
            <xm:f>$BE$4='Data entry'!$R66</xm:f>
            <x14:dxf>
              <fill>
                <patternFill>
                  <bgColor rgb="FFFFFF00"/>
                </patternFill>
              </fill>
            </x14:dxf>
          </x14:cfRule>
          <xm:sqref>AP185:BE185</xm:sqref>
        </x14:conditionalFormatting>
        <x14:conditionalFormatting xmlns:xm="http://schemas.microsoft.com/office/excel/2006/main">
          <x14:cfRule type="expression" priority="4701892" id="{F4D9285C-8CA0-4EF1-943E-6A462D47CC77}">
            <xm:f>$BF$4='Data entry'!$R66</xm:f>
            <x14:dxf>
              <fill>
                <patternFill>
                  <bgColor rgb="FFFF0000"/>
                </patternFill>
              </fill>
            </x14:dxf>
          </x14:cfRule>
          <xm:sqref>BD186:BP186</xm:sqref>
        </x14:conditionalFormatting>
        <x14:conditionalFormatting xmlns:xm="http://schemas.microsoft.com/office/excel/2006/main">
          <x14:cfRule type="expression" priority="4701893" id="{B9E4407D-651D-4DC0-9D61-3271D62A65E9}">
            <xm:f>$BF$4='Data entry'!$R66</xm:f>
            <x14:dxf>
              <fill>
                <patternFill>
                  <bgColor rgb="FFFFFF00"/>
                </patternFill>
              </fill>
            </x14:dxf>
          </x14:cfRule>
          <xm:sqref>AR185:BF185</xm:sqref>
        </x14:conditionalFormatting>
        <x14:conditionalFormatting xmlns:xm="http://schemas.microsoft.com/office/excel/2006/main">
          <x14:cfRule type="expression" priority="4701894" id="{4CDC062F-DDFF-4556-B941-08F919727F69}">
            <xm:f>$BG$4='Data entry'!$R66</xm:f>
            <x14:dxf>
              <fill>
                <patternFill>
                  <bgColor rgb="FFFF0000"/>
                </patternFill>
              </fill>
            </x14:dxf>
          </x14:cfRule>
          <xm:sqref>BE186:BQ186</xm:sqref>
        </x14:conditionalFormatting>
        <x14:conditionalFormatting xmlns:xm="http://schemas.microsoft.com/office/excel/2006/main">
          <x14:cfRule type="expression" priority="4701895" id="{789184FA-9055-433B-8A1B-92C7ED59E81F}">
            <xm:f>$BG$4='Data entry'!$R66</xm:f>
            <x14:dxf>
              <fill>
                <patternFill>
                  <bgColor rgb="FFFFFF00"/>
                </patternFill>
              </fill>
            </x14:dxf>
          </x14:cfRule>
          <xm:sqref>AS185:BG185</xm:sqref>
        </x14:conditionalFormatting>
        <x14:conditionalFormatting xmlns:xm="http://schemas.microsoft.com/office/excel/2006/main">
          <x14:cfRule type="expression" priority="4701896" id="{58651E5C-09C9-46C1-B95C-E8A578A49E15}">
            <xm:f>$BH$4='Data entry'!$R66</xm:f>
            <x14:dxf>
              <fill>
                <patternFill>
                  <bgColor rgb="FFFFFF00"/>
                </patternFill>
              </fill>
            </x14:dxf>
          </x14:cfRule>
          <xm:sqref>AT185:BH185</xm:sqref>
        </x14:conditionalFormatting>
        <x14:conditionalFormatting xmlns:xm="http://schemas.microsoft.com/office/excel/2006/main">
          <x14:cfRule type="expression" priority="4701897" id="{97B30B86-8311-4DC0-A533-8C0D53F37839}">
            <xm:f>$BH$4='Data entry'!$R66</xm:f>
            <x14:dxf>
              <fill>
                <patternFill>
                  <bgColor rgb="FFFF0000"/>
                </patternFill>
              </fill>
            </x14:dxf>
          </x14:cfRule>
          <xm:sqref>BF186:BR186</xm:sqref>
        </x14:conditionalFormatting>
        <x14:conditionalFormatting xmlns:xm="http://schemas.microsoft.com/office/excel/2006/main">
          <x14:cfRule type="expression" priority="4701898" id="{78344C0C-5AEA-40B1-A20C-6D77DF58E1F5}">
            <xm:f>$BI$4='Data entry'!$R66</xm:f>
            <x14:dxf>
              <fill>
                <patternFill>
                  <bgColor rgb="FFFFFF00"/>
                </patternFill>
              </fill>
            </x14:dxf>
          </x14:cfRule>
          <xm:sqref>AU185:BI185</xm:sqref>
        </x14:conditionalFormatting>
        <x14:conditionalFormatting xmlns:xm="http://schemas.microsoft.com/office/excel/2006/main">
          <x14:cfRule type="expression" priority="4701899" id="{A9CE044F-482E-4F25-B28F-89ACC58502B1}">
            <xm:f>$BI$4='Data entry'!$R66</xm:f>
            <x14:dxf>
              <fill>
                <patternFill>
                  <bgColor rgb="FFFF0000"/>
                </patternFill>
              </fill>
            </x14:dxf>
          </x14:cfRule>
          <xm:sqref>BG186:BS186</xm:sqref>
        </x14:conditionalFormatting>
        <x14:conditionalFormatting xmlns:xm="http://schemas.microsoft.com/office/excel/2006/main">
          <x14:cfRule type="expression" priority="4701900" id="{F63BE0EB-3C71-4456-BEF0-11180AB7A8BB}">
            <xm:f>$BJ$4='Data entry'!$R66</xm:f>
            <x14:dxf>
              <fill>
                <patternFill>
                  <bgColor rgb="FFFFFF00"/>
                </patternFill>
              </fill>
            </x14:dxf>
          </x14:cfRule>
          <xm:sqref>AV185:BJ185</xm:sqref>
        </x14:conditionalFormatting>
        <x14:conditionalFormatting xmlns:xm="http://schemas.microsoft.com/office/excel/2006/main">
          <x14:cfRule type="expression" priority="4701901" id="{478A5DCB-1DAA-4497-A6CC-B4F01FB96D10}">
            <xm:f>$BJ$4='Data entry'!$R66</xm:f>
            <x14:dxf>
              <fill>
                <patternFill>
                  <bgColor rgb="FFFF0000"/>
                </patternFill>
              </fill>
            </x14:dxf>
          </x14:cfRule>
          <xm:sqref>BH186:BT186</xm:sqref>
        </x14:conditionalFormatting>
        <x14:conditionalFormatting xmlns:xm="http://schemas.microsoft.com/office/excel/2006/main">
          <x14:cfRule type="expression" priority="4701902" id="{CDE4AD5B-65A6-4FA4-9EC0-8D05F22312A9}">
            <xm:f>$BK$4='Data entry'!$R66</xm:f>
            <x14:dxf>
              <fill>
                <patternFill>
                  <bgColor rgb="FFFF0000"/>
                </patternFill>
              </fill>
            </x14:dxf>
          </x14:cfRule>
          <xm:sqref>BI186:BU186</xm:sqref>
        </x14:conditionalFormatting>
        <x14:conditionalFormatting xmlns:xm="http://schemas.microsoft.com/office/excel/2006/main">
          <x14:cfRule type="expression" priority="4701903" id="{AB32E790-6CD8-4D11-9A69-57D785FE4BBC}">
            <xm:f>$BK$4='Data entry'!$R66</xm:f>
            <x14:dxf>
              <fill>
                <patternFill>
                  <bgColor rgb="FFFFFF00"/>
                </patternFill>
              </fill>
            </x14:dxf>
          </x14:cfRule>
          <xm:sqref>AW185:BK185</xm:sqref>
        </x14:conditionalFormatting>
        <x14:conditionalFormatting xmlns:xm="http://schemas.microsoft.com/office/excel/2006/main">
          <x14:cfRule type="expression" priority="4701904" id="{99810EB9-805C-43D8-852A-EEECE7874CDB}">
            <xm:f>$BL$4='Data entry'!$R66</xm:f>
            <x14:dxf>
              <fill>
                <patternFill>
                  <bgColor rgb="FFFF0000"/>
                </patternFill>
              </fill>
            </x14:dxf>
          </x14:cfRule>
          <xm:sqref>BJ186:BV186</xm:sqref>
        </x14:conditionalFormatting>
        <x14:conditionalFormatting xmlns:xm="http://schemas.microsoft.com/office/excel/2006/main">
          <x14:cfRule type="expression" priority="4701905" id="{BF5F5475-4E46-479C-97A6-D5175F5D1803}">
            <xm:f>$BL$4='Data entry'!$R66</xm:f>
            <x14:dxf>
              <fill>
                <patternFill>
                  <bgColor rgb="FFFFFF00"/>
                </patternFill>
              </fill>
            </x14:dxf>
          </x14:cfRule>
          <xm:sqref>AX185:BL185</xm:sqref>
        </x14:conditionalFormatting>
        <x14:conditionalFormatting xmlns:xm="http://schemas.microsoft.com/office/excel/2006/main">
          <x14:cfRule type="expression" priority="4701906" id="{B86FDF2F-16C9-46B1-847E-7EA1A8A34B9D}">
            <xm:f>$BM$4='Data entry'!$R66</xm:f>
            <x14:dxf>
              <fill>
                <patternFill>
                  <bgColor rgb="FFFF0000"/>
                </patternFill>
              </fill>
            </x14:dxf>
          </x14:cfRule>
          <xm:sqref>BK186:BW186</xm:sqref>
        </x14:conditionalFormatting>
        <x14:conditionalFormatting xmlns:xm="http://schemas.microsoft.com/office/excel/2006/main">
          <x14:cfRule type="expression" priority="4701907" id="{72FD189F-4CED-400D-9FEF-21A328970A4D}">
            <xm:f>$BM$4='Data entry'!$R66</xm:f>
            <x14:dxf>
              <fill>
                <patternFill>
                  <bgColor rgb="FFFFFF00"/>
                </patternFill>
              </fill>
            </x14:dxf>
          </x14:cfRule>
          <xm:sqref>AY185:BM185</xm:sqref>
        </x14:conditionalFormatting>
        <x14:conditionalFormatting xmlns:xm="http://schemas.microsoft.com/office/excel/2006/main">
          <x14:cfRule type="expression" priority="4701908" id="{BBBBF859-D5A7-4F55-BFBF-8A77E3357590}">
            <xm:f>$BN$4='Data entry'!$R66</xm:f>
            <x14:dxf>
              <fill>
                <patternFill>
                  <bgColor rgb="FFFF0000"/>
                </patternFill>
              </fill>
            </x14:dxf>
          </x14:cfRule>
          <xm:sqref>BL186:BX186</xm:sqref>
        </x14:conditionalFormatting>
        <x14:conditionalFormatting xmlns:xm="http://schemas.microsoft.com/office/excel/2006/main">
          <x14:cfRule type="expression" priority="4701909" id="{50CB1D75-0FD5-4D24-92B1-E8A41DC6575C}">
            <xm:f>$BN$4='Data entry'!$R66</xm:f>
            <x14:dxf>
              <fill>
                <patternFill>
                  <bgColor rgb="FFFFFF00"/>
                </patternFill>
              </fill>
            </x14:dxf>
          </x14:cfRule>
          <xm:sqref>AZ185:BN185</xm:sqref>
        </x14:conditionalFormatting>
        <x14:conditionalFormatting xmlns:xm="http://schemas.microsoft.com/office/excel/2006/main">
          <x14:cfRule type="expression" priority="4701910" id="{9EF3226D-E8FC-496B-A6FF-71776AEA54D1}">
            <xm:f>$BO$4='Data entry'!$R66</xm:f>
            <x14:dxf>
              <fill>
                <patternFill>
                  <bgColor rgb="FFFF0000"/>
                </patternFill>
              </fill>
            </x14:dxf>
          </x14:cfRule>
          <xm:sqref>BM186:BY186</xm:sqref>
        </x14:conditionalFormatting>
        <x14:conditionalFormatting xmlns:xm="http://schemas.microsoft.com/office/excel/2006/main">
          <x14:cfRule type="expression" priority="4701911" id="{3B86C801-ECFE-4D05-8AA5-1581116BAFBC}">
            <xm:f>$BO$4='Data entry'!$R66</xm:f>
            <x14:dxf>
              <fill>
                <patternFill>
                  <bgColor rgb="FFFFFF00"/>
                </patternFill>
              </fill>
            </x14:dxf>
          </x14:cfRule>
          <xm:sqref>BA185:BO185</xm:sqref>
        </x14:conditionalFormatting>
        <x14:conditionalFormatting xmlns:xm="http://schemas.microsoft.com/office/excel/2006/main">
          <x14:cfRule type="expression" priority="4701912" id="{058A23EC-3371-4A02-9F20-1ECA603AC6BC}">
            <xm:f>$BP$4='Data entry'!$R66</xm:f>
            <x14:dxf>
              <fill>
                <patternFill>
                  <bgColor rgb="FFFF0000"/>
                </patternFill>
              </fill>
            </x14:dxf>
          </x14:cfRule>
          <xm:sqref>BN186:BZ186</xm:sqref>
        </x14:conditionalFormatting>
        <x14:conditionalFormatting xmlns:xm="http://schemas.microsoft.com/office/excel/2006/main">
          <x14:cfRule type="expression" priority="4701913" id="{3E711E31-3992-4555-AB22-87133D60CD15}">
            <xm:f>$BP$4='Data entry'!$R66</xm:f>
            <x14:dxf>
              <fill>
                <patternFill>
                  <bgColor rgb="FFFFFF00"/>
                </patternFill>
              </fill>
            </x14:dxf>
          </x14:cfRule>
          <xm:sqref>BB185:BP185</xm:sqref>
        </x14:conditionalFormatting>
        <x14:conditionalFormatting xmlns:xm="http://schemas.microsoft.com/office/excel/2006/main">
          <x14:cfRule type="expression" priority="4701914" id="{23E9F8B9-37D5-4730-9453-6F23E8ECBBE3}">
            <xm:f>$BQ$4='Data entry'!$R66</xm:f>
            <x14:dxf>
              <fill>
                <patternFill>
                  <bgColor rgb="FFFFFF00"/>
                </patternFill>
              </fill>
            </x14:dxf>
          </x14:cfRule>
          <xm:sqref>BC185:BQ185</xm:sqref>
        </x14:conditionalFormatting>
        <x14:conditionalFormatting xmlns:xm="http://schemas.microsoft.com/office/excel/2006/main">
          <x14:cfRule type="expression" priority="4701915" id="{BCFD92F6-AAD3-44FD-BC61-A292A81B883E}">
            <xm:f>$BQ$4='Data entry'!$R66</xm:f>
            <x14:dxf>
              <fill>
                <patternFill>
                  <bgColor rgb="FFFF0000"/>
                </patternFill>
              </fill>
            </x14:dxf>
          </x14:cfRule>
          <xm:sqref>BO186:CA186</xm:sqref>
        </x14:conditionalFormatting>
        <x14:conditionalFormatting xmlns:xm="http://schemas.microsoft.com/office/excel/2006/main">
          <x14:cfRule type="expression" priority="4701916" id="{357D60E5-F356-477E-8020-A18F42C02832}">
            <xm:f>$BR$4='Data entry'!$R66</xm:f>
            <x14:dxf>
              <fill>
                <patternFill>
                  <bgColor rgb="FFFFFF00"/>
                </patternFill>
              </fill>
            </x14:dxf>
          </x14:cfRule>
          <xm:sqref>BD185:BR185</xm:sqref>
        </x14:conditionalFormatting>
        <x14:conditionalFormatting xmlns:xm="http://schemas.microsoft.com/office/excel/2006/main">
          <x14:cfRule type="expression" priority="4701917" id="{DA2B6511-43B3-432D-B6AA-1DB1188B90A6}">
            <xm:f>$BR$4='Data entry'!$R66</xm:f>
            <x14:dxf>
              <fill>
                <patternFill>
                  <bgColor rgb="FFFF0000"/>
                </patternFill>
              </fill>
            </x14:dxf>
          </x14:cfRule>
          <xm:sqref>BP186:CB186</xm:sqref>
        </x14:conditionalFormatting>
        <x14:conditionalFormatting xmlns:xm="http://schemas.microsoft.com/office/excel/2006/main">
          <x14:cfRule type="expression" priority="4701918" id="{0D5F64E4-4136-4BFA-B833-CC8578525D9C}">
            <xm:f>$BS$4='Data entry'!$R66</xm:f>
            <x14:dxf>
              <fill>
                <patternFill>
                  <bgColor rgb="FFFFFF00"/>
                </patternFill>
              </fill>
            </x14:dxf>
          </x14:cfRule>
          <xm:sqref>BE185:BS185</xm:sqref>
        </x14:conditionalFormatting>
        <x14:conditionalFormatting xmlns:xm="http://schemas.microsoft.com/office/excel/2006/main">
          <x14:cfRule type="expression" priority="4701919" id="{AC94D468-F078-4AE2-8771-102996E07B09}">
            <xm:f>$BS$4='Data entry'!$R66</xm:f>
            <x14:dxf>
              <fill>
                <patternFill>
                  <bgColor rgb="FFFF0000"/>
                </patternFill>
              </fill>
            </x14:dxf>
          </x14:cfRule>
          <xm:sqref>BQ186:CC186</xm:sqref>
        </x14:conditionalFormatting>
        <x14:conditionalFormatting xmlns:xm="http://schemas.microsoft.com/office/excel/2006/main">
          <x14:cfRule type="expression" priority="4701920" id="{10E78F76-181E-4F19-9F89-7DD36D3EFE30}">
            <xm:f>$BT$4='Data entry'!$R66</xm:f>
            <x14:dxf>
              <fill>
                <patternFill>
                  <bgColor rgb="FFFFFF00"/>
                </patternFill>
              </fill>
            </x14:dxf>
          </x14:cfRule>
          <xm:sqref>BF185:BT185</xm:sqref>
        </x14:conditionalFormatting>
        <x14:conditionalFormatting xmlns:xm="http://schemas.microsoft.com/office/excel/2006/main">
          <x14:cfRule type="expression" priority="4701921" id="{6A5FADC6-9512-4EFB-90A5-7B5244D10D1F}">
            <xm:f>$BT$4='Data entry'!$R66</xm:f>
            <x14:dxf>
              <fill>
                <patternFill>
                  <bgColor rgb="FFFF0000"/>
                </patternFill>
              </fill>
            </x14:dxf>
          </x14:cfRule>
          <xm:sqref>BR186:CC186</xm:sqref>
        </x14:conditionalFormatting>
        <x14:conditionalFormatting xmlns:xm="http://schemas.microsoft.com/office/excel/2006/main">
          <x14:cfRule type="expression" priority="4701922" id="{A51139D1-8841-4B96-B8CB-DFE3808765CF}">
            <xm:f>$BU$4='Data entry'!$R66</xm:f>
            <x14:dxf>
              <fill>
                <patternFill>
                  <bgColor rgb="FFFFFF00"/>
                </patternFill>
              </fill>
            </x14:dxf>
          </x14:cfRule>
          <xm:sqref>BG185:BU185</xm:sqref>
        </x14:conditionalFormatting>
        <x14:conditionalFormatting xmlns:xm="http://schemas.microsoft.com/office/excel/2006/main">
          <x14:cfRule type="expression" priority="4701923" id="{55CA7258-760F-4BFF-ACB5-A70FEB3E7981}">
            <xm:f>$BU$4='Data entry'!$R66</xm:f>
            <x14:dxf>
              <fill>
                <patternFill>
                  <bgColor rgb="FFFF0000"/>
                </patternFill>
              </fill>
            </x14:dxf>
          </x14:cfRule>
          <xm:sqref>BS186:CC186</xm:sqref>
        </x14:conditionalFormatting>
        <x14:conditionalFormatting xmlns:xm="http://schemas.microsoft.com/office/excel/2006/main">
          <x14:cfRule type="expression" priority="4701924" id="{A922B218-64DB-4CBB-9AB8-FE0EBB44E09E}">
            <xm:f>$BV$4='Data entry'!$R66</xm:f>
            <x14:dxf>
              <fill>
                <patternFill>
                  <bgColor rgb="FFFFFF00"/>
                </patternFill>
              </fill>
            </x14:dxf>
          </x14:cfRule>
          <xm:sqref>BH185:BV185</xm:sqref>
        </x14:conditionalFormatting>
        <x14:conditionalFormatting xmlns:xm="http://schemas.microsoft.com/office/excel/2006/main">
          <x14:cfRule type="expression" priority="4701925" id="{C98E908A-CD31-4778-B41C-7AFB9DBE639A}">
            <xm:f>$BV$4='Data entry'!$R66</xm:f>
            <x14:dxf>
              <fill>
                <patternFill>
                  <bgColor rgb="FFFF0000"/>
                </patternFill>
              </fill>
            </x14:dxf>
          </x14:cfRule>
          <xm:sqref>BT186:CC186</xm:sqref>
        </x14:conditionalFormatting>
        <x14:conditionalFormatting xmlns:xm="http://schemas.microsoft.com/office/excel/2006/main">
          <x14:cfRule type="expression" priority="4701926" id="{465CCCA3-B4DB-4B61-8AC7-8A5E4CEC9E3F}">
            <xm:f>$BW$4='Data entry'!$R66</xm:f>
            <x14:dxf>
              <fill>
                <patternFill>
                  <bgColor rgb="FFFFFF00"/>
                </patternFill>
              </fill>
            </x14:dxf>
          </x14:cfRule>
          <xm:sqref>BI185:BW185</xm:sqref>
        </x14:conditionalFormatting>
        <x14:conditionalFormatting xmlns:xm="http://schemas.microsoft.com/office/excel/2006/main">
          <x14:cfRule type="expression" priority="4701927" id="{37566F97-6D06-400B-A709-FE657B07687F}">
            <xm:f>$BW$4='Data entry'!$R66</xm:f>
            <x14:dxf>
              <fill>
                <patternFill>
                  <bgColor rgb="FFFF0000"/>
                </patternFill>
              </fill>
            </x14:dxf>
          </x14:cfRule>
          <xm:sqref>BU186:CC186</xm:sqref>
        </x14:conditionalFormatting>
        <x14:conditionalFormatting xmlns:xm="http://schemas.microsoft.com/office/excel/2006/main">
          <x14:cfRule type="expression" priority="4701928" id="{D8FBA3AC-5CF0-4E45-97CA-1D4DEE729ADA}">
            <xm:f>$BX$4='Data entry'!$R66</xm:f>
            <x14:dxf>
              <fill>
                <patternFill>
                  <bgColor rgb="FFFFFF00"/>
                </patternFill>
              </fill>
            </x14:dxf>
          </x14:cfRule>
          <xm:sqref>BJ185:BX185</xm:sqref>
        </x14:conditionalFormatting>
        <x14:conditionalFormatting xmlns:xm="http://schemas.microsoft.com/office/excel/2006/main">
          <x14:cfRule type="expression" priority="4701929" id="{E077C84B-A94F-431D-B232-4AFCC7C64F54}">
            <xm:f>$BX$4='Data entry'!$R66</xm:f>
            <x14:dxf>
              <fill>
                <patternFill>
                  <bgColor rgb="FFFF0000"/>
                </patternFill>
              </fill>
            </x14:dxf>
          </x14:cfRule>
          <xm:sqref>BV186:CC186</xm:sqref>
        </x14:conditionalFormatting>
        <x14:conditionalFormatting xmlns:xm="http://schemas.microsoft.com/office/excel/2006/main">
          <x14:cfRule type="expression" priority="4701930" id="{63783BA8-0C97-4A44-86FD-7A2BCF1B9957}">
            <xm:f>$BY$4='Data entry'!$R66</xm:f>
            <x14:dxf>
              <fill>
                <patternFill>
                  <bgColor rgb="FFFFFF00"/>
                </patternFill>
              </fill>
            </x14:dxf>
          </x14:cfRule>
          <xm:sqref>BK185:BY185</xm:sqref>
        </x14:conditionalFormatting>
        <x14:conditionalFormatting xmlns:xm="http://schemas.microsoft.com/office/excel/2006/main">
          <x14:cfRule type="expression" priority="4701931" id="{BB8DB8B4-B71B-46D2-AEE7-346F16103F74}">
            <xm:f>$BY$4='Data entry'!$R66</xm:f>
            <x14:dxf>
              <fill>
                <patternFill>
                  <bgColor rgb="FFFF0000"/>
                </patternFill>
              </fill>
            </x14:dxf>
          </x14:cfRule>
          <xm:sqref>BW186:CC186</xm:sqref>
        </x14:conditionalFormatting>
        <x14:conditionalFormatting xmlns:xm="http://schemas.microsoft.com/office/excel/2006/main">
          <x14:cfRule type="expression" priority="4701932" id="{1B638B98-2B06-4FEB-90C1-446A3E0A3979}">
            <xm:f>$BZ$4='Data entry'!$R66</xm:f>
            <x14:dxf>
              <fill>
                <patternFill>
                  <bgColor rgb="FFFFFF00"/>
                </patternFill>
              </fill>
            </x14:dxf>
          </x14:cfRule>
          <xm:sqref>BL185:BZ185</xm:sqref>
        </x14:conditionalFormatting>
        <x14:conditionalFormatting xmlns:xm="http://schemas.microsoft.com/office/excel/2006/main">
          <x14:cfRule type="expression" priority="4701933" id="{D3A0A2F8-D1B2-4DC5-B2A9-0EF53074E685}">
            <xm:f>$BZ$4='Data entry'!$R66</xm:f>
            <x14:dxf>
              <fill>
                <patternFill>
                  <bgColor rgb="FFFF0000"/>
                </patternFill>
              </fill>
            </x14:dxf>
          </x14:cfRule>
          <xm:sqref>BX186:CC186</xm:sqref>
        </x14:conditionalFormatting>
        <x14:conditionalFormatting xmlns:xm="http://schemas.microsoft.com/office/excel/2006/main">
          <x14:cfRule type="expression" priority="4701934" id="{83F6D018-7D3B-4D33-9998-11572F2F2FF5}">
            <xm:f>$CA$4='Data entry'!$R66</xm:f>
            <x14:dxf>
              <fill>
                <patternFill>
                  <bgColor rgb="FFFFFF00"/>
                </patternFill>
              </fill>
            </x14:dxf>
          </x14:cfRule>
          <xm:sqref>BM185:CA185</xm:sqref>
        </x14:conditionalFormatting>
        <x14:conditionalFormatting xmlns:xm="http://schemas.microsoft.com/office/excel/2006/main">
          <x14:cfRule type="expression" priority="4701935" id="{8E6D0B51-5626-4ED9-9072-C7A2C139704F}">
            <xm:f>$CA$4='Data entry'!$R66</xm:f>
            <x14:dxf>
              <fill>
                <patternFill>
                  <bgColor rgb="FFFF0000"/>
                </patternFill>
              </fill>
            </x14:dxf>
          </x14:cfRule>
          <xm:sqref>BY186:CC186</xm:sqref>
        </x14:conditionalFormatting>
        <x14:conditionalFormatting xmlns:xm="http://schemas.microsoft.com/office/excel/2006/main">
          <x14:cfRule type="expression" priority="4701936" id="{E1886EE4-3BDE-43A9-9F4B-79377FEC37FE}">
            <xm:f>$CB$4='Data entry'!$R66</xm:f>
            <x14:dxf>
              <fill>
                <patternFill>
                  <bgColor rgb="FFFFFF00"/>
                </patternFill>
              </fill>
            </x14:dxf>
          </x14:cfRule>
          <xm:sqref>BN185:CB185</xm:sqref>
        </x14:conditionalFormatting>
        <x14:conditionalFormatting xmlns:xm="http://schemas.microsoft.com/office/excel/2006/main">
          <x14:cfRule type="expression" priority="4701937" id="{ADEF572A-6C18-4602-BB86-01C96D36E07E}">
            <xm:f>$CB$4='Data entry'!$R66</xm:f>
            <x14:dxf>
              <fill>
                <patternFill>
                  <bgColor rgb="FFFF0000"/>
                </patternFill>
              </fill>
            </x14:dxf>
          </x14:cfRule>
          <xm:sqref>BZ186:CC186</xm:sqref>
        </x14:conditionalFormatting>
        <x14:conditionalFormatting xmlns:xm="http://schemas.microsoft.com/office/excel/2006/main">
          <x14:cfRule type="expression" priority="4701938" id="{7984E1C9-E073-4955-8543-62145CB6D008}">
            <xm:f>$CC$4='Data entry'!$R66</xm:f>
            <x14:dxf>
              <fill>
                <patternFill>
                  <bgColor rgb="FFFFFF00"/>
                </patternFill>
              </fill>
            </x14:dxf>
          </x14:cfRule>
          <xm:sqref>BO185:CC185</xm:sqref>
        </x14:conditionalFormatting>
        <x14:conditionalFormatting xmlns:xm="http://schemas.microsoft.com/office/excel/2006/main">
          <x14:cfRule type="expression" priority="4701939" id="{18A957B3-59FA-4698-BA92-2A208FF18E2F}">
            <xm:f>$CC$4='Data entry'!$R66</xm:f>
            <x14:dxf>
              <fill>
                <patternFill>
                  <bgColor rgb="FFFF0000"/>
                </patternFill>
              </fill>
            </x14:dxf>
          </x14:cfRule>
          <xm:sqref>CA186:CC186</xm:sqref>
        </x14:conditionalFormatting>
        <x14:conditionalFormatting xmlns:xm="http://schemas.microsoft.com/office/excel/2006/main">
          <x14:cfRule type="expression" priority="4702026" id="{5B0DB825-B7C2-40AC-B7EF-F267F054CFB9}">
            <xm:f>$U$4='Data entry'!$R67</xm:f>
            <x14:dxf>
              <fill>
                <patternFill>
                  <bgColor rgb="FFFF0000"/>
                </patternFill>
              </fill>
            </x14:dxf>
          </x14:cfRule>
          <xm:sqref>S189:AE189</xm:sqref>
        </x14:conditionalFormatting>
        <x14:conditionalFormatting xmlns:xm="http://schemas.microsoft.com/office/excel/2006/main">
          <x14:cfRule type="expression" priority="4702027" id="{18311200-E2BB-400F-B594-3B9A2C6068C2}">
            <xm:f>$V$4='Data entry'!$R67</xm:f>
            <x14:dxf>
              <fill>
                <patternFill>
                  <bgColor rgb="FFFF0000"/>
                </patternFill>
              </fill>
            </x14:dxf>
          </x14:cfRule>
          <xm:sqref>T189:AF189</xm:sqref>
        </x14:conditionalFormatting>
        <x14:conditionalFormatting xmlns:xm="http://schemas.microsoft.com/office/excel/2006/main">
          <x14:cfRule type="expression" priority="4702028" id="{D6DFB621-1A58-4C59-A987-ECAD0EB2D32B}">
            <xm:f>$V$4='Data entry'!$R67</xm:f>
            <x14:dxf>
              <fill>
                <patternFill>
                  <bgColor rgb="FFFFFF00"/>
                </patternFill>
              </fill>
            </x14:dxf>
          </x14:cfRule>
          <xm:sqref>H188:V188</xm:sqref>
        </x14:conditionalFormatting>
        <x14:conditionalFormatting xmlns:xm="http://schemas.microsoft.com/office/excel/2006/main">
          <x14:cfRule type="expression" priority="4702029" id="{5F87A680-DC5F-433D-A779-B7A534ACCDA9}">
            <xm:f>$W$4='Data entry'!$R67</xm:f>
            <x14:dxf>
              <fill>
                <patternFill>
                  <bgColor rgb="FFFF0000"/>
                </patternFill>
              </fill>
            </x14:dxf>
          </x14:cfRule>
          <xm:sqref>U189:AG189</xm:sqref>
        </x14:conditionalFormatting>
        <x14:conditionalFormatting xmlns:xm="http://schemas.microsoft.com/office/excel/2006/main">
          <x14:cfRule type="expression" priority="4702030" id="{964539FF-A92C-4F68-B268-B7157A32678C}">
            <xm:f>$W$4='Data entry'!$R67</xm:f>
            <x14:dxf>
              <fill>
                <patternFill>
                  <bgColor rgb="FFFFFF00"/>
                </patternFill>
              </fill>
            </x14:dxf>
          </x14:cfRule>
          <xm:sqref>I188:W188</xm:sqref>
        </x14:conditionalFormatting>
        <x14:conditionalFormatting xmlns:xm="http://schemas.microsoft.com/office/excel/2006/main">
          <x14:cfRule type="expression" priority="4702031" id="{46C1533A-F090-4A90-9309-3F59EC3FD3B0}">
            <xm:f>$X$4='Data entry'!$R67</xm:f>
            <x14:dxf>
              <fill>
                <patternFill>
                  <bgColor rgb="FFFF0000"/>
                </patternFill>
              </fill>
            </x14:dxf>
          </x14:cfRule>
          <xm:sqref>V189:AH189</xm:sqref>
        </x14:conditionalFormatting>
        <x14:conditionalFormatting xmlns:xm="http://schemas.microsoft.com/office/excel/2006/main">
          <x14:cfRule type="expression" priority="4702032" id="{7C70E81C-DDD4-4D75-933A-4F6A39893184}">
            <xm:f>$X$4='Data entry'!$R67</xm:f>
            <x14:dxf>
              <fill>
                <patternFill>
                  <bgColor rgb="FFFFFF00"/>
                </patternFill>
              </fill>
            </x14:dxf>
          </x14:cfRule>
          <xm:sqref>J188:X188</xm:sqref>
        </x14:conditionalFormatting>
        <x14:conditionalFormatting xmlns:xm="http://schemas.microsoft.com/office/excel/2006/main">
          <x14:cfRule type="expression" priority="4702033" id="{561AF073-0EF8-4B72-A119-40A639C4359D}">
            <xm:f>$Y$4='Data entry'!$R67</xm:f>
            <x14:dxf>
              <fill>
                <patternFill>
                  <bgColor rgb="FFFF0000"/>
                </patternFill>
              </fill>
            </x14:dxf>
          </x14:cfRule>
          <xm:sqref>W189:AI189</xm:sqref>
        </x14:conditionalFormatting>
        <x14:conditionalFormatting xmlns:xm="http://schemas.microsoft.com/office/excel/2006/main">
          <x14:cfRule type="expression" priority="4702034" id="{F242E808-8F07-4A89-9524-7D4C767CE357}">
            <xm:f>$Y$4='Data entry'!$R67</xm:f>
            <x14:dxf>
              <fill>
                <patternFill>
                  <bgColor rgb="FFFFFF00"/>
                </patternFill>
              </fill>
            </x14:dxf>
          </x14:cfRule>
          <xm:sqref>K188:Y188</xm:sqref>
        </x14:conditionalFormatting>
        <x14:conditionalFormatting xmlns:xm="http://schemas.microsoft.com/office/excel/2006/main">
          <x14:cfRule type="expression" priority="4702035" id="{DD601058-982B-4218-BD9D-64BB823C2633}">
            <xm:f>$Z$4='Data entry'!$R67</xm:f>
            <x14:dxf>
              <fill>
                <patternFill>
                  <bgColor rgb="FFFF0000"/>
                </patternFill>
              </fill>
            </x14:dxf>
          </x14:cfRule>
          <xm:sqref>X189:AJ189</xm:sqref>
        </x14:conditionalFormatting>
        <x14:conditionalFormatting xmlns:xm="http://schemas.microsoft.com/office/excel/2006/main">
          <x14:cfRule type="expression" priority="4702036" id="{C9DB141D-79F6-4093-92A3-7BF7A1622985}">
            <xm:f>$Z$4='Data entry'!$R67</xm:f>
            <x14:dxf>
              <fill>
                <patternFill>
                  <bgColor rgb="FFFFFF00"/>
                </patternFill>
              </fill>
            </x14:dxf>
          </x14:cfRule>
          <xm:sqref>L188:Z188</xm:sqref>
        </x14:conditionalFormatting>
        <x14:conditionalFormatting xmlns:xm="http://schemas.microsoft.com/office/excel/2006/main">
          <x14:cfRule type="expression" priority="4702037" id="{710EB8D3-F5C0-4E3C-8214-2D0C4E26F649}">
            <xm:f>$AA$4='Data entry'!$R67</xm:f>
            <x14:dxf>
              <fill>
                <patternFill>
                  <bgColor rgb="FFFF0000"/>
                </patternFill>
              </fill>
            </x14:dxf>
          </x14:cfRule>
          <xm:sqref>Y189:AK189</xm:sqref>
        </x14:conditionalFormatting>
        <x14:conditionalFormatting xmlns:xm="http://schemas.microsoft.com/office/excel/2006/main">
          <x14:cfRule type="expression" priority="4702038" id="{33825D69-C967-4D27-B395-5D44A3083802}">
            <xm:f>$AA$4='Data entry'!$R67</xm:f>
            <x14:dxf>
              <fill>
                <patternFill>
                  <bgColor rgb="FFFFFF00"/>
                </patternFill>
              </fill>
            </x14:dxf>
          </x14:cfRule>
          <xm:sqref>M188:AA188</xm:sqref>
        </x14:conditionalFormatting>
        <x14:conditionalFormatting xmlns:xm="http://schemas.microsoft.com/office/excel/2006/main">
          <x14:cfRule type="expression" priority="4702039" id="{9811A97D-351B-4D32-8754-AF433277E62B}">
            <xm:f>$AB$4='Data entry'!$R67</xm:f>
            <x14:dxf>
              <fill>
                <patternFill>
                  <bgColor rgb="FFFF0000"/>
                </patternFill>
              </fill>
            </x14:dxf>
          </x14:cfRule>
          <xm:sqref>Z189:AL189</xm:sqref>
        </x14:conditionalFormatting>
        <x14:conditionalFormatting xmlns:xm="http://schemas.microsoft.com/office/excel/2006/main">
          <x14:cfRule type="expression" priority="4702040" id="{6DD3E556-C72E-438B-92DA-3096ED1E4178}">
            <xm:f>$AB$4='Data entry'!$R67</xm:f>
            <x14:dxf>
              <fill>
                <patternFill>
                  <bgColor rgb="FFFFFF00"/>
                </patternFill>
              </fill>
            </x14:dxf>
          </x14:cfRule>
          <xm:sqref>N188:AB188</xm:sqref>
        </x14:conditionalFormatting>
        <x14:conditionalFormatting xmlns:xm="http://schemas.microsoft.com/office/excel/2006/main">
          <x14:cfRule type="expression" priority="4702041" id="{C0DF7A1B-D6BC-4371-BD3A-F0708147FA1C}">
            <xm:f>$AC$4='Data entry'!$R67</xm:f>
            <x14:dxf>
              <fill>
                <patternFill>
                  <bgColor rgb="FFFF0000"/>
                </patternFill>
              </fill>
            </x14:dxf>
          </x14:cfRule>
          <xm:sqref>AA189:AM189</xm:sqref>
        </x14:conditionalFormatting>
        <x14:conditionalFormatting xmlns:xm="http://schemas.microsoft.com/office/excel/2006/main">
          <x14:cfRule type="expression" priority="4702042" id="{DB2E1F48-AF0E-41F9-A976-6B1963CA5711}">
            <xm:f>$AC$4='Data entry'!$R67</xm:f>
            <x14:dxf>
              <fill>
                <patternFill>
                  <bgColor rgb="FFFFFF00"/>
                </patternFill>
              </fill>
            </x14:dxf>
          </x14:cfRule>
          <xm:sqref>O188:AC188</xm:sqref>
        </x14:conditionalFormatting>
        <x14:conditionalFormatting xmlns:xm="http://schemas.microsoft.com/office/excel/2006/main">
          <x14:cfRule type="expression" priority="4702043" id="{89909907-F9A9-4AF9-BC1D-304710A43F50}">
            <xm:f>$AD$4='Data entry'!$R67</xm:f>
            <x14:dxf>
              <fill>
                <patternFill>
                  <bgColor rgb="FFFF0000"/>
                </patternFill>
              </fill>
            </x14:dxf>
          </x14:cfRule>
          <xm:sqref>AB189:AN189</xm:sqref>
        </x14:conditionalFormatting>
        <x14:conditionalFormatting xmlns:xm="http://schemas.microsoft.com/office/excel/2006/main">
          <x14:cfRule type="expression" priority="4702044" id="{729676B7-E331-43A4-ACC9-850DCEE76A0E}">
            <xm:f>$AD$4='Data entry'!$R67</xm:f>
            <x14:dxf>
              <fill>
                <patternFill>
                  <bgColor rgb="FFFFFF00"/>
                </patternFill>
              </fill>
            </x14:dxf>
          </x14:cfRule>
          <xm:sqref>P188:AD188</xm:sqref>
        </x14:conditionalFormatting>
        <x14:conditionalFormatting xmlns:xm="http://schemas.microsoft.com/office/excel/2006/main">
          <x14:cfRule type="expression" priority="4702045" id="{00DA2C55-350E-44AA-ABEA-808FABFDA737}">
            <xm:f>$AE$4='Data entry'!$R67</xm:f>
            <x14:dxf>
              <fill>
                <patternFill>
                  <bgColor rgb="FFFF0000"/>
                </patternFill>
              </fill>
            </x14:dxf>
          </x14:cfRule>
          <xm:sqref>AC189:AO189</xm:sqref>
        </x14:conditionalFormatting>
        <x14:conditionalFormatting xmlns:xm="http://schemas.microsoft.com/office/excel/2006/main">
          <x14:cfRule type="expression" priority="4702046" id="{373C95F1-00C1-45E9-B561-5224945BA4A4}">
            <xm:f>$AE$4='Data entry'!$R67</xm:f>
            <x14:dxf>
              <fill>
                <patternFill>
                  <bgColor rgb="FFFFFF00"/>
                </patternFill>
              </fill>
            </x14:dxf>
          </x14:cfRule>
          <xm:sqref>Q188:AE188</xm:sqref>
        </x14:conditionalFormatting>
        <x14:conditionalFormatting xmlns:xm="http://schemas.microsoft.com/office/excel/2006/main">
          <x14:cfRule type="expression" priority="4702047" id="{65E90E74-6BEF-4B00-BD5E-ECACFEBC225A}">
            <xm:f>$AF$4='Data entry'!$R67</xm:f>
            <x14:dxf>
              <fill>
                <patternFill>
                  <bgColor rgb="FFFF0000"/>
                </patternFill>
              </fill>
            </x14:dxf>
          </x14:cfRule>
          <xm:sqref>AD189:AP189</xm:sqref>
        </x14:conditionalFormatting>
        <x14:conditionalFormatting xmlns:xm="http://schemas.microsoft.com/office/excel/2006/main">
          <x14:cfRule type="expression" priority="4702048" id="{56B519D7-E083-4811-B42B-D6CB10D44BB3}">
            <xm:f>$AF$4='Data entry'!$R67</xm:f>
            <x14:dxf>
              <fill>
                <patternFill>
                  <bgColor rgb="FFFFFF00"/>
                </patternFill>
              </fill>
            </x14:dxf>
          </x14:cfRule>
          <xm:sqref>R188:AF188</xm:sqref>
        </x14:conditionalFormatting>
        <x14:conditionalFormatting xmlns:xm="http://schemas.microsoft.com/office/excel/2006/main">
          <x14:cfRule type="expression" priority="4702049" id="{889682B6-BF9B-414B-86B7-1C802156B058}">
            <xm:f>$AG$4='Data entry'!$R67</xm:f>
            <x14:dxf>
              <fill>
                <patternFill>
                  <bgColor rgb="FFFF0000"/>
                </patternFill>
              </fill>
            </x14:dxf>
          </x14:cfRule>
          <xm:sqref>AE189:AQ189</xm:sqref>
        </x14:conditionalFormatting>
        <x14:conditionalFormatting xmlns:xm="http://schemas.microsoft.com/office/excel/2006/main">
          <x14:cfRule type="expression" priority="4702050" id="{19913D88-1940-4CB0-B29C-D46D60833BD5}">
            <xm:f>$AG$4='Data entry'!$R67</xm:f>
            <x14:dxf>
              <fill>
                <patternFill>
                  <bgColor rgb="FFFFFF00"/>
                </patternFill>
              </fill>
            </x14:dxf>
          </x14:cfRule>
          <xm:sqref>S188:AG188</xm:sqref>
        </x14:conditionalFormatting>
        <x14:conditionalFormatting xmlns:xm="http://schemas.microsoft.com/office/excel/2006/main">
          <x14:cfRule type="expression" priority="4702051" id="{3DD7B9A5-18A3-463F-BAD5-9796FC487328}">
            <xm:f>$AH$4='Data entry'!$R67</xm:f>
            <x14:dxf>
              <fill>
                <patternFill>
                  <bgColor rgb="FFFF0000"/>
                </patternFill>
              </fill>
            </x14:dxf>
          </x14:cfRule>
          <xm:sqref>AF189:AR189</xm:sqref>
        </x14:conditionalFormatting>
        <x14:conditionalFormatting xmlns:xm="http://schemas.microsoft.com/office/excel/2006/main">
          <x14:cfRule type="expression" priority="4702052" id="{31005CF4-5608-496E-91EB-F7F505046C80}">
            <xm:f>$AH$4='Data entry'!$R67</xm:f>
            <x14:dxf>
              <fill>
                <patternFill>
                  <bgColor rgb="FFFFFF00"/>
                </patternFill>
              </fill>
            </x14:dxf>
          </x14:cfRule>
          <xm:sqref>T188:AH188</xm:sqref>
        </x14:conditionalFormatting>
        <x14:conditionalFormatting xmlns:xm="http://schemas.microsoft.com/office/excel/2006/main">
          <x14:cfRule type="expression" priority="4702053" id="{CD14F654-5B7A-444F-8FC1-7DD71E76E475}">
            <xm:f>$AI$4='Data entry'!$R67</xm:f>
            <x14:dxf>
              <fill>
                <patternFill>
                  <bgColor rgb="FFFF0000"/>
                </patternFill>
              </fill>
            </x14:dxf>
          </x14:cfRule>
          <xm:sqref>AG189:AS189</xm:sqref>
        </x14:conditionalFormatting>
        <x14:conditionalFormatting xmlns:xm="http://schemas.microsoft.com/office/excel/2006/main">
          <x14:cfRule type="expression" priority="4702054" id="{0E4E448C-6C46-4285-B877-A61A90294385}">
            <xm:f>$AI$4='Data entry'!$R67</xm:f>
            <x14:dxf>
              <fill>
                <patternFill>
                  <bgColor rgb="FFFFFF00"/>
                </patternFill>
              </fill>
            </x14:dxf>
          </x14:cfRule>
          <xm:sqref>U188:AI188</xm:sqref>
        </x14:conditionalFormatting>
        <x14:conditionalFormatting xmlns:xm="http://schemas.microsoft.com/office/excel/2006/main">
          <x14:cfRule type="expression" priority="4702055" id="{B1C1818F-791C-403D-BE73-6F6E9DC6A16D}">
            <xm:f>$AJ$4='Data entry'!$R67</xm:f>
            <x14:dxf>
              <fill>
                <patternFill>
                  <bgColor rgb="FFFF0000"/>
                </patternFill>
              </fill>
            </x14:dxf>
          </x14:cfRule>
          <xm:sqref>AH189:AT189</xm:sqref>
        </x14:conditionalFormatting>
        <x14:conditionalFormatting xmlns:xm="http://schemas.microsoft.com/office/excel/2006/main">
          <x14:cfRule type="expression" priority="4702056" id="{A1237792-221B-431B-B8A7-E9A64DA46D93}">
            <xm:f>$AJ$4='Data entry'!$R67</xm:f>
            <x14:dxf>
              <fill>
                <patternFill>
                  <bgColor rgb="FFFFFF00"/>
                </patternFill>
              </fill>
            </x14:dxf>
          </x14:cfRule>
          <xm:sqref>V188:AJ188</xm:sqref>
        </x14:conditionalFormatting>
        <x14:conditionalFormatting xmlns:xm="http://schemas.microsoft.com/office/excel/2006/main">
          <x14:cfRule type="expression" priority="4702057" id="{617DC2AF-C7A3-4724-8EA3-17DEFEDC8949}">
            <xm:f>$AK$4='Data entry'!$R67</xm:f>
            <x14:dxf>
              <fill>
                <patternFill>
                  <bgColor rgb="FFFF0000"/>
                </patternFill>
              </fill>
            </x14:dxf>
          </x14:cfRule>
          <xm:sqref>AI189:AU189</xm:sqref>
        </x14:conditionalFormatting>
        <x14:conditionalFormatting xmlns:xm="http://schemas.microsoft.com/office/excel/2006/main">
          <x14:cfRule type="expression" priority="4702058" id="{AA72317D-37B1-48EB-A28B-BF2AC8DC4519}">
            <xm:f>$AK$4='Data entry'!$R67</xm:f>
            <x14:dxf>
              <fill>
                <patternFill>
                  <bgColor rgb="FFFFFF00"/>
                </patternFill>
              </fill>
            </x14:dxf>
          </x14:cfRule>
          <xm:sqref>W188:AK188</xm:sqref>
        </x14:conditionalFormatting>
        <x14:conditionalFormatting xmlns:xm="http://schemas.microsoft.com/office/excel/2006/main">
          <x14:cfRule type="expression" priority="4702059" id="{6CA9FB7A-20EA-4D3A-B74C-A001F4BE810D}">
            <xm:f>$AL$4='Data entry'!$R67</xm:f>
            <x14:dxf>
              <fill>
                <patternFill>
                  <bgColor rgb="FFFF0000"/>
                </patternFill>
              </fill>
            </x14:dxf>
          </x14:cfRule>
          <xm:sqref>AJ189:AV189</xm:sqref>
        </x14:conditionalFormatting>
        <x14:conditionalFormatting xmlns:xm="http://schemas.microsoft.com/office/excel/2006/main">
          <x14:cfRule type="expression" priority="4702060" id="{81A75DAA-573F-4EF3-A640-1B992C18BEA0}">
            <xm:f>$AL$4='Data entry'!$R67</xm:f>
            <x14:dxf>
              <fill>
                <patternFill>
                  <bgColor rgb="FFFFFF00"/>
                </patternFill>
              </fill>
            </x14:dxf>
          </x14:cfRule>
          <xm:sqref>X188:AL188</xm:sqref>
        </x14:conditionalFormatting>
        <x14:conditionalFormatting xmlns:xm="http://schemas.microsoft.com/office/excel/2006/main">
          <x14:cfRule type="expression" priority="4702061" id="{3D44713E-4ABA-4CCD-9DF4-5513A9FB5E1E}">
            <xm:f>$AM$4='Data entry'!$R67</xm:f>
            <x14:dxf>
              <fill>
                <patternFill>
                  <bgColor rgb="FFFF0000"/>
                </patternFill>
              </fill>
            </x14:dxf>
          </x14:cfRule>
          <xm:sqref>AK189:AW189</xm:sqref>
        </x14:conditionalFormatting>
        <x14:conditionalFormatting xmlns:xm="http://schemas.microsoft.com/office/excel/2006/main">
          <x14:cfRule type="expression" priority="4702062" id="{05A26B51-72A7-4423-822F-2BDBC28275D0}">
            <xm:f>$AM$4='Data entry'!$R67</xm:f>
            <x14:dxf>
              <fill>
                <patternFill>
                  <bgColor rgb="FFFFFF00"/>
                </patternFill>
              </fill>
            </x14:dxf>
          </x14:cfRule>
          <xm:sqref>Y188:AM188</xm:sqref>
        </x14:conditionalFormatting>
        <x14:conditionalFormatting xmlns:xm="http://schemas.microsoft.com/office/excel/2006/main">
          <x14:cfRule type="expression" priority="4702063" id="{B8A20675-6230-4694-A7F6-6B3DC7142773}">
            <xm:f>$AN$4='Data entry'!$R67</xm:f>
            <x14:dxf>
              <fill>
                <patternFill>
                  <bgColor rgb="FFFF0000"/>
                </patternFill>
              </fill>
            </x14:dxf>
          </x14:cfRule>
          <xm:sqref>AL189:AX189</xm:sqref>
        </x14:conditionalFormatting>
        <x14:conditionalFormatting xmlns:xm="http://schemas.microsoft.com/office/excel/2006/main">
          <x14:cfRule type="expression" priority="4702064" id="{8421181C-7450-42E9-BC1D-065CCFCA960E}">
            <xm:f>$AN$4='Data entry'!$R67</xm:f>
            <x14:dxf>
              <fill>
                <patternFill>
                  <bgColor rgb="FFFFFF00"/>
                </patternFill>
              </fill>
            </x14:dxf>
          </x14:cfRule>
          <xm:sqref>Z188:AN188</xm:sqref>
        </x14:conditionalFormatting>
        <x14:conditionalFormatting xmlns:xm="http://schemas.microsoft.com/office/excel/2006/main">
          <x14:cfRule type="expression" priority="4702065" id="{067FE4BD-6EF4-4684-B6E0-35AB2F267EE7}">
            <xm:f>$AO$4='Data entry'!$R67</xm:f>
            <x14:dxf>
              <fill>
                <patternFill>
                  <bgColor rgb="FFFF0000"/>
                </patternFill>
              </fill>
            </x14:dxf>
          </x14:cfRule>
          <xm:sqref>AM189:AY189</xm:sqref>
        </x14:conditionalFormatting>
        <x14:conditionalFormatting xmlns:xm="http://schemas.microsoft.com/office/excel/2006/main">
          <x14:cfRule type="expression" priority="4702066" id="{F7653492-88D1-47AC-8BA3-0CCE65C3C2AB}">
            <xm:f>$AO$4='Data entry'!$R67</xm:f>
            <x14:dxf>
              <fill>
                <patternFill>
                  <bgColor rgb="FFFFFF00"/>
                </patternFill>
              </fill>
            </x14:dxf>
          </x14:cfRule>
          <xm:sqref>AA188:AO188</xm:sqref>
        </x14:conditionalFormatting>
        <x14:conditionalFormatting xmlns:xm="http://schemas.microsoft.com/office/excel/2006/main">
          <x14:cfRule type="expression" priority="4702067" id="{207A5E5D-B322-482E-9193-1D7318138358}">
            <xm:f>$AP$4='Data entry'!$R67</xm:f>
            <x14:dxf>
              <fill>
                <patternFill>
                  <bgColor rgb="FFFF0000"/>
                </patternFill>
              </fill>
            </x14:dxf>
          </x14:cfRule>
          <xm:sqref>AN189:AZ189</xm:sqref>
        </x14:conditionalFormatting>
        <x14:conditionalFormatting xmlns:xm="http://schemas.microsoft.com/office/excel/2006/main">
          <x14:cfRule type="expression" priority="4702068" id="{21DA638D-4CA0-4067-BFF1-240CE1A0261B}">
            <xm:f>$AP$4='Data entry'!$R67</xm:f>
            <x14:dxf>
              <fill>
                <patternFill>
                  <bgColor rgb="FFFFFF00"/>
                </patternFill>
              </fill>
            </x14:dxf>
          </x14:cfRule>
          <xm:sqref>AB188:AP188</xm:sqref>
        </x14:conditionalFormatting>
        <x14:conditionalFormatting xmlns:xm="http://schemas.microsoft.com/office/excel/2006/main">
          <x14:cfRule type="expression" priority="4702069" id="{71963D96-A42A-4B90-BFC7-6D83D37766EF}">
            <xm:f>$AQ$4='Data entry'!$R67</xm:f>
            <x14:dxf>
              <fill>
                <patternFill>
                  <bgColor rgb="FFFF0000"/>
                </patternFill>
              </fill>
            </x14:dxf>
          </x14:cfRule>
          <xm:sqref>AO189:BA189</xm:sqref>
        </x14:conditionalFormatting>
        <x14:conditionalFormatting xmlns:xm="http://schemas.microsoft.com/office/excel/2006/main">
          <x14:cfRule type="expression" priority="4702070" id="{74952595-84B6-484F-8FF6-FCC1F337DF4D}">
            <xm:f>$AQ$4='Data entry'!$R67</xm:f>
            <x14:dxf>
              <fill>
                <patternFill>
                  <bgColor rgb="FFFFFF00"/>
                </patternFill>
              </fill>
            </x14:dxf>
          </x14:cfRule>
          <xm:sqref>AC188:AQ188</xm:sqref>
        </x14:conditionalFormatting>
        <x14:conditionalFormatting xmlns:xm="http://schemas.microsoft.com/office/excel/2006/main">
          <x14:cfRule type="expression" priority="4702071" id="{8AC9C4B9-0A34-4BC0-B0F7-CA89434C4911}">
            <xm:f>$P$4='Data entry'!$R67</xm:f>
            <x14:dxf>
              <fill>
                <patternFill>
                  <bgColor rgb="FFFFFF00"/>
                </patternFill>
              </fill>
            </x14:dxf>
          </x14:cfRule>
          <xm:sqref>C188:P188</xm:sqref>
        </x14:conditionalFormatting>
        <x14:conditionalFormatting xmlns:xm="http://schemas.microsoft.com/office/excel/2006/main">
          <x14:cfRule type="expression" priority="4702072" id="{0A726775-ABFD-4F22-967C-1A4D87BA3751}">
            <xm:f>$Q$4='Data entry'!$R67</xm:f>
            <x14:dxf>
              <fill>
                <patternFill>
                  <bgColor rgb="FFFFFF00"/>
                </patternFill>
              </fill>
            </x14:dxf>
          </x14:cfRule>
          <xm:sqref>C188:Q188</xm:sqref>
        </x14:conditionalFormatting>
        <x14:conditionalFormatting xmlns:xm="http://schemas.microsoft.com/office/excel/2006/main">
          <x14:cfRule type="expression" priority="4702073" id="{3A8414BD-262C-43B5-86EE-FA6901D00453}">
            <xm:f>$Q$4='Data entry'!$R67</xm:f>
            <x14:dxf>
              <fill>
                <patternFill>
                  <bgColor rgb="FFFF0000"/>
                </patternFill>
              </fill>
            </x14:dxf>
          </x14:cfRule>
          <xm:sqref>O189:AA189</xm:sqref>
        </x14:conditionalFormatting>
        <x14:conditionalFormatting xmlns:xm="http://schemas.microsoft.com/office/excel/2006/main">
          <x14:cfRule type="expression" priority="4702074" id="{B8B5501D-F3EF-4449-9306-F652960C65F4}">
            <xm:f>$R$4='Data entry'!$R67</xm:f>
            <x14:dxf>
              <fill>
                <patternFill>
                  <bgColor rgb="FFFF0000"/>
                </patternFill>
              </fill>
            </x14:dxf>
          </x14:cfRule>
          <xm:sqref>P189:AB189</xm:sqref>
        </x14:conditionalFormatting>
        <x14:conditionalFormatting xmlns:xm="http://schemas.microsoft.com/office/excel/2006/main">
          <x14:cfRule type="expression" priority="4702075" id="{5D070DEC-B82E-4D87-B907-A3E5AB836991}">
            <xm:f>$R$4='Data entry'!$R67</xm:f>
            <x14:dxf>
              <fill>
                <patternFill>
                  <bgColor rgb="FFFFFF00"/>
                </patternFill>
              </fill>
            </x14:dxf>
          </x14:cfRule>
          <xm:sqref>D188:R188</xm:sqref>
        </x14:conditionalFormatting>
        <x14:conditionalFormatting xmlns:xm="http://schemas.microsoft.com/office/excel/2006/main">
          <x14:cfRule type="expression" priority="4702076" id="{E4D16A10-F818-4664-9FB2-F0E839824D4B}">
            <xm:f>$S$4='Data entry'!$R67</xm:f>
            <x14:dxf>
              <fill>
                <patternFill>
                  <bgColor rgb="FFFF0000"/>
                </patternFill>
              </fill>
            </x14:dxf>
          </x14:cfRule>
          <xm:sqref>Q189:AC189</xm:sqref>
        </x14:conditionalFormatting>
        <x14:conditionalFormatting xmlns:xm="http://schemas.microsoft.com/office/excel/2006/main">
          <x14:cfRule type="expression" priority="4702077" id="{1A9F9911-A3E9-4730-AFBE-AB8C596545CA}">
            <xm:f>$S$4='Data entry'!$R67</xm:f>
            <x14:dxf>
              <fill>
                <patternFill>
                  <bgColor rgb="FFFFFF00"/>
                </patternFill>
              </fill>
            </x14:dxf>
          </x14:cfRule>
          <xm:sqref>E188:S188</xm:sqref>
        </x14:conditionalFormatting>
        <x14:conditionalFormatting xmlns:xm="http://schemas.microsoft.com/office/excel/2006/main">
          <x14:cfRule type="expression" priority="4702078" id="{8BB5CD1B-B2AC-442A-9550-26DE19A62D22}">
            <xm:f>$T$4='Data entry'!$R67</xm:f>
            <x14:dxf>
              <fill>
                <patternFill>
                  <bgColor rgb="FFFF0000"/>
                </patternFill>
              </fill>
            </x14:dxf>
          </x14:cfRule>
          <xm:sqref>R189:AD189</xm:sqref>
        </x14:conditionalFormatting>
        <x14:conditionalFormatting xmlns:xm="http://schemas.microsoft.com/office/excel/2006/main">
          <x14:cfRule type="expression" priority="4702079" id="{E7B59C69-7921-4049-84A1-8B3E5F7B0598}">
            <xm:f>$T$4='Data entry'!$R67</xm:f>
            <x14:dxf>
              <fill>
                <patternFill>
                  <bgColor rgb="FFFFFF00"/>
                </patternFill>
              </fill>
            </x14:dxf>
          </x14:cfRule>
          <xm:sqref>F188:T188</xm:sqref>
        </x14:conditionalFormatting>
        <x14:conditionalFormatting xmlns:xm="http://schemas.microsoft.com/office/excel/2006/main">
          <x14:cfRule type="expression" priority="4702080" id="{238C09E5-7A3D-439D-949F-A7733073F9A2}">
            <xm:f>$U$4='Data entry'!$R67</xm:f>
            <x14:dxf>
              <fill>
                <patternFill>
                  <bgColor rgb="FFFFFF00"/>
                </patternFill>
              </fill>
            </x14:dxf>
          </x14:cfRule>
          <xm:sqref>G188:U188</xm:sqref>
        </x14:conditionalFormatting>
        <x14:conditionalFormatting xmlns:xm="http://schemas.microsoft.com/office/excel/2006/main">
          <x14:cfRule type="expression" priority="4702081" id="{DE4D4432-0A19-452A-AF14-2873FE4DF411}">
            <xm:f>$AR$4='Data entry'!$R67</xm:f>
            <x14:dxf>
              <fill>
                <patternFill>
                  <bgColor rgb="FFFF0000"/>
                </patternFill>
              </fill>
            </x14:dxf>
          </x14:cfRule>
          <xm:sqref>AP189:BB189</xm:sqref>
        </x14:conditionalFormatting>
        <x14:conditionalFormatting xmlns:xm="http://schemas.microsoft.com/office/excel/2006/main">
          <x14:cfRule type="expression" priority="4702082" id="{90D7E1FF-542D-40C8-9BD5-DFEB4CDD256F}">
            <xm:f>$AR$4='Data entry'!$R67</xm:f>
            <x14:dxf>
              <fill>
                <patternFill>
                  <bgColor rgb="FFFFFF00"/>
                </patternFill>
              </fill>
            </x14:dxf>
          </x14:cfRule>
          <xm:sqref>AD188:AR188</xm:sqref>
        </x14:conditionalFormatting>
        <x14:conditionalFormatting xmlns:xm="http://schemas.microsoft.com/office/excel/2006/main">
          <x14:cfRule type="expression" priority="4702083" id="{0EBB5305-4A4A-4205-A1FF-11160070CBC3}">
            <xm:f>$AS$4='Data entry'!$R67</xm:f>
            <x14:dxf>
              <fill>
                <patternFill>
                  <bgColor rgb="FFFF0000"/>
                </patternFill>
              </fill>
            </x14:dxf>
          </x14:cfRule>
          <xm:sqref>AQ189:BC189</xm:sqref>
        </x14:conditionalFormatting>
        <x14:conditionalFormatting xmlns:xm="http://schemas.microsoft.com/office/excel/2006/main">
          <x14:cfRule type="expression" priority="4702084" id="{AC8EB30C-4253-4CE1-820E-1801F6D8D35B}">
            <xm:f>$AS$4='Data entry'!$R67</xm:f>
            <x14:dxf>
              <fill>
                <patternFill>
                  <bgColor rgb="FFFFFF00"/>
                </patternFill>
              </fill>
            </x14:dxf>
          </x14:cfRule>
          <xm:sqref>AE188:AS188</xm:sqref>
        </x14:conditionalFormatting>
        <x14:conditionalFormatting xmlns:xm="http://schemas.microsoft.com/office/excel/2006/main">
          <x14:cfRule type="expression" priority="4702085" id="{E11744C1-7201-4272-A1B0-945490B42425}">
            <xm:f>$AT$4='Data entry'!$R67</xm:f>
            <x14:dxf>
              <fill>
                <patternFill>
                  <bgColor rgb="FFFF0000"/>
                </patternFill>
              </fill>
            </x14:dxf>
          </x14:cfRule>
          <xm:sqref>AR189:BD189</xm:sqref>
        </x14:conditionalFormatting>
        <x14:conditionalFormatting xmlns:xm="http://schemas.microsoft.com/office/excel/2006/main">
          <x14:cfRule type="expression" priority="4702086" id="{5EE2823B-E955-4EA7-B99C-0B1F77B57A69}">
            <xm:f>$AT$4='Data entry'!$R67</xm:f>
            <x14:dxf>
              <fill>
                <patternFill>
                  <bgColor rgb="FFFFFF00"/>
                </patternFill>
              </fill>
            </x14:dxf>
          </x14:cfRule>
          <xm:sqref>AF188:AT188</xm:sqref>
        </x14:conditionalFormatting>
        <x14:conditionalFormatting xmlns:xm="http://schemas.microsoft.com/office/excel/2006/main">
          <x14:cfRule type="expression" priority="4702087" id="{5737DC63-3262-4B34-900C-2AAEB255FCBA}">
            <xm:f>$AU$4='Data entry'!$R67</xm:f>
            <x14:dxf>
              <fill>
                <patternFill>
                  <bgColor rgb="FFFF0000"/>
                </patternFill>
              </fill>
            </x14:dxf>
          </x14:cfRule>
          <xm:sqref>AS189:BE189</xm:sqref>
        </x14:conditionalFormatting>
        <x14:conditionalFormatting xmlns:xm="http://schemas.microsoft.com/office/excel/2006/main">
          <x14:cfRule type="expression" priority="4702088" id="{2B5C1F1B-3C3D-4CA3-BC64-0E98422075B6}">
            <xm:f>$AU$4='Data entry'!$R67</xm:f>
            <x14:dxf>
              <fill>
                <patternFill>
                  <bgColor rgb="FFFFFF00"/>
                </patternFill>
              </fill>
            </x14:dxf>
          </x14:cfRule>
          <xm:sqref>AG188:AU188</xm:sqref>
        </x14:conditionalFormatting>
        <x14:conditionalFormatting xmlns:xm="http://schemas.microsoft.com/office/excel/2006/main">
          <x14:cfRule type="expression" priority="4702089" id="{B87A1285-B003-4855-8F4B-53C391BA10E6}">
            <xm:f>$AV$4='Data entry'!$R67</xm:f>
            <x14:dxf>
              <fill>
                <patternFill>
                  <bgColor rgb="FFFF0000"/>
                </patternFill>
              </fill>
            </x14:dxf>
          </x14:cfRule>
          <xm:sqref>AT189:BF189</xm:sqref>
        </x14:conditionalFormatting>
        <x14:conditionalFormatting xmlns:xm="http://schemas.microsoft.com/office/excel/2006/main">
          <x14:cfRule type="expression" priority="4702090" id="{338EE31C-78DB-4818-B837-0380F9E457FA}">
            <xm:f>$AV$4='Data entry'!$R67</xm:f>
            <x14:dxf>
              <fill>
                <patternFill>
                  <bgColor rgb="FFFFFF00"/>
                </patternFill>
              </fill>
            </x14:dxf>
          </x14:cfRule>
          <xm:sqref>AH188:AV188</xm:sqref>
        </x14:conditionalFormatting>
        <x14:conditionalFormatting xmlns:xm="http://schemas.microsoft.com/office/excel/2006/main">
          <x14:cfRule type="expression" priority="4702091" id="{5C40EA66-2801-4C91-B885-BF6A1ECFC35C}">
            <xm:f>$AW$4='Data entry'!$R67</xm:f>
            <x14:dxf>
              <fill>
                <patternFill>
                  <bgColor rgb="FFFF0000"/>
                </patternFill>
              </fill>
            </x14:dxf>
          </x14:cfRule>
          <xm:sqref>AU189:BG189</xm:sqref>
        </x14:conditionalFormatting>
        <x14:conditionalFormatting xmlns:xm="http://schemas.microsoft.com/office/excel/2006/main">
          <x14:cfRule type="expression" priority="4702092" id="{51BCD5CE-DF86-4C2F-8A81-DDA1EFD6C8F7}">
            <xm:f>$AW$4='Data entry'!$R67</xm:f>
            <x14:dxf>
              <fill>
                <patternFill>
                  <bgColor rgb="FFFFFF00"/>
                </patternFill>
              </fill>
            </x14:dxf>
          </x14:cfRule>
          <xm:sqref>AI188:AW188</xm:sqref>
        </x14:conditionalFormatting>
        <x14:conditionalFormatting xmlns:xm="http://schemas.microsoft.com/office/excel/2006/main">
          <x14:cfRule type="expression" priority="4702093" id="{DC2ED5A0-8917-4877-8CD3-9DF9BE5993C9}">
            <xm:f>$AX$4='Data entry'!$R67</xm:f>
            <x14:dxf>
              <fill>
                <patternFill>
                  <bgColor rgb="FFFF0000"/>
                </patternFill>
              </fill>
            </x14:dxf>
          </x14:cfRule>
          <xm:sqref>AV189:BH189</xm:sqref>
        </x14:conditionalFormatting>
        <x14:conditionalFormatting xmlns:xm="http://schemas.microsoft.com/office/excel/2006/main">
          <x14:cfRule type="expression" priority="4702094" id="{59B31869-20F9-45BD-BC80-0A6C8945CE2C}">
            <xm:f>$AX$4='Data entry'!$R67</xm:f>
            <x14:dxf>
              <fill>
                <patternFill>
                  <bgColor rgb="FFFFFF00"/>
                </patternFill>
              </fill>
            </x14:dxf>
          </x14:cfRule>
          <xm:sqref>AJ188:AX188</xm:sqref>
        </x14:conditionalFormatting>
        <x14:conditionalFormatting xmlns:xm="http://schemas.microsoft.com/office/excel/2006/main">
          <x14:cfRule type="expression" priority="4702095" id="{D4208FA0-4262-4037-934C-6D0742B2AD8E}">
            <xm:f>$AY$4='Data entry'!$R67</xm:f>
            <x14:dxf>
              <fill>
                <patternFill>
                  <bgColor rgb="FFFF0000"/>
                </patternFill>
              </fill>
            </x14:dxf>
          </x14:cfRule>
          <xm:sqref>AW189:BI189</xm:sqref>
        </x14:conditionalFormatting>
        <x14:conditionalFormatting xmlns:xm="http://schemas.microsoft.com/office/excel/2006/main">
          <x14:cfRule type="expression" priority="4702096" id="{04D6E423-18C7-42B2-A67D-F49D8E62B571}">
            <xm:f>$AY$4='Data entry'!$R67</xm:f>
            <x14:dxf>
              <fill>
                <patternFill>
                  <bgColor rgb="FFFFFF00"/>
                </patternFill>
              </fill>
            </x14:dxf>
          </x14:cfRule>
          <xm:sqref>AK188:AY188</xm:sqref>
        </x14:conditionalFormatting>
        <x14:conditionalFormatting xmlns:xm="http://schemas.microsoft.com/office/excel/2006/main">
          <x14:cfRule type="expression" priority="4702097" id="{A931C203-6E4B-4EBD-A2F4-1876881F48D4}">
            <xm:f>$AZ$4='Data entry'!$R67</xm:f>
            <x14:dxf>
              <fill>
                <patternFill>
                  <bgColor rgb="FFFF0000"/>
                </patternFill>
              </fill>
            </x14:dxf>
          </x14:cfRule>
          <xm:sqref>AX189:BJ189</xm:sqref>
        </x14:conditionalFormatting>
        <x14:conditionalFormatting xmlns:xm="http://schemas.microsoft.com/office/excel/2006/main">
          <x14:cfRule type="expression" priority="4702098" id="{092D9100-E652-40FE-8CAA-720DC0681250}">
            <xm:f>$AZ$4='Data entry'!$R67</xm:f>
            <x14:dxf>
              <fill>
                <patternFill>
                  <bgColor rgb="FFFFFF00"/>
                </patternFill>
              </fill>
            </x14:dxf>
          </x14:cfRule>
          <xm:sqref>AL188:AZ188</xm:sqref>
        </x14:conditionalFormatting>
        <x14:conditionalFormatting xmlns:xm="http://schemas.microsoft.com/office/excel/2006/main">
          <x14:cfRule type="expression" priority="4702099" id="{A3C7E6BE-A225-483C-A983-A915DB662C52}">
            <xm:f>$BA$4='Data entry'!$R67</xm:f>
            <x14:dxf>
              <fill>
                <patternFill>
                  <bgColor rgb="FFFF0000"/>
                </patternFill>
              </fill>
            </x14:dxf>
          </x14:cfRule>
          <xm:sqref>AY189:BK189</xm:sqref>
        </x14:conditionalFormatting>
        <x14:conditionalFormatting xmlns:xm="http://schemas.microsoft.com/office/excel/2006/main">
          <x14:cfRule type="expression" priority="4702100" id="{F5CF569A-8AFA-4CFF-8BD3-F04D8927A99F}">
            <xm:f>$BA$4='Data entry'!$R67</xm:f>
            <x14:dxf>
              <fill>
                <patternFill>
                  <bgColor rgb="FFFFFF00"/>
                </patternFill>
              </fill>
            </x14:dxf>
          </x14:cfRule>
          <xm:sqref>AM188:BA188</xm:sqref>
        </x14:conditionalFormatting>
        <x14:conditionalFormatting xmlns:xm="http://schemas.microsoft.com/office/excel/2006/main">
          <x14:cfRule type="expression" priority="4702101" id="{E4DAC94A-7983-4BFB-A87B-45B58561841A}">
            <xm:f>$BB$4='Data entry'!$R67</xm:f>
            <x14:dxf>
              <fill>
                <patternFill>
                  <bgColor rgb="FFFF0000"/>
                </patternFill>
              </fill>
            </x14:dxf>
          </x14:cfRule>
          <xm:sqref>AZ189:BL189</xm:sqref>
        </x14:conditionalFormatting>
        <x14:conditionalFormatting xmlns:xm="http://schemas.microsoft.com/office/excel/2006/main">
          <x14:cfRule type="expression" priority="4702102" id="{E63849C5-F39B-4B0E-8F8A-B532EDF2CBAE}">
            <xm:f>$BB$4='Data entry'!$R67</xm:f>
            <x14:dxf>
              <fill>
                <patternFill>
                  <bgColor rgb="FFFFFF00"/>
                </patternFill>
              </fill>
            </x14:dxf>
          </x14:cfRule>
          <xm:sqref>AN188:BB188</xm:sqref>
        </x14:conditionalFormatting>
        <x14:conditionalFormatting xmlns:xm="http://schemas.microsoft.com/office/excel/2006/main">
          <x14:cfRule type="expression" priority="4702103" id="{4FDC32D3-C1F5-455D-9AA4-A03359B72526}">
            <xm:f>$BC$4='Data entry'!$R67</xm:f>
            <x14:dxf>
              <fill>
                <patternFill>
                  <bgColor rgb="FFFF0000"/>
                </patternFill>
              </fill>
            </x14:dxf>
          </x14:cfRule>
          <xm:sqref>BA189:BM189</xm:sqref>
        </x14:conditionalFormatting>
        <x14:conditionalFormatting xmlns:xm="http://schemas.microsoft.com/office/excel/2006/main">
          <x14:cfRule type="expression" priority="4702104" id="{5F0D0C60-B233-4C56-B05D-98C99990877F}">
            <xm:f>$BC$4='Data entry'!$R67</xm:f>
            <x14:dxf>
              <fill>
                <patternFill>
                  <bgColor rgb="FFFFFF00"/>
                </patternFill>
              </fill>
            </x14:dxf>
          </x14:cfRule>
          <xm:sqref>AO188:BC188</xm:sqref>
        </x14:conditionalFormatting>
        <x14:conditionalFormatting xmlns:xm="http://schemas.microsoft.com/office/excel/2006/main">
          <x14:cfRule type="expression" priority="4702105" id="{9EBCB60F-8135-43B6-A0F3-548D4092CC98}">
            <xm:f>$BD$4='Data entry'!$R67</xm:f>
            <x14:dxf>
              <fill>
                <patternFill>
                  <bgColor rgb="FFFF0000"/>
                </patternFill>
              </fill>
            </x14:dxf>
          </x14:cfRule>
          <xm:sqref>BB189:BN189</xm:sqref>
        </x14:conditionalFormatting>
        <x14:conditionalFormatting xmlns:xm="http://schemas.microsoft.com/office/excel/2006/main">
          <x14:cfRule type="expression" priority="4702106" id="{961AF346-4A73-41ED-9A8D-27D431B09C05}">
            <xm:f>$BD$4='Data entry'!$R67</xm:f>
            <x14:dxf>
              <fill>
                <patternFill>
                  <bgColor rgb="FFFFFF00"/>
                </patternFill>
              </fill>
            </x14:dxf>
          </x14:cfRule>
          <xm:sqref>AP188:BD188</xm:sqref>
        </x14:conditionalFormatting>
        <x14:conditionalFormatting xmlns:xm="http://schemas.microsoft.com/office/excel/2006/main">
          <x14:cfRule type="expression" priority="4702107" id="{5A887026-27CD-4F8C-8BA6-1E92704C1CA6}">
            <xm:f>$BE$4='Data entry'!$R67</xm:f>
            <x14:dxf>
              <fill>
                <patternFill>
                  <bgColor rgb="FFFF0000"/>
                </patternFill>
              </fill>
            </x14:dxf>
          </x14:cfRule>
          <xm:sqref>BC189:BO189</xm:sqref>
        </x14:conditionalFormatting>
        <x14:conditionalFormatting xmlns:xm="http://schemas.microsoft.com/office/excel/2006/main">
          <x14:cfRule type="expression" priority="4702108" id="{7F46217B-A1E9-4515-B31E-E756FCD7C6D9}">
            <xm:f>$BE$4='Data entry'!$R67</xm:f>
            <x14:dxf>
              <fill>
                <patternFill>
                  <bgColor rgb="FFFFFF00"/>
                </patternFill>
              </fill>
            </x14:dxf>
          </x14:cfRule>
          <xm:sqref>AP188:BE188</xm:sqref>
        </x14:conditionalFormatting>
        <x14:conditionalFormatting xmlns:xm="http://schemas.microsoft.com/office/excel/2006/main">
          <x14:cfRule type="expression" priority="4702109" id="{F4D9285C-8CA0-4EF1-943E-6A462D47CC77}">
            <xm:f>$BF$4='Data entry'!$R67</xm:f>
            <x14:dxf>
              <fill>
                <patternFill>
                  <bgColor rgb="FFFF0000"/>
                </patternFill>
              </fill>
            </x14:dxf>
          </x14:cfRule>
          <xm:sqref>BD189:BP189</xm:sqref>
        </x14:conditionalFormatting>
        <x14:conditionalFormatting xmlns:xm="http://schemas.microsoft.com/office/excel/2006/main">
          <x14:cfRule type="expression" priority="4702110" id="{B9E4407D-651D-4DC0-9D61-3271D62A65E9}">
            <xm:f>$BF$4='Data entry'!$R67</xm:f>
            <x14:dxf>
              <fill>
                <patternFill>
                  <bgColor rgb="FFFFFF00"/>
                </patternFill>
              </fill>
            </x14:dxf>
          </x14:cfRule>
          <xm:sqref>AR188:BF188</xm:sqref>
        </x14:conditionalFormatting>
        <x14:conditionalFormatting xmlns:xm="http://schemas.microsoft.com/office/excel/2006/main">
          <x14:cfRule type="expression" priority="4702111" id="{4CDC062F-DDFF-4556-B941-08F919727F69}">
            <xm:f>$BG$4='Data entry'!$R67</xm:f>
            <x14:dxf>
              <fill>
                <patternFill>
                  <bgColor rgb="FFFF0000"/>
                </patternFill>
              </fill>
            </x14:dxf>
          </x14:cfRule>
          <xm:sqref>BE189:BQ189</xm:sqref>
        </x14:conditionalFormatting>
        <x14:conditionalFormatting xmlns:xm="http://schemas.microsoft.com/office/excel/2006/main">
          <x14:cfRule type="expression" priority="4702112" id="{789184FA-9055-433B-8A1B-92C7ED59E81F}">
            <xm:f>$BG$4='Data entry'!$R67</xm:f>
            <x14:dxf>
              <fill>
                <patternFill>
                  <bgColor rgb="FFFFFF00"/>
                </patternFill>
              </fill>
            </x14:dxf>
          </x14:cfRule>
          <xm:sqref>AS188:BG188</xm:sqref>
        </x14:conditionalFormatting>
        <x14:conditionalFormatting xmlns:xm="http://schemas.microsoft.com/office/excel/2006/main">
          <x14:cfRule type="expression" priority="4702113" id="{58651E5C-09C9-46C1-B95C-E8A578A49E15}">
            <xm:f>$BH$4='Data entry'!$R67</xm:f>
            <x14:dxf>
              <fill>
                <patternFill>
                  <bgColor rgb="FFFFFF00"/>
                </patternFill>
              </fill>
            </x14:dxf>
          </x14:cfRule>
          <xm:sqref>AT188:BH188</xm:sqref>
        </x14:conditionalFormatting>
        <x14:conditionalFormatting xmlns:xm="http://schemas.microsoft.com/office/excel/2006/main">
          <x14:cfRule type="expression" priority="4702114" id="{97B30B86-8311-4DC0-A533-8C0D53F37839}">
            <xm:f>$BH$4='Data entry'!$R67</xm:f>
            <x14:dxf>
              <fill>
                <patternFill>
                  <bgColor rgb="FFFF0000"/>
                </patternFill>
              </fill>
            </x14:dxf>
          </x14:cfRule>
          <xm:sqref>BF189:BR189</xm:sqref>
        </x14:conditionalFormatting>
        <x14:conditionalFormatting xmlns:xm="http://schemas.microsoft.com/office/excel/2006/main">
          <x14:cfRule type="expression" priority="4702115" id="{78344C0C-5AEA-40B1-A20C-6D77DF58E1F5}">
            <xm:f>$BI$4='Data entry'!$R67</xm:f>
            <x14:dxf>
              <fill>
                <patternFill>
                  <bgColor rgb="FFFFFF00"/>
                </patternFill>
              </fill>
            </x14:dxf>
          </x14:cfRule>
          <xm:sqref>AU188:BI188</xm:sqref>
        </x14:conditionalFormatting>
        <x14:conditionalFormatting xmlns:xm="http://schemas.microsoft.com/office/excel/2006/main">
          <x14:cfRule type="expression" priority="4702116" id="{A9CE044F-482E-4F25-B28F-89ACC58502B1}">
            <xm:f>$BI$4='Data entry'!$R67</xm:f>
            <x14:dxf>
              <fill>
                <patternFill>
                  <bgColor rgb="FFFF0000"/>
                </patternFill>
              </fill>
            </x14:dxf>
          </x14:cfRule>
          <xm:sqref>BG189:BS189</xm:sqref>
        </x14:conditionalFormatting>
        <x14:conditionalFormatting xmlns:xm="http://schemas.microsoft.com/office/excel/2006/main">
          <x14:cfRule type="expression" priority="4702117" id="{F63BE0EB-3C71-4456-BEF0-11180AB7A8BB}">
            <xm:f>$BJ$4='Data entry'!$R67</xm:f>
            <x14:dxf>
              <fill>
                <patternFill>
                  <bgColor rgb="FFFFFF00"/>
                </patternFill>
              </fill>
            </x14:dxf>
          </x14:cfRule>
          <xm:sqref>AV188:BJ188</xm:sqref>
        </x14:conditionalFormatting>
        <x14:conditionalFormatting xmlns:xm="http://schemas.microsoft.com/office/excel/2006/main">
          <x14:cfRule type="expression" priority="4702118" id="{478A5DCB-1DAA-4497-A6CC-B4F01FB96D10}">
            <xm:f>$BJ$4='Data entry'!$R67</xm:f>
            <x14:dxf>
              <fill>
                <patternFill>
                  <bgColor rgb="FFFF0000"/>
                </patternFill>
              </fill>
            </x14:dxf>
          </x14:cfRule>
          <xm:sqref>BH189:BT189</xm:sqref>
        </x14:conditionalFormatting>
        <x14:conditionalFormatting xmlns:xm="http://schemas.microsoft.com/office/excel/2006/main">
          <x14:cfRule type="expression" priority="4702119" id="{CDE4AD5B-65A6-4FA4-9EC0-8D05F22312A9}">
            <xm:f>$BK$4='Data entry'!$R67</xm:f>
            <x14:dxf>
              <fill>
                <patternFill>
                  <bgColor rgb="FFFF0000"/>
                </patternFill>
              </fill>
            </x14:dxf>
          </x14:cfRule>
          <xm:sqref>BI189:BU189</xm:sqref>
        </x14:conditionalFormatting>
        <x14:conditionalFormatting xmlns:xm="http://schemas.microsoft.com/office/excel/2006/main">
          <x14:cfRule type="expression" priority="4702120" id="{AB32E790-6CD8-4D11-9A69-57D785FE4BBC}">
            <xm:f>$BK$4='Data entry'!$R67</xm:f>
            <x14:dxf>
              <fill>
                <patternFill>
                  <bgColor rgb="FFFFFF00"/>
                </patternFill>
              </fill>
            </x14:dxf>
          </x14:cfRule>
          <xm:sqref>AW188:BK188</xm:sqref>
        </x14:conditionalFormatting>
        <x14:conditionalFormatting xmlns:xm="http://schemas.microsoft.com/office/excel/2006/main">
          <x14:cfRule type="expression" priority="4702121" id="{99810EB9-805C-43D8-852A-EEECE7874CDB}">
            <xm:f>$BL$4='Data entry'!$R67</xm:f>
            <x14:dxf>
              <fill>
                <patternFill>
                  <bgColor rgb="FFFF0000"/>
                </patternFill>
              </fill>
            </x14:dxf>
          </x14:cfRule>
          <xm:sqref>BJ189:BV189</xm:sqref>
        </x14:conditionalFormatting>
        <x14:conditionalFormatting xmlns:xm="http://schemas.microsoft.com/office/excel/2006/main">
          <x14:cfRule type="expression" priority="4702122" id="{BF5F5475-4E46-479C-97A6-D5175F5D1803}">
            <xm:f>$BL$4='Data entry'!$R67</xm:f>
            <x14:dxf>
              <fill>
                <patternFill>
                  <bgColor rgb="FFFFFF00"/>
                </patternFill>
              </fill>
            </x14:dxf>
          </x14:cfRule>
          <xm:sqref>AX188:BL188</xm:sqref>
        </x14:conditionalFormatting>
        <x14:conditionalFormatting xmlns:xm="http://schemas.microsoft.com/office/excel/2006/main">
          <x14:cfRule type="expression" priority="4702123" id="{B86FDF2F-16C9-46B1-847E-7EA1A8A34B9D}">
            <xm:f>$BM$4='Data entry'!$R67</xm:f>
            <x14:dxf>
              <fill>
                <patternFill>
                  <bgColor rgb="FFFF0000"/>
                </patternFill>
              </fill>
            </x14:dxf>
          </x14:cfRule>
          <xm:sqref>BK189:BW189</xm:sqref>
        </x14:conditionalFormatting>
        <x14:conditionalFormatting xmlns:xm="http://schemas.microsoft.com/office/excel/2006/main">
          <x14:cfRule type="expression" priority="4702124" id="{72FD189F-4CED-400D-9FEF-21A328970A4D}">
            <xm:f>$BM$4='Data entry'!$R67</xm:f>
            <x14:dxf>
              <fill>
                <patternFill>
                  <bgColor rgb="FFFFFF00"/>
                </patternFill>
              </fill>
            </x14:dxf>
          </x14:cfRule>
          <xm:sqref>AY188:BM188</xm:sqref>
        </x14:conditionalFormatting>
        <x14:conditionalFormatting xmlns:xm="http://schemas.microsoft.com/office/excel/2006/main">
          <x14:cfRule type="expression" priority="4702125" id="{BBBBF859-D5A7-4F55-BFBF-8A77E3357590}">
            <xm:f>$BN$4='Data entry'!$R67</xm:f>
            <x14:dxf>
              <fill>
                <patternFill>
                  <bgColor rgb="FFFF0000"/>
                </patternFill>
              </fill>
            </x14:dxf>
          </x14:cfRule>
          <xm:sqref>BL189:BX189</xm:sqref>
        </x14:conditionalFormatting>
        <x14:conditionalFormatting xmlns:xm="http://schemas.microsoft.com/office/excel/2006/main">
          <x14:cfRule type="expression" priority="4702126" id="{50CB1D75-0FD5-4D24-92B1-E8A41DC6575C}">
            <xm:f>$BN$4='Data entry'!$R67</xm:f>
            <x14:dxf>
              <fill>
                <patternFill>
                  <bgColor rgb="FFFFFF00"/>
                </patternFill>
              </fill>
            </x14:dxf>
          </x14:cfRule>
          <xm:sqref>AZ188:BN188</xm:sqref>
        </x14:conditionalFormatting>
        <x14:conditionalFormatting xmlns:xm="http://schemas.microsoft.com/office/excel/2006/main">
          <x14:cfRule type="expression" priority="4702127" id="{9EF3226D-E8FC-496B-A6FF-71776AEA54D1}">
            <xm:f>$BO$4='Data entry'!$R67</xm:f>
            <x14:dxf>
              <fill>
                <patternFill>
                  <bgColor rgb="FFFF0000"/>
                </patternFill>
              </fill>
            </x14:dxf>
          </x14:cfRule>
          <xm:sqref>BM189:BY189</xm:sqref>
        </x14:conditionalFormatting>
        <x14:conditionalFormatting xmlns:xm="http://schemas.microsoft.com/office/excel/2006/main">
          <x14:cfRule type="expression" priority="4702128" id="{3B86C801-ECFE-4D05-8AA5-1581116BAFBC}">
            <xm:f>$BO$4='Data entry'!$R67</xm:f>
            <x14:dxf>
              <fill>
                <patternFill>
                  <bgColor rgb="FFFFFF00"/>
                </patternFill>
              </fill>
            </x14:dxf>
          </x14:cfRule>
          <xm:sqref>BA188:BO188</xm:sqref>
        </x14:conditionalFormatting>
        <x14:conditionalFormatting xmlns:xm="http://schemas.microsoft.com/office/excel/2006/main">
          <x14:cfRule type="expression" priority="4702129" id="{058A23EC-3371-4A02-9F20-1ECA603AC6BC}">
            <xm:f>$BP$4='Data entry'!$R67</xm:f>
            <x14:dxf>
              <fill>
                <patternFill>
                  <bgColor rgb="FFFF0000"/>
                </patternFill>
              </fill>
            </x14:dxf>
          </x14:cfRule>
          <xm:sqref>BN189:BZ189</xm:sqref>
        </x14:conditionalFormatting>
        <x14:conditionalFormatting xmlns:xm="http://schemas.microsoft.com/office/excel/2006/main">
          <x14:cfRule type="expression" priority="4702130" id="{3E711E31-3992-4555-AB22-87133D60CD15}">
            <xm:f>$BP$4='Data entry'!$R67</xm:f>
            <x14:dxf>
              <fill>
                <patternFill>
                  <bgColor rgb="FFFFFF00"/>
                </patternFill>
              </fill>
            </x14:dxf>
          </x14:cfRule>
          <xm:sqref>BB188:BP188</xm:sqref>
        </x14:conditionalFormatting>
        <x14:conditionalFormatting xmlns:xm="http://schemas.microsoft.com/office/excel/2006/main">
          <x14:cfRule type="expression" priority="4702131" id="{23E9F8B9-37D5-4730-9453-6F23E8ECBBE3}">
            <xm:f>$BQ$4='Data entry'!$R67</xm:f>
            <x14:dxf>
              <fill>
                <patternFill>
                  <bgColor rgb="FFFFFF00"/>
                </patternFill>
              </fill>
            </x14:dxf>
          </x14:cfRule>
          <xm:sqref>BC188:BQ188</xm:sqref>
        </x14:conditionalFormatting>
        <x14:conditionalFormatting xmlns:xm="http://schemas.microsoft.com/office/excel/2006/main">
          <x14:cfRule type="expression" priority="4702132" id="{BCFD92F6-AAD3-44FD-BC61-A292A81B883E}">
            <xm:f>$BQ$4='Data entry'!$R67</xm:f>
            <x14:dxf>
              <fill>
                <patternFill>
                  <bgColor rgb="FFFF0000"/>
                </patternFill>
              </fill>
            </x14:dxf>
          </x14:cfRule>
          <xm:sqref>BO189:CA189</xm:sqref>
        </x14:conditionalFormatting>
        <x14:conditionalFormatting xmlns:xm="http://schemas.microsoft.com/office/excel/2006/main">
          <x14:cfRule type="expression" priority="4702133" id="{357D60E5-F356-477E-8020-A18F42C02832}">
            <xm:f>$BR$4='Data entry'!$R67</xm:f>
            <x14:dxf>
              <fill>
                <patternFill>
                  <bgColor rgb="FFFFFF00"/>
                </patternFill>
              </fill>
            </x14:dxf>
          </x14:cfRule>
          <xm:sqref>BD188:BR188</xm:sqref>
        </x14:conditionalFormatting>
        <x14:conditionalFormatting xmlns:xm="http://schemas.microsoft.com/office/excel/2006/main">
          <x14:cfRule type="expression" priority="4702134" id="{DA2B6511-43B3-432D-B6AA-1DB1188B90A6}">
            <xm:f>$BR$4='Data entry'!$R67</xm:f>
            <x14:dxf>
              <fill>
                <patternFill>
                  <bgColor rgb="FFFF0000"/>
                </patternFill>
              </fill>
            </x14:dxf>
          </x14:cfRule>
          <xm:sqref>BP189:CB189</xm:sqref>
        </x14:conditionalFormatting>
        <x14:conditionalFormatting xmlns:xm="http://schemas.microsoft.com/office/excel/2006/main">
          <x14:cfRule type="expression" priority="4702135" id="{0D5F64E4-4136-4BFA-B833-CC8578525D9C}">
            <xm:f>$BS$4='Data entry'!$R67</xm:f>
            <x14:dxf>
              <fill>
                <patternFill>
                  <bgColor rgb="FFFFFF00"/>
                </patternFill>
              </fill>
            </x14:dxf>
          </x14:cfRule>
          <xm:sqref>BE188:BS188</xm:sqref>
        </x14:conditionalFormatting>
        <x14:conditionalFormatting xmlns:xm="http://schemas.microsoft.com/office/excel/2006/main">
          <x14:cfRule type="expression" priority="4702136" id="{AC94D468-F078-4AE2-8771-102996E07B09}">
            <xm:f>$BS$4='Data entry'!$R67</xm:f>
            <x14:dxf>
              <fill>
                <patternFill>
                  <bgColor rgb="FFFF0000"/>
                </patternFill>
              </fill>
            </x14:dxf>
          </x14:cfRule>
          <xm:sqref>BQ189:CC189</xm:sqref>
        </x14:conditionalFormatting>
        <x14:conditionalFormatting xmlns:xm="http://schemas.microsoft.com/office/excel/2006/main">
          <x14:cfRule type="expression" priority="4702137" id="{10E78F76-181E-4F19-9F89-7DD36D3EFE30}">
            <xm:f>$BT$4='Data entry'!$R67</xm:f>
            <x14:dxf>
              <fill>
                <patternFill>
                  <bgColor rgb="FFFFFF00"/>
                </patternFill>
              </fill>
            </x14:dxf>
          </x14:cfRule>
          <xm:sqref>BF188:BT188</xm:sqref>
        </x14:conditionalFormatting>
        <x14:conditionalFormatting xmlns:xm="http://schemas.microsoft.com/office/excel/2006/main">
          <x14:cfRule type="expression" priority="4702138" id="{6A5FADC6-9512-4EFB-90A5-7B5244D10D1F}">
            <xm:f>$BT$4='Data entry'!$R67</xm:f>
            <x14:dxf>
              <fill>
                <patternFill>
                  <bgColor rgb="FFFF0000"/>
                </patternFill>
              </fill>
            </x14:dxf>
          </x14:cfRule>
          <xm:sqref>BR189:CC189</xm:sqref>
        </x14:conditionalFormatting>
        <x14:conditionalFormatting xmlns:xm="http://schemas.microsoft.com/office/excel/2006/main">
          <x14:cfRule type="expression" priority="4702139" id="{A51139D1-8841-4B96-B8CB-DFE3808765CF}">
            <xm:f>$BU$4='Data entry'!$R67</xm:f>
            <x14:dxf>
              <fill>
                <patternFill>
                  <bgColor rgb="FFFFFF00"/>
                </patternFill>
              </fill>
            </x14:dxf>
          </x14:cfRule>
          <xm:sqref>BG188:BU188</xm:sqref>
        </x14:conditionalFormatting>
        <x14:conditionalFormatting xmlns:xm="http://schemas.microsoft.com/office/excel/2006/main">
          <x14:cfRule type="expression" priority="4702140" id="{55CA7258-760F-4BFF-ACB5-A70FEB3E7981}">
            <xm:f>$BU$4='Data entry'!$R67</xm:f>
            <x14:dxf>
              <fill>
                <patternFill>
                  <bgColor rgb="FFFF0000"/>
                </patternFill>
              </fill>
            </x14:dxf>
          </x14:cfRule>
          <xm:sqref>BS189:CC189</xm:sqref>
        </x14:conditionalFormatting>
        <x14:conditionalFormatting xmlns:xm="http://schemas.microsoft.com/office/excel/2006/main">
          <x14:cfRule type="expression" priority="4702141" id="{A922B218-64DB-4CBB-9AB8-FE0EBB44E09E}">
            <xm:f>$BV$4='Data entry'!$R67</xm:f>
            <x14:dxf>
              <fill>
                <patternFill>
                  <bgColor rgb="FFFFFF00"/>
                </patternFill>
              </fill>
            </x14:dxf>
          </x14:cfRule>
          <xm:sqref>BH188:BV188</xm:sqref>
        </x14:conditionalFormatting>
        <x14:conditionalFormatting xmlns:xm="http://schemas.microsoft.com/office/excel/2006/main">
          <x14:cfRule type="expression" priority="4702142" id="{C98E908A-CD31-4778-B41C-7AFB9DBE639A}">
            <xm:f>$BV$4='Data entry'!$R67</xm:f>
            <x14:dxf>
              <fill>
                <patternFill>
                  <bgColor rgb="FFFF0000"/>
                </patternFill>
              </fill>
            </x14:dxf>
          </x14:cfRule>
          <xm:sqref>BT189:CC189</xm:sqref>
        </x14:conditionalFormatting>
        <x14:conditionalFormatting xmlns:xm="http://schemas.microsoft.com/office/excel/2006/main">
          <x14:cfRule type="expression" priority="4702143" id="{465CCCA3-B4DB-4B61-8AC7-8A5E4CEC9E3F}">
            <xm:f>$BW$4='Data entry'!$R67</xm:f>
            <x14:dxf>
              <fill>
                <patternFill>
                  <bgColor rgb="FFFFFF00"/>
                </patternFill>
              </fill>
            </x14:dxf>
          </x14:cfRule>
          <xm:sqref>BI188:BW188</xm:sqref>
        </x14:conditionalFormatting>
        <x14:conditionalFormatting xmlns:xm="http://schemas.microsoft.com/office/excel/2006/main">
          <x14:cfRule type="expression" priority="4702144" id="{37566F97-6D06-400B-A709-FE657B07687F}">
            <xm:f>$BW$4='Data entry'!$R67</xm:f>
            <x14:dxf>
              <fill>
                <patternFill>
                  <bgColor rgb="FFFF0000"/>
                </patternFill>
              </fill>
            </x14:dxf>
          </x14:cfRule>
          <xm:sqref>BU189:CC189</xm:sqref>
        </x14:conditionalFormatting>
        <x14:conditionalFormatting xmlns:xm="http://schemas.microsoft.com/office/excel/2006/main">
          <x14:cfRule type="expression" priority="4702145" id="{D8FBA3AC-5CF0-4E45-97CA-1D4DEE729ADA}">
            <xm:f>$BX$4='Data entry'!$R67</xm:f>
            <x14:dxf>
              <fill>
                <patternFill>
                  <bgColor rgb="FFFFFF00"/>
                </patternFill>
              </fill>
            </x14:dxf>
          </x14:cfRule>
          <xm:sqref>BJ188:BX188</xm:sqref>
        </x14:conditionalFormatting>
        <x14:conditionalFormatting xmlns:xm="http://schemas.microsoft.com/office/excel/2006/main">
          <x14:cfRule type="expression" priority="4702146" id="{E077C84B-A94F-431D-B232-4AFCC7C64F54}">
            <xm:f>$BX$4='Data entry'!$R67</xm:f>
            <x14:dxf>
              <fill>
                <patternFill>
                  <bgColor rgb="FFFF0000"/>
                </patternFill>
              </fill>
            </x14:dxf>
          </x14:cfRule>
          <xm:sqref>BV189:CC189</xm:sqref>
        </x14:conditionalFormatting>
        <x14:conditionalFormatting xmlns:xm="http://schemas.microsoft.com/office/excel/2006/main">
          <x14:cfRule type="expression" priority="4702147" id="{63783BA8-0C97-4A44-86FD-7A2BCF1B9957}">
            <xm:f>$BY$4='Data entry'!$R67</xm:f>
            <x14:dxf>
              <fill>
                <patternFill>
                  <bgColor rgb="FFFFFF00"/>
                </patternFill>
              </fill>
            </x14:dxf>
          </x14:cfRule>
          <xm:sqref>BK188:BY188</xm:sqref>
        </x14:conditionalFormatting>
        <x14:conditionalFormatting xmlns:xm="http://schemas.microsoft.com/office/excel/2006/main">
          <x14:cfRule type="expression" priority="4702148" id="{BB8DB8B4-B71B-46D2-AEE7-346F16103F74}">
            <xm:f>$BY$4='Data entry'!$R67</xm:f>
            <x14:dxf>
              <fill>
                <patternFill>
                  <bgColor rgb="FFFF0000"/>
                </patternFill>
              </fill>
            </x14:dxf>
          </x14:cfRule>
          <xm:sqref>BW189:CC189</xm:sqref>
        </x14:conditionalFormatting>
        <x14:conditionalFormatting xmlns:xm="http://schemas.microsoft.com/office/excel/2006/main">
          <x14:cfRule type="expression" priority="4702149" id="{1B638B98-2B06-4FEB-90C1-446A3E0A3979}">
            <xm:f>$BZ$4='Data entry'!$R67</xm:f>
            <x14:dxf>
              <fill>
                <patternFill>
                  <bgColor rgb="FFFFFF00"/>
                </patternFill>
              </fill>
            </x14:dxf>
          </x14:cfRule>
          <xm:sqref>BL188:BZ188</xm:sqref>
        </x14:conditionalFormatting>
        <x14:conditionalFormatting xmlns:xm="http://schemas.microsoft.com/office/excel/2006/main">
          <x14:cfRule type="expression" priority="4702150" id="{D3A0A2F8-D1B2-4DC5-B2A9-0EF53074E685}">
            <xm:f>$BZ$4='Data entry'!$R67</xm:f>
            <x14:dxf>
              <fill>
                <patternFill>
                  <bgColor rgb="FFFF0000"/>
                </patternFill>
              </fill>
            </x14:dxf>
          </x14:cfRule>
          <xm:sqref>BX189:CC189</xm:sqref>
        </x14:conditionalFormatting>
        <x14:conditionalFormatting xmlns:xm="http://schemas.microsoft.com/office/excel/2006/main">
          <x14:cfRule type="expression" priority="4702151" id="{83F6D018-7D3B-4D33-9998-11572F2F2FF5}">
            <xm:f>$CA$4='Data entry'!$R67</xm:f>
            <x14:dxf>
              <fill>
                <patternFill>
                  <bgColor rgb="FFFFFF00"/>
                </patternFill>
              </fill>
            </x14:dxf>
          </x14:cfRule>
          <xm:sqref>BM188:CA188</xm:sqref>
        </x14:conditionalFormatting>
        <x14:conditionalFormatting xmlns:xm="http://schemas.microsoft.com/office/excel/2006/main">
          <x14:cfRule type="expression" priority="4702152" id="{8E6D0B51-5626-4ED9-9072-C7A2C139704F}">
            <xm:f>$CA$4='Data entry'!$R67</xm:f>
            <x14:dxf>
              <fill>
                <patternFill>
                  <bgColor rgb="FFFF0000"/>
                </patternFill>
              </fill>
            </x14:dxf>
          </x14:cfRule>
          <xm:sqref>BY189:CC189</xm:sqref>
        </x14:conditionalFormatting>
        <x14:conditionalFormatting xmlns:xm="http://schemas.microsoft.com/office/excel/2006/main">
          <x14:cfRule type="expression" priority="4702153" id="{E1886EE4-3BDE-43A9-9F4B-79377FEC37FE}">
            <xm:f>$CB$4='Data entry'!$R67</xm:f>
            <x14:dxf>
              <fill>
                <patternFill>
                  <bgColor rgb="FFFFFF00"/>
                </patternFill>
              </fill>
            </x14:dxf>
          </x14:cfRule>
          <xm:sqref>BN188:CB188</xm:sqref>
        </x14:conditionalFormatting>
        <x14:conditionalFormatting xmlns:xm="http://schemas.microsoft.com/office/excel/2006/main">
          <x14:cfRule type="expression" priority="4702154" id="{ADEF572A-6C18-4602-BB86-01C96D36E07E}">
            <xm:f>$CB$4='Data entry'!$R67</xm:f>
            <x14:dxf>
              <fill>
                <patternFill>
                  <bgColor rgb="FFFF0000"/>
                </patternFill>
              </fill>
            </x14:dxf>
          </x14:cfRule>
          <xm:sqref>BZ189:CC189</xm:sqref>
        </x14:conditionalFormatting>
        <x14:conditionalFormatting xmlns:xm="http://schemas.microsoft.com/office/excel/2006/main">
          <x14:cfRule type="expression" priority="4702155" id="{7984E1C9-E073-4955-8543-62145CB6D008}">
            <xm:f>$CC$4='Data entry'!$R67</xm:f>
            <x14:dxf>
              <fill>
                <patternFill>
                  <bgColor rgb="FFFFFF00"/>
                </patternFill>
              </fill>
            </x14:dxf>
          </x14:cfRule>
          <xm:sqref>BO188:CC188</xm:sqref>
        </x14:conditionalFormatting>
        <x14:conditionalFormatting xmlns:xm="http://schemas.microsoft.com/office/excel/2006/main">
          <x14:cfRule type="expression" priority="4702156" id="{18A957B3-59FA-4698-BA92-2A208FF18E2F}">
            <xm:f>$CC$4='Data entry'!$R67</xm:f>
            <x14:dxf>
              <fill>
                <patternFill>
                  <bgColor rgb="FFFF0000"/>
                </patternFill>
              </fill>
            </x14:dxf>
          </x14:cfRule>
          <xm:sqref>CA189:CC189</xm:sqref>
        </x14:conditionalFormatting>
        <x14:conditionalFormatting xmlns:xm="http://schemas.microsoft.com/office/excel/2006/main">
          <x14:cfRule type="expression" priority="4702243" id="{5B0DB825-B7C2-40AC-B7EF-F267F054CFB9}">
            <xm:f>$U$4='Data entry'!$R68</xm:f>
            <x14:dxf>
              <fill>
                <patternFill>
                  <bgColor rgb="FFFF0000"/>
                </patternFill>
              </fill>
            </x14:dxf>
          </x14:cfRule>
          <xm:sqref>S192:AE192</xm:sqref>
        </x14:conditionalFormatting>
        <x14:conditionalFormatting xmlns:xm="http://schemas.microsoft.com/office/excel/2006/main">
          <x14:cfRule type="expression" priority="4702244" id="{18311200-E2BB-400F-B594-3B9A2C6068C2}">
            <xm:f>$V$4='Data entry'!$R68</xm:f>
            <x14:dxf>
              <fill>
                <patternFill>
                  <bgColor rgb="FFFF0000"/>
                </patternFill>
              </fill>
            </x14:dxf>
          </x14:cfRule>
          <xm:sqref>T192:AF192</xm:sqref>
        </x14:conditionalFormatting>
        <x14:conditionalFormatting xmlns:xm="http://schemas.microsoft.com/office/excel/2006/main">
          <x14:cfRule type="expression" priority="4702245" id="{D6DFB621-1A58-4C59-A987-ECAD0EB2D32B}">
            <xm:f>$V$4='Data entry'!$R68</xm:f>
            <x14:dxf>
              <fill>
                <patternFill>
                  <bgColor rgb="FFFFFF00"/>
                </patternFill>
              </fill>
            </x14:dxf>
          </x14:cfRule>
          <xm:sqref>H191:V191</xm:sqref>
        </x14:conditionalFormatting>
        <x14:conditionalFormatting xmlns:xm="http://schemas.microsoft.com/office/excel/2006/main">
          <x14:cfRule type="expression" priority="4702246" id="{5F87A680-DC5F-433D-A779-B7A534ACCDA9}">
            <xm:f>$W$4='Data entry'!$R68</xm:f>
            <x14:dxf>
              <fill>
                <patternFill>
                  <bgColor rgb="FFFF0000"/>
                </patternFill>
              </fill>
            </x14:dxf>
          </x14:cfRule>
          <xm:sqref>U192:AG192</xm:sqref>
        </x14:conditionalFormatting>
        <x14:conditionalFormatting xmlns:xm="http://schemas.microsoft.com/office/excel/2006/main">
          <x14:cfRule type="expression" priority="4702247" id="{964539FF-A92C-4F68-B268-B7157A32678C}">
            <xm:f>$W$4='Data entry'!$R68</xm:f>
            <x14:dxf>
              <fill>
                <patternFill>
                  <bgColor rgb="FFFFFF00"/>
                </patternFill>
              </fill>
            </x14:dxf>
          </x14:cfRule>
          <xm:sqref>I191:W191</xm:sqref>
        </x14:conditionalFormatting>
        <x14:conditionalFormatting xmlns:xm="http://schemas.microsoft.com/office/excel/2006/main">
          <x14:cfRule type="expression" priority="4702248" id="{46C1533A-F090-4A90-9309-3F59EC3FD3B0}">
            <xm:f>$X$4='Data entry'!$R68</xm:f>
            <x14:dxf>
              <fill>
                <patternFill>
                  <bgColor rgb="FFFF0000"/>
                </patternFill>
              </fill>
            </x14:dxf>
          </x14:cfRule>
          <xm:sqref>V192:AH192</xm:sqref>
        </x14:conditionalFormatting>
        <x14:conditionalFormatting xmlns:xm="http://schemas.microsoft.com/office/excel/2006/main">
          <x14:cfRule type="expression" priority="4702249" id="{7C70E81C-DDD4-4D75-933A-4F6A39893184}">
            <xm:f>$X$4='Data entry'!$R68</xm:f>
            <x14:dxf>
              <fill>
                <patternFill>
                  <bgColor rgb="FFFFFF00"/>
                </patternFill>
              </fill>
            </x14:dxf>
          </x14:cfRule>
          <xm:sqref>J191:X191</xm:sqref>
        </x14:conditionalFormatting>
        <x14:conditionalFormatting xmlns:xm="http://schemas.microsoft.com/office/excel/2006/main">
          <x14:cfRule type="expression" priority="4702250" id="{561AF073-0EF8-4B72-A119-40A639C4359D}">
            <xm:f>$Y$4='Data entry'!$R68</xm:f>
            <x14:dxf>
              <fill>
                <patternFill>
                  <bgColor rgb="FFFF0000"/>
                </patternFill>
              </fill>
            </x14:dxf>
          </x14:cfRule>
          <xm:sqref>W192:AI192</xm:sqref>
        </x14:conditionalFormatting>
        <x14:conditionalFormatting xmlns:xm="http://schemas.microsoft.com/office/excel/2006/main">
          <x14:cfRule type="expression" priority="4702251" id="{F242E808-8F07-4A89-9524-7D4C767CE357}">
            <xm:f>$Y$4='Data entry'!$R68</xm:f>
            <x14:dxf>
              <fill>
                <patternFill>
                  <bgColor rgb="FFFFFF00"/>
                </patternFill>
              </fill>
            </x14:dxf>
          </x14:cfRule>
          <xm:sqref>K191:Y191</xm:sqref>
        </x14:conditionalFormatting>
        <x14:conditionalFormatting xmlns:xm="http://schemas.microsoft.com/office/excel/2006/main">
          <x14:cfRule type="expression" priority="4702252" id="{DD601058-982B-4218-BD9D-64BB823C2633}">
            <xm:f>$Z$4='Data entry'!$R68</xm:f>
            <x14:dxf>
              <fill>
                <patternFill>
                  <bgColor rgb="FFFF0000"/>
                </patternFill>
              </fill>
            </x14:dxf>
          </x14:cfRule>
          <xm:sqref>X192:AJ192</xm:sqref>
        </x14:conditionalFormatting>
        <x14:conditionalFormatting xmlns:xm="http://schemas.microsoft.com/office/excel/2006/main">
          <x14:cfRule type="expression" priority="4702253" id="{C9DB141D-79F6-4093-92A3-7BF7A1622985}">
            <xm:f>$Z$4='Data entry'!$R68</xm:f>
            <x14:dxf>
              <fill>
                <patternFill>
                  <bgColor rgb="FFFFFF00"/>
                </patternFill>
              </fill>
            </x14:dxf>
          </x14:cfRule>
          <xm:sqref>L191:Z191</xm:sqref>
        </x14:conditionalFormatting>
        <x14:conditionalFormatting xmlns:xm="http://schemas.microsoft.com/office/excel/2006/main">
          <x14:cfRule type="expression" priority="4702254" id="{710EB8D3-F5C0-4E3C-8214-2D0C4E26F649}">
            <xm:f>$AA$4='Data entry'!$R68</xm:f>
            <x14:dxf>
              <fill>
                <patternFill>
                  <bgColor rgb="FFFF0000"/>
                </patternFill>
              </fill>
            </x14:dxf>
          </x14:cfRule>
          <xm:sqref>Y192:AK192</xm:sqref>
        </x14:conditionalFormatting>
        <x14:conditionalFormatting xmlns:xm="http://schemas.microsoft.com/office/excel/2006/main">
          <x14:cfRule type="expression" priority="4702255" id="{33825D69-C967-4D27-B395-5D44A3083802}">
            <xm:f>$AA$4='Data entry'!$R68</xm:f>
            <x14:dxf>
              <fill>
                <patternFill>
                  <bgColor rgb="FFFFFF00"/>
                </patternFill>
              </fill>
            </x14:dxf>
          </x14:cfRule>
          <xm:sqref>M191:AA191</xm:sqref>
        </x14:conditionalFormatting>
        <x14:conditionalFormatting xmlns:xm="http://schemas.microsoft.com/office/excel/2006/main">
          <x14:cfRule type="expression" priority="4702256" id="{9811A97D-351B-4D32-8754-AF433277E62B}">
            <xm:f>$AB$4='Data entry'!$R68</xm:f>
            <x14:dxf>
              <fill>
                <patternFill>
                  <bgColor rgb="FFFF0000"/>
                </patternFill>
              </fill>
            </x14:dxf>
          </x14:cfRule>
          <xm:sqref>Z192:AL192</xm:sqref>
        </x14:conditionalFormatting>
        <x14:conditionalFormatting xmlns:xm="http://schemas.microsoft.com/office/excel/2006/main">
          <x14:cfRule type="expression" priority="4702257" id="{6DD3E556-C72E-438B-92DA-3096ED1E4178}">
            <xm:f>$AB$4='Data entry'!$R68</xm:f>
            <x14:dxf>
              <fill>
                <patternFill>
                  <bgColor rgb="FFFFFF00"/>
                </patternFill>
              </fill>
            </x14:dxf>
          </x14:cfRule>
          <xm:sqref>N191:AB191</xm:sqref>
        </x14:conditionalFormatting>
        <x14:conditionalFormatting xmlns:xm="http://schemas.microsoft.com/office/excel/2006/main">
          <x14:cfRule type="expression" priority="4702258" id="{C0DF7A1B-D6BC-4371-BD3A-F0708147FA1C}">
            <xm:f>$AC$4='Data entry'!$R68</xm:f>
            <x14:dxf>
              <fill>
                <patternFill>
                  <bgColor rgb="FFFF0000"/>
                </patternFill>
              </fill>
            </x14:dxf>
          </x14:cfRule>
          <xm:sqref>AA192:AM192</xm:sqref>
        </x14:conditionalFormatting>
        <x14:conditionalFormatting xmlns:xm="http://schemas.microsoft.com/office/excel/2006/main">
          <x14:cfRule type="expression" priority="4702259" id="{DB2E1F48-AF0E-41F9-A976-6B1963CA5711}">
            <xm:f>$AC$4='Data entry'!$R68</xm:f>
            <x14:dxf>
              <fill>
                <patternFill>
                  <bgColor rgb="FFFFFF00"/>
                </patternFill>
              </fill>
            </x14:dxf>
          </x14:cfRule>
          <xm:sqref>O191:AC191</xm:sqref>
        </x14:conditionalFormatting>
        <x14:conditionalFormatting xmlns:xm="http://schemas.microsoft.com/office/excel/2006/main">
          <x14:cfRule type="expression" priority="4702260" id="{89909907-F9A9-4AF9-BC1D-304710A43F50}">
            <xm:f>$AD$4='Data entry'!$R68</xm:f>
            <x14:dxf>
              <fill>
                <patternFill>
                  <bgColor rgb="FFFF0000"/>
                </patternFill>
              </fill>
            </x14:dxf>
          </x14:cfRule>
          <xm:sqref>AB192:AN192</xm:sqref>
        </x14:conditionalFormatting>
        <x14:conditionalFormatting xmlns:xm="http://schemas.microsoft.com/office/excel/2006/main">
          <x14:cfRule type="expression" priority="4702261" id="{729676B7-E331-43A4-ACC9-850DCEE76A0E}">
            <xm:f>$AD$4='Data entry'!$R68</xm:f>
            <x14:dxf>
              <fill>
                <patternFill>
                  <bgColor rgb="FFFFFF00"/>
                </patternFill>
              </fill>
            </x14:dxf>
          </x14:cfRule>
          <xm:sqref>P191:AD191</xm:sqref>
        </x14:conditionalFormatting>
        <x14:conditionalFormatting xmlns:xm="http://schemas.microsoft.com/office/excel/2006/main">
          <x14:cfRule type="expression" priority="4702262" id="{00DA2C55-350E-44AA-ABEA-808FABFDA737}">
            <xm:f>$AE$4='Data entry'!$R68</xm:f>
            <x14:dxf>
              <fill>
                <patternFill>
                  <bgColor rgb="FFFF0000"/>
                </patternFill>
              </fill>
            </x14:dxf>
          </x14:cfRule>
          <xm:sqref>AC192:AO192</xm:sqref>
        </x14:conditionalFormatting>
        <x14:conditionalFormatting xmlns:xm="http://schemas.microsoft.com/office/excel/2006/main">
          <x14:cfRule type="expression" priority="4702263" id="{373C95F1-00C1-45E9-B561-5224945BA4A4}">
            <xm:f>$AE$4='Data entry'!$R68</xm:f>
            <x14:dxf>
              <fill>
                <patternFill>
                  <bgColor rgb="FFFFFF00"/>
                </patternFill>
              </fill>
            </x14:dxf>
          </x14:cfRule>
          <xm:sqref>Q191:AE191</xm:sqref>
        </x14:conditionalFormatting>
        <x14:conditionalFormatting xmlns:xm="http://schemas.microsoft.com/office/excel/2006/main">
          <x14:cfRule type="expression" priority="4702264" id="{65E90E74-6BEF-4B00-BD5E-ECACFEBC225A}">
            <xm:f>$AF$4='Data entry'!$R68</xm:f>
            <x14:dxf>
              <fill>
                <patternFill>
                  <bgColor rgb="FFFF0000"/>
                </patternFill>
              </fill>
            </x14:dxf>
          </x14:cfRule>
          <xm:sqref>AD192:AP192</xm:sqref>
        </x14:conditionalFormatting>
        <x14:conditionalFormatting xmlns:xm="http://schemas.microsoft.com/office/excel/2006/main">
          <x14:cfRule type="expression" priority="4702265" id="{56B519D7-E083-4811-B42B-D6CB10D44BB3}">
            <xm:f>$AF$4='Data entry'!$R68</xm:f>
            <x14:dxf>
              <fill>
                <patternFill>
                  <bgColor rgb="FFFFFF00"/>
                </patternFill>
              </fill>
            </x14:dxf>
          </x14:cfRule>
          <xm:sqref>R191:AF191</xm:sqref>
        </x14:conditionalFormatting>
        <x14:conditionalFormatting xmlns:xm="http://schemas.microsoft.com/office/excel/2006/main">
          <x14:cfRule type="expression" priority="4702266" id="{889682B6-BF9B-414B-86B7-1C802156B058}">
            <xm:f>$AG$4='Data entry'!$R68</xm:f>
            <x14:dxf>
              <fill>
                <patternFill>
                  <bgColor rgb="FFFF0000"/>
                </patternFill>
              </fill>
            </x14:dxf>
          </x14:cfRule>
          <xm:sqref>AE192:AQ192</xm:sqref>
        </x14:conditionalFormatting>
        <x14:conditionalFormatting xmlns:xm="http://schemas.microsoft.com/office/excel/2006/main">
          <x14:cfRule type="expression" priority="4702267" id="{19913D88-1940-4CB0-B29C-D46D60833BD5}">
            <xm:f>$AG$4='Data entry'!$R68</xm:f>
            <x14:dxf>
              <fill>
                <patternFill>
                  <bgColor rgb="FFFFFF00"/>
                </patternFill>
              </fill>
            </x14:dxf>
          </x14:cfRule>
          <xm:sqref>S191:AG191</xm:sqref>
        </x14:conditionalFormatting>
        <x14:conditionalFormatting xmlns:xm="http://schemas.microsoft.com/office/excel/2006/main">
          <x14:cfRule type="expression" priority="4702268" id="{3DD7B9A5-18A3-463F-BAD5-9796FC487328}">
            <xm:f>$AH$4='Data entry'!$R68</xm:f>
            <x14:dxf>
              <fill>
                <patternFill>
                  <bgColor rgb="FFFF0000"/>
                </patternFill>
              </fill>
            </x14:dxf>
          </x14:cfRule>
          <xm:sqref>AF192:AR192</xm:sqref>
        </x14:conditionalFormatting>
        <x14:conditionalFormatting xmlns:xm="http://schemas.microsoft.com/office/excel/2006/main">
          <x14:cfRule type="expression" priority="4702269" id="{31005CF4-5608-496E-91EB-F7F505046C80}">
            <xm:f>$AH$4='Data entry'!$R68</xm:f>
            <x14:dxf>
              <fill>
                <patternFill>
                  <bgColor rgb="FFFFFF00"/>
                </patternFill>
              </fill>
            </x14:dxf>
          </x14:cfRule>
          <xm:sqref>T191:AH191</xm:sqref>
        </x14:conditionalFormatting>
        <x14:conditionalFormatting xmlns:xm="http://schemas.microsoft.com/office/excel/2006/main">
          <x14:cfRule type="expression" priority="4702270" id="{CD14F654-5B7A-444F-8FC1-7DD71E76E475}">
            <xm:f>$AI$4='Data entry'!$R68</xm:f>
            <x14:dxf>
              <fill>
                <patternFill>
                  <bgColor rgb="FFFF0000"/>
                </patternFill>
              </fill>
            </x14:dxf>
          </x14:cfRule>
          <xm:sqref>AG192:AS192</xm:sqref>
        </x14:conditionalFormatting>
        <x14:conditionalFormatting xmlns:xm="http://schemas.microsoft.com/office/excel/2006/main">
          <x14:cfRule type="expression" priority="4702271" id="{0E4E448C-6C46-4285-B877-A61A90294385}">
            <xm:f>$AI$4='Data entry'!$R68</xm:f>
            <x14:dxf>
              <fill>
                <patternFill>
                  <bgColor rgb="FFFFFF00"/>
                </patternFill>
              </fill>
            </x14:dxf>
          </x14:cfRule>
          <xm:sqref>U191:AI191</xm:sqref>
        </x14:conditionalFormatting>
        <x14:conditionalFormatting xmlns:xm="http://schemas.microsoft.com/office/excel/2006/main">
          <x14:cfRule type="expression" priority="4702272" id="{B1C1818F-791C-403D-BE73-6F6E9DC6A16D}">
            <xm:f>$AJ$4='Data entry'!$R68</xm:f>
            <x14:dxf>
              <fill>
                <patternFill>
                  <bgColor rgb="FFFF0000"/>
                </patternFill>
              </fill>
            </x14:dxf>
          </x14:cfRule>
          <xm:sqref>AH192:AT192</xm:sqref>
        </x14:conditionalFormatting>
        <x14:conditionalFormatting xmlns:xm="http://schemas.microsoft.com/office/excel/2006/main">
          <x14:cfRule type="expression" priority="4702273" id="{A1237792-221B-431B-B8A7-E9A64DA46D93}">
            <xm:f>$AJ$4='Data entry'!$R68</xm:f>
            <x14:dxf>
              <fill>
                <patternFill>
                  <bgColor rgb="FFFFFF00"/>
                </patternFill>
              </fill>
            </x14:dxf>
          </x14:cfRule>
          <xm:sqref>V191:AJ191</xm:sqref>
        </x14:conditionalFormatting>
        <x14:conditionalFormatting xmlns:xm="http://schemas.microsoft.com/office/excel/2006/main">
          <x14:cfRule type="expression" priority="4702274" id="{617DC2AF-C7A3-4724-8EA3-17DEFEDC8949}">
            <xm:f>$AK$4='Data entry'!$R68</xm:f>
            <x14:dxf>
              <fill>
                <patternFill>
                  <bgColor rgb="FFFF0000"/>
                </patternFill>
              </fill>
            </x14:dxf>
          </x14:cfRule>
          <xm:sqref>AI192:AU192</xm:sqref>
        </x14:conditionalFormatting>
        <x14:conditionalFormatting xmlns:xm="http://schemas.microsoft.com/office/excel/2006/main">
          <x14:cfRule type="expression" priority="4702275" id="{AA72317D-37B1-48EB-A28B-BF2AC8DC4519}">
            <xm:f>$AK$4='Data entry'!$R68</xm:f>
            <x14:dxf>
              <fill>
                <patternFill>
                  <bgColor rgb="FFFFFF00"/>
                </patternFill>
              </fill>
            </x14:dxf>
          </x14:cfRule>
          <xm:sqref>W191:AK191</xm:sqref>
        </x14:conditionalFormatting>
        <x14:conditionalFormatting xmlns:xm="http://schemas.microsoft.com/office/excel/2006/main">
          <x14:cfRule type="expression" priority="4702276" id="{6CA9FB7A-20EA-4D3A-B74C-A001F4BE810D}">
            <xm:f>$AL$4='Data entry'!$R68</xm:f>
            <x14:dxf>
              <fill>
                <patternFill>
                  <bgColor rgb="FFFF0000"/>
                </patternFill>
              </fill>
            </x14:dxf>
          </x14:cfRule>
          <xm:sqref>AJ192:AV192</xm:sqref>
        </x14:conditionalFormatting>
        <x14:conditionalFormatting xmlns:xm="http://schemas.microsoft.com/office/excel/2006/main">
          <x14:cfRule type="expression" priority="4702277" id="{81A75DAA-573F-4EF3-A640-1B992C18BEA0}">
            <xm:f>$AL$4='Data entry'!$R68</xm:f>
            <x14:dxf>
              <fill>
                <patternFill>
                  <bgColor rgb="FFFFFF00"/>
                </patternFill>
              </fill>
            </x14:dxf>
          </x14:cfRule>
          <xm:sqref>X191:AL191</xm:sqref>
        </x14:conditionalFormatting>
        <x14:conditionalFormatting xmlns:xm="http://schemas.microsoft.com/office/excel/2006/main">
          <x14:cfRule type="expression" priority="4702278" id="{3D44713E-4ABA-4CCD-9DF4-5513A9FB5E1E}">
            <xm:f>$AM$4='Data entry'!$R68</xm:f>
            <x14:dxf>
              <fill>
                <patternFill>
                  <bgColor rgb="FFFF0000"/>
                </patternFill>
              </fill>
            </x14:dxf>
          </x14:cfRule>
          <xm:sqref>AK192:AW192</xm:sqref>
        </x14:conditionalFormatting>
        <x14:conditionalFormatting xmlns:xm="http://schemas.microsoft.com/office/excel/2006/main">
          <x14:cfRule type="expression" priority="4702279" id="{05A26B51-72A7-4423-822F-2BDBC28275D0}">
            <xm:f>$AM$4='Data entry'!$R68</xm:f>
            <x14:dxf>
              <fill>
                <patternFill>
                  <bgColor rgb="FFFFFF00"/>
                </patternFill>
              </fill>
            </x14:dxf>
          </x14:cfRule>
          <xm:sqref>Y191:AM191</xm:sqref>
        </x14:conditionalFormatting>
        <x14:conditionalFormatting xmlns:xm="http://schemas.microsoft.com/office/excel/2006/main">
          <x14:cfRule type="expression" priority="4702280" id="{B8A20675-6230-4694-A7F6-6B3DC7142773}">
            <xm:f>$AN$4='Data entry'!$R68</xm:f>
            <x14:dxf>
              <fill>
                <patternFill>
                  <bgColor rgb="FFFF0000"/>
                </patternFill>
              </fill>
            </x14:dxf>
          </x14:cfRule>
          <xm:sqref>AL192:AX192</xm:sqref>
        </x14:conditionalFormatting>
        <x14:conditionalFormatting xmlns:xm="http://schemas.microsoft.com/office/excel/2006/main">
          <x14:cfRule type="expression" priority="4702281" id="{8421181C-7450-42E9-BC1D-065CCFCA960E}">
            <xm:f>$AN$4='Data entry'!$R68</xm:f>
            <x14:dxf>
              <fill>
                <patternFill>
                  <bgColor rgb="FFFFFF00"/>
                </patternFill>
              </fill>
            </x14:dxf>
          </x14:cfRule>
          <xm:sqref>Z191:AN191</xm:sqref>
        </x14:conditionalFormatting>
        <x14:conditionalFormatting xmlns:xm="http://schemas.microsoft.com/office/excel/2006/main">
          <x14:cfRule type="expression" priority="4702282" id="{067FE4BD-6EF4-4684-B6E0-35AB2F267EE7}">
            <xm:f>$AO$4='Data entry'!$R68</xm:f>
            <x14:dxf>
              <fill>
                <patternFill>
                  <bgColor rgb="FFFF0000"/>
                </patternFill>
              </fill>
            </x14:dxf>
          </x14:cfRule>
          <xm:sqref>AM192:AY192</xm:sqref>
        </x14:conditionalFormatting>
        <x14:conditionalFormatting xmlns:xm="http://schemas.microsoft.com/office/excel/2006/main">
          <x14:cfRule type="expression" priority="4702283" id="{F7653492-88D1-47AC-8BA3-0CCE65C3C2AB}">
            <xm:f>$AO$4='Data entry'!$R68</xm:f>
            <x14:dxf>
              <fill>
                <patternFill>
                  <bgColor rgb="FFFFFF00"/>
                </patternFill>
              </fill>
            </x14:dxf>
          </x14:cfRule>
          <xm:sqref>AA191:AO191</xm:sqref>
        </x14:conditionalFormatting>
        <x14:conditionalFormatting xmlns:xm="http://schemas.microsoft.com/office/excel/2006/main">
          <x14:cfRule type="expression" priority="4702284" id="{207A5E5D-B322-482E-9193-1D7318138358}">
            <xm:f>$AP$4='Data entry'!$R68</xm:f>
            <x14:dxf>
              <fill>
                <patternFill>
                  <bgColor rgb="FFFF0000"/>
                </patternFill>
              </fill>
            </x14:dxf>
          </x14:cfRule>
          <xm:sqref>AN192:AZ192</xm:sqref>
        </x14:conditionalFormatting>
        <x14:conditionalFormatting xmlns:xm="http://schemas.microsoft.com/office/excel/2006/main">
          <x14:cfRule type="expression" priority="4702285" id="{21DA638D-4CA0-4067-BFF1-240CE1A0261B}">
            <xm:f>$AP$4='Data entry'!$R68</xm:f>
            <x14:dxf>
              <fill>
                <patternFill>
                  <bgColor rgb="FFFFFF00"/>
                </patternFill>
              </fill>
            </x14:dxf>
          </x14:cfRule>
          <xm:sqref>AB191:AP191</xm:sqref>
        </x14:conditionalFormatting>
        <x14:conditionalFormatting xmlns:xm="http://schemas.microsoft.com/office/excel/2006/main">
          <x14:cfRule type="expression" priority="4702286" id="{71963D96-A42A-4B90-BFC7-6D83D37766EF}">
            <xm:f>$AQ$4='Data entry'!$R68</xm:f>
            <x14:dxf>
              <fill>
                <patternFill>
                  <bgColor rgb="FFFF0000"/>
                </patternFill>
              </fill>
            </x14:dxf>
          </x14:cfRule>
          <xm:sqref>AO192:BA192</xm:sqref>
        </x14:conditionalFormatting>
        <x14:conditionalFormatting xmlns:xm="http://schemas.microsoft.com/office/excel/2006/main">
          <x14:cfRule type="expression" priority="4702287" id="{74952595-84B6-484F-8FF6-FCC1F337DF4D}">
            <xm:f>$AQ$4='Data entry'!$R68</xm:f>
            <x14:dxf>
              <fill>
                <patternFill>
                  <bgColor rgb="FFFFFF00"/>
                </patternFill>
              </fill>
            </x14:dxf>
          </x14:cfRule>
          <xm:sqref>AC191:AQ191</xm:sqref>
        </x14:conditionalFormatting>
        <x14:conditionalFormatting xmlns:xm="http://schemas.microsoft.com/office/excel/2006/main">
          <x14:cfRule type="expression" priority="4702288" id="{8AC9C4B9-0A34-4BC0-B0F7-CA89434C4911}">
            <xm:f>$P$4='Data entry'!$R68</xm:f>
            <x14:dxf>
              <fill>
                <patternFill>
                  <bgColor rgb="FFFFFF00"/>
                </patternFill>
              </fill>
            </x14:dxf>
          </x14:cfRule>
          <xm:sqref>C191:P191</xm:sqref>
        </x14:conditionalFormatting>
        <x14:conditionalFormatting xmlns:xm="http://schemas.microsoft.com/office/excel/2006/main">
          <x14:cfRule type="expression" priority="4702289" id="{0A726775-ABFD-4F22-967C-1A4D87BA3751}">
            <xm:f>$Q$4='Data entry'!$R68</xm:f>
            <x14:dxf>
              <fill>
                <patternFill>
                  <bgColor rgb="FFFFFF00"/>
                </patternFill>
              </fill>
            </x14:dxf>
          </x14:cfRule>
          <xm:sqref>C191:Q191</xm:sqref>
        </x14:conditionalFormatting>
        <x14:conditionalFormatting xmlns:xm="http://schemas.microsoft.com/office/excel/2006/main">
          <x14:cfRule type="expression" priority="4702290" id="{3A8414BD-262C-43B5-86EE-FA6901D00453}">
            <xm:f>$Q$4='Data entry'!$R68</xm:f>
            <x14:dxf>
              <fill>
                <patternFill>
                  <bgColor rgb="FFFF0000"/>
                </patternFill>
              </fill>
            </x14:dxf>
          </x14:cfRule>
          <xm:sqref>O192:AA192</xm:sqref>
        </x14:conditionalFormatting>
        <x14:conditionalFormatting xmlns:xm="http://schemas.microsoft.com/office/excel/2006/main">
          <x14:cfRule type="expression" priority="4702291" id="{B8B5501D-F3EF-4449-9306-F652960C65F4}">
            <xm:f>$R$4='Data entry'!$R68</xm:f>
            <x14:dxf>
              <fill>
                <patternFill>
                  <bgColor rgb="FFFF0000"/>
                </patternFill>
              </fill>
            </x14:dxf>
          </x14:cfRule>
          <xm:sqref>P192:AB192</xm:sqref>
        </x14:conditionalFormatting>
        <x14:conditionalFormatting xmlns:xm="http://schemas.microsoft.com/office/excel/2006/main">
          <x14:cfRule type="expression" priority="4702292" id="{5D070DEC-B82E-4D87-B907-A3E5AB836991}">
            <xm:f>$R$4='Data entry'!$R68</xm:f>
            <x14:dxf>
              <fill>
                <patternFill>
                  <bgColor rgb="FFFFFF00"/>
                </patternFill>
              </fill>
            </x14:dxf>
          </x14:cfRule>
          <xm:sqref>D191:R191</xm:sqref>
        </x14:conditionalFormatting>
        <x14:conditionalFormatting xmlns:xm="http://schemas.microsoft.com/office/excel/2006/main">
          <x14:cfRule type="expression" priority="4702293" id="{E4D16A10-F818-4664-9FB2-F0E839824D4B}">
            <xm:f>$S$4='Data entry'!$R68</xm:f>
            <x14:dxf>
              <fill>
                <patternFill>
                  <bgColor rgb="FFFF0000"/>
                </patternFill>
              </fill>
            </x14:dxf>
          </x14:cfRule>
          <xm:sqref>Q192:AC192</xm:sqref>
        </x14:conditionalFormatting>
        <x14:conditionalFormatting xmlns:xm="http://schemas.microsoft.com/office/excel/2006/main">
          <x14:cfRule type="expression" priority="4702294" id="{1A9F9911-A3E9-4730-AFBE-AB8C596545CA}">
            <xm:f>$S$4='Data entry'!$R68</xm:f>
            <x14:dxf>
              <fill>
                <patternFill>
                  <bgColor rgb="FFFFFF00"/>
                </patternFill>
              </fill>
            </x14:dxf>
          </x14:cfRule>
          <xm:sqref>E191:S191</xm:sqref>
        </x14:conditionalFormatting>
        <x14:conditionalFormatting xmlns:xm="http://schemas.microsoft.com/office/excel/2006/main">
          <x14:cfRule type="expression" priority="4702295" id="{8BB5CD1B-B2AC-442A-9550-26DE19A62D22}">
            <xm:f>$T$4='Data entry'!$R68</xm:f>
            <x14:dxf>
              <fill>
                <patternFill>
                  <bgColor rgb="FFFF0000"/>
                </patternFill>
              </fill>
            </x14:dxf>
          </x14:cfRule>
          <xm:sqref>R192:AD192</xm:sqref>
        </x14:conditionalFormatting>
        <x14:conditionalFormatting xmlns:xm="http://schemas.microsoft.com/office/excel/2006/main">
          <x14:cfRule type="expression" priority="4702296" id="{E7B59C69-7921-4049-84A1-8B3E5F7B0598}">
            <xm:f>$T$4='Data entry'!$R68</xm:f>
            <x14:dxf>
              <fill>
                <patternFill>
                  <bgColor rgb="FFFFFF00"/>
                </patternFill>
              </fill>
            </x14:dxf>
          </x14:cfRule>
          <xm:sqref>F191:T191</xm:sqref>
        </x14:conditionalFormatting>
        <x14:conditionalFormatting xmlns:xm="http://schemas.microsoft.com/office/excel/2006/main">
          <x14:cfRule type="expression" priority="4702297" id="{238C09E5-7A3D-439D-949F-A7733073F9A2}">
            <xm:f>$U$4='Data entry'!$R68</xm:f>
            <x14:dxf>
              <fill>
                <patternFill>
                  <bgColor rgb="FFFFFF00"/>
                </patternFill>
              </fill>
            </x14:dxf>
          </x14:cfRule>
          <xm:sqref>G191:U191</xm:sqref>
        </x14:conditionalFormatting>
        <x14:conditionalFormatting xmlns:xm="http://schemas.microsoft.com/office/excel/2006/main">
          <x14:cfRule type="expression" priority="4702298" id="{DE4D4432-0A19-452A-AF14-2873FE4DF411}">
            <xm:f>$AR$4='Data entry'!$R68</xm:f>
            <x14:dxf>
              <fill>
                <patternFill>
                  <bgColor rgb="FFFF0000"/>
                </patternFill>
              </fill>
            </x14:dxf>
          </x14:cfRule>
          <xm:sqref>AP192:BB192</xm:sqref>
        </x14:conditionalFormatting>
        <x14:conditionalFormatting xmlns:xm="http://schemas.microsoft.com/office/excel/2006/main">
          <x14:cfRule type="expression" priority="4702299" id="{90D7E1FF-542D-40C8-9BD5-DFEB4CDD256F}">
            <xm:f>$AR$4='Data entry'!$R68</xm:f>
            <x14:dxf>
              <fill>
                <patternFill>
                  <bgColor rgb="FFFFFF00"/>
                </patternFill>
              </fill>
            </x14:dxf>
          </x14:cfRule>
          <xm:sqref>AD191:AR191</xm:sqref>
        </x14:conditionalFormatting>
        <x14:conditionalFormatting xmlns:xm="http://schemas.microsoft.com/office/excel/2006/main">
          <x14:cfRule type="expression" priority="4702300" id="{0EBB5305-4A4A-4205-A1FF-11160070CBC3}">
            <xm:f>$AS$4='Data entry'!$R68</xm:f>
            <x14:dxf>
              <fill>
                <patternFill>
                  <bgColor rgb="FFFF0000"/>
                </patternFill>
              </fill>
            </x14:dxf>
          </x14:cfRule>
          <xm:sqref>AQ192:BC192</xm:sqref>
        </x14:conditionalFormatting>
        <x14:conditionalFormatting xmlns:xm="http://schemas.microsoft.com/office/excel/2006/main">
          <x14:cfRule type="expression" priority="4702301" id="{AC8EB30C-4253-4CE1-820E-1801F6D8D35B}">
            <xm:f>$AS$4='Data entry'!$R68</xm:f>
            <x14:dxf>
              <fill>
                <patternFill>
                  <bgColor rgb="FFFFFF00"/>
                </patternFill>
              </fill>
            </x14:dxf>
          </x14:cfRule>
          <xm:sqref>AE191:AS191</xm:sqref>
        </x14:conditionalFormatting>
        <x14:conditionalFormatting xmlns:xm="http://schemas.microsoft.com/office/excel/2006/main">
          <x14:cfRule type="expression" priority="4702302" id="{E11744C1-7201-4272-A1B0-945490B42425}">
            <xm:f>$AT$4='Data entry'!$R68</xm:f>
            <x14:dxf>
              <fill>
                <patternFill>
                  <bgColor rgb="FFFF0000"/>
                </patternFill>
              </fill>
            </x14:dxf>
          </x14:cfRule>
          <xm:sqref>AR192:BD192</xm:sqref>
        </x14:conditionalFormatting>
        <x14:conditionalFormatting xmlns:xm="http://schemas.microsoft.com/office/excel/2006/main">
          <x14:cfRule type="expression" priority="4702303" id="{5EE2823B-E955-4EA7-B99C-0B1F77B57A69}">
            <xm:f>$AT$4='Data entry'!$R68</xm:f>
            <x14:dxf>
              <fill>
                <patternFill>
                  <bgColor rgb="FFFFFF00"/>
                </patternFill>
              </fill>
            </x14:dxf>
          </x14:cfRule>
          <xm:sqref>AF191:AT191</xm:sqref>
        </x14:conditionalFormatting>
        <x14:conditionalFormatting xmlns:xm="http://schemas.microsoft.com/office/excel/2006/main">
          <x14:cfRule type="expression" priority="4702304" id="{5737DC63-3262-4B34-900C-2AAEB255FCBA}">
            <xm:f>$AU$4='Data entry'!$R68</xm:f>
            <x14:dxf>
              <fill>
                <patternFill>
                  <bgColor rgb="FFFF0000"/>
                </patternFill>
              </fill>
            </x14:dxf>
          </x14:cfRule>
          <xm:sqref>AS192:BE192</xm:sqref>
        </x14:conditionalFormatting>
        <x14:conditionalFormatting xmlns:xm="http://schemas.microsoft.com/office/excel/2006/main">
          <x14:cfRule type="expression" priority="4702305" id="{2B5C1F1B-3C3D-4CA3-BC64-0E98422075B6}">
            <xm:f>$AU$4='Data entry'!$R68</xm:f>
            <x14:dxf>
              <fill>
                <patternFill>
                  <bgColor rgb="FFFFFF00"/>
                </patternFill>
              </fill>
            </x14:dxf>
          </x14:cfRule>
          <xm:sqref>AG191:AU191</xm:sqref>
        </x14:conditionalFormatting>
        <x14:conditionalFormatting xmlns:xm="http://schemas.microsoft.com/office/excel/2006/main">
          <x14:cfRule type="expression" priority="4702306" id="{B87A1285-B003-4855-8F4B-53C391BA10E6}">
            <xm:f>$AV$4='Data entry'!$R68</xm:f>
            <x14:dxf>
              <fill>
                <patternFill>
                  <bgColor rgb="FFFF0000"/>
                </patternFill>
              </fill>
            </x14:dxf>
          </x14:cfRule>
          <xm:sqref>AT192:BF192</xm:sqref>
        </x14:conditionalFormatting>
        <x14:conditionalFormatting xmlns:xm="http://schemas.microsoft.com/office/excel/2006/main">
          <x14:cfRule type="expression" priority="4702307" id="{338EE31C-78DB-4818-B837-0380F9E457FA}">
            <xm:f>$AV$4='Data entry'!$R68</xm:f>
            <x14:dxf>
              <fill>
                <patternFill>
                  <bgColor rgb="FFFFFF00"/>
                </patternFill>
              </fill>
            </x14:dxf>
          </x14:cfRule>
          <xm:sqref>AH191:AV191</xm:sqref>
        </x14:conditionalFormatting>
        <x14:conditionalFormatting xmlns:xm="http://schemas.microsoft.com/office/excel/2006/main">
          <x14:cfRule type="expression" priority="4702308" id="{5C40EA66-2801-4C91-B885-BF6A1ECFC35C}">
            <xm:f>$AW$4='Data entry'!$R68</xm:f>
            <x14:dxf>
              <fill>
                <patternFill>
                  <bgColor rgb="FFFF0000"/>
                </patternFill>
              </fill>
            </x14:dxf>
          </x14:cfRule>
          <xm:sqref>AU192:BG192</xm:sqref>
        </x14:conditionalFormatting>
        <x14:conditionalFormatting xmlns:xm="http://schemas.microsoft.com/office/excel/2006/main">
          <x14:cfRule type="expression" priority="4702309" id="{51BCD5CE-DF86-4C2F-8A81-DDA1EFD6C8F7}">
            <xm:f>$AW$4='Data entry'!$R68</xm:f>
            <x14:dxf>
              <fill>
                <patternFill>
                  <bgColor rgb="FFFFFF00"/>
                </patternFill>
              </fill>
            </x14:dxf>
          </x14:cfRule>
          <xm:sqref>AI191:AW191</xm:sqref>
        </x14:conditionalFormatting>
        <x14:conditionalFormatting xmlns:xm="http://schemas.microsoft.com/office/excel/2006/main">
          <x14:cfRule type="expression" priority="4702310" id="{DC2ED5A0-8917-4877-8CD3-9DF9BE5993C9}">
            <xm:f>$AX$4='Data entry'!$R68</xm:f>
            <x14:dxf>
              <fill>
                <patternFill>
                  <bgColor rgb="FFFF0000"/>
                </patternFill>
              </fill>
            </x14:dxf>
          </x14:cfRule>
          <xm:sqref>AV192:BH192</xm:sqref>
        </x14:conditionalFormatting>
        <x14:conditionalFormatting xmlns:xm="http://schemas.microsoft.com/office/excel/2006/main">
          <x14:cfRule type="expression" priority="4702311" id="{59B31869-20F9-45BD-BC80-0A6C8945CE2C}">
            <xm:f>$AX$4='Data entry'!$R68</xm:f>
            <x14:dxf>
              <fill>
                <patternFill>
                  <bgColor rgb="FFFFFF00"/>
                </patternFill>
              </fill>
            </x14:dxf>
          </x14:cfRule>
          <xm:sqref>AJ191:AX191</xm:sqref>
        </x14:conditionalFormatting>
        <x14:conditionalFormatting xmlns:xm="http://schemas.microsoft.com/office/excel/2006/main">
          <x14:cfRule type="expression" priority="4702312" id="{D4208FA0-4262-4037-934C-6D0742B2AD8E}">
            <xm:f>$AY$4='Data entry'!$R68</xm:f>
            <x14:dxf>
              <fill>
                <patternFill>
                  <bgColor rgb="FFFF0000"/>
                </patternFill>
              </fill>
            </x14:dxf>
          </x14:cfRule>
          <xm:sqref>AW192:BI192</xm:sqref>
        </x14:conditionalFormatting>
        <x14:conditionalFormatting xmlns:xm="http://schemas.microsoft.com/office/excel/2006/main">
          <x14:cfRule type="expression" priority="4702313" id="{04D6E423-18C7-42B2-A67D-F49D8E62B571}">
            <xm:f>$AY$4='Data entry'!$R68</xm:f>
            <x14:dxf>
              <fill>
                <patternFill>
                  <bgColor rgb="FFFFFF00"/>
                </patternFill>
              </fill>
            </x14:dxf>
          </x14:cfRule>
          <xm:sqref>AK191:AY191</xm:sqref>
        </x14:conditionalFormatting>
        <x14:conditionalFormatting xmlns:xm="http://schemas.microsoft.com/office/excel/2006/main">
          <x14:cfRule type="expression" priority="4702314" id="{A931C203-6E4B-4EBD-A2F4-1876881F48D4}">
            <xm:f>$AZ$4='Data entry'!$R68</xm:f>
            <x14:dxf>
              <fill>
                <patternFill>
                  <bgColor rgb="FFFF0000"/>
                </patternFill>
              </fill>
            </x14:dxf>
          </x14:cfRule>
          <xm:sqref>AX192:BJ192</xm:sqref>
        </x14:conditionalFormatting>
        <x14:conditionalFormatting xmlns:xm="http://schemas.microsoft.com/office/excel/2006/main">
          <x14:cfRule type="expression" priority="4702315" id="{092D9100-E652-40FE-8CAA-720DC0681250}">
            <xm:f>$AZ$4='Data entry'!$R68</xm:f>
            <x14:dxf>
              <fill>
                <patternFill>
                  <bgColor rgb="FFFFFF00"/>
                </patternFill>
              </fill>
            </x14:dxf>
          </x14:cfRule>
          <xm:sqref>AL191:AZ191</xm:sqref>
        </x14:conditionalFormatting>
        <x14:conditionalFormatting xmlns:xm="http://schemas.microsoft.com/office/excel/2006/main">
          <x14:cfRule type="expression" priority="4702316" id="{A3C7E6BE-A225-483C-A983-A915DB662C52}">
            <xm:f>$BA$4='Data entry'!$R68</xm:f>
            <x14:dxf>
              <fill>
                <patternFill>
                  <bgColor rgb="FFFF0000"/>
                </patternFill>
              </fill>
            </x14:dxf>
          </x14:cfRule>
          <xm:sqref>AY192:BK192</xm:sqref>
        </x14:conditionalFormatting>
        <x14:conditionalFormatting xmlns:xm="http://schemas.microsoft.com/office/excel/2006/main">
          <x14:cfRule type="expression" priority="4702317" id="{F5CF569A-8AFA-4CFF-8BD3-F04D8927A99F}">
            <xm:f>$BA$4='Data entry'!$R68</xm:f>
            <x14:dxf>
              <fill>
                <patternFill>
                  <bgColor rgb="FFFFFF00"/>
                </patternFill>
              </fill>
            </x14:dxf>
          </x14:cfRule>
          <xm:sqref>AM191:BA191</xm:sqref>
        </x14:conditionalFormatting>
        <x14:conditionalFormatting xmlns:xm="http://schemas.microsoft.com/office/excel/2006/main">
          <x14:cfRule type="expression" priority="4702318" id="{E4DAC94A-7983-4BFB-A87B-45B58561841A}">
            <xm:f>$BB$4='Data entry'!$R68</xm:f>
            <x14:dxf>
              <fill>
                <patternFill>
                  <bgColor rgb="FFFF0000"/>
                </patternFill>
              </fill>
            </x14:dxf>
          </x14:cfRule>
          <xm:sqref>AZ192:BL192</xm:sqref>
        </x14:conditionalFormatting>
        <x14:conditionalFormatting xmlns:xm="http://schemas.microsoft.com/office/excel/2006/main">
          <x14:cfRule type="expression" priority="4702319" id="{E63849C5-F39B-4B0E-8F8A-B532EDF2CBAE}">
            <xm:f>$BB$4='Data entry'!$R68</xm:f>
            <x14:dxf>
              <fill>
                <patternFill>
                  <bgColor rgb="FFFFFF00"/>
                </patternFill>
              </fill>
            </x14:dxf>
          </x14:cfRule>
          <xm:sqref>AN191:BB191</xm:sqref>
        </x14:conditionalFormatting>
        <x14:conditionalFormatting xmlns:xm="http://schemas.microsoft.com/office/excel/2006/main">
          <x14:cfRule type="expression" priority="4702320" id="{4FDC32D3-C1F5-455D-9AA4-A03359B72526}">
            <xm:f>$BC$4='Data entry'!$R68</xm:f>
            <x14:dxf>
              <fill>
                <patternFill>
                  <bgColor rgb="FFFF0000"/>
                </patternFill>
              </fill>
            </x14:dxf>
          </x14:cfRule>
          <xm:sqref>BA192:BM192</xm:sqref>
        </x14:conditionalFormatting>
        <x14:conditionalFormatting xmlns:xm="http://schemas.microsoft.com/office/excel/2006/main">
          <x14:cfRule type="expression" priority="4702321" id="{5F0D0C60-B233-4C56-B05D-98C99990877F}">
            <xm:f>$BC$4='Data entry'!$R68</xm:f>
            <x14:dxf>
              <fill>
                <patternFill>
                  <bgColor rgb="FFFFFF00"/>
                </patternFill>
              </fill>
            </x14:dxf>
          </x14:cfRule>
          <xm:sqref>AO191:BC191</xm:sqref>
        </x14:conditionalFormatting>
        <x14:conditionalFormatting xmlns:xm="http://schemas.microsoft.com/office/excel/2006/main">
          <x14:cfRule type="expression" priority="4702322" id="{9EBCB60F-8135-43B6-A0F3-548D4092CC98}">
            <xm:f>$BD$4='Data entry'!$R68</xm:f>
            <x14:dxf>
              <fill>
                <patternFill>
                  <bgColor rgb="FFFF0000"/>
                </patternFill>
              </fill>
            </x14:dxf>
          </x14:cfRule>
          <xm:sqref>BB192:BN192</xm:sqref>
        </x14:conditionalFormatting>
        <x14:conditionalFormatting xmlns:xm="http://schemas.microsoft.com/office/excel/2006/main">
          <x14:cfRule type="expression" priority="4702323" id="{961AF346-4A73-41ED-9A8D-27D431B09C05}">
            <xm:f>$BD$4='Data entry'!$R68</xm:f>
            <x14:dxf>
              <fill>
                <patternFill>
                  <bgColor rgb="FFFFFF00"/>
                </patternFill>
              </fill>
            </x14:dxf>
          </x14:cfRule>
          <xm:sqref>AP191:BD191</xm:sqref>
        </x14:conditionalFormatting>
        <x14:conditionalFormatting xmlns:xm="http://schemas.microsoft.com/office/excel/2006/main">
          <x14:cfRule type="expression" priority="4702324" id="{5A887026-27CD-4F8C-8BA6-1E92704C1CA6}">
            <xm:f>$BE$4='Data entry'!$R68</xm:f>
            <x14:dxf>
              <fill>
                <patternFill>
                  <bgColor rgb="FFFF0000"/>
                </patternFill>
              </fill>
            </x14:dxf>
          </x14:cfRule>
          <xm:sqref>BC192:BO192</xm:sqref>
        </x14:conditionalFormatting>
        <x14:conditionalFormatting xmlns:xm="http://schemas.microsoft.com/office/excel/2006/main">
          <x14:cfRule type="expression" priority="4702325" id="{7F46217B-A1E9-4515-B31E-E756FCD7C6D9}">
            <xm:f>$BE$4='Data entry'!$R68</xm:f>
            <x14:dxf>
              <fill>
                <patternFill>
                  <bgColor rgb="FFFFFF00"/>
                </patternFill>
              </fill>
            </x14:dxf>
          </x14:cfRule>
          <xm:sqref>AP191:BE191</xm:sqref>
        </x14:conditionalFormatting>
        <x14:conditionalFormatting xmlns:xm="http://schemas.microsoft.com/office/excel/2006/main">
          <x14:cfRule type="expression" priority="4702326" id="{F4D9285C-8CA0-4EF1-943E-6A462D47CC77}">
            <xm:f>$BF$4='Data entry'!$R68</xm:f>
            <x14:dxf>
              <fill>
                <patternFill>
                  <bgColor rgb="FFFF0000"/>
                </patternFill>
              </fill>
            </x14:dxf>
          </x14:cfRule>
          <xm:sqref>BD192:BP192</xm:sqref>
        </x14:conditionalFormatting>
        <x14:conditionalFormatting xmlns:xm="http://schemas.microsoft.com/office/excel/2006/main">
          <x14:cfRule type="expression" priority="4702327" id="{B9E4407D-651D-4DC0-9D61-3271D62A65E9}">
            <xm:f>$BF$4='Data entry'!$R68</xm:f>
            <x14:dxf>
              <fill>
                <patternFill>
                  <bgColor rgb="FFFFFF00"/>
                </patternFill>
              </fill>
            </x14:dxf>
          </x14:cfRule>
          <xm:sqref>AR191:BF191</xm:sqref>
        </x14:conditionalFormatting>
        <x14:conditionalFormatting xmlns:xm="http://schemas.microsoft.com/office/excel/2006/main">
          <x14:cfRule type="expression" priority="4702328" id="{4CDC062F-DDFF-4556-B941-08F919727F69}">
            <xm:f>$BG$4='Data entry'!$R68</xm:f>
            <x14:dxf>
              <fill>
                <patternFill>
                  <bgColor rgb="FFFF0000"/>
                </patternFill>
              </fill>
            </x14:dxf>
          </x14:cfRule>
          <xm:sqref>BE192:BQ192</xm:sqref>
        </x14:conditionalFormatting>
        <x14:conditionalFormatting xmlns:xm="http://schemas.microsoft.com/office/excel/2006/main">
          <x14:cfRule type="expression" priority="4702329" id="{789184FA-9055-433B-8A1B-92C7ED59E81F}">
            <xm:f>$BG$4='Data entry'!$R68</xm:f>
            <x14:dxf>
              <fill>
                <patternFill>
                  <bgColor rgb="FFFFFF00"/>
                </patternFill>
              </fill>
            </x14:dxf>
          </x14:cfRule>
          <xm:sqref>AS191:BG191</xm:sqref>
        </x14:conditionalFormatting>
        <x14:conditionalFormatting xmlns:xm="http://schemas.microsoft.com/office/excel/2006/main">
          <x14:cfRule type="expression" priority="4702330" id="{58651E5C-09C9-46C1-B95C-E8A578A49E15}">
            <xm:f>$BH$4='Data entry'!$R68</xm:f>
            <x14:dxf>
              <fill>
                <patternFill>
                  <bgColor rgb="FFFFFF00"/>
                </patternFill>
              </fill>
            </x14:dxf>
          </x14:cfRule>
          <xm:sqref>AT191:BH191</xm:sqref>
        </x14:conditionalFormatting>
        <x14:conditionalFormatting xmlns:xm="http://schemas.microsoft.com/office/excel/2006/main">
          <x14:cfRule type="expression" priority="4702331" id="{97B30B86-8311-4DC0-A533-8C0D53F37839}">
            <xm:f>$BH$4='Data entry'!$R68</xm:f>
            <x14:dxf>
              <fill>
                <patternFill>
                  <bgColor rgb="FFFF0000"/>
                </patternFill>
              </fill>
            </x14:dxf>
          </x14:cfRule>
          <xm:sqref>BF192:BR192</xm:sqref>
        </x14:conditionalFormatting>
        <x14:conditionalFormatting xmlns:xm="http://schemas.microsoft.com/office/excel/2006/main">
          <x14:cfRule type="expression" priority="4702332" id="{78344C0C-5AEA-40B1-A20C-6D77DF58E1F5}">
            <xm:f>$BI$4='Data entry'!$R68</xm:f>
            <x14:dxf>
              <fill>
                <patternFill>
                  <bgColor rgb="FFFFFF00"/>
                </patternFill>
              </fill>
            </x14:dxf>
          </x14:cfRule>
          <xm:sqref>AU191:BI191</xm:sqref>
        </x14:conditionalFormatting>
        <x14:conditionalFormatting xmlns:xm="http://schemas.microsoft.com/office/excel/2006/main">
          <x14:cfRule type="expression" priority="4702333" id="{A9CE044F-482E-4F25-B28F-89ACC58502B1}">
            <xm:f>$BI$4='Data entry'!$R68</xm:f>
            <x14:dxf>
              <fill>
                <patternFill>
                  <bgColor rgb="FFFF0000"/>
                </patternFill>
              </fill>
            </x14:dxf>
          </x14:cfRule>
          <xm:sqref>BG192:BS192</xm:sqref>
        </x14:conditionalFormatting>
        <x14:conditionalFormatting xmlns:xm="http://schemas.microsoft.com/office/excel/2006/main">
          <x14:cfRule type="expression" priority="4702334" id="{F63BE0EB-3C71-4456-BEF0-11180AB7A8BB}">
            <xm:f>$BJ$4='Data entry'!$R68</xm:f>
            <x14:dxf>
              <fill>
                <patternFill>
                  <bgColor rgb="FFFFFF00"/>
                </patternFill>
              </fill>
            </x14:dxf>
          </x14:cfRule>
          <xm:sqref>AV191:BJ191</xm:sqref>
        </x14:conditionalFormatting>
        <x14:conditionalFormatting xmlns:xm="http://schemas.microsoft.com/office/excel/2006/main">
          <x14:cfRule type="expression" priority="4702335" id="{478A5DCB-1DAA-4497-A6CC-B4F01FB96D10}">
            <xm:f>$BJ$4='Data entry'!$R68</xm:f>
            <x14:dxf>
              <fill>
                <patternFill>
                  <bgColor rgb="FFFF0000"/>
                </patternFill>
              </fill>
            </x14:dxf>
          </x14:cfRule>
          <xm:sqref>BH192:BT192</xm:sqref>
        </x14:conditionalFormatting>
        <x14:conditionalFormatting xmlns:xm="http://schemas.microsoft.com/office/excel/2006/main">
          <x14:cfRule type="expression" priority="4702336" id="{CDE4AD5B-65A6-4FA4-9EC0-8D05F22312A9}">
            <xm:f>$BK$4='Data entry'!$R68</xm:f>
            <x14:dxf>
              <fill>
                <patternFill>
                  <bgColor rgb="FFFF0000"/>
                </patternFill>
              </fill>
            </x14:dxf>
          </x14:cfRule>
          <xm:sqref>BI192:BU192</xm:sqref>
        </x14:conditionalFormatting>
        <x14:conditionalFormatting xmlns:xm="http://schemas.microsoft.com/office/excel/2006/main">
          <x14:cfRule type="expression" priority="4702337" id="{AB32E790-6CD8-4D11-9A69-57D785FE4BBC}">
            <xm:f>$BK$4='Data entry'!$R68</xm:f>
            <x14:dxf>
              <fill>
                <patternFill>
                  <bgColor rgb="FFFFFF00"/>
                </patternFill>
              </fill>
            </x14:dxf>
          </x14:cfRule>
          <xm:sqref>AW191:BK191</xm:sqref>
        </x14:conditionalFormatting>
        <x14:conditionalFormatting xmlns:xm="http://schemas.microsoft.com/office/excel/2006/main">
          <x14:cfRule type="expression" priority="4702338" id="{99810EB9-805C-43D8-852A-EEECE7874CDB}">
            <xm:f>$BL$4='Data entry'!$R68</xm:f>
            <x14:dxf>
              <fill>
                <patternFill>
                  <bgColor rgb="FFFF0000"/>
                </patternFill>
              </fill>
            </x14:dxf>
          </x14:cfRule>
          <xm:sqref>BJ192:BV192</xm:sqref>
        </x14:conditionalFormatting>
        <x14:conditionalFormatting xmlns:xm="http://schemas.microsoft.com/office/excel/2006/main">
          <x14:cfRule type="expression" priority="4702339" id="{BF5F5475-4E46-479C-97A6-D5175F5D1803}">
            <xm:f>$BL$4='Data entry'!$R68</xm:f>
            <x14:dxf>
              <fill>
                <patternFill>
                  <bgColor rgb="FFFFFF00"/>
                </patternFill>
              </fill>
            </x14:dxf>
          </x14:cfRule>
          <xm:sqref>AX191:BL191</xm:sqref>
        </x14:conditionalFormatting>
        <x14:conditionalFormatting xmlns:xm="http://schemas.microsoft.com/office/excel/2006/main">
          <x14:cfRule type="expression" priority="4702340" id="{B86FDF2F-16C9-46B1-847E-7EA1A8A34B9D}">
            <xm:f>$BM$4='Data entry'!$R68</xm:f>
            <x14:dxf>
              <fill>
                <patternFill>
                  <bgColor rgb="FFFF0000"/>
                </patternFill>
              </fill>
            </x14:dxf>
          </x14:cfRule>
          <xm:sqref>BK192:BW192</xm:sqref>
        </x14:conditionalFormatting>
        <x14:conditionalFormatting xmlns:xm="http://schemas.microsoft.com/office/excel/2006/main">
          <x14:cfRule type="expression" priority="4702341" id="{72FD189F-4CED-400D-9FEF-21A328970A4D}">
            <xm:f>$BM$4='Data entry'!$R68</xm:f>
            <x14:dxf>
              <fill>
                <patternFill>
                  <bgColor rgb="FFFFFF00"/>
                </patternFill>
              </fill>
            </x14:dxf>
          </x14:cfRule>
          <xm:sqref>AY191:BM191</xm:sqref>
        </x14:conditionalFormatting>
        <x14:conditionalFormatting xmlns:xm="http://schemas.microsoft.com/office/excel/2006/main">
          <x14:cfRule type="expression" priority="4702342" id="{BBBBF859-D5A7-4F55-BFBF-8A77E3357590}">
            <xm:f>$BN$4='Data entry'!$R68</xm:f>
            <x14:dxf>
              <fill>
                <patternFill>
                  <bgColor rgb="FFFF0000"/>
                </patternFill>
              </fill>
            </x14:dxf>
          </x14:cfRule>
          <xm:sqref>BL192:BX192</xm:sqref>
        </x14:conditionalFormatting>
        <x14:conditionalFormatting xmlns:xm="http://schemas.microsoft.com/office/excel/2006/main">
          <x14:cfRule type="expression" priority="4702343" id="{50CB1D75-0FD5-4D24-92B1-E8A41DC6575C}">
            <xm:f>$BN$4='Data entry'!$R68</xm:f>
            <x14:dxf>
              <fill>
                <patternFill>
                  <bgColor rgb="FFFFFF00"/>
                </patternFill>
              </fill>
            </x14:dxf>
          </x14:cfRule>
          <xm:sqref>AZ191:BN191</xm:sqref>
        </x14:conditionalFormatting>
        <x14:conditionalFormatting xmlns:xm="http://schemas.microsoft.com/office/excel/2006/main">
          <x14:cfRule type="expression" priority="4702344" id="{9EF3226D-E8FC-496B-A6FF-71776AEA54D1}">
            <xm:f>$BO$4='Data entry'!$R68</xm:f>
            <x14:dxf>
              <fill>
                <patternFill>
                  <bgColor rgb="FFFF0000"/>
                </patternFill>
              </fill>
            </x14:dxf>
          </x14:cfRule>
          <xm:sqref>BM192:BY192</xm:sqref>
        </x14:conditionalFormatting>
        <x14:conditionalFormatting xmlns:xm="http://schemas.microsoft.com/office/excel/2006/main">
          <x14:cfRule type="expression" priority="4702345" id="{3B86C801-ECFE-4D05-8AA5-1581116BAFBC}">
            <xm:f>$BO$4='Data entry'!$R68</xm:f>
            <x14:dxf>
              <fill>
                <patternFill>
                  <bgColor rgb="FFFFFF00"/>
                </patternFill>
              </fill>
            </x14:dxf>
          </x14:cfRule>
          <xm:sqref>BA191:BO191</xm:sqref>
        </x14:conditionalFormatting>
        <x14:conditionalFormatting xmlns:xm="http://schemas.microsoft.com/office/excel/2006/main">
          <x14:cfRule type="expression" priority="4702346" id="{058A23EC-3371-4A02-9F20-1ECA603AC6BC}">
            <xm:f>$BP$4='Data entry'!$R68</xm:f>
            <x14:dxf>
              <fill>
                <patternFill>
                  <bgColor rgb="FFFF0000"/>
                </patternFill>
              </fill>
            </x14:dxf>
          </x14:cfRule>
          <xm:sqref>BN192:BZ192</xm:sqref>
        </x14:conditionalFormatting>
        <x14:conditionalFormatting xmlns:xm="http://schemas.microsoft.com/office/excel/2006/main">
          <x14:cfRule type="expression" priority="4702347" id="{3E711E31-3992-4555-AB22-87133D60CD15}">
            <xm:f>$BP$4='Data entry'!$R68</xm:f>
            <x14:dxf>
              <fill>
                <patternFill>
                  <bgColor rgb="FFFFFF00"/>
                </patternFill>
              </fill>
            </x14:dxf>
          </x14:cfRule>
          <xm:sqref>BB191:BP191</xm:sqref>
        </x14:conditionalFormatting>
        <x14:conditionalFormatting xmlns:xm="http://schemas.microsoft.com/office/excel/2006/main">
          <x14:cfRule type="expression" priority="4702348" id="{23E9F8B9-37D5-4730-9453-6F23E8ECBBE3}">
            <xm:f>$BQ$4='Data entry'!$R68</xm:f>
            <x14:dxf>
              <fill>
                <patternFill>
                  <bgColor rgb="FFFFFF00"/>
                </patternFill>
              </fill>
            </x14:dxf>
          </x14:cfRule>
          <xm:sqref>BC191:BQ191</xm:sqref>
        </x14:conditionalFormatting>
        <x14:conditionalFormatting xmlns:xm="http://schemas.microsoft.com/office/excel/2006/main">
          <x14:cfRule type="expression" priority="4702349" id="{BCFD92F6-AAD3-44FD-BC61-A292A81B883E}">
            <xm:f>$BQ$4='Data entry'!$R68</xm:f>
            <x14:dxf>
              <fill>
                <patternFill>
                  <bgColor rgb="FFFF0000"/>
                </patternFill>
              </fill>
            </x14:dxf>
          </x14:cfRule>
          <xm:sqref>BO192:CA192</xm:sqref>
        </x14:conditionalFormatting>
        <x14:conditionalFormatting xmlns:xm="http://schemas.microsoft.com/office/excel/2006/main">
          <x14:cfRule type="expression" priority="4702350" id="{357D60E5-F356-477E-8020-A18F42C02832}">
            <xm:f>$BR$4='Data entry'!$R68</xm:f>
            <x14:dxf>
              <fill>
                <patternFill>
                  <bgColor rgb="FFFFFF00"/>
                </patternFill>
              </fill>
            </x14:dxf>
          </x14:cfRule>
          <xm:sqref>BD191:BR191</xm:sqref>
        </x14:conditionalFormatting>
        <x14:conditionalFormatting xmlns:xm="http://schemas.microsoft.com/office/excel/2006/main">
          <x14:cfRule type="expression" priority="4702351" id="{DA2B6511-43B3-432D-B6AA-1DB1188B90A6}">
            <xm:f>$BR$4='Data entry'!$R68</xm:f>
            <x14:dxf>
              <fill>
                <patternFill>
                  <bgColor rgb="FFFF0000"/>
                </patternFill>
              </fill>
            </x14:dxf>
          </x14:cfRule>
          <xm:sqref>BP192:CB192</xm:sqref>
        </x14:conditionalFormatting>
        <x14:conditionalFormatting xmlns:xm="http://schemas.microsoft.com/office/excel/2006/main">
          <x14:cfRule type="expression" priority="4702352" id="{0D5F64E4-4136-4BFA-B833-CC8578525D9C}">
            <xm:f>$BS$4='Data entry'!$R68</xm:f>
            <x14:dxf>
              <fill>
                <patternFill>
                  <bgColor rgb="FFFFFF00"/>
                </patternFill>
              </fill>
            </x14:dxf>
          </x14:cfRule>
          <xm:sqref>BE191:BS191</xm:sqref>
        </x14:conditionalFormatting>
        <x14:conditionalFormatting xmlns:xm="http://schemas.microsoft.com/office/excel/2006/main">
          <x14:cfRule type="expression" priority="4702353" id="{AC94D468-F078-4AE2-8771-102996E07B09}">
            <xm:f>$BS$4='Data entry'!$R68</xm:f>
            <x14:dxf>
              <fill>
                <patternFill>
                  <bgColor rgb="FFFF0000"/>
                </patternFill>
              </fill>
            </x14:dxf>
          </x14:cfRule>
          <xm:sqref>BQ192:CC192</xm:sqref>
        </x14:conditionalFormatting>
        <x14:conditionalFormatting xmlns:xm="http://schemas.microsoft.com/office/excel/2006/main">
          <x14:cfRule type="expression" priority="4702354" id="{10E78F76-181E-4F19-9F89-7DD36D3EFE30}">
            <xm:f>$BT$4='Data entry'!$R68</xm:f>
            <x14:dxf>
              <fill>
                <patternFill>
                  <bgColor rgb="FFFFFF00"/>
                </patternFill>
              </fill>
            </x14:dxf>
          </x14:cfRule>
          <xm:sqref>BF191:BT191</xm:sqref>
        </x14:conditionalFormatting>
        <x14:conditionalFormatting xmlns:xm="http://schemas.microsoft.com/office/excel/2006/main">
          <x14:cfRule type="expression" priority="4702355" id="{6A5FADC6-9512-4EFB-90A5-7B5244D10D1F}">
            <xm:f>$BT$4='Data entry'!$R68</xm:f>
            <x14:dxf>
              <fill>
                <patternFill>
                  <bgColor rgb="FFFF0000"/>
                </patternFill>
              </fill>
            </x14:dxf>
          </x14:cfRule>
          <xm:sqref>BR192:CC192</xm:sqref>
        </x14:conditionalFormatting>
        <x14:conditionalFormatting xmlns:xm="http://schemas.microsoft.com/office/excel/2006/main">
          <x14:cfRule type="expression" priority="4702356" id="{A51139D1-8841-4B96-B8CB-DFE3808765CF}">
            <xm:f>$BU$4='Data entry'!$R68</xm:f>
            <x14:dxf>
              <fill>
                <patternFill>
                  <bgColor rgb="FFFFFF00"/>
                </patternFill>
              </fill>
            </x14:dxf>
          </x14:cfRule>
          <xm:sqref>BG191:BU191</xm:sqref>
        </x14:conditionalFormatting>
        <x14:conditionalFormatting xmlns:xm="http://schemas.microsoft.com/office/excel/2006/main">
          <x14:cfRule type="expression" priority="4702357" id="{55CA7258-760F-4BFF-ACB5-A70FEB3E7981}">
            <xm:f>$BU$4='Data entry'!$R68</xm:f>
            <x14:dxf>
              <fill>
                <patternFill>
                  <bgColor rgb="FFFF0000"/>
                </patternFill>
              </fill>
            </x14:dxf>
          </x14:cfRule>
          <xm:sqref>BS192:CC192</xm:sqref>
        </x14:conditionalFormatting>
        <x14:conditionalFormatting xmlns:xm="http://schemas.microsoft.com/office/excel/2006/main">
          <x14:cfRule type="expression" priority="4702358" id="{A922B218-64DB-4CBB-9AB8-FE0EBB44E09E}">
            <xm:f>$BV$4='Data entry'!$R68</xm:f>
            <x14:dxf>
              <fill>
                <patternFill>
                  <bgColor rgb="FFFFFF00"/>
                </patternFill>
              </fill>
            </x14:dxf>
          </x14:cfRule>
          <xm:sqref>BH191:BV191</xm:sqref>
        </x14:conditionalFormatting>
        <x14:conditionalFormatting xmlns:xm="http://schemas.microsoft.com/office/excel/2006/main">
          <x14:cfRule type="expression" priority="4702359" id="{C98E908A-CD31-4778-B41C-7AFB9DBE639A}">
            <xm:f>$BV$4='Data entry'!$R68</xm:f>
            <x14:dxf>
              <fill>
                <patternFill>
                  <bgColor rgb="FFFF0000"/>
                </patternFill>
              </fill>
            </x14:dxf>
          </x14:cfRule>
          <xm:sqref>BT192:CC192</xm:sqref>
        </x14:conditionalFormatting>
        <x14:conditionalFormatting xmlns:xm="http://schemas.microsoft.com/office/excel/2006/main">
          <x14:cfRule type="expression" priority="4702360" id="{465CCCA3-B4DB-4B61-8AC7-8A5E4CEC9E3F}">
            <xm:f>$BW$4='Data entry'!$R68</xm:f>
            <x14:dxf>
              <fill>
                <patternFill>
                  <bgColor rgb="FFFFFF00"/>
                </patternFill>
              </fill>
            </x14:dxf>
          </x14:cfRule>
          <xm:sqref>BI191:BW191</xm:sqref>
        </x14:conditionalFormatting>
        <x14:conditionalFormatting xmlns:xm="http://schemas.microsoft.com/office/excel/2006/main">
          <x14:cfRule type="expression" priority="4702361" id="{37566F97-6D06-400B-A709-FE657B07687F}">
            <xm:f>$BW$4='Data entry'!$R68</xm:f>
            <x14:dxf>
              <fill>
                <patternFill>
                  <bgColor rgb="FFFF0000"/>
                </patternFill>
              </fill>
            </x14:dxf>
          </x14:cfRule>
          <xm:sqref>BU192:CC192</xm:sqref>
        </x14:conditionalFormatting>
        <x14:conditionalFormatting xmlns:xm="http://schemas.microsoft.com/office/excel/2006/main">
          <x14:cfRule type="expression" priority="4702362" id="{D8FBA3AC-5CF0-4E45-97CA-1D4DEE729ADA}">
            <xm:f>$BX$4='Data entry'!$R68</xm:f>
            <x14:dxf>
              <fill>
                <patternFill>
                  <bgColor rgb="FFFFFF00"/>
                </patternFill>
              </fill>
            </x14:dxf>
          </x14:cfRule>
          <xm:sqref>BJ191:BX191</xm:sqref>
        </x14:conditionalFormatting>
        <x14:conditionalFormatting xmlns:xm="http://schemas.microsoft.com/office/excel/2006/main">
          <x14:cfRule type="expression" priority="4702363" id="{E077C84B-A94F-431D-B232-4AFCC7C64F54}">
            <xm:f>$BX$4='Data entry'!$R68</xm:f>
            <x14:dxf>
              <fill>
                <patternFill>
                  <bgColor rgb="FFFF0000"/>
                </patternFill>
              </fill>
            </x14:dxf>
          </x14:cfRule>
          <xm:sqref>BV192:CC192</xm:sqref>
        </x14:conditionalFormatting>
        <x14:conditionalFormatting xmlns:xm="http://schemas.microsoft.com/office/excel/2006/main">
          <x14:cfRule type="expression" priority="4702364" id="{63783BA8-0C97-4A44-86FD-7A2BCF1B9957}">
            <xm:f>$BY$4='Data entry'!$R68</xm:f>
            <x14:dxf>
              <fill>
                <patternFill>
                  <bgColor rgb="FFFFFF00"/>
                </patternFill>
              </fill>
            </x14:dxf>
          </x14:cfRule>
          <xm:sqref>BK191:BY191</xm:sqref>
        </x14:conditionalFormatting>
        <x14:conditionalFormatting xmlns:xm="http://schemas.microsoft.com/office/excel/2006/main">
          <x14:cfRule type="expression" priority="4702365" id="{BB8DB8B4-B71B-46D2-AEE7-346F16103F74}">
            <xm:f>$BY$4='Data entry'!$R68</xm:f>
            <x14:dxf>
              <fill>
                <patternFill>
                  <bgColor rgb="FFFF0000"/>
                </patternFill>
              </fill>
            </x14:dxf>
          </x14:cfRule>
          <xm:sqref>BW192:CC192</xm:sqref>
        </x14:conditionalFormatting>
        <x14:conditionalFormatting xmlns:xm="http://schemas.microsoft.com/office/excel/2006/main">
          <x14:cfRule type="expression" priority="4702366" id="{1B638B98-2B06-4FEB-90C1-446A3E0A3979}">
            <xm:f>$BZ$4='Data entry'!$R68</xm:f>
            <x14:dxf>
              <fill>
                <patternFill>
                  <bgColor rgb="FFFFFF00"/>
                </patternFill>
              </fill>
            </x14:dxf>
          </x14:cfRule>
          <xm:sqref>BL191:BZ191</xm:sqref>
        </x14:conditionalFormatting>
        <x14:conditionalFormatting xmlns:xm="http://schemas.microsoft.com/office/excel/2006/main">
          <x14:cfRule type="expression" priority="4702367" id="{D3A0A2F8-D1B2-4DC5-B2A9-0EF53074E685}">
            <xm:f>$BZ$4='Data entry'!$R68</xm:f>
            <x14:dxf>
              <fill>
                <patternFill>
                  <bgColor rgb="FFFF0000"/>
                </patternFill>
              </fill>
            </x14:dxf>
          </x14:cfRule>
          <xm:sqref>BX192:CC192</xm:sqref>
        </x14:conditionalFormatting>
        <x14:conditionalFormatting xmlns:xm="http://schemas.microsoft.com/office/excel/2006/main">
          <x14:cfRule type="expression" priority="4702368" id="{83F6D018-7D3B-4D33-9998-11572F2F2FF5}">
            <xm:f>$CA$4='Data entry'!$R68</xm:f>
            <x14:dxf>
              <fill>
                <patternFill>
                  <bgColor rgb="FFFFFF00"/>
                </patternFill>
              </fill>
            </x14:dxf>
          </x14:cfRule>
          <xm:sqref>BM191:CA191</xm:sqref>
        </x14:conditionalFormatting>
        <x14:conditionalFormatting xmlns:xm="http://schemas.microsoft.com/office/excel/2006/main">
          <x14:cfRule type="expression" priority="4702369" id="{8E6D0B51-5626-4ED9-9072-C7A2C139704F}">
            <xm:f>$CA$4='Data entry'!$R68</xm:f>
            <x14:dxf>
              <fill>
                <patternFill>
                  <bgColor rgb="FFFF0000"/>
                </patternFill>
              </fill>
            </x14:dxf>
          </x14:cfRule>
          <xm:sqref>BY192:CC192</xm:sqref>
        </x14:conditionalFormatting>
        <x14:conditionalFormatting xmlns:xm="http://schemas.microsoft.com/office/excel/2006/main">
          <x14:cfRule type="expression" priority="4702370" id="{E1886EE4-3BDE-43A9-9F4B-79377FEC37FE}">
            <xm:f>$CB$4='Data entry'!$R68</xm:f>
            <x14:dxf>
              <fill>
                <patternFill>
                  <bgColor rgb="FFFFFF00"/>
                </patternFill>
              </fill>
            </x14:dxf>
          </x14:cfRule>
          <xm:sqref>BN191:CB191</xm:sqref>
        </x14:conditionalFormatting>
        <x14:conditionalFormatting xmlns:xm="http://schemas.microsoft.com/office/excel/2006/main">
          <x14:cfRule type="expression" priority="4702371" id="{ADEF572A-6C18-4602-BB86-01C96D36E07E}">
            <xm:f>$CB$4='Data entry'!$R68</xm:f>
            <x14:dxf>
              <fill>
                <patternFill>
                  <bgColor rgb="FFFF0000"/>
                </patternFill>
              </fill>
            </x14:dxf>
          </x14:cfRule>
          <xm:sqref>BZ192:CC192</xm:sqref>
        </x14:conditionalFormatting>
        <x14:conditionalFormatting xmlns:xm="http://schemas.microsoft.com/office/excel/2006/main">
          <x14:cfRule type="expression" priority="4702372" id="{7984E1C9-E073-4955-8543-62145CB6D008}">
            <xm:f>$CC$4='Data entry'!$R68</xm:f>
            <x14:dxf>
              <fill>
                <patternFill>
                  <bgColor rgb="FFFFFF00"/>
                </patternFill>
              </fill>
            </x14:dxf>
          </x14:cfRule>
          <xm:sqref>BO191:CC191</xm:sqref>
        </x14:conditionalFormatting>
        <x14:conditionalFormatting xmlns:xm="http://schemas.microsoft.com/office/excel/2006/main">
          <x14:cfRule type="expression" priority="4702373" id="{18A957B3-59FA-4698-BA92-2A208FF18E2F}">
            <xm:f>$CC$4='Data entry'!$R68</xm:f>
            <x14:dxf>
              <fill>
                <patternFill>
                  <bgColor rgb="FFFF0000"/>
                </patternFill>
              </fill>
            </x14:dxf>
          </x14:cfRule>
          <xm:sqref>CA192:CC192</xm:sqref>
        </x14:conditionalFormatting>
        <x14:conditionalFormatting xmlns:xm="http://schemas.microsoft.com/office/excel/2006/main">
          <x14:cfRule type="expression" priority="4702460" id="{5B0DB825-B7C2-40AC-B7EF-F267F054CFB9}">
            <xm:f>$U$4='Data entry'!$R69</xm:f>
            <x14:dxf>
              <fill>
                <patternFill>
                  <bgColor rgb="FFFF0000"/>
                </patternFill>
              </fill>
            </x14:dxf>
          </x14:cfRule>
          <xm:sqref>S195:AE195</xm:sqref>
        </x14:conditionalFormatting>
        <x14:conditionalFormatting xmlns:xm="http://schemas.microsoft.com/office/excel/2006/main">
          <x14:cfRule type="expression" priority="4702461" id="{18311200-E2BB-400F-B594-3B9A2C6068C2}">
            <xm:f>$V$4='Data entry'!$R69</xm:f>
            <x14:dxf>
              <fill>
                <patternFill>
                  <bgColor rgb="FFFF0000"/>
                </patternFill>
              </fill>
            </x14:dxf>
          </x14:cfRule>
          <xm:sqref>T195:AF195</xm:sqref>
        </x14:conditionalFormatting>
        <x14:conditionalFormatting xmlns:xm="http://schemas.microsoft.com/office/excel/2006/main">
          <x14:cfRule type="expression" priority="4702462" id="{D6DFB621-1A58-4C59-A987-ECAD0EB2D32B}">
            <xm:f>$V$4='Data entry'!$R69</xm:f>
            <x14:dxf>
              <fill>
                <patternFill>
                  <bgColor rgb="FFFFFF00"/>
                </patternFill>
              </fill>
            </x14:dxf>
          </x14:cfRule>
          <xm:sqref>H194:V194</xm:sqref>
        </x14:conditionalFormatting>
        <x14:conditionalFormatting xmlns:xm="http://schemas.microsoft.com/office/excel/2006/main">
          <x14:cfRule type="expression" priority="4702463" id="{5F87A680-DC5F-433D-A779-B7A534ACCDA9}">
            <xm:f>$W$4='Data entry'!$R69</xm:f>
            <x14:dxf>
              <fill>
                <patternFill>
                  <bgColor rgb="FFFF0000"/>
                </patternFill>
              </fill>
            </x14:dxf>
          </x14:cfRule>
          <xm:sqref>U195:AG195</xm:sqref>
        </x14:conditionalFormatting>
        <x14:conditionalFormatting xmlns:xm="http://schemas.microsoft.com/office/excel/2006/main">
          <x14:cfRule type="expression" priority="4702464" id="{964539FF-A92C-4F68-B268-B7157A32678C}">
            <xm:f>$W$4='Data entry'!$R69</xm:f>
            <x14:dxf>
              <fill>
                <patternFill>
                  <bgColor rgb="FFFFFF00"/>
                </patternFill>
              </fill>
            </x14:dxf>
          </x14:cfRule>
          <xm:sqref>I194:W194</xm:sqref>
        </x14:conditionalFormatting>
        <x14:conditionalFormatting xmlns:xm="http://schemas.microsoft.com/office/excel/2006/main">
          <x14:cfRule type="expression" priority="4702465" id="{46C1533A-F090-4A90-9309-3F59EC3FD3B0}">
            <xm:f>$X$4='Data entry'!$R69</xm:f>
            <x14:dxf>
              <fill>
                <patternFill>
                  <bgColor rgb="FFFF0000"/>
                </patternFill>
              </fill>
            </x14:dxf>
          </x14:cfRule>
          <xm:sqref>V195:AH195</xm:sqref>
        </x14:conditionalFormatting>
        <x14:conditionalFormatting xmlns:xm="http://schemas.microsoft.com/office/excel/2006/main">
          <x14:cfRule type="expression" priority="4702466" id="{7C70E81C-DDD4-4D75-933A-4F6A39893184}">
            <xm:f>$X$4='Data entry'!$R69</xm:f>
            <x14:dxf>
              <fill>
                <patternFill>
                  <bgColor rgb="FFFFFF00"/>
                </patternFill>
              </fill>
            </x14:dxf>
          </x14:cfRule>
          <xm:sqref>J194:X194</xm:sqref>
        </x14:conditionalFormatting>
        <x14:conditionalFormatting xmlns:xm="http://schemas.microsoft.com/office/excel/2006/main">
          <x14:cfRule type="expression" priority="4702467" id="{561AF073-0EF8-4B72-A119-40A639C4359D}">
            <xm:f>$Y$4='Data entry'!$R69</xm:f>
            <x14:dxf>
              <fill>
                <patternFill>
                  <bgColor rgb="FFFF0000"/>
                </patternFill>
              </fill>
            </x14:dxf>
          </x14:cfRule>
          <xm:sqref>W195:AI195</xm:sqref>
        </x14:conditionalFormatting>
        <x14:conditionalFormatting xmlns:xm="http://schemas.microsoft.com/office/excel/2006/main">
          <x14:cfRule type="expression" priority="4702468" id="{F242E808-8F07-4A89-9524-7D4C767CE357}">
            <xm:f>$Y$4='Data entry'!$R69</xm:f>
            <x14:dxf>
              <fill>
                <patternFill>
                  <bgColor rgb="FFFFFF00"/>
                </patternFill>
              </fill>
            </x14:dxf>
          </x14:cfRule>
          <xm:sqref>K194:Y194</xm:sqref>
        </x14:conditionalFormatting>
        <x14:conditionalFormatting xmlns:xm="http://schemas.microsoft.com/office/excel/2006/main">
          <x14:cfRule type="expression" priority="4702469" id="{DD601058-982B-4218-BD9D-64BB823C2633}">
            <xm:f>$Z$4='Data entry'!$R69</xm:f>
            <x14:dxf>
              <fill>
                <patternFill>
                  <bgColor rgb="FFFF0000"/>
                </patternFill>
              </fill>
            </x14:dxf>
          </x14:cfRule>
          <xm:sqref>X195:AJ195</xm:sqref>
        </x14:conditionalFormatting>
        <x14:conditionalFormatting xmlns:xm="http://schemas.microsoft.com/office/excel/2006/main">
          <x14:cfRule type="expression" priority="4702470" id="{C9DB141D-79F6-4093-92A3-7BF7A1622985}">
            <xm:f>$Z$4='Data entry'!$R69</xm:f>
            <x14:dxf>
              <fill>
                <patternFill>
                  <bgColor rgb="FFFFFF00"/>
                </patternFill>
              </fill>
            </x14:dxf>
          </x14:cfRule>
          <xm:sqref>L194:Z194</xm:sqref>
        </x14:conditionalFormatting>
        <x14:conditionalFormatting xmlns:xm="http://schemas.microsoft.com/office/excel/2006/main">
          <x14:cfRule type="expression" priority="4702471" id="{710EB8D3-F5C0-4E3C-8214-2D0C4E26F649}">
            <xm:f>$AA$4='Data entry'!$R69</xm:f>
            <x14:dxf>
              <fill>
                <patternFill>
                  <bgColor rgb="FFFF0000"/>
                </patternFill>
              </fill>
            </x14:dxf>
          </x14:cfRule>
          <xm:sqref>Y195:AK195</xm:sqref>
        </x14:conditionalFormatting>
        <x14:conditionalFormatting xmlns:xm="http://schemas.microsoft.com/office/excel/2006/main">
          <x14:cfRule type="expression" priority="4702472" id="{33825D69-C967-4D27-B395-5D44A3083802}">
            <xm:f>$AA$4='Data entry'!$R69</xm:f>
            <x14:dxf>
              <fill>
                <patternFill>
                  <bgColor rgb="FFFFFF00"/>
                </patternFill>
              </fill>
            </x14:dxf>
          </x14:cfRule>
          <xm:sqref>M194:AA194</xm:sqref>
        </x14:conditionalFormatting>
        <x14:conditionalFormatting xmlns:xm="http://schemas.microsoft.com/office/excel/2006/main">
          <x14:cfRule type="expression" priority="4702473" id="{9811A97D-351B-4D32-8754-AF433277E62B}">
            <xm:f>$AB$4='Data entry'!$R69</xm:f>
            <x14:dxf>
              <fill>
                <patternFill>
                  <bgColor rgb="FFFF0000"/>
                </patternFill>
              </fill>
            </x14:dxf>
          </x14:cfRule>
          <xm:sqref>Z195:AL195</xm:sqref>
        </x14:conditionalFormatting>
        <x14:conditionalFormatting xmlns:xm="http://schemas.microsoft.com/office/excel/2006/main">
          <x14:cfRule type="expression" priority="4702474" id="{6DD3E556-C72E-438B-92DA-3096ED1E4178}">
            <xm:f>$AB$4='Data entry'!$R69</xm:f>
            <x14:dxf>
              <fill>
                <patternFill>
                  <bgColor rgb="FFFFFF00"/>
                </patternFill>
              </fill>
            </x14:dxf>
          </x14:cfRule>
          <xm:sqref>N194:AB194</xm:sqref>
        </x14:conditionalFormatting>
        <x14:conditionalFormatting xmlns:xm="http://schemas.microsoft.com/office/excel/2006/main">
          <x14:cfRule type="expression" priority="4702475" id="{C0DF7A1B-D6BC-4371-BD3A-F0708147FA1C}">
            <xm:f>$AC$4='Data entry'!$R69</xm:f>
            <x14:dxf>
              <fill>
                <patternFill>
                  <bgColor rgb="FFFF0000"/>
                </patternFill>
              </fill>
            </x14:dxf>
          </x14:cfRule>
          <xm:sqref>AA195:AM195</xm:sqref>
        </x14:conditionalFormatting>
        <x14:conditionalFormatting xmlns:xm="http://schemas.microsoft.com/office/excel/2006/main">
          <x14:cfRule type="expression" priority="4702476" id="{DB2E1F48-AF0E-41F9-A976-6B1963CA5711}">
            <xm:f>$AC$4='Data entry'!$R69</xm:f>
            <x14:dxf>
              <fill>
                <patternFill>
                  <bgColor rgb="FFFFFF00"/>
                </patternFill>
              </fill>
            </x14:dxf>
          </x14:cfRule>
          <xm:sqref>O194:AC194</xm:sqref>
        </x14:conditionalFormatting>
        <x14:conditionalFormatting xmlns:xm="http://schemas.microsoft.com/office/excel/2006/main">
          <x14:cfRule type="expression" priority="4702477" id="{89909907-F9A9-4AF9-BC1D-304710A43F50}">
            <xm:f>$AD$4='Data entry'!$R69</xm:f>
            <x14:dxf>
              <fill>
                <patternFill>
                  <bgColor rgb="FFFF0000"/>
                </patternFill>
              </fill>
            </x14:dxf>
          </x14:cfRule>
          <xm:sqref>AB195:AN195</xm:sqref>
        </x14:conditionalFormatting>
        <x14:conditionalFormatting xmlns:xm="http://schemas.microsoft.com/office/excel/2006/main">
          <x14:cfRule type="expression" priority="4702478" id="{729676B7-E331-43A4-ACC9-850DCEE76A0E}">
            <xm:f>$AD$4='Data entry'!$R69</xm:f>
            <x14:dxf>
              <fill>
                <patternFill>
                  <bgColor rgb="FFFFFF00"/>
                </patternFill>
              </fill>
            </x14:dxf>
          </x14:cfRule>
          <xm:sqref>P194:AD194</xm:sqref>
        </x14:conditionalFormatting>
        <x14:conditionalFormatting xmlns:xm="http://schemas.microsoft.com/office/excel/2006/main">
          <x14:cfRule type="expression" priority="4702479" id="{00DA2C55-350E-44AA-ABEA-808FABFDA737}">
            <xm:f>$AE$4='Data entry'!$R69</xm:f>
            <x14:dxf>
              <fill>
                <patternFill>
                  <bgColor rgb="FFFF0000"/>
                </patternFill>
              </fill>
            </x14:dxf>
          </x14:cfRule>
          <xm:sqref>AC195:AO195</xm:sqref>
        </x14:conditionalFormatting>
        <x14:conditionalFormatting xmlns:xm="http://schemas.microsoft.com/office/excel/2006/main">
          <x14:cfRule type="expression" priority="4702480" id="{373C95F1-00C1-45E9-B561-5224945BA4A4}">
            <xm:f>$AE$4='Data entry'!$R69</xm:f>
            <x14:dxf>
              <fill>
                <patternFill>
                  <bgColor rgb="FFFFFF00"/>
                </patternFill>
              </fill>
            </x14:dxf>
          </x14:cfRule>
          <xm:sqref>Q194:AE194</xm:sqref>
        </x14:conditionalFormatting>
        <x14:conditionalFormatting xmlns:xm="http://schemas.microsoft.com/office/excel/2006/main">
          <x14:cfRule type="expression" priority="4702481" id="{65E90E74-6BEF-4B00-BD5E-ECACFEBC225A}">
            <xm:f>$AF$4='Data entry'!$R69</xm:f>
            <x14:dxf>
              <fill>
                <patternFill>
                  <bgColor rgb="FFFF0000"/>
                </patternFill>
              </fill>
            </x14:dxf>
          </x14:cfRule>
          <xm:sqref>AD195:AP195</xm:sqref>
        </x14:conditionalFormatting>
        <x14:conditionalFormatting xmlns:xm="http://schemas.microsoft.com/office/excel/2006/main">
          <x14:cfRule type="expression" priority="4702482" id="{56B519D7-E083-4811-B42B-D6CB10D44BB3}">
            <xm:f>$AF$4='Data entry'!$R69</xm:f>
            <x14:dxf>
              <fill>
                <patternFill>
                  <bgColor rgb="FFFFFF00"/>
                </patternFill>
              </fill>
            </x14:dxf>
          </x14:cfRule>
          <xm:sqref>R194:AF194</xm:sqref>
        </x14:conditionalFormatting>
        <x14:conditionalFormatting xmlns:xm="http://schemas.microsoft.com/office/excel/2006/main">
          <x14:cfRule type="expression" priority="4702483" id="{889682B6-BF9B-414B-86B7-1C802156B058}">
            <xm:f>$AG$4='Data entry'!$R69</xm:f>
            <x14:dxf>
              <fill>
                <patternFill>
                  <bgColor rgb="FFFF0000"/>
                </patternFill>
              </fill>
            </x14:dxf>
          </x14:cfRule>
          <xm:sqref>AE195:AQ195</xm:sqref>
        </x14:conditionalFormatting>
        <x14:conditionalFormatting xmlns:xm="http://schemas.microsoft.com/office/excel/2006/main">
          <x14:cfRule type="expression" priority="4702484" id="{19913D88-1940-4CB0-B29C-D46D60833BD5}">
            <xm:f>$AG$4='Data entry'!$R69</xm:f>
            <x14:dxf>
              <fill>
                <patternFill>
                  <bgColor rgb="FFFFFF00"/>
                </patternFill>
              </fill>
            </x14:dxf>
          </x14:cfRule>
          <xm:sqref>S194:AG194</xm:sqref>
        </x14:conditionalFormatting>
        <x14:conditionalFormatting xmlns:xm="http://schemas.microsoft.com/office/excel/2006/main">
          <x14:cfRule type="expression" priority="4702485" id="{3DD7B9A5-18A3-463F-BAD5-9796FC487328}">
            <xm:f>$AH$4='Data entry'!$R69</xm:f>
            <x14:dxf>
              <fill>
                <patternFill>
                  <bgColor rgb="FFFF0000"/>
                </patternFill>
              </fill>
            </x14:dxf>
          </x14:cfRule>
          <xm:sqref>AF195:AR195</xm:sqref>
        </x14:conditionalFormatting>
        <x14:conditionalFormatting xmlns:xm="http://schemas.microsoft.com/office/excel/2006/main">
          <x14:cfRule type="expression" priority="4702486" id="{31005CF4-5608-496E-91EB-F7F505046C80}">
            <xm:f>$AH$4='Data entry'!$R69</xm:f>
            <x14:dxf>
              <fill>
                <patternFill>
                  <bgColor rgb="FFFFFF00"/>
                </patternFill>
              </fill>
            </x14:dxf>
          </x14:cfRule>
          <xm:sqref>T194:AH194</xm:sqref>
        </x14:conditionalFormatting>
        <x14:conditionalFormatting xmlns:xm="http://schemas.microsoft.com/office/excel/2006/main">
          <x14:cfRule type="expression" priority="4702487" id="{CD14F654-5B7A-444F-8FC1-7DD71E76E475}">
            <xm:f>$AI$4='Data entry'!$R69</xm:f>
            <x14:dxf>
              <fill>
                <patternFill>
                  <bgColor rgb="FFFF0000"/>
                </patternFill>
              </fill>
            </x14:dxf>
          </x14:cfRule>
          <xm:sqref>AG195:AS195</xm:sqref>
        </x14:conditionalFormatting>
        <x14:conditionalFormatting xmlns:xm="http://schemas.microsoft.com/office/excel/2006/main">
          <x14:cfRule type="expression" priority="4702488" id="{0E4E448C-6C46-4285-B877-A61A90294385}">
            <xm:f>$AI$4='Data entry'!$R69</xm:f>
            <x14:dxf>
              <fill>
                <patternFill>
                  <bgColor rgb="FFFFFF00"/>
                </patternFill>
              </fill>
            </x14:dxf>
          </x14:cfRule>
          <xm:sqref>U194:AI194</xm:sqref>
        </x14:conditionalFormatting>
        <x14:conditionalFormatting xmlns:xm="http://schemas.microsoft.com/office/excel/2006/main">
          <x14:cfRule type="expression" priority="4702489" id="{B1C1818F-791C-403D-BE73-6F6E9DC6A16D}">
            <xm:f>$AJ$4='Data entry'!$R69</xm:f>
            <x14:dxf>
              <fill>
                <patternFill>
                  <bgColor rgb="FFFF0000"/>
                </patternFill>
              </fill>
            </x14:dxf>
          </x14:cfRule>
          <xm:sqref>AH195:AT195</xm:sqref>
        </x14:conditionalFormatting>
        <x14:conditionalFormatting xmlns:xm="http://schemas.microsoft.com/office/excel/2006/main">
          <x14:cfRule type="expression" priority="4702490" id="{A1237792-221B-431B-B8A7-E9A64DA46D93}">
            <xm:f>$AJ$4='Data entry'!$R69</xm:f>
            <x14:dxf>
              <fill>
                <patternFill>
                  <bgColor rgb="FFFFFF00"/>
                </patternFill>
              </fill>
            </x14:dxf>
          </x14:cfRule>
          <xm:sqref>V194:AJ194</xm:sqref>
        </x14:conditionalFormatting>
        <x14:conditionalFormatting xmlns:xm="http://schemas.microsoft.com/office/excel/2006/main">
          <x14:cfRule type="expression" priority="4702491" id="{617DC2AF-C7A3-4724-8EA3-17DEFEDC8949}">
            <xm:f>$AK$4='Data entry'!$R69</xm:f>
            <x14:dxf>
              <fill>
                <patternFill>
                  <bgColor rgb="FFFF0000"/>
                </patternFill>
              </fill>
            </x14:dxf>
          </x14:cfRule>
          <xm:sqref>AI195:AU195</xm:sqref>
        </x14:conditionalFormatting>
        <x14:conditionalFormatting xmlns:xm="http://schemas.microsoft.com/office/excel/2006/main">
          <x14:cfRule type="expression" priority="4702492" id="{AA72317D-37B1-48EB-A28B-BF2AC8DC4519}">
            <xm:f>$AK$4='Data entry'!$R69</xm:f>
            <x14:dxf>
              <fill>
                <patternFill>
                  <bgColor rgb="FFFFFF00"/>
                </patternFill>
              </fill>
            </x14:dxf>
          </x14:cfRule>
          <xm:sqref>W194:AK194</xm:sqref>
        </x14:conditionalFormatting>
        <x14:conditionalFormatting xmlns:xm="http://schemas.microsoft.com/office/excel/2006/main">
          <x14:cfRule type="expression" priority="4702493" id="{6CA9FB7A-20EA-4D3A-B74C-A001F4BE810D}">
            <xm:f>$AL$4='Data entry'!$R69</xm:f>
            <x14:dxf>
              <fill>
                <patternFill>
                  <bgColor rgb="FFFF0000"/>
                </patternFill>
              </fill>
            </x14:dxf>
          </x14:cfRule>
          <xm:sqref>AJ195:AV195</xm:sqref>
        </x14:conditionalFormatting>
        <x14:conditionalFormatting xmlns:xm="http://schemas.microsoft.com/office/excel/2006/main">
          <x14:cfRule type="expression" priority="4702494" id="{81A75DAA-573F-4EF3-A640-1B992C18BEA0}">
            <xm:f>$AL$4='Data entry'!$R69</xm:f>
            <x14:dxf>
              <fill>
                <patternFill>
                  <bgColor rgb="FFFFFF00"/>
                </patternFill>
              </fill>
            </x14:dxf>
          </x14:cfRule>
          <xm:sqref>X194:AL194</xm:sqref>
        </x14:conditionalFormatting>
        <x14:conditionalFormatting xmlns:xm="http://schemas.microsoft.com/office/excel/2006/main">
          <x14:cfRule type="expression" priority="4702495" id="{3D44713E-4ABA-4CCD-9DF4-5513A9FB5E1E}">
            <xm:f>$AM$4='Data entry'!$R69</xm:f>
            <x14:dxf>
              <fill>
                <patternFill>
                  <bgColor rgb="FFFF0000"/>
                </patternFill>
              </fill>
            </x14:dxf>
          </x14:cfRule>
          <xm:sqref>AK195:AW195</xm:sqref>
        </x14:conditionalFormatting>
        <x14:conditionalFormatting xmlns:xm="http://schemas.microsoft.com/office/excel/2006/main">
          <x14:cfRule type="expression" priority="4702496" id="{05A26B51-72A7-4423-822F-2BDBC28275D0}">
            <xm:f>$AM$4='Data entry'!$R69</xm:f>
            <x14:dxf>
              <fill>
                <patternFill>
                  <bgColor rgb="FFFFFF00"/>
                </patternFill>
              </fill>
            </x14:dxf>
          </x14:cfRule>
          <xm:sqref>Y194:AM194</xm:sqref>
        </x14:conditionalFormatting>
        <x14:conditionalFormatting xmlns:xm="http://schemas.microsoft.com/office/excel/2006/main">
          <x14:cfRule type="expression" priority="4702497" id="{B8A20675-6230-4694-A7F6-6B3DC7142773}">
            <xm:f>$AN$4='Data entry'!$R69</xm:f>
            <x14:dxf>
              <fill>
                <patternFill>
                  <bgColor rgb="FFFF0000"/>
                </patternFill>
              </fill>
            </x14:dxf>
          </x14:cfRule>
          <xm:sqref>AL195:AX195</xm:sqref>
        </x14:conditionalFormatting>
        <x14:conditionalFormatting xmlns:xm="http://schemas.microsoft.com/office/excel/2006/main">
          <x14:cfRule type="expression" priority="4702498" id="{8421181C-7450-42E9-BC1D-065CCFCA960E}">
            <xm:f>$AN$4='Data entry'!$R69</xm:f>
            <x14:dxf>
              <fill>
                <patternFill>
                  <bgColor rgb="FFFFFF00"/>
                </patternFill>
              </fill>
            </x14:dxf>
          </x14:cfRule>
          <xm:sqref>Z194:AN194</xm:sqref>
        </x14:conditionalFormatting>
        <x14:conditionalFormatting xmlns:xm="http://schemas.microsoft.com/office/excel/2006/main">
          <x14:cfRule type="expression" priority="4702499" id="{067FE4BD-6EF4-4684-B6E0-35AB2F267EE7}">
            <xm:f>$AO$4='Data entry'!$R69</xm:f>
            <x14:dxf>
              <fill>
                <patternFill>
                  <bgColor rgb="FFFF0000"/>
                </patternFill>
              </fill>
            </x14:dxf>
          </x14:cfRule>
          <xm:sqref>AM195:AY195</xm:sqref>
        </x14:conditionalFormatting>
        <x14:conditionalFormatting xmlns:xm="http://schemas.microsoft.com/office/excel/2006/main">
          <x14:cfRule type="expression" priority="4702500" id="{F7653492-88D1-47AC-8BA3-0CCE65C3C2AB}">
            <xm:f>$AO$4='Data entry'!$R69</xm:f>
            <x14:dxf>
              <fill>
                <patternFill>
                  <bgColor rgb="FFFFFF00"/>
                </patternFill>
              </fill>
            </x14:dxf>
          </x14:cfRule>
          <xm:sqref>AA194:AO194</xm:sqref>
        </x14:conditionalFormatting>
        <x14:conditionalFormatting xmlns:xm="http://schemas.microsoft.com/office/excel/2006/main">
          <x14:cfRule type="expression" priority="4702501" id="{207A5E5D-B322-482E-9193-1D7318138358}">
            <xm:f>$AP$4='Data entry'!$R69</xm:f>
            <x14:dxf>
              <fill>
                <patternFill>
                  <bgColor rgb="FFFF0000"/>
                </patternFill>
              </fill>
            </x14:dxf>
          </x14:cfRule>
          <xm:sqref>AN195:AZ195</xm:sqref>
        </x14:conditionalFormatting>
        <x14:conditionalFormatting xmlns:xm="http://schemas.microsoft.com/office/excel/2006/main">
          <x14:cfRule type="expression" priority="4702502" id="{21DA638D-4CA0-4067-BFF1-240CE1A0261B}">
            <xm:f>$AP$4='Data entry'!$R69</xm:f>
            <x14:dxf>
              <fill>
                <patternFill>
                  <bgColor rgb="FFFFFF00"/>
                </patternFill>
              </fill>
            </x14:dxf>
          </x14:cfRule>
          <xm:sqref>AB194:AP194</xm:sqref>
        </x14:conditionalFormatting>
        <x14:conditionalFormatting xmlns:xm="http://schemas.microsoft.com/office/excel/2006/main">
          <x14:cfRule type="expression" priority="4702503" id="{71963D96-A42A-4B90-BFC7-6D83D37766EF}">
            <xm:f>$AQ$4='Data entry'!$R69</xm:f>
            <x14:dxf>
              <fill>
                <patternFill>
                  <bgColor rgb="FFFF0000"/>
                </patternFill>
              </fill>
            </x14:dxf>
          </x14:cfRule>
          <xm:sqref>AO195:BA195</xm:sqref>
        </x14:conditionalFormatting>
        <x14:conditionalFormatting xmlns:xm="http://schemas.microsoft.com/office/excel/2006/main">
          <x14:cfRule type="expression" priority="4702504" id="{74952595-84B6-484F-8FF6-FCC1F337DF4D}">
            <xm:f>$AQ$4='Data entry'!$R69</xm:f>
            <x14:dxf>
              <fill>
                <patternFill>
                  <bgColor rgb="FFFFFF00"/>
                </patternFill>
              </fill>
            </x14:dxf>
          </x14:cfRule>
          <xm:sqref>AC194:AQ194</xm:sqref>
        </x14:conditionalFormatting>
        <x14:conditionalFormatting xmlns:xm="http://schemas.microsoft.com/office/excel/2006/main">
          <x14:cfRule type="expression" priority="4702505" id="{8AC9C4B9-0A34-4BC0-B0F7-CA89434C4911}">
            <xm:f>$P$4='Data entry'!$R69</xm:f>
            <x14:dxf>
              <fill>
                <patternFill>
                  <bgColor rgb="FFFFFF00"/>
                </patternFill>
              </fill>
            </x14:dxf>
          </x14:cfRule>
          <xm:sqref>C194:P194</xm:sqref>
        </x14:conditionalFormatting>
        <x14:conditionalFormatting xmlns:xm="http://schemas.microsoft.com/office/excel/2006/main">
          <x14:cfRule type="expression" priority="4702506" id="{0A726775-ABFD-4F22-967C-1A4D87BA3751}">
            <xm:f>$Q$4='Data entry'!$R69</xm:f>
            <x14:dxf>
              <fill>
                <patternFill>
                  <bgColor rgb="FFFFFF00"/>
                </patternFill>
              </fill>
            </x14:dxf>
          </x14:cfRule>
          <xm:sqref>C194:Q194</xm:sqref>
        </x14:conditionalFormatting>
        <x14:conditionalFormatting xmlns:xm="http://schemas.microsoft.com/office/excel/2006/main">
          <x14:cfRule type="expression" priority="4702507" id="{3A8414BD-262C-43B5-86EE-FA6901D00453}">
            <xm:f>$Q$4='Data entry'!$R69</xm:f>
            <x14:dxf>
              <fill>
                <patternFill>
                  <bgColor rgb="FFFF0000"/>
                </patternFill>
              </fill>
            </x14:dxf>
          </x14:cfRule>
          <xm:sqref>O195:AA195</xm:sqref>
        </x14:conditionalFormatting>
        <x14:conditionalFormatting xmlns:xm="http://schemas.microsoft.com/office/excel/2006/main">
          <x14:cfRule type="expression" priority="4702508" id="{B8B5501D-F3EF-4449-9306-F652960C65F4}">
            <xm:f>$R$4='Data entry'!$R69</xm:f>
            <x14:dxf>
              <fill>
                <patternFill>
                  <bgColor rgb="FFFF0000"/>
                </patternFill>
              </fill>
            </x14:dxf>
          </x14:cfRule>
          <xm:sqref>P195:AB195</xm:sqref>
        </x14:conditionalFormatting>
        <x14:conditionalFormatting xmlns:xm="http://schemas.microsoft.com/office/excel/2006/main">
          <x14:cfRule type="expression" priority="4702509" id="{5D070DEC-B82E-4D87-B907-A3E5AB836991}">
            <xm:f>$R$4='Data entry'!$R69</xm:f>
            <x14:dxf>
              <fill>
                <patternFill>
                  <bgColor rgb="FFFFFF00"/>
                </patternFill>
              </fill>
            </x14:dxf>
          </x14:cfRule>
          <xm:sqref>D194:R194</xm:sqref>
        </x14:conditionalFormatting>
        <x14:conditionalFormatting xmlns:xm="http://schemas.microsoft.com/office/excel/2006/main">
          <x14:cfRule type="expression" priority="4702510" id="{E4D16A10-F818-4664-9FB2-F0E839824D4B}">
            <xm:f>$S$4='Data entry'!$R69</xm:f>
            <x14:dxf>
              <fill>
                <patternFill>
                  <bgColor rgb="FFFF0000"/>
                </patternFill>
              </fill>
            </x14:dxf>
          </x14:cfRule>
          <xm:sqref>Q195:AC195</xm:sqref>
        </x14:conditionalFormatting>
        <x14:conditionalFormatting xmlns:xm="http://schemas.microsoft.com/office/excel/2006/main">
          <x14:cfRule type="expression" priority="4702511" id="{1A9F9911-A3E9-4730-AFBE-AB8C596545CA}">
            <xm:f>$S$4='Data entry'!$R69</xm:f>
            <x14:dxf>
              <fill>
                <patternFill>
                  <bgColor rgb="FFFFFF00"/>
                </patternFill>
              </fill>
            </x14:dxf>
          </x14:cfRule>
          <xm:sqref>E194:S194</xm:sqref>
        </x14:conditionalFormatting>
        <x14:conditionalFormatting xmlns:xm="http://schemas.microsoft.com/office/excel/2006/main">
          <x14:cfRule type="expression" priority="4702512" id="{8BB5CD1B-B2AC-442A-9550-26DE19A62D22}">
            <xm:f>$T$4='Data entry'!$R69</xm:f>
            <x14:dxf>
              <fill>
                <patternFill>
                  <bgColor rgb="FFFF0000"/>
                </patternFill>
              </fill>
            </x14:dxf>
          </x14:cfRule>
          <xm:sqref>R195:AD195</xm:sqref>
        </x14:conditionalFormatting>
        <x14:conditionalFormatting xmlns:xm="http://schemas.microsoft.com/office/excel/2006/main">
          <x14:cfRule type="expression" priority="4702513" id="{E7B59C69-7921-4049-84A1-8B3E5F7B0598}">
            <xm:f>$T$4='Data entry'!$R69</xm:f>
            <x14:dxf>
              <fill>
                <patternFill>
                  <bgColor rgb="FFFFFF00"/>
                </patternFill>
              </fill>
            </x14:dxf>
          </x14:cfRule>
          <xm:sqref>F194:T194</xm:sqref>
        </x14:conditionalFormatting>
        <x14:conditionalFormatting xmlns:xm="http://schemas.microsoft.com/office/excel/2006/main">
          <x14:cfRule type="expression" priority="4702514" id="{238C09E5-7A3D-439D-949F-A7733073F9A2}">
            <xm:f>$U$4='Data entry'!$R69</xm:f>
            <x14:dxf>
              <fill>
                <patternFill>
                  <bgColor rgb="FFFFFF00"/>
                </patternFill>
              </fill>
            </x14:dxf>
          </x14:cfRule>
          <xm:sqref>G194:U194</xm:sqref>
        </x14:conditionalFormatting>
        <x14:conditionalFormatting xmlns:xm="http://schemas.microsoft.com/office/excel/2006/main">
          <x14:cfRule type="expression" priority="4702515" id="{DE4D4432-0A19-452A-AF14-2873FE4DF411}">
            <xm:f>$AR$4='Data entry'!$R69</xm:f>
            <x14:dxf>
              <fill>
                <patternFill>
                  <bgColor rgb="FFFF0000"/>
                </patternFill>
              </fill>
            </x14:dxf>
          </x14:cfRule>
          <xm:sqref>AP195:BB195</xm:sqref>
        </x14:conditionalFormatting>
        <x14:conditionalFormatting xmlns:xm="http://schemas.microsoft.com/office/excel/2006/main">
          <x14:cfRule type="expression" priority="4702516" id="{90D7E1FF-542D-40C8-9BD5-DFEB4CDD256F}">
            <xm:f>$AR$4='Data entry'!$R69</xm:f>
            <x14:dxf>
              <fill>
                <patternFill>
                  <bgColor rgb="FFFFFF00"/>
                </patternFill>
              </fill>
            </x14:dxf>
          </x14:cfRule>
          <xm:sqref>AD194:AR194</xm:sqref>
        </x14:conditionalFormatting>
        <x14:conditionalFormatting xmlns:xm="http://schemas.microsoft.com/office/excel/2006/main">
          <x14:cfRule type="expression" priority="4702517" id="{0EBB5305-4A4A-4205-A1FF-11160070CBC3}">
            <xm:f>$AS$4='Data entry'!$R69</xm:f>
            <x14:dxf>
              <fill>
                <patternFill>
                  <bgColor rgb="FFFF0000"/>
                </patternFill>
              </fill>
            </x14:dxf>
          </x14:cfRule>
          <xm:sqref>AQ195:BC195</xm:sqref>
        </x14:conditionalFormatting>
        <x14:conditionalFormatting xmlns:xm="http://schemas.microsoft.com/office/excel/2006/main">
          <x14:cfRule type="expression" priority="4702518" id="{AC8EB30C-4253-4CE1-820E-1801F6D8D35B}">
            <xm:f>$AS$4='Data entry'!$R69</xm:f>
            <x14:dxf>
              <fill>
                <patternFill>
                  <bgColor rgb="FFFFFF00"/>
                </patternFill>
              </fill>
            </x14:dxf>
          </x14:cfRule>
          <xm:sqref>AE194:AS194</xm:sqref>
        </x14:conditionalFormatting>
        <x14:conditionalFormatting xmlns:xm="http://schemas.microsoft.com/office/excel/2006/main">
          <x14:cfRule type="expression" priority="4702519" id="{E11744C1-7201-4272-A1B0-945490B42425}">
            <xm:f>$AT$4='Data entry'!$R69</xm:f>
            <x14:dxf>
              <fill>
                <patternFill>
                  <bgColor rgb="FFFF0000"/>
                </patternFill>
              </fill>
            </x14:dxf>
          </x14:cfRule>
          <xm:sqref>AR195:BD195</xm:sqref>
        </x14:conditionalFormatting>
        <x14:conditionalFormatting xmlns:xm="http://schemas.microsoft.com/office/excel/2006/main">
          <x14:cfRule type="expression" priority="4702520" id="{5EE2823B-E955-4EA7-B99C-0B1F77B57A69}">
            <xm:f>$AT$4='Data entry'!$R69</xm:f>
            <x14:dxf>
              <fill>
                <patternFill>
                  <bgColor rgb="FFFFFF00"/>
                </patternFill>
              </fill>
            </x14:dxf>
          </x14:cfRule>
          <xm:sqref>AF194:AT194</xm:sqref>
        </x14:conditionalFormatting>
        <x14:conditionalFormatting xmlns:xm="http://schemas.microsoft.com/office/excel/2006/main">
          <x14:cfRule type="expression" priority="4702521" id="{5737DC63-3262-4B34-900C-2AAEB255FCBA}">
            <xm:f>$AU$4='Data entry'!$R69</xm:f>
            <x14:dxf>
              <fill>
                <patternFill>
                  <bgColor rgb="FFFF0000"/>
                </patternFill>
              </fill>
            </x14:dxf>
          </x14:cfRule>
          <xm:sqref>AS195:BE195</xm:sqref>
        </x14:conditionalFormatting>
        <x14:conditionalFormatting xmlns:xm="http://schemas.microsoft.com/office/excel/2006/main">
          <x14:cfRule type="expression" priority="4702522" id="{2B5C1F1B-3C3D-4CA3-BC64-0E98422075B6}">
            <xm:f>$AU$4='Data entry'!$R69</xm:f>
            <x14:dxf>
              <fill>
                <patternFill>
                  <bgColor rgb="FFFFFF00"/>
                </patternFill>
              </fill>
            </x14:dxf>
          </x14:cfRule>
          <xm:sqref>AG194:AU194</xm:sqref>
        </x14:conditionalFormatting>
        <x14:conditionalFormatting xmlns:xm="http://schemas.microsoft.com/office/excel/2006/main">
          <x14:cfRule type="expression" priority="4702523" id="{B87A1285-B003-4855-8F4B-53C391BA10E6}">
            <xm:f>$AV$4='Data entry'!$R69</xm:f>
            <x14:dxf>
              <fill>
                <patternFill>
                  <bgColor rgb="FFFF0000"/>
                </patternFill>
              </fill>
            </x14:dxf>
          </x14:cfRule>
          <xm:sqref>AT195:BF195</xm:sqref>
        </x14:conditionalFormatting>
        <x14:conditionalFormatting xmlns:xm="http://schemas.microsoft.com/office/excel/2006/main">
          <x14:cfRule type="expression" priority="4702524" id="{338EE31C-78DB-4818-B837-0380F9E457FA}">
            <xm:f>$AV$4='Data entry'!$R69</xm:f>
            <x14:dxf>
              <fill>
                <patternFill>
                  <bgColor rgb="FFFFFF00"/>
                </patternFill>
              </fill>
            </x14:dxf>
          </x14:cfRule>
          <xm:sqref>AH194:AV194</xm:sqref>
        </x14:conditionalFormatting>
        <x14:conditionalFormatting xmlns:xm="http://schemas.microsoft.com/office/excel/2006/main">
          <x14:cfRule type="expression" priority="4702525" id="{5C40EA66-2801-4C91-B885-BF6A1ECFC35C}">
            <xm:f>$AW$4='Data entry'!$R69</xm:f>
            <x14:dxf>
              <fill>
                <patternFill>
                  <bgColor rgb="FFFF0000"/>
                </patternFill>
              </fill>
            </x14:dxf>
          </x14:cfRule>
          <xm:sqref>AU195:BG195</xm:sqref>
        </x14:conditionalFormatting>
        <x14:conditionalFormatting xmlns:xm="http://schemas.microsoft.com/office/excel/2006/main">
          <x14:cfRule type="expression" priority="4702526" id="{51BCD5CE-DF86-4C2F-8A81-DDA1EFD6C8F7}">
            <xm:f>$AW$4='Data entry'!$R69</xm:f>
            <x14:dxf>
              <fill>
                <patternFill>
                  <bgColor rgb="FFFFFF00"/>
                </patternFill>
              </fill>
            </x14:dxf>
          </x14:cfRule>
          <xm:sqref>AI194:AW194</xm:sqref>
        </x14:conditionalFormatting>
        <x14:conditionalFormatting xmlns:xm="http://schemas.microsoft.com/office/excel/2006/main">
          <x14:cfRule type="expression" priority="4702527" id="{DC2ED5A0-8917-4877-8CD3-9DF9BE5993C9}">
            <xm:f>$AX$4='Data entry'!$R69</xm:f>
            <x14:dxf>
              <fill>
                <patternFill>
                  <bgColor rgb="FFFF0000"/>
                </patternFill>
              </fill>
            </x14:dxf>
          </x14:cfRule>
          <xm:sqref>AV195:BH195</xm:sqref>
        </x14:conditionalFormatting>
        <x14:conditionalFormatting xmlns:xm="http://schemas.microsoft.com/office/excel/2006/main">
          <x14:cfRule type="expression" priority="4702528" id="{59B31869-20F9-45BD-BC80-0A6C8945CE2C}">
            <xm:f>$AX$4='Data entry'!$R69</xm:f>
            <x14:dxf>
              <fill>
                <patternFill>
                  <bgColor rgb="FFFFFF00"/>
                </patternFill>
              </fill>
            </x14:dxf>
          </x14:cfRule>
          <xm:sqref>AJ194:AX194</xm:sqref>
        </x14:conditionalFormatting>
        <x14:conditionalFormatting xmlns:xm="http://schemas.microsoft.com/office/excel/2006/main">
          <x14:cfRule type="expression" priority="4702529" id="{D4208FA0-4262-4037-934C-6D0742B2AD8E}">
            <xm:f>$AY$4='Data entry'!$R69</xm:f>
            <x14:dxf>
              <fill>
                <patternFill>
                  <bgColor rgb="FFFF0000"/>
                </patternFill>
              </fill>
            </x14:dxf>
          </x14:cfRule>
          <xm:sqref>AW195:BI195</xm:sqref>
        </x14:conditionalFormatting>
        <x14:conditionalFormatting xmlns:xm="http://schemas.microsoft.com/office/excel/2006/main">
          <x14:cfRule type="expression" priority="4702530" id="{04D6E423-18C7-42B2-A67D-F49D8E62B571}">
            <xm:f>$AY$4='Data entry'!$R69</xm:f>
            <x14:dxf>
              <fill>
                <patternFill>
                  <bgColor rgb="FFFFFF00"/>
                </patternFill>
              </fill>
            </x14:dxf>
          </x14:cfRule>
          <xm:sqref>AK194:AY194</xm:sqref>
        </x14:conditionalFormatting>
        <x14:conditionalFormatting xmlns:xm="http://schemas.microsoft.com/office/excel/2006/main">
          <x14:cfRule type="expression" priority="4702531" id="{A931C203-6E4B-4EBD-A2F4-1876881F48D4}">
            <xm:f>$AZ$4='Data entry'!$R69</xm:f>
            <x14:dxf>
              <fill>
                <patternFill>
                  <bgColor rgb="FFFF0000"/>
                </patternFill>
              </fill>
            </x14:dxf>
          </x14:cfRule>
          <xm:sqref>AX195:BJ195</xm:sqref>
        </x14:conditionalFormatting>
        <x14:conditionalFormatting xmlns:xm="http://schemas.microsoft.com/office/excel/2006/main">
          <x14:cfRule type="expression" priority="4702532" id="{092D9100-E652-40FE-8CAA-720DC0681250}">
            <xm:f>$AZ$4='Data entry'!$R69</xm:f>
            <x14:dxf>
              <fill>
                <patternFill>
                  <bgColor rgb="FFFFFF00"/>
                </patternFill>
              </fill>
            </x14:dxf>
          </x14:cfRule>
          <xm:sqref>AL194:AZ194</xm:sqref>
        </x14:conditionalFormatting>
        <x14:conditionalFormatting xmlns:xm="http://schemas.microsoft.com/office/excel/2006/main">
          <x14:cfRule type="expression" priority="4702533" id="{A3C7E6BE-A225-483C-A983-A915DB662C52}">
            <xm:f>$BA$4='Data entry'!$R69</xm:f>
            <x14:dxf>
              <fill>
                <patternFill>
                  <bgColor rgb="FFFF0000"/>
                </patternFill>
              </fill>
            </x14:dxf>
          </x14:cfRule>
          <xm:sqref>AY195:BK195</xm:sqref>
        </x14:conditionalFormatting>
        <x14:conditionalFormatting xmlns:xm="http://schemas.microsoft.com/office/excel/2006/main">
          <x14:cfRule type="expression" priority="4702534" id="{F5CF569A-8AFA-4CFF-8BD3-F04D8927A99F}">
            <xm:f>$BA$4='Data entry'!$R69</xm:f>
            <x14:dxf>
              <fill>
                <patternFill>
                  <bgColor rgb="FFFFFF00"/>
                </patternFill>
              </fill>
            </x14:dxf>
          </x14:cfRule>
          <xm:sqref>AM194:BA194</xm:sqref>
        </x14:conditionalFormatting>
        <x14:conditionalFormatting xmlns:xm="http://schemas.microsoft.com/office/excel/2006/main">
          <x14:cfRule type="expression" priority="4702535" id="{E4DAC94A-7983-4BFB-A87B-45B58561841A}">
            <xm:f>$BB$4='Data entry'!$R69</xm:f>
            <x14:dxf>
              <fill>
                <patternFill>
                  <bgColor rgb="FFFF0000"/>
                </patternFill>
              </fill>
            </x14:dxf>
          </x14:cfRule>
          <xm:sqref>AZ195:BL195</xm:sqref>
        </x14:conditionalFormatting>
        <x14:conditionalFormatting xmlns:xm="http://schemas.microsoft.com/office/excel/2006/main">
          <x14:cfRule type="expression" priority="4702536" id="{E63849C5-F39B-4B0E-8F8A-B532EDF2CBAE}">
            <xm:f>$BB$4='Data entry'!$R69</xm:f>
            <x14:dxf>
              <fill>
                <patternFill>
                  <bgColor rgb="FFFFFF00"/>
                </patternFill>
              </fill>
            </x14:dxf>
          </x14:cfRule>
          <xm:sqref>AN194:BB194</xm:sqref>
        </x14:conditionalFormatting>
        <x14:conditionalFormatting xmlns:xm="http://schemas.microsoft.com/office/excel/2006/main">
          <x14:cfRule type="expression" priority="4702537" id="{4FDC32D3-C1F5-455D-9AA4-A03359B72526}">
            <xm:f>$BC$4='Data entry'!$R69</xm:f>
            <x14:dxf>
              <fill>
                <patternFill>
                  <bgColor rgb="FFFF0000"/>
                </patternFill>
              </fill>
            </x14:dxf>
          </x14:cfRule>
          <xm:sqref>BA195:BM195</xm:sqref>
        </x14:conditionalFormatting>
        <x14:conditionalFormatting xmlns:xm="http://schemas.microsoft.com/office/excel/2006/main">
          <x14:cfRule type="expression" priority="4702538" id="{5F0D0C60-B233-4C56-B05D-98C99990877F}">
            <xm:f>$BC$4='Data entry'!$R69</xm:f>
            <x14:dxf>
              <fill>
                <patternFill>
                  <bgColor rgb="FFFFFF00"/>
                </patternFill>
              </fill>
            </x14:dxf>
          </x14:cfRule>
          <xm:sqref>AO194:BC194</xm:sqref>
        </x14:conditionalFormatting>
        <x14:conditionalFormatting xmlns:xm="http://schemas.microsoft.com/office/excel/2006/main">
          <x14:cfRule type="expression" priority="4702539" id="{9EBCB60F-8135-43B6-A0F3-548D4092CC98}">
            <xm:f>$BD$4='Data entry'!$R69</xm:f>
            <x14:dxf>
              <fill>
                <patternFill>
                  <bgColor rgb="FFFF0000"/>
                </patternFill>
              </fill>
            </x14:dxf>
          </x14:cfRule>
          <xm:sqref>BB195:BN195</xm:sqref>
        </x14:conditionalFormatting>
        <x14:conditionalFormatting xmlns:xm="http://schemas.microsoft.com/office/excel/2006/main">
          <x14:cfRule type="expression" priority="4702540" id="{961AF346-4A73-41ED-9A8D-27D431B09C05}">
            <xm:f>$BD$4='Data entry'!$R69</xm:f>
            <x14:dxf>
              <fill>
                <patternFill>
                  <bgColor rgb="FFFFFF00"/>
                </patternFill>
              </fill>
            </x14:dxf>
          </x14:cfRule>
          <xm:sqref>AP194:BD194</xm:sqref>
        </x14:conditionalFormatting>
        <x14:conditionalFormatting xmlns:xm="http://schemas.microsoft.com/office/excel/2006/main">
          <x14:cfRule type="expression" priority="4702541" id="{5A887026-27CD-4F8C-8BA6-1E92704C1CA6}">
            <xm:f>$BE$4='Data entry'!$R69</xm:f>
            <x14:dxf>
              <fill>
                <patternFill>
                  <bgColor rgb="FFFF0000"/>
                </patternFill>
              </fill>
            </x14:dxf>
          </x14:cfRule>
          <xm:sqref>BC195:BO195</xm:sqref>
        </x14:conditionalFormatting>
        <x14:conditionalFormatting xmlns:xm="http://schemas.microsoft.com/office/excel/2006/main">
          <x14:cfRule type="expression" priority="4702542" id="{7F46217B-A1E9-4515-B31E-E756FCD7C6D9}">
            <xm:f>$BE$4='Data entry'!$R69</xm:f>
            <x14:dxf>
              <fill>
                <patternFill>
                  <bgColor rgb="FFFFFF00"/>
                </patternFill>
              </fill>
            </x14:dxf>
          </x14:cfRule>
          <xm:sqref>AP194:BE194</xm:sqref>
        </x14:conditionalFormatting>
        <x14:conditionalFormatting xmlns:xm="http://schemas.microsoft.com/office/excel/2006/main">
          <x14:cfRule type="expression" priority="4702543" id="{F4D9285C-8CA0-4EF1-943E-6A462D47CC77}">
            <xm:f>$BF$4='Data entry'!$R69</xm:f>
            <x14:dxf>
              <fill>
                <patternFill>
                  <bgColor rgb="FFFF0000"/>
                </patternFill>
              </fill>
            </x14:dxf>
          </x14:cfRule>
          <xm:sqref>BD195:BP195</xm:sqref>
        </x14:conditionalFormatting>
        <x14:conditionalFormatting xmlns:xm="http://schemas.microsoft.com/office/excel/2006/main">
          <x14:cfRule type="expression" priority="4702544" id="{B9E4407D-651D-4DC0-9D61-3271D62A65E9}">
            <xm:f>$BF$4='Data entry'!$R69</xm:f>
            <x14:dxf>
              <fill>
                <patternFill>
                  <bgColor rgb="FFFFFF00"/>
                </patternFill>
              </fill>
            </x14:dxf>
          </x14:cfRule>
          <xm:sqref>AR194:BF194</xm:sqref>
        </x14:conditionalFormatting>
        <x14:conditionalFormatting xmlns:xm="http://schemas.microsoft.com/office/excel/2006/main">
          <x14:cfRule type="expression" priority="4702545" id="{4CDC062F-DDFF-4556-B941-08F919727F69}">
            <xm:f>$BG$4='Data entry'!$R69</xm:f>
            <x14:dxf>
              <fill>
                <patternFill>
                  <bgColor rgb="FFFF0000"/>
                </patternFill>
              </fill>
            </x14:dxf>
          </x14:cfRule>
          <xm:sqref>BE195:BQ195</xm:sqref>
        </x14:conditionalFormatting>
        <x14:conditionalFormatting xmlns:xm="http://schemas.microsoft.com/office/excel/2006/main">
          <x14:cfRule type="expression" priority="4702546" id="{789184FA-9055-433B-8A1B-92C7ED59E81F}">
            <xm:f>$BG$4='Data entry'!$R69</xm:f>
            <x14:dxf>
              <fill>
                <patternFill>
                  <bgColor rgb="FFFFFF00"/>
                </patternFill>
              </fill>
            </x14:dxf>
          </x14:cfRule>
          <xm:sqref>AS194:BG194</xm:sqref>
        </x14:conditionalFormatting>
        <x14:conditionalFormatting xmlns:xm="http://schemas.microsoft.com/office/excel/2006/main">
          <x14:cfRule type="expression" priority="4702547" id="{58651E5C-09C9-46C1-B95C-E8A578A49E15}">
            <xm:f>$BH$4='Data entry'!$R69</xm:f>
            <x14:dxf>
              <fill>
                <patternFill>
                  <bgColor rgb="FFFFFF00"/>
                </patternFill>
              </fill>
            </x14:dxf>
          </x14:cfRule>
          <xm:sqref>AT194:BH194</xm:sqref>
        </x14:conditionalFormatting>
        <x14:conditionalFormatting xmlns:xm="http://schemas.microsoft.com/office/excel/2006/main">
          <x14:cfRule type="expression" priority="4702548" id="{97B30B86-8311-4DC0-A533-8C0D53F37839}">
            <xm:f>$BH$4='Data entry'!$R69</xm:f>
            <x14:dxf>
              <fill>
                <patternFill>
                  <bgColor rgb="FFFF0000"/>
                </patternFill>
              </fill>
            </x14:dxf>
          </x14:cfRule>
          <xm:sqref>BF195:BR195</xm:sqref>
        </x14:conditionalFormatting>
        <x14:conditionalFormatting xmlns:xm="http://schemas.microsoft.com/office/excel/2006/main">
          <x14:cfRule type="expression" priority="4702549" id="{78344C0C-5AEA-40B1-A20C-6D77DF58E1F5}">
            <xm:f>$BI$4='Data entry'!$R69</xm:f>
            <x14:dxf>
              <fill>
                <patternFill>
                  <bgColor rgb="FFFFFF00"/>
                </patternFill>
              </fill>
            </x14:dxf>
          </x14:cfRule>
          <xm:sqref>AU194:BI194</xm:sqref>
        </x14:conditionalFormatting>
        <x14:conditionalFormatting xmlns:xm="http://schemas.microsoft.com/office/excel/2006/main">
          <x14:cfRule type="expression" priority="4702550" id="{A9CE044F-482E-4F25-B28F-89ACC58502B1}">
            <xm:f>$BI$4='Data entry'!$R69</xm:f>
            <x14:dxf>
              <fill>
                <patternFill>
                  <bgColor rgb="FFFF0000"/>
                </patternFill>
              </fill>
            </x14:dxf>
          </x14:cfRule>
          <xm:sqref>BG195:BS195</xm:sqref>
        </x14:conditionalFormatting>
        <x14:conditionalFormatting xmlns:xm="http://schemas.microsoft.com/office/excel/2006/main">
          <x14:cfRule type="expression" priority="4702551" id="{F63BE0EB-3C71-4456-BEF0-11180AB7A8BB}">
            <xm:f>$BJ$4='Data entry'!$R69</xm:f>
            <x14:dxf>
              <fill>
                <patternFill>
                  <bgColor rgb="FFFFFF00"/>
                </patternFill>
              </fill>
            </x14:dxf>
          </x14:cfRule>
          <xm:sqref>AV194:BJ194</xm:sqref>
        </x14:conditionalFormatting>
        <x14:conditionalFormatting xmlns:xm="http://schemas.microsoft.com/office/excel/2006/main">
          <x14:cfRule type="expression" priority="4702552" id="{478A5DCB-1DAA-4497-A6CC-B4F01FB96D10}">
            <xm:f>$BJ$4='Data entry'!$R69</xm:f>
            <x14:dxf>
              <fill>
                <patternFill>
                  <bgColor rgb="FFFF0000"/>
                </patternFill>
              </fill>
            </x14:dxf>
          </x14:cfRule>
          <xm:sqref>BH195:BT195</xm:sqref>
        </x14:conditionalFormatting>
        <x14:conditionalFormatting xmlns:xm="http://schemas.microsoft.com/office/excel/2006/main">
          <x14:cfRule type="expression" priority="4702553" id="{CDE4AD5B-65A6-4FA4-9EC0-8D05F22312A9}">
            <xm:f>$BK$4='Data entry'!$R69</xm:f>
            <x14:dxf>
              <fill>
                <patternFill>
                  <bgColor rgb="FFFF0000"/>
                </patternFill>
              </fill>
            </x14:dxf>
          </x14:cfRule>
          <xm:sqref>BI195:BU195</xm:sqref>
        </x14:conditionalFormatting>
        <x14:conditionalFormatting xmlns:xm="http://schemas.microsoft.com/office/excel/2006/main">
          <x14:cfRule type="expression" priority="4702554" id="{AB32E790-6CD8-4D11-9A69-57D785FE4BBC}">
            <xm:f>$BK$4='Data entry'!$R69</xm:f>
            <x14:dxf>
              <fill>
                <patternFill>
                  <bgColor rgb="FFFFFF00"/>
                </patternFill>
              </fill>
            </x14:dxf>
          </x14:cfRule>
          <xm:sqref>AW194:BK194</xm:sqref>
        </x14:conditionalFormatting>
        <x14:conditionalFormatting xmlns:xm="http://schemas.microsoft.com/office/excel/2006/main">
          <x14:cfRule type="expression" priority="4702555" id="{99810EB9-805C-43D8-852A-EEECE7874CDB}">
            <xm:f>$BL$4='Data entry'!$R69</xm:f>
            <x14:dxf>
              <fill>
                <patternFill>
                  <bgColor rgb="FFFF0000"/>
                </patternFill>
              </fill>
            </x14:dxf>
          </x14:cfRule>
          <xm:sqref>BJ195:BV195</xm:sqref>
        </x14:conditionalFormatting>
        <x14:conditionalFormatting xmlns:xm="http://schemas.microsoft.com/office/excel/2006/main">
          <x14:cfRule type="expression" priority="4702556" id="{BF5F5475-4E46-479C-97A6-D5175F5D1803}">
            <xm:f>$BL$4='Data entry'!$R69</xm:f>
            <x14:dxf>
              <fill>
                <patternFill>
                  <bgColor rgb="FFFFFF00"/>
                </patternFill>
              </fill>
            </x14:dxf>
          </x14:cfRule>
          <xm:sqref>AX194:BL194</xm:sqref>
        </x14:conditionalFormatting>
        <x14:conditionalFormatting xmlns:xm="http://schemas.microsoft.com/office/excel/2006/main">
          <x14:cfRule type="expression" priority="4702557" id="{B86FDF2F-16C9-46B1-847E-7EA1A8A34B9D}">
            <xm:f>$BM$4='Data entry'!$R69</xm:f>
            <x14:dxf>
              <fill>
                <patternFill>
                  <bgColor rgb="FFFF0000"/>
                </patternFill>
              </fill>
            </x14:dxf>
          </x14:cfRule>
          <xm:sqref>BK195:BW195</xm:sqref>
        </x14:conditionalFormatting>
        <x14:conditionalFormatting xmlns:xm="http://schemas.microsoft.com/office/excel/2006/main">
          <x14:cfRule type="expression" priority="4702558" id="{72FD189F-4CED-400D-9FEF-21A328970A4D}">
            <xm:f>$BM$4='Data entry'!$R69</xm:f>
            <x14:dxf>
              <fill>
                <patternFill>
                  <bgColor rgb="FFFFFF00"/>
                </patternFill>
              </fill>
            </x14:dxf>
          </x14:cfRule>
          <xm:sqref>AY194:BM194</xm:sqref>
        </x14:conditionalFormatting>
        <x14:conditionalFormatting xmlns:xm="http://schemas.microsoft.com/office/excel/2006/main">
          <x14:cfRule type="expression" priority="4702559" id="{BBBBF859-D5A7-4F55-BFBF-8A77E3357590}">
            <xm:f>$BN$4='Data entry'!$R69</xm:f>
            <x14:dxf>
              <fill>
                <patternFill>
                  <bgColor rgb="FFFF0000"/>
                </patternFill>
              </fill>
            </x14:dxf>
          </x14:cfRule>
          <xm:sqref>BL195:BX195</xm:sqref>
        </x14:conditionalFormatting>
        <x14:conditionalFormatting xmlns:xm="http://schemas.microsoft.com/office/excel/2006/main">
          <x14:cfRule type="expression" priority="4702560" id="{50CB1D75-0FD5-4D24-92B1-E8A41DC6575C}">
            <xm:f>$BN$4='Data entry'!$R69</xm:f>
            <x14:dxf>
              <fill>
                <patternFill>
                  <bgColor rgb="FFFFFF00"/>
                </patternFill>
              </fill>
            </x14:dxf>
          </x14:cfRule>
          <xm:sqref>AZ194:BN194</xm:sqref>
        </x14:conditionalFormatting>
        <x14:conditionalFormatting xmlns:xm="http://schemas.microsoft.com/office/excel/2006/main">
          <x14:cfRule type="expression" priority="4702561" id="{9EF3226D-E8FC-496B-A6FF-71776AEA54D1}">
            <xm:f>$BO$4='Data entry'!$R69</xm:f>
            <x14:dxf>
              <fill>
                <patternFill>
                  <bgColor rgb="FFFF0000"/>
                </patternFill>
              </fill>
            </x14:dxf>
          </x14:cfRule>
          <xm:sqref>BM195:BY195</xm:sqref>
        </x14:conditionalFormatting>
        <x14:conditionalFormatting xmlns:xm="http://schemas.microsoft.com/office/excel/2006/main">
          <x14:cfRule type="expression" priority="4702562" id="{3B86C801-ECFE-4D05-8AA5-1581116BAFBC}">
            <xm:f>$BO$4='Data entry'!$R69</xm:f>
            <x14:dxf>
              <fill>
                <patternFill>
                  <bgColor rgb="FFFFFF00"/>
                </patternFill>
              </fill>
            </x14:dxf>
          </x14:cfRule>
          <xm:sqref>BA194:BO194</xm:sqref>
        </x14:conditionalFormatting>
        <x14:conditionalFormatting xmlns:xm="http://schemas.microsoft.com/office/excel/2006/main">
          <x14:cfRule type="expression" priority="4702563" id="{058A23EC-3371-4A02-9F20-1ECA603AC6BC}">
            <xm:f>$BP$4='Data entry'!$R69</xm:f>
            <x14:dxf>
              <fill>
                <patternFill>
                  <bgColor rgb="FFFF0000"/>
                </patternFill>
              </fill>
            </x14:dxf>
          </x14:cfRule>
          <xm:sqref>BN195:BZ195</xm:sqref>
        </x14:conditionalFormatting>
        <x14:conditionalFormatting xmlns:xm="http://schemas.microsoft.com/office/excel/2006/main">
          <x14:cfRule type="expression" priority="4702564" id="{3E711E31-3992-4555-AB22-87133D60CD15}">
            <xm:f>$BP$4='Data entry'!$R69</xm:f>
            <x14:dxf>
              <fill>
                <patternFill>
                  <bgColor rgb="FFFFFF00"/>
                </patternFill>
              </fill>
            </x14:dxf>
          </x14:cfRule>
          <xm:sqref>BB194:BP194</xm:sqref>
        </x14:conditionalFormatting>
        <x14:conditionalFormatting xmlns:xm="http://schemas.microsoft.com/office/excel/2006/main">
          <x14:cfRule type="expression" priority="4702565" id="{23E9F8B9-37D5-4730-9453-6F23E8ECBBE3}">
            <xm:f>$BQ$4='Data entry'!$R69</xm:f>
            <x14:dxf>
              <fill>
                <patternFill>
                  <bgColor rgb="FFFFFF00"/>
                </patternFill>
              </fill>
            </x14:dxf>
          </x14:cfRule>
          <xm:sqref>BC194:BQ194</xm:sqref>
        </x14:conditionalFormatting>
        <x14:conditionalFormatting xmlns:xm="http://schemas.microsoft.com/office/excel/2006/main">
          <x14:cfRule type="expression" priority="4702566" id="{BCFD92F6-AAD3-44FD-BC61-A292A81B883E}">
            <xm:f>$BQ$4='Data entry'!$R69</xm:f>
            <x14:dxf>
              <fill>
                <patternFill>
                  <bgColor rgb="FFFF0000"/>
                </patternFill>
              </fill>
            </x14:dxf>
          </x14:cfRule>
          <xm:sqref>BO195:CA195</xm:sqref>
        </x14:conditionalFormatting>
        <x14:conditionalFormatting xmlns:xm="http://schemas.microsoft.com/office/excel/2006/main">
          <x14:cfRule type="expression" priority="4702567" id="{357D60E5-F356-477E-8020-A18F42C02832}">
            <xm:f>$BR$4='Data entry'!$R69</xm:f>
            <x14:dxf>
              <fill>
                <patternFill>
                  <bgColor rgb="FFFFFF00"/>
                </patternFill>
              </fill>
            </x14:dxf>
          </x14:cfRule>
          <xm:sqref>BD194:BR194</xm:sqref>
        </x14:conditionalFormatting>
        <x14:conditionalFormatting xmlns:xm="http://schemas.microsoft.com/office/excel/2006/main">
          <x14:cfRule type="expression" priority="4702568" id="{DA2B6511-43B3-432D-B6AA-1DB1188B90A6}">
            <xm:f>$BR$4='Data entry'!$R69</xm:f>
            <x14:dxf>
              <fill>
                <patternFill>
                  <bgColor rgb="FFFF0000"/>
                </patternFill>
              </fill>
            </x14:dxf>
          </x14:cfRule>
          <xm:sqref>BP195:CB195</xm:sqref>
        </x14:conditionalFormatting>
        <x14:conditionalFormatting xmlns:xm="http://schemas.microsoft.com/office/excel/2006/main">
          <x14:cfRule type="expression" priority="4702569" id="{0D5F64E4-4136-4BFA-B833-CC8578525D9C}">
            <xm:f>$BS$4='Data entry'!$R69</xm:f>
            <x14:dxf>
              <fill>
                <patternFill>
                  <bgColor rgb="FFFFFF00"/>
                </patternFill>
              </fill>
            </x14:dxf>
          </x14:cfRule>
          <xm:sqref>BE194:BS194</xm:sqref>
        </x14:conditionalFormatting>
        <x14:conditionalFormatting xmlns:xm="http://schemas.microsoft.com/office/excel/2006/main">
          <x14:cfRule type="expression" priority="4702570" id="{AC94D468-F078-4AE2-8771-102996E07B09}">
            <xm:f>$BS$4='Data entry'!$R69</xm:f>
            <x14:dxf>
              <fill>
                <patternFill>
                  <bgColor rgb="FFFF0000"/>
                </patternFill>
              </fill>
            </x14:dxf>
          </x14:cfRule>
          <xm:sqref>BQ195:CC195</xm:sqref>
        </x14:conditionalFormatting>
        <x14:conditionalFormatting xmlns:xm="http://schemas.microsoft.com/office/excel/2006/main">
          <x14:cfRule type="expression" priority="4702571" id="{10E78F76-181E-4F19-9F89-7DD36D3EFE30}">
            <xm:f>$BT$4='Data entry'!$R69</xm:f>
            <x14:dxf>
              <fill>
                <patternFill>
                  <bgColor rgb="FFFFFF00"/>
                </patternFill>
              </fill>
            </x14:dxf>
          </x14:cfRule>
          <xm:sqref>BF194:BT194</xm:sqref>
        </x14:conditionalFormatting>
        <x14:conditionalFormatting xmlns:xm="http://schemas.microsoft.com/office/excel/2006/main">
          <x14:cfRule type="expression" priority="4702572" id="{6A5FADC6-9512-4EFB-90A5-7B5244D10D1F}">
            <xm:f>$BT$4='Data entry'!$R69</xm:f>
            <x14:dxf>
              <fill>
                <patternFill>
                  <bgColor rgb="FFFF0000"/>
                </patternFill>
              </fill>
            </x14:dxf>
          </x14:cfRule>
          <xm:sqref>BR195:CC195</xm:sqref>
        </x14:conditionalFormatting>
        <x14:conditionalFormatting xmlns:xm="http://schemas.microsoft.com/office/excel/2006/main">
          <x14:cfRule type="expression" priority="4702573" id="{A51139D1-8841-4B96-B8CB-DFE3808765CF}">
            <xm:f>$BU$4='Data entry'!$R69</xm:f>
            <x14:dxf>
              <fill>
                <patternFill>
                  <bgColor rgb="FFFFFF00"/>
                </patternFill>
              </fill>
            </x14:dxf>
          </x14:cfRule>
          <xm:sqref>BG194:BU194</xm:sqref>
        </x14:conditionalFormatting>
        <x14:conditionalFormatting xmlns:xm="http://schemas.microsoft.com/office/excel/2006/main">
          <x14:cfRule type="expression" priority="4702574" id="{55CA7258-760F-4BFF-ACB5-A70FEB3E7981}">
            <xm:f>$BU$4='Data entry'!$R69</xm:f>
            <x14:dxf>
              <fill>
                <patternFill>
                  <bgColor rgb="FFFF0000"/>
                </patternFill>
              </fill>
            </x14:dxf>
          </x14:cfRule>
          <xm:sqref>BS195:CC195</xm:sqref>
        </x14:conditionalFormatting>
        <x14:conditionalFormatting xmlns:xm="http://schemas.microsoft.com/office/excel/2006/main">
          <x14:cfRule type="expression" priority="4702575" id="{A922B218-64DB-4CBB-9AB8-FE0EBB44E09E}">
            <xm:f>$BV$4='Data entry'!$R69</xm:f>
            <x14:dxf>
              <fill>
                <patternFill>
                  <bgColor rgb="FFFFFF00"/>
                </patternFill>
              </fill>
            </x14:dxf>
          </x14:cfRule>
          <xm:sqref>BH194:BV194</xm:sqref>
        </x14:conditionalFormatting>
        <x14:conditionalFormatting xmlns:xm="http://schemas.microsoft.com/office/excel/2006/main">
          <x14:cfRule type="expression" priority="4702576" id="{C98E908A-CD31-4778-B41C-7AFB9DBE639A}">
            <xm:f>$BV$4='Data entry'!$R69</xm:f>
            <x14:dxf>
              <fill>
                <patternFill>
                  <bgColor rgb="FFFF0000"/>
                </patternFill>
              </fill>
            </x14:dxf>
          </x14:cfRule>
          <xm:sqref>BT195:CC195</xm:sqref>
        </x14:conditionalFormatting>
        <x14:conditionalFormatting xmlns:xm="http://schemas.microsoft.com/office/excel/2006/main">
          <x14:cfRule type="expression" priority="4702577" id="{465CCCA3-B4DB-4B61-8AC7-8A5E4CEC9E3F}">
            <xm:f>$BW$4='Data entry'!$R69</xm:f>
            <x14:dxf>
              <fill>
                <patternFill>
                  <bgColor rgb="FFFFFF00"/>
                </patternFill>
              </fill>
            </x14:dxf>
          </x14:cfRule>
          <xm:sqref>BI194:BW194</xm:sqref>
        </x14:conditionalFormatting>
        <x14:conditionalFormatting xmlns:xm="http://schemas.microsoft.com/office/excel/2006/main">
          <x14:cfRule type="expression" priority="4702578" id="{37566F97-6D06-400B-A709-FE657B07687F}">
            <xm:f>$BW$4='Data entry'!$R69</xm:f>
            <x14:dxf>
              <fill>
                <patternFill>
                  <bgColor rgb="FFFF0000"/>
                </patternFill>
              </fill>
            </x14:dxf>
          </x14:cfRule>
          <xm:sqref>BU195:CC195</xm:sqref>
        </x14:conditionalFormatting>
        <x14:conditionalFormatting xmlns:xm="http://schemas.microsoft.com/office/excel/2006/main">
          <x14:cfRule type="expression" priority="4702579" id="{D8FBA3AC-5CF0-4E45-97CA-1D4DEE729ADA}">
            <xm:f>$BX$4='Data entry'!$R69</xm:f>
            <x14:dxf>
              <fill>
                <patternFill>
                  <bgColor rgb="FFFFFF00"/>
                </patternFill>
              </fill>
            </x14:dxf>
          </x14:cfRule>
          <xm:sqref>BJ194:BX194</xm:sqref>
        </x14:conditionalFormatting>
        <x14:conditionalFormatting xmlns:xm="http://schemas.microsoft.com/office/excel/2006/main">
          <x14:cfRule type="expression" priority="4702580" id="{E077C84B-A94F-431D-B232-4AFCC7C64F54}">
            <xm:f>$BX$4='Data entry'!$R69</xm:f>
            <x14:dxf>
              <fill>
                <patternFill>
                  <bgColor rgb="FFFF0000"/>
                </patternFill>
              </fill>
            </x14:dxf>
          </x14:cfRule>
          <xm:sqref>BV195:CC195</xm:sqref>
        </x14:conditionalFormatting>
        <x14:conditionalFormatting xmlns:xm="http://schemas.microsoft.com/office/excel/2006/main">
          <x14:cfRule type="expression" priority="4702581" id="{63783BA8-0C97-4A44-86FD-7A2BCF1B9957}">
            <xm:f>$BY$4='Data entry'!$R69</xm:f>
            <x14:dxf>
              <fill>
                <patternFill>
                  <bgColor rgb="FFFFFF00"/>
                </patternFill>
              </fill>
            </x14:dxf>
          </x14:cfRule>
          <xm:sqref>BK194:BY194</xm:sqref>
        </x14:conditionalFormatting>
        <x14:conditionalFormatting xmlns:xm="http://schemas.microsoft.com/office/excel/2006/main">
          <x14:cfRule type="expression" priority="4702582" id="{BB8DB8B4-B71B-46D2-AEE7-346F16103F74}">
            <xm:f>$BY$4='Data entry'!$R69</xm:f>
            <x14:dxf>
              <fill>
                <patternFill>
                  <bgColor rgb="FFFF0000"/>
                </patternFill>
              </fill>
            </x14:dxf>
          </x14:cfRule>
          <xm:sqref>BW195:CC195</xm:sqref>
        </x14:conditionalFormatting>
        <x14:conditionalFormatting xmlns:xm="http://schemas.microsoft.com/office/excel/2006/main">
          <x14:cfRule type="expression" priority="4702583" id="{1B638B98-2B06-4FEB-90C1-446A3E0A3979}">
            <xm:f>$BZ$4='Data entry'!$R69</xm:f>
            <x14:dxf>
              <fill>
                <patternFill>
                  <bgColor rgb="FFFFFF00"/>
                </patternFill>
              </fill>
            </x14:dxf>
          </x14:cfRule>
          <xm:sqref>BL194:BZ194</xm:sqref>
        </x14:conditionalFormatting>
        <x14:conditionalFormatting xmlns:xm="http://schemas.microsoft.com/office/excel/2006/main">
          <x14:cfRule type="expression" priority="4702584" id="{D3A0A2F8-D1B2-4DC5-B2A9-0EF53074E685}">
            <xm:f>$BZ$4='Data entry'!$R69</xm:f>
            <x14:dxf>
              <fill>
                <patternFill>
                  <bgColor rgb="FFFF0000"/>
                </patternFill>
              </fill>
            </x14:dxf>
          </x14:cfRule>
          <xm:sqref>BX195:CC195</xm:sqref>
        </x14:conditionalFormatting>
        <x14:conditionalFormatting xmlns:xm="http://schemas.microsoft.com/office/excel/2006/main">
          <x14:cfRule type="expression" priority="4702585" id="{83F6D018-7D3B-4D33-9998-11572F2F2FF5}">
            <xm:f>$CA$4='Data entry'!$R69</xm:f>
            <x14:dxf>
              <fill>
                <patternFill>
                  <bgColor rgb="FFFFFF00"/>
                </patternFill>
              </fill>
            </x14:dxf>
          </x14:cfRule>
          <xm:sqref>BM194:CA194</xm:sqref>
        </x14:conditionalFormatting>
        <x14:conditionalFormatting xmlns:xm="http://schemas.microsoft.com/office/excel/2006/main">
          <x14:cfRule type="expression" priority="4702586" id="{8E6D0B51-5626-4ED9-9072-C7A2C139704F}">
            <xm:f>$CA$4='Data entry'!$R69</xm:f>
            <x14:dxf>
              <fill>
                <patternFill>
                  <bgColor rgb="FFFF0000"/>
                </patternFill>
              </fill>
            </x14:dxf>
          </x14:cfRule>
          <xm:sqref>BY195:CC195</xm:sqref>
        </x14:conditionalFormatting>
        <x14:conditionalFormatting xmlns:xm="http://schemas.microsoft.com/office/excel/2006/main">
          <x14:cfRule type="expression" priority="4702587" id="{E1886EE4-3BDE-43A9-9F4B-79377FEC37FE}">
            <xm:f>$CB$4='Data entry'!$R69</xm:f>
            <x14:dxf>
              <fill>
                <patternFill>
                  <bgColor rgb="FFFFFF00"/>
                </patternFill>
              </fill>
            </x14:dxf>
          </x14:cfRule>
          <xm:sqref>BN194:CB194</xm:sqref>
        </x14:conditionalFormatting>
        <x14:conditionalFormatting xmlns:xm="http://schemas.microsoft.com/office/excel/2006/main">
          <x14:cfRule type="expression" priority="4702588" id="{ADEF572A-6C18-4602-BB86-01C96D36E07E}">
            <xm:f>$CB$4='Data entry'!$R69</xm:f>
            <x14:dxf>
              <fill>
                <patternFill>
                  <bgColor rgb="FFFF0000"/>
                </patternFill>
              </fill>
            </x14:dxf>
          </x14:cfRule>
          <xm:sqref>BZ195:CC195</xm:sqref>
        </x14:conditionalFormatting>
        <x14:conditionalFormatting xmlns:xm="http://schemas.microsoft.com/office/excel/2006/main">
          <x14:cfRule type="expression" priority="4702589" id="{7984E1C9-E073-4955-8543-62145CB6D008}">
            <xm:f>$CC$4='Data entry'!$R69</xm:f>
            <x14:dxf>
              <fill>
                <patternFill>
                  <bgColor rgb="FFFFFF00"/>
                </patternFill>
              </fill>
            </x14:dxf>
          </x14:cfRule>
          <xm:sqref>BO194:CC194</xm:sqref>
        </x14:conditionalFormatting>
        <x14:conditionalFormatting xmlns:xm="http://schemas.microsoft.com/office/excel/2006/main">
          <x14:cfRule type="expression" priority="4702590" id="{18A957B3-59FA-4698-BA92-2A208FF18E2F}">
            <xm:f>$CC$4='Data entry'!$R69</xm:f>
            <x14:dxf>
              <fill>
                <patternFill>
                  <bgColor rgb="FFFF0000"/>
                </patternFill>
              </fill>
            </x14:dxf>
          </x14:cfRule>
          <xm:sqref>CA195:CC195</xm:sqref>
        </x14:conditionalFormatting>
        <x14:conditionalFormatting xmlns:xm="http://schemas.microsoft.com/office/excel/2006/main">
          <x14:cfRule type="expression" priority="4702677" id="{5B0DB825-B7C2-40AC-B7EF-F267F054CFB9}">
            <xm:f>$U$4='Data entry'!$R70</xm:f>
            <x14:dxf>
              <fill>
                <patternFill>
                  <bgColor rgb="FFFF0000"/>
                </patternFill>
              </fill>
            </x14:dxf>
          </x14:cfRule>
          <xm:sqref>S198:AE198</xm:sqref>
        </x14:conditionalFormatting>
        <x14:conditionalFormatting xmlns:xm="http://schemas.microsoft.com/office/excel/2006/main">
          <x14:cfRule type="expression" priority="4702678" id="{18311200-E2BB-400F-B594-3B9A2C6068C2}">
            <xm:f>$V$4='Data entry'!$R70</xm:f>
            <x14:dxf>
              <fill>
                <patternFill>
                  <bgColor rgb="FFFF0000"/>
                </patternFill>
              </fill>
            </x14:dxf>
          </x14:cfRule>
          <xm:sqref>T198:AF198</xm:sqref>
        </x14:conditionalFormatting>
        <x14:conditionalFormatting xmlns:xm="http://schemas.microsoft.com/office/excel/2006/main">
          <x14:cfRule type="expression" priority="4702679" id="{D6DFB621-1A58-4C59-A987-ECAD0EB2D32B}">
            <xm:f>$V$4='Data entry'!$R70</xm:f>
            <x14:dxf>
              <fill>
                <patternFill>
                  <bgColor rgb="FFFFFF00"/>
                </patternFill>
              </fill>
            </x14:dxf>
          </x14:cfRule>
          <xm:sqref>H197:V197</xm:sqref>
        </x14:conditionalFormatting>
        <x14:conditionalFormatting xmlns:xm="http://schemas.microsoft.com/office/excel/2006/main">
          <x14:cfRule type="expression" priority="4702680" id="{5F87A680-DC5F-433D-A779-B7A534ACCDA9}">
            <xm:f>$W$4='Data entry'!$R70</xm:f>
            <x14:dxf>
              <fill>
                <patternFill>
                  <bgColor rgb="FFFF0000"/>
                </patternFill>
              </fill>
            </x14:dxf>
          </x14:cfRule>
          <xm:sqref>U198:AG198</xm:sqref>
        </x14:conditionalFormatting>
        <x14:conditionalFormatting xmlns:xm="http://schemas.microsoft.com/office/excel/2006/main">
          <x14:cfRule type="expression" priority="4702681" id="{964539FF-A92C-4F68-B268-B7157A32678C}">
            <xm:f>$W$4='Data entry'!$R70</xm:f>
            <x14:dxf>
              <fill>
                <patternFill>
                  <bgColor rgb="FFFFFF00"/>
                </patternFill>
              </fill>
            </x14:dxf>
          </x14:cfRule>
          <xm:sqref>I197:W197</xm:sqref>
        </x14:conditionalFormatting>
        <x14:conditionalFormatting xmlns:xm="http://schemas.microsoft.com/office/excel/2006/main">
          <x14:cfRule type="expression" priority="4702682" id="{46C1533A-F090-4A90-9309-3F59EC3FD3B0}">
            <xm:f>$X$4='Data entry'!$R70</xm:f>
            <x14:dxf>
              <fill>
                <patternFill>
                  <bgColor rgb="FFFF0000"/>
                </patternFill>
              </fill>
            </x14:dxf>
          </x14:cfRule>
          <xm:sqref>V198:AH198</xm:sqref>
        </x14:conditionalFormatting>
        <x14:conditionalFormatting xmlns:xm="http://schemas.microsoft.com/office/excel/2006/main">
          <x14:cfRule type="expression" priority="4702683" id="{7C70E81C-DDD4-4D75-933A-4F6A39893184}">
            <xm:f>$X$4='Data entry'!$R70</xm:f>
            <x14:dxf>
              <fill>
                <patternFill>
                  <bgColor rgb="FFFFFF00"/>
                </patternFill>
              </fill>
            </x14:dxf>
          </x14:cfRule>
          <xm:sqref>J197:X197</xm:sqref>
        </x14:conditionalFormatting>
        <x14:conditionalFormatting xmlns:xm="http://schemas.microsoft.com/office/excel/2006/main">
          <x14:cfRule type="expression" priority="4702684" id="{561AF073-0EF8-4B72-A119-40A639C4359D}">
            <xm:f>$Y$4='Data entry'!$R70</xm:f>
            <x14:dxf>
              <fill>
                <patternFill>
                  <bgColor rgb="FFFF0000"/>
                </patternFill>
              </fill>
            </x14:dxf>
          </x14:cfRule>
          <xm:sqref>W198:AI198</xm:sqref>
        </x14:conditionalFormatting>
        <x14:conditionalFormatting xmlns:xm="http://schemas.microsoft.com/office/excel/2006/main">
          <x14:cfRule type="expression" priority="4702685" id="{F242E808-8F07-4A89-9524-7D4C767CE357}">
            <xm:f>$Y$4='Data entry'!$R70</xm:f>
            <x14:dxf>
              <fill>
                <patternFill>
                  <bgColor rgb="FFFFFF00"/>
                </patternFill>
              </fill>
            </x14:dxf>
          </x14:cfRule>
          <xm:sqref>K197:Y197</xm:sqref>
        </x14:conditionalFormatting>
        <x14:conditionalFormatting xmlns:xm="http://schemas.microsoft.com/office/excel/2006/main">
          <x14:cfRule type="expression" priority="4702686" id="{DD601058-982B-4218-BD9D-64BB823C2633}">
            <xm:f>$Z$4='Data entry'!$R70</xm:f>
            <x14:dxf>
              <fill>
                <patternFill>
                  <bgColor rgb="FFFF0000"/>
                </patternFill>
              </fill>
            </x14:dxf>
          </x14:cfRule>
          <xm:sqref>X198:AJ198</xm:sqref>
        </x14:conditionalFormatting>
        <x14:conditionalFormatting xmlns:xm="http://schemas.microsoft.com/office/excel/2006/main">
          <x14:cfRule type="expression" priority="4702687" id="{C9DB141D-79F6-4093-92A3-7BF7A1622985}">
            <xm:f>$Z$4='Data entry'!$R70</xm:f>
            <x14:dxf>
              <fill>
                <patternFill>
                  <bgColor rgb="FFFFFF00"/>
                </patternFill>
              </fill>
            </x14:dxf>
          </x14:cfRule>
          <xm:sqref>L197:Z197</xm:sqref>
        </x14:conditionalFormatting>
        <x14:conditionalFormatting xmlns:xm="http://schemas.microsoft.com/office/excel/2006/main">
          <x14:cfRule type="expression" priority="4702688" id="{710EB8D3-F5C0-4E3C-8214-2D0C4E26F649}">
            <xm:f>$AA$4='Data entry'!$R70</xm:f>
            <x14:dxf>
              <fill>
                <patternFill>
                  <bgColor rgb="FFFF0000"/>
                </patternFill>
              </fill>
            </x14:dxf>
          </x14:cfRule>
          <xm:sqref>Y198:AK198</xm:sqref>
        </x14:conditionalFormatting>
        <x14:conditionalFormatting xmlns:xm="http://schemas.microsoft.com/office/excel/2006/main">
          <x14:cfRule type="expression" priority="4702689" id="{33825D69-C967-4D27-B395-5D44A3083802}">
            <xm:f>$AA$4='Data entry'!$R70</xm:f>
            <x14:dxf>
              <fill>
                <patternFill>
                  <bgColor rgb="FFFFFF00"/>
                </patternFill>
              </fill>
            </x14:dxf>
          </x14:cfRule>
          <xm:sqref>M197:AA197</xm:sqref>
        </x14:conditionalFormatting>
        <x14:conditionalFormatting xmlns:xm="http://schemas.microsoft.com/office/excel/2006/main">
          <x14:cfRule type="expression" priority="4702690" id="{9811A97D-351B-4D32-8754-AF433277E62B}">
            <xm:f>$AB$4='Data entry'!$R70</xm:f>
            <x14:dxf>
              <fill>
                <patternFill>
                  <bgColor rgb="FFFF0000"/>
                </patternFill>
              </fill>
            </x14:dxf>
          </x14:cfRule>
          <xm:sqref>Z198:AL198</xm:sqref>
        </x14:conditionalFormatting>
        <x14:conditionalFormatting xmlns:xm="http://schemas.microsoft.com/office/excel/2006/main">
          <x14:cfRule type="expression" priority="4702691" id="{6DD3E556-C72E-438B-92DA-3096ED1E4178}">
            <xm:f>$AB$4='Data entry'!$R70</xm:f>
            <x14:dxf>
              <fill>
                <patternFill>
                  <bgColor rgb="FFFFFF00"/>
                </patternFill>
              </fill>
            </x14:dxf>
          </x14:cfRule>
          <xm:sqref>N197:AB197</xm:sqref>
        </x14:conditionalFormatting>
        <x14:conditionalFormatting xmlns:xm="http://schemas.microsoft.com/office/excel/2006/main">
          <x14:cfRule type="expression" priority="4702692" id="{C0DF7A1B-D6BC-4371-BD3A-F0708147FA1C}">
            <xm:f>$AC$4='Data entry'!$R70</xm:f>
            <x14:dxf>
              <fill>
                <patternFill>
                  <bgColor rgb="FFFF0000"/>
                </patternFill>
              </fill>
            </x14:dxf>
          </x14:cfRule>
          <xm:sqref>AA198:AM198</xm:sqref>
        </x14:conditionalFormatting>
        <x14:conditionalFormatting xmlns:xm="http://schemas.microsoft.com/office/excel/2006/main">
          <x14:cfRule type="expression" priority="4702693" id="{DB2E1F48-AF0E-41F9-A976-6B1963CA5711}">
            <xm:f>$AC$4='Data entry'!$R70</xm:f>
            <x14:dxf>
              <fill>
                <patternFill>
                  <bgColor rgb="FFFFFF00"/>
                </patternFill>
              </fill>
            </x14:dxf>
          </x14:cfRule>
          <xm:sqref>O197:AC197</xm:sqref>
        </x14:conditionalFormatting>
        <x14:conditionalFormatting xmlns:xm="http://schemas.microsoft.com/office/excel/2006/main">
          <x14:cfRule type="expression" priority="4702694" id="{89909907-F9A9-4AF9-BC1D-304710A43F50}">
            <xm:f>$AD$4='Data entry'!$R70</xm:f>
            <x14:dxf>
              <fill>
                <patternFill>
                  <bgColor rgb="FFFF0000"/>
                </patternFill>
              </fill>
            </x14:dxf>
          </x14:cfRule>
          <xm:sqref>AB198:AN198</xm:sqref>
        </x14:conditionalFormatting>
        <x14:conditionalFormatting xmlns:xm="http://schemas.microsoft.com/office/excel/2006/main">
          <x14:cfRule type="expression" priority="4702695" id="{729676B7-E331-43A4-ACC9-850DCEE76A0E}">
            <xm:f>$AD$4='Data entry'!$R70</xm:f>
            <x14:dxf>
              <fill>
                <patternFill>
                  <bgColor rgb="FFFFFF00"/>
                </patternFill>
              </fill>
            </x14:dxf>
          </x14:cfRule>
          <xm:sqref>P197:AD197</xm:sqref>
        </x14:conditionalFormatting>
        <x14:conditionalFormatting xmlns:xm="http://schemas.microsoft.com/office/excel/2006/main">
          <x14:cfRule type="expression" priority="4702696" id="{00DA2C55-350E-44AA-ABEA-808FABFDA737}">
            <xm:f>$AE$4='Data entry'!$R70</xm:f>
            <x14:dxf>
              <fill>
                <patternFill>
                  <bgColor rgb="FFFF0000"/>
                </patternFill>
              </fill>
            </x14:dxf>
          </x14:cfRule>
          <xm:sqref>AC198:AO198</xm:sqref>
        </x14:conditionalFormatting>
        <x14:conditionalFormatting xmlns:xm="http://schemas.microsoft.com/office/excel/2006/main">
          <x14:cfRule type="expression" priority="4702697" id="{373C95F1-00C1-45E9-B561-5224945BA4A4}">
            <xm:f>$AE$4='Data entry'!$R70</xm:f>
            <x14:dxf>
              <fill>
                <patternFill>
                  <bgColor rgb="FFFFFF00"/>
                </patternFill>
              </fill>
            </x14:dxf>
          </x14:cfRule>
          <xm:sqref>Q197:AE197</xm:sqref>
        </x14:conditionalFormatting>
        <x14:conditionalFormatting xmlns:xm="http://schemas.microsoft.com/office/excel/2006/main">
          <x14:cfRule type="expression" priority="4702698" id="{65E90E74-6BEF-4B00-BD5E-ECACFEBC225A}">
            <xm:f>$AF$4='Data entry'!$R70</xm:f>
            <x14:dxf>
              <fill>
                <patternFill>
                  <bgColor rgb="FFFF0000"/>
                </patternFill>
              </fill>
            </x14:dxf>
          </x14:cfRule>
          <xm:sqref>AD198:AP198</xm:sqref>
        </x14:conditionalFormatting>
        <x14:conditionalFormatting xmlns:xm="http://schemas.microsoft.com/office/excel/2006/main">
          <x14:cfRule type="expression" priority="4702699" id="{56B519D7-E083-4811-B42B-D6CB10D44BB3}">
            <xm:f>$AF$4='Data entry'!$R70</xm:f>
            <x14:dxf>
              <fill>
                <patternFill>
                  <bgColor rgb="FFFFFF00"/>
                </patternFill>
              </fill>
            </x14:dxf>
          </x14:cfRule>
          <xm:sqref>R197:AF197</xm:sqref>
        </x14:conditionalFormatting>
        <x14:conditionalFormatting xmlns:xm="http://schemas.microsoft.com/office/excel/2006/main">
          <x14:cfRule type="expression" priority="4702700" id="{889682B6-BF9B-414B-86B7-1C802156B058}">
            <xm:f>$AG$4='Data entry'!$R70</xm:f>
            <x14:dxf>
              <fill>
                <patternFill>
                  <bgColor rgb="FFFF0000"/>
                </patternFill>
              </fill>
            </x14:dxf>
          </x14:cfRule>
          <xm:sqref>AE198:AQ198</xm:sqref>
        </x14:conditionalFormatting>
        <x14:conditionalFormatting xmlns:xm="http://schemas.microsoft.com/office/excel/2006/main">
          <x14:cfRule type="expression" priority="4702701" id="{19913D88-1940-4CB0-B29C-D46D60833BD5}">
            <xm:f>$AG$4='Data entry'!$R70</xm:f>
            <x14:dxf>
              <fill>
                <patternFill>
                  <bgColor rgb="FFFFFF00"/>
                </patternFill>
              </fill>
            </x14:dxf>
          </x14:cfRule>
          <xm:sqref>S197:AG197</xm:sqref>
        </x14:conditionalFormatting>
        <x14:conditionalFormatting xmlns:xm="http://schemas.microsoft.com/office/excel/2006/main">
          <x14:cfRule type="expression" priority="4702702" id="{3DD7B9A5-18A3-463F-BAD5-9796FC487328}">
            <xm:f>$AH$4='Data entry'!$R70</xm:f>
            <x14:dxf>
              <fill>
                <patternFill>
                  <bgColor rgb="FFFF0000"/>
                </patternFill>
              </fill>
            </x14:dxf>
          </x14:cfRule>
          <xm:sqref>AF198:AR198</xm:sqref>
        </x14:conditionalFormatting>
        <x14:conditionalFormatting xmlns:xm="http://schemas.microsoft.com/office/excel/2006/main">
          <x14:cfRule type="expression" priority="4702703" id="{31005CF4-5608-496E-91EB-F7F505046C80}">
            <xm:f>$AH$4='Data entry'!$R70</xm:f>
            <x14:dxf>
              <fill>
                <patternFill>
                  <bgColor rgb="FFFFFF00"/>
                </patternFill>
              </fill>
            </x14:dxf>
          </x14:cfRule>
          <xm:sqref>T197:AH197</xm:sqref>
        </x14:conditionalFormatting>
        <x14:conditionalFormatting xmlns:xm="http://schemas.microsoft.com/office/excel/2006/main">
          <x14:cfRule type="expression" priority="4702704" id="{CD14F654-5B7A-444F-8FC1-7DD71E76E475}">
            <xm:f>$AI$4='Data entry'!$R70</xm:f>
            <x14:dxf>
              <fill>
                <patternFill>
                  <bgColor rgb="FFFF0000"/>
                </patternFill>
              </fill>
            </x14:dxf>
          </x14:cfRule>
          <xm:sqref>AG198:AS198</xm:sqref>
        </x14:conditionalFormatting>
        <x14:conditionalFormatting xmlns:xm="http://schemas.microsoft.com/office/excel/2006/main">
          <x14:cfRule type="expression" priority="4702705" id="{0E4E448C-6C46-4285-B877-A61A90294385}">
            <xm:f>$AI$4='Data entry'!$R70</xm:f>
            <x14:dxf>
              <fill>
                <patternFill>
                  <bgColor rgb="FFFFFF00"/>
                </patternFill>
              </fill>
            </x14:dxf>
          </x14:cfRule>
          <xm:sqref>U197:AI197</xm:sqref>
        </x14:conditionalFormatting>
        <x14:conditionalFormatting xmlns:xm="http://schemas.microsoft.com/office/excel/2006/main">
          <x14:cfRule type="expression" priority="4702706" id="{B1C1818F-791C-403D-BE73-6F6E9DC6A16D}">
            <xm:f>$AJ$4='Data entry'!$R70</xm:f>
            <x14:dxf>
              <fill>
                <patternFill>
                  <bgColor rgb="FFFF0000"/>
                </patternFill>
              </fill>
            </x14:dxf>
          </x14:cfRule>
          <xm:sqref>AH198:AT198</xm:sqref>
        </x14:conditionalFormatting>
        <x14:conditionalFormatting xmlns:xm="http://schemas.microsoft.com/office/excel/2006/main">
          <x14:cfRule type="expression" priority="4702707" id="{A1237792-221B-431B-B8A7-E9A64DA46D93}">
            <xm:f>$AJ$4='Data entry'!$R70</xm:f>
            <x14:dxf>
              <fill>
                <patternFill>
                  <bgColor rgb="FFFFFF00"/>
                </patternFill>
              </fill>
            </x14:dxf>
          </x14:cfRule>
          <xm:sqref>V197:AJ197</xm:sqref>
        </x14:conditionalFormatting>
        <x14:conditionalFormatting xmlns:xm="http://schemas.microsoft.com/office/excel/2006/main">
          <x14:cfRule type="expression" priority="4702708" id="{617DC2AF-C7A3-4724-8EA3-17DEFEDC8949}">
            <xm:f>$AK$4='Data entry'!$R70</xm:f>
            <x14:dxf>
              <fill>
                <patternFill>
                  <bgColor rgb="FFFF0000"/>
                </patternFill>
              </fill>
            </x14:dxf>
          </x14:cfRule>
          <xm:sqref>AI198:AU198</xm:sqref>
        </x14:conditionalFormatting>
        <x14:conditionalFormatting xmlns:xm="http://schemas.microsoft.com/office/excel/2006/main">
          <x14:cfRule type="expression" priority="4702709" id="{AA72317D-37B1-48EB-A28B-BF2AC8DC4519}">
            <xm:f>$AK$4='Data entry'!$R70</xm:f>
            <x14:dxf>
              <fill>
                <patternFill>
                  <bgColor rgb="FFFFFF00"/>
                </patternFill>
              </fill>
            </x14:dxf>
          </x14:cfRule>
          <xm:sqref>W197:AK197</xm:sqref>
        </x14:conditionalFormatting>
        <x14:conditionalFormatting xmlns:xm="http://schemas.microsoft.com/office/excel/2006/main">
          <x14:cfRule type="expression" priority="4702710" id="{6CA9FB7A-20EA-4D3A-B74C-A001F4BE810D}">
            <xm:f>$AL$4='Data entry'!$R70</xm:f>
            <x14:dxf>
              <fill>
                <patternFill>
                  <bgColor rgb="FFFF0000"/>
                </patternFill>
              </fill>
            </x14:dxf>
          </x14:cfRule>
          <xm:sqref>AJ198:AV198</xm:sqref>
        </x14:conditionalFormatting>
        <x14:conditionalFormatting xmlns:xm="http://schemas.microsoft.com/office/excel/2006/main">
          <x14:cfRule type="expression" priority="4702711" id="{81A75DAA-573F-4EF3-A640-1B992C18BEA0}">
            <xm:f>$AL$4='Data entry'!$R70</xm:f>
            <x14:dxf>
              <fill>
                <patternFill>
                  <bgColor rgb="FFFFFF00"/>
                </patternFill>
              </fill>
            </x14:dxf>
          </x14:cfRule>
          <xm:sqref>X197:AL197</xm:sqref>
        </x14:conditionalFormatting>
        <x14:conditionalFormatting xmlns:xm="http://schemas.microsoft.com/office/excel/2006/main">
          <x14:cfRule type="expression" priority="4702712" id="{3D44713E-4ABA-4CCD-9DF4-5513A9FB5E1E}">
            <xm:f>$AM$4='Data entry'!$R70</xm:f>
            <x14:dxf>
              <fill>
                <patternFill>
                  <bgColor rgb="FFFF0000"/>
                </patternFill>
              </fill>
            </x14:dxf>
          </x14:cfRule>
          <xm:sqref>AK198:AW198</xm:sqref>
        </x14:conditionalFormatting>
        <x14:conditionalFormatting xmlns:xm="http://schemas.microsoft.com/office/excel/2006/main">
          <x14:cfRule type="expression" priority="4702713" id="{05A26B51-72A7-4423-822F-2BDBC28275D0}">
            <xm:f>$AM$4='Data entry'!$R70</xm:f>
            <x14:dxf>
              <fill>
                <patternFill>
                  <bgColor rgb="FFFFFF00"/>
                </patternFill>
              </fill>
            </x14:dxf>
          </x14:cfRule>
          <xm:sqref>Y197:AM197</xm:sqref>
        </x14:conditionalFormatting>
        <x14:conditionalFormatting xmlns:xm="http://schemas.microsoft.com/office/excel/2006/main">
          <x14:cfRule type="expression" priority="4702714" id="{B8A20675-6230-4694-A7F6-6B3DC7142773}">
            <xm:f>$AN$4='Data entry'!$R70</xm:f>
            <x14:dxf>
              <fill>
                <patternFill>
                  <bgColor rgb="FFFF0000"/>
                </patternFill>
              </fill>
            </x14:dxf>
          </x14:cfRule>
          <xm:sqref>AL198:AX198</xm:sqref>
        </x14:conditionalFormatting>
        <x14:conditionalFormatting xmlns:xm="http://schemas.microsoft.com/office/excel/2006/main">
          <x14:cfRule type="expression" priority="4702715" id="{8421181C-7450-42E9-BC1D-065CCFCA960E}">
            <xm:f>$AN$4='Data entry'!$R70</xm:f>
            <x14:dxf>
              <fill>
                <patternFill>
                  <bgColor rgb="FFFFFF00"/>
                </patternFill>
              </fill>
            </x14:dxf>
          </x14:cfRule>
          <xm:sqref>Z197:AN197</xm:sqref>
        </x14:conditionalFormatting>
        <x14:conditionalFormatting xmlns:xm="http://schemas.microsoft.com/office/excel/2006/main">
          <x14:cfRule type="expression" priority="4702716" id="{067FE4BD-6EF4-4684-B6E0-35AB2F267EE7}">
            <xm:f>$AO$4='Data entry'!$R70</xm:f>
            <x14:dxf>
              <fill>
                <patternFill>
                  <bgColor rgb="FFFF0000"/>
                </patternFill>
              </fill>
            </x14:dxf>
          </x14:cfRule>
          <xm:sqref>AM198:AY198</xm:sqref>
        </x14:conditionalFormatting>
        <x14:conditionalFormatting xmlns:xm="http://schemas.microsoft.com/office/excel/2006/main">
          <x14:cfRule type="expression" priority="4702717" id="{F7653492-88D1-47AC-8BA3-0CCE65C3C2AB}">
            <xm:f>$AO$4='Data entry'!$R70</xm:f>
            <x14:dxf>
              <fill>
                <patternFill>
                  <bgColor rgb="FFFFFF00"/>
                </patternFill>
              </fill>
            </x14:dxf>
          </x14:cfRule>
          <xm:sqref>AA197:AO197</xm:sqref>
        </x14:conditionalFormatting>
        <x14:conditionalFormatting xmlns:xm="http://schemas.microsoft.com/office/excel/2006/main">
          <x14:cfRule type="expression" priority="4702718" id="{207A5E5D-B322-482E-9193-1D7318138358}">
            <xm:f>$AP$4='Data entry'!$R70</xm:f>
            <x14:dxf>
              <fill>
                <patternFill>
                  <bgColor rgb="FFFF0000"/>
                </patternFill>
              </fill>
            </x14:dxf>
          </x14:cfRule>
          <xm:sqref>AN198:AZ198</xm:sqref>
        </x14:conditionalFormatting>
        <x14:conditionalFormatting xmlns:xm="http://schemas.microsoft.com/office/excel/2006/main">
          <x14:cfRule type="expression" priority="4702719" id="{21DA638D-4CA0-4067-BFF1-240CE1A0261B}">
            <xm:f>$AP$4='Data entry'!$R70</xm:f>
            <x14:dxf>
              <fill>
                <patternFill>
                  <bgColor rgb="FFFFFF00"/>
                </patternFill>
              </fill>
            </x14:dxf>
          </x14:cfRule>
          <xm:sqref>AB197:AP197</xm:sqref>
        </x14:conditionalFormatting>
        <x14:conditionalFormatting xmlns:xm="http://schemas.microsoft.com/office/excel/2006/main">
          <x14:cfRule type="expression" priority="4702720" id="{71963D96-A42A-4B90-BFC7-6D83D37766EF}">
            <xm:f>$AQ$4='Data entry'!$R70</xm:f>
            <x14:dxf>
              <fill>
                <patternFill>
                  <bgColor rgb="FFFF0000"/>
                </patternFill>
              </fill>
            </x14:dxf>
          </x14:cfRule>
          <xm:sqref>AO198:BA198</xm:sqref>
        </x14:conditionalFormatting>
        <x14:conditionalFormatting xmlns:xm="http://schemas.microsoft.com/office/excel/2006/main">
          <x14:cfRule type="expression" priority="4702721" id="{74952595-84B6-484F-8FF6-FCC1F337DF4D}">
            <xm:f>$AQ$4='Data entry'!$R70</xm:f>
            <x14:dxf>
              <fill>
                <patternFill>
                  <bgColor rgb="FFFFFF00"/>
                </patternFill>
              </fill>
            </x14:dxf>
          </x14:cfRule>
          <xm:sqref>AC197:AQ197</xm:sqref>
        </x14:conditionalFormatting>
        <x14:conditionalFormatting xmlns:xm="http://schemas.microsoft.com/office/excel/2006/main">
          <x14:cfRule type="expression" priority="4702722" id="{8AC9C4B9-0A34-4BC0-B0F7-CA89434C4911}">
            <xm:f>$P$4='Data entry'!$R70</xm:f>
            <x14:dxf>
              <fill>
                <patternFill>
                  <bgColor rgb="FFFFFF00"/>
                </patternFill>
              </fill>
            </x14:dxf>
          </x14:cfRule>
          <xm:sqref>C197:P197</xm:sqref>
        </x14:conditionalFormatting>
        <x14:conditionalFormatting xmlns:xm="http://schemas.microsoft.com/office/excel/2006/main">
          <x14:cfRule type="expression" priority="4702723" id="{0A726775-ABFD-4F22-967C-1A4D87BA3751}">
            <xm:f>$Q$4='Data entry'!$R70</xm:f>
            <x14:dxf>
              <fill>
                <patternFill>
                  <bgColor rgb="FFFFFF00"/>
                </patternFill>
              </fill>
            </x14:dxf>
          </x14:cfRule>
          <xm:sqref>C197:Q197</xm:sqref>
        </x14:conditionalFormatting>
        <x14:conditionalFormatting xmlns:xm="http://schemas.microsoft.com/office/excel/2006/main">
          <x14:cfRule type="expression" priority="4702724" id="{3A8414BD-262C-43B5-86EE-FA6901D00453}">
            <xm:f>$Q$4='Data entry'!$R70</xm:f>
            <x14:dxf>
              <fill>
                <patternFill>
                  <bgColor rgb="FFFF0000"/>
                </patternFill>
              </fill>
            </x14:dxf>
          </x14:cfRule>
          <xm:sqref>O198:AA198</xm:sqref>
        </x14:conditionalFormatting>
        <x14:conditionalFormatting xmlns:xm="http://schemas.microsoft.com/office/excel/2006/main">
          <x14:cfRule type="expression" priority="4702725" id="{B8B5501D-F3EF-4449-9306-F652960C65F4}">
            <xm:f>$R$4='Data entry'!$R70</xm:f>
            <x14:dxf>
              <fill>
                <patternFill>
                  <bgColor rgb="FFFF0000"/>
                </patternFill>
              </fill>
            </x14:dxf>
          </x14:cfRule>
          <xm:sqref>P198:AB198</xm:sqref>
        </x14:conditionalFormatting>
        <x14:conditionalFormatting xmlns:xm="http://schemas.microsoft.com/office/excel/2006/main">
          <x14:cfRule type="expression" priority="4702726" id="{5D070DEC-B82E-4D87-B907-A3E5AB836991}">
            <xm:f>$R$4='Data entry'!$R70</xm:f>
            <x14:dxf>
              <fill>
                <patternFill>
                  <bgColor rgb="FFFFFF00"/>
                </patternFill>
              </fill>
            </x14:dxf>
          </x14:cfRule>
          <xm:sqref>D197:R197</xm:sqref>
        </x14:conditionalFormatting>
        <x14:conditionalFormatting xmlns:xm="http://schemas.microsoft.com/office/excel/2006/main">
          <x14:cfRule type="expression" priority="4702727" id="{E4D16A10-F818-4664-9FB2-F0E839824D4B}">
            <xm:f>$S$4='Data entry'!$R70</xm:f>
            <x14:dxf>
              <fill>
                <patternFill>
                  <bgColor rgb="FFFF0000"/>
                </patternFill>
              </fill>
            </x14:dxf>
          </x14:cfRule>
          <xm:sqref>Q198:AC198</xm:sqref>
        </x14:conditionalFormatting>
        <x14:conditionalFormatting xmlns:xm="http://schemas.microsoft.com/office/excel/2006/main">
          <x14:cfRule type="expression" priority="4702728" id="{1A9F9911-A3E9-4730-AFBE-AB8C596545CA}">
            <xm:f>$S$4='Data entry'!$R70</xm:f>
            <x14:dxf>
              <fill>
                <patternFill>
                  <bgColor rgb="FFFFFF00"/>
                </patternFill>
              </fill>
            </x14:dxf>
          </x14:cfRule>
          <xm:sqref>E197:S197</xm:sqref>
        </x14:conditionalFormatting>
        <x14:conditionalFormatting xmlns:xm="http://schemas.microsoft.com/office/excel/2006/main">
          <x14:cfRule type="expression" priority="4702729" id="{8BB5CD1B-B2AC-442A-9550-26DE19A62D22}">
            <xm:f>$T$4='Data entry'!$R70</xm:f>
            <x14:dxf>
              <fill>
                <patternFill>
                  <bgColor rgb="FFFF0000"/>
                </patternFill>
              </fill>
            </x14:dxf>
          </x14:cfRule>
          <xm:sqref>R198:AD198</xm:sqref>
        </x14:conditionalFormatting>
        <x14:conditionalFormatting xmlns:xm="http://schemas.microsoft.com/office/excel/2006/main">
          <x14:cfRule type="expression" priority="4702730" id="{E7B59C69-7921-4049-84A1-8B3E5F7B0598}">
            <xm:f>$T$4='Data entry'!$R70</xm:f>
            <x14:dxf>
              <fill>
                <patternFill>
                  <bgColor rgb="FFFFFF00"/>
                </patternFill>
              </fill>
            </x14:dxf>
          </x14:cfRule>
          <xm:sqref>F197:T197</xm:sqref>
        </x14:conditionalFormatting>
        <x14:conditionalFormatting xmlns:xm="http://schemas.microsoft.com/office/excel/2006/main">
          <x14:cfRule type="expression" priority="4702731" id="{238C09E5-7A3D-439D-949F-A7733073F9A2}">
            <xm:f>$U$4='Data entry'!$R70</xm:f>
            <x14:dxf>
              <fill>
                <patternFill>
                  <bgColor rgb="FFFFFF00"/>
                </patternFill>
              </fill>
            </x14:dxf>
          </x14:cfRule>
          <xm:sqref>G197:U197</xm:sqref>
        </x14:conditionalFormatting>
        <x14:conditionalFormatting xmlns:xm="http://schemas.microsoft.com/office/excel/2006/main">
          <x14:cfRule type="expression" priority="4702732" id="{DE4D4432-0A19-452A-AF14-2873FE4DF411}">
            <xm:f>$AR$4='Data entry'!$R70</xm:f>
            <x14:dxf>
              <fill>
                <patternFill>
                  <bgColor rgb="FFFF0000"/>
                </patternFill>
              </fill>
            </x14:dxf>
          </x14:cfRule>
          <xm:sqref>AP198:BB198</xm:sqref>
        </x14:conditionalFormatting>
        <x14:conditionalFormatting xmlns:xm="http://schemas.microsoft.com/office/excel/2006/main">
          <x14:cfRule type="expression" priority="4702733" id="{90D7E1FF-542D-40C8-9BD5-DFEB4CDD256F}">
            <xm:f>$AR$4='Data entry'!$R70</xm:f>
            <x14:dxf>
              <fill>
                <patternFill>
                  <bgColor rgb="FFFFFF00"/>
                </patternFill>
              </fill>
            </x14:dxf>
          </x14:cfRule>
          <xm:sqref>AD197:AR197</xm:sqref>
        </x14:conditionalFormatting>
        <x14:conditionalFormatting xmlns:xm="http://schemas.microsoft.com/office/excel/2006/main">
          <x14:cfRule type="expression" priority="4702734" id="{0EBB5305-4A4A-4205-A1FF-11160070CBC3}">
            <xm:f>$AS$4='Data entry'!$R70</xm:f>
            <x14:dxf>
              <fill>
                <patternFill>
                  <bgColor rgb="FFFF0000"/>
                </patternFill>
              </fill>
            </x14:dxf>
          </x14:cfRule>
          <xm:sqref>AQ198:BC198</xm:sqref>
        </x14:conditionalFormatting>
        <x14:conditionalFormatting xmlns:xm="http://schemas.microsoft.com/office/excel/2006/main">
          <x14:cfRule type="expression" priority="4702735" id="{AC8EB30C-4253-4CE1-820E-1801F6D8D35B}">
            <xm:f>$AS$4='Data entry'!$R70</xm:f>
            <x14:dxf>
              <fill>
                <patternFill>
                  <bgColor rgb="FFFFFF00"/>
                </patternFill>
              </fill>
            </x14:dxf>
          </x14:cfRule>
          <xm:sqref>AE197:AS197</xm:sqref>
        </x14:conditionalFormatting>
        <x14:conditionalFormatting xmlns:xm="http://schemas.microsoft.com/office/excel/2006/main">
          <x14:cfRule type="expression" priority="4702736" id="{E11744C1-7201-4272-A1B0-945490B42425}">
            <xm:f>$AT$4='Data entry'!$R70</xm:f>
            <x14:dxf>
              <fill>
                <patternFill>
                  <bgColor rgb="FFFF0000"/>
                </patternFill>
              </fill>
            </x14:dxf>
          </x14:cfRule>
          <xm:sqref>AR198:BD198</xm:sqref>
        </x14:conditionalFormatting>
        <x14:conditionalFormatting xmlns:xm="http://schemas.microsoft.com/office/excel/2006/main">
          <x14:cfRule type="expression" priority="4702737" id="{5EE2823B-E955-4EA7-B99C-0B1F77B57A69}">
            <xm:f>$AT$4='Data entry'!$R70</xm:f>
            <x14:dxf>
              <fill>
                <patternFill>
                  <bgColor rgb="FFFFFF00"/>
                </patternFill>
              </fill>
            </x14:dxf>
          </x14:cfRule>
          <xm:sqref>AF197:AT197</xm:sqref>
        </x14:conditionalFormatting>
        <x14:conditionalFormatting xmlns:xm="http://schemas.microsoft.com/office/excel/2006/main">
          <x14:cfRule type="expression" priority="4702738" id="{5737DC63-3262-4B34-900C-2AAEB255FCBA}">
            <xm:f>$AU$4='Data entry'!$R70</xm:f>
            <x14:dxf>
              <fill>
                <patternFill>
                  <bgColor rgb="FFFF0000"/>
                </patternFill>
              </fill>
            </x14:dxf>
          </x14:cfRule>
          <xm:sqref>AS198:BE198</xm:sqref>
        </x14:conditionalFormatting>
        <x14:conditionalFormatting xmlns:xm="http://schemas.microsoft.com/office/excel/2006/main">
          <x14:cfRule type="expression" priority="4702739" id="{2B5C1F1B-3C3D-4CA3-BC64-0E98422075B6}">
            <xm:f>$AU$4='Data entry'!$R70</xm:f>
            <x14:dxf>
              <fill>
                <patternFill>
                  <bgColor rgb="FFFFFF00"/>
                </patternFill>
              </fill>
            </x14:dxf>
          </x14:cfRule>
          <xm:sqref>AG197:AU197</xm:sqref>
        </x14:conditionalFormatting>
        <x14:conditionalFormatting xmlns:xm="http://schemas.microsoft.com/office/excel/2006/main">
          <x14:cfRule type="expression" priority="4702740" id="{B87A1285-B003-4855-8F4B-53C391BA10E6}">
            <xm:f>$AV$4='Data entry'!$R70</xm:f>
            <x14:dxf>
              <fill>
                <patternFill>
                  <bgColor rgb="FFFF0000"/>
                </patternFill>
              </fill>
            </x14:dxf>
          </x14:cfRule>
          <xm:sqref>AT198:BF198</xm:sqref>
        </x14:conditionalFormatting>
        <x14:conditionalFormatting xmlns:xm="http://schemas.microsoft.com/office/excel/2006/main">
          <x14:cfRule type="expression" priority="4702741" id="{338EE31C-78DB-4818-B837-0380F9E457FA}">
            <xm:f>$AV$4='Data entry'!$R70</xm:f>
            <x14:dxf>
              <fill>
                <patternFill>
                  <bgColor rgb="FFFFFF00"/>
                </patternFill>
              </fill>
            </x14:dxf>
          </x14:cfRule>
          <xm:sqref>AH197:AV197</xm:sqref>
        </x14:conditionalFormatting>
        <x14:conditionalFormatting xmlns:xm="http://schemas.microsoft.com/office/excel/2006/main">
          <x14:cfRule type="expression" priority="4702742" id="{5C40EA66-2801-4C91-B885-BF6A1ECFC35C}">
            <xm:f>$AW$4='Data entry'!$R70</xm:f>
            <x14:dxf>
              <fill>
                <patternFill>
                  <bgColor rgb="FFFF0000"/>
                </patternFill>
              </fill>
            </x14:dxf>
          </x14:cfRule>
          <xm:sqref>AU198:BG198</xm:sqref>
        </x14:conditionalFormatting>
        <x14:conditionalFormatting xmlns:xm="http://schemas.microsoft.com/office/excel/2006/main">
          <x14:cfRule type="expression" priority="4702743" id="{51BCD5CE-DF86-4C2F-8A81-DDA1EFD6C8F7}">
            <xm:f>$AW$4='Data entry'!$R70</xm:f>
            <x14:dxf>
              <fill>
                <patternFill>
                  <bgColor rgb="FFFFFF00"/>
                </patternFill>
              </fill>
            </x14:dxf>
          </x14:cfRule>
          <xm:sqref>AI197:AW197</xm:sqref>
        </x14:conditionalFormatting>
        <x14:conditionalFormatting xmlns:xm="http://schemas.microsoft.com/office/excel/2006/main">
          <x14:cfRule type="expression" priority="4702744" id="{DC2ED5A0-8917-4877-8CD3-9DF9BE5993C9}">
            <xm:f>$AX$4='Data entry'!$R70</xm:f>
            <x14:dxf>
              <fill>
                <patternFill>
                  <bgColor rgb="FFFF0000"/>
                </patternFill>
              </fill>
            </x14:dxf>
          </x14:cfRule>
          <xm:sqref>AV198:BH198</xm:sqref>
        </x14:conditionalFormatting>
        <x14:conditionalFormatting xmlns:xm="http://schemas.microsoft.com/office/excel/2006/main">
          <x14:cfRule type="expression" priority="4702745" id="{59B31869-20F9-45BD-BC80-0A6C8945CE2C}">
            <xm:f>$AX$4='Data entry'!$R70</xm:f>
            <x14:dxf>
              <fill>
                <patternFill>
                  <bgColor rgb="FFFFFF00"/>
                </patternFill>
              </fill>
            </x14:dxf>
          </x14:cfRule>
          <xm:sqref>AJ197:AX197</xm:sqref>
        </x14:conditionalFormatting>
        <x14:conditionalFormatting xmlns:xm="http://schemas.microsoft.com/office/excel/2006/main">
          <x14:cfRule type="expression" priority="4702746" id="{D4208FA0-4262-4037-934C-6D0742B2AD8E}">
            <xm:f>$AY$4='Data entry'!$R70</xm:f>
            <x14:dxf>
              <fill>
                <patternFill>
                  <bgColor rgb="FFFF0000"/>
                </patternFill>
              </fill>
            </x14:dxf>
          </x14:cfRule>
          <xm:sqref>AW198:BI198</xm:sqref>
        </x14:conditionalFormatting>
        <x14:conditionalFormatting xmlns:xm="http://schemas.microsoft.com/office/excel/2006/main">
          <x14:cfRule type="expression" priority="4702747" id="{04D6E423-18C7-42B2-A67D-F49D8E62B571}">
            <xm:f>$AY$4='Data entry'!$R70</xm:f>
            <x14:dxf>
              <fill>
                <patternFill>
                  <bgColor rgb="FFFFFF00"/>
                </patternFill>
              </fill>
            </x14:dxf>
          </x14:cfRule>
          <xm:sqref>AK197:AY197</xm:sqref>
        </x14:conditionalFormatting>
        <x14:conditionalFormatting xmlns:xm="http://schemas.microsoft.com/office/excel/2006/main">
          <x14:cfRule type="expression" priority="4702748" id="{A931C203-6E4B-4EBD-A2F4-1876881F48D4}">
            <xm:f>$AZ$4='Data entry'!$R70</xm:f>
            <x14:dxf>
              <fill>
                <patternFill>
                  <bgColor rgb="FFFF0000"/>
                </patternFill>
              </fill>
            </x14:dxf>
          </x14:cfRule>
          <xm:sqref>AX198:BJ198</xm:sqref>
        </x14:conditionalFormatting>
        <x14:conditionalFormatting xmlns:xm="http://schemas.microsoft.com/office/excel/2006/main">
          <x14:cfRule type="expression" priority="4702749" id="{092D9100-E652-40FE-8CAA-720DC0681250}">
            <xm:f>$AZ$4='Data entry'!$R70</xm:f>
            <x14:dxf>
              <fill>
                <patternFill>
                  <bgColor rgb="FFFFFF00"/>
                </patternFill>
              </fill>
            </x14:dxf>
          </x14:cfRule>
          <xm:sqref>AL197:AZ197</xm:sqref>
        </x14:conditionalFormatting>
        <x14:conditionalFormatting xmlns:xm="http://schemas.microsoft.com/office/excel/2006/main">
          <x14:cfRule type="expression" priority="4702750" id="{A3C7E6BE-A225-483C-A983-A915DB662C52}">
            <xm:f>$BA$4='Data entry'!$R70</xm:f>
            <x14:dxf>
              <fill>
                <patternFill>
                  <bgColor rgb="FFFF0000"/>
                </patternFill>
              </fill>
            </x14:dxf>
          </x14:cfRule>
          <xm:sqref>AY198:BK198</xm:sqref>
        </x14:conditionalFormatting>
        <x14:conditionalFormatting xmlns:xm="http://schemas.microsoft.com/office/excel/2006/main">
          <x14:cfRule type="expression" priority="4702751" id="{F5CF569A-8AFA-4CFF-8BD3-F04D8927A99F}">
            <xm:f>$BA$4='Data entry'!$R70</xm:f>
            <x14:dxf>
              <fill>
                <patternFill>
                  <bgColor rgb="FFFFFF00"/>
                </patternFill>
              </fill>
            </x14:dxf>
          </x14:cfRule>
          <xm:sqref>AM197:BA197</xm:sqref>
        </x14:conditionalFormatting>
        <x14:conditionalFormatting xmlns:xm="http://schemas.microsoft.com/office/excel/2006/main">
          <x14:cfRule type="expression" priority="4702752" id="{E4DAC94A-7983-4BFB-A87B-45B58561841A}">
            <xm:f>$BB$4='Data entry'!$R70</xm:f>
            <x14:dxf>
              <fill>
                <patternFill>
                  <bgColor rgb="FFFF0000"/>
                </patternFill>
              </fill>
            </x14:dxf>
          </x14:cfRule>
          <xm:sqref>AZ198:BL198</xm:sqref>
        </x14:conditionalFormatting>
        <x14:conditionalFormatting xmlns:xm="http://schemas.microsoft.com/office/excel/2006/main">
          <x14:cfRule type="expression" priority="4702753" id="{E63849C5-F39B-4B0E-8F8A-B532EDF2CBAE}">
            <xm:f>$BB$4='Data entry'!$R70</xm:f>
            <x14:dxf>
              <fill>
                <patternFill>
                  <bgColor rgb="FFFFFF00"/>
                </patternFill>
              </fill>
            </x14:dxf>
          </x14:cfRule>
          <xm:sqref>AN197:BB197</xm:sqref>
        </x14:conditionalFormatting>
        <x14:conditionalFormatting xmlns:xm="http://schemas.microsoft.com/office/excel/2006/main">
          <x14:cfRule type="expression" priority="4702754" id="{4FDC32D3-C1F5-455D-9AA4-A03359B72526}">
            <xm:f>$BC$4='Data entry'!$R70</xm:f>
            <x14:dxf>
              <fill>
                <patternFill>
                  <bgColor rgb="FFFF0000"/>
                </patternFill>
              </fill>
            </x14:dxf>
          </x14:cfRule>
          <xm:sqref>BA198:BM198</xm:sqref>
        </x14:conditionalFormatting>
        <x14:conditionalFormatting xmlns:xm="http://schemas.microsoft.com/office/excel/2006/main">
          <x14:cfRule type="expression" priority="4702755" id="{5F0D0C60-B233-4C56-B05D-98C99990877F}">
            <xm:f>$BC$4='Data entry'!$R70</xm:f>
            <x14:dxf>
              <fill>
                <patternFill>
                  <bgColor rgb="FFFFFF00"/>
                </patternFill>
              </fill>
            </x14:dxf>
          </x14:cfRule>
          <xm:sqref>AO197:BC197</xm:sqref>
        </x14:conditionalFormatting>
        <x14:conditionalFormatting xmlns:xm="http://schemas.microsoft.com/office/excel/2006/main">
          <x14:cfRule type="expression" priority="4702756" id="{9EBCB60F-8135-43B6-A0F3-548D4092CC98}">
            <xm:f>$BD$4='Data entry'!$R70</xm:f>
            <x14:dxf>
              <fill>
                <patternFill>
                  <bgColor rgb="FFFF0000"/>
                </patternFill>
              </fill>
            </x14:dxf>
          </x14:cfRule>
          <xm:sqref>BB198:BN198</xm:sqref>
        </x14:conditionalFormatting>
        <x14:conditionalFormatting xmlns:xm="http://schemas.microsoft.com/office/excel/2006/main">
          <x14:cfRule type="expression" priority="4702757" id="{961AF346-4A73-41ED-9A8D-27D431B09C05}">
            <xm:f>$BD$4='Data entry'!$R70</xm:f>
            <x14:dxf>
              <fill>
                <patternFill>
                  <bgColor rgb="FFFFFF00"/>
                </patternFill>
              </fill>
            </x14:dxf>
          </x14:cfRule>
          <xm:sqref>AP197:BD197</xm:sqref>
        </x14:conditionalFormatting>
        <x14:conditionalFormatting xmlns:xm="http://schemas.microsoft.com/office/excel/2006/main">
          <x14:cfRule type="expression" priority="4702758" id="{5A887026-27CD-4F8C-8BA6-1E92704C1CA6}">
            <xm:f>$BE$4='Data entry'!$R70</xm:f>
            <x14:dxf>
              <fill>
                <patternFill>
                  <bgColor rgb="FFFF0000"/>
                </patternFill>
              </fill>
            </x14:dxf>
          </x14:cfRule>
          <xm:sqref>BC198:BO198</xm:sqref>
        </x14:conditionalFormatting>
        <x14:conditionalFormatting xmlns:xm="http://schemas.microsoft.com/office/excel/2006/main">
          <x14:cfRule type="expression" priority="4702759" id="{7F46217B-A1E9-4515-B31E-E756FCD7C6D9}">
            <xm:f>$BE$4='Data entry'!$R70</xm:f>
            <x14:dxf>
              <fill>
                <patternFill>
                  <bgColor rgb="FFFFFF00"/>
                </patternFill>
              </fill>
            </x14:dxf>
          </x14:cfRule>
          <xm:sqref>AP197:BE197</xm:sqref>
        </x14:conditionalFormatting>
        <x14:conditionalFormatting xmlns:xm="http://schemas.microsoft.com/office/excel/2006/main">
          <x14:cfRule type="expression" priority="4702760" id="{F4D9285C-8CA0-4EF1-943E-6A462D47CC77}">
            <xm:f>$BF$4='Data entry'!$R70</xm:f>
            <x14:dxf>
              <fill>
                <patternFill>
                  <bgColor rgb="FFFF0000"/>
                </patternFill>
              </fill>
            </x14:dxf>
          </x14:cfRule>
          <xm:sqref>BD198:BP198</xm:sqref>
        </x14:conditionalFormatting>
        <x14:conditionalFormatting xmlns:xm="http://schemas.microsoft.com/office/excel/2006/main">
          <x14:cfRule type="expression" priority="4702761" id="{B9E4407D-651D-4DC0-9D61-3271D62A65E9}">
            <xm:f>$BF$4='Data entry'!$R70</xm:f>
            <x14:dxf>
              <fill>
                <patternFill>
                  <bgColor rgb="FFFFFF00"/>
                </patternFill>
              </fill>
            </x14:dxf>
          </x14:cfRule>
          <xm:sqref>AR197:BF197</xm:sqref>
        </x14:conditionalFormatting>
        <x14:conditionalFormatting xmlns:xm="http://schemas.microsoft.com/office/excel/2006/main">
          <x14:cfRule type="expression" priority="4702762" id="{4CDC062F-DDFF-4556-B941-08F919727F69}">
            <xm:f>$BG$4='Data entry'!$R70</xm:f>
            <x14:dxf>
              <fill>
                <patternFill>
                  <bgColor rgb="FFFF0000"/>
                </patternFill>
              </fill>
            </x14:dxf>
          </x14:cfRule>
          <xm:sqref>BE198:BQ198</xm:sqref>
        </x14:conditionalFormatting>
        <x14:conditionalFormatting xmlns:xm="http://schemas.microsoft.com/office/excel/2006/main">
          <x14:cfRule type="expression" priority="4702763" id="{789184FA-9055-433B-8A1B-92C7ED59E81F}">
            <xm:f>$BG$4='Data entry'!$R70</xm:f>
            <x14:dxf>
              <fill>
                <patternFill>
                  <bgColor rgb="FFFFFF00"/>
                </patternFill>
              </fill>
            </x14:dxf>
          </x14:cfRule>
          <xm:sqref>AS197:BG197</xm:sqref>
        </x14:conditionalFormatting>
        <x14:conditionalFormatting xmlns:xm="http://schemas.microsoft.com/office/excel/2006/main">
          <x14:cfRule type="expression" priority="4702764" id="{58651E5C-09C9-46C1-B95C-E8A578A49E15}">
            <xm:f>$BH$4='Data entry'!$R70</xm:f>
            <x14:dxf>
              <fill>
                <patternFill>
                  <bgColor rgb="FFFFFF00"/>
                </patternFill>
              </fill>
            </x14:dxf>
          </x14:cfRule>
          <xm:sqref>AT197:BH197</xm:sqref>
        </x14:conditionalFormatting>
        <x14:conditionalFormatting xmlns:xm="http://schemas.microsoft.com/office/excel/2006/main">
          <x14:cfRule type="expression" priority="4702765" id="{97B30B86-8311-4DC0-A533-8C0D53F37839}">
            <xm:f>$BH$4='Data entry'!$R70</xm:f>
            <x14:dxf>
              <fill>
                <patternFill>
                  <bgColor rgb="FFFF0000"/>
                </patternFill>
              </fill>
            </x14:dxf>
          </x14:cfRule>
          <xm:sqref>BF198:BR198</xm:sqref>
        </x14:conditionalFormatting>
        <x14:conditionalFormatting xmlns:xm="http://schemas.microsoft.com/office/excel/2006/main">
          <x14:cfRule type="expression" priority="4702766" id="{78344C0C-5AEA-40B1-A20C-6D77DF58E1F5}">
            <xm:f>$BI$4='Data entry'!$R70</xm:f>
            <x14:dxf>
              <fill>
                <patternFill>
                  <bgColor rgb="FFFFFF00"/>
                </patternFill>
              </fill>
            </x14:dxf>
          </x14:cfRule>
          <xm:sqref>AU197:BI197</xm:sqref>
        </x14:conditionalFormatting>
        <x14:conditionalFormatting xmlns:xm="http://schemas.microsoft.com/office/excel/2006/main">
          <x14:cfRule type="expression" priority="4702767" id="{A9CE044F-482E-4F25-B28F-89ACC58502B1}">
            <xm:f>$BI$4='Data entry'!$R70</xm:f>
            <x14:dxf>
              <fill>
                <patternFill>
                  <bgColor rgb="FFFF0000"/>
                </patternFill>
              </fill>
            </x14:dxf>
          </x14:cfRule>
          <xm:sqref>BG198:BS198</xm:sqref>
        </x14:conditionalFormatting>
        <x14:conditionalFormatting xmlns:xm="http://schemas.microsoft.com/office/excel/2006/main">
          <x14:cfRule type="expression" priority="4702768" id="{F63BE0EB-3C71-4456-BEF0-11180AB7A8BB}">
            <xm:f>$BJ$4='Data entry'!$R70</xm:f>
            <x14:dxf>
              <fill>
                <patternFill>
                  <bgColor rgb="FFFFFF00"/>
                </patternFill>
              </fill>
            </x14:dxf>
          </x14:cfRule>
          <xm:sqref>AV197:BJ197</xm:sqref>
        </x14:conditionalFormatting>
        <x14:conditionalFormatting xmlns:xm="http://schemas.microsoft.com/office/excel/2006/main">
          <x14:cfRule type="expression" priority="4702769" id="{478A5DCB-1DAA-4497-A6CC-B4F01FB96D10}">
            <xm:f>$BJ$4='Data entry'!$R70</xm:f>
            <x14:dxf>
              <fill>
                <patternFill>
                  <bgColor rgb="FFFF0000"/>
                </patternFill>
              </fill>
            </x14:dxf>
          </x14:cfRule>
          <xm:sqref>BH198:BT198</xm:sqref>
        </x14:conditionalFormatting>
        <x14:conditionalFormatting xmlns:xm="http://schemas.microsoft.com/office/excel/2006/main">
          <x14:cfRule type="expression" priority="4702770" id="{CDE4AD5B-65A6-4FA4-9EC0-8D05F22312A9}">
            <xm:f>$BK$4='Data entry'!$R70</xm:f>
            <x14:dxf>
              <fill>
                <patternFill>
                  <bgColor rgb="FFFF0000"/>
                </patternFill>
              </fill>
            </x14:dxf>
          </x14:cfRule>
          <xm:sqref>BI198:BU198</xm:sqref>
        </x14:conditionalFormatting>
        <x14:conditionalFormatting xmlns:xm="http://schemas.microsoft.com/office/excel/2006/main">
          <x14:cfRule type="expression" priority="4702771" id="{AB32E790-6CD8-4D11-9A69-57D785FE4BBC}">
            <xm:f>$BK$4='Data entry'!$R70</xm:f>
            <x14:dxf>
              <fill>
                <patternFill>
                  <bgColor rgb="FFFFFF00"/>
                </patternFill>
              </fill>
            </x14:dxf>
          </x14:cfRule>
          <xm:sqref>AW197:BK197</xm:sqref>
        </x14:conditionalFormatting>
        <x14:conditionalFormatting xmlns:xm="http://schemas.microsoft.com/office/excel/2006/main">
          <x14:cfRule type="expression" priority="4702772" id="{99810EB9-805C-43D8-852A-EEECE7874CDB}">
            <xm:f>$BL$4='Data entry'!$R70</xm:f>
            <x14:dxf>
              <fill>
                <patternFill>
                  <bgColor rgb="FFFF0000"/>
                </patternFill>
              </fill>
            </x14:dxf>
          </x14:cfRule>
          <xm:sqref>BJ198:BV198</xm:sqref>
        </x14:conditionalFormatting>
        <x14:conditionalFormatting xmlns:xm="http://schemas.microsoft.com/office/excel/2006/main">
          <x14:cfRule type="expression" priority="4702773" id="{BF5F5475-4E46-479C-97A6-D5175F5D1803}">
            <xm:f>$BL$4='Data entry'!$R70</xm:f>
            <x14:dxf>
              <fill>
                <patternFill>
                  <bgColor rgb="FFFFFF00"/>
                </patternFill>
              </fill>
            </x14:dxf>
          </x14:cfRule>
          <xm:sqref>AX197:BL197</xm:sqref>
        </x14:conditionalFormatting>
        <x14:conditionalFormatting xmlns:xm="http://schemas.microsoft.com/office/excel/2006/main">
          <x14:cfRule type="expression" priority="4702774" id="{B86FDF2F-16C9-46B1-847E-7EA1A8A34B9D}">
            <xm:f>$BM$4='Data entry'!$R70</xm:f>
            <x14:dxf>
              <fill>
                <patternFill>
                  <bgColor rgb="FFFF0000"/>
                </patternFill>
              </fill>
            </x14:dxf>
          </x14:cfRule>
          <xm:sqref>BK198:BW198</xm:sqref>
        </x14:conditionalFormatting>
        <x14:conditionalFormatting xmlns:xm="http://schemas.microsoft.com/office/excel/2006/main">
          <x14:cfRule type="expression" priority="4702775" id="{72FD189F-4CED-400D-9FEF-21A328970A4D}">
            <xm:f>$BM$4='Data entry'!$R70</xm:f>
            <x14:dxf>
              <fill>
                <patternFill>
                  <bgColor rgb="FFFFFF00"/>
                </patternFill>
              </fill>
            </x14:dxf>
          </x14:cfRule>
          <xm:sqref>AY197:BM197</xm:sqref>
        </x14:conditionalFormatting>
        <x14:conditionalFormatting xmlns:xm="http://schemas.microsoft.com/office/excel/2006/main">
          <x14:cfRule type="expression" priority="4702776" id="{BBBBF859-D5A7-4F55-BFBF-8A77E3357590}">
            <xm:f>$BN$4='Data entry'!$R70</xm:f>
            <x14:dxf>
              <fill>
                <patternFill>
                  <bgColor rgb="FFFF0000"/>
                </patternFill>
              </fill>
            </x14:dxf>
          </x14:cfRule>
          <xm:sqref>BL198:BX198</xm:sqref>
        </x14:conditionalFormatting>
        <x14:conditionalFormatting xmlns:xm="http://schemas.microsoft.com/office/excel/2006/main">
          <x14:cfRule type="expression" priority="4702777" id="{50CB1D75-0FD5-4D24-92B1-E8A41DC6575C}">
            <xm:f>$BN$4='Data entry'!$R70</xm:f>
            <x14:dxf>
              <fill>
                <patternFill>
                  <bgColor rgb="FFFFFF00"/>
                </patternFill>
              </fill>
            </x14:dxf>
          </x14:cfRule>
          <xm:sqref>AZ197:BN197</xm:sqref>
        </x14:conditionalFormatting>
        <x14:conditionalFormatting xmlns:xm="http://schemas.microsoft.com/office/excel/2006/main">
          <x14:cfRule type="expression" priority="4702778" id="{9EF3226D-E8FC-496B-A6FF-71776AEA54D1}">
            <xm:f>$BO$4='Data entry'!$R70</xm:f>
            <x14:dxf>
              <fill>
                <patternFill>
                  <bgColor rgb="FFFF0000"/>
                </patternFill>
              </fill>
            </x14:dxf>
          </x14:cfRule>
          <xm:sqref>BM198:BY198</xm:sqref>
        </x14:conditionalFormatting>
        <x14:conditionalFormatting xmlns:xm="http://schemas.microsoft.com/office/excel/2006/main">
          <x14:cfRule type="expression" priority="4702779" id="{3B86C801-ECFE-4D05-8AA5-1581116BAFBC}">
            <xm:f>$BO$4='Data entry'!$R70</xm:f>
            <x14:dxf>
              <fill>
                <patternFill>
                  <bgColor rgb="FFFFFF00"/>
                </patternFill>
              </fill>
            </x14:dxf>
          </x14:cfRule>
          <xm:sqref>BA197:BO197</xm:sqref>
        </x14:conditionalFormatting>
        <x14:conditionalFormatting xmlns:xm="http://schemas.microsoft.com/office/excel/2006/main">
          <x14:cfRule type="expression" priority="4702780" id="{058A23EC-3371-4A02-9F20-1ECA603AC6BC}">
            <xm:f>$BP$4='Data entry'!$R70</xm:f>
            <x14:dxf>
              <fill>
                <patternFill>
                  <bgColor rgb="FFFF0000"/>
                </patternFill>
              </fill>
            </x14:dxf>
          </x14:cfRule>
          <xm:sqref>BN198:BZ198</xm:sqref>
        </x14:conditionalFormatting>
        <x14:conditionalFormatting xmlns:xm="http://schemas.microsoft.com/office/excel/2006/main">
          <x14:cfRule type="expression" priority="4702781" id="{3E711E31-3992-4555-AB22-87133D60CD15}">
            <xm:f>$BP$4='Data entry'!$R70</xm:f>
            <x14:dxf>
              <fill>
                <patternFill>
                  <bgColor rgb="FFFFFF00"/>
                </patternFill>
              </fill>
            </x14:dxf>
          </x14:cfRule>
          <xm:sqref>BB197:BP197</xm:sqref>
        </x14:conditionalFormatting>
        <x14:conditionalFormatting xmlns:xm="http://schemas.microsoft.com/office/excel/2006/main">
          <x14:cfRule type="expression" priority="4702782" id="{23E9F8B9-37D5-4730-9453-6F23E8ECBBE3}">
            <xm:f>$BQ$4='Data entry'!$R70</xm:f>
            <x14:dxf>
              <fill>
                <patternFill>
                  <bgColor rgb="FFFFFF00"/>
                </patternFill>
              </fill>
            </x14:dxf>
          </x14:cfRule>
          <xm:sqref>BC197:BQ197</xm:sqref>
        </x14:conditionalFormatting>
        <x14:conditionalFormatting xmlns:xm="http://schemas.microsoft.com/office/excel/2006/main">
          <x14:cfRule type="expression" priority="4702783" id="{BCFD92F6-AAD3-44FD-BC61-A292A81B883E}">
            <xm:f>$BQ$4='Data entry'!$R70</xm:f>
            <x14:dxf>
              <fill>
                <patternFill>
                  <bgColor rgb="FFFF0000"/>
                </patternFill>
              </fill>
            </x14:dxf>
          </x14:cfRule>
          <xm:sqref>BO198:CA198</xm:sqref>
        </x14:conditionalFormatting>
        <x14:conditionalFormatting xmlns:xm="http://schemas.microsoft.com/office/excel/2006/main">
          <x14:cfRule type="expression" priority="4702784" id="{357D60E5-F356-477E-8020-A18F42C02832}">
            <xm:f>$BR$4='Data entry'!$R70</xm:f>
            <x14:dxf>
              <fill>
                <patternFill>
                  <bgColor rgb="FFFFFF00"/>
                </patternFill>
              </fill>
            </x14:dxf>
          </x14:cfRule>
          <xm:sqref>BD197:BR197</xm:sqref>
        </x14:conditionalFormatting>
        <x14:conditionalFormatting xmlns:xm="http://schemas.microsoft.com/office/excel/2006/main">
          <x14:cfRule type="expression" priority="4702785" id="{DA2B6511-43B3-432D-B6AA-1DB1188B90A6}">
            <xm:f>$BR$4='Data entry'!$R70</xm:f>
            <x14:dxf>
              <fill>
                <patternFill>
                  <bgColor rgb="FFFF0000"/>
                </patternFill>
              </fill>
            </x14:dxf>
          </x14:cfRule>
          <xm:sqref>BP198:CB198</xm:sqref>
        </x14:conditionalFormatting>
        <x14:conditionalFormatting xmlns:xm="http://schemas.microsoft.com/office/excel/2006/main">
          <x14:cfRule type="expression" priority="4702786" id="{0D5F64E4-4136-4BFA-B833-CC8578525D9C}">
            <xm:f>$BS$4='Data entry'!$R70</xm:f>
            <x14:dxf>
              <fill>
                <patternFill>
                  <bgColor rgb="FFFFFF00"/>
                </patternFill>
              </fill>
            </x14:dxf>
          </x14:cfRule>
          <xm:sqref>BE197:BS197</xm:sqref>
        </x14:conditionalFormatting>
        <x14:conditionalFormatting xmlns:xm="http://schemas.microsoft.com/office/excel/2006/main">
          <x14:cfRule type="expression" priority="4702787" id="{AC94D468-F078-4AE2-8771-102996E07B09}">
            <xm:f>$BS$4='Data entry'!$R70</xm:f>
            <x14:dxf>
              <fill>
                <patternFill>
                  <bgColor rgb="FFFF0000"/>
                </patternFill>
              </fill>
            </x14:dxf>
          </x14:cfRule>
          <xm:sqref>BQ198:CC198</xm:sqref>
        </x14:conditionalFormatting>
        <x14:conditionalFormatting xmlns:xm="http://schemas.microsoft.com/office/excel/2006/main">
          <x14:cfRule type="expression" priority="4702788" id="{10E78F76-181E-4F19-9F89-7DD36D3EFE30}">
            <xm:f>$BT$4='Data entry'!$R70</xm:f>
            <x14:dxf>
              <fill>
                <patternFill>
                  <bgColor rgb="FFFFFF00"/>
                </patternFill>
              </fill>
            </x14:dxf>
          </x14:cfRule>
          <xm:sqref>BF197:BT197</xm:sqref>
        </x14:conditionalFormatting>
        <x14:conditionalFormatting xmlns:xm="http://schemas.microsoft.com/office/excel/2006/main">
          <x14:cfRule type="expression" priority="4702789" id="{6A5FADC6-9512-4EFB-90A5-7B5244D10D1F}">
            <xm:f>$BT$4='Data entry'!$R70</xm:f>
            <x14:dxf>
              <fill>
                <patternFill>
                  <bgColor rgb="FFFF0000"/>
                </patternFill>
              </fill>
            </x14:dxf>
          </x14:cfRule>
          <xm:sqref>BR198:CC198</xm:sqref>
        </x14:conditionalFormatting>
        <x14:conditionalFormatting xmlns:xm="http://schemas.microsoft.com/office/excel/2006/main">
          <x14:cfRule type="expression" priority="4702790" id="{A51139D1-8841-4B96-B8CB-DFE3808765CF}">
            <xm:f>$BU$4='Data entry'!$R70</xm:f>
            <x14:dxf>
              <fill>
                <patternFill>
                  <bgColor rgb="FFFFFF00"/>
                </patternFill>
              </fill>
            </x14:dxf>
          </x14:cfRule>
          <xm:sqref>BG197:BU197</xm:sqref>
        </x14:conditionalFormatting>
        <x14:conditionalFormatting xmlns:xm="http://schemas.microsoft.com/office/excel/2006/main">
          <x14:cfRule type="expression" priority="4702791" id="{55CA7258-760F-4BFF-ACB5-A70FEB3E7981}">
            <xm:f>$BU$4='Data entry'!$R70</xm:f>
            <x14:dxf>
              <fill>
                <patternFill>
                  <bgColor rgb="FFFF0000"/>
                </patternFill>
              </fill>
            </x14:dxf>
          </x14:cfRule>
          <xm:sqref>BS198:CC198</xm:sqref>
        </x14:conditionalFormatting>
        <x14:conditionalFormatting xmlns:xm="http://schemas.microsoft.com/office/excel/2006/main">
          <x14:cfRule type="expression" priority="4702792" id="{A922B218-64DB-4CBB-9AB8-FE0EBB44E09E}">
            <xm:f>$BV$4='Data entry'!$R70</xm:f>
            <x14:dxf>
              <fill>
                <patternFill>
                  <bgColor rgb="FFFFFF00"/>
                </patternFill>
              </fill>
            </x14:dxf>
          </x14:cfRule>
          <xm:sqref>BH197:BV197</xm:sqref>
        </x14:conditionalFormatting>
        <x14:conditionalFormatting xmlns:xm="http://schemas.microsoft.com/office/excel/2006/main">
          <x14:cfRule type="expression" priority="4702793" id="{C98E908A-CD31-4778-B41C-7AFB9DBE639A}">
            <xm:f>$BV$4='Data entry'!$R70</xm:f>
            <x14:dxf>
              <fill>
                <patternFill>
                  <bgColor rgb="FFFF0000"/>
                </patternFill>
              </fill>
            </x14:dxf>
          </x14:cfRule>
          <xm:sqref>BT198:CC198</xm:sqref>
        </x14:conditionalFormatting>
        <x14:conditionalFormatting xmlns:xm="http://schemas.microsoft.com/office/excel/2006/main">
          <x14:cfRule type="expression" priority="4702794" id="{465CCCA3-B4DB-4B61-8AC7-8A5E4CEC9E3F}">
            <xm:f>$BW$4='Data entry'!$R70</xm:f>
            <x14:dxf>
              <fill>
                <patternFill>
                  <bgColor rgb="FFFFFF00"/>
                </patternFill>
              </fill>
            </x14:dxf>
          </x14:cfRule>
          <xm:sqref>BI197:BW197</xm:sqref>
        </x14:conditionalFormatting>
        <x14:conditionalFormatting xmlns:xm="http://schemas.microsoft.com/office/excel/2006/main">
          <x14:cfRule type="expression" priority="4702795" id="{37566F97-6D06-400B-A709-FE657B07687F}">
            <xm:f>$BW$4='Data entry'!$R70</xm:f>
            <x14:dxf>
              <fill>
                <patternFill>
                  <bgColor rgb="FFFF0000"/>
                </patternFill>
              </fill>
            </x14:dxf>
          </x14:cfRule>
          <xm:sqref>BU198:CC198</xm:sqref>
        </x14:conditionalFormatting>
        <x14:conditionalFormatting xmlns:xm="http://schemas.microsoft.com/office/excel/2006/main">
          <x14:cfRule type="expression" priority="4702796" id="{D8FBA3AC-5CF0-4E45-97CA-1D4DEE729ADA}">
            <xm:f>$BX$4='Data entry'!$R70</xm:f>
            <x14:dxf>
              <fill>
                <patternFill>
                  <bgColor rgb="FFFFFF00"/>
                </patternFill>
              </fill>
            </x14:dxf>
          </x14:cfRule>
          <xm:sqref>BJ197:BX197</xm:sqref>
        </x14:conditionalFormatting>
        <x14:conditionalFormatting xmlns:xm="http://schemas.microsoft.com/office/excel/2006/main">
          <x14:cfRule type="expression" priority="4702797" id="{E077C84B-A94F-431D-B232-4AFCC7C64F54}">
            <xm:f>$BX$4='Data entry'!$R70</xm:f>
            <x14:dxf>
              <fill>
                <patternFill>
                  <bgColor rgb="FFFF0000"/>
                </patternFill>
              </fill>
            </x14:dxf>
          </x14:cfRule>
          <xm:sqref>BV198:CC198</xm:sqref>
        </x14:conditionalFormatting>
        <x14:conditionalFormatting xmlns:xm="http://schemas.microsoft.com/office/excel/2006/main">
          <x14:cfRule type="expression" priority="4702798" id="{63783BA8-0C97-4A44-86FD-7A2BCF1B9957}">
            <xm:f>$BY$4='Data entry'!$R70</xm:f>
            <x14:dxf>
              <fill>
                <patternFill>
                  <bgColor rgb="FFFFFF00"/>
                </patternFill>
              </fill>
            </x14:dxf>
          </x14:cfRule>
          <xm:sqref>BK197:BY197</xm:sqref>
        </x14:conditionalFormatting>
        <x14:conditionalFormatting xmlns:xm="http://schemas.microsoft.com/office/excel/2006/main">
          <x14:cfRule type="expression" priority="4702799" id="{BB8DB8B4-B71B-46D2-AEE7-346F16103F74}">
            <xm:f>$BY$4='Data entry'!$R70</xm:f>
            <x14:dxf>
              <fill>
                <patternFill>
                  <bgColor rgb="FFFF0000"/>
                </patternFill>
              </fill>
            </x14:dxf>
          </x14:cfRule>
          <xm:sqref>BW198:CC198</xm:sqref>
        </x14:conditionalFormatting>
        <x14:conditionalFormatting xmlns:xm="http://schemas.microsoft.com/office/excel/2006/main">
          <x14:cfRule type="expression" priority="4702800" id="{1B638B98-2B06-4FEB-90C1-446A3E0A3979}">
            <xm:f>$BZ$4='Data entry'!$R70</xm:f>
            <x14:dxf>
              <fill>
                <patternFill>
                  <bgColor rgb="FFFFFF00"/>
                </patternFill>
              </fill>
            </x14:dxf>
          </x14:cfRule>
          <xm:sqref>BL197:BZ197</xm:sqref>
        </x14:conditionalFormatting>
        <x14:conditionalFormatting xmlns:xm="http://schemas.microsoft.com/office/excel/2006/main">
          <x14:cfRule type="expression" priority="4702801" id="{D3A0A2F8-D1B2-4DC5-B2A9-0EF53074E685}">
            <xm:f>$BZ$4='Data entry'!$R70</xm:f>
            <x14:dxf>
              <fill>
                <patternFill>
                  <bgColor rgb="FFFF0000"/>
                </patternFill>
              </fill>
            </x14:dxf>
          </x14:cfRule>
          <xm:sqref>BX198:CC198</xm:sqref>
        </x14:conditionalFormatting>
        <x14:conditionalFormatting xmlns:xm="http://schemas.microsoft.com/office/excel/2006/main">
          <x14:cfRule type="expression" priority="4702802" id="{83F6D018-7D3B-4D33-9998-11572F2F2FF5}">
            <xm:f>$CA$4='Data entry'!$R70</xm:f>
            <x14:dxf>
              <fill>
                <patternFill>
                  <bgColor rgb="FFFFFF00"/>
                </patternFill>
              </fill>
            </x14:dxf>
          </x14:cfRule>
          <xm:sqref>BM197:CA197</xm:sqref>
        </x14:conditionalFormatting>
        <x14:conditionalFormatting xmlns:xm="http://schemas.microsoft.com/office/excel/2006/main">
          <x14:cfRule type="expression" priority="4702803" id="{8E6D0B51-5626-4ED9-9072-C7A2C139704F}">
            <xm:f>$CA$4='Data entry'!$R70</xm:f>
            <x14:dxf>
              <fill>
                <patternFill>
                  <bgColor rgb="FFFF0000"/>
                </patternFill>
              </fill>
            </x14:dxf>
          </x14:cfRule>
          <xm:sqref>BY198:CC198</xm:sqref>
        </x14:conditionalFormatting>
        <x14:conditionalFormatting xmlns:xm="http://schemas.microsoft.com/office/excel/2006/main">
          <x14:cfRule type="expression" priority="4702804" id="{E1886EE4-3BDE-43A9-9F4B-79377FEC37FE}">
            <xm:f>$CB$4='Data entry'!$R70</xm:f>
            <x14:dxf>
              <fill>
                <patternFill>
                  <bgColor rgb="FFFFFF00"/>
                </patternFill>
              </fill>
            </x14:dxf>
          </x14:cfRule>
          <xm:sqref>BN197:CB197</xm:sqref>
        </x14:conditionalFormatting>
        <x14:conditionalFormatting xmlns:xm="http://schemas.microsoft.com/office/excel/2006/main">
          <x14:cfRule type="expression" priority="4702805" id="{ADEF572A-6C18-4602-BB86-01C96D36E07E}">
            <xm:f>$CB$4='Data entry'!$R70</xm:f>
            <x14:dxf>
              <fill>
                <patternFill>
                  <bgColor rgb="FFFF0000"/>
                </patternFill>
              </fill>
            </x14:dxf>
          </x14:cfRule>
          <xm:sqref>BZ198:CC198</xm:sqref>
        </x14:conditionalFormatting>
        <x14:conditionalFormatting xmlns:xm="http://schemas.microsoft.com/office/excel/2006/main">
          <x14:cfRule type="expression" priority="4702806" id="{7984E1C9-E073-4955-8543-62145CB6D008}">
            <xm:f>$CC$4='Data entry'!$R70</xm:f>
            <x14:dxf>
              <fill>
                <patternFill>
                  <bgColor rgb="FFFFFF00"/>
                </patternFill>
              </fill>
            </x14:dxf>
          </x14:cfRule>
          <xm:sqref>BO197:CC197</xm:sqref>
        </x14:conditionalFormatting>
        <x14:conditionalFormatting xmlns:xm="http://schemas.microsoft.com/office/excel/2006/main">
          <x14:cfRule type="expression" priority="4702807" id="{18A957B3-59FA-4698-BA92-2A208FF18E2F}">
            <xm:f>$CC$4='Data entry'!$R70</xm:f>
            <x14:dxf>
              <fill>
                <patternFill>
                  <bgColor rgb="FFFF0000"/>
                </patternFill>
              </fill>
            </x14:dxf>
          </x14:cfRule>
          <xm:sqref>CA198:CC198</xm:sqref>
        </x14:conditionalFormatting>
        <x14:conditionalFormatting xmlns:xm="http://schemas.microsoft.com/office/excel/2006/main">
          <x14:cfRule type="expression" priority="4702894" id="{5B0DB825-B7C2-40AC-B7EF-F267F054CFB9}">
            <xm:f>$U$4='Data entry'!$R71</xm:f>
            <x14:dxf>
              <fill>
                <patternFill>
                  <bgColor rgb="FFFF0000"/>
                </patternFill>
              </fill>
            </x14:dxf>
          </x14:cfRule>
          <xm:sqref>S201:AE201</xm:sqref>
        </x14:conditionalFormatting>
        <x14:conditionalFormatting xmlns:xm="http://schemas.microsoft.com/office/excel/2006/main">
          <x14:cfRule type="expression" priority="4702895" id="{18311200-E2BB-400F-B594-3B9A2C6068C2}">
            <xm:f>$V$4='Data entry'!$R71</xm:f>
            <x14:dxf>
              <fill>
                <patternFill>
                  <bgColor rgb="FFFF0000"/>
                </patternFill>
              </fill>
            </x14:dxf>
          </x14:cfRule>
          <xm:sqref>T201:AF201</xm:sqref>
        </x14:conditionalFormatting>
        <x14:conditionalFormatting xmlns:xm="http://schemas.microsoft.com/office/excel/2006/main">
          <x14:cfRule type="expression" priority="4702896" id="{D6DFB621-1A58-4C59-A987-ECAD0EB2D32B}">
            <xm:f>$V$4='Data entry'!$R71</xm:f>
            <x14:dxf>
              <fill>
                <patternFill>
                  <bgColor rgb="FFFFFF00"/>
                </patternFill>
              </fill>
            </x14:dxf>
          </x14:cfRule>
          <xm:sqref>H200:V200</xm:sqref>
        </x14:conditionalFormatting>
        <x14:conditionalFormatting xmlns:xm="http://schemas.microsoft.com/office/excel/2006/main">
          <x14:cfRule type="expression" priority="4702897" id="{5F87A680-DC5F-433D-A779-B7A534ACCDA9}">
            <xm:f>$W$4='Data entry'!$R71</xm:f>
            <x14:dxf>
              <fill>
                <patternFill>
                  <bgColor rgb="FFFF0000"/>
                </patternFill>
              </fill>
            </x14:dxf>
          </x14:cfRule>
          <xm:sqref>U201:AG201</xm:sqref>
        </x14:conditionalFormatting>
        <x14:conditionalFormatting xmlns:xm="http://schemas.microsoft.com/office/excel/2006/main">
          <x14:cfRule type="expression" priority="4702898" id="{964539FF-A92C-4F68-B268-B7157A32678C}">
            <xm:f>$W$4='Data entry'!$R71</xm:f>
            <x14:dxf>
              <fill>
                <patternFill>
                  <bgColor rgb="FFFFFF00"/>
                </patternFill>
              </fill>
            </x14:dxf>
          </x14:cfRule>
          <xm:sqref>I200:W200</xm:sqref>
        </x14:conditionalFormatting>
        <x14:conditionalFormatting xmlns:xm="http://schemas.microsoft.com/office/excel/2006/main">
          <x14:cfRule type="expression" priority="4702899" id="{46C1533A-F090-4A90-9309-3F59EC3FD3B0}">
            <xm:f>$X$4='Data entry'!$R71</xm:f>
            <x14:dxf>
              <fill>
                <patternFill>
                  <bgColor rgb="FFFF0000"/>
                </patternFill>
              </fill>
            </x14:dxf>
          </x14:cfRule>
          <xm:sqref>V201:AH201</xm:sqref>
        </x14:conditionalFormatting>
        <x14:conditionalFormatting xmlns:xm="http://schemas.microsoft.com/office/excel/2006/main">
          <x14:cfRule type="expression" priority="4702900" id="{7C70E81C-DDD4-4D75-933A-4F6A39893184}">
            <xm:f>$X$4='Data entry'!$R71</xm:f>
            <x14:dxf>
              <fill>
                <patternFill>
                  <bgColor rgb="FFFFFF00"/>
                </patternFill>
              </fill>
            </x14:dxf>
          </x14:cfRule>
          <xm:sqref>J200:X200</xm:sqref>
        </x14:conditionalFormatting>
        <x14:conditionalFormatting xmlns:xm="http://schemas.microsoft.com/office/excel/2006/main">
          <x14:cfRule type="expression" priority="4702901" id="{561AF073-0EF8-4B72-A119-40A639C4359D}">
            <xm:f>$Y$4='Data entry'!$R71</xm:f>
            <x14:dxf>
              <fill>
                <patternFill>
                  <bgColor rgb="FFFF0000"/>
                </patternFill>
              </fill>
            </x14:dxf>
          </x14:cfRule>
          <xm:sqref>W201:AI201</xm:sqref>
        </x14:conditionalFormatting>
        <x14:conditionalFormatting xmlns:xm="http://schemas.microsoft.com/office/excel/2006/main">
          <x14:cfRule type="expression" priority="4702902" id="{F242E808-8F07-4A89-9524-7D4C767CE357}">
            <xm:f>$Y$4='Data entry'!$R71</xm:f>
            <x14:dxf>
              <fill>
                <patternFill>
                  <bgColor rgb="FFFFFF00"/>
                </patternFill>
              </fill>
            </x14:dxf>
          </x14:cfRule>
          <xm:sqref>K200:Y200</xm:sqref>
        </x14:conditionalFormatting>
        <x14:conditionalFormatting xmlns:xm="http://schemas.microsoft.com/office/excel/2006/main">
          <x14:cfRule type="expression" priority="4702903" id="{DD601058-982B-4218-BD9D-64BB823C2633}">
            <xm:f>$Z$4='Data entry'!$R71</xm:f>
            <x14:dxf>
              <fill>
                <patternFill>
                  <bgColor rgb="FFFF0000"/>
                </patternFill>
              </fill>
            </x14:dxf>
          </x14:cfRule>
          <xm:sqref>X201:AJ201</xm:sqref>
        </x14:conditionalFormatting>
        <x14:conditionalFormatting xmlns:xm="http://schemas.microsoft.com/office/excel/2006/main">
          <x14:cfRule type="expression" priority="4702904" id="{C9DB141D-79F6-4093-92A3-7BF7A1622985}">
            <xm:f>$Z$4='Data entry'!$R71</xm:f>
            <x14:dxf>
              <fill>
                <patternFill>
                  <bgColor rgb="FFFFFF00"/>
                </patternFill>
              </fill>
            </x14:dxf>
          </x14:cfRule>
          <xm:sqref>L200:Z200</xm:sqref>
        </x14:conditionalFormatting>
        <x14:conditionalFormatting xmlns:xm="http://schemas.microsoft.com/office/excel/2006/main">
          <x14:cfRule type="expression" priority="4702905" id="{710EB8D3-F5C0-4E3C-8214-2D0C4E26F649}">
            <xm:f>$AA$4='Data entry'!$R71</xm:f>
            <x14:dxf>
              <fill>
                <patternFill>
                  <bgColor rgb="FFFF0000"/>
                </patternFill>
              </fill>
            </x14:dxf>
          </x14:cfRule>
          <xm:sqref>Y201:AK201</xm:sqref>
        </x14:conditionalFormatting>
        <x14:conditionalFormatting xmlns:xm="http://schemas.microsoft.com/office/excel/2006/main">
          <x14:cfRule type="expression" priority="4702906" id="{33825D69-C967-4D27-B395-5D44A3083802}">
            <xm:f>$AA$4='Data entry'!$R71</xm:f>
            <x14:dxf>
              <fill>
                <patternFill>
                  <bgColor rgb="FFFFFF00"/>
                </patternFill>
              </fill>
            </x14:dxf>
          </x14:cfRule>
          <xm:sqref>M200:AA200</xm:sqref>
        </x14:conditionalFormatting>
        <x14:conditionalFormatting xmlns:xm="http://schemas.microsoft.com/office/excel/2006/main">
          <x14:cfRule type="expression" priority="4702907" id="{9811A97D-351B-4D32-8754-AF433277E62B}">
            <xm:f>$AB$4='Data entry'!$R71</xm:f>
            <x14:dxf>
              <fill>
                <patternFill>
                  <bgColor rgb="FFFF0000"/>
                </patternFill>
              </fill>
            </x14:dxf>
          </x14:cfRule>
          <xm:sqref>Z201:AL201</xm:sqref>
        </x14:conditionalFormatting>
        <x14:conditionalFormatting xmlns:xm="http://schemas.microsoft.com/office/excel/2006/main">
          <x14:cfRule type="expression" priority="4702908" id="{6DD3E556-C72E-438B-92DA-3096ED1E4178}">
            <xm:f>$AB$4='Data entry'!$R71</xm:f>
            <x14:dxf>
              <fill>
                <patternFill>
                  <bgColor rgb="FFFFFF00"/>
                </patternFill>
              </fill>
            </x14:dxf>
          </x14:cfRule>
          <xm:sqref>N200:AB200</xm:sqref>
        </x14:conditionalFormatting>
        <x14:conditionalFormatting xmlns:xm="http://schemas.microsoft.com/office/excel/2006/main">
          <x14:cfRule type="expression" priority="4702909" id="{C0DF7A1B-D6BC-4371-BD3A-F0708147FA1C}">
            <xm:f>$AC$4='Data entry'!$R71</xm:f>
            <x14:dxf>
              <fill>
                <patternFill>
                  <bgColor rgb="FFFF0000"/>
                </patternFill>
              </fill>
            </x14:dxf>
          </x14:cfRule>
          <xm:sqref>AA201:AM201</xm:sqref>
        </x14:conditionalFormatting>
        <x14:conditionalFormatting xmlns:xm="http://schemas.microsoft.com/office/excel/2006/main">
          <x14:cfRule type="expression" priority="4702910" id="{DB2E1F48-AF0E-41F9-A976-6B1963CA5711}">
            <xm:f>$AC$4='Data entry'!$R71</xm:f>
            <x14:dxf>
              <fill>
                <patternFill>
                  <bgColor rgb="FFFFFF00"/>
                </patternFill>
              </fill>
            </x14:dxf>
          </x14:cfRule>
          <xm:sqref>O200:AC200</xm:sqref>
        </x14:conditionalFormatting>
        <x14:conditionalFormatting xmlns:xm="http://schemas.microsoft.com/office/excel/2006/main">
          <x14:cfRule type="expression" priority="4702911" id="{89909907-F9A9-4AF9-BC1D-304710A43F50}">
            <xm:f>$AD$4='Data entry'!$R71</xm:f>
            <x14:dxf>
              <fill>
                <patternFill>
                  <bgColor rgb="FFFF0000"/>
                </patternFill>
              </fill>
            </x14:dxf>
          </x14:cfRule>
          <xm:sqref>AB201:AN201</xm:sqref>
        </x14:conditionalFormatting>
        <x14:conditionalFormatting xmlns:xm="http://schemas.microsoft.com/office/excel/2006/main">
          <x14:cfRule type="expression" priority="4702912" id="{729676B7-E331-43A4-ACC9-850DCEE76A0E}">
            <xm:f>$AD$4='Data entry'!$R71</xm:f>
            <x14:dxf>
              <fill>
                <patternFill>
                  <bgColor rgb="FFFFFF00"/>
                </patternFill>
              </fill>
            </x14:dxf>
          </x14:cfRule>
          <xm:sqref>P200:AD200</xm:sqref>
        </x14:conditionalFormatting>
        <x14:conditionalFormatting xmlns:xm="http://schemas.microsoft.com/office/excel/2006/main">
          <x14:cfRule type="expression" priority="4702913" id="{00DA2C55-350E-44AA-ABEA-808FABFDA737}">
            <xm:f>$AE$4='Data entry'!$R71</xm:f>
            <x14:dxf>
              <fill>
                <patternFill>
                  <bgColor rgb="FFFF0000"/>
                </patternFill>
              </fill>
            </x14:dxf>
          </x14:cfRule>
          <xm:sqref>AC201:AO201</xm:sqref>
        </x14:conditionalFormatting>
        <x14:conditionalFormatting xmlns:xm="http://schemas.microsoft.com/office/excel/2006/main">
          <x14:cfRule type="expression" priority="4702914" id="{373C95F1-00C1-45E9-B561-5224945BA4A4}">
            <xm:f>$AE$4='Data entry'!$R71</xm:f>
            <x14:dxf>
              <fill>
                <patternFill>
                  <bgColor rgb="FFFFFF00"/>
                </patternFill>
              </fill>
            </x14:dxf>
          </x14:cfRule>
          <xm:sqref>Q200:AE200</xm:sqref>
        </x14:conditionalFormatting>
        <x14:conditionalFormatting xmlns:xm="http://schemas.microsoft.com/office/excel/2006/main">
          <x14:cfRule type="expression" priority="4702915" id="{65E90E74-6BEF-4B00-BD5E-ECACFEBC225A}">
            <xm:f>$AF$4='Data entry'!$R71</xm:f>
            <x14:dxf>
              <fill>
                <patternFill>
                  <bgColor rgb="FFFF0000"/>
                </patternFill>
              </fill>
            </x14:dxf>
          </x14:cfRule>
          <xm:sqref>AD201:AP201</xm:sqref>
        </x14:conditionalFormatting>
        <x14:conditionalFormatting xmlns:xm="http://schemas.microsoft.com/office/excel/2006/main">
          <x14:cfRule type="expression" priority="4702916" id="{56B519D7-E083-4811-B42B-D6CB10D44BB3}">
            <xm:f>$AF$4='Data entry'!$R71</xm:f>
            <x14:dxf>
              <fill>
                <patternFill>
                  <bgColor rgb="FFFFFF00"/>
                </patternFill>
              </fill>
            </x14:dxf>
          </x14:cfRule>
          <xm:sqref>R200:AF200</xm:sqref>
        </x14:conditionalFormatting>
        <x14:conditionalFormatting xmlns:xm="http://schemas.microsoft.com/office/excel/2006/main">
          <x14:cfRule type="expression" priority="4702917" id="{889682B6-BF9B-414B-86B7-1C802156B058}">
            <xm:f>$AG$4='Data entry'!$R71</xm:f>
            <x14:dxf>
              <fill>
                <patternFill>
                  <bgColor rgb="FFFF0000"/>
                </patternFill>
              </fill>
            </x14:dxf>
          </x14:cfRule>
          <xm:sqref>AE201:AQ201</xm:sqref>
        </x14:conditionalFormatting>
        <x14:conditionalFormatting xmlns:xm="http://schemas.microsoft.com/office/excel/2006/main">
          <x14:cfRule type="expression" priority="4702918" id="{19913D88-1940-4CB0-B29C-D46D60833BD5}">
            <xm:f>$AG$4='Data entry'!$R71</xm:f>
            <x14:dxf>
              <fill>
                <patternFill>
                  <bgColor rgb="FFFFFF00"/>
                </patternFill>
              </fill>
            </x14:dxf>
          </x14:cfRule>
          <xm:sqref>S200:AG200</xm:sqref>
        </x14:conditionalFormatting>
        <x14:conditionalFormatting xmlns:xm="http://schemas.microsoft.com/office/excel/2006/main">
          <x14:cfRule type="expression" priority="4702919" id="{3DD7B9A5-18A3-463F-BAD5-9796FC487328}">
            <xm:f>$AH$4='Data entry'!$R71</xm:f>
            <x14:dxf>
              <fill>
                <patternFill>
                  <bgColor rgb="FFFF0000"/>
                </patternFill>
              </fill>
            </x14:dxf>
          </x14:cfRule>
          <xm:sqref>AF201:AR201</xm:sqref>
        </x14:conditionalFormatting>
        <x14:conditionalFormatting xmlns:xm="http://schemas.microsoft.com/office/excel/2006/main">
          <x14:cfRule type="expression" priority="4702920" id="{31005CF4-5608-496E-91EB-F7F505046C80}">
            <xm:f>$AH$4='Data entry'!$R71</xm:f>
            <x14:dxf>
              <fill>
                <patternFill>
                  <bgColor rgb="FFFFFF00"/>
                </patternFill>
              </fill>
            </x14:dxf>
          </x14:cfRule>
          <xm:sqref>T200:AH200</xm:sqref>
        </x14:conditionalFormatting>
        <x14:conditionalFormatting xmlns:xm="http://schemas.microsoft.com/office/excel/2006/main">
          <x14:cfRule type="expression" priority="4702921" id="{CD14F654-5B7A-444F-8FC1-7DD71E76E475}">
            <xm:f>$AI$4='Data entry'!$R71</xm:f>
            <x14:dxf>
              <fill>
                <patternFill>
                  <bgColor rgb="FFFF0000"/>
                </patternFill>
              </fill>
            </x14:dxf>
          </x14:cfRule>
          <xm:sqref>AG201:AS201</xm:sqref>
        </x14:conditionalFormatting>
        <x14:conditionalFormatting xmlns:xm="http://schemas.microsoft.com/office/excel/2006/main">
          <x14:cfRule type="expression" priority="4702922" id="{0E4E448C-6C46-4285-B877-A61A90294385}">
            <xm:f>$AI$4='Data entry'!$R71</xm:f>
            <x14:dxf>
              <fill>
                <patternFill>
                  <bgColor rgb="FFFFFF00"/>
                </patternFill>
              </fill>
            </x14:dxf>
          </x14:cfRule>
          <xm:sqref>U200:AI200</xm:sqref>
        </x14:conditionalFormatting>
        <x14:conditionalFormatting xmlns:xm="http://schemas.microsoft.com/office/excel/2006/main">
          <x14:cfRule type="expression" priority="4702923" id="{B1C1818F-791C-403D-BE73-6F6E9DC6A16D}">
            <xm:f>$AJ$4='Data entry'!$R71</xm:f>
            <x14:dxf>
              <fill>
                <patternFill>
                  <bgColor rgb="FFFF0000"/>
                </patternFill>
              </fill>
            </x14:dxf>
          </x14:cfRule>
          <xm:sqref>AH201:AT201</xm:sqref>
        </x14:conditionalFormatting>
        <x14:conditionalFormatting xmlns:xm="http://schemas.microsoft.com/office/excel/2006/main">
          <x14:cfRule type="expression" priority="4702924" id="{A1237792-221B-431B-B8A7-E9A64DA46D93}">
            <xm:f>$AJ$4='Data entry'!$R71</xm:f>
            <x14:dxf>
              <fill>
                <patternFill>
                  <bgColor rgb="FFFFFF00"/>
                </patternFill>
              </fill>
            </x14:dxf>
          </x14:cfRule>
          <xm:sqref>V200:AJ200</xm:sqref>
        </x14:conditionalFormatting>
        <x14:conditionalFormatting xmlns:xm="http://schemas.microsoft.com/office/excel/2006/main">
          <x14:cfRule type="expression" priority="4702925" id="{617DC2AF-C7A3-4724-8EA3-17DEFEDC8949}">
            <xm:f>$AK$4='Data entry'!$R71</xm:f>
            <x14:dxf>
              <fill>
                <patternFill>
                  <bgColor rgb="FFFF0000"/>
                </patternFill>
              </fill>
            </x14:dxf>
          </x14:cfRule>
          <xm:sqref>AI201:AU201</xm:sqref>
        </x14:conditionalFormatting>
        <x14:conditionalFormatting xmlns:xm="http://schemas.microsoft.com/office/excel/2006/main">
          <x14:cfRule type="expression" priority="4702926" id="{AA72317D-37B1-48EB-A28B-BF2AC8DC4519}">
            <xm:f>$AK$4='Data entry'!$R71</xm:f>
            <x14:dxf>
              <fill>
                <patternFill>
                  <bgColor rgb="FFFFFF00"/>
                </patternFill>
              </fill>
            </x14:dxf>
          </x14:cfRule>
          <xm:sqref>W200:AK200</xm:sqref>
        </x14:conditionalFormatting>
        <x14:conditionalFormatting xmlns:xm="http://schemas.microsoft.com/office/excel/2006/main">
          <x14:cfRule type="expression" priority="4702927" id="{6CA9FB7A-20EA-4D3A-B74C-A001F4BE810D}">
            <xm:f>$AL$4='Data entry'!$R71</xm:f>
            <x14:dxf>
              <fill>
                <patternFill>
                  <bgColor rgb="FFFF0000"/>
                </patternFill>
              </fill>
            </x14:dxf>
          </x14:cfRule>
          <xm:sqref>AJ201:AV201</xm:sqref>
        </x14:conditionalFormatting>
        <x14:conditionalFormatting xmlns:xm="http://schemas.microsoft.com/office/excel/2006/main">
          <x14:cfRule type="expression" priority="4702928" id="{81A75DAA-573F-4EF3-A640-1B992C18BEA0}">
            <xm:f>$AL$4='Data entry'!$R71</xm:f>
            <x14:dxf>
              <fill>
                <patternFill>
                  <bgColor rgb="FFFFFF00"/>
                </patternFill>
              </fill>
            </x14:dxf>
          </x14:cfRule>
          <xm:sqref>X200:AL200</xm:sqref>
        </x14:conditionalFormatting>
        <x14:conditionalFormatting xmlns:xm="http://schemas.microsoft.com/office/excel/2006/main">
          <x14:cfRule type="expression" priority="4702929" id="{3D44713E-4ABA-4CCD-9DF4-5513A9FB5E1E}">
            <xm:f>$AM$4='Data entry'!$R71</xm:f>
            <x14:dxf>
              <fill>
                <patternFill>
                  <bgColor rgb="FFFF0000"/>
                </patternFill>
              </fill>
            </x14:dxf>
          </x14:cfRule>
          <xm:sqref>AK201:AW201</xm:sqref>
        </x14:conditionalFormatting>
        <x14:conditionalFormatting xmlns:xm="http://schemas.microsoft.com/office/excel/2006/main">
          <x14:cfRule type="expression" priority="4702930" id="{05A26B51-72A7-4423-822F-2BDBC28275D0}">
            <xm:f>$AM$4='Data entry'!$R71</xm:f>
            <x14:dxf>
              <fill>
                <patternFill>
                  <bgColor rgb="FFFFFF00"/>
                </patternFill>
              </fill>
            </x14:dxf>
          </x14:cfRule>
          <xm:sqref>Y200:AM200</xm:sqref>
        </x14:conditionalFormatting>
        <x14:conditionalFormatting xmlns:xm="http://schemas.microsoft.com/office/excel/2006/main">
          <x14:cfRule type="expression" priority="4702931" id="{B8A20675-6230-4694-A7F6-6B3DC7142773}">
            <xm:f>$AN$4='Data entry'!$R71</xm:f>
            <x14:dxf>
              <fill>
                <patternFill>
                  <bgColor rgb="FFFF0000"/>
                </patternFill>
              </fill>
            </x14:dxf>
          </x14:cfRule>
          <xm:sqref>AL201:AX201</xm:sqref>
        </x14:conditionalFormatting>
        <x14:conditionalFormatting xmlns:xm="http://schemas.microsoft.com/office/excel/2006/main">
          <x14:cfRule type="expression" priority="4702932" id="{8421181C-7450-42E9-BC1D-065CCFCA960E}">
            <xm:f>$AN$4='Data entry'!$R71</xm:f>
            <x14:dxf>
              <fill>
                <patternFill>
                  <bgColor rgb="FFFFFF00"/>
                </patternFill>
              </fill>
            </x14:dxf>
          </x14:cfRule>
          <xm:sqref>Z200:AN200</xm:sqref>
        </x14:conditionalFormatting>
        <x14:conditionalFormatting xmlns:xm="http://schemas.microsoft.com/office/excel/2006/main">
          <x14:cfRule type="expression" priority="4702933" id="{067FE4BD-6EF4-4684-B6E0-35AB2F267EE7}">
            <xm:f>$AO$4='Data entry'!$R71</xm:f>
            <x14:dxf>
              <fill>
                <patternFill>
                  <bgColor rgb="FFFF0000"/>
                </patternFill>
              </fill>
            </x14:dxf>
          </x14:cfRule>
          <xm:sqref>AM201:AY201</xm:sqref>
        </x14:conditionalFormatting>
        <x14:conditionalFormatting xmlns:xm="http://schemas.microsoft.com/office/excel/2006/main">
          <x14:cfRule type="expression" priority="4702934" id="{F7653492-88D1-47AC-8BA3-0CCE65C3C2AB}">
            <xm:f>$AO$4='Data entry'!$R71</xm:f>
            <x14:dxf>
              <fill>
                <patternFill>
                  <bgColor rgb="FFFFFF00"/>
                </patternFill>
              </fill>
            </x14:dxf>
          </x14:cfRule>
          <xm:sqref>AA200:AO200</xm:sqref>
        </x14:conditionalFormatting>
        <x14:conditionalFormatting xmlns:xm="http://schemas.microsoft.com/office/excel/2006/main">
          <x14:cfRule type="expression" priority="4702935" id="{207A5E5D-B322-482E-9193-1D7318138358}">
            <xm:f>$AP$4='Data entry'!$R71</xm:f>
            <x14:dxf>
              <fill>
                <patternFill>
                  <bgColor rgb="FFFF0000"/>
                </patternFill>
              </fill>
            </x14:dxf>
          </x14:cfRule>
          <xm:sqref>AN201:AZ201</xm:sqref>
        </x14:conditionalFormatting>
        <x14:conditionalFormatting xmlns:xm="http://schemas.microsoft.com/office/excel/2006/main">
          <x14:cfRule type="expression" priority="4702936" id="{21DA638D-4CA0-4067-BFF1-240CE1A0261B}">
            <xm:f>$AP$4='Data entry'!$R71</xm:f>
            <x14:dxf>
              <fill>
                <patternFill>
                  <bgColor rgb="FFFFFF00"/>
                </patternFill>
              </fill>
            </x14:dxf>
          </x14:cfRule>
          <xm:sqref>AB200:AP200</xm:sqref>
        </x14:conditionalFormatting>
        <x14:conditionalFormatting xmlns:xm="http://schemas.microsoft.com/office/excel/2006/main">
          <x14:cfRule type="expression" priority="4702937" id="{71963D96-A42A-4B90-BFC7-6D83D37766EF}">
            <xm:f>$AQ$4='Data entry'!$R71</xm:f>
            <x14:dxf>
              <fill>
                <patternFill>
                  <bgColor rgb="FFFF0000"/>
                </patternFill>
              </fill>
            </x14:dxf>
          </x14:cfRule>
          <xm:sqref>AO201:BA201</xm:sqref>
        </x14:conditionalFormatting>
        <x14:conditionalFormatting xmlns:xm="http://schemas.microsoft.com/office/excel/2006/main">
          <x14:cfRule type="expression" priority="4702938" id="{74952595-84B6-484F-8FF6-FCC1F337DF4D}">
            <xm:f>$AQ$4='Data entry'!$R71</xm:f>
            <x14:dxf>
              <fill>
                <patternFill>
                  <bgColor rgb="FFFFFF00"/>
                </patternFill>
              </fill>
            </x14:dxf>
          </x14:cfRule>
          <xm:sqref>AC200:AQ200</xm:sqref>
        </x14:conditionalFormatting>
        <x14:conditionalFormatting xmlns:xm="http://schemas.microsoft.com/office/excel/2006/main">
          <x14:cfRule type="expression" priority="4702939" id="{8AC9C4B9-0A34-4BC0-B0F7-CA89434C4911}">
            <xm:f>$P$4='Data entry'!$R71</xm:f>
            <x14:dxf>
              <fill>
                <patternFill>
                  <bgColor rgb="FFFFFF00"/>
                </patternFill>
              </fill>
            </x14:dxf>
          </x14:cfRule>
          <xm:sqref>C200:P200</xm:sqref>
        </x14:conditionalFormatting>
        <x14:conditionalFormatting xmlns:xm="http://schemas.microsoft.com/office/excel/2006/main">
          <x14:cfRule type="expression" priority="4702940" id="{0A726775-ABFD-4F22-967C-1A4D87BA3751}">
            <xm:f>$Q$4='Data entry'!$R71</xm:f>
            <x14:dxf>
              <fill>
                <patternFill>
                  <bgColor rgb="FFFFFF00"/>
                </patternFill>
              </fill>
            </x14:dxf>
          </x14:cfRule>
          <xm:sqref>C200:Q200</xm:sqref>
        </x14:conditionalFormatting>
        <x14:conditionalFormatting xmlns:xm="http://schemas.microsoft.com/office/excel/2006/main">
          <x14:cfRule type="expression" priority="4702941" id="{3A8414BD-262C-43B5-86EE-FA6901D00453}">
            <xm:f>$Q$4='Data entry'!$R71</xm:f>
            <x14:dxf>
              <fill>
                <patternFill>
                  <bgColor rgb="FFFF0000"/>
                </patternFill>
              </fill>
            </x14:dxf>
          </x14:cfRule>
          <xm:sqref>O201:AA201</xm:sqref>
        </x14:conditionalFormatting>
        <x14:conditionalFormatting xmlns:xm="http://schemas.microsoft.com/office/excel/2006/main">
          <x14:cfRule type="expression" priority="4702942" id="{B8B5501D-F3EF-4449-9306-F652960C65F4}">
            <xm:f>$R$4='Data entry'!$R71</xm:f>
            <x14:dxf>
              <fill>
                <patternFill>
                  <bgColor rgb="FFFF0000"/>
                </patternFill>
              </fill>
            </x14:dxf>
          </x14:cfRule>
          <xm:sqref>P201:AB201</xm:sqref>
        </x14:conditionalFormatting>
        <x14:conditionalFormatting xmlns:xm="http://schemas.microsoft.com/office/excel/2006/main">
          <x14:cfRule type="expression" priority="4702943" id="{5D070DEC-B82E-4D87-B907-A3E5AB836991}">
            <xm:f>$R$4='Data entry'!$R71</xm:f>
            <x14:dxf>
              <fill>
                <patternFill>
                  <bgColor rgb="FFFFFF00"/>
                </patternFill>
              </fill>
            </x14:dxf>
          </x14:cfRule>
          <xm:sqref>D200:R200</xm:sqref>
        </x14:conditionalFormatting>
        <x14:conditionalFormatting xmlns:xm="http://schemas.microsoft.com/office/excel/2006/main">
          <x14:cfRule type="expression" priority="4702944" id="{E4D16A10-F818-4664-9FB2-F0E839824D4B}">
            <xm:f>$S$4='Data entry'!$R71</xm:f>
            <x14:dxf>
              <fill>
                <patternFill>
                  <bgColor rgb="FFFF0000"/>
                </patternFill>
              </fill>
            </x14:dxf>
          </x14:cfRule>
          <xm:sqref>Q201:AC201</xm:sqref>
        </x14:conditionalFormatting>
        <x14:conditionalFormatting xmlns:xm="http://schemas.microsoft.com/office/excel/2006/main">
          <x14:cfRule type="expression" priority="4702945" id="{1A9F9911-A3E9-4730-AFBE-AB8C596545CA}">
            <xm:f>$S$4='Data entry'!$R71</xm:f>
            <x14:dxf>
              <fill>
                <patternFill>
                  <bgColor rgb="FFFFFF00"/>
                </patternFill>
              </fill>
            </x14:dxf>
          </x14:cfRule>
          <xm:sqref>E200:S200</xm:sqref>
        </x14:conditionalFormatting>
        <x14:conditionalFormatting xmlns:xm="http://schemas.microsoft.com/office/excel/2006/main">
          <x14:cfRule type="expression" priority="4702946" id="{8BB5CD1B-B2AC-442A-9550-26DE19A62D22}">
            <xm:f>$T$4='Data entry'!$R71</xm:f>
            <x14:dxf>
              <fill>
                <patternFill>
                  <bgColor rgb="FFFF0000"/>
                </patternFill>
              </fill>
            </x14:dxf>
          </x14:cfRule>
          <xm:sqref>R201:AD201</xm:sqref>
        </x14:conditionalFormatting>
        <x14:conditionalFormatting xmlns:xm="http://schemas.microsoft.com/office/excel/2006/main">
          <x14:cfRule type="expression" priority="4702947" id="{E7B59C69-7921-4049-84A1-8B3E5F7B0598}">
            <xm:f>$T$4='Data entry'!$R71</xm:f>
            <x14:dxf>
              <fill>
                <patternFill>
                  <bgColor rgb="FFFFFF00"/>
                </patternFill>
              </fill>
            </x14:dxf>
          </x14:cfRule>
          <xm:sqref>F200:T200</xm:sqref>
        </x14:conditionalFormatting>
        <x14:conditionalFormatting xmlns:xm="http://schemas.microsoft.com/office/excel/2006/main">
          <x14:cfRule type="expression" priority="4702948" id="{238C09E5-7A3D-439D-949F-A7733073F9A2}">
            <xm:f>$U$4='Data entry'!$R71</xm:f>
            <x14:dxf>
              <fill>
                <patternFill>
                  <bgColor rgb="FFFFFF00"/>
                </patternFill>
              </fill>
            </x14:dxf>
          </x14:cfRule>
          <xm:sqref>G200:U200</xm:sqref>
        </x14:conditionalFormatting>
        <x14:conditionalFormatting xmlns:xm="http://schemas.microsoft.com/office/excel/2006/main">
          <x14:cfRule type="expression" priority="4702949" id="{DE4D4432-0A19-452A-AF14-2873FE4DF411}">
            <xm:f>$AR$4='Data entry'!$R71</xm:f>
            <x14:dxf>
              <fill>
                <patternFill>
                  <bgColor rgb="FFFF0000"/>
                </patternFill>
              </fill>
            </x14:dxf>
          </x14:cfRule>
          <xm:sqref>AP201:BB201</xm:sqref>
        </x14:conditionalFormatting>
        <x14:conditionalFormatting xmlns:xm="http://schemas.microsoft.com/office/excel/2006/main">
          <x14:cfRule type="expression" priority="4702950" id="{90D7E1FF-542D-40C8-9BD5-DFEB4CDD256F}">
            <xm:f>$AR$4='Data entry'!$R71</xm:f>
            <x14:dxf>
              <fill>
                <patternFill>
                  <bgColor rgb="FFFFFF00"/>
                </patternFill>
              </fill>
            </x14:dxf>
          </x14:cfRule>
          <xm:sqref>AD200:AR200</xm:sqref>
        </x14:conditionalFormatting>
        <x14:conditionalFormatting xmlns:xm="http://schemas.microsoft.com/office/excel/2006/main">
          <x14:cfRule type="expression" priority="4702951" id="{0EBB5305-4A4A-4205-A1FF-11160070CBC3}">
            <xm:f>$AS$4='Data entry'!$R71</xm:f>
            <x14:dxf>
              <fill>
                <patternFill>
                  <bgColor rgb="FFFF0000"/>
                </patternFill>
              </fill>
            </x14:dxf>
          </x14:cfRule>
          <xm:sqref>AQ201:BC201</xm:sqref>
        </x14:conditionalFormatting>
        <x14:conditionalFormatting xmlns:xm="http://schemas.microsoft.com/office/excel/2006/main">
          <x14:cfRule type="expression" priority="4702952" id="{AC8EB30C-4253-4CE1-820E-1801F6D8D35B}">
            <xm:f>$AS$4='Data entry'!$R71</xm:f>
            <x14:dxf>
              <fill>
                <patternFill>
                  <bgColor rgb="FFFFFF00"/>
                </patternFill>
              </fill>
            </x14:dxf>
          </x14:cfRule>
          <xm:sqref>AE200:AS200</xm:sqref>
        </x14:conditionalFormatting>
        <x14:conditionalFormatting xmlns:xm="http://schemas.microsoft.com/office/excel/2006/main">
          <x14:cfRule type="expression" priority="4702953" id="{E11744C1-7201-4272-A1B0-945490B42425}">
            <xm:f>$AT$4='Data entry'!$R71</xm:f>
            <x14:dxf>
              <fill>
                <patternFill>
                  <bgColor rgb="FFFF0000"/>
                </patternFill>
              </fill>
            </x14:dxf>
          </x14:cfRule>
          <xm:sqref>AR201:BD201</xm:sqref>
        </x14:conditionalFormatting>
        <x14:conditionalFormatting xmlns:xm="http://schemas.microsoft.com/office/excel/2006/main">
          <x14:cfRule type="expression" priority="4702954" id="{5EE2823B-E955-4EA7-B99C-0B1F77B57A69}">
            <xm:f>$AT$4='Data entry'!$R71</xm:f>
            <x14:dxf>
              <fill>
                <patternFill>
                  <bgColor rgb="FFFFFF00"/>
                </patternFill>
              </fill>
            </x14:dxf>
          </x14:cfRule>
          <xm:sqref>AF200:AT200</xm:sqref>
        </x14:conditionalFormatting>
        <x14:conditionalFormatting xmlns:xm="http://schemas.microsoft.com/office/excel/2006/main">
          <x14:cfRule type="expression" priority="4702955" id="{5737DC63-3262-4B34-900C-2AAEB255FCBA}">
            <xm:f>$AU$4='Data entry'!$R71</xm:f>
            <x14:dxf>
              <fill>
                <patternFill>
                  <bgColor rgb="FFFF0000"/>
                </patternFill>
              </fill>
            </x14:dxf>
          </x14:cfRule>
          <xm:sqref>AS201:BE201</xm:sqref>
        </x14:conditionalFormatting>
        <x14:conditionalFormatting xmlns:xm="http://schemas.microsoft.com/office/excel/2006/main">
          <x14:cfRule type="expression" priority="4702956" id="{2B5C1F1B-3C3D-4CA3-BC64-0E98422075B6}">
            <xm:f>$AU$4='Data entry'!$R71</xm:f>
            <x14:dxf>
              <fill>
                <patternFill>
                  <bgColor rgb="FFFFFF00"/>
                </patternFill>
              </fill>
            </x14:dxf>
          </x14:cfRule>
          <xm:sqref>AG200:AU200</xm:sqref>
        </x14:conditionalFormatting>
        <x14:conditionalFormatting xmlns:xm="http://schemas.microsoft.com/office/excel/2006/main">
          <x14:cfRule type="expression" priority="4702957" id="{B87A1285-B003-4855-8F4B-53C391BA10E6}">
            <xm:f>$AV$4='Data entry'!$R71</xm:f>
            <x14:dxf>
              <fill>
                <patternFill>
                  <bgColor rgb="FFFF0000"/>
                </patternFill>
              </fill>
            </x14:dxf>
          </x14:cfRule>
          <xm:sqref>AT201:BF201</xm:sqref>
        </x14:conditionalFormatting>
        <x14:conditionalFormatting xmlns:xm="http://schemas.microsoft.com/office/excel/2006/main">
          <x14:cfRule type="expression" priority="4702958" id="{338EE31C-78DB-4818-B837-0380F9E457FA}">
            <xm:f>$AV$4='Data entry'!$R71</xm:f>
            <x14:dxf>
              <fill>
                <patternFill>
                  <bgColor rgb="FFFFFF00"/>
                </patternFill>
              </fill>
            </x14:dxf>
          </x14:cfRule>
          <xm:sqref>AH200:AV200</xm:sqref>
        </x14:conditionalFormatting>
        <x14:conditionalFormatting xmlns:xm="http://schemas.microsoft.com/office/excel/2006/main">
          <x14:cfRule type="expression" priority="4702959" id="{5C40EA66-2801-4C91-B885-BF6A1ECFC35C}">
            <xm:f>$AW$4='Data entry'!$R71</xm:f>
            <x14:dxf>
              <fill>
                <patternFill>
                  <bgColor rgb="FFFF0000"/>
                </patternFill>
              </fill>
            </x14:dxf>
          </x14:cfRule>
          <xm:sqref>AU201:BG201</xm:sqref>
        </x14:conditionalFormatting>
        <x14:conditionalFormatting xmlns:xm="http://schemas.microsoft.com/office/excel/2006/main">
          <x14:cfRule type="expression" priority="4702960" id="{51BCD5CE-DF86-4C2F-8A81-DDA1EFD6C8F7}">
            <xm:f>$AW$4='Data entry'!$R71</xm:f>
            <x14:dxf>
              <fill>
                <patternFill>
                  <bgColor rgb="FFFFFF00"/>
                </patternFill>
              </fill>
            </x14:dxf>
          </x14:cfRule>
          <xm:sqref>AI200:AW200</xm:sqref>
        </x14:conditionalFormatting>
        <x14:conditionalFormatting xmlns:xm="http://schemas.microsoft.com/office/excel/2006/main">
          <x14:cfRule type="expression" priority="4702961" id="{DC2ED5A0-8917-4877-8CD3-9DF9BE5993C9}">
            <xm:f>$AX$4='Data entry'!$R71</xm:f>
            <x14:dxf>
              <fill>
                <patternFill>
                  <bgColor rgb="FFFF0000"/>
                </patternFill>
              </fill>
            </x14:dxf>
          </x14:cfRule>
          <xm:sqref>AV201:BH201</xm:sqref>
        </x14:conditionalFormatting>
        <x14:conditionalFormatting xmlns:xm="http://schemas.microsoft.com/office/excel/2006/main">
          <x14:cfRule type="expression" priority="4702962" id="{59B31869-20F9-45BD-BC80-0A6C8945CE2C}">
            <xm:f>$AX$4='Data entry'!$R71</xm:f>
            <x14:dxf>
              <fill>
                <patternFill>
                  <bgColor rgb="FFFFFF00"/>
                </patternFill>
              </fill>
            </x14:dxf>
          </x14:cfRule>
          <xm:sqref>AJ200:AX200</xm:sqref>
        </x14:conditionalFormatting>
        <x14:conditionalFormatting xmlns:xm="http://schemas.microsoft.com/office/excel/2006/main">
          <x14:cfRule type="expression" priority="4702963" id="{D4208FA0-4262-4037-934C-6D0742B2AD8E}">
            <xm:f>$AY$4='Data entry'!$R71</xm:f>
            <x14:dxf>
              <fill>
                <patternFill>
                  <bgColor rgb="FFFF0000"/>
                </patternFill>
              </fill>
            </x14:dxf>
          </x14:cfRule>
          <xm:sqref>AW201:BI201</xm:sqref>
        </x14:conditionalFormatting>
        <x14:conditionalFormatting xmlns:xm="http://schemas.microsoft.com/office/excel/2006/main">
          <x14:cfRule type="expression" priority="4702964" id="{04D6E423-18C7-42B2-A67D-F49D8E62B571}">
            <xm:f>$AY$4='Data entry'!$R71</xm:f>
            <x14:dxf>
              <fill>
                <patternFill>
                  <bgColor rgb="FFFFFF00"/>
                </patternFill>
              </fill>
            </x14:dxf>
          </x14:cfRule>
          <xm:sqref>AK200:AY200</xm:sqref>
        </x14:conditionalFormatting>
        <x14:conditionalFormatting xmlns:xm="http://schemas.microsoft.com/office/excel/2006/main">
          <x14:cfRule type="expression" priority="4702965" id="{A931C203-6E4B-4EBD-A2F4-1876881F48D4}">
            <xm:f>$AZ$4='Data entry'!$R71</xm:f>
            <x14:dxf>
              <fill>
                <patternFill>
                  <bgColor rgb="FFFF0000"/>
                </patternFill>
              </fill>
            </x14:dxf>
          </x14:cfRule>
          <xm:sqref>AX201:BJ201</xm:sqref>
        </x14:conditionalFormatting>
        <x14:conditionalFormatting xmlns:xm="http://schemas.microsoft.com/office/excel/2006/main">
          <x14:cfRule type="expression" priority="4702966" id="{092D9100-E652-40FE-8CAA-720DC0681250}">
            <xm:f>$AZ$4='Data entry'!$R71</xm:f>
            <x14:dxf>
              <fill>
                <patternFill>
                  <bgColor rgb="FFFFFF00"/>
                </patternFill>
              </fill>
            </x14:dxf>
          </x14:cfRule>
          <xm:sqref>AL200:AZ200</xm:sqref>
        </x14:conditionalFormatting>
        <x14:conditionalFormatting xmlns:xm="http://schemas.microsoft.com/office/excel/2006/main">
          <x14:cfRule type="expression" priority="4702967" id="{A3C7E6BE-A225-483C-A983-A915DB662C52}">
            <xm:f>$BA$4='Data entry'!$R71</xm:f>
            <x14:dxf>
              <fill>
                <patternFill>
                  <bgColor rgb="FFFF0000"/>
                </patternFill>
              </fill>
            </x14:dxf>
          </x14:cfRule>
          <xm:sqref>AY201:BK201</xm:sqref>
        </x14:conditionalFormatting>
        <x14:conditionalFormatting xmlns:xm="http://schemas.microsoft.com/office/excel/2006/main">
          <x14:cfRule type="expression" priority="4702968" id="{F5CF569A-8AFA-4CFF-8BD3-F04D8927A99F}">
            <xm:f>$BA$4='Data entry'!$R71</xm:f>
            <x14:dxf>
              <fill>
                <patternFill>
                  <bgColor rgb="FFFFFF00"/>
                </patternFill>
              </fill>
            </x14:dxf>
          </x14:cfRule>
          <xm:sqref>AM200:BA200</xm:sqref>
        </x14:conditionalFormatting>
        <x14:conditionalFormatting xmlns:xm="http://schemas.microsoft.com/office/excel/2006/main">
          <x14:cfRule type="expression" priority="4702969" id="{E4DAC94A-7983-4BFB-A87B-45B58561841A}">
            <xm:f>$BB$4='Data entry'!$R71</xm:f>
            <x14:dxf>
              <fill>
                <patternFill>
                  <bgColor rgb="FFFF0000"/>
                </patternFill>
              </fill>
            </x14:dxf>
          </x14:cfRule>
          <xm:sqref>AZ201:BL201</xm:sqref>
        </x14:conditionalFormatting>
        <x14:conditionalFormatting xmlns:xm="http://schemas.microsoft.com/office/excel/2006/main">
          <x14:cfRule type="expression" priority="4702970" id="{E63849C5-F39B-4B0E-8F8A-B532EDF2CBAE}">
            <xm:f>$BB$4='Data entry'!$R71</xm:f>
            <x14:dxf>
              <fill>
                <patternFill>
                  <bgColor rgb="FFFFFF00"/>
                </patternFill>
              </fill>
            </x14:dxf>
          </x14:cfRule>
          <xm:sqref>AN200:BB200</xm:sqref>
        </x14:conditionalFormatting>
        <x14:conditionalFormatting xmlns:xm="http://schemas.microsoft.com/office/excel/2006/main">
          <x14:cfRule type="expression" priority="4702971" id="{4FDC32D3-C1F5-455D-9AA4-A03359B72526}">
            <xm:f>$BC$4='Data entry'!$R71</xm:f>
            <x14:dxf>
              <fill>
                <patternFill>
                  <bgColor rgb="FFFF0000"/>
                </patternFill>
              </fill>
            </x14:dxf>
          </x14:cfRule>
          <xm:sqref>BA201:BM201</xm:sqref>
        </x14:conditionalFormatting>
        <x14:conditionalFormatting xmlns:xm="http://schemas.microsoft.com/office/excel/2006/main">
          <x14:cfRule type="expression" priority="4702972" id="{5F0D0C60-B233-4C56-B05D-98C99990877F}">
            <xm:f>$BC$4='Data entry'!$R71</xm:f>
            <x14:dxf>
              <fill>
                <patternFill>
                  <bgColor rgb="FFFFFF00"/>
                </patternFill>
              </fill>
            </x14:dxf>
          </x14:cfRule>
          <xm:sqref>AO200:BC200</xm:sqref>
        </x14:conditionalFormatting>
        <x14:conditionalFormatting xmlns:xm="http://schemas.microsoft.com/office/excel/2006/main">
          <x14:cfRule type="expression" priority="4702973" id="{9EBCB60F-8135-43B6-A0F3-548D4092CC98}">
            <xm:f>$BD$4='Data entry'!$R71</xm:f>
            <x14:dxf>
              <fill>
                <patternFill>
                  <bgColor rgb="FFFF0000"/>
                </patternFill>
              </fill>
            </x14:dxf>
          </x14:cfRule>
          <xm:sqref>BB201:BN201</xm:sqref>
        </x14:conditionalFormatting>
        <x14:conditionalFormatting xmlns:xm="http://schemas.microsoft.com/office/excel/2006/main">
          <x14:cfRule type="expression" priority="4702974" id="{961AF346-4A73-41ED-9A8D-27D431B09C05}">
            <xm:f>$BD$4='Data entry'!$R71</xm:f>
            <x14:dxf>
              <fill>
                <patternFill>
                  <bgColor rgb="FFFFFF00"/>
                </patternFill>
              </fill>
            </x14:dxf>
          </x14:cfRule>
          <xm:sqref>AP200:BD200</xm:sqref>
        </x14:conditionalFormatting>
        <x14:conditionalFormatting xmlns:xm="http://schemas.microsoft.com/office/excel/2006/main">
          <x14:cfRule type="expression" priority="4702975" id="{5A887026-27CD-4F8C-8BA6-1E92704C1CA6}">
            <xm:f>$BE$4='Data entry'!$R71</xm:f>
            <x14:dxf>
              <fill>
                <patternFill>
                  <bgColor rgb="FFFF0000"/>
                </patternFill>
              </fill>
            </x14:dxf>
          </x14:cfRule>
          <xm:sqref>BC201:BO201</xm:sqref>
        </x14:conditionalFormatting>
        <x14:conditionalFormatting xmlns:xm="http://schemas.microsoft.com/office/excel/2006/main">
          <x14:cfRule type="expression" priority="4702976" id="{7F46217B-A1E9-4515-B31E-E756FCD7C6D9}">
            <xm:f>$BE$4='Data entry'!$R71</xm:f>
            <x14:dxf>
              <fill>
                <patternFill>
                  <bgColor rgb="FFFFFF00"/>
                </patternFill>
              </fill>
            </x14:dxf>
          </x14:cfRule>
          <xm:sqref>AP200:BE200</xm:sqref>
        </x14:conditionalFormatting>
        <x14:conditionalFormatting xmlns:xm="http://schemas.microsoft.com/office/excel/2006/main">
          <x14:cfRule type="expression" priority="4702977" id="{F4D9285C-8CA0-4EF1-943E-6A462D47CC77}">
            <xm:f>$BF$4='Data entry'!$R71</xm:f>
            <x14:dxf>
              <fill>
                <patternFill>
                  <bgColor rgb="FFFF0000"/>
                </patternFill>
              </fill>
            </x14:dxf>
          </x14:cfRule>
          <xm:sqref>BD201:BP201</xm:sqref>
        </x14:conditionalFormatting>
        <x14:conditionalFormatting xmlns:xm="http://schemas.microsoft.com/office/excel/2006/main">
          <x14:cfRule type="expression" priority="4702978" id="{B9E4407D-651D-4DC0-9D61-3271D62A65E9}">
            <xm:f>$BF$4='Data entry'!$R71</xm:f>
            <x14:dxf>
              <fill>
                <patternFill>
                  <bgColor rgb="FFFFFF00"/>
                </patternFill>
              </fill>
            </x14:dxf>
          </x14:cfRule>
          <xm:sqref>AR200:BF200</xm:sqref>
        </x14:conditionalFormatting>
        <x14:conditionalFormatting xmlns:xm="http://schemas.microsoft.com/office/excel/2006/main">
          <x14:cfRule type="expression" priority="4702979" id="{4CDC062F-DDFF-4556-B941-08F919727F69}">
            <xm:f>$BG$4='Data entry'!$R71</xm:f>
            <x14:dxf>
              <fill>
                <patternFill>
                  <bgColor rgb="FFFF0000"/>
                </patternFill>
              </fill>
            </x14:dxf>
          </x14:cfRule>
          <xm:sqref>BE201:BQ201</xm:sqref>
        </x14:conditionalFormatting>
        <x14:conditionalFormatting xmlns:xm="http://schemas.microsoft.com/office/excel/2006/main">
          <x14:cfRule type="expression" priority="4702980" id="{789184FA-9055-433B-8A1B-92C7ED59E81F}">
            <xm:f>$BG$4='Data entry'!$R71</xm:f>
            <x14:dxf>
              <fill>
                <patternFill>
                  <bgColor rgb="FFFFFF00"/>
                </patternFill>
              </fill>
            </x14:dxf>
          </x14:cfRule>
          <xm:sqref>AS200:BG200</xm:sqref>
        </x14:conditionalFormatting>
        <x14:conditionalFormatting xmlns:xm="http://schemas.microsoft.com/office/excel/2006/main">
          <x14:cfRule type="expression" priority="4702981" id="{58651E5C-09C9-46C1-B95C-E8A578A49E15}">
            <xm:f>$BH$4='Data entry'!$R71</xm:f>
            <x14:dxf>
              <fill>
                <patternFill>
                  <bgColor rgb="FFFFFF00"/>
                </patternFill>
              </fill>
            </x14:dxf>
          </x14:cfRule>
          <xm:sqref>AT200:BH200</xm:sqref>
        </x14:conditionalFormatting>
        <x14:conditionalFormatting xmlns:xm="http://schemas.microsoft.com/office/excel/2006/main">
          <x14:cfRule type="expression" priority="4702982" id="{97B30B86-8311-4DC0-A533-8C0D53F37839}">
            <xm:f>$BH$4='Data entry'!$R71</xm:f>
            <x14:dxf>
              <fill>
                <patternFill>
                  <bgColor rgb="FFFF0000"/>
                </patternFill>
              </fill>
            </x14:dxf>
          </x14:cfRule>
          <xm:sqref>BF201:BR201</xm:sqref>
        </x14:conditionalFormatting>
        <x14:conditionalFormatting xmlns:xm="http://schemas.microsoft.com/office/excel/2006/main">
          <x14:cfRule type="expression" priority="4702983" id="{78344C0C-5AEA-40B1-A20C-6D77DF58E1F5}">
            <xm:f>$BI$4='Data entry'!$R71</xm:f>
            <x14:dxf>
              <fill>
                <patternFill>
                  <bgColor rgb="FFFFFF00"/>
                </patternFill>
              </fill>
            </x14:dxf>
          </x14:cfRule>
          <xm:sqref>AU200:BI200</xm:sqref>
        </x14:conditionalFormatting>
        <x14:conditionalFormatting xmlns:xm="http://schemas.microsoft.com/office/excel/2006/main">
          <x14:cfRule type="expression" priority="4702984" id="{A9CE044F-482E-4F25-B28F-89ACC58502B1}">
            <xm:f>$BI$4='Data entry'!$R71</xm:f>
            <x14:dxf>
              <fill>
                <patternFill>
                  <bgColor rgb="FFFF0000"/>
                </patternFill>
              </fill>
            </x14:dxf>
          </x14:cfRule>
          <xm:sqref>BG201:BS201</xm:sqref>
        </x14:conditionalFormatting>
        <x14:conditionalFormatting xmlns:xm="http://schemas.microsoft.com/office/excel/2006/main">
          <x14:cfRule type="expression" priority="4702985" id="{F63BE0EB-3C71-4456-BEF0-11180AB7A8BB}">
            <xm:f>$BJ$4='Data entry'!$R71</xm:f>
            <x14:dxf>
              <fill>
                <patternFill>
                  <bgColor rgb="FFFFFF00"/>
                </patternFill>
              </fill>
            </x14:dxf>
          </x14:cfRule>
          <xm:sqref>AV200:BJ200</xm:sqref>
        </x14:conditionalFormatting>
        <x14:conditionalFormatting xmlns:xm="http://schemas.microsoft.com/office/excel/2006/main">
          <x14:cfRule type="expression" priority="4702986" id="{478A5DCB-1DAA-4497-A6CC-B4F01FB96D10}">
            <xm:f>$BJ$4='Data entry'!$R71</xm:f>
            <x14:dxf>
              <fill>
                <patternFill>
                  <bgColor rgb="FFFF0000"/>
                </patternFill>
              </fill>
            </x14:dxf>
          </x14:cfRule>
          <xm:sqref>BH201:BT201</xm:sqref>
        </x14:conditionalFormatting>
        <x14:conditionalFormatting xmlns:xm="http://schemas.microsoft.com/office/excel/2006/main">
          <x14:cfRule type="expression" priority="4702987" id="{CDE4AD5B-65A6-4FA4-9EC0-8D05F22312A9}">
            <xm:f>$BK$4='Data entry'!$R71</xm:f>
            <x14:dxf>
              <fill>
                <patternFill>
                  <bgColor rgb="FFFF0000"/>
                </patternFill>
              </fill>
            </x14:dxf>
          </x14:cfRule>
          <xm:sqref>BI201:BU201</xm:sqref>
        </x14:conditionalFormatting>
        <x14:conditionalFormatting xmlns:xm="http://schemas.microsoft.com/office/excel/2006/main">
          <x14:cfRule type="expression" priority="4702988" id="{AB32E790-6CD8-4D11-9A69-57D785FE4BBC}">
            <xm:f>$BK$4='Data entry'!$R71</xm:f>
            <x14:dxf>
              <fill>
                <patternFill>
                  <bgColor rgb="FFFFFF00"/>
                </patternFill>
              </fill>
            </x14:dxf>
          </x14:cfRule>
          <xm:sqref>AW200:BK200</xm:sqref>
        </x14:conditionalFormatting>
        <x14:conditionalFormatting xmlns:xm="http://schemas.microsoft.com/office/excel/2006/main">
          <x14:cfRule type="expression" priority="4702989" id="{99810EB9-805C-43D8-852A-EEECE7874CDB}">
            <xm:f>$BL$4='Data entry'!$R71</xm:f>
            <x14:dxf>
              <fill>
                <patternFill>
                  <bgColor rgb="FFFF0000"/>
                </patternFill>
              </fill>
            </x14:dxf>
          </x14:cfRule>
          <xm:sqref>BJ201:BV201</xm:sqref>
        </x14:conditionalFormatting>
        <x14:conditionalFormatting xmlns:xm="http://schemas.microsoft.com/office/excel/2006/main">
          <x14:cfRule type="expression" priority="4702990" id="{BF5F5475-4E46-479C-97A6-D5175F5D1803}">
            <xm:f>$BL$4='Data entry'!$R71</xm:f>
            <x14:dxf>
              <fill>
                <patternFill>
                  <bgColor rgb="FFFFFF00"/>
                </patternFill>
              </fill>
            </x14:dxf>
          </x14:cfRule>
          <xm:sqref>AX200:BL200</xm:sqref>
        </x14:conditionalFormatting>
        <x14:conditionalFormatting xmlns:xm="http://schemas.microsoft.com/office/excel/2006/main">
          <x14:cfRule type="expression" priority="4702991" id="{B86FDF2F-16C9-46B1-847E-7EA1A8A34B9D}">
            <xm:f>$BM$4='Data entry'!$R71</xm:f>
            <x14:dxf>
              <fill>
                <patternFill>
                  <bgColor rgb="FFFF0000"/>
                </patternFill>
              </fill>
            </x14:dxf>
          </x14:cfRule>
          <xm:sqref>BK201:BW201</xm:sqref>
        </x14:conditionalFormatting>
        <x14:conditionalFormatting xmlns:xm="http://schemas.microsoft.com/office/excel/2006/main">
          <x14:cfRule type="expression" priority="4702992" id="{72FD189F-4CED-400D-9FEF-21A328970A4D}">
            <xm:f>$BM$4='Data entry'!$R71</xm:f>
            <x14:dxf>
              <fill>
                <patternFill>
                  <bgColor rgb="FFFFFF00"/>
                </patternFill>
              </fill>
            </x14:dxf>
          </x14:cfRule>
          <xm:sqref>AY200:BM200</xm:sqref>
        </x14:conditionalFormatting>
        <x14:conditionalFormatting xmlns:xm="http://schemas.microsoft.com/office/excel/2006/main">
          <x14:cfRule type="expression" priority="4702993" id="{BBBBF859-D5A7-4F55-BFBF-8A77E3357590}">
            <xm:f>$BN$4='Data entry'!$R71</xm:f>
            <x14:dxf>
              <fill>
                <patternFill>
                  <bgColor rgb="FFFF0000"/>
                </patternFill>
              </fill>
            </x14:dxf>
          </x14:cfRule>
          <xm:sqref>BL201:BX201</xm:sqref>
        </x14:conditionalFormatting>
        <x14:conditionalFormatting xmlns:xm="http://schemas.microsoft.com/office/excel/2006/main">
          <x14:cfRule type="expression" priority="4702994" id="{50CB1D75-0FD5-4D24-92B1-E8A41DC6575C}">
            <xm:f>$BN$4='Data entry'!$R71</xm:f>
            <x14:dxf>
              <fill>
                <patternFill>
                  <bgColor rgb="FFFFFF00"/>
                </patternFill>
              </fill>
            </x14:dxf>
          </x14:cfRule>
          <xm:sqref>AZ200:BN200</xm:sqref>
        </x14:conditionalFormatting>
        <x14:conditionalFormatting xmlns:xm="http://schemas.microsoft.com/office/excel/2006/main">
          <x14:cfRule type="expression" priority="4702995" id="{9EF3226D-E8FC-496B-A6FF-71776AEA54D1}">
            <xm:f>$BO$4='Data entry'!$R71</xm:f>
            <x14:dxf>
              <fill>
                <patternFill>
                  <bgColor rgb="FFFF0000"/>
                </patternFill>
              </fill>
            </x14:dxf>
          </x14:cfRule>
          <xm:sqref>BM201:BY201</xm:sqref>
        </x14:conditionalFormatting>
        <x14:conditionalFormatting xmlns:xm="http://schemas.microsoft.com/office/excel/2006/main">
          <x14:cfRule type="expression" priority="4702996" id="{3B86C801-ECFE-4D05-8AA5-1581116BAFBC}">
            <xm:f>$BO$4='Data entry'!$R71</xm:f>
            <x14:dxf>
              <fill>
                <patternFill>
                  <bgColor rgb="FFFFFF00"/>
                </patternFill>
              </fill>
            </x14:dxf>
          </x14:cfRule>
          <xm:sqref>BA200:BO200</xm:sqref>
        </x14:conditionalFormatting>
        <x14:conditionalFormatting xmlns:xm="http://schemas.microsoft.com/office/excel/2006/main">
          <x14:cfRule type="expression" priority="4702997" id="{058A23EC-3371-4A02-9F20-1ECA603AC6BC}">
            <xm:f>$BP$4='Data entry'!$R71</xm:f>
            <x14:dxf>
              <fill>
                <patternFill>
                  <bgColor rgb="FFFF0000"/>
                </patternFill>
              </fill>
            </x14:dxf>
          </x14:cfRule>
          <xm:sqref>BN201:BZ201</xm:sqref>
        </x14:conditionalFormatting>
        <x14:conditionalFormatting xmlns:xm="http://schemas.microsoft.com/office/excel/2006/main">
          <x14:cfRule type="expression" priority="4702998" id="{3E711E31-3992-4555-AB22-87133D60CD15}">
            <xm:f>$BP$4='Data entry'!$R71</xm:f>
            <x14:dxf>
              <fill>
                <patternFill>
                  <bgColor rgb="FFFFFF00"/>
                </patternFill>
              </fill>
            </x14:dxf>
          </x14:cfRule>
          <xm:sqref>BB200:BP200</xm:sqref>
        </x14:conditionalFormatting>
        <x14:conditionalFormatting xmlns:xm="http://schemas.microsoft.com/office/excel/2006/main">
          <x14:cfRule type="expression" priority="4702999" id="{23E9F8B9-37D5-4730-9453-6F23E8ECBBE3}">
            <xm:f>$BQ$4='Data entry'!$R71</xm:f>
            <x14:dxf>
              <fill>
                <patternFill>
                  <bgColor rgb="FFFFFF00"/>
                </patternFill>
              </fill>
            </x14:dxf>
          </x14:cfRule>
          <xm:sqref>BC200:BQ200</xm:sqref>
        </x14:conditionalFormatting>
        <x14:conditionalFormatting xmlns:xm="http://schemas.microsoft.com/office/excel/2006/main">
          <x14:cfRule type="expression" priority="4703000" id="{BCFD92F6-AAD3-44FD-BC61-A292A81B883E}">
            <xm:f>$BQ$4='Data entry'!$R71</xm:f>
            <x14:dxf>
              <fill>
                <patternFill>
                  <bgColor rgb="FFFF0000"/>
                </patternFill>
              </fill>
            </x14:dxf>
          </x14:cfRule>
          <xm:sqref>BO201:CA201</xm:sqref>
        </x14:conditionalFormatting>
        <x14:conditionalFormatting xmlns:xm="http://schemas.microsoft.com/office/excel/2006/main">
          <x14:cfRule type="expression" priority="4703001" id="{357D60E5-F356-477E-8020-A18F42C02832}">
            <xm:f>$BR$4='Data entry'!$R71</xm:f>
            <x14:dxf>
              <fill>
                <patternFill>
                  <bgColor rgb="FFFFFF00"/>
                </patternFill>
              </fill>
            </x14:dxf>
          </x14:cfRule>
          <xm:sqref>BD200:BR200</xm:sqref>
        </x14:conditionalFormatting>
        <x14:conditionalFormatting xmlns:xm="http://schemas.microsoft.com/office/excel/2006/main">
          <x14:cfRule type="expression" priority="4703002" id="{DA2B6511-43B3-432D-B6AA-1DB1188B90A6}">
            <xm:f>$BR$4='Data entry'!$R71</xm:f>
            <x14:dxf>
              <fill>
                <patternFill>
                  <bgColor rgb="FFFF0000"/>
                </patternFill>
              </fill>
            </x14:dxf>
          </x14:cfRule>
          <xm:sqref>BP201:CB201</xm:sqref>
        </x14:conditionalFormatting>
        <x14:conditionalFormatting xmlns:xm="http://schemas.microsoft.com/office/excel/2006/main">
          <x14:cfRule type="expression" priority="4703003" id="{0D5F64E4-4136-4BFA-B833-CC8578525D9C}">
            <xm:f>$BS$4='Data entry'!$R71</xm:f>
            <x14:dxf>
              <fill>
                <patternFill>
                  <bgColor rgb="FFFFFF00"/>
                </patternFill>
              </fill>
            </x14:dxf>
          </x14:cfRule>
          <xm:sqref>BE200:BS200</xm:sqref>
        </x14:conditionalFormatting>
        <x14:conditionalFormatting xmlns:xm="http://schemas.microsoft.com/office/excel/2006/main">
          <x14:cfRule type="expression" priority="4703004" id="{AC94D468-F078-4AE2-8771-102996E07B09}">
            <xm:f>$BS$4='Data entry'!$R71</xm:f>
            <x14:dxf>
              <fill>
                <patternFill>
                  <bgColor rgb="FFFF0000"/>
                </patternFill>
              </fill>
            </x14:dxf>
          </x14:cfRule>
          <xm:sqref>BQ201:CC201</xm:sqref>
        </x14:conditionalFormatting>
        <x14:conditionalFormatting xmlns:xm="http://schemas.microsoft.com/office/excel/2006/main">
          <x14:cfRule type="expression" priority="4703005" id="{10E78F76-181E-4F19-9F89-7DD36D3EFE30}">
            <xm:f>$BT$4='Data entry'!$R71</xm:f>
            <x14:dxf>
              <fill>
                <patternFill>
                  <bgColor rgb="FFFFFF00"/>
                </patternFill>
              </fill>
            </x14:dxf>
          </x14:cfRule>
          <xm:sqref>BF200:BT200</xm:sqref>
        </x14:conditionalFormatting>
        <x14:conditionalFormatting xmlns:xm="http://schemas.microsoft.com/office/excel/2006/main">
          <x14:cfRule type="expression" priority="4703006" id="{6A5FADC6-9512-4EFB-90A5-7B5244D10D1F}">
            <xm:f>$BT$4='Data entry'!$R71</xm:f>
            <x14:dxf>
              <fill>
                <patternFill>
                  <bgColor rgb="FFFF0000"/>
                </patternFill>
              </fill>
            </x14:dxf>
          </x14:cfRule>
          <xm:sqref>BR201:CC201</xm:sqref>
        </x14:conditionalFormatting>
        <x14:conditionalFormatting xmlns:xm="http://schemas.microsoft.com/office/excel/2006/main">
          <x14:cfRule type="expression" priority="4703007" id="{A51139D1-8841-4B96-B8CB-DFE3808765CF}">
            <xm:f>$BU$4='Data entry'!$R71</xm:f>
            <x14:dxf>
              <fill>
                <patternFill>
                  <bgColor rgb="FFFFFF00"/>
                </patternFill>
              </fill>
            </x14:dxf>
          </x14:cfRule>
          <xm:sqref>BG200:BU200</xm:sqref>
        </x14:conditionalFormatting>
        <x14:conditionalFormatting xmlns:xm="http://schemas.microsoft.com/office/excel/2006/main">
          <x14:cfRule type="expression" priority="4703008" id="{55CA7258-760F-4BFF-ACB5-A70FEB3E7981}">
            <xm:f>$BU$4='Data entry'!$R71</xm:f>
            <x14:dxf>
              <fill>
                <patternFill>
                  <bgColor rgb="FFFF0000"/>
                </patternFill>
              </fill>
            </x14:dxf>
          </x14:cfRule>
          <xm:sqref>BS201:CC201</xm:sqref>
        </x14:conditionalFormatting>
        <x14:conditionalFormatting xmlns:xm="http://schemas.microsoft.com/office/excel/2006/main">
          <x14:cfRule type="expression" priority="4703009" id="{A922B218-64DB-4CBB-9AB8-FE0EBB44E09E}">
            <xm:f>$BV$4='Data entry'!$R71</xm:f>
            <x14:dxf>
              <fill>
                <patternFill>
                  <bgColor rgb="FFFFFF00"/>
                </patternFill>
              </fill>
            </x14:dxf>
          </x14:cfRule>
          <xm:sqref>BH200:BV200</xm:sqref>
        </x14:conditionalFormatting>
        <x14:conditionalFormatting xmlns:xm="http://schemas.microsoft.com/office/excel/2006/main">
          <x14:cfRule type="expression" priority="4703010" id="{C98E908A-CD31-4778-B41C-7AFB9DBE639A}">
            <xm:f>$BV$4='Data entry'!$R71</xm:f>
            <x14:dxf>
              <fill>
                <patternFill>
                  <bgColor rgb="FFFF0000"/>
                </patternFill>
              </fill>
            </x14:dxf>
          </x14:cfRule>
          <xm:sqref>BT201:CC201</xm:sqref>
        </x14:conditionalFormatting>
        <x14:conditionalFormatting xmlns:xm="http://schemas.microsoft.com/office/excel/2006/main">
          <x14:cfRule type="expression" priority="4703011" id="{465CCCA3-B4DB-4B61-8AC7-8A5E4CEC9E3F}">
            <xm:f>$BW$4='Data entry'!$R71</xm:f>
            <x14:dxf>
              <fill>
                <patternFill>
                  <bgColor rgb="FFFFFF00"/>
                </patternFill>
              </fill>
            </x14:dxf>
          </x14:cfRule>
          <xm:sqref>BI200:BW200</xm:sqref>
        </x14:conditionalFormatting>
        <x14:conditionalFormatting xmlns:xm="http://schemas.microsoft.com/office/excel/2006/main">
          <x14:cfRule type="expression" priority="4703012" id="{37566F97-6D06-400B-A709-FE657B07687F}">
            <xm:f>$BW$4='Data entry'!$R71</xm:f>
            <x14:dxf>
              <fill>
                <patternFill>
                  <bgColor rgb="FFFF0000"/>
                </patternFill>
              </fill>
            </x14:dxf>
          </x14:cfRule>
          <xm:sqref>BU201:CC201</xm:sqref>
        </x14:conditionalFormatting>
        <x14:conditionalFormatting xmlns:xm="http://schemas.microsoft.com/office/excel/2006/main">
          <x14:cfRule type="expression" priority="4703013" id="{D8FBA3AC-5CF0-4E45-97CA-1D4DEE729ADA}">
            <xm:f>$BX$4='Data entry'!$R71</xm:f>
            <x14:dxf>
              <fill>
                <patternFill>
                  <bgColor rgb="FFFFFF00"/>
                </patternFill>
              </fill>
            </x14:dxf>
          </x14:cfRule>
          <xm:sqref>BJ200:BX200</xm:sqref>
        </x14:conditionalFormatting>
        <x14:conditionalFormatting xmlns:xm="http://schemas.microsoft.com/office/excel/2006/main">
          <x14:cfRule type="expression" priority="4703014" id="{E077C84B-A94F-431D-B232-4AFCC7C64F54}">
            <xm:f>$BX$4='Data entry'!$R71</xm:f>
            <x14:dxf>
              <fill>
                <patternFill>
                  <bgColor rgb="FFFF0000"/>
                </patternFill>
              </fill>
            </x14:dxf>
          </x14:cfRule>
          <xm:sqref>BV201:CC201</xm:sqref>
        </x14:conditionalFormatting>
        <x14:conditionalFormatting xmlns:xm="http://schemas.microsoft.com/office/excel/2006/main">
          <x14:cfRule type="expression" priority="4703015" id="{63783BA8-0C97-4A44-86FD-7A2BCF1B9957}">
            <xm:f>$BY$4='Data entry'!$R71</xm:f>
            <x14:dxf>
              <fill>
                <patternFill>
                  <bgColor rgb="FFFFFF00"/>
                </patternFill>
              </fill>
            </x14:dxf>
          </x14:cfRule>
          <xm:sqref>BK200:BY200</xm:sqref>
        </x14:conditionalFormatting>
        <x14:conditionalFormatting xmlns:xm="http://schemas.microsoft.com/office/excel/2006/main">
          <x14:cfRule type="expression" priority="4703016" id="{BB8DB8B4-B71B-46D2-AEE7-346F16103F74}">
            <xm:f>$BY$4='Data entry'!$R71</xm:f>
            <x14:dxf>
              <fill>
                <patternFill>
                  <bgColor rgb="FFFF0000"/>
                </patternFill>
              </fill>
            </x14:dxf>
          </x14:cfRule>
          <xm:sqref>BW201:CC201</xm:sqref>
        </x14:conditionalFormatting>
        <x14:conditionalFormatting xmlns:xm="http://schemas.microsoft.com/office/excel/2006/main">
          <x14:cfRule type="expression" priority="4703017" id="{1B638B98-2B06-4FEB-90C1-446A3E0A3979}">
            <xm:f>$BZ$4='Data entry'!$R71</xm:f>
            <x14:dxf>
              <fill>
                <patternFill>
                  <bgColor rgb="FFFFFF00"/>
                </patternFill>
              </fill>
            </x14:dxf>
          </x14:cfRule>
          <xm:sqref>BL200:BZ200</xm:sqref>
        </x14:conditionalFormatting>
        <x14:conditionalFormatting xmlns:xm="http://schemas.microsoft.com/office/excel/2006/main">
          <x14:cfRule type="expression" priority="4703018" id="{D3A0A2F8-D1B2-4DC5-B2A9-0EF53074E685}">
            <xm:f>$BZ$4='Data entry'!$R71</xm:f>
            <x14:dxf>
              <fill>
                <patternFill>
                  <bgColor rgb="FFFF0000"/>
                </patternFill>
              </fill>
            </x14:dxf>
          </x14:cfRule>
          <xm:sqref>BX201:CC201</xm:sqref>
        </x14:conditionalFormatting>
        <x14:conditionalFormatting xmlns:xm="http://schemas.microsoft.com/office/excel/2006/main">
          <x14:cfRule type="expression" priority="4703019" id="{83F6D018-7D3B-4D33-9998-11572F2F2FF5}">
            <xm:f>$CA$4='Data entry'!$R71</xm:f>
            <x14:dxf>
              <fill>
                <patternFill>
                  <bgColor rgb="FFFFFF00"/>
                </patternFill>
              </fill>
            </x14:dxf>
          </x14:cfRule>
          <xm:sqref>BM200:CA200</xm:sqref>
        </x14:conditionalFormatting>
        <x14:conditionalFormatting xmlns:xm="http://schemas.microsoft.com/office/excel/2006/main">
          <x14:cfRule type="expression" priority="4703020" id="{8E6D0B51-5626-4ED9-9072-C7A2C139704F}">
            <xm:f>$CA$4='Data entry'!$R71</xm:f>
            <x14:dxf>
              <fill>
                <patternFill>
                  <bgColor rgb="FFFF0000"/>
                </patternFill>
              </fill>
            </x14:dxf>
          </x14:cfRule>
          <xm:sqref>BY201:CC201</xm:sqref>
        </x14:conditionalFormatting>
        <x14:conditionalFormatting xmlns:xm="http://schemas.microsoft.com/office/excel/2006/main">
          <x14:cfRule type="expression" priority="4703021" id="{E1886EE4-3BDE-43A9-9F4B-79377FEC37FE}">
            <xm:f>$CB$4='Data entry'!$R71</xm:f>
            <x14:dxf>
              <fill>
                <patternFill>
                  <bgColor rgb="FFFFFF00"/>
                </patternFill>
              </fill>
            </x14:dxf>
          </x14:cfRule>
          <xm:sqref>BN200:CB200</xm:sqref>
        </x14:conditionalFormatting>
        <x14:conditionalFormatting xmlns:xm="http://schemas.microsoft.com/office/excel/2006/main">
          <x14:cfRule type="expression" priority="4703022" id="{ADEF572A-6C18-4602-BB86-01C96D36E07E}">
            <xm:f>$CB$4='Data entry'!$R71</xm:f>
            <x14:dxf>
              <fill>
                <patternFill>
                  <bgColor rgb="FFFF0000"/>
                </patternFill>
              </fill>
            </x14:dxf>
          </x14:cfRule>
          <xm:sqref>BZ201:CC201</xm:sqref>
        </x14:conditionalFormatting>
        <x14:conditionalFormatting xmlns:xm="http://schemas.microsoft.com/office/excel/2006/main">
          <x14:cfRule type="expression" priority="4703023" id="{7984E1C9-E073-4955-8543-62145CB6D008}">
            <xm:f>$CC$4='Data entry'!$R71</xm:f>
            <x14:dxf>
              <fill>
                <patternFill>
                  <bgColor rgb="FFFFFF00"/>
                </patternFill>
              </fill>
            </x14:dxf>
          </x14:cfRule>
          <xm:sqref>BO200:CC200</xm:sqref>
        </x14:conditionalFormatting>
        <x14:conditionalFormatting xmlns:xm="http://schemas.microsoft.com/office/excel/2006/main">
          <x14:cfRule type="expression" priority="4703024" id="{18A957B3-59FA-4698-BA92-2A208FF18E2F}">
            <xm:f>$CC$4='Data entry'!$R71</xm:f>
            <x14:dxf>
              <fill>
                <patternFill>
                  <bgColor rgb="FFFF0000"/>
                </patternFill>
              </fill>
            </x14:dxf>
          </x14:cfRule>
          <xm:sqref>CA201:CC201</xm:sqref>
        </x14:conditionalFormatting>
        <x14:conditionalFormatting xmlns:xm="http://schemas.microsoft.com/office/excel/2006/main">
          <x14:cfRule type="expression" priority="4703111" id="{5B0DB825-B7C2-40AC-B7EF-F267F054CFB9}">
            <xm:f>$U$4='Data entry'!$R72</xm:f>
            <x14:dxf>
              <fill>
                <patternFill>
                  <bgColor rgb="FFFF0000"/>
                </patternFill>
              </fill>
            </x14:dxf>
          </x14:cfRule>
          <xm:sqref>S204:AE204</xm:sqref>
        </x14:conditionalFormatting>
        <x14:conditionalFormatting xmlns:xm="http://schemas.microsoft.com/office/excel/2006/main">
          <x14:cfRule type="expression" priority="4703112" id="{18311200-E2BB-400F-B594-3B9A2C6068C2}">
            <xm:f>$V$4='Data entry'!$R72</xm:f>
            <x14:dxf>
              <fill>
                <patternFill>
                  <bgColor rgb="FFFF0000"/>
                </patternFill>
              </fill>
            </x14:dxf>
          </x14:cfRule>
          <xm:sqref>T204:AF204</xm:sqref>
        </x14:conditionalFormatting>
        <x14:conditionalFormatting xmlns:xm="http://schemas.microsoft.com/office/excel/2006/main">
          <x14:cfRule type="expression" priority="4703113" id="{D6DFB621-1A58-4C59-A987-ECAD0EB2D32B}">
            <xm:f>$V$4='Data entry'!$R72</xm:f>
            <x14:dxf>
              <fill>
                <patternFill>
                  <bgColor rgb="FFFFFF00"/>
                </patternFill>
              </fill>
            </x14:dxf>
          </x14:cfRule>
          <xm:sqref>H203:V203</xm:sqref>
        </x14:conditionalFormatting>
        <x14:conditionalFormatting xmlns:xm="http://schemas.microsoft.com/office/excel/2006/main">
          <x14:cfRule type="expression" priority="4703114" id="{5F87A680-DC5F-433D-A779-B7A534ACCDA9}">
            <xm:f>$W$4='Data entry'!$R72</xm:f>
            <x14:dxf>
              <fill>
                <patternFill>
                  <bgColor rgb="FFFF0000"/>
                </patternFill>
              </fill>
            </x14:dxf>
          </x14:cfRule>
          <xm:sqref>U204:AG204</xm:sqref>
        </x14:conditionalFormatting>
        <x14:conditionalFormatting xmlns:xm="http://schemas.microsoft.com/office/excel/2006/main">
          <x14:cfRule type="expression" priority="4703115" id="{964539FF-A92C-4F68-B268-B7157A32678C}">
            <xm:f>$W$4='Data entry'!$R72</xm:f>
            <x14:dxf>
              <fill>
                <patternFill>
                  <bgColor rgb="FFFFFF00"/>
                </patternFill>
              </fill>
            </x14:dxf>
          </x14:cfRule>
          <xm:sqref>I203:W203</xm:sqref>
        </x14:conditionalFormatting>
        <x14:conditionalFormatting xmlns:xm="http://schemas.microsoft.com/office/excel/2006/main">
          <x14:cfRule type="expression" priority="4703116" id="{46C1533A-F090-4A90-9309-3F59EC3FD3B0}">
            <xm:f>$X$4='Data entry'!$R72</xm:f>
            <x14:dxf>
              <fill>
                <patternFill>
                  <bgColor rgb="FFFF0000"/>
                </patternFill>
              </fill>
            </x14:dxf>
          </x14:cfRule>
          <xm:sqref>V204:AH204</xm:sqref>
        </x14:conditionalFormatting>
        <x14:conditionalFormatting xmlns:xm="http://schemas.microsoft.com/office/excel/2006/main">
          <x14:cfRule type="expression" priority="4703117" id="{7C70E81C-DDD4-4D75-933A-4F6A39893184}">
            <xm:f>$X$4='Data entry'!$R72</xm:f>
            <x14:dxf>
              <fill>
                <patternFill>
                  <bgColor rgb="FFFFFF00"/>
                </patternFill>
              </fill>
            </x14:dxf>
          </x14:cfRule>
          <xm:sqref>J203:X203</xm:sqref>
        </x14:conditionalFormatting>
        <x14:conditionalFormatting xmlns:xm="http://schemas.microsoft.com/office/excel/2006/main">
          <x14:cfRule type="expression" priority="4703118" id="{561AF073-0EF8-4B72-A119-40A639C4359D}">
            <xm:f>$Y$4='Data entry'!$R72</xm:f>
            <x14:dxf>
              <fill>
                <patternFill>
                  <bgColor rgb="FFFF0000"/>
                </patternFill>
              </fill>
            </x14:dxf>
          </x14:cfRule>
          <xm:sqref>W204:AI204</xm:sqref>
        </x14:conditionalFormatting>
        <x14:conditionalFormatting xmlns:xm="http://schemas.microsoft.com/office/excel/2006/main">
          <x14:cfRule type="expression" priority="4703119" id="{F242E808-8F07-4A89-9524-7D4C767CE357}">
            <xm:f>$Y$4='Data entry'!$R72</xm:f>
            <x14:dxf>
              <fill>
                <patternFill>
                  <bgColor rgb="FFFFFF00"/>
                </patternFill>
              </fill>
            </x14:dxf>
          </x14:cfRule>
          <xm:sqref>K203:Y203</xm:sqref>
        </x14:conditionalFormatting>
        <x14:conditionalFormatting xmlns:xm="http://schemas.microsoft.com/office/excel/2006/main">
          <x14:cfRule type="expression" priority="4703120" id="{DD601058-982B-4218-BD9D-64BB823C2633}">
            <xm:f>$Z$4='Data entry'!$R72</xm:f>
            <x14:dxf>
              <fill>
                <patternFill>
                  <bgColor rgb="FFFF0000"/>
                </patternFill>
              </fill>
            </x14:dxf>
          </x14:cfRule>
          <xm:sqref>X204:AJ204</xm:sqref>
        </x14:conditionalFormatting>
        <x14:conditionalFormatting xmlns:xm="http://schemas.microsoft.com/office/excel/2006/main">
          <x14:cfRule type="expression" priority="4703121" id="{C9DB141D-79F6-4093-92A3-7BF7A1622985}">
            <xm:f>$Z$4='Data entry'!$R72</xm:f>
            <x14:dxf>
              <fill>
                <patternFill>
                  <bgColor rgb="FFFFFF00"/>
                </patternFill>
              </fill>
            </x14:dxf>
          </x14:cfRule>
          <xm:sqref>L203:Z203</xm:sqref>
        </x14:conditionalFormatting>
        <x14:conditionalFormatting xmlns:xm="http://schemas.microsoft.com/office/excel/2006/main">
          <x14:cfRule type="expression" priority="4703122" id="{710EB8D3-F5C0-4E3C-8214-2D0C4E26F649}">
            <xm:f>$AA$4='Data entry'!$R72</xm:f>
            <x14:dxf>
              <fill>
                <patternFill>
                  <bgColor rgb="FFFF0000"/>
                </patternFill>
              </fill>
            </x14:dxf>
          </x14:cfRule>
          <xm:sqref>Y204:AK204</xm:sqref>
        </x14:conditionalFormatting>
        <x14:conditionalFormatting xmlns:xm="http://schemas.microsoft.com/office/excel/2006/main">
          <x14:cfRule type="expression" priority="4703123" id="{33825D69-C967-4D27-B395-5D44A3083802}">
            <xm:f>$AA$4='Data entry'!$R72</xm:f>
            <x14:dxf>
              <fill>
                <patternFill>
                  <bgColor rgb="FFFFFF00"/>
                </patternFill>
              </fill>
            </x14:dxf>
          </x14:cfRule>
          <xm:sqref>M203:AA203</xm:sqref>
        </x14:conditionalFormatting>
        <x14:conditionalFormatting xmlns:xm="http://schemas.microsoft.com/office/excel/2006/main">
          <x14:cfRule type="expression" priority="4703124" id="{9811A97D-351B-4D32-8754-AF433277E62B}">
            <xm:f>$AB$4='Data entry'!$R72</xm:f>
            <x14:dxf>
              <fill>
                <patternFill>
                  <bgColor rgb="FFFF0000"/>
                </patternFill>
              </fill>
            </x14:dxf>
          </x14:cfRule>
          <xm:sqref>Z204:AL204</xm:sqref>
        </x14:conditionalFormatting>
        <x14:conditionalFormatting xmlns:xm="http://schemas.microsoft.com/office/excel/2006/main">
          <x14:cfRule type="expression" priority="4703125" id="{6DD3E556-C72E-438B-92DA-3096ED1E4178}">
            <xm:f>$AB$4='Data entry'!$R72</xm:f>
            <x14:dxf>
              <fill>
                <patternFill>
                  <bgColor rgb="FFFFFF00"/>
                </patternFill>
              </fill>
            </x14:dxf>
          </x14:cfRule>
          <xm:sqref>N203:AB203</xm:sqref>
        </x14:conditionalFormatting>
        <x14:conditionalFormatting xmlns:xm="http://schemas.microsoft.com/office/excel/2006/main">
          <x14:cfRule type="expression" priority="4703126" id="{C0DF7A1B-D6BC-4371-BD3A-F0708147FA1C}">
            <xm:f>$AC$4='Data entry'!$R72</xm:f>
            <x14:dxf>
              <fill>
                <patternFill>
                  <bgColor rgb="FFFF0000"/>
                </patternFill>
              </fill>
            </x14:dxf>
          </x14:cfRule>
          <xm:sqref>AA204:AM204</xm:sqref>
        </x14:conditionalFormatting>
        <x14:conditionalFormatting xmlns:xm="http://schemas.microsoft.com/office/excel/2006/main">
          <x14:cfRule type="expression" priority="4703127" id="{DB2E1F48-AF0E-41F9-A976-6B1963CA5711}">
            <xm:f>$AC$4='Data entry'!$R72</xm:f>
            <x14:dxf>
              <fill>
                <patternFill>
                  <bgColor rgb="FFFFFF00"/>
                </patternFill>
              </fill>
            </x14:dxf>
          </x14:cfRule>
          <xm:sqref>O203:AC203</xm:sqref>
        </x14:conditionalFormatting>
        <x14:conditionalFormatting xmlns:xm="http://schemas.microsoft.com/office/excel/2006/main">
          <x14:cfRule type="expression" priority="4703128" id="{89909907-F9A9-4AF9-BC1D-304710A43F50}">
            <xm:f>$AD$4='Data entry'!$R72</xm:f>
            <x14:dxf>
              <fill>
                <patternFill>
                  <bgColor rgb="FFFF0000"/>
                </patternFill>
              </fill>
            </x14:dxf>
          </x14:cfRule>
          <xm:sqref>AB204:AN204</xm:sqref>
        </x14:conditionalFormatting>
        <x14:conditionalFormatting xmlns:xm="http://schemas.microsoft.com/office/excel/2006/main">
          <x14:cfRule type="expression" priority="4703129" id="{729676B7-E331-43A4-ACC9-850DCEE76A0E}">
            <xm:f>$AD$4='Data entry'!$R72</xm:f>
            <x14:dxf>
              <fill>
                <patternFill>
                  <bgColor rgb="FFFFFF00"/>
                </patternFill>
              </fill>
            </x14:dxf>
          </x14:cfRule>
          <xm:sqref>P203:AD203</xm:sqref>
        </x14:conditionalFormatting>
        <x14:conditionalFormatting xmlns:xm="http://schemas.microsoft.com/office/excel/2006/main">
          <x14:cfRule type="expression" priority="4703130" id="{00DA2C55-350E-44AA-ABEA-808FABFDA737}">
            <xm:f>$AE$4='Data entry'!$R72</xm:f>
            <x14:dxf>
              <fill>
                <patternFill>
                  <bgColor rgb="FFFF0000"/>
                </patternFill>
              </fill>
            </x14:dxf>
          </x14:cfRule>
          <xm:sqref>AC204:AO204</xm:sqref>
        </x14:conditionalFormatting>
        <x14:conditionalFormatting xmlns:xm="http://schemas.microsoft.com/office/excel/2006/main">
          <x14:cfRule type="expression" priority="4703131" id="{373C95F1-00C1-45E9-B561-5224945BA4A4}">
            <xm:f>$AE$4='Data entry'!$R72</xm:f>
            <x14:dxf>
              <fill>
                <patternFill>
                  <bgColor rgb="FFFFFF00"/>
                </patternFill>
              </fill>
            </x14:dxf>
          </x14:cfRule>
          <xm:sqref>Q203:AE203</xm:sqref>
        </x14:conditionalFormatting>
        <x14:conditionalFormatting xmlns:xm="http://schemas.microsoft.com/office/excel/2006/main">
          <x14:cfRule type="expression" priority="4703132" id="{65E90E74-6BEF-4B00-BD5E-ECACFEBC225A}">
            <xm:f>$AF$4='Data entry'!$R72</xm:f>
            <x14:dxf>
              <fill>
                <patternFill>
                  <bgColor rgb="FFFF0000"/>
                </patternFill>
              </fill>
            </x14:dxf>
          </x14:cfRule>
          <xm:sqref>AD204:AP204</xm:sqref>
        </x14:conditionalFormatting>
        <x14:conditionalFormatting xmlns:xm="http://schemas.microsoft.com/office/excel/2006/main">
          <x14:cfRule type="expression" priority="4703133" id="{56B519D7-E083-4811-B42B-D6CB10D44BB3}">
            <xm:f>$AF$4='Data entry'!$R72</xm:f>
            <x14:dxf>
              <fill>
                <patternFill>
                  <bgColor rgb="FFFFFF00"/>
                </patternFill>
              </fill>
            </x14:dxf>
          </x14:cfRule>
          <xm:sqref>R203:AF203</xm:sqref>
        </x14:conditionalFormatting>
        <x14:conditionalFormatting xmlns:xm="http://schemas.microsoft.com/office/excel/2006/main">
          <x14:cfRule type="expression" priority="4703134" id="{889682B6-BF9B-414B-86B7-1C802156B058}">
            <xm:f>$AG$4='Data entry'!$R72</xm:f>
            <x14:dxf>
              <fill>
                <patternFill>
                  <bgColor rgb="FFFF0000"/>
                </patternFill>
              </fill>
            </x14:dxf>
          </x14:cfRule>
          <xm:sqref>AE204:AQ204</xm:sqref>
        </x14:conditionalFormatting>
        <x14:conditionalFormatting xmlns:xm="http://schemas.microsoft.com/office/excel/2006/main">
          <x14:cfRule type="expression" priority="4703135" id="{19913D88-1940-4CB0-B29C-D46D60833BD5}">
            <xm:f>$AG$4='Data entry'!$R72</xm:f>
            <x14:dxf>
              <fill>
                <patternFill>
                  <bgColor rgb="FFFFFF00"/>
                </patternFill>
              </fill>
            </x14:dxf>
          </x14:cfRule>
          <xm:sqref>S203:AG203</xm:sqref>
        </x14:conditionalFormatting>
        <x14:conditionalFormatting xmlns:xm="http://schemas.microsoft.com/office/excel/2006/main">
          <x14:cfRule type="expression" priority="4703136" id="{3DD7B9A5-18A3-463F-BAD5-9796FC487328}">
            <xm:f>$AH$4='Data entry'!$R72</xm:f>
            <x14:dxf>
              <fill>
                <patternFill>
                  <bgColor rgb="FFFF0000"/>
                </patternFill>
              </fill>
            </x14:dxf>
          </x14:cfRule>
          <xm:sqref>AF204:AR204</xm:sqref>
        </x14:conditionalFormatting>
        <x14:conditionalFormatting xmlns:xm="http://schemas.microsoft.com/office/excel/2006/main">
          <x14:cfRule type="expression" priority="4703137" id="{31005CF4-5608-496E-91EB-F7F505046C80}">
            <xm:f>$AH$4='Data entry'!$R72</xm:f>
            <x14:dxf>
              <fill>
                <patternFill>
                  <bgColor rgb="FFFFFF00"/>
                </patternFill>
              </fill>
            </x14:dxf>
          </x14:cfRule>
          <xm:sqref>T203:AH203</xm:sqref>
        </x14:conditionalFormatting>
        <x14:conditionalFormatting xmlns:xm="http://schemas.microsoft.com/office/excel/2006/main">
          <x14:cfRule type="expression" priority="4703138" id="{CD14F654-5B7A-444F-8FC1-7DD71E76E475}">
            <xm:f>$AI$4='Data entry'!$R72</xm:f>
            <x14:dxf>
              <fill>
                <patternFill>
                  <bgColor rgb="FFFF0000"/>
                </patternFill>
              </fill>
            </x14:dxf>
          </x14:cfRule>
          <xm:sqref>AG204:AS204</xm:sqref>
        </x14:conditionalFormatting>
        <x14:conditionalFormatting xmlns:xm="http://schemas.microsoft.com/office/excel/2006/main">
          <x14:cfRule type="expression" priority="4703139" id="{0E4E448C-6C46-4285-B877-A61A90294385}">
            <xm:f>$AI$4='Data entry'!$R72</xm:f>
            <x14:dxf>
              <fill>
                <patternFill>
                  <bgColor rgb="FFFFFF00"/>
                </patternFill>
              </fill>
            </x14:dxf>
          </x14:cfRule>
          <xm:sqref>U203:AI203</xm:sqref>
        </x14:conditionalFormatting>
        <x14:conditionalFormatting xmlns:xm="http://schemas.microsoft.com/office/excel/2006/main">
          <x14:cfRule type="expression" priority="4703140" id="{B1C1818F-791C-403D-BE73-6F6E9DC6A16D}">
            <xm:f>$AJ$4='Data entry'!$R72</xm:f>
            <x14:dxf>
              <fill>
                <patternFill>
                  <bgColor rgb="FFFF0000"/>
                </patternFill>
              </fill>
            </x14:dxf>
          </x14:cfRule>
          <xm:sqref>AH204:AT204</xm:sqref>
        </x14:conditionalFormatting>
        <x14:conditionalFormatting xmlns:xm="http://schemas.microsoft.com/office/excel/2006/main">
          <x14:cfRule type="expression" priority="4703141" id="{A1237792-221B-431B-B8A7-E9A64DA46D93}">
            <xm:f>$AJ$4='Data entry'!$R72</xm:f>
            <x14:dxf>
              <fill>
                <patternFill>
                  <bgColor rgb="FFFFFF00"/>
                </patternFill>
              </fill>
            </x14:dxf>
          </x14:cfRule>
          <xm:sqref>V203:AJ203</xm:sqref>
        </x14:conditionalFormatting>
        <x14:conditionalFormatting xmlns:xm="http://schemas.microsoft.com/office/excel/2006/main">
          <x14:cfRule type="expression" priority="4703142" id="{617DC2AF-C7A3-4724-8EA3-17DEFEDC8949}">
            <xm:f>$AK$4='Data entry'!$R72</xm:f>
            <x14:dxf>
              <fill>
                <patternFill>
                  <bgColor rgb="FFFF0000"/>
                </patternFill>
              </fill>
            </x14:dxf>
          </x14:cfRule>
          <xm:sqref>AI204:AU204</xm:sqref>
        </x14:conditionalFormatting>
        <x14:conditionalFormatting xmlns:xm="http://schemas.microsoft.com/office/excel/2006/main">
          <x14:cfRule type="expression" priority="4703143" id="{AA72317D-37B1-48EB-A28B-BF2AC8DC4519}">
            <xm:f>$AK$4='Data entry'!$R72</xm:f>
            <x14:dxf>
              <fill>
                <patternFill>
                  <bgColor rgb="FFFFFF00"/>
                </patternFill>
              </fill>
            </x14:dxf>
          </x14:cfRule>
          <xm:sqref>W203:AK203</xm:sqref>
        </x14:conditionalFormatting>
        <x14:conditionalFormatting xmlns:xm="http://schemas.microsoft.com/office/excel/2006/main">
          <x14:cfRule type="expression" priority="4703144" id="{6CA9FB7A-20EA-4D3A-B74C-A001F4BE810D}">
            <xm:f>$AL$4='Data entry'!$R72</xm:f>
            <x14:dxf>
              <fill>
                <patternFill>
                  <bgColor rgb="FFFF0000"/>
                </patternFill>
              </fill>
            </x14:dxf>
          </x14:cfRule>
          <xm:sqref>AJ204:AV204</xm:sqref>
        </x14:conditionalFormatting>
        <x14:conditionalFormatting xmlns:xm="http://schemas.microsoft.com/office/excel/2006/main">
          <x14:cfRule type="expression" priority="4703145" id="{81A75DAA-573F-4EF3-A640-1B992C18BEA0}">
            <xm:f>$AL$4='Data entry'!$R72</xm:f>
            <x14:dxf>
              <fill>
                <patternFill>
                  <bgColor rgb="FFFFFF00"/>
                </patternFill>
              </fill>
            </x14:dxf>
          </x14:cfRule>
          <xm:sqref>X203:AL203</xm:sqref>
        </x14:conditionalFormatting>
        <x14:conditionalFormatting xmlns:xm="http://schemas.microsoft.com/office/excel/2006/main">
          <x14:cfRule type="expression" priority="4703146" id="{3D44713E-4ABA-4CCD-9DF4-5513A9FB5E1E}">
            <xm:f>$AM$4='Data entry'!$R72</xm:f>
            <x14:dxf>
              <fill>
                <patternFill>
                  <bgColor rgb="FFFF0000"/>
                </patternFill>
              </fill>
            </x14:dxf>
          </x14:cfRule>
          <xm:sqref>AK204:AW204</xm:sqref>
        </x14:conditionalFormatting>
        <x14:conditionalFormatting xmlns:xm="http://schemas.microsoft.com/office/excel/2006/main">
          <x14:cfRule type="expression" priority="4703147" id="{05A26B51-72A7-4423-822F-2BDBC28275D0}">
            <xm:f>$AM$4='Data entry'!$R72</xm:f>
            <x14:dxf>
              <fill>
                <patternFill>
                  <bgColor rgb="FFFFFF00"/>
                </patternFill>
              </fill>
            </x14:dxf>
          </x14:cfRule>
          <xm:sqref>Y203:AM203</xm:sqref>
        </x14:conditionalFormatting>
        <x14:conditionalFormatting xmlns:xm="http://schemas.microsoft.com/office/excel/2006/main">
          <x14:cfRule type="expression" priority="4703148" id="{B8A20675-6230-4694-A7F6-6B3DC7142773}">
            <xm:f>$AN$4='Data entry'!$R72</xm:f>
            <x14:dxf>
              <fill>
                <patternFill>
                  <bgColor rgb="FFFF0000"/>
                </patternFill>
              </fill>
            </x14:dxf>
          </x14:cfRule>
          <xm:sqref>AL204:AX204</xm:sqref>
        </x14:conditionalFormatting>
        <x14:conditionalFormatting xmlns:xm="http://schemas.microsoft.com/office/excel/2006/main">
          <x14:cfRule type="expression" priority="4703149" id="{8421181C-7450-42E9-BC1D-065CCFCA960E}">
            <xm:f>$AN$4='Data entry'!$R72</xm:f>
            <x14:dxf>
              <fill>
                <patternFill>
                  <bgColor rgb="FFFFFF00"/>
                </patternFill>
              </fill>
            </x14:dxf>
          </x14:cfRule>
          <xm:sqref>Z203:AN203</xm:sqref>
        </x14:conditionalFormatting>
        <x14:conditionalFormatting xmlns:xm="http://schemas.microsoft.com/office/excel/2006/main">
          <x14:cfRule type="expression" priority="4703150" id="{067FE4BD-6EF4-4684-B6E0-35AB2F267EE7}">
            <xm:f>$AO$4='Data entry'!$R72</xm:f>
            <x14:dxf>
              <fill>
                <patternFill>
                  <bgColor rgb="FFFF0000"/>
                </patternFill>
              </fill>
            </x14:dxf>
          </x14:cfRule>
          <xm:sqref>AM204:AY204</xm:sqref>
        </x14:conditionalFormatting>
        <x14:conditionalFormatting xmlns:xm="http://schemas.microsoft.com/office/excel/2006/main">
          <x14:cfRule type="expression" priority="4703151" id="{F7653492-88D1-47AC-8BA3-0CCE65C3C2AB}">
            <xm:f>$AO$4='Data entry'!$R72</xm:f>
            <x14:dxf>
              <fill>
                <patternFill>
                  <bgColor rgb="FFFFFF00"/>
                </patternFill>
              </fill>
            </x14:dxf>
          </x14:cfRule>
          <xm:sqref>AA203:AO203</xm:sqref>
        </x14:conditionalFormatting>
        <x14:conditionalFormatting xmlns:xm="http://schemas.microsoft.com/office/excel/2006/main">
          <x14:cfRule type="expression" priority="4703152" id="{207A5E5D-B322-482E-9193-1D7318138358}">
            <xm:f>$AP$4='Data entry'!$R72</xm:f>
            <x14:dxf>
              <fill>
                <patternFill>
                  <bgColor rgb="FFFF0000"/>
                </patternFill>
              </fill>
            </x14:dxf>
          </x14:cfRule>
          <xm:sqref>AN204:AZ204</xm:sqref>
        </x14:conditionalFormatting>
        <x14:conditionalFormatting xmlns:xm="http://schemas.microsoft.com/office/excel/2006/main">
          <x14:cfRule type="expression" priority="4703153" id="{21DA638D-4CA0-4067-BFF1-240CE1A0261B}">
            <xm:f>$AP$4='Data entry'!$R72</xm:f>
            <x14:dxf>
              <fill>
                <patternFill>
                  <bgColor rgb="FFFFFF00"/>
                </patternFill>
              </fill>
            </x14:dxf>
          </x14:cfRule>
          <xm:sqref>AB203:AP203</xm:sqref>
        </x14:conditionalFormatting>
        <x14:conditionalFormatting xmlns:xm="http://schemas.microsoft.com/office/excel/2006/main">
          <x14:cfRule type="expression" priority="4703154" id="{71963D96-A42A-4B90-BFC7-6D83D37766EF}">
            <xm:f>$AQ$4='Data entry'!$R72</xm:f>
            <x14:dxf>
              <fill>
                <patternFill>
                  <bgColor rgb="FFFF0000"/>
                </patternFill>
              </fill>
            </x14:dxf>
          </x14:cfRule>
          <xm:sqref>AO204:BA204</xm:sqref>
        </x14:conditionalFormatting>
        <x14:conditionalFormatting xmlns:xm="http://schemas.microsoft.com/office/excel/2006/main">
          <x14:cfRule type="expression" priority="4703155" id="{74952595-84B6-484F-8FF6-FCC1F337DF4D}">
            <xm:f>$AQ$4='Data entry'!$R72</xm:f>
            <x14:dxf>
              <fill>
                <patternFill>
                  <bgColor rgb="FFFFFF00"/>
                </patternFill>
              </fill>
            </x14:dxf>
          </x14:cfRule>
          <xm:sqref>AC203:AQ203</xm:sqref>
        </x14:conditionalFormatting>
        <x14:conditionalFormatting xmlns:xm="http://schemas.microsoft.com/office/excel/2006/main">
          <x14:cfRule type="expression" priority="4703156" id="{8AC9C4B9-0A34-4BC0-B0F7-CA89434C4911}">
            <xm:f>$P$4='Data entry'!$R72</xm:f>
            <x14:dxf>
              <fill>
                <patternFill>
                  <bgColor rgb="FFFFFF00"/>
                </patternFill>
              </fill>
            </x14:dxf>
          </x14:cfRule>
          <xm:sqref>C203:P203</xm:sqref>
        </x14:conditionalFormatting>
        <x14:conditionalFormatting xmlns:xm="http://schemas.microsoft.com/office/excel/2006/main">
          <x14:cfRule type="expression" priority="4703157" id="{0A726775-ABFD-4F22-967C-1A4D87BA3751}">
            <xm:f>$Q$4='Data entry'!$R72</xm:f>
            <x14:dxf>
              <fill>
                <patternFill>
                  <bgColor rgb="FFFFFF00"/>
                </patternFill>
              </fill>
            </x14:dxf>
          </x14:cfRule>
          <xm:sqref>C203:Q203</xm:sqref>
        </x14:conditionalFormatting>
        <x14:conditionalFormatting xmlns:xm="http://schemas.microsoft.com/office/excel/2006/main">
          <x14:cfRule type="expression" priority="4703158" id="{3A8414BD-262C-43B5-86EE-FA6901D00453}">
            <xm:f>$Q$4='Data entry'!$R72</xm:f>
            <x14:dxf>
              <fill>
                <patternFill>
                  <bgColor rgb="FFFF0000"/>
                </patternFill>
              </fill>
            </x14:dxf>
          </x14:cfRule>
          <xm:sqref>O204:AA204</xm:sqref>
        </x14:conditionalFormatting>
        <x14:conditionalFormatting xmlns:xm="http://schemas.microsoft.com/office/excel/2006/main">
          <x14:cfRule type="expression" priority="4703159" id="{B8B5501D-F3EF-4449-9306-F652960C65F4}">
            <xm:f>$R$4='Data entry'!$R72</xm:f>
            <x14:dxf>
              <fill>
                <patternFill>
                  <bgColor rgb="FFFF0000"/>
                </patternFill>
              </fill>
            </x14:dxf>
          </x14:cfRule>
          <xm:sqref>P204:AB204</xm:sqref>
        </x14:conditionalFormatting>
        <x14:conditionalFormatting xmlns:xm="http://schemas.microsoft.com/office/excel/2006/main">
          <x14:cfRule type="expression" priority="4703160" id="{5D070DEC-B82E-4D87-B907-A3E5AB836991}">
            <xm:f>$R$4='Data entry'!$R72</xm:f>
            <x14:dxf>
              <fill>
                <patternFill>
                  <bgColor rgb="FFFFFF00"/>
                </patternFill>
              </fill>
            </x14:dxf>
          </x14:cfRule>
          <xm:sqref>D203:R203</xm:sqref>
        </x14:conditionalFormatting>
        <x14:conditionalFormatting xmlns:xm="http://schemas.microsoft.com/office/excel/2006/main">
          <x14:cfRule type="expression" priority="4703161" id="{E4D16A10-F818-4664-9FB2-F0E839824D4B}">
            <xm:f>$S$4='Data entry'!$R72</xm:f>
            <x14:dxf>
              <fill>
                <patternFill>
                  <bgColor rgb="FFFF0000"/>
                </patternFill>
              </fill>
            </x14:dxf>
          </x14:cfRule>
          <xm:sqref>Q204:AC204</xm:sqref>
        </x14:conditionalFormatting>
        <x14:conditionalFormatting xmlns:xm="http://schemas.microsoft.com/office/excel/2006/main">
          <x14:cfRule type="expression" priority="4703162" id="{1A9F9911-A3E9-4730-AFBE-AB8C596545CA}">
            <xm:f>$S$4='Data entry'!$R72</xm:f>
            <x14:dxf>
              <fill>
                <patternFill>
                  <bgColor rgb="FFFFFF00"/>
                </patternFill>
              </fill>
            </x14:dxf>
          </x14:cfRule>
          <xm:sqref>E203:S203</xm:sqref>
        </x14:conditionalFormatting>
        <x14:conditionalFormatting xmlns:xm="http://schemas.microsoft.com/office/excel/2006/main">
          <x14:cfRule type="expression" priority="4703163" id="{8BB5CD1B-B2AC-442A-9550-26DE19A62D22}">
            <xm:f>$T$4='Data entry'!$R72</xm:f>
            <x14:dxf>
              <fill>
                <patternFill>
                  <bgColor rgb="FFFF0000"/>
                </patternFill>
              </fill>
            </x14:dxf>
          </x14:cfRule>
          <xm:sqref>R204:AD204</xm:sqref>
        </x14:conditionalFormatting>
        <x14:conditionalFormatting xmlns:xm="http://schemas.microsoft.com/office/excel/2006/main">
          <x14:cfRule type="expression" priority="4703164" id="{E7B59C69-7921-4049-84A1-8B3E5F7B0598}">
            <xm:f>$T$4='Data entry'!$R72</xm:f>
            <x14:dxf>
              <fill>
                <patternFill>
                  <bgColor rgb="FFFFFF00"/>
                </patternFill>
              </fill>
            </x14:dxf>
          </x14:cfRule>
          <xm:sqref>F203:T203</xm:sqref>
        </x14:conditionalFormatting>
        <x14:conditionalFormatting xmlns:xm="http://schemas.microsoft.com/office/excel/2006/main">
          <x14:cfRule type="expression" priority="4703165" id="{238C09E5-7A3D-439D-949F-A7733073F9A2}">
            <xm:f>$U$4='Data entry'!$R72</xm:f>
            <x14:dxf>
              <fill>
                <patternFill>
                  <bgColor rgb="FFFFFF00"/>
                </patternFill>
              </fill>
            </x14:dxf>
          </x14:cfRule>
          <xm:sqref>G203:U203</xm:sqref>
        </x14:conditionalFormatting>
        <x14:conditionalFormatting xmlns:xm="http://schemas.microsoft.com/office/excel/2006/main">
          <x14:cfRule type="expression" priority="4703166" id="{DE4D4432-0A19-452A-AF14-2873FE4DF411}">
            <xm:f>$AR$4='Data entry'!$R72</xm:f>
            <x14:dxf>
              <fill>
                <patternFill>
                  <bgColor rgb="FFFF0000"/>
                </patternFill>
              </fill>
            </x14:dxf>
          </x14:cfRule>
          <xm:sqref>AP204:BB204</xm:sqref>
        </x14:conditionalFormatting>
        <x14:conditionalFormatting xmlns:xm="http://schemas.microsoft.com/office/excel/2006/main">
          <x14:cfRule type="expression" priority="4703167" id="{90D7E1FF-542D-40C8-9BD5-DFEB4CDD256F}">
            <xm:f>$AR$4='Data entry'!$R72</xm:f>
            <x14:dxf>
              <fill>
                <patternFill>
                  <bgColor rgb="FFFFFF00"/>
                </patternFill>
              </fill>
            </x14:dxf>
          </x14:cfRule>
          <xm:sqref>AD203:AR203</xm:sqref>
        </x14:conditionalFormatting>
        <x14:conditionalFormatting xmlns:xm="http://schemas.microsoft.com/office/excel/2006/main">
          <x14:cfRule type="expression" priority="4703168" id="{0EBB5305-4A4A-4205-A1FF-11160070CBC3}">
            <xm:f>$AS$4='Data entry'!$R72</xm:f>
            <x14:dxf>
              <fill>
                <patternFill>
                  <bgColor rgb="FFFF0000"/>
                </patternFill>
              </fill>
            </x14:dxf>
          </x14:cfRule>
          <xm:sqref>AQ204:BC204</xm:sqref>
        </x14:conditionalFormatting>
        <x14:conditionalFormatting xmlns:xm="http://schemas.microsoft.com/office/excel/2006/main">
          <x14:cfRule type="expression" priority="4703169" id="{AC8EB30C-4253-4CE1-820E-1801F6D8D35B}">
            <xm:f>$AS$4='Data entry'!$R72</xm:f>
            <x14:dxf>
              <fill>
                <patternFill>
                  <bgColor rgb="FFFFFF00"/>
                </patternFill>
              </fill>
            </x14:dxf>
          </x14:cfRule>
          <xm:sqref>AE203:AS203</xm:sqref>
        </x14:conditionalFormatting>
        <x14:conditionalFormatting xmlns:xm="http://schemas.microsoft.com/office/excel/2006/main">
          <x14:cfRule type="expression" priority="4703170" id="{E11744C1-7201-4272-A1B0-945490B42425}">
            <xm:f>$AT$4='Data entry'!$R72</xm:f>
            <x14:dxf>
              <fill>
                <patternFill>
                  <bgColor rgb="FFFF0000"/>
                </patternFill>
              </fill>
            </x14:dxf>
          </x14:cfRule>
          <xm:sqref>AR204:BD204</xm:sqref>
        </x14:conditionalFormatting>
        <x14:conditionalFormatting xmlns:xm="http://schemas.microsoft.com/office/excel/2006/main">
          <x14:cfRule type="expression" priority="4703171" id="{5EE2823B-E955-4EA7-B99C-0B1F77B57A69}">
            <xm:f>$AT$4='Data entry'!$R72</xm:f>
            <x14:dxf>
              <fill>
                <patternFill>
                  <bgColor rgb="FFFFFF00"/>
                </patternFill>
              </fill>
            </x14:dxf>
          </x14:cfRule>
          <xm:sqref>AF203:AT203</xm:sqref>
        </x14:conditionalFormatting>
        <x14:conditionalFormatting xmlns:xm="http://schemas.microsoft.com/office/excel/2006/main">
          <x14:cfRule type="expression" priority="4703172" id="{5737DC63-3262-4B34-900C-2AAEB255FCBA}">
            <xm:f>$AU$4='Data entry'!$R72</xm:f>
            <x14:dxf>
              <fill>
                <patternFill>
                  <bgColor rgb="FFFF0000"/>
                </patternFill>
              </fill>
            </x14:dxf>
          </x14:cfRule>
          <xm:sqref>AS204:BE204</xm:sqref>
        </x14:conditionalFormatting>
        <x14:conditionalFormatting xmlns:xm="http://schemas.microsoft.com/office/excel/2006/main">
          <x14:cfRule type="expression" priority="4703173" id="{2B5C1F1B-3C3D-4CA3-BC64-0E98422075B6}">
            <xm:f>$AU$4='Data entry'!$R72</xm:f>
            <x14:dxf>
              <fill>
                <patternFill>
                  <bgColor rgb="FFFFFF00"/>
                </patternFill>
              </fill>
            </x14:dxf>
          </x14:cfRule>
          <xm:sqref>AG203:AU203</xm:sqref>
        </x14:conditionalFormatting>
        <x14:conditionalFormatting xmlns:xm="http://schemas.microsoft.com/office/excel/2006/main">
          <x14:cfRule type="expression" priority="4703174" id="{B87A1285-B003-4855-8F4B-53C391BA10E6}">
            <xm:f>$AV$4='Data entry'!$R72</xm:f>
            <x14:dxf>
              <fill>
                <patternFill>
                  <bgColor rgb="FFFF0000"/>
                </patternFill>
              </fill>
            </x14:dxf>
          </x14:cfRule>
          <xm:sqref>AT204:BF204</xm:sqref>
        </x14:conditionalFormatting>
        <x14:conditionalFormatting xmlns:xm="http://schemas.microsoft.com/office/excel/2006/main">
          <x14:cfRule type="expression" priority="4703175" id="{338EE31C-78DB-4818-B837-0380F9E457FA}">
            <xm:f>$AV$4='Data entry'!$R72</xm:f>
            <x14:dxf>
              <fill>
                <patternFill>
                  <bgColor rgb="FFFFFF00"/>
                </patternFill>
              </fill>
            </x14:dxf>
          </x14:cfRule>
          <xm:sqref>AH203:AV203</xm:sqref>
        </x14:conditionalFormatting>
        <x14:conditionalFormatting xmlns:xm="http://schemas.microsoft.com/office/excel/2006/main">
          <x14:cfRule type="expression" priority="4703176" id="{5C40EA66-2801-4C91-B885-BF6A1ECFC35C}">
            <xm:f>$AW$4='Data entry'!$R72</xm:f>
            <x14:dxf>
              <fill>
                <patternFill>
                  <bgColor rgb="FFFF0000"/>
                </patternFill>
              </fill>
            </x14:dxf>
          </x14:cfRule>
          <xm:sqref>AU204:BG204</xm:sqref>
        </x14:conditionalFormatting>
        <x14:conditionalFormatting xmlns:xm="http://schemas.microsoft.com/office/excel/2006/main">
          <x14:cfRule type="expression" priority="4703177" id="{51BCD5CE-DF86-4C2F-8A81-DDA1EFD6C8F7}">
            <xm:f>$AW$4='Data entry'!$R72</xm:f>
            <x14:dxf>
              <fill>
                <patternFill>
                  <bgColor rgb="FFFFFF00"/>
                </patternFill>
              </fill>
            </x14:dxf>
          </x14:cfRule>
          <xm:sqref>AI203:AW203</xm:sqref>
        </x14:conditionalFormatting>
        <x14:conditionalFormatting xmlns:xm="http://schemas.microsoft.com/office/excel/2006/main">
          <x14:cfRule type="expression" priority="4703178" id="{DC2ED5A0-8917-4877-8CD3-9DF9BE5993C9}">
            <xm:f>$AX$4='Data entry'!$R72</xm:f>
            <x14:dxf>
              <fill>
                <patternFill>
                  <bgColor rgb="FFFF0000"/>
                </patternFill>
              </fill>
            </x14:dxf>
          </x14:cfRule>
          <xm:sqref>AV204:BH204</xm:sqref>
        </x14:conditionalFormatting>
        <x14:conditionalFormatting xmlns:xm="http://schemas.microsoft.com/office/excel/2006/main">
          <x14:cfRule type="expression" priority="4703179" id="{59B31869-20F9-45BD-BC80-0A6C8945CE2C}">
            <xm:f>$AX$4='Data entry'!$R72</xm:f>
            <x14:dxf>
              <fill>
                <patternFill>
                  <bgColor rgb="FFFFFF00"/>
                </patternFill>
              </fill>
            </x14:dxf>
          </x14:cfRule>
          <xm:sqref>AJ203:AX203</xm:sqref>
        </x14:conditionalFormatting>
        <x14:conditionalFormatting xmlns:xm="http://schemas.microsoft.com/office/excel/2006/main">
          <x14:cfRule type="expression" priority="4703180" id="{D4208FA0-4262-4037-934C-6D0742B2AD8E}">
            <xm:f>$AY$4='Data entry'!$R72</xm:f>
            <x14:dxf>
              <fill>
                <patternFill>
                  <bgColor rgb="FFFF0000"/>
                </patternFill>
              </fill>
            </x14:dxf>
          </x14:cfRule>
          <xm:sqref>AW204:BI204</xm:sqref>
        </x14:conditionalFormatting>
        <x14:conditionalFormatting xmlns:xm="http://schemas.microsoft.com/office/excel/2006/main">
          <x14:cfRule type="expression" priority="4703181" id="{04D6E423-18C7-42B2-A67D-F49D8E62B571}">
            <xm:f>$AY$4='Data entry'!$R72</xm:f>
            <x14:dxf>
              <fill>
                <patternFill>
                  <bgColor rgb="FFFFFF00"/>
                </patternFill>
              </fill>
            </x14:dxf>
          </x14:cfRule>
          <xm:sqref>AK203:AY203</xm:sqref>
        </x14:conditionalFormatting>
        <x14:conditionalFormatting xmlns:xm="http://schemas.microsoft.com/office/excel/2006/main">
          <x14:cfRule type="expression" priority="4703182" id="{A931C203-6E4B-4EBD-A2F4-1876881F48D4}">
            <xm:f>$AZ$4='Data entry'!$R72</xm:f>
            <x14:dxf>
              <fill>
                <patternFill>
                  <bgColor rgb="FFFF0000"/>
                </patternFill>
              </fill>
            </x14:dxf>
          </x14:cfRule>
          <xm:sqref>AX204:BJ204</xm:sqref>
        </x14:conditionalFormatting>
        <x14:conditionalFormatting xmlns:xm="http://schemas.microsoft.com/office/excel/2006/main">
          <x14:cfRule type="expression" priority="4703183" id="{092D9100-E652-40FE-8CAA-720DC0681250}">
            <xm:f>$AZ$4='Data entry'!$R72</xm:f>
            <x14:dxf>
              <fill>
                <patternFill>
                  <bgColor rgb="FFFFFF00"/>
                </patternFill>
              </fill>
            </x14:dxf>
          </x14:cfRule>
          <xm:sqref>AL203:AZ203</xm:sqref>
        </x14:conditionalFormatting>
        <x14:conditionalFormatting xmlns:xm="http://schemas.microsoft.com/office/excel/2006/main">
          <x14:cfRule type="expression" priority="4703184" id="{A3C7E6BE-A225-483C-A983-A915DB662C52}">
            <xm:f>$BA$4='Data entry'!$R72</xm:f>
            <x14:dxf>
              <fill>
                <patternFill>
                  <bgColor rgb="FFFF0000"/>
                </patternFill>
              </fill>
            </x14:dxf>
          </x14:cfRule>
          <xm:sqref>AY204:BK204</xm:sqref>
        </x14:conditionalFormatting>
        <x14:conditionalFormatting xmlns:xm="http://schemas.microsoft.com/office/excel/2006/main">
          <x14:cfRule type="expression" priority="4703185" id="{F5CF569A-8AFA-4CFF-8BD3-F04D8927A99F}">
            <xm:f>$BA$4='Data entry'!$R72</xm:f>
            <x14:dxf>
              <fill>
                <patternFill>
                  <bgColor rgb="FFFFFF00"/>
                </patternFill>
              </fill>
            </x14:dxf>
          </x14:cfRule>
          <xm:sqref>AM203:BA203</xm:sqref>
        </x14:conditionalFormatting>
        <x14:conditionalFormatting xmlns:xm="http://schemas.microsoft.com/office/excel/2006/main">
          <x14:cfRule type="expression" priority="4703186" id="{E4DAC94A-7983-4BFB-A87B-45B58561841A}">
            <xm:f>$BB$4='Data entry'!$R72</xm:f>
            <x14:dxf>
              <fill>
                <patternFill>
                  <bgColor rgb="FFFF0000"/>
                </patternFill>
              </fill>
            </x14:dxf>
          </x14:cfRule>
          <xm:sqref>AZ204:BL204</xm:sqref>
        </x14:conditionalFormatting>
        <x14:conditionalFormatting xmlns:xm="http://schemas.microsoft.com/office/excel/2006/main">
          <x14:cfRule type="expression" priority="4703187" id="{E63849C5-F39B-4B0E-8F8A-B532EDF2CBAE}">
            <xm:f>$BB$4='Data entry'!$R72</xm:f>
            <x14:dxf>
              <fill>
                <patternFill>
                  <bgColor rgb="FFFFFF00"/>
                </patternFill>
              </fill>
            </x14:dxf>
          </x14:cfRule>
          <xm:sqref>AN203:BB203</xm:sqref>
        </x14:conditionalFormatting>
        <x14:conditionalFormatting xmlns:xm="http://schemas.microsoft.com/office/excel/2006/main">
          <x14:cfRule type="expression" priority="4703188" id="{4FDC32D3-C1F5-455D-9AA4-A03359B72526}">
            <xm:f>$BC$4='Data entry'!$R72</xm:f>
            <x14:dxf>
              <fill>
                <patternFill>
                  <bgColor rgb="FFFF0000"/>
                </patternFill>
              </fill>
            </x14:dxf>
          </x14:cfRule>
          <xm:sqref>BA204:BM204</xm:sqref>
        </x14:conditionalFormatting>
        <x14:conditionalFormatting xmlns:xm="http://schemas.microsoft.com/office/excel/2006/main">
          <x14:cfRule type="expression" priority="4703189" id="{5F0D0C60-B233-4C56-B05D-98C99990877F}">
            <xm:f>$BC$4='Data entry'!$R72</xm:f>
            <x14:dxf>
              <fill>
                <patternFill>
                  <bgColor rgb="FFFFFF00"/>
                </patternFill>
              </fill>
            </x14:dxf>
          </x14:cfRule>
          <xm:sqref>AO203:BC203</xm:sqref>
        </x14:conditionalFormatting>
        <x14:conditionalFormatting xmlns:xm="http://schemas.microsoft.com/office/excel/2006/main">
          <x14:cfRule type="expression" priority="4703190" id="{9EBCB60F-8135-43B6-A0F3-548D4092CC98}">
            <xm:f>$BD$4='Data entry'!$R72</xm:f>
            <x14:dxf>
              <fill>
                <patternFill>
                  <bgColor rgb="FFFF0000"/>
                </patternFill>
              </fill>
            </x14:dxf>
          </x14:cfRule>
          <xm:sqref>BB204:BN204</xm:sqref>
        </x14:conditionalFormatting>
        <x14:conditionalFormatting xmlns:xm="http://schemas.microsoft.com/office/excel/2006/main">
          <x14:cfRule type="expression" priority="4703191" id="{961AF346-4A73-41ED-9A8D-27D431B09C05}">
            <xm:f>$BD$4='Data entry'!$R72</xm:f>
            <x14:dxf>
              <fill>
                <patternFill>
                  <bgColor rgb="FFFFFF00"/>
                </patternFill>
              </fill>
            </x14:dxf>
          </x14:cfRule>
          <xm:sqref>AP203:BD203</xm:sqref>
        </x14:conditionalFormatting>
        <x14:conditionalFormatting xmlns:xm="http://schemas.microsoft.com/office/excel/2006/main">
          <x14:cfRule type="expression" priority="4703192" id="{5A887026-27CD-4F8C-8BA6-1E92704C1CA6}">
            <xm:f>$BE$4='Data entry'!$R72</xm:f>
            <x14:dxf>
              <fill>
                <patternFill>
                  <bgColor rgb="FFFF0000"/>
                </patternFill>
              </fill>
            </x14:dxf>
          </x14:cfRule>
          <xm:sqref>BC204:BO204</xm:sqref>
        </x14:conditionalFormatting>
        <x14:conditionalFormatting xmlns:xm="http://schemas.microsoft.com/office/excel/2006/main">
          <x14:cfRule type="expression" priority="4703193" id="{7F46217B-A1E9-4515-B31E-E756FCD7C6D9}">
            <xm:f>$BE$4='Data entry'!$R72</xm:f>
            <x14:dxf>
              <fill>
                <patternFill>
                  <bgColor rgb="FFFFFF00"/>
                </patternFill>
              </fill>
            </x14:dxf>
          </x14:cfRule>
          <xm:sqref>AP203:BE203</xm:sqref>
        </x14:conditionalFormatting>
        <x14:conditionalFormatting xmlns:xm="http://schemas.microsoft.com/office/excel/2006/main">
          <x14:cfRule type="expression" priority="4703194" id="{F4D9285C-8CA0-4EF1-943E-6A462D47CC77}">
            <xm:f>$BF$4='Data entry'!$R72</xm:f>
            <x14:dxf>
              <fill>
                <patternFill>
                  <bgColor rgb="FFFF0000"/>
                </patternFill>
              </fill>
            </x14:dxf>
          </x14:cfRule>
          <xm:sqref>BD204:BP204</xm:sqref>
        </x14:conditionalFormatting>
        <x14:conditionalFormatting xmlns:xm="http://schemas.microsoft.com/office/excel/2006/main">
          <x14:cfRule type="expression" priority="4703195" id="{B9E4407D-651D-4DC0-9D61-3271D62A65E9}">
            <xm:f>$BF$4='Data entry'!$R72</xm:f>
            <x14:dxf>
              <fill>
                <patternFill>
                  <bgColor rgb="FFFFFF00"/>
                </patternFill>
              </fill>
            </x14:dxf>
          </x14:cfRule>
          <xm:sqref>AR203:BF203</xm:sqref>
        </x14:conditionalFormatting>
        <x14:conditionalFormatting xmlns:xm="http://schemas.microsoft.com/office/excel/2006/main">
          <x14:cfRule type="expression" priority="4703196" id="{4CDC062F-DDFF-4556-B941-08F919727F69}">
            <xm:f>$BG$4='Data entry'!$R72</xm:f>
            <x14:dxf>
              <fill>
                <patternFill>
                  <bgColor rgb="FFFF0000"/>
                </patternFill>
              </fill>
            </x14:dxf>
          </x14:cfRule>
          <xm:sqref>BE204:BQ204</xm:sqref>
        </x14:conditionalFormatting>
        <x14:conditionalFormatting xmlns:xm="http://schemas.microsoft.com/office/excel/2006/main">
          <x14:cfRule type="expression" priority="4703197" id="{789184FA-9055-433B-8A1B-92C7ED59E81F}">
            <xm:f>$BG$4='Data entry'!$R72</xm:f>
            <x14:dxf>
              <fill>
                <patternFill>
                  <bgColor rgb="FFFFFF00"/>
                </patternFill>
              </fill>
            </x14:dxf>
          </x14:cfRule>
          <xm:sqref>AS203:BG203</xm:sqref>
        </x14:conditionalFormatting>
        <x14:conditionalFormatting xmlns:xm="http://schemas.microsoft.com/office/excel/2006/main">
          <x14:cfRule type="expression" priority="4703198" id="{58651E5C-09C9-46C1-B95C-E8A578A49E15}">
            <xm:f>$BH$4='Data entry'!$R72</xm:f>
            <x14:dxf>
              <fill>
                <patternFill>
                  <bgColor rgb="FFFFFF00"/>
                </patternFill>
              </fill>
            </x14:dxf>
          </x14:cfRule>
          <xm:sqref>AT203:BH203</xm:sqref>
        </x14:conditionalFormatting>
        <x14:conditionalFormatting xmlns:xm="http://schemas.microsoft.com/office/excel/2006/main">
          <x14:cfRule type="expression" priority="4703199" id="{97B30B86-8311-4DC0-A533-8C0D53F37839}">
            <xm:f>$BH$4='Data entry'!$R72</xm:f>
            <x14:dxf>
              <fill>
                <patternFill>
                  <bgColor rgb="FFFF0000"/>
                </patternFill>
              </fill>
            </x14:dxf>
          </x14:cfRule>
          <xm:sqref>BF204:BR204</xm:sqref>
        </x14:conditionalFormatting>
        <x14:conditionalFormatting xmlns:xm="http://schemas.microsoft.com/office/excel/2006/main">
          <x14:cfRule type="expression" priority="4703200" id="{78344C0C-5AEA-40B1-A20C-6D77DF58E1F5}">
            <xm:f>$BI$4='Data entry'!$R72</xm:f>
            <x14:dxf>
              <fill>
                <patternFill>
                  <bgColor rgb="FFFFFF00"/>
                </patternFill>
              </fill>
            </x14:dxf>
          </x14:cfRule>
          <xm:sqref>AU203:BI203</xm:sqref>
        </x14:conditionalFormatting>
        <x14:conditionalFormatting xmlns:xm="http://schemas.microsoft.com/office/excel/2006/main">
          <x14:cfRule type="expression" priority="4703201" id="{A9CE044F-482E-4F25-B28F-89ACC58502B1}">
            <xm:f>$BI$4='Data entry'!$R72</xm:f>
            <x14:dxf>
              <fill>
                <patternFill>
                  <bgColor rgb="FFFF0000"/>
                </patternFill>
              </fill>
            </x14:dxf>
          </x14:cfRule>
          <xm:sqref>BG204:BS204</xm:sqref>
        </x14:conditionalFormatting>
        <x14:conditionalFormatting xmlns:xm="http://schemas.microsoft.com/office/excel/2006/main">
          <x14:cfRule type="expression" priority="4703202" id="{F63BE0EB-3C71-4456-BEF0-11180AB7A8BB}">
            <xm:f>$BJ$4='Data entry'!$R72</xm:f>
            <x14:dxf>
              <fill>
                <patternFill>
                  <bgColor rgb="FFFFFF00"/>
                </patternFill>
              </fill>
            </x14:dxf>
          </x14:cfRule>
          <xm:sqref>AV203:BJ203</xm:sqref>
        </x14:conditionalFormatting>
        <x14:conditionalFormatting xmlns:xm="http://schemas.microsoft.com/office/excel/2006/main">
          <x14:cfRule type="expression" priority="4703203" id="{478A5DCB-1DAA-4497-A6CC-B4F01FB96D10}">
            <xm:f>$BJ$4='Data entry'!$R72</xm:f>
            <x14:dxf>
              <fill>
                <patternFill>
                  <bgColor rgb="FFFF0000"/>
                </patternFill>
              </fill>
            </x14:dxf>
          </x14:cfRule>
          <xm:sqref>BH204:BT204</xm:sqref>
        </x14:conditionalFormatting>
        <x14:conditionalFormatting xmlns:xm="http://schemas.microsoft.com/office/excel/2006/main">
          <x14:cfRule type="expression" priority="4703204" id="{CDE4AD5B-65A6-4FA4-9EC0-8D05F22312A9}">
            <xm:f>$BK$4='Data entry'!$R72</xm:f>
            <x14:dxf>
              <fill>
                <patternFill>
                  <bgColor rgb="FFFF0000"/>
                </patternFill>
              </fill>
            </x14:dxf>
          </x14:cfRule>
          <xm:sqref>BI204:BU204</xm:sqref>
        </x14:conditionalFormatting>
        <x14:conditionalFormatting xmlns:xm="http://schemas.microsoft.com/office/excel/2006/main">
          <x14:cfRule type="expression" priority="4703205" id="{AB32E790-6CD8-4D11-9A69-57D785FE4BBC}">
            <xm:f>$BK$4='Data entry'!$R72</xm:f>
            <x14:dxf>
              <fill>
                <patternFill>
                  <bgColor rgb="FFFFFF00"/>
                </patternFill>
              </fill>
            </x14:dxf>
          </x14:cfRule>
          <xm:sqref>AW203:BK203</xm:sqref>
        </x14:conditionalFormatting>
        <x14:conditionalFormatting xmlns:xm="http://schemas.microsoft.com/office/excel/2006/main">
          <x14:cfRule type="expression" priority="4703206" id="{99810EB9-805C-43D8-852A-EEECE7874CDB}">
            <xm:f>$BL$4='Data entry'!$R72</xm:f>
            <x14:dxf>
              <fill>
                <patternFill>
                  <bgColor rgb="FFFF0000"/>
                </patternFill>
              </fill>
            </x14:dxf>
          </x14:cfRule>
          <xm:sqref>BJ204:BV204</xm:sqref>
        </x14:conditionalFormatting>
        <x14:conditionalFormatting xmlns:xm="http://schemas.microsoft.com/office/excel/2006/main">
          <x14:cfRule type="expression" priority="4703207" id="{BF5F5475-4E46-479C-97A6-D5175F5D1803}">
            <xm:f>$BL$4='Data entry'!$R72</xm:f>
            <x14:dxf>
              <fill>
                <patternFill>
                  <bgColor rgb="FFFFFF00"/>
                </patternFill>
              </fill>
            </x14:dxf>
          </x14:cfRule>
          <xm:sqref>AX203:BL203</xm:sqref>
        </x14:conditionalFormatting>
        <x14:conditionalFormatting xmlns:xm="http://schemas.microsoft.com/office/excel/2006/main">
          <x14:cfRule type="expression" priority="4703208" id="{B86FDF2F-16C9-46B1-847E-7EA1A8A34B9D}">
            <xm:f>$BM$4='Data entry'!$R72</xm:f>
            <x14:dxf>
              <fill>
                <patternFill>
                  <bgColor rgb="FFFF0000"/>
                </patternFill>
              </fill>
            </x14:dxf>
          </x14:cfRule>
          <xm:sqref>BK204:BW204</xm:sqref>
        </x14:conditionalFormatting>
        <x14:conditionalFormatting xmlns:xm="http://schemas.microsoft.com/office/excel/2006/main">
          <x14:cfRule type="expression" priority="4703209" id="{72FD189F-4CED-400D-9FEF-21A328970A4D}">
            <xm:f>$BM$4='Data entry'!$R72</xm:f>
            <x14:dxf>
              <fill>
                <patternFill>
                  <bgColor rgb="FFFFFF00"/>
                </patternFill>
              </fill>
            </x14:dxf>
          </x14:cfRule>
          <xm:sqref>AY203:BM203</xm:sqref>
        </x14:conditionalFormatting>
        <x14:conditionalFormatting xmlns:xm="http://schemas.microsoft.com/office/excel/2006/main">
          <x14:cfRule type="expression" priority="4703210" id="{BBBBF859-D5A7-4F55-BFBF-8A77E3357590}">
            <xm:f>$BN$4='Data entry'!$R72</xm:f>
            <x14:dxf>
              <fill>
                <patternFill>
                  <bgColor rgb="FFFF0000"/>
                </patternFill>
              </fill>
            </x14:dxf>
          </x14:cfRule>
          <xm:sqref>BL204:BX204</xm:sqref>
        </x14:conditionalFormatting>
        <x14:conditionalFormatting xmlns:xm="http://schemas.microsoft.com/office/excel/2006/main">
          <x14:cfRule type="expression" priority="4703211" id="{50CB1D75-0FD5-4D24-92B1-E8A41DC6575C}">
            <xm:f>$BN$4='Data entry'!$R72</xm:f>
            <x14:dxf>
              <fill>
                <patternFill>
                  <bgColor rgb="FFFFFF00"/>
                </patternFill>
              </fill>
            </x14:dxf>
          </x14:cfRule>
          <xm:sqref>AZ203:BN203</xm:sqref>
        </x14:conditionalFormatting>
        <x14:conditionalFormatting xmlns:xm="http://schemas.microsoft.com/office/excel/2006/main">
          <x14:cfRule type="expression" priority="4703212" id="{9EF3226D-E8FC-496B-A6FF-71776AEA54D1}">
            <xm:f>$BO$4='Data entry'!$R72</xm:f>
            <x14:dxf>
              <fill>
                <patternFill>
                  <bgColor rgb="FFFF0000"/>
                </patternFill>
              </fill>
            </x14:dxf>
          </x14:cfRule>
          <xm:sqref>BM204:BY204</xm:sqref>
        </x14:conditionalFormatting>
        <x14:conditionalFormatting xmlns:xm="http://schemas.microsoft.com/office/excel/2006/main">
          <x14:cfRule type="expression" priority="4703213" id="{3B86C801-ECFE-4D05-8AA5-1581116BAFBC}">
            <xm:f>$BO$4='Data entry'!$R72</xm:f>
            <x14:dxf>
              <fill>
                <patternFill>
                  <bgColor rgb="FFFFFF00"/>
                </patternFill>
              </fill>
            </x14:dxf>
          </x14:cfRule>
          <xm:sqref>BA203:BO203</xm:sqref>
        </x14:conditionalFormatting>
        <x14:conditionalFormatting xmlns:xm="http://schemas.microsoft.com/office/excel/2006/main">
          <x14:cfRule type="expression" priority="4703214" id="{058A23EC-3371-4A02-9F20-1ECA603AC6BC}">
            <xm:f>$BP$4='Data entry'!$R72</xm:f>
            <x14:dxf>
              <fill>
                <patternFill>
                  <bgColor rgb="FFFF0000"/>
                </patternFill>
              </fill>
            </x14:dxf>
          </x14:cfRule>
          <xm:sqref>BN204:BZ204</xm:sqref>
        </x14:conditionalFormatting>
        <x14:conditionalFormatting xmlns:xm="http://schemas.microsoft.com/office/excel/2006/main">
          <x14:cfRule type="expression" priority="4703215" id="{3E711E31-3992-4555-AB22-87133D60CD15}">
            <xm:f>$BP$4='Data entry'!$R72</xm:f>
            <x14:dxf>
              <fill>
                <patternFill>
                  <bgColor rgb="FFFFFF00"/>
                </patternFill>
              </fill>
            </x14:dxf>
          </x14:cfRule>
          <xm:sqref>BB203:BP203</xm:sqref>
        </x14:conditionalFormatting>
        <x14:conditionalFormatting xmlns:xm="http://schemas.microsoft.com/office/excel/2006/main">
          <x14:cfRule type="expression" priority="4703216" id="{23E9F8B9-37D5-4730-9453-6F23E8ECBBE3}">
            <xm:f>$BQ$4='Data entry'!$R72</xm:f>
            <x14:dxf>
              <fill>
                <patternFill>
                  <bgColor rgb="FFFFFF00"/>
                </patternFill>
              </fill>
            </x14:dxf>
          </x14:cfRule>
          <xm:sqref>BC203:BQ203</xm:sqref>
        </x14:conditionalFormatting>
        <x14:conditionalFormatting xmlns:xm="http://schemas.microsoft.com/office/excel/2006/main">
          <x14:cfRule type="expression" priority="4703217" id="{BCFD92F6-AAD3-44FD-BC61-A292A81B883E}">
            <xm:f>$BQ$4='Data entry'!$R72</xm:f>
            <x14:dxf>
              <fill>
                <patternFill>
                  <bgColor rgb="FFFF0000"/>
                </patternFill>
              </fill>
            </x14:dxf>
          </x14:cfRule>
          <xm:sqref>BO204:CA204</xm:sqref>
        </x14:conditionalFormatting>
        <x14:conditionalFormatting xmlns:xm="http://schemas.microsoft.com/office/excel/2006/main">
          <x14:cfRule type="expression" priority="4703218" id="{357D60E5-F356-477E-8020-A18F42C02832}">
            <xm:f>$BR$4='Data entry'!$R72</xm:f>
            <x14:dxf>
              <fill>
                <patternFill>
                  <bgColor rgb="FFFFFF00"/>
                </patternFill>
              </fill>
            </x14:dxf>
          </x14:cfRule>
          <xm:sqref>BD203:BR203</xm:sqref>
        </x14:conditionalFormatting>
        <x14:conditionalFormatting xmlns:xm="http://schemas.microsoft.com/office/excel/2006/main">
          <x14:cfRule type="expression" priority="4703219" id="{DA2B6511-43B3-432D-B6AA-1DB1188B90A6}">
            <xm:f>$BR$4='Data entry'!$R72</xm:f>
            <x14:dxf>
              <fill>
                <patternFill>
                  <bgColor rgb="FFFF0000"/>
                </patternFill>
              </fill>
            </x14:dxf>
          </x14:cfRule>
          <xm:sqref>BP204:CB204</xm:sqref>
        </x14:conditionalFormatting>
        <x14:conditionalFormatting xmlns:xm="http://schemas.microsoft.com/office/excel/2006/main">
          <x14:cfRule type="expression" priority="4703220" id="{0D5F64E4-4136-4BFA-B833-CC8578525D9C}">
            <xm:f>$BS$4='Data entry'!$R72</xm:f>
            <x14:dxf>
              <fill>
                <patternFill>
                  <bgColor rgb="FFFFFF00"/>
                </patternFill>
              </fill>
            </x14:dxf>
          </x14:cfRule>
          <xm:sqref>BE203:BS203</xm:sqref>
        </x14:conditionalFormatting>
        <x14:conditionalFormatting xmlns:xm="http://schemas.microsoft.com/office/excel/2006/main">
          <x14:cfRule type="expression" priority="4703221" id="{AC94D468-F078-4AE2-8771-102996E07B09}">
            <xm:f>$BS$4='Data entry'!$R72</xm:f>
            <x14:dxf>
              <fill>
                <patternFill>
                  <bgColor rgb="FFFF0000"/>
                </patternFill>
              </fill>
            </x14:dxf>
          </x14:cfRule>
          <xm:sqref>BQ204:CC204</xm:sqref>
        </x14:conditionalFormatting>
        <x14:conditionalFormatting xmlns:xm="http://schemas.microsoft.com/office/excel/2006/main">
          <x14:cfRule type="expression" priority="4703222" id="{10E78F76-181E-4F19-9F89-7DD36D3EFE30}">
            <xm:f>$BT$4='Data entry'!$R72</xm:f>
            <x14:dxf>
              <fill>
                <patternFill>
                  <bgColor rgb="FFFFFF00"/>
                </patternFill>
              </fill>
            </x14:dxf>
          </x14:cfRule>
          <xm:sqref>BF203:BT203</xm:sqref>
        </x14:conditionalFormatting>
        <x14:conditionalFormatting xmlns:xm="http://schemas.microsoft.com/office/excel/2006/main">
          <x14:cfRule type="expression" priority="4703223" id="{6A5FADC6-9512-4EFB-90A5-7B5244D10D1F}">
            <xm:f>$BT$4='Data entry'!$R72</xm:f>
            <x14:dxf>
              <fill>
                <patternFill>
                  <bgColor rgb="FFFF0000"/>
                </patternFill>
              </fill>
            </x14:dxf>
          </x14:cfRule>
          <xm:sqref>BR204:CC204</xm:sqref>
        </x14:conditionalFormatting>
        <x14:conditionalFormatting xmlns:xm="http://schemas.microsoft.com/office/excel/2006/main">
          <x14:cfRule type="expression" priority="4703224" id="{A51139D1-8841-4B96-B8CB-DFE3808765CF}">
            <xm:f>$BU$4='Data entry'!$R72</xm:f>
            <x14:dxf>
              <fill>
                <patternFill>
                  <bgColor rgb="FFFFFF00"/>
                </patternFill>
              </fill>
            </x14:dxf>
          </x14:cfRule>
          <xm:sqref>BG203:BU203</xm:sqref>
        </x14:conditionalFormatting>
        <x14:conditionalFormatting xmlns:xm="http://schemas.microsoft.com/office/excel/2006/main">
          <x14:cfRule type="expression" priority="4703225" id="{55CA7258-760F-4BFF-ACB5-A70FEB3E7981}">
            <xm:f>$BU$4='Data entry'!$R72</xm:f>
            <x14:dxf>
              <fill>
                <patternFill>
                  <bgColor rgb="FFFF0000"/>
                </patternFill>
              </fill>
            </x14:dxf>
          </x14:cfRule>
          <xm:sqref>BS204:CC204</xm:sqref>
        </x14:conditionalFormatting>
        <x14:conditionalFormatting xmlns:xm="http://schemas.microsoft.com/office/excel/2006/main">
          <x14:cfRule type="expression" priority="4703226" id="{A922B218-64DB-4CBB-9AB8-FE0EBB44E09E}">
            <xm:f>$BV$4='Data entry'!$R72</xm:f>
            <x14:dxf>
              <fill>
                <patternFill>
                  <bgColor rgb="FFFFFF00"/>
                </patternFill>
              </fill>
            </x14:dxf>
          </x14:cfRule>
          <xm:sqref>BH203:BV203</xm:sqref>
        </x14:conditionalFormatting>
        <x14:conditionalFormatting xmlns:xm="http://schemas.microsoft.com/office/excel/2006/main">
          <x14:cfRule type="expression" priority="4703227" id="{C98E908A-CD31-4778-B41C-7AFB9DBE639A}">
            <xm:f>$BV$4='Data entry'!$R72</xm:f>
            <x14:dxf>
              <fill>
                <patternFill>
                  <bgColor rgb="FFFF0000"/>
                </patternFill>
              </fill>
            </x14:dxf>
          </x14:cfRule>
          <xm:sqref>BT204:CC204</xm:sqref>
        </x14:conditionalFormatting>
        <x14:conditionalFormatting xmlns:xm="http://schemas.microsoft.com/office/excel/2006/main">
          <x14:cfRule type="expression" priority="4703228" id="{465CCCA3-B4DB-4B61-8AC7-8A5E4CEC9E3F}">
            <xm:f>$BW$4='Data entry'!$R72</xm:f>
            <x14:dxf>
              <fill>
                <patternFill>
                  <bgColor rgb="FFFFFF00"/>
                </patternFill>
              </fill>
            </x14:dxf>
          </x14:cfRule>
          <xm:sqref>BI203:BW203</xm:sqref>
        </x14:conditionalFormatting>
        <x14:conditionalFormatting xmlns:xm="http://schemas.microsoft.com/office/excel/2006/main">
          <x14:cfRule type="expression" priority="4703229" id="{37566F97-6D06-400B-A709-FE657B07687F}">
            <xm:f>$BW$4='Data entry'!$R72</xm:f>
            <x14:dxf>
              <fill>
                <patternFill>
                  <bgColor rgb="FFFF0000"/>
                </patternFill>
              </fill>
            </x14:dxf>
          </x14:cfRule>
          <xm:sqref>BU204:CC204</xm:sqref>
        </x14:conditionalFormatting>
        <x14:conditionalFormatting xmlns:xm="http://schemas.microsoft.com/office/excel/2006/main">
          <x14:cfRule type="expression" priority="4703230" id="{D8FBA3AC-5CF0-4E45-97CA-1D4DEE729ADA}">
            <xm:f>$BX$4='Data entry'!$R72</xm:f>
            <x14:dxf>
              <fill>
                <patternFill>
                  <bgColor rgb="FFFFFF00"/>
                </patternFill>
              </fill>
            </x14:dxf>
          </x14:cfRule>
          <xm:sqref>BJ203:BX203</xm:sqref>
        </x14:conditionalFormatting>
        <x14:conditionalFormatting xmlns:xm="http://schemas.microsoft.com/office/excel/2006/main">
          <x14:cfRule type="expression" priority="4703231" id="{E077C84B-A94F-431D-B232-4AFCC7C64F54}">
            <xm:f>$BX$4='Data entry'!$R72</xm:f>
            <x14:dxf>
              <fill>
                <patternFill>
                  <bgColor rgb="FFFF0000"/>
                </patternFill>
              </fill>
            </x14:dxf>
          </x14:cfRule>
          <xm:sqref>BV204:CC204</xm:sqref>
        </x14:conditionalFormatting>
        <x14:conditionalFormatting xmlns:xm="http://schemas.microsoft.com/office/excel/2006/main">
          <x14:cfRule type="expression" priority="4703232" id="{63783BA8-0C97-4A44-86FD-7A2BCF1B9957}">
            <xm:f>$BY$4='Data entry'!$R72</xm:f>
            <x14:dxf>
              <fill>
                <patternFill>
                  <bgColor rgb="FFFFFF00"/>
                </patternFill>
              </fill>
            </x14:dxf>
          </x14:cfRule>
          <xm:sqref>BK203:BY203</xm:sqref>
        </x14:conditionalFormatting>
        <x14:conditionalFormatting xmlns:xm="http://schemas.microsoft.com/office/excel/2006/main">
          <x14:cfRule type="expression" priority="4703233" id="{BB8DB8B4-B71B-46D2-AEE7-346F16103F74}">
            <xm:f>$BY$4='Data entry'!$R72</xm:f>
            <x14:dxf>
              <fill>
                <patternFill>
                  <bgColor rgb="FFFF0000"/>
                </patternFill>
              </fill>
            </x14:dxf>
          </x14:cfRule>
          <xm:sqref>BW204:CC204</xm:sqref>
        </x14:conditionalFormatting>
        <x14:conditionalFormatting xmlns:xm="http://schemas.microsoft.com/office/excel/2006/main">
          <x14:cfRule type="expression" priority="4703234" id="{1B638B98-2B06-4FEB-90C1-446A3E0A3979}">
            <xm:f>$BZ$4='Data entry'!$R72</xm:f>
            <x14:dxf>
              <fill>
                <patternFill>
                  <bgColor rgb="FFFFFF00"/>
                </patternFill>
              </fill>
            </x14:dxf>
          </x14:cfRule>
          <xm:sqref>BL203:BZ203</xm:sqref>
        </x14:conditionalFormatting>
        <x14:conditionalFormatting xmlns:xm="http://schemas.microsoft.com/office/excel/2006/main">
          <x14:cfRule type="expression" priority="4703235" id="{D3A0A2F8-D1B2-4DC5-B2A9-0EF53074E685}">
            <xm:f>$BZ$4='Data entry'!$R72</xm:f>
            <x14:dxf>
              <fill>
                <patternFill>
                  <bgColor rgb="FFFF0000"/>
                </patternFill>
              </fill>
            </x14:dxf>
          </x14:cfRule>
          <xm:sqref>BX204:CC204</xm:sqref>
        </x14:conditionalFormatting>
        <x14:conditionalFormatting xmlns:xm="http://schemas.microsoft.com/office/excel/2006/main">
          <x14:cfRule type="expression" priority="4703236" id="{83F6D018-7D3B-4D33-9998-11572F2F2FF5}">
            <xm:f>$CA$4='Data entry'!$R72</xm:f>
            <x14:dxf>
              <fill>
                <patternFill>
                  <bgColor rgb="FFFFFF00"/>
                </patternFill>
              </fill>
            </x14:dxf>
          </x14:cfRule>
          <xm:sqref>BM203:CA203</xm:sqref>
        </x14:conditionalFormatting>
        <x14:conditionalFormatting xmlns:xm="http://schemas.microsoft.com/office/excel/2006/main">
          <x14:cfRule type="expression" priority="4703237" id="{8E6D0B51-5626-4ED9-9072-C7A2C139704F}">
            <xm:f>$CA$4='Data entry'!$R72</xm:f>
            <x14:dxf>
              <fill>
                <patternFill>
                  <bgColor rgb="FFFF0000"/>
                </patternFill>
              </fill>
            </x14:dxf>
          </x14:cfRule>
          <xm:sqref>BY204:CC204</xm:sqref>
        </x14:conditionalFormatting>
        <x14:conditionalFormatting xmlns:xm="http://schemas.microsoft.com/office/excel/2006/main">
          <x14:cfRule type="expression" priority="4703238" id="{E1886EE4-3BDE-43A9-9F4B-79377FEC37FE}">
            <xm:f>$CB$4='Data entry'!$R72</xm:f>
            <x14:dxf>
              <fill>
                <patternFill>
                  <bgColor rgb="FFFFFF00"/>
                </patternFill>
              </fill>
            </x14:dxf>
          </x14:cfRule>
          <xm:sqref>BN203:CB203</xm:sqref>
        </x14:conditionalFormatting>
        <x14:conditionalFormatting xmlns:xm="http://schemas.microsoft.com/office/excel/2006/main">
          <x14:cfRule type="expression" priority="4703239" id="{ADEF572A-6C18-4602-BB86-01C96D36E07E}">
            <xm:f>$CB$4='Data entry'!$R72</xm:f>
            <x14:dxf>
              <fill>
                <patternFill>
                  <bgColor rgb="FFFF0000"/>
                </patternFill>
              </fill>
            </x14:dxf>
          </x14:cfRule>
          <xm:sqref>BZ204:CC204</xm:sqref>
        </x14:conditionalFormatting>
        <x14:conditionalFormatting xmlns:xm="http://schemas.microsoft.com/office/excel/2006/main">
          <x14:cfRule type="expression" priority="4703240" id="{7984E1C9-E073-4955-8543-62145CB6D008}">
            <xm:f>$CC$4='Data entry'!$R72</xm:f>
            <x14:dxf>
              <fill>
                <patternFill>
                  <bgColor rgb="FFFFFF00"/>
                </patternFill>
              </fill>
            </x14:dxf>
          </x14:cfRule>
          <xm:sqref>BO203:CC203</xm:sqref>
        </x14:conditionalFormatting>
        <x14:conditionalFormatting xmlns:xm="http://schemas.microsoft.com/office/excel/2006/main">
          <x14:cfRule type="expression" priority="4703241" id="{18A957B3-59FA-4698-BA92-2A208FF18E2F}">
            <xm:f>$CC$4='Data entry'!$R72</xm:f>
            <x14:dxf>
              <fill>
                <patternFill>
                  <bgColor rgb="FFFF0000"/>
                </patternFill>
              </fill>
            </x14:dxf>
          </x14:cfRule>
          <xm:sqref>CA204:CC204</xm:sqref>
        </x14:conditionalFormatting>
        <x14:conditionalFormatting xmlns:xm="http://schemas.microsoft.com/office/excel/2006/main">
          <x14:cfRule type="expression" priority="4703328" id="{5B0DB825-B7C2-40AC-B7EF-F267F054CFB9}">
            <xm:f>$U$4='Data entry'!$R73</xm:f>
            <x14:dxf>
              <fill>
                <patternFill>
                  <bgColor rgb="FFFF0000"/>
                </patternFill>
              </fill>
            </x14:dxf>
          </x14:cfRule>
          <xm:sqref>S207:AE207</xm:sqref>
        </x14:conditionalFormatting>
        <x14:conditionalFormatting xmlns:xm="http://schemas.microsoft.com/office/excel/2006/main">
          <x14:cfRule type="expression" priority="4703329" id="{18311200-E2BB-400F-B594-3B9A2C6068C2}">
            <xm:f>$V$4='Data entry'!$R73</xm:f>
            <x14:dxf>
              <fill>
                <patternFill>
                  <bgColor rgb="FFFF0000"/>
                </patternFill>
              </fill>
            </x14:dxf>
          </x14:cfRule>
          <xm:sqref>T207:AF207</xm:sqref>
        </x14:conditionalFormatting>
        <x14:conditionalFormatting xmlns:xm="http://schemas.microsoft.com/office/excel/2006/main">
          <x14:cfRule type="expression" priority="4703330" id="{D6DFB621-1A58-4C59-A987-ECAD0EB2D32B}">
            <xm:f>$V$4='Data entry'!$R73</xm:f>
            <x14:dxf>
              <fill>
                <patternFill>
                  <bgColor rgb="FFFFFF00"/>
                </patternFill>
              </fill>
            </x14:dxf>
          </x14:cfRule>
          <xm:sqref>H206:V206</xm:sqref>
        </x14:conditionalFormatting>
        <x14:conditionalFormatting xmlns:xm="http://schemas.microsoft.com/office/excel/2006/main">
          <x14:cfRule type="expression" priority="4703331" id="{5F87A680-DC5F-433D-A779-B7A534ACCDA9}">
            <xm:f>$W$4='Data entry'!$R73</xm:f>
            <x14:dxf>
              <fill>
                <patternFill>
                  <bgColor rgb="FFFF0000"/>
                </patternFill>
              </fill>
            </x14:dxf>
          </x14:cfRule>
          <xm:sqref>U207:AG207</xm:sqref>
        </x14:conditionalFormatting>
        <x14:conditionalFormatting xmlns:xm="http://schemas.microsoft.com/office/excel/2006/main">
          <x14:cfRule type="expression" priority="4703332" id="{964539FF-A92C-4F68-B268-B7157A32678C}">
            <xm:f>$W$4='Data entry'!$R73</xm:f>
            <x14:dxf>
              <fill>
                <patternFill>
                  <bgColor rgb="FFFFFF00"/>
                </patternFill>
              </fill>
            </x14:dxf>
          </x14:cfRule>
          <xm:sqref>I206:W206</xm:sqref>
        </x14:conditionalFormatting>
        <x14:conditionalFormatting xmlns:xm="http://schemas.microsoft.com/office/excel/2006/main">
          <x14:cfRule type="expression" priority="4703333" id="{46C1533A-F090-4A90-9309-3F59EC3FD3B0}">
            <xm:f>$X$4='Data entry'!$R73</xm:f>
            <x14:dxf>
              <fill>
                <patternFill>
                  <bgColor rgb="FFFF0000"/>
                </patternFill>
              </fill>
            </x14:dxf>
          </x14:cfRule>
          <xm:sqref>V207:AH207</xm:sqref>
        </x14:conditionalFormatting>
        <x14:conditionalFormatting xmlns:xm="http://schemas.microsoft.com/office/excel/2006/main">
          <x14:cfRule type="expression" priority="4703334" id="{7C70E81C-DDD4-4D75-933A-4F6A39893184}">
            <xm:f>$X$4='Data entry'!$R73</xm:f>
            <x14:dxf>
              <fill>
                <patternFill>
                  <bgColor rgb="FFFFFF00"/>
                </patternFill>
              </fill>
            </x14:dxf>
          </x14:cfRule>
          <xm:sqref>J206:X206</xm:sqref>
        </x14:conditionalFormatting>
        <x14:conditionalFormatting xmlns:xm="http://schemas.microsoft.com/office/excel/2006/main">
          <x14:cfRule type="expression" priority="4703335" id="{561AF073-0EF8-4B72-A119-40A639C4359D}">
            <xm:f>$Y$4='Data entry'!$R73</xm:f>
            <x14:dxf>
              <fill>
                <patternFill>
                  <bgColor rgb="FFFF0000"/>
                </patternFill>
              </fill>
            </x14:dxf>
          </x14:cfRule>
          <xm:sqref>W207:AI207</xm:sqref>
        </x14:conditionalFormatting>
        <x14:conditionalFormatting xmlns:xm="http://schemas.microsoft.com/office/excel/2006/main">
          <x14:cfRule type="expression" priority="4703336" id="{F242E808-8F07-4A89-9524-7D4C767CE357}">
            <xm:f>$Y$4='Data entry'!$R73</xm:f>
            <x14:dxf>
              <fill>
                <patternFill>
                  <bgColor rgb="FFFFFF00"/>
                </patternFill>
              </fill>
            </x14:dxf>
          </x14:cfRule>
          <xm:sqref>K206:Y206</xm:sqref>
        </x14:conditionalFormatting>
        <x14:conditionalFormatting xmlns:xm="http://schemas.microsoft.com/office/excel/2006/main">
          <x14:cfRule type="expression" priority="4703337" id="{DD601058-982B-4218-BD9D-64BB823C2633}">
            <xm:f>$Z$4='Data entry'!$R73</xm:f>
            <x14:dxf>
              <fill>
                <patternFill>
                  <bgColor rgb="FFFF0000"/>
                </patternFill>
              </fill>
            </x14:dxf>
          </x14:cfRule>
          <xm:sqref>X207:AJ207</xm:sqref>
        </x14:conditionalFormatting>
        <x14:conditionalFormatting xmlns:xm="http://schemas.microsoft.com/office/excel/2006/main">
          <x14:cfRule type="expression" priority="4703338" id="{C9DB141D-79F6-4093-92A3-7BF7A1622985}">
            <xm:f>$Z$4='Data entry'!$R73</xm:f>
            <x14:dxf>
              <fill>
                <patternFill>
                  <bgColor rgb="FFFFFF00"/>
                </patternFill>
              </fill>
            </x14:dxf>
          </x14:cfRule>
          <xm:sqref>L206:Z206</xm:sqref>
        </x14:conditionalFormatting>
        <x14:conditionalFormatting xmlns:xm="http://schemas.microsoft.com/office/excel/2006/main">
          <x14:cfRule type="expression" priority="4703339" id="{710EB8D3-F5C0-4E3C-8214-2D0C4E26F649}">
            <xm:f>$AA$4='Data entry'!$R73</xm:f>
            <x14:dxf>
              <fill>
                <patternFill>
                  <bgColor rgb="FFFF0000"/>
                </patternFill>
              </fill>
            </x14:dxf>
          </x14:cfRule>
          <xm:sqref>Y207:AK207</xm:sqref>
        </x14:conditionalFormatting>
        <x14:conditionalFormatting xmlns:xm="http://schemas.microsoft.com/office/excel/2006/main">
          <x14:cfRule type="expression" priority="4703340" id="{33825D69-C967-4D27-B395-5D44A3083802}">
            <xm:f>$AA$4='Data entry'!$R73</xm:f>
            <x14:dxf>
              <fill>
                <patternFill>
                  <bgColor rgb="FFFFFF00"/>
                </patternFill>
              </fill>
            </x14:dxf>
          </x14:cfRule>
          <xm:sqref>M206:AA206</xm:sqref>
        </x14:conditionalFormatting>
        <x14:conditionalFormatting xmlns:xm="http://schemas.microsoft.com/office/excel/2006/main">
          <x14:cfRule type="expression" priority="4703341" id="{9811A97D-351B-4D32-8754-AF433277E62B}">
            <xm:f>$AB$4='Data entry'!$R73</xm:f>
            <x14:dxf>
              <fill>
                <patternFill>
                  <bgColor rgb="FFFF0000"/>
                </patternFill>
              </fill>
            </x14:dxf>
          </x14:cfRule>
          <xm:sqref>Z207:AL207</xm:sqref>
        </x14:conditionalFormatting>
        <x14:conditionalFormatting xmlns:xm="http://schemas.microsoft.com/office/excel/2006/main">
          <x14:cfRule type="expression" priority="4703342" id="{6DD3E556-C72E-438B-92DA-3096ED1E4178}">
            <xm:f>$AB$4='Data entry'!$R73</xm:f>
            <x14:dxf>
              <fill>
                <patternFill>
                  <bgColor rgb="FFFFFF00"/>
                </patternFill>
              </fill>
            </x14:dxf>
          </x14:cfRule>
          <xm:sqref>N206:AB206</xm:sqref>
        </x14:conditionalFormatting>
        <x14:conditionalFormatting xmlns:xm="http://schemas.microsoft.com/office/excel/2006/main">
          <x14:cfRule type="expression" priority="4703343" id="{C0DF7A1B-D6BC-4371-BD3A-F0708147FA1C}">
            <xm:f>$AC$4='Data entry'!$R73</xm:f>
            <x14:dxf>
              <fill>
                <patternFill>
                  <bgColor rgb="FFFF0000"/>
                </patternFill>
              </fill>
            </x14:dxf>
          </x14:cfRule>
          <xm:sqref>AA207:AM207</xm:sqref>
        </x14:conditionalFormatting>
        <x14:conditionalFormatting xmlns:xm="http://schemas.microsoft.com/office/excel/2006/main">
          <x14:cfRule type="expression" priority="4703344" id="{DB2E1F48-AF0E-41F9-A976-6B1963CA5711}">
            <xm:f>$AC$4='Data entry'!$R73</xm:f>
            <x14:dxf>
              <fill>
                <patternFill>
                  <bgColor rgb="FFFFFF00"/>
                </patternFill>
              </fill>
            </x14:dxf>
          </x14:cfRule>
          <xm:sqref>O206:AC206</xm:sqref>
        </x14:conditionalFormatting>
        <x14:conditionalFormatting xmlns:xm="http://schemas.microsoft.com/office/excel/2006/main">
          <x14:cfRule type="expression" priority="4703345" id="{89909907-F9A9-4AF9-BC1D-304710A43F50}">
            <xm:f>$AD$4='Data entry'!$R73</xm:f>
            <x14:dxf>
              <fill>
                <patternFill>
                  <bgColor rgb="FFFF0000"/>
                </patternFill>
              </fill>
            </x14:dxf>
          </x14:cfRule>
          <xm:sqref>AB207:AN207</xm:sqref>
        </x14:conditionalFormatting>
        <x14:conditionalFormatting xmlns:xm="http://schemas.microsoft.com/office/excel/2006/main">
          <x14:cfRule type="expression" priority="4703346" id="{729676B7-E331-43A4-ACC9-850DCEE76A0E}">
            <xm:f>$AD$4='Data entry'!$R73</xm:f>
            <x14:dxf>
              <fill>
                <patternFill>
                  <bgColor rgb="FFFFFF00"/>
                </patternFill>
              </fill>
            </x14:dxf>
          </x14:cfRule>
          <xm:sqref>P206:AD206</xm:sqref>
        </x14:conditionalFormatting>
        <x14:conditionalFormatting xmlns:xm="http://schemas.microsoft.com/office/excel/2006/main">
          <x14:cfRule type="expression" priority="4703347" id="{00DA2C55-350E-44AA-ABEA-808FABFDA737}">
            <xm:f>$AE$4='Data entry'!$R73</xm:f>
            <x14:dxf>
              <fill>
                <patternFill>
                  <bgColor rgb="FFFF0000"/>
                </patternFill>
              </fill>
            </x14:dxf>
          </x14:cfRule>
          <xm:sqref>AC207:AO207</xm:sqref>
        </x14:conditionalFormatting>
        <x14:conditionalFormatting xmlns:xm="http://schemas.microsoft.com/office/excel/2006/main">
          <x14:cfRule type="expression" priority="4703348" id="{373C95F1-00C1-45E9-B561-5224945BA4A4}">
            <xm:f>$AE$4='Data entry'!$R73</xm:f>
            <x14:dxf>
              <fill>
                <patternFill>
                  <bgColor rgb="FFFFFF00"/>
                </patternFill>
              </fill>
            </x14:dxf>
          </x14:cfRule>
          <xm:sqref>Q206:AE206</xm:sqref>
        </x14:conditionalFormatting>
        <x14:conditionalFormatting xmlns:xm="http://schemas.microsoft.com/office/excel/2006/main">
          <x14:cfRule type="expression" priority="4703349" id="{65E90E74-6BEF-4B00-BD5E-ECACFEBC225A}">
            <xm:f>$AF$4='Data entry'!$R73</xm:f>
            <x14:dxf>
              <fill>
                <patternFill>
                  <bgColor rgb="FFFF0000"/>
                </patternFill>
              </fill>
            </x14:dxf>
          </x14:cfRule>
          <xm:sqref>AD207:AP207</xm:sqref>
        </x14:conditionalFormatting>
        <x14:conditionalFormatting xmlns:xm="http://schemas.microsoft.com/office/excel/2006/main">
          <x14:cfRule type="expression" priority="4703350" id="{56B519D7-E083-4811-B42B-D6CB10D44BB3}">
            <xm:f>$AF$4='Data entry'!$R73</xm:f>
            <x14:dxf>
              <fill>
                <patternFill>
                  <bgColor rgb="FFFFFF00"/>
                </patternFill>
              </fill>
            </x14:dxf>
          </x14:cfRule>
          <xm:sqref>R206:AF206</xm:sqref>
        </x14:conditionalFormatting>
        <x14:conditionalFormatting xmlns:xm="http://schemas.microsoft.com/office/excel/2006/main">
          <x14:cfRule type="expression" priority="4703351" id="{889682B6-BF9B-414B-86B7-1C802156B058}">
            <xm:f>$AG$4='Data entry'!$R73</xm:f>
            <x14:dxf>
              <fill>
                <patternFill>
                  <bgColor rgb="FFFF0000"/>
                </patternFill>
              </fill>
            </x14:dxf>
          </x14:cfRule>
          <xm:sqref>AE207:AQ207</xm:sqref>
        </x14:conditionalFormatting>
        <x14:conditionalFormatting xmlns:xm="http://schemas.microsoft.com/office/excel/2006/main">
          <x14:cfRule type="expression" priority="4703352" id="{19913D88-1940-4CB0-B29C-D46D60833BD5}">
            <xm:f>$AG$4='Data entry'!$R73</xm:f>
            <x14:dxf>
              <fill>
                <patternFill>
                  <bgColor rgb="FFFFFF00"/>
                </patternFill>
              </fill>
            </x14:dxf>
          </x14:cfRule>
          <xm:sqref>S206:AG206</xm:sqref>
        </x14:conditionalFormatting>
        <x14:conditionalFormatting xmlns:xm="http://schemas.microsoft.com/office/excel/2006/main">
          <x14:cfRule type="expression" priority="4703353" id="{3DD7B9A5-18A3-463F-BAD5-9796FC487328}">
            <xm:f>$AH$4='Data entry'!$R73</xm:f>
            <x14:dxf>
              <fill>
                <patternFill>
                  <bgColor rgb="FFFF0000"/>
                </patternFill>
              </fill>
            </x14:dxf>
          </x14:cfRule>
          <xm:sqref>AF207:AR207</xm:sqref>
        </x14:conditionalFormatting>
        <x14:conditionalFormatting xmlns:xm="http://schemas.microsoft.com/office/excel/2006/main">
          <x14:cfRule type="expression" priority="4703354" id="{31005CF4-5608-496E-91EB-F7F505046C80}">
            <xm:f>$AH$4='Data entry'!$R73</xm:f>
            <x14:dxf>
              <fill>
                <patternFill>
                  <bgColor rgb="FFFFFF00"/>
                </patternFill>
              </fill>
            </x14:dxf>
          </x14:cfRule>
          <xm:sqref>T206:AH206</xm:sqref>
        </x14:conditionalFormatting>
        <x14:conditionalFormatting xmlns:xm="http://schemas.microsoft.com/office/excel/2006/main">
          <x14:cfRule type="expression" priority="4703355" id="{CD14F654-5B7A-444F-8FC1-7DD71E76E475}">
            <xm:f>$AI$4='Data entry'!$R73</xm:f>
            <x14:dxf>
              <fill>
                <patternFill>
                  <bgColor rgb="FFFF0000"/>
                </patternFill>
              </fill>
            </x14:dxf>
          </x14:cfRule>
          <xm:sqref>AG207:AS207</xm:sqref>
        </x14:conditionalFormatting>
        <x14:conditionalFormatting xmlns:xm="http://schemas.microsoft.com/office/excel/2006/main">
          <x14:cfRule type="expression" priority="4703356" id="{0E4E448C-6C46-4285-B877-A61A90294385}">
            <xm:f>$AI$4='Data entry'!$R73</xm:f>
            <x14:dxf>
              <fill>
                <patternFill>
                  <bgColor rgb="FFFFFF00"/>
                </patternFill>
              </fill>
            </x14:dxf>
          </x14:cfRule>
          <xm:sqref>U206:AI206</xm:sqref>
        </x14:conditionalFormatting>
        <x14:conditionalFormatting xmlns:xm="http://schemas.microsoft.com/office/excel/2006/main">
          <x14:cfRule type="expression" priority="4703357" id="{B1C1818F-791C-403D-BE73-6F6E9DC6A16D}">
            <xm:f>$AJ$4='Data entry'!$R73</xm:f>
            <x14:dxf>
              <fill>
                <patternFill>
                  <bgColor rgb="FFFF0000"/>
                </patternFill>
              </fill>
            </x14:dxf>
          </x14:cfRule>
          <xm:sqref>AH207:AT207</xm:sqref>
        </x14:conditionalFormatting>
        <x14:conditionalFormatting xmlns:xm="http://schemas.microsoft.com/office/excel/2006/main">
          <x14:cfRule type="expression" priority="4703358" id="{A1237792-221B-431B-B8A7-E9A64DA46D93}">
            <xm:f>$AJ$4='Data entry'!$R73</xm:f>
            <x14:dxf>
              <fill>
                <patternFill>
                  <bgColor rgb="FFFFFF00"/>
                </patternFill>
              </fill>
            </x14:dxf>
          </x14:cfRule>
          <xm:sqref>V206:AJ206</xm:sqref>
        </x14:conditionalFormatting>
        <x14:conditionalFormatting xmlns:xm="http://schemas.microsoft.com/office/excel/2006/main">
          <x14:cfRule type="expression" priority="4703359" id="{617DC2AF-C7A3-4724-8EA3-17DEFEDC8949}">
            <xm:f>$AK$4='Data entry'!$R73</xm:f>
            <x14:dxf>
              <fill>
                <patternFill>
                  <bgColor rgb="FFFF0000"/>
                </patternFill>
              </fill>
            </x14:dxf>
          </x14:cfRule>
          <xm:sqref>AI207:AU207</xm:sqref>
        </x14:conditionalFormatting>
        <x14:conditionalFormatting xmlns:xm="http://schemas.microsoft.com/office/excel/2006/main">
          <x14:cfRule type="expression" priority="4703360" id="{AA72317D-37B1-48EB-A28B-BF2AC8DC4519}">
            <xm:f>$AK$4='Data entry'!$R73</xm:f>
            <x14:dxf>
              <fill>
                <patternFill>
                  <bgColor rgb="FFFFFF00"/>
                </patternFill>
              </fill>
            </x14:dxf>
          </x14:cfRule>
          <xm:sqref>W206:AK206</xm:sqref>
        </x14:conditionalFormatting>
        <x14:conditionalFormatting xmlns:xm="http://schemas.microsoft.com/office/excel/2006/main">
          <x14:cfRule type="expression" priority="4703361" id="{6CA9FB7A-20EA-4D3A-B74C-A001F4BE810D}">
            <xm:f>$AL$4='Data entry'!$R73</xm:f>
            <x14:dxf>
              <fill>
                <patternFill>
                  <bgColor rgb="FFFF0000"/>
                </patternFill>
              </fill>
            </x14:dxf>
          </x14:cfRule>
          <xm:sqref>AJ207:AV207</xm:sqref>
        </x14:conditionalFormatting>
        <x14:conditionalFormatting xmlns:xm="http://schemas.microsoft.com/office/excel/2006/main">
          <x14:cfRule type="expression" priority="4703362" id="{81A75DAA-573F-4EF3-A640-1B992C18BEA0}">
            <xm:f>$AL$4='Data entry'!$R73</xm:f>
            <x14:dxf>
              <fill>
                <patternFill>
                  <bgColor rgb="FFFFFF00"/>
                </patternFill>
              </fill>
            </x14:dxf>
          </x14:cfRule>
          <xm:sqref>X206:AL206</xm:sqref>
        </x14:conditionalFormatting>
        <x14:conditionalFormatting xmlns:xm="http://schemas.microsoft.com/office/excel/2006/main">
          <x14:cfRule type="expression" priority="4703363" id="{3D44713E-4ABA-4CCD-9DF4-5513A9FB5E1E}">
            <xm:f>$AM$4='Data entry'!$R73</xm:f>
            <x14:dxf>
              <fill>
                <patternFill>
                  <bgColor rgb="FFFF0000"/>
                </patternFill>
              </fill>
            </x14:dxf>
          </x14:cfRule>
          <xm:sqref>AK207:AW207</xm:sqref>
        </x14:conditionalFormatting>
        <x14:conditionalFormatting xmlns:xm="http://schemas.microsoft.com/office/excel/2006/main">
          <x14:cfRule type="expression" priority="4703364" id="{05A26B51-72A7-4423-822F-2BDBC28275D0}">
            <xm:f>$AM$4='Data entry'!$R73</xm:f>
            <x14:dxf>
              <fill>
                <patternFill>
                  <bgColor rgb="FFFFFF00"/>
                </patternFill>
              </fill>
            </x14:dxf>
          </x14:cfRule>
          <xm:sqref>Y206:AM206</xm:sqref>
        </x14:conditionalFormatting>
        <x14:conditionalFormatting xmlns:xm="http://schemas.microsoft.com/office/excel/2006/main">
          <x14:cfRule type="expression" priority="4703365" id="{B8A20675-6230-4694-A7F6-6B3DC7142773}">
            <xm:f>$AN$4='Data entry'!$R73</xm:f>
            <x14:dxf>
              <fill>
                <patternFill>
                  <bgColor rgb="FFFF0000"/>
                </patternFill>
              </fill>
            </x14:dxf>
          </x14:cfRule>
          <xm:sqref>AL207:AX207</xm:sqref>
        </x14:conditionalFormatting>
        <x14:conditionalFormatting xmlns:xm="http://schemas.microsoft.com/office/excel/2006/main">
          <x14:cfRule type="expression" priority="4703366" id="{8421181C-7450-42E9-BC1D-065CCFCA960E}">
            <xm:f>$AN$4='Data entry'!$R73</xm:f>
            <x14:dxf>
              <fill>
                <patternFill>
                  <bgColor rgb="FFFFFF00"/>
                </patternFill>
              </fill>
            </x14:dxf>
          </x14:cfRule>
          <xm:sqref>Z206:AN206</xm:sqref>
        </x14:conditionalFormatting>
        <x14:conditionalFormatting xmlns:xm="http://schemas.microsoft.com/office/excel/2006/main">
          <x14:cfRule type="expression" priority="4703367" id="{067FE4BD-6EF4-4684-B6E0-35AB2F267EE7}">
            <xm:f>$AO$4='Data entry'!$R73</xm:f>
            <x14:dxf>
              <fill>
                <patternFill>
                  <bgColor rgb="FFFF0000"/>
                </patternFill>
              </fill>
            </x14:dxf>
          </x14:cfRule>
          <xm:sqref>AM207:AY207</xm:sqref>
        </x14:conditionalFormatting>
        <x14:conditionalFormatting xmlns:xm="http://schemas.microsoft.com/office/excel/2006/main">
          <x14:cfRule type="expression" priority="4703368" id="{F7653492-88D1-47AC-8BA3-0CCE65C3C2AB}">
            <xm:f>$AO$4='Data entry'!$R73</xm:f>
            <x14:dxf>
              <fill>
                <patternFill>
                  <bgColor rgb="FFFFFF00"/>
                </patternFill>
              </fill>
            </x14:dxf>
          </x14:cfRule>
          <xm:sqref>AA206:AO206</xm:sqref>
        </x14:conditionalFormatting>
        <x14:conditionalFormatting xmlns:xm="http://schemas.microsoft.com/office/excel/2006/main">
          <x14:cfRule type="expression" priority="4703369" id="{207A5E5D-B322-482E-9193-1D7318138358}">
            <xm:f>$AP$4='Data entry'!$R73</xm:f>
            <x14:dxf>
              <fill>
                <patternFill>
                  <bgColor rgb="FFFF0000"/>
                </patternFill>
              </fill>
            </x14:dxf>
          </x14:cfRule>
          <xm:sqref>AN207:AZ207</xm:sqref>
        </x14:conditionalFormatting>
        <x14:conditionalFormatting xmlns:xm="http://schemas.microsoft.com/office/excel/2006/main">
          <x14:cfRule type="expression" priority="4703370" id="{21DA638D-4CA0-4067-BFF1-240CE1A0261B}">
            <xm:f>$AP$4='Data entry'!$R73</xm:f>
            <x14:dxf>
              <fill>
                <patternFill>
                  <bgColor rgb="FFFFFF00"/>
                </patternFill>
              </fill>
            </x14:dxf>
          </x14:cfRule>
          <xm:sqref>AB206:AP206</xm:sqref>
        </x14:conditionalFormatting>
        <x14:conditionalFormatting xmlns:xm="http://schemas.microsoft.com/office/excel/2006/main">
          <x14:cfRule type="expression" priority="4703371" id="{71963D96-A42A-4B90-BFC7-6D83D37766EF}">
            <xm:f>$AQ$4='Data entry'!$R73</xm:f>
            <x14:dxf>
              <fill>
                <patternFill>
                  <bgColor rgb="FFFF0000"/>
                </patternFill>
              </fill>
            </x14:dxf>
          </x14:cfRule>
          <xm:sqref>AO207:BA207</xm:sqref>
        </x14:conditionalFormatting>
        <x14:conditionalFormatting xmlns:xm="http://schemas.microsoft.com/office/excel/2006/main">
          <x14:cfRule type="expression" priority="4703372" id="{74952595-84B6-484F-8FF6-FCC1F337DF4D}">
            <xm:f>$AQ$4='Data entry'!$R73</xm:f>
            <x14:dxf>
              <fill>
                <patternFill>
                  <bgColor rgb="FFFFFF00"/>
                </patternFill>
              </fill>
            </x14:dxf>
          </x14:cfRule>
          <xm:sqref>AC206:AQ206</xm:sqref>
        </x14:conditionalFormatting>
        <x14:conditionalFormatting xmlns:xm="http://schemas.microsoft.com/office/excel/2006/main">
          <x14:cfRule type="expression" priority="4703373" id="{8AC9C4B9-0A34-4BC0-B0F7-CA89434C4911}">
            <xm:f>$P$4='Data entry'!$R73</xm:f>
            <x14:dxf>
              <fill>
                <patternFill>
                  <bgColor rgb="FFFFFF00"/>
                </patternFill>
              </fill>
            </x14:dxf>
          </x14:cfRule>
          <xm:sqref>C206:P206</xm:sqref>
        </x14:conditionalFormatting>
        <x14:conditionalFormatting xmlns:xm="http://schemas.microsoft.com/office/excel/2006/main">
          <x14:cfRule type="expression" priority="4703374" id="{0A726775-ABFD-4F22-967C-1A4D87BA3751}">
            <xm:f>$Q$4='Data entry'!$R73</xm:f>
            <x14:dxf>
              <fill>
                <patternFill>
                  <bgColor rgb="FFFFFF00"/>
                </patternFill>
              </fill>
            </x14:dxf>
          </x14:cfRule>
          <xm:sqref>C206:Q206</xm:sqref>
        </x14:conditionalFormatting>
        <x14:conditionalFormatting xmlns:xm="http://schemas.microsoft.com/office/excel/2006/main">
          <x14:cfRule type="expression" priority="4703375" id="{3A8414BD-262C-43B5-86EE-FA6901D00453}">
            <xm:f>$Q$4='Data entry'!$R73</xm:f>
            <x14:dxf>
              <fill>
                <patternFill>
                  <bgColor rgb="FFFF0000"/>
                </patternFill>
              </fill>
            </x14:dxf>
          </x14:cfRule>
          <xm:sqref>O207:AA207</xm:sqref>
        </x14:conditionalFormatting>
        <x14:conditionalFormatting xmlns:xm="http://schemas.microsoft.com/office/excel/2006/main">
          <x14:cfRule type="expression" priority="4703376" id="{B8B5501D-F3EF-4449-9306-F652960C65F4}">
            <xm:f>$R$4='Data entry'!$R73</xm:f>
            <x14:dxf>
              <fill>
                <patternFill>
                  <bgColor rgb="FFFF0000"/>
                </patternFill>
              </fill>
            </x14:dxf>
          </x14:cfRule>
          <xm:sqref>P207:AB207</xm:sqref>
        </x14:conditionalFormatting>
        <x14:conditionalFormatting xmlns:xm="http://schemas.microsoft.com/office/excel/2006/main">
          <x14:cfRule type="expression" priority="4703377" id="{5D070DEC-B82E-4D87-B907-A3E5AB836991}">
            <xm:f>$R$4='Data entry'!$R73</xm:f>
            <x14:dxf>
              <fill>
                <patternFill>
                  <bgColor rgb="FFFFFF00"/>
                </patternFill>
              </fill>
            </x14:dxf>
          </x14:cfRule>
          <xm:sqref>D206:R206</xm:sqref>
        </x14:conditionalFormatting>
        <x14:conditionalFormatting xmlns:xm="http://schemas.microsoft.com/office/excel/2006/main">
          <x14:cfRule type="expression" priority="4703378" id="{E4D16A10-F818-4664-9FB2-F0E839824D4B}">
            <xm:f>$S$4='Data entry'!$R73</xm:f>
            <x14:dxf>
              <fill>
                <patternFill>
                  <bgColor rgb="FFFF0000"/>
                </patternFill>
              </fill>
            </x14:dxf>
          </x14:cfRule>
          <xm:sqref>Q207:AC207</xm:sqref>
        </x14:conditionalFormatting>
        <x14:conditionalFormatting xmlns:xm="http://schemas.microsoft.com/office/excel/2006/main">
          <x14:cfRule type="expression" priority="4703379" id="{1A9F9911-A3E9-4730-AFBE-AB8C596545CA}">
            <xm:f>$S$4='Data entry'!$R73</xm:f>
            <x14:dxf>
              <fill>
                <patternFill>
                  <bgColor rgb="FFFFFF00"/>
                </patternFill>
              </fill>
            </x14:dxf>
          </x14:cfRule>
          <xm:sqref>E206:S206</xm:sqref>
        </x14:conditionalFormatting>
        <x14:conditionalFormatting xmlns:xm="http://schemas.microsoft.com/office/excel/2006/main">
          <x14:cfRule type="expression" priority="4703380" id="{8BB5CD1B-B2AC-442A-9550-26DE19A62D22}">
            <xm:f>$T$4='Data entry'!$R73</xm:f>
            <x14:dxf>
              <fill>
                <patternFill>
                  <bgColor rgb="FFFF0000"/>
                </patternFill>
              </fill>
            </x14:dxf>
          </x14:cfRule>
          <xm:sqref>R207:AD207</xm:sqref>
        </x14:conditionalFormatting>
        <x14:conditionalFormatting xmlns:xm="http://schemas.microsoft.com/office/excel/2006/main">
          <x14:cfRule type="expression" priority="4703381" id="{E7B59C69-7921-4049-84A1-8B3E5F7B0598}">
            <xm:f>$T$4='Data entry'!$R73</xm:f>
            <x14:dxf>
              <fill>
                <patternFill>
                  <bgColor rgb="FFFFFF00"/>
                </patternFill>
              </fill>
            </x14:dxf>
          </x14:cfRule>
          <xm:sqref>F206:T206</xm:sqref>
        </x14:conditionalFormatting>
        <x14:conditionalFormatting xmlns:xm="http://schemas.microsoft.com/office/excel/2006/main">
          <x14:cfRule type="expression" priority="4703382" id="{238C09E5-7A3D-439D-949F-A7733073F9A2}">
            <xm:f>$U$4='Data entry'!$R73</xm:f>
            <x14:dxf>
              <fill>
                <patternFill>
                  <bgColor rgb="FFFFFF00"/>
                </patternFill>
              </fill>
            </x14:dxf>
          </x14:cfRule>
          <xm:sqref>G206:U206</xm:sqref>
        </x14:conditionalFormatting>
        <x14:conditionalFormatting xmlns:xm="http://schemas.microsoft.com/office/excel/2006/main">
          <x14:cfRule type="expression" priority="4703383" id="{DE4D4432-0A19-452A-AF14-2873FE4DF411}">
            <xm:f>$AR$4='Data entry'!$R73</xm:f>
            <x14:dxf>
              <fill>
                <patternFill>
                  <bgColor rgb="FFFF0000"/>
                </patternFill>
              </fill>
            </x14:dxf>
          </x14:cfRule>
          <xm:sqref>AP207:BB207</xm:sqref>
        </x14:conditionalFormatting>
        <x14:conditionalFormatting xmlns:xm="http://schemas.microsoft.com/office/excel/2006/main">
          <x14:cfRule type="expression" priority="4703384" id="{90D7E1FF-542D-40C8-9BD5-DFEB4CDD256F}">
            <xm:f>$AR$4='Data entry'!$R73</xm:f>
            <x14:dxf>
              <fill>
                <patternFill>
                  <bgColor rgb="FFFFFF00"/>
                </patternFill>
              </fill>
            </x14:dxf>
          </x14:cfRule>
          <xm:sqref>AD206:AR206</xm:sqref>
        </x14:conditionalFormatting>
        <x14:conditionalFormatting xmlns:xm="http://schemas.microsoft.com/office/excel/2006/main">
          <x14:cfRule type="expression" priority="4703385" id="{0EBB5305-4A4A-4205-A1FF-11160070CBC3}">
            <xm:f>$AS$4='Data entry'!$R73</xm:f>
            <x14:dxf>
              <fill>
                <patternFill>
                  <bgColor rgb="FFFF0000"/>
                </patternFill>
              </fill>
            </x14:dxf>
          </x14:cfRule>
          <xm:sqref>AQ207:BC207</xm:sqref>
        </x14:conditionalFormatting>
        <x14:conditionalFormatting xmlns:xm="http://schemas.microsoft.com/office/excel/2006/main">
          <x14:cfRule type="expression" priority="4703386" id="{AC8EB30C-4253-4CE1-820E-1801F6D8D35B}">
            <xm:f>$AS$4='Data entry'!$R73</xm:f>
            <x14:dxf>
              <fill>
                <patternFill>
                  <bgColor rgb="FFFFFF00"/>
                </patternFill>
              </fill>
            </x14:dxf>
          </x14:cfRule>
          <xm:sqref>AE206:AS206</xm:sqref>
        </x14:conditionalFormatting>
        <x14:conditionalFormatting xmlns:xm="http://schemas.microsoft.com/office/excel/2006/main">
          <x14:cfRule type="expression" priority="4703387" id="{E11744C1-7201-4272-A1B0-945490B42425}">
            <xm:f>$AT$4='Data entry'!$R73</xm:f>
            <x14:dxf>
              <fill>
                <patternFill>
                  <bgColor rgb="FFFF0000"/>
                </patternFill>
              </fill>
            </x14:dxf>
          </x14:cfRule>
          <xm:sqref>AR207:BD207</xm:sqref>
        </x14:conditionalFormatting>
        <x14:conditionalFormatting xmlns:xm="http://schemas.microsoft.com/office/excel/2006/main">
          <x14:cfRule type="expression" priority="4703388" id="{5EE2823B-E955-4EA7-B99C-0B1F77B57A69}">
            <xm:f>$AT$4='Data entry'!$R73</xm:f>
            <x14:dxf>
              <fill>
                <patternFill>
                  <bgColor rgb="FFFFFF00"/>
                </patternFill>
              </fill>
            </x14:dxf>
          </x14:cfRule>
          <xm:sqref>AF206:AT206</xm:sqref>
        </x14:conditionalFormatting>
        <x14:conditionalFormatting xmlns:xm="http://schemas.microsoft.com/office/excel/2006/main">
          <x14:cfRule type="expression" priority="4703389" id="{5737DC63-3262-4B34-900C-2AAEB255FCBA}">
            <xm:f>$AU$4='Data entry'!$R73</xm:f>
            <x14:dxf>
              <fill>
                <patternFill>
                  <bgColor rgb="FFFF0000"/>
                </patternFill>
              </fill>
            </x14:dxf>
          </x14:cfRule>
          <xm:sqref>AS207:BE207</xm:sqref>
        </x14:conditionalFormatting>
        <x14:conditionalFormatting xmlns:xm="http://schemas.microsoft.com/office/excel/2006/main">
          <x14:cfRule type="expression" priority="4703390" id="{2B5C1F1B-3C3D-4CA3-BC64-0E98422075B6}">
            <xm:f>$AU$4='Data entry'!$R73</xm:f>
            <x14:dxf>
              <fill>
                <patternFill>
                  <bgColor rgb="FFFFFF00"/>
                </patternFill>
              </fill>
            </x14:dxf>
          </x14:cfRule>
          <xm:sqref>AG206:AU206</xm:sqref>
        </x14:conditionalFormatting>
        <x14:conditionalFormatting xmlns:xm="http://schemas.microsoft.com/office/excel/2006/main">
          <x14:cfRule type="expression" priority="4703391" id="{B87A1285-B003-4855-8F4B-53C391BA10E6}">
            <xm:f>$AV$4='Data entry'!$R73</xm:f>
            <x14:dxf>
              <fill>
                <patternFill>
                  <bgColor rgb="FFFF0000"/>
                </patternFill>
              </fill>
            </x14:dxf>
          </x14:cfRule>
          <xm:sqref>AT207:BF207</xm:sqref>
        </x14:conditionalFormatting>
        <x14:conditionalFormatting xmlns:xm="http://schemas.microsoft.com/office/excel/2006/main">
          <x14:cfRule type="expression" priority="4703392" id="{338EE31C-78DB-4818-B837-0380F9E457FA}">
            <xm:f>$AV$4='Data entry'!$R73</xm:f>
            <x14:dxf>
              <fill>
                <patternFill>
                  <bgColor rgb="FFFFFF00"/>
                </patternFill>
              </fill>
            </x14:dxf>
          </x14:cfRule>
          <xm:sqref>AH206:AV206</xm:sqref>
        </x14:conditionalFormatting>
        <x14:conditionalFormatting xmlns:xm="http://schemas.microsoft.com/office/excel/2006/main">
          <x14:cfRule type="expression" priority="4703393" id="{5C40EA66-2801-4C91-B885-BF6A1ECFC35C}">
            <xm:f>$AW$4='Data entry'!$R73</xm:f>
            <x14:dxf>
              <fill>
                <patternFill>
                  <bgColor rgb="FFFF0000"/>
                </patternFill>
              </fill>
            </x14:dxf>
          </x14:cfRule>
          <xm:sqref>AU207:BG207</xm:sqref>
        </x14:conditionalFormatting>
        <x14:conditionalFormatting xmlns:xm="http://schemas.microsoft.com/office/excel/2006/main">
          <x14:cfRule type="expression" priority="4703394" id="{51BCD5CE-DF86-4C2F-8A81-DDA1EFD6C8F7}">
            <xm:f>$AW$4='Data entry'!$R73</xm:f>
            <x14:dxf>
              <fill>
                <patternFill>
                  <bgColor rgb="FFFFFF00"/>
                </patternFill>
              </fill>
            </x14:dxf>
          </x14:cfRule>
          <xm:sqref>AI206:AW206</xm:sqref>
        </x14:conditionalFormatting>
        <x14:conditionalFormatting xmlns:xm="http://schemas.microsoft.com/office/excel/2006/main">
          <x14:cfRule type="expression" priority="4703395" id="{DC2ED5A0-8917-4877-8CD3-9DF9BE5993C9}">
            <xm:f>$AX$4='Data entry'!$R73</xm:f>
            <x14:dxf>
              <fill>
                <patternFill>
                  <bgColor rgb="FFFF0000"/>
                </patternFill>
              </fill>
            </x14:dxf>
          </x14:cfRule>
          <xm:sqref>AV207:BH207</xm:sqref>
        </x14:conditionalFormatting>
        <x14:conditionalFormatting xmlns:xm="http://schemas.microsoft.com/office/excel/2006/main">
          <x14:cfRule type="expression" priority="4703396" id="{59B31869-20F9-45BD-BC80-0A6C8945CE2C}">
            <xm:f>$AX$4='Data entry'!$R73</xm:f>
            <x14:dxf>
              <fill>
                <patternFill>
                  <bgColor rgb="FFFFFF00"/>
                </patternFill>
              </fill>
            </x14:dxf>
          </x14:cfRule>
          <xm:sqref>AJ206:AX206</xm:sqref>
        </x14:conditionalFormatting>
        <x14:conditionalFormatting xmlns:xm="http://schemas.microsoft.com/office/excel/2006/main">
          <x14:cfRule type="expression" priority="4703397" id="{D4208FA0-4262-4037-934C-6D0742B2AD8E}">
            <xm:f>$AY$4='Data entry'!$R73</xm:f>
            <x14:dxf>
              <fill>
                <patternFill>
                  <bgColor rgb="FFFF0000"/>
                </patternFill>
              </fill>
            </x14:dxf>
          </x14:cfRule>
          <xm:sqref>AW207:BI207</xm:sqref>
        </x14:conditionalFormatting>
        <x14:conditionalFormatting xmlns:xm="http://schemas.microsoft.com/office/excel/2006/main">
          <x14:cfRule type="expression" priority="4703398" id="{04D6E423-18C7-42B2-A67D-F49D8E62B571}">
            <xm:f>$AY$4='Data entry'!$R73</xm:f>
            <x14:dxf>
              <fill>
                <patternFill>
                  <bgColor rgb="FFFFFF00"/>
                </patternFill>
              </fill>
            </x14:dxf>
          </x14:cfRule>
          <xm:sqref>AK206:AY206</xm:sqref>
        </x14:conditionalFormatting>
        <x14:conditionalFormatting xmlns:xm="http://schemas.microsoft.com/office/excel/2006/main">
          <x14:cfRule type="expression" priority="4703399" id="{A931C203-6E4B-4EBD-A2F4-1876881F48D4}">
            <xm:f>$AZ$4='Data entry'!$R73</xm:f>
            <x14:dxf>
              <fill>
                <patternFill>
                  <bgColor rgb="FFFF0000"/>
                </patternFill>
              </fill>
            </x14:dxf>
          </x14:cfRule>
          <xm:sqref>AX207:BJ207</xm:sqref>
        </x14:conditionalFormatting>
        <x14:conditionalFormatting xmlns:xm="http://schemas.microsoft.com/office/excel/2006/main">
          <x14:cfRule type="expression" priority="4703400" id="{092D9100-E652-40FE-8CAA-720DC0681250}">
            <xm:f>$AZ$4='Data entry'!$R73</xm:f>
            <x14:dxf>
              <fill>
                <patternFill>
                  <bgColor rgb="FFFFFF00"/>
                </patternFill>
              </fill>
            </x14:dxf>
          </x14:cfRule>
          <xm:sqref>AL206:AZ206</xm:sqref>
        </x14:conditionalFormatting>
        <x14:conditionalFormatting xmlns:xm="http://schemas.microsoft.com/office/excel/2006/main">
          <x14:cfRule type="expression" priority="4703401" id="{A3C7E6BE-A225-483C-A983-A915DB662C52}">
            <xm:f>$BA$4='Data entry'!$R73</xm:f>
            <x14:dxf>
              <fill>
                <patternFill>
                  <bgColor rgb="FFFF0000"/>
                </patternFill>
              </fill>
            </x14:dxf>
          </x14:cfRule>
          <xm:sqref>AY207:BK207</xm:sqref>
        </x14:conditionalFormatting>
        <x14:conditionalFormatting xmlns:xm="http://schemas.microsoft.com/office/excel/2006/main">
          <x14:cfRule type="expression" priority="4703402" id="{F5CF569A-8AFA-4CFF-8BD3-F04D8927A99F}">
            <xm:f>$BA$4='Data entry'!$R73</xm:f>
            <x14:dxf>
              <fill>
                <patternFill>
                  <bgColor rgb="FFFFFF00"/>
                </patternFill>
              </fill>
            </x14:dxf>
          </x14:cfRule>
          <xm:sqref>AM206:BA206</xm:sqref>
        </x14:conditionalFormatting>
        <x14:conditionalFormatting xmlns:xm="http://schemas.microsoft.com/office/excel/2006/main">
          <x14:cfRule type="expression" priority="4703403" id="{E4DAC94A-7983-4BFB-A87B-45B58561841A}">
            <xm:f>$BB$4='Data entry'!$R73</xm:f>
            <x14:dxf>
              <fill>
                <patternFill>
                  <bgColor rgb="FFFF0000"/>
                </patternFill>
              </fill>
            </x14:dxf>
          </x14:cfRule>
          <xm:sqref>AZ207:BL207</xm:sqref>
        </x14:conditionalFormatting>
        <x14:conditionalFormatting xmlns:xm="http://schemas.microsoft.com/office/excel/2006/main">
          <x14:cfRule type="expression" priority="4703404" id="{E63849C5-F39B-4B0E-8F8A-B532EDF2CBAE}">
            <xm:f>$BB$4='Data entry'!$R73</xm:f>
            <x14:dxf>
              <fill>
                <patternFill>
                  <bgColor rgb="FFFFFF00"/>
                </patternFill>
              </fill>
            </x14:dxf>
          </x14:cfRule>
          <xm:sqref>AN206:BB206</xm:sqref>
        </x14:conditionalFormatting>
        <x14:conditionalFormatting xmlns:xm="http://schemas.microsoft.com/office/excel/2006/main">
          <x14:cfRule type="expression" priority="4703405" id="{4FDC32D3-C1F5-455D-9AA4-A03359B72526}">
            <xm:f>$BC$4='Data entry'!$R73</xm:f>
            <x14:dxf>
              <fill>
                <patternFill>
                  <bgColor rgb="FFFF0000"/>
                </patternFill>
              </fill>
            </x14:dxf>
          </x14:cfRule>
          <xm:sqref>BA207:BM207</xm:sqref>
        </x14:conditionalFormatting>
        <x14:conditionalFormatting xmlns:xm="http://schemas.microsoft.com/office/excel/2006/main">
          <x14:cfRule type="expression" priority="4703406" id="{5F0D0C60-B233-4C56-B05D-98C99990877F}">
            <xm:f>$BC$4='Data entry'!$R73</xm:f>
            <x14:dxf>
              <fill>
                <patternFill>
                  <bgColor rgb="FFFFFF00"/>
                </patternFill>
              </fill>
            </x14:dxf>
          </x14:cfRule>
          <xm:sqref>AO206:BC206</xm:sqref>
        </x14:conditionalFormatting>
        <x14:conditionalFormatting xmlns:xm="http://schemas.microsoft.com/office/excel/2006/main">
          <x14:cfRule type="expression" priority="4703407" id="{9EBCB60F-8135-43B6-A0F3-548D4092CC98}">
            <xm:f>$BD$4='Data entry'!$R73</xm:f>
            <x14:dxf>
              <fill>
                <patternFill>
                  <bgColor rgb="FFFF0000"/>
                </patternFill>
              </fill>
            </x14:dxf>
          </x14:cfRule>
          <xm:sqref>BB207:BN207</xm:sqref>
        </x14:conditionalFormatting>
        <x14:conditionalFormatting xmlns:xm="http://schemas.microsoft.com/office/excel/2006/main">
          <x14:cfRule type="expression" priority="4703408" id="{961AF346-4A73-41ED-9A8D-27D431B09C05}">
            <xm:f>$BD$4='Data entry'!$R73</xm:f>
            <x14:dxf>
              <fill>
                <patternFill>
                  <bgColor rgb="FFFFFF00"/>
                </patternFill>
              </fill>
            </x14:dxf>
          </x14:cfRule>
          <xm:sqref>AP206:BD206</xm:sqref>
        </x14:conditionalFormatting>
        <x14:conditionalFormatting xmlns:xm="http://schemas.microsoft.com/office/excel/2006/main">
          <x14:cfRule type="expression" priority="4703409" id="{5A887026-27CD-4F8C-8BA6-1E92704C1CA6}">
            <xm:f>$BE$4='Data entry'!$R73</xm:f>
            <x14:dxf>
              <fill>
                <patternFill>
                  <bgColor rgb="FFFF0000"/>
                </patternFill>
              </fill>
            </x14:dxf>
          </x14:cfRule>
          <xm:sqref>BC207:BO207</xm:sqref>
        </x14:conditionalFormatting>
        <x14:conditionalFormatting xmlns:xm="http://schemas.microsoft.com/office/excel/2006/main">
          <x14:cfRule type="expression" priority="4703410" id="{7F46217B-A1E9-4515-B31E-E756FCD7C6D9}">
            <xm:f>$BE$4='Data entry'!$R73</xm:f>
            <x14:dxf>
              <fill>
                <patternFill>
                  <bgColor rgb="FFFFFF00"/>
                </patternFill>
              </fill>
            </x14:dxf>
          </x14:cfRule>
          <xm:sqref>AP206:BE206</xm:sqref>
        </x14:conditionalFormatting>
        <x14:conditionalFormatting xmlns:xm="http://schemas.microsoft.com/office/excel/2006/main">
          <x14:cfRule type="expression" priority="4703411" id="{F4D9285C-8CA0-4EF1-943E-6A462D47CC77}">
            <xm:f>$BF$4='Data entry'!$R73</xm:f>
            <x14:dxf>
              <fill>
                <patternFill>
                  <bgColor rgb="FFFF0000"/>
                </patternFill>
              </fill>
            </x14:dxf>
          </x14:cfRule>
          <xm:sqref>BD207:BP207</xm:sqref>
        </x14:conditionalFormatting>
        <x14:conditionalFormatting xmlns:xm="http://schemas.microsoft.com/office/excel/2006/main">
          <x14:cfRule type="expression" priority="4703412" id="{B9E4407D-651D-4DC0-9D61-3271D62A65E9}">
            <xm:f>$BF$4='Data entry'!$R73</xm:f>
            <x14:dxf>
              <fill>
                <patternFill>
                  <bgColor rgb="FFFFFF00"/>
                </patternFill>
              </fill>
            </x14:dxf>
          </x14:cfRule>
          <xm:sqref>AR206:BF206</xm:sqref>
        </x14:conditionalFormatting>
        <x14:conditionalFormatting xmlns:xm="http://schemas.microsoft.com/office/excel/2006/main">
          <x14:cfRule type="expression" priority="4703413" id="{4CDC062F-DDFF-4556-B941-08F919727F69}">
            <xm:f>$BG$4='Data entry'!$R73</xm:f>
            <x14:dxf>
              <fill>
                <patternFill>
                  <bgColor rgb="FFFF0000"/>
                </patternFill>
              </fill>
            </x14:dxf>
          </x14:cfRule>
          <xm:sqref>BE207:BQ207</xm:sqref>
        </x14:conditionalFormatting>
        <x14:conditionalFormatting xmlns:xm="http://schemas.microsoft.com/office/excel/2006/main">
          <x14:cfRule type="expression" priority="4703414" id="{789184FA-9055-433B-8A1B-92C7ED59E81F}">
            <xm:f>$BG$4='Data entry'!$R73</xm:f>
            <x14:dxf>
              <fill>
                <patternFill>
                  <bgColor rgb="FFFFFF00"/>
                </patternFill>
              </fill>
            </x14:dxf>
          </x14:cfRule>
          <xm:sqref>AS206:BG206</xm:sqref>
        </x14:conditionalFormatting>
        <x14:conditionalFormatting xmlns:xm="http://schemas.microsoft.com/office/excel/2006/main">
          <x14:cfRule type="expression" priority="4703415" id="{58651E5C-09C9-46C1-B95C-E8A578A49E15}">
            <xm:f>$BH$4='Data entry'!$R73</xm:f>
            <x14:dxf>
              <fill>
                <patternFill>
                  <bgColor rgb="FFFFFF00"/>
                </patternFill>
              </fill>
            </x14:dxf>
          </x14:cfRule>
          <xm:sqref>AT206:BH206</xm:sqref>
        </x14:conditionalFormatting>
        <x14:conditionalFormatting xmlns:xm="http://schemas.microsoft.com/office/excel/2006/main">
          <x14:cfRule type="expression" priority="4703416" id="{97B30B86-8311-4DC0-A533-8C0D53F37839}">
            <xm:f>$BH$4='Data entry'!$R73</xm:f>
            <x14:dxf>
              <fill>
                <patternFill>
                  <bgColor rgb="FFFF0000"/>
                </patternFill>
              </fill>
            </x14:dxf>
          </x14:cfRule>
          <xm:sqref>BF207:BR207</xm:sqref>
        </x14:conditionalFormatting>
        <x14:conditionalFormatting xmlns:xm="http://schemas.microsoft.com/office/excel/2006/main">
          <x14:cfRule type="expression" priority="4703417" id="{78344C0C-5AEA-40B1-A20C-6D77DF58E1F5}">
            <xm:f>$BI$4='Data entry'!$R73</xm:f>
            <x14:dxf>
              <fill>
                <patternFill>
                  <bgColor rgb="FFFFFF00"/>
                </patternFill>
              </fill>
            </x14:dxf>
          </x14:cfRule>
          <xm:sqref>AU206:BI206</xm:sqref>
        </x14:conditionalFormatting>
        <x14:conditionalFormatting xmlns:xm="http://schemas.microsoft.com/office/excel/2006/main">
          <x14:cfRule type="expression" priority="4703418" id="{A9CE044F-482E-4F25-B28F-89ACC58502B1}">
            <xm:f>$BI$4='Data entry'!$R73</xm:f>
            <x14:dxf>
              <fill>
                <patternFill>
                  <bgColor rgb="FFFF0000"/>
                </patternFill>
              </fill>
            </x14:dxf>
          </x14:cfRule>
          <xm:sqref>BG207:BS207</xm:sqref>
        </x14:conditionalFormatting>
        <x14:conditionalFormatting xmlns:xm="http://schemas.microsoft.com/office/excel/2006/main">
          <x14:cfRule type="expression" priority="4703419" id="{F63BE0EB-3C71-4456-BEF0-11180AB7A8BB}">
            <xm:f>$BJ$4='Data entry'!$R73</xm:f>
            <x14:dxf>
              <fill>
                <patternFill>
                  <bgColor rgb="FFFFFF00"/>
                </patternFill>
              </fill>
            </x14:dxf>
          </x14:cfRule>
          <xm:sqref>AV206:BJ206</xm:sqref>
        </x14:conditionalFormatting>
        <x14:conditionalFormatting xmlns:xm="http://schemas.microsoft.com/office/excel/2006/main">
          <x14:cfRule type="expression" priority="4703420" id="{478A5DCB-1DAA-4497-A6CC-B4F01FB96D10}">
            <xm:f>$BJ$4='Data entry'!$R73</xm:f>
            <x14:dxf>
              <fill>
                <patternFill>
                  <bgColor rgb="FFFF0000"/>
                </patternFill>
              </fill>
            </x14:dxf>
          </x14:cfRule>
          <xm:sqref>BH207:BT207</xm:sqref>
        </x14:conditionalFormatting>
        <x14:conditionalFormatting xmlns:xm="http://schemas.microsoft.com/office/excel/2006/main">
          <x14:cfRule type="expression" priority="4703421" id="{CDE4AD5B-65A6-4FA4-9EC0-8D05F22312A9}">
            <xm:f>$BK$4='Data entry'!$R73</xm:f>
            <x14:dxf>
              <fill>
                <patternFill>
                  <bgColor rgb="FFFF0000"/>
                </patternFill>
              </fill>
            </x14:dxf>
          </x14:cfRule>
          <xm:sqref>BI207:BU207</xm:sqref>
        </x14:conditionalFormatting>
        <x14:conditionalFormatting xmlns:xm="http://schemas.microsoft.com/office/excel/2006/main">
          <x14:cfRule type="expression" priority="4703422" id="{AB32E790-6CD8-4D11-9A69-57D785FE4BBC}">
            <xm:f>$BK$4='Data entry'!$R73</xm:f>
            <x14:dxf>
              <fill>
                <patternFill>
                  <bgColor rgb="FFFFFF00"/>
                </patternFill>
              </fill>
            </x14:dxf>
          </x14:cfRule>
          <xm:sqref>AW206:BK206</xm:sqref>
        </x14:conditionalFormatting>
        <x14:conditionalFormatting xmlns:xm="http://schemas.microsoft.com/office/excel/2006/main">
          <x14:cfRule type="expression" priority="4703423" id="{99810EB9-805C-43D8-852A-EEECE7874CDB}">
            <xm:f>$BL$4='Data entry'!$R73</xm:f>
            <x14:dxf>
              <fill>
                <patternFill>
                  <bgColor rgb="FFFF0000"/>
                </patternFill>
              </fill>
            </x14:dxf>
          </x14:cfRule>
          <xm:sqref>BJ207:BV207</xm:sqref>
        </x14:conditionalFormatting>
        <x14:conditionalFormatting xmlns:xm="http://schemas.microsoft.com/office/excel/2006/main">
          <x14:cfRule type="expression" priority="4703424" id="{BF5F5475-4E46-479C-97A6-D5175F5D1803}">
            <xm:f>$BL$4='Data entry'!$R73</xm:f>
            <x14:dxf>
              <fill>
                <patternFill>
                  <bgColor rgb="FFFFFF00"/>
                </patternFill>
              </fill>
            </x14:dxf>
          </x14:cfRule>
          <xm:sqref>AX206:BL206</xm:sqref>
        </x14:conditionalFormatting>
        <x14:conditionalFormatting xmlns:xm="http://schemas.microsoft.com/office/excel/2006/main">
          <x14:cfRule type="expression" priority="4703425" id="{B86FDF2F-16C9-46B1-847E-7EA1A8A34B9D}">
            <xm:f>$BM$4='Data entry'!$R73</xm:f>
            <x14:dxf>
              <fill>
                <patternFill>
                  <bgColor rgb="FFFF0000"/>
                </patternFill>
              </fill>
            </x14:dxf>
          </x14:cfRule>
          <xm:sqref>BK207:BW207</xm:sqref>
        </x14:conditionalFormatting>
        <x14:conditionalFormatting xmlns:xm="http://schemas.microsoft.com/office/excel/2006/main">
          <x14:cfRule type="expression" priority="4703426" id="{72FD189F-4CED-400D-9FEF-21A328970A4D}">
            <xm:f>$BM$4='Data entry'!$R73</xm:f>
            <x14:dxf>
              <fill>
                <patternFill>
                  <bgColor rgb="FFFFFF00"/>
                </patternFill>
              </fill>
            </x14:dxf>
          </x14:cfRule>
          <xm:sqref>AY206:BM206</xm:sqref>
        </x14:conditionalFormatting>
        <x14:conditionalFormatting xmlns:xm="http://schemas.microsoft.com/office/excel/2006/main">
          <x14:cfRule type="expression" priority="4703427" id="{BBBBF859-D5A7-4F55-BFBF-8A77E3357590}">
            <xm:f>$BN$4='Data entry'!$R73</xm:f>
            <x14:dxf>
              <fill>
                <patternFill>
                  <bgColor rgb="FFFF0000"/>
                </patternFill>
              </fill>
            </x14:dxf>
          </x14:cfRule>
          <xm:sqref>BL207:BX207</xm:sqref>
        </x14:conditionalFormatting>
        <x14:conditionalFormatting xmlns:xm="http://schemas.microsoft.com/office/excel/2006/main">
          <x14:cfRule type="expression" priority="4703428" id="{50CB1D75-0FD5-4D24-92B1-E8A41DC6575C}">
            <xm:f>$BN$4='Data entry'!$R73</xm:f>
            <x14:dxf>
              <fill>
                <patternFill>
                  <bgColor rgb="FFFFFF00"/>
                </patternFill>
              </fill>
            </x14:dxf>
          </x14:cfRule>
          <xm:sqref>AZ206:BN206</xm:sqref>
        </x14:conditionalFormatting>
        <x14:conditionalFormatting xmlns:xm="http://schemas.microsoft.com/office/excel/2006/main">
          <x14:cfRule type="expression" priority="4703429" id="{9EF3226D-E8FC-496B-A6FF-71776AEA54D1}">
            <xm:f>$BO$4='Data entry'!$R73</xm:f>
            <x14:dxf>
              <fill>
                <patternFill>
                  <bgColor rgb="FFFF0000"/>
                </patternFill>
              </fill>
            </x14:dxf>
          </x14:cfRule>
          <xm:sqref>BM207:BY207</xm:sqref>
        </x14:conditionalFormatting>
        <x14:conditionalFormatting xmlns:xm="http://schemas.microsoft.com/office/excel/2006/main">
          <x14:cfRule type="expression" priority="4703430" id="{3B86C801-ECFE-4D05-8AA5-1581116BAFBC}">
            <xm:f>$BO$4='Data entry'!$R73</xm:f>
            <x14:dxf>
              <fill>
                <patternFill>
                  <bgColor rgb="FFFFFF00"/>
                </patternFill>
              </fill>
            </x14:dxf>
          </x14:cfRule>
          <xm:sqref>BA206:BO206</xm:sqref>
        </x14:conditionalFormatting>
        <x14:conditionalFormatting xmlns:xm="http://schemas.microsoft.com/office/excel/2006/main">
          <x14:cfRule type="expression" priority="4703431" id="{058A23EC-3371-4A02-9F20-1ECA603AC6BC}">
            <xm:f>$BP$4='Data entry'!$R73</xm:f>
            <x14:dxf>
              <fill>
                <patternFill>
                  <bgColor rgb="FFFF0000"/>
                </patternFill>
              </fill>
            </x14:dxf>
          </x14:cfRule>
          <xm:sqref>BN207:BZ207</xm:sqref>
        </x14:conditionalFormatting>
        <x14:conditionalFormatting xmlns:xm="http://schemas.microsoft.com/office/excel/2006/main">
          <x14:cfRule type="expression" priority="4703432" id="{3E711E31-3992-4555-AB22-87133D60CD15}">
            <xm:f>$BP$4='Data entry'!$R73</xm:f>
            <x14:dxf>
              <fill>
                <patternFill>
                  <bgColor rgb="FFFFFF00"/>
                </patternFill>
              </fill>
            </x14:dxf>
          </x14:cfRule>
          <xm:sqref>BB206:BP206</xm:sqref>
        </x14:conditionalFormatting>
        <x14:conditionalFormatting xmlns:xm="http://schemas.microsoft.com/office/excel/2006/main">
          <x14:cfRule type="expression" priority="4703433" id="{23E9F8B9-37D5-4730-9453-6F23E8ECBBE3}">
            <xm:f>$BQ$4='Data entry'!$R73</xm:f>
            <x14:dxf>
              <fill>
                <patternFill>
                  <bgColor rgb="FFFFFF00"/>
                </patternFill>
              </fill>
            </x14:dxf>
          </x14:cfRule>
          <xm:sqref>BC206:BQ206</xm:sqref>
        </x14:conditionalFormatting>
        <x14:conditionalFormatting xmlns:xm="http://schemas.microsoft.com/office/excel/2006/main">
          <x14:cfRule type="expression" priority="4703434" id="{BCFD92F6-AAD3-44FD-BC61-A292A81B883E}">
            <xm:f>$BQ$4='Data entry'!$R73</xm:f>
            <x14:dxf>
              <fill>
                <patternFill>
                  <bgColor rgb="FFFF0000"/>
                </patternFill>
              </fill>
            </x14:dxf>
          </x14:cfRule>
          <xm:sqref>BO207:CA207</xm:sqref>
        </x14:conditionalFormatting>
        <x14:conditionalFormatting xmlns:xm="http://schemas.microsoft.com/office/excel/2006/main">
          <x14:cfRule type="expression" priority="4703435" id="{357D60E5-F356-477E-8020-A18F42C02832}">
            <xm:f>$BR$4='Data entry'!$R73</xm:f>
            <x14:dxf>
              <fill>
                <patternFill>
                  <bgColor rgb="FFFFFF00"/>
                </patternFill>
              </fill>
            </x14:dxf>
          </x14:cfRule>
          <xm:sqref>BD206:BR206</xm:sqref>
        </x14:conditionalFormatting>
        <x14:conditionalFormatting xmlns:xm="http://schemas.microsoft.com/office/excel/2006/main">
          <x14:cfRule type="expression" priority="4703436" id="{DA2B6511-43B3-432D-B6AA-1DB1188B90A6}">
            <xm:f>$BR$4='Data entry'!$R73</xm:f>
            <x14:dxf>
              <fill>
                <patternFill>
                  <bgColor rgb="FFFF0000"/>
                </patternFill>
              </fill>
            </x14:dxf>
          </x14:cfRule>
          <xm:sqref>BP207:CB207</xm:sqref>
        </x14:conditionalFormatting>
        <x14:conditionalFormatting xmlns:xm="http://schemas.microsoft.com/office/excel/2006/main">
          <x14:cfRule type="expression" priority="4703437" id="{0D5F64E4-4136-4BFA-B833-CC8578525D9C}">
            <xm:f>$BS$4='Data entry'!$R73</xm:f>
            <x14:dxf>
              <fill>
                <patternFill>
                  <bgColor rgb="FFFFFF00"/>
                </patternFill>
              </fill>
            </x14:dxf>
          </x14:cfRule>
          <xm:sqref>BE206:BS206</xm:sqref>
        </x14:conditionalFormatting>
        <x14:conditionalFormatting xmlns:xm="http://schemas.microsoft.com/office/excel/2006/main">
          <x14:cfRule type="expression" priority="4703438" id="{AC94D468-F078-4AE2-8771-102996E07B09}">
            <xm:f>$BS$4='Data entry'!$R73</xm:f>
            <x14:dxf>
              <fill>
                <patternFill>
                  <bgColor rgb="FFFF0000"/>
                </patternFill>
              </fill>
            </x14:dxf>
          </x14:cfRule>
          <xm:sqref>BQ207:CC207</xm:sqref>
        </x14:conditionalFormatting>
        <x14:conditionalFormatting xmlns:xm="http://schemas.microsoft.com/office/excel/2006/main">
          <x14:cfRule type="expression" priority="4703439" id="{10E78F76-181E-4F19-9F89-7DD36D3EFE30}">
            <xm:f>$BT$4='Data entry'!$R73</xm:f>
            <x14:dxf>
              <fill>
                <patternFill>
                  <bgColor rgb="FFFFFF00"/>
                </patternFill>
              </fill>
            </x14:dxf>
          </x14:cfRule>
          <xm:sqref>BF206:BT206</xm:sqref>
        </x14:conditionalFormatting>
        <x14:conditionalFormatting xmlns:xm="http://schemas.microsoft.com/office/excel/2006/main">
          <x14:cfRule type="expression" priority="4703440" id="{6A5FADC6-9512-4EFB-90A5-7B5244D10D1F}">
            <xm:f>$BT$4='Data entry'!$R73</xm:f>
            <x14:dxf>
              <fill>
                <patternFill>
                  <bgColor rgb="FFFF0000"/>
                </patternFill>
              </fill>
            </x14:dxf>
          </x14:cfRule>
          <xm:sqref>BR207:CC207</xm:sqref>
        </x14:conditionalFormatting>
        <x14:conditionalFormatting xmlns:xm="http://schemas.microsoft.com/office/excel/2006/main">
          <x14:cfRule type="expression" priority="4703441" id="{A51139D1-8841-4B96-B8CB-DFE3808765CF}">
            <xm:f>$BU$4='Data entry'!$R73</xm:f>
            <x14:dxf>
              <fill>
                <patternFill>
                  <bgColor rgb="FFFFFF00"/>
                </patternFill>
              </fill>
            </x14:dxf>
          </x14:cfRule>
          <xm:sqref>BG206:BU206</xm:sqref>
        </x14:conditionalFormatting>
        <x14:conditionalFormatting xmlns:xm="http://schemas.microsoft.com/office/excel/2006/main">
          <x14:cfRule type="expression" priority="4703442" id="{55CA7258-760F-4BFF-ACB5-A70FEB3E7981}">
            <xm:f>$BU$4='Data entry'!$R73</xm:f>
            <x14:dxf>
              <fill>
                <patternFill>
                  <bgColor rgb="FFFF0000"/>
                </patternFill>
              </fill>
            </x14:dxf>
          </x14:cfRule>
          <xm:sqref>BS207:CC207</xm:sqref>
        </x14:conditionalFormatting>
        <x14:conditionalFormatting xmlns:xm="http://schemas.microsoft.com/office/excel/2006/main">
          <x14:cfRule type="expression" priority="4703443" id="{A922B218-64DB-4CBB-9AB8-FE0EBB44E09E}">
            <xm:f>$BV$4='Data entry'!$R73</xm:f>
            <x14:dxf>
              <fill>
                <patternFill>
                  <bgColor rgb="FFFFFF00"/>
                </patternFill>
              </fill>
            </x14:dxf>
          </x14:cfRule>
          <xm:sqref>BH206:BV206</xm:sqref>
        </x14:conditionalFormatting>
        <x14:conditionalFormatting xmlns:xm="http://schemas.microsoft.com/office/excel/2006/main">
          <x14:cfRule type="expression" priority="4703444" id="{C98E908A-CD31-4778-B41C-7AFB9DBE639A}">
            <xm:f>$BV$4='Data entry'!$R73</xm:f>
            <x14:dxf>
              <fill>
                <patternFill>
                  <bgColor rgb="FFFF0000"/>
                </patternFill>
              </fill>
            </x14:dxf>
          </x14:cfRule>
          <xm:sqref>BT207:CC207</xm:sqref>
        </x14:conditionalFormatting>
        <x14:conditionalFormatting xmlns:xm="http://schemas.microsoft.com/office/excel/2006/main">
          <x14:cfRule type="expression" priority="4703445" id="{465CCCA3-B4DB-4B61-8AC7-8A5E4CEC9E3F}">
            <xm:f>$BW$4='Data entry'!$R73</xm:f>
            <x14:dxf>
              <fill>
                <patternFill>
                  <bgColor rgb="FFFFFF00"/>
                </patternFill>
              </fill>
            </x14:dxf>
          </x14:cfRule>
          <xm:sqref>BI206:BW206</xm:sqref>
        </x14:conditionalFormatting>
        <x14:conditionalFormatting xmlns:xm="http://schemas.microsoft.com/office/excel/2006/main">
          <x14:cfRule type="expression" priority="4703446" id="{37566F97-6D06-400B-A709-FE657B07687F}">
            <xm:f>$BW$4='Data entry'!$R73</xm:f>
            <x14:dxf>
              <fill>
                <patternFill>
                  <bgColor rgb="FFFF0000"/>
                </patternFill>
              </fill>
            </x14:dxf>
          </x14:cfRule>
          <xm:sqref>BU207:CC207</xm:sqref>
        </x14:conditionalFormatting>
        <x14:conditionalFormatting xmlns:xm="http://schemas.microsoft.com/office/excel/2006/main">
          <x14:cfRule type="expression" priority="4703447" id="{D8FBA3AC-5CF0-4E45-97CA-1D4DEE729ADA}">
            <xm:f>$BX$4='Data entry'!$R73</xm:f>
            <x14:dxf>
              <fill>
                <patternFill>
                  <bgColor rgb="FFFFFF00"/>
                </patternFill>
              </fill>
            </x14:dxf>
          </x14:cfRule>
          <xm:sqref>BJ206:BX206</xm:sqref>
        </x14:conditionalFormatting>
        <x14:conditionalFormatting xmlns:xm="http://schemas.microsoft.com/office/excel/2006/main">
          <x14:cfRule type="expression" priority="4703448" id="{E077C84B-A94F-431D-B232-4AFCC7C64F54}">
            <xm:f>$BX$4='Data entry'!$R73</xm:f>
            <x14:dxf>
              <fill>
                <patternFill>
                  <bgColor rgb="FFFF0000"/>
                </patternFill>
              </fill>
            </x14:dxf>
          </x14:cfRule>
          <xm:sqref>BV207:CC207</xm:sqref>
        </x14:conditionalFormatting>
        <x14:conditionalFormatting xmlns:xm="http://schemas.microsoft.com/office/excel/2006/main">
          <x14:cfRule type="expression" priority="4703449" id="{63783BA8-0C97-4A44-86FD-7A2BCF1B9957}">
            <xm:f>$BY$4='Data entry'!$R73</xm:f>
            <x14:dxf>
              <fill>
                <patternFill>
                  <bgColor rgb="FFFFFF00"/>
                </patternFill>
              </fill>
            </x14:dxf>
          </x14:cfRule>
          <xm:sqref>BK206:BY206</xm:sqref>
        </x14:conditionalFormatting>
        <x14:conditionalFormatting xmlns:xm="http://schemas.microsoft.com/office/excel/2006/main">
          <x14:cfRule type="expression" priority="4703450" id="{BB8DB8B4-B71B-46D2-AEE7-346F16103F74}">
            <xm:f>$BY$4='Data entry'!$R73</xm:f>
            <x14:dxf>
              <fill>
                <patternFill>
                  <bgColor rgb="FFFF0000"/>
                </patternFill>
              </fill>
            </x14:dxf>
          </x14:cfRule>
          <xm:sqref>BW207:CC207</xm:sqref>
        </x14:conditionalFormatting>
        <x14:conditionalFormatting xmlns:xm="http://schemas.microsoft.com/office/excel/2006/main">
          <x14:cfRule type="expression" priority="4703451" id="{1B638B98-2B06-4FEB-90C1-446A3E0A3979}">
            <xm:f>$BZ$4='Data entry'!$R73</xm:f>
            <x14:dxf>
              <fill>
                <patternFill>
                  <bgColor rgb="FFFFFF00"/>
                </patternFill>
              </fill>
            </x14:dxf>
          </x14:cfRule>
          <xm:sqref>BL206:BZ206</xm:sqref>
        </x14:conditionalFormatting>
        <x14:conditionalFormatting xmlns:xm="http://schemas.microsoft.com/office/excel/2006/main">
          <x14:cfRule type="expression" priority="4703452" id="{D3A0A2F8-D1B2-4DC5-B2A9-0EF53074E685}">
            <xm:f>$BZ$4='Data entry'!$R73</xm:f>
            <x14:dxf>
              <fill>
                <patternFill>
                  <bgColor rgb="FFFF0000"/>
                </patternFill>
              </fill>
            </x14:dxf>
          </x14:cfRule>
          <xm:sqref>BX207:CC207</xm:sqref>
        </x14:conditionalFormatting>
        <x14:conditionalFormatting xmlns:xm="http://schemas.microsoft.com/office/excel/2006/main">
          <x14:cfRule type="expression" priority="4703453" id="{83F6D018-7D3B-4D33-9998-11572F2F2FF5}">
            <xm:f>$CA$4='Data entry'!$R73</xm:f>
            <x14:dxf>
              <fill>
                <patternFill>
                  <bgColor rgb="FFFFFF00"/>
                </patternFill>
              </fill>
            </x14:dxf>
          </x14:cfRule>
          <xm:sqref>BM206:CA206</xm:sqref>
        </x14:conditionalFormatting>
        <x14:conditionalFormatting xmlns:xm="http://schemas.microsoft.com/office/excel/2006/main">
          <x14:cfRule type="expression" priority="4703454" id="{8E6D0B51-5626-4ED9-9072-C7A2C139704F}">
            <xm:f>$CA$4='Data entry'!$R73</xm:f>
            <x14:dxf>
              <fill>
                <patternFill>
                  <bgColor rgb="FFFF0000"/>
                </patternFill>
              </fill>
            </x14:dxf>
          </x14:cfRule>
          <xm:sqref>BY207:CC207</xm:sqref>
        </x14:conditionalFormatting>
        <x14:conditionalFormatting xmlns:xm="http://schemas.microsoft.com/office/excel/2006/main">
          <x14:cfRule type="expression" priority="4703455" id="{E1886EE4-3BDE-43A9-9F4B-79377FEC37FE}">
            <xm:f>$CB$4='Data entry'!$R73</xm:f>
            <x14:dxf>
              <fill>
                <patternFill>
                  <bgColor rgb="FFFFFF00"/>
                </patternFill>
              </fill>
            </x14:dxf>
          </x14:cfRule>
          <xm:sqref>BN206:CB206</xm:sqref>
        </x14:conditionalFormatting>
        <x14:conditionalFormatting xmlns:xm="http://schemas.microsoft.com/office/excel/2006/main">
          <x14:cfRule type="expression" priority="4703456" id="{ADEF572A-6C18-4602-BB86-01C96D36E07E}">
            <xm:f>$CB$4='Data entry'!$R73</xm:f>
            <x14:dxf>
              <fill>
                <patternFill>
                  <bgColor rgb="FFFF0000"/>
                </patternFill>
              </fill>
            </x14:dxf>
          </x14:cfRule>
          <xm:sqref>BZ207:CC207</xm:sqref>
        </x14:conditionalFormatting>
        <x14:conditionalFormatting xmlns:xm="http://schemas.microsoft.com/office/excel/2006/main">
          <x14:cfRule type="expression" priority="4703457" id="{7984E1C9-E073-4955-8543-62145CB6D008}">
            <xm:f>$CC$4='Data entry'!$R73</xm:f>
            <x14:dxf>
              <fill>
                <patternFill>
                  <bgColor rgb="FFFFFF00"/>
                </patternFill>
              </fill>
            </x14:dxf>
          </x14:cfRule>
          <xm:sqref>BO206:CC206</xm:sqref>
        </x14:conditionalFormatting>
        <x14:conditionalFormatting xmlns:xm="http://schemas.microsoft.com/office/excel/2006/main">
          <x14:cfRule type="expression" priority="4703458" id="{18A957B3-59FA-4698-BA92-2A208FF18E2F}">
            <xm:f>$CC$4='Data entry'!$R73</xm:f>
            <x14:dxf>
              <fill>
                <patternFill>
                  <bgColor rgb="FFFF0000"/>
                </patternFill>
              </fill>
            </x14:dxf>
          </x14:cfRule>
          <xm:sqref>CA207:CC207</xm:sqref>
        </x14:conditionalFormatting>
        <x14:conditionalFormatting xmlns:xm="http://schemas.microsoft.com/office/excel/2006/main">
          <x14:cfRule type="expression" priority="4703576" id="{33E80F40-2C28-4235-8352-2F9507EB51C7}">
            <xm:f>C$4='Data entry'!$BC74</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C209:CC209</xm:sqref>
        </x14:conditionalFormatting>
        <x14:conditionalFormatting xmlns:xm="http://schemas.microsoft.com/office/excel/2006/main">
          <x14:cfRule type="expression" priority="4703851" id="{21C78CE9-0B77-4D53-8653-BD5D6E30C938}">
            <xm:f>OR(D$4='Data entry'!$S74:$AN74)</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D210:CC210</xm:sqref>
        </x14:conditionalFormatting>
        <x14:conditionalFormatting xmlns:xm="http://schemas.microsoft.com/office/excel/2006/main">
          <x14:cfRule type="expression" priority="4704261" id="{5B0DB825-B7C2-40AC-B7EF-F267F054CFB9}">
            <xm:f>$U$4='Data entry'!$R74</xm:f>
            <x14:dxf>
              <fill>
                <patternFill>
                  <bgColor rgb="FFFF0000"/>
                </patternFill>
              </fill>
            </x14:dxf>
          </x14:cfRule>
          <xm:sqref>S210:AE210</xm:sqref>
        </x14:conditionalFormatting>
        <x14:conditionalFormatting xmlns:xm="http://schemas.microsoft.com/office/excel/2006/main">
          <x14:cfRule type="expression" priority="4704536" id="{18311200-E2BB-400F-B594-3B9A2C6068C2}">
            <xm:f>$V$4='Data entry'!$R74</xm:f>
            <x14:dxf>
              <fill>
                <patternFill>
                  <bgColor rgb="FFFF0000"/>
                </patternFill>
              </fill>
            </x14:dxf>
          </x14:cfRule>
          <xm:sqref>T210:AF210</xm:sqref>
        </x14:conditionalFormatting>
        <x14:conditionalFormatting xmlns:xm="http://schemas.microsoft.com/office/excel/2006/main">
          <x14:cfRule type="expression" priority="4704811" id="{D6DFB621-1A58-4C59-A987-ECAD0EB2D32B}">
            <xm:f>$V$4='Data entry'!$R74</xm:f>
            <x14:dxf>
              <fill>
                <patternFill>
                  <bgColor rgb="FFFFFF00"/>
                </patternFill>
              </fill>
            </x14:dxf>
          </x14:cfRule>
          <xm:sqref>H209:V209</xm:sqref>
        </x14:conditionalFormatting>
        <x14:conditionalFormatting xmlns:xm="http://schemas.microsoft.com/office/excel/2006/main">
          <x14:cfRule type="expression" priority="4705086" id="{5F87A680-DC5F-433D-A779-B7A534ACCDA9}">
            <xm:f>$W$4='Data entry'!$R74</xm:f>
            <x14:dxf>
              <fill>
                <patternFill>
                  <bgColor rgb="FFFF0000"/>
                </patternFill>
              </fill>
            </x14:dxf>
          </x14:cfRule>
          <xm:sqref>U210:AG210</xm:sqref>
        </x14:conditionalFormatting>
        <x14:conditionalFormatting xmlns:xm="http://schemas.microsoft.com/office/excel/2006/main">
          <x14:cfRule type="expression" priority="4705361" id="{964539FF-A92C-4F68-B268-B7157A32678C}">
            <xm:f>$W$4='Data entry'!$R74</xm:f>
            <x14:dxf>
              <fill>
                <patternFill>
                  <bgColor rgb="FFFFFF00"/>
                </patternFill>
              </fill>
            </x14:dxf>
          </x14:cfRule>
          <xm:sqref>I209:W209</xm:sqref>
        </x14:conditionalFormatting>
        <x14:conditionalFormatting xmlns:xm="http://schemas.microsoft.com/office/excel/2006/main">
          <x14:cfRule type="expression" priority="4705636" id="{46C1533A-F090-4A90-9309-3F59EC3FD3B0}">
            <xm:f>$X$4='Data entry'!$R74</xm:f>
            <x14:dxf>
              <fill>
                <patternFill>
                  <bgColor rgb="FFFF0000"/>
                </patternFill>
              </fill>
            </x14:dxf>
          </x14:cfRule>
          <xm:sqref>V210:AH210</xm:sqref>
        </x14:conditionalFormatting>
        <x14:conditionalFormatting xmlns:xm="http://schemas.microsoft.com/office/excel/2006/main">
          <x14:cfRule type="expression" priority="4705911" id="{7C70E81C-DDD4-4D75-933A-4F6A39893184}">
            <xm:f>$X$4='Data entry'!$R74</xm:f>
            <x14:dxf>
              <fill>
                <patternFill>
                  <bgColor rgb="FFFFFF00"/>
                </patternFill>
              </fill>
            </x14:dxf>
          </x14:cfRule>
          <xm:sqref>J209:X209</xm:sqref>
        </x14:conditionalFormatting>
        <x14:conditionalFormatting xmlns:xm="http://schemas.microsoft.com/office/excel/2006/main">
          <x14:cfRule type="expression" priority="4706186" id="{561AF073-0EF8-4B72-A119-40A639C4359D}">
            <xm:f>$Y$4='Data entry'!$R74</xm:f>
            <x14:dxf>
              <fill>
                <patternFill>
                  <bgColor rgb="FFFF0000"/>
                </patternFill>
              </fill>
            </x14:dxf>
          </x14:cfRule>
          <xm:sqref>W210:AI210</xm:sqref>
        </x14:conditionalFormatting>
        <x14:conditionalFormatting xmlns:xm="http://schemas.microsoft.com/office/excel/2006/main">
          <x14:cfRule type="expression" priority="4706461" id="{F242E808-8F07-4A89-9524-7D4C767CE357}">
            <xm:f>$Y$4='Data entry'!$R74</xm:f>
            <x14:dxf>
              <fill>
                <patternFill>
                  <bgColor rgb="FFFFFF00"/>
                </patternFill>
              </fill>
            </x14:dxf>
          </x14:cfRule>
          <xm:sqref>K209:Y209</xm:sqref>
        </x14:conditionalFormatting>
        <x14:conditionalFormatting xmlns:xm="http://schemas.microsoft.com/office/excel/2006/main">
          <x14:cfRule type="expression" priority="4706736" id="{DD601058-982B-4218-BD9D-64BB823C2633}">
            <xm:f>$Z$4='Data entry'!$R74</xm:f>
            <x14:dxf>
              <fill>
                <patternFill>
                  <bgColor rgb="FFFF0000"/>
                </patternFill>
              </fill>
            </x14:dxf>
          </x14:cfRule>
          <xm:sqref>X210:AJ210</xm:sqref>
        </x14:conditionalFormatting>
        <x14:conditionalFormatting xmlns:xm="http://schemas.microsoft.com/office/excel/2006/main">
          <x14:cfRule type="expression" priority="4707011" id="{C9DB141D-79F6-4093-92A3-7BF7A1622985}">
            <xm:f>$Z$4='Data entry'!$R74</xm:f>
            <x14:dxf>
              <fill>
                <patternFill>
                  <bgColor rgb="FFFFFF00"/>
                </patternFill>
              </fill>
            </x14:dxf>
          </x14:cfRule>
          <xm:sqref>L209:Z209</xm:sqref>
        </x14:conditionalFormatting>
        <x14:conditionalFormatting xmlns:xm="http://schemas.microsoft.com/office/excel/2006/main">
          <x14:cfRule type="expression" priority="4707286" id="{710EB8D3-F5C0-4E3C-8214-2D0C4E26F649}">
            <xm:f>$AA$4='Data entry'!$R74</xm:f>
            <x14:dxf>
              <fill>
                <patternFill>
                  <bgColor rgb="FFFF0000"/>
                </patternFill>
              </fill>
            </x14:dxf>
          </x14:cfRule>
          <xm:sqref>Y210:AK210</xm:sqref>
        </x14:conditionalFormatting>
        <x14:conditionalFormatting xmlns:xm="http://schemas.microsoft.com/office/excel/2006/main">
          <x14:cfRule type="expression" priority="4707561" id="{33825D69-C967-4D27-B395-5D44A3083802}">
            <xm:f>$AA$4='Data entry'!$R74</xm:f>
            <x14:dxf>
              <fill>
                <patternFill>
                  <bgColor rgb="FFFFFF00"/>
                </patternFill>
              </fill>
            </x14:dxf>
          </x14:cfRule>
          <xm:sqref>M209:AA209</xm:sqref>
        </x14:conditionalFormatting>
        <x14:conditionalFormatting xmlns:xm="http://schemas.microsoft.com/office/excel/2006/main">
          <x14:cfRule type="expression" priority="4707836" id="{9811A97D-351B-4D32-8754-AF433277E62B}">
            <xm:f>$AB$4='Data entry'!$R74</xm:f>
            <x14:dxf>
              <fill>
                <patternFill>
                  <bgColor rgb="FFFF0000"/>
                </patternFill>
              </fill>
            </x14:dxf>
          </x14:cfRule>
          <xm:sqref>Z210:AL210</xm:sqref>
        </x14:conditionalFormatting>
        <x14:conditionalFormatting xmlns:xm="http://schemas.microsoft.com/office/excel/2006/main">
          <x14:cfRule type="expression" priority="4708111" id="{6DD3E556-C72E-438B-92DA-3096ED1E4178}">
            <xm:f>$AB$4='Data entry'!$R74</xm:f>
            <x14:dxf>
              <fill>
                <patternFill>
                  <bgColor rgb="FFFFFF00"/>
                </patternFill>
              </fill>
            </x14:dxf>
          </x14:cfRule>
          <xm:sqref>N209:AB209</xm:sqref>
        </x14:conditionalFormatting>
        <x14:conditionalFormatting xmlns:xm="http://schemas.microsoft.com/office/excel/2006/main">
          <x14:cfRule type="expression" priority="4708386" id="{C0DF7A1B-D6BC-4371-BD3A-F0708147FA1C}">
            <xm:f>$AC$4='Data entry'!$R74</xm:f>
            <x14:dxf>
              <fill>
                <patternFill>
                  <bgColor rgb="FFFF0000"/>
                </patternFill>
              </fill>
            </x14:dxf>
          </x14:cfRule>
          <xm:sqref>AA210:AM210</xm:sqref>
        </x14:conditionalFormatting>
        <x14:conditionalFormatting xmlns:xm="http://schemas.microsoft.com/office/excel/2006/main">
          <x14:cfRule type="expression" priority="4708661" id="{DB2E1F48-AF0E-41F9-A976-6B1963CA5711}">
            <xm:f>$AC$4='Data entry'!$R74</xm:f>
            <x14:dxf>
              <fill>
                <patternFill>
                  <bgColor rgb="FFFFFF00"/>
                </patternFill>
              </fill>
            </x14:dxf>
          </x14:cfRule>
          <xm:sqref>O209:AC209</xm:sqref>
        </x14:conditionalFormatting>
        <x14:conditionalFormatting xmlns:xm="http://schemas.microsoft.com/office/excel/2006/main">
          <x14:cfRule type="expression" priority="4708936" id="{89909907-F9A9-4AF9-BC1D-304710A43F50}">
            <xm:f>$AD$4='Data entry'!$R74</xm:f>
            <x14:dxf>
              <fill>
                <patternFill>
                  <bgColor rgb="FFFF0000"/>
                </patternFill>
              </fill>
            </x14:dxf>
          </x14:cfRule>
          <xm:sqref>AB210:AN210</xm:sqref>
        </x14:conditionalFormatting>
        <x14:conditionalFormatting xmlns:xm="http://schemas.microsoft.com/office/excel/2006/main">
          <x14:cfRule type="expression" priority="4709211" id="{729676B7-E331-43A4-ACC9-850DCEE76A0E}">
            <xm:f>$AD$4='Data entry'!$R74</xm:f>
            <x14:dxf>
              <fill>
                <patternFill>
                  <bgColor rgb="FFFFFF00"/>
                </patternFill>
              </fill>
            </x14:dxf>
          </x14:cfRule>
          <xm:sqref>P209:AD209</xm:sqref>
        </x14:conditionalFormatting>
        <x14:conditionalFormatting xmlns:xm="http://schemas.microsoft.com/office/excel/2006/main">
          <x14:cfRule type="expression" priority="4709486" id="{00DA2C55-350E-44AA-ABEA-808FABFDA737}">
            <xm:f>$AE$4='Data entry'!$R74</xm:f>
            <x14:dxf>
              <fill>
                <patternFill>
                  <bgColor rgb="FFFF0000"/>
                </patternFill>
              </fill>
            </x14:dxf>
          </x14:cfRule>
          <xm:sqref>AC210:AO210</xm:sqref>
        </x14:conditionalFormatting>
        <x14:conditionalFormatting xmlns:xm="http://schemas.microsoft.com/office/excel/2006/main">
          <x14:cfRule type="expression" priority="4709761" id="{373C95F1-00C1-45E9-B561-5224945BA4A4}">
            <xm:f>$AE$4='Data entry'!$R74</xm:f>
            <x14:dxf>
              <fill>
                <patternFill>
                  <bgColor rgb="FFFFFF00"/>
                </patternFill>
              </fill>
            </x14:dxf>
          </x14:cfRule>
          <xm:sqref>Q209:AE209</xm:sqref>
        </x14:conditionalFormatting>
        <x14:conditionalFormatting xmlns:xm="http://schemas.microsoft.com/office/excel/2006/main">
          <x14:cfRule type="expression" priority="4710036" id="{65E90E74-6BEF-4B00-BD5E-ECACFEBC225A}">
            <xm:f>$AF$4='Data entry'!$R74</xm:f>
            <x14:dxf>
              <fill>
                <patternFill>
                  <bgColor rgb="FFFF0000"/>
                </patternFill>
              </fill>
            </x14:dxf>
          </x14:cfRule>
          <xm:sqref>AD210:AP210</xm:sqref>
        </x14:conditionalFormatting>
        <x14:conditionalFormatting xmlns:xm="http://schemas.microsoft.com/office/excel/2006/main">
          <x14:cfRule type="expression" priority="4710311" id="{56B519D7-E083-4811-B42B-D6CB10D44BB3}">
            <xm:f>$AF$4='Data entry'!$R74</xm:f>
            <x14:dxf>
              <fill>
                <patternFill>
                  <bgColor rgb="FFFFFF00"/>
                </patternFill>
              </fill>
            </x14:dxf>
          </x14:cfRule>
          <xm:sqref>R209:AF209</xm:sqref>
        </x14:conditionalFormatting>
        <x14:conditionalFormatting xmlns:xm="http://schemas.microsoft.com/office/excel/2006/main">
          <x14:cfRule type="expression" priority="4710586" id="{889682B6-BF9B-414B-86B7-1C802156B058}">
            <xm:f>$AG$4='Data entry'!$R74</xm:f>
            <x14:dxf>
              <fill>
                <patternFill>
                  <bgColor rgb="FFFF0000"/>
                </patternFill>
              </fill>
            </x14:dxf>
          </x14:cfRule>
          <xm:sqref>AE210:AQ210</xm:sqref>
        </x14:conditionalFormatting>
        <x14:conditionalFormatting xmlns:xm="http://schemas.microsoft.com/office/excel/2006/main">
          <x14:cfRule type="expression" priority="4710861" id="{19913D88-1940-4CB0-B29C-D46D60833BD5}">
            <xm:f>$AG$4='Data entry'!$R74</xm:f>
            <x14:dxf>
              <fill>
                <patternFill>
                  <bgColor rgb="FFFFFF00"/>
                </patternFill>
              </fill>
            </x14:dxf>
          </x14:cfRule>
          <xm:sqref>S209:AG209</xm:sqref>
        </x14:conditionalFormatting>
        <x14:conditionalFormatting xmlns:xm="http://schemas.microsoft.com/office/excel/2006/main">
          <x14:cfRule type="expression" priority="4711136" id="{3DD7B9A5-18A3-463F-BAD5-9796FC487328}">
            <xm:f>$AH$4='Data entry'!$R74</xm:f>
            <x14:dxf>
              <fill>
                <patternFill>
                  <bgColor rgb="FFFF0000"/>
                </patternFill>
              </fill>
            </x14:dxf>
          </x14:cfRule>
          <xm:sqref>AF210:AR210</xm:sqref>
        </x14:conditionalFormatting>
        <x14:conditionalFormatting xmlns:xm="http://schemas.microsoft.com/office/excel/2006/main">
          <x14:cfRule type="expression" priority="4711411" id="{31005CF4-5608-496E-91EB-F7F505046C80}">
            <xm:f>$AH$4='Data entry'!$R74</xm:f>
            <x14:dxf>
              <fill>
                <patternFill>
                  <bgColor rgb="FFFFFF00"/>
                </patternFill>
              </fill>
            </x14:dxf>
          </x14:cfRule>
          <xm:sqref>T209:AH209</xm:sqref>
        </x14:conditionalFormatting>
        <x14:conditionalFormatting xmlns:xm="http://schemas.microsoft.com/office/excel/2006/main">
          <x14:cfRule type="expression" priority="4711686" id="{CD14F654-5B7A-444F-8FC1-7DD71E76E475}">
            <xm:f>$AI$4='Data entry'!$R74</xm:f>
            <x14:dxf>
              <fill>
                <patternFill>
                  <bgColor rgb="FFFF0000"/>
                </patternFill>
              </fill>
            </x14:dxf>
          </x14:cfRule>
          <xm:sqref>AG210:AS210</xm:sqref>
        </x14:conditionalFormatting>
        <x14:conditionalFormatting xmlns:xm="http://schemas.microsoft.com/office/excel/2006/main">
          <x14:cfRule type="expression" priority="4711961" id="{0E4E448C-6C46-4285-B877-A61A90294385}">
            <xm:f>$AI$4='Data entry'!$R74</xm:f>
            <x14:dxf>
              <fill>
                <patternFill>
                  <bgColor rgb="FFFFFF00"/>
                </patternFill>
              </fill>
            </x14:dxf>
          </x14:cfRule>
          <xm:sqref>U209:AI209</xm:sqref>
        </x14:conditionalFormatting>
        <x14:conditionalFormatting xmlns:xm="http://schemas.microsoft.com/office/excel/2006/main">
          <x14:cfRule type="expression" priority="4712236" id="{B1C1818F-791C-403D-BE73-6F6E9DC6A16D}">
            <xm:f>$AJ$4='Data entry'!$R74</xm:f>
            <x14:dxf>
              <fill>
                <patternFill>
                  <bgColor rgb="FFFF0000"/>
                </patternFill>
              </fill>
            </x14:dxf>
          </x14:cfRule>
          <xm:sqref>AH210:AT210</xm:sqref>
        </x14:conditionalFormatting>
        <x14:conditionalFormatting xmlns:xm="http://schemas.microsoft.com/office/excel/2006/main">
          <x14:cfRule type="expression" priority="4712511" id="{A1237792-221B-431B-B8A7-E9A64DA46D93}">
            <xm:f>$AJ$4='Data entry'!$R74</xm:f>
            <x14:dxf>
              <fill>
                <patternFill>
                  <bgColor rgb="FFFFFF00"/>
                </patternFill>
              </fill>
            </x14:dxf>
          </x14:cfRule>
          <xm:sqref>V209:AJ209</xm:sqref>
        </x14:conditionalFormatting>
        <x14:conditionalFormatting xmlns:xm="http://schemas.microsoft.com/office/excel/2006/main">
          <x14:cfRule type="expression" priority="4712786" id="{617DC2AF-C7A3-4724-8EA3-17DEFEDC8949}">
            <xm:f>$AK$4='Data entry'!$R74</xm:f>
            <x14:dxf>
              <fill>
                <patternFill>
                  <bgColor rgb="FFFF0000"/>
                </patternFill>
              </fill>
            </x14:dxf>
          </x14:cfRule>
          <xm:sqref>AI210:AU210</xm:sqref>
        </x14:conditionalFormatting>
        <x14:conditionalFormatting xmlns:xm="http://schemas.microsoft.com/office/excel/2006/main">
          <x14:cfRule type="expression" priority="4713061" id="{AA72317D-37B1-48EB-A28B-BF2AC8DC4519}">
            <xm:f>$AK$4='Data entry'!$R74</xm:f>
            <x14:dxf>
              <fill>
                <patternFill>
                  <bgColor rgb="FFFFFF00"/>
                </patternFill>
              </fill>
            </x14:dxf>
          </x14:cfRule>
          <xm:sqref>W209:AK209</xm:sqref>
        </x14:conditionalFormatting>
        <x14:conditionalFormatting xmlns:xm="http://schemas.microsoft.com/office/excel/2006/main">
          <x14:cfRule type="expression" priority="4713336" id="{6CA9FB7A-20EA-4D3A-B74C-A001F4BE810D}">
            <xm:f>$AL$4='Data entry'!$R74</xm:f>
            <x14:dxf>
              <fill>
                <patternFill>
                  <bgColor rgb="FFFF0000"/>
                </patternFill>
              </fill>
            </x14:dxf>
          </x14:cfRule>
          <xm:sqref>AJ210:AV210</xm:sqref>
        </x14:conditionalFormatting>
        <x14:conditionalFormatting xmlns:xm="http://schemas.microsoft.com/office/excel/2006/main">
          <x14:cfRule type="expression" priority="4713611" id="{81A75DAA-573F-4EF3-A640-1B992C18BEA0}">
            <xm:f>$AL$4='Data entry'!$R74</xm:f>
            <x14:dxf>
              <fill>
                <patternFill>
                  <bgColor rgb="FFFFFF00"/>
                </patternFill>
              </fill>
            </x14:dxf>
          </x14:cfRule>
          <xm:sqref>X209:AL209</xm:sqref>
        </x14:conditionalFormatting>
        <x14:conditionalFormatting xmlns:xm="http://schemas.microsoft.com/office/excel/2006/main">
          <x14:cfRule type="expression" priority="4713886" id="{3D44713E-4ABA-4CCD-9DF4-5513A9FB5E1E}">
            <xm:f>$AM$4='Data entry'!$R74</xm:f>
            <x14:dxf>
              <fill>
                <patternFill>
                  <bgColor rgb="FFFF0000"/>
                </patternFill>
              </fill>
            </x14:dxf>
          </x14:cfRule>
          <xm:sqref>AK210:AW210</xm:sqref>
        </x14:conditionalFormatting>
        <x14:conditionalFormatting xmlns:xm="http://schemas.microsoft.com/office/excel/2006/main">
          <x14:cfRule type="expression" priority="4714161" id="{05A26B51-72A7-4423-822F-2BDBC28275D0}">
            <xm:f>$AM$4='Data entry'!$R74</xm:f>
            <x14:dxf>
              <fill>
                <patternFill>
                  <bgColor rgb="FFFFFF00"/>
                </patternFill>
              </fill>
            </x14:dxf>
          </x14:cfRule>
          <xm:sqref>Y209:AM209</xm:sqref>
        </x14:conditionalFormatting>
        <x14:conditionalFormatting xmlns:xm="http://schemas.microsoft.com/office/excel/2006/main">
          <x14:cfRule type="expression" priority="4714436" id="{B8A20675-6230-4694-A7F6-6B3DC7142773}">
            <xm:f>$AN$4='Data entry'!$R74</xm:f>
            <x14:dxf>
              <fill>
                <patternFill>
                  <bgColor rgb="FFFF0000"/>
                </patternFill>
              </fill>
            </x14:dxf>
          </x14:cfRule>
          <xm:sqref>AL210:AX210</xm:sqref>
        </x14:conditionalFormatting>
        <x14:conditionalFormatting xmlns:xm="http://schemas.microsoft.com/office/excel/2006/main">
          <x14:cfRule type="expression" priority="4714711" id="{8421181C-7450-42E9-BC1D-065CCFCA960E}">
            <xm:f>$AN$4='Data entry'!$R74</xm:f>
            <x14:dxf>
              <fill>
                <patternFill>
                  <bgColor rgb="FFFFFF00"/>
                </patternFill>
              </fill>
            </x14:dxf>
          </x14:cfRule>
          <xm:sqref>Z209:AN209</xm:sqref>
        </x14:conditionalFormatting>
        <x14:conditionalFormatting xmlns:xm="http://schemas.microsoft.com/office/excel/2006/main">
          <x14:cfRule type="expression" priority="4714986" id="{067FE4BD-6EF4-4684-B6E0-35AB2F267EE7}">
            <xm:f>$AO$4='Data entry'!$R74</xm:f>
            <x14:dxf>
              <fill>
                <patternFill>
                  <bgColor rgb="FFFF0000"/>
                </patternFill>
              </fill>
            </x14:dxf>
          </x14:cfRule>
          <xm:sqref>AM210:AY210</xm:sqref>
        </x14:conditionalFormatting>
        <x14:conditionalFormatting xmlns:xm="http://schemas.microsoft.com/office/excel/2006/main">
          <x14:cfRule type="expression" priority="4715261" id="{F7653492-88D1-47AC-8BA3-0CCE65C3C2AB}">
            <xm:f>$AO$4='Data entry'!$R74</xm:f>
            <x14:dxf>
              <fill>
                <patternFill>
                  <bgColor rgb="FFFFFF00"/>
                </patternFill>
              </fill>
            </x14:dxf>
          </x14:cfRule>
          <xm:sqref>AA209:AO209</xm:sqref>
        </x14:conditionalFormatting>
        <x14:conditionalFormatting xmlns:xm="http://schemas.microsoft.com/office/excel/2006/main">
          <x14:cfRule type="expression" priority="4715536" id="{207A5E5D-B322-482E-9193-1D7318138358}">
            <xm:f>$AP$4='Data entry'!$R74</xm:f>
            <x14:dxf>
              <fill>
                <patternFill>
                  <bgColor rgb="FFFF0000"/>
                </patternFill>
              </fill>
            </x14:dxf>
          </x14:cfRule>
          <xm:sqref>AN210:AZ210</xm:sqref>
        </x14:conditionalFormatting>
        <x14:conditionalFormatting xmlns:xm="http://schemas.microsoft.com/office/excel/2006/main">
          <x14:cfRule type="expression" priority="4715811" id="{21DA638D-4CA0-4067-BFF1-240CE1A0261B}">
            <xm:f>$AP$4='Data entry'!$R74</xm:f>
            <x14:dxf>
              <fill>
                <patternFill>
                  <bgColor rgb="FFFFFF00"/>
                </patternFill>
              </fill>
            </x14:dxf>
          </x14:cfRule>
          <xm:sqref>AB209:AP209</xm:sqref>
        </x14:conditionalFormatting>
        <x14:conditionalFormatting xmlns:xm="http://schemas.microsoft.com/office/excel/2006/main">
          <x14:cfRule type="expression" priority="4716086" id="{71963D96-A42A-4B90-BFC7-6D83D37766EF}">
            <xm:f>$AQ$4='Data entry'!$R74</xm:f>
            <x14:dxf>
              <fill>
                <patternFill>
                  <bgColor rgb="FFFF0000"/>
                </patternFill>
              </fill>
            </x14:dxf>
          </x14:cfRule>
          <xm:sqref>AO210:BA210</xm:sqref>
        </x14:conditionalFormatting>
        <x14:conditionalFormatting xmlns:xm="http://schemas.microsoft.com/office/excel/2006/main">
          <x14:cfRule type="expression" priority="4716361" id="{74952595-84B6-484F-8FF6-FCC1F337DF4D}">
            <xm:f>$AQ$4='Data entry'!$R74</xm:f>
            <x14:dxf>
              <fill>
                <patternFill>
                  <bgColor rgb="FFFFFF00"/>
                </patternFill>
              </fill>
            </x14:dxf>
          </x14:cfRule>
          <xm:sqref>AC209:AQ209</xm:sqref>
        </x14:conditionalFormatting>
        <x14:conditionalFormatting xmlns:xm="http://schemas.microsoft.com/office/excel/2006/main">
          <x14:cfRule type="expression" priority="4716636" id="{8AC9C4B9-0A34-4BC0-B0F7-CA89434C4911}">
            <xm:f>$P$4='Data entry'!$R74</xm:f>
            <x14:dxf>
              <fill>
                <patternFill>
                  <bgColor rgb="FFFFFF00"/>
                </patternFill>
              </fill>
            </x14:dxf>
          </x14:cfRule>
          <xm:sqref>C209:P209</xm:sqref>
        </x14:conditionalFormatting>
        <x14:conditionalFormatting xmlns:xm="http://schemas.microsoft.com/office/excel/2006/main">
          <x14:cfRule type="expression" priority="4716911" id="{0A726775-ABFD-4F22-967C-1A4D87BA3751}">
            <xm:f>$Q$4='Data entry'!$R74</xm:f>
            <x14:dxf>
              <fill>
                <patternFill>
                  <bgColor rgb="FFFFFF00"/>
                </patternFill>
              </fill>
            </x14:dxf>
          </x14:cfRule>
          <xm:sqref>C209:Q209</xm:sqref>
        </x14:conditionalFormatting>
        <x14:conditionalFormatting xmlns:xm="http://schemas.microsoft.com/office/excel/2006/main">
          <x14:cfRule type="expression" priority="4717186" id="{3A8414BD-262C-43B5-86EE-FA6901D00453}">
            <xm:f>$Q$4='Data entry'!$R74</xm:f>
            <x14:dxf>
              <fill>
                <patternFill>
                  <bgColor rgb="FFFF0000"/>
                </patternFill>
              </fill>
            </x14:dxf>
          </x14:cfRule>
          <xm:sqref>O210:AA210</xm:sqref>
        </x14:conditionalFormatting>
        <x14:conditionalFormatting xmlns:xm="http://schemas.microsoft.com/office/excel/2006/main">
          <x14:cfRule type="expression" priority="4717461" id="{B8B5501D-F3EF-4449-9306-F652960C65F4}">
            <xm:f>$R$4='Data entry'!$R74</xm:f>
            <x14:dxf>
              <fill>
                <patternFill>
                  <bgColor rgb="FFFF0000"/>
                </patternFill>
              </fill>
            </x14:dxf>
          </x14:cfRule>
          <xm:sqref>P210:AB210</xm:sqref>
        </x14:conditionalFormatting>
        <x14:conditionalFormatting xmlns:xm="http://schemas.microsoft.com/office/excel/2006/main">
          <x14:cfRule type="expression" priority="4717736" id="{5D070DEC-B82E-4D87-B907-A3E5AB836991}">
            <xm:f>$R$4='Data entry'!$R74</xm:f>
            <x14:dxf>
              <fill>
                <patternFill>
                  <bgColor rgb="FFFFFF00"/>
                </patternFill>
              </fill>
            </x14:dxf>
          </x14:cfRule>
          <xm:sqref>D209:R209</xm:sqref>
        </x14:conditionalFormatting>
        <x14:conditionalFormatting xmlns:xm="http://schemas.microsoft.com/office/excel/2006/main">
          <x14:cfRule type="expression" priority="4718011" id="{E4D16A10-F818-4664-9FB2-F0E839824D4B}">
            <xm:f>$S$4='Data entry'!$R74</xm:f>
            <x14:dxf>
              <fill>
                <patternFill>
                  <bgColor rgb="FFFF0000"/>
                </patternFill>
              </fill>
            </x14:dxf>
          </x14:cfRule>
          <xm:sqref>Q210:AC210</xm:sqref>
        </x14:conditionalFormatting>
        <x14:conditionalFormatting xmlns:xm="http://schemas.microsoft.com/office/excel/2006/main">
          <x14:cfRule type="expression" priority="4718286" id="{1A9F9911-A3E9-4730-AFBE-AB8C596545CA}">
            <xm:f>$S$4='Data entry'!$R74</xm:f>
            <x14:dxf>
              <fill>
                <patternFill>
                  <bgColor rgb="FFFFFF00"/>
                </patternFill>
              </fill>
            </x14:dxf>
          </x14:cfRule>
          <xm:sqref>E209:S209</xm:sqref>
        </x14:conditionalFormatting>
        <x14:conditionalFormatting xmlns:xm="http://schemas.microsoft.com/office/excel/2006/main">
          <x14:cfRule type="expression" priority="4718561" id="{8BB5CD1B-B2AC-442A-9550-26DE19A62D22}">
            <xm:f>$T$4='Data entry'!$R74</xm:f>
            <x14:dxf>
              <fill>
                <patternFill>
                  <bgColor rgb="FFFF0000"/>
                </patternFill>
              </fill>
            </x14:dxf>
          </x14:cfRule>
          <xm:sqref>R210:AD210</xm:sqref>
        </x14:conditionalFormatting>
        <x14:conditionalFormatting xmlns:xm="http://schemas.microsoft.com/office/excel/2006/main">
          <x14:cfRule type="expression" priority="4718836" id="{E7B59C69-7921-4049-84A1-8B3E5F7B0598}">
            <xm:f>$T$4='Data entry'!$R74</xm:f>
            <x14:dxf>
              <fill>
                <patternFill>
                  <bgColor rgb="FFFFFF00"/>
                </patternFill>
              </fill>
            </x14:dxf>
          </x14:cfRule>
          <xm:sqref>F209:T209</xm:sqref>
        </x14:conditionalFormatting>
        <x14:conditionalFormatting xmlns:xm="http://schemas.microsoft.com/office/excel/2006/main">
          <x14:cfRule type="expression" priority="4719111" id="{238C09E5-7A3D-439D-949F-A7733073F9A2}">
            <xm:f>$U$4='Data entry'!$R74</xm:f>
            <x14:dxf>
              <fill>
                <patternFill>
                  <bgColor rgb="FFFFFF00"/>
                </patternFill>
              </fill>
            </x14:dxf>
          </x14:cfRule>
          <xm:sqref>G209:U209</xm:sqref>
        </x14:conditionalFormatting>
        <x14:conditionalFormatting xmlns:xm="http://schemas.microsoft.com/office/excel/2006/main">
          <x14:cfRule type="expression" priority="4719386" id="{DE4D4432-0A19-452A-AF14-2873FE4DF411}">
            <xm:f>$AR$4='Data entry'!$R74</xm:f>
            <x14:dxf>
              <fill>
                <patternFill>
                  <bgColor rgb="FFFF0000"/>
                </patternFill>
              </fill>
            </x14:dxf>
          </x14:cfRule>
          <xm:sqref>AP210:BB210</xm:sqref>
        </x14:conditionalFormatting>
        <x14:conditionalFormatting xmlns:xm="http://schemas.microsoft.com/office/excel/2006/main">
          <x14:cfRule type="expression" priority="4719661" id="{90D7E1FF-542D-40C8-9BD5-DFEB4CDD256F}">
            <xm:f>$AR$4='Data entry'!$R74</xm:f>
            <x14:dxf>
              <fill>
                <patternFill>
                  <bgColor rgb="FFFFFF00"/>
                </patternFill>
              </fill>
            </x14:dxf>
          </x14:cfRule>
          <xm:sqref>AD209:AR209</xm:sqref>
        </x14:conditionalFormatting>
        <x14:conditionalFormatting xmlns:xm="http://schemas.microsoft.com/office/excel/2006/main">
          <x14:cfRule type="expression" priority="4719936" id="{0EBB5305-4A4A-4205-A1FF-11160070CBC3}">
            <xm:f>$AS$4='Data entry'!$R74</xm:f>
            <x14:dxf>
              <fill>
                <patternFill>
                  <bgColor rgb="FFFF0000"/>
                </patternFill>
              </fill>
            </x14:dxf>
          </x14:cfRule>
          <xm:sqref>AQ210:BC210</xm:sqref>
        </x14:conditionalFormatting>
        <x14:conditionalFormatting xmlns:xm="http://schemas.microsoft.com/office/excel/2006/main">
          <x14:cfRule type="expression" priority="4720211" id="{AC8EB30C-4253-4CE1-820E-1801F6D8D35B}">
            <xm:f>$AS$4='Data entry'!$R74</xm:f>
            <x14:dxf>
              <fill>
                <patternFill>
                  <bgColor rgb="FFFFFF00"/>
                </patternFill>
              </fill>
            </x14:dxf>
          </x14:cfRule>
          <xm:sqref>AE209:AS209</xm:sqref>
        </x14:conditionalFormatting>
        <x14:conditionalFormatting xmlns:xm="http://schemas.microsoft.com/office/excel/2006/main">
          <x14:cfRule type="expression" priority="4720486" id="{E11744C1-7201-4272-A1B0-945490B42425}">
            <xm:f>$AT$4='Data entry'!$R74</xm:f>
            <x14:dxf>
              <fill>
                <patternFill>
                  <bgColor rgb="FFFF0000"/>
                </patternFill>
              </fill>
            </x14:dxf>
          </x14:cfRule>
          <xm:sqref>AR210:BD210</xm:sqref>
        </x14:conditionalFormatting>
        <x14:conditionalFormatting xmlns:xm="http://schemas.microsoft.com/office/excel/2006/main">
          <x14:cfRule type="expression" priority="4720761" id="{5EE2823B-E955-4EA7-B99C-0B1F77B57A69}">
            <xm:f>$AT$4='Data entry'!$R74</xm:f>
            <x14:dxf>
              <fill>
                <patternFill>
                  <bgColor rgb="FFFFFF00"/>
                </patternFill>
              </fill>
            </x14:dxf>
          </x14:cfRule>
          <xm:sqref>AF209:AT209</xm:sqref>
        </x14:conditionalFormatting>
        <x14:conditionalFormatting xmlns:xm="http://schemas.microsoft.com/office/excel/2006/main">
          <x14:cfRule type="expression" priority="4721036" id="{5737DC63-3262-4B34-900C-2AAEB255FCBA}">
            <xm:f>$AU$4='Data entry'!$R74</xm:f>
            <x14:dxf>
              <fill>
                <patternFill>
                  <bgColor rgb="FFFF0000"/>
                </patternFill>
              </fill>
            </x14:dxf>
          </x14:cfRule>
          <xm:sqref>AS210:BE210</xm:sqref>
        </x14:conditionalFormatting>
        <x14:conditionalFormatting xmlns:xm="http://schemas.microsoft.com/office/excel/2006/main">
          <x14:cfRule type="expression" priority="4721311" id="{2B5C1F1B-3C3D-4CA3-BC64-0E98422075B6}">
            <xm:f>$AU$4='Data entry'!$R74</xm:f>
            <x14:dxf>
              <fill>
                <patternFill>
                  <bgColor rgb="FFFFFF00"/>
                </patternFill>
              </fill>
            </x14:dxf>
          </x14:cfRule>
          <xm:sqref>AG209:AU209</xm:sqref>
        </x14:conditionalFormatting>
        <x14:conditionalFormatting xmlns:xm="http://schemas.microsoft.com/office/excel/2006/main">
          <x14:cfRule type="expression" priority="4721586" id="{B87A1285-B003-4855-8F4B-53C391BA10E6}">
            <xm:f>$AV$4='Data entry'!$R74</xm:f>
            <x14:dxf>
              <fill>
                <patternFill>
                  <bgColor rgb="FFFF0000"/>
                </patternFill>
              </fill>
            </x14:dxf>
          </x14:cfRule>
          <xm:sqref>AT210:BF210</xm:sqref>
        </x14:conditionalFormatting>
        <x14:conditionalFormatting xmlns:xm="http://schemas.microsoft.com/office/excel/2006/main">
          <x14:cfRule type="expression" priority="4721861" id="{338EE31C-78DB-4818-B837-0380F9E457FA}">
            <xm:f>$AV$4='Data entry'!$R74</xm:f>
            <x14:dxf>
              <fill>
                <patternFill>
                  <bgColor rgb="FFFFFF00"/>
                </patternFill>
              </fill>
            </x14:dxf>
          </x14:cfRule>
          <xm:sqref>AH209:AV209</xm:sqref>
        </x14:conditionalFormatting>
        <x14:conditionalFormatting xmlns:xm="http://schemas.microsoft.com/office/excel/2006/main">
          <x14:cfRule type="expression" priority="4722136" id="{5C40EA66-2801-4C91-B885-BF6A1ECFC35C}">
            <xm:f>$AW$4='Data entry'!$R74</xm:f>
            <x14:dxf>
              <fill>
                <patternFill>
                  <bgColor rgb="FFFF0000"/>
                </patternFill>
              </fill>
            </x14:dxf>
          </x14:cfRule>
          <xm:sqref>AU210:BG210</xm:sqref>
        </x14:conditionalFormatting>
        <x14:conditionalFormatting xmlns:xm="http://schemas.microsoft.com/office/excel/2006/main">
          <x14:cfRule type="expression" priority="4722411" id="{51BCD5CE-DF86-4C2F-8A81-DDA1EFD6C8F7}">
            <xm:f>$AW$4='Data entry'!$R74</xm:f>
            <x14:dxf>
              <fill>
                <patternFill>
                  <bgColor rgb="FFFFFF00"/>
                </patternFill>
              </fill>
            </x14:dxf>
          </x14:cfRule>
          <xm:sqref>AI209:AW209</xm:sqref>
        </x14:conditionalFormatting>
        <x14:conditionalFormatting xmlns:xm="http://schemas.microsoft.com/office/excel/2006/main">
          <x14:cfRule type="expression" priority="4722686" id="{DC2ED5A0-8917-4877-8CD3-9DF9BE5993C9}">
            <xm:f>$AX$4='Data entry'!$R74</xm:f>
            <x14:dxf>
              <fill>
                <patternFill>
                  <bgColor rgb="FFFF0000"/>
                </patternFill>
              </fill>
            </x14:dxf>
          </x14:cfRule>
          <xm:sqref>AV210:BH210</xm:sqref>
        </x14:conditionalFormatting>
        <x14:conditionalFormatting xmlns:xm="http://schemas.microsoft.com/office/excel/2006/main">
          <x14:cfRule type="expression" priority="4722961" id="{59B31869-20F9-45BD-BC80-0A6C8945CE2C}">
            <xm:f>$AX$4='Data entry'!$R74</xm:f>
            <x14:dxf>
              <fill>
                <patternFill>
                  <bgColor rgb="FFFFFF00"/>
                </patternFill>
              </fill>
            </x14:dxf>
          </x14:cfRule>
          <xm:sqref>AJ209:AX209</xm:sqref>
        </x14:conditionalFormatting>
        <x14:conditionalFormatting xmlns:xm="http://schemas.microsoft.com/office/excel/2006/main">
          <x14:cfRule type="expression" priority="4723236" id="{D4208FA0-4262-4037-934C-6D0742B2AD8E}">
            <xm:f>$AY$4='Data entry'!$R74</xm:f>
            <x14:dxf>
              <fill>
                <patternFill>
                  <bgColor rgb="FFFF0000"/>
                </patternFill>
              </fill>
            </x14:dxf>
          </x14:cfRule>
          <xm:sqref>AW210:BI210</xm:sqref>
        </x14:conditionalFormatting>
        <x14:conditionalFormatting xmlns:xm="http://schemas.microsoft.com/office/excel/2006/main">
          <x14:cfRule type="expression" priority="4723511" id="{04D6E423-18C7-42B2-A67D-F49D8E62B571}">
            <xm:f>$AY$4='Data entry'!$R74</xm:f>
            <x14:dxf>
              <fill>
                <patternFill>
                  <bgColor rgb="FFFFFF00"/>
                </patternFill>
              </fill>
            </x14:dxf>
          </x14:cfRule>
          <xm:sqref>AK209:AY209</xm:sqref>
        </x14:conditionalFormatting>
        <x14:conditionalFormatting xmlns:xm="http://schemas.microsoft.com/office/excel/2006/main">
          <x14:cfRule type="expression" priority="4723786" id="{A931C203-6E4B-4EBD-A2F4-1876881F48D4}">
            <xm:f>$AZ$4='Data entry'!$R74</xm:f>
            <x14:dxf>
              <fill>
                <patternFill>
                  <bgColor rgb="FFFF0000"/>
                </patternFill>
              </fill>
            </x14:dxf>
          </x14:cfRule>
          <xm:sqref>AX210:BJ210</xm:sqref>
        </x14:conditionalFormatting>
        <x14:conditionalFormatting xmlns:xm="http://schemas.microsoft.com/office/excel/2006/main">
          <x14:cfRule type="expression" priority="4724061" id="{092D9100-E652-40FE-8CAA-720DC0681250}">
            <xm:f>$AZ$4='Data entry'!$R74</xm:f>
            <x14:dxf>
              <fill>
                <patternFill>
                  <bgColor rgb="FFFFFF00"/>
                </patternFill>
              </fill>
            </x14:dxf>
          </x14:cfRule>
          <xm:sqref>AL209:AZ209</xm:sqref>
        </x14:conditionalFormatting>
        <x14:conditionalFormatting xmlns:xm="http://schemas.microsoft.com/office/excel/2006/main">
          <x14:cfRule type="expression" priority="4724336" id="{A3C7E6BE-A225-483C-A983-A915DB662C52}">
            <xm:f>$BA$4='Data entry'!$R74</xm:f>
            <x14:dxf>
              <fill>
                <patternFill>
                  <bgColor rgb="FFFF0000"/>
                </patternFill>
              </fill>
            </x14:dxf>
          </x14:cfRule>
          <xm:sqref>AY210:BK210</xm:sqref>
        </x14:conditionalFormatting>
        <x14:conditionalFormatting xmlns:xm="http://schemas.microsoft.com/office/excel/2006/main">
          <x14:cfRule type="expression" priority="4724611" id="{F5CF569A-8AFA-4CFF-8BD3-F04D8927A99F}">
            <xm:f>$BA$4='Data entry'!$R74</xm:f>
            <x14:dxf>
              <fill>
                <patternFill>
                  <bgColor rgb="FFFFFF00"/>
                </patternFill>
              </fill>
            </x14:dxf>
          </x14:cfRule>
          <xm:sqref>AM209:BA209</xm:sqref>
        </x14:conditionalFormatting>
        <x14:conditionalFormatting xmlns:xm="http://schemas.microsoft.com/office/excel/2006/main">
          <x14:cfRule type="expression" priority="4724886" id="{E4DAC94A-7983-4BFB-A87B-45B58561841A}">
            <xm:f>$BB$4='Data entry'!$R74</xm:f>
            <x14:dxf>
              <fill>
                <patternFill>
                  <bgColor rgb="FFFF0000"/>
                </patternFill>
              </fill>
            </x14:dxf>
          </x14:cfRule>
          <xm:sqref>AZ210:BL210</xm:sqref>
        </x14:conditionalFormatting>
        <x14:conditionalFormatting xmlns:xm="http://schemas.microsoft.com/office/excel/2006/main">
          <x14:cfRule type="expression" priority="4725161" id="{E63849C5-F39B-4B0E-8F8A-B532EDF2CBAE}">
            <xm:f>$BB$4='Data entry'!$R74</xm:f>
            <x14:dxf>
              <fill>
                <patternFill>
                  <bgColor rgb="FFFFFF00"/>
                </patternFill>
              </fill>
            </x14:dxf>
          </x14:cfRule>
          <xm:sqref>AN209:BB209</xm:sqref>
        </x14:conditionalFormatting>
        <x14:conditionalFormatting xmlns:xm="http://schemas.microsoft.com/office/excel/2006/main">
          <x14:cfRule type="expression" priority="4725436" id="{4FDC32D3-C1F5-455D-9AA4-A03359B72526}">
            <xm:f>$BC$4='Data entry'!$R74</xm:f>
            <x14:dxf>
              <fill>
                <patternFill>
                  <bgColor rgb="FFFF0000"/>
                </patternFill>
              </fill>
            </x14:dxf>
          </x14:cfRule>
          <xm:sqref>BA210:BM210</xm:sqref>
        </x14:conditionalFormatting>
        <x14:conditionalFormatting xmlns:xm="http://schemas.microsoft.com/office/excel/2006/main">
          <x14:cfRule type="expression" priority="4725711" id="{5F0D0C60-B233-4C56-B05D-98C99990877F}">
            <xm:f>$BC$4='Data entry'!$R74</xm:f>
            <x14:dxf>
              <fill>
                <patternFill>
                  <bgColor rgb="FFFFFF00"/>
                </patternFill>
              </fill>
            </x14:dxf>
          </x14:cfRule>
          <xm:sqref>AO209:BC209</xm:sqref>
        </x14:conditionalFormatting>
        <x14:conditionalFormatting xmlns:xm="http://schemas.microsoft.com/office/excel/2006/main">
          <x14:cfRule type="expression" priority="4725986" id="{9EBCB60F-8135-43B6-A0F3-548D4092CC98}">
            <xm:f>$BD$4='Data entry'!$R74</xm:f>
            <x14:dxf>
              <fill>
                <patternFill>
                  <bgColor rgb="FFFF0000"/>
                </patternFill>
              </fill>
            </x14:dxf>
          </x14:cfRule>
          <xm:sqref>BB210:BN210</xm:sqref>
        </x14:conditionalFormatting>
        <x14:conditionalFormatting xmlns:xm="http://schemas.microsoft.com/office/excel/2006/main">
          <x14:cfRule type="expression" priority="4726261" id="{961AF346-4A73-41ED-9A8D-27D431B09C05}">
            <xm:f>$BD$4='Data entry'!$R74</xm:f>
            <x14:dxf>
              <fill>
                <patternFill>
                  <bgColor rgb="FFFFFF00"/>
                </patternFill>
              </fill>
            </x14:dxf>
          </x14:cfRule>
          <xm:sqref>AP209:BD209</xm:sqref>
        </x14:conditionalFormatting>
        <x14:conditionalFormatting xmlns:xm="http://schemas.microsoft.com/office/excel/2006/main">
          <x14:cfRule type="expression" priority="4726536" id="{5A887026-27CD-4F8C-8BA6-1E92704C1CA6}">
            <xm:f>$BE$4='Data entry'!$R74</xm:f>
            <x14:dxf>
              <fill>
                <patternFill>
                  <bgColor rgb="FFFF0000"/>
                </patternFill>
              </fill>
            </x14:dxf>
          </x14:cfRule>
          <xm:sqref>BC210:BO210</xm:sqref>
        </x14:conditionalFormatting>
        <x14:conditionalFormatting xmlns:xm="http://schemas.microsoft.com/office/excel/2006/main">
          <x14:cfRule type="expression" priority="4726811" id="{7F46217B-A1E9-4515-B31E-E756FCD7C6D9}">
            <xm:f>$BE$4='Data entry'!$R74</xm:f>
            <x14:dxf>
              <fill>
                <patternFill>
                  <bgColor rgb="FFFFFF00"/>
                </patternFill>
              </fill>
            </x14:dxf>
          </x14:cfRule>
          <xm:sqref>AP209:BE209</xm:sqref>
        </x14:conditionalFormatting>
        <x14:conditionalFormatting xmlns:xm="http://schemas.microsoft.com/office/excel/2006/main">
          <x14:cfRule type="expression" priority="4727086" id="{F4D9285C-8CA0-4EF1-943E-6A462D47CC77}">
            <xm:f>$BF$4='Data entry'!$R74</xm:f>
            <x14:dxf>
              <fill>
                <patternFill>
                  <bgColor rgb="FFFF0000"/>
                </patternFill>
              </fill>
            </x14:dxf>
          </x14:cfRule>
          <xm:sqref>BD210:BP210</xm:sqref>
        </x14:conditionalFormatting>
        <x14:conditionalFormatting xmlns:xm="http://schemas.microsoft.com/office/excel/2006/main">
          <x14:cfRule type="expression" priority="4727361" id="{B9E4407D-651D-4DC0-9D61-3271D62A65E9}">
            <xm:f>$BF$4='Data entry'!$R74</xm:f>
            <x14:dxf>
              <fill>
                <patternFill>
                  <bgColor rgb="FFFFFF00"/>
                </patternFill>
              </fill>
            </x14:dxf>
          </x14:cfRule>
          <xm:sqref>AR209:BF209</xm:sqref>
        </x14:conditionalFormatting>
        <x14:conditionalFormatting xmlns:xm="http://schemas.microsoft.com/office/excel/2006/main">
          <x14:cfRule type="expression" priority="4727636" id="{4CDC062F-DDFF-4556-B941-08F919727F69}">
            <xm:f>$BG$4='Data entry'!$R74</xm:f>
            <x14:dxf>
              <fill>
                <patternFill>
                  <bgColor rgb="FFFF0000"/>
                </patternFill>
              </fill>
            </x14:dxf>
          </x14:cfRule>
          <xm:sqref>BE210:BQ210</xm:sqref>
        </x14:conditionalFormatting>
        <x14:conditionalFormatting xmlns:xm="http://schemas.microsoft.com/office/excel/2006/main">
          <x14:cfRule type="expression" priority="4727911" id="{789184FA-9055-433B-8A1B-92C7ED59E81F}">
            <xm:f>$BG$4='Data entry'!$R74</xm:f>
            <x14:dxf>
              <fill>
                <patternFill>
                  <bgColor rgb="FFFFFF00"/>
                </patternFill>
              </fill>
            </x14:dxf>
          </x14:cfRule>
          <xm:sqref>AS209:BG209</xm:sqref>
        </x14:conditionalFormatting>
        <x14:conditionalFormatting xmlns:xm="http://schemas.microsoft.com/office/excel/2006/main">
          <x14:cfRule type="expression" priority="4728186" id="{58651E5C-09C9-46C1-B95C-E8A578A49E15}">
            <xm:f>$BH$4='Data entry'!$R74</xm:f>
            <x14:dxf>
              <fill>
                <patternFill>
                  <bgColor rgb="FFFFFF00"/>
                </patternFill>
              </fill>
            </x14:dxf>
          </x14:cfRule>
          <xm:sqref>AT209:BH209</xm:sqref>
        </x14:conditionalFormatting>
        <x14:conditionalFormatting xmlns:xm="http://schemas.microsoft.com/office/excel/2006/main">
          <x14:cfRule type="expression" priority="4728461" id="{97B30B86-8311-4DC0-A533-8C0D53F37839}">
            <xm:f>$BH$4='Data entry'!$R74</xm:f>
            <x14:dxf>
              <fill>
                <patternFill>
                  <bgColor rgb="FFFF0000"/>
                </patternFill>
              </fill>
            </x14:dxf>
          </x14:cfRule>
          <xm:sqref>BF210:BR210</xm:sqref>
        </x14:conditionalFormatting>
        <x14:conditionalFormatting xmlns:xm="http://schemas.microsoft.com/office/excel/2006/main">
          <x14:cfRule type="expression" priority="4728736" id="{78344C0C-5AEA-40B1-A20C-6D77DF58E1F5}">
            <xm:f>$BI$4='Data entry'!$R74</xm:f>
            <x14:dxf>
              <fill>
                <patternFill>
                  <bgColor rgb="FFFFFF00"/>
                </patternFill>
              </fill>
            </x14:dxf>
          </x14:cfRule>
          <xm:sqref>AU209:BI209</xm:sqref>
        </x14:conditionalFormatting>
        <x14:conditionalFormatting xmlns:xm="http://schemas.microsoft.com/office/excel/2006/main">
          <x14:cfRule type="expression" priority="4729011" id="{A9CE044F-482E-4F25-B28F-89ACC58502B1}">
            <xm:f>$BI$4='Data entry'!$R74</xm:f>
            <x14:dxf>
              <fill>
                <patternFill>
                  <bgColor rgb="FFFF0000"/>
                </patternFill>
              </fill>
            </x14:dxf>
          </x14:cfRule>
          <xm:sqref>BG210:BS210</xm:sqref>
        </x14:conditionalFormatting>
        <x14:conditionalFormatting xmlns:xm="http://schemas.microsoft.com/office/excel/2006/main">
          <x14:cfRule type="expression" priority="4729286" id="{F63BE0EB-3C71-4456-BEF0-11180AB7A8BB}">
            <xm:f>$BJ$4='Data entry'!$R74</xm:f>
            <x14:dxf>
              <fill>
                <patternFill>
                  <bgColor rgb="FFFFFF00"/>
                </patternFill>
              </fill>
            </x14:dxf>
          </x14:cfRule>
          <xm:sqref>AV209:BJ209</xm:sqref>
        </x14:conditionalFormatting>
        <x14:conditionalFormatting xmlns:xm="http://schemas.microsoft.com/office/excel/2006/main">
          <x14:cfRule type="expression" priority="4729561" id="{478A5DCB-1DAA-4497-A6CC-B4F01FB96D10}">
            <xm:f>$BJ$4='Data entry'!$R74</xm:f>
            <x14:dxf>
              <fill>
                <patternFill>
                  <bgColor rgb="FFFF0000"/>
                </patternFill>
              </fill>
            </x14:dxf>
          </x14:cfRule>
          <xm:sqref>BH210:BT210</xm:sqref>
        </x14:conditionalFormatting>
        <x14:conditionalFormatting xmlns:xm="http://schemas.microsoft.com/office/excel/2006/main">
          <x14:cfRule type="expression" priority="4729836" id="{CDE4AD5B-65A6-4FA4-9EC0-8D05F22312A9}">
            <xm:f>$BK$4='Data entry'!$R74</xm:f>
            <x14:dxf>
              <fill>
                <patternFill>
                  <bgColor rgb="FFFF0000"/>
                </patternFill>
              </fill>
            </x14:dxf>
          </x14:cfRule>
          <xm:sqref>BI210:BU210</xm:sqref>
        </x14:conditionalFormatting>
        <x14:conditionalFormatting xmlns:xm="http://schemas.microsoft.com/office/excel/2006/main">
          <x14:cfRule type="expression" priority="4730111" id="{AB32E790-6CD8-4D11-9A69-57D785FE4BBC}">
            <xm:f>$BK$4='Data entry'!$R74</xm:f>
            <x14:dxf>
              <fill>
                <patternFill>
                  <bgColor rgb="FFFFFF00"/>
                </patternFill>
              </fill>
            </x14:dxf>
          </x14:cfRule>
          <xm:sqref>AW209:BK209</xm:sqref>
        </x14:conditionalFormatting>
        <x14:conditionalFormatting xmlns:xm="http://schemas.microsoft.com/office/excel/2006/main">
          <x14:cfRule type="expression" priority="4730386" id="{99810EB9-805C-43D8-852A-EEECE7874CDB}">
            <xm:f>$BL$4='Data entry'!$R74</xm:f>
            <x14:dxf>
              <fill>
                <patternFill>
                  <bgColor rgb="FFFF0000"/>
                </patternFill>
              </fill>
            </x14:dxf>
          </x14:cfRule>
          <xm:sqref>BJ210:BV210</xm:sqref>
        </x14:conditionalFormatting>
        <x14:conditionalFormatting xmlns:xm="http://schemas.microsoft.com/office/excel/2006/main">
          <x14:cfRule type="expression" priority="4730661" id="{BF5F5475-4E46-479C-97A6-D5175F5D1803}">
            <xm:f>$BL$4='Data entry'!$R74</xm:f>
            <x14:dxf>
              <fill>
                <patternFill>
                  <bgColor rgb="FFFFFF00"/>
                </patternFill>
              </fill>
            </x14:dxf>
          </x14:cfRule>
          <xm:sqref>AX209:BL209</xm:sqref>
        </x14:conditionalFormatting>
        <x14:conditionalFormatting xmlns:xm="http://schemas.microsoft.com/office/excel/2006/main">
          <x14:cfRule type="expression" priority="4730936" id="{B86FDF2F-16C9-46B1-847E-7EA1A8A34B9D}">
            <xm:f>$BM$4='Data entry'!$R74</xm:f>
            <x14:dxf>
              <fill>
                <patternFill>
                  <bgColor rgb="FFFF0000"/>
                </patternFill>
              </fill>
            </x14:dxf>
          </x14:cfRule>
          <xm:sqref>BK210:BW210</xm:sqref>
        </x14:conditionalFormatting>
        <x14:conditionalFormatting xmlns:xm="http://schemas.microsoft.com/office/excel/2006/main">
          <x14:cfRule type="expression" priority="4731211" id="{72FD189F-4CED-400D-9FEF-21A328970A4D}">
            <xm:f>$BM$4='Data entry'!$R74</xm:f>
            <x14:dxf>
              <fill>
                <patternFill>
                  <bgColor rgb="FFFFFF00"/>
                </patternFill>
              </fill>
            </x14:dxf>
          </x14:cfRule>
          <xm:sqref>AY209:BM209</xm:sqref>
        </x14:conditionalFormatting>
        <x14:conditionalFormatting xmlns:xm="http://schemas.microsoft.com/office/excel/2006/main">
          <x14:cfRule type="expression" priority="4731486" id="{BBBBF859-D5A7-4F55-BFBF-8A77E3357590}">
            <xm:f>$BN$4='Data entry'!$R74</xm:f>
            <x14:dxf>
              <fill>
                <patternFill>
                  <bgColor rgb="FFFF0000"/>
                </patternFill>
              </fill>
            </x14:dxf>
          </x14:cfRule>
          <xm:sqref>BL210:BX210</xm:sqref>
        </x14:conditionalFormatting>
        <x14:conditionalFormatting xmlns:xm="http://schemas.microsoft.com/office/excel/2006/main">
          <x14:cfRule type="expression" priority="4731761" id="{50CB1D75-0FD5-4D24-92B1-E8A41DC6575C}">
            <xm:f>$BN$4='Data entry'!$R74</xm:f>
            <x14:dxf>
              <fill>
                <patternFill>
                  <bgColor rgb="FFFFFF00"/>
                </patternFill>
              </fill>
            </x14:dxf>
          </x14:cfRule>
          <xm:sqref>AZ209:BN209</xm:sqref>
        </x14:conditionalFormatting>
        <x14:conditionalFormatting xmlns:xm="http://schemas.microsoft.com/office/excel/2006/main">
          <x14:cfRule type="expression" priority="4732036" id="{9EF3226D-E8FC-496B-A6FF-71776AEA54D1}">
            <xm:f>$BO$4='Data entry'!$R74</xm:f>
            <x14:dxf>
              <fill>
                <patternFill>
                  <bgColor rgb="FFFF0000"/>
                </patternFill>
              </fill>
            </x14:dxf>
          </x14:cfRule>
          <xm:sqref>BM210:BY210</xm:sqref>
        </x14:conditionalFormatting>
        <x14:conditionalFormatting xmlns:xm="http://schemas.microsoft.com/office/excel/2006/main">
          <x14:cfRule type="expression" priority="4732311" id="{3B86C801-ECFE-4D05-8AA5-1581116BAFBC}">
            <xm:f>$BO$4='Data entry'!$R74</xm:f>
            <x14:dxf>
              <fill>
                <patternFill>
                  <bgColor rgb="FFFFFF00"/>
                </patternFill>
              </fill>
            </x14:dxf>
          </x14:cfRule>
          <xm:sqref>BA209:BO209</xm:sqref>
        </x14:conditionalFormatting>
        <x14:conditionalFormatting xmlns:xm="http://schemas.microsoft.com/office/excel/2006/main">
          <x14:cfRule type="expression" priority="4732586" id="{058A23EC-3371-4A02-9F20-1ECA603AC6BC}">
            <xm:f>$BP$4='Data entry'!$R74</xm:f>
            <x14:dxf>
              <fill>
                <patternFill>
                  <bgColor rgb="FFFF0000"/>
                </patternFill>
              </fill>
            </x14:dxf>
          </x14:cfRule>
          <xm:sqref>BN210:BZ210</xm:sqref>
        </x14:conditionalFormatting>
        <x14:conditionalFormatting xmlns:xm="http://schemas.microsoft.com/office/excel/2006/main">
          <x14:cfRule type="expression" priority="4732861" id="{3E711E31-3992-4555-AB22-87133D60CD15}">
            <xm:f>$BP$4='Data entry'!$R74</xm:f>
            <x14:dxf>
              <fill>
                <patternFill>
                  <bgColor rgb="FFFFFF00"/>
                </patternFill>
              </fill>
            </x14:dxf>
          </x14:cfRule>
          <xm:sqref>BB209:BP209</xm:sqref>
        </x14:conditionalFormatting>
        <x14:conditionalFormatting xmlns:xm="http://schemas.microsoft.com/office/excel/2006/main">
          <x14:cfRule type="expression" priority="4733136" id="{23E9F8B9-37D5-4730-9453-6F23E8ECBBE3}">
            <xm:f>$BQ$4='Data entry'!$R74</xm:f>
            <x14:dxf>
              <fill>
                <patternFill>
                  <bgColor rgb="FFFFFF00"/>
                </patternFill>
              </fill>
            </x14:dxf>
          </x14:cfRule>
          <xm:sqref>BC209:BQ209</xm:sqref>
        </x14:conditionalFormatting>
        <x14:conditionalFormatting xmlns:xm="http://schemas.microsoft.com/office/excel/2006/main">
          <x14:cfRule type="expression" priority="4733411" id="{BCFD92F6-AAD3-44FD-BC61-A292A81B883E}">
            <xm:f>$BQ$4='Data entry'!$R74</xm:f>
            <x14:dxf>
              <fill>
                <patternFill>
                  <bgColor rgb="FFFF0000"/>
                </patternFill>
              </fill>
            </x14:dxf>
          </x14:cfRule>
          <xm:sqref>BO210:CA210</xm:sqref>
        </x14:conditionalFormatting>
        <x14:conditionalFormatting xmlns:xm="http://schemas.microsoft.com/office/excel/2006/main">
          <x14:cfRule type="expression" priority="4733686" id="{357D60E5-F356-477E-8020-A18F42C02832}">
            <xm:f>$BR$4='Data entry'!$R74</xm:f>
            <x14:dxf>
              <fill>
                <patternFill>
                  <bgColor rgb="FFFFFF00"/>
                </patternFill>
              </fill>
            </x14:dxf>
          </x14:cfRule>
          <xm:sqref>BD209:BR209</xm:sqref>
        </x14:conditionalFormatting>
        <x14:conditionalFormatting xmlns:xm="http://schemas.microsoft.com/office/excel/2006/main">
          <x14:cfRule type="expression" priority="4733961" id="{DA2B6511-43B3-432D-B6AA-1DB1188B90A6}">
            <xm:f>$BR$4='Data entry'!$R74</xm:f>
            <x14:dxf>
              <fill>
                <patternFill>
                  <bgColor rgb="FFFF0000"/>
                </patternFill>
              </fill>
            </x14:dxf>
          </x14:cfRule>
          <xm:sqref>BP210:CB210</xm:sqref>
        </x14:conditionalFormatting>
        <x14:conditionalFormatting xmlns:xm="http://schemas.microsoft.com/office/excel/2006/main">
          <x14:cfRule type="expression" priority="4734236" id="{0D5F64E4-4136-4BFA-B833-CC8578525D9C}">
            <xm:f>$BS$4='Data entry'!$R74</xm:f>
            <x14:dxf>
              <fill>
                <patternFill>
                  <bgColor rgb="FFFFFF00"/>
                </patternFill>
              </fill>
            </x14:dxf>
          </x14:cfRule>
          <xm:sqref>BE209:BS209</xm:sqref>
        </x14:conditionalFormatting>
        <x14:conditionalFormatting xmlns:xm="http://schemas.microsoft.com/office/excel/2006/main">
          <x14:cfRule type="expression" priority="4734511" id="{AC94D468-F078-4AE2-8771-102996E07B09}">
            <xm:f>$BS$4='Data entry'!$R74</xm:f>
            <x14:dxf>
              <fill>
                <patternFill>
                  <bgColor rgb="FFFF0000"/>
                </patternFill>
              </fill>
            </x14:dxf>
          </x14:cfRule>
          <xm:sqref>BQ210:CC210</xm:sqref>
        </x14:conditionalFormatting>
        <x14:conditionalFormatting xmlns:xm="http://schemas.microsoft.com/office/excel/2006/main">
          <x14:cfRule type="expression" priority="4734786" id="{10E78F76-181E-4F19-9F89-7DD36D3EFE30}">
            <xm:f>$BT$4='Data entry'!$R74</xm:f>
            <x14:dxf>
              <fill>
                <patternFill>
                  <bgColor rgb="FFFFFF00"/>
                </patternFill>
              </fill>
            </x14:dxf>
          </x14:cfRule>
          <xm:sqref>BF209:BT209</xm:sqref>
        </x14:conditionalFormatting>
        <x14:conditionalFormatting xmlns:xm="http://schemas.microsoft.com/office/excel/2006/main">
          <x14:cfRule type="expression" priority="4735061" id="{6A5FADC6-9512-4EFB-90A5-7B5244D10D1F}">
            <xm:f>$BT$4='Data entry'!$R74</xm:f>
            <x14:dxf>
              <fill>
                <patternFill>
                  <bgColor rgb="FFFF0000"/>
                </patternFill>
              </fill>
            </x14:dxf>
          </x14:cfRule>
          <xm:sqref>BR210:CC210</xm:sqref>
        </x14:conditionalFormatting>
        <x14:conditionalFormatting xmlns:xm="http://schemas.microsoft.com/office/excel/2006/main">
          <x14:cfRule type="expression" priority="4735336" id="{A51139D1-8841-4B96-B8CB-DFE3808765CF}">
            <xm:f>$BU$4='Data entry'!$R74</xm:f>
            <x14:dxf>
              <fill>
                <patternFill>
                  <bgColor rgb="FFFFFF00"/>
                </patternFill>
              </fill>
            </x14:dxf>
          </x14:cfRule>
          <xm:sqref>BG209:BU209</xm:sqref>
        </x14:conditionalFormatting>
        <x14:conditionalFormatting xmlns:xm="http://schemas.microsoft.com/office/excel/2006/main">
          <x14:cfRule type="expression" priority="4735611" id="{55CA7258-760F-4BFF-ACB5-A70FEB3E7981}">
            <xm:f>$BU$4='Data entry'!$R74</xm:f>
            <x14:dxf>
              <fill>
                <patternFill>
                  <bgColor rgb="FFFF0000"/>
                </patternFill>
              </fill>
            </x14:dxf>
          </x14:cfRule>
          <xm:sqref>BS210:CC210</xm:sqref>
        </x14:conditionalFormatting>
        <x14:conditionalFormatting xmlns:xm="http://schemas.microsoft.com/office/excel/2006/main">
          <x14:cfRule type="expression" priority="4735886" id="{A922B218-64DB-4CBB-9AB8-FE0EBB44E09E}">
            <xm:f>$BV$4='Data entry'!$R74</xm:f>
            <x14:dxf>
              <fill>
                <patternFill>
                  <bgColor rgb="FFFFFF00"/>
                </patternFill>
              </fill>
            </x14:dxf>
          </x14:cfRule>
          <xm:sqref>BH209:BV209</xm:sqref>
        </x14:conditionalFormatting>
        <x14:conditionalFormatting xmlns:xm="http://schemas.microsoft.com/office/excel/2006/main">
          <x14:cfRule type="expression" priority="4736161" id="{C98E908A-CD31-4778-B41C-7AFB9DBE639A}">
            <xm:f>$BV$4='Data entry'!$R74</xm:f>
            <x14:dxf>
              <fill>
                <patternFill>
                  <bgColor rgb="FFFF0000"/>
                </patternFill>
              </fill>
            </x14:dxf>
          </x14:cfRule>
          <xm:sqref>BT210:CC210</xm:sqref>
        </x14:conditionalFormatting>
        <x14:conditionalFormatting xmlns:xm="http://schemas.microsoft.com/office/excel/2006/main">
          <x14:cfRule type="expression" priority="4736436" id="{465CCCA3-B4DB-4B61-8AC7-8A5E4CEC9E3F}">
            <xm:f>$BW$4='Data entry'!$R74</xm:f>
            <x14:dxf>
              <fill>
                <patternFill>
                  <bgColor rgb="FFFFFF00"/>
                </patternFill>
              </fill>
            </x14:dxf>
          </x14:cfRule>
          <xm:sqref>BI209:BW209</xm:sqref>
        </x14:conditionalFormatting>
        <x14:conditionalFormatting xmlns:xm="http://schemas.microsoft.com/office/excel/2006/main">
          <x14:cfRule type="expression" priority="4736711" id="{37566F97-6D06-400B-A709-FE657B07687F}">
            <xm:f>$BW$4='Data entry'!$R74</xm:f>
            <x14:dxf>
              <fill>
                <patternFill>
                  <bgColor rgb="FFFF0000"/>
                </patternFill>
              </fill>
            </x14:dxf>
          </x14:cfRule>
          <xm:sqref>BU210:CC210</xm:sqref>
        </x14:conditionalFormatting>
        <x14:conditionalFormatting xmlns:xm="http://schemas.microsoft.com/office/excel/2006/main">
          <x14:cfRule type="expression" priority="4736712" id="{37566F97-6D06-400B-A709-FE657B07687F}">
            <xm:f>$BW$4='Data entry'!#REF!</xm:f>
            <x14:dxf>
              <fill>
                <patternFill>
                  <bgColor rgb="FFFF0000"/>
                </patternFill>
              </fill>
            </x14:dxf>
          </x14:cfRule>
          <xm:sqref>BU211:CC211</xm:sqref>
        </x14:conditionalFormatting>
        <x14:conditionalFormatting xmlns:xm="http://schemas.microsoft.com/office/excel/2006/main">
          <x14:cfRule type="expression" priority="4736987" id="{D8FBA3AC-5CF0-4E45-97CA-1D4DEE729ADA}">
            <xm:f>$BX$4='Data entry'!$R74</xm:f>
            <x14:dxf>
              <fill>
                <patternFill>
                  <bgColor rgb="FFFFFF00"/>
                </patternFill>
              </fill>
            </x14:dxf>
          </x14:cfRule>
          <xm:sqref>BJ209:BX209</xm:sqref>
        </x14:conditionalFormatting>
        <x14:conditionalFormatting xmlns:xm="http://schemas.microsoft.com/office/excel/2006/main">
          <x14:cfRule type="expression" priority="4737262" id="{E077C84B-A94F-431D-B232-4AFCC7C64F54}">
            <xm:f>$BX$4='Data entry'!$R74</xm:f>
            <x14:dxf>
              <fill>
                <patternFill>
                  <bgColor rgb="FFFF0000"/>
                </patternFill>
              </fill>
            </x14:dxf>
          </x14:cfRule>
          <xm:sqref>BV210:CC210</xm:sqref>
        </x14:conditionalFormatting>
        <x14:conditionalFormatting xmlns:xm="http://schemas.microsoft.com/office/excel/2006/main">
          <x14:cfRule type="expression" priority="4737537" id="{63783BA8-0C97-4A44-86FD-7A2BCF1B9957}">
            <xm:f>$BY$4='Data entry'!$R74</xm:f>
            <x14:dxf>
              <fill>
                <patternFill>
                  <bgColor rgb="FFFFFF00"/>
                </patternFill>
              </fill>
            </x14:dxf>
          </x14:cfRule>
          <xm:sqref>BK209:BY209</xm:sqref>
        </x14:conditionalFormatting>
        <x14:conditionalFormatting xmlns:xm="http://schemas.microsoft.com/office/excel/2006/main">
          <x14:cfRule type="expression" priority="4737812" id="{BB8DB8B4-B71B-46D2-AEE7-346F16103F74}">
            <xm:f>$BY$4='Data entry'!$R74</xm:f>
            <x14:dxf>
              <fill>
                <patternFill>
                  <bgColor rgb="FFFF0000"/>
                </patternFill>
              </fill>
            </x14:dxf>
          </x14:cfRule>
          <xm:sqref>BW210:CC210</xm:sqref>
        </x14:conditionalFormatting>
        <x14:conditionalFormatting xmlns:xm="http://schemas.microsoft.com/office/excel/2006/main">
          <x14:cfRule type="expression" priority="4738087" id="{1B638B98-2B06-4FEB-90C1-446A3E0A3979}">
            <xm:f>$BZ$4='Data entry'!$R74</xm:f>
            <x14:dxf>
              <fill>
                <patternFill>
                  <bgColor rgb="FFFFFF00"/>
                </patternFill>
              </fill>
            </x14:dxf>
          </x14:cfRule>
          <xm:sqref>BL209:BZ209</xm:sqref>
        </x14:conditionalFormatting>
        <x14:conditionalFormatting xmlns:xm="http://schemas.microsoft.com/office/excel/2006/main">
          <x14:cfRule type="expression" priority="4738362" id="{D3A0A2F8-D1B2-4DC5-B2A9-0EF53074E685}">
            <xm:f>$BZ$4='Data entry'!$R74</xm:f>
            <x14:dxf>
              <fill>
                <patternFill>
                  <bgColor rgb="FFFF0000"/>
                </patternFill>
              </fill>
            </x14:dxf>
          </x14:cfRule>
          <xm:sqref>BX210:CC210</xm:sqref>
        </x14:conditionalFormatting>
        <x14:conditionalFormatting xmlns:xm="http://schemas.microsoft.com/office/excel/2006/main">
          <x14:cfRule type="expression" priority="4738637" id="{83F6D018-7D3B-4D33-9998-11572F2F2FF5}">
            <xm:f>$CA$4='Data entry'!$R74</xm:f>
            <x14:dxf>
              <fill>
                <patternFill>
                  <bgColor rgb="FFFFFF00"/>
                </patternFill>
              </fill>
            </x14:dxf>
          </x14:cfRule>
          <xm:sqref>BM209:CA209</xm:sqref>
        </x14:conditionalFormatting>
        <x14:conditionalFormatting xmlns:xm="http://schemas.microsoft.com/office/excel/2006/main">
          <x14:cfRule type="expression" priority="4738912" id="{8E6D0B51-5626-4ED9-9072-C7A2C139704F}">
            <xm:f>$CA$4='Data entry'!$R74</xm:f>
            <x14:dxf>
              <fill>
                <patternFill>
                  <bgColor rgb="FFFF0000"/>
                </patternFill>
              </fill>
            </x14:dxf>
          </x14:cfRule>
          <xm:sqref>BY210:CC210</xm:sqref>
        </x14:conditionalFormatting>
        <x14:conditionalFormatting xmlns:xm="http://schemas.microsoft.com/office/excel/2006/main">
          <x14:cfRule type="expression" priority="4739187" id="{E1886EE4-3BDE-43A9-9F4B-79377FEC37FE}">
            <xm:f>$CB$4='Data entry'!$R74</xm:f>
            <x14:dxf>
              <fill>
                <patternFill>
                  <bgColor rgb="FFFFFF00"/>
                </patternFill>
              </fill>
            </x14:dxf>
          </x14:cfRule>
          <xm:sqref>BN209:CB209</xm:sqref>
        </x14:conditionalFormatting>
        <x14:conditionalFormatting xmlns:xm="http://schemas.microsoft.com/office/excel/2006/main">
          <x14:cfRule type="expression" priority="4739462" id="{ADEF572A-6C18-4602-BB86-01C96D36E07E}">
            <xm:f>$CB$4='Data entry'!$R74</xm:f>
            <x14:dxf>
              <fill>
                <patternFill>
                  <bgColor rgb="FFFF0000"/>
                </patternFill>
              </fill>
            </x14:dxf>
          </x14:cfRule>
          <xm:sqref>BZ210:CC210</xm:sqref>
        </x14:conditionalFormatting>
        <x14:conditionalFormatting xmlns:xm="http://schemas.microsoft.com/office/excel/2006/main">
          <x14:cfRule type="expression" priority="4739737" id="{7984E1C9-E073-4955-8543-62145CB6D008}">
            <xm:f>$CC$4='Data entry'!$R74</xm:f>
            <x14:dxf>
              <fill>
                <patternFill>
                  <bgColor rgb="FFFFFF00"/>
                </patternFill>
              </fill>
            </x14:dxf>
          </x14:cfRule>
          <xm:sqref>BO209:CC209</xm:sqref>
        </x14:conditionalFormatting>
        <x14:conditionalFormatting xmlns:xm="http://schemas.microsoft.com/office/excel/2006/main">
          <x14:cfRule type="expression" priority="4740012" id="{18A957B3-59FA-4698-BA92-2A208FF18E2F}">
            <xm:f>$CC$4='Data entry'!$R74</xm:f>
            <x14:dxf>
              <fill>
                <patternFill>
                  <bgColor rgb="FFFF0000"/>
                </patternFill>
              </fill>
            </x14:dxf>
          </x14:cfRule>
          <xm:sqref>CA210:CC210</xm:sqref>
        </x14:conditionalFormatting>
        <x14:conditionalFormatting xmlns:xm="http://schemas.microsoft.com/office/excel/2006/main">
          <x14:cfRule type="expression" priority="4763148" id="{33E80F40-2C28-4235-8352-2F9507EB51C7}">
            <xm:f>C$4='Data entry'!$BC75</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C212:CC212</xm:sqref>
        </x14:conditionalFormatting>
        <x14:conditionalFormatting xmlns:xm="http://schemas.microsoft.com/office/excel/2006/main">
          <x14:cfRule type="expression" priority="4763422" id="{21C78CE9-0B77-4D53-8653-BD5D6E30C938}">
            <xm:f>OR(C$4='Data entry'!$S66:$AN66)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C213:CC213 C210 C207 C204</xm:sqref>
        </x14:conditionalFormatting>
        <x14:conditionalFormatting xmlns:xm="http://schemas.microsoft.com/office/excel/2006/main">
          <x14:cfRule type="expression" priority="4763831" id="{5B0DB825-B7C2-40AC-B7EF-F267F054CFB9}">
            <xm:f>$U$4='Data entry'!$R75</xm:f>
            <x14:dxf>
              <fill>
                <patternFill>
                  <bgColor rgb="FFFF0000"/>
                </patternFill>
              </fill>
            </x14:dxf>
          </x14:cfRule>
          <xm:sqref>S213:AE213</xm:sqref>
        </x14:conditionalFormatting>
        <x14:conditionalFormatting xmlns:xm="http://schemas.microsoft.com/office/excel/2006/main">
          <x14:cfRule type="expression" priority="4764105" id="{18311200-E2BB-400F-B594-3B9A2C6068C2}">
            <xm:f>$V$4='Data entry'!$R75</xm:f>
            <x14:dxf>
              <fill>
                <patternFill>
                  <bgColor rgb="FFFF0000"/>
                </patternFill>
              </fill>
            </x14:dxf>
          </x14:cfRule>
          <xm:sqref>T213:AF213</xm:sqref>
        </x14:conditionalFormatting>
        <x14:conditionalFormatting xmlns:xm="http://schemas.microsoft.com/office/excel/2006/main">
          <x14:cfRule type="expression" priority="4764379" id="{D6DFB621-1A58-4C59-A987-ECAD0EB2D32B}">
            <xm:f>$V$4='Data entry'!$R75</xm:f>
            <x14:dxf>
              <fill>
                <patternFill>
                  <bgColor rgb="FFFFFF00"/>
                </patternFill>
              </fill>
            </x14:dxf>
          </x14:cfRule>
          <xm:sqref>H212:V212</xm:sqref>
        </x14:conditionalFormatting>
        <x14:conditionalFormatting xmlns:xm="http://schemas.microsoft.com/office/excel/2006/main">
          <x14:cfRule type="expression" priority="4764653" id="{5F87A680-DC5F-433D-A779-B7A534ACCDA9}">
            <xm:f>$W$4='Data entry'!$R75</xm:f>
            <x14:dxf>
              <fill>
                <patternFill>
                  <bgColor rgb="FFFF0000"/>
                </patternFill>
              </fill>
            </x14:dxf>
          </x14:cfRule>
          <xm:sqref>U213:AG213</xm:sqref>
        </x14:conditionalFormatting>
        <x14:conditionalFormatting xmlns:xm="http://schemas.microsoft.com/office/excel/2006/main">
          <x14:cfRule type="expression" priority="4764927" id="{964539FF-A92C-4F68-B268-B7157A32678C}">
            <xm:f>$W$4='Data entry'!$R75</xm:f>
            <x14:dxf>
              <fill>
                <patternFill>
                  <bgColor rgb="FFFFFF00"/>
                </patternFill>
              </fill>
            </x14:dxf>
          </x14:cfRule>
          <xm:sqref>I212:W212</xm:sqref>
        </x14:conditionalFormatting>
        <x14:conditionalFormatting xmlns:xm="http://schemas.microsoft.com/office/excel/2006/main">
          <x14:cfRule type="expression" priority="4765201" id="{46C1533A-F090-4A90-9309-3F59EC3FD3B0}">
            <xm:f>$X$4='Data entry'!$R75</xm:f>
            <x14:dxf>
              <fill>
                <patternFill>
                  <bgColor rgb="FFFF0000"/>
                </patternFill>
              </fill>
            </x14:dxf>
          </x14:cfRule>
          <xm:sqref>V213:AH213</xm:sqref>
        </x14:conditionalFormatting>
        <x14:conditionalFormatting xmlns:xm="http://schemas.microsoft.com/office/excel/2006/main">
          <x14:cfRule type="expression" priority="4765475" id="{7C70E81C-DDD4-4D75-933A-4F6A39893184}">
            <xm:f>$X$4='Data entry'!$R75</xm:f>
            <x14:dxf>
              <fill>
                <patternFill>
                  <bgColor rgb="FFFFFF00"/>
                </patternFill>
              </fill>
            </x14:dxf>
          </x14:cfRule>
          <xm:sqref>J212:X212</xm:sqref>
        </x14:conditionalFormatting>
        <x14:conditionalFormatting xmlns:xm="http://schemas.microsoft.com/office/excel/2006/main">
          <x14:cfRule type="expression" priority="4765749" id="{561AF073-0EF8-4B72-A119-40A639C4359D}">
            <xm:f>$Y$4='Data entry'!$R75</xm:f>
            <x14:dxf>
              <fill>
                <patternFill>
                  <bgColor rgb="FFFF0000"/>
                </patternFill>
              </fill>
            </x14:dxf>
          </x14:cfRule>
          <xm:sqref>W213:AI213</xm:sqref>
        </x14:conditionalFormatting>
        <x14:conditionalFormatting xmlns:xm="http://schemas.microsoft.com/office/excel/2006/main">
          <x14:cfRule type="expression" priority="4766023" id="{F242E808-8F07-4A89-9524-7D4C767CE357}">
            <xm:f>$Y$4='Data entry'!$R75</xm:f>
            <x14:dxf>
              <fill>
                <patternFill>
                  <bgColor rgb="FFFFFF00"/>
                </patternFill>
              </fill>
            </x14:dxf>
          </x14:cfRule>
          <xm:sqref>K212:Y212</xm:sqref>
        </x14:conditionalFormatting>
        <x14:conditionalFormatting xmlns:xm="http://schemas.microsoft.com/office/excel/2006/main">
          <x14:cfRule type="expression" priority="4766297" id="{DD601058-982B-4218-BD9D-64BB823C2633}">
            <xm:f>$Z$4='Data entry'!$R75</xm:f>
            <x14:dxf>
              <fill>
                <patternFill>
                  <bgColor rgb="FFFF0000"/>
                </patternFill>
              </fill>
            </x14:dxf>
          </x14:cfRule>
          <xm:sqref>X213:AJ213</xm:sqref>
        </x14:conditionalFormatting>
        <x14:conditionalFormatting xmlns:xm="http://schemas.microsoft.com/office/excel/2006/main">
          <x14:cfRule type="expression" priority="4766571" id="{C9DB141D-79F6-4093-92A3-7BF7A1622985}">
            <xm:f>$Z$4='Data entry'!$R75</xm:f>
            <x14:dxf>
              <fill>
                <patternFill>
                  <bgColor rgb="FFFFFF00"/>
                </patternFill>
              </fill>
            </x14:dxf>
          </x14:cfRule>
          <xm:sqref>L212:Z212</xm:sqref>
        </x14:conditionalFormatting>
        <x14:conditionalFormatting xmlns:xm="http://schemas.microsoft.com/office/excel/2006/main">
          <x14:cfRule type="expression" priority="4766845" id="{710EB8D3-F5C0-4E3C-8214-2D0C4E26F649}">
            <xm:f>$AA$4='Data entry'!$R75</xm:f>
            <x14:dxf>
              <fill>
                <patternFill>
                  <bgColor rgb="FFFF0000"/>
                </patternFill>
              </fill>
            </x14:dxf>
          </x14:cfRule>
          <xm:sqref>Y213:AK213</xm:sqref>
        </x14:conditionalFormatting>
        <x14:conditionalFormatting xmlns:xm="http://schemas.microsoft.com/office/excel/2006/main">
          <x14:cfRule type="expression" priority="4767119" id="{33825D69-C967-4D27-B395-5D44A3083802}">
            <xm:f>$AA$4='Data entry'!$R75</xm:f>
            <x14:dxf>
              <fill>
                <patternFill>
                  <bgColor rgb="FFFFFF00"/>
                </patternFill>
              </fill>
            </x14:dxf>
          </x14:cfRule>
          <xm:sqref>M212:AA212</xm:sqref>
        </x14:conditionalFormatting>
        <x14:conditionalFormatting xmlns:xm="http://schemas.microsoft.com/office/excel/2006/main">
          <x14:cfRule type="expression" priority="4767393" id="{9811A97D-351B-4D32-8754-AF433277E62B}">
            <xm:f>$AB$4='Data entry'!$R75</xm:f>
            <x14:dxf>
              <fill>
                <patternFill>
                  <bgColor rgb="FFFF0000"/>
                </patternFill>
              </fill>
            </x14:dxf>
          </x14:cfRule>
          <xm:sqref>Z213:AL213</xm:sqref>
        </x14:conditionalFormatting>
        <x14:conditionalFormatting xmlns:xm="http://schemas.microsoft.com/office/excel/2006/main">
          <x14:cfRule type="expression" priority="4767667" id="{6DD3E556-C72E-438B-92DA-3096ED1E4178}">
            <xm:f>$AB$4='Data entry'!$R75</xm:f>
            <x14:dxf>
              <fill>
                <patternFill>
                  <bgColor rgb="FFFFFF00"/>
                </patternFill>
              </fill>
            </x14:dxf>
          </x14:cfRule>
          <xm:sqref>N212:AB212</xm:sqref>
        </x14:conditionalFormatting>
        <x14:conditionalFormatting xmlns:xm="http://schemas.microsoft.com/office/excel/2006/main">
          <x14:cfRule type="expression" priority="4767941" id="{C0DF7A1B-D6BC-4371-BD3A-F0708147FA1C}">
            <xm:f>$AC$4='Data entry'!$R75</xm:f>
            <x14:dxf>
              <fill>
                <patternFill>
                  <bgColor rgb="FFFF0000"/>
                </patternFill>
              </fill>
            </x14:dxf>
          </x14:cfRule>
          <xm:sqref>AA213:AM213</xm:sqref>
        </x14:conditionalFormatting>
        <x14:conditionalFormatting xmlns:xm="http://schemas.microsoft.com/office/excel/2006/main">
          <x14:cfRule type="expression" priority="4768215" id="{DB2E1F48-AF0E-41F9-A976-6B1963CA5711}">
            <xm:f>$AC$4='Data entry'!$R75</xm:f>
            <x14:dxf>
              <fill>
                <patternFill>
                  <bgColor rgb="FFFFFF00"/>
                </patternFill>
              </fill>
            </x14:dxf>
          </x14:cfRule>
          <xm:sqref>O212:AC212</xm:sqref>
        </x14:conditionalFormatting>
        <x14:conditionalFormatting xmlns:xm="http://schemas.microsoft.com/office/excel/2006/main">
          <x14:cfRule type="expression" priority="4768489" id="{89909907-F9A9-4AF9-BC1D-304710A43F50}">
            <xm:f>$AD$4='Data entry'!$R75</xm:f>
            <x14:dxf>
              <fill>
                <patternFill>
                  <bgColor rgb="FFFF0000"/>
                </patternFill>
              </fill>
            </x14:dxf>
          </x14:cfRule>
          <xm:sqref>AB213:AN213</xm:sqref>
        </x14:conditionalFormatting>
        <x14:conditionalFormatting xmlns:xm="http://schemas.microsoft.com/office/excel/2006/main">
          <x14:cfRule type="expression" priority="4768763" id="{729676B7-E331-43A4-ACC9-850DCEE76A0E}">
            <xm:f>$AD$4='Data entry'!$R75</xm:f>
            <x14:dxf>
              <fill>
                <patternFill>
                  <bgColor rgb="FFFFFF00"/>
                </patternFill>
              </fill>
            </x14:dxf>
          </x14:cfRule>
          <xm:sqref>P212:AD212</xm:sqref>
        </x14:conditionalFormatting>
        <x14:conditionalFormatting xmlns:xm="http://schemas.microsoft.com/office/excel/2006/main">
          <x14:cfRule type="expression" priority="4769037" id="{00DA2C55-350E-44AA-ABEA-808FABFDA737}">
            <xm:f>$AE$4='Data entry'!$R75</xm:f>
            <x14:dxf>
              <fill>
                <patternFill>
                  <bgColor rgb="FFFF0000"/>
                </patternFill>
              </fill>
            </x14:dxf>
          </x14:cfRule>
          <xm:sqref>AC213:AO213</xm:sqref>
        </x14:conditionalFormatting>
        <x14:conditionalFormatting xmlns:xm="http://schemas.microsoft.com/office/excel/2006/main">
          <x14:cfRule type="expression" priority="4769311" id="{373C95F1-00C1-45E9-B561-5224945BA4A4}">
            <xm:f>$AE$4='Data entry'!$R75</xm:f>
            <x14:dxf>
              <fill>
                <patternFill>
                  <bgColor rgb="FFFFFF00"/>
                </patternFill>
              </fill>
            </x14:dxf>
          </x14:cfRule>
          <xm:sqref>Q212:AE212</xm:sqref>
        </x14:conditionalFormatting>
        <x14:conditionalFormatting xmlns:xm="http://schemas.microsoft.com/office/excel/2006/main">
          <x14:cfRule type="expression" priority="4769585" id="{65E90E74-6BEF-4B00-BD5E-ECACFEBC225A}">
            <xm:f>$AF$4='Data entry'!$R75</xm:f>
            <x14:dxf>
              <fill>
                <patternFill>
                  <bgColor rgb="FFFF0000"/>
                </patternFill>
              </fill>
            </x14:dxf>
          </x14:cfRule>
          <xm:sqref>AD213:AP213</xm:sqref>
        </x14:conditionalFormatting>
        <x14:conditionalFormatting xmlns:xm="http://schemas.microsoft.com/office/excel/2006/main">
          <x14:cfRule type="expression" priority="4769859" id="{56B519D7-E083-4811-B42B-D6CB10D44BB3}">
            <xm:f>$AF$4='Data entry'!$R75</xm:f>
            <x14:dxf>
              <fill>
                <patternFill>
                  <bgColor rgb="FFFFFF00"/>
                </patternFill>
              </fill>
            </x14:dxf>
          </x14:cfRule>
          <xm:sqref>R212:AF212</xm:sqref>
        </x14:conditionalFormatting>
        <x14:conditionalFormatting xmlns:xm="http://schemas.microsoft.com/office/excel/2006/main">
          <x14:cfRule type="expression" priority="4770133" id="{889682B6-BF9B-414B-86B7-1C802156B058}">
            <xm:f>$AG$4='Data entry'!$R75</xm:f>
            <x14:dxf>
              <fill>
                <patternFill>
                  <bgColor rgb="FFFF0000"/>
                </patternFill>
              </fill>
            </x14:dxf>
          </x14:cfRule>
          <xm:sqref>AE213:AQ213</xm:sqref>
        </x14:conditionalFormatting>
        <x14:conditionalFormatting xmlns:xm="http://schemas.microsoft.com/office/excel/2006/main">
          <x14:cfRule type="expression" priority="4770407" id="{19913D88-1940-4CB0-B29C-D46D60833BD5}">
            <xm:f>$AG$4='Data entry'!$R75</xm:f>
            <x14:dxf>
              <fill>
                <patternFill>
                  <bgColor rgb="FFFFFF00"/>
                </patternFill>
              </fill>
            </x14:dxf>
          </x14:cfRule>
          <xm:sqref>S212:AG212</xm:sqref>
        </x14:conditionalFormatting>
        <x14:conditionalFormatting xmlns:xm="http://schemas.microsoft.com/office/excel/2006/main">
          <x14:cfRule type="expression" priority="4770681" id="{3DD7B9A5-18A3-463F-BAD5-9796FC487328}">
            <xm:f>$AH$4='Data entry'!$R75</xm:f>
            <x14:dxf>
              <fill>
                <patternFill>
                  <bgColor rgb="FFFF0000"/>
                </patternFill>
              </fill>
            </x14:dxf>
          </x14:cfRule>
          <xm:sqref>AF213:AR213</xm:sqref>
        </x14:conditionalFormatting>
        <x14:conditionalFormatting xmlns:xm="http://schemas.microsoft.com/office/excel/2006/main">
          <x14:cfRule type="expression" priority="4770955" id="{31005CF4-5608-496E-91EB-F7F505046C80}">
            <xm:f>$AH$4='Data entry'!$R75</xm:f>
            <x14:dxf>
              <fill>
                <patternFill>
                  <bgColor rgb="FFFFFF00"/>
                </patternFill>
              </fill>
            </x14:dxf>
          </x14:cfRule>
          <xm:sqref>T212:AH212</xm:sqref>
        </x14:conditionalFormatting>
        <x14:conditionalFormatting xmlns:xm="http://schemas.microsoft.com/office/excel/2006/main">
          <x14:cfRule type="expression" priority="4771229" id="{CD14F654-5B7A-444F-8FC1-7DD71E76E475}">
            <xm:f>$AI$4='Data entry'!$R75</xm:f>
            <x14:dxf>
              <fill>
                <patternFill>
                  <bgColor rgb="FFFF0000"/>
                </patternFill>
              </fill>
            </x14:dxf>
          </x14:cfRule>
          <xm:sqref>AG213:AS213</xm:sqref>
        </x14:conditionalFormatting>
        <x14:conditionalFormatting xmlns:xm="http://schemas.microsoft.com/office/excel/2006/main">
          <x14:cfRule type="expression" priority="4771503" id="{0E4E448C-6C46-4285-B877-A61A90294385}">
            <xm:f>$AI$4='Data entry'!$R75</xm:f>
            <x14:dxf>
              <fill>
                <patternFill>
                  <bgColor rgb="FFFFFF00"/>
                </patternFill>
              </fill>
            </x14:dxf>
          </x14:cfRule>
          <xm:sqref>U212:AI212</xm:sqref>
        </x14:conditionalFormatting>
        <x14:conditionalFormatting xmlns:xm="http://schemas.microsoft.com/office/excel/2006/main">
          <x14:cfRule type="expression" priority="4771777" id="{B1C1818F-791C-403D-BE73-6F6E9DC6A16D}">
            <xm:f>$AJ$4='Data entry'!$R75</xm:f>
            <x14:dxf>
              <fill>
                <patternFill>
                  <bgColor rgb="FFFF0000"/>
                </patternFill>
              </fill>
            </x14:dxf>
          </x14:cfRule>
          <xm:sqref>AH213:AT213</xm:sqref>
        </x14:conditionalFormatting>
        <x14:conditionalFormatting xmlns:xm="http://schemas.microsoft.com/office/excel/2006/main">
          <x14:cfRule type="expression" priority="4772051" id="{A1237792-221B-431B-B8A7-E9A64DA46D93}">
            <xm:f>$AJ$4='Data entry'!$R75</xm:f>
            <x14:dxf>
              <fill>
                <patternFill>
                  <bgColor rgb="FFFFFF00"/>
                </patternFill>
              </fill>
            </x14:dxf>
          </x14:cfRule>
          <xm:sqref>V212:AJ212</xm:sqref>
        </x14:conditionalFormatting>
        <x14:conditionalFormatting xmlns:xm="http://schemas.microsoft.com/office/excel/2006/main">
          <x14:cfRule type="expression" priority="4772325" id="{617DC2AF-C7A3-4724-8EA3-17DEFEDC8949}">
            <xm:f>$AK$4='Data entry'!$R75</xm:f>
            <x14:dxf>
              <fill>
                <patternFill>
                  <bgColor rgb="FFFF0000"/>
                </patternFill>
              </fill>
            </x14:dxf>
          </x14:cfRule>
          <xm:sqref>AI213:AU213</xm:sqref>
        </x14:conditionalFormatting>
        <x14:conditionalFormatting xmlns:xm="http://schemas.microsoft.com/office/excel/2006/main">
          <x14:cfRule type="expression" priority="4772599" id="{AA72317D-37B1-48EB-A28B-BF2AC8DC4519}">
            <xm:f>$AK$4='Data entry'!$R75</xm:f>
            <x14:dxf>
              <fill>
                <patternFill>
                  <bgColor rgb="FFFFFF00"/>
                </patternFill>
              </fill>
            </x14:dxf>
          </x14:cfRule>
          <xm:sqref>W212:AK212</xm:sqref>
        </x14:conditionalFormatting>
        <x14:conditionalFormatting xmlns:xm="http://schemas.microsoft.com/office/excel/2006/main">
          <x14:cfRule type="expression" priority="4772873" id="{6CA9FB7A-20EA-4D3A-B74C-A001F4BE810D}">
            <xm:f>$AL$4='Data entry'!$R75</xm:f>
            <x14:dxf>
              <fill>
                <patternFill>
                  <bgColor rgb="FFFF0000"/>
                </patternFill>
              </fill>
            </x14:dxf>
          </x14:cfRule>
          <xm:sqref>AJ213:AV213</xm:sqref>
        </x14:conditionalFormatting>
        <x14:conditionalFormatting xmlns:xm="http://schemas.microsoft.com/office/excel/2006/main">
          <x14:cfRule type="expression" priority="4773147" id="{81A75DAA-573F-4EF3-A640-1B992C18BEA0}">
            <xm:f>$AL$4='Data entry'!$R75</xm:f>
            <x14:dxf>
              <fill>
                <patternFill>
                  <bgColor rgb="FFFFFF00"/>
                </patternFill>
              </fill>
            </x14:dxf>
          </x14:cfRule>
          <xm:sqref>X212:AL212</xm:sqref>
        </x14:conditionalFormatting>
        <x14:conditionalFormatting xmlns:xm="http://schemas.microsoft.com/office/excel/2006/main">
          <x14:cfRule type="expression" priority="4773421" id="{3D44713E-4ABA-4CCD-9DF4-5513A9FB5E1E}">
            <xm:f>$AM$4='Data entry'!$R75</xm:f>
            <x14:dxf>
              <fill>
                <patternFill>
                  <bgColor rgb="FFFF0000"/>
                </patternFill>
              </fill>
            </x14:dxf>
          </x14:cfRule>
          <xm:sqref>AK213:AW213</xm:sqref>
        </x14:conditionalFormatting>
        <x14:conditionalFormatting xmlns:xm="http://schemas.microsoft.com/office/excel/2006/main">
          <x14:cfRule type="expression" priority="4773695" id="{05A26B51-72A7-4423-822F-2BDBC28275D0}">
            <xm:f>$AM$4='Data entry'!$R75</xm:f>
            <x14:dxf>
              <fill>
                <patternFill>
                  <bgColor rgb="FFFFFF00"/>
                </patternFill>
              </fill>
            </x14:dxf>
          </x14:cfRule>
          <xm:sqref>Y212:AM212</xm:sqref>
        </x14:conditionalFormatting>
        <x14:conditionalFormatting xmlns:xm="http://schemas.microsoft.com/office/excel/2006/main">
          <x14:cfRule type="expression" priority="4773969" id="{B8A20675-6230-4694-A7F6-6B3DC7142773}">
            <xm:f>$AN$4='Data entry'!$R75</xm:f>
            <x14:dxf>
              <fill>
                <patternFill>
                  <bgColor rgb="FFFF0000"/>
                </patternFill>
              </fill>
            </x14:dxf>
          </x14:cfRule>
          <xm:sqref>AL213:AX213</xm:sqref>
        </x14:conditionalFormatting>
        <x14:conditionalFormatting xmlns:xm="http://schemas.microsoft.com/office/excel/2006/main">
          <x14:cfRule type="expression" priority="4774243" id="{8421181C-7450-42E9-BC1D-065CCFCA960E}">
            <xm:f>$AN$4='Data entry'!$R75</xm:f>
            <x14:dxf>
              <fill>
                <patternFill>
                  <bgColor rgb="FFFFFF00"/>
                </patternFill>
              </fill>
            </x14:dxf>
          </x14:cfRule>
          <xm:sqref>Z212:AN212</xm:sqref>
        </x14:conditionalFormatting>
        <x14:conditionalFormatting xmlns:xm="http://schemas.microsoft.com/office/excel/2006/main">
          <x14:cfRule type="expression" priority="4774517" id="{067FE4BD-6EF4-4684-B6E0-35AB2F267EE7}">
            <xm:f>$AO$4='Data entry'!$R75</xm:f>
            <x14:dxf>
              <fill>
                <patternFill>
                  <bgColor rgb="FFFF0000"/>
                </patternFill>
              </fill>
            </x14:dxf>
          </x14:cfRule>
          <xm:sqref>AM213:AY213</xm:sqref>
        </x14:conditionalFormatting>
        <x14:conditionalFormatting xmlns:xm="http://schemas.microsoft.com/office/excel/2006/main">
          <x14:cfRule type="expression" priority="4774791" id="{F7653492-88D1-47AC-8BA3-0CCE65C3C2AB}">
            <xm:f>$AO$4='Data entry'!$R75</xm:f>
            <x14:dxf>
              <fill>
                <patternFill>
                  <bgColor rgb="FFFFFF00"/>
                </patternFill>
              </fill>
            </x14:dxf>
          </x14:cfRule>
          <xm:sqref>AA212:AO212</xm:sqref>
        </x14:conditionalFormatting>
        <x14:conditionalFormatting xmlns:xm="http://schemas.microsoft.com/office/excel/2006/main">
          <x14:cfRule type="expression" priority="4775065" id="{207A5E5D-B322-482E-9193-1D7318138358}">
            <xm:f>$AP$4='Data entry'!$R75</xm:f>
            <x14:dxf>
              <fill>
                <patternFill>
                  <bgColor rgb="FFFF0000"/>
                </patternFill>
              </fill>
            </x14:dxf>
          </x14:cfRule>
          <xm:sqref>AN213:AZ213</xm:sqref>
        </x14:conditionalFormatting>
        <x14:conditionalFormatting xmlns:xm="http://schemas.microsoft.com/office/excel/2006/main">
          <x14:cfRule type="expression" priority="4775339" id="{21DA638D-4CA0-4067-BFF1-240CE1A0261B}">
            <xm:f>$AP$4='Data entry'!$R75</xm:f>
            <x14:dxf>
              <fill>
                <patternFill>
                  <bgColor rgb="FFFFFF00"/>
                </patternFill>
              </fill>
            </x14:dxf>
          </x14:cfRule>
          <xm:sqref>AB212:AP212</xm:sqref>
        </x14:conditionalFormatting>
        <x14:conditionalFormatting xmlns:xm="http://schemas.microsoft.com/office/excel/2006/main">
          <x14:cfRule type="expression" priority="4775613" id="{71963D96-A42A-4B90-BFC7-6D83D37766EF}">
            <xm:f>$AQ$4='Data entry'!$R75</xm:f>
            <x14:dxf>
              <fill>
                <patternFill>
                  <bgColor rgb="FFFF0000"/>
                </patternFill>
              </fill>
            </x14:dxf>
          </x14:cfRule>
          <xm:sqref>AO213:BA213</xm:sqref>
        </x14:conditionalFormatting>
        <x14:conditionalFormatting xmlns:xm="http://schemas.microsoft.com/office/excel/2006/main">
          <x14:cfRule type="expression" priority="4775887" id="{74952595-84B6-484F-8FF6-FCC1F337DF4D}">
            <xm:f>$AQ$4='Data entry'!$R75</xm:f>
            <x14:dxf>
              <fill>
                <patternFill>
                  <bgColor rgb="FFFFFF00"/>
                </patternFill>
              </fill>
            </x14:dxf>
          </x14:cfRule>
          <xm:sqref>AC212:AQ212</xm:sqref>
        </x14:conditionalFormatting>
        <x14:conditionalFormatting xmlns:xm="http://schemas.microsoft.com/office/excel/2006/main">
          <x14:cfRule type="expression" priority="4776161" id="{8AC9C4B9-0A34-4BC0-B0F7-CA89434C4911}">
            <xm:f>$P$4='Data entry'!$R75</xm:f>
            <x14:dxf>
              <fill>
                <patternFill>
                  <bgColor rgb="FFFFFF00"/>
                </patternFill>
              </fill>
            </x14:dxf>
          </x14:cfRule>
          <xm:sqref>C212:P212</xm:sqref>
        </x14:conditionalFormatting>
        <x14:conditionalFormatting xmlns:xm="http://schemas.microsoft.com/office/excel/2006/main">
          <x14:cfRule type="expression" priority="4776435" id="{0A726775-ABFD-4F22-967C-1A4D87BA3751}">
            <xm:f>$Q$4='Data entry'!$R75</xm:f>
            <x14:dxf>
              <fill>
                <patternFill>
                  <bgColor rgb="FFFFFF00"/>
                </patternFill>
              </fill>
            </x14:dxf>
          </x14:cfRule>
          <xm:sqref>C212:Q212</xm:sqref>
        </x14:conditionalFormatting>
        <x14:conditionalFormatting xmlns:xm="http://schemas.microsoft.com/office/excel/2006/main">
          <x14:cfRule type="expression" priority="4776709" id="{3A8414BD-262C-43B5-86EE-FA6901D00453}">
            <xm:f>$Q$4='Data entry'!$R75</xm:f>
            <x14:dxf>
              <fill>
                <patternFill>
                  <bgColor rgb="FFFF0000"/>
                </patternFill>
              </fill>
            </x14:dxf>
          </x14:cfRule>
          <xm:sqref>O213:AA213</xm:sqref>
        </x14:conditionalFormatting>
        <x14:conditionalFormatting xmlns:xm="http://schemas.microsoft.com/office/excel/2006/main">
          <x14:cfRule type="expression" priority="4776983" id="{B8B5501D-F3EF-4449-9306-F652960C65F4}">
            <xm:f>$R$4='Data entry'!$R75</xm:f>
            <x14:dxf>
              <fill>
                <patternFill>
                  <bgColor rgb="FFFF0000"/>
                </patternFill>
              </fill>
            </x14:dxf>
          </x14:cfRule>
          <xm:sqref>P213:AB213</xm:sqref>
        </x14:conditionalFormatting>
        <x14:conditionalFormatting xmlns:xm="http://schemas.microsoft.com/office/excel/2006/main">
          <x14:cfRule type="expression" priority="4777257" id="{5D070DEC-B82E-4D87-B907-A3E5AB836991}">
            <xm:f>$R$4='Data entry'!$R75</xm:f>
            <x14:dxf>
              <fill>
                <patternFill>
                  <bgColor rgb="FFFFFF00"/>
                </patternFill>
              </fill>
            </x14:dxf>
          </x14:cfRule>
          <xm:sqref>D212:R212</xm:sqref>
        </x14:conditionalFormatting>
        <x14:conditionalFormatting xmlns:xm="http://schemas.microsoft.com/office/excel/2006/main">
          <x14:cfRule type="expression" priority="4777531" id="{E4D16A10-F818-4664-9FB2-F0E839824D4B}">
            <xm:f>$S$4='Data entry'!$R75</xm:f>
            <x14:dxf>
              <fill>
                <patternFill>
                  <bgColor rgb="FFFF0000"/>
                </patternFill>
              </fill>
            </x14:dxf>
          </x14:cfRule>
          <xm:sqref>Q213:AC213</xm:sqref>
        </x14:conditionalFormatting>
        <x14:conditionalFormatting xmlns:xm="http://schemas.microsoft.com/office/excel/2006/main">
          <x14:cfRule type="expression" priority="4777805" id="{1A9F9911-A3E9-4730-AFBE-AB8C596545CA}">
            <xm:f>$S$4='Data entry'!$R75</xm:f>
            <x14:dxf>
              <fill>
                <patternFill>
                  <bgColor rgb="FFFFFF00"/>
                </patternFill>
              </fill>
            </x14:dxf>
          </x14:cfRule>
          <xm:sqref>E212:S212</xm:sqref>
        </x14:conditionalFormatting>
        <x14:conditionalFormatting xmlns:xm="http://schemas.microsoft.com/office/excel/2006/main">
          <x14:cfRule type="expression" priority="4778079" id="{8BB5CD1B-B2AC-442A-9550-26DE19A62D22}">
            <xm:f>$T$4='Data entry'!$R75</xm:f>
            <x14:dxf>
              <fill>
                <patternFill>
                  <bgColor rgb="FFFF0000"/>
                </patternFill>
              </fill>
            </x14:dxf>
          </x14:cfRule>
          <xm:sqref>R213:AD213</xm:sqref>
        </x14:conditionalFormatting>
        <x14:conditionalFormatting xmlns:xm="http://schemas.microsoft.com/office/excel/2006/main">
          <x14:cfRule type="expression" priority="4778353" id="{E7B59C69-7921-4049-84A1-8B3E5F7B0598}">
            <xm:f>$T$4='Data entry'!$R75</xm:f>
            <x14:dxf>
              <fill>
                <patternFill>
                  <bgColor rgb="FFFFFF00"/>
                </patternFill>
              </fill>
            </x14:dxf>
          </x14:cfRule>
          <xm:sqref>F212:T212</xm:sqref>
        </x14:conditionalFormatting>
        <x14:conditionalFormatting xmlns:xm="http://schemas.microsoft.com/office/excel/2006/main">
          <x14:cfRule type="expression" priority="4778627" id="{238C09E5-7A3D-439D-949F-A7733073F9A2}">
            <xm:f>$U$4='Data entry'!$R75</xm:f>
            <x14:dxf>
              <fill>
                <patternFill>
                  <bgColor rgb="FFFFFF00"/>
                </patternFill>
              </fill>
            </x14:dxf>
          </x14:cfRule>
          <xm:sqref>G212:U212</xm:sqref>
        </x14:conditionalFormatting>
        <x14:conditionalFormatting xmlns:xm="http://schemas.microsoft.com/office/excel/2006/main">
          <x14:cfRule type="expression" priority="4778901" id="{DE4D4432-0A19-452A-AF14-2873FE4DF411}">
            <xm:f>$AR$4='Data entry'!$R75</xm:f>
            <x14:dxf>
              <fill>
                <patternFill>
                  <bgColor rgb="FFFF0000"/>
                </patternFill>
              </fill>
            </x14:dxf>
          </x14:cfRule>
          <xm:sqref>AP213:BB213</xm:sqref>
        </x14:conditionalFormatting>
        <x14:conditionalFormatting xmlns:xm="http://schemas.microsoft.com/office/excel/2006/main">
          <x14:cfRule type="expression" priority="4779175" id="{90D7E1FF-542D-40C8-9BD5-DFEB4CDD256F}">
            <xm:f>$AR$4='Data entry'!$R75</xm:f>
            <x14:dxf>
              <fill>
                <patternFill>
                  <bgColor rgb="FFFFFF00"/>
                </patternFill>
              </fill>
            </x14:dxf>
          </x14:cfRule>
          <xm:sqref>AD212:AR212</xm:sqref>
        </x14:conditionalFormatting>
        <x14:conditionalFormatting xmlns:xm="http://schemas.microsoft.com/office/excel/2006/main">
          <x14:cfRule type="expression" priority="4779449" id="{0EBB5305-4A4A-4205-A1FF-11160070CBC3}">
            <xm:f>$AS$4='Data entry'!$R75</xm:f>
            <x14:dxf>
              <fill>
                <patternFill>
                  <bgColor rgb="FFFF0000"/>
                </patternFill>
              </fill>
            </x14:dxf>
          </x14:cfRule>
          <xm:sqref>AQ213:BC213</xm:sqref>
        </x14:conditionalFormatting>
        <x14:conditionalFormatting xmlns:xm="http://schemas.microsoft.com/office/excel/2006/main">
          <x14:cfRule type="expression" priority="4779723" id="{AC8EB30C-4253-4CE1-820E-1801F6D8D35B}">
            <xm:f>$AS$4='Data entry'!$R75</xm:f>
            <x14:dxf>
              <fill>
                <patternFill>
                  <bgColor rgb="FFFFFF00"/>
                </patternFill>
              </fill>
            </x14:dxf>
          </x14:cfRule>
          <xm:sqref>AE212:AS212</xm:sqref>
        </x14:conditionalFormatting>
        <x14:conditionalFormatting xmlns:xm="http://schemas.microsoft.com/office/excel/2006/main">
          <x14:cfRule type="expression" priority="4779997" id="{E11744C1-7201-4272-A1B0-945490B42425}">
            <xm:f>$AT$4='Data entry'!$R75</xm:f>
            <x14:dxf>
              <fill>
                <patternFill>
                  <bgColor rgb="FFFF0000"/>
                </patternFill>
              </fill>
            </x14:dxf>
          </x14:cfRule>
          <xm:sqref>AR213:BD213</xm:sqref>
        </x14:conditionalFormatting>
        <x14:conditionalFormatting xmlns:xm="http://schemas.microsoft.com/office/excel/2006/main">
          <x14:cfRule type="expression" priority="4780271" id="{5EE2823B-E955-4EA7-B99C-0B1F77B57A69}">
            <xm:f>$AT$4='Data entry'!$R75</xm:f>
            <x14:dxf>
              <fill>
                <patternFill>
                  <bgColor rgb="FFFFFF00"/>
                </patternFill>
              </fill>
            </x14:dxf>
          </x14:cfRule>
          <xm:sqref>AF212:AT212</xm:sqref>
        </x14:conditionalFormatting>
        <x14:conditionalFormatting xmlns:xm="http://schemas.microsoft.com/office/excel/2006/main">
          <x14:cfRule type="expression" priority="4780545" id="{5737DC63-3262-4B34-900C-2AAEB255FCBA}">
            <xm:f>$AU$4='Data entry'!$R75</xm:f>
            <x14:dxf>
              <fill>
                <patternFill>
                  <bgColor rgb="FFFF0000"/>
                </patternFill>
              </fill>
            </x14:dxf>
          </x14:cfRule>
          <xm:sqref>AS213:BE213</xm:sqref>
        </x14:conditionalFormatting>
        <x14:conditionalFormatting xmlns:xm="http://schemas.microsoft.com/office/excel/2006/main">
          <x14:cfRule type="expression" priority="4780819" id="{2B5C1F1B-3C3D-4CA3-BC64-0E98422075B6}">
            <xm:f>$AU$4='Data entry'!$R75</xm:f>
            <x14:dxf>
              <fill>
                <patternFill>
                  <bgColor rgb="FFFFFF00"/>
                </patternFill>
              </fill>
            </x14:dxf>
          </x14:cfRule>
          <xm:sqref>AG212:AU212</xm:sqref>
        </x14:conditionalFormatting>
        <x14:conditionalFormatting xmlns:xm="http://schemas.microsoft.com/office/excel/2006/main">
          <x14:cfRule type="expression" priority="4781093" id="{B87A1285-B003-4855-8F4B-53C391BA10E6}">
            <xm:f>$AV$4='Data entry'!$R75</xm:f>
            <x14:dxf>
              <fill>
                <patternFill>
                  <bgColor rgb="FFFF0000"/>
                </patternFill>
              </fill>
            </x14:dxf>
          </x14:cfRule>
          <xm:sqref>AT213:BF213</xm:sqref>
        </x14:conditionalFormatting>
        <x14:conditionalFormatting xmlns:xm="http://schemas.microsoft.com/office/excel/2006/main">
          <x14:cfRule type="expression" priority="4781367" id="{338EE31C-78DB-4818-B837-0380F9E457FA}">
            <xm:f>$AV$4='Data entry'!$R75</xm:f>
            <x14:dxf>
              <fill>
                <patternFill>
                  <bgColor rgb="FFFFFF00"/>
                </patternFill>
              </fill>
            </x14:dxf>
          </x14:cfRule>
          <xm:sqref>AH212:AV212</xm:sqref>
        </x14:conditionalFormatting>
        <x14:conditionalFormatting xmlns:xm="http://schemas.microsoft.com/office/excel/2006/main">
          <x14:cfRule type="expression" priority="4781641" id="{5C40EA66-2801-4C91-B885-BF6A1ECFC35C}">
            <xm:f>$AW$4='Data entry'!$R75</xm:f>
            <x14:dxf>
              <fill>
                <patternFill>
                  <bgColor rgb="FFFF0000"/>
                </patternFill>
              </fill>
            </x14:dxf>
          </x14:cfRule>
          <xm:sqref>AU213:BG213</xm:sqref>
        </x14:conditionalFormatting>
        <x14:conditionalFormatting xmlns:xm="http://schemas.microsoft.com/office/excel/2006/main">
          <x14:cfRule type="expression" priority="4781915" id="{51BCD5CE-DF86-4C2F-8A81-DDA1EFD6C8F7}">
            <xm:f>$AW$4='Data entry'!$R75</xm:f>
            <x14:dxf>
              <fill>
                <patternFill>
                  <bgColor rgb="FFFFFF00"/>
                </patternFill>
              </fill>
            </x14:dxf>
          </x14:cfRule>
          <xm:sqref>AI212:AW212</xm:sqref>
        </x14:conditionalFormatting>
        <x14:conditionalFormatting xmlns:xm="http://schemas.microsoft.com/office/excel/2006/main">
          <x14:cfRule type="expression" priority="4782189" id="{DC2ED5A0-8917-4877-8CD3-9DF9BE5993C9}">
            <xm:f>$AX$4='Data entry'!$R75</xm:f>
            <x14:dxf>
              <fill>
                <patternFill>
                  <bgColor rgb="FFFF0000"/>
                </patternFill>
              </fill>
            </x14:dxf>
          </x14:cfRule>
          <xm:sqref>AV213:BH213</xm:sqref>
        </x14:conditionalFormatting>
        <x14:conditionalFormatting xmlns:xm="http://schemas.microsoft.com/office/excel/2006/main">
          <x14:cfRule type="expression" priority="4782463" id="{59B31869-20F9-45BD-BC80-0A6C8945CE2C}">
            <xm:f>$AX$4='Data entry'!$R75</xm:f>
            <x14:dxf>
              <fill>
                <patternFill>
                  <bgColor rgb="FFFFFF00"/>
                </patternFill>
              </fill>
            </x14:dxf>
          </x14:cfRule>
          <xm:sqref>AJ212:AX212</xm:sqref>
        </x14:conditionalFormatting>
        <x14:conditionalFormatting xmlns:xm="http://schemas.microsoft.com/office/excel/2006/main">
          <x14:cfRule type="expression" priority="4782737" id="{D4208FA0-4262-4037-934C-6D0742B2AD8E}">
            <xm:f>$AY$4='Data entry'!$R75</xm:f>
            <x14:dxf>
              <fill>
                <patternFill>
                  <bgColor rgb="FFFF0000"/>
                </patternFill>
              </fill>
            </x14:dxf>
          </x14:cfRule>
          <xm:sqref>AW213:BI213</xm:sqref>
        </x14:conditionalFormatting>
        <x14:conditionalFormatting xmlns:xm="http://schemas.microsoft.com/office/excel/2006/main">
          <x14:cfRule type="expression" priority="4783011" id="{04D6E423-18C7-42B2-A67D-F49D8E62B571}">
            <xm:f>$AY$4='Data entry'!$R75</xm:f>
            <x14:dxf>
              <fill>
                <patternFill>
                  <bgColor rgb="FFFFFF00"/>
                </patternFill>
              </fill>
            </x14:dxf>
          </x14:cfRule>
          <xm:sqref>AK212:AY212</xm:sqref>
        </x14:conditionalFormatting>
        <x14:conditionalFormatting xmlns:xm="http://schemas.microsoft.com/office/excel/2006/main">
          <x14:cfRule type="expression" priority="4783285" id="{A931C203-6E4B-4EBD-A2F4-1876881F48D4}">
            <xm:f>$AZ$4='Data entry'!$R75</xm:f>
            <x14:dxf>
              <fill>
                <patternFill>
                  <bgColor rgb="FFFF0000"/>
                </patternFill>
              </fill>
            </x14:dxf>
          </x14:cfRule>
          <xm:sqref>AX213:BJ213</xm:sqref>
        </x14:conditionalFormatting>
        <x14:conditionalFormatting xmlns:xm="http://schemas.microsoft.com/office/excel/2006/main">
          <x14:cfRule type="expression" priority="4783559" id="{092D9100-E652-40FE-8CAA-720DC0681250}">
            <xm:f>$AZ$4='Data entry'!$R75</xm:f>
            <x14:dxf>
              <fill>
                <patternFill>
                  <bgColor rgb="FFFFFF00"/>
                </patternFill>
              </fill>
            </x14:dxf>
          </x14:cfRule>
          <xm:sqref>AL212:AZ212</xm:sqref>
        </x14:conditionalFormatting>
        <x14:conditionalFormatting xmlns:xm="http://schemas.microsoft.com/office/excel/2006/main">
          <x14:cfRule type="expression" priority="4783833" id="{A3C7E6BE-A225-483C-A983-A915DB662C52}">
            <xm:f>$BA$4='Data entry'!$R75</xm:f>
            <x14:dxf>
              <fill>
                <patternFill>
                  <bgColor rgb="FFFF0000"/>
                </patternFill>
              </fill>
            </x14:dxf>
          </x14:cfRule>
          <xm:sqref>AY213:BK213</xm:sqref>
        </x14:conditionalFormatting>
        <x14:conditionalFormatting xmlns:xm="http://schemas.microsoft.com/office/excel/2006/main">
          <x14:cfRule type="expression" priority="4784107" id="{F5CF569A-8AFA-4CFF-8BD3-F04D8927A99F}">
            <xm:f>$BA$4='Data entry'!$R75</xm:f>
            <x14:dxf>
              <fill>
                <patternFill>
                  <bgColor rgb="FFFFFF00"/>
                </patternFill>
              </fill>
            </x14:dxf>
          </x14:cfRule>
          <xm:sqref>AM212:BA212</xm:sqref>
        </x14:conditionalFormatting>
        <x14:conditionalFormatting xmlns:xm="http://schemas.microsoft.com/office/excel/2006/main">
          <x14:cfRule type="expression" priority="4784381" id="{E4DAC94A-7983-4BFB-A87B-45B58561841A}">
            <xm:f>$BB$4='Data entry'!$R75</xm:f>
            <x14:dxf>
              <fill>
                <patternFill>
                  <bgColor rgb="FFFF0000"/>
                </patternFill>
              </fill>
            </x14:dxf>
          </x14:cfRule>
          <xm:sqref>AZ213:BL213</xm:sqref>
        </x14:conditionalFormatting>
        <x14:conditionalFormatting xmlns:xm="http://schemas.microsoft.com/office/excel/2006/main">
          <x14:cfRule type="expression" priority="4784655" id="{E63849C5-F39B-4B0E-8F8A-B532EDF2CBAE}">
            <xm:f>$BB$4='Data entry'!$R75</xm:f>
            <x14:dxf>
              <fill>
                <patternFill>
                  <bgColor rgb="FFFFFF00"/>
                </patternFill>
              </fill>
            </x14:dxf>
          </x14:cfRule>
          <xm:sqref>AN212:BB212</xm:sqref>
        </x14:conditionalFormatting>
        <x14:conditionalFormatting xmlns:xm="http://schemas.microsoft.com/office/excel/2006/main">
          <x14:cfRule type="expression" priority="4784929" id="{4FDC32D3-C1F5-455D-9AA4-A03359B72526}">
            <xm:f>$BC$4='Data entry'!$R75</xm:f>
            <x14:dxf>
              <fill>
                <patternFill>
                  <bgColor rgb="FFFF0000"/>
                </patternFill>
              </fill>
            </x14:dxf>
          </x14:cfRule>
          <xm:sqref>BA213:BM213</xm:sqref>
        </x14:conditionalFormatting>
        <x14:conditionalFormatting xmlns:xm="http://schemas.microsoft.com/office/excel/2006/main">
          <x14:cfRule type="expression" priority="4785203" id="{5F0D0C60-B233-4C56-B05D-98C99990877F}">
            <xm:f>$BC$4='Data entry'!$R75</xm:f>
            <x14:dxf>
              <fill>
                <patternFill>
                  <bgColor rgb="FFFFFF00"/>
                </patternFill>
              </fill>
            </x14:dxf>
          </x14:cfRule>
          <xm:sqref>AO212:BC212</xm:sqref>
        </x14:conditionalFormatting>
        <x14:conditionalFormatting xmlns:xm="http://schemas.microsoft.com/office/excel/2006/main">
          <x14:cfRule type="expression" priority="4785477" id="{9EBCB60F-8135-43B6-A0F3-548D4092CC98}">
            <xm:f>$BD$4='Data entry'!$R75</xm:f>
            <x14:dxf>
              <fill>
                <patternFill>
                  <bgColor rgb="FFFF0000"/>
                </patternFill>
              </fill>
            </x14:dxf>
          </x14:cfRule>
          <xm:sqref>BB213:BN213</xm:sqref>
        </x14:conditionalFormatting>
        <x14:conditionalFormatting xmlns:xm="http://schemas.microsoft.com/office/excel/2006/main">
          <x14:cfRule type="expression" priority="4785751" id="{961AF346-4A73-41ED-9A8D-27D431B09C05}">
            <xm:f>$BD$4='Data entry'!$R75</xm:f>
            <x14:dxf>
              <fill>
                <patternFill>
                  <bgColor rgb="FFFFFF00"/>
                </patternFill>
              </fill>
            </x14:dxf>
          </x14:cfRule>
          <xm:sqref>AP212:BD212</xm:sqref>
        </x14:conditionalFormatting>
        <x14:conditionalFormatting xmlns:xm="http://schemas.microsoft.com/office/excel/2006/main">
          <x14:cfRule type="expression" priority="4786025" id="{5A887026-27CD-4F8C-8BA6-1E92704C1CA6}">
            <xm:f>$BE$4='Data entry'!$R75</xm:f>
            <x14:dxf>
              <fill>
                <patternFill>
                  <bgColor rgb="FFFF0000"/>
                </patternFill>
              </fill>
            </x14:dxf>
          </x14:cfRule>
          <xm:sqref>BC213:BO213</xm:sqref>
        </x14:conditionalFormatting>
        <x14:conditionalFormatting xmlns:xm="http://schemas.microsoft.com/office/excel/2006/main">
          <x14:cfRule type="expression" priority="4786299" id="{7F46217B-A1E9-4515-B31E-E756FCD7C6D9}">
            <xm:f>$BE$4='Data entry'!$R75</xm:f>
            <x14:dxf>
              <fill>
                <patternFill>
                  <bgColor rgb="FFFFFF00"/>
                </patternFill>
              </fill>
            </x14:dxf>
          </x14:cfRule>
          <xm:sqref>AP212:BE212</xm:sqref>
        </x14:conditionalFormatting>
        <x14:conditionalFormatting xmlns:xm="http://schemas.microsoft.com/office/excel/2006/main">
          <x14:cfRule type="expression" priority="4786573" id="{F4D9285C-8CA0-4EF1-943E-6A462D47CC77}">
            <xm:f>$BF$4='Data entry'!$R75</xm:f>
            <x14:dxf>
              <fill>
                <patternFill>
                  <bgColor rgb="FFFF0000"/>
                </patternFill>
              </fill>
            </x14:dxf>
          </x14:cfRule>
          <xm:sqref>BD213:BP213</xm:sqref>
        </x14:conditionalFormatting>
        <x14:conditionalFormatting xmlns:xm="http://schemas.microsoft.com/office/excel/2006/main">
          <x14:cfRule type="expression" priority="4786847" id="{B9E4407D-651D-4DC0-9D61-3271D62A65E9}">
            <xm:f>$BF$4='Data entry'!$R75</xm:f>
            <x14:dxf>
              <fill>
                <patternFill>
                  <bgColor rgb="FFFFFF00"/>
                </patternFill>
              </fill>
            </x14:dxf>
          </x14:cfRule>
          <xm:sqref>AR212:BF212</xm:sqref>
        </x14:conditionalFormatting>
        <x14:conditionalFormatting xmlns:xm="http://schemas.microsoft.com/office/excel/2006/main">
          <x14:cfRule type="expression" priority="4787121" id="{4CDC062F-DDFF-4556-B941-08F919727F69}">
            <xm:f>$BG$4='Data entry'!$R75</xm:f>
            <x14:dxf>
              <fill>
                <patternFill>
                  <bgColor rgb="FFFF0000"/>
                </patternFill>
              </fill>
            </x14:dxf>
          </x14:cfRule>
          <xm:sqref>BE213:BQ213</xm:sqref>
        </x14:conditionalFormatting>
        <x14:conditionalFormatting xmlns:xm="http://schemas.microsoft.com/office/excel/2006/main">
          <x14:cfRule type="expression" priority="4787395" id="{789184FA-9055-433B-8A1B-92C7ED59E81F}">
            <xm:f>$BG$4='Data entry'!$R75</xm:f>
            <x14:dxf>
              <fill>
                <patternFill>
                  <bgColor rgb="FFFFFF00"/>
                </patternFill>
              </fill>
            </x14:dxf>
          </x14:cfRule>
          <xm:sqref>AS212:BG212</xm:sqref>
        </x14:conditionalFormatting>
        <x14:conditionalFormatting xmlns:xm="http://schemas.microsoft.com/office/excel/2006/main">
          <x14:cfRule type="expression" priority="4787669" id="{58651E5C-09C9-46C1-B95C-E8A578A49E15}">
            <xm:f>$BH$4='Data entry'!$R75</xm:f>
            <x14:dxf>
              <fill>
                <patternFill>
                  <bgColor rgb="FFFFFF00"/>
                </patternFill>
              </fill>
            </x14:dxf>
          </x14:cfRule>
          <xm:sqref>AT212:BH212</xm:sqref>
        </x14:conditionalFormatting>
        <x14:conditionalFormatting xmlns:xm="http://schemas.microsoft.com/office/excel/2006/main">
          <x14:cfRule type="expression" priority="4787943" id="{97B30B86-8311-4DC0-A533-8C0D53F37839}">
            <xm:f>$BH$4='Data entry'!$R75</xm:f>
            <x14:dxf>
              <fill>
                <patternFill>
                  <bgColor rgb="FFFF0000"/>
                </patternFill>
              </fill>
            </x14:dxf>
          </x14:cfRule>
          <xm:sqref>BF213:BR213</xm:sqref>
        </x14:conditionalFormatting>
        <x14:conditionalFormatting xmlns:xm="http://schemas.microsoft.com/office/excel/2006/main">
          <x14:cfRule type="expression" priority="4788217" id="{78344C0C-5AEA-40B1-A20C-6D77DF58E1F5}">
            <xm:f>$BI$4='Data entry'!$R75</xm:f>
            <x14:dxf>
              <fill>
                <patternFill>
                  <bgColor rgb="FFFFFF00"/>
                </patternFill>
              </fill>
            </x14:dxf>
          </x14:cfRule>
          <xm:sqref>AU212:BI212</xm:sqref>
        </x14:conditionalFormatting>
        <x14:conditionalFormatting xmlns:xm="http://schemas.microsoft.com/office/excel/2006/main">
          <x14:cfRule type="expression" priority="4788491" id="{A9CE044F-482E-4F25-B28F-89ACC58502B1}">
            <xm:f>$BI$4='Data entry'!$R75</xm:f>
            <x14:dxf>
              <fill>
                <patternFill>
                  <bgColor rgb="FFFF0000"/>
                </patternFill>
              </fill>
            </x14:dxf>
          </x14:cfRule>
          <xm:sqref>BG213:BS213</xm:sqref>
        </x14:conditionalFormatting>
        <x14:conditionalFormatting xmlns:xm="http://schemas.microsoft.com/office/excel/2006/main">
          <x14:cfRule type="expression" priority="4788765" id="{F63BE0EB-3C71-4456-BEF0-11180AB7A8BB}">
            <xm:f>$BJ$4='Data entry'!$R75</xm:f>
            <x14:dxf>
              <fill>
                <patternFill>
                  <bgColor rgb="FFFFFF00"/>
                </patternFill>
              </fill>
            </x14:dxf>
          </x14:cfRule>
          <xm:sqref>AV212:BJ212</xm:sqref>
        </x14:conditionalFormatting>
        <x14:conditionalFormatting xmlns:xm="http://schemas.microsoft.com/office/excel/2006/main">
          <x14:cfRule type="expression" priority="4789039" id="{478A5DCB-1DAA-4497-A6CC-B4F01FB96D10}">
            <xm:f>$BJ$4='Data entry'!$R75</xm:f>
            <x14:dxf>
              <fill>
                <patternFill>
                  <bgColor rgb="FFFF0000"/>
                </patternFill>
              </fill>
            </x14:dxf>
          </x14:cfRule>
          <xm:sqref>BH213:BT213</xm:sqref>
        </x14:conditionalFormatting>
        <x14:conditionalFormatting xmlns:xm="http://schemas.microsoft.com/office/excel/2006/main">
          <x14:cfRule type="expression" priority="4789313" id="{CDE4AD5B-65A6-4FA4-9EC0-8D05F22312A9}">
            <xm:f>$BK$4='Data entry'!$R75</xm:f>
            <x14:dxf>
              <fill>
                <patternFill>
                  <bgColor rgb="FFFF0000"/>
                </patternFill>
              </fill>
            </x14:dxf>
          </x14:cfRule>
          <xm:sqref>BI213:BU213</xm:sqref>
        </x14:conditionalFormatting>
        <x14:conditionalFormatting xmlns:xm="http://schemas.microsoft.com/office/excel/2006/main">
          <x14:cfRule type="expression" priority="4789587" id="{AB32E790-6CD8-4D11-9A69-57D785FE4BBC}">
            <xm:f>$BK$4='Data entry'!$R75</xm:f>
            <x14:dxf>
              <fill>
                <patternFill>
                  <bgColor rgb="FFFFFF00"/>
                </patternFill>
              </fill>
            </x14:dxf>
          </x14:cfRule>
          <xm:sqref>AW212:BK212</xm:sqref>
        </x14:conditionalFormatting>
        <x14:conditionalFormatting xmlns:xm="http://schemas.microsoft.com/office/excel/2006/main">
          <x14:cfRule type="expression" priority="4789861" id="{99810EB9-805C-43D8-852A-EEECE7874CDB}">
            <xm:f>$BL$4='Data entry'!$R75</xm:f>
            <x14:dxf>
              <fill>
                <patternFill>
                  <bgColor rgb="FFFF0000"/>
                </patternFill>
              </fill>
            </x14:dxf>
          </x14:cfRule>
          <xm:sqref>BJ213:BV213</xm:sqref>
        </x14:conditionalFormatting>
        <x14:conditionalFormatting xmlns:xm="http://schemas.microsoft.com/office/excel/2006/main">
          <x14:cfRule type="expression" priority="4790135" id="{BF5F5475-4E46-479C-97A6-D5175F5D1803}">
            <xm:f>$BL$4='Data entry'!$R75</xm:f>
            <x14:dxf>
              <fill>
                <patternFill>
                  <bgColor rgb="FFFFFF00"/>
                </patternFill>
              </fill>
            </x14:dxf>
          </x14:cfRule>
          <xm:sqref>AX212:BL212</xm:sqref>
        </x14:conditionalFormatting>
        <x14:conditionalFormatting xmlns:xm="http://schemas.microsoft.com/office/excel/2006/main">
          <x14:cfRule type="expression" priority="4790409" id="{B86FDF2F-16C9-46B1-847E-7EA1A8A34B9D}">
            <xm:f>$BM$4='Data entry'!$R75</xm:f>
            <x14:dxf>
              <fill>
                <patternFill>
                  <bgColor rgb="FFFF0000"/>
                </patternFill>
              </fill>
            </x14:dxf>
          </x14:cfRule>
          <xm:sqref>BK213:BW213</xm:sqref>
        </x14:conditionalFormatting>
        <x14:conditionalFormatting xmlns:xm="http://schemas.microsoft.com/office/excel/2006/main">
          <x14:cfRule type="expression" priority="4790683" id="{72FD189F-4CED-400D-9FEF-21A328970A4D}">
            <xm:f>$BM$4='Data entry'!$R75</xm:f>
            <x14:dxf>
              <fill>
                <patternFill>
                  <bgColor rgb="FFFFFF00"/>
                </patternFill>
              </fill>
            </x14:dxf>
          </x14:cfRule>
          <xm:sqref>AY212:BM212</xm:sqref>
        </x14:conditionalFormatting>
        <x14:conditionalFormatting xmlns:xm="http://schemas.microsoft.com/office/excel/2006/main">
          <x14:cfRule type="expression" priority="4790957" id="{BBBBF859-D5A7-4F55-BFBF-8A77E3357590}">
            <xm:f>$BN$4='Data entry'!$R75</xm:f>
            <x14:dxf>
              <fill>
                <patternFill>
                  <bgColor rgb="FFFF0000"/>
                </patternFill>
              </fill>
            </x14:dxf>
          </x14:cfRule>
          <xm:sqref>BL213:BX213</xm:sqref>
        </x14:conditionalFormatting>
        <x14:conditionalFormatting xmlns:xm="http://schemas.microsoft.com/office/excel/2006/main">
          <x14:cfRule type="expression" priority="4791231" id="{50CB1D75-0FD5-4D24-92B1-E8A41DC6575C}">
            <xm:f>$BN$4='Data entry'!$R75</xm:f>
            <x14:dxf>
              <fill>
                <patternFill>
                  <bgColor rgb="FFFFFF00"/>
                </patternFill>
              </fill>
            </x14:dxf>
          </x14:cfRule>
          <xm:sqref>AZ212:BN212</xm:sqref>
        </x14:conditionalFormatting>
        <x14:conditionalFormatting xmlns:xm="http://schemas.microsoft.com/office/excel/2006/main">
          <x14:cfRule type="expression" priority="4791505" id="{9EF3226D-E8FC-496B-A6FF-71776AEA54D1}">
            <xm:f>$BO$4='Data entry'!$R75</xm:f>
            <x14:dxf>
              <fill>
                <patternFill>
                  <bgColor rgb="FFFF0000"/>
                </patternFill>
              </fill>
            </x14:dxf>
          </x14:cfRule>
          <xm:sqref>BM213:BY213</xm:sqref>
        </x14:conditionalFormatting>
        <x14:conditionalFormatting xmlns:xm="http://schemas.microsoft.com/office/excel/2006/main">
          <x14:cfRule type="expression" priority="4791779" id="{3B86C801-ECFE-4D05-8AA5-1581116BAFBC}">
            <xm:f>$BO$4='Data entry'!$R75</xm:f>
            <x14:dxf>
              <fill>
                <patternFill>
                  <bgColor rgb="FFFFFF00"/>
                </patternFill>
              </fill>
            </x14:dxf>
          </x14:cfRule>
          <xm:sqref>BA212:BO212</xm:sqref>
        </x14:conditionalFormatting>
        <x14:conditionalFormatting xmlns:xm="http://schemas.microsoft.com/office/excel/2006/main">
          <x14:cfRule type="expression" priority="4792053" id="{058A23EC-3371-4A02-9F20-1ECA603AC6BC}">
            <xm:f>$BP$4='Data entry'!$R75</xm:f>
            <x14:dxf>
              <fill>
                <patternFill>
                  <bgColor rgb="FFFF0000"/>
                </patternFill>
              </fill>
            </x14:dxf>
          </x14:cfRule>
          <xm:sqref>BN213:BZ213</xm:sqref>
        </x14:conditionalFormatting>
        <x14:conditionalFormatting xmlns:xm="http://schemas.microsoft.com/office/excel/2006/main">
          <x14:cfRule type="expression" priority="4792327" id="{3E711E31-3992-4555-AB22-87133D60CD15}">
            <xm:f>$BP$4='Data entry'!$R75</xm:f>
            <x14:dxf>
              <fill>
                <patternFill>
                  <bgColor rgb="FFFFFF00"/>
                </patternFill>
              </fill>
            </x14:dxf>
          </x14:cfRule>
          <xm:sqref>BB212:BP212</xm:sqref>
        </x14:conditionalFormatting>
        <x14:conditionalFormatting xmlns:xm="http://schemas.microsoft.com/office/excel/2006/main">
          <x14:cfRule type="expression" priority="4792601" id="{23E9F8B9-37D5-4730-9453-6F23E8ECBBE3}">
            <xm:f>$BQ$4='Data entry'!$R75</xm:f>
            <x14:dxf>
              <fill>
                <patternFill>
                  <bgColor rgb="FFFFFF00"/>
                </patternFill>
              </fill>
            </x14:dxf>
          </x14:cfRule>
          <xm:sqref>BC212:BQ212</xm:sqref>
        </x14:conditionalFormatting>
        <x14:conditionalFormatting xmlns:xm="http://schemas.microsoft.com/office/excel/2006/main">
          <x14:cfRule type="expression" priority="4792875" id="{BCFD92F6-AAD3-44FD-BC61-A292A81B883E}">
            <xm:f>$BQ$4='Data entry'!$R75</xm:f>
            <x14:dxf>
              <fill>
                <patternFill>
                  <bgColor rgb="FFFF0000"/>
                </patternFill>
              </fill>
            </x14:dxf>
          </x14:cfRule>
          <xm:sqref>BO213:CA213</xm:sqref>
        </x14:conditionalFormatting>
        <x14:conditionalFormatting xmlns:xm="http://schemas.microsoft.com/office/excel/2006/main">
          <x14:cfRule type="expression" priority="4793149" id="{357D60E5-F356-477E-8020-A18F42C02832}">
            <xm:f>$BR$4='Data entry'!$R75</xm:f>
            <x14:dxf>
              <fill>
                <patternFill>
                  <bgColor rgb="FFFFFF00"/>
                </patternFill>
              </fill>
            </x14:dxf>
          </x14:cfRule>
          <xm:sqref>BD212:BR212</xm:sqref>
        </x14:conditionalFormatting>
        <x14:conditionalFormatting xmlns:xm="http://schemas.microsoft.com/office/excel/2006/main">
          <x14:cfRule type="expression" priority="4793423" id="{DA2B6511-43B3-432D-B6AA-1DB1188B90A6}">
            <xm:f>$BR$4='Data entry'!$R75</xm:f>
            <x14:dxf>
              <fill>
                <patternFill>
                  <bgColor rgb="FFFF0000"/>
                </patternFill>
              </fill>
            </x14:dxf>
          </x14:cfRule>
          <xm:sqref>BP213:CB213</xm:sqref>
        </x14:conditionalFormatting>
        <x14:conditionalFormatting xmlns:xm="http://schemas.microsoft.com/office/excel/2006/main">
          <x14:cfRule type="expression" priority="4793697" id="{0D5F64E4-4136-4BFA-B833-CC8578525D9C}">
            <xm:f>$BS$4='Data entry'!$R75</xm:f>
            <x14:dxf>
              <fill>
                <patternFill>
                  <bgColor rgb="FFFFFF00"/>
                </patternFill>
              </fill>
            </x14:dxf>
          </x14:cfRule>
          <xm:sqref>BE212:BS212</xm:sqref>
        </x14:conditionalFormatting>
        <x14:conditionalFormatting xmlns:xm="http://schemas.microsoft.com/office/excel/2006/main">
          <x14:cfRule type="expression" priority="4793971" id="{AC94D468-F078-4AE2-8771-102996E07B09}">
            <xm:f>$BS$4='Data entry'!$R75</xm:f>
            <x14:dxf>
              <fill>
                <patternFill>
                  <bgColor rgb="FFFF0000"/>
                </patternFill>
              </fill>
            </x14:dxf>
          </x14:cfRule>
          <xm:sqref>BQ213:CC213</xm:sqref>
        </x14:conditionalFormatting>
        <x14:conditionalFormatting xmlns:xm="http://schemas.microsoft.com/office/excel/2006/main">
          <x14:cfRule type="expression" priority="4794245" id="{10E78F76-181E-4F19-9F89-7DD36D3EFE30}">
            <xm:f>$BT$4='Data entry'!$R75</xm:f>
            <x14:dxf>
              <fill>
                <patternFill>
                  <bgColor rgb="FFFFFF00"/>
                </patternFill>
              </fill>
            </x14:dxf>
          </x14:cfRule>
          <xm:sqref>BF212:BT212</xm:sqref>
        </x14:conditionalFormatting>
        <x14:conditionalFormatting xmlns:xm="http://schemas.microsoft.com/office/excel/2006/main">
          <x14:cfRule type="expression" priority="4794519" id="{6A5FADC6-9512-4EFB-90A5-7B5244D10D1F}">
            <xm:f>$BT$4='Data entry'!$R75</xm:f>
            <x14:dxf>
              <fill>
                <patternFill>
                  <bgColor rgb="FFFF0000"/>
                </patternFill>
              </fill>
            </x14:dxf>
          </x14:cfRule>
          <xm:sqref>BR213:CC213</xm:sqref>
        </x14:conditionalFormatting>
        <x14:conditionalFormatting xmlns:xm="http://schemas.microsoft.com/office/excel/2006/main">
          <x14:cfRule type="expression" priority="4794793" id="{A51139D1-8841-4B96-B8CB-DFE3808765CF}">
            <xm:f>$BU$4='Data entry'!$R75</xm:f>
            <x14:dxf>
              <fill>
                <patternFill>
                  <bgColor rgb="FFFFFF00"/>
                </patternFill>
              </fill>
            </x14:dxf>
          </x14:cfRule>
          <xm:sqref>BG212:BU212</xm:sqref>
        </x14:conditionalFormatting>
        <x14:conditionalFormatting xmlns:xm="http://schemas.microsoft.com/office/excel/2006/main">
          <x14:cfRule type="expression" priority="4795067" id="{55CA7258-760F-4BFF-ACB5-A70FEB3E7981}">
            <xm:f>$BU$4='Data entry'!$R75</xm:f>
            <x14:dxf>
              <fill>
                <patternFill>
                  <bgColor rgb="FFFF0000"/>
                </patternFill>
              </fill>
            </x14:dxf>
          </x14:cfRule>
          <xm:sqref>BS213:CC213</xm:sqref>
        </x14:conditionalFormatting>
        <x14:conditionalFormatting xmlns:xm="http://schemas.microsoft.com/office/excel/2006/main">
          <x14:cfRule type="expression" priority="4795341" id="{A922B218-64DB-4CBB-9AB8-FE0EBB44E09E}">
            <xm:f>$BV$4='Data entry'!$R75</xm:f>
            <x14:dxf>
              <fill>
                <patternFill>
                  <bgColor rgb="FFFFFF00"/>
                </patternFill>
              </fill>
            </x14:dxf>
          </x14:cfRule>
          <xm:sqref>BH212:BV212</xm:sqref>
        </x14:conditionalFormatting>
        <x14:conditionalFormatting xmlns:xm="http://schemas.microsoft.com/office/excel/2006/main">
          <x14:cfRule type="expression" priority="4795615" id="{C98E908A-CD31-4778-B41C-7AFB9DBE639A}">
            <xm:f>$BV$4='Data entry'!$R75</xm:f>
            <x14:dxf>
              <fill>
                <patternFill>
                  <bgColor rgb="FFFF0000"/>
                </patternFill>
              </fill>
            </x14:dxf>
          </x14:cfRule>
          <xm:sqref>BT213:CC213</xm:sqref>
        </x14:conditionalFormatting>
        <x14:conditionalFormatting xmlns:xm="http://schemas.microsoft.com/office/excel/2006/main">
          <x14:cfRule type="expression" priority="4795889" id="{465CCCA3-B4DB-4B61-8AC7-8A5E4CEC9E3F}">
            <xm:f>$BW$4='Data entry'!$R75</xm:f>
            <x14:dxf>
              <fill>
                <patternFill>
                  <bgColor rgb="FFFFFF00"/>
                </patternFill>
              </fill>
            </x14:dxf>
          </x14:cfRule>
          <xm:sqref>BI212:BW212</xm:sqref>
        </x14:conditionalFormatting>
        <x14:conditionalFormatting xmlns:xm="http://schemas.microsoft.com/office/excel/2006/main">
          <x14:cfRule type="expression" priority="4796163" id="{37566F97-6D06-400B-A709-FE657B07687F}">
            <xm:f>$BW$4='Data entry'!$R75</xm:f>
            <x14:dxf>
              <fill>
                <patternFill>
                  <bgColor rgb="FFFF0000"/>
                </patternFill>
              </fill>
            </x14:dxf>
          </x14:cfRule>
          <xm:sqref>BU213:CC213</xm:sqref>
        </x14:conditionalFormatting>
        <x14:conditionalFormatting xmlns:xm="http://schemas.microsoft.com/office/excel/2006/main">
          <x14:cfRule type="expression" priority="4796164" id="{37566F97-6D06-400B-A709-FE657B07687F}">
            <xm:f>$BW$4='Data entry'!#REF!</xm:f>
            <x14:dxf>
              <fill>
                <patternFill>
                  <bgColor rgb="FFFF0000"/>
                </patternFill>
              </fill>
            </x14:dxf>
          </x14:cfRule>
          <xm:sqref>BU214:CC214</xm:sqref>
        </x14:conditionalFormatting>
        <x14:conditionalFormatting xmlns:xm="http://schemas.microsoft.com/office/excel/2006/main">
          <x14:cfRule type="expression" priority="4796438" id="{D8FBA3AC-5CF0-4E45-97CA-1D4DEE729ADA}">
            <xm:f>$BX$4='Data entry'!$R75</xm:f>
            <x14:dxf>
              <fill>
                <patternFill>
                  <bgColor rgb="FFFFFF00"/>
                </patternFill>
              </fill>
            </x14:dxf>
          </x14:cfRule>
          <xm:sqref>BJ212:BX212</xm:sqref>
        </x14:conditionalFormatting>
        <x14:conditionalFormatting xmlns:xm="http://schemas.microsoft.com/office/excel/2006/main">
          <x14:cfRule type="expression" priority="4796712" id="{E077C84B-A94F-431D-B232-4AFCC7C64F54}">
            <xm:f>$BX$4='Data entry'!$R75</xm:f>
            <x14:dxf>
              <fill>
                <patternFill>
                  <bgColor rgb="FFFF0000"/>
                </patternFill>
              </fill>
            </x14:dxf>
          </x14:cfRule>
          <xm:sqref>BV213:CC213</xm:sqref>
        </x14:conditionalFormatting>
        <x14:conditionalFormatting xmlns:xm="http://schemas.microsoft.com/office/excel/2006/main">
          <x14:cfRule type="expression" priority="4796986" id="{63783BA8-0C97-4A44-86FD-7A2BCF1B9957}">
            <xm:f>$BY$4='Data entry'!$R75</xm:f>
            <x14:dxf>
              <fill>
                <patternFill>
                  <bgColor rgb="FFFFFF00"/>
                </patternFill>
              </fill>
            </x14:dxf>
          </x14:cfRule>
          <xm:sqref>BK212:BY212</xm:sqref>
        </x14:conditionalFormatting>
        <x14:conditionalFormatting xmlns:xm="http://schemas.microsoft.com/office/excel/2006/main">
          <x14:cfRule type="expression" priority="4797260" id="{BB8DB8B4-B71B-46D2-AEE7-346F16103F74}">
            <xm:f>$BY$4='Data entry'!$R75</xm:f>
            <x14:dxf>
              <fill>
                <patternFill>
                  <bgColor rgb="FFFF0000"/>
                </patternFill>
              </fill>
            </x14:dxf>
          </x14:cfRule>
          <xm:sqref>BW213:CC213</xm:sqref>
        </x14:conditionalFormatting>
        <x14:conditionalFormatting xmlns:xm="http://schemas.microsoft.com/office/excel/2006/main">
          <x14:cfRule type="expression" priority="4797534" id="{1B638B98-2B06-4FEB-90C1-446A3E0A3979}">
            <xm:f>$BZ$4='Data entry'!$R75</xm:f>
            <x14:dxf>
              <fill>
                <patternFill>
                  <bgColor rgb="FFFFFF00"/>
                </patternFill>
              </fill>
            </x14:dxf>
          </x14:cfRule>
          <xm:sqref>BL212:BZ212</xm:sqref>
        </x14:conditionalFormatting>
        <x14:conditionalFormatting xmlns:xm="http://schemas.microsoft.com/office/excel/2006/main">
          <x14:cfRule type="expression" priority="4797808" id="{D3A0A2F8-D1B2-4DC5-B2A9-0EF53074E685}">
            <xm:f>$BZ$4='Data entry'!$R75</xm:f>
            <x14:dxf>
              <fill>
                <patternFill>
                  <bgColor rgb="FFFF0000"/>
                </patternFill>
              </fill>
            </x14:dxf>
          </x14:cfRule>
          <xm:sqref>BX213:CC213</xm:sqref>
        </x14:conditionalFormatting>
        <x14:conditionalFormatting xmlns:xm="http://schemas.microsoft.com/office/excel/2006/main">
          <x14:cfRule type="expression" priority="4798082" id="{83F6D018-7D3B-4D33-9998-11572F2F2FF5}">
            <xm:f>$CA$4='Data entry'!$R75</xm:f>
            <x14:dxf>
              <fill>
                <patternFill>
                  <bgColor rgb="FFFFFF00"/>
                </patternFill>
              </fill>
            </x14:dxf>
          </x14:cfRule>
          <xm:sqref>BM212:CA212</xm:sqref>
        </x14:conditionalFormatting>
        <x14:conditionalFormatting xmlns:xm="http://schemas.microsoft.com/office/excel/2006/main">
          <x14:cfRule type="expression" priority="4798356" id="{8E6D0B51-5626-4ED9-9072-C7A2C139704F}">
            <xm:f>$CA$4='Data entry'!$R75</xm:f>
            <x14:dxf>
              <fill>
                <patternFill>
                  <bgColor rgb="FFFF0000"/>
                </patternFill>
              </fill>
            </x14:dxf>
          </x14:cfRule>
          <xm:sqref>BY213:CC213</xm:sqref>
        </x14:conditionalFormatting>
        <x14:conditionalFormatting xmlns:xm="http://schemas.microsoft.com/office/excel/2006/main">
          <x14:cfRule type="expression" priority="4798630" id="{E1886EE4-3BDE-43A9-9F4B-79377FEC37FE}">
            <xm:f>$CB$4='Data entry'!$R75</xm:f>
            <x14:dxf>
              <fill>
                <patternFill>
                  <bgColor rgb="FFFFFF00"/>
                </patternFill>
              </fill>
            </x14:dxf>
          </x14:cfRule>
          <xm:sqref>BN212:CB212</xm:sqref>
        </x14:conditionalFormatting>
        <x14:conditionalFormatting xmlns:xm="http://schemas.microsoft.com/office/excel/2006/main">
          <x14:cfRule type="expression" priority="4798904" id="{ADEF572A-6C18-4602-BB86-01C96D36E07E}">
            <xm:f>$CB$4='Data entry'!$R75</xm:f>
            <x14:dxf>
              <fill>
                <patternFill>
                  <bgColor rgb="FFFF0000"/>
                </patternFill>
              </fill>
            </x14:dxf>
          </x14:cfRule>
          <xm:sqref>BZ213:CC213</xm:sqref>
        </x14:conditionalFormatting>
        <x14:conditionalFormatting xmlns:xm="http://schemas.microsoft.com/office/excel/2006/main">
          <x14:cfRule type="expression" priority="4799178" id="{7984E1C9-E073-4955-8543-62145CB6D008}">
            <xm:f>$CC$4='Data entry'!$R75</xm:f>
            <x14:dxf>
              <fill>
                <patternFill>
                  <bgColor rgb="FFFFFF00"/>
                </patternFill>
              </fill>
            </x14:dxf>
          </x14:cfRule>
          <xm:sqref>BO212:CC212</xm:sqref>
        </x14:conditionalFormatting>
        <x14:conditionalFormatting xmlns:xm="http://schemas.microsoft.com/office/excel/2006/main">
          <x14:cfRule type="expression" priority="4799452" id="{18A957B3-59FA-4698-BA92-2A208FF18E2F}">
            <xm:f>$CC$4='Data entry'!$R75</xm:f>
            <x14:dxf>
              <fill>
                <patternFill>
                  <bgColor rgb="FFFF0000"/>
                </patternFill>
              </fill>
            </x14:dxf>
          </x14:cfRule>
          <xm:sqref>CA213:CC213</xm:sqref>
        </x14:conditionalFormatting>
        <x14:conditionalFormatting xmlns:xm="http://schemas.microsoft.com/office/excel/2006/main">
          <x14:cfRule type="expression" priority="4822529" id="{33E80F40-2C28-4235-8352-2F9507EB51C7}">
            <xm:f>C$4='Data entry'!$BC76</xm:f>
            <x14:dxf>
              <fill>
                <patternFill patternType="gray0625">
                  <fgColor theme="5" tint="-0.24994659260841701"/>
                  <bgColor auto="1"/>
                </patternFill>
              </fill>
              <border>
                <left style="dashed">
                  <color theme="5" tint="-0.24994659260841701"/>
                </left>
                <right style="dashed">
                  <color theme="5" tint="-0.24994659260841701"/>
                </right>
                <top style="dashed">
                  <color theme="5" tint="-0.24994659260841701"/>
                </top>
                <bottom style="dashed">
                  <color theme="5" tint="-0.24994659260841701"/>
                </bottom>
                <vertical/>
                <horizontal/>
              </border>
            </x14:dxf>
          </x14:cfRule>
          <xm:sqref>C215:CC215</xm:sqref>
        </x14:conditionalFormatting>
        <x14:conditionalFormatting xmlns:xm="http://schemas.microsoft.com/office/excel/2006/main">
          <x14:cfRule type="expression" priority="4822802" id="{21C78CE9-0B77-4D53-8653-BD5D6E30C938}">
            <xm:f>OR(C$4='Data entry'!$S76:$AN76)</xm:f>
            <x14:dxf>
              <fill>
                <patternFill patternType="lightVertical">
                  <fgColor rgb="FF00B0F0"/>
                  <bgColor auto="1"/>
                </patternFill>
              </fill>
              <border>
                <left style="dashDot">
                  <color rgb="FF00B0F0"/>
                </left>
                <right style="dashDot">
                  <color rgb="FF00B0F0"/>
                </right>
                <top style="dashDot">
                  <color rgb="FF00B0F0"/>
                </top>
                <bottom style="dashDot">
                  <color rgb="FF00B0F0"/>
                </bottom>
              </border>
            </x14:dxf>
          </x14:cfRule>
          <xm:sqref>C216:CC216</xm:sqref>
        </x14:conditionalFormatting>
        <x14:conditionalFormatting xmlns:xm="http://schemas.microsoft.com/office/excel/2006/main">
          <x14:cfRule type="expression" priority="4823210" id="{5B0DB825-B7C2-40AC-B7EF-F267F054CFB9}">
            <xm:f>$U$4='Data entry'!$R76</xm:f>
            <x14:dxf>
              <fill>
                <patternFill>
                  <bgColor rgb="FFFF0000"/>
                </patternFill>
              </fill>
            </x14:dxf>
          </x14:cfRule>
          <xm:sqref>S216:AE216</xm:sqref>
        </x14:conditionalFormatting>
        <x14:conditionalFormatting xmlns:xm="http://schemas.microsoft.com/office/excel/2006/main">
          <x14:cfRule type="expression" priority="4823483" id="{18311200-E2BB-400F-B594-3B9A2C6068C2}">
            <xm:f>$V$4='Data entry'!$R76</xm:f>
            <x14:dxf>
              <fill>
                <patternFill>
                  <bgColor rgb="FFFF0000"/>
                </patternFill>
              </fill>
            </x14:dxf>
          </x14:cfRule>
          <xm:sqref>T216:AF216</xm:sqref>
        </x14:conditionalFormatting>
        <x14:conditionalFormatting xmlns:xm="http://schemas.microsoft.com/office/excel/2006/main">
          <x14:cfRule type="expression" priority="4823756" id="{D6DFB621-1A58-4C59-A987-ECAD0EB2D32B}">
            <xm:f>$V$4='Data entry'!$R76</xm:f>
            <x14:dxf>
              <fill>
                <patternFill>
                  <bgColor rgb="FFFFFF00"/>
                </patternFill>
              </fill>
            </x14:dxf>
          </x14:cfRule>
          <xm:sqref>H215:V215</xm:sqref>
        </x14:conditionalFormatting>
        <x14:conditionalFormatting xmlns:xm="http://schemas.microsoft.com/office/excel/2006/main">
          <x14:cfRule type="expression" priority="4824029" id="{5F87A680-DC5F-433D-A779-B7A534ACCDA9}">
            <xm:f>$W$4='Data entry'!$R76</xm:f>
            <x14:dxf>
              <fill>
                <patternFill>
                  <bgColor rgb="FFFF0000"/>
                </patternFill>
              </fill>
            </x14:dxf>
          </x14:cfRule>
          <xm:sqref>U216:AG216</xm:sqref>
        </x14:conditionalFormatting>
        <x14:conditionalFormatting xmlns:xm="http://schemas.microsoft.com/office/excel/2006/main">
          <x14:cfRule type="expression" priority="4824302" id="{964539FF-A92C-4F68-B268-B7157A32678C}">
            <xm:f>$W$4='Data entry'!$R76</xm:f>
            <x14:dxf>
              <fill>
                <patternFill>
                  <bgColor rgb="FFFFFF00"/>
                </patternFill>
              </fill>
            </x14:dxf>
          </x14:cfRule>
          <xm:sqref>I215:W215</xm:sqref>
        </x14:conditionalFormatting>
        <x14:conditionalFormatting xmlns:xm="http://schemas.microsoft.com/office/excel/2006/main">
          <x14:cfRule type="expression" priority="4824575" id="{46C1533A-F090-4A90-9309-3F59EC3FD3B0}">
            <xm:f>$X$4='Data entry'!$R76</xm:f>
            <x14:dxf>
              <fill>
                <patternFill>
                  <bgColor rgb="FFFF0000"/>
                </patternFill>
              </fill>
            </x14:dxf>
          </x14:cfRule>
          <xm:sqref>V216:AH216</xm:sqref>
        </x14:conditionalFormatting>
        <x14:conditionalFormatting xmlns:xm="http://schemas.microsoft.com/office/excel/2006/main">
          <x14:cfRule type="expression" priority="4824848" id="{7C70E81C-DDD4-4D75-933A-4F6A39893184}">
            <xm:f>$X$4='Data entry'!$R76</xm:f>
            <x14:dxf>
              <fill>
                <patternFill>
                  <bgColor rgb="FFFFFF00"/>
                </patternFill>
              </fill>
            </x14:dxf>
          </x14:cfRule>
          <xm:sqref>J215:X215</xm:sqref>
        </x14:conditionalFormatting>
        <x14:conditionalFormatting xmlns:xm="http://schemas.microsoft.com/office/excel/2006/main">
          <x14:cfRule type="expression" priority="4825121" id="{561AF073-0EF8-4B72-A119-40A639C4359D}">
            <xm:f>$Y$4='Data entry'!$R76</xm:f>
            <x14:dxf>
              <fill>
                <patternFill>
                  <bgColor rgb="FFFF0000"/>
                </patternFill>
              </fill>
            </x14:dxf>
          </x14:cfRule>
          <xm:sqref>W216:AI216</xm:sqref>
        </x14:conditionalFormatting>
        <x14:conditionalFormatting xmlns:xm="http://schemas.microsoft.com/office/excel/2006/main">
          <x14:cfRule type="expression" priority="4825394" id="{F242E808-8F07-4A89-9524-7D4C767CE357}">
            <xm:f>$Y$4='Data entry'!$R76</xm:f>
            <x14:dxf>
              <fill>
                <patternFill>
                  <bgColor rgb="FFFFFF00"/>
                </patternFill>
              </fill>
            </x14:dxf>
          </x14:cfRule>
          <xm:sqref>K215:Y215</xm:sqref>
        </x14:conditionalFormatting>
        <x14:conditionalFormatting xmlns:xm="http://schemas.microsoft.com/office/excel/2006/main">
          <x14:cfRule type="expression" priority="4825667" id="{DD601058-982B-4218-BD9D-64BB823C2633}">
            <xm:f>$Z$4='Data entry'!$R76</xm:f>
            <x14:dxf>
              <fill>
                <patternFill>
                  <bgColor rgb="FFFF0000"/>
                </patternFill>
              </fill>
            </x14:dxf>
          </x14:cfRule>
          <xm:sqref>X216:AJ216</xm:sqref>
        </x14:conditionalFormatting>
        <x14:conditionalFormatting xmlns:xm="http://schemas.microsoft.com/office/excel/2006/main">
          <x14:cfRule type="expression" priority="4825940" id="{C9DB141D-79F6-4093-92A3-7BF7A1622985}">
            <xm:f>$Z$4='Data entry'!$R76</xm:f>
            <x14:dxf>
              <fill>
                <patternFill>
                  <bgColor rgb="FFFFFF00"/>
                </patternFill>
              </fill>
            </x14:dxf>
          </x14:cfRule>
          <xm:sqref>L215:Z215</xm:sqref>
        </x14:conditionalFormatting>
        <x14:conditionalFormatting xmlns:xm="http://schemas.microsoft.com/office/excel/2006/main">
          <x14:cfRule type="expression" priority="4826213" id="{710EB8D3-F5C0-4E3C-8214-2D0C4E26F649}">
            <xm:f>$AA$4='Data entry'!$R76</xm:f>
            <x14:dxf>
              <fill>
                <patternFill>
                  <bgColor rgb="FFFF0000"/>
                </patternFill>
              </fill>
            </x14:dxf>
          </x14:cfRule>
          <xm:sqref>Y216:AK216</xm:sqref>
        </x14:conditionalFormatting>
        <x14:conditionalFormatting xmlns:xm="http://schemas.microsoft.com/office/excel/2006/main">
          <x14:cfRule type="expression" priority="4826486" id="{33825D69-C967-4D27-B395-5D44A3083802}">
            <xm:f>$AA$4='Data entry'!$R76</xm:f>
            <x14:dxf>
              <fill>
                <patternFill>
                  <bgColor rgb="FFFFFF00"/>
                </patternFill>
              </fill>
            </x14:dxf>
          </x14:cfRule>
          <xm:sqref>M215:AA215</xm:sqref>
        </x14:conditionalFormatting>
        <x14:conditionalFormatting xmlns:xm="http://schemas.microsoft.com/office/excel/2006/main">
          <x14:cfRule type="expression" priority="4826759" id="{9811A97D-351B-4D32-8754-AF433277E62B}">
            <xm:f>$AB$4='Data entry'!$R76</xm:f>
            <x14:dxf>
              <fill>
                <patternFill>
                  <bgColor rgb="FFFF0000"/>
                </patternFill>
              </fill>
            </x14:dxf>
          </x14:cfRule>
          <xm:sqref>Z216:AL216</xm:sqref>
        </x14:conditionalFormatting>
        <x14:conditionalFormatting xmlns:xm="http://schemas.microsoft.com/office/excel/2006/main">
          <x14:cfRule type="expression" priority="4827032" id="{6DD3E556-C72E-438B-92DA-3096ED1E4178}">
            <xm:f>$AB$4='Data entry'!$R76</xm:f>
            <x14:dxf>
              <fill>
                <patternFill>
                  <bgColor rgb="FFFFFF00"/>
                </patternFill>
              </fill>
            </x14:dxf>
          </x14:cfRule>
          <xm:sqref>N215:AB215</xm:sqref>
        </x14:conditionalFormatting>
        <x14:conditionalFormatting xmlns:xm="http://schemas.microsoft.com/office/excel/2006/main">
          <x14:cfRule type="expression" priority="4827305" id="{C0DF7A1B-D6BC-4371-BD3A-F0708147FA1C}">
            <xm:f>$AC$4='Data entry'!$R76</xm:f>
            <x14:dxf>
              <fill>
                <patternFill>
                  <bgColor rgb="FFFF0000"/>
                </patternFill>
              </fill>
            </x14:dxf>
          </x14:cfRule>
          <xm:sqref>AA216:AM216</xm:sqref>
        </x14:conditionalFormatting>
        <x14:conditionalFormatting xmlns:xm="http://schemas.microsoft.com/office/excel/2006/main">
          <x14:cfRule type="expression" priority="4827578" id="{DB2E1F48-AF0E-41F9-A976-6B1963CA5711}">
            <xm:f>$AC$4='Data entry'!$R76</xm:f>
            <x14:dxf>
              <fill>
                <patternFill>
                  <bgColor rgb="FFFFFF00"/>
                </patternFill>
              </fill>
            </x14:dxf>
          </x14:cfRule>
          <xm:sqref>O215:AC215</xm:sqref>
        </x14:conditionalFormatting>
        <x14:conditionalFormatting xmlns:xm="http://schemas.microsoft.com/office/excel/2006/main">
          <x14:cfRule type="expression" priority="4827851" id="{89909907-F9A9-4AF9-BC1D-304710A43F50}">
            <xm:f>$AD$4='Data entry'!$R76</xm:f>
            <x14:dxf>
              <fill>
                <patternFill>
                  <bgColor rgb="FFFF0000"/>
                </patternFill>
              </fill>
            </x14:dxf>
          </x14:cfRule>
          <xm:sqref>AB216:AN216</xm:sqref>
        </x14:conditionalFormatting>
        <x14:conditionalFormatting xmlns:xm="http://schemas.microsoft.com/office/excel/2006/main">
          <x14:cfRule type="expression" priority="4828124" id="{729676B7-E331-43A4-ACC9-850DCEE76A0E}">
            <xm:f>$AD$4='Data entry'!$R76</xm:f>
            <x14:dxf>
              <fill>
                <patternFill>
                  <bgColor rgb="FFFFFF00"/>
                </patternFill>
              </fill>
            </x14:dxf>
          </x14:cfRule>
          <xm:sqref>P215:AD215</xm:sqref>
        </x14:conditionalFormatting>
        <x14:conditionalFormatting xmlns:xm="http://schemas.microsoft.com/office/excel/2006/main">
          <x14:cfRule type="expression" priority="4828397" id="{00DA2C55-350E-44AA-ABEA-808FABFDA737}">
            <xm:f>$AE$4='Data entry'!$R76</xm:f>
            <x14:dxf>
              <fill>
                <patternFill>
                  <bgColor rgb="FFFF0000"/>
                </patternFill>
              </fill>
            </x14:dxf>
          </x14:cfRule>
          <xm:sqref>AC216:AO216</xm:sqref>
        </x14:conditionalFormatting>
        <x14:conditionalFormatting xmlns:xm="http://schemas.microsoft.com/office/excel/2006/main">
          <x14:cfRule type="expression" priority="4828670" id="{373C95F1-00C1-45E9-B561-5224945BA4A4}">
            <xm:f>$AE$4='Data entry'!$R76</xm:f>
            <x14:dxf>
              <fill>
                <patternFill>
                  <bgColor rgb="FFFFFF00"/>
                </patternFill>
              </fill>
            </x14:dxf>
          </x14:cfRule>
          <xm:sqref>Q215:AE215</xm:sqref>
        </x14:conditionalFormatting>
        <x14:conditionalFormatting xmlns:xm="http://schemas.microsoft.com/office/excel/2006/main">
          <x14:cfRule type="expression" priority="4828943" id="{65E90E74-6BEF-4B00-BD5E-ECACFEBC225A}">
            <xm:f>$AF$4='Data entry'!$R76</xm:f>
            <x14:dxf>
              <fill>
                <patternFill>
                  <bgColor rgb="FFFF0000"/>
                </patternFill>
              </fill>
            </x14:dxf>
          </x14:cfRule>
          <xm:sqref>AD216:AP216</xm:sqref>
        </x14:conditionalFormatting>
        <x14:conditionalFormatting xmlns:xm="http://schemas.microsoft.com/office/excel/2006/main">
          <x14:cfRule type="expression" priority="4829216" id="{56B519D7-E083-4811-B42B-D6CB10D44BB3}">
            <xm:f>$AF$4='Data entry'!$R76</xm:f>
            <x14:dxf>
              <fill>
                <patternFill>
                  <bgColor rgb="FFFFFF00"/>
                </patternFill>
              </fill>
            </x14:dxf>
          </x14:cfRule>
          <xm:sqref>R215:AF215</xm:sqref>
        </x14:conditionalFormatting>
        <x14:conditionalFormatting xmlns:xm="http://schemas.microsoft.com/office/excel/2006/main">
          <x14:cfRule type="expression" priority="4829489" id="{889682B6-BF9B-414B-86B7-1C802156B058}">
            <xm:f>$AG$4='Data entry'!$R76</xm:f>
            <x14:dxf>
              <fill>
                <patternFill>
                  <bgColor rgb="FFFF0000"/>
                </patternFill>
              </fill>
            </x14:dxf>
          </x14:cfRule>
          <xm:sqref>AE216:AQ216</xm:sqref>
        </x14:conditionalFormatting>
        <x14:conditionalFormatting xmlns:xm="http://schemas.microsoft.com/office/excel/2006/main">
          <x14:cfRule type="expression" priority="4829762" id="{19913D88-1940-4CB0-B29C-D46D60833BD5}">
            <xm:f>$AG$4='Data entry'!$R76</xm:f>
            <x14:dxf>
              <fill>
                <patternFill>
                  <bgColor rgb="FFFFFF00"/>
                </patternFill>
              </fill>
            </x14:dxf>
          </x14:cfRule>
          <xm:sqref>S215:AG215</xm:sqref>
        </x14:conditionalFormatting>
        <x14:conditionalFormatting xmlns:xm="http://schemas.microsoft.com/office/excel/2006/main">
          <x14:cfRule type="expression" priority="4830035" id="{3DD7B9A5-18A3-463F-BAD5-9796FC487328}">
            <xm:f>$AH$4='Data entry'!$R76</xm:f>
            <x14:dxf>
              <fill>
                <patternFill>
                  <bgColor rgb="FFFF0000"/>
                </patternFill>
              </fill>
            </x14:dxf>
          </x14:cfRule>
          <xm:sqref>AF216:AR216</xm:sqref>
        </x14:conditionalFormatting>
        <x14:conditionalFormatting xmlns:xm="http://schemas.microsoft.com/office/excel/2006/main">
          <x14:cfRule type="expression" priority="4830308" id="{31005CF4-5608-496E-91EB-F7F505046C80}">
            <xm:f>$AH$4='Data entry'!$R76</xm:f>
            <x14:dxf>
              <fill>
                <patternFill>
                  <bgColor rgb="FFFFFF00"/>
                </patternFill>
              </fill>
            </x14:dxf>
          </x14:cfRule>
          <xm:sqref>T215:AH215</xm:sqref>
        </x14:conditionalFormatting>
        <x14:conditionalFormatting xmlns:xm="http://schemas.microsoft.com/office/excel/2006/main">
          <x14:cfRule type="expression" priority="4830581" id="{CD14F654-5B7A-444F-8FC1-7DD71E76E475}">
            <xm:f>$AI$4='Data entry'!$R76</xm:f>
            <x14:dxf>
              <fill>
                <patternFill>
                  <bgColor rgb="FFFF0000"/>
                </patternFill>
              </fill>
            </x14:dxf>
          </x14:cfRule>
          <xm:sqref>AG216:AS216</xm:sqref>
        </x14:conditionalFormatting>
        <x14:conditionalFormatting xmlns:xm="http://schemas.microsoft.com/office/excel/2006/main">
          <x14:cfRule type="expression" priority="4830854" id="{0E4E448C-6C46-4285-B877-A61A90294385}">
            <xm:f>$AI$4='Data entry'!$R76</xm:f>
            <x14:dxf>
              <fill>
                <patternFill>
                  <bgColor rgb="FFFFFF00"/>
                </patternFill>
              </fill>
            </x14:dxf>
          </x14:cfRule>
          <xm:sqref>U215:AI215</xm:sqref>
        </x14:conditionalFormatting>
        <x14:conditionalFormatting xmlns:xm="http://schemas.microsoft.com/office/excel/2006/main">
          <x14:cfRule type="expression" priority="4831127" id="{B1C1818F-791C-403D-BE73-6F6E9DC6A16D}">
            <xm:f>$AJ$4='Data entry'!$R76</xm:f>
            <x14:dxf>
              <fill>
                <patternFill>
                  <bgColor rgb="FFFF0000"/>
                </patternFill>
              </fill>
            </x14:dxf>
          </x14:cfRule>
          <xm:sqref>AH216:AT216</xm:sqref>
        </x14:conditionalFormatting>
        <x14:conditionalFormatting xmlns:xm="http://schemas.microsoft.com/office/excel/2006/main">
          <x14:cfRule type="expression" priority="4831400" id="{A1237792-221B-431B-B8A7-E9A64DA46D93}">
            <xm:f>$AJ$4='Data entry'!$R76</xm:f>
            <x14:dxf>
              <fill>
                <patternFill>
                  <bgColor rgb="FFFFFF00"/>
                </patternFill>
              </fill>
            </x14:dxf>
          </x14:cfRule>
          <xm:sqref>V215:AJ215</xm:sqref>
        </x14:conditionalFormatting>
        <x14:conditionalFormatting xmlns:xm="http://schemas.microsoft.com/office/excel/2006/main">
          <x14:cfRule type="expression" priority="4831673" id="{617DC2AF-C7A3-4724-8EA3-17DEFEDC8949}">
            <xm:f>$AK$4='Data entry'!$R76</xm:f>
            <x14:dxf>
              <fill>
                <patternFill>
                  <bgColor rgb="FFFF0000"/>
                </patternFill>
              </fill>
            </x14:dxf>
          </x14:cfRule>
          <xm:sqref>AI216:AU216</xm:sqref>
        </x14:conditionalFormatting>
        <x14:conditionalFormatting xmlns:xm="http://schemas.microsoft.com/office/excel/2006/main">
          <x14:cfRule type="expression" priority="4831946" id="{AA72317D-37B1-48EB-A28B-BF2AC8DC4519}">
            <xm:f>$AK$4='Data entry'!$R76</xm:f>
            <x14:dxf>
              <fill>
                <patternFill>
                  <bgColor rgb="FFFFFF00"/>
                </patternFill>
              </fill>
            </x14:dxf>
          </x14:cfRule>
          <xm:sqref>W215:AK215</xm:sqref>
        </x14:conditionalFormatting>
        <x14:conditionalFormatting xmlns:xm="http://schemas.microsoft.com/office/excel/2006/main">
          <x14:cfRule type="expression" priority="4832219" id="{6CA9FB7A-20EA-4D3A-B74C-A001F4BE810D}">
            <xm:f>$AL$4='Data entry'!$R76</xm:f>
            <x14:dxf>
              <fill>
                <patternFill>
                  <bgColor rgb="FFFF0000"/>
                </patternFill>
              </fill>
            </x14:dxf>
          </x14:cfRule>
          <xm:sqref>AJ216:AV216</xm:sqref>
        </x14:conditionalFormatting>
        <x14:conditionalFormatting xmlns:xm="http://schemas.microsoft.com/office/excel/2006/main">
          <x14:cfRule type="expression" priority="4832492" id="{81A75DAA-573F-4EF3-A640-1B992C18BEA0}">
            <xm:f>$AL$4='Data entry'!$R76</xm:f>
            <x14:dxf>
              <fill>
                <patternFill>
                  <bgColor rgb="FFFFFF00"/>
                </patternFill>
              </fill>
            </x14:dxf>
          </x14:cfRule>
          <xm:sqref>X215:AL215</xm:sqref>
        </x14:conditionalFormatting>
        <x14:conditionalFormatting xmlns:xm="http://schemas.microsoft.com/office/excel/2006/main">
          <x14:cfRule type="expression" priority="4832765" id="{3D44713E-4ABA-4CCD-9DF4-5513A9FB5E1E}">
            <xm:f>$AM$4='Data entry'!$R76</xm:f>
            <x14:dxf>
              <fill>
                <patternFill>
                  <bgColor rgb="FFFF0000"/>
                </patternFill>
              </fill>
            </x14:dxf>
          </x14:cfRule>
          <xm:sqref>AK216:AW216</xm:sqref>
        </x14:conditionalFormatting>
        <x14:conditionalFormatting xmlns:xm="http://schemas.microsoft.com/office/excel/2006/main">
          <x14:cfRule type="expression" priority="4833038" id="{05A26B51-72A7-4423-822F-2BDBC28275D0}">
            <xm:f>$AM$4='Data entry'!$R76</xm:f>
            <x14:dxf>
              <fill>
                <patternFill>
                  <bgColor rgb="FFFFFF00"/>
                </patternFill>
              </fill>
            </x14:dxf>
          </x14:cfRule>
          <xm:sqref>Y215:AM215</xm:sqref>
        </x14:conditionalFormatting>
        <x14:conditionalFormatting xmlns:xm="http://schemas.microsoft.com/office/excel/2006/main">
          <x14:cfRule type="expression" priority="4833311" id="{B8A20675-6230-4694-A7F6-6B3DC7142773}">
            <xm:f>$AN$4='Data entry'!$R76</xm:f>
            <x14:dxf>
              <fill>
                <patternFill>
                  <bgColor rgb="FFFF0000"/>
                </patternFill>
              </fill>
            </x14:dxf>
          </x14:cfRule>
          <xm:sqref>AL216:AX216</xm:sqref>
        </x14:conditionalFormatting>
        <x14:conditionalFormatting xmlns:xm="http://schemas.microsoft.com/office/excel/2006/main">
          <x14:cfRule type="expression" priority="4833584" id="{8421181C-7450-42E9-BC1D-065CCFCA960E}">
            <xm:f>$AN$4='Data entry'!$R76</xm:f>
            <x14:dxf>
              <fill>
                <patternFill>
                  <bgColor rgb="FFFFFF00"/>
                </patternFill>
              </fill>
            </x14:dxf>
          </x14:cfRule>
          <xm:sqref>Z215:AN215</xm:sqref>
        </x14:conditionalFormatting>
        <x14:conditionalFormatting xmlns:xm="http://schemas.microsoft.com/office/excel/2006/main">
          <x14:cfRule type="expression" priority="4833857" id="{067FE4BD-6EF4-4684-B6E0-35AB2F267EE7}">
            <xm:f>$AO$4='Data entry'!$R76</xm:f>
            <x14:dxf>
              <fill>
                <patternFill>
                  <bgColor rgb="FFFF0000"/>
                </patternFill>
              </fill>
            </x14:dxf>
          </x14:cfRule>
          <xm:sqref>AM216:AY216</xm:sqref>
        </x14:conditionalFormatting>
        <x14:conditionalFormatting xmlns:xm="http://schemas.microsoft.com/office/excel/2006/main">
          <x14:cfRule type="expression" priority="4834130" id="{F7653492-88D1-47AC-8BA3-0CCE65C3C2AB}">
            <xm:f>$AO$4='Data entry'!$R76</xm:f>
            <x14:dxf>
              <fill>
                <patternFill>
                  <bgColor rgb="FFFFFF00"/>
                </patternFill>
              </fill>
            </x14:dxf>
          </x14:cfRule>
          <xm:sqref>AA215:AO215</xm:sqref>
        </x14:conditionalFormatting>
        <x14:conditionalFormatting xmlns:xm="http://schemas.microsoft.com/office/excel/2006/main">
          <x14:cfRule type="expression" priority="4834403" id="{207A5E5D-B322-482E-9193-1D7318138358}">
            <xm:f>$AP$4='Data entry'!$R76</xm:f>
            <x14:dxf>
              <fill>
                <patternFill>
                  <bgColor rgb="FFFF0000"/>
                </patternFill>
              </fill>
            </x14:dxf>
          </x14:cfRule>
          <xm:sqref>AN216:AZ216</xm:sqref>
        </x14:conditionalFormatting>
        <x14:conditionalFormatting xmlns:xm="http://schemas.microsoft.com/office/excel/2006/main">
          <x14:cfRule type="expression" priority="4834676" id="{21DA638D-4CA0-4067-BFF1-240CE1A0261B}">
            <xm:f>$AP$4='Data entry'!$R76</xm:f>
            <x14:dxf>
              <fill>
                <patternFill>
                  <bgColor rgb="FFFFFF00"/>
                </patternFill>
              </fill>
            </x14:dxf>
          </x14:cfRule>
          <xm:sqref>AB215:AP215</xm:sqref>
        </x14:conditionalFormatting>
        <x14:conditionalFormatting xmlns:xm="http://schemas.microsoft.com/office/excel/2006/main">
          <x14:cfRule type="expression" priority="4834949" id="{71963D96-A42A-4B90-BFC7-6D83D37766EF}">
            <xm:f>$AQ$4='Data entry'!$R76</xm:f>
            <x14:dxf>
              <fill>
                <patternFill>
                  <bgColor rgb="FFFF0000"/>
                </patternFill>
              </fill>
            </x14:dxf>
          </x14:cfRule>
          <xm:sqref>AO216:BA216</xm:sqref>
        </x14:conditionalFormatting>
        <x14:conditionalFormatting xmlns:xm="http://schemas.microsoft.com/office/excel/2006/main">
          <x14:cfRule type="expression" priority="4835222" id="{74952595-84B6-484F-8FF6-FCC1F337DF4D}">
            <xm:f>$AQ$4='Data entry'!$R76</xm:f>
            <x14:dxf>
              <fill>
                <patternFill>
                  <bgColor rgb="FFFFFF00"/>
                </patternFill>
              </fill>
            </x14:dxf>
          </x14:cfRule>
          <xm:sqref>AC215:AQ215</xm:sqref>
        </x14:conditionalFormatting>
        <x14:conditionalFormatting xmlns:xm="http://schemas.microsoft.com/office/excel/2006/main">
          <x14:cfRule type="expression" priority="4835495" id="{8AC9C4B9-0A34-4BC0-B0F7-CA89434C4911}">
            <xm:f>$P$4='Data entry'!$R76</xm:f>
            <x14:dxf>
              <fill>
                <patternFill>
                  <bgColor rgb="FFFFFF00"/>
                </patternFill>
              </fill>
            </x14:dxf>
          </x14:cfRule>
          <xm:sqref>C215:P215</xm:sqref>
        </x14:conditionalFormatting>
        <x14:conditionalFormatting xmlns:xm="http://schemas.microsoft.com/office/excel/2006/main">
          <x14:cfRule type="expression" priority="4835768" id="{0A726775-ABFD-4F22-967C-1A4D87BA3751}">
            <xm:f>$Q$4='Data entry'!$R76</xm:f>
            <x14:dxf>
              <fill>
                <patternFill>
                  <bgColor rgb="FFFFFF00"/>
                </patternFill>
              </fill>
            </x14:dxf>
          </x14:cfRule>
          <xm:sqref>C215:Q215</xm:sqref>
        </x14:conditionalFormatting>
        <x14:conditionalFormatting xmlns:xm="http://schemas.microsoft.com/office/excel/2006/main">
          <x14:cfRule type="expression" priority="4836041" id="{3A8414BD-262C-43B5-86EE-FA6901D00453}">
            <xm:f>$Q$4='Data entry'!$R76</xm:f>
            <x14:dxf>
              <fill>
                <patternFill>
                  <bgColor rgb="FFFF0000"/>
                </patternFill>
              </fill>
            </x14:dxf>
          </x14:cfRule>
          <xm:sqref>O216:AA216</xm:sqref>
        </x14:conditionalFormatting>
        <x14:conditionalFormatting xmlns:xm="http://schemas.microsoft.com/office/excel/2006/main">
          <x14:cfRule type="expression" priority="4836314" id="{B8B5501D-F3EF-4449-9306-F652960C65F4}">
            <xm:f>$R$4='Data entry'!$R76</xm:f>
            <x14:dxf>
              <fill>
                <patternFill>
                  <bgColor rgb="FFFF0000"/>
                </patternFill>
              </fill>
            </x14:dxf>
          </x14:cfRule>
          <xm:sqref>P216:AB216</xm:sqref>
        </x14:conditionalFormatting>
        <x14:conditionalFormatting xmlns:xm="http://schemas.microsoft.com/office/excel/2006/main">
          <x14:cfRule type="expression" priority="4836587" id="{5D070DEC-B82E-4D87-B907-A3E5AB836991}">
            <xm:f>$R$4='Data entry'!$R76</xm:f>
            <x14:dxf>
              <fill>
                <patternFill>
                  <bgColor rgb="FFFFFF00"/>
                </patternFill>
              </fill>
            </x14:dxf>
          </x14:cfRule>
          <xm:sqref>D215:R215</xm:sqref>
        </x14:conditionalFormatting>
        <x14:conditionalFormatting xmlns:xm="http://schemas.microsoft.com/office/excel/2006/main">
          <x14:cfRule type="expression" priority="4836860" id="{E4D16A10-F818-4664-9FB2-F0E839824D4B}">
            <xm:f>$S$4='Data entry'!$R76</xm:f>
            <x14:dxf>
              <fill>
                <patternFill>
                  <bgColor rgb="FFFF0000"/>
                </patternFill>
              </fill>
            </x14:dxf>
          </x14:cfRule>
          <xm:sqref>Q216:AC216</xm:sqref>
        </x14:conditionalFormatting>
        <x14:conditionalFormatting xmlns:xm="http://schemas.microsoft.com/office/excel/2006/main">
          <x14:cfRule type="expression" priority="4837133" id="{1A9F9911-A3E9-4730-AFBE-AB8C596545CA}">
            <xm:f>$S$4='Data entry'!$R76</xm:f>
            <x14:dxf>
              <fill>
                <patternFill>
                  <bgColor rgb="FFFFFF00"/>
                </patternFill>
              </fill>
            </x14:dxf>
          </x14:cfRule>
          <xm:sqref>E215:S215</xm:sqref>
        </x14:conditionalFormatting>
        <x14:conditionalFormatting xmlns:xm="http://schemas.microsoft.com/office/excel/2006/main">
          <x14:cfRule type="expression" priority="4837406" id="{8BB5CD1B-B2AC-442A-9550-26DE19A62D22}">
            <xm:f>$T$4='Data entry'!$R76</xm:f>
            <x14:dxf>
              <fill>
                <patternFill>
                  <bgColor rgb="FFFF0000"/>
                </patternFill>
              </fill>
            </x14:dxf>
          </x14:cfRule>
          <xm:sqref>R216:AD216</xm:sqref>
        </x14:conditionalFormatting>
        <x14:conditionalFormatting xmlns:xm="http://schemas.microsoft.com/office/excel/2006/main">
          <x14:cfRule type="expression" priority="4837679" id="{E7B59C69-7921-4049-84A1-8B3E5F7B0598}">
            <xm:f>$T$4='Data entry'!$R76</xm:f>
            <x14:dxf>
              <fill>
                <patternFill>
                  <bgColor rgb="FFFFFF00"/>
                </patternFill>
              </fill>
            </x14:dxf>
          </x14:cfRule>
          <xm:sqref>F215:T215</xm:sqref>
        </x14:conditionalFormatting>
        <x14:conditionalFormatting xmlns:xm="http://schemas.microsoft.com/office/excel/2006/main">
          <x14:cfRule type="expression" priority="4837952" id="{238C09E5-7A3D-439D-949F-A7733073F9A2}">
            <xm:f>$U$4='Data entry'!$R76</xm:f>
            <x14:dxf>
              <fill>
                <patternFill>
                  <bgColor rgb="FFFFFF00"/>
                </patternFill>
              </fill>
            </x14:dxf>
          </x14:cfRule>
          <xm:sqref>G215:U215</xm:sqref>
        </x14:conditionalFormatting>
        <x14:conditionalFormatting xmlns:xm="http://schemas.microsoft.com/office/excel/2006/main">
          <x14:cfRule type="expression" priority="4838225" id="{DE4D4432-0A19-452A-AF14-2873FE4DF411}">
            <xm:f>$AR$4='Data entry'!$R76</xm:f>
            <x14:dxf>
              <fill>
                <patternFill>
                  <bgColor rgb="FFFF0000"/>
                </patternFill>
              </fill>
            </x14:dxf>
          </x14:cfRule>
          <xm:sqref>AP216:BB216</xm:sqref>
        </x14:conditionalFormatting>
        <x14:conditionalFormatting xmlns:xm="http://schemas.microsoft.com/office/excel/2006/main">
          <x14:cfRule type="expression" priority="4838498" id="{90D7E1FF-542D-40C8-9BD5-DFEB4CDD256F}">
            <xm:f>$AR$4='Data entry'!$R76</xm:f>
            <x14:dxf>
              <fill>
                <patternFill>
                  <bgColor rgb="FFFFFF00"/>
                </patternFill>
              </fill>
            </x14:dxf>
          </x14:cfRule>
          <xm:sqref>AD215:AR215</xm:sqref>
        </x14:conditionalFormatting>
        <x14:conditionalFormatting xmlns:xm="http://schemas.microsoft.com/office/excel/2006/main">
          <x14:cfRule type="expression" priority="4838771" id="{0EBB5305-4A4A-4205-A1FF-11160070CBC3}">
            <xm:f>$AS$4='Data entry'!$R76</xm:f>
            <x14:dxf>
              <fill>
                <patternFill>
                  <bgColor rgb="FFFF0000"/>
                </patternFill>
              </fill>
            </x14:dxf>
          </x14:cfRule>
          <xm:sqref>AQ216:BC216</xm:sqref>
        </x14:conditionalFormatting>
        <x14:conditionalFormatting xmlns:xm="http://schemas.microsoft.com/office/excel/2006/main">
          <x14:cfRule type="expression" priority="4839044" id="{AC8EB30C-4253-4CE1-820E-1801F6D8D35B}">
            <xm:f>$AS$4='Data entry'!$R76</xm:f>
            <x14:dxf>
              <fill>
                <patternFill>
                  <bgColor rgb="FFFFFF00"/>
                </patternFill>
              </fill>
            </x14:dxf>
          </x14:cfRule>
          <xm:sqref>AE215:AS215</xm:sqref>
        </x14:conditionalFormatting>
        <x14:conditionalFormatting xmlns:xm="http://schemas.microsoft.com/office/excel/2006/main">
          <x14:cfRule type="expression" priority="4839317" id="{E11744C1-7201-4272-A1B0-945490B42425}">
            <xm:f>$AT$4='Data entry'!$R76</xm:f>
            <x14:dxf>
              <fill>
                <patternFill>
                  <bgColor rgb="FFFF0000"/>
                </patternFill>
              </fill>
            </x14:dxf>
          </x14:cfRule>
          <xm:sqref>AR216:BD216</xm:sqref>
        </x14:conditionalFormatting>
        <x14:conditionalFormatting xmlns:xm="http://schemas.microsoft.com/office/excel/2006/main">
          <x14:cfRule type="expression" priority="4839590" id="{5EE2823B-E955-4EA7-B99C-0B1F77B57A69}">
            <xm:f>$AT$4='Data entry'!$R76</xm:f>
            <x14:dxf>
              <fill>
                <patternFill>
                  <bgColor rgb="FFFFFF00"/>
                </patternFill>
              </fill>
            </x14:dxf>
          </x14:cfRule>
          <xm:sqref>AF215:AT215</xm:sqref>
        </x14:conditionalFormatting>
        <x14:conditionalFormatting xmlns:xm="http://schemas.microsoft.com/office/excel/2006/main">
          <x14:cfRule type="expression" priority="4839863" id="{5737DC63-3262-4B34-900C-2AAEB255FCBA}">
            <xm:f>$AU$4='Data entry'!$R76</xm:f>
            <x14:dxf>
              <fill>
                <patternFill>
                  <bgColor rgb="FFFF0000"/>
                </patternFill>
              </fill>
            </x14:dxf>
          </x14:cfRule>
          <xm:sqref>AS216:BE216</xm:sqref>
        </x14:conditionalFormatting>
        <x14:conditionalFormatting xmlns:xm="http://schemas.microsoft.com/office/excel/2006/main">
          <x14:cfRule type="expression" priority="4840136" id="{2B5C1F1B-3C3D-4CA3-BC64-0E98422075B6}">
            <xm:f>$AU$4='Data entry'!$R76</xm:f>
            <x14:dxf>
              <fill>
                <patternFill>
                  <bgColor rgb="FFFFFF00"/>
                </patternFill>
              </fill>
            </x14:dxf>
          </x14:cfRule>
          <xm:sqref>AG215:AU215</xm:sqref>
        </x14:conditionalFormatting>
        <x14:conditionalFormatting xmlns:xm="http://schemas.microsoft.com/office/excel/2006/main">
          <x14:cfRule type="expression" priority="4840409" id="{B87A1285-B003-4855-8F4B-53C391BA10E6}">
            <xm:f>$AV$4='Data entry'!$R76</xm:f>
            <x14:dxf>
              <fill>
                <patternFill>
                  <bgColor rgb="FFFF0000"/>
                </patternFill>
              </fill>
            </x14:dxf>
          </x14:cfRule>
          <xm:sqref>AT216:BF216</xm:sqref>
        </x14:conditionalFormatting>
        <x14:conditionalFormatting xmlns:xm="http://schemas.microsoft.com/office/excel/2006/main">
          <x14:cfRule type="expression" priority="4840682" id="{338EE31C-78DB-4818-B837-0380F9E457FA}">
            <xm:f>$AV$4='Data entry'!$R76</xm:f>
            <x14:dxf>
              <fill>
                <patternFill>
                  <bgColor rgb="FFFFFF00"/>
                </patternFill>
              </fill>
            </x14:dxf>
          </x14:cfRule>
          <xm:sqref>AH215:AV215</xm:sqref>
        </x14:conditionalFormatting>
        <x14:conditionalFormatting xmlns:xm="http://schemas.microsoft.com/office/excel/2006/main">
          <x14:cfRule type="expression" priority="4840955" id="{5C40EA66-2801-4C91-B885-BF6A1ECFC35C}">
            <xm:f>$AW$4='Data entry'!$R76</xm:f>
            <x14:dxf>
              <fill>
                <patternFill>
                  <bgColor rgb="FFFF0000"/>
                </patternFill>
              </fill>
            </x14:dxf>
          </x14:cfRule>
          <xm:sqref>AU216:BG216</xm:sqref>
        </x14:conditionalFormatting>
        <x14:conditionalFormatting xmlns:xm="http://schemas.microsoft.com/office/excel/2006/main">
          <x14:cfRule type="expression" priority="4841228" id="{51BCD5CE-DF86-4C2F-8A81-DDA1EFD6C8F7}">
            <xm:f>$AW$4='Data entry'!$R76</xm:f>
            <x14:dxf>
              <fill>
                <patternFill>
                  <bgColor rgb="FFFFFF00"/>
                </patternFill>
              </fill>
            </x14:dxf>
          </x14:cfRule>
          <xm:sqref>AI215:AW215</xm:sqref>
        </x14:conditionalFormatting>
        <x14:conditionalFormatting xmlns:xm="http://schemas.microsoft.com/office/excel/2006/main">
          <x14:cfRule type="expression" priority="4841501" id="{DC2ED5A0-8917-4877-8CD3-9DF9BE5993C9}">
            <xm:f>$AX$4='Data entry'!$R76</xm:f>
            <x14:dxf>
              <fill>
                <patternFill>
                  <bgColor rgb="FFFF0000"/>
                </patternFill>
              </fill>
            </x14:dxf>
          </x14:cfRule>
          <xm:sqref>AV216:BH216</xm:sqref>
        </x14:conditionalFormatting>
        <x14:conditionalFormatting xmlns:xm="http://schemas.microsoft.com/office/excel/2006/main">
          <x14:cfRule type="expression" priority="4841774" id="{59B31869-20F9-45BD-BC80-0A6C8945CE2C}">
            <xm:f>$AX$4='Data entry'!$R76</xm:f>
            <x14:dxf>
              <fill>
                <patternFill>
                  <bgColor rgb="FFFFFF00"/>
                </patternFill>
              </fill>
            </x14:dxf>
          </x14:cfRule>
          <xm:sqref>AJ215:AX215</xm:sqref>
        </x14:conditionalFormatting>
        <x14:conditionalFormatting xmlns:xm="http://schemas.microsoft.com/office/excel/2006/main">
          <x14:cfRule type="expression" priority="4842047" id="{D4208FA0-4262-4037-934C-6D0742B2AD8E}">
            <xm:f>$AY$4='Data entry'!$R76</xm:f>
            <x14:dxf>
              <fill>
                <patternFill>
                  <bgColor rgb="FFFF0000"/>
                </patternFill>
              </fill>
            </x14:dxf>
          </x14:cfRule>
          <xm:sqref>AW216:BI216</xm:sqref>
        </x14:conditionalFormatting>
        <x14:conditionalFormatting xmlns:xm="http://schemas.microsoft.com/office/excel/2006/main">
          <x14:cfRule type="expression" priority="4842320" id="{04D6E423-18C7-42B2-A67D-F49D8E62B571}">
            <xm:f>$AY$4='Data entry'!$R76</xm:f>
            <x14:dxf>
              <fill>
                <patternFill>
                  <bgColor rgb="FFFFFF00"/>
                </patternFill>
              </fill>
            </x14:dxf>
          </x14:cfRule>
          <xm:sqref>AK215:AY215</xm:sqref>
        </x14:conditionalFormatting>
        <x14:conditionalFormatting xmlns:xm="http://schemas.microsoft.com/office/excel/2006/main">
          <x14:cfRule type="expression" priority="4842593" id="{A931C203-6E4B-4EBD-A2F4-1876881F48D4}">
            <xm:f>$AZ$4='Data entry'!$R76</xm:f>
            <x14:dxf>
              <fill>
                <patternFill>
                  <bgColor rgb="FFFF0000"/>
                </patternFill>
              </fill>
            </x14:dxf>
          </x14:cfRule>
          <xm:sqref>AX216:BJ216</xm:sqref>
        </x14:conditionalFormatting>
        <x14:conditionalFormatting xmlns:xm="http://schemas.microsoft.com/office/excel/2006/main">
          <x14:cfRule type="expression" priority="4842866" id="{092D9100-E652-40FE-8CAA-720DC0681250}">
            <xm:f>$AZ$4='Data entry'!$R76</xm:f>
            <x14:dxf>
              <fill>
                <patternFill>
                  <bgColor rgb="FFFFFF00"/>
                </patternFill>
              </fill>
            </x14:dxf>
          </x14:cfRule>
          <xm:sqref>AL215:AZ215</xm:sqref>
        </x14:conditionalFormatting>
        <x14:conditionalFormatting xmlns:xm="http://schemas.microsoft.com/office/excel/2006/main">
          <x14:cfRule type="expression" priority="4843139" id="{A3C7E6BE-A225-483C-A983-A915DB662C52}">
            <xm:f>$BA$4='Data entry'!$R76</xm:f>
            <x14:dxf>
              <fill>
                <patternFill>
                  <bgColor rgb="FFFF0000"/>
                </patternFill>
              </fill>
            </x14:dxf>
          </x14:cfRule>
          <xm:sqref>AY216:BK216</xm:sqref>
        </x14:conditionalFormatting>
        <x14:conditionalFormatting xmlns:xm="http://schemas.microsoft.com/office/excel/2006/main">
          <x14:cfRule type="expression" priority="4843412" id="{F5CF569A-8AFA-4CFF-8BD3-F04D8927A99F}">
            <xm:f>$BA$4='Data entry'!$R76</xm:f>
            <x14:dxf>
              <fill>
                <patternFill>
                  <bgColor rgb="FFFFFF00"/>
                </patternFill>
              </fill>
            </x14:dxf>
          </x14:cfRule>
          <xm:sqref>AM215:BA215</xm:sqref>
        </x14:conditionalFormatting>
        <x14:conditionalFormatting xmlns:xm="http://schemas.microsoft.com/office/excel/2006/main">
          <x14:cfRule type="expression" priority="4843685" id="{E4DAC94A-7983-4BFB-A87B-45B58561841A}">
            <xm:f>$BB$4='Data entry'!$R76</xm:f>
            <x14:dxf>
              <fill>
                <patternFill>
                  <bgColor rgb="FFFF0000"/>
                </patternFill>
              </fill>
            </x14:dxf>
          </x14:cfRule>
          <xm:sqref>AZ216:BL216</xm:sqref>
        </x14:conditionalFormatting>
        <x14:conditionalFormatting xmlns:xm="http://schemas.microsoft.com/office/excel/2006/main">
          <x14:cfRule type="expression" priority="4843958" id="{E63849C5-F39B-4B0E-8F8A-B532EDF2CBAE}">
            <xm:f>$BB$4='Data entry'!$R76</xm:f>
            <x14:dxf>
              <fill>
                <patternFill>
                  <bgColor rgb="FFFFFF00"/>
                </patternFill>
              </fill>
            </x14:dxf>
          </x14:cfRule>
          <xm:sqref>AN215:BB215</xm:sqref>
        </x14:conditionalFormatting>
        <x14:conditionalFormatting xmlns:xm="http://schemas.microsoft.com/office/excel/2006/main">
          <x14:cfRule type="expression" priority="4844231" id="{4FDC32D3-C1F5-455D-9AA4-A03359B72526}">
            <xm:f>$BC$4='Data entry'!$R76</xm:f>
            <x14:dxf>
              <fill>
                <patternFill>
                  <bgColor rgb="FFFF0000"/>
                </patternFill>
              </fill>
            </x14:dxf>
          </x14:cfRule>
          <xm:sqref>BA216:BM216</xm:sqref>
        </x14:conditionalFormatting>
        <x14:conditionalFormatting xmlns:xm="http://schemas.microsoft.com/office/excel/2006/main">
          <x14:cfRule type="expression" priority="4844504" id="{5F0D0C60-B233-4C56-B05D-98C99990877F}">
            <xm:f>$BC$4='Data entry'!$R76</xm:f>
            <x14:dxf>
              <fill>
                <patternFill>
                  <bgColor rgb="FFFFFF00"/>
                </patternFill>
              </fill>
            </x14:dxf>
          </x14:cfRule>
          <xm:sqref>AO215:BC215</xm:sqref>
        </x14:conditionalFormatting>
        <x14:conditionalFormatting xmlns:xm="http://schemas.microsoft.com/office/excel/2006/main">
          <x14:cfRule type="expression" priority="4844777" id="{9EBCB60F-8135-43B6-A0F3-548D4092CC98}">
            <xm:f>$BD$4='Data entry'!$R76</xm:f>
            <x14:dxf>
              <fill>
                <patternFill>
                  <bgColor rgb="FFFF0000"/>
                </patternFill>
              </fill>
            </x14:dxf>
          </x14:cfRule>
          <xm:sqref>BB216:BN216</xm:sqref>
        </x14:conditionalFormatting>
        <x14:conditionalFormatting xmlns:xm="http://schemas.microsoft.com/office/excel/2006/main">
          <x14:cfRule type="expression" priority="4845050" id="{961AF346-4A73-41ED-9A8D-27D431B09C05}">
            <xm:f>$BD$4='Data entry'!$R76</xm:f>
            <x14:dxf>
              <fill>
                <patternFill>
                  <bgColor rgb="FFFFFF00"/>
                </patternFill>
              </fill>
            </x14:dxf>
          </x14:cfRule>
          <xm:sqref>AP215:BD215</xm:sqref>
        </x14:conditionalFormatting>
        <x14:conditionalFormatting xmlns:xm="http://schemas.microsoft.com/office/excel/2006/main">
          <x14:cfRule type="expression" priority="4845323" id="{5A887026-27CD-4F8C-8BA6-1E92704C1CA6}">
            <xm:f>$BE$4='Data entry'!$R76</xm:f>
            <x14:dxf>
              <fill>
                <patternFill>
                  <bgColor rgb="FFFF0000"/>
                </patternFill>
              </fill>
            </x14:dxf>
          </x14:cfRule>
          <xm:sqref>BC216:BO216</xm:sqref>
        </x14:conditionalFormatting>
        <x14:conditionalFormatting xmlns:xm="http://schemas.microsoft.com/office/excel/2006/main">
          <x14:cfRule type="expression" priority="4845596" id="{7F46217B-A1E9-4515-B31E-E756FCD7C6D9}">
            <xm:f>$BE$4='Data entry'!$R76</xm:f>
            <x14:dxf>
              <fill>
                <patternFill>
                  <bgColor rgb="FFFFFF00"/>
                </patternFill>
              </fill>
            </x14:dxf>
          </x14:cfRule>
          <xm:sqref>AP215:BE215</xm:sqref>
        </x14:conditionalFormatting>
        <x14:conditionalFormatting xmlns:xm="http://schemas.microsoft.com/office/excel/2006/main">
          <x14:cfRule type="expression" priority="4845869" id="{F4D9285C-8CA0-4EF1-943E-6A462D47CC77}">
            <xm:f>$BF$4='Data entry'!$R76</xm:f>
            <x14:dxf>
              <fill>
                <patternFill>
                  <bgColor rgb="FFFF0000"/>
                </patternFill>
              </fill>
            </x14:dxf>
          </x14:cfRule>
          <xm:sqref>BD216:BP216</xm:sqref>
        </x14:conditionalFormatting>
        <x14:conditionalFormatting xmlns:xm="http://schemas.microsoft.com/office/excel/2006/main">
          <x14:cfRule type="expression" priority="4846142" id="{B9E4407D-651D-4DC0-9D61-3271D62A65E9}">
            <xm:f>$BF$4='Data entry'!$R76</xm:f>
            <x14:dxf>
              <fill>
                <patternFill>
                  <bgColor rgb="FFFFFF00"/>
                </patternFill>
              </fill>
            </x14:dxf>
          </x14:cfRule>
          <xm:sqref>AR215:BF215</xm:sqref>
        </x14:conditionalFormatting>
        <x14:conditionalFormatting xmlns:xm="http://schemas.microsoft.com/office/excel/2006/main">
          <x14:cfRule type="expression" priority="4846415" id="{4CDC062F-DDFF-4556-B941-08F919727F69}">
            <xm:f>$BG$4='Data entry'!$R76</xm:f>
            <x14:dxf>
              <fill>
                <patternFill>
                  <bgColor rgb="FFFF0000"/>
                </patternFill>
              </fill>
            </x14:dxf>
          </x14:cfRule>
          <xm:sqref>BE216:BQ216</xm:sqref>
        </x14:conditionalFormatting>
        <x14:conditionalFormatting xmlns:xm="http://schemas.microsoft.com/office/excel/2006/main">
          <x14:cfRule type="expression" priority="4846688" id="{789184FA-9055-433B-8A1B-92C7ED59E81F}">
            <xm:f>$BG$4='Data entry'!$R76</xm:f>
            <x14:dxf>
              <fill>
                <patternFill>
                  <bgColor rgb="FFFFFF00"/>
                </patternFill>
              </fill>
            </x14:dxf>
          </x14:cfRule>
          <xm:sqref>AS215:BG215</xm:sqref>
        </x14:conditionalFormatting>
        <x14:conditionalFormatting xmlns:xm="http://schemas.microsoft.com/office/excel/2006/main">
          <x14:cfRule type="expression" priority="4846961" id="{58651E5C-09C9-46C1-B95C-E8A578A49E15}">
            <xm:f>$BH$4='Data entry'!$R76</xm:f>
            <x14:dxf>
              <fill>
                <patternFill>
                  <bgColor rgb="FFFFFF00"/>
                </patternFill>
              </fill>
            </x14:dxf>
          </x14:cfRule>
          <xm:sqref>AT215:BH215</xm:sqref>
        </x14:conditionalFormatting>
        <x14:conditionalFormatting xmlns:xm="http://schemas.microsoft.com/office/excel/2006/main">
          <x14:cfRule type="expression" priority="4847234" id="{97B30B86-8311-4DC0-A533-8C0D53F37839}">
            <xm:f>$BH$4='Data entry'!$R76</xm:f>
            <x14:dxf>
              <fill>
                <patternFill>
                  <bgColor rgb="FFFF0000"/>
                </patternFill>
              </fill>
            </x14:dxf>
          </x14:cfRule>
          <xm:sqref>BF216:BR216</xm:sqref>
        </x14:conditionalFormatting>
        <x14:conditionalFormatting xmlns:xm="http://schemas.microsoft.com/office/excel/2006/main">
          <x14:cfRule type="expression" priority="4847507" id="{78344C0C-5AEA-40B1-A20C-6D77DF58E1F5}">
            <xm:f>$BI$4='Data entry'!$R76</xm:f>
            <x14:dxf>
              <fill>
                <patternFill>
                  <bgColor rgb="FFFFFF00"/>
                </patternFill>
              </fill>
            </x14:dxf>
          </x14:cfRule>
          <xm:sqref>AU215:BI215</xm:sqref>
        </x14:conditionalFormatting>
        <x14:conditionalFormatting xmlns:xm="http://schemas.microsoft.com/office/excel/2006/main">
          <x14:cfRule type="expression" priority="4847780" id="{A9CE044F-482E-4F25-B28F-89ACC58502B1}">
            <xm:f>$BI$4='Data entry'!$R76</xm:f>
            <x14:dxf>
              <fill>
                <patternFill>
                  <bgColor rgb="FFFF0000"/>
                </patternFill>
              </fill>
            </x14:dxf>
          </x14:cfRule>
          <xm:sqref>BG216:BS216</xm:sqref>
        </x14:conditionalFormatting>
        <x14:conditionalFormatting xmlns:xm="http://schemas.microsoft.com/office/excel/2006/main">
          <x14:cfRule type="expression" priority="4848053" id="{F63BE0EB-3C71-4456-BEF0-11180AB7A8BB}">
            <xm:f>$BJ$4='Data entry'!$R76</xm:f>
            <x14:dxf>
              <fill>
                <patternFill>
                  <bgColor rgb="FFFFFF00"/>
                </patternFill>
              </fill>
            </x14:dxf>
          </x14:cfRule>
          <xm:sqref>AV215:BJ215</xm:sqref>
        </x14:conditionalFormatting>
        <x14:conditionalFormatting xmlns:xm="http://schemas.microsoft.com/office/excel/2006/main">
          <x14:cfRule type="expression" priority="4848326" id="{478A5DCB-1DAA-4497-A6CC-B4F01FB96D10}">
            <xm:f>$BJ$4='Data entry'!$R76</xm:f>
            <x14:dxf>
              <fill>
                <patternFill>
                  <bgColor rgb="FFFF0000"/>
                </patternFill>
              </fill>
            </x14:dxf>
          </x14:cfRule>
          <xm:sqref>BH216:BT216</xm:sqref>
        </x14:conditionalFormatting>
        <x14:conditionalFormatting xmlns:xm="http://schemas.microsoft.com/office/excel/2006/main">
          <x14:cfRule type="expression" priority="4848599" id="{CDE4AD5B-65A6-4FA4-9EC0-8D05F22312A9}">
            <xm:f>$BK$4='Data entry'!$R76</xm:f>
            <x14:dxf>
              <fill>
                <patternFill>
                  <bgColor rgb="FFFF0000"/>
                </patternFill>
              </fill>
            </x14:dxf>
          </x14:cfRule>
          <xm:sqref>BI216:BU216</xm:sqref>
        </x14:conditionalFormatting>
        <x14:conditionalFormatting xmlns:xm="http://schemas.microsoft.com/office/excel/2006/main">
          <x14:cfRule type="expression" priority="4848872" id="{AB32E790-6CD8-4D11-9A69-57D785FE4BBC}">
            <xm:f>$BK$4='Data entry'!$R76</xm:f>
            <x14:dxf>
              <fill>
                <patternFill>
                  <bgColor rgb="FFFFFF00"/>
                </patternFill>
              </fill>
            </x14:dxf>
          </x14:cfRule>
          <xm:sqref>AW215:BK215</xm:sqref>
        </x14:conditionalFormatting>
        <x14:conditionalFormatting xmlns:xm="http://schemas.microsoft.com/office/excel/2006/main">
          <x14:cfRule type="expression" priority="4849145" id="{99810EB9-805C-43D8-852A-EEECE7874CDB}">
            <xm:f>$BL$4='Data entry'!$R76</xm:f>
            <x14:dxf>
              <fill>
                <patternFill>
                  <bgColor rgb="FFFF0000"/>
                </patternFill>
              </fill>
            </x14:dxf>
          </x14:cfRule>
          <xm:sqref>BJ216:BV216</xm:sqref>
        </x14:conditionalFormatting>
        <x14:conditionalFormatting xmlns:xm="http://schemas.microsoft.com/office/excel/2006/main">
          <x14:cfRule type="expression" priority="4849418" id="{BF5F5475-4E46-479C-97A6-D5175F5D1803}">
            <xm:f>$BL$4='Data entry'!$R76</xm:f>
            <x14:dxf>
              <fill>
                <patternFill>
                  <bgColor rgb="FFFFFF00"/>
                </patternFill>
              </fill>
            </x14:dxf>
          </x14:cfRule>
          <xm:sqref>AX215:BL215</xm:sqref>
        </x14:conditionalFormatting>
        <x14:conditionalFormatting xmlns:xm="http://schemas.microsoft.com/office/excel/2006/main">
          <x14:cfRule type="expression" priority="4849691" id="{B86FDF2F-16C9-46B1-847E-7EA1A8A34B9D}">
            <xm:f>$BM$4='Data entry'!$R76</xm:f>
            <x14:dxf>
              <fill>
                <patternFill>
                  <bgColor rgb="FFFF0000"/>
                </patternFill>
              </fill>
            </x14:dxf>
          </x14:cfRule>
          <xm:sqref>BK216:BW216</xm:sqref>
        </x14:conditionalFormatting>
        <x14:conditionalFormatting xmlns:xm="http://schemas.microsoft.com/office/excel/2006/main">
          <x14:cfRule type="expression" priority="4849964" id="{72FD189F-4CED-400D-9FEF-21A328970A4D}">
            <xm:f>$BM$4='Data entry'!$R76</xm:f>
            <x14:dxf>
              <fill>
                <patternFill>
                  <bgColor rgb="FFFFFF00"/>
                </patternFill>
              </fill>
            </x14:dxf>
          </x14:cfRule>
          <xm:sqref>AY215:BM215</xm:sqref>
        </x14:conditionalFormatting>
        <x14:conditionalFormatting xmlns:xm="http://schemas.microsoft.com/office/excel/2006/main">
          <x14:cfRule type="expression" priority="4850237" id="{BBBBF859-D5A7-4F55-BFBF-8A77E3357590}">
            <xm:f>$BN$4='Data entry'!$R76</xm:f>
            <x14:dxf>
              <fill>
                <patternFill>
                  <bgColor rgb="FFFF0000"/>
                </patternFill>
              </fill>
            </x14:dxf>
          </x14:cfRule>
          <xm:sqref>BL216:BX216</xm:sqref>
        </x14:conditionalFormatting>
        <x14:conditionalFormatting xmlns:xm="http://schemas.microsoft.com/office/excel/2006/main">
          <x14:cfRule type="expression" priority="4850510" id="{50CB1D75-0FD5-4D24-92B1-E8A41DC6575C}">
            <xm:f>$BN$4='Data entry'!$R76</xm:f>
            <x14:dxf>
              <fill>
                <patternFill>
                  <bgColor rgb="FFFFFF00"/>
                </patternFill>
              </fill>
            </x14:dxf>
          </x14:cfRule>
          <xm:sqref>AZ215:BN215</xm:sqref>
        </x14:conditionalFormatting>
        <x14:conditionalFormatting xmlns:xm="http://schemas.microsoft.com/office/excel/2006/main">
          <x14:cfRule type="expression" priority="4850783" id="{9EF3226D-E8FC-496B-A6FF-71776AEA54D1}">
            <xm:f>$BO$4='Data entry'!$R76</xm:f>
            <x14:dxf>
              <fill>
                <patternFill>
                  <bgColor rgb="FFFF0000"/>
                </patternFill>
              </fill>
            </x14:dxf>
          </x14:cfRule>
          <xm:sqref>BM216:BY216</xm:sqref>
        </x14:conditionalFormatting>
        <x14:conditionalFormatting xmlns:xm="http://schemas.microsoft.com/office/excel/2006/main">
          <x14:cfRule type="expression" priority="4851056" id="{3B86C801-ECFE-4D05-8AA5-1581116BAFBC}">
            <xm:f>$BO$4='Data entry'!$R76</xm:f>
            <x14:dxf>
              <fill>
                <patternFill>
                  <bgColor rgb="FFFFFF00"/>
                </patternFill>
              </fill>
            </x14:dxf>
          </x14:cfRule>
          <xm:sqref>BA215:BO215</xm:sqref>
        </x14:conditionalFormatting>
        <x14:conditionalFormatting xmlns:xm="http://schemas.microsoft.com/office/excel/2006/main">
          <x14:cfRule type="expression" priority="4851329" id="{058A23EC-3371-4A02-9F20-1ECA603AC6BC}">
            <xm:f>$BP$4='Data entry'!$R76</xm:f>
            <x14:dxf>
              <fill>
                <patternFill>
                  <bgColor rgb="FFFF0000"/>
                </patternFill>
              </fill>
            </x14:dxf>
          </x14:cfRule>
          <xm:sqref>BN216:BZ216</xm:sqref>
        </x14:conditionalFormatting>
        <x14:conditionalFormatting xmlns:xm="http://schemas.microsoft.com/office/excel/2006/main">
          <x14:cfRule type="expression" priority="4851602" id="{3E711E31-3992-4555-AB22-87133D60CD15}">
            <xm:f>$BP$4='Data entry'!$R76</xm:f>
            <x14:dxf>
              <fill>
                <patternFill>
                  <bgColor rgb="FFFFFF00"/>
                </patternFill>
              </fill>
            </x14:dxf>
          </x14:cfRule>
          <xm:sqref>BB215:BP215</xm:sqref>
        </x14:conditionalFormatting>
        <x14:conditionalFormatting xmlns:xm="http://schemas.microsoft.com/office/excel/2006/main">
          <x14:cfRule type="expression" priority="4851875" id="{23E9F8B9-37D5-4730-9453-6F23E8ECBBE3}">
            <xm:f>$BQ$4='Data entry'!$R76</xm:f>
            <x14:dxf>
              <fill>
                <patternFill>
                  <bgColor rgb="FFFFFF00"/>
                </patternFill>
              </fill>
            </x14:dxf>
          </x14:cfRule>
          <xm:sqref>BC215:BQ215</xm:sqref>
        </x14:conditionalFormatting>
        <x14:conditionalFormatting xmlns:xm="http://schemas.microsoft.com/office/excel/2006/main">
          <x14:cfRule type="expression" priority="4852148" id="{BCFD92F6-AAD3-44FD-BC61-A292A81B883E}">
            <xm:f>$BQ$4='Data entry'!$R76</xm:f>
            <x14:dxf>
              <fill>
                <patternFill>
                  <bgColor rgb="FFFF0000"/>
                </patternFill>
              </fill>
            </x14:dxf>
          </x14:cfRule>
          <xm:sqref>BO216:CA216</xm:sqref>
        </x14:conditionalFormatting>
        <x14:conditionalFormatting xmlns:xm="http://schemas.microsoft.com/office/excel/2006/main">
          <x14:cfRule type="expression" priority="4852421" id="{357D60E5-F356-477E-8020-A18F42C02832}">
            <xm:f>$BR$4='Data entry'!$R76</xm:f>
            <x14:dxf>
              <fill>
                <patternFill>
                  <bgColor rgb="FFFFFF00"/>
                </patternFill>
              </fill>
            </x14:dxf>
          </x14:cfRule>
          <xm:sqref>BD215:BR215</xm:sqref>
        </x14:conditionalFormatting>
        <x14:conditionalFormatting xmlns:xm="http://schemas.microsoft.com/office/excel/2006/main">
          <x14:cfRule type="expression" priority="4852694" id="{DA2B6511-43B3-432D-B6AA-1DB1188B90A6}">
            <xm:f>$BR$4='Data entry'!$R76</xm:f>
            <x14:dxf>
              <fill>
                <patternFill>
                  <bgColor rgb="FFFF0000"/>
                </patternFill>
              </fill>
            </x14:dxf>
          </x14:cfRule>
          <xm:sqref>BP216:CB216</xm:sqref>
        </x14:conditionalFormatting>
        <x14:conditionalFormatting xmlns:xm="http://schemas.microsoft.com/office/excel/2006/main">
          <x14:cfRule type="expression" priority="4852967" id="{0D5F64E4-4136-4BFA-B833-CC8578525D9C}">
            <xm:f>$BS$4='Data entry'!$R76</xm:f>
            <x14:dxf>
              <fill>
                <patternFill>
                  <bgColor rgb="FFFFFF00"/>
                </patternFill>
              </fill>
            </x14:dxf>
          </x14:cfRule>
          <xm:sqref>BE215:BS215</xm:sqref>
        </x14:conditionalFormatting>
        <x14:conditionalFormatting xmlns:xm="http://schemas.microsoft.com/office/excel/2006/main">
          <x14:cfRule type="expression" priority="4853240" id="{AC94D468-F078-4AE2-8771-102996E07B09}">
            <xm:f>$BS$4='Data entry'!$R76</xm:f>
            <x14:dxf>
              <fill>
                <patternFill>
                  <bgColor rgb="FFFF0000"/>
                </patternFill>
              </fill>
            </x14:dxf>
          </x14:cfRule>
          <xm:sqref>BQ216:CC216</xm:sqref>
        </x14:conditionalFormatting>
        <x14:conditionalFormatting xmlns:xm="http://schemas.microsoft.com/office/excel/2006/main">
          <x14:cfRule type="expression" priority="4853513" id="{10E78F76-181E-4F19-9F89-7DD36D3EFE30}">
            <xm:f>$BT$4='Data entry'!$R76</xm:f>
            <x14:dxf>
              <fill>
                <patternFill>
                  <bgColor rgb="FFFFFF00"/>
                </patternFill>
              </fill>
            </x14:dxf>
          </x14:cfRule>
          <xm:sqref>BF215:BT215</xm:sqref>
        </x14:conditionalFormatting>
        <x14:conditionalFormatting xmlns:xm="http://schemas.microsoft.com/office/excel/2006/main">
          <x14:cfRule type="expression" priority="4853786" id="{6A5FADC6-9512-4EFB-90A5-7B5244D10D1F}">
            <xm:f>$BT$4='Data entry'!$R76</xm:f>
            <x14:dxf>
              <fill>
                <patternFill>
                  <bgColor rgb="FFFF0000"/>
                </patternFill>
              </fill>
            </x14:dxf>
          </x14:cfRule>
          <xm:sqref>BR216:CC216</xm:sqref>
        </x14:conditionalFormatting>
        <x14:conditionalFormatting xmlns:xm="http://schemas.microsoft.com/office/excel/2006/main">
          <x14:cfRule type="expression" priority="4854059" id="{A51139D1-8841-4B96-B8CB-DFE3808765CF}">
            <xm:f>$BU$4='Data entry'!$R76</xm:f>
            <x14:dxf>
              <fill>
                <patternFill>
                  <bgColor rgb="FFFFFF00"/>
                </patternFill>
              </fill>
            </x14:dxf>
          </x14:cfRule>
          <xm:sqref>BG215:BU215</xm:sqref>
        </x14:conditionalFormatting>
        <x14:conditionalFormatting xmlns:xm="http://schemas.microsoft.com/office/excel/2006/main">
          <x14:cfRule type="expression" priority="4854332" id="{55CA7258-760F-4BFF-ACB5-A70FEB3E7981}">
            <xm:f>$BU$4='Data entry'!$R76</xm:f>
            <x14:dxf>
              <fill>
                <patternFill>
                  <bgColor rgb="FFFF0000"/>
                </patternFill>
              </fill>
            </x14:dxf>
          </x14:cfRule>
          <xm:sqref>BS216:CC216</xm:sqref>
        </x14:conditionalFormatting>
        <x14:conditionalFormatting xmlns:xm="http://schemas.microsoft.com/office/excel/2006/main">
          <x14:cfRule type="expression" priority="4854605" id="{A922B218-64DB-4CBB-9AB8-FE0EBB44E09E}">
            <xm:f>$BV$4='Data entry'!$R76</xm:f>
            <x14:dxf>
              <fill>
                <patternFill>
                  <bgColor rgb="FFFFFF00"/>
                </patternFill>
              </fill>
            </x14:dxf>
          </x14:cfRule>
          <xm:sqref>BH215:BV215</xm:sqref>
        </x14:conditionalFormatting>
        <x14:conditionalFormatting xmlns:xm="http://schemas.microsoft.com/office/excel/2006/main">
          <x14:cfRule type="expression" priority="4854878" id="{C98E908A-CD31-4778-B41C-7AFB9DBE639A}">
            <xm:f>$BV$4='Data entry'!$R76</xm:f>
            <x14:dxf>
              <fill>
                <patternFill>
                  <bgColor rgb="FFFF0000"/>
                </patternFill>
              </fill>
            </x14:dxf>
          </x14:cfRule>
          <xm:sqref>BT216:CC216</xm:sqref>
        </x14:conditionalFormatting>
        <x14:conditionalFormatting xmlns:xm="http://schemas.microsoft.com/office/excel/2006/main">
          <x14:cfRule type="expression" priority="4855151" id="{465CCCA3-B4DB-4B61-8AC7-8A5E4CEC9E3F}">
            <xm:f>$BW$4='Data entry'!$R76</xm:f>
            <x14:dxf>
              <fill>
                <patternFill>
                  <bgColor rgb="FFFFFF00"/>
                </patternFill>
              </fill>
            </x14:dxf>
          </x14:cfRule>
          <xm:sqref>BI215:BW215</xm:sqref>
        </x14:conditionalFormatting>
        <x14:conditionalFormatting xmlns:xm="http://schemas.microsoft.com/office/excel/2006/main">
          <x14:cfRule type="expression" priority="4855424" id="{37566F97-6D06-400B-A709-FE657B07687F}">
            <xm:f>$BW$4='Data entry'!$R76</xm:f>
            <x14:dxf>
              <fill>
                <patternFill>
                  <bgColor rgb="FFFF0000"/>
                </patternFill>
              </fill>
            </x14:dxf>
          </x14:cfRule>
          <xm:sqref>BU216:CC217</xm:sqref>
        </x14:conditionalFormatting>
        <x14:conditionalFormatting xmlns:xm="http://schemas.microsoft.com/office/excel/2006/main">
          <x14:cfRule type="expression" priority="4855697" id="{D8FBA3AC-5CF0-4E45-97CA-1D4DEE729ADA}">
            <xm:f>$BX$4='Data entry'!$R76</xm:f>
            <x14:dxf>
              <fill>
                <patternFill>
                  <bgColor rgb="FFFFFF00"/>
                </patternFill>
              </fill>
            </x14:dxf>
          </x14:cfRule>
          <xm:sqref>BJ215:BX215</xm:sqref>
        </x14:conditionalFormatting>
        <x14:conditionalFormatting xmlns:xm="http://schemas.microsoft.com/office/excel/2006/main">
          <x14:cfRule type="expression" priority="4855970" id="{E077C84B-A94F-431D-B232-4AFCC7C64F54}">
            <xm:f>$BX$4='Data entry'!$R76</xm:f>
            <x14:dxf>
              <fill>
                <patternFill>
                  <bgColor rgb="FFFF0000"/>
                </patternFill>
              </fill>
            </x14:dxf>
          </x14:cfRule>
          <xm:sqref>BV216:CC216</xm:sqref>
        </x14:conditionalFormatting>
        <x14:conditionalFormatting xmlns:xm="http://schemas.microsoft.com/office/excel/2006/main">
          <x14:cfRule type="expression" priority="4856243" id="{63783BA8-0C97-4A44-86FD-7A2BCF1B9957}">
            <xm:f>$BY$4='Data entry'!$R76</xm:f>
            <x14:dxf>
              <fill>
                <patternFill>
                  <bgColor rgb="FFFFFF00"/>
                </patternFill>
              </fill>
            </x14:dxf>
          </x14:cfRule>
          <xm:sqref>BK215:BY215</xm:sqref>
        </x14:conditionalFormatting>
        <x14:conditionalFormatting xmlns:xm="http://schemas.microsoft.com/office/excel/2006/main">
          <x14:cfRule type="expression" priority="4856516" id="{BB8DB8B4-B71B-46D2-AEE7-346F16103F74}">
            <xm:f>$BY$4='Data entry'!$R76</xm:f>
            <x14:dxf>
              <fill>
                <patternFill>
                  <bgColor rgb="FFFF0000"/>
                </patternFill>
              </fill>
            </x14:dxf>
          </x14:cfRule>
          <xm:sqref>BW216:CC216</xm:sqref>
        </x14:conditionalFormatting>
        <x14:conditionalFormatting xmlns:xm="http://schemas.microsoft.com/office/excel/2006/main">
          <x14:cfRule type="expression" priority="4856789" id="{1B638B98-2B06-4FEB-90C1-446A3E0A3979}">
            <xm:f>$BZ$4='Data entry'!$R76</xm:f>
            <x14:dxf>
              <fill>
                <patternFill>
                  <bgColor rgb="FFFFFF00"/>
                </patternFill>
              </fill>
            </x14:dxf>
          </x14:cfRule>
          <xm:sqref>BL215:BZ215</xm:sqref>
        </x14:conditionalFormatting>
        <x14:conditionalFormatting xmlns:xm="http://schemas.microsoft.com/office/excel/2006/main">
          <x14:cfRule type="expression" priority="4857062" id="{D3A0A2F8-D1B2-4DC5-B2A9-0EF53074E685}">
            <xm:f>$BZ$4='Data entry'!$R76</xm:f>
            <x14:dxf>
              <fill>
                <patternFill>
                  <bgColor rgb="FFFF0000"/>
                </patternFill>
              </fill>
            </x14:dxf>
          </x14:cfRule>
          <xm:sqref>BX216:CC216</xm:sqref>
        </x14:conditionalFormatting>
        <x14:conditionalFormatting xmlns:xm="http://schemas.microsoft.com/office/excel/2006/main">
          <x14:cfRule type="expression" priority="4857335" id="{83F6D018-7D3B-4D33-9998-11572F2F2FF5}">
            <xm:f>$CA$4='Data entry'!$R76</xm:f>
            <x14:dxf>
              <fill>
                <patternFill>
                  <bgColor rgb="FFFFFF00"/>
                </patternFill>
              </fill>
            </x14:dxf>
          </x14:cfRule>
          <xm:sqref>BM215:CA215</xm:sqref>
        </x14:conditionalFormatting>
        <x14:conditionalFormatting xmlns:xm="http://schemas.microsoft.com/office/excel/2006/main">
          <x14:cfRule type="expression" priority="4857608" id="{8E6D0B51-5626-4ED9-9072-C7A2C139704F}">
            <xm:f>$CA$4='Data entry'!$R76</xm:f>
            <x14:dxf>
              <fill>
                <patternFill>
                  <bgColor rgb="FFFF0000"/>
                </patternFill>
              </fill>
            </x14:dxf>
          </x14:cfRule>
          <xm:sqref>BY216:CC216</xm:sqref>
        </x14:conditionalFormatting>
        <x14:conditionalFormatting xmlns:xm="http://schemas.microsoft.com/office/excel/2006/main">
          <x14:cfRule type="expression" priority="4857881" id="{E1886EE4-3BDE-43A9-9F4B-79377FEC37FE}">
            <xm:f>$CB$4='Data entry'!$R76</xm:f>
            <x14:dxf>
              <fill>
                <patternFill>
                  <bgColor rgb="FFFFFF00"/>
                </patternFill>
              </fill>
            </x14:dxf>
          </x14:cfRule>
          <xm:sqref>BN215:CB215</xm:sqref>
        </x14:conditionalFormatting>
        <x14:conditionalFormatting xmlns:xm="http://schemas.microsoft.com/office/excel/2006/main">
          <x14:cfRule type="expression" priority="4858154" id="{ADEF572A-6C18-4602-BB86-01C96D36E07E}">
            <xm:f>$CB$4='Data entry'!$R76</xm:f>
            <x14:dxf>
              <fill>
                <patternFill>
                  <bgColor rgb="FFFF0000"/>
                </patternFill>
              </fill>
            </x14:dxf>
          </x14:cfRule>
          <xm:sqref>BZ216:CC216</xm:sqref>
        </x14:conditionalFormatting>
        <x14:conditionalFormatting xmlns:xm="http://schemas.microsoft.com/office/excel/2006/main">
          <x14:cfRule type="expression" priority="4858427" id="{7984E1C9-E073-4955-8543-62145CB6D008}">
            <xm:f>$CC$4='Data entry'!$R76</xm:f>
            <x14:dxf>
              <fill>
                <patternFill>
                  <bgColor rgb="FFFFFF00"/>
                </patternFill>
              </fill>
            </x14:dxf>
          </x14:cfRule>
          <xm:sqref>BO215:CC215</xm:sqref>
        </x14:conditionalFormatting>
        <x14:conditionalFormatting xmlns:xm="http://schemas.microsoft.com/office/excel/2006/main">
          <x14:cfRule type="expression" priority="4858700" id="{18A957B3-59FA-4698-BA92-2A208FF18E2F}">
            <xm:f>$CC$4='Data entry'!$R76</xm:f>
            <x14:dxf>
              <fill>
                <patternFill>
                  <bgColor rgb="FFFF0000"/>
                </patternFill>
              </fill>
            </x14:dxf>
          </x14:cfRule>
          <xm:sqref>CA216:CC216</xm:sqref>
        </x14:conditionalFormatting>
        <x14:conditionalFormatting xmlns:xm="http://schemas.microsoft.com/office/excel/2006/main">
          <x14:cfRule type="expression" priority="4881900" id="{46CAF980-4282-465F-AA0D-45DF9F1FDA80}">
            <xm:f>#REF!='Data entry'!$R6</xm:f>
            <x14:dxf>
              <fill>
                <patternFill>
                  <bgColor rgb="FFFFFF00"/>
                </patternFill>
              </fill>
            </x14:dxf>
          </x14:cfRule>
          <xm:sqref>BP5:CC5</xm:sqref>
        </x14:conditionalFormatting>
        <x14:conditionalFormatting xmlns:xm="http://schemas.microsoft.com/office/excel/2006/main">
          <x14:cfRule type="expression" priority="4881901" id="{A4FF40DD-0B6A-4608-9412-4FEFCD17F66F}">
            <xm:f>#REF!='Data entry'!$R6</xm:f>
            <x14:dxf>
              <fill>
                <patternFill>
                  <bgColor rgb="FFFF0000"/>
                </patternFill>
              </fill>
            </x14:dxf>
          </x14:cfRule>
          <xm:sqref>CB6:CC6</xm:sqref>
        </x14:conditionalFormatting>
        <x14:conditionalFormatting xmlns:xm="http://schemas.microsoft.com/office/excel/2006/main">
          <x14:cfRule type="expression" priority="4882047" id="{46CAF980-4282-465F-AA0D-45DF9F1FDA80}">
            <xm:f>#REF!='Data entry'!$R7</xm:f>
            <x14:dxf>
              <fill>
                <patternFill>
                  <bgColor rgb="FFFFFF00"/>
                </patternFill>
              </fill>
            </x14:dxf>
          </x14:cfRule>
          <xm:sqref>BP8:CC8</xm:sqref>
        </x14:conditionalFormatting>
        <x14:conditionalFormatting xmlns:xm="http://schemas.microsoft.com/office/excel/2006/main">
          <x14:cfRule type="expression" priority="4882048" id="{A4FF40DD-0B6A-4608-9412-4FEFCD17F66F}">
            <xm:f>#REF!='Data entry'!$R7</xm:f>
            <x14:dxf>
              <fill>
                <patternFill>
                  <bgColor rgb="FFFF0000"/>
                </patternFill>
              </fill>
            </x14:dxf>
          </x14:cfRule>
          <xm:sqref>CB9:CC9</xm:sqref>
        </x14:conditionalFormatting>
        <x14:conditionalFormatting xmlns:xm="http://schemas.microsoft.com/office/excel/2006/main">
          <x14:cfRule type="expression" priority="4882194" id="{46CAF980-4282-465F-AA0D-45DF9F1FDA80}">
            <xm:f>#REF!='Data entry'!$R8</xm:f>
            <x14:dxf>
              <fill>
                <patternFill>
                  <bgColor rgb="FFFFFF00"/>
                </patternFill>
              </fill>
            </x14:dxf>
          </x14:cfRule>
          <xm:sqref>BP11:CC11</xm:sqref>
        </x14:conditionalFormatting>
        <x14:conditionalFormatting xmlns:xm="http://schemas.microsoft.com/office/excel/2006/main">
          <x14:cfRule type="expression" priority="4882195" id="{A4FF40DD-0B6A-4608-9412-4FEFCD17F66F}">
            <xm:f>#REF!='Data entry'!$R8</xm:f>
            <x14:dxf>
              <fill>
                <patternFill>
                  <bgColor rgb="FFFF0000"/>
                </patternFill>
              </fill>
            </x14:dxf>
          </x14:cfRule>
          <xm:sqref>CB12:CC12</xm:sqref>
        </x14:conditionalFormatting>
        <x14:conditionalFormatting xmlns:xm="http://schemas.microsoft.com/office/excel/2006/main">
          <x14:cfRule type="expression" priority="4882341" id="{46CAF980-4282-465F-AA0D-45DF9F1FDA80}">
            <xm:f>#REF!='Data entry'!$R9</xm:f>
            <x14:dxf>
              <fill>
                <patternFill>
                  <bgColor rgb="FFFFFF00"/>
                </patternFill>
              </fill>
            </x14:dxf>
          </x14:cfRule>
          <xm:sqref>BP14:CC14</xm:sqref>
        </x14:conditionalFormatting>
        <x14:conditionalFormatting xmlns:xm="http://schemas.microsoft.com/office/excel/2006/main">
          <x14:cfRule type="expression" priority="4882342" id="{A4FF40DD-0B6A-4608-9412-4FEFCD17F66F}">
            <xm:f>#REF!='Data entry'!$R9</xm:f>
            <x14:dxf>
              <fill>
                <patternFill>
                  <bgColor rgb="FFFF0000"/>
                </patternFill>
              </fill>
            </x14:dxf>
          </x14:cfRule>
          <xm:sqref>CB15:CC15</xm:sqref>
        </x14:conditionalFormatting>
        <x14:conditionalFormatting xmlns:xm="http://schemas.microsoft.com/office/excel/2006/main">
          <x14:cfRule type="expression" priority="4882488" id="{46CAF980-4282-465F-AA0D-45DF9F1FDA80}">
            <xm:f>#REF!='Data entry'!$R10</xm:f>
            <x14:dxf>
              <fill>
                <patternFill>
                  <bgColor rgb="FFFFFF00"/>
                </patternFill>
              </fill>
            </x14:dxf>
          </x14:cfRule>
          <xm:sqref>BP17:CC17</xm:sqref>
        </x14:conditionalFormatting>
        <x14:conditionalFormatting xmlns:xm="http://schemas.microsoft.com/office/excel/2006/main">
          <x14:cfRule type="expression" priority="4882489" id="{A4FF40DD-0B6A-4608-9412-4FEFCD17F66F}">
            <xm:f>#REF!='Data entry'!$R10</xm:f>
            <x14:dxf>
              <fill>
                <patternFill>
                  <bgColor rgb="FFFF0000"/>
                </patternFill>
              </fill>
            </x14:dxf>
          </x14:cfRule>
          <xm:sqref>CB18:CC18</xm:sqref>
        </x14:conditionalFormatting>
        <x14:conditionalFormatting xmlns:xm="http://schemas.microsoft.com/office/excel/2006/main">
          <x14:cfRule type="expression" priority="4882635" id="{46CAF980-4282-465F-AA0D-45DF9F1FDA80}">
            <xm:f>#REF!='Data entry'!$R11</xm:f>
            <x14:dxf>
              <fill>
                <patternFill>
                  <bgColor rgb="FFFFFF00"/>
                </patternFill>
              </fill>
            </x14:dxf>
          </x14:cfRule>
          <xm:sqref>BP20:CC20</xm:sqref>
        </x14:conditionalFormatting>
        <x14:conditionalFormatting xmlns:xm="http://schemas.microsoft.com/office/excel/2006/main">
          <x14:cfRule type="expression" priority="4882636" id="{A4FF40DD-0B6A-4608-9412-4FEFCD17F66F}">
            <xm:f>#REF!='Data entry'!$R11</xm:f>
            <x14:dxf>
              <fill>
                <patternFill>
                  <bgColor rgb="FFFF0000"/>
                </patternFill>
              </fill>
            </x14:dxf>
          </x14:cfRule>
          <xm:sqref>CB21:CC21</xm:sqref>
        </x14:conditionalFormatting>
        <x14:conditionalFormatting xmlns:xm="http://schemas.microsoft.com/office/excel/2006/main">
          <x14:cfRule type="expression" priority="4882782" id="{46CAF980-4282-465F-AA0D-45DF9F1FDA80}">
            <xm:f>#REF!='Data entry'!$R12</xm:f>
            <x14:dxf>
              <fill>
                <patternFill>
                  <bgColor rgb="FFFFFF00"/>
                </patternFill>
              </fill>
            </x14:dxf>
          </x14:cfRule>
          <xm:sqref>BP23:CC23</xm:sqref>
        </x14:conditionalFormatting>
        <x14:conditionalFormatting xmlns:xm="http://schemas.microsoft.com/office/excel/2006/main">
          <x14:cfRule type="expression" priority="4882783" id="{A4FF40DD-0B6A-4608-9412-4FEFCD17F66F}">
            <xm:f>#REF!='Data entry'!$R12</xm:f>
            <x14:dxf>
              <fill>
                <patternFill>
                  <bgColor rgb="FFFF0000"/>
                </patternFill>
              </fill>
            </x14:dxf>
          </x14:cfRule>
          <xm:sqref>CB24:CC24</xm:sqref>
        </x14:conditionalFormatting>
        <x14:conditionalFormatting xmlns:xm="http://schemas.microsoft.com/office/excel/2006/main">
          <x14:cfRule type="expression" priority="4882929" id="{46CAF980-4282-465F-AA0D-45DF9F1FDA80}">
            <xm:f>#REF!='Data entry'!$R13</xm:f>
            <x14:dxf>
              <fill>
                <patternFill>
                  <bgColor rgb="FFFFFF00"/>
                </patternFill>
              </fill>
            </x14:dxf>
          </x14:cfRule>
          <xm:sqref>BP26:CC26</xm:sqref>
        </x14:conditionalFormatting>
        <x14:conditionalFormatting xmlns:xm="http://schemas.microsoft.com/office/excel/2006/main">
          <x14:cfRule type="expression" priority="4882930" id="{A4FF40DD-0B6A-4608-9412-4FEFCD17F66F}">
            <xm:f>#REF!='Data entry'!$R13</xm:f>
            <x14:dxf>
              <fill>
                <patternFill>
                  <bgColor rgb="FFFF0000"/>
                </patternFill>
              </fill>
            </x14:dxf>
          </x14:cfRule>
          <xm:sqref>CB27:CC27</xm:sqref>
        </x14:conditionalFormatting>
        <x14:conditionalFormatting xmlns:xm="http://schemas.microsoft.com/office/excel/2006/main">
          <x14:cfRule type="expression" priority="4883076" id="{46CAF980-4282-465F-AA0D-45DF9F1FDA80}">
            <xm:f>#REF!='Data entry'!$R14</xm:f>
            <x14:dxf>
              <fill>
                <patternFill>
                  <bgColor rgb="FFFFFF00"/>
                </patternFill>
              </fill>
            </x14:dxf>
          </x14:cfRule>
          <xm:sqref>BP29:CC29</xm:sqref>
        </x14:conditionalFormatting>
        <x14:conditionalFormatting xmlns:xm="http://schemas.microsoft.com/office/excel/2006/main">
          <x14:cfRule type="expression" priority="4883077" id="{A4FF40DD-0B6A-4608-9412-4FEFCD17F66F}">
            <xm:f>#REF!='Data entry'!$R14</xm:f>
            <x14:dxf>
              <fill>
                <patternFill>
                  <bgColor rgb="FFFF0000"/>
                </patternFill>
              </fill>
            </x14:dxf>
          </x14:cfRule>
          <xm:sqref>CB30:CC30</xm:sqref>
        </x14:conditionalFormatting>
        <x14:conditionalFormatting xmlns:xm="http://schemas.microsoft.com/office/excel/2006/main">
          <x14:cfRule type="expression" priority="4883223" id="{46CAF980-4282-465F-AA0D-45DF9F1FDA80}">
            <xm:f>#REF!='Data entry'!$R15</xm:f>
            <x14:dxf>
              <fill>
                <patternFill>
                  <bgColor rgb="FFFFFF00"/>
                </patternFill>
              </fill>
            </x14:dxf>
          </x14:cfRule>
          <xm:sqref>BP32:CC32</xm:sqref>
        </x14:conditionalFormatting>
        <x14:conditionalFormatting xmlns:xm="http://schemas.microsoft.com/office/excel/2006/main">
          <x14:cfRule type="expression" priority="4883224" id="{A4FF40DD-0B6A-4608-9412-4FEFCD17F66F}">
            <xm:f>#REF!='Data entry'!$R15</xm:f>
            <x14:dxf>
              <fill>
                <patternFill>
                  <bgColor rgb="FFFF0000"/>
                </patternFill>
              </fill>
            </x14:dxf>
          </x14:cfRule>
          <xm:sqref>CB33:CC33</xm:sqref>
        </x14:conditionalFormatting>
        <x14:conditionalFormatting xmlns:xm="http://schemas.microsoft.com/office/excel/2006/main">
          <x14:cfRule type="expression" priority="4883370" id="{46CAF980-4282-465F-AA0D-45DF9F1FDA80}">
            <xm:f>#REF!='Data entry'!$R16</xm:f>
            <x14:dxf>
              <fill>
                <patternFill>
                  <bgColor rgb="FFFFFF00"/>
                </patternFill>
              </fill>
            </x14:dxf>
          </x14:cfRule>
          <xm:sqref>BP35:CC35</xm:sqref>
        </x14:conditionalFormatting>
        <x14:conditionalFormatting xmlns:xm="http://schemas.microsoft.com/office/excel/2006/main">
          <x14:cfRule type="expression" priority="4883371" id="{A4FF40DD-0B6A-4608-9412-4FEFCD17F66F}">
            <xm:f>#REF!='Data entry'!$R16</xm:f>
            <x14:dxf>
              <fill>
                <patternFill>
                  <bgColor rgb="FFFF0000"/>
                </patternFill>
              </fill>
            </x14:dxf>
          </x14:cfRule>
          <xm:sqref>CB36:CC36</xm:sqref>
        </x14:conditionalFormatting>
        <x14:conditionalFormatting xmlns:xm="http://schemas.microsoft.com/office/excel/2006/main">
          <x14:cfRule type="expression" priority="4883517" id="{46CAF980-4282-465F-AA0D-45DF9F1FDA80}">
            <xm:f>#REF!='Data entry'!$R17</xm:f>
            <x14:dxf>
              <fill>
                <patternFill>
                  <bgColor rgb="FFFFFF00"/>
                </patternFill>
              </fill>
            </x14:dxf>
          </x14:cfRule>
          <xm:sqref>BP38:CC38</xm:sqref>
        </x14:conditionalFormatting>
        <x14:conditionalFormatting xmlns:xm="http://schemas.microsoft.com/office/excel/2006/main">
          <x14:cfRule type="expression" priority="4883518" id="{A4FF40DD-0B6A-4608-9412-4FEFCD17F66F}">
            <xm:f>#REF!='Data entry'!$R17</xm:f>
            <x14:dxf>
              <fill>
                <patternFill>
                  <bgColor rgb="FFFF0000"/>
                </patternFill>
              </fill>
            </x14:dxf>
          </x14:cfRule>
          <xm:sqref>CB39:CC39</xm:sqref>
        </x14:conditionalFormatting>
        <x14:conditionalFormatting xmlns:xm="http://schemas.microsoft.com/office/excel/2006/main">
          <x14:cfRule type="expression" priority="4883664" id="{46CAF980-4282-465F-AA0D-45DF9F1FDA80}">
            <xm:f>#REF!='Data entry'!$R18</xm:f>
            <x14:dxf>
              <fill>
                <patternFill>
                  <bgColor rgb="FFFFFF00"/>
                </patternFill>
              </fill>
            </x14:dxf>
          </x14:cfRule>
          <xm:sqref>BP41:CC41</xm:sqref>
        </x14:conditionalFormatting>
        <x14:conditionalFormatting xmlns:xm="http://schemas.microsoft.com/office/excel/2006/main">
          <x14:cfRule type="expression" priority="4883665" id="{A4FF40DD-0B6A-4608-9412-4FEFCD17F66F}">
            <xm:f>#REF!='Data entry'!$R18</xm:f>
            <x14:dxf>
              <fill>
                <patternFill>
                  <bgColor rgb="FFFF0000"/>
                </patternFill>
              </fill>
            </x14:dxf>
          </x14:cfRule>
          <xm:sqref>CB42:CC42</xm:sqref>
        </x14:conditionalFormatting>
        <x14:conditionalFormatting xmlns:xm="http://schemas.microsoft.com/office/excel/2006/main">
          <x14:cfRule type="expression" priority="4883811" id="{46CAF980-4282-465F-AA0D-45DF9F1FDA80}">
            <xm:f>#REF!='Data entry'!$R19</xm:f>
            <x14:dxf>
              <fill>
                <patternFill>
                  <bgColor rgb="FFFFFF00"/>
                </patternFill>
              </fill>
            </x14:dxf>
          </x14:cfRule>
          <xm:sqref>BP44:CC44</xm:sqref>
        </x14:conditionalFormatting>
        <x14:conditionalFormatting xmlns:xm="http://schemas.microsoft.com/office/excel/2006/main">
          <x14:cfRule type="expression" priority="4883812" id="{A4FF40DD-0B6A-4608-9412-4FEFCD17F66F}">
            <xm:f>#REF!='Data entry'!$R19</xm:f>
            <x14:dxf>
              <fill>
                <patternFill>
                  <bgColor rgb="FFFF0000"/>
                </patternFill>
              </fill>
            </x14:dxf>
          </x14:cfRule>
          <xm:sqref>CB45:CC45</xm:sqref>
        </x14:conditionalFormatting>
        <x14:conditionalFormatting xmlns:xm="http://schemas.microsoft.com/office/excel/2006/main">
          <x14:cfRule type="expression" priority="4883958" id="{46CAF980-4282-465F-AA0D-45DF9F1FDA80}">
            <xm:f>#REF!='Data entry'!$R20</xm:f>
            <x14:dxf>
              <fill>
                <patternFill>
                  <bgColor rgb="FFFFFF00"/>
                </patternFill>
              </fill>
            </x14:dxf>
          </x14:cfRule>
          <xm:sqref>BP47:CC47</xm:sqref>
        </x14:conditionalFormatting>
        <x14:conditionalFormatting xmlns:xm="http://schemas.microsoft.com/office/excel/2006/main">
          <x14:cfRule type="expression" priority="4883959" id="{A4FF40DD-0B6A-4608-9412-4FEFCD17F66F}">
            <xm:f>#REF!='Data entry'!$R20</xm:f>
            <x14:dxf>
              <fill>
                <patternFill>
                  <bgColor rgb="FFFF0000"/>
                </patternFill>
              </fill>
            </x14:dxf>
          </x14:cfRule>
          <xm:sqref>CB48:CC48</xm:sqref>
        </x14:conditionalFormatting>
        <x14:conditionalFormatting xmlns:xm="http://schemas.microsoft.com/office/excel/2006/main">
          <x14:cfRule type="expression" priority="4884105" id="{46CAF980-4282-465F-AA0D-45DF9F1FDA80}">
            <xm:f>#REF!='Data entry'!$R21</xm:f>
            <x14:dxf>
              <fill>
                <patternFill>
                  <bgColor rgb="FFFFFF00"/>
                </patternFill>
              </fill>
            </x14:dxf>
          </x14:cfRule>
          <xm:sqref>BP50:CC50</xm:sqref>
        </x14:conditionalFormatting>
        <x14:conditionalFormatting xmlns:xm="http://schemas.microsoft.com/office/excel/2006/main">
          <x14:cfRule type="expression" priority="4884106" id="{A4FF40DD-0B6A-4608-9412-4FEFCD17F66F}">
            <xm:f>#REF!='Data entry'!$R21</xm:f>
            <x14:dxf>
              <fill>
                <patternFill>
                  <bgColor rgb="FFFF0000"/>
                </patternFill>
              </fill>
            </x14:dxf>
          </x14:cfRule>
          <xm:sqref>CB51:CC51</xm:sqref>
        </x14:conditionalFormatting>
        <x14:conditionalFormatting xmlns:xm="http://schemas.microsoft.com/office/excel/2006/main">
          <x14:cfRule type="expression" priority="4884252" id="{46CAF980-4282-465F-AA0D-45DF9F1FDA80}">
            <xm:f>#REF!='Data entry'!$R22</xm:f>
            <x14:dxf>
              <fill>
                <patternFill>
                  <bgColor rgb="FFFFFF00"/>
                </patternFill>
              </fill>
            </x14:dxf>
          </x14:cfRule>
          <xm:sqref>BP53:CC53</xm:sqref>
        </x14:conditionalFormatting>
        <x14:conditionalFormatting xmlns:xm="http://schemas.microsoft.com/office/excel/2006/main">
          <x14:cfRule type="expression" priority="4884253" id="{A4FF40DD-0B6A-4608-9412-4FEFCD17F66F}">
            <xm:f>#REF!='Data entry'!$R22</xm:f>
            <x14:dxf>
              <fill>
                <patternFill>
                  <bgColor rgb="FFFF0000"/>
                </patternFill>
              </fill>
            </x14:dxf>
          </x14:cfRule>
          <xm:sqref>CB54:CC54</xm:sqref>
        </x14:conditionalFormatting>
        <x14:conditionalFormatting xmlns:xm="http://schemas.microsoft.com/office/excel/2006/main">
          <x14:cfRule type="expression" priority="4884399" id="{46CAF980-4282-465F-AA0D-45DF9F1FDA80}">
            <xm:f>#REF!='Data entry'!$R23</xm:f>
            <x14:dxf>
              <fill>
                <patternFill>
                  <bgColor rgb="FFFFFF00"/>
                </patternFill>
              </fill>
            </x14:dxf>
          </x14:cfRule>
          <xm:sqref>BP56:CC56</xm:sqref>
        </x14:conditionalFormatting>
        <x14:conditionalFormatting xmlns:xm="http://schemas.microsoft.com/office/excel/2006/main">
          <x14:cfRule type="expression" priority="4884400" id="{A4FF40DD-0B6A-4608-9412-4FEFCD17F66F}">
            <xm:f>#REF!='Data entry'!$R23</xm:f>
            <x14:dxf>
              <fill>
                <patternFill>
                  <bgColor rgb="FFFF0000"/>
                </patternFill>
              </fill>
            </x14:dxf>
          </x14:cfRule>
          <xm:sqref>CB57:CC57</xm:sqref>
        </x14:conditionalFormatting>
        <x14:conditionalFormatting xmlns:xm="http://schemas.microsoft.com/office/excel/2006/main">
          <x14:cfRule type="expression" priority="4884546" id="{46CAF980-4282-465F-AA0D-45DF9F1FDA80}">
            <xm:f>#REF!='Data entry'!$R24</xm:f>
            <x14:dxf>
              <fill>
                <patternFill>
                  <bgColor rgb="FFFFFF00"/>
                </patternFill>
              </fill>
            </x14:dxf>
          </x14:cfRule>
          <xm:sqref>BP59:CC59</xm:sqref>
        </x14:conditionalFormatting>
        <x14:conditionalFormatting xmlns:xm="http://schemas.microsoft.com/office/excel/2006/main">
          <x14:cfRule type="expression" priority="4884547" id="{A4FF40DD-0B6A-4608-9412-4FEFCD17F66F}">
            <xm:f>#REF!='Data entry'!$R24</xm:f>
            <x14:dxf>
              <fill>
                <patternFill>
                  <bgColor rgb="FFFF0000"/>
                </patternFill>
              </fill>
            </x14:dxf>
          </x14:cfRule>
          <xm:sqref>CB60:CC60</xm:sqref>
        </x14:conditionalFormatting>
        <x14:conditionalFormatting xmlns:xm="http://schemas.microsoft.com/office/excel/2006/main">
          <x14:cfRule type="expression" priority="4884693" id="{46CAF980-4282-465F-AA0D-45DF9F1FDA80}">
            <xm:f>#REF!='Data entry'!$R25</xm:f>
            <x14:dxf>
              <fill>
                <patternFill>
                  <bgColor rgb="FFFFFF00"/>
                </patternFill>
              </fill>
            </x14:dxf>
          </x14:cfRule>
          <xm:sqref>BP62:CC62</xm:sqref>
        </x14:conditionalFormatting>
        <x14:conditionalFormatting xmlns:xm="http://schemas.microsoft.com/office/excel/2006/main">
          <x14:cfRule type="expression" priority="4884694" id="{A4FF40DD-0B6A-4608-9412-4FEFCD17F66F}">
            <xm:f>#REF!='Data entry'!$R25</xm:f>
            <x14:dxf>
              <fill>
                <patternFill>
                  <bgColor rgb="FFFF0000"/>
                </patternFill>
              </fill>
            </x14:dxf>
          </x14:cfRule>
          <xm:sqref>CB63:CC63</xm:sqref>
        </x14:conditionalFormatting>
        <x14:conditionalFormatting xmlns:xm="http://schemas.microsoft.com/office/excel/2006/main">
          <x14:cfRule type="expression" priority="4884840" id="{46CAF980-4282-465F-AA0D-45DF9F1FDA80}">
            <xm:f>#REF!='Data entry'!$R26</xm:f>
            <x14:dxf>
              <fill>
                <patternFill>
                  <bgColor rgb="FFFFFF00"/>
                </patternFill>
              </fill>
            </x14:dxf>
          </x14:cfRule>
          <xm:sqref>BP65:CC65</xm:sqref>
        </x14:conditionalFormatting>
        <x14:conditionalFormatting xmlns:xm="http://schemas.microsoft.com/office/excel/2006/main">
          <x14:cfRule type="expression" priority="4884841" id="{A4FF40DD-0B6A-4608-9412-4FEFCD17F66F}">
            <xm:f>#REF!='Data entry'!$R26</xm:f>
            <x14:dxf>
              <fill>
                <patternFill>
                  <bgColor rgb="FFFF0000"/>
                </patternFill>
              </fill>
            </x14:dxf>
          </x14:cfRule>
          <xm:sqref>CB66:CC66</xm:sqref>
        </x14:conditionalFormatting>
        <x14:conditionalFormatting xmlns:xm="http://schemas.microsoft.com/office/excel/2006/main">
          <x14:cfRule type="expression" priority="4884987" id="{46CAF980-4282-465F-AA0D-45DF9F1FDA80}">
            <xm:f>#REF!='Data entry'!$R27</xm:f>
            <x14:dxf>
              <fill>
                <patternFill>
                  <bgColor rgb="FFFFFF00"/>
                </patternFill>
              </fill>
            </x14:dxf>
          </x14:cfRule>
          <xm:sqref>BP68:CC68</xm:sqref>
        </x14:conditionalFormatting>
        <x14:conditionalFormatting xmlns:xm="http://schemas.microsoft.com/office/excel/2006/main">
          <x14:cfRule type="expression" priority="4884988" id="{A4FF40DD-0B6A-4608-9412-4FEFCD17F66F}">
            <xm:f>#REF!='Data entry'!$R27</xm:f>
            <x14:dxf>
              <fill>
                <patternFill>
                  <bgColor rgb="FFFF0000"/>
                </patternFill>
              </fill>
            </x14:dxf>
          </x14:cfRule>
          <xm:sqref>CB69:CC69</xm:sqref>
        </x14:conditionalFormatting>
        <x14:conditionalFormatting xmlns:xm="http://schemas.microsoft.com/office/excel/2006/main">
          <x14:cfRule type="expression" priority="4885134" id="{46CAF980-4282-465F-AA0D-45DF9F1FDA80}">
            <xm:f>#REF!='Data entry'!$R28</xm:f>
            <x14:dxf>
              <fill>
                <patternFill>
                  <bgColor rgb="FFFFFF00"/>
                </patternFill>
              </fill>
            </x14:dxf>
          </x14:cfRule>
          <xm:sqref>BP71:CC71</xm:sqref>
        </x14:conditionalFormatting>
        <x14:conditionalFormatting xmlns:xm="http://schemas.microsoft.com/office/excel/2006/main">
          <x14:cfRule type="expression" priority="4885135" id="{A4FF40DD-0B6A-4608-9412-4FEFCD17F66F}">
            <xm:f>#REF!='Data entry'!$R28</xm:f>
            <x14:dxf>
              <fill>
                <patternFill>
                  <bgColor rgb="FFFF0000"/>
                </patternFill>
              </fill>
            </x14:dxf>
          </x14:cfRule>
          <xm:sqref>CB72:CC72</xm:sqref>
        </x14:conditionalFormatting>
        <x14:conditionalFormatting xmlns:xm="http://schemas.microsoft.com/office/excel/2006/main">
          <x14:cfRule type="expression" priority="4885281" id="{46CAF980-4282-465F-AA0D-45DF9F1FDA80}">
            <xm:f>#REF!='Data entry'!$R29</xm:f>
            <x14:dxf>
              <fill>
                <patternFill>
                  <bgColor rgb="FFFFFF00"/>
                </patternFill>
              </fill>
            </x14:dxf>
          </x14:cfRule>
          <xm:sqref>BP74:CC74</xm:sqref>
        </x14:conditionalFormatting>
        <x14:conditionalFormatting xmlns:xm="http://schemas.microsoft.com/office/excel/2006/main">
          <x14:cfRule type="expression" priority="4885282" id="{A4FF40DD-0B6A-4608-9412-4FEFCD17F66F}">
            <xm:f>#REF!='Data entry'!$R29</xm:f>
            <x14:dxf>
              <fill>
                <patternFill>
                  <bgColor rgb="FFFF0000"/>
                </patternFill>
              </fill>
            </x14:dxf>
          </x14:cfRule>
          <xm:sqref>CB75:CC75</xm:sqref>
        </x14:conditionalFormatting>
        <x14:conditionalFormatting xmlns:xm="http://schemas.microsoft.com/office/excel/2006/main">
          <x14:cfRule type="expression" priority="4885428" id="{46CAF980-4282-465F-AA0D-45DF9F1FDA80}">
            <xm:f>#REF!='Data entry'!$R30</xm:f>
            <x14:dxf>
              <fill>
                <patternFill>
                  <bgColor rgb="FFFFFF00"/>
                </patternFill>
              </fill>
            </x14:dxf>
          </x14:cfRule>
          <xm:sqref>BP77:CC77</xm:sqref>
        </x14:conditionalFormatting>
        <x14:conditionalFormatting xmlns:xm="http://schemas.microsoft.com/office/excel/2006/main">
          <x14:cfRule type="expression" priority="4885429" id="{A4FF40DD-0B6A-4608-9412-4FEFCD17F66F}">
            <xm:f>#REF!='Data entry'!$R30</xm:f>
            <x14:dxf>
              <fill>
                <patternFill>
                  <bgColor rgb="FFFF0000"/>
                </patternFill>
              </fill>
            </x14:dxf>
          </x14:cfRule>
          <xm:sqref>CB78:CC78</xm:sqref>
        </x14:conditionalFormatting>
        <x14:conditionalFormatting xmlns:xm="http://schemas.microsoft.com/office/excel/2006/main">
          <x14:cfRule type="expression" priority="4885575" id="{46CAF980-4282-465F-AA0D-45DF9F1FDA80}">
            <xm:f>#REF!='Data entry'!$R31</xm:f>
            <x14:dxf>
              <fill>
                <patternFill>
                  <bgColor rgb="FFFFFF00"/>
                </patternFill>
              </fill>
            </x14:dxf>
          </x14:cfRule>
          <xm:sqref>BP80:CC80</xm:sqref>
        </x14:conditionalFormatting>
        <x14:conditionalFormatting xmlns:xm="http://schemas.microsoft.com/office/excel/2006/main">
          <x14:cfRule type="expression" priority="4885576" id="{A4FF40DD-0B6A-4608-9412-4FEFCD17F66F}">
            <xm:f>#REF!='Data entry'!$R31</xm:f>
            <x14:dxf>
              <fill>
                <patternFill>
                  <bgColor rgb="FFFF0000"/>
                </patternFill>
              </fill>
            </x14:dxf>
          </x14:cfRule>
          <xm:sqref>CB81:CC81</xm:sqref>
        </x14:conditionalFormatting>
        <x14:conditionalFormatting xmlns:xm="http://schemas.microsoft.com/office/excel/2006/main">
          <x14:cfRule type="expression" priority="4885722" id="{46CAF980-4282-465F-AA0D-45DF9F1FDA80}">
            <xm:f>#REF!='Data entry'!$R32</xm:f>
            <x14:dxf>
              <fill>
                <patternFill>
                  <bgColor rgb="FFFFFF00"/>
                </patternFill>
              </fill>
            </x14:dxf>
          </x14:cfRule>
          <xm:sqref>BP83:CC83</xm:sqref>
        </x14:conditionalFormatting>
        <x14:conditionalFormatting xmlns:xm="http://schemas.microsoft.com/office/excel/2006/main">
          <x14:cfRule type="expression" priority="4885723" id="{A4FF40DD-0B6A-4608-9412-4FEFCD17F66F}">
            <xm:f>#REF!='Data entry'!$R32</xm:f>
            <x14:dxf>
              <fill>
                <patternFill>
                  <bgColor rgb="FFFF0000"/>
                </patternFill>
              </fill>
            </x14:dxf>
          </x14:cfRule>
          <xm:sqref>CB84:CC84</xm:sqref>
        </x14:conditionalFormatting>
        <x14:conditionalFormatting xmlns:xm="http://schemas.microsoft.com/office/excel/2006/main">
          <x14:cfRule type="expression" priority="4885869" id="{46CAF980-4282-465F-AA0D-45DF9F1FDA80}">
            <xm:f>#REF!='Data entry'!$R33</xm:f>
            <x14:dxf>
              <fill>
                <patternFill>
                  <bgColor rgb="FFFFFF00"/>
                </patternFill>
              </fill>
            </x14:dxf>
          </x14:cfRule>
          <xm:sqref>BP86:CC86</xm:sqref>
        </x14:conditionalFormatting>
        <x14:conditionalFormatting xmlns:xm="http://schemas.microsoft.com/office/excel/2006/main">
          <x14:cfRule type="expression" priority="4885870" id="{A4FF40DD-0B6A-4608-9412-4FEFCD17F66F}">
            <xm:f>#REF!='Data entry'!$R33</xm:f>
            <x14:dxf>
              <fill>
                <patternFill>
                  <bgColor rgb="FFFF0000"/>
                </patternFill>
              </fill>
            </x14:dxf>
          </x14:cfRule>
          <xm:sqref>CB87:CC87</xm:sqref>
        </x14:conditionalFormatting>
        <x14:conditionalFormatting xmlns:xm="http://schemas.microsoft.com/office/excel/2006/main">
          <x14:cfRule type="expression" priority="4886016" id="{46CAF980-4282-465F-AA0D-45DF9F1FDA80}">
            <xm:f>#REF!='Data entry'!$R34</xm:f>
            <x14:dxf>
              <fill>
                <patternFill>
                  <bgColor rgb="FFFFFF00"/>
                </patternFill>
              </fill>
            </x14:dxf>
          </x14:cfRule>
          <xm:sqref>BP89:CC89</xm:sqref>
        </x14:conditionalFormatting>
        <x14:conditionalFormatting xmlns:xm="http://schemas.microsoft.com/office/excel/2006/main">
          <x14:cfRule type="expression" priority="4886017" id="{A4FF40DD-0B6A-4608-9412-4FEFCD17F66F}">
            <xm:f>#REF!='Data entry'!$R34</xm:f>
            <x14:dxf>
              <fill>
                <patternFill>
                  <bgColor rgb="FFFF0000"/>
                </patternFill>
              </fill>
            </x14:dxf>
          </x14:cfRule>
          <xm:sqref>CB90:CC90</xm:sqref>
        </x14:conditionalFormatting>
        <x14:conditionalFormatting xmlns:xm="http://schemas.microsoft.com/office/excel/2006/main">
          <x14:cfRule type="expression" priority="4886163" id="{46CAF980-4282-465F-AA0D-45DF9F1FDA80}">
            <xm:f>#REF!='Data entry'!$R35</xm:f>
            <x14:dxf>
              <fill>
                <patternFill>
                  <bgColor rgb="FFFFFF00"/>
                </patternFill>
              </fill>
            </x14:dxf>
          </x14:cfRule>
          <xm:sqref>BP92:CC92</xm:sqref>
        </x14:conditionalFormatting>
        <x14:conditionalFormatting xmlns:xm="http://schemas.microsoft.com/office/excel/2006/main">
          <x14:cfRule type="expression" priority="4886164" id="{A4FF40DD-0B6A-4608-9412-4FEFCD17F66F}">
            <xm:f>#REF!='Data entry'!$R35</xm:f>
            <x14:dxf>
              <fill>
                <patternFill>
                  <bgColor rgb="FFFF0000"/>
                </patternFill>
              </fill>
            </x14:dxf>
          </x14:cfRule>
          <xm:sqref>CB93:CC93</xm:sqref>
        </x14:conditionalFormatting>
        <x14:conditionalFormatting xmlns:xm="http://schemas.microsoft.com/office/excel/2006/main">
          <x14:cfRule type="expression" priority="4886310" id="{46CAF980-4282-465F-AA0D-45DF9F1FDA80}">
            <xm:f>#REF!='Data entry'!$R36</xm:f>
            <x14:dxf>
              <fill>
                <patternFill>
                  <bgColor rgb="FFFFFF00"/>
                </patternFill>
              </fill>
            </x14:dxf>
          </x14:cfRule>
          <xm:sqref>BP95:CC95</xm:sqref>
        </x14:conditionalFormatting>
        <x14:conditionalFormatting xmlns:xm="http://schemas.microsoft.com/office/excel/2006/main">
          <x14:cfRule type="expression" priority="4886311" id="{A4FF40DD-0B6A-4608-9412-4FEFCD17F66F}">
            <xm:f>#REF!='Data entry'!$R36</xm:f>
            <x14:dxf>
              <fill>
                <patternFill>
                  <bgColor rgb="FFFF0000"/>
                </patternFill>
              </fill>
            </x14:dxf>
          </x14:cfRule>
          <xm:sqref>CB96:CC96</xm:sqref>
        </x14:conditionalFormatting>
        <x14:conditionalFormatting xmlns:xm="http://schemas.microsoft.com/office/excel/2006/main">
          <x14:cfRule type="expression" priority="4886457" id="{46CAF980-4282-465F-AA0D-45DF9F1FDA80}">
            <xm:f>#REF!='Data entry'!$R37</xm:f>
            <x14:dxf>
              <fill>
                <patternFill>
                  <bgColor rgb="FFFFFF00"/>
                </patternFill>
              </fill>
            </x14:dxf>
          </x14:cfRule>
          <xm:sqref>BP98:CC98</xm:sqref>
        </x14:conditionalFormatting>
        <x14:conditionalFormatting xmlns:xm="http://schemas.microsoft.com/office/excel/2006/main">
          <x14:cfRule type="expression" priority="4886458" id="{A4FF40DD-0B6A-4608-9412-4FEFCD17F66F}">
            <xm:f>#REF!='Data entry'!$R37</xm:f>
            <x14:dxf>
              <fill>
                <patternFill>
                  <bgColor rgb="FFFF0000"/>
                </patternFill>
              </fill>
            </x14:dxf>
          </x14:cfRule>
          <xm:sqref>CB99:CC99</xm:sqref>
        </x14:conditionalFormatting>
        <x14:conditionalFormatting xmlns:xm="http://schemas.microsoft.com/office/excel/2006/main">
          <x14:cfRule type="expression" priority="4886604" id="{46CAF980-4282-465F-AA0D-45DF9F1FDA80}">
            <xm:f>#REF!='Data entry'!$R38</xm:f>
            <x14:dxf>
              <fill>
                <patternFill>
                  <bgColor rgb="FFFFFF00"/>
                </patternFill>
              </fill>
            </x14:dxf>
          </x14:cfRule>
          <xm:sqref>BP101:CC101</xm:sqref>
        </x14:conditionalFormatting>
        <x14:conditionalFormatting xmlns:xm="http://schemas.microsoft.com/office/excel/2006/main">
          <x14:cfRule type="expression" priority="4886605" id="{A4FF40DD-0B6A-4608-9412-4FEFCD17F66F}">
            <xm:f>#REF!='Data entry'!$R38</xm:f>
            <x14:dxf>
              <fill>
                <patternFill>
                  <bgColor rgb="FFFF0000"/>
                </patternFill>
              </fill>
            </x14:dxf>
          </x14:cfRule>
          <xm:sqref>CB102:CC102</xm:sqref>
        </x14:conditionalFormatting>
        <x14:conditionalFormatting xmlns:xm="http://schemas.microsoft.com/office/excel/2006/main">
          <x14:cfRule type="expression" priority="4886751" id="{46CAF980-4282-465F-AA0D-45DF9F1FDA80}">
            <xm:f>#REF!='Data entry'!$R39</xm:f>
            <x14:dxf>
              <fill>
                <patternFill>
                  <bgColor rgb="FFFFFF00"/>
                </patternFill>
              </fill>
            </x14:dxf>
          </x14:cfRule>
          <xm:sqref>BP104:CC104</xm:sqref>
        </x14:conditionalFormatting>
        <x14:conditionalFormatting xmlns:xm="http://schemas.microsoft.com/office/excel/2006/main">
          <x14:cfRule type="expression" priority="4886752" id="{A4FF40DD-0B6A-4608-9412-4FEFCD17F66F}">
            <xm:f>#REF!='Data entry'!$R39</xm:f>
            <x14:dxf>
              <fill>
                <patternFill>
                  <bgColor rgb="FFFF0000"/>
                </patternFill>
              </fill>
            </x14:dxf>
          </x14:cfRule>
          <xm:sqref>CB105:CC105</xm:sqref>
        </x14:conditionalFormatting>
        <x14:conditionalFormatting xmlns:xm="http://schemas.microsoft.com/office/excel/2006/main">
          <x14:cfRule type="expression" priority="4886898" id="{46CAF980-4282-465F-AA0D-45DF9F1FDA80}">
            <xm:f>#REF!='Data entry'!$R40</xm:f>
            <x14:dxf>
              <fill>
                <patternFill>
                  <bgColor rgb="FFFFFF00"/>
                </patternFill>
              </fill>
            </x14:dxf>
          </x14:cfRule>
          <xm:sqref>BP107:CC107</xm:sqref>
        </x14:conditionalFormatting>
        <x14:conditionalFormatting xmlns:xm="http://schemas.microsoft.com/office/excel/2006/main">
          <x14:cfRule type="expression" priority="4886899" id="{A4FF40DD-0B6A-4608-9412-4FEFCD17F66F}">
            <xm:f>#REF!='Data entry'!$R40</xm:f>
            <x14:dxf>
              <fill>
                <patternFill>
                  <bgColor rgb="FFFF0000"/>
                </patternFill>
              </fill>
            </x14:dxf>
          </x14:cfRule>
          <xm:sqref>CB108:CC108</xm:sqref>
        </x14:conditionalFormatting>
        <x14:conditionalFormatting xmlns:xm="http://schemas.microsoft.com/office/excel/2006/main">
          <x14:cfRule type="expression" priority="4887045" id="{46CAF980-4282-465F-AA0D-45DF9F1FDA80}">
            <xm:f>#REF!='Data entry'!$R41</xm:f>
            <x14:dxf>
              <fill>
                <patternFill>
                  <bgColor rgb="FFFFFF00"/>
                </patternFill>
              </fill>
            </x14:dxf>
          </x14:cfRule>
          <xm:sqref>BP110:CC110</xm:sqref>
        </x14:conditionalFormatting>
        <x14:conditionalFormatting xmlns:xm="http://schemas.microsoft.com/office/excel/2006/main">
          <x14:cfRule type="expression" priority="4887046" id="{A4FF40DD-0B6A-4608-9412-4FEFCD17F66F}">
            <xm:f>#REF!='Data entry'!$R41</xm:f>
            <x14:dxf>
              <fill>
                <patternFill>
                  <bgColor rgb="FFFF0000"/>
                </patternFill>
              </fill>
            </x14:dxf>
          </x14:cfRule>
          <xm:sqref>CB111:CC111</xm:sqref>
        </x14:conditionalFormatting>
        <x14:conditionalFormatting xmlns:xm="http://schemas.microsoft.com/office/excel/2006/main">
          <x14:cfRule type="expression" priority="4887192" id="{46CAF980-4282-465F-AA0D-45DF9F1FDA80}">
            <xm:f>#REF!='Data entry'!$R42</xm:f>
            <x14:dxf>
              <fill>
                <patternFill>
                  <bgColor rgb="FFFFFF00"/>
                </patternFill>
              </fill>
            </x14:dxf>
          </x14:cfRule>
          <xm:sqref>BP113:CC113</xm:sqref>
        </x14:conditionalFormatting>
        <x14:conditionalFormatting xmlns:xm="http://schemas.microsoft.com/office/excel/2006/main">
          <x14:cfRule type="expression" priority="4887193" id="{A4FF40DD-0B6A-4608-9412-4FEFCD17F66F}">
            <xm:f>#REF!='Data entry'!$R42</xm:f>
            <x14:dxf>
              <fill>
                <patternFill>
                  <bgColor rgb="FFFF0000"/>
                </patternFill>
              </fill>
            </x14:dxf>
          </x14:cfRule>
          <xm:sqref>CB114:CC114</xm:sqref>
        </x14:conditionalFormatting>
        <x14:conditionalFormatting xmlns:xm="http://schemas.microsoft.com/office/excel/2006/main">
          <x14:cfRule type="expression" priority="4887339" id="{46CAF980-4282-465F-AA0D-45DF9F1FDA80}">
            <xm:f>#REF!='Data entry'!$R43</xm:f>
            <x14:dxf>
              <fill>
                <patternFill>
                  <bgColor rgb="FFFFFF00"/>
                </patternFill>
              </fill>
            </x14:dxf>
          </x14:cfRule>
          <xm:sqref>BP116:CC116</xm:sqref>
        </x14:conditionalFormatting>
        <x14:conditionalFormatting xmlns:xm="http://schemas.microsoft.com/office/excel/2006/main">
          <x14:cfRule type="expression" priority="4887340" id="{A4FF40DD-0B6A-4608-9412-4FEFCD17F66F}">
            <xm:f>#REF!='Data entry'!$R43</xm:f>
            <x14:dxf>
              <fill>
                <patternFill>
                  <bgColor rgb="FFFF0000"/>
                </patternFill>
              </fill>
            </x14:dxf>
          </x14:cfRule>
          <xm:sqref>CB117:CC117</xm:sqref>
        </x14:conditionalFormatting>
        <x14:conditionalFormatting xmlns:xm="http://schemas.microsoft.com/office/excel/2006/main">
          <x14:cfRule type="expression" priority="4887486" id="{46CAF980-4282-465F-AA0D-45DF9F1FDA80}">
            <xm:f>#REF!='Data entry'!$R44</xm:f>
            <x14:dxf>
              <fill>
                <patternFill>
                  <bgColor rgb="FFFFFF00"/>
                </patternFill>
              </fill>
            </x14:dxf>
          </x14:cfRule>
          <xm:sqref>BP119:CC119</xm:sqref>
        </x14:conditionalFormatting>
        <x14:conditionalFormatting xmlns:xm="http://schemas.microsoft.com/office/excel/2006/main">
          <x14:cfRule type="expression" priority="4887487" id="{A4FF40DD-0B6A-4608-9412-4FEFCD17F66F}">
            <xm:f>#REF!='Data entry'!$R44</xm:f>
            <x14:dxf>
              <fill>
                <patternFill>
                  <bgColor rgb="FFFF0000"/>
                </patternFill>
              </fill>
            </x14:dxf>
          </x14:cfRule>
          <xm:sqref>CB120:CC120</xm:sqref>
        </x14:conditionalFormatting>
        <x14:conditionalFormatting xmlns:xm="http://schemas.microsoft.com/office/excel/2006/main">
          <x14:cfRule type="expression" priority="4887633" id="{46CAF980-4282-465F-AA0D-45DF9F1FDA80}">
            <xm:f>#REF!='Data entry'!$R45</xm:f>
            <x14:dxf>
              <fill>
                <patternFill>
                  <bgColor rgb="FFFFFF00"/>
                </patternFill>
              </fill>
            </x14:dxf>
          </x14:cfRule>
          <xm:sqref>BP122:CC122</xm:sqref>
        </x14:conditionalFormatting>
        <x14:conditionalFormatting xmlns:xm="http://schemas.microsoft.com/office/excel/2006/main">
          <x14:cfRule type="expression" priority="4887634" id="{A4FF40DD-0B6A-4608-9412-4FEFCD17F66F}">
            <xm:f>#REF!='Data entry'!$R45</xm:f>
            <x14:dxf>
              <fill>
                <patternFill>
                  <bgColor rgb="FFFF0000"/>
                </patternFill>
              </fill>
            </x14:dxf>
          </x14:cfRule>
          <xm:sqref>CB123:CC123</xm:sqref>
        </x14:conditionalFormatting>
        <x14:conditionalFormatting xmlns:xm="http://schemas.microsoft.com/office/excel/2006/main">
          <x14:cfRule type="expression" priority="4887780" id="{46CAF980-4282-465F-AA0D-45DF9F1FDA80}">
            <xm:f>#REF!='Data entry'!$R46</xm:f>
            <x14:dxf>
              <fill>
                <patternFill>
                  <bgColor rgb="FFFFFF00"/>
                </patternFill>
              </fill>
            </x14:dxf>
          </x14:cfRule>
          <xm:sqref>BP125:CC125</xm:sqref>
        </x14:conditionalFormatting>
        <x14:conditionalFormatting xmlns:xm="http://schemas.microsoft.com/office/excel/2006/main">
          <x14:cfRule type="expression" priority="4887781" id="{A4FF40DD-0B6A-4608-9412-4FEFCD17F66F}">
            <xm:f>#REF!='Data entry'!$R46</xm:f>
            <x14:dxf>
              <fill>
                <patternFill>
                  <bgColor rgb="FFFF0000"/>
                </patternFill>
              </fill>
            </x14:dxf>
          </x14:cfRule>
          <xm:sqref>CB126:CC126</xm:sqref>
        </x14:conditionalFormatting>
        <x14:conditionalFormatting xmlns:xm="http://schemas.microsoft.com/office/excel/2006/main">
          <x14:cfRule type="expression" priority="4887927" id="{46CAF980-4282-465F-AA0D-45DF9F1FDA80}">
            <xm:f>#REF!='Data entry'!$R47</xm:f>
            <x14:dxf>
              <fill>
                <patternFill>
                  <bgColor rgb="FFFFFF00"/>
                </patternFill>
              </fill>
            </x14:dxf>
          </x14:cfRule>
          <xm:sqref>BP128:CC128</xm:sqref>
        </x14:conditionalFormatting>
        <x14:conditionalFormatting xmlns:xm="http://schemas.microsoft.com/office/excel/2006/main">
          <x14:cfRule type="expression" priority="4887928" id="{A4FF40DD-0B6A-4608-9412-4FEFCD17F66F}">
            <xm:f>#REF!='Data entry'!$R47</xm:f>
            <x14:dxf>
              <fill>
                <patternFill>
                  <bgColor rgb="FFFF0000"/>
                </patternFill>
              </fill>
            </x14:dxf>
          </x14:cfRule>
          <xm:sqref>CB129:CC129</xm:sqref>
        </x14:conditionalFormatting>
        <x14:conditionalFormatting xmlns:xm="http://schemas.microsoft.com/office/excel/2006/main">
          <x14:cfRule type="expression" priority="4888074" id="{46CAF980-4282-465F-AA0D-45DF9F1FDA80}">
            <xm:f>#REF!='Data entry'!$R48</xm:f>
            <x14:dxf>
              <fill>
                <patternFill>
                  <bgColor rgb="FFFFFF00"/>
                </patternFill>
              </fill>
            </x14:dxf>
          </x14:cfRule>
          <xm:sqref>BP131:CC131</xm:sqref>
        </x14:conditionalFormatting>
        <x14:conditionalFormatting xmlns:xm="http://schemas.microsoft.com/office/excel/2006/main">
          <x14:cfRule type="expression" priority="4888075" id="{A4FF40DD-0B6A-4608-9412-4FEFCD17F66F}">
            <xm:f>#REF!='Data entry'!$R48</xm:f>
            <x14:dxf>
              <fill>
                <patternFill>
                  <bgColor rgb="FFFF0000"/>
                </patternFill>
              </fill>
            </x14:dxf>
          </x14:cfRule>
          <xm:sqref>CB132:CC132</xm:sqref>
        </x14:conditionalFormatting>
        <x14:conditionalFormatting xmlns:xm="http://schemas.microsoft.com/office/excel/2006/main">
          <x14:cfRule type="expression" priority="4888221" id="{46CAF980-4282-465F-AA0D-45DF9F1FDA80}">
            <xm:f>#REF!='Data entry'!$R49</xm:f>
            <x14:dxf>
              <fill>
                <patternFill>
                  <bgColor rgb="FFFFFF00"/>
                </patternFill>
              </fill>
            </x14:dxf>
          </x14:cfRule>
          <xm:sqref>BP134:CC134</xm:sqref>
        </x14:conditionalFormatting>
        <x14:conditionalFormatting xmlns:xm="http://schemas.microsoft.com/office/excel/2006/main">
          <x14:cfRule type="expression" priority="4888222" id="{A4FF40DD-0B6A-4608-9412-4FEFCD17F66F}">
            <xm:f>#REF!='Data entry'!$R49</xm:f>
            <x14:dxf>
              <fill>
                <patternFill>
                  <bgColor rgb="FFFF0000"/>
                </patternFill>
              </fill>
            </x14:dxf>
          </x14:cfRule>
          <xm:sqref>CB135:CC135</xm:sqref>
        </x14:conditionalFormatting>
        <x14:conditionalFormatting xmlns:xm="http://schemas.microsoft.com/office/excel/2006/main">
          <x14:cfRule type="expression" priority="4888368" id="{46CAF980-4282-465F-AA0D-45DF9F1FDA80}">
            <xm:f>#REF!='Data entry'!$R50</xm:f>
            <x14:dxf>
              <fill>
                <patternFill>
                  <bgColor rgb="FFFFFF00"/>
                </patternFill>
              </fill>
            </x14:dxf>
          </x14:cfRule>
          <xm:sqref>BP137:CC137</xm:sqref>
        </x14:conditionalFormatting>
        <x14:conditionalFormatting xmlns:xm="http://schemas.microsoft.com/office/excel/2006/main">
          <x14:cfRule type="expression" priority="4888369" id="{A4FF40DD-0B6A-4608-9412-4FEFCD17F66F}">
            <xm:f>#REF!='Data entry'!$R50</xm:f>
            <x14:dxf>
              <fill>
                <patternFill>
                  <bgColor rgb="FFFF0000"/>
                </patternFill>
              </fill>
            </x14:dxf>
          </x14:cfRule>
          <xm:sqref>CB138:CC138</xm:sqref>
        </x14:conditionalFormatting>
        <x14:conditionalFormatting xmlns:xm="http://schemas.microsoft.com/office/excel/2006/main">
          <x14:cfRule type="expression" priority="4888515" id="{46CAF980-4282-465F-AA0D-45DF9F1FDA80}">
            <xm:f>#REF!='Data entry'!$R51</xm:f>
            <x14:dxf>
              <fill>
                <patternFill>
                  <bgColor rgb="FFFFFF00"/>
                </patternFill>
              </fill>
            </x14:dxf>
          </x14:cfRule>
          <xm:sqref>BP140:CC140</xm:sqref>
        </x14:conditionalFormatting>
        <x14:conditionalFormatting xmlns:xm="http://schemas.microsoft.com/office/excel/2006/main">
          <x14:cfRule type="expression" priority="4888516" id="{A4FF40DD-0B6A-4608-9412-4FEFCD17F66F}">
            <xm:f>#REF!='Data entry'!$R51</xm:f>
            <x14:dxf>
              <fill>
                <patternFill>
                  <bgColor rgb="FFFF0000"/>
                </patternFill>
              </fill>
            </x14:dxf>
          </x14:cfRule>
          <xm:sqref>CB141:CC141</xm:sqref>
        </x14:conditionalFormatting>
        <x14:conditionalFormatting xmlns:xm="http://schemas.microsoft.com/office/excel/2006/main">
          <x14:cfRule type="expression" priority="4888662" id="{46CAF980-4282-465F-AA0D-45DF9F1FDA80}">
            <xm:f>#REF!='Data entry'!$R52</xm:f>
            <x14:dxf>
              <fill>
                <patternFill>
                  <bgColor rgb="FFFFFF00"/>
                </patternFill>
              </fill>
            </x14:dxf>
          </x14:cfRule>
          <xm:sqref>BP143:CC143</xm:sqref>
        </x14:conditionalFormatting>
        <x14:conditionalFormatting xmlns:xm="http://schemas.microsoft.com/office/excel/2006/main">
          <x14:cfRule type="expression" priority="4888663" id="{A4FF40DD-0B6A-4608-9412-4FEFCD17F66F}">
            <xm:f>#REF!='Data entry'!$R52</xm:f>
            <x14:dxf>
              <fill>
                <patternFill>
                  <bgColor rgb="FFFF0000"/>
                </patternFill>
              </fill>
            </x14:dxf>
          </x14:cfRule>
          <xm:sqref>CB144:CC144</xm:sqref>
        </x14:conditionalFormatting>
        <x14:conditionalFormatting xmlns:xm="http://schemas.microsoft.com/office/excel/2006/main">
          <x14:cfRule type="expression" priority="4888809" id="{46CAF980-4282-465F-AA0D-45DF9F1FDA80}">
            <xm:f>#REF!='Data entry'!$R53</xm:f>
            <x14:dxf>
              <fill>
                <patternFill>
                  <bgColor rgb="FFFFFF00"/>
                </patternFill>
              </fill>
            </x14:dxf>
          </x14:cfRule>
          <xm:sqref>BP146:CC146</xm:sqref>
        </x14:conditionalFormatting>
        <x14:conditionalFormatting xmlns:xm="http://schemas.microsoft.com/office/excel/2006/main">
          <x14:cfRule type="expression" priority="4888810" id="{A4FF40DD-0B6A-4608-9412-4FEFCD17F66F}">
            <xm:f>#REF!='Data entry'!$R53</xm:f>
            <x14:dxf>
              <fill>
                <patternFill>
                  <bgColor rgb="FFFF0000"/>
                </patternFill>
              </fill>
            </x14:dxf>
          </x14:cfRule>
          <xm:sqref>CB147:CC147</xm:sqref>
        </x14:conditionalFormatting>
        <x14:conditionalFormatting xmlns:xm="http://schemas.microsoft.com/office/excel/2006/main">
          <x14:cfRule type="expression" priority="4888956" id="{46CAF980-4282-465F-AA0D-45DF9F1FDA80}">
            <xm:f>#REF!='Data entry'!$R54</xm:f>
            <x14:dxf>
              <fill>
                <patternFill>
                  <bgColor rgb="FFFFFF00"/>
                </patternFill>
              </fill>
            </x14:dxf>
          </x14:cfRule>
          <xm:sqref>BP149:CC149</xm:sqref>
        </x14:conditionalFormatting>
        <x14:conditionalFormatting xmlns:xm="http://schemas.microsoft.com/office/excel/2006/main">
          <x14:cfRule type="expression" priority="4888957" id="{A4FF40DD-0B6A-4608-9412-4FEFCD17F66F}">
            <xm:f>#REF!='Data entry'!$R54</xm:f>
            <x14:dxf>
              <fill>
                <patternFill>
                  <bgColor rgb="FFFF0000"/>
                </patternFill>
              </fill>
            </x14:dxf>
          </x14:cfRule>
          <xm:sqref>CB150:CC150</xm:sqref>
        </x14:conditionalFormatting>
        <x14:conditionalFormatting xmlns:xm="http://schemas.microsoft.com/office/excel/2006/main">
          <x14:cfRule type="expression" priority="4889103" id="{46CAF980-4282-465F-AA0D-45DF9F1FDA80}">
            <xm:f>#REF!='Data entry'!$R55</xm:f>
            <x14:dxf>
              <fill>
                <patternFill>
                  <bgColor rgb="FFFFFF00"/>
                </patternFill>
              </fill>
            </x14:dxf>
          </x14:cfRule>
          <xm:sqref>BP152:CC152</xm:sqref>
        </x14:conditionalFormatting>
        <x14:conditionalFormatting xmlns:xm="http://schemas.microsoft.com/office/excel/2006/main">
          <x14:cfRule type="expression" priority="4889104" id="{A4FF40DD-0B6A-4608-9412-4FEFCD17F66F}">
            <xm:f>#REF!='Data entry'!$R55</xm:f>
            <x14:dxf>
              <fill>
                <patternFill>
                  <bgColor rgb="FFFF0000"/>
                </patternFill>
              </fill>
            </x14:dxf>
          </x14:cfRule>
          <xm:sqref>CB153:CC153</xm:sqref>
        </x14:conditionalFormatting>
        <x14:conditionalFormatting xmlns:xm="http://schemas.microsoft.com/office/excel/2006/main">
          <x14:cfRule type="expression" priority="4889250" id="{46CAF980-4282-465F-AA0D-45DF9F1FDA80}">
            <xm:f>#REF!='Data entry'!$R56</xm:f>
            <x14:dxf>
              <fill>
                <patternFill>
                  <bgColor rgb="FFFFFF00"/>
                </patternFill>
              </fill>
            </x14:dxf>
          </x14:cfRule>
          <xm:sqref>BP155:CC155</xm:sqref>
        </x14:conditionalFormatting>
        <x14:conditionalFormatting xmlns:xm="http://schemas.microsoft.com/office/excel/2006/main">
          <x14:cfRule type="expression" priority="4889251" id="{A4FF40DD-0B6A-4608-9412-4FEFCD17F66F}">
            <xm:f>#REF!='Data entry'!$R56</xm:f>
            <x14:dxf>
              <fill>
                <patternFill>
                  <bgColor rgb="FFFF0000"/>
                </patternFill>
              </fill>
            </x14:dxf>
          </x14:cfRule>
          <xm:sqref>CB156:CC156</xm:sqref>
        </x14:conditionalFormatting>
        <x14:conditionalFormatting xmlns:xm="http://schemas.microsoft.com/office/excel/2006/main">
          <x14:cfRule type="expression" priority="4889397" id="{46CAF980-4282-465F-AA0D-45DF9F1FDA80}">
            <xm:f>#REF!='Data entry'!$R57</xm:f>
            <x14:dxf>
              <fill>
                <patternFill>
                  <bgColor rgb="FFFFFF00"/>
                </patternFill>
              </fill>
            </x14:dxf>
          </x14:cfRule>
          <xm:sqref>BP158:CC158</xm:sqref>
        </x14:conditionalFormatting>
        <x14:conditionalFormatting xmlns:xm="http://schemas.microsoft.com/office/excel/2006/main">
          <x14:cfRule type="expression" priority="4889398" id="{A4FF40DD-0B6A-4608-9412-4FEFCD17F66F}">
            <xm:f>#REF!='Data entry'!$R57</xm:f>
            <x14:dxf>
              <fill>
                <patternFill>
                  <bgColor rgb="FFFF0000"/>
                </patternFill>
              </fill>
            </x14:dxf>
          </x14:cfRule>
          <xm:sqref>CB159:CC159</xm:sqref>
        </x14:conditionalFormatting>
        <x14:conditionalFormatting xmlns:xm="http://schemas.microsoft.com/office/excel/2006/main">
          <x14:cfRule type="expression" priority="4889544" id="{46CAF980-4282-465F-AA0D-45DF9F1FDA80}">
            <xm:f>#REF!='Data entry'!$R58</xm:f>
            <x14:dxf>
              <fill>
                <patternFill>
                  <bgColor rgb="FFFFFF00"/>
                </patternFill>
              </fill>
            </x14:dxf>
          </x14:cfRule>
          <xm:sqref>BP161:CC161</xm:sqref>
        </x14:conditionalFormatting>
        <x14:conditionalFormatting xmlns:xm="http://schemas.microsoft.com/office/excel/2006/main">
          <x14:cfRule type="expression" priority="4889545" id="{A4FF40DD-0B6A-4608-9412-4FEFCD17F66F}">
            <xm:f>#REF!='Data entry'!$R58</xm:f>
            <x14:dxf>
              <fill>
                <patternFill>
                  <bgColor rgb="FFFF0000"/>
                </patternFill>
              </fill>
            </x14:dxf>
          </x14:cfRule>
          <xm:sqref>CB162:CC162</xm:sqref>
        </x14:conditionalFormatting>
        <x14:conditionalFormatting xmlns:xm="http://schemas.microsoft.com/office/excel/2006/main">
          <x14:cfRule type="expression" priority="4889691" id="{46CAF980-4282-465F-AA0D-45DF9F1FDA80}">
            <xm:f>#REF!='Data entry'!$R59</xm:f>
            <x14:dxf>
              <fill>
                <patternFill>
                  <bgColor rgb="FFFFFF00"/>
                </patternFill>
              </fill>
            </x14:dxf>
          </x14:cfRule>
          <xm:sqref>BP164:CC164</xm:sqref>
        </x14:conditionalFormatting>
        <x14:conditionalFormatting xmlns:xm="http://schemas.microsoft.com/office/excel/2006/main">
          <x14:cfRule type="expression" priority="4889692" id="{A4FF40DD-0B6A-4608-9412-4FEFCD17F66F}">
            <xm:f>#REF!='Data entry'!$R59</xm:f>
            <x14:dxf>
              <fill>
                <patternFill>
                  <bgColor rgb="FFFF0000"/>
                </patternFill>
              </fill>
            </x14:dxf>
          </x14:cfRule>
          <xm:sqref>CB165:CC165</xm:sqref>
        </x14:conditionalFormatting>
        <x14:conditionalFormatting xmlns:xm="http://schemas.microsoft.com/office/excel/2006/main">
          <x14:cfRule type="expression" priority="4889838" id="{46CAF980-4282-465F-AA0D-45DF9F1FDA80}">
            <xm:f>#REF!='Data entry'!$R60</xm:f>
            <x14:dxf>
              <fill>
                <patternFill>
                  <bgColor rgb="FFFFFF00"/>
                </patternFill>
              </fill>
            </x14:dxf>
          </x14:cfRule>
          <xm:sqref>BP167:CC167</xm:sqref>
        </x14:conditionalFormatting>
        <x14:conditionalFormatting xmlns:xm="http://schemas.microsoft.com/office/excel/2006/main">
          <x14:cfRule type="expression" priority="4889839" id="{A4FF40DD-0B6A-4608-9412-4FEFCD17F66F}">
            <xm:f>#REF!='Data entry'!$R60</xm:f>
            <x14:dxf>
              <fill>
                <patternFill>
                  <bgColor rgb="FFFF0000"/>
                </patternFill>
              </fill>
            </x14:dxf>
          </x14:cfRule>
          <xm:sqref>CB168:CC168</xm:sqref>
        </x14:conditionalFormatting>
        <x14:conditionalFormatting xmlns:xm="http://schemas.microsoft.com/office/excel/2006/main">
          <x14:cfRule type="expression" priority="4889985" id="{46CAF980-4282-465F-AA0D-45DF9F1FDA80}">
            <xm:f>#REF!='Data entry'!$R61</xm:f>
            <x14:dxf>
              <fill>
                <patternFill>
                  <bgColor rgb="FFFFFF00"/>
                </patternFill>
              </fill>
            </x14:dxf>
          </x14:cfRule>
          <xm:sqref>BP170:CC170</xm:sqref>
        </x14:conditionalFormatting>
        <x14:conditionalFormatting xmlns:xm="http://schemas.microsoft.com/office/excel/2006/main">
          <x14:cfRule type="expression" priority="4889986" id="{A4FF40DD-0B6A-4608-9412-4FEFCD17F66F}">
            <xm:f>#REF!='Data entry'!$R61</xm:f>
            <x14:dxf>
              <fill>
                <patternFill>
                  <bgColor rgb="FFFF0000"/>
                </patternFill>
              </fill>
            </x14:dxf>
          </x14:cfRule>
          <xm:sqref>CB171:CC171</xm:sqref>
        </x14:conditionalFormatting>
        <x14:conditionalFormatting xmlns:xm="http://schemas.microsoft.com/office/excel/2006/main">
          <x14:cfRule type="expression" priority="4890132" id="{46CAF980-4282-465F-AA0D-45DF9F1FDA80}">
            <xm:f>#REF!='Data entry'!$R62</xm:f>
            <x14:dxf>
              <fill>
                <patternFill>
                  <bgColor rgb="FFFFFF00"/>
                </patternFill>
              </fill>
            </x14:dxf>
          </x14:cfRule>
          <xm:sqref>BP173:CC173</xm:sqref>
        </x14:conditionalFormatting>
        <x14:conditionalFormatting xmlns:xm="http://schemas.microsoft.com/office/excel/2006/main">
          <x14:cfRule type="expression" priority="4890133" id="{A4FF40DD-0B6A-4608-9412-4FEFCD17F66F}">
            <xm:f>#REF!='Data entry'!$R62</xm:f>
            <x14:dxf>
              <fill>
                <patternFill>
                  <bgColor rgb="FFFF0000"/>
                </patternFill>
              </fill>
            </x14:dxf>
          </x14:cfRule>
          <xm:sqref>CB174:CC174</xm:sqref>
        </x14:conditionalFormatting>
        <x14:conditionalFormatting xmlns:xm="http://schemas.microsoft.com/office/excel/2006/main">
          <x14:cfRule type="expression" priority="4890279" id="{46CAF980-4282-465F-AA0D-45DF9F1FDA80}">
            <xm:f>#REF!='Data entry'!$R63</xm:f>
            <x14:dxf>
              <fill>
                <patternFill>
                  <bgColor rgb="FFFFFF00"/>
                </patternFill>
              </fill>
            </x14:dxf>
          </x14:cfRule>
          <xm:sqref>BP176:CC176</xm:sqref>
        </x14:conditionalFormatting>
        <x14:conditionalFormatting xmlns:xm="http://schemas.microsoft.com/office/excel/2006/main">
          <x14:cfRule type="expression" priority="4890280" id="{A4FF40DD-0B6A-4608-9412-4FEFCD17F66F}">
            <xm:f>#REF!='Data entry'!$R63</xm:f>
            <x14:dxf>
              <fill>
                <patternFill>
                  <bgColor rgb="FFFF0000"/>
                </patternFill>
              </fill>
            </x14:dxf>
          </x14:cfRule>
          <xm:sqref>CB177:CC177</xm:sqref>
        </x14:conditionalFormatting>
        <x14:conditionalFormatting xmlns:xm="http://schemas.microsoft.com/office/excel/2006/main">
          <x14:cfRule type="expression" priority="4890426" id="{46CAF980-4282-465F-AA0D-45DF9F1FDA80}">
            <xm:f>#REF!='Data entry'!$R64</xm:f>
            <x14:dxf>
              <fill>
                <patternFill>
                  <bgColor rgb="FFFFFF00"/>
                </patternFill>
              </fill>
            </x14:dxf>
          </x14:cfRule>
          <xm:sqref>BP179:CC179</xm:sqref>
        </x14:conditionalFormatting>
        <x14:conditionalFormatting xmlns:xm="http://schemas.microsoft.com/office/excel/2006/main">
          <x14:cfRule type="expression" priority="4890427" id="{A4FF40DD-0B6A-4608-9412-4FEFCD17F66F}">
            <xm:f>#REF!='Data entry'!$R64</xm:f>
            <x14:dxf>
              <fill>
                <patternFill>
                  <bgColor rgb="FFFF0000"/>
                </patternFill>
              </fill>
            </x14:dxf>
          </x14:cfRule>
          <xm:sqref>CB180:CC180</xm:sqref>
        </x14:conditionalFormatting>
        <x14:conditionalFormatting xmlns:xm="http://schemas.microsoft.com/office/excel/2006/main">
          <x14:cfRule type="expression" priority="4890573" id="{46CAF980-4282-465F-AA0D-45DF9F1FDA80}">
            <xm:f>#REF!='Data entry'!$R65</xm:f>
            <x14:dxf>
              <fill>
                <patternFill>
                  <bgColor rgb="FFFFFF00"/>
                </patternFill>
              </fill>
            </x14:dxf>
          </x14:cfRule>
          <xm:sqref>BP182:CC182</xm:sqref>
        </x14:conditionalFormatting>
        <x14:conditionalFormatting xmlns:xm="http://schemas.microsoft.com/office/excel/2006/main">
          <x14:cfRule type="expression" priority="4890574" id="{A4FF40DD-0B6A-4608-9412-4FEFCD17F66F}">
            <xm:f>#REF!='Data entry'!$R65</xm:f>
            <x14:dxf>
              <fill>
                <patternFill>
                  <bgColor rgb="FFFF0000"/>
                </patternFill>
              </fill>
            </x14:dxf>
          </x14:cfRule>
          <xm:sqref>CB183:CC183</xm:sqref>
        </x14:conditionalFormatting>
        <x14:conditionalFormatting xmlns:xm="http://schemas.microsoft.com/office/excel/2006/main">
          <x14:cfRule type="expression" priority="4890720" id="{46CAF980-4282-465F-AA0D-45DF9F1FDA80}">
            <xm:f>#REF!='Data entry'!$R66</xm:f>
            <x14:dxf>
              <fill>
                <patternFill>
                  <bgColor rgb="FFFFFF00"/>
                </patternFill>
              </fill>
            </x14:dxf>
          </x14:cfRule>
          <xm:sqref>BP185:CC185</xm:sqref>
        </x14:conditionalFormatting>
        <x14:conditionalFormatting xmlns:xm="http://schemas.microsoft.com/office/excel/2006/main">
          <x14:cfRule type="expression" priority="4890721" id="{A4FF40DD-0B6A-4608-9412-4FEFCD17F66F}">
            <xm:f>#REF!='Data entry'!$R66</xm:f>
            <x14:dxf>
              <fill>
                <patternFill>
                  <bgColor rgb="FFFF0000"/>
                </patternFill>
              </fill>
            </x14:dxf>
          </x14:cfRule>
          <xm:sqref>CB186:CC186</xm:sqref>
        </x14:conditionalFormatting>
        <x14:conditionalFormatting xmlns:xm="http://schemas.microsoft.com/office/excel/2006/main">
          <x14:cfRule type="expression" priority="4890867" id="{46CAF980-4282-465F-AA0D-45DF9F1FDA80}">
            <xm:f>#REF!='Data entry'!$R67</xm:f>
            <x14:dxf>
              <fill>
                <patternFill>
                  <bgColor rgb="FFFFFF00"/>
                </patternFill>
              </fill>
            </x14:dxf>
          </x14:cfRule>
          <xm:sqref>BP188:CC188</xm:sqref>
        </x14:conditionalFormatting>
        <x14:conditionalFormatting xmlns:xm="http://schemas.microsoft.com/office/excel/2006/main">
          <x14:cfRule type="expression" priority="4890868" id="{A4FF40DD-0B6A-4608-9412-4FEFCD17F66F}">
            <xm:f>#REF!='Data entry'!$R67</xm:f>
            <x14:dxf>
              <fill>
                <patternFill>
                  <bgColor rgb="FFFF0000"/>
                </patternFill>
              </fill>
            </x14:dxf>
          </x14:cfRule>
          <xm:sqref>CB189:CC189</xm:sqref>
        </x14:conditionalFormatting>
        <x14:conditionalFormatting xmlns:xm="http://schemas.microsoft.com/office/excel/2006/main">
          <x14:cfRule type="expression" priority="4891014" id="{46CAF980-4282-465F-AA0D-45DF9F1FDA80}">
            <xm:f>#REF!='Data entry'!$R68</xm:f>
            <x14:dxf>
              <fill>
                <patternFill>
                  <bgColor rgb="FFFFFF00"/>
                </patternFill>
              </fill>
            </x14:dxf>
          </x14:cfRule>
          <xm:sqref>BP191:CC191</xm:sqref>
        </x14:conditionalFormatting>
        <x14:conditionalFormatting xmlns:xm="http://schemas.microsoft.com/office/excel/2006/main">
          <x14:cfRule type="expression" priority="4891015" id="{A4FF40DD-0B6A-4608-9412-4FEFCD17F66F}">
            <xm:f>#REF!='Data entry'!$R68</xm:f>
            <x14:dxf>
              <fill>
                <patternFill>
                  <bgColor rgb="FFFF0000"/>
                </patternFill>
              </fill>
            </x14:dxf>
          </x14:cfRule>
          <xm:sqref>CB192:CC192</xm:sqref>
        </x14:conditionalFormatting>
        <x14:conditionalFormatting xmlns:xm="http://schemas.microsoft.com/office/excel/2006/main">
          <x14:cfRule type="expression" priority="4891161" id="{46CAF980-4282-465F-AA0D-45DF9F1FDA80}">
            <xm:f>#REF!='Data entry'!$R69</xm:f>
            <x14:dxf>
              <fill>
                <patternFill>
                  <bgColor rgb="FFFFFF00"/>
                </patternFill>
              </fill>
            </x14:dxf>
          </x14:cfRule>
          <xm:sqref>BP194:CC194</xm:sqref>
        </x14:conditionalFormatting>
        <x14:conditionalFormatting xmlns:xm="http://schemas.microsoft.com/office/excel/2006/main">
          <x14:cfRule type="expression" priority="4891162" id="{A4FF40DD-0B6A-4608-9412-4FEFCD17F66F}">
            <xm:f>#REF!='Data entry'!$R69</xm:f>
            <x14:dxf>
              <fill>
                <patternFill>
                  <bgColor rgb="FFFF0000"/>
                </patternFill>
              </fill>
            </x14:dxf>
          </x14:cfRule>
          <xm:sqref>CB195:CC195</xm:sqref>
        </x14:conditionalFormatting>
        <x14:conditionalFormatting xmlns:xm="http://schemas.microsoft.com/office/excel/2006/main">
          <x14:cfRule type="expression" priority="4891308" id="{46CAF980-4282-465F-AA0D-45DF9F1FDA80}">
            <xm:f>#REF!='Data entry'!$R70</xm:f>
            <x14:dxf>
              <fill>
                <patternFill>
                  <bgColor rgb="FFFFFF00"/>
                </patternFill>
              </fill>
            </x14:dxf>
          </x14:cfRule>
          <xm:sqref>BP197:CC197</xm:sqref>
        </x14:conditionalFormatting>
        <x14:conditionalFormatting xmlns:xm="http://schemas.microsoft.com/office/excel/2006/main">
          <x14:cfRule type="expression" priority="4891309" id="{A4FF40DD-0B6A-4608-9412-4FEFCD17F66F}">
            <xm:f>#REF!='Data entry'!$R70</xm:f>
            <x14:dxf>
              <fill>
                <patternFill>
                  <bgColor rgb="FFFF0000"/>
                </patternFill>
              </fill>
            </x14:dxf>
          </x14:cfRule>
          <xm:sqref>CB198:CC198</xm:sqref>
        </x14:conditionalFormatting>
        <x14:conditionalFormatting xmlns:xm="http://schemas.microsoft.com/office/excel/2006/main">
          <x14:cfRule type="expression" priority="4891455" id="{46CAF980-4282-465F-AA0D-45DF9F1FDA80}">
            <xm:f>#REF!='Data entry'!$R71</xm:f>
            <x14:dxf>
              <fill>
                <patternFill>
                  <bgColor rgb="FFFFFF00"/>
                </patternFill>
              </fill>
            </x14:dxf>
          </x14:cfRule>
          <xm:sqref>BP200:CC200</xm:sqref>
        </x14:conditionalFormatting>
        <x14:conditionalFormatting xmlns:xm="http://schemas.microsoft.com/office/excel/2006/main">
          <x14:cfRule type="expression" priority="4891456" id="{A4FF40DD-0B6A-4608-9412-4FEFCD17F66F}">
            <xm:f>#REF!='Data entry'!$R71</xm:f>
            <x14:dxf>
              <fill>
                <patternFill>
                  <bgColor rgb="FFFF0000"/>
                </patternFill>
              </fill>
            </x14:dxf>
          </x14:cfRule>
          <xm:sqref>CB201:CC201</xm:sqref>
        </x14:conditionalFormatting>
        <x14:conditionalFormatting xmlns:xm="http://schemas.microsoft.com/office/excel/2006/main">
          <x14:cfRule type="expression" priority="4891602" id="{46CAF980-4282-465F-AA0D-45DF9F1FDA80}">
            <xm:f>#REF!='Data entry'!$R72</xm:f>
            <x14:dxf>
              <fill>
                <patternFill>
                  <bgColor rgb="FFFFFF00"/>
                </patternFill>
              </fill>
            </x14:dxf>
          </x14:cfRule>
          <xm:sqref>BP203:CC203</xm:sqref>
        </x14:conditionalFormatting>
        <x14:conditionalFormatting xmlns:xm="http://schemas.microsoft.com/office/excel/2006/main">
          <x14:cfRule type="expression" priority="4891603" id="{A4FF40DD-0B6A-4608-9412-4FEFCD17F66F}">
            <xm:f>#REF!='Data entry'!$R72</xm:f>
            <x14:dxf>
              <fill>
                <patternFill>
                  <bgColor rgb="FFFF0000"/>
                </patternFill>
              </fill>
            </x14:dxf>
          </x14:cfRule>
          <xm:sqref>CB204:CC204</xm:sqref>
        </x14:conditionalFormatting>
        <x14:conditionalFormatting xmlns:xm="http://schemas.microsoft.com/office/excel/2006/main">
          <x14:cfRule type="expression" priority="4891749" id="{46CAF980-4282-465F-AA0D-45DF9F1FDA80}">
            <xm:f>#REF!='Data entry'!$R73</xm:f>
            <x14:dxf>
              <fill>
                <patternFill>
                  <bgColor rgb="FFFFFF00"/>
                </patternFill>
              </fill>
            </x14:dxf>
          </x14:cfRule>
          <xm:sqref>BP206:CC206</xm:sqref>
        </x14:conditionalFormatting>
        <x14:conditionalFormatting xmlns:xm="http://schemas.microsoft.com/office/excel/2006/main">
          <x14:cfRule type="expression" priority="4891750" id="{A4FF40DD-0B6A-4608-9412-4FEFCD17F66F}">
            <xm:f>#REF!='Data entry'!$R73</xm:f>
            <x14:dxf>
              <fill>
                <patternFill>
                  <bgColor rgb="FFFF0000"/>
                </patternFill>
              </fill>
            </x14:dxf>
          </x14:cfRule>
          <xm:sqref>CB207:CC207</xm:sqref>
        </x14:conditionalFormatting>
        <x14:conditionalFormatting xmlns:xm="http://schemas.microsoft.com/office/excel/2006/main">
          <x14:cfRule type="expression" priority="4891898" id="{46CAF980-4282-465F-AA0D-45DF9F1FDA80}">
            <xm:f>#REF!='Data entry'!$R74</xm:f>
            <x14:dxf>
              <fill>
                <patternFill>
                  <bgColor rgb="FFFFFF00"/>
                </patternFill>
              </fill>
            </x14:dxf>
          </x14:cfRule>
          <xm:sqref>BP209:CC209</xm:sqref>
        </x14:conditionalFormatting>
        <x14:conditionalFormatting xmlns:xm="http://schemas.microsoft.com/office/excel/2006/main">
          <x14:cfRule type="expression" priority="4891899" id="{A4FF40DD-0B6A-4608-9412-4FEFCD17F66F}">
            <xm:f>#REF!='Data entry'!$R74</xm:f>
            <x14:dxf>
              <fill>
                <patternFill>
                  <bgColor rgb="FFFF0000"/>
                </patternFill>
              </fill>
            </x14:dxf>
          </x14:cfRule>
          <xm:sqref>CB210:CC210</xm:sqref>
        </x14:conditionalFormatting>
        <x14:conditionalFormatting xmlns:xm="http://schemas.microsoft.com/office/excel/2006/main">
          <x14:cfRule type="expression" priority="4892050" id="{46CAF980-4282-465F-AA0D-45DF9F1FDA80}">
            <xm:f>#REF!='Data entry'!$R75</xm:f>
            <x14:dxf>
              <fill>
                <patternFill>
                  <bgColor rgb="FFFFFF00"/>
                </patternFill>
              </fill>
            </x14:dxf>
          </x14:cfRule>
          <xm:sqref>BP212:CC212</xm:sqref>
        </x14:conditionalFormatting>
        <x14:conditionalFormatting xmlns:xm="http://schemas.microsoft.com/office/excel/2006/main">
          <x14:cfRule type="expression" priority="4892051" id="{A4FF40DD-0B6A-4608-9412-4FEFCD17F66F}">
            <xm:f>#REF!='Data entry'!$R75</xm:f>
            <x14:dxf>
              <fill>
                <patternFill>
                  <bgColor rgb="FFFF0000"/>
                </patternFill>
              </fill>
            </x14:dxf>
          </x14:cfRule>
          <xm:sqref>CB213:CC213</xm:sqref>
        </x14:conditionalFormatting>
        <x14:conditionalFormatting xmlns:xm="http://schemas.microsoft.com/office/excel/2006/main">
          <x14:cfRule type="expression" priority="4892199" id="{46CAF980-4282-465F-AA0D-45DF9F1FDA80}">
            <xm:f>#REF!='Data entry'!$R76</xm:f>
            <x14:dxf>
              <fill>
                <patternFill>
                  <bgColor rgb="FFFFFF00"/>
                </patternFill>
              </fill>
            </x14:dxf>
          </x14:cfRule>
          <xm:sqref>BP215:CC215</xm:sqref>
        </x14:conditionalFormatting>
        <x14:conditionalFormatting xmlns:xm="http://schemas.microsoft.com/office/excel/2006/main">
          <x14:cfRule type="expression" priority="4892200" id="{A4FF40DD-0B6A-4608-9412-4FEFCD17F66F}">
            <xm:f>#REF!='Data entry'!$R76</xm:f>
            <x14:dxf>
              <fill>
                <patternFill>
                  <bgColor rgb="FFFF0000"/>
                </patternFill>
              </fill>
            </x14:dxf>
          </x14:cfRule>
          <xm:sqref>CB216:CC216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C109"/>
  <sheetViews>
    <sheetView topLeftCell="A98" workbookViewId="0">
      <selection activeCell="B114" sqref="B114"/>
    </sheetView>
  </sheetViews>
  <sheetFormatPr defaultRowHeight="15" x14ac:dyDescent="0.2"/>
  <cols>
    <col min="1" max="1" width="5" style="26" customWidth="1"/>
    <col min="2" max="2" width="69.5546875" style="1" customWidth="1"/>
  </cols>
  <sheetData>
    <row r="1" spans="1:2" ht="15.75" hidden="1" x14ac:dyDescent="0.25">
      <c r="B1" s="17" t="s">
        <v>105</v>
      </c>
    </row>
    <row r="2" spans="1:2" ht="30" hidden="1" x14ac:dyDescent="0.2">
      <c r="B2" s="1" t="s">
        <v>113</v>
      </c>
    </row>
    <row r="3" spans="1:2" hidden="1" x14ac:dyDescent="0.2"/>
    <row r="4" spans="1:2" hidden="1" x14ac:dyDescent="0.2"/>
    <row r="5" spans="1:2" ht="31.5" x14ac:dyDescent="0.25">
      <c r="B5" s="17" t="s">
        <v>106</v>
      </c>
    </row>
    <row r="6" spans="1:2" ht="30" x14ac:dyDescent="0.2">
      <c r="A6" s="26">
        <f>A2+1</f>
        <v>1</v>
      </c>
      <c r="B6" s="1" t="s">
        <v>195</v>
      </c>
    </row>
    <row r="7" spans="1:2" x14ac:dyDescent="0.2">
      <c r="A7" s="26">
        <f>A6+1</f>
        <v>2</v>
      </c>
      <c r="B7" s="1" t="s">
        <v>194</v>
      </c>
    </row>
    <row r="8" spans="1:2" x14ac:dyDescent="0.2">
      <c r="A8" s="26">
        <f>A7+1</f>
        <v>3</v>
      </c>
      <c r="B8" s="1" t="s">
        <v>197</v>
      </c>
    </row>
    <row r="9" spans="1:2" ht="30" x14ac:dyDescent="0.2">
      <c r="A9" s="26">
        <f>A8+1</f>
        <v>4</v>
      </c>
      <c r="B9" s="1" t="s">
        <v>215</v>
      </c>
    </row>
    <row r="10" spans="1:2" ht="30.75" x14ac:dyDescent="0.2">
      <c r="A10" s="26">
        <f>A9+1</f>
        <v>5</v>
      </c>
      <c r="B10" s="1" t="s">
        <v>198</v>
      </c>
    </row>
    <row r="11" spans="1:2" ht="30" x14ac:dyDescent="0.2">
      <c r="A11" s="26">
        <v>6</v>
      </c>
      <c r="B11" s="1" t="s">
        <v>298</v>
      </c>
    </row>
    <row r="13" spans="1:2" ht="15.75" x14ac:dyDescent="0.25">
      <c r="B13" s="17"/>
    </row>
    <row r="14" spans="1:2" ht="31.5" x14ac:dyDescent="0.25">
      <c r="B14" s="17" t="s">
        <v>263</v>
      </c>
    </row>
    <row r="15" spans="1:2" ht="45" x14ac:dyDescent="0.2">
      <c r="A15" s="26">
        <f>A11+1</f>
        <v>7</v>
      </c>
      <c r="B15" s="1" t="s">
        <v>254</v>
      </c>
    </row>
    <row r="16" spans="1:2" ht="15.75" x14ac:dyDescent="0.25">
      <c r="B16" s="17"/>
    </row>
    <row r="17" spans="1:3" ht="30.75" x14ac:dyDescent="0.2">
      <c r="B17" s="17" t="s">
        <v>292</v>
      </c>
    </row>
    <row r="19" spans="1:3" ht="30" x14ac:dyDescent="0.2">
      <c r="A19" s="26">
        <f>A15+1</f>
        <v>8</v>
      </c>
      <c r="B19" s="1" t="s">
        <v>217</v>
      </c>
    </row>
    <row r="20" spans="1:3" ht="30" x14ac:dyDescent="0.2">
      <c r="A20" s="26">
        <f>A19+1</f>
        <v>9</v>
      </c>
      <c r="B20" s="1" t="s">
        <v>199</v>
      </c>
    </row>
    <row r="21" spans="1:3" ht="30" customHeight="1" x14ac:dyDescent="0.2">
      <c r="A21" s="26">
        <f>A20+1</f>
        <v>10</v>
      </c>
      <c r="B21" s="147" t="s">
        <v>283</v>
      </c>
    </row>
    <row r="22" spans="1:3" ht="30" x14ac:dyDescent="0.2">
      <c r="A22" s="26">
        <f>A21+1</f>
        <v>11</v>
      </c>
      <c r="B22" s="1" t="s">
        <v>296</v>
      </c>
      <c r="C22" s="1"/>
    </row>
    <row r="23" spans="1:3" ht="90" x14ac:dyDescent="0.2">
      <c r="A23" s="125" t="s">
        <v>294</v>
      </c>
      <c r="B23" s="1" t="s">
        <v>293</v>
      </c>
    </row>
    <row r="24" spans="1:3" ht="30" x14ac:dyDescent="0.2">
      <c r="A24" s="125" t="s">
        <v>295</v>
      </c>
      <c r="B24" s="1" t="s">
        <v>297</v>
      </c>
    </row>
    <row r="25" spans="1:3" x14ac:dyDescent="0.2">
      <c r="A25" s="26">
        <f>A22+1</f>
        <v>12</v>
      </c>
      <c r="B25" s="1" t="s">
        <v>290</v>
      </c>
    </row>
    <row r="26" spans="1:3" x14ac:dyDescent="0.2">
      <c r="A26" s="26">
        <f>A25+1</f>
        <v>13</v>
      </c>
      <c r="B26" s="1" t="s">
        <v>291</v>
      </c>
    </row>
    <row r="27" spans="1:3" ht="30" x14ac:dyDescent="0.2">
      <c r="A27" s="148">
        <f>A26+1</f>
        <v>14</v>
      </c>
      <c r="B27" s="1" t="s">
        <v>302</v>
      </c>
    </row>
    <row r="28" spans="1:3" ht="30" x14ac:dyDescent="0.2">
      <c r="A28" s="148">
        <f>A27+1</f>
        <v>15</v>
      </c>
      <c r="B28" s="25" t="s">
        <v>303</v>
      </c>
    </row>
    <row r="29" spans="1:3" x14ac:dyDescent="0.2">
      <c r="B29" s="25"/>
    </row>
    <row r="30" spans="1:3" x14ac:dyDescent="0.2">
      <c r="B30" s="25"/>
    </row>
    <row r="31" spans="1:3" ht="15.75" x14ac:dyDescent="0.25">
      <c r="B31" s="17"/>
    </row>
    <row r="32" spans="1:3" ht="15.75" x14ac:dyDescent="0.25">
      <c r="B32" s="17"/>
    </row>
    <row r="33" spans="1:2" ht="15.75" x14ac:dyDescent="0.25">
      <c r="B33" s="17" t="s">
        <v>219</v>
      </c>
    </row>
    <row r="34" spans="1:2" ht="45" x14ac:dyDescent="0.2">
      <c r="A34" s="26">
        <f>A28+1</f>
        <v>16</v>
      </c>
      <c r="B34" s="1" t="s">
        <v>218</v>
      </c>
    </row>
    <row r="35" spans="1:2" ht="60" x14ac:dyDescent="0.2">
      <c r="A35" s="26">
        <f>A34+1</f>
        <v>17</v>
      </c>
      <c r="B35" s="1" t="s">
        <v>201</v>
      </c>
    </row>
    <row r="38" spans="1:2" ht="15.75" x14ac:dyDescent="0.25">
      <c r="B38" s="17" t="s">
        <v>289</v>
      </c>
    </row>
    <row r="39" spans="1:2" ht="30" x14ac:dyDescent="0.2">
      <c r="A39" s="26">
        <f>A35+1</f>
        <v>18</v>
      </c>
      <c r="B39" s="1" t="s">
        <v>299</v>
      </c>
    </row>
    <row r="40" spans="1:2" ht="15.75" x14ac:dyDescent="0.25">
      <c r="B40" s="17"/>
    </row>
    <row r="42" spans="1:2" ht="15.75" x14ac:dyDescent="0.25">
      <c r="B42" s="17" t="s">
        <v>288</v>
      </c>
    </row>
    <row r="43" spans="1:2" ht="30" x14ac:dyDescent="0.2">
      <c r="A43" s="26">
        <f>A39+1</f>
        <v>19</v>
      </c>
      <c r="B43" s="1" t="s">
        <v>300</v>
      </c>
    </row>
    <row r="45" spans="1:2" ht="15.75" x14ac:dyDescent="0.25">
      <c r="B45" s="17" t="s">
        <v>220</v>
      </c>
    </row>
    <row r="46" spans="1:2" ht="30" x14ac:dyDescent="0.2">
      <c r="A46" s="26">
        <f>A43+1</f>
        <v>20</v>
      </c>
      <c r="B46" s="1" t="s">
        <v>200</v>
      </c>
    </row>
    <row r="47" spans="1:2" x14ac:dyDescent="0.2">
      <c r="A47" s="148">
        <f>A46+1</f>
        <v>21</v>
      </c>
      <c r="B47" s="1" t="s">
        <v>301</v>
      </c>
    </row>
    <row r="50" spans="1:2" x14ac:dyDescent="0.2">
      <c r="B50" s="156" t="s">
        <v>324</v>
      </c>
    </row>
    <row r="51" spans="1:2" ht="30.75" x14ac:dyDescent="0.2">
      <c r="A51" s="26">
        <f>+A47+1</f>
        <v>22</v>
      </c>
      <c r="B51" s="1" t="s">
        <v>318</v>
      </c>
    </row>
    <row r="54" spans="1:2" x14ac:dyDescent="0.2">
      <c r="B54" s="156" t="s">
        <v>390</v>
      </c>
    </row>
    <row r="55" spans="1:2" ht="81.599999999999994" hidden="1" customHeight="1" x14ac:dyDescent="0.2">
      <c r="A55" s="26">
        <f>+A51+1</f>
        <v>23</v>
      </c>
      <c r="B55" s="150" t="s">
        <v>326</v>
      </c>
    </row>
    <row r="56" spans="1:2" ht="67.349999999999994" hidden="1" customHeight="1" x14ac:dyDescent="0.2">
      <c r="A56" s="26">
        <f>+A55+1</f>
        <v>24</v>
      </c>
      <c r="B56" s="150" t="s">
        <v>327</v>
      </c>
    </row>
    <row r="57" spans="1:2" ht="19.350000000000001" hidden="1" customHeight="1" x14ac:dyDescent="0.2">
      <c r="A57" s="26">
        <f>+A56+1</f>
        <v>25</v>
      </c>
      <c r="B57" s="150" t="s">
        <v>328</v>
      </c>
    </row>
    <row r="58" spans="1:2" hidden="1" x14ac:dyDescent="0.2">
      <c r="A58" s="26">
        <f>+A57+1</f>
        <v>26</v>
      </c>
      <c r="B58" s="157" t="s">
        <v>329</v>
      </c>
    </row>
    <row r="60" spans="1:2" x14ac:dyDescent="0.2">
      <c r="A60" s="26">
        <f>+A51+1</f>
        <v>23</v>
      </c>
      <c r="B60" s="1" t="s">
        <v>391</v>
      </c>
    </row>
    <row r="61" spans="1:2" x14ac:dyDescent="0.2">
      <c r="A61" s="26">
        <f>1+A60</f>
        <v>24</v>
      </c>
      <c r="B61" s="1" t="s">
        <v>392</v>
      </c>
    </row>
    <row r="62" spans="1:2" ht="75" x14ac:dyDescent="0.2">
      <c r="A62" s="26">
        <f>1+A61</f>
        <v>25</v>
      </c>
      <c r="B62" s="1" t="s">
        <v>393</v>
      </c>
    </row>
    <row r="63" spans="1:2" ht="30" x14ac:dyDescent="0.2">
      <c r="A63" s="26">
        <f>1+A62</f>
        <v>26</v>
      </c>
      <c r="B63" s="1" t="s">
        <v>394</v>
      </c>
    </row>
    <row r="65" spans="1:2" x14ac:dyDescent="0.2">
      <c r="B65" s="156" t="s">
        <v>411</v>
      </c>
    </row>
    <row r="66" spans="1:2" x14ac:dyDescent="0.2">
      <c r="A66" s="26">
        <v>27</v>
      </c>
      <c r="B66" s="1" t="s">
        <v>407</v>
      </c>
    </row>
    <row r="67" spans="1:2" x14ac:dyDescent="0.2">
      <c r="A67" s="26">
        <f>1+A66</f>
        <v>28</v>
      </c>
      <c r="B67" s="1" t="s">
        <v>408</v>
      </c>
    </row>
    <row r="68" spans="1:2" x14ac:dyDescent="0.2">
      <c r="A68" s="26">
        <f t="shared" ref="A68:A74" si="0">1+A67</f>
        <v>29</v>
      </c>
      <c r="B68" s="1" t="s">
        <v>409</v>
      </c>
    </row>
    <row r="69" spans="1:2" x14ac:dyDescent="0.2">
      <c r="A69" s="26">
        <f t="shared" si="0"/>
        <v>30</v>
      </c>
      <c r="B69" s="1" t="s">
        <v>410</v>
      </c>
    </row>
    <row r="70" spans="1:2" x14ac:dyDescent="0.2">
      <c r="A70" s="26">
        <f t="shared" si="0"/>
        <v>31</v>
      </c>
      <c r="B70" s="1" t="s">
        <v>405</v>
      </c>
    </row>
    <row r="71" spans="1:2" x14ac:dyDescent="0.2">
      <c r="A71" s="26">
        <f t="shared" si="0"/>
        <v>32</v>
      </c>
      <c r="B71" s="1" t="s">
        <v>406</v>
      </c>
    </row>
    <row r="72" spans="1:2" x14ac:dyDescent="0.2">
      <c r="A72" s="26">
        <f t="shared" si="0"/>
        <v>33</v>
      </c>
      <c r="B72" s="1" t="s">
        <v>402</v>
      </c>
    </row>
    <row r="73" spans="1:2" x14ac:dyDescent="0.2">
      <c r="A73" s="26">
        <f t="shared" si="0"/>
        <v>34</v>
      </c>
      <c r="B73" s="1" t="s">
        <v>404</v>
      </c>
    </row>
    <row r="74" spans="1:2" x14ac:dyDescent="0.2">
      <c r="A74" s="26">
        <f t="shared" si="0"/>
        <v>35</v>
      </c>
      <c r="B74" s="1" t="s">
        <v>403</v>
      </c>
    </row>
    <row r="76" spans="1:2" x14ac:dyDescent="0.2">
      <c r="B76" s="156" t="s">
        <v>414</v>
      </c>
    </row>
    <row r="77" spans="1:2" x14ac:dyDescent="0.2">
      <c r="A77" s="26">
        <f>1+A74</f>
        <v>36</v>
      </c>
      <c r="B77" s="1" t="s">
        <v>415</v>
      </c>
    </row>
    <row r="78" spans="1:2" ht="15.75" x14ac:dyDescent="0.25">
      <c r="A78" s="26">
        <f>1+A77</f>
        <v>37</v>
      </c>
      <c r="B78" s="1" t="s">
        <v>417</v>
      </c>
    </row>
    <row r="80" spans="1:2" x14ac:dyDescent="0.2">
      <c r="B80" s="156" t="s">
        <v>422</v>
      </c>
    </row>
    <row r="81" spans="1:2" x14ac:dyDescent="0.2">
      <c r="A81" s="26">
        <f>1+A78</f>
        <v>38</v>
      </c>
      <c r="B81" s="1" t="s">
        <v>425</v>
      </c>
    </row>
    <row r="82" spans="1:2" ht="33.6" customHeight="1" x14ac:dyDescent="0.2">
      <c r="A82" s="26">
        <f>1+A81</f>
        <v>39</v>
      </c>
      <c r="B82" s="1" t="s">
        <v>482</v>
      </c>
    </row>
    <row r="83" spans="1:2" ht="30.75" x14ac:dyDescent="0.2">
      <c r="A83" s="26">
        <f>1+A82</f>
        <v>40</v>
      </c>
      <c r="B83" s="1" t="s">
        <v>483</v>
      </c>
    </row>
    <row r="84" spans="1:2" x14ac:dyDescent="0.2">
      <c r="A84" s="26">
        <f>1+A83</f>
        <v>41</v>
      </c>
      <c r="B84" s="1" t="s">
        <v>485</v>
      </c>
    </row>
    <row r="85" spans="1:2" x14ac:dyDescent="0.2">
      <c r="B85" s="156" t="s">
        <v>499</v>
      </c>
    </row>
    <row r="86" spans="1:2" ht="20.45" customHeight="1" x14ac:dyDescent="0.2">
      <c r="A86" s="26">
        <v>42</v>
      </c>
      <c r="B86" s="150" t="s">
        <v>498</v>
      </c>
    </row>
    <row r="87" spans="1:2" ht="30" x14ac:dyDescent="0.2">
      <c r="A87" s="26">
        <v>43</v>
      </c>
      <c r="B87" s="289" t="s">
        <v>497</v>
      </c>
    </row>
    <row r="89" spans="1:2" x14ac:dyDescent="0.2">
      <c r="B89" s="156" t="s">
        <v>504</v>
      </c>
    </row>
    <row r="90" spans="1:2" x14ac:dyDescent="0.2">
      <c r="A90" s="26">
        <v>44</v>
      </c>
      <c r="B90" s="1" t="s">
        <v>505</v>
      </c>
    </row>
    <row r="91" spans="1:2" ht="17.100000000000001" customHeight="1" x14ac:dyDescent="0.2">
      <c r="A91" s="26">
        <v>45</v>
      </c>
      <c r="B91" s="1" t="s">
        <v>506</v>
      </c>
    </row>
    <row r="93" spans="1:2" x14ac:dyDescent="0.2">
      <c r="B93" s="156" t="s">
        <v>547</v>
      </c>
    </row>
    <row r="94" spans="1:2" x14ac:dyDescent="0.2">
      <c r="A94" s="26">
        <v>46</v>
      </c>
      <c r="B94" s="1" t="s">
        <v>552</v>
      </c>
    </row>
    <row r="95" spans="1:2" x14ac:dyDescent="0.2">
      <c r="A95" s="26">
        <v>47</v>
      </c>
      <c r="B95" s="1" t="s">
        <v>553</v>
      </c>
    </row>
    <row r="96" spans="1:2" ht="30" x14ac:dyDescent="0.2">
      <c r="A96" s="26">
        <v>48</v>
      </c>
      <c r="B96" s="1" t="s">
        <v>554</v>
      </c>
    </row>
    <row r="97" spans="1:2" ht="30" x14ac:dyDescent="0.2">
      <c r="A97" s="26">
        <v>49</v>
      </c>
      <c r="B97" s="1" t="s">
        <v>559</v>
      </c>
    </row>
    <row r="99" spans="1:2" x14ac:dyDescent="0.2">
      <c r="B99" s="156" t="s">
        <v>580</v>
      </c>
    </row>
    <row r="100" spans="1:2" x14ac:dyDescent="0.2">
      <c r="A100" s="26">
        <v>50</v>
      </c>
      <c r="B100" s="319" t="s">
        <v>575</v>
      </c>
    </row>
    <row r="101" spans="1:2" x14ac:dyDescent="0.2">
      <c r="A101" s="26">
        <v>51</v>
      </c>
      <c r="B101" s="319" t="s">
        <v>576</v>
      </c>
    </row>
    <row r="102" spans="1:2" x14ac:dyDescent="0.2">
      <c r="A102" s="26">
        <v>52</v>
      </c>
      <c r="B102" s="1" t="s">
        <v>577</v>
      </c>
    </row>
    <row r="103" spans="1:2" x14ac:dyDescent="0.2">
      <c r="A103" s="26">
        <v>53</v>
      </c>
      <c r="B103" s="1" t="s">
        <v>578</v>
      </c>
    </row>
    <row r="104" spans="1:2" x14ac:dyDescent="0.2">
      <c r="A104" s="26">
        <v>54</v>
      </c>
      <c r="B104" s="1" t="s">
        <v>579</v>
      </c>
    </row>
    <row r="105" spans="1:2" ht="30" x14ac:dyDescent="0.2">
      <c r="A105" s="26">
        <v>55</v>
      </c>
      <c r="B105" s="1" t="s">
        <v>583</v>
      </c>
    </row>
    <row r="106" spans="1:2" ht="30" x14ac:dyDescent="0.2">
      <c r="A106" s="26">
        <v>56</v>
      </c>
      <c r="B106" s="1" t="s">
        <v>584</v>
      </c>
    </row>
    <row r="108" spans="1:2" x14ac:dyDescent="0.2">
      <c r="B108" s="156" t="s">
        <v>588</v>
      </c>
    </row>
    <row r="109" spans="1:2" x14ac:dyDescent="0.2">
      <c r="B109" s="1" t="s">
        <v>589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Cover Sheet</vt:lpstr>
      <vt:lpstr>Data entry</vt:lpstr>
      <vt:lpstr>Data Validation</vt:lpstr>
      <vt:lpstr>Premise Instructions</vt:lpstr>
      <vt:lpstr>Summary Data</vt:lpstr>
      <vt:lpstr>AD Consult Epi-Curve</vt:lpstr>
      <vt:lpstr>Epi-Curves</vt:lpstr>
      <vt:lpstr>New Epi-C_data</vt:lpstr>
      <vt:lpstr>Transmission Chart</vt:lpstr>
      <vt:lpstr>POA_POC</vt:lpstr>
      <vt:lpstr>Summary of changes V6.2</vt:lpstr>
      <vt:lpstr>Epi Curve-FuncArea,Shift</vt:lpstr>
    </vt:vector>
  </TitlesOfParts>
  <Company>City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Natalie Kwan</dc:creator>
  <cp:lastModifiedBy>Tharany Nadarajah</cp:lastModifiedBy>
  <cp:lastPrinted>2022-07-28T06:07:15Z</cp:lastPrinted>
  <dcterms:created xsi:type="dcterms:W3CDTF">2020-05-09T21:04:32Z</dcterms:created>
  <dcterms:modified xsi:type="dcterms:W3CDTF">2026-05-23T20:00:18Z</dcterms:modified>
</cp:coreProperties>
</file>